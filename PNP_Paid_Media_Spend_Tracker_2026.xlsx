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Weekly" sheetId="2" state="visible" r:id="rId4"/>
    <sheet name="Monthly" sheetId="3" state="visible" r:id="rId5"/>
    <sheet name="By location &amp; type" sheetId="4" state="visible" r:id="rId6"/>
    <sheet name="Campaigns" sheetId="5" state="visible" r:id="rId7"/>
    <sheet name="Agency reports" sheetId="6" state="visible" r:id="rId8"/>
    <sheet name="Settings" sheetId="7" state="visible" r:id="rId9"/>
    <sheet name="How to update" sheetId="8" state="visible" r:id="rId10"/>
    <sheet name="Meta data" sheetId="9" state="visible" r:id="rId11"/>
    <sheet name="Google data" sheetId="10" state="visible" r:id="rId12"/>
    <sheet name="ChatGPT data" sheetId="11" state="visible" r:id="rId13"/>
    <sheet name="LinkedIn data" sheetId="12" state="visible" r:id="rId14"/>
    <sheet name="Calc" sheetId="13" state="visible" r:id="rId15"/>
  </sheets>
  <definedNames>
    <definedName function="false" hidden="false" localSheetId="0" name="_xlnm.Print_Area" vbProcedure="false">Dashboard!$A$1:$N$74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<sst xmlns="http://schemas.openxmlformats.org/spreadsheetml/2006/main" count="1437" uniqueCount="551">
  <si>
    <t xml:space="preserve">Helper cells for formatting – don't edit</t>
  </si>
  <si>
    <t xml:space="preserve">BUDGET CHECK</t>
  </si>
  <si>
    <t xml:space="preserve">Measure</t>
  </si>
  <si>
    <t xml:space="preserve">Amount</t>
  </si>
  <si>
    <t xml:space="preserve">Spent so far</t>
  </si>
  <si>
    <t xml:space="preserve">Left</t>
  </si>
  <si>
    <t xml:space="preserve">% used</t>
  </si>
  <si>
    <t xml:space="preserve">Status at the current pace</t>
  </si>
  <si>
    <t xml:space="preserve">Budget</t>
  </si>
  <si>
    <t xml:space="preserve">Maximum (ideally not more)</t>
  </si>
  <si>
    <t xml:space="preserve">SPEND BY CHANNEL</t>
  </si>
  <si>
    <t xml:space="preserve">Channel</t>
  </si>
  <si>
    <t xml:space="preserve">Share</t>
  </si>
  <si>
    <t xml:space="preserve">Last full month</t>
  </si>
  <si>
    <t xml:space="preserve">Last 3 full months</t>
  </si>
  <si>
    <t xml:space="preserve">Last full week</t>
  </si>
  <si>
    <t xml:space="preserve">Counts toward budget?</t>
  </si>
  <si>
    <t xml:space="preserve">Billing currency</t>
  </si>
  <si>
    <t xml:space="preserve">Note</t>
  </si>
  <si>
    <t xml:space="preserve">Meta</t>
  </si>
  <si>
    <t xml:space="preserve">Google Ads</t>
  </si>
  <si>
    <t xml:space="preserve">ChatGPT Ads</t>
  </si>
  <si>
    <t xml:space="preserve">LinkedIn Ads</t>
  </si>
  <si>
    <t xml:space="preserve">Total – all channels</t>
  </si>
  <si>
    <t xml:space="preserve">'Last full week' needs daily platform rows: it shows – until the daily exports are pasted.</t>
  </si>
  <si>
    <t xml:space="preserve">SPEND BY MONTH AND CHANNEL vs. PLAN</t>
  </si>
  <si>
    <t xml:space="preserve">SPEND SO FAR vs. PLAN AND MAXIMUM (CUMULATIVE)</t>
  </si>
  <si>
    <t xml:space="preserve">QUARTER BY QUARTER</t>
  </si>
  <si>
    <t xml:space="preserve">Quarter</t>
  </si>
  <si>
    <t xml:space="preserve">Counts toward budget</t>
  </si>
  <si>
    <t xml:space="preserve">Plan</t>
  </si>
  <si>
    <t xml:space="preserve">Status</t>
  </si>
  <si>
    <t xml:space="preserve">Total</t>
  </si>
  <si>
    <t xml:space="preserve">YEAR-END OUTLOOK (budget channels)</t>
  </si>
  <si>
    <t xml:space="preserve">If we spend from now on at…</t>
  </si>
  <si>
    <t xml:space="preserve">Year-end total</t>
  </si>
  <si>
    <t xml:space="preserve">vs. budget</t>
  </si>
  <si>
    <t xml:space="preserve">vs. maximum</t>
  </si>
  <si>
    <t xml:space="preserve">What it means</t>
  </si>
  <si>
    <t xml:space="preserve">WHERE THE MONEY WENT – BY REGION</t>
  </si>
  <si>
    <t xml:space="preserve">TOP MARKETS (year to date)</t>
  </si>
  <si>
    <t xml:space="preserve">Region and market come from the location code in each campaign name – see the 'By location &amp; type' and 'Campaigns' tabs. Sources, exchange rate and how to update: 'How to update' tab.</t>
  </si>
  <si>
    <t xml:space="preserve">Weekly spend</t>
  </si>
  <si>
    <t xml:space="preserve">Data up to:</t>
  </si>
  <si>
    <t xml:space="preserve">Last full week ends:</t>
  </si>
  <si>
    <t xml:space="preserve">Spend before October fills in once the daily platform exports are pasted. Until then, the agency's weekly figures are on the 'Agency reports' tab and their notes are in column R.</t>
  </si>
  <si>
    <t xml:space="preserve">Week</t>
  </si>
  <si>
    <t xml:space="preserve">Starts (Mon)</t>
  </si>
  <si>
    <t xml:space="preserve">Ends (Sun)</t>
  </si>
  <si>
    <t xml:space="preserve">Plan (budget spread evenly by day)</t>
  </si>
  <si>
    <t xml:space="preserve">Over (+) / under (−) plan</t>
  </si>
  <si>
    <t xml:space="preserve">Meta conversions</t>
  </si>
  <si>
    <t xml:space="preserve">Meta cost per conversion</t>
  </si>
  <si>
    <t xml:space="preserve">Google conversions</t>
  </si>
  <si>
    <t xml:space="preserve">Google cost per conversion</t>
  </si>
  <si>
    <t xml:space="preserve">MQLs – paid social (HubSpot, optional)</t>
  </si>
  <si>
    <t xml:space="preserve">MQLs – paid search (HubSpot, optional)</t>
  </si>
  <si>
    <t xml:space="preserve">Notes – what happened this week</t>
  </si>
  <si>
    <t xml:space="preserve">Chart label</t>
  </si>
  <si>
    <t xml:space="preserve">Agency: Paused the Health ad set on Meta EMEA. Next: prepare the location strategy, launch a Meta retargeting campaign for job-application (JTP) conversions, build a PMax asset group from the Quantum ad.</t>
  </si>
  <si>
    <t xml:space="preserve">Agency: Added Meta JTP retargeting campaigns, which pushed CPL up. Google EMEA non-brand dropped while PMax and Brand rose. Plan: agree and start the new geo structure.</t>
  </si>
  <si>
    <t xml:space="preserve">Agency: New Google structure live; EMEA location campaigns had no leads yet. Meta being restructured for the geo strategy. Paused the Health push in USCA.</t>
  </si>
  <si>
    <t xml:space="preserve">Agency: Spend down 15% WoW due to the new structure. Splitting California out of USCA hurt Meta. Google pushed new locations: more spend, no extra leads.</t>
  </si>
  <si>
    <t xml:space="preserve">Agency: Google CPL rose as spend moved from PMax to Search. NY, NJ, AZ, IN and Washington had no leads. Quantum was the top Meta ad.</t>
  </si>
  <si>
    <t xml:space="preserve">Agency: Google clicks up 188% but CR fell; US campaigns underperformed. Meta Spanish Grid ads lowered CPL. Plan: increase spend in all regions.</t>
  </si>
  <si>
    <t xml:space="preserve">Agency: Meta location campaigns launched Thursday; spend jumped. Broader Google keywords added; some locations underspending (may move to Max Clicks).</t>
  </si>
  <si>
    <t xml:space="preserve">Agency: Both Google Global search campaigns budget-limited; agency asks to move budget "even if out of plan". Indiana the worst Meta location.</t>
  </si>
  <si>
    <t xml:space="preserve">Agency: Google YouTube campaigns ended. Search improved but Global still budget-limited. Meta CPM rose across campaigns.</t>
  </si>
  <si>
    <t xml:space="preserve">Agency: Tightened Google targets in some locations; added broad keywords in UK, France, Texas. Agency asks to use HubSpot as Google's conversion source.</t>
  </si>
  <si>
    <t xml:space="preserve">Agency: Google spend raised after better in-platform results. Large Google vs HubSpot gap flagged. NY, NJ and AZ Meta campaigns worsening.</t>
  </si>
  <si>
    <t xml:space="preserve">Agency: Google Global EMEA at 0 leads despite a 60% spend cut; under review. Demand Gen running in Texas and Florida. Meta "All" campaigns refresh planned.</t>
  </si>
  <si>
    <t xml:space="preserve">Agency: Meta spend pulled back 32%. Google keeps losing leads while it expands search terms.</t>
  </si>
  <si>
    <t xml:space="preserve">Agency: Meta spend down 20.6%. Google CPL improved after keyword expansion and new negatives.</t>
  </si>
  <si>
    <t xml:space="preserve">Agency: Added the keywords provided to Search, no impact yet. Flags two HubSpot reports disagreeing (6 vs 28 April contacts). Plan: force regional budget split, expand keywords, manual-bid and AI Max experiments.</t>
  </si>
  <si>
    <t xml:space="preserve">Agency: Gap to HubSpot narrowed after an access issue was fixed. Google better in EMEA than USCA.</t>
  </si>
  <si>
    <t xml:space="preserve">Agency: Meta leads fell after spend adjustments. Google CPL spiked (California, Global US, PMax stopped converting). Plan: cap California and Global US, review tracking, cap Quantum.</t>
  </si>
  <si>
    <t xml:space="preserve">Agency: HubSpot shows 143 Google leads vs 20 tracked; report asks a colleague whether tracking changed. Plan: review Google tracking, launch a JTP PMax, deep-dive US Meta structure.</t>
  </si>
  <si>
    <t xml:space="preserve">Agency: Cut California Google spend and narrowed keywords. Meta spend reduced due to rising CPMs. Zero-lead areas noted (NY, TX, FL).</t>
  </si>
  <si>
    <t xml:space="preserve">Agency: In-platform results efficient, but HubSpot shows 16 Paid Search contacts vs 27 the week before.</t>
  </si>
  <si>
    <t xml:space="preserve">Agency: UK Google at 0 conversions despite more spend. Meta AICOI ad takes a large share of spend at high CPL.</t>
  </si>
  <si>
    <t xml:space="preserve">Agency: Launched two top-of-funnel YouTube campaigns (EMEA, US), inflating impressions. Meta drop in US, California, EMEA prospecting. Monitoring France.</t>
  </si>
  <si>
    <t xml:space="preserve">Agency: Meta CPL down 25.3%; Google leads doubled. A Meta restructure proposal (CBO vs value rules) sits under this report.</t>
  </si>
  <si>
    <t xml:space="preserve">Agency: Meta spend cut 15.1%. HubSpot tables missing that week.</t>
  </si>
  <si>
    <t xml:space="preserve">Agency: Major Meta restructure into US region CBOs (16–17 Jun) plus job-title expansion. Google search-term clean-ups paused 189 then 60 keywords. New USCA PMax at $20/day.</t>
  </si>
  <si>
    <t xml:space="preserve">Agency: Meta CPL +70% after a drop on 23 Jun. US-East-Coast and US-South-Central Search each spent over $500 with little or no lead generation.</t>
  </si>
  <si>
    <t xml:space="preserve">Agency: Google volume dropped, mainly US-CA PMax. Meta leads roughly doubled. Plan: consolidate EMEA into three regions, update PMax asset groups.</t>
  </si>
  <si>
    <t xml:space="preserve">Agency: Google CPL spiked as budget went to non-converting YouTube video-view campaigns. New videos good for clicks.</t>
  </si>
  <si>
    <t xml:space="preserve">Agency: New Meta merged campaign (9 Jul) and new ads. Google conversions fell 4th week; reverting the keyword clean-up. Italy flagged ($465 for 1 lead).</t>
  </si>
  <si>
    <t xml:space="preserve">Agency: Welcome conversion event stopped recording on both channels. Traffic campaign relaunched 23 Jul. Google weeks restated upward. Plan (urgent): fix tracking, add HubSpot event tracking.</t>
  </si>
  <si>
    <t xml:space="preserve">Agency: Tracking still limited. Proposes rebuilding Google: aggregated Search, revived PMax by region, YouTube revamp.</t>
  </si>
  <si>
    <t xml:space="preserve">Agency: Meta pulled back with no tracking; Feb EMEA ABO switched off. Google restructure set for 11 Aug. Top priority: client web team to fix welcome landing-page templates.</t>
  </si>
  <si>
    <t xml:space="preserve">Agency: Tracking recovered 11 Aug. Google restructured 13 Aug into two non-brand Search campaigns at €147.40/day each. Budgets for PP-345 halved, PP-324 cut 70%.</t>
  </si>
  <si>
    <t xml:space="preserve">Agency: Best lead week. Google spend cut 41.9% on purpose. YouTube flagged as branding inside the lead-gen budget.</t>
  </si>
  <si>
    <t xml:space="preserve">Agency: HubSpot shows fewer Paid Search contacts; agency to check Google tracking. 51% of Google spend has no country label (raise with Windsor).</t>
  </si>
  <si>
    <t xml:space="preserve">Agency: Meta CPL $11.91 vs $10 North Star. Plan: launch AI Max, review the Saudi Search campaign.</t>
  </si>
  <si>
    <t xml:space="preserve">Agency: NA non-brand Search collapsed. PMax paused for review. PP-257 the main lead driver. Plan: budget management.</t>
  </si>
  <si>
    <t xml:space="preserve">Agency: Meta spend dropped in the last 3 days; cause being checked. Google goal switched to HubSpot qualified leads only. Target CPA removed on NA Search; spend jumped until budgets cut 19 Sep.</t>
  </si>
  <si>
    <t xml:space="preserve">Agency: Agreed budget cut: Meta $310/day to $160/day (from 18 Sep); Google cut 19 and 21 Sep. Plan: launch new YouTube campaign, pause PP-266.</t>
  </si>
  <si>
    <t xml:space="preserve">Agency: Meta budgets held at $160/day. Both Google Search campaigns heavily budget-limited.</t>
  </si>
  <si>
    <t xml:space="preserve">Agency: Google CPL fell to €27.75. Plan: check channel vs HubSpot discrepancy, pause PP-266, judge case-study statics launched 8 Oct.</t>
  </si>
  <si>
    <t xml:space="preserve">Week 1 includes the last days of the previous year. Over/under plan is shown for complete weeks with data. Notes marked 'Agency:' are summarised from the agency's weekly reports.</t>
  </si>
  <si>
    <t xml:space="preserve">WEEKLY SPEND BY CHANNEL (platform data)</t>
  </si>
  <si>
    <t xml:space="preserve">Monthly spend</t>
  </si>
  <si>
    <t xml:space="preserve">Data up to</t>
  </si>
  <si>
    <t xml:space="preserve">Month</t>
  </si>
  <si>
    <t xml:space="preserve">Cumulative spend (budget channels)</t>
  </si>
  <si>
    <t xml:space="preserve">Cumulative plan</t>
  </si>
  <si>
    <t xml:space="preserve">Maximum</t>
  </si>
  <si>
    <t xml:space="preserve">% of budget used</t>
  </si>
  <si>
    <t xml:space="preserve">Meta as billed (USD)</t>
  </si>
  <si>
    <t xml:space="preserve">Google as billed (EUR)</t>
  </si>
  <si>
    <t xml:space="preserve">EUR → USD rate used</t>
  </si>
  <si>
    <t xml:space="preserve">Over/under plan is shown for complete months only. The plan spreads the annual budget evenly over the days of the year.</t>
  </si>
  <si>
    <t xml:space="preserve">CLICKS, CONVERSIONS AND COSTS – as reported by each platform</t>
  </si>
  <si>
    <t xml:space="preserve">Clicks</t>
  </si>
  <si>
    <t xml:space="preserve">Conversions</t>
  </si>
  <si>
    <t xml:space="preserve">Cost per click</t>
  </si>
  <si>
    <t xml:space="preserve">Cost per conversion</t>
  </si>
  <si>
    <t xml:space="preserve">Conversions use each platform's own definition: Meta = 'Website registrations completed'; Google Ads = 'Conversions' (its primary conversion actions, which the agency changed during the year). Compare each channel with itself, not with each other.</t>
  </si>
  <si>
    <t xml:space="preserve">Spend by region, market and campaign type</t>
  </si>
  <si>
    <t xml:space="preserve">BY REGION</t>
  </si>
  <si>
    <t xml:space="preserve">Region</t>
  </si>
  <si>
    <t xml:space="preserve">Share of spend</t>
  </si>
  <si>
    <t xml:space="preserve">EMEA</t>
  </si>
  <si>
    <t xml:space="preserve">Americas</t>
  </si>
  <si>
    <t xml:space="preserve">Global</t>
  </si>
  <si>
    <t xml:space="preserve">Not specified</t>
  </si>
  <si>
    <t xml:space="preserve">Other / not listed above</t>
  </si>
  <si>
    <t xml:space="preserve">BY MARKET</t>
  </si>
  <si>
    <t xml:space="preserve">Market</t>
  </si>
  <si>
    <t xml:space="preserve">EMEA – multi-country</t>
  </si>
  <si>
    <t xml:space="preserve">California</t>
  </si>
  <si>
    <t xml:space="preserve">US &amp; Canada</t>
  </si>
  <si>
    <t xml:space="preserve">US East Coast</t>
  </si>
  <si>
    <t xml:space="preserve">US – national</t>
  </si>
  <si>
    <t xml:space="preserve">Worldwide</t>
  </si>
  <si>
    <t xml:space="preserve">US South &amp; Central</t>
  </si>
  <si>
    <t xml:space="preserve">France</t>
  </si>
  <si>
    <t xml:space="preserve">UK</t>
  </si>
  <si>
    <t xml:space="preserve">Florida</t>
  </si>
  <si>
    <t xml:space="preserve">Middle East</t>
  </si>
  <si>
    <t xml:space="preserve">Texas</t>
  </si>
  <si>
    <t xml:space="preserve">New York</t>
  </si>
  <si>
    <t xml:space="preserve">Italy</t>
  </si>
  <si>
    <t xml:space="preserve">Western Europe – multi-country</t>
  </si>
  <si>
    <t xml:space="preserve">New Jersey</t>
  </si>
  <si>
    <t xml:space="preserve">Arizona</t>
  </si>
  <si>
    <t xml:space="preserve">BY CAMPAIGN TYPE</t>
  </si>
  <si>
    <t xml:space="preserve">Campaign type</t>
  </si>
  <si>
    <t xml:space="preserve">Meta – lead ads, prospecting</t>
  </si>
  <si>
    <t xml:space="preserve">Google – Search, non-brand</t>
  </si>
  <si>
    <t xml:space="preserve">Meta – lead ads, retargeting</t>
  </si>
  <si>
    <t xml:space="preserve">Google – YouTube video</t>
  </si>
  <si>
    <t xml:space="preserve">Google – Performance Max</t>
  </si>
  <si>
    <t xml:space="preserve">Meta – traffic</t>
  </si>
  <si>
    <t xml:space="preserve">Meta – other</t>
  </si>
  <si>
    <t xml:space="preserve">Google – Demand Gen / YouTube reach</t>
  </si>
  <si>
    <t xml:space="preserve">Google – Search, coworking</t>
  </si>
  <si>
    <t xml:space="preserve">Google – Search, brand</t>
  </si>
  <si>
    <t xml:space="preserve">ChatGPT – test</t>
  </si>
  <si>
    <t xml:space="preserve">Campaigns – market, region, type and spend by month</t>
  </si>
  <si>
    <t xml:space="preserve">Every campaign in the data tabs needs a row here. Yellow = type it in when a new campaign starts. Market and region come from the location code in the campaign name.</t>
  </si>
  <si>
    <t xml:space="preserve">Check – spend in the data tabs that is missing from this list:</t>
  </si>
  <si>
    <t xml:space="preserve">Campaign</t>
  </si>
  <si>
    <t xml:space="preserve">Type</t>
  </si>
  <si>
    <t xml:space="preserve">Total – all campaigns listed</t>
  </si>
  <si>
    <t xml:space="preserve">Geo:EMEA_Objective:lead_Type:prospecting_Budget:abo_Date:20260210</t>
  </si>
  <si>
    <t xml:space="preserve">Geo:EMEA_Objective:lead_Type:prospecting-test_Budget:cbo_Date:20251010</t>
  </si>
  <si>
    <t xml:space="preserve">Geo:US-EastCoast_Objective:lead_Type:prospecting_Budget:cbo_Date:20260409</t>
  </si>
  <si>
    <t xml:space="preserve">Geo:USCA_Objective:lead_Type:prospecting_Budget:cbo_Date:20251010</t>
  </si>
  <si>
    <t xml:space="preserve">Geo:California_Objective:lead_Type:prospecting-test_Budget:cbo_Date:20260115</t>
  </si>
  <si>
    <t xml:space="preserve">Geo:WW_Objective:lead_Type:retargeting_Budget:cbo_Date:20260612</t>
  </si>
  <si>
    <t xml:space="preserve">Geo:US-California_Objective:lead_Type:prospecting_Budget:cbo_Date:20260602</t>
  </si>
  <si>
    <t xml:space="preserve">Geo:US-East-Coast_Objective:lead_Type:prospecting_Budget:cbo_Date:20260617</t>
  </si>
  <si>
    <t xml:space="preserve">Geo:USCA_Objective:lead_Type:prospecting_Budget:cbo_Date:20260617</t>
  </si>
  <si>
    <t xml:space="preserve">FR_Alibaba Campaign</t>
  </si>
  <si>
    <t xml:space="preserve">Geo:EMEA_Objective:lead_Type:retargeting_Budget:cbo_Date:20260109</t>
  </si>
  <si>
    <t xml:space="preserve">Geo:US-Middle-South_Objective:lead_Type:prospecting_Budget:cbo_Date:20260617</t>
  </si>
  <si>
    <t xml:space="preserve">Geo:EMEA_Objective:lead_Type:prospecting_Budget:cbo_Date:20260712</t>
  </si>
  <si>
    <t xml:space="preserve">Geo:Middle-East_Objective:lead_Type:prospecting_Budget:cbo_Date:20260709</t>
  </si>
  <si>
    <t xml:space="preserve">Geo:Western-Europe_Objective:lead_Type:prospecting_Budget:cbo_Date:20260709</t>
  </si>
  <si>
    <t xml:space="preserve">CFA | Amazon US batch 1</t>
  </si>
  <si>
    <t xml:space="preserve">Geo:All_Objective:welcome_Type:ABO_Date:20251010</t>
  </si>
  <si>
    <t xml:space="preserve">Geo:USCA_Objective:traffic_Type:cold_Budget:abo_Date:20260716</t>
  </si>
  <si>
    <t xml:space="preserve">Geo:EMEA_Network:search_Type:non-brand_Objective:conversion_Channel:Google_Date:20251125</t>
  </si>
  <si>
    <t xml:space="preserve">Geo:US_Network:search_Type:non-brand_Objective:conversion_Channel:Google_Date:20251008</t>
  </si>
  <si>
    <t xml:space="preserve">Geo:US-CA_Network:search_Type:non-brand_Objective:conversion_Channel:Google_Date:20260114</t>
  </si>
  <si>
    <t xml:space="preserve">Geo:US-South-Central_Network:search_Type:non-brand_Objective:unknown_Channel:Google_Date:20260115</t>
  </si>
  <si>
    <t xml:space="preserve">Geo:US-East-Coast_Network:search_Type:non-brand_Objective:unknown_Channel:Google_Date:20260114</t>
  </si>
  <si>
    <t xml:space="preserve">Geo:NA_Channel:GoogleAds_Network:search_Type:non-brand_Goal:leads_Date:20260813</t>
  </si>
  <si>
    <t xml:space="preserve">Geo:FR_Network:search_Type:non-brand_Objective:conversion_Channel:Google_Date:20260114</t>
  </si>
  <si>
    <t xml:space="preserve">Geo:UK_Network:search_Type:non-brand_Objective:conversion_Channel:Google_Date:20260114</t>
  </si>
  <si>
    <t xml:space="preserve">Geo:EMEA_Channel:GoogleAds_Network:search_Type:non-brand_Goal:leads_Date:20260813</t>
  </si>
  <si>
    <t xml:space="preserve">New York_EN_Search_Conversions</t>
  </si>
  <si>
    <t xml:space="preserve">Florida_EN_Search_Conversions</t>
  </si>
  <si>
    <t xml:space="preserve">Geo:NA_Network:pmax_Objective:conversion_Channel:Google_Date:20260608</t>
  </si>
  <si>
    <t xml:space="preserve">PNP_EMEA_YouTubeVideo_VideoViews</t>
  </si>
  <si>
    <t xml:space="preserve">PNP_US_YouTubeVideo_VideoViews</t>
  </si>
  <si>
    <t xml:space="preserve">Texas_EN_Search_Conversions</t>
  </si>
  <si>
    <t xml:space="preserve">Geo:IT_Network:search_Type:non-brand_Objective:conversion_Channel:Google_Date:20260114</t>
  </si>
  <si>
    <t xml:space="preserve">New Jersey_EN_Search_Conversions</t>
  </si>
  <si>
    <t xml:space="preserve">Geo:SA_Network:search_Type:non-brand_Objective:conversion_Channel:Google_Date:20260114</t>
  </si>
  <si>
    <t xml:space="preserve">Arizona_EN_Search_Conversions</t>
  </si>
  <si>
    <t xml:space="preserve">Geo:US-SV_Network:search_Type:coworking-startup_Objective:lead_Channel:Google_Date:20230530</t>
  </si>
  <si>
    <t xml:space="preserve">EMEA_EN_DC_PMax_Quiz</t>
  </si>
  <si>
    <t xml:space="preserve">US_EN_DC_PMax_Quiz</t>
  </si>
  <si>
    <t xml:space="preserve">EMEA_EN_YouTubeVideo_VideoViews</t>
  </si>
  <si>
    <t xml:space="preserve">USCA_EN_YouTubeVideo_VideoViews</t>
  </si>
  <si>
    <t xml:space="preserve">YT | PSS | US | Pepsi Campaign</t>
  </si>
  <si>
    <t xml:space="preserve">USCA_EN_Search_Brand</t>
  </si>
  <si>
    <t xml:space="preserve">TX_EN_YouTubeVideo_McKinney Success Story</t>
  </si>
  <si>
    <t xml:space="preserve">FL_EN_YouTubeVideo_Lake Nova</t>
  </si>
  <si>
    <t xml:space="preserve">TX_EN_DemandGen_YouTubeVideo_JTP</t>
  </si>
  <si>
    <t xml:space="preserve">EMEA_EN_Search_Brand</t>
  </si>
  <si>
    <t xml:space="preserve">Global US_EN_YT</t>
  </si>
  <si>
    <t xml:space="preserve">FL_EN_DemandGen_YouTubeVideo_JTP</t>
  </si>
  <si>
    <t xml:space="preserve">US_YT_Universities</t>
  </si>
  <si>
    <t xml:space="preserve">Global EMEA_EN_YT</t>
  </si>
  <si>
    <t xml:space="preserve">EMEA_YT_Universities</t>
  </si>
  <si>
    <t xml:space="preserve">Geo:EMEA_Network:pmax_Objective:lead_Date:20260819</t>
  </si>
  <si>
    <t xml:space="preserve">Geo:US-UK-FR-IT_Channel:YouTube_Network:YouTube_Objective:views_Date:20260928</t>
  </si>
  <si>
    <t xml:space="preserve">Test 1</t>
  </si>
  <si>
    <t xml:space="preserve">How market and region were set: from the location code in the campaign name (e.g. 'Geo:EMEA', 'Geo:FR', 'Texas_EN_…'). Geo:SA = Middle East (Saudi Arabia), as in the 2026/09 location file; Geo:NA = US &amp; Canada; 'Geo:US-UK-FR-IT', 'WW' and 'All' = Worldwide. 'Test 1' (ChatGPT) has no location in its name.</t>
  </si>
  <si>
    <t xml:space="preserve">Agency weekly reports (Notion) – as written, with the issues found</t>
  </si>
  <si>
    <t xml:space="preserve">Source: the agency's weekly reports in Notion, read on 13 Oct 2026 (nothing edited). Spend, leads and CPL are copied as the agency wrote them; lead definitions change over the year, so leads and CPL are not comparable week to week. The official spend numbers are the platform exports.</t>
  </si>
  <si>
    <t xml:space="preserve">WEEK BY WEEK</t>
  </si>
  <si>
    <t xml:space="preserve">Week starts</t>
  </si>
  <si>
    <t xml:space="preserve">Week ends</t>
  </si>
  <si>
    <t xml:space="preserve">Meta spend (agency, $)</t>
  </si>
  <si>
    <t xml:space="preserve">Meta leads (agency)</t>
  </si>
  <si>
    <t xml:space="preserve">Meta lead definition</t>
  </si>
  <si>
    <t xml:space="preserve">Meta CPL (agency)</t>
  </si>
  <si>
    <t xml:space="preserve">Google spend (agency, as written)</t>
  </si>
  <si>
    <t xml:space="preserve">Google currency (as written)</t>
  </si>
  <si>
    <t xml:space="preserve">Google leads (agency)</t>
  </si>
  <si>
    <t xml:space="preserve">Google CPL (agency)</t>
  </si>
  <si>
    <t xml:space="preserve">Issues found</t>
  </si>
  <si>
    <t xml:space="preserve">What the agency did or recommended</t>
  </si>
  <si>
    <t xml:space="preserve">Meta – platform, same week (USD)</t>
  </si>
  <si>
    <t xml:space="preserve">Google – platform, same week (EUR)</t>
  </si>
  <si>
    <t xml:space="preserve">Meta: agency − platform</t>
  </si>
  <si>
    <t xml:space="preserve">Numbers only in chart images (CPL readable, spend not).</t>
  </si>
  <si>
    <t xml:space="preserve">Paused the Health ad set on Meta EMEA. Next: prepare the location strategy, launch a Meta retargeting campaign for job-application (JTP) conversions, build a PMax asset group from the Quantum ad.</t>
  </si>
  <si>
    <t xml:space="preserve">Added Meta JTP retargeting campaigns, which pushed CPL up. Google EMEA non-brand dropped while PMax and Brand rose. Plan: agree and start the new geo structure.</t>
  </si>
  <si>
    <t xml:space="preserve">New Google structure live; EMEA location campaigns had no leads yet. Meta being restructured for the geo strategy. Paused the Health push in USCA.</t>
  </si>
  <si>
    <t xml:space="preserve">Spend down 15% WoW due to the new structure. Splitting California out of USCA hurt Meta. Google pushed new locations: more spend, no extra leads.</t>
  </si>
  <si>
    <t xml:space="preserve">Google CPL rose as spend moved from PMax to Search. NY, NJ, AZ, IN and Washington had no leads. Quantum was the top Meta ad.</t>
  </si>
  <si>
    <t xml:space="preserve">$</t>
  </si>
  <si>
    <t xml:space="preserve">$102</t>
  </si>
  <si>
    <t xml:space="preserve">Google clicks up 188% but CR fell; US campaigns underperformed. Meta Spanish Grid ads lowered CPL. Plan: increase spend in all regions.</t>
  </si>
  <si>
    <t xml:space="preserve">leads</t>
  </si>
  <si>
    <t xml:space="preserve">$16.52</t>
  </si>
  <si>
    <t xml:space="preserve">$70</t>
  </si>
  <si>
    <t xml:space="preserve">Meta spend only given as "$7k" in the text.</t>
  </si>
  <si>
    <t xml:space="preserve">Meta location campaigns launched Thursday; spend jumped. Broader Google keywords added; some locations underspending (may move to Max Clicks).</t>
  </si>
  <si>
    <t xml:space="preserve">Leads</t>
  </si>
  <si>
    <t xml:space="preserve">$20.70</t>
  </si>
  <si>
    <t xml:space="preserve">$85.33</t>
  </si>
  <si>
    <t xml:space="preserve">Both Google Global search campaigns budget-limited; agency asks to move budget "even if out of plan". Indiana the worst Meta location.</t>
  </si>
  <si>
    <t xml:space="preserve">$25.61</t>
  </si>
  <si>
    <t xml:space="preserve">$66.65</t>
  </si>
  <si>
    <t xml:space="preserve">Google YouTube campaigns ended. Search improved but Global still budget-limited. Meta CPM rose across campaigns.</t>
  </si>
  <si>
    <t xml:space="preserve">$23.06</t>
  </si>
  <si>
    <t xml:space="preserve">$49.63</t>
  </si>
  <si>
    <t xml:space="preserve">Own report has no spend; figures as restated in the W/C 23 Mar report.</t>
  </si>
  <si>
    <t xml:space="preserve">Tightened Google targets in some locations; added broad keywords in UK, France, Texas. Agency asks to use HubSpot as Google's conversion source.</t>
  </si>
  <si>
    <t xml:space="preserve">$27.52</t>
  </si>
  <si>
    <t xml:space="preserve">$50.27</t>
  </si>
  <si>
    <t xml:space="preserve">Google spend raised after better in-platform results. Large Google vs HubSpot gap flagged. NY, NJ and AZ Meta campaigns worsening.</t>
  </si>
  <si>
    <t xml:space="preserve">$28.05</t>
  </si>
  <si>
    <t xml:space="preserve">$106.63</t>
  </si>
  <si>
    <t xml:space="preserve">Own report has no spend. Google restated twice: $2,696.09 / 25 leads (W/C 23 Mar report) and $4,681.38 / 50.57 (W/C 6 Apr report).</t>
  </si>
  <si>
    <t xml:space="preserve">Google Global EMEA at 0 leads despite a 60% spend cut; under review. Demand Gen running in Texas and Florida. Meta "All" campaigns refresh planned.</t>
  </si>
  <si>
    <t xml:space="preserve">$22.87</t>
  </si>
  <si>
    <t xml:space="preserve">$121.75</t>
  </si>
  <si>
    <t xml:space="preserve">Meta spend pulled back 32%. Google keeps losing leads while it expands search terms.</t>
  </si>
  <si>
    <t xml:space="preserve">$23.83</t>
  </si>
  <si>
    <t xml:space="preserve">$109.76</t>
  </si>
  <si>
    <t xml:space="preserve">Meta spend down 20.6%. Google CPL improved after keyword expansion and new negatives.</t>
  </si>
  <si>
    <t xml:space="preserve">Welcome Conversions</t>
  </si>
  <si>
    <t xml:space="preserve">$25.16 (Cost Per Welcome)</t>
  </si>
  <si>
    <t xml:space="preserve">$93.96 (CPA)</t>
  </si>
  <si>
    <t xml:space="preserve">Google looks doubled: the W/C 13 Apr report shows $1,923.09 for this week.</t>
  </si>
  <si>
    <t xml:space="preserve">Added the keywords provided to Search, no impact yet. Flags two HubSpot reports disagreeing (6 vs 28 April contacts). Plan: force regional budget split, expand keywords, manual-bid and AI Max experiments.</t>
  </si>
  <si>
    <t xml:space="preserve">Welcome Conv</t>
  </si>
  <si>
    <t xml:space="preserve">$25.55 (Cost/Welcome)</t>
  </si>
  <si>
    <t xml:space="preserve">$43.12</t>
  </si>
  <si>
    <t xml:space="preserve">Gap to HubSpot narrowed after an access issue was fixed. Google better in EMEA than USCA.</t>
  </si>
  <si>
    <t xml:space="preserve">$29.30</t>
  </si>
  <si>
    <t xml:space="preserve">$95.81</t>
  </si>
  <si>
    <t xml:space="preserve">Report is labelled 21 Apr (a Tuesday); exact window unclear.</t>
  </si>
  <si>
    <t xml:space="preserve">Meta leads fell after spend adjustments. Google CPL spiked (California, Global US, PMax stopped converting). Plan: cap California and Global US, review tracking, cap Quantum.</t>
  </si>
  <si>
    <t xml:space="preserve">$31.98</t>
  </si>
  <si>
    <t xml:space="preserve">$119.79</t>
  </si>
  <si>
    <t xml:space="preserve">HubSpot shows 143 Google leads vs 20 tracked; report asks a colleague whether tracking changed. Plan: review Google tracking, launch a JTP PMax, deep-dive US Meta structure.</t>
  </si>
  <si>
    <t xml:space="preserve">$34.59</t>
  </si>
  <si>
    <t xml:space="preserve">$68.99</t>
  </si>
  <si>
    <t xml:space="preserve">Cut California Google spend and narrowed keywords. Meta spend reduced due to rising CPMs. Zero-lead areas noted (NY, TX, FL).</t>
  </si>
  <si>
    <t xml:space="preserve">Leads (actions_lead)</t>
  </si>
  <si>
    <t xml:space="preserve">38.01</t>
  </si>
  <si>
    <t xml:space="preserve">none shown</t>
  </si>
  <si>
    <t xml:space="preserve">39.78</t>
  </si>
  <si>
    <t xml:space="preserve">Google spend, impressions and clicks look doubled (about 2× what later reports show). No currency symbol shown.</t>
  </si>
  <si>
    <t xml:space="preserve">In-platform results efficient, but HubSpot shows 16 Paid Search contacts vs 27 the week before.</t>
  </si>
  <si>
    <t xml:space="preserve">Welcome Convs</t>
  </si>
  <si>
    <t xml:space="preserve">$37.95</t>
  </si>
  <si>
    <t xml:space="preserve">$66.50</t>
  </si>
  <si>
    <t xml:space="preserve">UK Google at 0 conversions despite more spend. Meta AICOI ad takes a large share of spend at high CPL.</t>
  </si>
  <si>
    <t xml:space="preserve">49.65</t>
  </si>
  <si>
    <t xml:space="preserve">144.11</t>
  </si>
  <si>
    <t xml:space="preserve">Google spend, impressions and clicks look doubled (about 2× what later reports show).</t>
  </si>
  <si>
    <t xml:space="preserve">Launched two top-of-funnel YouTube campaigns (EMEA, US), inflating impressions. Meta drop in US, California, EMEA prospecting. Monitoring France.</t>
  </si>
  <si>
    <t xml:space="preserve">$34.76</t>
  </si>
  <si>
    <t xml:space="preserve">$110.63</t>
  </si>
  <si>
    <t xml:space="preserve">Meta CPL down 25.3%; Google leads doubled. A Meta restructure proposal (CBO vs value rules) sits under this report.</t>
  </si>
  <si>
    <t xml:space="preserve">$36.30</t>
  </si>
  <si>
    <t xml:space="preserve">$79.79</t>
  </si>
  <si>
    <t xml:space="preserve">Meta spend cut 15.1%. HubSpot tables missing that week.</t>
  </si>
  <si>
    <t xml:space="preserve">Leads (welcome conv.)</t>
  </si>
  <si>
    <t xml:space="preserve">$29.69</t>
  </si>
  <si>
    <t xml:space="preserve">$78.82</t>
  </si>
  <si>
    <t xml:space="preserve">Major Meta restructure into US region CBOs (16–17 Jun) plus job-title expansion. Google search-term clean-ups paused 189 then 60 keywords. New USCA PMax at $20/day.</t>
  </si>
  <si>
    <t xml:space="preserve">$50.49</t>
  </si>
  <si>
    <t xml:space="preserve">$77.72</t>
  </si>
  <si>
    <t xml:space="preserve">Meta CPL +70% after a drop on 23 Jun. US-East-Coast and US-South-Central Search each spent over $500 with little or no lead generation.</t>
  </si>
  <si>
    <t xml:space="preserve">$28.35</t>
  </si>
  <si>
    <t xml:space="preserve">$87.10</t>
  </si>
  <si>
    <t xml:space="preserve">Google volume dropped, mainly US-CA PMax. Meta leads roughly doubled. Plan: consolidate EMEA into three regions, update PMax asset groups.</t>
  </si>
  <si>
    <t xml:space="preserve">(not shown)</t>
  </si>
  <si>
    <t xml:space="preserve">$166.87 (summary text)</t>
  </si>
  <si>
    <t xml:space="preserve">Google split in the report: Search/Other $1,985.63 + YouTube $517.43.</t>
  </si>
  <si>
    <t xml:space="preserve">Google CPL spiked as budget went to non-converting YouTube video-view campaigns. New videos good for clicks.</t>
  </si>
  <si>
    <t xml:space="preserve">Leads (welcome conversions per summary)</t>
  </si>
  <si>
    <t xml:space="preserve">$37.08</t>
  </si>
  <si>
    <t xml:space="preserve">$199.09</t>
  </si>
  <si>
    <t xml:space="preserve">New Meta merged campaign (9 Jul) and new ads. Google conversions fell 4th week; reverting the keyword clean-up. Italy flagged ($465 for 1 lead).</t>
  </si>
  <si>
    <t xml:space="preserve">Leads (welcome event not recording)</t>
  </si>
  <si>
    <t xml:space="preserve">— ⚠</t>
  </si>
  <si>
    <t xml:space="preserve">$345.84 ⚠</t>
  </si>
  <si>
    <t xml:space="preserve">Report says its figures are USD converted from EUR at ≈1.14. Welcome event not recording: leads unreliable.</t>
  </si>
  <si>
    <t xml:space="preserve">Welcome conversion event stopped recording on both channels. Traffic campaign relaunched 23 Jul. Google weeks restated upward. Plan (urgent): fix tracking, add HubSpot event tracking.</t>
  </si>
  <si>
    <t xml:space="preserve">$70.00</t>
  </si>
  <si>
    <t xml:space="preserve">$436.24</t>
  </si>
  <si>
    <t xml:space="preserve">Google figure restated in later reports ($2,951.33 / $2,951).</t>
  </si>
  <si>
    <t xml:space="preserve">Tracking still limited. Proposes rebuilding Google: aggregated Search, revived PMax by region, YouTube revamp.</t>
  </si>
  <si>
    <t xml:space="preserve">Leads (proxy – standard Lead event)</t>
  </si>
  <si>
    <t xml:space="preserve">$47.68</t>
  </si>
  <si>
    <t xml:space="preserve">$164.65</t>
  </si>
  <si>
    <t xml:space="preserve">Meta pulled back with no tracking; Feb EMEA ABO switched off. Google restructure set for 11 Aug. Top priority: client web team to fix welcome landing-page templates.</t>
  </si>
  <si>
    <t xml:space="preserve">Welcome conversions</t>
  </si>
  <si>
    <t xml:space="preserve">$25.86 (Cost per welcome)</t>
  </si>
  <si>
    <t xml:space="preserve">$137.60 (Cost per welcome)</t>
  </si>
  <si>
    <t xml:space="preserve">Google figure restated in a later report ($2,151.76).</t>
  </si>
  <si>
    <t xml:space="preserve">Tracking recovered 11 Aug. Google restructured 13 Aug into two non-brand Search campaigns at €147.40/day each. Budgets for PP-345 halved, PP-324 cut 70%.</t>
  </si>
  <si>
    <t xml:space="preserve">$12.13</t>
  </si>
  <si>
    <t xml:space="preserve">$35.08</t>
  </si>
  <si>
    <t xml:space="preserve">Best lead week. Google spend cut 41.9% on purpose. YouTube flagged as branding inside the lead-gen budget.</t>
  </si>
  <si>
    <t xml:space="preserve">Leads (welcome conversions)</t>
  </si>
  <si>
    <t xml:space="preserve">$12.99</t>
  </si>
  <si>
    <t xml:space="preserve">$17.46</t>
  </si>
  <si>
    <t xml:space="preserve">HubSpot shows fewer Paid Search contacts; agency to check Google tracking. 51% of Google spend has no country label (raise with Windsor).</t>
  </si>
  <si>
    <t xml:space="preserve">$11.91</t>
  </si>
  <si>
    <t xml:space="preserve">$20.25</t>
  </si>
  <si>
    <t xml:space="preserve">Meta CPL $11.91 vs $10 North Star. Plan: launch AI Max, review the Saudi Search campaign.</t>
  </si>
  <si>
    <t xml:space="preserve">$12.09</t>
  </si>
  <si>
    <t xml:space="preserve">$25.59</t>
  </si>
  <si>
    <t xml:space="preserve">Meta figure excludes FR_Alibaba (run by PnP's internal team).</t>
  </si>
  <si>
    <t xml:space="preserve">NA non-brand Search collapsed. PMax paused for review. PP-257 the main lead driver. Plan: budget management.</t>
  </si>
  <si>
    <t xml:space="preserve">$11.71</t>
  </si>
  <si>
    <t xml:space="preserve">$127.13</t>
  </si>
  <si>
    <t xml:space="preserve">Meta excludes FR_Alibaba. Later reports show the Google figure as €1,907.</t>
  </si>
  <si>
    <t xml:space="preserve">Meta spend dropped in the last 3 days; cause being checked. Google goal switched to HubSpot qualified leads only. Target CPA removed on NA Search; spend jumped until budgets cut 19 Sep.</t>
  </si>
  <si>
    <t xml:space="preserve">$10.79</t>
  </si>
  <si>
    <t xml:space="preserve">€</t>
  </si>
  <si>
    <t xml:space="preserve">€76.81</t>
  </si>
  <si>
    <t xml:space="preserve">Meta excludes FR_Alibaba. Google now explicitly in € (account currency).</t>
  </si>
  <si>
    <t xml:space="preserve">Agreed budget cut: Meta $310/day to $160/day (from 18 Sep); Google cut 19 and 21 Sep. Plan: launch new YouTube campaign, pause PP-266.</t>
  </si>
  <si>
    <t xml:space="preserve">$12.85</t>
  </si>
  <si>
    <t xml:space="preserve">€46.50</t>
  </si>
  <si>
    <t xml:space="preserve">Meta excludes FR_Alibaba.</t>
  </si>
  <si>
    <t xml:space="preserve">Meta budgets held at $160/day. Both Google Search campaigns heavily budget-limited.</t>
  </si>
  <si>
    <t xml:space="preserve">€27.75</t>
  </si>
  <si>
    <t xml:space="preserve">Google CPL fell to €27.75. Plan: check channel vs HubSpot discrepancy, pause PP-266, judge case-study statics launched 8 Oct.</t>
  </si>
  <si>
    <t xml:space="preserve">Platform columns fill in once daily platform exports are pasted in the data tabs (they only use daily rows).</t>
  </si>
  <si>
    <t xml:space="preserve">WHAT THE AGENCY SAID IN TOTAL vs. THE PLATFORM EXPORTS</t>
  </si>
  <si>
    <t xml:space="preserve">Period</t>
  </si>
  <si>
    <t xml:space="preserve">What the agency wrote</t>
  </si>
  <si>
    <t xml:space="preserve">Agency figure ($)</t>
  </si>
  <si>
    <t xml:space="preserve">Platform – Meta (USD)</t>
  </si>
  <si>
    <t xml:space="preserve">Platform – Google (EUR)</t>
  </si>
  <si>
    <t xml:space="preserve">Agency − platform</t>
  </si>
  <si>
    <t xml:space="preserve">Difference</t>
  </si>
  <si>
    <t xml:space="preserve">February 2026</t>
  </si>
  <si>
    <t xml:space="preserve">"We've spent $38,762 last month" (2026 February monthly)</t>
  </si>
  <si>
    <t xml:space="preserve">Close to the platforms, but not equal.</t>
  </si>
  <si>
    <t xml:space="preserve">April 2026 – Meta</t>
  </si>
  <si>
    <t xml:space="preserve">Meta spend $24,586.06 (July monthly report, April–June comparison)</t>
  </si>
  <si>
    <t xml:space="preserve">Higher than Meta's own figure for April.</t>
  </si>
  <si>
    <t xml:space="preserve">April 2026 – Google</t>
  </si>
  <si>
    <t xml:space="preserve">Google $11,420.33 (July monthly report)</t>
  </si>
  <si>
    <t xml:space="preserve">Equals Google's euros × 1.28 (a £→$ rate).</t>
  </si>
  <si>
    <t xml:space="preserve">May 2026 – Meta</t>
  </si>
  <si>
    <t xml:space="preserve">Meta spend $22,276.50 (July monthly report)</t>
  </si>
  <si>
    <t xml:space="preserve">Matches Meta.</t>
  </si>
  <si>
    <t xml:space="preserve">May 2026 – Google</t>
  </si>
  <si>
    <t xml:space="preserve">Google $13,815.37 (July monthly report)</t>
  </si>
  <si>
    <t xml:space="preserve">Equals Google's euros × 1.28.</t>
  </si>
  <si>
    <t xml:space="preserve">June 2026 – Meta</t>
  </si>
  <si>
    <t xml:space="preserve">Meta spend $17,453.29 (July monthly report)</t>
  </si>
  <si>
    <t xml:space="preserve">June 2026 – Google</t>
  </si>
  <si>
    <t xml:space="preserve">Google $15,982.98 (July monthly report)</t>
  </si>
  <si>
    <t xml:space="preserve">July 2026 – total</t>
  </si>
  <si>
    <t xml:space="preserve">"Total Spend: $34,014.08" (Meta $18,956.66, Google $15,057.42) – July monthly report</t>
  </si>
  <si>
    <t xml:space="preserve">Meta matches; Google = euros × 1.28.</t>
  </si>
  <si>
    <t xml:space="preserve">H1 2026 (Jan–Jun)</t>
  </si>
  <si>
    <t xml:space="preserve">"invested a total of $182,515.62" against a $175,000 H1 target ($350,000 annual) – Client H1 2026 Report</t>
  </si>
  <si>
    <t xml:space="preserve">A second H1 page says $96,486.65, with data only to 24 Mar.</t>
  </si>
  <si>
    <t xml:space="preserve">Platform totals: Meta in USD as billed; Google in EUR as billed and converted with the Settings rate. The agency's July report converted Google with "£1 = $1.28" although the Google Ads account is in euros.</t>
  </si>
  <si>
    <t xml:space="preserve">WEEKLY SPEND AS THE AGENCY REPORTED IT</t>
  </si>
  <si>
    <t xml:space="preserve">Meta in $ as reported (excludes FR_Alibaba from 7 Sep). Google as written: labelled $ before 21 Sep, but later reports show the same numbers in €, so treat them as euros. Weeks without a bar had no spend in the report.</t>
  </si>
  <si>
    <t xml:space="preserve">Settings</t>
  </si>
  <si>
    <t xml:space="preserve">Yellow cells are the only ones to change. The rest of the workbook updates from them.</t>
  </si>
  <si>
    <t xml:space="preserve">REPORT</t>
  </si>
  <si>
    <t xml:space="preserve">Platform data up to (last day included)</t>
  </si>
  <si>
    <t xml:space="preserve">The last day you pasted platform data for (usually last Sunday).</t>
  </si>
  <si>
    <t xml:space="preserve">Show amounts in</t>
  </si>
  <si>
    <t xml:space="preserve">USD</t>
  </si>
  <si>
    <t xml:space="preserve">USD (how PnP talks about budget) or EUR. Every tab switches.</t>
  </si>
  <si>
    <t xml:space="preserve">BUDGET 2026</t>
  </si>
  <si>
    <t xml:space="preserve">Budget status</t>
  </si>
  <si>
    <t xml:space="preserve">Confirmed by Tereza on 13 Oct 2026: $300k for 2026 (originally $350k). We can go up to $320k, ideally not more.</t>
  </si>
  <si>
    <t xml:space="preserve">Budget period starts</t>
  </si>
  <si>
    <t xml:space="preserve">Budget period ends</t>
  </si>
  <si>
    <t xml:space="preserve">Year (calculated)</t>
  </si>
  <si>
    <t xml:space="preserve">Week 1 starts on (calculated)</t>
  </si>
  <si>
    <t xml:space="preserve">Weeks run Monday to Sunday.</t>
  </si>
  <si>
    <t xml:space="preserve">Budget line</t>
  </si>
  <si>
    <t xml:space="preserve">Currency</t>
  </si>
  <si>
    <t xml:space="preserve">In report currency</t>
  </si>
  <si>
    <t xml:space="preserve">Annual budget</t>
  </si>
  <si>
    <t xml:space="preserve">Confirmed by Tereza, 13 Oct 2026.</t>
  </si>
  <si>
    <t xml:space="preserve">"We can spend up to 320k this year, ideally not more."</t>
  </si>
  <si>
    <t xml:space="preserve">Original budget</t>
  </si>
  <si>
    <t xml:space="preserve">Reduced because performance wasn't good enough (Tereza).</t>
  </si>
  <si>
    <t xml:space="preserve">CHANNELS</t>
  </si>
  <si>
    <t xml:space="preserve">Counts toward the budget?</t>
  </si>
  <si>
    <t xml:space="preserve">Yes</t>
  </si>
  <si>
    <t xml:space="preserve">Includes FR_Alibaba (run by PnP's internal team) – confirm it belongs in this budget.</t>
  </si>
  <si>
    <t xml:space="preserve">EUR</t>
  </si>
  <si>
    <t xml:space="preserve">To confirm with Tereza.</t>
  </si>
  <si>
    <t xml:space="preserve">No spend in 2026. Billing currency to check.</t>
  </si>
  <si>
    <t xml:space="preserve">EXCHANGE RATE – EUR TO USD</t>
  </si>
  <si>
    <t xml:space="preserve">1 EUR = ? USD</t>
  </si>
  <si>
    <t xml:space="preserve">Source</t>
  </si>
  <si>
    <t xml:space="preserve">Live rate on 13 Oct 2026 (from Felipe). Replace with Finance's monthly rates if they use them.</t>
  </si>
  <si>
    <t xml:space="preserve">Same as above</t>
  </si>
  <si>
    <t xml:space="preserve">Average</t>
  </si>
  <si>
    <t xml:space="preserve">The 90k (Google) and 180k (Meta) figures Raúl mentioned were what had been spent so far this year, not budgets (Tereza, 13 Oct 2026). Google was €89.7k and Meta $178.1k at 30 Sep.</t>
  </si>
  <si>
    <t xml:space="preserve">Each spend row is converted with the rate of its month. Budget lines in another currency use the average rate.</t>
  </si>
  <si>
    <t xml:space="preserve">How to update this tracker</t>
  </si>
  <si>
    <t xml:space="preserve">EVERY MONDAY (about 15 minutes)</t>
  </si>
  <si>
    <t xml:space="preserve">1</t>
  </si>
  <si>
    <t xml:space="preserve">Google Ads → Reports → open the saved report 'PnP spend tracker' (Campaign × Day: Cost, Impr., Clicks, Conversions). Date range: last week (Mon–Sun). Download as CSV.</t>
  </si>
  <si>
    <t xml:space="preserve">2</t>
  </si>
  <si>
    <t xml:space="preserve">Copy the rows (without the header) and paste them under the last row of the 'Google data' tab, starting in column A. Leave column G (Row type) empty.</t>
  </si>
  <si>
    <t xml:space="preserve">3</t>
  </si>
  <si>
    <t xml:space="preserve">Meta Ads Manager → Campaigns → same date range → Breakdown: By time → Day → saved columns 'PnP spend tracker' (Campaign name, Amount spent, Impressions, Link clicks, Website registrations completed) → Export table data (CSV). Paste under the last row of 'Meta data'.</t>
  </si>
  <si>
    <t xml:space="preserve">4</t>
  </si>
  <si>
    <t xml:space="preserve">If ChatGPT Ads or LinkedIn Ads ran, do the same for their tabs.</t>
  </si>
  <si>
    <t xml:space="preserve">5</t>
  </si>
  <si>
    <t xml:space="preserve">Settings tab → change 'Platform data up to' to last Sunday.</t>
  </si>
  <si>
    <t xml:space="preserve">6</t>
  </si>
  <si>
    <t xml:space="preserve">In the data tabs, column H must show ✓. If it says '⚠ add to Campaigns tab', add that campaign at the bottom of the Campaigns tab with its channel, market, region and type.</t>
  </si>
  <si>
    <t xml:space="preserve">7</t>
  </si>
  <si>
    <t xml:space="preserve">Weekly tab → write 1–2 lines in 'Notes' for the week (launches, pauses, budget changes, anything unusual). Optional: add MQLs by channel from HubSpot.</t>
  </si>
  <si>
    <t xml:space="preserve">8</t>
  </si>
  <si>
    <t xml:space="preserve">Dashboard → check the budget check rows and the forecast. Flag anything red to Raúl.</t>
  </si>
  <si>
    <t xml:space="preserve">ONCE A MONTH (first Monday)</t>
  </si>
  <si>
    <t xml:space="preserve">9</t>
  </si>
  <si>
    <t xml:space="preserve">Check last month's totals on the Monthly tab (columns 'Meta as billed' and 'Google as billed') against the billing pages (Meta: Billing &amp; payments; Google Ads: Billing → Summary).</t>
  </si>
  <si>
    <t xml:space="preserve">10</t>
  </si>
  <si>
    <t xml:space="preserve">If Finance gives monthly EUR→USD rates, put them in the exchange-rate table on the Settings tab.</t>
  </si>
  <si>
    <t xml:space="preserve">ONE-TIME SETUP</t>
  </si>
  <si>
    <t xml:space="preserve">11</t>
  </si>
  <si>
    <t xml:space="preserve">Save the two reports described in steps 1 and 3, with the columns in exactly that order, so every week the export pastes straight in.</t>
  </si>
  <si>
    <t xml:space="preserve">12</t>
  </si>
  <si>
    <t xml:space="preserve">Recommended: export Campaign × Day for 1 Jan – last Sunday once, delete the 'Month total' rows and paste the daily rows, so the Weekly tab shows the whole year from platform data.</t>
  </si>
  <si>
    <t xml:space="preserve">RULES OF THE WORKBOOK</t>
  </si>
  <si>
    <t xml:space="preserve">•</t>
  </si>
  <si>
    <t xml:space="preserve">Yellow cells = typed by you. White cells = formulas; don't type over them.</t>
  </si>
  <si>
    <t xml:space="preserve">Paste spend exactly as each platform bills it (Meta in USD, Google Ads and ChatGPT Ads in EUR). The workbook converts.</t>
  </si>
  <si>
    <t xml:space="preserve">Never paste the same week twice. If you need to redo a week, delete its rows in the data tab first.</t>
  </si>
  <si>
    <t xml:space="preserve">SOURCES AND NOTES</t>
  </si>
  <si>
    <t xml:space="preserve">Platform data: Meta ('Plug and Play Tech Center – Dollars' ad account, USD) and Google Ads (EUR) exports by campaign and month, 1 Jan – 30 Sep 2026, exported 8 Oct 2026; each month is one 'Month total' row per campaign. ChatGPT Ads: 'Test 1', 23 Sep – 2 Oct 2026, €229.56 in total, put on its start date.</t>
  </si>
  <si>
    <t xml:space="preserve">Agency figures: the agency's weekly reports in Notion (W/C 29 Dec 2025 – 5 Oct 2026), read with Claude in Chrome on 13 Oct 2026, copied as written.</t>
  </si>
  <si>
    <t xml:space="preserve">Budget: Tereza, 13 Oct 2026 – $300k for 2026 (originally $350k), up to $320k at most. Exchange rate: 1 EUR = 1.1177 USD (live rate on 13 Oct 2026).</t>
  </si>
  <si>
    <t xml:space="preserve">Meta Ads – daily spend by campaign, as billed (USD) — paste each week's export under the last row (columns A–F only).</t>
  </si>
  <si>
    <t xml:space="preserve">Date</t>
  </si>
  <si>
    <t xml:space="preserve">Spend (USD)</t>
  </si>
  <si>
    <t xml:space="preserve">Impressions</t>
  </si>
  <si>
    <t xml:space="preserve">Row type</t>
  </si>
  <si>
    <t xml:space="preserve">In campaign list?</t>
  </si>
  <si>
    <t xml:space="preserve">Columns A–F, in this order: Day · Campaign name · Amount spent · Impressions · Link clicks · Website registrations completed</t>
  </si>
  <si>
    <t xml:space="preserve">Month total</t>
  </si>
  <si>
    <t xml:space="preserve">Row type: leave empty for daily rows. 'Month total' marks the Jan–Sep history (one row per campaign per month); if you ever paste daily rows for those months, delete their 'Month total' rows first.</t>
  </si>
  <si>
    <t xml:space="preserve">Google Ads – daily spend by campaign, as billed (EUR) — paste each week's export under the last row (columns A–F only).</t>
  </si>
  <si>
    <t xml:space="preserve">Spend (EUR)</t>
  </si>
  <si>
    <t xml:space="preserve">Columns A–F, in this order: Day · Campaign · Cost · Impr. · Clicks · Conversions</t>
  </si>
  <si>
    <t xml:space="preserve">ChatGPT Ads – daily spend by campaign, as billed (EUR) — paste each week's export under the last row (columns A–F only).</t>
  </si>
  <si>
    <t xml:space="preserve">Columns A–F, in this order: date · campaign_name · spend · impressions · clicks · conversions</t>
  </si>
  <si>
    <t xml:space="preserve">LinkedIn Ads – daily spend by campaign, as billed — paste each week's export under the last row (columns A–F only).</t>
  </si>
  <si>
    <t xml:space="preserve">Columns A–F, in this order: Start date · Campaign name · Total spent · Impressions · Clicks · Conversions</t>
  </si>
  <si>
    <t xml:space="preserve">Calculations used by the Dashboard – don't edit</t>
  </si>
  <si>
    <t xml:space="preserve">Shown so every Dashboard number can be checked.</t>
  </si>
  <si>
    <t xml:space="preserve">Platform data up to</t>
  </si>
  <si>
    <t xml:space="preserve">Days in budget period</t>
  </si>
  <si>
    <t xml:space="preserve">Days gone (up to the data date)</t>
  </si>
  <si>
    <t xml:space="preserve">Days left</t>
  </si>
  <si>
    <t xml:space="preserve">Share of the period gone</t>
  </si>
  <si>
    <t xml:space="preserve">Last full month ends</t>
  </si>
  <si>
    <t xml:space="preserve">Last full month starts</t>
  </si>
  <si>
    <t xml:space="preserve">Last 3 full months start</t>
  </si>
  <si>
    <t xml:space="preserve">Last full week ends (Sunday)</t>
  </si>
  <si>
    <t xml:space="preserve">Last full week starts (Monday)</t>
  </si>
  <si>
    <t xml:space="preserve">Last 3 full weeks start</t>
  </si>
  <si>
    <t xml:space="preserve">Weeks left</t>
  </si>
  <si>
    <t xml:space="preserve">Days in last full month</t>
  </si>
  <si>
    <t xml:space="preserve">Spent to date</t>
  </si>
  <si>
    <t xml:space="preserve">Spent last full month</t>
  </si>
  <si>
    <t xml:space="preserve">Spent last 3 full months</t>
  </si>
  <si>
    <t xml:space="preserve">Spent last full week (daily rows)</t>
  </si>
  <si>
    <t xml:space="preserve">Spent last 3 full weeks (daily rows)</t>
  </si>
  <si>
    <t xml:space="preserve">Total – counts toward budget</t>
  </si>
  <si>
    <t xml:space="preserve">Spent to date (budget channels)</t>
  </si>
  <si>
    <t xml:space="preserve">Left in the budget</t>
  </si>
  <si>
    <t xml:space="preserve">Left up to the maximum</t>
  </si>
  <si>
    <t xml:space="preserve">% of maximum used</t>
  </si>
  <si>
    <t xml:space="preserve">Should have spent by now (budget spread evenly by day)</t>
  </si>
  <si>
    <t xml:space="preserve">Ahead (+) / behind (−) that even pace</t>
  </si>
  <si>
    <t xml:space="preserve">Weekly pace – platform, last 3 full weeks (budget channels)</t>
  </si>
  <si>
    <t xml:space="preserve">Weekly pace – agency reports, last 3 clean weeks</t>
  </si>
  <si>
    <t xml:space="preserve">Current weekly pace used</t>
  </si>
  <si>
    <t xml:space="preserve">Source of the current pace</t>
  </si>
  <si>
    <t xml:space="preserve">Agency weeks used</t>
  </si>
  <si>
    <t xml:space="preserve">Forecast year-end at the current pace</t>
  </si>
  <si>
    <t xml:space="preserve">Allowed per week to land on the budget</t>
  </si>
  <si>
    <t xml:space="preserve">Allowed per week to land on the maximum</t>
  </si>
  <si>
    <t xml:space="preserve">Last full month (budget channels)</t>
  </si>
  <si>
    <t xml:space="preserve">All spend in the data tabs (any date)</t>
  </si>
  <si>
    <t xml:space="preserve">Forecast year-end at last month's pace</t>
  </si>
  <si>
    <t xml:space="preserve">Last full week, budget channels (daily rows)</t>
  </si>
</sst>
</file>

<file path=xl/styles.xml><?xml version="1.0" encoding="utf-8"?>
<styleSheet xmlns="http://schemas.openxmlformats.org/spreadsheetml/2006/main">
  <numFmts count="17">
    <numFmt numFmtId="164" formatCode="General"/>
    <numFmt numFmtId="165" formatCode="0.0%"/>
    <numFmt numFmtId="166" formatCode="#,##0;\-#,##0;\–"/>
    <numFmt numFmtId="167" formatCode="0%;\-0%;\–"/>
    <numFmt numFmtId="168" formatCode="#,##0"/>
    <numFmt numFmtId="169" formatCode="d\ mmm\ yyyy"/>
    <numFmt numFmtId="170" formatCode="0"/>
    <numFmt numFmtId="171" formatCode="ddd\ d\ mmm"/>
    <numFmt numFmtId="172" formatCode="#,##0.00;\-#,##0.00;\–"/>
    <numFmt numFmtId="173" formatCode="mmm\ yyyy"/>
    <numFmt numFmtId="174" formatCode="0.0000"/>
    <numFmt numFmtId="175" formatCode="d\ mmm"/>
    <numFmt numFmtId="176" formatCode="#,##0.##"/>
    <numFmt numFmtId="177" formatCode="\+0%;\-0%;0%"/>
    <numFmt numFmtId="178" formatCode="yyyy\-mm\-dd"/>
    <numFmt numFmtId="179" formatCode="#,##0.00"/>
    <numFmt numFmtId="180" formatCode="0.00"/>
  </numFmts>
  <fonts count="29">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8"/>
      <color rgb="FF898781"/>
      <name val="Arial"/>
      <family val="0"/>
      <charset val="1"/>
    </font>
    <font>
      <i val="true"/>
      <sz val="9"/>
      <color rgb="FF52514E"/>
      <name val="Arial"/>
      <family val="0"/>
      <charset val="1"/>
    </font>
    <font>
      <b val="true"/>
      <sz val="9"/>
      <color rgb="FF1F3864"/>
      <name val="Arial"/>
      <family val="0"/>
      <charset val="1"/>
    </font>
    <font>
      <b val="true"/>
      <sz val="8"/>
      <color rgb="FF52514E"/>
      <name val="Arial"/>
      <family val="0"/>
      <charset val="1"/>
    </font>
    <font>
      <b val="true"/>
      <sz val="18"/>
      <color rgb="FF0B0B0B"/>
      <name val="Arial"/>
      <family val="0"/>
      <charset val="1"/>
    </font>
    <font>
      <sz val="8"/>
      <color rgb="FF52514E"/>
      <name val="Arial"/>
      <family val="0"/>
      <charset val="1"/>
    </font>
    <font>
      <b val="true"/>
      <sz val="11"/>
      <color rgb="FF1F3864"/>
      <name val="Arial"/>
      <family val="0"/>
      <charset val="1"/>
    </font>
    <font>
      <b val="true"/>
      <sz val="9"/>
      <color rgb="FFFFFFFF"/>
      <name val="Arial"/>
      <family val="0"/>
      <charset val="1"/>
    </font>
    <font>
      <b val="true"/>
      <sz val="10"/>
      <color rgb="FF0B0B0B"/>
      <name val="Arial"/>
      <family val="0"/>
      <charset val="1"/>
    </font>
    <font>
      <sz val="10"/>
      <color rgb="FF0B0B0B"/>
      <name val="Arial"/>
      <family val="0"/>
      <charset val="1"/>
    </font>
    <font>
      <b val="true"/>
      <sz val="9"/>
      <color rgb="FF0B0B0B"/>
      <name val="Arial"/>
      <family val="0"/>
      <charset val="1"/>
    </font>
    <font>
      <sz val="8"/>
      <color rgb="FF0B0B0B"/>
      <name val="Arial"/>
      <family val="0"/>
      <charset val="1"/>
    </font>
    <font>
      <sz val="9"/>
      <color rgb="FF0B0B0B"/>
      <name val="Arial"/>
      <family val="0"/>
      <charset val="1"/>
    </font>
    <font>
      <sz val="10"/>
      <color rgb="FF000000"/>
      <name val="Calibri"/>
      <family val="2"/>
    </font>
    <font>
      <b val="true"/>
      <sz val="16"/>
      <color rgb="FF1F3864"/>
      <name val="Arial"/>
      <family val="0"/>
      <charset val="1"/>
    </font>
    <font>
      <b val="true"/>
      <sz val="9"/>
      <color rgb="FF9A6700"/>
      <name val="Arial"/>
      <family val="0"/>
      <charset val="1"/>
    </font>
    <font>
      <sz val="10"/>
      <color rgb="FF0000FF"/>
      <name val="Arial"/>
      <family val="0"/>
      <charset val="1"/>
    </font>
    <font>
      <sz val="8"/>
      <color rgb="FF0000FF"/>
      <name val="Arial"/>
      <family val="0"/>
      <charset val="1"/>
    </font>
    <font>
      <sz val="10"/>
      <color rgb="FF52514E"/>
      <name val="Arial"/>
      <family val="0"/>
      <charset val="1"/>
    </font>
    <font>
      <b val="true"/>
      <sz val="10"/>
      <color rgb="FFFFFFFF"/>
      <name val="Arial"/>
      <family val="0"/>
      <charset val="1"/>
    </font>
    <font>
      <i val="true"/>
      <sz val="10"/>
      <color rgb="FF0B0B0B"/>
      <name val="Arial"/>
      <family val="0"/>
      <charset val="1"/>
    </font>
    <font>
      <sz val="8"/>
      <color rgb="FFD03B3B"/>
      <name val="Arial"/>
      <family val="0"/>
      <charset val="1"/>
    </font>
    <font>
      <sz val="9"/>
      <color rgb="FF52514E"/>
      <name val="Arial"/>
      <family val="0"/>
      <charset val="1"/>
    </font>
    <font>
      <b val="true"/>
      <sz val="10"/>
      <color rgb="FF1F3864"/>
      <name val="Arial"/>
      <family val="0"/>
      <charset val="1"/>
    </font>
  </fonts>
  <fills count="6">
    <fill>
      <patternFill patternType="none"/>
    </fill>
    <fill>
      <patternFill patternType="gray125"/>
    </fill>
    <fill>
      <patternFill patternType="solid">
        <fgColor rgb="FFE8EEF7"/>
        <bgColor rgb="FFF5F7FA"/>
      </patternFill>
    </fill>
    <fill>
      <patternFill patternType="solid">
        <fgColor rgb="FFF5F7FA"/>
        <bgColor rgb="FFFFFFFF"/>
      </patternFill>
    </fill>
    <fill>
      <patternFill patternType="solid">
        <fgColor rgb="FF1F3864"/>
        <bgColor rgb="FF333399"/>
      </patternFill>
    </fill>
    <fill>
      <patternFill patternType="solid">
        <fgColor rgb="FFFFF2CC"/>
        <bgColor rgb="FFF5F7FA"/>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6" fontId="14" fillId="0" borderId="2" xfId="0" applyFont="true" applyBorder="true" applyAlignment="true" applyProtection="false">
      <alignment horizontal="general" vertical="center" textRotation="0" wrapText="false" indent="0" shrinkToFit="false"/>
      <protection locked="true" hidden="false"/>
    </xf>
    <xf numFmtId="166" fontId="13" fillId="0" borderId="2" xfId="0" applyFont="true" applyBorder="true" applyAlignment="true" applyProtection="false">
      <alignment horizontal="general" vertical="center" textRotation="0" wrapText="false" indent="0" shrinkToFit="false"/>
      <protection locked="true" hidden="false"/>
    </xf>
    <xf numFmtId="167" fontId="13" fillId="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15" fillId="0" borderId="2"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7" fontId="14" fillId="0" borderId="2" xfId="0" applyFont="true" applyBorder="true" applyAlignment="true" applyProtection="false">
      <alignment horizontal="center" vertical="center" textRotation="0" wrapText="false" indent="0" shrinkToFit="false"/>
      <protection locked="true" hidden="false"/>
    </xf>
    <xf numFmtId="166" fontId="14" fillId="0" borderId="2" xfId="0" applyFont="true" applyBorder="true" applyAlignment="true" applyProtection="false">
      <alignment horizontal="right"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general" vertical="center" textRotation="0" wrapText="true" indent="0" shrinkToFit="false"/>
      <protection locked="true" hidden="false"/>
    </xf>
    <xf numFmtId="164" fontId="13" fillId="2" borderId="2" xfId="0" applyFont="true" applyBorder="true" applyAlignment="true" applyProtection="false">
      <alignment horizontal="general" vertical="center" textRotation="0" wrapText="false" indent="0" shrinkToFit="false"/>
      <protection locked="true" hidden="false"/>
    </xf>
    <xf numFmtId="166" fontId="13" fillId="2" borderId="2" xfId="0" applyFont="true" applyBorder="true" applyAlignment="true" applyProtection="false">
      <alignment horizontal="right" vertical="center" textRotation="0" wrapText="false" indent="0" shrinkToFit="false"/>
      <protection locked="true" hidden="false"/>
    </xf>
    <xf numFmtId="167" fontId="13" fillId="2" borderId="2" xfId="0" applyFont="true" applyBorder="tru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66" fontId="13" fillId="2" borderId="2"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9" fontId="5"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70" fontId="13" fillId="0" borderId="2" xfId="0" applyFont="true" applyBorder="true" applyAlignment="true" applyProtection="false">
      <alignment horizontal="center" vertical="center" textRotation="0" wrapText="false" indent="0" shrinkToFit="false"/>
      <protection locked="true" hidden="false"/>
    </xf>
    <xf numFmtId="171" fontId="14" fillId="0" borderId="2" xfId="0" applyFont="true" applyBorder="true" applyAlignment="true" applyProtection="false">
      <alignment horizontal="general" vertical="center" textRotation="0" wrapText="false" indent="0" shrinkToFit="false"/>
      <protection locked="true" hidden="false"/>
    </xf>
    <xf numFmtId="168" fontId="14" fillId="0" borderId="2" xfId="0" applyFont="true" applyBorder="true" applyAlignment="true" applyProtection="false">
      <alignment horizontal="general" vertical="center" textRotation="0" wrapText="false" indent="0" shrinkToFit="false"/>
      <protection locked="true" hidden="false"/>
    </xf>
    <xf numFmtId="172" fontId="14" fillId="0" borderId="2" xfId="0" applyFont="true" applyBorder="true" applyAlignment="true" applyProtection="false">
      <alignment horizontal="general" vertical="center" textRotation="0" wrapText="false" indent="0" shrinkToFit="false"/>
      <protection locked="true" hidden="false"/>
    </xf>
    <xf numFmtId="168" fontId="21" fillId="5" borderId="2" xfId="0" applyFont="true" applyBorder="true" applyAlignment="true" applyProtection="false">
      <alignment horizontal="general" vertical="center" textRotation="0" wrapText="false" indent="0" shrinkToFit="false"/>
      <protection locked="true" hidden="false"/>
    </xf>
    <xf numFmtId="164" fontId="22" fillId="5" borderId="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73" fontId="13" fillId="0" borderId="2" xfId="0" applyFont="true" applyBorder="true" applyAlignment="true" applyProtection="false">
      <alignment horizontal="general" vertical="center" textRotation="0" wrapText="false" indent="0" shrinkToFit="false"/>
      <protection locked="true" hidden="false"/>
    </xf>
    <xf numFmtId="166" fontId="23" fillId="0" borderId="2" xfId="0" applyFont="true" applyBorder="true" applyAlignment="true" applyProtection="false">
      <alignment horizontal="general" vertical="center" textRotation="0" wrapText="false" indent="0" shrinkToFit="false"/>
      <protection locked="true" hidden="false"/>
    </xf>
    <xf numFmtId="174" fontId="17" fillId="0" borderId="2" xfId="0" applyFont="true" applyBorder="true" applyAlignment="true" applyProtection="false">
      <alignment horizontal="center" vertical="center" textRotation="0" wrapText="false" indent="0" shrinkToFit="false"/>
      <protection locked="true" hidden="false"/>
    </xf>
    <xf numFmtId="164" fontId="14" fillId="4" borderId="2" xfId="0" applyFont="true" applyBorder="true" applyAlignment="true" applyProtection="false">
      <alignment horizontal="general" vertical="center" textRotation="0" wrapText="false" indent="0" shrinkToFit="false"/>
      <protection locked="true" hidden="false"/>
    </xf>
    <xf numFmtId="164" fontId="24" fillId="4" borderId="3" xfId="0" applyFont="true" applyBorder="true" applyAlignment="true" applyProtection="false">
      <alignment horizontal="center" vertical="center" textRotation="0" wrapText="false" indent="0" shrinkToFit="false"/>
      <protection locked="true" hidden="false"/>
    </xf>
    <xf numFmtId="164" fontId="24" fillId="4" borderId="2" xfId="0" applyFont="true" applyBorder="true" applyAlignment="true" applyProtection="false">
      <alignment horizontal="center" vertical="center" textRotation="0" wrapText="false" indent="0" shrinkToFit="false"/>
      <protection locked="true" hidden="false"/>
    </xf>
    <xf numFmtId="168" fontId="13" fillId="2" borderId="2" xfId="0" applyFont="true" applyBorder="true" applyAlignment="true" applyProtection="false">
      <alignment horizontal="general" vertical="center" textRotation="0" wrapText="false" indent="0" shrinkToFit="false"/>
      <protection locked="true" hidden="false"/>
    </xf>
    <xf numFmtId="172" fontId="13" fillId="2" borderId="2" xfId="0" applyFont="true" applyBorder="true" applyAlignment="true" applyProtection="false">
      <alignment horizontal="general"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false" indent="0" shrinkToFit="false"/>
      <protection locked="true" hidden="false"/>
    </xf>
    <xf numFmtId="167" fontId="14" fillId="2"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75" fontId="5" fillId="0" borderId="0" xfId="0" applyFont="true" applyBorder="false" applyAlignment="true" applyProtection="false">
      <alignment horizontal="center" vertical="center" textRotation="0" wrapText="false" indent="0" shrinkToFit="false"/>
      <protection locked="true" hidden="false"/>
    </xf>
    <xf numFmtId="164" fontId="21" fillId="5" borderId="2" xfId="0" applyFont="true" applyBorder="true" applyAlignment="true" applyProtection="false">
      <alignment horizontal="general" vertical="center" textRotation="0" wrapText="false" indent="0" shrinkToFit="false"/>
      <protection locked="true" hidden="false"/>
    </xf>
    <xf numFmtId="164" fontId="14" fillId="5" borderId="2" xfId="0" applyFont="true" applyBorder="tru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9" fontId="14" fillId="0" borderId="2" xfId="0" applyFont="true" applyBorder="true" applyAlignment="true" applyProtection="false">
      <alignment horizontal="general" vertical="center" textRotation="0" wrapText="false" indent="0" shrinkToFit="false"/>
      <protection locked="true" hidden="false"/>
    </xf>
    <xf numFmtId="172" fontId="21" fillId="0" borderId="2" xfId="0" applyFont="true" applyBorder="true" applyAlignment="true" applyProtection="false">
      <alignment horizontal="general" vertical="center" textRotation="0" wrapText="false" indent="0" shrinkToFit="false"/>
      <protection locked="true" hidden="false"/>
    </xf>
    <xf numFmtId="176" fontId="14" fillId="0" borderId="2" xfId="0" applyFont="true" applyBorder="true" applyAlignment="true" applyProtection="false">
      <alignment horizontal="general" vertical="center" textRotation="0" wrapText="false" indent="0" shrinkToFit="false"/>
      <protection locked="true" hidden="false"/>
    </xf>
    <xf numFmtId="164" fontId="17" fillId="0" borderId="2" xfId="0" applyFont="true" applyBorder="true" applyAlignment="true" applyProtection="false">
      <alignment horizontal="right" vertical="center" textRotation="0" wrapText="fals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72" fontId="13" fillId="0" borderId="2" xfId="0" applyFont="true" applyBorder="true" applyAlignment="true" applyProtection="false">
      <alignment horizontal="general" vertical="center" textRotation="0" wrapText="false" indent="0" shrinkToFit="false"/>
      <protection locked="true" hidden="false"/>
    </xf>
    <xf numFmtId="177" fontId="17" fillId="0" borderId="2" xfId="0" applyFont="true" applyBorder="true" applyAlignment="true" applyProtection="false">
      <alignment horizontal="center" vertical="center" textRotation="0" wrapText="false" indent="0" shrinkToFit="false"/>
      <protection locked="true" hidden="false"/>
    </xf>
    <xf numFmtId="169" fontId="21" fillId="5" borderId="2" xfId="0" applyFont="true" applyBorder="true" applyAlignment="true" applyProtection="false">
      <alignment horizontal="center" vertical="center" textRotation="0" wrapText="false" indent="0" shrinkToFit="false"/>
      <protection locked="true" hidden="false"/>
    </xf>
    <xf numFmtId="164" fontId="21" fillId="5" borderId="2" xfId="0" applyFont="true" applyBorder="true" applyAlignment="true" applyProtection="false">
      <alignment horizontal="center" vertical="center" textRotation="0" wrapText="false" indent="0" shrinkToFit="false"/>
      <protection locked="true" hidden="false"/>
    </xf>
    <xf numFmtId="164" fontId="21" fillId="5" borderId="2" xfId="0" applyFont="true" applyBorder="true" applyAlignment="true" applyProtection="false">
      <alignment horizontal="general" vertical="center" textRotation="0" wrapText="true" indent="0" shrinkToFit="false"/>
      <protection locked="true" hidden="false"/>
    </xf>
    <xf numFmtId="170" fontId="14" fillId="0" borderId="2" xfId="0" applyFont="true" applyBorder="true" applyAlignment="true" applyProtection="false">
      <alignment horizontal="center" vertical="center" textRotation="0" wrapText="false" indent="0" shrinkToFit="false"/>
      <protection locked="true" hidden="false"/>
    </xf>
    <xf numFmtId="169" fontId="14" fillId="0" borderId="2" xfId="0" applyFont="true" applyBorder="true" applyAlignment="true" applyProtection="false">
      <alignment horizontal="center" vertical="center" textRotation="0" wrapText="false" indent="0" shrinkToFit="false"/>
      <protection locked="true" hidden="false"/>
    </xf>
    <xf numFmtId="166" fontId="21" fillId="5" borderId="2" xfId="0" applyFont="true" applyBorder="true" applyAlignment="true" applyProtection="false">
      <alignment horizontal="general" vertical="center" textRotation="0" wrapText="false" indent="0" shrinkToFit="false"/>
      <protection locked="true" hidden="false"/>
    </xf>
    <xf numFmtId="164" fontId="27" fillId="0" borderId="2" xfId="0" applyFont="true" applyBorder="true" applyAlignment="true" applyProtection="false">
      <alignment horizontal="general" vertical="center" textRotation="0" wrapText="true" indent="0" shrinkToFit="false"/>
      <protection locked="true" hidden="false"/>
    </xf>
    <xf numFmtId="174" fontId="21" fillId="5"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general" vertical="center" textRotation="0" wrapText="false" indent="0" shrinkToFit="false"/>
      <protection locked="true" hidden="false"/>
    </xf>
    <xf numFmtId="174" fontId="13" fillId="2" borderId="2"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8" fillId="0" borderId="0" xfId="0" applyFont="true" applyBorder="true" applyAlignment="true" applyProtection="false">
      <alignment horizontal="general" vertical="center"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5" fontId="14" fillId="0" borderId="2" xfId="0" applyFont="true" applyBorder="true" applyAlignment="true" applyProtection="false">
      <alignment horizontal="center" vertical="center" textRotation="0" wrapText="false" indent="0" shrinkToFit="false"/>
      <protection locked="true" hidden="false"/>
    </xf>
    <xf numFmtId="180" fontId="14" fillId="0" borderId="2" xfId="0" applyFont="true" applyBorder="true" applyAlignment="true" applyProtection="false">
      <alignment horizontal="center" vertical="center" textRotation="0" wrapText="false" indent="0" shrinkToFit="false"/>
      <protection locked="true" hidden="false"/>
    </xf>
    <xf numFmtId="165" fontId="14" fillId="0" borderId="2" xfId="0" applyFont="true" applyBorder="true" applyAlignment="true" applyProtection="false">
      <alignment horizontal="general" vertical="center" textRotation="0" wrapText="false" indent="0" shrinkToFit="false"/>
      <protection locked="true" hidden="false"/>
    </xf>
    <xf numFmtId="165" fontId="14" fillId="2"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D03B3B"/>
        <sz val="8"/>
      </font>
    </dxf>
    <dxf>
      <font>
        <name val="Arial"/>
        <charset val="1"/>
        <family val="0"/>
        <b val="1"/>
        <color rgb="FFD03B3B"/>
        <sz val="18"/>
      </font>
    </dxf>
    <dxf>
      <font>
        <name val="Arial"/>
        <charset val="1"/>
        <family val="0"/>
        <b val="1"/>
        <color rgb="FFD03B3B"/>
        <sz val="9"/>
      </font>
    </dxf>
    <dxf>
      <font>
        <name val="Arial"/>
        <charset val="1"/>
        <family val="0"/>
        <b val="1"/>
        <color rgb="FF006300"/>
        <sz val="9"/>
      </font>
    </dxf>
    <dxf>
      <font>
        <name val="Arial"/>
        <charset val="1"/>
        <family val="0"/>
        <color rgb="FFD03B3B"/>
        <sz val="8"/>
      </font>
    </dxf>
    <dxf>
      <font>
        <name val="Arial"/>
        <charset val="1"/>
        <family val="0"/>
        <color rgb="FF9A6700"/>
        <sz val="8"/>
      </font>
    </dxf>
    <dxf>
      <fill>
        <patternFill>
          <bgColor rgb="FFE2EFDA"/>
        </patternFill>
      </fill>
    </dxf>
    <dxf>
      <font>
        <name val="Arial"/>
        <charset val="1"/>
        <family val="0"/>
        <b val="1"/>
        <color rgb="FFD03B3B"/>
        <sz val="10"/>
      </font>
    </dxf>
    <dxf>
      <font>
        <name val="Arial"/>
        <charset val="1"/>
        <family val="0"/>
        <color rgb="FF898781"/>
        <sz val="10"/>
      </font>
    </dxf>
    <dxf>
      <font>
        <name val="Arial"/>
        <charset val="1"/>
        <family val="0"/>
        <b val="1"/>
        <color rgb="FF0B0B0B"/>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6300"/>
      <rgbColor rgb="FF000080"/>
      <rgbColor rgb="FF9A6700"/>
      <rgbColor rgb="FF800080"/>
      <rgbColor rgb="FF008080"/>
      <rgbColor rgb="FFC3C2B7"/>
      <rgbColor rgb="FF7F7F7F"/>
      <rgbColor rgb="FF9999FF"/>
      <rgbColor rgb="FFD03B3B"/>
      <rgbColor rgb="FFFFF2CC"/>
      <rgbColor rgb="FFE8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7FA"/>
      <rgbColor rgb="FFE2EFDA"/>
      <rgbColor rgb="FFFFFF99"/>
      <rgbColor rgb="FF99CCFF"/>
      <rgbColor rgb="FFFF99CC"/>
      <rgbColor rgb="FFCC99FF"/>
      <rgbColor rgb="FFE1E0D9"/>
      <rgbColor rgb="FF2A78D6"/>
      <rgbColor rgb="FF33CCCC"/>
      <rgbColor rgb="FFBF9000"/>
      <rgbColor rgb="FFFFCC00"/>
      <rgbColor rgb="FFEDA100"/>
      <rgbColor rgb="FFEB6834"/>
      <rgbColor rgb="FF6B7A8F"/>
      <rgbColor rgb="FF898781"/>
      <rgbColor rgb="FF1F3864"/>
      <rgbColor rgb="FF1BAF7A"/>
      <rgbColor rgb="FF0B0B0B"/>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Monthly!C4</c:f>
              <c:strCache>
                <c:ptCount val="1"/>
                <c:pt idx="0">
                  <c:v>Meta</c:v>
                </c:pt>
              </c:strCache>
            </c:strRef>
          </c:tx>
          <c:spPr>
            <a:solidFill>
              <a:srgbClr val="2a78d6"/>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Monthly!$C$5:$C$16</c:f>
              <c:numCache>
                <c:formatCode>#,##0;\-#,##0;\–</c:formatCode>
                <c:ptCount val="12"/>
                <c:pt idx="0">
                  <c:v>8092.51</c:v>
                </c:pt>
                <c:pt idx="1">
                  <c:v>28952.75</c:v>
                </c:pt>
                <c:pt idx="2">
                  <c:v>38386.84</c:v>
                </c:pt>
                <c:pt idx="3">
                  <c:v>22241.56</c:v>
                </c:pt>
                <c:pt idx="4">
                  <c:v>22276.5</c:v>
                </c:pt>
                <c:pt idx="5">
                  <c:v>17453.29</c:v>
                </c:pt>
                <c:pt idx="6">
                  <c:v>18956.66</c:v>
                </c:pt>
                <c:pt idx="7">
                  <c:v>10643.94</c:v>
                </c:pt>
                <c:pt idx="8">
                  <c:v>11062.98</c:v>
                </c:pt>
                <c:pt idx="9">
                  <c:v>0</c:v>
                </c:pt>
                <c:pt idx="10">
                  <c:v>0</c:v>
                </c:pt>
                <c:pt idx="11">
                  <c:v>0</c:v>
                </c:pt>
              </c:numCache>
            </c:numRef>
          </c:val>
        </c:ser>
        <c:ser>
          <c:idx val="1"/>
          <c:order val="1"/>
          <c:tx>
            <c:strRef>
              <c:f>Monthly!D4</c:f>
              <c:strCache>
                <c:ptCount val="1"/>
                <c:pt idx="0">
                  <c:v>Google Ads</c:v>
                </c:pt>
              </c:strCache>
            </c:strRef>
          </c:tx>
          <c:spPr>
            <a:solidFill>
              <a:srgbClr val="eb6834"/>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Monthly!$D$5:$D$16</c:f>
              <c:numCache>
                <c:formatCode>#,##0;\-#,##0;\–</c:formatCode>
                <c:ptCount val="12"/>
                <c:pt idx="0">
                  <c:v>10838.862219</c:v>
                </c:pt>
                <c:pt idx="1">
                  <c:v>11084.409732</c:v>
                </c:pt>
                <c:pt idx="2">
                  <c:v>10113.217848</c:v>
                </c:pt>
                <c:pt idx="3">
                  <c:v>9972.264701</c:v>
                </c:pt>
                <c:pt idx="4">
                  <c:v>12063.637879</c:v>
                </c:pt>
                <c:pt idx="5">
                  <c:v>13956.373413</c:v>
                </c:pt>
                <c:pt idx="6">
                  <c:v>13148.198074</c:v>
                </c:pt>
                <c:pt idx="7">
                  <c:v>12246.583015</c:v>
                </c:pt>
                <c:pt idx="8">
                  <c:v>6854.228188</c:v>
                </c:pt>
                <c:pt idx="9">
                  <c:v>0</c:v>
                </c:pt>
                <c:pt idx="10">
                  <c:v>0</c:v>
                </c:pt>
                <c:pt idx="11">
                  <c:v>0</c:v>
                </c:pt>
              </c:numCache>
            </c:numRef>
          </c:val>
        </c:ser>
        <c:ser>
          <c:idx val="2"/>
          <c:order val="2"/>
          <c:tx>
            <c:strRef>
              <c:f>Monthly!E4</c:f>
              <c:strCache>
                <c:ptCount val="1"/>
                <c:pt idx="0">
                  <c:v>ChatGPT Ads</c:v>
                </c:pt>
              </c:strCache>
            </c:strRef>
          </c:tx>
          <c:spPr>
            <a:solidFill>
              <a:srgbClr val="1baf7a"/>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Monthly!$E$5:$E$16</c:f>
              <c:numCache>
                <c:formatCode>#,##0;\-#,##0;\–</c:formatCode>
                <c:ptCount val="12"/>
                <c:pt idx="0">
                  <c:v>0</c:v>
                </c:pt>
                <c:pt idx="1">
                  <c:v>0</c:v>
                </c:pt>
                <c:pt idx="2">
                  <c:v>0</c:v>
                </c:pt>
                <c:pt idx="3">
                  <c:v>0</c:v>
                </c:pt>
                <c:pt idx="4">
                  <c:v>0</c:v>
                </c:pt>
                <c:pt idx="5">
                  <c:v>0</c:v>
                </c:pt>
                <c:pt idx="6">
                  <c:v>0</c:v>
                </c:pt>
                <c:pt idx="7">
                  <c:v>0</c:v>
                </c:pt>
                <c:pt idx="8">
                  <c:v>256.579212</c:v>
                </c:pt>
                <c:pt idx="9">
                  <c:v>0</c:v>
                </c:pt>
                <c:pt idx="10">
                  <c:v>0</c:v>
                </c:pt>
                <c:pt idx="11">
                  <c:v>0</c:v>
                </c:pt>
              </c:numCache>
            </c:numRef>
          </c:val>
        </c:ser>
        <c:ser>
          <c:idx val="3"/>
          <c:order val="3"/>
          <c:tx>
            <c:strRef>
              <c:f>Monthly!F4</c:f>
              <c:strCache>
                <c:ptCount val="1"/>
                <c:pt idx="0">
                  <c:v>LinkedIn Ads</c:v>
                </c:pt>
              </c:strCache>
            </c:strRef>
          </c:tx>
          <c:spPr>
            <a:solidFill>
              <a:srgbClr val="eda100"/>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Monthly!$F$5:$F$16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60"/>
        <c:overlap val="100"/>
        <c:axId val="58072411"/>
        <c:axId val="83445280"/>
      </c:barChart>
      <c:lineChart>
        <c:grouping val="stacked"/>
        <c:varyColors val="0"/>
        <c:ser>
          <c:idx val="4"/>
          <c:order val="4"/>
          <c:tx>
            <c:strRef>
              <c:f>Monthly!I4</c:f>
              <c:strCache>
                <c:ptCount val="1"/>
                <c:pt idx="0">
                  <c:v>Plan (budget spread evenly by day)</c:v>
                </c:pt>
              </c:strCache>
            </c:strRef>
          </c:tx>
          <c:spPr>
            <a:solidFill>
              <a:srgbClr val="52514e"/>
            </a:solidFill>
            <a:ln w="22320">
              <a:solidFill>
                <a:srgbClr val="52514e"/>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Monthly!$I$5:$I$16</c:f>
              <c:numCache>
                <c:formatCode>#,##0;\-#,##0;\–</c:formatCode>
                <c:ptCount val="12"/>
                <c:pt idx="0">
                  <c:v>25479.4520547945</c:v>
                </c:pt>
                <c:pt idx="1">
                  <c:v>23013.698630137</c:v>
                </c:pt>
                <c:pt idx="2">
                  <c:v>25479.4520547945</c:v>
                </c:pt>
                <c:pt idx="3">
                  <c:v>24657.5342465753</c:v>
                </c:pt>
                <c:pt idx="4">
                  <c:v>25479.4520547945</c:v>
                </c:pt>
                <c:pt idx="5">
                  <c:v>24657.5342465753</c:v>
                </c:pt>
                <c:pt idx="6">
                  <c:v>25479.4520547945</c:v>
                </c:pt>
                <c:pt idx="7">
                  <c:v>25479.4520547945</c:v>
                </c:pt>
                <c:pt idx="8">
                  <c:v>24657.5342465753</c:v>
                </c:pt>
                <c:pt idx="9">
                  <c:v>25479.4520547945</c:v>
                </c:pt>
                <c:pt idx="10">
                  <c:v>24657.5342465753</c:v>
                </c:pt>
                <c:pt idx="11">
                  <c:v>25479.4520547945</c:v>
                </c:pt>
              </c:numCache>
            </c:numRef>
          </c:val>
          <c:smooth val="0"/>
        </c:ser>
        <c:hiLowLines>
          <c:spPr>
            <a:ln w="0">
              <a:noFill/>
            </a:ln>
          </c:spPr>
        </c:hiLowLines>
        <c:marker val="0"/>
        <c:axId val="58072411"/>
        <c:axId val="83445280"/>
      </c:lineChart>
      <c:catAx>
        <c:axId val="58072411"/>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83445280"/>
        <c:crosses val="autoZero"/>
        <c:auto val="1"/>
        <c:lblAlgn val="ctr"/>
        <c:lblOffset val="100"/>
        <c:noMultiLvlLbl val="0"/>
      </c:catAx>
      <c:valAx>
        <c:axId val="83445280"/>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807241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Monthly!K4</c:f>
              <c:strCache>
                <c:ptCount val="1"/>
                <c:pt idx="0">
                  <c:v>Cumulative spend (budget channels)</c:v>
                </c:pt>
              </c:strCache>
            </c:strRef>
          </c:tx>
          <c:spPr>
            <a:solidFill>
              <a:srgbClr val="1f3864"/>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Monthly!$K$5:$K$16</c:f>
              <c:numCache>
                <c:formatCode>#,##0;\-#,##0;\–</c:formatCode>
                <c:ptCount val="12"/>
                <c:pt idx="0">
                  <c:v>18931.372219</c:v>
                </c:pt>
                <c:pt idx="1">
                  <c:v>58968.531951</c:v>
                </c:pt>
                <c:pt idx="2">
                  <c:v>107468.589799</c:v>
                </c:pt>
                <c:pt idx="3">
                  <c:v>139682.4145</c:v>
                </c:pt>
                <c:pt idx="4">
                  <c:v>174022.552379</c:v>
                </c:pt>
                <c:pt idx="5">
                  <c:v>205432.215792</c:v>
                </c:pt>
                <c:pt idx="6">
                  <c:v>237537.073866</c:v>
                </c:pt>
                <c:pt idx="7">
                  <c:v>260427.596881</c:v>
                </c:pt>
                <c:pt idx="8">
                  <c:v>278601.384281</c:v>
                </c:pt>
              </c:numCache>
            </c:numRef>
          </c:val>
        </c:ser>
        <c:gapWidth val="60"/>
        <c:overlap val="0"/>
        <c:axId val="35391181"/>
        <c:axId val="53338252"/>
      </c:barChart>
      <c:lineChart>
        <c:grouping val="standard"/>
        <c:varyColors val="0"/>
        <c:ser>
          <c:idx val="1"/>
          <c:order val="1"/>
          <c:tx>
            <c:strRef>
              <c:f>Monthly!L4</c:f>
              <c:strCache>
                <c:ptCount val="1"/>
                <c:pt idx="0">
                  <c:v>Cumulative plan</c:v>
                </c:pt>
              </c:strCache>
            </c:strRef>
          </c:tx>
          <c:spPr>
            <a:solidFill>
              <a:srgbClr val="52514e"/>
            </a:solidFill>
            <a:ln w="22320">
              <a:solidFill>
                <a:srgbClr val="52514e"/>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Monthly!$L$5:$L$16</c:f>
              <c:numCache>
                <c:formatCode>#,##0;\-#,##0;\–</c:formatCode>
                <c:ptCount val="12"/>
                <c:pt idx="0">
                  <c:v>25479.4520547945</c:v>
                </c:pt>
                <c:pt idx="1">
                  <c:v>48493.1506849315</c:v>
                </c:pt>
                <c:pt idx="2">
                  <c:v>73972.602739726</c:v>
                </c:pt>
                <c:pt idx="3">
                  <c:v>98630.1369863014</c:v>
                </c:pt>
                <c:pt idx="4">
                  <c:v>124109.589041096</c:v>
                </c:pt>
                <c:pt idx="5">
                  <c:v>148767.123287671</c:v>
                </c:pt>
                <c:pt idx="6">
                  <c:v>174246.575342466</c:v>
                </c:pt>
                <c:pt idx="7">
                  <c:v>199726.02739726</c:v>
                </c:pt>
                <c:pt idx="8">
                  <c:v>224383.561643836</c:v>
                </c:pt>
                <c:pt idx="9">
                  <c:v>249863.01369863</c:v>
                </c:pt>
                <c:pt idx="10">
                  <c:v>274520.547945206</c:v>
                </c:pt>
                <c:pt idx="11">
                  <c:v>300000</c:v>
                </c:pt>
              </c:numCache>
            </c:numRef>
          </c:val>
          <c:smooth val="0"/>
        </c:ser>
        <c:ser>
          <c:idx val="2"/>
          <c:order val="2"/>
          <c:tx>
            <c:strRef>
              <c:f>Monthly!M4</c:f>
              <c:strCache>
                <c:ptCount val="1"/>
                <c:pt idx="0">
                  <c:v>Maximum</c:v>
                </c:pt>
              </c:strCache>
            </c:strRef>
          </c:tx>
          <c:spPr>
            <a:solidFill>
              <a:srgbClr val="d03b3b"/>
            </a:solidFill>
            <a:ln w="19080">
              <a:solidFill>
                <a:srgbClr val="d03b3b"/>
              </a:solidFill>
              <a:prstDash val="sysDot"/>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Monthly!$M$5:$M$16</c:f>
              <c:numCache>
                <c:formatCode>#,##0;\-#,##0;\–</c:formatCode>
                <c:ptCount val="12"/>
                <c:pt idx="0">
                  <c:v>320000</c:v>
                </c:pt>
                <c:pt idx="1">
                  <c:v>320000</c:v>
                </c:pt>
                <c:pt idx="2">
                  <c:v>320000</c:v>
                </c:pt>
                <c:pt idx="3">
                  <c:v>320000</c:v>
                </c:pt>
                <c:pt idx="4">
                  <c:v>320000</c:v>
                </c:pt>
                <c:pt idx="5">
                  <c:v>320000</c:v>
                </c:pt>
                <c:pt idx="6">
                  <c:v>320000</c:v>
                </c:pt>
                <c:pt idx="7">
                  <c:v>320000</c:v>
                </c:pt>
                <c:pt idx="8">
                  <c:v>320000</c:v>
                </c:pt>
                <c:pt idx="9">
                  <c:v>320000</c:v>
                </c:pt>
                <c:pt idx="10">
                  <c:v>320000</c:v>
                </c:pt>
                <c:pt idx="11">
                  <c:v>320000</c:v>
                </c:pt>
              </c:numCache>
            </c:numRef>
          </c:val>
          <c:smooth val="0"/>
        </c:ser>
        <c:hiLowLines>
          <c:spPr>
            <a:ln w="0">
              <a:noFill/>
            </a:ln>
          </c:spPr>
        </c:hiLowLines>
        <c:marker val="0"/>
        <c:axId val="35391181"/>
        <c:axId val="53338252"/>
      </c:lineChart>
      <c:catAx>
        <c:axId val="35391181"/>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53338252"/>
        <c:crosses val="autoZero"/>
        <c:auto val="1"/>
        <c:lblAlgn val="ctr"/>
        <c:lblOffset val="100"/>
        <c:noMultiLvlLbl val="0"/>
      </c:catAx>
      <c:valAx>
        <c:axId val="53338252"/>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3539118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spPr>
            <a:solidFill>
              <a:srgbClr val="6b7a8f"/>
            </a:solidFill>
            <a:ln w="12600">
              <a:solidFill>
                <a:srgbClr val="ffffff"/>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'By location &amp; type'!$A$6:$A$9</c:f>
              <c:strCache>
                <c:ptCount val="4"/>
                <c:pt idx="0">
                  <c:v>EMEA</c:v>
                </c:pt>
                <c:pt idx="1">
                  <c:v>Americas</c:v>
                </c:pt>
                <c:pt idx="2">
                  <c:v>Global</c:v>
                </c:pt>
                <c:pt idx="3">
                  <c:v>Not specified</c:v>
                </c:pt>
              </c:strCache>
            </c:strRef>
          </c:cat>
          <c:val>
            <c:numRef>
              <c:f>'By location &amp; type'!$N$6:$N$9</c:f>
              <c:numCache>
                <c:formatCode>#,##0;\-#,##0;\–</c:formatCode>
                <c:ptCount val="4"/>
                <c:pt idx="0">
                  <c:v>139186.630056</c:v>
                </c:pt>
                <c:pt idx="1">
                  <c:v>126051.282951</c:v>
                </c:pt>
                <c:pt idx="2">
                  <c:v>13106.892062</c:v>
                </c:pt>
                <c:pt idx="3">
                  <c:v>256.579212</c:v>
                </c:pt>
              </c:numCache>
            </c:numRef>
          </c:val>
        </c:ser>
        <c:gapWidth val="50"/>
        <c:overlap val="0"/>
        <c:axId val="27807797"/>
        <c:axId val="83988684"/>
      </c:barChart>
      <c:catAx>
        <c:axId val="27807797"/>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83988684"/>
        <c:crosses val="autoZero"/>
        <c:auto val="1"/>
        <c:lblAlgn val="ctr"/>
        <c:lblOffset val="100"/>
        <c:noMultiLvlLbl val="0"/>
      </c:catAx>
      <c:valAx>
        <c:axId val="83988684"/>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2780779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spPr>
            <a:solidFill>
              <a:srgbClr val="6b7a8f"/>
            </a:solidFill>
            <a:ln w="12600">
              <a:solidFill>
                <a:srgbClr val="ffffff"/>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'By location &amp; type'!$A$16:$A$25</c:f>
              <c:strCache>
                <c:ptCount val="10"/>
                <c:pt idx="0">
                  <c:v>EMEA – multi-country</c:v>
                </c:pt>
                <c:pt idx="1">
                  <c:v>California</c:v>
                </c:pt>
                <c:pt idx="2">
                  <c:v>US &amp; Canada</c:v>
                </c:pt>
                <c:pt idx="3">
                  <c:v>US East Coast</c:v>
                </c:pt>
                <c:pt idx="4">
                  <c:v>US – national</c:v>
                </c:pt>
                <c:pt idx="5">
                  <c:v>Worldwide</c:v>
                </c:pt>
                <c:pt idx="6">
                  <c:v>US South &amp; Central</c:v>
                </c:pt>
                <c:pt idx="7">
                  <c:v>France</c:v>
                </c:pt>
                <c:pt idx="8">
                  <c:v>UK</c:v>
                </c:pt>
                <c:pt idx="9">
                  <c:v>Florida</c:v>
                </c:pt>
              </c:strCache>
            </c:strRef>
          </c:cat>
          <c:val>
            <c:numRef>
              <c:f>'By location &amp; type'!$O$16:$O$25</c:f>
              <c:numCache>
                <c:formatCode>#,##0;\-#,##0;\–</c:formatCode>
                <c:ptCount val="10"/>
                <c:pt idx="0">
                  <c:v>116372.773757</c:v>
                </c:pt>
                <c:pt idx="1">
                  <c:v>28748.468734</c:v>
                </c:pt>
                <c:pt idx="2">
                  <c:v>26661.205076</c:v>
                </c:pt>
                <c:pt idx="3">
                  <c:v>26359.82381</c:v>
                </c:pt>
                <c:pt idx="4">
                  <c:v>17679.109656</c:v>
                </c:pt>
                <c:pt idx="5">
                  <c:v>13106.892062</c:v>
                </c:pt>
                <c:pt idx="6">
                  <c:v>10170.41793</c:v>
                </c:pt>
                <c:pt idx="7">
                  <c:v>8628.214952</c:v>
                </c:pt>
                <c:pt idx="8">
                  <c:v>4932.063613</c:v>
                </c:pt>
                <c:pt idx="9">
                  <c:v>4449.206036</c:v>
                </c:pt>
              </c:numCache>
            </c:numRef>
          </c:val>
        </c:ser>
        <c:gapWidth val="40"/>
        <c:overlap val="0"/>
        <c:axId val="78198754"/>
        <c:axId val="48193466"/>
      </c:barChart>
      <c:catAx>
        <c:axId val="78198754"/>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48193466"/>
        <c:crosses val="autoZero"/>
        <c:auto val="1"/>
        <c:lblAlgn val="ctr"/>
        <c:lblOffset val="100"/>
        <c:noMultiLvlLbl val="0"/>
      </c:catAx>
      <c:valAx>
        <c:axId val="48193466"/>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781987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Weekly!D4</c:f>
              <c:strCache>
                <c:ptCount val="1"/>
                <c:pt idx="0">
                  <c:v>Meta</c:v>
                </c:pt>
              </c:strCache>
            </c:strRef>
          </c:tx>
          <c:spPr>
            <a:solidFill>
              <a:srgbClr val="2a78d6"/>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Weekly!$S$5:$S$57</c:f>
              <c:strCache>
                <c:ptCount val="53"/>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pt idx="41">
                  <c:v>12 Oct</c:v>
                </c:pt>
                <c:pt idx="42">
                  <c:v>19 Oct</c:v>
                </c:pt>
                <c:pt idx="43">
                  <c:v>26 Oct</c:v>
                </c:pt>
                <c:pt idx="44">
                  <c:v>2 Nov</c:v>
                </c:pt>
                <c:pt idx="45">
                  <c:v>9 Nov</c:v>
                </c:pt>
                <c:pt idx="46">
                  <c:v>16 Nov</c:v>
                </c:pt>
                <c:pt idx="47">
                  <c:v>23 Nov</c:v>
                </c:pt>
                <c:pt idx="48">
                  <c:v>30 Nov</c:v>
                </c:pt>
                <c:pt idx="49">
                  <c:v>7 Dec</c:v>
                </c:pt>
                <c:pt idx="50">
                  <c:v>14 Dec</c:v>
                </c:pt>
                <c:pt idx="51">
                  <c:v>21 Dec</c:v>
                </c:pt>
                <c:pt idx="52">
                  <c:v>28 Dec</c:v>
                </c:pt>
              </c:strCache>
            </c:strRef>
          </c:cat>
          <c:val>
            <c:numRef>
              <c:f>Weekly!$D$5:$D$57</c:f>
              <c:numCache>
                <c:formatCode>#,##0;\-#,##0;\–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er>
        <c:ser>
          <c:idx val="1"/>
          <c:order val="1"/>
          <c:tx>
            <c:strRef>
              <c:f>Weekly!E4</c:f>
              <c:strCache>
                <c:ptCount val="1"/>
                <c:pt idx="0">
                  <c:v>Google Ads</c:v>
                </c:pt>
              </c:strCache>
            </c:strRef>
          </c:tx>
          <c:spPr>
            <a:solidFill>
              <a:srgbClr val="eb6834"/>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Weekly!$S$5:$S$57</c:f>
              <c:strCache>
                <c:ptCount val="53"/>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pt idx="41">
                  <c:v>12 Oct</c:v>
                </c:pt>
                <c:pt idx="42">
                  <c:v>19 Oct</c:v>
                </c:pt>
                <c:pt idx="43">
                  <c:v>26 Oct</c:v>
                </c:pt>
                <c:pt idx="44">
                  <c:v>2 Nov</c:v>
                </c:pt>
                <c:pt idx="45">
                  <c:v>9 Nov</c:v>
                </c:pt>
                <c:pt idx="46">
                  <c:v>16 Nov</c:v>
                </c:pt>
                <c:pt idx="47">
                  <c:v>23 Nov</c:v>
                </c:pt>
                <c:pt idx="48">
                  <c:v>30 Nov</c:v>
                </c:pt>
                <c:pt idx="49">
                  <c:v>7 Dec</c:v>
                </c:pt>
                <c:pt idx="50">
                  <c:v>14 Dec</c:v>
                </c:pt>
                <c:pt idx="51">
                  <c:v>21 Dec</c:v>
                </c:pt>
                <c:pt idx="52">
                  <c:v>28 Dec</c:v>
                </c:pt>
              </c:strCache>
            </c:strRef>
          </c:cat>
          <c:val>
            <c:numRef>
              <c:f>Weekly!$E$5:$E$57</c:f>
              <c:numCache>
                <c:formatCode>#,##0;\-#,##0;\–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er>
        <c:ser>
          <c:idx val="2"/>
          <c:order val="2"/>
          <c:tx>
            <c:strRef>
              <c:f>Weekly!F4</c:f>
              <c:strCache>
                <c:ptCount val="1"/>
                <c:pt idx="0">
                  <c:v>ChatGPT Ads</c:v>
                </c:pt>
              </c:strCache>
            </c:strRef>
          </c:tx>
          <c:spPr>
            <a:solidFill>
              <a:srgbClr val="1baf7a"/>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Weekly!$S$5:$S$57</c:f>
              <c:strCache>
                <c:ptCount val="53"/>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pt idx="41">
                  <c:v>12 Oct</c:v>
                </c:pt>
                <c:pt idx="42">
                  <c:v>19 Oct</c:v>
                </c:pt>
                <c:pt idx="43">
                  <c:v>26 Oct</c:v>
                </c:pt>
                <c:pt idx="44">
                  <c:v>2 Nov</c:v>
                </c:pt>
                <c:pt idx="45">
                  <c:v>9 Nov</c:v>
                </c:pt>
                <c:pt idx="46">
                  <c:v>16 Nov</c:v>
                </c:pt>
                <c:pt idx="47">
                  <c:v>23 Nov</c:v>
                </c:pt>
                <c:pt idx="48">
                  <c:v>30 Nov</c:v>
                </c:pt>
                <c:pt idx="49">
                  <c:v>7 Dec</c:v>
                </c:pt>
                <c:pt idx="50">
                  <c:v>14 Dec</c:v>
                </c:pt>
                <c:pt idx="51">
                  <c:v>21 Dec</c:v>
                </c:pt>
                <c:pt idx="52">
                  <c:v>28 Dec</c:v>
                </c:pt>
              </c:strCache>
            </c:strRef>
          </c:cat>
          <c:val>
            <c:numRef>
              <c:f>Weekly!$F$5:$F$57</c:f>
              <c:numCache>
                <c:formatCode>#,##0;\-#,##0;\–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er>
        <c:ser>
          <c:idx val="3"/>
          <c:order val="3"/>
          <c:tx>
            <c:strRef>
              <c:f>Weekly!G4</c:f>
              <c:strCache>
                <c:ptCount val="1"/>
                <c:pt idx="0">
                  <c:v>LinkedIn Ads</c:v>
                </c:pt>
              </c:strCache>
            </c:strRef>
          </c:tx>
          <c:spPr>
            <a:solidFill>
              <a:srgbClr val="eda100"/>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Weekly!$S$5:$S$57</c:f>
              <c:strCache>
                <c:ptCount val="53"/>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pt idx="41">
                  <c:v>12 Oct</c:v>
                </c:pt>
                <c:pt idx="42">
                  <c:v>19 Oct</c:v>
                </c:pt>
                <c:pt idx="43">
                  <c:v>26 Oct</c:v>
                </c:pt>
                <c:pt idx="44">
                  <c:v>2 Nov</c:v>
                </c:pt>
                <c:pt idx="45">
                  <c:v>9 Nov</c:v>
                </c:pt>
                <c:pt idx="46">
                  <c:v>16 Nov</c:v>
                </c:pt>
                <c:pt idx="47">
                  <c:v>23 Nov</c:v>
                </c:pt>
                <c:pt idx="48">
                  <c:v>30 Nov</c:v>
                </c:pt>
                <c:pt idx="49">
                  <c:v>7 Dec</c:v>
                </c:pt>
                <c:pt idx="50">
                  <c:v>14 Dec</c:v>
                </c:pt>
                <c:pt idx="51">
                  <c:v>21 Dec</c:v>
                </c:pt>
                <c:pt idx="52">
                  <c:v>28 Dec</c:v>
                </c:pt>
              </c:strCache>
            </c:strRef>
          </c:cat>
          <c:val>
            <c:numRef>
              <c:f>Weekly!$G$5:$G$57</c:f>
              <c:numCache>
                <c:formatCode>#,##0;\-#,##0;\–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ser>
        <c:gapWidth val="40"/>
        <c:overlap val="100"/>
        <c:axId val="40522251"/>
        <c:axId val="51221091"/>
      </c:barChart>
      <c:catAx>
        <c:axId val="40522251"/>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51221091"/>
        <c:crosses val="autoZero"/>
        <c:auto val="1"/>
        <c:lblAlgn val="ctr"/>
        <c:lblOffset val="100"/>
        <c:noMultiLvlLbl val="0"/>
      </c:catAx>
      <c:valAx>
        <c:axId val="51221091"/>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4052225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'Agency reports'!C5</c:f>
              <c:strCache>
                <c:ptCount val="1"/>
                <c:pt idx="0">
                  <c:v>Meta spend (agency, $)</c:v>
                </c:pt>
              </c:strCache>
            </c:strRef>
          </c:tx>
          <c:spPr>
            <a:solidFill>
              <a:srgbClr val="2a78d6"/>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'Agency reports'!$P$6:$P$46</c:f>
              <c:strCache>
                <c:ptCount val="41"/>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strCache>
            </c:strRef>
          </c:cat>
          <c:val>
            <c:numRef>
              <c:f>'Agency reports'!$C$6:$C$46</c:f>
              <c:numCache>
                <c:formatCode>#,##0.00;\-#,##0.00;\–</c:formatCode>
                <c:ptCount val="41"/>
                <c:pt idx="6">
                  <c:v>7000</c:v>
                </c:pt>
                <c:pt idx="9">
                  <c:v>9524.34</c:v>
                </c:pt>
                <c:pt idx="10">
                  <c:v>9576.29</c:v>
                </c:pt>
                <c:pt idx="11">
                  <c:v>9620.3</c:v>
                </c:pt>
                <c:pt idx="12">
                  <c:v>6541.52</c:v>
                </c:pt>
                <c:pt idx="13">
                  <c:v>5195.57</c:v>
                </c:pt>
                <c:pt idx="14">
                  <c:v>5284.58</c:v>
                </c:pt>
                <c:pt idx="15">
                  <c:v>5136.46</c:v>
                </c:pt>
                <c:pt idx="16">
                  <c:v>4424.25</c:v>
                </c:pt>
                <c:pt idx="17">
                  <c:v>5340.95</c:v>
                </c:pt>
                <c:pt idx="18">
                  <c:v>5084.11</c:v>
                </c:pt>
                <c:pt idx="19">
                  <c:v>4598.76</c:v>
                </c:pt>
                <c:pt idx="20">
                  <c:v>5084.88</c:v>
                </c:pt>
                <c:pt idx="21">
                  <c:v>5163.22</c:v>
                </c:pt>
                <c:pt idx="22">
                  <c:v>4657.98</c:v>
                </c:pt>
                <c:pt idx="23">
                  <c:v>3956.44</c:v>
                </c:pt>
                <c:pt idx="24">
                  <c:v>3859</c:v>
                </c:pt>
                <c:pt idx="25">
                  <c:v>3786.67</c:v>
                </c:pt>
                <c:pt idx="26">
                  <c:v>4138.42</c:v>
                </c:pt>
                <c:pt idx="27">
                  <c:v>3650.75</c:v>
                </c:pt>
                <c:pt idx="28">
                  <c:v>4671.76</c:v>
                </c:pt>
                <c:pt idx="29">
                  <c:v>4982.08</c:v>
                </c:pt>
                <c:pt idx="30">
                  <c:v>3639.86</c:v>
                </c:pt>
                <c:pt idx="31">
                  <c:v>3052</c:v>
                </c:pt>
                <c:pt idx="32">
                  <c:v>2017.36</c:v>
                </c:pt>
                <c:pt idx="33">
                  <c:v>2147.12</c:v>
                </c:pt>
                <c:pt idx="34">
                  <c:v>2144</c:v>
                </c:pt>
                <c:pt idx="35">
                  <c:v>2167</c:v>
                </c:pt>
                <c:pt idx="36">
                  <c:v>2153</c:v>
                </c:pt>
                <c:pt idx="37">
                  <c:v>1792</c:v>
                </c:pt>
                <c:pt idx="38">
                  <c:v>1079</c:v>
                </c:pt>
                <c:pt idx="39">
                  <c:v>1131</c:v>
                </c:pt>
                <c:pt idx="40">
                  <c:v>1107</c:v>
                </c:pt>
              </c:numCache>
            </c:numRef>
          </c:val>
        </c:ser>
        <c:ser>
          <c:idx val="1"/>
          <c:order val="1"/>
          <c:tx>
            <c:strRef>
              <c:f>'Agency reports'!G5</c:f>
              <c:strCache>
                <c:ptCount val="1"/>
                <c:pt idx="0">
                  <c:v>Google spend (agency, as written)</c:v>
                </c:pt>
              </c:strCache>
            </c:strRef>
          </c:tx>
          <c:spPr>
            <a:solidFill>
              <a:srgbClr val="eb6834"/>
            </a:solidFill>
            <a:ln w="1260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'Agency reports'!$P$6:$P$46</c:f>
              <c:strCache>
                <c:ptCount val="41"/>
                <c:pt idx="0">
                  <c:v>29 Dec</c:v>
                </c:pt>
                <c:pt idx="1">
                  <c:v>5 Jan</c:v>
                </c:pt>
                <c:pt idx="2">
                  <c:v>12 Jan</c:v>
                </c:pt>
                <c:pt idx="3">
                  <c:v>19 Jan</c:v>
                </c:pt>
                <c:pt idx="4">
                  <c:v>26 Jan</c:v>
                </c:pt>
                <c:pt idx="5">
                  <c:v>2 Feb</c:v>
                </c:pt>
                <c:pt idx="6">
                  <c:v>9 Feb</c:v>
                </c:pt>
                <c:pt idx="7">
                  <c:v>16 Feb</c:v>
                </c:pt>
                <c:pt idx="8">
                  <c:v>23 Feb</c:v>
                </c:pt>
                <c:pt idx="9">
                  <c:v>2 Mar</c:v>
                </c:pt>
                <c:pt idx="10">
                  <c:v>9 Mar</c:v>
                </c:pt>
                <c:pt idx="11">
                  <c:v>16 Mar</c:v>
                </c:pt>
                <c:pt idx="12">
                  <c:v>23 Mar</c:v>
                </c:pt>
                <c:pt idx="13">
                  <c:v>30 Mar</c:v>
                </c:pt>
                <c:pt idx="14">
                  <c:v>6 Apr</c:v>
                </c:pt>
                <c:pt idx="15">
                  <c:v>13 Apr</c:v>
                </c:pt>
                <c:pt idx="16">
                  <c:v>20 Apr</c:v>
                </c:pt>
                <c:pt idx="17">
                  <c:v>27 Apr</c:v>
                </c:pt>
                <c:pt idx="18">
                  <c:v>4 May</c:v>
                </c:pt>
                <c:pt idx="19">
                  <c:v>11 May</c:v>
                </c:pt>
                <c:pt idx="20">
                  <c:v>18 May</c:v>
                </c:pt>
                <c:pt idx="21">
                  <c:v>25 May</c:v>
                </c:pt>
                <c:pt idx="22">
                  <c:v>1 Jun</c:v>
                </c:pt>
                <c:pt idx="23">
                  <c:v>8 Jun</c:v>
                </c:pt>
                <c:pt idx="24">
                  <c:v>15 Jun</c:v>
                </c:pt>
                <c:pt idx="25">
                  <c:v>22 Jun</c:v>
                </c:pt>
                <c:pt idx="26">
                  <c:v>29 Jun</c:v>
                </c:pt>
                <c:pt idx="27">
                  <c:v>6 Jul</c:v>
                </c:pt>
                <c:pt idx="28">
                  <c:v>13 Jul</c:v>
                </c:pt>
                <c:pt idx="29">
                  <c:v>20 Jul</c:v>
                </c:pt>
                <c:pt idx="30">
                  <c:v>27 Jul</c:v>
                </c:pt>
                <c:pt idx="31">
                  <c:v>3 Aug</c:v>
                </c:pt>
                <c:pt idx="32">
                  <c:v>10 Aug</c:v>
                </c:pt>
                <c:pt idx="33">
                  <c:v>17 Aug</c:v>
                </c:pt>
                <c:pt idx="34">
                  <c:v>24 Aug</c:v>
                </c:pt>
                <c:pt idx="35">
                  <c:v>31 Aug</c:v>
                </c:pt>
                <c:pt idx="36">
                  <c:v>7 Sep</c:v>
                </c:pt>
                <c:pt idx="37">
                  <c:v>14 Sep</c:v>
                </c:pt>
                <c:pt idx="38">
                  <c:v>21 Sep</c:v>
                </c:pt>
                <c:pt idx="39">
                  <c:v>28 Sep</c:v>
                </c:pt>
                <c:pt idx="40">
                  <c:v>5 Oct</c:v>
                </c:pt>
              </c:strCache>
            </c:strRef>
          </c:cat>
          <c:val>
            <c:numRef>
              <c:f>'Agency reports'!$G$6:$G$46</c:f>
              <c:numCache>
                <c:formatCode>#,##0.00;\-#,##0.00;\–</c:formatCode>
                <c:ptCount val="41"/>
                <c:pt idx="9">
                  <c:v>2001.72</c:v>
                </c:pt>
                <c:pt idx="10">
                  <c:v>2281.74</c:v>
                </c:pt>
                <c:pt idx="11">
                  <c:v>2696.09</c:v>
                </c:pt>
                <c:pt idx="12">
                  <c:v>2563.26</c:v>
                </c:pt>
                <c:pt idx="13">
                  <c:v>2314.85</c:v>
                </c:pt>
                <c:pt idx="14">
                  <c:v>3850.45</c:v>
                </c:pt>
                <c:pt idx="15">
                  <c:v>1548.87</c:v>
                </c:pt>
                <c:pt idx="16">
                  <c:v>2107.74</c:v>
                </c:pt>
                <c:pt idx="17">
                  <c:v>2395.86</c:v>
                </c:pt>
                <c:pt idx="18">
                  <c:v>2552.59</c:v>
                </c:pt>
                <c:pt idx="19">
                  <c:v>4653.95</c:v>
                </c:pt>
                <c:pt idx="20">
                  <c:v>2376.49</c:v>
                </c:pt>
                <c:pt idx="21">
                  <c:v>5539.58</c:v>
                </c:pt>
                <c:pt idx="22">
                  <c:v>2898.53</c:v>
                </c:pt>
                <c:pt idx="23">
                  <c:v>2313.79</c:v>
                </c:pt>
                <c:pt idx="24">
                  <c:v>2388</c:v>
                </c:pt>
                <c:pt idx="25">
                  <c:v>3572.29</c:v>
                </c:pt>
                <c:pt idx="26">
                  <c:v>1933.83</c:v>
                </c:pt>
                <c:pt idx="27">
                  <c:v>2503.06</c:v>
                </c:pt>
                <c:pt idx="28">
                  <c:v>3062.98</c:v>
                </c:pt>
                <c:pt idx="29">
                  <c:v>2766.71</c:v>
                </c:pt>
                <c:pt idx="30">
                  <c:v>2151.54</c:v>
                </c:pt>
                <c:pt idx="31">
                  <c:v>2964</c:v>
                </c:pt>
                <c:pt idx="32">
                  <c:v>3586.65</c:v>
                </c:pt>
                <c:pt idx="33">
                  <c:v>1250.87</c:v>
                </c:pt>
                <c:pt idx="34">
                  <c:v>1386</c:v>
                </c:pt>
                <c:pt idx="35">
                  <c:v>1763</c:v>
                </c:pt>
                <c:pt idx="36">
                  <c:v>1751</c:v>
                </c:pt>
                <c:pt idx="37">
                  <c:v>1907</c:v>
                </c:pt>
                <c:pt idx="38">
                  <c:v>691</c:v>
                </c:pt>
                <c:pt idx="39">
                  <c:v>698</c:v>
                </c:pt>
                <c:pt idx="40">
                  <c:v>638</c:v>
                </c:pt>
              </c:numCache>
            </c:numRef>
          </c:val>
        </c:ser>
        <c:gapWidth val="40"/>
        <c:overlap val="0"/>
        <c:axId val="53747565"/>
        <c:axId val="1758015"/>
      </c:barChart>
      <c:catAx>
        <c:axId val="53747565"/>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1758015"/>
        <c:crosses val="autoZero"/>
        <c:auto val="1"/>
        <c:lblAlgn val="ctr"/>
        <c:lblOffset val="100"/>
        <c:noMultiLvlLbl val="0"/>
      </c:catAx>
      <c:valAx>
        <c:axId val="1758015"/>
        <c:scaling>
          <c:orientation val="minMax"/>
        </c:scaling>
        <c:delete val="0"/>
        <c:axPos val="l"/>
        <c:majorGridlines>
          <c:spPr>
            <a:ln w="6480">
              <a:solidFill>
                <a:srgbClr val="e1e0d9"/>
              </a:solidFill>
              <a:round/>
            </a:ln>
          </c:spPr>
        </c:majorGridlines>
        <c:numFmt formatCode="#,##0" sourceLinked="0"/>
        <c:majorTickMark val="none"/>
        <c:minorTickMark val="none"/>
        <c:tickLblPos val="nextTo"/>
        <c:spPr>
          <a:ln w="9360">
            <a:noFill/>
          </a:ln>
        </c:spPr>
        <c:txPr>
          <a:bodyPr/>
          <a:lstStyle/>
          <a:p>
            <a:pPr>
              <a:defRPr b="0" sz="1000" spc="-1" strike="noStrike">
                <a:solidFill>
                  <a:srgbClr val="000000"/>
                </a:solidFill>
                <a:latin typeface="Calibri"/>
              </a:defRPr>
            </a:pPr>
          </a:p>
        </c:txPr>
        <c:crossAx val="537475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7</xdr:col>
      <xdr:colOff>543600</xdr:colOff>
      <xdr:row>39</xdr:row>
      <xdr:rowOff>93960</xdr:rowOff>
    </xdr:to>
    <xdr:graphicFrame>
      <xdr:nvGraphicFramePr>
        <xdr:cNvPr id="0" name="Chart 1"/>
        <xdr:cNvGraphicFramePr/>
      </xdr:nvGraphicFramePr>
      <xdr:xfrm>
        <a:off x="141120" y="5991120"/>
        <a:ext cx="5831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24</xdr:row>
      <xdr:rowOff>0</xdr:rowOff>
    </xdr:from>
    <xdr:to>
      <xdr:col>14</xdr:col>
      <xdr:colOff>402120</xdr:colOff>
      <xdr:row>39</xdr:row>
      <xdr:rowOff>93960</xdr:rowOff>
    </xdr:to>
    <xdr:graphicFrame>
      <xdr:nvGraphicFramePr>
        <xdr:cNvPr id="1" name="Chart 2"/>
        <xdr:cNvGraphicFramePr/>
      </xdr:nvGraphicFramePr>
      <xdr:xfrm>
        <a:off x="5429160" y="5991120"/>
        <a:ext cx="5831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57</xdr:row>
      <xdr:rowOff>0</xdr:rowOff>
    </xdr:from>
    <xdr:to>
      <xdr:col>7</xdr:col>
      <xdr:colOff>543600</xdr:colOff>
      <xdr:row>70</xdr:row>
      <xdr:rowOff>43200</xdr:rowOff>
    </xdr:to>
    <xdr:graphicFrame>
      <xdr:nvGraphicFramePr>
        <xdr:cNvPr id="2" name="Chart 3"/>
        <xdr:cNvGraphicFramePr/>
      </xdr:nvGraphicFramePr>
      <xdr:xfrm>
        <a:off x="141120" y="12715920"/>
        <a:ext cx="5831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57</xdr:row>
      <xdr:rowOff>0</xdr:rowOff>
    </xdr:from>
    <xdr:to>
      <xdr:col>14</xdr:col>
      <xdr:colOff>402120</xdr:colOff>
      <xdr:row>70</xdr:row>
      <xdr:rowOff>43200</xdr:rowOff>
    </xdr:to>
    <xdr:graphicFrame>
      <xdr:nvGraphicFramePr>
        <xdr:cNvPr id="3" name="Chart 4"/>
        <xdr:cNvGraphicFramePr/>
      </xdr:nvGraphicFramePr>
      <xdr:xfrm>
        <a:off x="5429160" y="12715920"/>
        <a:ext cx="5831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130680</xdr:rowOff>
    </xdr:from>
    <xdr:to>
      <xdr:col>14</xdr:col>
      <xdr:colOff>297360</xdr:colOff>
      <xdr:row>77</xdr:row>
      <xdr:rowOff>131760</xdr:rowOff>
    </xdr:to>
    <xdr:graphicFrame>
      <xdr:nvGraphicFramePr>
        <xdr:cNvPr id="4" name="Chart 1"/>
        <xdr:cNvGraphicFramePr/>
      </xdr:nvGraphicFramePr>
      <xdr:xfrm>
        <a:off x="0" y="23050440"/>
        <a:ext cx="107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62</xdr:row>
      <xdr:rowOff>130680</xdr:rowOff>
    </xdr:from>
    <xdr:to>
      <xdr:col>10</xdr:col>
      <xdr:colOff>2270880</xdr:colOff>
      <xdr:row>79</xdr:row>
      <xdr:rowOff>131760</xdr:rowOff>
    </xdr:to>
    <xdr:graphicFrame>
      <xdr:nvGraphicFramePr>
        <xdr:cNvPr id="5" name="Chart 1"/>
        <xdr:cNvGraphicFramePr/>
      </xdr:nvGraphicFramePr>
      <xdr:xfrm>
        <a:off x="0" y="36023400"/>
        <a:ext cx="107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P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2.5"/>
    <col collapsed="false" customWidth="true" hidden="false" outlineLevel="0" max="14" min="14" style="0" width="2"/>
    <col collapsed="false" customWidth="true" hidden="true" outlineLevel="0" max="16" min="16" style="0" width="13"/>
  </cols>
  <sheetData>
    <row r="1" customFormat="false" ht="30" hidden="false" customHeight="true" outlineLevel="0" collapsed="false">
      <c r="B1" s="1" t="str">
        <f aca="false">"Paid Media Spend "&amp;Settings!$C$12&amp;" – Year Overview"</f>
        <v>Paid Media Spend 2026 – Year Overview</v>
      </c>
      <c r="C1" s="1"/>
      <c r="D1" s="1"/>
      <c r="E1" s="1"/>
      <c r="F1" s="1"/>
      <c r="G1" s="1"/>
      <c r="H1" s="1"/>
      <c r="I1" s="1"/>
      <c r="J1" s="1"/>
      <c r="K1" s="1"/>
      <c r="L1" s="1"/>
      <c r="M1" s="1"/>
      <c r="P1" s="2" t="s">
        <v>0</v>
      </c>
    </row>
    <row r="2" customFormat="false" ht="15" hidden="false" customHeight="false" outlineLevel="0" collapsed="false">
      <c r="B2" s="3" t="str">
        <f aca="false">"Platform data up to "&amp;TEXT(Settings!$C$5,"d mmm yyyy")&amp;" · amounts in "&amp;Settings!$C$6&amp;" · Google converted from EUR at "&amp;TEXT(Settings!$B$41,"0.0000")&amp;" · Meta, Google Ads and ChatGPT Ads"</f>
        <v>Platform data up to 30 Sep 2026 · amounts in USD · Google converted from EUR at 1.1177 · Meta, Google Ads and ChatGPT Ads</v>
      </c>
      <c r="C2" s="3"/>
      <c r="D2" s="3"/>
      <c r="E2" s="3"/>
      <c r="F2" s="3"/>
      <c r="G2" s="3"/>
      <c r="H2" s="3"/>
      <c r="I2" s="3"/>
      <c r="J2" s="3"/>
      <c r="K2" s="3"/>
      <c r="L2" s="3"/>
      <c r="M2" s="3"/>
      <c r="P2" s="4" t="n">
        <f aca="false">Calc!C9</f>
        <v>0.747945205479452</v>
      </c>
    </row>
    <row r="3" customFormat="false" ht="19.5" hidden="false" customHeight="true" outlineLevel="0" collapsed="false">
      <c r="B3" s="5" t="str">
        <f aca="false">"Budget: "&amp;Settings!$C$9</f>
        <v>Budget: Confirmed by Tereza on 13 Oct 2026: $300k for 2026 (originally $350k). We can go up to $320k, ideally not more.</v>
      </c>
      <c r="C3" s="5"/>
      <c r="D3" s="5"/>
      <c r="E3" s="5"/>
      <c r="F3" s="5"/>
      <c r="G3" s="5"/>
      <c r="H3" s="5"/>
      <c r="I3" s="5"/>
      <c r="J3" s="5"/>
      <c r="K3" s="5"/>
      <c r="L3" s="5"/>
      <c r="M3" s="5"/>
      <c r="P3" s="6" t="n">
        <f aca="false">Calc!C42-Calc!C27</f>
        <v>3058.39222385717</v>
      </c>
    </row>
    <row r="5" customFormat="false" ht="18" hidden="false" customHeight="true" outlineLevel="0" collapsed="false">
      <c r="B5" s="7" t="str">
        <f aca="false">"BUDGET "&amp;Settings!$C$12</f>
        <v>BUDGET 2026</v>
      </c>
      <c r="C5" s="7"/>
      <c r="D5" s="7" t="str">
        <f aca="false">"SPENT SO FAR"</f>
        <v>SPENT SO FAR</v>
      </c>
      <c r="E5" s="7"/>
      <c r="F5" s="7" t="str">
        <f aca="false">"LEFT IN THE BUDGET"</f>
        <v>LEFT IN THE BUDGET</v>
      </c>
      <c r="G5" s="7"/>
      <c r="H5" s="7" t="str">
        <f aca="false">"LEFT UP TO THE MAXIMUM"</f>
        <v>LEFT UP TO THE MAXIMUM</v>
      </c>
      <c r="I5" s="7"/>
      <c r="J5" s="7" t="str">
        <f aca="false">"CURRENT PACE PER WEEK"</f>
        <v>CURRENT PACE PER WEEK</v>
      </c>
      <c r="K5" s="7"/>
      <c r="L5" s="7" t="str">
        <f aca="false">"FORECAST YEAR-END"</f>
        <v>FORECAST YEAR-END</v>
      </c>
      <c r="M5" s="7"/>
    </row>
    <row r="6" customFormat="false" ht="30" hidden="false" customHeight="true" outlineLevel="0" collapsed="false">
      <c r="B6" s="8" t="str">
        <f aca="false">IF(Settings!$C$6="USD","$","€")&amp;TEXT(Calc!C27,"#,##0")</f>
        <v>$300,000</v>
      </c>
      <c r="C6" s="8"/>
      <c r="D6" s="8" t="str">
        <f aca="false">IF(Settings!$C$6="USD","$","€")&amp;TEXT(Calc!C30,"#,##0")</f>
        <v>$278,601</v>
      </c>
      <c r="E6" s="8"/>
      <c r="F6" s="8" t="str">
        <f aca="false">IF(Calc!C31&lt;0,"–"&amp;IF(Settings!$C$6="USD","$","€")&amp;TEXT(-Calc!C31,"#,##0"),IF(Settings!$C$6="USD","$","€")&amp;TEXT(Calc!C31,"#,##0"))</f>
        <v>$21,399</v>
      </c>
      <c r="G6" s="8"/>
      <c r="H6" s="8" t="str">
        <f aca="false">IF(Calc!C32&lt;0,"–"&amp;IF(Settings!$C$6="USD","$","€")&amp;TEXT(-Calc!C32,"#,##0"),IF(Settings!$C$6="USD","$","€")&amp;TEXT(Calc!C32,"#,##0"))</f>
        <v>$41,399</v>
      </c>
      <c r="I6" s="8"/>
      <c r="J6" s="8" t="str">
        <f aca="false">IF(Settings!$C$6="USD","$","€")&amp;TEXT(Calc!C39,"#,##0")</f>
        <v>$1,861</v>
      </c>
      <c r="K6" s="8"/>
      <c r="L6" s="8" t="str">
        <f aca="false">IF(Settings!$C$6="USD","$","€")&amp;TEXT(Calc!C42,"#,##0")</f>
        <v>$303,058</v>
      </c>
      <c r="M6" s="8"/>
    </row>
    <row r="7" customFormat="false" ht="30" hidden="false" customHeight="true" outlineLevel="0" collapsed="false">
      <c r="B7" s="9" t="str">
        <f aca="false">"Maximum "&amp;IF(Settings!$C$6="USD","$","€")&amp;TEXT(Calc!C28,"#,##0")&amp;" · originally "&amp;IF(Settings!$C$6="USD","$","€")&amp;TEXT(Calc!C29,"#,##0")</f>
        <v>Maximum $320,000 · originally $350,000</v>
      </c>
      <c r="C7" s="9"/>
      <c r="D7" s="9" t="str">
        <f aca="false">TEXT(Calc!C33,"0%")&amp;" of budget · "&amp;TEXT(Calc!C9,"0%")&amp;" of the year gone"</f>
        <v>93% of budget · 75% of the year gone</v>
      </c>
      <c r="E7" s="9"/>
      <c r="F7" s="9" t="str">
        <f aca="false">IF(Calc!C31&lt;0,"Budget already used up","≈ "&amp;IF(Settings!$C$6="USD","$","€")&amp;TEXT(Calc!C43,"#,##0")&amp;" a week until "&amp;TEXT(Calc!C5,"d mmm"))</f>
        <v>≈ $1,628 a week until 31 Dec</v>
      </c>
      <c r="G7" s="9"/>
      <c r="H7" s="9" t="str">
        <f aca="false">IF(Calc!C32&lt;0,"Maximum already passed","≈ "&amp;IF(Settings!$C$6="USD","$","€")&amp;TEXT(Calc!C44,"#,##0")&amp;" a week until "&amp;TEXT(Calc!C5,"d mmm"))</f>
        <v>≈ $3,150 a week until 31 Dec</v>
      </c>
      <c r="I7" s="9"/>
      <c r="J7" s="9" t="str">
        <f aca="false">IF(Calc!C37&gt;0,"Platforms, last 3 full weeks","Agency reports, last 3 weeks (after the cuts)")</f>
        <v>Agency reports, last 3 weeks (after the cuts)</v>
      </c>
      <c r="K7" s="9"/>
      <c r="L7" s="9" t="str">
        <f aca="false">IF(Calc!C42&gt;Calc!C27,"▲ "&amp;IF(Settings!$C$6="USD","$","€")&amp;TEXT(Calc!C42-Calc!C27,"#,##0")&amp;" over budget","▼ "&amp;IF(Settings!$C$6="USD","$","€")&amp;TEXT(Calc!C27-Calc!C42,"#,##0")&amp;" under budget")&amp;" · "&amp;IF(Calc!C42&gt;Calc!C28,"over","within")&amp;" the maximum"</f>
        <v>▲ $3,058 over budget · within the maximum</v>
      </c>
      <c r="M7" s="9"/>
    </row>
    <row r="9" customFormat="false" ht="15" hidden="false" customHeight="false" outlineLevel="0" collapsed="false">
      <c r="B9" s="10" t="s">
        <v>1</v>
      </c>
      <c r="C9" s="11"/>
      <c r="D9" s="11"/>
      <c r="E9" s="11"/>
      <c r="F9" s="11"/>
      <c r="G9" s="11"/>
      <c r="H9" s="11"/>
      <c r="I9" s="11"/>
      <c r="J9" s="11"/>
      <c r="K9" s="11"/>
      <c r="L9" s="11"/>
      <c r="M9" s="11"/>
    </row>
    <row r="10" customFormat="false" ht="25.5" hidden="false" customHeight="true" outlineLevel="0" collapsed="false">
      <c r="B10" s="12" t="s">
        <v>2</v>
      </c>
      <c r="C10" s="12"/>
      <c r="D10" s="12" t="s">
        <v>3</v>
      </c>
      <c r="E10" s="12" t="s">
        <v>4</v>
      </c>
      <c r="F10" s="12" t="s">
        <v>5</v>
      </c>
      <c r="G10" s="12" t="s">
        <v>6</v>
      </c>
      <c r="H10" s="12" t="str">
        <f aca="false">"Progress  (year gone: "&amp;TEXT(Calc!C9,"0%")&amp;")"</f>
        <v>Progress  (year gone: 75%)</v>
      </c>
      <c r="I10" s="12"/>
      <c r="J10" s="12"/>
      <c r="K10" s="12" t="s">
        <v>7</v>
      </c>
      <c r="L10" s="12"/>
      <c r="M10" s="12"/>
    </row>
    <row r="11" customFormat="false" ht="15" hidden="false" customHeight="false" outlineLevel="0" collapsed="false">
      <c r="B11" s="13" t="s">
        <v>8</v>
      </c>
      <c r="C11" s="13"/>
      <c r="D11" s="14" t="n">
        <f aca="false">Calc!C27</f>
        <v>300000</v>
      </c>
      <c r="E11" s="15" t="n">
        <f aca="false">Calc!C30</f>
        <v>278601.384281</v>
      </c>
      <c r="F11" s="14" t="n">
        <f aca="false">Calc!C31</f>
        <v>21398.615719</v>
      </c>
      <c r="G11" s="16" t="n">
        <f aca="false">Calc!C33</f>
        <v>0.928671280936667</v>
      </c>
      <c r="H11" s="17" t="str">
        <f aca="false">REPT("█",ROUND(MIN(G11,1)*26,0))&amp;REPT("░",26-ROUND(MIN(G11,1)*26,0))</f>
        <v>████████████████████████░░</v>
      </c>
      <c r="I11" s="17"/>
      <c r="J11" s="17"/>
      <c r="K11" s="18" t="str">
        <f aca="false">IF(Calc!C30&gt;=Calc!C27,"▲ Budget used up",IF(Calc!C42&gt;Calc!C27,"▲ Ends ≈ "&amp;IF(Settings!$C$6="USD","$","€")&amp;TEXT(Calc!C42-Calc!C27,"#,##0")&amp;" over budget","● Ends within budget"))</f>
        <v>▲ Ends ≈ $3,058 over budget</v>
      </c>
      <c r="L11" s="18"/>
      <c r="M11" s="18"/>
    </row>
    <row r="12" customFormat="false" ht="15" hidden="false" customHeight="false" outlineLevel="0" collapsed="false">
      <c r="B12" s="13" t="s">
        <v>9</v>
      </c>
      <c r="C12" s="13"/>
      <c r="D12" s="14" t="n">
        <f aca="false">Calc!C28</f>
        <v>320000</v>
      </c>
      <c r="E12" s="15" t="n">
        <f aca="false">Calc!C30</f>
        <v>278601.384281</v>
      </c>
      <c r="F12" s="14" t="n">
        <f aca="false">Calc!C32</f>
        <v>41398.615719</v>
      </c>
      <c r="G12" s="16" t="n">
        <f aca="false">Calc!C34</f>
        <v>0.870629325878125</v>
      </c>
      <c r="H12" s="17" t="str">
        <f aca="false">REPT("█",ROUND(MIN(G12,1)*26,0))&amp;REPT("░",26-ROUND(MIN(G12,1)*26,0))</f>
        <v>███████████████████████░░░</v>
      </c>
      <c r="I12" s="17"/>
      <c r="J12" s="17"/>
      <c r="K12" s="18" t="str">
        <f aca="false">IF(Calc!C30&gt;=Calc!C28,"▲ Maximum passed",IF(Calc!C42&gt;Calc!C28,"▲ Ends ≈ "&amp;IF(Settings!$C$6="USD","$","€")&amp;TEXT(Calc!C42-Calc!C28,"#,##0")&amp;" over the maximum","● Ends ≈ "&amp;IF(Settings!$C$6="USD","$","€")&amp;TEXT(Calc!C28-Calc!C42,"#,##0")&amp;" under the maximum"))</f>
        <v>● Ends ≈ $16,942 under the maximum</v>
      </c>
      <c r="L12" s="18"/>
      <c r="M12" s="18"/>
    </row>
    <row r="13" customFormat="false" ht="25.5" hidden="false" customHeight="true" outlineLevel="0" collapsed="false">
      <c r="B13" s="19" t="str">
        <f aca="false">"By "&amp;TEXT(Calc!C3,"d mmm")&amp;", "&amp;IF(Settings!$C$6="USD","$","€")&amp;TEXT(Calc!C30,"#,##0")&amp;" was spent: "&amp;IF(Settings!$C$6="USD","$","€")&amp;TEXT(ABS(Calc!C36),"#,##0")&amp;IF(Calc!C36&gt;=0," more"," less")&amp;" than an even pace through the year ("&amp;IF(Settings!$C$6="USD","$","€")&amp;TEXT(Calc!C35,"#,##0")&amp;"). Current pace from "&amp;Calc!C40&amp;"."</f>
        <v>By 30 Sep, $278,601 was spent: $54,218 more than an even pace through the year ($224,384). Current pace from the agency reports for W/C 21 Sep – 5 Oct (after the September cuts).</v>
      </c>
      <c r="C13" s="19"/>
      <c r="D13" s="19"/>
      <c r="E13" s="19"/>
      <c r="F13" s="19"/>
      <c r="G13" s="19"/>
      <c r="H13" s="19"/>
      <c r="I13" s="19"/>
      <c r="J13" s="19"/>
      <c r="K13" s="19"/>
      <c r="L13" s="19"/>
      <c r="M13" s="19"/>
    </row>
    <row r="15" customFormat="false" ht="15" hidden="false" customHeight="false" outlineLevel="0" collapsed="false">
      <c r="B15" s="10" t="s">
        <v>10</v>
      </c>
      <c r="C15" s="11"/>
      <c r="D15" s="11"/>
      <c r="E15" s="11"/>
      <c r="F15" s="11"/>
      <c r="G15" s="11"/>
      <c r="H15" s="11"/>
      <c r="I15" s="11"/>
      <c r="J15" s="11"/>
      <c r="K15" s="11"/>
      <c r="L15" s="11"/>
      <c r="M15" s="11"/>
    </row>
    <row r="16" customFormat="false" ht="25.5" hidden="false" customHeight="true" outlineLevel="0" collapsed="false">
      <c r="B16" s="12" t="s">
        <v>11</v>
      </c>
      <c r="C16" s="12"/>
      <c r="D16" s="12" t="str">
        <f aca="false">"Spent ("&amp;Settings!$C$6&amp;")"</f>
        <v>Spent (USD)</v>
      </c>
      <c r="E16" s="12" t="s">
        <v>12</v>
      </c>
      <c r="F16" s="12" t="s">
        <v>13</v>
      </c>
      <c r="G16" s="12" t="s">
        <v>14</v>
      </c>
      <c r="H16" s="12" t="s">
        <v>15</v>
      </c>
      <c r="I16" s="12" t="s">
        <v>16</v>
      </c>
      <c r="J16" s="12" t="s">
        <v>17</v>
      </c>
      <c r="K16" s="12" t="s">
        <v>18</v>
      </c>
      <c r="L16" s="12"/>
      <c r="M16" s="12"/>
    </row>
    <row r="17" customFormat="false" ht="24" hidden="false" customHeight="true" outlineLevel="0" collapsed="false">
      <c r="B17" s="13" t="s">
        <v>19</v>
      </c>
      <c r="C17" s="13"/>
      <c r="D17" s="14" t="n">
        <f aca="false">Calc!D20</f>
        <v>178067.03</v>
      </c>
      <c r="E17" s="20" t="n">
        <f aca="false">Calc!I20</f>
        <v>0.639146249971249</v>
      </c>
      <c r="F17" s="14" t="n">
        <f aca="false">Calc!E20</f>
        <v>11062.98</v>
      </c>
      <c r="G17" s="14" t="n">
        <f aca="false">Calc!F20</f>
        <v>40663.58</v>
      </c>
      <c r="H17" s="21" t="str">
        <f aca="false">IF(Calc!G20=0,"–",Calc!G20)</f>
        <v>–</v>
      </c>
      <c r="I17" s="22" t="str">
        <f aca="false">Settings!C22</f>
        <v>Yes</v>
      </c>
      <c r="J17" s="22" t="str">
        <f aca="false">Settings!B22</f>
        <v>USD</v>
      </c>
      <c r="K17" s="23" t="str">
        <f aca="false">IF(Settings!E22="","",Settings!E22)</f>
        <v>Includes FR_Alibaba (run by PnP's internal team) – confirm it belongs in this budget.</v>
      </c>
      <c r="L17" s="23"/>
      <c r="M17" s="23"/>
    </row>
    <row r="18" customFormat="false" ht="15.75" hidden="false" customHeight="true" outlineLevel="0" collapsed="false">
      <c r="B18" s="13" t="s">
        <v>20</v>
      </c>
      <c r="C18" s="13"/>
      <c r="D18" s="14" t="n">
        <f aca="false">Calc!D21</f>
        <v>100277.775069</v>
      </c>
      <c r="E18" s="20" t="n">
        <f aca="false">Calc!I21</f>
        <v>0.359932795480509</v>
      </c>
      <c r="F18" s="14" t="n">
        <f aca="false">Calc!E21</f>
        <v>6854.228188</v>
      </c>
      <c r="G18" s="14" t="n">
        <f aca="false">Calc!F21</f>
        <v>32249.009277</v>
      </c>
      <c r="H18" s="21" t="str">
        <f aca="false">IF(Calc!G21=0,"–",Calc!G21)</f>
        <v>–</v>
      </c>
      <c r="I18" s="22" t="str">
        <f aca="false">Settings!C23</f>
        <v>Yes</v>
      </c>
      <c r="J18" s="22" t="str">
        <f aca="false">Settings!B23</f>
        <v>EUR</v>
      </c>
      <c r="K18" s="23" t="str">
        <f aca="false">IF(Settings!E23="","",Settings!E23)</f>
        <v/>
      </c>
      <c r="L18" s="23"/>
      <c r="M18" s="23"/>
    </row>
    <row r="19" customFormat="false" ht="24" hidden="false" customHeight="true" outlineLevel="0" collapsed="false">
      <c r="B19" s="13" t="s">
        <v>21</v>
      </c>
      <c r="C19" s="13"/>
      <c r="D19" s="14" t="n">
        <f aca="false">Calc!D22</f>
        <v>256.579212</v>
      </c>
      <c r="E19" s="20" t="n">
        <f aca="false">Calc!I22</f>
        <v>0.000920954548241626</v>
      </c>
      <c r="F19" s="14" t="n">
        <f aca="false">Calc!E22</f>
        <v>256.579212</v>
      </c>
      <c r="G19" s="14" t="n">
        <f aca="false">Calc!F22</f>
        <v>256.579212</v>
      </c>
      <c r="H19" s="21" t="str">
        <f aca="false">IF(Calc!G22=0,"–",Calc!G22)</f>
        <v>–</v>
      </c>
      <c r="I19" s="22" t="str">
        <f aca="false">Settings!C24</f>
        <v>Yes</v>
      </c>
      <c r="J19" s="22" t="str">
        <f aca="false">Settings!B24</f>
        <v>EUR</v>
      </c>
      <c r="K19" s="23" t="str">
        <f aca="false">IF(Settings!E24="","",Settings!E24)</f>
        <v>To confirm with Tereza.</v>
      </c>
      <c r="L19" s="23"/>
      <c r="M19" s="23"/>
    </row>
    <row r="20" customFormat="false" ht="24" hidden="false" customHeight="true" outlineLevel="0" collapsed="false">
      <c r="B20" s="13" t="s">
        <v>22</v>
      </c>
      <c r="C20" s="13"/>
      <c r="D20" s="14" t="n">
        <f aca="false">Calc!D23</f>
        <v>0</v>
      </c>
      <c r="E20" s="20" t="n">
        <f aca="false">Calc!I23</f>
        <v>0</v>
      </c>
      <c r="F20" s="14" t="n">
        <f aca="false">Calc!E23</f>
        <v>0</v>
      </c>
      <c r="G20" s="14" t="n">
        <f aca="false">Calc!F23</f>
        <v>0</v>
      </c>
      <c r="H20" s="21" t="str">
        <f aca="false">IF(Calc!G23=0,"–",Calc!G23)</f>
        <v>–</v>
      </c>
      <c r="I20" s="22" t="str">
        <f aca="false">Settings!C25</f>
        <v>Yes</v>
      </c>
      <c r="J20" s="22" t="str">
        <f aca="false">Settings!B25</f>
        <v>USD</v>
      </c>
      <c r="K20" s="23" t="str">
        <f aca="false">IF(Settings!E25="","",Settings!E25)</f>
        <v>No spend in 2026. Billing currency to check.</v>
      </c>
      <c r="L20" s="23"/>
      <c r="M20" s="23"/>
    </row>
    <row r="21" customFormat="false" ht="15" hidden="false" customHeight="false" outlineLevel="0" collapsed="false">
      <c r="B21" s="24" t="s">
        <v>23</v>
      </c>
      <c r="C21" s="24"/>
      <c r="D21" s="25" t="n">
        <f aca="false">Calc!D25</f>
        <v>278601.384281</v>
      </c>
      <c r="E21" s="26" t="n">
        <f aca="false">IF(Calc!D25=0,"",1)</f>
        <v>1</v>
      </c>
      <c r="F21" s="25" t="n">
        <f aca="false">Calc!E25</f>
        <v>18173.7874</v>
      </c>
      <c r="G21" s="25" t="n">
        <f aca="false">Calc!F25</f>
        <v>73169.168489</v>
      </c>
      <c r="H21" s="25" t="str">
        <f aca="false">IF(Calc!G25=0,"–",Calc!G25)</f>
        <v>–</v>
      </c>
      <c r="I21" s="27"/>
      <c r="J21" s="27"/>
      <c r="K21" s="27"/>
      <c r="L21" s="27"/>
      <c r="M21" s="27"/>
    </row>
    <row r="22" customFormat="false" ht="15" hidden="false" customHeight="false" outlineLevel="0" collapsed="false">
      <c r="B22" s="28" t="s">
        <v>24</v>
      </c>
    </row>
    <row r="24" customFormat="false" ht="15" hidden="false" customHeight="false" outlineLevel="0" collapsed="false">
      <c r="B24" s="10" t="s">
        <v>25</v>
      </c>
      <c r="C24" s="11"/>
      <c r="D24" s="11"/>
      <c r="E24" s="11"/>
      <c r="F24" s="11"/>
      <c r="G24" s="11"/>
      <c r="H24" s="10" t="s">
        <v>26</v>
      </c>
      <c r="I24" s="11"/>
      <c r="J24" s="11"/>
      <c r="K24" s="11"/>
      <c r="L24" s="11"/>
      <c r="M24" s="11"/>
    </row>
    <row r="42" customFormat="false" ht="15" hidden="false" customHeight="false" outlineLevel="0" collapsed="false">
      <c r="B42" s="10" t="s">
        <v>27</v>
      </c>
      <c r="C42" s="11"/>
      <c r="D42" s="11"/>
      <c r="E42" s="11"/>
      <c r="F42" s="11"/>
      <c r="G42" s="11"/>
      <c r="H42" s="11"/>
      <c r="I42" s="11"/>
      <c r="J42" s="11"/>
      <c r="K42" s="11"/>
      <c r="L42" s="11"/>
      <c r="M42" s="11"/>
    </row>
    <row r="43" customFormat="false" ht="27.75" hidden="false" customHeight="true" outlineLevel="0" collapsed="false">
      <c r="B43" s="12" t="s">
        <v>28</v>
      </c>
      <c r="C43" s="12"/>
      <c r="D43" s="12" t="s">
        <v>19</v>
      </c>
      <c r="E43" s="12" t="s">
        <v>20</v>
      </c>
      <c r="F43" s="12" t="s">
        <v>21</v>
      </c>
      <c r="G43" s="12" t="s">
        <v>22</v>
      </c>
      <c r="H43" s="12" t="s">
        <v>23</v>
      </c>
      <c r="I43" s="12" t="s">
        <v>29</v>
      </c>
      <c r="J43" s="12" t="s">
        <v>30</v>
      </c>
      <c r="K43" s="12" t="s">
        <v>31</v>
      </c>
      <c r="L43" s="12"/>
      <c r="M43" s="12"/>
    </row>
    <row r="44" customFormat="false" ht="15" hidden="false" customHeight="false" outlineLevel="0" collapsed="false">
      <c r="B44" s="13" t="str">
        <f aca="false">"Q1  ("&amp;TEXT(Monthly!A5,"mmm")&amp;"–"&amp;TEXT(Monthly!A7,"mmm")&amp;")"</f>
        <v>Q1  (Jan–Mar)</v>
      </c>
      <c r="C44" s="13"/>
      <c r="D44" s="14" t="n">
        <f aca="false">SUM(Monthly!C5:C7)</f>
        <v>75432.1</v>
      </c>
      <c r="E44" s="14" t="n">
        <f aca="false">SUM(Monthly!D5:D7)</f>
        <v>32036.489799</v>
      </c>
      <c r="F44" s="14" t="n">
        <f aca="false">SUM(Monthly!E5:E7)</f>
        <v>0</v>
      </c>
      <c r="G44" s="14" t="n">
        <f aca="false">SUM(Monthly!F5:F7)</f>
        <v>0</v>
      </c>
      <c r="H44" s="15" t="n">
        <f aca="false">SUM(D44:G44)</f>
        <v>107468.589799</v>
      </c>
      <c r="I44" s="14" t="n">
        <f aca="false">SUM(Monthly!H5:H7)</f>
        <v>107468.589799</v>
      </c>
      <c r="J44" s="14" t="n">
        <f aca="false">SUM(Monthly!I5:I7)</f>
        <v>73972.602739726</v>
      </c>
      <c r="K44" s="29" t="str">
        <f aca="false">IF(Settings!$C$5&gt;=EOMONTH(Monthly!A7,0),IF(Settings!$C$5&lt;EOMONTH(Monthly!A10,0),"Complete · last quarter","Complete"),IF(Settings!$C$5&gt;=Monthly!A5,"In progress","Not started"))</f>
        <v>Complete</v>
      </c>
      <c r="L44" s="29"/>
      <c r="M44" s="29"/>
    </row>
    <row r="45" customFormat="false" ht="15" hidden="false" customHeight="false" outlineLevel="0" collapsed="false">
      <c r="B45" s="13" t="str">
        <f aca="false">"Q2  ("&amp;TEXT(Monthly!A8,"mmm")&amp;"–"&amp;TEXT(Monthly!A10,"mmm")&amp;")"</f>
        <v>Q2  (Apr–Jun)</v>
      </c>
      <c r="C45" s="13"/>
      <c r="D45" s="14" t="n">
        <f aca="false">SUM(Monthly!C8:C10)</f>
        <v>61971.35</v>
      </c>
      <c r="E45" s="14" t="n">
        <f aca="false">SUM(Monthly!D8:D10)</f>
        <v>35992.275993</v>
      </c>
      <c r="F45" s="14" t="n">
        <f aca="false">SUM(Monthly!E8:E10)</f>
        <v>0</v>
      </c>
      <c r="G45" s="14" t="n">
        <f aca="false">SUM(Monthly!F8:F10)</f>
        <v>0</v>
      </c>
      <c r="H45" s="15" t="n">
        <f aca="false">SUM(D45:G45)</f>
        <v>97963.625993</v>
      </c>
      <c r="I45" s="14" t="n">
        <f aca="false">SUM(Monthly!H8:H10)</f>
        <v>97963.625993</v>
      </c>
      <c r="J45" s="14" t="n">
        <f aca="false">SUM(Monthly!I8:I10)</f>
        <v>74794.5205479452</v>
      </c>
      <c r="K45" s="29" t="str">
        <f aca="false">IF(Settings!$C$5&gt;=EOMONTH(Monthly!A10,0),IF(Settings!$C$5&lt;EOMONTH(Monthly!A13,0),"Complete · last quarter","Complete"),IF(Settings!$C$5&gt;=Monthly!A8,"In progress","Not started"))</f>
        <v>Complete</v>
      </c>
      <c r="L45" s="29"/>
      <c r="M45" s="29"/>
    </row>
    <row r="46" customFormat="false" ht="15" hidden="false" customHeight="false" outlineLevel="0" collapsed="false">
      <c r="B46" s="13" t="str">
        <f aca="false">"Q3  ("&amp;TEXT(Monthly!A11,"mmm")&amp;"–"&amp;TEXT(Monthly!A13,"mmm")&amp;")"</f>
        <v>Q3  (Jul–Sep)</v>
      </c>
      <c r="C46" s="13"/>
      <c r="D46" s="14" t="n">
        <f aca="false">SUM(Monthly!C11:C13)</f>
        <v>40663.58</v>
      </c>
      <c r="E46" s="14" t="n">
        <f aca="false">SUM(Monthly!D11:D13)</f>
        <v>32249.009277</v>
      </c>
      <c r="F46" s="14" t="n">
        <f aca="false">SUM(Monthly!E11:E13)</f>
        <v>256.579212</v>
      </c>
      <c r="G46" s="14" t="n">
        <f aca="false">SUM(Monthly!F11:F13)</f>
        <v>0</v>
      </c>
      <c r="H46" s="15" t="n">
        <f aca="false">SUM(D46:G46)</f>
        <v>73169.168489</v>
      </c>
      <c r="I46" s="14" t="n">
        <f aca="false">SUM(Monthly!H11:H13)</f>
        <v>73169.168489</v>
      </c>
      <c r="J46" s="14" t="n">
        <f aca="false">SUM(Monthly!I11:I13)</f>
        <v>75616.4383561644</v>
      </c>
      <c r="K46" s="29" t="str">
        <f aca="false">IF(Settings!$C$5&gt;=EOMONTH(Monthly!A13,0),IF(Settings!$C$5&lt;EOMONTH(Monthly!A16,0),"Complete · last quarter","Complete"),IF(Settings!$C$5&gt;=Monthly!A11,"In progress","Not started"))</f>
        <v>Complete · last quarter</v>
      </c>
      <c r="L46" s="29"/>
      <c r="M46" s="29"/>
    </row>
    <row r="47" customFormat="false" ht="15" hidden="false" customHeight="false" outlineLevel="0" collapsed="false">
      <c r="B47" s="13" t="str">
        <f aca="false">"Q4  ("&amp;TEXT(Monthly!A14,"mmm")&amp;"–"&amp;TEXT(Monthly!A16,"mmm")&amp;")"</f>
        <v>Q4  (Oct–Dec)</v>
      </c>
      <c r="C47" s="13"/>
      <c r="D47" s="14" t="n">
        <f aca="false">SUM(Monthly!C14:C16)</f>
        <v>0</v>
      </c>
      <c r="E47" s="14" t="n">
        <f aca="false">SUM(Monthly!D14:D16)</f>
        <v>0</v>
      </c>
      <c r="F47" s="14" t="n">
        <f aca="false">SUM(Monthly!E14:E16)</f>
        <v>0</v>
      </c>
      <c r="G47" s="14" t="n">
        <f aca="false">SUM(Monthly!F14:F16)</f>
        <v>0</v>
      </c>
      <c r="H47" s="15" t="n">
        <f aca="false">SUM(D47:G47)</f>
        <v>0</v>
      </c>
      <c r="I47" s="14" t="n">
        <f aca="false">SUM(Monthly!H14:H16)</f>
        <v>0</v>
      </c>
      <c r="J47" s="14" t="n">
        <f aca="false">SUM(Monthly!I14:I16)</f>
        <v>75616.4383561644</v>
      </c>
      <c r="K47" s="29" t="str">
        <f aca="false">IF(Settings!$C$5&gt;=EOMONTH(Monthly!A16,0),"Complete",IF(Settings!$C$5&gt;=Monthly!A14,"In progress","Not started"))</f>
        <v>Not started</v>
      </c>
      <c r="L47" s="29"/>
      <c r="M47" s="29"/>
    </row>
    <row r="48" customFormat="false" ht="15" hidden="false" customHeight="false" outlineLevel="0" collapsed="false">
      <c r="B48" s="24" t="s">
        <v>32</v>
      </c>
      <c r="C48" s="24"/>
      <c r="D48" s="30" t="n">
        <f aca="false">SUM(D44:D47)</f>
        <v>178067.03</v>
      </c>
      <c r="E48" s="30" t="n">
        <f aca="false">SUM(E44:E47)</f>
        <v>100277.775069</v>
      </c>
      <c r="F48" s="30" t="n">
        <f aca="false">SUM(F44:F47)</f>
        <v>256.579212</v>
      </c>
      <c r="G48" s="30" t="n">
        <f aca="false">SUM(G44:G47)</f>
        <v>0</v>
      </c>
      <c r="H48" s="30" t="n">
        <f aca="false">SUM(H44:H47)</f>
        <v>278601.384281</v>
      </c>
      <c r="I48" s="30" t="n">
        <f aca="false">SUM(I44:I47)</f>
        <v>278601.384281</v>
      </c>
      <c r="J48" s="30" t="n">
        <f aca="false">SUM(J44:J47)</f>
        <v>300000</v>
      </c>
      <c r="K48" s="27"/>
      <c r="L48" s="27"/>
      <c r="M48" s="27"/>
    </row>
    <row r="50" customFormat="false" ht="15" hidden="false" customHeight="false" outlineLevel="0" collapsed="false">
      <c r="B50" s="10" t="s">
        <v>33</v>
      </c>
      <c r="C50" s="11"/>
      <c r="D50" s="11"/>
      <c r="E50" s="11"/>
      <c r="F50" s="11"/>
      <c r="G50" s="11"/>
      <c r="H50" s="11"/>
      <c r="I50" s="11"/>
      <c r="J50" s="11"/>
      <c r="K50" s="11"/>
      <c r="L50" s="11"/>
      <c r="M50" s="11"/>
    </row>
    <row r="51" customFormat="false" ht="24" hidden="false" customHeight="true" outlineLevel="0" collapsed="false">
      <c r="B51" s="12" t="s">
        <v>34</v>
      </c>
      <c r="C51" s="12"/>
      <c r="D51" s="12"/>
      <c r="E51" s="12"/>
      <c r="F51" s="12" t="str">
        <f aca="false">"Per week ("&amp;Settings!$C$6&amp;")"</f>
        <v>Per week (USD)</v>
      </c>
      <c r="G51" s="12" t="s">
        <v>35</v>
      </c>
      <c r="H51" s="12" t="s">
        <v>36</v>
      </c>
      <c r="I51" s="12" t="s">
        <v>37</v>
      </c>
      <c r="J51" s="12" t="s">
        <v>38</v>
      </c>
      <c r="K51" s="12"/>
      <c r="L51" s="12"/>
      <c r="M51" s="12"/>
    </row>
    <row r="52" customFormat="false" ht="25.5" hidden="false" customHeight="true" outlineLevel="0" collapsed="false">
      <c r="B52" s="13" t="str">
        <f aca="false">"…the current pace"</f>
        <v>…the current pace</v>
      </c>
      <c r="C52" s="13"/>
      <c r="D52" s="13"/>
      <c r="E52" s="13"/>
      <c r="F52" s="14" t="n">
        <f aca="false">Calc!C39</f>
        <v>1860.8593</v>
      </c>
      <c r="G52" s="15" t="n">
        <f aca="false">Calc!C42</f>
        <v>303058.392223857</v>
      </c>
      <c r="H52" s="14" t="n">
        <f aca="false">G52-Calc!$C$27</f>
        <v>3058.39222385717</v>
      </c>
      <c r="I52" s="14" t="n">
        <f aca="false">G52-Calc!$C$28</f>
        <v>-16941.6077761428</v>
      </c>
      <c r="J52" s="23" t="str">
        <f aca="false">"Source: "&amp;Calc!C40</f>
        <v>Source: the agency reports for W/C 21 Sep – 5 Oct (after the September cuts)</v>
      </c>
      <c r="K52" s="23"/>
      <c r="L52" s="23"/>
      <c r="M52" s="23"/>
    </row>
    <row r="53" customFormat="false" ht="15.75" hidden="false" customHeight="true" outlineLevel="0" collapsed="false">
      <c r="B53" s="13" t="str">
        <f aca="false">"…a pace that lands exactly on the budget"</f>
        <v>…a pace that lands exactly on the budget</v>
      </c>
      <c r="C53" s="13"/>
      <c r="D53" s="13"/>
      <c r="E53" s="13"/>
      <c r="F53" s="14" t="n">
        <f aca="false">MAX(0,Calc!C43)</f>
        <v>1628.15554383696</v>
      </c>
      <c r="G53" s="15" t="n">
        <f aca="false">Calc!C27</f>
        <v>300000</v>
      </c>
      <c r="H53" s="14" t="n">
        <f aca="false">G53-Calc!$C$27</f>
        <v>0</v>
      </c>
      <c r="I53" s="14" t="n">
        <f aca="false">G53-Calc!$C$28</f>
        <v>-20000</v>
      </c>
      <c r="J53" s="23" t="str">
        <f aca="false">IF(Calc!C31&lt;=0,"The budget is already used up",IF(Calc!C39=0,"",IF(Calc!C43&lt;Calc!C39,TEXT(1-Calc!C43/Calc!C39,"0%")&amp;" less per week than the current pace",TEXT(Calc!C43/Calc!C39-1,"0%")&amp;" more per week than the current pace")))</f>
        <v>13% less per week than the current pace</v>
      </c>
      <c r="K53" s="23"/>
      <c r="L53" s="23"/>
      <c r="M53" s="23"/>
    </row>
    <row r="54" customFormat="false" ht="15.75" hidden="false" customHeight="true" outlineLevel="0" collapsed="false">
      <c r="B54" s="13" t="str">
        <f aca="false">"…a pace that uses the maximum"</f>
        <v>…a pace that uses the maximum</v>
      </c>
      <c r="C54" s="13"/>
      <c r="D54" s="13"/>
      <c r="E54" s="13"/>
      <c r="F54" s="14" t="n">
        <f aca="false">MAX(0,Calc!C44)</f>
        <v>3149.89467427174</v>
      </c>
      <c r="G54" s="15" t="n">
        <f aca="false">Calc!C28</f>
        <v>320000</v>
      </c>
      <c r="H54" s="14" t="n">
        <f aca="false">G54-Calc!$C$27</f>
        <v>20000</v>
      </c>
      <c r="I54" s="14" t="n">
        <f aca="false">G54-Calc!$C$28</f>
        <v>0</v>
      </c>
      <c r="J54" s="23" t="str">
        <f aca="false">IF(Calc!C32&lt;=0,"The maximum is already passed",IF(Calc!C39=0,"",IF(Calc!C44&lt;Calc!C39,TEXT(1-Calc!C44/Calc!C39,"0%")&amp;" less per week than the current pace",TEXT(Calc!C44/Calc!C39-1,"0%")&amp;" more per week than the current pace")))</f>
        <v>69% more per week than the current pace</v>
      </c>
      <c r="K54" s="23"/>
      <c r="L54" s="23"/>
      <c r="M54" s="23"/>
    </row>
    <row r="55" customFormat="false" ht="15.75" hidden="false" customHeight="true" outlineLevel="0" collapsed="false">
      <c r="B55" s="13" t="str">
        <f aca="false">"…last month's pace ("&amp;TEXT(Calc!C11,"mmmm")&amp;", before the cuts)"</f>
        <v>…last month's pace (September, before the cuts)</v>
      </c>
      <c r="C55" s="13"/>
      <c r="D55" s="13"/>
      <c r="E55" s="13"/>
      <c r="F55" s="14" t="n">
        <f aca="false">Calc!C45/Calc!C17*7</f>
        <v>4240.55039333333</v>
      </c>
      <c r="G55" s="15" t="n">
        <f aca="false">Calc!C47</f>
        <v>334334.332307667</v>
      </c>
      <c r="H55" s="14" t="n">
        <f aca="false">G55-Calc!$C$27</f>
        <v>34334.3323076667</v>
      </c>
      <c r="I55" s="14" t="n">
        <f aca="false">G55-Calc!$C$28</f>
        <v>14334.3323076667</v>
      </c>
      <c r="J55" s="23" t="str">
        <f aca="false">"For reference"</f>
        <v>For reference</v>
      </c>
      <c r="K55" s="23"/>
      <c r="L55" s="23"/>
      <c r="M55" s="23"/>
    </row>
    <row r="57" customFormat="false" ht="15" hidden="false" customHeight="false" outlineLevel="0" collapsed="false">
      <c r="B57" s="10" t="s">
        <v>39</v>
      </c>
      <c r="C57" s="11"/>
      <c r="D57" s="11"/>
      <c r="E57" s="11"/>
      <c r="F57" s="11"/>
      <c r="G57" s="11"/>
      <c r="H57" s="10" t="s">
        <v>40</v>
      </c>
      <c r="I57" s="11"/>
      <c r="J57" s="11"/>
      <c r="K57" s="11"/>
      <c r="L57" s="11"/>
      <c r="M57" s="11"/>
    </row>
    <row r="73" customFormat="false" ht="15" hidden="false" customHeight="false" outlineLevel="0" collapsed="false">
      <c r="B73" s="28" t="s">
        <v>41</v>
      </c>
    </row>
  </sheetData>
  <mergeCells count="65">
    <mergeCell ref="B1:M1"/>
    <mergeCell ref="B2:M2"/>
    <mergeCell ref="B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10:C10"/>
    <mergeCell ref="H10:J10"/>
    <mergeCell ref="K10:M10"/>
    <mergeCell ref="B11:C11"/>
    <mergeCell ref="H11:J11"/>
    <mergeCell ref="K11:M11"/>
    <mergeCell ref="B12:C12"/>
    <mergeCell ref="H12:J12"/>
    <mergeCell ref="K12:M12"/>
    <mergeCell ref="B13:M13"/>
    <mergeCell ref="B16:C16"/>
    <mergeCell ref="K16:M16"/>
    <mergeCell ref="B17:C17"/>
    <mergeCell ref="K17:M17"/>
    <mergeCell ref="B18:C18"/>
    <mergeCell ref="K18:M18"/>
    <mergeCell ref="B19:C19"/>
    <mergeCell ref="K19:M19"/>
    <mergeCell ref="B20:C20"/>
    <mergeCell ref="K20:M20"/>
    <mergeCell ref="B21:C21"/>
    <mergeCell ref="K21:M21"/>
    <mergeCell ref="B43:C43"/>
    <mergeCell ref="K43:M43"/>
    <mergeCell ref="B44:C44"/>
    <mergeCell ref="K44:M44"/>
    <mergeCell ref="B45:C45"/>
    <mergeCell ref="K45:M45"/>
    <mergeCell ref="B46:C46"/>
    <mergeCell ref="K46:M46"/>
    <mergeCell ref="B47:C47"/>
    <mergeCell ref="K47:M47"/>
    <mergeCell ref="B48:C48"/>
    <mergeCell ref="K48:M48"/>
    <mergeCell ref="B51:E51"/>
    <mergeCell ref="J51:M51"/>
    <mergeCell ref="B52:E52"/>
    <mergeCell ref="J52:M52"/>
    <mergeCell ref="B53:E53"/>
    <mergeCell ref="J53:M53"/>
    <mergeCell ref="B54:E54"/>
    <mergeCell ref="J54:M54"/>
    <mergeCell ref="B55:E55"/>
    <mergeCell ref="J55:M55"/>
  </mergeCells>
  <conditionalFormatting sqref="L7">
    <cfRule type="expression" priority="2" aboveAverage="0" equalAverage="0" bottom="0" percent="0" rank="0" text="" dxfId="0">
      <formula>$P$3&gt;0</formula>
    </cfRule>
  </conditionalFormatting>
  <conditionalFormatting sqref="F6">
    <cfRule type="expression" priority="3" aboveAverage="0" equalAverage="0" bottom="0" percent="0" rank="0" text="" dxfId="1">
      <formula>LEFT(F6,1)="–"</formula>
    </cfRule>
  </conditionalFormatting>
  <conditionalFormatting sqref="K11:K12">
    <cfRule type="expression" priority="4" aboveAverage="0" equalAverage="0" bottom="0" percent="0" rank="0" text="" dxfId="2">
      <formula>LEFT(K11,1)="▲"</formula>
    </cfRule>
    <cfRule type="expression" priority="5" aboveAverage="0" equalAverage="0" bottom="0" percent="0" rank="0" text="" dxfId="3">
      <formula>LEFT(K11,1)="●"</formula>
    </cfRule>
  </conditionalFormatting>
  <conditionalFormatting sqref="H11:H12">
    <cfRule type="expression" priority="6" aboveAverage="0" equalAverage="0" bottom="0" percent="0" rank="0" text="" dxfId="4">
      <formula>G11&gt;=1</formula>
    </cfRule>
    <cfRule type="expression" priority="7" aboveAverage="0" equalAverage="0" bottom="0" percent="0" rank="0" text="" dxfId="5">
      <formula>AND(G11&lt;1,G11&gt;$P$2+0.05)</formula>
    </cfRule>
  </conditionalFormatting>
  <conditionalFormatting sqref="B44:M47">
    <cfRule type="expression" priority="8" aboveAverage="0" equalAverage="0" bottom="0" percent="0" rank="0" text="" dxfId="6">
      <formula>ISNUMBER(SEARCH("last quarter",$K44))</formula>
    </cfRule>
  </conditionalFormatting>
  <conditionalFormatting sqref="H52:I55">
    <cfRule type="expression" priority="9" aboveAverage="0" equalAverage="0" bottom="0" percent="0" rank="0" text="" dxfId="7">
      <formula>H52&gt;0.5</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15" min="2" style="0" width="11"/>
    <col collapsed="false" customWidth="true" hidden="false" outlineLevel="0" max="17" min="16" style="0" width="12"/>
    <col collapsed="false" customWidth="true" hidden="false" outlineLevel="0" max="18" min="18" style="0" width="70"/>
    <col collapsed="false" customWidth="true" hidden="false" outlineLevel="0" max="19" min="19" style="0" width="8"/>
  </cols>
  <sheetData>
    <row r="1" customFormat="false" ht="19.7" hidden="false" customHeight="false" outlineLevel="0" collapsed="false">
      <c r="A1" s="31" t="s">
        <v>42</v>
      </c>
    </row>
    <row r="2" customFormat="false" ht="15" hidden="false" customHeight="false" outlineLevel="0" collapsed="false">
      <c r="A2" s="28" t="str">
        <f aca="false">"Weeks run Monday to Sunday · amounts in "&amp;Settings!$C$6&amp;" · from the daily platform exports. Yellow columns are typed by you."</f>
        <v>Weeks run Monday to Sunday · amounts in USD · from the daily platform exports. Yellow columns are typed by you.</v>
      </c>
    </row>
    <row r="3" customFormat="false" ht="15" hidden="false" customHeight="false" outlineLevel="0" collapsed="false">
      <c r="A3" s="2" t="s">
        <v>43</v>
      </c>
      <c r="C3" s="32" t="n">
        <f aca="false">Settings!$C$5</f>
        <v>46295</v>
      </c>
      <c r="D3" s="2" t="s">
        <v>44</v>
      </c>
      <c r="F3" s="32" t="n">
        <f aca="false">Calc!C13</f>
        <v>46292</v>
      </c>
      <c r="H3" s="33" t="s">
        <v>45</v>
      </c>
    </row>
    <row r="4" customFormat="false" ht="54" hidden="false" customHeight="true" outlineLevel="0" collapsed="false">
      <c r="A4" s="12" t="s">
        <v>46</v>
      </c>
      <c r="B4" s="12" t="s">
        <v>47</v>
      </c>
      <c r="C4" s="12" t="s">
        <v>48</v>
      </c>
      <c r="D4" s="12" t="s">
        <v>19</v>
      </c>
      <c r="E4" s="12" t="s">
        <v>20</v>
      </c>
      <c r="F4" s="12" t="s">
        <v>21</v>
      </c>
      <c r="G4" s="12" t="s">
        <v>22</v>
      </c>
      <c r="H4" s="12" t="s">
        <v>23</v>
      </c>
      <c r="I4" s="12" t="s">
        <v>29</v>
      </c>
      <c r="J4" s="12" t="s">
        <v>49</v>
      </c>
      <c r="K4" s="12" t="s">
        <v>50</v>
      </c>
      <c r="L4" s="12" t="s">
        <v>51</v>
      </c>
      <c r="M4" s="12" t="s">
        <v>52</v>
      </c>
      <c r="N4" s="12" t="s">
        <v>53</v>
      </c>
      <c r="O4" s="12" t="s">
        <v>54</v>
      </c>
      <c r="P4" s="34" t="s">
        <v>55</v>
      </c>
      <c r="Q4" s="34" t="s">
        <v>56</v>
      </c>
      <c r="R4" s="34" t="s">
        <v>57</v>
      </c>
      <c r="S4" s="12" t="s">
        <v>58</v>
      </c>
    </row>
    <row r="5" customFormat="false" ht="36" hidden="false" customHeight="true" outlineLevel="0" collapsed="false">
      <c r="A5" s="35" t="n">
        <v>1</v>
      </c>
      <c r="B5" s="36" t="n">
        <f aca="false">Settings!$C$13+7*(A5-1)</f>
        <v>46020</v>
      </c>
      <c r="C5" s="36" t="n">
        <f aca="false">B5+6</f>
        <v>46026</v>
      </c>
      <c r="D5" s="14" t="n">
        <f aca="false">SUMIFS('Meta data'!$I$3:$I$20000,'Meta data'!$A$3:$A$20000,"&gt;="&amp;$B5,'Meta data'!$A$3:$A$20000,"&lt;="&amp;$C5,'Meta data'!$G$3:$G$20000,"&lt;&gt;Month total")</f>
        <v>0</v>
      </c>
      <c r="E5" s="14" t="n">
        <f aca="false">SUMIFS('Google data'!$I$3:$I$20000,'Google data'!$A$3:$A$20000,"&gt;="&amp;$B5,'Google data'!$A$3:$A$20000,"&lt;="&amp;$C5,'Google data'!$G$3:$G$20000,"&lt;&gt;Month total")</f>
        <v>0</v>
      </c>
      <c r="F5" s="14" t="n">
        <f aca="false">SUMIFS('ChatGPT data'!$I$3:$I$20000,'ChatGPT data'!$A$3:$A$20000,"&gt;="&amp;$B5,'ChatGPT data'!$A$3:$A$20000,"&lt;="&amp;$C5,'ChatGPT data'!$G$3:$G$20000,"&lt;&gt;Month total")</f>
        <v>0</v>
      </c>
      <c r="G5" s="14" t="n">
        <f aca="false">SUMIFS('LinkedIn data'!$I$3:$I$20000,'LinkedIn data'!$A$3:$A$20000,"&gt;="&amp;$B5,'LinkedIn data'!$A$3:$A$20000,"&lt;="&amp;$C5,'LinkedIn data'!$G$3:$G$20000,"&lt;&gt;Month total")</f>
        <v>0</v>
      </c>
      <c r="H5" s="15" t="n">
        <f aca="false">SUM(D5:G5)</f>
        <v>0</v>
      </c>
      <c r="I5" s="14" t="n">
        <f aca="false">D5*(Settings!$C$22="Yes")+E5*(Settings!$C$23="Yes")+F5*(Settings!$C$24="Yes")+G5*(Settings!$C$25="Yes")</f>
        <v>0</v>
      </c>
      <c r="J5" s="14" t="n">
        <f aca="false">Settings!$D$16*MAX(0,MIN(C5,Settings!$C$11)-MAX(B5,Settings!$C$10)+1)/(Settings!$C$11-Settings!$C$10+1)</f>
        <v>3287.67123287671</v>
      </c>
      <c r="K5" s="14" t="str">
        <f aca="false">IF(OR(C5&gt;$C$3,I5=0),"",I5-J5)</f>
        <v/>
      </c>
      <c r="L5" s="37" t="n">
        <f aca="false">SUMIFS('Meta data'!$F$3:$F$20000,'Meta data'!$A$3:$A$20000,"&gt;="&amp;$B5,'Meta data'!$A$3:$A$20000,"&lt;="&amp;$C5,'Meta data'!$G$3:$G$20000,"&lt;&gt;Month total")</f>
        <v>0</v>
      </c>
      <c r="M5" s="38" t="str">
        <f aca="false">IF(L5=0,"",D5/L5)</f>
        <v/>
      </c>
      <c r="N5" s="37" t="n">
        <f aca="false">SUMIFS('Google data'!$F$3:$F$20000,'Google data'!$A$3:$A$20000,"&gt;="&amp;$B5,'Google data'!$A$3:$A$20000,"&lt;="&amp;$C5,'Google data'!$G$3:$G$20000,"&lt;&gt;Month total")</f>
        <v>0</v>
      </c>
      <c r="O5" s="38" t="str">
        <f aca="false">IF(N5=0,"",E5/N5)</f>
        <v/>
      </c>
      <c r="P5" s="39"/>
      <c r="Q5" s="39"/>
      <c r="R5" s="40" t="s">
        <v>59</v>
      </c>
      <c r="S5" s="41" t="str">
        <f aca="false">TEXT(B5,"d mmm")</f>
        <v>29 Dec</v>
      </c>
    </row>
    <row r="6" customFormat="false" ht="36" hidden="false" customHeight="true" outlineLevel="0" collapsed="false">
      <c r="A6" s="35" t="n">
        <v>2</v>
      </c>
      <c r="B6" s="36" t="n">
        <f aca="false">Settings!$C$13+7*(A6-1)</f>
        <v>46027</v>
      </c>
      <c r="C6" s="36" t="n">
        <f aca="false">B6+6</f>
        <v>46033</v>
      </c>
      <c r="D6" s="14" t="n">
        <f aca="false">SUMIFS('Meta data'!$I$3:$I$20000,'Meta data'!$A$3:$A$20000,"&gt;="&amp;$B6,'Meta data'!$A$3:$A$20000,"&lt;="&amp;$C6,'Meta data'!$G$3:$G$20000,"&lt;&gt;Month total")</f>
        <v>0</v>
      </c>
      <c r="E6" s="14" t="n">
        <f aca="false">SUMIFS('Google data'!$I$3:$I$20000,'Google data'!$A$3:$A$20000,"&gt;="&amp;$B6,'Google data'!$A$3:$A$20000,"&lt;="&amp;$C6,'Google data'!$G$3:$G$20000,"&lt;&gt;Month total")</f>
        <v>0</v>
      </c>
      <c r="F6" s="14" t="n">
        <f aca="false">SUMIFS('ChatGPT data'!$I$3:$I$20000,'ChatGPT data'!$A$3:$A$20000,"&gt;="&amp;$B6,'ChatGPT data'!$A$3:$A$20000,"&lt;="&amp;$C6,'ChatGPT data'!$G$3:$G$20000,"&lt;&gt;Month total")</f>
        <v>0</v>
      </c>
      <c r="G6" s="14" t="n">
        <f aca="false">SUMIFS('LinkedIn data'!$I$3:$I$20000,'LinkedIn data'!$A$3:$A$20000,"&gt;="&amp;$B6,'LinkedIn data'!$A$3:$A$20000,"&lt;="&amp;$C6,'LinkedIn data'!$G$3:$G$20000,"&lt;&gt;Month total")</f>
        <v>0</v>
      </c>
      <c r="H6" s="15" t="n">
        <f aca="false">SUM(D6:G6)</f>
        <v>0</v>
      </c>
      <c r="I6" s="14" t="n">
        <f aca="false">D6*(Settings!$C$22="Yes")+E6*(Settings!$C$23="Yes")+F6*(Settings!$C$24="Yes")+G6*(Settings!$C$25="Yes")</f>
        <v>0</v>
      </c>
      <c r="J6" s="14" t="n">
        <f aca="false">Settings!$D$16*MAX(0,MIN(C6,Settings!$C$11)-MAX(B6,Settings!$C$10)+1)/(Settings!$C$11-Settings!$C$10+1)</f>
        <v>5753.42465753425</v>
      </c>
      <c r="K6" s="14" t="str">
        <f aca="false">IF(OR(C6&gt;$C$3,I6=0),"",I6-J6)</f>
        <v/>
      </c>
      <c r="L6" s="37" t="n">
        <f aca="false">SUMIFS('Meta data'!$F$3:$F$20000,'Meta data'!$A$3:$A$20000,"&gt;="&amp;$B6,'Meta data'!$A$3:$A$20000,"&lt;="&amp;$C6,'Meta data'!$G$3:$G$20000,"&lt;&gt;Month total")</f>
        <v>0</v>
      </c>
      <c r="M6" s="38" t="str">
        <f aca="false">IF(L6=0,"",D6/L6)</f>
        <v/>
      </c>
      <c r="N6" s="37" t="n">
        <f aca="false">SUMIFS('Google data'!$F$3:$F$20000,'Google data'!$A$3:$A$20000,"&gt;="&amp;$B6,'Google data'!$A$3:$A$20000,"&lt;="&amp;$C6,'Google data'!$G$3:$G$20000,"&lt;&gt;Month total")</f>
        <v>0</v>
      </c>
      <c r="O6" s="38" t="str">
        <f aca="false">IF(N6=0,"",E6/N6)</f>
        <v/>
      </c>
      <c r="P6" s="39"/>
      <c r="Q6" s="39"/>
      <c r="R6" s="40" t="s">
        <v>60</v>
      </c>
      <c r="S6" s="41" t="str">
        <f aca="false">TEXT(B6,"d mmm")</f>
        <v>5 Jan</v>
      </c>
    </row>
    <row r="7" customFormat="false" ht="36" hidden="false" customHeight="true" outlineLevel="0" collapsed="false">
      <c r="A7" s="35" t="n">
        <v>3</v>
      </c>
      <c r="B7" s="36" t="n">
        <f aca="false">Settings!$C$13+7*(A7-1)</f>
        <v>46034</v>
      </c>
      <c r="C7" s="36" t="n">
        <f aca="false">B7+6</f>
        <v>46040</v>
      </c>
      <c r="D7" s="14" t="n">
        <f aca="false">SUMIFS('Meta data'!$I$3:$I$20000,'Meta data'!$A$3:$A$20000,"&gt;="&amp;$B7,'Meta data'!$A$3:$A$20000,"&lt;="&amp;$C7,'Meta data'!$G$3:$G$20000,"&lt;&gt;Month total")</f>
        <v>0</v>
      </c>
      <c r="E7" s="14" t="n">
        <f aca="false">SUMIFS('Google data'!$I$3:$I$20000,'Google data'!$A$3:$A$20000,"&gt;="&amp;$B7,'Google data'!$A$3:$A$20000,"&lt;="&amp;$C7,'Google data'!$G$3:$G$20000,"&lt;&gt;Month total")</f>
        <v>0</v>
      </c>
      <c r="F7" s="14" t="n">
        <f aca="false">SUMIFS('ChatGPT data'!$I$3:$I$20000,'ChatGPT data'!$A$3:$A$20000,"&gt;="&amp;$B7,'ChatGPT data'!$A$3:$A$20000,"&lt;="&amp;$C7,'ChatGPT data'!$G$3:$G$20000,"&lt;&gt;Month total")</f>
        <v>0</v>
      </c>
      <c r="G7" s="14" t="n">
        <f aca="false">SUMIFS('LinkedIn data'!$I$3:$I$20000,'LinkedIn data'!$A$3:$A$20000,"&gt;="&amp;$B7,'LinkedIn data'!$A$3:$A$20000,"&lt;="&amp;$C7,'LinkedIn data'!$G$3:$G$20000,"&lt;&gt;Month total")</f>
        <v>0</v>
      </c>
      <c r="H7" s="15" t="n">
        <f aca="false">SUM(D7:G7)</f>
        <v>0</v>
      </c>
      <c r="I7" s="14" t="n">
        <f aca="false">D7*(Settings!$C$22="Yes")+E7*(Settings!$C$23="Yes")+F7*(Settings!$C$24="Yes")+G7*(Settings!$C$25="Yes")</f>
        <v>0</v>
      </c>
      <c r="J7" s="14" t="n">
        <f aca="false">Settings!$D$16*MAX(0,MIN(C7,Settings!$C$11)-MAX(B7,Settings!$C$10)+1)/(Settings!$C$11-Settings!$C$10+1)</f>
        <v>5753.42465753425</v>
      </c>
      <c r="K7" s="14" t="str">
        <f aca="false">IF(OR(C7&gt;$C$3,I7=0),"",I7-J7)</f>
        <v/>
      </c>
      <c r="L7" s="37" t="n">
        <f aca="false">SUMIFS('Meta data'!$F$3:$F$20000,'Meta data'!$A$3:$A$20000,"&gt;="&amp;$B7,'Meta data'!$A$3:$A$20000,"&lt;="&amp;$C7,'Meta data'!$G$3:$G$20000,"&lt;&gt;Month total")</f>
        <v>0</v>
      </c>
      <c r="M7" s="38" t="str">
        <f aca="false">IF(L7=0,"",D7/L7)</f>
        <v/>
      </c>
      <c r="N7" s="37" t="n">
        <f aca="false">SUMIFS('Google data'!$F$3:$F$20000,'Google data'!$A$3:$A$20000,"&gt;="&amp;$B7,'Google data'!$A$3:$A$20000,"&lt;="&amp;$C7,'Google data'!$G$3:$G$20000,"&lt;&gt;Month total")</f>
        <v>0</v>
      </c>
      <c r="O7" s="38" t="str">
        <f aca="false">IF(N7=0,"",E7/N7)</f>
        <v/>
      </c>
      <c r="P7" s="39"/>
      <c r="Q7" s="39"/>
      <c r="R7" s="40" t="s">
        <v>61</v>
      </c>
      <c r="S7" s="41" t="str">
        <f aca="false">TEXT(B7,"d mmm")</f>
        <v>12 Jan</v>
      </c>
    </row>
    <row r="8" customFormat="false" ht="36" hidden="false" customHeight="true" outlineLevel="0" collapsed="false">
      <c r="A8" s="35" t="n">
        <v>4</v>
      </c>
      <c r="B8" s="36" t="n">
        <f aca="false">Settings!$C$13+7*(A8-1)</f>
        <v>46041</v>
      </c>
      <c r="C8" s="36" t="n">
        <f aca="false">B8+6</f>
        <v>46047</v>
      </c>
      <c r="D8" s="14" t="n">
        <f aca="false">SUMIFS('Meta data'!$I$3:$I$20000,'Meta data'!$A$3:$A$20000,"&gt;="&amp;$B8,'Meta data'!$A$3:$A$20000,"&lt;="&amp;$C8,'Meta data'!$G$3:$G$20000,"&lt;&gt;Month total")</f>
        <v>0</v>
      </c>
      <c r="E8" s="14" t="n">
        <f aca="false">SUMIFS('Google data'!$I$3:$I$20000,'Google data'!$A$3:$A$20000,"&gt;="&amp;$B8,'Google data'!$A$3:$A$20000,"&lt;="&amp;$C8,'Google data'!$G$3:$G$20000,"&lt;&gt;Month total")</f>
        <v>0</v>
      </c>
      <c r="F8" s="14" t="n">
        <f aca="false">SUMIFS('ChatGPT data'!$I$3:$I$20000,'ChatGPT data'!$A$3:$A$20000,"&gt;="&amp;$B8,'ChatGPT data'!$A$3:$A$20000,"&lt;="&amp;$C8,'ChatGPT data'!$G$3:$G$20000,"&lt;&gt;Month total")</f>
        <v>0</v>
      </c>
      <c r="G8" s="14" t="n">
        <f aca="false">SUMIFS('LinkedIn data'!$I$3:$I$20000,'LinkedIn data'!$A$3:$A$20000,"&gt;="&amp;$B8,'LinkedIn data'!$A$3:$A$20000,"&lt;="&amp;$C8,'LinkedIn data'!$G$3:$G$20000,"&lt;&gt;Month total")</f>
        <v>0</v>
      </c>
      <c r="H8" s="15" t="n">
        <f aca="false">SUM(D8:G8)</f>
        <v>0</v>
      </c>
      <c r="I8" s="14" t="n">
        <f aca="false">D8*(Settings!$C$22="Yes")+E8*(Settings!$C$23="Yes")+F8*(Settings!$C$24="Yes")+G8*(Settings!$C$25="Yes")</f>
        <v>0</v>
      </c>
      <c r="J8" s="14" t="n">
        <f aca="false">Settings!$D$16*MAX(0,MIN(C8,Settings!$C$11)-MAX(B8,Settings!$C$10)+1)/(Settings!$C$11-Settings!$C$10+1)</f>
        <v>5753.42465753425</v>
      </c>
      <c r="K8" s="14" t="str">
        <f aca="false">IF(OR(C8&gt;$C$3,I8=0),"",I8-J8)</f>
        <v/>
      </c>
      <c r="L8" s="37" t="n">
        <f aca="false">SUMIFS('Meta data'!$F$3:$F$20000,'Meta data'!$A$3:$A$20000,"&gt;="&amp;$B8,'Meta data'!$A$3:$A$20000,"&lt;="&amp;$C8,'Meta data'!$G$3:$G$20000,"&lt;&gt;Month total")</f>
        <v>0</v>
      </c>
      <c r="M8" s="38" t="str">
        <f aca="false">IF(L8=0,"",D8/L8)</f>
        <v/>
      </c>
      <c r="N8" s="37" t="n">
        <f aca="false">SUMIFS('Google data'!$F$3:$F$20000,'Google data'!$A$3:$A$20000,"&gt;="&amp;$B8,'Google data'!$A$3:$A$20000,"&lt;="&amp;$C8,'Google data'!$G$3:$G$20000,"&lt;&gt;Month total")</f>
        <v>0</v>
      </c>
      <c r="O8" s="38" t="str">
        <f aca="false">IF(N8=0,"",E8/N8)</f>
        <v/>
      </c>
      <c r="P8" s="39"/>
      <c r="Q8" s="39"/>
      <c r="R8" s="40" t="s">
        <v>62</v>
      </c>
      <c r="S8" s="41" t="str">
        <f aca="false">TEXT(B8,"d mmm")</f>
        <v>19 Jan</v>
      </c>
    </row>
    <row r="9" customFormat="false" ht="36" hidden="false" customHeight="true" outlineLevel="0" collapsed="false">
      <c r="A9" s="35" t="n">
        <v>5</v>
      </c>
      <c r="B9" s="36" t="n">
        <f aca="false">Settings!$C$13+7*(A9-1)</f>
        <v>46048</v>
      </c>
      <c r="C9" s="36" t="n">
        <f aca="false">B9+6</f>
        <v>46054</v>
      </c>
      <c r="D9" s="14" t="n">
        <f aca="false">SUMIFS('Meta data'!$I$3:$I$20000,'Meta data'!$A$3:$A$20000,"&gt;="&amp;$B9,'Meta data'!$A$3:$A$20000,"&lt;="&amp;$C9,'Meta data'!$G$3:$G$20000,"&lt;&gt;Month total")</f>
        <v>0</v>
      </c>
      <c r="E9" s="14" t="n">
        <f aca="false">SUMIFS('Google data'!$I$3:$I$20000,'Google data'!$A$3:$A$20000,"&gt;="&amp;$B9,'Google data'!$A$3:$A$20000,"&lt;="&amp;$C9,'Google data'!$G$3:$G$20000,"&lt;&gt;Month total")</f>
        <v>0</v>
      </c>
      <c r="F9" s="14" t="n">
        <f aca="false">SUMIFS('ChatGPT data'!$I$3:$I$20000,'ChatGPT data'!$A$3:$A$20000,"&gt;="&amp;$B9,'ChatGPT data'!$A$3:$A$20000,"&lt;="&amp;$C9,'ChatGPT data'!$G$3:$G$20000,"&lt;&gt;Month total")</f>
        <v>0</v>
      </c>
      <c r="G9" s="14" t="n">
        <f aca="false">SUMIFS('LinkedIn data'!$I$3:$I$20000,'LinkedIn data'!$A$3:$A$20000,"&gt;="&amp;$B9,'LinkedIn data'!$A$3:$A$20000,"&lt;="&amp;$C9,'LinkedIn data'!$G$3:$G$20000,"&lt;&gt;Month total")</f>
        <v>0</v>
      </c>
      <c r="H9" s="15" t="n">
        <f aca="false">SUM(D9:G9)</f>
        <v>0</v>
      </c>
      <c r="I9" s="14" t="n">
        <f aca="false">D9*(Settings!$C$22="Yes")+E9*(Settings!$C$23="Yes")+F9*(Settings!$C$24="Yes")+G9*(Settings!$C$25="Yes")</f>
        <v>0</v>
      </c>
      <c r="J9" s="14" t="n">
        <f aca="false">Settings!$D$16*MAX(0,MIN(C9,Settings!$C$11)-MAX(B9,Settings!$C$10)+1)/(Settings!$C$11-Settings!$C$10+1)</f>
        <v>5753.42465753425</v>
      </c>
      <c r="K9" s="14" t="str">
        <f aca="false">IF(OR(C9&gt;$C$3,I9=0),"",I9-J9)</f>
        <v/>
      </c>
      <c r="L9" s="37" t="n">
        <f aca="false">SUMIFS('Meta data'!$F$3:$F$20000,'Meta data'!$A$3:$A$20000,"&gt;="&amp;$B9,'Meta data'!$A$3:$A$20000,"&lt;="&amp;$C9,'Meta data'!$G$3:$G$20000,"&lt;&gt;Month total")</f>
        <v>0</v>
      </c>
      <c r="M9" s="38" t="str">
        <f aca="false">IF(L9=0,"",D9/L9)</f>
        <v/>
      </c>
      <c r="N9" s="37" t="n">
        <f aca="false">SUMIFS('Google data'!$F$3:$F$20000,'Google data'!$A$3:$A$20000,"&gt;="&amp;$B9,'Google data'!$A$3:$A$20000,"&lt;="&amp;$C9,'Google data'!$G$3:$G$20000,"&lt;&gt;Month total")</f>
        <v>0</v>
      </c>
      <c r="O9" s="38" t="str">
        <f aca="false">IF(N9=0,"",E9/N9)</f>
        <v/>
      </c>
      <c r="P9" s="39"/>
      <c r="Q9" s="39"/>
      <c r="R9" s="40" t="s">
        <v>63</v>
      </c>
      <c r="S9" s="41" t="str">
        <f aca="false">TEXT(B9,"d mmm")</f>
        <v>26 Jan</v>
      </c>
    </row>
    <row r="10" customFormat="false" ht="36" hidden="false" customHeight="true" outlineLevel="0" collapsed="false">
      <c r="A10" s="35" t="n">
        <v>6</v>
      </c>
      <c r="B10" s="36" t="n">
        <f aca="false">Settings!$C$13+7*(A10-1)</f>
        <v>46055</v>
      </c>
      <c r="C10" s="36" t="n">
        <f aca="false">B10+6</f>
        <v>46061</v>
      </c>
      <c r="D10" s="14" t="n">
        <f aca="false">SUMIFS('Meta data'!$I$3:$I$20000,'Meta data'!$A$3:$A$20000,"&gt;="&amp;$B10,'Meta data'!$A$3:$A$20000,"&lt;="&amp;$C10,'Meta data'!$G$3:$G$20000,"&lt;&gt;Month total")</f>
        <v>0</v>
      </c>
      <c r="E10" s="14" t="n">
        <f aca="false">SUMIFS('Google data'!$I$3:$I$20000,'Google data'!$A$3:$A$20000,"&gt;="&amp;$B10,'Google data'!$A$3:$A$20000,"&lt;="&amp;$C10,'Google data'!$G$3:$G$20000,"&lt;&gt;Month total")</f>
        <v>0</v>
      </c>
      <c r="F10" s="14" t="n">
        <f aca="false">SUMIFS('ChatGPT data'!$I$3:$I$20000,'ChatGPT data'!$A$3:$A$20000,"&gt;="&amp;$B10,'ChatGPT data'!$A$3:$A$20000,"&lt;="&amp;$C10,'ChatGPT data'!$G$3:$G$20000,"&lt;&gt;Month total")</f>
        <v>0</v>
      </c>
      <c r="G10" s="14" t="n">
        <f aca="false">SUMIFS('LinkedIn data'!$I$3:$I$20000,'LinkedIn data'!$A$3:$A$20000,"&gt;="&amp;$B10,'LinkedIn data'!$A$3:$A$20000,"&lt;="&amp;$C10,'LinkedIn data'!$G$3:$G$20000,"&lt;&gt;Month total")</f>
        <v>0</v>
      </c>
      <c r="H10" s="15" t="n">
        <f aca="false">SUM(D10:G10)</f>
        <v>0</v>
      </c>
      <c r="I10" s="14" t="n">
        <f aca="false">D10*(Settings!$C$22="Yes")+E10*(Settings!$C$23="Yes")+F10*(Settings!$C$24="Yes")+G10*(Settings!$C$25="Yes")</f>
        <v>0</v>
      </c>
      <c r="J10" s="14" t="n">
        <f aca="false">Settings!$D$16*MAX(0,MIN(C10,Settings!$C$11)-MAX(B10,Settings!$C$10)+1)/(Settings!$C$11-Settings!$C$10+1)</f>
        <v>5753.42465753425</v>
      </c>
      <c r="K10" s="14" t="str">
        <f aca="false">IF(OR(C10&gt;$C$3,I10=0),"",I10-J10)</f>
        <v/>
      </c>
      <c r="L10" s="37" t="n">
        <f aca="false">SUMIFS('Meta data'!$F$3:$F$20000,'Meta data'!$A$3:$A$20000,"&gt;="&amp;$B10,'Meta data'!$A$3:$A$20000,"&lt;="&amp;$C10,'Meta data'!$G$3:$G$20000,"&lt;&gt;Month total")</f>
        <v>0</v>
      </c>
      <c r="M10" s="38" t="str">
        <f aca="false">IF(L10=0,"",D10/L10)</f>
        <v/>
      </c>
      <c r="N10" s="37" t="n">
        <f aca="false">SUMIFS('Google data'!$F$3:$F$20000,'Google data'!$A$3:$A$20000,"&gt;="&amp;$B10,'Google data'!$A$3:$A$20000,"&lt;="&amp;$C10,'Google data'!$G$3:$G$20000,"&lt;&gt;Month total")</f>
        <v>0</v>
      </c>
      <c r="O10" s="38" t="str">
        <f aca="false">IF(N10=0,"",E10/N10)</f>
        <v/>
      </c>
      <c r="P10" s="39"/>
      <c r="Q10" s="39"/>
      <c r="R10" s="40" t="s">
        <v>64</v>
      </c>
      <c r="S10" s="41" t="str">
        <f aca="false">TEXT(B10,"d mmm")</f>
        <v>2 Feb</v>
      </c>
    </row>
    <row r="11" customFormat="false" ht="36" hidden="false" customHeight="true" outlineLevel="0" collapsed="false">
      <c r="A11" s="35" t="n">
        <v>7</v>
      </c>
      <c r="B11" s="36" t="n">
        <f aca="false">Settings!$C$13+7*(A11-1)</f>
        <v>46062</v>
      </c>
      <c r="C11" s="36" t="n">
        <f aca="false">B11+6</f>
        <v>46068</v>
      </c>
      <c r="D11" s="14" t="n">
        <f aca="false">SUMIFS('Meta data'!$I$3:$I$20000,'Meta data'!$A$3:$A$20000,"&gt;="&amp;$B11,'Meta data'!$A$3:$A$20000,"&lt;="&amp;$C11,'Meta data'!$G$3:$G$20000,"&lt;&gt;Month total")</f>
        <v>0</v>
      </c>
      <c r="E11" s="14" t="n">
        <f aca="false">SUMIFS('Google data'!$I$3:$I$20000,'Google data'!$A$3:$A$20000,"&gt;="&amp;$B11,'Google data'!$A$3:$A$20000,"&lt;="&amp;$C11,'Google data'!$G$3:$G$20000,"&lt;&gt;Month total")</f>
        <v>0</v>
      </c>
      <c r="F11" s="14" t="n">
        <f aca="false">SUMIFS('ChatGPT data'!$I$3:$I$20000,'ChatGPT data'!$A$3:$A$20000,"&gt;="&amp;$B11,'ChatGPT data'!$A$3:$A$20000,"&lt;="&amp;$C11,'ChatGPT data'!$G$3:$G$20000,"&lt;&gt;Month total")</f>
        <v>0</v>
      </c>
      <c r="G11" s="14" t="n">
        <f aca="false">SUMIFS('LinkedIn data'!$I$3:$I$20000,'LinkedIn data'!$A$3:$A$20000,"&gt;="&amp;$B11,'LinkedIn data'!$A$3:$A$20000,"&lt;="&amp;$C11,'LinkedIn data'!$G$3:$G$20000,"&lt;&gt;Month total")</f>
        <v>0</v>
      </c>
      <c r="H11" s="15" t="n">
        <f aca="false">SUM(D11:G11)</f>
        <v>0</v>
      </c>
      <c r="I11" s="14" t="n">
        <f aca="false">D11*(Settings!$C$22="Yes")+E11*(Settings!$C$23="Yes")+F11*(Settings!$C$24="Yes")+G11*(Settings!$C$25="Yes")</f>
        <v>0</v>
      </c>
      <c r="J11" s="14" t="n">
        <f aca="false">Settings!$D$16*MAX(0,MIN(C11,Settings!$C$11)-MAX(B11,Settings!$C$10)+1)/(Settings!$C$11-Settings!$C$10+1)</f>
        <v>5753.42465753425</v>
      </c>
      <c r="K11" s="14" t="str">
        <f aca="false">IF(OR(C11&gt;$C$3,I11=0),"",I11-J11)</f>
        <v/>
      </c>
      <c r="L11" s="37" t="n">
        <f aca="false">SUMIFS('Meta data'!$F$3:$F$20000,'Meta data'!$A$3:$A$20000,"&gt;="&amp;$B11,'Meta data'!$A$3:$A$20000,"&lt;="&amp;$C11,'Meta data'!$G$3:$G$20000,"&lt;&gt;Month total")</f>
        <v>0</v>
      </c>
      <c r="M11" s="38" t="str">
        <f aca="false">IF(L11=0,"",D11/L11)</f>
        <v/>
      </c>
      <c r="N11" s="37" t="n">
        <f aca="false">SUMIFS('Google data'!$F$3:$F$20000,'Google data'!$A$3:$A$20000,"&gt;="&amp;$B11,'Google data'!$A$3:$A$20000,"&lt;="&amp;$C11,'Google data'!$G$3:$G$20000,"&lt;&gt;Month total")</f>
        <v>0</v>
      </c>
      <c r="O11" s="38" t="str">
        <f aca="false">IF(N11=0,"",E11/N11)</f>
        <v/>
      </c>
      <c r="P11" s="39"/>
      <c r="Q11" s="39"/>
      <c r="R11" s="40" t="s">
        <v>65</v>
      </c>
      <c r="S11" s="41" t="str">
        <f aca="false">TEXT(B11,"d mmm")</f>
        <v>9 Feb</v>
      </c>
    </row>
    <row r="12" customFormat="false" ht="36" hidden="false" customHeight="true" outlineLevel="0" collapsed="false">
      <c r="A12" s="35" t="n">
        <v>8</v>
      </c>
      <c r="B12" s="36" t="n">
        <f aca="false">Settings!$C$13+7*(A12-1)</f>
        <v>46069</v>
      </c>
      <c r="C12" s="36" t="n">
        <f aca="false">B12+6</f>
        <v>46075</v>
      </c>
      <c r="D12" s="14" t="n">
        <f aca="false">SUMIFS('Meta data'!$I$3:$I$20000,'Meta data'!$A$3:$A$20000,"&gt;="&amp;$B12,'Meta data'!$A$3:$A$20000,"&lt;="&amp;$C12,'Meta data'!$G$3:$G$20000,"&lt;&gt;Month total")</f>
        <v>0</v>
      </c>
      <c r="E12" s="14" t="n">
        <f aca="false">SUMIFS('Google data'!$I$3:$I$20000,'Google data'!$A$3:$A$20000,"&gt;="&amp;$B12,'Google data'!$A$3:$A$20000,"&lt;="&amp;$C12,'Google data'!$G$3:$G$20000,"&lt;&gt;Month total")</f>
        <v>0</v>
      </c>
      <c r="F12" s="14" t="n">
        <f aca="false">SUMIFS('ChatGPT data'!$I$3:$I$20000,'ChatGPT data'!$A$3:$A$20000,"&gt;="&amp;$B12,'ChatGPT data'!$A$3:$A$20000,"&lt;="&amp;$C12,'ChatGPT data'!$G$3:$G$20000,"&lt;&gt;Month total")</f>
        <v>0</v>
      </c>
      <c r="G12" s="14" t="n">
        <f aca="false">SUMIFS('LinkedIn data'!$I$3:$I$20000,'LinkedIn data'!$A$3:$A$20000,"&gt;="&amp;$B12,'LinkedIn data'!$A$3:$A$20000,"&lt;="&amp;$C12,'LinkedIn data'!$G$3:$G$20000,"&lt;&gt;Month total")</f>
        <v>0</v>
      </c>
      <c r="H12" s="15" t="n">
        <f aca="false">SUM(D12:G12)</f>
        <v>0</v>
      </c>
      <c r="I12" s="14" t="n">
        <f aca="false">D12*(Settings!$C$22="Yes")+E12*(Settings!$C$23="Yes")+F12*(Settings!$C$24="Yes")+G12*(Settings!$C$25="Yes")</f>
        <v>0</v>
      </c>
      <c r="J12" s="14" t="n">
        <f aca="false">Settings!$D$16*MAX(0,MIN(C12,Settings!$C$11)-MAX(B12,Settings!$C$10)+1)/(Settings!$C$11-Settings!$C$10+1)</f>
        <v>5753.42465753425</v>
      </c>
      <c r="K12" s="14" t="str">
        <f aca="false">IF(OR(C12&gt;$C$3,I12=0),"",I12-J12)</f>
        <v/>
      </c>
      <c r="L12" s="37" t="n">
        <f aca="false">SUMIFS('Meta data'!$F$3:$F$20000,'Meta data'!$A$3:$A$20000,"&gt;="&amp;$B12,'Meta data'!$A$3:$A$20000,"&lt;="&amp;$C12,'Meta data'!$G$3:$G$20000,"&lt;&gt;Month total")</f>
        <v>0</v>
      </c>
      <c r="M12" s="38" t="str">
        <f aca="false">IF(L12=0,"",D12/L12)</f>
        <v/>
      </c>
      <c r="N12" s="37" t="n">
        <f aca="false">SUMIFS('Google data'!$F$3:$F$20000,'Google data'!$A$3:$A$20000,"&gt;="&amp;$B12,'Google data'!$A$3:$A$20000,"&lt;="&amp;$C12,'Google data'!$G$3:$G$20000,"&lt;&gt;Month total")</f>
        <v>0</v>
      </c>
      <c r="O12" s="38" t="str">
        <f aca="false">IF(N12=0,"",E12/N12)</f>
        <v/>
      </c>
      <c r="P12" s="39"/>
      <c r="Q12" s="39"/>
      <c r="R12" s="40" t="s">
        <v>66</v>
      </c>
      <c r="S12" s="41" t="str">
        <f aca="false">TEXT(B12,"d mmm")</f>
        <v>16 Feb</v>
      </c>
    </row>
    <row r="13" customFormat="false" ht="36" hidden="false" customHeight="true" outlineLevel="0" collapsed="false">
      <c r="A13" s="35" t="n">
        <v>9</v>
      </c>
      <c r="B13" s="36" t="n">
        <f aca="false">Settings!$C$13+7*(A13-1)</f>
        <v>46076</v>
      </c>
      <c r="C13" s="36" t="n">
        <f aca="false">B13+6</f>
        <v>46082</v>
      </c>
      <c r="D13" s="14" t="n">
        <f aca="false">SUMIFS('Meta data'!$I$3:$I$20000,'Meta data'!$A$3:$A$20000,"&gt;="&amp;$B13,'Meta data'!$A$3:$A$20000,"&lt;="&amp;$C13,'Meta data'!$G$3:$G$20000,"&lt;&gt;Month total")</f>
        <v>0</v>
      </c>
      <c r="E13" s="14" t="n">
        <f aca="false">SUMIFS('Google data'!$I$3:$I$20000,'Google data'!$A$3:$A$20000,"&gt;="&amp;$B13,'Google data'!$A$3:$A$20000,"&lt;="&amp;$C13,'Google data'!$G$3:$G$20000,"&lt;&gt;Month total")</f>
        <v>0</v>
      </c>
      <c r="F13" s="14" t="n">
        <f aca="false">SUMIFS('ChatGPT data'!$I$3:$I$20000,'ChatGPT data'!$A$3:$A$20000,"&gt;="&amp;$B13,'ChatGPT data'!$A$3:$A$20000,"&lt;="&amp;$C13,'ChatGPT data'!$G$3:$G$20000,"&lt;&gt;Month total")</f>
        <v>0</v>
      </c>
      <c r="G13" s="14" t="n">
        <f aca="false">SUMIFS('LinkedIn data'!$I$3:$I$20000,'LinkedIn data'!$A$3:$A$20000,"&gt;="&amp;$B13,'LinkedIn data'!$A$3:$A$20000,"&lt;="&amp;$C13,'LinkedIn data'!$G$3:$G$20000,"&lt;&gt;Month total")</f>
        <v>0</v>
      </c>
      <c r="H13" s="15" t="n">
        <f aca="false">SUM(D13:G13)</f>
        <v>0</v>
      </c>
      <c r="I13" s="14" t="n">
        <f aca="false">D13*(Settings!$C$22="Yes")+E13*(Settings!$C$23="Yes")+F13*(Settings!$C$24="Yes")+G13*(Settings!$C$25="Yes")</f>
        <v>0</v>
      </c>
      <c r="J13" s="14" t="n">
        <f aca="false">Settings!$D$16*MAX(0,MIN(C13,Settings!$C$11)-MAX(B13,Settings!$C$10)+1)/(Settings!$C$11-Settings!$C$10+1)</f>
        <v>5753.42465753425</v>
      </c>
      <c r="K13" s="14" t="str">
        <f aca="false">IF(OR(C13&gt;$C$3,I13=0),"",I13-J13)</f>
        <v/>
      </c>
      <c r="L13" s="37" t="n">
        <f aca="false">SUMIFS('Meta data'!$F$3:$F$20000,'Meta data'!$A$3:$A$20000,"&gt;="&amp;$B13,'Meta data'!$A$3:$A$20000,"&lt;="&amp;$C13,'Meta data'!$G$3:$G$20000,"&lt;&gt;Month total")</f>
        <v>0</v>
      </c>
      <c r="M13" s="38" t="str">
        <f aca="false">IF(L13=0,"",D13/L13)</f>
        <v/>
      </c>
      <c r="N13" s="37" t="n">
        <f aca="false">SUMIFS('Google data'!$F$3:$F$20000,'Google data'!$A$3:$A$20000,"&gt;="&amp;$B13,'Google data'!$A$3:$A$20000,"&lt;="&amp;$C13,'Google data'!$G$3:$G$20000,"&lt;&gt;Month total")</f>
        <v>0</v>
      </c>
      <c r="O13" s="38" t="str">
        <f aca="false">IF(N13=0,"",E13/N13)</f>
        <v/>
      </c>
      <c r="P13" s="39"/>
      <c r="Q13" s="39"/>
      <c r="R13" s="40" t="s">
        <v>67</v>
      </c>
      <c r="S13" s="41" t="str">
        <f aca="false">TEXT(B13,"d mmm")</f>
        <v>23 Feb</v>
      </c>
    </row>
    <row r="14" customFormat="false" ht="36" hidden="false" customHeight="true" outlineLevel="0" collapsed="false">
      <c r="A14" s="35" t="n">
        <v>10</v>
      </c>
      <c r="B14" s="36" t="n">
        <f aca="false">Settings!$C$13+7*(A14-1)</f>
        <v>46083</v>
      </c>
      <c r="C14" s="36" t="n">
        <f aca="false">B14+6</f>
        <v>46089</v>
      </c>
      <c r="D14" s="14" t="n">
        <f aca="false">SUMIFS('Meta data'!$I$3:$I$20000,'Meta data'!$A$3:$A$20000,"&gt;="&amp;$B14,'Meta data'!$A$3:$A$20000,"&lt;="&amp;$C14,'Meta data'!$G$3:$G$20000,"&lt;&gt;Month total")</f>
        <v>0</v>
      </c>
      <c r="E14" s="14" t="n">
        <f aca="false">SUMIFS('Google data'!$I$3:$I$20000,'Google data'!$A$3:$A$20000,"&gt;="&amp;$B14,'Google data'!$A$3:$A$20000,"&lt;="&amp;$C14,'Google data'!$G$3:$G$20000,"&lt;&gt;Month total")</f>
        <v>0</v>
      </c>
      <c r="F14" s="14" t="n">
        <f aca="false">SUMIFS('ChatGPT data'!$I$3:$I$20000,'ChatGPT data'!$A$3:$A$20000,"&gt;="&amp;$B14,'ChatGPT data'!$A$3:$A$20000,"&lt;="&amp;$C14,'ChatGPT data'!$G$3:$G$20000,"&lt;&gt;Month total")</f>
        <v>0</v>
      </c>
      <c r="G14" s="14" t="n">
        <f aca="false">SUMIFS('LinkedIn data'!$I$3:$I$20000,'LinkedIn data'!$A$3:$A$20000,"&gt;="&amp;$B14,'LinkedIn data'!$A$3:$A$20000,"&lt;="&amp;$C14,'LinkedIn data'!$G$3:$G$20000,"&lt;&gt;Month total")</f>
        <v>0</v>
      </c>
      <c r="H14" s="15" t="n">
        <f aca="false">SUM(D14:G14)</f>
        <v>0</v>
      </c>
      <c r="I14" s="14" t="n">
        <f aca="false">D14*(Settings!$C$22="Yes")+E14*(Settings!$C$23="Yes")+F14*(Settings!$C$24="Yes")+G14*(Settings!$C$25="Yes")</f>
        <v>0</v>
      </c>
      <c r="J14" s="14" t="n">
        <f aca="false">Settings!$D$16*MAX(0,MIN(C14,Settings!$C$11)-MAX(B14,Settings!$C$10)+1)/(Settings!$C$11-Settings!$C$10+1)</f>
        <v>5753.42465753425</v>
      </c>
      <c r="K14" s="14" t="str">
        <f aca="false">IF(OR(C14&gt;$C$3,I14=0),"",I14-J14)</f>
        <v/>
      </c>
      <c r="L14" s="37" t="n">
        <f aca="false">SUMIFS('Meta data'!$F$3:$F$20000,'Meta data'!$A$3:$A$20000,"&gt;="&amp;$B14,'Meta data'!$A$3:$A$20000,"&lt;="&amp;$C14,'Meta data'!$G$3:$G$20000,"&lt;&gt;Month total")</f>
        <v>0</v>
      </c>
      <c r="M14" s="38" t="str">
        <f aca="false">IF(L14=0,"",D14/L14)</f>
        <v/>
      </c>
      <c r="N14" s="37" t="n">
        <f aca="false">SUMIFS('Google data'!$F$3:$F$20000,'Google data'!$A$3:$A$20000,"&gt;="&amp;$B14,'Google data'!$A$3:$A$20000,"&lt;="&amp;$C14,'Google data'!$G$3:$G$20000,"&lt;&gt;Month total")</f>
        <v>0</v>
      </c>
      <c r="O14" s="38" t="str">
        <f aca="false">IF(N14=0,"",E14/N14)</f>
        <v/>
      </c>
      <c r="P14" s="39"/>
      <c r="Q14" s="39"/>
      <c r="R14" s="40" t="s">
        <v>68</v>
      </c>
      <c r="S14" s="41" t="str">
        <f aca="false">TEXT(B14,"d mmm")</f>
        <v>2 Mar</v>
      </c>
    </row>
    <row r="15" customFormat="false" ht="36" hidden="false" customHeight="true" outlineLevel="0" collapsed="false">
      <c r="A15" s="35" t="n">
        <v>11</v>
      </c>
      <c r="B15" s="36" t="n">
        <f aca="false">Settings!$C$13+7*(A15-1)</f>
        <v>46090</v>
      </c>
      <c r="C15" s="36" t="n">
        <f aca="false">B15+6</f>
        <v>46096</v>
      </c>
      <c r="D15" s="14" t="n">
        <f aca="false">SUMIFS('Meta data'!$I$3:$I$20000,'Meta data'!$A$3:$A$20000,"&gt;="&amp;$B15,'Meta data'!$A$3:$A$20000,"&lt;="&amp;$C15,'Meta data'!$G$3:$G$20000,"&lt;&gt;Month total")</f>
        <v>0</v>
      </c>
      <c r="E15" s="14" t="n">
        <f aca="false">SUMIFS('Google data'!$I$3:$I$20000,'Google data'!$A$3:$A$20000,"&gt;="&amp;$B15,'Google data'!$A$3:$A$20000,"&lt;="&amp;$C15,'Google data'!$G$3:$G$20000,"&lt;&gt;Month total")</f>
        <v>0</v>
      </c>
      <c r="F15" s="14" t="n">
        <f aca="false">SUMIFS('ChatGPT data'!$I$3:$I$20000,'ChatGPT data'!$A$3:$A$20000,"&gt;="&amp;$B15,'ChatGPT data'!$A$3:$A$20000,"&lt;="&amp;$C15,'ChatGPT data'!$G$3:$G$20000,"&lt;&gt;Month total")</f>
        <v>0</v>
      </c>
      <c r="G15" s="14" t="n">
        <f aca="false">SUMIFS('LinkedIn data'!$I$3:$I$20000,'LinkedIn data'!$A$3:$A$20000,"&gt;="&amp;$B15,'LinkedIn data'!$A$3:$A$20000,"&lt;="&amp;$C15,'LinkedIn data'!$G$3:$G$20000,"&lt;&gt;Month total")</f>
        <v>0</v>
      </c>
      <c r="H15" s="15" t="n">
        <f aca="false">SUM(D15:G15)</f>
        <v>0</v>
      </c>
      <c r="I15" s="14" t="n">
        <f aca="false">D15*(Settings!$C$22="Yes")+E15*(Settings!$C$23="Yes")+F15*(Settings!$C$24="Yes")+G15*(Settings!$C$25="Yes")</f>
        <v>0</v>
      </c>
      <c r="J15" s="14" t="n">
        <f aca="false">Settings!$D$16*MAX(0,MIN(C15,Settings!$C$11)-MAX(B15,Settings!$C$10)+1)/(Settings!$C$11-Settings!$C$10+1)</f>
        <v>5753.42465753425</v>
      </c>
      <c r="K15" s="14" t="str">
        <f aca="false">IF(OR(C15&gt;$C$3,I15=0),"",I15-J15)</f>
        <v/>
      </c>
      <c r="L15" s="37" t="n">
        <f aca="false">SUMIFS('Meta data'!$F$3:$F$20000,'Meta data'!$A$3:$A$20000,"&gt;="&amp;$B15,'Meta data'!$A$3:$A$20000,"&lt;="&amp;$C15,'Meta data'!$G$3:$G$20000,"&lt;&gt;Month total")</f>
        <v>0</v>
      </c>
      <c r="M15" s="38" t="str">
        <f aca="false">IF(L15=0,"",D15/L15)</f>
        <v/>
      </c>
      <c r="N15" s="37" t="n">
        <f aca="false">SUMIFS('Google data'!$F$3:$F$20000,'Google data'!$A$3:$A$20000,"&gt;="&amp;$B15,'Google data'!$A$3:$A$20000,"&lt;="&amp;$C15,'Google data'!$G$3:$G$20000,"&lt;&gt;Month total")</f>
        <v>0</v>
      </c>
      <c r="O15" s="38" t="str">
        <f aca="false">IF(N15=0,"",E15/N15)</f>
        <v/>
      </c>
      <c r="P15" s="39"/>
      <c r="Q15" s="39"/>
      <c r="R15" s="40" t="s">
        <v>69</v>
      </c>
      <c r="S15" s="41" t="str">
        <f aca="false">TEXT(B15,"d mmm")</f>
        <v>9 Mar</v>
      </c>
    </row>
    <row r="16" customFormat="false" ht="36" hidden="false" customHeight="true" outlineLevel="0" collapsed="false">
      <c r="A16" s="35" t="n">
        <v>12</v>
      </c>
      <c r="B16" s="36" t="n">
        <f aca="false">Settings!$C$13+7*(A16-1)</f>
        <v>46097</v>
      </c>
      <c r="C16" s="36" t="n">
        <f aca="false">B16+6</f>
        <v>46103</v>
      </c>
      <c r="D16" s="14" t="n">
        <f aca="false">SUMIFS('Meta data'!$I$3:$I$20000,'Meta data'!$A$3:$A$20000,"&gt;="&amp;$B16,'Meta data'!$A$3:$A$20000,"&lt;="&amp;$C16,'Meta data'!$G$3:$G$20000,"&lt;&gt;Month total")</f>
        <v>0</v>
      </c>
      <c r="E16" s="14" t="n">
        <f aca="false">SUMIFS('Google data'!$I$3:$I$20000,'Google data'!$A$3:$A$20000,"&gt;="&amp;$B16,'Google data'!$A$3:$A$20000,"&lt;="&amp;$C16,'Google data'!$G$3:$G$20000,"&lt;&gt;Month total")</f>
        <v>0</v>
      </c>
      <c r="F16" s="14" t="n">
        <f aca="false">SUMIFS('ChatGPT data'!$I$3:$I$20000,'ChatGPT data'!$A$3:$A$20000,"&gt;="&amp;$B16,'ChatGPT data'!$A$3:$A$20000,"&lt;="&amp;$C16,'ChatGPT data'!$G$3:$G$20000,"&lt;&gt;Month total")</f>
        <v>0</v>
      </c>
      <c r="G16" s="14" t="n">
        <f aca="false">SUMIFS('LinkedIn data'!$I$3:$I$20000,'LinkedIn data'!$A$3:$A$20000,"&gt;="&amp;$B16,'LinkedIn data'!$A$3:$A$20000,"&lt;="&amp;$C16,'LinkedIn data'!$G$3:$G$20000,"&lt;&gt;Month total")</f>
        <v>0</v>
      </c>
      <c r="H16" s="15" t="n">
        <f aca="false">SUM(D16:G16)</f>
        <v>0</v>
      </c>
      <c r="I16" s="14" t="n">
        <f aca="false">D16*(Settings!$C$22="Yes")+E16*(Settings!$C$23="Yes")+F16*(Settings!$C$24="Yes")+G16*(Settings!$C$25="Yes")</f>
        <v>0</v>
      </c>
      <c r="J16" s="14" t="n">
        <f aca="false">Settings!$D$16*MAX(0,MIN(C16,Settings!$C$11)-MAX(B16,Settings!$C$10)+1)/(Settings!$C$11-Settings!$C$10+1)</f>
        <v>5753.42465753425</v>
      </c>
      <c r="K16" s="14" t="str">
        <f aca="false">IF(OR(C16&gt;$C$3,I16=0),"",I16-J16)</f>
        <v/>
      </c>
      <c r="L16" s="37" t="n">
        <f aca="false">SUMIFS('Meta data'!$F$3:$F$20000,'Meta data'!$A$3:$A$20000,"&gt;="&amp;$B16,'Meta data'!$A$3:$A$20000,"&lt;="&amp;$C16,'Meta data'!$G$3:$G$20000,"&lt;&gt;Month total")</f>
        <v>0</v>
      </c>
      <c r="M16" s="38" t="str">
        <f aca="false">IF(L16=0,"",D16/L16)</f>
        <v/>
      </c>
      <c r="N16" s="37" t="n">
        <f aca="false">SUMIFS('Google data'!$F$3:$F$20000,'Google data'!$A$3:$A$20000,"&gt;="&amp;$B16,'Google data'!$A$3:$A$20000,"&lt;="&amp;$C16,'Google data'!$G$3:$G$20000,"&lt;&gt;Month total")</f>
        <v>0</v>
      </c>
      <c r="O16" s="38" t="str">
        <f aca="false">IF(N16=0,"",E16/N16)</f>
        <v/>
      </c>
      <c r="P16" s="39"/>
      <c r="Q16" s="39"/>
      <c r="R16" s="40" t="s">
        <v>70</v>
      </c>
      <c r="S16" s="41" t="str">
        <f aca="false">TEXT(B16,"d mmm")</f>
        <v>16 Mar</v>
      </c>
    </row>
    <row r="17" customFormat="false" ht="36" hidden="false" customHeight="true" outlineLevel="0" collapsed="false">
      <c r="A17" s="35" t="n">
        <v>13</v>
      </c>
      <c r="B17" s="36" t="n">
        <f aca="false">Settings!$C$13+7*(A17-1)</f>
        <v>46104</v>
      </c>
      <c r="C17" s="36" t="n">
        <f aca="false">B17+6</f>
        <v>46110</v>
      </c>
      <c r="D17" s="14" t="n">
        <f aca="false">SUMIFS('Meta data'!$I$3:$I$20000,'Meta data'!$A$3:$A$20000,"&gt;="&amp;$B17,'Meta data'!$A$3:$A$20000,"&lt;="&amp;$C17,'Meta data'!$G$3:$G$20000,"&lt;&gt;Month total")</f>
        <v>0</v>
      </c>
      <c r="E17" s="14" t="n">
        <f aca="false">SUMIFS('Google data'!$I$3:$I$20000,'Google data'!$A$3:$A$20000,"&gt;="&amp;$B17,'Google data'!$A$3:$A$20000,"&lt;="&amp;$C17,'Google data'!$G$3:$G$20000,"&lt;&gt;Month total")</f>
        <v>0</v>
      </c>
      <c r="F17" s="14" t="n">
        <f aca="false">SUMIFS('ChatGPT data'!$I$3:$I$20000,'ChatGPT data'!$A$3:$A$20000,"&gt;="&amp;$B17,'ChatGPT data'!$A$3:$A$20000,"&lt;="&amp;$C17,'ChatGPT data'!$G$3:$G$20000,"&lt;&gt;Month total")</f>
        <v>0</v>
      </c>
      <c r="G17" s="14" t="n">
        <f aca="false">SUMIFS('LinkedIn data'!$I$3:$I$20000,'LinkedIn data'!$A$3:$A$20000,"&gt;="&amp;$B17,'LinkedIn data'!$A$3:$A$20000,"&lt;="&amp;$C17,'LinkedIn data'!$G$3:$G$20000,"&lt;&gt;Month total")</f>
        <v>0</v>
      </c>
      <c r="H17" s="15" t="n">
        <f aca="false">SUM(D17:G17)</f>
        <v>0</v>
      </c>
      <c r="I17" s="14" t="n">
        <f aca="false">D17*(Settings!$C$22="Yes")+E17*(Settings!$C$23="Yes")+F17*(Settings!$C$24="Yes")+G17*(Settings!$C$25="Yes")</f>
        <v>0</v>
      </c>
      <c r="J17" s="14" t="n">
        <f aca="false">Settings!$D$16*MAX(0,MIN(C17,Settings!$C$11)-MAX(B17,Settings!$C$10)+1)/(Settings!$C$11-Settings!$C$10+1)</f>
        <v>5753.42465753425</v>
      </c>
      <c r="K17" s="14" t="str">
        <f aca="false">IF(OR(C17&gt;$C$3,I17=0),"",I17-J17)</f>
        <v/>
      </c>
      <c r="L17" s="37" t="n">
        <f aca="false">SUMIFS('Meta data'!$F$3:$F$20000,'Meta data'!$A$3:$A$20000,"&gt;="&amp;$B17,'Meta data'!$A$3:$A$20000,"&lt;="&amp;$C17,'Meta data'!$G$3:$G$20000,"&lt;&gt;Month total")</f>
        <v>0</v>
      </c>
      <c r="M17" s="38" t="str">
        <f aca="false">IF(L17=0,"",D17/L17)</f>
        <v/>
      </c>
      <c r="N17" s="37" t="n">
        <f aca="false">SUMIFS('Google data'!$F$3:$F$20000,'Google data'!$A$3:$A$20000,"&gt;="&amp;$B17,'Google data'!$A$3:$A$20000,"&lt;="&amp;$C17,'Google data'!$G$3:$G$20000,"&lt;&gt;Month total")</f>
        <v>0</v>
      </c>
      <c r="O17" s="38" t="str">
        <f aca="false">IF(N17=0,"",E17/N17)</f>
        <v/>
      </c>
      <c r="P17" s="39"/>
      <c r="Q17" s="39"/>
      <c r="R17" s="40" t="s">
        <v>71</v>
      </c>
      <c r="S17" s="41" t="str">
        <f aca="false">TEXT(B17,"d mmm")</f>
        <v>23 Mar</v>
      </c>
    </row>
    <row r="18" customFormat="false" ht="36" hidden="false" customHeight="true" outlineLevel="0" collapsed="false">
      <c r="A18" s="35" t="n">
        <v>14</v>
      </c>
      <c r="B18" s="36" t="n">
        <f aca="false">Settings!$C$13+7*(A18-1)</f>
        <v>46111</v>
      </c>
      <c r="C18" s="36" t="n">
        <f aca="false">B18+6</f>
        <v>46117</v>
      </c>
      <c r="D18" s="14" t="n">
        <f aca="false">SUMIFS('Meta data'!$I$3:$I$20000,'Meta data'!$A$3:$A$20000,"&gt;="&amp;$B18,'Meta data'!$A$3:$A$20000,"&lt;="&amp;$C18,'Meta data'!$G$3:$G$20000,"&lt;&gt;Month total")</f>
        <v>0</v>
      </c>
      <c r="E18" s="14" t="n">
        <f aca="false">SUMIFS('Google data'!$I$3:$I$20000,'Google data'!$A$3:$A$20000,"&gt;="&amp;$B18,'Google data'!$A$3:$A$20000,"&lt;="&amp;$C18,'Google data'!$G$3:$G$20000,"&lt;&gt;Month total")</f>
        <v>0</v>
      </c>
      <c r="F18" s="14" t="n">
        <f aca="false">SUMIFS('ChatGPT data'!$I$3:$I$20000,'ChatGPT data'!$A$3:$A$20000,"&gt;="&amp;$B18,'ChatGPT data'!$A$3:$A$20000,"&lt;="&amp;$C18,'ChatGPT data'!$G$3:$G$20000,"&lt;&gt;Month total")</f>
        <v>0</v>
      </c>
      <c r="G18" s="14" t="n">
        <f aca="false">SUMIFS('LinkedIn data'!$I$3:$I$20000,'LinkedIn data'!$A$3:$A$20000,"&gt;="&amp;$B18,'LinkedIn data'!$A$3:$A$20000,"&lt;="&amp;$C18,'LinkedIn data'!$G$3:$G$20000,"&lt;&gt;Month total")</f>
        <v>0</v>
      </c>
      <c r="H18" s="15" t="n">
        <f aca="false">SUM(D18:G18)</f>
        <v>0</v>
      </c>
      <c r="I18" s="14" t="n">
        <f aca="false">D18*(Settings!$C$22="Yes")+E18*(Settings!$C$23="Yes")+F18*(Settings!$C$24="Yes")+G18*(Settings!$C$25="Yes")</f>
        <v>0</v>
      </c>
      <c r="J18" s="14" t="n">
        <f aca="false">Settings!$D$16*MAX(0,MIN(C18,Settings!$C$11)-MAX(B18,Settings!$C$10)+1)/(Settings!$C$11-Settings!$C$10+1)</f>
        <v>5753.42465753425</v>
      </c>
      <c r="K18" s="14" t="str">
        <f aca="false">IF(OR(C18&gt;$C$3,I18=0),"",I18-J18)</f>
        <v/>
      </c>
      <c r="L18" s="37" t="n">
        <f aca="false">SUMIFS('Meta data'!$F$3:$F$20000,'Meta data'!$A$3:$A$20000,"&gt;="&amp;$B18,'Meta data'!$A$3:$A$20000,"&lt;="&amp;$C18,'Meta data'!$G$3:$G$20000,"&lt;&gt;Month total")</f>
        <v>0</v>
      </c>
      <c r="M18" s="38" t="str">
        <f aca="false">IF(L18=0,"",D18/L18)</f>
        <v/>
      </c>
      <c r="N18" s="37" t="n">
        <f aca="false">SUMIFS('Google data'!$F$3:$F$20000,'Google data'!$A$3:$A$20000,"&gt;="&amp;$B18,'Google data'!$A$3:$A$20000,"&lt;="&amp;$C18,'Google data'!$G$3:$G$20000,"&lt;&gt;Month total")</f>
        <v>0</v>
      </c>
      <c r="O18" s="38" t="str">
        <f aca="false">IF(N18=0,"",E18/N18)</f>
        <v/>
      </c>
      <c r="P18" s="39"/>
      <c r="Q18" s="39"/>
      <c r="R18" s="40" t="s">
        <v>72</v>
      </c>
      <c r="S18" s="41" t="str">
        <f aca="false">TEXT(B18,"d mmm")</f>
        <v>30 Mar</v>
      </c>
    </row>
    <row r="19" customFormat="false" ht="36" hidden="false" customHeight="true" outlineLevel="0" collapsed="false">
      <c r="A19" s="35" t="n">
        <v>15</v>
      </c>
      <c r="B19" s="36" t="n">
        <f aca="false">Settings!$C$13+7*(A19-1)</f>
        <v>46118</v>
      </c>
      <c r="C19" s="36" t="n">
        <f aca="false">B19+6</f>
        <v>46124</v>
      </c>
      <c r="D19" s="14" t="n">
        <f aca="false">SUMIFS('Meta data'!$I$3:$I$20000,'Meta data'!$A$3:$A$20000,"&gt;="&amp;$B19,'Meta data'!$A$3:$A$20000,"&lt;="&amp;$C19,'Meta data'!$G$3:$G$20000,"&lt;&gt;Month total")</f>
        <v>0</v>
      </c>
      <c r="E19" s="14" t="n">
        <f aca="false">SUMIFS('Google data'!$I$3:$I$20000,'Google data'!$A$3:$A$20000,"&gt;="&amp;$B19,'Google data'!$A$3:$A$20000,"&lt;="&amp;$C19,'Google data'!$G$3:$G$20000,"&lt;&gt;Month total")</f>
        <v>0</v>
      </c>
      <c r="F19" s="14" t="n">
        <f aca="false">SUMIFS('ChatGPT data'!$I$3:$I$20000,'ChatGPT data'!$A$3:$A$20000,"&gt;="&amp;$B19,'ChatGPT data'!$A$3:$A$20000,"&lt;="&amp;$C19,'ChatGPT data'!$G$3:$G$20000,"&lt;&gt;Month total")</f>
        <v>0</v>
      </c>
      <c r="G19" s="14" t="n">
        <f aca="false">SUMIFS('LinkedIn data'!$I$3:$I$20000,'LinkedIn data'!$A$3:$A$20000,"&gt;="&amp;$B19,'LinkedIn data'!$A$3:$A$20000,"&lt;="&amp;$C19,'LinkedIn data'!$G$3:$G$20000,"&lt;&gt;Month total")</f>
        <v>0</v>
      </c>
      <c r="H19" s="15" t="n">
        <f aca="false">SUM(D19:G19)</f>
        <v>0</v>
      </c>
      <c r="I19" s="14" t="n">
        <f aca="false">D19*(Settings!$C$22="Yes")+E19*(Settings!$C$23="Yes")+F19*(Settings!$C$24="Yes")+G19*(Settings!$C$25="Yes")</f>
        <v>0</v>
      </c>
      <c r="J19" s="14" t="n">
        <f aca="false">Settings!$D$16*MAX(0,MIN(C19,Settings!$C$11)-MAX(B19,Settings!$C$10)+1)/(Settings!$C$11-Settings!$C$10+1)</f>
        <v>5753.42465753425</v>
      </c>
      <c r="K19" s="14" t="str">
        <f aca="false">IF(OR(C19&gt;$C$3,I19=0),"",I19-J19)</f>
        <v/>
      </c>
      <c r="L19" s="37" t="n">
        <f aca="false">SUMIFS('Meta data'!$F$3:$F$20000,'Meta data'!$A$3:$A$20000,"&gt;="&amp;$B19,'Meta data'!$A$3:$A$20000,"&lt;="&amp;$C19,'Meta data'!$G$3:$G$20000,"&lt;&gt;Month total")</f>
        <v>0</v>
      </c>
      <c r="M19" s="38" t="str">
        <f aca="false">IF(L19=0,"",D19/L19)</f>
        <v/>
      </c>
      <c r="N19" s="37" t="n">
        <f aca="false">SUMIFS('Google data'!$F$3:$F$20000,'Google data'!$A$3:$A$20000,"&gt;="&amp;$B19,'Google data'!$A$3:$A$20000,"&lt;="&amp;$C19,'Google data'!$G$3:$G$20000,"&lt;&gt;Month total")</f>
        <v>0</v>
      </c>
      <c r="O19" s="38" t="str">
        <f aca="false">IF(N19=0,"",E19/N19)</f>
        <v/>
      </c>
      <c r="P19" s="39"/>
      <c r="Q19" s="39"/>
      <c r="R19" s="40" t="s">
        <v>73</v>
      </c>
      <c r="S19" s="41" t="str">
        <f aca="false">TEXT(B19,"d mmm")</f>
        <v>6 Apr</v>
      </c>
    </row>
    <row r="20" customFormat="false" ht="36" hidden="false" customHeight="true" outlineLevel="0" collapsed="false">
      <c r="A20" s="35" t="n">
        <v>16</v>
      </c>
      <c r="B20" s="36" t="n">
        <f aca="false">Settings!$C$13+7*(A20-1)</f>
        <v>46125</v>
      </c>
      <c r="C20" s="36" t="n">
        <f aca="false">B20+6</f>
        <v>46131</v>
      </c>
      <c r="D20" s="14" t="n">
        <f aca="false">SUMIFS('Meta data'!$I$3:$I$20000,'Meta data'!$A$3:$A$20000,"&gt;="&amp;$B20,'Meta data'!$A$3:$A$20000,"&lt;="&amp;$C20,'Meta data'!$G$3:$G$20000,"&lt;&gt;Month total")</f>
        <v>0</v>
      </c>
      <c r="E20" s="14" t="n">
        <f aca="false">SUMIFS('Google data'!$I$3:$I$20000,'Google data'!$A$3:$A$20000,"&gt;="&amp;$B20,'Google data'!$A$3:$A$20000,"&lt;="&amp;$C20,'Google data'!$G$3:$G$20000,"&lt;&gt;Month total")</f>
        <v>0</v>
      </c>
      <c r="F20" s="14" t="n">
        <f aca="false">SUMIFS('ChatGPT data'!$I$3:$I$20000,'ChatGPT data'!$A$3:$A$20000,"&gt;="&amp;$B20,'ChatGPT data'!$A$3:$A$20000,"&lt;="&amp;$C20,'ChatGPT data'!$G$3:$G$20000,"&lt;&gt;Month total")</f>
        <v>0</v>
      </c>
      <c r="G20" s="14" t="n">
        <f aca="false">SUMIFS('LinkedIn data'!$I$3:$I$20000,'LinkedIn data'!$A$3:$A$20000,"&gt;="&amp;$B20,'LinkedIn data'!$A$3:$A$20000,"&lt;="&amp;$C20,'LinkedIn data'!$G$3:$G$20000,"&lt;&gt;Month total")</f>
        <v>0</v>
      </c>
      <c r="H20" s="15" t="n">
        <f aca="false">SUM(D20:G20)</f>
        <v>0</v>
      </c>
      <c r="I20" s="14" t="n">
        <f aca="false">D20*(Settings!$C$22="Yes")+E20*(Settings!$C$23="Yes")+F20*(Settings!$C$24="Yes")+G20*(Settings!$C$25="Yes")</f>
        <v>0</v>
      </c>
      <c r="J20" s="14" t="n">
        <f aca="false">Settings!$D$16*MAX(0,MIN(C20,Settings!$C$11)-MAX(B20,Settings!$C$10)+1)/(Settings!$C$11-Settings!$C$10+1)</f>
        <v>5753.42465753425</v>
      </c>
      <c r="K20" s="14" t="str">
        <f aca="false">IF(OR(C20&gt;$C$3,I20=0),"",I20-J20)</f>
        <v/>
      </c>
      <c r="L20" s="37" t="n">
        <f aca="false">SUMIFS('Meta data'!$F$3:$F$20000,'Meta data'!$A$3:$A$20000,"&gt;="&amp;$B20,'Meta data'!$A$3:$A$20000,"&lt;="&amp;$C20,'Meta data'!$G$3:$G$20000,"&lt;&gt;Month total")</f>
        <v>0</v>
      </c>
      <c r="M20" s="38" t="str">
        <f aca="false">IF(L20=0,"",D20/L20)</f>
        <v/>
      </c>
      <c r="N20" s="37" t="n">
        <f aca="false">SUMIFS('Google data'!$F$3:$F$20000,'Google data'!$A$3:$A$20000,"&gt;="&amp;$B20,'Google data'!$A$3:$A$20000,"&lt;="&amp;$C20,'Google data'!$G$3:$G$20000,"&lt;&gt;Month total")</f>
        <v>0</v>
      </c>
      <c r="O20" s="38" t="str">
        <f aca="false">IF(N20=0,"",E20/N20)</f>
        <v/>
      </c>
      <c r="P20" s="39"/>
      <c r="Q20" s="39"/>
      <c r="R20" s="40" t="s">
        <v>74</v>
      </c>
      <c r="S20" s="41" t="str">
        <f aca="false">TEXT(B20,"d mmm")</f>
        <v>13 Apr</v>
      </c>
    </row>
    <row r="21" customFormat="false" ht="36" hidden="false" customHeight="true" outlineLevel="0" collapsed="false">
      <c r="A21" s="35" t="n">
        <v>17</v>
      </c>
      <c r="B21" s="36" t="n">
        <f aca="false">Settings!$C$13+7*(A21-1)</f>
        <v>46132</v>
      </c>
      <c r="C21" s="36" t="n">
        <f aca="false">B21+6</f>
        <v>46138</v>
      </c>
      <c r="D21" s="14" t="n">
        <f aca="false">SUMIFS('Meta data'!$I$3:$I$20000,'Meta data'!$A$3:$A$20000,"&gt;="&amp;$B21,'Meta data'!$A$3:$A$20000,"&lt;="&amp;$C21,'Meta data'!$G$3:$G$20000,"&lt;&gt;Month total")</f>
        <v>0</v>
      </c>
      <c r="E21" s="14" t="n">
        <f aca="false">SUMIFS('Google data'!$I$3:$I$20000,'Google data'!$A$3:$A$20000,"&gt;="&amp;$B21,'Google data'!$A$3:$A$20000,"&lt;="&amp;$C21,'Google data'!$G$3:$G$20000,"&lt;&gt;Month total")</f>
        <v>0</v>
      </c>
      <c r="F21" s="14" t="n">
        <f aca="false">SUMIFS('ChatGPT data'!$I$3:$I$20000,'ChatGPT data'!$A$3:$A$20000,"&gt;="&amp;$B21,'ChatGPT data'!$A$3:$A$20000,"&lt;="&amp;$C21,'ChatGPT data'!$G$3:$G$20000,"&lt;&gt;Month total")</f>
        <v>0</v>
      </c>
      <c r="G21" s="14" t="n">
        <f aca="false">SUMIFS('LinkedIn data'!$I$3:$I$20000,'LinkedIn data'!$A$3:$A$20000,"&gt;="&amp;$B21,'LinkedIn data'!$A$3:$A$20000,"&lt;="&amp;$C21,'LinkedIn data'!$G$3:$G$20000,"&lt;&gt;Month total")</f>
        <v>0</v>
      </c>
      <c r="H21" s="15" t="n">
        <f aca="false">SUM(D21:G21)</f>
        <v>0</v>
      </c>
      <c r="I21" s="14" t="n">
        <f aca="false">D21*(Settings!$C$22="Yes")+E21*(Settings!$C$23="Yes")+F21*(Settings!$C$24="Yes")+G21*(Settings!$C$25="Yes")</f>
        <v>0</v>
      </c>
      <c r="J21" s="14" t="n">
        <f aca="false">Settings!$D$16*MAX(0,MIN(C21,Settings!$C$11)-MAX(B21,Settings!$C$10)+1)/(Settings!$C$11-Settings!$C$10+1)</f>
        <v>5753.42465753425</v>
      </c>
      <c r="K21" s="14" t="str">
        <f aca="false">IF(OR(C21&gt;$C$3,I21=0),"",I21-J21)</f>
        <v/>
      </c>
      <c r="L21" s="37" t="n">
        <f aca="false">SUMIFS('Meta data'!$F$3:$F$20000,'Meta data'!$A$3:$A$20000,"&gt;="&amp;$B21,'Meta data'!$A$3:$A$20000,"&lt;="&amp;$C21,'Meta data'!$G$3:$G$20000,"&lt;&gt;Month total")</f>
        <v>0</v>
      </c>
      <c r="M21" s="38" t="str">
        <f aca="false">IF(L21=0,"",D21/L21)</f>
        <v/>
      </c>
      <c r="N21" s="37" t="n">
        <f aca="false">SUMIFS('Google data'!$F$3:$F$20000,'Google data'!$A$3:$A$20000,"&gt;="&amp;$B21,'Google data'!$A$3:$A$20000,"&lt;="&amp;$C21,'Google data'!$G$3:$G$20000,"&lt;&gt;Month total")</f>
        <v>0</v>
      </c>
      <c r="O21" s="38" t="str">
        <f aca="false">IF(N21=0,"",E21/N21)</f>
        <v/>
      </c>
      <c r="P21" s="39"/>
      <c r="Q21" s="39"/>
      <c r="R21" s="40" t="s">
        <v>75</v>
      </c>
      <c r="S21" s="41" t="str">
        <f aca="false">TEXT(B21,"d mmm")</f>
        <v>20 Apr</v>
      </c>
    </row>
    <row r="22" customFormat="false" ht="36" hidden="false" customHeight="true" outlineLevel="0" collapsed="false">
      <c r="A22" s="35" t="n">
        <v>18</v>
      </c>
      <c r="B22" s="36" t="n">
        <f aca="false">Settings!$C$13+7*(A22-1)</f>
        <v>46139</v>
      </c>
      <c r="C22" s="36" t="n">
        <f aca="false">B22+6</f>
        <v>46145</v>
      </c>
      <c r="D22" s="14" t="n">
        <f aca="false">SUMIFS('Meta data'!$I$3:$I$20000,'Meta data'!$A$3:$A$20000,"&gt;="&amp;$B22,'Meta data'!$A$3:$A$20000,"&lt;="&amp;$C22,'Meta data'!$G$3:$G$20000,"&lt;&gt;Month total")</f>
        <v>0</v>
      </c>
      <c r="E22" s="14" t="n">
        <f aca="false">SUMIFS('Google data'!$I$3:$I$20000,'Google data'!$A$3:$A$20000,"&gt;="&amp;$B22,'Google data'!$A$3:$A$20000,"&lt;="&amp;$C22,'Google data'!$G$3:$G$20000,"&lt;&gt;Month total")</f>
        <v>0</v>
      </c>
      <c r="F22" s="14" t="n">
        <f aca="false">SUMIFS('ChatGPT data'!$I$3:$I$20000,'ChatGPT data'!$A$3:$A$20000,"&gt;="&amp;$B22,'ChatGPT data'!$A$3:$A$20000,"&lt;="&amp;$C22,'ChatGPT data'!$G$3:$G$20000,"&lt;&gt;Month total")</f>
        <v>0</v>
      </c>
      <c r="G22" s="14" t="n">
        <f aca="false">SUMIFS('LinkedIn data'!$I$3:$I$20000,'LinkedIn data'!$A$3:$A$20000,"&gt;="&amp;$B22,'LinkedIn data'!$A$3:$A$20000,"&lt;="&amp;$C22,'LinkedIn data'!$G$3:$G$20000,"&lt;&gt;Month total")</f>
        <v>0</v>
      </c>
      <c r="H22" s="15" t="n">
        <f aca="false">SUM(D22:G22)</f>
        <v>0</v>
      </c>
      <c r="I22" s="14" t="n">
        <f aca="false">D22*(Settings!$C$22="Yes")+E22*(Settings!$C$23="Yes")+F22*(Settings!$C$24="Yes")+G22*(Settings!$C$25="Yes")</f>
        <v>0</v>
      </c>
      <c r="J22" s="14" t="n">
        <f aca="false">Settings!$D$16*MAX(0,MIN(C22,Settings!$C$11)-MAX(B22,Settings!$C$10)+1)/(Settings!$C$11-Settings!$C$10+1)</f>
        <v>5753.42465753425</v>
      </c>
      <c r="K22" s="14" t="str">
        <f aca="false">IF(OR(C22&gt;$C$3,I22=0),"",I22-J22)</f>
        <v/>
      </c>
      <c r="L22" s="37" t="n">
        <f aca="false">SUMIFS('Meta data'!$F$3:$F$20000,'Meta data'!$A$3:$A$20000,"&gt;="&amp;$B22,'Meta data'!$A$3:$A$20000,"&lt;="&amp;$C22,'Meta data'!$G$3:$G$20000,"&lt;&gt;Month total")</f>
        <v>0</v>
      </c>
      <c r="M22" s="38" t="str">
        <f aca="false">IF(L22=0,"",D22/L22)</f>
        <v/>
      </c>
      <c r="N22" s="37" t="n">
        <f aca="false">SUMIFS('Google data'!$F$3:$F$20000,'Google data'!$A$3:$A$20000,"&gt;="&amp;$B22,'Google data'!$A$3:$A$20000,"&lt;="&amp;$C22,'Google data'!$G$3:$G$20000,"&lt;&gt;Month total")</f>
        <v>0</v>
      </c>
      <c r="O22" s="38" t="str">
        <f aca="false">IF(N22=0,"",E22/N22)</f>
        <v/>
      </c>
      <c r="P22" s="39"/>
      <c r="Q22" s="39"/>
      <c r="R22" s="40" t="s">
        <v>76</v>
      </c>
      <c r="S22" s="41" t="str">
        <f aca="false">TEXT(B22,"d mmm")</f>
        <v>27 Apr</v>
      </c>
    </row>
    <row r="23" customFormat="false" ht="36" hidden="false" customHeight="true" outlineLevel="0" collapsed="false">
      <c r="A23" s="35" t="n">
        <v>19</v>
      </c>
      <c r="B23" s="36" t="n">
        <f aca="false">Settings!$C$13+7*(A23-1)</f>
        <v>46146</v>
      </c>
      <c r="C23" s="36" t="n">
        <f aca="false">B23+6</f>
        <v>46152</v>
      </c>
      <c r="D23" s="14" t="n">
        <f aca="false">SUMIFS('Meta data'!$I$3:$I$20000,'Meta data'!$A$3:$A$20000,"&gt;="&amp;$B23,'Meta data'!$A$3:$A$20000,"&lt;="&amp;$C23,'Meta data'!$G$3:$G$20000,"&lt;&gt;Month total")</f>
        <v>0</v>
      </c>
      <c r="E23" s="14" t="n">
        <f aca="false">SUMIFS('Google data'!$I$3:$I$20000,'Google data'!$A$3:$A$20000,"&gt;="&amp;$B23,'Google data'!$A$3:$A$20000,"&lt;="&amp;$C23,'Google data'!$G$3:$G$20000,"&lt;&gt;Month total")</f>
        <v>0</v>
      </c>
      <c r="F23" s="14" t="n">
        <f aca="false">SUMIFS('ChatGPT data'!$I$3:$I$20000,'ChatGPT data'!$A$3:$A$20000,"&gt;="&amp;$B23,'ChatGPT data'!$A$3:$A$20000,"&lt;="&amp;$C23,'ChatGPT data'!$G$3:$G$20000,"&lt;&gt;Month total")</f>
        <v>0</v>
      </c>
      <c r="G23" s="14" t="n">
        <f aca="false">SUMIFS('LinkedIn data'!$I$3:$I$20000,'LinkedIn data'!$A$3:$A$20000,"&gt;="&amp;$B23,'LinkedIn data'!$A$3:$A$20000,"&lt;="&amp;$C23,'LinkedIn data'!$G$3:$G$20000,"&lt;&gt;Month total")</f>
        <v>0</v>
      </c>
      <c r="H23" s="15" t="n">
        <f aca="false">SUM(D23:G23)</f>
        <v>0</v>
      </c>
      <c r="I23" s="14" t="n">
        <f aca="false">D23*(Settings!$C$22="Yes")+E23*(Settings!$C$23="Yes")+F23*(Settings!$C$24="Yes")+G23*(Settings!$C$25="Yes")</f>
        <v>0</v>
      </c>
      <c r="J23" s="14" t="n">
        <f aca="false">Settings!$D$16*MAX(0,MIN(C23,Settings!$C$11)-MAX(B23,Settings!$C$10)+1)/(Settings!$C$11-Settings!$C$10+1)</f>
        <v>5753.42465753425</v>
      </c>
      <c r="K23" s="14" t="str">
        <f aca="false">IF(OR(C23&gt;$C$3,I23=0),"",I23-J23)</f>
        <v/>
      </c>
      <c r="L23" s="37" t="n">
        <f aca="false">SUMIFS('Meta data'!$F$3:$F$20000,'Meta data'!$A$3:$A$20000,"&gt;="&amp;$B23,'Meta data'!$A$3:$A$20000,"&lt;="&amp;$C23,'Meta data'!$G$3:$G$20000,"&lt;&gt;Month total")</f>
        <v>0</v>
      </c>
      <c r="M23" s="38" t="str">
        <f aca="false">IF(L23=0,"",D23/L23)</f>
        <v/>
      </c>
      <c r="N23" s="37" t="n">
        <f aca="false">SUMIFS('Google data'!$F$3:$F$20000,'Google data'!$A$3:$A$20000,"&gt;="&amp;$B23,'Google data'!$A$3:$A$20000,"&lt;="&amp;$C23,'Google data'!$G$3:$G$20000,"&lt;&gt;Month total")</f>
        <v>0</v>
      </c>
      <c r="O23" s="38" t="str">
        <f aca="false">IF(N23=0,"",E23/N23)</f>
        <v/>
      </c>
      <c r="P23" s="39"/>
      <c r="Q23" s="39"/>
      <c r="R23" s="40" t="s">
        <v>77</v>
      </c>
      <c r="S23" s="41" t="str">
        <f aca="false">TEXT(B23,"d mmm")</f>
        <v>4 May</v>
      </c>
    </row>
    <row r="24" customFormat="false" ht="36" hidden="false" customHeight="true" outlineLevel="0" collapsed="false">
      <c r="A24" s="35" t="n">
        <v>20</v>
      </c>
      <c r="B24" s="36" t="n">
        <f aca="false">Settings!$C$13+7*(A24-1)</f>
        <v>46153</v>
      </c>
      <c r="C24" s="36" t="n">
        <f aca="false">B24+6</f>
        <v>46159</v>
      </c>
      <c r="D24" s="14" t="n">
        <f aca="false">SUMIFS('Meta data'!$I$3:$I$20000,'Meta data'!$A$3:$A$20000,"&gt;="&amp;$B24,'Meta data'!$A$3:$A$20000,"&lt;="&amp;$C24,'Meta data'!$G$3:$G$20000,"&lt;&gt;Month total")</f>
        <v>0</v>
      </c>
      <c r="E24" s="14" t="n">
        <f aca="false">SUMIFS('Google data'!$I$3:$I$20000,'Google data'!$A$3:$A$20000,"&gt;="&amp;$B24,'Google data'!$A$3:$A$20000,"&lt;="&amp;$C24,'Google data'!$G$3:$G$20000,"&lt;&gt;Month total")</f>
        <v>0</v>
      </c>
      <c r="F24" s="14" t="n">
        <f aca="false">SUMIFS('ChatGPT data'!$I$3:$I$20000,'ChatGPT data'!$A$3:$A$20000,"&gt;="&amp;$B24,'ChatGPT data'!$A$3:$A$20000,"&lt;="&amp;$C24,'ChatGPT data'!$G$3:$G$20000,"&lt;&gt;Month total")</f>
        <v>0</v>
      </c>
      <c r="G24" s="14" t="n">
        <f aca="false">SUMIFS('LinkedIn data'!$I$3:$I$20000,'LinkedIn data'!$A$3:$A$20000,"&gt;="&amp;$B24,'LinkedIn data'!$A$3:$A$20000,"&lt;="&amp;$C24,'LinkedIn data'!$G$3:$G$20000,"&lt;&gt;Month total")</f>
        <v>0</v>
      </c>
      <c r="H24" s="15" t="n">
        <f aca="false">SUM(D24:G24)</f>
        <v>0</v>
      </c>
      <c r="I24" s="14" t="n">
        <f aca="false">D24*(Settings!$C$22="Yes")+E24*(Settings!$C$23="Yes")+F24*(Settings!$C$24="Yes")+G24*(Settings!$C$25="Yes")</f>
        <v>0</v>
      </c>
      <c r="J24" s="14" t="n">
        <f aca="false">Settings!$D$16*MAX(0,MIN(C24,Settings!$C$11)-MAX(B24,Settings!$C$10)+1)/(Settings!$C$11-Settings!$C$10+1)</f>
        <v>5753.42465753425</v>
      </c>
      <c r="K24" s="14" t="str">
        <f aca="false">IF(OR(C24&gt;$C$3,I24=0),"",I24-J24)</f>
        <v/>
      </c>
      <c r="L24" s="37" t="n">
        <f aca="false">SUMIFS('Meta data'!$F$3:$F$20000,'Meta data'!$A$3:$A$20000,"&gt;="&amp;$B24,'Meta data'!$A$3:$A$20000,"&lt;="&amp;$C24,'Meta data'!$G$3:$G$20000,"&lt;&gt;Month total")</f>
        <v>0</v>
      </c>
      <c r="M24" s="38" t="str">
        <f aca="false">IF(L24=0,"",D24/L24)</f>
        <v/>
      </c>
      <c r="N24" s="37" t="n">
        <f aca="false">SUMIFS('Google data'!$F$3:$F$20000,'Google data'!$A$3:$A$20000,"&gt;="&amp;$B24,'Google data'!$A$3:$A$20000,"&lt;="&amp;$C24,'Google data'!$G$3:$G$20000,"&lt;&gt;Month total")</f>
        <v>0</v>
      </c>
      <c r="O24" s="38" t="str">
        <f aca="false">IF(N24=0,"",E24/N24)</f>
        <v/>
      </c>
      <c r="P24" s="39"/>
      <c r="Q24" s="39"/>
      <c r="R24" s="40" t="s">
        <v>78</v>
      </c>
      <c r="S24" s="41" t="str">
        <f aca="false">TEXT(B24,"d mmm")</f>
        <v>11 May</v>
      </c>
    </row>
    <row r="25" customFormat="false" ht="36" hidden="false" customHeight="true" outlineLevel="0" collapsed="false">
      <c r="A25" s="35" t="n">
        <v>21</v>
      </c>
      <c r="B25" s="36" t="n">
        <f aca="false">Settings!$C$13+7*(A25-1)</f>
        <v>46160</v>
      </c>
      <c r="C25" s="36" t="n">
        <f aca="false">B25+6</f>
        <v>46166</v>
      </c>
      <c r="D25" s="14" t="n">
        <f aca="false">SUMIFS('Meta data'!$I$3:$I$20000,'Meta data'!$A$3:$A$20000,"&gt;="&amp;$B25,'Meta data'!$A$3:$A$20000,"&lt;="&amp;$C25,'Meta data'!$G$3:$G$20000,"&lt;&gt;Month total")</f>
        <v>0</v>
      </c>
      <c r="E25" s="14" t="n">
        <f aca="false">SUMIFS('Google data'!$I$3:$I$20000,'Google data'!$A$3:$A$20000,"&gt;="&amp;$B25,'Google data'!$A$3:$A$20000,"&lt;="&amp;$C25,'Google data'!$G$3:$G$20000,"&lt;&gt;Month total")</f>
        <v>0</v>
      </c>
      <c r="F25" s="14" t="n">
        <f aca="false">SUMIFS('ChatGPT data'!$I$3:$I$20000,'ChatGPT data'!$A$3:$A$20000,"&gt;="&amp;$B25,'ChatGPT data'!$A$3:$A$20000,"&lt;="&amp;$C25,'ChatGPT data'!$G$3:$G$20000,"&lt;&gt;Month total")</f>
        <v>0</v>
      </c>
      <c r="G25" s="14" t="n">
        <f aca="false">SUMIFS('LinkedIn data'!$I$3:$I$20000,'LinkedIn data'!$A$3:$A$20000,"&gt;="&amp;$B25,'LinkedIn data'!$A$3:$A$20000,"&lt;="&amp;$C25,'LinkedIn data'!$G$3:$G$20000,"&lt;&gt;Month total")</f>
        <v>0</v>
      </c>
      <c r="H25" s="15" t="n">
        <f aca="false">SUM(D25:G25)</f>
        <v>0</v>
      </c>
      <c r="I25" s="14" t="n">
        <f aca="false">D25*(Settings!$C$22="Yes")+E25*(Settings!$C$23="Yes")+F25*(Settings!$C$24="Yes")+G25*(Settings!$C$25="Yes")</f>
        <v>0</v>
      </c>
      <c r="J25" s="14" t="n">
        <f aca="false">Settings!$D$16*MAX(0,MIN(C25,Settings!$C$11)-MAX(B25,Settings!$C$10)+1)/(Settings!$C$11-Settings!$C$10+1)</f>
        <v>5753.42465753425</v>
      </c>
      <c r="K25" s="14" t="str">
        <f aca="false">IF(OR(C25&gt;$C$3,I25=0),"",I25-J25)</f>
        <v/>
      </c>
      <c r="L25" s="37" t="n">
        <f aca="false">SUMIFS('Meta data'!$F$3:$F$20000,'Meta data'!$A$3:$A$20000,"&gt;="&amp;$B25,'Meta data'!$A$3:$A$20000,"&lt;="&amp;$C25,'Meta data'!$G$3:$G$20000,"&lt;&gt;Month total")</f>
        <v>0</v>
      </c>
      <c r="M25" s="38" t="str">
        <f aca="false">IF(L25=0,"",D25/L25)</f>
        <v/>
      </c>
      <c r="N25" s="37" t="n">
        <f aca="false">SUMIFS('Google data'!$F$3:$F$20000,'Google data'!$A$3:$A$20000,"&gt;="&amp;$B25,'Google data'!$A$3:$A$20000,"&lt;="&amp;$C25,'Google data'!$G$3:$G$20000,"&lt;&gt;Month total")</f>
        <v>0</v>
      </c>
      <c r="O25" s="38" t="str">
        <f aca="false">IF(N25=0,"",E25/N25)</f>
        <v/>
      </c>
      <c r="P25" s="39"/>
      <c r="Q25" s="39"/>
      <c r="R25" s="40" t="s">
        <v>79</v>
      </c>
      <c r="S25" s="41" t="str">
        <f aca="false">TEXT(B25,"d mmm")</f>
        <v>18 May</v>
      </c>
    </row>
    <row r="26" customFormat="false" ht="36" hidden="false" customHeight="true" outlineLevel="0" collapsed="false">
      <c r="A26" s="35" t="n">
        <v>22</v>
      </c>
      <c r="B26" s="36" t="n">
        <f aca="false">Settings!$C$13+7*(A26-1)</f>
        <v>46167</v>
      </c>
      <c r="C26" s="36" t="n">
        <f aca="false">B26+6</f>
        <v>46173</v>
      </c>
      <c r="D26" s="14" t="n">
        <f aca="false">SUMIFS('Meta data'!$I$3:$I$20000,'Meta data'!$A$3:$A$20000,"&gt;="&amp;$B26,'Meta data'!$A$3:$A$20000,"&lt;="&amp;$C26,'Meta data'!$G$3:$G$20000,"&lt;&gt;Month total")</f>
        <v>0</v>
      </c>
      <c r="E26" s="14" t="n">
        <f aca="false">SUMIFS('Google data'!$I$3:$I$20000,'Google data'!$A$3:$A$20000,"&gt;="&amp;$B26,'Google data'!$A$3:$A$20000,"&lt;="&amp;$C26,'Google data'!$G$3:$G$20000,"&lt;&gt;Month total")</f>
        <v>0</v>
      </c>
      <c r="F26" s="14" t="n">
        <f aca="false">SUMIFS('ChatGPT data'!$I$3:$I$20000,'ChatGPT data'!$A$3:$A$20000,"&gt;="&amp;$B26,'ChatGPT data'!$A$3:$A$20000,"&lt;="&amp;$C26,'ChatGPT data'!$G$3:$G$20000,"&lt;&gt;Month total")</f>
        <v>0</v>
      </c>
      <c r="G26" s="14" t="n">
        <f aca="false">SUMIFS('LinkedIn data'!$I$3:$I$20000,'LinkedIn data'!$A$3:$A$20000,"&gt;="&amp;$B26,'LinkedIn data'!$A$3:$A$20000,"&lt;="&amp;$C26,'LinkedIn data'!$G$3:$G$20000,"&lt;&gt;Month total")</f>
        <v>0</v>
      </c>
      <c r="H26" s="15" t="n">
        <f aca="false">SUM(D26:G26)</f>
        <v>0</v>
      </c>
      <c r="I26" s="14" t="n">
        <f aca="false">D26*(Settings!$C$22="Yes")+E26*(Settings!$C$23="Yes")+F26*(Settings!$C$24="Yes")+G26*(Settings!$C$25="Yes")</f>
        <v>0</v>
      </c>
      <c r="J26" s="14" t="n">
        <f aca="false">Settings!$D$16*MAX(0,MIN(C26,Settings!$C$11)-MAX(B26,Settings!$C$10)+1)/(Settings!$C$11-Settings!$C$10+1)</f>
        <v>5753.42465753425</v>
      </c>
      <c r="K26" s="14" t="str">
        <f aca="false">IF(OR(C26&gt;$C$3,I26=0),"",I26-J26)</f>
        <v/>
      </c>
      <c r="L26" s="37" t="n">
        <f aca="false">SUMIFS('Meta data'!$F$3:$F$20000,'Meta data'!$A$3:$A$20000,"&gt;="&amp;$B26,'Meta data'!$A$3:$A$20000,"&lt;="&amp;$C26,'Meta data'!$G$3:$G$20000,"&lt;&gt;Month total")</f>
        <v>0</v>
      </c>
      <c r="M26" s="38" t="str">
        <f aca="false">IF(L26=0,"",D26/L26)</f>
        <v/>
      </c>
      <c r="N26" s="37" t="n">
        <f aca="false">SUMIFS('Google data'!$F$3:$F$20000,'Google data'!$A$3:$A$20000,"&gt;="&amp;$B26,'Google data'!$A$3:$A$20000,"&lt;="&amp;$C26,'Google data'!$G$3:$G$20000,"&lt;&gt;Month total")</f>
        <v>0</v>
      </c>
      <c r="O26" s="38" t="str">
        <f aca="false">IF(N26=0,"",E26/N26)</f>
        <v/>
      </c>
      <c r="P26" s="39"/>
      <c r="Q26" s="39"/>
      <c r="R26" s="40" t="s">
        <v>80</v>
      </c>
      <c r="S26" s="41" t="str">
        <f aca="false">TEXT(B26,"d mmm")</f>
        <v>25 May</v>
      </c>
    </row>
    <row r="27" customFormat="false" ht="36" hidden="false" customHeight="true" outlineLevel="0" collapsed="false">
      <c r="A27" s="35" t="n">
        <v>23</v>
      </c>
      <c r="B27" s="36" t="n">
        <f aca="false">Settings!$C$13+7*(A27-1)</f>
        <v>46174</v>
      </c>
      <c r="C27" s="36" t="n">
        <f aca="false">B27+6</f>
        <v>46180</v>
      </c>
      <c r="D27" s="14" t="n">
        <f aca="false">SUMIFS('Meta data'!$I$3:$I$20000,'Meta data'!$A$3:$A$20000,"&gt;="&amp;$B27,'Meta data'!$A$3:$A$20000,"&lt;="&amp;$C27,'Meta data'!$G$3:$G$20000,"&lt;&gt;Month total")</f>
        <v>0</v>
      </c>
      <c r="E27" s="14" t="n">
        <f aca="false">SUMIFS('Google data'!$I$3:$I$20000,'Google data'!$A$3:$A$20000,"&gt;="&amp;$B27,'Google data'!$A$3:$A$20000,"&lt;="&amp;$C27,'Google data'!$G$3:$G$20000,"&lt;&gt;Month total")</f>
        <v>0</v>
      </c>
      <c r="F27" s="14" t="n">
        <f aca="false">SUMIFS('ChatGPT data'!$I$3:$I$20000,'ChatGPT data'!$A$3:$A$20000,"&gt;="&amp;$B27,'ChatGPT data'!$A$3:$A$20000,"&lt;="&amp;$C27,'ChatGPT data'!$G$3:$G$20000,"&lt;&gt;Month total")</f>
        <v>0</v>
      </c>
      <c r="G27" s="14" t="n">
        <f aca="false">SUMIFS('LinkedIn data'!$I$3:$I$20000,'LinkedIn data'!$A$3:$A$20000,"&gt;="&amp;$B27,'LinkedIn data'!$A$3:$A$20000,"&lt;="&amp;$C27,'LinkedIn data'!$G$3:$G$20000,"&lt;&gt;Month total")</f>
        <v>0</v>
      </c>
      <c r="H27" s="15" t="n">
        <f aca="false">SUM(D27:G27)</f>
        <v>0</v>
      </c>
      <c r="I27" s="14" t="n">
        <f aca="false">D27*(Settings!$C$22="Yes")+E27*(Settings!$C$23="Yes")+F27*(Settings!$C$24="Yes")+G27*(Settings!$C$25="Yes")</f>
        <v>0</v>
      </c>
      <c r="J27" s="14" t="n">
        <f aca="false">Settings!$D$16*MAX(0,MIN(C27,Settings!$C$11)-MAX(B27,Settings!$C$10)+1)/(Settings!$C$11-Settings!$C$10+1)</f>
        <v>5753.42465753425</v>
      </c>
      <c r="K27" s="14" t="str">
        <f aca="false">IF(OR(C27&gt;$C$3,I27=0),"",I27-J27)</f>
        <v/>
      </c>
      <c r="L27" s="37" t="n">
        <f aca="false">SUMIFS('Meta data'!$F$3:$F$20000,'Meta data'!$A$3:$A$20000,"&gt;="&amp;$B27,'Meta data'!$A$3:$A$20000,"&lt;="&amp;$C27,'Meta data'!$G$3:$G$20000,"&lt;&gt;Month total")</f>
        <v>0</v>
      </c>
      <c r="M27" s="38" t="str">
        <f aca="false">IF(L27=0,"",D27/L27)</f>
        <v/>
      </c>
      <c r="N27" s="37" t="n">
        <f aca="false">SUMIFS('Google data'!$F$3:$F$20000,'Google data'!$A$3:$A$20000,"&gt;="&amp;$B27,'Google data'!$A$3:$A$20000,"&lt;="&amp;$C27,'Google data'!$G$3:$G$20000,"&lt;&gt;Month total")</f>
        <v>0</v>
      </c>
      <c r="O27" s="38" t="str">
        <f aca="false">IF(N27=0,"",E27/N27)</f>
        <v/>
      </c>
      <c r="P27" s="39"/>
      <c r="Q27" s="39"/>
      <c r="R27" s="40" t="s">
        <v>81</v>
      </c>
      <c r="S27" s="41" t="str">
        <f aca="false">TEXT(B27,"d mmm")</f>
        <v>1 Jun</v>
      </c>
    </row>
    <row r="28" customFormat="false" ht="36" hidden="false" customHeight="true" outlineLevel="0" collapsed="false">
      <c r="A28" s="35" t="n">
        <v>24</v>
      </c>
      <c r="B28" s="36" t="n">
        <f aca="false">Settings!$C$13+7*(A28-1)</f>
        <v>46181</v>
      </c>
      <c r="C28" s="36" t="n">
        <f aca="false">B28+6</f>
        <v>46187</v>
      </c>
      <c r="D28" s="14" t="n">
        <f aca="false">SUMIFS('Meta data'!$I$3:$I$20000,'Meta data'!$A$3:$A$20000,"&gt;="&amp;$B28,'Meta data'!$A$3:$A$20000,"&lt;="&amp;$C28,'Meta data'!$G$3:$G$20000,"&lt;&gt;Month total")</f>
        <v>0</v>
      </c>
      <c r="E28" s="14" t="n">
        <f aca="false">SUMIFS('Google data'!$I$3:$I$20000,'Google data'!$A$3:$A$20000,"&gt;="&amp;$B28,'Google data'!$A$3:$A$20000,"&lt;="&amp;$C28,'Google data'!$G$3:$G$20000,"&lt;&gt;Month total")</f>
        <v>0</v>
      </c>
      <c r="F28" s="14" t="n">
        <f aca="false">SUMIFS('ChatGPT data'!$I$3:$I$20000,'ChatGPT data'!$A$3:$A$20000,"&gt;="&amp;$B28,'ChatGPT data'!$A$3:$A$20000,"&lt;="&amp;$C28,'ChatGPT data'!$G$3:$G$20000,"&lt;&gt;Month total")</f>
        <v>0</v>
      </c>
      <c r="G28" s="14" t="n">
        <f aca="false">SUMIFS('LinkedIn data'!$I$3:$I$20000,'LinkedIn data'!$A$3:$A$20000,"&gt;="&amp;$B28,'LinkedIn data'!$A$3:$A$20000,"&lt;="&amp;$C28,'LinkedIn data'!$G$3:$G$20000,"&lt;&gt;Month total")</f>
        <v>0</v>
      </c>
      <c r="H28" s="15" t="n">
        <f aca="false">SUM(D28:G28)</f>
        <v>0</v>
      </c>
      <c r="I28" s="14" t="n">
        <f aca="false">D28*(Settings!$C$22="Yes")+E28*(Settings!$C$23="Yes")+F28*(Settings!$C$24="Yes")+G28*(Settings!$C$25="Yes")</f>
        <v>0</v>
      </c>
      <c r="J28" s="14" t="n">
        <f aca="false">Settings!$D$16*MAX(0,MIN(C28,Settings!$C$11)-MAX(B28,Settings!$C$10)+1)/(Settings!$C$11-Settings!$C$10+1)</f>
        <v>5753.42465753425</v>
      </c>
      <c r="K28" s="14" t="str">
        <f aca="false">IF(OR(C28&gt;$C$3,I28=0),"",I28-J28)</f>
        <v/>
      </c>
      <c r="L28" s="37" t="n">
        <f aca="false">SUMIFS('Meta data'!$F$3:$F$20000,'Meta data'!$A$3:$A$20000,"&gt;="&amp;$B28,'Meta data'!$A$3:$A$20000,"&lt;="&amp;$C28,'Meta data'!$G$3:$G$20000,"&lt;&gt;Month total")</f>
        <v>0</v>
      </c>
      <c r="M28" s="38" t="str">
        <f aca="false">IF(L28=0,"",D28/L28)</f>
        <v/>
      </c>
      <c r="N28" s="37" t="n">
        <f aca="false">SUMIFS('Google data'!$F$3:$F$20000,'Google data'!$A$3:$A$20000,"&gt;="&amp;$B28,'Google data'!$A$3:$A$20000,"&lt;="&amp;$C28,'Google data'!$G$3:$G$20000,"&lt;&gt;Month total")</f>
        <v>0</v>
      </c>
      <c r="O28" s="38" t="str">
        <f aca="false">IF(N28=0,"",E28/N28)</f>
        <v/>
      </c>
      <c r="P28" s="39"/>
      <c r="Q28" s="39"/>
      <c r="R28" s="40" t="s">
        <v>82</v>
      </c>
      <c r="S28" s="41" t="str">
        <f aca="false">TEXT(B28,"d mmm")</f>
        <v>8 Jun</v>
      </c>
    </row>
    <row r="29" customFormat="false" ht="36" hidden="false" customHeight="true" outlineLevel="0" collapsed="false">
      <c r="A29" s="35" t="n">
        <v>25</v>
      </c>
      <c r="B29" s="36" t="n">
        <f aca="false">Settings!$C$13+7*(A29-1)</f>
        <v>46188</v>
      </c>
      <c r="C29" s="36" t="n">
        <f aca="false">B29+6</f>
        <v>46194</v>
      </c>
      <c r="D29" s="14" t="n">
        <f aca="false">SUMIFS('Meta data'!$I$3:$I$20000,'Meta data'!$A$3:$A$20000,"&gt;="&amp;$B29,'Meta data'!$A$3:$A$20000,"&lt;="&amp;$C29,'Meta data'!$G$3:$G$20000,"&lt;&gt;Month total")</f>
        <v>0</v>
      </c>
      <c r="E29" s="14" t="n">
        <f aca="false">SUMIFS('Google data'!$I$3:$I$20000,'Google data'!$A$3:$A$20000,"&gt;="&amp;$B29,'Google data'!$A$3:$A$20000,"&lt;="&amp;$C29,'Google data'!$G$3:$G$20000,"&lt;&gt;Month total")</f>
        <v>0</v>
      </c>
      <c r="F29" s="14" t="n">
        <f aca="false">SUMIFS('ChatGPT data'!$I$3:$I$20000,'ChatGPT data'!$A$3:$A$20000,"&gt;="&amp;$B29,'ChatGPT data'!$A$3:$A$20000,"&lt;="&amp;$C29,'ChatGPT data'!$G$3:$G$20000,"&lt;&gt;Month total")</f>
        <v>0</v>
      </c>
      <c r="G29" s="14" t="n">
        <f aca="false">SUMIFS('LinkedIn data'!$I$3:$I$20000,'LinkedIn data'!$A$3:$A$20000,"&gt;="&amp;$B29,'LinkedIn data'!$A$3:$A$20000,"&lt;="&amp;$C29,'LinkedIn data'!$G$3:$G$20000,"&lt;&gt;Month total")</f>
        <v>0</v>
      </c>
      <c r="H29" s="15" t="n">
        <f aca="false">SUM(D29:G29)</f>
        <v>0</v>
      </c>
      <c r="I29" s="14" t="n">
        <f aca="false">D29*(Settings!$C$22="Yes")+E29*(Settings!$C$23="Yes")+F29*(Settings!$C$24="Yes")+G29*(Settings!$C$25="Yes")</f>
        <v>0</v>
      </c>
      <c r="J29" s="14" t="n">
        <f aca="false">Settings!$D$16*MAX(0,MIN(C29,Settings!$C$11)-MAX(B29,Settings!$C$10)+1)/(Settings!$C$11-Settings!$C$10+1)</f>
        <v>5753.42465753425</v>
      </c>
      <c r="K29" s="14" t="str">
        <f aca="false">IF(OR(C29&gt;$C$3,I29=0),"",I29-J29)</f>
        <v/>
      </c>
      <c r="L29" s="37" t="n">
        <f aca="false">SUMIFS('Meta data'!$F$3:$F$20000,'Meta data'!$A$3:$A$20000,"&gt;="&amp;$B29,'Meta data'!$A$3:$A$20000,"&lt;="&amp;$C29,'Meta data'!$G$3:$G$20000,"&lt;&gt;Month total")</f>
        <v>0</v>
      </c>
      <c r="M29" s="38" t="str">
        <f aca="false">IF(L29=0,"",D29/L29)</f>
        <v/>
      </c>
      <c r="N29" s="37" t="n">
        <f aca="false">SUMIFS('Google data'!$F$3:$F$20000,'Google data'!$A$3:$A$20000,"&gt;="&amp;$B29,'Google data'!$A$3:$A$20000,"&lt;="&amp;$C29,'Google data'!$G$3:$G$20000,"&lt;&gt;Month total")</f>
        <v>0</v>
      </c>
      <c r="O29" s="38" t="str">
        <f aca="false">IF(N29=0,"",E29/N29)</f>
        <v/>
      </c>
      <c r="P29" s="39"/>
      <c r="Q29" s="39"/>
      <c r="R29" s="40" t="s">
        <v>83</v>
      </c>
      <c r="S29" s="41" t="str">
        <f aca="false">TEXT(B29,"d mmm")</f>
        <v>15 Jun</v>
      </c>
    </row>
    <row r="30" customFormat="false" ht="36" hidden="false" customHeight="true" outlineLevel="0" collapsed="false">
      <c r="A30" s="35" t="n">
        <v>26</v>
      </c>
      <c r="B30" s="36" t="n">
        <f aca="false">Settings!$C$13+7*(A30-1)</f>
        <v>46195</v>
      </c>
      <c r="C30" s="36" t="n">
        <f aca="false">B30+6</f>
        <v>46201</v>
      </c>
      <c r="D30" s="14" t="n">
        <f aca="false">SUMIFS('Meta data'!$I$3:$I$20000,'Meta data'!$A$3:$A$20000,"&gt;="&amp;$B30,'Meta data'!$A$3:$A$20000,"&lt;="&amp;$C30,'Meta data'!$G$3:$G$20000,"&lt;&gt;Month total")</f>
        <v>0</v>
      </c>
      <c r="E30" s="14" t="n">
        <f aca="false">SUMIFS('Google data'!$I$3:$I$20000,'Google data'!$A$3:$A$20000,"&gt;="&amp;$B30,'Google data'!$A$3:$A$20000,"&lt;="&amp;$C30,'Google data'!$G$3:$G$20000,"&lt;&gt;Month total")</f>
        <v>0</v>
      </c>
      <c r="F30" s="14" t="n">
        <f aca="false">SUMIFS('ChatGPT data'!$I$3:$I$20000,'ChatGPT data'!$A$3:$A$20000,"&gt;="&amp;$B30,'ChatGPT data'!$A$3:$A$20000,"&lt;="&amp;$C30,'ChatGPT data'!$G$3:$G$20000,"&lt;&gt;Month total")</f>
        <v>0</v>
      </c>
      <c r="G30" s="14" t="n">
        <f aca="false">SUMIFS('LinkedIn data'!$I$3:$I$20000,'LinkedIn data'!$A$3:$A$20000,"&gt;="&amp;$B30,'LinkedIn data'!$A$3:$A$20000,"&lt;="&amp;$C30,'LinkedIn data'!$G$3:$G$20000,"&lt;&gt;Month total")</f>
        <v>0</v>
      </c>
      <c r="H30" s="15" t="n">
        <f aca="false">SUM(D30:G30)</f>
        <v>0</v>
      </c>
      <c r="I30" s="14" t="n">
        <f aca="false">D30*(Settings!$C$22="Yes")+E30*(Settings!$C$23="Yes")+F30*(Settings!$C$24="Yes")+G30*(Settings!$C$25="Yes")</f>
        <v>0</v>
      </c>
      <c r="J30" s="14" t="n">
        <f aca="false">Settings!$D$16*MAX(0,MIN(C30,Settings!$C$11)-MAX(B30,Settings!$C$10)+1)/(Settings!$C$11-Settings!$C$10+1)</f>
        <v>5753.42465753425</v>
      </c>
      <c r="K30" s="14" t="str">
        <f aca="false">IF(OR(C30&gt;$C$3,I30=0),"",I30-J30)</f>
        <v/>
      </c>
      <c r="L30" s="37" t="n">
        <f aca="false">SUMIFS('Meta data'!$F$3:$F$20000,'Meta data'!$A$3:$A$20000,"&gt;="&amp;$B30,'Meta data'!$A$3:$A$20000,"&lt;="&amp;$C30,'Meta data'!$G$3:$G$20000,"&lt;&gt;Month total")</f>
        <v>0</v>
      </c>
      <c r="M30" s="38" t="str">
        <f aca="false">IF(L30=0,"",D30/L30)</f>
        <v/>
      </c>
      <c r="N30" s="37" t="n">
        <f aca="false">SUMIFS('Google data'!$F$3:$F$20000,'Google data'!$A$3:$A$20000,"&gt;="&amp;$B30,'Google data'!$A$3:$A$20000,"&lt;="&amp;$C30,'Google data'!$G$3:$G$20000,"&lt;&gt;Month total")</f>
        <v>0</v>
      </c>
      <c r="O30" s="38" t="str">
        <f aca="false">IF(N30=0,"",E30/N30)</f>
        <v/>
      </c>
      <c r="P30" s="39"/>
      <c r="Q30" s="39"/>
      <c r="R30" s="40" t="s">
        <v>84</v>
      </c>
      <c r="S30" s="41" t="str">
        <f aca="false">TEXT(B30,"d mmm")</f>
        <v>22 Jun</v>
      </c>
    </row>
    <row r="31" customFormat="false" ht="36" hidden="false" customHeight="true" outlineLevel="0" collapsed="false">
      <c r="A31" s="35" t="n">
        <v>27</v>
      </c>
      <c r="B31" s="36" t="n">
        <f aca="false">Settings!$C$13+7*(A31-1)</f>
        <v>46202</v>
      </c>
      <c r="C31" s="36" t="n">
        <f aca="false">B31+6</f>
        <v>46208</v>
      </c>
      <c r="D31" s="14" t="n">
        <f aca="false">SUMIFS('Meta data'!$I$3:$I$20000,'Meta data'!$A$3:$A$20000,"&gt;="&amp;$B31,'Meta data'!$A$3:$A$20000,"&lt;="&amp;$C31,'Meta data'!$G$3:$G$20000,"&lt;&gt;Month total")</f>
        <v>0</v>
      </c>
      <c r="E31" s="14" t="n">
        <f aca="false">SUMIFS('Google data'!$I$3:$I$20000,'Google data'!$A$3:$A$20000,"&gt;="&amp;$B31,'Google data'!$A$3:$A$20000,"&lt;="&amp;$C31,'Google data'!$G$3:$G$20000,"&lt;&gt;Month total")</f>
        <v>0</v>
      </c>
      <c r="F31" s="14" t="n">
        <f aca="false">SUMIFS('ChatGPT data'!$I$3:$I$20000,'ChatGPT data'!$A$3:$A$20000,"&gt;="&amp;$B31,'ChatGPT data'!$A$3:$A$20000,"&lt;="&amp;$C31,'ChatGPT data'!$G$3:$G$20000,"&lt;&gt;Month total")</f>
        <v>0</v>
      </c>
      <c r="G31" s="14" t="n">
        <f aca="false">SUMIFS('LinkedIn data'!$I$3:$I$20000,'LinkedIn data'!$A$3:$A$20000,"&gt;="&amp;$B31,'LinkedIn data'!$A$3:$A$20000,"&lt;="&amp;$C31,'LinkedIn data'!$G$3:$G$20000,"&lt;&gt;Month total")</f>
        <v>0</v>
      </c>
      <c r="H31" s="15" t="n">
        <f aca="false">SUM(D31:G31)</f>
        <v>0</v>
      </c>
      <c r="I31" s="14" t="n">
        <f aca="false">D31*(Settings!$C$22="Yes")+E31*(Settings!$C$23="Yes")+F31*(Settings!$C$24="Yes")+G31*(Settings!$C$25="Yes")</f>
        <v>0</v>
      </c>
      <c r="J31" s="14" t="n">
        <f aca="false">Settings!$D$16*MAX(0,MIN(C31,Settings!$C$11)-MAX(B31,Settings!$C$10)+1)/(Settings!$C$11-Settings!$C$10+1)</f>
        <v>5753.42465753425</v>
      </c>
      <c r="K31" s="14" t="str">
        <f aca="false">IF(OR(C31&gt;$C$3,I31=0),"",I31-J31)</f>
        <v/>
      </c>
      <c r="L31" s="37" t="n">
        <f aca="false">SUMIFS('Meta data'!$F$3:$F$20000,'Meta data'!$A$3:$A$20000,"&gt;="&amp;$B31,'Meta data'!$A$3:$A$20000,"&lt;="&amp;$C31,'Meta data'!$G$3:$G$20000,"&lt;&gt;Month total")</f>
        <v>0</v>
      </c>
      <c r="M31" s="38" t="str">
        <f aca="false">IF(L31=0,"",D31/L31)</f>
        <v/>
      </c>
      <c r="N31" s="37" t="n">
        <f aca="false">SUMIFS('Google data'!$F$3:$F$20000,'Google data'!$A$3:$A$20000,"&gt;="&amp;$B31,'Google data'!$A$3:$A$20000,"&lt;="&amp;$C31,'Google data'!$G$3:$G$20000,"&lt;&gt;Month total")</f>
        <v>0</v>
      </c>
      <c r="O31" s="38" t="str">
        <f aca="false">IF(N31=0,"",E31/N31)</f>
        <v/>
      </c>
      <c r="P31" s="39"/>
      <c r="Q31" s="39"/>
      <c r="R31" s="40" t="s">
        <v>85</v>
      </c>
      <c r="S31" s="41" t="str">
        <f aca="false">TEXT(B31,"d mmm")</f>
        <v>29 Jun</v>
      </c>
    </row>
    <row r="32" customFormat="false" ht="36" hidden="false" customHeight="true" outlineLevel="0" collapsed="false">
      <c r="A32" s="35" t="n">
        <v>28</v>
      </c>
      <c r="B32" s="36" t="n">
        <f aca="false">Settings!$C$13+7*(A32-1)</f>
        <v>46209</v>
      </c>
      <c r="C32" s="36" t="n">
        <f aca="false">B32+6</f>
        <v>46215</v>
      </c>
      <c r="D32" s="14" t="n">
        <f aca="false">SUMIFS('Meta data'!$I$3:$I$20000,'Meta data'!$A$3:$A$20000,"&gt;="&amp;$B32,'Meta data'!$A$3:$A$20000,"&lt;="&amp;$C32,'Meta data'!$G$3:$G$20000,"&lt;&gt;Month total")</f>
        <v>0</v>
      </c>
      <c r="E32" s="14" t="n">
        <f aca="false">SUMIFS('Google data'!$I$3:$I$20000,'Google data'!$A$3:$A$20000,"&gt;="&amp;$B32,'Google data'!$A$3:$A$20000,"&lt;="&amp;$C32,'Google data'!$G$3:$G$20000,"&lt;&gt;Month total")</f>
        <v>0</v>
      </c>
      <c r="F32" s="14" t="n">
        <f aca="false">SUMIFS('ChatGPT data'!$I$3:$I$20000,'ChatGPT data'!$A$3:$A$20000,"&gt;="&amp;$B32,'ChatGPT data'!$A$3:$A$20000,"&lt;="&amp;$C32,'ChatGPT data'!$G$3:$G$20000,"&lt;&gt;Month total")</f>
        <v>0</v>
      </c>
      <c r="G32" s="14" t="n">
        <f aca="false">SUMIFS('LinkedIn data'!$I$3:$I$20000,'LinkedIn data'!$A$3:$A$20000,"&gt;="&amp;$B32,'LinkedIn data'!$A$3:$A$20000,"&lt;="&amp;$C32,'LinkedIn data'!$G$3:$G$20000,"&lt;&gt;Month total")</f>
        <v>0</v>
      </c>
      <c r="H32" s="15" t="n">
        <f aca="false">SUM(D32:G32)</f>
        <v>0</v>
      </c>
      <c r="I32" s="14" t="n">
        <f aca="false">D32*(Settings!$C$22="Yes")+E32*(Settings!$C$23="Yes")+F32*(Settings!$C$24="Yes")+G32*(Settings!$C$25="Yes")</f>
        <v>0</v>
      </c>
      <c r="J32" s="14" t="n">
        <f aca="false">Settings!$D$16*MAX(0,MIN(C32,Settings!$C$11)-MAX(B32,Settings!$C$10)+1)/(Settings!$C$11-Settings!$C$10+1)</f>
        <v>5753.42465753425</v>
      </c>
      <c r="K32" s="14" t="str">
        <f aca="false">IF(OR(C32&gt;$C$3,I32=0),"",I32-J32)</f>
        <v/>
      </c>
      <c r="L32" s="37" t="n">
        <f aca="false">SUMIFS('Meta data'!$F$3:$F$20000,'Meta data'!$A$3:$A$20000,"&gt;="&amp;$B32,'Meta data'!$A$3:$A$20000,"&lt;="&amp;$C32,'Meta data'!$G$3:$G$20000,"&lt;&gt;Month total")</f>
        <v>0</v>
      </c>
      <c r="M32" s="38" t="str">
        <f aca="false">IF(L32=0,"",D32/L32)</f>
        <v/>
      </c>
      <c r="N32" s="37" t="n">
        <f aca="false">SUMIFS('Google data'!$F$3:$F$20000,'Google data'!$A$3:$A$20000,"&gt;="&amp;$B32,'Google data'!$A$3:$A$20000,"&lt;="&amp;$C32,'Google data'!$G$3:$G$20000,"&lt;&gt;Month total")</f>
        <v>0</v>
      </c>
      <c r="O32" s="38" t="str">
        <f aca="false">IF(N32=0,"",E32/N32)</f>
        <v/>
      </c>
      <c r="P32" s="39"/>
      <c r="Q32" s="39"/>
      <c r="R32" s="40" t="s">
        <v>86</v>
      </c>
      <c r="S32" s="41" t="str">
        <f aca="false">TEXT(B32,"d mmm")</f>
        <v>6 Jul</v>
      </c>
    </row>
    <row r="33" customFormat="false" ht="36" hidden="false" customHeight="true" outlineLevel="0" collapsed="false">
      <c r="A33" s="35" t="n">
        <v>29</v>
      </c>
      <c r="B33" s="36" t="n">
        <f aca="false">Settings!$C$13+7*(A33-1)</f>
        <v>46216</v>
      </c>
      <c r="C33" s="36" t="n">
        <f aca="false">B33+6</f>
        <v>46222</v>
      </c>
      <c r="D33" s="14" t="n">
        <f aca="false">SUMIFS('Meta data'!$I$3:$I$20000,'Meta data'!$A$3:$A$20000,"&gt;="&amp;$B33,'Meta data'!$A$3:$A$20000,"&lt;="&amp;$C33,'Meta data'!$G$3:$G$20000,"&lt;&gt;Month total")</f>
        <v>0</v>
      </c>
      <c r="E33" s="14" t="n">
        <f aca="false">SUMIFS('Google data'!$I$3:$I$20000,'Google data'!$A$3:$A$20000,"&gt;="&amp;$B33,'Google data'!$A$3:$A$20000,"&lt;="&amp;$C33,'Google data'!$G$3:$G$20000,"&lt;&gt;Month total")</f>
        <v>0</v>
      </c>
      <c r="F33" s="14" t="n">
        <f aca="false">SUMIFS('ChatGPT data'!$I$3:$I$20000,'ChatGPT data'!$A$3:$A$20000,"&gt;="&amp;$B33,'ChatGPT data'!$A$3:$A$20000,"&lt;="&amp;$C33,'ChatGPT data'!$G$3:$G$20000,"&lt;&gt;Month total")</f>
        <v>0</v>
      </c>
      <c r="G33" s="14" t="n">
        <f aca="false">SUMIFS('LinkedIn data'!$I$3:$I$20000,'LinkedIn data'!$A$3:$A$20000,"&gt;="&amp;$B33,'LinkedIn data'!$A$3:$A$20000,"&lt;="&amp;$C33,'LinkedIn data'!$G$3:$G$20000,"&lt;&gt;Month total")</f>
        <v>0</v>
      </c>
      <c r="H33" s="15" t="n">
        <f aca="false">SUM(D33:G33)</f>
        <v>0</v>
      </c>
      <c r="I33" s="14" t="n">
        <f aca="false">D33*(Settings!$C$22="Yes")+E33*(Settings!$C$23="Yes")+F33*(Settings!$C$24="Yes")+G33*(Settings!$C$25="Yes")</f>
        <v>0</v>
      </c>
      <c r="J33" s="14" t="n">
        <f aca="false">Settings!$D$16*MAX(0,MIN(C33,Settings!$C$11)-MAX(B33,Settings!$C$10)+1)/(Settings!$C$11-Settings!$C$10+1)</f>
        <v>5753.42465753425</v>
      </c>
      <c r="K33" s="14" t="str">
        <f aca="false">IF(OR(C33&gt;$C$3,I33=0),"",I33-J33)</f>
        <v/>
      </c>
      <c r="L33" s="37" t="n">
        <f aca="false">SUMIFS('Meta data'!$F$3:$F$20000,'Meta data'!$A$3:$A$20000,"&gt;="&amp;$B33,'Meta data'!$A$3:$A$20000,"&lt;="&amp;$C33,'Meta data'!$G$3:$G$20000,"&lt;&gt;Month total")</f>
        <v>0</v>
      </c>
      <c r="M33" s="38" t="str">
        <f aca="false">IF(L33=0,"",D33/L33)</f>
        <v/>
      </c>
      <c r="N33" s="37" t="n">
        <f aca="false">SUMIFS('Google data'!$F$3:$F$20000,'Google data'!$A$3:$A$20000,"&gt;="&amp;$B33,'Google data'!$A$3:$A$20000,"&lt;="&amp;$C33,'Google data'!$G$3:$G$20000,"&lt;&gt;Month total")</f>
        <v>0</v>
      </c>
      <c r="O33" s="38" t="str">
        <f aca="false">IF(N33=0,"",E33/N33)</f>
        <v/>
      </c>
      <c r="P33" s="39"/>
      <c r="Q33" s="39"/>
      <c r="R33" s="40" t="s">
        <v>87</v>
      </c>
      <c r="S33" s="41" t="str">
        <f aca="false">TEXT(B33,"d mmm")</f>
        <v>13 Jul</v>
      </c>
    </row>
    <row r="34" customFormat="false" ht="36" hidden="false" customHeight="true" outlineLevel="0" collapsed="false">
      <c r="A34" s="35" t="n">
        <v>30</v>
      </c>
      <c r="B34" s="36" t="n">
        <f aca="false">Settings!$C$13+7*(A34-1)</f>
        <v>46223</v>
      </c>
      <c r="C34" s="36" t="n">
        <f aca="false">B34+6</f>
        <v>46229</v>
      </c>
      <c r="D34" s="14" t="n">
        <f aca="false">SUMIFS('Meta data'!$I$3:$I$20000,'Meta data'!$A$3:$A$20000,"&gt;="&amp;$B34,'Meta data'!$A$3:$A$20000,"&lt;="&amp;$C34,'Meta data'!$G$3:$G$20000,"&lt;&gt;Month total")</f>
        <v>0</v>
      </c>
      <c r="E34" s="14" t="n">
        <f aca="false">SUMIFS('Google data'!$I$3:$I$20000,'Google data'!$A$3:$A$20000,"&gt;="&amp;$B34,'Google data'!$A$3:$A$20000,"&lt;="&amp;$C34,'Google data'!$G$3:$G$20000,"&lt;&gt;Month total")</f>
        <v>0</v>
      </c>
      <c r="F34" s="14" t="n">
        <f aca="false">SUMIFS('ChatGPT data'!$I$3:$I$20000,'ChatGPT data'!$A$3:$A$20000,"&gt;="&amp;$B34,'ChatGPT data'!$A$3:$A$20000,"&lt;="&amp;$C34,'ChatGPT data'!$G$3:$G$20000,"&lt;&gt;Month total")</f>
        <v>0</v>
      </c>
      <c r="G34" s="14" t="n">
        <f aca="false">SUMIFS('LinkedIn data'!$I$3:$I$20000,'LinkedIn data'!$A$3:$A$20000,"&gt;="&amp;$B34,'LinkedIn data'!$A$3:$A$20000,"&lt;="&amp;$C34,'LinkedIn data'!$G$3:$G$20000,"&lt;&gt;Month total")</f>
        <v>0</v>
      </c>
      <c r="H34" s="15" t="n">
        <f aca="false">SUM(D34:G34)</f>
        <v>0</v>
      </c>
      <c r="I34" s="14" t="n">
        <f aca="false">D34*(Settings!$C$22="Yes")+E34*(Settings!$C$23="Yes")+F34*(Settings!$C$24="Yes")+G34*(Settings!$C$25="Yes")</f>
        <v>0</v>
      </c>
      <c r="J34" s="14" t="n">
        <f aca="false">Settings!$D$16*MAX(0,MIN(C34,Settings!$C$11)-MAX(B34,Settings!$C$10)+1)/(Settings!$C$11-Settings!$C$10+1)</f>
        <v>5753.42465753425</v>
      </c>
      <c r="K34" s="14" t="str">
        <f aca="false">IF(OR(C34&gt;$C$3,I34=0),"",I34-J34)</f>
        <v/>
      </c>
      <c r="L34" s="37" t="n">
        <f aca="false">SUMIFS('Meta data'!$F$3:$F$20000,'Meta data'!$A$3:$A$20000,"&gt;="&amp;$B34,'Meta data'!$A$3:$A$20000,"&lt;="&amp;$C34,'Meta data'!$G$3:$G$20000,"&lt;&gt;Month total")</f>
        <v>0</v>
      </c>
      <c r="M34" s="38" t="str">
        <f aca="false">IF(L34=0,"",D34/L34)</f>
        <v/>
      </c>
      <c r="N34" s="37" t="n">
        <f aca="false">SUMIFS('Google data'!$F$3:$F$20000,'Google data'!$A$3:$A$20000,"&gt;="&amp;$B34,'Google data'!$A$3:$A$20000,"&lt;="&amp;$C34,'Google data'!$G$3:$G$20000,"&lt;&gt;Month total")</f>
        <v>0</v>
      </c>
      <c r="O34" s="38" t="str">
        <f aca="false">IF(N34=0,"",E34/N34)</f>
        <v/>
      </c>
      <c r="P34" s="39"/>
      <c r="Q34" s="39"/>
      <c r="R34" s="40" t="s">
        <v>88</v>
      </c>
      <c r="S34" s="41" t="str">
        <f aca="false">TEXT(B34,"d mmm")</f>
        <v>20 Jul</v>
      </c>
    </row>
    <row r="35" customFormat="false" ht="36" hidden="false" customHeight="true" outlineLevel="0" collapsed="false">
      <c r="A35" s="35" t="n">
        <v>31</v>
      </c>
      <c r="B35" s="36" t="n">
        <f aca="false">Settings!$C$13+7*(A35-1)</f>
        <v>46230</v>
      </c>
      <c r="C35" s="36" t="n">
        <f aca="false">B35+6</f>
        <v>46236</v>
      </c>
      <c r="D35" s="14" t="n">
        <f aca="false">SUMIFS('Meta data'!$I$3:$I$20000,'Meta data'!$A$3:$A$20000,"&gt;="&amp;$B35,'Meta data'!$A$3:$A$20000,"&lt;="&amp;$C35,'Meta data'!$G$3:$G$20000,"&lt;&gt;Month total")</f>
        <v>0</v>
      </c>
      <c r="E35" s="14" t="n">
        <f aca="false">SUMIFS('Google data'!$I$3:$I$20000,'Google data'!$A$3:$A$20000,"&gt;="&amp;$B35,'Google data'!$A$3:$A$20000,"&lt;="&amp;$C35,'Google data'!$G$3:$G$20000,"&lt;&gt;Month total")</f>
        <v>0</v>
      </c>
      <c r="F35" s="14" t="n">
        <f aca="false">SUMIFS('ChatGPT data'!$I$3:$I$20000,'ChatGPT data'!$A$3:$A$20000,"&gt;="&amp;$B35,'ChatGPT data'!$A$3:$A$20000,"&lt;="&amp;$C35,'ChatGPT data'!$G$3:$G$20000,"&lt;&gt;Month total")</f>
        <v>0</v>
      </c>
      <c r="G35" s="14" t="n">
        <f aca="false">SUMIFS('LinkedIn data'!$I$3:$I$20000,'LinkedIn data'!$A$3:$A$20000,"&gt;="&amp;$B35,'LinkedIn data'!$A$3:$A$20000,"&lt;="&amp;$C35,'LinkedIn data'!$G$3:$G$20000,"&lt;&gt;Month total")</f>
        <v>0</v>
      </c>
      <c r="H35" s="15" t="n">
        <f aca="false">SUM(D35:G35)</f>
        <v>0</v>
      </c>
      <c r="I35" s="14" t="n">
        <f aca="false">D35*(Settings!$C$22="Yes")+E35*(Settings!$C$23="Yes")+F35*(Settings!$C$24="Yes")+G35*(Settings!$C$25="Yes")</f>
        <v>0</v>
      </c>
      <c r="J35" s="14" t="n">
        <f aca="false">Settings!$D$16*MAX(0,MIN(C35,Settings!$C$11)-MAX(B35,Settings!$C$10)+1)/(Settings!$C$11-Settings!$C$10+1)</f>
        <v>5753.42465753425</v>
      </c>
      <c r="K35" s="14" t="str">
        <f aca="false">IF(OR(C35&gt;$C$3,I35=0),"",I35-J35)</f>
        <v/>
      </c>
      <c r="L35" s="37" t="n">
        <f aca="false">SUMIFS('Meta data'!$F$3:$F$20000,'Meta data'!$A$3:$A$20000,"&gt;="&amp;$B35,'Meta data'!$A$3:$A$20000,"&lt;="&amp;$C35,'Meta data'!$G$3:$G$20000,"&lt;&gt;Month total")</f>
        <v>0</v>
      </c>
      <c r="M35" s="38" t="str">
        <f aca="false">IF(L35=0,"",D35/L35)</f>
        <v/>
      </c>
      <c r="N35" s="37" t="n">
        <f aca="false">SUMIFS('Google data'!$F$3:$F$20000,'Google data'!$A$3:$A$20000,"&gt;="&amp;$B35,'Google data'!$A$3:$A$20000,"&lt;="&amp;$C35,'Google data'!$G$3:$G$20000,"&lt;&gt;Month total")</f>
        <v>0</v>
      </c>
      <c r="O35" s="38" t="str">
        <f aca="false">IF(N35=0,"",E35/N35)</f>
        <v/>
      </c>
      <c r="P35" s="39"/>
      <c r="Q35" s="39"/>
      <c r="R35" s="40" t="s">
        <v>89</v>
      </c>
      <c r="S35" s="41" t="str">
        <f aca="false">TEXT(B35,"d mmm")</f>
        <v>27 Jul</v>
      </c>
    </row>
    <row r="36" customFormat="false" ht="36" hidden="false" customHeight="true" outlineLevel="0" collapsed="false">
      <c r="A36" s="35" t="n">
        <v>32</v>
      </c>
      <c r="B36" s="36" t="n">
        <f aca="false">Settings!$C$13+7*(A36-1)</f>
        <v>46237</v>
      </c>
      <c r="C36" s="36" t="n">
        <f aca="false">B36+6</f>
        <v>46243</v>
      </c>
      <c r="D36" s="14" t="n">
        <f aca="false">SUMIFS('Meta data'!$I$3:$I$20000,'Meta data'!$A$3:$A$20000,"&gt;="&amp;$B36,'Meta data'!$A$3:$A$20000,"&lt;="&amp;$C36,'Meta data'!$G$3:$G$20000,"&lt;&gt;Month total")</f>
        <v>0</v>
      </c>
      <c r="E36" s="14" t="n">
        <f aca="false">SUMIFS('Google data'!$I$3:$I$20000,'Google data'!$A$3:$A$20000,"&gt;="&amp;$B36,'Google data'!$A$3:$A$20000,"&lt;="&amp;$C36,'Google data'!$G$3:$G$20000,"&lt;&gt;Month total")</f>
        <v>0</v>
      </c>
      <c r="F36" s="14" t="n">
        <f aca="false">SUMIFS('ChatGPT data'!$I$3:$I$20000,'ChatGPT data'!$A$3:$A$20000,"&gt;="&amp;$B36,'ChatGPT data'!$A$3:$A$20000,"&lt;="&amp;$C36,'ChatGPT data'!$G$3:$G$20000,"&lt;&gt;Month total")</f>
        <v>0</v>
      </c>
      <c r="G36" s="14" t="n">
        <f aca="false">SUMIFS('LinkedIn data'!$I$3:$I$20000,'LinkedIn data'!$A$3:$A$20000,"&gt;="&amp;$B36,'LinkedIn data'!$A$3:$A$20000,"&lt;="&amp;$C36,'LinkedIn data'!$G$3:$G$20000,"&lt;&gt;Month total")</f>
        <v>0</v>
      </c>
      <c r="H36" s="15" t="n">
        <f aca="false">SUM(D36:G36)</f>
        <v>0</v>
      </c>
      <c r="I36" s="14" t="n">
        <f aca="false">D36*(Settings!$C$22="Yes")+E36*(Settings!$C$23="Yes")+F36*(Settings!$C$24="Yes")+G36*(Settings!$C$25="Yes")</f>
        <v>0</v>
      </c>
      <c r="J36" s="14" t="n">
        <f aca="false">Settings!$D$16*MAX(0,MIN(C36,Settings!$C$11)-MAX(B36,Settings!$C$10)+1)/(Settings!$C$11-Settings!$C$10+1)</f>
        <v>5753.42465753425</v>
      </c>
      <c r="K36" s="14" t="str">
        <f aca="false">IF(OR(C36&gt;$C$3,I36=0),"",I36-J36)</f>
        <v/>
      </c>
      <c r="L36" s="37" t="n">
        <f aca="false">SUMIFS('Meta data'!$F$3:$F$20000,'Meta data'!$A$3:$A$20000,"&gt;="&amp;$B36,'Meta data'!$A$3:$A$20000,"&lt;="&amp;$C36,'Meta data'!$G$3:$G$20000,"&lt;&gt;Month total")</f>
        <v>0</v>
      </c>
      <c r="M36" s="38" t="str">
        <f aca="false">IF(L36=0,"",D36/L36)</f>
        <v/>
      </c>
      <c r="N36" s="37" t="n">
        <f aca="false">SUMIFS('Google data'!$F$3:$F$20000,'Google data'!$A$3:$A$20000,"&gt;="&amp;$B36,'Google data'!$A$3:$A$20000,"&lt;="&amp;$C36,'Google data'!$G$3:$G$20000,"&lt;&gt;Month total")</f>
        <v>0</v>
      </c>
      <c r="O36" s="38" t="str">
        <f aca="false">IF(N36=0,"",E36/N36)</f>
        <v/>
      </c>
      <c r="P36" s="39"/>
      <c r="Q36" s="39"/>
      <c r="R36" s="40" t="s">
        <v>90</v>
      </c>
      <c r="S36" s="41" t="str">
        <f aca="false">TEXT(B36,"d mmm")</f>
        <v>3 Aug</v>
      </c>
    </row>
    <row r="37" customFormat="false" ht="36" hidden="false" customHeight="true" outlineLevel="0" collapsed="false">
      <c r="A37" s="35" t="n">
        <v>33</v>
      </c>
      <c r="B37" s="36" t="n">
        <f aca="false">Settings!$C$13+7*(A37-1)</f>
        <v>46244</v>
      </c>
      <c r="C37" s="36" t="n">
        <f aca="false">B37+6</f>
        <v>46250</v>
      </c>
      <c r="D37" s="14" t="n">
        <f aca="false">SUMIFS('Meta data'!$I$3:$I$20000,'Meta data'!$A$3:$A$20000,"&gt;="&amp;$B37,'Meta data'!$A$3:$A$20000,"&lt;="&amp;$C37,'Meta data'!$G$3:$G$20000,"&lt;&gt;Month total")</f>
        <v>0</v>
      </c>
      <c r="E37" s="14" t="n">
        <f aca="false">SUMIFS('Google data'!$I$3:$I$20000,'Google data'!$A$3:$A$20000,"&gt;="&amp;$B37,'Google data'!$A$3:$A$20000,"&lt;="&amp;$C37,'Google data'!$G$3:$G$20000,"&lt;&gt;Month total")</f>
        <v>0</v>
      </c>
      <c r="F37" s="14" t="n">
        <f aca="false">SUMIFS('ChatGPT data'!$I$3:$I$20000,'ChatGPT data'!$A$3:$A$20000,"&gt;="&amp;$B37,'ChatGPT data'!$A$3:$A$20000,"&lt;="&amp;$C37,'ChatGPT data'!$G$3:$G$20000,"&lt;&gt;Month total")</f>
        <v>0</v>
      </c>
      <c r="G37" s="14" t="n">
        <f aca="false">SUMIFS('LinkedIn data'!$I$3:$I$20000,'LinkedIn data'!$A$3:$A$20000,"&gt;="&amp;$B37,'LinkedIn data'!$A$3:$A$20000,"&lt;="&amp;$C37,'LinkedIn data'!$G$3:$G$20000,"&lt;&gt;Month total")</f>
        <v>0</v>
      </c>
      <c r="H37" s="15" t="n">
        <f aca="false">SUM(D37:G37)</f>
        <v>0</v>
      </c>
      <c r="I37" s="14" t="n">
        <f aca="false">D37*(Settings!$C$22="Yes")+E37*(Settings!$C$23="Yes")+F37*(Settings!$C$24="Yes")+G37*(Settings!$C$25="Yes")</f>
        <v>0</v>
      </c>
      <c r="J37" s="14" t="n">
        <f aca="false">Settings!$D$16*MAX(0,MIN(C37,Settings!$C$11)-MAX(B37,Settings!$C$10)+1)/(Settings!$C$11-Settings!$C$10+1)</f>
        <v>5753.42465753425</v>
      </c>
      <c r="K37" s="14" t="str">
        <f aca="false">IF(OR(C37&gt;$C$3,I37=0),"",I37-J37)</f>
        <v/>
      </c>
      <c r="L37" s="37" t="n">
        <f aca="false">SUMIFS('Meta data'!$F$3:$F$20000,'Meta data'!$A$3:$A$20000,"&gt;="&amp;$B37,'Meta data'!$A$3:$A$20000,"&lt;="&amp;$C37,'Meta data'!$G$3:$G$20000,"&lt;&gt;Month total")</f>
        <v>0</v>
      </c>
      <c r="M37" s="38" t="str">
        <f aca="false">IF(L37=0,"",D37/L37)</f>
        <v/>
      </c>
      <c r="N37" s="37" t="n">
        <f aca="false">SUMIFS('Google data'!$F$3:$F$20000,'Google data'!$A$3:$A$20000,"&gt;="&amp;$B37,'Google data'!$A$3:$A$20000,"&lt;="&amp;$C37,'Google data'!$G$3:$G$20000,"&lt;&gt;Month total")</f>
        <v>0</v>
      </c>
      <c r="O37" s="38" t="str">
        <f aca="false">IF(N37=0,"",E37/N37)</f>
        <v/>
      </c>
      <c r="P37" s="39"/>
      <c r="Q37" s="39"/>
      <c r="R37" s="40" t="s">
        <v>91</v>
      </c>
      <c r="S37" s="41" t="str">
        <f aca="false">TEXT(B37,"d mmm")</f>
        <v>10 Aug</v>
      </c>
    </row>
    <row r="38" customFormat="false" ht="36" hidden="false" customHeight="true" outlineLevel="0" collapsed="false">
      <c r="A38" s="35" t="n">
        <v>34</v>
      </c>
      <c r="B38" s="36" t="n">
        <f aca="false">Settings!$C$13+7*(A38-1)</f>
        <v>46251</v>
      </c>
      <c r="C38" s="36" t="n">
        <f aca="false">B38+6</f>
        <v>46257</v>
      </c>
      <c r="D38" s="14" t="n">
        <f aca="false">SUMIFS('Meta data'!$I$3:$I$20000,'Meta data'!$A$3:$A$20000,"&gt;="&amp;$B38,'Meta data'!$A$3:$A$20000,"&lt;="&amp;$C38,'Meta data'!$G$3:$G$20000,"&lt;&gt;Month total")</f>
        <v>0</v>
      </c>
      <c r="E38" s="14" t="n">
        <f aca="false">SUMIFS('Google data'!$I$3:$I$20000,'Google data'!$A$3:$A$20000,"&gt;="&amp;$B38,'Google data'!$A$3:$A$20000,"&lt;="&amp;$C38,'Google data'!$G$3:$G$20000,"&lt;&gt;Month total")</f>
        <v>0</v>
      </c>
      <c r="F38" s="14" t="n">
        <f aca="false">SUMIFS('ChatGPT data'!$I$3:$I$20000,'ChatGPT data'!$A$3:$A$20000,"&gt;="&amp;$B38,'ChatGPT data'!$A$3:$A$20000,"&lt;="&amp;$C38,'ChatGPT data'!$G$3:$G$20000,"&lt;&gt;Month total")</f>
        <v>0</v>
      </c>
      <c r="G38" s="14" t="n">
        <f aca="false">SUMIFS('LinkedIn data'!$I$3:$I$20000,'LinkedIn data'!$A$3:$A$20000,"&gt;="&amp;$B38,'LinkedIn data'!$A$3:$A$20000,"&lt;="&amp;$C38,'LinkedIn data'!$G$3:$G$20000,"&lt;&gt;Month total")</f>
        <v>0</v>
      </c>
      <c r="H38" s="15" t="n">
        <f aca="false">SUM(D38:G38)</f>
        <v>0</v>
      </c>
      <c r="I38" s="14" t="n">
        <f aca="false">D38*(Settings!$C$22="Yes")+E38*(Settings!$C$23="Yes")+F38*(Settings!$C$24="Yes")+G38*(Settings!$C$25="Yes")</f>
        <v>0</v>
      </c>
      <c r="J38" s="14" t="n">
        <f aca="false">Settings!$D$16*MAX(0,MIN(C38,Settings!$C$11)-MAX(B38,Settings!$C$10)+1)/(Settings!$C$11-Settings!$C$10+1)</f>
        <v>5753.42465753425</v>
      </c>
      <c r="K38" s="14" t="str">
        <f aca="false">IF(OR(C38&gt;$C$3,I38=0),"",I38-J38)</f>
        <v/>
      </c>
      <c r="L38" s="37" t="n">
        <f aca="false">SUMIFS('Meta data'!$F$3:$F$20000,'Meta data'!$A$3:$A$20000,"&gt;="&amp;$B38,'Meta data'!$A$3:$A$20000,"&lt;="&amp;$C38,'Meta data'!$G$3:$G$20000,"&lt;&gt;Month total")</f>
        <v>0</v>
      </c>
      <c r="M38" s="38" t="str">
        <f aca="false">IF(L38=0,"",D38/L38)</f>
        <v/>
      </c>
      <c r="N38" s="37" t="n">
        <f aca="false">SUMIFS('Google data'!$F$3:$F$20000,'Google data'!$A$3:$A$20000,"&gt;="&amp;$B38,'Google data'!$A$3:$A$20000,"&lt;="&amp;$C38,'Google data'!$G$3:$G$20000,"&lt;&gt;Month total")</f>
        <v>0</v>
      </c>
      <c r="O38" s="38" t="str">
        <f aca="false">IF(N38=0,"",E38/N38)</f>
        <v/>
      </c>
      <c r="P38" s="39"/>
      <c r="Q38" s="39"/>
      <c r="R38" s="40" t="s">
        <v>92</v>
      </c>
      <c r="S38" s="41" t="str">
        <f aca="false">TEXT(B38,"d mmm")</f>
        <v>17 Aug</v>
      </c>
    </row>
    <row r="39" customFormat="false" ht="36" hidden="false" customHeight="true" outlineLevel="0" collapsed="false">
      <c r="A39" s="35" t="n">
        <v>35</v>
      </c>
      <c r="B39" s="36" t="n">
        <f aca="false">Settings!$C$13+7*(A39-1)</f>
        <v>46258</v>
      </c>
      <c r="C39" s="36" t="n">
        <f aca="false">B39+6</f>
        <v>46264</v>
      </c>
      <c r="D39" s="14" t="n">
        <f aca="false">SUMIFS('Meta data'!$I$3:$I$20000,'Meta data'!$A$3:$A$20000,"&gt;="&amp;$B39,'Meta data'!$A$3:$A$20000,"&lt;="&amp;$C39,'Meta data'!$G$3:$G$20000,"&lt;&gt;Month total")</f>
        <v>0</v>
      </c>
      <c r="E39" s="14" t="n">
        <f aca="false">SUMIFS('Google data'!$I$3:$I$20000,'Google data'!$A$3:$A$20000,"&gt;="&amp;$B39,'Google data'!$A$3:$A$20000,"&lt;="&amp;$C39,'Google data'!$G$3:$G$20000,"&lt;&gt;Month total")</f>
        <v>0</v>
      </c>
      <c r="F39" s="14" t="n">
        <f aca="false">SUMIFS('ChatGPT data'!$I$3:$I$20000,'ChatGPT data'!$A$3:$A$20000,"&gt;="&amp;$B39,'ChatGPT data'!$A$3:$A$20000,"&lt;="&amp;$C39,'ChatGPT data'!$G$3:$G$20000,"&lt;&gt;Month total")</f>
        <v>0</v>
      </c>
      <c r="G39" s="14" t="n">
        <f aca="false">SUMIFS('LinkedIn data'!$I$3:$I$20000,'LinkedIn data'!$A$3:$A$20000,"&gt;="&amp;$B39,'LinkedIn data'!$A$3:$A$20000,"&lt;="&amp;$C39,'LinkedIn data'!$G$3:$G$20000,"&lt;&gt;Month total")</f>
        <v>0</v>
      </c>
      <c r="H39" s="15" t="n">
        <f aca="false">SUM(D39:G39)</f>
        <v>0</v>
      </c>
      <c r="I39" s="14" t="n">
        <f aca="false">D39*(Settings!$C$22="Yes")+E39*(Settings!$C$23="Yes")+F39*(Settings!$C$24="Yes")+G39*(Settings!$C$25="Yes")</f>
        <v>0</v>
      </c>
      <c r="J39" s="14" t="n">
        <f aca="false">Settings!$D$16*MAX(0,MIN(C39,Settings!$C$11)-MAX(B39,Settings!$C$10)+1)/(Settings!$C$11-Settings!$C$10+1)</f>
        <v>5753.42465753425</v>
      </c>
      <c r="K39" s="14" t="str">
        <f aca="false">IF(OR(C39&gt;$C$3,I39=0),"",I39-J39)</f>
        <v/>
      </c>
      <c r="L39" s="37" t="n">
        <f aca="false">SUMIFS('Meta data'!$F$3:$F$20000,'Meta data'!$A$3:$A$20000,"&gt;="&amp;$B39,'Meta data'!$A$3:$A$20000,"&lt;="&amp;$C39,'Meta data'!$G$3:$G$20000,"&lt;&gt;Month total")</f>
        <v>0</v>
      </c>
      <c r="M39" s="38" t="str">
        <f aca="false">IF(L39=0,"",D39/L39)</f>
        <v/>
      </c>
      <c r="N39" s="37" t="n">
        <f aca="false">SUMIFS('Google data'!$F$3:$F$20000,'Google data'!$A$3:$A$20000,"&gt;="&amp;$B39,'Google data'!$A$3:$A$20000,"&lt;="&amp;$C39,'Google data'!$G$3:$G$20000,"&lt;&gt;Month total")</f>
        <v>0</v>
      </c>
      <c r="O39" s="38" t="str">
        <f aca="false">IF(N39=0,"",E39/N39)</f>
        <v/>
      </c>
      <c r="P39" s="39"/>
      <c r="Q39" s="39"/>
      <c r="R39" s="40" t="s">
        <v>93</v>
      </c>
      <c r="S39" s="41" t="str">
        <f aca="false">TEXT(B39,"d mmm")</f>
        <v>24 Aug</v>
      </c>
    </row>
    <row r="40" customFormat="false" ht="36" hidden="false" customHeight="true" outlineLevel="0" collapsed="false">
      <c r="A40" s="35" t="n">
        <v>36</v>
      </c>
      <c r="B40" s="36" t="n">
        <f aca="false">Settings!$C$13+7*(A40-1)</f>
        <v>46265</v>
      </c>
      <c r="C40" s="36" t="n">
        <f aca="false">B40+6</f>
        <v>46271</v>
      </c>
      <c r="D40" s="14" t="n">
        <f aca="false">SUMIFS('Meta data'!$I$3:$I$20000,'Meta data'!$A$3:$A$20000,"&gt;="&amp;$B40,'Meta data'!$A$3:$A$20000,"&lt;="&amp;$C40,'Meta data'!$G$3:$G$20000,"&lt;&gt;Month total")</f>
        <v>0</v>
      </c>
      <c r="E40" s="14" t="n">
        <f aca="false">SUMIFS('Google data'!$I$3:$I$20000,'Google data'!$A$3:$A$20000,"&gt;="&amp;$B40,'Google data'!$A$3:$A$20000,"&lt;="&amp;$C40,'Google data'!$G$3:$G$20000,"&lt;&gt;Month total")</f>
        <v>0</v>
      </c>
      <c r="F40" s="14" t="n">
        <f aca="false">SUMIFS('ChatGPT data'!$I$3:$I$20000,'ChatGPT data'!$A$3:$A$20000,"&gt;="&amp;$B40,'ChatGPT data'!$A$3:$A$20000,"&lt;="&amp;$C40,'ChatGPT data'!$G$3:$G$20000,"&lt;&gt;Month total")</f>
        <v>0</v>
      </c>
      <c r="G40" s="14" t="n">
        <f aca="false">SUMIFS('LinkedIn data'!$I$3:$I$20000,'LinkedIn data'!$A$3:$A$20000,"&gt;="&amp;$B40,'LinkedIn data'!$A$3:$A$20000,"&lt;="&amp;$C40,'LinkedIn data'!$G$3:$G$20000,"&lt;&gt;Month total")</f>
        <v>0</v>
      </c>
      <c r="H40" s="15" t="n">
        <f aca="false">SUM(D40:G40)</f>
        <v>0</v>
      </c>
      <c r="I40" s="14" t="n">
        <f aca="false">D40*(Settings!$C$22="Yes")+E40*(Settings!$C$23="Yes")+F40*(Settings!$C$24="Yes")+G40*(Settings!$C$25="Yes")</f>
        <v>0</v>
      </c>
      <c r="J40" s="14" t="n">
        <f aca="false">Settings!$D$16*MAX(0,MIN(C40,Settings!$C$11)-MAX(B40,Settings!$C$10)+1)/(Settings!$C$11-Settings!$C$10+1)</f>
        <v>5753.42465753425</v>
      </c>
      <c r="K40" s="14" t="str">
        <f aca="false">IF(OR(C40&gt;$C$3,I40=0),"",I40-J40)</f>
        <v/>
      </c>
      <c r="L40" s="37" t="n">
        <f aca="false">SUMIFS('Meta data'!$F$3:$F$20000,'Meta data'!$A$3:$A$20000,"&gt;="&amp;$B40,'Meta data'!$A$3:$A$20000,"&lt;="&amp;$C40,'Meta data'!$G$3:$G$20000,"&lt;&gt;Month total")</f>
        <v>0</v>
      </c>
      <c r="M40" s="38" t="str">
        <f aca="false">IF(L40=0,"",D40/L40)</f>
        <v/>
      </c>
      <c r="N40" s="37" t="n">
        <f aca="false">SUMIFS('Google data'!$F$3:$F$20000,'Google data'!$A$3:$A$20000,"&gt;="&amp;$B40,'Google data'!$A$3:$A$20000,"&lt;="&amp;$C40,'Google data'!$G$3:$G$20000,"&lt;&gt;Month total")</f>
        <v>0</v>
      </c>
      <c r="O40" s="38" t="str">
        <f aca="false">IF(N40=0,"",E40/N40)</f>
        <v/>
      </c>
      <c r="P40" s="39"/>
      <c r="Q40" s="39"/>
      <c r="R40" s="40" t="s">
        <v>94</v>
      </c>
      <c r="S40" s="41" t="str">
        <f aca="false">TEXT(B40,"d mmm")</f>
        <v>31 Aug</v>
      </c>
    </row>
    <row r="41" customFormat="false" ht="36" hidden="false" customHeight="true" outlineLevel="0" collapsed="false">
      <c r="A41" s="35" t="n">
        <v>37</v>
      </c>
      <c r="B41" s="36" t="n">
        <f aca="false">Settings!$C$13+7*(A41-1)</f>
        <v>46272</v>
      </c>
      <c r="C41" s="36" t="n">
        <f aca="false">B41+6</f>
        <v>46278</v>
      </c>
      <c r="D41" s="14" t="n">
        <f aca="false">SUMIFS('Meta data'!$I$3:$I$20000,'Meta data'!$A$3:$A$20000,"&gt;="&amp;$B41,'Meta data'!$A$3:$A$20000,"&lt;="&amp;$C41,'Meta data'!$G$3:$G$20000,"&lt;&gt;Month total")</f>
        <v>0</v>
      </c>
      <c r="E41" s="14" t="n">
        <f aca="false">SUMIFS('Google data'!$I$3:$I$20000,'Google data'!$A$3:$A$20000,"&gt;="&amp;$B41,'Google data'!$A$3:$A$20000,"&lt;="&amp;$C41,'Google data'!$G$3:$G$20000,"&lt;&gt;Month total")</f>
        <v>0</v>
      </c>
      <c r="F41" s="14" t="n">
        <f aca="false">SUMIFS('ChatGPT data'!$I$3:$I$20000,'ChatGPT data'!$A$3:$A$20000,"&gt;="&amp;$B41,'ChatGPT data'!$A$3:$A$20000,"&lt;="&amp;$C41,'ChatGPT data'!$G$3:$G$20000,"&lt;&gt;Month total")</f>
        <v>0</v>
      </c>
      <c r="G41" s="14" t="n">
        <f aca="false">SUMIFS('LinkedIn data'!$I$3:$I$20000,'LinkedIn data'!$A$3:$A$20000,"&gt;="&amp;$B41,'LinkedIn data'!$A$3:$A$20000,"&lt;="&amp;$C41,'LinkedIn data'!$G$3:$G$20000,"&lt;&gt;Month total")</f>
        <v>0</v>
      </c>
      <c r="H41" s="15" t="n">
        <f aca="false">SUM(D41:G41)</f>
        <v>0</v>
      </c>
      <c r="I41" s="14" t="n">
        <f aca="false">D41*(Settings!$C$22="Yes")+E41*(Settings!$C$23="Yes")+F41*(Settings!$C$24="Yes")+G41*(Settings!$C$25="Yes")</f>
        <v>0</v>
      </c>
      <c r="J41" s="14" t="n">
        <f aca="false">Settings!$D$16*MAX(0,MIN(C41,Settings!$C$11)-MAX(B41,Settings!$C$10)+1)/(Settings!$C$11-Settings!$C$10+1)</f>
        <v>5753.42465753425</v>
      </c>
      <c r="K41" s="14" t="str">
        <f aca="false">IF(OR(C41&gt;$C$3,I41=0),"",I41-J41)</f>
        <v/>
      </c>
      <c r="L41" s="37" t="n">
        <f aca="false">SUMIFS('Meta data'!$F$3:$F$20000,'Meta data'!$A$3:$A$20000,"&gt;="&amp;$B41,'Meta data'!$A$3:$A$20000,"&lt;="&amp;$C41,'Meta data'!$G$3:$G$20000,"&lt;&gt;Month total")</f>
        <v>0</v>
      </c>
      <c r="M41" s="38" t="str">
        <f aca="false">IF(L41=0,"",D41/L41)</f>
        <v/>
      </c>
      <c r="N41" s="37" t="n">
        <f aca="false">SUMIFS('Google data'!$F$3:$F$20000,'Google data'!$A$3:$A$20000,"&gt;="&amp;$B41,'Google data'!$A$3:$A$20000,"&lt;="&amp;$C41,'Google data'!$G$3:$G$20000,"&lt;&gt;Month total")</f>
        <v>0</v>
      </c>
      <c r="O41" s="38" t="str">
        <f aca="false">IF(N41=0,"",E41/N41)</f>
        <v/>
      </c>
      <c r="P41" s="39"/>
      <c r="Q41" s="39"/>
      <c r="R41" s="40" t="s">
        <v>95</v>
      </c>
      <c r="S41" s="41" t="str">
        <f aca="false">TEXT(B41,"d mmm")</f>
        <v>7 Sep</v>
      </c>
    </row>
    <row r="42" customFormat="false" ht="36" hidden="false" customHeight="true" outlineLevel="0" collapsed="false">
      <c r="A42" s="35" t="n">
        <v>38</v>
      </c>
      <c r="B42" s="36" t="n">
        <f aca="false">Settings!$C$13+7*(A42-1)</f>
        <v>46279</v>
      </c>
      <c r="C42" s="36" t="n">
        <f aca="false">B42+6</f>
        <v>46285</v>
      </c>
      <c r="D42" s="14" t="n">
        <f aca="false">SUMIFS('Meta data'!$I$3:$I$20000,'Meta data'!$A$3:$A$20000,"&gt;="&amp;$B42,'Meta data'!$A$3:$A$20000,"&lt;="&amp;$C42,'Meta data'!$G$3:$G$20000,"&lt;&gt;Month total")</f>
        <v>0</v>
      </c>
      <c r="E42" s="14" t="n">
        <f aca="false">SUMIFS('Google data'!$I$3:$I$20000,'Google data'!$A$3:$A$20000,"&gt;="&amp;$B42,'Google data'!$A$3:$A$20000,"&lt;="&amp;$C42,'Google data'!$G$3:$G$20000,"&lt;&gt;Month total")</f>
        <v>0</v>
      </c>
      <c r="F42" s="14" t="n">
        <f aca="false">SUMIFS('ChatGPT data'!$I$3:$I$20000,'ChatGPT data'!$A$3:$A$20000,"&gt;="&amp;$B42,'ChatGPT data'!$A$3:$A$20000,"&lt;="&amp;$C42,'ChatGPT data'!$G$3:$G$20000,"&lt;&gt;Month total")</f>
        <v>0</v>
      </c>
      <c r="G42" s="14" t="n">
        <f aca="false">SUMIFS('LinkedIn data'!$I$3:$I$20000,'LinkedIn data'!$A$3:$A$20000,"&gt;="&amp;$B42,'LinkedIn data'!$A$3:$A$20000,"&lt;="&amp;$C42,'LinkedIn data'!$G$3:$G$20000,"&lt;&gt;Month total")</f>
        <v>0</v>
      </c>
      <c r="H42" s="15" t="n">
        <f aca="false">SUM(D42:G42)</f>
        <v>0</v>
      </c>
      <c r="I42" s="14" t="n">
        <f aca="false">D42*(Settings!$C$22="Yes")+E42*(Settings!$C$23="Yes")+F42*(Settings!$C$24="Yes")+G42*(Settings!$C$25="Yes")</f>
        <v>0</v>
      </c>
      <c r="J42" s="14" t="n">
        <f aca="false">Settings!$D$16*MAX(0,MIN(C42,Settings!$C$11)-MAX(B42,Settings!$C$10)+1)/(Settings!$C$11-Settings!$C$10+1)</f>
        <v>5753.42465753425</v>
      </c>
      <c r="K42" s="14" t="str">
        <f aca="false">IF(OR(C42&gt;$C$3,I42=0),"",I42-J42)</f>
        <v/>
      </c>
      <c r="L42" s="37" t="n">
        <f aca="false">SUMIFS('Meta data'!$F$3:$F$20000,'Meta data'!$A$3:$A$20000,"&gt;="&amp;$B42,'Meta data'!$A$3:$A$20000,"&lt;="&amp;$C42,'Meta data'!$G$3:$G$20000,"&lt;&gt;Month total")</f>
        <v>0</v>
      </c>
      <c r="M42" s="38" t="str">
        <f aca="false">IF(L42=0,"",D42/L42)</f>
        <v/>
      </c>
      <c r="N42" s="37" t="n">
        <f aca="false">SUMIFS('Google data'!$F$3:$F$20000,'Google data'!$A$3:$A$20000,"&gt;="&amp;$B42,'Google data'!$A$3:$A$20000,"&lt;="&amp;$C42,'Google data'!$G$3:$G$20000,"&lt;&gt;Month total")</f>
        <v>0</v>
      </c>
      <c r="O42" s="38" t="str">
        <f aca="false">IF(N42=0,"",E42/N42)</f>
        <v/>
      </c>
      <c r="P42" s="39"/>
      <c r="Q42" s="39"/>
      <c r="R42" s="40" t="s">
        <v>96</v>
      </c>
      <c r="S42" s="41" t="str">
        <f aca="false">TEXT(B42,"d mmm")</f>
        <v>14 Sep</v>
      </c>
    </row>
    <row r="43" customFormat="false" ht="36" hidden="false" customHeight="true" outlineLevel="0" collapsed="false">
      <c r="A43" s="35" t="n">
        <v>39</v>
      </c>
      <c r="B43" s="36" t="n">
        <f aca="false">Settings!$C$13+7*(A43-1)</f>
        <v>46286</v>
      </c>
      <c r="C43" s="36" t="n">
        <f aca="false">B43+6</f>
        <v>46292</v>
      </c>
      <c r="D43" s="14" t="n">
        <f aca="false">SUMIFS('Meta data'!$I$3:$I$20000,'Meta data'!$A$3:$A$20000,"&gt;="&amp;$B43,'Meta data'!$A$3:$A$20000,"&lt;="&amp;$C43,'Meta data'!$G$3:$G$20000,"&lt;&gt;Month total")</f>
        <v>0</v>
      </c>
      <c r="E43" s="14" t="n">
        <f aca="false">SUMIFS('Google data'!$I$3:$I$20000,'Google data'!$A$3:$A$20000,"&gt;="&amp;$B43,'Google data'!$A$3:$A$20000,"&lt;="&amp;$C43,'Google data'!$G$3:$G$20000,"&lt;&gt;Month total")</f>
        <v>0</v>
      </c>
      <c r="F43" s="14" t="n">
        <f aca="false">SUMIFS('ChatGPT data'!$I$3:$I$20000,'ChatGPT data'!$A$3:$A$20000,"&gt;="&amp;$B43,'ChatGPT data'!$A$3:$A$20000,"&lt;="&amp;$C43,'ChatGPT data'!$G$3:$G$20000,"&lt;&gt;Month total")</f>
        <v>0</v>
      </c>
      <c r="G43" s="14" t="n">
        <f aca="false">SUMIFS('LinkedIn data'!$I$3:$I$20000,'LinkedIn data'!$A$3:$A$20000,"&gt;="&amp;$B43,'LinkedIn data'!$A$3:$A$20000,"&lt;="&amp;$C43,'LinkedIn data'!$G$3:$G$20000,"&lt;&gt;Month total")</f>
        <v>0</v>
      </c>
      <c r="H43" s="15" t="n">
        <f aca="false">SUM(D43:G43)</f>
        <v>0</v>
      </c>
      <c r="I43" s="14" t="n">
        <f aca="false">D43*(Settings!$C$22="Yes")+E43*(Settings!$C$23="Yes")+F43*(Settings!$C$24="Yes")+G43*(Settings!$C$25="Yes")</f>
        <v>0</v>
      </c>
      <c r="J43" s="14" t="n">
        <f aca="false">Settings!$D$16*MAX(0,MIN(C43,Settings!$C$11)-MAX(B43,Settings!$C$10)+1)/(Settings!$C$11-Settings!$C$10+1)</f>
        <v>5753.42465753425</v>
      </c>
      <c r="K43" s="14" t="str">
        <f aca="false">IF(OR(C43&gt;$C$3,I43=0),"",I43-J43)</f>
        <v/>
      </c>
      <c r="L43" s="37" t="n">
        <f aca="false">SUMIFS('Meta data'!$F$3:$F$20000,'Meta data'!$A$3:$A$20000,"&gt;="&amp;$B43,'Meta data'!$A$3:$A$20000,"&lt;="&amp;$C43,'Meta data'!$G$3:$G$20000,"&lt;&gt;Month total")</f>
        <v>0</v>
      </c>
      <c r="M43" s="38" t="str">
        <f aca="false">IF(L43=0,"",D43/L43)</f>
        <v/>
      </c>
      <c r="N43" s="37" t="n">
        <f aca="false">SUMIFS('Google data'!$F$3:$F$20000,'Google data'!$A$3:$A$20000,"&gt;="&amp;$B43,'Google data'!$A$3:$A$20000,"&lt;="&amp;$C43,'Google data'!$G$3:$G$20000,"&lt;&gt;Month total")</f>
        <v>0</v>
      </c>
      <c r="O43" s="38" t="str">
        <f aca="false">IF(N43=0,"",E43/N43)</f>
        <v/>
      </c>
      <c r="P43" s="39"/>
      <c r="Q43" s="39"/>
      <c r="R43" s="40" t="s">
        <v>97</v>
      </c>
      <c r="S43" s="41" t="str">
        <f aca="false">TEXT(B43,"d mmm")</f>
        <v>21 Sep</v>
      </c>
    </row>
    <row r="44" customFormat="false" ht="36" hidden="false" customHeight="true" outlineLevel="0" collapsed="false">
      <c r="A44" s="35" t="n">
        <v>40</v>
      </c>
      <c r="B44" s="36" t="n">
        <f aca="false">Settings!$C$13+7*(A44-1)</f>
        <v>46293</v>
      </c>
      <c r="C44" s="36" t="n">
        <f aca="false">B44+6</f>
        <v>46299</v>
      </c>
      <c r="D44" s="14" t="n">
        <f aca="false">SUMIFS('Meta data'!$I$3:$I$20000,'Meta data'!$A$3:$A$20000,"&gt;="&amp;$B44,'Meta data'!$A$3:$A$20000,"&lt;="&amp;$C44,'Meta data'!$G$3:$G$20000,"&lt;&gt;Month total")</f>
        <v>0</v>
      </c>
      <c r="E44" s="14" t="n">
        <f aca="false">SUMIFS('Google data'!$I$3:$I$20000,'Google data'!$A$3:$A$20000,"&gt;="&amp;$B44,'Google data'!$A$3:$A$20000,"&lt;="&amp;$C44,'Google data'!$G$3:$G$20000,"&lt;&gt;Month total")</f>
        <v>0</v>
      </c>
      <c r="F44" s="14" t="n">
        <f aca="false">SUMIFS('ChatGPT data'!$I$3:$I$20000,'ChatGPT data'!$A$3:$A$20000,"&gt;="&amp;$B44,'ChatGPT data'!$A$3:$A$20000,"&lt;="&amp;$C44,'ChatGPT data'!$G$3:$G$20000,"&lt;&gt;Month total")</f>
        <v>0</v>
      </c>
      <c r="G44" s="14" t="n">
        <f aca="false">SUMIFS('LinkedIn data'!$I$3:$I$20000,'LinkedIn data'!$A$3:$A$20000,"&gt;="&amp;$B44,'LinkedIn data'!$A$3:$A$20000,"&lt;="&amp;$C44,'LinkedIn data'!$G$3:$G$20000,"&lt;&gt;Month total")</f>
        <v>0</v>
      </c>
      <c r="H44" s="15" t="n">
        <f aca="false">SUM(D44:G44)</f>
        <v>0</v>
      </c>
      <c r="I44" s="14" t="n">
        <f aca="false">D44*(Settings!$C$22="Yes")+E44*(Settings!$C$23="Yes")+F44*(Settings!$C$24="Yes")+G44*(Settings!$C$25="Yes")</f>
        <v>0</v>
      </c>
      <c r="J44" s="14" t="n">
        <f aca="false">Settings!$D$16*MAX(0,MIN(C44,Settings!$C$11)-MAX(B44,Settings!$C$10)+1)/(Settings!$C$11-Settings!$C$10+1)</f>
        <v>5753.42465753425</v>
      </c>
      <c r="K44" s="14" t="str">
        <f aca="false">IF(OR(C44&gt;$C$3,I44=0),"",I44-J44)</f>
        <v/>
      </c>
      <c r="L44" s="37" t="n">
        <f aca="false">SUMIFS('Meta data'!$F$3:$F$20000,'Meta data'!$A$3:$A$20000,"&gt;="&amp;$B44,'Meta data'!$A$3:$A$20000,"&lt;="&amp;$C44,'Meta data'!$G$3:$G$20000,"&lt;&gt;Month total")</f>
        <v>0</v>
      </c>
      <c r="M44" s="38" t="str">
        <f aca="false">IF(L44=0,"",D44/L44)</f>
        <v/>
      </c>
      <c r="N44" s="37" t="n">
        <f aca="false">SUMIFS('Google data'!$F$3:$F$20000,'Google data'!$A$3:$A$20000,"&gt;="&amp;$B44,'Google data'!$A$3:$A$20000,"&lt;="&amp;$C44,'Google data'!$G$3:$G$20000,"&lt;&gt;Month total")</f>
        <v>0</v>
      </c>
      <c r="O44" s="38" t="str">
        <f aca="false">IF(N44=0,"",E44/N44)</f>
        <v/>
      </c>
      <c r="P44" s="39"/>
      <c r="Q44" s="39"/>
      <c r="R44" s="40" t="s">
        <v>98</v>
      </c>
      <c r="S44" s="41" t="str">
        <f aca="false">TEXT(B44,"d mmm")</f>
        <v>28 Sep</v>
      </c>
    </row>
    <row r="45" customFormat="false" ht="36" hidden="false" customHeight="true" outlineLevel="0" collapsed="false">
      <c r="A45" s="35" t="n">
        <v>41</v>
      </c>
      <c r="B45" s="36" t="n">
        <f aca="false">Settings!$C$13+7*(A45-1)</f>
        <v>46300</v>
      </c>
      <c r="C45" s="36" t="n">
        <f aca="false">B45+6</f>
        <v>46306</v>
      </c>
      <c r="D45" s="14" t="n">
        <f aca="false">SUMIFS('Meta data'!$I$3:$I$20000,'Meta data'!$A$3:$A$20000,"&gt;="&amp;$B45,'Meta data'!$A$3:$A$20000,"&lt;="&amp;$C45,'Meta data'!$G$3:$G$20000,"&lt;&gt;Month total")</f>
        <v>0</v>
      </c>
      <c r="E45" s="14" t="n">
        <f aca="false">SUMIFS('Google data'!$I$3:$I$20000,'Google data'!$A$3:$A$20000,"&gt;="&amp;$B45,'Google data'!$A$3:$A$20000,"&lt;="&amp;$C45,'Google data'!$G$3:$G$20000,"&lt;&gt;Month total")</f>
        <v>0</v>
      </c>
      <c r="F45" s="14" t="n">
        <f aca="false">SUMIFS('ChatGPT data'!$I$3:$I$20000,'ChatGPT data'!$A$3:$A$20000,"&gt;="&amp;$B45,'ChatGPT data'!$A$3:$A$20000,"&lt;="&amp;$C45,'ChatGPT data'!$G$3:$G$20000,"&lt;&gt;Month total")</f>
        <v>0</v>
      </c>
      <c r="G45" s="14" t="n">
        <f aca="false">SUMIFS('LinkedIn data'!$I$3:$I$20000,'LinkedIn data'!$A$3:$A$20000,"&gt;="&amp;$B45,'LinkedIn data'!$A$3:$A$20000,"&lt;="&amp;$C45,'LinkedIn data'!$G$3:$G$20000,"&lt;&gt;Month total")</f>
        <v>0</v>
      </c>
      <c r="H45" s="15" t="n">
        <f aca="false">SUM(D45:G45)</f>
        <v>0</v>
      </c>
      <c r="I45" s="14" t="n">
        <f aca="false">D45*(Settings!$C$22="Yes")+E45*(Settings!$C$23="Yes")+F45*(Settings!$C$24="Yes")+G45*(Settings!$C$25="Yes")</f>
        <v>0</v>
      </c>
      <c r="J45" s="14" t="n">
        <f aca="false">Settings!$D$16*MAX(0,MIN(C45,Settings!$C$11)-MAX(B45,Settings!$C$10)+1)/(Settings!$C$11-Settings!$C$10+1)</f>
        <v>5753.42465753425</v>
      </c>
      <c r="K45" s="14" t="str">
        <f aca="false">IF(OR(C45&gt;$C$3,I45=0),"",I45-J45)</f>
        <v/>
      </c>
      <c r="L45" s="37" t="n">
        <f aca="false">SUMIFS('Meta data'!$F$3:$F$20000,'Meta data'!$A$3:$A$20000,"&gt;="&amp;$B45,'Meta data'!$A$3:$A$20000,"&lt;="&amp;$C45,'Meta data'!$G$3:$G$20000,"&lt;&gt;Month total")</f>
        <v>0</v>
      </c>
      <c r="M45" s="38" t="str">
        <f aca="false">IF(L45=0,"",D45/L45)</f>
        <v/>
      </c>
      <c r="N45" s="37" t="n">
        <f aca="false">SUMIFS('Google data'!$F$3:$F$20000,'Google data'!$A$3:$A$20000,"&gt;="&amp;$B45,'Google data'!$A$3:$A$20000,"&lt;="&amp;$C45,'Google data'!$G$3:$G$20000,"&lt;&gt;Month total")</f>
        <v>0</v>
      </c>
      <c r="O45" s="38" t="str">
        <f aca="false">IF(N45=0,"",E45/N45)</f>
        <v/>
      </c>
      <c r="P45" s="39"/>
      <c r="Q45" s="39"/>
      <c r="R45" s="40" t="s">
        <v>99</v>
      </c>
      <c r="S45" s="41" t="str">
        <f aca="false">TEXT(B45,"d mmm")</f>
        <v>5 Oct</v>
      </c>
    </row>
    <row r="46" customFormat="false" ht="15" hidden="false" customHeight="true" outlineLevel="0" collapsed="false">
      <c r="A46" s="35" t="n">
        <v>42</v>
      </c>
      <c r="B46" s="36" t="n">
        <f aca="false">Settings!$C$13+7*(A46-1)</f>
        <v>46307</v>
      </c>
      <c r="C46" s="36" t="n">
        <f aca="false">B46+6</f>
        <v>46313</v>
      </c>
      <c r="D46" s="14" t="n">
        <f aca="false">SUMIFS('Meta data'!$I$3:$I$20000,'Meta data'!$A$3:$A$20000,"&gt;="&amp;$B46,'Meta data'!$A$3:$A$20000,"&lt;="&amp;$C46,'Meta data'!$G$3:$G$20000,"&lt;&gt;Month total")</f>
        <v>0</v>
      </c>
      <c r="E46" s="14" t="n">
        <f aca="false">SUMIFS('Google data'!$I$3:$I$20000,'Google data'!$A$3:$A$20000,"&gt;="&amp;$B46,'Google data'!$A$3:$A$20000,"&lt;="&amp;$C46,'Google data'!$G$3:$G$20000,"&lt;&gt;Month total")</f>
        <v>0</v>
      </c>
      <c r="F46" s="14" t="n">
        <f aca="false">SUMIFS('ChatGPT data'!$I$3:$I$20000,'ChatGPT data'!$A$3:$A$20000,"&gt;="&amp;$B46,'ChatGPT data'!$A$3:$A$20000,"&lt;="&amp;$C46,'ChatGPT data'!$G$3:$G$20000,"&lt;&gt;Month total")</f>
        <v>0</v>
      </c>
      <c r="G46" s="14" t="n">
        <f aca="false">SUMIFS('LinkedIn data'!$I$3:$I$20000,'LinkedIn data'!$A$3:$A$20000,"&gt;="&amp;$B46,'LinkedIn data'!$A$3:$A$20000,"&lt;="&amp;$C46,'LinkedIn data'!$G$3:$G$20000,"&lt;&gt;Month total")</f>
        <v>0</v>
      </c>
      <c r="H46" s="15" t="n">
        <f aca="false">SUM(D46:G46)</f>
        <v>0</v>
      </c>
      <c r="I46" s="14" t="n">
        <f aca="false">D46*(Settings!$C$22="Yes")+E46*(Settings!$C$23="Yes")+F46*(Settings!$C$24="Yes")+G46*(Settings!$C$25="Yes")</f>
        <v>0</v>
      </c>
      <c r="J46" s="14" t="n">
        <f aca="false">Settings!$D$16*MAX(0,MIN(C46,Settings!$C$11)-MAX(B46,Settings!$C$10)+1)/(Settings!$C$11-Settings!$C$10+1)</f>
        <v>5753.42465753425</v>
      </c>
      <c r="K46" s="14" t="str">
        <f aca="false">IF(OR(C46&gt;$C$3,I46=0),"",I46-J46)</f>
        <v/>
      </c>
      <c r="L46" s="37" t="n">
        <f aca="false">SUMIFS('Meta data'!$F$3:$F$20000,'Meta data'!$A$3:$A$20000,"&gt;="&amp;$B46,'Meta data'!$A$3:$A$20000,"&lt;="&amp;$C46,'Meta data'!$G$3:$G$20000,"&lt;&gt;Month total")</f>
        <v>0</v>
      </c>
      <c r="M46" s="38" t="str">
        <f aca="false">IF(L46=0,"",D46/L46)</f>
        <v/>
      </c>
      <c r="N46" s="37" t="n">
        <f aca="false">SUMIFS('Google data'!$F$3:$F$20000,'Google data'!$A$3:$A$20000,"&gt;="&amp;$B46,'Google data'!$A$3:$A$20000,"&lt;="&amp;$C46,'Google data'!$G$3:$G$20000,"&lt;&gt;Month total")</f>
        <v>0</v>
      </c>
      <c r="O46" s="38" t="str">
        <f aca="false">IF(N46=0,"",E46/N46)</f>
        <v/>
      </c>
      <c r="P46" s="39"/>
      <c r="Q46" s="39"/>
      <c r="R46" s="40"/>
      <c r="S46" s="41" t="str">
        <f aca="false">TEXT(B46,"d mmm")</f>
        <v>12 Oct</v>
      </c>
    </row>
    <row r="47" customFormat="false" ht="15" hidden="false" customHeight="true" outlineLevel="0" collapsed="false">
      <c r="A47" s="35" t="n">
        <v>43</v>
      </c>
      <c r="B47" s="36" t="n">
        <f aca="false">Settings!$C$13+7*(A47-1)</f>
        <v>46314</v>
      </c>
      <c r="C47" s="36" t="n">
        <f aca="false">B47+6</f>
        <v>46320</v>
      </c>
      <c r="D47" s="14" t="n">
        <f aca="false">SUMIFS('Meta data'!$I$3:$I$20000,'Meta data'!$A$3:$A$20000,"&gt;="&amp;$B47,'Meta data'!$A$3:$A$20000,"&lt;="&amp;$C47,'Meta data'!$G$3:$G$20000,"&lt;&gt;Month total")</f>
        <v>0</v>
      </c>
      <c r="E47" s="14" t="n">
        <f aca="false">SUMIFS('Google data'!$I$3:$I$20000,'Google data'!$A$3:$A$20000,"&gt;="&amp;$B47,'Google data'!$A$3:$A$20000,"&lt;="&amp;$C47,'Google data'!$G$3:$G$20000,"&lt;&gt;Month total")</f>
        <v>0</v>
      </c>
      <c r="F47" s="14" t="n">
        <f aca="false">SUMIFS('ChatGPT data'!$I$3:$I$20000,'ChatGPT data'!$A$3:$A$20000,"&gt;="&amp;$B47,'ChatGPT data'!$A$3:$A$20000,"&lt;="&amp;$C47,'ChatGPT data'!$G$3:$G$20000,"&lt;&gt;Month total")</f>
        <v>0</v>
      </c>
      <c r="G47" s="14" t="n">
        <f aca="false">SUMIFS('LinkedIn data'!$I$3:$I$20000,'LinkedIn data'!$A$3:$A$20000,"&gt;="&amp;$B47,'LinkedIn data'!$A$3:$A$20000,"&lt;="&amp;$C47,'LinkedIn data'!$G$3:$G$20000,"&lt;&gt;Month total")</f>
        <v>0</v>
      </c>
      <c r="H47" s="15" t="n">
        <f aca="false">SUM(D47:G47)</f>
        <v>0</v>
      </c>
      <c r="I47" s="14" t="n">
        <f aca="false">D47*(Settings!$C$22="Yes")+E47*(Settings!$C$23="Yes")+F47*(Settings!$C$24="Yes")+G47*(Settings!$C$25="Yes")</f>
        <v>0</v>
      </c>
      <c r="J47" s="14" t="n">
        <f aca="false">Settings!$D$16*MAX(0,MIN(C47,Settings!$C$11)-MAX(B47,Settings!$C$10)+1)/(Settings!$C$11-Settings!$C$10+1)</f>
        <v>5753.42465753425</v>
      </c>
      <c r="K47" s="14" t="str">
        <f aca="false">IF(OR(C47&gt;$C$3,I47=0),"",I47-J47)</f>
        <v/>
      </c>
      <c r="L47" s="37" t="n">
        <f aca="false">SUMIFS('Meta data'!$F$3:$F$20000,'Meta data'!$A$3:$A$20000,"&gt;="&amp;$B47,'Meta data'!$A$3:$A$20000,"&lt;="&amp;$C47,'Meta data'!$G$3:$G$20000,"&lt;&gt;Month total")</f>
        <v>0</v>
      </c>
      <c r="M47" s="38" t="str">
        <f aca="false">IF(L47=0,"",D47/L47)</f>
        <v/>
      </c>
      <c r="N47" s="37" t="n">
        <f aca="false">SUMIFS('Google data'!$F$3:$F$20000,'Google data'!$A$3:$A$20000,"&gt;="&amp;$B47,'Google data'!$A$3:$A$20000,"&lt;="&amp;$C47,'Google data'!$G$3:$G$20000,"&lt;&gt;Month total")</f>
        <v>0</v>
      </c>
      <c r="O47" s="38" t="str">
        <f aca="false">IF(N47=0,"",E47/N47)</f>
        <v/>
      </c>
      <c r="P47" s="39"/>
      <c r="Q47" s="39"/>
      <c r="R47" s="40"/>
      <c r="S47" s="41" t="str">
        <f aca="false">TEXT(B47,"d mmm")</f>
        <v>19 Oct</v>
      </c>
    </row>
    <row r="48" customFormat="false" ht="15" hidden="false" customHeight="true" outlineLevel="0" collapsed="false">
      <c r="A48" s="35" t="n">
        <v>44</v>
      </c>
      <c r="B48" s="36" t="n">
        <f aca="false">Settings!$C$13+7*(A48-1)</f>
        <v>46321</v>
      </c>
      <c r="C48" s="36" t="n">
        <f aca="false">B48+6</f>
        <v>46327</v>
      </c>
      <c r="D48" s="14" t="n">
        <f aca="false">SUMIFS('Meta data'!$I$3:$I$20000,'Meta data'!$A$3:$A$20000,"&gt;="&amp;$B48,'Meta data'!$A$3:$A$20000,"&lt;="&amp;$C48,'Meta data'!$G$3:$G$20000,"&lt;&gt;Month total")</f>
        <v>0</v>
      </c>
      <c r="E48" s="14" t="n">
        <f aca="false">SUMIFS('Google data'!$I$3:$I$20000,'Google data'!$A$3:$A$20000,"&gt;="&amp;$B48,'Google data'!$A$3:$A$20000,"&lt;="&amp;$C48,'Google data'!$G$3:$G$20000,"&lt;&gt;Month total")</f>
        <v>0</v>
      </c>
      <c r="F48" s="14" t="n">
        <f aca="false">SUMIFS('ChatGPT data'!$I$3:$I$20000,'ChatGPT data'!$A$3:$A$20000,"&gt;="&amp;$B48,'ChatGPT data'!$A$3:$A$20000,"&lt;="&amp;$C48,'ChatGPT data'!$G$3:$G$20000,"&lt;&gt;Month total")</f>
        <v>0</v>
      </c>
      <c r="G48" s="14" t="n">
        <f aca="false">SUMIFS('LinkedIn data'!$I$3:$I$20000,'LinkedIn data'!$A$3:$A$20000,"&gt;="&amp;$B48,'LinkedIn data'!$A$3:$A$20000,"&lt;="&amp;$C48,'LinkedIn data'!$G$3:$G$20000,"&lt;&gt;Month total")</f>
        <v>0</v>
      </c>
      <c r="H48" s="15" t="n">
        <f aca="false">SUM(D48:G48)</f>
        <v>0</v>
      </c>
      <c r="I48" s="14" t="n">
        <f aca="false">D48*(Settings!$C$22="Yes")+E48*(Settings!$C$23="Yes")+F48*(Settings!$C$24="Yes")+G48*(Settings!$C$25="Yes")</f>
        <v>0</v>
      </c>
      <c r="J48" s="14" t="n">
        <f aca="false">Settings!$D$16*MAX(0,MIN(C48,Settings!$C$11)-MAX(B48,Settings!$C$10)+1)/(Settings!$C$11-Settings!$C$10+1)</f>
        <v>5753.42465753425</v>
      </c>
      <c r="K48" s="14" t="str">
        <f aca="false">IF(OR(C48&gt;$C$3,I48=0),"",I48-J48)</f>
        <v/>
      </c>
      <c r="L48" s="37" t="n">
        <f aca="false">SUMIFS('Meta data'!$F$3:$F$20000,'Meta data'!$A$3:$A$20000,"&gt;="&amp;$B48,'Meta data'!$A$3:$A$20000,"&lt;="&amp;$C48,'Meta data'!$G$3:$G$20000,"&lt;&gt;Month total")</f>
        <v>0</v>
      </c>
      <c r="M48" s="38" t="str">
        <f aca="false">IF(L48=0,"",D48/L48)</f>
        <v/>
      </c>
      <c r="N48" s="37" t="n">
        <f aca="false">SUMIFS('Google data'!$F$3:$F$20000,'Google data'!$A$3:$A$20000,"&gt;="&amp;$B48,'Google data'!$A$3:$A$20000,"&lt;="&amp;$C48,'Google data'!$G$3:$G$20000,"&lt;&gt;Month total")</f>
        <v>0</v>
      </c>
      <c r="O48" s="38" t="str">
        <f aca="false">IF(N48=0,"",E48/N48)</f>
        <v/>
      </c>
      <c r="P48" s="39"/>
      <c r="Q48" s="39"/>
      <c r="R48" s="40"/>
      <c r="S48" s="41" t="str">
        <f aca="false">TEXT(B48,"d mmm")</f>
        <v>26 Oct</v>
      </c>
    </row>
    <row r="49" customFormat="false" ht="15" hidden="false" customHeight="true" outlineLevel="0" collapsed="false">
      <c r="A49" s="35" t="n">
        <v>45</v>
      </c>
      <c r="B49" s="36" t="n">
        <f aca="false">Settings!$C$13+7*(A49-1)</f>
        <v>46328</v>
      </c>
      <c r="C49" s="36" t="n">
        <f aca="false">B49+6</f>
        <v>46334</v>
      </c>
      <c r="D49" s="14" t="n">
        <f aca="false">SUMIFS('Meta data'!$I$3:$I$20000,'Meta data'!$A$3:$A$20000,"&gt;="&amp;$B49,'Meta data'!$A$3:$A$20000,"&lt;="&amp;$C49,'Meta data'!$G$3:$G$20000,"&lt;&gt;Month total")</f>
        <v>0</v>
      </c>
      <c r="E49" s="14" t="n">
        <f aca="false">SUMIFS('Google data'!$I$3:$I$20000,'Google data'!$A$3:$A$20000,"&gt;="&amp;$B49,'Google data'!$A$3:$A$20000,"&lt;="&amp;$C49,'Google data'!$G$3:$G$20000,"&lt;&gt;Month total")</f>
        <v>0</v>
      </c>
      <c r="F49" s="14" t="n">
        <f aca="false">SUMIFS('ChatGPT data'!$I$3:$I$20000,'ChatGPT data'!$A$3:$A$20000,"&gt;="&amp;$B49,'ChatGPT data'!$A$3:$A$20000,"&lt;="&amp;$C49,'ChatGPT data'!$G$3:$G$20000,"&lt;&gt;Month total")</f>
        <v>0</v>
      </c>
      <c r="G49" s="14" t="n">
        <f aca="false">SUMIFS('LinkedIn data'!$I$3:$I$20000,'LinkedIn data'!$A$3:$A$20000,"&gt;="&amp;$B49,'LinkedIn data'!$A$3:$A$20000,"&lt;="&amp;$C49,'LinkedIn data'!$G$3:$G$20000,"&lt;&gt;Month total")</f>
        <v>0</v>
      </c>
      <c r="H49" s="15" t="n">
        <f aca="false">SUM(D49:G49)</f>
        <v>0</v>
      </c>
      <c r="I49" s="14" t="n">
        <f aca="false">D49*(Settings!$C$22="Yes")+E49*(Settings!$C$23="Yes")+F49*(Settings!$C$24="Yes")+G49*(Settings!$C$25="Yes")</f>
        <v>0</v>
      </c>
      <c r="J49" s="14" t="n">
        <f aca="false">Settings!$D$16*MAX(0,MIN(C49,Settings!$C$11)-MAX(B49,Settings!$C$10)+1)/(Settings!$C$11-Settings!$C$10+1)</f>
        <v>5753.42465753425</v>
      </c>
      <c r="K49" s="14" t="str">
        <f aca="false">IF(OR(C49&gt;$C$3,I49=0),"",I49-J49)</f>
        <v/>
      </c>
      <c r="L49" s="37" t="n">
        <f aca="false">SUMIFS('Meta data'!$F$3:$F$20000,'Meta data'!$A$3:$A$20000,"&gt;="&amp;$B49,'Meta data'!$A$3:$A$20000,"&lt;="&amp;$C49,'Meta data'!$G$3:$G$20000,"&lt;&gt;Month total")</f>
        <v>0</v>
      </c>
      <c r="M49" s="38" t="str">
        <f aca="false">IF(L49=0,"",D49/L49)</f>
        <v/>
      </c>
      <c r="N49" s="37" t="n">
        <f aca="false">SUMIFS('Google data'!$F$3:$F$20000,'Google data'!$A$3:$A$20000,"&gt;="&amp;$B49,'Google data'!$A$3:$A$20000,"&lt;="&amp;$C49,'Google data'!$G$3:$G$20000,"&lt;&gt;Month total")</f>
        <v>0</v>
      </c>
      <c r="O49" s="38" t="str">
        <f aca="false">IF(N49=0,"",E49/N49)</f>
        <v/>
      </c>
      <c r="P49" s="39"/>
      <c r="Q49" s="39"/>
      <c r="R49" s="40"/>
      <c r="S49" s="41" t="str">
        <f aca="false">TEXT(B49,"d mmm")</f>
        <v>2 Nov</v>
      </c>
    </row>
    <row r="50" customFormat="false" ht="15" hidden="false" customHeight="true" outlineLevel="0" collapsed="false">
      <c r="A50" s="35" t="n">
        <v>46</v>
      </c>
      <c r="B50" s="36" t="n">
        <f aca="false">Settings!$C$13+7*(A50-1)</f>
        <v>46335</v>
      </c>
      <c r="C50" s="36" t="n">
        <f aca="false">B50+6</f>
        <v>46341</v>
      </c>
      <c r="D50" s="14" t="n">
        <f aca="false">SUMIFS('Meta data'!$I$3:$I$20000,'Meta data'!$A$3:$A$20000,"&gt;="&amp;$B50,'Meta data'!$A$3:$A$20000,"&lt;="&amp;$C50,'Meta data'!$G$3:$G$20000,"&lt;&gt;Month total")</f>
        <v>0</v>
      </c>
      <c r="E50" s="14" t="n">
        <f aca="false">SUMIFS('Google data'!$I$3:$I$20000,'Google data'!$A$3:$A$20000,"&gt;="&amp;$B50,'Google data'!$A$3:$A$20000,"&lt;="&amp;$C50,'Google data'!$G$3:$G$20000,"&lt;&gt;Month total")</f>
        <v>0</v>
      </c>
      <c r="F50" s="14" t="n">
        <f aca="false">SUMIFS('ChatGPT data'!$I$3:$I$20000,'ChatGPT data'!$A$3:$A$20000,"&gt;="&amp;$B50,'ChatGPT data'!$A$3:$A$20000,"&lt;="&amp;$C50,'ChatGPT data'!$G$3:$G$20000,"&lt;&gt;Month total")</f>
        <v>0</v>
      </c>
      <c r="G50" s="14" t="n">
        <f aca="false">SUMIFS('LinkedIn data'!$I$3:$I$20000,'LinkedIn data'!$A$3:$A$20000,"&gt;="&amp;$B50,'LinkedIn data'!$A$3:$A$20000,"&lt;="&amp;$C50,'LinkedIn data'!$G$3:$G$20000,"&lt;&gt;Month total")</f>
        <v>0</v>
      </c>
      <c r="H50" s="15" t="n">
        <f aca="false">SUM(D50:G50)</f>
        <v>0</v>
      </c>
      <c r="I50" s="14" t="n">
        <f aca="false">D50*(Settings!$C$22="Yes")+E50*(Settings!$C$23="Yes")+F50*(Settings!$C$24="Yes")+G50*(Settings!$C$25="Yes")</f>
        <v>0</v>
      </c>
      <c r="J50" s="14" t="n">
        <f aca="false">Settings!$D$16*MAX(0,MIN(C50,Settings!$C$11)-MAX(B50,Settings!$C$10)+1)/(Settings!$C$11-Settings!$C$10+1)</f>
        <v>5753.42465753425</v>
      </c>
      <c r="K50" s="14" t="str">
        <f aca="false">IF(OR(C50&gt;$C$3,I50=0),"",I50-J50)</f>
        <v/>
      </c>
      <c r="L50" s="37" t="n">
        <f aca="false">SUMIFS('Meta data'!$F$3:$F$20000,'Meta data'!$A$3:$A$20000,"&gt;="&amp;$B50,'Meta data'!$A$3:$A$20000,"&lt;="&amp;$C50,'Meta data'!$G$3:$G$20000,"&lt;&gt;Month total")</f>
        <v>0</v>
      </c>
      <c r="M50" s="38" t="str">
        <f aca="false">IF(L50=0,"",D50/L50)</f>
        <v/>
      </c>
      <c r="N50" s="37" t="n">
        <f aca="false">SUMIFS('Google data'!$F$3:$F$20000,'Google data'!$A$3:$A$20000,"&gt;="&amp;$B50,'Google data'!$A$3:$A$20000,"&lt;="&amp;$C50,'Google data'!$G$3:$G$20000,"&lt;&gt;Month total")</f>
        <v>0</v>
      </c>
      <c r="O50" s="38" t="str">
        <f aca="false">IF(N50=0,"",E50/N50)</f>
        <v/>
      </c>
      <c r="P50" s="39"/>
      <c r="Q50" s="39"/>
      <c r="R50" s="40"/>
      <c r="S50" s="41" t="str">
        <f aca="false">TEXT(B50,"d mmm")</f>
        <v>9 Nov</v>
      </c>
    </row>
    <row r="51" customFormat="false" ht="15" hidden="false" customHeight="true" outlineLevel="0" collapsed="false">
      <c r="A51" s="35" t="n">
        <v>47</v>
      </c>
      <c r="B51" s="36" t="n">
        <f aca="false">Settings!$C$13+7*(A51-1)</f>
        <v>46342</v>
      </c>
      <c r="C51" s="36" t="n">
        <f aca="false">B51+6</f>
        <v>46348</v>
      </c>
      <c r="D51" s="14" t="n">
        <f aca="false">SUMIFS('Meta data'!$I$3:$I$20000,'Meta data'!$A$3:$A$20000,"&gt;="&amp;$B51,'Meta data'!$A$3:$A$20000,"&lt;="&amp;$C51,'Meta data'!$G$3:$G$20000,"&lt;&gt;Month total")</f>
        <v>0</v>
      </c>
      <c r="E51" s="14" t="n">
        <f aca="false">SUMIFS('Google data'!$I$3:$I$20000,'Google data'!$A$3:$A$20000,"&gt;="&amp;$B51,'Google data'!$A$3:$A$20000,"&lt;="&amp;$C51,'Google data'!$G$3:$G$20000,"&lt;&gt;Month total")</f>
        <v>0</v>
      </c>
      <c r="F51" s="14" t="n">
        <f aca="false">SUMIFS('ChatGPT data'!$I$3:$I$20000,'ChatGPT data'!$A$3:$A$20000,"&gt;="&amp;$B51,'ChatGPT data'!$A$3:$A$20000,"&lt;="&amp;$C51,'ChatGPT data'!$G$3:$G$20000,"&lt;&gt;Month total")</f>
        <v>0</v>
      </c>
      <c r="G51" s="14" t="n">
        <f aca="false">SUMIFS('LinkedIn data'!$I$3:$I$20000,'LinkedIn data'!$A$3:$A$20000,"&gt;="&amp;$B51,'LinkedIn data'!$A$3:$A$20000,"&lt;="&amp;$C51,'LinkedIn data'!$G$3:$G$20000,"&lt;&gt;Month total")</f>
        <v>0</v>
      </c>
      <c r="H51" s="15" t="n">
        <f aca="false">SUM(D51:G51)</f>
        <v>0</v>
      </c>
      <c r="I51" s="14" t="n">
        <f aca="false">D51*(Settings!$C$22="Yes")+E51*(Settings!$C$23="Yes")+F51*(Settings!$C$24="Yes")+G51*(Settings!$C$25="Yes")</f>
        <v>0</v>
      </c>
      <c r="J51" s="14" t="n">
        <f aca="false">Settings!$D$16*MAX(0,MIN(C51,Settings!$C$11)-MAX(B51,Settings!$C$10)+1)/(Settings!$C$11-Settings!$C$10+1)</f>
        <v>5753.42465753425</v>
      </c>
      <c r="K51" s="14" t="str">
        <f aca="false">IF(OR(C51&gt;$C$3,I51=0),"",I51-J51)</f>
        <v/>
      </c>
      <c r="L51" s="37" t="n">
        <f aca="false">SUMIFS('Meta data'!$F$3:$F$20000,'Meta data'!$A$3:$A$20000,"&gt;="&amp;$B51,'Meta data'!$A$3:$A$20000,"&lt;="&amp;$C51,'Meta data'!$G$3:$G$20000,"&lt;&gt;Month total")</f>
        <v>0</v>
      </c>
      <c r="M51" s="38" t="str">
        <f aca="false">IF(L51=0,"",D51/L51)</f>
        <v/>
      </c>
      <c r="N51" s="37" t="n">
        <f aca="false">SUMIFS('Google data'!$F$3:$F$20000,'Google data'!$A$3:$A$20000,"&gt;="&amp;$B51,'Google data'!$A$3:$A$20000,"&lt;="&amp;$C51,'Google data'!$G$3:$G$20000,"&lt;&gt;Month total")</f>
        <v>0</v>
      </c>
      <c r="O51" s="38" t="str">
        <f aca="false">IF(N51=0,"",E51/N51)</f>
        <v/>
      </c>
      <c r="P51" s="39"/>
      <c r="Q51" s="39"/>
      <c r="R51" s="40"/>
      <c r="S51" s="41" t="str">
        <f aca="false">TEXT(B51,"d mmm")</f>
        <v>16 Nov</v>
      </c>
    </row>
    <row r="52" customFormat="false" ht="15" hidden="false" customHeight="true" outlineLevel="0" collapsed="false">
      <c r="A52" s="35" t="n">
        <v>48</v>
      </c>
      <c r="B52" s="36" t="n">
        <f aca="false">Settings!$C$13+7*(A52-1)</f>
        <v>46349</v>
      </c>
      <c r="C52" s="36" t="n">
        <f aca="false">B52+6</f>
        <v>46355</v>
      </c>
      <c r="D52" s="14" t="n">
        <f aca="false">SUMIFS('Meta data'!$I$3:$I$20000,'Meta data'!$A$3:$A$20000,"&gt;="&amp;$B52,'Meta data'!$A$3:$A$20000,"&lt;="&amp;$C52,'Meta data'!$G$3:$G$20000,"&lt;&gt;Month total")</f>
        <v>0</v>
      </c>
      <c r="E52" s="14" t="n">
        <f aca="false">SUMIFS('Google data'!$I$3:$I$20000,'Google data'!$A$3:$A$20000,"&gt;="&amp;$B52,'Google data'!$A$3:$A$20000,"&lt;="&amp;$C52,'Google data'!$G$3:$G$20000,"&lt;&gt;Month total")</f>
        <v>0</v>
      </c>
      <c r="F52" s="14" t="n">
        <f aca="false">SUMIFS('ChatGPT data'!$I$3:$I$20000,'ChatGPT data'!$A$3:$A$20000,"&gt;="&amp;$B52,'ChatGPT data'!$A$3:$A$20000,"&lt;="&amp;$C52,'ChatGPT data'!$G$3:$G$20000,"&lt;&gt;Month total")</f>
        <v>0</v>
      </c>
      <c r="G52" s="14" t="n">
        <f aca="false">SUMIFS('LinkedIn data'!$I$3:$I$20000,'LinkedIn data'!$A$3:$A$20000,"&gt;="&amp;$B52,'LinkedIn data'!$A$3:$A$20000,"&lt;="&amp;$C52,'LinkedIn data'!$G$3:$G$20000,"&lt;&gt;Month total")</f>
        <v>0</v>
      </c>
      <c r="H52" s="15" t="n">
        <f aca="false">SUM(D52:G52)</f>
        <v>0</v>
      </c>
      <c r="I52" s="14" t="n">
        <f aca="false">D52*(Settings!$C$22="Yes")+E52*(Settings!$C$23="Yes")+F52*(Settings!$C$24="Yes")+G52*(Settings!$C$25="Yes")</f>
        <v>0</v>
      </c>
      <c r="J52" s="14" t="n">
        <f aca="false">Settings!$D$16*MAX(0,MIN(C52,Settings!$C$11)-MAX(B52,Settings!$C$10)+1)/(Settings!$C$11-Settings!$C$10+1)</f>
        <v>5753.42465753425</v>
      </c>
      <c r="K52" s="14" t="str">
        <f aca="false">IF(OR(C52&gt;$C$3,I52=0),"",I52-J52)</f>
        <v/>
      </c>
      <c r="L52" s="37" t="n">
        <f aca="false">SUMIFS('Meta data'!$F$3:$F$20000,'Meta data'!$A$3:$A$20000,"&gt;="&amp;$B52,'Meta data'!$A$3:$A$20000,"&lt;="&amp;$C52,'Meta data'!$G$3:$G$20000,"&lt;&gt;Month total")</f>
        <v>0</v>
      </c>
      <c r="M52" s="38" t="str">
        <f aca="false">IF(L52=0,"",D52/L52)</f>
        <v/>
      </c>
      <c r="N52" s="37" t="n">
        <f aca="false">SUMIFS('Google data'!$F$3:$F$20000,'Google data'!$A$3:$A$20000,"&gt;="&amp;$B52,'Google data'!$A$3:$A$20000,"&lt;="&amp;$C52,'Google data'!$G$3:$G$20000,"&lt;&gt;Month total")</f>
        <v>0</v>
      </c>
      <c r="O52" s="38" t="str">
        <f aca="false">IF(N52=0,"",E52/N52)</f>
        <v/>
      </c>
      <c r="P52" s="39"/>
      <c r="Q52" s="39"/>
      <c r="R52" s="40"/>
      <c r="S52" s="41" t="str">
        <f aca="false">TEXT(B52,"d mmm")</f>
        <v>23 Nov</v>
      </c>
    </row>
    <row r="53" customFormat="false" ht="15" hidden="false" customHeight="true" outlineLevel="0" collapsed="false">
      <c r="A53" s="35" t="n">
        <v>49</v>
      </c>
      <c r="B53" s="36" t="n">
        <f aca="false">Settings!$C$13+7*(A53-1)</f>
        <v>46356</v>
      </c>
      <c r="C53" s="36" t="n">
        <f aca="false">B53+6</f>
        <v>46362</v>
      </c>
      <c r="D53" s="14" t="n">
        <f aca="false">SUMIFS('Meta data'!$I$3:$I$20000,'Meta data'!$A$3:$A$20000,"&gt;="&amp;$B53,'Meta data'!$A$3:$A$20000,"&lt;="&amp;$C53,'Meta data'!$G$3:$G$20000,"&lt;&gt;Month total")</f>
        <v>0</v>
      </c>
      <c r="E53" s="14" t="n">
        <f aca="false">SUMIFS('Google data'!$I$3:$I$20000,'Google data'!$A$3:$A$20000,"&gt;="&amp;$B53,'Google data'!$A$3:$A$20000,"&lt;="&amp;$C53,'Google data'!$G$3:$G$20000,"&lt;&gt;Month total")</f>
        <v>0</v>
      </c>
      <c r="F53" s="14" t="n">
        <f aca="false">SUMIFS('ChatGPT data'!$I$3:$I$20000,'ChatGPT data'!$A$3:$A$20000,"&gt;="&amp;$B53,'ChatGPT data'!$A$3:$A$20000,"&lt;="&amp;$C53,'ChatGPT data'!$G$3:$G$20000,"&lt;&gt;Month total")</f>
        <v>0</v>
      </c>
      <c r="G53" s="14" t="n">
        <f aca="false">SUMIFS('LinkedIn data'!$I$3:$I$20000,'LinkedIn data'!$A$3:$A$20000,"&gt;="&amp;$B53,'LinkedIn data'!$A$3:$A$20000,"&lt;="&amp;$C53,'LinkedIn data'!$G$3:$G$20000,"&lt;&gt;Month total")</f>
        <v>0</v>
      </c>
      <c r="H53" s="15" t="n">
        <f aca="false">SUM(D53:G53)</f>
        <v>0</v>
      </c>
      <c r="I53" s="14" t="n">
        <f aca="false">D53*(Settings!$C$22="Yes")+E53*(Settings!$C$23="Yes")+F53*(Settings!$C$24="Yes")+G53*(Settings!$C$25="Yes")</f>
        <v>0</v>
      </c>
      <c r="J53" s="14" t="n">
        <f aca="false">Settings!$D$16*MAX(0,MIN(C53,Settings!$C$11)-MAX(B53,Settings!$C$10)+1)/(Settings!$C$11-Settings!$C$10+1)</f>
        <v>5753.42465753425</v>
      </c>
      <c r="K53" s="14" t="str">
        <f aca="false">IF(OR(C53&gt;$C$3,I53=0),"",I53-J53)</f>
        <v/>
      </c>
      <c r="L53" s="37" t="n">
        <f aca="false">SUMIFS('Meta data'!$F$3:$F$20000,'Meta data'!$A$3:$A$20000,"&gt;="&amp;$B53,'Meta data'!$A$3:$A$20000,"&lt;="&amp;$C53,'Meta data'!$G$3:$G$20000,"&lt;&gt;Month total")</f>
        <v>0</v>
      </c>
      <c r="M53" s="38" t="str">
        <f aca="false">IF(L53=0,"",D53/L53)</f>
        <v/>
      </c>
      <c r="N53" s="37" t="n">
        <f aca="false">SUMIFS('Google data'!$F$3:$F$20000,'Google data'!$A$3:$A$20000,"&gt;="&amp;$B53,'Google data'!$A$3:$A$20000,"&lt;="&amp;$C53,'Google data'!$G$3:$G$20000,"&lt;&gt;Month total")</f>
        <v>0</v>
      </c>
      <c r="O53" s="38" t="str">
        <f aca="false">IF(N53=0,"",E53/N53)</f>
        <v/>
      </c>
      <c r="P53" s="39"/>
      <c r="Q53" s="39"/>
      <c r="R53" s="40"/>
      <c r="S53" s="41" t="str">
        <f aca="false">TEXT(B53,"d mmm")</f>
        <v>30 Nov</v>
      </c>
    </row>
    <row r="54" customFormat="false" ht="15" hidden="false" customHeight="true" outlineLevel="0" collapsed="false">
      <c r="A54" s="35" t="n">
        <v>50</v>
      </c>
      <c r="B54" s="36" t="n">
        <f aca="false">Settings!$C$13+7*(A54-1)</f>
        <v>46363</v>
      </c>
      <c r="C54" s="36" t="n">
        <f aca="false">B54+6</f>
        <v>46369</v>
      </c>
      <c r="D54" s="14" t="n">
        <f aca="false">SUMIFS('Meta data'!$I$3:$I$20000,'Meta data'!$A$3:$A$20000,"&gt;="&amp;$B54,'Meta data'!$A$3:$A$20000,"&lt;="&amp;$C54,'Meta data'!$G$3:$G$20000,"&lt;&gt;Month total")</f>
        <v>0</v>
      </c>
      <c r="E54" s="14" t="n">
        <f aca="false">SUMIFS('Google data'!$I$3:$I$20000,'Google data'!$A$3:$A$20000,"&gt;="&amp;$B54,'Google data'!$A$3:$A$20000,"&lt;="&amp;$C54,'Google data'!$G$3:$G$20000,"&lt;&gt;Month total")</f>
        <v>0</v>
      </c>
      <c r="F54" s="14" t="n">
        <f aca="false">SUMIFS('ChatGPT data'!$I$3:$I$20000,'ChatGPT data'!$A$3:$A$20000,"&gt;="&amp;$B54,'ChatGPT data'!$A$3:$A$20000,"&lt;="&amp;$C54,'ChatGPT data'!$G$3:$G$20000,"&lt;&gt;Month total")</f>
        <v>0</v>
      </c>
      <c r="G54" s="14" t="n">
        <f aca="false">SUMIFS('LinkedIn data'!$I$3:$I$20000,'LinkedIn data'!$A$3:$A$20000,"&gt;="&amp;$B54,'LinkedIn data'!$A$3:$A$20000,"&lt;="&amp;$C54,'LinkedIn data'!$G$3:$G$20000,"&lt;&gt;Month total")</f>
        <v>0</v>
      </c>
      <c r="H54" s="15" t="n">
        <f aca="false">SUM(D54:G54)</f>
        <v>0</v>
      </c>
      <c r="I54" s="14" t="n">
        <f aca="false">D54*(Settings!$C$22="Yes")+E54*(Settings!$C$23="Yes")+F54*(Settings!$C$24="Yes")+G54*(Settings!$C$25="Yes")</f>
        <v>0</v>
      </c>
      <c r="J54" s="14" t="n">
        <f aca="false">Settings!$D$16*MAX(0,MIN(C54,Settings!$C$11)-MAX(B54,Settings!$C$10)+1)/(Settings!$C$11-Settings!$C$10+1)</f>
        <v>5753.42465753425</v>
      </c>
      <c r="K54" s="14" t="str">
        <f aca="false">IF(OR(C54&gt;$C$3,I54=0),"",I54-J54)</f>
        <v/>
      </c>
      <c r="L54" s="37" t="n">
        <f aca="false">SUMIFS('Meta data'!$F$3:$F$20000,'Meta data'!$A$3:$A$20000,"&gt;="&amp;$B54,'Meta data'!$A$3:$A$20000,"&lt;="&amp;$C54,'Meta data'!$G$3:$G$20000,"&lt;&gt;Month total")</f>
        <v>0</v>
      </c>
      <c r="M54" s="38" t="str">
        <f aca="false">IF(L54=0,"",D54/L54)</f>
        <v/>
      </c>
      <c r="N54" s="37" t="n">
        <f aca="false">SUMIFS('Google data'!$F$3:$F$20000,'Google data'!$A$3:$A$20000,"&gt;="&amp;$B54,'Google data'!$A$3:$A$20000,"&lt;="&amp;$C54,'Google data'!$G$3:$G$20000,"&lt;&gt;Month total")</f>
        <v>0</v>
      </c>
      <c r="O54" s="38" t="str">
        <f aca="false">IF(N54=0,"",E54/N54)</f>
        <v/>
      </c>
      <c r="P54" s="39"/>
      <c r="Q54" s="39"/>
      <c r="R54" s="40"/>
      <c r="S54" s="41" t="str">
        <f aca="false">TEXT(B54,"d mmm")</f>
        <v>7 Dec</v>
      </c>
    </row>
    <row r="55" customFormat="false" ht="15" hidden="false" customHeight="true" outlineLevel="0" collapsed="false">
      <c r="A55" s="35" t="n">
        <v>51</v>
      </c>
      <c r="B55" s="36" t="n">
        <f aca="false">Settings!$C$13+7*(A55-1)</f>
        <v>46370</v>
      </c>
      <c r="C55" s="36" t="n">
        <f aca="false">B55+6</f>
        <v>46376</v>
      </c>
      <c r="D55" s="14" t="n">
        <f aca="false">SUMIFS('Meta data'!$I$3:$I$20000,'Meta data'!$A$3:$A$20000,"&gt;="&amp;$B55,'Meta data'!$A$3:$A$20000,"&lt;="&amp;$C55,'Meta data'!$G$3:$G$20000,"&lt;&gt;Month total")</f>
        <v>0</v>
      </c>
      <c r="E55" s="14" t="n">
        <f aca="false">SUMIFS('Google data'!$I$3:$I$20000,'Google data'!$A$3:$A$20000,"&gt;="&amp;$B55,'Google data'!$A$3:$A$20000,"&lt;="&amp;$C55,'Google data'!$G$3:$G$20000,"&lt;&gt;Month total")</f>
        <v>0</v>
      </c>
      <c r="F55" s="14" t="n">
        <f aca="false">SUMIFS('ChatGPT data'!$I$3:$I$20000,'ChatGPT data'!$A$3:$A$20000,"&gt;="&amp;$B55,'ChatGPT data'!$A$3:$A$20000,"&lt;="&amp;$C55,'ChatGPT data'!$G$3:$G$20000,"&lt;&gt;Month total")</f>
        <v>0</v>
      </c>
      <c r="G55" s="14" t="n">
        <f aca="false">SUMIFS('LinkedIn data'!$I$3:$I$20000,'LinkedIn data'!$A$3:$A$20000,"&gt;="&amp;$B55,'LinkedIn data'!$A$3:$A$20000,"&lt;="&amp;$C55,'LinkedIn data'!$G$3:$G$20000,"&lt;&gt;Month total")</f>
        <v>0</v>
      </c>
      <c r="H55" s="15" t="n">
        <f aca="false">SUM(D55:G55)</f>
        <v>0</v>
      </c>
      <c r="I55" s="14" t="n">
        <f aca="false">D55*(Settings!$C$22="Yes")+E55*(Settings!$C$23="Yes")+F55*(Settings!$C$24="Yes")+G55*(Settings!$C$25="Yes")</f>
        <v>0</v>
      </c>
      <c r="J55" s="14" t="n">
        <f aca="false">Settings!$D$16*MAX(0,MIN(C55,Settings!$C$11)-MAX(B55,Settings!$C$10)+1)/(Settings!$C$11-Settings!$C$10+1)</f>
        <v>5753.42465753425</v>
      </c>
      <c r="K55" s="14" t="str">
        <f aca="false">IF(OR(C55&gt;$C$3,I55=0),"",I55-J55)</f>
        <v/>
      </c>
      <c r="L55" s="37" t="n">
        <f aca="false">SUMIFS('Meta data'!$F$3:$F$20000,'Meta data'!$A$3:$A$20000,"&gt;="&amp;$B55,'Meta data'!$A$3:$A$20000,"&lt;="&amp;$C55,'Meta data'!$G$3:$G$20000,"&lt;&gt;Month total")</f>
        <v>0</v>
      </c>
      <c r="M55" s="38" t="str">
        <f aca="false">IF(L55=0,"",D55/L55)</f>
        <v/>
      </c>
      <c r="N55" s="37" t="n">
        <f aca="false">SUMIFS('Google data'!$F$3:$F$20000,'Google data'!$A$3:$A$20000,"&gt;="&amp;$B55,'Google data'!$A$3:$A$20000,"&lt;="&amp;$C55,'Google data'!$G$3:$G$20000,"&lt;&gt;Month total")</f>
        <v>0</v>
      </c>
      <c r="O55" s="38" t="str">
        <f aca="false">IF(N55=0,"",E55/N55)</f>
        <v/>
      </c>
      <c r="P55" s="39"/>
      <c r="Q55" s="39"/>
      <c r="R55" s="40"/>
      <c r="S55" s="41" t="str">
        <f aca="false">TEXT(B55,"d mmm")</f>
        <v>14 Dec</v>
      </c>
    </row>
    <row r="56" customFormat="false" ht="15" hidden="false" customHeight="true" outlineLevel="0" collapsed="false">
      <c r="A56" s="35" t="n">
        <v>52</v>
      </c>
      <c r="B56" s="36" t="n">
        <f aca="false">Settings!$C$13+7*(A56-1)</f>
        <v>46377</v>
      </c>
      <c r="C56" s="36" t="n">
        <f aca="false">B56+6</f>
        <v>46383</v>
      </c>
      <c r="D56" s="14" t="n">
        <f aca="false">SUMIFS('Meta data'!$I$3:$I$20000,'Meta data'!$A$3:$A$20000,"&gt;="&amp;$B56,'Meta data'!$A$3:$A$20000,"&lt;="&amp;$C56,'Meta data'!$G$3:$G$20000,"&lt;&gt;Month total")</f>
        <v>0</v>
      </c>
      <c r="E56" s="14" t="n">
        <f aca="false">SUMIFS('Google data'!$I$3:$I$20000,'Google data'!$A$3:$A$20000,"&gt;="&amp;$B56,'Google data'!$A$3:$A$20000,"&lt;="&amp;$C56,'Google data'!$G$3:$G$20000,"&lt;&gt;Month total")</f>
        <v>0</v>
      </c>
      <c r="F56" s="14" t="n">
        <f aca="false">SUMIFS('ChatGPT data'!$I$3:$I$20000,'ChatGPT data'!$A$3:$A$20000,"&gt;="&amp;$B56,'ChatGPT data'!$A$3:$A$20000,"&lt;="&amp;$C56,'ChatGPT data'!$G$3:$G$20000,"&lt;&gt;Month total")</f>
        <v>0</v>
      </c>
      <c r="G56" s="14" t="n">
        <f aca="false">SUMIFS('LinkedIn data'!$I$3:$I$20000,'LinkedIn data'!$A$3:$A$20000,"&gt;="&amp;$B56,'LinkedIn data'!$A$3:$A$20000,"&lt;="&amp;$C56,'LinkedIn data'!$G$3:$G$20000,"&lt;&gt;Month total")</f>
        <v>0</v>
      </c>
      <c r="H56" s="15" t="n">
        <f aca="false">SUM(D56:G56)</f>
        <v>0</v>
      </c>
      <c r="I56" s="14" t="n">
        <f aca="false">D56*(Settings!$C$22="Yes")+E56*(Settings!$C$23="Yes")+F56*(Settings!$C$24="Yes")+G56*(Settings!$C$25="Yes")</f>
        <v>0</v>
      </c>
      <c r="J56" s="14" t="n">
        <f aca="false">Settings!$D$16*MAX(0,MIN(C56,Settings!$C$11)-MAX(B56,Settings!$C$10)+1)/(Settings!$C$11-Settings!$C$10+1)</f>
        <v>5753.42465753425</v>
      </c>
      <c r="K56" s="14" t="str">
        <f aca="false">IF(OR(C56&gt;$C$3,I56=0),"",I56-J56)</f>
        <v/>
      </c>
      <c r="L56" s="37" t="n">
        <f aca="false">SUMIFS('Meta data'!$F$3:$F$20000,'Meta data'!$A$3:$A$20000,"&gt;="&amp;$B56,'Meta data'!$A$3:$A$20000,"&lt;="&amp;$C56,'Meta data'!$G$3:$G$20000,"&lt;&gt;Month total")</f>
        <v>0</v>
      </c>
      <c r="M56" s="38" t="str">
        <f aca="false">IF(L56=0,"",D56/L56)</f>
        <v/>
      </c>
      <c r="N56" s="37" t="n">
        <f aca="false">SUMIFS('Google data'!$F$3:$F$20000,'Google data'!$A$3:$A$20000,"&gt;="&amp;$B56,'Google data'!$A$3:$A$20000,"&lt;="&amp;$C56,'Google data'!$G$3:$G$20000,"&lt;&gt;Month total")</f>
        <v>0</v>
      </c>
      <c r="O56" s="38" t="str">
        <f aca="false">IF(N56=0,"",E56/N56)</f>
        <v/>
      </c>
      <c r="P56" s="39"/>
      <c r="Q56" s="39"/>
      <c r="R56" s="40"/>
      <c r="S56" s="41" t="str">
        <f aca="false">TEXT(B56,"d mmm")</f>
        <v>21 Dec</v>
      </c>
    </row>
    <row r="57" customFormat="false" ht="15" hidden="false" customHeight="true" outlineLevel="0" collapsed="false">
      <c r="A57" s="35" t="n">
        <v>53</v>
      </c>
      <c r="B57" s="36" t="n">
        <f aca="false">Settings!$C$13+7*(A57-1)</f>
        <v>46384</v>
      </c>
      <c r="C57" s="36" t="n">
        <f aca="false">B57+6</f>
        <v>46390</v>
      </c>
      <c r="D57" s="14" t="n">
        <f aca="false">SUMIFS('Meta data'!$I$3:$I$20000,'Meta data'!$A$3:$A$20000,"&gt;="&amp;$B57,'Meta data'!$A$3:$A$20000,"&lt;="&amp;$C57,'Meta data'!$G$3:$G$20000,"&lt;&gt;Month total")</f>
        <v>0</v>
      </c>
      <c r="E57" s="14" t="n">
        <f aca="false">SUMIFS('Google data'!$I$3:$I$20000,'Google data'!$A$3:$A$20000,"&gt;="&amp;$B57,'Google data'!$A$3:$A$20000,"&lt;="&amp;$C57,'Google data'!$G$3:$G$20000,"&lt;&gt;Month total")</f>
        <v>0</v>
      </c>
      <c r="F57" s="14" t="n">
        <f aca="false">SUMIFS('ChatGPT data'!$I$3:$I$20000,'ChatGPT data'!$A$3:$A$20000,"&gt;="&amp;$B57,'ChatGPT data'!$A$3:$A$20000,"&lt;="&amp;$C57,'ChatGPT data'!$G$3:$G$20000,"&lt;&gt;Month total")</f>
        <v>0</v>
      </c>
      <c r="G57" s="14" t="n">
        <f aca="false">SUMIFS('LinkedIn data'!$I$3:$I$20000,'LinkedIn data'!$A$3:$A$20000,"&gt;="&amp;$B57,'LinkedIn data'!$A$3:$A$20000,"&lt;="&amp;$C57,'LinkedIn data'!$G$3:$G$20000,"&lt;&gt;Month total")</f>
        <v>0</v>
      </c>
      <c r="H57" s="15" t="n">
        <f aca="false">SUM(D57:G57)</f>
        <v>0</v>
      </c>
      <c r="I57" s="14" t="n">
        <f aca="false">D57*(Settings!$C$22="Yes")+E57*(Settings!$C$23="Yes")+F57*(Settings!$C$24="Yes")+G57*(Settings!$C$25="Yes")</f>
        <v>0</v>
      </c>
      <c r="J57" s="14" t="n">
        <f aca="false">Settings!$D$16*MAX(0,MIN(C57,Settings!$C$11)-MAX(B57,Settings!$C$10)+1)/(Settings!$C$11-Settings!$C$10+1)</f>
        <v>3287.67123287671</v>
      </c>
      <c r="K57" s="14" t="str">
        <f aca="false">IF(OR(C57&gt;$C$3,I57=0),"",I57-J57)</f>
        <v/>
      </c>
      <c r="L57" s="37" t="n">
        <f aca="false">SUMIFS('Meta data'!$F$3:$F$20000,'Meta data'!$A$3:$A$20000,"&gt;="&amp;$B57,'Meta data'!$A$3:$A$20000,"&lt;="&amp;$C57,'Meta data'!$G$3:$G$20000,"&lt;&gt;Month total")</f>
        <v>0</v>
      </c>
      <c r="M57" s="38" t="str">
        <f aca="false">IF(L57=0,"",D57/L57)</f>
        <v/>
      </c>
      <c r="N57" s="37" t="n">
        <f aca="false">SUMIFS('Google data'!$F$3:$F$20000,'Google data'!$A$3:$A$20000,"&gt;="&amp;$B57,'Google data'!$A$3:$A$20000,"&lt;="&amp;$C57,'Google data'!$G$3:$G$20000,"&lt;&gt;Month total")</f>
        <v>0</v>
      </c>
      <c r="O57" s="38" t="str">
        <f aca="false">IF(N57=0,"",E57/N57)</f>
        <v/>
      </c>
      <c r="P57" s="39"/>
      <c r="Q57" s="39"/>
      <c r="R57" s="40"/>
      <c r="S57" s="41" t="str">
        <f aca="false">TEXT(B57,"d mmm")</f>
        <v>28 Dec</v>
      </c>
    </row>
    <row r="59" customFormat="false" ht="15" hidden="false" customHeight="false" outlineLevel="0" collapsed="false">
      <c r="A59" s="28" t="s">
        <v>100</v>
      </c>
    </row>
    <row r="61" customFormat="false" ht="15" hidden="false" customHeight="false" outlineLevel="0" collapsed="false">
      <c r="A61" s="10" t="s">
        <v>101</v>
      </c>
      <c r="B61" s="11"/>
      <c r="C61" s="11"/>
      <c r="D61" s="11"/>
      <c r="E61" s="11"/>
      <c r="F61" s="11"/>
      <c r="G61" s="11"/>
      <c r="H61" s="11"/>
      <c r="I61" s="11"/>
      <c r="J61" s="11"/>
    </row>
  </sheetData>
  <conditionalFormatting sqref="A5:Q57">
    <cfRule type="expression" priority="2" aboveAverage="0" equalAverage="0" bottom="0" percent="0" rank="0" text="" dxfId="8">
      <formula>$B5&gt;$C$3</formula>
    </cfRule>
    <cfRule type="expression" priority="3" aboveAverage="0" equalAverage="0" bottom="0" percent="0" rank="0" text="" dxfId="9">
      <formula>$C5=$F$3</formula>
    </cfRule>
  </conditionalFormatting>
  <conditionalFormatting sqref="K5:K57">
    <cfRule type="expression" priority="4" aboveAverage="0" equalAverage="0" bottom="0" percent="0" rank="0" text="" dxfId="7">
      <formula>AND(ISNUMBER(K5),K5&gt;0)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U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17" min="3" style="0" width="12"/>
    <col collapsed="false" customWidth="true" hidden="false" outlineLevel="0" max="18" min="18" style="0" width="10"/>
    <col collapsed="false" customWidth="true" hidden="false" outlineLevel="0" max="19" min="19" style="0" width="8"/>
    <col collapsed="false" customWidth="true" hidden="false" outlineLevel="0" max="20" min="20" style="0" width="10"/>
    <col collapsed="false" customWidth="true" hidden="false" outlineLevel="0" max="21" min="21" style="0" width="12"/>
  </cols>
  <sheetData>
    <row r="1" customFormat="false" ht="19.7" hidden="false" customHeight="false" outlineLevel="0" collapsed="false">
      <c r="A1" s="31" t="s">
        <v>102</v>
      </c>
    </row>
    <row r="2" customFormat="false" ht="15" hidden="false" customHeight="false" outlineLevel="0" collapsed="false">
      <c r="A2" s="28" t="str">
        <f aca="false">"Amounts in "&amp;Settings!$C$6&amp;" · Google converted from EUR with the Settings rates · platform data up to "&amp;TEXT(Settings!$C$5,"d mmm yyyy")</f>
        <v>Amounts in USD · Google converted from EUR with the Settings rates · platform data up to 30 Sep 2026</v>
      </c>
      <c r="T2" s="42" t="s">
        <v>103</v>
      </c>
      <c r="U2" s="32" t="n">
        <f aca="false">Settings!$C$5</f>
        <v>46295</v>
      </c>
    </row>
    <row r="4" customFormat="false" ht="42" hidden="false" customHeight="true" outlineLevel="0" collapsed="false">
      <c r="A4" s="12" t="s">
        <v>104</v>
      </c>
      <c r="B4" s="12" t="s">
        <v>28</v>
      </c>
      <c r="C4" s="12" t="s">
        <v>19</v>
      </c>
      <c r="D4" s="12" t="s">
        <v>20</v>
      </c>
      <c r="E4" s="12" t="s">
        <v>21</v>
      </c>
      <c r="F4" s="12" t="s">
        <v>22</v>
      </c>
      <c r="G4" s="12" t="s">
        <v>23</v>
      </c>
      <c r="H4" s="12" t="s">
        <v>29</v>
      </c>
      <c r="I4" s="12" t="s">
        <v>49</v>
      </c>
      <c r="J4" s="12" t="s">
        <v>50</v>
      </c>
      <c r="K4" s="12" t="s">
        <v>105</v>
      </c>
      <c r="L4" s="12" t="s">
        <v>106</v>
      </c>
      <c r="M4" s="12" t="s">
        <v>107</v>
      </c>
      <c r="N4" s="12" t="s">
        <v>108</v>
      </c>
      <c r="O4" s="12" t="s">
        <v>31</v>
      </c>
      <c r="P4" s="12" t="s">
        <v>109</v>
      </c>
      <c r="Q4" s="12" t="s">
        <v>110</v>
      </c>
      <c r="R4" s="12" t="s">
        <v>111</v>
      </c>
      <c r="S4" s="12" t="s">
        <v>58</v>
      </c>
    </row>
    <row r="5" customFormat="false" ht="15" hidden="false" customHeight="false" outlineLevel="0" collapsed="false">
      <c r="A5" s="43" t="n">
        <f aca="false">DATE(Settings!$C$12,1,1)</f>
        <v>46023</v>
      </c>
      <c r="B5" s="22" t="str">
        <f aca="false">"Q"&amp;ROUNDUP(MONTH(A5)/3,0)</f>
        <v>Q1</v>
      </c>
      <c r="C5" s="14" t="n">
        <f aca="false">SUMIFS('Meta data'!$I$3:$I$20000,'Meta data'!$A$3:$A$20000,"&gt;="&amp;$A5,'Meta data'!$A$3:$A$20000,"&lt;="&amp;EOMONTH($A5,0))</f>
        <v>8092.51</v>
      </c>
      <c r="D5" s="14" t="n">
        <f aca="false">SUMIFS('Google data'!$I$3:$I$20000,'Google data'!$A$3:$A$20000,"&gt;="&amp;$A5,'Google data'!$A$3:$A$20000,"&lt;="&amp;EOMONTH($A5,0))</f>
        <v>10838.862219</v>
      </c>
      <c r="E5" s="14" t="n">
        <f aca="false">SUMIFS('ChatGPT data'!$I$3:$I$20000,'ChatGPT data'!$A$3:$A$20000,"&gt;="&amp;$A5,'ChatGPT data'!$A$3:$A$20000,"&lt;="&amp;EOMONTH($A5,0))</f>
        <v>0</v>
      </c>
      <c r="F5" s="14" t="n">
        <f aca="false">SUMIFS('LinkedIn data'!$I$3:$I$20000,'LinkedIn data'!$A$3:$A$20000,"&gt;="&amp;$A5,'LinkedIn data'!$A$3:$A$20000,"&lt;="&amp;EOMONTH($A5,0))</f>
        <v>0</v>
      </c>
      <c r="G5" s="15" t="n">
        <f aca="false">SUM(C5:F5)</f>
        <v>18931.372219</v>
      </c>
      <c r="H5" s="14" t="n">
        <f aca="false">C5*(Settings!$C$22="Yes")+D5*(Settings!$C$23="Yes")+E5*(Settings!$C$24="Yes")+F5*(Settings!$C$25="Yes")</f>
        <v>18931.372219</v>
      </c>
      <c r="I5" s="14" t="n">
        <f aca="false">Settings!$D$16*MAX(0,MIN(EOMONTH($A5,0),Settings!$C$11)-MAX($A5,Settings!$C$10)+1)/(Settings!$C$11-Settings!$C$10+1)</f>
        <v>25479.4520547945</v>
      </c>
      <c r="J5" s="14" t="n">
        <f aca="false">IF(EOMONTH($A5,0)&gt;Settings!$C$5,"",H5-I5)</f>
        <v>-6548.07983579452</v>
      </c>
      <c r="K5" s="14" t="n">
        <f aca="false">IF($A5&gt;Settings!$C$5,"",SUM($H$5:H5))</f>
        <v>18931.372219</v>
      </c>
      <c r="L5" s="14" t="n">
        <f aca="false">SUM($I$5:I5)</f>
        <v>25479.4520547945</v>
      </c>
      <c r="M5" s="44" t="n">
        <f aca="false">Settings!$D$17</f>
        <v>320000</v>
      </c>
      <c r="N5" s="20" t="n">
        <f aca="false">IF(OR(K5="",Settings!$D$16=0),"",K5/Settings!$D$16)</f>
        <v>0.0631045740633333</v>
      </c>
      <c r="O5" s="29" t="str">
        <f aca="false">IF(EOMONTH($A5,0)&lt;=Settings!$C$5,"Complete",IF($A5&lt;=Settings!$C$5,"In progress","Not started"))</f>
        <v>Complete</v>
      </c>
      <c r="P5" s="14" t="n">
        <f aca="false">SUMIFS('Meta data'!$C$3:$C$20000,'Meta data'!$A$3:$A$20000,"&gt;="&amp;$A5,'Meta data'!$A$3:$A$20000,"&lt;="&amp;EOMONTH($A5,0))</f>
        <v>8092.51</v>
      </c>
      <c r="Q5" s="14" t="n">
        <f aca="false">SUMIFS('Google data'!$C$3:$C$20000,'Google data'!$A$3:$A$20000,"&gt;="&amp;$A5,'Google data'!$A$3:$A$20000,"&lt;="&amp;EOMONTH($A5,0))</f>
        <v>9697.47</v>
      </c>
      <c r="R5" s="45" t="n">
        <f aca="false">INDEX(Settings!$B$29:$B$40,MONTH(A5))</f>
        <v>1.1177</v>
      </c>
      <c r="S5" s="41" t="str">
        <f aca="false">TEXT(A5,"mmm")</f>
        <v>Jan</v>
      </c>
    </row>
    <row r="6" customFormat="false" ht="15" hidden="false" customHeight="false" outlineLevel="0" collapsed="false">
      <c r="A6" s="43" t="n">
        <f aca="false">DATE(Settings!$C$12,2,1)</f>
        <v>46054</v>
      </c>
      <c r="B6" s="22" t="str">
        <f aca="false">"Q"&amp;ROUNDUP(MONTH(A6)/3,0)</f>
        <v>Q1</v>
      </c>
      <c r="C6" s="14" t="n">
        <f aca="false">SUMIFS('Meta data'!$I$3:$I$20000,'Meta data'!$A$3:$A$20000,"&gt;="&amp;$A6,'Meta data'!$A$3:$A$20000,"&lt;="&amp;EOMONTH($A6,0))</f>
        <v>28952.75</v>
      </c>
      <c r="D6" s="14" t="n">
        <f aca="false">SUMIFS('Google data'!$I$3:$I$20000,'Google data'!$A$3:$A$20000,"&gt;="&amp;$A6,'Google data'!$A$3:$A$20000,"&lt;="&amp;EOMONTH($A6,0))</f>
        <v>11084.409732</v>
      </c>
      <c r="E6" s="14" t="n">
        <f aca="false">SUMIFS('ChatGPT data'!$I$3:$I$20000,'ChatGPT data'!$A$3:$A$20000,"&gt;="&amp;$A6,'ChatGPT data'!$A$3:$A$20000,"&lt;="&amp;EOMONTH($A6,0))</f>
        <v>0</v>
      </c>
      <c r="F6" s="14" t="n">
        <f aca="false">SUMIFS('LinkedIn data'!$I$3:$I$20000,'LinkedIn data'!$A$3:$A$20000,"&gt;="&amp;$A6,'LinkedIn data'!$A$3:$A$20000,"&lt;="&amp;EOMONTH($A6,0))</f>
        <v>0</v>
      </c>
      <c r="G6" s="15" t="n">
        <f aca="false">SUM(C6:F6)</f>
        <v>40037.159732</v>
      </c>
      <c r="H6" s="14" t="n">
        <f aca="false">C6*(Settings!$C$22="Yes")+D6*(Settings!$C$23="Yes")+E6*(Settings!$C$24="Yes")+F6*(Settings!$C$25="Yes")</f>
        <v>40037.159732</v>
      </c>
      <c r="I6" s="14" t="n">
        <f aca="false">Settings!$D$16*MAX(0,MIN(EOMONTH($A6,0),Settings!$C$11)-MAX($A6,Settings!$C$10)+1)/(Settings!$C$11-Settings!$C$10+1)</f>
        <v>23013.698630137</v>
      </c>
      <c r="J6" s="14" t="n">
        <f aca="false">IF(EOMONTH($A6,0)&gt;Settings!$C$5,"",H6-I6)</f>
        <v>17023.461101863</v>
      </c>
      <c r="K6" s="14" t="n">
        <f aca="false">IF($A6&gt;Settings!$C$5,"",SUM($H$5:H6))</f>
        <v>58968.531951</v>
      </c>
      <c r="L6" s="14" t="n">
        <f aca="false">SUM($I$5:I6)</f>
        <v>48493.1506849315</v>
      </c>
      <c r="M6" s="44" t="n">
        <f aca="false">Settings!$D$17</f>
        <v>320000</v>
      </c>
      <c r="N6" s="20" t="n">
        <f aca="false">IF(OR(K6="",Settings!$D$16=0),"",K6/Settings!$D$16)</f>
        <v>0.19656177317</v>
      </c>
      <c r="O6" s="29" t="str">
        <f aca="false">IF(EOMONTH($A6,0)&lt;=Settings!$C$5,"Complete",IF($A6&lt;=Settings!$C$5,"In progress","Not started"))</f>
        <v>Complete</v>
      </c>
      <c r="P6" s="14" t="n">
        <f aca="false">SUMIFS('Meta data'!$C$3:$C$20000,'Meta data'!$A$3:$A$20000,"&gt;="&amp;$A6,'Meta data'!$A$3:$A$20000,"&lt;="&amp;EOMONTH($A6,0))</f>
        <v>28952.75</v>
      </c>
      <c r="Q6" s="14" t="n">
        <f aca="false">SUMIFS('Google data'!$C$3:$C$20000,'Google data'!$A$3:$A$20000,"&gt;="&amp;$A6,'Google data'!$A$3:$A$20000,"&lt;="&amp;EOMONTH($A6,0))</f>
        <v>9917.16</v>
      </c>
      <c r="R6" s="45" t="n">
        <f aca="false">INDEX(Settings!$B$29:$B$40,MONTH(A6))</f>
        <v>1.1177</v>
      </c>
      <c r="S6" s="41" t="str">
        <f aca="false">TEXT(A6,"mmm")</f>
        <v>Feb</v>
      </c>
    </row>
    <row r="7" customFormat="false" ht="15" hidden="false" customHeight="false" outlineLevel="0" collapsed="false">
      <c r="A7" s="43" t="n">
        <f aca="false">DATE(Settings!$C$12,3,1)</f>
        <v>46082</v>
      </c>
      <c r="B7" s="22" t="str">
        <f aca="false">"Q"&amp;ROUNDUP(MONTH(A7)/3,0)</f>
        <v>Q1</v>
      </c>
      <c r="C7" s="14" t="n">
        <f aca="false">SUMIFS('Meta data'!$I$3:$I$20000,'Meta data'!$A$3:$A$20000,"&gt;="&amp;$A7,'Meta data'!$A$3:$A$20000,"&lt;="&amp;EOMONTH($A7,0))</f>
        <v>38386.84</v>
      </c>
      <c r="D7" s="14" t="n">
        <f aca="false">SUMIFS('Google data'!$I$3:$I$20000,'Google data'!$A$3:$A$20000,"&gt;="&amp;$A7,'Google data'!$A$3:$A$20000,"&lt;="&amp;EOMONTH($A7,0))</f>
        <v>10113.217848</v>
      </c>
      <c r="E7" s="14" t="n">
        <f aca="false">SUMIFS('ChatGPT data'!$I$3:$I$20000,'ChatGPT data'!$A$3:$A$20000,"&gt;="&amp;$A7,'ChatGPT data'!$A$3:$A$20000,"&lt;="&amp;EOMONTH($A7,0))</f>
        <v>0</v>
      </c>
      <c r="F7" s="14" t="n">
        <f aca="false">SUMIFS('LinkedIn data'!$I$3:$I$20000,'LinkedIn data'!$A$3:$A$20000,"&gt;="&amp;$A7,'LinkedIn data'!$A$3:$A$20000,"&lt;="&amp;EOMONTH($A7,0))</f>
        <v>0</v>
      </c>
      <c r="G7" s="15" t="n">
        <f aca="false">SUM(C7:F7)</f>
        <v>48500.057848</v>
      </c>
      <c r="H7" s="14" t="n">
        <f aca="false">C7*(Settings!$C$22="Yes")+D7*(Settings!$C$23="Yes")+E7*(Settings!$C$24="Yes")+F7*(Settings!$C$25="Yes")</f>
        <v>48500.057848</v>
      </c>
      <c r="I7" s="14" t="n">
        <f aca="false">Settings!$D$16*MAX(0,MIN(EOMONTH($A7,0),Settings!$C$11)-MAX($A7,Settings!$C$10)+1)/(Settings!$C$11-Settings!$C$10+1)</f>
        <v>25479.4520547945</v>
      </c>
      <c r="J7" s="14" t="n">
        <f aca="false">IF(EOMONTH($A7,0)&gt;Settings!$C$5,"",H7-I7)</f>
        <v>23020.6057932055</v>
      </c>
      <c r="K7" s="14" t="n">
        <f aca="false">IF($A7&gt;Settings!$C$5,"",SUM($H$5:H7))</f>
        <v>107468.589799</v>
      </c>
      <c r="L7" s="14" t="n">
        <f aca="false">SUM($I$5:I7)</f>
        <v>73972.602739726</v>
      </c>
      <c r="M7" s="44" t="n">
        <f aca="false">Settings!$D$17</f>
        <v>320000</v>
      </c>
      <c r="N7" s="20" t="n">
        <f aca="false">IF(OR(K7="",Settings!$D$16=0),"",K7/Settings!$D$16)</f>
        <v>0.358228632663333</v>
      </c>
      <c r="O7" s="29" t="str">
        <f aca="false">IF(EOMONTH($A7,0)&lt;=Settings!$C$5,"Complete",IF($A7&lt;=Settings!$C$5,"In progress","Not started"))</f>
        <v>Complete</v>
      </c>
      <c r="P7" s="14" t="n">
        <f aca="false">SUMIFS('Meta data'!$C$3:$C$20000,'Meta data'!$A$3:$A$20000,"&gt;="&amp;$A7,'Meta data'!$A$3:$A$20000,"&lt;="&amp;EOMONTH($A7,0))</f>
        <v>38386.84</v>
      </c>
      <c r="Q7" s="14" t="n">
        <f aca="false">SUMIFS('Google data'!$C$3:$C$20000,'Google data'!$A$3:$A$20000,"&gt;="&amp;$A7,'Google data'!$A$3:$A$20000,"&lt;="&amp;EOMONTH($A7,0))</f>
        <v>9048.24</v>
      </c>
      <c r="R7" s="45" t="n">
        <f aca="false">INDEX(Settings!$B$29:$B$40,MONTH(A7))</f>
        <v>1.1177</v>
      </c>
      <c r="S7" s="41" t="str">
        <f aca="false">TEXT(A7,"mmm")</f>
        <v>Mar</v>
      </c>
    </row>
    <row r="8" customFormat="false" ht="15" hidden="false" customHeight="false" outlineLevel="0" collapsed="false">
      <c r="A8" s="43" t="n">
        <f aca="false">DATE(Settings!$C$12,4,1)</f>
        <v>46113</v>
      </c>
      <c r="B8" s="22" t="str">
        <f aca="false">"Q"&amp;ROUNDUP(MONTH(A8)/3,0)</f>
        <v>Q2</v>
      </c>
      <c r="C8" s="14" t="n">
        <f aca="false">SUMIFS('Meta data'!$I$3:$I$20000,'Meta data'!$A$3:$A$20000,"&gt;="&amp;$A8,'Meta data'!$A$3:$A$20000,"&lt;="&amp;EOMONTH($A8,0))</f>
        <v>22241.56</v>
      </c>
      <c r="D8" s="14" t="n">
        <f aca="false">SUMIFS('Google data'!$I$3:$I$20000,'Google data'!$A$3:$A$20000,"&gt;="&amp;$A8,'Google data'!$A$3:$A$20000,"&lt;="&amp;EOMONTH($A8,0))</f>
        <v>9972.264701</v>
      </c>
      <c r="E8" s="14" t="n">
        <f aca="false">SUMIFS('ChatGPT data'!$I$3:$I$20000,'ChatGPT data'!$A$3:$A$20000,"&gt;="&amp;$A8,'ChatGPT data'!$A$3:$A$20000,"&lt;="&amp;EOMONTH($A8,0))</f>
        <v>0</v>
      </c>
      <c r="F8" s="14" t="n">
        <f aca="false">SUMIFS('LinkedIn data'!$I$3:$I$20000,'LinkedIn data'!$A$3:$A$20000,"&gt;="&amp;$A8,'LinkedIn data'!$A$3:$A$20000,"&lt;="&amp;EOMONTH($A8,0))</f>
        <v>0</v>
      </c>
      <c r="G8" s="15" t="n">
        <f aca="false">SUM(C8:F8)</f>
        <v>32213.824701</v>
      </c>
      <c r="H8" s="14" t="n">
        <f aca="false">C8*(Settings!$C$22="Yes")+D8*(Settings!$C$23="Yes")+E8*(Settings!$C$24="Yes")+F8*(Settings!$C$25="Yes")</f>
        <v>32213.824701</v>
      </c>
      <c r="I8" s="14" t="n">
        <f aca="false">Settings!$D$16*MAX(0,MIN(EOMONTH($A8,0),Settings!$C$11)-MAX($A8,Settings!$C$10)+1)/(Settings!$C$11-Settings!$C$10+1)</f>
        <v>24657.5342465753</v>
      </c>
      <c r="J8" s="14" t="n">
        <f aca="false">IF(EOMONTH($A8,0)&gt;Settings!$C$5,"",H8-I8)</f>
        <v>7556.29045442466</v>
      </c>
      <c r="K8" s="14" t="n">
        <f aca="false">IF($A8&gt;Settings!$C$5,"",SUM($H$5:H8))</f>
        <v>139682.4145</v>
      </c>
      <c r="L8" s="14" t="n">
        <f aca="false">SUM($I$5:I8)</f>
        <v>98630.1369863014</v>
      </c>
      <c r="M8" s="44" t="n">
        <f aca="false">Settings!$D$17</f>
        <v>320000</v>
      </c>
      <c r="N8" s="20" t="n">
        <f aca="false">IF(OR(K8="",Settings!$D$16=0),"",K8/Settings!$D$16)</f>
        <v>0.465608048333333</v>
      </c>
      <c r="O8" s="29" t="str">
        <f aca="false">IF(EOMONTH($A8,0)&lt;=Settings!$C$5,"Complete",IF($A8&lt;=Settings!$C$5,"In progress","Not started"))</f>
        <v>Complete</v>
      </c>
      <c r="P8" s="14" t="n">
        <f aca="false">SUMIFS('Meta data'!$C$3:$C$20000,'Meta data'!$A$3:$A$20000,"&gt;="&amp;$A8,'Meta data'!$A$3:$A$20000,"&lt;="&amp;EOMONTH($A8,0))</f>
        <v>22241.56</v>
      </c>
      <c r="Q8" s="14" t="n">
        <f aca="false">SUMIFS('Google data'!$C$3:$C$20000,'Google data'!$A$3:$A$20000,"&gt;="&amp;$A8,'Google data'!$A$3:$A$20000,"&lt;="&amp;EOMONTH($A8,0))</f>
        <v>8922.13</v>
      </c>
      <c r="R8" s="45" t="n">
        <f aca="false">INDEX(Settings!$B$29:$B$40,MONTH(A8))</f>
        <v>1.1177</v>
      </c>
      <c r="S8" s="41" t="str">
        <f aca="false">TEXT(A8,"mmm")</f>
        <v>Apr</v>
      </c>
    </row>
    <row r="9" customFormat="false" ht="15" hidden="false" customHeight="false" outlineLevel="0" collapsed="false">
      <c r="A9" s="43" t="n">
        <f aca="false">DATE(Settings!$C$12,5,1)</f>
        <v>46143</v>
      </c>
      <c r="B9" s="22" t="str">
        <f aca="false">"Q"&amp;ROUNDUP(MONTH(A9)/3,0)</f>
        <v>Q2</v>
      </c>
      <c r="C9" s="14" t="n">
        <f aca="false">SUMIFS('Meta data'!$I$3:$I$20000,'Meta data'!$A$3:$A$20000,"&gt;="&amp;$A9,'Meta data'!$A$3:$A$20000,"&lt;="&amp;EOMONTH($A9,0))</f>
        <v>22276.5</v>
      </c>
      <c r="D9" s="14" t="n">
        <f aca="false">SUMIFS('Google data'!$I$3:$I$20000,'Google data'!$A$3:$A$20000,"&gt;="&amp;$A9,'Google data'!$A$3:$A$20000,"&lt;="&amp;EOMONTH($A9,0))</f>
        <v>12063.637879</v>
      </c>
      <c r="E9" s="14" t="n">
        <f aca="false">SUMIFS('ChatGPT data'!$I$3:$I$20000,'ChatGPT data'!$A$3:$A$20000,"&gt;="&amp;$A9,'ChatGPT data'!$A$3:$A$20000,"&lt;="&amp;EOMONTH($A9,0))</f>
        <v>0</v>
      </c>
      <c r="F9" s="14" t="n">
        <f aca="false">SUMIFS('LinkedIn data'!$I$3:$I$20000,'LinkedIn data'!$A$3:$A$20000,"&gt;="&amp;$A9,'LinkedIn data'!$A$3:$A$20000,"&lt;="&amp;EOMONTH($A9,0))</f>
        <v>0</v>
      </c>
      <c r="G9" s="15" t="n">
        <f aca="false">SUM(C9:F9)</f>
        <v>34340.137879</v>
      </c>
      <c r="H9" s="14" t="n">
        <f aca="false">C9*(Settings!$C$22="Yes")+D9*(Settings!$C$23="Yes")+E9*(Settings!$C$24="Yes")+F9*(Settings!$C$25="Yes")</f>
        <v>34340.137879</v>
      </c>
      <c r="I9" s="14" t="n">
        <f aca="false">Settings!$D$16*MAX(0,MIN(EOMONTH($A9,0),Settings!$C$11)-MAX($A9,Settings!$C$10)+1)/(Settings!$C$11-Settings!$C$10+1)</f>
        <v>25479.4520547945</v>
      </c>
      <c r="J9" s="14" t="n">
        <f aca="false">IF(EOMONTH($A9,0)&gt;Settings!$C$5,"",H9-I9)</f>
        <v>8860.68582420548</v>
      </c>
      <c r="K9" s="14" t="n">
        <f aca="false">IF($A9&gt;Settings!$C$5,"",SUM($H$5:H9))</f>
        <v>174022.552379</v>
      </c>
      <c r="L9" s="14" t="n">
        <f aca="false">SUM($I$5:I9)</f>
        <v>124109.589041096</v>
      </c>
      <c r="M9" s="44" t="n">
        <f aca="false">Settings!$D$17</f>
        <v>320000</v>
      </c>
      <c r="N9" s="20" t="n">
        <f aca="false">IF(OR(K9="",Settings!$D$16=0),"",K9/Settings!$D$16)</f>
        <v>0.580075174596667</v>
      </c>
      <c r="O9" s="29" t="str">
        <f aca="false">IF(EOMONTH($A9,0)&lt;=Settings!$C$5,"Complete",IF($A9&lt;=Settings!$C$5,"In progress","Not started"))</f>
        <v>Complete</v>
      </c>
      <c r="P9" s="14" t="n">
        <f aca="false">SUMIFS('Meta data'!$C$3:$C$20000,'Meta data'!$A$3:$A$20000,"&gt;="&amp;$A9,'Meta data'!$A$3:$A$20000,"&lt;="&amp;EOMONTH($A9,0))</f>
        <v>22276.5</v>
      </c>
      <c r="Q9" s="14" t="n">
        <f aca="false">SUMIFS('Google data'!$C$3:$C$20000,'Google data'!$A$3:$A$20000,"&gt;="&amp;$A9,'Google data'!$A$3:$A$20000,"&lt;="&amp;EOMONTH($A9,0))</f>
        <v>10793.27</v>
      </c>
      <c r="R9" s="45" t="n">
        <f aca="false">INDEX(Settings!$B$29:$B$40,MONTH(A9))</f>
        <v>1.1177</v>
      </c>
      <c r="S9" s="41" t="str">
        <f aca="false">TEXT(A9,"mmm")</f>
        <v>May</v>
      </c>
    </row>
    <row r="10" customFormat="false" ht="15" hidden="false" customHeight="false" outlineLevel="0" collapsed="false">
      <c r="A10" s="43" t="n">
        <f aca="false">DATE(Settings!$C$12,6,1)</f>
        <v>46174</v>
      </c>
      <c r="B10" s="22" t="str">
        <f aca="false">"Q"&amp;ROUNDUP(MONTH(A10)/3,0)</f>
        <v>Q2</v>
      </c>
      <c r="C10" s="14" t="n">
        <f aca="false">SUMIFS('Meta data'!$I$3:$I$20000,'Meta data'!$A$3:$A$20000,"&gt;="&amp;$A10,'Meta data'!$A$3:$A$20000,"&lt;="&amp;EOMONTH($A10,0))</f>
        <v>17453.29</v>
      </c>
      <c r="D10" s="14" t="n">
        <f aca="false">SUMIFS('Google data'!$I$3:$I$20000,'Google data'!$A$3:$A$20000,"&gt;="&amp;$A10,'Google data'!$A$3:$A$20000,"&lt;="&amp;EOMONTH($A10,0))</f>
        <v>13956.373413</v>
      </c>
      <c r="E10" s="14" t="n">
        <f aca="false">SUMIFS('ChatGPT data'!$I$3:$I$20000,'ChatGPT data'!$A$3:$A$20000,"&gt;="&amp;$A10,'ChatGPT data'!$A$3:$A$20000,"&lt;="&amp;EOMONTH($A10,0))</f>
        <v>0</v>
      </c>
      <c r="F10" s="14" t="n">
        <f aca="false">SUMIFS('LinkedIn data'!$I$3:$I$20000,'LinkedIn data'!$A$3:$A$20000,"&gt;="&amp;$A10,'LinkedIn data'!$A$3:$A$20000,"&lt;="&amp;EOMONTH($A10,0))</f>
        <v>0</v>
      </c>
      <c r="G10" s="15" t="n">
        <f aca="false">SUM(C10:F10)</f>
        <v>31409.663413</v>
      </c>
      <c r="H10" s="14" t="n">
        <f aca="false">C10*(Settings!$C$22="Yes")+D10*(Settings!$C$23="Yes")+E10*(Settings!$C$24="Yes")+F10*(Settings!$C$25="Yes")</f>
        <v>31409.663413</v>
      </c>
      <c r="I10" s="14" t="n">
        <f aca="false">Settings!$D$16*MAX(0,MIN(EOMONTH($A10,0),Settings!$C$11)-MAX($A10,Settings!$C$10)+1)/(Settings!$C$11-Settings!$C$10+1)</f>
        <v>24657.5342465753</v>
      </c>
      <c r="J10" s="14" t="n">
        <f aca="false">IF(EOMONTH($A10,0)&gt;Settings!$C$5,"",H10-I10)</f>
        <v>6752.12916642466</v>
      </c>
      <c r="K10" s="14" t="n">
        <f aca="false">IF($A10&gt;Settings!$C$5,"",SUM($H$5:H10))</f>
        <v>205432.215792</v>
      </c>
      <c r="L10" s="14" t="n">
        <f aca="false">SUM($I$5:I10)</f>
        <v>148767.123287671</v>
      </c>
      <c r="M10" s="44" t="n">
        <f aca="false">Settings!$D$17</f>
        <v>320000</v>
      </c>
      <c r="N10" s="20" t="n">
        <f aca="false">IF(OR(K10="",Settings!$D$16=0),"",K10/Settings!$D$16)</f>
        <v>0.68477405264</v>
      </c>
      <c r="O10" s="29" t="str">
        <f aca="false">IF(EOMONTH($A10,0)&lt;=Settings!$C$5,"Complete",IF($A10&lt;=Settings!$C$5,"In progress","Not started"))</f>
        <v>Complete</v>
      </c>
      <c r="P10" s="14" t="n">
        <f aca="false">SUMIFS('Meta data'!$C$3:$C$20000,'Meta data'!$A$3:$A$20000,"&gt;="&amp;$A10,'Meta data'!$A$3:$A$20000,"&lt;="&amp;EOMONTH($A10,0))</f>
        <v>17453.29</v>
      </c>
      <c r="Q10" s="14" t="n">
        <f aca="false">SUMIFS('Google data'!$C$3:$C$20000,'Google data'!$A$3:$A$20000,"&gt;="&amp;$A10,'Google data'!$A$3:$A$20000,"&lt;="&amp;EOMONTH($A10,0))</f>
        <v>12486.69</v>
      </c>
      <c r="R10" s="45" t="n">
        <f aca="false">INDEX(Settings!$B$29:$B$40,MONTH(A10))</f>
        <v>1.1177</v>
      </c>
      <c r="S10" s="41" t="str">
        <f aca="false">TEXT(A10,"mmm")</f>
        <v>Jun</v>
      </c>
    </row>
    <row r="11" customFormat="false" ht="15" hidden="false" customHeight="false" outlineLevel="0" collapsed="false">
      <c r="A11" s="43" t="n">
        <f aca="false">DATE(Settings!$C$12,7,1)</f>
        <v>46204</v>
      </c>
      <c r="B11" s="22" t="str">
        <f aca="false">"Q"&amp;ROUNDUP(MONTH(A11)/3,0)</f>
        <v>Q3</v>
      </c>
      <c r="C11" s="14" t="n">
        <f aca="false">SUMIFS('Meta data'!$I$3:$I$20000,'Meta data'!$A$3:$A$20000,"&gt;="&amp;$A11,'Meta data'!$A$3:$A$20000,"&lt;="&amp;EOMONTH($A11,0))</f>
        <v>18956.66</v>
      </c>
      <c r="D11" s="14" t="n">
        <f aca="false">SUMIFS('Google data'!$I$3:$I$20000,'Google data'!$A$3:$A$20000,"&gt;="&amp;$A11,'Google data'!$A$3:$A$20000,"&lt;="&amp;EOMONTH($A11,0))</f>
        <v>13148.198074</v>
      </c>
      <c r="E11" s="14" t="n">
        <f aca="false">SUMIFS('ChatGPT data'!$I$3:$I$20000,'ChatGPT data'!$A$3:$A$20000,"&gt;="&amp;$A11,'ChatGPT data'!$A$3:$A$20000,"&lt;="&amp;EOMONTH($A11,0))</f>
        <v>0</v>
      </c>
      <c r="F11" s="14" t="n">
        <f aca="false">SUMIFS('LinkedIn data'!$I$3:$I$20000,'LinkedIn data'!$A$3:$A$20000,"&gt;="&amp;$A11,'LinkedIn data'!$A$3:$A$20000,"&lt;="&amp;EOMONTH($A11,0))</f>
        <v>0</v>
      </c>
      <c r="G11" s="15" t="n">
        <f aca="false">SUM(C11:F11)</f>
        <v>32104.858074</v>
      </c>
      <c r="H11" s="14" t="n">
        <f aca="false">C11*(Settings!$C$22="Yes")+D11*(Settings!$C$23="Yes")+E11*(Settings!$C$24="Yes")+F11*(Settings!$C$25="Yes")</f>
        <v>32104.858074</v>
      </c>
      <c r="I11" s="14" t="n">
        <f aca="false">Settings!$D$16*MAX(0,MIN(EOMONTH($A11,0),Settings!$C$11)-MAX($A11,Settings!$C$10)+1)/(Settings!$C$11-Settings!$C$10+1)</f>
        <v>25479.4520547945</v>
      </c>
      <c r="J11" s="14" t="n">
        <f aca="false">IF(EOMONTH($A11,0)&gt;Settings!$C$5,"",H11-I11)</f>
        <v>6625.40601920548</v>
      </c>
      <c r="K11" s="14" t="n">
        <f aca="false">IF($A11&gt;Settings!$C$5,"",SUM($H$5:H11))</f>
        <v>237537.073866</v>
      </c>
      <c r="L11" s="14" t="n">
        <f aca="false">SUM($I$5:I11)</f>
        <v>174246.575342466</v>
      </c>
      <c r="M11" s="44" t="n">
        <f aca="false">Settings!$D$17</f>
        <v>320000</v>
      </c>
      <c r="N11" s="20" t="n">
        <f aca="false">IF(OR(K11="",Settings!$D$16=0),"",K11/Settings!$D$16)</f>
        <v>0.79179024622</v>
      </c>
      <c r="O11" s="29" t="str">
        <f aca="false">IF(EOMONTH($A11,0)&lt;=Settings!$C$5,"Complete",IF($A11&lt;=Settings!$C$5,"In progress","Not started"))</f>
        <v>Complete</v>
      </c>
      <c r="P11" s="14" t="n">
        <f aca="false">SUMIFS('Meta data'!$C$3:$C$20000,'Meta data'!$A$3:$A$20000,"&gt;="&amp;$A11,'Meta data'!$A$3:$A$20000,"&lt;="&amp;EOMONTH($A11,0))</f>
        <v>18956.66</v>
      </c>
      <c r="Q11" s="14" t="n">
        <f aca="false">SUMIFS('Google data'!$C$3:$C$20000,'Google data'!$A$3:$A$20000,"&gt;="&amp;$A11,'Google data'!$A$3:$A$20000,"&lt;="&amp;EOMONTH($A11,0))</f>
        <v>11763.62</v>
      </c>
      <c r="R11" s="45" t="n">
        <f aca="false">INDEX(Settings!$B$29:$B$40,MONTH(A11))</f>
        <v>1.1177</v>
      </c>
      <c r="S11" s="41" t="str">
        <f aca="false">TEXT(A11,"mmm")</f>
        <v>Jul</v>
      </c>
    </row>
    <row r="12" customFormat="false" ht="15" hidden="false" customHeight="false" outlineLevel="0" collapsed="false">
      <c r="A12" s="43" t="n">
        <f aca="false">DATE(Settings!$C$12,8,1)</f>
        <v>46235</v>
      </c>
      <c r="B12" s="22" t="str">
        <f aca="false">"Q"&amp;ROUNDUP(MONTH(A12)/3,0)</f>
        <v>Q3</v>
      </c>
      <c r="C12" s="14" t="n">
        <f aca="false">SUMIFS('Meta data'!$I$3:$I$20000,'Meta data'!$A$3:$A$20000,"&gt;="&amp;$A12,'Meta data'!$A$3:$A$20000,"&lt;="&amp;EOMONTH($A12,0))</f>
        <v>10643.94</v>
      </c>
      <c r="D12" s="14" t="n">
        <f aca="false">SUMIFS('Google data'!$I$3:$I$20000,'Google data'!$A$3:$A$20000,"&gt;="&amp;$A12,'Google data'!$A$3:$A$20000,"&lt;="&amp;EOMONTH($A12,0))</f>
        <v>12246.583015</v>
      </c>
      <c r="E12" s="14" t="n">
        <f aca="false">SUMIFS('ChatGPT data'!$I$3:$I$20000,'ChatGPT data'!$A$3:$A$20000,"&gt;="&amp;$A12,'ChatGPT data'!$A$3:$A$20000,"&lt;="&amp;EOMONTH($A12,0))</f>
        <v>0</v>
      </c>
      <c r="F12" s="14" t="n">
        <f aca="false">SUMIFS('LinkedIn data'!$I$3:$I$20000,'LinkedIn data'!$A$3:$A$20000,"&gt;="&amp;$A12,'LinkedIn data'!$A$3:$A$20000,"&lt;="&amp;EOMONTH($A12,0))</f>
        <v>0</v>
      </c>
      <c r="G12" s="15" t="n">
        <f aca="false">SUM(C12:F12)</f>
        <v>22890.523015</v>
      </c>
      <c r="H12" s="14" t="n">
        <f aca="false">C12*(Settings!$C$22="Yes")+D12*(Settings!$C$23="Yes")+E12*(Settings!$C$24="Yes")+F12*(Settings!$C$25="Yes")</f>
        <v>22890.523015</v>
      </c>
      <c r="I12" s="14" t="n">
        <f aca="false">Settings!$D$16*MAX(0,MIN(EOMONTH($A12,0),Settings!$C$11)-MAX($A12,Settings!$C$10)+1)/(Settings!$C$11-Settings!$C$10+1)</f>
        <v>25479.4520547945</v>
      </c>
      <c r="J12" s="14" t="n">
        <f aca="false">IF(EOMONTH($A12,0)&gt;Settings!$C$5,"",H12-I12)</f>
        <v>-2588.92903979452</v>
      </c>
      <c r="K12" s="14" t="n">
        <f aca="false">IF($A12&gt;Settings!$C$5,"",SUM($H$5:H12))</f>
        <v>260427.596881</v>
      </c>
      <c r="L12" s="14" t="n">
        <f aca="false">SUM($I$5:I12)</f>
        <v>199726.02739726</v>
      </c>
      <c r="M12" s="44" t="n">
        <f aca="false">Settings!$D$17</f>
        <v>320000</v>
      </c>
      <c r="N12" s="20" t="n">
        <f aca="false">IF(OR(K12="",Settings!$D$16=0),"",K12/Settings!$D$16)</f>
        <v>0.868091989603333</v>
      </c>
      <c r="O12" s="29" t="str">
        <f aca="false">IF(EOMONTH($A12,0)&lt;=Settings!$C$5,"Complete",IF($A12&lt;=Settings!$C$5,"In progress","Not started"))</f>
        <v>Complete</v>
      </c>
      <c r="P12" s="14" t="n">
        <f aca="false">SUMIFS('Meta data'!$C$3:$C$20000,'Meta data'!$A$3:$A$20000,"&gt;="&amp;$A12,'Meta data'!$A$3:$A$20000,"&lt;="&amp;EOMONTH($A12,0))</f>
        <v>10643.94</v>
      </c>
      <c r="Q12" s="14" t="n">
        <f aca="false">SUMIFS('Google data'!$C$3:$C$20000,'Google data'!$A$3:$A$20000,"&gt;="&amp;$A12,'Google data'!$A$3:$A$20000,"&lt;="&amp;EOMONTH($A12,0))</f>
        <v>10956.95</v>
      </c>
      <c r="R12" s="45" t="n">
        <f aca="false">INDEX(Settings!$B$29:$B$40,MONTH(A12))</f>
        <v>1.1177</v>
      </c>
      <c r="S12" s="41" t="str">
        <f aca="false">TEXT(A12,"mmm")</f>
        <v>Aug</v>
      </c>
    </row>
    <row r="13" customFormat="false" ht="15" hidden="false" customHeight="false" outlineLevel="0" collapsed="false">
      <c r="A13" s="43" t="n">
        <f aca="false">DATE(Settings!$C$12,9,1)</f>
        <v>46266</v>
      </c>
      <c r="B13" s="22" t="str">
        <f aca="false">"Q"&amp;ROUNDUP(MONTH(A13)/3,0)</f>
        <v>Q3</v>
      </c>
      <c r="C13" s="14" t="n">
        <f aca="false">SUMIFS('Meta data'!$I$3:$I$20000,'Meta data'!$A$3:$A$20000,"&gt;="&amp;$A13,'Meta data'!$A$3:$A$20000,"&lt;="&amp;EOMONTH($A13,0))</f>
        <v>11062.98</v>
      </c>
      <c r="D13" s="14" t="n">
        <f aca="false">SUMIFS('Google data'!$I$3:$I$20000,'Google data'!$A$3:$A$20000,"&gt;="&amp;$A13,'Google data'!$A$3:$A$20000,"&lt;="&amp;EOMONTH($A13,0))</f>
        <v>6854.228188</v>
      </c>
      <c r="E13" s="14" t="n">
        <f aca="false">SUMIFS('ChatGPT data'!$I$3:$I$20000,'ChatGPT data'!$A$3:$A$20000,"&gt;="&amp;$A13,'ChatGPT data'!$A$3:$A$20000,"&lt;="&amp;EOMONTH($A13,0))</f>
        <v>256.579212</v>
      </c>
      <c r="F13" s="14" t="n">
        <f aca="false">SUMIFS('LinkedIn data'!$I$3:$I$20000,'LinkedIn data'!$A$3:$A$20000,"&gt;="&amp;$A13,'LinkedIn data'!$A$3:$A$20000,"&lt;="&amp;EOMONTH($A13,0))</f>
        <v>0</v>
      </c>
      <c r="G13" s="15" t="n">
        <f aca="false">SUM(C13:F13)</f>
        <v>18173.7874</v>
      </c>
      <c r="H13" s="14" t="n">
        <f aca="false">C13*(Settings!$C$22="Yes")+D13*(Settings!$C$23="Yes")+E13*(Settings!$C$24="Yes")+F13*(Settings!$C$25="Yes")</f>
        <v>18173.7874</v>
      </c>
      <c r="I13" s="14" t="n">
        <f aca="false">Settings!$D$16*MAX(0,MIN(EOMONTH($A13,0),Settings!$C$11)-MAX($A13,Settings!$C$10)+1)/(Settings!$C$11-Settings!$C$10+1)</f>
        <v>24657.5342465753</v>
      </c>
      <c r="J13" s="14" t="n">
        <f aca="false">IF(EOMONTH($A13,0)&gt;Settings!$C$5,"",H13-I13)</f>
        <v>-6483.74684657534</v>
      </c>
      <c r="K13" s="14" t="n">
        <f aca="false">IF($A13&gt;Settings!$C$5,"",SUM($H$5:H13))</f>
        <v>278601.384281</v>
      </c>
      <c r="L13" s="14" t="n">
        <f aca="false">SUM($I$5:I13)</f>
        <v>224383.561643836</v>
      </c>
      <c r="M13" s="44" t="n">
        <f aca="false">Settings!$D$17</f>
        <v>320000</v>
      </c>
      <c r="N13" s="20" t="n">
        <f aca="false">IF(OR(K13="",Settings!$D$16=0),"",K13/Settings!$D$16)</f>
        <v>0.928671280936667</v>
      </c>
      <c r="O13" s="29" t="str">
        <f aca="false">IF(EOMONTH($A13,0)&lt;=Settings!$C$5,"Complete",IF($A13&lt;=Settings!$C$5,"In progress","Not started"))</f>
        <v>Complete</v>
      </c>
      <c r="P13" s="14" t="n">
        <f aca="false">SUMIFS('Meta data'!$C$3:$C$20000,'Meta data'!$A$3:$A$20000,"&gt;="&amp;$A13,'Meta data'!$A$3:$A$20000,"&lt;="&amp;EOMONTH($A13,0))</f>
        <v>11062.98</v>
      </c>
      <c r="Q13" s="14" t="n">
        <f aca="false">SUMIFS('Google data'!$C$3:$C$20000,'Google data'!$A$3:$A$20000,"&gt;="&amp;$A13,'Google data'!$A$3:$A$20000,"&lt;="&amp;EOMONTH($A13,0))</f>
        <v>6132.44</v>
      </c>
      <c r="R13" s="45" t="n">
        <f aca="false">INDEX(Settings!$B$29:$B$40,MONTH(A13))</f>
        <v>1.1177</v>
      </c>
      <c r="S13" s="41" t="str">
        <f aca="false">TEXT(A13,"mmm")</f>
        <v>Sep</v>
      </c>
    </row>
    <row r="14" customFormat="false" ht="15" hidden="false" customHeight="false" outlineLevel="0" collapsed="false">
      <c r="A14" s="43" t="n">
        <f aca="false">DATE(Settings!$C$12,10,1)</f>
        <v>46296</v>
      </c>
      <c r="B14" s="22" t="str">
        <f aca="false">"Q"&amp;ROUNDUP(MONTH(A14)/3,0)</f>
        <v>Q4</v>
      </c>
      <c r="C14" s="14" t="n">
        <f aca="false">SUMIFS('Meta data'!$I$3:$I$20000,'Meta data'!$A$3:$A$20000,"&gt;="&amp;$A14,'Meta data'!$A$3:$A$20000,"&lt;="&amp;EOMONTH($A14,0))</f>
        <v>0</v>
      </c>
      <c r="D14" s="14" t="n">
        <f aca="false">SUMIFS('Google data'!$I$3:$I$20000,'Google data'!$A$3:$A$20000,"&gt;="&amp;$A14,'Google data'!$A$3:$A$20000,"&lt;="&amp;EOMONTH($A14,0))</f>
        <v>0</v>
      </c>
      <c r="E14" s="14" t="n">
        <f aca="false">SUMIFS('ChatGPT data'!$I$3:$I$20000,'ChatGPT data'!$A$3:$A$20000,"&gt;="&amp;$A14,'ChatGPT data'!$A$3:$A$20000,"&lt;="&amp;EOMONTH($A14,0))</f>
        <v>0</v>
      </c>
      <c r="F14" s="14" t="n">
        <f aca="false">SUMIFS('LinkedIn data'!$I$3:$I$20000,'LinkedIn data'!$A$3:$A$20000,"&gt;="&amp;$A14,'LinkedIn data'!$A$3:$A$20000,"&lt;="&amp;EOMONTH($A14,0))</f>
        <v>0</v>
      </c>
      <c r="G14" s="15" t="n">
        <f aca="false">SUM(C14:F14)</f>
        <v>0</v>
      </c>
      <c r="H14" s="14" t="n">
        <f aca="false">C14*(Settings!$C$22="Yes")+D14*(Settings!$C$23="Yes")+E14*(Settings!$C$24="Yes")+F14*(Settings!$C$25="Yes")</f>
        <v>0</v>
      </c>
      <c r="I14" s="14" t="n">
        <f aca="false">Settings!$D$16*MAX(0,MIN(EOMONTH($A14,0),Settings!$C$11)-MAX($A14,Settings!$C$10)+1)/(Settings!$C$11-Settings!$C$10+1)</f>
        <v>25479.4520547945</v>
      </c>
      <c r="J14" s="14" t="str">
        <f aca="false">IF(EOMONTH($A14,0)&gt;Settings!$C$5,"",H14-I14)</f>
        <v/>
      </c>
      <c r="K14" s="14" t="str">
        <f aca="false">IF($A14&gt;Settings!$C$5,"",SUM($H$5:H14))</f>
        <v/>
      </c>
      <c r="L14" s="14" t="n">
        <f aca="false">SUM($I$5:I14)</f>
        <v>249863.01369863</v>
      </c>
      <c r="M14" s="44" t="n">
        <f aca="false">Settings!$D$17</f>
        <v>320000</v>
      </c>
      <c r="N14" s="20" t="str">
        <f aca="false">IF(OR(K14="",Settings!$D$16=0),"",K14/Settings!$D$16)</f>
        <v/>
      </c>
      <c r="O14" s="29" t="str">
        <f aca="false">IF(EOMONTH($A14,0)&lt;=Settings!$C$5,"Complete",IF($A14&lt;=Settings!$C$5,"In progress","Not started"))</f>
        <v>Not started</v>
      </c>
      <c r="P14" s="14" t="n">
        <f aca="false">SUMIFS('Meta data'!$C$3:$C$20000,'Meta data'!$A$3:$A$20000,"&gt;="&amp;$A14,'Meta data'!$A$3:$A$20000,"&lt;="&amp;EOMONTH($A14,0))</f>
        <v>0</v>
      </c>
      <c r="Q14" s="14" t="n">
        <f aca="false">SUMIFS('Google data'!$C$3:$C$20000,'Google data'!$A$3:$A$20000,"&gt;="&amp;$A14,'Google data'!$A$3:$A$20000,"&lt;="&amp;EOMONTH($A14,0))</f>
        <v>0</v>
      </c>
      <c r="R14" s="45" t="n">
        <f aca="false">INDEX(Settings!$B$29:$B$40,MONTH(A14))</f>
        <v>1.1177</v>
      </c>
      <c r="S14" s="41" t="str">
        <f aca="false">TEXT(A14,"mmm")</f>
        <v>Oct</v>
      </c>
    </row>
    <row r="15" customFormat="false" ht="15" hidden="false" customHeight="false" outlineLevel="0" collapsed="false">
      <c r="A15" s="43" t="n">
        <f aca="false">DATE(Settings!$C$12,11,1)</f>
        <v>46327</v>
      </c>
      <c r="B15" s="22" t="str">
        <f aca="false">"Q"&amp;ROUNDUP(MONTH(A15)/3,0)</f>
        <v>Q4</v>
      </c>
      <c r="C15" s="14" t="n">
        <f aca="false">SUMIFS('Meta data'!$I$3:$I$20000,'Meta data'!$A$3:$A$20000,"&gt;="&amp;$A15,'Meta data'!$A$3:$A$20000,"&lt;="&amp;EOMONTH($A15,0))</f>
        <v>0</v>
      </c>
      <c r="D15" s="14" t="n">
        <f aca="false">SUMIFS('Google data'!$I$3:$I$20000,'Google data'!$A$3:$A$20000,"&gt;="&amp;$A15,'Google data'!$A$3:$A$20000,"&lt;="&amp;EOMONTH($A15,0))</f>
        <v>0</v>
      </c>
      <c r="E15" s="14" t="n">
        <f aca="false">SUMIFS('ChatGPT data'!$I$3:$I$20000,'ChatGPT data'!$A$3:$A$20000,"&gt;="&amp;$A15,'ChatGPT data'!$A$3:$A$20000,"&lt;="&amp;EOMONTH($A15,0))</f>
        <v>0</v>
      </c>
      <c r="F15" s="14" t="n">
        <f aca="false">SUMIFS('LinkedIn data'!$I$3:$I$20000,'LinkedIn data'!$A$3:$A$20000,"&gt;="&amp;$A15,'LinkedIn data'!$A$3:$A$20000,"&lt;="&amp;EOMONTH($A15,0))</f>
        <v>0</v>
      </c>
      <c r="G15" s="15" t="n">
        <f aca="false">SUM(C15:F15)</f>
        <v>0</v>
      </c>
      <c r="H15" s="14" t="n">
        <f aca="false">C15*(Settings!$C$22="Yes")+D15*(Settings!$C$23="Yes")+E15*(Settings!$C$24="Yes")+F15*(Settings!$C$25="Yes")</f>
        <v>0</v>
      </c>
      <c r="I15" s="14" t="n">
        <f aca="false">Settings!$D$16*MAX(0,MIN(EOMONTH($A15,0),Settings!$C$11)-MAX($A15,Settings!$C$10)+1)/(Settings!$C$11-Settings!$C$10+1)</f>
        <v>24657.5342465753</v>
      </c>
      <c r="J15" s="14" t="str">
        <f aca="false">IF(EOMONTH($A15,0)&gt;Settings!$C$5,"",H15-I15)</f>
        <v/>
      </c>
      <c r="K15" s="14" t="str">
        <f aca="false">IF($A15&gt;Settings!$C$5,"",SUM($H$5:H15))</f>
        <v/>
      </c>
      <c r="L15" s="14" t="n">
        <f aca="false">SUM($I$5:I15)</f>
        <v>274520.547945206</v>
      </c>
      <c r="M15" s="44" t="n">
        <f aca="false">Settings!$D$17</f>
        <v>320000</v>
      </c>
      <c r="N15" s="20" t="str">
        <f aca="false">IF(OR(K15="",Settings!$D$16=0),"",K15/Settings!$D$16)</f>
        <v/>
      </c>
      <c r="O15" s="29" t="str">
        <f aca="false">IF(EOMONTH($A15,0)&lt;=Settings!$C$5,"Complete",IF($A15&lt;=Settings!$C$5,"In progress","Not started"))</f>
        <v>Not started</v>
      </c>
      <c r="P15" s="14" t="n">
        <f aca="false">SUMIFS('Meta data'!$C$3:$C$20000,'Meta data'!$A$3:$A$20000,"&gt;="&amp;$A15,'Meta data'!$A$3:$A$20000,"&lt;="&amp;EOMONTH($A15,0))</f>
        <v>0</v>
      </c>
      <c r="Q15" s="14" t="n">
        <f aca="false">SUMIFS('Google data'!$C$3:$C$20000,'Google data'!$A$3:$A$20000,"&gt;="&amp;$A15,'Google data'!$A$3:$A$20000,"&lt;="&amp;EOMONTH($A15,0))</f>
        <v>0</v>
      </c>
      <c r="R15" s="45" t="n">
        <f aca="false">INDEX(Settings!$B$29:$B$40,MONTH(A15))</f>
        <v>1.1177</v>
      </c>
      <c r="S15" s="41" t="str">
        <f aca="false">TEXT(A15,"mmm")</f>
        <v>Nov</v>
      </c>
    </row>
    <row r="16" customFormat="false" ht="15" hidden="false" customHeight="false" outlineLevel="0" collapsed="false">
      <c r="A16" s="43" t="n">
        <f aca="false">DATE(Settings!$C$12,12,1)</f>
        <v>46357</v>
      </c>
      <c r="B16" s="22" t="str">
        <f aca="false">"Q"&amp;ROUNDUP(MONTH(A16)/3,0)</f>
        <v>Q4</v>
      </c>
      <c r="C16" s="14" t="n">
        <f aca="false">SUMIFS('Meta data'!$I$3:$I$20000,'Meta data'!$A$3:$A$20000,"&gt;="&amp;$A16,'Meta data'!$A$3:$A$20000,"&lt;="&amp;EOMONTH($A16,0))</f>
        <v>0</v>
      </c>
      <c r="D16" s="14" t="n">
        <f aca="false">SUMIFS('Google data'!$I$3:$I$20000,'Google data'!$A$3:$A$20000,"&gt;="&amp;$A16,'Google data'!$A$3:$A$20000,"&lt;="&amp;EOMONTH($A16,0))</f>
        <v>0</v>
      </c>
      <c r="E16" s="14" t="n">
        <f aca="false">SUMIFS('ChatGPT data'!$I$3:$I$20000,'ChatGPT data'!$A$3:$A$20000,"&gt;="&amp;$A16,'ChatGPT data'!$A$3:$A$20000,"&lt;="&amp;EOMONTH($A16,0))</f>
        <v>0</v>
      </c>
      <c r="F16" s="14" t="n">
        <f aca="false">SUMIFS('LinkedIn data'!$I$3:$I$20000,'LinkedIn data'!$A$3:$A$20000,"&gt;="&amp;$A16,'LinkedIn data'!$A$3:$A$20000,"&lt;="&amp;EOMONTH($A16,0))</f>
        <v>0</v>
      </c>
      <c r="G16" s="15" t="n">
        <f aca="false">SUM(C16:F16)</f>
        <v>0</v>
      </c>
      <c r="H16" s="14" t="n">
        <f aca="false">C16*(Settings!$C$22="Yes")+D16*(Settings!$C$23="Yes")+E16*(Settings!$C$24="Yes")+F16*(Settings!$C$25="Yes")</f>
        <v>0</v>
      </c>
      <c r="I16" s="14" t="n">
        <f aca="false">Settings!$D$16*MAX(0,MIN(EOMONTH($A16,0),Settings!$C$11)-MAX($A16,Settings!$C$10)+1)/(Settings!$C$11-Settings!$C$10+1)</f>
        <v>25479.4520547945</v>
      </c>
      <c r="J16" s="14" t="str">
        <f aca="false">IF(EOMONTH($A16,0)&gt;Settings!$C$5,"",H16-I16)</f>
        <v/>
      </c>
      <c r="K16" s="14" t="str">
        <f aca="false">IF($A16&gt;Settings!$C$5,"",SUM($H$5:H16))</f>
        <v/>
      </c>
      <c r="L16" s="14" t="n">
        <f aca="false">SUM($I$5:I16)</f>
        <v>300000</v>
      </c>
      <c r="M16" s="44" t="n">
        <f aca="false">Settings!$D$17</f>
        <v>320000</v>
      </c>
      <c r="N16" s="20" t="str">
        <f aca="false">IF(OR(K16="",Settings!$D$16=0),"",K16/Settings!$D$16)</f>
        <v/>
      </c>
      <c r="O16" s="29" t="str">
        <f aca="false">IF(EOMONTH($A16,0)&lt;=Settings!$C$5,"Complete",IF($A16&lt;=Settings!$C$5,"In progress","Not started"))</f>
        <v>Not started</v>
      </c>
      <c r="P16" s="14" t="n">
        <f aca="false">SUMIFS('Meta data'!$C$3:$C$20000,'Meta data'!$A$3:$A$20000,"&gt;="&amp;$A16,'Meta data'!$A$3:$A$20000,"&lt;="&amp;EOMONTH($A16,0))</f>
        <v>0</v>
      </c>
      <c r="Q16" s="14" t="n">
        <f aca="false">SUMIFS('Google data'!$C$3:$C$20000,'Google data'!$A$3:$A$20000,"&gt;="&amp;$A16,'Google data'!$A$3:$A$20000,"&lt;="&amp;EOMONTH($A16,0))</f>
        <v>0</v>
      </c>
      <c r="R16" s="45" t="n">
        <f aca="false">INDEX(Settings!$B$29:$B$40,MONTH(A16))</f>
        <v>1.1177</v>
      </c>
      <c r="S16" s="41" t="str">
        <f aca="false">TEXT(A16,"mmm")</f>
        <v>Dec</v>
      </c>
    </row>
    <row r="17" customFormat="false" ht="15" hidden="false" customHeight="false" outlineLevel="0" collapsed="false">
      <c r="A17" s="24" t="s">
        <v>32</v>
      </c>
      <c r="B17" s="27"/>
      <c r="C17" s="30" t="n">
        <f aca="false">SUM(C5:C16)</f>
        <v>178067.03</v>
      </c>
      <c r="D17" s="30" t="n">
        <f aca="false">SUM(D5:D16)</f>
        <v>100277.775069</v>
      </c>
      <c r="E17" s="30" t="n">
        <f aca="false">SUM(E5:E16)</f>
        <v>256.579212</v>
      </c>
      <c r="F17" s="30" t="n">
        <f aca="false">SUM(F5:F16)</f>
        <v>0</v>
      </c>
      <c r="G17" s="30" t="n">
        <f aca="false">SUM(G5:G16)</f>
        <v>278601.384281</v>
      </c>
      <c r="H17" s="30" t="n">
        <f aca="false">SUM(H5:H16)</f>
        <v>278601.384281</v>
      </c>
      <c r="I17" s="30" t="n">
        <f aca="false">SUM(I5:I16)</f>
        <v>300000</v>
      </c>
      <c r="J17" s="30" t="n">
        <f aca="false">SUM(J5:J16)</f>
        <v>54217.8226371644</v>
      </c>
      <c r="K17" s="27"/>
      <c r="L17" s="27"/>
      <c r="M17" s="27"/>
      <c r="N17" s="27"/>
      <c r="O17" s="27"/>
      <c r="P17" s="30" t="n">
        <f aca="false">SUM(P5:P16)</f>
        <v>178067.03</v>
      </c>
      <c r="Q17" s="30" t="n">
        <f aca="false">SUM(Q5:Q16)</f>
        <v>89717.97</v>
      </c>
      <c r="R17" s="27"/>
      <c r="S17" s="27"/>
    </row>
    <row r="18" customFormat="false" ht="15" hidden="false" customHeight="false" outlineLevel="0" collapsed="false">
      <c r="A18" s="28" t="s">
        <v>112</v>
      </c>
    </row>
    <row r="21" customFormat="false" ht="15" hidden="false" customHeight="false" outlineLevel="0" collapsed="false">
      <c r="A21" s="10" t="s">
        <v>113</v>
      </c>
      <c r="B21" s="11"/>
      <c r="C21" s="11"/>
      <c r="D21" s="11"/>
      <c r="E21" s="11"/>
      <c r="F21" s="11"/>
      <c r="G21" s="11"/>
      <c r="H21" s="11"/>
      <c r="I21" s="11"/>
      <c r="J21" s="11"/>
      <c r="K21" s="11"/>
      <c r="L21" s="11"/>
      <c r="M21" s="11"/>
      <c r="N21" s="11"/>
      <c r="O21" s="11"/>
    </row>
    <row r="22" customFormat="false" ht="15" hidden="false" customHeight="false" outlineLevel="0" collapsed="false">
      <c r="A22" s="46"/>
      <c r="B22" s="47" t="s">
        <v>19</v>
      </c>
      <c r="C22" s="47"/>
      <c r="D22" s="47"/>
      <c r="E22" s="47"/>
      <c r="F22" s="47" t="s">
        <v>20</v>
      </c>
      <c r="G22" s="47"/>
      <c r="H22" s="47"/>
      <c r="I22" s="47"/>
      <c r="J22" s="47" t="s">
        <v>21</v>
      </c>
      <c r="K22" s="47"/>
      <c r="L22" s="47"/>
      <c r="M22" s="47"/>
    </row>
    <row r="23" customFormat="false" ht="30" hidden="false" customHeight="true" outlineLevel="0" collapsed="false">
      <c r="A23" s="48" t="s">
        <v>104</v>
      </c>
      <c r="B23" s="12" t="s">
        <v>114</v>
      </c>
      <c r="C23" s="12" t="s">
        <v>115</v>
      </c>
      <c r="D23" s="12" t="s">
        <v>116</v>
      </c>
      <c r="E23" s="12" t="s">
        <v>117</v>
      </c>
      <c r="F23" s="12" t="s">
        <v>114</v>
      </c>
      <c r="G23" s="12" t="s">
        <v>115</v>
      </c>
      <c r="H23" s="12" t="s">
        <v>116</v>
      </c>
      <c r="I23" s="12" t="s">
        <v>117</v>
      </c>
      <c r="J23" s="12" t="s">
        <v>114</v>
      </c>
      <c r="K23" s="12" t="s">
        <v>115</v>
      </c>
      <c r="L23" s="12" t="s">
        <v>116</v>
      </c>
      <c r="M23" s="12" t="s">
        <v>117</v>
      </c>
    </row>
    <row r="24" customFormat="false" ht="15" hidden="false" customHeight="false" outlineLevel="0" collapsed="false">
      <c r="A24" s="43" t="n">
        <f aca="false">A5</f>
        <v>46023</v>
      </c>
      <c r="B24" s="37" t="n">
        <f aca="false">SUMIFS('Meta data'!$E$3:$E$20000,'Meta data'!$A$3:$A$20000,"&gt;="&amp;$A24,'Meta data'!$A$3:$A$20000,"&lt;="&amp;EOMONTH($A24,0))</f>
        <v>7240</v>
      </c>
      <c r="C24" s="37" t="n">
        <f aca="false">SUMIFS('Meta data'!$F$3:$F$20000,'Meta data'!$A$3:$A$20000,"&gt;="&amp;$A24,'Meta data'!$A$3:$A$20000,"&lt;="&amp;EOMONTH($A24,0))</f>
        <v>719</v>
      </c>
      <c r="D24" s="38" t="n">
        <f aca="false">IF(B24=0,"",C5/B24)</f>
        <v>1.11775</v>
      </c>
      <c r="E24" s="38" t="n">
        <f aca="false">IF(C24=0,"",C5/C24)</f>
        <v>11.2552294853964</v>
      </c>
      <c r="F24" s="37" t="n">
        <f aca="false">SUMIFS('Google data'!$E$3:$E$20000,'Google data'!$A$3:$A$20000,"&gt;="&amp;$A24,'Google data'!$A$3:$A$20000,"&lt;="&amp;EOMONTH($A24,0))</f>
        <v>49631</v>
      </c>
      <c r="G24" s="37" t="n">
        <f aca="false">SUMIFS('Google data'!$F$3:$F$20000,'Google data'!$A$3:$A$20000,"&gt;="&amp;$A24,'Google data'!$A$3:$A$20000,"&lt;="&amp;EOMONTH($A24,0))</f>
        <v>224.08</v>
      </c>
      <c r="H24" s="38" t="n">
        <f aca="false">IF(F24=0,"",D5/F24)</f>
        <v>0.218388954866918</v>
      </c>
      <c r="I24" s="38" t="n">
        <f aca="false">IF(G24=0,"",D5/G24)</f>
        <v>48.3705025838986</v>
      </c>
      <c r="J24" s="37" t="n">
        <f aca="false">SUMIFS('ChatGPT data'!$E$3:$E$20000,'ChatGPT data'!$A$3:$A$20000,"&gt;="&amp;$A24,'ChatGPT data'!$A$3:$A$20000,"&lt;="&amp;EOMONTH($A24,0))</f>
        <v>0</v>
      </c>
      <c r="K24" s="37" t="n">
        <f aca="false">SUMIFS('ChatGPT data'!$F$3:$F$20000,'ChatGPT data'!$A$3:$A$20000,"&gt;="&amp;$A24,'ChatGPT data'!$A$3:$A$20000,"&lt;="&amp;EOMONTH($A24,0))</f>
        <v>0</v>
      </c>
      <c r="L24" s="38" t="str">
        <f aca="false">IF(J24=0,"",E5/J24)</f>
        <v/>
      </c>
      <c r="M24" s="38" t="str">
        <f aca="false">IF(K24=0,"",E5/K24)</f>
        <v/>
      </c>
    </row>
    <row r="25" customFormat="false" ht="15" hidden="false" customHeight="false" outlineLevel="0" collapsed="false">
      <c r="A25" s="43" t="n">
        <f aca="false">A6</f>
        <v>46054</v>
      </c>
      <c r="B25" s="37" t="n">
        <f aca="false">SUMIFS('Meta data'!$E$3:$E$20000,'Meta data'!$A$3:$A$20000,"&gt;="&amp;$A25,'Meta data'!$A$3:$A$20000,"&lt;="&amp;EOMONTH($A25,0))</f>
        <v>22402</v>
      </c>
      <c r="C25" s="37" t="n">
        <f aca="false">SUMIFS('Meta data'!$F$3:$F$20000,'Meta data'!$A$3:$A$20000,"&gt;="&amp;$A25,'Meta data'!$A$3:$A$20000,"&lt;="&amp;EOMONTH($A25,0))</f>
        <v>1557</v>
      </c>
      <c r="D25" s="38" t="n">
        <f aca="false">IF(B25=0,"",C6/B25)</f>
        <v>1.29241808767074</v>
      </c>
      <c r="E25" s="38" t="n">
        <f aca="false">IF(C25=0,"",C6/C25)</f>
        <v>18.5952151573539</v>
      </c>
      <c r="F25" s="37" t="n">
        <f aca="false">SUMIFS('Google data'!$E$3:$E$20000,'Google data'!$A$3:$A$20000,"&gt;="&amp;$A25,'Google data'!$A$3:$A$20000,"&lt;="&amp;EOMONTH($A25,0))</f>
        <v>9835</v>
      </c>
      <c r="G25" s="37" t="n">
        <f aca="false">SUMIFS('Google data'!$F$3:$F$20000,'Google data'!$A$3:$A$20000,"&gt;="&amp;$A25,'Google data'!$A$3:$A$20000,"&lt;="&amp;EOMONTH($A25,0))</f>
        <v>151.23</v>
      </c>
      <c r="H25" s="38" t="n">
        <f aca="false">IF(F25=0,"",D6/F25)</f>
        <v>1.12703708510422</v>
      </c>
      <c r="I25" s="38" t="n">
        <f aca="false">IF(G25=0,"",D6/G25)</f>
        <v>73.2950455068439</v>
      </c>
      <c r="J25" s="37" t="n">
        <f aca="false">SUMIFS('ChatGPT data'!$E$3:$E$20000,'ChatGPT data'!$A$3:$A$20000,"&gt;="&amp;$A25,'ChatGPT data'!$A$3:$A$20000,"&lt;="&amp;EOMONTH($A25,0))</f>
        <v>0</v>
      </c>
      <c r="K25" s="37" t="n">
        <f aca="false">SUMIFS('ChatGPT data'!$F$3:$F$20000,'ChatGPT data'!$A$3:$A$20000,"&gt;="&amp;$A25,'ChatGPT data'!$A$3:$A$20000,"&lt;="&amp;EOMONTH($A25,0))</f>
        <v>0</v>
      </c>
      <c r="L25" s="38" t="str">
        <f aca="false">IF(J25=0,"",E6/J25)</f>
        <v/>
      </c>
      <c r="M25" s="38" t="str">
        <f aca="false">IF(K25=0,"",E6/K25)</f>
        <v/>
      </c>
    </row>
    <row r="26" customFormat="false" ht="15" hidden="false" customHeight="false" outlineLevel="0" collapsed="false">
      <c r="A26" s="43" t="n">
        <f aca="false">A7</f>
        <v>46082</v>
      </c>
      <c r="B26" s="37" t="n">
        <f aca="false">SUMIFS('Meta data'!$E$3:$E$20000,'Meta data'!$A$3:$A$20000,"&gt;="&amp;$A26,'Meta data'!$A$3:$A$20000,"&lt;="&amp;EOMONTH($A26,0))</f>
        <v>18722</v>
      </c>
      <c r="C26" s="37" t="n">
        <f aca="false">SUMIFS('Meta data'!$F$3:$F$20000,'Meta data'!$A$3:$A$20000,"&gt;="&amp;$A26,'Meta data'!$A$3:$A$20000,"&lt;="&amp;EOMONTH($A26,0))</f>
        <v>1516</v>
      </c>
      <c r="D26" s="38" t="n">
        <f aca="false">IF(B26=0,"",C7/B26)</f>
        <v>2.05036000427305</v>
      </c>
      <c r="E26" s="38" t="n">
        <f aca="false">IF(C26=0,"",C7/C26)</f>
        <v>25.3211345646438</v>
      </c>
      <c r="F26" s="37" t="n">
        <f aca="false">SUMIFS('Google data'!$E$3:$E$20000,'Google data'!$A$3:$A$20000,"&gt;="&amp;$A26,'Google data'!$A$3:$A$20000,"&lt;="&amp;EOMONTH($A26,0))</f>
        <v>3244</v>
      </c>
      <c r="G26" s="37" t="n">
        <f aca="false">SUMIFS('Google data'!$F$3:$F$20000,'Google data'!$A$3:$A$20000,"&gt;="&amp;$A26,'Google data'!$A$3:$A$20000,"&lt;="&amp;EOMONTH($A26,0))</f>
        <v>150.25</v>
      </c>
      <c r="H26" s="38" t="n">
        <f aca="false">IF(F26=0,"",D7/F26)</f>
        <v>3.11751474969174</v>
      </c>
      <c r="I26" s="38" t="n">
        <f aca="false">IF(G26=0,"",D7/G26)</f>
        <v>67.309270202995</v>
      </c>
      <c r="J26" s="37" t="n">
        <f aca="false">SUMIFS('ChatGPT data'!$E$3:$E$20000,'ChatGPT data'!$A$3:$A$20000,"&gt;="&amp;$A26,'ChatGPT data'!$A$3:$A$20000,"&lt;="&amp;EOMONTH($A26,0))</f>
        <v>0</v>
      </c>
      <c r="K26" s="37" t="n">
        <f aca="false">SUMIFS('ChatGPT data'!$F$3:$F$20000,'ChatGPT data'!$A$3:$A$20000,"&gt;="&amp;$A26,'ChatGPT data'!$A$3:$A$20000,"&lt;="&amp;EOMONTH($A26,0))</f>
        <v>0</v>
      </c>
      <c r="L26" s="38" t="str">
        <f aca="false">IF(J26=0,"",E7/J26)</f>
        <v/>
      </c>
      <c r="M26" s="38" t="str">
        <f aca="false">IF(K26=0,"",E7/K26)</f>
        <v/>
      </c>
    </row>
    <row r="27" customFormat="false" ht="15" hidden="false" customHeight="false" outlineLevel="0" collapsed="false">
      <c r="A27" s="43" t="n">
        <f aca="false">A8</f>
        <v>46113</v>
      </c>
      <c r="B27" s="37" t="n">
        <f aca="false">SUMIFS('Meta data'!$E$3:$E$20000,'Meta data'!$A$3:$A$20000,"&gt;="&amp;$A27,'Meta data'!$A$3:$A$20000,"&lt;="&amp;EOMONTH($A27,0))</f>
        <v>11067</v>
      </c>
      <c r="C27" s="37" t="n">
        <f aca="false">SUMIFS('Meta data'!$F$3:$F$20000,'Meta data'!$A$3:$A$20000,"&gt;="&amp;$A27,'Meta data'!$A$3:$A$20000,"&lt;="&amp;EOMONTH($A27,0))</f>
        <v>876</v>
      </c>
      <c r="D27" s="38" t="n">
        <f aca="false">IF(B27=0,"",C8/B27)</f>
        <v>2.00971898436794</v>
      </c>
      <c r="E27" s="38" t="n">
        <f aca="false">IF(C27=0,"",C8/C27)</f>
        <v>25.3899086757991</v>
      </c>
      <c r="F27" s="37" t="n">
        <f aca="false">SUMIFS('Google data'!$E$3:$E$20000,'Google data'!$A$3:$A$20000,"&gt;="&amp;$A27,'Google data'!$A$3:$A$20000,"&lt;="&amp;EOMONTH($A27,0))</f>
        <v>2903</v>
      </c>
      <c r="G27" s="37" t="n">
        <f aca="false">SUMIFS('Google data'!$F$3:$F$20000,'Google data'!$A$3:$A$20000,"&gt;="&amp;$A27,'Google data'!$A$3:$A$20000,"&lt;="&amp;EOMONTH($A27,0))</f>
        <v>118.59</v>
      </c>
      <c r="H27" s="38" t="n">
        <f aca="false">IF(F27=0,"",D8/F27)</f>
        <v>3.43515835377196</v>
      </c>
      <c r="I27" s="38" t="n">
        <f aca="false">IF(G27=0,"",D8/G27)</f>
        <v>84.0902664727211</v>
      </c>
      <c r="J27" s="37" t="n">
        <f aca="false">SUMIFS('ChatGPT data'!$E$3:$E$20000,'ChatGPT data'!$A$3:$A$20000,"&gt;="&amp;$A27,'ChatGPT data'!$A$3:$A$20000,"&lt;="&amp;EOMONTH($A27,0))</f>
        <v>0</v>
      </c>
      <c r="K27" s="37" t="n">
        <f aca="false">SUMIFS('ChatGPT data'!$F$3:$F$20000,'ChatGPT data'!$A$3:$A$20000,"&gt;="&amp;$A27,'ChatGPT data'!$A$3:$A$20000,"&lt;="&amp;EOMONTH($A27,0))</f>
        <v>0</v>
      </c>
      <c r="L27" s="38" t="str">
        <f aca="false">IF(J27=0,"",E8/J27)</f>
        <v/>
      </c>
      <c r="M27" s="38" t="str">
        <f aca="false">IF(K27=0,"",E8/K27)</f>
        <v/>
      </c>
    </row>
    <row r="28" customFormat="false" ht="15" hidden="false" customHeight="false" outlineLevel="0" collapsed="false">
      <c r="A28" s="43" t="n">
        <f aca="false">A9</f>
        <v>46143</v>
      </c>
      <c r="B28" s="37" t="n">
        <f aca="false">SUMIFS('Meta data'!$E$3:$E$20000,'Meta data'!$A$3:$A$20000,"&gt;="&amp;$A28,'Meta data'!$A$3:$A$20000,"&lt;="&amp;EOMONTH($A28,0))</f>
        <v>8317</v>
      </c>
      <c r="C28" s="37" t="n">
        <f aca="false">SUMIFS('Meta data'!$F$3:$F$20000,'Meta data'!$A$3:$A$20000,"&gt;="&amp;$A28,'Meta data'!$A$3:$A$20000,"&lt;="&amp;EOMONTH($A28,0))</f>
        <v>632</v>
      </c>
      <c r="D28" s="38" t="n">
        <f aca="false">IF(B28=0,"",C9/B28)</f>
        <v>2.67842972225562</v>
      </c>
      <c r="E28" s="38" t="n">
        <f aca="false">IF(C28=0,"",C9/C28)</f>
        <v>35.2476265822785</v>
      </c>
      <c r="F28" s="37" t="n">
        <f aca="false">SUMIFS('Google data'!$E$3:$E$20000,'Google data'!$A$3:$A$20000,"&gt;="&amp;$A28,'Google data'!$A$3:$A$20000,"&lt;="&amp;EOMONTH($A28,0))</f>
        <v>2889</v>
      </c>
      <c r="G28" s="37" t="n">
        <f aca="false">SUMIFS('Google data'!$F$3:$F$20000,'Google data'!$A$3:$A$20000,"&gt;="&amp;$A28,'Google data'!$A$3:$A$20000,"&lt;="&amp;EOMONTH($A28,0))</f>
        <v>142.1</v>
      </c>
      <c r="H28" s="38" t="n">
        <f aca="false">IF(F28=0,"",D9/F28)</f>
        <v>4.17571404603669</v>
      </c>
      <c r="I28" s="38" t="n">
        <f aca="false">IF(G28=0,"",D9/G28)</f>
        <v>84.8954108304011</v>
      </c>
      <c r="J28" s="37" t="n">
        <f aca="false">SUMIFS('ChatGPT data'!$E$3:$E$20000,'ChatGPT data'!$A$3:$A$20000,"&gt;="&amp;$A28,'ChatGPT data'!$A$3:$A$20000,"&lt;="&amp;EOMONTH($A28,0))</f>
        <v>0</v>
      </c>
      <c r="K28" s="37" t="n">
        <f aca="false">SUMIFS('ChatGPT data'!$F$3:$F$20000,'ChatGPT data'!$A$3:$A$20000,"&gt;="&amp;$A28,'ChatGPT data'!$A$3:$A$20000,"&lt;="&amp;EOMONTH($A28,0))</f>
        <v>0</v>
      </c>
      <c r="L28" s="38" t="str">
        <f aca="false">IF(J28=0,"",E9/J28)</f>
        <v/>
      </c>
      <c r="M28" s="38" t="str">
        <f aca="false">IF(K28=0,"",E9/K28)</f>
        <v/>
      </c>
    </row>
    <row r="29" customFormat="false" ht="15" hidden="false" customHeight="false" outlineLevel="0" collapsed="false">
      <c r="A29" s="43" t="n">
        <f aca="false">A10</f>
        <v>46174</v>
      </c>
      <c r="B29" s="37" t="n">
        <f aca="false">SUMIFS('Meta data'!$E$3:$E$20000,'Meta data'!$A$3:$A$20000,"&gt;="&amp;$A29,'Meta data'!$A$3:$A$20000,"&lt;="&amp;EOMONTH($A29,0))</f>
        <v>6676</v>
      </c>
      <c r="C29" s="37" t="n">
        <f aca="false">SUMIFS('Meta data'!$F$3:$F$20000,'Meta data'!$A$3:$A$20000,"&gt;="&amp;$A29,'Meta data'!$A$3:$A$20000,"&lt;="&amp;EOMONTH($A29,0))</f>
        <v>485</v>
      </c>
      <c r="D29" s="38" t="n">
        <f aca="false">IF(B29=0,"",C10/B29)</f>
        <v>2.61433343319353</v>
      </c>
      <c r="E29" s="38" t="n">
        <f aca="false">IF(C29=0,"",C10/C29)</f>
        <v>35.9861649484536</v>
      </c>
      <c r="F29" s="37" t="n">
        <f aca="false">SUMIFS('Google data'!$E$3:$E$20000,'Google data'!$A$3:$A$20000,"&gt;="&amp;$A29,'Google data'!$A$3:$A$20000,"&lt;="&amp;EOMONTH($A29,0))</f>
        <v>4356</v>
      </c>
      <c r="G29" s="37" t="n">
        <f aca="false">SUMIFS('Google data'!$F$3:$F$20000,'Google data'!$A$3:$A$20000,"&gt;="&amp;$A29,'Google data'!$A$3:$A$20000,"&lt;="&amp;EOMONTH($A29,0))</f>
        <v>156.86</v>
      </c>
      <c r="H29" s="38" t="n">
        <f aca="false">IF(F29=0,"",D10/F29)</f>
        <v>3.2039424731405</v>
      </c>
      <c r="I29" s="38" t="n">
        <f aca="false">IF(G29=0,"",D10/G29)</f>
        <v>88.973437543032</v>
      </c>
      <c r="J29" s="37" t="n">
        <f aca="false">SUMIFS('ChatGPT data'!$E$3:$E$20000,'ChatGPT data'!$A$3:$A$20000,"&gt;="&amp;$A29,'ChatGPT data'!$A$3:$A$20000,"&lt;="&amp;EOMONTH($A29,0))</f>
        <v>0</v>
      </c>
      <c r="K29" s="37" t="n">
        <f aca="false">SUMIFS('ChatGPT data'!$F$3:$F$20000,'ChatGPT data'!$A$3:$A$20000,"&gt;="&amp;$A29,'ChatGPT data'!$A$3:$A$20000,"&lt;="&amp;EOMONTH($A29,0))</f>
        <v>0</v>
      </c>
      <c r="L29" s="38" t="str">
        <f aca="false">IF(J29=0,"",E10/J29)</f>
        <v/>
      </c>
      <c r="M29" s="38" t="str">
        <f aca="false">IF(K29=0,"",E10/K29)</f>
        <v/>
      </c>
    </row>
    <row r="30" customFormat="false" ht="15" hidden="false" customHeight="false" outlineLevel="0" collapsed="false">
      <c r="A30" s="43" t="n">
        <f aca="false">A11</f>
        <v>46204</v>
      </c>
      <c r="B30" s="37" t="n">
        <f aca="false">SUMIFS('Meta data'!$E$3:$E$20000,'Meta data'!$A$3:$A$20000,"&gt;="&amp;$A30,'Meta data'!$A$3:$A$20000,"&lt;="&amp;EOMONTH($A30,0))</f>
        <v>11374</v>
      </c>
      <c r="C30" s="37" t="n">
        <f aca="false">SUMIFS('Meta data'!$F$3:$F$20000,'Meta data'!$A$3:$A$20000,"&gt;="&amp;$A30,'Meta data'!$A$3:$A$20000,"&lt;="&amp;EOMONTH($A30,0))</f>
        <v>284</v>
      </c>
      <c r="D30" s="38" t="n">
        <f aca="false">IF(B30=0,"",C11/B30)</f>
        <v>1.66666608053455</v>
      </c>
      <c r="E30" s="38" t="n">
        <f aca="false">IF(C30=0,"",C11/C30)</f>
        <v>66.7488028169014</v>
      </c>
      <c r="F30" s="37" t="n">
        <f aca="false">SUMIFS('Google data'!$E$3:$E$20000,'Google data'!$A$3:$A$20000,"&gt;="&amp;$A30,'Google data'!$A$3:$A$20000,"&lt;="&amp;EOMONTH($A30,0))</f>
        <v>4963</v>
      </c>
      <c r="G30" s="37" t="n">
        <f aca="false">SUMIFS('Google data'!$F$3:$F$20000,'Google data'!$A$3:$A$20000,"&gt;="&amp;$A30,'Google data'!$A$3:$A$20000,"&lt;="&amp;EOMONTH($A30,0))</f>
        <v>68.56</v>
      </c>
      <c r="H30" s="38" t="n">
        <f aca="false">IF(F30=0,"",D11/F30)</f>
        <v>2.64924402055209</v>
      </c>
      <c r="I30" s="38" t="n">
        <f aca="false">IF(G30=0,"",D11/G30)</f>
        <v>191.776517998833</v>
      </c>
      <c r="J30" s="37" t="n">
        <f aca="false">SUMIFS('ChatGPT data'!$E$3:$E$20000,'ChatGPT data'!$A$3:$A$20000,"&gt;="&amp;$A30,'ChatGPT data'!$A$3:$A$20000,"&lt;="&amp;EOMONTH($A30,0))</f>
        <v>0</v>
      </c>
      <c r="K30" s="37" t="n">
        <f aca="false">SUMIFS('ChatGPT data'!$F$3:$F$20000,'ChatGPT data'!$A$3:$A$20000,"&gt;="&amp;$A30,'ChatGPT data'!$A$3:$A$20000,"&lt;="&amp;EOMONTH($A30,0))</f>
        <v>0</v>
      </c>
      <c r="L30" s="38" t="str">
        <f aca="false">IF(J30=0,"",E11/J30)</f>
        <v/>
      </c>
      <c r="M30" s="38" t="str">
        <f aca="false">IF(K30=0,"",E11/K30)</f>
        <v/>
      </c>
    </row>
    <row r="31" customFormat="false" ht="15" hidden="false" customHeight="false" outlineLevel="0" collapsed="false">
      <c r="A31" s="43" t="n">
        <f aca="false">A12</f>
        <v>46235</v>
      </c>
      <c r="B31" s="37" t="n">
        <f aca="false">SUMIFS('Meta data'!$E$3:$E$20000,'Meta data'!$A$3:$A$20000,"&gt;="&amp;$A31,'Meta data'!$A$3:$A$20000,"&lt;="&amp;EOMONTH($A31,0))</f>
        <v>15505</v>
      </c>
      <c r="C31" s="37" t="n">
        <f aca="false">SUMIFS('Meta data'!$F$3:$F$20000,'Meta data'!$A$3:$A$20000,"&gt;="&amp;$A31,'Meta data'!$A$3:$A$20000,"&lt;="&amp;EOMONTH($A31,0))</f>
        <v>489</v>
      </c>
      <c r="D31" s="38" t="n">
        <f aca="false">IF(B31=0,"",C12/B31)</f>
        <v>0.686484359883908</v>
      </c>
      <c r="E31" s="38" t="n">
        <f aca="false">IF(C31=0,"",C12/C31)</f>
        <v>21.7667484662577</v>
      </c>
      <c r="F31" s="37" t="n">
        <f aca="false">SUMIFS('Google data'!$E$3:$E$20000,'Google data'!$A$3:$A$20000,"&gt;="&amp;$A31,'Google data'!$A$3:$A$20000,"&lt;="&amp;EOMONTH($A31,0))</f>
        <v>8114</v>
      </c>
      <c r="G31" s="37" t="n">
        <f aca="false">SUMIFS('Google data'!$F$3:$F$20000,'Google data'!$A$3:$A$20000,"&gt;="&amp;$A31,'Google data'!$A$3:$A$20000,"&lt;="&amp;EOMONTH($A31,0))</f>
        <v>272.85</v>
      </c>
      <c r="H31" s="38" t="n">
        <f aca="false">IF(F31=0,"",D12/F31)</f>
        <v>1.50931513618437</v>
      </c>
      <c r="I31" s="38" t="n">
        <f aca="false">IF(G31=0,"",D12/G31)</f>
        <v>44.8839399486897</v>
      </c>
      <c r="J31" s="37" t="n">
        <f aca="false">SUMIFS('ChatGPT data'!$E$3:$E$20000,'ChatGPT data'!$A$3:$A$20000,"&gt;="&amp;$A31,'ChatGPT data'!$A$3:$A$20000,"&lt;="&amp;EOMONTH($A31,0))</f>
        <v>0</v>
      </c>
      <c r="K31" s="37" t="n">
        <f aca="false">SUMIFS('ChatGPT data'!$F$3:$F$20000,'ChatGPT data'!$A$3:$A$20000,"&gt;="&amp;$A31,'ChatGPT data'!$A$3:$A$20000,"&lt;="&amp;EOMONTH($A31,0))</f>
        <v>0</v>
      </c>
      <c r="L31" s="38" t="str">
        <f aca="false">IF(J31=0,"",E12/J31)</f>
        <v/>
      </c>
      <c r="M31" s="38" t="str">
        <f aca="false">IF(K31=0,"",E12/K31)</f>
        <v/>
      </c>
    </row>
    <row r="32" customFormat="false" ht="15" hidden="false" customHeight="false" outlineLevel="0" collapsed="false">
      <c r="A32" s="43" t="n">
        <f aca="false">A13</f>
        <v>46266</v>
      </c>
      <c r="B32" s="37" t="n">
        <f aca="false">SUMIFS('Meta data'!$E$3:$E$20000,'Meta data'!$A$3:$A$20000,"&gt;="&amp;$A32,'Meta data'!$A$3:$A$20000,"&lt;="&amp;EOMONTH($A32,0))</f>
        <v>89293</v>
      </c>
      <c r="C32" s="37" t="n">
        <f aca="false">SUMIFS('Meta data'!$F$3:$F$20000,'Meta data'!$A$3:$A$20000,"&gt;="&amp;$A32,'Meta data'!$A$3:$A$20000,"&lt;="&amp;EOMONTH($A32,0))</f>
        <v>655</v>
      </c>
      <c r="D32" s="38" t="n">
        <f aca="false">IF(B32=0,"",C13/B32)</f>
        <v>0.123895266146282</v>
      </c>
      <c r="E32" s="38" t="n">
        <f aca="false">IF(C32=0,"",C13/C32)</f>
        <v>16.8900458015267</v>
      </c>
      <c r="F32" s="37" t="n">
        <f aca="false">SUMIFS('Google data'!$E$3:$E$20000,'Google data'!$A$3:$A$20000,"&gt;="&amp;$A32,'Google data'!$A$3:$A$20000,"&lt;="&amp;EOMONTH($A32,0))</f>
        <v>3923</v>
      </c>
      <c r="G32" s="37" t="n">
        <f aca="false">SUMIFS('Google data'!$F$3:$F$20000,'Google data'!$A$3:$A$20000,"&gt;="&amp;$A32,'Google data'!$A$3:$A$20000,"&lt;="&amp;EOMONTH($A32,0))</f>
        <v>165.47</v>
      </c>
      <c r="H32" s="38" t="n">
        <f aca="false">IF(F32=0,"",D13/F32)</f>
        <v>1.74719046342085</v>
      </c>
      <c r="I32" s="38" t="n">
        <f aca="false">IF(G32=0,"",D13/G32)</f>
        <v>41.4227847223062</v>
      </c>
      <c r="J32" s="37" t="n">
        <f aca="false">SUMIFS('ChatGPT data'!$E$3:$E$20000,'ChatGPT data'!$A$3:$A$20000,"&gt;="&amp;$A32,'ChatGPT data'!$A$3:$A$20000,"&lt;="&amp;EOMONTH($A32,0))</f>
        <v>43</v>
      </c>
      <c r="K32" s="37" t="n">
        <f aca="false">SUMIFS('ChatGPT data'!$F$3:$F$20000,'ChatGPT data'!$A$3:$A$20000,"&gt;="&amp;$A32,'ChatGPT data'!$A$3:$A$20000,"&lt;="&amp;EOMONTH($A32,0))</f>
        <v>0</v>
      </c>
      <c r="L32" s="38" t="n">
        <f aca="false">IF(J32=0,"",E13/J32)</f>
        <v>5.96695841860465</v>
      </c>
      <c r="M32" s="38" t="str">
        <f aca="false">IF(K32=0,"",E13/K32)</f>
        <v/>
      </c>
    </row>
    <row r="33" customFormat="false" ht="15" hidden="false" customHeight="false" outlineLevel="0" collapsed="false">
      <c r="A33" s="43" t="n">
        <f aca="false">A14</f>
        <v>46296</v>
      </c>
      <c r="B33" s="37" t="n">
        <f aca="false">SUMIFS('Meta data'!$E$3:$E$20000,'Meta data'!$A$3:$A$20000,"&gt;="&amp;$A33,'Meta data'!$A$3:$A$20000,"&lt;="&amp;EOMONTH($A33,0))</f>
        <v>0</v>
      </c>
      <c r="C33" s="37" t="n">
        <f aca="false">SUMIFS('Meta data'!$F$3:$F$20000,'Meta data'!$A$3:$A$20000,"&gt;="&amp;$A33,'Meta data'!$A$3:$A$20000,"&lt;="&amp;EOMONTH($A33,0))</f>
        <v>0</v>
      </c>
      <c r="D33" s="38" t="str">
        <f aca="false">IF(B33=0,"",C14/B33)</f>
        <v/>
      </c>
      <c r="E33" s="38" t="str">
        <f aca="false">IF(C33=0,"",C14/C33)</f>
        <v/>
      </c>
      <c r="F33" s="37" t="n">
        <f aca="false">SUMIFS('Google data'!$E$3:$E$20000,'Google data'!$A$3:$A$20000,"&gt;="&amp;$A33,'Google data'!$A$3:$A$20000,"&lt;="&amp;EOMONTH($A33,0))</f>
        <v>0</v>
      </c>
      <c r="G33" s="37" t="n">
        <f aca="false">SUMIFS('Google data'!$F$3:$F$20000,'Google data'!$A$3:$A$20000,"&gt;="&amp;$A33,'Google data'!$A$3:$A$20000,"&lt;="&amp;EOMONTH($A33,0))</f>
        <v>0</v>
      </c>
      <c r="H33" s="38" t="str">
        <f aca="false">IF(F33=0,"",D14/F33)</f>
        <v/>
      </c>
      <c r="I33" s="38" t="str">
        <f aca="false">IF(G33=0,"",D14/G33)</f>
        <v/>
      </c>
      <c r="J33" s="37" t="n">
        <f aca="false">SUMIFS('ChatGPT data'!$E$3:$E$20000,'ChatGPT data'!$A$3:$A$20000,"&gt;="&amp;$A33,'ChatGPT data'!$A$3:$A$20000,"&lt;="&amp;EOMONTH($A33,0))</f>
        <v>0</v>
      </c>
      <c r="K33" s="37" t="n">
        <f aca="false">SUMIFS('ChatGPT data'!$F$3:$F$20000,'ChatGPT data'!$A$3:$A$20000,"&gt;="&amp;$A33,'ChatGPT data'!$A$3:$A$20000,"&lt;="&amp;EOMONTH($A33,0))</f>
        <v>0</v>
      </c>
      <c r="L33" s="38" t="str">
        <f aca="false">IF(J33=0,"",E14/J33)</f>
        <v/>
      </c>
      <c r="M33" s="38" t="str">
        <f aca="false">IF(K33=0,"",E14/K33)</f>
        <v/>
      </c>
    </row>
    <row r="34" customFormat="false" ht="15" hidden="false" customHeight="false" outlineLevel="0" collapsed="false">
      <c r="A34" s="43" t="n">
        <f aca="false">A15</f>
        <v>46327</v>
      </c>
      <c r="B34" s="37" t="n">
        <f aca="false">SUMIFS('Meta data'!$E$3:$E$20000,'Meta data'!$A$3:$A$20000,"&gt;="&amp;$A34,'Meta data'!$A$3:$A$20000,"&lt;="&amp;EOMONTH($A34,0))</f>
        <v>0</v>
      </c>
      <c r="C34" s="37" t="n">
        <f aca="false">SUMIFS('Meta data'!$F$3:$F$20000,'Meta data'!$A$3:$A$20000,"&gt;="&amp;$A34,'Meta data'!$A$3:$A$20000,"&lt;="&amp;EOMONTH($A34,0))</f>
        <v>0</v>
      </c>
      <c r="D34" s="38" t="str">
        <f aca="false">IF(B34=0,"",C15/B34)</f>
        <v/>
      </c>
      <c r="E34" s="38" t="str">
        <f aca="false">IF(C34=0,"",C15/C34)</f>
        <v/>
      </c>
      <c r="F34" s="37" t="n">
        <f aca="false">SUMIFS('Google data'!$E$3:$E$20000,'Google data'!$A$3:$A$20000,"&gt;="&amp;$A34,'Google data'!$A$3:$A$20000,"&lt;="&amp;EOMONTH($A34,0))</f>
        <v>0</v>
      </c>
      <c r="G34" s="37" t="n">
        <f aca="false">SUMIFS('Google data'!$F$3:$F$20000,'Google data'!$A$3:$A$20000,"&gt;="&amp;$A34,'Google data'!$A$3:$A$20000,"&lt;="&amp;EOMONTH($A34,0))</f>
        <v>0</v>
      </c>
      <c r="H34" s="38" t="str">
        <f aca="false">IF(F34=0,"",D15/F34)</f>
        <v/>
      </c>
      <c r="I34" s="38" t="str">
        <f aca="false">IF(G34=0,"",D15/G34)</f>
        <v/>
      </c>
      <c r="J34" s="37" t="n">
        <f aca="false">SUMIFS('ChatGPT data'!$E$3:$E$20000,'ChatGPT data'!$A$3:$A$20000,"&gt;="&amp;$A34,'ChatGPT data'!$A$3:$A$20000,"&lt;="&amp;EOMONTH($A34,0))</f>
        <v>0</v>
      </c>
      <c r="K34" s="37" t="n">
        <f aca="false">SUMIFS('ChatGPT data'!$F$3:$F$20000,'ChatGPT data'!$A$3:$A$20000,"&gt;="&amp;$A34,'ChatGPT data'!$A$3:$A$20000,"&lt;="&amp;EOMONTH($A34,0))</f>
        <v>0</v>
      </c>
      <c r="L34" s="38" t="str">
        <f aca="false">IF(J34=0,"",E15/J34)</f>
        <v/>
      </c>
      <c r="M34" s="38" t="str">
        <f aca="false">IF(K34=0,"",E15/K34)</f>
        <v/>
      </c>
    </row>
    <row r="35" customFormat="false" ht="15" hidden="false" customHeight="false" outlineLevel="0" collapsed="false">
      <c r="A35" s="43" t="n">
        <f aca="false">A16</f>
        <v>46357</v>
      </c>
      <c r="B35" s="37" t="n">
        <f aca="false">SUMIFS('Meta data'!$E$3:$E$20000,'Meta data'!$A$3:$A$20000,"&gt;="&amp;$A35,'Meta data'!$A$3:$A$20000,"&lt;="&amp;EOMONTH($A35,0))</f>
        <v>0</v>
      </c>
      <c r="C35" s="37" t="n">
        <f aca="false">SUMIFS('Meta data'!$F$3:$F$20000,'Meta data'!$A$3:$A$20000,"&gt;="&amp;$A35,'Meta data'!$A$3:$A$20000,"&lt;="&amp;EOMONTH($A35,0))</f>
        <v>0</v>
      </c>
      <c r="D35" s="38" t="str">
        <f aca="false">IF(B35=0,"",C16/B35)</f>
        <v/>
      </c>
      <c r="E35" s="38" t="str">
        <f aca="false">IF(C35=0,"",C16/C35)</f>
        <v/>
      </c>
      <c r="F35" s="37" t="n">
        <f aca="false">SUMIFS('Google data'!$E$3:$E$20000,'Google data'!$A$3:$A$20000,"&gt;="&amp;$A35,'Google data'!$A$3:$A$20000,"&lt;="&amp;EOMONTH($A35,0))</f>
        <v>0</v>
      </c>
      <c r="G35" s="37" t="n">
        <f aca="false">SUMIFS('Google data'!$F$3:$F$20000,'Google data'!$A$3:$A$20000,"&gt;="&amp;$A35,'Google data'!$A$3:$A$20000,"&lt;="&amp;EOMONTH($A35,0))</f>
        <v>0</v>
      </c>
      <c r="H35" s="38" t="str">
        <f aca="false">IF(F35=0,"",D16/F35)</f>
        <v/>
      </c>
      <c r="I35" s="38" t="str">
        <f aca="false">IF(G35=0,"",D16/G35)</f>
        <v/>
      </c>
      <c r="J35" s="37" t="n">
        <f aca="false">SUMIFS('ChatGPT data'!$E$3:$E$20000,'ChatGPT data'!$A$3:$A$20000,"&gt;="&amp;$A35,'ChatGPT data'!$A$3:$A$20000,"&lt;="&amp;EOMONTH($A35,0))</f>
        <v>0</v>
      </c>
      <c r="K35" s="37" t="n">
        <f aca="false">SUMIFS('ChatGPT data'!$F$3:$F$20000,'ChatGPT data'!$A$3:$A$20000,"&gt;="&amp;$A35,'ChatGPT data'!$A$3:$A$20000,"&lt;="&amp;EOMONTH($A35,0))</f>
        <v>0</v>
      </c>
      <c r="L35" s="38" t="str">
        <f aca="false">IF(J35=0,"",E16/J35)</f>
        <v/>
      </c>
      <c r="M35" s="38" t="str">
        <f aca="false">IF(K35=0,"",E16/K35)</f>
        <v/>
      </c>
    </row>
    <row r="36" customFormat="false" ht="15" hidden="false" customHeight="false" outlineLevel="0" collapsed="false">
      <c r="A36" s="24" t="s">
        <v>32</v>
      </c>
      <c r="B36" s="49" t="n">
        <f aca="false">SUM(B24:B35)</f>
        <v>190596</v>
      </c>
      <c r="C36" s="49" t="n">
        <f aca="false">SUM(C24:C35)</f>
        <v>7213</v>
      </c>
      <c r="D36" s="50" t="n">
        <f aca="false">IF(B36=0,"",C17/B36)</f>
        <v>0.934264255283427</v>
      </c>
      <c r="E36" s="50" t="n">
        <f aca="false">IF(C36=0,"",C17/C36)</f>
        <v>24.6869582697907</v>
      </c>
      <c r="F36" s="49" t="n">
        <f aca="false">SUM(F24:F35)</f>
        <v>89858</v>
      </c>
      <c r="G36" s="49" t="n">
        <f aca="false">SUM(G24:G35)</f>
        <v>1449.99</v>
      </c>
      <c r="H36" s="50" t="n">
        <f aca="false">IF(F36=0,"",D17/F36)</f>
        <v>1.11595823487057</v>
      </c>
      <c r="I36" s="50" t="n">
        <f aca="false">IF(G36=0,"",D17/G36)</f>
        <v>69.1575632031945</v>
      </c>
      <c r="J36" s="49" t="n">
        <f aca="false">SUM(J24:J35)</f>
        <v>43</v>
      </c>
      <c r="K36" s="49" t="n">
        <f aca="false">SUM(K24:K35)</f>
        <v>0</v>
      </c>
      <c r="L36" s="50" t="n">
        <f aca="false">IF(J36=0,"",E17/J36)</f>
        <v>5.96695841860465</v>
      </c>
      <c r="M36" s="50" t="str">
        <f aca="false">IF(K36=0,"",E17/K36)</f>
        <v/>
      </c>
    </row>
    <row r="37" customFormat="false" ht="15" hidden="false" customHeight="false" outlineLevel="0" collapsed="false">
      <c r="A37" s="28" t="s">
        <v>118</v>
      </c>
    </row>
  </sheetData>
  <mergeCells count="3">
    <mergeCell ref="B22:E22"/>
    <mergeCell ref="F22:I22"/>
    <mergeCell ref="J22:M22"/>
  </mergeCells>
  <conditionalFormatting sqref="J5:J17">
    <cfRule type="expression" priority="2" aboveAverage="0" equalAverage="0" bottom="0" percent="0" rank="0" text="" dxfId="7">
      <formula>AND(ISNUMBER(J5),J5&gt;0)</formula>
    </cfRule>
  </conditionalFormatting>
  <conditionalFormatting sqref="A5:R16">
    <cfRule type="expression" priority="3" aboveAverage="0" equalAverage="0" bottom="0" percent="0" rank="0" text="" dxfId="8">
      <formula>$A5&gt;$U$2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14" min="3" style="0" width="9.51"/>
    <col collapsed="false" customWidth="true" hidden="false" outlineLevel="0" max="16" min="15" style="0" width="11"/>
    <col collapsed="false" customWidth="true" hidden="false" outlineLevel="0" max="17" min="17" style="0" width="9"/>
    <col collapsed="false" customWidth="true" hidden="false" outlineLevel="0" max="18" min="18" style="0" width="30"/>
  </cols>
  <sheetData>
    <row r="1" customFormat="false" ht="19.7" hidden="false" customHeight="false" outlineLevel="0" collapsed="false">
      <c r="A1" s="31" t="s">
        <v>119</v>
      </c>
    </row>
    <row r="2" customFormat="false" ht="15" hidden="false" customHeight="false" outlineLevel="0" collapsed="false">
      <c r="A2" s="28" t="str">
        <f aca="false">"Amounts in "&amp;Settings!$C$6&amp;" · location and type come from the Campaigns tab (based on the campaign names) · platform data up to "&amp;TEXT(Settings!$C$5,"d mmm yyyy")</f>
        <v>Amounts in USD · location and type come from the Campaigns tab (based on the campaign names) · platform data up to 30 Sep 2026</v>
      </c>
    </row>
    <row r="4" customFormat="false" ht="15" hidden="false" customHeight="false" outlineLevel="0" collapsed="false">
      <c r="A4" s="10" t="s">
        <v>120</v>
      </c>
      <c r="B4" s="11"/>
      <c r="C4" s="11"/>
      <c r="D4" s="11"/>
      <c r="E4" s="11"/>
      <c r="F4" s="11"/>
      <c r="G4" s="11"/>
      <c r="H4" s="11"/>
      <c r="I4" s="11"/>
      <c r="J4" s="11"/>
      <c r="K4" s="11"/>
      <c r="L4" s="11"/>
      <c r="M4" s="11"/>
      <c r="N4" s="11"/>
      <c r="O4" s="11"/>
      <c r="P4" s="11"/>
      <c r="Q4" s="11"/>
    </row>
    <row r="5" customFormat="false" ht="30" hidden="false" customHeight="true" outlineLevel="0" collapsed="false">
      <c r="A5" s="12" t="s">
        <v>121</v>
      </c>
      <c r="B5" s="12" t="str">
        <f aca="false">TEXT(Campaigns!F3,"mmm")</f>
        <v>Jan</v>
      </c>
      <c r="C5" s="12" t="str">
        <f aca="false">TEXT(Campaigns!G3,"mmm")</f>
        <v>Feb</v>
      </c>
      <c r="D5" s="12" t="str">
        <f aca="false">TEXT(Campaigns!H3,"mmm")</f>
        <v>Mar</v>
      </c>
      <c r="E5" s="12" t="str">
        <f aca="false">TEXT(Campaigns!I3,"mmm")</f>
        <v>Apr</v>
      </c>
      <c r="F5" s="12" t="str">
        <f aca="false">TEXT(Campaigns!J3,"mmm")</f>
        <v>May</v>
      </c>
      <c r="G5" s="12" t="str">
        <f aca="false">TEXT(Campaigns!K3,"mmm")</f>
        <v>Jun</v>
      </c>
      <c r="H5" s="12" t="str">
        <f aca="false">TEXT(Campaigns!L3,"mmm")</f>
        <v>Jul</v>
      </c>
      <c r="I5" s="12" t="str">
        <f aca="false">TEXT(Campaigns!M3,"mmm")</f>
        <v>Aug</v>
      </c>
      <c r="J5" s="12" t="str">
        <f aca="false">TEXT(Campaigns!N3,"mmm")</f>
        <v>Sep</v>
      </c>
      <c r="K5" s="12" t="str">
        <f aca="false">TEXT(Campaigns!O3,"mmm")</f>
        <v>Oct</v>
      </c>
      <c r="L5" s="12" t="str">
        <f aca="false">TEXT(Campaigns!P3,"mmm")</f>
        <v>Nov</v>
      </c>
      <c r="M5" s="12" t="str">
        <f aca="false">TEXT(Campaigns!Q3,"mmm")</f>
        <v>Dec</v>
      </c>
      <c r="N5" s="12" t="s">
        <v>32</v>
      </c>
      <c r="O5" s="12" t="s">
        <v>12</v>
      </c>
      <c r="P5" s="12" t="s">
        <v>122</v>
      </c>
    </row>
    <row r="6" customFormat="false" ht="15" hidden="false" customHeight="false" outlineLevel="0" collapsed="false">
      <c r="A6" s="13" t="s">
        <v>123</v>
      </c>
      <c r="B6" s="14" t="n">
        <f aca="false">SUMIFS(Campaigns!F$7:F$300,Campaigns!D$7:D$300,$A6)</f>
        <v>7126.453841</v>
      </c>
      <c r="C6" s="14" t="n">
        <f aca="false">SUMIFS(Campaigns!G$7:G$300,Campaigns!D$7:D$300,$A6)</f>
        <v>25908.552571</v>
      </c>
      <c r="D6" s="14" t="n">
        <f aca="false">SUMIFS(Campaigns!H$7:H$300,Campaigns!D$7:D$300,$A6)</f>
        <v>35880.040369</v>
      </c>
      <c r="E6" s="14" t="n">
        <f aca="false">SUMIFS(Campaigns!I$7:I$300,Campaigns!D$7:D$300,$A6)</f>
        <v>14545.648849</v>
      </c>
      <c r="F6" s="14" t="n">
        <f aca="false">SUMIFS(Campaigns!J$7:J$300,Campaigns!D$7:D$300,$A6)</f>
        <v>13085.623223</v>
      </c>
      <c r="G6" s="14" t="n">
        <f aca="false">SUMIFS(Campaigns!K$7:K$300,Campaigns!D$7:D$300,$A6)</f>
        <v>12652.038629</v>
      </c>
      <c r="H6" s="14" t="n">
        <f aca="false">SUMIFS(Campaigns!L$7:L$300,Campaigns!D$7:D$300,$A6)</f>
        <v>14192.077451</v>
      </c>
      <c r="I6" s="14" t="n">
        <f aca="false">SUMIFS(Campaigns!M$7:M$300,Campaigns!D$7:D$300,$A6)</f>
        <v>7742.180494</v>
      </c>
      <c r="J6" s="14" t="n">
        <f aca="false">SUMIFS(Campaigns!N$7:N$300,Campaigns!D$7:D$300,$A6)</f>
        <v>8054.014629</v>
      </c>
      <c r="K6" s="14" t="n">
        <f aca="false">SUMIFS(Campaigns!O$7:O$300,Campaigns!D$7:D$300,$A6)</f>
        <v>0</v>
      </c>
      <c r="L6" s="14" t="n">
        <f aca="false">SUMIFS(Campaigns!P$7:P$300,Campaigns!D$7:D$300,$A6)</f>
        <v>0</v>
      </c>
      <c r="M6" s="14" t="n">
        <f aca="false">SUMIFS(Campaigns!Q$7:Q$300,Campaigns!D$7:D$300,$A6)</f>
        <v>0</v>
      </c>
      <c r="N6" s="15" t="n">
        <f aca="false">SUM(B6:M6)</f>
        <v>139186.630056</v>
      </c>
      <c r="O6" s="20" t="n">
        <f aca="false">IF($N$11=0,"",N6/$N$11)</f>
        <v>0.499590590388507</v>
      </c>
      <c r="P6" s="17" t="str">
        <f aca="false">IF(O6="","",REPT("█",ROUND(O6*40,0)))</f>
        <v>████████████████████</v>
      </c>
    </row>
    <row r="7" customFormat="false" ht="15" hidden="false" customHeight="false" outlineLevel="0" collapsed="false">
      <c r="A7" s="13" t="s">
        <v>124</v>
      </c>
      <c r="B7" s="14" t="n">
        <f aca="false">SUMIFS(Campaigns!F$7:F$300,Campaigns!D$7:D$300,$A7)</f>
        <v>9759.708378</v>
      </c>
      <c r="C7" s="14" t="n">
        <f aca="false">SUMIFS(Campaigns!G$7:G$300,Campaigns!D$7:D$300,$A7)</f>
        <v>13572.107161</v>
      </c>
      <c r="D7" s="14" t="n">
        <f aca="false">SUMIFS(Campaigns!H$7:H$300,Campaigns!D$7:D$300,$A7)</f>
        <v>11985.847479</v>
      </c>
      <c r="E7" s="14" t="n">
        <f aca="false">SUMIFS(Campaigns!I$7:I$300,Campaigns!D$7:D$300,$A7)</f>
        <v>17089.085852</v>
      </c>
      <c r="F7" s="14" t="n">
        <f aca="false">SUMIFS(Campaigns!J$7:J$300,Campaigns!D$7:D$300,$A7)</f>
        <v>20692.674656</v>
      </c>
      <c r="G7" s="14" t="n">
        <f aca="false">SUMIFS(Campaigns!K$7:K$300,Campaigns!D$7:D$300,$A7)</f>
        <v>17745.404784</v>
      </c>
      <c r="H7" s="14" t="n">
        <f aca="false">SUMIFS(Campaigns!L$7:L$300,Campaigns!D$7:D$300,$A7)</f>
        <v>14865.250623</v>
      </c>
      <c r="I7" s="14" t="n">
        <f aca="false">SUMIFS(Campaigns!M$7:M$300,Campaigns!D$7:D$300,$A7)</f>
        <v>12429.062521</v>
      </c>
      <c r="J7" s="14" t="n">
        <f aca="false">SUMIFS(Campaigns!N$7:N$300,Campaigns!D$7:D$300,$A7)</f>
        <v>7912.141497</v>
      </c>
      <c r="K7" s="14" t="n">
        <f aca="false">SUMIFS(Campaigns!O$7:O$300,Campaigns!D$7:D$300,$A7)</f>
        <v>0</v>
      </c>
      <c r="L7" s="14" t="n">
        <f aca="false">SUMIFS(Campaigns!P$7:P$300,Campaigns!D$7:D$300,$A7)</f>
        <v>0</v>
      </c>
      <c r="M7" s="14" t="n">
        <f aca="false">SUMIFS(Campaigns!Q$7:Q$300,Campaigns!D$7:D$300,$A7)</f>
        <v>0</v>
      </c>
      <c r="N7" s="15" t="n">
        <f aca="false">SUM(B7:M7)</f>
        <v>126051.282951</v>
      </c>
      <c r="O7" s="20" t="n">
        <f aca="false">IF($N$11=0,"",N7/$N$11)</f>
        <v>0.452443132241811</v>
      </c>
      <c r="P7" s="17" t="str">
        <f aca="false">IF(O7="","",REPT("█",ROUND(O7*40,0)))</f>
        <v>██████████████████</v>
      </c>
    </row>
    <row r="8" customFormat="false" ht="15" hidden="false" customHeight="false" outlineLevel="0" collapsed="false">
      <c r="A8" s="13" t="s">
        <v>125</v>
      </c>
      <c r="B8" s="14" t="n">
        <f aca="false">SUMIFS(Campaigns!F$7:F$300,Campaigns!D$7:D$300,$A8)</f>
        <v>2045.21</v>
      </c>
      <c r="C8" s="14" t="n">
        <f aca="false">SUMIFS(Campaigns!G$7:G$300,Campaigns!D$7:D$300,$A8)</f>
        <v>556.5</v>
      </c>
      <c r="D8" s="14" t="n">
        <f aca="false">SUMIFS(Campaigns!H$7:H$300,Campaigns!D$7:D$300,$A8)</f>
        <v>634.17</v>
      </c>
      <c r="E8" s="14" t="n">
        <f aca="false">SUMIFS(Campaigns!I$7:I$300,Campaigns!D$7:D$300,$A8)</f>
        <v>579.09</v>
      </c>
      <c r="F8" s="14" t="n">
        <f aca="false">SUMIFS(Campaigns!J$7:J$300,Campaigns!D$7:D$300,$A8)</f>
        <v>561.84</v>
      </c>
      <c r="G8" s="14" t="n">
        <f aca="false">SUMIFS(Campaigns!K$7:K$300,Campaigns!D$7:D$300,$A8)</f>
        <v>1012.22</v>
      </c>
      <c r="H8" s="14" t="n">
        <f aca="false">SUMIFS(Campaigns!L$7:L$300,Campaigns!D$7:D$300,$A8)</f>
        <v>3047.53</v>
      </c>
      <c r="I8" s="14" t="n">
        <f aca="false">SUMIFS(Campaigns!M$7:M$300,Campaigns!D$7:D$300,$A8)</f>
        <v>2719.28</v>
      </c>
      <c r="J8" s="14" t="n">
        <f aca="false">SUMIFS(Campaigns!N$7:N$300,Campaigns!D$7:D$300,$A8)</f>
        <v>1951.052062</v>
      </c>
      <c r="K8" s="14" t="n">
        <f aca="false">SUMIFS(Campaigns!O$7:O$300,Campaigns!D$7:D$300,$A8)</f>
        <v>0</v>
      </c>
      <c r="L8" s="14" t="n">
        <f aca="false">SUMIFS(Campaigns!P$7:P$300,Campaigns!D$7:D$300,$A8)</f>
        <v>0</v>
      </c>
      <c r="M8" s="14" t="n">
        <f aca="false">SUMIFS(Campaigns!Q$7:Q$300,Campaigns!D$7:D$300,$A8)</f>
        <v>0</v>
      </c>
      <c r="N8" s="15" t="n">
        <f aca="false">SUM(B8:M8)</f>
        <v>13106.892062</v>
      </c>
      <c r="O8" s="20" t="n">
        <f aca="false">IF($N$11=0,"",N8/$N$11)</f>
        <v>0.0470453228214411</v>
      </c>
      <c r="P8" s="17" t="str">
        <f aca="false">IF(O8="","",REPT("█",ROUND(O8*40,0)))</f>
        <v>██</v>
      </c>
    </row>
    <row r="9" customFormat="false" ht="15" hidden="false" customHeight="false" outlineLevel="0" collapsed="false">
      <c r="A9" s="13" t="s">
        <v>126</v>
      </c>
      <c r="B9" s="14" t="n">
        <f aca="false">SUMIFS(Campaigns!F$7:F$300,Campaigns!D$7:D$300,$A9)</f>
        <v>0</v>
      </c>
      <c r="C9" s="14" t="n">
        <f aca="false">SUMIFS(Campaigns!G$7:G$300,Campaigns!D$7:D$300,$A9)</f>
        <v>0</v>
      </c>
      <c r="D9" s="14" t="n">
        <f aca="false">SUMIFS(Campaigns!H$7:H$300,Campaigns!D$7:D$300,$A9)</f>
        <v>0</v>
      </c>
      <c r="E9" s="14" t="n">
        <f aca="false">SUMIFS(Campaigns!I$7:I$300,Campaigns!D$7:D$300,$A9)</f>
        <v>0</v>
      </c>
      <c r="F9" s="14" t="n">
        <f aca="false">SUMIFS(Campaigns!J$7:J$300,Campaigns!D$7:D$300,$A9)</f>
        <v>0</v>
      </c>
      <c r="G9" s="14" t="n">
        <f aca="false">SUMIFS(Campaigns!K$7:K$300,Campaigns!D$7:D$300,$A9)</f>
        <v>0</v>
      </c>
      <c r="H9" s="14" t="n">
        <f aca="false">SUMIFS(Campaigns!L$7:L$300,Campaigns!D$7:D$300,$A9)</f>
        <v>0</v>
      </c>
      <c r="I9" s="14" t="n">
        <f aca="false">SUMIFS(Campaigns!M$7:M$300,Campaigns!D$7:D$300,$A9)</f>
        <v>0</v>
      </c>
      <c r="J9" s="14" t="n">
        <f aca="false">SUMIFS(Campaigns!N$7:N$300,Campaigns!D$7:D$300,$A9)</f>
        <v>256.579212</v>
      </c>
      <c r="K9" s="14" t="n">
        <f aca="false">SUMIFS(Campaigns!O$7:O$300,Campaigns!D$7:D$300,$A9)</f>
        <v>0</v>
      </c>
      <c r="L9" s="14" t="n">
        <f aca="false">SUMIFS(Campaigns!P$7:P$300,Campaigns!D$7:D$300,$A9)</f>
        <v>0</v>
      </c>
      <c r="M9" s="14" t="n">
        <f aca="false">SUMIFS(Campaigns!Q$7:Q$300,Campaigns!D$7:D$300,$A9)</f>
        <v>0</v>
      </c>
      <c r="N9" s="15" t="n">
        <f aca="false">SUM(B9:M9)</f>
        <v>256.579212</v>
      </c>
      <c r="O9" s="20" t="n">
        <f aca="false">IF($N$11=0,"",N9/$N$11)</f>
        <v>0.000920954548241626</v>
      </c>
      <c r="P9" s="17" t="str">
        <f aca="false">IF(O9="","",REPT("█",ROUND(O9*40,0)))</f>
        <v/>
      </c>
    </row>
    <row r="10" customFormat="false" ht="15" hidden="false" customHeight="false" outlineLevel="0" collapsed="false">
      <c r="A10" s="51" t="s">
        <v>127</v>
      </c>
      <c r="B10" s="14" t="n">
        <f aca="false">Campaigns!F$6-SUM(B6:B9)</f>
        <v>0</v>
      </c>
      <c r="C10" s="14" t="n">
        <f aca="false">Campaigns!G$6-SUM(C6:C9)</f>
        <v>0</v>
      </c>
      <c r="D10" s="14" t="n">
        <f aca="false">Campaigns!H$6-SUM(D6:D9)</f>
        <v>0</v>
      </c>
      <c r="E10" s="14" t="n">
        <f aca="false">Campaigns!I$6-SUM(E6:E9)</f>
        <v>0</v>
      </c>
      <c r="F10" s="14" t="n">
        <f aca="false">Campaigns!J$6-SUM(F6:F9)</f>
        <v>0</v>
      </c>
      <c r="G10" s="14" t="n">
        <f aca="false">Campaigns!K$6-SUM(G6:G9)</f>
        <v>0</v>
      </c>
      <c r="H10" s="14" t="n">
        <f aca="false">Campaigns!L$6-SUM(H6:H9)</f>
        <v>0</v>
      </c>
      <c r="I10" s="14" t="n">
        <f aca="false">Campaigns!M$6-SUM(I6:I9)</f>
        <v>0</v>
      </c>
      <c r="J10" s="14" t="n">
        <f aca="false">Campaigns!N$6-SUM(J6:J9)</f>
        <v>0</v>
      </c>
      <c r="K10" s="14" t="n">
        <f aca="false">Campaigns!O$6-SUM(K6:K9)</f>
        <v>0</v>
      </c>
      <c r="L10" s="14" t="n">
        <f aca="false">Campaigns!P$6-SUM(L6:L9)</f>
        <v>0</v>
      </c>
      <c r="M10" s="14" t="n">
        <f aca="false">Campaigns!Q$6-SUM(M6:M9)</f>
        <v>0</v>
      </c>
      <c r="N10" s="15" t="n">
        <f aca="false">SUM(B10:M10)</f>
        <v>0</v>
      </c>
      <c r="O10" s="20" t="n">
        <f aca="false">IF($N$11=0,"",N10/$N$11)</f>
        <v>0</v>
      </c>
      <c r="P10" s="17" t="str">
        <f aca="false">IF(O10="","",REPT("█",ROUND(O10*40,0)))</f>
        <v/>
      </c>
    </row>
    <row r="11" customFormat="false" ht="15" hidden="false" customHeight="false" outlineLevel="0" collapsed="false">
      <c r="A11" s="24" t="s">
        <v>32</v>
      </c>
      <c r="B11" s="30" t="n">
        <f aca="false">SUM(B6:B10)</f>
        <v>18931.372219</v>
      </c>
      <c r="C11" s="30" t="n">
        <f aca="false">SUM(C6:C10)</f>
        <v>40037.159732</v>
      </c>
      <c r="D11" s="30" t="n">
        <f aca="false">SUM(D6:D10)</f>
        <v>48500.057848</v>
      </c>
      <c r="E11" s="30" t="n">
        <f aca="false">SUM(E6:E10)</f>
        <v>32213.824701</v>
      </c>
      <c r="F11" s="30" t="n">
        <f aca="false">SUM(F6:F10)</f>
        <v>34340.137879</v>
      </c>
      <c r="G11" s="30" t="n">
        <f aca="false">SUM(G6:G10)</f>
        <v>31409.663413</v>
      </c>
      <c r="H11" s="30" t="n">
        <f aca="false">SUM(H6:H10)</f>
        <v>32104.858074</v>
      </c>
      <c r="I11" s="30" t="n">
        <f aca="false">SUM(I6:I10)</f>
        <v>22890.523015</v>
      </c>
      <c r="J11" s="30" t="n">
        <f aca="false">SUM(J6:J10)</f>
        <v>18173.7874</v>
      </c>
      <c r="K11" s="30" t="n">
        <f aca="false">SUM(K6:K10)</f>
        <v>0</v>
      </c>
      <c r="L11" s="30" t="n">
        <f aca="false">SUM(L6:L10)</f>
        <v>0</v>
      </c>
      <c r="M11" s="30" t="n">
        <f aca="false">SUM(M6:M10)</f>
        <v>0</v>
      </c>
      <c r="N11" s="30" t="n">
        <f aca="false">SUM(B11:M11)</f>
        <v>278601.384281</v>
      </c>
      <c r="O11" s="52" t="n">
        <f aca="false">IF($N$11=0,"",N11/$N$11)</f>
        <v>1</v>
      </c>
      <c r="P11" s="53"/>
    </row>
    <row r="14" customFormat="false" ht="15" hidden="false" customHeight="false" outlineLevel="0" collapsed="false">
      <c r="A14" s="10" t="s">
        <v>128</v>
      </c>
      <c r="B14" s="11"/>
      <c r="C14" s="11"/>
      <c r="D14" s="11"/>
      <c r="E14" s="11"/>
      <c r="F14" s="11"/>
      <c r="G14" s="11"/>
      <c r="H14" s="11"/>
      <c r="I14" s="11"/>
      <c r="J14" s="11"/>
      <c r="K14" s="11"/>
      <c r="L14" s="11"/>
      <c r="M14" s="11"/>
      <c r="N14" s="11"/>
      <c r="O14" s="11"/>
      <c r="P14" s="11"/>
      <c r="Q14" s="11"/>
    </row>
    <row r="15" customFormat="false" ht="30" hidden="false" customHeight="true" outlineLevel="0" collapsed="false">
      <c r="A15" s="12" t="s">
        <v>129</v>
      </c>
      <c r="B15" s="12" t="s">
        <v>121</v>
      </c>
      <c r="C15" s="12" t="str">
        <f aca="false">TEXT(Campaigns!F3,"mmm")</f>
        <v>Jan</v>
      </c>
      <c r="D15" s="12" t="str">
        <f aca="false">TEXT(Campaigns!G3,"mmm")</f>
        <v>Feb</v>
      </c>
      <c r="E15" s="12" t="str">
        <f aca="false">TEXT(Campaigns!H3,"mmm")</f>
        <v>Mar</v>
      </c>
      <c r="F15" s="12" t="str">
        <f aca="false">TEXT(Campaigns!I3,"mmm")</f>
        <v>Apr</v>
      </c>
      <c r="G15" s="12" t="str">
        <f aca="false">TEXT(Campaigns!J3,"mmm")</f>
        <v>May</v>
      </c>
      <c r="H15" s="12" t="str">
        <f aca="false">TEXT(Campaigns!K3,"mmm")</f>
        <v>Jun</v>
      </c>
      <c r="I15" s="12" t="str">
        <f aca="false">TEXT(Campaigns!L3,"mmm")</f>
        <v>Jul</v>
      </c>
      <c r="J15" s="12" t="str">
        <f aca="false">TEXT(Campaigns!M3,"mmm")</f>
        <v>Aug</v>
      </c>
      <c r="K15" s="12" t="str">
        <f aca="false">TEXT(Campaigns!N3,"mmm")</f>
        <v>Sep</v>
      </c>
      <c r="L15" s="12" t="str">
        <f aca="false">TEXT(Campaigns!O3,"mmm")</f>
        <v>Oct</v>
      </c>
      <c r="M15" s="12" t="str">
        <f aca="false">TEXT(Campaigns!P3,"mmm")</f>
        <v>Nov</v>
      </c>
      <c r="N15" s="12" t="str">
        <f aca="false">TEXT(Campaigns!Q3,"mmm")</f>
        <v>Dec</v>
      </c>
      <c r="O15" s="12" t="s">
        <v>32</v>
      </c>
      <c r="P15" s="12" t="s">
        <v>12</v>
      </c>
      <c r="Q15" s="12" t="s">
        <v>122</v>
      </c>
    </row>
    <row r="16" customFormat="false" ht="15" hidden="false" customHeight="false" outlineLevel="0" collapsed="false">
      <c r="A16" s="13" t="s">
        <v>130</v>
      </c>
      <c r="B16" s="29" t="s">
        <v>123</v>
      </c>
      <c r="C16" s="14" t="n">
        <f aca="false">SUMIFS(Campaigns!F$7:F$300,Campaigns!C$7:C$300,$A16)</f>
        <v>5954.746577</v>
      </c>
      <c r="D16" s="14" t="n">
        <f aca="false">SUMIFS(Campaigns!G$7:G$300,Campaigns!C$7:C$300,$A16)</f>
        <v>23854.655874</v>
      </c>
      <c r="E16" s="14" t="n">
        <f aca="false">SUMIFS(Campaigns!H$7:H$300,Campaigns!C$7:C$300,$A16)</f>
        <v>33746.742264</v>
      </c>
      <c r="F16" s="14" t="n">
        <f aca="false">SUMIFS(Campaigns!I$7:I$300,Campaigns!C$7:C$300,$A16)</f>
        <v>12417.615111</v>
      </c>
      <c r="G16" s="14" t="n">
        <f aca="false">SUMIFS(Campaigns!J$7:J$300,Campaigns!C$7:C$300,$A16)</f>
        <v>10916.636957</v>
      </c>
      <c r="H16" s="14" t="n">
        <f aca="false">SUMIFS(Campaigns!K$7:K$300,Campaigns!C$7:C$300,$A16)</f>
        <v>10700.713261</v>
      </c>
      <c r="I16" s="14" t="n">
        <f aca="false">SUMIFS(Campaigns!L$7:L$300,Campaigns!C$7:C$300,$A16)</f>
        <v>10124.509146</v>
      </c>
      <c r="J16" s="14" t="n">
        <f aca="false">SUMIFS(Campaigns!M$7:M$300,Campaigns!C$7:C$300,$A16)</f>
        <v>5240.349938</v>
      </c>
      <c r="K16" s="14" t="n">
        <f aca="false">SUMIFS(Campaigns!N$7:N$300,Campaigns!C$7:C$300,$A16)</f>
        <v>3416.804629</v>
      </c>
      <c r="L16" s="14" t="n">
        <f aca="false">SUMIFS(Campaigns!O$7:O$300,Campaigns!C$7:C$300,$A16)</f>
        <v>0</v>
      </c>
      <c r="M16" s="14" t="n">
        <f aca="false">SUMIFS(Campaigns!P$7:P$300,Campaigns!C$7:C$300,$A16)</f>
        <v>0</v>
      </c>
      <c r="N16" s="14" t="n">
        <f aca="false">SUMIFS(Campaigns!Q$7:Q$300,Campaigns!C$7:C$300,$A16)</f>
        <v>0</v>
      </c>
      <c r="O16" s="15" t="n">
        <f aca="false">SUM(C16:N16)</f>
        <v>116372.773757</v>
      </c>
      <c r="P16" s="20" t="n">
        <f aca="false">IF($O$35=0,"",O16/$O$35)</f>
        <v>0.417703501572072</v>
      </c>
      <c r="Q16" s="17" t="str">
        <f aca="false">IF(P16="","",REPT("█",ROUND(P16*40,0)))</f>
        <v>█████████████████</v>
      </c>
    </row>
    <row r="17" customFormat="false" ht="15" hidden="false" customHeight="false" outlineLevel="0" collapsed="false">
      <c r="A17" s="13" t="s">
        <v>131</v>
      </c>
      <c r="B17" s="29" t="s">
        <v>124</v>
      </c>
      <c r="C17" s="14" t="n">
        <f aca="false">SUMIFS(Campaigns!F$7:F$300,Campaigns!C$7:C$300,$A17)</f>
        <v>1545.251655</v>
      </c>
      <c r="D17" s="14" t="n">
        <f aca="false">SUMIFS(Campaigns!G$7:G$300,Campaigns!C$7:C$300,$A17)</f>
        <v>3357.030975</v>
      </c>
      <c r="E17" s="14" t="n">
        <f aca="false">SUMIFS(Campaigns!H$7:H$300,Campaigns!C$7:C$300,$A17)</f>
        <v>4056.597917</v>
      </c>
      <c r="F17" s="14" t="n">
        <f aca="false">SUMIFS(Campaigns!I$7:I$300,Campaigns!C$7:C$300,$A17)</f>
        <v>4268.258964</v>
      </c>
      <c r="G17" s="14" t="n">
        <f aca="false">SUMIFS(Campaigns!J$7:J$300,Campaigns!C$7:C$300,$A17)</f>
        <v>4599.513672</v>
      </c>
      <c r="H17" s="14" t="n">
        <f aca="false">SUMIFS(Campaigns!K$7:K$300,Campaigns!C$7:C$300,$A17)</f>
        <v>4415.793852</v>
      </c>
      <c r="I17" s="14" t="n">
        <f aca="false">SUMIFS(Campaigns!L$7:L$300,Campaigns!C$7:C$300,$A17)</f>
        <v>3550.64716</v>
      </c>
      <c r="J17" s="14" t="n">
        <f aca="false">SUMIFS(Campaigns!M$7:M$300,Campaigns!C$7:C$300,$A17)</f>
        <v>1859.136065</v>
      </c>
      <c r="K17" s="14" t="n">
        <f aca="false">SUMIFS(Campaigns!N$7:N$300,Campaigns!C$7:C$300,$A17)</f>
        <v>1096.238474</v>
      </c>
      <c r="L17" s="14" t="n">
        <f aca="false">SUMIFS(Campaigns!O$7:O$300,Campaigns!C$7:C$300,$A17)</f>
        <v>0</v>
      </c>
      <c r="M17" s="14" t="n">
        <f aca="false">SUMIFS(Campaigns!P$7:P$300,Campaigns!C$7:C$300,$A17)</f>
        <v>0</v>
      </c>
      <c r="N17" s="14" t="n">
        <f aca="false">SUMIFS(Campaigns!Q$7:Q$300,Campaigns!C$7:C$300,$A17)</f>
        <v>0</v>
      </c>
      <c r="O17" s="15" t="n">
        <f aca="false">SUM(C17:N17)</f>
        <v>28748.468734</v>
      </c>
      <c r="P17" s="20" t="n">
        <f aca="false">IF($O$35=0,"",O17/$O$35)</f>
        <v>0.103188535147421</v>
      </c>
      <c r="Q17" s="17" t="str">
        <f aca="false">IF(P17="","",REPT("█",ROUND(P17*40,0)))</f>
        <v>████</v>
      </c>
    </row>
    <row r="18" customFormat="false" ht="15" hidden="false" customHeight="false" outlineLevel="0" collapsed="false">
      <c r="A18" s="13" t="s">
        <v>132</v>
      </c>
      <c r="B18" s="29" t="s">
        <v>124</v>
      </c>
      <c r="C18" s="14" t="n">
        <f aca="false">SUMIFS(Campaigns!F$7:F$300,Campaigns!C$7:C$300,$A18)</f>
        <v>2773.28076</v>
      </c>
      <c r="D18" s="14" t="n">
        <f aca="false">SUMIFS(Campaigns!G$7:G$300,Campaigns!C$7:C$300,$A18)</f>
        <v>2786.773248</v>
      </c>
      <c r="E18" s="14" t="n">
        <f aca="false">SUMIFS(Campaigns!H$7:H$300,Campaigns!C$7:C$300,$A18)</f>
        <v>2200.97</v>
      </c>
      <c r="F18" s="14" t="n">
        <f aca="false">SUMIFS(Campaigns!I$7:I$300,Campaigns!C$7:C$300,$A18)</f>
        <v>2116.08</v>
      </c>
      <c r="G18" s="14" t="n">
        <f aca="false">SUMIFS(Campaigns!J$7:J$300,Campaigns!C$7:C$300,$A18)</f>
        <v>2121.95</v>
      </c>
      <c r="H18" s="14" t="n">
        <f aca="false">SUMIFS(Campaigns!K$7:K$300,Campaigns!C$7:C$300,$A18)</f>
        <v>2619.659673</v>
      </c>
      <c r="I18" s="14" t="n">
        <f aca="false">SUMIFS(Campaigns!L$7:L$300,Campaigns!C$7:C$300,$A18)</f>
        <v>2480.511339</v>
      </c>
      <c r="J18" s="14" t="n">
        <f aca="false">SUMIFS(Campaigns!M$7:M$300,Campaigns!C$7:C$300,$A18)</f>
        <v>5222.714212</v>
      </c>
      <c r="K18" s="14" t="n">
        <f aca="false">SUMIFS(Campaigns!N$7:N$300,Campaigns!C$7:C$300,$A18)</f>
        <v>4339.265844</v>
      </c>
      <c r="L18" s="14" t="n">
        <f aca="false">SUMIFS(Campaigns!O$7:O$300,Campaigns!C$7:C$300,$A18)</f>
        <v>0</v>
      </c>
      <c r="M18" s="14" t="n">
        <f aca="false">SUMIFS(Campaigns!P$7:P$300,Campaigns!C$7:C$300,$A18)</f>
        <v>0</v>
      </c>
      <c r="N18" s="14" t="n">
        <f aca="false">SUMIFS(Campaigns!Q$7:Q$300,Campaigns!C$7:C$300,$A18)</f>
        <v>0</v>
      </c>
      <c r="O18" s="15" t="n">
        <f aca="false">SUM(C18:N18)</f>
        <v>26661.205076</v>
      </c>
      <c r="P18" s="20" t="n">
        <f aca="false">IF($O$35=0,"",O18/$O$35)</f>
        <v>0.0956965994437029</v>
      </c>
      <c r="Q18" s="17" t="str">
        <f aca="false">IF(P18="","",REPT("█",ROUND(P18*40,0)))</f>
        <v>████</v>
      </c>
    </row>
    <row r="19" customFormat="false" ht="15" hidden="false" customHeight="false" outlineLevel="0" collapsed="false">
      <c r="A19" s="13" t="s">
        <v>133</v>
      </c>
      <c r="B19" s="29" t="s">
        <v>124</v>
      </c>
      <c r="C19" s="14" t="n">
        <f aca="false">SUMIFS(Campaigns!F$7:F$300,Campaigns!C$7:C$300,$A19)</f>
        <v>71.253375</v>
      </c>
      <c r="D19" s="14" t="n">
        <f aca="false">SUMIFS(Campaigns!G$7:G$300,Campaigns!C$7:C$300,$A19)</f>
        <v>339.031941</v>
      </c>
      <c r="E19" s="14" t="n">
        <f aca="false">SUMIFS(Campaigns!H$7:H$300,Campaigns!C$7:C$300,$A19)</f>
        <v>165.464308</v>
      </c>
      <c r="F19" s="14" t="n">
        <f aca="false">SUMIFS(Campaigns!I$7:I$300,Campaigns!C$7:C$300,$A19)</f>
        <v>5434.087237</v>
      </c>
      <c r="G19" s="14" t="n">
        <f aca="false">SUMIFS(Campaigns!J$7:J$300,Campaigns!C$7:C$300,$A19)</f>
        <v>8466.191997</v>
      </c>
      <c r="H19" s="14" t="n">
        <f aca="false">SUMIFS(Campaigns!K$7:K$300,Campaigns!C$7:C$300,$A19)</f>
        <v>5154.640071</v>
      </c>
      <c r="I19" s="14" t="n">
        <f aca="false">SUMIFS(Campaigns!L$7:L$300,Campaigns!C$7:C$300,$A19)</f>
        <v>3328.572806</v>
      </c>
      <c r="J19" s="14" t="n">
        <f aca="false">SUMIFS(Campaigns!M$7:M$300,Campaigns!C$7:C$300,$A19)</f>
        <v>2222.062075</v>
      </c>
      <c r="K19" s="14" t="n">
        <f aca="false">SUMIFS(Campaigns!N$7:N$300,Campaigns!C$7:C$300,$A19)</f>
        <v>1178.52</v>
      </c>
      <c r="L19" s="14" t="n">
        <f aca="false">SUMIFS(Campaigns!O$7:O$300,Campaigns!C$7:C$300,$A19)</f>
        <v>0</v>
      </c>
      <c r="M19" s="14" t="n">
        <f aca="false">SUMIFS(Campaigns!P$7:P$300,Campaigns!C$7:C$300,$A19)</f>
        <v>0</v>
      </c>
      <c r="N19" s="14" t="n">
        <f aca="false">SUMIFS(Campaigns!Q$7:Q$300,Campaigns!C$7:C$300,$A19)</f>
        <v>0</v>
      </c>
      <c r="O19" s="15" t="n">
        <f aca="false">SUM(C19:N19)</f>
        <v>26359.82381</v>
      </c>
      <c r="P19" s="20" t="n">
        <f aca="false">IF($O$35=0,"",O19/$O$35)</f>
        <v>0.0946148343018039</v>
      </c>
      <c r="Q19" s="17" t="str">
        <f aca="false">IF(P19="","",REPT("█",ROUND(P19*40,0)))</f>
        <v>████</v>
      </c>
    </row>
    <row r="20" customFormat="false" ht="15" hidden="false" customHeight="false" outlineLevel="0" collapsed="false">
      <c r="A20" s="13" t="s">
        <v>134</v>
      </c>
      <c r="B20" s="29" t="s">
        <v>124</v>
      </c>
      <c r="C20" s="14" t="n">
        <f aca="false">SUMIFS(Campaigns!F$7:F$300,Campaigns!C$7:C$300,$A20)</f>
        <v>3455.827807</v>
      </c>
      <c r="D20" s="14" t="n">
        <f aca="false">SUMIFS(Campaigns!G$7:G$300,Campaigns!C$7:C$300,$A20)</f>
        <v>3458.310777</v>
      </c>
      <c r="E20" s="14" t="n">
        <f aca="false">SUMIFS(Campaigns!H$7:H$300,Campaigns!C$7:C$300,$A20)</f>
        <v>951.006222</v>
      </c>
      <c r="F20" s="14" t="n">
        <f aca="false">SUMIFS(Campaigns!I$7:I$300,Campaigns!C$7:C$300,$A20)</f>
        <v>780.836397</v>
      </c>
      <c r="G20" s="14" t="n">
        <f aca="false">SUMIFS(Campaigns!J$7:J$300,Campaigns!C$7:C$300,$A20)</f>
        <v>1889.997169</v>
      </c>
      <c r="H20" s="14" t="n">
        <f aca="false">SUMIFS(Campaigns!K$7:K$300,Campaigns!C$7:C$300,$A20)</f>
        <v>2786.146675</v>
      </c>
      <c r="I20" s="14" t="n">
        <f aca="false">SUMIFS(Campaigns!L$7:L$300,Campaigns!C$7:C$300,$A20)</f>
        <v>2436.530115</v>
      </c>
      <c r="J20" s="14" t="n">
        <f aca="false">SUMIFS(Campaigns!M$7:M$300,Campaigns!C$7:C$300,$A20)</f>
        <v>1359.067315</v>
      </c>
      <c r="K20" s="14" t="n">
        <f aca="false">SUMIFS(Campaigns!N$7:N$300,Campaigns!C$7:C$300,$A20)</f>
        <v>561.387179</v>
      </c>
      <c r="L20" s="14" t="n">
        <f aca="false">SUMIFS(Campaigns!O$7:O$300,Campaigns!C$7:C$300,$A20)</f>
        <v>0</v>
      </c>
      <c r="M20" s="14" t="n">
        <f aca="false">SUMIFS(Campaigns!P$7:P$300,Campaigns!C$7:C$300,$A20)</f>
        <v>0</v>
      </c>
      <c r="N20" s="14" t="n">
        <f aca="false">SUMIFS(Campaigns!Q$7:Q$300,Campaigns!C$7:C$300,$A20)</f>
        <v>0</v>
      </c>
      <c r="O20" s="15" t="n">
        <f aca="false">SUM(C20:N20)</f>
        <v>17679.109656</v>
      </c>
      <c r="P20" s="20" t="n">
        <f aca="false">IF($O$35=0,"",O20/$O$35)</f>
        <v>0.0634566468563153</v>
      </c>
      <c r="Q20" s="17" t="str">
        <f aca="false">IF(P20="","",REPT("█",ROUND(P20*40,0)))</f>
        <v>███</v>
      </c>
    </row>
    <row r="21" customFormat="false" ht="15" hidden="false" customHeight="false" outlineLevel="0" collapsed="false">
      <c r="A21" s="13" t="s">
        <v>135</v>
      </c>
      <c r="B21" s="29" t="s">
        <v>125</v>
      </c>
      <c r="C21" s="14" t="n">
        <f aca="false">SUMIFS(Campaigns!F$7:F$300,Campaigns!C$7:C$300,$A21)</f>
        <v>2045.21</v>
      </c>
      <c r="D21" s="14" t="n">
        <f aca="false">SUMIFS(Campaigns!G$7:G$300,Campaigns!C$7:C$300,$A21)</f>
        <v>556.5</v>
      </c>
      <c r="E21" s="14" t="n">
        <f aca="false">SUMIFS(Campaigns!H$7:H$300,Campaigns!C$7:C$300,$A21)</f>
        <v>634.17</v>
      </c>
      <c r="F21" s="14" t="n">
        <f aca="false">SUMIFS(Campaigns!I$7:I$300,Campaigns!C$7:C$300,$A21)</f>
        <v>579.09</v>
      </c>
      <c r="G21" s="14" t="n">
        <f aca="false">SUMIFS(Campaigns!J$7:J$300,Campaigns!C$7:C$300,$A21)</f>
        <v>561.84</v>
      </c>
      <c r="H21" s="14" t="n">
        <f aca="false">SUMIFS(Campaigns!K$7:K$300,Campaigns!C$7:C$300,$A21)</f>
        <v>1012.22</v>
      </c>
      <c r="I21" s="14" t="n">
        <f aca="false">SUMIFS(Campaigns!L$7:L$300,Campaigns!C$7:C$300,$A21)</f>
        <v>3047.53</v>
      </c>
      <c r="J21" s="14" t="n">
        <f aca="false">SUMIFS(Campaigns!M$7:M$300,Campaigns!C$7:C$300,$A21)</f>
        <v>2719.28</v>
      </c>
      <c r="K21" s="14" t="n">
        <f aca="false">SUMIFS(Campaigns!N$7:N$300,Campaigns!C$7:C$300,$A21)</f>
        <v>1951.052062</v>
      </c>
      <c r="L21" s="14" t="n">
        <f aca="false">SUMIFS(Campaigns!O$7:O$300,Campaigns!C$7:C$300,$A21)</f>
        <v>0</v>
      </c>
      <c r="M21" s="14" t="n">
        <f aca="false">SUMIFS(Campaigns!P$7:P$300,Campaigns!C$7:C$300,$A21)</f>
        <v>0</v>
      </c>
      <c r="N21" s="14" t="n">
        <f aca="false">SUMIFS(Campaigns!Q$7:Q$300,Campaigns!C$7:C$300,$A21)</f>
        <v>0</v>
      </c>
      <c r="O21" s="15" t="n">
        <f aca="false">SUM(C21:N21)</f>
        <v>13106.892062</v>
      </c>
      <c r="P21" s="20" t="n">
        <f aca="false">IF($O$35=0,"",O21/$O$35)</f>
        <v>0.0470453228214411</v>
      </c>
      <c r="Q21" s="17" t="str">
        <f aca="false">IF(P21="","",REPT("█",ROUND(P21*40,0)))</f>
        <v>██</v>
      </c>
    </row>
    <row r="22" customFormat="false" ht="15" hidden="false" customHeight="false" outlineLevel="0" collapsed="false">
      <c r="A22" s="13" t="s">
        <v>136</v>
      </c>
      <c r="B22" s="29" t="s">
        <v>124</v>
      </c>
      <c r="C22" s="14" t="n">
        <f aca="false">SUMIFS(Campaigns!F$7:F$300,Campaigns!C$7:C$300,$A22)</f>
        <v>134.492841</v>
      </c>
      <c r="D22" s="14" t="n">
        <f aca="false">SUMIFS(Campaigns!G$7:G$300,Campaigns!C$7:C$300,$A22)</f>
        <v>336.014151</v>
      </c>
      <c r="E22" s="14" t="n">
        <f aca="false">SUMIFS(Campaigns!H$7:H$300,Campaigns!C$7:C$300,$A22)</f>
        <v>339.646676</v>
      </c>
      <c r="F22" s="14" t="n">
        <f aca="false">SUMIFS(Campaigns!I$7:I$300,Campaigns!C$7:C$300,$A22)</f>
        <v>329.94504</v>
      </c>
      <c r="G22" s="14" t="n">
        <f aca="false">SUMIFS(Campaigns!J$7:J$300,Campaigns!C$7:C$300,$A22)</f>
        <v>689.352652</v>
      </c>
      <c r="H22" s="14" t="n">
        <f aca="false">SUMIFS(Campaigns!K$7:K$300,Campaigns!C$7:C$300,$A22)</f>
        <v>2769.164513</v>
      </c>
      <c r="I22" s="14" t="n">
        <f aca="false">SUMIFS(Campaigns!L$7:L$300,Campaigns!C$7:C$300,$A22)</f>
        <v>3068.989203</v>
      </c>
      <c r="J22" s="14" t="n">
        <f aca="false">SUMIFS(Campaigns!M$7:M$300,Campaigns!C$7:C$300,$A22)</f>
        <v>1766.082854</v>
      </c>
      <c r="K22" s="14" t="n">
        <f aca="false">SUMIFS(Campaigns!N$7:N$300,Campaigns!C$7:C$300,$A22)</f>
        <v>736.73</v>
      </c>
      <c r="L22" s="14" t="n">
        <f aca="false">SUMIFS(Campaigns!O$7:O$300,Campaigns!C$7:C$300,$A22)</f>
        <v>0</v>
      </c>
      <c r="M22" s="14" t="n">
        <f aca="false">SUMIFS(Campaigns!P$7:P$300,Campaigns!C$7:C$300,$A22)</f>
        <v>0</v>
      </c>
      <c r="N22" s="14" t="n">
        <f aca="false">SUMIFS(Campaigns!Q$7:Q$300,Campaigns!C$7:C$300,$A22)</f>
        <v>0</v>
      </c>
      <c r="O22" s="15" t="n">
        <f aca="false">SUM(C22:N22)</f>
        <v>10170.41793</v>
      </c>
      <c r="P22" s="20" t="n">
        <f aca="false">IF($O$35=0,"",O22/$O$35)</f>
        <v>0.0365052670367999</v>
      </c>
      <c r="Q22" s="17" t="str">
        <f aca="false">IF(P22="","",REPT("█",ROUND(P22*40,0)))</f>
        <v>█</v>
      </c>
    </row>
    <row r="23" customFormat="false" ht="15" hidden="false" customHeight="false" outlineLevel="0" collapsed="false">
      <c r="A23" s="13" t="s">
        <v>137</v>
      </c>
      <c r="B23" s="29" t="s">
        <v>123</v>
      </c>
      <c r="C23" s="14" t="n">
        <f aca="false">SUMIFS(Campaigns!F$7:F$300,Campaigns!C$7:C$300,$A23)</f>
        <v>422.4906</v>
      </c>
      <c r="D23" s="14" t="n">
        <f aca="false">SUMIFS(Campaigns!G$7:G$300,Campaigns!C$7:C$300,$A23)</f>
        <v>712.936122</v>
      </c>
      <c r="E23" s="14" t="n">
        <f aca="false">SUMIFS(Campaigns!H$7:H$300,Campaigns!C$7:C$300,$A23)</f>
        <v>707.358799</v>
      </c>
      <c r="F23" s="14" t="n">
        <f aca="false">SUMIFS(Campaigns!I$7:I$300,Campaigns!C$7:C$300,$A23)</f>
        <v>714.109707</v>
      </c>
      <c r="G23" s="14" t="n">
        <f aca="false">SUMIFS(Campaigns!J$7:J$300,Campaigns!C$7:C$300,$A23)</f>
        <v>710.600129</v>
      </c>
      <c r="H23" s="14" t="n">
        <f aca="false">SUMIFS(Campaigns!K$7:K$300,Campaigns!C$7:C$300,$A23)</f>
        <v>727.768001</v>
      </c>
      <c r="I23" s="14" t="n">
        <f aca="false">SUMIFS(Campaigns!L$7:L$300,Campaigns!C$7:C$300,$A23)</f>
        <v>676.722642</v>
      </c>
      <c r="J23" s="14" t="n">
        <f aca="false">SUMIFS(Campaigns!M$7:M$300,Campaigns!C$7:C$300,$A23)</f>
        <v>263.508952</v>
      </c>
      <c r="K23" s="14" t="n">
        <f aca="false">SUMIFS(Campaigns!N$7:N$300,Campaigns!C$7:C$300,$A23)</f>
        <v>3692.72</v>
      </c>
      <c r="L23" s="14" t="n">
        <f aca="false">SUMIFS(Campaigns!O$7:O$300,Campaigns!C$7:C$300,$A23)</f>
        <v>0</v>
      </c>
      <c r="M23" s="14" t="n">
        <f aca="false">SUMIFS(Campaigns!P$7:P$300,Campaigns!C$7:C$300,$A23)</f>
        <v>0</v>
      </c>
      <c r="N23" s="14" t="n">
        <f aca="false">SUMIFS(Campaigns!Q$7:Q$300,Campaigns!C$7:C$300,$A23)</f>
        <v>0</v>
      </c>
      <c r="O23" s="15" t="n">
        <f aca="false">SUM(C23:N23)</f>
        <v>8628.214952</v>
      </c>
      <c r="P23" s="20" t="n">
        <f aca="false">IF($O$35=0,"",O23/$O$35)</f>
        <v>0.0309697490350497</v>
      </c>
      <c r="Q23" s="17" t="str">
        <f aca="false">IF(P23="","",REPT("█",ROUND(P23*40,0)))</f>
        <v>█</v>
      </c>
    </row>
    <row r="24" customFormat="false" ht="15" hidden="false" customHeight="false" outlineLevel="0" collapsed="false">
      <c r="A24" s="13" t="s">
        <v>138</v>
      </c>
      <c r="B24" s="29" t="s">
        <v>123</v>
      </c>
      <c r="C24" s="14" t="n">
        <f aca="false">SUMIFS(Campaigns!F$7:F$300,Campaigns!C$7:C$300,$A24)</f>
        <v>416.544436</v>
      </c>
      <c r="D24" s="14" t="n">
        <f aca="false">SUMIFS(Campaigns!G$7:G$300,Campaigns!C$7:C$300,$A24)</f>
        <v>706.978781</v>
      </c>
      <c r="E24" s="14" t="n">
        <f aca="false">SUMIFS(Campaigns!H$7:H$300,Campaigns!C$7:C$300,$A24)</f>
        <v>713.483795</v>
      </c>
      <c r="F24" s="14" t="n">
        <f aca="false">SUMIFS(Campaigns!I$7:I$300,Campaigns!C$7:C$300,$A24)</f>
        <v>713.696158</v>
      </c>
      <c r="G24" s="14" t="n">
        <f aca="false">SUMIFS(Campaigns!J$7:J$300,Campaigns!C$7:C$300,$A24)</f>
        <v>713.629096</v>
      </c>
      <c r="H24" s="14" t="n">
        <f aca="false">SUMIFS(Campaigns!K$7:K$300,Campaigns!C$7:C$300,$A24)</f>
        <v>715.66331</v>
      </c>
      <c r="I24" s="14" t="n">
        <f aca="false">SUMIFS(Campaigns!L$7:L$300,Campaigns!C$7:C$300,$A24)</f>
        <v>684.36771</v>
      </c>
      <c r="J24" s="14" t="n">
        <f aca="false">SUMIFS(Campaigns!M$7:M$300,Campaigns!C$7:C$300,$A24)</f>
        <v>267.700327</v>
      </c>
      <c r="K24" s="14" t="n">
        <f aca="false">SUMIFS(Campaigns!N$7:N$300,Campaigns!C$7:C$300,$A24)</f>
        <v>0</v>
      </c>
      <c r="L24" s="14" t="n">
        <f aca="false">SUMIFS(Campaigns!O$7:O$300,Campaigns!C$7:C$300,$A24)</f>
        <v>0</v>
      </c>
      <c r="M24" s="14" t="n">
        <f aca="false">SUMIFS(Campaigns!P$7:P$300,Campaigns!C$7:C$300,$A24)</f>
        <v>0</v>
      </c>
      <c r="N24" s="14" t="n">
        <f aca="false">SUMIFS(Campaigns!Q$7:Q$300,Campaigns!C$7:C$300,$A24)</f>
        <v>0</v>
      </c>
      <c r="O24" s="15" t="n">
        <f aca="false">SUM(C24:N24)</f>
        <v>4932.063613</v>
      </c>
      <c r="P24" s="20" t="n">
        <f aca="false">IF($O$35=0,"",O24/$O$35)</f>
        <v>0.017702940083117</v>
      </c>
      <c r="Q24" s="17" t="str">
        <f aca="false">IF(P24="","",REPT("█",ROUND(P24*40,0)))</f>
        <v>█</v>
      </c>
    </row>
    <row r="25" customFormat="false" ht="15" hidden="false" customHeight="false" outlineLevel="0" collapsed="false">
      <c r="A25" s="13" t="s">
        <v>139</v>
      </c>
      <c r="B25" s="29" t="s">
        <v>124</v>
      </c>
      <c r="C25" s="14" t="n">
        <f aca="false">SUMIFS(Campaigns!F$7:F$300,Campaigns!C$7:C$300,$A25)</f>
        <v>483.125825</v>
      </c>
      <c r="D25" s="14" t="n">
        <f aca="false">SUMIFS(Campaigns!G$7:G$300,Campaigns!C$7:C$300,$A25)</f>
        <v>820.347092</v>
      </c>
      <c r="E25" s="14" t="n">
        <f aca="false">SUMIFS(Campaigns!H$7:H$300,Campaigns!C$7:C$300,$A25)</f>
        <v>1207.149531</v>
      </c>
      <c r="F25" s="14" t="n">
        <f aca="false">SUMIFS(Campaigns!I$7:I$300,Campaigns!C$7:C$300,$A25)</f>
        <v>1230.02885</v>
      </c>
      <c r="G25" s="14" t="n">
        <f aca="false">SUMIFS(Campaigns!J$7:J$300,Campaigns!C$7:C$300,$A25)</f>
        <v>708.554738</v>
      </c>
      <c r="H25" s="14" t="n">
        <f aca="false">SUMIFS(Campaigns!K$7:K$300,Campaigns!C$7:C$300,$A25)</f>
        <v>0</v>
      </c>
      <c r="I25" s="14" t="n">
        <f aca="false">SUMIFS(Campaigns!L$7:L$300,Campaigns!C$7:C$300,$A25)</f>
        <v>0</v>
      </c>
      <c r="J25" s="14" t="n">
        <f aca="false">SUMIFS(Campaigns!M$7:M$300,Campaigns!C$7:C$300,$A25)</f>
        <v>0</v>
      </c>
      <c r="K25" s="14" t="n">
        <f aca="false">SUMIFS(Campaigns!N$7:N$300,Campaigns!C$7:C$300,$A25)</f>
        <v>0</v>
      </c>
      <c r="L25" s="14" t="n">
        <f aca="false">SUMIFS(Campaigns!O$7:O$300,Campaigns!C$7:C$300,$A25)</f>
        <v>0</v>
      </c>
      <c r="M25" s="14" t="n">
        <f aca="false">SUMIFS(Campaigns!P$7:P$300,Campaigns!C$7:C$300,$A25)</f>
        <v>0</v>
      </c>
      <c r="N25" s="14" t="n">
        <f aca="false">SUMIFS(Campaigns!Q$7:Q$300,Campaigns!C$7:C$300,$A25)</f>
        <v>0</v>
      </c>
      <c r="O25" s="15" t="n">
        <f aca="false">SUM(C25:N25)</f>
        <v>4449.206036</v>
      </c>
      <c r="P25" s="20" t="n">
        <f aca="false">IF($O$35=0,"",O25/$O$35)</f>
        <v>0.0159697915625304</v>
      </c>
      <c r="Q25" s="17" t="str">
        <f aca="false">IF(P25="","",REPT("█",ROUND(P25*40,0)))</f>
        <v>█</v>
      </c>
    </row>
    <row r="26" customFormat="false" ht="15" hidden="false" customHeight="false" outlineLevel="0" collapsed="false">
      <c r="A26" s="13" t="s">
        <v>140</v>
      </c>
      <c r="B26" s="29" t="s">
        <v>123</v>
      </c>
      <c r="C26" s="14" t="n">
        <f aca="false">SUMIFS(Campaigns!F$7:F$300,Campaigns!C$7:C$300,$A26)</f>
        <v>79.602594</v>
      </c>
      <c r="D26" s="14" t="n">
        <f aca="false">SUMIFS(Campaigns!G$7:G$300,Campaigns!C$7:C$300,$A26)</f>
        <v>180.117355</v>
      </c>
      <c r="E26" s="14" t="n">
        <f aca="false">SUMIFS(Campaigns!H$7:H$300,Campaigns!C$7:C$300,$A26)</f>
        <v>270.639878</v>
      </c>
      <c r="F26" s="14" t="n">
        <f aca="false">SUMIFS(Campaigns!I$7:I$300,Campaigns!C$7:C$300,$A26)</f>
        <v>264.850192</v>
      </c>
      <c r="G26" s="14" t="n">
        <f aca="false">SUMIFS(Campaigns!J$7:J$300,Campaigns!C$7:C$300,$A26)</f>
        <v>274.39535</v>
      </c>
      <c r="H26" s="14" t="n">
        <f aca="false">SUMIFS(Campaigns!K$7:K$300,Campaigns!C$7:C$300,$A26)</f>
        <v>274.104748</v>
      </c>
      <c r="I26" s="14" t="n">
        <f aca="false">SUMIFS(Campaigns!L$7:L$300,Campaigns!C$7:C$300,$A26)</f>
        <v>1332.572851</v>
      </c>
      <c r="J26" s="14" t="n">
        <f aca="false">SUMIFS(Campaigns!M$7:M$300,Campaigns!C$7:C$300,$A26)</f>
        <v>1024.100008</v>
      </c>
      <c r="K26" s="14" t="n">
        <f aca="false">SUMIFS(Campaigns!N$7:N$300,Campaigns!C$7:C$300,$A26)</f>
        <v>463.94</v>
      </c>
      <c r="L26" s="14" t="n">
        <f aca="false">SUMIFS(Campaigns!O$7:O$300,Campaigns!C$7:C$300,$A26)</f>
        <v>0</v>
      </c>
      <c r="M26" s="14" t="n">
        <f aca="false">SUMIFS(Campaigns!P$7:P$300,Campaigns!C$7:C$300,$A26)</f>
        <v>0</v>
      </c>
      <c r="N26" s="14" t="n">
        <f aca="false">SUMIFS(Campaigns!Q$7:Q$300,Campaigns!C$7:C$300,$A26)</f>
        <v>0</v>
      </c>
      <c r="O26" s="15" t="n">
        <f aca="false">SUM(C26:N26)</f>
        <v>4164.322976</v>
      </c>
      <c r="P26" s="20" t="n">
        <f aca="false">IF($O$35=0,"",O26/$O$35)</f>
        <v>0.0149472443819584</v>
      </c>
      <c r="Q26" s="17" t="str">
        <f aca="false">IF(P26="","",REPT("█",ROUND(P26*40,0)))</f>
        <v>█</v>
      </c>
    </row>
    <row r="27" customFormat="false" ht="15" hidden="false" customHeight="false" outlineLevel="0" collapsed="false">
      <c r="A27" s="13" t="s">
        <v>141</v>
      </c>
      <c r="B27" s="29" t="s">
        <v>124</v>
      </c>
      <c r="C27" s="14" t="n">
        <f aca="false">SUMIFS(Campaigns!F$7:F$300,Campaigns!C$7:C$300,$A27)</f>
        <v>384.321145</v>
      </c>
      <c r="D27" s="14" t="n">
        <f aca="false">SUMIFS(Campaigns!G$7:G$300,Campaigns!C$7:C$300,$A27)</f>
        <v>682.858815</v>
      </c>
      <c r="E27" s="14" t="n">
        <f aca="false">SUMIFS(Campaigns!H$7:H$300,Campaigns!C$7:C$300,$A27)</f>
        <v>1217.320601</v>
      </c>
      <c r="F27" s="14" t="n">
        <f aca="false">SUMIFS(Campaigns!I$7:I$300,Campaigns!C$7:C$300,$A27)</f>
        <v>1112.659173</v>
      </c>
      <c r="G27" s="14" t="n">
        <f aca="false">SUMIFS(Campaigns!J$7:J$300,Campaigns!C$7:C$300,$A27)</f>
        <v>650.546108</v>
      </c>
      <c r="H27" s="14" t="n">
        <f aca="false">SUMIFS(Campaigns!K$7:K$300,Campaigns!C$7:C$300,$A27)</f>
        <v>0</v>
      </c>
      <c r="I27" s="14" t="n">
        <f aca="false">SUMIFS(Campaigns!L$7:L$300,Campaigns!C$7:C$300,$A27)</f>
        <v>0</v>
      </c>
      <c r="J27" s="14" t="n">
        <f aca="false">SUMIFS(Campaigns!M$7:M$300,Campaigns!C$7:C$300,$A27)</f>
        <v>0</v>
      </c>
      <c r="K27" s="14" t="n">
        <f aca="false">SUMIFS(Campaigns!N$7:N$300,Campaigns!C$7:C$300,$A27)</f>
        <v>0</v>
      </c>
      <c r="L27" s="14" t="n">
        <f aca="false">SUMIFS(Campaigns!O$7:O$300,Campaigns!C$7:C$300,$A27)</f>
        <v>0</v>
      </c>
      <c r="M27" s="14" t="n">
        <f aca="false">SUMIFS(Campaigns!P$7:P$300,Campaigns!C$7:C$300,$A27)</f>
        <v>0</v>
      </c>
      <c r="N27" s="14" t="n">
        <f aca="false">SUMIFS(Campaigns!Q$7:Q$300,Campaigns!C$7:C$300,$A27)</f>
        <v>0</v>
      </c>
      <c r="O27" s="15" t="n">
        <f aca="false">SUM(C27:N27)</f>
        <v>4047.705842</v>
      </c>
      <c r="P27" s="20" t="n">
        <f aca="false">IF($O$35=0,"",O27/$O$35)</f>
        <v>0.0145286637840875</v>
      </c>
      <c r="Q27" s="17" t="str">
        <f aca="false">IF(P27="","",REPT("█",ROUND(P27*40,0)))</f>
        <v>█</v>
      </c>
    </row>
    <row r="28" customFormat="false" ht="15" hidden="false" customHeight="false" outlineLevel="0" collapsed="false">
      <c r="A28" s="13" t="s">
        <v>142</v>
      </c>
      <c r="B28" s="29" t="s">
        <v>124</v>
      </c>
      <c r="C28" s="14" t="n">
        <f aca="false">SUMIFS(Campaigns!F$7:F$300,Campaigns!C$7:C$300,$A28)</f>
        <v>437.255417</v>
      </c>
      <c r="D28" s="14" t="n">
        <f aca="false">SUMIFS(Campaigns!G$7:G$300,Campaigns!C$7:C$300,$A28)</f>
        <v>850.100266</v>
      </c>
      <c r="E28" s="14" t="n">
        <f aca="false">SUMIFS(Campaigns!H$7:H$300,Campaigns!C$7:C$300,$A28)</f>
        <v>887.464977</v>
      </c>
      <c r="F28" s="14" t="n">
        <f aca="false">SUMIFS(Campaigns!I$7:I$300,Campaigns!C$7:C$300,$A28)</f>
        <v>886.861419</v>
      </c>
      <c r="G28" s="14" t="n">
        <f aca="false">SUMIFS(Campaigns!J$7:J$300,Campaigns!C$7:C$300,$A28)</f>
        <v>826.047362</v>
      </c>
      <c r="H28" s="14" t="n">
        <f aca="false">SUMIFS(Campaigns!K$7:K$300,Campaigns!C$7:C$300,$A28)</f>
        <v>0</v>
      </c>
      <c r="I28" s="14" t="n">
        <f aca="false">SUMIFS(Campaigns!L$7:L$300,Campaigns!C$7:C$300,$A28)</f>
        <v>0</v>
      </c>
      <c r="J28" s="14" t="n">
        <f aca="false">SUMIFS(Campaigns!M$7:M$300,Campaigns!C$7:C$300,$A28)</f>
        <v>0</v>
      </c>
      <c r="K28" s="14" t="n">
        <f aca="false">SUMIFS(Campaigns!N$7:N$300,Campaigns!C$7:C$300,$A28)</f>
        <v>0</v>
      </c>
      <c r="L28" s="14" t="n">
        <f aca="false">SUMIFS(Campaigns!O$7:O$300,Campaigns!C$7:C$300,$A28)</f>
        <v>0</v>
      </c>
      <c r="M28" s="14" t="n">
        <f aca="false">SUMIFS(Campaigns!P$7:P$300,Campaigns!C$7:C$300,$A28)</f>
        <v>0</v>
      </c>
      <c r="N28" s="14" t="n">
        <f aca="false">SUMIFS(Campaigns!Q$7:Q$300,Campaigns!C$7:C$300,$A28)</f>
        <v>0</v>
      </c>
      <c r="O28" s="15" t="n">
        <f aca="false">SUM(C28:N28)</f>
        <v>3887.729441</v>
      </c>
      <c r="P28" s="20" t="n">
        <f aca="false">IF($O$35=0,"",O28/$O$35)</f>
        <v>0.0139544512710633</v>
      </c>
      <c r="Q28" s="17" t="str">
        <f aca="false">IF(P28="","",REPT("█",ROUND(P28*40,0)))</f>
        <v>█</v>
      </c>
    </row>
    <row r="29" customFormat="false" ht="15" hidden="false" customHeight="false" outlineLevel="0" collapsed="false">
      <c r="A29" s="13" t="s">
        <v>143</v>
      </c>
      <c r="B29" s="29" t="s">
        <v>123</v>
      </c>
      <c r="C29" s="14" t="n">
        <f aca="false">SUMIFS(Campaigns!F$7:F$300,Campaigns!C$7:C$300,$A29)</f>
        <v>253.069634</v>
      </c>
      <c r="D29" s="14" t="n">
        <f aca="false">SUMIFS(Campaigns!G$7:G$300,Campaigns!C$7:C$300,$A29)</f>
        <v>453.864439</v>
      </c>
      <c r="E29" s="14" t="n">
        <f aca="false">SUMIFS(Campaigns!H$7:H$300,Campaigns!C$7:C$300,$A29)</f>
        <v>441.815633</v>
      </c>
      <c r="F29" s="14" t="n">
        <f aca="false">SUMIFS(Campaigns!I$7:I$300,Campaigns!C$7:C$300,$A29)</f>
        <v>435.377681</v>
      </c>
      <c r="G29" s="14" t="n">
        <f aca="false">SUMIFS(Campaigns!J$7:J$300,Campaigns!C$7:C$300,$A29)</f>
        <v>470.361691</v>
      </c>
      <c r="H29" s="14" t="n">
        <f aca="false">SUMIFS(Campaigns!K$7:K$300,Campaigns!C$7:C$300,$A29)</f>
        <v>233.789309</v>
      </c>
      <c r="I29" s="14" t="n">
        <f aca="false">SUMIFS(Campaigns!L$7:L$300,Campaigns!C$7:C$300,$A29)</f>
        <v>318.835102</v>
      </c>
      <c r="J29" s="14" t="n">
        <f aca="false">SUMIFS(Campaigns!M$7:M$300,Campaigns!C$7:C$300,$A29)</f>
        <v>26.791269</v>
      </c>
      <c r="K29" s="14" t="n">
        <f aca="false">SUMIFS(Campaigns!N$7:N$300,Campaigns!C$7:C$300,$A29)</f>
        <v>0</v>
      </c>
      <c r="L29" s="14" t="n">
        <f aca="false">SUMIFS(Campaigns!O$7:O$300,Campaigns!C$7:C$300,$A29)</f>
        <v>0</v>
      </c>
      <c r="M29" s="14" t="n">
        <f aca="false">SUMIFS(Campaigns!P$7:P$300,Campaigns!C$7:C$300,$A29)</f>
        <v>0</v>
      </c>
      <c r="N29" s="14" t="n">
        <f aca="false">SUMIFS(Campaigns!Q$7:Q$300,Campaigns!C$7:C$300,$A29)</f>
        <v>0</v>
      </c>
      <c r="O29" s="15" t="n">
        <f aca="false">SUM(C29:N29)</f>
        <v>2633.904758</v>
      </c>
      <c r="P29" s="20" t="n">
        <f aca="false">IF($O$35=0,"",O29/$O$35)</f>
        <v>0.00945402609824587</v>
      </c>
      <c r="Q29" s="17" t="str">
        <f aca="false">IF(P29="","",REPT("█",ROUND(P29*40,0)))</f>
        <v/>
      </c>
    </row>
    <row r="30" customFormat="false" ht="15" hidden="false" customHeight="false" outlineLevel="0" collapsed="false">
      <c r="A30" s="13" t="s">
        <v>144</v>
      </c>
      <c r="B30" s="29" t="s">
        <v>123</v>
      </c>
      <c r="C30" s="14" t="n">
        <f aca="false">SUMIFS(Campaigns!F$7:F$300,Campaigns!C$7:C$300,$A30)</f>
        <v>0</v>
      </c>
      <c r="D30" s="14" t="n">
        <f aca="false">SUMIFS(Campaigns!G$7:G$300,Campaigns!C$7:C$300,$A30)</f>
        <v>0</v>
      </c>
      <c r="E30" s="14" t="n">
        <f aca="false">SUMIFS(Campaigns!H$7:H$300,Campaigns!C$7:C$300,$A30)</f>
        <v>0</v>
      </c>
      <c r="F30" s="14" t="n">
        <f aca="false">SUMIFS(Campaigns!I$7:I$300,Campaigns!C$7:C$300,$A30)</f>
        <v>0</v>
      </c>
      <c r="G30" s="14" t="n">
        <f aca="false">SUMIFS(Campaigns!J$7:J$300,Campaigns!C$7:C$300,$A30)</f>
        <v>0</v>
      </c>
      <c r="H30" s="14" t="n">
        <f aca="false">SUMIFS(Campaigns!K$7:K$300,Campaigns!C$7:C$300,$A30)</f>
        <v>0</v>
      </c>
      <c r="I30" s="14" t="n">
        <f aca="false">SUMIFS(Campaigns!L$7:L$300,Campaigns!C$7:C$300,$A30)</f>
        <v>1055.07</v>
      </c>
      <c r="J30" s="14" t="n">
        <f aca="false">SUMIFS(Campaigns!M$7:M$300,Campaigns!C$7:C$300,$A30)</f>
        <v>919.73</v>
      </c>
      <c r="K30" s="14" t="n">
        <f aca="false">SUMIFS(Campaigns!N$7:N$300,Campaigns!C$7:C$300,$A30)</f>
        <v>480.55</v>
      </c>
      <c r="L30" s="14" t="n">
        <f aca="false">SUMIFS(Campaigns!O$7:O$300,Campaigns!C$7:C$300,$A30)</f>
        <v>0</v>
      </c>
      <c r="M30" s="14" t="n">
        <f aca="false">SUMIFS(Campaigns!P$7:P$300,Campaigns!C$7:C$300,$A30)</f>
        <v>0</v>
      </c>
      <c r="N30" s="14" t="n">
        <f aca="false">SUMIFS(Campaigns!Q$7:Q$300,Campaigns!C$7:C$300,$A30)</f>
        <v>0</v>
      </c>
      <c r="O30" s="15" t="n">
        <f aca="false">SUM(C30:N30)</f>
        <v>2455.35</v>
      </c>
      <c r="P30" s="20" t="n">
        <f aca="false">IF($O$35=0,"",O30/$O$35)</f>
        <v>0.00881312921806415</v>
      </c>
      <c r="Q30" s="17" t="str">
        <f aca="false">IF(P30="","",REPT("█",ROUND(P30*40,0)))</f>
        <v/>
      </c>
    </row>
    <row r="31" customFormat="false" ht="15" hidden="false" customHeight="false" outlineLevel="0" collapsed="false">
      <c r="A31" s="13" t="s">
        <v>145</v>
      </c>
      <c r="B31" s="29" t="s">
        <v>124</v>
      </c>
      <c r="C31" s="14" t="n">
        <f aca="false">SUMIFS(Campaigns!F$7:F$300,Campaigns!C$7:C$300,$A31)</f>
        <v>326.021913</v>
      </c>
      <c r="D31" s="14" t="n">
        <f aca="false">SUMIFS(Campaigns!G$7:G$300,Campaigns!C$7:C$300,$A31)</f>
        <v>546.89061</v>
      </c>
      <c r="E31" s="14" t="n">
        <f aca="false">SUMIFS(Campaigns!H$7:H$300,Campaigns!C$7:C$300,$A31)</f>
        <v>549.438966</v>
      </c>
      <c r="F31" s="14" t="n">
        <f aca="false">SUMIFS(Campaigns!I$7:I$300,Campaigns!C$7:C$300,$A31)</f>
        <v>534.640618</v>
      </c>
      <c r="G31" s="14" t="n">
        <f aca="false">SUMIFS(Campaigns!J$7:J$300,Campaigns!C$7:C$300,$A31)</f>
        <v>458.581133</v>
      </c>
      <c r="H31" s="14" t="n">
        <f aca="false">SUMIFS(Campaigns!K$7:K$300,Campaigns!C$7:C$300,$A31)</f>
        <v>0</v>
      </c>
      <c r="I31" s="14" t="n">
        <f aca="false">SUMIFS(Campaigns!L$7:L$300,Campaigns!C$7:C$300,$A31)</f>
        <v>0</v>
      </c>
      <c r="J31" s="14" t="n">
        <f aca="false">SUMIFS(Campaigns!M$7:M$300,Campaigns!C$7:C$300,$A31)</f>
        <v>0</v>
      </c>
      <c r="K31" s="14" t="n">
        <f aca="false">SUMIFS(Campaigns!N$7:N$300,Campaigns!C$7:C$300,$A31)</f>
        <v>0</v>
      </c>
      <c r="L31" s="14" t="n">
        <f aca="false">SUMIFS(Campaigns!O$7:O$300,Campaigns!C$7:C$300,$A31)</f>
        <v>0</v>
      </c>
      <c r="M31" s="14" t="n">
        <f aca="false">SUMIFS(Campaigns!P$7:P$300,Campaigns!C$7:C$300,$A31)</f>
        <v>0</v>
      </c>
      <c r="N31" s="14" t="n">
        <f aca="false">SUMIFS(Campaigns!Q$7:Q$300,Campaigns!C$7:C$300,$A31)</f>
        <v>0</v>
      </c>
      <c r="O31" s="15" t="n">
        <f aca="false">SUM(C31:N31)</f>
        <v>2415.57324</v>
      </c>
      <c r="P31" s="20" t="n">
        <f aca="false">IF($O$35=0,"",O31/$O$35)</f>
        <v>0.00867035620168933</v>
      </c>
      <c r="Q31" s="17" t="str">
        <f aca="false">IF(P31="","",REPT("█",ROUND(P31*40,0)))</f>
        <v/>
      </c>
    </row>
    <row r="32" customFormat="false" ht="15" hidden="false" customHeight="false" outlineLevel="0" collapsed="false">
      <c r="A32" s="13" t="s">
        <v>146</v>
      </c>
      <c r="B32" s="29" t="s">
        <v>124</v>
      </c>
      <c r="C32" s="14" t="n">
        <f aca="false">SUMIFS(Campaigns!F$7:F$300,Campaigns!C$7:C$300,$A32)</f>
        <v>148.87764</v>
      </c>
      <c r="D32" s="14" t="n">
        <f aca="false">SUMIFS(Campaigns!G$7:G$300,Campaigns!C$7:C$300,$A32)</f>
        <v>394.749286</v>
      </c>
      <c r="E32" s="14" t="n">
        <f aca="false">SUMIFS(Campaigns!H$7:H$300,Campaigns!C$7:C$300,$A32)</f>
        <v>410.788281</v>
      </c>
      <c r="F32" s="14" t="n">
        <f aca="false">SUMIFS(Campaigns!I$7:I$300,Campaigns!C$7:C$300,$A32)</f>
        <v>395.688154</v>
      </c>
      <c r="G32" s="14" t="n">
        <f aca="false">SUMIFS(Campaigns!J$7:J$300,Campaigns!C$7:C$300,$A32)</f>
        <v>281.939825</v>
      </c>
      <c r="H32" s="14" t="n">
        <f aca="false">SUMIFS(Campaigns!K$7:K$300,Campaigns!C$7:C$300,$A32)</f>
        <v>0</v>
      </c>
      <c r="I32" s="14" t="n">
        <f aca="false">SUMIFS(Campaigns!L$7:L$300,Campaigns!C$7:C$300,$A32)</f>
        <v>0</v>
      </c>
      <c r="J32" s="14" t="n">
        <f aca="false">SUMIFS(Campaigns!M$7:M$300,Campaigns!C$7:C$300,$A32)</f>
        <v>0</v>
      </c>
      <c r="K32" s="14" t="n">
        <f aca="false">SUMIFS(Campaigns!N$7:N$300,Campaigns!C$7:C$300,$A32)</f>
        <v>0</v>
      </c>
      <c r="L32" s="14" t="n">
        <f aca="false">SUMIFS(Campaigns!O$7:O$300,Campaigns!C$7:C$300,$A32)</f>
        <v>0</v>
      </c>
      <c r="M32" s="14" t="n">
        <f aca="false">SUMIFS(Campaigns!P$7:P$300,Campaigns!C$7:C$300,$A32)</f>
        <v>0</v>
      </c>
      <c r="N32" s="14" t="n">
        <f aca="false">SUMIFS(Campaigns!Q$7:Q$300,Campaigns!C$7:C$300,$A32)</f>
        <v>0</v>
      </c>
      <c r="O32" s="15" t="n">
        <f aca="false">SUM(C32:N32)</f>
        <v>1632.043186</v>
      </c>
      <c r="P32" s="20" t="n">
        <f aca="false">IF($O$35=0,"",O32/$O$35)</f>
        <v>0.00585798663639771</v>
      </c>
      <c r="Q32" s="17" t="str">
        <f aca="false">IF(P32="","",REPT("█",ROUND(P32*40,0)))</f>
        <v/>
      </c>
    </row>
    <row r="33" customFormat="false" ht="15" hidden="false" customHeight="false" outlineLevel="0" collapsed="false">
      <c r="A33" s="13" t="s">
        <v>126</v>
      </c>
      <c r="B33" s="29" t="s">
        <v>126</v>
      </c>
      <c r="C33" s="14" t="n">
        <f aca="false">SUMIFS(Campaigns!F$7:F$300,Campaigns!C$7:C$300,$A33)</f>
        <v>0</v>
      </c>
      <c r="D33" s="14" t="n">
        <f aca="false">SUMIFS(Campaigns!G$7:G$300,Campaigns!C$7:C$300,$A33)</f>
        <v>0</v>
      </c>
      <c r="E33" s="14" t="n">
        <f aca="false">SUMIFS(Campaigns!H$7:H$300,Campaigns!C$7:C$300,$A33)</f>
        <v>0</v>
      </c>
      <c r="F33" s="14" t="n">
        <f aca="false">SUMIFS(Campaigns!I$7:I$300,Campaigns!C$7:C$300,$A33)</f>
        <v>0</v>
      </c>
      <c r="G33" s="14" t="n">
        <f aca="false">SUMIFS(Campaigns!J$7:J$300,Campaigns!C$7:C$300,$A33)</f>
        <v>0</v>
      </c>
      <c r="H33" s="14" t="n">
        <f aca="false">SUMIFS(Campaigns!K$7:K$300,Campaigns!C$7:C$300,$A33)</f>
        <v>0</v>
      </c>
      <c r="I33" s="14" t="n">
        <f aca="false">SUMIFS(Campaigns!L$7:L$300,Campaigns!C$7:C$300,$A33)</f>
        <v>0</v>
      </c>
      <c r="J33" s="14" t="n">
        <f aca="false">SUMIFS(Campaigns!M$7:M$300,Campaigns!C$7:C$300,$A33)</f>
        <v>0</v>
      </c>
      <c r="K33" s="14" t="n">
        <f aca="false">SUMIFS(Campaigns!N$7:N$300,Campaigns!C$7:C$300,$A33)</f>
        <v>256.579212</v>
      </c>
      <c r="L33" s="14" t="n">
        <f aca="false">SUMIFS(Campaigns!O$7:O$300,Campaigns!C$7:C$300,$A33)</f>
        <v>0</v>
      </c>
      <c r="M33" s="14" t="n">
        <f aca="false">SUMIFS(Campaigns!P$7:P$300,Campaigns!C$7:C$300,$A33)</f>
        <v>0</v>
      </c>
      <c r="N33" s="14" t="n">
        <f aca="false">SUMIFS(Campaigns!Q$7:Q$300,Campaigns!C$7:C$300,$A33)</f>
        <v>0</v>
      </c>
      <c r="O33" s="15" t="n">
        <f aca="false">SUM(C33:N33)</f>
        <v>256.579212</v>
      </c>
      <c r="P33" s="20" t="n">
        <f aca="false">IF($O$35=0,"",O33/$O$35)</f>
        <v>0.000920954548241626</v>
      </c>
      <c r="Q33" s="17" t="str">
        <f aca="false">IF(P33="","",REPT("█",ROUND(P33*40,0)))</f>
        <v/>
      </c>
    </row>
    <row r="34" customFormat="false" ht="15" hidden="false" customHeight="false" outlineLevel="0" collapsed="false">
      <c r="A34" s="51" t="s">
        <v>127</v>
      </c>
      <c r="B34" s="54"/>
      <c r="C34" s="14" t="n">
        <f aca="false">Campaigns!F$6-SUM(C16:C33)</f>
        <v>0</v>
      </c>
      <c r="D34" s="14" t="n">
        <f aca="false">Campaigns!G$6-SUM(D16:D33)</f>
        <v>0</v>
      </c>
      <c r="E34" s="14" t="n">
        <f aca="false">Campaigns!H$6-SUM(E16:E33)</f>
        <v>0</v>
      </c>
      <c r="F34" s="14" t="n">
        <f aca="false">Campaigns!I$6-SUM(F16:F33)</f>
        <v>0</v>
      </c>
      <c r="G34" s="14" t="n">
        <f aca="false">Campaigns!J$6-SUM(G16:G33)</f>
        <v>0</v>
      </c>
      <c r="H34" s="14" t="n">
        <f aca="false">Campaigns!K$6-SUM(H16:H33)</f>
        <v>0</v>
      </c>
      <c r="I34" s="14" t="n">
        <f aca="false">Campaigns!L$6-SUM(I16:I33)</f>
        <v>0</v>
      </c>
      <c r="J34" s="14" t="n">
        <f aca="false">Campaigns!M$6-SUM(J16:J33)</f>
        <v>0</v>
      </c>
      <c r="K34" s="14" t="n">
        <f aca="false">Campaigns!N$6-SUM(K16:K33)</f>
        <v>0</v>
      </c>
      <c r="L34" s="14" t="n">
        <f aca="false">Campaigns!O$6-SUM(L16:L33)</f>
        <v>0</v>
      </c>
      <c r="M34" s="14" t="n">
        <f aca="false">Campaigns!P$6-SUM(M16:M33)</f>
        <v>0</v>
      </c>
      <c r="N34" s="14" t="n">
        <f aca="false">Campaigns!Q$6-SUM(N16:N33)</f>
        <v>0</v>
      </c>
      <c r="O34" s="15" t="n">
        <f aca="false">SUM(C34:N34)</f>
        <v>0</v>
      </c>
      <c r="P34" s="20" t="n">
        <f aca="false">IF($O$35=0,"",O34/$O$35)</f>
        <v>0</v>
      </c>
      <c r="Q34" s="17" t="str">
        <f aca="false">IF(P34="","",REPT("█",ROUND(P34*40,0)))</f>
        <v/>
      </c>
    </row>
    <row r="35" customFormat="false" ht="15" hidden="false" customHeight="false" outlineLevel="0" collapsed="false">
      <c r="A35" s="24" t="s">
        <v>32</v>
      </c>
      <c r="B35" s="27"/>
      <c r="C35" s="30" t="n">
        <f aca="false">SUM(C16:C34)</f>
        <v>18931.372219</v>
      </c>
      <c r="D35" s="30" t="n">
        <f aca="false">SUM(D16:D34)</f>
        <v>40037.159732</v>
      </c>
      <c r="E35" s="30" t="n">
        <f aca="false">SUM(E16:E34)</f>
        <v>48500.057848</v>
      </c>
      <c r="F35" s="30" t="n">
        <f aca="false">SUM(F16:F34)</f>
        <v>32213.824701</v>
      </c>
      <c r="G35" s="30" t="n">
        <f aca="false">SUM(G16:G34)</f>
        <v>34340.137879</v>
      </c>
      <c r="H35" s="30" t="n">
        <f aca="false">SUM(H16:H34)</f>
        <v>31409.663413</v>
      </c>
      <c r="I35" s="30" t="n">
        <f aca="false">SUM(I16:I34)</f>
        <v>32104.858074</v>
      </c>
      <c r="J35" s="30" t="n">
        <f aca="false">SUM(J16:J34)</f>
        <v>22890.523015</v>
      </c>
      <c r="K35" s="30" t="n">
        <f aca="false">SUM(K16:K34)</f>
        <v>18173.7874</v>
      </c>
      <c r="L35" s="30" t="n">
        <f aca="false">SUM(L16:L34)</f>
        <v>0</v>
      </c>
      <c r="M35" s="30" t="n">
        <f aca="false">SUM(M16:M34)</f>
        <v>0</v>
      </c>
      <c r="N35" s="30" t="n">
        <f aca="false">SUM(N16:N34)</f>
        <v>0</v>
      </c>
      <c r="O35" s="30" t="n">
        <f aca="false">SUM(C35:N35)</f>
        <v>278601.384281</v>
      </c>
      <c r="P35" s="52" t="n">
        <f aca="false">IF($O$35=0,"",O35/$O$35)</f>
        <v>1</v>
      </c>
      <c r="Q35" s="53"/>
    </row>
    <row r="38" customFormat="false" ht="15" hidden="false" customHeight="false" outlineLevel="0" collapsed="false">
      <c r="A38" s="10" t="s">
        <v>147</v>
      </c>
      <c r="B38" s="11"/>
      <c r="C38" s="11"/>
      <c r="D38" s="11"/>
      <c r="E38" s="11"/>
      <c r="F38" s="11"/>
      <c r="G38" s="11"/>
      <c r="H38" s="11"/>
      <c r="I38" s="11"/>
      <c r="J38" s="11"/>
      <c r="K38" s="11"/>
      <c r="L38" s="11"/>
      <c r="M38" s="11"/>
      <c r="N38" s="11"/>
      <c r="O38" s="11"/>
      <c r="P38" s="11"/>
      <c r="Q38" s="11"/>
    </row>
    <row r="39" customFormat="false" ht="30" hidden="false" customHeight="true" outlineLevel="0" collapsed="false">
      <c r="A39" s="12" t="s">
        <v>148</v>
      </c>
      <c r="B39" s="12" t="str">
        <f aca="false">TEXT(Campaigns!F3,"mmm")</f>
        <v>Jan</v>
      </c>
      <c r="C39" s="12" t="str">
        <f aca="false">TEXT(Campaigns!G3,"mmm")</f>
        <v>Feb</v>
      </c>
      <c r="D39" s="12" t="str">
        <f aca="false">TEXT(Campaigns!H3,"mmm")</f>
        <v>Mar</v>
      </c>
      <c r="E39" s="12" t="str">
        <f aca="false">TEXT(Campaigns!I3,"mmm")</f>
        <v>Apr</v>
      </c>
      <c r="F39" s="12" t="str">
        <f aca="false">TEXT(Campaigns!J3,"mmm")</f>
        <v>May</v>
      </c>
      <c r="G39" s="12" t="str">
        <f aca="false">TEXT(Campaigns!K3,"mmm")</f>
        <v>Jun</v>
      </c>
      <c r="H39" s="12" t="str">
        <f aca="false">TEXT(Campaigns!L3,"mmm")</f>
        <v>Jul</v>
      </c>
      <c r="I39" s="12" t="str">
        <f aca="false">TEXT(Campaigns!M3,"mmm")</f>
        <v>Aug</v>
      </c>
      <c r="J39" s="12" t="str">
        <f aca="false">TEXT(Campaigns!N3,"mmm")</f>
        <v>Sep</v>
      </c>
      <c r="K39" s="12" t="str">
        <f aca="false">TEXT(Campaigns!O3,"mmm")</f>
        <v>Oct</v>
      </c>
      <c r="L39" s="12" t="str">
        <f aca="false">TEXT(Campaigns!P3,"mmm")</f>
        <v>Nov</v>
      </c>
      <c r="M39" s="12" t="str">
        <f aca="false">TEXT(Campaigns!Q3,"mmm")</f>
        <v>Dec</v>
      </c>
      <c r="N39" s="12" t="s">
        <v>32</v>
      </c>
      <c r="O39" s="12" t="s">
        <v>12</v>
      </c>
      <c r="P39" s="12" t="s">
        <v>122</v>
      </c>
    </row>
    <row r="40" customFormat="false" ht="15" hidden="false" customHeight="false" outlineLevel="0" collapsed="false">
      <c r="A40" s="13" t="s">
        <v>149</v>
      </c>
      <c r="B40" s="14" t="n">
        <f aca="false">SUMIFS(Campaigns!F$7:F$300,Campaigns!E$7:E$300,$A40)</f>
        <v>5559.84</v>
      </c>
      <c r="C40" s="14" t="n">
        <f aca="false">SUMIFS(Campaigns!G$7:G$300,Campaigns!E$7:E$300,$A40)</f>
        <v>25551.01</v>
      </c>
      <c r="D40" s="14" t="n">
        <f aca="false">SUMIFS(Campaigns!H$7:H$300,Campaigns!E$7:E$300,$A40)</f>
        <v>37132.55</v>
      </c>
      <c r="E40" s="14" t="n">
        <f aca="false">SUMIFS(Campaigns!I$7:I$300,Campaigns!E$7:E$300,$A40)</f>
        <v>21058.9</v>
      </c>
      <c r="F40" s="14" t="n">
        <f aca="false">SUMIFS(Campaigns!J$7:J$300,Campaigns!E$7:E$300,$A40)</f>
        <v>21102.96</v>
      </c>
      <c r="G40" s="14" t="n">
        <f aca="false">SUMIFS(Campaigns!K$7:K$300,Campaigns!E$7:E$300,$A40)</f>
        <v>16111.65</v>
      </c>
      <c r="H40" s="14" t="n">
        <f aca="false">SUMIFS(Campaigns!L$7:L$300,Campaigns!E$7:E$300,$A40)</f>
        <v>15788.51</v>
      </c>
      <c r="I40" s="14" t="n">
        <f aca="false">SUMIFS(Campaigns!M$7:M$300,Campaigns!E$7:E$300,$A40)</f>
        <v>7617.86</v>
      </c>
      <c r="J40" s="14" t="n">
        <f aca="false">SUMIFS(Campaigns!N$7:N$300,Campaigns!E$7:E$300,$A40)</f>
        <v>5230.09</v>
      </c>
      <c r="K40" s="14" t="n">
        <f aca="false">SUMIFS(Campaigns!O$7:O$300,Campaigns!E$7:E$300,$A40)</f>
        <v>0</v>
      </c>
      <c r="L40" s="14" t="n">
        <f aca="false">SUMIFS(Campaigns!P$7:P$300,Campaigns!E$7:E$300,$A40)</f>
        <v>0</v>
      </c>
      <c r="M40" s="14" t="n">
        <f aca="false">SUMIFS(Campaigns!Q$7:Q$300,Campaigns!E$7:E$300,$A40)</f>
        <v>0</v>
      </c>
      <c r="N40" s="15" t="n">
        <f aca="false">SUM(B40:M40)</f>
        <v>155153.37</v>
      </c>
      <c r="O40" s="20" t="n">
        <f aca="false">IF($N$52=0,"",N40/$N$52)</f>
        <v>0.556900929980703</v>
      </c>
      <c r="P40" s="17" t="str">
        <f aca="false">IF(O40="","",REPT("█",ROUND(O40*40,0)))</f>
        <v>██████████████████████</v>
      </c>
    </row>
    <row r="41" customFormat="false" ht="15" hidden="false" customHeight="false" outlineLevel="0" collapsed="false">
      <c r="A41" s="13" t="s">
        <v>150</v>
      </c>
      <c r="B41" s="14" t="n">
        <f aca="false">SUMIFS(Campaigns!F$7:F$300,Campaigns!E$7:E$300,$A41)</f>
        <v>6756.239429</v>
      </c>
      <c r="C41" s="14" t="n">
        <f aca="false">SUMIFS(Campaigns!G$7:G$300,Campaigns!E$7:E$300,$A41)</f>
        <v>8956.275401</v>
      </c>
      <c r="D41" s="14" t="n">
        <f aca="false">SUMIFS(Campaigns!H$7:H$300,Campaigns!E$7:E$300,$A41)</f>
        <v>8669.842422</v>
      </c>
      <c r="E41" s="14" t="n">
        <f aca="false">SUMIFS(Campaigns!I$7:I$300,Campaigns!E$7:E$300,$A41)</f>
        <v>8938.369847</v>
      </c>
      <c r="F41" s="14" t="n">
        <f aca="false">SUMIFS(Campaigns!J$7:J$300,Campaigns!E$7:E$300,$A41)</f>
        <v>11559.007506</v>
      </c>
      <c r="G41" s="14" t="n">
        <f aca="false">SUMIFS(Campaigns!K$7:K$300,Campaigns!E$7:E$300,$A41)</f>
        <v>11230.783724</v>
      </c>
      <c r="H41" s="14" t="n">
        <f aca="false">SUMIFS(Campaigns!L$7:L$300,Campaigns!E$7:E$300,$A41)</f>
        <v>10783.849025</v>
      </c>
      <c r="I41" s="14" t="n">
        <f aca="false">SUMIFS(Campaigns!M$7:M$300,Campaigns!E$7:E$300,$A41)</f>
        <v>9481.840295</v>
      </c>
      <c r="J41" s="14" t="n">
        <f aca="false">SUMIFS(Campaigns!N$7:N$300,Campaigns!E$7:E$300,$A41)</f>
        <v>4492.59515</v>
      </c>
      <c r="K41" s="14" t="n">
        <f aca="false">SUMIFS(Campaigns!O$7:O$300,Campaigns!E$7:E$300,$A41)</f>
        <v>0</v>
      </c>
      <c r="L41" s="14" t="n">
        <f aca="false">SUMIFS(Campaigns!P$7:P$300,Campaigns!E$7:E$300,$A41)</f>
        <v>0</v>
      </c>
      <c r="M41" s="14" t="n">
        <f aca="false">SUMIFS(Campaigns!Q$7:Q$300,Campaigns!E$7:E$300,$A41)</f>
        <v>0</v>
      </c>
      <c r="N41" s="15" t="n">
        <f aca="false">SUM(B41:M41)</f>
        <v>80868.802799</v>
      </c>
      <c r="O41" s="20" t="n">
        <f aca="false">IF($N$52=0,"",N41/$N$52)</f>
        <v>0.290267053079086</v>
      </c>
      <c r="P41" s="17" t="str">
        <f aca="false">IF(O41="","",REPT("█",ROUND(O41*40,0)))</f>
        <v>████████████</v>
      </c>
    </row>
    <row r="42" customFormat="false" ht="15" hidden="false" customHeight="false" outlineLevel="0" collapsed="false">
      <c r="A42" s="13" t="s">
        <v>151</v>
      </c>
      <c r="B42" s="14" t="n">
        <f aca="false">SUMIFS(Campaigns!F$7:F$300,Campaigns!E$7:E$300,$A42)</f>
        <v>969.5</v>
      </c>
      <c r="C42" s="14" t="n">
        <f aca="false">SUMIFS(Campaigns!G$7:G$300,Campaigns!E$7:E$300,$A42)</f>
        <v>1114.79</v>
      </c>
      <c r="D42" s="14" t="n">
        <f aca="false">SUMIFS(Campaigns!H$7:H$300,Campaigns!E$7:E$300,$A42)</f>
        <v>1254.29</v>
      </c>
      <c r="E42" s="14" t="n">
        <f aca="false">SUMIFS(Campaigns!I$7:I$300,Campaigns!E$7:E$300,$A42)</f>
        <v>1182.66</v>
      </c>
      <c r="F42" s="14" t="n">
        <f aca="false">SUMIFS(Campaigns!J$7:J$300,Campaigns!E$7:E$300,$A42)</f>
        <v>1173.54</v>
      </c>
      <c r="G42" s="14" t="n">
        <f aca="false">SUMIFS(Campaigns!K$7:K$300,Campaigns!E$7:E$300,$A42)</f>
        <v>1341.64</v>
      </c>
      <c r="H42" s="14" t="n">
        <f aca="false">SUMIFS(Campaigns!L$7:L$300,Campaigns!E$7:E$300,$A42)</f>
        <v>3047.53</v>
      </c>
      <c r="I42" s="14" t="n">
        <f aca="false">SUMIFS(Campaigns!M$7:M$300,Campaigns!E$7:E$300,$A42)</f>
        <v>2719.28</v>
      </c>
      <c r="J42" s="14" t="n">
        <f aca="false">SUMIFS(Campaigns!N$7:N$300,Campaigns!E$7:E$300,$A42)</f>
        <v>1895.1</v>
      </c>
      <c r="K42" s="14" t="n">
        <f aca="false">SUMIFS(Campaigns!O$7:O$300,Campaigns!E$7:E$300,$A42)</f>
        <v>0</v>
      </c>
      <c r="L42" s="14" t="n">
        <f aca="false">SUMIFS(Campaigns!P$7:P$300,Campaigns!E$7:E$300,$A42)</f>
        <v>0</v>
      </c>
      <c r="M42" s="14" t="n">
        <f aca="false">SUMIFS(Campaigns!Q$7:Q$300,Campaigns!E$7:E$300,$A42)</f>
        <v>0</v>
      </c>
      <c r="N42" s="15" t="n">
        <f aca="false">SUM(B42:M42)</f>
        <v>14698.33</v>
      </c>
      <c r="O42" s="20" t="n">
        <f aca="false">IF($N$52=0,"",N42/$N$52)</f>
        <v>0.0527575627017529</v>
      </c>
      <c r="P42" s="17" t="str">
        <f aca="false">IF(O42="","",REPT("█",ROUND(O42*40,0)))</f>
        <v>██</v>
      </c>
    </row>
    <row r="43" customFormat="false" ht="15" hidden="false" customHeight="false" outlineLevel="0" collapsed="false">
      <c r="A43" s="13" t="s">
        <v>152</v>
      </c>
      <c r="B43" s="14" t="n">
        <f aca="false">SUMIFS(Campaigns!F$7:F$300,Campaigns!E$7:E$300,$A43)</f>
        <v>0</v>
      </c>
      <c r="C43" s="14" t="n">
        <f aca="false">SUMIFS(Campaigns!G$7:G$300,Campaigns!E$7:E$300,$A43)</f>
        <v>1679.824861</v>
      </c>
      <c r="D43" s="14" t="n">
        <f aca="false">SUMIFS(Campaigns!H$7:H$300,Campaigns!E$7:E$300,$A43)</f>
        <v>399.510688</v>
      </c>
      <c r="E43" s="14" t="n">
        <f aca="false">SUMIFS(Campaigns!I$7:I$300,Campaigns!E$7:E$300,$A43)</f>
        <v>717.865179</v>
      </c>
      <c r="F43" s="14" t="n">
        <f aca="false">SUMIFS(Campaigns!J$7:J$300,Campaigns!E$7:E$300,$A43)</f>
        <v>335.31</v>
      </c>
      <c r="G43" s="14" t="n">
        <f aca="false">SUMIFS(Campaigns!K$7:K$300,Campaigns!E$7:E$300,$A43)</f>
        <v>2040.439589</v>
      </c>
      <c r="H43" s="14" t="n">
        <f aca="false">SUMIFS(Campaigns!L$7:L$300,Campaigns!E$7:E$300,$A43)</f>
        <v>1520.396133</v>
      </c>
      <c r="I43" s="14" t="n">
        <f aca="false">SUMIFS(Campaigns!M$7:M$300,Campaigns!E$7:E$300,$A43)</f>
        <v>1360.386201</v>
      </c>
      <c r="J43" s="14" t="n">
        <f aca="false">SUMIFS(Campaigns!N$7:N$300,Campaigns!E$7:E$300,$A43)</f>
        <v>1185.857346</v>
      </c>
      <c r="K43" s="14" t="n">
        <f aca="false">SUMIFS(Campaigns!O$7:O$300,Campaigns!E$7:E$300,$A43)</f>
        <v>0</v>
      </c>
      <c r="L43" s="14" t="n">
        <f aca="false">SUMIFS(Campaigns!P$7:P$300,Campaigns!E$7:E$300,$A43)</f>
        <v>0</v>
      </c>
      <c r="M43" s="14" t="n">
        <f aca="false">SUMIFS(Campaigns!Q$7:Q$300,Campaigns!E$7:E$300,$A43)</f>
        <v>0</v>
      </c>
      <c r="N43" s="15" t="n">
        <f aca="false">SUM(B43:M43)</f>
        <v>9239.589997</v>
      </c>
      <c r="O43" s="20" t="n">
        <f aca="false">IF($N$52=0,"",N43/$N$52)</f>
        <v>0.0331641927079618</v>
      </c>
      <c r="P43" s="17" t="str">
        <f aca="false">IF(O43="","",REPT("█",ROUND(O43*40,0)))</f>
        <v>█</v>
      </c>
    </row>
    <row r="44" customFormat="false" ht="15" hidden="false" customHeight="false" outlineLevel="0" collapsed="false">
      <c r="A44" s="13" t="s">
        <v>153</v>
      </c>
      <c r="B44" s="14" t="n">
        <f aca="false">SUMIFS(Campaigns!F$7:F$300,Campaigns!E$7:E$300,$A44)</f>
        <v>1070.287166</v>
      </c>
      <c r="C44" s="14" t="n">
        <f aca="false">SUMIFS(Campaigns!G$7:G$300,Campaigns!E$7:E$300,$A44)</f>
        <v>377.134334</v>
      </c>
      <c r="D44" s="14" t="n">
        <f aca="false">SUMIFS(Campaigns!H$7:H$300,Campaigns!E$7:E$300,$A44)</f>
        <v>267.745035</v>
      </c>
      <c r="E44" s="14" t="n">
        <f aca="false">SUMIFS(Campaigns!I$7:I$300,Campaigns!E$7:E$300,$A44)</f>
        <v>146.049859</v>
      </c>
      <c r="F44" s="14" t="n">
        <f aca="false">SUMIFS(Campaigns!J$7:J$300,Campaigns!E$7:E$300,$A44)</f>
        <v>0</v>
      </c>
      <c r="G44" s="14" t="n">
        <f aca="false">SUMIFS(Campaigns!K$7:K$300,Campaigns!E$7:E$300,$A44)</f>
        <v>514.689673</v>
      </c>
      <c r="H44" s="14" t="n">
        <f aca="false">SUMIFS(Campaigns!L$7:L$300,Campaigns!E$7:E$300,$A44)</f>
        <v>674.051339</v>
      </c>
      <c r="I44" s="14" t="n">
        <f aca="false">SUMIFS(Campaigns!M$7:M$300,Campaigns!E$7:E$300,$A44)</f>
        <v>1356.306596</v>
      </c>
      <c r="J44" s="14" t="n">
        <f aca="false">SUMIFS(Campaigns!N$7:N$300,Campaigns!E$7:E$300,$A44)</f>
        <v>1046.547218</v>
      </c>
      <c r="K44" s="14" t="n">
        <f aca="false">SUMIFS(Campaigns!O$7:O$300,Campaigns!E$7:E$300,$A44)</f>
        <v>0</v>
      </c>
      <c r="L44" s="14" t="n">
        <f aca="false">SUMIFS(Campaigns!P$7:P$300,Campaigns!E$7:E$300,$A44)</f>
        <v>0</v>
      </c>
      <c r="M44" s="14" t="n">
        <f aca="false">SUMIFS(Campaigns!Q$7:Q$300,Campaigns!E$7:E$300,$A44)</f>
        <v>0</v>
      </c>
      <c r="N44" s="15" t="n">
        <f aca="false">SUM(B44:M44)</f>
        <v>5452.81122</v>
      </c>
      <c r="O44" s="20" t="n">
        <f aca="false">IF($N$52=0,"",N44/$N$52)</f>
        <v>0.019572089471387</v>
      </c>
      <c r="P44" s="17" t="str">
        <f aca="false">IF(O44="","",REPT("█",ROUND(O44*40,0)))</f>
        <v>█</v>
      </c>
    </row>
    <row r="45" customFormat="false" ht="15" hidden="false" customHeight="false" outlineLevel="0" collapsed="false">
      <c r="A45" s="13" t="s">
        <v>154</v>
      </c>
      <c r="B45" s="14" t="n">
        <f aca="false">SUMIFS(Campaigns!F$7:F$300,Campaigns!E$7:E$300,$A45)</f>
        <v>0</v>
      </c>
      <c r="C45" s="14" t="n">
        <f aca="false">SUMIFS(Campaigns!G$7:G$300,Campaigns!E$7:E$300,$A45)</f>
        <v>0</v>
      </c>
      <c r="D45" s="14" t="n">
        <f aca="false">SUMIFS(Campaigns!H$7:H$300,Campaigns!E$7:E$300,$A45)</f>
        <v>0</v>
      </c>
      <c r="E45" s="14" t="n">
        <f aca="false">SUMIFS(Campaigns!I$7:I$300,Campaigns!E$7:E$300,$A45)</f>
        <v>0</v>
      </c>
      <c r="F45" s="14" t="n">
        <f aca="false">SUMIFS(Campaigns!J$7:J$300,Campaigns!E$7:E$300,$A45)</f>
        <v>0</v>
      </c>
      <c r="G45" s="14" t="n">
        <f aca="false">SUMIFS(Campaigns!K$7:K$300,Campaigns!E$7:E$300,$A45)</f>
        <v>0</v>
      </c>
      <c r="H45" s="14" t="n">
        <f aca="false">SUMIFS(Campaigns!L$7:L$300,Campaigns!E$7:E$300,$A45)</f>
        <v>120.62</v>
      </c>
      <c r="I45" s="14" t="n">
        <f aca="false">SUMIFS(Campaigns!M$7:M$300,Campaigns!E$7:E$300,$A45)</f>
        <v>306.8</v>
      </c>
      <c r="J45" s="14" t="n">
        <f aca="false">SUMIFS(Campaigns!N$7:N$300,Campaigns!E$7:E$300,$A45)</f>
        <v>3937.79</v>
      </c>
      <c r="K45" s="14" t="n">
        <f aca="false">SUMIFS(Campaigns!O$7:O$300,Campaigns!E$7:E$300,$A45)</f>
        <v>0</v>
      </c>
      <c r="L45" s="14" t="n">
        <f aca="false">SUMIFS(Campaigns!P$7:P$300,Campaigns!E$7:E$300,$A45)</f>
        <v>0</v>
      </c>
      <c r="M45" s="14" t="n">
        <f aca="false">SUMIFS(Campaigns!Q$7:Q$300,Campaigns!E$7:E$300,$A45)</f>
        <v>0</v>
      </c>
      <c r="N45" s="15" t="n">
        <f aca="false">SUM(B45:M45)</f>
        <v>4365.21</v>
      </c>
      <c r="O45" s="20" t="n">
        <f aca="false">IF($N$52=0,"",N45/$N$52)</f>
        <v>0.0156682997511499</v>
      </c>
      <c r="P45" s="17" t="str">
        <f aca="false">IF(O45="","",REPT("█",ROUND(O45*40,0)))</f>
        <v>█</v>
      </c>
    </row>
    <row r="46" customFormat="false" ht="15" hidden="false" customHeight="false" outlineLevel="0" collapsed="false">
      <c r="A46" s="13" t="s">
        <v>155</v>
      </c>
      <c r="B46" s="14" t="n">
        <f aca="false">SUMIFS(Campaigns!F$7:F$300,Campaigns!E$7:E$300,$A46)</f>
        <v>1563.17</v>
      </c>
      <c r="C46" s="14" t="n">
        <f aca="false">SUMIFS(Campaigns!G$7:G$300,Campaigns!E$7:E$300,$A46)</f>
        <v>2286.95</v>
      </c>
      <c r="D46" s="14" t="n">
        <f aca="false">SUMIFS(Campaigns!H$7:H$300,Campaigns!E$7:E$300,$A46)</f>
        <v>0</v>
      </c>
      <c r="E46" s="14" t="n">
        <f aca="false">SUMIFS(Campaigns!I$7:I$300,Campaigns!E$7:E$300,$A46)</f>
        <v>0</v>
      </c>
      <c r="F46" s="14" t="n">
        <f aca="false">SUMIFS(Campaigns!J$7:J$300,Campaigns!E$7:E$300,$A46)</f>
        <v>0</v>
      </c>
      <c r="G46" s="14" t="n">
        <f aca="false">SUMIFS(Campaigns!K$7:K$300,Campaigns!E$7:E$300,$A46)</f>
        <v>0</v>
      </c>
      <c r="H46" s="14" t="n">
        <f aca="false">SUMIFS(Campaigns!L$7:L$300,Campaigns!E$7:E$300,$A46)</f>
        <v>0</v>
      </c>
      <c r="I46" s="14" t="n">
        <f aca="false">SUMIFS(Campaigns!M$7:M$300,Campaigns!E$7:E$300,$A46)</f>
        <v>0</v>
      </c>
      <c r="J46" s="14" t="n">
        <f aca="false">SUMIFS(Campaigns!N$7:N$300,Campaigns!E$7:E$300,$A46)</f>
        <v>0</v>
      </c>
      <c r="K46" s="14" t="n">
        <f aca="false">SUMIFS(Campaigns!O$7:O$300,Campaigns!E$7:E$300,$A46)</f>
        <v>0</v>
      </c>
      <c r="L46" s="14" t="n">
        <f aca="false">SUMIFS(Campaigns!P$7:P$300,Campaigns!E$7:E$300,$A46)</f>
        <v>0</v>
      </c>
      <c r="M46" s="14" t="n">
        <f aca="false">SUMIFS(Campaigns!Q$7:Q$300,Campaigns!E$7:E$300,$A46)</f>
        <v>0</v>
      </c>
      <c r="N46" s="15" t="n">
        <f aca="false">SUM(B46:M46)</f>
        <v>3850.12</v>
      </c>
      <c r="O46" s="20" t="n">
        <f aca="false">IF($N$52=0,"",N46/$N$52)</f>
        <v>0.0138194575376436</v>
      </c>
      <c r="P46" s="17" t="str">
        <f aca="false">IF(O46="","",REPT("█",ROUND(O46*40,0)))</f>
        <v>█</v>
      </c>
    </row>
    <row r="47" customFormat="false" ht="15" hidden="false" customHeight="false" outlineLevel="0" collapsed="false">
      <c r="A47" s="13" t="s">
        <v>156</v>
      </c>
      <c r="B47" s="14" t="n">
        <f aca="false">SUMIFS(Campaigns!F$7:F$300,Campaigns!E$7:E$300,$A47)</f>
        <v>1963.094749</v>
      </c>
      <c r="C47" s="14" t="n">
        <f aca="false">SUMIFS(Campaigns!G$7:G$300,Campaigns!E$7:E$300,$A47)</f>
        <v>0</v>
      </c>
      <c r="D47" s="14" t="n">
        <f aca="false">SUMIFS(Campaigns!H$7:H$300,Campaigns!E$7:E$300,$A47)</f>
        <v>638.966736</v>
      </c>
      <c r="E47" s="14" t="n">
        <f aca="false">SUMIFS(Campaigns!I$7:I$300,Campaigns!E$7:E$300,$A47)</f>
        <v>0</v>
      </c>
      <c r="F47" s="14" t="n">
        <f aca="false">SUMIFS(Campaigns!J$7:J$300,Campaigns!E$7:E$300,$A47)</f>
        <v>0</v>
      </c>
      <c r="G47" s="14" t="n">
        <f aca="false">SUMIFS(Campaigns!K$7:K$300,Campaigns!E$7:E$300,$A47)</f>
        <v>0</v>
      </c>
      <c r="H47" s="14" t="n">
        <f aca="false">SUMIFS(Campaigns!L$7:L$300,Campaigns!E$7:E$300,$A47)</f>
        <v>0</v>
      </c>
      <c r="I47" s="14" t="n">
        <f aca="false">SUMIFS(Campaigns!M$7:M$300,Campaigns!E$7:E$300,$A47)</f>
        <v>0</v>
      </c>
      <c r="J47" s="14" t="n">
        <f aca="false">SUMIFS(Campaigns!N$7:N$300,Campaigns!E$7:E$300,$A47)</f>
        <v>0</v>
      </c>
      <c r="K47" s="14" t="n">
        <f aca="false">SUMIFS(Campaigns!O$7:O$300,Campaigns!E$7:E$300,$A47)</f>
        <v>0</v>
      </c>
      <c r="L47" s="14" t="n">
        <f aca="false">SUMIFS(Campaigns!P$7:P$300,Campaigns!E$7:E$300,$A47)</f>
        <v>0</v>
      </c>
      <c r="M47" s="14" t="n">
        <f aca="false">SUMIFS(Campaigns!Q$7:Q$300,Campaigns!E$7:E$300,$A47)</f>
        <v>0</v>
      </c>
      <c r="N47" s="15" t="n">
        <f aca="false">SUM(B47:M47)</f>
        <v>2602.061485</v>
      </c>
      <c r="O47" s="20" t="n">
        <f aca="false">IF($N$52=0,"",N47/$N$52)</f>
        <v>0.00933972920384177</v>
      </c>
      <c r="P47" s="17" t="str">
        <f aca="false">IF(O47="","",REPT("█",ROUND(O47*40,0)))</f>
        <v/>
      </c>
    </row>
    <row r="48" customFormat="false" ht="15" hidden="false" customHeight="false" outlineLevel="0" collapsed="false">
      <c r="A48" s="13" t="s">
        <v>157</v>
      </c>
      <c r="B48" s="14" t="n">
        <f aca="false">SUMIFS(Campaigns!F$7:F$300,Campaigns!E$7:E$300,$A48)</f>
        <v>96.770466</v>
      </c>
      <c r="C48" s="14" t="n">
        <f aca="false">SUMIFS(Campaigns!G$7:G$300,Campaigns!E$7:E$300,$A48)</f>
        <v>71.175136</v>
      </c>
      <c r="D48" s="14" t="n">
        <f aca="false">SUMIFS(Campaigns!H$7:H$300,Campaigns!E$7:E$300,$A48)</f>
        <v>137.152967</v>
      </c>
      <c r="E48" s="14" t="n">
        <f aca="false">SUMIFS(Campaigns!I$7:I$300,Campaigns!E$7:E$300,$A48)</f>
        <v>169.979816</v>
      </c>
      <c r="F48" s="14" t="n">
        <f aca="false">SUMIFS(Campaigns!J$7:J$300,Campaigns!E$7:E$300,$A48)</f>
        <v>169.320373</v>
      </c>
      <c r="G48" s="14" t="n">
        <f aca="false">SUMIFS(Campaigns!K$7:K$300,Campaigns!E$7:E$300,$A48)</f>
        <v>170.460427</v>
      </c>
      <c r="H48" s="14" t="n">
        <f aca="false">SUMIFS(Campaigns!L$7:L$300,Campaigns!E$7:E$300,$A48)</f>
        <v>169.901577</v>
      </c>
      <c r="I48" s="14" t="n">
        <f aca="false">SUMIFS(Campaigns!M$7:M$300,Campaigns!E$7:E$300,$A48)</f>
        <v>48.049923</v>
      </c>
      <c r="J48" s="14" t="n">
        <f aca="false">SUMIFS(Campaigns!N$7:N$300,Campaigns!E$7:E$300,$A48)</f>
        <v>129.228474</v>
      </c>
      <c r="K48" s="14" t="n">
        <f aca="false">SUMIFS(Campaigns!O$7:O$300,Campaigns!E$7:E$300,$A48)</f>
        <v>0</v>
      </c>
      <c r="L48" s="14" t="n">
        <f aca="false">SUMIFS(Campaigns!P$7:P$300,Campaigns!E$7:E$300,$A48)</f>
        <v>0</v>
      </c>
      <c r="M48" s="14" t="n">
        <f aca="false">SUMIFS(Campaigns!Q$7:Q$300,Campaigns!E$7:E$300,$A48)</f>
        <v>0</v>
      </c>
      <c r="N48" s="15" t="n">
        <f aca="false">SUM(B48:M48)</f>
        <v>1162.039159</v>
      </c>
      <c r="O48" s="20" t="n">
        <f aca="false">IF($N$52=0,"",N48/$N$52)</f>
        <v>0.00417097410337329</v>
      </c>
      <c r="P48" s="17" t="str">
        <f aca="false">IF(O48="","",REPT("█",ROUND(O48*40,0)))</f>
        <v/>
      </c>
    </row>
    <row r="49" customFormat="false" ht="15" hidden="false" customHeight="false" outlineLevel="0" collapsed="false">
      <c r="A49" s="13" t="s">
        <v>158</v>
      </c>
      <c r="B49" s="14" t="n">
        <f aca="false">SUMIFS(Campaigns!F$7:F$300,Campaigns!E$7:E$300,$A49)</f>
        <v>952.470409</v>
      </c>
      <c r="C49" s="14" t="n">
        <f aca="false">SUMIFS(Campaigns!G$7:G$300,Campaigns!E$7:E$300,$A49)</f>
        <v>0</v>
      </c>
      <c r="D49" s="14" t="n">
        <f aca="false">SUMIFS(Campaigns!H$7:H$300,Campaigns!E$7:E$300,$A49)</f>
        <v>0</v>
      </c>
      <c r="E49" s="14" t="n">
        <f aca="false">SUMIFS(Campaigns!I$7:I$300,Campaigns!E$7:E$300,$A49)</f>
        <v>0</v>
      </c>
      <c r="F49" s="14" t="n">
        <f aca="false">SUMIFS(Campaigns!J$7:J$300,Campaigns!E$7:E$300,$A49)</f>
        <v>0</v>
      </c>
      <c r="G49" s="14" t="n">
        <f aca="false">SUMIFS(Campaigns!K$7:K$300,Campaigns!E$7:E$300,$A49)</f>
        <v>0</v>
      </c>
      <c r="H49" s="14" t="n">
        <f aca="false">SUMIFS(Campaigns!L$7:L$300,Campaigns!E$7:E$300,$A49)</f>
        <v>0</v>
      </c>
      <c r="I49" s="14" t="n">
        <f aca="false">SUMIFS(Campaigns!M$7:M$300,Campaigns!E$7:E$300,$A49)</f>
        <v>0</v>
      </c>
      <c r="J49" s="14" t="n">
        <f aca="false">SUMIFS(Campaigns!N$7:N$300,Campaigns!E$7:E$300,$A49)</f>
        <v>0</v>
      </c>
      <c r="K49" s="14" t="n">
        <f aca="false">SUMIFS(Campaigns!O$7:O$300,Campaigns!E$7:E$300,$A49)</f>
        <v>0</v>
      </c>
      <c r="L49" s="14" t="n">
        <f aca="false">SUMIFS(Campaigns!P$7:P$300,Campaigns!E$7:E$300,$A49)</f>
        <v>0</v>
      </c>
      <c r="M49" s="14" t="n">
        <f aca="false">SUMIFS(Campaigns!Q$7:Q$300,Campaigns!E$7:E$300,$A49)</f>
        <v>0</v>
      </c>
      <c r="N49" s="15" t="n">
        <f aca="false">SUM(B49:M49)</f>
        <v>952.470409</v>
      </c>
      <c r="O49" s="20" t="n">
        <f aca="false">IF($N$52=0,"",N49/$N$52)</f>
        <v>0.00341875691485915</v>
      </c>
      <c r="P49" s="17" t="str">
        <f aca="false">IF(O49="","",REPT("█",ROUND(O49*40,0)))</f>
        <v/>
      </c>
    </row>
    <row r="50" customFormat="false" ht="15" hidden="false" customHeight="false" outlineLevel="0" collapsed="false">
      <c r="A50" s="13" t="s">
        <v>159</v>
      </c>
      <c r="B50" s="14" t="n">
        <f aca="false">SUMIFS(Campaigns!F$7:F$300,Campaigns!E$7:E$300,$A50)</f>
        <v>0</v>
      </c>
      <c r="C50" s="14" t="n">
        <f aca="false">SUMIFS(Campaigns!G$7:G$300,Campaigns!E$7:E$300,$A50)</f>
        <v>0</v>
      </c>
      <c r="D50" s="14" t="n">
        <f aca="false">SUMIFS(Campaigns!H$7:H$300,Campaigns!E$7:E$300,$A50)</f>
        <v>0</v>
      </c>
      <c r="E50" s="14" t="n">
        <f aca="false">SUMIFS(Campaigns!I$7:I$300,Campaigns!E$7:E$300,$A50)</f>
        <v>0</v>
      </c>
      <c r="F50" s="14" t="n">
        <f aca="false">SUMIFS(Campaigns!J$7:J$300,Campaigns!E$7:E$300,$A50)</f>
        <v>0</v>
      </c>
      <c r="G50" s="14" t="n">
        <f aca="false">SUMIFS(Campaigns!K$7:K$300,Campaigns!E$7:E$300,$A50)</f>
        <v>0</v>
      </c>
      <c r="H50" s="14" t="n">
        <f aca="false">SUMIFS(Campaigns!L$7:L$300,Campaigns!E$7:E$300,$A50)</f>
        <v>0</v>
      </c>
      <c r="I50" s="14" t="n">
        <f aca="false">SUMIFS(Campaigns!M$7:M$300,Campaigns!E$7:E$300,$A50)</f>
        <v>0</v>
      </c>
      <c r="J50" s="14" t="n">
        <f aca="false">SUMIFS(Campaigns!N$7:N$300,Campaigns!E$7:E$300,$A50)</f>
        <v>256.579212</v>
      </c>
      <c r="K50" s="14" t="n">
        <f aca="false">SUMIFS(Campaigns!O$7:O$300,Campaigns!E$7:E$300,$A50)</f>
        <v>0</v>
      </c>
      <c r="L50" s="14" t="n">
        <f aca="false">SUMIFS(Campaigns!P$7:P$300,Campaigns!E$7:E$300,$A50)</f>
        <v>0</v>
      </c>
      <c r="M50" s="14" t="n">
        <f aca="false">SUMIFS(Campaigns!Q$7:Q$300,Campaigns!E$7:E$300,$A50)</f>
        <v>0</v>
      </c>
      <c r="N50" s="15" t="n">
        <f aca="false">SUM(B50:M50)</f>
        <v>256.579212</v>
      </c>
      <c r="O50" s="20" t="n">
        <f aca="false">IF($N$52=0,"",N50/$N$52)</f>
        <v>0.000920954548241626</v>
      </c>
      <c r="P50" s="17" t="str">
        <f aca="false">IF(O50="","",REPT("█",ROUND(O50*40,0)))</f>
        <v/>
      </c>
    </row>
    <row r="51" customFormat="false" ht="15" hidden="false" customHeight="false" outlineLevel="0" collapsed="false">
      <c r="A51" s="51" t="s">
        <v>127</v>
      </c>
      <c r="B51" s="14" t="n">
        <f aca="false">Campaigns!F$6-SUM(B40:B50)</f>
        <v>0</v>
      </c>
      <c r="C51" s="14" t="n">
        <f aca="false">Campaigns!G$6-SUM(C40:C50)</f>
        <v>0</v>
      </c>
      <c r="D51" s="14" t="n">
        <f aca="false">Campaigns!H$6-SUM(D40:D50)</f>
        <v>0</v>
      </c>
      <c r="E51" s="14" t="n">
        <f aca="false">Campaigns!I$6-SUM(E40:E50)</f>
        <v>0</v>
      </c>
      <c r="F51" s="14" t="n">
        <f aca="false">Campaigns!J$6-SUM(F40:F50)</f>
        <v>0</v>
      </c>
      <c r="G51" s="14" t="n">
        <f aca="false">Campaigns!K$6-SUM(G40:G50)</f>
        <v>0</v>
      </c>
      <c r="H51" s="14" t="n">
        <f aca="false">Campaigns!L$6-SUM(H40:H50)</f>
        <v>0</v>
      </c>
      <c r="I51" s="14" t="n">
        <f aca="false">Campaigns!M$6-SUM(I40:I50)</f>
        <v>0</v>
      </c>
      <c r="J51" s="14" t="n">
        <f aca="false">Campaigns!N$6-SUM(J40:J50)</f>
        <v>0</v>
      </c>
      <c r="K51" s="14" t="n">
        <f aca="false">Campaigns!O$6-SUM(K40:K50)</f>
        <v>0</v>
      </c>
      <c r="L51" s="14" t="n">
        <f aca="false">Campaigns!P$6-SUM(L40:L50)</f>
        <v>0</v>
      </c>
      <c r="M51" s="14" t="n">
        <f aca="false">Campaigns!Q$6-SUM(M40:M50)</f>
        <v>0</v>
      </c>
      <c r="N51" s="15" t="n">
        <f aca="false">SUM(B51:M51)</f>
        <v>0</v>
      </c>
      <c r="O51" s="20" t="n">
        <f aca="false">IF($N$52=0,"",N51/$N$52)</f>
        <v>0</v>
      </c>
      <c r="P51" s="17" t="str">
        <f aca="false">IF(O51="","",REPT("█",ROUND(O51*40,0)))</f>
        <v/>
      </c>
    </row>
    <row r="52" customFormat="false" ht="15" hidden="false" customHeight="false" outlineLevel="0" collapsed="false">
      <c r="A52" s="24" t="s">
        <v>32</v>
      </c>
      <c r="B52" s="30" t="n">
        <f aca="false">SUM(B40:B51)</f>
        <v>18931.372219</v>
      </c>
      <c r="C52" s="30" t="n">
        <f aca="false">SUM(C40:C51)</f>
        <v>40037.159732</v>
      </c>
      <c r="D52" s="30" t="n">
        <f aca="false">SUM(D40:D51)</f>
        <v>48500.057848</v>
      </c>
      <c r="E52" s="30" t="n">
        <f aca="false">SUM(E40:E51)</f>
        <v>32213.824701</v>
      </c>
      <c r="F52" s="30" t="n">
        <f aca="false">SUM(F40:F51)</f>
        <v>34340.137879</v>
      </c>
      <c r="G52" s="30" t="n">
        <f aca="false">SUM(G40:G51)</f>
        <v>31409.663413</v>
      </c>
      <c r="H52" s="30" t="n">
        <f aca="false">SUM(H40:H51)</f>
        <v>32104.858074</v>
      </c>
      <c r="I52" s="30" t="n">
        <f aca="false">SUM(I40:I51)</f>
        <v>22890.523015</v>
      </c>
      <c r="J52" s="30" t="n">
        <f aca="false">SUM(J40:J51)</f>
        <v>18173.7874</v>
      </c>
      <c r="K52" s="30" t="n">
        <f aca="false">SUM(K40:K51)</f>
        <v>0</v>
      </c>
      <c r="L52" s="30" t="n">
        <f aca="false">SUM(L40:L51)</f>
        <v>0</v>
      </c>
      <c r="M52" s="30" t="n">
        <f aca="false">SUM(M40:M51)</f>
        <v>0</v>
      </c>
      <c r="N52" s="30" t="n">
        <f aca="false">SUM(B52:M52)</f>
        <v>278601.384281</v>
      </c>
      <c r="O52" s="52" t="n">
        <f aca="false">IF($N$52=0,"",N52/$N$52)</f>
        <v>1</v>
      </c>
      <c r="P52" s="5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U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26"/>
    <col collapsed="false" customWidth="true" hidden="false" outlineLevel="0" max="4" min="4" style="0" width="13"/>
    <col collapsed="false" customWidth="true" hidden="false" outlineLevel="0" max="5" min="5" style="0" width="32"/>
    <col collapsed="false" customWidth="true" hidden="false" outlineLevel="0" max="17" min="6" style="0" width="9.51"/>
    <col collapsed="false" customWidth="true" hidden="false" outlineLevel="0" max="18" min="18" style="0" width="12"/>
    <col collapsed="false" customWidth="true" hidden="false" outlineLevel="0" max="19" min="19" style="0" width="10"/>
    <col collapsed="false" customWidth="true" hidden="false" outlineLevel="0" max="21" min="20" style="0" width="12"/>
  </cols>
  <sheetData>
    <row r="1" customFormat="false" ht="19.7" hidden="false" customHeight="false" outlineLevel="0" collapsed="false">
      <c r="A1" s="31" t="s">
        <v>160</v>
      </c>
    </row>
    <row r="2" customFormat="false" ht="15" hidden="false" customHeight="false" outlineLevel="0" collapsed="false">
      <c r="A2" s="28" t="s">
        <v>161</v>
      </c>
    </row>
    <row r="3" customFormat="false" ht="15" hidden="false" customHeight="false" outlineLevel="0" collapsed="false">
      <c r="A3" s="55" t="s">
        <v>162</v>
      </c>
      <c r="D3" s="56" t="n">
        <f aca="false">Calc!C46-R6</f>
        <v>0</v>
      </c>
      <c r="E3" s="55" t="str">
        <f aca="false">IF(ABS(D3)&lt;0.5,"✓ all listed","⚠ add the campaigns flagged in the data tabs")</f>
        <v>✓ all listed</v>
      </c>
      <c r="F3" s="57" t="n">
        <f aca="false">DATE(Settings!$C$12,1,1)</f>
        <v>46023</v>
      </c>
      <c r="G3" s="57" t="n">
        <f aca="false">DATE(Settings!$C$12,2,1)</f>
        <v>46054</v>
      </c>
      <c r="H3" s="57" t="n">
        <f aca="false">DATE(Settings!$C$12,3,1)</f>
        <v>46082</v>
      </c>
      <c r="I3" s="57" t="n">
        <f aca="false">DATE(Settings!$C$12,4,1)</f>
        <v>46113</v>
      </c>
      <c r="J3" s="57" t="n">
        <f aca="false">DATE(Settings!$C$12,5,1)</f>
        <v>46143</v>
      </c>
      <c r="K3" s="57" t="n">
        <f aca="false">DATE(Settings!$C$12,6,1)</f>
        <v>46174</v>
      </c>
      <c r="L3" s="57" t="n">
        <f aca="false">DATE(Settings!$C$12,7,1)</f>
        <v>46204</v>
      </c>
      <c r="M3" s="57" t="n">
        <f aca="false">DATE(Settings!$C$12,8,1)</f>
        <v>46235</v>
      </c>
      <c r="N3" s="57" t="n">
        <f aca="false">DATE(Settings!$C$12,9,1)</f>
        <v>46266</v>
      </c>
      <c r="O3" s="57" t="n">
        <f aca="false">DATE(Settings!$C$12,10,1)</f>
        <v>46296</v>
      </c>
      <c r="P3" s="57" t="n">
        <f aca="false">DATE(Settings!$C$12,11,1)</f>
        <v>46327</v>
      </c>
      <c r="Q3" s="57" t="n">
        <f aca="false">DATE(Settings!$C$12,12,1)</f>
        <v>46357</v>
      </c>
    </row>
    <row r="4" customFormat="false" ht="15" hidden="false" customHeight="false" outlineLevel="0" collapsed="false">
      <c r="F4" s="57" t="n">
        <f aca="false">EOMONTH(F3,0)</f>
        <v>46053</v>
      </c>
      <c r="G4" s="57" t="n">
        <f aca="false">EOMONTH(G3,0)</f>
        <v>46081</v>
      </c>
      <c r="H4" s="57" t="n">
        <f aca="false">EOMONTH(H3,0)</f>
        <v>46112</v>
      </c>
      <c r="I4" s="57" t="n">
        <f aca="false">EOMONTH(I3,0)</f>
        <v>46142</v>
      </c>
      <c r="J4" s="57" t="n">
        <f aca="false">EOMONTH(J3,0)</f>
        <v>46173</v>
      </c>
      <c r="K4" s="57" t="n">
        <f aca="false">EOMONTH(K3,0)</f>
        <v>46203</v>
      </c>
      <c r="L4" s="57" t="n">
        <f aca="false">EOMONTH(L3,0)</f>
        <v>46234</v>
      </c>
      <c r="M4" s="57" t="n">
        <f aca="false">EOMONTH(M3,0)</f>
        <v>46265</v>
      </c>
      <c r="N4" s="57" t="n">
        <f aca="false">EOMONTH(N3,0)</f>
        <v>46295</v>
      </c>
      <c r="O4" s="57" t="n">
        <f aca="false">EOMONTH(O3,0)</f>
        <v>46326</v>
      </c>
      <c r="P4" s="57" t="n">
        <f aca="false">EOMONTH(P3,0)</f>
        <v>46356</v>
      </c>
      <c r="Q4" s="57" t="n">
        <f aca="false">EOMONTH(Q3,0)</f>
        <v>46387</v>
      </c>
    </row>
    <row r="5" customFormat="false" ht="30" hidden="false" customHeight="true" outlineLevel="0" collapsed="false">
      <c r="A5" s="12" t="s">
        <v>163</v>
      </c>
      <c r="B5" s="12" t="s">
        <v>11</v>
      </c>
      <c r="C5" s="12" t="s">
        <v>129</v>
      </c>
      <c r="D5" s="12" t="s">
        <v>121</v>
      </c>
      <c r="E5" s="12" t="s">
        <v>164</v>
      </c>
      <c r="F5" s="12" t="str">
        <f aca="false">TEXT(F3,"mmm")</f>
        <v>Jan</v>
      </c>
      <c r="G5" s="12" t="str">
        <f aca="false">TEXT(G3,"mmm")</f>
        <v>Feb</v>
      </c>
      <c r="H5" s="12" t="str">
        <f aca="false">TEXT(H3,"mmm")</f>
        <v>Mar</v>
      </c>
      <c r="I5" s="12" t="str">
        <f aca="false">TEXT(I3,"mmm")</f>
        <v>Apr</v>
      </c>
      <c r="J5" s="12" t="str">
        <f aca="false">TEXT(J3,"mmm")</f>
        <v>May</v>
      </c>
      <c r="K5" s="12" t="str">
        <f aca="false">TEXT(K3,"mmm")</f>
        <v>Jun</v>
      </c>
      <c r="L5" s="12" t="str">
        <f aca="false">TEXT(L3,"mmm")</f>
        <v>Jul</v>
      </c>
      <c r="M5" s="12" t="str">
        <f aca="false">TEXT(M3,"mmm")</f>
        <v>Aug</v>
      </c>
      <c r="N5" s="12" t="str">
        <f aca="false">TEXT(N3,"mmm")</f>
        <v>Sep</v>
      </c>
      <c r="O5" s="12" t="str">
        <f aca="false">TEXT(O3,"mmm")</f>
        <v>Oct</v>
      </c>
      <c r="P5" s="12" t="str">
        <f aca="false">TEXT(P3,"mmm")</f>
        <v>Nov</v>
      </c>
      <c r="Q5" s="12" t="str">
        <f aca="false">TEXT(Q3,"mmm")</f>
        <v>Dec</v>
      </c>
      <c r="R5" s="12" t="str">
        <f aca="false">"Total ("&amp;Settings!$C$6&amp;")"</f>
        <v>Total (USD)</v>
      </c>
      <c r="S5" s="12" t="s">
        <v>114</v>
      </c>
      <c r="T5" s="12" t="s">
        <v>115</v>
      </c>
      <c r="U5" s="12" t="s">
        <v>117</v>
      </c>
    </row>
    <row r="6" customFormat="false" ht="15" hidden="false" customHeight="false" outlineLevel="0" collapsed="false">
      <c r="A6" s="24" t="s">
        <v>165</v>
      </c>
      <c r="B6" s="27"/>
      <c r="C6" s="27"/>
      <c r="D6" s="27"/>
      <c r="E6" s="27"/>
      <c r="F6" s="30" t="n">
        <f aca="false">SUM(F7:F300)</f>
        <v>18931.372219</v>
      </c>
      <c r="G6" s="30" t="n">
        <f aca="false">SUM(G7:G300)</f>
        <v>40037.159732</v>
      </c>
      <c r="H6" s="30" t="n">
        <f aca="false">SUM(H7:H300)</f>
        <v>48500.057848</v>
      </c>
      <c r="I6" s="30" t="n">
        <f aca="false">SUM(I7:I300)</f>
        <v>32213.824701</v>
      </c>
      <c r="J6" s="30" t="n">
        <f aca="false">SUM(J7:J300)</f>
        <v>34340.137879</v>
      </c>
      <c r="K6" s="30" t="n">
        <f aca="false">SUM(K7:K300)</f>
        <v>31409.663413</v>
      </c>
      <c r="L6" s="30" t="n">
        <f aca="false">SUM(L7:L300)</f>
        <v>32104.858074</v>
      </c>
      <c r="M6" s="30" t="n">
        <f aca="false">SUM(M7:M300)</f>
        <v>22890.523015</v>
      </c>
      <c r="N6" s="30" t="n">
        <f aca="false">SUM(N7:N300)</f>
        <v>18173.7874</v>
      </c>
      <c r="O6" s="30" t="n">
        <f aca="false">SUM(O7:O300)</f>
        <v>0</v>
      </c>
      <c r="P6" s="30" t="n">
        <f aca="false">SUM(P7:P300)</f>
        <v>0</v>
      </c>
      <c r="Q6" s="30" t="n">
        <f aca="false">SUM(Q7:Q300)</f>
        <v>0</v>
      </c>
      <c r="R6" s="30" t="n">
        <f aca="false">SUM(R7:R300)</f>
        <v>278601.384281</v>
      </c>
      <c r="S6" s="49" t="n">
        <f aca="false">SUM(S7:S300)</f>
        <v>280497</v>
      </c>
      <c r="T6" s="49" t="n">
        <f aca="false">SUM(T7:T300)</f>
        <v>8662.99</v>
      </c>
      <c r="U6" s="50" t="n">
        <f aca="false">IF(T6=0,"",R6/T6)</f>
        <v>32.1599568141023</v>
      </c>
    </row>
    <row r="7" customFormat="false" ht="15" hidden="false" customHeight="false" outlineLevel="0" collapsed="false">
      <c r="A7" s="58" t="s">
        <v>166</v>
      </c>
      <c r="B7" s="58" t="s">
        <v>19</v>
      </c>
      <c r="C7" s="58" t="s">
        <v>130</v>
      </c>
      <c r="D7" s="58" t="s">
        <v>123</v>
      </c>
      <c r="E7" s="58" t="s">
        <v>149</v>
      </c>
      <c r="F7" s="14" t="n">
        <f aca="false">IF($A7="","",IF($B7="Meta",SUMIFS('Meta data'!$I$3:$I$20000,'Meta data'!$A$3:$A$20000,"&gt;="&amp;F$3,'Meta data'!$A$3:$A$20000,"&lt;="&amp;F$4,'Meta data'!$B$3:$B$20000,$A7),IF($B7="Google Ads",SUMIFS('Google data'!$I$3:$I$20000,'Google data'!$A$3:$A$20000,"&gt;="&amp;F$3,'Google data'!$A$3:$A$20000,"&lt;="&amp;F$4,'Google data'!$B$3:$B$20000,$A7),IF($B7="ChatGPT Ads",SUMIFS('ChatGPT data'!$I$3:$I$20000,'ChatGPT data'!$A$3:$A$20000,"&gt;="&amp;F$3,'ChatGPT data'!$A$3:$A$20000,"&lt;="&amp;F$4,'ChatGPT data'!$B$3:$B$20000,$A7),IF($B7="LinkedIn Ads",SUMIFS('LinkedIn data'!$I$3:$I$20000,'LinkedIn data'!$A$3:$A$20000,"&gt;="&amp;F$3,'LinkedIn data'!$A$3:$A$20000,"&lt;="&amp;F$4,'LinkedIn data'!$B$3:$B$20000,$A7),0)))))</f>
        <v>0</v>
      </c>
      <c r="G7" s="14" t="n">
        <f aca="false">IF($A7="","",IF($B7="Meta",SUMIFS('Meta data'!$I$3:$I$20000,'Meta data'!$A$3:$A$20000,"&gt;="&amp;G$3,'Meta data'!$A$3:$A$20000,"&lt;="&amp;G$4,'Meta data'!$B$3:$B$20000,$A7),IF($B7="Google Ads",SUMIFS('Google data'!$I$3:$I$20000,'Google data'!$A$3:$A$20000,"&gt;="&amp;G$3,'Google data'!$A$3:$A$20000,"&lt;="&amp;G$4,'Google data'!$B$3:$B$20000,$A7),IF($B7="ChatGPT Ads",SUMIFS('ChatGPT data'!$I$3:$I$20000,'ChatGPT data'!$A$3:$A$20000,"&gt;="&amp;G$3,'ChatGPT data'!$A$3:$A$20000,"&lt;="&amp;G$4,'ChatGPT data'!$B$3:$B$20000,$A7),IF($B7="LinkedIn Ads",SUMIFS('LinkedIn data'!$I$3:$I$20000,'LinkedIn data'!$A$3:$A$20000,"&gt;="&amp;G$3,'LinkedIn data'!$A$3:$A$20000,"&lt;="&amp;G$4,'LinkedIn data'!$B$3:$B$20000,$A7),0)))))</f>
        <v>18574.2</v>
      </c>
      <c r="H7" s="14" t="n">
        <f aca="false">IF($A7="","",IF($B7="Meta",SUMIFS('Meta data'!$I$3:$I$20000,'Meta data'!$A$3:$A$20000,"&gt;="&amp;H$3,'Meta data'!$A$3:$A$20000,"&lt;="&amp;H$4,'Meta data'!$B$3:$B$20000,$A7),IF($B7="Google Ads",SUMIFS('Google data'!$I$3:$I$20000,'Google data'!$A$3:$A$20000,"&gt;="&amp;H$3,'Google data'!$A$3:$A$20000,"&lt;="&amp;H$4,'Google data'!$B$3:$B$20000,$A7),IF($B7="ChatGPT Ads",SUMIFS('ChatGPT data'!$I$3:$I$20000,'ChatGPT data'!$A$3:$A$20000,"&gt;="&amp;H$3,'ChatGPT data'!$A$3:$A$20000,"&lt;="&amp;H$4,'ChatGPT data'!$B$3:$B$20000,$A7),IF($B7="LinkedIn Ads",SUMIFS('LinkedIn data'!$I$3:$I$20000,'LinkedIn data'!$A$3:$A$20000,"&gt;="&amp;H$3,'LinkedIn data'!$A$3:$A$20000,"&lt;="&amp;H$4,'LinkedIn data'!$B$3:$B$20000,$A7),0)))))</f>
        <v>29346.15</v>
      </c>
      <c r="I7" s="14" t="n">
        <f aca="false">IF($A7="","",IF($B7="Meta",SUMIFS('Meta data'!$I$3:$I$20000,'Meta data'!$A$3:$A$20000,"&gt;="&amp;I$3,'Meta data'!$A$3:$A$20000,"&lt;="&amp;I$4,'Meta data'!$B$3:$B$20000,$A7),IF($B7="Google Ads",SUMIFS('Google data'!$I$3:$I$20000,'Google data'!$A$3:$A$20000,"&gt;="&amp;I$3,'Google data'!$A$3:$A$20000,"&lt;="&amp;I$4,'Google data'!$B$3:$B$20000,$A7),IF($B7="ChatGPT Ads",SUMIFS('ChatGPT data'!$I$3:$I$20000,'ChatGPT data'!$A$3:$A$20000,"&gt;="&amp;I$3,'ChatGPT data'!$A$3:$A$20000,"&lt;="&amp;I$4,'ChatGPT data'!$B$3:$B$20000,$A7),IF($B7="LinkedIn Ads",SUMIFS('LinkedIn data'!$I$3:$I$20000,'LinkedIn data'!$A$3:$A$20000,"&gt;="&amp;I$3,'LinkedIn data'!$A$3:$A$20000,"&lt;="&amp;I$4,'LinkedIn data'!$B$3:$B$20000,$A7),0)))))</f>
        <v>8224.89</v>
      </c>
      <c r="J7" s="14" t="n">
        <f aca="false">IF($A7="","",IF($B7="Meta",SUMIFS('Meta data'!$I$3:$I$20000,'Meta data'!$A$3:$A$20000,"&gt;="&amp;J$3,'Meta data'!$A$3:$A$20000,"&lt;="&amp;J$4,'Meta data'!$B$3:$B$20000,$A7),IF($B7="Google Ads",SUMIFS('Google data'!$I$3:$I$20000,'Google data'!$A$3:$A$20000,"&gt;="&amp;J$3,'Google data'!$A$3:$A$20000,"&lt;="&amp;J$4,'Google data'!$B$3:$B$20000,$A7),IF($B7="ChatGPT Ads",SUMIFS('ChatGPT data'!$I$3:$I$20000,'ChatGPT data'!$A$3:$A$20000,"&gt;="&amp;J$3,'ChatGPT data'!$A$3:$A$20000,"&lt;="&amp;J$4,'ChatGPT data'!$B$3:$B$20000,$A7),IF($B7="LinkedIn Ads",SUMIFS('LinkedIn data'!$I$3:$I$20000,'LinkedIn data'!$A$3:$A$20000,"&gt;="&amp;J$3,'LinkedIn data'!$A$3:$A$20000,"&lt;="&amp;J$4,'LinkedIn data'!$B$3:$B$20000,$A7),0)))))</f>
        <v>5591.42</v>
      </c>
      <c r="K7" s="14" t="n">
        <f aca="false">IF($A7="","",IF($B7="Meta",SUMIFS('Meta data'!$I$3:$I$20000,'Meta data'!$A$3:$A$20000,"&gt;="&amp;K$3,'Meta data'!$A$3:$A$20000,"&lt;="&amp;K$4,'Meta data'!$B$3:$B$20000,$A7),IF($B7="Google Ads",SUMIFS('Google data'!$I$3:$I$20000,'Google data'!$A$3:$A$20000,"&gt;="&amp;K$3,'Google data'!$A$3:$A$20000,"&lt;="&amp;K$4,'Google data'!$B$3:$B$20000,$A7),IF($B7="ChatGPT Ads",SUMIFS('ChatGPT data'!$I$3:$I$20000,'ChatGPT data'!$A$3:$A$20000,"&gt;="&amp;K$3,'ChatGPT data'!$A$3:$A$20000,"&lt;="&amp;K$4,'ChatGPT data'!$B$3:$B$20000,$A7),IF($B7="LinkedIn Ads",SUMIFS('LinkedIn data'!$I$3:$I$20000,'LinkedIn data'!$A$3:$A$20000,"&gt;="&amp;K$3,'LinkedIn data'!$A$3:$A$20000,"&lt;="&amp;K$4,'LinkedIn data'!$B$3:$B$20000,$A7),0)))))</f>
        <v>4885.67</v>
      </c>
      <c r="L7" s="14" t="n">
        <f aca="false">IF($A7="","",IF($B7="Meta",SUMIFS('Meta data'!$I$3:$I$20000,'Meta data'!$A$3:$A$20000,"&gt;="&amp;L$3,'Meta data'!$A$3:$A$20000,"&lt;="&amp;L$4,'Meta data'!$B$3:$B$20000,$A7),IF($B7="Google Ads",SUMIFS('Google data'!$I$3:$I$20000,'Google data'!$A$3:$A$20000,"&gt;="&amp;L$3,'Google data'!$A$3:$A$20000,"&lt;="&amp;L$4,'Google data'!$B$3:$B$20000,$A7),IF($B7="ChatGPT Ads",SUMIFS('ChatGPT data'!$I$3:$I$20000,'ChatGPT data'!$A$3:$A$20000,"&gt;="&amp;L$3,'ChatGPT data'!$A$3:$A$20000,"&lt;="&amp;L$4,'ChatGPT data'!$B$3:$B$20000,$A7),IF($B7="LinkedIn Ads",SUMIFS('LinkedIn data'!$I$3:$I$20000,'LinkedIn data'!$A$3:$A$20000,"&gt;="&amp;L$3,'LinkedIn data'!$A$3:$A$20000,"&lt;="&amp;L$4,'LinkedIn data'!$B$3:$B$20000,$A7),0)))))</f>
        <v>5011.85</v>
      </c>
      <c r="M7" s="14" t="n">
        <f aca="false">IF($A7="","",IF($B7="Meta",SUMIFS('Meta data'!$I$3:$I$20000,'Meta data'!$A$3:$A$20000,"&gt;="&amp;M$3,'Meta data'!$A$3:$A$20000,"&lt;="&amp;M$4,'Meta data'!$B$3:$B$20000,$A7),IF($B7="Google Ads",SUMIFS('Google data'!$I$3:$I$20000,'Google data'!$A$3:$A$20000,"&gt;="&amp;M$3,'Google data'!$A$3:$A$20000,"&lt;="&amp;M$4,'Google data'!$B$3:$B$20000,$A7),IF($B7="ChatGPT Ads",SUMIFS('ChatGPT data'!$I$3:$I$20000,'ChatGPT data'!$A$3:$A$20000,"&gt;="&amp;M$3,'ChatGPT data'!$A$3:$A$20000,"&lt;="&amp;M$4,'ChatGPT data'!$B$3:$B$20000,$A7),IF($B7="LinkedIn Ads",SUMIFS('LinkedIn data'!$I$3:$I$20000,'LinkedIn data'!$A$3:$A$20000,"&gt;="&amp;M$3,'LinkedIn data'!$A$3:$A$20000,"&lt;="&amp;M$4,'LinkedIn data'!$B$3:$B$20000,$A7),0)))))</f>
        <v>0</v>
      </c>
      <c r="N7" s="14" t="n">
        <f aca="false">IF($A7="","",IF($B7="Meta",SUMIFS('Meta data'!$I$3:$I$20000,'Meta data'!$A$3:$A$20000,"&gt;="&amp;N$3,'Meta data'!$A$3:$A$20000,"&lt;="&amp;N$4,'Meta data'!$B$3:$B$20000,$A7),IF($B7="Google Ads",SUMIFS('Google data'!$I$3:$I$20000,'Google data'!$A$3:$A$20000,"&gt;="&amp;N$3,'Google data'!$A$3:$A$20000,"&lt;="&amp;N$4,'Google data'!$B$3:$B$20000,$A7),IF($B7="ChatGPT Ads",SUMIFS('ChatGPT data'!$I$3:$I$20000,'ChatGPT data'!$A$3:$A$20000,"&gt;="&amp;N$3,'ChatGPT data'!$A$3:$A$20000,"&lt;="&amp;N$4,'ChatGPT data'!$B$3:$B$20000,$A7),IF($B7="LinkedIn Ads",SUMIFS('LinkedIn data'!$I$3:$I$20000,'LinkedIn data'!$A$3:$A$20000,"&gt;="&amp;N$3,'LinkedIn data'!$A$3:$A$20000,"&lt;="&amp;N$4,'LinkedIn data'!$B$3:$B$20000,$A7),0)))))</f>
        <v>0</v>
      </c>
      <c r="O7" s="14" t="n">
        <f aca="false">IF($A7="","",IF($B7="Meta",SUMIFS('Meta data'!$I$3:$I$20000,'Meta data'!$A$3:$A$20000,"&gt;="&amp;O$3,'Meta data'!$A$3:$A$20000,"&lt;="&amp;O$4,'Meta data'!$B$3:$B$20000,$A7),IF($B7="Google Ads",SUMIFS('Google data'!$I$3:$I$20000,'Google data'!$A$3:$A$20000,"&gt;="&amp;O$3,'Google data'!$A$3:$A$20000,"&lt;="&amp;O$4,'Google data'!$B$3:$B$20000,$A7),IF($B7="ChatGPT Ads",SUMIFS('ChatGPT data'!$I$3:$I$20000,'ChatGPT data'!$A$3:$A$20000,"&gt;="&amp;O$3,'ChatGPT data'!$A$3:$A$20000,"&lt;="&amp;O$4,'ChatGPT data'!$B$3:$B$20000,$A7),IF($B7="LinkedIn Ads",SUMIFS('LinkedIn data'!$I$3:$I$20000,'LinkedIn data'!$A$3:$A$20000,"&gt;="&amp;O$3,'LinkedIn data'!$A$3:$A$20000,"&lt;="&amp;O$4,'LinkedIn data'!$B$3:$B$20000,$A7),0)))))</f>
        <v>0</v>
      </c>
      <c r="P7" s="14" t="n">
        <f aca="false">IF($A7="","",IF($B7="Meta",SUMIFS('Meta data'!$I$3:$I$20000,'Meta data'!$A$3:$A$20000,"&gt;="&amp;P$3,'Meta data'!$A$3:$A$20000,"&lt;="&amp;P$4,'Meta data'!$B$3:$B$20000,$A7),IF($B7="Google Ads",SUMIFS('Google data'!$I$3:$I$20000,'Google data'!$A$3:$A$20000,"&gt;="&amp;P$3,'Google data'!$A$3:$A$20000,"&lt;="&amp;P$4,'Google data'!$B$3:$B$20000,$A7),IF($B7="ChatGPT Ads",SUMIFS('ChatGPT data'!$I$3:$I$20000,'ChatGPT data'!$A$3:$A$20000,"&gt;="&amp;P$3,'ChatGPT data'!$A$3:$A$20000,"&lt;="&amp;P$4,'ChatGPT data'!$B$3:$B$20000,$A7),IF($B7="LinkedIn Ads",SUMIFS('LinkedIn data'!$I$3:$I$20000,'LinkedIn data'!$A$3:$A$20000,"&gt;="&amp;P$3,'LinkedIn data'!$A$3:$A$20000,"&lt;="&amp;P$4,'LinkedIn data'!$B$3:$B$20000,$A7),0)))))</f>
        <v>0</v>
      </c>
      <c r="Q7" s="14" t="n">
        <f aca="false">IF($A7="","",IF($B7="Meta",SUMIFS('Meta data'!$I$3:$I$20000,'Meta data'!$A$3:$A$20000,"&gt;="&amp;Q$3,'Meta data'!$A$3:$A$20000,"&lt;="&amp;Q$4,'Meta data'!$B$3:$B$20000,$A7),IF($B7="Google Ads",SUMIFS('Google data'!$I$3:$I$20000,'Google data'!$A$3:$A$20000,"&gt;="&amp;Q$3,'Google data'!$A$3:$A$20000,"&lt;="&amp;Q$4,'Google data'!$B$3:$B$20000,$A7),IF($B7="ChatGPT Ads",SUMIFS('ChatGPT data'!$I$3:$I$20000,'ChatGPT data'!$A$3:$A$20000,"&gt;="&amp;Q$3,'ChatGPT data'!$A$3:$A$20000,"&lt;="&amp;Q$4,'ChatGPT data'!$B$3:$B$20000,$A7),IF($B7="LinkedIn Ads",SUMIFS('LinkedIn data'!$I$3:$I$20000,'LinkedIn data'!$A$3:$A$20000,"&gt;="&amp;Q$3,'LinkedIn data'!$A$3:$A$20000,"&lt;="&amp;Q$4,'LinkedIn data'!$B$3:$B$20000,$A7),0)))))</f>
        <v>0</v>
      </c>
      <c r="R7" s="15" t="n">
        <f aca="false">IF($A7="","",SUM(F7:Q7))</f>
        <v>71634.18</v>
      </c>
      <c r="S7" s="37" t="n">
        <f aca="false">IF($A7="","",IF($B7="Meta",SUMIFS('Meta data'!$E$3:$E$20000,'Meta data'!$B$3:$B$20000,$A7),IF($B7="Google Ads",SUMIFS('Google data'!$E$3:$E$20000,'Google data'!$B$3:$B$20000,$A7),IF($B7="ChatGPT Ads",SUMIFS('ChatGPT data'!$E$3:$E$20000,'ChatGPT data'!$B$3:$B$20000,$A7),IF($B7="LinkedIn Ads",SUMIFS('LinkedIn data'!$E$3:$E$20000,'LinkedIn data'!$B$3:$B$20000,$A7),0)))))</f>
        <v>38303</v>
      </c>
      <c r="T7" s="37" t="n">
        <f aca="false">IF($A7="","",IF($B7="Meta",SUMIFS('Meta data'!$F$3:$F$20000,'Meta data'!$B$3:$B$20000,$A7),IF($B7="Google Ads",SUMIFS('Google data'!$F$3:$F$20000,'Google data'!$B$3:$B$20000,$A7),IF($B7="ChatGPT Ads",SUMIFS('ChatGPT data'!$F$3:$F$20000,'ChatGPT data'!$B$3:$B$20000,$A7),IF($B7="LinkedIn Ads",SUMIFS('LinkedIn data'!$F$3:$F$20000,'LinkedIn data'!$B$3:$B$20000,$A7),0)))))</f>
        <v>2238</v>
      </c>
      <c r="U7" s="38" t="n">
        <f aca="false">IF(OR($A7="",T7=0),"",R7/T7)</f>
        <v>32.0081233243968</v>
      </c>
    </row>
    <row r="8" customFormat="false" ht="15" hidden="false" customHeight="false" outlineLevel="0" collapsed="false">
      <c r="A8" s="58" t="s">
        <v>167</v>
      </c>
      <c r="B8" s="58" t="s">
        <v>19</v>
      </c>
      <c r="C8" s="58" t="s">
        <v>130</v>
      </c>
      <c r="D8" s="58" t="s">
        <v>123</v>
      </c>
      <c r="E8" s="58" t="s">
        <v>149</v>
      </c>
      <c r="F8" s="14" t="n">
        <f aca="false">IF($A8="","",IF($B8="Meta",SUMIFS('Meta data'!$I$3:$I$20000,'Meta data'!$A$3:$A$20000,"&gt;="&amp;F$3,'Meta data'!$A$3:$A$20000,"&lt;="&amp;F$4,'Meta data'!$B$3:$B$20000,$A8),IF($B8="Google Ads",SUMIFS('Google data'!$I$3:$I$20000,'Google data'!$A$3:$A$20000,"&gt;="&amp;F$3,'Google data'!$A$3:$A$20000,"&lt;="&amp;F$4,'Google data'!$B$3:$B$20000,$A8),IF($B8="ChatGPT Ads",SUMIFS('ChatGPT data'!$I$3:$I$20000,'ChatGPT data'!$A$3:$A$20000,"&gt;="&amp;F$3,'ChatGPT data'!$A$3:$A$20000,"&lt;="&amp;F$4,'ChatGPT data'!$B$3:$B$20000,$A8),IF($B8="LinkedIn Ads",SUMIFS('LinkedIn data'!$I$3:$I$20000,'LinkedIn data'!$A$3:$A$20000,"&gt;="&amp;F$3,'LinkedIn data'!$A$3:$A$20000,"&lt;="&amp;F$4,'LinkedIn data'!$B$3:$B$20000,$A8),0)))))</f>
        <v>2782.56</v>
      </c>
      <c r="G8" s="14" t="n">
        <f aca="false">IF($A8="","",IF($B8="Meta",SUMIFS('Meta data'!$I$3:$I$20000,'Meta data'!$A$3:$A$20000,"&gt;="&amp;G$3,'Meta data'!$A$3:$A$20000,"&lt;="&amp;G$4,'Meta data'!$B$3:$B$20000,$A8),IF($B8="Google Ads",SUMIFS('Google data'!$I$3:$I$20000,'Google data'!$A$3:$A$20000,"&gt;="&amp;G$3,'Google data'!$A$3:$A$20000,"&lt;="&amp;G$4,'Google data'!$B$3:$B$20000,$A8),IF($B8="ChatGPT Ads",SUMIFS('ChatGPT data'!$I$3:$I$20000,'ChatGPT data'!$A$3:$A$20000,"&gt;="&amp;G$3,'ChatGPT data'!$A$3:$A$20000,"&lt;="&amp;G$4,'ChatGPT data'!$B$3:$B$20000,$A8),IF($B8="LinkedIn Ads",SUMIFS('LinkedIn data'!$I$3:$I$20000,'LinkedIn data'!$A$3:$A$20000,"&gt;="&amp;G$3,'LinkedIn data'!$A$3:$A$20000,"&lt;="&amp;G$4,'LinkedIn data'!$B$3:$B$20000,$A8),0)))))</f>
        <v>2511.78</v>
      </c>
      <c r="H8" s="14" t="n">
        <f aca="false">IF($A8="","",IF($B8="Meta",SUMIFS('Meta data'!$I$3:$I$20000,'Meta data'!$A$3:$A$20000,"&gt;="&amp;H$3,'Meta data'!$A$3:$A$20000,"&lt;="&amp;H$4,'Meta data'!$B$3:$B$20000,$A8),IF($B8="Google Ads",SUMIFS('Google data'!$I$3:$I$20000,'Google data'!$A$3:$A$20000,"&gt;="&amp;H$3,'Google data'!$A$3:$A$20000,"&lt;="&amp;H$4,'Google data'!$B$3:$B$20000,$A8),IF($B8="ChatGPT Ads",SUMIFS('ChatGPT data'!$I$3:$I$20000,'ChatGPT data'!$A$3:$A$20000,"&gt;="&amp;H$3,'ChatGPT data'!$A$3:$A$20000,"&lt;="&amp;H$4,'ChatGPT data'!$B$3:$B$20000,$A8),IF($B8="LinkedIn Ads",SUMIFS('LinkedIn data'!$I$3:$I$20000,'LinkedIn data'!$A$3:$A$20000,"&gt;="&amp;H$3,'LinkedIn data'!$A$3:$A$20000,"&lt;="&amp;H$4,'LinkedIn data'!$B$3:$B$20000,$A8),0)))))</f>
        <v>2776.42</v>
      </c>
      <c r="I8" s="14" t="n">
        <f aca="false">IF($A8="","",IF($B8="Meta",SUMIFS('Meta data'!$I$3:$I$20000,'Meta data'!$A$3:$A$20000,"&gt;="&amp;I$3,'Meta data'!$A$3:$A$20000,"&lt;="&amp;I$4,'Meta data'!$B$3:$B$20000,$A8),IF($B8="Google Ads",SUMIFS('Google data'!$I$3:$I$20000,'Google data'!$A$3:$A$20000,"&gt;="&amp;I$3,'Google data'!$A$3:$A$20000,"&lt;="&amp;I$4,'Google data'!$B$3:$B$20000,$A8),IF($B8="ChatGPT Ads",SUMIFS('ChatGPT data'!$I$3:$I$20000,'ChatGPT data'!$A$3:$A$20000,"&gt;="&amp;I$3,'ChatGPT data'!$A$3:$A$20000,"&lt;="&amp;I$4,'ChatGPT data'!$B$3:$B$20000,$A8),IF($B8="LinkedIn Ads",SUMIFS('LinkedIn data'!$I$3:$I$20000,'LinkedIn data'!$A$3:$A$20000,"&gt;="&amp;I$3,'LinkedIn data'!$A$3:$A$20000,"&lt;="&amp;I$4,'LinkedIn data'!$B$3:$B$20000,$A8),0)))))</f>
        <v>2711.28</v>
      </c>
      <c r="J8" s="14" t="n">
        <f aca="false">IF($A8="","",IF($B8="Meta",SUMIFS('Meta data'!$I$3:$I$20000,'Meta data'!$A$3:$A$20000,"&gt;="&amp;J$3,'Meta data'!$A$3:$A$20000,"&lt;="&amp;J$4,'Meta data'!$B$3:$B$20000,$A8),IF($B8="Google Ads",SUMIFS('Google data'!$I$3:$I$20000,'Google data'!$A$3:$A$20000,"&gt;="&amp;J$3,'Google data'!$A$3:$A$20000,"&lt;="&amp;J$4,'Google data'!$B$3:$B$20000,$A8),IF($B8="ChatGPT Ads",SUMIFS('ChatGPT data'!$I$3:$I$20000,'ChatGPT data'!$A$3:$A$20000,"&gt;="&amp;J$3,'ChatGPT data'!$A$3:$A$20000,"&lt;="&amp;J$4,'ChatGPT data'!$B$3:$B$20000,$A8),IF($B8="LinkedIn Ads",SUMIFS('LinkedIn data'!$I$3:$I$20000,'LinkedIn data'!$A$3:$A$20000,"&gt;="&amp;J$3,'LinkedIn data'!$A$3:$A$20000,"&lt;="&amp;J$4,'LinkedIn data'!$B$3:$B$20000,$A8),0)))))</f>
        <v>2778.32</v>
      </c>
      <c r="K8" s="14" t="n">
        <f aca="false">IF($A8="","",IF($B8="Meta",SUMIFS('Meta data'!$I$3:$I$20000,'Meta data'!$A$3:$A$20000,"&gt;="&amp;K$3,'Meta data'!$A$3:$A$20000,"&lt;="&amp;K$4,'Meta data'!$B$3:$B$20000,$A8),IF($B8="Google Ads",SUMIFS('Google data'!$I$3:$I$20000,'Google data'!$A$3:$A$20000,"&gt;="&amp;K$3,'Google data'!$A$3:$A$20000,"&lt;="&amp;K$4,'Google data'!$B$3:$B$20000,$A8),IF($B8="ChatGPT Ads",SUMIFS('ChatGPT data'!$I$3:$I$20000,'ChatGPT data'!$A$3:$A$20000,"&gt;="&amp;K$3,'ChatGPT data'!$A$3:$A$20000,"&lt;="&amp;K$4,'ChatGPT data'!$B$3:$B$20000,$A8),IF($B8="LinkedIn Ads",SUMIFS('LinkedIn data'!$I$3:$I$20000,'LinkedIn data'!$A$3:$A$20000,"&gt;="&amp;K$3,'LinkedIn data'!$A$3:$A$20000,"&lt;="&amp;K$4,'LinkedIn data'!$B$3:$B$20000,$A8),0)))))</f>
        <v>2697.04</v>
      </c>
      <c r="L8" s="14" t="n">
        <f aca="false">IF($A8="","",IF($B8="Meta",SUMIFS('Meta data'!$I$3:$I$20000,'Meta data'!$A$3:$A$20000,"&gt;="&amp;L$3,'Meta data'!$A$3:$A$20000,"&lt;="&amp;L$4,'Meta data'!$B$3:$B$20000,$A8),IF($B8="Google Ads",SUMIFS('Google data'!$I$3:$I$20000,'Google data'!$A$3:$A$20000,"&gt;="&amp;L$3,'Google data'!$A$3:$A$20000,"&lt;="&amp;L$4,'Google data'!$B$3:$B$20000,$A8),IF($B8="ChatGPT Ads",SUMIFS('ChatGPT data'!$I$3:$I$20000,'ChatGPT data'!$A$3:$A$20000,"&gt;="&amp;L$3,'ChatGPT data'!$A$3:$A$20000,"&lt;="&amp;L$4,'ChatGPT data'!$B$3:$B$20000,$A8),IF($B8="LinkedIn Ads",SUMIFS('LinkedIn data'!$I$3:$I$20000,'LinkedIn data'!$A$3:$A$20000,"&gt;="&amp;L$3,'LinkedIn data'!$A$3:$A$20000,"&lt;="&amp;L$4,'LinkedIn data'!$B$3:$B$20000,$A8),0)))))</f>
        <v>1743.28</v>
      </c>
      <c r="M8" s="14" t="n">
        <f aca="false">IF($A8="","",IF($B8="Meta",SUMIFS('Meta data'!$I$3:$I$20000,'Meta data'!$A$3:$A$20000,"&gt;="&amp;M$3,'Meta data'!$A$3:$A$20000,"&lt;="&amp;M$4,'Meta data'!$B$3:$B$20000,$A8),IF($B8="Google Ads",SUMIFS('Google data'!$I$3:$I$20000,'Google data'!$A$3:$A$20000,"&gt;="&amp;M$3,'Google data'!$A$3:$A$20000,"&lt;="&amp;M$4,'Google data'!$B$3:$B$20000,$A8),IF($B8="ChatGPT Ads",SUMIFS('ChatGPT data'!$I$3:$I$20000,'ChatGPT data'!$A$3:$A$20000,"&gt;="&amp;M$3,'ChatGPT data'!$A$3:$A$20000,"&lt;="&amp;M$4,'ChatGPT data'!$B$3:$B$20000,$A8),IF($B8="LinkedIn Ads",SUMIFS('LinkedIn data'!$I$3:$I$20000,'LinkedIn data'!$A$3:$A$20000,"&gt;="&amp;M$3,'LinkedIn data'!$A$3:$A$20000,"&lt;="&amp;M$4,'LinkedIn data'!$B$3:$B$20000,$A8),0)))))</f>
        <v>0</v>
      </c>
      <c r="N8" s="14" t="n">
        <f aca="false">IF($A8="","",IF($B8="Meta",SUMIFS('Meta data'!$I$3:$I$20000,'Meta data'!$A$3:$A$20000,"&gt;="&amp;N$3,'Meta data'!$A$3:$A$20000,"&lt;="&amp;N$4,'Meta data'!$B$3:$B$20000,$A8),IF($B8="Google Ads",SUMIFS('Google data'!$I$3:$I$20000,'Google data'!$A$3:$A$20000,"&gt;="&amp;N$3,'Google data'!$A$3:$A$20000,"&lt;="&amp;N$4,'Google data'!$B$3:$B$20000,$A8),IF($B8="ChatGPT Ads",SUMIFS('ChatGPT data'!$I$3:$I$20000,'ChatGPT data'!$A$3:$A$20000,"&gt;="&amp;N$3,'ChatGPT data'!$A$3:$A$20000,"&lt;="&amp;N$4,'ChatGPT data'!$B$3:$B$20000,$A8),IF($B8="LinkedIn Ads",SUMIFS('LinkedIn data'!$I$3:$I$20000,'LinkedIn data'!$A$3:$A$20000,"&gt;="&amp;N$3,'LinkedIn data'!$A$3:$A$20000,"&lt;="&amp;N$4,'LinkedIn data'!$B$3:$B$20000,$A8),0)))))</f>
        <v>0</v>
      </c>
      <c r="O8" s="14" t="n">
        <f aca="false">IF($A8="","",IF($B8="Meta",SUMIFS('Meta data'!$I$3:$I$20000,'Meta data'!$A$3:$A$20000,"&gt;="&amp;O$3,'Meta data'!$A$3:$A$20000,"&lt;="&amp;O$4,'Meta data'!$B$3:$B$20000,$A8),IF($B8="Google Ads",SUMIFS('Google data'!$I$3:$I$20000,'Google data'!$A$3:$A$20000,"&gt;="&amp;O$3,'Google data'!$A$3:$A$20000,"&lt;="&amp;O$4,'Google data'!$B$3:$B$20000,$A8),IF($B8="ChatGPT Ads",SUMIFS('ChatGPT data'!$I$3:$I$20000,'ChatGPT data'!$A$3:$A$20000,"&gt;="&amp;O$3,'ChatGPT data'!$A$3:$A$20000,"&lt;="&amp;O$4,'ChatGPT data'!$B$3:$B$20000,$A8),IF($B8="LinkedIn Ads",SUMIFS('LinkedIn data'!$I$3:$I$20000,'LinkedIn data'!$A$3:$A$20000,"&gt;="&amp;O$3,'LinkedIn data'!$A$3:$A$20000,"&lt;="&amp;O$4,'LinkedIn data'!$B$3:$B$20000,$A8),0)))))</f>
        <v>0</v>
      </c>
      <c r="P8" s="14" t="n">
        <f aca="false">IF($A8="","",IF($B8="Meta",SUMIFS('Meta data'!$I$3:$I$20000,'Meta data'!$A$3:$A$20000,"&gt;="&amp;P$3,'Meta data'!$A$3:$A$20000,"&lt;="&amp;P$4,'Meta data'!$B$3:$B$20000,$A8),IF($B8="Google Ads",SUMIFS('Google data'!$I$3:$I$20000,'Google data'!$A$3:$A$20000,"&gt;="&amp;P$3,'Google data'!$A$3:$A$20000,"&lt;="&amp;P$4,'Google data'!$B$3:$B$20000,$A8),IF($B8="ChatGPT Ads",SUMIFS('ChatGPT data'!$I$3:$I$20000,'ChatGPT data'!$A$3:$A$20000,"&gt;="&amp;P$3,'ChatGPT data'!$A$3:$A$20000,"&lt;="&amp;P$4,'ChatGPT data'!$B$3:$B$20000,$A8),IF($B8="LinkedIn Ads",SUMIFS('LinkedIn data'!$I$3:$I$20000,'LinkedIn data'!$A$3:$A$20000,"&gt;="&amp;P$3,'LinkedIn data'!$A$3:$A$20000,"&lt;="&amp;P$4,'LinkedIn data'!$B$3:$B$20000,$A8),0)))))</f>
        <v>0</v>
      </c>
      <c r="Q8" s="14" t="n">
        <f aca="false">IF($A8="","",IF($B8="Meta",SUMIFS('Meta data'!$I$3:$I$20000,'Meta data'!$A$3:$A$20000,"&gt;="&amp;Q$3,'Meta data'!$A$3:$A$20000,"&lt;="&amp;Q$4,'Meta data'!$B$3:$B$20000,$A8),IF($B8="Google Ads",SUMIFS('Google data'!$I$3:$I$20000,'Google data'!$A$3:$A$20000,"&gt;="&amp;Q$3,'Google data'!$A$3:$A$20000,"&lt;="&amp;Q$4,'Google data'!$B$3:$B$20000,$A8),IF($B8="ChatGPT Ads",SUMIFS('ChatGPT data'!$I$3:$I$20000,'ChatGPT data'!$A$3:$A$20000,"&gt;="&amp;Q$3,'ChatGPT data'!$A$3:$A$20000,"&lt;="&amp;Q$4,'ChatGPT data'!$B$3:$B$20000,$A8),IF($B8="LinkedIn Ads",SUMIFS('LinkedIn data'!$I$3:$I$20000,'LinkedIn data'!$A$3:$A$20000,"&gt;="&amp;Q$3,'LinkedIn data'!$A$3:$A$20000,"&lt;="&amp;Q$4,'LinkedIn data'!$B$3:$B$20000,$A8),0)))))</f>
        <v>0</v>
      </c>
      <c r="R8" s="15" t="n">
        <f aca="false">IF($A8="","",SUM(F8:Q8))</f>
        <v>18000.68</v>
      </c>
      <c r="S8" s="37" t="n">
        <f aca="false">IF($A8="","",IF($B8="Meta",SUMIFS('Meta data'!$E$3:$E$20000,'Meta data'!$B$3:$B$20000,$A8),IF($B8="Google Ads",SUMIFS('Google data'!$E$3:$E$20000,'Google data'!$B$3:$B$20000,$A8),IF($B8="ChatGPT Ads",SUMIFS('ChatGPT data'!$E$3:$E$20000,'ChatGPT data'!$B$3:$B$20000,$A8),IF($B8="LinkedIn Ads",SUMIFS('LinkedIn data'!$E$3:$E$20000,'LinkedIn data'!$B$3:$B$20000,$A8),0)))))</f>
        <v>18383</v>
      </c>
      <c r="T8" s="37" t="n">
        <f aca="false">IF($A8="","",IF($B8="Meta",SUMIFS('Meta data'!$F$3:$F$20000,'Meta data'!$B$3:$B$20000,$A8),IF($B8="Google Ads",SUMIFS('Google data'!$F$3:$F$20000,'Google data'!$B$3:$B$20000,$A8),IF($B8="ChatGPT Ads",SUMIFS('ChatGPT data'!$F$3:$F$20000,'ChatGPT data'!$B$3:$B$20000,$A8),IF($B8="LinkedIn Ads",SUMIFS('LinkedIn data'!$F$3:$F$20000,'LinkedIn data'!$B$3:$B$20000,$A8),0)))))</f>
        <v>1505</v>
      </c>
      <c r="U8" s="38" t="n">
        <f aca="false">IF(OR($A8="",T8=0),"",R8/T8)</f>
        <v>11.960584717608</v>
      </c>
    </row>
    <row r="9" customFormat="false" ht="15" hidden="false" customHeight="false" outlineLevel="0" collapsed="false">
      <c r="A9" s="58" t="s">
        <v>168</v>
      </c>
      <c r="B9" s="58" t="s">
        <v>19</v>
      </c>
      <c r="C9" s="58" t="s">
        <v>133</v>
      </c>
      <c r="D9" s="58" t="s">
        <v>124</v>
      </c>
      <c r="E9" s="58" t="s">
        <v>149</v>
      </c>
      <c r="F9" s="14" t="n">
        <f aca="false">IF($A9="","",IF($B9="Meta",SUMIFS('Meta data'!$I$3:$I$20000,'Meta data'!$A$3:$A$20000,"&gt;="&amp;F$3,'Meta data'!$A$3:$A$20000,"&lt;="&amp;F$4,'Meta data'!$B$3:$B$20000,$A9),IF($B9="Google Ads",SUMIFS('Google data'!$I$3:$I$20000,'Google data'!$A$3:$A$20000,"&gt;="&amp;F$3,'Google data'!$A$3:$A$20000,"&lt;="&amp;F$4,'Google data'!$B$3:$B$20000,$A9),IF($B9="ChatGPT Ads",SUMIFS('ChatGPT data'!$I$3:$I$20000,'ChatGPT data'!$A$3:$A$20000,"&gt;="&amp;F$3,'ChatGPT data'!$A$3:$A$20000,"&lt;="&amp;F$4,'ChatGPT data'!$B$3:$B$20000,$A9),IF($B9="LinkedIn Ads",SUMIFS('LinkedIn data'!$I$3:$I$20000,'LinkedIn data'!$A$3:$A$20000,"&gt;="&amp;F$3,'LinkedIn data'!$A$3:$A$20000,"&lt;="&amp;F$4,'LinkedIn data'!$B$3:$B$20000,$A9),0)))))</f>
        <v>0</v>
      </c>
      <c r="G9" s="14" t="n">
        <f aca="false">IF($A9="","",IF($B9="Meta",SUMIFS('Meta data'!$I$3:$I$20000,'Meta data'!$A$3:$A$20000,"&gt;="&amp;G$3,'Meta data'!$A$3:$A$20000,"&lt;="&amp;G$4,'Meta data'!$B$3:$B$20000,$A9),IF($B9="Google Ads",SUMIFS('Google data'!$I$3:$I$20000,'Google data'!$A$3:$A$20000,"&gt;="&amp;G$3,'Google data'!$A$3:$A$20000,"&lt;="&amp;G$4,'Google data'!$B$3:$B$20000,$A9),IF($B9="ChatGPT Ads",SUMIFS('ChatGPT data'!$I$3:$I$20000,'ChatGPT data'!$A$3:$A$20000,"&gt;="&amp;G$3,'ChatGPT data'!$A$3:$A$20000,"&lt;="&amp;G$4,'ChatGPT data'!$B$3:$B$20000,$A9),IF($B9="LinkedIn Ads",SUMIFS('LinkedIn data'!$I$3:$I$20000,'LinkedIn data'!$A$3:$A$20000,"&gt;="&amp;G$3,'LinkedIn data'!$A$3:$A$20000,"&lt;="&amp;G$4,'LinkedIn data'!$B$3:$B$20000,$A9),0)))))</f>
        <v>0</v>
      </c>
      <c r="H9" s="14" t="n">
        <f aca="false">IF($A9="","",IF($B9="Meta",SUMIFS('Meta data'!$I$3:$I$20000,'Meta data'!$A$3:$A$20000,"&gt;="&amp;H$3,'Meta data'!$A$3:$A$20000,"&lt;="&amp;H$4,'Meta data'!$B$3:$B$20000,$A9),IF($B9="Google Ads",SUMIFS('Google data'!$I$3:$I$20000,'Google data'!$A$3:$A$20000,"&gt;="&amp;H$3,'Google data'!$A$3:$A$20000,"&lt;="&amp;H$4,'Google data'!$B$3:$B$20000,$A9),IF($B9="ChatGPT Ads",SUMIFS('ChatGPT data'!$I$3:$I$20000,'ChatGPT data'!$A$3:$A$20000,"&gt;="&amp;H$3,'ChatGPT data'!$A$3:$A$20000,"&lt;="&amp;H$4,'ChatGPT data'!$B$3:$B$20000,$A9),IF($B9="LinkedIn Ads",SUMIFS('LinkedIn data'!$I$3:$I$20000,'LinkedIn data'!$A$3:$A$20000,"&gt;="&amp;H$3,'LinkedIn data'!$A$3:$A$20000,"&lt;="&amp;H$4,'LinkedIn data'!$B$3:$B$20000,$A9),0)))))</f>
        <v>0</v>
      </c>
      <c r="I9" s="14" t="n">
        <f aca="false">IF($A9="","",IF($B9="Meta",SUMIFS('Meta data'!$I$3:$I$20000,'Meta data'!$A$3:$A$20000,"&gt;="&amp;I$3,'Meta data'!$A$3:$A$20000,"&lt;="&amp;I$4,'Meta data'!$B$3:$B$20000,$A9),IF($B9="Google Ads",SUMIFS('Google data'!$I$3:$I$20000,'Google data'!$A$3:$A$20000,"&gt;="&amp;I$3,'Google data'!$A$3:$A$20000,"&lt;="&amp;I$4,'Google data'!$B$3:$B$20000,$A9),IF($B9="ChatGPT Ads",SUMIFS('ChatGPT data'!$I$3:$I$20000,'ChatGPT data'!$A$3:$A$20000,"&gt;="&amp;I$3,'ChatGPT data'!$A$3:$A$20000,"&lt;="&amp;I$4,'ChatGPT data'!$B$3:$B$20000,$A9),IF($B9="LinkedIn Ads",SUMIFS('LinkedIn data'!$I$3:$I$20000,'LinkedIn data'!$A$3:$A$20000,"&gt;="&amp;I$3,'LinkedIn data'!$A$3:$A$20000,"&lt;="&amp;I$4,'LinkedIn data'!$B$3:$B$20000,$A9),0)))))</f>
        <v>5268.88</v>
      </c>
      <c r="J9" s="14" t="n">
        <f aca="false">IF($A9="","",IF($B9="Meta",SUMIFS('Meta data'!$I$3:$I$20000,'Meta data'!$A$3:$A$20000,"&gt;="&amp;J$3,'Meta data'!$A$3:$A$20000,"&lt;="&amp;J$4,'Meta data'!$B$3:$B$20000,$A9),IF($B9="Google Ads",SUMIFS('Google data'!$I$3:$I$20000,'Google data'!$A$3:$A$20000,"&gt;="&amp;J$3,'Google data'!$A$3:$A$20000,"&lt;="&amp;J$4,'Google data'!$B$3:$B$20000,$A9),IF($B9="ChatGPT Ads",SUMIFS('ChatGPT data'!$I$3:$I$20000,'ChatGPT data'!$A$3:$A$20000,"&gt;="&amp;J$3,'ChatGPT data'!$A$3:$A$20000,"&lt;="&amp;J$4,'ChatGPT data'!$B$3:$B$20000,$A9),IF($B9="LinkedIn Ads",SUMIFS('LinkedIn data'!$I$3:$I$20000,'LinkedIn data'!$A$3:$A$20000,"&gt;="&amp;J$3,'LinkedIn data'!$A$3:$A$20000,"&lt;="&amp;J$4,'LinkedIn data'!$B$3:$B$20000,$A9),0)))))</f>
        <v>7877.6</v>
      </c>
      <c r="K9" s="14" t="n">
        <f aca="false">IF($A9="","",IF($B9="Meta",SUMIFS('Meta data'!$I$3:$I$20000,'Meta data'!$A$3:$A$20000,"&gt;="&amp;K$3,'Meta data'!$A$3:$A$20000,"&lt;="&amp;K$4,'Meta data'!$B$3:$B$20000,$A9),IF($B9="Google Ads",SUMIFS('Google data'!$I$3:$I$20000,'Google data'!$A$3:$A$20000,"&gt;="&amp;K$3,'Google data'!$A$3:$A$20000,"&lt;="&amp;K$4,'Google data'!$B$3:$B$20000,$A9),IF($B9="ChatGPT Ads",SUMIFS('ChatGPT data'!$I$3:$I$20000,'ChatGPT data'!$A$3:$A$20000,"&gt;="&amp;K$3,'ChatGPT data'!$A$3:$A$20000,"&lt;="&amp;K$4,'ChatGPT data'!$B$3:$B$20000,$A9),IF($B9="LinkedIn Ads",SUMIFS('LinkedIn data'!$I$3:$I$20000,'LinkedIn data'!$A$3:$A$20000,"&gt;="&amp;K$3,'LinkedIn data'!$A$3:$A$20000,"&lt;="&amp;K$4,'LinkedIn data'!$B$3:$B$20000,$A9),0)))))</f>
        <v>2560.21</v>
      </c>
      <c r="L9" s="14" t="n">
        <f aca="false">IF($A9="","",IF($B9="Meta",SUMIFS('Meta data'!$I$3:$I$20000,'Meta data'!$A$3:$A$20000,"&gt;="&amp;L$3,'Meta data'!$A$3:$A$20000,"&lt;="&amp;L$4,'Meta data'!$B$3:$B$20000,$A9),IF($B9="Google Ads",SUMIFS('Google data'!$I$3:$I$20000,'Google data'!$A$3:$A$20000,"&gt;="&amp;L$3,'Google data'!$A$3:$A$20000,"&lt;="&amp;L$4,'Google data'!$B$3:$B$20000,$A9),IF($B9="ChatGPT Ads",SUMIFS('ChatGPT data'!$I$3:$I$20000,'ChatGPT data'!$A$3:$A$20000,"&gt;="&amp;L$3,'ChatGPT data'!$A$3:$A$20000,"&lt;="&amp;L$4,'ChatGPT data'!$B$3:$B$20000,$A9),IF($B9="LinkedIn Ads",SUMIFS('LinkedIn data'!$I$3:$I$20000,'LinkedIn data'!$A$3:$A$20000,"&gt;="&amp;L$3,'LinkedIn data'!$A$3:$A$20000,"&lt;="&amp;L$4,'LinkedIn data'!$B$3:$B$20000,$A9),0)))))</f>
        <v>0</v>
      </c>
      <c r="M9" s="14" t="n">
        <f aca="false">IF($A9="","",IF($B9="Meta",SUMIFS('Meta data'!$I$3:$I$20000,'Meta data'!$A$3:$A$20000,"&gt;="&amp;M$3,'Meta data'!$A$3:$A$20000,"&lt;="&amp;M$4,'Meta data'!$B$3:$B$20000,$A9),IF($B9="Google Ads",SUMIFS('Google data'!$I$3:$I$20000,'Google data'!$A$3:$A$20000,"&gt;="&amp;M$3,'Google data'!$A$3:$A$20000,"&lt;="&amp;M$4,'Google data'!$B$3:$B$20000,$A9),IF($B9="ChatGPT Ads",SUMIFS('ChatGPT data'!$I$3:$I$20000,'ChatGPT data'!$A$3:$A$20000,"&gt;="&amp;M$3,'ChatGPT data'!$A$3:$A$20000,"&lt;="&amp;M$4,'ChatGPT data'!$B$3:$B$20000,$A9),IF($B9="LinkedIn Ads",SUMIFS('LinkedIn data'!$I$3:$I$20000,'LinkedIn data'!$A$3:$A$20000,"&gt;="&amp;M$3,'LinkedIn data'!$A$3:$A$20000,"&lt;="&amp;M$4,'LinkedIn data'!$B$3:$B$20000,$A9),0)))))</f>
        <v>0</v>
      </c>
      <c r="N9" s="14" t="n">
        <f aca="false">IF($A9="","",IF($B9="Meta",SUMIFS('Meta data'!$I$3:$I$20000,'Meta data'!$A$3:$A$20000,"&gt;="&amp;N$3,'Meta data'!$A$3:$A$20000,"&lt;="&amp;N$4,'Meta data'!$B$3:$B$20000,$A9),IF($B9="Google Ads",SUMIFS('Google data'!$I$3:$I$20000,'Google data'!$A$3:$A$20000,"&gt;="&amp;N$3,'Google data'!$A$3:$A$20000,"&lt;="&amp;N$4,'Google data'!$B$3:$B$20000,$A9),IF($B9="ChatGPT Ads",SUMIFS('ChatGPT data'!$I$3:$I$20000,'ChatGPT data'!$A$3:$A$20000,"&gt;="&amp;N$3,'ChatGPT data'!$A$3:$A$20000,"&lt;="&amp;N$4,'ChatGPT data'!$B$3:$B$20000,$A9),IF($B9="LinkedIn Ads",SUMIFS('LinkedIn data'!$I$3:$I$20000,'LinkedIn data'!$A$3:$A$20000,"&gt;="&amp;N$3,'LinkedIn data'!$A$3:$A$20000,"&lt;="&amp;N$4,'LinkedIn data'!$B$3:$B$20000,$A9),0)))))</f>
        <v>0</v>
      </c>
      <c r="O9" s="14" t="n">
        <f aca="false">IF($A9="","",IF($B9="Meta",SUMIFS('Meta data'!$I$3:$I$20000,'Meta data'!$A$3:$A$20000,"&gt;="&amp;O$3,'Meta data'!$A$3:$A$20000,"&lt;="&amp;O$4,'Meta data'!$B$3:$B$20000,$A9),IF($B9="Google Ads",SUMIFS('Google data'!$I$3:$I$20000,'Google data'!$A$3:$A$20000,"&gt;="&amp;O$3,'Google data'!$A$3:$A$20000,"&lt;="&amp;O$4,'Google data'!$B$3:$B$20000,$A9),IF($B9="ChatGPT Ads",SUMIFS('ChatGPT data'!$I$3:$I$20000,'ChatGPT data'!$A$3:$A$20000,"&gt;="&amp;O$3,'ChatGPT data'!$A$3:$A$20000,"&lt;="&amp;O$4,'ChatGPT data'!$B$3:$B$20000,$A9),IF($B9="LinkedIn Ads",SUMIFS('LinkedIn data'!$I$3:$I$20000,'LinkedIn data'!$A$3:$A$20000,"&gt;="&amp;O$3,'LinkedIn data'!$A$3:$A$20000,"&lt;="&amp;O$4,'LinkedIn data'!$B$3:$B$20000,$A9),0)))))</f>
        <v>0</v>
      </c>
      <c r="P9" s="14" t="n">
        <f aca="false">IF($A9="","",IF($B9="Meta",SUMIFS('Meta data'!$I$3:$I$20000,'Meta data'!$A$3:$A$20000,"&gt;="&amp;P$3,'Meta data'!$A$3:$A$20000,"&lt;="&amp;P$4,'Meta data'!$B$3:$B$20000,$A9),IF($B9="Google Ads",SUMIFS('Google data'!$I$3:$I$20000,'Google data'!$A$3:$A$20000,"&gt;="&amp;P$3,'Google data'!$A$3:$A$20000,"&lt;="&amp;P$4,'Google data'!$B$3:$B$20000,$A9),IF($B9="ChatGPT Ads",SUMIFS('ChatGPT data'!$I$3:$I$20000,'ChatGPT data'!$A$3:$A$20000,"&gt;="&amp;P$3,'ChatGPT data'!$A$3:$A$20000,"&lt;="&amp;P$4,'ChatGPT data'!$B$3:$B$20000,$A9),IF($B9="LinkedIn Ads",SUMIFS('LinkedIn data'!$I$3:$I$20000,'LinkedIn data'!$A$3:$A$20000,"&gt;="&amp;P$3,'LinkedIn data'!$A$3:$A$20000,"&lt;="&amp;P$4,'LinkedIn data'!$B$3:$B$20000,$A9),0)))))</f>
        <v>0</v>
      </c>
      <c r="Q9" s="14" t="n">
        <f aca="false">IF($A9="","",IF($B9="Meta",SUMIFS('Meta data'!$I$3:$I$20000,'Meta data'!$A$3:$A$20000,"&gt;="&amp;Q$3,'Meta data'!$A$3:$A$20000,"&lt;="&amp;Q$4,'Meta data'!$B$3:$B$20000,$A9),IF($B9="Google Ads",SUMIFS('Google data'!$I$3:$I$20000,'Google data'!$A$3:$A$20000,"&gt;="&amp;Q$3,'Google data'!$A$3:$A$20000,"&lt;="&amp;Q$4,'Google data'!$B$3:$B$20000,$A9),IF($B9="ChatGPT Ads",SUMIFS('ChatGPT data'!$I$3:$I$20000,'ChatGPT data'!$A$3:$A$20000,"&gt;="&amp;Q$3,'ChatGPT data'!$A$3:$A$20000,"&lt;="&amp;Q$4,'ChatGPT data'!$B$3:$B$20000,$A9),IF($B9="LinkedIn Ads",SUMIFS('LinkedIn data'!$I$3:$I$20000,'LinkedIn data'!$A$3:$A$20000,"&gt;="&amp;Q$3,'LinkedIn data'!$A$3:$A$20000,"&lt;="&amp;Q$4,'LinkedIn data'!$B$3:$B$20000,$A9),0)))))</f>
        <v>0</v>
      </c>
      <c r="R9" s="15" t="n">
        <f aca="false">IF($A9="","",SUM(F9:Q9))</f>
        <v>15706.69</v>
      </c>
      <c r="S9" s="37" t="n">
        <f aca="false">IF($A9="","",IF($B9="Meta",SUMIFS('Meta data'!$E$3:$E$20000,'Meta data'!$B$3:$B$20000,$A9),IF($B9="Google Ads",SUMIFS('Google data'!$E$3:$E$20000,'Google data'!$B$3:$B$20000,$A9),IF($B9="ChatGPT Ads",SUMIFS('ChatGPT data'!$E$3:$E$20000,'ChatGPT data'!$B$3:$B$20000,$A9),IF($B9="LinkedIn Ads",SUMIFS('LinkedIn data'!$E$3:$E$20000,'LinkedIn data'!$B$3:$B$20000,$A9),0)))))</f>
        <v>4117</v>
      </c>
      <c r="T9" s="37" t="n">
        <f aca="false">IF($A9="","",IF($B9="Meta",SUMIFS('Meta data'!$F$3:$F$20000,'Meta data'!$B$3:$B$20000,$A9),IF($B9="Google Ads",SUMIFS('Google data'!$F$3:$F$20000,'Google data'!$B$3:$B$20000,$A9),IF($B9="ChatGPT Ads",SUMIFS('ChatGPT data'!$F$3:$F$20000,'ChatGPT data'!$B$3:$B$20000,$A9),IF($B9="LinkedIn Ads",SUMIFS('LinkedIn data'!$F$3:$F$20000,'LinkedIn data'!$B$3:$B$20000,$A9),0)))))</f>
        <v>350</v>
      </c>
      <c r="U9" s="38" t="n">
        <f aca="false">IF(OR($A9="",T9=0),"",R9/T9)</f>
        <v>44.8762571428571</v>
      </c>
    </row>
    <row r="10" customFormat="false" ht="15" hidden="false" customHeight="false" outlineLevel="0" collapsed="false">
      <c r="A10" s="58" t="s">
        <v>169</v>
      </c>
      <c r="B10" s="58" t="s">
        <v>19</v>
      </c>
      <c r="C10" s="58" t="s">
        <v>132</v>
      </c>
      <c r="D10" s="58" t="s">
        <v>124</v>
      </c>
      <c r="E10" s="58" t="s">
        <v>149</v>
      </c>
      <c r="F10" s="14" t="n">
        <f aca="false">IF($A10="","",IF($B10="Meta",SUMIFS('Meta data'!$I$3:$I$20000,'Meta data'!$A$3:$A$20000,"&gt;="&amp;F$3,'Meta data'!$A$3:$A$20000,"&lt;="&amp;F$4,'Meta data'!$B$3:$B$20000,$A10),IF($B10="Google Ads",SUMIFS('Google data'!$I$3:$I$20000,'Google data'!$A$3:$A$20000,"&gt;="&amp;F$3,'Google data'!$A$3:$A$20000,"&lt;="&amp;F$4,'Google data'!$B$3:$B$20000,$A10),IF($B10="ChatGPT Ads",SUMIFS('ChatGPT data'!$I$3:$I$20000,'ChatGPT data'!$A$3:$A$20000,"&gt;="&amp;F$3,'ChatGPT data'!$A$3:$A$20000,"&lt;="&amp;F$4,'ChatGPT data'!$B$3:$B$20000,$A10),IF($B10="LinkedIn Ads",SUMIFS('LinkedIn data'!$I$3:$I$20000,'LinkedIn data'!$A$3:$A$20000,"&gt;="&amp;F$3,'LinkedIn data'!$A$3:$A$20000,"&lt;="&amp;F$4,'LinkedIn data'!$B$3:$B$20000,$A10),0)))))</f>
        <v>2148.71</v>
      </c>
      <c r="G10" s="14" t="n">
        <f aca="false">IF($A10="","",IF($B10="Meta",SUMIFS('Meta data'!$I$3:$I$20000,'Meta data'!$A$3:$A$20000,"&gt;="&amp;G$3,'Meta data'!$A$3:$A$20000,"&lt;="&amp;G$4,'Meta data'!$B$3:$B$20000,$A10),IF($B10="Google Ads",SUMIFS('Google data'!$I$3:$I$20000,'Google data'!$A$3:$A$20000,"&gt;="&amp;G$3,'Google data'!$A$3:$A$20000,"&lt;="&amp;G$4,'Google data'!$B$3:$B$20000,$A10),IF($B10="ChatGPT Ads",SUMIFS('ChatGPT data'!$I$3:$I$20000,'ChatGPT data'!$A$3:$A$20000,"&gt;="&amp;G$3,'ChatGPT data'!$A$3:$A$20000,"&lt;="&amp;G$4,'ChatGPT data'!$B$3:$B$20000,$A10),IF($B10="LinkedIn Ads",SUMIFS('LinkedIn data'!$I$3:$I$20000,'LinkedIn data'!$A$3:$A$20000,"&gt;="&amp;G$3,'LinkedIn data'!$A$3:$A$20000,"&lt;="&amp;G$4,'LinkedIn data'!$B$3:$B$20000,$A10),0)))))</f>
        <v>1948.23</v>
      </c>
      <c r="H10" s="14" t="n">
        <f aca="false">IF($A10="","",IF($B10="Meta",SUMIFS('Meta data'!$I$3:$I$20000,'Meta data'!$A$3:$A$20000,"&gt;="&amp;H$3,'Meta data'!$A$3:$A$20000,"&lt;="&amp;H$4,'Meta data'!$B$3:$B$20000,$A10),IF($B10="Google Ads",SUMIFS('Google data'!$I$3:$I$20000,'Google data'!$A$3:$A$20000,"&gt;="&amp;H$3,'Google data'!$A$3:$A$20000,"&lt;="&amp;H$4,'Google data'!$B$3:$B$20000,$A10),IF($B10="ChatGPT Ads",SUMIFS('ChatGPT data'!$I$3:$I$20000,'ChatGPT data'!$A$3:$A$20000,"&gt;="&amp;H$3,'ChatGPT data'!$A$3:$A$20000,"&lt;="&amp;H$4,'ChatGPT data'!$B$3:$B$20000,$A10),IF($B10="LinkedIn Ads",SUMIFS('LinkedIn data'!$I$3:$I$20000,'LinkedIn data'!$A$3:$A$20000,"&gt;="&amp;H$3,'LinkedIn data'!$A$3:$A$20000,"&lt;="&amp;H$4,'LinkedIn data'!$B$3:$B$20000,$A10),0)))))</f>
        <v>2200.97</v>
      </c>
      <c r="I10" s="14" t="n">
        <f aca="false">IF($A10="","",IF($B10="Meta",SUMIFS('Meta data'!$I$3:$I$20000,'Meta data'!$A$3:$A$20000,"&gt;="&amp;I$3,'Meta data'!$A$3:$A$20000,"&lt;="&amp;I$4,'Meta data'!$B$3:$B$20000,$A10),IF($B10="Google Ads",SUMIFS('Google data'!$I$3:$I$20000,'Google data'!$A$3:$A$20000,"&gt;="&amp;I$3,'Google data'!$A$3:$A$20000,"&lt;="&amp;I$4,'Google data'!$B$3:$B$20000,$A10),IF($B10="ChatGPT Ads",SUMIFS('ChatGPT data'!$I$3:$I$20000,'ChatGPT data'!$A$3:$A$20000,"&gt;="&amp;I$3,'ChatGPT data'!$A$3:$A$20000,"&lt;="&amp;I$4,'ChatGPT data'!$B$3:$B$20000,$A10),IF($B10="LinkedIn Ads",SUMIFS('LinkedIn data'!$I$3:$I$20000,'LinkedIn data'!$A$3:$A$20000,"&gt;="&amp;I$3,'LinkedIn data'!$A$3:$A$20000,"&lt;="&amp;I$4,'LinkedIn data'!$B$3:$B$20000,$A10),0)))))</f>
        <v>2116.08</v>
      </c>
      <c r="J10" s="14" t="n">
        <f aca="false">IF($A10="","",IF($B10="Meta",SUMIFS('Meta data'!$I$3:$I$20000,'Meta data'!$A$3:$A$20000,"&gt;="&amp;J$3,'Meta data'!$A$3:$A$20000,"&lt;="&amp;J$4,'Meta data'!$B$3:$B$20000,$A10),IF($B10="Google Ads",SUMIFS('Google data'!$I$3:$I$20000,'Google data'!$A$3:$A$20000,"&gt;="&amp;J$3,'Google data'!$A$3:$A$20000,"&lt;="&amp;J$4,'Google data'!$B$3:$B$20000,$A10),IF($B10="ChatGPT Ads",SUMIFS('ChatGPT data'!$I$3:$I$20000,'ChatGPT data'!$A$3:$A$20000,"&gt;="&amp;J$3,'ChatGPT data'!$A$3:$A$20000,"&lt;="&amp;J$4,'ChatGPT data'!$B$3:$B$20000,$A10),IF($B10="LinkedIn Ads",SUMIFS('LinkedIn data'!$I$3:$I$20000,'LinkedIn data'!$A$3:$A$20000,"&gt;="&amp;J$3,'LinkedIn data'!$A$3:$A$20000,"&lt;="&amp;J$4,'LinkedIn data'!$B$3:$B$20000,$A10),0)))))</f>
        <v>2121.95</v>
      </c>
      <c r="K10" s="14" t="n">
        <f aca="false">IF($A10="","",IF($B10="Meta",SUMIFS('Meta data'!$I$3:$I$20000,'Meta data'!$A$3:$A$20000,"&gt;="&amp;K$3,'Meta data'!$A$3:$A$20000,"&lt;="&amp;K$4,'Meta data'!$B$3:$B$20000,$A10),IF($B10="Google Ads",SUMIFS('Google data'!$I$3:$I$20000,'Google data'!$A$3:$A$20000,"&gt;="&amp;K$3,'Google data'!$A$3:$A$20000,"&lt;="&amp;K$4,'Google data'!$B$3:$B$20000,$A10),IF($B10="ChatGPT Ads",SUMIFS('ChatGPT data'!$I$3:$I$20000,'ChatGPT data'!$A$3:$A$20000,"&gt;="&amp;K$3,'ChatGPT data'!$A$3:$A$20000,"&lt;="&amp;K$4,'ChatGPT data'!$B$3:$B$20000,$A10),IF($B10="LinkedIn Ads",SUMIFS('LinkedIn data'!$I$3:$I$20000,'LinkedIn data'!$A$3:$A$20000,"&gt;="&amp;K$3,'LinkedIn data'!$A$3:$A$20000,"&lt;="&amp;K$4,'LinkedIn data'!$B$3:$B$20000,$A10),0)))))</f>
        <v>1152.63</v>
      </c>
      <c r="L10" s="14" t="n">
        <f aca="false">IF($A10="","",IF($B10="Meta",SUMIFS('Meta data'!$I$3:$I$20000,'Meta data'!$A$3:$A$20000,"&gt;="&amp;L$3,'Meta data'!$A$3:$A$20000,"&lt;="&amp;L$4,'Meta data'!$B$3:$B$20000,$A10),IF($B10="Google Ads",SUMIFS('Google data'!$I$3:$I$20000,'Google data'!$A$3:$A$20000,"&gt;="&amp;L$3,'Google data'!$A$3:$A$20000,"&lt;="&amp;L$4,'Google data'!$B$3:$B$20000,$A10),IF($B10="ChatGPT Ads",SUMIFS('ChatGPT data'!$I$3:$I$20000,'ChatGPT data'!$A$3:$A$20000,"&gt;="&amp;L$3,'ChatGPT data'!$A$3:$A$20000,"&lt;="&amp;L$4,'ChatGPT data'!$B$3:$B$20000,$A10),IF($B10="LinkedIn Ads",SUMIFS('LinkedIn data'!$I$3:$I$20000,'LinkedIn data'!$A$3:$A$20000,"&gt;="&amp;L$3,'LinkedIn data'!$A$3:$A$20000,"&lt;="&amp;L$4,'LinkedIn data'!$B$3:$B$20000,$A10),0)))))</f>
        <v>0</v>
      </c>
      <c r="M10" s="14" t="n">
        <f aca="false">IF($A10="","",IF($B10="Meta",SUMIFS('Meta data'!$I$3:$I$20000,'Meta data'!$A$3:$A$20000,"&gt;="&amp;M$3,'Meta data'!$A$3:$A$20000,"&lt;="&amp;M$4,'Meta data'!$B$3:$B$20000,$A10),IF($B10="Google Ads",SUMIFS('Google data'!$I$3:$I$20000,'Google data'!$A$3:$A$20000,"&gt;="&amp;M$3,'Google data'!$A$3:$A$20000,"&lt;="&amp;M$4,'Google data'!$B$3:$B$20000,$A10),IF($B10="ChatGPT Ads",SUMIFS('ChatGPT data'!$I$3:$I$20000,'ChatGPT data'!$A$3:$A$20000,"&gt;="&amp;M$3,'ChatGPT data'!$A$3:$A$20000,"&lt;="&amp;M$4,'ChatGPT data'!$B$3:$B$20000,$A10),IF($B10="LinkedIn Ads",SUMIFS('LinkedIn data'!$I$3:$I$20000,'LinkedIn data'!$A$3:$A$20000,"&gt;="&amp;M$3,'LinkedIn data'!$A$3:$A$20000,"&lt;="&amp;M$4,'LinkedIn data'!$B$3:$B$20000,$A10),0)))))</f>
        <v>0</v>
      </c>
      <c r="N10" s="14" t="n">
        <f aca="false">IF($A10="","",IF($B10="Meta",SUMIFS('Meta data'!$I$3:$I$20000,'Meta data'!$A$3:$A$20000,"&gt;="&amp;N$3,'Meta data'!$A$3:$A$20000,"&lt;="&amp;N$4,'Meta data'!$B$3:$B$20000,$A10),IF($B10="Google Ads",SUMIFS('Google data'!$I$3:$I$20000,'Google data'!$A$3:$A$20000,"&gt;="&amp;N$3,'Google data'!$A$3:$A$20000,"&lt;="&amp;N$4,'Google data'!$B$3:$B$20000,$A10),IF($B10="ChatGPT Ads",SUMIFS('ChatGPT data'!$I$3:$I$20000,'ChatGPT data'!$A$3:$A$20000,"&gt;="&amp;N$3,'ChatGPT data'!$A$3:$A$20000,"&lt;="&amp;N$4,'ChatGPT data'!$B$3:$B$20000,$A10),IF($B10="LinkedIn Ads",SUMIFS('LinkedIn data'!$I$3:$I$20000,'LinkedIn data'!$A$3:$A$20000,"&gt;="&amp;N$3,'LinkedIn data'!$A$3:$A$20000,"&lt;="&amp;N$4,'LinkedIn data'!$B$3:$B$20000,$A10),0)))))</f>
        <v>0</v>
      </c>
      <c r="O10" s="14" t="n">
        <f aca="false">IF($A10="","",IF($B10="Meta",SUMIFS('Meta data'!$I$3:$I$20000,'Meta data'!$A$3:$A$20000,"&gt;="&amp;O$3,'Meta data'!$A$3:$A$20000,"&lt;="&amp;O$4,'Meta data'!$B$3:$B$20000,$A10),IF($B10="Google Ads",SUMIFS('Google data'!$I$3:$I$20000,'Google data'!$A$3:$A$20000,"&gt;="&amp;O$3,'Google data'!$A$3:$A$20000,"&lt;="&amp;O$4,'Google data'!$B$3:$B$20000,$A10),IF($B10="ChatGPT Ads",SUMIFS('ChatGPT data'!$I$3:$I$20000,'ChatGPT data'!$A$3:$A$20000,"&gt;="&amp;O$3,'ChatGPT data'!$A$3:$A$20000,"&lt;="&amp;O$4,'ChatGPT data'!$B$3:$B$20000,$A10),IF($B10="LinkedIn Ads",SUMIFS('LinkedIn data'!$I$3:$I$20000,'LinkedIn data'!$A$3:$A$20000,"&gt;="&amp;O$3,'LinkedIn data'!$A$3:$A$20000,"&lt;="&amp;O$4,'LinkedIn data'!$B$3:$B$20000,$A10),0)))))</f>
        <v>0</v>
      </c>
      <c r="P10" s="14" t="n">
        <f aca="false">IF($A10="","",IF($B10="Meta",SUMIFS('Meta data'!$I$3:$I$20000,'Meta data'!$A$3:$A$20000,"&gt;="&amp;P$3,'Meta data'!$A$3:$A$20000,"&lt;="&amp;P$4,'Meta data'!$B$3:$B$20000,$A10),IF($B10="Google Ads",SUMIFS('Google data'!$I$3:$I$20000,'Google data'!$A$3:$A$20000,"&gt;="&amp;P$3,'Google data'!$A$3:$A$20000,"&lt;="&amp;P$4,'Google data'!$B$3:$B$20000,$A10),IF($B10="ChatGPT Ads",SUMIFS('ChatGPT data'!$I$3:$I$20000,'ChatGPT data'!$A$3:$A$20000,"&gt;="&amp;P$3,'ChatGPT data'!$A$3:$A$20000,"&lt;="&amp;P$4,'ChatGPT data'!$B$3:$B$20000,$A10),IF($B10="LinkedIn Ads",SUMIFS('LinkedIn data'!$I$3:$I$20000,'LinkedIn data'!$A$3:$A$20000,"&gt;="&amp;P$3,'LinkedIn data'!$A$3:$A$20000,"&lt;="&amp;P$4,'LinkedIn data'!$B$3:$B$20000,$A10),0)))))</f>
        <v>0</v>
      </c>
      <c r="Q10" s="14" t="n">
        <f aca="false">IF($A10="","",IF($B10="Meta",SUMIFS('Meta data'!$I$3:$I$20000,'Meta data'!$A$3:$A$20000,"&gt;="&amp;Q$3,'Meta data'!$A$3:$A$20000,"&lt;="&amp;Q$4,'Meta data'!$B$3:$B$20000,$A10),IF($B10="Google Ads",SUMIFS('Google data'!$I$3:$I$20000,'Google data'!$A$3:$A$20000,"&gt;="&amp;Q$3,'Google data'!$A$3:$A$20000,"&lt;="&amp;Q$4,'Google data'!$B$3:$B$20000,$A10),IF($B10="ChatGPT Ads",SUMIFS('ChatGPT data'!$I$3:$I$20000,'ChatGPT data'!$A$3:$A$20000,"&gt;="&amp;Q$3,'ChatGPT data'!$A$3:$A$20000,"&lt;="&amp;Q$4,'ChatGPT data'!$B$3:$B$20000,$A10),IF($B10="LinkedIn Ads",SUMIFS('LinkedIn data'!$I$3:$I$20000,'LinkedIn data'!$A$3:$A$20000,"&gt;="&amp;Q$3,'LinkedIn data'!$A$3:$A$20000,"&lt;="&amp;Q$4,'LinkedIn data'!$B$3:$B$20000,$A10),0)))))</f>
        <v>0</v>
      </c>
      <c r="R10" s="15" t="n">
        <f aca="false">IF($A10="","",SUM(F10:Q10))</f>
        <v>11688.57</v>
      </c>
      <c r="S10" s="37" t="n">
        <f aca="false">IF($A10="","",IF($B10="Meta",SUMIFS('Meta data'!$E$3:$E$20000,'Meta data'!$B$3:$B$20000,$A10),IF($B10="Google Ads",SUMIFS('Google data'!$E$3:$E$20000,'Google data'!$B$3:$B$20000,$A10),IF($B10="ChatGPT Ads",SUMIFS('ChatGPT data'!$E$3:$E$20000,'ChatGPT data'!$B$3:$B$20000,$A10),IF($B10="LinkedIn Ads",SUMIFS('LinkedIn data'!$E$3:$E$20000,'LinkedIn data'!$B$3:$B$20000,$A10),0)))))</f>
        <v>4444</v>
      </c>
      <c r="T10" s="37" t="n">
        <f aca="false">IF($A10="","",IF($B10="Meta",SUMIFS('Meta data'!$F$3:$F$20000,'Meta data'!$B$3:$B$20000,$A10),IF($B10="Google Ads",SUMIFS('Google data'!$F$3:$F$20000,'Google data'!$B$3:$B$20000,$A10),IF($B10="ChatGPT Ads",SUMIFS('ChatGPT data'!$F$3:$F$20000,'ChatGPT data'!$B$3:$B$20000,$A10),IF($B10="LinkedIn Ads",SUMIFS('LinkedIn data'!$F$3:$F$20000,'LinkedIn data'!$B$3:$B$20000,$A10),0)))))</f>
        <v>700</v>
      </c>
      <c r="U10" s="38" t="n">
        <f aca="false">IF(OR($A10="",T10=0),"",R10/T10)</f>
        <v>16.6979571428571</v>
      </c>
    </row>
    <row r="11" customFormat="false" ht="15" hidden="false" customHeight="false" outlineLevel="0" collapsed="false">
      <c r="A11" s="58" t="s">
        <v>170</v>
      </c>
      <c r="B11" s="58" t="s">
        <v>19</v>
      </c>
      <c r="C11" s="58" t="s">
        <v>131</v>
      </c>
      <c r="D11" s="58" t="s">
        <v>124</v>
      </c>
      <c r="E11" s="58" t="s">
        <v>149</v>
      </c>
      <c r="F11" s="14" t="n">
        <f aca="false">IF($A11="","",IF($B11="Meta",SUMIFS('Meta data'!$I$3:$I$20000,'Meta data'!$A$3:$A$20000,"&gt;="&amp;F$3,'Meta data'!$A$3:$A$20000,"&lt;="&amp;F$4,'Meta data'!$B$3:$B$20000,$A11),IF($B11="Google Ads",SUMIFS('Google data'!$I$3:$I$20000,'Google data'!$A$3:$A$20000,"&gt;="&amp;F$3,'Google data'!$A$3:$A$20000,"&lt;="&amp;F$4,'Google data'!$B$3:$B$20000,$A11),IF($B11="ChatGPT Ads",SUMIFS('ChatGPT data'!$I$3:$I$20000,'ChatGPT data'!$A$3:$A$20000,"&gt;="&amp;F$3,'ChatGPT data'!$A$3:$A$20000,"&lt;="&amp;F$4,'ChatGPT data'!$B$3:$B$20000,$A11),IF($B11="LinkedIn Ads",SUMIFS('LinkedIn data'!$I$3:$I$20000,'LinkedIn data'!$A$3:$A$20000,"&gt;="&amp;F$3,'LinkedIn data'!$A$3:$A$20000,"&lt;="&amp;F$4,'LinkedIn data'!$B$3:$B$20000,$A11),0)))))</f>
        <v>628.57</v>
      </c>
      <c r="G11" s="14" t="n">
        <f aca="false">IF($A11="","",IF($B11="Meta",SUMIFS('Meta data'!$I$3:$I$20000,'Meta data'!$A$3:$A$20000,"&gt;="&amp;G$3,'Meta data'!$A$3:$A$20000,"&lt;="&amp;G$4,'Meta data'!$B$3:$B$20000,$A11),IF($B11="Google Ads",SUMIFS('Google data'!$I$3:$I$20000,'Google data'!$A$3:$A$20000,"&gt;="&amp;G$3,'Google data'!$A$3:$A$20000,"&lt;="&amp;G$4,'Google data'!$B$3:$B$20000,$A11),IF($B11="ChatGPT Ads",SUMIFS('ChatGPT data'!$I$3:$I$20000,'ChatGPT data'!$A$3:$A$20000,"&gt;="&amp;G$3,'ChatGPT data'!$A$3:$A$20000,"&lt;="&amp;G$4,'ChatGPT data'!$B$3:$B$20000,$A11),IF($B11="LinkedIn Ads",SUMIFS('LinkedIn data'!$I$3:$I$20000,'LinkedIn data'!$A$3:$A$20000,"&gt;="&amp;G$3,'LinkedIn data'!$A$3:$A$20000,"&lt;="&amp;G$4,'LinkedIn data'!$B$3:$B$20000,$A11),0)))))</f>
        <v>2516.8</v>
      </c>
      <c r="H11" s="14" t="n">
        <f aca="false">IF($A11="","",IF($B11="Meta",SUMIFS('Meta data'!$I$3:$I$20000,'Meta data'!$A$3:$A$20000,"&gt;="&amp;H$3,'Meta data'!$A$3:$A$20000,"&lt;="&amp;H$4,'Meta data'!$B$3:$B$20000,$A11),IF($B11="Google Ads",SUMIFS('Google data'!$I$3:$I$20000,'Google data'!$A$3:$A$20000,"&gt;="&amp;H$3,'Google data'!$A$3:$A$20000,"&lt;="&amp;H$4,'Google data'!$B$3:$B$20000,$A11),IF($B11="ChatGPT Ads",SUMIFS('ChatGPT data'!$I$3:$I$20000,'ChatGPT data'!$A$3:$A$20000,"&gt;="&amp;H$3,'ChatGPT data'!$A$3:$A$20000,"&lt;="&amp;H$4,'ChatGPT data'!$B$3:$B$20000,$A11),IF($B11="LinkedIn Ads",SUMIFS('LinkedIn data'!$I$3:$I$20000,'LinkedIn data'!$A$3:$A$20000,"&gt;="&amp;H$3,'LinkedIn data'!$A$3:$A$20000,"&lt;="&amp;H$4,'LinkedIn data'!$B$3:$B$20000,$A11),0)))))</f>
        <v>2809.01</v>
      </c>
      <c r="I11" s="14" t="n">
        <f aca="false">IF($A11="","",IF($B11="Meta",SUMIFS('Meta data'!$I$3:$I$20000,'Meta data'!$A$3:$A$20000,"&gt;="&amp;I$3,'Meta data'!$A$3:$A$20000,"&lt;="&amp;I$4,'Meta data'!$B$3:$B$20000,$A11),IF($B11="Google Ads",SUMIFS('Google data'!$I$3:$I$20000,'Google data'!$A$3:$A$20000,"&gt;="&amp;I$3,'Google data'!$A$3:$A$20000,"&lt;="&amp;I$4,'Google data'!$B$3:$B$20000,$A11),IF($B11="ChatGPT Ads",SUMIFS('ChatGPT data'!$I$3:$I$20000,'ChatGPT data'!$A$3:$A$20000,"&gt;="&amp;I$3,'ChatGPT data'!$A$3:$A$20000,"&lt;="&amp;I$4,'ChatGPT data'!$B$3:$B$20000,$A11),IF($B11="LinkedIn Ads",SUMIFS('LinkedIn data'!$I$3:$I$20000,'LinkedIn data'!$A$3:$A$20000,"&gt;="&amp;I$3,'LinkedIn data'!$A$3:$A$20000,"&lt;="&amp;I$4,'LinkedIn data'!$B$3:$B$20000,$A11),0)))))</f>
        <v>2737.77</v>
      </c>
      <c r="J11" s="14" t="n">
        <f aca="false">IF($A11="","",IF($B11="Meta",SUMIFS('Meta data'!$I$3:$I$20000,'Meta data'!$A$3:$A$20000,"&gt;="&amp;J$3,'Meta data'!$A$3:$A$20000,"&lt;="&amp;J$4,'Meta data'!$B$3:$B$20000,$A11),IF($B11="Google Ads",SUMIFS('Google data'!$I$3:$I$20000,'Google data'!$A$3:$A$20000,"&gt;="&amp;J$3,'Google data'!$A$3:$A$20000,"&lt;="&amp;J$4,'Google data'!$B$3:$B$20000,$A11),IF($B11="ChatGPT Ads",SUMIFS('ChatGPT data'!$I$3:$I$20000,'ChatGPT data'!$A$3:$A$20000,"&gt;="&amp;J$3,'ChatGPT data'!$A$3:$A$20000,"&lt;="&amp;J$4,'ChatGPT data'!$B$3:$B$20000,$A11),IF($B11="LinkedIn Ads",SUMIFS('LinkedIn data'!$I$3:$I$20000,'LinkedIn data'!$A$3:$A$20000,"&gt;="&amp;J$3,'LinkedIn data'!$A$3:$A$20000,"&lt;="&amp;J$4,'LinkedIn data'!$B$3:$B$20000,$A11),0)))))</f>
        <v>2733.67</v>
      </c>
      <c r="K11" s="14" t="n">
        <f aca="false">IF($A11="","",IF($B11="Meta",SUMIFS('Meta data'!$I$3:$I$20000,'Meta data'!$A$3:$A$20000,"&gt;="&amp;K$3,'Meta data'!$A$3:$A$20000,"&lt;="&amp;K$4,'Meta data'!$B$3:$B$20000,$A11),IF($B11="Google Ads",SUMIFS('Google data'!$I$3:$I$20000,'Google data'!$A$3:$A$20000,"&gt;="&amp;K$3,'Google data'!$A$3:$A$20000,"&lt;="&amp;K$4,'Google data'!$B$3:$B$20000,$A11),IF($B11="ChatGPT Ads",SUMIFS('ChatGPT data'!$I$3:$I$20000,'ChatGPT data'!$A$3:$A$20000,"&gt;="&amp;K$3,'ChatGPT data'!$A$3:$A$20000,"&lt;="&amp;K$4,'ChatGPT data'!$B$3:$B$20000,$A11),IF($B11="LinkedIn Ads",SUMIFS('LinkedIn data'!$I$3:$I$20000,'LinkedIn data'!$A$3:$A$20000,"&gt;="&amp;K$3,'LinkedIn data'!$A$3:$A$20000,"&lt;="&amp;K$4,'LinkedIn data'!$B$3:$B$20000,$A11),0)))))</f>
        <v>144.2</v>
      </c>
      <c r="L11" s="14" t="n">
        <f aca="false">IF($A11="","",IF($B11="Meta",SUMIFS('Meta data'!$I$3:$I$20000,'Meta data'!$A$3:$A$20000,"&gt;="&amp;L$3,'Meta data'!$A$3:$A$20000,"&lt;="&amp;L$4,'Meta data'!$B$3:$B$20000,$A11),IF($B11="Google Ads",SUMIFS('Google data'!$I$3:$I$20000,'Google data'!$A$3:$A$20000,"&gt;="&amp;L$3,'Google data'!$A$3:$A$20000,"&lt;="&amp;L$4,'Google data'!$B$3:$B$20000,$A11),IF($B11="ChatGPT Ads",SUMIFS('ChatGPT data'!$I$3:$I$20000,'ChatGPT data'!$A$3:$A$20000,"&gt;="&amp;L$3,'ChatGPT data'!$A$3:$A$20000,"&lt;="&amp;L$4,'ChatGPT data'!$B$3:$B$20000,$A11),IF($B11="LinkedIn Ads",SUMIFS('LinkedIn data'!$I$3:$I$20000,'LinkedIn data'!$A$3:$A$20000,"&gt;="&amp;L$3,'LinkedIn data'!$A$3:$A$20000,"&lt;="&amp;L$4,'LinkedIn data'!$B$3:$B$20000,$A11),0)))))</f>
        <v>0</v>
      </c>
      <c r="M11" s="14" t="n">
        <f aca="false">IF($A11="","",IF($B11="Meta",SUMIFS('Meta data'!$I$3:$I$20000,'Meta data'!$A$3:$A$20000,"&gt;="&amp;M$3,'Meta data'!$A$3:$A$20000,"&lt;="&amp;M$4,'Meta data'!$B$3:$B$20000,$A11),IF($B11="Google Ads",SUMIFS('Google data'!$I$3:$I$20000,'Google data'!$A$3:$A$20000,"&gt;="&amp;M$3,'Google data'!$A$3:$A$20000,"&lt;="&amp;M$4,'Google data'!$B$3:$B$20000,$A11),IF($B11="ChatGPT Ads",SUMIFS('ChatGPT data'!$I$3:$I$20000,'ChatGPT data'!$A$3:$A$20000,"&gt;="&amp;M$3,'ChatGPT data'!$A$3:$A$20000,"&lt;="&amp;M$4,'ChatGPT data'!$B$3:$B$20000,$A11),IF($B11="LinkedIn Ads",SUMIFS('LinkedIn data'!$I$3:$I$20000,'LinkedIn data'!$A$3:$A$20000,"&gt;="&amp;M$3,'LinkedIn data'!$A$3:$A$20000,"&lt;="&amp;M$4,'LinkedIn data'!$B$3:$B$20000,$A11),0)))))</f>
        <v>0</v>
      </c>
      <c r="N11" s="14" t="n">
        <f aca="false">IF($A11="","",IF($B11="Meta",SUMIFS('Meta data'!$I$3:$I$20000,'Meta data'!$A$3:$A$20000,"&gt;="&amp;N$3,'Meta data'!$A$3:$A$20000,"&lt;="&amp;N$4,'Meta data'!$B$3:$B$20000,$A11),IF($B11="Google Ads",SUMIFS('Google data'!$I$3:$I$20000,'Google data'!$A$3:$A$20000,"&gt;="&amp;N$3,'Google data'!$A$3:$A$20000,"&lt;="&amp;N$4,'Google data'!$B$3:$B$20000,$A11),IF($B11="ChatGPT Ads",SUMIFS('ChatGPT data'!$I$3:$I$20000,'ChatGPT data'!$A$3:$A$20000,"&gt;="&amp;N$3,'ChatGPT data'!$A$3:$A$20000,"&lt;="&amp;N$4,'ChatGPT data'!$B$3:$B$20000,$A11),IF($B11="LinkedIn Ads",SUMIFS('LinkedIn data'!$I$3:$I$20000,'LinkedIn data'!$A$3:$A$20000,"&gt;="&amp;N$3,'LinkedIn data'!$A$3:$A$20000,"&lt;="&amp;N$4,'LinkedIn data'!$B$3:$B$20000,$A11),0)))))</f>
        <v>0</v>
      </c>
      <c r="O11" s="14" t="n">
        <f aca="false">IF($A11="","",IF($B11="Meta",SUMIFS('Meta data'!$I$3:$I$20000,'Meta data'!$A$3:$A$20000,"&gt;="&amp;O$3,'Meta data'!$A$3:$A$20000,"&lt;="&amp;O$4,'Meta data'!$B$3:$B$20000,$A11),IF($B11="Google Ads",SUMIFS('Google data'!$I$3:$I$20000,'Google data'!$A$3:$A$20000,"&gt;="&amp;O$3,'Google data'!$A$3:$A$20000,"&lt;="&amp;O$4,'Google data'!$B$3:$B$20000,$A11),IF($B11="ChatGPT Ads",SUMIFS('ChatGPT data'!$I$3:$I$20000,'ChatGPT data'!$A$3:$A$20000,"&gt;="&amp;O$3,'ChatGPT data'!$A$3:$A$20000,"&lt;="&amp;O$4,'ChatGPT data'!$B$3:$B$20000,$A11),IF($B11="LinkedIn Ads",SUMIFS('LinkedIn data'!$I$3:$I$20000,'LinkedIn data'!$A$3:$A$20000,"&gt;="&amp;O$3,'LinkedIn data'!$A$3:$A$20000,"&lt;="&amp;O$4,'LinkedIn data'!$B$3:$B$20000,$A11),0)))))</f>
        <v>0</v>
      </c>
      <c r="P11" s="14" t="n">
        <f aca="false">IF($A11="","",IF($B11="Meta",SUMIFS('Meta data'!$I$3:$I$20000,'Meta data'!$A$3:$A$20000,"&gt;="&amp;P$3,'Meta data'!$A$3:$A$20000,"&lt;="&amp;P$4,'Meta data'!$B$3:$B$20000,$A11),IF($B11="Google Ads",SUMIFS('Google data'!$I$3:$I$20000,'Google data'!$A$3:$A$20000,"&gt;="&amp;P$3,'Google data'!$A$3:$A$20000,"&lt;="&amp;P$4,'Google data'!$B$3:$B$20000,$A11),IF($B11="ChatGPT Ads",SUMIFS('ChatGPT data'!$I$3:$I$20000,'ChatGPT data'!$A$3:$A$20000,"&gt;="&amp;P$3,'ChatGPT data'!$A$3:$A$20000,"&lt;="&amp;P$4,'ChatGPT data'!$B$3:$B$20000,$A11),IF($B11="LinkedIn Ads",SUMIFS('LinkedIn data'!$I$3:$I$20000,'LinkedIn data'!$A$3:$A$20000,"&gt;="&amp;P$3,'LinkedIn data'!$A$3:$A$20000,"&lt;="&amp;P$4,'LinkedIn data'!$B$3:$B$20000,$A11),0)))))</f>
        <v>0</v>
      </c>
      <c r="Q11" s="14" t="n">
        <f aca="false">IF($A11="","",IF($B11="Meta",SUMIFS('Meta data'!$I$3:$I$20000,'Meta data'!$A$3:$A$20000,"&gt;="&amp;Q$3,'Meta data'!$A$3:$A$20000,"&lt;="&amp;Q$4,'Meta data'!$B$3:$B$20000,$A11),IF($B11="Google Ads",SUMIFS('Google data'!$I$3:$I$20000,'Google data'!$A$3:$A$20000,"&gt;="&amp;Q$3,'Google data'!$A$3:$A$20000,"&lt;="&amp;Q$4,'Google data'!$B$3:$B$20000,$A11),IF($B11="ChatGPT Ads",SUMIFS('ChatGPT data'!$I$3:$I$20000,'ChatGPT data'!$A$3:$A$20000,"&gt;="&amp;Q$3,'ChatGPT data'!$A$3:$A$20000,"&lt;="&amp;Q$4,'ChatGPT data'!$B$3:$B$20000,$A11),IF($B11="LinkedIn Ads",SUMIFS('LinkedIn data'!$I$3:$I$20000,'LinkedIn data'!$A$3:$A$20000,"&gt;="&amp;Q$3,'LinkedIn data'!$A$3:$A$20000,"&lt;="&amp;Q$4,'LinkedIn data'!$B$3:$B$20000,$A11),0)))))</f>
        <v>0</v>
      </c>
      <c r="R11" s="15" t="n">
        <f aca="false">IF($A11="","",SUM(F11:Q11))</f>
        <v>11570.02</v>
      </c>
      <c r="S11" s="37" t="n">
        <f aca="false">IF($A11="","",IF($B11="Meta",SUMIFS('Meta data'!$E$3:$E$20000,'Meta data'!$B$3:$B$20000,$A11),IF($B11="Google Ads",SUMIFS('Google data'!$E$3:$E$20000,'Google data'!$B$3:$B$20000,$A11),IF($B11="ChatGPT Ads",SUMIFS('ChatGPT data'!$E$3:$E$20000,'ChatGPT data'!$B$3:$B$20000,$A11),IF($B11="LinkedIn Ads",SUMIFS('LinkedIn data'!$E$3:$E$20000,'LinkedIn data'!$B$3:$B$20000,$A11),0)))))</f>
        <v>3085</v>
      </c>
      <c r="T11" s="37" t="n">
        <f aca="false">IF($A11="","",IF($B11="Meta",SUMIFS('Meta data'!$F$3:$F$20000,'Meta data'!$B$3:$B$20000,$A11),IF($B11="Google Ads",SUMIFS('Google data'!$F$3:$F$20000,'Google data'!$B$3:$B$20000,$A11),IF($B11="ChatGPT Ads",SUMIFS('ChatGPT data'!$F$3:$F$20000,'ChatGPT data'!$B$3:$B$20000,$A11),IF($B11="LinkedIn Ads",SUMIFS('LinkedIn data'!$F$3:$F$20000,'LinkedIn data'!$B$3:$B$20000,$A11),0)))))</f>
        <v>473</v>
      </c>
      <c r="U11" s="38" t="n">
        <f aca="false">IF(OR($A11="",T11=0),"",R11/T11)</f>
        <v>24.4609302325581</v>
      </c>
    </row>
    <row r="12" customFormat="false" ht="15" hidden="false" customHeight="false" outlineLevel="0" collapsed="false">
      <c r="A12" s="58" t="s">
        <v>171</v>
      </c>
      <c r="B12" s="58" t="s">
        <v>19</v>
      </c>
      <c r="C12" s="58" t="s">
        <v>135</v>
      </c>
      <c r="D12" s="58" t="s">
        <v>125</v>
      </c>
      <c r="E12" s="58" t="s">
        <v>151</v>
      </c>
      <c r="F12" s="14" t="n">
        <f aca="false">IF($A12="","",IF($B12="Meta",SUMIFS('Meta data'!$I$3:$I$20000,'Meta data'!$A$3:$A$20000,"&gt;="&amp;F$3,'Meta data'!$A$3:$A$20000,"&lt;="&amp;F$4,'Meta data'!$B$3:$B$20000,$A12),IF($B12="Google Ads",SUMIFS('Google data'!$I$3:$I$20000,'Google data'!$A$3:$A$20000,"&gt;="&amp;F$3,'Google data'!$A$3:$A$20000,"&lt;="&amp;F$4,'Google data'!$B$3:$B$20000,$A12),IF($B12="ChatGPT Ads",SUMIFS('ChatGPT data'!$I$3:$I$20000,'ChatGPT data'!$A$3:$A$20000,"&gt;="&amp;F$3,'ChatGPT data'!$A$3:$A$20000,"&lt;="&amp;F$4,'ChatGPT data'!$B$3:$B$20000,$A12),IF($B12="LinkedIn Ads",SUMIFS('LinkedIn data'!$I$3:$I$20000,'LinkedIn data'!$A$3:$A$20000,"&gt;="&amp;F$3,'LinkedIn data'!$A$3:$A$20000,"&lt;="&amp;F$4,'LinkedIn data'!$B$3:$B$20000,$A12),0)))))</f>
        <v>482.04</v>
      </c>
      <c r="G12" s="14" t="n">
        <f aca="false">IF($A12="","",IF($B12="Meta",SUMIFS('Meta data'!$I$3:$I$20000,'Meta data'!$A$3:$A$20000,"&gt;="&amp;G$3,'Meta data'!$A$3:$A$20000,"&lt;="&amp;G$4,'Meta data'!$B$3:$B$20000,$A12),IF($B12="Google Ads",SUMIFS('Google data'!$I$3:$I$20000,'Google data'!$A$3:$A$20000,"&gt;="&amp;G$3,'Google data'!$A$3:$A$20000,"&lt;="&amp;G$4,'Google data'!$B$3:$B$20000,$A12),IF($B12="ChatGPT Ads",SUMIFS('ChatGPT data'!$I$3:$I$20000,'ChatGPT data'!$A$3:$A$20000,"&gt;="&amp;G$3,'ChatGPT data'!$A$3:$A$20000,"&lt;="&amp;G$4,'ChatGPT data'!$B$3:$B$20000,$A12),IF($B12="LinkedIn Ads",SUMIFS('LinkedIn data'!$I$3:$I$20000,'LinkedIn data'!$A$3:$A$20000,"&gt;="&amp;G$3,'LinkedIn data'!$A$3:$A$20000,"&lt;="&amp;G$4,'LinkedIn data'!$B$3:$B$20000,$A12),0)))))</f>
        <v>556.5</v>
      </c>
      <c r="H12" s="14" t="n">
        <f aca="false">IF($A12="","",IF($B12="Meta",SUMIFS('Meta data'!$I$3:$I$20000,'Meta data'!$A$3:$A$20000,"&gt;="&amp;H$3,'Meta data'!$A$3:$A$20000,"&lt;="&amp;H$4,'Meta data'!$B$3:$B$20000,$A12),IF($B12="Google Ads",SUMIFS('Google data'!$I$3:$I$20000,'Google data'!$A$3:$A$20000,"&gt;="&amp;H$3,'Google data'!$A$3:$A$20000,"&lt;="&amp;H$4,'Google data'!$B$3:$B$20000,$A12),IF($B12="ChatGPT Ads",SUMIFS('ChatGPT data'!$I$3:$I$20000,'ChatGPT data'!$A$3:$A$20000,"&gt;="&amp;H$3,'ChatGPT data'!$A$3:$A$20000,"&lt;="&amp;H$4,'ChatGPT data'!$B$3:$B$20000,$A12),IF($B12="LinkedIn Ads",SUMIFS('LinkedIn data'!$I$3:$I$20000,'LinkedIn data'!$A$3:$A$20000,"&gt;="&amp;H$3,'LinkedIn data'!$A$3:$A$20000,"&lt;="&amp;H$4,'LinkedIn data'!$B$3:$B$20000,$A12),0)))))</f>
        <v>634.17</v>
      </c>
      <c r="I12" s="14" t="n">
        <f aca="false">IF($A12="","",IF($B12="Meta",SUMIFS('Meta data'!$I$3:$I$20000,'Meta data'!$A$3:$A$20000,"&gt;="&amp;I$3,'Meta data'!$A$3:$A$20000,"&lt;="&amp;I$4,'Meta data'!$B$3:$B$20000,$A12),IF($B12="Google Ads",SUMIFS('Google data'!$I$3:$I$20000,'Google data'!$A$3:$A$20000,"&gt;="&amp;I$3,'Google data'!$A$3:$A$20000,"&lt;="&amp;I$4,'Google data'!$B$3:$B$20000,$A12),IF($B12="ChatGPT Ads",SUMIFS('ChatGPT data'!$I$3:$I$20000,'ChatGPT data'!$A$3:$A$20000,"&gt;="&amp;I$3,'ChatGPT data'!$A$3:$A$20000,"&lt;="&amp;I$4,'ChatGPT data'!$B$3:$B$20000,$A12),IF($B12="LinkedIn Ads",SUMIFS('LinkedIn data'!$I$3:$I$20000,'LinkedIn data'!$A$3:$A$20000,"&gt;="&amp;I$3,'LinkedIn data'!$A$3:$A$20000,"&lt;="&amp;I$4,'LinkedIn data'!$B$3:$B$20000,$A12),0)))))</f>
        <v>579.09</v>
      </c>
      <c r="J12" s="14" t="n">
        <f aca="false">IF($A12="","",IF($B12="Meta",SUMIFS('Meta data'!$I$3:$I$20000,'Meta data'!$A$3:$A$20000,"&gt;="&amp;J$3,'Meta data'!$A$3:$A$20000,"&lt;="&amp;J$4,'Meta data'!$B$3:$B$20000,$A12),IF($B12="Google Ads",SUMIFS('Google data'!$I$3:$I$20000,'Google data'!$A$3:$A$20000,"&gt;="&amp;J$3,'Google data'!$A$3:$A$20000,"&lt;="&amp;J$4,'Google data'!$B$3:$B$20000,$A12),IF($B12="ChatGPT Ads",SUMIFS('ChatGPT data'!$I$3:$I$20000,'ChatGPT data'!$A$3:$A$20000,"&gt;="&amp;J$3,'ChatGPT data'!$A$3:$A$20000,"&lt;="&amp;J$4,'ChatGPT data'!$B$3:$B$20000,$A12),IF($B12="LinkedIn Ads",SUMIFS('LinkedIn data'!$I$3:$I$20000,'LinkedIn data'!$A$3:$A$20000,"&gt;="&amp;J$3,'LinkedIn data'!$A$3:$A$20000,"&lt;="&amp;J$4,'LinkedIn data'!$B$3:$B$20000,$A12),0)))))</f>
        <v>561.84</v>
      </c>
      <c r="K12" s="14" t="n">
        <f aca="false">IF($A12="","",IF($B12="Meta",SUMIFS('Meta data'!$I$3:$I$20000,'Meta data'!$A$3:$A$20000,"&gt;="&amp;K$3,'Meta data'!$A$3:$A$20000,"&lt;="&amp;K$4,'Meta data'!$B$3:$B$20000,$A12),IF($B12="Google Ads",SUMIFS('Google data'!$I$3:$I$20000,'Google data'!$A$3:$A$20000,"&gt;="&amp;K$3,'Google data'!$A$3:$A$20000,"&lt;="&amp;K$4,'Google data'!$B$3:$B$20000,$A12),IF($B12="ChatGPT Ads",SUMIFS('ChatGPT data'!$I$3:$I$20000,'ChatGPT data'!$A$3:$A$20000,"&gt;="&amp;K$3,'ChatGPT data'!$A$3:$A$20000,"&lt;="&amp;K$4,'ChatGPT data'!$B$3:$B$20000,$A12),IF($B12="LinkedIn Ads",SUMIFS('LinkedIn data'!$I$3:$I$20000,'LinkedIn data'!$A$3:$A$20000,"&gt;="&amp;K$3,'LinkedIn data'!$A$3:$A$20000,"&lt;="&amp;K$4,'LinkedIn data'!$B$3:$B$20000,$A12),0)))))</f>
        <v>1012.22</v>
      </c>
      <c r="L12" s="14" t="n">
        <f aca="false">IF($A12="","",IF($B12="Meta",SUMIFS('Meta data'!$I$3:$I$20000,'Meta data'!$A$3:$A$20000,"&gt;="&amp;L$3,'Meta data'!$A$3:$A$20000,"&lt;="&amp;L$4,'Meta data'!$B$3:$B$20000,$A12),IF($B12="Google Ads",SUMIFS('Google data'!$I$3:$I$20000,'Google data'!$A$3:$A$20000,"&gt;="&amp;L$3,'Google data'!$A$3:$A$20000,"&lt;="&amp;L$4,'Google data'!$B$3:$B$20000,$A12),IF($B12="ChatGPT Ads",SUMIFS('ChatGPT data'!$I$3:$I$20000,'ChatGPT data'!$A$3:$A$20000,"&gt;="&amp;L$3,'ChatGPT data'!$A$3:$A$20000,"&lt;="&amp;L$4,'ChatGPT data'!$B$3:$B$20000,$A12),IF($B12="LinkedIn Ads",SUMIFS('LinkedIn data'!$I$3:$I$20000,'LinkedIn data'!$A$3:$A$20000,"&gt;="&amp;L$3,'LinkedIn data'!$A$3:$A$20000,"&lt;="&amp;L$4,'LinkedIn data'!$B$3:$B$20000,$A12),0)))))</f>
        <v>3047.53</v>
      </c>
      <c r="M12" s="14" t="n">
        <f aca="false">IF($A12="","",IF($B12="Meta",SUMIFS('Meta data'!$I$3:$I$20000,'Meta data'!$A$3:$A$20000,"&gt;="&amp;M$3,'Meta data'!$A$3:$A$20000,"&lt;="&amp;M$4,'Meta data'!$B$3:$B$20000,$A12),IF($B12="Google Ads",SUMIFS('Google data'!$I$3:$I$20000,'Google data'!$A$3:$A$20000,"&gt;="&amp;M$3,'Google data'!$A$3:$A$20000,"&lt;="&amp;M$4,'Google data'!$B$3:$B$20000,$A12),IF($B12="ChatGPT Ads",SUMIFS('ChatGPT data'!$I$3:$I$20000,'ChatGPT data'!$A$3:$A$20000,"&gt;="&amp;M$3,'ChatGPT data'!$A$3:$A$20000,"&lt;="&amp;M$4,'ChatGPT data'!$B$3:$B$20000,$A12),IF($B12="LinkedIn Ads",SUMIFS('LinkedIn data'!$I$3:$I$20000,'LinkedIn data'!$A$3:$A$20000,"&gt;="&amp;M$3,'LinkedIn data'!$A$3:$A$20000,"&lt;="&amp;M$4,'LinkedIn data'!$B$3:$B$20000,$A12),0)))))</f>
        <v>2719.28</v>
      </c>
      <c r="N12" s="14" t="n">
        <f aca="false">IF($A12="","",IF($B12="Meta",SUMIFS('Meta data'!$I$3:$I$20000,'Meta data'!$A$3:$A$20000,"&gt;="&amp;N$3,'Meta data'!$A$3:$A$20000,"&lt;="&amp;N$4,'Meta data'!$B$3:$B$20000,$A12),IF($B12="Google Ads",SUMIFS('Google data'!$I$3:$I$20000,'Google data'!$A$3:$A$20000,"&gt;="&amp;N$3,'Google data'!$A$3:$A$20000,"&lt;="&amp;N$4,'Google data'!$B$3:$B$20000,$A12),IF($B12="ChatGPT Ads",SUMIFS('ChatGPT data'!$I$3:$I$20000,'ChatGPT data'!$A$3:$A$20000,"&gt;="&amp;N$3,'ChatGPT data'!$A$3:$A$20000,"&lt;="&amp;N$4,'ChatGPT data'!$B$3:$B$20000,$A12),IF($B12="LinkedIn Ads",SUMIFS('LinkedIn data'!$I$3:$I$20000,'LinkedIn data'!$A$3:$A$20000,"&gt;="&amp;N$3,'LinkedIn data'!$A$3:$A$20000,"&lt;="&amp;N$4,'LinkedIn data'!$B$3:$B$20000,$A12),0)))))</f>
        <v>1895.1</v>
      </c>
      <c r="O12" s="14" t="n">
        <f aca="false">IF($A12="","",IF($B12="Meta",SUMIFS('Meta data'!$I$3:$I$20000,'Meta data'!$A$3:$A$20000,"&gt;="&amp;O$3,'Meta data'!$A$3:$A$20000,"&lt;="&amp;O$4,'Meta data'!$B$3:$B$20000,$A12),IF($B12="Google Ads",SUMIFS('Google data'!$I$3:$I$20000,'Google data'!$A$3:$A$20000,"&gt;="&amp;O$3,'Google data'!$A$3:$A$20000,"&lt;="&amp;O$4,'Google data'!$B$3:$B$20000,$A12),IF($B12="ChatGPT Ads",SUMIFS('ChatGPT data'!$I$3:$I$20000,'ChatGPT data'!$A$3:$A$20000,"&gt;="&amp;O$3,'ChatGPT data'!$A$3:$A$20000,"&lt;="&amp;O$4,'ChatGPT data'!$B$3:$B$20000,$A12),IF($B12="LinkedIn Ads",SUMIFS('LinkedIn data'!$I$3:$I$20000,'LinkedIn data'!$A$3:$A$20000,"&gt;="&amp;O$3,'LinkedIn data'!$A$3:$A$20000,"&lt;="&amp;O$4,'LinkedIn data'!$B$3:$B$20000,$A12),0)))))</f>
        <v>0</v>
      </c>
      <c r="P12" s="14" t="n">
        <f aca="false">IF($A12="","",IF($B12="Meta",SUMIFS('Meta data'!$I$3:$I$20000,'Meta data'!$A$3:$A$20000,"&gt;="&amp;P$3,'Meta data'!$A$3:$A$20000,"&lt;="&amp;P$4,'Meta data'!$B$3:$B$20000,$A12),IF($B12="Google Ads",SUMIFS('Google data'!$I$3:$I$20000,'Google data'!$A$3:$A$20000,"&gt;="&amp;P$3,'Google data'!$A$3:$A$20000,"&lt;="&amp;P$4,'Google data'!$B$3:$B$20000,$A12),IF($B12="ChatGPT Ads",SUMIFS('ChatGPT data'!$I$3:$I$20000,'ChatGPT data'!$A$3:$A$20000,"&gt;="&amp;P$3,'ChatGPT data'!$A$3:$A$20000,"&lt;="&amp;P$4,'ChatGPT data'!$B$3:$B$20000,$A12),IF($B12="LinkedIn Ads",SUMIFS('LinkedIn data'!$I$3:$I$20000,'LinkedIn data'!$A$3:$A$20000,"&gt;="&amp;P$3,'LinkedIn data'!$A$3:$A$20000,"&lt;="&amp;P$4,'LinkedIn data'!$B$3:$B$20000,$A12),0)))))</f>
        <v>0</v>
      </c>
      <c r="Q12" s="14" t="n">
        <f aca="false">IF($A12="","",IF($B12="Meta",SUMIFS('Meta data'!$I$3:$I$20000,'Meta data'!$A$3:$A$20000,"&gt;="&amp;Q$3,'Meta data'!$A$3:$A$20000,"&lt;="&amp;Q$4,'Meta data'!$B$3:$B$20000,$A12),IF($B12="Google Ads",SUMIFS('Google data'!$I$3:$I$20000,'Google data'!$A$3:$A$20000,"&gt;="&amp;Q$3,'Google data'!$A$3:$A$20000,"&lt;="&amp;Q$4,'Google data'!$B$3:$B$20000,$A12),IF($B12="ChatGPT Ads",SUMIFS('ChatGPT data'!$I$3:$I$20000,'ChatGPT data'!$A$3:$A$20000,"&gt;="&amp;Q$3,'ChatGPT data'!$A$3:$A$20000,"&lt;="&amp;Q$4,'ChatGPT data'!$B$3:$B$20000,$A12),IF($B12="LinkedIn Ads",SUMIFS('LinkedIn data'!$I$3:$I$20000,'LinkedIn data'!$A$3:$A$20000,"&gt;="&amp;Q$3,'LinkedIn data'!$A$3:$A$20000,"&lt;="&amp;Q$4,'LinkedIn data'!$B$3:$B$20000,$A12),0)))))</f>
        <v>0</v>
      </c>
      <c r="R12" s="15" t="n">
        <f aca="false">IF($A12="","",SUM(F12:Q12))</f>
        <v>11487.77</v>
      </c>
      <c r="S12" s="37" t="n">
        <f aca="false">IF($A12="","",IF($B12="Meta",SUMIFS('Meta data'!$E$3:$E$20000,'Meta data'!$B$3:$B$20000,$A12),IF($B12="Google Ads",SUMIFS('Google data'!$E$3:$E$20000,'Google data'!$B$3:$B$20000,$A12),IF($B12="ChatGPT Ads",SUMIFS('ChatGPT data'!$E$3:$E$20000,'ChatGPT data'!$B$3:$B$20000,$A12),IF($B12="LinkedIn Ads",SUMIFS('LinkedIn data'!$E$3:$E$20000,'LinkedIn data'!$B$3:$B$20000,$A12),0)))))</f>
        <v>5737</v>
      </c>
      <c r="T12" s="37" t="n">
        <f aca="false">IF($A12="","",IF($B12="Meta",SUMIFS('Meta data'!$F$3:$F$20000,'Meta data'!$B$3:$B$20000,$A12),IF($B12="Google Ads",SUMIFS('Google data'!$F$3:$F$20000,'Google data'!$B$3:$B$20000,$A12),IF($B12="ChatGPT Ads",SUMIFS('ChatGPT data'!$F$3:$F$20000,'ChatGPT data'!$B$3:$B$20000,$A12),IF($B12="LinkedIn Ads",SUMIFS('LinkedIn data'!$F$3:$F$20000,'LinkedIn data'!$B$3:$B$20000,$A12),0)))))</f>
        <v>471</v>
      </c>
      <c r="U12" s="38" t="n">
        <f aca="false">IF(OR($A12="",T12=0),"",R12/T12)</f>
        <v>24.39016985138</v>
      </c>
    </row>
    <row r="13" customFormat="false" ht="15" hidden="false" customHeight="false" outlineLevel="0" collapsed="false">
      <c r="A13" s="58" t="s">
        <v>172</v>
      </c>
      <c r="B13" s="58" t="s">
        <v>19</v>
      </c>
      <c r="C13" s="58" t="s">
        <v>131</v>
      </c>
      <c r="D13" s="58" t="s">
        <v>124</v>
      </c>
      <c r="E13" s="58" t="s">
        <v>149</v>
      </c>
      <c r="F13" s="14" t="n">
        <f aca="false">IF($A13="","",IF($B13="Meta",SUMIFS('Meta data'!$I$3:$I$20000,'Meta data'!$A$3:$A$20000,"&gt;="&amp;F$3,'Meta data'!$A$3:$A$20000,"&lt;="&amp;F$4,'Meta data'!$B$3:$B$20000,$A13),IF($B13="Google Ads",SUMIFS('Google data'!$I$3:$I$20000,'Google data'!$A$3:$A$20000,"&gt;="&amp;F$3,'Google data'!$A$3:$A$20000,"&lt;="&amp;F$4,'Google data'!$B$3:$B$20000,$A13),IF($B13="ChatGPT Ads",SUMIFS('ChatGPT data'!$I$3:$I$20000,'ChatGPT data'!$A$3:$A$20000,"&gt;="&amp;F$3,'ChatGPT data'!$A$3:$A$20000,"&lt;="&amp;F$4,'ChatGPT data'!$B$3:$B$20000,$A13),IF($B13="LinkedIn Ads",SUMIFS('LinkedIn data'!$I$3:$I$20000,'LinkedIn data'!$A$3:$A$20000,"&gt;="&amp;F$3,'LinkedIn data'!$A$3:$A$20000,"&lt;="&amp;F$4,'LinkedIn data'!$B$3:$B$20000,$A13),0)))))</f>
        <v>0</v>
      </c>
      <c r="G13" s="14" t="n">
        <f aca="false">IF($A13="","",IF($B13="Meta",SUMIFS('Meta data'!$I$3:$I$20000,'Meta data'!$A$3:$A$20000,"&gt;="&amp;G$3,'Meta data'!$A$3:$A$20000,"&lt;="&amp;G$4,'Meta data'!$B$3:$B$20000,$A13),IF($B13="Google Ads",SUMIFS('Google data'!$I$3:$I$20000,'Google data'!$A$3:$A$20000,"&gt;="&amp;G$3,'Google data'!$A$3:$A$20000,"&lt;="&amp;G$4,'Google data'!$B$3:$B$20000,$A13),IF($B13="ChatGPT Ads",SUMIFS('ChatGPT data'!$I$3:$I$20000,'ChatGPT data'!$A$3:$A$20000,"&gt;="&amp;G$3,'ChatGPT data'!$A$3:$A$20000,"&lt;="&amp;G$4,'ChatGPT data'!$B$3:$B$20000,$A13),IF($B13="LinkedIn Ads",SUMIFS('LinkedIn data'!$I$3:$I$20000,'LinkedIn data'!$A$3:$A$20000,"&gt;="&amp;G$3,'LinkedIn data'!$A$3:$A$20000,"&lt;="&amp;G$4,'LinkedIn data'!$B$3:$B$20000,$A13),0)))))</f>
        <v>0</v>
      </c>
      <c r="H13" s="14" t="n">
        <f aca="false">IF($A13="","",IF($B13="Meta",SUMIFS('Meta data'!$I$3:$I$20000,'Meta data'!$A$3:$A$20000,"&gt;="&amp;H$3,'Meta data'!$A$3:$A$20000,"&lt;="&amp;H$4,'Meta data'!$B$3:$B$20000,$A13),IF($B13="Google Ads",SUMIFS('Google data'!$I$3:$I$20000,'Google data'!$A$3:$A$20000,"&gt;="&amp;H$3,'Google data'!$A$3:$A$20000,"&lt;="&amp;H$4,'Google data'!$B$3:$B$20000,$A13),IF($B13="ChatGPT Ads",SUMIFS('ChatGPT data'!$I$3:$I$20000,'ChatGPT data'!$A$3:$A$20000,"&gt;="&amp;H$3,'ChatGPT data'!$A$3:$A$20000,"&lt;="&amp;H$4,'ChatGPT data'!$B$3:$B$20000,$A13),IF($B13="LinkedIn Ads",SUMIFS('LinkedIn data'!$I$3:$I$20000,'LinkedIn data'!$A$3:$A$20000,"&gt;="&amp;H$3,'LinkedIn data'!$A$3:$A$20000,"&lt;="&amp;H$4,'LinkedIn data'!$B$3:$B$20000,$A13),0)))))</f>
        <v>0</v>
      </c>
      <c r="I13" s="14" t="n">
        <f aca="false">IF($A13="","",IF($B13="Meta",SUMIFS('Meta data'!$I$3:$I$20000,'Meta data'!$A$3:$A$20000,"&gt;="&amp;I$3,'Meta data'!$A$3:$A$20000,"&lt;="&amp;I$4,'Meta data'!$B$3:$B$20000,$A13),IF($B13="Google Ads",SUMIFS('Google data'!$I$3:$I$20000,'Google data'!$A$3:$A$20000,"&gt;="&amp;I$3,'Google data'!$A$3:$A$20000,"&lt;="&amp;I$4,'Google data'!$B$3:$B$20000,$A13),IF($B13="ChatGPT Ads",SUMIFS('ChatGPT data'!$I$3:$I$20000,'ChatGPT data'!$A$3:$A$20000,"&gt;="&amp;I$3,'ChatGPT data'!$A$3:$A$20000,"&lt;="&amp;I$4,'ChatGPT data'!$B$3:$B$20000,$A13),IF($B13="LinkedIn Ads",SUMIFS('LinkedIn data'!$I$3:$I$20000,'LinkedIn data'!$A$3:$A$20000,"&gt;="&amp;I$3,'LinkedIn data'!$A$3:$A$20000,"&lt;="&amp;I$4,'LinkedIn data'!$B$3:$B$20000,$A13),0)))))</f>
        <v>0</v>
      </c>
      <c r="J13" s="14" t="n">
        <f aca="false">IF($A13="","",IF($B13="Meta",SUMIFS('Meta data'!$I$3:$I$20000,'Meta data'!$A$3:$A$20000,"&gt;="&amp;J$3,'Meta data'!$A$3:$A$20000,"&lt;="&amp;J$4,'Meta data'!$B$3:$B$20000,$A13),IF($B13="Google Ads",SUMIFS('Google data'!$I$3:$I$20000,'Google data'!$A$3:$A$20000,"&gt;="&amp;J$3,'Google data'!$A$3:$A$20000,"&lt;="&amp;J$4,'Google data'!$B$3:$B$20000,$A13),IF($B13="ChatGPT Ads",SUMIFS('ChatGPT data'!$I$3:$I$20000,'ChatGPT data'!$A$3:$A$20000,"&gt;="&amp;J$3,'ChatGPT data'!$A$3:$A$20000,"&lt;="&amp;J$4,'ChatGPT data'!$B$3:$B$20000,$A13),IF($B13="LinkedIn Ads",SUMIFS('LinkedIn data'!$I$3:$I$20000,'LinkedIn data'!$A$3:$A$20000,"&gt;="&amp;J$3,'LinkedIn data'!$A$3:$A$20000,"&lt;="&amp;J$4,'LinkedIn data'!$B$3:$B$20000,$A13),0)))))</f>
        <v>0</v>
      </c>
      <c r="K13" s="14" t="n">
        <f aca="false">IF($A13="","",IF($B13="Meta",SUMIFS('Meta data'!$I$3:$I$20000,'Meta data'!$A$3:$A$20000,"&gt;="&amp;K$3,'Meta data'!$A$3:$A$20000,"&lt;="&amp;K$4,'Meta data'!$B$3:$B$20000,$A13),IF($B13="Google Ads",SUMIFS('Google data'!$I$3:$I$20000,'Google data'!$A$3:$A$20000,"&gt;="&amp;K$3,'Google data'!$A$3:$A$20000,"&lt;="&amp;K$4,'Google data'!$B$3:$B$20000,$A13),IF($B13="ChatGPT Ads",SUMIFS('ChatGPT data'!$I$3:$I$20000,'ChatGPT data'!$A$3:$A$20000,"&gt;="&amp;K$3,'ChatGPT data'!$A$3:$A$20000,"&lt;="&amp;K$4,'ChatGPT data'!$B$3:$B$20000,$A13),IF($B13="LinkedIn Ads",SUMIFS('LinkedIn data'!$I$3:$I$20000,'LinkedIn data'!$A$3:$A$20000,"&gt;="&amp;K$3,'LinkedIn data'!$A$3:$A$20000,"&lt;="&amp;K$4,'LinkedIn data'!$B$3:$B$20000,$A13),0)))))</f>
        <v>2401.95</v>
      </c>
      <c r="L13" s="14" t="n">
        <f aca="false">IF($A13="","",IF($B13="Meta",SUMIFS('Meta data'!$I$3:$I$20000,'Meta data'!$A$3:$A$20000,"&gt;="&amp;L$3,'Meta data'!$A$3:$A$20000,"&lt;="&amp;L$4,'Meta data'!$B$3:$B$20000,$A13),IF($B13="Google Ads",SUMIFS('Google data'!$I$3:$I$20000,'Google data'!$A$3:$A$20000,"&gt;="&amp;L$3,'Google data'!$A$3:$A$20000,"&lt;="&amp;L$4,'Google data'!$B$3:$B$20000,$A13),IF($B13="ChatGPT Ads",SUMIFS('ChatGPT data'!$I$3:$I$20000,'ChatGPT data'!$A$3:$A$20000,"&gt;="&amp;L$3,'ChatGPT data'!$A$3:$A$20000,"&lt;="&amp;L$4,'ChatGPT data'!$B$3:$B$20000,$A13),IF($B13="LinkedIn Ads",SUMIFS('LinkedIn data'!$I$3:$I$20000,'LinkedIn data'!$A$3:$A$20000,"&gt;="&amp;L$3,'LinkedIn data'!$A$3:$A$20000,"&lt;="&amp;L$4,'LinkedIn data'!$B$3:$B$20000,$A13),0)))))</f>
        <v>1772.61</v>
      </c>
      <c r="M13" s="14" t="n">
        <f aca="false">IF($A13="","",IF($B13="Meta",SUMIFS('Meta data'!$I$3:$I$20000,'Meta data'!$A$3:$A$20000,"&gt;="&amp;M$3,'Meta data'!$A$3:$A$20000,"&lt;="&amp;M$4,'Meta data'!$B$3:$B$20000,$A13),IF($B13="Google Ads",SUMIFS('Google data'!$I$3:$I$20000,'Google data'!$A$3:$A$20000,"&gt;="&amp;M$3,'Google data'!$A$3:$A$20000,"&lt;="&amp;M$4,'Google data'!$B$3:$B$20000,$A13),IF($B13="ChatGPT Ads",SUMIFS('ChatGPT data'!$I$3:$I$20000,'ChatGPT data'!$A$3:$A$20000,"&gt;="&amp;M$3,'ChatGPT data'!$A$3:$A$20000,"&lt;="&amp;M$4,'ChatGPT data'!$B$3:$B$20000,$A13),IF($B13="LinkedIn Ads",SUMIFS('LinkedIn data'!$I$3:$I$20000,'LinkedIn data'!$A$3:$A$20000,"&gt;="&amp;M$3,'LinkedIn data'!$A$3:$A$20000,"&lt;="&amp;M$4,'LinkedIn data'!$B$3:$B$20000,$A13),0)))))</f>
        <v>1184.66</v>
      </c>
      <c r="N13" s="14" t="n">
        <f aca="false">IF($A13="","",IF($B13="Meta",SUMIFS('Meta data'!$I$3:$I$20000,'Meta data'!$A$3:$A$20000,"&gt;="&amp;N$3,'Meta data'!$A$3:$A$20000,"&lt;="&amp;N$4,'Meta data'!$B$3:$B$20000,$A13),IF($B13="Google Ads",SUMIFS('Google data'!$I$3:$I$20000,'Google data'!$A$3:$A$20000,"&gt;="&amp;N$3,'Google data'!$A$3:$A$20000,"&lt;="&amp;N$4,'Google data'!$B$3:$B$20000,$A13),IF($B13="ChatGPT Ads",SUMIFS('ChatGPT data'!$I$3:$I$20000,'ChatGPT data'!$A$3:$A$20000,"&gt;="&amp;N$3,'ChatGPT data'!$A$3:$A$20000,"&lt;="&amp;N$4,'ChatGPT data'!$B$3:$B$20000,$A13),IF($B13="LinkedIn Ads",SUMIFS('LinkedIn data'!$I$3:$I$20000,'LinkedIn data'!$A$3:$A$20000,"&gt;="&amp;N$3,'LinkedIn data'!$A$3:$A$20000,"&lt;="&amp;N$4,'LinkedIn data'!$B$3:$B$20000,$A13),0)))))</f>
        <v>967.01</v>
      </c>
      <c r="O13" s="14" t="n">
        <f aca="false">IF($A13="","",IF($B13="Meta",SUMIFS('Meta data'!$I$3:$I$20000,'Meta data'!$A$3:$A$20000,"&gt;="&amp;O$3,'Meta data'!$A$3:$A$20000,"&lt;="&amp;O$4,'Meta data'!$B$3:$B$20000,$A13),IF($B13="Google Ads",SUMIFS('Google data'!$I$3:$I$20000,'Google data'!$A$3:$A$20000,"&gt;="&amp;O$3,'Google data'!$A$3:$A$20000,"&lt;="&amp;O$4,'Google data'!$B$3:$B$20000,$A13),IF($B13="ChatGPT Ads",SUMIFS('ChatGPT data'!$I$3:$I$20000,'ChatGPT data'!$A$3:$A$20000,"&gt;="&amp;O$3,'ChatGPT data'!$A$3:$A$20000,"&lt;="&amp;O$4,'ChatGPT data'!$B$3:$B$20000,$A13),IF($B13="LinkedIn Ads",SUMIFS('LinkedIn data'!$I$3:$I$20000,'LinkedIn data'!$A$3:$A$20000,"&gt;="&amp;O$3,'LinkedIn data'!$A$3:$A$20000,"&lt;="&amp;O$4,'LinkedIn data'!$B$3:$B$20000,$A13),0)))))</f>
        <v>0</v>
      </c>
      <c r="P13" s="14" t="n">
        <f aca="false">IF($A13="","",IF($B13="Meta",SUMIFS('Meta data'!$I$3:$I$20000,'Meta data'!$A$3:$A$20000,"&gt;="&amp;P$3,'Meta data'!$A$3:$A$20000,"&lt;="&amp;P$4,'Meta data'!$B$3:$B$20000,$A13),IF($B13="Google Ads",SUMIFS('Google data'!$I$3:$I$20000,'Google data'!$A$3:$A$20000,"&gt;="&amp;P$3,'Google data'!$A$3:$A$20000,"&lt;="&amp;P$4,'Google data'!$B$3:$B$20000,$A13),IF($B13="ChatGPT Ads",SUMIFS('ChatGPT data'!$I$3:$I$20000,'ChatGPT data'!$A$3:$A$20000,"&gt;="&amp;P$3,'ChatGPT data'!$A$3:$A$20000,"&lt;="&amp;P$4,'ChatGPT data'!$B$3:$B$20000,$A13),IF($B13="LinkedIn Ads",SUMIFS('LinkedIn data'!$I$3:$I$20000,'LinkedIn data'!$A$3:$A$20000,"&gt;="&amp;P$3,'LinkedIn data'!$A$3:$A$20000,"&lt;="&amp;P$4,'LinkedIn data'!$B$3:$B$20000,$A13),0)))))</f>
        <v>0</v>
      </c>
      <c r="Q13" s="14" t="n">
        <f aca="false">IF($A13="","",IF($B13="Meta",SUMIFS('Meta data'!$I$3:$I$20000,'Meta data'!$A$3:$A$20000,"&gt;="&amp;Q$3,'Meta data'!$A$3:$A$20000,"&lt;="&amp;Q$4,'Meta data'!$B$3:$B$20000,$A13),IF($B13="Google Ads",SUMIFS('Google data'!$I$3:$I$20000,'Google data'!$A$3:$A$20000,"&gt;="&amp;Q$3,'Google data'!$A$3:$A$20000,"&lt;="&amp;Q$4,'Google data'!$B$3:$B$20000,$A13),IF($B13="ChatGPT Ads",SUMIFS('ChatGPT data'!$I$3:$I$20000,'ChatGPT data'!$A$3:$A$20000,"&gt;="&amp;Q$3,'ChatGPT data'!$A$3:$A$20000,"&lt;="&amp;Q$4,'ChatGPT data'!$B$3:$B$20000,$A13),IF($B13="LinkedIn Ads",SUMIFS('LinkedIn data'!$I$3:$I$20000,'LinkedIn data'!$A$3:$A$20000,"&gt;="&amp;Q$3,'LinkedIn data'!$A$3:$A$20000,"&lt;="&amp;Q$4,'LinkedIn data'!$B$3:$B$20000,$A13),0)))))</f>
        <v>0</v>
      </c>
      <c r="R13" s="15" t="n">
        <f aca="false">IF($A13="","",SUM(F13:Q13))</f>
        <v>6326.23</v>
      </c>
      <c r="S13" s="37" t="n">
        <f aca="false">IF($A13="","",IF($B13="Meta",SUMIFS('Meta data'!$E$3:$E$20000,'Meta data'!$B$3:$B$20000,$A13),IF($B13="Google Ads",SUMIFS('Google data'!$E$3:$E$20000,'Google data'!$B$3:$B$20000,$A13),IF($B13="ChatGPT Ads",SUMIFS('ChatGPT data'!$E$3:$E$20000,'ChatGPT data'!$B$3:$B$20000,$A13),IF($B13="LinkedIn Ads",SUMIFS('LinkedIn data'!$E$3:$E$20000,'LinkedIn data'!$B$3:$B$20000,$A13),0)))))</f>
        <v>1561</v>
      </c>
      <c r="T13" s="37" t="n">
        <f aca="false">IF($A13="","",IF($B13="Meta",SUMIFS('Meta data'!$F$3:$F$20000,'Meta data'!$B$3:$B$20000,$A13),IF($B13="Google Ads",SUMIFS('Google data'!$F$3:$F$20000,'Google data'!$B$3:$B$20000,$A13),IF($B13="ChatGPT Ads",SUMIFS('ChatGPT data'!$F$3:$F$20000,'ChatGPT data'!$B$3:$B$20000,$A13),IF($B13="LinkedIn Ads",SUMIFS('LinkedIn data'!$F$3:$F$20000,'LinkedIn data'!$B$3:$B$20000,$A13),0)))))</f>
        <v>202</v>
      </c>
      <c r="U13" s="38" t="n">
        <f aca="false">IF(OR($A13="",T13=0),"",R13/T13)</f>
        <v>31.3179702970297</v>
      </c>
    </row>
    <row r="14" customFormat="false" ht="15" hidden="false" customHeight="false" outlineLevel="0" collapsed="false">
      <c r="A14" s="58" t="s">
        <v>173</v>
      </c>
      <c r="B14" s="58" t="s">
        <v>19</v>
      </c>
      <c r="C14" s="58" t="s">
        <v>133</v>
      </c>
      <c r="D14" s="58" t="s">
        <v>124</v>
      </c>
      <c r="E14" s="58" t="s">
        <v>149</v>
      </c>
      <c r="F14" s="14" t="n">
        <f aca="false">IF($A14="","",IF($B14="Meta",SUMIFS('Meta data'!$I$3:$I$20000,'Meta data'!$A$3:$A$20000,"&gt;="&amp;F$3,'Meta data'!$A$3:$A$20000,"&lt;="&amp;F$4,'Meta data'!$B$3:$B$20000,$A14),IF($B14="Google Ads",SUMIFS('Google data'!$I$3:$I$20000,'Google data'!$A$3:$A$20000,"&gt;="&amp;F$3,'Google data'!$A$3:$A$20000,"&lt;="&amp;F$4,'Google data'!$B$3:$B$20000,$A14),IF($B14="ChatGPT Ads",SUMIFS('ChatGPT data'!$I$3:$I$20000,'ChatGPT data'!$A$3:$A$20000,"&gt;="&amp;F$3,'ChatGPT data'!$A$3:$A$20000,"&lt;="&amp;F$4,'ChatGPT data'!$B$3:$B$20000,$A14),IF($B14="LinkedIn Ads",SUMIFS('LinkedIn data'!$I$3:$I$20000,'LinkedIn data'!$A$3:$A$20000,"&gt;="&amp;F$3,'LinkedIn data'!$A$3:$A$20000,"&lt;="&amp;F$4,'LinkedIn data'!$B$3:$B$20000,$A14),0)))))</f>
        <v>0</v>
      </c>
      <c r="G14" s="14" t="n">
        <f aca="false">IF($A14="","",IF($B14="Meta",SUMIFS('Meta data'!$I$3:$I$20000,'Meta data'!$A$3:$A$20000,"&gt;="&amp;G$3,'Meta data'!$A$3:$A$20000,"&lt;="&amp;G$4,'Meta data'!$B$3:$B$20000,$A14),IF($B14="Google Ads",SUMIFS('Google data'!$I$3:$I$20000,'Google data'!$A$3:$A$20000,"&gt;="&amp;G$3,'Google data'!$A$3:$A$20000,"&lt;="&amp;G$4,'Google data'!$B$3:$B$20000,$A14),IF($B14="ChatGPT Ads",SUMIFS('ChatGPT data'!$I$3:$I$20000,'ChatGPT data'!$A$3:$A$20000,"&gt;="&amp;G$3,'ChatGPT data'!$A$3:$A$20000,"&lt;="&amp;G$4,'ChatGPT data'!$B$3:$B$20000,$A14),IF($B14="LinkedIn Ads",SUMIFS('LinkedIn data'!$I$3:$I$20000,'LinkedIn data'!$A$3:$A$20000,"&gt;="&amp;G$3,'LinkedIn data'!$A$3:$A$20000,"&lt;="&amp;G$4,'LinkedIn data'!$B$3:$B$20000,$A14),0)))))</f>
        <v>0</v>
      </c>
      <c r="H14" s="14" t="n">
        <f aca="false">IF($A14="","",IF($B14="Meta",SUMIFS('Meta data'!$I$3:$I$20000,'Meta data'!$A$3:$A$20000,"&gt;="&amp;H$3,'Meta data'!$A$3:$A$20000,"&lt;="&amp;H$4,'Meta data'!$B$3:$B$20000,$A14),IF($B14="Google Ads",SUMIFS('Google data'!$I$3:$I$20000,'Google data'!$A$3:$A$20000,"&gt;="&amp;H$3,'Google data'!$A$3:$A$20000,"&lt;="&amp;H$4,'Google data'!$B$3:$B$20000,$A14),IF($B14="ChatGPT Ads",SUMIFS('ChatGPT data'!$I$3:$I$20000,'ChatGPT data'!$A$3:$A$20000,"&gt;="&amp;H$3,'ChatGPT data'!$A$3:$A$20000,"&lt;="&amp;H$4,'ChatGPT data'!$B$3:$B$20000,$A14),IF($B14="LinkedIn Ads",SUMIFS('LinkedIn data'!$I$3:$I$20000,'LinkedIn data'!$A$3:$A$20000,"&gt;="&amp;H$3,'LinkedIn data'!$A$3:$A$20000,"&lt;="&amp;H$4,'LinkedIn data'!$B$3:$B$20000,$A14),0)))))</f>
        <v>0</v>
      </c>
      <c r="I14" s="14" t="n">
        <f aca="false">IF($A14="","",IF($B14="Meta",SUMIFS('Meta data'!$I$3:$I$20000,'Meta data'!$A$3:$A$20000,"&gt;="&amp;I$3,'Meta data'!$A$3:$A$20000,"&lt;="&amp;I$4,'Meta data'!$B$3:$B$20000,$A14),IF($B14="Google Ads",SUMIFS('Google data'!$I$3:$I$20000,'Google data'!$A$3:$A$20000,"&gt;="&amp;I$3,'Google data'!$A$3:$A$20000,"&lt;="&amp;I$4,'Google data'!$B$3:$B$20000,$A14),IF($B14="ChatGPT Ads",SUMIFS('ChatGPT data'!$I$3:$I$20000,'ChatGPT data'!$A$3:$A$20000,"&gt;="&amp;I$3,'ChatGPT data'!$A$3:$A$20000,"&lt;="&amp;I$4,'ChatGPT data'!$B$3:$B$20000,$A14),IF($B14="LinkedIn Ads",SUMIFS('LinkedIn data'!$I$3:$I$20000,'LinkedIn data'!$A$3:$A$20000,"&gt;="&amp;I$3,'LinkedIn data'!$A$3:$A$20000,"&lt;="&amp;I$4,'LinkedIn data'!$B$3:$B$20000,$A14),0)))))</f>
        <v>0</v>
      </c>
      <c r="J14" s="14" t="n">
        <f aca="false">IF($A14="","",IF($B14="Meta",SUMIFS('Meta data'!$I$3:$I$20000,'Meta data'!$A$3:$A$20000,"&gt;="&amp;J$3,'Meta data'!$A$3:$A$20000,"&lt;="&amp;J$4,'Meta data'!$B$3:$B$20000,$A14),IF($B14="Google Ads",SUMIFS('Google data'!$I$3:$I$20000,'Google data'!$A$3:$A$20000,"&gt;="&amp;J$3,'Google data'!$A$3:$A$20000,"&lt;="&amp;J$4,'Google data'!$B$3:$B$20000,$A14),IF($B14="ChatGPT Ads",SUMIFS('ChatGPT data'!$I$3:$I$20000,'ChatGPT data'!$A$3:$A$20000,"&gt;="&amp;J$3,'ChatGPT data'!$A$3:$A$20000,"&lt;="&amp;J$4,'ChatGPT data'!$B$3:$B$20000,$A14),IF($B14="LinkedIn Ads",SUMIFS('LinkedIn data'!$I$3:$I$20000,'LinkedIn data'!$A$3:$A$20000,"&gt;="&amp;J$3,'LinkedIn data'!$A$3:$A$20000,"&lt;="&amp;J$4,'LinkedIn data'!$B$3:$B$20000,$A14),0)))))</f>
        <v>0</v>
      </c>
      <c r="K14" s="14" t="n">
        <f aca="false">IF($A14="","",IF($B14="Meta",SUMIFS('Meta data'!$I$3:$I$20000,'Meta data'!$A$3:$A$20000,"&gt;="&amp;K$3,'Meta data'!$A$3:$A$20000,"&lt;="&amp;K$4,'Meta data'!$B$3:$B$20000,$A14),IF($B14="Google Ads",SUMIFS('Google data'!$I$3:$I$20000,'Google data'!$A$3:$A$20000,"&gt;="&amp;K$3,'Google data'!$A$3:$A$20000,"&lt;="&amp;K$4,'Google data'!$B$3:$B$20000,$A14),IF($B14="ChatGPT Ads",SUMIFS('ChatGPT data'!$I$3:$I$20000,'ChatGPT data'!$A$3:$A$20000,"&gt;="&amp;K$3,'ChatGPT data'!$A$3:$A$20000,"&lt;="&amp;K$4,'ChatGPT data'!$B$3:$B$20000,$A14),IF($B14="LinkedIn Ads",SUMIFS('LinkedIn data'!$I$3:$I$20000,'LinkedIn data'!$A$3:$A$20000,"&gt;="&amp;K$3,'LinkedIn data'!$A$3:$A$20000,"&lt;="&amp;K$4,'LinkedIn data'!$B$3:$B$20000,$A14),0)))))</f>
        <v>817.03</v>
      </c>
      <c r="L14" s="14" t="n">
        <f aca="false">IF($A14="","",IF($B14="Meta",SUMIFS('Meta data'!$I$3:$I$20000,'Meta data'!$A$3:$A$20000,"&gt;="&amp;L$3,'Meta data'!$A$3:$A$20000,"&lt;="&amp;L$4,'Meta data'!$B$3:$B$20000,$A14),IF($B14="Google Ads",SUMIFS('Google data'!$I$3:$I$20000,'Google data'!$A$3:$A$20000,"&gt;="&amp;L$3,'Google data'!$A$3:$A$20000,"&lt;="&amp;L$4,'Google data'!$B$3:$B$20000,$A14),IF($B14="ChatGPT Ads",SUMIFS('ChatGPT data'!$I$3:$I$20000,'ChatGPT data'!$A$3:$A$20000,"&gt;="&amp;L$3,'ChatGPT data'!$A$3:$A$20000,"&lt;="&amp;L$4,'ChatGPT data'!$B$3:$B$20000,$A14),IF($B14="LinkedIn Ads",SUMIFS('LinkedIn data'!$I$3:$I$20000,'LinkedIn data'!$A$3:$A$20000,"&gt;="&amp;L$3,'LinkedIn data'!$A$3:$A$20000,"&lt;="&amp;L$4,'LinkedIn data'!$B$3:$B$20000,$A14),0)))))</f>
        <v>1617.62</v>
      </c>
      <c r="M14" s="14" t="n">
        <f aca="false">IF($A14="","",IF($B14="Meta",SUMIFS('Meta data'!$I$3:$I$20000,'Meta data'!$A$3:$A$20000,"&gt;="&amp;M$3,'Meta data'!$A$3:$A$20000,"&lt;="&amp;M$4,'Meta data'!$B$3:$B$20000,$A14),IF($B14="Google Ads",SUMIFS('Google data'!$I$3:$I$20000,'Google data'!$A$3:$A$20000,"&gt;="&amp;M$3,'Google data'!$A$3:$A$20000,"&lt;="&amp;M$4,'Google data'!$B$3:$B$20000,$A14),IF($B14="ChatGPT Ads",SUMIFS('ChatGPT data'!$I$3:$I$20000,'ChatGPT data'!$A$3:$A$20000,"&gt;="&amp;M$3,'ChatGPT data'!$A$3:$A$20000,"&lt;="&amp;M$4,'ChatGPT data'!$B$3:$B$20000,$A14),IF($B14="LinkedIn Ads",SUMIFS('LinkedIn data'!$I$3:$I$20000,'LinkedIn data'!$A$3:$A$20000,"&gt;="&amp;M$3,'LinkedIn data'!$A$3:$A$20000,"&lt;="&amp;M$4,'LinkedIn data'!$B$3:$B$20000,$A14),0)))))</f>
        <v>1557.31</v>
      </c>
      <c r="N14" s="14" t="n">
        <f aca="false">IF($A14="","",IF($B14="Meta",SUMIFS('Meta data'!$I$3:$I$20000,'Meta data'!$A$3:$A$20000,"&gt;="&amp;N$3,'Meta data'!$A$3:$A$20000,"&lt;="&amp;N$4,'Meta data'!$B$3:$B$20000,$A14),IF($B14="Google Ads",SUMIFS('Google data'!$I$3:$I$20000,'Google data'!$A$3:$A$20000,"&gt;="&amp;N$3,'Google data'!$A$3:$A$20000,"&lt;="&amp;N$4,'Google data'!$B$3:$B$20000,$A14),IF($B14="ChatGPT Ads",SUMIFS('ChatGPT data'!$I$3:$I$20000,'ChatGPT data'!$A$3:$A$20000,"&gt;="&amp;N$3,'ChatGPT data'!$A$3:$A$20000,"&lt;="&amp;N$4,'ChatGPT data'!$B$3:$B$20000,$A14),IF($B14="LinkedIn Ads",SUMIFS('LinkedIn data'!$I$3:$I$20000,'LinkedIn data'!$A$3:$A$20000,"&gt;="&amp;N$3,'LinkedIn data'!$A$3:$A$20000,"&lt;="&amp;N$4,'LinkedIn data'!$B$3:$B$20000,$A14),0)))))</f>
        <v>1178.52</v>
      </c>
      <c r="O14" s="14" t="n">
        <f aca="false">IF($A14="","",IF($B14="Meta",SUMIFS('Meta data'!$I$3:$I$20000,'Meta data'!$A$3:$A$20000,"&gt;="&amp;O$3,'Meta data'!$A$3:$A$20000,"&lt;="&amp;O$4,'Meta data'!$B$3:$B$20000,$A14),IF($B14="Google Ads",SUMIFS('Google data'!$I$3:$I$20000,'Google data'!$A$3:$A$20000,"&gt;="&amp;O$3,'Google data'!$A$3:$A$20000,"&lt;="&amp;O$4,'Google data'!$B$3:$B$20000,$A14),IF($B14="ChatGPT Ads",SUMIFS('ChatGPT data'!$I$3:$I$20000,'ChatGPT data'!$A$3:$A$20000,"&gt;="&amp;O$3,'ChatGPT data'!$A$3:$A$20000,"&lt;="&amp;O$4,'ChatGPT data'!$B$3:$B$20000,$A14),IF($B14="LinkedIn Ads",SUMIFS('LinkedIn data'!$I$3:$I$20000,'LinkedIn data'!$A$3:$A$20000,"&gt;="&amp;O$3,'LinkedIn data'!$A$3:$A$20000,"&lt;="&amp;O$4,'LinkedIn data'!$B$3:$B$20000,$A14),0)))))</f>
        <v>0</v>
      </c>
      <c r="P14" s="14" t="n">
        <f aca="false">IF($A14="","",IF($B14="Meta",SUMIFS('Meta data'!$I$3:$I$20000,'Meta data'!$A$3:$A$20000,"&gt;="&amp;P$3,'Meta data'!$A$3:$A$20000,"&lt;="&amp;P$4,'Meta data'!$B$3:$B$20000,$A14),IF($B14="Google Ads",SUMIFS('Google data'!$I$3:$I$20000,'Google data'!$A$3:$A$20000,"&gt;="&amp;P$3,'Google data'!$A$3:$A$20000,"&lt;="&amp;P$4,'Google data'!$B$3:$B$20000,$A14),IF($B14="ChatGPT Ads",SUMIFS('ChatGPT data'!$I$3:$I$20000,'ChatGPT data'!$A$3:$A$20000,"&gt;="&amp;P$3,'ChatGPT data'!$A$3:$A$20000,"&lt;="&amp;P$4,'ChatGPT data'!$B$3:$B$20000,$A14),IF($B14="LinkedIn Ads",SUMIFS('LinkedIn data'!$I$3:$I$20000,'LinkedIn data'!$A$3:$A$20000,"&gt;="&amp;P$3,'LinkedIn data'!$A$3:$A$20000,"&lt;="&amp;P$4,'LinkedIn data'!$B$3:$B$20000,$A14),0)))))</f>
        <v>0</v>
      </c>
      <c r="Q14" s="14" t="n">
        <f aca="false">IF($A14="","",IF($B14="Meta",SUMIFS('Meta data'!$I$3:$I$20000,'Meta data'!$A$3:$A$20000,"&gt;="&amp;Q$3,'Meta data'!$A$3:$A$20000,"&lt;="&amp;Q$4,'Meta data'!$B$3:$B$20000,$A14),IF($B14="Google Ads",SUMIFS('Google data'!$I$3:$I$20000,'Google data'!$A$3:$A$20000,"&gt;="&amp;Q$3,'Google data'!$A$3:$A$20000,"&lt;="&amp;Q$4,'Google data'!$B$3:$B$20000,$A14),IF($B14="ChatGPT Ads",SUMIFS('ChatGPT data'!$I$3:$I$20000,'ChatGPT data'!$A$3:$A$20000,"&gt;="&amp;Q$3,'ChatGPT data'!$A$3:$A$20000,"&lt;="&amp;Q$4,'ChatGPT data'!$B$3:$B$20000,$A14),IF($B14="LinkedIn Ads",SUMIFS('LinkedIn data'!$I$3:$I$20000,'LinkedIn data'!$A$3:$A$20000,"&gt;="&amp;Q$3,'LinkedIn data'!$A$3:$A$20000,"&lt;="&amp;Q$4,'LinkedIn data'!$B$3:$B$20000,$A14),0)))))</f>
        <v>0</v>
      </c>
      <c r="R14" s="15" t="n">
        <f aca="false">IF($A14="","",SUM(F14:Q14))</f>
        <v>5170.48</v>
      </c>
      <c r="S14" s="37" t="n">
        <f aca="false">IF($A14="","",IF($B14="Meta",SUMIFS('Meta data'!$E$3:$E$20000,'Meta data'!$B$3:$B$20000,$A14),IF($B14="Google Ads",SUMIFS('Google data'!$E$3:$E$20000,'Google data'!$B$3:$B$20000,$A14),IF($B14="ChatGPT Ads",SUMIFS('ChatGPT data'!$E$3:$E$20000,'ChatGPT data'!$B$3:$B$20000,$A14),IF($B14="LinkedIn Ads",SUMIFS('LinkedIn data'!$E$3:$E$20000,'LinkedIn data'!$B$3:$B$20000,$A14),0)))))</f>
        <v>1686</v>
      </c>
      <c r="T14" s="37" t="n">
        <f aca="false">IF($A14="","",IF($B14="Meta",SUMIFS('Meta data'!$F$3:$F$20000,'Meta data'!$B$3:$B$20000,$A14),IF($B14="Google Ads",SUMIFS('Google data'!$F$3:$F$20000,'Google data'!$B$3:$B$20000,$A14),IF($B14="ChatGPT Ads",SUMIFS('ChatGPT data'!$F$3:$F$20000,'ChatGPT data'!$B$3:$B$20000,$A14),IF($B14="LinkedIn Ads",SUMIFS('LinkedIn data'!$F$3:$F$20000,'LinkedIn data'!$B$3:$B$20000,$A14),0)))))</f>
        <v>231</v>
      </c>
      <c r="U14" s="38" t="n">
        <f aca="false">IF(OR($A14="",T14=0),"",R14/T14)</f>
        <v>22.3830303030303</v>
      </c>
    </row>
    <row r="15" customFormat="false" ht="15" hidden="false" customHeight="false" outlineLevel="0" collapsed="false">
      <c r="A15" s="58" t="s">
        <v>174</v>
      </c>
      <c r="B15" s="58" t="s">
        <v>19</v>
      </c>
      <c r="C15" s="58" t="s">
        <v>132</v>
      </c>
      <c r="D15" s="58" t="s">
        <v>124</v>
      </c>
      <c r="E15" s="58" t="s">
        <v>149</v>
      </c>
      <c r="F15" s="14" t="n">
        <f aca="false">IF($A15="","",IF($B15="Meta",SUMIFS('Meta data'!$I$3:$I$20000,'Meta data'!$A$3:$A$20000,"&gt;="&amp;F$3,'Meta data'!$A$3:$A$20000,"&lt;="&amp;F$4,'Meta data'!$B$3:$B$20000,$A15),IF($B15="Google Ads",SUMIFS('Google data'!$I$3:$I$20000,'Google data'!$A$3:$A$20000,"&gt;="&amp;F$3,'Google data'!$A$3:$A$20000,"&lt;="&amp;F$4,'Google data'!$B$3:$B$20000,$A15),IF($B15="ChatGPT Ads",SUMIFS('ChatGPT data'!$I$3:$I$20000,'ChatGPT data'!$A$3:$A$20000,"&gt;="&amp;F$3,'ChatGPT data'!$A$3:$A$20000,"&lt;="&amp;F$4,'ChatGPT data'!$B$3:$B$20000,$A15),IF($B15="LinkedIn Ads",SUMIFS('LinkedIn data'!$I$3:$I$20000,'LinkedIn data'!$A$3:$A$20000,"&gt;="&amp;F$3,'LinkedIn data'!$A$3:$A$20000,"&lt;="&amp;F$4,'LinkedIn data'!$B$3:$B$20000,$A15),0)))))</f>
        <v>0</v>
      </c>
      <c r="G15" s="14" t="n">
        <f aca="false">IF($A15="","",IF($B15="Meta",SUMIFS('Meta data'!$I$3:$I$20000,'Meta data'!$A$3:$A$20000,"&gt;="&amp;G$3,'Meta data'!$A$3:$A$20000,"&lt;="&amp;G$4,'Meta data'!$B$3:$B$20000,$A15),IF($B15="Google Ads",SUMIFS('Google data'!$I$3:$I$20000,'Google data'!$A$3:$A$20000,"&gt;="&amp;G$3,'Google data'!$A$3:$A$20000,"&lt;="&amp;G$4,'Google data'!$B$3:$B$20000,$A15),IF($B15="ChatGPT Ads",SUMIFS('ChatGPT data'!$I$3:$I$20000,'ChatGPT data'!$A$3:$A$20000,"&gt;="&amp;G$3,'ChatGPT data'!$A$3:$A$20000,"&lt;="&amp;G$4,'ChatGPT data'!$B$3:$B$20000,$A15),IF($B15="LinkedIn Ads",SUMIFS('LinkedIn data'!$I$3:$I$20000,'LinkedIn data'!$A$3:$A$20000,"&gt;="&amp;G$3,'LinkedIn data'!$A$3:$A$20000,"&lt;="&amp;G$4,'LinkedIn data'!$B$3:$B$20000,$A15),0)))))</f>
        <v>0</v>
      </c>
      <c r="H15" s="14" t="n">
        <f aca="false">IF($A15="","",IF($B15="Meta",SUMIFS('Meta data'!$I$3:$I$20000,'Meta data'!$A$3:$A$20000,"&gt;="&amp;H$3,'Meta data'!$A$3:$A$20000,"&lt;="&amp;H$4,'Meta data'!$B$3:$B$20000,$A15),IF($B15="Google Ads",SUMIFS('Google data'!$I$3:$I$20000,'Google data'!$A$3:$A$20000,"&gt;="&amp;H$3,'Google data'!$A$3:$A$20000,"&lt;="&amp;H$4,'Google data'!$B$3:$B$20000,$A15),IF($B15="ChatGPT Ads",SUMIFS('ChatGPT data'!$I$3:$I$20000,'ChatGPT data'!$A$3:$A$20000,"&gt;="&amp;H$3,'ChatGPT data'!$A$3:$A$20000,"&lt;="&amp;H$4,'ChatGPT data'!$B$3:$B$20000,$A15),IF($B15="LinkedIn Ads",SUMIFS('LinkedIn data'!$I$3:$I$20000,'LinkedIn data'!$A$3:$A$20000,"&gt;="&amp;H$3,'LinkedIn data'!$A$3:$A$20000,"&lt;="&amp;H$4,'LinkedIn data'!$B$3:$B$20000,$A15),0)))))</f>
        <v>0</v>
      </c>
      <c r="I15" s="14" t="n">
        <f aca="false">IF($A15="","",IF($B15="Meta",SUMIFS('Meta data'!$I$3:$I$20000,'Meta data'!$A$3:$A$20000,"&gt;="&amp;I$3,'Meta data'!$A$3:$A$20000,"&lt;="&amp;I$4,'Meta data'!$B$3:$B$20000,$A15),IF($B15="Google Ads",SUMIFS('Google data'!$I$3:$I$20000,'Google data'!$A$3:$A$20000,"&gt;="&amp;I$3,'Google data'!$A$3:$A$20000,"&lt;="&amp;I$4,'Google data'!$B$3:$B$20000,$A15),IF($B15="ChatGPT Ads",SUMIFS('ChatGPT data'!$I$3:$I$20000,'ChatGPT data'!$A$3:$A$20000,"&gt;="&amp;I$3,'ChatGPT data'!$A$3:$A$20000,"&lt;="&amp;I$4,'ChatGPT data'!$B$3:$B$20000,$A15),IF($B15="LinkedIn Ads",SUMIFS('LinkedIn data'!$I$3:$I$20000,'LinkedIn data'!$A$3:$A$20000,"&gt;="&amp;I$3,'LinkedIn data'!$A$3:$A$20000,"&lt;="&amp;I$4,'LinkedIn data'!$B$3:$B$20000,$A15),0)))))</f>
        <v>0</v>
      </c>
      <c r="J15" s="14" t="n">
        <f aca="false">IF($A15="","",IF($B15="Meta",SUMIFS('Meta data'!$I$3:$I$20000,'Meta data'!$A$3:$A$20000,"&gt;="&amp;J$3,'Meta data'!$A$3:$A$20000,"&lt;="&amp;J$4,'Meta data'!$B$3:$B$20000,$A15),IF($B15="Google Ads",SUMIFS('Google data'!$I$3:$I$20000,'Google data'!$A$3:$A$20000,"&gt;="&amp;J$3,'Google data'!$A$3:$A$20000,"&lt;="&amp;J$4,'Google data'!$B$3:$B$20000,$A15),IF($B15="ChatGPT Ads",SUMIFS('ChatGPT data'!$I$3:$I$20000,'ChatGPT data'!$A$3:$A$20000,"&gt;="&amp;J$3,'ChatGPT data'!$A$3:$A$20000,"&lt;="&amp;J$4,'ChatGPT data'!$B$3:$B$20000,$A15),IF($B15="LinkedIn Ads",SUMIFS('LinkedIn data'!$I$3:$I$20000,'LinkedIn data'!$A$3:$A$20000,"&gt;="&amp;J$3,'LinkedIn data'!$A$3:$A$20000,"&lt;="&amp;J$4,'LinkedIn data'!$B$3:$B$20000,$A15),0)))))</f>
        <v>0</v>
      </c>
      <c r="K15" s="14" t="n">
        <f aca="false">IF($A15="","",IF($B15="Meta",SUMIFS('Meta data'!$I$3:$I$20000,'Meta data'!$A$3:$A$20000,"&gt;="&amp;K$3,'Meta data'!$A$3:$A$20000,"&lt;="&amp;K$4,'Meta data'!$B$3:$B$20000,$A15),IF($B15="Google Ads",SUMIFS('Google data'!$I$3:$I$20000,'Google data'!$A$3:$A$20000,"&gt;="&amp;K$3,'Google data'!$A$3:$A$20000,"&lt;="&amp;K$4,'Google data'!$B$3:$B$20000,$A15),IF($B15="ChatGPT Ads",SUMIFS('ChatGPT data'!$I$3:$I$20000,'ChatGPT data'!$A$3:$A$20000,"&gt;="&amp;K$3,'ChatGPT data'!$A$3:$A$20000,"&lt;="&amp;K$4,'ChatGPT data'!$B$3:$B$20000,$A15),IF($B15="LinkedIn Ads",SUMIFS('LinkedIn data'!$I$3:$I$20000,'LinkedIn data'!$A$3:$A$20000,"&gt;="&amp;K$3,'LinkedIn data'!$A$3:$A$20000,"&lt;="&amp;K$4,'LinkedIn data'!$B$3:$B$20000,$A15),0)))))</f>
        <v>952.34</v>
      </c>
      <c r="L15" s="14" t="n">
        <f aca="false">IF($A15="","",IF($B15="Meta",SUMIFS('Meta data'!$I$3:$I$20000,'Meta data'!$A$3:$A$20000,"&gt;="&amp;L$3,'Meta data'!$A$3:$A$20000,"&lt;="&amp;L$4,'Meta data'!$B$3:$B$20000,$A15),IF($B15="Google Ads",SUMIFS('Google data'!$I$3:$I$20000,'Google data'!$A$3:$A$20000,"&gt;="&amp;L$3,'Google data'!$A$3:$A$20000,"&lt;="&amp;L$4,'Google data'!$B$3:$B$20000,$A15),IF($B15="ChatGPT Ads",SUMIFS('ChatGPT data'!$I$3:$I$20000,'ChatGPT data'!$A$3:$A$20000,"&gt;="&amp;L$3,'ChatGPT data'!$A$3:$A$20000,"&lt;="&amp;L$4,'ChatGPT data'!$B$3:$B$20000,$A15),IF($B15="LinkedIn Ads",SUMIFS('LinkedIn data'!$I$3:$I$20000,'LinkedIn data'!$A$3:$A$20000,"&gt;="&amp;L$3,'LinkedIn data'!$A$3:$A$20000,"&lt;="&amp;L$4,'LinkedIn data'!$B$3:$B$20000,$A15),0)))))</f>
        <v>1685.84</v>
      </c>
      <c r="M15" s="14" t="n">
        <f aca="false">IF($A15="","",IF($B15="Meta",SUMIFS('Meta data'!$I$3:$I$20000,'Meta data'!$A$3:$A$20000,"&gt;="&amp;M$3,'Meta data'!$A$3:$A$20000,"&lt;="&amp;M$4,'Meta data'!$B$3:$B$20000,$A15),IF($B15="Google Ads",SUMIFS('Google data'!$I$3:$I$20000,'Google data'!$A$3:$A$20000,"&gt;="&amp;M$3,'Google data'!$A$3:$A$20000,"&lt;="&amp;M$4,'Google data'!$B$3:$B$20000,$A15),IF($B15="ChatGPT Ads",SUMIFS('ChatGPT data'!$I$3:$I$20000,'ChatGPT data'!$A$3:$A$20000,"&gt;="&amp;M$3,'ChatGPT data'!$A$3:$A$20000,"&lt;="&amp;M$4,'ChatGPT data'!$B$3:$B$20000,$A15),IF($B15="LinkedIn Ads",SUMIFS('LinkedIn data'!$I$3:$I$20000,'LinkedIn data'!$A$3:$A$20000,"&gt;="&amp;M$3,'LinkedIn data'!$A$3:$A$20000,"&lt;="&amp;M$4,'LinkedIn data'!$B$3:$B$20000,$A15),0)))))</f>
        <v>915.04</v>
      </c>
      <c r="N15" s="14" t="n">
        <f aca="false">IF($A15="","",IF($B15="Meta",SUMIFS('Meta data'!$I$3:$I$20000,'Meta data'!$A$3:$A$20000,"&gt;="&amp;N$3,'Meta data'!$A$3:$A$20000,"&lt;="&amp;N$4,'Meta data'!$B$3:$B$20000,$A15),IF($B15="Google Ads",SUMIFS('Google data'!$I$3:$I$20000,'Google data'!$A$3:$A$20000,"&gt;="&amp;N$3,'Google data'!$A$3:$A$20000,"&lt;="&amp;N$4,'Google data'!$B$3:$B$20000,$A15),IF($B15="ChatGPT Ads",SUMIFS('ChatGPT data'!$I$3:$I$20000,'ChatGPT data'!$A$3:$A$20000,"&gt;="&amp;N$3,'ChatGPT data'!$A$3:$A$20000,"&lt;="&amp;N$4,'ChatGPT data'!$B$3:$B$20000,$A15),IF($B15="LinkedIn Ads",SUMIFS('LinkedIn data'!$I$3:$I$20000,'LinkedIn data'!$A$3:$A$20000,"&gt;="&amp;N$3,'LinkedIn data'!$A$3:$A$20000,"&lt;="&amp;N$4,'LinkedIn data'!$B$3:$B$20000,$A15),0)))))</f>
        <v>468.69</v>
      </c>
      <c r="O15" s="14" t="n">
        <f aca="false">IF($A15="","",IF($B15="Meta",SUMIFS('Meta data'!$I$3:$I$20000,'Meta data'!$A$3:$A$20000,"&gt;="&amp;O$3,'Meta data'!$A$3:$A$20000,"&lt;="&amp;O$4,'Meta data'!$B$3:$B$20000,$A15),IF($B15="Google Ads",SUMIFS('Google data'!$I$3:$I$20000,'Google data'!$A$3:$A$20000,"&gt;="&amp;O$3,'Google data'!$A$3:$A$20000,"&lt;="&amp;O$4,'Google data'!$B$3:$B$20000,$A15),IF($B15="ChatGPT Ads",SUMIFS('ChatGPT data'!$I$3:$I$20000,'ChatGPT data'!$A$3:$A$20000,"&gt;="&amp;O$3,'ChatGPT data'!$A$3:$A$20000,"&lt;="&amp;O$4,'ChatGPT data'!$B$3:$B$20000,$A15),IF($B15="LinkedIn Ads",SUMIFS('LinkedIn data'!$I$3:$I$20000,'LinkedIn data'!$A$3:$A$20000,"&gt;="&amp;O$3,'LinkedIn data'!$A$3:$A$20000,"&lt;="&amp;O$4,'LinkedIn data'!$B$3:$B$20000,$A15),0)))))</f>
        <v>0</v>
      </c>
      <c r="P15" s="14" t="n">
        <f aca="false">IF($A15="","",IF($B15="Meta",SUMIFS('Meta data'!$I$3:$I$20000,'Meta data'!$A$3:$A$20000,"&gt;="&amp;P$3,'Meta data'!$A$3:$A$20000,"&lt;="&amp;P$4,'Meta data'!$B$3:$B$20000,$A15),IF($B15="Google Ads",SUMIFS('Google data'!$I$3:$I$20000,'Google data'!$A$3:$A$20000,"&gt;="&amp;P$3,'Google data'!$A$3:$A$20000,"&lt;="&amp;P$4,'Google data'!$B$3:$B$20000,$A15),IF($B15="ChatGPT Ads",SUMIFS('ChatGPT data'!$I$3:$I$20000,'ChatGPT data'!$A$3:$A$20000,"&gt;="&amp;P$3,'ChatGPT data'!$A$3:$A$20000,"&lt;="&amp;P$4,'ChatGPT data'!$B$3:$B$20000,$A15),IF($B15="LinkedIn Ads",SUMIFS('LinkedIn data'!$I$3:$I$20000,'LinkedIn data'!$A$3:$A$20000,"&gt;="&amp;P$3,'LinkedIn data'!$A$3:$A$20000,"&lt;="&amp;P$4,'LinkedIn data'!$B$3:$B$20000,$A15),0)))))</f>
        <v>0</v>
      </c>
      <c r="Q15" s="14" t="n">
        <f aca="false">IF($A15="","",IF($B15="Meta",SUMIFS('Meta data'!$I$3:$I$20000,'Meta data'!$A$3:$A$20000,"&gt;="&amp;Q$3,'Meta data'!$A$3:$A$20000,"&lt;="&amp;Q$4,'Meta data'!$B$3:$B$20000,$A15),IF($B15="Google Ads",SUMIFS('Google data'!$I$3:$I$20000,'Google data'!$A$3:$A$20000,"&gt;="&amp;Q$3,'Google data'!$A$3:$A$20000,"&lt;="&amp;Q$4,'Google data'!$B$3:$B$20000,$A15),IF($B15="ChatGPT Ads",SUMIFS('ChatGPT data'!$I$3:$I$20000,'ChatGPT data'!$A$3:$A$20000,"&gt;="&amp;Q$3,'ChatGPT data'!$A$3:$A$20000,"&lt;="&amp;Q$4,'ChatGPT data'!$B$3:$B$20000,$A15),IF($B15="LinkedIn Ads",SUMIFS('LinkedIn data'!$I$3:$I$20000,'LinkedIn data'!$A$3:$A$20000,"&gt;="&amp;Q$3,'LinkedIn data'!$A$3:$A$20000,"&lt;="&amp;Q$4,'LinkedIn data'!$B$3:$B$20000,$A15),0)))))</f>
        <v>0</v>
      </c>
      <c r="R15" s="15" t="n">
        <f aca="false">IF($A15="","",SUM(F15:Q15))</f>
        <v>4021.91</v>
      </c>
      <c r="S15" s="37" t="n">
        <f aca="false">IF($A15="","",IF($B15="Meta",SUMIFS('Meta data'!$E$3:$E$20000,'Meta data'!$B$3:$B$20000,$A15),IF($B15="Google Ads",SUMIFS('Google data'!$E$3:$E$20000,'Google data'!$B$3:$B$20000,$A15),IF($B15="ChatGPT Ads",SUMIFS('ChatGPT data'!$E$3:$E$20000,'ChatGPT data'!$B$3:$B$20000,$A15),IF($B15="LinkedIn Ads",SUMIFS('LinkedIn data'!$E$3:$E$20000,'LinkedIn data'!$B$3:$B$20000,$A15),0)))))</f>
        <v>1269</v>
      </c>
      <c r="T15" s="37" t="n">
        <f aca="false">IF($A15="","",IF($B15="Meta",SUMIFS('Meta data'!$F$3:$F$20000,'Meta data'!$B$3:$B$20000,$A15),IF($B15="Google Ads",SUMIFS('Google data'!$F$3:$F$20000,'Google data'!$B$3:$B$20000,$A15),IF($B15="ChatGPT Ads",SUMIFS('ChatGPT data'!$F$3:$F$20000,'ChatGPT data'!$B$3:$B$20000,$A15),IF($B15="LinkedIn Ads",SUMIFS('LinkedIn data'!$F$3:$F$20000,'LinkedIn data'!$B$3:$B$20000,$A15),0)))))</f>
        <v>134</v>
      </c>
      <c r="U15" s="38" t="n">
        <f aca="false">IF(OR($A15="",T15=0),"",R15/T15)</f>
        <v>30.0142537313433</v>
      </c>
    </row>
    <row r="16" customFormat="false" ht="15" hidden="false" customHeight="false" outlineLevel="0" collapsed="false">
      <c r="A16" s="58" t="s">
        <v>175</v>
      </c>
      <c r="B16" s="58" t="s">
        <v>19</v>
      </c>
      <c r="C16" s="58" t="s">
        <v>137</v>
      </c>
      <c r="D16" s="58" t="s">
        <v>123</v>
      </c>
      <c r="E16" s="58" t="s">
        <v>154</v>
      </c>
      <c r="F16" s="14" t="n">
        <f aca="false">IF($A16="","",IF($B16="Meta",SUMIFS('Meta data'!$I$3:$I$20000,'Meta data'!$A$3:$A$20000,"&gt;="&amp;F$3,'Meta data'!$A$3:$A$20000,"&lt;="&amp;F$4,'Meta data'!$B$3:$B$20000,$A16),IF($B16="Google Ads",SUMIFS('Google data'!$I$3:$I$20000,'Google data'!$A$3:$A$20000,"&gt;="&amp;F$3,'Google data'!$A$3:$A$20000,"&lt;="&amp;F$4,'Google data'!$B$3:$B$20000,$A16),IF($B16="ChatGPT Ads",SUMIFS('ChatGPT data'!$I$3:$I$20000,'ChatGPT data'!$A$3:$A$20000,"&gt;="&amp;F$3,'ChatGPT data'!$A$3:$A$20000,"&lt;="&amp;F$4,'ChatGPT data'!$B$3:$B$20000,$A16),IF($B16="LinkedIn Ads",SUMIFS('LinkedIn data'!$I$3:$I$20000,'LinkedIn data'!$A$3:$A$20000,"&gt;="&amp;F$3,'LinkedIn data'!$A$3:$A$20000,"&lt;="&amp;F$4,'LinkedIn data'!$B$3:$B$20000,$A16),0)))))</f>
        <v>0</v>
      </c>
      <c r="G16" s="14" t="n">
        <f aca="false">IF($A16="","",IF($B16="Meta",SUMIFS('Meta data'!$I$3:$I$20000,'Meta data'!$A$3:$A$20000,"&gt;="&amp;G$3,'Meta data'!$A$3:$A$20000,"&lt;="&amp;G$4,'Meta data'!$B$3:$B$20000,$A16),IF($B16="Google Ads",SUMIFS('Google data'!$I$3:$I$20000,'Google data'!$A$3:$A$20000,"&gt;="&amp;G$3,'Google data'!$A$3:$A$20000,"&lt;="&amp;G$4,'Google data'!$B$3:$B$20000,$A16),IF($B16="ChatGPT Ads",SUMIFS('ChatGPT data'!$I$3:$I$20000,'ChatGPT data'!$A$3:$A$20000,"&gt;="&amp;G$3,'ChatGPT data'!$A$3:$A$20000,"&lt;="&amp;G$4,'ChatGPT data'!$B$3:$B$20000,$A16),IF($B16="LinkedIn Ads",SUMIFS('LinkedIn data'!$I$3:$I$20000,'LinkedIn data'!$A$3:$A$20000,"&gt;="&amp;G$3,'LinkedIn data'!$A$3:$A$20000,"&lt;="&amp;G$4,'LinkedIn data'!$B$3:$B$20000,$A16),0)))))</f>
        <v>0</v>
      </c>
      <c r="H16" s="14" t="n">
        <f aca="false">IF($A16="","",IF($B16="Meta",SUMIFS('Meta data'!$I$3:$I$20000,'Meta data'!$A$3:$A$20000,"&gt;="&amp;H$3,'Meta data'!$A$3:$A$20000,"&lt;="&amp;H$4,'Meta data'!$B$3:$B$20000,$A16),IF($B16="Google Ads",SUMIFS('Google data'!$I$3:$I$20000,'Google data'!$A$3:$A$20000,"&gt;="&amp;H$3,'Google data'!$A$3:$A$20000,"&lt;="&amp;H$4,'Google data'!$B$3:$B$20000,$A16),IF($B16="ChatGPT Ads",SUMIFS('ChatGPT data'!$I$3:$I$20000,'ChatGPT data'!$A$3:$A$20000,"&gt;="&amp;H$3,'ChatGPT data'!$A$3:$A$20000,"&lt;="&amp;H$4,'ChatGPT data'!$B$3:$B$20000,$A16),IF($B16="LinkedIn Ads",SUMIFS('LinkedIn data'!$I$3:$I$20000,'LinkedIn data'!$A$3:$A$20000,"&gt;="&amp;H$3,'LinkedIn data'!$A$3:$A$20000,"&lt;="&amp;H$4,'LinkedIn data'!$B$3:$B$20000,$A16),0)))))</f>
        <v>0</v>
      </c>
      <c r="I16" s="14" t="n">
        <f aca="false">IF($A16="","",IF($B16="Meta",SUMIFS('Meta data'!$I$3:$I$20000,'Meta data'!$A$3:$A$20000,"&gt;="&amp;I$3,'Meta data'!$A$3:$A$20000,"&lt;="&amp;I$4,'Meta data'!$B$3:$B$20000,$A16),IF($B16="Google Ads",SUMIFS('Google data'!$I$3:$I$20000,'Google data'!$A$3:$A$20000,"&gt;="&amp;I$3,'Google data'!$A$3:$A$20000,"&lt;="&amp;I$4,'Google data'!$B$3:$B$20000,$A16),IF($B16="ChatGPT Ads",SUMIFS('ChatGPT data'!$I$3:$I$20000,'ChatGPT data'!$A$3:$A$20000,"&gt;="&amp;I$3,'ChatGPT data'!$A$3:$A$20000,"&lt;="&amp;I$4,'ChatGPT data'!$B$3:$B$20000,$A16),IF($B16="LinkedIn Ads",SUMIFS('LinkedIn data'!$I$3:$I$20000,'LinkedIn data'!$A$3:$A$20000,"&gt;="&amp;I$3,'LinkedIn data'!$A$3:$A$20000,"&lt;="&amp;I$4,'LinkedIn data'!$B$3:$B$20000,$A16),0)))))</f>
        <v>0</v>
      </c>
      <c r="J16" s="14" t="n">
        <f aca="false">IF($A16="","",IF($B16="Meta",SUMIFS('Meta data'!$I$3:$I$20000,'Meta data'!$A$3:$A$20000,"&gt;="&amp;J$3,'Meta data'!$A$3:$A$20000,"&lt;="&amp;J$4,'Meta data'!$B$3:$B$20000,$A16),IF($B16="Google Ads",SUMIFS('Google data'!$I$3:$I$20000,'Google data'!$A$3:$A$20000,"&gt;="&amp;J$3,'Google data'!$A$3:$A$20000,"&lt;="&amp;J$4,'Google data'!$B$3:$B$20000,$A16),IF($B16="ChatGPT Ads",SUMIFS('ChatGPT data'!$I$3:$I$20000,'ChatGPT data'!$A$3:$A$20000,"&gt;="&amp;J$3,'ChatGPT data'!$A$3:$A$20000,"&lt;="&amp;J$4,'ChatGPT data'!$B$3:$B$20000,$A16),IF($B16="LinkedIn Ads",SUMIFS('LinkedIn data'!$I$3:$I$20000,'LinkedIn data'!$A$3:$A$20000,"&gt;="&amp;J$3,'LinkedIn data'!$A$3:$A$20000,"&lt;="&amp;J$4,'LinkedIn data'!$B$3:$B$20000,$A16),0)))))</f>
        <v>0</v>
      </c>
      <c r="K16" s="14" t="n">
        <f aca="false">IF($A16="","",IF($B16="Meta",SUMIFS('Meta data'!$I$3:$I$20000,'Meta data'!$A$3:$A$20000,"&gt;="&amp;K$3,'Meta data'!$A$3:$A$20000,"&lt;="&amp;K$4,'Meta data'!$B$3:$B$20000,$A16),IF($B16="Google Ads",SUMIFS('Google data'!$I$3:$I$20000,'Google data'!$A$3:$A$20000,"&gt;="&amp;K$3,'Google data'!$A$3:$A$20000,"&lt;="&amp;K$4,'Google data'!$B$3:$B$20000,$A16),IF($B16="ChatGPT Ads",SUMIFS('ChatGPT data'!$I$3:$I$20000,'ChatGPT data'!$A$3:$A$20000,"&gt;="&amp;K$3,'ChatGPT data'!$A$3:$A$20000,"&lt;="&amp;K$4,'ChatGPT data'!$B$3:$B$20000,$A16),IF($B16="LinkedIn Ads",SUMIFS('LinkedIn data'!$I$3:$I$20000,'LinkedIn data'!$A$3:$A$20000,"&gt;="&amp;K$3,'LinkedIn data'!$A$3:$A$20000,"&lt;="&amp;K$4,'LinkedIn data'!$B$3:$B$20000,$A16),0)))))</f>
        <v>0</v>
      </c>
      <c r="L16" s="14" t="n">
        <f aca="false">IF($A16="","",IF($B16="Meta",SUMIFS('Meta data'!$I$3:$I$20000,'Meta data'!$A$3:$A$20000,"&gt;="&amp;L$3,'Meta data'!$A$3:$A$20000,"&lt;="&amp;L$4,'Meta data'!$B$3:$B$20000,$A16),IF($B16="Google Ads",SUMIFS('Google data'!$I$3:$I$20000,'Google data'!$A$3:$A$20000,"&gt;="&amp;L$3,'Google data'!$A$3:$A$20000,"&lt;="&amp;L$4,'Google data'!$B$3:$B$20000,$A16),IF($B16="ChatGPT Ads",SUMIFS('ChatGPT data'!$I$3:$I$20000,'ChatGPT data'!$A$3:$A$20000,"&gt;="&amp;L$3,'ChatGPT data'!$A$3:$A$20000,"&lt;="&amp;L$4,'ChatGPT data'!$B$3:$B$20000,$A16),IF($B16="LinkedIn Ads",SUMIFS('LinkedIn data'!$I$3:$I$20000,'LinkedIn data'!$A$3:$A$20000,"&gt;="&amp;L$3,'LinkedIn data'!$A$3:$A$20000,"&lt;="&amp;L$4,'LinkedIn data'!$B$3:$B$20000,$A16),0)))))</f>
        <v>0</v>
      </c>
      <c r="M16" s="14" t="n">
        <f aca="false">IF($A16="","",IF($B16="Meta",SUMIFS('Meta data'!$I$3:$I$20000,'Meta data'!$A$3:$A$20000,"&gt;="&amp;M$3,'Meta data'!$A$3:$A$20000,"&lt;="&amp;M$4,'Meta data'!$B$3:$B$20000,$A16),IF($B16="Google Ads",SUMIFS('Google data'!$I$3:$I$20000,'Google data'!$A$3:$A$20000,"&gt;="&amp;M$3,'Google data'!$A$3:$A$20000,"&lt;="&amp;M$4,'Google data'!$B$3:$B$20000,$A16),IF($B16="ChatGPT Ads",SUMIFS('ChatGPT data'!$I$3:$I$20000,'ChatGPT data'!$A$3:$A$20000,"&gt;="&amp;M$3,'ChatGPT data'!$A$3:$A$20000,"&lt;="&amp;M$4,'ChatGPT data'!$B$3:$B$20000,$A16),IF($B16="LinkedIn Ads",SUMIFS('LinkedIn data'!$I$3:$I$20000,'LinkedIn data'!$A$3:$A$20000,"&gt;="&amp;M$3,'LinkedIn data'!$A$3:$A$20000,"&lt;="&amp;M$4,'LinkedIn data'!$B$3:$B$20000,$A16),0)))))</f>
        <v>0</v>
      </c>
      <c r="N16" s="14" t="n">
        <f aca="false">IF($A16="","",IF($B16="Meta",SUMIFS('Meta data'!$I$3:$I$20000,'Meta data'!$A$3:$A$20000,"&gt;="&amp;N$3,'Meta data'!$A$3:$A$20000,"&lt;="&amp;N$4,'Meta data'!$B$3:$B$20000,$A16),IF($B16="Google Ads",SUMIFS('Google data'!$I$3:$I$20000,'Google data'!$A$3:$A$20000,"&gt;="&amp;N$3,'Google data'!$A$3:$A$20000,"&lt;="&amp;N$4,'Google data'!$B$3:$B$20000,$A16),IF($B16="ChatGPT Ads",SUMIFS('ChatGPT data'!$I$3:$I$20000,'ChatGPT data'!$A$3:$A$20000,"&gt;="&amp;N$3,'ChatGPT data'!$A$3:$A$20000,"&lt;="&amp;N$4,'ChatGPT data'!$B$3:$B$20000,$A16),IF($B16="LinkedIn Ads",SUMIFS('LinkedIn data'!$I$3:$I$20000,'LinkedIn data'!$A$3:$A$20000,"&gt;="&amp;N$3,'LinkedIn data'!$A$3:$A$20000,"&lt;="&amp;N$4,'LinkedIn data'!$B$3:$B$20000,$A16),0)))))</f>
        <v>3692.72</v>
      </c>
      <c r="O16" s="14" t="n">
        <f aca="false">IF($A16="","",IF($B16="Meta",SUMIFS('Meta data'!$I$3:$I$20000,'Meta data'!$A$3:$A$20000,"&gt;="&amp;O$3,'Meta data'!$A$3:$A$20000,"&lt;="&amp;O$4,'Meta data'!$B$3:$B$20000,$A16),IF($B16="Google Ads",SUMIFS('Google data'!$I$3:$I$20000,'Google data'!$A$3:$A$20000,"&gt;="&amp;O$3,'Google data'!$A$3:$A$20000,"&lt;="&amp;O$4,'Google data'!$B$3:$B$20000,$A16),IF($B16="ChatGPT Ads",SUMIFS('ChatGPT data'!$I$3:$I$20000,'ChatGPT data'!$A$3:$A$20000,"&gt;="&amp;O$3,'ChatGPT data'!$A$3:$A$20000,"&lt;="&amp;O$4,'ChatGPT data'!$B$3:$B$20000,$A16),IF($B16="LinkedIn Ads",SUMIFS('LinkedIn data'!$I$3:$I$20000,'LinkedIn data'!$A$3:$A$20000,"&gt;="&amp;O$3,'LinkedIn data'!$A$3:$A$20000,"&lt;="&amp;O$4,'LinkedIn data'!$B$3:$B$20000,$A16),0)))))</f>
        <v>0</v>
      </c>
      <c r="P16" s="14" t="n">
        <f aca="false">IF($A16="","",IF($B16="Meta",SUMIFS('Meta data'!$I$3:$I$20000,'Meta data'!$A$3:$A$20000,"&gt;="&amp;P$3,'Meta data'!$A$3:$A$20000,"&lt;="&amp;P$4,'Meta data'!$B$3:$B$20000,$A16),IF($B16="Google Ads",SUMIFS('Google data'!$I$3:$I$20000,'Google data'!$A$3:$A$20000,"&gt;="&amp;P$3,'Google data'!$A$3:$A$20000,"&lt;="&amp;P$4,'Google data'!$B$3:$B$20000,$A16),IF($B16="ChatGPT Ads",SUMIFS('ChatGPT data'!$I$3:$I$20000,'ChatGPT data'!$A$3:$A$20000,"&gt;="&amp;P$3,'ChatGPT data'!$A$3:$A$20000,"&lt;="&amp;P$4,'ChatGPT data'!$B$3:$B$20000,$A16),IF($B16="LinkedIn Ads",SUMIFS('LinkedIn data'!$I$3:$I$20000,'LinkedIn data'!$A$3:$A$20000,"&gt;="&amp;P$3,'LinkedIn data'!$A$3:$A$20000,"&lt;="&amp;P$4,'LinkedIn data'!$B$3:$B$20000,$A16),0)))))</f>
        <v>0</v>
      </c>
      <c r="Q16" s="14" t="n">
        <f aca="false">IF($A16="","",IF($B16="Meta",SUMIFS('Meta data'!$I$3:$I$20000,'Meta data'!$A$3:$A$20000,"&gt;="&amp;Q$3,'Meta data'!$A$3:$A$20000,"&lt;="&amp;Q$4,'Meta data'!$B$3:$B$20000,$A16),IF($B16="Google Ads",SUMIFS('Google data'!$I$3:$I$20000,'Google data'!$A$3:$A$20000,"&gt;="&amp;Q$3,'Google data'!$A$3:$A$20000,"&lt;="&amp;Q$4,'Google data'!$B$3:$B$20000,$A16),IF($B16="ChatGPT Ads",SUMIFS('ChatGPT data'!$I$3:$I$20000,'ChatGPT data'!$A$3:$A$20000,"&gt;="&amp;Q$3,'ChatGPT data'!$A$3:$A$20000,"&lt;="&amp;Q$4,'ChatGPT data'!$B$3:$B$20000,$A16),IF($B16="LinkedIn Ads",SUMIFS('LinkedIn data'!$I$3:$I$20000,'LinkedIn data'!$A$3:$A$20000,"&gt;="&amp;Q$3,'LinkedIn data'!$A$3:$A$20000,"&lt;="&amp;Q$4,'LinkedIn data'!$B$3:$B$20000,$A16),0)))))</f>
        <v>0</v>
      </c>
      <c r="R16" s="15" t="n">
        <f aca="false">IF($A16="","",SUM(F16:Q16))</f>
        <v>3692.72</v>
      </c>
      <c r="S16" s="37" t="n">
        <f aca="false">IF($A16="","",IF($B16="Meta",SUMIFS('Meta data'!$E$3:$E$20000,'Meta data'!$B$3:$B$20000,$A16),IF($B16="Google Ads",SUMIFS('Google data'!$E$3:$E$20000,'Google data'!$B$3:$B$20000,$A16),IF($B16="ChatGPT Ads",SUMIFS('ChatGPT data'!$E$3:$E$20000,'ChatGPT data'!$B$3:$B$20000,$A16),IF($B16="LinkedIn Ads",SUMIFS('LinkedIn data'!$E$3:$E$20000,'LinkedIn data'!$B$3:$B$20000,$A16),0)))))</f>
        <v>83839</v>
      </c>
      <c r="T16" s="37" t="n">
        <f aca="false">IF($A16="","",IF($B16="Meta",SUMIFS('Meta data'!$F$3:$F$20000,'Meta data'!$B$3:$B$20000,$A16),IF($B16="Google Ads",SUMIFS('Google data'!$F$3:$F$20000,'Google data'!$B$3:$B$20000,$A16),IF($B16="ChatGPT Ads",SUMIFS('ChatGPT data'!$F$3:$F$20000,'ChatGPT data'!$B$3:$B$20000,$A16),IF($B16="LinkedIn Ads",SUMIFS('LinkedIn data'!$F$3:$F$20000,'LinkedIn data'!$B$3:$B$20000,$A16),0)))))</f>
        <v>7</v>
      </c>
      <c r="U16" s="38" t="n">
        <f aca="false">IF(OR($A16="",T16=0),"",R16/T16)</f>
        <v>527.531428571429</v>
      </c>
    </row>
    <row r="17" customFormat="false" ht="15" hidden="false" customHeight="false" outlineLevel="0" collapsed="false">
      <c r="A17" s="58" t="s">
        <v>176</v>
      </c>
      <c r="B17" s="58" t="s">
        <v>19</v>
      </c>
      <c r="C17" s="58" t="s">
        <v>130</v>
      </c>
      <c r="D17" s="58" t="s">
        <v>123</v>
      </c>
      <c r="E17" s="58" t="s">
        <v>151</v>
      </c>
      <c r="F17" s="14" t="n">
        <f aca="false">IF($A17="","",IF($B17="Meta",SUMIFS('Meta data'!$I$3:$I$20000,'Meta data'!$A$3:$A$20000,"&gt;="&amp;F$3,'Meta data'!$A$3:$A$20000,"&lt;="&amp;F$4,'Meta data'!$B$3:$B$20000,$A17),IF($B17="Google Ads",SUMIFS('Google data'!$I$3:$I$20000,'Google data'!$A$3:$A$20000,"&gt;="&amp;F$3,'Google data'!$A$3:$A$20000,"&lt;="&amp;F$4,'Google data'!$B$3:$B$20000,$A17),IF($B17="ChatGPT Ads",SUMIFS('ChatGPT data'!$I$3:$I$20000,'ChatGPT data'!$A$3:$A$20000,"&gt;="&amp;F$3,'ChatGPT data'!$A$3:$A$20000,"&lt;="&amp;F$4,'ChatGPT data'!$B$3:$B$20000,$A17),IF($B17="LinkedIn Ads",SUMIFS('LinkedIn data'!$I$3:$I$20000,'LinkedIn data'!$A$3:$A$20000,"&gt;="&amp;F$3,'LinkedIn data'!$A$3:$A$20000,"&lt;="&amp;F$4,'LinkedIn data'!$B$3:$B$20000,$A17),0)))))</f>
        <v>487.46</v>
      </c>
      <c r="G17" s="14" t="n">
        <f aca="false">IF($A17="","",IF($B17="Meta",SUMIFS('Meta data'!$I$3:$I$20000,'Meta data'!$A$3:$A$20000,"&gt;="&amp;G$3,'Meta data'!$A$3:$A$20000,"&lt;="&amp;G$4,'Meta data'!$B$3:$B$20000,$A17),IF($B17="Google Ads",SUMIFS('Google data'!$I$3:$I$20000,'Google data'!$A$3:$A$20000,"&gt;="&amp;G$3,'Google data'!$A$3:$A$20000,"&lt;="&amp;G$4,'Google data'!$B$3:$B$20000,$A17),IF($B17="ChatGPT Ads",SUMIFS('ChatGPT data'!$I$3:$I$20000,'ChatGPT data'!$A$3:$A$20000,"&gt;="&amp;G$3,'ChatGPT data'!$A$3:$A$20000,"&lt;="&amp;G$4,'ChatGPT data'!$B$3:$B$20000,$A17),IF($B17="LinkedIn Ads",SUMIFS('LinkedIn data'!$I$3:$I$20000,'LinkedIn data'!$A$3:$A$20000,"&gt;="&amp;G$3,'LinkedIn data'!$A$3:$A$20000,"&lt;="&amp;G$4,'LinkedIn data'!$B$3:$B$20000,$A17),0)))))</f>
        <v>558.29</v>
      </c>
      <c r="H17" s="14" t="n">
        <f aca="false">IF($A17="","",IF($B17="Meta",SUMIFS('Meta data'!$I$3:$I$20000,'Meta data'!$A$3:$A$20000,"&gt;="&amp;H$3,'Meta data'!$A$3:$A$20000,"&lt;="&amp;H$4,'Meta data'!$B$3:$B$20000,$A17),IF($B17="Google Ads",SUMIFS('Google data'!$I$3:$I$20000,'Google data'!$A$3:$A$20000,"&gt;="&amp;H$3,'Google data'!$A$3:$A$20000,"&lt;="&amp;H$4,'Google data'!$B$3:$B$20000,$A17),IF($B17="ChatGPT Ads",SUMIFS('ChatGPT data'!$I$3:$I$20000,'ChatGPT data'!$A$3:$A$20000,"&gt;="&amp;H$3,'ChatGPT data'!$A$3:$A$20000,"&lt;="&amp;H$4,'ChatGPT data'!$B$3:$B$20000,$A17),IF($B17="LinkedIn Ads",SUMIFS('LinkedIn data'!$I$3:$I$20000,'LinkedIn data'!$A$3:$A$20000,"&gt;="&amp;H$3,'LinkedIn data'!$A$3:$A$20000,"&lt;="&amp;H$4,'LinkedIn data'!$B$3:$B$20000,$A17),0)))))</f>
        <v>620.12</v>
      </c>
      <c r="I17" s="14" t="n">
        <f aca="false">IF($A17="","",IF($B17="Meta",SUMIFS('Meta data'!$I$3:$I$20000,'Meta data'!$A$3:$A$20000,"&gt;="&amp;I$3,'Meta data'!$A$3:$A$20000,"&lt;="&amp;I$4,'Meta data'!$B$3:$B$20000,$A17),IF($B17="Google Ads",SUMIFS('Google data'!$I$3:$I$20000,'Google data'!$A$3:$A$20000,"&gt;="&amp;I$3,'Google data'!$A$3:$A$20000,"&lt;="&amp;I$4,'Google data'!$B$3:$B$20000,$A17),IF($B17="ChatGPT Ads",SUMIFS('ChatGPT data'!$I$3:$I$20000,'ChatGPT data'!$A$3:$A$20000,"&gt;="&amp;I$3,'ChatGPT data'!$A$3:$A$20000,"&lt;="&amp;I$4,'ChatGPT data'!$B$3:$B$20000,$A17),IF($B17="LinkedIn Ads",SUMIFS('LinkedIn data'!$I$3:$I$20000,'LinkedIn data'!$A$3:$A$20000,"&gt;="&amp;I$3,'LinkedIn data'!$A$3:$A$20000,"&lt;="&amp;I$4,'LinkedIn data'!$B$3:$B$20000,$A17),0)))))</f>
        <v>603.57</v>
      </c>
      <c r="J17" s="14" t="n">
        <f aca="false">IF($A17="","",IF($B17="Meta",SUMIFS('Meta data'!$I$3:$I$20000,'Meta data'!$A$3:$A$20000,"&gt;="&amp;J$3,'Meta data'!$A$3:$A$20000,"&lt;="&amp;J$4,'Meta data'!$B$3:$B$20000,$A17),IF($B17="Google Ads",SUMIFS('Google data'!$I$3:$I$20000,'Google data'!$A$3:$A$20000,"&gt;="&amp;J$3,'Google data'!$A$3:$A$20000,"&lt;="&amp;J$4,'Google data'!$B$3:$B$20000,$A17),IF($B17="ChatGPT Ads",SUMIFS('ChatGPT data'!$I$3:$I$20000,'ChatGPT data'!$A$3:$A$20000,"&gt;="&amp;J$3,'ChatGPT data'!$A$3:$A$20000,"&lt;="&amp;J$4,'ChatGPT data'!$B$3:$B$20000,$A17),IF($B17="LinkedIn Ads",SUMIFS('LinkedIn data'!$I$3:$I$20000,'LinkedIn data'!$A$3:$A$20000,"&gt;="&amp;J$3,'LinkedIn data'!$A$3:$A$20000,"&lt;="&amp;J$4,'LinkedIn data'!$B$3:$B$20000,$A17),0)))))</f>
        <v>611.7</v>
      </c>
      <c r="K17" s="14" t="n">
        <f aca="false">IF($A17="","",IF($B17="Meta",SUMIFS('Meta data'!$I$3:$I$20000,'Meta data'!$A$3:$A$20000,"&gt;="&amp;K$3,'Meta data'!$A$3:$A$20000,"&lt;="&amp;K$4,'Meta data'!$B$3:$B$20000,$A17),IF($B17="Google Ads",SUMIFS('Google data'!$I$3:$I$20000,'Google data'!$A$3:$A$20000,"&gt;="&amp;K$3,'Google data'!$A$3:$A$20000,"&lt;="&amp;K$4,'Google data'!$B$3:$B$20000,$A17),IF($B17="ChatGPT Ads",SUMIFS('ChatGPT data'!$I$3:$I$20000,'ChatGPT data'!$A$3:$A$20000,"&gt;="&amp;K$3,'ChatGPT data'!$A$3:$A$20000,"&lt;="&amp;K$4,'ChatGPT data'!$B$3:$B$20000,$A17),IF($B17="LinkedIn Ads",SUMIFS('LinkedIn data'!$I$3:$I$20000,'LinkedIn data'!$A$3:$A$20000,"&gt;="&amp;K$3,'LinkedIn data'!$A$3:$A$20000,"&lt;="&amp;K$4,'LinkedIn data'!$B$3:$B$20000,$A17),0)))))</f>
        <v>329.42</v>
      </c>
      <c r="L17" s="14" t="n">
        <f aca="false">IF($A17="","",IF($B17="Meta",SUMIFS('Meta data'!$I$3:$I$20000,'Meta data'!$A$3:$A$20000,"&gt;="&amp;L$3,'Meta data'!$A$3:$A$20000,"&lt;="&amp;L$4,'Meta data'!$B$3:$B$20000,$A17),IF($B17="Google Ads",SUMIFS('Google data'!$I$3:$I$20000,'Google data'!$A$3:$A$20000,"&gt;="&amp;L$3,'Google data'!$A$3:$A$20000,"&lt;="&amp;L$4,'Google data'!$B$3:$B$20000,$A17),IF($B17="ChatGPT Ads",SUMIFS('ChatGPT data'!$I$3:$I$20000,'ChatGPT data'!$A$3:$A$20000,"&gt;="&amp;L$3,'ChatGPT data'!$A$3:$A$20000,"&lt;="&amp;L$4,'ChatGPT data'!$B$3:$B$20000,$A17),IF($B17="LinkedIn Ads",SUMIFS('LinkedIn data'!$I$3:$I$20000,'LinkedIn data'!$A$3:$A$20000,"&gt;="&amp;L$3,'LinkedIn data'!$A$3:$A$20000,"&lt;="&amp;L$4,'LinkedIn data'!$B$3:$B$20000,$A17),0)))))</f>
        <v>0</v>
      </c>
      <c r="M17" s="14" t="n">
        <f aca="false">IF($A17="","",IF($B17="Meta",SUMIFS('Meta data'!$I$3:$I$20000,'Meta data'!$A$3:$A$20000,"&gt;="&amp;M$3,'Meta data'!$A$3:$A$20000,"&lt;="&amp;M$4,'Meta data'!$B$3:$B$20000,$A17),IF($B17="Google Ads",SUMIFS('Google data'!$I$3:$I$20000,'Google data'!$A$3:$A$20000,"&gt;="&amp;M$3,'Google data'!$A$3:$A$20000,"&lt;="&amp;M$4,'Google data'!$B$3:$B$20000,$A17),IF($B17="ChatGPT Ads",SUMIFS('ChatGPT data'!$I$3:$I$20000,'ChatGPT data'!$A$3:$A$20000,"&gt;="&amp;M$3,'ChatGPT data'!$A$3:$A$20000,"&lt;="&amp;M$4,'ChatGPT data'!$B$3:$B$20000,$A17),IF($B17="LinkedIn Ads",SUMIFS('LinkedIn data'!$I$3:$I$20000,'LinkedIn data'!$A$3:$A$20000,"&gt;="&amp;M$3,'LinkedIn data'!$A$3:$A$20000,"&lt;="&amp;M$4,'LinkedIn data'!$B$3:$B$20000,$A17),0)))))</f>
        <v>0</v>
      </c>
      <c r="N17" s="14" t="n">
        <f aca="false">IF($A17="","",IF($B17="Meta",SUMIFS('Meta data'!$I$3:$I$20000,'Meta data'!$A$3:$A$20000,"&gt;="&amp;N$3,'Meta data'!$A$3:$A$20000,"&lt;="&amp;N$4,'Meta data'!$B$3:$B$20000,$A17),IF($B17="Google Ads",SUMIFS('Google data'!$I$3:$I$20000,'Google data'!$A$3:$A$20000,"&gt;="&amp;N$3,'Google data'!$A$3:$A$20000,"&lt;="&amp;N$4,'Google data'!$B$3:$B$20000,$A17),IF($B17="ChatGPT Ads",SUMIFS('ChatGPT data'!$I$3:$I$20000,'ChatGPT data'!$A$3:$A$20000,"&gt;="&amp;N$3,'ChatGPT data'!$A$3:$A$20000,"&lt;="&amp;N$4,'ChatGPT data'!$B$3:$B$20000,$A17),IF($B17="LinkedIn Ads",SUMIFS('LinkedIn data'!$I$3:$I$20000,'LinkedIn data'!$A$3:$A$20000,"&gt;="&amp;N$3,'LinkedIn data'!$A$3:$A$20000,"&lt;="&amp;N$4,'LinkedIn data'!$B$3:$B$20000,$A17),0)))))</f>
        <v>0</v>
      </c>
      <c r="O17" s="14" t="n">
        <f aca="false">IF($A17="","",IF($B17="Meta",SUMIFS('Meta data'!$I$3:$I$20000,'Meta data'!$A$3:$A$20000,"&gt;="&amp;O$3,'Meta data'!$A$3:$A$20000,"&lt;="&amp;O$4,'Meta data'!$B$3:$B$20000,$A17),IF($B17="Google Ads",SUMIFS('Google data'!$I$3:$I$20000,'Google data'!$A$3:$A$20000,"&gt;="&amp;O$3,'Google data'!$A$3:$A$20000,"&lt;="&amp;O$4,'Google data'!$B$3:$B$20000,$A17),IF($B17="ChatGPT Ads",SUMIFS('ChatGPT data'!$I$3:$I$20000,'ChatGPT data'!$A$3:$A$20000,"&gt;="&amp;O$3,'ChatGPT data'!$A$3:$A$20000,"&lt;="&amp;O$4,'ChatGPT data'!$B$3:$B$20000,$A17),IF($B17="LinkedIn Ads",SUMIFS('LinkedIn data'!$I$3:$I$20000,'LinkedIn data'!$A$3:$A$20000,"&gt;="&amp;O$3,'LinkedIn data'!$A$3:$A$20000,"&lt;="&amp;O$4,'LinkedIn data'!$B$3:$B$20000,$A17),0)))))</f>
        <v>0</v>
      </c>
      <c r="P17" s="14" t="n">
        <f aca="false">IF($A17="","",IF($B17="Meta",SUMIFS('Meta data'!$I$3:$I$20000,'Meta data'!$A$3:$A$20000,"&gt;="&amp;P$3,'Meta data'!$A$3:$A$20000,"&lt;="&amp;P$4,'Meta data'!$B$3:$B$20000,$A17),IF($B17="Google Ads",SUMIFS('Google data'!$I$3:$I$20000,'Google data'!$A$3:$A$20000,"&gt;="&amp;P$3,'Google data'!$A$3:$A$20000,"&lt;="&amp;P$4,'Google data'!$B$3:$B$20000,$A17),IF($B17="ChatGPT Ads",SUMIFS('ChatGPT data'!$I$3:$I$20000,'ChatGPT data'!$A$3:$A$20000,"&gt;="&amp;P$3,'ChatGPT data'!$A$3:$A$20000,"&lt;="&amp;P$4,'ChatGPT data'!$B$3:$B$20000,$A17),IF($B17="LinkedIn Ads",SUMIFS('LinkedIn data'!$I$3:$I$20000,'LinkedIn data'!$A$3:$A$20000,"&gt;="&amp;P$3,'LinkedIn data'!$A$3:$A$20000,"&lt;="&amp;P$4,'LinkedIn data'!$B$3:$B$20000,$A17),0)))))</f>
        <v>0</v>
      </c>
      <c r="Q17" s="14" t="n">
        <f aca="false">IF($A17="","",IF($B17="Meta",SUMIFS('Meta data'!$I$3:$I$20000,'Meta data'!$A$3:$A$20000,"&gt;="&amp;Q$3,'Meta data'!$A$3:$A$20000,"&lt;="&amp;Q$4,'Meta data'!$B$3:$B$20000,$A17),IF($B17="Google Ads",SUMIFS('Google data'!$I$3:$I$20000,'Google data'!$A$3:$A$20000,"&gt;="&amp;Q$3,'Google data'!$A$3:$A$20000,"&lt;="&amp;Q$4,'Google data'!$B$3:$B$20000,$A17),IF($B17="ChatGPT Ads",SUMIFS('ChatGPT data'!$I$3:$I$20000,'ChatGPT data'!$A$3:$A$20000,"&gt;="&amp;Q$3,'ChatGPT data'!$A$3:$A$20000,"&lt;="&amp;Q$4,'ChatGPT data'!$B$3:$B$20000,$A17),IF($B17="LinkedIn Ads",SUMIFS('LinkedIn data'!$I$3:$I$20000,'LinkedIn data'!$A$3:$A$20000,"&gt;="&amp;Q$3,'LinkedIn data'!$A$3:$A$20000,"&lt;="&amp;Q$4,'LinkedIn data'!$B$3:$B$20000,$A17),0)))))</f>
        <v>0</v>
      </c>
      <c r="R17" s="15" t="n">
        <f aca="false">IF($A17="","",SUM(F17:Q17))</f>
        <v>3210.56</v>
      </c>
      <c r="S17" s="37" t="n">
        <f aca="false">IF($A17="","",IF($B17="Meta",SUMIFS('Meta data'!$E$3:$E$20000,'Meta data'!$B$3:$B$20000,$A17),IF($B17="Google Ads",SUMIFS('Google data'!$E$3:$E$20000,'Google data'!$B$3:$B$20000,$A17),IF($B17="ChatGPT Ads",SUMIFS('ChatGPT data'!$E$3:$E$20000,'ChatGPT data'!$B$3:$B$20000,$A17),IF($B17="LinkedIn Ads",SUMIFS('LinkedIn data'!$E$3:$E$20000,'LinkedIn data'!$B$3:$B$20000,$A17),0)))))</f>
        <v>2566</v>
      </c>
      <c r="T17" s="37" t="n">
        <f aca="false">IF($A17="","",IF($B17="Meta",SUMIFS('Meta data'!$F$3:$F$20000,'Meta data'!$B$3:$B$20000,$A17),IF($B17="Google Ads",SUMIFS('Google data'!$F$3:$F$20000,'Google data'!$B$3:$B$20000,$A17),IF($B17="ChatGPT Ads",SUMIFS('ChatGPT data'!$F$3:$F$20000,'ChatGPT data'!$B$3:$B$20000,$A17),IF($B17="LinkedIn Ads",SUMIFS('LinkedIn data'!$F$3:$F$20000,'LinkedIn data'!$B$3:$B$20000,$A17),0)))))</f>
        <v>200</v>
      </c>
      <c r="U17" s="38" t="n">
        <f aca="false">IF(OR($A17="",T17=0),"",R17/T17)</f>
        <v>16.0528</v>
      </c>
    </row>
    <row r="18" customFormat="false" ht="15" hidden="false" customHeight="false" outlineLevel="0" collapsed="false">
      <c r="A18" s="58" t="s">
        <v>177</v>
      </c>
      <c r="B18" s="58" t="s">
        <v>19</v>
      </c>
      <c r="C18" s="58" t="s">
        <v>136</v>
      </c>
      <c r="D18" s="58" t="s">
        <v>124</v>
      </c>
      <c r="E18" s="58" t="s">
        <v>149</v>
      </c>
      <c r="F18" s="14" t="n">
        <f aca="false">IF($A18="","",IF($B18="Meta",SUMIFS('Meta data'!$I$3:$I$20000,'Meta data'!$A$3:$A$20000,"&gt;="&amp;F$3,'Meta data'!$A$3:$A$20000,"&lt;="&amp;F$4,'Meta data'!$B$3:$B$20000,$A18),IF($B18="Google Ads",SUMIFS('Google data'!$I$3:$I$20000,'Google data'!$A$3:$A$20000,"&gt;="&amp;F$3,'Google data'!$A$3:$A$20000,"&lt;="&amp;F$4,'Google data'!$B$3:$B$20000,$A18),IF($B18="ChatGPT Ads",SUMIFS('ChatGPT data'!$I$3:$I$20000,'ChatGPT data'!$A$3:$A$20000,"&gt;="&amp;F$3,'ChatGPT data'!$A$3:$A$20000,"&lt;="&amp;F$4,'ChatGPT data'!$B$3:$B$20000,$A18),IF($B18="LinkedIn Ads",SUMIFS('LinkedIn data'!$I$3:$I$20000,'LinkedIn data'!$A$3:$A$20000,"&gt;="&amp;F$3,'LinkedIn data'!$A$3:$A$20000,"&lt;="&amp;F$4,'LinkedIn data'!$B$3:$B$20000,$A18),0)))))</f>
        <v>0</v>
      </c>
      <c r="G18" s="14" t="n">
        <f aca="false">IF($A18="","",IF($B18="Meta",SUMIFS('Meta data'!$I$3:$I$20000,'Meta data'!$A$3:$A$20000,"&gt;="&amp;G$3,'Meta data'!$A$3:$A$20000,"&lt;="&amp;G$4,'Meta data'!$B$3:$B$20000,$A18),IF($B18="Google Ads",SUMIFS('Google data'!$I$3:$I$20000,'Google data'!$A$3:$A$20000,"&gt;="&amp;G$3,'Google data'!$A$3:$A$20000,"&lt;="&amp;G$4,'Google data'!$B$3:$B$20000,$A18),IF($B18="ChatGPT Ads",SUMIFS('ChatGPT data'!$I$3:$I$20000,'ChatGPT data'!$A$3:$A$20000,"&gt;="&amp;G$3,'ChatGPT data'!$A$3:$A$20000,"&lt;="&amp;G$4,'ChatGPT data'!$B$3:$B$20000,$A18),IF($B18="LinkedIn Ads",SUMIFS('LinkedIn data'!$I$3:$I$20000,'LinkedIn data'!$A$3:$A$20000,"&gt;="&amp;G$3,'LinkedIn data'!$A$3:$A$20000,"&lt;="&amp;G$4,'LinkedIn data'!$B$3:$B$20000,$A18),0)))))</f>
        <v>0</v>
      </c>
      <c r="H18" s="14" t="n">
        <f aca="false">IF($A18="","",IF($B18="Meta",SUMIFS('Meta data'!$I$3:$I$20000,'Meta data'!$A$3:$A$20000,"&gt;="&amp;H$3,'Meta data'!$A$3:$A$20000,"&lt;="&amp;H$4,'Meta data'!$B$3:$B$20000,$A18),IF($B18="Google Ads",SUMIFS('Google data'!$I$3:$I$20000,'Google data'!$A$3:$A$20000,"&gt;="&amp;H$3,'Google data'!$A$3:$A$20000,"&lt;="&amp;H$4,'Google data'!$B$3:$B$20000,$A18),IF($B18="ChatGPT Ads",SUMIFS('ChatGPT data'!$I$3:$I$20000,'ChatGPT data'!$A$3:$A$20000,"&gt;="&amp;H$3,'ChatGPT data'!$A$3:$A$20000,"&lt;="&amp;H$4,'ChatGPT data'!$B$3:$B$20000,$A18),IF($B18="LinkedIn Ads",SUMIFS('LinkedIn data'!$I$3:$I$20000,'LinkedIn data'!$A$3:$A$20000,"&gt;="&amp;H$3,'LinkedIn data'!$A$3:$A$20000,"&lt;="&amp;H$4,'LinkedIn data'!$B$3:$B$20000,$A18),0)))))</f>
        <v>0</v>
      </c>
      <c r="I18" s="14" t="n">
        <f aca="false">IF($A18="","",IF($B18="Meta",SUMIFS('Meta data'!$I$3:$I$20000,'Meta data'!$A$3:$A$20000,"&gt;="&amp;I$3,'Meta data'!$A$3:$A$20000,"&lt;="&amp;I$4,'Meta data'!$B$3:$B$20000,$A18),IF($B18="Google Ads",SUMIFS('Google data'!$I$3:$I$20000,'Google data'!$A$3:$A$20000,"&gt;="&amp;I$3,'Google data'!$A$3:$A$20000,"&lt;="&amp;I$4,'Google data'!$B$3:$B$20000,$A18),IF($B18="ChatGPT Ads",SUMIFS('ChatGPT data'!$I$3:$I$20000,'ChatGPT data'!$A$3:$A$20000,"&gt;="&amp;I$3,'ChatGPT data'!$A$3:$A$20000,"&lt;="&amp;I$4,'ChatGPT data'!$B$3:$B$20000,$A18),IF($B18="LinkedIn Ads",SUMIFS('LinkedIn data'!$I$3:$I$20000,'LinkedIn data'!$A$3:$A$20000,"&gt;="&amp;I$3,'LinkedIn data'!$A$3:$A$20000,"&lt;="&amp;I$4,'LinkedIn data'!$B$3:$B$20000,$A18),0)))))</f>
        <v>0</v>
      </c>
      <c r="J18" s="14" t="n">
        <f aca="false">IF($A18="","",IF($B18="Meta",SUMIFS('Meta data'!$I$3:$I$20000,'Meta data'!$A$3:$A$20000,"&gt;="&amp;J$3,'Meta data'!$A$3:$A$20000,"&lt;="&amp;J$4,'Meta data'!$B$3:$B$20000,$A18),IF($B18="Google Ads",SUMIFS('Google data'!$I$3:$I$20000,'Google data'!$A$3:$A$20000,"&gt;="&amp;J$3,'Google data'!$A$3:$A$20000,"&lt;="&amp;J$4,'Google data'!$B$3:$B$20000,$A18),IF($B18="ChatGPT Ads",SUMIFS('ChatGPT data'!$I$3:$I$20000,'ChatGPT data'!$A$3:$A$20000,"&gt;="&amp;J$3,'ChatGPT data'!$A$3:$A$20000,"&lt;="&amp;J$4,'ChatGPT data'!$B$3:$B$20000,$A18),IF($B18="LinkedIn Ads",SUMIFS('LinkedIn data'!$I$3:$I$20000,'LinkedIn data'!$A$3:$A$20000,"&gt;="&amp;J$3,'LinkedIn data'!$A$3:$A$20000,"&lt;="&amp;J$4,'LinkedIn data'!$B$3:$B$20000,$A18),0)))))</f>
        <v>0</v>
      </c>
      <c r="K18" s="14" t="n">
        <f aca="false">IF($A18="","",IF($B18="Meta",SUMIFS('Meta data'!$I$3:$I$20000,'Meta data'!$A$3:$A$20000,"&gt;="&amp;K$3,'Meta data'!$A$3:$A$20000,"&lt;="&amp;K$4,'Meta data'!$B$3:$B$20000,$A18),IF($B18="Google Ads",SUMIFS('Google data'!$I$3:$I$20000,'Google data'!$A$3:$A$20000,"&gt;="&amp;K$3,'Google data'!$A$3:$A$20000,"&lt;="&amp;K$4,'Google data'!$B$3:$B$20000,$A18),IF($B18="ChatGPT Ads",SUMIFS('ChatGPT data'!$I$3:$I$20000,'ChatGPT data'!$A$3:$A$20000,"&gt;="&amp;K$3,'ChatGPT data'!$A$3:$A$20000,"&lt;="&amp;K$4,'ChatGPT data'!$B$3:$B$20000,$A18),IF($B18="LinkedIn Ads",SUMIFS('LinkedIn data'!$I$3:$I$20000,'LinkedIn data'!$A$3:$A$20000,"&gt;="&amp;K$3,'LinkedIn data'!$A$3:$A$20000,"&lt;="&amp;K$4,'LinkedIn data'!$B$3:$B$20000,$A18),0)))))</f>
        <v>500.58</v>
      </c>
      <c r="L18" s="14" t="n">
        <f aca="false">IF($A18="","",IF($B18="Meta",SUMIFS('Meta data'!$I$3:$I$20000,'Meta data'!$A$3:$A$20000,"&gt;="&amp;L$3,'Meta data'!$A$3:$A$20000,"&lt;="&amp;L$4,'Meta data'!$B$3:$B$20000,$A18),IF($B18="Google Ads",SUMIFS('Google data'!$I$3:$I$20000,'Google data'!$A$3:$A$20000,"&gt;="&amp;L$3,'Google data'!$A$3:$A$20000,"&lt;="&amp;L$4,'Google data'!$B$3:$B$20000,$A18),IF($B18="ChatGPT Ads",SUMIFS('ChatGPT data'!$I$3:$I$20000,'ChatGPT data'!$A$3:$A$20000,"&gt;="&amp;L$3,'ChatGPT data'!$A$3:$A$20000,"&lt;="&amp;L$4,'ChatGPT data'!$B$3:$B$20000,$A18),IF($B18="LinkedIn Ads",SUMIFS('LinkedIn data'!$I$3:$I$20000,'LinkedIn data'!$A$3:$A$20000,"&gt;="&amp;L$3,'LinkedIn data'!$A$3:$A$20000,"&lt;="&amp;L$4,'LinkedIn data'!$B$3:$B$20000,$A18),0)))))</f>
        <v>912.51</v>
      </c>
      <c r="M18" s="14" t="n">
        <f aca="false">IF($A18="","",IF($B18="Meta",SUMIFS('Meta data'!$I$3:$I$20000,'Meta data'!$A$3:$A$20000,"&gt;="&amp;M$3,'Meta data'!$A$3:$A$20000,"&lt;="&amp;M$4,'Meta data'!$B$3:$B$20000,$A18),IF($B18="Google Ads",SUMIFS('Google data'!$I$3:$I$20000,'Google data'!$A$3:$A$20000,"&gt;="&amp;M$3,'Google data'!$A$3:$A$20000,"&lt;="&amp;M$4,'Google data'!$B$3:$B$20000,$A18),IF($B18="ChatGPT Ads",SUMIFS('ChatGPT data'!$I$3:$I$20000,'ChatGPT data'!$A$3:$A$20000,"&gt;="&amp;M$3,'ChatGPT data'!$A$3:$A$20000,"&lt;="&amp;M$4,'ChatGPT data'!$B$3:$B$20000,$A18),IF($B18="LinkedIn Ads",SUMIFS('LinkedIn data'!$I$3:$I$20000,'LinkedIn data'!$A$3:$A$20000,"&gt;="&amp;M$3,'LinkedIn data'!$A$3:$A$20000,"&lt;="&amp;M$4,'LinkedIn data'!$B$3:$B$20000,$A18),0)))))</f>
        <v>911.02</v>
      </c>
      <c r="N18" s="14" t="n">
        <f aca="false">IF($A18="","",IF($B18="Meta",SUMIFS('Meta data'!$I$3:$I$20000,'Meta data'!$A$3:$A$20000,"&gt;="&amp;N$3,'Meta data'!$A$3:$A$20000,"&lt;="&amp;N$4,'Meta data'!$B$3:$B$20000,$A18),IF($B18="Google Ads",SUMIFS('Google data'!$I$3:$I$20000,'Google data'!$A$3:$A$20000,"&gt;="&amp;N$3,'Google data'!$A$3:$A$20000,"&lt;="&amp;N$4,'Google data'!$B$3:$B$20000,$A18),IF($B18="ChatGPT Ads",SUMIFS('ChatGPT data'!$I$3:$I$20000,'ChatGPT data'!$A$3:$A$20000,"&gt;="&amp;N$3,'ChatGPT data'!$A$3:$A$20000,"&lt;="&amp;N$4,'ChatGPT data'!$B$3:$B$20000,$A18),IF($B18="LinkedIn Ads",SUMIFS('LinkedIn data'!$I$3:$I$20000,'LinkedIn data'!$A$3:$A$20000,"&gt;="&amp;N$3,'LinkedIn data'!$A$3:$A$20000,"&lt;="&amp;N$4,'LinkedIn data'!$B$3:$B$20000,$A18),0)))))</f>
        <v>736.73</v>
      </c>
      <c r="O18" s="14" t="n">
        <f aca="false">IF($A18="","",IF($B18="Meta",SUMIFS('Meta data'!$I$3:$I$20000,'Meta data'!$A$3:$A$20000,"&gt;="&amp;O$3,'Meta data'!$A$3:$A$20000,"&lt;="&amp;O$4,'Meta data'!$B$3:$B$20000,$A18),IF($B18="Google Ads",SUMIFS('Google data'!$I$3:$I$20000,'Google data'!$A$3:$A$20000,"&gt;="&amp;O$3,'Google data'!$A$3:$A$20000,"&lt;="&amp;O$4,'Google data'!$B$3:$B$20000,$A18),IF($B18="ChatGPT Ads",SUMIFS('ChatGPT data'!$I$3:$I$20000,'ChatGPT data'!$A$3:$A$20000,"&gt;="&amp;O$3,'ChatGPT data'!$A$3:$A$20000,"&lt;="&amp;O$4,'ChatGPT data'!$B$3:$B$20000,$A18),IF($B18="LinkedIn Ads",SUMIFS('LinkedIn data'!$I$3:$I$20000,'LinkedIn data'!$A$3:$A$20000,"&gt;="&amp;O$3,'LinkedIn data'!$A$3:$A$20000,"&lt;="&amp;O$4,'LinkedIn data'!$B$3:$B$20000,$A18),0)))))</f>
        <v>0</v>
      </c>
      <c r="P18" s="14" t="n">
        <f aca="false">IF($A18="","",IF($B18="Meta",SUMIFS('Meta data'!$I$3:$I$20000,'Meta data'!$A$3:$A$20000,"&gt;="&amp;P$3,'Meta data'!$A$3:$A$20000,"&lt;="&amp;P$4,'Meta data'!$B$3:$B$20000,$A18),IF($B18="Google Ads",SUMIFS('Google data'!$I$3:$I$20000,'Google data'!$A$3:$A$20000,"&gt;="&amp;P$3,'Google data'!$A$3:$A$20000,"&lt;="&amp;P$4,'Google data'!$B$3:$B$20000,$A18),IF($B18="ChatGPT Ads",SUMIFS('ChatGPT data'!$I$3:$I$20000,'ChatGPT data'!$A$3:$A$20000,"&gt;="&amp;P$3,'ChatGPT data'!$A$3:$A$20000,"&lt;="&amp;P$4,'ChatGPT data'!$B$3:$B$20000,$A18),IF($B18="LinkedIn Ads",SUMIFS('LinkedIn data'!$I$3:$I$20000,'LinkedIn data'!$A$3:$A$20000,"&gt;="&amp;P$3,'LinkedIn data'!$A$3:$A$20000,"&lt;="&amp;P$4,'LinkedIn data'!$B$3:$B$20000,$A18),0)))))</f>
        <v>0</v>
      </c>
      <c r="Q18" s="14" t="n">
        <f aca="false">IF($A18="","",IF($B18="Meta",SUMIFS('Meta data'!$I$3:$I$20000,'Meta data'!$A$3:$A$20000,"&gt;="&amp;Q$3,'Meta data'!$A$3:$A$20000,"&lt;="&amp;Q$4,'Meta data'!$B$3:$B$20000,$A18),IF($B18="Google Ads",SUMIFS('Google data'!$I$3:$I$20000,'Google data'!$A$3:$A$20000,"&gt;="&amp;Q$3,'Google data'!$A$3:$A$20000,"&lt;="&amp;Q$4,'Google data'!$B$3:$B$20000,$A18),IF($B18="ChatGPT Ads",SUMIFS('ChatGPT data'!$I$3:$I$20000,'ChatGPT data'!$A$3:$A$20000,"&gt;="&amp;Q$3,'ChatGPT data'!$A$3:$A$20000,"&lt;="&amp;Q$4,'ChatGPT data'!$B$3:$B$20000,$A18),IF($B18="LinkedIn Ads",SUMIFS('LinkedIn data'!$I$3:$I$20000,'LinkedIn data'!$A$3:$A$20000,"&gt;="&amp;Q$3,'LinkedIn data'!$A$3:$A$20000,"&lt;="&amp;Q$4,'LinkedIn data'!$B$3:$B$20000,$A18),0)))))</f>
        <v>0</v>
      </c>
      <c r="R18" s="15" t="n">
        <f aca="false">IF($A18="","",SUM(F18:Q18))</f>
        <v>3060.84</v>
      </c>
      <c r="S18" s="37" t="n">
        <f aca="false">IF($A18="","",IF($B18="Meta",SUMIFS('Meta data'!$E$3:$E$20000,'Meta data'!$B$3:$B$20000,$A18),IF($B18="Google Ads",SUMIFS('Google data'!$E$3:$E$20000,'Google data'!$B$3:$B$20000,$A18),IF($B18="ChatGPT Ads",SUMIFS('ChatGPT data'!$E$3:$E$20000,'ChatGPT data'!$B$3:$B$20000,$A18),IF($B18="LinkedIn Ads",SUMIFS('LinkedIn data'!$E$3:$E$20000,'LinkedIn data'!$B$3:$B$20000,$A18),0)))))</f>
        <v>834</v>
      </c>
      <c r="T18" s="37" t="n">
        <f aca="false">IF($A18="","",IF($B18="Meta",SUMIFS('Meta data'!$F$3:$F$20000,'Meta data'!$B$3:$B$20000,$A18),IF($B18="Google Ads",SUMIFS('Google data'!$F$3:$F$20000,'Google data'!$B$3:$B$20000,$A18),IF($B18="ChatGPT Ads",SUMIFS('ChatGPT data'!$F$3:$F$20000,'ChatGPT data'!$B$3:$B$20000,$A18),IF($B18="LinkedIn Ads",SUMIFS('LinkedIn data'!$F$3:$F$20000,'LinkedIn data'!$B$3:$B$20000,$A18),0)))))</f>
        <v>108</v>
      </c>
      <c r="U18" s="38" t="n">
        <f aca="false">IF(OR($A18="",T18=0),"",R18/T18)</f>
        <v>28.3411111111111</v>
      </c>
    </row>
    <row r="19" customFormat="false" ht="15" hidden="false" customHeight="false" outlineLevel="0" collapsed="false">
      <c r="A19" s="58" t="s">
        <v>178</v>
      </c>
      <c r="B19" s="58" t="s">
        <v>19</v>
      </c>
      <c r="C19" s="58" t="s">
        <v>130</v>
      </c>
      <c r="D19" s="58" t="s">
        <v>123</v>
      </c>
      <c r="E19" s="58" t="s">
        <v>149</v>
      </c>
      <c r="F19" s="14" t="n">
        <f aca="false">IF($A19="","",IF($B19="Meta",SUMIFS('Meta data'!$I$3:$I$20000,'Meta data'!$A$3:$A$20000,"&gt;="&amp;F$3,'Meta data'!$A$3:$A$20000,"&lt;="&amp;F$4,'Meta data'!$B$3:$B$20000,$A19),IF($B19="Google Ads",SUMIFS('Google data'!$I$3:$I$20000,'Google data'!$A$3:$A$20000,"&gt;="&amp;F$3,'Google data'!$A$3:$A$20000,"&lt;="&amp;F$4,'Google data'!$B$3:$B$20000,$A19),IF($B19="ChatGPT Ads",SUMIFS('ChatGPT data'!$I$3:$I$20000,'ChatGPT data'!$A$3:$A$20000,"&gt;="&amp;F$3,'ChatGPT data'!$A$3:$A$20000,"&lt;="&amp;F$4,'ChatGPT data'!$B$3:$B$20000,$A19),IF($B19="LinkedIn Ads",SUMIFS('LinkedIn data'!$I$3:$I$20000,'LinkedIn data'!$A$3:$A$20000,"&gt;="&amp;F$3,'LinkedIn data'!$A$3:$A$20000,"&lt;="&amp;F$4,'LinkedIn data'!$B$3:$B$20000,$A19),0)))))</f>
        <v>0</v>
      </c>
      <c r="G19" s="14" t="n">
        <f aca="false">IF($A19="","",IF($B19="Meta",SUMIFS('Meta data'!$I$3:$I$20000,'Meta data'!$A$3:$A$20000,"&gt;="&amp;G$3,'Meta data'!$A$3:$A$20000,"&lt;="&amp;G$4,'Meta data'!$B$3:$B$20000,$A19),IF($B19="Google Ads",SUMIFS('Google data'!$I$3:$I$20000,'Google data'!$A$3:$A$20000,"&gt;="&amp;G$3,'Google data'!$A$3:$A$20000,"&lt;="&amp;G$4,'Google data'!$B$3:$B$20000,$A19),IF($B19="ChatGPT Ads",SUMIFS('ChatGPT data'!$I$3:$I$20000,'ChatGPT data'!$A$3:$A$20000,"&gt;="&amp;G$3,'ChatGPT data'!$A$3:$A$20000,"&lt;="&amp;G$4,'ChatGPT data'!$B$3:$B$20000,$A19),IF($B19="LinkedIn Ads",SUMIFS('LinkedIn data'!$I$3:$I$20000,'LinkedIn data'!$A$3:$A$20000,"&gt;="&amp;G$3,'LinkedIn data'!$A$3:$A$20000,"&lt;="&amp;G$4,'LinkedIn data'!$B$3:$B$20000,$A19),0)))))</f>
        <v>0</v>
      </c>
      <c r="H19" s="14" t="n">
        <f aca="false">IF($A19="","",IF($B19="Meta",SUMIFS('Meta data'!$I$3:$I$20000,'Meta data'!$A$3:$A$20000,"&gt;="&amp;H$3,'Meta data'!$A$3:$A$20000,"&lt;="&amp;H$4,'Meta data'!$B$3:$B$20000,$A19),IF($B19="Google Ads",SUMIFS('Google data'!$I$3:$I$20000,'Google data'!$A$3:$A$20000,"&gt;="&amp;H$3,'Google data'!$A$3:$A$20000,"&lt;="&amp;H$4,'Google data'!$B$3:$B$20000,$A19),IF($B19="ChatGPT Ads",SUMIFS('ChatGPT data'!$I$3:$I$20000,'ChatGPT data'!$A$3:$A$20000,"&gt;="&amp;H$3,'ChatGPT data'!$A$3:$A$20000,"&lt;="&amp;H$4,'ChatGPT data'!$B$3:$B$20000,$A19),IF($B19="LinkedIn Ads",SUMIFS('LinkedIn data'!$I$3:$I$20000,'LinkedIn data'!$A$3:$A$20000,"&gt;="&amp;H$3,'LinkedIn data'!$A$3:$A$20000,"&lt;="&amp;H$4,'LinkedIn data'!$B$3:$B$20000,$A19),0)))))</f>
        <v>0</v>
      </c>
      <c r="I19" s="14" t="n">
        <f aca="false">IF($A19="","",IF($B19="Meta",SUMIFS('Meta data'!$I$3:$I$20000,'Meta data'!$A$3:$A$20000,"&gt;="&amp;I$3,'Meta data'!$A$3:$A$20000,"&lt;="&amp;I$4,'Meta data'!$B$3:$B$20000,$A19),IF($B19="Google Ads",SUMIFS('Google data'!$I$3:$I$20000,'Google data'!$A$3:$A$20000,"&gt;="&amp;I$3,'Google data'!$A$3:$A$20000,"&lt;="&amp;I$4,'Google data'!$B$3:$B$20000,$A19),IF($B19="ChatGPT Ads",SUMIFS('ChatGPT data'!$I$3:$I$20000,'ChatGPT data'!$A$3:$A$20000,"&gt;="&amp;I$3,'ChatGPT data'!$A$3:$A$20000,"&lt;="&amp;I$4,'ChatGPT data'!$B$3:$B$20000,$A19),IF($B19="LinkedIn Ads",SUMIFS('LinkedIn data'!$I$3:$I$20000,'LinkedIn data'!$A$3:$A$20000,"&gt;="&amp;I$3,'LinkedIn data'!$A$3:$A$20000,"&lt;="&amp;I$4,'LinkedIn data'!$B$3:$B$20000,$A19),0)))))</f>
        <v>0</v>
      </c>
      <c r="J19" s="14" t="n">
        <f aca="false">IF($A19="","",IF($B19="Meta",SUMIFS('Meta data'!$I$3:$I$20000,'Meta data'!$A$3:$A$20000,"&gt;="&amp;J$3,'Meta data'!$A$3:$A$20000,"&lt;="&amp;J$4,'Meta data'!$B$3:$B$20000,$A19),IF($B19="Google Ads",SUMIFS('Google data'!$I$3:$I$20000,'Google data'!$A$3:$A$20000,"&gt;="&amp;J$3,'Google data'!$A$3:$A$20000,"&lt;="&amp;J$4,'Google data'!$B$3:$B$20000,$A19),IF($B19="ChatGPT Ads",SUMIFS('ChatGPT data'!$I$3:$I$20000,'ChatGPT data'!$A$3:$A$20000,"&gt;="&amp;J$3,'ChatGPT data'!$A$3:$A$20000,"&lt;="&amp;J$4,'ChatGPT data'!$B$3:$B$20000,$A19),IF($B19="LinkedIn Ads",SUMIFS('LinkedIn data'!$I$3:$I$20000,'LinkedIn data'!$A$3:$A$20000,"&gt;="&amp;J$3,'LinkedIn data'!$A$3:$A$20000,"&lt;="&amp;J$4,'LinkedIn data'!$B$3:$B$20000,$A19),0)))))</f>
        <v>0</v>
      </c>
      <c r="K19" s="14" t="n">
        <f aca="false">IF($A19="","",IF($B19="Meta",SUMIFS('Meta data'!$I$3:$I$20000,'Meta data'!$A$3:$A$20000,"&gt;="&amp;K$3,'Meta data'!$A$3:$A$20000,"&lt;="&amp;K$4,'Meta data'!$B$3:$B$20000,$A19),IF($B19="Google Ads",SUMIFS('Google data'!$I$3:$I$20000,'Google data'!$A$3:$A$20000,"&gt;="&amp;K$3,'Google data'!$A$3:$A$20000,"&lt;="&amp;K$4,'Google data'!$B$3:$B$20000,$A19),IF($B19="ChatGPT Ads",SUMIFS('ChatGPT data'!$I$3:$I$20000,'ChatGPT data'!$A$3:$A$20000,"&gt;="&amp;K$3,'ChatGPT data'!$A$3:$A$20000,"&lt;="&amp;K$4,'ChatGPT data'!$B$3:$B$20000,$A19),IF($B19="LinkedIn Ads",SUMIFS('LinkedIn data'!$I$3:$I$20000,'LinkedIn data'!$A$3:$A$20000,"&gt;="&amp;K$3,'LinkedIn data'!$A$3:$A$20000,"&lt;="&amp;K$4,'LinkedIn data'!$B$3:$B$20000,$A19),0)))))</f>
        <v>0</v>
      </c>
      <c r="L19" s="14" t="n">
        <f aca="false">IF($A19="","",IF($B19="Meta",SUMIFS('Meta data'!$I$3:$I$20000,'Meta data'!$A$3:$A$20000,"&gt;="&amp;L$3,'Meta data'!$A$3:$A$20000,"&lt;="&amp;L$4,'Meta data'!$B$3:$B$20000,$A19),IF($B19="Google Ads",SUMIFS('Google data'!$I$3:$I$20000,'Google data'!$A$3:$A$20000,"&gt;="&amp;L$3,'Google data'!$A$3:$A$20000,"&lt;="&amp;L$4,'Google data'!$B$3:$B$20000,$A19),IF($B19="ChatGPT Ads",SUMIFS('ChatGPT data'!$I$3:$I$20000,'ChatGPT data'!$A$3:$A$20000,"&gt;="&amp;L$3,'ChatGPT data'!$A$3:$A$20000,"&lt;="&amp;L$4,'ChatGPT data'!$B$3:$B$20000,$A19),IF($B19="LinkedIn Ads",SUMIFS('LinkedIn data'!$I$3:$I$20000,'LinkedIn data'!$A$3:$A$20000,"&gt;="&amp;L$3,'LinkedIn data'!$A$3:$A$20000,"&lt;="&amp;L$4,'LinkedIn data'!$B$3:$B$20000,$A19),0)))))</f>
        <v>916.05</v>
      </c>
      <c r="M19" s="14" t="n">
        <f aca="false">IF($A19="","",IF($B19="Meta",SUMIFS('Meta data'!$I$3:$I$20000,'Meta data'!$A$3:$A$20000,"&gt;="&amp;M$3,'Meta data'!$A$3:$A$20000,"&lt;="&amp;M$4,'Meta data'!$B$3:$B$20000,$A19),IF($B19="Google Ads",SUMIFS('Google data'!$I$3:$I$20000,'Google data'!$A$3:$A$20000,"&gt;="&amp;M$3,'Google data'!$A$3:$A$20000,"&lt;="&amp;M$4,'Google data'!$B$3:$B$20000,$A19),IF($B19="ChatGPT Ads",SUMIFS('ChatGPT data'!$I$3:$I$20000,'ChatGPT data'!$A$3:$A$20000,"&gt;="&amp;M$3,'ChatGPT data'!$A$3:$A$20000,"&lt;="&amp;M$4,'ChatGPT data'!$B$3:$B$20000,$A19),IF($B19="LinkedIn Ads",SUMIFS('LinkedIn data'!$I$3:$I$20000,'LinkedIn data'!$A$3:$A$20000,"&gt;="&amp;M$3,'LinkedIn data'!$A$3:$A$20000,"&lt;="&amp;M$4,'LinkedIn data'!$B$3:$B$20000,$A19),0)))))</f>
        <v>1205.52</v>
      </c>
      <c r="N19" s="14" t="n">
        <f aca="false">IF($A19="","",IF($B19="Meta",SUMIFS('Meta data'!$I$3:$I$20000,'Meta data'!$A$3:$A$20000,"&gt;="&amp;N$3,'Meta data'!$A$3:$A$20000,"&lt;="&amp;N$4,'Meta data'!$B$3:$B$20000,$A19),IF($B19="Google Ads",SUMIFS('Google data'!$I$3:$I$20000,'Google data'!$A$3:$A$20000,"&gt;="&amp;N$3,'Google data'!$A$3:$A$20000,"&lt;="&amp;N$4,'Google data'!$B$3:$B$20000,$A19),IF($B19="ChatGPT Ads",SUMIFS('ChatGPT data'!$I$3:$I$20000,'ChatGPT data'!$A$3:$A$20000,"&gt;="&amp;N$3,'ChatGPT data'!$A$3:$A$20000,"&lt;="&amp;N$4,'ChatGPT data'!$B$3:$B$20000,$A19),IF($B19="LinkedIn Ads",SUMIFS('LinkedIn data'!$I$3:$I$20000,'LinkedIn data'!$A$3:$A$20000,"&gt;="&amp;N$3,'LinkedIn data'!$A$3:$A$20000,"&lt;="&amp;N$4,'LinkedIn data'!$B$3:$B$20000,$A19),0)))))</f>
        <v>934.65</v>
      </c>
      <c r="O19" s="14" t="n">
        <f aca="false">IF($A19="","",IF($B19="Meta",SUMIFS('Meta data'!$I$3:$I$20000,'Meta data'!$A$3:$A$20000,"&gt;="&amp;O$3,'Meta data'!$A$3:$A$20000,"&lt;="&amp;O$4,'Meta data'!$B$3:$B$20000,$A19),IF($B19="Google Ads",SUMIFS('Google data'!$I$3:$I$20000,'Google data'!$A$3:$A$20000,"&gt;="&amp;O$3,'Google data'!$A$3:$A$20000,"&lt;="&amp;O$4,'Google data'!$B$3:$B$20000,$A19),IF($B19="ChatGPT Ads",SUMIFS('ChatGPT data'!$I$3:$I$20000,'ChatGPT data'!$A$3:$A$20000,"&gt;="&amp;O$3,'ChatGPT data'!$A$3:$A$20000,"&lt;="&amp;O$4,'ChatGPT data'!$B$3:$B$20000,$A19),IF($B19="LinkedIn Ads",SUMIFS('LinkedIn data'!$I$3:$I$20000,'LinkedIn data'!$A$3:$A$20000,"&gt;="&amp;O$3,'LinkedIn data'!$A$3:$A$20000,"&lt;="&amp;O$4,'LinkedIn data'!$B$3:$B$20000,$A19),0)))))</f>
        <v>0</v>
      </c>
      <c r="P19" s="14" t="n">
        <f aca="false">IF($A19="","",IF($B19="Meta",SUMIFS('Meta data'!$I$3:$I$20000,'Meta data'!$A$3:$A$20000,"&gt;="&amp;P$3,'Meta data'!$A$3:$A$20000,"&lt;="&amp;P$4,'Meta data'!$B$3:$B$20000,$A19),IF($B19="Google Ads",SUMIFS('Google data'!$I$3:$I$20000,'Google data'!$A$3:$A$20000,"&gt;="&amp;P$3,'Google data'!$A$3:$A$20000,"&lt;="&amp;P$4,'Google data'!$B$3:$B$20000,$A19),IF($B19="ChatGPT Ads",SUMIFS('ChatGPT data'!$I$3:$I$20000,'ChatGPT data'!$A$3:$A$20000,"&gt;="&amp;P$3,'ChatGPT data'!$A$3:$A$20000,"&lt;="&amp;P$4,'ChatGPT data'!$B$3:$B$20000,$A19),IF($B19="LinkedIn Ads",SUMIFS('LinkedIn data'!$I$3:$I$20000,'LinkedIn data'!$A$3:$A$20000,"&gt;="&amp;P$3,'LinkedIn data'!$A$3:$A$20000,"&lt;="&amp;P$4,'LinkedIn data'!$B$3:$B$20000,$A19),0)))))</f>
        <v>0</v>
      </c>
      <c r="Q19" s="14" t="n">
        <f aca="false">IF($A19="","",IF($B19="Meta",SUMIFS('Meta data'!$I$3:$I$20000,'Meta data'!$A$3:$A$20000,"&gt;="&amp;Q$3,'Meta data'!$A$3:$A$20000,"&lt;="&amp;Q$4,'Meta data'!$B$3:$B$20000,$A19),IF($B19="Google Ads",SUMIFS('Google data'!$I$3:$I$20000,'Google data'!$A$3:$A$20000,"&gt;="&amp;Q$3,'Google data'!$A$3:$A$20000,"&lt;="&amp;Q$4,'Google data'!$B$3:$B$20000,$A19),IF($B19="ChatGPT Ads",SUMIFS('ChatGPT data'!$I$3:$I$20000,'ChatGPT data'!$A$3:$A$20000,"&gt;="&amp;Q$3,'ChatGPT data'!$A$3:$A$20000,"&lt;="&amp;Q$4,'ChatGPT data'!$B$3:$B$20000,$A19),IF($B19="LinkedIn Ads",SUMIFS('LinkedIn data'!$I$3:$I$20000,'LinkedIn data'!$A$3:$A$20000,"&gt;="&amp;Q$3,'LinkedIn data'!$A$3:$A$20000,"&lt;="&amp;Q$4,'LinkedIn data'!$B$3:$B$20000,$A19),0)))))</f>
        <v>0</v>
      </c>
      <c r="R19" s="15" t="n">
        <f aca="false">IF($A19="","",SUM(F19:Q19))</f>
        <v>3056.22</v>
      </c>
      <c r="S19" s="37" t="n">
        <f aca="false">IF($A19="","",IF($B19="Meta",SUMIFS('Meta data'!$E$3:$E$20000,'Meta data'!$B$3:$B$20000,$A19),IF($B19="Google Ads",SUMIFS('Google data'!$E$3:$E$20000,'Google data'!$B$3:$B$20000,$A19),IF($B19="ChatGPT Ads",SUMIFS('ChatGPT data'!$E$3:$E$20000,'ChatGPT data'!$B$3:$B$20000,$A19),IF($B19="LinkedIn Ads",SUMIFS('LinkedIn data'!$E$3:$E$20000,'LinkedIn data'!$B$3:$B$20000,$A19),0)))))</f>
        <v>7823</v>
      </c>
      <c r="T19" s="37" t="n">
        <f aca="false">IF($A19="","",IF($B19="Meta",SUMIFS('Meta data'!$F$3:$F$20000,'Meta data'!$B$3:$B$20000,$A19),IF($B19="Google Ads",SUMIFS('Google data'!$F$3:$F$20000,'Google data'!$B$3:$B$20000,$A19),IF($B19="ChatGPT Ads",SUMIFS('ChatGPT data'!$F$3:$F$20000,'ChatGPT data'!$B$3:$B$20000,$A19),IF($B19="LinkedIn Ads",SUMIFS('LinkedIn data'!$F$3:$F$20000,'LinkedIn data'!$B$3:$B$20000,$A19),0)))))</f>
        <v>246</v>
      </c>
      <c r="U19" s="38" t="n">
        <f aca="false">IF(OR($A19="",T19=0),"",R19/T19)</f>
        <v>12.4236585365854</v>
      </c>
    </row>
    <row r="20" customFormat="false" ht="15" hidden="false" customHeight="false" outlineLevel="0" collapsed="false">
      <c r="A20" s="58" t="s">
        <v>179</v>
      </c>
      <c r="B20" s="58" t="s">
        <v>19</v>
      </c>
      <c r="C20" s="58" t="s">
        <v>140</v>
      </c>
      <c r="D20" s="58" t="s">
        <v>123</v>
      </c>
      <c r="E20" s="58" t="s">
        <v>149</v>
      </c>
      <c r="F20" s="14" t="n">
        <f aca="false">IF($A20="","",IF($B20="Meta",SUMIFS('Meta data'!$I$3:$I$20000,'Meta data'!$A$3:$A$20000,"&gt;="&amp;F$3,'Meta data'!$A$3:$A$20000,"&lt;="&amp;F$4,'Meta data'!$B$3:$B$20000,$A20),IF($B20="Google Ads",SUMIFS('Google data'!$I$3:$I$20000,'Google data'!$A$3:$A$20000,"&gt;="&amp;F$3,'Google data'!$A$3:$A$20000,"&lt;="&amp;F$4,'Google data'!$B$3:$B$20000,$A20),IF($B20="ChatGPT Ads",SUMIFS('ChatGPT data'!$I$3:$I$20000,'ChatGPT data'!$A$3:$A$20000,"&gt;="&amp;F$3,'ChatGPT data'!$A$3:$A$20000,"&lt;="&amp;F$4,'ChatGPT data'!$B$3:$B$20000,$A20),IF($B20="LinkedIn Ads",SUMIFS('LinkedIn data'!$I$3:$I$20000,'LinkedIn data'!$A$3:$A$20000,"&gt;="&amp;F$3,'LinkedIn data'!$A$3:$A$20000,"&lt;="&amp;F$4,'LinkedIn data'!$B$3:$B$20000,$A20),0)))))</f>
        <v>0</v>
      </c>
      <c r="G20" s="14" t="n">
        <f aca="false">IF($A20="","",IF($B20="Meta",SUMIFS('Meta data'!$I$3:$I$20000,'Meta data'!$A$3:$A$20000,"&gt;="&amp;G$3,'Meta data'!$A$3:$A$20000,"&lt;="&amp;G$4,'Meta data'!$B$3:$B$20000,$A20),IF($B20="Google Ads",SUMIFS('Google data'!$I$3:$I$20000,'Google data'!$A$3:$A$20000,"&gt;="&amp;G$3,'Google data'!$A$3:$A$20000,"&lt;="&amp;G$4,'Google data'!$B$3:$B$20000,$A20),IF($B20="ChatGPT Ads",SUMIFS('ChatGPT data'!$I$3:$I$20000,'ChatGPT data'!$A$3:$A$20000,"&gt;="&amp;G$3,'ChatGPT data'!$A$3:$A$20000,"&lt;="&amp;G$4,'ChatGPT data'!$B$3:$B$20000,$A20),IF($B20="LinkedIn Ads",SUMIFS('LinkedIn data'!$I$3:$I$20000,'LinkedIn data'!$A$3:$A$20000,"&gt;="&amp;G$3,'LinkedIn data'!$A$3:$A$20000,"&lt;="&amp;G$4,'LinkedIn data'!$B$3:$B$20000,$A20),0)))))</f>
        <v>0</v>
      </c>
      <c r="H20" s="14" t="n">
        <f aca="false">IF($A20="","",IF($B20="Meta",SUMIFS('Meta data'!$I$3:$I$20000,'Meta data'!$A$3:$A$20000,"&gt;="&amp;H$3,'Meta data'!$A$3:$A$20000,"&lt;="&amp;H$4,'Meta data'!$B$3:$B$20000,$A20),IF($B20="Google Ads",SUMIFS('Google data'!$I$3:$I$20000,'Google data'!$A$3:$A$20000,"&gt;="&amp;H$3,'Google data'!$A$3:$A$20000,"&lt;="&amp;H$4,'Google data'!$B$3:$B$20000,$A20),IF($B20="ChatGPT Ads",SUMIFS('ChatGPT data'!$I$3:$I$20000,'ChatGPT data'!$A$3:$A$20000,"&gt;="&amp;H$3,'ChatGPT data'!$A$3:$A$20000,"&lt;="&amp;H$4,'ChatGPT data'!$B$3:$B$20000,$A20),IF($B20="LinkedIn Ads",SUMIFS('LinkedIn data'!$I$3:$I$20000,'LinkedIn data'!$A$3:$A$20000,"&gt;="&amp;H$3,'LinkedIn data'!$A$3:$A$20000,"&lt;="&amp;H$4,'LinkedIn data'!$B$3:$B$20000,$A20),0)))))</f>
        <v>0</v>
      </c>
      <c r="I20" s="14" t="n">
        <f aca="false">IF($A20="","",IF($B20="Meta",SUMIFS('Meta data'!$I$3:$I$20000,'Meta data'!$A$3:$A$20000,"&gt;="&amp;I$3,'Meta data'!$A$3:$A$20000,"&lt;="&amp;I$4,'Meta data'!$B$3:$B$20000,$A20),IF($B20="Google Ads",SUMIFS('Google data'!$I$3:$I$20000,'Google data'!$A$3:$A$20000,"&gt;="&amp;I$3,'Google data'!$A$3:$A$20000,"&lt;="&amp;I$4,'Google data'!$B$3:$B$20000,$A20),IF($B20="ChatGPT Ads",SUMIFS('ChatGPT data'!$I$3:$I$20000,'ChatGPT data'!$A$3:$A$20000,"&gt;="&amp;I$3,'ChatGPT data'!$A$3:$A$20000,"&lt;="&amp;I$4,'ChatGPT data'!$B$3:$B$20000,$A20),IF($B20="LinkedIn Ads",SUMIFS('LinkedIn data'!$I$3:$I$20000,'LinkedIn data'!$A$3:$A$20000,"&gt;="&amp;I$3,'LinkedIn data'!$A$3:$A$20000,"&lt;="&amp;I$4,'LinkedIn data'!$B$3:$B$20000,$A20),0)))))</f>
        <v>0</v>
      </c>
      <c r="J20" s="14" t="n">
        <f aca="false">IF($A20="","",IF($B20="Meta",SUMIFS('Meta data'!$I$3:$I$20000,'Meta data'!$A$3:$A$20000,"&gt;="&amp;J$3,'Meta data'!$A$3:$A$20000,"&lt;="&amp;J$4,'Meta data'!$B$3:$B$20000,$A20),IF($B20="Google Ads",SUMIFS('Google data'!$I$3:$I$20000,'Google data'!$A$3:$A$20000,"&gt;="&amp;J$3,'Google data'!$A$3:$A$20000,"&lt;="&amp;J$4,'Google data'!$B$3:$B$20000,$A20),IF($B20="ChatGPT Ads",SUMIFS('ChatGPT data'!$I$3:$I$20000,'ChatGPT data'!$A$3:$A$20000,"&gt;="&amp;J$3,'ChatGPT data'!$A$3:$A$20000,"&lt;="&amp;J$4,'ChatGPT data'!$B$3:$B$20000,$A20),IF($B20="LinkedIn Ads",SUMIFS('LinkedIn data'!$I$3:$I$20000,'LinkedIn data'!$A$3:$A$20000,"&gt;="&amp;J$3,'LinkedIn data'!$A$3:$A$20000,"&lt;="&amp;J$4,'LinkedIn data'!$B$3:$B$20000,$A20),0)))))</f>
        <v>0</v>
      </c>
      <c r="K20" s="14" t="n">
        <f aca="false">IF($A20="","",IF($B20="Meta",SUMIFS('Meta data'!$I$3:$I$20000,'Meta data'!$A$3:$A$20000,"&gt;="&amp;K$3,'Meta data'!$A$3:$A$20000,"&lt;="&amp;K$4,'Meta data'!$B$3:$B$20000,$A20),IF($B20="Google Ads",SUMIFS('Google data'!$I$3:$I$20000,'Google data'!$A$3:$A$20000,"&gt;="&amp;K$3,'Google data'!$A$3:$A$20000,"&lt;="&amp;K$4,'Google data'!$B$3:$B$20000,$A20),IF($B20="ChatGPT Ads",SUMIFS('ChatGPT data'!$I$3:$I$20000,'ChatGPT data'!$A$3:$A$20000,"&gt;="&amp;K$3,'ChatGPT data'!$A$3:$A$20000,"&lt;="&amp;K$4,'ChatGPT data'!$B$3:$B$20000,$A20),IF($B20="LinkedIn Ads",SUMIFS('LinkedIn data'!$I$3:$I$20000,'LinkedIn data'!$A$3:$A$20000,"&gt;="&amp;K$3,'LinkedIn data'!$A$3:$A$20000,"&lt;="&amp;K$4,'LinkedIn data'!$B$3:$B$20000,$A20),0)))))</f>
        <v>0</v>
      </c>
      <c r="L20" s="14" t="n">
        <f aca="false">IF($A20="","",IF($B20="Meta",SUMIFS('Meta data'!$I$3:$I$20000,'Meta data'!$A$3:$A$20000,"&gt;="&amp;L$3,'Meta data'!$A$3:$A$20000,"&lt;="&amp;L$4,'Meta data'!$B$3:$B$20000,$A20),IF($B20="Google Ads",SUMIFS('Google data'!$I$3:$I$20000,'Google data'!$A$3:$A$20000,"&gt;="&amp;L$3,'Google data'!$A$3:$A$20000,"&lt;="&amp;L$4,'Google data'!$B$3:$B$20000,$A20),IF($B20="ChatGPT Ads",SUMIFS('ChatGPT data'!$I$3:$I$20000,'ChatGPT data'!$A$3:$A$20000,"&gt;="&amp;L$3,'ChatGPT data'!$A$3:$A$20000,"&lt;="&amp;L$4,'ChatGPT data'!$B$3:$B$20000,$A20),IF($B20="LinkedIn Ads",SUMIFS('LinkedIn data'!$I$3:$I$20000,'LinkedIn data'!$A$3:$A$20000,"&gt;="&amp;L$3,'LinkedIn data'!$A$3:$A$20000,"&lt;="&amp;L$4,'LinkedIn data'!$B$3:$B$20000,$A20),0)))))</f>
        <v>1073.68</v>
      </c>
      <c r="M20" s="14" t="n">
        <f aca="false">IF($A20="","",IF($B20="Meta",SUMIFS('Meta data'!$I$3:$I$20000,'Meta data'!$A$3:$A$20000,"&gt;="&amp;M$3,'Meta data'!$A$3:$A$20000,"&lt;="&amp;M$4,'Meta data'!$B$3:$B$20000,$A20),IF($B20="Google Ads",SUMIFS('Google data'!$I$3:$I$20000,'Google data'!$A$3:$A$20000,"&gt;="&amp;M$3,'Google data'!$A$3:$A$20000,"&lt;="&amp;M$4,'Google data'!$B$3:$B$20000,$A20),IF($B20="ChatGPT Ads",SUMIFS('ChatGPT data'!$I$3:$I$20000,'ChatGPT data'!$A$3:$A$20000,"&gt;="&amp;M$3,'ChatGPT data'!$A$3:$A$20000,"&lt;="&amp;M$4,'ChatGPT data'!$B$3:$B$20000,$A20),IF($B20="LinkedIn Ads",SUMIFS('LinkedIn data'!$I$3:$I$20000,'LinkedIn data'!$A$3:$A$20000,"&gt;="&amp;M$3,'LinkedIn data'!$A$3:$A$20000,"&lt;="&amp;M$4,'LinkedIn data'!$B$3:$B$20000,$A20),0)))))</f>
        <v>924.58</v>
      </c>
      <c r="N20" s="14" t="n">
        <f aca="false">IF($A20="","",IF($B20="Meta",SUMIFS('Meta data'!$I$3:$I$20000,'Meta data'!$A$3:$A$20000,"&gt;="&amp;N$3,'Meta data'!$A$3:$A$20000,"&lt;="&amp;N$4,'Meta data'!$B$3:$B$20000,$A20),IF($B20="Google Ads",SUMIFS('Google data'!$I$3:$I$20000,'Google data'!$A$3:$A$20000,"&gt;="&amp;N$3,'Google data'!$A$3:$A$20000,"&lt;="&amp;N$4,'Google data'!$B$3:$B$20000,$A20),IF($B20="ChatGPT Ads",SUMIFS('ChatGPT data'!$I$3:$I$20000,'ChatGPT data'!$A$3:$A$20000,"&gt;="&amp;N$3,'ChatGPT data'!$A$3:$A$20000,"&lt;="&amp;N$4,'ChatGPT data'!$B$3:$B$20000,$A20),IF($B20="LinkedIn Ads",SUMIFS('LinkedIn data'!$I$3:$I$20000,'LinkedIn data'!$A$3:$A$20000,"&gt;="&amp;N$3,'LinkedIn data'!$A$3:$A$20000,"&lt;="&amp;N$4,'LinkedIn data'!$B$3:$B$20000,$A20),0)))))</f>
        <v>463.94</v>
      </c>
      <c r="O20" s="14" t="n">
        <f aca="false">IF($A20="","",IF($B20="Meta",SUMIFS('Meta data'!$I$3:$I$20000,'Meta data'!$A$3:$A$20000,"&gt;="&amp;O$3,'Meta data'!$A$3:$A$20000,"&lt;="&amp;O$4,'Meta data'!$B$3:$B$20000,$A20),IF($B20="Google Ads",SUMIFS('Google data'!$I$3:$I$20000,'Google data'!$A$3:$A$20000,"&gt;="&amp;O$3,'Google data'!$A$3:$A$20000,"&lt;="&amp;O$4,'Google data'!$B$3:$B$20000,$A20),IF($B20="ChatGPT Ads",SUMIFS('ChatGPT data'!$I$3:$I$20000,'ChatGPT data'!$A$3:$A$20000,"&gt;="&amp;O$3,'ChatGPT data'!$A$3:$A$20000,"&lt;="&amp;O$4,'ChatGPT data'!$B$3:$B$20000,$A20),IF($B20="LinkedIn Ads",SUMIFS('LinkedIn data'!$I$3:$I$20000,'LinkedIn data'!$A$3:$A$20000,"&gt;="&amp;O$3,'LinkedIn data'!$A$3:$A$20000,"&lt;="&amp;O$4,'LinkedIn data'!$B$3:$B$20000,$A20),0)))))</f>
        <v>0</v>
      </c>
      <c r="P20" s="14" t="n">
        <f aca="false">IF($A20="","",IF($B20="Meta",SUMIFS('Meta data'!$I$3:$I$20000,'Meta data'!$A$3:$A$20000,"&gt;="&amp;P$3,'Meta data'!$A$3:$A$20000,"&lt;="&amp;P$4,'Meta data'!$B$3:$B$20000,$A20),IF($B20="Google Ads",SUMIFS('Google data'!$I$3:$I$20000,'Google data'!$A$3:$A$20000,"&gt;="&amp;P$3,'Google data'!$A$3:$A$20000,"&lt;="&amp;P$4,'Google data'!$B$3:$B$20000,$A20),IF($B20="ChatGPT Ads",SUMIFS('ChatGPT data'!$I$3:$I$20000,'ChatGPT data'!$A$3:$A$20000,"&gt;="&amp;P$3,'ChatGPT data'!$A$3:$A$20000,"&lt;="&amp;P$4,'ChatGPT data'!$B$3:$B$20000,$A20),IF($B20="LinkedIn Ads",SUMIFS('LinkedIn data'!$I$3:$I$20000,'LinkedIn data'!$A$3:$A$20000,"&gt;="&amp;P$3,'LinkedIn data'!$A$3:$A$20000,"&lt;="&amp;P$4,'LinkedIn data'!$B$3:$B$20000,$A20),0)))))</f>
        <v>0</v>
      </c>
      <c r="Q20" s="14" t="n">
        <f aca="false">IF($A20="","",IF($B20="Meta",SUMIFS('Meta data'!$I$3:$I$20000,'Meta data'!$A$3:$A$20000,"&gt;="&amp;Q$3,'Meta data'!$A$3:$A$20000,"&lt;="&amp;Q$4,'Meta data'!$B$3:$B$20000,$A20),IF($B20="Google Ads",SUMIFS('Google data'!$I$3:$I$20000,'Google data'!$A$3:$A$20000,"&gt;="&amp;Q$3,'Google data'!$A$3:$A$20000,"&lt;="&amp;Q$4,'Google data'!$B$3:$B$20000,$A20),IF($B20="ChatGPT Ads",SUMIFS('ChatGPT data'!$I$3:$I$20000,'ChatGPT data'!$A$3:$A$20000,"&gt;="&amp;Q$3,'ChatGPT data'!$A$3:$A$20000,"&lt;="&amp;Q$4,'ChatGPT data'!$B$3:$B$20000,$A20),IF($B20="LinkedIn Ads",SUMIFS('LinkedIn data'!$I$3:$I$20000,'LinkedIn data'!$A$3:$A$20000,"&gt;="&amp;Q$3,'LinkedIn data'!$A$3:$A$20000,"&lt;="&amp;Q$4,'LinkedIn data'!$B$3:$B$20000,$A20),0)))))</f>
        <v>0</v>
      </c>
      <c r="R20" s="15" t="n">
        <f aca="false">IF($A20="","",SUM(F20:Q20))</f>
        <v>2462.2</v>
      </c>
      <c r="S20" s="37" t="n">
        <f aca="false">IF($A20="","",IF($B20="Meta",SUMIFS('Meta data'!$E$3:$E$20000,'Meta data'!$B$3:$B$20000,$A20),IF($B20="Google Ads",SUMIFS('Google data'!$E$3:$E$20000,'Google data'!$B$3:$B$20000,$A20),IF($B20="ChatGPT Ads",SUMIFS('ChatGPT data'!$E$3:$E$20000,'ChatGPT data'!$B$3:$B$20000,$A20),IF($B20="LinkedIn Ads",SUMIFS('LinkedIn data'!$E$3:$E$20000,'LinkedIn data'!$B$3:$B$20000,$A20),0)))))</f>
        <v>6765</v>
      </c>
      <c r="T20" s="37" t="n">
        <f aca="false">IF($A20="","",IF($B20="Meta",SUMIFS('Meta data'!$F$3:$F$20000,'Meta data'!$B$3:$B$20000,$A20),IF($B20="Google Ads",SUMIFS('Google data'!$F$3:$F$20000,'Google data'!$B$3:$B$20000,$A20),IF($B20="ChatGPT Ads",SUMIFS('ChatGPT data'!$F$3:$F$20000,'ChatGPT data'!$B$3:$B$20000,$A20),IF($B20="LinkedIn Ads",SUMIFS('LinkedIn data'!$F$3:$F$20000,'LinkedIn data'!$B$3:$B$20000,$A20),0)))))</f>
        <v>73</v>
      </c>
      <c r="U20" s="38" t="n">
        <f aca="false">IF(OR($A20="",T20=0),"",R20/T20)</f>
        <v>33.7287671232877</v>
      </c>
    </row>
    <row r="21" customFormat="false" ht="15" hidden="false" customHeight="false" outlineLevel="0" collapsed="false">
      <c r="A21" s="58" t="s">
        <v>180</v>
      </c>
      <c r="B21" s="58" t="s">
        <v>19</v>
      </c>
      <c r="C21" s="58" t="s">
        <v>144</v>
      </c>
      <c r="D21" s="58" t="s">
        <v>123</v>
      </c>
      <c r="E21" s="58" t="s">
        <v>149</v>
      </c>
      <c r="F21" s="14" t="n">
        <f aca="false">IF($A21="","",IF($B21="Meta",SUMIFS('Meta data'!$I$3:$I$20000,'Meta data'!$A$3:$A$20000,"&gt;="&amp;F$3,'Meta data'!$A$3:$A$20000,"&lt;="&amp;F$4,'Meta data'!$B$3:$B$20000,$A21),IF($B21="Google Ads",SUMIFS('Google data'!$I$3:$I$20000,'Google data'!$A$3:$A$20000,"&gt;="&amp;F$3,'Google data'!$A$3:$A$20000,"&lt;="&amp;F$4,'Google data'!$B$3:$B$20000,$A21),IF($B21="ChatGPT Ads",SUMIFS('ChatGPT data'!$I$3:$I$20000,'ChatGPT data'!$A$3:$A$20000,"&gt;="&amp;F$3,'ChatGPT data'!$A$3:$A$20000,"&lt;="&amp;F$4,'ChatGPT data'!$B$3:$B$20000,$A21),IF($B21="LinkedIn Ads",SUMIFS('LinkedIn data'!$I$3:$I$20000,'LinkedIn data'!$A$3:$A$20000,"&gt;="&amp;F$3,'LinkedIn data'!$A$3:$A$20000,"&lt;="&amp;F$4,'LinkedIn data'!$B$3:$B$20000,$A21),0)))))</f>
        <v>0</v>
      </c>
      <c r="G21" s="14" t="n">
        <f aca="false">IF($A21="","",IF($B21="Meta",SUMIFS('Meta data'!$I$3:$I$20000,'Meta data'!$A$3:$A$20000,"&gt;="&amp;G$3,'Meta data'!$A$3:$A$20000,"&lt;="&amp;G$4,'Meta data'!$B$3:$B$20000,$A21),IF($B21="Google Ads",SUMIFS('Google data'!$I$3:$I$20000,'Google data'!$A$3:$A$20000,"&gt;="&amp;G$3,'Google data'!$A$3:$A$20000,"&lt;="&amp;G$4,'Google data'!$B$3:$B$20000,$A21),IF($B21="ChatGPT Ads",SUMIFS('ChatGPT data'!$I$3:$I$20000,'ChatGPT data'!$A$3:$A$20000,"&gt;="&amp;G$3,'ChatGPT data'!$A$3:$A$20000,"&lt;="&amp;G$4,'ChatGPT data'!$B$3:$B$20000,$A21),IF($B21="LinkedIn Ads",SUMIFS('LinkedIn data'!$I$3:$I$20000,'LinkedIn data'!$A$3:$A$20000,"&gt;="&amp;G$3,'LinkedIn data'!$A$3:$A$20000,"&lt;="&amp;G$4,'LinkedIn data'!$B$3:$B$20000,$A21),0)))))</f>
        <v>0</v>
      </c>
      <c r="H21" s="14" t="n">
        <f aca="false">IF($A21="","",IF($B21="Meta",SUMIFS('Meta data'!$I$3:$I$20000,'Meta data'!$A$3:$A$20000,"&gt;="&amp;H$3,'Meta data'!$A$3:$A$20000,"&lt;="&amp;H$4,'Meta data'!$B$3:$B$20000,$A21),IF($B21="Google Ads",SUMIFS('Google data'!$I$3:$I$20000,'Google data'!$A$3:$A$20000,"&gt;="&amp;H$3,'Google data'!$A$3:$A$20000,"&lt;="&amp;H$4,'Google data'!$B$3:$B$20000,$A21),IF($B21="ChatGPT Ads",SUMIFS('ChatGPT data'!$I$3:$I$20000,'ChatGPT data'!$A$3:$A$20000,"&gt;="&amp;H$3,'ChatGPT data'!$A$3:$A$20000,"&lt;="&amp;H$4,'ChatGPT data'!$B$3:$B$20000,$A21),IF($B21="LinkedIn Ads",SUMIFS('LinkedIn data'!$I$3:$I$20000,'LinkedIn data'!$A$3:$A$20000,"&gt;="&amp;H$3,'LinkedIn data'!$A$3:$A$20000,"&lt;="&amp;H$4,'LinkedIn data'!$B$3:$B$20000,$A21),0)))))</f>
        <v>0</v>
      </c>
      <c r="I21" s="14" t="n">
        <f aca="false">IF($A21="","",IF($B21="Meta",SUMIFS('Meta data'!$I$3:$I$20000,'Meta data'!$A$3:$A$20000,"&gt;="&amp;I$3,'Meta data'!$A$3:$A$20000,"&lt;="&amp;I$4,'Meta data'!$B$3:$B$20000,$A21),IF($B21="Google Ads",SUMIFS('Google data'!$I$3:$I$20000,'Google data'!$A$3:$A$20000,"&gt;="&amp;I$3,'Google data'!$A$3:$A$20000,"&lt;="&amp;I$4,'Google data'!$B$3:$B$20000,$A21),IF($B21="ChatGPT Ads",SUMIFS('ChatGPT data'!$I$3:$I$20000,'ChatGPT data'!$A$3:$A$20000,"&gt;="&amp;I$3,'ChatGPT data'!$A$3:$A$20000,"&lt;="&amp;I$4,'ChatGPT data'!$B$3:$B$20000,$A21),IF($B21="LinkedIn Ads",SUMIFS('LinkedIn data'!$I$3:$I$20000,'LinkedIn data'!$A$3:$A$20000,"&gt;="&amp;I$3,'LinkedIn data'!$A$3:$A$20000,"&lt;="&amp;I$4,'LinkedIn data'!$B$3:$B$20000,$A21),0)))))</f>
        <v>0</v>
      </c>
      <c r="J21" s="14" t="n">
        <f aca="false">IF($A21="","",IF($B21="Meta",SUMIFS('Meta data'!$I$3:$I$20000,'Meta data'!$A$3:$A$20000,"&gt;="&amp;J$3,'Meta data'!$A$3:$A$20000,"&lt;="&amp;J$4,'Meta data'!$B$3:$B$20000,$A21),IF($B21="Google Ads",SUMIFS('Google data'!$I$3:$I$20000,'Google data'!$A$3:$A$20000,"&gt;="&amp;J$3,'Google data'!$A$3:$A$20000,"&lt;="&amp;J$4,'Google data'!$B$3:$B$20000,$A21),IF($B21="ChatGPT Ads",SUMIFS('ChatGPT data'!$I$3:$I$20000,'ChatGPT data'!$A$3:$A$20000,"&gt;="&amp;J$3,'ChatGPT data'!$A$3:$A$20000,"&lt;="&amp;J$4,'ChatGPT data'!$B$3:$B$20000,$A21),IF($B21="LinkedIn Ads",SUMIFS('LinkedIn data'!$I$3:$I$20000,'LinkedIn data'!$A$3:$A$20000,"&gt;="&amp;J$3,'LinkedIn data'!$A$3:$A$20000,"&lt;="&amp;J$4,'LinkedIn data'!$B$3:$B$20000,$A21),0)))))</f>
        <v>0</v>
      </c>
      <c r="K21" s="14" t="n">
        <f aca="false">IF($A21="","",IF($B21="Meta",SUMIFS('Meta data'!$I$3:$I$20000,'Meta data'!$A$3:$A$20000,"&gt;="&amp;K$3,'Meta data'!$A$3:$A$20000,"&lt;="&amp;K$4,'Meta data'!$B$3:$B$20000,$A21),IF($B21="Google Ads",SUMIFS('Google data'!$I$3:$I$20000,'Google data'!$A$3:$A$20000,"&gt;="&amp;K$3,'Google data'!$A$3:$A$20000,"&lt;="&amp;K$4,'Google data'!$B$3:$B$20000,$A21),IF($B21="ChatGPT Ads",SUMIFS('ChatGPT data'!$I$3:$I$20000,'ChatGPT data'!$A$3:$A$20000,"&gt;="&amp;K$3,'ChatGPT data'!$A$3:$A$20000,"&lt;="&amp;K$4,'ChatGPT data'!$B$3:$B$20000,$A21),IF($B21="LinkedIn Ads",SUMIFS('LinkedIn data'!$I$3:$I$20000,'LinkedIn data'!$A$3:$A$20000,"&gt;="&amp;K$3,'LinkedIn data'!$A$3:$A$20000,"&lt;="&amp;K$4,'LinkedIn data'!$B$3:$B$20000,$A21),0)))))</f>
        <v>0</v>
      </c>
      <c r="L21" s="14" t="n">
        <f aca="false">IF($A21="","",IF($B21="Meta",SUMIFS('Meta data'!$I$3:$I$20000,'Meta data'!$A$3:$A$20000,"&gt;="&amp;L$3,'Meta data'!$A$3:$A$20000,"&lt;="&amp;L$4,'Meta data'!$B$3:$B$20000,$A21),IF($B21="Google Ads",SUMIFS('Google data'!$I$3:$I$20000,'Google data'!$A$3:$A$20000,"&gt;="&amp;L$3,'Google data'!$A$3:$A$20000,"&lt;="&amp;L$4,'Google data'!$B$3:$B$20000,$A21),IF($B21="ChatGPT Ads",SUMIFS('ChatGPT data'!$I$3:$I$20000,'ChatGPT data'!$A$3:$A$20000,"&gt;="&amp;L$3,'ChatGPT data'!$A$3:$A$20000,"&lt;="&amp;L$4,'ChatGPT data'!$B$3:$B$20000,$A21),IF($B21="LinkedIn Ads",SUMIFS('LinkedIn data'!$I$3:$I$20000,'LinkedIn data'!$A$3:$A$20000,"&gt;="&amp;L$3,'LinkedIn data'!$A$3:$A$20000,"&lt;="&amp;L$4,'LinkedIn data'!$B$3:$B$20000,$A21),0)))))</f>
        <v>1055.07</v>
      </c>
      <c r="M21" s="14" t="n">
        <f aca="false">IF($A21="","",IF($B21="Meta",SUMIFS('Meta data'!$I$3:$I$20000,'Meta data'!$A$3:$A$20000,"&gt;="&amp;M$3,'Meta data'!$A$3:$A$20000,"&lt;="&amp;M$4,'Meta data'!$B$3:$B$20000,$A21),IF($B21="Google Ads",SUMIFS('Google data'!$I$3:$I$20000,'Google data'!$A$3:$A$20000,"&gt;="&amp;M$3,'Google data'!$A$3:$A$20000,"&lt;="&amp;M$4,'Google data'!$B$3:$B$20000,$A21),IF($B21="ChatGPT Ads",SUMIFS('ChatGPT data'!$I$3:$I$20000,'ChatGPT data'!$A$3:$A$20000,"&gt;="&amp;M$3,'ChatGPT data'!$A$3:$A$20000,"&lt;="&amp;M$4,'ChatGPT data'!$B$3:$B$20000,$A21),IF($B21="LinkedIn Ads",SUMIFS('LinkedIn data'!$I$3:$I$20000,'LinkedIn data'!$A$3:$A$20000,"&gt;="&amp;M$3,'LinkedIn data'!$A$3:$A$20000,"&lt;="&amp;M$4,'LinkedIn data'!$B$3:$B$20000,$A21),0)))))</f>
        <v>919.73</v>
      </c>
      <c r="N21" s="14" t="n">
        <f aca="false">IF($A21="","",IF($B21="Meta",SUMIFS('Meta data'!$I$3:$I$20000,'Meta data'!$A$3:$A$20000,"&gt;="&amp;N$3,'Meta data'!$A$3:$A$20000,"&lt;="&amp;N$4,'Meta data'!$B$3:$B$20000,$A21),IF($B21="Google Ads",SUMIFS('Google data'!$I$3:$I$20000,'Google data'!$A$3:$A$20000,"&gt;="&amp;N$3,'Google data'!$A$3:$A$20000,"&lt;="&amp;N$4,'Google data'!$B$3:$B$20000,$A21),IF($B21="ChatGPT Ads",SUMIFS('ChatGPT data'!$I$3:$I$20000,'ChatGPT data'!$A$3:$A$20000,"&gt;="&amp;N$3,'ChatGPT data'!$A$3:$A$20000,"&lt;="&amp;N$4,'ChatGPT data'!$B$3:$B$20000,$A21),IF($B21="LinkedIn Ads",SUMIFS('LinkedIn data'!$I$3:$I$20000,'LinkedIn data'!$A$3:$A$20000,"&gt;="&amp;N$3,'LinkedIn data'!$A$3:$A$20000,"&lt;="&amp;N$4,'LinkedIn data'!$B$3:$B$20000,$A21),0)))))</f>
        <v>480.55</v>
      </c>
      <c r="O21" s="14" t="n">
        <f aca="false">IF($A21="","",IF($B21="Meta",SUMIFS('Meta data'!$I$3:$I$20000,'Meta data'!$A$3:$A$20000,"&gt;="&amp;O$3,'Meta data'!$A$3:$A$20000,"&lt;="&amp;O$4,'Meta data'!$B$3:$B$20000,$A21),IF($B21="Google Ads",SUMIFS('Google data'!$I$3:$I$20000,'Google data'!$A$3:$A$20000,"&gt;="&amp;O$3,'Google data'!$A$3:$A$20000,"&lt;="&amp;O$4,'Google data'!$B$3:$B$20000,$A21),IF($B21="ChatGPT Ads",SUMIFS('ChatGPT data'!$I$3:$I$20000,'ChatGPT data'!$A$3:$A$20000,"&gt;="&amp;O$3,'ChatGPT data'!$A$3:$A$20000,"&lt;="&amp;O$4,'ChatGPT data'!$B$3:$B$20000,$A21),IF($B21="LinkedIn Ads",SUMIFS('LinkedIn data'!$I$3:$I$20000,'LinkedIn data'!$A$3:$A$20000,"&gt;="&amp;O$3,'LinkedIn data'!$A$3:$A$20000,"&lt;="&amp;O$4,'LinkedIn data'!$B$3:$B$20000,$A21),0)))))</f>
        <v>0</v>
      </c>
      <c r="P21" s="14" t="n">
        <f aca="false">IF($A21="","",IF($B21="Meta",SUMIFS('Meta data'!$I$3:$I$20000,'Meta data'!$A$3:$A$20000,"&gt;="&amp;P$3,'Meta data'!$A$3:$A$20000,"&lt;="&amp;P$4,'Meta data'!$B$3:$B$20000,$A21),IF($B21="Google Ads",SUMIFS('Google data'!$I$3:$I$20000,'Google data'!$A$3:$A$20000,"&gt;="&amp;P$3,'Google data'!$A$3:$A$20000,"&lt;="&amp;P$4,'Google data'!$B$3:$B$20000,$A21),IF($B21="ChatGPT Ads",SUMIFS('ChatGPT data'!$I$3:$I$20000,'ChatGPT data'!$A$3:$A$20000,"&gt;="&amp;P$3,'ChatGPT data'!$A$3:$A$20000,"&lt;="&amp;P$4,'ChatGPT data'!$B$3:$B$20000,$A21),IF($B21="LinkedIn Ads",SUMIFS('LinkedIn data'!$I$3:$I$20000,'LinkedIn data'!$A$3:$A$20000,"&gt;="&amp;P$3,'LinkedIn data'!$A$3:$A$20000,"&lt;="&amp;P$4,'LinkedIn data'!$B$3:$B$20000,$A21),0)))))</f>
        <v>0</v>
      </c>
      <c r="Q21" s="14" t="n">
        <f aca="false">IF($A21="","",IF($B21="Meta",SUMIFS('Meta data'!$I$3:$I$20000,'Meta data'!$A$3:$A$20000,"&gt;="&amp;Q$3,'Meta data'!$A$3:$A$20000,"&lt;="&amp;Q$4,'Meta data'!$B$3:$B$20000,$A21),IF($B21="Google Ads",SUMIFS('Google data'!$I$3:$I$20000,'Google data'!$A$3:$A$20000,"&gt;="&amp;Q$3,'Google data'!$A$3:$A$20000,"&lt;="&amp;Q$4,'Google data'!$B$3:$B$20000,$A21),IF($B21="ChatGPT Ads",SUMIFS('ChatGPT data'!$I$3:$I$20000,'ChatGPT data'!$A$3:$A$20000,"&gt;="&amp;Q$3,'ChatGPT data'!$A$3:$A$20000,"&lt;="&amp;Q$4,'ChatGPT data'!$B$3:$B$20000,$A21),IF($B21="LinkedIn Ads",SUMIFS('LinkedIn data'!$I$3:$I$20000,'LinkedIn data'!$A$3:$A$20000,"&gt;="&amp;Q$3,'LinkedIn data'!$A$3:$A$20000,"&lt;="&amp;Q$4,'LinkedIn data'!$B$3:$B$20000,$A21),0)))))</f>
        <v>0</v>
      </c>
      <c r="R21" s="15" t="n">
        <f aca="false">IF($A21="","",SUM(F21:Q21))</f>
        <v>2455.35</v>
      </c>
      <c r="S21" s="37" t="n">
        <f aca="false">IF($A21="","",IF($B21="Meta",SUMIFS('Meta data'!$E$3:$E$20000,'Meta data'!$B$3:$B$20000,$A21),IF($B21="Google Ads",SUMIFS('Google data'!$E$3:$E$20000,'Google data'!$B$3:$B$20000,$A21),IF($B21="ChatGPT Ads",SUMIFS('ChatGPT data'!$E$3:$E$20000,'ChatGPT data'!$B$3:$B$20000,$A21),IF($B21="LinkedIn Ads",SUMIFS('LinkedIn data'!$E$3:$E$20000,'LinkedIn data'!$B$3:$B$20000,$A21),0)))))</f>
        <v>2413</v>
      </c>
      <c r="T21" s="37" t="n">
        <f aca="false">IF($A21="","",IF($B21="Meta",SUMIFS('Meta data'!$F$3:$F$20000,'Meta data'!$B$3:$B$20000,$A21),IF($B21="Google Ads",SUMIFS('Google data'!$F$3:$F$20000,'Google data'!$B$3:$B$20000,$A21),IF($B21="ChatGPT Ads",SUMIFS('ChatGPT data'!$F$3:$F$20000,'ChatGPT data'!$B$3:$B$20000,$A21),IF($B21="LinkedIn Ads",SUMIFS('LinkedIn data'!$F$3:$F$20000,'LinkedIn data'!$B$3:$B$20000,$A21),0)))))</f>
        <v>112</v>
      </c>
      <c r="U21" s="38" t="n">
        <f aca="false">IF(OR($A21="",T21=0),"",R21/T21)</f>
        <v>21.9227678571429</v>
      </c>
    </row>
    <row r="22" customFormat="false" ht="15" hidden="false" customHeight="false" outlineLevel="0" collapsed="false">
      <c r="A22" s="58" t="s">
        <v>181</v>
      </c>
      <c r="B22" s="58" t="s">
        <v>19</v>
      </c>
      <c r="C22" s="58" t="s">
        <v>134</v>
      </c>
      <c r="D22" s="58" t="s">
        <v>124</v>
      </c>
      <c r="E22" s="58" t="s">
        <v>155</v>
      </c>
      <c r="F22" s="14" t="n">
        <f aca="false">IF($A22="","",IF($B22="Meta",SUMIFS('Meta data'!$I$3:$I$20000,'Meta data'!$A$3:$A$20000,"&gt;="&amp;F$3,'Meta data'!$A$3:$A$20000,"&lt;="&amp;F$4,'Meta data'!$B$3:$B$20000,$A22),IF($B22="Google Ads",SUMIFS('Google data'!$I$3:$I$20000,'Google data'!$A$3:$A$20000,"&gt;="&amp;F$3,'Google data'!$A$3:$A$20000,"&lt;="&amp;F$4,'Google data'!$B$3:$B$20000,$A22),IF($B22="ChatGPT Ads",SUMIFS('ChatGPT data'!$I$3:$I$20000,'ChatGPT data'!$A$3:$A$20000,"&gt;="&amp;F$3,'ChatGPT data'!$A$3:$A$20000,"&lt;="&amp;F$4,'ChatGPT data'!$B$3:$B$20000,$A22),IF($B22="LinkedIn Ads",SUMIFS('LinkedIn data'!$I$3:$I$20000,'LinkedIn data'!$A$3:$A$20000,"&gt;="&amp;F$3,'LinkedIn data'!$A$3:$A$20000,"&lt;="&amp;F$4,'LinkedIn data'!$B$3:$B$20000,$A22),0)))))</f>
        <v>0</v>
      </c>
      <c r="G22" s="14" t="n">
        <f aca="false">IF($A22="","",IF($B22="Meta",SUMIFS('Meta data'!$I$3:$I$20000,'Meta data'!$A$3:$A$20000,"&gt;="&amp;G$3,'Meta data'!$A$3:$A$20000,"&lt;="&amp;G$4,'Meta data'!$B$3:$B$20000,$A22),IF($B22="Google Ads",SUMIFS('Google data'!$I$3:$I$20000,'Google data'!$A$3:$A$20000,"&gt;="&amp;G$3,'Google data'!$A$3:$A$20000,"&lt;="&amp;G$4,'Google data'!$B$3:$B$20000,$A22),IF($B22="ChatGPT Ads",SUMIFS('ChatGPT data'!$I$3:$I$20000,'ChatGPT data'!$A$3:$A$20000,"&gt;="&amp;G$3,'ChatGPT data'!$A$3:$A$20000,"&lt;="&amp;G$4,'ChatGPT data'!$B$3:$B$20000,$A22),IF($B22="LinkedIn Ads",SUMIFS('LinkedIn data'!$I$3:$I$20000,'LinkedIn data'!$A$3:$A$20000,"&gt;="&amp;G$3,'LinkedIn data'!$A$3:$A$20000,"&lt;="&amp;G$4,'LinkedIn data'!$B$3:$B$20000,$A22),0)))))</f>
        <v>2286.95</v>
      </c>
      <c r="H22" s="14" t="n">
        <f aca="false">IF($A22="","",IF($B22="Meta",SUMIFS('Meta data'!$I$3:$I$20000,'Meta data'!$A$3:$A$20000,"&gt;="&amp;H$3,'Meta data'!$A$3:$A$20000,"&lt;="&amp;H$4,'Meta data'!$B$3:$B$20000,$A22),IF($B22="Google Ads",SUMIFS('Google data'!$I$3:$I$20000,'Google data'!$A$3:$A$20000,"&gt;="&amp;H$3,'Google data'!$A$3:$A$20000,"&lt;="&amp;H$4,'Google data'!$B$3:$B$20000,$A22),IF($B22="ChatGPT Ads",SUMIFS('ChatGPT data'!$I$3:$I$20000,'ChatGPT data'!$A$3:$A$20000,"&gt;="&amp;H$3,'ChatGPT data'!$A$3:$A$20000,"&lt;="&amp;H$4,'ChatGPT data'!$B$3:$B$20000,$A22),IF($B22="LinkedIn Ads",SUMIFS('LinkedIn data'!$I$3:$I$20000,'LinkedIn data'!$A$3:$A$20000,"&gt;="&amp;H$3,'LinkedIn data'!$A$3:$A$20000,"&lt;="&amp;H$4,'LinkedIn data'!$B$3:$B$20000,$A22),0)))))</f>
        <v>0</v>
      </c>
      <c r="I22" s="14" t="n">
        <f aca="false">IF($A22="","",IF($B22="Meta",SUMIFS('Meta data'!$I$3:$I$20000,'Meta data'!$A$3:$A$20000,"&gt;="&amp;I$3,'Meta data'!$A$3:$A$20000,"&lt;="&amp;I$4,'Meta data'!$B$3:$B$20000,$A22),IF($B22="Google Ads",SUMIFS('Google data'!$I$3:$I$20000,'Google data'!$A$3:$A$20000,"&gt;="&amp;I$3,'Google data'!$A$3:$A$20000,"&lt;="&amp;I$4,'Google data'!$B$3:$B$20000,$A22),IF($B22="ChatGPT Ads",SUMIFS('ChatGPT data'!$I$3:$I$20000,'ChatGPT data'!$A$3:$A$20000,"&gt;="&amp;I$3,'ChatGPT data'!$A$3:$A$20000,"&lt;="&amp;I$4,'ChatGPT data'!$B$3:$B$20000,$A22),IF($B22="LinkedIn Ads",SUMIFS('LinkedIn data'!$I$3:$I$20000,'LinkedIn data'!$A$3:$A$20000,"&gt;="&amp;I$3,'LinkedIn data'!$A$3:$A$20000,"&lt;="&amp;I$4,'LinkedIn data'!$B$3:$B$20000,$A22),0)))))</f>
        <v>0</v>
      </c>
      <c r="J22" s="14" t="n">
        <f aca="false">IF($A22="","",IF($B22="Meta",SUMIFS('Meta data'!$I$3:$I$20000,'Meta data'!$A$3:$A$20000,"&gt;="&amp;J$3,'Meta data'!$A$3:$A$20000,"&lt;="&amp;J$4,'Meta data'!$B$3:$B$20000,$A22),IF($B22="Google Ads",SUMIFS('Google data'!$I$3:$I$20000,'Google data'!$A$3:$A$20000,"&gt;="&amp;J$3,'Google data'!$A$3:$A$20000,"&lt;="&amp;J$4,'Google data'!$B$3:$B$20000,$A22),IF($B22="ChatGPT Ads",SUMIFS('ChatGPT data'!$I$3:$I$20000,'ChatGPT data'!$A$3:$A$20000,"&gt;="&amp;J$3,'ChatGPT data'!$A$3:$A$20000,"&lt;="&amp;J$4,'ChatGPT data'!$B$3:$B$20000,$A22),IF($B22="LinkedIn Ads",SUMIFS('LinkedIn data'!$I$3:$I$20000,'LinkedIn data'!$A$3:$A$20000,"&gt;="&amp;J$3,'LinkedIn data'!$A$3:$A$20000,"&lt;="&amp;J$4,'LinkedIn data'!$B$3:$B$20000,$A22),0)))))</f>
        <v>0</v>
      </c>
      <c r="K22" s="14" t="n">
        <f aca="false">IF($A22="","",IF($B22="Meta",SUMIFS('Meta data'!$I$3:$I$20000,'Meta data'!$A$3:$A$20000,"&gt;="&amp;K$3,'Meta data'!$A$3:$A$20000,"&lt;="&amp;K$4,'Meta data'!$B$3:$B$20000,$A22),IF($B22="Google Ads",SUMIFS('Google data'!$I$3:$I$20000,'Google data'!$A$3:$A$20000,"&gt;="&amp;K$3,'Google data'!$A$3:$A$20000,"&lt;="&amp;K$4,'Google data'!$B$3:$B$20000,$A22),IF($B22="ChatGPT Ads",SUMIFS('ChatGPT data'!$I$3:$I$20000,'ChatGPT data'!$A$3:$A$20000,"&gt;="&amp;K$3,'ChatGPT data'!$A$3:$A$20000,"&lt;="&amp;K$4,'ChatGPT data'!$B$3:$B$20000,$A22),IF($B22="LinkedIn Ads",SUMIFS('LinkedIn data'!$I$3:$I$20000,'LinkedIn data'!$A$3:$A$20000,"&gt;="&amp;K$3,'LinkedIn data'!$A$3:$A$20000,"&lt;="&amp;K$4,'LinkedIn data'!$B$3:$B$20000,$A22),0)))))</f>
        <v>0</v>
      </c>
      <c r="L22" s="14" t="n">
        <f aca="false">IF($A22="","",IF($B22="Meta",SUMIFS('Meta data'!$I$3:$I$20000,'Meta data'!$A$3:$A$20000,"&gt;="&amp;L$3,'Meta data'!$A$3:$A$20000,"&lt;="&amp;L$4,'Meta data'!$B$3:$B$20000,$A22),IF($B22="Google Ads",SUMIFS('Google data'!$I$3:$I$20000,'Google data'!$A$3:$A$20000,"&gt;="&amp;L$3,'Google data'!$A$3:$A$20000,"&lt;="&amp;L$4,'Google data'!$B$3:$B$20000,$A22),IF($B22="ChatGPT Ads",SUMIFS('ChatGPT data'!$I$3:$I$20000,'ChatGPT data'!$A$3:$A$20000,"&gt;="&amp;L$3,'ChatGPT data'!$A$3:$A$20000,"&lt;="&amp;L$4,'ChatGPT data'!$B$3:$B$20000,$A22),IF($B22="LinkedIn Ads",SUMIFS('LinkedIn data'!$I$3:$I$20000,'LinkedIn data'!$A$3:$A$20000,"&gt;="&amp;L$3,'LinkedIn data'!$A$3:$A$20000,"&lt;="&amp;L$4,'LinkedIn data'!$B$3:$B$20000,$A22),0)))))</f>
        <v>0</v>
      </c>
      <c r="M22" s="14" t="n">
        <f aca="false">IF($A22="","",IF($B22="Meta",SUMIFS('Meta data'!$I$3:$I$20000,'Meta data'!$A$3:$A$20000,"&gt;="&amp;M$3,'Meta data'!$A$3:$A$20000,"&lt;="&amp;M$4,'Meta data'!$B$3:$B$20000,$A22),IF($B22="Google Ads",SUMIFS('Google data'!$I$3:$I$20000,'Google data'!$A$3:$A$20000,"&gt;="&amp;M$3,'Google data'!$A$3:$A$20000,"&lt;="&amp;M$4,'Google data'!$B$3:$B$20000,$A22),IF($B22="ChatGPT Ads",SUMIFS('ChatGPT data'!$I$3:$I$20000,'ChatGPT data'!$A$3:$A$20000,"&gt;="&amp;M$3,'ChatGPT data'!$A$3:$A$20000,"&lt;="&amp;M$4,'ChatGPT data'!$B$3:$B$20000,$A22),IF($B22="LinkedIn Ads",SUMIFS('LinkedIn data'!$I$3:$I$20000,'LinkedIn data'!$A$3:$A$20000,"&gt;="&amp;M$3,'LinkedIn data'!$A$3:$A$20000,"&lt;="&amp;M$4,'LinkedIn data'!$B$3:$B$20000,$A22),0)))))</f>
        <v>0</v>
      </c>
      <c r="N22" s="14" t="n">
        <f aca="false">IF($A22="","",IF($B22="Meta",SUMIFS('Meta data'!$I$3:$I$20000,'Meta data'!$A$3:$A$20000,"&gt;="&amp;N$3,'Meta data'!$A$3:$A$20000,"&lt;="&amp;N$4,'Meta data'!$B$3:$B$20000,$A22),IF($B22="Google Ads",SUMIFS('Google data'!$I$3:$I$20000,'Google data'!$A$3:$A$20000,"&gt;="&amp;N$3,'Google data'!$A$3:$A$20000,"&lt;="&amp;N$4,'Google data'!$B$3:$B$20000,$A22),IF($B22="ChatGPT Ads",SUMIFS('ChatGPT data'!$I$3:$I$20000,'ChatGPT data'!$A$3:$A$20000,"&gt;="&amp;N$3,'ChatGPT data'!$A$3:$A$20000,"&lt;="&amp;N$4,'ChatGPT data'!$B$3:$B$20000,$A22),IF($B22="LinkedIn Ads",SUMIFS('LinkedIn data'!$I$3:$I$20000,'LinkedIn data'!$A$3:$A$20000,"&gt;="&amp;N$3,'LinkedIn data'!$A$3:$A$20000,"&lt;="&amp;N$4,'LinkedIn data'!$B$3:$B$20000,$A22),0)))))</f>
        <v>0</v>
      </c>
      <c r="O22" s="14" t="n">
        <f aca="false">IF($A22="","",IF($B22="Meta",SUMIFS('Meta data'!$I$3:$I$20000,'Meta data'!$A$3:$A$20000,"&gt;="&amp;O$3,'Meta data'!$A$3:$A$20000,"&lt;="&amp;O$4,'Meta data'!$B$3:$B$20000,$A22),IF($B22="Google Ads",SUMIFS('Google data'!$I$3:$I$20000,'Google data'!$A$3:$A$20000,"&gt;="&amp;O$3,'Google data'!$A$3:$A$20000,"&lt;="&amp;O$4,'Google data'!$B$3:$B$20000,$A22),IF($B22="ChatGPT Ads",SUMIFS('ChatGPT data'!$I$3:$I$20000,'ChatGPT data'!$A$3:$A$20000,"&gt;="&amp;O$3,'ChatGPT data'!$A$3:$A$20000,"&lt;="&amp;O$4,'ChatGPT data'!$B$3:$B$20000,$A22),IF($B22="LinkedIn Ads",SUMIFS('LinkedIn data'!$I$3:$I$20000,'LinkedIn data'!$A$3:$A$20000,"&gt;="&amp;O$3,'LinkedIn data'!$A$3:$A$20000,"&lt;="&amp;O$4,'LinkedIn data'!$B$3:$B$20000,$A22),0)))))</f>
        <v>0</v>
      </c>
      <c r="P22" s="14" t="n">
        <f aca="false">IF($A22="","",IF($B22="Meta",SUMIFS('Meta data'!$I$3:$I$20000,'Meta data'!$A$3:$A$20000,"&gt;="&amp;P$3,'Meta data'!$A$3:$A$20000,"&lt;="&amp;P$4,'Meta data'!$B$3:$B$20000,$A22),IF($B22="Google Ads",SUMIFS('Google data'!$I$3:$I$20000,'Google data'!$A$3:$A$20000,"&gt;="&amp;P$3,'Google data'!$A$3:$A$20000,"&lt;="&amp;P$4,'Google data'!$B$3:$B$20000,$A22),IF($B22="ChatGPT Ads",SUMIFS('ChatGPT data'!$I$3:$I$20000,'ChatGPT data'!$A$3:$A$20000,"&gt;="&amp;P$3,'ChatGPT data'!$A$3:$A$20000,"&lt;="&amp;P$4,'ChatGPT data'!$B$3:$B$20000,$A22),IF($B22="LinkedIn Ads",SUMIFS('LinkedIn data'!$I$3:$I$20000,'LinkedIn data'!$A$3:$A$20000,"&gt;="&amp;P$3,'LinkedIn data'!$A$3:$A$20000,"&lt;="&amp;P$4,'LinkedIn data'!$B$3:$B$20000,$A22),0)))))</f>
        <v>0</v>
      </c>
      <c r="Q22" s="14" t="n">
        <f aca="false">IF($A22="","",IF($B22="Meta",SUMIFS('Meta data'!$I$3:$I$20000,'Meta data'!$A$3:$A$20000,"&gt;="&amp;Q$3,'Meta data'!$A$3:$A$20000,"&lt;="&amp;Q$4,'Meta data'!$B$3:$B$20000,$A22),IF($B22="Google Ads",SUMIFS('Google data'!$I$3:$I$20000,'Google data'!$A$3:$A$20000,"&gt;="&amp;Q$3,'Google data'!$A$3:$A$20000,"&lt;="&amp;Q$4,'Google data'!$B$3:$B$20000,$A22),IF($B22="ChatGPT Ads",SUMIFS('ChatGPT data'!$I$3:$I$20000,'ChatGPT data'!$A$3:$A$20000,"&gt;="&amp;Q$3,'ChatGPT data'!$A$3:$A$20000,"&lt;="&amp;Q$4,'ChatGPT data'!$B$3:$B$20000,$A22),IF($B22="LinkedIn Ads",SUMIFS('LinkedIn data'!$I$3:$I$20000,'LinkedIn data'!$A$3:$A$20000,"&gt;="&amp;Q$3,'LinkedIn data'!$A$3:$A$20000,"&lt;="&amp;Q$4,'LinkedIn data'!$B$3:$B$20000,$A22),0)))))</f>
        <v>0</v>
      </c>
      <c r="R22" s="15" t="n">
        <f aca="false">IF($A22="","",SUM(F22:Q22))</f>
        <v>2286.95</v>
      </c>
      <c r="S22" s="37" t="n">
        <f aca="false">IF($A22="","",IF($B22="Meta",SUMIFS('Meta data'!$E$3:$E$20000,'Meta data'!$B$3:$B$20000,$A22),IF($B22="Google Ads",SUMIFS('Google data'!$E$3:$E$20000,'Google data'!$B$3:$B$20000,$A22),IF($B22="ChatGPT Ads",SUMIFS('ChatGPT data'!$E$3:$E$20000,'ChatGPT data'!$B$3:$B$20000,$A22),IF($B22="LinkedIn Ads",SUMIFS('LinkedIn data'!$E$3:$E$20000,'LinkedIn data'!$B$3:$B$20000,$A22),0)))))</f>
        <v>3315</v>
      </c>
      <c r="T22" s="37" t="n">
        <f aca="false">IF($A22="","",IF($B22="Meta",SUMIFS('Meta data'!$F$3:$F$20000,'Meta data'!$B$3:$B$20000,$A22),IF($B22="Google Ads",SUMIFS('Google data'!$F$3:$F$20000,'Google data'!$B$3:$B$20000,$A22),IF($B22="ChatGPT Ads",SUMIFS('ChatGPT data'!$F$3:$F$20000,'ChatGPT data'!$B$3:$B$20000,$A22),IF($B22="LinkedIn Ads",SUMIFS('LinkedIn data'!$F$3:$F$20000,'LinkedIn data'!$B$3:$B$20000,$A22),0)))))</f>
        <v>0</v>
      </c>
      <c r="U22" s="38" t="str">
        <f aca="false">IF(OR($A22="",T22=0),"",R22/T22)</f>
        <v/>
      </c>
    </row>
    <row r="23" customFormat="false" ht="15" hidden="false" customHeight="false" outlineLevel="0" collapsed="false">
      <c r="A23" s="58" t="s">
        <v>182</v>
      </c>
      <c r="B23" s="58" t="s">
        <v>19</v>
      </c>
      <c r="C23" s="58" t="s">
        <v>135</v>
      </c>
      <c r="D23" s="58" t="s">
        <v>125</v>
      </c>
      <c r="E23" s="58" t="s">
        <v>155</v>
      </c>
      <c r="F23" s="14" t="n">
        <f aca="false">IF($A23="","",IF($B23="Meta",SUMIFS('Meta data'!$I$3:$I$20000,'Meta data'!$A$3:$A$20000,"&gt;="&amp;F$3,'Meta data'!$A$3:$A$20000,"&lt;="&amp;F$4,'Meta data'!$B$3:$B$20000,$A23),IF($B23="Google Ads",SUMIFS('Google data'!$I$3:$I$20000,'Google data'!$A$3:$A$20000,"&gt;="&amp;F$3,'Google data'!$A$3:$A$20000,"&lt;="&amp;F$4,'Google data'!$B$3:$B$20000,$A23),IF($B23="ChatGPT Ads",SUMIFS('ChatGPT data'!$I$3:$I$20000,'ChatGPT data'!$A$3:$A$20000,"&gt;="&amp;F$3,'ChatGPT data'!$A$3:$A$20000,"&lt;="&amp;F$4,'ChatGPT data'!$B$3:$B$20000,$A23),IF($B23="LinkedIn Ads",SUMIFS('LinkedIn data'!$I$3:$I$20000,'LinkedIn data'!$A$3:$A$20000,"&gt;="&amp;F$3,'LinkedIn data'!$A$3:$A$20000,"&lt;="&amp;F$4,'LinkedIn data'!$B$3:$B$20000,$A23),0)))))</f>
        <v>1563.17</v>
      </c>
      <c r="G23" s="14" t="n">
        <f aca="false">IF($A23="","",IF($B23="Meta",SUMIFS('Meta data'!$I$3:$I$20000,'Meta data'!$A$3:$A$20000,"&gt;="&amp;G$3,'Meta data'!$A$3:$A$20000,"&lt;="&amp;G$4,'Meta data'!$B$3:$B$20000,$A23),IF($B23="Google Ads",SUMIFS('Google data'!$I$3:$I$20000,'Google data'!$A$3:$A$20000,"&gt;="&amp;G$3,'Google data'!$A$3:$A$20000,"&lt;="&amp;G$4,'Google data'!$B$3:$B$20000,$A23),IF($B23="ChatGPT Ads",SUMIFS('ChatGPT data'!$I$3:$I$20000,'ChatGPT data'!$A$3:$A$20000,"&gt;="&amp;G$3,'ChatGPT data'!$A$3:$A$20000,"&lt;="&amp;G$4,'ChatGPT data'!$B$3:$B$20000,$A23),IF($B23="LinkedIn Ads",SUMIFS('LinkedIn data'!$I$3:$I$20000,'LinkedIn data'!$A$3:$A$20000,"&gt;="&amp;G$3,'LinkedIn data'!$A$3:$A$20000,"&lt;="&amp;G$4,'LinkedIn data'!$B$3:$B$20000,$A23),0)))))</f>
        <v>0</v>
      </c>
      <c r="H23" s="14" t="n">
        <f aca="false">IF($A23="","",IF($B23="Meta",SUMIFS('Meta data'!$I$3:$I$20000,'Meta data'!$A$3:$A$20000,"&gt;="&amp;H$3,'Meta data'!$A$3:$A$20000,"&lt;="&amp;H$4,'Meta data'!$B$3:$B$20000,$A23),IF($B23="Google Ads",SUMIFS('Google data'!$I$3:$I$20000,'Google data'!$A$3:$A$20000,"&gt;="&amp;H$3,'Google data'!$A$3:$A$20000,"&lt;="&amp;H$4,'Google data'!$B$3:$B$20000,$A23),IF($B23="ChatGPT Ads",SUMIFS('ChatGPT data'!$I$3:$I$20000,'ChatGPT data'!$A$3:$A$20000,"&gt;="&amp;H$3,'ChatGPT data'!$A$3:$A$20000,"&lt;="&amp;H$4,'ChatGPT data'!$B$3:$B$20000,$A23),IF($B23="LinkedIn Ads",SUMIFS('LinkedIn data'!$I$3:$I$20000,'LinkedIn data'!$A$3:$A$20000,"&gt;="&amp;H$3,'LinkedIn data'!$A$3:$A$20000,"&lt;="&amp;H$4,'LinkedIn data'!$B$3:$B$20000,$A23),0)))))</f>
        <v>0</v>
      </c>
      <c r="I23" s="14" t="n">
        <f aca="false">IF($A23="","",IF($B23="Meta",SUMIFS('Meta data'!$I$3:$I$20000,'Meta data'!$A$3:$A$20000,"&gt;="&amp;I$3,'Meta data'!$A$3:$A$20000,"&lt;="&amp;I$4,'Meta data'!$B$3:$B$20000,$A23),IF($B23="Google Ads",SUMIFS('Google data'!$I$3:$I$20000,'Google data'!$A$3:$A$20000,"&gt;="&amp;I$3,'Google data'!$A$3:$A$20000,"&lt;="&amp;I$4,'Google data'!$B$3:$B$20000,$A23),IF($B23="ChatGPT Ads",SUMIFS('ChatGPT data'!$I$3:$I$20000,'ChatGPT data'!$A$3:$A$20000,"&gt;="&amp;I$3,'ChatGPT data'!$A$3:$A$20000,"&lt;="&amp;I$4,'ChatGPT data'!$B$3:$B$20000,$A23),IF($B23="LinkedIn Ads",SUMIFS('LinkedIn data'!$I$3:$I$20000,'LinkedIn data'!$A$3:$A$20000,"&gt;="&amp;I$3,'LinkedIn data'!$A$3:$A$20000,"&lt;="&amp;I$4,'LinkedIn data'!$B$3:$B$20000,$A23),0)))))</f>
        <v>0</v>
      </c>
      <c r="J23" s="14" t="n">
        <f aca="false">IF($A23="","",IF($B23="Meta",SUMIFS('Meta data'!$I$3:$I$20000,'Meta data'!$A$3:$A$20000,"&gt;="&amp;J$3,'Meta data'!$A$3:$A$20000,"&lt;="&amp;J$4,'Meta data'!$B$3:$B$20000,$A23),IF($B23="Google Ads",SUMIFS('Google data'!$I$3:$I$20000,'Google data'!$A$3:$A$20000,"&gt;="&amp;J$3,'Google data'!$A$3:$A$20000,"&lt;="&amp;J$4,'Google data'!$B$3:$B$20000,$A23),IF($B23="ChatGPT Ads",SUMIFS('ChatGPT data'!$I$3:$I$20000,'ChatGPT data'!$A$3:$A$20000,"&gt;="&amp;J$3,'ChatGPT data'!$A$3:$A$20000,"&lt;="&amp;J$4,'ChatGPT data'!$B$3:$B$20000,$A23),IF($B23="LinkedIn Ads",SUMIFS('LinkedIn data'!$I$3:$I$20000,'LinkedIn data'!$A$3:$A$20000,"&gt;="&amp;J$3,'LinkedIn data'!$A$3:$A$20000,"&lt;="&amp;J$4,'LinkedIn data'!$B$3:$B$20000,$A23),0)))))</f>
        <v>0</v>
      </c>
      <c r="K23" s="14" t="n">
        <f aca="false">IF($A23="","",IF($B23="Meta",SUMIFS('Meta data'!$I$3:$I$20000,'Meta data'!$A$3:$A$20000,"&gt;="&amp;K$3,'Meta data'!$A$3:$A$20000,"&lt;="&amp;K$4,'Meta data'!$B$3:$B$20000,$A23),IF($B23="Google Ads",SUMIFS('Google data'!$I$3:$I$20000,'Google data'!$A$3:$A$20000,"&gt;="&amp;K$3,'Google data'!$A$3:$A$20000,"&lt;="&amp;K$4,'Google data'!$B$3:$B$20000,$A23),IF($B23="ChatGPT Ads",SUMIFS('ChatGPT data'!$I$3:$I$20000,'ChatGPT data'!$A$3:$A$20000,"&gt;="&amp;K$3,'ChatGPT data'!$A$3:$A$20000,"&lt;="&amp;K$4,'ChatGPT data'!$B$3:$B$20000,$A23),IF($B23="LinkedIn Ads",SUMIFS('LinkedIn data'!$I$3:$I$20000,'LinkedIn data'!$A$3:$A$20000,"&gt;="&amp;K$3,'LinkedIn data'!$A$3:$A$20000,"&lt;="&amp;K$4,'LinkedIn data'!$B$3:$B$20000,$A23),0)))))</f>
        <v>0</v>
      </c>
      <c r="L23" s="14" t="n">
        <f aca="false">IF($A23="","",IF($B23="Meta",SUMIFS('Meta data'!$I$3:$I$20000,'Meta data'!$A$3:$A$20000,"&gt;="&amp;L$3,'Meta data'!$A$3:$A$20000,"&lt;="&amp;L$4,'Meta data'!$B$3:$B$20000,$A23),IF($B23="Google Ads",SUMIFS('Google data'!$I$3:$I$20000,'Google data'!$A$3:$A$20000,"&gt;="&amp;L$3,'Google data'!$A$3:$A$20000,"&lt;="&amp;L$4,'Google data'!$B$3:$B$20000,$A23),IF($B23="ChatGPT Ads",SUMIFS('ChatGPT data'!$I$3:$I$20000,'ChatGPT data'!$A$3:$A$20000,"&gt;="&amp;L$3,'ChatGPT data'!$A$3:$A$20000,"&lt;="&amp;L$4,'ChatGPT data'!$B$3:$B$20000,$A23),IF($B23="LinkedIn Ads",SUMIFS('LinkedIn data'!$I$3:$I$20000,'LinkedIn data'!$A$3:$A$20000,"&gt;="&amp;L$3,'LinkedIn data'!$A$3:$A$20000,"&lt;="&amp;L$4,'LinkedIn data'!$B$3:$B$20000,$A23),0)))))</f>
        <v>0</v>
      </c>
      <c r="M23" s="14" t="n">
        <f aca="false">IF($A23="","",IF($B23="Meta",SUMIFS('Meta data'!$I$3:$I$20000,'Meta data'!$A$3:$A$20000,"&gt;="&amp;M$3,'Meta data'!$A$3:$A$20000,"&lt;="&amp;M$4,'Meta data'!$B$3:$B$20000,$A23),IF($B23="Google Ads",SUMIFS('Google data'!$I$3:$I$20000,'Google data'!$A$3:$A$20000,"&gt;="&amp;M$3,'Google data'!$A$3:$A$20000,"&lt;="&amp;M$4,'Google data'!$B$3:$B$20000,$A23),IF($B23="ChatGPT Ads",SUMIFS('ChatGPT data'!$I$3:$I$20000,'ChatGPT data'!$A$3:$A$20000,"&gt;="&amp;M$3,'ChatGPT data'!$A$3:$A$20000,"&lt;="&amp;M$4,'ChatGPT data'!$B$3:$B$20000,$A23),IF($B23="LinkedIn Ads",SUMIFS('LinkedIn data'!$I$3:$I$20000,'LinkedIn data'!$A$3:$A$20000,"&gt;="&amp;M$3,'LinkedIn data'!$A$3:$A$20000,"&lt;="&amp;M$4,'LinkedIn data'!$B$3:$B$20000,$A23),0)))))</f>
        <v>0</v>
      </c>
      <c r="N23" s="14" t="n">
        <f aca="false">IF($A23="","",IF($B23="Meta",SUMIFS('Meta data'!$I$3:$I$20000,'Meta data'!$A$3:$A$20000,"&gt;="&amp;N$3,'Meta data'!$A$3:$A$20000,"&lt;="&amp;N$4,'Meta data'!$B$3:$B$20000,$A23),IF($B23="Google Ads",SUMIFS('Google data'!$I$3:$I$20000,'Google data'!$A$3:$A$20000,"&gt;="&amp;N$3,'Google data'!$A$3:$A$20000,"&lt;="&amp;N$4,'Google data'!$B$3:$B$20000,$A23),IF($B23="ChatGPT Ads",SUMIFS('ChatGPT data'!$I$3:$I$20000,'ChatGPT data'!$A$3:$A$20000,"&gt;="&amp;N$3,'ChatGPT data'!$A$3:$A$20000,"&lt;="&amp;N$4,'ChatGPT data'!$B$3:$B$20000,$A23),IF($B23="LinkedIn Ads",SUMIFS('LinkedIn data'!$I$3:$I$20000,'LinkedIn data'!$A$3:$A$20000,"&gt;="&amp;N$3,'LinkedIn data'!$A$3:$A$20000,"&lt;="&amp;N$4,'LinkedIn data'!$B$3:$B$20000,$A23),0)))))</f>
        <v>0</v>
      </c>
      <c r="O23" s="14" t="n">
        <f aca="false">IF($A23="","",IF($B23="Meta",SUMIFS('Meta data'!$I$3:$I$20000,'Meta data'!$A$3:$A$20000,"&gt;="&amp;O$3,'Meta data'!$A$3:$A$20000,"&lt;="&amp;O$4,'Meta data'!$B$3:$B$20000,$A23),IF($B23="Google Ads",SUMIFS('Google data'!$I$3:$I$20000,'Google data'!$A$3:$A$20000,"&gt;="&amp;O$3,'Google data'!$A$3:$A$20000,"&lt;="&amp;O$4,'Google data'!$B$3:$B$20000,$A23),IF($B23="ChatGPT Ads",SUMIFS('ChatGPT data'!$I$3:$I$20000,'ChatGPT data'!$A$3:$A$20000,"&gt;="&amp;O$3,'ChatGPT data'!$A$3:$A$20000,"&lt;="&amp;O$4,'ChatGPT data'!$B$3:$B$20000,$A23),IF($B23="LinkedIn Ads",SUMIFS('LinkedIn data'!$I$3:$I$20000,'LinkedIn data'!$A$3:$A$20000,"&gt;="&amp;O$3,'LinkedIn data'!$A$3:$A$20000,"&lt;="&amp;O$4,'LinkedIn data'!$B$3:$B$20000,$A23),0)))))</f>
        <v>0</v>
      </c>
      <c r="P23" s="14" t="n">
        <f aca="false">IF($A23="","",IF($B23="Meta",SUMIFS('Meta data'!$I$3:$I$20000,'Meta data'!$A$3:$A$20000,"&gt;="&amp;P$3,'Meta data'!$A$3:$A$20000,"&lt;="&amp;P$4,'Meta data'!$B$3:$B$20000,$A23),IF($B23="Google Ads",SUMIFS('Google data'!$I$3:$I$20000,'Google data'!$A$3:$A$20000,"&gt;="&amp;P$3,'Google data'!$A$3:$A$20000,"&lt;="&amp;P$4,'Google data'!$B$3:$B$20000,$A23),IF($B23="ChatGPT Ads",SUMIFS('ChatGPT data'!$I$3:$I$20000,'ChatGPT data'!$A$3:$A$20000,"&gt;="&amp;P$3,'ChatGPT data'!$A$3:$A$20000,"&lt;="&amp;P$4,'ChatGPT data'!$B$3:$B$20000,$A23),IF($B23="LinkedIn Ads",SUMIFS('LinkedIn data'!$I$3:$I$20000,'LinkedIn data'!$A$3:$A$20000,"&gt;="&amp;P$3,'LinkedIn data'!$A$3:$A$20000,"&lt;="&amp;P$4,'LinkedIn data'!$B$3:$B$20000,$A23),0)))))</f>
        <v>0</v>
      </c>
      <c r="Q23" s="14" t="n">
        <f aca="false">IF($A23="","",IF($B23="Meta",SUMIFS('Meta data'!$I$3:$I$20000,'Meta data'!$A$3:$A$20000,"&gt;="&amp;Q$3,'Meta data'!$A$3:$A$20000,"&lt;="&amp;Q$4,'Meta data'!$B$3:$B$20000,$A23),IF($B23="Google Ads",SUMIFS('Google data'!$I$3:$I$20000,'Google data'!$A$3:$A$20000,"&gt;="&amp;Q$3,'Google data'!$A$3:$A$20000,"&lt;="&amp;Q$4,'Google data'!$B$3:$B$20000,$A23),IF($B23="ChatGPT Ads",SUMIFS('ChatGPT data'!$I$3:$I$20000,'ChatGPT data'!$A$3:$A$20000,"&gt;="&amp;Q$3,'ChatGPT data'!$A$3:$A$20000,"&lt;="&amp;Q$4,'ChatGPT data'!$B$3:$B$20000,$A23),IF($B23="LinkedIn Ads",SUMIFS('LinkedIn data'!$I$3:$I$20000,'LinkedIn data'!$A$3:$A$20000,"&gt;="&amp;Q$3,'LinkedIn data'!$A$3:$A$20000,"&lt;="&amp;Q$4,'LinkedIn data'!$B$3:$B$20000,$A23),0)))))</f>
        <v>0</v>
      </c>
      <c r="R23" s="15" t="n">
        <f aca="false">IF($A23="","",SUM(F23:Q23))</f>
        <v>1563.17</v>
      </c>
      <c r="S23" s="37" t="n">
        <f aca="false">IF($A23="","",IF($B23="Meta",SUMIFS('Meta data'!$E$3:$E$20000,'Meta data'!$B$3:$B$20000,$A23),IF($B23="Google Ads",SUMIFS('Google data'!$E$3:$E$20000,'Google data'!$B$3:$B$20000,$A23),IF($B23="ChatGPT Ads",SUMIFS('ChatGPT data'!$E$3:$E$20000,'ChatGPT data'!$B$3:$B$20000,$A23),IF($B23="LinkedIn Ads",SUMIFS('LinkedIn data'!$E$3:$E$20000,'LinkedIn data'!$B$3:$B$20000,$A23),0)))))</f>
        <v>1973</v>
      </c>
      <c r="T23" s="37" t="n">
        <f aca="false">IF($A23="","",IF($B23="Meta",SUMIFS('Meta data'!$F$3:$F$20000,'Meta data'!$B$3:$B$20000,$A23),IF($B23="Google Ads",SUMIFS('Google data'!$F$3:$F$20000,'Google data'!$B$3:$B$20000,$A23),IF($B23="ChatGPT Ads",SUMIFS('ChatGPT data'!$F$3:$F$20000,'ChatGPT data'!$B$3:$B$20000,$A23),IF($B23="LinkedIn Ads",SUMIFS('LinkedIn data'!$F$3:$F$20000,'LinkedIn data'!$B$3:$B$20000,$A23),0)))))</f>
        <v>160</v>
      </c>
      <c r="U23" s="38" t="n">
        <f aca="false">IF(OR($A23="",T23=0),"",R23/T23)</f>
        <v>9.7698125</v>
      </c>
    </row>
    <row r="24" customFormat="false" ht="15" hidden="false" customHeight="false" outlineLevel="0" collapsed="false">
      <c r="A24" s="58" t="s">
        <v>183</v>
      </c>
      <c r="B24" s="58" t="s">
        <v>19</v>
      </c>
      <c r="C24" s="58" t="s">
        <v>132</v>
      </c>
      <c r="D24" s="58" t="s">
        <v>124</v>
      </c>
      <c r="E24" s="58" t="s">
        <v>154</v>
      </c>
      <c r="F24" s="14" t="n">
        <f aca="false">IF($A24="","",IF($B24="Meta",SUMIFS('Meta data'!$I$3:$I$20000,'Meta data'!$A$3:$A$20000,"&gt;="&amp;F$3,'Meta data'!$A$3:$A$20000,"&lt;="&amp;F$4,'Meta data'!$B$3:$B$20000,$A24),IF($B24="Google Ads",SUMIFS('Google data'!$I$3:$I$20000,'Google data'!$A$3:$A$20000,"&gt;="&amp;F$3,'Google data'!$A$3:$A$20000,"&lt;="&amp;F$4,'Google data'!$B$3:$B$20000,$A24),IF($B24="ChatGPT Ads",SUMIFS('ChatGPT data'!$I$3:$I$20000,'ChatGPT data'!$A$3:$A$20000,"&gt;="&amp;F$3,'ChatGPT data'!$A$3:$A$20000,"&lt;="&amp;F$4,'ChatGPT data'!$B$3:$B$20000,$A24),IF($B24="LinkedIn Ads",SUMIFS('LinkedIn data'!$I$3:$I$20000,'LinkedIn data'!$A$3:$A$20000,"&gt;="&amp;F$3,'LinkedIn data'!$A$3:$A$20000,"&lt;="&amp;F$4,'LinkedIn data'!$B$3:$B$20000,$A24),0)))))</f>
        <v>0</v>
      </c>
      <c r="G24" s="14" t="n">
        <f aca="false">IF($A24="","",IF($B24="Meta",SUMIFS('Meta data'!$I$3:$I$20000,'Meta data'!$A$3:$A$20000,"&gt;="&amp;G$3,'Meta data'!$A$3:$A$20000,"&lt;="&amp;G$4,'Meta data'!$B$3:$B$20000,$A24),IF($B24="Google Ads",SUMIFS('Google data'!$I$3:$I$20000,'Google data'!$A$3:$A$20000,"&gt;="&amp;G$3,'Google data'!$A$3:$A$20000,"&lt;="&amp;G$4,'Google data'!$B$3:$B$20000,$A24),IF($B24="ChatGPT Ads",SUMIFS('ChatGPT data'!$I$3:$I$20000,'ChatGPT data'!$A$3:$A$20000,"&gt;="&amp;G$3,'ChatGPT data'!$A$3:$A$20000,"&lt;="&amp;G$4,'ChatGPT data'!$B$3:$B$20000,$A24),IF($B24="LinkedIn Ads",SUMIFS('LinkedIn data'!$I$3:$I$20000,'LinkedIn data'!$A$3:$A$20000,"&gt;="&amp;G$3,'LinkedIn data'!$A$3:$A$20000,"&lt;="&amp;G$4,'LinkedIn data'!$B$3:$B$20000,$A24),0)))))</f>
        <v>0</v>
      </c>
      <c r="H24" s="14" t="n">
        <f aca="false">IF($A24="","",IF($B24="Meta",SUMIFS('Meta data'!$I$3:$I$20000,'Meta data'!$A$3:$A$20000,"&gt;="&amp;H$3,'Meta data'!$A$3:$A$20000,"&lt;="&amp;H$4,'Meta data'!$B$3:$B$20000,$A24),IF($B24="Google Ads",SUMIFS('Google data'!$I$3:$I$20000,'Google data'!$A$3:$A$20000,"&gt;="&amp;H$3,'Google data'!$A$3:$A$20000,"&lt;="&amp;H$4,'Google data'!$B$3:$B$20000,$A24),IF($B24="ChatGPT Ads",SUMIFS('ChatGPT data'!$I$3:$I$20000,'ChatGPT data'!$A$3:$A$20000,"&gt;="&amp;H$3,'ChatGPT data'!$A$3:$A$20000,"&lt;="&amp;H$4,'ChatGPT data'!$B$3:$B$20000,$A24),IF($B24="LinkedIn Ads",SUMIFS('LinkedIn data'!$I$3:$I$20000,'LinkedIn data'!$A$3:$A$20000,"&gt;="&amp;H$3,'LinkedIn data'!$A$3:$A$20000,"&lt;="&amp;H$4,'LinkedIn data'!$B$3:$B$20000,$A24),0)))))</f>
        <v>0</v>
      </c>
      <c r="I24" s="14" t="n">
        <f aca="false">IF($A24="","",IF($B24="Meta",SUMIFS('Meta data'!$I$3:$I$20000,'Meta data'!$A$3:$A$20000,"&gt;="&amp;I$3,'Meta data'!$A$3:$A$20000,"&lt;="&amp;I$4,'Meta data'!$B$3:$B$20000,$A24),IF($B24="Google Ads",SUMIFS('Google data'!$I$3:$I$20000,'Google data'!$A$3:$A$20000,"&gt;="&amp;I$3,'Google data'!$A$3:$A$20000,"&lt;="&amp;I$4,'Google data'!$B$3:$B$20000,$A24),IF($B24="ChatGPT Ads",SUMIFS('ChatGPT data'!$I$3:$I$20000,'ChatGPT data'!$A$3:$A$20000,"&gt;="&amp;I$3,'ChatGPT data'!$A$3:$A$20000,"&lt;="&amp;I$4,'ChatGPT data'!$B$3:$B$20000,$A24),IF($B24="LinkedIn Ads",SUMIFS('LinkedIn data'!$I$3:$I$20000,'LinkedIn data'!$A$3:$A$20000,"&gt;="&amp;I$3,'LinkedIn data'!$A$3:$A$20000,"&lt;="&amp;I$4,'LinkedIn data'!$B$3:$B$20000,$A24),0)))))</f>
        <v>0</v>
      </c>
      <c r="J24" s="14" t="n">
        <f aca="false">IF($A24="","",IF($B24="Meta",SUMIFS('Meta data'!$I$3:$I$20000,'Meta data'!$A$3:$A$20000,"&gt;="&amp;J$3,'Meta data'!$A$3:$A$20000,"&lt;="&amp;J$4,'Meta data'!$B$3:$B$20000,$A24),IF($B24="Google Ads",SUMIFS('Google data'!$I$3:$I$20000,'Google data'!$A$3:$A$20000,"&gt;="&amp;J$3,'Google data'!$A$3:$A$20000,"&lt;="&amp;J$4,'Google data'!$B$3:$B$20000,$A24),IF($B24="ChatGPT Ads",SUMIFS('ChatGPT data'!$I$3:$I$20000,'ChatGPT data'!$A$3:$A$20000,"&gt;="&amp;J$3,'ChatGPT data'!$A$3:$A$20000,"&lt;="&amp;J$4,'ChatGPT data'!$B$3:$B$20000,$A24),IF($B24="LinkedIn Ads",SUMIFS('LinkedIn data'!$I$3:$I$20000,'LinkedIn data'!$A$3:$A$20000,"&gt;="&amp;J$3,'LinkedIn data'!$A$3:$A$20000,"&lt;="&amp;J$4,'LinkedIn data'!$B$3:$B$20000,$A24),0)))))</f>
        <v>0</v>
      </c>
      <c r="K24" s="14" t="n">
        <f aca="false">IF($A24="","",IF($B24="Meta",SUMIFS('Meta data'!$I$3:$I$20000,'Meta data'!$A$3:$A$20000,"&gt;="&amp;K$3,'Meta data'!$A$3:$A$20000,"&lt;="&amp;K$4,'Meta data'!$B$3:$B$20000,$A24),IF($B24="Google Ads",SUMIFS('Google data'!$I$3:$I$20000,'Google data'!$A$3:$A$20000,"&gt;="&amp;K$3,'Google data'!$A$3:$A$20000,"&lt;="&amp;K$4,'Google data'!$B$3:$B$20000,$A24),IF($B24="ChatGPT Ads",SUMIFS('ChatGPT data'!$I$3:$I$20000,'ChatGPT data'!$A$3:$A$20000,"&gt;="&amp;K$3,'ChatGPT data'!$A$3:$A$20000,"&lt;="&amp;K$4,'ChatGPT data'!$B$3:$B$20000,$A24),IF($B24="LinkedIn Ads",SUMIFS('LinkedIn data'!$I$3:$I$20000,'LinkedIn data'!$A$3:$A$20000,"&gt;="&amp;K$3,'LinkedIn data'!$A$3:$A$20000,"&lt;="&amp;K$4,'LinkedIn data'!$B$3:$B$20000,$A24),0)))))</f>
        <v>0</v>
      </c>
      <c r="L24" s="14" t="n">
        <f aca="false">IF($A24="","",IF($B24="Meta",SUMIFS('Meta data'!$I$3:$I$20000,'Meta data'!$A$3:$A$20000,"&gt;="&amp;L$3,'Meta data'!$A$3:$A$20000,"&lt;="&amp;L$4,'Meta data'!$B$3:$B$20000,$A24),IF($B24="Google Ads",SUMIFS('Google data'!$I$3:$I$20000,'Google data'!$A$3:$A$20000,"&gt;="&amp;L$3,'Google data'!$A$3:$A$20000,"&lt;="&amp;L$4,'Google data'!$B$3:$B$20000,$A24),IF($B24="ChatGPT Ads",SUMIFS('ChatGPT data'!$I$3:$I$20000,'ChatGPT data'!$A$3:$A$20000,"&gt;="&amp;L$3,'ChatGPT data'!$A$3:$A$20000,"&lt;="&amp;L$4,'ChatGPT data'!$B$3:$B$20000,$A24),IF($B24="LinkedIn Ads",SUMIFS('LinkedIn data'!$I$3:$I$20000,'LinkedIn data'!$A$3:$A$20000,"&gt;="&amp;L$3,'LinkedIn data'!$A$3:$A$20000,"&lt;="&amp;L$4,'LinkedIn data'!$B$3:$B$20000,$A24),0)))))</f>
        <v>120.62</v>
      </c>
      <c r="M24" s="14" t="n">
        <f aca="false">IF($A24="","",IF($B24="Meta",SUMIFS('Meta data'!$I$3:$I$20000,'Meta data'!$A$3:$A$20000,"&gt;="&amp;M$3,'Meta data'!$A$3:$A$20000,"&lt;="&amp;M$4,'Meta data'!$B$3:$B$20000,$A24),IF($B24="Google Ads",SUMIFS('Google data'!$I$3:$I$20000,'Google data'!$A$3:$A$20000,"&gt;="&amp;M$3,'Google data'!$A$3:$A$20000,"&lt;="&amp;M$4,'Google data'!$B$3:$B$20000,$A24),IF($B24="ChatGPT Ads",SUMIFS('ChatGPT data'!$I$3:$I$20000,'ChatGPT data'!$A$3:$A$20000,"&gt;="&amp;M$3,'ChatGPT data'!$A$3:$A$20000,"&lt;="&amp;M$4,'ChatGPT data'!$B$3:$B$20000,$A24),IF($B24="LinkedIn Ads",SUMIFS('LinkedIn data'!$I$3:$I$20000,'LinkedIn data'!$A$3:$A$20000,"&gt;="&amp;M$3,'LinkedIn data'!$A$3:$A$20000,"&lt;="&amp;M$4,'LinkedIn data'!$B$3:$B$20000,$A24),0)))))</f>
        <v>306.8</v>
      </c>
      <c r="N24" s="14" t="n">
        <f aca="false">IF($A24="","",IF($B24="Meta",SUMIFS('Meta data'!$I$3:$I$20000,'Meta data'!$A$3:$A$20000,"&gt;="&amp;N$3,'Meta data'!$A$3:$A$20000,"&lt;="&amp;N$4,'Meta data'!$B$3:$B$20000,$A24),IF($B24="Google Ads",SUMIFS('Google data'!$I$3:$I$20000,'Google data'!$A$3:$A$20000,"&gt;="&amp;N$3,'Google data'!$A$3:$A$20000,"&lt;="&amp;N$4,'Google data'!$B$3:$B$20000,$A24),IF($B24="ChatGPT Ads",SUMIFS('ChatGPT data'!$I$3:$I$20000,'ChatGPT data'!$A$3:$A$20000,"&gt;="&amp;N$3,'ChatGPT data'!$A$3:$A$20000,"&lt;="&amp;N$4,'ChatGPT data'!$B$3:$B$20000,$A24),IF($B24="LinkedIn Ads",SUMIFS('LinkedIn data'!$I$3:$I$20000,'LinkedIn data'!$A$3:$A$20000,"&gt;="&amp;N$3,'LinkedIn data'!$A$3:$A$20000,"&lt;="&amp;N$4,'LinkedIn data'!$B$3:$B$20000,$A24),0)))))</f>
        <v>245.07</v>
      </c>
      <c r="O24" s="14" t="n">
        <f aca="false">IF($A24="","",IF($B24="Meta",SUMIFS('Meta data'!$I$3:$I$20000,'Meta data'!$A$3:$A$20000,"&gt;="&amp;O$3,'Meta data'!$A$3:$A$20000,"&lt;="&amp;O$4,'Meta data'!$B$3:$B$20000,$A24),IF($B24="Google Ads",SUMIFS('Google data'!$I$3:$I$20000,'Google data'!$A$3:$A$20000,"&gt;="&amp;O$3,'Google data'!$A$3:$A$20000,"&lt;="&amp;O$4,'Google data'!$B$3:$B$20000,$A24),IF($B24="ChatGPT Ads",SUMIFS('ChatGPT data'!$I$3:$I$20000,'ChatGPT data'!$A$3:$A$20000,"&gt;="&amp;O$3,'ChatGPT data'!$A$3:$A$20000,"&lt;="&amp;O$4,'ChatGPT data'!$B$3:$B$20000,$A24),IF($B24="LinkedIn Ads",SUMIFS('LinkedIn data'!$I$3:$I$20000,'LinkedIn data'!$A$3:$A$20000,"&gt;="&amp;O$3,'LinkedIn data'!$A$3:$A$20000,"&lt;="&amp;O$4,'LinkedIn data'!$B$3:$B$20000,$A24),0)))))</f>
        <v>0</v>
      </c>
      <c r="P24" s="14" t="n">
        <f aca="false">IF($A24="","",IF($B24="Meta",SUMIFS('Meta data'!$I$3:$I$20000,'Meta data'!$A$3:$A$20000,"&gt;="&amp;P$3,'Meta data'!$A$3:$A$20000,"&lt;="&amp;P$4,'Meta data'!$B$3:$B$20000,$A24),IF($B24="Google Ads",SUMIFS('Google data'!$I$3:$I$20000,'Google data'!$A$3:$A$20000,"&gt;="&amp;P$3,'Google data'!$A$3:$A$20000,"&lt;="&amp;P$4,'Google data'!$B$3:$B$20000,$A24),IF($B24="ChatGPT Ads",SUMIFS('ChatGPT data'!$I$3:$I$20000,'ChatGPT data'!$A$3:$A$20000,"&gt;="&amp;P$3,'ChatGPT data'!$A$3:$A$20000,"&lt;="&amp;P$4,'ChatGPT data'!$B$3:$B$20000,$A24),IF($B24="LinkedIn Ads",SUMIFS('LinkedIn data'!$I$3:$I$20000,'LinkedIn data'!$A$3:$A$20000,"&gt;="&amp;P$3,'LinkedIn data'!$A$3:$A$20000,"&lt;="&amp;P$4,'LinkedIn data'!$B$3:$B$20000,$A24),0)))))</f>
        <v>0</v>
      </c>
      <c r="Q24" s="14" t="n">
        <f aca="false">IF($A24="","",IF($B24="Meta",SUMIFS('Meta data'!$I$3:$I$20000,'Meta data'!$A$3:$A$20000,"&gt;="&amp;Q$3,'Meta data'!$A$3:$A$20000,"&lt;="&amp;Q$4,'Meta data'!$B$3:$B$20000,$A24),IF($B24="Google Ads",SUMIFS('Google data'!$I$3:$I$20000,'Google data'!$A$3:$A$20000,"&gt;="&amp;Q$3,'Google data'!$A$3:$A$20000,"&lt;="&amp;Q$4,'Google data'!$B$3:$B$20000,$A24),IF($B24="ChatGPT Ads",SUMIFS('ChatGPT data'!$I$3:$I$20000,'ChatGPT data'!$A$3:$A$20000,"&gt;="&amp;Q$3,'ChatGPT data'!$A$3:$A$20000,"&lt;="&amp;Q$4,'ChatGPT data'!$B$3:$B$20000,$A24),IF($B24="LinkedIn Ads",SUMIFS('LinkedIn data'!$I$3:$I$20000,'LinkedIn data'!$A$3:$A$20000,"&gt;="&amp;Q$3,'LinkedIn data'!$A$3:$A$20000,"&lt;="&amp;Q$4,'LinkedIn data'!$B$3:$B$20000,$A24),0)))))</f>
        <v>0</v>
      </c>
      <c r="R24" s="15" t="n">
        <f aca="false">IF($A24="","",SUM(F24:Q24))</f>
        <v>672.49</v>
      </c>
      <c r="S24" s="37" t="n">
        <f aca="false">IF($A24="","",IF($B24="Meta",SUMIFS('Meta data'!$E$3:$E$20000,'Meta data'!$B$3:$B$20000,$A24),IF($B24="Google Ads",SUMIFS('Google data'!$E$3:$E$20000,'Google data'!$B$3:$B$20000,$A24),IF($B24="ChatGPT Ads",SUMIFS('ChatGPT data'!$E$3:$E$20000,'ChatGPT data'!$B$3:$B$20000,$A24),IF($B24="LinkedIn Ads",SUMIFS('LinkedIn data'!$E$3:$E$20000,'LinkedIn data'!$B$3:$B$20000,$A24),0)))))</f>
        <v>2483</v>
      </c>
      <c r="T24" s="37" t="n">
        <f aca="false">IF($A24="","",IF($B24="Meta",SUMIFS('Meta data'!$F$3:$F$20000,'Meta data'!$B$3:$B$20000,$A24),IF($B24="Google Ads",SUMIFS('Google data'!$F$3:$F$20000,'Google data'!$B$3:$B$20000,$A24),IF($B24="ChatGPT Ads",SUMIFS('ChatGPT data'!$F$3:$F$20000,'ChatGPT data'!$B$3:$B$20000,$A24),IF($B24="LinkedIn Ads",SUMIFS('LinkedIn data'!$F$3:$F$20000,'LinkedIn data'!$B$3:$B$20000,$A24),0)))))</f>
        <v>3</v>
      </c>
      <c r="U24" s="38" t="n">
        <f aca="false">IF(OR($A24="",T24=0),"",R24/T24)</f>
        <v>224.163333333333</v>
      </c>
    </row>
    <row r="25" customFormat="false" ht="15" hidden="false" customHeight="false" outlineLevel="0" collapsed="false">
      <c r="A25" s="58" t="s">
        <v>184</v>
      </c>
      <c r="B25" s="58" t="s">
        <v>20</v>
      </c>
      <c r="C25" s="58" t="s">
        <v>130</v>
      </c>
      <c r="D25" s="58" t="s">
        <v>123</v>
      </c>
      <c r="E25" s="58" t="s">
        <v>150</v>
      </c>
      <c r="F25" s="14" t="n">
        <f aca="false">IF($A25="","",IF($B25="Meta",SUMIFS('Meta data'!$I$3:$I$20000,'Meta data'!$A$3:$A$20000,"&gt;="&amp;F$3,'Meta data'!$A$3:$A$20000,"&lt;="&amp;F$4,'Meta data'!$B$3:$B$20000,$A25),IF($B25="Google Ads",SUMIFS('Google data'!$I$3:$I$20000,'Google data'!$A$3:$A$20000,"&gt;="&amp;F$3,'Google data'!$A$3:$A$20000,"&lt;="&amp;F$4,'Google data'!$B$3:$B$20000,$A25),IF($B25="ChatGPT Ads",SUMIFS('ChatGPT data'!$I$3:$I$20000,'ChatGPT data'!$A$3:$A$20000,"&gt;="&amp;F$3,'ChatGPT data'!$A$3:$A$20000,"&lt;="&amp;F$4,'ChatGPT data'!$B$3:$B$20000,$A25),IF($B25="LinkedIn Ads",SUMIFS('LinkedIn data'!$I$3:$I$20000,'LinkedIn data'!$A$3:$A$20000,"&gt;="&amp;F$3,'LinkedIn data'!$A$3:$A$20000,"&lt;="&amp;F$4,'LinkedIn data'!$B$3:$B$20000,$A25),0)))))</f>
        <v>1384.807946</v>
      </c>
      <c r="G25" s="14" t="n">
        <f aca="false">IF($A25="","",IF($B25="Meta",SUMIFS('Meta data'!$I$3:$I$20000,'Meta data'!$A$3:$A$20000,"&gt;="&amp;G$3,'Meta data'!$A$3:$A$20000,"&lt;="&amp;G$4,'Meta data'!$B$3:$B$20000,$A25),IF($B25="Google Ads",SUMIFS('Google data'!$I$3:$I$20000,'Google data'!$A$3:$A$20000,"&gt;="&amp;G$3,'Google data'!$A$3:$A$20000,"&lt;="&amp;G$4,'Google data'!$B$3:$B$20000,$A25),IF($B25="ChatGPT Ads",SUMIFS('ChatGPT data'!$I$3:$I$20000,'ChatGPT data'!$A$3:$A$20000,"&gt;="&amp;G$3,'ChatGPT data'!$A$3:$A$20000,"&lt;="&amp;G$4,'ChatGPT data'!$B$3:$B$20000,$A25),IF($B25="LinkedIn Ads",SUMIFS('LinkedIn data'!$I$3:$I$20000,'LinkedIn data'!$A$3:$A$20000,"&gt;="&amp;G$3,'LinkedIn data'!$A$3:$A$20000,"&lt;="&amp;G$4,'LinkedIn data'!$B$3:$B$20000,$A25),0)))))</f>
        <v>1087.287383</v>
      </c>
      <c r="H25" s="14" t="n">
        <f aca="false">IF($A25="","",IF($B25="Meta",SUMIFS('Meta data'!$I$3:$I$20000,'Meta data'!$A$3:$A$20000,"&gt;="&amp;H$3,'Meta data'!$A$3:$A$20000,"&lt;="&amp;H$4,'Meta data'!$B$3:$B$20000,$A25),IF($B25="Google Ads",SUMIFS('Google data'!$I$3:$I$20000,'Google data'!$A$3:$A$20000,"&gt;="&amp;H$3,'Google data'!$A$3:$A$20000,"&lt;="&amp;H$4,'Google data'!$B$3:$B$20000,$A25),IF($B25="ChatGPT Ads",SUMIFS('ChatGPT data'!$I$3:$I$20000,'ChatGPT data'!$A$3:$A$20000,"&gt;="&amp;H$3,'ChatGPT data'!$A$3:$A$20000,"&lt;="&amp;H$4,'ChatGPT data'!$B$3:$B$20000,$A25),IF($B25="LinkedIn Ads",SUMIFS('LinkedIn data'!$I$3:$I$20000,'LinkedIn data'!$A$3:$A$20000,"&gt;="&amp;H$3,'LinkedIn data'!$A$3:$A$20000,"&lt;="&amp;H$4,'LinkedIn data'!$B$3:$B$20000,$A25),0)))))</f>
        <v>811.707271</v>
      </c>
      <c r="I25" s="14" t="n">
        <f aca="false">IF($A25="","",IF($B25="Meta",SUMIFS('Meta data'!$I$3:$I$20000,'Meta data'!$A$3:$A$20000,"&gt;="&amp;I$3,'Meta data'!$A$3:$A$20000,"&lt;="&amp;I$4,'Meta data'!$B$3:$B$20000,$A25),IF($B25="Google Ads",SUMIFS('Google data'!$I$3:$I$20000,'Google data'!$A$3:$A$20000,"&gt;="&amp;I$3,'Google data'!$A$3:$A$20000,"&lt;="&amp;I$4,'Google data'!$B$3:$B$20000,$A25),IF($B25="ChatGPT Ads",SUMIFS('ChatGPT data'!$I$3:$I$20000,'ChatGPT data'!$A$3:$A$20000,"&gt;="&amp;I$3,'ChatGPT data'!$A$3:$A$20000,"&lt;="&amp;I$4,'ChatGPT data'!$B$3:$B$20000,$A25),IF($B25="LinkedIn Ads",SUMIFS('LinkedIn data'!$I$3:$I$20000,'LinkedIn data'!$A$3:$A$20000,"&gt;="&amp;I$3,'LinkedIn data'!$A$3:$A$20000,"&lt;="&amp;I$4,'LinkedIn data'!$B$3:$B$20000,$A25),0)))))</f>
        <v>788.693828</v>
      </c>
      <c r="J25" s="14" t="n">
        <f aca="false">IF($A25="","",IF($B25="Meta",SUMIFS('Meta data'!$I$3:$I$20000,'Meta data'!$A$3:$A$20000,"&gt;="&amp;J$3,'Meta data'!$A$3:$A$20000,"&lt;="&amp;J$4,'Meta data'!$B$3:$B$20000,$A25),IF($B25="Google Ads",SUMIFS('Google data'!$I$3:$I$20000,'Google data'!$A$3:$A$20000,"&gt;="&amp;J$3,'Google data'!$A$3:$A$20000,"&lt;="&amp;J$4,'Google data'!$B$3:$B$20000,$A25),IF($B25="ChatGPT Ads",SUMIFS('ChatGPT data'!$I$3:$I$20000,'ChatGPT data'!$A$3:$A$20000,"&gt;="&amp;J$3,'ChatGPT data'!$A$3:$A$20000,"&lt;="&amp;J$4,'ChatGPT data'!$B$3:$B$20000,$A25),IF($B25="LinkedIn Ads",SUMIFS('LinkedIn data'!$I$3:$I$20000,'LinkedIn data'!$A$3:$A$20000,"&gt;="&amp;J$3,'LinkedIn data'!$A$3:$A$20000,"&lt;="&amp;J$4,'LinkedIn data'!$B$3:$B$20000,$A25),0)))))</f>
        <v>1767.486072</v>
      </c>
      <c r="K25" s="14" t="n">
        <f aca="false">IF($A25="","",IF($B25="Meta",SUMIFS('Meta data'!$I$3:$I$20000,'Meta data'!$A$3:$A$20000,"&gt;="&amp;K$3,'Meta data'!$A$3:$A$20000,"&lt;="&amp;K$4,'Meta data'!$B$3:$B$20000,$A25),IF($B25="Google Ads",SUMIFS('Google data'!$I$3:$I$20000,'Google data'!$A$3:$A$20000,"&gt;="&amp;K$3,'Google data'!$A$3:$A$20000,"&lt;="&amp;K$4,'Google data'!$B$3:$B$20000,$A25),IF($B25="ChatGPT Ads",SUMIFS('ChatGPT data'!$I$3:$I$20000,'ChatGPT data'!$A$3:$A$20000,"&gt;="&amp;K$3,'ChatGPT data'!$A$3:$A$20000,"&lt;="&amp;K$4,'ChatGPT data'!$B$3:$B$20000,$A25),IF($B25="LinkedIn Ads",SUMIFS('LinkedIn data'!$I$3:$I$20000,'LinkedIn data'!$A$3:$A$20000,"&gt;="&amp;K$3,'LinkedIn data'!$A$3:$A$20000,"&lt;="&amp;K$4,'LinkedIn data'!$B$3:$B$20000,$A25),0)))))</f>
        <v>1767.731966</v>
      </c>
      <c r="L25" s="14" t="n">
        <f aca="false">IF($A25="","",IF($B25="Meta",SUMIFS('Meta data'!$I$3:$I$20000,'Meta data'!$A$3:$A$20000,"&gt;="&amp;L$3,'Meta data'!$A$3:$A$20000,"&lt;="&amp;L$4,'Meta data'!$B$3:$B$20000,$A25),IF($B25="Google Ads",SUMIFS('Google data'!$I$3:$I$20000,'Google data'!$A$3:$A$20000,"&gt;="&amp;L$3,'Google data'!$A$3:$A$20000,"&lt;="&amp;L$4,'Google data'!$B$3:$B$20000,$A25),IF($B25="ChatGPT Ads",SUMIFS('ChatGPT data'!$I$3:$I$20000,'ChatGPT data'!$A$3:$A$20000,"&gt;="&amp;L$3,'ChatGPT data'!$A$3:$A$20000,"&lt;="&amp;L$4,'ChatGPT data'!$B$3:$B$20000,$A25),IF($B25="LinkedIn Ads",SUMIFS('LinkedIn data'!$I$3:$I$20000,'LinkedIn data'!$A$3:$A$20000,"&gt;="&amp;L$3,'LinkedIn data'!$A$3:$A$20000,"&lt;="&amp;L$4,'LinkedIn data'!$B$3:$B$20000,$A25),0)))))</f>
        <v>1695.88621</v>
      </c>
      <c r="M25" s="14" t="n">
        <f aca="false">IF($A25="","",IF($B25="Meta",SUMIFS('Meta data'!$I$3:$I$20000,'Meta data'!$A$3:$A$20000,"&gt;="&amp;M$3,'Meta data'!$A$3:$A$20000,"&lt;="&amp;M$4,'Meta data'!$B$3:$B$20000,$A25),IF($B25="Google Ads",SUMIFS('Google data'!$I$3:$I$20000,'Google data'!$A$3:$A$20000,"&gt;="&amp;M$3,'Google data'!$A$3:$A$20000,"&lt;="&amp;M$4,'Google data'!$B$3:$B$20000,$A25),IF($B25="ChatGPT Ads",SUMIFS('ChatGPT data'!$I$3:$I$20000,'ChatGPT data'!$A$3:$A$20000,"&gt;="&amp;M$3,'ChatGPT data'!$A$3:$A$20000,"&lt;="&amp;M$4,'ChatGPT data'!$B$3:$B$20000,$A25),IF($B25="LinkedIn Ads",SUMIFS('LinkedIn data'!$I$3:$I$20000,'LinkedIn data'!$A$3:$A$20000,"&gt;="&amp;M$3,'LinkedIn data'!$A$3:$A$20000,"&lt;="&amp;M$4,'LinkedIn data'!$B$3:$B$20000,$A25),0)))))</f>
        <v>695.924728</v>
      </c>
      <c r="N25" s="14" t="n">
        <f aca="false">IF($A25="","",IF($B25="Meta",SUMIFS('Meta data'!$I$3:$I$20000,'Meta data'!$A$3:$A$20000,"&gt;="&amp;N$3,'Meta data'!$A$3:$A$20000,"&lt;="&amp;N$4,'Meta data'!$B$3:$B$20000,$A25),IF($B25="Google Ads",SUMIFS('Google data'!$I$3:$I$20000,'Google data'!$A$3:$A$20000,"&gt;="&amp;N$3,'Google data'!$A$3:$A$20000,"&lt;="&amp;N$4,'Google data'!$B$3:$B$20000,$A25),IF($B25="ChatGPT Ads",SUMIFS('ChatGPT data'!$I$3:$I$20000,'ChatGPT data'!$A$3:$A$20000,"&gt;="&amp;N$3,'ChatGPT data'!$A$3:$A$20000,"&lt;="&amp;N$4,'ChatGPT data'!$B$3:$B$20000,$A25),IF($B25="LinkedIn Ads",SUMIFS('LinkedIn data'!$I$3:$I$20000,'LinkedIn data'!$A$3:$A$20000,"&gt;="&amp;N$3,'LinkedIn data'!$A$3:$A$20000,"&lt;="&amp;N$4,'LinkedIn data'!$B$3:$B$20000,$A25),0)))))</f>
        <v>0</v>
      </c>
      <c r="O25" s="14" t="n">
        <f aca="false">IF($A25="","",IF($B25="Meta",SUMIFS('Meta data'!$I$3:$I$20000,'Meta data'!$A$3:$A$20000,"&gt;="&amp;O$3,'Meta data'!$A$3:$A$20000,"&lt;="&amp;O$4,'Meta data'!$B$3:$B$20000,$A25),IF($B25="Google Ads",SUMIFS('Google data'!$I$3:$I$20000,'Google data'!$A$3:$A$20000,"&gt;="&amp;O$3,'Google data'!$A$3:$A$20000,"&lt;="&amp;O$4,'Google data'!$B$3:$B$20000,$A25),IF($B25="ChatGPT Ads",SUMIFS('ChatGPT data'!$I$3:$I$20000,'ChatGPT data'!$A$3:$A$20000,"&gt;="&amp;O$3,'ChatGPT data'!$A$3:$A$20000,"&lt;="&amp;O$4,'ChatGPT data'!$B$3:$B$20000,$A25),IF($B25="LinkedIn Ads",SUMIFS('LinkedIn data'!$I$3:$I$20000,'LinkedIn data'!$A$3:$A$20000,"&gt;="&amp;O$3,'LinkedIn data'!$A$3:$A$20000,"&lt;="&amp;O$4,'LinkedIn data'!$B$3:$B$20000,$A25),0)))))</f>
        <v>0</v>
      </c>
      <c r="P25" s="14" t="n">
        <f aca="false">IF($A25="","",IF($B25="Meta",SUMIFS('Meta data'!$I$3:$I$20000,'Meta data'!$A$3:$A$20000,"&gt;="&amp;P$3,'Meta data'!$A$3:$A$20000,"&lt;="&amp;P$4,'Meta data'!$B$3:$B$20000,$A25),IF($B25="Google Ads",SUMIFS('Google data'!$I$3:$I$20000,'Google data'!$A$3:$A$20000,"&gt;="&amp;P$3,'Google data'!$A$3:$A$20000,"&lt;="&amp;P$4,'Google data'!$B$3:$B$20000,$A25),IF($B25="ChatGPT Ads",SUMIFS('ChatGPT data'!$I$3:$I$20000,'ChatGPT data'!$A$3:$A$20000,"&gt;="&amp;P$3,'ChatGPT data'!$A$3:$A$20000,"&lt;="&amp;P$4,'ChatGPT data'!$B$3:$B$20000,$A25),IF($B25="LinkedIn Ads",SUMIFS('LinkedIn data'!$I$3:$I$20000,'LinkedIn data'!$A$3:$A$20000,"&gt;="&amp;P$3,'LinkedIn data'!$A$3:$A$20000,"&lt;="&amp;P$4,'LinkedIn data'!$B$3:$B$20000,$A25),0)))))</f>
        <v>0</v>
      </c>
      <c r="Q25" s="14" t="n">
        <f aca="false">IF($A25="","",IF($B25="Meta",SUMIFS('Meta data'!$I$3:$I$20000,'Meta data'!$A$3:$A$20000,"&gt;="&amp;Q$3,'Meta data'!$A$3:$A$20000,"&lt;="&amp;Q$4,'Meta data'!$B$3:$B$20000,$A25),IF($B25="Google Ads",SUMIFS('Google data'!$I$3:$I$20000,'Google data'!$A$3:$A$20000,"&gt;="&amp;Q$3,'Google data'!$A$3:$A$20000,"&lt;="&amp;Q$4,'Google data'!$B$3:$B$20000,$A25),IF($B25="ChatGPT Ads",SUMIFS('ChatGPT data'!$I$3:$I$20000,'ChatGPT data'!$A$3:$A$20000,"&gt;="&amp;Q$3,'ChatGPT data'!$A$3:$A$20000,"&lt;="&amp;Q$4,'ChatGPT data'!$B$3:$B$20000,$A25),IF($B25="LinkedIn Ads",SUMIFS('LinkedIn data'!$I$3:$I$20000,'LinkedIn data'!$A$3:$A$20000,"&gt;="&amp;Q$3,'LinkedIn data'!$A$3:$A$20000,"&lt;="&amp;Q$4,'LinkedIn data'!$B$3:$B$20000,$A25),0)))))</f>
        <v>0</v>
      </c>
      <c r="R25" s="15" t="n">
        <f aca="false">IF($A25="","",SUM(F25:Q25))</f>
        <v>9999.525404</v>
      </c>
      <c r="S25" s="37" t="n">
        <f aca="false">IF($A25="","",IF($B25="Meta",SUMIFS('Meta data'!$E$3:$E$20000,'Meta data'!$B$3:$B$20000,$A25),IF($B25="Google Ads",SUMIFS('Google data'!$E$3:$E$20000,'Google data'!$B$3:$B$20000,$A25),IF($B25="ChatGPT Ads",SUMIFS('ChatGPT data'!$E$3:$E$20000,'ChatGPT data'!$B$3:$B$20000,$A25),IF($B25="LinkedIn Ads",SUMIFS('LinkedIn data'!$E$3:$E$20000,'LinkedIn data'!$B$3:$B$20000,$A25),0)))))</f>
        <v>4387</v>
      </c>
      <c r="T25" s="37" t="n">
        <f aca="false">IF($A25="","",IF($B25="Meta",SUMIFS('Meta data'!$F$3:$F$20000,'Meta data'!$B$3:$B$20000,$A25),IF($B25="Google Ads",SUMIFS('Google data'!$F$3:$F$20000,'Google data'!$B$3:$B$20000,$A25),IF($B25="ChatGPT Ads",SUMIFS('ChatGPT data'!$F$3:$F$20000,'ChatGPT data'!$B$3:$B$20000,$A25),IF($B25="LinkedIn Ads",SUMIFS('LinkedIn data'!$F$3:$F$20000,'LinkedIn data'!$B$3:$B$20000,$A25),0)))))</f>
        <v>165.95</v>
      </c>
      <c r="U25" s="38" t="n">
        <f aca="false">IF(OR($A25="",T25=0),"",R25/T25)</f>
        <v>60.2562543175655</v>
      </c>
    </row>
    <row r="26" customFormat="false" ht="15" hidden="false" customHeight="false" outlineLevel="0" collapsed="false">
      <c r="A26" s="58" t="s">
        <v>185</v>
      </c>
      <c r="B26" s="58" t="s">
        <v>20</v>
      </c>
      <c r="C26" s="58" t="s">
        <v>134</v>
      </c>
      <c r="D26" s="58" t="s">
        <v>124</v>
      </c>
      <c r="E26" s="58" t="s">
        <v>150</v>
      </c>
      <c r="F26" s="14" t="n">
        <f aca="false">IF($A26="","",IF($B26="Meta",SUMIFS('Meta data'!$I$3:$I$20000,'Meta data'!$A$3:$A$20000,"&gt;="&amp;F$3,'Meta data'!$A$3:$A$20000,"&lt;="&amp;F$4,'Meta data'!$B$3:$B$20000,$A26),IF($B26="Google Ads",SUMIFS('Google data'!$I$3:$I$20000,'Google data'!$A$3:$A$20000,"&gt;="&amp;F$3,'Google data'!$A$3:$A$20000,"&lt;="&amp;F$4,'Google data'!$B$3:$B$20000,$A26),IF($B26="ChatGPT Ads",SUMIFS('ChatGPT data'!$I$3:$I$20000,'ChatGPT data'!$A$3:$A$20000,"&gt;="&amp;F$3,'ChatGPT data'!$A$3:$A$20000,"&lt;="&amp;F$4,'ChatGPT data'!$B$3:$B$20000,$A26),IF($B26="LinkedIn Ads",SUMIFS('LinkedIn data'!$I$3:$I$20000,'LinkedIn data'!$A$3:$A$20000,"&gt;="&amp;F$3,'LinkedIn data'!$A$3:$A$20000,"&lt;="&amp;F$4,'LinkedIn data'!$B$3:$B$20000,$A26),0)))))</f>
        <v>1394.464874</v>
      </c>
      <c r="G26" s="14" t="n">
        <f aca="false">IF($A26="","",IF($B26="Meta",SUMIFS('Meta data'!$I$3:$I$20000,'Meta data'!$A$3:$A$20000,"&gt;="&amp;G$3,'Meta data'!$A$3:$A$20000,"&lt;="&amp;G$4,'Meta data'!$B$3:$B$20000,$A26),IF($B26="Google Ads",SUMIFS('Google data'!$I$3:$I$20000,'Google data'!$A$3:$A$20000,"&gt;="&amp;G$3,'Google data'!$A$3:$A$20000,"&lt;="&amp;G$4,'Google data'!$B$3:$B$20000,$A26),IF($B26="ChatGPT Ads",SUMIFS('ChatGPT data'!$I$3:$I$20000,'ChatGPT data'!$A$3:$A$20000,"&gt;="&amp;G$3,'ChatGPT data'!$A$3:$A$20000,"&lt;="&amp;G$4,'ChatGPT data'!$B$3:$B$20000,$A26),IF($B26="LinkedIn Ads",SUMIFS('LinkedIn data'!$I$3:$I$20000,'LinkedIn data'!$A$3:$A$20000,"&gt;="&amp;G$3,'LinkedIn data'!$A$3:$A$20000,"&lt;="&amp;G$4,'LinkedIn data'!$B$3:$B$20000,$A26),0)))))</f>
        <v>1076.043321</v>
      </c>
      <c r="H26" s="14" t="n">
        <f aca="false">IF($A26="","",IF($B26="Meta",SUMIFS('Meta data'!$I$3:$I$20000,'Meta data'!$A$3:$A$20000,"&gt;="&amp;H$3,'Meta data'!$A$3:$A$20000,"&lt;="&amp;H$4,'Meta data'!$B$3:$B$20000,$A26),IF($B26="Google Ads",SUMIFS('Google data'!$I$3:$I$20000,'Google data'!$A$3:$A$20000,"&gt;="&amp;H$3,'Google data'!$A$3:$A$20000,"&lt;="&amp;H$4,'Google data'!$B$3:$B$20000,$A26),IF($B26="ChatGPT Ads",SUMIFS('ChatGPT data'!$I$3:$I$20000,'ChatGPT data'!$A$3:$A$20000,"&gt;="&amp;H$3,'ChatGPT data'!$A$3:$A$20000,"&lt;="&amp;H$4,'ChatGPT data'!$B$3:$B$20000,$A26),IF($B26="LinkedIn Ads",SUMIFS('LinkedIn data'!$I$3:$I$20000,'LinkedIn data'!$A$3:$A$20000,"&gt;="&amp;H$3,'LinkedIn data'!$A$3:$A$20000,"&lt;="&amp;H$4,'LinkedIn data'!$B$3:$B$20000,$A26),0)))))</f>
        <v>875.60618</v>
      </c>
      <c r="I26" s="14" t="n">
        <f aca="false">IF($A26="","",IF($B26="Meta",SUMIFS('Meta data'!$I$3:$I$20000,'Meta data'!$A$3:$A$20000,"&gt;="&amp;I$3,'Meta data'!$A$3:$A$20000,"&lt;="&amp;I$4,'Meta data'!$B$3:$B$20000,$A26),IF($B26="Google Ads",SUMIFS('Google data'!$I$3:$I$20000,'Google data'!$A$3:$A$20000,"&gt;="&amp;I$3,'Google data'!$A$3:$A$20000,"&lt;="&amp;I$4,'Google data'!$B$3:$B$20000,$A26),IF($B26="ChatGPT Ads",SUMIFS('ChatGPT data'!$I$3:$I$20000,'ChatGPT data'!$A$3:$A$20000,"&gt;="&amp;I$3,'ChatGPT data'!$A$3:$A$20000,"&lt;="&amp;I$4,'ChatGPT data'!$B$3:$B$20000,$A26),IF($B26="LinkedIn Ads",SUMIFS('LinkedIn data'!$I$3:$I$20000,'LinkedIn data'!$A$3:$A$20000,"&gt;="&amp;I$3,'LinkedIn data'!$A$3:$A$20000,"&lt;="&amp;I$4,'LinkedIn data'!$B$3:$B$20000,$A26),0)))))</f>
        <v>723.967821</v>
      </c>
      <c r="J26" s="14" t="n">
        <f aca="false">IF($A26="","",IF($B26="Meta",SUMIFS('Meta data'!$I$3:$I$20000,'Meta data'!$A$3:$A$20000,"&gt;="&amp;J$3,'Meta data'!$A$3:$A$20000,"&lt;="&amp;J$4,'Meta data'!$B$3:$B$20000,$A26),IF($B26="Google Ads",SUMIFS('Google data'!$I$3:$I$20000,'Google data'!$A$3:$A$20000,"&gt;="&amp;J$3,'Google data'!$A$3:$A$20000,"&lt;="&amp;J$4,'Google data'!$B$3:$B$20000,$A26),IF($B26="ChatGPT Ads",SUMIFS('ChatGPT data'!$I$3:$I$20000,'ChatGPT data'!$A$3:$A$20000,"&gt;="&amp;J$3,'ChatGPT data'!$A$3:$A$20000,"&lt;="&amp;J$4,'ChatGPT data'!$B$3:$B$20000,$A26),IF($B26="LinkedIn Ads",SUMIFS('LinkedIn data'!$I$3:$I$20000,'LinkedIn data'!$A$3:$A$20000,"&gt;="&amp;J$3,'LinkedIn data'!$A$3:$A$20000,"&lt;="&amp;J$4,'LinkedIn data'!$B$3:$B$20000,$A26),0)))))</f>
        <v>1722.398054</v>
      </c>
      <c r="K26" s="14" t="n">
        <f aca="false">IF($A26="","",IF($B26="Meta",SUMIFS('Meta data'!$I$3:$I$20000,'Meta data'!$A$3:$A$20000,"&gt;="&amp;K$3,'Meta data'!$A$3:$A$20000,"&lt;="&amp;K$4,'Meta data'!$B$3:$B$20000,$A26),IF($B26="Google Ads",SUMIFS('Google data'!$I$3:$I$20000,'Google data'!$A$3:$A$20000,"&gt;="&amp;K$3,'Google data'!$A$3:$A$20000,"&lt;="&amp;K$4,'Google data'!$B$3:$B$20000,$A26),IF($B26="ChatGPT Ads",SUMIFS('ChatGPT data'!$I$3:$I$20000,'ChatGPT data'!$A$3:$A$20000,"&gt;="&amp;K$3,'ChatGPT data'!$A$3:$A$20000,"&lt;="&amp;K$4,'ChatGPT data'!$B$3:$B$20000,$A26),IF($B26="LinkedIn Ads",SUMIFS('LinkedIn data'!$I$3:$I$20000,'LinkedIn data'!$A$3:$A$20000,"&gt;="&amp;K$3,'LinkedIn data'!$A$3:$A$20000,"&lt;="&amp;K$4,'LinkedIn data'!$B$3:$B$20000,$A26),0)))))</f>
        <v>1766.558381</v>
      </c>
      <c r="L26" s="14" t="n">
        <f aca="false">IF($A26="","",IF($B26="Meta",SUMIFS('Meta data'!$I$3:$I$20000,'Meta data'!$A$3:$A$20000,"&gt;="&amp;L$3,'Meta data'!$A$3:$A$20000,"&lt;="&amp;L$4,'Meta data'!$B$3:$B$20000,$A26),IF($B26="Google Ads",SUMIFS('Google data'!$I$3:$I$20000,'Google data'!$A$3:$A$20000,"&gt;="&amp;L$3,'Google data'!$A$3:$A$20000,"&lt;="&amp;L$4,'Google data'!$B$3:$B$20000,$A26),IF($B26="ChatGPT Ads",SUMIFS('ChatGPT data'!$I$3:$I$20000,'ChatGPT data'!$A$3:$A$20000,"&gt;="&amp;L$3,'ChatGPT data'!$A$3:$A$20000,"&lt;="&amp;L$4,'ChatGPT data'!$B$3:$B$20000,$A26),IF($B26="LinkedIn Ads",SUMIFS('LinkedIn data'!$I$3:$I$20000,'LinkedIn data'!$A$3:$A$20000,"&gt;="&amp;L$3,'LinkedIn data'!$A$3:$A$20000,"&lt;="&amp;L$4,'LinkedIn data'!$B$3:$B$20000,$A26),0)))))</f>
        <v>1673.576918</v>
      </c>
      <c r="M26" s="14" t="n">
        <f aca="false">IF($A26="","",IF($B26="Meta",SUMIFS('Meta data'!$I$3:$I$20000,'Meta data'!$A$3:$A$20000,"&gt;="&amp;M$3,'Meta data'!$A$3:$A$20000,"&lt;="&amp;M$4,'Meta data'!$B$3:$B$20000,$A26),IF($B26="Google Ads",SUMIFS('Google data'!$I$3:$I$20000,'Google data'!$A$3:$A$20000,"&gt;="&amp;M$3,'Google data'!$A$3:$A$20000,"&lt;="&amp;M$4,'Google data'!$B$3:$B$20000,$A26),IF($B26="ChatGPT Ads",SUMIFS('ChatGPT data'!$I$3:$I$20000,'ChatGPT data'!$A$3:$A$20000,"&gt;="&amp;M$3,'ChatGPT data'!$A$3:$A$20000,"&lt;="&amp;M$4,'ChatGPT data'!$B$3:$B$20000,$A26),IF($B26="LinkedIn Ads",SUMIFS('LinkedIn data'!$I$3:$I$20000,'LinkedIn data'!$A$3:$A$20000,"&gt;="&amp;M$3,'LinkedIn data'!$A$3:$A$20000,"&lt;="&amp;M$4,'LinkedIn data'!$B$3:$B$20000,$A26),0)))))</f>
        <v>679.33806</v>
      </c>
      <c r="N26" s="14" t="n">
        <f aca="false">IF($A26="","",IF($B26="Meta",SUMIFS('Meta data'!$I$3:$I$20000,'Meta data'!$A$3:$A$20000,"&gt;="&amp;N$3,'Meta data'!$A$3:$A$20000,"&lt;="&amp;N$4,'Meta data'!$B$3:$B$20000,$A26),IF($B26="Google Ads",SUMIFS('Google data'!$I$3:$I$20000,'Google data'!$A$3:$A$20000,"&gt;="&amp;N$3,'Google data'!$A$3:$A$20000,"&lt;="&amp;N$4,'Google data'!$B$3:$B$20000,$A26),IF($B26="ChatGPT Ads",SUMIFS('ChatGPT data'!$I$3:$I$20000,'ChatGPT data'!$A$3:$A$20000,"&gt;="&amp;N$3,'ChatGPT data'!$A$3:$A$20000,"&lt;="&amp;N$4,'ChatGPT data'!$B$3:$B$20000,$A26),IF($B26="LinkedIn Ads",SUMIFS('LinkedIn data'!$I$3:$I$20000,'LinkedIn data'!$A$3:$A$20000,"&gt;="&amp;N$3,'LinkedIn data'!$A$3:$A$20000,"&lt;="&amp;N$4,'LinkedIn data'!$B$3:$B$20000,$A26),0)))))</f>
        <v>0</v>
      </c>
      <c r="O26" s="14" t="n">
        <f aca="false">IF($A26="","",IF($B26="Meta",SUMIFS('Meta data'!$I$3:$I$20000,'Meta data'!$A$3:$A$20000,"&gt;="&amp;O$3,'Meta data'!$A$3:$A$20000,"&lt;="&amp;O$4,'Meta data'!$B$3:$B$20000,$A26),IF($B26="Google Ads",SUMIFS('Google data'!$I$3:$I$20000,'Google data'!$A$3:$A$20000,"&gt;="&amp;O$3,'Google data'!$A$3:$A$20000,"&lt;="&amp;O$4,'Google data'!$B$3:$B$20000,$A26),IF($B26="ChatGPT Ads",SUMIFS('ChatGPT data'!$I$3:$I$20000,'ChatGPT data'!$A$3:$A$20000,"&gt;="&amp;O$3,'ChatGPT data'!$A$3:$A$20000,"&lt;="&amp;O$4,'ChatGPT data'!$B$3:$B$20000,$A26),IF($B26="LinkedIn Ads",SUMIFS('LinkedIn data'!$I$3:$I$20000,'LinkedIn data'!$A$3:$A$20000,"&gt;="&amp;O$3,'LinkedIn data'!$A$3:$A$20000,"&lt;="&amp;O$4,'LinkedIn data'!$B$3:$B$20000,$A26),0)))))</f>
        <v>0</v>
      </c>
      <c r="P26" s="14" t="n">
        <f aca="false">IF($A26="","",IF($B26="Meta",SUMIFS('Meta data'!$I$3:$I$20000,'Meta data'!$A$3:$A$20000,"&gt;="&amp;P$3,'Meta data'!$A$3:$A$20000,"&lt;="&amp;P$4,'Meta data'!$B$3:$B$20000,$A26),IF($B26="Google Ads",SUMIFS('Google data'!$I$3:$I$20000,'Google data'!$A$3:$A$20000,"&gt;="&amp;P$3,'Google data'!$A$3:$A$20000,"&lt;="&amp;P$4,'Google data'!$B$3:$B$20000,$A26),IF($B26="ChatGPT Ads",SUMIFS('ChatGPT data'!$I$3:$I$20000,'ChatGPT data'!$A$3:$A$20000,"&gt;="&amp;P$3,'ChatGPT data'!$A$3:$A$20000,"&lt;="&amp;P$4,'ChatGPT data'!$B$3:$B$20000,$A26),IF($B26="LinkedIn Ads",SUMIFS('LinkedIn data'!$I$3:$I$20000,'LinkedIn data'!$A$3:$A$20000,"&gt;="&amp;P$3,'LinkedIn data'!$A$3:$A$20000,"&lt;="&amp;P$4,'LinkedIn data'!$B$3:$B$20000,$A26),0)))))</f>
        <v>0</v>
      </c>
      <c r="Q26" s="14" t="n">
        <f aca="false">IF($A26="","",IF($B26="Meta",SUMIFS('Meta data'!$I$3:$I$20000,'Meta data'!$A$3:$A$20000,"&gt;="&amp;Q$3,'Meta data'!$A$3:$A$20000,"&lt;="&amp;Q$4,'Meta data'!$B$3:$B$20000,$A26),IF($B26="Google Ads",SUMIFS('Google data'!$I$3:$I$20000,'Google data'!$A$3:$A$20000,"&gt;="&amp;Q$3,'Google data'!$A$3:$A$20000,"&lt;="&amp;Q$4,'Google data'!$B$3:$B$20000,$A26),IF($B26="ChatGPT Ads",SUMIFS('ChatGPT data'!$I$3:$I$20000,'ChatGPT data'!$A$3:$A$20000,"&gt;="&amp;Q$3,'ChatGPT data'!$A$3:$A$20000,"&lt;="&amp;Q$4,'ChatGPT data'!$B$3:$B$20000,$A26),IF($B26="LinkedIn Ads",SUMIFS('LinkedIn data'!$I$3:$I$20000,'LinkedIn data'!$A$3:$A$20000,"&gt;="&amp;Q$3,'LinkedIn data'!$A$3:$A$20000,"&lt;="&amp;Q$4,'LinkedIn data'!$B$3:$B$20000,$A26),0)))))</f>
        <v>0</v>
      </c>
      <c r="R26" s="15" t="n">
        <f aca="false">IF($A26="","",SUM(F26:Q26))</f>
        <v>9911.953609</v>
      </c>
      <c r="S26" s="37" t="n">
        <f aca="false">IF($A26="","",IF($B26="Meta",SUMIFS('Meta data'!$E$3:$E$20000,'Meta data'!$B$3:$B$20000,$A26),IF($B26="Google Ads",SUMIFS('Google data'!$E$3:$E$20000,'Google data'!$B$3:$B$20000,$A26),IF($B26="ChatGPT Ads",SUMIFS('ChatGPT data'!$E$3:$E$20000,'ChatGPT data'!$B$3:$B$20000,$A26),IF($B26="LinkedIn Ads",SUMIFS('LinkedIn data'!$E$3:$E$20000,'LinkedIn data'!$B$3:$B$20000,$A26),0)))))</f>
        <v>3478</v>
      </c>
      <c r="T26" s="37" t="n">
        <f aca="false">IF($A26="","",IF($B26="Meta",SUMIFS('Meta data'!$F$3:$F$20000,'Meta data'!$B$3:$B$20000,$A26),IF($B26="Google Ads",SUMIFS('Google data'!$F$3:$F$20000,'Google data'!$B$3:$B$20000,$A26),IF($B26="ChatGPT Ads",SUMIFS('ChatGPT data'!$F$3:$F$20000,'ChatGPT data'!$B$3:$B$20000,$A26),IF($B26="LinkedIn Ads",SUMIFS('LinkedIn data'!$F$3:$F$20000,'LinkedIn data'!$B$3:$B$20000,$A26),0)))))</f>
        <v>133.84</v>
      </c>
      <c r="U26" s="38" t="n">
        <f aca="false">IF(OR($A26="",T26=0),"",R26/T26)</f>
        <v>74.0582307904961</v>
      </c>
    </row>
    <row r="27" customFormat="false" ht="15" hidden="false" customHeight="false" outlineLevel="0" collapsed="false">
      <c r="A27" s="58" t="s">
        <v>186</v>
      </c>
      <c r="B27" s="58" t="s">
        <v>20</v>
      </c>
      <c r="C27" s="58" t="s">
        <v>131</v>
      </c>
      <c r="D27" s="58" t="s">
        <v>124</v>
      </c>
      <c r="E27" s="58" t="s">
        <v>150</v>
      </c>
      <c r="F27" s="14" t="n">
        <f aca="false">IF($A27="","",IF($B27="Meta",SUMIFS('Meta data'!$I$3:$I$20000,'Meta data'!$A$3:$A$20000,"&gt;="&amp;F$3,'Meta data'!$A$3:$A$20000,"&lt;="&amp;F$4,'Meta data'!$B$3:$B$20000,$A27),IF($B27="Google Ads",SUMIFS('Google data'!$I$3:$I$20000,'Google data'!$A$3:$A$20000,"&gt;="&amp;F$3,'Google data'!$A$3:$A$20000,"&lt;="&amp;F$4,'Google data'!$B$3:$B$20000,$A27),IF($B27="ChatGPT Ads",SUMIFS('ChatGPT data'!$I$3:$I$20000,'ChatGPT data'!$A$3:$A$20000,"&gt;="&amp;F$3,'ChatGPT data'!$A$3:$A$20000,"&lt;="&amp;F$4,'ChatGPT data'!$B$3:$B$20000,$A27),IF($B27="LinkedIn Ads",SUMIFS('LinkedIn data'!$I$3:$I$20000,'LinkedIn data'!$A$3:$A$20000,"&gt;="&amp;F$3,'LinkedIn data'!$A$3:$A$20000,"&lt;="&amp;F$4,'LinkedIn data'!$B$3:$B$20000,$A27),0)))))</f>
        <v>819.911189</v>
      </c>
      <c r="G27" s="14" t="n">
        <f aca="false">IF($A27="","",IF($B27="Meta",SUMIFS('Meta data'!$I$3:$I$20000,'Meta data'!$A$3:$A$20000,"&gt;="&amp;G$3,'Meta data'!$A$3:$A$20000,"&lt;="&amp;G$4,'Meta data'!$B$3:$B$20000,$A27),IF($B27="Google Ads",SUMIFS('Google data'!$I$3:$I$20000,'Google data'!$A$3:$A$20000,"&gt;="&amp;G$3,'Google data'!$A$3:$A$20000,"&lt;="&amp;G$4,'Google data'!$B$3:$B$20000,$A27),IF($B27="ChatGPT Ads",SUMIFS('ChatGPT data'!$I$3:$I$20000,'ChatGPT data'!$A$3:$A$20000,"&gt;="&amp;G$3,'ChatGPT data'!$A$3:$A$20000,"&lt;="&amp;G$4,'ChatGPT data'!$B$3:$B$20000,$A27),IF($B27="LinkedIn Ads",SUMIFS('LinkedIn data'!$I$3:$I$20000,'LinkedIn data'!$A$3:$A$20000,"&gt;="&amp;G$3,'LinkedIn data'!$A$3:$A$20000,"&lt;="&amp;G$4,'LinkedIn data'!$B$3:$B$20000,$A27),0)))))</f>
        <v>769.055839</v>
      </c>
      <c r="H27" s="14" t="n">
        <f aca="false">IF($A27="","",IF($B27="Meta",SUMIFS('Meta data'!$I$3:$I$20000,'Meta data'!$A$3:$A$20000,"&gt;="&amp;H$3,'Meta data'!$A$3:$A$20000,"&lt;="&amp;H$4,'Meta data'!$B$3:$B$20000,$A27),IF($B27="Google Ads",SUMIFS('Google data'!$I$3:$I$20000,'Google data'!$A$3:$A$20000,"&gt;="&amp;H$3,'Google data'!$A$3:$A$20000,"&lt;="&amp;H$4,'Google data'!$B$3:$B$20000,$A27),IF($B27="ChatGPT Ads",SUMIFS('ChatGPT data'!$I$3:$I$20000,'ChatGPT data'!$A$3:$A$20000,"&gt;="&amp;H$3,'ChatGPT data'!$A$3:$A$20000,"&lt;="&amp;H$4,'ChatGPT data'!$B$3:$B$20000,$A27),IF($B27="LinkedIn Ads",SUMIFS('LinkedIn data'!$I$3:$I$20000,'LinkedIn data'!$A$3:$A$20000,"&gt;="&amp;H$3,'LinkedIn data'!$A$3:$A$20000,"&lt;="&amp;H$4,'LinkedIn data'!$B$3:$B$20000,$A27),0)))))</f>
        <v>1110.43495</v>
      </c>
      <c r="I27" s="14" t="n">
        <f aca="false">IF($A27="","",IF($B27="Meta",SUMIFS('Meta data'!$I$3:$I$20000,'Meta data'!$A$3:$A$20000,"&gt;="&amp;I$3,'Meta data'!$A$3:$A$20000,"&lt;="&amp;I$4,'Meta data'!$B$3:$B$20000,$A27),IF($B27="Google Ads",SUMIFS('Google data'!$I$3:$I$20000,'Google data'!$A$3:$A$20000,"&gt;="&amp;I$3,'Google data'!$A$3:$A$20000,"&lt;="&amp;I$4,'Google data'!$B$3:$B$20000,$A27),IF($B27="ChatGPT Ads",SUMIFS('ChatGPT data'!$I$3:$I$20000,'ChatGPT data'!$A$3:$A$20000,"&gt;="&amp;I$3,'ChatGPT data'!$A$3:$A$20000,"&lt;="&amp;I$4,'ChatGPT data'!$B$3:$B$20000,$A27),IF($B27="LinkedIn Ads",SUMIFS('LinkedIn data'!$I$3:$I$20000,'LinkedIn data'!$A$3:$A$20000,"&gt;="&amp;I$3,'LinkedIn data'!$A$3:$A$20000,"&lt;="&amp;I$4,'LinkedIn data'!$B$3:$B$20000,$A27),0)))))</f>
        <v>1360.509148</v>
      </c>
      <c r="J27" s="14" t="n">
        <f aca="false">IF($A27="","",IF($B27="Meta",SUMIFS('Meta data'!$I$3:$I$20000,'Meta data'!$A$3:$A$20000,"&gt;="&amp;J$3,'Meta data'!$A$3:$A$20000,"&lt;="&amp;J$4,'Meta data'!$B$3:$B$20000,$A27),IF($B27="Google Ads",SUMIFS('Google data'!$I$3:$I$20000,'Google data'!$A$3:$A$20000,"&gt;="&amp;J$3,'Google data'!$A$3:$A$20000,"&lt;="&amp;J$4,'Google data'!$B$3:$B$20000,$A27),IF($B27="ChatGPT Ads",SUMIFS('ChatGPT data'!$I$3:$I$20000,'ChatGPT data'!$A$3:$A$20000,"&gt;="&amp;J$3,'ChatGPT data'!$A$3:$A$20000,"&lt;="&amp;J$4,'ChatGPT data'!$B$3:$B$20000,$A27),IF($B27="LinkedIn Ads",SUMIFS('LinkedIn data'!$I$3:$I$20000,'LinkedIn data'!$A$3:$A$20000,"&gt;="&amp;J$3,'LinkedIn data'!$A$3:$A$20000,"&lt;="&amp;J$4,'LinkedIn data'!$B$3:$B$20000,$A27),0)))))</f>
        <v>1696.523299</v>
      </c>
      <c r="K27" s="14" t="n">
        <f aca="false">IF($A27="","",IF($B27="Meta",SUMIFS('Meta data'!$I$3:$I$20000,'Meta data'!$A$3:$A$20000,"&gt;="&amp;K$3,'Meta data'!$A$3:$A$20000,"&lt;="&amp;K$4,'Meta data'!$B$3:$B$20000,$A27),IF($B27="Google Ads",SUMIFS('Google data'!$I$3:$I$20000,'Google data'!$A$3:$A$20000,"&gt;="&amp;K$3,'Google data'!$A$3:$A$20000,"&lt;="&amp;K$4,'Google data'!$B$3:$B$20000,$A27),IF($B27="ChatGPT Ads",SUMIFS('ChatGPT data'!$I$3:$I$20000,'ChatGPT data'!$A$3:$A$20000,"&gt;="&amp;K$3,'ChatGPT data'!$A$3:$A$20000,"&lt;="&amp;K$4,'ChatGPT data'!$B$3:$B$20000,$A27),IF($B27="LinkedIn Ads",SUMIFS('LinkedIn data'!$I$3:$I$20000,'LinkedIn data'!$A$3:$A$20000,"&gt;="&amp;K$3,'LinkedIn data'!$A$3:$A$20000,"&lt;="&amp;K$4,'LinkedIn data'!$B$3:$B$20000,$A27),0)))))</f>
        <v>1699.183425</v>
      </c>
      <c r="L27" s="14" t="n">
        <f aca="false">IF($A27="","",IF($B27="Meta",SUMIFS('Meta data'!$I$3:$I$20000,'Meta data'!$A$3:$A$20000,"&gt;="&amp;L$3,'Meta data'!$A$3:$A$20000,"&lt;="&amp;L$4,'Meta data'!$B$3:$B$20000,$A27),IF($B27="Google Ads",SUMIFS('Google data'!$I$3:$I$20000,'Google data'!$A$3:$A$20000,"&gt;="&amp;L$3,'Google data'!$A$3:$A$20000,"&lt;="&amp;L$4,'Google data'!$B$3:$B$20000,$A27),IF($B27="ChatGPT Ads",SUMIFS('ChatGPT data'!$I$3:$I$20000,'ChatGPT data'!$A$3:$A$20000,"&gt;="&amp;L$3,'ChatGPT data'!$A$3:$A$20000,"&lt;="&amp;L$4,'ChatGPT data'!$B$3:$B$20000,$A27),IF($B27="LinkedIn Ads",SUMIFS('LinkedIn data'!$I$3:$I$20000,'LinkedIn data'!$A$3:$A$20000,"&gt;="&amp;L$3,'LinkedIn data'!$A$3:$A$20000,"&lt;="&amp;L$4,'LinkedIn data'!$B$3:$B$20000,$A27),0)))))</f>
        <v>1608.135583</v>
      </c>
      <c r="M27" s="14" t="n">
        <f aca="false">IF($A27="","",IF($B27="Meta",SUMIFS('Meta data'!$I$3:$I$20000,'Meta data'!$A$3:$A$20000,"&gt;="&amp;M$3,'Meta data'!$A$3:$A$20000,"&lt;="&amp;M$4,'Meta data'!$B$3:$B$20000,$A27),IF($B27="Google Ads",SUMIFS('Google data'!$I$3:$I$20000,'Google data'!$A$3:$A$20000,"&gt;="&amp;M$3,'Google data'!$A$3:$A$20000,"&lt;="&amp;M$4,'Google data'!$B$3:$B$20000,$A27),IF($B27="ChatGPT Ads",SUMIFS('ChatGPT data'!$I$3:$I$20000,'ChatGPT data'!$A$3:$A$20000,"&gt;="&amp;M$3,'ChatGPT data'!$A$3:$A$20000,"&lt;="&amp;M$4,'ChatGPT data'!$B$3:$B$20000,$A27),IF($B27="LinkedIn Ads",SUMIFS('LinkedIn data'!$I$3:$I$20000,'LinkedIn data'!$A$3:$A$20000,"&gt;="&amp;M$3,'LinkedIn data'!$A$3:$A$20000,"&lt;="&amp;M$4,'LinkedIn data'!$B$3:$B$20000,$A27),0)))))</f>
        <v>626.426142</v>
      </c>
      <c r="N27" s="14" t="n">
        <f aca="false">IF($A27="","",IF($B27="Meta",SUMIFS('Meta data'!$I$3:$I$20000,'Meta data'!$A$3:$A$20000,"&gt;="&amp;N$3,'Meta data'!$A$3:$A$20000,"&lt;="&amp;N$4,'Meta data'!$B$3:$B$20000,$A27),IF($B27="Google Ads",SUMIFS('Google data'!$I$3:$I$20000,'Google data'!$A$3:$A$20000,"&gt;="&amp;N$3,'Google data'!$A$3:$A$20000,"&lt;="&amp;N$4,'Google data'!$B$3:$B$20000,$A27),IF($B27="ChatGPT Ads",SUMIFS('ChatGPT data'!$I$3:$I$20000,'ChatGPT data'!$A$3:$A$20000,"&gt;="&amp;N$3,'ChatGPT data'!$A$3:$A$20000,"&lt;="&amp;N$4,'ChatGPT data'!$B$3:$B$20000,$A27),IF($B27="LinkedIn Ads",SUMIFS('LinkedIn data'!$I$3:$I$20000,'LinkedIn data'!$A$3:$A$20000,"&gt;="&amp;N$3,'LinkedIn data'!$A$3:$A$20000,"&lt;="&amp;N$4,'LinkedIn data'!$B$3:$B$20000,$A27),0)))))</f>
        <v>0</v>
      </c>
      <c r="O27" s="14" t="n">
        <f aca="false">IF($A27="","",IF($B27="Meta",SUMIFS('Meta data'!$I$3:$I$20000,'Meta data'!$A$3:$A$20000,"&gt;="&amp;O$3,'Meta data'!$A$3:$A$20000,"&lt;="&amp;O$4,'Meta data'!$B$3:$B$20000,$A27),IF($B27="Google Ads",SUMIFS('Google data'!$I$3:$I$20000,'Google data'!$A$3:$A$20000,"&gt;="&amp;O$3,'Google data'!$A$3:$A$20000,"&lt;="&amp;O$4,'Google data'!$B$3:$B$20000,$A27),IF($B27="ChatGPT Ads",SUMIFS('ChatGPT data'!$I$3:$I$20000,'ChatGPT data'!$A$3:$A$20000,"&gt;="&amp;O$3,'ChatGPT data'!$A$3:$A$20000,"&lt;="&amp;O$4,'ChatGPT data'!$B$3:$B$20000,$A27),IF($B27="LinkedIn Ads",SUMIFS('LinkedIn data'!$I$3:$I$20000,'LinkedIn data'!$A$3:$A$20000,"&gt;="&amp;O$3,'LinkedIn data'!$A$3:$A$20000,"&lt;="&amp;O$4,'LinkedIn data'!$B$3:$B$20000,$A27),0)))))</f>
        <v>0</v>
      </c>
      <c r="P27" s="14" t="n">
        <f aca="false">IF($A27="","",IF($B27="Meta",SUMIFS('Meta data'!$I$3:$I$20000,'Meta data'!$A$3:$A$20000,"&gt;="&amp;P$3,'Meta data'!$A$3:$A$20000,"&lt;="&amp;P$4,'Meta data'!$B$3:$B$20000,$A27),IF($B27="Google Ads",SUMIFS('Google data'!$I$3:$I$20000,'Google data'!$A$3:$A$20000,"&gt;="&amp;P$3,'Google data'!$A$3:$A$20000,"&lt;="&amp;P$4,'Google data'!$B$3:$B$20000,$A27),IF($B27="ChatGPT Ads",SUMIFS('ChatGPT data'!$I$3:$I$20000,'ChatGPT data'!$A$3:$A$20000,"&gt;="&amp;P$3,'ChatGPT data'!$A$3:$A$20000,"&lt;="&amp;P$4,'ChatGPT data'!$B$3:$B$20000,$A27),IF($B27="LinkedIn Ads",SUMIFS('LinkedIn data'!$I$3:$I$20000,'LinkedIn data'!$A$3:$A$20000,"&gt;="&amp;P$3,'LinkedIn data'!$A$3:$A$20000,"&lt;="&amp;P$4,'LinkedIn data'!$B$3:$B$20000,$A27),0)))))</f>
        <v>0</v>
      </c>
      <c r="Q27" s="14" t="n">
        <f aca="false">IF($A27="","",IF($B27="Meta",SUMIFS('Meta data'!$I$3:$I$20000,'Meta data'!$A$3:$A$20000,"&gt;="&amp;Q$3,'Meta data'!$A$3:$A$20000,"&lt;="&amp;Q$4,'Meta data'!$B$3:$B$20000,$A27),IF($B27="Google Ads",SUMIFS('Google data'!$I$3:$I$20000,'Google data'!$A$3:$A$20000,"&gt;="&amp;Q$3,'Google data'!$A$3:$A$20000,"&lt;="&amp;Q$4,'Google data'!$B$3:$B$20000,$A27),IF($B27="ChatGPT Ads",SUMIFS('ChatGPT data'!$I$3:$I$20000,'ChatGPT data'!$A$3:$A$20000,"&gt;="&amp;Q$3,'ChatGPT data'!$A$3:$A$20000,"&lt;="&amp;Q$4,'ChatGPT data'!$B$3:$B$20000,$A27),IF($B27="LinkedIn Ads",SUMIFS('LinkedIn data'!$I$3:$I$20000,'LinkedIn data'!$A$3:$A$20000,"&gt;="&amp;Q$3,'LinkedIn data'!$A$3:$A$20000,"&lt;="&amp;Q$4,'LinkedIn data'!$B$3:$B$20000,$A27),0)))))</f>
        <v>0</v>
      </c>
      <c r="R27" s="15" t="n">
        <f aca="false">IF($A27="","",SUM(F27:Q27))</f>
        <v>9690.179575</v>
      </c>
      <c r="S27" s="37" t="n">
        <f aca="false">IF($A27="","",IF($B27="Meta",SUMIFS('Meta data'!$E$3:$E$20000,'Meta data'!$B$3:$B$20000,$A27),IF($B27="Google Ads",SUMIFS('Google data'!$E$3:$E$20000,'Google data'!$B$3:$B$20000,$A27),IF($B27="ChatGPT Ads",SUMIFS('ChatGPT data'!$E$3:$E$20000,'ChatGPT data'!$B$3:$B$20000,$A27),IF($B27="LinkedIn Ads",SUMIFS('LinkedIn data'!$E$3:$E$20000,'LinkedIn data'!$B$3:$B$20000,$A27),0)))))</f>
        <v>1899</v>
      </c>
      <c r="T27" s="37" t="n">
        <f aca="false">IF($A27="","",IF($B27="Meta",SUMIFS('Meta data'!$F$3:$F$20000,'Meta data'!$B$3:$B$20000,$A27),IF($B27="Google Ads",SUMIFS('Google data'!$F$3:$F$20000,'Google data'!$B$3:$B$20000,$A27),IF($B27="ChatGPT Ads",SUMIFS('ChatGPT data'!$F$3:$F$20000,'ChatGPT data'!$B$3:$B$20000,$A27),IF($B27="LinkedIn Ads",SUMIFS('LinkedIn data'!$F$3:$F$20000,'LinkedIn data'!$B$3:$B$20000,$A27),0)))))</f>
        <v>84.2</v>
      </c>
      <c r="U27" s="38" t="n">
        <f aca="false">IF(OR($A27="",T27=0),"",R27/T27)</f>
        <v>115.085268111639</v>
      </c>
    </row>
    <row r="28" customFormat="false" ht="15" hidden="false" customHeight="false" outlineLevel="0" collapsed="false">
      <c r="A28" s="58" t="s">
        <v>187</v>
      </c>
      <c r="B28" s="58" t="s">
        <v>20</v>
      </c>
      <c r="C28" s="58" t="s">
        <v>136</v>
      </c>
      <c r="D28" s="58" t="s">
        <v>124</v>
      </c>
      <c r="E28" s="58" t="s">
        <v>150</v>
      </c>
      <c r="F28" s="14" t="n">
        <f aca="false">IF($A28="","",IF($B28="Meta",SUMIFS('Meta data'!$I$3:$I$20000,'Meta data'!$A$3:$A$20000,"&gt;="&amp;F$3,'Meta data'!$A$3:$A$20000,"&lt;="&amp;F$4,'Meta data'!$B$3:$B$20000,$A28),IF($B28="Google Ads",SUMIFS('Google data'!$I$3:$I$20000,'Google data'!$A$3:$A$20000,"&gt;="&amp;F$3,'Google data'!$A$3:$A$20000,"&lt;="&amp;F$4,'Google data'!$B$3:$B$20000,$A28),IF($B28="ChatGPT Ads",SUMIFS('ChatGPT data'!$I$3:$I$20000,'ChatGPT data'!$A$3:$A$20000,"&gt;="&amp;F$3,'ChatGPT data'!$A$3:$A$20000,"&lt;="&amp;F$4,'ChatGPT data'!$B$3:$B$20000,$A28),IF($B28="LinkedIn Ads",SUMIFS('LinkedIn data'!$I$3:$I$20000,'LinkedIn data'!$A$3:$A$20000,"&gt;="&amp;F$3,'LinkedIn data'!$A$3:$A$20000,"&lt;="&amp;F$4,'LinkedIn data'!$B$3:$B$20000,$A28),0)))))</f>
        <v>134.492841</v>
      </c>
      <c r="G28" s="14" t="n">
        <f aca="false">IF($A28="","",IF($B28="Meta",SUMIFS('Meta data'!$I$3:$I$20000,'Meta data'!$A$3:$A$20000,"&gt;="&amp;G$3,'Meta data'!$A$3:$A$20000,"&lt;="&amp;G$4,'Meta data'!$B$3:$B$20000,$A28),IF($B28="Google Ads",SUMIFS('Google data'!$I$3:$I$20000,'Google data'!$A$3:$A$20000,"&gt;="&amp;G$3,'Google data'!$A$3:$A$20000,"&lt;="&amp;G$4,'Google data'!$B$3:$B$20000,$A28),IF($B28="ChatGPT Ads",SUMIFS('ChatGPT data'!$I$3:$I$20000,'ChatGPT data'!$A$3:$A$20000,"&gt;="&amp;G$3,'ChatGPT data'!$A$3:$A$20000,"&lt;="&amp;G$4,'ChatGPT data'!$B$3:$B$20000,$A28),IF($B28="LinkedIn Ads",SUMIFS('LinkedIn data'!$I$3:$I$20000,'LinkedIn data'!$A$3:$A$20000,"&gt;="&amp;G$3,'LinkedIn data'!$A$3:$A$20000,"&lt;="&amp;G$4,'LinkedIn data'!$B$3:$B$20000,$A28),0)))))</f>
        <v>336.014151</v>
      </c>
      <c r="H28" s="14" t="n">
        <f aca="false">IF($A28="","",IF($B28="Meta",SUMIFS('Meta data'!$I$3:$I$20000,'Meta data'!$A$3:$A$20000,"&gt;="&amp;H$3,'Meta data'!$A$3:$A$20000,"&lt;="&amp;H$4,'Meta data'!$B$3:$B$20000,$A28),IF($B28="Google Ads",SUMIFS('Google data'!$I$3:$I$20000,'Google data'!$A$3:$A$20000,"&gt;="&amp;H$3,'Google data'!$A$3:$A$20000,"&lt;="&amp;H$4,'Google data'!$B$3:$B$20000,$A28),IF($B28="ChatGPT Ads",SUMIFS('ChatGPT data'!$I$3:$I$20000,'ChatGPT data'!$A$3:$A$20000,"&gt;="&amp;H$3,'ChatGPT data'!$A$3:$A$20000,"&lt;="&amp;H$4,'ChatGPT data'!$B$3:$B$20000,$A28),IF($B28="LinkedIn Ads",SUMIFS('LinkedIn data'!$I$3:$I$20000,'LinkedIn data'!$A$3:$A$20000,"&gt;="&amp;H$3,'LinkedIn data'!$A$3:$A$20000,"&lt;="&amp;H$4,'LinkedIn data'!$B$3:$B$20000,$A28),0)))))</f>
        <v>339.646676</v>
      </c>
      <c r="I28" s="14" t="n">
        <f aca="false">IF($A28="","",IF($B28="Meta",SUMIFS('Meta data'!$I$3:$I$20000,'Meta data'!$A$3:$A$20000,"&gt;="&amp;I$3,'Meta data'!$A$3:$A$20000,"&lt;="&amp;I$4,'Meta data'!$B$3:$B$20000,$A28),IF($B28="Google Ads",SUMIFS('Google data'!$I$3:$I$20000,'Google data'!$A$3:$A$20000,"&gt;="&amp;I$3,'Google data'!$A$3:$A$20000,"&lt;="&amp;I$4,'Google data'!$B$3:$B$20000,$A28),IF($B28="ChatGPT Ads",SUMIFS('ChatGPT data'!$I$3:$I$20000,'ChatGPT data'!$A$3:$A$20000,"&gt;="&amp;I$3,'ChatGPT data'!$A$3:$A$20000,"&lt;="&amp;I$4,'ChatGPT data'!$B$3:$B$20000,$A28),IF($B28="LinkedIn Ads",SUMIFS('LinkedIn data'!$I$3:$I$20000,'LinkedIn data'!$A$3:$A$20000,"&gt;="&amp;I$3,'LinkedIn data'!$A$3:$A$20000,"&lt;="&amp;I$4,'LinkedIn data'!$B$3:$B$20000,$A28),0)))))</f>
        <v>329.94504</v>
      </c>
      <c r="J28" s="14" t="n">
        <f aca="false">IF($A28="","",IF($B28="Meta",SUMIFS('Meta data'!$I$3:$I$20000,'Meta data'!$A$3:$A$20000,"&gt;="&amp;J$3,'Meta data'!$A$3:$A$20000,"&lt;="&amp;J$4,'Meta data'!$B$3:$B$20000,$A28),IF($B28="Google Ads",SUMIFS('Google data'!$I$3:$I$20000,'Google data'!$A$3:$A$20000,"&gt;="&amp;J$3,'Google data'!$A$3:$A$20000,"&lt;="&amp;J$4,'Google data'!$B$3:$B$20000,$A28),IF($B28="ChatGPT Ads",SUMIFS('ChatGPT data'!$I$3:$I$20000,'ChatGPT data'!$A$3:$A$20000,"&gt;="&amp;J$3,'ChatGPT data'!$A$3:$A$20000,"&lt;="&amp;J$4,'ChatGPT data'!$B$3:$B$20000,$A28),IF($B28="LinkedIn Ads",SUMIFS('LinkedIn data'!$I$3:$I$20000,'LinkedIn data'!$A$3:$A$20000,"&gt;="&amp;J$3,'LinkedIn data'!$A$3:$A$20000,"&lt;="&amp;J$4,'LinkedIn data'!$B$3:$B$20000,$A28),0)))))</f>
        <v>689.352652</v>
      </c>
      <c r="K28" s="14" t="n">
        <f aca="false">IF($A28="","",IF($B28="Meta",SUMIFS('Meta data'!$I$3:$I$20000,'Meta data'!$A$3:$A$20000,"&gt;="&amp;K$3,'Meta data'!$A$3:$A$20000,"&lt;="&amp;K$4,'Meta data'!$B$3:$B$20000,$A28),IF($B28="Google Ads",SUMIFS('Google data'!$I$3:$I$20000,'Google data'!$A$3:$A$20000,"&gt;="&amp;K$3,'Google data'!$A$3:$A$20000,"&lt;="&amp;K$4,'Google data'!$B$3:$B$20000,$A28),IF($B28="ChatGPT Ads",SUMIFS('ChatGPT data'!$I$3:$I$20000,'ChatGPT data'!$A$3:$A$20000,"&gt;="&amp;K$3,'ChatGPT data'!$A$3:$A$20000,"&lt;="&amp;K$4,'ChatGPT data'!$B$3:$B$20000,$A28),IF($B28="LinkedIn Ads",SUMIFS('LinkedIn data'!$I$3:$I$20000,'LinkedIn data'!$A$3:$A$20000,"&gt;="&amp;K$3,'LinkedIn data'!$A$3:$A$20000,"&lt;="&amp;K$4,'LinkedIn data'!$B$3:$B$20000,$A28),0)))))</f>
        <v>2268.584513</v>
      </c>
      <c r="L28" s="14" t="n">
        <f aca="false">IF($A28="","",IF($B28="Meta",SUMIFS('Meta data'!$I$3:$I$20000,'Meta data'!$A$3:$A$20000,"&gt;="&amp;L$3,'Meta data'!$A$3:$A$20000,"&lt;="&amp;L$4,'Meta data'!$B$3:$B$20000,$A28),IF($B28="Google Ads",SUMIFS('Google data'!$I$3:$I$20000,'Google data'!$A$3:$A$20000,"&gt;="&amp;L$3,'Google data'!$A$3:$A$20000,"&lt;="&amp;L$4,'Google data'!$B$3:$B$20000,$A28),IF($B28="ChatGPT Ads",SUMIFS('ChatGPT data'!$I$3:$I$20000,'ChatGPT data'!$A$3:$A$20000,"&gt;="&amp;L$3,'ChatGPT data'!$A$3:$A$20000,"&lt;="&amp;L$4,'ChatGPT data'!$B$3:$B$20000,$A28),IF($B28="LinkedIn Ads",SUMIFS('LinkedIn data'!$I$3:$I$20000,'LinkedIn data'!$A$3:$A$20000,"&gt;="&amp;L$3,'LinkedIn data'!$A$3:$A$20000,"&lt;="&amp;L$4,'LinkedIn data'!$B$3:$B$20000,$A28),0)))))</f>
        <v>2156.479203</v>
      </c>
      <c r="M28" s="14" t="n">
        <f aca="false">IF($A28="","",IF($B28="Meta",SUMIFS('Meta data'!$I$3:$I$20000,'Meta data'!$A$3:$A$20000,"&gt;="&amp;M$3,'Meta data'!$A$3:$A$20000,"&lt;="&amp;M$4,'Meta data'!$B$3:$B$20000,$A28),IF($B28="Google Ads",SUMIFS('Google data'!$I$3:$I$20000,'Google data'!$A$3:$A$20000,"&gt;="&amp;M$3,'Google data'!$A$3:$A$20000,"&lt;="&amp;M$4,'Google data'!$B$3:$B$20000,$A28),IF($B28="ChatGPT Ads",SUMIFS('ChatGPT data'!$I$3:$I$20000,'ChatGPT data'!$A$3:$A$20000,"&gt;="&amp;M$3,'ChatGPT data'!$A$3:$A$20000,"&lt;="&amp;M$4,'ChatGPT data'!$B$3:$B$20000,$A28),IF($B28="LinkedIn Ads",SUMIFS('LinkedIn data'!$I$3:$I$20000,'LinkedIn data'!$A$3:$A$20000,"&gt;="&amp;M$3,'LinkedIn data'!$A$3:$A$20000,"&lt;="&amp;M$4,'LinkedIn data'!$B$3:$B$20000,$A28),0)))))</f>
        <v>855.062854</v>
      </c>
      <c r="N28" s="14" t="n">
        <f aca="false">IF($A28="","",IF($B28="Meta",SUMIFS('Meta data'!$I$3:$I$20000,'Meta data'!$A$3:$A$20000,"&gt;="&amp;N$3,'Meta data'!$A$3:$A$20000,"&lt;="&amp;N$4,'Meta data'!$B$3:$B$20000,$A28),IF($B28="Google Ads",SUMIFS('Google data'!$I$3:$I$20000,'Google data'!$A$3:$A$20000,"&gt;="&amp;N$3,'Google data'!$A$3:$A$20000,"&lt;="&amp;N$4,'Google data'!$B$3:$B$20000,$A28),IF($B28="ChatGPT Ads",SUMIFS('ChatGPT data'!$I$3:$I$20000,'ChatGPT data'!$A$3:$A$20000,"&gt;="&amp;N$3,'ChatGPT data'!$A$3:$A$20000,"&lt;="&amp;N$4,'ChatGPT data'!$B$3:$B$20000,$A28),IF($B28="LinkedIn Ads",SUMIFS('LinkedIn data'!$I$3:$I$20000,'LinkedIn data'!$A$3:$A$20000,"&gt;="&amp;N$3,'LinkedIn data'!$A$3:$A$20000,"&lt;="&amp;N$4,'LinkedIn data'!$B$3:$B$20000,$A28),0)))))</f>
        <v>0</v>
      </c>
      <c r="O28" s="14" t="n">
        <f aca="false">IF($A28="","",IF($B28="Meta",SUMIFS('Meta data'!$I$3:$I$20000,'Meta data'!$A$3:$A$20000,"&gt;="&amp;O$3,'Meta data'!$A$3:$A$20000,"&lt;="&amp;O$4,'Meta data'!$B$3:$B$20000,$A28),IF($B28="Google Ads",SUMIFS('Google data'!$I$3:$I$20000,'Google data'!$A$3:$A$20000,"&gt;="&amp;O$3,'Google data'!$A$3:$A$20000,"&lt;="&amp;O$4,'Google data'!$B$3:$B$20000,$A28),IF($B28="ChatGPT Ads",SUMIFS('ChatGPT data'!$I$3:$I$20000,'ChatGPT data'!$A$3:$A$20000,"&gt;="&amp;O$3,'ChatGPT data'!$A$3:$A$20000,"&lt;="&amp;O$4,'ChatGPT data'!$B$3:$B$20000,$A28),IF($B28="LinkedIn Ads",SUMIFS('LinkedIn data'!$I$3:$I$20000,'LinkedIn data'!$A$3:$A$20000,"&gt;="&amp;O$3,'LinkedIn data'!$A$3:$A$20000,"&lt;="&amp;O$4,'LinkedIn data'!$B$3:$B$20000,$A28),0)))))</f>
        <v>0</v>
      </c>
      <c r="P28" s="14" t="n">
        <f aca="false">IF($A28="","",IF($B28="Meta",SUMIFS('Meta data'!$I$3:$I$20000,'Meta data'!$A$3:$A$20000,"&gt;="&amp;P$3,'Meta data'!$A$3:$A$20000,"&lt;="&amp;P$4,'Meta data'!$B$3:$B$20000,$A28),IF($B28="Google Ads",SUMIFS('Google data'!$I$3:$I$20000,'Google data'!$A$3:$A$20000,"&gt;="&amp;P$3,'Google data'!$A$3:$A$20000,"&lt;="&amp;P$4,'Google data'!$B$3:$B$20000,$A28),IF($B28="ChatGPT Ads",SUMIFS('ChatGPT data'!$I$3:$I$20000,'ChatGPT data'!$A$3:$A$20000,"&gt;="&amp;P$3,'ChatGPT data'!$A$3:$A$20000,"&lt;="&amp;P$4,'ChatGPT data'!$B$3:$B$20000,$A28),IF($B28="LinkedIn Ads",SUMIFS('LinkedIn data'!$I$3:$I$20000,'LinkedIn data'!$A$3:$A$20000,"&gt;="&amp;P$3,'LinkedIn data'!$A$3:$A$20000,"&lt;="&amp;P$4,'LinkedIn data'!$B$3:$B$20000,$A28),0)))))</f>
        <v>0</v>
      </c>
      <c r="Q28" s="14" t="n">
        <f aca="false">IF($A28="","",IF($B28="Meta",SUMIFS('Meta data'!$I$3:$I$20000,'Meta data'!$A$3:$A$20000,"&gt;="&amp;Q$3,'Meta data'!$A$3:$A$20000,"&lt;="&amp;Q$4,'Meta data'!$B$3:$B$20000,$A28),IF($B28="Google Ads",SUMIFS('Google data'!$I$3:$I$20000,'Google data'!$A$3:$A$20000,"&gt;="&amp;Q$3,'Google data'!$A$3:$A$20000,"&lt;="&amp;Q$4,'Google data'!$B$3:$B$20000,$A28),IF($B28="ChatGPT Ads",SUMIFS('ChatGPT data'!$I$3:$I$20000,'ChatGPT data'!$A$3:$A$20000,"&gt;="&amp;Q$3,'ChatGPT data'!$A$3:$A$20000,"&lt;="&amp;Q$4,'ChatGPT data'!$B$3:$B$20000,$A28),IF($B28="LinkedIn Ads",SUMIFS('LinkedIn data'!$I$3:$I$20000,'LinkedIn data'!$A$3:$A$20000,"&gt;="&amp;Q$3,'LinkedIn data'!$A$3:$A$20000,"&lt;="&amp;Q$4,'LinkedIn data'!$B$3:$B$20000,$A28),0)))))</f>
        <v>0</v>
      </c>
      <c r="R28" s="15" t="n">
        <f aca="false">IF($A28="","",SUM(F28:Q28))</f>
        <v>7109.57793</v>
      </c>
      <c r="S28" s="37" t="n">
        <f aca="false">IF($A28="","",IF($B28="Meta",SUMIFS('Meta data'!$E$3:$E$20000,'Meta data'!$B$3:$B$20000,$A28),IF($B28="Google Ads",SUMIFS('Google data'!$E$3:$E$20000,'Google data'!$B$3:$B$20000,$A28),IF($B28="ChatGPT Ads",SUMIFS('ChatGPT data'!$E$3:$E$20000,'ChatGPT data'!$B$3:$B$20000,$A28),IF($B28="LinkedIn Ads",SUMIFS('LinkedIn data'!$E$3:$E$20000,'LinkedIn data'!$B$3:$B$20000,$A28),0)))))</f>
        <v>1537</v>
      </c>
      <c r="T28" s="37" t="n">
        <f aca="false">IF($A28="","",IF($B28="Meta",SUMIFS('Meta data'!$F$3:$F$20000,'Meta data'!$B$3:$B$20000,$A28),IF($B28="Google Ads",SUMIFS('Google data'!$F$3:$F$20000,'Google data'!$B$3:$B$20000,$A28),IF($B28="ChatGPT Ads",SUMIFS('ChatGPT data'!$F$3:$F$20000,'ChatGPT data'!$B$3:$B$20000,$A28),IF($B28="LinkedIn Ads",SUMIFS('LinkedIn data'!$F$3:$F$20000,'LinkedIn data'!$B$3:$B$20000,$A28),0)))))</f>
        <v>41.38</v>
      </c>
      <c r="U28" s="38" t="n">
        <f aca="false">IF(OR($A28="",T28=0),"",R28/T28)</f>
        <v>171.811936442726</v>
      </c>
    </row>
    <row r="29" customFormat="false" ht="15" hidden="false" customHeight="false" outlineLevel="0" collapsed="false">
      <c r="A29" s="58" t="s">
        <v>188</v>
      </c>
      <c r="B29" s="58" t="s">
        <v>20</v>
      </c>
      <c r="C29" s="58" t="s">
        <v>133</v>
      </c>
      <c r="D29" s="58" t="s">
        <v>124</v>
      </c>
      <c r="E29" s="58" t="s">
        <v>150</v>
      </c>
      <c r="F29" s="14" t="n">
        <f aca="false">IF($A29="","",IF($B29="Meta",SUMIFS('Meta data'!$I$3:$I$20000,'Meta data'!$A$3:$A$20000,"&gt;="&amp;F$3,'Meta data'!$A$3:$A$20000,"&lt;="&amp;F$4,'Meta data'!$B$3:$B$20000,$A29),IF($B29="Google Ads",SUMIFS('Google data'!$I$3:$I$20000,'Google data'!$A$3:$A$20000,"&gt;="&amp;F$3,'Google data'!$A$3:$A$20000,"&lt;="&amp;F$4,'Google data'!$B$3:$B$20000,$A29),IF($B29="ChatGPT Ads",SUMIFS('ChatGPT data'!$I$3:$I$20000,'ChatGPT data'!$A$3:$A$20000,"&gt;="&amp;F$3,'ChatGPT data'!$A$3:$A$20000,"&lt;="&amp;F$4,'ChatGPT data'!$B$3:$B$20000,$A29),IF($B29="LinkedIn Ads",SUMIFS('LinkedIn data'!$I$3:$I$20000,'LinkedIn data'!$A$3:$A$20000,"&gt;="&amp;F$3,'LinkedIn data'!$A$3:$A$20000,"&lt;="&amp;F$4,'LinkedIn data'!$B$3:$B$20000,$A29),0)))))</f>
        <v>71.253375</v>
      </c>
      <c r="G29" s="14" t="n">
        <f aca="false">IF($A29="","",IF($B29="Meta",SUMIFS('Meta data'!$I$3:$I$20000,'Meta data'!$A$3:$A$20000,"&gt;="&amp;G$3,'Meta data'!$A$3:$A$20000,"&lt;="&amp;G$4,'Meta data'!$B$3:$B$20000,$A29),IF($B29="Google Ads",SUMIFS('Google data'!$I$3:$I$20000,'Google data'!$A$3:$A$20000,"&gt;="&amp;G$3,'Google data'!$A$3:$A$20000,"&lt;="&amp;G$4,'Google data'!$B$3:$B$20000,$A29),IF($B29="ChatGPT Ads",SUMIFS('ChatGPT data'!$I$3:$I$20000,'ChatGPT data'!$A$3:$A$20000,"&gt;="&amp;G$3,'ChatGPT data'!$A$3:$A$20000,"&lt;="&amp;G$4,'ChatGPT data'!$B$3:$B$20000,$A29),IF($B29="LinkedIn Ads",SUMIFS('LinkedIn data'!$I$3:$I$20000,'LinkedIn data'!$A$3:$A$20000,"&gt;="&amp;G$3,'LinkedIn data'!$A$3:$A$20000,"&lt;="&amp;G$4,'LinkedIn data'!$B$3:$B$20000,$A29),0)))))</f>
        <v>339.031941</v>
      </c>
      <c r="H29" s="14" t="n">
        <f aca="false">IF($A29="","",IF($B29="Meta",SUMIFS('Meta data'!$I$3:$I$20000,'Meta data'!$A$3:$A$20000,"&gt;="&amp;H$3,'Meta data'!$A$3:$A$20000,"&lt;="&amp;H$4,'Meta data'!$B$3:$B$20000,$A29),IF($B29="Google Ads",SUMIFS('Google data'!$I$3:$I$20000,'Google data'!$A$3:$A$20000,"&gt;="&amp;H$3,'Google data'!$A$3:$A$20000,"&lt;="&amp;H$4,'Google data'!$B$3:$B$20000,$A29),IF($B29="ChatGPT Ads",SUMIFS('ChatGPT data'!$I$3:$I$20000,'ChatGPT data'!$A$3:$A$20000,"&gt;="&amp;H$3,'ChatGPT data'!$A$3:$A$20000,"&lt;="&amp;H$4,'ChatGPT data'!$B$3:$B$20000,$A29),IF($B29="LinkedIn Ads",SUMIFS('LinkedIn data'!$I$3:$I$20000,'LinkedIn data'!$A$3:$A$20000,"&gt;="&amp;H$3,'LinkedIn data'!$A$3:$A$20000,"&lt;="&amp;H$4,'LinkedIn data'!$B$3:$B$20000,$A29),0)))))</f>
        <v>165.464308</v>
      </c>
      <c r="I29" s="14" t="n">
        <f aca="false">IF($A29="","",IF($B29="Meta",SUMIFS('Meta data'!$I$3:$I$20000,'Meta data'!$A$3:$A$20000,"&gt;="&amp;I$3,'Meta data'!$A$3:$A$20000,"&lt;="&amp;I$4,'Meta data'!$B$3:$B$20000,$A29),IF($B29="Google Ads",SUMIFS('Google data'!$I$3:$I$20000,'Google data'!$A$3:$A$20000,"&gt;="&amp;I$3,'Google data'!$A$3:$A$20000,"&lt;="&amp;I$4,'Google data'!$B$3:$B$20000,$A29),IF($B29="ChatGPT Ads",SUMIFS('ChatGPT data'!$I$3:$I$20000,'ChatGPT data'!$A$3:$A$20000,"&gt;="&amp;I$3,'ChatGPT data'!$A$3:$A$20000,"&lt;="&amp;I$4,'ChatGPT data'!$B$3:$B$20000,$A29),IF($B29="LinkedIn Ads",SUMIFS('LinkedIn data'!$I$3:$I$20000,'LinkedIn data'!$A$3:$A$20000,"&gt;="&amp;I$3,'LinkedIn data'!$A$3:$A$20000,"&lt;="&amp;I$4,'LinkedIn data'!$B$3:$B$20000,$A29),0)))))</f>
        <v>165.207237</v>
      </c>
      <c r="J29" s="14" t="n">
        <f aca="false">IF($A29="","",IF($B29="Meta",SUMIFS('Meta data'!$I$3:$I$20000,'Meta data'!$A$3:$A$20000,"&gt;="&amp;J$3,'Meta data'!$A$3:$A$20000,"&lt;="&amp;J$4,'Meta data'!$B$3:$B$20000,$A29),IF($B29="Google Ads",SUMIFS('Google data'!$I$3:$I$20000,'Google data'!$A$3:$A$20000,"&gt;="&amp;J$3,'Google data'!$A$3:$A$20000,"&lt;="&amp;J$4,'Google data'!$B$3:$B$20000,$A29),IF($B29="ChatGPT Ads",SUMIFS('ChatGPT data'!$I$3:$I$20000,'ChatGPT data'!$A$3:$A$20000,"&gt;="&amp;J$3,'ChatGPT data'!$A$3:$A$20000,"&lt;="&amp;J$4,'ChatGPT data'!$B$3:$B$20000,$A29),IF($B29="LinkedIn Ads",SUMIFS('LinkedIn data'!$I$3:$I$20000,'LinkedIn data'!$A$3:$A$20000,"&gt;="&amp;J$3,'LinkedIn data'!$A$3:$A$20000,"&lt;="&amp;J$4,'LinkedIn data'!$B$3:$B$20000,$A29),0)))))</f>
        <v>588.591997</v>
      </c>
      <c r="K29" s="14" t="n">
        <f aca="false">IF($A29="","",IF($B29="Meta",SUMIFS('Meta data'!$I$3:$I$20000,'Meta data'!$A$3:$A$20000,"&gt;="&amp;K$3,'Meta data'!$A$3:$A$20000,"&lt;="&amp;K$4,'Meta data'!$B$3:$B$20000,$A29),IF($B29="Google Ads",SUMIFS('Google data'!$I$3:$I$20000,'Google data'!$A$3:$A$20000,"&gt;="&amp;K$3,'Google data'!$A$3:$A$20000,"&lt;="&amp;K$4,'Google data'!$B$3:$B$20000,$A29),IF($B29="ChatGPT Ads",SUMIFS('ChatGPT data'!$I$3:$I$20000,'ChatGPT data'!$A$3:$A$20000,"&gt;="&amp;K$3,'ChatGPT data'!$A$3:$A$20000,"&lt;="&amp;K$4,'ChatGPT data'!$B$3:$B$20000,$A29),IF($B29="LinkedIn Ads",SUMIFS('LinkedIn data'!$I$3:$I$20000,'LinkedIn data'!$A$3:$A$20000,"&gt;="&amp;K$3,'LinkedIn data'!$A$3:$A$20000,"&lt;="&amp;K$4,'LinkedIn data'!$B$3:$B$20000,$A29),0)))))</f>
        <v>1777.400071</v>
      </c>
      <c r="L29" s="14" t="n">
        <f aca="false">IF($A29="","",IF($B29="Meta",SUMIFS('Meta data'!$I$3:$I$20000,'Meta data'!$A$3:$A$20000,"&gt;="&amp;L$3,'Meta data'!$A$3:$A$20000,"&lt;="&amp;L$4,'Meta data'!$B$3:$B$20000,$A29),IF($B29="Google Ads",SUMIFS('Google data'!$I$3:$I$20000,'Google data'!$A$3:$A$20000,"&gt;="&amp;L$3,'Google data'!$A$3:$A$20000,"&lt;="&amp;L$4,'Google data'!$B$3:$B$20000,$A29),IF($B29="ChatGPT Ads",SUMIFS('ChatGPT data'!$I$3:$I$20000,'ChatGPT data'!$A$3:$A$20000,"&gt;="&amp;L$3,'ChatGPT data'!$A$3:$A$20000,"&lt;="&amp;L$4,'ChatGPT data'!$B$3:$B$20000,$A29),IF($B29="LinkedIn Ads",SUMIFS('LinkedIn data'!$I$3:$I$20000,'LinkedIn data'!$A$3:$A$20000,"&gt;="&amp;L$3,'LinkedIn data'!$A$3:$A$20000,"&lt;="&amp;L$4,'LinkedIn data'!$B$3:$B$20000,$A29),0)))))</f>
        <v>1710.952806</v>
      </c>
      <c r="M29" s="14" t="n">
        <f aca="false">IF($A29="","",IF($B29="Meta",SUMIFS('Meta data'!$I$3:$I$20000,'Meta data'!$A$3:$A$20000,"&gt;="&amp;M$3,'Meta data'!$A$3:$A$20000,"&lt;="&amp;M$4,'Meta data'!$B$3:$B$20000,$A29),IF($B29="Google Ads",SUMIFS('Google data'!$I$3:$I$20000,'Google data'!$A$3:$A$20000,"&gt;="&amp;M$3,'Google data'!$A$3:$A$20000,"&lt;="&amp;M$4,'Google data'!$B$3:$B$20000,$A29),IF($B29="ChatGPT Ads",SUMIFS('ChatGPT data'!$I$3:$I$20000,'ChatGPT data'!$A$3:$A$20000,"&gt;="&amp;M$3,'ChatGPT data'!$A$3:$A$20000,"&lt;="&amp;M$4,'ChatGPT data'!$B$3:$B$20000,$A29),IF($B29="LinkedIn Ads",SUMIFS('LinkedIn data'!$I$3:$I$20000,'LinkedIn data'!$A$3:$A$20000,"&gt;="&amp;M$3,'LinkedIn data'!$A$3:$A$20000,"&lt;="&amp;M$4,'LinkedIn data'!$B$3:$B$20000,$A29),0)))))</f>
        <v>664.752075</v>
      </c>
      <c r="N29" s="14" t="n">
        <f aca="false">IF($A29="","",IF($B29="Meta",SUMIFS('Meta data'!$I$3:$I$20000,'Meta data'!$A$3:$A$20000,"&gt;="&amp;N$3,'Meta data'!$A$3:$A$20000,"&lt;="&amp;N$4,'Meta data'!$B$3:$B$20000,$A29),IF($B29="Google Ads",SUMIFS('Google data'!$I$3:$I$20000,'Google data'!$A$3:$A$20000,"&gt;="&amp;N$3,'Google data'!$A$3:$A$20000,"&lt;="&amp;N$4,'Google data'!$B$3:$B$20000,$A29),IF($B29="ChatGPT Ads",SUMIFS('ChatGPT data'!$I$3:$I$20000,'ChatGPT data'!$A$3:$A$20000,"&gt;="&amp;N$3,'ChatGPT data'!$A$3:$A$20000,"&lt;="&amp;N$4,'ChatGPT data'!$B$3:$B$20000,$A29),IF($B29="LinkedIn Ads",SUMIFS('LinkedIn data'!$I$3:$I$20000,'LinkedIn data'!$A$3:$A$20000,"&gt;="&amp;N$3,'LinkedIn data'!$A$3:$A$20000,"&lt;="&amp;N$4,'LinkedIn data'!$B$3:$B$20000,$A29),0)))))</f>
        <v>0</v>
      </c>
      <c r="O29" s="14" t="n">
        <f aca="false">IF($A29="","",IF($B29="Meta",SUMIFS('Meta data'!$I$3:$I$20000,'Meta data'!$A$3:$A$20000,"&gt;="&amp;O$3,'Meta data'!$A$3:$A$20000,"&lt;="&amp;O$4,'Meta data'!$B$3:$B$20000,$A29),IF($B29="Google Ads",SUMIFS('Google data'!$I$3:$I$20000,'Google data'!$A$3:$A$20000,"&gt;="&amp;O$3,'Google data'!$A$3:$A$20000,"&lt;="&amp;O$4,'Google data'!$B$3:$B$20000,$A29),IF($B29="ChatGPT Ads",SUMIFS('ChatGPT data'!$I$3:$I$20000,'ChatGPT data'!$A$3:$A$20000,"&gt;="&amp;O$3,'ChatGPT data'!$A$3:$A$20000,"&lt;="&amp;O$4,'ChatGPT data'!$B$3:$B$20000,$A29),IF($B29="LinkedIn Ads",SUMIFS('LinkedIn data'!$I$3:$I$20000,'LinkedIn data'!$A$3:$A$20000,"&gt;="&amp;O$3,'LinkedIn data'!$A$3:$A$20000,"&lt;="&amp;O$4,'LinkedIn data'!$B$3:$B$20000,$A29),0)))))</f>
        <v>0</v>
      </c>
      <c r="P29" s="14" t="n">
        <f aca="false">IF($A29="","",IF($B29="Meta",SUMIFS('Meta data'!$I$3:$I$20000,'Meta data'!$A$3:$A$20000,"&gt;="&amp;P$3,'Meta data'!$A$3:$A$20000,"&lt;="&amp;P$4,'Meta data'!$B$3:$B$20000,$A29),IF($B29="Google Ads",SUMIFS('Google data'!$I$3:$I$20000,'Google data'!$A$3:$A$20000,"&gt;="&amp;P$3,'Google data'!$A$3:$A$20000,"&lt;="&amp;P$4,'Google data'!$B$3:$B$20000,$A29),IF($B29="ChatGPT Ads",SUMIFS('ChatGPT data'!$I$3:$I$20000,'ChatGPT data'!$A$3:$A$20000,"&gt;="&amp;P$3,'ChatGPT data'!$A$3:$A$20000,"&lt;="&amp;P$4,'ChatGPT data'!$B$3:$B$20000,$A29),IF($B29="LinkedIn Ads",SUMIFS('LinkedIn data'!$I$3:$I$20000,'LinkedIn data'!$A$3:$A$20000,"&gt;="&amp;P$3,'LinkedIn data'!$A$3:$A$20000,"&lt;="&amp;P$4,'LinkedIn data'!$B$3:$B$20000,$A29),0)))))</f>
        <v>0</v>
      </c>
      <c r="Q29" s="14" t="n">
        <f aca="false">IF($A29="","",IF($B29="Meta",SUMIFS('Meta data'!$I$3:$I$20000,'Meta data'!$A$3:$A$20000,"&gt;="&amp;Q$3,'Meta data'!$A$3:$A$20000,"&lt;="&amp;Q$4,'Meta data'!$B$3:$B$20000,$A29),IF($B29="Google Ads",SUMIFS('Google data'!$I$3:$I$20000,'Google data'!$A$3:$A$20000,"&gt;="&amp;Q$3,'Google data'!$A$3:$A$20000,"&lt;="&amp;Q$4,'Google data'!$B$3:$B$20000,$A29),IF($B29="ChatGPT Ads",SUMIFS('ChatGPT data'!$I$3:$I$20000,'ChatGPT data'!$A$3:$A$20000,"&gt;="&amp;Q$3,'ChatGPT data'!$A$3:$A$20000,"&lt;="&amp;Q$4,'ChatGPT data'!$B$3:$B$20000,$A29),IF($B29="LinkedIn Ads",SUMIFS('LinkedIn data'!$I$3:$I$20000,'LinkedIn data'!$A$3:$A$20000,"&gt;="&amp;Q$3,'LinkedIn data'!$A$3:$A$20000,"&lt;="&amp;Q$4,'LinkedIn data'!$B$3:$B$20000,$A29),0)))))</f>
        <v>0</v>
      </c>
      <c r="R29" s="15" t="n">
        <f aca="false">IF($A29="","",SUM(F29:Q29))</f>
        <v>5482.65381</v>
      </c>
      <c r="S29" s="37" t="n">
        <f aca="false">IF($A29="","",IF($B29="Meta",SUMIFS('Meta data'!$E$3:$E$20000,'Meta data'!$B$3:$B$20000,$A29),IF($B29="Google Ads",SUMIFS('Google data'!$E$3:$E$20000,'Google data'!$B$3:$B$20000,$A29),IF($B29="ChatGPT Ads",SUMIFS('ChatGPT data'!$E$3:$E$20000,'ChatGPT data'!$B$3:$B$20000,$A29),IF($B29="LinkedIn Ads",SUMIFS('LinkedIn data'!$E$3:$E$20000,'LinkedIn data'!$B$3:$B$20000,$A29),0)))))</f>
        <v>260</v>
      </c>
      <c r="T29" s="37" t="n">
        <f aca="false">IF($A29="","",IF($B29="Meta",SUMIFS('Meta data'!$F$3:$F$20000,'Meta data'!$B$3:$B$20000,$A29),IF($B29="Google Ads",SUMIFS('Google data'!$F$3:$F$20000,'Google data'!$B$3:$B$20000,$A29),IF($B29="ChatGPT Ads",SUMIFS('ChatGPT data'!$F$3:$F$20000,'ChatGPT data'!$B$3:$B$20000,$A29),IF($B29="LinkedIn Ads",SUMIFS('LinkedIn data'!$F$3:$F$20000,'LinkedIn data'!$B$3:$B$20000,$A29),0)))))</f>
        <v>15</v>
      </c>
      <c r="U29" s="38" t="n">
        <f aca="false">IF(OR($A29="",T29=0),"",R29/T29)</f>
        <v>365.510254</v>
      </c>
    </row>
    <row r="30" customFormat="false" ht="15" hidden="false" customHeight="false" outlineLevel="0" collapsed="false">
      <c r="A30" s="58" t="s">
        <v>189</v>
      </c>
      <c r="B30" s="58" t="s">
        <v>20</v>
      </c>
      <c r="C30" s="58" t="s">
        <v>132</v>
      </c>
      <c r="D30" s="58" t="s">
        <v>124</v>
      </c>
      <c r="E30" s="58" t="s">
        <v>150</v>
      </c>
      <c r="F30" s="14" t="n">
        <f aca="false">IF($A30="","",IF($B30="Meta",SUMIFS('Meta data'!$I$3:$I$20000,'Meta data'!$A$3:$A$20000,"&gt;="&amp;F$3,'Meta data'!$A$3:$A$20000,"&lt;="&amp;F$4,'Meta data'!$B$3:$B$20000,$A30),IF($B30="Google Ads",SUMIFS('Google data'!$I$3:$I$20000,'Google data'!$A$3:$A$20000,"&gt;="&amp;F$3,'Google data'!$A$3:$A$20000,"&lt;="&amp;F$4,'Google data'!$B$3:$B$20000,$A30),IF($B30="ChatGPT Ads",SUMIFS('ChatGPT data'!$I$3:$I$20000,'ChatGPT data'!$A$3:$A$20000,"&gt;="&amp;F$3,'ChatGPT data'!$A$3:$A$20000,"&lt;="&amp;F$4,'ChatGPT data'!$B$3:$B$20000,$A30),IF($B30="LinkedIn Ads",SUMIFS('LinkedIn data'!$I$3:$I$20000,'LinkedIn data'!$A$3:$A$20000,"&gt;="&amp;F$3,'LinkedIn data'!$A$3:$A$20000,"&lt;="&amp;F$4,'LinkedIn data'!$B$3:$B$20000,$A30),0)))))</f>
        <v>0</v>
      </c>
      <c r="G30" s="14" t="n">
        <f aca="false">IF($A30="","",IF($B30="Meta",SUMIFS('Meta data'!$I$3:$I$20000,'Meta data'!$A$3:$A$20000,"&gt;="&amp;G$3,'Meta data'!$A$3:$A$20000,"&lt;="&amp;G$4,'Meta data'!$B$3:$B$20000,$A30),IF($B30="Google Ads",SUMIFS('Google data'!$I$3:$I$20000,'Google data'!$A$3:$A$20000,"&gt;="&amp;G$3,'Google data'!$A$3:$A$20000,"&lt;="&amp;G$4,'Google data'!$B$3:$B$20000,$A30),IF($B30="ChatGPT Ads",SUMIFS('ChatGPT data'!$I$3:$I$20000,'ChatGPT data'!$A$3:$A$20000,"&gt;="&amp;G$3,'ChatGPT data'!$A$3:$A$20000,"&lt;="&amp;G$4,'ChatGPT data'!$B$3:$B$20000,$A30),IF($B30="LinkedIn Ads",SUMIFS('LinkedIn data'!$I$3:$I$20000,'LinkedIn data'!$A$3:$A$20000,"&gt;="&amp;G$3,'LinkedIn data'!$A$3:$A$20000,"&lt;="&amp;G$4,'LinkedIn data'!$B$3:$B$20000,$A30),0)))))</f>
        <v>0</v>
      </c>
      <c r="H30" s="14" t="n">
        <f aca="false">IF($A30="","",IF($B30="Meta",SUMIFS('Meta data'!$I$3:$I$20000,'Meta data'!$A$3:$A$20000,"&gt;="&amp;H$3,'Meta data'!$A$3:$A$20000,"&lt;="&amp;H$4,'Meta data'!$B$3:$B$20000,$A30),IF($B30="Google Ads",SUMIFS('Google data'!$I$3:$I$20000,'Google data'!$A$3:$A$20000,"&gt;="&amp;H$3,'Google data'!$A$3:$A$20000,"&lt;="&amp;H$4,'Google data'!$B$3:$B$20000,$A30),IF($B30="ChatGPT Ads",SUMIFS('ChatGPT data'!$I$3:$I$20000,'ChatGPT data'!$A$3:$A$20000,"&gt;="&amp;H$3,'ChatGPT data'!$A$3:$A$20000,"&lt;="&amp;H$4,'ChatGPT data'!$B$3:$B$20000,$A30),IF($B30="LinkedIn Ads",SUMIFS('LinkedIn data'!$I$3:$I$20000,'LinkedIn data'!$A$3:$A$20000,"&gt;="&amp;H$3,'LinkedIn data'!$A$3:$A$20000,"&lt;="&amp;H$4,'LinkedIn data'!$B$3:$B$20000,$A30),0)))))</f>
        <v>0</v>
      </c>
      <c r="I30" s="14" t="n">
        <f aca="false">IF($A30="","",IF($B30="Meta",SUMIFS('Meta data'!$I$3:$I$20000,'Meta data'!$A$3:$A$20000,"&gt;="&amp;I$3,'Meta data'!$A$3:$A$20000,"&lt;="&amp;I$4,'Meta data'!$B$3:$B$20000,$A30),IF($B30="Google Ads",SUMIFS('Google data'!$I$3:$I$20000,'Google data'!$A$3:$A$20000,"&gt;="&amp;I$3,'Google data'!$A$3:$A$20000,"&lt;="&amp;I$4,'Google data'!$B$3:$B$20000,$A30),IF($B30="ChatGPT Ads",SUMIFS('ChatGPT data'!$I$3:$I$20000,'ChatGPT data'!$A$3:$A$20000,"&gt;="&amp;I$3,'ChatGPT data'!$A$3:$A$20000,"&lt;="&amp;I$4,'ChatGPT data'!$B$3:$B$20000,$A30),IF($B30="LinkedIn Ads",SUMIFS('LinkedIn data'!$I$3:$I$20000,'LinkedIn data'!$A$3:$A$20000,"&gt;="&amp;I$3,'LinkedIn data'!$A$3:$A$20000,"&lt;="&amp;I$4,'LinkedIn data'!$B$3:$B$20000,$A30),0)))))</f>
        <v>0</v>
      </c>
      <c r="J30" s="14" t="n">
        <f aca="false">IF($A30="","",IF($B30="Meta",SUMIFS('Meta data'!$I$3:$I$20000,'Meta data'!$A$3:$A$20000,"&gt;="&amp;J$3,'Meta data'!$A$3:$A$20000,"&lt;="&amp;J$4,'Meta data'!$B$3:$B$20000,$A30),IF($B30="Google Ads",SUMIFS('Google data'!$I$3:$I$20000,'Google data'!$A$3:$A$20000,"&gt;="&amp;J$3,'Google data'!$A$3:$A$20000,"&lt;="&amp;J$4,'Google data'!$B$3:$B$20000,$A30),IF($B30="ChatGPT Ads",SUMIFS('ChatGPT data'!$I$3:$I$20000,'ChatGPT data'!$A$3:$A$20000,"&gt;="&amp;J$3,'ChatGPT data'!$A$3:$A$20000,"&lt;="&amp;J$4,'ChatGPT data'!$B$3:$B$20000,$A30),IF($B30="LinkedIn Ads",SUMIFS('LinkedIn data'!$I$3:$I$20000,'LinkedIn data'!$A$3:$A$20000,"&gt;="&amp;J$3,'LinkedIn data'!$A$3:$A$20000,"&lt;="&amp;J$4,'LinkedIn data'!$B$3:$B$20000,$A30),0)))))</f>
        <v>0</v>
      </c>
      <c r="K30" s="14" t="n">
        <f aca="false">IF($A30="","",IF($B30="Meta",SUMIFS('Meta data'!$I$3:$I$20000,'Meta data'!$A$3:$A$20000,"&gt;="&amp;K$3,'Meta data'!$A$3:$A$20000,"&lt;="&amp;K$4,'Meta data'!$B$3:$B$20000,$A30),IF($B30="Google Ads",SUMIFS('Google data'!$I$3:$I$20000,'Google data'!$A$3:$A$20000,"&gt;="&amp;K$3,'Google data'!$A$3:$A$20000,"&lt;="&amp;K$4,'Google data'!$B$3:$B$20000,$A30),IF($B30="ChatGPT Ads",SUMIFS('ChatGPT data'!$I$3:$I$20000,'ChatGPT data'!$A$3:$A$20000,"&gt;="&amp;K$3,'ChatGPT data'!$A$3:$A$20000,"&lt;="&amp;K$4,'ChatGPT data'!$B$3:$B$20000,$A30),IF($B30="LinkedIn Ads",SUMIFS('LinkedIn data'!$I$3:$I$20000,'LinkedIn data'!$A$3:$A$20000,"&gt;="&amp;K$3,'LinkedIn data'!$A$3:$A$20000,"&lt;="&amp;K$4,'LinkedIn data'!$B$3:$B$20000,$A30),0)))))</f>
        <v>0</v>
      </c>
      <c r="L30" s="14" t="n">
        <f aca="false">IF($A30="","",IF($B30="Meta",SUMIFS('Meta data'!$I$3:$I$20000,'Meta data'!$A$3:$A$20000,"&gt;="&amp;L$3,'Meta data'!$A$3:$A$20000,"&lt;="&amp;L$4,'Meta data'!$B$3:$B$20000,$A30),IF($B30="Google Ads",SUMIFS('Google data'!$I$3:$I$20000,'Google data'!$A$3:$A$20000,"&gt;="&amp;L$3,'Google data'!$A$3:$A$20000,"&lt;="&amp;L$4,'Google data'!$B$3:$B$20000,$A30),IF($B30="ChatGPT Ads",SUMIFS('ChatGPT data'!$I$3:$I$20000,'ChatGPT data'!$A$3:$A$20000,"&gt;="&amp;L$3,'ChatGPT data'!$A$3:$A$20000,"&lt;="&amp;L$4,'ChatGPT data'!$B$3:$B$20000,$A30),IF($B30="LinkedIn Ads",SUMIFS('LinkedIn data'!$I$3:$I$20000,'LinkedIn data'!$A$3:$A$20000,"&gt;="&amp;L$3,'LinkedIn data'!$A$3:$A$20000,"&lt;="&amp;L$4,'LinkedIn data'!$B$3:$B$20000,$A30),0)))))</f>
        <v>0</v>
      </c>
      <c r="M30" s="14" t="n">
        <f aca="false">IF($A30="","",IF($B30="Meta",SUMIFS('Meta data'!$I$3:$I$20000,'Meta data'!$A$3:$A$20000,"&gt;="&amp;M$3,'Meta data'!$A$3:$A$20000,"&lt;="&amp;M$4,'Meta data'!$B$3:$B$20000,$A30),IF($B30="Google Ads",SUMIFS('Google data'!$I$3:$I$20000,'Google data'!$A$3:$A$20000,"&gt;="&amp;M$3,'Google data'!$A$3:$A$20000,"&lt;="&amp;M$4,'Google data'!$B$3:$B$20000,$A30),IF($B30="ChatGPT Ads",SUMIFS('ChatGPT data'!$I$3:$I$20000,'ChatGPT data'!$A$3:$A$20000,"&gt;="&amp;M$3,'ChatGPT data'!$A$3:$A$20000,"&lt;="&amp;M$4,'ChatGPT data'!$B$3:$B$20000,$A30),IF($B30="LinkedIn Ads",SUMIFS('LinkedIn data'!$I$3:$I$20000,'LinkedIn data'!$A$3:$A$20000,"&gt;="&amp;M$3,'LinkedIn data'!$A$3:$A$20000,"&lt;="&amp;M$4,'LinkedIn data'!$B$3:$B$20000,$A30),0)))))</f>
        <v>2818.179957</v>
      </c>
      <c r="N30" s="14" t="n">
        <f aca="false">IF($A30="","",IF($B30="Meta",SUMIFS('Meta data'!$I$3:$I$20000,'Meta data'!$A$3:$A$20000,"&gt;="&amp;N$3,'Meta data'!$A$3:$A$20000,"&lt;="&amp;N$4,'Meta data'!$B$3:$B$20000,$A30),IF($B30="Google Ads",SUMIFS('Google data'!$I$3:$I$20000,'Google data'!$A$3:$A$20000,"&gt;="&amp;N$3,'Google data'!$A$3:$A$20000,"&lt;="&amp;N$4,'Google data'!$B$3:$B$20000,$A30),IF($B30="ChatGPT Ads",SUMIFS('ChatGPT data'!$I$3:$I$20000,'ChatGPT data'!$A$3:$A$20000,"&gt;="&amp;N$3,'ChatGPT data'!$A$3:$A$20000,"&lt;="&amp;N$4,'ChatGPT data'!$B$3:$B$20000,$A30),IF($B30="LinkedIn Ads",SUMIFS('LinkedIn data'!$I$3:$I$20000,'LinkedIn data'!$A$3:$A$20000,"&gt;="&amp;N$3,'LinkedIn data'!$A$3:$A$20000,"&lt;="&amp;N$4,'LinkedIn data'!$B$3:$B$20000,$A30),0)))))</f>
        <v>2578.958626</v>
      </c>
      <c r="O30" s="14" t="n">
        <f aca="false">IF($A30="","",IF($B30="Meta",SUMIFS('Meta data'!$I$3:$I$20000,'Meta data'!$A$3:$A$20000,"&gt;="&amp;O$3,'Meta data'!$A$3:$A$20000,"&lt;="&amp;O$4,'Meta data'!$B$3:$B$20000,$A30),IF($B30="Google Ads",SUMIFS('Google data'!$I$3:$I$20000,'Google data'!$A$3:$A$20000,"&gt;="&amp;O$3,'Google data'!$A$3:$A$20000,"&lt;="&amp;O$4,'Google data'!$B$3:$B$20000,$A30),IF($B30="ChatGPT Ads",SUMIFS('ChatGPT data'!$I$3:$I$20000,'ChatGPT data'!$A$3:$A$20000,"&gt;="&amp;O$3,'ChatGPT data'!$A$3:$A$20000,"&lt;="&amp;O$4,'ChatGPT data'!$B$3:$B$20000,$A30),IF($B30="LinkedIn Ads",SUMIFS('LinkedIn data'!$I$3:$I$20000,'LinkedIn data'!$A$3:$A$20000,"&gt;="&amp;O$3,'LinkedIn data'!$A$3:$A$20000,"&lt;="&amp;O$4,'LinkedIn data'!$B$3:$B$20000,$A30),0)))))</f>
        <v>0</v>
      </c>
      <c r="P30" s="14" t="n">
        <f aca="false">IF($A30="","",IF($B30="Meta",SUMIFS('Meta data'!$I$3:$I$20000,'Meta data'!$A$3:$A$20000,"&gt;="&amp;P$3,'Meta data'!$A$3:$A$20000,"&lt;="&amp;P$4,'Meta data'!$B$3:$B$20000,$A30),IF($B30="Google Ads",SUMIFS('Google data'!$I$3:$I$20000,'Google data'!$A$3:$A$20000,"&gt;="&amp;P$3,'Google data'!$A$3:$A$20000,"&lt;="&amp;P$4,'Google data'!$B$3:$B$20000,$A30),IF($B30="ChatGPT Ads",SUMIFS('ChatGPT data'!$I$3:$I$20000,'ChatGPT data'!$A$3:$A$20000,"&gt;="&amp;P$3,'ChatGPT data'!$A$3:$A$20000,"&lt;="&amp;P$4,'ChatGPT data'!$B$3:$B$20000,$A30),IF($B30="LinkedIn Ads",SUMIFS('LinkedIn data'!$I$3:$I$20000,'LinkedIn data'!$A$3:$A$20000,"&gt;="&amp;P$3,'LinkedIn data'!$A$3:$A$20000,"&lt;="&amp;P$4,'LinkedIn data'!$B$3:$B$20000,$A30),0)))))</f>
        <v>0</v>
      </c>
      <c r="Q30" s="14" t="n">
        <f aca="false">IF($A30="","",IF($B30="Meta",SUMIFS('Meta data'!$I$3:$I$20000,'Meta data'!$A$3:$A$20000,"&gt;="&amp;Q$3,'Meta data'!$A$3:$A$20000,"&lt;="&amp;Q$4,'Meta data'!$B$3:$B$20000,$A30),IF($B30="Google Ads",SUMIFS('Google data'!$I$3:$I$20000,'Google data'!$A$3:$A$20000,"&gt;="&amp;Q$3,'Google data'!$A$3:$A$20000,"&lt;="&amp;Q$4,'Google data'!$B$3:$B$20000,$A30),IF($B30="ChatGPT Ads",SUMIFS('ChatGPT data'!$I$3:$I$20000,'ChatGPT data'!$A$3:$A$20000,"&gt;="&amp;Q$3,'ChatGPT data'!$A$3:$A$20000,"&lt;="&amp;Q$4,'ChatGPT data'!$B$3:$B$20000,$A30),IF($B30="LinkedIn Ads",SUMIFS('LinkedIn data'!$I$3:$I$20000,'LinkedIn data'!$A$3:$A$20000,"&gt;="&amp;Q$3,'LinkedIn data'!$A$3:$A$20000,"&lt;="&amp;Q$4,'LinkedIn data'!$B$3:$B$20000,$A30),0)))))</f>
        <v>0</v>
      </c>
      <c r="R30" s="15" t="n">
        <f aca="false">IF($A30="","",SUM(F30:Q30))</f>
        <v>5397.138583</v>
      </c>
      <c r="S30" s="37" t="n">
        <f aca="false">IF($A30="","",IF($B30="Meta",SUMIFS('Meta data'!$E$3:$E$20000,'Meta data'!$B$3:$B$20000,$A30),IF($B30="Google Ads",SUMIFS('Google data'!$E$3:$E$20000,'Google data'!$B$3:$B$20000,$A30),IF($B30="ChatGPT Ads",SUMIFS('ChatGPT data'!$E$3:$E$20000,'ChatGPT data'!$B$3:$B$20000,$A30),IF($B30="LinkedIn Ads",SUMIFS('LinkedIn data'!$E$3:$E$20000,'LinkedIn data'!$B$3:$B$20000,$A30),0)))))</f>
        <v>2323</v>
      </c>
      <c r="T30" s="37" t="n">
        <f aca="false">IF($A30="","",IF($B30="Meta",SUMIFS('Meta data'!$F$3:$F$20000,'Meta data'!$B$3:$B$20000,$A30),IF($B30="Google Ads",SUMIFS('Google data'!$F$3:$F$20000,'Google data'!$B$3:$B$20000,$A30),IF($B30="ChatGPT Ads",SUMIFS('ChatGPT data'!$F$3:$F$20000,'ChatGPT data'!$B$3:$B$20000,$A30),IF($B30="LinkedIn Ads",SUMIFS('LinkedIn data'!$F$3:$F$20000,'LinkedIn data'!$B$3:$B$20000,$A30),0)))))</f>
        <v>102.83</v>
      </c>
      <c r="U30" s="38" t="n">
        <f aca="false">IF(OR($A30="",T30=0),"",R30/T30)</f>
        <v>52.4860311484975</v>
      </c>
    </row>
    <row r="31" customFormat="false" ht="15" hidden="false" customHeight="false" outlineLevel="0" collapsed="false">
      <c r="A31" s="58" t="s">
        <v>190</v>
      </c>
      <c r="B31" s="58" t="s">
        <v>20</v>
      </c>
      <c r="C31" s="58" t="s">
        <v>137</v>
      </c>
      <c r="D31" s="58" t="s">
        <v>123</v>
      </c>
      <c r="E31" s="58" t="s">
        <v>150</v>
      </c>
      <c r="F31" s="14" t="n">
        <f aca="false">IF($A31="","",IF($B31="Meta",SUMIFS('Meta data'!$I$3:$I$20000,'Meta data'!$A$3:$A$20000,"&gt;="&amp;F$3,'Meta data'!$A$3:$A$20000,"&lt;="&amp;F$4,'Meta data'!$B$3:$B$20000,$A31),IF($B31="Google Ads",SUMIFS('Google data'!$I$3:$I$20000,'Google data'!$A$3:$A$20000,"&gt;="&amp;F$3,'Google data'!$A$3:$A$20000,"&lt;="&amp;F$4,'Google data'!$B$3:$B$20000,$A31),IF($B31="ChatGPT Ads",SUMIFS('ChatGPT data'!$I$3:$I$20000,'ChatGPT data'!$A$3:$A$20000,"&gt;="&amp;F$3,'ChatGPT data'!$A$3:$A$20000,"&lt;="&amp;F$4,'ChatGPT data'!$B$3:$B$20000,$A31),IF($B31="LinkedIn Ads",SUMIFS('LinkedIn data'!$I$3:$I$20000,'LinkedIn data'!$A$3:$A$20000,"&gt;="&amp;F$3,'LinkedIn data'!$A$3:$A$20000,"&lt;="&amp;F$4,'LinkedIn data'!$B$3:$B$20000,$A31),0)))))</f>
        <v>422.4906</v>
      </c>
      <c r="G31" s="14" t="n">
        <f aca="false">IF($A31="","",IF($B31="Meta",SUMIFS('Meta data'!$I$3:$I$20000,'Meta data'!$A$3:$A$20000,"&gt;="&amp;G$3,'Meta data'!$A$3:$A$20000,"&lt;="&amp;G$4,'Meta data'!$B$3:$B$20000,$A31),IF($B31="Google Ads",SUMIFS('Google data'!$I$3:$I$20000,'Google data'!$A$3:$A$20000,"&gt;="&amp;G$3,'Google data'!$A$3:$A$20000,"&lt;="&amp;G$4,'Google data'!$B$3:$B$20000,$A31),IF($B31="ChatGPT Ads",SUMIFS('ChatGPT data'!$I$3:$I$20000,'ChatGPT data'!$A$3:$A$20000,"&gt;="&amp;G$3,'ChatGPT data'!$A$3:$A$20000,"&lt;="&amp;G$4,'ChatGPT data'!$B$3:$B$20000,$A31),IF($B31="LinkedIn Ads",SUMIFS('LinkedIn data'!$I$3:$I$20000,'LinkedIn data'!$A$3:$A$20000,"&gt;="&amp;G$3,'LinkedIn data'!$A$3:$A$20000,"&lt;="&amp;G$4,'LinkedIn data'!$B$3:$B$20000,$A31),0)))))</f>
        <v>712.936122</v>
      </c>
      <c r="H31" s="14" t="n">
        <f aca="false">IF($A31="","",IF($B31="Meta",SUMIFS('Meta data'!$I$3:$I$20000,'Meta data'!$A$3:$A$20000,"&gt;="&amp;H$3,'Meta data'!$A$3:$A$20000,"&lt;="&amp;H$4,'Meta data'!$B$3:$B$20000,$A31),IF($B31="Google Ads",SUMIFS('Google data'!$I$3:$I$20000,'Google data'!$A$3:$A$20000,"&gt;="&amp;H$3,'Google data'!$A$3:$A$20000,"&lt;="&amp;H$4,'Google data'!$B$3:$B$20000,$A31),IF($B31="ChatGPT Ads",SUMIFS('ChatGPT data'!$I$3:$I$20000,'ChatGPT data'!$A$3:$A$20000,"&gt;="&amp;H$3,'ChatGPT data'!$A$3:$A$20000,"&lt;="&amp;H$4,'ChatGPT data'!$B$3:$B$20000,$A31),IF($B31="LinkedIn Ads",SUMIFS('LinkedIn data'!$I$3:$I$20000,'LinkedIn data'!$A$3:$A$20000,"&gt;="&amp;H$3,'LinkedIn data'!$A$3:$A$20000,"&lt;="&amp;H$4,'LinkedIn data'!$B$3:$B$20000,$A31),0)))))</f>
        <v>707.358799</v>
      </c>
      <c r="I31" s="14" t="n">
        <f aca="false">IF($A31="","",IF($B31="Meta",SUMIFS('Meta data'!$I$3:$I$20000,'Meta data'!$A$3:$A$20000,"&gt;="&amp;I$3,'Meta data'!$A$3:$A$20000,"&lt;="&amp;I$4,'Meta data'!$B$3:$B$20000,$A31),IF($B31="Google Ads",SUMIFS('Google data'!$I$3:$I$20000,'Google data'!$A$3:$A$20000,"&gt;="&amp;I$3,'Google data'!$A$3:$A$20000,"&lt;="&amp;I$4,'Google data'!$B$3:$B$20000,$A31),IF($B31="ChatGPT Ads",SUMIFS('ChatGPT data'!$I$3:$I$20000,'ChatGPT data'!$A$3:$A$20000,"&gt;="&amp;I$3,'ChatGPT data'!$A$3:$A$20000,"&lt;="&amp;I$4,'ChatGPT data'!$B$3:$B$20000,$A31),IF($B31="LinkedIn Ads",SUMIFS('LinkedIn data'!$I$3:$I$20000,'LinkedIn data'!$A$3:$A$20000,"&gt;="&amp;I$3,'LinkedIn data'!$A$3:$A$20000,"&lt;="&amp;I$4,'LinkedIn data'!$B$3:$B$20000,$A31),0)))))</f>
        <v>714.109707</v>
      </c>
      <c r="J31" s="14" t="n">
        <f aca="false">IF($A31="","",IF($B31="Meta",SUMIFS('Meta data'!$I$3:$I$20000,'Meta data'!$A$3:$A$20000,"&gt;="&amp;J$3,'Meta data'!$A$3:$A$20000,"&lt;="&amp;J$4,'Meta data'!$B$3:$B$20000,$A31),IF($B31="Google Ads",SUMIFS('Google data'!$I$3:$I$20000,'Google data'!$A$3:$A$20000,"&gt;="&amp;J$3,'Google data'!$A$3:$A$20000,"&lt;="&amp;J$4,'Google data'!$B$3:$B$20000,$A31),IF($B31="ChatGPT Ads",SUMIFS('ChatGPT data'!$I$3:$I$20000,'ChatGPT data'!$A$3:$A$20000,"&gt;="&amp;J$3,'ChatGPT data'!$A$3:$A$20000,"&lt;="&amp;J$4,'ChatGPT data'!$B$3:$B$20000,$A31),IF($B31="LinkedIn Ads",SUMIFS('LinkedIn data'!$I$3:$I$20000,'LinkedIn data'!$A$3:$A$20000,"&gt;="&amp;J$3,'LinkedIn data'!$A$3:$A$20000,"&lt;="&amp;J$4,'LinkedIn data'!$B$3:$B$20000,$A31),0)))))</f>
        <v>710.600129</v>
      </c>
      <c r="K31" s="14" t="n">
        <f aca="false">IF($A31="","",IF($B31="Meta",SUMIFS('Meta data'!$I$3:$I$20000,'Meta data'!$A$3:$A$20000,"&gt;="&amp;K$3,'Meta data'!$A$3:$A$20000,"&lt;="&amp;K$4,'Meta data'!$B$3:$B$20000,$A31),IF($B31="Google Ads",SUMIFS('Google data'!$I$3:$I$20000,'Google data'!$A$3:$A$20000,"&gt;="&amp;K$3,'Google data'!$A$3:$A$20000,"&lt;="&amp;K$4,'Google data'!$B$3:$B$20000,$A31),IF($B31="ChatGPT Ads",SUMIFS('ChatGPT data'!$I$3:$I$20000,'ChatGPT data'!$A$3:$A$20000,"&gt;="&amp;K$3,'ChatGPT data'!$A$3:$A$20000,"&lt;="&amp;K$4,'ChatGPT data'!$B$3:$B$20000,$A31),IF($B31="LinkedIn Ads",SUMIFS('LinkedIn data'!$I$3:$I$20000,'LinkedIn data'!$A$3:$A$20000,"&gt;="&amp;K$3,'LinkedIn data'!$A$3:$A$20000,"&lt;="&amp;K$4,'LinkedIn data'!$B$3:$B$20000,$A31),0)))))</f>
        <v>727.768001</v>
      </c>
      <c r="L31" s="14" t="n">
        <f aca="false">IF($A31="","",IF($B31="Meta",SUMIFS('Meta data'!$I$3:$I$20000,'Meta data'!$A$3:$A$20000,"&gt;="&amp;L$3,'Meta data'!$A$3:$A$20000,"&lt;="&amp;L$4,'Meta data'!$B$3:$B$20000,$A31),IF($B31="Google Ads",SUMIFS('Google data'!$I$3:$I$20000,'Google data'!$A$3:$A$20000,"&gt;="&amp;L$3,'Google data'!$A$3:$A$20000,"&lt;="&amp;L$4,'Google data'!$B$3:$B$20000,$A31),IF($B31="ChatGPT Ads",SUMIFS('ChatGPT data'!$I$3:$I$20000,'ChatGPT data'!$A$3:$A$20000,"&gt;="&amp;L$3,'ChatGPT data'!$A$3:$A$20000,"&lt;="&amp;L$4,'ChatGPT data'!$B$3:$B$20000,$A31),IF($B31="LinkedIn Ads",SUMIFS('LinkedIn data'!$I$3:$I$20000,'LinkedIn data'!$A$3:$A$20000,"&gt;="&amp;L$3,'LinkedIn data'!$A$3:$A$20000,"&lt;="&amp;L$4,'LinkedIn data'!$B$3:$B$20000,$A31),0)))))</f>
        <v>676.722642</v>
      </c>
      <c r="M31" s="14" t="n">
        <f aca="false">IF($A31="","",IF($B31="Meta",SUMIFS('Meta data'!$I$3:$I$20000,'Meta data'!$A$3:$A$20000,"&gt;="&amp;M$3,'Meta data'!$A$3:$A$20000,"&lt;="&amp;M$4,'Meta data'!$B$3:$B$20000,$A31),IF($B31="Google Ads",SUMIFS('Google data'!$I$3:$I$20000,'Google data'!$A$3:$A$20000,"&gt;="&amp;M$3,'Google data'!$A$3:$A$20000,"&lt;="&amp;M$4,'Google data'!$B$3:$B$20000,$A31),IF($B31="ChatGPT Ads",SUMIFS('ChatGPT data'!$I$3:$I$20000,'ChatGPT data'!$A$3:$A$20000,"&gt;="&amp;M$3,'ChatGPT data'!$A$3:$A$20000,"&lt;="&amp;M$4,'ChatGPT data'!$B$3:$B$20000,$A31),IF($B31="LinkedIn Ads",SUMIFS('LinkedIn data'!$I$3:$I$20000,'LinkedIn data'!$A$3:$A$20000,"&gt;="&amp;M$3,'LinkedIn data'!$A$3:$A$20000,"&lt;="&amp;M$4,'LinkedIn data'!$B$3:$B$20000,$A31),0)))))</f>
        <v>263.508952</v>
      </c>
      <c r="N31" s="14" t="n">
        <f aca="false">IF($A31="","",IF($B31="Meta",SUMIFS('Meta data'!$I$3:$I$20000,'Meta data'!$A$3:$A$20000,"&gt;="&amp;N$3,'Meta data'!$A$3:$A$20000,"&lt;="&amp;N$4,'Meta data'!$B$3:$B$20000,$A31),IF($B31="Google Ads",SUMIFS('Google data'!$I$3:$I$20000,'Google data'!$A$3:$A$20000,"&gt;="&amp;N$3,'Google data'!$A$3:$A$20000,"&lt;="&amp;N$4,'Google data'!$B$3:$B$20000,$A31),IF($B31="ChatGPT Ads",SUMIFS('ChatGPT data'!$I$3:$I$20000,'ChatGPT data'!$A$3:$A$20000,"&gt;="&amp;N$3,'ChatGPT data'!$A$3:$A$20000,"&lt;="&amp;N$4,'ChatGPT data'!$B$3:$B$20000,$A31),IF($B31="LinkedIn Ads",SUMIFS('LinkedIn data'!$I$3:$I$20000,'LinkedIn data'!$A$3:$A$20000,"&gt;="&amp;N$3,'LinkedIn data'!$A$3:$A$20000,"&lt;="&amp;N$4,'LinkedIn data'!$B$3:$B$20000,$A31),0)))))</f>
        <v>0</v>
      </c>
      <c r="O31" s="14" t="n">
        <f aca="false">IF($A31="","",IF($B31="Meta",SUMIFS('Meta data'!$I$3:$I$20000,'Meta data'!$A$3:$A$20000,"&gt;="&amp;O$3,'Meta data'!$A$3:$A$20000,"&lt;="&amp;O$4,'Meta data'!$B$3:$B$20000,$A31),IF($B31="Google Ads",SUMIFS('Google data'!$I$3:$I$20000,'Google data'!$A$3:$A$20000,"&gt;="&amp;O$3,'Google data'!$A$3:$A$20000,"&lt;="&amp;O$4,'Google data'!$B$3:$B$20000,$A31),IF($B31="ChatGPT Ads",SUMIFS('ChatGPT data'!$I$3:$I$20000,'ChatGPT data'!$A$3:$A$20000,"&gt;="&amp;O$3,'ChatGPT data'!$A$3:$A$20000,"&lt;="&amp;O$4,'ChatGPT data'!$B$3:$B$20000,$A31),IF($B31="LinkedIn Ads",SUMIFS('LinkedIn data'!$I$3:$I$20000,'LinkedIn data'!$A$3:$A$20000,"&gt;="&amp;O$3,'LinkedIn data'!$A$3:$A$20000,"&lt;="&amp;O$4,'LinkedIn data'!$B$3:$B$20000,$A31),0)))))</f>
        <v>0</v>
      </c>
      <c r="P31" s="14" t="n">
        <f aca="false">IF($A31="","",IF($B31="Meta",SUMIFS('Meta data'!$I$3:$I$20000,'Meta data'!$A$3:$A$20000,"&gt;="&amp;P$3,'Meta data'!$A$3:$A$20000,"&lt;="&amp;P$4,'Meta data'!$B$3:$B$20000,$A31),IF($B31="Google Ads",SUMIFS('Google data'!$I$3:$I$20000,'Google data'!$A$3:$A$20000,"&gt;="&amp;P$3,'Google data'!$A$3:$A$20000,"&lt;="&amp;P$4,'Google data'!$B$3:$B$20000,$A31),IF($B31="ChatGPT Ads",SUMIFS('ChatGPT data'!$I$3:$I$20000,'ChatGPT data'!$A$3:$A$20000,"&gt;="&amp;P$3,'ChatGPT data'!$A$3:$A$20000,"&lt;="&amp;P$4,'ChatGPT data'!$B$3:$B$20000,$A31),IF($B31="LinkedIn Ads",SUMIFS('LinkedIn data'!$I$3:$I$20000,'LinkedIn data'!$A$3:$A$20000,"&gt;="&amp;P$3,'LinkedIn data'!$A$3:$A$20000,"&lt;="&amp;P$4,'LinkedIn data'!$B$3:$B$20000,$A31),0)))))</f>
        <v>0</v>
      </c>
      <c r="Q31" s="14" t="n">
        <f aca="false">IF($A31="","",IF($B31="Meta",SUMIFS('Meta data'!$I$3:$I$20000,'Meta data'!$A$3:$A$20000,"&gt;="&amp;Q$3,'Meta data'!$A$3:$A$20000,"&lt;="&amp;Q$4,'Meta data'!$B$3:$B$20000,$A31),IF($B31="Google Ads",SUMIFS('Google data'!$I$3:$I$20000,'Google data'!$A$3:$A$20000,"&gt;="&amp;Q$3,'Google data'!$A$3:$A$20000,"&lt;="&amp;Q$4,'Google data'!$B$3:$B$20000,$A31),IF($B31="ChatGPT Ads",SUMIFS('ChatGPT data'!$I$3:$I$20000,'ChatGPT data'!$A$3:$A$20000,"&gt;="&amp;Q$3,'ChatGPT data'!$A$3:$A$20000,"&lt;="&amp;Q$4,'ChatGPT data'!$B$3:$B$20000,$A31),IF($B31="LinkedIn Ads",SUMIFS('LinkedIn data'!$I$3:$I$20000,'LinkedIn data'!$A$3:$A$20000,"&gt;="&amp;Q$3,'LinkedIn data'!$A$3:$A$20000,"&lt;="&amp;Q$4,'LinkedIn data'!$B$3:$B$20000,$A31),0)))))</f>
        <v>0</v>
      </c>
      <c r="R31" s="15" t="n">
        <f aca="false">IF($A31="","",SUM(F31:Q31))</f>
        <v>4935.494952</v>
      </c>
      <c r="S31" s="37" t="n">
        <f aca="false">IF($A31="","",IF($B31="Meta",SUMIFS('Meta data'!$E$3:$E$20000,'Meta data'!$B$3:$B$20000,$A31),IF($B31="Google Ads",SUMIFS('Google data'!$E$3:$E$20000,'Google data'!$B$3:$B$20000,$A31),IF($B31="ChatGPT Ads",SUMIFS('ChatGPT data'!$E$3:$E$20000,'ChatGPT data'!$B$3:$B$20000,$A31),IF($B31="LinkedIn Ads",SUMIFS('LinkedIn data'!$E$3:$E$20000,'LinkedIn data'!$B$3:$B$20000,$A31),0)))))</f>
        <v>1721</v>
      </c>
      <c r="T31" s="37" t="n">
        <f aca="false">IF($A31="","",IF($B31="Meta",SUMIFS('Meta data'!$F$3:$F$20000,'Meta data'!$B$3:$B$20000,$A31),IF($B31="Google Ads",SUMIFS('Google data'!$F$3:$F$20000,'Google data'!$B$3:$B$20000,$A31),IF($B31="ChatGPT Ads",SUMIFS('ChatGPT data'!$F$3:$F$20000,'ChatGPT data'!$B$3:$B$20000,$A31),IF($B31="LinkedIn Ads",SUMIFS('LinkedIn data'!$F$3:$F$20000,'LinkedIn data'!$B$3:$B$20000,$A31),0)))))</f>
        <v>83.82</v>
      </c>
      <c r="U31" s="38" t="n">
        <f aca="false">IF(OR($A31="",T31=0),"",R31/T31)</f>
        <v>58.8820681460272</v>
      </c>
    </row>
    <row r="32" customFormat="false" ht="15" hidden="false" customHeight="false" outlineLevel="0" collapsed="false">
      <c r="A32" s="58" t="s">
        <v>191</v>
      </c>
      <c r="B32" s="58" t="s">
        <v>20</v>
      </c>
      <c r="C32" s="58" t="s">
        <v>138</v>
      </c>
      <c r="D32" s="58" t="s">
        <v>123</v>
      </c>
      <c r="E32" s="58" t="s">
        <v>150</v>
      </c>
      <c r="F32" s="14" t="n">
        <f aca="false">IF($A32="","",IF($B32="Meta",SUMIFS('Meta data'!$I$3:$I$20000,'Meta data'!$A$3:$A$20000,"&gt;="&amp;F$3,'Meta data'!$A$3:$A$20000,"&lt;="&amp;F$4,'Meta data'!$B$3:$B$20000,$A32),IF($B32="Google Ads",SUMIFS('Google data'!$I$3:$I$20000,'Google data'!$A$3:$A$20000,"&gt;="&amp;F$3,'Google data'!$A$3:$A$20000,"&lt;="&amp;F$4,'Google data'!$B$3:$B$20000,$A32),IF($B32="ChatGPT Ads",SUMIFS('ChatGPT data'!$I$3:$I$20000,'ChatGPT data'!$A$3:$A$20000,"&gt;="&amp;F$3,'ChatGPT data'!$A$3:$A$20000,"&lt;="&amp;F$4,'ChatGPT data'!$B$3:$B$20000,$A32),IF($B32="LinkedIn Ads",SUMIFS('LinkedIn data'!$I$3:$I$20000,'LinkedIn data'!$A$3:$A$20000,"&gt;="&amp;F$3,'LinkedIn data'!$A$3:$A$20000,"&lt;="&amp;F$4,'LinkedIn data'!$B$3:$B$20000,$A32),0)))))</f>
        <v>416.544436</v>
      </c>
      <c r="G32" s="14" t="n">
        <f aca="false">IF($A32="","",IF($B32="Meta",SUMIFS('Meta data'!$I$3:$I$20000,'Meta data'!$A$3:$A$20000,"&gt;="&amp;G$3,'Meta data'!$A$3:$A$20000,"&lt;="&amp;G$4,'Meta data'!$B$3:$B$20000,$A32),IF($B32="Google Ads",SUMIFS('Google data'!$I$3:$I$20000,'Google data'!$A$3:$A$20000,"&gt;="&amp;G$3,'Google data'!$A$3:$A$20000,"&lt;="&amp;G$4,'Google data'!$B$3:$B$20000,$A32),IF($B32="ChatGPT Ads",SUMIFS('ChatGPT data'!$I$3:$I$20000,'ChatGPT data'!$A$3:$A$20000,"&gt;="&amp;G$3,'ChatGPT data'!$A$3:$A$20000,"&lt;="&amp;G$4,'ChatGPT data'!$B$3:$B$20000,$A32),IF($B32="LinkedIn Ads",SUMIFS('LinkedIn data'!$I$3:$I$20000,'LinkedIn data'!$A$3:$A$20000,"&gt;="&amp;G$3,'LinkedIn data'!$A$3:$A$20000,"&lt;="&amp;G$4,'LinkedIn data'!$B$3:$B$20000,$A32),0)))))</f>
        <v>706.978781</v>
      </c>
      <c r="H32" s="14" t="n">
        <f aca="false">IF($A32="","",IF($B32="Meta",SUMIFS('Meta data'!$I$3:$I$20000,'Meta data'!$A$3:$A$20000,"&gt;="&amp;H$3,'Meta data'!$A$3:$A$20000,"&lt;="&amp;H$4,'Meta data'!$B$3:$B$20000,$A32),IF($B32="Google Ads",SUMIFS('Google data'!$I$3:$I$20000,'Google data'!$A$3:$A$20000,"&gt;="&amp;H$3,'Google data'!$A$3:$A$20000,"&lt;="&amp;H$4,'Google data'!$B$3:$B$20000,$A32),IF($B32="ChatGPT Ads",SUMIFS('ChatGPT data'!$I$3:$I$20000,'ChatGPT data'!$A$3:$A$20000,"&gt;="&amp;H$3,'ChatGPT data'!$A$3:$A$20000,"&lt;="&amp;H$4,'ChatGPT data'!$B$3:$B$20000,$A32),IF($B32="LinkedIn Ads",SUMIFS('LinkedIn data'!$I$3:$I$20000,'LinkedIn data'!$A$3:$A$20000,"&gt;="&amp;H$3,'LinkedIn data'!$A$3:$A$20000,"&lt;="&amp;H$4,'LinkedIn data'!$B$3:$B$20000,$A32),0)))))</f>
        <v>713.483795</v>
      </c>
      <c r="I32" s="14" t="n">
        <f aca="false">IF($A32="","",IF($B32="Meta",SUMIFS('Meta data'!$I$3:$I$20000,'Meta data'!$A$3:$A$20000,"&gt;="&amp;I$3,'Meta data'!$A$3:$A$20000,"&lt;="&amp;I$4,'Meta data'!$B$3:$B$20000,$A32),IF($B32="Google Ads",SUMIFS('Google data'!$I$3:$I$20000,'Google data'!$A$3:$A$20000,"&gt;="&amp;I$3,'Google data'!$A$3:$A$20000,"&lt;="&amp;I$4,'Google data'!$B$3:$B$20000,$A32),IF($B32="ChatGPT Ads",SUMIFS('ChatGPT data'!$I$3:$I$20000,'ChatGPT data'!$A$3:$A$20000,"&gt;="&amp;I$3,'ChatGPT data'!$A$3:$A$20000,"&lt;="&amp;I$4,'ChatGPT data'!$B$3:$B$20000,$A32),IF($B32="LinkedIn Ads",SUMIFS('LinkedIn data'!$I$3:$I$20000,'LinkedIn data'!$A$3:$A$20000,"&gt;="&amp;I$3,'LinkedIn data'!$A$3:$A$20000,"&lt;="&amp;I$4,'LinkedIn data'!$B$3:$B$20000,$A32),0)))))</f>
        <v>713.696158</v>
      </c>
      <c r="J32" s="14" t="n">
        <f aca="false">IF($A32="","",IF($B32="Meta",SUMIFS('Meta data'!$I$3:$I$20000,'Meta data'!$A$3:$A$20000,"&gt;="&amp;J$3,'Meta data'!$A$3:$A$20000,"&lt;="&amp;J$4,'Meta data'!$B$3:$B$20000,$A32),IF($B32="Google Ads",SUMIFS('Google data'!$I$3:$I$20000,'Google data'!$A$3:$A$20000,"&gt;="&amp;J$3,'Google data'!$A$3:$A$20000,"&lt;="&amp;J$4,'Google data'!$B$3:$B$20000,$A32),IF($B32="ChatGPT Ads",SUMIFS('ChatGPT data'!$I$3:$I$20000,'ChatGPT data'!$A$3:$A$20000,"&gt;="&amp;J$3,'ChatGPT data'!$A$3:$A$20000,"&lt;="&amp;J$4,'ChatGPT data'!$B$3:$B$20000,$A32),IF($B32="LinkedIn Ads",SUMIFS('LinkedIn data'!$I$3:$I$20000,'LinkedIn data'!$A$3:$A$20000,"&gt;="&amp;J$3,'LinkedIn data'!$A$3:$A$20000,"&lt;="&amp;J$4,'LinkedIn data'!$B$3:$B$20000,$A32),0)))))</f>
        <v>713.629096</v>
      </c>
      <c r="K32" s="14" t="n">
        <f aca="false">IF($A32="","",IF($B32="Meta",SUMIFS('Meta data'!$I$3:$I$20000,'Meta data'!$A$3:$A$20000,"&gt;="&amp;K$3,'Meta data'!$A$3:$A$20000,"&lt;="&amp;K$4,'Meta data'!$B$3:$B$20000,$A32),IF($B32="Google Ads",SUMIFS('Google data'!$I$3:$I$20000,'Google data'!$A$3:$A$20000,"&gt;="&amp;K$3,'Google data'!$A$3:$A$20000,"&lt;="&amp;K$4,'Google data'!$B$3:$B$20000,$A32),IF($B32="ChatGPT Ads",SUMIFS('ChatGPT data'!$I$3:$I$20000,'ChatGPT data'!$A$3:$A$20000,"&gt;="&amp;K$3,'ChatGPT data'!$A$3:$A$20000,"&lt;="&amp;K$4,'ChatGPT data'!$B$3:$B$20000,$A32),IF($B32="LinkedIn Ads",SUMIFS('LinkedIn data'!$I$3:$I$20000,'LinkedIn data'!$A$3:$A$20000,"&gt;="&amp;K$3,'LinkedIn data'!$A$3:$A$20000,"&lt;="&amp;K$4,'LinkedIn data'!$B$3:$B$20000,$A32),0)))))</f>
        <v>715.66331</v>
      </c>
      <c r="L32" s="14" t="n">
        <f aca="false">IF($A32="","",IF($B32="Meta",SUMIFS('Meta data'!$I$3:$I$20000,'Meta data'!$A$3:$A$20000,"&gt;="&amp;L$3,'Meta data'!$A$3:$A$20000,"&lt;="&amp;L$4,'Meta data'!$B$3:$B$20000,$A32),IF($B32="Google Ads",SUMIFS('Google data'!$I$3:$I$20000,'Google data'!$A$3:$A$20000,"&gt;="&amp;L$3,'Google data'!$A$3:$A$20000,"&lt;="&amp;L$4,'Google data'!$B$3:$B$20000,$A32),IF($B32="ChatGPT Ads",SUMIFS('ChatGPT data'!$I$3:$I$20000,'ChatGPT data'!$A$3:$A$20000,"&gt;="&amp;L$3,'ChatGPT data'!$A$3:$A$20000,"&lt;="&amp;L$4,'ChatGPT data'!$B$3:$B$20000,$A32),IF($B32="LinkedIn Ads",SUMIFS('LinkedIn data'!$I$3:$I$20000,'LinkedIn data'!$A$3:$A$20000,"&gt;="&amp;L$3,'LinkedIn data'!$A$3:$A$20000,"&lt;="&amp;L$4,'LinkedIn data'!$B$3:$B$20000,$A32),0)))))</f>
        <v>684.36771</v>
      </c>
      <c r="M32" s="14" t="n">
        <f aca="false">IF($A32="","",IF($B32="Meta",SUMIFS('Meta data'!$I$3:$I$20000,'Meta data'!$A$3:$A$20000,"&gt;="&amp;M$3,'Meta data'!$A$3:$A$20000,"&lt;="&amp;M$4,'Meta data'!$B$3:$B$20000,$A32),IF($B32="Google Ads",SUMIFS('Google data'!$I$3:$I$20000,'Google data'!$A$3:$A$20000,"&gt;="&amp;M$3,'Google data'!$A$3:$A$20000,"&lt;="&amp;M$4,'Google data'!$B$3:$B$20000,$A32),IF($B32="ChatGPT Ads",SUMIFS('ChatGPT data'!$I$3:$I$20000,'ChatGPT data'!$A$3:$A$20000,"&gt;="&amp;M$3,'ChatGPT data'!$A$3:$A$20000,"&lt;="&amp;M$4,'ChatGPT data'!$B$3:$B$20000,$A32),IF($B32="LinkedIn Ads",SUMIFS('LinkedIn data'!$I$3:$I$20000,'LinkedIn data'!$A$3:$A$20000,"&gt;="&amp;M$3,'LinkedIn data'!$A$3:$A$20000,"&lt;="&amp;M$4,'LinkedIn data'!$B$3:$B$20000,$A32),0)))))</f>
        <v>267.700327</v>
      </c>
      <c r="N32" s="14" t="n">
        <f aca="false">IF($A32="","",IF($B32="Meta",SUMIFS('Meta data'!$I$3:$I$20000,'Meta data'!$A$3:$A$20000,"&gt;="&amp;N$3,'Meta data'!$A$3:$A$20000,"&lt;="&amp;N$4,'Meta data'!$B$3:$B$20000,$A32),IF($B32="Google Ads",SUMIFS('Google data'!$I$3:$I$20000,'Google data'!$A$3:$A$20000,"&gt;="&amp;N$3,'Google data'!$A$3:$A$20000,"&lt;="&amp;N$4,'Google data'!$B$3:$B$20000,$A32),IF($B32="ChatGPT Ads",SUMIFS('ChatGPT data'!$I$3:$I$20000,'ChatGPT data'!$A$3:$A$20000,"&gt;="&amp;N$3,'ChatGPT data'!$A$3:$A$20000,"&lt;="&amp;N$4,'ChatGPT data'!$B$3:$B$20000,$A32),IF($B32="LinkedIn Ads",SUMIFS('LinkedIn data'!$I$3:$I$20000,'LinkedIn data'!$A$3:$A$20000,"&gt;="&amp;N$3,'LinkedIn data'!$A$3:$A$20000,"&lt;="&amp;N$4,'LinkedIn data'!$B$3:$B$20000,$A32),0)))))</f>
        <v>0</v>
      </c>
      <c r="O32" s="14" t="n">
        <f aca="false">IF($A32="","",IF($B32="Meta",SUMIFS('Meta data'!$I$3:$I$20000,'Meta data'!$A$3:$A$20000,"&gt;="&amp;O$3,'Meta data'!$A$3:$A$20000,"&lt;="&amp;O$4,'Meta data'!$B$3:$B$20000,$A32),IF($B32="Google Ads",SUMIFS('Google data'!$I$3:$I$20000,'Google data'!$A$3:$A$20000,"&gt;="&amp;O$3,'Google data'!$A$3:$A$20000,"&lt;="&amp;O$4,'Google data'!$B$3:$B$20000,$A32),IF($B32="ChatGPT Ads",SUMIFS('ChatGPT data'!$I$3:$I$20000,'ChatGPT data'!$A$3:$A$20000,"&gt;="&amp;O$3,'ChatGPT data'!$A$3:$A$20000,"&lt;="&amp;O$4,'ChatGPT data'!$B$3:$B$20000,$A32),IF($B32="LinkedIn Ads",SUMIFS('LinkedIn data'!$I$3:$I$20000,'LinkedIn data'!$A$3:$A$20000,"&gt;="&amp;O$3,'LinkedIn data'!$A$3:$A$20000,"&lt;="&amp;O$4,'LinkedIn data'!$B$3:$B$20000,$A32),0)))))</f>
        <v>0</v>
      </c>
      <c r="P32" s="14" t="n">
        <f aca="false">IF($A32="","",IF($B32="Meta",SUMIFS('Meta data'!$I$3:$I$20000,'Meta data'!$A$3:$A$20000,"&gt;="&amp;P$3,'Meta data'!$A$3:$A$20000,"&lt;="&amp;P$4,'Meta data'!$B$3:$B$20000,$A32),IF($B32="Google Ads",SUMIFS('Google data'!$I$3:$I$20000,'Google data'!$A$3:$A$20000,"&gt;="&amp;P$3,'Google data'!$A$3:$A$20000,"&lt;="&amp;P$4,'Google data'!$B$3:$B$20000,$A32),IF($B32="ChatGPT Ads",SUMIFS('ChatGPT data'!$I$3:$I$20000,'ChatGPT data'!$A$3:$A$20000,"&gt;="&amp;P$3,'ChatGPT data'!$A$3:$A$20000,"&lt;="&amp;P$4,'ChatGPT data'!$B$3:$B$20000,$A32),IF($B32="LinkedIn Ads",SUMIFS('LinkedIn data'!$I$3:$I$20000,'LinkedIn data'!$A$3:$A$20000,"&gt;="&amp;P$3,'LinkedIn data'!$A$3:$A$20000,"&lt;="&amp;P$4,'LinkedIn data'!$B$3:$B$20000,$A32),0)))))</f>
        <v>0</v>
      </c>
      <c r="Q32" s="14" t="n">
        <f aca="false">IF($A32="","",IF($B32="Meta",SUMIFS('Meta data'!$I$3:$I$20000,'Meta data'!$A$3:$A$20000,"&gt;="&amp;Q$3,'Meta data'!$A$3:$A$20000,"&lt;="&amp;Q$4,'Meta data'!$B$3:$B$20000,$A32),IF($B32="Google Ads",SUMIFS('Google data'!$I$3:$I$20000,'Google data'!$A$3:$A$20000,"&gt;="&amp;Q$3,'Google data'!$A$3:$A$20000,"&lt;="&amp;Q$4,'Google data'!$B$3:$B$20000,$A32),IF($B32="ChatGPT Ads",SUMIFS('ChatGPT data'!$I$3:$I$20000,'ChatGPT data'!$A$3:$A$20000,"&gt;="&amp;Q$3,'ChatGPT data'!$A$3:$A$20000,"&lt;="&amp;Q$4,'ChatGPT data'!$B$3:$B$20000,$A32),IF($B32="LinkedIn Ads",SUMIFS('LinkedIn data'!$I$3:$I$20000,'LinkedIn data'!$A$3:$A$20000,"&gt;="&amp;Q$3,'LinkedIn data'!$A$3:$A$20000,"&lt;="&amp;Q$4,'LinkedIn data'!$B$3:$B$20000,$A32),0)))))</f>
        <v>0</v>
      </c>
      <c r="R32" s="15" t="n">
        <f aca="false">IF($A32="","",SUM(F32:Q32))</f>
        <v>4932.063613</v>
      </c>
      <c r="S32" s="37" t="n">
        <f aca="false">IF($A32="","",IF($B32="Meta",SUMIFS('Meta data'!$E$3:$E$20000,'Meta data'!$B$3:$B$20000,$A32),IF($B32="Google Ads",SUMIFS('Google data'!$E$3:$E$20000,'Google data'!$B$3:$B$20000,$A32),IF($B32="ChatGPT Ads",SUMIFS('ChatGPT data'!$E$3:$E$20000,'ChatGPT data'!$B$3:$B$20000,$A32),IF($B32="LinkedIn Ads",SUMIFS('LinkedIn data'!$E$3:$E$20000,'LinkedIn data'!$B$3:$B$20000,$A32),0)))))</f>
        <v>1503</v>
      </c>
      <c r="T32" s="37" t="n">
        <f aca="false">IF($A32="","",IF($B32="Meta",SUMIFS('Meta data'!$F$3:$F$20000,'Meta data'!$B$3:$B$20000,$A32),IF($B32="Google Ads",SUMIFS('Google data'!$F$3:$F$20000,'Google data'!$B$3:$B$20000,$A32),IF($B32="ChatGPT Ads",SUMIFS('ChatGPT data'!$F$3:$F$20000,'ChatGPT data'!$B$3:$B$20000,$A32),IF($B32="LinkedIn Ads",SUMIFS('LinkedIn data'!$F$3:$F$20000,'LinkedIn data'!$B$3:$B$20000,$A32),0)))))</f>
        <v>42.11</v>
      </c>
      <c r="U32" s="38" t="n">
        <f aca="false">IF(OR($A32="",T32=0),"",R32/T32)</f>
        <v>117.123334433626</v>
      </c>
    </row>
    <row r="33" customFormat="false" ht="15" hidden="false" customHeight="false" outlineLevel="0" collapsed="false">
      <c r="A33" s="58" t="s">
        <v>192</v>
      </c>
      <c r="B33" s="58" t="s">
        <v>20</v>
      </c>
      <c r="C33" s="58" t="s">
        <v>130</v>
      </c>
      <c r="D33" s="58" t="s">
        <v>123</v>
      </c>
      <c r="E33" s="58" t="s">
        <v>150</v>
      </c>
      <c r="F33" s="14" t="n">
        <f aca="false">IF($A33="","",IF($B33="Meta",SUMIFS('Meta data'!$I$3:$I$20000,'Meta data'!$A$3:$A$20000,"&gt;="&amp;F$3,'Meta data'!$A$3:$A$20000,"&lt;="&amp;F$4,'Meta data'!$B$3:$B$20000,$A33),IF($B33="Google Ads",SUMIFS('Google data'!$I$3:$I$20000,'Google data'!$A$3:$A$20000,"&gt;="&amp;F$3,'Google data'!$A$3:$A$20000,"&lt;="&amp;F$4,'Google data'!$B$3:$B$20000,$A33),IF($B33="ChatGPT Ads",SUMIFS('ChatGPT data'!$I$3:$I$20000,'ChatGPT data'!$A$3:$A$20000,"&gt;="&amp;F$3,'ChatGPT data'!$A$3:$A$20000,"&lt;="&amp;F$4,'ChatGPT data'!$B$3:$B$20000,$A33),IF($B33="LinkedIn Ads",SUMIFS('LinkedIn data'!$I$3:$I$20000,'LinkedIn data'!$A$3:$A$20000,"&gt;="&amp;F$3,'LinkedIn data'!$A$3:$A$20000,"&lt;="&amp;F$4,'LinkedIn data'!$B$3:$B$20000,$A33),0)))))</f>
        <v>0</v>
      </c>
      <c r="G33" s="14" t="n">
        <f aca="false">IF($A33="","",IF($B33="Meta",SUMIFS('Meta data'!$I$3:$I$20000,'Meta data'!$A$3:$A$20000,"&gt;="&amp;G$3,'Meta data'!$A$3:$A$20000,"&lt;="&amp;G$4,'Meta data'!$B$3:$B$20000,$A33),IF($B33="Google Ads",SUMIFS('Google data'!$I$3:$I$20000,'Google data'!$A$3:$A$20000,"&gt;="&amp;G$3,'Google data'!$A$3:$A$20000,"&lt;="&amp;G$4,'Google data'!$B$3:$B$20000,$A33),IF($B33="ChatGPT Ads",SUMIFS('ChatGPT data'!$I$3:$I$20000,'ChatGPT data'!$A$3:$A$20000,"&gt;="&amp;G$3,'ChatGPT data'!$A$3:$A$20000,"&lt;="&amp;G$4,'ChatGPT data'!$B$3:$B$20000,$A33),IF($B33="LinkedIn Ads",SUMIFS('LinkedIn data'!$I$3:$I$20000,'LinkedIn data'!$A$3:$A$20000,"&gt;="&amp;G$3,'LinkedIn data'!$A$3:$A$20000,"&lt;="&amp;G$4,'LinkedIn data'!$B$3:$B$20000,$A33),0)))))</f>
        <v>0</v>
      </c>
      <c r="H33" s="14" t="n">
        <f aca="false">IF($A33="","",IF($B33="Meta",SUMIFS('Meta data'!$I$3:$I$20000,'Meta data'!$A$3:$A$20000,"&gt;="&amp;H$3,'Meta data'!$A$3:$A$20000,"&lt;="&amp;H$4,'Meta data'!$B$3:$B$20000,$A33),IF($B33="Google Ads",SUMIFS('Google data'!$I$3:$I$20000,'Google data'!$A$3:$A$20000,"&gt;="&amp;H$3,'Google data'!$A$3:$A$20000,"&lt;="&amp;H$4,'Google data'!$B$3:$B$20000,$A33),IF($B33="ChatGPT Ads",SUMIFS('ChatGPT data'!$I$3:$I$20000,'ChatGPT data'!$A$3:$A$20000,"&gt;="&amp;H$3,'ChatGPT data'!$A$3:$A$20000,"&lt;="&amp;H$4,'ChatGPT data'!$B$3:$B$20000,$A33),IF($B33="LinkedIn Ads",SUMIFS('LinkedIn data'!$I$3:$I$20000,'LinkedIn data'!$A$3:$A$20000,"&gt;="&amp;H$3,'LinkedIn data'!$A$3:$A$20000,"&lt;="&amp;H$4,'LinkedIn data'!$B$3:$B$20000,$A33),0)))))</f>
        <v>0</v>
      </c>
      <c r="I33" s="14" t="n">
        <f aca="false">IF($A33="","",IF($B33="Meta",SUMIFS('Meta data'!$I$3:$I$20000,'Meta data'!$A$3:$A$20000,"&gt;="&amp;I$3,'Meta data'!$A$3:$A$20000,"&lt;="&amp;I$4,'Meta data'!$B$3:$B$20000,$A33),IF($B33="Google Ads",SUMIFS('Google data'!$I$3:$I$20000,'Google data'!$A$3:$A$20000,"&gt;="&amp;I$3,'Google data'!$A$3:$A$20000,"&lt;="&amp;I$4,'Google data'!$B$3:$B$20000,$A33),IF($B33="ChatGPT Ads",SUMIFS('ChatGPT data'!$I$3:$I$20000,'ChatGPT data'!$A$3:$A$20000,"&gt;="&amp;I$3,'ChatGPT data'!$A$3:$A$20000,"&lt;="&amp;I$4,'ChatGPT data'!$B$3:$B$20000,$A33),IF($B33="LinkedIn Ads",SUMIFS('LinkedIn data'!$I$3:$I$20000,'LinkedIn data'!$A$3:$A$20000,"&gt;="&amp;I$3,'LinkedIn data'!$A$3:$A$20000,"&lt;="&amp;I$4,'LinkedIn data'!$B$3:$B$20000,$A33),0)))))</f>
        <v>0</v>
      </c>
      <c r="J33" s="14" t="n">
        <f aca="false">IF($A33="","",IF($B33="Meta",SUMIFS('Meta data'!$I$3:$I$20000,'Meta data'!$A$3:$A$20000,"&gt;="&amp;J$3,'Meta data'!$A$3:$A$20000,"&lt;="&amp;J$4,'Meta data'!$B$3:$B$20000,$A33),IF($B33="Google Ads",SUMIFS('Google data'!$I$3:$I$20000,'Google data'!$A$3:$A$20000,"&gt;="&amp;J$3,'Google data'!$A$3:$A$20000,"&lt;="&amp;J$4,'Google data'!$B$3:$B$20000,$A33),IF($B33="ChatGPT Ads",SUMIFS('ChatGPT data'!$I$3:$I$20000,'ChatGPT data'!$A$3:$A$20000,"&gt;="&amp;J$3,'ChatGPT data'!$A$3:$A$20000,"&lt;="&amp;J$4,'ChatGPT data'!$B$3:$B$20000,$A33),IF($B33="LinkedIn Ads",SUMIFS('LinkedIn data'!$I$3:$I$20000,'LinkedIn data'!$A$3:$A$20000,"&gt;="&amp;J$3,'LinkedIn data'!$A$3:$A$20000,"&lt;="&amp;J$4,'LinkedIn data'!$B$3:$B$20000,$A33),0)))))</f>
        <v>0</v>
      </c>
      <c r="K33" s="14" t="n">
        <f aca="false">IF($A33="","",IF($B33="Meta",SUMIFS('Meta data'!$I$3:$I$20000,'Meta data'!$A$3:$A$20000,"&gt;="&amp;K$3,'Meta data'!$A$3:$A$20000,"&lt;="&amp;K$4,'Meta data'!$B$3:$B$20000,$A33),IF($B33="Google Ads",SUMIFS('Google data'!$I$3:$I$20000,'Google data'!$A$3:$A$20000,"&gt;="&amp;K$3,'Google data'!$A$3:$A$20000,"&lt;="&amp;K$4,'Google data'!$B$3:$B$20000,$A33),IF($B33="ChatGPT Ads",SUMIFS('ChatGPT data'!$I$3:$I$20000,'ChatGPT data'!$A$3:$A$20000,"&gt;="&amp;K$3,'ChatGPT data'!$A$3:$A$20000,"&lt;="&amp;K$4,'ChatGPT data'!$B$3:$B$20000,$A33),IF($B33="LinkedIn Ads",SUMIFS('LinkedIn data'!$I$3:$I$20000,'LinkedIn data'!$A$3:$A$20000,"&gt;="&amp;K$3,'LinkedIn data'!$A$3:$A$20000,"&lt;="&amp;K$4,'LinkedIn data'!$B$3:$B$20000,$A33),0)))))</f>
        <v>0</v>
      </c>
      <c r="L33" s="14" t="n">
        <f aca="false">IF($A33="","",IF($B33="Meta",SUMIFS('Meta data'!$I$3:$I$20000,'Meta data'!$A$3:$A$20000,"&gt;="&amp;L$3,'Meta data'!$A$3:$A$20000,"&lt;="&amp;L$4,'Meta data'!$B$3:$B$20000,$A33),IF($B33="Google Ads",SUMIFS('Google data'!$I$3:$I$20000,'Google data'!$A$3:$A$20000,"&gt;="&amp;L$3,'Google data'!$A$3:$A$20000,"&lt;="&amp;L$4,'Google data'!$B$3:$B$20000,$A33),IF($B33="ChatGPT Ads",SUMIFS('ChatGPT data'!$I$3:$I$20000,'ChatGPT data'!$A$3:$A$20000,"&gt;="&amp;L$3,'ChatGPT data'!$A$3:$A$20000,"&lt;="&amp;L$4,'ChatGPT data'!$B$3:$B$20000,$A33),IF($B33="LinkedIn Ads",SUMIFS('LinkedIn data'!$I$3:$I$20000,'LinkedIn data'!$A$3:$A$20000,"&gt;="&amp;L$3,'LinkedIn data'!$A$3:$A$20000,"&lt;="&amp;L$4,'LinkedIn data'!$B$3:$B$20000,$A33),0)))))</f>
        <v>0</v>
      </c>
      <c r="M33" s="14" t="n">
        <f aca="false">IF($A33="","",IF($B33="Meta",SUMIFS('Meta data'!$I$3:$I$20000,'Meta data'!$A$3:$A$20000,"&gt;="&amp;M$3,'Meta data'!$A$3:$A$20000,"&lt;="&amp;M$4,'Meta data'!$B$3:$B$20000,$A33),IF($B33="Google Ads",SUMIFS('Google data'!$I$3:$I$20000,'Google data'!$A$3:$A$20000,"&gt;="&amp;M$3,'Google data'!$A$3:$A$20000,"&lt;="&amp;M$4,'Google data'!$B$3:$B$20000,$A33),IF($B33="ChatGPT Ads",SUMIFS('ChatGPT data'!$I$3:$I$20000,'ChatGPT data'!$A$3:$A$20000,"&gt;="&amp;M$3,'ChatGPT data'!$A$3:$A$20000,"&lt;="&amp;M$4,'ChatGPT data'!$B$3:$B$20000,$A33),IF($B33="LinkedIn Ads",SUMIFS('LinkedIn data'!$I$3:$I$20000,'LinkedIn data'!$A$3:$A$20000,"&gt;="&amp;M$3,'LinkedIn data'!$A$3:$A$20000,"&lt;="&amp;M$4,'LinkedIn data'!$B$3:$B$20000,$A33),0)))))</f>
        <v>2484.635923</v>
      </c>
      <c r="N33" s="14" t="n">
        <f aca="false">IF($A33="","",IF($B33="Meta",SUMIFS('Meta data'!$I$3:$I$20000,'Meta data'!$A$3:$A$20000,"&gt;="&amp;N$3,'Meta data'!$A$3:$A$20000,"&lt;="&amp;N$4,'Meta data'!$B$3:$B$20000,$A33),IF($B33="Google Ads",SUMIFS('Google data'!$I$3:$I$20000,'Google data'!$A$3:$A$20000,"&gt;="&amp;N$3,'Google data'!$A$3:$A$20000,"&lt;="&amp;N$4,'Google data'!$B$3:$B$20000,$A33),IF($B33="ChatGPT Ads",SUMIFS('ChatGPT data'!$I$3:$I$20000,'ChatGPT data'!$A$3:$A$20000,"&gt;="&amp;N$3,'ChatGPT data'!$A$3:$A$20000,"&lt;="&amp;N$4,'ChatGPT data'!$B$3:$B$20000,$A33),IF($B33="LinkedIn Ads",SUMIFS('LinkedIn data'!$I$3:$I$20000,'LinkedIn data'!$A$3:$A$20000,"&gt;="&amp;N$3,'LinkedIn data'!$A$3:$A$20000,"&lt;="&amp;N$4,'LinkedIn data'!$B$3:$B$20000,$A33),0)))))</f>
        <v>1913.636524</v>
      </c>
      <c r="O33" s="14" t="n">
        <f aca="false">IF($A33="","",IF($B33="Meta",SUMIFS('Meta data'!$I$3:$I$20000,'Meta data'!$A$3:$A$20000,"&gt;="&amp;O$3,'Meta data'!$A$3:$A$20000,"&lt;="&amp;O$4,'Meta data'!$B$3:$B$20000,$A33),IF($B33="Google Ads",SUMIFS('Google data'!$I$3:$I$20000,'Google data'!$A$3:$A$20000,"&gt;="&amp;O$3,'Google data'!$A$3:$A$20000,"&lt;="&amp;O$4,'Google data'!$B$3:$B$20000,$A33),IF($B33="ChatGPT Ads",SUMIFS('ChatGPT data'!$I$3:$I$20000,'ChatGPT data'!$A$3:$A$20000,"&gt;="&amp;O$3,'ChatGPT data'!$A$3:$A$20000,"&lt;="&amp;O$4,'ChatGPT data'!$B$3:$B$20000,$A33),IF($B33="LinkedIn Ads",SUMIFS('LinkedIn data'!$I$3:$I$20000,'LinkedIn data'!$A$3:$A$20000,"&gt;="&amp;O$3,'LinkedIn data'!$A$3:$A$20000,"&lt;="&amp;O$4,'LinkedIn data'!$B$3:$B$20000,$A33),0)))))</f>
        <v>0</v>
      </c>
      <c r="P33" s="14" t="n">
        <f aca="false">IF($A33="","",IF($B33="Meta",SUMIFS('Meta data'!$I$3:$I$20000,'Meta data'!$A$3:$A$20000,"&gt;="&amp;P$3,'Meta data'!$A$3:$A$20000,"&lt;="&amp;P$4,'Meta data'!$B$3:$B$20000,$A33),IF($B33="Google Ads",SUMIFS('Google data'!$I$3:$I$20000,'Google data'!$A$3:$A$20000,"&gt;="&amp;P$3,'Google data'!$A$3:$A$20000,"&lt;="&amp;P$4,'Google data'!$B$3:$B$20000,$A33),IF($B33="ChatGPT Ads",SUMIFS('ChatGPT data'!$I$3:$I$20000,'ChatGPT data'!$A$3:$A$20000,"&gt;="&amp;P$3,'ChatGPT data'!$A$3:$A$20000,"&lt;="&amp;P$4,'ChatGPT data'!$B$3:$B$20000,$A33),IF($B33="LinkedIn Ads",SUMIFS('LinkedIn data'!$I$3:$I$20000,'LinkedIn data'!$A$3:$A$20000,"&gt;="&amp;P$3,'LinkedIn data'!$A$3:$A$20000,"&lt;="&amp;P$4,'LinkedIn data'!$B$3:$B$20000,$A33),0)))))</f>
        <v>0</v>
      </c>
      <c r="Q33" s="14" t="n">
        <f aca="false">IF($A33="","",IF($B33="Meta",SUMIFS('Meta data'!$I$3:$I$20000,'Meta data'!$A$3:$A$20000,"&gt;="&amp;Q$3,'Meta data'!$A$3:$A$20000,"&lt;="&amp;Q$4,'Meta data'!$B$3:$B$20000,$A33),IF($B33="Google Ads",SUMIFS('Google data'!$I$3:$I$20000,'Google data'!$A$3:$A$20000,"&gt;="&amp;Q$3,'Google data'!$A$3:$A$20000,"&lt;="&amp;Q$4,'Google data'!$B$3:$B$20000,$A33),IF($B33="ChatGPT Ads",SUMIFS('ChatGPT data'!$I$3:$I$20000,'ChatGPT data'!$A$3:$A$20000,"&gt;="&amp;Q$3,'ChatGPT data'!$A$3:$A$20000,"&lt;="&amp;Q$4,'ChatGPT data'!$B$3:$B$20000,$A33),IF($B33="LinkedIn Ads",SUMIFS('LinkedIn data'!$I$3:$I$20000,'LinkedIn data'!$A$3:$A$20000,"&gt;="&amp;Q$3,'LinkedIn data'!$A$3:$A$20000,"&lt;="&amp;Q$4,'LinkedIn data'!$B$3:$B$20000,$A33),0)))))</f>
        <v>0</v>
      </c>
      <c r="R33" s="15" t="n">
        <f aca="false">IF($A33="","",SUM(F33:Q33))</f>
        <v>4398.272447</v>
      </c>
      <c r="S33" s="37" t="n">
        <f aca="false">IF($A33="","",IF($B33="Meta",SUMIFS('Meta data'!$E$3:$E$20000,'Meta data'!$B$3:$B$20000,$A33),IF($B33="Google Ads",SUMIFS('Google data'!$E$3:$E$20000,'Google data'!$B$3:$B$20000,$A33),IF($B33="ChatGPT Ads",SUMIFS('ChatGPT data'!$E$3:$E$20000,'ChatGPT data'!$B$3:$B$20000,$A33),IF($B33="LinkedIn Ads",SUMIFS('LinkedIn data'!$E$3:$E$20000,'LinkedIn data'!$B$3:$B$20000,$A33),0)))))</f>
        <v>2969</v>
      </c>
      <c r="T33" s="37" t="n">
        <f aca="false">IF($A33="","",IF($B33="Meta",SUMIFS('Meta data'!$F$3:$F$20000,'Meta data'!$B$3:$B$20000,$A33),IF($B33="Google Ads",SUMIFS('Google data'!$F$3:$F$20000,'Google data'!$B$3:$B$20000,$A33),IF($B33="ChatGPT Ads",SUMIFS('ChatGPT data'!$F$3:$F$20000,'ChatGPT data'!$B$3:$B$20000,$A33),IF($B33="LinkedIn Ads",SUMIFS('LinkedIn data'!$F$3:$F$20000,'LinkedIn data'!$B$3:$B$20000,$A33),0)))))</f>
        <v>86.57</v>
      </c>
      <c r="U33" s="38" t="n">
        <f aca="false">IF(OR($A33="",T33=0),"",R33/T33)</f>
        <v>50.8059656578491</v>
      </c>
    </row>
    <row r="34" customFormat="false" ht="15" hidden="false" customHeight="false" outlineLevel="0" collapsed="false">
      <c r="A34" s="58" t="s">
        <v>193</v>
      </c>
      <c r="B34" s="58" t="s">
        <v>20</v>
      </c>
      <c r="C34" s="58" t="s">
        <v>142</v>
      </c>
      <c r="D34" s="58" t="s">
        <v>124</v>
      </c>
      <c r="E34" s="58" t="s">
        <v>150</v>
      </c>
      <c r="F34" s="14" t="n">
        <f aca="false">IF($A34="","",IF($B34="Meta",SUMIFS('Meta data'!$I$3:$I$20000,'Meta data'!$A$3:$A$20000,"&gt;="&amp;F$3,'Meta data'!$A$3:$A$20000,"&lt;="&amp;F$4,'Meta data'!$B$3:$B$20000,$A34),IF($B34="Google Ads",SUMIFS('Google data'!$I$3:$I$20000,'Google data'!$A$3:$A$20000,"&gt;="&amp;F$3,'Google data'!$A$3:$A$20000,"&lt;="&amp;F$4,'Google data'!$B$3:$B$20000,$A34),IF($B34="ChatGPT Ads",SUMIFS('ChatGPT data'!$I$3:$I$20000,'ChatGPT data'!$A$3:$A$20000,"&gt;="&amp;F$3,'ChatGPT data'!$A$3:$A$20000,"&lt;="&amp;F$4,'ChatGPT data'!$B$3:$B$20000,$A34),IF($B34="LinkedIn Ads",SUMIFS('LinkedIn data'!$I$3:$I$20000,'LinkedIn data'!$A$3:$A$20000,"&gt;="&amp;F$3,'LinkedIn data'!$A$3:$A$20000,"&lt;="&amp;F$4,'LinkedIn data'!$B$3:$B$20000,$A34),0)))))</f>
        <v>437.255417</v>
      </c>
      <c r="G34" s="14" t="n">
        <f aca="false">IF($A34="","",IF($B34="Meta",SUMIFS('Meta data'!$I$3:$I$20000,'Meta data'!$A$3:$A$20000,"&gt;="&amp;G$3,'Meta data'!$A$3:$A$20000,"&lt;="&amp;G$4,'Meta data'!$B$3:$B$20000,$A34),IF($B34="Google Ads",SUMIFS('Google data'!$I$3:$I$20000,'Google data'!$A$3:$A$20000,"&gt;="&amp;G$3,'Google data'!$A$3:$A$20000,"&lt;="&amp;G$4,'Google data'!$B$3:$B$20000,$A34),IF($B34="ChatGPT Ads",SUMIFS('ChatGPT data'!$I$3:$I$20000,'ChatGPT data'!$A$3:$A$20000,"&gt;="&amp;G$3,'ChatGPT data'!$A$3:$A$20000,"&lt;="&amp;G$4,'ChatGPT data'!$B$3:$B$20000,$A34),IF($B34="LinkedIn Ads",SUMIFS('LinkedIn data'!$I$3:$I$20000,'LinkedIn data'!$A$3:$A$20000,"&gt;="&amp;G$3,'LinkedIn data'!$A$3:$A$20000,"&lt;="&amp;G$4,'LinkedIn data'!$B$3:$B$20000,$A34),0)))))</f>
        <v>850.100266</v>
      </c>
      <c r="H34" s="14" t="n">
        <f aca="false">IF($A34="","",IF($B34="Meta",SUMIFS('Meta data'!$I$3:$I$20000,'Meta data'!$A$3:$A$20000,"&gt;="&amp;H$3,'Meta data'!$A$3:$A$20000,"&lt;="&amp;H$4,'Meta data'!$B$3:$B$20000,$A34),IF($B34="Google Ads",SUMIFS('Google data'!$I$3:$I$20000,'Google data'!$A$3:$A$20000,"&gt;="&amp;H$3,'Google data'!$A$3:$A$20000,"&lt;="&amp;H$4,'Google data'!$B$3:$B$20000,$A34),IF($B34="ChatGPT Ads",SUMIFS('ChatGPT data'!$I$3:$I$20000,'ChatGPT data'!$A$3:$A$20000,"&gt;="&amp;H$3,'ChatGPT data'!$A$3:$A$20000,"&lt;="&amp;H$4,'ChatGPT data'!$B$3:$B$20000,$A34),IF($B34="LinkedIn Ads",SUMIFS('LinkedIn data'!$I$3:$I$20000,'LinkedIn data'!$A$3:$A$20000,"&gt;="&amp;H$3,'LinkedIn data'!$A$3:$A$20000,"&lt;="&amp;H$4,'LinkedIn data'!$B$3:$B$20000,$A34),0)))))</f>
        <v>887.464977</v>
      </c>
      <c r="I34" s="14" t="n">
        <f aca="false">IF($A34="","",IF($B34="Meta",SUMIFS('Meta data'!$I$3:$I$20000,'Meta data'!$A$3:$A$20000,"&gt;="&amp;I$3,'Meta data'!$A$3:$A$20000,"&lt;="&amp;I$4,'Meta data'!$B$3:$B$20000,$A34),IF($B34="Google Ads",SUMIFS('Google data'!$I$3:$I$20000,'Google data'!$A$3:$A$20000,"&gt;="&amp;I$3,'Google data'!$A$3:$A$20000,"&lt;="&amp;I$4,'Google data'!$B$3:$B$20000,$A34),IF($B34="ChatGPT Ads",SUMIFS('ChatGPT data'!$I$3:$I$20000,'ChatGPT data'!$A$3:$A$20000,"&gt;="&amp;I$3,'ChatGPT data'!$A$3:$A$20000,"&lt;="&amp;I$4,'ChatGPT data'!$B$3:$B$20000,$A34),IF($B34="LinkedIn Ads",SUMIFS('LinkedIn data'!$I$3:$I$20000,'LinkedIn data'!$A$3:$A$20000,"&gt;="&amp;I$3,'LinkedIn data'!$A$3:$A$20000,"&lt;="&amp;I$4,'LinkedIn data'!$B$3:$B$20000,$A34),0)))))</f>
        <v>886.861419</v>
      </c>
      <c r="J34" s="14" t="n">
        <f aca="false">IF($A34="","",IF($B34="Meta",SUMIFS('Meta data'!$I$3:$I$20000,'Meta data'!$A$3:$A$20000,"&gt;="&amp;J$3,'Meta data'!$A$3:$A$20000,"&lt;="&amp;J$4,'Meta data'!$B$3:$B$20000,$A34),IF($B34="Google Ads",SUMIFS('Google data'!$I$3:$I$20000,'Google data'!$A$3:$A$20000,"&gt;="&amp;J$3,'Google data'!$A$3:$A$20000,"&lt;="&amp;J$4,'Google data'!$B$3:$B$20000,$A34),IF($B34="ChatGPT Ads",SUMIFS('ChatGPT data'!$I$3:$I$20000,'ChatGPT data'!$A$3:$A$20000,"&gt;="&amp;J$3,'ChatGPT data'!$A$3:$A$20000,"&lt;="&amp;J$4,'ChatGPT data'!$B$3:$B$20000,$A34),IF($B34="LinkedIn Ads",SUMIFS('LinkedIn data'!$I$3:$I$20000,'LinkedIn data'!$A$3:$A$20000,"&gt;="&amp;J$3,'LinkedIn data'!$A$3:$A$20000,"&lt;="&amp;J$4,'LinkedIn data'!$B$3:$B$20000,$A34),0)))))</f>
        <v>826.047362</v>
      </c>
      <c r="K34" s="14" t="n">
        <f aca="false">IF($A34="","",IF($B34="Meta",SUMIFS('Meta data'!$I$3:$I$20000,'Meta data'!$A$3:$A$20000,"&gt;="&amp;K$3,'Meta data'!$A$3:$A$20000,"&lt;="&amp;K$4,'Meta data'!$B$3:$B$20000,$A34),IF($B34="Google Ads",SUMIFS('Google data'!$I$3:$I$20000,'Google data'!$A$3:$A$20000,"&gt;="&amp;K$3,'Google data'!$A$3:$A$20000,"&lt;="&amp;K$4,'Google data'!$B$3:$B$20000,$A34),IF($B34="ChatGPT Ads",SUMIFS('ChatGPT data'!$I$3:$I$20000,'ChatGPT data'!$A$3:$A$20000,"&gt;="&amp;K$3,'ChatGPT data'!$A$3:$A$20000,"&lt;="&amp;K$4,'ChatGPT data'!$B$3:$B$20000,$A34),IF($B34="LinkedIn Ads",SUMIFS('LinkedIn data'!$I$3:$I$20000,'LinkedIn data'!$A$3:$A$20000,"&gt;="&amp;K$3,'LinkedIn data'!$A$3:$A$20000,"&lt;="&amp;K$4,'LinkedIn data'!$B$3:$B$20000,$A34),0)))))</f>
        <v>0</v>
      </c>
      <c r="L34" s="14" t="n">
        <f aca="false">IF($A34="","",IF($B34="Meta",SUMIFS('Meta data'!$I$3:$I$20000,'Meta data'!$A$3:$A$20000,"&gt;="&amp;L$3,'Meta data'!$A$3:$A$20000,"&lt;="&amp;L$4,'Meta data'!$B$3:$B$20000,$A34),IF($B34="Google Ads",SUMIFS('Google data'!$I$3:$I$20000,'Google data'!$A$3:$A$20000,"&gt;="&amp;L$3,'Google data'!$A$3:$A$20000,"&lt;="&amp;L$4,'Google data'!$B$3:$B$20000,$A34),IF($B34="ChatGPT Ads",SUMIFS('ChatGPT data'!$I$3:$I$20000,'ChatGPT data'!$A$3:$A$20000,"&gt;="&amp;L$3,'ChatGPT data'!$A$3:$A$20000,"&lt;="&amp;L$4,'ChatGPT data'!$B$3:$B$20000,$A34),IF($B34="LinkedIn Ads",SUMIFS('LinkedIn data'!$I$3:$I$20000,'LinkedIn data'!$A$3:$A$20000,"&gt;="&amp;L$3,'LinkedIn data'!$A$3:$A$20000,"&lt;="&amp;L$4,'LinkedIn data'!$B$3:$B$20000,$A34),0)))))</f>
        <v>0</v>
      </c>
      <c r="M34" s="14" t="n">
        <f aca="false">IF($A34="","",IF($B34="Meta",SUMIFS('Meta data'!$I$3:$I$20000,'Meta data'!$A$3:$A$20000,"&gt;="&amp;M$3,'Meta data'!$A$3:$A$20000,"&lt;="&amp;M$4,'Meta data'!$B$3:$B$20000,$A34),IF($B34="Google Ads",SUMIFS('Google data'!$I$3:$I$20000,'Google data'!$A$3:$A$20000,"&gt;="&amp;M$3,'Google data'!$A$3:$A$20000,"&lt;="&amp;M$4,'Google data'!$B$3:$B$20000,$A34),IF($B34="ChatGPT Ads",SUMIFS('ChatGPT data'!$I$3:$I$20000,'ChatGPT data'!$A$3:$A$20000,"&gt;="&amp;M$3,'ChatGPT data'!$A$3:$A$20000,"&lt;="&amp;M$4,'ChatGPT data'!$B$3:$B$20000,$A34),IF($B34="LinkedIn Ads",SUMIFS('LinkedIn data'!$I$3:$I$20000,'LinkedIn data'!$A$3:$A$20000,"&gt;="&amp;M$3,'LinkedIn data'!$A$3:$A$20000,"&lt;="&amp;M$4,'LinkedIn data'!$B$3:$B$20000,$A34),0)))))</f>
        <v>0</v>
      </c>
      <c r="N34" s="14" t="n">
        <f aca="false">IF($A34="","",IF($B34="Meta",SUMIFS('Meta data'!$I$3:$I$20000,'Meta data'!$A$3:$A$20000,"&gt;="&amp;N$3,'Meta data'!$A$3:$A$20000,"&lt;="&amp;N$4,'Meta data'!$B$3:$B$20000,$A34),IF($B34="Google Ads",SUMIFS('Google data'!$I$3:$I$20000,'Google data'!$A$3:$A$20000,"&gt;="&amp;N$3,'Google data'!$A$3:$A$20000,"&lt;="&amp;N$4,'Google data'!$B$3:$B$20000,$A34),IF($B34="ChatGPT Ads",SUMIFS('ChatGPT data'!$I$3:$I$20000,'ChatGPT data'!$A$3:$A$20000,"&gt;="&amp;N$3,'ChatGPT data'!$A$3:$A$20000,"&lt;="&amp;N$4,'ChatGPT data'!$B$3:$B$20000,$A34),IF($B34="LinkedIn Ads",SUMIFS('LinkedIn data'!$I$3:$I$20000,'LinkedIn data'!$A$3:$A$20000,"&gt;="&amp;N$3,'LinkedIn data'!$A$3:$A$20000,"&lt;="&amp;N$4,'LinkedIn data'!$B$3:$B$20000,$A34),0)))))</f>
        <v>0</v>
      </c>
      <c r="O34" s="14" t="n">
        <f aca="false">IF($A34="","",IF($B34="Meta",SUMIFS('Meta data'!$I$3:$I$20000,'Meta data'!$A$3:$A$20000,"&gt;="&amp;O$3,'Meta data'!$A$3:$A$20000,"&lt;="&amp;O$4,'Meta data'!$B$3:$B$20000,$A34),IF($B34="Google Ads",SUMIFS('Google data'!$I$3:$I$20000,'Google data'!$A$3:$A$20000,"&gt;="&amp;O$3,'Google data'!$A$3:$A$20000,"&lt;="&amp;O$4,'Google data'!$B$3:$B$20000,$A34),IF($B34="ChatGPT Ads",SUMIFS('ChatGPT data'!$I$3:$I$20000,'ChatGPT data'!$A$3:$A$20000,"&gt;="&amp;O$3,'ChatGPT data'!$A$3:$A$20000,"&lt;="&amp;O$4,'ChatGPT data'!$B$3:$B$20000,$A34),IF($B34="LinkedIn Ads",SUMIFS('LinkedIn data'!$I$3:$I$20000,'LinkedIn data'!$A$3:$A$20000,"&gt;="&amp;O$3,'LinkedIn data'!$A$3:$A$20000,"&lt;="&amp;O$4,'LinkedIn data'!$B$3:$B$20000,$A34),0)))))</f>
        <v>0</v>
      </c>
      <c r="P34" s="14" t="n">
        <f aca="false">IF($A34="","",IF($B34="Meta",SUMIFS('Meta data'!$I$3:$I$20000,'Meta data'!$A$3:$A$20000,"&gt;="&amp;P$3,'Meta data'!$A$3:$A$20000,"&lt;="&amp;P$4,'Meta data'!$B$3:$B$20000,$A34),IF($B34="Google Ads",SUMIFS('Google data'!$I$3:$I$20000,'Google data'!$A$3:$A$20000,"&gt;="&amp;P$3,'Google data'!$A$3:$A$20000,"&lt;="&amp;P$4,'Google data'!$B$3:$B$20000,$A34),IF($B34="ChatGPT Ads",SUMIFS('ChatGPT data'!$I$3:$I$20000,'ChatGPT data'!$A$3:$A$20000,"&gt;="&amp;P$3,'ChatGPT data'!$A$3:$A$20000,"&lt;="&amp;P$4,'ChatGPT data'!$B$3:$B$20000,$A34),IF($B34="LinkedIn Ads",SUMIFS('LinkedIn data'!$I$3:$I$20000,'LinkedIn data'!$A$3:$A$20000,"&gt;="&amp;P$3,'LinkedIn data'!$A$3:$A$20000,"&lt;="&amp;P$4,'LinkedIn data'!$B$3:$B$20000,$A34),0)))))</f>
        <v>0</v>
      </c>
      <c r="Q34" s="14" t="n">
        <f aca="false">IF($A34="","",IF($B34="Meta",SUMIFS('Meta data'!$I$3:$I$20000,'Meta data'!$A$3:$A$20000,"&gt;="&amp;Q$3,'Meta data'!$A$3:$A$20000,"&lt;="&amp;Q$4,'Meta data'!$B$3:$B$20000,$A34),IF($B34="Google Ads",SUMIFS('Google data'!$I$3:$I$20000,'Google data'!$A$3:$A$20000,"&gt;="&amp;Q$3,'Google data'!$A$3:$A$20000,"&lt;="&amp;Q$4,'Google data'!$B$3:$B$20000,$A34),IF($B34="ChatGPT Ads",SUMIFS('ChatGPT data'!$I$3:$I$20000,'ChatGPT data'!$A$3:$A$20000,"&gt;="&amp;Q$3,'ChatGPT data'!$A$3:$A$20000,"&lt;="&amp;Q$4,'ChatGPT data'!$B$3:$B$20000,$A34),IF($B34="LinkedIn Ads",SUMIFS('LinkedIn data'!$I$3:$I$20000,'LinkedIn data'!$A$3:$A$20000,"&gt;="&amp;Q$3,'LinkedIn data'!$A$3:$A$20000,"&lt;="&amp;Q$4,'LinkedIn data'!$B$3:$B$20000,$A34),0)))))</f>
        <v>0</v>
      </c>
      <c r="R34" s="15" t="n">
        <f aca="false">IF($A34="","",SUM(F34:Q34))</f>
        <v>3887.729441</v>
      </c>
      <c r="S34" s="37" t="n">
        <f aca="false">IF($A34="","",IF($B34="Meta",SUMIFS('Meta data'!$E$3:$E$20000,'Meta data'!$B$3:$B$20000,$A34),IF($B34="Google Ads",SUMIFS('Google data'!$E$3:$E$20000,'Google data'!$B$3:$B$20000,$A34),IF($B34="ChatGPT Ads",SUMIFS('ChatGPT data'!$E$3:$E$20000,'ChatGPT data'!$B$3:$B$20000,$A34),IF($B34="LinkedIn Ads",SUMIFS('LinkedIn data'!$E$3:$E$20000,'LinkedIn data'!$B$3:$B$20000,$A34),0)))))</f>
        <v>371</v>
      </c>
      <c r="T34" s="37" t="n">
        <f aca="false">IF($A34="","",IF($B34="Meta",SUMIFS('Meta data'!$F$3:$F$20000,'Meta data'!$B$3:$B$20000,$A34),IF($B34="Google Ads",SUMIFS('Google data'!$F$3:$F$20000,'Google data'!$B$3:$B$20000,$A34),IF($B34="ChatGPT Ads",SUMIFS('ChatGPT data'!$F$3:$F$20000,'ChatGPT data'!$B$3:$B$20000,$A34),IF($B34="LinkedIn Ads",SUMIFS('LinkedIn data'!$F$3:$F$20000,'LinkedIn data'!$B$3:$B$20000,$A34),0)))))</f>
        <v>6.33</v>
      </c>
      <c r="U34" s="38" t="n">
        <f aca="false">IF(OR($A34="",T34=0),"",R34/T34)</f>
        <v>614.1752671406</v>
      </c>
    </row>
    <row r="35" customFormat="false" ht="15" hidden="false" customHeight="false" outlineLevel="0" collapsed="false">
      <c r="A35" s="58" t="s">
        <v>194</v>
      </c>
      <c r="B35" s="58" t="s">
        <v>20</v>
      </c>
      <c r="C35" s="58" t="s">
        <v>139</v>
      </c>
      <c r="D35" s="58" t="s">
        <v>124</v>
      </c>
      <c r="E35" s="58" t="s">
        <v>150</v>
      </c>
      <c r="F35" s="14" t="n">
        <f aca="false">IF($A35="","",IF($B35="Meta",SUMIFS('Meta data'!$I$3:$I$20000,'Meta data'!$A$3:$A$20000,"&gt;="&amp;F$3,'Meta data'!$A$3:$A$20000,"&lt;="&amp;F$4,'Meta data'!$B$3:$B$20000,$A35),IF($B35="Google Ads",SUMIFS('Google data'!$I$3:$I$20000,'Google data'!$A$3:$A$20000,"&gt;="&amp;F$3,'Google data'!$A$3:$A$20000,"&lt;="&amp;F$4,'Google data'!$B$3:$B$20000,$A35),IF($B35="ChatGPT Ads",SUMIFS('ChatGPT data'!$I$3:$I$20000,'ChatGPT data'!$A$3:$A$20000,"&gt;="&amp;F$3,'ChatGPT data'!$A$3:$A$20000,"&lt;="&amp;F$4,'ChatGPT data'!$B$3:$B$20000,$A35),IF($B35="LinkedIn Ads",SUMIFS('LinkedIn data'!$I$3:$I$20000,'LinkedIn data'!$A$3:$A$20000,"&gt;="&amp;F$3,'LinkedIn data'!$A$3:$A$20000,"&lt;="&amp;F$4,'LinkedIn data'!$B$3:$B$20000,$A35),0)))))</f>
        <v>483.125825</v>
      </c>
      <c r="G35" s="14" t="n">
        <f aca="false">IF($A35="","",IF($B35="Meta",SUMIFS('Meta data'!$I$3:$I$20000,'Meta data'!$A$3:$A$20000,"&gt;="&amp;G$3,'Meta data'!$A$3:$A$20000,"&lt;="&amp;G$4,'Meta data'!$B$3:$B$20000,$A35),IF($B35="Google Ads",SUMIFS('Google data'!$I$3:$I$20000,'Google data'!$A$3:$A$20000,"&gt;="&amp;G$3,'Google data'!$A$3:$A$20000,"&lt;="&amp;G$4,'Google data'!$B$3:$B$20000,$A35),IF($B35="ChatGPT Ads",SUMIFS('ChatGPT data'!$I$3:$I$20000,'ChatGPT data'!$A$3:$A$20000,"&gt;="&amp;G$3,'ChatGPT data'!$A$3:$A$20000,"&lt;="&amp;G$4,'ChatGPT data'!$B$3:$B$20000,$A35),IF($B35="LinkedIn Ads",SUMIFS('LinkedIn data'!$I$3:$I$20000,'LinkedIn data'!$A$3:$A$20000,"&gt;="&amp;G$3,'LinkedIn data'!$A$3:$A$20000,"&lt;="&amp;G$4,'LinkedIn data'!$B$3:$B$20000,$A35),0)))))</f>
        <v>820.347092</v>
      </c>
      <c r="H35" s="14" t="n">
        <f aca="false">IF($A35="","",IF($B35="Meta",SUMIFS('Meta data'!$I$3:$I$20000,'Meta data'!$A$3:$A$20000,"&gt;="&amp;H$3,'Meta data'!$A$3:$A$20000,"&lt;="&amp;H$4,'Meta data'!$B$3:$B$20000,$A35),IF($B35="Google Ads",SUMIFS('Google data'!$I$3:$I$20000,'Google data'!$A$3:$A$20000,"&gt;="&amp;H$3,'Google data'!$A$3:$A$20000,"&lt;="&amp;H$4,'Google data'!$B$3:$B$20000,$A35),IF($B35="ChatGPT Ads",SUMIFS('ChatGPT data'!$I$3:$I$20000,'ChatGPT data'!$A$3:$A$20000,"&gt;="&amp;H$3,'ChatGPT data'!$A$3:$A$20000,"&lt;="&amp;H$4,'ChatGPT data'!$B$3:$B$20000,$A35),IF($B35="LinkedIn Ads",SUMIFS('LinkedIn data'!$I$3:$I$20000,'LinkedIn data'!$A$3:$A$20000,"&gt;="&amp;H$3,'LinkedIn data'!$A$3:$A$20000,"&lt;="&amp;H$4,'LinkedIn data'!$B$3:$B$20000,$A35),0)))))</f>
        <v>698.372491</v>
      </c>
      <c r="I35" s="14" t="n">
        <f aca="false">IF($A35="","",IF($B35="Meta",SUMIFS('Meta data'!$I$3:$I$20000,'Meta data'!$A$3:$A$20000,"&gt;="&amp;I$3,'Meta data'!$A$3:$A$20000,"&lt;="&amp;I$4,'Meta data'!$B$3:$B$20000,$A35),IF($B35="Google Ads",SUMIFS('Google data'!$I$3:$I$20000,'Google data'!$A$3:$A$20000,"&gt;="&amp;I$3,'Google data'!$A$3:$A$20000,"&lt;="&amp;I$4,'Google data'!$B$3:$B$20000,$A35),IF($B35="ChatGPT Ads",SUMIFS('ChatGPT data'!$I$3:$I$20000,'ChatGPT data'!$A$3:$A$20000,"&gt;="&amp;I$3,'ChatGPT data'!$A$3:$A$20000,"&lt;="&amp;I$4,'ChatGPT data'!$B$3:$B$20000,$A35),IF($B35="LinkedIn Ads",SUMIFS('LinkedIn data'!$I$3:$I$20000,'LinkedIn data'!$A$3:$A$20000,"&gt;="&amp;I$3,'LinkedIn data'!$A$3:$A$20000,"&lt;="&amp;I$4,'LinkedIn data'!$B$3:$B$20000,$A35),0)))))</f>
        <v>871.459513</v>
      </c>
      <c r="J35" s="14" t="n">
        <f aca="false">IF($A35="","",IF($B35="Meta",SUMIFS('Meta data'!$I$3:$I$20000,'Meta data'!$A$3:$A$20000,"&gt;="&amp;J$3,'Meta data'!$A$3:$A$20000,"&lt;="&amp;J$4,'Meta data'!$B$3:$B$20000,$A35),IF($B35="Google Ads",SUMIFS('Google data'!$I$3:$I$20000,'Google data'!$A$3:$A$20000,"&gt;="&amp;J$3,'Google data'!$A$3:$A$20000,"&lt;="&amp;J$4,'Google data'!$B$3:$B$20000,$A35),IF($B35="ChatGPT Ads",SUMIFS('ChatGPT data'!$I$3:$I$20000,'ChatGPT data'!$A$3:$A$20000,"&gt;="&amp;J$3,'ChatGPT data'!$A$3:$A$20000,"&lt;="&amp;J$4,'ChatGPT data'!$B$3:$B$20000,$A35),IF($B35="LinkedIn Ads",SUMIFS('LinkedIn data'!$I$3:$I$20000,'LinkedIn data'!$A$3:$A$20000,"&gt;="&amp;J$3,'LinkedIn data'!$A$3:$A$20000,"&lt;="&amp;J$4,'LinkedIn data'!$B$3:$B$20000,$A35),0)))))</f>
        <v>708.554738</v>
      </c>
      <c r="K35" s="14" t="n">
        <f aca="false">IF($A35="","",IF($B35="Meta",SUMIFS('Meta data'!$I$3:$I$20000,'Meta data'!$A$3:$A$20000,"&gt;="&amp;K$3,'Meta data'!$A$3:$A$20000,"&lt;="&amp;K$4,'Meta data'!$B$3:$B$20000,$A35),IF($B35="Google Ads",SUMIFS('Google data'!$I$3:$I$20000,'Google data'!$A$3:$A$20000,"&gt;="&amp;K$3,'Google data'!$A$3:$A$20000,"&lt;="&amp;K$4,'Google data'!$B$3:$B$20000,$A35),IF($B35="ChatGPT Ads",SUMIFS('ChatGPT data'!$I$3:$I$20000,'ChatGPT data'!$A$3:$A$20000,"&gt;="&amp;K$3,'ChatGPT data'!$A$3:$A$20000,"&lt;="&amp;K$4,'ChatGPT data'!$B$3:$B$20000,$A35),IF($B35="LinkedIn Ads",SUMIFS('LinkedIn data'!$I$3:$I$20000,'LinkedIn data'!$A$3:$A$20000,"&gt;="&amp;K$3,'LinkedIn data'!$A$3:$A$20000,"&lt;="&amp;K$4,'LinkedIn data'!$B$3:$B$20000,$A35),0)))))</f>
        <v>0</v>
      </c>
      <c r="L35" s="14" t="n">
        <f aca="false">IF($A35="","",IF($B35="Meta",SUMIFS('Meta data'!$I$3:$I$20000,'Meta data'!$A$3:$A$20000,"&gt;="&amp;L$3,'Meta data'!$A$3:$A$20000,"&lt;="&amp;L$4,'Meta data'!$B$3:$B$20000,$A35),IF($B35="Google Ads",SUMIFS('Google data'!$I$3:$I$20000,'Google data'!$A$3:$A$20000,"&gt;="&amp;L$3,'Google data'!$A$3:$A$20000,"&lt;="&amp;L$4,'Google data'!$B$3:$B$20000,$A35),IF($B35="ChatGPT Ads",SUMIFS('ChatGPT data'!$I$3:$I$20000,'ChatGPT data'!$A$3:$A$20000,"&gt;="&amp;L$3,'ChatGPT data'!$A$3:$A$20000,"&lt;="&amp;L$4,'ChatGPT data'!$B$3:$B$20000,$A35),IF($B35="LinkedIn Ads",SUMIFS('LinkedIn data'!$I$3:$I$20000,'LinkedIn data'!$A$3:$A$20000,"&gt;="&amp;L$3,'LinkedIn data'!$A$3:$A$20000,"&lt;="&amp;L$4,'LinkedIn data'!$B$3:$B$20000,$A35),0)))))</f>
        <v>0</v>
      </c>
      <c r="M35" s="14" t="n">
        <f aca="false">IF($A35="","",IF($B35="Meta",SUMIFS('Meta data'!$I$3:$I$20000,'Meta data'!$A$3:$A$20000,"&gt;="&amp;M$3,'Meta data'!$A$3:$A$20000,"&lt;="&amp;M$4,'Meta data'!$B$3:$B$20000,$A35),IF($B35="Google Ads",SUMIFS('Google data'!$I$3:$I$20000,'Google data'!$A$3:$A$20000,"&gt;="&amp;M$3,'Google data'!$A$3:$A$20000,"&lt;="&amp;M$4,'Google data'!$B$3:$B$20000,$A35),IF($B35="ChatGPT Ads",SUMIFS('ChatGPT data'!$I$3:$I$20000,'ChatGPT data'!$A$3:$A$20000,"&gt;="&amp;M$3,'ChatGPT data'!$A$3:$A$20000,"&lt;="&amp;M$4,'ChatGPT data'!$B$3:$B$20000,$A35),IF($B35="LinkedIn Ads",SUMIFS('LinkedIn data'!$I$3:$I$20000,'LinkedIn data'!$A$3:$A$20000,"&gt;="&amp;M$3,'LinkedIn data'!$A$3:$A$20000,"&lt;="&amp;M$4,'LinkedIn data'!$B$3:$B$20000,$A35),0)))))</f>
        <v>0</v>
      </c>
      <c r="N35" s="14" t="n">
        <f aca="false">IF($A35="","",IF($B35="Meta",SUMIFS('Meta data'!$I$3:$I$20000,'Meta data'!$A$3:$A$20000,"&gt;="&amp;N$3,'Meta data'!$A$3:$A$20000,"&lt;="&amp;N$4,'Meta data'!$B$3:$B$20000,$A35),IF($B35="Google Ads",SUMIFS('Google data'!$I$3:$I$20000,'Google data'!$A$3:$A$20000,"&gt;="&amp;N$3,'Google data'!$A$3:$A$20000,"&lt;="&amp;N$4,'Google data'!$B$3:$B$20000,$A35),IF($B35="ChatGPT Ads",SUMIFS('ChatGPT data'!$I$3:$I$20000,'ChatGPT data'!$A$3:$A$20000,"&gt;="&amp;N$3,'ChatGPT data'!$A$3:$A$20000,"&lt;="&amp;N$4,'ChatGPT data'!$B$3:$B$20000,$A35),IF($B35="LinkedIn Ads",SUMIFS('LinkedIn data'!$I$3:$I$20000,'LinkedIn data'!$A$3:$A$20000,"&gt;="&amp;N$3,'LinkedIn data'!$A$3:$A$20000,"&lt;="&amp;N$4,'LinkedIn data'!$B$3:$B$20000,$A35),0)))))</f>
        <v>0</v>
      </c>
      <c r="O35" s="14" t="n">
        <f aca="false">IF($A35="","",IF($B35="Meta",SUMIFS('Meta data'!$I$3:$I$20000,'Meta data'!$A$3:$A$20000,"&gt;="&amp;O$3,'Meta data'!$A$3:$A$20000,"&lt;="&amp;O$4,'Meta data'!$B$3:$B$20000,$A35),IF($B35="Google Ads",SUMIFS('Google data'!$I$3:$I$20000,'Google data'!$A$3:$A$20000,"&gt;="&amp;O$3,'Google data'!$A$3:$A$20000,"&lt;="&amp;O$4,'Google data'!$B$3:$B$20000,$A35),IF($B35="ChatGPT Ads",SUMIFS('ChatGPT data'!$I$3:$I$20000,'ChatGPT data'!$A$3:$A$20000,"&gt;="&amp;O$3,'ChatGPT data'!$A$3:$A$20000,"&lt;="&amp;O$4,'ChatGPT data'!$B$3:$B$20000,$A35),IF($B35="LinkedIn Ads",SUMIFS('LinkedIn data'!$I$3:$I$20000,'LinkedIn data'!$A$3:$A$20000,"&gt;="&amp;O$3,'LinkedIn data'!$A$3:$A$20000,"&lt;="&amp;O$4,'LinkedIn data'!$B$3:$B$20000,$A35),0)))))</f>
        <v>0</v>
      </c>
      <c r="P35" s="14" t="n">
        <f aca="false">IF($A35="","",IF($B35="Meta",SUMIFS('Meta data'!$I$3:$I$20000,'Meta data'!$A$3:$A$20000,"&gt;="&amp;P$3,'Meta data'!$A$3:$A$20000,"&lt;="&amp;P$4,'Meta data'!$B$3:$B$20000,$A35),IF($B35="Google Ads",SUMIFS('Google data'!$I$3:$I$20000,'Google data'!$A$3:$A$20000,"&gt;="&amp;P$3,'Google data'!$A$3:$A$20000,"&lt;="&amp;P$4,'Google data'!$B$3:$B$20000,$A35),IF($B35="ChatGPT Ads",SUMIFS('ChatGPT data'!$I$3:$I$20000,'ChatGPT data'!$A$3:$A$20000,"&gt;="&amp;P$3,'ChatGPT data'!$A$3:$A$20000,"&lt;="&amp;P$4,'ChatGPT data'!$B$3:$B$20000,$A35),IF($B35="LinkedIn Ads",SUMIFS('LinkedIn data'!$I$3:$I$20000,'LinkedIn data'!$A$3:$A$20000,"&gt;="&amp;P$3,'LinkedIn data'!$A$3:$A$20000,"&lt;="&amp;P$4,'LinkedIn data'!$B$3:$B$20000,$A35),0)))))</f>
        <v>0</v>
      </c>
      <c r="Q35" s="14" t="n">
        <f aca="false">IF($A35="","",IF($B35="Meta",SUMIFS('Meta data'!$I$3:$I$20000,'Meta data'!$A$3:$A$20000,"&gt;="&amp;Q$3,'Meta data'!$A$3:$A$20000,"&lt;="&amp;Q$4,'Meta data'!$B$3:$B$20000,$A35),IF($B35="Google Ads",SUMIFS('Google data'!$I$3:$I$20000,'Google data'!$A$3:$A$20000,"&gt;="&amp;Q$3,'Google data'!$A$3:$A$20000,"&lt;="&amp;Q$4,'Google data'!$B$3:$B$20000,$A35),IF($B35="ChatGPT Ads",SUMIFS('ChatGPT data'!$I$3:$I$20000,'ChatGPT data'!$A$3:$A$20000,"&gt;="&amp;Q$3,'ChatGPT data'!$A$3:$A$20000,"&lt;="&amp;Q$4,'ChatGPT data'!$B$3:$B$20000,$A35),IF($B35="LinkedIn Ads",SUMIFS('LinkedIn data'!$I$3:$I$20000,'LinkedIn data'!$A$3:$A$20000,"&gt;="&amp;Q$3,'LinkedIn data'!$A$3:$A$20000,"&lt;="&amp;Q$4,'LinkedIn data'!$B$3:$B$20000,$A35),0)))))</f>
        <v>0</v>
      </c>
      <c r="R35" s="15" t="n">
        <f aca="false">IF($A35="","",SUM(F35:Q35))</f>
        <v>3581.859659</v>
      </c>
      <c r="S35" s="37" t="n">
        <f aca="false">IF($A35="","",IF($B35="Meta",SUMIFS('Meta data'!$E$3:$E$20000,'Meta data'!$B$3:$B$20000,$A35),IF($B35="Google Ads",SUMIFS('Google data'!$E$3:$E$20000,'Google data'!$B$3:$B$20000,$A35),IF($B35="ChatGPT Ads",SUMIFS('ChatGPT data'!$E$3:$E$20000,'ChatGPT data'!$B$3:$B$20000,$A35),IF($B35="LinkedIn Ads",SUMIFS('LinkedIn data'!$E$3:$E$20000,'LinkedIn data'!$B$3:$B$20000,$A35),0)))))</f>
        <v>210</v>
      </c>
      <c r="T35" s="37" t="n">
        <f aca="false">IF($A35="","",IF($B35="Meta",SUMIFS('Meta data'!$F$3:$F$20000,'Meta data'!$B$3:$B$20000,$A35),IF($B35="Google Ads",SUMIFS('Google data'!$F$3:$F$20000,'Google data'!$B$3:$B$20000,$A35),IF($B35="ChatGPT Ads",SUMIFS('ChatGPT data'!$F$3:$F$20000,'ChatGPT data'!$B$3:$B$20000,$A35),IF($B35="LinkedIn Ads",SUMIFS('LinkedIn data'!$F$3:$F$20000,'LinkedIn data'!$B$3:$B$20000,$A35),0)))))</f>
        <v>11.13</v>
      </c>
      <c r="U35" s="38" t="n">
        <f aca="false">IF(OR($A35="",T35=0),"",R35/T35)</f>
        <v>321.820274842767</v>
      </c>
    </row>
    <row r="36" customFormat="false" ht="15" hidden="false" customHeight="false" outlineLevel="0" collapsed="false">
      <c r="A36" s="58" t="s">
        <v>195</v>
      </c>
      <c r="B36" s="58" t="s">
        <v>20</v>
      </c>
      <c r="C36" s="58" t="s">
        <v>132</v>
      </c>
      <c r="D36" s="58" t="s">
        <v>124</v>
      </c>
      <c r="E36" s="58" t="s">
        <v>153</v>
      </c>
      <c r="F36" s="14" t="n">
        <f aca="false">IF($A36="","",IF($B36="Meta",SUMIFS('Meta data'!$I$3:$I$20000,'Meta data'!$A$3:$A$20000,"&gt;="&amp;F$3,'Meta data'!$A$3:$A$20000,"&lt;="&amp;F$4,'Meta data'!$B$3:$B$20000,$A36),IF($B36="Google Ads",SUMIFS('Google data'!$I$3:$I$20000,'Google data'!$A$3:$A$20000,"&gt;="&amp;F$3,'Google data'!$A$3:$A$20000,"&lt;="&amp;F$4,'Google data'!$B$3:$B$20000,$A36),IF($B36="ChatGPT Ads",SUMIFS('ChatGPT data'!$I$3:$I$20000,'ChatGPT data'!$A$3:$A$20000,"&gt;="&amp;F$3,'ChatGPT data'!$A$3:$A$20000,"&lt;="&amp;F$4,'ChatGPT data'!$B$3:$B$20000,$A36),IF($B36="LinkedIn Ads",SUMIFS('LinkedIn data'!$I$3:$I$20000,'LinkedIn data'!$A$3:$A$20000,"&gt;="&amp;F$3,'LinkedIn data'!$A$3:$A$20000,"&lt;="&amp;F$4,'LinkedIn data'!$B$3:$B$20000,$A36),0)))))</f>
        <v>0</v>
      </c>
      <c r="G36" s="14" t="n">
        <f aca="false">IF($A36="","",IF($B36="Meta",SUMIFS('Meta data'!$I$3:$I$20000,'Meta data'!$A$3:$A$20000,"&gt;="&amp;G$3,'Meta data'!$A$3:$A$20000,"&lt;="&amp;G$4,'Meta data'!$B$3:$B$20000,$A36),IF($B36="Google Ads",SUMIFS('Google data'!$I$3:$I$20000,'Google data'!$A$3:$A$20000,"&gt;="&amp;G$3,'Google data'!$A$3:$A$20000,"&lt;="&amp;G$4,'Google data'!$B$3:$B$20000,$A36),IF($B36="ChatGPT Ads",SUMIFS('ChatGPT data'!$I$3:$I$20000,'ChatGPT data'!$A$3:$A$20000,"&gt;="&amp;G$3,'ChatGPT data'!$A$3:$A$20000,"&lt;="&amp;G$4,'ChatGPT data'!$B$3:$B$20000,$A36),IF($B36="LinkedIn Ads",SUMIFS('LinkedIn data'!$I$3:$I$20000,'LinkedIn data'!$A$3:$A$20000,"&gt;="&amp;G$3,'LinkedIn data'!$A$3:$A$20000,"&lt;="&amp;G$4,'LinkedIn data'!$B$3:$B$20000,$A36),0)))))</f>
        <v>0</v>
      </c>
      <c r="H36" s="14" t="n">
        <f aca="false">IF($A36="","",IF($B36="Meta",SUMIFS('Meta data'!$I$3:$I$20000,'Meta data'!$A$3:$A$20000,"&gt;="&amp;H$3,'Meta data'!$A$3:$A$20000,"&lt;="&amp;H$4,'Meta data'!$B$3:$B$20000,$A36),IF($B36="Google Ads",SUMIFS('Google data'!$I$3:$I$20000,'Google data'!$A$3:$A$20000,"&gt;="&amp;H$3,'Google data'!$A$3:$A$20000,"&lt;="&amp;H$4,'Google data'!$B$3:$B$20000,$A36),IF($B36="ChatGPT Ads",SUMIFS('ChatGPT data'!$I$3:$I$20000,'ChatGPT data'!$A$3:$A$20000,"&gt;="&amp;H$3,'ChatGPT data'!$A$3:$A$20000,"&lt;="&amp;H$4,'ChatGPT data'!$B$3:$B$20000,$A36),IF($B36="LinkedIn Ads",SUMIFS('LinkedIn data'!$I$3:$I$20000,'LinkedIn data'!$A$3:$A$20000,"&gt;="&amp;H$3,'LinkedIn data'!$A$3:$A$20000,"&lt;="&amp;H$4,'LinkedIn data'!$B$3:$B$20000,$A36),0)))))</f>
        <v>0</v>
      </c>
      <c r="I36" s="14" t="n">
        <f aca="false">IF($A36="","",IF($B36="Meta",SUMIFS('Meta data'!$I$3:$I$20000,'Meta data'!$A$3:$A$20000,"&gt;="&amp;I$3,'Meta data'!$A$3:$A$20000,"&lt;="&amp;I$4,'Meta data'!$B$3:$B$20000,$A36),IF($B36="Google Ads",SUMIFS('Google data'!$I$3:$I$20000,'Google data'!$A$3:$A$20000,"&gt;="&amp;I$3,'Google data'!$A$3:$A$20000,"&lt;="&amp;I$4,'Google data'!$B$3:$B$20000,$A36),IF($B36="ChatGPT Ads",SUMIFS('ChatGPT data'!$I$3:$I$20000,'ChatGPT data'!$A$3:$A$20000,"&gt;="&amp;I$3,'ChatGPT data'!$A$3:$A$20000,"&lt;="&amp;I$4,'ChatGPT data'!$B$3:$B$20000,$A36),IF($B36="LinkedIn Ads",SUMIFS('LinkedIn data'!$I$3:$I$20000,'LinkedIn data'!$A$3:$A$20000,"&gt;="&amp;I$3,'LinkedIn data'!$A$3:$A$20000,"&lt;="&amp;I$4,'LinkedIn data'!$B$3:$B$20000,$A36),0)))))</f>
        <v>0</v>
      </c>
      <c r="J36" s="14" t="n">
        <f aca="false">IF($A36="","",IF($B36="Meta",SUMIFS('Meta data'!$I$3:$I$20000,'Meta data'!$A$3:$A$20000,"&gt;="&amp;J$3,'Meta data'!$A$3:$A$20000,"&lt;="&amp;J$4,'Meta data'!$B$3:$B$20000,$A36),IF($B36="Google Ads",SUMIFS('Google data'!$I$3:$I$20000,'Google data'!$A$3:$A$20000,"&gt;="&amp;J$3,'Google data'!$A$3:$A$20000,"&lt;="&amp;J$4,'Google data'!$B$3:$B$20000,$A36),IF($B36="ChatGPT Ads",SUMIFS('ChatGPT data'!$I$3:$I$20000,'ChatGPT data'!$A$3:$A$20000,"&gt;="&amp;J$3,'ChatGPT data'!$A$3:$A$20000,"&lt;="&amp;J$4,'ChatGPT data'!$B$3:$B$20000,$A36),IF($B36="LinkedIn Ads",SUMIFS('LinkedIn data'!$I$3:$I$20000,'LinkedIn data'!$A$3:$A$20000,"&gt;="&amp;J$3,'LinkedIn data'!$A$3:$A$20000,"&lt;="&amp;J$4,'LinkedIn data'!$B$3:$B$20000,$A36),0)))))</f>
        <v>0</v>
      </c>
      <c r="K36" s="14" t="n">
        <f aca="false">IF($A36="","",IF($B36="Meta",SUMIFS('Meta data'!$I$3:$I$20000,'Meta data'!$A$3:$A$20000,"&gt;="&amp;K$3,'Meta data'!$A$3:$A$20000,"&lt;="&amp;K$4,'Meta data'!$B$3:$B$20000,$A36),IF($B36="Google Ads",SUMIFS('Google data'!$I$3:$I$20000,'Google data'!$A$3:$A$20000,"&gt;="&amp;K$3,'Google data'!$A$3:$A$20000,"&lt;="&amp;K$4,'Google data'!$B$3:$B$20000,$A36),IF($B36="ChatGPT Ads",SUMIFS('ChatGPT data'!$I$3:$I$20000,'ChatGPT data'!$A$3:$A$20000,"&gt;="&amp;K$3,'ChatGPT data'!$A$3:$A$20000,"&lt;="&amp;K$4,'ChatGPT data'!$B$3:$B$20000,$A36),IF($B36="LinkedIn Ads",SUMIFS('LinkedIn data'!$I$3:$I$20000,'LinkedIn data'!$A$3:$A$20000,"&gt;="&amp;K$3,'LinkedIn data'!$A$3:$A$20000,"&lt;="&amp;K$4,'LinkedIn data'!$B$3:$B$20000,$A36),0)))))</f>
        <v>514.689673</v>
      </c>
      <c r="L36" s="14" t="n">
        <f aca="false">IF($A36="","",IF($B36="Meta",SUMIFS('Meta data'!$I$3:$I$20000,'Meta data'!$A$3:$A$20000,"&gt;="&amp;L$3,'Meta data'!$A$3:$A$20000,"&lt;="&amp;L$4,'Meta data'!$B$3:$B$20000,$A36),IF($B36="Google Ads",SUMIFS('Google data'!$I$3:$I$20000,'Google data'!$A$3:$A$20000,"&gt;="&amp;L$3,'Google data'!$A$3:$A$20000,"&lt;="&amp;L$4,'Google data'!$B$3:$B$20000,$A36),IF($B36="ChatGPT Ads",SUMIFS('ChatGPT data'!$I$3:$I$20000,'ChatGPT data'!$A$3:$A$20000,"&gt;="&amp;L$3,'ChatGPT data'!$A$3:$A$20000,"&lt;="&amp;L$4,'ChatGPT data'!$B$3:$B$20000,$A36),IF($B36="LinkedIn Ads",SUMIFS('LinkedIn data'!$I$3:$I$20000,'LinkedIn data'!$A$3:$A$20000,"&gt;="&amp;L$3,'LinkedIn data'!$A$3:$A$20000,"&lt;="&amp;L$4,'LinkedIn data'!$B$3:$B$20000,$A36),0)))))</f>
        <v>674.051339</v>
      </c>
      <c r="M36" s="14" t="n">
        <f aca="false">IF($A36="","",IF($B36="Meta",SUMIFS('Meta data'!$I$3:$I$20000,'Meta data'!$A$3:$A$20000,"&gt;="&amp;M$3,'Meta data'!$A$3:$A$20000,"&lt;="&amp;M$4,'Meta data'!$B$3:$B$20000,$A36),IF($B36="Google Ads",SUMIFS('Google data'!$I$3:$I$20000,'Google data'!$A$3:$A$20000,"&gt;="&amp;M$3,'Google data'!$A$3:$A$20000,"&lt;="&amp;M$4,'Google data'!$B$3:$B$20000,$A36),IF($B36="ChatGPT Ads",SUMIFS('ChatGPT data'!$I$3:$I$20000,'ChatGPT data'!$A$3:$A$20000,"&gt;="&amp;M$3,'ChatGPT data'!$A$3:$A$20000,"&lt;="&amp;M$4,'ChatGPT data'!$B$3:$B$20000,$A36),IF($B36="LinkedIn Ads",SUMIFS('LinkedIn data'!$I$3:$I$20000,'LinkedIn data'!$A$3:$A$20000,"&gt;="&amp;M$3,'LinkedIn data'!$A$3:$A$20000,"&lt;="&amp;M$4,'LinkedIn data'!$B$3:$B$20000,$A36),0)))))</f>
        <v>1182.694255</v>
      </c>
      <c r="N36" s="14" t="n">
        <f aca="false">IF($A36="","",IF($B36="Meta",SUMIFS('Meta data'!$I$3:$I$20000,'Meta data'!$A$3:$A$20000,"&gt;="&amp;N$3,'Meta data'!$A$3:$A$20000,"&lt;="&amp;N$4,'Meta data'!$B$3:$B$20000,$A36),IF($B36="Google Ads",SUMIFS('Google data'!$I$3:$I$20000,'Google data'!$A$3:$A$20000,"&gt;="&amp;N$3,'Google data'!$A$3:$A$20000,"&lt;="&amp;N$4,'Google data'!$B$3:$B$20000,$A36),IF($B36="ChatGPT Ads",SUMIFS('ChatGPT data'!$I$3:$I$20000,'ChatGPT data'!$A$3:$A$20000,"&gt;="&amp;N$3,'ChatGPT data'!$A$3:$A$20000,"&lt;="&amp;N$4,'ChatGPT data'!$B$3:$B$20000,$A36),IF($B36="LinkedIn Ads",SUMIFS('LinkedIn data'!$I$3:$I$20000,'LinkedIn data'!$A$3:$A$20000,"&gt;="&amp;N$3,'LinkedIn data'!$A$3:$A$20000,"&lt;="&amp;N$4,'LinkedIn data'!$B$3:$B$20000,$A36),0)))))</f>
        <v>1046.547218</v>
      </c>
      <c r="O36" s="14" t="n">
        <f aca="false">IF($A36="","",IF($B36="Meta",SUMIFS('Meta data'!$I$3:$I$20000,'Meta data'!$A$3:$A$20000,"&gt;="&amp;O$3,'Meta data'!$A$3:$A$20000,"&lt;="&amp;O$4,'Meta data'!$B$3:$B$20000,$A36),IF($B36="Google Ads",SUMIFS('Google data'!$I$3:$I$20000,'Google data'!$A$3:$A$20000,"&gt;="&amp;O$3,'Google data'!$A$3:$A$20000,"&lt;="&amp;O$4,'Google data'!$B$3:$B$20000,$A36),IF($B36="ChatGPT Ads",SUMIFS('ChatGPT data'!$I$3:$I$20000,'ChatGPT data'!$A$3:$A$20000,"&gt;="&amp;O$3,'ChatGPT data'!$A$3:$A$20000,"&lt;="&amp;O$4,'ChatGPT data'!$B$3:$B$20000,$A36),IF($B36="LinkedIn Ads",SUMIFS('LinkedIn data'!$I$3:$I$20000,'LinkedIn data'!$A$3:$A$20000,"&gt;="&amp;O$3,'LinkedIn data'!$A$3:$A$20000,"&lt;="&amp;O$4,'LinkedIn data'!$B$3:$B$20000,$A36),0)))))</f>
        <v>0</v>
      </c>
      <c r="P36" s="14" t="n">
        <f aca="false">IF($A36="","",IF($B36="Meta",SUMIFS('Meta data'!$I$3:$I$20000,'Meta data'!$A$3:$A$20000,"&gt;="&amp;P$3,'Meta data'!$A$3:$A$20000,"&lt;="&amp;P$4,'Meta data'!$B$3:$B$20000,$A36),IF($B36="Google Ads",SUMIFS('Google data'!$I$3:$I$20000,'Google data'!$A$3:$A$20000,"&gt;="&amp;P$3,'Google data'!$A$3:$A$20000,"&lt;="&amp;P$4,'Google data'!$B$3:$B$20000,$A36),IF($B36="ChatGPT Ads",SUMIFS('ChatGPT data'!$I$3:$I$20000,'ChatGPT data'!$A$3:$A$20000,"&gt;="&amp;P$3,'ChatGPT data'!$A$3:$A$20000,"&lt;="&amp;P$4,'ChatGPT data'!$B$3:$B$20000,$A36),IF($B36="LinkedIn Ads",SUMIFS('LinkedIn data'!$I$3:$I$20000,'LinkedIn data'!$A$3:$A$20000,"&gt;="&amp;P$3,'LinkedIn data'!$A$3:$A$20000,"&lt;="&amp;P$4,'LinkedIn data'!$B$3:$B$20000,$A36),0)))))</f>
        <v>0</v>
      </c>
      <c r="Q36" s="14" t="n">
        <f aca="false">IF($A36="","",IF($B36="Meta",SUMIFS('Meta data'!$I$3:$I$20000,'Meta data'!$A$3:$A$20000,"&gt;="&amp;Q$3,'Meta data'!$A$3:$A$20000,"&lt;="&amp;Q$4,'Meta data'!$B$3:$B$20000,$A36),IF($B36="Google Ads",SUMIFS('Google data'!$I$3:$I$20000,'Google data'!$A$3:$A$20000,"&gt;="&amp;Q$3,'Google data'!$A$3:$A$20000,"&lt;="&amp;Q$4,'Google data'!$B$3:$B$20000,$A36),IF($B36="ChatGPT Ads",SUMIFS('ChatGPT data'!$I$3:$I$20000,'ChatGPT data'!$A$3:$A$20000,"&gt;="&amp;Q$3,'ChatGPT data'!$A$3:$A$20000,"&lt;="&amp;Q$4,'ChatGPT data'!$B$3:$B$20000,$A36),IF($B36="LinkedIn Ads",SUMIFS('LinkedIn data'!$I$3:$I$20000,'LinkedIn data'!$A$3:$A$20000,"&gt;="&amp;Q$3,'LinkedIn data'!$A$3:$A$20000,"&lt;="&amp;Q$4,'LinkedIn data'!$B$3:$B$20000,$A36),0)))))</f>
        <v>0</v>
      </c>
      <c r="R36" s="15" t="n">
        <f aca="false">IF($A36="","",SUM(F36:Q36))</f>
        <v>3417.982485</v>
      </c>
      <c r="S36" s="37" t="n">
        <f aca="false">IF($A36="","",IF($B36="Meta",SUMIFS('Meta data'!$E$3:$E$20000,'Meta data'!$B$3:$B$20000,$A36),IF($B36="Google Ads",SUMIFS('Google data'!$E$3:$E$20000,'Google data'!$B$3:$B$20000,$A36),IF($B36="ChatGPT Ads",SUMIFS('ChatGPT data'!$E$3:$E$20000,'ChatGPT data'!$B$3:$B$20000,$A36),IF($B36="LinkedIn Ads",SUMIFS('LinkedIn data'!$E$3:$E$20000,'LinkedIn data'!$B$3:$B$20000,$A36),0)))))</f>
        <v>2685</v>
      </c>
      <c r="T36" s="37" t="n">
        <f aca="false">IF($A36="","",IF($B36="Meta",SUMIFS('Meta data'!$F$3:$F$20000,'Meta data'!$B$3:$B$20000,$A36),IF($B36="Google Ads",SUMIFS('Google data'!$F$3:$F$20000,'Google data'!$B$3:$B$20000,$A36),IF($B36="ChatGPT Ads",SUMIFS('ChatGPT data'!$F$3:$F$20000,'ChatGPT data'!$B$3:$B$20000,$A36),IF($B36="LinkedIn Ads",SUMIFS('LinkedIn data'!$F$3:$F$20000,'LinkedIn data'!$B$3:$B$20000,$A36),0)))))</f>
        <v>287.89</v>
      </c>
      <c r="U36" s="38" t="n">
        <f aca="false">IF(OR($A36="",T36=0),"",R36/T36)</f>
        <v>11.8725293862239</v>
      </c>
    </row>
    <row r="37" customFormat="false" ht="15" hidden="false" customHeight="false" outlineLevel="0" collapsed="false">
      <c r="A37" s="58" t="s">
        <v>196</v>
      </c>
      <c r="B37" s="58" t="s">
        <v>20</v>
      </c>
      <c r="C37" s="58" t="s">
        <v>130</v>
      </c>
      <c r="D37" s="58" t="s">
        <v>123</v>
      </c>
      <c r="E37" s="58" t="s">
        <v>152</v>
      </c>
      <c r="F37" s="14" t="n">
        <f aca="false">IF($A37="","",IF($B37="Meta",SUMIFS('Meta data'!$I$3:$I$20000,'Meta data'!$A$3:$A$20000,"&gt;="&amp;F$3,'Meta data'!$A$3:$A$20000,"&lt;="&amp;F$4,'Meta data'!$B$3:$B$20000,$A37),IF($B37="Google Ads",SUMIFS('Google data'!$I$3:$I$20000,'Google data'!$A$3:$A$20000,"&gt;="&amp;F$3,'Google data'!$A$3:$A$20000,"&lt;="&amp;F$4,'Google data'!$B$3:$B$20000,$A37),IF($B37="ChatGPT Ads",SUMIFS('ChatGPT data'!$I$3:$I$20000,'ChatGPT data'!$A$3:$A$20000,"&gt;="&amp;F$3,'ChatGPT data'!$A$3:$A$20000,"&lt;="&amp;F$4,'ChatGPT data'!$B$3:$B$20000,$A37),IF($B37="LinkedIn Ads",SUMIFS('LinkedIn data'!$I$3:$I$20000,'LinkedIn data'!$A$3:$A$20000,"&gt;="&amp;F$3,'LinkedIn data'!$A$3:$A$20000,"&lt;="&amp;F$4,'LinkedIn data'!$B$3:$B$20000,$A37),0)))))</f>
        <v>0</v>
      </c>
      <c r="G37" s="14" t="n">
        <f aca="false">IF($A37="","",IF($B37="Meta",SUMIFS('Meta data'!$I$3:$I$20000,'Meta data'!$A$3:$A$20000,"&gt;="&amp;G$3,'Meta data'!$A$3:$A$20000,"&lt;="&amp;G$4,'Meta data'!$B$3:$B$20000,$A37),IF($B37="Google Ads",SUMIFS('Google data'!$I$3:$I$20000,'Google data'!$A$3:$A$20000,"&gt;="&amp;G$3,'Google data'!$A$3:$A$20000,"&lt;="&amp;G$4,'Google data'!$B$3:$B$20000,$A37),IF($B37="ChatGPT Ads",SUMIFS('ChatGPT data'!$I$3:$I$20000,'ChatGPT data'!$A$3:$A$20000,"&gt;="&amp;G$3,'ChatGPT data'!$A$3:$A$20000,"&lt;="&amp;G$4,'ChatGPT data'!$B$3:$B$20000,$A37),IF($B37="LinkedIn Ads",SUMIFS('LinkedIn data'!$I$3:$I$20000,'LinkedIn data'!$A$3:$A$20000,"&gt;="&amp;G$3,'LinkedIn data'!$A$3:$A$20000,"&lt;="&amp;G$4,'LinkedIn data'!$B$3:$B$20000,$A37),0)))))</f>
        <v>0</v>
      </c>
      <c r="H37" s="14" t="n">
        <f aca="false">IF($A37="","",IF($B37="Meta",SUMIFS('Meta data'!$I$3:$I$20000,'Meta data'!$A$3:$A$20000,"&gt;="&amp;H$3,'Meta data'!$A$3:$A$20000,"&lt;="&amp;H$4,'Meta data'!$B$3:$B$20000,$A37),IF($B37="Google Ads",SUMIFS('Google data'!$I$3:$I$20000,'Google data'!$A$3:$A$20000,"&gt;="&amp;H$3,'Google data'!$A$3:$A$20000,"&lt;="&amp;H$4,'Google data'!$B$3:$B$20000,$A37),IF($B37="ChatGPT Ads",SUMIFS('ChatGPT data'!$I$3:$I$20000,'ChatGPT data'!$A$3:$A$20000,"&gt;="&amp;H$3,'ChatGPT data'!$A$3:$A$20000,"&lt;="&amp;H$4,'ChatGPT data'!$B$3:$B$20000,$A37),IF($B37="LinkedIn Ads",SUMIFS('LinkedIn data'!$I$3:$I$20000,'LinkedIn data'!$A$3:$A$20000,"&gt;="&amp;H$3,'LinkedIn data'!$A$3:$A$20000,"&lt;="&amp;H$4,'LinkedIn data'!$B$3:$B$20000,$A37),0)))))</f>
        <v>0</v>
      </c>
      <c r="I37" s="14" t="n">
        <f aca="false">IF($A37="","",IF($B37="Meta",SUMIFS('Meta data'!$I$3:$I$20000,'Meta data'!$A$3:$A$20000,"&gt;="&amp;I$3,'Meta data'!$A$3:$A$20000,"&lt;="&amp;I$4,'Meta data'!$B$3:$B$20000,$A37),IF($B37="Google Ads",SUMIFS('Google data'!$I$3:$I$20000,'Google data'!$A$3:$A$20000,"&gt;="&amp;I$3,'Google data'!$A$3:$A$20000,"&lt;="&amp;I$4,'Google data'!$B$3:$B$20000,$A37),IF($B37="ChatGPT Ads",SUMIFS('ChatGPT data'!$I$3:$I$20000,'ChatGPT data'!$A$3:$A$20000,"&gt;="&amp;I$3,'ChatGPT data'!$A$3:$A$20000,"&lt;="&amp;I$4,'ChatGPT data'!$B$3:$B$20000,$A37),IF($B37="LinkedIn Ads",SUMIFS('LinkedIn data'!$I$3:$I$20000,'LinkedIn data'!$A$3:$A$20000,"&gt;="&amp;I$3,'LinkedIn data'!$A$3:$A$20000,"&lt;="&amp;I$4,'LinkedIn data'!$B$3:$B$20000,$A37),0)))))</f>
        <v>0</v>
      </c>
      <c r="J37" s="14" t="n">
        <f aca="false">IF($A37="","",IF($B37="Meta",SUMIFS('Meta data'!$I$3:$I$20000,'Meta data'!$A$3:$A$20000,"&gt;="&amp;J$3,'Meta data'!$A$3:$A$20000,"&lt;="&amp;J$4,'Meta data'!$B$3:$B$20000,$A37),IF($B37="Google Ads",SUMIFS('Google data'!$I$3:$I$20000,'Google data'!$A$3:$A$20000,"&gt;="&amp;J$3,'Google data'!$A$3:$A$20000,"&lt;="&amp;J$4,'Google data'!$B$3:$B$20000,$A37),IF($B37="ChatGPT Ads",SUMIFS('ChatGPT data'!$I$3:$I$20000,'ChatGPT data'!$A$3:$A$20000,"&gt;="&amp;J$3,'ChatGPT data'!$A$3:$A$20000,"&lt;="&amp;J$4,'ChatGPT data'!$B$3:$B$20000,$A37),IF($B37="LinkedIn Ads",SUMIFS('LinkedIn data'!$I$3:$I$20000,'LinkedIn data'!$A$3:$A$20000,"&gt;="&amp;J$3,'LinkedIn data'!$A$3:$A$20000,"&lt;="&amp;J$4,'LinkedIn data'!$B$3:$B$20000,$A37),0)))))</f>
        <v>167.710885</v>
      </c>
      <c r="K37" s="14" t="n">
        <f aca="false">IF($A37="","",IF($B37="Meta",SUMIFS('Meta data'!$I$3:$I$20000,'Meta data'!$A$3:$A$20000,"&gt;="&amp;K$3,'Meta data'!$A$3:$A$20000,"&lt;="&amp;K$4,'Meta data'!$B$3:$B$20000,$A37),IF($B37="Google Ads",SUMIFS('Google data'!$I$3:$I$20000,'Google data'!$A$3:$A$20000,"&gt;="&amp;K$3,'Google data'!$A$3:$A$20000,"&lt;="&amp;K$4,'Google data'!$B$3:$B$20000,$A37),IF($B37="ChatGPT Ads",SUMIFS('ChatGPT data'!$I$3:$I$20000,'ChatGPT data'!$A$3:$A$20000,"&gt;="&amp;K$3,'ChatGPT data'!$A$3:$A$20000,"&lt;="&amp;K$4,'ChatGPT data'!$B$3:$B$20000,$A37),IF($B37="LinkedIn Ads",SUMIFS('LinkedIn data'!$I$3:$I$20000,'LinkedIn data'!$A$3:$A$20000,"&gt;="&amp;K$3,'LinkedIn data'!$A$3:$A$20000,"&lt;="&amp;K$4,'LinkedIn data'!$B$3:$B$20000,$A37),0)))))</f>
        <v>1020.851295</v>
      </c>
      <c r="L37" s="14" t="n">
        <f aca="false">IF($A37="","",IF($B37="Meta",SUMIFS('Meta data'!$I$3:$I$20000,'Meta data'!$A$3:$A$20000,"&gt;="&amp;L$3,'Meta data'!$A$3:$A$20000,"&lt;="&amp;L$4,'Meta data'!$B$3:$B$20000,$A37),IF($B37="Google Ads",SUMIFS('Google data'!$I$3:$I$20000,'Google data'!$A$3:$A$20000,"&gt;="&amp;L$3,'Google data'!$A$3:$A$20000,"&lt;="&amp;L$4,'Google data'!$B$3:$B$20000,$A37),IF($B37="ChatGPT Ads",SUMIFS('ChatGPT data'!$I$3:$I$20000,'ChatGPT data'!$A$3:$A$20000,"&gt;="&amp;L$3,'ChatGPT data'!$A$3:$A$20000,"&lt;="&amp;L$4,'ChatGPT data'!$B$3:$B$20000,$A37),IF($B37="LinkedIn Ads",SUMIFS('LinkedIn data'!$I$3:$I$20000,'LinkedIn data'!$A$3:$A$20000,"&gt;="&amp;L$3,'LinkedIn data'!$A$3:$A$20000,"&lt;="&amp;L$4,'LinkedIn data'!$B$3:$B$20000,$A37),0)))))</f>
        <v>757.442936</v>
      </c>
      <c r="M37" s="14" t="n">
        <f aca="false">IF($A37="","",IF($B37="Meta",SUMIFS('Meta data'!$I$3:$I$20000,'Meta data'!$A$3:$A$20000,"&gt;="&amp;M$3,'Meta data'!$A$3:$A$20000,"&lt;="&amp;M$4,'Meta data'!$B$3:$B$20000,$A37),IF($B37="Google Ads",SUMIFS('Google data'!$I$3:$I$20000,'Google data'!$A$3:$A$20000,"&gt;="&amp;M$3,'Google data'!$A$3:$A$20000,"&lt;="&amp;M$4,'Google data'!$B$3:$B$20000,$A37),IF($B37="ChatGPT Ads",SUMIFS('ChatGPT data'!$I$3:$I$20000,'ChatGPT data'!$A$3:$A$20000,"&gt;="&amp;M$3,'ChatGPT data'!$A$3:$A$20000,"&lt;="&amp;M$4,'ChatGPT data'!$B$3:$B$20000,$A37),IF($B37="LinkedIn Ads",SUMIFS('LinkedIn data'!$I$3:$I$20000,'LinkedIn data'!$A$3:$A$20000,"&gt;="&amp;M$3,'LinkedIn data'!$A$3:$A$20000,"&lt;="&amp;M$4,'LinkedIn data'!$B$3:$B$20000,$A37),0)))))</f>
        <v>680.656946</v>
      </c>
      <c r="N37" s="14" t="n">
        <f aca="false">IF($A37="","",IF($B37="Meta",SUMIFS('Meta data'!$I$3:$I$20000,'Meta data'!$A$3:$A$20000,"&gt;="&amp;N$3,'Meta data'!$A$3:$A$20000,"&lt;="&amp;N$4,'Meta data'!$B$3:$B$20000,$A37),IF($B37="Google Ads",SUMIFS('Google data'!$I$3:$I$20000,'Google data'!$A$3:$A$20000,"&gt;="&amp;N$3,'Google data'!$A$3:$A$20000,"&lt;="&amp;N$4,'Google data'!$B$3:$B$20000,$A37),IF($B37="ChatGPT Ads",SUMIFS('ChatGPT data'!$I$3:$I$20000,'ChatGPT data'!$A$3:$A$20000,"&gt;="&amp;N$3,'ChatGPT data'!$A$3:$A$20000,"&lt;="&amp;N$4,'ChatGPT data'!$B$3:$B$20000,$A37),IF($B37="LinkedIn Ads",SUMIFS('LinkedIn data'!$I$3:$I$20000,'LinkedIn data'!$A$3:$A$20000,"&gt;="&amp;N$3,'LinkedIn data'!$A$3:$A$20000,"&lt;="&amp;N$4,'LinkedIn data'!$B$3:$B$20000,$A37),0)))))</f>
        <v>568.518105</v>
      </c>
      <c r="O37" s="14" t="n">
        <f aca="false">IF($A37="","",IF($B37="Meta",SUMIFS('Meta data'!$I$3:$I$20000,'Meta data'!$A$3:$A$20000,"&gt;="&amp;O$3,'Meta data'!$A$3:$A$20000,"&lt;="&amp;O$4,'Meta data'!$B$3:$B$20000,$A37),IF($B37="Google Ads",SUMIFS('Google data'!$I$3:$I$20000,'Google data'!$A$3:$A$20000,"&gt;="&amp;O$3,'Google data'!$A$3:$A$20000,"&lt;="&amp;O$4,'Google data'!$B$3:$B$20000,$A37),IF($B37="ChatGPT Ads",SUMIFS('ChatGPT data'!$I$3:$I$20000,'ChatGPT data'!$A$3:$A$20000,"&gt;="&amp;O$3,'ChatGPT data'!$A$3:$A$20000,"&lt;="&amp;O$4,'ChatGPT data'!$B$3:$B$20000,$A37),IF($B37="LinkedIn Ads",SUMIFS('LinkedIn data'!$I$3:$I$20000,'LinkedIn data'!$A$3:$A$20000,"&gt;="&amp;O$3,'LinkedIn data'!$A$3:$A$20000,"&lt;="&amp;O$4,'LinkedIn data'!$B$3:$B$20000,$A37),0)))))</f>
        <v>0</v>
      </c>
      <c r="P37" s="14" t="n">
        <f aca="false">IF($A37="","",IF($B37="Meta",SUMIFS('Meta data'!$I$3:$I$20000,'Meta data'!$A$3:$A$20000,"&gt;="&amp;P$3,'Meta data'!$A$3:$A$20000,"&lt;="&amp;P$4,'Meta data'!$B$3:$B$20000,$A37),IF($B37="Google Ads",SUMIFS('Google data'!$I$3:$I$20000,'Google data'!$A$3:$A$20000,"&gt;="&amp;P$3,'Google data'!$A$3:$A$20000,"&lt;="&amp;P$4,'Google data'!$B$3:$B$20000,$A37),IF($B37="ChatGPT Ads",SUMIFS('ChatGPT data'!$I$3:$I$20000,'ChatGPT data'!$A$3:$A$20000,"&gt;="&amp;P$3,'ChatGPT data'!$A$3:$A$20000,"&lt;="&amp;P$4,'ChatGPT data'!$B$3:$B$20000,$A37),IF($B37="LinkedIn Ads",SUMIFS('LinkedIn data'!$I$3:$I$20000,'LinkedIn data'!$A$3:$A$20000,"&gt;="&amp;P$3,'LinkedIn data'!$A$3:$A$20000,"&lt;="&amp;P$4,'LinkedIn data'!$B$3:$B$20000,$A37),0)))))</f>
        <v>0</v>
      </c>
      <c r="Q37" s="14" t="n">
        <f aca="false">IF($A37="","",IF($B37="Meta",SUMIFS('Meta data'!$I$3:$I$20000,'Meta data'!$A$3:$A$20000,"&gt;="&amp;Q$3,'Meta data'!$A$3:$A$20000,"&lt;="&amp;Q$4,'Meta data'!$B$3:$B$20000,$A37),IF($B37="Google Ads",SUMIFS('Google data'!$I$3:$I$20000,'Google data'!$A$3:$A$20000,"&gt;="&amp;Q$3,'Google data'!$A$3:$A$20000,"&lt;="&amp;Q$4,'Google data'!$B$3:$B$20000,$A37),IF($B37="ChatGPT Ads",SUMIFS('ChatGPT data'!$I$3:$I$20000,'ChatGPT data'!$A$3:$A$20000,"&gt;="&amp;Q$3,'ChatGPT data'!$A$3:$A$20000,"&lt;="&amp;Q$4,'ChatGPT data'!$B$3:$B$20000,$A37),IF($B37="LinkedIn Ads",SUMIFS('LinkedIn data'!$I$3:$I$20000,'LinkedIn data'!$A$3:$A$20000,"&gt;="&amp;Q$3,'LinkedIn data'!$A$3:$A$20000,"&lt;="&amp;Q$4,'LinkedIn data'!$B$3:$B$20000,$A37),0)))))</f>
        <v>0</v>
      </c>
      <c r="R37" s="15" t="n">
        <f aca="false">IF($A37="","",SUM(F37:Q37))</f>
        <v>3195.180167</v>
      </c>
      <c r="S37" s="37" t="n">
        <f aca="false">IF($A37="","",IF($B37="Meta",SUMIFS('Meta data'!$E$3:$E$20000,'Meta data'!$B$3:$B$20000,$A37),IF($B37="Google Ads",SUMIFS('Google data'!$E$3:$E$20000,'Google data'!$B$3:$B$20000,$A37),IF($B37="ChatGPT Ads",SUMIFS('ChatGPT data'!$E$3:$E$20000,'ChatGPT data'!$B$3:$B$20000,$A37),IF($B37="LinkedIn Ads",SUMIFS('LinkedIn data'!$E$3:$E$20000,'LinkedIn data'!$B$3:$B$20000,$A37),0)))))</f>
        <v>4877</v>
      </c>
      <c r="T37" s="37" t="n">
        <f aca="false">IF($A37="","",IF($B37="Meta",SUMIFS('Meta data'!$F$3:$F$20000,'Meta data'!$B$3:$B$20000,$A37),IF($B37="Google Ads",SUMIFS('Google data'!$F$3:$F$20000,'Google data'!$B$3:$B$20000,$A37),IF($B37="ChatGPT Ads",SUMIFS('ChatGPT data'!$F$3:$F$20000,'ChatGPT data'!$B$3:$B$20000,$A37),IF($B37="LinkedIn Ads",SUMIFS('LinkedIn data'!$F$3:$F$20000,'LinkedIn data'!$B$3:$B$20000,$A37),0)))))</f>
        <v>0.94</v>
      </c>
      <c r="U37" s="38" t="n">
        <f aca="false">IF(OR($A37="",T37=0),"",R37/T37)</f>
        <v>3399.12783723404</v>
      </c>
    </row>
    <row r="38" customFormat="false" ht="15" hidden="false" customHeight="false" outlineLevel="0" collapsed="false">
      <c r="A38" s="58" t="s">
        <v>197</v>
      </c>
      <c r="B38" s="58" t="s">
        <v>20</v>
      </c>
      <c r="C38" s="58" t="s">
        <v>134</v>
      </c>
      <c r="D38" s="58" t="s">
        <v>124</v>
      </c>
      <c r="E38" s="58" t="s">
        <v>152</v>
      </c>
      <c r="F38" s="14" t="n">
        <f aca="false">IF($A38="","",IF($B38="Meta",SUMIFS('Meta data'!$I$3:$I$20000,'Meta data'!$A$3:$A$20000,"&gt;="&amp;F$3,'Meta data'!$A$3:$A$20000,"&lt;="&amp;F$4,'Meta data'!$B$3:$B$20000,$A38),IF($B38="Google Ads",SUMIFS('Google data'!$I$3:$I$20000,'Google data'!$A$3:$A$20000,"&gt;="&amp;F$3,'Google data'!$A$3:$A$20000,"&lt;="&amp;F$4,'Google data'!$B$3:$B$20000,$A38),IF($B38="ChatGPT Ads",SUMIFS('ChatGPT data'!$I$3:$I$20000,'ChatGPT data'!$A$3:$A$20000,"&gt;="&amp;F$3,'ChatGPT data'!$A$3:$A$20000,"&lt;="&amp;F$4,'ChatGPT data'!$B$3:$B$20000,$A38),IF($B38="LinkedIn Ads",SUMIFS('LinkedIn data'!$I$3:$I$20000,'LinkedIn data'!$A$3:$A$20000,"&gt;="&amp;F$3,'LinkedIn data'!$A$3:$A$20000,"&lt;="&amp;F$4,'LinkedIn data'!$B$3:$B$20000,$A38),0)))))</f>
        <v>0</v>
      </c>
      <c r="G38" s="14" t="n">
        <f aca="false">IF($A38="","",IF($B38="Meta",SUMIFS('Meta data'!$I$3:$I$20000,'Meta data'!$A$3:$A$20000,"&gt;="&amp;G$3,'Meta data'!$A$3:$A$20000,"&lt;="&amp;G$4,'Meta data'!$B$3:$B$20000,$A38),IF($B38="Google Ads",SUMIFS('Google data'!$I$3:$I$20000,'Google data'!$A$3:$A$20000,"&gt;="&amp;G$3,'Google data'!$A$3:$A$20000,"&lt;="&amp;G$4,'Google data'!$B$3:$B$20000,$A38),IF($B38="ChatGPT Ads",SUMIFS('ChatGPT data'!$I$3:$I$20000,'ChatGPT data'!$A$3:$A$20000,"&gt;="&amp;G$3,'ChatGPT data'!$A$3:$A$20000,"&lt;="&amp;G$4,'ChatGPT data'!$B$3:$B$20000,$A38),IF($B38="LinkedIn Ads",SUMIFS('LinkedIn data'!$I$3:$I$20000,'LinkedIn data'!$A$3:$A$20000,"&gt;="&amp;G$3,'LinkedIn data'!$A$3:$A$20000,"&lt;="&amp;G$4,'LinkedIn data'!$B$3:$B$20000,$A38),0)))))</f>
        <v>0</v>
      </c>
      <c r="H38" s="14" t="n">
        <f aca="false">IF($A38="","",IF($B38="Meta",SUMIFS('Meta data'!$I$3:$I$20000,'Meta data'!$A$3:$A$20000,"&gt;="&amp;H$3,'Meta data'!$A$3:$A$20000,"&lt;="&amp;H$4,'Meta data'!$B$3:$B$20000,$A38),IF($B38="Google Ads",SUMIFS('Google data'!$I$3:$I$20000,'Google data'!$A$3:$A$20000,"&gt;="&amp;H$3,'Google data'!$A$3:$A$20000,"&lt;="&amp;H$4,'Google data'!$B$3:$B$20000,$A38),IF($B38="ChatGPT Ads",SUMIFS('ChatGPT data'!$I$3:$I$20000,'ChatGPT data'!$A$3:$A$20000,"&gt;="&amp;H$3,'ChatGPT data'!$A$3:$A$20000,"&lt;="&amp;H$4,'ChatGPT data'!$B$3:$B$20000,$A38),IF($B38="LinkedIn Ads",SUMIFS('LinkedIn data'!$I$3:$I$20000,'LinkedIn data'!$A$3:$A$20000,"&gt;="&amp;H$3,'LinkedIn data'!$A$3:$A$20000,"&lt;="&amp;H$4,'LinkedIn data'!$B$3:$B$20000,$A38),0)))))</f>
        <v>0</v>
      </c>
      <c r="I38" s="14" t="n">
        <f aca="false">IF($A38="","",IF($B38="Meta",SUMIFS('Meta data'!$I$3:$I$20000,'Meta data'!$A$3:$A$20000,"&gt;="&amp;I$3,'Meta data'!$A$3:$A$20000,"&lt;="&amp;I$4,'Meta data'!$B$3:$B$20000,$A38),IF($B38="Google Ads",SUMIFS('Google data'!$I$3:$I$20000,'Google data'!$A$3:$A$20000,"&gt;="&amp;I$3,'Google data'!$A$3:$A$20000,"&lt;="&amp;I$4,'Google data'!$B$3:$B$20000,$A38),IF($B38="ChatGPT Ads",SUMIFS('ChatGPT data'!$I$3:$I$20000,'ChatGPT data'!$A$3:$A$20000,"&gt;="&amp;I$3,'ChatGPT data'!$A$3:$A$20000,"&lt;="&amp;I$4,'ChatGPT data'!$B$3:$B$20000,$A38),IF($B38="LinkedIn Ads",SUMIFS('LinkedIn data'!$I$3:$I$20000,'LinkedIn data'!$A$3:$A$20000,"&gt;="&amp;I$3,'LinkedIn data'!$A$3:$A$20000,"&lt;="&amp;I$4,'LinkedIn data'!$B$3:$B$20000,$A38),0)))))</f>
        <v>0</v>
      </c>
      <c r="J38" s="14" t="n">
        <f aca="false">IF($A38="","",IF($B38="Meta",SUMIFS('Meta data'!$I$3:$I$20000,'Meta data'!$A$3:$A$20000,"&gt;="&amp;J$3,'Meta data'!$A$3:$A$20000,"&lt;="&amp;J$4,'Meta data'!$B$3:$B$20000,$A38),IF($B38="Google Ads",SUMIFS('Google data'!$I$3:$I$20000,'Google data'!$A$3:$A$20000,"&gt;="&amp;J$3,'Google data'!$A$3:$A$20000,"&lt;="&amp;J$4,'Google data'!$B$3:$B$20000,$A38),IF($B38="ChatGPT Ads",SUMIFS('ChatGPT data'!$I$3:$I$20000,'ChatGPT data'!$A$3:$A$20000,"&gt;="&amp;J$3,'ChatGPT data'!$A$3:$A$20000,"&lt;="&amp;J$4,'ChatGPT data'!$B$3:$B$20000,$A38),IF($B38="LinkedIn Ads",SUMIFS('LinkedIn data'!$I$3:$I$20000,'LinkedIn data'!$A$3:$A$20000,"&gt;="&amp;J$3,'LinkedIn data'!$A$3:$A$20000,"&lt;="&amp;J$4,'LinkedIn data'!$B$3:$B$20000,$A38),0)))))</f>
        <v>167.599115</v>
      </c>
      <c r="K38" s="14" t="n">
        <f aca="false">IF($A38="","",IF($B38="Meta",SUMIFS('Meta data'!$I$3:$I$20000,'Meta data'!$A$3:$A$20000,"&gt;="&amp;K$3,'Meta data'!$A$3:$A$20000,"&lt;="&amp;K$4,'Meta data'!$B$3:$B$20000,$A38),IF($B38="Google Ads",SUMIFS('Google data'!$I$3:$I$20000,'Google data'!$A$3:$A$20000,"&gt;="&amp;K$3,'Google data'!$A$3:$A$20000,"&lt;="&amp;K$4,'Google data'!$B$3:$B$20000,$A38),IF($B38="ChatGPT Ads",SUMIFS('ChatGPT data'!$I$3:$I$20000,'ChatGPT data'!$A$3:$A$20000,"&gt;="&amp;K$3,'ChatGPT data'!$A$3:$A$20000,"&lt;="&amp;K$4,'ChatGPT data'!$B$3:$B$20000,$A38),IF($B38="LinkedIn Ads",SUMIFS('LinkedIn data'!$I$3:$I$20000,'LinkedIn data'!$A$3:$A$20000,"&gt;="&amp;K$3,'LinkedIn data'!$A$3:$A$20000,"&lt;="&amp;K$4,'LinkedIn data'!$B$3:$B$20000,$A38),0)))))</f>
        <v>1019.588294</v>
      </c>
      <c r="L38" s="14" t="n">
        <f aca="false">IF($A38="","",IF($B38="Meta",SUMIFS('Meta data'!$I$3:$I$20000,'Meta data'!$A$3:$A$20000,"&gt;="&amp;L$3,'Meta data'!$A$3:$A$20000,"&lt;="&amp;L$4,'Meta data'!$B$3:$B$20000,$A38),IF($B38="Google Ads",SUMIFS('Google data'!$I$3:$I$20000,'Google data'!$A$3:$A$20000,"&gt;="&amp;L$3,'Google data'!$A$3:$A$20000,"&lt;="&amp;L$4,'Google data'!$B$3:$B$20000,$A38),IF($B38="ChatGPT Ads",SUMIFS('ChatGPT data'!$I$3:$I$20000,'ChatGPT data'!$A$3:$A$20000,"&gt;="&amp;L$3,'ChatGPT data'!$A$3:$A$20000,"&lt;="&amp;L$4,'ChatGPT data'!$B$3:$B$20000,$A38),IF($B38="LinkedIn Ads",SUMIFS('LinkedIn data'!$I$3:$I$20000,'LinkedIn data'!$A$3:$A$20000,"&gt;="&amp;L$3,'LinkedIn data'!$A$3:$A$20000,"&lt;="&amp;L$4,'LinkedIn data'!$B$3:$B$20000,$A38),0)))))</f>
        <v>762.953197</v>
      </c>
      <c r="M38" s="14" t="n">
        <f aca="false">IF($A38="","",IF($B38="Meta",SUMIFS('Meta data'!$I$3:$I$20000,'Meta data'!$A$3:$A$20000,"&gt;="&amp;M$3,'Meta data'!$A$3:$A$20000,"&lt;="&amp;M$4,'Meta data'!$B$3:$B$20000,$A38),IF($B38="Google Ads",SUMIFS('Google data'!$I$3:$I$20000,'Google data'!$A$3:$A$20000,"&gt;="&amp;M$3,'Google data'!$A$3:$A$20000,"&lt;="&amp;M$4,'Google data'!$B$3:$B$20000,$A38),IF($B38="ChatGPT Ads",SUMIFS('ChatGPT data'!$I$3:$I$20000,'ChatGPT data'!$A$3:$A$20000,"&gt;="&amp;M$3,'ChatGPT data'!$A$3:$A$20000,"&lt;="&amp;M$4,'ChatGPT data'!$B$3:$B$20000,$A38),IF($B38="LinkedIn Ads",SUMIFS('LinkedIn data'!$I$3:$I$20000,'LinkedIn data'!$A$3:$A$20000,"&gt;="&amp;M$3,'LinkedIn data'!$A$3:$A$20000,"&lt;="&amp;M$4,'LinkedIn data'!$B$3:$B$20000,$A38),0)))))</f>
        <v>679.729255</v>
      </c>
      <c r="N38" s="14" t="n">
        <f aca="false">IF($A38="","",IF($B38="Meta",SUMIFS('Meta data'!$I$3:$I$20000,'Meta data'!$A$3:$A$20000,"&gt;="&amp;N$3,'Meta data'!$A$3:$A$20000,"&lt;="&amp;N$4,'Meta data'!$B$3:$B$20000,$A38),IF($B38="Google Ads",SUMIFS('Google data'!$I$3:$I$20000,'Google data'!$A$3:$A$20000,"&gt;="&amp;N$3,'Google data'!$A$3:$A$20000,"&lt;="&amp;N$4,'Google data'!$B$3:$B$20000,$A38),IF($B38="ChatGPT Ads",SUMIFS('ChatGPT data'!$I$3:$I$20000,'ChatGPT data'!$A$3:$A$20000,"&gt;="&amp;N$3,'ChatGPT data'!$A$3:$A$20000,"&lt;="&amp;N$4,'ChatGPT data'!$B$3:$B$20000,$A38),IF($B38="LinkedIn Ads",SUMIFS('LinkedIn data'!$I$3:$I$20000,'LinkedIn data'!$A$3:$A$20000,"&gt;="&amp;N$3,'LinkedIn data'!$A$3:$A$20000,"&lt;="&amp;N$4,'LinkedIn data'!$B$3:$B$20000,$A38),0)))))</f>
        <v>561.387179</v>
      </c>
      <c r="O38" s="14" t="n">
        <f aca="false">IF($A38="","",IF($B38="Meta",SUMIFS('Meta data'!$I$3:$I$20000,'Meta data'!$A$3:$A$20000,"&gt;="&amp;O$3,'Meta data'!$A$3:$A$20000,"&lt;="&amp;O$4,'Meta data'!$B$3:$B$20000,$A38),IF($B38="Google Ads",SUMIFS('Google data'!$I$3:$I$20000,'Google data'!$A$3:$A$20000,"&gt;="&amp;O$3,'Google data'!$A$3:$A$20000,"&lt;="&amp;O$4,'Google data'!$B$3:$B$20000,$A38),IF($B38="ChatGPT Ads",SUMIFS('ChatGPT data'!$I$3:$I$20000,'ChatGPT data'!$A$3:$A$20000,"&gt;="&amp;O$3,'ChatGPT data'!$A$3:$A$20000,"&lt;="&amp;O$4,'ChatGPT data'!$B$3:$B$20000,$A38),IF($B38="LinkedIn Ads",SUMIFS('LinkedIn data'!$I$3:$I$20000,'LinkedIn data'!$A$3:$A$20000,"&gt;="&amp;O$3,'LinkedIn data'!$A$3:$A$20000,"&lt;="&amp;O$4,'LinkedIn data'!$B$3:$B$20000,$A38),0)))))</f>
        <v>0</v>
      </c>
      <c r="P38" s="14" t="n">
        <f aca="false">IF($A38="","",IF($B38="Meta",SUMIFS('Meta data'!$I$3:$I$20000,'Meta data'!$A$3:$A$20000,"&gt;="&amp;P$3,'Meta data'!$A$3:$A$20000,"&lt;="&amp;P$4,'Meta data'!$B$3:$B$20000,$A38),IF($B38="Google Ads",SUMIFS('Google data'!$I$3:$I$20000,'Google data'!$A$3:$A$20000,"&gt;="&amp;P$3,'Google data'!$A$3:$A$20000,"&lt;="&amp;P$4,'Google data'!$B$3:$B$20000,$A38),IF($B38="ChatGPT Ads",SUMIFS('ChatGPT data'!$I$3:$I$20000,'ChatGPT data'!$A$3:$A$20000,"&gt;="&amp;P$3,'ChatGPT data'!$A$3:$A$20000,"&lt;="&amp;P$4,'ChatGPT data'!$B$3:$B$20000,$A38),IF($B38="LinkedIn Ads",SUMIFS('LinkedIn data'!$I$3:$I$20000,'LinkedIn data'!$A$3:$A$20000,"&gt;="&amp;P$3,'LinkedIn data'!$A$3:$A$20000,"&lt;="&amp;P$4,'LinkedIn data'!$B$3:$B$20000,$A38),0)))))</f>
        <v>0</v>
      </c>
      <c r="Q38" s="14" t="n">
        <f aca="false">IF($A38="","",IF($B38="Meta",SUMIFS('Meta data'!$I$3:$I$20000,'Meta data'!$A$3:$A$20000,"&gt;="&amp;Q$3,'Meta data'!$A$3:$A$20000,"&lt;="&amp;Q$4,'Meta data'!$B$3:$B$20000,$A38),IF($B38="Google Ads",SUMIFS('Google data'!$I$3:$I$20000,'Google data'!$A$3:$A$20000,"&gt;="&amp;Q$3,'Google data'!$A$3:$A$20000,"&lt;="&amp;Q$4,'Google data'!$B$3:$B$20000,$A38),IF($B38="ChatGPT Ads",SUMIFS('ChatGPT data'!$I$3:$I$20000,'ChatGPT data'!$A$3:$A$20000,"&gt;="&amp;Q$3,'ChatGPT data'!$A$3:$A$20000,"&lt;="&amp;Q$4,'ChatGPT data'!$B$3:$B$20000,$A38),IF($B38="LinkedIn Ads",SUMIFS('LinkedIn data'!$I$3:$I$20000,'LinkedIn data'!$A$3:$A$20000,"&gt;="&amp;Q$3,'LinkedIn data'!$A$3:$A$20000,"&lt;="&amp;Q$4,'LinkedIn data'!$B$3:$B$20000,$A38),0)))))</f>
        <v>0</v>
      </c>
      <c r="R38" s="15" t="n">
        <f aca="false">IF($A38="","",SUM(F38:Q38))</f>
        <v>3191.25704</v>
      </c>
      <c r="S38" s="37" t="n">
        <f aca="false">IF($A38="","",IF($B38="Meta",SUMIFS('Meta data'!$E$3:$E$20000,'Meta data'!$B$3:$B$20000,$A38),IF($B38="Google Ads",SUMIFS('Google data'!$E$3:$E$20000,'Google data'!$B$3:$B$20000,$A38),IF($B38="ChatGPT Ads",SUMIFS('ChatGPT data'!$E$3:$E$20000,'ChatGPT data'!$B$3:$B$20000,$A38),IF($B38="LinkedIn Ads",SUMIFS('LinkedIn data'!$E$3:$E$20000,'LinkedIn data'!$B$3:$B$20000,$A38),0)))))</f>
        <v>728</v>
      </c>
      <c r="T38" s="37" t="n">
        <f aca="false">IF($A38="","",IF($B38="Meta",SUMIFS('Meta data'!$F$3:$F$20000,'Meta data'!$B$3:$B$20000,$A38),IF($B38="Google Ads",SUMIFS('Google data'!$F$3:$F$20000,'Google data'!$B$3:$B$20000,$A38),IF($B38="ChatGPT Ads",SUMIFS('ChatGPT data'!$F$3:$F$20000,'ChatGPT data'!$B$3:$B$20000,$A38),IF($B38="LinkedIn Ads",SUMIFS('LinkedIn data'!$F$3:$F$20000,'LinkedIn data'!$B$3:$B$20000,$A38),0)))))</f>
        <v>0.47</v>
      </c>
      <c r="U38" s="38" t="n">
        <f aca="false">IF(OR($A38="",T38=0),"",R38/T38)</f>
        <v>6789.90859574468</v>
      </c>
    </row>
    <row r="39" customFormat="false" ht="15" hidden="false" customHeight="false" outlineLevel="0" collapsed="false">
      <c r="A39" s="58" t="s">
        <v>198</v>
      </c>
      <c r="B39" s="58" t="s">
        <v>20</v>
      </c>
      <c r="C39" s="58" t="s">
        <v>141</v>
      </c>
      <c r="D39" s="58" t="s">
        <v>124</v>
      </c>
      <c r="E39" s="58" t="s">
        <v>150</v>
      </c>
      <c r="F39" s="14" t="n">
        <f aca="false">IF($A39="","",IF($B39="Meta",SUMIFS('Meta data'!$I$3:$I$20000,'Meta data'!$A$3:$A$20000,"&gt;="&amp;F$3,'Meta data'!$A$3:$A$20000,"&lt;="&amp;F$4,'Meta data'!$B$3:$B$20000,$A39),IF($B39="Google Ads",SUMIFS('Google data'!$I$3:$I$20000,'Google data'!$A$3:$A$20000,"&gt;="&amp;F$3,'Google data'!$A$3:$A$20000,"&lt;="&amp;F$4,'Google data'!$B$3:$B$20000,$A39),IF($B39="ChatGPT Ads",SUMIFS('ChatGPT data'!$I$3:$I$20000,'ChatGPT data'!$A$3:$A$20000,"&gt;="&amp;F$3,'ChatGPT data'!$A$3:$A$20000,"&lt;="&amp;F$4,'ChatGPT data'!$B$3:$B$20000,$A39),IF($B39="LinkedIn Ads",SUMIFS('LinkedIn data'!$I$3:$I$20000,'LinkedIn data'!$A$3:$A$20000,"&gt;="&amp;F$3,'LinkedIn data'!$A$3:$A$20000,"&lt;="&amp;F$4,'LinkedIn data'!$B$3:$B$20000,$A39),0)))))</f>
        <v>384.321145</v>
      </c>
      <c r="G39" s="14" t="n">
        <f aca="false">IF($A39="","",IF($B39="Meta",SUMIFS('Meta data'!$I$3:$I$20000,'Meta data'!$A$3:$A$20000,"&gt;="&amp;G$3,'Meta data'!$A$3:$A$20000,"&lt;="&amp;G$4,'Meta data'!$B$3:$B$20000,$A39),IF($B39="Google Ads",SUMIFS('Google data'!$I$3:$I$20000,'Google data'!$A$3:$A$20000,"&gt;="&amp;G$3,'Google data'!$A$3:$A$20000,"&lt;="&amp;G$4,'Google data'!$B$3:$B$20000,$A39),IF($B39="ChatGPT Ads",SUMIFS('ChatGPT data'!$I$3:$I$20000,'ChatGPT data'!$A$3:$A$20000,"&gt;="&amp;G$3,'ChatGPT data'!$A$3:$A$20000,"&lt;="&amp;G$4,'ChatGPT data'!$B$3:$B$20000,$A39),IF($B39="LinkedIn Ads",SUMIFS('LinkedIn data'!$I$3:$I$20000,'LinkedIn data'!$A$3:$A$20000,"&gt;="&amp;G$3,'LinkedIn data'!$A$3:$A$20000,"&lt;="&amp;G$4,'LinkedIn data'!$B$3:$B$20000,$A39),0)))))</f>
        <v>682.858815</v>
      </c>
      <c r="H39" s="14" t="n">
        <f aca="false">IF($A39="","",IF($B39="Meta",SUMIFS('Meta data'!$I$3:$I$20000,'Meta data'!$A$3:$A$20000,"&gt;="&amp;H$3,'Meta data'!$A$3:$A$20000,"&lt;="&amp;H$4,'Meta data'!$B$3:$B$20000,$A39),IF($B39="Google Ads",SUMIFS('Google data'!$I$3:$I$20000,'Google data'!$A$3:$A$20000,"&gt;="&amp;H$3,'Google data'!$A$3:$A$20000,"&lt;="&amp;H$4,'Google data'!$B$3:$B$20000,$A39),IF($B39="ChatGPT Ads",SUMIFS('ChatGPT data'!$I$3:$I$20000,'ChatGPT data'!$A$3:$A$20000,"&gt;="&amp;H$3,'ChatGPT data'!$A$3:$A$20000,"&lt;="&amp;H$4,'ChatGPT data'!$B$3:$B$20000,$A39),IF($B39="LinkedIn Ads",SUMIFS('LinkedIn data'!$I$3:$I$20000,'LinkedIn data'!$A$3:$A$20000,"&gt;="&amp;H$3,'LinkedIn data'!$A$3:$A$20000,"&lt;="&amp;H$4,'LinkedIn data'!$B$3:$B$20000,$A39),0)))))</f>
        <v>687.620217</v>
      </c>
      <c r="I39" s="14" t="n">
        <f aca="false">IF($A39="","",IF($B39="Meta",SUMIFS('Meta data'!$I$3:$I$20000,'Meta data'!$A$3:$A$20000,"&gt;="&amp;I$3,'Meta data'!$A$3:$A$20000,"&lt;="&amp;I$4,'Meta data'!$B$3:$B$20000,$A39),IF($B39="Google Ads",SUMIFS('Google data'!$I$3:$I$20000,'Google data'!$A$3:$A$20000,"&gt;="&amp;I$3,'Google data'!$A$3:$A$20000,"&lt;="&amp;I$4,'Google data'!$B$3:$B$20000,$A39),IF($B39="ChatGPT Ads",SUMIFS('ChatGPT data'!$I$3:$I$20000,'ChatGPT data'!$A$3:$A$20000,"&gt;="&amp;I$3,'ChatGPT data'!$A$3:$A$20000,"&lt;="&amp;I$4,'ChatGPT data'!$B$3:$B$20000,$A39),IF($B39="LinkedIn Ads",SUMIFS('LinkedIn data'!$I$3:$I$20000,'LinkedIn data'!$A$3:$A$20000,"&gt;="&amp;I$3,'LinkedIn data'!$A$3:$A$20000,"&lt;="&amp;I$4,'LinkedIn data'!$B$3:$B$20000,$A39),0)))))</f>
        <v>753.363331</v>
      </c>
      <c r="J39" s="14" t="n">
        <f aca="false">IF($A39="","",IF($B39="Meta",SUMIFS('Meta data'!$I$3:$I$20000,'Meta data'!$A$3:$A$20000,"&gt;="&amp;J$3,'Meta data'!$A$3:$A$20000,"&lt;="&amp;J$4,'Meta data'!$B$3:$B$20000,$A39),IF($B39="Google Ads",SUMIFS('Google data'!$I$3:$I$20000,'Google data'!$A$3:$A$20000,"&gt;="&amp;J$3,'Google data'!$A$3:$A$20000,"&lt;="&amp;J$4,'Google data'!$B$3:$B$20000,$A39),IF($B39="ChatGPT Ads",SUMIFS('ChatGPT data'!$I$3:$I$20000,'ChatGPT data'!$A$3:$A$20000,"&gt;="&amp;J$3,'ChatGPT data'!$A$3:$A$20000,"&lt;="&amp;J$4,'ChatGPT data'!$B$3:$B$20000,$A39),IF($B39="LinkedIn Ads",SUMIFS('LinkedIn data'!$I$3:$I$20000,'LinkedIn data'!$A$3:$A$20000,"&gt;="&amp;J$3,'LinkedIn data'!$A$3:$A$20000,"&lt;="&amp;J$4,'LinkedIn data'!$B$3:$B$20000,$A39),0)))))</f>
        <v>650.546108</v>
      </c>
      <c r="K39" s="14" t="n">
        <f aca="false">IF($A39="","",IF($B39="Meta",SUMIFS('Meta data'!$I$3:$I$20000,'Meta data'!$A$3:$A$20000,"&gt;="&amp;K$3,'Meta data'!$A$3:$A$20000,"&lt;="&amp;K$4,'Meta data'!$B$3:$B$20000,$A39),IF($B39="Google Ads",SUMIFS('Google data'!$I$3:$I$20000,'Google data'!$A$3:$A$20000,"&gt;="&amp;K$3,'Google data'!$A$3:$A$20000,"&lt;="&amp;K$4,'Google data'!$B$3:$B$20000,$A39),IF($B39="ChatGPT Ads",SUMIFS('ChatGPT data'!$I$3:$I$20000,'ChatGPT data'!$A$3:$A$20000,"&gt;="&amp;K$3,'ChatGPT data'!$A$3:$A$20000,"&lt;="&amp;K$4,'ChatGPT data'!$B$3:$B$20000,$A39),IF($B39="LinkedIn Ads",SUMIFS('LinkedIn data'!$I$3:$I$20000,'LinkedIn data'!$A$3:$A$20000,"&gt;="&amp;K$3,'LinkedIn data'!$A$3:$A$20000,"&lt;="&amp;K$4,'LinkedIn data'!$B$3:$B$20000,$A39),0)))))</f>
        <v>0</v>
      </c>
      <c r="L39" s="14" t="n">
        <f aca="false">IF($A39="","",IF($B39="Meta",SUMIFS('Meta data'!$I$3:$I$20000,'Meta data'!$A$3:$A$20000,"&gt;="&amp;L$3,'Meta data'!$A$3:$A$20000,"&lt;="&amp;L$4,'Meta data'!$B$3:$B$20000,$A39),IF($B39="Google Ads",SUMIFS('Google data'!$I$3:$I$20000,'Google data'!$A$3:$A$20000,"&gt;="&amp;L$3,'Google data'!$A$3:$A$20000,"&lt;="&amp;L$4,'Google data'!$B$3:$B$20000,$A39),IF($B39="ChatGPT Ads",SUMIFS('ChatGPT data'!$I$3:$I$20000,'ChatGPT data'!$A$3:$A$20000,"&gt;="&amp;L$3,'ChatGPT data'!$A$3:$A$20000,"&lt;="&amp;L$4,'ChatGPT data'!$B$3:$B$20000,$A39),IF($B39="LinkedIn Ads",SUMIFS('LinkedIn data'!$I$3:$I$20000,'LinkedIn data'!$A$3:$A$20000,"&gt;="&amp;L$3,'LinkedIn data'!$A$3:$A$20000,"&lt;="&amp;L$4,'LinkedIn data'!$B$3:$B$20000,$A39),0)))))</f>
        <v>0</v>
      </c>
      <c r="M39" s="14" t="n">
        <f aca="false">IF($A39="","",IF($B39="Meta",SUMIFS('Meta data'!$I$3:$I$20000,'Meta data'!$A$3:$A$20000,"&gt;="&amp;M$3,'Meta data'!$A$3:$A$20000,"&lt;="&amp;M$4,'Meta data'!$B$3:$B$20000,$A39),IF($B39="Google Ads",SUMIFS('Google data'!$I$3:$I$20000,'Google data'!$A$3:$A$20000,"&gt;="&amp;M$3,'Google data'!$A$3:$A$20000,"&lt;="&amp;M$4,'Google data'!$B$3:$B$20000,$A39),IF($B39="ChatGPT Ads",SUMIFS('ChatGPT data'!$I$3:$I$20000,'ChatGPT data'!$A$3:$A$20000,"&gt;="&amp;M$3,'ChatGPT data'!$A$3:$A$20000,"&lt;="&amp;M$4,'ChatGPT data'!$B$3:$B$20000,$A39),IF($B39="LinkedIn Ads",SUMIFS('LinkedIn data'!$I$3:$I$20000,'LinkedIn data'!$A$3:$A$20000,"&gt;="&amp;M$3,'LinkedIn data'!$A$3:$A$20000,"&lt;="&amp;M$4,'LinkedIn data'!$B$3:$B$20000,$A39),0)))))</f>
        <v>0</v>
      </c>
      <c r="N39" s="14" t="n">
        <f aca="false">IF($A39="","",IF($B39="Meta",SUMIFS('Meta data'!$I$3:$I$20000,'Meta data'!$A$3:$A$20000,"&gt;="&amp;N$3,'Meta data'!$A$3:$A$20000,"&lt;="&amp;N$4,'Meta data'!$B$3:$B$20000,$A39),IF($B39="Google Ads",SUMIFS('Google data'!$I$3:$I$20000,'Google data'!$A$3:$A$20000,"&gt;="&amp;N$3,'Google data'!$A$3:$A$20000,"&lt;="&amp;N$4,'Google data'!$B$3:$B$20000,$A39),IF($B39="ChatGPT Ads",SUMIFS('ChatGPT data'!$I$3:$I$20000,'ChatGPT data'!$A$3:$A$20000,"&gt;="&amp;N$3,'ChatGPT data'!$A$3:$A$20000,"&lt;="&amp;N$4,'ChatGPT data'!$B$3:$B$20000,$A39),IF($B39="LinkedIn Ads",SUMIFS('LinkedIn data'!$I$3:$I$20000,'LinkedIn data'!$A$3:$A$20000,"&gt;="&amp;N$3,'LinkedIn data'!$A$3:$A$20000,"&lt;="&amp;N$4,'LinkedIn data'!$B$3:$B$20000,$A39),0)))))</f>
        <v>0</v>
      </c>
      <c r="O39" s="14" t="n">
        <f aca="false">IF($A39="","",IF($B39="Meta",SUMIFS('Meta data'!$I$3:$I$20000,'Meta data'!$A$3:$A$20000,"&gt;="&amp;O$3,'Meta data'!$A$3:$A$20000,"&lt;="&amp;O$4,'Meta data'!$B$3:$B$20000,$A39),IF($B39="Google Ads",SUMIFS('Google data'!$I$3:$I$20000,'Google data'!$A$3:$A$20000,"&gt;="&amp;O$3,'Google data'!$A$3:$A$20000,"&lt;="&amp;O$4,'Google data'!$B$3:$B$20000,$A39),IF($B39="ChatGPT Ads",SUMIFS('ChatGPT data'!$I$3:$I$20000,'ChatGPT data'!$A$3:$A$20000,"&gt;="&amp;O$3,'ChatGPT data'!$A$3:$A$20000,"&lt;="&amp;O$4,'ChatGPT data'!$B$3:$B$20000,$A39),IF($B39="LinkedIn Ads",SUMIFS('LinkedIn data'!$I$3:$I$20000,'LinkedIn data'!$A$3:$A$20000,"&gt;="&amp;O$3,'LinkedIn data'!$A$3:$A$20000,"&lt;="&amp;O$4,'LinkedIn data'!$B$3:$B$20000,$A39),0)))))</f>
        <v>0</v>
      </c>
      <c r="P39" s="14" t="n">
        <f aca="false">IF($A39="","",IF($B39="Meta",SUMIFS('Meta data'!$I$3:$I$20000,'Meta data'!$A$3:$A$20000,"&gt;="&amp;P$3,'Meta data'!$A$3:$A$20000,"&lt;="&amp;P$4,'Meta data'!$B$3:$B$20000,$A39),IF($B39="Google Ads",SUMIFS('Google data'!$I$3:$I$20000,'Google data'!$A$3:$A$20000,"&gt;="&amp;P$3,'Google data'!$A$3:$A$20000,"&lt;="&amp;P$4,'Google data'!$B$3:$B$20000,$A39),IF($B39="ChatGPT Ads",SUMIFS('ChatGPT data'!$I$3:$I$20000,'ChatGPT data'!$A$3:$A$20000,"&gt;="&amp;P$3,'ChatGPT data'!$A$3:$A$20000,"&lt;="&amp;P$4,'ChatGPT data'!$B$3:$B$20000,$A39),IF($B39="LinkedIn Ads",SUMIFS('LinkedIn data'!$I$3:$I$20000,'LinkedIn data'!$A$3:$A$20000,"&gt;="&amp;P$3,'LinkedIn data'!$A$3:$A$20000,"&lt;="&amp;P$4,'LinkedIn data'!$B$3:$B$20000,$A39),0)))))</f>
        <v>0</v>
      </c>
      <c r="Q39" s="14" t="n">
        <f aca="false">IF($A39="","",IF($B39="Meta",SUMIFS('Meta data'!$I$3:$I$20000,'Meta data'!$A$3:$A$20000,"&gt;="&amp;Q$3,'Meta data'!$A$3:$A$20000,"&lt;="&amp;Q$4,'Meta data'!$B$3:$B$20000,$A39),IF($B39="Google Ads",SUMIFS('Google data'!$I$3:$I$20000,'Google data'!$A$3:$A$20000,"&gt;="&amp;Q$3,'Google data'!$A$3:$A$20000,"&lt;="&amp;Q$4,'Google data'!$B$3:$B$20000,$A39),IF($B39="ChatGPT Ads",SUMIFS('ChatGPT data'!$I$3:$I$20000,'ChatGPT data'!$A$3:$A$20000,"&gt;="&amp;Q$3,'ChatGPT data'!$A$3:$A$20000,"&lt;="&amp;Q$4,'ChatGPT data'!$B$3:$B$20000,$A39),IF($B39="LinkedIn Ads",SUMIFS('LinkedIn data'!$I$3:$I$20000,'LinkedIn data'!$A$3:$A$20000,"&gt;="&amp;Q$3,'LinkedIn data'!$A$3:$A$20000,"&lt;="&amp;Q$4,'LinkedIn data'!$B$3:$B$20000,$A39),0)))))</f>
        <v>0</v>
      </c>
      <c r="R39" s="15" t="n">
        <f aca="false">IF($A39="","",SUM(F39:Q39))</f>
        <v>3158.709616</v>
      </c>
      <c r="S39" s="37" t="n">
        <f aca="false">IF($A39="","",IF($B39="Meta",SUMIFS('Meta data'!$E$3:$E$20000,'Meta data'!$B$3:$B$20000,$A39),IF($B39="Google Ads",SUMIFS('Google data'!$E$3:$E$20000,'Google data'!$B$3:$B$20000,$A39),IF($B39="ChatGPT Ads",SUMIFS('ChatGPT data'!$E$3:$E$20000,'ChatGPT data'!$B$3:$B$20000,$A39),IF($B39="LinkedIn Ads",SUMIFS('LinkedIn data'!$E$3:$E$20000,'LinkedIn data'!$B$3:$B$20000,$A39),0)))))</f>
        <v>238</v>
      </c>
      <c r="T39" s="37" t="n">
        <f aca="false">IF($A39="","",IF($B39="Meta",SUMIFS('Meta data'!$F$3:$F$20000,'Meta data'!$B$3:$B$20000,$A39),IF($B39="Google Ads",SUMIFS('Google data'!$F$3:$F$20000,'Google data'!$B$3:$B$20000,$A39),IF($B39="ChatGPT Ads",SUMIFS('ChatGPT data'!$F$3:$F$20000,'ChatGPT data'!$B$3:$B$20000,$A39),IF($B39="LinkedIn Ads",SUMIFS('LinkedIn data'!$F$3:$F$20000,'LinkedIn data'!$B$3:$B$20000,$A39),0)))))</f>
        <v>10.08</v>
      </c>
      <c r="U39" s="38" t="n">
        <f aca="false">IF(OR($A39="",T39=0),"",R39/T39)</f>
        <v>313.364049206349</v>
      </c>
    </row>
    <row r="40" customFormat="false" ht="15" hidden="false" customHeight="false" outlineLevel="0" collapsed="false">
      <c r="A40" s="58" t="s">
        <v>199</v>
      </c>
      <c r="B40" s="58" t="s">
        <v>20</v>
      </c>
      <c r="C40" s="58" t="s">
        <v>143</v>
      </c>
      <c r="D40" s="58" t="s">
        <v>123</v>
      </c>
      <c r="E40" s="58" t="s">
        <v>150</v>
      </c>
      <c r="F40" s="14" t="n">
        <f aca="false">IF($A40="","",IF($B40="Meta",SUMIFS('Meta data'!$I$3:$I$20000,'Meta data'!$A$3:$A$20000,"&gt;="&amp;F$3,'Meta data'!$A$3:$A$20000,"&lt;="&amp;F$4,'Meta data'!$B$3:$B$20000,$A40),IF($B40="Google Ads",SUMIFS('Google data'!$I$3:$I$20000,'Google data'!$A$3:$A$20000,"&gt;="&amp;F$3,'Google data'!$A$3:$A$20000,"&lt;="&amp;F$4,'Google data'!$B$3:$B$20000,$A40),IF($B40="ChatGPT Ads",SUMIFS('ChatGPT data'!$I$3:$I$20000,'ChatGPT data'!$A$3:$A$20000,"&gt;="&amp;F$3,'ChatGPT data'!$A$3:$A$20000,"&lt;="&amp;F$4,'ChatGPT data'!$B$3:$B$20000,$A40),IF($B40="LinkedIn Ads",SUMIFS('LinkedIn data'!$I$3:$I$20000,'LinkedIn data'!$A$3:$A$20000,"&gt;="&amp;F$3,'LinkedIn data'!$A$3:$A$20000,"&lt;="&amp;F$4,'LinkedIn data'!$B$3:$B$20000,$A40),0)))))</f>
        <v>253.069634</v>
      </c>
      <c r="G40" s="14" t="n">
        <f aca="false">IF($A40="","",IF($B40="Meta",SUMIFS('Meta data'!$I$3:$I$20000,'Meta data'!$A$3:$A$20000,"&gt;="&amp;G$3,'Meta data'!$A$3:$A$20000,"&lt;="&amp;G$4,'Meta data'!$B$3:$B$20000,$A40),IF($B40="Google Ads",SUMIFS('Google data'!$I$3:$I$20000,'Google data'!$A$3:$A$20000,"&gt;="&amp;G$3,'Google data'!$A$3:$A$20000,"&lt;="&amp;G$4,'Google data'!$B$3:$B$20000,$A40),IF($B40="ChatGPT Ads",SUMIFS('ChatGPT data'!$I$3:$I$20000,'ChatGPT data'!$A$3:$A$20000,"&gt;="&amp;G$3,'ChatGPT data'!$A$3:$A$20000,"&lt;="&amp;G$4,'ChatGPT data'!$B$3:$B$20000,$A40),IF($B40="LinkedIn Ads",SUMIFS('LinkedIn data'!$I$3:$I$20000,'LinkedIn data'!$A$3:$A$20000,"&gt;="&amp;G$3,'LinkedIn data'!$A$3:$A$20000,"&lt;="&amp;G$4,'LinkedIn data'!$B$3:$B$20000,$A40),0)))))</f>
        <v>453.864439</v>
      </c>
      <c r="H40" s="14" t="n">
        <f aca="false">IF($A40="","",IF($B40="Meta",SUMIFS('Meta data'!$I$3:$I$20000,'Meta data'!$A$3:$A$20000,"&gt;="&amp;H$3,'Meta data'!$A$3:$A$20000,"&lt;="&amp;H$4,'Meta data'!$B$3:$B$20000,$A40),IF($B40="Google Ads",SUMIFS('Google data'!$I$3:$I$20000,'Google data'!$A$3:$A$20000,"&gt;="&amp;H$3,'Google data'!$A$3:$A$20000,"&lt;="&amp;H$4,'Google data'!$B$3:$B$20000,$A40),IF($B40="ChatGPT Ads",SUMIFS('ChatGPT data'!$I$3:$I$20000,'ChatGPT data'!$A$3:$A$20000,"&gt;="&amp;H$3,'ChatGPT data'!$A$3:$A$20000,"&lt;="&amp;H$4,'ChatGPT data'!$B$3:$B$20000,$A40),IF($B40="LinkedIn Ads",SUMIFS('LinkedIn data'!$I$3:$I$20000,'LinkedIn data'!$A$3:$A$20000,"&gt;="&amp;H$3,'LinkedIn data'!$A$3:$A$20000,"&lt;="&amp;H$4,'LinkedIn data'!$B$3:$B$20000,$A40),0)))))</f>
        <v>441.815633</v>
      </c>
      <c r="I40" s="14" t="n">
        <f aca="false">IF($A40="","",IF($B40="Meta",SUMIFS('Meta data'!$I$3:$I$20000,'Meta data'!$A$3:$A$20000,"&gt;="&amp;I$3,'Meta data'!$A$3:$A$20000,"&lt;="&amp;I$4,'Meta data'!$B$3:$B$20000,$A40),IF($B40="Google Ads",SUMIFS('Google data'!$I$3:$I$20000,'Google data'!$A$3:$A$20000,"&gt;="&amp;I$3,'Google data'!$A$3:$A$20000,"&lt;="&amp;I$4,'Google data'!$B$3:$B$20000,$A40),IF($B40="ChatGPT Ads",SUMIFS('ChatGPT data'!$I$3:$I$20000,'ChatGPT data'!$A$3:$A$20000,"&gt;="&amp;I$3,'ChatGPT data'!$A$3:$A$20000,"&lt;="&amp;I$4,'ChatGPT data'!$B$3:$B$20000,$A40),IF($B40="LinkedIn Ads",SUMIFS('LinkedIn data'!$I$3:$I$20000,'LinkedIn data'!$A$3:$A$20000,"&gt;="&amp;I$3,'LinkedIn data'!$A$3:$A$20000,"&lt;="&amp;I$4,'LinkedIn data'!$B$3:$B$20000,$A40),0)))))</f>
        <v>435.377681</v>
      </c>
      <c r="J40" s="14" t="n">
        <f aca="false">IF($A40="","",IF($B40="Meta",SUMIFS('Meta data'!$I$3:$I$20000,'Meta data'!$A$3:$A$20000,"&gt;="&amp;J$3,'Meta data'!$A$3:$A$20000,"&lt;="&amp;J$4,'Meta data'!$B$3:$B$20000,$A40),IF($B40="Google Ads",SUMIFS('Google data'!$I$3:$I$20000,'Google data'!$A$3:$A$20000,"&gt;="&amp;J$3,'Google data'!$A$3:$A$20000,"&lt;="&amp;J$4,'Google data'!$B$3:$B$20000,$A40),IF($B40="ChatGPT Ads",SUMIFS('ChatGPT data'!$I$3:$I$20000,'ChatGPT data'!$A$3:$A$20000,"&gt;="&amp;J$3,'ChatGPT data'!$A$3:$A$20000,"&lt;="&amp;J$4,'ChatGPT data'!$B$3:$B$20000,$A40),IF($B40="LinkedIn Ads",SUMIFS('LinkedIn data'!$I$3:$I$20000,'LinkedIn data'!$A$3:$A$20000,"&gt;="&amp;J$3,'LinkedIn data'!$A$3:$A$20000,"&lt;="&amp;J$4,'LinkedIn data'!$B$3:$B$20000,$A40),0)))))</f>
        <v>470.361691</v>
      </c>
      <c r="K40" s="14" t="n">
        <f aca="false">IF($A40="","",IF($B40="Meta",SUMIFS('Meta data'!$I$3:$I$20000,'Meta data'!$A$3:$A$20000,"&gt;="&amp;K$3,'Meta data'!$A$3:$A$20000,"&lt;="&amp;K$4,'Meta data'!$B$3:$B$20000,$A40),IF($B40="Google Ads",SUMIFS('Google data'!$I$3:$I$20000,'Google data'!$A$3:$A$20000,"&gt;="&amp;K$3,'Google data'!$A$3:$A$20000,"&lt;="&amp;K$4,'Google data'!$B$3:$B$20000,$A40),IF($B40="ChatGPT Ads",SUMIFS('ChatGPT data'!$I$3:$I$20000,'ChatGPT data'!$A$3:$A$20000,"&gt;="&amp;K$3,'ChatGPT data'!$A$3:$A$20000,"&lt;="&amp;K$4,'ChatGPT data'!$B$3:$B$20000,$A40),IF($B40="LinkedIn Ads",SUMIFS('LinkedIn data'!$I$3:$I$20000,'LinkedIn data'!$A$3:$A$20000,"&gt;="&amp;K$3,'LinkedIn data'!$A$3:$A$20000,"&lt;="&amp;K$4,'LinkedIn data'!$B$3:$B$20000,$A40),0)))))</f>
        <v>233.789309</v>
      </c>
      <c r="L40" s="14" t="n">
        <f aca="false">IF($A40="","",IF($B40="Meta",SUMIFS('Meta data'!$I$3:$I$20000,'Meta data'!$A$3:$A$20000,"&gt;="&amp;L$3,'Meta data'!$A$3:$A$20000,"&lt;="&amp;L$4,'Meta data'!$B$3:$B$20000,$A40),IF($B40="Google Ads",SUMIFS('Google data'!$I$3:$I$20000,'Google data'!$A$3:$A$20000,"&gt;="&amp;L$3,'Google data'!$A$3:$A$20000,"&lt;="&amp;L$4,'Google data'!$B$3:$B$20000,$A40),IF($B40="ChatGPT Ads",SUMIFS('ChatGPT data'!$I$3:$I$20000,'ChatGPT data'!$A$3:$A$20000,"&gt;="&amp;L$3,'ChatGPT data'!$A$3:$A$20000,"&lt;="&amp;L$4,'ChatGPT data'!$B$3:$B$20000,$A40),IF($B40="LinkedIn Ads",SUMIFS('LinkedIn data'!$I$3:$I$20000,'LinkedIn data'!$A$3:$A$20000,"&gt;="&amp;L$3,'LinkedIn data'!$A$3:$A$20000,"&lt;="&amp;L$4,'LinkedIn data'!$B$3:$B$20000,$A40),0)))))</f>
        <v>318.835102</v>
      </c>
      <c r="M40" s="14" t="n">
        <f aca="false">IF($A40="","",IF($B40="Meta",SUMIFS('Meta data'!$I$3:$I$20000,'Meta data'!$A$3:$A$20000,"&gt;="&amp;M$3,'Meta data'!$A$3:$A$20000,"&lt;="&amp;M$4,'Meta data'!$B$3:$B$20000,$A40),IF($B40="Google Ads",SUMIFS('Google data'!$I$3:$I$20000,'Google data'!$A$3:$A$20000,"&gt;="&amp;M$3,'Google data'!$A$3:$A$20000,"&lt;="&amp;M$4,'Google data'!$B$3:$B$20000,$A40),IF($B40="ChatGPT Ads",SUMIFS('ChatGPT data'!$I$3:$I$20000,'ChatGPT data'!$A$3:$A$20000,"&gt;="&amp;M$3,'ChatGPT data'!$A$3:$A$20000,"&lt;="&amp;M$4,'ChatGPT data'!$B$3:$B$20000,$A40),IF($B40="LinkedIn Ads",SUMIFS('LinkedIn data'!$I$3:$I$20000,'LinkedIn data'!$A$3:$A$20000,"&gt;="&amp;M$3,'LinkedIn data'!$A$3:$A$20000,"&lt;="&amp;M$4,'LinkedIn data'!$B$3:$B$20000,$A40),0)))))</f>
        <v>26.791269</v>
      </c>
      <c r="N40" s="14" t="n">
        <f aca="false">IF($A40="","",IF($B40="Meta",SUMIFS('Meta data'!$I$3:$I$20000,'Meta data'!$A$3:$A$20000,"&gt;="&amp;N$3,'Meta data'!$A$3:$A$20000,"&lt;="&amp;N$4,'Meta data'!$B$3:$B$20000,$A40),IF($B40="Google Ads",SUMIFS('Google data'!$I$3:$I$20000,'Google data'!$A$3:$A$20000,"&gt;="&amp;N$3,'Google data'!$A$3:$A$20000,"&lt;="&amp;N$4,'Google data'!$B$3:$B$20000,$A40),IF($B40="ChatGPT Ads",SUMIFS('ChatGPT data'!$I$3:$I$20000,'ChatGPT data'!$A$3:$A$20000,"&gt;="&amp;N$3,'ChatGPT data'!$A$3:$A$20000,"&lt;="&amp;N$4,'ChatGPT data'!$B$3:$B$20000,$A40),IF($B40="LinkedIn Ads",SUMIFS('LinkedIn data'!$I$3:$I$20000,'LinkedIn data'!$A$3:$A$20000,"&gt;="&amp;N$3,'LinkedIn data'!$A$3:$A$20000,"&lt;="&amp;N$4,'LinkedIn data'!$B$3:$B$20000,$A40),0)))))</f>
        <v>0</v>
      </c>
      <c r="O40" s="14" t="n">
        <f aca="false">IF($A40="","",IF($B40="Meta",SUMIFS('Meta data'!$I$3:$I$20000,'Meta data'!$A$3:$A$20000,"&gt;="&amp;O$3,'Meta data'!$A$3:$A$20000,"&lt;="&amp;O$4,'Meta data'!$B$3:$B$20000,$A40),IF($B40="Google Ads",SUMIFS('Google data'!$I$3:$I$20000,'Google data'!$A$3:$A$20000,"&gt;="&amp;O$3,'Google data'!$A$3:$A$20000,"&lt;="&amp;O$4,'Google data'!$B$3:$B$20000,$A40),IF($B40="ChatGPT Ads",SUMIFS('ChatGPT data'!$I$3:$I$20000,'ChatGPT data'!$A$3:$A$20000,"&gt;="&amp;O$3,'ChatGPT data'!$A$3:$A$20000,"&lt;="&amp;O$4,'ChatGPT data'!$B$3:$B$20000,$A40),IF($B40="LinkedIn Ads",SUMIFS('LinkedIn data'!$I$3:$I$20000,'LinkedIn data'!$A$3:$A$20000,"&gt;="&amp;O$3,'LinkedIn data'!$A$3:$A$20000,"&lt;="&amp;O$4,'LinkedIn data'!$B$3:$B$20000,$A40),0)))))</f>
        <v>0</v>
      </c>
      <c r="P40" s="14" t="n">
        <f aca="false">IF($A40="","",IF($B40="Meta",SUMIFS('Meta data'!$I$3:$I$20000,'Meta data'!$A$3:$A$20000,"&gt;="&amp;P$3,'Meta data'!$A$3:$A$20000,"&lt;="&amp;P$4,'Meta data'!$B$3:$B$20000,$A40),IF($B40="Google Ads",SUMIFS('Google data'!$I$3:$I$20000,'Google data'!$A$3:$A$20000,"&gt;="&amp;P$3,'Google data'!$A$3:$A$20000,"&lt;="&amp;P$4,'Google data'!$B$3:$B$20000,$A40),IF($B40="ChatGPT Ads",SUMIFS('ChatGPT data'!$I$3:$I$20000,'ChatGPT data'!$A$3:$A$20000,"&gt;="&amp;P$3,'ChatGPT data'!$A$3:$A$20000,"&lt;="&amp;P$4,'ChatGPT data'!$B$3:$B$20000,$A40),IF($B40="LinkedIn Ads",SUMIFS('LinkedIn data'!$I$3:$I$20000,'LinkedIn data'!$A$3:$A$20000,"&gt;="&amp;P$3,'LinkedIn data'!$A$3:$A$20000,"&lt;="&amp;P$4,'LinkedIn data'!$B$3:$B$20000,$A40),0)))))</f>
        <v>0</v>
      </c>
      <c r="Q40" s="14" t="n">
        <f aca="false">IF($A40="","",IF($B40="Meta",SUMIFS('Meta data'!$I$3:$I$20000,'Meta data'!$A$3:$A$20000,"&gt;="&amp;Q$3,'Meta data'!$A$3:$A$20000,"&lt;="&amp;Q$4,'Meta data'!$B$3:$B$20000,$A40),IF($B40="Google Ads",SUMIFS('Google data'!$I$3:$I$20000,'Google data'!$A$3:$A$20000,"&gt;="&amp;Q$3,'Google data'!$A$3:$A$20000,"&lt;="&amp;Q$4,'Google data'!$B$3:$B$20000,$A40),IF($B40="ChatGPT Ads",SUMIFS('ChatGPT data'!$I$3:$I$20000,'ChatGPT data'!$A$3:$A$20000,"&gt;="&amp;Q$3,'ChatGPT data'!$A$3:$A$20000,"&lt;="&amp;Q$4,'ChatGPT data'!$B$3:$B$20000,$A40),IF($B40="LinkedIn Ads",SUMIFS('LinkedIn data'!$I$3:$I$20000,'LinkedIn data'!$A$3:$A$20000,"&gt;="&amp;Q$3,'LinkedIn data'!$A$3:$A$20000,"&lt;="&amp;Q$4,'LinkedIn data'!$B$3:$B$20000,$A40),0)))))</f>
        <v>0</v>
      </c>
      <c r="R40" s="15" t="n">
        <f aca="false">IF($A40="","",SUM(F40:Q40))</f>
        <v>2633.904758</v>
      </c>
      <c r="S40" s="37" t="n">
        <f aca="false">IF($A40="","",IF($B40="Meta",SUMIFS('Meta data'!$E$3:$E$20000,'Meta data'!$B$3:$B$20000,$A40),IF($B40="Google Ads",SUMIFS('Google data'!$E$3:$E$20000,'Google data'!$B$3:$B$20000,$A40),IF($B40="ChatGPT Ads",SUMIFS('ChatGPT data'!$E$3:$E$20000,'ChatGPT data'!$B$3:$B$20000,$A40),IF($B40="LinkedIn Ads",SUMIFS('LinkedIn data'!$E$3:$E$20000,'LinkedIn data'!$B$3:$B$20000,$A40),0)))))</f>
        <v>1132</v>
      </c>
      <c r="T40" s="37" t="n">
        <f aca="false">IF($A40="","",IF($B40="Meta",SUMIFS('Meta data'!$F$3:$F$20000,'Meta data'!$B$3:$B$20000,$A40),IF($B40="Google Ads",SUMIFS('Google data'!$F$3:$F$20000,'Google data'!$B$3:$B$20000,$A40),IF($B40="ChatGPT Ads",SUMIFS('ChatGPT data'!$F$3:$F$20000,'ChatGPT data'!$B$3:$B$20000,$A40),IF($B40="LinkedIn Ads",SUMIFS('LinkedIn data'!$F$3:$F$20000,'LinkedIn data'!$B$3:$B$20000,$A40),0)))))</f>
        <v>77</v>
      </c>
      <c r="U40" s="38" t="n">
        <f aca="false">IF(OR($A40="",T40=0),"",R40/T40)</f>
        <v>34.2065552987013</v>
      </c>
    </row>
    <row r="41" customFormat="false" ht="15" hidden="false" customHeight="false" outlineLevel="0" collapsed="false">
      <c r="A41" s="58" t="s">
        <v>200</v>
      </c>
      <c r="B41" s="58" t="s">
        <v>20</v>
      </c>
      <c r="C41" s="58" t="s">
        <v>145</v>
      </c>
      <c r="D41" s="58" t="s">
        <v>124</v>
      </c>
      <c r="E41" s="58" t="s">
        <v>150</v>
      </c>
      <c r="F41" s="14" t="n">
        <f aca="false">IF($A41="","",IF($B41="Meta",SUMIFS('Meta data'!$I$3:$I$20000,'Meta data'!$A$3:$A$20000,"&gt;="&amp;F$3,'Meta data'!$A$3:$A$20000,"&lt;="&amp;F$4,'Meta data'!$B$3:$B$20000,$A41),IF($B41="Google Ads",SUMIFS('Google data'!$I$3:$I$20000,'Google data'!$A$3:$A$20000,"&gt;="&amp;F$3,'Google data'!$A$3:$A$20000,"&lt;="&amp;F$4,'Google data'!$B$3:$B$20000,$A41),IF($B41="ChatGPT Ads",SUMIFS('ChatGPT data'!$I$3:$I$20000,'ChatGPT data'!$A$3:$A$20000,"&gt;="&amp;F$3,'ChatGPT data'!$A$3:$A$20000,"&lt;="&amp;F$4,'ChatGPT data'!$B$3:$B$20000,$A41),IF($B41="LinkedIn Ads",SUMIFS('LinkedIn data'!$I$3:$I$20000,'LinkedIn data'!$A$3:$A$20000,"&gt;="&amp;F$3,'LinkedIn data'!$A$3:$A$20000,"&lt;="&amp;F$4,'LinkedIn data'!$B$3:$B$20000,$A41),0)))))</f>
        <v>326.021913</v>
      </c>
      <c r="G41" s="14" t="n">
        <f aca="false">IF($A41="","",IF($B41="Meta",SUMIFS('Meta data'!$I$3:$I$20000,'Meta data'!$A$3:$A$20000,"&gt;="&amp;G$3,'Meta data'!$A$3:$A$20000,"&lt;="&amp;G$4,'Meta data'!$B$3:$B$20000,$A41),IF($B41="Google Ads",SUMIFS('Google data'!$I$3:$I$20000,'Google data'!$A$3:$A$20000,"&gt;="&amp;G$3,'Google data'!$A$3:$A$20000,"&lt;="&amp;G$4,'Google data'!$B$3:$B$20000,$A41),IF($B41="ChatGPT Ads",SUMIFS('ChatGPT data'!$I$3:$I$20000,'ChatGPT data'!$A$3:$A$20000,"&gt;="&amp;G$3,'ChatGPT data'!$A$3:$A$20000,"&lt;="&amp;G$4,'ChatGPT data'!$B$3:$B$20000,$A41),IF($B41="LinkedIn Ads",SUMIFS('LinkedIn data'!$I$3:$I$20000,'LinkedIn data'!$A$3:$A$20000,"&gt;="&amp;G$3,'LinkedIn data'!$A$3:$A$20000,"&lt;="&amp;G$4,'LinkedIn data'!$B$3:$B$20000,$A41),0)))))</f>
        <v>546.89061</v>
      </c>
      <c r="H41" s="14" t="n">
        <f aca="false">IF($A41="","",IF($B41="Meta",SUMIFS('Meta data'!$I$3:$I$20000,'Meta data'!$A$3:$A$20000,"&gt;="&amp;H$3,'Meta data'!$A$3:$A$20000,"&lt;="&amp;H$4,'Meta data'!$B$3:$B$20000,$A41),IF($B41="Google Ads",SUMIFS('Google data'!$I$3:$I$20000,'Google data'!$A$3:$A$20000,"&gt;="&amp;H$3,'Google data'!$A$3:$A$20000,"&lt;="&amp;H$4,'Google data'!$B$3:$B$20000,$A41),IF($B41="ChatGPT Ads",SUMIFS('ChatGPT data'!$I$3:$I$20000,'ChatGPT data'!$A$3:$A$20000,"&gt;="&amp;H$3,'ChatGPT data'!$A$3:$A$20000,"&lt;="&amp;H$4,'ChatGPT data'!$B$3:$B$20000,$A41),IF($B41="LinkedIn Ads",SUMIFS('LinkedIn data'!$I$3:$I$20000,'LinkedIn data'!$A$3:$A$20000,"&gt;="&amp;H$3,'LinkedIn data'!$A$3:$A$20000,"&lt;="&amp;H$4,'LinkedIn data'!$B$3:$B$20000,$A41),0)))))</f>
        <v>549.438966</v>
      </c>
      <c r="I41" s="14" t="n">
        <f aca="false">IF($A41="","",IF($B41="Meta",SUMIFS('Meta data'!$I$3:$I$20000,'Meta data'!$A$3:$A$20000,"&gt;="&amp;I$3,'Meta data'!$A$3:$A$20000,"&lt;="&amp;I$4,'Meta data'!$B$3:$B$20000,$A41),IF($B41="Google Ads",SUMIFS('Google data'!$I$3:$I$20000,'Google data'!$A$3:$A$20000,"&gt;="&amp;I$3,'Google data'!$A$3:$A$20000,"&lt;="&amp;I$4,'Google data'!$B$3:$B$20000,$A41),IF($B41="ChatGPT Ads",SUMIFS('ChatGPT data'!$I$3:$I$20000,'ChatGPT data'!$A$3:$A$20000,"&gt;="&amp;I$3,'ChatGPT data'!$A$3:$A$20000,"&lt;="&amp;I$4,'ChatGPT data'!$B$3:$B$20000,$A41),IF($B41="LinkedIn Ads",SUMIFS('LinkedIn data'!$I$3:$I$20000,'LinkedIn data'!$A$3:$A$20000,"&gt;="&amp;I$3,'LinkedIn data'!$A$3:$A$20000,"&lt;="&amp;I$4,'LinkedIn data'!$B$3:$B$20000,$A41),0)))))</f>
        <v>534.640618</v>
      </c>
      <c r="J41" s="14" t="n">
        <f aca="false">IF($A41="","",IF($B41="Meta",SUMIFS('Meta data'!$I$3:$I$20000,'Meta data'!$A$3:$A$20000,"&gt;="&amp;J$3,'Meta data'!$A$3:$A$20000,"&lt;="&amp;J$4,'Meta data'!$B$3:$B$20000,$A41),IF($B41="Google Ads",SUMIFS('Google data'!$I$3:$I$20000,'Google data'!$A$3:$A$20000,"&gt;="&amp;J$3,'Google data'!$A$3:$A$20000,"&lt;="&amp;J$4,'Google data'!$B$3:$B$20000,$A41),IF($B41="ChatGPT Ads",SUMIFS('ChatGPT data'!$I$3:$I$20000,'ChatGPT data'!$A$3:$A$20000,"&gt;="&amp;J$3,'ChatGPT data'!$A$3:$A$20000,"&lt;="&amp;J$4,'ChatGPT data'!$B$3:$B$20000,$A41),IF($B41="LinkedIn Ads",SUMIFS('LinkedIn data'!$I$3:$I$20000,'LinkedIn data'!$A$3:$A$20000,"&gt;="&amp;J$3,'LinkedIn data'!$A$3:$A$20000,"&lt;="&amp;J$4,'LinkedIn data'!$B$3:$B$20000,$A41),0)))))</f>
        <v>458.581133</v>
      </c>
      <c r="K41" s="14" t="n">
        <f aca="false">IF($A41="","",IF($B41="Meta",SUMIFS('Meta data'!$I$3:$I$20000,'Meta data'!$A$3:$A$20000,"&gt;="&amp;K$3,'Meta data'!$A$3:$A$20000,"&lt;="&amp;K$4,'Meta data'!$B$3:$B$20000,$A41),IF($B41="Google Ads",SUMIFS('Google data'!$I$3:$I$20000,'Google data'!$A$3:$A$20000,"&gt;="&amp;K$3,'Google data'!$A$3:$A$20000,"&lt;="&amp;K$4,'Google data'!$B$3:$B$20000,$A41),IF($B41="ChatGPT Ads",SUMIFS('ChatGPT data'!$I$3:$I$20000,'ChatGPT data'!$A$3:$A$20000,"&gt;="&amp;K$3,'ChatGPT data'!$A$3:$A$20000,"&lt;="&amp;K$4,'ChatGPT data'!$B$3:$B$20000,$A41),IF($B41="LinkedIn Ads",SUMIFS('LinkedIn data'!$I$3:$I$20000,'LinkedIn data'!$A$3:$A$20000,"&gt;="&amp;K$3,'LinkedIn data'!$A$3:$A$20000,"&lt;="&amp;K$4,'LinkedIn data'!$B$3:$B$20000,$A41),0)))))</f>
        <v>0</v>
      </c>
      <c r="L41" s="14" t="n">
        <f aca="false">IF($A41="","",IF($B41="Meta",SUMIFS('Meta data'!$I$3:$I$20000,'Meta data'!$A$3:$A$20000,"&gt;="&amp;L$3,'Meta data'!$A$3:$A$20000,"&lt;="&amp;L$4,'Meta data'!$B$3:$B$20000,$A41),IF($B41="Google Ads",SUMIFS('Google data'!$I$3:$I$20000,'Google data'!$A$3:$A$20000,"&gt;="&amp;L$3,'Google data'!$A$3:$A$20000,"&lt;="&amp;L$4,'Google data'!$B$3:$B$20000,$A41),IF($B41="ChatGPT Ads",SUMIFS('ChatGPT data'!$I$3:$I$20000,'ChatGPT data'!$A$3:$A$20000,"&gt;="&amp;L$3,'ChatGPT data'!$A$3:$A$20000,"&lt;="&amp;L$4,'ChatGPT data'!$B$3:$B$20000,$A41),IF($B41="LinkedIn Ads",SUMIFS('LinkedIn data'!$I$3:$I$20000,'LinkedIn data'!$A$3:$A$20000,"&gt;="&amp;L$3,'LinkedIn data'!$A$3:$A$20000,"&lt;="&amp;L$4,'LinkedIn data'!$B$3:$B$20000,$A41),0)))))</f>
        <v>0</v>
      </c>
      <c r="M41" s="14" t="n">
        <f aca="false">IF($A41="","",IF($B41="Meta",SUMIFS('Meta data'!$I$3:$I$20000,'Meta data'!$A$3:$A$20000,"&gt;="&amp;M$3,'Meta data'!$A$3:$A$20000,"&lt;="&amp;M$4,'Meta data'!$B$3:$B$20000,$A41),IF($B41="Google Ads",SUMIFS('Google data'!$I$3:$I$20000,'Google data'!$A$3:$A$20000,"&gt;="&amp;M$3,'Google data'!$A$3:$A$20000,"&lt;="&amp;M$4,'Google data'!$B$3:$B$20000,$A41),IF($B41="ChatGPT Ads",SUMIFS('ChatGPT data'!$I$3:$I$20000,'ChatGPT data'!$A$3:$A$20000,"&gt;="&amp;M$3,'ChatGPT data'!$A$3:$A$20000,"&lt;="&amp;M$4,'ChatGPT data'!$B$3:$B$20000,$A41),IF($B41="LinkedIn Ads",SUMIFS('LinkedIn data'!$I$3:$I$20000,'LinkedIn data'!$A$3:$A$20000,"&gt;="&amp;M$3,'LinkedIn data'!$A$3:$A$20000,"&lt;="&amp;M$4,'LinkedIn data'!$B$3:$B$20000,$A41),0)))))</f>
        <v>0</v>
      </c>
      <c r="N41" s="14" t="n">
        <f aca="false">IF($A41="","",IF($B41="Meta",SUMIFS('Meta data'!$I$3:$I$20000,'Meta data'!$A$3:$A$20000,"&gt;="&amp;N$3,'Meta data'!$A$3:$A$20000,"&lt;="&amp;N$4,'Meta data'!$B$3:$B$20000,$A41),IF($B41="Google Ads",SUMIFS('Google data'!$I$3:$I$20000,'Google data'!$A$3:$A$20000,"&gt;="&amp;N$3,'Google data'!$A$3:$A$20000,"&lt;="&amp;N$4,'Google data'!$B$3:$B$20000,$A41),IF($B41="ChatGPT Ads",SUMIFS('ChatGPT data'!$I$3:$I$20000,'ChatGPT data'!$A$3:$A$20000,"&gt;="&amp;N$3,'ChatGPT data'!$A$3:$A$20000,"&lt;="&amp;N$4,'ChatGPT data'!$B$3:$B$20000,$A41),IF($B41="LinkedIn Ads",SUMIFS('LinkedIn data'!$I$3:$I$20000,'LinkedIn data'!$A$3:$A$20000,"&gt;="&amp;N$3,'LinkedIn data'!$A$3:$A$20000,"&lt;="&amp;N$4,'LinkedIn data'!$B$3:$B$20000,$A41),0)))))</f>
        <v>0</v>
      </c>
      <c r="O41" s="14" t="n">
        <f aca="false">IF($A41="","",IF($B41="Meta",SUMIFS('Meta data'!$I$3:$I$20000,'Meta data'!$A$3:$A$20000,"&gt;="&amp;O$3,'Meta data'!$A$3:$A$20000,"&lt;="&amp;O$4,'Meta data'!$B$3:$B$20000,$A41),IF($B41="Google Ads",SUMIFS('Google data'!$I$3:$I$20000,'Google data'!$A$3:$A$20000,"&gt;="&amp;O$3,'Google data'!$A$3:$A$20000,"&lt;="&amp;O$4,'Google data'!$B$3:$B$20000,$A41),IF($B41="ChatGPT Ads",SUMIFS('ChatGPT data'!$I$3:$I$20000,'ChatGPT data'!$A$3:$A$20000,"&gt;="&amp;O$3,'ChatGPT data'!$A$3:$A$20000,"&lt;="&amp;O$4,'ChatGPT data'!$B$3:$B$20000,$A41),IF($B41="LinkedIn Ads",SUMIFS('LinkedIn data'!$I$3:$I$20000,'LinkedIn data'!$A$3:$A$20000,"&gt;="&amp;O$3,'LinkedIn data'!$A$3:$A$20000,"&lt;="&amp;O$4,'LinkedIn data'!$B$3:$B$20000,$A41),0)))))</f>
        <v>0</v>
      </c>
      <c r="P41" s="14" t="n">
        <f aca="false">IF($A41="","",IF($B41="Meta",SUMIFS('Meta data'!$I$3:$I$20000,'Meta data'!$A$3:$A$20000,"&gt;="&amp;P$3,'Meta data'!$A$3:$A$20000,"&lt;="&amp;P$4,'Meta data'!$B$3:$B$20000,$A41),IF($B41="Google Ads",SUMIFS('Google data'!$I$3:$I$20000,'Google data'!$A$3:$A$20000,"&gt;="&amp;P$3,'Google data'!$A$3:$A$20000,"&lt;="&amp;P$4,'Google data'!$B$3:$B$20000,$A41),IF($B41="ChatGPT Ads",SUMIFS('ChatGPT data'!$I$3:$I$20000,'ChatGPT data'!$A$3:$A$20000,"&gt;="&amp;P$3,'ChatGPT data'!$A$3:$A$20000,"&lt;="&amp;P$4,'ChatGPT data'!$B$3:$B$20000,$A41),IF($B41="LinkedIn Ads",SUMIFS('LinkedIn data'!$I$3:$I$20000,'LinkedIn data'!$A$3:$A$20000,"&gt;="&amp;P$3,'LinkedIn data'!$A$3:$A$20000,"&lt;="&amp;P$4,'LinkedIn data'!$B$3:$B$20000,$A41),0)))))</f>
        <v>0</v>
      </c>
      <c r="Q41" s="14" t="n">
        <f aca="false">IF($A41="","",IF($B41="Meta",SUMIFS('Meta data'!$I$3:$I$20000,'Meta data'!$A$3:$A$20000,"&gt;="&amp;Q$3,'Meta data'!$A$3:$A$20000,"&lt;="&amp;Q$4,'Meta data'!$B$3:$B$20000,$A41),IF($B41="Google Ads",SUMIFS('Google data'!$I$3:$I$20000,'Google data'!$A$3:$A$20000,"&gt;="&amp;Q$3,'Google data'!$A$3:$A$20000,"&lt;="&amp;Q$4,'Google data'!$B$3:$B$20000,$A41),IF($B41="ChatGPT Ads",SUMIFS('ChatGPT data'!$I$3:$I$20000,'ChatGPT data'!$A$3:$A$20000,"&gt;="&amp;Q$3,'ChatGPT data'!$A$3:$A$20000,"&lt;="&amp;Q$4,'ChatGPT data'!$B$3:$B$20000,$A41),IF($B41="LinkedIn Ads",SUMIFS('LinkedIn data'!$I$3:$I$20000,'LinkedIn data'!$A$3:$A$20000,"&gt;="&amp;Q$3,'LinkedIn data'!$A$3:$A$20000,"&lt;="&amp;Q$4,'LinkedIn data'!$B$3:$B$20000,$A41),0)))))</f>
        <v>0</v>
      </c>
      <c r="R41" s="15" t="n">
        <f aca="false">IF($A41="","",SUM(F41:Q41))</f>
        <v>2415.57324</v>
      </c>
      <c r="S41" s="37" t="n">
        <f aca="false">IF($A41="","",IF($B41="Meta",SUMIFS('Meta data'!$E$3:$E$20000,'Meta data'!$B$3:$B$20000,$A41),IF($B41="Google Ads",SUMIFS('Google data'!$E$3:$E$20000,'Google data'!$B$3:$B$20000,$A41),IF($B41="ChatGPT Ads",SUMIFS('ChatGPT data'!$E$3:$E$20000,'ChatGPT data'!$B$3:$B$20000,$A41),IF($B41="LinkedIn Ads",SUMIFS('LinkedIn data'!$E$3:$E$20000,'LinkedIn data'!$B$3:$B$20000,$A41),0)))))</f>
        <v>181</v>
      </c>
      <c r="T41" s="37" t="n">
        <f aca="false">IF($A41="","",IF($B41="Meta",SUMIFS('Meta data'!$F$3:$F$20000,'Meta data'!$B$3:$B$20000,$A41),IF($B41="Google Ads",SUMIFS('Google data'!$F$3:$F$20000,'Google data'!$B$3:$B$20000,$A41),IF($B41="ChatGPT Ads",SUMIFS('ChatGPT data'!$F$3:$F$20000,'ChatGPT data'!$B$3:$B$20000,$A41),IF($B41="LinkedIn Ads",SUMIFS('LinkedIn data'!$F$3:$F$20000,'LinkedIn data'!$B$3:$B$20000,$A41),0)))))</f>
        <v>8.67</v>
      </c>
      <c r="U41" s="38" t="n">
        <f aca="false">IF(OR($A41="",T41=0),"",R41/T41)</f>
        <v>278.612830449827</v>
      </c>
    </row>
    <row r="42" customFormat="false" ht="15" hidden="false" customHeight="false" outlineLevel="0" collapsed="false">
      <c r="A42" s="58" t="s">
        <v>201</v>
      </c>
      <c r="B42" s="58" t="s">
        <v>20</v>
      </c>
      <c r="C42" s="58" t="s">
        <v>140</v>
      </c>
      <c r="D42" s="58" t="s">
        <v>123</v>
      </c>
      <c r="E42" s="58" t="s">
        <v>150</v>
      </c>
      <c r="F42" s="14" t="n">
        <f aca="false">IF($A42="","",IF($B42="Meta",SUMIFS('Meta data'!$I$3:$I$20000,'Meta data'!$A$3:$A$20000,"&gt;="&amp;F$3,'Meta data'!$A$3:$A$20000,"&lt;="&amp;F$4,'Meta data'!$B$3:$B$20000,$A42),IF($B42="Google Ads",SUMIFS('Google data'!$I$3:$I$20000,'Google data'!$A$3:$A$20000,"&gt;="&amp;F$3,'Google data'!$A$3:$A$20000,"&lt;="&amp;F$4,'Google data'!$B$3:$B$20000,$A42),IF($B42="ChatGPT Ads",SUMIFS('ChatGPT data'!$I$3:$I$20000,'ChatGPT data'!$A$3:$A$20000,"&gt;="&amp;F$3,'ChatGPT data'!$A$3:$A$20000,"&lt;="&amp;F$4,'ChatGPT data'!$B$3:$B$20000,$A42),IF($B42="LinkedIn Ads",SUMIFS('LinkedIn data'!$I$3:$I$20000,'LinkedIn data'!$A$3:$A$20000,"&gt;="&amp;F$3,'LinkedIn data'!$A$3:$A$20000,"&lt;="&amp;F$4,'LinkedIn data'!$B$3:$B$20000,$A42),0)))))</f>
        <v>79.602594</v>
      </c>
      <c r="G42" s="14" t="n">
        <f aca="false">IF($A42="","",IF($B42="Meta",SUMIFS('Meta data'!$I$3:$I$20000,'Meta data'!$A$3:$A$20000,"&gt;="&amp;G$3,'Meta data'!$A$3:$A$20000,"&lt;="&amp;G$4,'Meta data'!$B$3:$B$20000,$A42),IF($B42="Google Ads",SUMIFS('Google data'!$I$3:$I$20000,'Google data'!$A$3:$A$20000,"&gt;="&amp;G$3,'Google data'!$A$3:$A$20000,"&lt;="&amp;G$4,'Google data'!$B$3:$B$20000,$A42),IF($B42="ChatGPT Ads",SUMIFS('ChatGPT data'!$I$3:$I$20000,'ChatGPT data'!$A$3:$A$20000,"&gt;="&amp;G$3,'ChatGPT data'!$A$3:$A$20000,"&lt;="&amp;G$4,'ChatGPT data'!$B$3:$B$20000,$A42),IF($B42="LinkedIn Ads",SUMIFS('LinkedIn data'!$I$3:$I$20000,'LinkedIn data'!$A$3:$A$20000,"&gt;="&amp;G$3,'LinkedIn data'!$A$3:$A$20000,"&lt;="&amp;G$4,'LinkedIn data'!$B$3:$B$20000,$A42),0)))))</f>
        <v>180.117355</v>
      </c>
      <c r="H42" s="14" t="n">
        <f aca="false">IF($A42="","",IF($B42="Meta",SUMIFS('Meta data'!$I$3:$I$20000,'Meta data'!$A$3:$A$20000,"&gt;="&amp;H$3,'Meta data'!$A$3:$A$20000,"&lt;="&amp;H$4,'Meta data'!$B$3:$B$20000,$A42),IF($B42="Google Ads",SUMIFS('Google data'!$I$3:$I$20000,'Google data'!$A$3:$A$20000,"&gt;="&amp;H$3,'Google data'!$A$3:$A$20000,"&lt;="&amp;H$4,'Google data'!$B$3:$B$20000,$A42),IF($B42="ChatGPT Ads",SUMIFS('ChatGPT data'!$I$3:$I$20000,'ChatGPT data'!$A$3:$A$20000,"&gt;="&amp;H$3,'ChatGPT data'!$A$3:$A$20000,"&lt;="&amp;H$4,'ChatGPT data'!$B$3:$B$20000,$A42),IF($B42="LinkedIn Ads",SUMIFS('LinkedIn data'!$I$3:$I$20000,'LinkedIn data'!$A$3:$A$20000,"&gt;="&amp;H$3,'LinkedIn data'!$A$3:$A$20000,"&lt;="&amp;H$4,'LinkedIn data'!$B$3:$B$20000,$A42),0)))))</f>
        <v>270.639878</v>
      </c>
      <c r="I42" s="14" t="n">
        <f aca="false">IF($A42="","",IF($B42="Meta",SUMIFS('Meta data'!$I$3:$I$20000,'Meta data'!$A$3:$A$20000,"&gt;="&amp;I$3,'Meta data'!$A$3:$A$20000,"&lt;="&amp;I$4,'Meta data'!$B$3:$B$20000,$A42),IF($B42="Google Ads",SUMIFS('Google data'!$I$3:$I$20000,'Google data'!$A$3:$A$20000,"&gt;="&amp;I$3,'Google data'!$A$3:$A$20000,"&lt;="&amp;I$4,'Google data'!$B$3:$B$20000,$A42),IF($B42="ChatGPT Ads",SUMIFS('ChatGPT data'!$I$3:$I$20000,'ChatGPT data'!$A$3:$A$20000,"&gt;="&amp;I$3,'ChatGPT data'!$A$3:$A$20000,"&lt;="&amp;I$4,'ChatGPT data'!$B$3:$B$20000,$A42),IF($B42="LinkedIn Ads",SUMIFS('LinkedIn data'!$I$3:$I$20000,'LinkedIn data'!$A$3:$A$20000,"&gt;="&amp;I$3,'LinkedIn data'!$A$3:$A$20000,"&lt;="&amp;I$4,'LinkedIn data'!$B$3:$B$20000,$A42),0)))))</f>
        <v>264.850192</v>
      </c>
      <c r="J42" s="14" t="n">
        <f aca="false">IF($A42="","",IF($B42="Meta",SUMIFS('Meta data'!$I$3:$I$20000,'Meta data'!$A$3:$A$20000,"&gt;="&amp;J$3,'Meta data'!$A$3:$A$20000,"&lt;="&amp;J$4,'Meta data'!$B$3:$B$20000,$A42),IF($B42="Google Ads",SUMIFS('Google data'!$I$3:$I$20000,'Google data'!$A$3:$A$20000,"&gt;="&amp;J$3,'Google data'!$A$3:$A$20000,"&lt;="&amp;J$4,'Google data'!$B$3:$B$20000,$A42),IF($B42="ChatGPT Ads",SUMIFS('ChatGPT data'!$I$3:$I$20000,'ChatGPT data'!$A$3:$A$20000,"&gt;="&amp;J$3,'ChatGPT data'!$A$3:$A$20000,"&lt;="&amp;J$4,'ChatGPT data'!$B$3:$B$20000,$A42),IF($B42="LinkedIn Ads",SUMIFS('LinkedIn data'!$I$3:$I$20000,'LinkedIn data'!$A$3:$A$20000,"&gt;="&amp;J$3,'LinkedIn data'!$A$3:$A$20000,"&lt;="&amp;J$4,'LinkedIn data'!$B$3:$B$20000,$A42),0)))))</f>
        <v>274.39535</v>
      </c>
      <c r="K42" s="14" t="n">
        <f aca="false">IF($A42="","",IF($B42="Meta",SUMIFS('Meta data'!$I$3:$I$20000,'Meta data'!$A$3:$A$20000,"&gt;="&amp;K$3,'Meta data'!$A$3:$A$20000,"&lt;="&amp;K$4,'Meta data'!$B$3:$B$20000,$A42),IF($B42="Google Ads",SUMIFS('Google data'!$I$3:$I$20000,'Google data'!$A$3:$A$20000,"&gt;="&amp;K$3,'Google data'!$A$3:$A$20000,"&lt;="&amp;K$4,'Google data'!$B$3:$B$20000,$A42),IF($B42="ChatGPT Ads",SUMIFS('ChatGPT data'!$I$3:$I$20000,'ChatGPT data'!$A$3:$A$20000,"&gt;="&amp;K$3,'ChatGPT data'!$A$3:$A$20000,"&lt;="&amp;K$4,'ChatGPT data'!$B$3:$B$20000,$A42),IF($B42="LinkedIn Ads",SUMIFS('LinkedIn data'!$I$3:$I$20000,'LinkedIn data'!$A$3:$A$20000,"&gt;="&amp;K$3,'LinkedIn data'!$A$3:$A$20000,"&lt;="&amp;K$4,'LinkedIn data'!$B$3:$B$20000,$A42),0)))))</f>
        <v>274.104748</v>
      </c>
      <c r="L42" s="14" t="n">
        <f aca="false">IF($A42="","",IF($B42="Meta",SUMIFS('Meta data'!$I$3:$I$20000,'Meta data'!$A$3:$A$20000,"&gt;="&amp;L$3,'Meta data'!$A$3:$A$20000,"&lt;="&amp;L$4,'Meta data'!$B$3:$B$20000,$A42),IF($B42="Google Ads",SUMIFS('Google data'!$I$3:$I$20000,'Google data'!$A$3:$A$20000,"&gt;="&amp;L$3,'Google data'!$A$3:$A$20000,"&lt;="&amp;L$4,'Google data'!$B$3:$B$20000,$A42),IF($B42="ChatGPT Ads",SUMIFS('ChatGPT data'!$I$3:$I$20000,'ChatGPT data'!$A$3:$A$20000,"&gt;="&amp;L$3,'ChatGPT data'!$A$3:$A$20000,"&lt;="&amp;L$4,'ChatGPT data'!$B$3:$B$20000,$A42),IF($B42="LinkedIn Ads",SUMIFS('LinkedIn data'!$I$3:$I$20000,'LinkedIn data'!$A$3:$A$20000,"&gt;="&amp;L$3,'LinkedIn data'!$A$3:$A$20000,"&lt;="&amp;L$4,'LinkedIn data'!$B$3:$B$20000,$A42),0)))))</f>
        <v>258.892851</v>
      </c>
      <c r="M42" s="14" t="n">
        <f aca="false">IF($A42="","",IF($B42="Meta",SUMIFS('Meta data'!$I$3:$I$20000,'Meta data'!$A$3:$A$20000,"&gt;="&amp;M$3,'Meta data'!$A$3:$A$20000,"&lt;="&amp;M$4,'Meta data'!$B$3:$B$20000,$A42),IF($B42="Google Ads",SUMIFS('Google data'!$I$3:$I$20000,'Google data'!$A$3:$A$20000,"&gt;="&amp;M$3,'Google data'!$A$3:$A$20000,"&lt;="&amp;M$4,'Google data'!$B$3:$B$20000,$A42),IF($B42="ChatGPT Ads",SUMIFS('ChatGPT data'!$I$3:$I$20000,'ChatGPT data'!$A$3:$A$20000,"&gt;="&amp;M$3,'ChatGPT data'!$A$3:$A$20000,"&lt;="&amp;M$4,'ChatGPT data'!$B$3:$B$20000,$A42),IF($B42="LinkedIn Ads",SUMIFS('LinkedIn data'!$I$3:$I$20000,'LinkedIn data'!$A$3:$A$20000,"&gt;="&amp;M$3,'LinkedIn data'!$A$3:$A$20000,"&lt;="&amp;M$4,'LinkedIn data'!$B$3:$B$20000,$A42),0)))))</f>
        <v>99.520008</v>
      </c>
      <c r="N42" s="14" t="n">
        <f aca="false">IF($A42="","",IF($B42="Meta",SUMIFS('Meta data'!$I$3:$I$20000,'Meta data'!$A$3:$A$20000,"&gt;="&amp;N$3,'Meta data'!$A$3:$A$20000,"&lt;="&amp;N$4,'Meta data'!$B$3:$B$20000,$A42),IF($B42="Google Ads",SUMIFS('Google data'!$I$3:$I$20000,'Google data'!$A$3:$A$20000,"&gt;="&amp;N$3,'Google data'!$A$3:$A$20000,"&lt;="&amp;N$4,'Google data'!$B$3:$B$20000,$A42),IF($B42="ChatGPT Ads",SUMIFS('ChatGPT data'!$I$3:$I$20000,'ChatGPT data'!$A$3:$A$20000,"&gt;="&amp;N$3,'ChatGPT data'!$A$3:$A$20000,"&lt;="&amp;N$4,'ChatGPT data'!$B$3:$B$20000,$A42),IF($B42="LinkedIn Ads",SUMIFS('LinkedIn data'!$I$3:$I$20000,'LinkedIn data'!$A$3:$A$20000,"&gt;="&amp;N$3,'LinkedIn data'!$A$3:$A$20000,"&lt;="&amp;N$4,'LinkedIn data'!$B$3:$B$20000,$A42),0)))))</f>
        <v>0</v>
      </c>
      <c r="O42" s="14" t="n">
        <f aca="false">IF($A42="","",IF($B42="Meta",SUMIFS('Meta data'!$I$3:$I$20000,'Meta data'!$A$3:$A$20000,"&gt;="&amp;O$3,'Meta data'!$A$3:$A$20000,"&lt;="&amp;O$4,'Meta data'!$B$3:$B$20000,$A42),IF($B42="Google Ads",SUMIFS('Google data'!$I$3:$I$20000,'Google data'!$A$3:$A$20000,"&gt;="&amp;O$3,'Google data'!$A$3:$A$20000,"&lt;="&amp;O$4,'Google data'!$B$3:$B$20000,$A42),IF($B42="ChatGPT Ads",SUMIFS('ChatGPT data'!$I$3:$I$20000,'ChatGPT data'!$A$3:$A$20000,"&gt;="&amp;O$3,'ChatGPT data'!$A$3:$A$20000,"&lt;="&amp;O$4,'ChatGPT data'!$B$3:$B$20000,$A42),IF($B42="LinkedIn Ads",SUMIFS('LinkedIn data'!$I$3:$I$20000,'LinkedIn data'!$A$3:$A$20000,"&gt;="&amp;O$3,'LinkedIn data'!$A$3:$A$20000,"&lt;="&amp;O$4,'LinkedIn data'!$B$3:$B$20000,$A42),0)))))</f>
        <v>0</v>
      </c>
      <c r="P42" s="14" t="n">
        <f aca="false">IF($A42="","",IF($B42="Meta",SUMIFS('Meta data'!$I$3:$I$20000,'Meta data'!$A$3:$A$20000,"&gt;="&amp;P$3,'Meta data'!$A$3:$A$20000,"&lt;="&amp;P$4,'Meta data'!$B$3:$B$20000,$A42),IF($B42="Google Ads",SUMIFS('Google data'!$I$3:$I$20000,'Google data'!$A$3:$A$20000,"&gt;="&amp;P$3,'Google data'!$A$3:$A$20000,"&lt;="&amp;P$4,'Google data'!$B$3:$B$20000,$A42),IF($B42="ChatGPT Ads",SUMIFS('ChatGPT data'!$I$3:$I$20000,'ChatGPT data'!$A$3:$A$20000,"&gt;="&amp;P$3,'ChatGPT data'!$A$3:$A$20000,"&lt;="&amp;P$4,'ChatGPT data'!$B$3:$B$20000,$A42),IF($B42="LinkedIn Ads",SUMIFS('LinkedIn data'!$I$3:$I$20000,'LinkedIn data'!$A$3:$A$20000,"&gt;="&amp;P$3,'LinkedIn data'!$A$3:$A$20000,"&lt;="&amp;P$4,'LinkedIn data'!$B$3:$B$20000,$A42),0)))))</f>
        <v>0</v>
      </c>
      <c r="Q42" s="14" t="n">
        <f aca="false">IF($A42="","",IF($B42="Meta",SUMIFS('Meta data'!$I$3:$I$20000,'Meta data'!$A$3:$A$20000,"&gt;="&amp;Q$3,'Meta data'!$A$3:$A$20000,"&lt;="&amp;Q$4,'Meta data'!$B$3:$B$20000,$A42),IF($B42="Google Ads",SUMIFS('Google data'!$I$3:$I$20000,'Google data'!$A$3:$A$20000,"&gt;="&amp;Q$3,'Google data'!$A$3:$A$20000,"&lt;="&amp;Q$4,'Google data'!$B$3:$B$20000,$A42),IF($B42="ChatGPT Ads",SUMIFS('ChatGPT data'!$I$3:$I$20000,'ChatGPT data'!$A$3:$A$20000,"&gt;="&amp;Q$3,'ChatGPT data'!$A$3:$A$20000,"&lt;="&amp;Q$4,'ChatGPT data'!$B$3:$B$20000,$A42),IF($B42="LinkedIn Ads",SUMIFS('LinkedIn data'!$I$3:$I$20000,'LinkedIn data'!$A$3:$A$20000,"&gt;="&amp;Q$3,'LinkedIn data'!$A$3:$A$20000,"&lt;="&amp;Q$4,'LinkedIn data'!$B$3:$B$20000,$A42),0)))))</f>
        <v>0</v>
      </c>
      <c r="R42" s="15" t="n">
        <f aca="false">IF($A42="","",SUM(F42:Q42))</f>
        <v>1702.122976</v>
      </c>
      <c r="S42" s="37" t="n">
        <f aca="false">IF($A42="","",IF($B42="Meta",SUMIFS('Meta data'!$E$3:$E$20000,'Meta data'!$B$3:$B$20000,$A42),IF($B42="Google Ads",SUMIFS('Google data'!$E$3:$E$20000,'Google data'!$B$3:$B$20000,$A42),IF($B42="ChatGPT Ads",SUMIFS('ChatGPT data'!$E$3:$E$20000,'ChatGPT data'!$B$3:$B$20000,$A42),IF($B42="LinkedIn Ads",SUMIFS('LinkedIn data'!$E$3:$E$20000,'LinkedIn data'!$B$3:$B$20000,$A42),0)))))</f>
        <v>1047</v>
      </c>
      <c r="T42" s="37" t="n">
        <f aca="false">IF($A42="","",IF($B42="Meta",SUMIFS('Meta data'!$F$3:$F$20000,'Meta data'!$B$3:$B$20000,$A42),IF($B42="Google Ads",SUMIFS('Google data'!$F$3:$F$20000,'Google data'!$B$3:$B$20000,$A42),IF($B42="ChatGPT Ads",SUMIFS('ChatGPT data'!$F$3:$F$20000,'ChatGPT data'!$B$3:$B$20000,$A42),IF($B42="LinkedIn Ads",SUMIFS('LinkedIn data'!$F$3:$F$20000,'LinkedIn data'!$B$3:$B$20000,$A42),0)))))</f>
        <v>44.97</v>
      </c>
      <c r="U42" s="38" t="n">
        <f aca="false">IF(OR($A42="",T42=0),"",R42/T42)</f>
        <v>37.8501884812097</v>
      </c>
    </row>
    <row r="43" customFormat="false" ht="15" hidden="false" customHeight="false" outlineLevel="0" collapsed="false">
      <c r="A43" s="58" t="s">
        <v>202</v>
      </c>
      <c r="B43" s="58" t="s">
        <v>20</v>
      </c>
      <c r="C43" s="58" t="s">
        <v>146</v>
      </c>
      <c r="D43" s="58" t="s">
        <v>124</v>
      </c>
      <c r="E43" s="58" t="s">
        <v>150</v>
      </c>
      <c r="F43" s="14" t="n">
        <f aca="false">IF($A43="","",IF($B43="Meta",SUMIFS('Meta data'!$I$3:$I$20000,'Meta data'!$A$3:$A$20000,"&gt;="&amp;F$3,'Meta data'!$A$3:$A$20000,"&lt;="&amp;F$4,'Meta data'!$B$3:$B$20000,$A43),IF($B43="Google Ads",SUMIFS('Google data'!$I$3:$I$20000,'Google data'!$A$3:$A$20000,"&gt;="&amp;F$3,'Google data'!$A$3:$A$20000,"&lt;="&amp;F$4,'Google data'!$B$3:$B$20000,$A43),IF($B43="ChatGPT Ads",SUMIFS('ChatGPT data'!$I$3:$I$20000,'ChatGPT data'!$A$3:$A$20000,"&gt;="&amp;F$3,'ChatGPT data'!$A$3:$A$20000,"&lt;="&amp;F$4,'ChatGPT data'!$B$3:$B$20000,$A43),IF($B43="LinkedIn Ads",SUMIFS('LinkedIn data'!$I$3:$I$20000,'LinkedIn data'!$A$3:$A$20000,"&gt;="&amp;F$3,'LinkedIn data'!$A$3:$A$20000,"&lt;="&amp;F$4,'LinkedIn data'!$B$3:$B$20000,$A43),0)))))</f>
        <v>148.87764</v>
      </c>
      <c r="G43" s="14" t="n">
        <f aca="false">IF($A43="","",IF($B43="Meta",SUMIFS('Meta data'!$I$3:$I$20000,'Meta data'!$A$3:$A$20000,"&gt;="&amp;G$3,'Meta data'!$A$3:$A$20000,"&lt;="&amp;G$4,'Meta data'!$B$3:$B$20000,$A43),IF($B43="Google Ads",SUMIFS('Google data'!$I$3:$I$20000,'Google data'!$A$3:$A$20000,"&gt;="&amp;G$3,'Google data'!$A$3:$A$20000,"&lt;="&amp;G$4,'Google data'!$B$3:$B$20000,$A43),IF($B43="ChatGPT Ads",SUMIFS('ChatGPT data'!$I$3:$I$20000,'ChatGPT data'!$A$3:$A$20000,"&gt;="&amp;G$3,'ChatGPT data'!$A$3:$A$20000,"&lt;="&amp;G$4,'ChatGPT data'!$B$3:$B$20000,$A43),IF($B43="LinkedIn Ads",SUMIFS('LinkedIn data'!$I$3:$I$20000,'LinkedIn data'!$A$3:$A$20000,"&gt;="&amp;G$3,'LinkedIn data'!$A$3:$A$20000,"&lt;="&amp;G$4,'LinkedIn data'!$B$3:$B$20000,$A43),0)))))</f>
        <v>394.749286</v>
      </c>
      <c r="H43" s="14" t="n">
        <f aca="false">IF($A43="","",IF($B43="Meta",SUMIFS('Meta data'!$I$3:$I$20000,'Meta data'!$A$3:$A$20000,"&gt;="&amp;H$3,'Meta data'!$A$3:$A$20000,"&lt;="&amp;H$4,'Meta data'!$B$3:$B$20000,$A43),IF($B43="Google Ads",SUMIFS('Google data'!$I$3:$I$20000,'Google data'!$A$3:$A$20000,"&gt;="&amp;H$3,'Google data'!$A$3:$A$20000,"&lt;="&amp;H$4,'Google data'!$B$3:$B$20000,$A43),IF($B43="ChatGPT Ads",SUMIFS('ChatGPT data'!$I$3:$I$20000,'ChatGPT data'!$A$3:$A$20000,"&gt;="&amp;H$3,'ChatGPT data'!$A$3:$A$20000,"&lt;="&amp;H$4,'ChatGPT data'!$B$3:$B$20000,$A43),IF($B43="LinkedIn Ads",SUMIFS('LinkedIn data'!$I$3:$I$20000,'LinkedIn data'!$A$3:$A$20000,"&gt;="&amp;H$3,'LinkedIn data'!$A$3:$A$20000,"&lt;="&amp;H$4,'LinkedIn data'!$B$3:$B$20000,$A43),0)))))</f>
        <v>410.788281</v>
      </c>
      <c r="I43" s="14" t="n">
        <f aca="false">IF($A43="","",IF($B43="Meta",SUMIFS('Meta data'!$I$3:$I$20000,'Meta data'!$A$3:$A$20000,"&gt;="&amp;I$3,'Meta data'!$A$3:$A$20000,"&lt;="&amp;I$4,'Meta data'!$B$3:$B$20000,$A43),IF($B43="Google Ads",SUMIFS('Google data'!$I$3:$I$20000,'Google data'!$A$3:$A$20000,"&gt;="&amp;I$3,'Google data'!$A$3:$A$20000,"&lt;="&amp;I$4,'Google data'!$B$3:$B$20000,$A43),IF($B43="ChatGPT Ads",SUMIFS('ChatGPT data'!$I$3:$I$20000,'ChatGPT data'!$A$3:$A$20000,"&gt;="&amp;I$3,'ChatGPT data'!$A$3:$A$20000,"&lt;="&amp;I$4,'ChatGPT data'!$B$3:$B$20000,$A43),IF($B43="LinkedIn Ads",SUMIFS('LinkedIn data'!$I$3:$I$20000,'LinkedIn data'!$A$3:$A$20000,"&gt;="&amp;I$3,'LinkedIn data'!$A$3:$A$20000,"&lt;="&amp;I$4,'LinkedIn data'!$B$3:$B$20000,$A43),0)))))</f>
        <v>395.688154</v>
      </c>
      <c r="J43" s="14" t="n">
        <f aca="false">IF($A43="","",IF($B43="Meta",SUMIFS('Meta data'!$I$3:$I$20000,'Meta data'!$A$3:$A$20000,"&gt;="&amp;J$3,'Meta data'!$A$3:$A$20000,"&lt;="&amp;J$4,'Meta data'!$B$3:$B$20000,$A43),IF($B43="Google Ads",SUMIFS('Google data'!$I$3:$I$20000,'Google data'!$A$3:$A$20000,"&gt;="&amp;J$3,'Google data'!$A$3:$A$20000,"&lt;="&amp;J$4,'Google data'!$B$3:$B$20000,$A43),IF($B43="ChatGPT Ads",SUMIFS('ChatGPT data'!$I$3:$I$20000,'ChatGPT data'!$A$3:$A$20000,"&gt;="&amp;J$3,'ChatGPT data'!$A$3:$A$20000,"&lt;="&amp;J$4,'ChatGPT data'!$B$3:$B$20000,$A43),IF($B43="LinkedIn Ads",SUMIFS('LinkedIn data'!$I$3:$I$20000,'LinkedIn data'!$A$3:$A$20000,"&gt;="&amp;J$3,'LinkedIn data'!$A$3:$A$20000,"&lt;="&amp;J$4,'LinkedIn data'!$B$3:$B$20000,$A43),0)))))</f>
        <v>281.939825</v>
      </c>
      <c r="K43" s="14" t="n">
        <f aca="false">IF($A43="","",IF($B43="Meta",SUMIFS('Meta data'!$I$3:$I$20000,'Meta data'!$A$3:$A$20000,"&gt;="&amp;K$3,'Meta data'!$A$3:$A$20000,"&lt;="&amp;K$4,'Meta data'!$B$3:$B$20000,$A43),IF($B43="Google Ads",SUMIFS('Google data'!$I$3:$I$20000,'Google data'!$A$3:$A$20000,"&gt;="&amp;K$3,'Google data'!$A$3:$A$20000,"&lt;="&amp;K$4,'Google data'!$B$3:$B$20000,$A43),IF($B43="ChatGPT Ads",SUMIFS('ChatGPT data'!$I$3:$I$20000,'ChatGPT data'!$A$3:$A$20000,"&gt;="&amp;K$3,'ChatGPT data'!$A$3:$A$20000,"&lt;="&amp;K$4,'ChatGPT data'!$B$3:$B$20000,$A43),IF($B43="LinkedIn Ads",SUMIFS('LinkedIn data'!$I$3:$I$20000,'LinkedIn data'!$A$3:$A$20000,"&gt;="&amp;K$3,'LinkedIn data'!$A$3:$A$20000,"&lt;="&amp;K$4,'LinkedIn data'!$B$3:$B$20000,$A43),0)))))</f>
        <v>0</v>
      </c>
      <c r="L43" s="14" t="n">
        <f aca="false">IF($A43="","",IF($B43="Meta",SUMIFS('Meta data'!$I$3:$I$20000,'Meta data'!$A$3:$A$20000,"&gt;="&amp;L$3,'Meta data'!$A$3:$A$20000,"&lt;="&amp;L$4,'Meta data'!$B$3:$B$20000,$A43),IF($B43="Google Ads",SUMIFS('Google data'!$I$3:$I$20000,'Google data'!$A$3:$A$20000,"&gt;="&amp;L$3,'Google data'!$A$3:$A$20000,"&lt;="&amp;L$4,'Google data'!$B$3:$B$20000,$A43),IF($B43="ChatGPT Ads",SUMIFS('ChatGPT data'!$I$3:$I$20000,'ChatGPT data'!$A$3:$A$20000,"&gt;="&amp;L$3,'ChatGPT data'!$A$3:$A$20000,"&lt;="&amp;L$4,'ChatGPT data'!$B$3:$B$20000,$A43),IF($B43="LinkedIn Ads",SUMIFS('LinkedIn data'!$I$3:$I$20000,'LinkedIn data'!$A$3:$A$20000,"&gt;="&amp;L$3,'LinkedIn data'!$A$3:$A$20000,"&lt;="&amp;L$4,'LinkedIn data'!$B$3:$B$20000,$A43),0)))))</f>
        <v>0</v>
      </c>
      <c r="M43" s="14" t="n">
        <f aca="false">IF($A43="","",IF($B43="Meta",SUMIFS('Meta data'!$I$3:$I$20000,'Meta data'!$A$3:$A$20000,"&gt;="&amp;M$3,'Meta data'!$A$3:$A$20000,"&lt;="&amp;M$4,'Meta data'!$B$3:$B$20000,$A43),IF($B43="Google Ads",SUMIFS('Google data'!$I$3:$I$20000,'Google data'!$A$3:$A$20000,"&gt;="&amp;M$3,'Google data'!$A$3:$A$20000,"&lt;="&amp;M$4,'Google data'!$B$3:$B$20000,$A43),IF($B43="ChatGPT Ads",SUMIFS('ChatGPT data'!$I$3:$I$20000,'ChatGPT data'!$A$3:$A$20000,"&gt;="&amp;M$3,'ChatGPT data'!$A$3:$A$20000,"&lt;="&amp;M$4,'ChatGPT data'!$B$3:$B$20000,$A43),IF($B43="LinkedIn Ads",SUMIFS('LinkedIn data'!$I$3:$I$20000,'LinkedIn data'!$A$3:$A$20000,"&gt;="&amp;M$3,'LinkedIn data'!$A$3:$A$20000,"&lt;="&amp;M$4,'LinkedIn data'!$B$3:$B$20000,$A43),0)))))</f>
        <v>0</v>
      </c>
      <c r="N43" s="14" t="n">
        <f aca="false">IF($A43="","",IF($B43="Meta",SUMIFS('Meta data'!$I$3:$I$20000,'Meta data'!$A$3:$A$20000,"&gt;="&amp;N$3,'Meta data'!$A$3:$A$20000,"&lt;="&amp;N$4,'Meta data'!$B$3:$B$20000,$A43),IF($B43="Google Ads",SUMIFS('Google data'!$I$3:$I$20000,'Google data'!$A$3:$A$20000,"&gt;="&amp;N$3,'Google data'!$A$3:$A$20000,"&lt;="&amp;N$4,'Google data'!$B$3:$B$20000,$A43),IF($B43="ChatGPT Ads",SUMIFS('ChatGPT data'!$I$3:$I$20000,'ChatGPT data'!$A$3:$A$20000,"&gt;="&amp;N$3,'ChatGPT data'!$A$3:$A$20000,"&lt;="&amp;N$4,'ChatGPT data'!$B$3:$B$20000,$A43),IF($B43="LinkedIn Ads",SUMIFS('LinkedIn data'!$I$3:$I$20000,'LinkedIn data'!$A$3:$A$20000,"&gt;="&amp;N$3,'LinkedIn data'!$A$3:$A$20000,"&lt;="&amp;N$4,'LinkedIn data'!$B$3:$B$20000,$A43),0)))))</f>
        <v>0</v>
      </c>
      <c r="O43" s="14" t="n">
        <f aca="false">IF($A43="","",IF($B43="Meta",SUMIFS('Meta data'!$I$3:$I$20000,'Meta data'!$A$3:$A$20000,"&gt;="&amp;O$3,'Meta data'!$A$3:$A$20000,"&lt;="&amp;O$4,'Meta data'!$B$3:$B$20000,$A43),IF($B43="Google Ads",SUMIFS('Google data'!$I$3:$I$20000,'Google data'!$A$3:$A$20000,"&gt;="&amp;O$3,'Google data'!$A$3:$A$20000,"&lt;="&amp;O$4,'Google data'!$B$3:$B$20000,$A43),IF($B43="ChatGPT Ads",SUMIFS('ChatGPT data'!$I$3:$I$20000,'ChatGPT data'!$A$3:$A$20000,"&gt;="&amp;O$3,'ChatGPT data'!$A$3:$A$20000,"&lt;="&amp;O$4,'ChatGPT data'!$B$3:$B$20000,$A43),IF($B43="LinkedIn Ads",SUMIFS('LinkedIn data'!$I$3:$I$20000,'LinkedIn data'!$A$3:$A$20000,"&gt;="&amp;O$3,'LinkedIn data'!$A$3:$A$20000,"&lt;="&amp;O$4,'LinkedIn data'!$B$3:$B$20000,$A43),0)))))</f>
        <v>0</v>
      </c>
      <c r="P43" s="14" t="n">
        <f aca="false">IF($A43="","",IF($B43="Meta",SUMIFS('Meta data'!$I$3:$I$20000,'Meta data'!$A$3:$A$20000,"&gt;="&amp;P$3,'Meta data'!$A$3:$A$20000,"&lt;="&amp;P$4,'Meta data'!$B$3:$B$20000,$A43),IF($B43="Google Ads",SUMIFS('Google data'!$I$3:$I$20000,'Google data'!$A$3:$A$20000,"&gt;="&amp;P$3,'Google data'!$A$3:$A$20000,"&lt;="&amp;P$4,'Google data'!$B$3:$B$20000,$A43),IF($B43="ChatGPT Ads",SUMIFS('ChatGPT data'!$I$3:$I$20000,'ChatGPT data'!$A$3:$A$20000,"&gt;="&amp;P$3,'ChatGPT data'!$A$3:$A$20000,"&lt;="&amp;P$4,'ChatGPT data'!$B$3:$B$20000,$A43),IF($B43="LinkedIn Ads",SUMIFS('LinkedIn data'!$I$3:$I$20000,'LinkedIn data'!$A$3:$A$20000,"&gt;="&amp;P$3,'LinkedIn data'!$A$3:$A$20000,"&lt;="&amp;P$4,'LinkedIn data'!$B$3:$B$20000,$A43),0)))))</f>
        <v>0</v>
      </c>
      <c r="Q43" s="14" t="n">
        <f aca="false">IF($A43="","",IF($B43="Meta",SUMIFS('Meta data'!$I$3:$I$20000,'Meta data'!$A$3:$A$20000,"&gt;="&amp;Q$3,'Meta data'!$A$3:$A$20000,"&lt;="&amp;Q$4,'Meta data'!$B$3:$B$20000,$A43),IF($B43="Google Ads",SUMIFS('Google data'!$I$3:$I$20000,'Google data'!$A$3:$A$20000,"&gt;="&amp;Q$3,'Google data'!$A$3:$A$20000,"&lt;="&amp;Q$4,'Google data'!$B$3:$B$20000,$A43),IF($B43="ChatGPT Ads",SUMIFS('ChatGPT data'!$I$3:$I$20000,'ChatGPT data'!$A$3:$A$20000,"&gt;="&amp;Q$3,'ChatGPT data'!$A$3:$A$20000,"&lt;="&amp;Q$4,'ChatGPT data'!$B$3:$B$20000,$A43),IF($B43="LinkedIn Ads",SUMIFS('LinkedIn data'!$I$3:$I$20000,'LinkedIn data'!$A$3:$A$20000,"&gt;="&amp;Q$3,'LinkedIn data'!$A$3:$A$20000,"&lt;="&amp;Q$4,'LinkedIn data'!$B$3:$B$20000,$A43),0)))))</f>
        <v>0</v>
      </c>
      <c r="R43" s="15" t="n">
        <f aca="false">IF($A43="","",SUM(F43:Q43))</f>
        <v>1632.043186</v>
      </c>
      <c r="S43" s="37" t="n">
        <f aca="false">IF($A43="","",IF($B43="Meta",SUMIFS('Meta data'!$E$3:$E$20000,'Meta data'!$B$3:$B$20000,$A43),IF($B43="Google Ads",SUMIFS('Google data'!$E$3:$E$20000,'Google data'!$B$3:$B$20000,$A43),IF($B43="ChatGPT Ads",SUMIFS('ChatGPT data'!$E$3:$E$20000,'ChatGPT data'!$B$3:$B$20000,$A43),IF($B43="LinkedIn Ads",SUMIFS('LinkedIn data'!$E$3:$E$20000,'LinkedIn data'!$B$3:$B$20000,$A43),0)))))</f>
        <v>292</v>
      </c>
      <c r="T43" s="37" t="n">
        <f aca="false">IF($A43="","",IF($B43="Meta",SUMIFS('Meta data'!$F$3:$F$20000,'Meta data'!$B$3:$B$20000,$A43),IF($B43="Google Ads",SUMIFS('Google data'!$F$3:$F$20000,'Google data'!$B$3:$B$20000,$A43),IF($B43="ChatGPT Ads",SUMIFS('ChatGPT data'!$F$3:$F$20000,'ChatGPT data'!$B$3:$B$20000,$A43),IF($B43="LinkedIn Ads",SUMIFS('LinkedIn data'!$F$3:$F$20000,'LinkedIn data'!$B$3:$B$20000,$A43),0)))))</f>
        <v>5.75</v>
      </c>
      <c r="U43" s="38" t="n">
        <f aca="false">IF(OR($A43="",T43=0),"",R43/T43)</f>
        <v>283.833597565217</v>
      </c>
    </row>
    <row r="44" customFormat="false" ht="15" hidden="false" customHeight="false" outlineLevel="0" collapsed="false">
      <c r="A44" s="58" t="s">
        <v>203</v>
      </c>
      <c r="B44" s="58" t="s">
        <v>20</v>
      </c>
      <c r="C44" s="58" t="s">
        <v>131</v>
      </c>
      <c r="D44" s="58" t="s">
        <v>124</v>
      </c>
      <c r="E44" s="58" t="s">
        <v>157</v>
      </c>
      <c r="F44" s="14" t="n">
        <f aca="false">IF($A44="","",IF($B44="Meta",SUMIFS('Meta data'!$I$3:$I$20000,'Meta data'!$A$3:$A$20000,"&gt;="&amp;F$3,'Meta data'!$A$3:$A$20000,"&lt;="&amp;F$4,'Meta data'!$B$3:$B$20000,$A44),IF($B44="Google Ads",SUMIFS('Google data'!$I$3:$I$20000,'Google data'!$A$3:$A$20000,"&gt;="&amp;F$3,'Google data'!$A$3:$A$20000,"&lt;="&amp;F$4,'Google data'!$B$3:$B$20000,$A44),IF($B44="ChatGPT Ads",SUMIFS('ChatGPT data'!$I$3:$I$20000,'ChatGPT data'!$A$3:$A$20000,"&gt;="&amp;F$3,'ChatGPT data'!$A$3:$A$20000,"&lt;="&amp;F$4,'ChatGPT data'!$B$3:$B$20000,$A44),IF($B44="LinkedIn Ads",SUMIFS('LinkedIn data'!$I$3:$I$20000,'LinkedIn data'!$A$3:$A$20000,"&gt;="&amp;F$3,'LinkedIn data'!$A$3:$A$20000,"&lt;="&amp;F$4,'LinkedIn data'!$B$3:$B$20000,$A44),0)))))</f>
        <v>96.770466</v>
      </c>
      <c r="G44" s="14" t="n">
        <f aca="false">IF($A44="","",IF($B44="Meta",SUMIFS('Meta data'!$I$3:$I$20000,'Meta data'!$A$3:$A$20000,"&gt;="&amp;G$3,'Meta data'!$A$3:$A$20000,"&lt;="&amp;G$4,'Meta data'!$B$3:$B$20000,$A44),IF($B44="Google Ads",SUMIFS('Google data'!$I$3:$I$20000,'Google data'!$A$3:$A$20000,"&gt;="&amp;G$3,'Google data'!$A$3:$A$20000,"&lt;="&amp;G$4,'Google data'!$B$3:$B$20000,$A44),IF($B44="ChatGPT Ads",SUMIFS('ChatGPT data'!$I$3:$I$20000,'ChatGPT data'!$A$3:$A$20000,"&gt;="&amp;G$3,'ChatGPT data'!$A$3:$A$20000,"&lt;="&amp;G$4,'ChatGPT data'!$B$3:$B$20000,$A44),IF($B44="LinkedIn Ads",SUMIFS('LinkedIn data'!$I$3:$I$20000,'LinkedIn data'!$A$3:$A$20000,"&gt;="&amp;G$3,'LinkedIn data'!$A$3:$A$20000,"&lt;="&amp;G$4,'LinkedIn data'!$B$3:$B$20000,$A44),0)))))</f>
        <v>71.175136</v>
      </c>
      <c r="H44" s="14" t="n">
        <f aca="false">IF($A44="","",IF($B44="Meta",SUMIFS('Meta data'!$I$3:$I$20000,'Meta data'!$A$3:$A$20000,"&gt;="&amp;H$3,'Meta data'!$A$3:$A$20000,"&lt;="&amp;H$4,'Meta data'!$B$3:$B$20000,$A44),IF($B44="Google Ads",SUMIFS('Google data'!$I$3:$I$20000,'Google data'!$A$3:$A$20000,"&gt;="&amp;H$3,'Google data'!$A$3:$A$20000,"&lt;="&amp;H$4,'Google data'!$B$3:$B$20000,$A44),IF($B44="ChatGPT Ads",SUMIFS('ChatGPT data'!$I$3:$I$20000,'ChatGPT data'!$A$3:$A$20000,"&gt;="&amp;H$3,'ChatGPT data'!$A$3:$A$20000,"&lt;="&amp;H$4,'ChatGPT data'!$B$3:$B$20000,$A44),IF($B44="LinkedIn Ads",SUMIFS('LinkedIn data'!$I$3:$I$20000,'LinkedIn data'!$A$3:$A$20000,"&gt;="&amp;H$3,'LinkedIn data'!$A$3:$A$20000,"&lt;="&amp;H$4,'LinkedIn data'!$B$3:$B$20000,$A44),0)))))</f>
        <v>137.152967</v>
      </c>
      <c r="I44" s="14" t="n">
        <f aca="false">IF($A44="","",IF($B44="Meta",SUMIFS('Meta data'!$I$3:$I$20000,'Meta data'!$A$3:$A$20000,"&gt;="&amp;I$3,'Meta data'!$A$3:$A$20000,"&lt;="&amp;I$4,'Meta data'!$B$3:$B$20000,$A44),IF($B44="Google Ads",SUMIFS('Google data'!$I$3:$I$20000,'Google data'!$A$3:$A$20000,"&gt;="&amp;I$3,'Google data'!$A$3:$A$20000,"&lt;="&amp;I$4,'Google data'!$B$3:$B$20000,$A44),IF($B44="ChatGPT Ads",SUMIFS('ChatGPT data'!$I$3:$I$20000,'ChatGPT data'!$A$3:$A$20000,"&gt;="&amp;I$3,'ChatGPT data'!$A$3:$A$20000,"&lt;="&amp;I$4,'ChatGPT data'!$B$3:$B$20000,$A44),IF($B44="LinkedIn Ads",SUMIFS('LinkedIn data'!$I$3:$I$20000,'LinkedIn data'!$A$3:$A$20000,"&gt;="&amp;I$3,'LinkedIn data'!$A$3:$A$20000,"&lt;="&amp;I$4,'LinkedIn data'!$B$3:$B$20000,$A44),0)))))</f>
        <v>169.979816</v>
      </c>
      <c r="J44" s="14" t="n">
        <f aca="false">IF($A44="","",IF($B44="Meta",SUMIFS('Meta data'!$I$3:$I$20000,'Meta data'!$A$3:$A$20000,"&gt;="&amp;J$3,'Meta data'!$A$3:$A$20000,"&lt;="&amp;J$4,'Meta data'!$B$3:$B$20000,$A44),IF($B44="Google Ads",SUMIFS('Google data'!$I$3:$I$20000,'Google data'!$A$3:$A$20000,"&gt;="&amp;J$3,'Google data'!$A$3:$A$20000,"&lt;="&amp;J$4,'Google data'!$B$3:$B$20000,$A44),IF($B44="ChatGPT Ads",SUMIFS('ChatGPT data'!$I$3:$I$20000,'ChatGPT data'!$A$3:$A$20000,"&gt;="&amp;J$3,'ChatGPT data'!$A$3:$A$20000,"&lt;="&amp;J$4,'ChatGPT data'!$B$3:$B$20000,$A44),IF($B44="LinkedIn Ads",SUMIFS('LinkedIn data'!$I$3:$I$20000,'LinkedIn data'!$A$3:$A$20000,"&gt;="&amp;J$3,'LinkedIn data'!$A$3:$A$20000,"&lt;="&amp;J$4,'LinkedIn data'!$B$3:$B$20000,$A44),0)))))</f>
        <v>169.320373</v>
      </c>
      <c r="K44" s="14" t="n">
        <f aca="false">IF($A44="","",IF($B44="Meta",SUMIFS('Meta data'!$I$3:$I$20000,'Meta data'!$A$3:$A$20000,"&gt;="&amp;K$3,'Meta data'!$A$3:$A$20000,"&lt;="&amp;K$4,'Meta data'!$B$3:$B$20000,$A44),IF($B44="Google Ads",SUMIFS('Google data'!$I$3:$I$20000,'Google data'!$A$3:$A$20000,"&gt;="&amp;K$3,'Google data'!$A$3:$A$20000,"&lt;="&amp;K$4,'Google data'!$B$3:$B$20000,$A44),IF($B44="ChatGPT Ads",SUMIFS('ChatGPT data'!$I$3:$I$20000,'ChatGPT data'!$A$3:$A$20000,"&gt;="&amp;K$3,'ChatGPT data'!$A$3:$A$20000,"&lt;="&amp;K$4,'ChatGPT data'!$B$3:$B$20000,$A44),IF($B44="LinkedIn Ads",SUMIFS('LinkedIn data'!$I$3:$I$20000,'LinkedIn data'!$A$3:$A$20000,"&gt;="&amp;K$3,'LinkedIn data'!$A$3:$A$20000,"&lt;="&amp;K$4,'LinkedIn data'!$B$3:$B$20000,$A44),0)))))</f>
        <v>170.460427</v>
      </c>
      <c r="L44" s="14" t="n">
        <f aca="false">IF($A44="","",IF($B44="Meta",SUMIFS('Meta data'!$I$3:$I$20000,'Meta data'!$A$3:$A$20000,"&gt;="&amp;L$3,'Meta data'!$A$3:$A$20000,"&lt;="&amp;L$4,'Meta data'!$B$3:$B$20000,$A44),IF($B44="Google Ads",SUMIFS('Google data'!$I$3:$I$20000,'Google data'!$A$3:$A$20000,"&gt;="&amp;L$3,'Google data'!$A$3:$A$20000,"&lt;="&amp;L$4,'Google data'!$B$3:$B$20000,$A44),IF($B44="ChatGPT Ads",SUMIFS('ChatGPT data'!$I$3:$I$20000,'ChatGPT data'!$A$3:$A$20000,"&gt;="&amp;L$3,'ChatGPT data'!$A$3:$A$20000,"&lt;="&amp;L$4,'ChatGPT data'!$B$3:$B$20000,$A44),IF($B44="LinkedIn Ads",SUMIFS('LinkedIn data'!$I$3:$I$20000,'LinkedIn data'!$A$3:$A$20000,"&gt;="&amp;L$3,'LinkedIn data'!$A$3:$A$20000,"&lt;="&amp;L$4,'LinkedIn data'!$B$3:$B$20000,$A44),0)))))</f>
        <v>169.901577</v>
      </c>
      <c r="M44" s="14" t="n">
        <f aca="false">IF($A44="","",IF($B44="Meta",SUMIFS('Meta data'!$I$3:$I$20000,'Meta data'!$A$3:$A$20000,"&gt;="&amp;M$3,'Meta data'!$A$3:$A$20000,"&lt;="&amp;M$4,'Meta data'!$B$3:$B$20000,$A44),IF($B44="Google Ads",SUMIFS('Google data'!$I$3:$I$20000,'Google data'!$A$3:$A$20000,"&gt;="&amp;M$3,'Google data'!$A$3:$A$20000,"&lt;="&amp;M$4,'Google data'!$B$3:$B$20000,$A44),IF($B44="ChatGPT Ads",SUMIFS('ChatGPT data'!$I$3:$I$20000,'ChatGPT data'!$A$3:$A$20000,"&gt;="&amp;M$3,'ChatGPT data'!$A$3:$A$20000,"&lt;="&amp;M$4,'ChatGPT data'!$B$3:$B$20000,$A44),IF($B44="LinkedIn Ads",SUMIFS('LinkedIn data'!$I$3:$I$20000,'LinkedIn data'!$A$3:$A$20000,"&gt;="&amp;M$3,'LinkedIn data'!$A$3:$A$20000,"&lt;="&amp;M$4,'LinkedIn data'!$B$3:$B$20000,$A44),0)))))</f>
        <v>48.049923</v>
      </c>
      <c r="N44" s="14" t="n">
        <f aca="false">IF($A44="","",IF($B44="Meta",SUMIFS('Meta data'!$I$3:$I$20000,'Meta data'!$A$3:$A$20000,"&gt;="&amp;N$3,'Meta data'!$A$3:$A$20000,"&lt;="&amp;N$4,'Meta data'!$B$3:$B$20000,$A44),IF($B44="Google Ads",SUMIFS('Google data'!$I$3:$I$20000,'Google data'!$A$3:$A$20000,"&gt;="&amp;N$3,'Google data'!$A$3:$A$20000,"&lt;="&amp;N$4,'Google data'!$B$3:$B$20000,$A44),IF($B44="ChatGPT Ads",SUMIFS('ChatGPT data'!$I$3:$I$20000,'ChatGPT data'!$A$3:$A$20000,"&gt;="&amp;N$3,'ChatGPT data'!$A$3:$A$20000,"&lt;="&amp;N$4,'ChatGPT data'!$B$3:$B$20000,$A44),IF($B44="LinkedIn Ads",SUMIFS('LinkedIn data'!$I$3:$I$20000,'LinkedIn data'!$A$3:$A$20000,"&gt;="&amp;N$3,'LinkedIn data'!$A$3:$A$20000,"&lt;="&amp;N$4,'LinkedIn data'!$B$3:$B$20000,$A44),0)))))</f>
        <v>129.228474</v>
      </c>
      <c r="O44" s="14" t="n">
        <f aca="false">IF($A44="","",IF($B44="Meta",SUMIFS('Meta data'!$I$3:$I$20000,'Meta data'!$A$3:$A$20000,"&gt;="&amp;O$3,'Meta data'!$A$3:$A$20000,"&lt;="&amp;O$4,'Meta data'!$B$3:$B$20000,$A44),IF($B44="Google Ads",SUMIFS('Google data'!$I$3:$I$20000,'Google data'!$A$3:$A$20000,"&gt;="&amp;O$3,'Google data'!$A$3:$A$20000,"&lt;="&amp;O$4,'Google data'!$B$3:$B$20000,$A44),IF($B44="ChatGPT Ads",SUMIFS('ChatGPT data'!$I$3:$I$20000,'ChatGPT data'!$A$3:$A$20000,"&gt;="&amp;O$3,'ChatGPT data'!$A$3:$A$20000,"&lt;="&amp;O$4,'ChatGPT data'!$B$3:$B$20000,$A44),IF($B44="LinkedIn Ads",SUMIFS('LinkedIn data'!$I$3:$I$20000,'LinkedIn data'!$A$3:$A$20000,"&gt;="&amp;O$3,'LinkedIn data'!$A$3:$A$20000,"&lt;="&amp;O$4,'LinkedIn data'!$B$3:$B$20000,$A44),0)))))</f>
        <v>0</v>
      </c>
      <c r="P44" s="14" t="n">
        <f aca="false">IF($A44="","",IF($B44="Meta",SUMIFS('Meta data'!$I$3:$I$20000,'Meta data'!$A$3:$A$20000,"&gt;="&amp;P$3,'Meta data'!$A$3:$A$20000,"&lt;="&amp;P$4,'Meta data'!$B$3:$B$20000,$A44),IF($B44="Google Ads",SUMIFS('Google data'!$I$3:$I$20000,'Google data'!$A$3:$A$20000,"&gt;="&amp;P$3,'Google data'!$A$3:$A$20000,"&lt;="&amp;P$4,'Google data'!$B$3:$B$20000,$A44),IF($B44="ChatGPT Ads",SUMIFS('ChatGPT data'!$I$3:$I$20000,'ChatGPT data'!$A$3:$A$20000,"&gt;="&amp;P$3,'ChatGPT data'!$A$3:$A$20000,"&lt;="&amp;P$4,'ChatGPT data'!$B$3:$B$20000,$A44),IF($B44="LinkedIn Ads",SUMIFS('LinkedIn data'!$I$3:$I$20000,'LinkedIn data'!$A$3:$A$20000,"&gt;="&amp;P$3,'LinkedIn data'!$A$3:$A$20000,"&lt;="&amp;P$4,'LinkedIn data'!$B$3:$B$20000,$A44),0)))))</f>
        <v>0</v>
      </c>
      <c r="Q44" s="14" t="n">
        <f aca="false">IF($A44="","",IF($B44="Meta",SUMIFS('Meta data'!$I$3:$I$20000,'Meta data'!$A$3:$A$20000,"&gt;="&amp;Q$3,'Meta data'!$A$3:$A$20000,"&lt;="&amp;Q$4,'Meta data'!$B$3:$B$20000,$A44),IF($B44="Google Ads",SUMIFS('Google data'!$I$3:$I$20000,'Google data'!$A$3:$A$20000,"&gt;="&amp;Q$3,'Google data'!$A$3:$A$20000,"&lt;="&amp;Q$4,'Google data'!$B$3:$B$20000,$A44),IF($B44="ChatGPT Ads",SUMIFS('ChatGPT data'!$I$3:$I$20000,'ChatGPT data'!$A$3:$A$20000,"&gt;="&amp;Q$3,'ChatGPT data'!$A$3:$A$20000,"&lt;="&amp;Q$4,'ChatGPT data'!$B$3:$B$20000,$A44),IF($B44="LinkedIn Ads",SUMIFS('LinkedIn data'!$I$3:$I$20000,'LinkedIn data'!$A$3:$A$20000,"&gt;="&amp;Q$3,'LinkedIn data'!$A$3:$A$20000,"&lt;="&amp;Q$4,'LinkedIn data'!$B$3:$B$20000,$A44),0)))))</f>
        <v>0</v>
      </c>
      <c r="R44" s="15" t="n">
        <f aca="false">IF($A44="","",SUM(F44:Q44))</f>
        <v>1162.039159</v>
      </c>
      <c r="S44" s="37" t="n">
        <f aca="false">IF($A44="","",IF($B44="Meta",SUMIFS('Meta data'!$E$3:$E$20000,'Meta data'!$B$3:$B$20000,$A44),IF($B44="Google Ads",SUMIFS('Google data'!$E$3:$E$20000,'Google data'!$B$3:$B$20000,$A44),IF($B44="ChatGPT Ads",SUMIFS('ChatGPT data'!$E$3:$E$20000,'ChatGPT data'!$B$3:$B$20000,$A44),IF($B44="LinkedIn Ads",SUMIFS('LinkedIn data'!$E$3:$E$20000,'LinkedIn data'!$B$3:$B$20000,$A44),0)))))</f>
        <v>539</v>
      </c>
      <c r="T44" s="37" t="n">
        <f aca="false">IF($A44="","",IF($B44="Meta",SUMIFS('Meta data'!$F$3:$F$20000,'Meta data'!$B$3:$B$20000,$A44),IF($B44="Google Ads",SUMIFS('Google data'!$F$3:$F$20000,'Google data'!$B$3:$B$20000,$A44),IF($B44="ChatGPT Ads",SUMIFS('ChatGPT data'!$F$3:$F$20000,'ChatGPT data'!$B$3:$B$20000,$A44),IF($B44="LinkedIn Ads",SUMIFS('LinkedIn data'!$F$3:$F$20000,'LinkedIn data'!$B$3:$B$20000,$A44),0)))))</f>
        <v>38.81</v>
      </c>
      <c r="U44" s="38" t="n">
        <f aca="false">IF(OR($A44="",T44=0),"",R44/T44)</f>
        <v>29.941745916001</v>
      </c>
    </row>
    <row r="45" customFormat="false" ht="15" hidden="false" customHeight="false" outlineLevel="0" collapsed="false">
      <c r="A45" s="58" t="s">
        <v>204</v>
      </c>
      <c r="B45" s="58" t="s">
        <v>20</v>
      </c>
      <c r="C45" s="58" t="s">
        <v>130</v>
      </c>
      <c r="D45" s="58" t="s">
        <v>123</v>
      </c>
      <c r="E45" s="58" t="s">
        <v>153</v>
      </c>
      <c r="F45" s="14" t="n">
        <f aca="false">IF($A45="","",IF($B45="Meta",SUMIFS('Meta data'!$I$3:$I$20000,'Meta data'!$A$3:$A$20000,"&gt;="&amp;F$3,'Meta data'!$A$3:$A$20000,"&lt;="&amp;F$4,'Meta data'!$B$3:$B$20000,$A45),IF($B45="Google Ads",SUMIFS('Google data'!$I$3:$I$20000,'Google data'!$A$3:$A$20000,"&gt;="&amp;F$3,'Google data'!$A$3:$A$20000,"&lt;="&amp;F$4,'Google data'!$B$3:$B$20000,$A45),IF($B45="ChatGPT Ads",SUMIFS('ChatGPT data'!$I$3:$I$20000,'ChatGPT data'!$A$3:$A$20000,"&gt;="&amp;F$3,'ChatGPT data'!$A$3:$A$20000,"&lt;="&amp;F$4,'ChatGPT data'!$B$3:$B$20000,$A45),IF($B45="LinkedIn Ads",SUMIFS('LinkedIn data'!$I$3:$I$20000,'LinkedIn data'!$A$3:$A$20000,"&gt;="&amp;F$3,'LinkedIn data'!$A$3:$A$20000,"&lt;="&amp;F$4,'LinkedIn data'!$B$3:$B$20000,$A45),0)))))</f>
        <v>418.668066</v>
      </c>
      <c r="G45" s="14" t="n">
        <f aca="false">IF($A45="","",IF($B45="Meta",SUMIFS('Meta data'!$I$3:$I$20000,'Meta data'!$A$3:$A$20000,"&gt;="&amp;G$3,'Meta data'!$A$3:$A$20000,"&lt;="&amp;G$4,'Meta data'!$B$3:$B$20000,$A45),IF($B45="Google Ads",SUMIFS('Google data'!$I$3:$I$20000,'Google data'!$A$3:$A$20000,"&gt;="&amp;G$3,'Google data'!$A$3:$A$20000,"&lt;="&amp;G$4,'Google data'!$B$3:$B$20000,$A45),IF($B45="ChatGPT Ads",SUMIFS('ChatGPT data'!$I$3:$I$20000,'ChatGPT data'!$A$3:$A$20000,"&gt;="&amp;G$3,'ChatGPT data'!$A$3:$A$20000,"&lt;="&amp;G$4,'ChatGPT data'!$B$3:$B$20000,$A45),IF($B45="LinkedIn Ads",SUMIFS('LinkedIn data'!$I$3:$I$20000,'LinkedIn data'!$A$3:$A$20000,"&gt;="&amp;G$3,'LinkedIn data'!$A$3:$A$20000,"&lt;="&amp;G$4,'LinkedIn data'!$B$3:$B$20000,$A45),0)))))</f>
        <v>281.816878</v>
      </c>
      <c r="H45" s="14" t="n">
        <f aca="false">IF($A45="","",IF($B45="Meta",SUMIFS('Meta data'!$I$3:$I$20000,'Meta data'!$A$3:$A$20000,"&gt;="&amp;H$3,'Meta data'!$A$3:$A$20000,"&lt;="&amp;H$4,'Meta data'!$B$3:$B$20000,$A45),IF($B45="Google Ads",SUMIFS('Google data'!$I$3:$I$20000,'Google data'!$A$3:$A$20000,"&gt;="&amp;H$3,'Google data'!$A$3:$A$20000,"&lt;="&amp;H$4,'Google data'!$B$3:$B$20000,$A45),IF($B45="ChatGPT Ads",SUMIFS('ChatGPT data'!$I$3:$I$20000,'ChatGPT data'!$A$3:$A$20000,"&gt;="&amp;H$3,'ChatGPT data'!$A$3:$A$20000,"&lt;="&amp;H$4,'ChatGPT data'!$B$3:$B$20000,$A45),IF($B45="LinkedIn Ads",SUMIFS('LinkedIn data'!$I$3:$I$20000,'LinkedIn data'!$A$3:$A$20000,"&gt;="&amp;H$3,'LinkedIn data'!$A$3:$A$20000,"&lt;="&amp;H$4,'LinkedIn data'!$B$3:$B$20000,$A45),0)))))</f>
        <v>192.344993</v>
      </c>
      <c r="I45" s="14" t="n">
        <f aca="false">IF($A45="","",IF($B45="Meta",SUMIFS('Meta data'!$I$3:$I$20000,'Meta data'!$A$3:$A$20000,"&gt;="&amp;I$3,'Meta data'!$A$3:$A$20000,"&lt;="&amp;I$4,'Meta data'!$B$3:$B$20000,$A45),IF($B45="Google Ads",SUMIFS('Google data'!$I$3:$I$20000,'Google data'!$A$3:$A$20000,"&gt;="&amp;I$3,'Google data'!$A$3:$A$20000,"&lt;="&amp;I$4,'Google data'!$B$3:$B$20000,$A45),IF($B45="ChatGPT Ads",SUMIFS('ChatGPT data'!$I$3:$I$20000,'ChatGPT data'!$A$3:$A$20000,"&gt;="&amp;I$3,'ChatGPT data'!$A$3:$A$20000,"&lt;="&amp;I$4,'ChatGPT data'!$B$3:$B$20000,$A45),IF($B45="LinkedIn Ads",SUMIFS('LinkedIn data'!$I$3:$I$20000,'LinkedIn data'!$A$3:$A$20000,"&gt;="&amp;I$3,'LinkedIn data'!$A$3:$A$20000,"&lt;="&amp;I$4,'LinkedIn data'!$B$3:$B$20000,$A45),0)))))</f>
        <v>89.181283</v>
      </c>
      <c r="J45" s="14" t="n">
        <f aca="false">IF($A45="","",IF($B45="Meta",SUMIFS('Meta data'!$I$3:$I$20000,'Meta data'!$A$3:$A$20000,"&gt;="&amp;J$3,'Meta data'!$A$3:$A$20000,"&lt;="&amp;J$4,'Meta data'!$B$3:$B$20000,$A45),IF($B45="Google Ads",SUMIFS('Google data'!$I$3:$I$20000,'Google data'!$A$3:$A$20000,"&gt;="&amp;J$3,'Google data'!$A$3:$A$20000,"&lt;="&amp;J$4,'Google data'!$B$3:$B$20000,$A45),IF($B45="ChatGPT Ads",SUMIFS('ChatGPT data'!$I$3:$I$20000,'ChatGPT data'!$A$3:$A$20000,"&gt;="&amp;J$3,'ChatGPT data'!$A$3:$A$20000,"&lt;="&amp;J$4,'ChatGPT data'!$B$3:$B$20000,$A45),IF($B45="LinkedIn Ads",SUMIFS('LinkedIn data'!$I$3:$I$20000,'LinkedIn data'!$A$3:$A$20000,"&gt;="&amp;J$3,'LinkedIn data'!$A$3:$A$20000,"&lt;="&amp;J$4,'LinkedIn data'!$B$3:$B$20000,$A45),0)))))</f>
        <v>0</v>
      </c>
      <c r="K45" s="14" t="n">
        <f aca="false">IF($A45="","",IF($B45="Meta",SUMIFS('Meta data'!$I$3:$I$20000,'Meta data'!$A$3:$A$20000,"&gt;="&amp;K$3,'Meta data'!$A$3:$A$20000,"&lt;="&amp;K$4,'Meta data'!$B$3:$B$20000,$A45),IF($B45="Google Ads",SUMIFS('Google data'!$I$3:$I$20000,'Google data'!$A$3:$A$20000,"&gt;="&amp;K$3,'Google data'!$A$3:$A$20000,"&lt;="&amp;K$4,'Google data'!$B$3:$B$20000,$A45),IF($B45="ChatGPT Ads",SUMIFS('ChatGPT data'!$I$3:$I$20000,'ChatGPT data'!$A$3:$A$20000,"&gt;="&amp;K$3,'ChatGPT data'!$A$3:$A$20000,"&lt;="&amp;K$4,'ChatGPT data'!$B$3:$B$20000,$A45),IF($B45="LinkedIn Ads",SUMIFS('LinkedIn data'!$I$3:$I$20000,'LinkedIn data'!$A$3:$A$20000,"&gt;="&amp;K$3,'LinkedIn data'!$A$3:$A$20000,"&lt;="&amp;K$4,'LinkedIn data'!$B$3:$B$20000,$A45),0)))))</f>
        <v>0</v>
      </c>
      <c r="L45" s="14" t="n">
        <f aca="false">IF($A45="","",IF($B45="Meta",SUMIFS('Meta data'!$I$3:$I$20000,'Meta data'!$A$3:$A$20000,"&gt;="&amp;L$3,'Meta data'!$A$3:$A$20000,"&lt;="&amp;L$4,'Meta data'!$B$3:$B$20000,$A45),IF($B45="Google Ads",SUMIFS('Google data'!$I$3:$I$20000,'Google data'!$A$3:$A$20000,"&gt;="&amp;L$3,'Google data'!$A$3:$A$20000,"&lt;="&amp;L$4,'Google data'!$B$3:$B$20000,$A45),IF($B45="ChatGPT Ads",SUMIFS('ChatGPT data'!$I$3:$I$20000,'ChatGPT data'!$A$3:$A$20000,"&gt;="&amp;L$3,'ChatGPT data'!$A$3:$A$20000,"&lt;="&amp;L$4,'ChatGPT data'!$B$3:$B$20000,$A45),IF($B45="LinkedIn Ads",SUMIFS('LinkedIn data'!$I$3:$I$20000,'LinkedIn data'!$A$3:$A$20000,"&gt;="&amp;L$3,'LinkedIn data'!$A$3:$A$20000,"&lt;="&amp;L$4,'LinkedIn data'!$B$3:$B$20000,$A45),0)))))</f>
        <v>0</v>
      </c>
      <c r="M45" s="14" t="n">
        <f aca="false">IF($A45="","",IF($B45="Meta",SUMIFS('Meta data'!$I$3:$I$20000,'Meta data'!$A$3:$A$20000,"&gt;="&amp;M$3,'Meta data'!$A$3:$A$20000,"&lt;="&amp;M$4,'Meta data'!$B$3:$B$20000,$A45),IF($B45="Google Ads",SUMIFS('Google data'!$I$3:$I$20000,'Google data'!$A$3:$A$20000,"&gt;="&amp;M$3,'Google data'!$A$3:$A$20000,"&lt;="&amp;M$4,'Google data'!$B$3:$B$20000,$A45),IF($B45="ChatGPT Ads",SUMIFS('ChatGPT data'!$I$3:$I$20000,'ChatGPT data'!$A$3:$A$20000,"&gt;="&amp;M$3,'ChatGPT data'!$A$3:$A$20000,"&lt;="&amp;M$4,'ChatGPT data'!$B$3:$B$20000,$A45),IF($B45="LinkedIn Ads",SUMIFS('LinkedIn data'!$I$3:$I$20000,'LinkedIn data'!$A$3:$A$20000,"&gt;="&amp;M$3,'LinkedIn data'!$A$3:$A$20000,"&lt;="&amp;M$4,'LinkedIn data'!$B$3:$B$20000,$A45),0)))))</f>
        <v>0</v>
      </c>
      <c r="N45" s="14" t="n">
        <f aca="false">IF($A45="","",IF($B45="Meta",SUMIFS('Meta data'!$I$3:$I$20000,'Meta data'!$A$3:$A$20000,"&gt;="&amp;N$3,'Meta data'!$A$3:$A$20000,"&lt;="&amp;N$4,'Meta data'!$B$3:$B$20000,$A45),IF($B45="Google Ads",SUMIFS('Google data'!$I$3:$I$20000,'Google data'!$A$3:$A$20000,"&gt;="&amp;N$3,'Google data'!$A$3:$A$20000,"&lt;="&amp;N$4,'Google data'!$B$3:$B$20000,$A45),IF($B45="ChatGPT Ads",SUMIFS('ChatGPT data'!$I$3:$I$20000,'ChatGPT data'!$A$3:$A$20000,"&gt;="&amp;N$3,'ChatGPT data'!$A$3:$A$20000,"&lt;="&amp;N$4,'ChatGPT data'!$B$3:$B$20000,$A45),IF($B45="LinkedIn Ads",SUMIFS('LinkedIn data'!$I$3:$I$20000,'LinkedIn data'!$A$3:$A$20000,"&gt;="&amp;N$3,'LinkedIn data'!$A$3:$A$20000,"&lt;="&amp;N$4,'LinkedIn data'!$B$3:$B$20000,$A45),0)))))</f>
        <v>0</v>
      </c>
      <c r="O45" s="14" t="n">
        <f aca="false">IF($A45="","",IF($B45="Meta",SUMIFS('Meta data'!$I$3:$I$20000,'Meta data'!$A$3:$A$20000,"&gt;="&amp;O$3,'Meta data'!$A$3:$A$20000,"&lt;="&amp;O$4,'Meta data'!$B$3:$B$20000,$A45),IF($B45="Google Ads",SUMIFS('Google data'!$I$3:$I$20000,'Google data'!$A$3:$A$20000,"&gt;="&amp;O$3,'Google data'!$A$3:$A$20000,"&lt;="&amp;O$4,'Google data'!$B$3:$B$20000,$A45),IF($B45="ChatGPT Ads",SUMIFS('ChatGPT data'!$I$3:$I$20000,'ChatGPT data'!$A$3:$A$20000,"&gt;="&amp;O$3,'ChatGPT data'!$A$3:$A$20000,"&lt;="&amp;O$4,'ChatGPT data'!$B$3:$B$20000,$A45),IF($B45="LinkedIn Ads",SUMIFS('LinkedIn data'!$I$3:$I$20000,'LinkedIn data'!$A$3:$A$20000,"&gt;="&amp;O$3,'LinkedIn data'!$A$3:$A$20000,"&lt;="&amp;O$4,'LinkedIn data'!$B$3:$B$20000,$A45),0)))))</f>
        <v>0</v>
      </c>
      <c r="P45" s="14" t="n">
        <f aca="false">IF($A45="","",IF($B45="Meta",SUMIFS('Meta data'!$I$3:$I$20000,'Meta data'!$A$3:$A$20000,"&gt;="&amp;P$3,'Meta data'!$A$3:$A$20000,"&lt;="&amp;P$4,'Meta data'!$B$3:$B$20000,$A45),IF($B45="Google Ads",SUMIFS('Google data'!$I$3:$I$20000,'Google data'!$A$3:$A$20000,"&gt;="&amp;P$3,'Google data'!$A$3:$A$20000,"&lt;="&amp;P$4,'Google data'!$B$3:$B$20000,$A45),IF($B45="ChatGPT Ads",SUMIFS('ChatGPT data'!$I$3:$I$20000,'ChatGPT data'!$A$3:$A$20000,"&gt;="&amp;P$3,'ChatGPT data'!$A$3:$A$20000,"&lt;="&amp;P$4,'ChatGPT data'!$B$3:$B$20000,$A45),IF($B45="LinkedIn Ads",SUMIFS('LinkedIn data'!$I$3:$I$20000,'LinkedIn data'!$A$3:$A$20000,"&gt;="&amp;P$3,'LinkedIn data'!$A$3:$A$20000,"&lt;="&amp;P$4,'LinkedIn data'!$B$3:$B$20000,$A45),0)))))</f>
        <v>0</v>
      </c>
      <c r="Q45" s="14" t="n">
        <f aca="false">IF($A45="","",IF($B45="Meta",SUMIFS('Meta data'!$I$3:$I$20000,'Meta data'!$A$3:$A$20000,"&gt;="&amp;Q$3,'Meta data'!$A$3:$A$20000,"&lt;="&amp;Q$4,'Meta data'!$B$3:$B$20000,$A45),IF($B45="Google Ads",SUMIFS('Google data'!$I$3:$I$20000,'Google data'!$A$3:$A$20000,"&gt;="&amp;Q$3,'Google data'!$A$3:$A$20000,"&lt;="&amp;Q$4,'Google data'!$B$3:$B$20000,$A45),IF($B45="ChatGPT Ads",SUMIFS('ChatGPT data'!$I$3:$I$20000,'ChatGPT data'!$A$3:$A$20000,"&gt;="&amp;Q$3,'ChatGPT data'!$A$3:$A$20000,"&lt;="&amp;Q$4,'ChatGPT data'!$B$3:$B$20000,$A45),IF($B45="LinkedIn Ads",SUMIFS('LinkedIn data'!$I$3:$I$20000,'LinkedIn data'!$A$3:$A$20000,"&gt;="&amp;Q$3,'LinkedIn data'!$A$3:$A$20000,"&lt;="&amp;Q$4,'LinkedIn data'!$B$3:$B$20000,$A45),0)))))</f>
        <v>0</v>
      </c>
      <c r="R45" s="15" t="n">
        <f aca="false">IF($A45="","",SUM(F45:Q45))</f>
        <v>982.01122</v>
      </c>
      <c r="S45" s="37" t="n">
        <f aca="false">IF($A45="","",IF($B45="Meta",SUMIFS('Meta data'!$E$3:$E$20000,'Meta data'!$B$3:$B$20000,$A45),IF($B45="Google Ads",SUMIFS('Google data'!$E$3:$E$20000,'Google data'!$B$3:$B$20000,$A45),IF($B45="ChatGPT Ads",SUMIFS('ChatGPT data'!$E$3:$E$20000,'ChatGPT data'!$B$3:$B$20000,$A45),IF($B45="LinkedIn Ads",SUMIFS('LinkedIn data'!$E$3:$E$20000,'LinkedIn data'!$B$3:$B$20000,$A45),0)))))</f>
        <v>1601</v>
      </c>
      <c r="T45" s="37" t="n">
        <f aca="false">IF($A45="","",IF($B45="Meta",SUMIFS('Meta data'!$F$3:$F$20000,'Meta data'!$B$3:$B$20000,$A45),IF($B45="Google Ads",SUMIFS('Google data'!$F$3:$F$20000,'Google data'!$B$3:$B$20000,$A45),IF($B45="ChatGPT Ads",SUMIFS('ChatGPT data'!$F$3:$F$20000,'ChatGPT data'!$B$3:$B$20000,$A45),IF($B45="LinkedIn Ads",SUMIFS('LinkedIn data'!$F$3:$F$20000,'LinkedIn data'!$B$3:$B$20000,$A45),0)))))</f>
        <v>91.02</v>
      </c>
      <c r="U45" s="38" t="n">
        <f aca="false">IF(OR($A45="",T45=0),"",R45/T45)</f>
        <v>10.788960887717</v>
      </c>
    </row>
    <row r="46" customFormat="false" ht="15" hidden="false" customHeight="false" outlineLevel="0" collapsed="false">
      <c r="A46" s="58" t="s">
        <v>205</v>
      </c>
      <c r="B46" s="58" t="s">
        <v>20</v>
      </c>
      <c r="C46" s="58" t="s">
        <v>134</v>
      </c>
      <c r="D46" s="58" t="s">
        <v>124</v>
      </c>
      <c r="E46" s="58" t="s">
        <v>153</v>
      </c>
      <c r="F46" s="14" t="n">
        <f aca="false">IF($A46="","",IF($B46="Meta",SUMIFS('Meta data'!$I$3:$I$20000,'Meta data'!$A$3:$A$20000,"&gt;="&amp;F$3,'Meta data'!$A$3:$A$20000,"&lt;="&amp;F$4,'Meta data'!$B$3:$B$20000,$A46),IF($B46="Google Ads",SUMIFS('Google data'!$I$3:$I$20000,'Google data'!$A$3:$A$20000,"&gt;="&amp;F$3,'Google data'!$A$3:$A$20000,"&lt;="&amp;F$4,'Google data'!$B$3:$B$20000,$A46),IF($B46="ChatGPT Ads",SUMIFS('ChatGPT data'!$I$3:$I$20000,'ChatGPT data'!$A$3:$A$20000,"&gt;="&amp;F$3,'ChatGPT data'!$A$3:$A$20000,"&lt;="&amp;F$4,'ChatGPT data'!$B$3:$B$20000,$A46),IF($B46="LinkedIn Ads",SUMIFS('LinkedIn data'!$I$3:$I$20000,'LinkedIn data'!$A$3:$A$20000,"&gt;="&amp;F$3,'LinkedIn data'!$A$3:$A$20000,"&lt;="&amp;F$4,'LinkedIn data'!$B$3:$B$20000,$A46),0)))))</f>
        <v>651.6191</v>
      </c>
      <c r="G46" s="14" t="n">
        <f aca="false">IF($A46="","",IF($B46="Meta",SUMIFS('Meta data'!$I$3:$I$20000,'Meta data'!$A$3:$A$20000,"&gt;="&amp;G$3,'Meta data'!$A$3:$A$20000,"&lt;="&amp;G$4,'Meta data'!$B$3:$B$20000,$A46),IF($B46="Google Ads",SUMIFS('Google data'!$I$3:$I$20000,'Google data'!$A$3:$A$20000,"&gt;="&amp;G$3,'Google data'!$A$3:$A$20000,"&lt;="&amp;G$4,'Google data'!$B$3:$B$20000,$A46),IF($B46="ChatGPT Ads",SUMIFS('ChatGPT data'!$I$3:$I$20000,'ChatGPT data'!$A$3:$A$20000,"&gt;="&amp;G$3,'ChatGPT data'!$A$3:$A$20000,"&lt;="&amp;G$4,'ChatGPT data'!$B$3:$B$20000,$A46),IF($B46="LinkedIn Ads",SUMIFS('LinkedIn data'!$I$3:$I$20000,'LinkedIn data'!$A$3:$A$20000,"&gt;="&amp;G$3,'LinkedIn data'!$A$3:$A$20000,"&lt;="&amp;G$4,'LinkedIn data'!$B$3:$B$20000,$A46),0)))))</f>
        <v>95.317456</v>
      </c>
      <c r="H46" s="14" t="n">
        <f aca="false">IF($A46="","",IF($B46="Meta",SUMIFS('Meta data'!$I$3:$I$20000,'Meta data'!$A$3:$A$20000,"&gt;="&amp;H$3,'Meta data'!$A$3:$A$20000,"&lt;="&amp;H$4,'Meta data'!$B$3:$B$20000,$A46),IF($B46="Google Ads",SUMIFS('Google data'!$I$3:$I$20000,'Google data'!$A$3:$A$20000,"&gt;="&amp;H$3,'Google data'!$A$3:$A$20000,"&lt;="&amp;H$4,'Google data'!$B$3:$B$20000,$A46),IF($B46="ChatGPT Ads",SUMIFS('ChatGPT data'!$I$3:$I$20000,'ChatGPT data'!$A$3:$A$20000,"&gt;="&amp;H$3,'ChatGPT data'!$A$3:$A$20000,"&lt;="&amp;H$4,'ChatGPT data'!$B$3:$B$20000,$A46),IF($B46="LinkedIn Ads",SUMIFS('LinkedIn data'!$I$3:$I$20000,'LinkedIn data'!$A$3:$A$20000,"&gt;="&amp;H$3,'LinkedIn data'!$A$3:$A$20000,"&lt;="&amp;H$4,'LinkedIn data'!$B$3:$B$20000,$A46),0)))))</f>
        <v>75.400042</v>
      </c>
      <c r="I46" s="14" t="n">
        <f aca="false">IF($A46="","",IF($B46="Meta",SUMIFS('Meta data'!$I$3:$I$20000,'Meta data'!$A$3:$A$20000,"&gt;="&amp;I$3,'Meta data'!$A$3:$A$20000,"&lt;="&amp;I$4,'Meta data'!$B$3:$B$20000,$A46),IF($B46="Google Ads",SUMIFS('Google data'!$I$3:$I$20000,'Google data'!$A$3:$A$20000,"&gt;="&amp;I$3,'Google data'!$A$3:$A$20000,"&lt;="&amp;I$4,'Google data'!$B$3:$B$20000,$A46),IF($B46="ChatGPT Ads",SUMIFS('ChatGPT data'!$I$3:$I$20000,'ChatGPT data'!$A$3:$A$20000,"&gt;="&amp;I$3,'ChatGPT data'!$A$3:$A$20000,"&lt;="&amp;I$4,'ChatGPT data'!$B$3:$B$20000,$A46),IF($B46="LinkedIn Ads",SUMIFS('LinkedIn data'!$I$3:$I$20000,'LinkedIn data'!$A$3:$A$20000,"&gt;="&amp;I$3,'LinkedIn data'!$A$3:$A$20000,"&lt;="&amp;I$4,'LinkedIn data'!$B$3:$B$20000,$A46),0)))))</f>
        <v>56.868576</v>
      </c>
      <c r="J46" s="14" t="n">
        <f aca="false">IF($A46="","",IF($B46="Meta",SUMIFS('Meta data'!$I$3:$I$20000,'Meta data'!$A$3:$A$20000,"&gt;="&amp;J$3,'Meta data'!$A$3:$A$20000,"&lt;="&amp;J$4,'Meta data'!$B$3:$B$20000,$A46),IF($B46="Google Ads",SUMIFS('Google data'!$I$3:$I$20000,'Google data'!$A$3:$A$20000,"&gt;="&amp;J$3,'Google data'!$A$3:$A$20000,"&lt;="&amp;J$4,'Google data'!$B$3:$B$20000,$A46),IF($B46="ChatGPT Ads",SUMIFS('ChatGPT data'!$I$3:$I$20000,'ChatGPT data'!$A$3:$A$20000,"&gt;="&amp;J$3,'ChatGPT data'!$A$3:$A$20000,"&lt;="&amp;J$4,'ChatGPT data'!$B$3:$B$20000,$A46),IF($B46="LinkedIn Ads",SUMIFS('LinkedIn data'!$I$3:$I$20000,'LinkedIn data'!$A$3:$A$20000,"&gt;="&amp;J$3,'LinkedIn data'!$A$3:$A$20000,"&lt;="&amp;J$4,'LinkedIn data'!$B$3:$B$20000,$A46),0)))))</f>
        <v>0</v>
      </c>
      <c r="K46" s="14" t="n">
        <f aca="false">IF($A46="","",IF($B46="Meta",SUMIFS('Meta data'!$I$3:$I$20000,'Meta data'!$A$3:$A$20000,"&gt;="&amp;K$3,'Meta data'!$A$3:$A$20000,"&lt;="&amp;K$4,'Meta data'!$B$3:$B$20000,$A46),IF($B46="Google Ads",SUMIFS('Google data'!$I$3:$I$20000,'Google data'!$A$3:$A$20000,"&gt;="&amp;K$3,'Google data'!$A$3:$A$20000,"&lt;="&amp;K$4,'Google data'!$B$3:$B$20000,$A46),IF($B46="ChatGPT Ads",SUMIFS('ChatGPT data'!$I$3:$I$20000,'ChatGPT data'!$A$3:$A$20000,"&gt;="&amp;K$3,'ChatGPT data'!$A$3:$A$20000,"&lt;="&amp;K$4,'ChatGPT data'!$B$3:$B$20000,$A46),IF($B46="LinkedIn Ads",SUMIFS('LinkedIn data'!$I$3:$I$20000,'LinkedIn data'!$A$3:$A$20000,"&gt;="&amp;K$3,'LinkedIn data'!$A$3:$A$20000,"&lt;="&amp;K$4,'LinkedIn data'!$B$3:$B$20000,$A46),0)))))</f>
        <v>0</v>
      </c>
      <c r="L46" s="14" t="n">
        <f aca="false">IF($A46="","",IF($B46="Meta",SUMIFS('Meta data'!$I$3:$I$20000,'Meta data'!$A$3:$A$20000,"&gt;="&amp;L$3,'Meta data'!$A$3:$A$20000,"&lt;="&amp;L$4,'Meta data'!$B$3:$B$20000,$A46),IF($B46="Google Ads",SUMIFS('Google data'!$I$3:$I$20000,'Google data'!$A$3:$A$20000,"&gt;="&amp;L$3,'Google data'!$A$3:$A$20000,"&lt;="&amp;L$4,'Google data'!$B$3:$B$20000,$A46),IF($B46="ChatGPT Ads",SUMIFS('ChatGPT data'!$I$3:$I$20000,'ChatGPT data'!$A$3:$A$20000,"&gt;="&amp;L$3,'ChatGPT data'!$A$3:$A$20000,"&lt;="&amp;L$4,'ChatGPT data'!$B$3:$B$20000,$A46),IF($B46="LinkedIn Ads",SUMIFS('LinkedIn data'!$I$3:$I$20000,'LinkedIn data'!$A$3:$A$20000,"&gt;="&amp;L$3,'LinkedIn data'!$A$3:$A$20000,"&lt;="&amp;L$4,'LinkedIn data'!$B$3:$B$20000,$A46),0)))))</f>
        <v>0</v>
      </c>
      <c r="M46" s="14" t="n">
        <f aca="false">IF($A46="","",IF($B46="Meta",SUMIFS('Meta data'!$I$3:$I$20000,'Meta data'!$A$3:$A$20000,"&gt;="&amp;M$3,'Meta data'!$A$3:$A$20000,"&lt;="&amp;M$4,'Meta data'!$B$3:$B$20000,$A46),IF($B46="Google Ads",SUMIFS('Google data'!$I$3:$I$20000,'Google data'!$A$3:$A$20000,"&gt;="&amp;M$3,'Google data'!$A$3:$A$20000,"&lt;="&amp;M$4,'Google data'!$B$3:$B$20000,$A46),IF($B46="ChatGPT Ads",SUMIFS('ChatGPT data'!$I$3:$I$20000,'ChatGPT data'!$A$3:$A$20000,"&gt;="&amp;M$3,'ChatGPT data'!$A$3:$A$20000,"&lt;="&amp;M$4,'ChatGPT data'!$B$3:$B$20000,$A46),IF($B46="LinkedIn Ads",SUMIFS('LinkedIn data'!$I$3:$I$20000,'LinkedIn data'!$A$3:$A$20000,"&gt;="&amp;M$3,'LinkedIn data'!$A$3:$A$20000,"&lt;="&amp;M$4,'LinkedIn data'!$B$3:$B$20000,$A46),0)))))</f>
        <v>0</v>
      </c>
      <c r="N46" s="14" t="n">
        <f aca="false">IF($A46="","",IF($B46="Meta",SUMIFS('Meta data'!$I$3:$I$20000,'Meta data'!$A$3:$A$20000,"&gt;="&amp;N$3,'Meta data'!$A$3:$A$20000,"&lt;="&amp;N$4,'Meta data'!$B$3:$B$20000,$A46),IF($B46="Google Ads",SUMIFS('Google data'!$I$3:$I$20000,'Google data'!$A$3:$A$20000,"&gt;="&amp;N$3,'Google data'!$A$3:$A$20000,"&lt;="&amp;N$4,'Google data'!$B$3:$B$20000,$A46),IF($B46="ChatGPT Ads",SUMIFS('ChatGPT data'!$I$3:$I$20000,'ChatGPT data'!$A$3:$A$20000,"&gt;="&amp;N$3,'ChatGPT data'!$A$3:$A$20000,"&lt;="&amp;N$4,'ChatGPT data'!$B$3:$B$20000,$A46),IF($B46="LinkedIn Ads",SUMIFS('LinkedIn data'!$I$3:$I$20000,'LinkedIn data'!$A$3:$A$20000,"&gt;="&amp;N$3,'LinkedIn data'!$A$3:$A$20000,"&lt;="&amp;N$4,'LinkedIn data'!$B$3:$B$20000,$A46),0)))))</f>
        <v>0</v>
      </c>
      <c r="O46" s="14" t="n">
        <f aca="false">IF($A46="","",IF($B46="Meta",SUMIFS('Meta data'!$I$3:$I$20000,'Meta data'!$A$3:$A$20000,"&gt;="&amp;O$3,'Meta data'!$A$3:$A$20000,"&lt;="&amp;O$4,'Meta data'!$B$3:$B$20000,$A46),IF($B46="Google Ads",SUMIFS('Google data'!$I$3:$I$20000,'Google data'!$A$3:$A$20000,"&gt;="&amp;O$3,'Google data'!$A$3:$A$20000,"&lt;="&amp;O$4,'Google data'!$B$3:$B$20000,$A46),IF($B46="ChatGPT Ads",SUMIFS('ChatGPT data'!$I$3:$I$20000,'ChatGPT data'!$A$3:$A$20000,"&gt;="&amp;O$3,'ChatGPT data'!$A$3:$A$20000,"&lt;="&amp;O$4,'ChatGPT data'!$B$3:$B$20000,$A46),IF($B46="LinkedIn Ads",SUMIFS('LinkedIn data'!$I$3:$I$20000,'LinkedIn data'!$A$3:$A$20000,"&gt;="&amp;O$3,'LinkedIn data'!$A$3:$A$20000,"&lt;="&amp;O$4,'LinkedIn data'!$B$3:$B$20000,$A46),0)))))</f>
        <v>0</v>
      </c>
      <c r="P46" s="14" t="n">
        <f aca="false">IF($A46="","",IF($B46="Meta",SUMIFS('Meta data'!$I$3:$I$20000,'Meta data'!$A$3:$A$20000,"&gt;="&amp;P$3,'Meta data'!$A$3:$A$20000,"&lt;="&amp;P$4,'Meta data'!$B$3:$B$20000,$A46),IF($B46="Google Ads",SUMIFS('Google data'!$I$3:$I$20000,'Google data'!$A$3:$A$20000,"&gt;="&amp;P$3,'Google data'!$A$3:$A$20000,"&lt;="&amp;P$4,'Google data'!$B$3:$B$20000,$A46),IF($B46="ChatGPT Ads",SUMIFS('ChatGPT data'!$I$3:$I$20000,'ChatGPT data'!$A$3:$A$20000,"&gt;="&amp;P$3,'ChatGPT data'!$A$3:$A$20000,"&lt;="&amp;P$4,'ChatGPT data'!$B$3:$B$20000,$A46),IF($B46="LinkedIn Ads",SUMIFS('LinkedIn data'!$I$3:$I$20000,'LinkedIn data'!$A$3:$A$20000,"&gt;="&amp;P$3,'LinkedIn data'!$A$3:$A$20000,"&lt;="&amp;P$4,'LinkedIn data'!$B$3:$B$20000,$A46),0)))))</f>
        <v>0</v>
      </c>
      <c r="Q46" s="14" t="n">
        <f aca="false">IF($A46="","",IF($B46="Meta",SUMIFS('Meta data'!$I$3:$I$20000,'Meta data'!$A$3:$A$20000,"&gt;="&amp;Q$3,'Meta data'!$A$3:$A$20000,"&lt;="&amp;Q$4,'Meta data'!$B$3:$B$20000,$A46),IF($B46="Google Ads",SUMIFS('Google data'!$I$3:$I$20000,'Google data'!$A$3:$A$20000,"&gt;="&amp;Q$3,'Google data'!$A$3:$A$20000,"&lt;="&amp;Q$4,'Google data'!$B$3:$B$20000,$A46),IF($B46="ChatGPT Ads",SUMIFS('ChatGPT data'!$I$3:$I$20000,'ChatGPT data'!$A$3:$A$20000,"&gt;="&amp;Q$3,'ChatGPT data'!$A$3:$A$20000,"&lt;="&amp;Q$4,'ChatGPT data'!$B$3:$B$20000,$A46),IF($B46="LinkedIn Ads",SUMIFS('LinkedIn data'!$I$3:$I$20000,'LinkedIn data'!$A$3:$A$20000,"&gt;="&amp;Q$3,'LinkedIn data'!$A$3:$A$20000,"&lt;="&amp;Q$4,'LinkedIn data'!$B$3:$B$20000,$A46),0)))))</f>
        <v>0</v>
      </c>
      <c r="R46" s="15" t="n">
        <f aca="false">IF($A46="","",SUM(F46:Q46))</f>
        <v>879.205174</v>
      </c>
      <c r="S46" s="37" t="n">
        <f aca="false">IF($A46="","",IF($B46="Meta",SUMIFS('Meta data'!$E$3:$E$20000,'Meta data'!$B$3:$B$20000,$A46),IF($B46="Google Ads",SUMIFS('Google data'!$E$3:$E$20000,'Google data'!$B$3:$B$20000,$A46),IF($B46="ChatGPT Ads",SUMIFS('ChatGPT data'!$E$3:$E$20000,'ChatGPT data'!$B$3:$B$20000,$A46),IF($B46="LinkedIn Ads",SUMIFS('LinkedIn data'!$E$3:$E$20000,'LinkedIn data'!$B$3:$B$20000,$A46),0)))))</f>
        <v>1355</v>
      </c>
      <c r="T46" s="37" t="n">
        <f aca="false">IF($A46="","",IF($B46="Meta",SUMIFS('Meta data'!$F$3:$F$20000,'Meta data'!$B$3:$B$20000,$A46),IF($B46="Google Ads",SUMIFS('Google data'!$F$3:$F$20000,'Google data'!$B$3:$B$20000,$A46),IF($B46="ChatGPT Ads",SUMIFS('ChatGPT data'!$F$3:$F$20000,'ChatGPT data'!$B$3:$B$20000,$A46),IF($B46="LinkedIn Ads",SUMIFS('LinkedIn data'!$F$3:$F$20000,'LinkedIn data'!$B$3:$B$20000,$A46),0)))))</f>
        <v>77.07</v>
      </c>
      <c r="U46" s="38" t="n">
        <f aca="false">IF(OR($A46="",T46=0),"",R46/T46)</f>
        <v>11.4078782146101</v>
      </c>
    </row>
    <row r="47" customFormat="false" ht="15" hidden="false" customHeight="false" outlineLevel="0" collapsed="false">
      <c r="A47" s="58" t="s">
        <v>206</v>
      </c>
      <c r="B47" s="58" t="s">
        <v>20</v>
      </c>
      <c r="C47" s="58" t="s">
        <v>130</v>
      </c>
      <c r="D47" s="58" t="s">
        <v>123</v>
      </c>
      <c r="E47" s="58" t="s">
        <v>152</v>
      </c>
      <c r="F47" s="14" t="n">
        <f aca="false">IF($A47="","",IF($B47="Meta",SUMIFS('Meta data'!$I$3:$I$20000,'Meta data'!$A$3:$A$20000,"&gt;="&amp;F$3,'Meta data'!$A$3:$A$20000,"&lt;="&amp;F$4,'Meta data'!$B$3:$B$20000,$A47),IF($B47="Google Ads",SUMIFS('Google data'!$I$3:$I$20000,'Google data'!$A$3:$A$20000,"&gt;="&amp;F$3,'Google data'!$A$3:$A$20000,"&lt;="&amp;F$4,'Google data'!$B$3:$B$20000,$A47),IF($B47="ChatGPT Ads",SUMIFS('ChatGPT data'!$I$3:$I$20000,'ChatGPT data'!$A$3:$A$20000,"&gt;="&amp;F$3,'ChatGPT data'!$A$3:$A$20000,"&lt;="&amp;F$4,'ChatGPT data'!$B$3:$B$20000,$A47),IF($B47="LinkedIn Ads",SUMIFS('LinkedIn data'!$I$3:$I$20000,'LinkedIn data'!$A$3:$A$20000,"&gt;="&amp;F$3,'LinkedIn data'!$A$3:$A$20000,"&lt;="&amp;F$4,'LinkedIn data'!$B$3:$B$20000,$A47),0)))))</f>
        <v>0</v>
      </c>
      <c r="G47" s="14" t="n">
        <f aca="false">IF($A47="","",IF($B47="Meta",SUMIFS('Meta data'!$I$3:$I$20000,'Meta data'!$A$3:$A$20000,"&gt;="&amp;G$3,'Meta data'!$A$3:$A$20000,"&lt;="&amp;G$4,'Meta data'!$B$3:$B$20000,$A47),IF($B47="Google Ads",SUMIFS('Google data'!$I$3:$I$20000,'Google data'!$A$3:$A$20000,"&gt;="&amp;G$3,'Google data'!$A$3:$A$20000,"&lt;="&amp;G$4,'Google data'!$B$3:$B$20000,$A47),IF($B47="ChatGPT Ads",SUMIFS('ChatGPT data'!$I$3:$I$20000,'ChatGPT data'!$A$3:$A$20000,"&gt;="&amp;G$3,'ChatGPT data'!$A$3:$A$20000,"&lt;="&amp;G$4,'ChatGPT data'!$B$3:$B$20000,$A47),IF($B47="LinkedIn Ads",SUMIFS('LinkedIn data'!$I$3:$I$20000,'LinkedIn data'!$A$3:$A$20000,"&gt;="&amp;G$3,'LinkedIn data'!$A$3:$A$20000,"&lt;="&amp;G$4,'LinkedIn data'!$B$3:$B$20000,$A47),0)))))</f>
        <v>841.281613</v>
      </c>
      <c r="H47" s="14" t="n">
        <f aca="false">IF($A47="","",IF($B47="Meta",SUMIFS('Meta data'!$I$3:$I$20000,'Meta data'!$A$3:$A$20000,"&gt;="&amp;H$3,'Meta data'!$A$3:$A$20000,"&lt;="&amp;H$4,'Meta data'!$B$3:$B$20000,$A47),IF($B47="Google Ads",SUMIFS('Google data'!$I$3:$I$20000,'Google data'!$A$3:$A$20000,"&gt;="&amp;H$3,'Google data'!$A$3:$A$20000,"&lt;="&amp;H$4,'Google data'!$B$3:$B$20000,$A47),IF($B47="ChatGPT Ads",SUMIFS('ChatGPT data'!$I$3:$I$20000,'ChatGPT data'!$A$3:$A$20000,"&gt;="&amp;H$3,'ChatGPT data'!$A$3:$A$20000,"&lt;="&amp;H$4,'ChatGPT data'!$B$3:$B$20000,$A47),IF($B47="LinkedIn Ads",SUMIFS('LinkedIn data'!$I$3:$I$20000,'LinkedIn data'!$A$3:$A$20000,"&gt;="&amp;H$3,'LinkedIn data'!$A$3:$A$20000,"&lt;="&amp;H$4,'LinkedIn data'!$B$3:$B$20000,$A47),0)))))</f>
        <v>0</v>
      </c>
      <c r="I47" s="14" t="n">
        <f aca="false">IF($A47="","",IF($B47="Meta",SUMIFS('Meta data'!$I$3:$I$20000,'Meta data'!$A$3:$A$20000,"&gt;="&amp;I$3,'Meta data'!$A$3:$A$20000,"&lt;="&amp;I$4,'Meta data'!$B$3:$B$20000,$A47),IF($B47="Google Ads",SUMIFS('Google data'!$I$3:$I$20000,'Google data'!$A$3:$A$20000,"&gt;="&amp;I$3,'Google data'!$A$3:$A$20000,"&lt;="&amp;I$4,'Google data'!$B$3:$B$20000,$A47),IF($B47="ChatGPT Ads",SUMIFS('ChatGPT data'!$I$3:$I$20000,'ChatGPT data'!$A$3:$A$20000,"&gt;="&amp;I$3,'ChatGPT data'!$A$3:$A$20000,"&lt;="&amp;I$4,'ChatGPT data'!$B$3:$B$20000,$A47),IF($B47="LinkedIn Ads",SUMIFS('LinkedIn data'!$I$3:$I$20000,'LinkedIn data'!$A$3:$A$20000,"&gt;="&amp;I$3,'LinkedIn data'!$A$3:$A$20000,"&lt;="&amp;I$4,'LinkedIn data'!$B$3:$B$20000,$A47),0)))))</f>
        <v>0</v>
      </c>
      <c r="J47" s="14" t="n">
        <f aca="false">IF($A47="","",IF($B47="Meta",SUMIFS('Meta data'!$I$3:$I$20000,'Meta data'!$A$3:$A$20000,"&gt;="&amp;J$3,'Meta data'!$A$3:$A$20000,"&lt;="&amp;J$4,'Meta data'!$B$3:$B$20000,$A47),IF($B47="Google Ads",SUMIFS('Google data'!$I$3:$I$20000,'Google data'!$A$3:$A$20000,"&gt;="&amp;J$3,'Google data'!$A$3:$A$20000,"&lt;="&amp;J$4,'Google data'!$B$3:$B$20000,$A47),IF($B47="ChatGPT Ads",SUMIFS('ChatGPT data'!$I$3:$I$20000,'ChatGPT data'!$A$3:$A$20000,"&gt;="&amp;J$3,'ChatGPT data'!$A$3:$A$20000,"&lt;="&amp;J$4,'ChatGPT data'!$B$3:$B$20000,$A47),IF($B47="LinkedIn Ads",SUMIFS('LinkedIn data'!$I$3:$I$20000,'LinkedIn data'!$A$3:$A$20000,"&gt;="&amp;J$3,'LinkedIn data'!$A$3:$A$20000,"&lt;="&amp;J$4,'LinkedIn data'!$B$3:$B$20000,$A47),0)))))</f>
        <v>0</v>
      </c>
      <c r="K47" s="14" t="n">
        <f aca="false">IF($A47="","",IF($B47="Meta",SUMIFS('Meta data'!$I$3:$I$20000,'Meta data'!$A$3:$A$20000,"&gt;="&amp;K$3,'Meta data'!$A$3:$A$20000,"&lt;="&amp;K$4,'Meta data'!$B$3:$B$20000,$A47),IF($B47="Google Ads",SUMIFS('Google data'!$I$3:$I$20000,'Google data'!$A$3:$A$20000,"&gt;="&amp;K$3,'Google data'!$A$3:$A$20000,"&lt;="&amp;K$4,'Google data'!$B$3:$B$20000,$A47),IF($B47="ChatGPT Ads",SUMIFS('ChatGPT data'!$I$3:$I$20000,'ChatGPT data'!$A$3:$A$20000,"&gt;="&amp;K$3,'ChatGPT data'!$A$3:$A$20000,"&lt;="&amp;K$4,'ChatGPT data'!$B$3:$B$20000,$A47),IF($B47="LinkedIn Ads",SUMIFS('LinkedIn data'!$I$3:$I$20000,'LinkedIn data'!$A$3:$A$20000,"&gt;="&amp;K$3,'LinkedIn data'!$A$3:$A$20000,"&lt;="&amp;K$4,'LinkedIn data'!$B$3:$B$20000,$A47),0)))))</f>
        <v>0</v>
      </c>
      <c r="L47" s="14" t="n">
        <f aca="false">IF($A47="","",IF($B47="Meta",SUMIFS('Meta data'!$I$3:$I$20000,'Meta data'!$A$3:$A$20000,"&gt;="&amp;L$3,'Meta data'!$A$3:$A$20000,"&lt;="&amp;L$4,'Meta data'!$B$3:$B$20000,$A47),IF($B47="Google Ads",SUMIFS('Google data'!$I$3:$I$20000,'Google data'!$A$3:$A$20000,"&gt;="&amp;L$3,'Google data'!$A$3:$A$20000,"&lt;="&amp;L$4,'Google data'!$B$3:$B$20000,$A47),IF($B47="ChatGPT Ads",SUMIFS('ChatGPT data'!$I$3:$I$20000,'ChatGPT data'!$A$3:$A$20000,"&gt;="&amp;L$3,'ChatGPT data'!$A$3:$A$20000,"&lt;="&amp;L$4,'ChatGPT data'!$B$3:$B$20000,$A47),IF($B47="LinkedIn Ads",SUMIFS('LinkedIn data'!$I$3:$I$20000,'LinkedIn data'!$A$3:$A$20000,"&gt;="&amp;L$3,'LinkedIn data'!$A$3:$A$20000,"&lt;="&amp;L$4,'LinkedIn data'!$B$3:$B$20000,$A47),0)))))</f>
        <v>0</v>
      </c>
      <c r="M47" s="14" t="n">
        <f aca="false">IF($A47="","",IF($B47="Meta",SUMIFS('Meta data'!$I$3:$I$20000,'Meta data'!$A$3:$A$20000,"&gt;="&amp;M$3,'Meta data'!$A$3:$A$20000,"&lt;="&amp;M$4,'Meta data'!$B$3:$B$20000,$A47),IF($B47="Google Ads",SUMIFS('Google data'!$I$3:$I$20000,'Google data'!$A$3:$A$20000,"&gt;="&amp;M$3,'Google data'!$A$3:$A$20000,"&lt;="&amp;M$4,'Google data'!$B$3:$B$20000,$A47),IF($B47="ChatGPT Ads",SUMIFS('ChatGPT data'!$I$3:$I$20000,'ChatGPT data'!$A$3:$A$20000,"&gt;="&amp;M$3,'ChatGPT data'!$A$3:$A$20000,"&lt;="&amp;M$4,'ChatGPT data'!$B$3:$B$20000,$A47),IF($B47="LinkedIn Ads",SUMIFS('LinkedIn data'!$I$3:$I$20000,'LinkedIn data'!$A$3:$A$20000,"&gt;="&amp;M$3,'LinkedIn data'!$A$3:$A$20000,"&lt;="&amp;M$4,'LinkedIn data'!$B$3:$B$20000,$A47),0)))))</f>
        <v>0</v>
      </c>
      <c r="N47" s="14" t="n">
        <f aca="false">IF($A47="","",IF($B47="Meta",SUMIFS('Meta data'!$I$3:$I$20000,'Meta data'!$A$3:$A$20000,"&gt;="&amp;N$3,'Meta data'!$A$3:$A$20000,"&lt;="&amp;N$4,'Meta data'!$B$3:$B$20000,$A47),IF($B47="Google Ads",SUMIFS('Google data'!$I$3:$I$20000,'Google data'!$A$3:$A$20000,"&gt;="&amp;N$3,'Google data'!$A$3:$A$20000,"&lt;="&amp;N$4,'Google data'!$B$3:$B$20000,$A47),IF($B47="ChatGPT Ads",SUMIFS('ChatGPT data'!$I$3:$I$20000,'ChatGPT data'!$A$3:$A$20000,"&gt;="&amp;N$3,'ChatGPT data'!$A$3:$A$20000,"&lt;="&amp;N$4,'ChatGPT data'!$B$3:$B$20000,$A47),IF($B47="LinkedIn Ads",SUMIFS('LinkedIn data'!$I$3:$I$20000,'LinkedIn data'!$A$3:$A$20000,"&gt;="&amp;N$3,'LinkedIn data'!$A$3:$A$20000,"&lt;="&amp;N$4,'LinkedIn data'!$B$3:$B$20000,$A47),0)))))</f>
        <v>0</v>
      </c>
      <c r="O47" s="14" t="n">
        <f aca="false">IF($A47="","",IF($B47="Meta",SUMIFS('Meta data'!$I$3:$I$20000,'Meta data'!$A$3:$A$20000,"&gt;="&amp;O$3,'Meta data'!$A$3:$A$20000,"&lt;="&amp;O$4,'Meta data'!$B$3:$B$20000,$A47),IF($B47="Google Ads",SUMIFS('Google data'!$I$3:$I$20000,'Google data'!$A$3:$A$20000,"&gt;="&amp;O$3,'Google data'!$A$3:$A$20000,"&lt;="&amp;O$4,'Google data'!$B$3:$B$20000,$A47),IF($B47="ChatGPT Ads",SUMIFS('ChatGPT data'!$I$3:$I$20000,'ChatGPT data'!$A$3:$A$20000,"&gt;="&amp;O$3,'ChatGPT data'!$A$3:$A$20000,"&lt;="&amp;O$4,'ChatGPT data'!$B$3:$B$20000,$A47),IF($B47="LinkedIn Ads",SUMIFS('LinkedIn data'!$I$3:$I$20000,'LinkedIn data'!$A$3:$A$20000,"&gt;="&amp;O$3,'LinkedIn data'!$A$3:$A$20000,"&lt;="&amp;O$4,'LinkedIn data'!$B$3:$B$20000,$A47),0)))))</f>
        <v>0</v>
      </c>
      <c r="P47" s="14" t="n">
        <f aca="false">IF($A47="","",IF($B47="Meta",SUMIFS('Meta data'!$I$3:$I$20000,'Meta data'!$A$3:$A$20000,"&gt;="&amp;P$3,'Meta data'!$A$3:$A$20000,"&lt;="&amp;P$4,'Meta data'!$B$3:$B$20000,$A47),IF($B47="Google Ads",SUMIFS('Google data'!$I$3:$I$20000,'Google data'!$A$3:$A$20000,"&gt;="&amp;P$3,'Google data'!$A$3:$A$20000,"&lt;="&amp;P$4,'Google data'!$B$3:$B$20000,$A47),IF($B47="ChatGPT Ads",SUMIFS('ChatGPT data'!$I$3:$I$20000,'ChatGPT data'!$A$3:$A$20000,"&gt;="&amp;P$3,'ChatGPT data'!$A$3:$A$20000,"&lt;="&amp;P$4,'ChatGPT data'!$B$3:$B$20000,$A47),IF($B47="LinkedIn Ads",SUMIFS('LinkedIn data'!$I$3:$I$20000,'LinkedIn data'!$A$3:$A$20000,"&gt;="&amp;P$3,'LinkedIn data'!$A$3:$A$20000,"&lt;="&amp;P$4,'LinkedIn data'!$B$3:$B$20000,$A47),0)))))</f>
        <v>0</v>
      </c>
      <c r="Q47" s="14" t="n">
        <f aca="false">IF($A47="","",IF($B47="Meta",SUMIFS('Meta data'!$I$3:$I$20000,'Meta data'!$A$3:$A$20000,"&gt;="&amp;Q$3,'Meta data'!$A$3:$A$20000,"&lt;="&amp;Q$4,'Meta data'!$B$3:$B$20000,$A47),IF($B47="Google Ads",SUMIFS('Google data'!$I$3:$I$20000,'Google data'!$A$3:$A$20000,"&gt;="&amp;Q$3,'Google data'!$A$3:$A$20000,"&lt;="&amp;Q$4,'Google data'!$B$3:$B$20000,$A47),IF($B47="ChatGPT Ads",SUMIFS('ChatGPT data'!$I$3:$I$20000,'ChatGPT data'!$A$3:$A$20000,"&gt;="&amp;Q$3,'ChatGPT data'!$A$3:$A$20000,"&lt;="&amp;Q$4,'ChatGPT data'!$B$3:$B$20000,$A47),IF($B47="LinkedIn Ads",SUMIFS('LinkedIn data'!$I$3:$I$20000,'LinkedIn data'!$A$3:$A$20000,"&gt;="&amp;Q$3,'LinkedIn data'!$A$3:$A$20000,"&lt;="&amp;Q$4,'LinkedIn data'!$B$3:$B$20000,$A47),0)))))</f>
        <v>0</v>
      </c>
      <c r="R47" s="15" t="n">
        <f aca="false">IF($A47="","",SUM(F47:Q47))</f>
        <v>841.281613</v>
      </c>
      <c r="S47" s="37" t="n">
        <f aca="false">IF($A47="","",IF($B47="Meta",SUMIFS('Meta data'!$E$3:$E$20000,'Meta data'!$B$3:$B$20000,$A47),IF($B47="Google Ads",SUMIFS('Google data'!$E$3:$E$20000,'Google data'!$B$3:$B$20000,$A47),IF($B47="ChatGPT Ads",SUMIFS('ChatGPT data'!$E$3:$E$20000,'ChatGPT data'!$B$3:$B$20000,$A47),IF($B47="LinkedIn Ads",SUMIFS('LinkedIn data'!$E$3:$E$20000,'LinkedIn data'!$B$3:$B$20000,$A47),0)))))</f>
        <v>3970</v>
      </c>
      <c r="T47" s="37" t="n">
        <f aca="false">IF($A47="","",IF($B47="Meta",SUMIFS('Meta data'!$F$3:$F$20000,'Meta data'!$B$3:$B$20000,$A47),IF($B47="Google Ads",SUMIFS('Google data'!$F$3:$F$20000,'Google data'!$B$3:$B$20000,$A47),IF($B47="ChatGPT Ads",SUMIFS('ChatGPT data'!$F$3:$F$20000,'ChatGPT data'!$B$3:$B$20000,$A47),IF($B47="LinkedIn Ads",SUMIFS('LinkedIn data'!$F$3:$F$20000,'LinkedIn data'!$B$3:$B$20000,$A47),0)))))</f>
        <v>0</v>
      </c>
      <c r="U47" s="38" t="str">
        <f aca="false">IF(OR($A47="",T47=0),"",R47/T47)</f>
        <v/>
      </c>
    </row>
    <row r="48" customFormat="false" ht="15" hidden="false" customHeight="false" outlineLevel="0" collapsed="false">
      <c r="A48" s="58" t="s">
        <v>207</v>
      </c>
      <c r="B48" s="58" t="s">
        <v>20</v>
      </c>
      <c r="C48" s="58" t="s">
        <v>132</v>
      </c>
      <c r="D48" s="58" t="s">
        <v>124</v>
      </c>
      <c r="E48" s="58" t="s">
        <v>152</v>
      </c>
      <c r="F48" s="14" t="n">
        <f aca="false">IF($A48="","",IF($B48="Meta",SUMIFS('Meta data'!$I$3:$I$20000,'Meta data'!$A$3:$A$20000,"&gt;="&amp;F$3,'Meta data'!$A$3:$A$20000,"&lt;="&amp;F$4,'Meta data'!$B$3:$B$20000,$A48),IF($B48="Google Ads",SUMIFS('Google data'!$I$3:$I$20000,'Google data'!$A$3:$A$20000,"&gt;="&amp;F$3,'Google data'!$A$3:$A$20000,"&lt;="&amp;F$4,'Google data'!$B$3:$B$20000,$A48),IF($B48="ChatGPT Ads",SUMIFS('ChatGPT data'!$I$3:$I$20000,'ChatGPT data'!$A$3:$A$20000,"&gt;="&amp;F$3,'ChatGPT data'!$A$3:$A$20000,"&lt;="&amp;F$4,'ChatGPT data'!$B$3:$B$20000,$A48),IF($B48="LinkedIn Ads",SUMIFS('LinkedIn data'!$I$3:$I$20000,'LinkedIn data'!$A$3:$A$20000,"&gt;="&amp;F$3,'LinkedIn data'!$A$3:$A$20000,"&lt;="&amp;F$4,'LinkedIn data'!$B$3:$B$20000,$A48),0)))))</f>
        <v>0</v>
      </c>
      <c r="G48" s="14" t="n">
        <f aca="false">IF($A48="","",IF($B48="Meta",SUMIFS('Meta data'!$I$3:$I$20000,'Meta data'!$A$3:$A$20000,"&gt;="&amp;G$3,'Meta data'!$A$3:$A$20000,"&lt;="&amp;G$4,'Meta data'!$B$3:$B$20000,$A48),IF($B48="Google Ads",SUMIFS('Google data'!$I$3:$I$20000,'Google data'!$A$3:$A$20000,"&gt;="&amp;G$3,'Google data'!$A$3:$A$20000,"&lt;="&amp;G$4,'Google data'!$B$3:$B$20000,$A48),IF($B48="ChatGPT Ads",SUMIFS('ChatGPT data'!$I$3:$I$20000,'ChatGPT data'!$A$3:$A$20000,"&gt;="&amp;G$3,'ChatGPT data'!$A$3:$A$20000,"&lt;="&amp;G$4,'ChatGPT data'!$B$3:$B$20000,$A48),IF($B48="LinkedIn Ads",SUMIFS('LinkedIn data'!$I$3:$I$20000,'LinkedIn data'!$A$3:$A$20000,"&gt;="&amp;G$3,'LinkedIn data'!$A$3:$A$20000,"&lt;="&amp;G$4,'LinkedIn data'!$B$3:$B$20000,$A48),0)))))</f>
        <v>838.543248</v>
      </c>
      <c r="H48" s="14" t="n">
        <f aca="false">IF($A48="","",IF($B48="Meta",SUMIFS('Meta data'!$I$3:$I$20000,'Meta data'!$A$3:$A$20000,"&gt;="&amp;H$3,'Meta data'!$A$3:$A$20000,"&lt;="&amp;H$4,'Meta data'!$B$3:$B$20000,$A48),IF($B48="Google Ads",SUMIFS('Google data'!$I$3:$I$20000,'Google data'!$A$3:$A$20000,"&gt;="&amp;H$3,'Google data'!$A$3:$A$20000,"&lt;="&amp;H$4,'Google data'!$B$3:$B$20000,$A48),IF($B48="ChatGPT Ads",SUMIFS('ChatGPT data'!$I$3:$I$20000,'ChatGPT data'!$A$3:$A$20000,"&gt;="&amp;H$3,'ChatGPT data'!$A$3:$A$20000,"&lt;="&amp;H$4,'ChatGPT data'!$B$3:$B$20000,$A48),IF($B48="LinkedIn Ads",SUMIFS('LinkedIn data'!$I$3:$I$20000,'LinkedIn data'!$A$3:$A$20000,"&gt;="&amp;H$3,'LinkedIn data'!$A$3:$A$20000,"&lt;="&amp;H$4,'LinkedIn data'!$B$3:$B$20000,$A48),0)))))</f>
        <v>0</v>
      </c>
      <c r="I48" s="14" t="n">
        <f aca="false">IF($A48="","",IF($B48="Meta",SUMIFS('Meta data'!$I$3:$I$20000,'Meta data'!$A$3:$A$20000,"&gt;="&amp;I$3,'Meta data'!$A$3:$A$20000,"&lt;="&amp;I$4,'Meta data'!$B$3:$B$20000,$A48),IF($B48="Google Ads",SUMIFS('Google data'!$I$3:$I$20000,'Google data'!$A$3:$A$20000,"&gt;="&amp;I$3,'Google data'!$A$3:$A$20000,"&lt;="&amp;I$4,'Google data'!$B$3:$B$20000,$A48),IF($B48="ChatGPT Ads",SUMIFS('ChatGPT data'!$I$3:$I$20000,'ChatGPT data'!$A$3:$A$20000,"&gt;="&amp;I$3,'ChatGPT data'!$A$3:$A$20000,"&lt;="&amp;I$4,'ChatGPT data'!$B$3:$B$20000,$A48),IF($B48="LinkedIn Ads",SUMIFS('LinkedIn data'!$I$3:$I$20000,'LinkedIn data'!$A$3:$A$20000,"&gt;="&amp;I$3,'LinkedIn data'!$A$3:$A$20000,"&lt;="&amp;I$4,'LinkedIn data'!$B$3:$B$20000,$A48),0)))))</f>
        <v>0</v>
      </c>
      <c r="J48" s="14" t="n">
        <f aca="false">IF($A48="","",IF($B48="Meta",SUMIFS('Meta data'!$I$3:$I$20000,'Meta data'!$A$3:$A$20000,"&gt;="&amp;J$3,'Meta data'!$A$3:$A$20000,"&lt;="&amp;J$4,'Meta data'!$B$3:$B$20000,$A48),IF($B48="Google Ads",SUMIFS('Google data'!$I$3:$I$20000,'Google data'!$A$3:$A$20000,"&gt;="&amp;J$3,'Google data'!$A$3:$A$20000,"&lt;="&amp;J$4,'Google data'!$B$3:$B$20000,$A48),IF($B48="ChatGPT Ads",SUMIFS('ChatGPT data'!$I$3:$I$20000,'ChatGPT data'!$A$3:$A$20000,"&gt;="&amp;J$3,'ChatGPT data'!$A$3:$A$20000,"&lt;="&amp;J$4,'ChatGPT data'!$B$3:$B$20000,$A48),IF($B48="LinkedIn Ads",SUMIFS('LinkedIn data'!$I$3:$I$20000,'LinkedIn data'!$A$3:$A$20000,"&gt;="&amp;J$3,'LinkedIn data'!$A$3:$A$20000,"&lt;="&amp;J$4,'LinkedIn data'!$B$3:$B$20000,$A48),0)))))</f>
        <v>0</v>
      </c>
      <c r="K48" s="14" t="n">
        <f aca="false">IF($A48="","",IF($B48="Meta",SUMIFS('Meta data'!$I$3:$I$20000,'Meta data'!$A$3:$A$20000,"&gt;="&amp;K$3,'Meta data'!$A$3:$A$20000,"&lt;="&amp;K$4,'Meta data'!$B$3:$B$20000,$A48),IF($B48="Google Ads",SUMIFS('Google data'!$I$3:$I$20000,'Google data'!$A$3:$A$20000,"&gt;="&amp;K$3,'Google data'!$A$3:$A$20000,"&lt;="&amp;K$4,'Google data'!$B$3:$B$20000,$A48),IF($B48="ChatGPT Ads",SUMIFS('ChatGPT data'!$I$3:$I$20000,'ChatGPT data'!$A$3:$A$20000,"&gt;="&amp;K$3,'ChatGPT data'!$A$3:$A$20000,"&lt;="&amp;K$4,'ChatGPT data'!$B$3:$B$20000,$A48),IF($B48="LinkedIn Ads",SUMIFS('LinkedIn data'!$I$3:$I$20000,'LinkedIn data'!$A$3:$A$20000,"&gt;="&amp;K$3,'LinkedIn data'!$A$3:$A$20000,"&lt;="&amp;K$4,'LinkedIn data'!$B$3:$B$20000,$A48),0)))))</f>
        <v>0</v>
      </c>
      <c r="L48" s="14" t="n">
        <f aca="false">IF($A48="","",IF($B48="Meta",SUMIFS('Meta data'!$I$3:$I$20000,'Meta data'!$A$3:$A$20000,"&gt;="&amp;L$3,'Meta data'!$A$3:$A$20000,"&lt;="&amp;L$4,'Meta data'!$B$3:$B$20000,$A48),IF($B48="Google Ads",SUMIFS('Google data'!$I$3:$I$20000,'Google data'!$A$3:$A$20000,"&gt;="&amp;L$3,'Google data'!$A$3:$A$20000,"&lt;="&amp;L$4,'Google data'!$B$3:$B$20000,$A48),IF($B48="ChatGPT Ads",SUMIFS('ChatGPT data'!$I$3:$I$20000,'ChatGPT data'!$A$3:$A$20000,"&gt;="&amp;L$3,'ChatGPT data'!$A$3:$A$20000,"&lt;="&amp;L$4,'ChatGPT data'!$B$3:$B$20000,$A48),IF($B48="LinkedIn Ads",SUMIFS('LinkedIn data'!$I$3:$I$20000,'LinkedIn data'!$A$3:$A$20000,"&gt;="&amp;L$3,'LinkedIn data'!$A$3:$A$20000,"&lt;="&amp;L$4,'LinkedIn data'!$B$3:$B$20000,$A48),0)))))</f>
        <v>0</v>
      </c>
      <c r="M48" s="14" t="n">
        <f aca="false">IF($A48="","",IF($B48="Meta",SUMIFS('Meta data'!$I$3:$I$20000,'Meta data'!$A$3:$A$20000,"&gt;="&amp;M$3,'Meta data'!$A$3:$A$20000,"&lt;="&amp;M$4,'Meta data'!$B$3:$B$20000,$A48),IF($B48="Google Ads",SUMIFS('Google data'!$I$3:$I$20000,'Google data'!$A$3:$A$20000,"&gt;="&amp;M$3,'Google data'!$A$3:$A$20000,"&lt;="&amp;M$4,'Google data'!$B$3:$B$20000,$A48),IF($B48="ChatGPT Ads",SUMIFS('ChatGPT data'!$I$3:$I$20000,'ChatGPT data'!$A$3:$A$20000,"&gt;="&amp;M$3,'ChatGPT data'!$A$3:$A$20000,"&lt;="&amp;M$4,'ChatGPT data'!$B$3:$B$20000,$A48),IF($B48="LinkedIn Ads",SUMIFS('LinkedIn data'!$I$3:$I$20000,'LinkedIn data'!$A$3:$A$20000,"&gt;="&amp;M$3,'LinkedIn data'!$A$3:$A$20000,"&lt;="&amp;M$4,'LinkedIn data'!$B$3:$B$20000,$A48),0)))))</f>
        <v>0</v>
      </c>
      <c r="N48" s="14" t="n">
        <f aca="false">IF($A48="","",IF($B48="Meta",SUMIFS('Meta data'!$I$3:$I$20000,'Meta data'!$A$3:$A$20000,"&gt;="&amp;N$3,'Meta data'!$A$3:$A$20000,"&lt;="&amp;N$4,'Meta data'!$B$3:$B$20000,$A48),IF($B48="Google Ads",SUMIFS('Google data'!$I$3:$I$20000,'Google data'!$A$3:$A$20000,"&gt;="&amp;N$3,'Google data'!$A$3:$A$20000,"&lt;="&amp;N$4,'Google data'!$B$3:$B$20000,$A48),IF($B48="ChatGPT Ads",SUMIFS('ChatGPT data'!$I$3:$I$20000,'ChatGPT data'!$A$3:$A$20000,"&gt;="&amp;N$3,'ChatGPT data'!$A$3:$A$20000,"&lt;="&amp;N$4,'ChatGPT data'!$B$3:$B$20000,$A48),IF($B48="LinkedIn Ads",SUMIFS('LinkedIn data'!$I$3:$I$20000,'LinkedIn data'!$A$3:$A$20000,"&gt;="&amp;N$3,'LinkedIn data'!$A$3:$A$20000,"&lt;="&amp;N$4,'LinkedIn data'!$B$3:$B$20000,$A48),0)))))</f>
        <v>0</v>
      </c>
      <c r="O48" s="14" t="n">
        <f aca="false">IF($A48="","",IF($B48="Meta",SUMIFS('Meta data'!$I$3:$I$20000,'Meta data'!$A$3:$A$20000,"&gt;="&amp;O$3,'Meta data'!$A$3:$A$20000,"&lt;="&amp;O$4,'Meta data'!$B$3:$B$20000,$A48),IF($B48="Google Ads",SUMIFS('Google data'!$I$3:$I$20000,'Google data'!$A$3:$A$20000,"&gt;="&amp;O$3,'Google data'!$A$3:$A$20000,"&lt;="&amp;O$4,'Google data'!$B$3:$B$20000,$A48),IF($B48="ChatGPT Ads",SUMIFS('ChatGPT data'!$I$3:$I$20000,'ChatGPT data'!$A$3:$A$20000,"&gt;="&amp;O$3,'ChatGPT data'!$A$3:$A$20000,"&lt;="&amp;O$4,'ChatGPT data'!$B$3:$B$20000,$A48),IF($B48="LinkedIn Ads",SUMIFS('LinkedIn data'!$I$3:$I$20000,'LinkedIn data'!$A$3:$A$20000,"&gt;="&amp;O$3,'LinkedIn data'!$A$3:$A$20000,"&lt;="&amp;O$4,'LinkedIn data'!$B$3:$B$20000,$A48),0)))))</f>
        <v>0</v>
      </c>
      <c r="P48" s="14" t="n">
        <f aca="false">IF($A48="","",IF($B48="Meta",SUMIFS('Meta data'!$I$3:$I$20000,'Meta data'!$A$3:$A$20000,"&gt;="&amp;P$3,'Meta data'!$A$3:$A$20000,"&lt;="&amp;P$4,'Meta data'!$B$3:$B$20000,$A48),IF($B48="Google Ads",SUMIFS('Google data'!$I$3:$I$20000,'Google data'!$A$3:$A$20000,"&gt;="&amp;P$3,'Google data'!$A$3:$A$20000,"&lt;="&amp;P$4,'Google data'!$B$3:$B$20000,$A48),IF($B48="ChatGPT Ads",SUMIFS('ChatGPT data'!$I$3:$I$20000,'ChatGPT data'!$A$3:$A$20000,"&gt;="&amp;P$3,'ChatGPT data'!$A$3:$A$20000,"&lt;="&amp;P$4,'ChatGPT data'!$B$3:$B$20000,$A48),IF($B48="LinkedIn Ads",SUMIFS('LinkedIn data'!$I$3:$I$20000,'LinkedIn data'!$A$3:$A$20000,"&gt;="&amp;P$3,'LinkedIn data'!$A$3:$A$20000,"&lt;="&amp;P$4,'LinkedIn data'!$B$3:$B$20000,$A48),0)))))</f>
        <v>0</v>
      </c>
      <c r="Q48" s="14" t="n">
        <f aca="false">IF($A48="","",IF($B48="Meta",SUMIFS('Meta data'!$I$3:$I$20000,'Meta data'!$A$3:$A$20000,"&gt;="&amp;Q$3,'Meta data'!$A$3:$A$20000,"&lt;="&amp;Q$4,'Meta data'!$B$3:$B$20000,$A48),IF($B48="Google Ads",SUMIFS('Google data'!$I$3:$I$20000,'Google data'!$A$3:$A$20000,"&gt;="&amp;Q$3,'Google data'!$A$3:$A$20000,"&lt;="&amp;Q$4,'Google data'!$B$3:$B$20000,$A48),IF($B48="ChatGPT Ads",SUMIFS('ChatGPT data'!$I$3:$I$20000,'ChatGPT data'!$A$3:$A$20000,"&gt;="&amp;Q$3,'ChatGPT data'!$A$3:$A$20000,"&lt;="&amp;Q$4,'ChatGPT data'!$B$3:$B$20000,$A48),IF($B48="LinkedIn Ads",SUMIFS('LinkedIn data'!$I$3:$I$20000,'LinkedIn data'!$A$3:$A$20000,"&gt;="&amp;Q$3,'LinkedIn data'!$A$3:$A$20000,"&lt;="&amp;Q$4,'LinkedIn data'!$B$3:$B$20000,$A48),0)))))</f>
        <v>0</v>
      </c>
      <c r="R48" s="15" t="n">
        <f aca="false">IF($A48="","",SUM(F48:Q48))</f>
        <v>838.543248</v>
      </c>
      <c r="S48" s="37" t="n">
        <f aca="false">IF($A48="","",IF($B48="Meta",SUMIFS('Meta data'!$E$3:$E$20000,'Meta data'!$B$3:$B$20000,$A48),IF($B48="Google Ads",SUMIFS('Google data'!$E$3:$E$20000,'Google data'!$B$3:$B$20000,$A48),IF($B48="ChatGPT Ads",SUMIFS('ChatGPT data'!$E$3:$E$20000,'ChatGPT data'!$B$3:$B$20000,$A48),IF($B48="LinkedIn Ads",SUMIFS('LinkedIn data'!$E$3:$E$20000,'LinkedIn data'!$B$3:$B$20000,$A48),0)))))</f>
        <v>2745</v>
      </c>
      <c r="T48" s="37" t="n">
        <f aca="false">IF($A48="","",IF($B48="Meta",SUMIFS('Meta data'!$F$3:$F$20000,'Meta data'!$B$3:$B$20000,$A48),IF($B48="Google Ads",SUMIFS('Google data'!$F$3:$F$20000,'Google data'!$B$3:$B$20000,$A48),IF($B48="ChatGPT Ads",SUMIFS('ChatGPT data'!$F$3:$F$20000,'ChatGPT data'!$B$3:$B$20000,$A48),IF($B48="LinkedIn Ads",SUMIFS('LinkedIn data'!$F$3:$F$20000,'LinkedIn data'!$B$3:$B$20000,$A48),0)))))</f>
        <v>0</v>
      </c>
      <c r="U48" s="38" t="str">
        <f aca="false">IF(OR($A48="",T48=0),"",R48/T48)</f>
        <v/>
      </c>
    </row>
    <row r="49" customFormat="false" ht="15" hidden="false" customHeight="false" outlineLevel="0" collapsed="false">
      <c r="A49" s="58" t="s">
        <v>208</v>
      </c>
      <c r="B49" s="58" t="s">
        <v>20</v>
      </c>
      <c r="C49" s="58" t="s">
        <v>134</v>
      </c>
      <c r="D49" s="58" t="s">
        <v>124</v>
      </c>
      <c r="E49" s="58" t="s">
        <v>156</v>
      </c>
      <c r="F49" s="14" t="n">
        <f aca="false">IF($A49="","",IF($B49="Meta",SUMIFS('Meta data'!$I$3:$I$20000,'Meta data'!$A$3:$A$20000,"&gt;="&amp;F$3,'Meta data'!$A$3:$A$20000,"&lt;="&amp;F$4,'Meta data'!$B$3:$B$20000,$A49),IF($B49="Google Ads",SUMIFS('Google data'!$I$3:$I$20000,'Google data'!$A$3:$A$20000,"&gt;="&amp;F$3,'Google data'!$A$3:$A$20000,"&lt;="&amp;F$4,'Google data'!$B$3:$B$20000,$A49),IF($B49="ChatGPT Ads",SUMIFS('ChatGPT data'!$I$3:$I$20000,'ChatGPT data'!$A$3:$A$20000,"&gt;="&amp;F$3,'ChatGPT data'!$A$3:$A$20000,"&lt;="&amp;F$4,'ChatGPT data'!$B$3:$B$20000,$A49),IF($B49="LinkedIn Ads",SUMIFS('LinkedIn data'!$I$3:$I$20000,'LinkedIn data'!$A$3:$A$20000,"&gt;="&amp;F$3,'LinkedIn data'!$A$3:$A$20000,"&lt;="&amp;F$4,'LinkedIn data'!$B$3:$B$20000,$A49),0)))))</f>
        <v>792.583424</v>
      </c>
      <c r="G49" s="14" t="n">
        <f aca="false">IF($A49="","",IF($B49="Meta",SUMIFS('Meta data'!$I$3:$I$20000,'Meta data'!$A$3:$A$20000,"&gt;="&amp;G$3,'Meta data'!$A$3:$A$20000,"&lt;="&amp;G$4,'Meta data'!$B$3:$B$20000,$A49),IF($B49="Google Ads",SUMIFS('Google data'!$I$3:$I$20000,'Google data'!$A$3:$A$20000,"&gt;="&amp;G$3,'Google data'!$A$3:$A$20000,"&lt;="&amp;G$4,'Google data'!$B$3:$B$20000,$A49),IF($B49="ChatGPT Ads",SUMIFS('ChatGPT data'!$I$3:$I$20000,'ChatGPT data'!$A$3:$A$20000,"&gt;="&amp;G$3,'ChatGPT data'!$A$3:$A$20000,"&lt;="&amp;G$4,'ChatGPT data'!$B$3:$B$20000,$A49),IF($B49="LinkedIn Ads",SUMIFS('LinkedIn data'!$I$3:$I$20000,'LinkedIn data'!$A$3:$A$20000,"&gt;="&amp;G$3,'LinkedIn data'!$A$3:$A$20000,"&lt;="&amp;G$4,'LinkedIn data'!$B$3:$B$20000,$A49),0)))))</f>
        <v>0</v>
      </c>
      <c r="H49" s="14" t="n">
        <f aca="false">IF($A49="","",IF($B49="Meta",SUMIFS('Meta data'!$I$3:$I$20000,'Meta data'!$A$3:$A$20000,"&gt;="&amp;H$3,'Meta data'!$A$3:$A$20000,"&lt;="&amp;H$4,'Meta data'!$B$3:$B$20000,$A49),IF($B49="Google Ads",SUMIFS('Google data'!$I$3:$I$20000,'Google data'!$A$3:$A$20000,"&gt;="&amp;H$3,'Google data'!$A$3:$A$20000,"&lt;="&amp;H$4,'Google data'!$B$3:$B$20000,$A49),IF($B49="ChatGPT Ads",SUMIFS('ChatGPT data'!$I$3:$I$20000,'ChatGPT data'!$A$3:$A$20000,"&gt;="&amp;H$3,'ChatGPT data'!$A$3:$A$20000,"&lt;="&amp;H$4,'ChatGPT data'!$B$3:$B$20000,$A49),IF($B49="LinkedIn Ads",SUMIFS('LinkedIn data'!$I$3:$I$20000,'LinkedIn data'!$A$3:$A$20000,"&gt;="&amp;H$3,'LinkedIn data'!$A$3:$A$20000,"&lt;="&amp;H$4,'LinkedIn data'!$B$3:$B$20000,$A49),0)))))</f>
        <v>0</v>
      </c>
      <c r="I49" s="14" t="n">
        <f aca="false">IF($A49="","",IF($B49="Meta",SUMIFS('Meta data'!$I$3:$I$20000,'Meta data'!$A$3:$A$20000,"&gt;="&amp;I$3,'Meta data'!$A$3:$A$20000,"&lt;="&amp;I$4,'Meta data'!$B$3:$B$20000,$A49),IF($B49="Google Ads",SUMIFS('Google data'!$I$3:$I$20000,'Google data'!$A$3:$A$20000,"&gt;="&amp;I$3,'Google data'!$A$3:$A$20000,"&lt;="&amp;I$4,'Google data'!$B$3:$B$20000,$A49),IF($B49="ChatGPT Ads",SUMIFS('ChatGPT data'!$I$3:$I$20000,'ChatGPT data'!$A$3:$A$20000,"&gt;="&amp;I$3,'ChatGPT data'!$A$3:$A$20000,"&lt;="&amp;I$4,'ChatGPT data'!$B$3:$B$20000,$A49),IF($B49="LinkedIn Ads",SUMIFS('LinkedIn data'!$I$3:$I$20000,'LinkedIn data'!$A$3:$A$20000,"&gt;="&amp;I$3,'LinkedIn data'!$A$3:$A$20000,"&lt;="&amp;I$4,'LinkedIn data'!$B$3:$B$20000,$A49),0)))))</f>
        <v>0</v>
      </c>
      <c r="J49" s="14" t="n">
        <f aca="false">IF($A49="","",IF($B49="Meta",SUMIFS('Meta data'!$I$3:$I$20000,'Meta data'!$A$3:$A$20000,"&gt;="&amp;J$3,'Meta data'!$A$3:$A$20000,"&lt;="&amp;J$4,'Meta data'!$B$3:$B$20000,$A49),IF($B49="Google Ads",SUMIFS('Google data'!$I$3:$I$20000,'Google data'!$A$3:$A$20000,"&gt;="&amp;J$3,'Google data'!$A$3:$A$20000,"&lt;="&amp;J$4,'Google data'!$B$3:$B$20000,$A49),IF($B49="ChatGPT Ads",SUMIFS('ChatGPT data'!$I$3:$I$20000,'ChatGPT data'!$A$3:$A$20000,"&gt;="&amp;J$3,'ChatGPT data'!$A$3:$A$20000,"&lt;="&amp;J$4,'ChatGPT data'!$B$3:$B$20000,$A49),IF($B49="LinkedIn Ads",SUMIFS('LinkedIn data'!$I$3:$I$20000,'LinkedIn data'!$A$3:$A$20000,"&gt;="&amp;J$3,'LinkedIn data'!$A$3:$A$20000,"&lt;="&amp;J$4,'LinkedIn data'!$B$3:$B$20000,$A49),0)))))</f>
        <v>0</v>
      </c>
      <c r="K49" s="14" t="n">
        <f aca="false">IF($A49="","",IF($B49="Meta",SUMIFS('Meta data'!$I$3:$I$20000,'Meta data'!$A$3:$A$20000,"&gt;="&amp;K$3,'Meta data'!$A$3:$A$20000,"&lt;="&amp;K$4,'Meta data'!$B$3:$B$20000,$A49),IF($B49="Google Ads",SUMIFS('Google data'!$I$3:$I$20000,'Google data'!$A$3:$A$20000,"&gt;="&amp;K$3,'Google data'!$A$3:$A$20000,"&lt;="&amp;K$4,'Google data'!$B$3:$B$20000,$A49),IF($B49="ChatGPT Ads",SUMIFS('ChatGPT data'!$I$3:$I$20000,'ChatGPT data'!$A$3:$A$20000,"&gt;="&amp;K$3,'ChatGPT data'!$A$3:$A$20000,"&lt;="&amp;K$4,'ChatGPT data'!$B$3:$B$20000,$A49),IF($B49="LinkedIn Ads",SUMIFS('LinkedIn data'!$I$3:$I$20000,'LinkedIn data'!$A$3:$A$20000,"&gt;="&amp;K$3,'LinkedIn data'!$A$3:$A$20000,"&lt;="&amp;K$4,'LinkedIn data'!$B$3:$B$20000,$A49),0)))))</f>
        <v>0</v>
      </c>
      <c r="L49" s="14" t="n">
        <f aca="false">IF($A49="","",IF($B49="Meta",SUMIFS('Meta data'!$I$3:$I$20000,'Meta data'!$A$3:$A$20000,"&gt;="&amp;L$3,'Meta data'!$A$3:$A$20000,"&lt;="&amp;L$4,'Meta data'!$B$3:$B$20000,$A49),IF($B49="Google Ads",SUMIFS('Google data'!$I$3:$I$20000,'Google data'!$A$3:$A$20000,"&gt;="&amp;L$3,'Google data'!$A$3:$A$20000,"&lt;="&amp;L$4,'Google data'!$B$3:$B$20000,$A49),IF($B49="ChatGPT Ads",SUMIFS('ChatGPT data'!$I$3:$I$20000,'ChatGPT data'!$A$3:$A$20000,"&gt;="&amp;L$3,'ChatGPT data'!$A$3:$A$20000,"&lt;="&amp;L$4,'ChatGPT data'!$B$3:$B$20000,$A49),IF($B49="LinkedIn Ads",SUMIFS('LinkedIn data'!$I$3:$I$20000,'LinkedIn data'!$A$3:$A$20000,"&gt;="&amp;L$3,'LinkedIn data'!$A$3:$A$20000,"&lt;="&amp;L$4,'LinkedIn data'!$B$3:$B$20000,$A49),0)))))</f>
        <v>0</v>
      </c>
      <c r="M49" s="14" t="n">
        <f aca="false">IF($A49="","",IF($B49="Meta",SUMIFS('Meta data'!$I$3:$I$20000,'Meta data'!$A$3:$A$20000,"&gt;="&amp;M$3,'Meta data'!$A$3:$A$20000,"&lt;="&amp;M$4,'Meta data'!$B$3:$B$20000,$A49),IF($B49="Google Ads",SUMIFS('Google data'!$I$3:$I$20000,'Google data'!$A$3:$A$20000,"&gt;="&amp;M$3,'Google data'!$A$3:$A$20000,"&lt;="&amp;M$4,'Google data'!$B$3:$B$20000,$A49),IF($B49="ChatGPT Ads",SUMIFS('ChatGPT data'!$I$3:$I$20000,'ChatGPT data'!$A$3:$A$20000,"&gt;="&amp;M$3,'ChatGPT data'!$A$3:$A$20000,"&lt;="&amp;M$4,'ChatGPT data'!$B$3:$B$20000,$A49),IF($B49="LinkedIn Ads",SUMIFS('LinkedIn data'!$I$3:$I$20000,'LinkedIn data'!$A$3:$A$20000,"&gt;="&amp;M$3,'LinkedIn data'!$A$3:$A$20000,"&lt;="&amp;M$4,'LinkedIn data'!$B$3:$B$20000,$A49),0)))))</f>
        <v>0</v>
      </c>
      <c r="N49" s="14" t="n">
        <f aca="false">IF($A49="","",IF($B49="Meta",SUMIFS('Meta data'!$I$3:$I$20000,'Meta data'!$A$3:$A$20000,"&gt;="&amp;N$3,'Meta data'!$A$3:$A$20000,"&lt;="&amp;N$4,'Meta data'!$B$3:$B$20000,$A49),IF($B49="Google Ads",SUMIFS('Google data'!$I$3:$I$20000,'Google data'!$A$3:$A$20000,"&gt;="&amp;N$3,'Google data'!$A$3:$A$20000,"&lt;="&amp;N$4,'Google data'!$B$3:$B$20000,$A49),IF($B49="ChatGPT Ads",SUMIFS('ChatGPT data'!$I$3:$I$20000,'ChatGPT data'!$A$3:$A$20000,"&gt;="&amp;N$3,'ChatGPT data'!$A$3:$A$20000,"&lt;="&amp;N$4,'ChatGPT data'!$B$3:$B$20000,$A49),IF($B49="LinkedIn Ads",SUMIFS('LinkedIn data'!$I$3:$I$20000,'LinkedIn data'!$A$3:$A$20000,"&gt;="&amp;N$3,'LinkedIn data'!$A$3:$A$20000,"&lt;="&amp;N$4,'LinkedIn data'!$B$3:$B$20000,$A49),0)))))</f>
        <v>0</v>
      </c>
      <c r="O49" s="14" t="n">
        <f aca="false">IF($A49="","",IF($B49="Meta",SUMIFS('Meta data'!$I$3:$I$20000,'Meta data'!$A$3:$A$20000,"&gt;="&amp;O$3,'Meta data'!$A$3:$A$20000,"&lt;="&amp;O$4,'Meta data'!$B$3:$B$20000,$A49),IF($B49="Google Ads",SUMIFS('Google data'!$I$3:$I$20000,'Google data'!$A$3:$A$20000,"&gt;="&amp;O$3,'Google data'!$A$3:$A$20000,"&lt;="&amp;O$4,'Google data'!$B$3:$B$20000,$A49),IF($B49="ChatGPT Ads",SUMIFS('ChatGPT data'!$I$3:$I$20000,'ChatGPT data'!$A$3:$A$20000,"&gt;="&amp;O$3,'ChatGPT data'!$A$3:$A$20000,"&lt;="&amp;O$4,'ChatGPT data'!$B$3:$B$20000,$A49),IF($B49="LinkedIn Ads",SUMIFS('LinkedIn data'!$I$3:$I$20000,'LinkedIn data'!$A$3:$A$20000,"&gt;="&amp;O$3,'LinkedIn data'!$A$3:$A$20000,"&lt;="&amp;O$4,'LinkedIn data'!$B$3:$B$20000,$A49),0)))))</f>
        <v>0</v>
      </c>
      <c r="P49" s="14" t="n">
        <f aca="false">IF($A49="","",IF($B49="Meta",SUMIFS('Meta data'!$I$3:$I$20000,'Meta data'!$A$3:$A$20000,"&gt;="&amp;P$3,'Meta data'!$A$3:$A$20000,"&lt;="&amp;P$4,'Meta data'!$B$3:$B$20000,$A49),IF($B49="Google Ads",SUMIFS('Google data'!$I$3:$I$20000,'Google data'!$A$3:$A$20000,"&gt;="&amp;P$3,'Google data'!$A$3:$A$20000,"&lt;="&amp;P$4,'Google data'!$B$3:$B$20000,$A49),IF($B49="ChatGPT Ads",SUMIFS('ChatGPT data'!$I$3:$I$20000,'ChatGPT data'!$A$3:$A$20000,"&gt;="&amp;P$3,'ChatGPT data'!$A$3:$A$20000,"&lt;="&amp;P$4,'ChatGPT data'!$B$3:$B$20000,$A49),IF($B49="LinkedIn Ads",SUMIFS('LinkedIn data'!$I$3:$I$20000,'LinkedIn data'!$A$3:$A$20000,"&gt;="&amp;P$3,'LinkedIn data'!$A$3:$A$20000,"&lt;="&amp;P$4,'LinkedIn data'!$B$3:$B$20000,$A49),0)))))</f>
        <v>0</v>
      </c>
      <c r="Q49" s="14" t="n">
        <f aca="false">IF($A49="","",IF($B49="Meta",SUMIFS('Meta data'!$I$3:$I$20000,'Meta data'!$A$3:$A$20000,"&gt;="&amp;Q$3,'Meta data'!$A$3:$A$20000,"&lt;="&amp;Q$4,'Meta data'!$B$3:$B$20000,$A49),IF($B49="Google Ads",SUMIFS('Google data'!$I$3:$I$20000,'Google data'!$A$3:$A$20000,"&gt;="&amp;Q$3,'Google data'!$A$3:$A$20000,"&lt;="&amp;Q$4,'Google data'!$B$3:$B$20000,$A49),IF($B49="ChatGPT Ads",SUMIFS('ChatGPT data'!$I$3:$I$20000,'ChatGPT data'!$A$3:$A$20000,"&gt;="&amp;Q$3,'ChatGPT data'!$A$3:$A$20000,"&lt;="&amp;Q$4,'ChatGPT data'!$B$3:$B$20000,$A49),IF($B49="LinkedIn Ads",SUMIFS('LinkedIn data'!$I$3:$I$20000,'LinkedIn data'!$A$3:$A$20000,"&gt;="&amp;Q$3,'LinkedIn data'!$A$3:$A$20000,"&lt;="&amp;Q$4,'LinkedIn data'!$B$3:$B$20000,$A49),0)))))</f>
        <v>0</v>
      </c>
      <c r="R49" s="15" t="n">
        <f aca="false">IF($A49="","",SUM(F49:Q49))</f>
        <v>792.583424</v>
      </c>
      <c r="S49" s="37" t="n">
        <f aca="false">IF($A49="","",IF($B49="Meta",SUMIFS('Meta data'!$E$3:$E$20000,'Meta data'!$B$3:$B$20000,$A49),IF($B49="Google Ads",SUMIFS('Google data'!$E$3:$E$20000,'Google data'!$B$3:$B$20000,$A49),IF($B49="ChatGPT Ads",SUMIFS('ChatGPT data'!$E$3:$E$20000,'ChatGPT data'!$B$3:$B$20000,$A49),IF($B49="LinkedIn Ads",SUMIFS('LinkedIn data'!$E$3:$E$20000,'LinkedIn data'!$B$3:$B$20000,$A49),0)))))</f>
        <v>10765</v>
      </c>
      <c r="T49" s="37" t="n">
        <f aca="false">IF($A49="","",IF($B49="Meta",SUMIFS('Meta data'!$F$3:$F$20000,'Meta data'!$B$3:$B$20000,$A49),IF($B49="Google Ads",SUMIFS('Google data'!$F$3:$F$20000,'Google data'!$B$3:$B$20000,$A49),IF($B49="ChatGPT Ads",SUMIFS('ChatGPT data'!$F$3:$F$20000,'ChatGPT data'!$B$3:$B$20000,$A49),IF($B49="LinkedIn Ads",SUMIFS('LinkedIn data'!$F$3:$F$20000,'LinkedIn data'!$B$3:$B$20000,$A49),0)))))</f>
        <v>0</v>
      </c>
      <c r="U49" s="38" t="str">
        <f aca="false">IF(OR($A49="",T49=0),"",R49/T49)</f>
        <v/>
      </c>
    </row>
    <row r="50" customFormat="false" ht="15" hidden="false" customHeight="false" outlineLevel="0" collapsed="false">
      <c r="A50" s="58" t="s">
        <v>209</v>
      </c>
      <c r="B50" s="58" t="s">
        <v>20</v>
      </c>
      <c r="C50" s="58" t="s">
        <v>132</v>
      </c>
      <c r="D50" s="58" t="s">
        <v>124</v>
      </c>
      <c r="E50" s="58" t="s">
        <v>158</v>
      </c>
      <c r="F50" s="14" t="n">
        <f aca="false">IF($A50="","",IF($B50="Meta",SUMIFS('Meta data'!$I$3:$I$20000,'Meta data'!$A$3:$A$20000,"&gt;="&amp;F$3,'Meta data'!$A$3:$A$20000,"&lt;="&amp;F$4,'Meta data'!$B$3:$B$20000,$A50),IF($B50="Google Ads",SUMIFS('Google data'!$I$3:$I$20000,'Google data'!$A$3:$A$20000,"&gt;="&amp;F$3,'Google data'!$A$3:$A$20000,"&lt;="&amp;F$4,'Google data'!$B$3:$B$20000,$A50),IF($B50="ChatGPT Ads",SUMIFS('ChatGPT data'!$I$3:$I$20000,'ChatGPT data'!$A$3:$A$20000,"&gt;="&amp;F$3,'ChatGPT data'!$A$3:$A$20000,"&lt;="&amp;F$4,'ChatGPT data'!$B$3:$B$20000,$A50),IF($B50="LinkedIn Ads",SUMIFS('LinkedIn data'!$I$3:$I$20000,'LinkedIn data'!$A$3:$A$20000,"&gt;="&amp;F$3,'LinkedIn data'!$A$3:$A$20000,"&lt;="&amp;F$4,'LinkedIn data'!$B$3:$B$20000,$A50),0)))))</f>
        <v>624.57076</v>
      </c>
      <c r="G50" s="14" t="n">
        <f aca="false">IF($A50="","",IF($B50="Meta",SUMIFS('Meta data'!$I$3:$I$20000,'Meta data'!$A$3:$A$20000,"&gt;="&amp;G$3,'Meta data'!$A$3:$A$20000,"&lt;="&amp;G$4,'Meta data'!$B$3:$B$20000,$A50),IF($B50="Google Ads",SUMIFS('Google data'!$I$3:$I$20000,'Google data'!$A$3:$A$20000,"&gt;="&amp;G$3,'Google data'!$A$3:$A$20000,"&lt;="&amp;G$4,'Google data'!$B$3:$B$20000,$A50),IF($B50="ChatGPT Ads",SUMIFS('ChatGPT data'!$I$3:$I$20000,'ChatGPT data'!$A$3:$A$20000,"&gt;="&amp;G$3,'ChatGPT data'!$A$3:$A$20000,"&lt;="&amp;G$4,'ChatGPT data'!$B$3:$B$20000,$A50),IF($B50="LinkedIn Ads",SUMIFS('LinkedIn data'!$I$3:$I$20000,'LinkedIn data'!$A$3:$A$20000,"&gt;="&amp;G$3,'LinkedIn data'!$A$3:$A$20000,"&lt;="&amp;G$4,'LinkedIn data'!$B$3:$B$20000,$A50),0)))))</f>
        <v>0</v>
      </c>
      <c r="H50" s="14" t="n">
        <f aca="false">IF($A50="","",IF($B50="Meta",SUMIFS('Meta data'!$I$3:$I$20000,'Meta data'!$A$3:$A$20000,"&gt;="&amp;H$3,'Meta data'!$A$3:$A$20000,"&lt;="&amp;H$4,'Meta data'!$B$3:$B$20000,$A50),IF($B50="Google Ads",SUMIFS('Google data'!$I$3:$I$20000,'Google data'!$A$3:$A$20000,"&gt;="&amp;H$3,'Google data'!$A$3:$A$20000,"&lt;="&amp;H$4,'Google data'!$B$3:$B$20000,$A50),IF($B50="ChatGPT Ads",SUMIFS('ChatGPT data'!$I$3:$I$20000,'ChatGPT data'!$A$3:$A$20000,"&gt;="&amp;H$3,'ChatGPT data'!$A$3:$A$20000,"&lt;="&amp;H$4,'ChatGPT data'!$B$3:$B$20000,$A50),IF($B50="LinkedIn Ads",SUMIFS('LinkedIn data'!$I$3:$I$20000,'LinkedIn data'!$A$3:$A$20000,"&gt;="&amp;H$3,'LinkedIn data'!$A$3:$A$20000,"&lt;="&amp;H$4,'LinkedIn data'!$B$3:$B$20000,$A50),0)))))</f>
        <v>0</v>
      </c>
      <c r="I50" s="14" t="n">
        <f aca="false">IF($A50="","",IF($B50="Meta",SUMIFS('Meta data'!$I$3:$I$20000,'Meta data'!$A$3:$A$20000,"&gt;="&amp;I$3,'Meta data'!$A$3:$A$20000,"&lt;="&amp;I$4,'Meta data'!$B$3:$B$20000,$A50),IF($B50="Google Ads",SUMIFS('Google data'!$I$3:$I$20000,'Google data'!$A$3:$A$20000,"&gt;="&amp;I$3,'Google data'!$A$3:$A$20000,"&lt;="&amp;I$4,'Google data'!$B$3:$B$20000,$A50),IF($B50="ChatGPT Ads",SUMIFS('ChatGPT data'!$I$3:$I$20000,'ChatGPT data'!$A$3:$A$20000,"&gt;="&amp;I$3,'ChatGPT data'!$A$3:$A$20000,"&lt;="&amp;I$4,'ChatGPT data'!$B$3:$B$20000,$A50),IF($B50="LinkedIn Ads",SUMIFS('LinkedIn data'!$I$3:$I$20000,'LinkedIn data'!$A$3:$A$20000,"&gt;="&amp;I$3,'LinkedIn data'!$A$3:$A$20000,"&lt;="&amp;I$4,'LinkedIn data'!$B$3:$B$20000,$A50),0)))))</f>
        <v>0</v>
      </c>
      <c r="J50" s="14" t="n">
        <f aca="false">IF($A50="","",IF($B50="Meta",SUMIFS('Meta data'!$I$3:$I$20000,'Meta data'!$A$3:$A$20000,"&gt;="&amp;J$3,'Meta data'!$A$3:$A$20000,"&lt;="&amp;J$4,'Meta data'!$B$3:$B$20000,$A50),IF($B50="Google Ads",SUMIFS('Google data'!$I$3:$I$20000,'Google data'!$A$3:$A$20000,"&gt;="&amp;J$3,'Google data'!$A$3:$A$20000,"&lt;="&amp;J$4,'Google data'!$B$3:$B$20000,$A50),IF($B50="ChatGPT Ads",SUMIFS('ChatGPT data'!$I$3:$I$20000,'ChatGPT data'!$A$3:$A$20000,"&gt;="&amp;J$3,'ChatGPT data'!$A$3:$A$20000,"&lt;="&amp;J$4,'ChatGPT data'!$B$3:$B$20000,$A50),IF($B50="LinkedIn Ads",SUMIFS('LinkedIn data'!$I$3:$I$20000,'LinkedIn data'!$A$3:$A$20000,"&gt;="&amp;J$3,'LinkedIn data'!$A$3:$A$20000,"&lt;="&amp;J$4,'LinkedIn data'!$B$3:$B$20000,$A50),0)))))</f>
        <v>0</v>
      </c>
      <c r="K50" s="14" t="n">
        <f aca="false">IF($A50="","",IF($B50="Meta",SUMIFS('Meta data'!$I$3:$I$20000,'Meta data'!$A$3:$A$20000,"&gt;="&amp;K$3,'Meta data'!$A$3:$A$20000,"&lt;="&amp;K$4,'Meta data'!$B$3:$B$20000,$A50),IF($B50="Google Ads",SUMIFS('Google data'!$I$3:$I$20000,'Google data'!$A$3:$A$20000,"&gt;="&amp;K$3,'Google data'!$A$3:$A$20000,"&lt;="&amp;K$4,'Google data'!$B$3:$B$20000,$A50),IF($B50="ChatGPT Ads",SUMIFS('ChatGPT data'!$I$3:$I$20000,'ChatGPT data'!$A$3:$A$20000,"&gt;="&amp;K$3,'ChatGPT data'!$A$3:$A$20000,"&lt;="&amp;K$4,'ChatGPT data'!$B$3:$B$20000,$A50),IF($B50="LinkedIn Ads",SUMIFS('LinkedIn data'!$I$3:$I$20000,'LinkedIn data'!$A$3:$A$20000,"&gt;="&amp;K$3,'LinkedIn data'!$A$3:$A$20000,"&lt;="&amp;K$4,'LinkedIn data'!$B$3:$B$20000,$A50),0)))))</f>
        <v>0</v>
      </c>
      <c r="L50" s="14" t="n">
        <f aca="false">IF($A50="","",IF($B50="Meta",SUMIFS('Meta data'!$I$3:$I$20000,'Meta data'!$A$3:$A$20000,"&gt;="&amp;L$3,'Meta data'!$A$3:$A$20000,"&lt;="&amp;L$4,'Meta data'!$B$3:$B$20000,$A50),IF($B50="Google Ads",SUMIFS('Google data'!$I$3:$I$20000,'Google data'!$A$3:$A$20000,"&gt;="&amp;L$3,'Google data'!$A$3:$A$20000,"&lt;="&amp;L$4,'Google data'!$B$3:$B$20000,$A50),IF($B50="ChatGPT Ads",SUMIFS('ChatGPT data'!$I$3:$I$20000,'ChatGPT data'!$A$3:$A$20000,"&gt;="&amp;L$3,'ChatGPT data'!$A$3:$A$20000,"&lt;="&amp;L$4,'ChatGPT data'!$B$3:$B$20000,$A50),IF($B50="LinkedIn Ads",SUMIFS('LinkedIn data'!$I$3:$I$20000,'LinkedIn data'!$A$3:$A$20000,"&gt;="&amp;L$3,'LinkedIn data'!$A$3:$A$20000,"&lt;="&amp;L$4,'LinkedIn data'!$B$3:$B$20000,$A50),0)))))</f>
        <v>0</v>
      </c>
      <c r="M50" s="14" t="n">
        <f aca="false">IF($A50="","",IF($B50="Meta",SUMIFS('Meta data'!$I$3:$I$20000,'Meta data'!$A$3:$A$20000,"&gt;="&amp;M$3,'Meta data'!$A$3:$A$20000,"&lt;="&amp;M$4,'Meta data'!$B$3:$B$20000,$A50),IF($B50="Google Ads",SUMIFS('Google data'!$I$3:$I$20000,'Google data'!$A$3:$A$20000,"&gt;="&amp;M$3,'Google data'!$A$3:$A$20000,"&lt;="&amp;M$4,'Google data'!$B$3:$B$20000,$A50),IF($B50="ChatGPT Ads",SUMIFS('ChatGPT data'!$I$3:$I$20000,'ChatGPT data'!$A$3:$A$20000,"&gt;="&amp;M$3,'ChatGPT data'!$A$3:$A$20000,"&lt;="&amp;M$4,'ChatGPT data'!$B$3:$B$20000,$A50),IF($B50="LinkedIn Ads",SUMIFS('LinkedIn data'!$I$3:$I$20000,'LinkedIn data'!$A$3:$A$20000,"&gt;="&amp;M$3,'LinkedIn data'!$A$3:$A$20000,"&lt;="&amp;M$4,'LinkedIn data'!$B$3:$B$20000,$A50),0)))))</f>
        <v>0</v>
      </c>
      <c r="N50" s="14" t="n">
        <f aca="false">IF($A50="","",IF($B50="Meta",SUMIFS('Meta data'!$I$3:$I$20000,'Meta data'!$A$3:$A$20000,"&gt;="&amp;N$3,'Meta data'!$A$3:$A$20000,"&lt;="&amp;N$4,'Meta data'!$B$3:$B$20000,$A50),IF($B50="Google Ads",SUMIFS('Google data'!$I$3:$I$20000,'Google data'!$A$3:$A$20000,"&gt;="&amp;N$3,'Google data'!$A$3:$A$20000,"&lt;="&amp;N$4,'Google data'!$B$3:$B$20000,$A50),IF($B50="ChatGPT Ads",SUMIFS('ChatGPT data'!$I$3:$I$20000,'ChatGPT data'!$A$3:$A$20000,"&gt;="&amp;N$3,'ChatGPT data'!$A$3:$A$20000,"&lt;="&amp;N$4,'ChatGPT data'!$B$3:$B$20000,$A50),IF($B50="LinkedIn Ads",SUMIFS('LinkedIn data'!$I$3:$I$20000,'LinkedIn data'!$A$3:$A$20000,"&gt;="&amp;N$3,'LinkedIn data'!$A$3:$A$20000,"&lt;="&amp;N$4,'LinkedIn data'!$B$3:$B$20000,$A50),0)))))</f>
        <v>0</v>
      </c>
      <c r="O50" s="14" t="n">
        <f aca="false">IF($A50="","",IF($B50="Meta",SUMIFS('Meta data'!$I$3:$I$20000,'Meta data'!$A$3:$A$20000,"&gt;="&amp;O$3,'Meta data'!$A$3:$A$20000,"&lt;="&amp;O$4,'Meta data'!$B$3:$B$20000,$A50),IF($B50="Google Ads",SUMIFS('Google data'!$I$3:$I$20000,'Google data'!$A$3:$A$20000,"&gt;="&amp;O$3,'Google data'!$A$3:$A$20000,"&lt;="&amp;O$4,'Google data'!$B$3:$B$20000,$A50),IF($B50="ChatGPT Ads",SUMIFS('ChatGPT data'!$I$3:$I$20000,'ChatGPT data'!$A$3:$A$20000,"&gt;="&amp;O$3,'ChatGPT data'!$A$3:$A$20000,"&lt;="&amp;O$4,'ChatGPT data'!$B$3:$B$20000,$A50),IF($B50="LinkedIn Ads",SUMIFS('LinkedIn data'!$I$3:$I$20000,'LinkedIn data'!$A$3:$A$20000,"&gt;="&amp;O$3,'LinkedIn data'!$A$3:$A$20000,"&lt;="&amp;O$4,'LinkedIn data'!$B$3:$B$20000,$A50),0)))))</f>
        <v>0</v>
      </c>
      <c r="P50" s="14" t="n">
        <f aca="false">IF($A50="","",IF($B50="Meta",SUMIFS('Meta data'!$I$3:$I$20000,'Meta data'!$A$3:$A$20000,"&gt;="&amp;P$3,'Meta data'!$A$3:$A$20000,"&lt;="&amp;P$4,'Meta data'!$B$3:$B$20000,$A50),IF($B50="Google Ads",SUMIFS('Google data'!$I$3:$I$20000,'Google data'!$A$3:$A$20000,"&gt;="&amp;P$3,'Google data'!$A$3:$A$20000,"&lt;="&amp;P$4,'Google data'!$B$3:$B$20000,$A50),IF($B50="ChatGPT Ads",SUMIFS('ChatGPT data'!$I$3:$I$20000,'ChatGPT data'!$A$3:$A$20000,"&gt;="&amp;P$3,'ChatGPT data'!$A$3:$A$20000,"&lt;="&amp;P$4,'ChatGPT data'!$B$3:$B$20000,$A50),IF($B50="LinkedIn Ads",SUMIFS('LinkedIn data'!$I$3:$I$20000,'LinkedIn data'!$A$3:$A$20000,"&gt;="&amp;P$3,'LinkedIn data'!$A$3:$A$20000,"&lt;="&amp;P$4,'LinkedIn data'!$B$3:$B$20000,$A50),0)))))</f>
        <v>0</v>
      </c>
      <c r="Q50" s="14" t="n">
        <f aca="false">IF($A50="","",IF($B50="Meta",SUMIFS('Meta data'!$I$3:$I$20000,'Meta data'!$A$3:$A$20000,"&gt;="&amp;Q$3,'Meta data'!$A$3:$A$20000,"&lt;="&amp;Q$4,'Meta data'!$B$3:$B$20000,$A50),IF($B50="Google Ads",SUMIFS('Google data'!$I$3:$I$20000,'Google data'!$A$3:$A$20000,"&gt;="&amp;Q$3,'Google data'!$A$3:$A$20000,"&lt;="&amp;Q$4,'Google data'!$B$3:$B$20000,$A50),IF($B50="ChatGPT Ads",SUMIFS('ChatGPT data'!$I$3:$I$20000,'ChatGPT data'!$A$3:$A$20000,"&gt;="&amp;Q$3,'ChatGPT data'!$A$3:$A$20000,"&lt;="&amp;Q$4,'ChatGPT data'!$B$3:$B$20000,$A50),IF($B50="LinkedIn Ads",SUMIFS('LinkedIn data'!$I$3:$I$20000,'LinkedIn data'!$A$3:$A$20000,"&gt;="&amp;Q$3,'LinkedIn data'!$A$3:$A$20000,"&lt;="&amp;Q$4,'LinkedIn data'!$B$3:$B$20000,$A50),0)))))</f>
        <v>0</v>
      </c>
      <c r="R50" s="15" t="n">
        <f aca="false">IF($A50="","",SUM(F50:Q50))</f>
        <v>624.57076</v>
      </c>
      <c r="S50" s="37" t="n">
        <f aca="false">IF($A50="","",IF($B50="Meta",SUMIFS('Meta data'!$E$3:$E$20000,'Meta data'!$B$3:$B$20000,$A50),IF($B50="Google Ads",SUMIFS('Google data'!$E$3:$E$20000,'Google data'!$B$3:$B$20000,$A50),IF($B50="ChatGPT Ads",SUMIFS('ChatGPT data'!$E$3:$E$20000,'ChatGPT data'!$B$3:$B$20000,$A50),IF($B50="LinkedIn Ads",SUMIFS('LinkedIn data'!$E$3:$E$20000,'LinkedIn data'!$B$3:$B$20000,$A50),0)))))</f>
        <v>534</v>
      </c>
      <c r="T50" s="37" t="n">
        <f aca="false">IF($A50="","",IF($B50="Meta",SUMIFS('Meta data'!$F$3:$F$20000,'Meta data'!$B$3:$B$20000,$A50),IF($B50="Google Ads",SUMIFS('Google data'!$F$3:$F$20000,'Google data'!$B$3:$B$20000,$A50),IF($B50="ChatGPT Ads",SUMIFS('ChatGPT data'!$F$3:$F$20000,'ChatGPT data'!$B$3:$B$20000,$A50),IF($B50="LinkedIn Ads",SUMIFS('LinkedIn data'!$F$3:$F$20000,'LinkedIn data'!$B$3:$B$20000,$A50),0)))))</f>
        <v>23.16</v>
      </c>
      <c r="U50" s="38" t="n">
        <f aca="false">IF(OR($A50="",T50=0),"",R50/T50)</f>
        <v>26.9676493955095</v>
      </c>
    </row>
    <row r="51" customFormat="false" ht="15" hidden="false" customHeight="false" outlineLevel="0" collapsed="false">
      <c r="A51" s="58" t="s">
        <v>210</v>
      </c>
      <c r="B51" s="58" t="s">
        <v>20</v>
      </c>
      <c r="C51" s="58" t="s">
        <v>141</v>
      </c>
      <c r="D51" s="58" t="s">
        <v>124</v>
      </c>
      <c r="E51" s="58" t="s">
        <v>152</v>
      </c>
      <c r="F51" s="14" t="n">
        <f aca="false">IF($A51="","",IF($B51="Meta",SUMIFS('Meta data'!$I$3:$I$20000,'Meta data'!$A$3:$A$20000,"&gt;="&amp;F$3,'Meta data'!$A$3:$A$20000,"&lt;="&amp;F$4,'Meta data'!$B$3:$B$20000,$A51),IF($B51="Google Ads",SUMIFS('Google data'!$I$3:$I$20000,'Google data'!$A$3:$A$20000,"&gt;="&amp;F$3,'Google data'!$A$3:$A$20000,"&lt;="&amp;F$4,'Google data'!$B$3:$B$20000,$A51),IF($B51="ChatGPT Ads",SUMIFS('ChatGPT data'!$I$3:$I$20000,'ChatGPT data'!$A$3:$A$20000,"&gt;="&amp;F$3,'ChatGPT data'!$A$3:$A$20000,"&lt;="&amp;F$4,'ChatGPT data'!$B$3:$B$20000,$A51),IF($B51="LinkedIn Ads",SUMIFS('LinkedIn data'!$I$3:$I$20000,'LinkedIn data'!$A$3:$A$20000,"&gt;="&amp;F$3,'LinkedIn data'!$A$3:$A$20000,"&lt;="&amp;F$4,'LinkedIn data'!$B$3:$B$20000,$A51),0)))))</f>
        <v>0</v>
      </c>
      <c r="G51" s="14" t="n">
        <f aca="false">IF($A51="","",IF($B51="Meta",SUMIFS('Meta data'!$I$3:$I$20000,'Meta data'!$A$3:$A$20000,"&gt;="&amp;G$3,'Meta data'!$A$3:$A$20000,"&lt;="&amp;G$4,'Meta data'!$B$3:$B$20000,$A51),IF($B51="Google Ads",SUMIFS('Google data'!$I$3:$I$20000,'Google data'!$A$3:$A$20000,"&gt;="&amp;G$3,'Google data'!$A$3:$A$20000,"&lt;="&amp;G$4,'Google data'!$B$3:$B$20000,$A51),IF($B51="ChatGPT Ads",SUMIFS('ChatGPT data'!$I$3:$I$20000,'ChatGPT data'!$A$3:$A$20000,"&gt;="&amp;G$3,'ChatGPT data'!$A$3:$A$20000,"&lt;="&amp;G$4,'ChatGPT data'!$B$3:$B$20000,$A51),IF($B51="LinkedIn Ads",SUMIFS('LinkedIn data'!$I$3:$I$20000,'LinkedIn data'!$A$3:$A$20000,"&gt;="&amp;G$3,'LinkedIn data'!$A$3:$A$20000,"&lt;="&amp;G$4,'LinkedIn data'!$B$3:$B$20000,$A51),0)))))</f>
        <v>0</v>
      </c>
      <c r="H51" s="14" t="n">
        <f aca="false">IF($A51="","",IF($B51="Meta",SUMIFS('Meta data'!$I$3:$I$20000,'Meta data'!$A$3:$A$20000,"&gt;="&amp;H$3,'Meta data'!$A$3:$A$20000,"&lt;="&amp;H$4,'Meta data'!$B$3:$B$20000,$A51),IF($B51="Google Ads",SUMIFS('Google data'!$I$3:$I$20000,'Google data'!$A$3:$A$20000,"&gt;="&amp;H$3,'Google data'!$A$3:$A$20000,"&lt;="&amp;H$4,'Google data'!$B$3:$B$20000,$A51),IF($B51="ChatGPT Ads",SUMIFS('ChatGPT data'!$I$3:$I$20000,'ChatGPT data'!$A$3:$A$20000,"&gt;="&amp;H$3,'ChatGPT data'!$A$3:$A$20000,"&lt;="&amp;H$4,'ChatGPT data'!$B$3:$B$20000,$A51),IF($B51="LinkedIn Ads",SUMIFS('LinkedIn data'!$I$3:$I$20000,'LinkedIn data'!$A$3:$A$20000,"&gt;="&amp;H$3,'LinkedIn data'!$A$3:$A$20000,"&lt;="&amp;H$4,'LinkedIn data'!$B$3:$B$20000,$A51),0)))))</f>
        <v>199.610043</v>
      </c>
      <c r="I51" s="14" t="n">
        <f aca="false">IF($A51="","",IF($B51="Meta",SUMIFS('Meta data'!$I$3:$I$20000,'Meta data'!$A$3:$A$20000,"&gt;="&amp;I$3,'Meta data'!$A$3:$A$20000,"&lt;="&amp;I$4,'Meta data'!$B$3:$B$20000,$A51),IF($B51="Google Ads",SUMIFS('Google data'!$I$3:$I$20000,'Google data'!$A$3:$A$20000,"&gt;="&amp;I$3,'Google data'!$A$3:$A$20000,"&lt;="&amp;I$4,'Google data'!$B$3:$B$20000,$A51),IF($B51="ChatGPT Ads",SUMIFS('ChatGPT data'!$I$3:$I$20000,'ChatGPT data'!$A$3:$A$20000,"&gt;="&amp;I$3,'ChatGPT data'!$A$3:$A$20000,"&lt;="&amp;I$4,'ChatGPT data'!$B$3:$B$20000,$A51),IF($B51="LinkedIn Ads",SUMIFS('LinkedIn data'!$I$3:$I$20000,'LinkedIn data'!$A$3:$A$20000,"&gt;="&amp;I$3,'LinkedIn data'!$A$3:$A$20000,"&lt;="&amp;I$4,'LinkedIn data'!$B$3:$B$20000,$A51),0)))))</f>
        <v>359.295842</v>
      </c>
      <c r="J51" s="14" t="n">
        <f aca="false">IF($A51="","",IF($B51="Meta",SUMIFS('Meta data'!$I$3:$I$20000,'Meta data'!$A$3:$A$20000,"&gt;="&amp;J$3,'Meta data'!$A$3:$A$20000,"&lt;="&amp;J$4,'Meta data'!$B$3:$B$20000,$A51),IF($B51="Google Ads",SUMIFS('Google data'!$I$3:$I$20000,'Google data'!$A$3:$A$20000,"&gt;="&amp;J$3,'Google data'!$A$3:$A$20000,"&lt;="&amp;J$4,'Google data'!$B$3:$B$20000,$A51),IF($B51="ChatGPT Ads",SUMIFS('ChatGPT data'!$I$3:$I$20000,'ChatGPT data'!$A$3:$A$20000,"&gt;="&amp;J$3,'ChatGPT data'!$A$3:$A$20000,"&lt;="&amp;J$4,'ChatGPT data'!$B$3:$B$20000,$A51),IF($B51="LinkedIn Ads",SUMIFS('LinkedIn data'!$I$3:$I$20000,'LinkedIn data'!$A$3:$A$20000,"&gt;="&amp;J$3,'LinkedIn data'!$A$3:$A$20000,"&lt;="&amp;J$4,'LinkedIn data'!$B$3:$B$20000,$A51),0)))))</f>
        <v>0</v>
      </c>
      <c r="K51" s="14" t="n">
        <f aca="false">IF($A51="","",IF($B51="Meta",SUMIFS('Meta data'!$I$3:$I$20000,'Meta data'!$A$3:$A$20000,"&gt;="&amp;K$3,'Meta data'!$A$3:$A$20000,"&lt;="&amp;K$4,'Meta data'!$B$3:$B$20000,$A51),IF($B51="Google Ads",SUMIFS('Google data'!$I$3:$I$20000,'Google data'!$A$3:$A$20000,"&gt;="&amp;K$3,'Google data'!$A$3:$A$20000,"&lt;="&amp;K$4,'Google data'!$B$3:$B$20000,$A51),IF($B51="ChatGPT Ads",SUMIFS('ChatGPT data'!$I$3:$I$20000,'ChatGPT data'!$A$3:$A$20000,"&gt;="&amp;K$3,'ChatGPT data'!$A$3:$A$20000,"&lt;="&amp;K$4,'ChatGPT data'!$B$3:$B$20000,$A51),IF($B51="LinkedIn Ads",SUMIFS('LinkedIn data'!$I$3:$I$20000,'LinkedIn data'!$A$3:$A$20000,"&gt;="&amp;K$3,'LinkedIn data'!$A$3:$A$20000,"&lt;="&amp;K$4,'LinkedIn data'!$B$3:$B$20000,$A51),0)))))</f>
        <v>0</v>
      </c>
      <c r="L51" s="14" t="n">
        <f aca="false">IF($A51="","",IF($B51="Meta",SUMIFS('Meta data'!$I$3:$I$20000,'Meta data'!$A$3:$A$20000,"&gt;="&amp;L$3,'Meta data'!$A$3:$A$20000,"&lt;="&amp;L$4,'Meta data'!$B$3:$B$20000,$A51),IF($B51="Google Ads",SUMIFS('Google data'!$I$3:$I$20000,'Google data'!$A$3:$A$20000,"&gt;="&amp;L$3,'Google data'!$A$3:$A$20000,"&lt;="&amp;L$4,'Google data'!$B$3:$B$20000,$A51),IF($B51="ChatGPT Ads",SUMIFS('ChatGPT data'!$I$3:$I$20000,'ChatGPT data'!$A$3:$A$20000,"&gt;="&amp;L$3,'ChatGPT data'!$A$3:$A$20000,"&lt;="&amp;L$4,'ChatGPT data'!$B$3:$B$20000,$A51),IF($B51="LinkedIn Ads",SUMIFS('LinkedIn data'!$I$3:$I$20000,'LinkedIn data'!$A$3:$A$20000,"&gt;="&amp;L$3,'LinkedIn data'!$A$3:$A$20000,"&lt;="&amp;L$4,'LinkedIn data'!$B$3:$B$20000,$A51),0)))))</f>
        <v>0</v>
      </c>
      <c r="M51" s="14" t="n">
        <f aca="false">IF($A51="","",IF($B51="Meta",SUMIFS('Meta data'!$I$3:$I$20000,'Meta data'!$A$3:$A$20000,"&gt;="&amp;M$3,'Meta data'!$A$3:$A$20000,"&lt;="&amp;M$4,'Meta data'!$B$3:$B$20000,$A51),IF($B51="Google Ads",SUMIFS('Google data'!$I$3:$I$20000,'Google data'!$A$3:$A$20000,"&gt;="&amp;M$3,'Google data'!$A$3:$A$20000,"&lt;="&amp;M$4,'Google data'!$B$3:$B$20000,$A51),IF($B51="ChatGPT Ads",SUMIFS('ChatGPT data'!$I$3:$I$20000,'ChatGPT data'!$A$3:$A$20000,"&gt;="&amp;M$3,'ChatGPT data'!$A$3:$A$20000,"&lt;="&amp;M$4,'ChatGPT data'!$B$3:$B$20000,$A51),IF($B51="LinkedIn Ads",SUMIFS('LinkedIn data'!$I$3:$I$20000,'LinkedIn data'!$A$3:$A$20000,"&gt;="&amp;M$3,'LinkedIn data'!$A$3:$A$20000,"&lt;="&amp;M$4,'LinkedIn data'!$B$3:$B$20000,$A51),0)))))</f>
        <v>0</v>
      </c>
      <c r="N51" s="14" t="n">
        <f aca="false">IF($A51="","",IF($B51="Meta",SUMIFS('Meta data'!$I$3:$I$20000,'Meta data'!$A$3:$A$20000,"&gt;="&amp;N$3,'Meta data'!$A$3:$A$20000,"&lt;="&amp;N$4,'Meta data'!$B$3:$B$20000,$A51),IF($B51="Google Ads",SUMIFS('Google data'!$I$3:$I$20000,'Google data'!$A$3:$A$20000,"&gt;="&amp;N$3,'Google data'!$A$3:$A$20000,"&lt;="&amp;N$4,'Google data'!$B$3:$B$20000,$A51),IF($B51="ChatGPT Ads",SUMIFS('ChatGPT data'!$I$3:$I$20000,'ChatGPT data'!$A$3:$A$20000,"&gt;="&amp;N$3,'ChatGPT data'!$A$3:$A$20000,"&lt;="&amp;N$4,'ChatGPT data'!$B$3:$B$20000,$A51),IF($B51="LinkedIn Ads",SUMIFS('LinkedIn data'!$I$3:$I$20000,'LinkedIn data'!$A$3:$A$20000,"&gt;="&amp;N$3,'LinkedIn data'!$A$3:$A$20000,"&lt;="&amp;N$4,'LinkedIn data'!$B$3:$B$20000,$A51),0)))))</f>
        <v>0</v>
      </c>
      <c r="O51" s="14" t="n">
        <f aca="false">IF($A51="","",IF($B51="Meta",SUMIFS('Meta data'!$I$3:$I$20000,'Meta data'!$A$3:$A$20000,"&gt;="&amp;O$3,'Meta data'!$A$3:$A$20000,"&lt;="&amp;O$4,'Meta data'!$B$3:$B$20000,$A51),IF($B51="Google Ads",SUMIFS('Google data'!$I$3:$I$20000,'Google data'!$A$3:$A$20000,"&gt;="&amp;O$3,'Google data'!$A$3:$A$20000,"&lt;="&amp;O$4,'Google data'!$B$3:$B$20000,$A51),IF($B51="ChatGPT Ads",SUMIFS('ChatGPT data'!$I$3:$I$20000,'ChatGPT data'!$A$3:$A$20000,"&gt;="&amp;O$3,'ChatGPT data'!$A$3:$A$20000,"&lt;="&amp;O$4,'ChatGPT data'!$B$3:$B$20000,$A51),IF($B51="LinkedIn Ads",SUMIFS('LinkedIn data'!$I$3:$I$20000,'LinkedIn data'!$A$3:$A$20000,"&gt;="&amp;O$3,'LinkedIn data'!$A$3:$A$20000,"&lt;="&amp;O$4,'LinkedIn data'!$B$3:$B$20000,$A51),0)))))</f>
        <v>0</v>
      </c>
      <c r="P51" s="14" t="n">
        <f aca="false">IF($A51="","",IF($B51="Meta",SUMIFS('Meta data'!$I$3:$I$20000,'Meta data'!$A$3:$A$20000,"&gt;="&amp;P$3,'Meta data'!$A$3:$A$20000,"&lt;="&amp;P$4,'Meta data'!$B$3:$B$20000,$A51),IF($B51="Google Ads",SUMIFS('Google data'!$I$3:$I$20000,'Google data'!$A$3:$A$20000,"&gt;="&amp;P$3,'Google data'!$A$3:$A$20000,"&lt;="&amp;P$4,'Google data'!$B$3:$B$20000,$A51),IF($B51="ChatGPT Ads",SUMIFS('ChatGPT data'!$I$3:$I$20000,'ChatGPT data'!$A$3:$A$20000,"&gt;="&amp;P$3,'ChatGPT data'!$A$3:$A$20000,"&lt;="&amp;P$4,'ChatGPT data'!$B$3:$B$20000,$A51),IF($B51="LinkedIn Ads",SUMIFS('LinkedIn data'!$I$3:$I$20000,'LinkedIn data'!$A$3:$A$20000,"&gt;="&amp;P$3,'LinkedIn data'!$A$3:$A$20000,"&lt;="&amp;P$4,'LinkedIn data'!$B$3:$B$20000,$A51),0)))))</f>
        <v>0</v>
      </c>
      <c r="Q51" s="14" t="n">
        <f aca="false">IF($A51="","",IF($B51="Meta",SUMIFS('Meta data'!$I$3:$I$20000,'Meta data'!$A$3:$A$20000,"&gt;="&amp;Q$3,'Meta data'!$A$3:$A$20000,"&lt;="&amp;Q$4,'Meta data'!$B$3:$B$20000,$A51),IF($B51="Google Ads",SUMIFS('Google data'!$I$3:$I$20000,'Google data'!$A$3:$A$20000,"&gt;="&amp;Q$3,'Google data'!$A$3:$A$20000,"&lt;="&amp;Q$4,'Google data'!$B$3:$B$20000,$A51),IF($B51="ChatGPT Ads",SUMIFS('ChatGPT data'!$I$3:$I$20000,'ChatGPT data'!$A$3:$A$20000,"&gt;="&amp;Q$3,'ChatGPT data'!$A$3:$A$20000,"&lt;="&amp;Q$4,'ChatGPT data'!$B$3:$B$20000,$A51),IF($B51="LinkedIn Ads",SUMIFS('LinkedIn data'!$I$3:$I$20000,'LinkedIn data'!$A$3:$A$20000,"&gt;="&amp;Q$3,'LinkedIn data'!$A$3:$A$20000,"&lt;="&amp;Q$4,'LinkedIn data'!$B$3:$B$20000,$A51),0)))))</f>
        <v>0</v>
      </c>
      <c r="R51" s="15" t="n">
        <f aca="false">IF($A51="","",SUM(F51:Q51))</f>
        <v>558.905885</v>
      </c>
      <c r="S51" s="37" t="n">
        <f aca="false">IF($A51="","",IF($B51="Meta",SUMIFS('Meta data'!$E$3:$E$20000,'Meta data'!$B$3:$B$20000,$A51),IF($B51="Google Ads",SUMIFS('Google data'!$E$3:$E$20000,'Google data'!$B$3:$B$20000,$A51),IF($B51="ChatGPT Ads",SUMIFS('ChatGPT data'!$E$3:$E$20000,'ChatGPT data'!$B$3:$B$20000,$A51),IF($B51="LinkedIn Ads",SUMIFS('LinkedIn data'!$E$3:$E$20000,'LinkedIn data'!$B$3:$B$20000,$A51),0)))))</f>
        <v>138</v>
      </c>
      <c r="T51" s="37" t="n">
        <f aca="false">IF($A51="","",IF($B51="Meta",SUMIFS('Meta data'!$F$3:$F$20000,'Meta data'!$B$3:$B$20000,$A51),IF($B51="Google Ads",SUMIFS('Google data'!$F$3:$F$20000,'Google data'!$B$3:$B$20000,$A51),IF($B51="ChatGPT Ads",SUMIFS('ChatGPT data'!$F$3:$F$20000,'ChatGPT data'!$B$3:$B$20000,$A51),IF($B51="LinkedIn Ads",SUMIFS('LinkedIn data'!$F$3:$F$20000,'LinkedIn data'!$B$3:$B$20000,$A51),0)))))</f>
        <v>0</v>
      </c>
      <c r="U51" s="38" t="str">
        <f aca="false">IF(OR($A51="",T51=0),"",R51/T51)</f>
        <v/>
      </c>
    </row>
    <row r="52" customFormat="false" ht="15" hidden="false" customHeight="false" outlineLevel="0" collapsed="false">
      <c r="A52" s="58" t="s">
        <v>211</v>
      </c>
      <c r="B52" s="58" t="s">
        <v>20</v>
      </c>
      <c r="C52" s="58" t="s">
        <v>139</v>
      </c>
      <c r="D52" s="58" t="s">
        <v>124</v>
      </c>
      <c r="E52" s="58" t="s">
        <v>152</v>
      </c>
      <c r="F52" s="14" t="n">
        <f aca="false">IF($A52="","",IF($B52="Meta",SUMIFS('Meta data'!$I$3:$I$20000,'Meta data'!$A$3:$A$20000,"&gt;="&amp;F$3,'Meta data'!$A$3:$A$20000,"&lt;="&amp;F$4,'Meta data'!$B$3:$B$20000,$A52),IF($B52="Google Ads",SUMIFS('Google data'!$I$3:$I$20000,'Google data'!$A$3:$A$20000,"&gt;="&amp;F$3,'Google data'!$A$3:$A$20000,"&lt;="&amp;F$4,'Google data'!$B$3:$B$20000,$A52),IF($B52="ChatGPT Ads",SUMIFS('ChatGPT data'!$I$3:$I$20000,'ChatGPT data'!$A$3:$A$20000,"&gt;="&amp;F$3,'ChatGPT data'!$A$3:$A$20000,"&lt;="&amp;F$4,'ChatGPT data'!$B$3:$B$20000,$A52),IF($B52="LinkedIn Ads",SUMIFS('LinkedIn data'!$I$3:$I$20000,'LinkedIn data'!$A$3:$A$20000,"&gt;="&amp;F$3,'LinkedIn data'!$A$3:$A$20000,"&lt;="&amp;F$4,'LinkedIn data'!$B$3:$B$20000,$A52),0)))))</f>
        <v>0</v>
      </c>
      <c r="G52" s="14" t="n">
        <f aca="false">IF($A52="","",IF($B52="Meta",SUMIFS('Meta data'!$I$3:$I$20000,'Meta data'!$A$3:$A$20000,"&gt;="&amp;G$3,'Meta data'!$A$3:$A$20000,"&lt;="&amp;G$4,'Meta data'!$B$3:$B$20000,$A52),IF($B52="Google Ads",SUMIFS('Google data'!$I$3:$I$20000,'Google data'!$A$3:$A$20000,"&gt;="&amp;G$3,'Google data'!$A$3:$A$20000,"&lt;="&amp;G$4,'Google data'!$B$3:$B$20000,$A52),IF($B52="ChatGPT Ads",SUMIFS('ChatGPT data'!$I$3:$I$20000,'ChatGPT data'!$A$3:$A$20000,"&gt;="&amp;G$3,'ChatGPT data'!$A$3:$A$20000,"&lt;="&amp;G$4,'ChatGPT data'!$B$3:$B$20000,$A52),IF($B52="LinkedIn Ads",SUMIFS('LinkedIn data'!$I$3:$I$20000,'LinkedIn data'!$A$3:$A$20000,"&gt;="&amp;G$3,'LinkedIn data'!$A$3:$A$20000,"&lt;="&amp;G$4,'LinkedIn data'!$B$3:$B$20000,$A52),0)))))</f>
        <v>0</v>
      </c>
      <c r="H52" s="14" t="n">
        <f aca="false">IF($A52="","",IF($B52="Meta",SUMIFS('Meta data'!$I$3:$I$20000,'Meta data'!$A$3:$A$20000,"&gt;="&amp;H$3,'Meta data'!$A$3:$A$20000,"&lt;="&amp;H$4,'Meta data'!$B$3:$B$20000,$A52),IF($B52="Google Ads",SUMIFS('Google data'!$I$3:$I$20000,'Google data'!$A$3:$A$20000,"&gt;="&amp;H$3,'Google data'!$A$3:$A$20000,"&lt;="&amp;H$4,'Google data'!$B$3:$B$20000,$A52),IF($B52="ChatGPT Ads",SUMIFS('ChatGPT data'!$I$3:$I$20000,'ChatGPT data'!$A$3:$A$20000,"&gt;="&amp;H$3,'ChatGPT data'!$A$3:$A$20000,"&lt;="&amp;H$4,'ChatGPT data'!$B$3:$B$20000,$A52),IF($B52="LinkedIn Ads",SUMIFS('LinkedIn data'!$I$3:$I$20000,'LinkedIn data'!$A$3:$A$20000,"&gt;="&amp;H$3,'LinkedIn data'!$A$3:$A$20000,"&lt;="&amp;H$4,'LinkedIn data'!$B$3:$B$20000,$A52),0)))))</f>
        <v>199.900645</v>
      </c>
      <c r="I52" s="14" t="n">
        <f aca="false">IF($A52="","",IF($B52="Meta",SUMIFS('Meta data'!$I$3:$I$20000,'Meta data'!$A$3:$A$20000,"&gt;="&amp;I$3,'Meta data'!$A$3:$A$20000,"&lt;="&amp;I$4,'Meta data'!$B$3:$B$20000,$A52),IF($B52="Google Ads",SUMIFS('Google data'!$I$3:$I$20000,'Google data'!$A$3:$A$20000,"&gt;="&amp;I$3,'Google data'!$A$3:$A$20000,"&lt;="&amp;I$4,'Google data'!$B$3:$B$20000,$A52),IF($B52="ChatGPT Ads",SUMIFS('ChatGPT data'!$I$3:$I$20000,'ChatGPT data'!$A$3:$A$20000,"&gt;="&amp;I$3,'ChatGPT data'!$A$3:$A$20000,"&lt;="&amp;I$4,'ChatGPT data'!$B$3:$B$20000,$A52),IF($B52="LinkedIn Ads",SUMIFS('LinkedIn data'!$I$3:$I$20000,'LinkedIn data'!$A$3:$A$20000,"&gt;="&amp;I$3,'LinkedIn data'!$A$3:$A$20000,"&lt;="&amp;I$4,'LinkedIn data'!$B$3:$B$20000,$A52),0)))))</f>
        <v>358.569337</v>
      </c>
      <c r="J52" s="14" t="n">
        <f aca="false">IF($A52="","",IF($B52="Meta",SUMIFS('Meta data'!$I$3:$I$20000,'Meta data'!$A$3:$A$20000,"&gt;="&amp;J$3,'Meta data'!$A$3:$A$20000,"&lt;="&amp;J$4,'Meta data'!$B$3:$B$20000,$A52),IF($B52="Google Ads",SUMIFS('Google data'!$I$3:$I$20000,'Google data'!$A$3:$A$20000,"&gt;="&amp;J$3,'Google data'!$A$3:$A$20000,"&lt;="&amp;J$4,'Google data'!$B$3:$B$20000,$A52),IF($B52="ChatGPT Ads",SUMIFS('ChatGPT data'!$I$3:$I$20000,'ChatGPT data'!$A$3:$A$20000,"&gt;="&amp;J$3,'ChatGPT data'!$A$3:$A$20000,"&lt;="&amp;J$4,'ChatGPT data'!$B$3:$B$20000,$A52),IF($B52="LinkedIn Ads",SUMIFS('LinkedIn data'!$I$3:$I$20000,'LinkedIn data'!$A$3:$A$20000,"&gt;="&amp;J$3,'LinkedIn data'!$A$3:$A$20000,"&lt;="&amp;J$4,'LinkedIn data'!$B$3:$B$20000,$A52),0)))))</f>
        <v>0</v>
      </c>
      <c r="K52" s="14" t="n">
        <f aca="false">IF($A52="","",IF($B52="Meta",SUMIFS('Meta data'!$I$3:$I$20000,'Meta data'!$A$3:$A$20000,"&gt;="&amp;K$3,'Meta data'!$A$3:$A$20000,"&lt;="&amp;K$4,'Meta data'!$B$3:$B$20000,$A52),IF($B52="Google Ads",SUMIFS('Google data'!$I$3:$I$20000,'Google data'!$A$3:$A$20000,"&gt;="&amp;K$3,'Google data'!$A$3:$A$20000,"&lt;="&amp;K$4,'Google data'!$B$3:$B$20000,$A52),IF($B52="ChatGPT Ads",SUMIFS('ChatGPT data'!$I$3:$I$20000,'ChatGPT data'!$A$3:$A$20000,"&gt;="&amp;K$3,'ChatGPT data'!$A$3:$A$20000,"&lt;="&amp;K$4,'ChatGPT data'!$B$3:$B$20000,$A52),IF($B52="LinkedIn Ads",SUMIFS('LinkedIn data'!$I$3:$I$20000,'LinkedIn data'!$A$3:$A$20000,"&gt;="&amp;K$3,'LinkedIn data'!$A$3:$A$20000,"&lt;="&amp;K$4,'LinkedIn data'!$B$3:$B$20000,$A52),0)))))</f>
        <v>0</v>
      </c>
      <c r="L52" s="14" t="n">
        <f aca="false">IF($A52="","",IF($B52="Meta",SUMIFS('Meta data'!$I$3:$I$20000,'Meta data'!$A$3:$A$20000,"&gt;="&amp;L$3,'Meta data'!$A$3:$A$20000,"&lt;="&amp;L$4,'Meta data'!$B$3:$B$20000,$A52),IF($B52="Google Ads",SUMIFS('Google data'!$I$3:$I$20000,'Google data'!$A$3:$A$20000,"&gt;="&amp;L$3,'Google data'!$A$3:$A$20000,"&lt;="&amp;L$4,'Google data'!$B$3:$B$20000,$A52),IF($B52="ChatGPT Ads",SUMIFS('ChatGPT data'!$I$3:$I$20000,'ChatGPT data'!$A$3:$A$20000,"&gt;="&amp;L$3,'ChatGPT data'!$A$3:$A$20000,"&lt;="&amp;L$4,'ChatGPT data'!$B$3:$B$20000,$A52),IF($B52="LinkedIn Ads",SUMIFS('LinkedIn data'!$I$3:$I$20000,'LinkedIn data'!$A$3:$A$20000,"&gt;="&amp;L$3,'LinkedIn data'!$A$3:$A$20000,"&lt;="&amp;L$4,'LinkedIn data'!$B$3:$B$20000,$A52),0)))))</f>
        <v>0</v>
      </c>
      <c r="M52" s="14" t="n">
        <f aca="false">IF($A52="","",IF($B52="Meta",SUMIFS('Meta data'!$I$3:$I$20000,'Meta data'!$A$3:$A$20000,"&gt;="&amp;M$3,'Meta data'!$A$3:$A$20000,"&lt;="&amp;M$4,'Meta data'!$B$3:$B$20000,$A52),IF($B52="Google Ads",SUMIFS('Google data'!$I$3:$I$20000,'Google data'!$A$3:$A$20000,"&gt;="&amp;M$3,'Google data'!$A$3:$A$20000,"&lt;="&amp;M$4,'Google data'!$B$3:$B$20000,$A52),IF($B52="ChatGPT Ads",SUMIFS('ChatGPT data'!$I$3:$I$20000,'ChatGPT data'!$A$3:$A$20000,"&gt;="&amp;M$3,'ChatGPT data'!$A$3:$A$20000,"&lt;="&amp;M$4,'ChatGPT data'!$B$3:$B$20000,$A52),IF($B52="LinkedIn Ads",SUMIFS('LinkedIn data'!$I$3:$I$20000,'LinkedIn data'!$A$3:$A$20000,"&gt;="&amp;M$3,'LinkedIn data'!$A$3:$A$20000,"&lt;="&amp;M$4,'LinkedIn data'!$B$3:$B$20000,$A52),0)))))</f>
        <v>0</v>
      </c>
      <c r="N52" s="14" t="n">
        <f aca="false">IF($A52="","",IF($B52="Meta",SUMIFS('Meta data'!$I$3:$I$20000,'Meta data'!$A$3:$A$20000,"&gt;="&amp;N$3,'Meta data'!$A$3:$A$20000,"&lt;="&amp;N$4,'Meta data'!$B$3:$B$20000,$A52),IF($B52="Google Ads",SUMIFS('Google data'!$I$3:$I$20000,'Google data'!$A$3:$A$20000,"&gt;="&amp;N$3,'Google data'!$A$3:$A$20000,"&lt;="&amp;N$4,'Google data'!$B$3:$B$20000,$A52),IF($B52="ChatGPT Ads",SUMIFS('ChatGPT data'!$I$3:$I$20000,'ChatGPT data'!$A$3:$A$20000,"&gt;="&amp;N$3,'ChatGPT data'!$A$3:$A$20000,"&lt;="&amp;N$4,'ChatGPT data'!$B$3:$B$20000,$A52),IF($B52="LinkedIn Ads",SUMIFS('LinkedIn data'!$I$3:$I$20000,'LinkedIn data'!$A$3:$A$20000,"&gt;="&amp;N$3,'LinkedIn data'!$A$3:$A$20000,"&lt;="&amp;N$4,'LinkedIn data'!$B$3:$B$20000,$A52),0)))))</f>
        <v>0</v>
      </c>
      <c r="O52" s="14" t="n">
        <f aca="false">IF($A52="","",IF($B52="Meta",SUMIFS('Meta data'!$I$3:$I$20000,'Meta data'!$A$3:$A$20000,"&gt;="&amp;O$3,'Meta data'!$A$3:$A$20000,"&lt;="&amp;O$4,'Meta data'!$B$3:$B$20000,$A52),IF($B52="Google Ads",SUMIFS('Google data'!$I$3:$I$20000,'Google data'!$A$3:$A$20000,"&gt;="&amp;O$3,'Google data'!$A$3:$A$20000,"&lt;="&amp;O$4,'Google data'!$B$3:$B$20000,$A52),IF($B52="ChatGPT Ads",SUMIFS('ChatGPT data'!$I$3:$I$20000,'ChatGPT data'!$A$3:$A$20000,"&gt;="&amp;O$3,'ChatGPT data'!$A$3:$A$20000,"&lt;="&amp;O$4,'ChatGPT data'!$B$3:$B$20000,$A52),IF($B52="LinkedIn Ads",SUMIFS('LinkedIn data'!$I$3:$I$20000,'LinkedIn data'!$A$3:$A$20000,"&gt;="&amp;O$3,'LinkedIn data'!$A$3:$A$20000,"&lt;="&amp;O$4,'LinkedIn data'!$B$3:$B$20000,$A52),0)))))</f>
        <v>0</v>
      </c>
      <c r="P52" s="14" t="n">
        <f aca="false">IF($A52="","",IF($B52="Meta",SUMIFS('Meta data'!$I$3:$I$20000,'Meta data'!$A$3:$A$20000,"&gt;="&amp;P$3,'Meta data'!$A$3:$A$20000,"&lt;="&amp;P$4,'Meta data'!$B$3:$B$20000,$A52),IF($B52="Google Ads",SUMIFS('Google data'!$I$3:$I$20000,'Google data'!$A$3:$A$20000,"&gt;="&amp;P$3,'Google data'!$A$3:$A$20000,"&lt;="&amp;P$4,'Google data'!$B$3:$B$20000,$A52),IF($B52="ChatGPT Ads",SUMIFS('ChatGPT data'!$I$3:$I$20000,'ChatGPT data'!$A$3:$A$20000,"&gt;="&amp;P$3,'ChatGPT data'!$A$3:$A$20000,"&lt;="&amp;P$4,'ChatGPT data'!$B$3:$B$20000,$A52),IF($B52="LinkedIn Ads",SUMIFS('LinkedIn data'!$I$3:$I$20000,'LinkedIn data'!$A$3:$A$20000,"&gt;="&amp;P$3,'LinkedIn data'!$A$3:$A$20000,"&lt;="&amp;P$4,'LinkedIn data'!$B$3:$B$20000,$A52),0)))))</f>
        <v>0</v>
      </c>
      <c r="Q52" s="14" t="n">
        <f aca="false">IF($A52="","",IF($B52="Meta",SUMIFS('Meta data'!$I$3:$I$20000,'Meta data'!$A$3:$A$20000,"&gt;="&amp;Q$3,'Meta data'!$A$3:$A$20000,"&lt;="&amp;Q$4,'Meta data'!$B$3:$B$20000,$A52),IF($B52="Google Ads",SUMIFS('Google data'!$I$3:$I$20000,'Google data'!$A$3:$A$20000,"&gt;="&amp;Q$3,'Google data'!$A$3:$A$20000,"&lt;="&amp;Q$4,'Google data'!$B$3:$B$20000,$A52),IF($B52="ChatGPT Ads",SUMIFS('ChatGPT data'!$I$3:$I$20000,'ChatGPT data'!$A$3:$A$20000,"&gt;="&amp;Q$3,'ChatGPT data'!$A$3:$A$20000,"&lt;="&amp;Q$4,'ChatGPT data'!$B$3:$B$20000,$A52),IF($B52="LinkedIn Ads",SUMIFS('LinkedIn data'!$I$3:$I$20000,'LinkedIn data'!$A$3:$A$20000,"&gt;="&amp;Q$3,'LinkedIn data'!$A$3:$A$20000,"&lt;="&amp;Q$4,'LinkedIn data'!$B$3:$B$20000,$A52),0)))))</f>
        <v>0</v>
      </c>
      <c r="R52" s="15" t="n">
        <f aca="false">IF($A52="","",SUM(F52:Q52))</f>
        <v>558.469982</v>
      </c>
      <c r="S52" s="37" t="n">
        <f aca="false">IF($A52="","",IF($B52="Meta",SUMIFS('Meta data'!$E$3:$E$20000,'Meta data'!$B$3:$B$20000,$A52),IF($B52="Google Ads",SUMIFS('Google data'!$E$3:$E$20000,'Google data'!$B$3:$B$20000,$A52),IF($B52="ChatGPT Ads",SUMIFS('ChatGPT data'!$E$3:$E$20000,'ChatGPT data'!$B$3:$B$20000,$A52),IF($B52="LinkedIn Ads",SUMIFS('LinkedIn data'!$E$3:$E$20000,'LinkedIn data'!$B$3:$B$20000,$A52),0)))))</f>
        <v>151</v>
      </c>
      <c r="T52" s="37" t="n">
        <f aca="false">IF($A52="","",IF($B52="Meta",SUMIFS('Meta data'!$F$3:$F$20000,'Meta data'!$B$3:$B$20000,$A52),IF($B52="Google Ads",SUMIFS('Google data'!$F$3:$F$20000,'Google data'!$B$3:$B$20000,$A52),IF($B52="ChatGPT Ads",SUMIFS('ChatGPT data'!$F$3:$F$20000,'ChatGPT data'!$B$3:$B$20000,$A52),IF($B52="LinkedIn Ads",SUMIFS('LinkedIn data'!$F$3:$F$20000,'LinkedIn data'!$B$3:$B$20000,$A52),0)))))</f>
        <v>0</v>
      </c>
      <c r="U52" s="38" t="str">
        <f aca="false">IF(OR($A52="",T52=0),"",R52/T52)</f>
        <v/>
      </c>
    </row>
    <row r="53" customFormat="false" ht="15" hidden="false" customHeight="false" outlineLevel="0" collapsed="false">
      <c r="A53" s="58" t="s">
        <v>212</v>
      </c>
      <c r="B53" s="58" t="s">
        <v>20</v>
      </c>
      <c r="C53" s="58" t="s">
        <v>141</v>
      </c>
      <c r="D53" s="58" t="s">
        <v>124</v>
      </c>
      <c r="E53" s="58" t="s">
        <v>156</v>
      </c>
      <c r="F53" s="14" t="n">
        <f aca="false">IF($A53="","",IF($B53="Meta",SUMIFS('Meta data'!$I$3:$I$20000,'Meta data'!$A$3:$A$20000,"&gt;="&amp;F$3,'Meta data'!$A$3:$A$20000,"&lt;="&amp;F$4,'Meta data'!$B$3:$B$20000,$A53),IF($B53="Google Ads",SUMIFS('Google data'!$I$3:$I$20000,'Google data'!$A$3:$A$20000,"&gt;="&amp;F$3,'Google data'!$A$3:$A$20000,"&lt;="&amp;F$4,'Google data'!$B$3:$B$20000,$A53),IF($B53="ChatGPT Ads",SUMIFS('ChatGPT data'!$I$3:$I$20000,'ChatGPT data'!$A$3:$A$20000,"&gt;="&amp;F$3,'ChatGPT data'!$A$3:$A$20000,"&lt;="&amp;F$4,'ChatGPT data'!$B$3:$B$20000,$A53),IF($B53="LinkedIn Ads",SUMIFS('LinkedIn data'!$I$3:$I$20000,'LinkedIn data'!$A$3:$A$20000,"&gt;="&amp;F$3,'LinkedIn data'!$A$3:$A$20000,"&lt;="&amp;F$4,'LinkedIn data'!$B$3:$B$20000,$A53),0)))))</f>
        <v>0</v>
      </c>
      <c r="G53" s="14" t="n">
        <f aca="false">IF($A53="","",IF($B53="Meta",SUMIFS('Meta data'!$I$3:$I$20000,'Meta data'!$A$3:$A$20000,"&gt;="&amp;G$3,'Meta data'!$A$3:$A$20000,"&lt;="&amp;G$4,'Meta data'!$B$3:$B$20000,$A53),IF($B53="Google Ads",SUMIFS('Google data'!$I$3:$I$20000,'Google data'!$A$3:$A$20000,"&gt;="&amp;G$3,'Google data'!$A$3:$A$20000,"&lt;="&amp;G$4,'Google data'!$B$3:$B$20000,$A53),IF($B53="ChatGPT Ads",SUMIFS('ChatGPT data'!$I$3:$I$20000,'ChatGPT data'!$A$3:$A$20000,"&gt;="&amp;G$3,'ChatGPT data'!$A$3:$A$20000,"&lt;="&amp;G$4,'ChatGPT data'!$B$3:$B$20000,$A53),IF($B53="LinkedIn Ads",SUMIFS('LinkedIn data'!$I$3:$I$20000,'LinkedIn data'!$A$3:$A$20000,"&gt;="&amp;G$3,'LinkedIn data'!$A$3:$A$20000,"&lt;="&amp;G$4,'LinkedIn data'!$B$3:$B$20000,$A53),0)))))</f>
        <v>0</v>
      </c>
      <c r="H53" s="14" t="n">
        <f aca="false">IF($A53="","",IF($B53="Meta",SUMIFS('Meta data'!$I$3:$I$20000,'Meta data'!$A$3:$A$20000,"&gt;="&amp;H$3,'Meta data'!$A$3:$A$20000,"&lt;="&amp;H$4,'Meta data'!$B$3:$B$20000,$A53),IF($B53="Google Ads",SUMIFS('Google data'!$I$3:$I$20000,'Google data'!$A$3:$A$20000,"&gt;="&amp;H$3,'Google data'!$A$3:$A$20000,"&lt;="&amp;H$4,'Google data'!$B$3:$B$20000,$A53),IF($B53="ChatGPT Ads",SUMIFS('ChatGPT data'!$I$3:$I$20000,'ChatGPT data'!$A$3:$A$20000,"&gt;="&amp;H$3,'ChatGPT data'!$A$3:$A$20000,"&lt;="&amp;H$4,'ChatGPT data'!$B$3:$B$20000,$A53),IF($B53="LinkedIn Ads",SUMIFS('LinkedIn data'!$I$3:$I$20000,'LinkedIn data'!$A$3:$A$20000,"&gt;="&amp;H$3,'LinkedIn data'!$A$3:$A$20000,"&lt;="&amp;H$4,'LinkedIn data'!$B$3:$B$20000,$A53),0)))))</f>
        <v>330.090341</v>
      </c>
      <c r="I53" s="14" t="n">
        <f aca="false">IF($A53="","",IF($B53="Meta",SUMIFS('Meta data'!$I$3:$I$20000,'Meta data'!$A$3:$A$20000,"&gt;="&amp;I$3,'Meta data'!$A$3:$A$20000,"&lt;="&amp;I$4,'Meta data'!$B$3:$B$20000,$A53),IF($B53="Google Ads",SUMIFS('Google data'!$I$3:$I$20000,'Google data'!$A$3:$A$20000,"&gt;="&amp;I$3,'Google data'!$A$3:$A$20000,"&lt;="&amp;I$4,'Google data'!$B$3:$B$20000,$A53),IF($B53="ChatGPT Ads",SUMIFS('ChatGPT data'!$I$3:$I$20000,'ChatGPT data'!$A$3:$A$20000,"&gt;="&amp;I$3,'ChatGPT data'!$A$3:$A$20000,"&lt;="&amp;I$4,'ChatGPT data'!$B$3:$B$20000,$A53),IF($B53="LinkedIn Ads",SUMIFS('LinkedIn data'!$I$3:$I$20000,'LinkedIn data'!$A$3:$A$20000,"&gt;="&amp;I$3,'LinkedIn data'!$A$3:$A$20000,"&lt;="&amp;I$4,'LinkedIn data'!$B$3:$B$20000,$A53),0)))))</f>
        <v>0</v>
      </c>
      <c r="J53" s="14" t="n">
        <f aca="false">IF($A53="","",IF($B53="Meta",SUMIFS('Meta data'!$I$3:$I$20000,'Meta data'!$A$3:$A$20000,"&gt;="&amp;J$3,'Meta data'!$A$3:$A$20000,"&lt;="&amp;J$4,'Meta data'!$B$3:$B$20000,$A53),IF($B53="Google Ads",SUMIFS('Google data'!$I$3:$I$20000,'Google data'!$A$3:$A$20000,"&gt;="&amp;J$3,'Google data'!$A$3:$A$20000,"&lt;="&amp;J$4,'Google data'!$B$3:$B$20000,$A53),IF($B53="ChatGPT Ads",SUMIFS('ChatGPT data'!$I$3:$I$20000,'ChatGPT data'!$A$3:$A$20000,"&gt;="&amp;J$3,'ChatGPT data'!$A$3:$A$20000,"&lt;="&amp;J$4,'ChatGPT data'!$B$3:$B$20000,$A53),IF($B53="LinkedIn Ads",SUMIFS('LinkedIn data'!$I$3:$I$20000,'LinkedIn data'!$A$3:$A$20000,"&gt;="&amp;J$3,'LinkedIn data'!$A$3:$A$20000,"&lt;="&amp;J$4,'LinkedIn data'!$B$3:$B$20000,$A53),0)))))</f>
        <v>0</v>
      </c>
      <c r="K53" s="14" t="n">
        <f aca="false">IF($A53="","",IF($B53="Meta",SUMIFS('Meta data'!$I$3:$I$20000,'Meta data'!$A$3:$A$20000,"&gt;="&amp;K$3,'Meta data'!$A$3:$A$20000,"&lt;="&amp;K$4,'Meta data'!$B$3:$B$20000,$A53),IF($B53="Google Ads",SUMIFS('Google data'!$I$3:$I$20000,'Google data'!$A$3:$A$20000,"&gt;="&amp;K$3,'Google data'!$A$3:$A$20000,"&lt;="&amp;K$4,'Google data'!$B$3:$B$20000,$A53),IF($B53="ChatGPT Ads",SUMIFS('ChatGPT data'!$I$3:$I$20000,'ChatGPT data'!$A$3:$A$20000,"&gt;="&amp;K$3,'ChatGPT data'!$A$3:$A$20000,"&lt;="&amp;K$4,'ChatGPT data'!$B$3:$B$20000,$A53),IF($B53="LinkedIn Ads",SUMIFS('LinkedIn data'!$I$3:$I$20000,'LinkedIn data'!$A$3:$A$20000,"&gt;="&amp;K$3,'LinkedIn data'!$A$3:$A$20000,"&lt;="&amp;K$4,'LinkedIn data'!$B$3:$B$20000,$A53),0)))))</f>
        <v>0</v>
      </c>
      <c r="L53" s="14" t="n">
        <f aca="false">IF($A53="","",IF($B53="Meta",SUMIFS('Meta data'!$I$3:$I$20000,'Meta data'!$A$3:$A$20000,"&gt;="&amp;L$3,'Meta data'!$A$3:$A$20000,"&lt;="&amp;L$4,'Meta data'!$B$3:$B$20000,$A53),IF($B53="Google Ads",SUMIFS('Google data'!$I$3:$I$20000,'Google data'!$A$3:$A$20000,"&gt;="&amp;L$3,'Google data'!$A$3:$A$20000,"&lt;="&amp;L$4,'Google data'!$B$3:$B$20000,$A53),IF($B53="ChatGPT Ads",SUMIFS('ChatGPT data'!$I$3:$I$20000,'ChatGPT data'!$A$3:$A$20000,"&gt;="&amp;L$3,'ChatGPT data'!$A$3:$A$20000,"&lt;="&amp;L$4,'ChatGPT data'!$B$3:$B$20000,$A53),IF($B53="LinkedIn Ads",SUMIFS('LinkedIn data'!$I$3:$I$20000,'LinkedIn data'!$A$3:$A$20000,"&gt;="&amp;L$3,'LinkedIn data'!$A$3:$A$20000,"&lt;="&amp;L$4,'LinkedIn data'!$B$3:$B$20000,$A53),0)))))</f>
        <v>0</v>
      </c>
      <c r="M53" s="14" t="n">
        <f aca="false">IF($A53="","",IF($B53="Meta",SUMIFS('Meta data'!$I$3:$I$20000,'Meta data'!$A$3:$A$20000,"&gt;="&amp;M$3,'Meta data'!$A$3:$A$20000,"&lt;="&amp;M$4,'Meta data'!$B$3:$B$20000,$A53),IF($B53="Google Ads",SUMIFS('Google data'!$I$3:$I$20000,'Google data'!$A$3:$A$20000,"&gt;="&amp;M$3,'Google data'!$A$3:$A$20000,"&lt;="&amp;M$4,'Google data'!$B$3:$B$20000,$A53),IF($B53="ChatGPT Ads",SUMIFS('ChatGPT data'!$I$3:$I$20000,'ChatGPT data'!$A$3:$A$20000,"&gt;="&amp;M$3,'ChatGPT data'!$A$3:$A$20000,"&lt;="&amp;M$4,'ChatGPT data'!$B$3:$B$20000,$A53),IF($B53="LinkedIn Ads",SUMIFS('LinkedIn data'!$I$3:$I$20000,'LinkedIn data'!$A$3:$A$20000,"&gt;="&amp;M$3,'LinkedIn data'!$A$3:$A$20000,"&lt;="&amp;M$4,'LinkedIn data'!$B$3:$B$20000,$A53),0)))))</f>
        <v>0</v>
      </c>
      <c r="N53" s="14" t="n">
        <f aca="false">IF($A53="","",IF($B53="Meta",SUMIFS('Meta data'!$I$3:$I$20000,'Meta data'!$A$3:$A$20000,"&gt;="&amp;N$3,'Meta data'!$A$3:$A$20000,"&lt;="&amp;N$4,'Meta data'!$B$3:$B$20000,$A53),IF($B53="Google Ads",SUMIFS('Google data'!$I$3:$I$20000,'Google data'!$A$3:$A$20000,"&gt;="&amp;N$3,'Google data'!$A$3:$A$20000,"&lt;="&amp;N$4,'Google data'!$B$3:$B$20000,$A53),IF($B53="ChatGPT Ads",SUMIFS('ChatGPT data'!$I$3:$I$20000,'ChatGPT data'!$A$3:$A$20000,"&gt;="&amp;N$3,'ChatGPT data'!$A$3:$A$20000,"&lt;="&amp;N$4,'ChatGPT data'!$B$3:$B$20000,$A53),IF($B53="LinkedIn Ads",SUMIFS('LinkedIn data'!$I$3:$I$20000,'LinkedIn data'!$A$3:$A$20000,"&gt;="&amp;N$3,'LinkedIn data'!$A$3:$A$20000,"&lt;="&amp;N$4,'LinkedIn data'!$B$3:$B$20000,$A53),0)))))</f>
        <v>0</v>
      </c>
      <c r="O53" s="14" t="n">
        <f aca="false">IF($A53="","",IF($B53="Meta",SUMIFS('Meta data'!$I$3:$I$20000,'Meta data'!$A$3:$A$20000,"&gt;="&amp;O$3,'Meta data'!$A$3:$A$20000,"&lt;="&amp;O$4,'Meta data'!$B$3:$B$20000,$A53),IF($B53="Google Ads",SUMIFS('Google data'!$I$3:$I$20000,'Google data'!$A$3:$A$20000,"&gt;="&amp;O$3,'Google data'!$A$3:$A$20000,"&lt;="&amp;O$4,'Google data'!$B$3:$B$20000,$A53),IF($B53="ChatGPT Ads",SUMIFS('ChatGPT data'!$I$3:$I$20000,'ChatGPT data'!$A$3:$A$20000,"&gt;="&amp;O$3,'ChatGPT data'!$A$3:$A$20000,"&lt;="&amp;O$4,'ChatGPT data'!$B$3:$B$20000,$A53),IF($B53="LinkedIn Ads",SUMIFS('LinkedIn data'!$I$3:$I$20000,'LinkedIn data'!$A$3:$A$20000,"&gt;="&amp;O$3,'LinkedIn data'!$A$3:$A$20000,"&lt;="&amp;O$4,'LinkedIn data'!$B$3:$B$20000,$A53),0)))))</f>
        <v>0</v>
      </c>
      <c r="P53" s="14" t="n">
        <f aca="false">IF($A53="","",IF($B53="Meta",SUMIFS('Meta data'!$I$3:$I$20000,'Meta data'!$A$3:$A$20000,"&gt;="&amp;P$3,'Meta data'!$A$3:$A$20000,"&lt;="&amp;P$4,'Meta data'!$B$3:$B$20000,$A53),IF($B53="Google Ads",SUMIFS('Google data'!$I$3:$I$20000,'Google data'!$A$3:$A$20000,"&gt;="&amp;P$3,'Google data'!$A$3:$A$20000,"&lt;="&amp;P$4,'Google data'!$B$3:$B$20000,$A53),IF($B53="ChatGPT Ads",SUMIFS('ChatGPT data'!$I$3:$I$20000,'ChatGPT data'!$A$3:$A$20000,"&gt;="&amp;P$3,'ChatGPT data'!$A$3:$A$20000,"&lt;="&amp;P$4,'ChatGPT data'!$B$3:$B$20000,$A53),IF($B53="LinkedIn Ads",SUMIFS('LinkedIn data'!$I$3:$I$20000,'LinkedIn data'!$A$3:$A$20000,"&gt;="&amp;P$3,'LinkedIn data'!$A$3:$A$20000,"&lt;="&amp;P$4,'LinkedIn data'!$B$3:$B$20000,$A53),0)))))</f>
        <v>0</v>
      </c>
      <c r="Q53" s="14" t="n">
        <f aca="false">IF($A53="","",IF($B53="Meta",SUMIFS('Meta data'!$I$3:$I$20000,'Meta data'!$A$3:$A$20000,"&gt;="&amp;Q$3,'Meta data'!$A$3:$A$20000,"&lt;="&amp;Q$4,'Meta data'!$B$3:$B$20000,$A53),IF($B53="Google Ads",SUMIFS('Google data'!$I$3:$I$20000,'Google data'!$A$3:$A$20000,"&gt;="&amp;Q$3,'Google data'!$A$3:$A$20000,"&lt;="&amp;Q$4,'Google data'!$B$3:$B$20000,$A53),IF($B53="ChatGPT Ads",SUMIFS('ChatGPT data'!$I$3:$I$20000,'ChatGPT data'!$A$3:$A$20000,"&gt;="&amp;Q$3,'ChatGPT data'!$A$3:$A$20000,"&lt;="&amp;Q$4,'ChatGPT data'!$B$3:$B$20000,$A53),IF($B53="LinkedIn Ads",SUMIFS('LinkedIn data'!$I$3:$I$20000,'LinkedIn data'!$A$3:$A$20000,"&gt;="&amp;Q$3,'LinkedIn data'!$A$3:$A$20000,"&lt;="&amp;Q$4,'LinkedIn data'!$B$3:$B$20000,$A53),0)))))</f>
        <v>0</v>
      </c>
      <c r="R53" s="15" t="n">
        <f aca="false">IF($A53="","",SUM(F53:Q53))</f>
        <v>330.090341</v>
      </c>
      <c r="S53" s="37" t="n">
        <f aca="false">IF($A53="","",IF($B53="Meta",SUMIFS('Meta data'!$E$3:$E$20000,'Meta data'!$B$3:$B$20000,$A53),IF($B53="Google Ads",SUMIFS('Google data'!$E$3:$E$20000,'Google data'!$B$3:$B$20000,$A53),IF($B53="ChatGPT Ads",SUMIFS('ChatGPT data'!$E$3:$E$20000,'ChatGPT data'!$B$3:$B$20000,$A53),IF($B53="LinkedIn Ads",SUMIFS('LinkedIn data'!$E$3:$E$20000,'LinkedIn data'!$B$3:$B$20000,$A53),0)))))</f>
        <v>52</v>
      </c>
      <c r="T53" s="37" t="n">
        <f aca="false">IF($A53="","",IF($B53="Meta",SUMIFS('Meta data'!$F$3:$F$20000,'Meta data'!$B$3:$B$20000,$A53),IF($B53="Google Ads",SUMIFS('Google data'!$F$3:$F$20000,'Google data'!$B$3:$B$20000,$A53),IF($B53="ChatGPT Ads",SUMIFS('ChatGPT data'!$F$3:$F$20000,'ChatGPT data'!$B$3:$B$20000,$A53),IF($B53="LinkedIn Ads",SUMIFS('LinkedIn data'!$F$3:$F$20000,'LinkedIn data'!$B$3:$B$20000,$A53),0)))))</f>
        <v>2</v>
      </c>
      <c r="U53" s="38" t="n">
        <f aca="false">IF(OR($A53="",T53=0),"",R53/T53)</f>
        <v>165.0451705</v>
      </c>
    </row>
    <row r="54" customFormat="false" ht="15" hidden="false" customHeight="false" outlineLevel="0" collapsed="false">
      <c r="A54" s="58" t="s">
        <v>213</v>
      </c>
      <c r="B54" s="58" t="s">
        <v>20</v>
      </c>
      <c r="C54" s="58" t="s">
        <v>130</v>
      </c>
      <c r="D54" s="58" t="s">
        <v>123</v>
      </c>
      <c r="E54" s="58" t="s">
        <v>158</v>
      </c>
      <c r="F54" s="14" t="n">
        <f aca="false">IF($A54="","",IF($B54="Meta",SUMIFS('Meta data'!$I$3:$I$20000,'Meta data'!$A$3:$A$20000,"&gt;="&amp;F$3,'Meta data'!$A$3:$A$20000,"&lt;="&amp;F$4,'Meta data'!$B$3:$B$20000,$A54),IF($B54="Google Ads",SUMIFS('Google data'!$I$3:$I$20000,'Google data'!$A$3:$A$20000,"&gt;="&amp;F$3,'Google data'!$A$3:$A$20000,"&lt;="&amp;F$4,'Google data'!$B$3:$B$20000,$A54),IF($B54="ChatGPT Ads",SUMIFS('ChatGPT data'!$I$3:$I$20000,'ChatGPT data'!$A$3:$A$20000,"&gt;="&amp;F$3,'ChatGPT data'!$A$3:$A$20000,"&lt;="&amp;F$4,'ChatGPT data'!$B$3:$B$20000,$A54),IF($B54="LinkedIn Ads",SUMIFS('LinkedIn data'!$I$3:$I$20000,'LinkedIn data'!$A$3:$A$20000,"&gt;="&amp;F$3,'LinkedIn data'!$A$3:$A$20000,"&lt;="&amp;F$4,'LinkedIn data'!$B$3:$B$20000,$A54),0)))))</f>
        <v>327.899649</v>
      </c>
      <c r="G54" s="14" t="n">
        <f aca="false">IF($A54="","",IF($B54="Meta",SUMIFS('Meta data'!$I$3:$I$20000,'Meta data'!$A$3:$A$20000,"&gt;="&amp;G$3,'Meta data'!$A$3:$A$20000,"&lt;="&amp;G$4,'Meta data'!$B$3:$B$20000,$A54),IF($B54="Google Ads",SUMIFS('Google data'!$I$3:$I$20000,'Google data'!$A$3:$A$20000,"&gt;="&amp;G$3,'Google data'!$A$3:$A$20000,"&lt;="&amp;G$4,'Google data'!$B$3:$B$20000,$A54),IF($B54="ChatGPT Ads",SUMIFS('ChatGPT data'!$I$3:$I$20000,'ChatGPT data'!$A$3:$A$20000,"&gt;="&amp;G$3,'ChatGPT data'!$A$3:$A$20000,"&lt;="&amp;G$4,'ChatGPT data'!$B$3:$B$20000,$A54),IF($B54="LinkedIn Ads",SUMIFS('LinkedIn data'!$I$3:$I$20000,'LinkedIn data'!$A$3:$A$20000,"&gt;="&amp;G$3,'LinkedIn data'!$A$3:$A$20000,"&lt;="&amp;G$4,'LinkedIn data'!$B$3:$B$20000,$A54),0)))))</f>
        <v>0</v>
      </c>
      <c r="H54" s="14" t="n">
        <f aca="false">IF($A54="","",IF($B54="Meta",SUMIFS('Meta data'!$I$3:$I$20000,'Meta data'!$A$3:$A$20000,"&gt;="&amp;H$3,'Meta data'!$A$3:$A$20000,"&lt;="&amp;H$4,'Meta data'!$B$3:$B$20000,$A54),IF($B54="Google Ads",SUMIFS('Google data'!$I$3:$I$20000,'Google data'!$A$3:$A$20000,"&gt;="&amp;H$3,'Google data'!$A$3:$A$20000,"&lt;="&amp;H$4,'Google data'!$B$3:$B$20000,$A54),IF($B54="ChatGPT Ads",SUMIFS('ChatGPT data'!$I$3:$I$20000,'ChatGPT data'!$A$3:$A$20000,"&gt;="&amp;H$3,'ChatGPT data'!$A$3:$A$20000,"&lt;="&amp;H$4,'ChatGPT data'!$B$3:$B$20000,$A54),IF($B54="LinkedIn Ads",SUMIFS('LinkedIn data'!$I$3:$I$20000,'LinkedIn data'!$A$3:$A$20000,"&gt;="&amp;H$3,'LinkedIn data'!$A$3:$A$20000,"&lt;="&amp;H$4,'LinkedIn data'!$B$3:$B$20000,$A54),0)))))</f>
        <v>0</v>
      </c>
      <c r="I54" s="14" t="n">
        <f aca="false">IF($A54="","",IF($B54="Meta",SUMIFS('Meta data'!$I$3:$I$20000,'Meta data'!$A$3:$A$20000,"&gt;="&amp;I$3,'Meta data'!$A$3:$A$20000,"&lt;="&amp;I$4,'Meta data'!$B$3:$B$20000,$A54),IF($B54="Google Ads",SUMIFS('Google data'!$I$3:$I$20000,'Google data'!$A$3:$A$20000,"&gt;="&amp;I$3,'Google data'!$A$3:$A$20000,"&lt;="&amp;I$4,'Google data'!$B$3:$B$20000,$A54),IF($B54="ChatGPT Ads",SUMIFS('ChatGPT data'!$I$3:$I$20000,'ChatGPT data'!$A$3:$A$20000,"&gt;="&amp;I$3,'ChatGPT data'!$A$3:$A$20000,"&lt;="&amp;I$4,'ChatGPT data'!$B$3:$B$20000,$A54),IF($B54="LinkedIn Ads",SUMIFS('LinkedIn data'!$I$3:$I$20000,'LinkedIn data'!$A$3:$A$20000,"&gt;="&amp;I$3,'LinkedIn data'!$A$3:$A$20000,"&lt;="&amp;I$4,'LinkedIn data'!$B$3:$B$20000,$A54),0)))))</f>
        <v>0</v>
      </c>
      <c r="J54" s="14" t="n">
        <f aca="false">IF($A54="","",IF($B54="Meta",SUMIFS('Meta data'!$I$3:$I$20000,'Meta data'!$A$3:$A$20000,"&gt;="&amp;J$3,'Meta data'!$A$3:$A$20000,"&lt;="&amp;J$4,'Meta data'!$B$3:$B$20000,$A54),IF($B54="Google Ads",SUMIFS('Google data'!$I$3:$I$20000,'Google data'!$A$3:$A$20000,"&gt;="&amp;J$3,'Google data'!$A$3:$A$20000,"&lt;="&amp;J$4,'Google data'!$B$3:$B$20000,$A54),IF($B54="ChatGPT Ads",SUMIFS('ChatGPT data'!$I$3:$I$20000,'ChatGPT data'!$A$3:$A$20000,"&gt;="&amp;J$3,'ChatGPT data'!$A$3:$A$20000,"&lt;="&amp;J$4,'ChatGPT data'!$B$3:$B$20000,$A54),IF($B54="LinkedIn Ads",SUMIFS('LinkedIn data'!$I$3:$I$20000,'LinkedIn data'!$A$3:$A$20000,"&gt;="&amp;J$3,'LinkedIn data'!$A$3:$A$20000,"&lt;="&amp;J$4,'LinkedIn data'!$B$3:$B$20000,$A54),0)))))</f>
        <v>0</v>
      </c>
      <c r="K54" s="14" t="n">
        <f aca="false">IF($A54="","",IF($B54="Meta",SUMIFS('Meta data'!$I$3:$I$20000,'Meta data'!$A$3:$A$20000,"&gt;="&amp;K$3,'Meta data'!$A$3:$A$20000,"&lt;="&amp;K$4,'Meta data'!$B$3:$B$20000,$A54),IF($B54="Google Ads",SUMIFS('Google data'!$I$3:$I$20000,'Google data'!$A$3:$A$20000,"&gt;="&amp;K$3,'Google data'!$A$3:$A$20000,"&lt;="&amp;K$4,'Google data'!$B$3:$B$20000,$A54),IF($B54="ChatGPT Ads",SUMIFS('ChatGPT data'!$I$3:$I$20000,'ChatGPT data'!$A$3:$A$20000,"&gt;="&amp;K$3,'ChatGPT data'!$A$3:$A$20000,"&lt;="&amp;K$4,'ChatGPT data'!$B$3:$B$20000,$A54),IF($B54="LinkedIn Ads",SUMIFS('LinkedIn data'!$I$3:$I$20000,'LinkedIn data'!$A$3:$A$20000,"&gt;="&amp;K$3,'LinkedIn data'!$A$3:$A$20000,"&lt;="&amp;K$4,'LinkedIn data'!$B$3:$B$20000,$A54),0)))))</f>
        <v>0</v>
      </c>
      <c r="L54" s="14" t="n">
        <f aca="false">IF($A54="","",IF($B54="Meta",SUMIFS('Meta data'!$I$3:$I$20000,'Meta data'!$A$3:$A$20000,"&gt;="&amp;L$3,'Meta data'!$A$3:$A$20000,"&lt;="&amp;L$4,'Meta data'!$B$3:$B$20000,$A54),IF($B54="Google Ads",SUMIFS('Google data'!$I$3:$I$20000,'Google data'!$A$3:$A$20000,"&gt;="&amp;L$3,'Google data'!$A$3:$A$20000,"&lt;="&amp;L$4,'Google data'!$B$3:$B$20000,$A54),IF($B54="ChatGPT Ads",SUMIFS('ChatGPT data'!$I$3:$I$20000,'ChatGPT data'!$A$3:$A$20000,"&gt;="&amp;L$3,'ChatGPT data'!$A$3:$A$20000,"&lt;="&amp;L$4,'ChatGPT data'!$B$3:$B$20000,$A54),IF($B54="LinkedIn Ads",SUMIFS('LinkedIn data'!$I$3:$I$20000,'LinkedIn data'!$A$3:$A$20000,"&gt;="&amp;L$3,'LinkedIn data'!$A$3:$A$20000,"&lt;="&amp;L$4,'LinkedIn data'!$B$3:$B$20000,$A54),0)))))</f>
        <v>0</v>
      </c>
      <c r="M54" s="14" t="n">
        <f aca="false">IF($A54="","",IF($B54="Meta",SUMIFS('Meta data'!$I$3:$I$20000,'Meta data'!$A$3:$A$20000,"&gt;="&amp;M$3,'Meta data'!$A$3:$A$20000,"&lt;="&amp;M$4,'Meta data'!$B$3:$B$20000,$A54),IF($B54="Google Ads",SUMIFS('Google data'!$I$3:$I$20000,'Google data'!$A$3:$A$20000,"&gt;="&amp;M$3,'Google data'!$A$3:$A$20000,"&lt;="&amp;M$4,'Google data'!$B$3:$B$20000,$A54),IF($B54="ChatGPT Ads",SUMIFS('ChatGPT data'!$I$3:$I$20000,'ChatGPT data'!$A$3:$A$20000,"&gt;="&amp;M$3,'ChatGPT data'!$A$3:$A$20000,"&lt;="&amp;M$4,'ChatGPT data'!$B$3:$B$20000,$A54),IF($B54="LinkedIn Ads",SUMIFS('LinkedIn data'!$I$3:$I$20000,'LinkedIn data'!$A$3:$A$20000,"&gt;="&amp;M$3,'LinkedIn data'!$A$3:$A$20000,"&lt;="&amp;M$4,'LinkedIn data'!$B$3:$B$20000,$A54),0)))))</f>
        <v>0</v>
      </c>
      <c r="N54" s="14" t="n">
        <f aca="false">IF($A54="","",IF($B54="Meta",SUMIFS('Meta data'!$I$3:$I$20000,'Meta data'!$A$3:$A$20000,"&gt;="&amp;N$3,'Meta data'!$A$3:$A$20000,"&lt;="&amp;N$4,'Meta data'!$B$3:$B$20000,$A54),IF($B54="Google Ads",SUMIFS('Google data'!$I$3:$I$20000,'Google data'!$A$3:$A$20000,"&gt;="&amp;N$3,'Google data'!$A$3:$A$20000,"&lt;="&amp;N$4,'Google data'!$B$3:$B$20000,$A54),IF($B54="ChatGPT Ads",SUMIFS('ChatGPT data'!$I$3:$I$20000,'ChatGPT data'!$A$3:$A$20000,"&gt;="&amp;N$3,'ChatGPT data'!$A$3:$A$20000,"&lt;="&amp;N$4,'ChatGPT data'!$B$3:$B$20000,$A54),IF($B54="LinkedIn Ads",SUMIFS('LinkedIn data'!$I$3:$I$20000,'LinkedIn data'!$A$3:$A$20000,"&gt;="&amp;N$3,'LinkedIn data'!$A$3:$A$20000,"&lt;="&amp;N$4,'LinkedIn data'!$B$3:$B$20000,$A54),0)))))</f>
        <v>0</v>
      </c>
      <c r="O54" s="14" t="n">
        <f aca="false">IF($A54="","",IF($B54="Meta",SUMIFS('Meta data'!$I$3:$I$20000,'Meta data'!$A$3:$A$20000,"&gt;="&amp;O$3,'Meta data'!$A$3:$A$20000,"&lt;="&amp;O$4,'Meta data'!$B$3:$B$20000,$A54),IF($B54="Google Ads",SUMIFS('Google data'!$I$3:$I$20000,'Google data'!$A$3:$A$20000,"&gt;="&amp;O$3,'Google data'!$A$3:$A$20000,"&lt;="&amp;O$4,'Google data'!$B$3:$B$20000,$A54),IF($B54="ChatGPT Ads",SUMIFS('ChatGPT data'!$I$3:$I$20000,'ChatGPT data'!$A$3:$A$20000,"&gt;="&amp;O$3,'ChatGPT data'!$A$3:$A$20000,"&lt;="&amp;O$4,'ChatGPT data'!$B$3:$B$20000,$A54),IF($B54="LinkedIn Ads",SUMIFS('LinkedIn data'!$I$3:$I$20000,'LinkedIn data'!$A$3:$A$20000,"&gt;="&amp;O$3,'LinkedIn data'!$A$3:$A$20000,"&lt;="&amp;O$4,'LinkedIn data'!$B$3:$B$20000,$A54),0)))))</f>
        <v>0</v>
      </c>
      <c r="P54" s="14" t="n">
        <f aca="false">IF($A54="","",IF($B54="Meta",SUMIFS('Meta data'!$I$3:$I$20000,'Meta data'!$A$3:$A$20000,"&gt;="&amp;P$3,'Meta data'!$A$3:$A$20000,"&lt;="&amp;P$4,'Meta data'!$B$3:$B$20000,$A54),IF($B54="Google Ads",SUMIFS('Google data'!$I$3:$I$20000,'Google data'!$A$3:$A$20000,"&gt;="&amp;P$3,'Google data'!$A$3:$A$20000,"&lt;="&amp;P$4,'Google data'!$B$3:$B$20000,$A54),IF($B54="ChatGPT Ads",SUMIFS('ChatGPT data'!$I$3:$I$20000,'ChatGPT data'!$A$3:$A$20000,"&gt;="&amp;P$3,'ChatGPT data'!$A$3:$A$20000,"&lt;="&amp;P$4,'ChatGPT data'!$B$3:$B$20000,$A54),IF($B54="LinkedIn Ads",SUMIFS('LinkedIn data'!$I$3:$I$20000,'LinkedIn data'!$A$3:$A$20000,"&gt;="&amp;P$3,'LinkedIn data'!$A$3:$A$20000,"&lt;="&amp;P$4,'LinkedIn data'!$B$3:$B$20000,$A54),0)))))</f>
        <v>0</v>
      </c>
      <c r="Q54" s="14" t="n">
        <f aca="false">IF($A54="","",IF($B54="Meta",SUMIFS('Meta data'!$I$3:$I$20000,'Meta data'!$A$3:$A$20000,"&gt;="&amp;Q$3,'Meta data'!$A$3:$A$20000,"&lt;="&amp;Q$4,'Meta data'!$B$3:$B$20000,$A54),IF($B54="Google Ads",SUMIFS('Google data'!$I$3:$I$20000,'Google data'!$A$3:$A$20000,"&gt;="&amp;Q$3,'Google data'!$A$3:$A$20000,"&lt;="&amp;Q$4,'Google data'!$B$3:$B$20000,$A54),IF($B54="ChatGPT Ads",SUMIFS('ChatGPT data'!$I$3:$I$20000,'ChatGPT data'!$A$3:$A$20000,"&gt;="&amp;Q$3,'ChatGPT data'!$A$3:$A$20000,"&lt;="&amp;Q$4,'ChatGPT data'!$B$3:$B$20000,$A54),IF($B54="LinkedIn Ads",SUMIFS('LinkedIn data'!$I$3:$I$20000,'LinkedIn data'!$A$3:$A$20000,"&gt;="&amp;Q$3,'LinkedIn data'!$A$3:$A$20000,"&lt;="&amp;Q$4,'LinkedIn data'!$B$3:$B$20000,$A54),0)))))</f>
        <v>0</v>
      </c>
      <c r="R54" s="15" t="n">
        <f aca="false">IF($A54="","",SUM(F54:Q54))</f>
        <v>327.899649</v>
      </c>
      <c r="S54" s="37" t="n">
        <f aca="false">IF($A54="","",IF($B54="Meta",SUMIFS('Meta data'!$E$3:$E$20000,'Meta data'!$B$3:$B$20000,$A54),IF($B54="Google Ads",SUMIFS('Google data'!$E$3:$E$20000,'Google data'!$B$3:$B$20000,$A54),IF($B54="ChatGPT Ads",SUMIFS('ChatGPT data'!$E$3:$E$20000,'ChatGPT data'!$B$3:$B$20000,$A54),IF($B54="LinkedIn Ads",SUMIFS('LinkedIn data'!$E$3:$E$20000,'LinkedIn data'!$B$3:$B$20000,$A54),0)))))</f>
        <v>257</v>
      </c>
      <c r="T54" s="37" t="n">
        <f aca="false">IF($A54="","",IF($B54="Meta",SUMIFS('Meta data'!$F$3:$F$20000,'Meta data'!$B$3:$B$20000,$A54),IF($B54="Google Ads",SUMIFS('Google data'!$F$3:$F$20000,'Google data'!$B$3:$B$20000,$A54),IF($B54="ChatGPT Ads",SUMIFS('ChatGPT data'!$F$3:$F$20000,'ChatGPT data'!$B$3:$B$20000,$A54),IF($B54="LinkedIn Ads",SUMIFS('LinkedIn data'!$F$3:$F$20000,'LinkedIn data'!$B$3:$B$20000,$A54),0)))))</f>
        <v>5</v>
      </c>
      <c r="U54" s="38" t="n">
        <f aca="false">IF(OR($A54="",T54=0),"",R54/T54)</f>
        <v>65.5799298</v>
      </c>
    </row>
    <row r="55" customFormat="false" ht="15" hidden="false" customHeight="false" outlineLevel="0" collapsed="false">
      <c r="A55" s="58" t="s">
        <v>214</v>
      </c>
      <c r="B55" s="58" t="s">
        <v>20</v>
      </c>
      <c r="C55" s="58" t="s">
        <v>134</v>
      </c>
      <c r="D55" s="58" t="s">
        <v>124</v>
      </c>
      <c r="E55" s="58" t="s">
        <v>156</v>
      </c>
      <c r="F55" s="14" t="n">
        <f aca="false">IF($A55="","",IF($B55="Meta",SUMIFS('Meta data'!$I$3:$I$20000,'Meta data'!$A$3:$A$20000,"&gt;="&amp;F$3,'Meta data'!$A$3:$A$20000,"&lt;="&amp;F$4,'Meta data'!$B$3:$B$20000,$A55),IF($B55="Google Ads",SUMIFS('Google data'!$I$3:$I$20000,'Google data'!$A$3:$A$20000,"&gt;="&amp;F$3,'Google data'!$A$3:$A$20000,"&lt;="&amp;F$4,'Google data'!$B$3:$B$20000,$A55),IF($B55="ChatGPT Ads",SUMIFS('ChatGPT data'!$I$3:$I$20000,'ChatGPT data'!$A$3:$A$20000,"&gt;="&amp;F$3,'ChatGPT data'!$A$3:$A$20000,"&lt;="&amp;F$4,'ChatGPT data'!$B$3:$B$20000,$A55),IF($B55="LinkedIn Ads",SUMIFS('LinkedIn data'!$I$3:$I$20000,'LinkedIn data'!$A$3:$A$20000,"&gt;="&amp;F$3,'LinkedIn data'!$A$3:$A$20000,"&lt;="&amp;F$4,'LinkedIn data'!$B$3:$B$20000,$A55),0)))))</f>
        <v>311.044733</v>
      </c>
      <c r="G55" s="14" t="n">
        <f aca="false">IF($A55="","",IF($B55="Meta",SUMIFS('Meta data'!$I$3:$I$20000,'Meta data'!$A$3:$A$20000,"&gt;="&amp;G$3,'Meta data'!$A$3:$A$20000,"&lt;="&amp;G$4,'Meta data'!$B$3:$B$20000,$A55),IF($B55="Google Ads",SUMIFS('Google data'!$I$3:$I$20000,'Google data'!$A$3:$A$20000,"&gt;="&amp;G$3,'Google data'!$A$3:$A$20000,"&lt;="&amp;G$4,'Google data'!$B$3:$B$20000,$A55),IF($B55="ChatGPT Ads",SUMIFS('ChatGPT data'!$I$3:$I$20000,'ChatGPT data'!$A$3:$A$20000,"&gt;="&amp;G$3,'ChatGPT data'!$A$3:$A$20000,"&lt;="&amp;G$4,'ChatGPT data'!$B$3:$B$20000,$A55),IF($B55="LinkedIn Ads",SUMIFS('LinkedIn data'!$I$3:$I$20000,'LinkedIn data'!$A$3:$A$20000,"&gt;="&amp;G$3,'LinkedIn data'!$A$3:$A$20000,"&lt;="&amp;G$4,'LinkedIn data'!$B$3:$B$20000,$A55),0)))))</f>
        <v>0</v>
      </c>
      <c r="H55" s="14" t="n">
        <f aca="false">IF($A55="","",IF($B55="Meta",SUMIFS('Meta data'!$I$3:$I$20000,'Meta data'!$A$3:$A$20000,"&gt;="&amp;H$3,'Meta data'!$A$3:$A$20000,"&lt;="&amp;H$4,'Meta data'!$B$3:$B$20000,$A55),IF($B55="Google Ads",SUMIFS('Google data'!$I$3:$I$20000,'Google data'!$A$3:$A$20000,"&gt;="&amp;H$3,'Google data'!$A$3:$A$20000,"&lt;="&amp;H$4,'Google data'!$B$3:$B$20000,$A55),IF($B55="ChatGPT Ads",SUMIFS('ChatGPT data'!$I$3:$I$20000,'ChatGPT data'!$A$3:$A$20000,"&gt;="&amp;H$3,'ChatGPT data'!$A$3:$A$20000,"&lt;="&amp;H$4,'ChatGPT data'!$B$3:$B$20000,$A55),IF($B55="LinkedIn Ads",SUMIFS('LinkedIn data'!$I$3:$I$20000,'LinkedIn data'!$A$3:$A$20000,"&gt;="&amp;H$3,'LinkedIn data'!$A$3:$A$20000,"&lt;="&amp;H$4,'LinkedIn data'!$B$3:$B$20000,$A55),0)))))</f>
        <v>0</v>
      </c>
      <c r="I55" s="14" t="n">
        <f aca="false">IF($A55="","",IF($B55="Meta",SUMIFS('Meta data'!$I$3:$I$20000,'Meta data'!$A$3:$A$20000,"&gt;="&amp;I$3,'Meta data'!$A$3:$A$20000,"&lt;="&amp;I$4,'Meta data'!$B$3:$B$20000,$A55),IF($B55="Google Ads",SUMIFS('Google data'!$I$3:$I$20000,'Google data'!$A$3:$A$20000,"&gt;="&amp;I$3,'Google data'!$A$3:$A$20000,"&lt;="&amp;I$4,'Google data'!$B$3:$B$20000,$A55),IF($B55="ChatGPT Ads",SUMIFS('ChatGPT data'!$I$3:$I$20000,'ChatGPT data'!$A$3:$A$20000,"&gt;="&amp;I$3,'ChatGPT data'!$A$3:$A$20000,"&lt;="&amp;I$4,'ChatGPT data'!$B$3:$B$20000,$A55),IF($B55="LinkedIn Ads",SUMIFS('LinkedIn data'!$I$3:$I$20000,'LinkedIn data'!$A$3:$A$20000,"&gt;="&amp;I$3,'LinkedIn data'!$A$3:$A$20000,"&lt;="&amp;I$4,'LinkedIn data'!$B$3:$B$20000,$A55),0)))))</f>
        <v>0</v>
      </c>
      <c r="J55" s="14" t="n">
        <f aca="false">IF($A55="","",IF($B55="Meta",SUMIFS('Meta data'!$I$3:$I$20000,'Meta data'!$A$3:$A$20000,"&gt;="&amp;J$3,'Meta data'!$A$3:$A$20000,"&lt;="&amp;J$4,'Meta data'!$B$3:$B$20000,$A55),IF($B55="Google Ads",SUMIFS('Google data'!$I$3:$I$20000,'Google data'!$A$3:$A$20000,"&gt;="&amp;J$3,'Google data'!$A$3:$A$20000,"&lt;="&amp;J$4,'Google data'!$B$3:$B$20000,$A55),IF($B55="ChatGPT Ads",SUMIFS('ChatGPT data'!$I$3:$I$20000,'ChatGPT data'!$A$3:$A$20000,"&gt;="&amp;J$3,'ChatGPT data'!$A$3:$A$20000,"&lt;="&amp;J$4,'ChatGPT data'!$B$3:$B$20000,$A55),IF($B55="LinkedIn Ads",SUMIFS('LinkedIn data'!$I$3:$I$20000,'LinkedIn data'!$A$3:$A$20000,"&gt;="&amp;J$3,'LinkedIn data'!$A$3:$A$20000,"&lt;="&amp;J$4,'LinkedIn data'!$B$3:$B$20000,$A55),0)))))</f>
        <v>0</v>
      </c>
      <c r="K55" s="14" t="n">
        <f aca="false">IF($A55="","",IF($B55="Meta",SUMIFS('Meta data'!$I$3:$I$20000,'Meta data'!$A$3:$A$20000,"&gt;="&amp;K$3,'Meta data'!$A$3:$A$20000,"&lt;="&amp;K$4,'Meta data'!$B$3:$B$20000,$A55),IF($B55="Google Ads",SUMIFS('Google data'!$I$3:$I$20000,'Google data'!$A$3:$A$20000,"&gt;="&amp;K$3,'Google data'!$A$3:$A$20000,"&lt;="&amp;K$4,'Google data'!$B$3:$B$20000,$A55),IF($B55="ChatGPT Ads",SUMIFS('ChatGPT data'!$I$3:$I$20000,'ChatGPT data'!$A$3:$A$20000,"&gt;="&amp;K$3,'ChatGPT data'!$A$3:$A$20000,"&lt;="&amp;K$4,'ChatGPT data'!$B$3:$B$20000,$A55),IF($B55="LinkedIn Ads",SUMIFS('LinkedIn data'!$I$3:$I$20000,'LinkedIn data'!$A$3:$A$20000,"&gt;="&amp;K$3,'LinkedIn data'!$A$3:$A$20000,"&lt;="&amp;K$4,'LinkedIn data'!$B$3:$B$20000,$A55),0)))))</f>
        <v>0</v>
      </c>
      <c r="L55" s="14" t="n">
        <f aca="false">IF($A55="","",IF($B55="Meta",SUMIFS('Meta data'!$I$3:$I$20000,'Meta data'!$A$3:$A$20000,"&gt;="&amp;L$3,'Meta data'!$A$3:$A$20000,"&lt;="&amp;L$4,'Meta data'!$B$3:$B$20000,$A55),IF($B55="Google Ads",SUMIFS('Google data'!$I$3:$I$20000,'Google data'!$A$3:$A$20000,"&gt;="&amp;L$3,'Google data'!$A$3:$A$20000,"&lt;="&amp;L$4,'Google data'!$B$3:$B$20000,$A55),IF($B55="ChatGPT Ads",SUMIFS('ChatGPT data'!$I$3:$I$20000,'ChatGPT data'!$A$3:$A$20000,"&gt;="&amp;L$3,'ChatGPT data'!$A$3:$A$20000,"&lt;="&amp;L$4,'ChatGPT data'!$B$3:$B$20000,$A55),IF($B55="LinkedIn Ads",SUMIFS('LinkedIn data'!$I$3:$I$20000,'LinkedIn data'!$A$3:$A$20000,"&gt;="&amp;L$3,'LinkedIn data'!$A$3:$A$20000,"&lt;="&amp;L$4,'LinkedIn data'!$B$3:$B$20000,$A55),0)))))</f>
        <v>0</v>
      </c>
      <c r="M55" s="14" t="n">
        <f aca="false">IF($A55="","",IF($B55="Meta",SUMIFS('Meta data'!$I$3:$I$20000,'Meta data'!$A$3:$A$20000,"&gt;="&amp;M$3,'Meta data'!$A$3:$A$20000,"&lt;="&amp;M$4,'Meta data'!$B$3:$B$20000,$A55),IF($B55="Google Ads",SUMIFS('Google data'!$I$3:$I$20000,'Google data'!$A$3:$A$20000,"&gt;="&amp;M$3,'Google data'!$A$3:$A$20000,"&lt;="&amp;M$4,'Google data'!$B$3:$B$20000,$A55),IF($B55="ChatGPT Ads",SUMIFS('ChatGPT data'!$I$3:$I$20000,'ChatGPT data'!$A$3:$A$20000,"&gt;="&amp;M$3,'ChatGPT data'!$A$3:$A$20000,"&lt;="&amp;M$4,'ChatGPT data'!$B$3:$B$20000,$A55),IF($B55="LinkedIn Ads",SUMIFS('LinkedIn data'!$I$3:$I$20000,'LinkedIn data'!$A$3:$A$20000,"&gt;="&amp;M$3,'LinkedIn data'!$A$3:$A$20000,"&lt;="&amp;M$4,'LinkedIn data'!$B$3:$B$20000,$A55),0)))))</f>
        <v>0</v>
      </c>
      <c r="N55" s="14" t="n">
        <f aca="false">IF($A55="","",IF($B55="Meta",SUMIFS('Meta data'!$I$3:$I$20000,'Meta data'!$A$3:$A$20000,"&gt;="&amp;N$3,'Meta data'!$A$3:$A$20000,"&lt;="&amp;N$4,'Meta data'!$B$3:$B$20000,$A55),IF($B55="Google Ads",SUMIFS('Google data'!$I$3:$I$20000,'Google data'!$A$3:$A$20000,"&gt;="&amp;N$3,'Google data'!$A$3:$A$20000,"&lt;="&amp;N$4,'Google data'!$B$3:$B$20000,$A55),IF($B55="ChatGPT Ads",SUMIFS('ChatGPT data'!$I$3:$I$20000,'ChatGPT data'!$A$3:$A$20000,"&gt;="&amp;N$3,'ChatGPT data'!$A$3:$A$20000,"&lt;="&amp;N$4,'ChatGPT data'!$B$3:$B$20000,$A55),IF($B55="LinkedIn Ads",SUMIFS('LinkedIn data'!$I$3:$I$20000,'LinkedIn data'!$A$3:$A$20000,"&gt;="&amp;N$3,'LinkedIn data'!$A$3:$A$20000,"&lt;="&amp;N$4,'LinkedIn data'!$B$3:$B$20000,$A55),0)))))</f>
        <v>0</v>
      </c>
      <c r="O55" s="14" t="n">
        <f aca="false">IF($A55="","",IF($B55="Meta",SUMIFS('Meta data'!$I$3:$I$20000,'Meta data'!$A$3:$A$20000,"&gt;="&amp;O$3,'Meta data'!$A$3:$A$20000,"&lt;="&amp;O$4,'Meta data'!$B$3:$B$20000,$A55),IF($B55="Google Ads",SUMIFS('Google data'!$I$3:$I$20000,'Google data'!$A$3:$A$20000,"&gt;="&amp;O$3,'Google data'!$A$3:$A$20000,"&lt;="&amp;O$4,'Google data'!$B$3:$B$20000,$A55),IF($B55="ChatGPT Ads",SUMIFS('ChatGPT data'!$I$3:$I$20000,'ChatGPT data'!$A$3:$A$20000,"&gt;="&amp;O$3,'ChatGPT data'!$A$3:$A$20000,"&lt;="&amp;O$4,'ChatGPT data'!$B$3:$B$20000,$A55),IF($B55="LinkedIn Ads",SUMIFS('LinkedIn data'!$I$3:$I$20000,'LinkedIn data'!$A$3:$A$20000,"&gt;="&amp;O$3,'LinkedIn data'!$A$3:$A$20000,"&lt;="&amp;O$4,'LinkedIn data'!$B$3:$B$20000,$A55),0)))))</f>
        <v>0</v>
      </c>
      <c r="P55" s="14" t="n">
        <f aca="false">IF($A55="","",IF($B55="Meta",SUMIFS('Meta data'!$I$3:$I$20000,'Meta data'!$A$3:$A$20000,"&gt;="&amp;P$3,'Meta data'!$A$3:$A$20000,"&lt;="&amp;P$4,'Meta data'!$B$3:$B$20000,$A55),IF($B55="Google Ads",SUMIFS('Google data'!$I$3:$I$20000,'Google data'!$A$3:$A$20000,"&gt;="&amp;P$3,'Google data'!$A$3:$A$20000,"&lt;="&amp;P$4,'Google data'!$B$3:$B$20000,$A55),IF($B55="ChatGPT Ads",SUMIFS('ChatGPT data'!$I$3:$I$20000,'ChatGPT data'!$A$3:$A$20000,"&gt;="&amp;P$3,'ChatGPT data'!$A$3:$A$20000,"&lt;="&amp;P$4,'ChatGPT data'!$B$3:$B$20000,$A55),IF($B55="LinkedIn Ads",SUMIFS('LinkedIn data'!$I$3:$I$20000,'LinkedIn data'!$A$3:$A$20000,"&gt;="&amp;P$3,'LinkedIn data'!$A$3:$A$20000,"&lt;="&amp;P$4,'LinkedIn data'!$B$3:$B$20000,$A55),0)))))</f>
        <v>0</v>
      </c>
      <c r="Q55" s="14" t="n">
        <f aca="false">IF($A55="","",IF($B55="Meta",SUMIFS('Meta data'!$I$3:$I$20000,'Meta data'!$A$3:$A$20000,"&gt;="&amp;Q$3,'Meta data'!$A$3:$A$20000,"&lt;="&amp;Q$4,'Meta data'!$B$3:$B$20000,$A55),IF($B55="Google Ads",SUMIFS('Google data'!$I$3:$I$20000,'Google data'!$A$3:$A$20000,"&gt;="&amp;Q$3,'Google data'!$A$3:$A$20000,"&lt;="&amp;Q$4,'Google data'!$B$3:$B$20000,$A55),IF($B55="ChatGPT Ads",SUMIFS('ChatGPT data'!$I$3:$I$20000,'ChatGPT data'!$A$3:$A$20000,"&gt;="&amp;Q$3,'ChatGPT data'!$A$3:$A$20000,"&lt;="&amp;Q$4,'ChatGPT data'!$B$3:$B$20000,$A55),IF($B55="LinkedIn Ads",SUMIFS('LinkedIn data'!$I$3:$I$20000,'LinkedIn data'!$A$3:$A$20000,"&gt;="&amp;Q$3,'LinkedIn data'!$A$3:$A$20000,"&lt;="&amp;Q$4,'LinkedIn data'!$B$3:$B$20000,$A55),0)))))</f>
        <v>0</v>
      </c>
      <c r="R55" s="15" t="n">
        <f aca="false">IF($A55="","",SUM(F55:Q55))</f>
        <v>311.044733</v>
      </c>
      <c r="S55" s="37" t="n">
        <f aca="false">IF($A55="","",IF($B55="Meta",SUMIFS('Meta data'!$E$3:$E$20000,'Meta data'!$B$3:$B$20000,$A55),IF($B55="Google Ads",SUMIFS('Google data'!$E$3:$E$20000,'Google data'!$B$3:$B$20000,$A55),IF($B55="ChatGPT Ads",SUMIFS('ChatGPT data'!$E$3:$E$20000,'ChatGPT data'!$B$3:$B$20000,$A55),IF($B55="LinkedIn Ads",SUMIFS('LinkedIn data'!$E$3:$E$20000,'LinkedIn data'!$B$3:$B$20000,$A55),0)))))</f>
        <v>5423</v>
      </c>
      <c r="T55" s="37" t="n">
        <f aca="false">IF($A55="","",IF($B55="Meta",SUMIFS('Meta data'!$F$3:$F$20000,'Meta data'!$B$3:$B$20000,$A55),IF($B55="Google Ads",SUMIFS('Google data'!$F$3:$F$20000,'Google data'!$B$3:$B$20000,$A55),IF($B55="ChatGPT Ads",SUMIFS('ChatGPT data'!$F$3:$F$20000,'ChatGPT data'!$B$3:$B$20000,$A55),IF($B55="LinkedIn Ads",SUMIFS('LinkedIn data'!$F$3:$F$20000,'LinkedIn data'!$B$3:$B$20000,$A55),0)))))</f>
        <v>0</v>
      </c>
      <c r="U55" s="38" t="str">
        <f aca="false">IF(OR($A55="",T55=0),"",R55/T55)</f>
        <v/>
      </c>
    </row>
    <row r="56" customFormat="false" ht="15" hidden="false" customHeight="false" outlineLevel="0" collapsed="false">
      <c r="A56" s="58" t="s">
        <v>215</v>
      </c>
      <c r="B56" s="58" t="s">
        <v>20</v>
      </c>
      <c r="C56" s="58" t="s">
        <v>139</v>
      </c>
      <c r="D56" s="58" t="s">
        <v>124</v>
      </c>
      <c r="E56" s="58" t="s">
        <v>156</v>
      </c>
      <c r="F56" s="14" t="n">
        <f aca="false">IF($A56="","",IF($B56="Meta",SUMIFS('Meta data'!$I$3:$I$20000,'Meta data'!$A$3:$A$20000,"&gt;="&amp;F$3,'Meta data'!$A$3:$A$20000,"&lt;="&amp;F$4,'Meta data'!$B$3:$B$20000,$A56),IF($B56="Google Ads",SUMIFS('Google data'!$I$3:$I$20000,'Google data'!$A$3:$A$20000,"&gt;="&amp;F$3,'Google data'!$A$3:$A$20000,"&lt;="&amp;F$4,'Google data'!$B$3:$B$20000,$A56),IF($B56="ChatGPT Ads",SUMIFS('ChatGPT data'!$I$3:$I$20000,'ChatGPT data'!$A$3:$A$20000,"&gt;="&amp;F$3,'ChatGPT data'!$A$3:$A$20000,"&lt;="&amp;F$4,'ChatGPT data'!$B$3:$B$20000,$A56),IF($B56="LinkedIn Ads",SUMIFS('LinkedIn data'!$I$3:$I$20000,'LinkedIn data'!$A$3:$A$20000,"&gt;="&amp;F$3,'LinkedIn data'!$A$3:$A$20000,"&lt;="&amp;F$4,'LinkedIn data'!$B$3:$B$20000,$A56),0)))))</f>
        <v>0</v>
      </c>
      <c r="G56" s="14" t="n">
        <f aca="false">IF($A56="","",IF($B56="Meta",SUMIFS('Meta data'!$I$3:$I$20000,'Meta data'!$A$3:$A$20000,"&gt;="&amp;G$3,'Meta data'!$A$3:$A$20000,"&lt;="&amp;G$4,'Meta data'!$B$3:$B$20000,$A56),IF($B56="Google Ads",SUMIFS('Google data'!$I$3:$I$20000,'Google data'!$A$3:$A$20000,"&gt;="&amp;G$3,'Google data'!$A$3:$A$20000,"&lt;="&amp;G$4,'Google data'!$B$3:$B$20000,$A56),IF($B56="ChatGPT Ads",SUMIFS('ChatGPT data'!$I$3:$I$20000,'ChatGPT data'!$A$3:$A$20000,"&gt;="&amp;G$3,'ChatGPT data'!$A$3:$A$20000,"&lt;="&amp;G$4,'ChatGPT data'!$B$3:$B$20000,$A56),IF($B56="LinkedIn Ads",SUMIFS('LinkedIn data'!$I$3:$I$20000,'LinkedIn data'!$A$3:$A$20000,"&gt;="&amp;G$3,'LinkedIn data'!$A$3:$A$20000,"&lt;="&amp;G$4,'LinkedIn data'!$B$3:$B$20000,$A56),0)))))</f>
        <v>0</v>
      </c>
      <c r="H56" s="14" t="n">
        <f aca="false">IF($A56="","",IF($B56="Meta",SUMIFS('Meta data'!$I$3:$I$20000,'Meta data'!$A$3:$A$20000,"&gt;="&amp;H$3,'Meta data'!$A$3:$A$20000,"&lt;="&amp;H$4,'Meta data'!$B$3:$B$20000,$A56),IF($B56="Google Ads",SUMIFS('Google data'!$I$3:$I$20000,'Google data'!$A$3:$A$20000,"&gt;="&amp;H$3,'Google data'!$A$3:$A$20000,"&lt;="&amp;H$4,'Google data'!$B$3:$B$20000,$A56),IF($B56="ChatGPT Ads",SUMIFS('ChatGPT data'!$I$3:$I$20000,'ChatGPT data'!$A$3:$A$20000,"&gt;="&amp;H$3,'ChatGPT data'!$A$3:$A$20000,"&lt;="&amp;H$4,'ChatGPT data'!$B$3:$B$20000,$A56),IF($B56="LinkedIn Ads",SUMIFS('LinkedIn data'!$I$3:$I$20000,'LinkedIn data'!$A$3:$A$20000,"&gt;="&amp;H$3,'LinkedIn data'!$A$3:$A$20000,"&lt;="&amp;H$4,'LinkedIn data'!$B$3:$B$20000,$A56),0)))))</f>
        <v>308.876395</v>
      </c>
      <c r="I56" s="14" t="n">
        <f aca="false">IF($A56="","",IF($B56="Meta",SUMIFS('Meta data'!$I$3:$I$20000,'Meta data'!$A$3:$A$20000,"&gt;="&amp;I$3,'Meta data'!$A$3:$A$20000,"&lt;="&amp;I$4,'Meta data'!$B$3:$B$20000,$A56),IF($B56="Google Ads",SUMIFS('Google data'!$I$3:$I$20000,'Google data'!$A$3:$A$20000,"&gt;="&amp;I$3,'Google data'!$A$3:$A$20000,"&lt;="&amp;I$4,'Google data'!$B$3:$B$20000,$A56),IF($B56="ChatGPT Ads",SUMIFS('ChatGPT data'!$I$3:$I$20000,'ChatGPT data'!$A$3:$A$20000,"&gt;="&amp;I$3,'ChatGPT data'!$A$3:$A$20000,"&lt;="&amp;I$4,'ChatGPT data'!$B$3:$B$20000,$A56),IF($B56="LinkedIn Ads",SUMIFS('LinkedIn data'!$I$3:$I$20000,'LinkedIn data'!$A$3:$A$20000,"&gt;="&amp;I$3,'LinkedIn data'!$A$3:$A$20000,"&lt;="&amp;I$4,'LinkedIn data'!$B$3:$B$20000,$A56),0)))))</f>
        <v>0</v>
      </c>
      <c r="J56" s="14" t="n">
        <f aca="false">IF($A56="","",IF($B56="Meta",SUMIFS('Meta data'!$I$3:$I$20000,'Meta data'!$A$3:$A$20000,"&gt;="&amp;J$3,'Meta data'!$A$3:$A$20000,"&lt;="&amp;J$4,'Meta data'!$B$3:$B$20000,$A56),IF($B56="Google Ads",SUMIFS('Google data'!$I$3:$I$20000,'Google data'!$A$3:$A$20000,"&gt;="&amp;J$3,'Google data'!$A$3:$A$20000,"&lt;="&amp;J$4,'Google data'!$B$3:$B$20000,$A56),IF($B56="ChatGPT Ads",SUMIFS('ChatGPT data'!$I$3:$I$20000,'ChatGPT data'!$A$3:$A$20000,"&gt;="&amp;J$3,'ChatGPT data'!$A$3:$A$20000,"&lt;="&amp;J$4,'ChatGPT data'!$B$3:$B$20000,$A56),IF($B56="LinkedIn Ads",SUMIFS('LinkedIn data'!$I$3:$I$20000,'LinkedIn data'!$A$3:$A$20000,"&gt;="&amp;J$3,'LinkedIn data'!$A$3:$A$20000,"&lt;="&amp;J$4,'LinkedIn data'!$B$3:$B$20000,$A56),0)))))</f>
        <v>0</v>
      </c>
      <c r="K56" s="14" t="n">
        <f aca="false">IF($A56="","",IF($B56="Meta",SUMIFS('Meta data'!$I$3:$I$20000,'Meta data'!$A$3:$A$20000,"&gt;="&amp;K$3,'Meta data'!$A$3:$A$20000,"&lt;="&amp;K$4,'Meta data'!$B$3:$B$20000,$A56),IF($B56="Google Ads",SUMIFS('Google data'!$I$3:$I$20000,'Google data'!$A$3:$A$20000,"&gt;="&amp;K$3,'Google data'!$A$3:$A$20000,"&lt;="&amp;K$4,'Google data'!$B$3:$B$20000,$A56),IF($B56="ChatGPT Ads",SUMIFS('ChatGPT data'!$I$3:$I$20000,'ChatGPT data'!$A$3:$A$20000,"&gt;="&amp;K$3,'ChatGPT data'!$A$3:$A$20000,"&lt;="&amp;K$4,'ChatGPT data'!$B$3:$B$20000,$A56),IF($B56="LinkedIn Ads",SUMIFS('LinkedIn data'!$I$3:$I$20000,'LinkedIn data'!$A$3:$A$20000,"&gt;="&amp;K$3,'LinkedIn data'!$A$3:$A$20000,"&lt;="&amp;K$4,'LinkedIn data'!$B$3:$B$20000,$A56),0)))))</f>
        <v>0</v>
      </c>
      <c r="L56" s="14" t="n">
        <f aca="false">IF($A56="","",IF($B56="Meta",SUMIFS('Meta data'!$I$3:$I$20000,'Meta data'!$A$3:$A$20000,"&gt;="&amp;L$3,'Meta data'!$A$3:$A$20000,"&lt;="&amp;L$4,'Meta data'!$B$3:$B$20000,$A56),IF($B56="Google Ads",SUMIFS('Google data'!$I$3:$I$20000,'Google data'!$A$3:$A$20000,"&gt;="&amp;L$3,'Google data'!$A$3:$A$20000,"&lt;="&amp;L$4,'Google data'!$B$3:$B$20000,$A56),IF($B56="ChatGPT Ads",SUMIFS('ChatGPT data'!$I$3:$I$20000,'ChatGPT data'!$A$3:$A$20000,"&gt;="&amp;L$3,'ChatGPT data'!$A$3:$A$20000,"&lt;="&amp;L$4,'ChatGPT data'!$B$3:$B$20000,$A56),IF($B56="LinkedIn Ads",SUMIFS('LinkedIn data'!$I$3:$I$20000,'LinkedIn data'!$A$3:$A$20000,"&gt;="&amp;L$3,'LinkedIn data'!$A$3:$A$20000,"&lt;="&amp;L$4,'LinkedIn data'!$B$3:$B$20000,$A56),0)))))</f>
        <v>0</v>
      </c>
      <c r="M56" s="14" t="n">
        <f aca="false">IF($A56="","",IF($B56="Meta",SUMIFS('Meta data'!$I$3:$I$20000,'Meta data'!$A$3:$A$20000,"&gt;="&amp;M$3,'Meta data'!$A$3:$A$20000,"&lt;="&amp;M$4,'Meta data'!$B$3:$B$20000,$A56),IF($B56="Google Ads",SUMIFS('Google data'!$I$3:$I$20000,'Google data'!$A$3:$A$20000,"&gt;="&amp;M$3,'Google data'!$A$3:$A$20000,"&lt;="&amp;M$4,'Google data'!$B$3:$B$20000,$A56),IF($B56="ChatGPT Ads",SUMIFS('ChatGPT data'!$I$3:$I$20000,'ChatGPT data'!$A$3:$A$20000,"&gt;="&amp;M$3,'ChatGPT data'!$A$3:$A$20000,"&lt;="&amp;M$4,'ChatGPT data'!$B$3:$B$20000,$A56),IF($B56="LinkedIn Ads",SUMIFS('LinkedIn data'!$I$3:$I$20000,'LinkedIn data'!$A$3:$A$20000,"&gt;="&amp;M$3,'LinkedIn data'!$A$3:$A$20000,"&lt;="&amp;M$4,'LinkedIn data'!$B$3:$B$20000,$A56),0)))))</f>
        <v>0</v>
      </c>
      <c r="N56" s="14" t="n">
        <f aca="false">IF($A56="","",IF($B56="Meta",SUMIFS('Meta data'!$I$3:$I$20000,'Meta data'!$A$3:$A$20000,"&gt;="&amp;N$3,'Meta data'!$A$3:$A$20000,"&lt;="&amp;N$4,'Meta data'!$B$3:$B$20000,$A56),IF($B56="Google Ads",SUMIFS('Google data'!$I$3:$I$20000,'Google data'!$A$3:$A$20000,"&gt;="&amp;N$3,'Google data'!$A$3:$A$20000,"&lt;="&amp;N$4,'Google data'!$B$3:$B$20000,$A56),IF($B56="ChatGPT Ads",SUMIFS('ChatGPT data'!$I$3:$I$20000,'ChatGPT data'!$A$3:$A$20000,"&gt;="&amp;N$3,'ChatGPT data'!$A$3:$A$20000,"&lt;="&amp;N$4,'ChatGPT data'!$B$3:$B$20000,$A56),IF($B56="LinkedIn Ads",SUMIFS('LinkedIn data'!$I$3:$I$20000,'LinkedIn data'!$A$3:$A$20000,"&gt;="&amp;N$3,'LinkedIn data'!$A$3:$A$20000,"&lt;="&amp;N$4,'LinkedIn data'!$B$3:$B$20000,$A56),0)))))</f>
        <v>0</v>
      </c>
      <c r="O56" s="14" t="n">
        <f aca="false">IF($A56="","",IF($B56="Meta",SUMIFS('Meta data'!$I$3:$I$20000,'Meta data'!$A$3:$A$20000,"&gt;="&amp;O$3,'Meta data'!$A$3:$A$20000,"&lt;="&amp;O$4,'Meta data'!$B$3:$B$20000,$A56),IF($B56="Google Ads",SUMIFS('Google data'!$I$3:$I$20000,'Google data'!$A$3:$A$20000,"&gt;="&amp;O$3,'Google data'!$A$3:$A$20000,"&lt;="&amp;O$4,'Google data'!$B$3:$B$20000,$A56),IF($B56="ChatGPT Ads",SUMIFS('ChatGPT data'!$I$3:$I$20000,'ChatGPT data'!$A$3:$A$20000,"&gt;="&amp;O$3,'ChatGPT data'!$A$3:$A$20000,"&lt;="&amp;O$4,'ChatGPT data'!$B$3:$B$20000,$A56),IF($B56="LinkedIn Ads",SUMIFS('LinkedIn data'!$I$3:$I$20000,'LinkedIn data'!$A$3:$A$20000,"&gt;="&amp;O$3,'LinkedIn data'!$A$3:$A$20000,"&lt;="&amp;O$4,'LinkedIn data'!$B$3:$B$20000,$A56),0)))))</f>
        <v>0</v>
      </c>
      <c r="P56" s="14" t="n">
        <f aca="false">IF($A56="","",IF($B56="Meta",SUMIFS('Meta data'!$I$3:$I$20000,'Meta data'!$A$3:$A$20000,"&gt;="&amp;P$3,'Meta data'!$A$3:$A$20000,"&lt;="&amp;P$4,'Meta data'!$B$3:$B$20000,$A56),IF($B56="Google Ads",SUMIFS('Google data'!$I$3:$I$20000,'Google data'!$A$3:$A$20000,"&gt;="&amp;P$3,'Google data'!$A$3:$A$20000,"&lt;="&amp;P$4,'Google data'!$B$3:$B$20000,$A56),IF($B56="ChatGPT Ads",SUMIFS('ChatGPT data'!$I$3:$I$20000,'ChatGPT data'!$A$3:$A$20000,"&gt;="&amp;P$3,'ChatGPT data'!$A$3:$A$20000,"&lt;="&amp;P$4,'ChatGPT data'!$B$3:$B$20000,$A56),IF($B56="LinkedIn Ads",SUMIFS('LinkedIn data'!$I$3:$I$20000,'LinkedIn data'!$A$3:$A$20000,"&gt;="&amp;P$3,'LinkedIn data'!$A$3:$A$20000,"&lt;="&amp;P$4,'LinkedIn data'!$B$3:$B$20000,$A56),0)))))</f>
        <v>0</v>
      </c>
      <c r="Q56" s="14" t="n">
        <f aca="false">IF($A56="","",IF($B56="Meta",SUMIFS('Meta data'!$I$3:$I$20000,'Meta data'!$A$3:$A$20000,"&gt;="&amp;Q$3,'Meta data'!$A$3:$A$20000,"&lt;="&amp;Q$4,'Meta data'!$B$3:$B$20000,$A56),IF($B56="Google Ads",SUMIFS('Google data'!$I$3:$I$20000,'Google data'!$A$3:$A$20000,"&gt;="&amp;Q$3,'Google data'!$A$3:$A$20000,"&lt;="&amp;Q$4,'Google data'!$B$3:$B$20000,$A56),IF($B56="ChatGPT Ads",SUMIFS('ChatGPT data'!$I$3:$I$20000,'ChatGPT data'!$A$3:$A$20000,"&gt;="&amp;Q$3,'ChatGPT data'!$A$3:$A$20000,"&lt;="&amp;Q$4,'ChatGPT data'!$B$3:$B$20000,$A56),IF($B56="LinkedIn Ads",SUMIFS('LinkedIn data'!$I$3:$I$20000,'LinkedIn data'!$A$3:$A$20000,"&gt;="&amp;Q$3,'LinkedIn data'!$A$3:$A$20000,"&lt;="&amp;Q$4,'LinkedIn data'!$B$3:$B$20000,$A56),0)))))</f>
        <v>0</v>
      </c>
      <c r="R56" s="15" t="n">
        <f aca="false">IF($A56="","",SUM(F56:Q56))</f>
        <v>308.876395</v>
      </c>
      <c r="S56" s="37" t="n">
        <f aca="false">IF($A56="","",IF($B56="Meta",SUMIFS('Meta data'!$E$3:$E$20000,'Meta data'!$B$3:$B$20000,$A56),IF($B56="Google Ads",SUMIFS('Google data'!$E$3:$E$20000,'Google data'!$B$3:$B$20000,$A56),IF($B56="ChatGPT Ads",SUMIFS('ChatGPT data'!$E$3:$E$20000,'ChatGPT data'!$B$3:$B$20000,$A56),IF($B56="LinkedIn Ads",SUMIFS('LinkedIn data'!$E$3:$E$20000,'LinkedIn data'!$B$3:$B$20000,$A56),0)))))</f>
        <v>68</v>
      </c>
      <c r="T56" s="37" t="n">
        <f aca="false">IF($A56="","",IF($B56="Meta",SUMIFS('Meta data'!$F$3:$F$20000,'Meta data'!$B$3:$B$20000,$A56),IF($B56="Google Ads",SUMIFS('Google data'!$F$3:$F$20000,'Google data'!$B$3:$B$20000,$A56),IF($B56="ChatGPT Ads",SUMIFS('ChatGPT data'!$F$3:$F$20000,'ChatGPT data'!$B$3:$B$20000,$A56),IF($B56="LinkedIn Ads",SUMIFS('LinkedIn data'!$F$3:$F$20000,'LinkedIn data'!$B$3:$B$20000,$A56),0)))))</f>
        <v>0</v>
      </c>
      <c r="U56" s="38" t="str">
        <f aca="false">IF(OR($A56="",T56=0),"",R56/T56)</f>
        <v/>
      </c>
    </row>
    <row r="57" customFormat="false" ht="15" hidden="false" customHeight="false" outlineLevel="0" collapsed="false">
      <c r="A57" s="58" t="s">
        <v>216</v>
      </c>
      <c r="B57" s="58" t="s">
        <v>20</v>
      </c>
      <c r="C57" s="58" t="s">
        <v>134</v>
      </c>
      <c r="D57" s="58" t="s">
        <v>124</v>
      </c>
      <c r="E57" s="58" t="s">
        <v>156</v>
      </c>
      <c r="F57" s="14" t="n">
        <f aca="false">IF($A57="","",IF($B57="Meta",SUMIFS('Meta data'!$I$3:$I$20000,'Meta data'!$A$3:$A$20000,"&gt;="&amp;F$3,'Meta data'!$A$3:$A$20000,"&lt;="&amp;F$4,'Meta data'!$B$3:$B$20000,$A57),IF($B57="Google Ads",SUMIFS('Google data'!$I$3:$I$20000,'Google data'!$A$3:$A$20000,"&gt;="&amp;F$3,'Google data'!$A$3:$A$20000,"&lt;="&amp;F$4,'Google data'!$B$3:$B$20000,$A57),IF($B57="ChatGPT Ads",SUMIFS('ChatGPT data'!$I$3:$I$20000,'ChatGPT data'!$A$3:$A$20000,"&gt;="&amp;F$3,'ChatGPT data'!$A$3:$A$20000,"&lt;="&amp;F$4,'ChatGPT data'!$B$3:$B$20000,$A57),IF($B57="LinkedIn Ads",SUMIFS('LinkedIn data'!$I$3:$I$20000,'LinkedIn data'!$A$3:$A$20000,"&gt;="&amp;F$3,'LinkedIn data'!$A$3:$A$20000,"&lt;="&amp;F$4,'LinkedIn data'!$B$3:$B$20000,$A57),0)))))</f>
        <v>306.115676</v>
      </c>
      <c r="G57" s="14" t="n">
        <f aca="false">IF($A57="","",IF($B57="Meta",SUMIFS('Meta data'!$I$3:$I$20000,'Meta data'!$A$3:$A$20000,"&gt;="&amp;G$3,'Meta data'!$A$3:$A$20000,"&lt;="&amp;G$4,'Meta data'!$B$3:$B$20000,$A57),IF($B57="Google Ads",SUMIFS('Google data'!$I$3:$I$20000,'Google data'!$A$3:$A$20000,"&gt;="&amp;G$3,'Google data'!$A$3:$A$20000,"&lt;="&amp;G$4,'Google data'!$B$3:$B$20000,$A57),IF($B57="ChatGPT Ads",SUMIFS('ChatGPT data'!$I$3:$I$20000,'ChatGPT data'!$A$3:$A$20000,"&gt;="&amp;G$3,'ChatGPT data'!$A$3:$A$20000,"&lt;="&amp;G$4,'ChatGPT data'!$B$3:$B$20000,$A57),IF($B57="LinkedIn Ads",SUMIFS('LinkedIn data'!$I$3:$I$20000,'LinkedIn data'!$A$3:$A$20000,"&gt;="&amp;G$3,'LinkedIn data'!$A$3:$A$20000,"&lt;="&amp;G$4,'LinkedIn data'!$B$3:$B$20000,$A57),0)))))</f>
        <v>0</v>
      </c>
      <c r="H57" s="14" t="n">
        <f aca="false">IF($A57="","",IF($B57="Meta",SUMIFS('Meta data'!$I$3:$I$20000,'Meta data'!$A$3:$A$20000,"&gt;="&amp;H$3,'Meta data'!$A$3:$A$20000,"&lt;="&amp;H$4,'Meta data'!$B$3:$B$20000,$A57),IF($B57="Google Ads",SUMIFS('Google data'!$I$3:$I$20000,'Google data'!$A$3:$A$20000,"&gt;="&amp;H$3,'Google data'!$A$3:$A$20000,"&lt;="&amp;H$4,'Google data'!$B$3:$B$20000,$A57),IF($B57="ChatGPT Ads",SUMIFS('ChatGPT data'!$I$3:$I$20000,'ChatGPT data'!$A$3:$A$20000,"&gt;="&amp;H$3,'ChatGPT data'!$A$3:$A$20000,"&lt;="&amp;H$4,'ChatGPT data'!$B$3:$B$20000,$A57),IF($B57="LinkedIn Ads",SUMIFS('LinkedIn data'!$I$3:$I$20000,'LinkedIn data'!$A$3:$A$20000,"&gt;="&amp;H$3,'LinkedIn data'!$A$3:$A$20000,"&lt;="&amp;H$4,'LinkedIn data'!$B$3:$B$20000,$A57),0)))))</f>
        <v>0</v>
      </c>
      <c r="I57" s="14" t="n">
        <f aca="false">IF($A57="","",IF($B57="Meta",SUMIFS('Meta data'!$I$3:$I$20000,'Meta data'!$A$3:$A$20000,"&gt;="&amp;I$3,'Meta data'!$A$3:$A$20000,"&lt;="&amp;I$4,'Meta data'!$B$3:$B$20000,$A57),IF($B57="Google Ads",SUMIFS('Google data'!$I$3:$I$20000,'Google data'!$A$3:$A$20000,"&gt;="&amp;I$3,'Google data'!$A$3:$A$20000,"&lt;="&amp;I$4,'Google data'!$B$3:$B$20000,$A57),IF($B57="ChatGPT Ads",SUMIFS('ChatGPT data'!$I$3:$I$20000,'ChatGPT data'!$A$3:$A$20000,"&gt;="&amp;I$3,'ChatGPT data'!$A$3:$A$20000,"&lt;="&amp;I$4,'ChatGPT data'!$B$3:$B$20000,$A57),IF($B57="LinkedIn Ads",SUMIFS('LinkedIn data'!$I$3:$I$20000,'LinkedIn data'!$A$3:$A$20000,"&gt;="&amp;I$3,'LinkedIn data'!$A$3:$A$20000,"&lt;="&amp;I$4,'LinkedIn data'!$B$3:$B$20000,$A57),0)))))</f>
        <v>0</v>
      </c>
      <c r="J57" s="14" t="n">
        <f aca="false">IF($A57="","",IF($B57="Meta",SUMIFS('Meta data'!$I$3:$I$20000,'Meta data'!$A$3:$A$20000,"&gt;="&amp;J$3,'Meta data'!$A$3:$A$20000,"&lt;="&amp;J$4,'Meta data'!$B$3:$B$20000,$A57),IF($B57="Google Ads",SUMIFS('Google data'!$I$3:$I$20000,'Google data'!$A$3:$A$20000,"&gt;="&amp;J$3,'Google data'!$A$3:$A$20000,"&lt;="&amp;J$4,'Google data'!$B$3:$B$20000,$A57),IF($B57="ChatGPT Ads",SUMIFS('ChatGPT data'!$I$3:$I$20000,'ChatGPT data'!$A$3:$A$20000,"&gt;="&amp;J$3,'ChatGPT data'!$A$3:$A$20000,"&lt;="&amp;J$4,'ChatGPT data'!$B$3:$B$20000,$A57),IF($B57="LinkedIn Ads",SUMIFS('LinkedIn data'!$I$3:$I$20000,'LinkedIn data'!$A$3:$A$20000,"&gt;="&amp;J$3,'LinkedIn data'!$A$3:$A$20000,"&lt;="&amp;J$4,'LinkedIn data'!$B$3:$B$20000,$A57),0)))))</f>
        <v>0</v>
      </c>
      <c r="K57" s="14" t="n">
        <f aca="false">IF($A57="","",IF($B57="Meta",SUMIFS('Meta data'!$I$3:$I$20000,'Meta data'!$A$3:$A$20000,"&gt;="&amp;K$3,'Meta data'!$A$3:$A$20000,"&lt;="&amp;K$4,'Meta data'!$B$3:$B$20000,$A57),IF($B57="Google Ads",SUMIFS('Google data'!$I$3:$I$20000,'Google data'!$A$3:$A$20000,"&gt;="&amp;K$3,'Google data'!$A$3:$A$20000,"&lt;="&amp;K$4,'Google data'!$B$3:$B$20000,$A57),IF($B57="ChatGPT Ads",SUMIFS('ChatGPT data'!$I$3:$I$20000,'ChatGPT data'!$A$3:$A$20000,"&gt;="&amp;K$3,'ChatGPT data'!$A$3:$A$20000,"&lt;="&amp;K$4,'ChatGPT data'!$B$3:$B$20000,$A57),IF($B57="LinkedIn Ads",SUMIFS('LinkedIn data'!$I$3:$I$20000,'LinkedIn data'!$A$3:$A$20000,"&gt;="&amp;K$3,'LinkedIn data'!$A$3:$A$20000,"&lt;="&amp;K$4,'LinkedIn data'!$B$3:$B$20000,$A57),0)))))</f>
        <v>0</v>
      </c>
      <c r="L57" s="14" t="n">
        <f aca="false">IF($A57="","",IF($B57="Meta",SUMIFS('Meta data'!$I$3:$I$20000,'Meta data'!$A$3:$A$20000,"&gt;="&amp;L$3,'Meta data'!$A$3:$A$20000,"&lt;="&amp;L$4,'Meta data'!$B$3:$B$20000,$A57),IF($B57="Google Ads",SUMIFS('Google data'!$I$3:$I$20000,'Google data'!$A$3:$A$20000,"&gt;="&amp;L$3,'Google data'!$A$3:$A$20000,"&lt;="&amp;L$4,'Google data'!$B$3:$B$20000,$A57),IF($B57="ChatGPT Ads",SUMIFS('ChatGPT data'!$I$3:$I$20000,'ChatGPT data'!$A$3:$A$20000,"&gt;="&amp;L$3,'ChatGPT data'!$A$3:$A$20000,"&lt;="&amp;L$4,'ChatGPT data'!$B$3:$B$20000,$A57),IF($B57="LinkedIn Ads",SUMIFS('LinkedIn data'!$I$3:$I$20000,'LinkedIn data'!$A$3:$A$20000,"&gt;="&amp;L$3,'LinkedIn data'!$A$3:$A$20000,"&lt;="&amp;L$4,'LinkedIn data'!$B$3:$B$20000,$A57),0)))))</f>
        <v>0</v>
      </c>
      <c r="M57" s="14" t="n">
        <f aca="false">IF($A57="","",IF($B57="Meta",SUMIFS('Meta data'!$I$3:$I$20000,'Meta data'!$A$3:$A$20000,"&gt;="&amp;M$3,'Meta data'!$A$3:$A$20000,"&lt;="&amp;M$4,'Meta data'!$B$3:$B$20000,$A57),IF($B57="Google Ads",SUMIFS('Google data'!$I$3:$I$20000,'Google data'!$A$3:$A$20000,"&gt;="&amp;M$3,'Google data'!$A$3:$A$20000,"&lt;="&amp;M$4,'Google data'!$B$3:$B$20000,$A57),IF($B57="ChatGPT Ads",SUMIFS('ChatGPT data'!$I$3:$I$20000,'ChatGPT data'!$A$3:$A$20000,"&gt;="&amp;M$3,'ChatGPT data'!$A$3:$A$20000,"&lt;="&amp;M$4,'ChatGPT data'!$B$3:$B$20000,$A57),IF($B57="LinkedIn Ads",SUMIFS('LinkedIn data'!$I$3:$I$20000,'LinkedIn data'!$A$3:$A$20000,"&gt;="&amp;M$3,'LinkedIn data'!$A$3:$A$20000,"&lt;="&amp;M$4,'LinkedIn data'!$B$3:$B$20000,$A57),0)))))</f>
        <v>0</v>
      </c>
      <c r="N57" s="14" t="n">
        <f aca="false">IF($A57="","",IF($B57="Meta",SUMIFS('Meta data'!$I$3:$I$20000,'Meta data'!$A$3:$A$20000,"&gt;="&amp;N$3,'Meta data'!$A$3:$A$20000,"&lt;="&amp;N$4,'Meta data'!$B$3:$B$20000,$A57),IF($B57="Google Ads",SUMIFS('Google data'!$I$3:$I$20000,'Google data'!$A$3:$A$20000,"&gt;="&amp;N$3,'Google data'!$A$3:$A$20000,"&lt;="&amp;N$4,'Google data'!$B$3:$B$20000,$A57),IF($B57="ChatGPT Ads",SUMIFS('ChatGPT data'!$I$3:$I$20000,'ChatGPT data'!$A$3:$A$20000,"&gt;="&amp;N$3,'ChatGPT data'!$A$3:$A$20000,"&lt;="&amp;N$4,'ChatGPT data'!$B$3:$B$20000,$A57),IF($B57="LinkedIn Ads",SUMIFS('LinkedIn data'!$I$3:$I$20000,'LinkedIn data'!$A$3:$A$20000,"&gt;="&amp;N$3,'LinkedIn data'!$A$3:$A$20000,"&lt;="&amp;N$4,'LinkedIn data'!$B$3:$B$20000,$A57),0)))))</f>
        <v>0</v>
      </c>
      <c r="O57" s="14" t="n">
        <f aca="false">IF($A57="","",IF($B57="Meta",SUMIFS('Meta data'!$I$3:$I$20000,'Meta data'!$A$3:$A$20000,"&gt;="&amp;O$3,'Meta data'!$A$3:$A$20000,"&lt;="&amp;O$4,'Meta data'!$B$3:$B$20000,$A57),IF($B57="Google Ads",SUMIFS('Google data'!$I$3:$I$20000,'Google data'!$A$3:$A$20000,"&gt;="&amp;O$3,'Google data'!$A$3:$A$20000,"&lt;="&amp;O$4,'Google data'!$B$3:$B$20000,$A57),IF($B57="ChatGPT Ads",SUMIFS('ChatGPT data'!$I$3:$I$20000,'ChatGPT data'!$A$3:$A$20000,"&gt;="&amp;O$3,'ChatGPT data'!$A$3:$A$20000,"&lt;="&amp;O$4,'ChatGPT data'!$B$3:$B$20000,$A57),IF($B57="LinkedIn Ads",SUMIFS('LinkedIn data'!$I$3:$I$20000,'LinkedIn data'!$A$3:$A$20000,"&gt;="&amp;O$3,'LinkedIn data'!$A$3:$A$20000,"&lt;="&amp;O$4,'LinkedIn data'!$B$3:$B$20000,$A57),0)))))</f>
        <v>0</v>
      </c>
      <c r="P57" s="14" t="n">
        <f aca="false">IF($A57="","",IF($B57="Meta",SUMIFS('Meta data'!$I$3:$I$20000,'Meta data'!$A$3:$A$20000,"&gt;="&amp;P$3,'Meta data'!$A$3:$A$20000,"&lt;="&amp;P$4,'Meta data'!$B$3:$B$20000,$A57),IF($B57="Google Ads",SUMIFS('Google data'!$I$3:$I$20000,'Google data'!$A$3:$A$20000,"&gt;="&amp;P$3,'Google data'!$A$3:$A$20000,"&lt;="&amp;P$4,'Google data'!$B$3:$B$20000,$A57),IF($B57="ChatGPT Ads",SUMIFS('ChatGPT data'!$I$3:$I$20000,'ChatGPT data'!$A$3:$A$20000,"&gt;="&amp;P$3,'ChatGPT data'!$A$3:$A$20000,"&lt;="&amp;P$4,'ChatGPT data'!$B$3:$B$20000,$A57),IF($B57="LinkedIn Ads",SUMIFS('LinkedIn data'!$I$3:$I$20000,'LinkedIn data'!$A$3:$A$20000,"&gt;="&amp;P$3,'LinkedIn data'!$A$3:$A$20000,"&lt;="&amp;P$4,'LinkedIn data'!$B$3:$B$20000,$A57),0)))))</f>
        <v>0</v>
      </c>
      <c r="Q57" s="14" t="n">
        <f aca="false">IF($A57="","",IF($B57="Meta",SUMIFS('Meta data'!$I$3:$I$20000,'Meta data'!$A$3:$A$20000,"&gt;="&amp;Q$3,'Meta data'!$A$3:$A$20000,"&lt;="&amp;Q$4,'Meta data'!$B$3:$B$20000,$A57),IF($B57="Google Ads",SUMIFS('Google data'!$I$3:$I$20000,'Google data'!$A$3:$A$20000,"&gt;="&amp;Q$3,'Google data'!$A$3:$A$20000,"&lt;="&amp;Q$4,'Google data'!$B$3:$B$20000,$A57),IF($B57="ChatGPT Ads",SUMIFS('ChatGPT data'!$I$3:$I$20000,'ChatGPT data'!$A$3:$A$20000,"&gt;="&amp;Q$3,'ChatGPT data'!$A$3:$A$20000,"&lt;="&amp;Q$4,'ChatGPT data'!$B$3:$B$20000,$A57),IF($B57="LinkedIn Ads",SUMIFS('LinkedIn data'!$I$3:$I$20000,'LinkedIn data'!$A$3:$A$20000,"&gt;="&amp;Q$3,'LinkedIn data'!$A$3:$A$20000,"&lt;="&amp;Q$4,'LinkedIn data'!$B$3:$B$20000,$A57),0)))))</f>
        <v>0</v>
      </c>
      <c r="R57" s="15" t="n">
        <f aca="false">IF($A57="","",SUM(F57:Q57))</f>
        <v>306.115676</v>
      </c>
      <c r="S57" s="37" t="n">
        <f aca="false">IF($A57="","",IF($B57="Meta",SUMIFS('Meta data'!$E$3:$E$20000,'Meta data'!$B$3:$B$20000,$A57),IF($B57="Google Ads",SUMIFS('Google data'!$E$3:$E$20000,'Google data'!$B$3:$B$20000,$A57),IF($B57="ChatGPT Ads",SUMIFS('ChatGPT data'!$E$3:$E$20000,'ChatGPT data'!$B$3:$B$20000,$A57),IF($B57="LinkedIn Ads",SUMIFS('LinkedIn data'!$E$3:$E$20000,'LinkedIn data'!$B$3:$B$20000,$A57),0)))))</f>
        <v>6214</v>
      </c>
      <c r="T57" s="37" t="n">
        <f aca="false">IF($A57="","",IF($B57="Meta",SUMIFS('Meta data'!$F$3:$F$20000,'Meta data'!$B$3:$B$20000,$A57),IF($B57="Google Ads",SUMIFS('Google data'!$F$3:$F$20000,'Google data'!$B$3:$B$20000,$A57),IF($B57="ChatGPT Ads",SUMIFS('ChatGPT data'!$F$3:$F$20000,'ChatGPT data'!$B$3:$B$20000,$A57),IF($B57="LinkedIn Ads",SUMIFS('LinkedIn data'!$F$3:$F$20000,'LinkedIn data'!$B$3:$B$20000,$A57),0)))))</f>
        <v>0</v>
      </c>
      <c r="U57" s="38" t="str">
        <f aca="false">IF(OR($A57="",T57=0),"",R57/T57)</f>
        <v/>
      </c>
    </row>
    <row r="58" customFormat="false" ht="15" hidden="false" customHeight="false" outlineLevel="0" collapsed="false">
      <c r="A58" s="58" t="s">
        <v>217</v>
      </c>
      <c r="B58" s="58" t="s">
        <v>20</v>
      </c>
      <c r="C58" s="58" t="s">
        <v>130</v>
      </c>
      <c r="D58" s="58" t="s">
        <v>123</v>
      </c>
      <c r="E58" s="58" t="s">
        <v>156</v>
      </c>
      <c r="F58" s="14" t="n">
        <f aca="false">IF($A58="","",IF($B58="Meta",SUMIFS('Meta data'!$I$3:$I$20000,'Meta data'!$A$3:$A$20000,"&gt;="&amp;F$3,'Meta data'!$A$3:$A$20000,"&lt;="&amp;F$4,'Meta data'!$B$3:$B$20000,$A58),IF($B58="Google Ads",SUMIFS('Google data'!$I$3:$I$20000,'Google data'!$A$3:$A$20000,"&gt;="&amp;F$3,'Google data'!$A$3:$A$20000,"&lt;="&amp;F$4,'Google data'!$B$3:$B$20000,$A58),IF($B58="ChatGPT Ads",SUMIFS('ChatGPT data'!$I$3:$I$20000,'ChatGPT data'!$A$3:$A$20000,"&gt;="&amp;F$3,'ChatGPT data'!$A$3:$A$20000,"&lt;="&amp;F$4,'ChatGPT data'!$B$3:$B$20000,$A58),IF($B58="LinkedIn Ads",SUMIFS('LinkedIn data'!$I$3:$I$20000,'LinkedIn data'!$A$3:$A$20000,"&gt;="&amp;F$3,'LinkedIn data'!$A$3:$A$20000,"&lt;="&amp;F$4,'LinkedIn data'!$B$3:$B$20000,$A58),0)))))</f>
        <v>278.810265</v>
      </c>
      <c r="G58" s="14" t="n">
        <f aca="false">IF($A58="","",IF($B58="Meta",SUMIFS('Meta data'!$I$3:$I$20000,'Meta data'!$A$3:$A$20000,"&gt;="&amp;G$3,'Meta data'!$A$3:$A$20000,"&lt;="&amp;G$4,'Meta data'!$B$3:$B$20000,$A58),IF($B58="Google Ads",SUMIFS('Google data'!$I$3:$I$20000,'Google data'!$A$3:$A$20000,"&gt;="&amp;G$3,'Google data'!$A$3:$A$20000,"&lt;="&amp;G$4,'Google data'!$B$3:$B$20000,$A58),IF($B58="ChatGPT Ads",SUMIFS('ChatGPT data'!$I$3:$I$20000,'ChatGPT data'!$A$3:$A$20000,"&gt;="&amp;G$3,'ChatGPT data'!$A$3:$A$20000,"&lt;="&amp;G$4,'ChatGPT data'!$B$3:$B$20000,$A58),IF($B58="LinkedIn Ads",SUMIFS('LinkedIn data'!$I$3:$I$20000,'LinkedIn data'!$A$3:$A$20000,"&gt;="&amp;G$3,'LinkedIn data'!$A$3:$A$20000,"&lt;="&amp;G$4,'LinkedIn data'!$B$3:$B$20000,$A58),0)))))</f>
        <v>0</v>
      </c>
      <c r="H58" s="14" t="n">
        <f aca="false">IF($A58="","",IF($B58="Meta",SUMIFS('Meta data'!$I$3:$I$20000,'Meta data'!$A$3:$A$20000,"&gt;="&amp;H$3,'Meta data'!$A$3:$A$20000,"&lt;="&amp;H$4,'Meta data'!$B$3:$B$20000,$A58),IF($B58="Google Ads",SUMIFS('Google data'!$I$3:$I$20000,'Google data'!$A$3:$A$20000,"&gt;="&amp;H$3,'Google data'!$A$3:$A$20000,"&lt;="&amp;H$4,'Google data'!$B$3:$B$20000,$A58),IF($B58="ChatGPT Ads",SUMIFS('ChatGPT data'!$I$3:$I$20000,'ChatGPT data'!$A$3:$A$20000,"&gt;="&amp;H$3,'ChatGPT data'!$A$3:$A$20000,"&lt;="&amp;H$4,'ChatGPT data'!$B$3:$B$20000,$A58),IF($B58="LinkedIn Ads",SUMIFS('LinkedIn data'!$I$3:$I$20000,'LinkedIn data'!$A$3:$A$20000,"&gt;="&amp;H$3,'LinkedIn data'!$A$3:$A$20000,"&lt;="&amp;H$4,'LinkedIn data'!$B$3:$B$20000,$A58),0)))))</f>
        <v>0</v>
      </c>
      <c r="I58" s="14" t="n">
        <f aca="false">IF($A58="","",IF($B58="Meta",SUMIFS('Meta data'!$I$3:$I$20000,'Meta data'!$A$3:$A$20000,"&gt;="&amp;I$3,'Meta data'!$A$3:$A$20000,"&lt;="&amp;I$4,'Meta data'!$B$3:$B$20000,$A58),IF($B58="Google Ads",SUMIFS('Google data'!$I$3:$I$20000,'Google data'!$A$3:$A$20000,"&gt;="&amp;I$3,'Google data'!$A$3:$A$20000,"&lt;="&amp;I$4,'Google data'!$B$3:$B$20000,$A58),IF($B58="ChatGPT Ads",SUMIFS('ChatGPT data'!$I$3:$I$20000,'ChatGPT data'!$A$3:$A$20000,"&gt;="&amp;I$3,'ChatGPT data'!$A$3:$A$20000,"&lt;="&amp;I$4,'ChatGPT data'!$B$3:$B$20000,$A58),IF($B58="LinkedIn Ads",SUMIFS('LinkedIn data'!$I$3:$I$20000,'LinkedIn data'!$A$3:$A$20000,"&gt;="&amp;I$3,'LinkedIn data'!$A$3:$A$20000,"&lt;="&amp;I$4,'LinkedIn data'!$B$3:$B$20000,$A58),0)))))</f>
        <v>0</v>
      </c>
      <c r="J58" s="14" t="n">
        <f aca="false">IF($A58="","",IF($B58="Meta",SUMIFS('Meta data'!$I$3:$I$20000,'Meta data'!$A$3:$A$20000,"&gt;="&amp;J$3,'Meta data'!$A$3:$A$20000,"&lt;="&amp;J$4,'Meta data'!$B$3:$B$20000,$A58),IF($B58="Google Ads",SUMIFS('Google data'!$I$3:$I$20000,'Google data'!$A$3:$A$20000,"&gt;="&amp;J$3,'Google data'!$A$3:$A$20000,"&lt;="&amp;J$4,'Google data'!$B$3:$B$20000,$A58),IF($B58="ChatGPT Ads",SUMIFS('ChatGPT data'!$I$3:$I$20000,'ChatGPT data'!$A$3:$A$20000,"&gt;="&amp;J$3,'ChatGPT data'!$A$3:$A$20000,"&lt;="&amp;J$4,'ChatGPT data'!$B$3:$B$20000,$A58),IF($B58="LinkedIn Ads",SUMIFS('LinkedIn data'!$I$3:$I$20000,'LinkedIn data'!$A$3:$A$20000,"&gt;="&amp;J$3,'LinkedIn data'!$A$3:$A$20000,"&lt;="&amp;J$4,'LinkedIn data'!$B$3:$B$20000,$A58),0)))))</f>
        <v>0</v>
      </c>
      <c r="K58" s="14" t="n">
        <f aca="false">IF($A58="","",IF($B58="Meta",SUMIFS('Meta data'!$I$3:$I$20000,'Meta data'!$A$3:$A$20000,"&gt;="&amp;K$3,'Meta data'!$A$3:$A$20000,"&lt;="&amp;K$4,'Meta data'!$B$3:$B$20000,$A58),IF($B58="Google Ads",SUMIFS('Google data'!$I$3:$I$20000,'Google data'!$A$3:$A$20000,"&gt;="&amp;K$3,'Google data'!$A$3:$A$20000,"&lt;="&amp;K$4,'Google data'!$B$3:$B$20000,$A58),IF($B58="ChatGPT Ads",SUMIFS('ChatGPT data'!$I$3:$I$20000,'ChatGPT data'!$A$3:$A$20000,"&gt;="&amp;K$3,'ChatGPT data'!$A$3:$A$20000,"&lt;="&amp;K$4,'ChatGPT data'!$B$3:$B$20000,$A58),IF($B58="LinkedIn Ads",SUMIFS('LinkedIn data'!$I$3:$I$20000,'LinkedIn data'!$A$3:$A$20000,"&gt;="&amp;K$3,'LinkedIn data'!$A$3:$A$20000,"&lt;="&amp;K$4,'LinkedIn data'!$B$3:$B$20000,$A58),0)))))</f>
        <v>0</v>
      </c>
      <c r="L58" s="14" t="n">
        <f aca="false">IF($A58="","",IF($B58="Meta",SUMIFS('Meta data'!$I$3:$I$20000,'Meta data'!$A$3:$A$20000,"&gt;="&amp;L$3,'Meta data'!$A$3:$A$20000,"&lt;="&amp;L$4,'Meta data'!$B$3:$B$20000,$A58),IF($B58="Google Ads",SUMIFS('Google data'!$I$3:$I$20000,'Google data'!$A$3:$A$20000,"&gt;="&amp;L$3,'Google data'!$A$3:$A$20000,"&lt;="&amp;L$4,'Google data'!$B$3:$B$20000,$A58),IF($B58="ChatGPT Ads",SUMIFS('ChatGPT data'!$I$3:$I$20000,'ChatGPT data'!$A$3:$A$20000,"&gt;="&amp;L$3,'ChatGPT data'!$A$3:$A$20000,"&lt;="&amp;L$4,'ChatGPT data'!$B$3:$B$20000,$A58),IF($B58="LinkedIn Ads",SUMIFS('LinkedIn data'!$I$3:$I$20000,'LinkedIn data'!$A$3:$A$20000,"&gt;="&amp;L$3,'LinkedIn data'!$A$3:$A$20000,"&lt;="&amp;L$4,'LinkedIn data'!$B$3:$B$20000,$A58),0)))))</f>
        <v>0</v>
      </c>
      <c r="M58" s="14" t="n">
        <f aca="false">IF($A58="","",IF($B58="Meta",SUMIFS('Meta data'!$I$3:$I$20000,'Meta data'!$A$3:$A$20000,"&gt;="&amp;M$3,'Meta data'!$A$3:$A$20000,"&lt;="&amp;M$4,'Meta data'!$B$3:$B$20000,$A58),IF($B58="Google Ads",SUMIFS('Google data'!$I$3:$I$20000,'Google data'!$A$3:$A$20000,"&gt;="&amp;M$3,'Google data'!$A$3:$A$20000,"&lt;="&amp;M$4,'Google data'!$B$3:$B$20000,$A58),IF($B58="ChatGPT Ads",SUMIFS('ChatGPT data'!$I$3:$I$20000,'ChatGPT data'!$A$3:$A$20000,"&gt;="&amp;M$3,'ChatGPT data'!$A$3:$A$20000,"&lt;="&amp;M$4,'ChatGPT data'!$B$3:$B$20000,$A58),IF($B58="LinkedIn Ads",SUMIFS('LinkedIn data'!$I$3:$I$20000,'LinkedIn data'!$A$3:$A$20000,"&gt;="&amp;M$3,'LinkedIn data'!$A$3:$A$20000,"&lt;="&amp;M$4,'LinkedIn data'!$B$3:$B$20000,$A58),0)))))</f>
        <v>0</v>
      </c>
      <c r="N58" s="14" t="n">
        <f aca="false">IF($A58="","",IF($B58="Meta",SUMIFS('Meta data'!$I$3:$I$20000,'Meta data'!$A$3:$A$20000,"&gt;="&amp;N$3,'Meta data'!$A$3:$A$20000,"&lt;="&amp;N$4,'Meta data'!$B$3:$B$20000,$A58),IF($B58="Google Ads",SUMIFS('Google data'!$I$3:$I$20000,'Google data'!$A$3:$A$20000,"&gt;="&amp;N$3,'Google data'!$A$3:$A$20000,"&lt;="&amp;N$4,'Google data'!$B$3:$B$20000,$A58),IF($B58="ChatGPT Ads",SUMIFS('ChatGPT data'!$I$3:$I$20000,'ChatGPT data'!$A$3:$A$20000,"&gt;="&amp;N$3,'ChatGPT data'!$A$3:$A$20000,"&lt;="&amp;N$4,'ChatGPT data'!$B$3:$B$20000,$A58),IF($B58="LinkedIn Ads",SUMIFS('LinkedIn data'!$I$3:$I$20000,'LinkedIn data'!$A$3:$A$20000,"&gt;="&amp;N$3,'LinkedIn data'!$A$3:$A$20000,"&lt;="&amp;N$4,'LinkedIn data'!$B$3:$B$20000,$A58),0)))))</f>
        <v>0</v>
      </c>
      <c r="O58" s="14" t="n">
        <f aca="false">IF($A58="","",IF($B58="Meta",SUMIFS('Meta data'!$I$3:$I$20000,'Meta data'!$A$3:$A$20000,"&gt;="&amp;O$3,'Meta data'!$A$3:$A$20000,"&lt;="&amp;O$4,'Meta data'!$B$3:$B$20000,$A58),IF($B58="Google Ads",SUMIFS('Google data'!$I$3:$I$20000,'Google data'!$A$3:$A$20000,"&gt;="&amp;O$3,'Google data'!$A$3:$A$20000,"&lt;="&amp;O$4,'Google data'!$B$3:$B$20000,$A58),IF($B58="ChatGPT Ads",SUMIFS('ChatGPT data'!$I$3:$I$20000,'ChatGPT data'!$A$3:$A$20000,"&gt;="&amp;O$3,'ChatGPT data'!$A$3:$A$20000,"&lt;="&amp;O$4,'ChatGPT data'!$B$3:$B$20000,$A58),IF($B58="LinkedIn Ads",SUMIFS('LinkedIn data'!$I$3:$I$20000,'LinkedIn data'!$A$3:$A$20000,"&gt;="&amp;O$3,'LinkedIn data'!$A$3:$A$20000,"&lt;="&amp;O$4,'LinkedIn data'!$B$3:$B$20000,$A58),0)))))</f>
        <v>0</v>
      </c>
      <c r="P58" s="14" t="n">
        <f aca="false">IF($A58="","",IF($B58="Meta",SUMIFS('Meta data'!$I$3:$I$20000,'Meta data'!$A$3:$A$20000,"&gt;="&amp;P$3,'Meta data'!$A$3:$A$20000,"&lt;="&amp;P$4,'Meta data'!$B$3:$B$20000,$A58),IF($B58="Google Ads",SUMIFS('Google data'!$I$3:$I$20000,'Google data'!$A$3:$A$20000,"&gt;="&amp;P$3,'Google data'!$A$3:$A$20000,"&lt;="&amp;P$4,'Google data'!$B$3:$B$20000,$A58),IF($B58="ChatGPT Ads",SUMIFS('ChatGPT data'!$I$3:$I$20000,'ChatGPT data'!$A$3:$A$20000,"&gt;="&amp;P$3,'ChatGPT data'!$A$3:$A$20000,"&lt;="&amp;P$4,'ChatGPT data'!$B$3:$B$20000,$A58),IF($B58="LinkedIn Ads",SUMIFS('LinkedIn data'!$I$3:$I$20000,'LinkedIn data'!$A$3:$A$20000,"&gt;="&amp;P$3,'LinkedIn data'!$A$3:$A$20000,"&lt;="&amp;P$4,'LinkedIn data'!$B$3:$B$20000,$A58),0)))))</f>
        <v>0</v>
      </c>
      <c r="Q58" s="14" t="n">
        <f aca="false">IF($A58="","",IF($B58="Meta",SUMIFS('Meta data'!$I$3:$I$20000,'Meta data'!$A$3:$A$20000,"&gt;="&amp;Q$3,'Meta data'!$A$3:$A$20000,"&lt;="&amp;Q$4,'Meta data'!$B$3:$B$20000,$A58),IF($B58="Google Ads",SUMIFS('Google data'!$I$3:$I$20000,'Google data'!$A$3:$A$20000,"&gt;="&amp;Q$3,'Google data'!$A$3:$A$20000,"&lt;="&amp;Q$4,'Google data'!$B$3:$B$20000,$A58),IF($B58="ChatGPT Ads",SUMIFS('ChatGPT data'!$I$3:$I$20000,'ChatGPT data'!$A$3:$A$20000,"&gt;="&amp;Q$3,'ChatGPT data'!$A$3:$A$20000,"&lt;="&amp;Q$4,'ChatGPT data'!$B$3:$B$20000,$A58),IF($B58="LinkedIn Ads",SUMIFS('LinkedIn data'!$I$3:$I$20000,'LinkedIn data'!$A$3:$A$20000,"&gt;="&amp;Q$3,'LinkedIn data'!$A$3:$A$20000,"&lt;="&amp;Q$4,'LinkedIn data'!$B$3:$B$20000,$A58),0)))))</f>
        <v>0</v>
      </c>
      <c r="R58" s="15" t="n">
        <f aca="false">IF($A58="","",SUM(F58:Q58))</f>
        <v>278.810265</v>
      </c>
      <c r="S58" s="37" t="n">
        <f aca="false">IF($A58="","",IF($B58="Meta",SUMIFS('Meta data'!$E$3:$E$20000,'Meta data'!$B$3:$B$20000,$A58),IF($B58="Google Ads",SUMIFS('Google data'!$E$3:$E$20000,'Google data'!$B$3:$B$20000,$A58),IF($B58="ChatGPT Ads",SUMIFS('ChatGPT data'!$E$3:$E$20000,'ChatGPT data'!$B$3:$B$20000,$A58),IF($B58="LinkedIn Ads",SUMIFS('LinkedIn data'!$E$3:$E$20000,'LinkedIn data'!$B$3:$B$20000,$A58),0)))))</f>
        <v>11751</v>
      </c>
      <c r="T58" s="37" t="n">
        <f aca="false">IF($A58="","",IF($B58="Meta",SUMIFS('Meta data'!$F$3:$F$20000,'Meta data'!$B$3:$B$20000,$A58),IF($B58="Google Ads",SUMIFS('Google data'!$F$3:$F$20000,'Google data'!$B$3:$B$20000,$A58),IF($B58="ChatGPT Ads",SUMIFS('ChatGPT data'!$F$3:$F$20000,'ChatGPT data'!$B$3:$B$20000,$A58),IF($B58="LinkedIn Ads",SUMIFS('LinkedIn data'!$F$3:$F$20000,'LinkedIn data'!$B$3:$B$20000,$A58),0)))))</f>
        <v>0</v>
      </c>
      <c r="U58" s="38" t="str">
        <f aca="false">IF(OR($A58="",T58=0),"",R58/T58)</f>
        <v/>
      </c>
    </row>
    <row r="59" customFormat="false" ht="15" hidden="false" customHeight="false" outlineLevel="0" collapsed="false">
      <c r="A59" s="58" t="s">
        <v>218</v>
      </c>
      <c r="B59" s="58" t="s">
        <v>20</v>
      </c>
      <c r="C59" s="58" t="s">
        <v>130</v>
      </c>
      <c r="D59" s="58" t="s">
        <v>123</v>
      </c>
      <c r="E59" s="58" t="s">
        <v>156</v>
      </c>
      <c r="F59" s="14" t="n">
        <f aca="false">IF($A59="","",IF($B59="Meta",SUMIFS('Meta data'!$I$3:$I$20000,'Meta data'!$A$3:$A$20000,"&gt;="&amp;F$3,'Meta data'!$A$3:$A$20000,"&lt;="&amp;F$4,'Meta data'!$B$3:$B$20000,$A59),IF($B59="Google Ads",SUMIFS('Google data'!$I$3:$I$20000,'Google data'!$A$3:$A$20000,"&gt;="&amp;F$3,'Google data'!$A$3:$A$20000,"&lt;="&amp;F$4,'Google data'!$B$3:$B$20000,$A59),IF($B59="ChatGPT Ads",SUMIFS('ChatGPT data'!$I$3:$I$20000,'ChatGPT data'!$A$3:$A$20000,"&gt;="&amp;F$3,'ChatGPT data'!$A$3:$A$20000,"&lt;="&amp;F$4,'ChatGPT data'!$B$3:$B$20000,$A59),IF($B59="LinkedIn Ads",SUMIFS('LinkedIn data'!$I$3:$I$20000,'LinkedIn data'!$A$3:$A$20000,"&gt;="&amp;F$3,'LinkedIn data'!$A$3:$A$20000,"&lt;="&amp;F$4,'LinkedIn data'!$B$3:$B$20000,$A59),0)))))</f>
        <v>274.540651</v>
      </c>
      <c r="G59" s="14" t="n">
        <f aca="false">IF($A59="","",IF($B59="Meta",SUMIFS('Meta data'!$I$3:$I$20000,'Meta data'!$A$3:$A$20000,"&gt;="&amp;G$3,'Meta data'!$A$3:$A$20000,"&lt;="&amp;G$4,'Meta data'!$B$3:$B$20000,$A59),IF($B59="Google Ads",SUMIFS('Google data'!$I$3:$I$20000,'Google data'!$A$3:$A$20000,"&gt;="&amp;G$3,'Google data'!$A$3:$A$20000,"&lt;="&amp;G$4,'Google data'!$B$3:$B$20000,$A59),IF($B59="ChatGPT Ads",SUMIFS('ChatGPT data'!$I$3:$I$20000,'ChatGPT data'!$A$3:$A$20000,"&gt;="&amp;G$3,'ChatGPT data'!$A$3:$A$20000,"&lt;="&amp;G$4,'ChatGPT data'!$B$3:$B$20000,$A59),IF($B59="LinkedIn Ads",SUMIFS('LinkedIn data'!$I$3:$I$20000,'LinkedIn data'!$A$3:$A$20000,"&gt;="&amp;G$3,'LinkedIn data'!$A$3:$A$20000,"&lt;="&amp;G$4,'LinkedIn data'!$B$3:$B$20000,$A59),0)))))</f>
        <v>0</v>
      </c>
      <c r="H59" s="14" t="n">
        <f aca="false">IF($A59="","",IF($B59="Meta",SUMIFS('Meta data'!$I$3:$I$20000,'Meta data'!$A$3:$A$20000,"&gt;="&amp;H$3,'Meta data'!$A$3:$A$20000,"&lt;="&amp;H$4,'Meta data'!$B$3:$B$20000,$A59),IF($B59="Google Ads",SUMIFS('Google data'!$I$3:$I$20000,'Google data'!$A$3:$A$20000,"&gt;="&amp;H$3,'Google data'!$A$3:$A$20000,"&lt;="&amp;H$4,'Google data'!$B$3:$B$20000,$A59),IF($B59="ChatGPT Ads",SUMIFS('ChatGPT data'!$I$3:$I$20000,'ChatGPT data'!$A$3:$A$20000,"&gt;="&amp;H$3,'ChatGPT data'!$A$3:$A$20000,"&lt;="&amp;H$4,'ChatGPT data'!$B$3:$B$20000,$A59),IF($B59="LinkedIn Ads",SUMIFS('LinkedIn data'!$I$3:$I$20000,'LinkedIn data'!$A$3:$A$20000,"&gt;="&amp;H$3,'LinkedIn data'!$A$3:$A$20000,"&lt;="&amp;H$4,'LinkedIn data'!$B$3:$B$20000,$A59),0)))))</f>
        <v>0</v>
      </c>
      <c r="I59" s="14" t="n">
        <f aca="false">IF($A59="","",IF($B59="Meta",SUMIFS('Meta data'!$I$3:$I$20000,'Meta data'!$A$3:$A$20000,"&gt;="&amp;I$3,'Meta data'!$A$3:$A$20000,"&lt;="&amp;I$4,'Meta data'!$B$3:$B$20000,$A59),IF($B59="Google Ads",SUMIFS('Google data'!$I$3:$I$20000,'Google data'!$A$3:$A$20000,"&gt;="&amp;I$3,'Google data'!$A$3:$A$20000,"&lt;="&amp;I$4,'Google data'!$B$3:$B$20000,$A59),IF($B59="ChatGPT Ads",SUMIFS('ChatGPT data'!$I$3:$I$20000,'ChatGPT data'!$A$3:$A$20000,"&gt;="&amp;I$3,'ChatGPT data'!$A$3:$A$20000,"&lt;="&amp;I$4,'ChatGPT data'!$B$3:$B$20000,$A59),IF($B59="LinkedIn Ads",SUMIFS('LinkedIn data'!$I$3:$I$20000,'LinkedIn data'!$A$3:$A$20000,"&gt;="&amp;I$3,'LinkedIn data'!$A$3:$A$20000,"&lt;="&amp;I$4,'LinkedIn data'!$B$3:$B$20000,$A59),0)))))</f>
        <v>0</v>
      </c>
      <c r="J59" s="14" t="n">
        <f aca="false">IF($A59="","",IF($B59="Meta",SUMIFS('Meta data'!$I$3:$I$20000,'Meta data'!$A$3:$A$20000,"&gt;="&amp;J$3,'Meta data'!$A$3:$A$20000,"&lt;="&amp;J$4,'Meta data'!$B$3:$B$20000,$A59),IF($B59="Google Ads",SUMIFS('Google data'!$I$3:$I$20000,'Google data'!$A$3:$A$20000,"&gt;="&amp;J$3,'Google data'!$A$3:$A$20000,"&lt;="&amp;J$4,'Google data'!$B$3:$B$20000,$A59),IF($B59="ChatGPT Ads",SUMIFS('ChatGPT data'!$I$3:$I$20000,'ChatGPT data'!$A$3:$A$20000,"&gt;="&amp;J$3,'ChatGPT data'!$A$3:$A$20000,"&lt;="&amp;J$4,'ChatGPT data'!$B$3:$B$20000,$A59),IF($B59="LinkedIn Ads",SUMIFS('LinkedIn data'!$I$3:$I$20000,'LinkedIn data'!$A$3:$A$20000,"&gt;="&amp;J$3,'LinkedIn data'!$A$3:$A$20000,"&lt;="&amp;J$4,'LinkedIn data'!$B$3:$B$20000,$A59),0)))))</f>
        <v>0</v>
      </c>
      <c r="K59" s="14" t="n">
        <f aca="false">IF($A59="","",IF($B59="Meta",SUMIFS('Meta data'!$I$3:$I$20000,'Meta data'!$A$3:$A$20000,"&gt;="&amp;K$3,'Meta data'!$A$3:$A$20000,"&lt;="&amp;K$4,'Meta data'!$B$3:$B$20000,$A59),IF($B59="Google Ads",SUMIFS('Google data'!$I$3:$I$20000,'Google data'!$A$3:$A$20000,"&gt;="&amp;K$3,'Google data'!$A$3:$A$20000,"&lt;="&amp;K$4,'Google data'!$B$3:$B$20000,$A59),IF($B59="ChatGPT Ads",SUMIFS('ChatGPT data'!$I$3:$I$20000,'ChatGPT data'!$A$3:$A$20000,"&gt;="&amp;K$3,'ChatGPT data'!$A$3:$A$20000,"&lt;="&amp;K$4,'ChatGPT data'!$B$3:$B$20000,$A59),IF($B59="LinkedIn Ads",SUMIFS('LinkedIn data'!$I$3:$I$20000,'LinkedIn data'!$A$3:$A$20000,"&gt;="&amp;K$3,'LinkedIn data'!$A$3:$A$20000,"&lt;="&amp;K$4,'LinkedIn data'!$B$3:$B$20000,$A59),0)))))</f>
        <v>0</v>
      </c>
      <c r="L59" s="14" t="n">
        <f aca="false">IF($A59="","",IF($B59="Meta",SUMIFS('Meta data'!$I$3:$I$20000,'Meta data'!$A$3:$A$20000,"&gt;="&amp;L$3,'Meta data'!$A$3:$A$20000,"&lt;="&amp;L$4,'Meta data'!$B$3:$B$20000,$A59),IF($B59="Google Ads",SUMIFS('Google data'!$I$3:$I$20000,'Google data'!$A$3:$A$20000,"&gt;="&amp;L$3,'Google data'!$A$3:$A$20000,"&lt;="&amp;L$4,'Google data'!$B$3:$B$20000,$A59),IF($B59="ChatGPT Ads",SUMIFS('ChatGPT data'!$I$3:$I$20000,'ChatGPT data'!$A$3:$A$20000,"&gt;="&amp;L$3,'ChatGPT data'!$A$3:$A$20000,"&lt;="&amp;L$4,'ChatGPT data'!$B$3:$B$20000,$A59),IF($B59="LinkedIn Ads",SUMIFS('LinkedIn data'!$I$3:$I$20000,'LinkedIn data'!$A$3:$A$20000,"&gt;="&amp;L$3,'LinkedIn data'!$A$3:$A$20000,"&lt;="&amp;L$4,'LinkedIn data'!$B$3:$B$20000,$A59),0)))))</f>
        <v>0</v>
      </c>
      <c r="M59" s="14" t="n">
        <f aca="false">IF($A59="","",IF($B59="Meta",SUMIFS('Meta data'!$I$3:$I$20000,'Meta data'!$A$3:$A$20000,"&gt;="&amp;M$3,'Meta data'!$A$3:$A$20000,"&lt;="&amp;M$4,'Meta data'!$B$3:$B$20000,$A59),IF($B59="Google Ads",SUMIFS('Google data'!$I$3:$I$20000,'Google data'!$A$3:$A$20000,"&gt;="&amp;M$3,'Google data'!$A$3:$A$20000,"&lt;="&amp;M$4,'Google data'!$B$3:$B$20000,$A59),IF($B59="ChatGPT Ads",SUMIFS('ChatGPT data'!$I$3:$I$20000,'ChatGPT data'!$A$3:$A$20000,"&gt;="&amp;M$3,'ChatGPT data'!$A$3:$A$20000,"&lt;="&amp;M$4,'ChatGPT data'!$B$3:$B$20000,$A59),IF($B59="LinkedIn Ads",SUMIFS('LinkedIn data'!$I$3:$I$20000,'LinkedIn data'!$A$3:$A$20000,"&gt;="&amp;M$3,'LinkedIn data'!$A$3:$A$20000,"&lt;="&amp;M$4,'LinkedIn data'!$B$3:$B$20000,$A59),0)))))</f>
        <v>0</v>
      </c>
      <c r="N59" s="14" t="n">
        <f aca="false">IF($A59="","",IF($B59="Meta",SUMIFS('Meta data'!$I$3:$I$20000,'Meta data'!$A$3:$A$20000,"&gt;="&amp;N$3,'Meta data'!$A$3:$A$20000,"&lt;="&amp;N$4,'Meta data'!$B$3:$B$20000,$A59),IF($B59="Google Ads",SUMIFS('Google data'!$I$3:$I$20000,'Google data'!$A$3:$A$20000,"&gt;="&amp;N$3,'Google data'!$A$3:$A$20000,"&lt;="&amp;N$4,'Google data'!$B$3:$B$20000,$A59),IF($B59="ChatGPT Ads",SUMIFS('ChatGPT data'!$I$3:$I$20000,'ChatGPT data'!$A$3:$A$20000,"&gt;="&amp;N$3,'ChatGPT data'!$A$3:$A$20000,"&lt;="&amp;N$4,'ChatGPT data'!$B$3:$B$20000,$A59),IF($B59="LinkedIn Ads",SUMIFS('LinkedIn data'!$I$3:$I$20000,'LinkedIn data'!$A$3:$A$20000,"&gt;="&amp;N$3,'LinkedIn data'!$A$3:$A$20000,"&lt;="&amp;N$4,'LinkedIn data'!$B$3:$B$20000,$A59),0)))))</f>
        <v>0</v>
      </c>
      <c r="O59" s="14" t="n">
        <f aca="false">IF($A59="","",IF($B59="Meta",SUMIFS('Meta data'!$I$3:$I$20000,'Meta data'!$A$3:$A$20000,"&gt;="&amp;O$3,'Meta data'!$A$3:$A$20000,"&lt;="&amp;O$4,'Meta data'!$B$3:$B$20000,$A59),IF($B59="Google Ads",SUMIFS('Google data'!$I$3:$I$20000,'Google data'!$A$3:$A$20000,"&gt;="&amp;O$3,'Google data'!$A$3:$A$20000,"&lt;="&amp;O$4,'Google data'!$B$3:$B$20000,$A59),IF($B59="ChatGPT Ads",SUMIFS('ChatGPT data'!$I$3:$I$20000,'ChatGPT data'!$A$3:$A$20000,"&gt;="&amp;O$3,'ChatGPT data'!$A$3:$A$20000,"&lt;="&amp;O$4,'ChatGPT data'!$B$3:$B$20000,$A59),IF($B59="LinkedIn Ads",SUMIFS('LinkedIn data'!$I$3:$I$20000,'LinkedIn data'!$A$3:$A$20000,"&gt;="&amp;O$3,'LinkedIn data'!$A$3:$A$20000,"&lt;="&amp;O$4,'LinkedIn data'!$B$3:$B$20000,$A59),0)))))</f>
        <v>0</v>
      </c>
      <c r="P59" s="14" t="n">
        <f aca="false">IF($A59="","",IF($B59="Meta",SUMIFS('Meta data'!$I$3:$I$20000,'Meta data'!$A$3:$A$20000,"&gt;="&amp;P$3,'Meta data'!$A$3:$A$20000,"&lt;="&amp;P$4,'Meta data'!$B$3:$B$20000,$A59),IF($B59="Google Ads",SUMIFS('Google data'!$I$3:$I$20000,'Google data'!$A$3:$A$20000,"&gt;="&amp;P$3,'Google data'!$A$3:$A$20000,"&lt;="&amp;P$4,'Google data'!$B$3:$B$20000,$A59),IF($B59="ChatGPT Ads",SUMIFS('ChatGPT data'!$I$3:$I$20000,'ChatGPT data'!$A$3:$A$20000,"&gt;="&amp;P$3,'ChatGPT data'!$A$3:$A$20000,"&lt;="&amp;P$4,'ChatGPT data'!$B$3:$B$20000,$A59),IF($B59="LinkedIn Ads",SUMIFS('LinkedIn data'!$I$3:$I$20000,'LinkedIn data'!$A$3:$A$20000,"&gt;="&amp;P$3,'LinkedIn data'!$A$3:$A$20000,"&lt;="&amp;P$4,'LinkedIn data'!$B$3:$B$20000,$A59),0)))))</f>
        <v>0</v>
      </c>
      <c r="Q59" s="14" t="n">
        <f aca="false">IF($A59="","",IF($B59="Meta",SUMIFS('Meta data'!$I$3:$I$20000,'Meta data'!$A$3:$A$20000,"&gt;="&amp;Q$3,'Meta data'!$A$3:$A$20000,"&lt;="&amp;Q$4,'Meta data'!$B$3:$B$20000,$A59),IF($B59="Google Ads",SUMIFS('Google data'!$I$3:$I$20000,'Google data'!$A$3:$A$20000,"&gt;="&amp;Q$3,'Google data'!$A$3:$A$20000,"&lt;="&amp;Q$4,'Google data'!$B$3:$B$20000,$A59),IF($B59="ChatGPT Ads",SUMIFS('ChatGPT data'!$I$3:$I$20000,'ChatGPT data'!$A$3:$A$20000,"&gt;="&amp;Q$3,'ChatGPT data'!$A$3:$A$20000,"&lt;="&amp;Q$4,'ChatGPT data'!$B$3:$B$20000,$A59),IF($B59="LinkedIn Ads",SUMIFS('LinkedIn data'!$I$3:$I$20000,'LinkedIn data'!$A$3:$A$20000,"&gt;="&amp;Q$3,'LinkedIn data'!$A$3:$A$20000,"&lt;="&amp;Q$4,'LinkedIn data'!$B$3:$B$20000,$A59),0)))))</f>
        <v>0</v>
      </c>
      <c r="R59" s="15" t="n">
        <f aca="false">IF($A59="","",SUM(F59:Q59))</f>
        <v>274.540651</v>
      </c>
      <c r="S59" s="37" t="n">
        <f aca="false">IF($A59="","",IF($B59="Meta",SUMIFS('Meta data'!$E$3:$E$20000,'Meta data'!$B$3:$B$20000,$A59),IF($B59="Google Ads",SUMIFS('Google data'!$E$3:$E$20000,'Google data'!$B$3:$B$20000,$A59),IF($B59="ChatGPT Ads",SUMIFS('ChatGPT data'!$E$3:$E$20000,'ChatGPT data'!$B$3:$B$20000,$A59),IF($B59="LinkedIn Ads",SUMIFS('LinkedIn data'!$E$3:$E$20000,'LinkedIn data'!$B$3:$B$20000,$A59),0)))))</f>
        <v>10857</v>
      </c>
      <c r="T59" s="37" t="n">
        <f aca="false">IF($A59="","",IF($B59="Meta",SUMIFS('Meta data'!$F$3:$F$20000,'Meta data'!$B$3:$B$20000,$A59),IF($B59="Google Ads",SUMIFS('Google data'!$F$3:$F$20000,'Google data'!$B$3:$B$20000,$A59),IF($B59="ChatGPT Ads",SUMIFS('ChatGPT data'!$F$3:$F$20000,'ChatGPT data'!$B$3:$B$20000,$A59),IF($B59="LinkedIn Ads",SUMIFS('LinkedIn data'!$F$3:$F$20000,'LinkedIn data'!$B$3:$B$20000,$A59),0)))))</f>
        <v>0</v>
      </c>
      <c r="U59" s="38" t="str">
        <f aca="false">IF(OR($A59="",T59=0),"",R59/T59)</f>
        <v/>
      </c>
    </row>
    <row r="60" customFormat="false" ht="15" hidden="false" customHeight="false" outlineLevel="0" collapsed="false">
      <c r="A60" s="58" t="s">
        <v>219</v>
      </c>
      <c r="B60" s="58" t="s">
        <v>20</v>
      </c>
      <c r="C60" s="58" t="s">
        <v>130</v>
      </c>
      <c r="D60" s="58" t="s">
        <v>123</v>
      </c>
      <c r="E60" s="58" t="s">
        <v>153</v>
      </c>
      <c r="F60" s="14" t="n">
        <f aca="false">IF($A60="","",IF($B60="Meta",SUMIFS('Meta data'!$I$3:$I$20000,'Meta data'!$A$3:$A$20000,"&gt;="&amp;F$3,'Meta data'!$A$3:$A$20000,"&lt;="&amp;F$4,'Meta data'!$B$3:$B$20000,$A60),IF($B60="Google Ads",SUMIFS('Google data'!$I$3:$I$20000,'Google data'!$A$3:$A$20000,"&gt;="&amp;F$3,'Google data'!$A$3:$A$20000,"&lt;="&amp;F$4,'Google data'!$B$3:$B$20000,$A60),IF($B60="ChatGPT Ads",SUMIFS('ChatGPT data'!$I$3:$I$20000,'ChatGPT data'!$A$3:$A$20000,"&gt;="&amp;F$3,'ChatGPT data'!$A$3:$A$20000,"&lt;="&amp;F$4,'ChatGPT data'!$B$3:$B$20000,$A60),IF($B60="LinkedIn Ads",SUMIFS('LinkedIn data'!$I$3:$I$20000,'LinkedIn data'!$A$3:$A$20000,"&gt;="&amp;F$3,'LinkedIn data'!$A$3:$A$20000,"&lt;="&amp;F$4,'LinkedIn data'!$B$3:$B$20000,$A60),0)))))</f>
        <v>0</v>
      </c>
      <c r="G60" s="14" t="n">
        <f aca="false">IF($A60="","",IF($B60="Meta",SUMIFS('Meta data'!$I$3:$I$20000,'Meta data'!$A$3:$A$20000,"&gt;="&amp;G$3,'Meta data'!$A$3:$A$20000,"&lt;="&amp;G$4,'Meta data'!$B$3:$B$20000,$A60),IF($B60="Google Ads",SUMIFS('Google data'!$I$3:$I$20000,'Google data'!$A$3:$A$20000,"&gt;="&amp;G$3,'Google data'!$A$3:$A$20000,"&lt;="&amp;G$4,'Google data'!$B$3:$B$20000,$A60),IF($B60="ChatGPT Ads",SUMIFS('ChatGPT data'!$I$3:$I$20000,'ChatGPT data'!$A$3:$A$20000,"&gt;="&amp;G$3,'ChatGPT data'!$A$3:$A$20000,"&lt;="&amp;G$4,'ChatGPT data'!$B$3:$B$20000,$A60),IF($B60="LinkedIn Ads",SUMIFS('LinkedIn data'!$I$3:$I$20000,'LinkedIn data'!$A$3:$A$20000,"&gt;="&amp;G$3,'LinkedIn data'!$A$3:$A$20000,"&lt;="&amp;G$4,'LinkedIn data'!$B$3:$B$20000,$A60),0)))))</f>
        <v>0</v>
      </c>
      <c r="H60" s="14" t="n">
        <f aca="false">IF($A60="","",IF($B60="Meta",SUMIFS('Meta data'!$I$3:$I$20000,'Meta data'!$A$3:$A$20000,"&gt;="&amp;H$3,'Meta data'!$A$3:$A$20000,"&lt;="&amp;H$4,'Meta data'!$B$3:$B$20000,$A60),IF($B60="Google Ads",SUMIFS('Google data'!$I$3:$I$20000,'Google data'!$A$3:$A$20000,"&gt;="&amp;H$3,'Google data'!$A$3:$A$20000,"&lt;="&amp;H$4,'Google data'!$B$3:$B$20000,$A60),IF($B60="ChatGPT Ads",SUMIFS('ChatGPT data'!$I$3:$I$20000,'ChatGPT data'!$A$3:$A$20000,"&gt;="&amp;H$3,'ChatGPT data'!$A$3:$A$20000,"&lt;="&amp;H$4,'ChatGPT data'!$B$3:$B$20000,$A60),IF($B60="LinkedIn Ads",SUMIFS('LinkedIn data'!$I$3:$I$20000,'LinkedIn data'!$A$3:$A$20000,"&gt;="&amp;H$3,'LinkedIn data'!$A$3:$A$20000,"&lt;="&amp;H$4,'LinkedIn data'!$B$3:$B$20000,$A60),0)))))</f>
        <v>0</v>
      </c>
      <c r="I60" s="14" t="n">
        <f aca="false">IF($A60="","",IF($B60="Meta",SUMIFS('Meta data'!$I$3:$I$20000,'Meta data'!$A$3:$A$20000,"&gt;="&amp;I$3,'Meta data'!$A$3:$A$20000,"&lt;="&amp;I$4,'Meta data'!$B$3:$B$20000,$A60),IF($B60="Google Ads",SUMIFS('Google data'!$I$3:$I$20000,'Google data'!$A$3:$A$20000,"&gt;="&amp;I$3,'Google data'!$A$3:$A$20000,"&lt;="&amp;I$4,'Google data'!$B$3:$B$20000,$A60),IF($B60="ChatGPT Ads",SUMIFS('ChatGPT data'!$I$3:$I$20000,'ChatGPT data'!$A$3:$A$20000,"&gt;="&amp;I$3,'ChatGPT data'!$A$3:$A$20000,"&lt;="&amp;I$4,'ChatGPT data'!$B$3:$B$20000,$A60),IF($B60="LinkedIn Ads",SUMIFS('LinkedIn data'!$I$3:$I$20000,'LinkedIn data'!$A$3:$A$20000,"&gt;="&amp;I$3,'LinkedIn data'!$A$3:$A$20000,"&lt;="&amp;I$4,'LinkedIn data'!$B$3:$B$20000,$A60),0)))))</f>
        <v>0</v>
      </c>
      <c r="J60" s="14" t="n">
        <f aca="false">IF($A60="","",IF($B60="Meta",SUMIFS('Meta data'!$I$3:$I$20000,'Meta data'!$A$3:$A$20000,"&gt;="&amp;J$3,'Meta data'!$A$3:$A$20000,"&lt;="&amp;J$4,'Meta data'!$B$3:$B$20000,$A60),IF($B60="Google Ads",SUMIFS('Google data'!$I$3:$I$20000,'Google data'!$A$3:$A$20000,"&gt;="&amp;J$3,'Google data'!$A$3:$A$20000,"&lt;="&amp;J$4,'Google data'!$B$3:$B$20000,$A60),IF($B60="ChatGPT Ads",SUMIFS('ChatGPT data'!$I$3:$I$20000,'ChatGPT data'!$A$3:$A$20000,"&gt;="&amp;J$3,'ChatGPT data'!$A$3:$A$20000,"&lt;="&amp;J$4,'ChatGPT data'!$B$3:$B$20000,$A60),IF($B60="LinkedIn Ads",SUMIFS('LinkedIn data'!$I$3:$I$20000,'LinkedIn data'!$A$3:$A$20000,"&gt;="&amp;J$3,'LinkedIn data'!$A$3:$A$20000,"&lt;="&amp;J$4,'LinkedIn data'!$B$3:$B$20000,$A60),0)))))</f>
        <v>0</v>
      </c>
      <c r="K60" s="14" t="n">
        <f aca="false">IF($A60="","",IF($B60="Meta",SUMIFS('Meta data'!$I$3:$I$20000,'Meta data'!$A$3:$A$20000,"&gt;="&amp;K$3,'Meta data'!$A$3:$A$20000,"&lt;="&amp;K$4,'Meta data'!$B$3:$B$20000,$A60),IF($B60="Google Ads",SUMIFS('Google data'!$I$3:$I$20000,'Google data'!$A$3:$A$20000,"&gt;="&amp;K$3,'Google data'!$A$3:$A$20000,"&lt;="&amp;K$4,'Google data'!$B$3:$B$20000,$A60),IF($B60="ChatGPT Ads",SUMIFS('ChatGPT data'!$I$3:$I$20000,'ChatGPT data'!$A$3:$A$20000,"&gt;="&amp;K$3,'ChatGPT data'!$A$3:$A$20000,"&lt;="&amp;K$4,'ChatGPT data'!$B$3:$B$20000,$A60),IF($B60="LinkedIn Ads",SUMIFS('LinkedIn data'!$I$3:$I$20000,'LinkedIn data'!$A$3:$A$20000,"&gt;="&amp;K$3,'LinkedIn data'!$A$3:$A$20000,"&lt;="&amp;K$4,'LinkedIn data'!$B$3:$B$20000,$A60),0)))))</f>
        <v>0</v>
      </c>
      <c r="L60" s="14" t="n">
        <f aca="false">IF($A60="","",IF($B60="Meta",SUMIFS('Meta data'!$I$3:$I$20000,'Meta data'!$A$3:$A$20000,"&gt;="&amp;L$3,'Meta data'!$A$3:$A$20000,"&lt;="&amp;L$4,'Meta data'!$B$3:$B$20000,$A60),IF($B60="Google Ads",SUMIFS('Google data'!$I$3:$I$20000,'Google data'!$A$3:$A$20000,"&gt;="&amp;L$3,'Google data'!$A$3:$A$20000,"&lt;="&amp;L$4,'Google data'!$B$3:$B$20000,$A60),IF($B60="ChatGPT Ads",SUMIFS('ChatGPT data'!$I$3:$I$20000,'ChatGPT data'!$A$3:$A$20000,"&gt;="&amp;L$3,'ChatGPT data'!$A$3:$A$20000,"&lt;="&amp;L$4,'ChatGPT data'!$B$3:$B$20000,$A60),IF($B60="LinkedIn Ads",SUMIFS('LinkedIn data'!$I$3:$I$20000,'LinkedIn data'!$A$3:$A$20000,"&gt;="&amp;L$3,'LinkedIn data'!$A$3:$A$20000,"&lt;="&amp;L$4,'LinkedIn data'!$B$3:$B$20000,$A60),0)))))</f>
        <v>0</v>
      </c>
      <c r="M60" s="14" t="n">
        <f aca="false">IF($A60="","",IF($B60="Meta",SUMIFS('Meta data'!$I$3:$I$20000,'Meta data'!$A$3:$A$20000,"&gt;="&amp;M$3,'Meta data'!$A$3:$A$20000,"&lt;="&amp;M$4,'Meta data'!$B$3:$B$20000,$A60),IF($B60="Google Ads",SUMIFS('Google data'!$I$3:$I$20000,'Google data'!$A$3:$A$20000,"&gt;="&amp;M$3,'Google data'!$A$3:$A$20000,"&lt;="&amp;M$4,'Google data'!$B$3:$B$20000,$A60),IF($B60="ChatGPT Ads",SUMIFS('ChatGPT data'!$I$3:$I$20000,'ChatGPT data'!$A$3:$A$20000,"&gt;="&amp;M$3,'ChatGPT data'!$A$3:$A$20000,"&lt;="&amp;M$4,'ChatGPT data'!$B$3:$B$20000,$A60),IF($B60="LinkedIn Ads",SUMIFS('LinkedIn data'!$I$3:$I$20000,'LinkedIn data'!$A$3:$A$20000,"&gt;="&amp;M$3,'LinkedIn data'!$A$3:$A$20000,"&lt;="&amp;M$4,'LinkedIn data'!$B$3:$B$20000,$A60),0)))))</f>
        <v>173.612341</v>
      </c>
      <c r="N60" s="14" t="n">
        <f aca="false">IF($A60="","",IF($B60="Meta",SUMIFS('Meta data'!$I$3:$I$20000,'Meta data'!$A$3:$A$20000,"&gt;="&amp;N$3,'Meta data'!$A$3:$A$20000,"&lt;="&amp;N$4,'Meta data'!$B$3:$B$20000,$A60),IF($B60="Google Ads",SUMIFS('Google data'!$I$3:$I$20000,'Google data'!$A$3:$A$20000,"&gt;="&amp;N$3,'Google data'!$A$3:$A$20000,"&lt;="&amp;N$4,'Google data'!$B$3:$B$20000,$A60),IF($B60="ChatGPT Ads",SUMIFS('ChatGPT data'!$I$3:$I$20000,'ChatGPT data'!$A$3:$A$20000,"&gt;="&amp;N$3,'ChatGPT data'!$A$3:$A$20000,"&lt;="&amp;N$4,'ChatGPT data'!$B$3:$B$20000,$A60),IF($B60="LinkedIn Ads",SUMIFS('LinkedIn data'!$I$3:$I$20000,'LinkedIn data'!$A$3:$A$20000,"&gt;="&amp;N$3,'LinkedIn data'!$A$3:$A$20000,"&lt;="&amp;N$4,'LinkedIn data'!$B$3:$B$20000,$A60),0)))))</f>
        <v>0</v>
      </c>
      <c r="O60" s="14" t="n">
        <f aca="false">IF($A60="","",IF($B60="Meta",SUMIFS('Meta data'!$I$3:$I$20000,'Meta data'!$A$3:$A$20000,"&gt;="&amp;O$3,'Meta data'!$A$3:$A$20000,"&lt;="&amp;O$4,'Meta data'!$B$3:$B$20000,$A60),IF($B60="Google Ads",SUMIFS('Google data'!$I$3:$I$20000,'Google data'!$A$3:$A$20000,"&gt;="&amp;O$3,'Google data'!$A$3:$A$20000,"&lt;="&amp;O$4,'Google data'!$B$3:$B$20000,$A60),IF($B60="ChatGPT Ads",SUMIFS('ChatGPT data'!$I$3:$I$20000,'ChatGPT data'!$A$3:$A$20000,"&gt;="&amp;O$3,'ChatGPT data'!$A$3:$A$20000,"&lt;="&amp;O$4,'ChatGPT data'!$B$3:$B$20000,$A60),IF($B60="LinkedIn Ads",SUMIFS('LinkedIn data'!$I$3:$I$20000,'LinkedIn data'!$A$3:$A$20000,"&gt;="&amp;O$3,'LinkedIn data'!$A$3:$A$20000,"&lt;="&amp;O$4,'LinkedIn data'!$B$3:$B$20000,$A60),0)))))</f>
        <v>0</v>
      </c>
      <c r="P60" s="14" t="n">
        <f aca="false">IF($A60="","",IF($B60="Meta",SUMIFS('Meta data'!$I$3:$I$20000,'Meta data'!$A$3:$A$20000,"&gt;="&amp;P$3,'Meta data'!$A$3:$A$20000,"&lt;="&amp;P$4,'Meta data'!$B$3:$B$20000,$A60),IF($B60="Google Ads",SUMIFS('Google data'!$I$3:$I$20000,'Google data'!$A$3:$A$20000,"&gt;="&amp;P$3,'Google data'!$A$3:$A$20000,"&lt;="&amp;P$4,'Google data'!$B$3:$B$20000,$A60),IF($B60="ChatGPT Ads",SUMIFS('ChatGPT data'!$I$3:$I$20000,'ChatGPT data'!$A$3:$A$20000,"&gt;="&amp;P$3,'ChatGPT data'!$A$3:$A$20000,"&lt;="&amp;P$4,'ChatGPT data'!$B$3:$B$20000,$A60),IF($B60="LinkedIn Ads",SUMIFS('LinkedIn data'!$I$3:$I$20000,'LinkedIn data'!$A$3:$A$20000,"&gt;="&amp;P$3,'LinkedIn data'!$A$3:$A$20000,"&lt;="&amp;P$4,'LinkedIn data'!$B$3:$B$20000,$A60),0)))))</f>
        <v>0</v>
      </c>
      <c r="Q60" s="14" t="n">
        <f aca="false">IF($A60="","",IF($B60="Meta",SUMIFS('Meta data'!$I$3:$I$20000,'Meta data'!$A$3:$A$20000,"&gt;="&amp;Q$3,'Meta data'!$A$3:$A$20000,"&lt;="&amp;Q$4,'Meta data'!$B$3:$B$20000,$A60),IF($B60="Google Ads",SUMIFS('Google data'!$I$3:$I$20000,'Google data'!$A$3:$A$20000,"&gt;="&amp;Q$3,'Google data'!$A$3:$A$20000,"&lt;="&amp;Q$4,'Google data'!$B$3:$B$20000,$A60),IF($B60="ChatGPT Ads",SUMIFS('ChatGPT data'!$I$3:$I$20000,'ChatGPT data'!$A$3:$A$20000,"&gt;="&amp;Q$3,'ChatGPT data'!$A$3:$A$20000,"&lt;="&amp;Q$4,'ChatGPT data'!$B$3:$B$20000,$A60),IF($B60="LinkedIn Ads",SUMIFS('LinkedIn data'!$I$3:$I$20000,'LinkedIn data'!$A$3:$A$20000,"&gt;="&amp;Q$3,'LinkedIn data'!$A$3:$A$20000,"&lt;="&amp;Q$4,'LinkedIn data'!$B$3:$B$20000,$A60),0)))))</f>
        <v>0</v>
      </c>
      <c r="R60" s="15" t="n">
        <f aca="false">IF($A60="","",SUM(F60:Q60))</f>
        <v>173.612341</v>
      </c>
      <c r="S60" s="37" t="n">
        <f aca="false">IF($A60="","",IF($B60="Meta",SUMIFS('Meta data'!$E$3:$E$20000,'Meta data'!$B$3:$B$20000,$A60),IF($B60="Google Ads",SUMIFS('Google data'!$E$3:$E$20000,'Google data'!$B$3:$B$20000,$A60),IF($B60="ChatGPT Ads",SUMIFS('ChatGPT data'!$E$3:$E$20000,'ChatGPT data'!$B$3:$B$20000,$A60),IF($B60="LinkedIn Ads",SUMIFS('LinkedIn data'!$E$3:$E$20000,'LinkedIn data'!$B$3:$B$20000,$A60),0)))))</f>
        <v>1592</v>
      </c>
      <c r="T60" s="37" t="n">
        <f aca="false">IF($A60="","",IF($B60="Meta",SUMIFS('Meta data'!$F$3:$F$20000,'Meta data'!$B$3:$B$20000,$A60),IF($B60="Google Ads",SUMIFS('Google data'!$F$3:$F$20000,'Google data'!$B$3:$B$20000,$A60),IF($B60="ChatGPT Ads",SUMIFS('ChatGPT data'!$F$3:$F$20000,'ChatGPT data'!$B$3:$B$20000,$A60),IF($B60="LinkedIn Ads",SUMIFS('LinkedIn data'!$F$3:$F$20000,'LinkedIn data'!$B$3:$B$20000,$A60),0)))))</f>
        <v>4</v>
      </c>
      <c r="U60" s="38" t="n">
        <f aca="false">IF(OR($A60="",T60=0),"",R60/T60)</f>
        <v>43.40308525</v>
      </c>
    </row>
    <row r="61" customFormat="false" ht="15" hidden="false" customHeight="false" outlineLevel="0" collapsed="false">
      <c r="A61" s="58" t="s">
        <v>220</v>
      </c>
      <c r="B61" s="58" t="s">
        <v>20</v>
      </c>
      <c r="C61" s="58" t="s">
        <v>135</v>
      </c>
      <c r="D61" s="58" t="s">
        <v>125</v>
      </c>
      <c r="E61" s="58" t="s">
        <v>152</v>
      </c>
      <c r="F61" s="14" t="n">
        <f aca="false">IF($A61="","",IF($B61="Meta",SUMIFS('Meta data'!$I$3:$I$20000,'Meta data'!$A$3:$A$20000,"&gt;="&amp;F$3,'Meta data'!$A$3:$A$20000,"&lt;="&amp;F$4,'Meta data'!$B$3:$B$20000,$A61),IF($B61="Google Ads",SUMIFS('Google data'!$I$3:$I$20000,'Google data'!$A$3:$A$20000,"&gt;="&amp;F$3,'Google data'!$A$3:$A$20000,"&lt;="&amp;F$4,'Google data'!$B$3:$B$20000,$A61),IF($B61="ChatGPT Ads",SUMIFS('ChatGPT data'!$I$3:$I$20000,'ChatGPT data'!$A$3:$A$20000,"&gt;="&amp;F$3,'ChatGPT data'!$A$3:$A$20000,"&lt;="&amp;F$4,'ChatGPT data'!$B$3:$B$20000,$A61),IF($B61="LinkedIn Ads",SUMIFS('LinkedIn data'!$I$3:$I$20000,'LinkedIn data'!$A$3:$A$20000,"&gt;="&amp;F$3,'LinkedIn data'!$A$3:$A$20000,"&lt;="&amp;F$4,'LinkedIn data'!$B$3:$B$20000,$A61),0)))))</f>
        <v>0</v>
      </c>
      <c r="G61" s="14" t="n">
        <f aca="false">IF($A61="","",IF($B61="Meta",SUMIFS('Meta data'!$I$3:$I$20000,'Meta data'!$A$3:$A$20000,"&gt;="&amp;G$3,'Meta data'!$A$3:$A$20000,"&lt;="&amp;G$4,'Meta data'!$B$3:$B$20000,$A61),IF($B61="Google Ads",SUMIFS('Google data'!$I$3:$I$20000,'Google data'!$A$3:$A$20000,"&gt;="&amp;G$3,'Google data'!$A$3:$A$20000,"&lt;="&amp;G$4,'Google data'!$B$3:$B$20000,$A61),IF($B61="ChatGPT Ads",SUMIFS('ChatGPT data'!$I$3:$I$20000,'ChatGPT data'!$A$3:$A$20000,"&gt;="&amp;G$3,'ChatGPT data'!$A$3:$A$20000,"&lt;="&amp;G$4,'ChatGPT data'!$B$3:$B$20000,$A61),IF($B61="LinkedIn Ads",SUMIFS('LinkedIn data'!$I$3:$I$20000,'LinkedIn data'!$A$3:$A$20000,"&gt;="&amp;G$3,'LinkedIn data'!$A$3:$A$20000,"&lt;="&amp;G$4,'LinkedIn data'!$B$3:$B$20000,$A61),0)))))</f>
        <v>0</v>
      </c>
      <c r="H61" s="14" t="n">
        <f aca="false">IF($A61="","",IF($B61="Meta",SUMIFS('Meta data'!$I$3:$I$20000,'Meta data'!$A$3:$A$20000,"&gt;="&amp;H$3,'Meta data'!$A$3:$A$20000,"&lt;="&amp;H$4,'Meta data'!$B$3:$B$20000,$A61),IF($B61="Google Ads",SUMIFS('Google data'!$I$3:$I$20000,'Google data'!$A$3:$A$20000,"&gt;="&amp;H$3,'Google data'!$A$3:$A$20000,"&lt;="&amp;H$4,'Google data'!$B$3:$B$20000,$A61),IF($B61="ChatGPT Ads",SUMIFS('ChatGPT data'!$I$3:$I$20000,'ChatGPT data'!$A$3:$A$20000,"&gt;="&amp;H$3,'ChatGPT data'!$A$3:$A$20000,"&lt;="&amp;H$4,'ChatGPT data'!$B$3:$B$20000,$A61),IF($B61="LinkedIn Ads",SUMIFS('LinkedIn data'!$I$3:$I$20000,'LinkedIn data'!$A$3:$A$20000,"&gt;="&amp;H$3,'LinkedIn data'!$A$3:$A$20000,"&lt;="&amp;H$4,'LinkedIn data'!$B$3:$B$20000,$A61),0)))))</f>
        <v>0</v>
      </c>
      <c r="I61" s="14" t="n">
        <f aca="false">IF($A61="","",IF($B61="Meta",SUMIFS('Meta data'!$I$3:$I$20000,'Meta data'!$A$3:$A$20000,"&gt;="&amp;I$3,'Meta data'!$A$3:$A$20000,"&lt;="&amp;I$4,'Meta data'!$B$3:$B$20000,$A61),IF($B61="Google Ads",SUMIFS('Google data'!$I$3:$I$20000,'Google data'!$A$3:$A$20000,"&gt;="&amp;I$3,'Google data'!$A$3:$A$20000,"&lt;="&amp;I$4,'Google data'!$B$3:$B$20000,$A61),IF($B61="ChatGPT Ads",SUMIFS('ChatGPT data'!$I$3:$I$20000,'ChatGPT data'!$A$3:$A$20000,"&gt;="&amp;I$3,'ChatGPT data'!$A$3:$A$20000,"&lt;="&amp;I$4,'ChatGPT data'!$B$3:$B$20000,$A61),IF($B61="LinkedIn Ads",SUMIFS('LinkedIn data'!$I$3:$I$20000,'LinkedIn data'!$A$3:$A$20000,"&gt;="&amp;I$3,'LinkedIn data'!$A$3:$A$20000,"&lt;="&amp;I$4,'LinkedIn data'!$B$3:$B$20000,$A61),0)))))</f>
        <v>0</v>
      </c>
      <c r="J61" s="14" t="n">
        <f aca="false">IF($A61="","",IF($B61="Meta",SUMIFS('Meta data'!$I$3:$I$20000,'Meta data'!$A$3:$A$20000,"&gt;="&amp;J$3,'Meta data'!$A$3:$A$20000,"&lt;="&amp;J$4,'Meta data'!$B$3:$B$20000,$A61),IF($B61="Google Ads",SUMIFS('Google data'!$I$3:$I$20000,'Google data'!$A$3:$A$20000,"&gt;="&amp;J$3,'Google data'!$A$3:$A$20000,"&lt;="&amp;J$4,'Google data'!$B$3:$B$20000,$A61),IF($B61="ChatGPT Ads",SUMIFS('ChatGPT data'!$I$3:$I$20000,'ChatGPT data'!$A$3:$A$20000,"&gt;="&amp;J$3,'ChatGPT data'!$A$3:$A$20000,"&lt;="&amp;J$4,'ChatGPT data'!$B$3:$B$20000,$A61),IF($B61="LinkedIn Ads",SUMIFS('LinkedIn data'!$I$3:$I$20000,'LinkedIn data'!$A$3:$A$20000,"&gt;="&amp;J$3,'LinkedIn data'!$A$3:$A$20000,"&lt;="&amp;J$4,'LinkedIn data'!$B$3:$B$20000,$A61),0)))))</f>
        <v>0</v>
      </c>
      <c r="K61" s="14" t="n">
        <f aca="false">IF($A61="","",IF($B61="Meta",SUMIFS('Meta data'!$I$3:$I$20000,'Meta data'!$A$3:$A$20000,"&gt;="&amp;K$3,'Meta data'!$A$3:$A$20000,"&lt;="&amp;K$4,'Meta data'!$B$3:$B$20000,$A61),IF($B61="Google Ads",SUMIFS('Google data'!$I$3:$I$20000,'Google data'!$A$3:$A$20000,"&gt;="&amp;K$3,'Google data'!$A$3:$A$20000,"&lt;="&amp;K$4,'Google data'!$B$3:$B$20000,$A61),IF($B61="ChatGPT Ads",SUMIFS('ChatGPT data'!$I$3:$I$20000,'ChatGPT data'!$A$3:$A$20000,"&gt;="&amp;K$3,'ChatGPT data'!$A$3:$A$20000,"&lt;="&amp;K$4,'ChatGPT data'!$B$3:$B$20000,$A61),IF($B61="LinkedIn Ads",SUMIFS('LinkedIn data'!$I$3:$I$20000,'LinkedIn data'!$A$3:$A$20000,"&gt;="&amp;K$3,'LinkedIn data'!$A$3:$A$20000,"&lt;="&amp;K$4,'LinkedIn data'!$B$3:$B$20000,$A61),0)))))</f>
        <v>0</v>
      </c>
      <c r="L61" s="14" t="n">
        <f aca="false">IF($A61="","",IF($B61="Meta",SUMIFS('Meta data'!$I$3:$I$20000,'Meta data'!$A$3:$A$20000,"&gt;="&amp;L$3,'Meta data'!$A$3:$A$20000,"&lt;="&amp;L$4,'Meta data'!$B$3:$B$20000,$A61),IF($B61="Google Ads",SUMIFS('Google data'!$I$3:$I$20000,'Google data'!$A$3:$A$20000,"&gt;="&amp;L$3,'Google data'!$A$3:$A$20000,"&lt;="&amp;L$4,'Google data'!$B$3:$B$20000,$A61),IF($B61="ChatGPT Ads",SUMIFS('ChatGPT data'!$I$3:$I$20000,'ChatGPT data'!$A$3:$A$20000,"&gt;="&amp;L$3,'ChatGPT data'!$A$3:$A$20000,"&lt;="&amp;L$4,'ChatGPT data'!$B$3:$B$20000,$A61),IF($B61="LinkedIn Ads",SUMIFS('LinkedIn data'!$I$3:$I$20000,'LinkedIn data'!$A$3:$A$20000,"&gt;="&amp;L$3,'LinkedIn data'!$A$3:$A$20000,"&lt;="&amp;L$4,'LinkedIn data'!$B$3:$B$20000,$A61),0)))))</f>
        <v>0</v>
      </c>
      <c r="M61" s="14" t="n">
        <f aca="false">IF($A61="","",IF($B61="Meta",SUMIFS('Meta data'!$I$3:$I$20000,'Meta data'!$A$3:$A$20000,"&gt;="&amp;M$3,'Meta data'!$A$3:$A$20000,"&lt;="&amp;M$4,'Meta data'!$B$3:$B$20000,$A61),IF($B61="Google Ads",SUMIFS('Google data'!$I$3:$I$20000,'Google data'!$A$3:$A$20000,"&gt;="&amp;M$3,'Google data'!$A$3:$A$20000,"&lt;="&amp;M$4,'Google data'!$B$3:$B$20000,$A61),IF($B61="ChatGPT Ads",SUMIFS('ChatGPT data'!$I$3:$I$20000,'ChatGPT data'!$A$3:$A$20000,"&gt;="&amp;M$3,'ChatGPT data'!$A$3:$A$20000,"&lt;="&amp;M$4,'ChatGPT data'!$B$3:$B$20000,$A61),IF($B61="LinkedIn Ads",SUMIFS('LinkedIn data'!$I$3:$I$20000,'LinkedIn data'!$A$3:$A$20000,"&gt;="&amp;M$3,'LinkedIn data'!$A$3:$A$20000,"&lt;="&amp;M$4,'LinkedIn data'!$B$3:$B$20000,$A61),0)))))</f>
        <v>0</v>
      </c>
      <c r="N61" s="14" t="n">
        <f aca="false">IF($A61="","",IF($B61="Meta",SUMIFS('Meta data'!$I$3:$I$20000,'Meta data'!$A$3:$A$20000,"&gt;="&amp;N$3,'Meta data'!$A$3:$A$20000,"&lt;="&amp;N$4,'Meta data'!$B$3:$B$20000,$A61),IF($B61="Google Ads",SUMIFS('Google data'!$I$3:$I$20000,'Google data'!$A$3:$A$20000,"&gt;="&amp;N$3,'Google data'!$A$3:$A$20000,"&lt;="&amp;N$4,'Google data'!$B$3:$B$20000,$A61),IF($B61="ChatGPT Ads",SUMIFS('ChatGPT data'!$I$3:$I$20000,'ChatGPT data'!$A$3:$A$20000,"&gt;="&amp;N$3,'ChatGPT data'!$A$3:$A$20000,"&lt;="&amp;N$4,'ChatGPT data'!$B$3:$B$20000,$A61),IF($B61="LinkedIn Ads",SUMIFS('LinkedIn data'!$I$3:$I$20000,'LinkedIn data'!$A$3:$A$20000,"&gt;="&amp;N$3,'LinkedIn data'!$A$3:$A$20000,"&lt;="&amp;N$4,'LinkedIn data'!$B$3:$B$20000,$A61),0)))))</f>
        <v>55.952062</v>
      </c>
      <c r="O61" s="14" t="n">
        <f aca="false">IF($A61="","",IF($B61="Meta",SUMIFS('Meta data'!$I$3:$I$20000,'Meta data'!$A$3:$A$20000,"&gt;="&amp;O$3,'Meta data'!$A$3:$A$20000,"&lt;="&amp;O$4,'Meta data'!$B$3:$B$20000,$A61),IF($B61="Google Ads",SUMIFS('Google data'!$I$3:$I$20000,'Google data'!$A$3:$A$20000,"&gt;="&amp;O$3,'Google data'!$A$3:$A$20000,"&lt;="&amp;O$4,'Google data'!$B$3:$B$20000,$A61),IF($B61="ChatGPT Ads",SUMIFS('ChatGPT data'!$I$3:$I$20000,'ChatGPT data'!$A$3:$A$20000,"&gt;="&amp;O$3,'ChatGPT data'!$A$3:$A$20000,"&lt;="&amp;O$4,'ChatGPT data'!$B$3:$B$20000,$A61),IF($B61="LinkedIn Ads",SUMIFS('LinkedIn data'!$I$3:$I$20000,'LinkedIn data'!$A$3:$A$20000,"&gt;="&amp;O$3,'LinkedIn data'!$A$3:$A$20000,"&lt;="&amp;O$4,'LinkedIn data'!$B$3:$B$20000,$A61),0)))))</f>
        <v>0</v>
      </c>
      <c r="P61" s="14" t="n">
        <f aca="false">IF($A61="","",IF($B61="Meta",SUMIFS('Meta data'!$I$3:$I$20000,'Meta data'!$A$3:$A$20000,"&gt;="&amp;P$3,'Meta data'!$A$3:$A$20000,"&lt;="&amp;P$4,'Meta data'!$B$3:$B$20000,$A61),IF($B61="Google Ads",SUMIFS('Google data'!$I$3:$I$20000,'Google data'!$A$3:$A$20000,"&gt;="&amp;P$3,'Google data'!$A$3:$A$20000,"&lt;="&amp;P$4,'Google data'!$B$3:$B$20000,$A61),IF($B61="ChatGPT Ads",SUMIFS('ChatGPT data'!$I$3:$I$20000,'ChatGPT data'!$A$3:$A$20000,"&gt;="&amp;P$3,'ChatGPT data'!$A$3:$A$20000,"&lt;="&amp;P$4,'ChatGPT data'!$B$3:$B$20000,$A61),IF($B61="LinkedIn Ads",SUMIFS('LinkedIn data'!$I$3:$I$20000,'LinkedIn data'!$A$3:$A$20000,"&gt;="&amp;P$3,'LinkedIn data'!$A$3:$A$20000,"&lt;="&amp;P$4,'LinkedIn data'!$B$3:$B$20000,$A61),0)))))</f>
        <v>0</v>
      </c>
      <c r="Q61" s="14" t="n">
        <f aca="false">IF($A61="","",IF($B61="Meta",SUMIFS('Meta data'!$I$3:$I$20000,'Meta data'!$A$3:$A$20000,"&gt;="&amp;Q$3,'Meta data'!$A$3:$A$20000,"&lt;="&amp;Q$4,'Meta data'!$B$3:$B$20000,$A61),IF($B61="Google Ads",SUMIFS('Google data'!$I$3:$I$20000,'Google data'!$A$3:$A$20000,"&gt;="&amp;Q$3,'Google data'!$A$3:$A$20000,"&lt;="&amp;Q$4,'Google data'!$B$3:$B$20000,$A61),IF($B61="ChatGPT Ads",SUMIFS('ChatGPT data'!$I$3:$I$20000,'ChatGPT data'!$A$3:$A$20000,"&gt;="&amp;Q$3,'ChatGPT data'!$A$3:$A$20000,"&lt;="&amp;Q$4,'ChatGPT data'!$B$3:$B$20000,$A61),IF($B61="LinkedIn Ads",SUMIFS('LinkedIn data'!$I$3:$I$20000,'LinkedIn data'!$A$3:$A$20000,"&gt;="&amp;Q$3,'LinkedIn data'!$A$3:$A$20000,"&lt;="&amp;Q$4,'LinkedIn data'!$B$3:$B$20000,$A61),0)))))</f>
        <v>0</v>
      </c>
      <c r="R61" s="15" t="n">
        <f aca="false">IF($A61="","",SUM(F61:Q61))</f>
        <v>55.952062</v>
      </c>
      <c r="S61" s="37" t="n">
        <f aca="false">IF($A61="","",IF($B61="Meta",SUMIFS('Meta data'!$E$3:$E$20000,'Meta data'!$B$3:$B$20000,$A61),IF($B61="Google Ads",SUMIFS('Google data'!$E$3:$E$20000,'Google data'!$B$3:$B$20000,$A61),IF($B61="ChatGPT Ads",SUMIFS('ChatGPT data'!$E$3:$E$20000,'ChatGPT data'!$B$3:$B$20000,$A61),IF($B61="LinkedIn Ads",SUMIFS('LinkedIn data'!$E$3:$E$20000,'LinkedIn data'!$B$3:$B$20000,$A61),0)))))</f>
        <v>8</v>
      </c>
      <c r="T61" s="37" t="n">
        <f aca="false">IF($A61="","",IF($B61="Meta",SUMIFS('Meta data'!$F$3:$F$20000,'Meta data'!$B$3:$B$20000,$A61),IF($B61="Google Ads",SUMIFS('Google data'!$F$3:$F$20000,'Google data'!$B$3:$B$20000,$A61),IF($B61="ChatGPT Ads",SUMIFS('ChatGPT data'!$F$3:$F$20000,'ChatGPT data'!$B$3:$B$20000,$A61),IF($B61="LinkedIn Ads",SUMIFS('LinkedIn data'!$F$3:$F$20000,'LinkedIn data'!$B$3:$B$20000,$A61),0)))))</f>
        <v>0</v>
      </c>
      <c r="U61" s="38" t="str">
        <f aca="false">IF(OR($A61="",T61=0),"",R61/T61)</f>
        <v/>
      </c>
    </row>
    <row r="62" customFormat="false" ht="15" hidden="false" customHeight="false" outlineLevel="0" collapsed="false">
      <c r="A62" s="58" t="s">
        <v>221</v>
      </c>
      <c r="B62" s="58" t="s">
        <v>21</v>
      </c>
      <c r="C62" s="58" t="s">
        <v>126</v>
      </c>
      <c r="D62" s="58" t="s">
        <v>126</v>
      </c>
      <c r="E62" s="58" t="s">
        <v>159</v>
      </c>
      <c r="F62" s="14" t="n">
        <f aca="false">IF($A62="","",IF($B62="Meta",SUMIFS('Meta data'!$I$3:$I$20000,'Meta data'!$A$3:$A$20000,"&gt;="&amp;F$3,'Meta data'!$A$3:$A$20000,"&lt;="&amp;F$4,'Meta data'!$B$3:$B$20000,$A62),IF($B62="Google Ads",SUMIFS('Google data'!$I$3:$I$20000,'Google data'!$A$3:$A$20000,"&gt;="&amp;F$3,'Google data'!$A$3:$A$20000,"&lt;="&amp;F$4,'Google data'!$B$3:$B$20000,$A62),IF($B62="ChatGPT Ads",SUMIFS('ChatGPT data'!$I$3:$I$20000,'ChatGPT data'!$A$3:$A$20000,"&gt;="&amp;F$3,'ChatGPT data'!$A$3:$A$20000,"&lt;="&amp;F$4,'ChatGPT data'!$B$3:$B$20000,$A62),IF($B62="LinkedIn Ads",SUMIFS('LinkedIn data'!$I$3:$I$20000,'LinkedIn data'!$A$3:$A$20000,"&gt;="&amp;F$3,'LinkedIn data'!$A$3:$A$20000,"&lt;="&amp;F$4,'LinkedIn data'!$B$3:$B$20000,$A62),0)))))</f>
        <v>0</v>
      </c>
      <c r="G62" s="14" t="n">
        <f aca="false">IF($A62="","",IF($B62="Meta",SUMIFS('Meta data'!$I$3:$I$20000,'Meta data'!$A$3:$A$20000,"&gt;="&amp;G$3,'Meta data'!$A$3:$A$20000,"&lt;="&amp;G$4,'Meta data'!$B$3:$B$20000,$A62),IF($B62="Google Ads",SUMIFS('Google data'!$I$3:$I$20000,'Google data'!$A$3:$A$20000,"&gt;="&amp;G$3,'Google data'!$A$3:$A$20000,"&lt;="&amp;G$4,'Google data'!$B$3:$B$20000,$A62),IF($B62="ChatGPT Ads",SUMIFS('ChatGPT data'!$I$3:$I$20000,'ChatGPT data'!$A$3:$A$20000,"&gt;="&amp;G$3,'ChatGPT data'!$A$3:$A$20000,"&lt;="&amp;G$4,'ChatGPT data'!$B$3:$B$20000,$A62),IF($B62="LinkedIn Ads",SUMIFS('LinkedIn data'!$I$3:$I$20000,'LinkedIn data'!$A$3:$A$20000,"&gt;="&amp;G$3,'LinkedIn data'!$A$3:$A$20000,"&lt;="&amp;G$4,'LinkedIn data'!$B$3:$B$20000,$A62),0)))))</f>
        <v>0</v>
      </c>
      <c r="H62" s="14" t="n">
        <f aca="false">IF($A62="","",IF($B62="Meta",SUMIFS('Meta data'!$I$3:$I$20000,'Meta data'!$A$3:$A$20000,"&gt;="&amp;H$3,'Meta data'!$A$3:$A$20000,"&lt;="&amp;H$4,'Meta data'!$B$3:$B$20000,$A62),IF($B62="Google Ads",SUMIFS('Google data'!$I$3:$I$20000,'Google data'!$A$3:$A$20000,"&gt;="&amp;H$3,'Google data'!$A$3:$A$20000,"&lt;="&amp;H$4,'Google data'!$B$3:$B$20000,$A62),IF($B62="ChatGPT Ads",SUMIFS('ChatGPT data'!$I$3:$I$20000,'ChatGPT data'!$A$3:$A$20000,"&gt;="&amp;H$3,'ChatGPT data'!$A$3:$A$20000,"&lt;="&amp;H$4,'ChatGPT data'!$B$3:$B$20000,$A62),IF($B62="LinkedIn Ads",SUMIFS('LinkedIn data'!$I$3:$I$20000,'LinkedIn data'!$A$3:$A$20000,"&gt;="&amp;H$3,'LinkedIn data'!$A$3:$A$20000,"&lt;="&amp;H$4,'LinkedIn data'!$B$3:$B$20000,$A62),0)))))</f>
        <v>0</v>
      </c>
      <c r="I62" s="14" t="n">
        <f aca="false">IF($A62="","",IF($B62="Meta",SUMIFS('Meta data'!$I$3:$I$20000,'Meta data'!$A$3:$A$20000,"&gt;="&amp;I$3,'Meta data'!$A$3:$A$20000,"&lt;="&amp;I$4,'Meta data'!$B$3:$B$20000,$A62),IF($B62="Google Ads",SUMIFS('Google data'!$I$3:$I$20000,'Google data'!$A$3:$A$20000,"&gt;="&amp;I$3,'Google data'!$A$3:$A$20000,"&lt;="&amp;I$4,'Google data'!$B$3:$B$20000,$A62),IF($B62="ChatGPT Ads",SUMIFS('ChatGPT data'!$I$3:$I$20000,'ChatGPT data'!$A$3:$A$20000,"&gt;="&amp;I$3,'ChatGPT data'!$A$3:$A$20000,"&lt;="&amp;I$4,'ChatGPT data'!$B$3:$B$20000,$A62),IF($B62="LinkedIn Ads",SUMIFS('LinkedIn data'!$I$3:$I$20000,'LinkedIn data'!$A$3:$A$20000,"&gt;="&amp;I$3,'LinkedIn data'!$A$3:$A$20000,"&lt;="&amp;I$4,'LinkedIn data'!$B$3:$B$20000,$A62),0)))))</f>
        <v>0</v>
      </c>
      <c r="J62" s="14" t="n">
        <f aca="false">IF($A62="","",IF($B62="Meta",SUMIFS('Meta data'!$I$3:$I$20000,'Meta data'!$A$3:$A$20000,"&gt;="&amp;J$3,'Meta data'!$A$3:$A$20000,"&lt;="&amp;J$4,'Meta data'!$B$3:$B$20000,$A62),IF($B62="Google Ads",SUMIFS('Google data'!$I$3:$I$20000,'Google data'!$A$3:$A$20000,"&gt;="&amp;J$3,'Google data'!$A$3:$A$20000,"&lt;="&amp;J$4,'Google data'!$B$3:$B$20000,$A62),IF($B62="ChatGPT Ads",SUMIFS('ChatGPT data'!$I$3:$I$20000,'ChatGPT data'!$A$3:$A$20000,"&gt;="&amp;J$3,'ChatGPT data'!$A$3:$A$20000,"&lt;="&amp;J$4,'ChatGPT data'!$B$3:$B$20000,$A62),IF($B62="LinkedIn Ads",SUMIFS('LinkedIn data'!$I$3:$I$20000,'LinkedIn data'!$A$3:$A$20000,"&gt;="&amp;J$3,'LinkedIn data'!$A$3:$A$20000,"&lt;="&amp;J$4,'LinkedIn data'!$B$3:$B$20000,$A62),0)))))</f>
        <v>0</v>
      </c>
      <c r="K62" s="14" t="n">
        <f aca="false">IF($A62="","",IF($B62="Meta",SUMIFS('Meta data'!$I$3:$I$20000,'Meta data'!$A$3:$A$20000,"&gt;="&amp;K$3,'Meta data'!$A$3:$A$20000,"&lt;="&amp;K$4,'Meta data'!$B$3:$B$20000,$A62),IF($B62="Google Ads",SUMIFS('Google data'!$I$3:$I$20000,'Google data'!$A$3:$A$20000,"&gt;="&amp;K$3,'Google data'!$A$3:$A$20000,"&lt;="&amp;K$4,'Google data'!$B$3:$B$20000,$A62),IF($B62="ChatGPT Ads",SUMIFS('ChatGPT data'!$I$3:$I$20000,'ChatGPT data'!$A$3:$A$20000,"&gt;="&amp;K$3,'ChatGPT data'!$A$3:$A$20000,"&lt;="&amp;K$4,'ChatGPT data'!$B$3:$B$20000,$A62),IF($B62="LinkedIn Ads",SUMIFS('LinkedIn data'!$I$3:$I$20000,'LinkedIn data'!$A$3:$A$20000,"&gt;="&amp;K$3,'LinkedIn data'!$A$3:$A$20000,"&lt;="&amp;K$4,'LinkedIn data'!$B$3:$B$20000,$A62),0)))))</f>
        <v>0</v>
      </c>
      <c r="L62" s="14" t="n">
        <f aca="false">IF($A62="","",IF($B62="Meta",SUMIFS('Meta data'!$I$3:$I$20000,'Meta data'!$A$3:$A$20000,"&gt;="&amp;L$3,'Meta data'!$A$3:$A$20000,"&lt;="&amp;L$4,'Meta data'!$B$3:$B$20000,$A62),IF($B62="Google Ads",SUMIFS('Google data'!$I$3:$I$20000,'Google data'!$A$3:$A$20000,"&gt;="&amp;L$3,'Google data'!$A$3:$A$20000,"&lt;="&amp;L$4,'Google data'!$B$3:$B$20000,$A62),IF($B62="ChatGPT Ads",SUMIFS('ChatGPT data'!$I$3:$I$20000,'ChatGPT data'!$A$3:$A$20000,"&gt;="&amp;L$3,'ChatGPT data'!$A$3:$A$20000,"&lt;="&amp;L$4,'ChatGPT data'!$B$3:$B$20000,$A62),IF($B62="LinkedIn Ads",SUMIFS('LinkedIn data'!$I$3:$I$20000,'LinkedIn data'!$A$3:$A$20000,"&gt;="&amp;L$3,'LinkedIn data'!$A$3:$A$20000,"&lt;="&amp;L$4,'LinkedIn data'!$B$3:$B$20000,$A62),0)))))</f>
        <v>0</v>
      </c>
      <c r="M62" s="14" t="n">
        <f aca="false">IF($A62="","",IF($B62="Meta",SUMIFS('Meta data'!$I$3:$I$20000,'Meta data'!$A$3:$A$20000,"&gt;="&amp;M$3,'Meta data'!$A$3:$A$20000,"&lt;="&amp;M$4,'Meta data'!$B$3:$B$20000,$A62),IF($B62="Google Ads",SUMIFS('Google data'!$I$3:$I$20000,'Google data'!$A$3:$A$20000,"&gt;="&amp;M$3,'Google data'!$A$3:$A$20000,"&lt;="&amp;M$4,'Google data'!$B$3:$B$20000,$A62),IF($B62="ChatGPT Ads",SUMIFS('ChatGPT data'!$I$3:$I$20000,'ChatGPT data'!$A$3:$A$20000,"&gt;="&amp;M$3,'ChatGPT data'!$A$3:$A$20000,"&lt;="&amp;M$4,'ChatGPT data'!$B$3:$B$20000,$A62),IF($B62="LinkedIn Ads",SUMIFS('LinkedIn data'!$I$3:$I$20000,'LinkedIn data'!$A$3:$A$20000,"&gt;="&amp;M$3,'LinkedIn data'!$A$3:$A$20000,"&lt;="&amp;M$4,'LinkedIn data'!$B$3:$B$20000,$A62),0)))))</f>
        <v>0</v>
      </c>
      <c r="N62" s="14" t="n">
        <f aca="false">IF($A62="","",IF($B62="Meta",SUMIFS('Meta data'!$I$3:$I$20000,'Meta data'!$A$3:$A$20000,"&gt;="&amp;N$3,'Meta data'!$A$3:$A$20000,"&lt;="&amp;N$4,'Meta data'!$B$3:$B$20000,$A62),IF($B62="Google Ads",SUMIFS('Google data'!$I$3:$I$20000,'Google data'!$A$3:$A$20000,"&gt;="&amp;N$3,'Google data'!$A$3:$A$20000,"&lt;="&amp;N$4,'Google data'!$B$3:$B$20000,$A62),IF($B62="ChatGPT Ads",SUMIFS('ChatGPT data'!$I$3:$I$20000,'ChatGPT data'!$A$3:$A$20000,"&gt;="&amp;N$3,'ChatGPT data'!$A$3:$A$20000,"&lt;="&amp;N$4,'ChatGPT data'!$B$3:$B$20000,$A62),IF($B62="LinkedIn Ads",SUMIFS('LinkedIn data'!$I$3:$I$20000,'LinkedIn data'!$A$3:$A$20000,"&gt;="&amp;N$3,'LinkedIn data'!$A$3:$A$20000,"&lt;="&amp;N$4,'LinkedIn data'!$B$3:$B$20000,$A62),0)))))</f>
        <v>256.579212</v>
      </c>
      <c r="O62" s="14" t="n">
        <f aca="false">IF($A62="","",IF($B62="Meta",SUMIFS('Meta data'!$I$3:$I$20000,'Meta data'!$A$3:$A$20000,"&gt;="&amp;O$3,'Meta data'!$A$3:$A$20000,"&lt;="&amp;O$4,'Meta data'!$B$3:$B$20000,$A62),IF($B62="Google Ads",SUMIFS('Google data'!$I$3:$I$20000,'Google data'!$A$3:$A$20000,"&gt;="&amp;O$3,'Google data'!$A$3:$A$20000,"&lt;="&amp;O$4,'Google data'!$B$3:$B$20000,$A62),IF($B62="ChatGPT Ads",SUMIFS('ChatGPT data'!$I$3:$I$20000,'ChatGPT data'!$A$3:$A$20000,"&gt;="&amp;O$3,'ChatGPT data'!$A$3:$A$20000,"&lt;="&amp;O$4,'ChatGPT data'!$B$3:$B$20000,$A62),IF($B62="LinkedIn Ads",SUMIFS('LinkedIn data'!$I$3:$I$20000,'LinkedIn data'!$A$3:$A$20000,"&gt;="&amp;O$3,'LinkedIn data'!$A$3:$A$20000,"&lt;="&amp;O$4,'LinkedIn data'!$B$3:$B$20000,$A62),0)))))</f>
        <v>0</v>
      </c>
      <c r="P62" s="14" t="n">
        <f aca="false">IF($A62="","",IF($B62="Meta",SUMIFS('Meta data'!$I$3:$I$20000,'Meta data'!$A$3:$A$20000,"&gt;="&amp;P$3,'Meta data'!$A$3:$A$20000,"&lt;="&amp;P$4,'Meta data'!$B$3:$B$20000,$A62),IF($B62="Google Ads",SUMIFS('Google data'!$I$3:$I$20000,'Google data'!$A$3:$A$20000,"&gt;="&amp;P$3,'Google data'!$A$3:$A$20000,"&lt;="&amp;P$4,'Google data'!$B$3:$B$20000,$A62),IF($B62="ChatGPT Ads",SUMIFS('ChatGPT data'!$I$3:$I$20000,'ChatGPT data'!$A$3:$A$20000,"&gt;="&amp;P$3,'ChatGPT data'!$A$3:$A$20000,"&lt;="&amp;P$4,'ChatGPT data'!$B$3:$B$20000,$A62),IF($B62="LinkedIn Ads",SUMIFS('LinkedIn data'!$I$3:$I$20000,'LinkedIn data'!$A$3:$A$20000,"&gt;="&amp;P$3,'LinkedIn data'!$A$3:$A$20000,"&lt;="&amp;P$4,'LinkedIn data'!$B$3:$B$20000,$A62),0)))))</f>
        <v>0</v>
      </c>
      <c r="Q62" s="14" t="n">
        <f aca="false">IF($A62="","",IF($B62="Meta",SUMIFS('Meta data'!$I$3:$I$20000,'Meta data'!$A$3:$A$20000,"&gt;="&amp;Q$3,'Meta data'!$A$3:$A$20000,"&lt;="&amp;Q$4,'Meta data'!$B$3:$B$20000,$A62),IF($B62="Google Ads",SUMIFS('Google data'!$I$3:$I$20000,'Google data'!$A$3:$A$20000,"&gt;="&amp;Q$3,'Google data'!$A$3:$A$20000,"&lt;="&amp;Q$4,'Google data'!$B$3:$B$20000,$A62),IF($B62="ChatGPT Ads",SUMIFS('ChatGPT data'!$I$3:$I$20000,'ChatGPT data'!$A$3:$A$20000,"&gt;="&amp;Q$3,'ChatGPT data'!$A$3:$A$20000,"&lt;="&amp;Q$4,'ChatGPT data'!$B$3:$B$20000,$A62),IF($B62="LinkedIn Ads",SUMIFS('LinkedIn data'!$I$3:$I$20000,'LinkedIn data'!$A$3:$A$20000,"&gt;="&amp;Q$3,'LinkedIn data'!$A$3:$A$20000,"&lt;="&amp;Q$4,'LinkedIn data'!$B$3:$B$20000,$A62),0)))))</f>
        <v>0</v>
      </c>
      <c r="R62" s="15" t="n">
        <f aca="false">IF($A62="","",SUM(F62:Q62))</f>
        <v>256.579212</v>
      </c>
      <c r="S62" s="37" t="n">
        <f aca="false">IF($A62="","",IF($B62="Meta",SUMIFS('Meta data'!$E$3:$E$20000,'Meta data'!$B$3:$B$20000,$A62),IF($B62="Google Ads",SUMIFS('Google data'!$E$3:$E$20000,'Google data'!$B$3:$B$20000,$A62),IF($B62="ChatGPT Ads",SUMIFS('ChatGPT data'!$E$3:$E$20000,'ChatGPT data'!$B$3:$B$20000,$A62),IF($B62="LinkedIn Ads",SUMIFS('LinkedIn data'!$E$3:$E$20000,'LinkedIn data'!$B$3:$B$20000,$A62),0)))))</f>
        <v>43</v>
      </c>
      <c r="T62" s="37" t="n">
        <f aca="false">IF($A62="","",IF($B62="Meta",SUMIFS('Meta data'!$F$3:$F$20000,'Meta data'!$B$3:$B$20000,$A62),IF($B62="Google Ads",SUMIFS('Google data'!$F$3:$F$20000,'Google data'!$B$3:$B$20000,$A62),IF($B62="ChatGPT Ads",SUMIFS('ChatGPT data'!$F$3:$F$20000,'ChatGPT data'!$B$3:$B$20000,$A62),IF($B62="LinkedIn Ads",SUMIFS('LinkedIn data'!$F$3:$F$20000,'LinkedIn data'!$B$3:$B$20000,$A62),0)))))</f>
        <v>0</v>
      </c>
      <c r="U62" s="38" t="str">
        <f aca="false">IF(OR($A62="",T62=0),"",R62/T62)</f>
        <v/>
      </c>
    </row>
    <row r="63" customFormat="false" ht="15" hidden="false" customHeight="false" outlineLevel="0" collapsed="false">
      <c r="A63" s="59"/>
      <c r="B63" s="59"/>
      <c r="C63" s="59"/>
      <c r="D63" s="59"/>
      <c r="E63" s="59"/>
      <c r="F63" s="14" t="str">
        <f aca="false">IF($A63="","",IF($B63="Meta",SUMIFS('Meta data'!$I$3:$I$20000,'Meta data'!$A$3:$A$20000,"&gt;="&amp;F$3,'Meta data'!$A$3:$A$20000,"&lt;="&amp;F$4,'Meta data'!$B$3:$B$20000,$A63),IF($B63="Google Ads",SUMIFS('Google data'!$I$3:$I$20000,'Google data'!$A$3:$A$20000,"&gt;="&amp;F$3,'Google data'!$A$3:$A$20000,"&lt;="&amp;F$4,'Google data'!$B$3:$B$20000,$A63),IF($B63="ChatGPT Ads",SUMIFS('ChatGPT data'!$I$3:$I$20000,'ChatGPT data'!$A$3:$A$20000,"&gt;="&amp;F$3,'ChatGPT data'!$A$3:$A$20000,"&lt;="&amp;F$4,'ChatGPT data'!$B$3:$B$20000,$A63),IF($B63="LinkedIn Ads",SUMIFS('LinkedIn data'!$I$3:$I$20000,'LinkedIn data'!$A$3:$A$20000,"&gt;="&amp;F$3,'LinkedIn data'!$A$3:$A$20000,"&lt;="&amp;F$4,'LinkedIn data'!$B$3:$B$20000,$A63),0)))))</f>
        <v/>
      </c>
      <c r="G63" s="14" t="str">
        <f aca="false">IF($A63="","",IF($B63="Meta",SUMIFS('Meta data'!$I$3:$I$20000,'Meta data'!$A$3:$A$20000,"&gt;="&amp;G$3,'Meta data'!$A$3:$A$20000,"&lt;="&amp;G$4,'Meta data'!$B$3:$B$20000,$A63),IF($B63="Google Ads",SUMIFS('Google data'!$I$3:$I$20000,'Google data'!$A$3:$A$20000,"&gt;="&amp;G$3,'Google data'!$A$3:$A$20000,"&lt;="&amp;G$4,'Google data'!$B$3:$B$20000,$A63),IF($B63="ChatGPT Ads",SUMIFS('ChatGPT data'!$I$3:$I$20000,'ChatGPT data'!$A$3:$A$20000,"&gt;="&amp;G$3,'ChatGPT data'!$A$3:$A$20000,"&lt;="&amp;G$4,'ChatGPT data'!$B$3:$B$20000,$A63),IF($B63="LinkedIn Ads",SUMIFS('LinkedIn data'!$I$3:$I$20000,'LinkedIn data'!$A$3:$A$20000,"&gt;="&amp;G$3,'LinkedIn data'!$A$3:$A$20000,"&lt;="&amp;G$4,'LinkedIn data'!$B$3:$B$20000,$A63),0)))))</f>
        <v/>
      </c>
      <c r="H63" s="14" t="str">
        <f aca="false">IF($A63="","",IF($B63="Meta",SUMIFS('Meta data'!$I$3:$I$20000,'Meta data'!$A$3:$A$20000,"&gt;="&amp;H$3,'Meta data'!$A$3:$A$20000,"&lt;="&amp;H$4,'Meta data'!$B$3:$B$20000,$A63),IF($B63="Google Ads",SUMIFS('Google data'!$I$3:$I$20000,'Google data'!$A$3:$A$20000,"&gt;="&amp;H$3,'Google data'!$A$3:$A$20000,"&lt;="&amp;H$4,'Google data'!$B$3:$B$20000,$A63),IF($B63="ChatGPT Ads",SUMIFS('ChatGPT data'!$I$3:$I$20000,'ChatGPT data'!$A$3:$A$20000,"&gt;="&amp;H$3,'ChatGPT data'!$A$3:$A$20000,"&lt;="&amp;H$4,'ChatGPT data'!$B$3:$B$20000,$A63),IF($B63="LinkedIn Ads",SUMIFS('LinkedIn data'!$I$3:$I$20000,'LinkedIn data'!$A$3:$A$20000,"&gt;="&amp;H$3,'LinkedIn data'!$A$3:$A$20000,"&lt;="&amp;H$4,'LinkedIn data'!$B$3:$B$20000,$A63),0)))))</f>
        <v/>
      </c>
      <c r="I63" s="14" t="str">
        <f aca="false">IF($A63="","",IF($B63="Meta",SUMIFS('Meta data'!$I$3:$I$20000,'Meta data'!$A$3:$A$20000,"&gt;="&amp;I$3,'Meta data'!$A$3:$A$20000,"&lt;="&amp;I$4,'Meta data'!$B$3:$B$20000,$A63),IF($B63="Google Ads",SUMIFS('Google data'!$I$3:$I$20000,'Google data'!$A$3:$A$20000,"&gt;="&amp;I$3,'Google data'!$A$3:$A$20000,"&lt;="&amp;I$4,'Google data'!$B$3:$B$20000,$A63),IF($B63="ChatGPT Ads",SUMIFS('ChatGPT data'!$I$3:$I$20000,'ChatGPT data'!$A$3:$A$20000,"&gt;="&amp;I$3,'ChatGPT data'!$A$3:$A$20000,"&lt;="&amp;I$4,'ChatGPT data'!$B$3:$B$20000,$A63),IF($B63="LinkedIn Ads",SUMIFS('LinkedIn data'!$I$3:$I$20000,'LinkedIn data'!$A$3:$A$20000,"&gt;="&amp;I$3,'LinkedIn data'!$A$3:$A$20000,"&lt;="&amp;I$4,'LinkedIn data'!$B$3:$B$20000,$A63),0)))))</f>
        <v/>
      </c>
      <c r="J63" s="14" t="str">
        <f aca="false">IF($A63="","",IF($B63="Meta",SUMIFS('Meta data'!$I$3:$I$20000,'Meta data'!$A$3:$A$20000,"&gt;="&amp;J$3,'Meta data'!$A$3:$A$20000,"&lt;="&amp;J$4,'Meta data'!$B$3:$B$20000,$A63),IF($B63="Google Ads",SUMIFS('Google data'!$I$3:$I$20000,'Google data'!$A$3:$A$20000,"&gt;="&amp;J$3,'Google data'!$A$3:$A$20000,"&lt;="&amp;J$4,'Google data'!$B$3:$B$20000,$A63),IF($B63="ChatGPT Ads",SUMIFS('ChatGPT data'!$I$3:$I$20000,'ChatGPT data'!$A$3:$A$20000,"&gt;="&amp;J$3,'ChatGPT data'!$A$3:$A$20000,"&lt;="&amp;J$4,'ChatGPT data'!$B$3:$B$20000,$A63),IF($B63="LinkedIn Ads",SUMIFS('LinkedIn data'!$I$3:$I$20000,'LinkedIn data'!$A$3:$A$20000,"&gt;="&amp;J$3,'LinkedIn data'!$A$3:$A$20000,"&lt;="&amp;J$4,'LinkedIn data'!$B$3:$B$20000,$A63),0)))))</f>
        <v/>
      </c>
      <c r="K63" s="14" t="str">
        <f aca="false">IF($A63="","",IF($B63="Meta",SUMIFS('Meta data'!$I$3:$I$20000,'Meta data'!$A$3:$A$20000,"&gt;="&amp;K$3,'Meta data'!$A$3:$A$20000,"&lt;="&amp;K$4,'Meta data'!$B$3:$B$20000,$A63),IF($B63="Google Ads",SUMIFS('Google data'!$I$3:$I$20000,'Google data'!$A$3:$A$20000,"&gt;="&amp;K$3,'Google data'!$A$3:$A$20000,"&lt;="&amp;K$4,'Google data'!$B$3:$B$20000,$A63),IF($B63="ChatGPT Ads",SUMIFS('ChatGPT data'!$I$3:$I$20000,'ChatGPT data'!$A$3:$A$20000,"&gt;="&amp;K$3,'ChatGPT data'!$A$3:$A$20000,"&lt;="&amp;K$4,'ChatGPT data'!$B$3:$B$20000,$A63),IF($B63="LinkedIn Ads",SUMIFS('LinkedIn data'!$I$3:$I$20000,'LinkedIn data'!$A$3:$A$20000,"&gt;="&amp;K$3,'LinkedIn data'!$A$3:$A$20000,"&lt;="&amp;K$4,'LinkedIn data'!$B$3:$B$20000,$A63),0)))))</f>
        <v/>
      </c>
      <c r="L63" s="14" t="str">
        <f aca="false">IF($A63="","",IF($B63="Meta",SUMIFS('Meta data'!$I$3:$I$20000,'Meta data'!$A$3:$A$20000,"&gt;="&amp;L$3,'Meta data'!$A$3:$A$20000,"&lt;="&amp;L$4,'Meta data'!$B$3:$B$20000,$A63),IF($B63="Google Ads",SUMIFS('Google data'!$I$3:$I$20000,'Google data'!$A$3:$A$20000,"&gt;="&amp;L$3,'Google data'!$A$3:$A$20000,"&lt;="&amp;L$4,'Google data'!$B$3:$B$20000,$A63),IF($B63="ChatGPT Ads",SUMIFS('ChatGPT data'!$I$3:$I$20000,'ChatGPT data'!$A$3:$A$20000,"&gt;="&amp;L$3,'ChatGPT data'!$A$3:$A$20000,"&lt;="&amp;L$4,'ChatGPT data'!$B$3:$B$20000,$A63),IF($B63="LinkedIn Ads",SUMIFS('LinkedIn data'!$I$3:$I$20000,'LinkedIn data'!$A$3:$A$20000,"&gt;="&amp;L$3,'LinkedIn data'!$A$3:$A$20000,"&lt;="&amp;L$4,'LinkedIn data'!$B$3:$B$20000,$A63),0)))))</f>
        <v/>
      </c>
      <c r="M63" s="14" t="str">
        <f aca="false">IF($A63="","",IF($B63="Meta",SUMIFS('Meta data'!$I$3:$I$20000,'Meta data'!$A$3:$A$20000,"&gt;="&amp;M$3,'Meta data'!$A$3:$A$20000,"&lt;="&amp;M$4,'Meta data'!$B$3:$B$20000,$A63),IF($B63="Google Ads",SUMIFS('Google data'!$I$3:$I$20000,'Google data'!$A$3:$A$20000,"&gt;="&amp;M$3,'Google data'!$A$3:$A$20000,"&lt;="&amp;M$4,'Google data'!$B$3:$B$20000,$A63),IF($B63="ChatGPT Ads",SUMIFS('ChatGPT data'!$I$3:$I$20000,'ChatGPT data'!$A$3:$A$20000,"&gt;="&amp;M$3,'ChatGPT data'!$A$3:$A$20000,"&lt;="&amp;M$4,'ChatGPT data'!$B$3:$B$20000,$A63),IF($B63="LinkedIn Ads",SUMIFS('LinkedIn data'!$I$3:$I$20000,'LinkedIn data'!$A$3:$A$20000,"&gt;="&amp;M$3,'LinkedIn data'!$A$3:$A$20000,"&lt;="&amp;M$4,'LinkedIn data'!$B$3:$B$20000,$A63),0)))))</f>
        <v/>
      </c>
      <c r="N63" s="14" t="str">
        <f aca="false">IF($A63="","",IF($B63="Meta",SUMIFS('Meta data'!$I$3:$I$20000,'Meta data'!$A$3:$A$20000,"&gt;="&amp;N$3,'Meta data'!$A$3:$A$20000,"&lt;="&amp;N$4,'Meta data'!$B$3:$B$20000,$A63),IF($B63="Google Ads",SUMIFS('Google data'!$I$3:$I$20000,'Google data'!$A$3:$A$20000,"&gt;="&amp;N$3,'Google data'!$A$3:$A$20000,"&lt;="&amp;N$4,'Google data'!$B$3:$B$20000,$A63),IF($B63="ChatGPT Ads",SUMIFS('ChatGPT data'!$I$3:$I$20000,'ChatGPT data'!$A$3:$A$20000,"&gt;="&amp;N$3,'ChatGPT data'!$A$3:$A$20000,"&lt;="&amp;N$4,'ChatGPT data'!$B$3:$B$20000,$A63),IF($B63="LinkedIn Ads",SUMIFS('LinkedIn data'!$I$3:$I$20000,'LinkedIn data'!$A$3:$A$20000,"&gt;="&amp;N$3,'LinkedIn data'!$A$3:$A$20000,"&lt;="&amp;N$4,'LinkedIn data'!$B$3:$B$20000,$A63),0)))))</f>
        <v/>
      </c>
      <c r="O63" s="14" t="str">
        <f aca="false">IF($A63="","",IF($B63="Meta",SUMIFS('Meta data'!$I$3:$I$20000,'Meta data'!$A$3:$A$20000,"&gt;="&amp;O$3,'Meta data'!$A$3:$A$20000,"&lt;="&amp;O$4,'Meta data'!$B$3:$B$20000,$A63),IF($B63="Google Ads",SUMIFS('Google data'!$I$3:$I$20000,'Google data'!$A$3:$A$20000,"&gt;="&amp;O$3,'Google data'!$A$3:$A$20000,"&lt;="&amp;O$4,'Google data'!$B$3:$B$20000,$A63),IF($B63="ChatGPT Ads",SUMIFS('ChatGPT data'!$I$3:$I$20000,'ChatGPT data'!$A$3:$A$20000,"&gt;="&amp;O$3,'ChatGPT data'!$A$3:$A$20000,"&lt;="&amp;O$4,'ChatGPT data'!$B$3:$B$20000,$A63),IF($B63="LinkedIn Ads",SUMIFS('LinkedIn data'!$I$3:$I$20000,'LinkedIn data'!$A$3:$A$20000,"&gt;="&amp;O$3,'LinkedIn data'!$A$3:$A$20000,"&lt;="&amp;O$4,'LinkedIn data'!$B$3:$B$20000,$A63),0)))))</f>
        <v/>
      </c>
      <c r="P63" s="14" t="str">
        <f aca="false">IF($A63="","",IF($B63="Meta",SUMIFS('Meta data'!$I$3:$I$20000,'Meta data'!$A$3:$A$20000,"&gt;="&amp;P$3,'Meta data'!$A$3:$A$20000,"&lt;="&amp;P$4,'Meta data'!$B$3:$B$20000,$A63),IF($B63="Google Ads",SUMIFS('Google data'!$I$3:$I$20000,'Google data'!$A$3:$A$20000,"&gt;="&amp;P$3,'Google data'!$A$3:$A$20000,"&lt;="&amp;P$4,'Google data'!$B$3:$B$20000,$A63),IF($B63="ChatGPT Ads",SUMIFS('ChatGPT data'!$I$3:$I$20000,'ChatGPT data'!$A$3:$A$20000,"&gt;="&amp;P$3,'ChatGPT data'!$A$3:$A$20000,"&lt;="&amp;P$4,'ChatGPT data'!$B$3:$B$20000,$A63),IF($B63="LinkedIn Ads",SUMIFS('LinkedIn data'!$I$3:$I$20000,'LinkedIn data'!$A$3:$A$20000,"&gt;="&amp;P$3,'LinkedIn data'!$A$3:$A$20000,"&lt;="&amp;P$4,'LinkedIn data'!$B$3:$B$20000,$A63),0)))))</f>
        <v/>
      </c>
      <c r="Q63" s="14" t="str">
        <f aca="false">IF($A63="","",IF($B63="Meta",SUMIFS('Meta data'!$I$3:$I$20000,'Meta data'!$A$3:$A$20000,"&gt;="&amp;Q$3,'Meta data'!$A$3:$A$20000,"&lt;="&amp;Q$4,'Meta data'!$B$3:$B$20000,$A63),IF($B63="Google Ads",SUMIFS('Google data'!$I$3:$I$20000,'Google data'!$A$3:$A$20000,"&gt;="&amp;Q$3,'Google data'!$A$3:$A$20000,"&lt;="&amp;Q$4,'Google data'!$B$3:$B$20000,$A63),IF($B63="ChatGPT Ads",SUMIFS('ChatGPT data'!$I$3:$I$20000,'ChatGPT data'!$A$3:$A$20000,"&gt;="&amp;Q$3,'ChatGPT data'!$A$3:$A$20000,"&lt;="&amp;Q$4,'ChatGPT data'!$B$3:$B$20000,$A63),IF($B63="LinkedIn Ads",SUMIFS('LinkedIn data'!$I$3:$I$20000,'LinkedIn data'!$A$3:$A$20000,"&gt;="&amp;Q$3,'LinkedIn data'!$A$3:$A$20000,"&lt;="&amp;Q$4,'LinkedIn data'!$B$3:$B$20000,$A63),0)))))</f>
        <v/>
      </c>
      <c r="R63" s="15" t="str">
        <f aca="false">IF($A63="","",SUM(F63:Q63))</f>
        <v/>
      </c>
      <c r="S63" s="37" t="str">
        <f aca="false">IF($A63="","",IF($B63="Meta",SUMIFS('Meta data'!$E$3:$E$20000,'Meta data'!$B$3:$B$20000,$A63),IF($B63="Google Ads",SUMIFS('Google data'!$E$3:$E$20000,'Google data'!$B$3:$B$20000,$A63),IF($B63="ChatGPT Ads",SUMIFS('ChatGPT data'!$E$3:$E$20000,'ChatGPT data'!$B$3:$B$20000,$A63),IF($B63="LinkedIn Ads",SUMIFS('LinkedIn data'!$E$3:$E$20000,'LinkedIn data'!$B$3:$B$20000,$A63),0)))))</f>
        <v/>
      </c>
      <c r="T63" s="37" t="str">
        <f aca="false">IF($A63="","",IF($B63="Meta",SUMIFS('Meta data'!$F$3:$F$20000,'Meta data'!$B$3:$B$20000,$A63),IF($B63="Google Ads",SUMIFS('Google data'!$F$3:$F$20000,'Google data'!$B$3:$B$20000,$A63),IF($B63="ChatGPT Ads",SUMIFS('ChatGPT data'!$F$3:$F$20000,'ChatGPT data'!$B$3:$B$20000,$A63),IF($B63="LinkedIn Ads",SUMIFS('LinkedIn data'!$F$3:$F$20000,'LinkedIn data'!$B$3:$B$20000,$A63),0)))))</f>
        <v/>
      </c>
      <c r="U63" s="38" t="str">
        <f aca="false">IF(OR($A63="",T63=0),"",R63/T63)</f>
        <v/>
      </c>
    </row>
    <row r="64" customFormat="false" ht="15" hidden="false" customHeight="false" outlineLevel="0" collapsed="false">
      <c r="A64" s="59"/>
      <c r="B64" s="59"/>
      <c r="C64" s="59"/>
      <c r="D64" s="59"/>
      <c r="E64" s="59"/>
      <c r="F64" s="14" t="str">
        <f aca="false">IF($A64="","",IF($B64="Meta",SUMIFS('Meta data'!$I$3:$I$20000,'Meta data'!$A$3:$A$20000,"&gt;="&amp;F$3,'Meta data'!$A$3:$A$20000,"&lt;="&amp;F$4,'Meta data'!$B$3:$B$20000,$A64),IF($B64="Google Ads",SUMIFS('Google data'!$I$3:$I$20000,'Google data'!$A$3:$A$20000,"&gt;="&amp;F$3,'Google data'!$A$3:$A$20000,"&lt;="&amp;F$4,'Google data'!$B$3:$B$20000,$A64),IF($B64="ChatGPT Ads",SUMIFS('ChatGPT data'!$I$3:$I$20000,'ChatGPT data'!$A$3:$A$20000,"&gt;="&amp;F$3,'ChatGPT data'!$A$3:$A$20000,"&lt;="&amp;F$4,'ChatGPT data'!$B$3:$B$20000,$A64),IF($B64="LinkedIn Ads",SUMIFS('LinkedIn data'!$I$3:$I$20000,'LinkedIn data'!$A$3:$A$20000,"&gt;="&amp;F$3,'LinkedIn data'!$A$3:$A$20000,"&lt;="&amp;F$4,'LinkedIn data'!$B$3:$B$20000,$A64),0)))))</f>
        <v/>
      </c>
      <c r="G64" s="14" t="str">
        <f aca="false">IF($A64="","",IF($B64="Meta",SUMIFS('Meta data'!$I$3:$I$20000,'Meta data'!$A$3:$A$20000,"&gt;="&amp;G$3,'Meta data'!$A$3:$A$20000,"&lt;="&amp;G$4,'Meta data'!$B$3:$B$20000,$A64),IF($B64="Google Ads",SUMIFS('Google data'!$I$3:$I$20000,'Google data'!$A$3:$A$20000,"&gt;="&amp;G$3,'Google data'!$A$3:$A$20000,"&lt;="&amp;G$4,'Google data'!$B$3:$B$20000,$A64),IF($B64="ChatGPT Ads",SUMIFS('ChatGPT data'!$I$3:$I$20000,'ChatGPT data'!$A$3:$A$20000,"&gt;="&amp;G$3,'ChatGPT data'!$A$3:$A$20000,"&lt;="&amp;G$4,'ChatGPT data'!$B$3:$B$20000,$A64),IF($B64="LinkedIn Ads",SUMIFS('LinkedIn data'!$I$3:$I$20000,'LinkedIn data'!$A$3:$A$20000,"&gt;="&amp;G$3,'LinkedIn data'!$A$3:$A$20000,"&lt;="&amp;G$4,'LinkedIn data'!$B$3:$B$20000,$A64),0)))))</f>
        <v/>
      </c>
      <c r="H64" s="14" t="str">
        <f aca="false">IF($A64="","",IF($B64="Meta",SUMIFS('Meta data'!$I$3:$I$20000,'Meta data'!$A$3:$A$20000,"&gt;="&amp;H$3,'Meta data'!$A$3:$A$20000,"&lt;="&amp;H$4,'Meta data'!$B$3:$B$20000,$A64),IF($B64="Google Ads",SUMIFS('Google data'!$I$3:$I$20000,'Google data'!$A$3:$A$20000,"&gt;="&amp;H$3,'Google data'!$A$3:$A$20000,"&lt;="&amp;H$4,'Google data'!$B$3:$B$20000,$A64),IF($B64="ChatGPT Ads",SUMIFS('ChatGPT data'!$I$3:$I$20000,'ChatGPT data'!$A$3:$A$20000,"&gt;="&amp;H$3,'ChatGPT data'!$A$3:$A$20000,"&lt;="&amp;H$4,'ChatGPT data'!$B$3:$B$20000,$A64),IF($B64="LinkedIn Ads",SUMIFS('LinkedIn data'!$I$3:$I$20000,'LinkedIn data'!$A$3:$A$20000,"&gt;="&amp;H$3,'LinkedIn data'!$A$3:$A$20000,"&lt;="&amp;H$4,'LinkedIn data'!$B$3:$B$20000,$A64),0)))))</f>
        <v/>
      </c>
      <c r="I64" s="14" t="str">
        <f aca="false">IF($A64="","",IF($B64="Meta",SUMIFS('Meta data'!$I$3:$I$20000,'Meta data'!$A$3:$A$20000,"&gt;="&amp;I$3,'Meta data'!$A$3:$A$20000,"&lt;="&amp;I$4,'Meta data'!$B$3:$B$20000,$A64),IF($B64="Google Ads",SUMIFS('Google data'!$I$3:$I$20000,'Google data'!$A$3:$A$20000,"&gt;="&amp;I$3,'Google data'!$A$3:$A$20000,"&lt;="&amp;I$4,'Google data'!$B$3:$B$20000,$A64),IF($B64="ChatGPT Ads",SUMIFS('ChatGPT data'!$I$3:$I$20000,'ChatGPT data'!$A$3:$A$20000,"&gt;="&amp;I$3,'ChatGPT data'!$A$3:$A$20000,"&lt;="&amp;I$4,'ChatGPT data'!$B$3:$B$20000,$A64),IF($B64="LinkedIn Ads",SUMIFS('LinkedIn data'!$I$3:$I$20000,'LinkedIn data'!$A$3:$A$20000,"&gt;="&amp;I$3,'LinkedIn data'!$A$3:$A$20000,"&lt;="&amp;I$4,'LinkedIn data'!$B$3:$B$20000,$A64),0)))))</f>
        <v/>
      </c>
      <c r="J64" s="14" t="str">
        <f aca="false">IF($A64="","",IF($B64="Meta",SUMIFS('Meta data'!$I$3:$I$20000,'Meta data'!$A$3:$A$20000,"&gt;="&amp;J$3,'Meta data'!$A$3:$A$20000,"&lt;="&amp;J$4,'Meta data'!$B$3:$B$20000,$A64),IF($B64="Google Ads",SUMIFS('Google data'!$I$3:$I$20000,'Google data'!$A$3:$A$20000,"&gt;="&amp;J$3,'Google data'!$A$3:$A$20000,"&lt;="&amp;J$4,'Google data'!$B$3:$B$20000,$A64),IF($B64="ChatGPT Ads",SUMIFS('ChatGPT data'!$I$3:$I$20000,'ChatGPT data'!$A$3:$A$20000,"&gt;="&amp;J$3,'ChatGPT data'!$A$3:$A$20000,"&lt;="&amp;J$4,'ChatGPT data'!$B$3:$B$20000,$A64),IF($B64="LinkedIn Ads",SUMIFS('LinkedIn data'!$I$3:$I$20000,'LinkedIn data'!$A$3:$A$20000,"&gt;="&amp;J$3,'LinkedIn data'!$A$3:$A$20000,"&lt;="&amp;J$4,'LinkedIn data'!$B$3:$B$20000,$A64),0)))))</f>
        <v/>
      </c>
      <c r="K64" s="14" t="str">
        <f aca="false">IF($A64="","",IF($B64="Meta",SUMIFS('Meta data'!$I$3:$I$20000,'Meta data'!$A$3:$A$20000,"&gt;="&amp;K$3,'Meta data'!$A$3:$A$20000,"&lt;="&amp;K$4,'Meta data'!$B$3:$B$20000,$A64),IF($B64="Google Ads",SUMIFS('Google data'!$I$3:$I$20000,'Google data'!$A$3:$A$20000,"&gt;="&amp;K$3,'Google data'!$A$3:$A$20000,"&lt;="&amp;K$4,'Google data'!$B$3:$B$20000,$A64),IF($B64="ChatGPT Ads",SUMIFS('ChatGPT data'!$I$3:$I$20000,'ChatGPT data'!$A$3:$A$20000,"&gt;="&amp;K$3,'ChatGPT data'!$A$3:$A$20000,"&lt;="&amp;K$4,'ChatGPT data'!$B$3:$B$20000,$A64),IF($B64="LinkedIn Ads",SUMIFS('LinkedIn data'!$I$3:$I$20000,'LinkedIn data'!$A$3:$A$20000,"&gt;="&amp;K$3,'LinkedIn data'!$A$3:$A$20000,"&lt;="&amp;K$4,'LinkedIn data'!$B$3:$B$20000,$A64),0)))))</f>
        <v/>
      </c>
      <c r="L64" s="14" t="str">
        <f aca="false">IF($A64="","",IF($B64="Meta",SUMIFS('Meta data'!$I$3:$I$20000,'Meta data'!$A$3:$A$20000,"&gt;="&amp;L$3,'Meta data'!$A$3:$A$20000,"&lt;="&amp;L$4,'Meta data'!$B$3:$B$20000,$A64),IF($B64="Google Ads",SUMIFS('Google data'!$I$3:$I$20000,'Google data'!$A$3:$A$20000,"&gt;="&amp;L$3,'Google data'!$A$3:$A$20000,"&lt;="&amp;L$4,'Google data'!$B$3:$B$20000,$A64),IF($B64="ChatGPT Ads",SUMIFS('ChatGPT data'!$I$3:$I$20000,'ChatGPT data'!$A$3:$A$20000,"&gt;="&amp;L$3,'ChatGPT data'!$A$3:$A$20000,"&lt;="&amp;L$4,'ChatGPT data'!$B$3:$B$20000,$A64),IF($B64="LinkedIn Ads",SUMIFS('LinkedIn data'!$I$3:$I$20000,'LinkedIn data'!$A$3:$A$20000,"&gt;="&amp;L$3,'LinkedIn data'!$A$3:$A$20000,"&lt;="&amp;L$4,'LinkedIn data'!$B$3:$B$20000,$A64),0)))))</f>
        <v/>
      </c>
      <c r="M64" s="14" t="str">
        <f aca="false">IF($A64="","",IF($B64="Meta",SUMIFS('Meta data'!$I$3:$I$20000,'Meta data'!$A$3:$A$20000,"&gt;="&amp;M$3,'Meta data'!$A$3:$A$20000,"&lt;="&amp;M$4,'Meta data'!$B$3:$B$20000,$A64),IF($B64="Google Ads",SUMIFS('Google data'!$I$3:$I$20000,'Google data'!$A$3:$A$20000,"&gt;="&amp;M$3,'Google data'!$A$3:$A$20000,"&lt;="&amp;M$4,'Google data'!$B$3:$B$20000,$A64),IF($B64="ChatGPT Ads",SUMIFS('ChatGPT data'!$I$3:$I$20000,'ChatGPT data'!$A$3:$A$20000,"&gt;="&amp;M$3,'ChatGPT data'!$A$3:$A$20000,"&lt;="&amp;M$4,'ChatGPT data'!$B$3:$B$20000,$A64),IF($B64="LinkedIn Ads",SUMIFS('LinkedIn data'!$I$3:$I$20000,'LinkedIn data'!$A$3:$A$20000,"&gt;="&amp;M$3,'LinkedIn data'!$A$3:$A$20000,"&lt;="&amp;M$4,'LinkedIn data'!$B$3:$B$20000,$A64),0)))))</f>
        <v/>
      </c>
      <c r="N64" s="14" t="str">
        <f aca="false">IF($A64="","",IF($B64="Meta",SUMIFS('Meta data'!$I$3:$I$20000,'Meta data'!$A$3:$A$20000,"&gt;="&amp;N$3,'Meta data'!$A$3:$A$20000,"&lt;="&amp;N$4,'Meta data'!$B$3:$B$20000,$A64),IF($B64="Google Ads",SUMIFS('Google data'!$I$3:$I$20000,'Google data'!$A$3:$A$20000,"&gt;="&amp;N$3,'Google data'!$A$3:$A$20000,"&lt;="&amp;N$4,'Google data'!$B$3:$B$20000,$A64),IF($B64="ChatGPT Ads",SUMIFS('ChatGPT data'!$I$3:$I$20000,'ChatGPT data'!$A$3:$A$20000,"&gt;="&amp;N$3,'ChatGPT data'!$A$3:$A$20000,"&lt;="&amp;N$4,'ChatGPT data'!$B$3:$B$20000,$A64),IF($B64="LinkedIn Ads",SUMIFS('LinkedIn data'!$I$3:$I$20000,'LinkedIn data'!$A$3:$A$20000,"&gt;="&amp;N$3,'LinkedIn data'!$A$3:$A$20000,"&lt;="&amp;N$4,'LinkedIn data'!$B$3:$B$20000,$A64),0)))))</f>
        <v/>
      </c>
      <c r="O64" s="14" t="str">
        <f aca="false">IF($A64="","",IF($B64="Meta",SUMIFS('Meta data'!$I$3:$I$20000,'Meta data'!$A$3:$A$20000,"&gt;="&amp;O$3,'Meta data'!$A$3:$A$20000,"&lt;="&amp;O$4,'Meta data'!$B$3:$B$20000,$A64),IF($B64="Google Ads",SUMIFS('Google data'!$I$3:$I$20000,'Google data'!$A$3:$A$20000,"&gt;="&amp;O$3,'Google data'!$A$3:$A$20000,"&lt;="&amp;O$4,'Google data'!$B$3:$B$20000,$A64),IF($B64="ChatGPT Ads",SUMIFS('ChatGPT data'!$I$3:$I$20000,'ChatGPT data'!$A$3:$A$20000,"&gt;="&amp;O$3,'ChatGPT data'!$A$3:$A$20000,"&lt;="&amp;O$4,'ChatGPT data'!$B$3:$B$20000,$A64),IF($B64="LinkedIn Ads",SUMIFS('LinkedIn data'!$I$3:$I$20000,'LinkedIn data'!$A$3:$A$20000,"&gt;="&amp;O$3,'LinkedIn data'!$A$3:$A$20000,"&lt;="&amp;O$4,'LinkedIn data'!$B$3:$B$20000,$A64),0)))))</f>
        <v/>
      </c>
      <c r="P64" s="14" t="str">
        <f aca="false">IF($A64="","",IF($B64="Meta",SUMIFS('Meta data'!$I$3:$I$20000,'Meta data'!$A$3:$A$20000,"&gt;="&amp;P$3,'Meta data'!$A$3:$A$20000,"&lt;="&amp;P$4,'Meta data'!$B$3:$B$20000,$A64),IF($B64="Google Ads",SUMIFS('Google data'!$I$3:$I$20000,'Google data'!$A$3:$A$20000,"&gt;="&amp;P$3,'Google data'!$A$3:$A$20000,"&lt;="&amp;P$4,'Google data'!$B$3:$B$20000,$A64),IF($B64="ChatGPT Ads",SUMIFS('ChatGPT data'!$I$3:$I$20000,'ChatGPT data'!$A$3:$A$20000,"&gt;="&amp;P$3,'ChatGPT data'!$A$3:$A$20000,"&lt;="&amp;P$4,'ChatGPT data'!$B$3:$B$20000,$A64),IF($B64="LinkedIn Ads",SUMIFS('LinkedIn data'!$I$3:$I$20000,'LinkedIn data'!$A$3:$A$20000,"&gt;="&amp;P$3,'LinkedIn data'!$A$3:$A$20000,"&lt;="&amp;P$4,'LinkedIn data'!$B$3:$B$20000,$A64),0)))))</f>
        <v/>
      </c>
      <c r="Q64" s="14" t="str">
        <f aca="false">IF($A64="","",IF($B64="Meta",SUMIFS('Meta data'!$I$3:$I$20000,'Meta data'!$A$3:$A$20000,"&gt;="&amp;Q$3,'Meta data'!$A$3:$A$20000,"&lt;="&amp;Q$4,'Meta data'!$B$3:$B$20000,$A64),IF($B64="Google Ads",SUMIFS('Google data'!$I$3:$I$20000,'Google data'!$A$3:$A$20000,"&gt;="&amp;Q$3,'Google data'!$A$3:$A$20000,"&lt;="&amp;Q$4,'Google data'!$B$3:$B$20000,$A64),IF($B64="ChatGPT Ads",SUMIFS('ChatGPT data'!$I$3:$I$20000,'ChatGPT data'!$A$3:$A$20000,"&gt;="&amp;Q$3,'ChatGPT data'!$A$3:$A$20000,"&lt;="&amp;Q$4,'ChatGPT data'!$B$3:$B$20000,$A64),IF($B64="LinkedIn Ads",SUMIFS('LinkedIn data'!$I$3:$I$20000,'LinkedIn data'!$A$3:$A$20000,"&gt;="&amp;Q$3,'LinkedIn data'!$A$3:$A$20000,"&lt;="&amp;Q$4,'LinkedIn data'!$B$3:$B$20000,$A64),0)))))</f>
        <v/>
      </c>
      <c r="R64" s="15" t="str">
        <f aca="false">IF($A64="","",SUM(F64:Q64))</f>
        <v/>
      </c>
      <c r="S64" s="37" t="str">
        <f aca="false">IF($A64="","",IF($B64="Meta",SUMIFS('Meta data'!$E$3:$E$20000,'Meta data'!$B$3:$B$20000,$A64),IF($B64="Google Ads",SUMIFS('Google data'!$E$3:$E$20000,'Google data'!$B$3:$B$20000,$A64),IF($B64="ChatGPT Ads",SUMIFS('ChatGPT data'!$E$3:$E$20000,'ChatGPT data'!$B$3:$B$20000,$A64),IF($B64="LinkedIn Ads",SUMIFS('LinkedIn data'!$E$3:$E$20000,'LinkedIn data'!$B$3:$B$20000,$A64),0)))))</f>
        <v/>
      </c>
      <c r="T64" s="37" t="str">
        <f aca="false">IF($A64="","",IF($B64="Meta",SUMIFS('Meta data'!$F$3:$F$20000,'Meta data'!$B$3:$B$20000,$A64),IF($B64="Google Ads",SUMIFS('Google data'!$F$3:$F$20000,'Google data'!$B$3:$B$20000,$A64),IF($B64="ChatGPT Ads",SUMIFS('ChatGPT data'!$F$3:$F$20000,'ChatGPT data'!$B$3:$B$20000,$A64),IF($B64="LinkedIn Ads",SUMIFS('LinkedIn data'!$F$3:$F$20000,'LinkedIn data'!$B$3:$B$20000,$A64),0)))))</f>
        <v/>
      </c>
      <c r="U64" s="38" t="str">
        <f aca="false">IF(OR($A64="",T64=0),"",R64/T64)</f>
        <v/>
      </c>
    </row>
    <row r="65" customFormat="false" ht="15" hidden="false" customHeight="false" outlineLevel="0" collapsed="false">
      <c r="A65" s="59"/>
      <c r="B65" s="59"/>
      <c r="C65" s="59"/>
      <c r="D65" s="59"/>
      <c r="E65" s="59"/>
      <c r="F65" s="14" t="str">
        <f aca="false">IF($A65="","",IF($B65="Meta",SUMIFS('Meta data'!$I$3:$I$20000,'Meta data'!$A$3:$A$20000,"&gt;="&amp;F$3,'Meta data'!$A$3:$A$20000,"&lt;="&amp;F$4,'Meta data'!$B$3:$B$20000,$A65),IF($B65="Google Ads",SUMIFS('Google data'!$I$3:$I$20000,'Google data'!$A$3:$A$20000,"&gt;="&amp;F$3,'Google data'!$A$3:$A$20000,"&lt;="&amp;F$4,'Google data'!$B$3:$B$20000,$A65),IF($B65="ChatGPT Ads",SUMIFS('ChatGPT data'!$I$3:$I$20000,'ChatGPT data'!$A$3:$A$20000,"&gt;="&amp;F$3,'ChatGPT data'!$A$3:$A$20000,"&lt;="&amp;F$4,'ChatGPT data'!$B$3:$B$20000,$A65),IF($B65="LinkedIn Ads",SUMIFS('LinkedIn data'!$I$3:$I$20000,'LinkedIn data'!$A$3:$A$20000,"&gt;="&amp;F$3,'LinkedIn data'!$A$3:$A$20000,"&lt;="&amp;F$4,'LinkedIn data'!$B$3:$B$20000,$A65),0)))))</f>
        <v/>
      </c>
      <c r="G65" s="14" t="str">
        <f aca="false">IF($A65="","",IF($B65="Meta",SUMIFS('Meta data'!$I$3:$I$20000,'Meta data'!$A$3:$A$20000,"&gt;="&amp;G$3,'Meta data'!$A$3:$A$20000,"&lt;="&amp;G$4,'Meta data'!$B$3:$B$20000,$A65),IF($B65="Google Ads",SUMIFS('Google data'!$I$3:$I$20000,'Google data'!$A$3:$A$20000,"&gt;="&amp;G$3,'Google data'!$A$3:$A$20000,"&lt;="&amp;G$4,'Google data'!$B$3:$B$20000,$A65),IF($B65="ChatGPT Ads",SUMIFS('ChatGPT data'!$I$3:$I$20000,'ChatGPT data'!$A$3:$A$20000,"&gt;="&amp;G$3,'ChatGPT data'!$A$3:$A$20000,"&lt;="&amp;G$4,'ChatGPT data'!$B$3:$B$20000,$A65),IF($B65="LinkedIn Ads",SUMIFS('LinkedIn data'!$I$3:$I$20000,'LinkedIn data'!$A$3:$A$20000,"&gt;="&amp;G$3,'LinkedIn data'!$A$3:$A$20000,"&lt;="&amp;G$4,'LinkedIn data'!$B$3:$B$20000,$A65),0)))))</f>
        <v/>
      </c>
      <c r="H65" s="14" t="str">
        <f aca="false">IF($A65="","",IF($B65="Meta",SUMIFS('Meta data'!$I$3:$I$20000,'Meta data'!$A$3:$A$20000,"&gt;="&amp;H$3,'Meta data'!$A$3:$A$20000,"&lt;="&amp;H$4,'Meta data'!$B$3:$B$20000,$A65),IF($B65="Google Ads",SUMIFS('Google data'!$I$3:$I$20000,'Google data'!$A$3:$A$20000,"&gt;="&amp;H$3,'Google data'!$A$3:$A$20000,"&lt;="&amp;H$4,'Google data'!$B$3:$B$20000,$A65),IF($B65="ChatGPT Ads",SUMIFS('ChatGPT data'!$I$3:$I$20000,'ChatGPT data'!$A$3:$A$20000,"&gt;="&amp;H$3,'ChatGPT data'!$A$3:$A$20000,"&lt;="&amp;H$4,'ChatGPT data'!$B$3:$B$20000,$A65),IF($B65="LinkedIn Ads",SUMIFS('LinkedIn data'!$I$3:$I$20000,'LinkedIn data'!$A$3:$A$20000,"&gt;="&amp;H$3,'LinkedIn data'!$A$3:$A$20000,"&lt;="&amp;H$4,'LinkedIn data'!$B$3:$B$20000,$A65),0)))))</f>
        <v/>
      </c>
      <c r="I65" s="14" t="str">
        <f aca="false">IF($A65="","",IF($B65="Meta",SUMIFS('Meta data'!$I$3:$I$20000,'Meta data'!$A$3:$A$20000,"&gt;="&amp;I$3,'Meta data'!$A$3:$A$20000,"&lt;="&amp;I$4,'Meta data'!$B$3:$B$20000,$A65),IF($B65="Google Ads",SUMIFS('Google data'!$I$3:$I$20000,'Google data'!$A$3:$A$20000,"&gt;="&amp;I$3,'Google data'!$A$3:$A$20000,"&lt;="&amp;I$4,'Google data'!$B$3:$B$20000,$A65),IF($B65="ChatGPT Ads",SUMIFS('ChatGPT data'!$I$3:$I$20000,'ChatGPT data'!$A$3:$A$20000,"&gt;="&amp;I$3,'ChatGPT data'!$A$3:$A$20000,"&lt;="&amp;I$4,'ChatGPT data'!$B$3:$B$20000,$A65),IF($B65="LinkedIn Ads",SUMIFS('LinkedIn data'!$I$3:$I$20000,'LinkedIn data'!$A$3:$A$20000,"&gt;="&amp;I$3,'LinkedIn data'!$A$3:$A$20000,"&lt;="&amp;I$4,'LinkedIn data'!$B$3:$B$20000,$A65),0)))))</f>
        <v/>
      </c>
      <c r="J65" s="14" t="str">
        <f aca="false">IF($A65="","",IF($B65="Meta",SUMIFS('Meta data'!$I$3:$I$20000,'Meta data'!$A$3:$A$20000,"&gt;="&amp;J$3,'Meta data'!$A$3:$A$20000,"&lt;="&amp;J$4,'Meta data'!$B$3:$B$20000,$A65),IF($B65="Google Ads",SUMIFS('Google data'!$I$3:$I$20000,'Google data'!$A$3:$A$20000,"&gt;="&amp;J$3,'Google data'!$A$3:$A$20000,"&lt;="&amp;J$4,'Google data'!$B$3:$B$20000,$A65),IF($B65="ChatGPT Ads",SUMIFS('ChatGPT data'!$I$3:$I$20000,'ChatGPT data'!$A$3:$A$20000,"&gt;="&amp;J$3,'ChatGPT data'!$A$3:$A$20000,"&lt;="&amp;J$4,'ChatGPT data'!$B$3:$B$20000,$A65),IF($B65="LinkedIn Ads",SUMIFS('LinkedIn data'!$I$3:$I$20000,'LinkedIn data'!$A$3:$A$20000,"&gt;="&amp;J$3,'LinkedIn data'!$A$3:$A$20000,"&lt;="&amp;J$4,'LinkedIn data'!$B$3:$B$20000,$A65),0)))))</f>
        <v/>
      </c>
      <c r="K65" s="14" t="str">
        <f aca="false">IF($A65="","",IF($B65="Meta",SUMIFS('Meta data'!$I$3:$I$20000,'Meta data'!$A$3:$A$20000,"&gt;="&amp;K$3,'Meta data'!$A$3:$A$20000,"&lt;="&amp;K$4,'Meta data'!$B$3:$B$20000,$A65),IF($B65="Google Ads",SUMIFS('Google data'!$I$3:$I$20000,'Google data'!$A$3:$A$20000,"&gt;="&amp;K$3,'Google data'!$A$3:$A$20000,"&lt;="&amp;K$4,'Google data'!$B$3:$B$20000,$A65),IF($B65="ChatGPT Ads",SUMIFS('ChatGPT data'!$I$3:$I$20000,'ChatGPT data'!$A$3:$A$20000,"&gt;="&amp;K$3,'ChatGPT data'!$A$3:$A$20000,"&lt;="&amp;K$4,'ChatGPT data'!$B$3:$B$20000,$A65),IF($B65="LinkedIn Ads",SUMIFS('LinkedIn data'!$I$3:$I$20000,'LinkedIn data'!$A$3:$A$20000,"&gt;="&amp;K$3,'LinkedIn data'!$A$3:$A$20000,"&lt;="&amp;K$4,'LinkedIn data'!$B$3:$B$20000,$A65),0)))))</f>
        <v/>
      </c>
      <c r="L65" s="14" t="str">
        <f aca="false">IF($A65="","",IF($B65="Meta",SUMIFS('Meta data'!$I$3:$I$20000,'Meta data'!$A$3:$A$20000,"&gt;="&amp;L$3,'Meta data'!$A$3:$A$20000,"&lt;="&amp;L$4,'Meta data'!$B$3:$B$20000,$A65),IF($B65="Google Ads",SUMIFS('Google data'!$I$3:$I$20000,'Google data'!$A$3:$A$20000,"&gt;="&amp;L$3,'Google data'!$A$3:$A$20000,"&lt;="&amp;L$4,'Google data'!$B$3:$B$20000,$A65),IF($B65="ChatGPT Ads",SUMIFS('ChatGPT data'!$I$3:$I$20000,'ChatGPT data'!$A$3:$A$20000,"&gt;="&amp;L$3,'ChatGPT data'!$A$3:$A$20000,"&lt;="&amp;L$4,'ChatGPT data'!$B$3:$B$20000,$A65),IF($B65="LinkedIn Ads",SUMIFS('LinkedIn data'!$I$3:$I$20000,'LinkedIn data'!$A$3:$A$20000,"&gt;="&amp;L$3,'LinkedIn data'!$A$3:$A$20000,"&lt;="&amp;L$4,'LinkedIn data'!$B$3:$B$20000,$A65),0)))))</f>
        <v/>
      </c>
      <c r="M65" s="14" t="str">
        <f aca="false">IF($A65="","",IF($B65="Meta",SUMIFS('Meta data'!$I$3:$I$20000,'Meta data'!$A$3:$A$20000,"&gt;="&amp;M$3,'Meta data'!$A$3:$A$20000,"&lt;="&amp;M$4,'Meta data'!$B$3:$B$20000,$A65),IF($B65="Google Ads",SUMIFS('Google data'!$I$3:$I$20000,'Google data'!$A$3:$A$20000,"&gt;="&amp;M$3,'Google data'!$A$3:$A$20000,"&lt;="&amp;M$4,'Google data'!$B$3:$B$20000,$A65),IF($B65="ChatGPT Ads",SUMIFS('ChatGPT data'!$I$3:$I$20000,'ChatGPT data'!$A$3:$A$20000,"&gt;="&amp;M$3,'ChatGPT data'!$A$3:$A$20000,"&lt;="&amp;M$4,'ChatGPT data'!$B$3:$B$20000,$A65),IF($B65="LinkedIn Ads",SUMIFS('LinkedIn data'!$I$3:$I$20000,'LinkedIn data'!$A$3:$A$20000,"&gt;="&amp;M$3,'LinkedIn data'!$A$3:$A$20000,"&lt;="&amp;M$4,'LinkedIn data'!$B$3:$B$20000,$A65),0)))))</f>
        <v/>
      </c>
      <c r="N65" s="14" t="str">
        <f aca="false">IF($A65="","",IF($B65="Meta",SUMIFS('Meta data'!$I$3:$I$20000,'Meta data'!$A$3:$A$20000,"&gt;="&amp;N$3,'Meta data'!$A$3:$A$20000,"&lt;="&amp;N$4,'Meta data'!$B$3:$B$20000,$A65),IF($B65="Google Ads",SUMIFS('Google data'!$I$3:$I$20000,'Google data'!$A$3:$A$20000,"&gt;="&amp;N$3,'Google data'!$A$3:$A$20000,"&lt;="&amp;N$4,'Google data'!$B$3:$B$20000,$A65),IF($B65="ChatGPT Ads",SUMIFS('ChatGPT data'!$I$3:$I$20000,'ChatGPT data'!$A$3:$A$20000,"&gt;="&amp;N$3,'ChatGPT data'!$A$3:$A$20000,"&lt;="&amp;N$4,'ChatGPT data'!$B$3:$B$20000,$A65),IF($B65="LinkedIn Ads",SUMIFS('LinkedIn data'!$I$3:$I$20000,'LinkedIn data'!$A$3:$A$20000,"&gt;="&amp;N$3,'LinkedIn data'!$A$3:$A$20000,"&lt;="&amp;N$4,'LinkedIn data'!$B$3:$B$20000,$A65),0)))))</f>
        <v/>
      </c>
      <c r="O65" s="14" t="str">
        <f aca="false">IF($A65="","",IF($B65="Meta",SUMIFS('Meta data'!$I$3:$I$20000,'Meta data'!$A$3:$A$20000,"&gt;="&amp;O$3,'Meta data'!$A$3:$A$20000,"&lt;="&amp;O$4,'Meta data'!$B$3:$B$20000,$A65),IF($B65="Google Ads",SUMIFS('Google data'!$I$3:$I$20000,'Google data'!$A$3:$A$20000,"&gt;="&amp;O$3,'Google data'!$A$3:$A$20000,"&lt;="&amp;O$4,'Google data'!$B$3:$B$20000,$A65),IF($B65="ChatGPT Ads",SUMIFS('ChatGPT data'!$I$3:$I$20000,'ChatGPT data'!$A$3:$A$20000,"&gt;="&amp;O$3,'ChatGPT data'!$A$3:$A$20000,"&lt;="&amp;O$4,'ChatGPT data'!$B$3:$B$20000,$A65),IF($B65="LinkedIn Ads",SUMIFS('LinkedIn data'!$I$3:$I$20000,'LinkedIn data'!$A$3:$A$20000,"&gt;="&amp;O$3,'LinkedIn data'!$A$3:$A$20000,"&lt;="&amp;O$4,'LinkedIn data'!$B$3:$B$20000,$A65),0)))))</f>
        <v/>
      </c>
      <c r="P65" s="14" t="str">
        <f aca="false">IF($A65="","",IF($B65="Meta",SUMIFS('Meta data'!$I$3:$I$20000,'Meta data'!$A$3:$A$20000,"&gt;="&amp;P$3,'Meta data'!$A$3:$A$20000,"&lt;="&amp;P$4,'Meta data'!$B$3:$B$20000,$A65),IF($B65="Google Ads",SUMIFS('Google data'!$I$3:$I$20000,'Google data'!$A$3:$A$20000,"&gt;="&amp;P$3,'Google data'!$A$3:$A$20000,"&lt;="&amp;P$4,'Google data'!$B$3:$B$20000,$A65),IF($B65="ChatGPT Ads",SUMIFS('ChatGPT data'!$I$3:$I$20000,'ChatGPT data'!$A$3:$A$20000,"&gt;="&amp;P$3,'ChatGPT data'!$A$3:$A$20000,"&lt;="&amp;P$4,'ChatGPT data'!$B$3:$B$20000,$A65),IF($B65="LinkedIn Ads",SUMIFS('LinkedIn data'!$I$3:$I$20000,'LinkedIn data'!$A$3:$A$20000,"&gt;="&amp;P$3,'LinkedIn data'!$A$3:$A$20000,"&lt;="&amp;P$4,'LinkedIn data'!$B$3:$B$20000,$A65),0)))))</f>
        <v/>
      </c>
      <c r="Q65" s="14" t="str">
        <f aca="false">IF($A65="","",IF($B65="Meta",SUMIFS('Meta data'!$I$3:$I$20000,'Meta data'!$A$3:$A$20000,"&gt;="&amp;Q$3,'Meta data'!$A$3:$A$20000,"&lt;="&amp;Q$4,'Meta data'!$B$3:$B$20000,$A65),IF($B65="Google Ads",SUMIFS('Google data'!$I$3:$I$20000,'Google data'!$A$3:$A$20000,"&gt;="&amp;Q$3,'Google data'!$A$3:$A$20000,"&lt;="&amp;Q$4,'Google data'!$B$3:$B$20000,$A65),IF($B65="ChatGPT Ads",SUMIFS('ChatGPT data'!$I$3:$I$20000,'ChatGPT data'!$A$3:$A$20000,"&gt;="&amp;Q$3,'ChatGPT data'!$A$3:$A$20000,"&lt;="&amp;Q$4,'ChatGPT data'!$B$3:$B$20000,$A65),IF($B65="LinkedIn Ads",SUMIFS('LinkedIn data'!$I$3:$I$20000,'LinkedIn data'!$A$3:$A$20000,"&gt;="&amp;Q$3,'LinkedIn data'!$A$3:$A$20000,"&lt;="&amp;Q$4,'LinkedIn data'!$B$3:$B$20000,$A65),0)))))</f>
        <v/>
      </c>
      <c r="R65" s="15" t="str">
        <f aca="false">IF($A65="","",SUM(F65:Q65))</f>
        <v/>
      </c>
      <c r="S65" s="37" t="str">
        <f aca="false">IF($A65="","",IF($B65="Meta",SUMIFS('Meta data'!$E$3:$E$20000,'Meta data'!$B$3:$B$20000,$A65),IF($B65="Google Ads",SUMIFS('Google data'!$E$3:$E$20000,'Google data'!$B$3:$B$20000,$A65),IF($B65="ChatGPT Ads",SUMIFS('ChatGPT data'!$E$3:$E$20000,'ChatGPT data'!$B$3:$B$20000,$A65),IF($B65="LinkedIn Ads",SUMIFS('LinkedIn data'!$E$3:$E$20000,'LinkedIn data'!$B$3:$B$20000,$A65),0)))))</f>
        <v/>
      </c>
      <c r="T65" s="37" t="str">
        <f aca="false">IF($A65="","",IF($B65="Meta",SUMIFS('Meta data'!$F$3:$F$20000,'Meta data'!$B$3:$B$20000,$A65),IF($B65="Google Ads",SUMIFS('Google data'!$F$3:$F$20000,'Google data'!$B$3:$B$20000,$A65),IF($B65="ChatGPT Ads",SUMIFS('ChatGPT data'!$F$3:$F$20000,'ChatGPT data'!$B$3:$B$20000,$A65),IF($B65="LinkedIn Ads",SUMIFS('LinkedIn data'!$F$3:$F$20000,'LinkedIn data'!$B$3:$B$20000,$A65),0)))))</f>
        <v/>
      </c>
      <c r="U65" s="38" t="str">
        <f aca="false">IF(OR($A65="",T65=0),"",R65/T65)</f>
        <v/>
      </c>
    </row>
    <row r="66" customFormat="false" ht="15" hidden="false" customHeight="false" outlineLevel="0" collapsed="false">
      <c r="A66" s="59"/>
      <c r="B66" s="59"/>
      <c r="C66" s="59"/>
      <c r="D66" s="59"/>
      <c r="E66" s="59"/>
      <c r="F66" s="14" t="str">
        <f aca="false">IF($A66="","",IF($B66="Meta",SUMIFS('Meta data'!$I$3:$I$20000,'Meta data'!$A$3:$A$20000,"&gt;="&amp;F$3,'Meta data'!$A$3:$A$20000,"&lt;="&amp;F$4,'Meta data'!$B$3:$B$20000,$A66),IF($B66="Google Ads",SUMIFS('Google data'!$I$3:$I$20000,'Google data'!$A$3:$A$20000,"&gt;="&amp;F$3,'Google data'!$A$3:$A$20000,"&lt;="&amp;F$4,'Google data'!$B$3:$B$20000,$A66),IF($B66="ChatGPT Ads",SUMIFS('ChatGPT data'!$I$3:$I$20000,'ChatGPT data'!$A$3:$A$20000,"&gt;="&amp;F$3,'ChatGPT data'!$A$3:$A$20000,"&lt;="&amp;F$4,'ChatGPT data'!$B$3:$B$20000,$A66),IF($B66="LinkedIn Ads",SUMIFS('LinkedIn data'!$I$3:$I$20000,'LinkedIn data'!$A$3:$A$20000,"&gt;="&amp;F$3,'LinkedIn data'!$A$3:$A$20000,"&lt;="&amp;F$4,'LinkedIn data'!$B$3:$B$20000,$A66),0)))))</f>
        <v/>
      </c>
      <c r="G66" s="14" t="str">
        <f aca="false">IF($A66="","",IF($B66="Meta",SUMIFS('Meta data'!$I$3:$I$20000,'Meta data'!$A$3:$A$20000,"&gt;="&amp;G$3,'Meta data'!$A$3:$A$20000,"&lt;="&amp;G$4,'Meta data'!$B$3:$B$20000,$A66),IF($B66="Google Ads",SUMIFS('Google data'!$I$3:$I$20000,'Google data'!$A$3:$A$20000,"&gt;="&amp;G$3,'Google data'!$A$3:$A$20000,"&lt;="&amp;G$4,'Google data'!$B$3:$B$20000,$A66),IF($B66="ChatGPT Ads",SUMIFS('ChatGPT data'!$I$3:$I$20000,'ChatGPT data'!$A$3:$A$20000,"&gt;="&amp;G$3,'ChatGPT data'!$A$3:$A$20000,"&lt;="&amp;G$4,'ChatGPT data'!$B$3:$B$20000,$A66),IF($B66="LinkedIn Ads",SUMIFS('LinkedIn data'!$I$3:$I$20000,'LinkedIn data'!$A$3:$A$20000,"&gt;="&amp;G$3,'LinkedIn data'!$A$3:$A$20000,"&lt;="&amp;G$4,'LinkedIn data'!$B$3:$B$20000,$A66),0)))))</f>
        <v/>
      </c>
      <c r="H66" s="14" t="str">
        <f aca="false">IF($A66="","",IF($B66="Meta",SUMIFS('Meta data'!$I$3:$I$20000,'Meta data'!$A$3:$A$20000,"&gt;="&amp;H$3,'Meta data'!$A$3:$A$20000,"&lt;="&amp;H$4,'Meta data'!$B$3:$B$20000,$A66),IF($B66="Google Ads",SUMIFS('Google data'!$I$3:$I$20000,'Google data'!$A$3:$A$20000,"&gt;="&amp;H$3,'Google data'!$A$3:$A$20000,"&lt;="&amp;H$4,'Google data'!$B$3:$B$20000,$A66),IF($B66="ChatGPT Ads",SUMIFS('ChatGPT data'!$I$3:$I$20000,'ChatGPT data'!$A$3:$A$20000,"&gt;="&amp;H$3,'ChatGPT data'!$A$3:$A$20000,"&lt;="&amp;H$4,'ChatGPT data'!$B$3:$B$20000,$A66),IF($B66="LinkedIn Ads",SUMIFS('LinkedIn data'!$I$3:$I$20000,'LinkedIn data'!$A$3:$A$20000,"&gt;="&amp;H$3,'LinkedIn data'!$A$3:$A$20000,"&lt;="&amp;H$4,'LinkedIn data'!$B$3:$B$20000,$A66),0)))))</f>
        <v/>
      </c>
      <c r="I66" s="14" t="str">
        <f aca="false">IF($A66="","",IF($B66="Meta",SUMIFS('Meta data'!$I$3:$I$20000,'Meta data'!$A$3:$A$20000,"&gt;="&amp;I$3,'Meta data'!$A$3:$A$20000,"&lt;="&amp;I$4,'Meta data'!$B$3:$B$20000,$A66),IF($B66="Google Ads",SUMIFS('Google data'!$I$3:$I$20000,'Google data'!$A$3:$A$20000,"&gt;="&amp;I$3,'Google data'!$A$3:$A$20000,"&lt;="&amp;I$4,'Google data'!$B$3:$B$20000,$A66),IF($B66="ChatGPT Ads",SUMIFS('ChatGPT data'!$I$3:$I$20000,'ChatGPT data'!$A$3:$A$20000,"&gt;="&amp;I$3,'ChatGPT data'!$A$3:$A$20000,"&lt;="&amp;I$4,'ChatGPT data'!$B$3:$B$20000,$A66),IF($B66="LinkedIn Ads",SUMIFS('LinkedIn data'!$I$3:$I$20000,'LinkedIn data'!$A$3:$A$20000,"&gt;="&amp;I$3,'LinkedIn data'!$A$3:$A$20000,"&lt;="&amp;I$4,'LinkedIn data'!$B$3:$B$20000,$A66),0)))))</f>
        <v/>
      </c>
      <c r="J66" s="14" t="str">
        <f aca="false">IF($A66="","",IF($B66="Meta",SUMIFS('Meta data'!$I$3:$I$20000,'Meta data'!$A$3:$A$20000,"&gt;="&amp;J$3,'Meta data'!$A$3:$A$20000,"&lt;="&amp;J$4,'Meta data'!$B$3:$B$20000,$A66),IF($B66="Google Ads",SUMIFS('Google data'!$I$3:$I$20000,'Google data'!$A$3:$A$20000,"&gt;="&amp;J$3,'Google data'!$A$3:$A$20000,"&lt;="&amp;J$4,'Google data'!$B$3:$B$20000,$A66),IF($B66="ChatGPT Ads",SUMIFS('ChatGPT data'!$I$3:$I$20000,'ChatGPT data'!$A$3:$A$20000,"&gt;="&amp;J$3,'ChatGPT data'!$A$3:$A$20000,"&lt;="&amp;J$4,'ChatGPT data'!$B$3:$B$20000,$A66),IF($B66="LinkedIn Ads",SUMIFS('LinkedIn data'!$I$3:$I$20000,'LinkedIn data'!$A$3:$A$20000,"&gt;="&amp;J$3,'LinkedIn data'!$A$3:$A$20000,"&lt;="&amp;J$4,'LinkedIn data'!$B$3:$B$20000,$A66),0)))))</f>
        <v/>
      </c>
      <c r="K66" s="14" t="str">
        <f aca="false">IF($A66="","",IF($B66="Meta",SUMIFS('Meta data'!$I$3:$I$20000,'Meta data'!$A$3:$A$20000,"&gt;="&amp;K$3,'Meta data'!$A$3:$A$20000,"&lt;="&amp;K$4,'Meta data'!$B$3:$B$20000,$A66),IF($B66="Google Ads",SUMIFS('Google data'!$I$3:$I$20000,'Google data'!$A$3:$A$20000,"&gt;="&amp;K$3,'Google data'!$A$3:$A$20000,"&lt;="&amp;K$4,'Google data'!$B$3:$B$20000,$A66),IF($B66="ChatGPT Ads",SUMIFS('ChatGPT data'!$I$3:$I$20000,'ChatGPT data'!$A$3:$A$20000,"&gt;="&amp;K$3,'ChatGPT data'!$A$3:$A$20000,"&lt;="&amp;K$4,'ChatGPT data'!$B$3:$B$20000,$A66),IF($B66="LinkedIn Ads",SUMIFS('LinkedIn data'!$I$3:$I$20000,'LinkedIn data'!$A$3:$A$20000,"&gt;="&amp;K$3,'LinkedIn data'!$A$3:$A$20000,"&lt;="&amp;K$4,'LinkedIn data'!$B$3:$B$20000,$A66),0)))))</f>
        <v/>
      </c>
      <c r="L66" s="14" t="str">
        <f aca="false">IF($A66="","",IF($B66="Meta",SUMIFS('Meta data'!$I$3:$I$20000,'Meta data'!$A$3:$A$20000,"&gt;="&amp;L$3,'Meta data'!$A$3:$A$20000,"&lt;="&amp;L$4,'Meta data'!$B$3:$B$20000,$A66),IF($B66="Google Ads",SUMIFS('Google data'!$I$3:$I$20000,'Google data'!$A$3:$A$20000,"&gt;="&amp;L$3,'Google data'!$A$3:$A$20000,"&lt;="&amp;L$4,'Google data'!$B$3:$B$20000,$A66),IF($B66="ChatGPT Ads",SUMIFS('ChatGPT data'!$I$3:$I$20000,'ChatGPT data'!$A$3:$A$20000,"&gt;="&amp;L$3,'ChatGPT data'!$A$3:$A$20000,"&lt;="&amp;L$4,'ChatGPT data'!$B$3:$B$20000,$A66),IF($B66="LinkedIn Ads",SUMIFS('LinkedIn data'!$I$3:$I$20000,'LinkedIn data'!$A$3:$A$20000,"&gt;="&amp;L$3,'LinkedIn data'!$A$3:$A$20000,"&lt;="&amp;L$4,'LinkedIn data'!$B$3:$B$20000,$A66),0)))))</f>
        <v/>
      </c>
      <c r="M66" s="14" t="str">
        <f aca="false">IF($A66="","",IF($B66="Meta",SUMIFS('Meta data'!$I$3:$I$20000,'Meta data'!$A$3:$A$20000,"&gt;="&amp;M$3,'Meta data'!$A$3:$A$20000,"&lt;="&amp;M$4,'Meta data'!$B$3:$B$20000,$A66),IF($B66="Google Ads",SUMIFS('Google data'!$I$3:$I$20000,'Google data'!$A$3:$A$20000,"&gt;="&amp;M$3,'Google data'!$A$3:$A$20000,"&lt;="&amp;M$4,'Google data'!$B$3:$B$20000,$A66),IF($B66="ChatGPT Ads",SUMIFS('ChatGPT data'!$I$3:$I$20000,'ChatGPT data'!$A$3:$A$20000,"&gt;="&amp;M$3,'ChatGPT data'!$A$3:$A$20000,"&lt;="&amp;M$4,'ChatGPT data'!$B$3:$B$20000,$A66),IF($B66="LinkedIn Ads",SUMIFS('LinkedIn data'!$I$3:$I$20000,'LinkedIn data'!$A$3:$A$20000,"&gt;="&amp;M$3,'LinkedIn data'!$A$3:$A$20000,"&lt;="&amp;M$4,'LinkedIn data'!$B$3:$B$20000,$A66),0)))))</f>
        <v/>
      </c>
      <c r="N66" s="14" t="str">
        <f aca="false">IF($A66="","",IF($B66="Meta",SUMIFS('Meta data'!$I$3:$I$20000,'Meta data'!$A$3:$A$20000,"&gt;="&amp;N$3,'Meta data'!$A$3:$A$20000,"&lt;="&amp;N$4,'Meta data'!$B$3:$B$20000,$A66),IF($B66="Google Ads",SUMIFS('Google data'!$I$3:$I$20000,'Google data'!$A$3:$A$20000,"&gt;="&amp;N$3,'Google data'!$A$3:$A$20000,"&lt;="&amp;N$4,'Google data'!$B$3:$B$20000,$A66),IF($B66="ChatGPT Ads",SUMIFS('ChatGPT data'!$I$3:$I$20000,'ChatGPT data'!$A$3:$A$20000,"&gt;="&amp;N$3,'ChatGPT data'!$A$3:$A$20000,"&lt;="&amp;N$4,'ChatGPT data'!$B$3:$B$20000,$A66),IF($B66="LinkedIn Ads",SUMIFS('LinkedIn data'!$I$3:$I$20000,'LinkedIn data'!$A$3:$A$20000,"&gt;="&amp;N$3,'LinkedIn data'!$A$3:$A$20000,"&lt;="&amp;N$4,'LinkedIn data'!$B$3:$B$20000,$A66),0)))))</f>
        <v/>
      </c>
      <c r="O66" s="14" t="str">
        <f aca="false">IF($A66="","",IF($B66="Meta",SUMIFS('Meta data'!$I$3:$I$20000,'Meta data'!$A$3:$A$20000,"&gt;="&amp;O$3,'Meta data'!$A$3:$A$20000,"&lt;="&amp;O$4,'Meta data'!$B$3:$B$20000,$A66),IF($B66="Google Ads",SUMIFS('Google data'!$I$3:$I$20000,'Google data'!$A$3:$A$20000,"&gt;="&amp;O$3,'Google data'!$A$3:$A$20000,"&lt;="&amp;O$4,'Google data'!$B$3:$B$20000,$A66),IF($B66="ChatGPT Ads",SUMIFS('ChatGPT data'!$I$3:$I$20000,'ChatGPT data'!$A$3:$A$20000,"&gt;="&amp;O$3,'ChatGPT data'!$A$3:$A$20000,"&lt;="&amp;O$4,'ChatGPT data'!$B$3:$B$20000,$A66),IF($B66="LinkedIn Ads",SUMIFS('LinkedIn data'!$I$3:$I$20000,'LinkedIn data'!$A$3:$A$20000,"&gt;="&amp;O$3,'LinkedIn data'!$A$3:$A$20000,"&lt;="&amp;O$4,'LinkedIn data'!$B$3:$B$20000,$A66),0)))))</f>
        <v/>
      </c>
      <c r="P66" s="14" t="str">
        <f aca="false">IF($A66="","",IF($B66="Meta",SUMIFS('Meta data'!$I$3:$I$20000,'Meta data'!$A$3:$A$20000,"&gt;="&amp;P$3,'Meta data'!$A$3:$A$20000,"&lt;="&amp;P$4,'Meta data'!$B$3:$B$20000,$A66),IF($B66="Google Ads",SUMIFS('Google data'!$I$3:$I$20000,'Google data'!$A$3:$A$20000,"&gt;="&amp;P$3,'Google data'!$A$3:$A$20000,"&lt;="&amp;P$4,'Google data'!$B$3:$B$20000,$A66),IF($B66="ChatGPT Ads",SUMIFS('ChatGPT data'!$I$3:$I$20000,'ChatGPT data'!$A$3:$A$20000,"&gt;="&amp;P$3,'ChatGPT data'!$A$3:$A$20000,"&lt;="&amp;P$4,'ChatGPT data'!$B$3:$B$20000,$A66),IF($B66="LinkedIn Ads",SUMIFS('LinkedIn data'!$I$3:$I$20000,'LinkedIn data'!$A$3:$A$20000,"&gt;="&amp;P$3,'LinkedIn data'!$A$3:$A$20000,"&lt;="&amp;P$4,'LinkedIn data'!$B$3:$B$20000,$A66),0)))))</f>
        <v/>
      </c>
      <c r="Q66" s="14" t="str">
        <f aca="false">IF($A66="","",IF($B66="Meta",SUMIFS('Meta data'!$I$3:$I$20000,'Meta data'!$A$3:$A$20000,"&gt;="&amp;Q$3,'Meta data'!$A$3:$A$20000,"&lt;="&amp;Q$4,'Meta data'!$B$3:$B$20000,$A66),IF($B66="Google Ads",SUMIFS('Google data'!$I$3:$I$20000,'Google data'!$A$3:$A$20000,"&gt;="&amp;Q$3,'Google data'!$A$3:$A$20000,"&lt;="&amp;Q$4,'Google data'!$B$3:$B$20000,$A66),IF($B66="ChatGPT Ads",SUMIFS('ChatGPT data'!$I$3:$I$20000,'ChatGPT data'!$A$3:$A$20000,"&gt;="&amp;Q$3,'ChatGPT data'!$A$3:$A$20000,"&lt;="&amp;Q$4,'ChatGPT data'!$B$3:$B$20000,$A66),IF($B66="LinkedIn Ads",SUMIFS('LinkedIn data'!$I$3:$I$20000,'LinkedIn data'!$A$3:$A$20000,"&gt;="&amp;Q$3,'LinkedIn data'!$A$3:$A$20000,"&lt;="&amp;Q$4,'LinkedIn data'!$B$3:$B$20000,$A66),0)))))</f>
        <v/>
      </c>
      <c r="R66" s="15" t="str">
        <f aca="false">IF($A66="","",SUM(F66:Q66))</f>
        <v/>
      </c>
      <c r="S66" s="37" t="str">
        <f aca="false">IF($A66="","",IF($B66="Meta",SUMIFS('Meta data'!$E$3:$E$20000,'Meta data'!$B$3:$B$20000,$A66),IF($B66="Google Ads",SUMIFS('Google data'!$E$3:$E$20000,'Google data'!$B$3:$B$20000,$A66),IF($B66="ChatGPT Ads",SUMIFS('ChatGPT data'!$E$3:$E$20000,'ChatGPT data'!$B$3:$B$20000,$A66),IF($B66="LinkedIn Ads",SUMIFS('LinkedIn data'!$E$3:$E$20000,'LinkedIn data'!$B$3:$B$20000,$A66),0)))))</f>
        <v/>
      </c>
      <c r="T66" s="37" t="str">
        <f aca="false">IF($A66="","",IF($B66="Meta",SUMIFS('Meta data'!$F$3:$F$20000,'Meta data'!$B$3:$B$20000,$A66),IF($B66="Google Ads",SUMIFS('Google data'!$F$3:$F$20000,'Google data'!$B$3:$B$20000,$A66),IF($B66="ChatGPT Ads",SUMIFS('ChatGPT data'!$F$3:$F$20000,'ChatGPT data'!$B$3:$B$20000,$A66),IF($B66="LinkedIn Ads",SUMIFS('LinkedIn data'!$F$3:$F$20000,'LinkedIn data'!$B$3:$B$20000,$A66),0)))))</f>
        <v/>
      </c>
      <c r="U66" s="38" t="str">
        <f aca="false">IF(OR($A66="",T66=0),"",R66/T66)</f>
        <v/>
      </c>
    </row>
    <row r="67" customFormat="false" ht="15" hidden="false" customHeight="false" outlineLevel="0" collapsed="false">
      <c r="A67" s="59"/>
      <c r="B67" s="59"/>
      <c r="C67" s="59"/>
      <c r="D67" s="59"/>
      <c r="E67" s="59"/>
      <c r="F67" s="14" t="str">
        <f aca="false">IF($A67="","",IF($B67="Meta",SUMIFS('Meta data'!$I$3:$I$20000,'Meta data'!$A$3:$A$20000,"&gt;="&amp;F$3,'Meta data'!$A$3:$A$20000,"&lt;="&amp;F$4,'Meta data'!$B$3:$B$20000,$A67),IF($B67="Google Ads",SUMIFS('Google data'!$I$3:$I$20000,'Google data'!$A$3:$A$20000,"&gt;="&amp;F$3,'Google data'!$A$3:$A$20000,"&lt;="&amp;F$4,'Google data'!$B$3:$B$20000,$A67),IF($B67="ChatGPT Ads",SUMIFS('ChatGPT data'!$I$3:$I$20000,'ChatGPT data'!$A$3:$A$20000,"&gt;="&amp;F$3,'ChatGPT data'!$A$3:$A$20000,"&lt;="&amp;F$4,'ChatGPT data'!$B$3:$B$20000,$A67),IF($B67="LinkedIn Ads",SUMIFS('LinkedIn data'!$I$3:$I$20000,'LinkedIn data'!$A$3:$A$20000,"&gt;="&amp;F$3,'LinkedIn data'!$A$3:$A$20000,"&lt;="&amp;F$4,'LinkedIn data'!$B$3:$B$20000,$A67),0)))))</f>
        <v/>
      </c>
      <c r="G67" s="14" t="str">
        <f aca="false">IF($A67="","",IF($B67="Meta",SUMIFS('Meta data'!$I$3:$I$20000,'Meta data'!$A$3:$A$20000,"&gt;="&amp;G$3,'Meta data'!$A$3:$A$20000,"&lt;="&amp;G$4,'Meta data'!$B$3:$B$20000,$A67),IF($B67="Google Ads",SUMIFS('Google data'!$I$3:$I$20000,'Google data'!$A$3:$A$20000,"&gt;="&amp;G$3,'Google data'!$A$3:$A$20000,"&lt;="&amp;G$4,'Google data'!$B$3:$B$20000,$A67),IF($B67="ChatGPT Ads",SUMIFS('ChatGPT data'!$I$3:$I$20000,'ChatGPT data'!$A$3:$A$20000,"&gt;="&amp;G$3,'ChatGPT data'!$A$3:$A$20000,"&lt;="&amp;G$4,'ChatGPT data'!$B$3:$B$20000,$A67),IF($B67="LinkedIn Ads",SUMIFS('LinkedIn data'!$I$3:$I$20000,'LinkedIn data'!$A$3:$A$20000,"&gt;="&amp;G$3,'LinkedIn data'!$A$3:$A$20000,"&lt;="&amp;G$4,'LinkedIn data'!$B$3:$B$20000,$A67),0)))))</f>
        <v/>
      </c>
      <c r="H67" s="14" t="str">
        <f aca="false">IF($A67="","",IF($B67="Meta",SUMIFS('Meta data'!$I$3:$I$20000,'Meta data'!$A$3:$A$20000,"&gt;="&amp;H$3,'Meta data'!$A$3:$A$20000,"&lt;="&amp;H$4,'Meta data'!$B$3:$B$20000,$A67),IF($B67="Google Ads",SUMIFS('Google data'!$I$3:$I$20000,'Google data'!$A$3:$A$20000,"&gt;="&amp;H$3,'Google data'!$A$3:$A$20000,"&lt;="&amp;H$4,'Google data'!$B$3:$B$20000,$A67),IF($B67="ChatGPT Ads",SUMIFS('ChatGPT data'!$I$3:$I$20000,'ChatGPT data'!$A$3:$A$20000,"&gt;="&amp;H$3,'ChatGPT data'!$A$3:$A$20000,"&lt;="&amp;H$4,'ChatGPT data'!$B$3:$B$20000,$A67),IF($B67="LinkedIn Ads",SUMIFS('LinkedIn data'!$I$3:$I$20000,'LinkedIn data'!$A$3:$A$20000,"&gt;="&amp;H$3,'LinkedIn data'!$A$3:$A$20000,"&lt;="&amp;H$4,'LinkedIn data'!$B$3:$B$20000,$A67),0)))))</f>
        <v/>
      </c>
      <c r="I67" s="14" t="str">
        <f aca="false">IF($A67="","",IF($B67="Meta",SUMIFS('Meta data'!$I$3:$I$20000,'Meta data'!$A$3:$A$20000,"&gt;="&amp;I$3,'Meta data'!$A$3:$A$20000,"&lt;="&amp;I$4,'Meta data'!$B$3:$B$20000,$A67),IF($B67="Google Ads",SUMIFS('Google data'!$I$3:$I$20000,'Google data'!$A$3:$A$20000,"&gt;="&amp;I$3,'Google data'!$A$3:$A$20000,"&lt;="&amp;I$4,'Google data'!$B$3:$B$20000,$A67),IF($B67="ChatGPT Ads",SUMIFS('ChatGPT data'!$I$3:$I$20000,'ChatGPT data'!$A$3:$A$20000,"&gt;="&amp;I$3,'ChatGPT data'!$A$3:$A$20000,"&lt;="&amp;I$4,'ChatGPT data'!$B$3:$B$20000,$A67),IF($B67="LinkedIn Ads",SUMIFS('LinkedIn data'!$I$3:$I$20000,'LinkedIn data'!$A$3:$A$20000,"&gt;="&amp;I$3,'LinkedIn data'!$A$3:$A$20000,"&lt;="&amp;I$4,'LinkedIn data'!$B$3:$B$20000,$A67),0)))))</f>
        <v/>
      </c>
      <c r="J67" s="14" t="str">
        <f aca="false">IF($A67="","",IF($B67="Meta",SUMIFS('Meta data'!$I$3:$I$20000,'Meta data'!$A$3:$A$20000,"&gt;="&amp;J$3,'Meta data'!$A$3:$A$20000,"&lt;="&amp;J$4,'Meta data'!$B$3:$B$20000,$A67),IF($B67="Google Ads",SUMIFS('Google data'!$I$3:$I$20000,'Google data'!$A$3:$A$20000,"&gt;="&amp;J$3,'Google data'!$A$3:$A$20000,"&lt;="&amp;J$4,'Google data'!$B$3:$B$20000,$A67),IF($B67="ChatGPT Ads",SUMIFS('ChatGPT data'!$I$3:$I$20000,'ChatGPT data'!$A$3:$A$20000,"&gt;="&amp;J$3,'ChatGPT data'!$A$3:$A$20000,"&lt;="&amp;J$4,'ChatGPT data'!$B$3:$B$20000,$A67),IF($B67="LinkedIn Ads",SUMIFS('LinkedIn data'!$I$3:$I$20000,'LinkedIn data'!$A$3:$A$20000,"&gt;="&amp;J$3,'LinkedIn data'!$A$3:$A$20000,"&lt;="&amp;J$4,'LinkedIn data'!$B$3:$B$20000,$A67),0)))))</f>
        <v/>
      </c>
      <c r="K67" s="14" t="str">
        <f aca="false">IF($A67="","",IF($B67="Meta",SUMIFS('Meta data'!$I$3:$I$20000,'Meta data'!$A$3:$A$20000,"&gt;="&amp;K$3,'Meta data'!$A$3:$A$20000,"&lt;="&amp;K$4,'Meta data'!$B$3:$B$20000,$A67),IF($B67="Google Ads",SUMIFS('Google data'!$I$3:$I$20000,'Google data'!$A$3:$A$20000,"&gt;="&amp;K$3,'Google data'!$A$3:$A$20000,"&lt;="&amp;K$4,'Google data'!$B$3:$B$20000,$A67),IF($B67="ChatGPT Ads",SUMIFS('ChatGPT data'!$I$3:$I$20000,'ChatGPT data'!$A$3:$A$20000,"&gt;="&amp;K$3,'ChatGPT data'!$A$3:$A$20000,"&lt;="&amp;K$4,'ChatGPT data'!$B$3:$B$20000,$A67),IF($B67="LinkedIn Ads",SUMIFS('LinkedIn data'!$I$3:$I$20000,'LinkedIn data'!$A$3:$A$20000,"&gt;="&amp;K$3,'LinkedIn data'!$A$3:$A$20000,"&lt;="&amp;K$4,'LinkedIn data'!$B$3:$B$20000,$A67),0)))))</f>
        <v/>
      </c>
      <c r="L67" s="14" t="str">
        <f aca="false">IF($A67="","",IF($B67="Meta",SUMIFS('Meta data'!$I$3:$I$20000,'Meta data'!$A$3:$A$20000,"&gt;="&amp;L$3,'Meta data'!$A$3:$A$20000,"&lt;="&amp;L$4,'Meta data'!$B$3:$B$20000,$A67),IF($B67="Google Ads",SUMIFS('Google data'!$I$3:$I$20000,'Google data'!$A$3:$A$20000,"&gt;="&amp;L$3,'Google data'!$A$3:$A$20000,"&lt;="&amp;L$4,'Google data'!$B$3:$B$20000,$A67),IF($B67="ChatGPT Ads",SUMIFS('ChatGPT data'!$I$3:$I$20000,'ChatGPT data'!$A$3:$A$20000,"&gt;="&amp;L$3,'ChatGPT data'!$A$3:$A$20000,"&lt;="&amp;L$4,'ChatGPT data'!$B$3:$B$20000,$A67),IF($B67="LinkedIn Ads",SUMIFS('LinkedIn data'!$I$3:$I$20000,'LinkedIn data'!$A$3:$A$20000,"&gt;="&amp;L$3,'LinkedIn data'!$A$3:$A$20000,"&lt;="&amp;L$4,'LinkedIn data'!$B$3:$B$20000,$A67),0)))))</f>
        <v/>
      </c>
      <c r="M67" s="14" t="str">
        <f aca="false">IF($A67="","",IF($B67="Meta",SUMIFS('Meta data'!$I$3:$I$20000,'Meta data'!$A$3:$A$20000,"&gt;="&amp;M$3,'Meta data'!$A$3:$A$20000,"&lt;="&amp;M$4,'Meta data'!$B$3:$B$20000,$A67),IF($B67="Google Ads",SUMIFS('Google data'!$I$3:$I$20000,'Google data'!$A$3:$A$20000,"&gt;="&amp;M$3,'Google data'!$A$3:$A$20000,"&lt;="&amp;M$4,'Google data'!$B$3:$B$20000,$A67),IF($B67="ChatGPT Ads",SUMIFS('ChatGPT data'!$I$3:$I$20000,'ChatGPT data'!$A$3:$A$20000,"&gt;="&amp;M$3,'ChatGPT data'!$A$3:$A$20000,"&lt;="&amp;M$4,'ChatGPT data'!$B$3:$B$20000,$A67),IF($B67="LinkedIn Ads",SUMIFS('LinkedIn data'!$I$3:$I$20000,'LinkedIn data'!$A$3:$A$20000,"&gt;="&amp;M$3,'LinkedIn data'!$A$3:$A$20000,"&lt;="&amp;M$4,'LinkedIn data'!$B$3:$B$20000,$A67),0)))))</f>
        <v/>
      </c>
      <c r="N67" s="14" t="str">
        <f aca="false">IF($A67="","",IF($B67="Meta",SUMIFS('Meta data'!$I$3:$I$20000,'Meta data'!$A$3:$A$20000,"&gt;="&amp;N$3,'Meta data'!$A$3:$A$20000,"&lt;="&amp;N$4,'Meta data'!$B$3:$B$20000,$A67),IF($B67="Google Ads",SUMIFS('Google data'!$I$3:$I$20000,'Google data'!$A$3:$A$20000,"&gt;="&amp;N$3,'Google data'!$A$3:$A$20000,"&lt;="&amp;N$4,'Google data'!$B$3:$B$20000,$A67),IF($B67="ChatGPT Ads",SUMIFS('ChatGPT data'!$I$3:$I$20000,'ChatGPT data'!$A$3:$A$20000,"&gt;="&amp;N$3,'ChatGPT data'!$A$3:$A$20000,"&lt;="&amp;N$4,'ChatGPT data'!$B$3:$B$20000,$A67),IF($B67="LinkedIn Ads",SUMIFS('LinkedIn data'!$I$3:$I$20000,'LinkedIn data'!$A$3:$A$20000,"&gt;="&amp;N$3,'LinkedIn data'!$A$3:$A$20000,"&lt;="&amp;N$4,'LinkedIn data'!$B$3:$B$20000,$A67),0)))))</f>
        <v/>
      </c>
      <c r="O67" s="14" t="str">
        <f aca="false">IF($A67="","",IF($B67="Meta",SUMIFS('Meta data'!$I$3:$I$20000,'Meta data'!$A$3:$A$20000,"&gt;="&amp;O$3,'Meta data'!$A$3:$A$20000,"&lt;="&amp;O$4,'Meta data'!$B$3:$B$20000,$A67),IF($B67="Google Ads",SUMIFS('Google data'!$I$3:$I$20000,'Google data'!$A$3:$A$20000,"&gt;="&amp;O$3,'Google data'!$A$3:$A$20000,"&lt;="&amp;O$4,'Google data'!$B$3:$B$20000,$A67),IF($B67="ChatGPT Ads",SUMIFS('ChatGPT data'!$I$3:$I$20000,'ChatGPT data'!$A$3:$A$20000,"&gt;="&amp;O$3,'ChatGPT data'!$A$3:$A$20000,"&lt;="&amp;O$4,'ChatGPT data'!$B$3:$B$20000,$A67),IF($B67="LinkedIn Ads",SUMIFS('LinkedIn data'!$I$3:$I$20000,'LinkedIn data'!$A$3:$A$20000,"&gt;="&amp;O$3,'LinkedIn data'!$A$3:$A$20000,"&lt;="&amp;O$4,'LinkedIn data'!$B$3:$B$20000,$A67),0)))))</f>
        <v/>
      </c>
      <c r="P67" s="14" t="str">
        <f aca="false">IF($A67="","",IF($B67="Meta",SUMIFS('Meta data'!$I$3:$I$20000,'Meta data'!$A$3:$A$20000,"&gt;="&amp;P$3,'Meta data'!$A$3:$A$20000,"&lt;="&amp;P$4,'Meta data'!$B$3:$B$20000,$A67),IF($B67="Google Ads",SUMIFS('Google data'!$I$3:$I$20000,'Google data'!$A$3:$A$20000,"&gt;="&amp;P$3,'Google data'!$A$3:$A$20000,"&lt;="&amp;P$4,'Google data'!$B$3:$B$20000,$A67),IF($B67="ChatGPT Ads",SUMIFS('ChatGPT data'!$I$3:$I$20000,'ChatGPT data'!$A$3:$A$20000,"&gt;="&amp;P$3,'ChatGPT data'!$A$3:$A$20000,"&lt;="&amp;P$4,'ChatGPT data'!$B$3:$B$20000,$A67),IF($B67="LinkedIn Ads",SUMIFS('LinkedIn data'!$I$3:$I$20000,'LinkedIn data'!$A$3:$A$20000,"&gt;="&amp;P$3,'LinkedIn data'!$A$3:$A$20000,"&lt;="&amp;P$4,'LinkedIn data'!$B$3:$B$20000,$A67),0)))))</f>
        <v/>
      </c>
      <c r="Q67" s="14" t="str">
        <f aca="false">IF($A67="","",IF($B67="Meta",SUMIFS('Meta data'!$I$3:$I$20000,'Meta data'!$A$3:$A$20000,"&gt;="&amp;Q$3,'Meta data'!$A$3:$A$20000,"&lt;="&amp;Q$4,'Meta data'!$B$3:$B$20000,$A67),IF($B67="Google Ads",SUMIFS('Google data'!$I$3:$I$20000,'Google data'!$A$3:$A$20000,"&gt;="&amp;Q$3,'Google data'!$A$3:$A$20000,"&lt;="&amp;Q$4,'Google data'!$B$3:$B$20000,$A67),IF($B67="ChatGPT Ads",SUMIFS('ChatGPT data'!$I$3:$I$20000,'ChatGPT data'!$A$3:$A$20000,"&gt;="&amp;Q$3,'ChatGPT data'!$A$3:$A$20000,"&lt;="&amp;Q$4,'ChatGPT data'!$B$3:$B$20000,$A67),IF($B67="LinkedIn Ads",SUMIFS('LinkedIn data'!$I$3:$I$20000,'LinkedIn data'!$A$3:$A$20000,"&gt;="&amp;Q$3,'LinkedIn data'!$A$3:$A$20000,"&lt;="&amp;Q$4,'LinkedIn data'!$B$3:$B$20000,$A67),0)))))</f>
        <v/>
      </c>
      <c r="R67" s="15" t="str">
        <f aca="false">IF($A67="","",SUM(F67:Q67))</f>
        <v/>
      </c>
      <c r="S67" s="37" t="str">
        <f aca="false">IF($A67="","",IF($B67="Meta",SUMIFS('Meta data'!$E$3:$E$20000,'Meta data'!$B$3:$B$20000,$A67),IF($B67="Google Ads",SUMIFS('Google data'!$E$3:$E$20000,'Google data'!$B$3:$B$20000,$A67),IF($B67="ChatGPT Ads",SUMIFS('ChatGPT data'!$E$3:$E$20000,'ChatGPT data'!$B$3:$B$20000,$A67),IF($B67="LinkedIn Ads",SUMIFS('LinkedIn data'!$E$3:$E$20000,'LinkedIn data'!$B$3:$B$20000,$A67),0)))))</f>
        <v/>
      </c>
      <c r="T67" s="37" t="str">
        <f aca="false">IF($A67="","",IF($B67="Meta",SUMIFS('Meta data'!$F$3:$F$20000,'Meta data'!$B$3:$B$20000,$A67),IF($B67="Google Ads",SUMIFS('Google data'!$F$3:$F$20000,'Google data'!$B$3:$B$20000,$A67),IF($B67="ChatGPT Ads",SUMIFS('ChatGPT data'!$F$3:$F$20000,'ChatGPT data'!$B$3:$B$20000,$A67),IF($B67="LinkedIn Ads",SUMIFS('LinkedIn data'!$F$3:$F$20000,'LinkedIn data'!$B$3:$B$20000,$A67),0)))))</f>
        <v/>
      </c>
      <c r="U67" s="38" t="str">
        <f aca="false">IF(OR($A67="",T67=0),"",R67/T67)</f>
        <v/>
      </c>
    </row>
    <row r="68" customFormat="false" ht="15" hidden="false" customHeight="false" outlineLevel="0" collapsed="false">
      <c r="A68" s="59"/>
      <c r="B68" s="59"/>
      <c r="C68" s="59"/>
      <c r="D68" s="59"/>
      <c r="E68" s="59"/>
      <c r="F68" s="14" t="str">
        <f aca="false">IF($A68="","",IF($B68="Meta",SUMIFS('Meta data'!$I$3:$I$20000,'Meta data'!$A$3:$A$20000,"&gt;="&amp;F$3,'Meta data'!$A$3:$A$20000,"&lt;="&amp;F$4,'Meta data'!$B$3:$B$20000,$A68),IF($B68="Google Ads",SUMIFS('Google data'!$I$3:$I$20000,'Google data'!$A$3:$A$20000,"&gt;="&amp;F$3,'Google data'!$A$3:$A$20000,"&lt;="&amp;F$4,'Google data'!$B$3:$B$20000,$A68),IF($B68="ChatGPT Ads",SUMIFS('ChatGPT data'!$I$3:$I$20000,'ChatGPT data'!$A$3:$A$20000,"&gt;="&amp;F$3,'ChatGPT data'!$A$3:$A$20000,"&lt;="&amp;F$4,'ChatGPT data'!$B$3:$B$20000,$A68),IF($B68="LinkedIn Ads",SUMIFS('LinkedIn data'!$I$3:$I$20000,'LinkedIn data'!$A$3:$A$20000,"&gt;="&amp;F$3,'LinkedIn data'!$A$3:$A$20000,"&lt;="&amp;F$4,'LinkedIn data'!$B$3:$B$20000,$A68),0)))))</f>
        <v/>
      </c>
      <c r="G68" s="14" t="str">
        <f aca="false">IF($A68="","",IF($B68="Meta",SUMIFS('Meta data'!$I$3:$I$20000,'Meta data'!$A$3:$A$20000,"&gt;="&amp;G$3,'Meta data'!$A$3:$A$20000,"&lt;="&amp;G$4,'Meta data'!$B$3:$B$20000,$A68),IF($B68="Google Ads",SUMIFS('Google data'!$I$3:$I$20000,'Google data'!$A$3:$A$20000,"&gt;="&amp;G$3,'Google data'!$A$3:$A$20000,"&lt;="&amp;G$4,'Google data'!$B$3:$B$20000,$A68),IF($B68="ChatGPT Ads",SUMIFS('ChatGPT data'!$I$3:$I$20000,'ChatGPT data'!$A$3:$A$20000,"&gt;="&amp;G$3,'ChatGPT data'!$A$3:$A$20000,"&lt;="&amp;G$4,'ChatGPT data'!$B$3:$B$20000,$A68),IF($B68="LinkedIn Ads",SUMIFS('LinkedIn data'!$I$3:$I$20000,'LinkedIn data'!$A$3:$A$20000,"&gt;="&amp;G$3,'LinkedIn data'!$A$3:$A$20000,"&lt;="&amp;G$4,'LinkedIn data'!$B$3:$B$20000,$A68),0)))))</f>
        <v/>
      </c>
      <c r="H68" s="14" t="str">
        <f aca="false">IF($A68="","",IF($B68="Meta",SUMIFS('Meta data'!$I$3:$I$20000,'Meta data'!$A$3:$A$20000,"&gt;="&amp;H$3,'Meta data'!$A$3:$A$20000,"&lt;="&amp;H$4,'Meta data'!$B$3:$B$20000,$A68),IF($B68="Google Ads",SUMIFS('Google data'!$I$3:$I$20000,'Google data'!$A$3:$A$20000,"&gt;="&amp;H$3,'Google data'!$A$3:$A$20000,"&lt;="&amp;H$4,'Google data'!$B$3:$B$20000,$A68),IF($B68="ChatGPT Ads",SUMIFS('ChatGPT data'!$I$3:$I$20000,'ChatGPT data'!$A$3:$A$20000,"&gt;="&amp;H$3,'ChatGPT data'!$A$3:$A$20000,"&lt;="&amp;H$4,'ChatGPT data'!$B$3:$B$20000,$A68),IF($B68="LinkedIn Ads",SUMIFS('LinkedIn data'!$I$3:$I$20000,'LinkedIn data'!$A$3:$A$20000,"&gt;="&amp;H$3,'LinkedIn data'!$A$3:$A$20000,"&lt;="&amp;H$4,'LinkedIn data'!$B$3:$B$20000,$A68),0)))))</f>
        <v/>
      </c>
      <c r="I68" s="14" t="str">
        <f aca="false">IF($A68="","",IF($B68="Meta",SUMIFS('Meta data'!$I$3:$I$20000,'Meta data'!$A$3:$A$20000,"&gt;="&amp;I$3,'Meta data'!$A$3:$A$20000,"&lt;="&amp;I$4,'Meta data'!$B$3:$B$20000,$A68),IF($B68="Google Ads",SUMIFS('Google data'!$I$3:$I$20000,'Google data'!$A$3:$A$20000,"&gt;="&amp;I$3,'Google data'!$A$3:$A$20000,"&lt;="&amp;I$4,'Google data'!$B$3:$B$20000,$A68),IF($B68="ChatGPT Ads",SUMIFS('ChatGPT data'!$I$3:$I$20000,'ChatGPT data'!$A$3:$A$20000,"&gt;="&amp;I$3,'ChatGPT data'!$A$3:$A$20000,"&lt;="&amp;I$4,'ChatGPT data'!$B$3:$B$20000,$A68),IF($B68="LinkedIn Ads",SUMIFS('LinkedIn data'!$I$3:$I$20000,'LinkedIn data'!$A$3:$A$20000,"&gt;="&amp;I$3,'LinkedIn data'!$A$3:$A$20000,"&lt;="&amp;I$4,'LinkedIn data'!$B$3:$B$20000,$A68),0)))))</f>
        <v/>
      </c>
      <c r="J68" s="14" t="str">
        <f aca="false">IF($A68="","",IF($B68="Meta",SUMIFS('Meta data'!$I$3:$I$20000,'Meta data'!$A$3:$A$20000,"&gt;="&amp;J$3,'Meta data'!$A$3:$A$20000,"&lt;="&amp;J$4,'Meta data'!$B$3:$B$20000,$A68),IF($B68="Google Ads",SUMIFS('Google data'!$I$3:$I$20000,'Google data'!$A$3:$A$20000,"&gt;="&amp;J$3,'Google data'!$A$3:$A$20000,"&lt;="&amp;J$4,'Google data'!$B$3:$B$20000,$A68),IF($B68="ChatGPT Ads",SUMIFS('ChatGPT data'!$I$3:$I$20000,'ChatGPT data'!$A$3:$A$20000,"&gt;="&amp;J$3,'ChatGPT data'!$A$3:$A$20000,"&lt;="&amp;J$4,'ChatGPT data'!$B$3:$B$20000,$A68),IF($B68="LinkedIn Ads",SUMIFS('LinkedIn data'!$I$3:$I$20000,'LinkedIn data'!$A$3:$A$20000,"&gt;="&amp;J$3,'LinkedIn data'!$A$3:$A$20000,"&lt;="&amp;J$4,'LinkedIn data'!$B$3:$B$20000,$A68),0)))))</f>
        <v/>
      </c>
      <c r="K68" s="14" t="str">
        <f aca="false">IF($A68="","",IF($B68="Meta",SUMIFS('Meta data'!$I$3:$I$20000,'Meta data'!$A$3:$A$20000,"&gt;="&amp;K$3,'Meta data'!$A$3:$A$20000,"&lt;="&amp;K$4,'Meta data'!$B$3:$B$20000,$A68),IF($B68="Google Ads",SUMIFS('Google data'!$I$3:$I$20000,'Google data'!$A$3:$A$20000,"&gt;="&amp;K$3,'Google data'!$A$3:$A$20000,"&lt;="&amp;K$4,'Google data'!$B$3:$B$20000,$A68),IF($B68="ChatGPT Ads",SUMIFS('ChatGPT data'!$I$3:$I$20000,'ChatGPT data'!$A$3:$A$20000,"&gt;="&amp;K$3,'ChatGPT data'!$A$3:$A$20000,"&lt;="&amp;K$4,'ChatGPT data'!$B$3:$B$20000,$A68),IF($B68="LinkedIn Ads",SUMIFS('LinkedIn data'!$I$3:$I$20000,'LinkedIn data'!$A$3:$A$20000,"&gt;="&amp;K$3,'LinkedIn data'!$A$3:$A$20000,"&lt;="&amp;K$4,'LinkedIn data'!$B$3:$B$20000,$A68),0)))))</f>
        <v/>
      </c>
      <c r="L68" s="14" t="str">
        <f aca="false">IF($A68="","",IF($B68="Meta",SUMIFS('Meta data'!$I$3:$I$20000,'Meta data'!$A$3:$A$20000,"&gt;="&amp;L$3,'Meta data'!$A$3:$A$20000,"&lt;="&amp;L$4,'Meta data'!$B$3:$B$20000,$A68),IF($B68="Google Ads",SUMIFS('Google data'!$I$3:$I$20000,'Google data'!$A$3:$A$20000,"&gt;="&amp;L$3,'Google data'!$A$3:$A$20000,"&lt;="&amp;L$4,'Google data'!$B$3:$B$20000,$A68),IF($B68="ChatGPT Ads",SUMIFS('ChatGPT data'!$I$3:$I$20000,'ChatGPT data'!$A$3:$A$20000,"&gt;="&amp;L$3,'ChatGPT data'!$A$3:$A$20000,"&lt;="&amp;L$4,'ChatGPT data'!$B$3:$B$20000,$A68),IF($B68="LinkedIn Ads",SUMIFS('LinkedIn data'!$I$3:$I$20000,'LinkedIn data'!$A$3:$A$20000,"&gt;="&amp;L$3,'LinkedIn data'!$A$3:$A$20000,"&lt;="&amp;L$4,'LinkedIn data'!$B$3:$B$20000,$A68),0)))))</f>
        <v/>
      </c>
      <c r="M68" s="14" t="str">
        <f aca="false">IF($A68="","",IF($B68="Meta",SUMIFS('Meta data'!$I$3:$I$20000,'Meta data'!$A$3:$A$20000,"&gt;="&amp;M$3,'Meta data'!$A$3:$A$20000,"&lt;="&amp;M$4,'Meta data'!$B$3:$B$20000,$A68),IF($B68="Google Ads",SUMIFS('Google data'!$I$3:$I$20000,'Google data'!$A$3:$A$20000,"&gt;="&amp;M$3,'Google data'!$A$3:$A$20000,"&lt;="&amp;M$4,'Google data'!$B$3:$B$20000,$A68),IF($B68="ChatGPT Ads",SUMIFS('ChatGPT data'!$I$3:$I$20000,'ChatGPT data'!$A$3:$A$20000,"&gt;="&amp;M$3,'ChatGPT data'!$A$3:$A$20000,"&lt;="&amp;M$4,'ChatGPT data'!$B$3:$B$20000,$A68),IF($B68="LinkedIn Ads",SUMIFS('LinkedIn data'!$I$3:$I$20000,'LinkedIn data'!$A$3:$A$20000,"&gt;="&amp;M$3,'LinkedIn data'!$A$3:$A$20000,"&lt;="&amp;M$4,'LinkedIn data'!$B$3:$B$20000,$A68),0)))))</f>
        <v/>
      </c>
      <c r="N68" s="14" t="str">
        <f aca="false">IF($A68="","",IF($B68="Meta",SUMIFS('Meta data'!$I$3:$I$20000,'Meta data'!$A$3:$A$20000,"&gt;="&amp;N$3,'Meta data'!$A$3:$A$20000,"&lt;="&amp;N$4,'Meta data'!$B$3:$B$20000,$A68),IF($B68="Google Ads",SUMIFS('Google data'!$I$3:$I$20000,'Google data'!$A$3:$A$20000,"&gt;="&amp;N$3,'Google data'!$A$3:$A$20000,"&lt;="&amp;N$4,'Google data'!$B$3:$B$20000,$A68),IF($B68="ChatGPT Ads",SUMIFS('ChatGPT data'!$I$3:$I$20000,'ChatGPT data'!$A$3:$A$20000,"&gt;="&amp;N$3,'ChatGPT data'!$A$3:$A$20000,"&lt;="&amp;N$4,'ChatGPT data'!$B$3:$B$20000,$A68),IF($B68="LinkedIn Ads",SUMIFS('LinkedIn data'!$I$3:$I$20000,'LinkedIn data'!$A$3:$A$20000,"&gt;="&amp;N$3,'LinkedIn data'!$A$3:$A$20000,"&lt;="&amp;N$4,'LinkedIn data'!$B$3:$B$20000,$A68),0)))))</f>
        <v/>
      </c>
      <c r="O68" s="14" t="str">
        <f aca="false">IF($A68="","",IF($B68="Meta",SUMIFS('Meta data'!$I$3:$I$20000,'Meta data'!$A$3:$A$20000,"&gt;="&amp;O$3,'Meta data'!$A$3:$A$20000,"&lt;="&amp;O$4,'Meta data'!$B$3:$B$20000,$A68),IF($B68="Google Ads",SUMIFS('Google data'!$I$3:$I$20000,'Google data'!$A$3:$A$20000,"&gt;="&amp;O$3,'Google data'!$A$3:$A$20000,"&lt;="&amp;O$4,'Google data'!$B$3:$B$20000,$A68),IF($B68="ChatGPT Ads",SUMIFS('ChatGPT data'!$I$3:$I$20000,'ChatGPT data'!$A$3:$A$20000,"&gt;="&amp;O$3,'ChatGPT data'!$A$3:$A$20000,"&lt;="&amp;O$4,'ChatGPT data'!$B$3:$B$20000,$A68),IF($B68="LinkedIn Ads",SUMIFS('LinkedIn data'!$I$3:$I$20000,'LinkedIn data'!$A$3:$A$20000,"&gt;="&amp;O$3,'LinkedIn data'!$A$3:$A$20000,"&lt;="&amp;O$4,'LinkedIn data'!$B$3:$B$20000,$A68),0)))))</f>
        <v/>
      </c>
      <c r="P68" s="14" t="str">
        <f aca="false">IF($A68="","",IF($B68="Meta",SUMIFS('Meta data'!$I$3:$I$20000,'Meta data'!$A$3:$A$20000,"&gt;="&amp;P$3,'Meta data'!$A$3:$A$20000,"&lt;="&amp;P$4,'Meta data'!$B$3:$B$20000,$A68),IF($B68="Google Ads",SUMIFS('Google data'!$I$3:$I$20000,'Google data'!$A$3:$A$20000,"&gt;="&amp;P$3,'Google data'!$A$3:$A$20000,"&lt;="&amp;P$4,'Google data'!$B$3:$B$20000,$A68),IF($B68="ChatGPT Ads",SUMIFS('ChatGPT data'!$I$3:$I$20000,'ChatGPT data'!$A$3:$A$20000,"&gt;="&amp;P$3,'ChatGPT data'!$A$3:$A$20000,"&lt;="&amp;P$4,'ChatGPT data'!$B$3:$B$20000,$A68),IF($B68="LinkedIn Ads",SUMIFS('LinkedIn data'!$I$3:$I$20000,'LinkedIn data'!$A$3:$A$20000,"&gt;="&amp;P$3,'LinkedIn data'!$A$3:$A$20000,"&lt;="&amp;P$4,'LinkedIn data'!$B$3:$B$20000,$A68),0)))))</f>
        <v/>
      </c>
      <c r="Q68" s="14" t="str">
        <f aca="false">IF($A68="","",IF($B68="Meta",SUMIFS('Meta data'!$I$3:$I$20000,'Meta data'!$A$3:$A$20000,"&gt;="&amp;Q$3,'Meta data'!$A$3:$A$20000,"&lt;="&amp;Q$4,'Meta data'!$B$3:$B$20000,$A68),IF($B68="Google Ads",SUMIFS('Google data'!$I$3:$I$20000,'Google data'!$A$3:$A$20000,"&gt;="&amp;Q$3,'Google data'!$A$3:$A$20000,"&lt;="&amp;Q$4,'Google data'!$B$3:$B$20000,$A68),IF($B68="ChatGPT Ads",SUMIFS('ChatGPT data'!$I$3:$I$20000,'ChatGPT data'!$A$3:$A$20000,"&gt;="&amp;Q$3,'ChatGPT data'!$A$3:$A$20000,"&lt;="&amp;Q$4,'ChatGPT data'!$B$3:$B$20000,$A68),IF($B68="LinkedIn Ads",SUMIFS('LinkedIn data'!$I$3:$I$20000,'LinkedIn data'!$A$3:$A$20000,"&gt;="&amp;Q$3,'LinkedIn data'!$A$3:$A$20000,"&lt;="&amp;Q$4,'LinkedIn data'!$B$3:$B$20000,$A68),0)))))</f>
        <v/>
      </c>
      <c r="R68" s="15" t="str">
        <f aca="false">IF($A68="","",SUM(F68:Q68))</f>
        <v/>
      </c>
      <c r="S68" s="37" t="str">
        <f aca="false">IF($A68="","",IF($B68="Meta",SUMIFS('Meta data'!$E$3:$E$20000,'Meta data'!$B$3:$B$20000,$A68),IF($B68="Google Ads",SUMIFS('Google data'!$E$3:$E$20000,'Google data'!$B$3:$B$20000,$A68),IF($B68="ChatGPT Ads",SUMIFS('ChatGPT data'!$E$3:$E$20000,'ChatGPT data'!$B$3:$B$20000,$A68),IF($B68="LinkedIn Ads",SUMIFS('LinkedIn data'!$E$3:$E$20000,'LinkedIn data'!$B$3:$B$20000,$A68),0)))))</f>
        <v/>
      </c>
      <c r="T68" s="37" t="str">
        <f aca="false">IF($A68="","",IF($B68="Meta",SUMIFS('Meta data'!$F$3:$F$20000,'Meta data'!$B$3:$B$20000,$A68),IF($B68="Google Ads",SUMIFS('Google data'!$F$3:$F$20000,'Google data'!$B$3:$B$20000,$A68),IF($B68="ChatGPT Ads",SUMIFS('ChatGPT data'!$F$3:$F$20000,'ChatGPT data'!$B$3:$B$20000,$A68),IF($B68="LinkedIn Ads",SUMIFS('LinkedIn data'!$F$3:$F$20000,'LinkedIn data'!$B$3:$B$20000,$A68),0)))))</f>
        <v/>
      </c>
      <c r="U68" s="38" t="str">
        <f aca="false">IF(OR($A68="",T68=0),"",R68/T68)</f>
        <v/>
      </c>
    </row>
    <row r="69" customFormat="false" ht="15" hidden="false" customHeight="false" outlineLevel="0" collapsed="false">
      <c r="A69" s="59"/>
      <c r="B69" s="59"/>
      <c r="C69" s="59"/>
      <c r="D69" s="59"/>
      <c r="E69" s="59"/>
      <c r="F69" s="14" t="str">
        <f aca="false">IF($A69="","",IF($B69="Meta",SUMIFS('Meta data'!$I$3:$I$20000,'Meta data'!$A$3:$A$20000,"&gt;="&amp;F$3,'Meta data'!$A$3:$A$20000,"&lt;="&amp;F$4,'Meta data'!$B$3:$B$20000,$A69),IF($B69="Google Ads",SUMIFS('Google data'!$I$3:$I$20000,'Google data'!$A$3:$A$20000,"&gt;="&amp;F$3,'Google data'!$A$3:$A$20000,"&lt;="&amp;F$4,'Google data'!$B$3:$B$20000,$A69),IF($B69="ChatGPT Ads",SUMIFS('ChatGPT data'!$I$3:$I$20000,'ChatGPT data'!$A$3:$A$20000,"&gt;="&amp;F$3,'ChatGPT data'!$A$3:$A$20000,"&lt;="&amp;F$4,'ChatGPT data'!$B$3:$B$20000,$A69),IF($B69="LinkedIn Ads",SUMIFS('LinkedIn data'!$I$3:$I$20000,'LinkedIn data'!$A$3:$A$20000,"&gt;="&amp;F$3,'LinkedIn data'!$A$3:$A$20000,"&lt;="&amp;F$4,'LinkedIn data'!$B$3:$B$20000,$A69),0)))))</f>
        <v/>
      </c>
      <c r="G69" s="14" t="str">
        <f aca="false">IF($A69="","",IF($B69="Meta",SUMIFS('Meta data'!$I$3:$I$20000,'Meta data'!$A$3:$A$20000,"&gt;="&amp;G$3,'Meta data'!$A$3:$A$20000,"&lt;="&amp;G$4,'Meta data'!$B$3:$B$20000,$A69),IF($B69="Google Ads",SUMIFS('Google data'!$I$3:$I$20000,'Google data'!$A$3:$A$20000,"&gt;="&amp;G$3,'Google data'!$A$3:$A$20000,"&lt;="&amp;G$4,'Google data'!$B$3:$B$20000,$A69),IF($B69="ChatGPT Ads",SUMIFS('ChatGPT data'!$I$3:$I$20000,'ChatGPT data'!$A$3:$A$20000,"&gt;="&amp;G$3,'ChatGPT data'!$A$3:$A$20000,"&lt;="&amp;G$4,'ChatGPT data'!$B$3:$B$20000,$A69),IF($B69="LinkedIn Ads",SUMIFS('LinkedIn data'!$I$3:$I$20000,'LinkedIn data'!$A$3:$A$20000,"&gt;="&amp;G$3,'LinkedIn data'!$A$3:$A$20000,"&lt;="&amp;G$4,'LinkedIn data'!$B$3:$B$20000,$A69),0)))))</f>
        <v/>
      </c>
      <c r="H69" s="14" t="str">
        <f aca="false">IF($A69="","",IF($B69="Meta",SUMIFS('Meta data'!$I$3:$I$20000,'Meta data'!$A$3:$A$20000,"&gt;="&amp;H$3,'Meta data'!$A$3:$A$20000,"&lt;="&amp;H$4,'Meta data'!$B$3:$B$20000,$A69),IF($B69="Google Ads",SUMIFS('Google data'!$I$3:$I$20000,'Google data'!$A$3:$A$20000,"&gt;="&amp;H$3,'Google data'!$A$3:$A$20000,"&lt;="&amp;H$4,'Google data'!$B$3:$B$20000,$A69),IF($B69="ChatGPT Ads",SUMIFS('ChatGPT data'!$I$3:$I$20000,'ChatGPT data'!$A$3:$A$20000,"&gt;="&amp;H$3,'ChatGPT data'!$A$3:$A$20000,"&lt;="&amp;H$4,'ChatGPT data'!$B$3:$B$20000,$A69),IF($B69="LinkedIn Ads",SUMIFS('LinkedIn data'!$I$3:$I$20000,'LinkedIn data'!$A$3:$A$20000,"&gt;="&amp;H$3,'LinkedIn data'!$A$3:$A$20000,"&lt;="&amp;H$4,'LinkedIn data'!$B$3:$B$20000,$A69),0)))))</f>
        <v/>
      </c>
      <c r="I69" s="14" t="str">
        <f aca="false">IF($A69="","",IF($B69="Meta",SUMIFS('Meta data'!$I$3:$I$20000,'Meta data'!$A$3:$A$20000,"&gt;="&amp;I$3,'Meta data'!$A$3:$A$20000,"&lt;="&amp;I$4,'Meta data'!$B$3:$B$20000,$A69),IF($B69="Google Ads",SUMIFS('Google data'!$I$3:$I$20000,'Google data'!$A$3:$A$20000,"&gt;="&amp;I$3,'Google data'!$A$3:$A$20000,"&lt;="&amp;I$4,'Google data'!$B$3:$B$20000,$A69),IF($B69="ChatGPT Ads",SUMIFS('ChatGPT data'!$I$3:$I$20000,'ChatGPT data'!$A$3:$A$20000,"&gt;="&amp;I$3,'ChatGPT data'!$A$3:$A$20000,"&lt;="&amp;I$4,'ChatGPT data'!$B$3:$B$20000,$A69),IF($B69="LinkedIn Ads",SUMIFS('LinkedIn data'!$I$3:$I$20000,'LinkedIn data'!$A$3:$A$20000,"&gt;="&amp;I$3,'LinkedIn data'!$A$3:$A$20000,"&lt;="&amp;I$4,'LinkedIn data'!$B$3:$B$20000,$A69),0)))))</f>
        <v/>
      </c>
      <c r="J69" s="14" t="str">
        <f aca="false">IF($A69="","",IF($B69="Meta",SUMIFS('Meta data'!$I$3:$I$20000,'Meta data'!$A$3:$A$20000,"&gt;="&amp;J$3,'Meta data'!$A$3:$A$20000,"&lt;="&amp;J$4,'Meta data'!$B$3:$B$20000,$A69),IF($B69="Google Ads",SUMIFS('Google data'!$I$3:$I$20000,'Google data'!$A$3:$A$20000,"&gt;="&amp;J$3,'Google data'!$A$3:$A$20000,"&lt;="&amp;J$4,'Google data'!$B$3:$B$20000,$A69),IF($B69="ChatGPT Ads",SUMIFS('ChatGPT data'!$I$3:$I$20000,'ChatGPT data'!$A$3:$A$20000,"&gt;="&amp;J$3,'ChatGPT data'!$A$3:$A$20000,"&lt;="&amp;J$4,'ChatGPT data'!$B$3:$B$20000,$A69),IF($B69="LinkedIn Ads",SUMIFS('LinkedIn data'!$I$3:$I$20000,'LinkedIn data'!$A$3:$A$20000,"&gt;="&amp;J$3,'LinkedIn data'!$A$3:$A$20000,"&lt;="&amp;J$4,'LinkedIn data'!$B$3:$B$20000,$A69),0)))))</f>
        <v/>
      </c>
      <c r="K69" s="14" t="str">
        <f aca="false">IF($A69="","",IF($B69="Meta",SUMIFS('Meta data'!$I$3:$I$20000,'Meta data'!$A$3:$A$20000,"&gt;="&amp;K$3,'Meta data'!$A$3:$A$20000,"&lt;="&amp;K$4,'Meta data'!$B$3:$B$20000,$A69),IF($B69="Google Ads",SUMIFS('Google data'!$I$3:$I$20000,'Google data'!$A$3:$A$20000,"&gt;="&amp;K$3,'Google data'!$A$3:$A$20000,"&lt;="&amp;K$4,'Google data'!$B$3:$B$20000,$A69),IF($B69="ChatGPT Ads",SUMIFS('ChatGPT data'!$I$3:$I$20000,'ChatGPT data'!$A$3:$A$20000,"&gt;="&amp;K$3,'ChatGPT data'!$A$3:$A$20000,"&lt;="&amp;K$4,'ChatGPT data'!$B$3:$B$20000,$A69),IF($B69="LinkedIn Ads",SUMIFS('LinkedIn data'!$I$3:$I$20000,'LinkedIn data'!$A$3:$A$20000,"&gt;="&amp;K$3,'LinkedIn data'!$A$3:$A$20000,"&lt;="&amp;K$4,'LinkedIn data'!$B$3:$B$20000,$A69),0)))))</f>
        <v/>
      </c>
      <c r="L69" s="14" t="str">
        <f aca="false">IF($A69="","",IF($B69="Meta",SUMIFS('Meta data'!$I$3:$I$20000,'Meta data'!$A$3:$A$20000,"&gt;="&amp;L$3,'Meta data'!$A$3:$A$20000,"&lt;="&amp;L$4,'Meta data'!$B$3:$B$20000,$A69),IF($B69="Google Ads",SUMIFS('Google data'!$I$3:$I$20000,'Google data'!$A$3:$A$20000,"&gt;="&amp;L$3,'Google data'!$A$3:$A$20000,"&lt;="&amp;L$4,'Google data'!$B$3:$B$20000,$A69),IF($B69="ChatGPT Ads",SUMIFS('ChatGPT data'!$I$3:$I$20000,'ChatGPT data'!$A$3:$A$20000,"&gt;="&amp;L$3,'ChatGPT data'!$A$3:$A$20000,"&lt;="&amp;L$4,'ChatGPT data'!$B$3:$B$20000,$A69),IF($B69="LinkedIn Ads",SUMIFS('LinkedIn data'!$I$3:$I$20000,'LinkedIn data'!$A$3:$A$20000,"&gt;="&amp;L$3,'LinkedIn data'!$A$3:$A$20000,"&lt;="&amp;L$4,'LinkedIn data'!$B$3:$B$20000,$A69),0)))))</f>
        <v/>
      </c>
      <c r="M69" s="14" t="str">
        <f aca="false">IF($A69="","",IF($B69="Meta",SUMIFS('Meta data'!$I$3:$I$20000,'Meta data'!$A$3:$A$20000,"&gt;="&amp;M$3,'Meta data'!$A$3:$A$20000,"&lt;="&amp;M$4,'Meta data'!$B$3:$B$20000,$A69),IF($B69="Google Ads",SUMIFS('Google data'!$I$3:$I$20000,'Google data'!$A$3:$A$20000,"&gt;="&amp;M$3,'Google data'!$A$3:$A$20000,"&lt;="&amp;M$4,'Google data'!$B$3:$B$20000,$A69),IF($B69="ChatGPT Ads",SUMIFS('ChatGPT data'!$I$3:$I$20000,'ChatGPT data'!$A$3:$A$20000,"&gt;="&amp;M$3,'ChatGPT data'!$A$3:$A$20000,"&lt;="&amp;M$4,'ChatGPT data'!$B$3:$B$20000,$A69),IF($B69="LinkedIn Ads",SUMIFS('LinkedIn data'!$I$3:$I$20000,'LinkedIn data'!$A$3:$A$20000,"&gt;="&amp;M$3,'LinkedIn data'!$A$3:$A$20000,"&lt;="&amp;M$4,'LinkedIn data'!$B$3:$B$20000,$A69),0)))))</f>
        <v/>
      </c>
      <c r="N69" s="14" t="str">
        <f aca="false">IF($A69="","",IF($B69="Meta",SUMIFS('Meta data'!$I$3:$I$20000,'Meta data'!$A$3:$A$20000,"&gt;="&amp;N$3,'Meta data'!$A$3:$A$20000,"&lt;="&amp;N$4,'Meta data'!$B$3:$B$20000,$A69),IF($B69="Google Ads",SUMIFS('Google data'!$I$3:$I$20000,'Google data'!$A$3:$A$20000,"&gt;="&amp;N$3,'Google data'!$A$3:$A$20000,"&lt;="&amp;N$4,'Google data'!$B$3:$B$20000,$A69),IF($B69="ChatGPT Ads",SUMIFS('ChatGPT data'!$I$3:$I$20000,'ChatGPT data'!$A$3:$A$20000,"&gt;="&amp;N$3,'ChatGPT data'!$A$3:$A$20000,"&lt;="&amp;N$4,'ChatGPT data'!$B$3:$B$20000,$A69),IF($B69="LinkedIn Ads",SUMIFS('LinkedIn data'!$I$3:$I$20000,'LinkedIn data'!$A$3:$A$20000,"&gt;="&amp;N$3,'LinkedIn data'!$A$3:$A$20000,"&lt;="&amp;N$4,'LinkedIn data'!$B$3:$B$20000,$A69),0)))))</f>
        <v/>
      </c>
      <c r="O69" s="14" t="str">
        <f aca="false">IF($A69="","",IF($B69="Meta",SUMIFS('Meta data'!$I$3:$I$20000,'Meta data'!$A$3:$A$20000,"&gt;="&amp;O$3,'Meta data'!$A$3:$A$20000,"&lt;="&amp;O$4,'Meta data'!$B$3:$B$20000,$A69),IF($B69="Google Ads",SUMIFS('Google data'!$I$3:$I$20000,'Google data'!$A$3:$A$20000,"&gt;="&amp;O$3,'Google data'!$A$3:$A$20000,"&lt;="&amp;O$4,'Google data'!$B$3:$B$20000,$A69),IF($B69="ChatGPT Ads",SUMIFS('ChatGPT data'!$I$3:$I$20000,'ChatGPT data'!$A$3:$A$20000,"&gt;="&amp;O$3,'ChatGPT data'!$A$3:$A$20000,"&lt;="&amp;O$4,'ChatGPT data'!$B$3:$B$20000,$A69),IF($B69="LinkedIn Ads",SUMIFS('LinkedIn data'!$I$3:$I$20000,'LinkedIn data'!$A$3:$A$20000,"&gt;="&amp;O$3,'LinkedIn data'!$A$3:$A$20000,"&lt;="&amp;O$4,'LinkedIn data'!$B$3:$B$20000,$A69),0)))))</f>
        <v/>
      </c>
      <c r="P69" s="14" t="str">
        <f aca="false">IF($A69="","",IF($B69="Meta",SUMIFS('Meta data'!$I$3:$I$20000,'Meta data'!$A$3:$A$20000,"&gt;="&amp;P$3,'Meta data'!$A$3:$A$20000,"&lt;="&amp;P$4,'Meta data'!$B$3:$B$20000,$A69),IF($B69="Google Ads",SUMIFS('Google data'!$I$3:$I$20000,'Google data'!$A$3:$A$20000,"&gt;="&amp;P$3,'Google data'!$A$3:$A$20000,"&lt;="&amp;P$4,'Google data'!$B$3:$B$20000,$A69),IF($B69="ChatGPT Ads",SUMIFS('ChatGPT data'!$I$3:$I$20000,'ChatGPT data'!$A$3:$A$20000,"&gt;="&amp;P$3,'ChatGPT data'!$A$3:$A$20000,"&lt;="&amp;P$4,'ChatGPT data'!$B$3:$B$20000,$A69),IF($B69="LinkedIn Ads",SUMIFS('LinkedIn data'!$I$3:$I$20000,'LinkedIn data'!$A$3:$A$20000,"&gt;="&amp;P$3,'LinkedIn data'!$A$3:$A$20000,"&lt;="&amp;P$4,'LinkedIn data'!$B$3:$B$20000,$A69),0)))))</f>
        <v/>
      </c>
      <c r="Q69" s="14" t="str">
        <f aca="false">IF($A69="","",IF($B69="Meta",SUMIFS('Meta data'!$I$3:$I$20000,'Meta data'!$A$3:$A$20000,"&gt;="&amp;Q$3,'Meta data'!$A$3:$A$20000,"&lt;="&amp;Q$4,'Meta data'!$B$3:$B$20000,$A69),IF($B69="Google Ads",SUMIFS('Google data'!$I$3:$I$20000,'Google data'!$A$3:$A$20000,"&gt;="&amp;Q$3,'Google data'!$A$3:$A$20000,"&lt;="&amp;Q$4,'Google data'!$B$3:$B$20000,$A69),IF($B69="ChatGPT Ads",SUMIFS('ChatGPT data'!$I$3:$I$20000,'ChatGPT data'!$A$3:$A$20000,"&gt;="&amp;Q$3,'ChatGPT data'!$A$3:$A$20000,"&lt;="&amp;Q$4,'ChatGPT data'!$B$3:$B$20000,$A69),IF($B69="LinkedIn Ads",SUMIFS('LinkedIn data'!$I$3:$I$20000,'LinkedIn data'!$A$3:$A$20000,"&gt;="&amp;Q$3,'LinkedIn data'!$A$3:$A$20000,"&lt;="&amp;Q$4,'LinkedIn data'!$B$3:$B$20000,$A69),0)))))</f>
        <v/>
      </c>
      <c r="R69" s="15" t="str">
        <f aca="false">IF($A69="","",SUM(F69:Q69))</f>
        <v/>
      </c>
      <c r="S69" s="37" t="str">
        <f aca="false">IF($A69="","",IF($B69="Meta",SUMIFS('Meta data'!$E$3:$E$20000,'Meta data'!$B$3:$B$20000,$A69),IF($B69="Google Ads",SUMIFS('Google data'!$E$3:$E$20000,'Google data'!$B$3:$B$20000,$A69),IF($B69="ChatGPT Ads",SUMIFS('ChatGPT data'!$E$3:$E$20000,'ChatGPT data'!$B$3:$B$20000,$A69),IF($B69="LinkedIn Ads",SUMIFS('LinkedIn data'!$E$3:$E$20000,'LinkedIn data'!$B$3:$B$20000,$A69),0)))))</f>
        <v/>
      </c>
      <c r="T69" s="37" t="str">
        <f aca="false">IF($A69="","",IF($B69="Meta",SUMIFS('Meta data'!$F$3:$F$20000,'Meta data'!$B$3:$B$20000,$A69),IF($B69="Google Ads",SUMIFS('Google data'!$F$3:$F$20000,'Google data'!$B$3:$B$20000,$A69),IF($B69="ChatGPT Ads",SUMIFS('ChatGPT data'!$F$3:$F$20000,'ChatGPT data'!$B$3:$B$20000,$A69),IF($B69="LinkedIn Ads",SUMIFS('LinkedIn data'!$F$3:$F$20000,'LinkedIn data'!$B$3:$B$20000,$A69),0)))))</f>
        <v/>
      </c>
      <c r="U69" s="38" t="str">
        <f aca="false">IF(OR($A69="",T69=0),"",R69/T69)</f>
        <v/>
      </c>
    </row>
    <row r="70" customFormat="false" ht="15" hidden="false" customHeight="false" outlineLevel="0" collapsed="false">
      <c r="A70" s="59"/>
      <c r="B70" s="59"/>
      <c r="C70" s="59"/>
      <c r="D70" s="59"/>
      <c r="E70" s="59"/>
      <c r="F70" s="14" t="str">
        <f aca="false">IF($A70="","",IF($B70="Meta",SUMIFS('Meta data'!$I$3:$I$20000,'Meta data'!$A$3:$A$20000,"&gt;="&amp;F$3,'Meta data'!$A$3:$A$20000,"&lt;="&amp;F$4,'Meta data'!$B$3:$B$20000,$A70),IF($B70="Google Ads",SUMIFS('Google data'!$I$3:$I$20000,'Google data'!$A$3:$A$20000,"&gt;="&amp;F$3,'Google data'!$A$3:$A$20000,"&lt;="&amp;F$4,'Google data'!$B$3:$B$20000,$A70),IF($B70="ChatGPT Ads",SUMIFS('ChatGPT data'!$I$3:$I$20000,'ChatGPT data'!$A$3:$A$20000,"&gt;="&amp;F$3,'ChatGPT data'!$A$3:$A$20000,"&lt;="&amp;F$4,'ChatGPT data'!$B$3:$B$20000,$A70),IF($B70="LinkedIn Ads",SUMIFS('LinkedIn data'!$I$3:$I$20000,'LinkedIn data'!$A$3:$A$20000,"&gt;="&amp;F$3,'LinkedIn data'!$A$3:$A$20000,"&lt;="&amp;F$4,'LinkedIn data'!$B$3:$B$20000,$A70),0)))))</f>
        <v/>
      </c>
      <c r="G70" s="14" t="str">
        <f aca="false">IF($A70="","",IF($B70="Meta",SUMIFS('Meta data'!$I$3:$I$20000,'Meta data'!$A$3:$A$20000,"&gt;="&amp;G$3,'Meta data'!$A$3:$A$20000,"&lt;="&amp;G$4,'Meta data'!$B$3:$B$20000,$A70),IF($B70="Google Ads",SUMIFS('Google data'!$I$3:$I$20000,'Google data'!$A$3:$A$20000,"&gt;="&amp;G$3,'Google data'!$A$3:$A$20000,"&lt;="&amp;G$4,'Google data'!$B$3:$B$20000,$A70),IF($B70="ChatGPT Ads",SUMIFS('ChatGPT data'!$I$3:$I$20000,'ChatGPT data'!$A$3:$A$20000,"&gt;="&amp;G$3,'ChatGPT data'!$A$3:$A$20000,"&lt;="&amp;G$4,'ChatGPT data'!$B$3:$B$20000,$A70),IF($B70="LinkedIn Ads",SUMIFS('LinkedIn data'!$I$3:$I$20000,'LinkedIn data'!$A$3:$A$20000,"&gt;="&amp;G$3,'LinkedIn data'!$A$3:$A$20000,"&lt;="&amp;G$4,'LinkedIn data'!$B$3:$B$20000,$A70),0)))))</f>
        <v/>
      </c>
      <c r="H70" s="14" t="str">
        <f aca="false">IF($A70="","",IF($B70="Meta",SUMIFS('Meta data'!$I$3:$I$20000,'Meta data'!$A$3:$A$20000,"&gt;="&amp;H$3,'Meta data'!$A$3:$A$20000,"&lt;="&amp;H$4,'Meta data'!$B$3:$B$20000,$A70),IF($B70="Google Ads",SUMIFS('Google data'!$I$3:$I$20000,'Google data'!$A$3:$A$20000,"&gt;="&amp;H$3,'Google data'!$A$3:$A$20000,"&lt;="&amp;H$4,'Google data'!$B$3:$B$20000,$A70),IF($B70="ChatGPT Ads",SUMIFS('ChatGPT data'!$I$3:$I$20000,'ChatGPT data'!$A$3:$A$20000,"&gt;="&amp;H$3,'ChatGPT data'!$A$3:$A$20000,"&lt;="&amp;H$4,'ChatGPT data'!$B$3:$B$20000,$A70),IF($B70="LinkedIn Ads",SUMIFS('LinkedIn data'!$I$3:$I$20000,'LinkedIn data'!$A$3:$A$20000,"&gt;="&amp;H$3,'LinkedIn data'!$A$3:$A$20000,"&lt;="&amp;H$4,'LinkedIn data'!$B$3:$B$20000,$A70),0)))))</f>
        <v/>
      </c>
      <c r="I70" s="14" t="str">
        <f aca="false">IF($A70="","",IF($B70="Meta",SUMIFS('Meta data'!$I$3:$I$20000,'Meta data'!$A$3:$A$20000,"&gt;="&amp;I$3,'Meta data'!$A$3:$A$20000,"&lt;="&amp;I$4,'Meta data'!$B$3:$B$20000,$A70),IF($B70="Google Ads",SUMIFS('Google data'!$I$3:$I$20000,'Google data'!$A$3:$A$20000,"&gt;="&amp;I$3,'Google data'!$A$3:$A$20000,"&lt;="&amp;I$4,'Google data'!$B$3:$B$20000,$A70),IF($B70="ChatGPT Ads",SUMIFS('ChatGPT data'!$I$3:$I$20000,'ChatGPT data'!$A$3:$A$20000,"&gt;="&amp;I$3,'ChatGPT data'!$A$3:$A$20000,"&lt;="&amp;I$4,'ChatGPT data'!$B$3:$B$20000,$A70),IF($B70="LinkedIn Ads",SUMIFS('LinkedIn data'!$I$3:$I$20000,'LinkedIn data'!$A$3:$A$20000,"&gt;="&amp;I$3,'LinkedIn data'!$A$3:$A$20000,"&lt;="&amp;I$4,'LinkedIn data'!$B$3:$B$20000,$A70),0)))))</f>
        <v/>
      </c>
      <c r="J70" s="14" t="str">
        <f aca="false">IF($A70="","",IF($B70="Meta",SUMIFS('Meta data'!$I$3:$I$20000,'Meta data'!$A$3:$A$20000,"&gt;="&amp;J$3,'Meta data'!$A$3:$A$20000,"&lt;="&amp;J$4,'Meta data'!$B$3:$B$20000,$A70),IF($B70="Google Ads",SUMIFS('Google data'!$I$3:$I$20000,'Google data'!$A$3:$A$20000,"&gt;="&amp;J$3,'Google data'!$A$3:$A$20000,"&lt;="&amp;J$4,'Google data'!$B$3:$B$20000,$A70),IF($B70="ChatGPT Ads",SUMIFS('ChatGPT data'!$I$3:$I$20000,'ChatGPT data'!$A$3:$A$20000,"&gt;="&amp;J$3,'ChatGPT data'!$A$3:$A$20000,"&lt;="&amp;J$4,'ChatGPT data'!$B$3:$B$20000,$A70),IF($B70="LinkedIn Ads",SUMIFS('LinkedIn data'!$I$3:$I$20000,'LinkedIn data'!$A$3:$A$20000,"&gt;="&amp;J$3,'LinkedIn data'!$A$3:$A$20000,"&lt;="&amp;J$4,'LinkedIn data'!$B$3:$B$20000,$A70),0)))))</f>
        <v/>
      </c>
      <c r="K70" s="14" t="str">
        <f aca="false">IF($A70="","",IF($B70="Meta",SUMIFS('Meta data'!$I$3:$I$20000,'Meta data'!$A$3:$A$20000,"&gt;="&amp;K$3,'Meta data'!$A$3:$A$20000,"&lt;="&amp;K$4,'Meta data'!$B$3:$B$20000,$A70),IF($B70="Google Ads",SUMIFS('Google data'!$I$3:$I$20000,'Google data'!$A$3:$A$20000,"&gt;="&amp;K$3,'Google data'!$A$3:$A$20000,"&lt;="&amp;K$4,'Google data'!$B$3:$B$20000,$A70),IF($B70="ChatGPT Ads",SUMIFS('ChatGPT data'!$I$3:$I$20000,'ChatGPT data'!$A$3:$A$20000,"&gt;="&amp;K$3,'ChatGPT data'!$A$3:$A$20000,"&lt;="&amp;K$4,'ChatGPT data'!$B$3:$B$20000,$A70),IF($B70="LinkedIn Ads",SUMIFS('LinkedIn data'!$I$3:$I$20000,'LinkedIn data'!$A$3:$A$20000,"&gt;="&amp;K$3,'LinkedIn data'!$A$3:$A$20000,"&lt;="&amp;K$4,'LinkedIn data'!$B$3:$B$20000,$A70),0)))))</f>
        <v/>
      </c>
      <c r="L70" s="14" t="str">
        <f aca="false">IF($A70="","",IF($B70="Meta",SUMIFS('Meta data'!$I$3:$I$20000,'Meta data'!$A$3:$A$20000,"&gt;="&amp;L$3,'Meta data'!$A$3:$A$20000,"&lt;="&amp;L$4,'Meta data'!$B$3:$B$20000,$A70),IF($B70="Google Ads",SUMIFS('Google data'!$I$3:$I$20000,'Google data'!$A$3:$A$20000,"&gt;="&amp;L$3,'Google data'!$A$3:$A$20000,"&lt;="&amp;L$4,'Google data'!$B$3:$B$20000,$A70),IF($B70="ChatGPT Ads",SUMIFS('ChatGPT data'!$I$3:$I$20000,'ChatGPT data'!$A$3:$A$20000,"&gt;="&amp;L$3,'ChatGPT data'!$A$3:$A$20000,"&lt;="&amp;L$4,'ChatGPT data'!$B$3:$B$20000,$A70),IF($B70="LinkedIn Ads",SUMIFS('LinkedIn data'!$I$3:$I$20000,'LinkedIn data'!$A$3:$A$20000,"&gt;="&amp;L$3,'LinkedIn data'!$A$3:$A$20000,"&lt;="&amp;L$4,'LinkedIn data'!$B$3:$B$20000,$A70),0)))))</f>
        <v/>
      </c>
      <c r="M70" s="14" t="str">
        <f aca="false">IF($A70="","",IF($B70="Meta",SUMIFS('Meta data'!$I$3:$I$20000,'Meta data'!$A$3:$A$20000,"&gt;="&amp;M$3,'Meta data'!$A$3:$A$20000,"&lt;="&amp;M$4,'Meta data'!$B$3:$B$20000,$A70),IF($B70="Google Ads",SUMIFS('Google data'!$I$3:$I$20000,'Google data'!$A$3:$A$20000,"&gt;="&amp;M$3,'Google data'!$A$3:$A$20000,"&lt;="&amp;M$4,'Google data'!$B$3:$B$20000,$A70),IF($B70="ChatGPT Ads",SUMIFS('ChatGPT data'!$I$3:$I$20000,'ChatGPT data'!$A$3:$A$20000,"&gt;="&amp;M$3,'ChatGPT data'!$A$3:$A$20000,"&lt;="&amp;M$4,'ChatGPT data'!$B$3:$B$20000,$A70),IF($B70="LinkedIn Ads",SUMIFS('LinkedIn data'!$I$3:$I$20000,'LinkedIn data'!$A$3:$A$20000,"&gt;="&amp;M$3,'LinkedIn data'!$A$3:$A$20000,"&lt;="&amp;M$4,'LinkedIn data'!$B$3:$B$20000,$A70),0)))))</f>
        <v/>
      </c>
      <c r="N70" s="14" t="str">
        <f aca="false">IF($A70="","",IF($B70="Meta",SUMIFS('Meta data'!$I$3:$I$20000,'Meta data'!$A$3:$A$20000,"&gt;="&amp;N$3,'Meta data'!$A$3:$A$20000,"&lt;="&amp;N$4,'Meta data'!$B$3:$B$20000,$A70),IF($B70="Google Ads",SUMIFS('Google data'!$I$3:$I$20000,'Google data'!$A$3:$A$20000,"&gt;="&amp;N$3,'Google data'!$A$3:$A$20000,"&lt;="&amp;N$4,'Google data'!$B$3:$B$20000,$A70),IF($B70="ChatGPT Ads",SUMIFS('ChatGPT data'!$I$3:$I$20000,'ChatGPT data'!$A$3:$A$20000,"&gt;="&amp;N$3,'ChatGPT data'!$A$3:$A$20000,"&lt;="&amp;N$4,'ChatGPT data'!$B$3:$B$20000,$A70),IF($B70="LinkedIn Ads",SUMIFS('LinkedIn data'!$I$3:$I$20000,'LinkedIn data'!$A$3:$A$20000,"&gt;="&amp;N$3,'LinkedIn data'!$A$3:$A$20000,"&lt;="&amp;N$4,'LinkedIn data'!$B$3:$B$20000,$A70),0)))))</f>
        <v/>
      </c>
      <c r="O70" s="14" t="str">
        <f aca="false">IF($A70="","",IF($B70="Meta",SUMIFS('Meta data'!$I$3:$I$20000,'Meta data'!$A$3:$A$20000,"&gt;="&amp;O$3,'Meta data'!$A$3:$A$20000,"&lt;="&amp;O$4,'Meta data'!$B$3:$B$20000,$A70),IF($B70="Google Ads",SUMIFS('Google data'!$I$3:$I$20000,'Google data'!$A$3:$A$20000,"&gt;="&amp;O$3,'Google data'!$A$3:$A$20000,"&lt;="&amp;O$4,'Google data'!$B$3:$B$20000,$A70),IF($B70="ChatGPT Ads",SUMIFS('ChatGPT data'!$I$3:$I$20000,'ChatGPT data'!$A$3:$A$20000,"&gt;="&amp;O$3,'ChatGPT data'!$A$3:$A$20000,"&lt;="&amp;O$4,'ChatGPT data'!$B$3:$B$20000,$A70),IF($B70="LinkedIn Ads",SUMIFS('LinkedIn data'!$I$3:$I$20000,'LinkedIn data'!$A$3:$A$20000,"&gt;="&amp;O$3,'LinkedIn data'!$A$3:$A$20000,"&lt;="&amp;O$4,'LinkedIn data'!$B$3:$B$20000,$A70),0)))))</f>
        <v/>
      </c>
      <c r="P70" s="14" t="str">
        <f aca="false">IF($A70="","",IF($B70="Meta",SUMIFS('Meta data'!$I$3:$I$20000,'Meta data'!$A$3:$A$20000,"&gt;="&amp;P$3,'Meta data'!$A$3:$A$20000,"&lt;="&amp;P$4,'Meta data'!$B$3:$B$20000,$A70),IF($B70="Google Ads",SUMIFS('Google data'!$I$3:$I$20000,'Google data'!$A$3:$A$20000,"&gt;="&amp;P$3,'Google data'!$A$3:$A$20000,"&lt;="&amp;P$4,'Google data'!$B$3:$B$20000,$A70),IF($B70="ChatGPT Ads",SUMIFS('ChatGPT data'!$I$3:$I$20000,'ChatGPT data'!$A$3:$A$20000,"&gt;="&amp;P$3,'ChatGPT data'!$A$3:$A$20000,"&lt;="&amp;P$4,'ChatGPT data'!$B$3:$B$20000,$A70),IF($B70="LinkedIn Ads",SUMIFS('LinkedIn data'!$I$3:$I$20000,'LinkedIn data'!$A$3:$A$20000,"&gt;="&amp;P$3,'LinkedIn data'!$A$3:$A$20000,"&lt;="&amp;P$4,'LinkedIn data'!$B$3:$B$20000,$A70),0)))))</f>
        <v/>
      </c>
      <c r="Q70" s="14" t="str">
        <f aca="false">IF($A70="","",IF($B70="Meta",SUMIFS('Meta data'!$I$3:$I$20000,'Meta data'!$A$3:$A$20000,"&gt;="&amp;Q$3,'Meta data'!$A$3:$A$20000,"&lt;="&amp;Q$4,'Meta data'!$B$3:$B$20000,$A70),IF($B70="Google Ads",SUMIFS('Google data'!$I$3:$I$20000,'Google data'!$A$3:$A$20000,"&gt;="&amp;Q$3,'Google data'!$A$3:$A$20000,"&lt;="&amp;Q$4,'Google data'!$B$3:$B$20000,$A70),IF($B70="ChatGPT Ads",SUMIFS('ChatGPT data'!$I$3:$I$20000,'ChatGPT data'!$A$3:$A$20000,"&gt;="&amp;Q$3,'ChatGPT data'!$A$3:$A$20000,"&lt;="&amp;Q$4,'ChatGPT data'!$B$3:$B$20000,$A70),IF($B70="LinkedIn Ads",SUMIFS('LinkedIn data'!$I$3:$I$20000,'LinkedIn data'!$A$3:$A$20000,"&gt;="&amp;Q$3,'LinkedIn data'!$A$3:$A$20000,"&lt;="&amp;Q$4,'LinkedIn data'!$B$3:$B$20000,$A70),0)))))</f>
        <v/>
      </c>
      <c r="R70" s="15" t="str">
        <f aca="false">IF($A70="","",SUM(F70:Q70))</f>
        <v/>
      </c>
      <c r="S70" s="37" t="str">
        <f aca="false">IF($A70="","",IF($B70="Meta",SUMIFS('Meta data'!$E$3:$E$20000,'Meta data'!$B$3:$B$20000,$A70),IF($B70="Google Ads",SUMIFS('Google data'!$E$3:$E$20000,'Google data'!$B$3:$B$20000,$A70),IF($B70="ChatGPT Ads",SUMIFS('ChatGPT data'!$E$3:$E$20000,'ChatGPT data'!$B$3:$B$20000,$A70),IF($B70="LinkedIn Ads",SUMIFS('LinkedIn data'!$E$3:$E$20000,'LinkedIn data'!$B$3:$B$20000,$A70),0)))))</f>
        <v/>
      </c>
      <c r="T70" s="37" t="str">
        <f aca="false">IF($A70="","",IF($B70="Meta",SUMIFS('Meta data'!$F$3:$F$20000,'Meta data'!$B$3:$B$20000,$A70),IF($B70="Google Ads",SUMIFS('Google data'!$F$3:$F$20000,'Google data'!$B$3:$B$20000,$A70),IF($B70="ChatGPT Ads",SUMIFS('ChatGPT data'!$F$3:$F$20000,'ChatGPT data'!$B$3:$B$20000,$A70),IF($B70="LinkedIn Ads",SUMIFS('LinkedIn data'!$F$3:$F$20000,'LinkedIn data'!$B$3:$B$20000,$A70),0)))))</f>
        <v/>
      </c>
      <c r="U70" s="38" t="str">
        <f aca="false">IF(OR($A70="",T70=0),"",R70/T70)</f>
        <v/>
      </c>
    </row>
    <row r="71" customFormat="false" ht="15" hidden="false" customHeight="false" outlineLevel="0" collapsed="false">
      <c r="A71" s="59"/>
      <c r="B71" s="59"/>
      <c r="C71" s="59"/>
      <c r="D71" s="59"/>
      <c r="E71" s="59"/>
      <c r="F71" s="14" t="str">
        <f aca="false">IF($A71="","",IF($B71="Meta",SUMIFS('Meta data'!$I$3:$I$20000,'Meta data'!$A$3:$A$20000,"&gt;="&amp;F$3,'Meta data'!$A$3:$A$20000,"&lt;="&amp;F$4,'Meta data'!$B$3:$B$20000,$A71),IF($B71="Google Ads",SUMIFS('Google data'!$I$3:$I$20000,'Google data'!$A$3:$A$20000,"&gt;="&amp;F$3,'Google data'!$A$3:$A$20000,"&lt;="&amp;F$4,'Google data'!$B$3:$B$20000,$A71),IF($B71="ChatGPT Ads",SUMIFS('ChatGPT data'!$I$3:$I$20000,'ChatGPT data'!$A$3:$A$20000,"&gt;="&amp;F$3,'ChatGPT data'!$A$3:$A$20000,"&lt;="&amp;F$4,'ChatGPT data'!$B$3:$B$20000,$A71),IF($B71="LinkedIn Ads",SUMIFS('LinkedIn data'!$I$3:$I$20000,'LinkedIn data'!$A$3:$A$20000,"&gt;="&amp;F$3,'LinkedIn data'!$A$3:$A$20000,"&lt;="&amp;F$4,'LinkedIn data'!$B$3:$B$20000,$A71),0)))))</f>
        <v/>
      </c>
      <c r="G71" s="14" t="str">
        <f aca="false">IF($A71="","",IF($B71="Meta",SUMIFS('Meta data'!$I$3:$I$20000,'Meta data'!$A$3:$A$20000,"&gt;="&amp;G$3,'Meta data'!$A$3:$A$20000,"&lt;="&amp;G$4,'Meta data'!$B$3:$B$20000,$A71),IF($B71="Google Ads",SUMIFS('Google data'!$I$3:$I$20000,'Google data'!$A$3:$A$20000,"&gt;="&amp;G$3,'Google data'!$A$3:$A$20000,"&lt;="&amp;G$4,'Google data'!$B$3:$B$20000,$A71),IF($B71="ChatGPT Ads",SUMIFS('ChatGPT data'!$I$3:$I$20000,'ChatGPT data'!$A$3:$A$20000,"&gt;="&amp;G$3,'ChatGPT data'!$A$3:$A$20000,"&lt;="&amp;G$4,'ChatGPT data'!$B$3:$B$20000,$A71),IF($B71="LinkedIn Ads",SUMIFS('LinkedIn data'!$I$3:$I$20000,'LinkedIn data'!$A$3:$A$20000,"&gt;="&amp;G$3,'LinkedIn data'!$A$3:$A$20000,"&lt;="&amp;G$4,'LinkedIn data'!$B$3:$B$20000,$A71),0)))))</f>
        <v/>
      </c>
      <c r="H71" s="14" t="str">
        <f aca="false">IF($A71="","",IF($B71="Meta",SUMIFS('Meta data'!$I$3:$I$20000,'Meta data'!$A$3:$A$20000,"&gt;="&amp;H$3,'Meta data'!$A$3:$A$20000,"&lt;="&amp;H$4,'Meta data'!$B$3:$B$20000,$A71),IF($B71="Google Ads",SUMIFS('Google data'!$I$3:$I$20000,'Google data'!$A$3:$A$20000,"&gt;="&amp;H$3,'Google data'!$A$3:$A$20000,"&lt;="&amp;H$4,'Google data'!$B$3:$B$20000,$A71),IF($B71="ChatGPT Ads",SUMIFS('ChatGPT data'!$I$3:$I$20000,'ChatGPT data'!$A$3:$A$20000,"&gt;="&amp;H$3,'ChatGPT data'!$A$3:$A$20000,"&lt;="&amp;H$4,'ChatGPT data'!$B$3:$B$20000,$A71),IF($B71="LinkedIn Ads",SUMIFS('LinkedIn data'!$I$3:$I$20000,'LinkedIn data'!$A$3:$A$20000,"&gt;="&amp;H$3,'LinkedIn data'!$A$3:$A$20000,"&lt;="&amp;H$4,'LinkedIn data'!$B$3:$B$20000,$A71),0)))))</f>
        <v/>
      </c>
      <c r="I71" s="14" t="str">
        <f aca="false">IF($A71="","",IF($B71="Meta",SUMIFS('Meta data'!$I$3:$I$20000,'Meta data'!$A$3:$A$20000,"&gt;="&amp;I$3,'Meta data'!$A$3:$A$20000,"&lt;="&amp;I$4,'Meta data'!$B$3:$B$20000,$A71),IF($B71="Google Ads",SUMIFS('Google data'!$I$3:$I$20000,'Google data'!$A$3:$A$20000,"&gt;="&amp;I$3,'Google data'!$A$3:$A$20000,"&lt;="&amp;I$4,'Google data'!$B$3:$B$20000,$A71),IF($B71="ChatGPT Ads",SUMIFS('ChatGPT data'!$I$3:$I$20000,'ChatGPT data'!$A$3:$A$20000,"&gt;="&amp;I$3,'ChatGPT data'!$A$3:$A$20000,"&lt;="&amp;I$4,'ChatGPT data'!$B$3:$B$20000,$A71),IF($B71="LinkedIn Ads",SUMIFS('LinkedIn data'!$I$3:$I$20000,'LinkedIn data'!$A$3:$A$20000,"&gt;="&amp;I$3,'LinkedIn data'!$A$3:$A$20000,"&lt;="&amp;I$4,'LinkedIn data'!$B$3:$B$20000,$A71),0)))))</f>
        <v/>
      </c>
      <c r="J71" s="14" t="str">
        <f aca="false">IF($A71="","",IF($B71="Meta",SUMIFS('Meta data'!$I$3:$I$20000,'Meta data'!$A$3:$A$20000,"&gt;="&amp;J$3,'Meta data'!$A$3:$A$20000,"&lt;="&amp;J$4,'Meta data'!$B$3:$B$20000,$A71),IF($B71="Google Ads",SUMIFS('Google data'!$I$3:$I$20000,'Google data'!$A$3:$A$20000,"&gt;="&amp;J$3,'Google data'!$A$3:$A$20000,"&lt;="&amp;J$4,'Google data'!$B$3:$B$20000,$A71),IF($B71="ChatGPT Ads",SUMIFS('ChatGPT data'!$I$3:$I$20000,'ChatGPT data'!$A$3:$A$20000,"&gt;="&amp;J$3,'ChatGPT data'!$A$3:$A$20000,"&lt;="&amp;J$4,'ChatGPT data'!$B$3:$B$20000,$A71),IF($B71="LinkedIn Ads",SUMIFS('LinkedIn data'!$I$3:$I$20000,'LinkedIn data'!$A$3:$A$20000,"&gt;="&amp;J$3,'LinkedIn data'!$A$3:$A$20000,"&lt;="&amp;J$4,'LinkedIn data'!$B$3:$B$20000,$A71),0)))))</f>
        <v/>
      </c>
      <c r="K71" s="14" t="str">
        <f aca="false">IF($A71="","",IF($B71="Meta",SUMIFS('Meta data'!$I$3:$I$20000,'Meta data'!$A$3:$A$20000,"&gt;="&amp;K$3,'Meta data'!$A$3:$A$20000,"&lt;="&amp;K$4,'Meta data'!$B$3:$B$20000,$A71),IF($B71="Google Ads",SUMIFS('Google data'!$I$3:$I$20000,'Google data'!$A$3:$A$20000,"&gt;="&amp;K$3,'Google data'!$A$3:$A$20000,"&lt;="&amp;K$4,'Google data'!$B$3:$B$20000,$A71),IF($B71="ChatGPT Ads",SUMIFS('ChatGPT data'!$I$3:$I$20000,'ChatGPT data'!$A$3:$A$20000,"&gt;="&amp;K$3,'ChatGPT data'!$A$3:$A$20000,"&lt;="&amp;K$4,'ChatGPT data'!$B$3:$B$20000,$A71),IF($B71="LinkedIn Ads",SUMIFS('LinkedIn data'!$I$3:$I$20000,'LinkedIn data'!$A$3:$A$20000,"&gt;="&amp;K$3,'LinkedIn data'!$A$3:$A$20000,"&lt;="&amp;K$4,'LinkedIn data'!$B$3:$B$20000,$A71),0)))))</f>
        <v/>
      </c>
      <c r="L71" s="14" t="str">
        <f aca="false">IF($A71="","",IF($B71="Meta",SUMIFS('Meta data'!$I$3:$I$20000,'Meta data'!$A$3:$A$20000,"&gt;="&amp;L$3,'Meta data'!$A$3:$A$20000,"&lt;="&amp;L$4,'Meta data'!$B$3:$B$20000,$A71),IF($B71="Google Ads",SUMIFS('Google data'!$I$3:$I$20000,'Google data'!$A$3:$A$20000,"&gt;="&amp;L$3,'Google data'!$A$3:$A$20000,"&lt;="&amp;L$4,'Google data'!$B$3:$B$20000,$A71),IF($B71="ChatGPT Ads",SUMIFS('ChatGPT data'!$I$3:$I$20000,'ChatGPT data'!$A$3:$A$20000,"&gt;="&amp;L$3,'ChatGPT data'!$A$3:$A$20000,"&lt;="&amp;L$4,'ChatGPT data'!$B$3:$B$20000,$A71),IF($B71="LinkedIn Ads",SUMIFS('LinkedIn data'!$I$3:$I$20000,'LinkedIn data'!$A$3:$A$20000,"&gt;="&amp;L$3,'LinkedIn data'!$A$3:$A$20000,"&lt;="&amp;L$4,'LinkedIn data'!$B$3:$B$20000,$A71),0)))))</f>
        <v/>
      </c>
      <c r="M71" s="14" t="str">
        <f aca="false">IF($A71="","",IF($B71="Meta",SUMIFS('Meta data'!$I$3:$I$20000,'Meta data'!$A$3:$A$20000,"&gt;="&amp;M$3,'Meta data'!$A$3:$A$20000,"&lt;="&amp;M$4,'Meta data'!$B$3:$B$20000,$A71),IF($B71="Google Ads",SUMIFS('Google data'!$I$3:$I$20000,'Google data'!$A$3:$A$20000,"&gt;="&amp;M$3,'Google data'!$A$3:$A$20000,"&lt;="&amp;M$4,'Google data'!$B$3:$B$20000,$A71),IF($B71="ChatGPT Ads",SUMIFS('ChatGPT data'!$I$3:$I$20000,'ChatGPT data'!$A$3:$A$20000,"&gt;="&amp;M$3,'ChatGPT data'!$A$3:$A$20000,"&lt;="&amp;M$4,'ChatGPT data'!$B$3:$B$20000,$A71),IF($B71="LinkedIn Ads",SUMIFS('LinkedIn data'!$I$3:$I$20000,'LinkedIn data'!$A$3:$A$20000,"&gt;="&amp;M$3,'LinkedIn data'!$A$3:$A$20000,"&lt;="&amp;M$4,'LinkedIn data'!$B$3:$B$20000,$A71),0)))))</f>
        <v/>
      </c>
      <c r="N71" s="14" t="str">
        <f aca="false">IF($A71="","",IF($B71="Meta",SUMIFS('Meta data'!$I$3:$I$20000,'Meta data'!$A$3:$A$20000,"&gt;="&amp;N$3,'Meta data'!$A$3:$A$20000,"&lt;="&amp;N$4,'Meta data'!$B$3:$B$20000,$A71),IF($B71="Google Ads",SUMIFS('Google data'!$I$3:$I$20000,'Google data'!$A$3:$A$20000,"&gt;="&amp;N$3,'Google data'!$A$3:$A$20000,"&lt;="&amp;N$4,'Google data'!$B$3:$B$20000,$A71),IF($B71="ChatGPT Ads",SUMIFS('ChatGPT data'!$I$3:$I$20000,'ChatGPT data'!$A$3:$A$20000,"&gt;="&amp;N$3,'ChatGPT data'!$A$3:$A$20000,"&lt;="&amp;N$4,'ChatGPT data'!$B$3:$B$20000,$A71),IF($B71="LinkedIn Ads",SUMIFS('LinkedIn data'!$I$3:$I$20000,'LinkedIn data'!$A$3:$A$20000,"&gt;="&amp;N$3,'LinkedIn data'!$A$3:$A$20000,"&lt;="&amp;N$4,'LinkedIn data'!$B$3:$B$20000,$A71),0)))))</f>
        <v/>
      </c>
      <c r="O71" s="14" t="str">
        <f aca="false">IF($A71="","",IF($B71="Meta",SUMIFS('Meta data'!$I$3:$I$20000,'Meta data'!$A$3:$A$20000,"&gt;="&amp;O$3,'Meta data'!$A$3:$A$20000,"&lt;="&amp;O$4,'Meta data'!$B$3:$B$20000,$A71),IF($B71="Google Ads",SUMIFS('Google data'!$I$3:$I$20000,'Google data'!$A$3:$A$20000,"&gt;="&amp;O$3,'Google data'!$A$3:$A$20000,"&lt;="&amp;O$4,'Google data'!$B$3:$B$20000,$A71),IF($B71="ChatGPT Ads",SUMIFS('ChatGPT data'!$I$3:$I$20000,'ChatGPT data'!$A$3:$A$20000,"&gt;="&amp;O$3,'ChatGPT data'!$A$3:$A$20000,"&lt;="&amp;O$4,'ChatGPT data'!$B$3:$B$20000,$A71),IF($B71="LinkedIn Ads",SUMIFS('LinkedIn data'!$I$3:$I$20000,'LinkedIn data'!$A$3:$A$20000,"&gt;="&amp;O$3,'LinkedIn data'!$A$3:$A$20000,"&lt;="&amp;O$4,'LinkedIn data'!$B$3:$B$20000,$A71),0)))))</f>
        <v/>
      </c>
      <c r="P71" s="14" t="str">
        <f aca="false">IF($A71="","",IF($B71="Meta",SUMIFS('Meta data'!$I$3:$I$20000,'Meta data'!$A$3:$A$20000,"&gt;="&amp;P$3,'Meta data'!$A$3:$A$20000,"&lt;="&amp;P$4,'Meta data'!$B$3:$B$20000,$A71),IF($B71="Google Ads",SUMIFS('Google data'!$I$3:$I$20000,'Google data'!$A$3:$A$20000,"&gt;="&amp;P$3,'Google data'!$A$3:$A$20000,"&lt;="&amp;P$4,'Google data'!$B$3:$B$20000,$A71),IF($B71="ChatGPT Ads",SUMIFS('ChatGPT data'!$I$3:$I$20000,'ChatGPT data'!$A$3:$A$20000,"&gt;="&amp;P$3,'ChatGPT data'!$A$3:$A$20000,"&lt;="&amp;P$4,'ChatGPT data'!$B$3:$B$20000,$A71),IF($B71="LinkedIn Ads",SUMIFS('LinkedIn data'!$I$3:$I$20000,'LinkedIn data'!$A$3:$A$20000,"&gt;="&amp;P$3,'LinkedIn data'!$A$3:$A$20000,"&lt;="&amp;P$4,'LinkedIn data'!$B$3:$B$20000,$A71),0)))))</f>
        <v/>
      </c>
      <c r="Q71" s="14" t="str">
        <f aca="false">IF($A71="","",IF($B71="Meta",SUMIFS('Meta data'!$I$3:$I$20000,'Meta data'!$A$3:$A$20000,"&gt;="&amp;Q$3,'Meta data'!$A$3:$A$20000,"&lt;="&amp;Q$4,'Meta data'!$B$3:$B$20000,$A71),IF($B71="Google Ads",SUMIFS('Google data'!$I$3:$I$20000,'Google data'!$A$3:$A$20000,"&gt;="&amp;Q$3,'Google data'!$A$3:$A$20000,"&lt;="&amp;Q$4,'Google data'!$B$3:$B$20000,$A71),IF($B71="ChatGPT Ads",SUMIFS('ChatGPT data'!$I$3:$I$20000,'ChatGPT data'!$A$3:$A$20000,"&gt;="&amp;Q$3,'ChatGPT data'!$A$3:$A$20000,"&lt;="&amp;Q$4,'ChatGPT data'!$B$3:$B$20000,$A71),IF($B71="LinkedIn Ads",SUMIFS('LinkedIn data'!$I$3:$I$20000,'LinkedIn data'!$A$3:$A$20000,"&gt;="&amp;Q$3,'LinkedIn data'!$A$3:$A$20000,"&lt;="&amp;Q$4,'LinkedIn data'!$B$3:$B$20000,$A71),0)))))</f>
        <v/>
      </c>
      <c r="R71" s="15" t="str">
        <f aca="false">IF($A71="","",SUM(F71:Q71))</f>
        <v/>
      </c>
      <c r="S71" s="37" t="str">
        <f aca="false">IF($A71="","",IF($B71="Meta",SUMIFS('Meta data'!$E$3:$E$20000,'Meta data'!$B$3:$B$20000,$A71),IF($B71="Google Ads",SUMIFS('Google data'!$E$3:$E$20000,'Google data'!$B$3:$B$20000,$A71),IF($B71="ChatGPT Ads",SUMIFS('ChatGPT data'!$E$3:$E$20000,'ChatGPT data'!$B$3:$B$20000,$A71),IF($B71="LinkedIn Ads",SUMIFS('LinkedIn data'!$E$3:$E$20000,'LinkedIn data'!$B$3:$B$20000,$A71),0)))))</f>
        <v/>
      </c>
      <c r="T71" s="37" t="str">
        <f aca="false">IF($A71="","",IF($B71="Meta",SUMIFS('Meta data'!$F$3:$F$20000,'Meta data'!$B$3:$B$20000,$A71),IF($B71="Google Ads",SUMIFS('Google data'!$F$3:$F$20000,'Google data'!$B$3:$B$20000,$A71),IF($B71="ChatGPT Ads",SUMIFS('ChatGPT data'!$F$3:$F$20000,'ChatGPT data'!$B$3:$B$20000,$A71),IF($B71="LinkedIn Ads",SUMIFS('LinkedIn data'!$F$3:$F$20000,'LinkedIn data'!$B$3:$B$20000,$A71),0)))))</f>
        <v/>
      </c>
      <c r="U71" s="38" t="str">
        <f aca="false">IF(OR($A71="",T71=0),"",R71/T71)</f>
        <v/>
      </c>
    </row>
    <row r="72" customFormat="false" ht="15" hidden="false" customHeight="false" outlineLevel="0" collapsed="false">
      <c r="A72" s="59"/>
      <c r="B72" s="59"/>
      <c r="C72" s="59"/>
      <c r="D72" s="59"/>
      <c r="E72" s="59"/>
      <c r="F72" s="14" t="str">
        <f aca="false">IF($A72="","",IF($B72="Meta",SUMIFS('Meta data'!$I$3:$I$20000,'Meta data'!$A$3:$A$20000,"&gt;="&amp;F$3,'Meta data'!$A$3:$A$20000,"&lt;="&amp;F$4,'Meta data'!$B$3:$B$20000,$A72),IF($B72="Google Ads",SUMIFS('Google data'!$I$3:$I$20000,'Google data'!$A$3:$A$20000,"&gt;="&amp;F$3,'Google data'!$A$3:$A$20000,"&lt;="&amp;F$4,'Google data'!$B$3:$B$20000,$A72),IF($B72="ChatGPT Ads",SUMIFS('ChatGPT data'!$I$3:$I$20000,'ChatGPT data'!$A$3:$A$20000,"&gt;="&amp;F$3,'ChatGPT data'!$A$3:$A$20000,"&lt;="&amp;F$4,'ChatGPT data'!$B$3:$B$20000,$A72),IF($B72="LinkedIn Ads",SUMIFS('LinkedIn data'!$I$3:$I$20000,'LinkedIn data'!$A$3:$A$20000,"&gt;="&amp;F$3,'LinkedIn data'!$A$3:$A$20000,"&lt;="&amp;F$4,'LinkedIn data'!$B$3:$B$20000,$A72),0)))))</f>
        <v/>
      </c>
      <c r="G72" s="14" t="str">
        <f aca="false">IF($A72="","",IF($B72="Meta",SUMIFS('Meta data'!$I$3:$I$20000,'Meta data'!$A$3:$A$20000,"&gt;="&amp;G$3,'Meta data'!$A$3:$A$20000,"&lt;="&amp;G$4,'Meta data'!$B$3:$B$20000,$A72),IF($B72="Google Ads",SUMIFS('Google data'!$I$3:$I$20000,'Google data'!$A$3:$A$20000,"&gt;="&amp;G$3,'Google data'!$A$3:$A$20000,"&lt;="&amp;G$4,'Google data'!$B$3:$B$20000,$A72),IF($B72="ChatGPT Ads",SUMIFS('ChatGPT data'!$I$3:$I$20000,'ChatGPT data'!$A$3:$A$20000,"&gt;="&amp;G$3,'ChatGPT data'!$A$3:$A$20000,"&lt;="&amp;G$4,'ChatGPT data'!$B$3:$B$20000,$A72),IF($B72="LinkedIn Ads",SUMIFS('LinkedIn data'!$I$3:$I$20000,'LinkedIn data'!$A$3:$A$20000,"&gt;="&amp;G$3,'LinkedIn data'!$A$3:$A$20000,"&lt;="&amp;G$4,'LinkedIn data'!$B$3:$B$20000,$A72),0)))))</f>
        <v/>
      </c>
      <c r="H72" s="14" t="str">
        <f aca="false">IF($A72="","",IF($B72="Meta",SUMIFS('Meta data'!$I$3:$I$20000,'Meta data'!$A$3:$A$20000,"&gt;="&amp;H$3,'Meta data'!$A$3:$A$20000,"&lt;="&amp;H$4,'Meta data'!$B$3:$B$20000,$A72),IF($B72="Google Ads",SUMIFS('Google data'!$I$3:$I$20000,'Google data'!$A$3:$A$20000,"&gt;="&amp;H$3,'Google data'!$A$3:$A$20000,"&lt;="&amp;H$4,'Google data'!$B$3:$B$20000,$A72),IF($B72="ChatGPT Ads",SUMIFS('ChatGPT data'!$I$3:$I$20000,'ChatGPT data'!$A$3:$A$20000,"&gt;="&amp;H$3,'ChatGPT data'!$A$3:$A$20000,"&lt;="&amp;H$4,'ChatGPT data'!$B$3:$B$20000,$A72),IF($B72="LinkedIn Ads",SUMIFS('LinkedIn data'!$I$3:$I$20000,'LinkedIn data'!$A$3:$A$20000,"&gt;="&amp;H$3,'LinkedIn data'!$A$3:$A$20000,"&lt;="&amp;H$4,'LinkedIn data'!$B$3:$B$20000,$A72),0)))))</f>
        <v/>
      </c>
      <c r="I72" s="14" t="str">
        <f aca="false">IF($A72="","",IF($B72="Meta",SUMIFS('Meta data'!$I$3:$I$20000,'Meta data'!$A$3:$A$20000,"&gt;="&amp;I$3,'Meta data'!$A$3:$A$20000,"&lt;="&amp;I$4,'Meta data'!$B$3:$B$20000,$A72),IF($B72="Google Ads",SUMIFS('Google data'!$I$3:$I$20000,'Google data'!$A$3:$A$20000,"&gt;="&amp;I$3,'Google data'!$A$3:$A$20000,"&lt;="&amp;I$4,'Google data'!$B$3:$B$20000,$A72),IF($B72="ChatGPT Ads",SUMIFS('ChatGPT data'!$I$3:$I$20000,'ChatGPT data'!$A$3:$A$20000,"&gt;="&amp;I$3,'ChatGPT data'!$A$3:$A$20000,"&lt;="&amp;I$4,'ChatGPT data'!$B$3:$B$20000,$A72),IF($B72="LinkedIn Ads",SUMIFS('LinkedIn data'!$I$3:$I$20000,'LinkedIn data'!$A$3:$A$20000,"&gt;="&amp;I$3,'LinkedIn data'!$A$3:$A$20000,"&lt;="&amp;I$4,'LinkedIn data'!$B$3:$B$20000,$A72),0)))))</f>
        <v/>
      </c>
      <c r="J72" s="14" t="str">
        <f aca="false">IF($A72="","",IF($B72="Meta",SUMIFS('Meta data'!$I$3:$I$20000,'Meta data'!$A$3:$A$20000,"&gt;="&amp;J$3,'Meta data'!$A$3:$A$20000,"&lt;="&amp;J$4,'Meta data'!$B$3:$B$20000,$A72),IF($B72="Google Ads",SUMIFS('Google data'!$I$3:$I$20000,'Google data'!$A$3:$A$20000,"&gt;="&amp;J$3,'Google data'!$A$3:$A$20000,"&lt;="&amp;J$4,'Google data'!$B$3:$B$20000,$A72),IF($B72="ChatGPT Ads",SUMIFS('ChatGPT data'!$I$3:$I$20000,'ChatGPT data'!$A$3:$A$20000,"&gt;="&amp;J$3,'ChatGPT data'!$A$3:$A$20000,"&lt;="&amp;J$4,'ChatGPT data'!$B$3:$B$20000,$A72),IF($B72="LinkedIn Ads",SUMIFS('LinkedIn data'!$I$3:$I$20000,'LinkedIn data'!$A$3:$A$20000,"&gt;="&amp;J$3,'LinkedIn data'!$A$3:$A$20000,"&lt;="&amp;J$4,'LinkedIn data'!$B$3:$B$20000,$A72),0)))))</f>
        <v/>
      </c>
      <c r="K72" s="14" t="str">
        <f aca="false">IF($A72="","",IF($B72="Meta",SUMIFS('Meta data'!$I$3:$I$20000,'Meta data'!$A$3:$A$20000,"&gt;="&amp;K$3,'Meta data'!$A$3:$A$20000,"&lt;="&amp;K$4,'Meta data'!$B$3:$B$20000,$A72),IF($B72="Google Ads",SUMIFS('Google data'!$I$3:$I$20000,'Google data'!$A$3:$A$20000,"&gt;="&amp;K$3,'Google data'!$A$3:$A$20000,"&lt;="&amp;K$4,'Google data'!$B$3:$B$20000,$A72),IF($B72="ChatGPT Ads",SUMIFS('ChatGPT data'!$I$3:$I$20000,'ChatGPT data'!$A$3:$A$20000,"&gt;="&amp;K$3,'ChatGPT data'!$A$3:$A$20000,"&lt;="&amp;K$4,'ChatGPT data'!$B$3:$B$20000,$A72),IF($B72="LinkedIn Ads",SUMIFS('LinkedIn data'!$I$3:$I$20000,'LinkedIn data'!$A$3:$A$20000,"&gt;="&amp;K$3,'LinkedIn data'!$A$3:$A$20000,"&lt;="&amp;K$4,'LinkedIn data'!$B$3:$B$20000,$A72),0)))))</f>
        <v/>
      </c>
      <c r="L72" s="14" t="str">
        <f aca="false">IF($A72="","",IF($B72="Meta",SUMIFS('Meta data'!$I$3:$I$20000,'Meta data'!$A$3:$A$20000,"&gt;="&amp;L$3,'Meta data'!$A$3:$A$20000,"&lt;="&amp;L$4,'Meta data'!$B$3:$B$20000,$A72),IF($B72="Google Ads",SUMIFS('Google data'!$I$3:$I$20000,'Google data'!$A$3:$A$20000,"&gt;="&amp;L$3,'Google data'!$A$3:$A$20000,"&lt;="&amp;L$4,'Google data'!$B$3:$B$20000,$A72),IF($B72="ChatGPT Ads",SUMIFS('ChatGPT data'!$I$3:$I$20000,'ChatGPT data'!$A$3:$A$20000,"&gt;="&amp;L$3,'ChatGPT data'!$A$3:$A$20000,"&lt;="&amp;L$4,'ChatGPT data'!$B$3:$B$20000,$A72),IF($B72="LinkedIn Ads",SUMIFS('LinkedIn data'!$I$3:$I$20000,'LinkedIn data'!$A$3:$A$20000,"&gt;="&amp;L$3,'LinkedIn data'!$A$3:$A$20000,"&lt;="&amp;L$4,'LinkedIn data'!$B$3:$B$20000,$A72),0)))))</f>
        <v/>
      </c>
      <c r="M72" s="14" t="str">
        <f aca="false">IF($A72="","",IF($B72="Meta",SUMIFS('Meta data'!$I$3:$I$20000,'Meta data'!$A$3:$A$20000,"&gt;="&amp;M$3,'Meta data'!$A$3:$A$20000,"&lt;="&amp;M$4,'Meta data'!$B$3:$B$20000,$A72),IF($B72="Google Ads",SUMIFS('Google data'!$I$3:$I$20000,'Google data'!$A$3:$A$20000,"&gt;="&amp;M$3,'Google data'!$A$3:$A$20000,"&lt;="&amp;M$4,'Google data'!$B$3:$B$20000,$A72),IF($B72="ChatGPT Ads",SUMIFS('ChatGPT data'!$I$3:$I$20000,'ChatGPT data'!$A$3:$A$20000,"&gt;="&amp;M$3,'ChatGPT data'!$A$3:$A$20000,"&lt;="&amp;M$4,'ChatGPT data'!$B$3:$B$20000,$A72),IF($B72="LinkedIn Ads",SUMIFS('LinkedIn data'!$I$3:$I$20000,'LinkedIn data'!$A$3:$A$20000,"&gt;="&amp;M$3,'LinkedIn data'!$A$3:$A$20000,"&lt;="&amp;M$4,'LinkedIn data'!$B$3:$B$20000,$A72),0)))))</f>
        <v/>
      </c>
      <c r="N72" s="14" t="str">
        <f aca="false">IF($A72="","",IF($B72="Meta",SUMIFS('Meta data'!$I$3:$I$20000,'Meta data'!$A$3:$A$20000,"&gt;="&amp;N$3,'Meta data'!$A$3:$A$20000,"&lt;="&amp;N$4,'Meta data'!$B$3:$B$20000,$A72),IF($B72="Google Ads",SUMIFS('Google data'!$I$3:$I$20000,'Google data'!$A$3:$A$20000,"&gt;="&amp;N$3,'Google data'!$A$3:$A$20000,"&lt;="&amp;N$4,'Google data'!$B$3:$B$20000,$A72),IF($B72="ChatGPT Ads",SUMIFS('ChatGPT data'!$I$3:$I$20000,'ChatGPT data'!$A$3:$A$20000,"&gt;="&amp;N$3,'ChatGPT data'!$A$3:$A$20000,"&lt;="&amp;N$4,'ChatGPT data'!$B$3:$B$20000,$A72),IF($B72="LinkedIn Ads",SUMIFS('LinkedIn data'!$I$3:$I$20000,'LinkedIn data'!$A$3:$A$20000,"&gt;="&amp;N$3,'LinkedIn data'!$A$3:$A$20000,"&lt;="&amp;N$4,'LinkedIn data'!$B$3:$B$20000,$A72),0)))))</f>
        <v/>
      </c>
      <c r="O72" s="14" t="str">
        <f aca="false">IF($A72="","",IF($B72="Meta",SUMIFS('Meta data'!$I$3:$I$20000,'Meta data'!$A$3:$A$20000,"&gt;="&amp;O$3,'Meta data'!$A$3:$A$20000,"&lt;="&amp;O$4,'Meta data'!$B$3:$B$20000,$A72),IF($B72="Google Ads",SUMIFS('Google data'!$I$3:$I$20000,'Google data'!$A$3:$A$20000,"&gt;="&amp;O$3,'Google data'!$A$3:$A$20000,"&lt;="&amp;O$4,'Google data'!$B$3:$B$20000,$A72),IF($B72="ChatGPT Ads",SUMIFS('ChatGPT data'!$I$3:$I$20000,'ChatGPT data'!$A$3:$A$20000,"&gt;="&amp;O$3,'ChatGPT data'!$A$3:$A$20000,"&lt;="&amp;O$4,'ChatGPT data'!$B$3:$B$20000,$A72),IF($B72="LinkedIn Ads",SUMIFS('LinkedIn data'!$I$3:$I$20000,'LinkedIn data'!$A$3:$A$20000,"&gt;="&amp;O$3,'LinkedIn data'!$A$3:$A$20000,"&lt;="&amp;O$4,'LinkedIn data'!$B$3:$B$20000,$A72),0)))))</f>
        <v/>
      </c>
      <c r="P72" s="14" t="str">
        <f aca="false">IF($A72="","",IF($B72="Meta",SUMIFS('Meta data'!$I$3:$I$20000,'Meta data'!$A$3:$A$20000,"&gt;="&amp;P$3,'Meta data'!$A$3:$A$20000,"&lt;="&amp;P$4,'Meta data'!$B$3:$B$20000,$A72),IF($B72="Google Ads",SUMIFS('Google data'!$I$3:$I$20000,'Google data'!$A$3:$A$20000,"&gt;="&amp;P$3,'Google data'!$A$3:$A$20000,"&lt;="&amp;P$4,'Google data'!$B$3:$B$20000,$A72),IF($B72="ChatGPT Ads",SUMIFS('ChatGPT data'!$I$3:$I$20000,'ChatGPT data'!$A$3:$A$20000,"&gt;="&amp;P$3,'ChatGPT data'!$A$3:$A$20000,"&lt;="&amp;P$4,'ChatGPT data'!$B$3:$B$20000,$A72),IF($B72="LinkedIn Ads",SUMIFS('LinkedIn data'!$I$3:$I$20000,'LinkedIn data'!$A$3:$A$20000,"&gt;="&amp;P$3,'LinkedIn data'!$A$3:$A$20000,"&lt;="&amp;P$4,'LinkedIn data'!$B$3:$B$20000,$A72),0)))))</f>
        <v/>
      </c>
      <c r="Q72" s="14" t="str">
        <f aca="false">IF($A72="","",IF($B72="Meta",SUMIFS('Meta data'!$I$3:$I$20000,'Meta data'!$A$3:$A$20000,"&gt;="&amp;Q$3,'Meta data'!$A$3:$A$20000,"&lt;="&amp;Q$4,'Meta data'!$B$3:$B$20000,$A72),IF($B72="Google Ads",SUMIFS('Google data'!$I$3:$I$20000,'Google data'!$A$3:$A$20000,"&gt;="&amp;Q$3,'Google data'!$A$3:$A$20000,"&lt;="&amp;Q$4,'Google data'!$B$3:$B$20000,$A72),IF($B72="ChatGPT Ads",SUMIFS('ChatGPT data'!$I$3:$I$20000,'ChatGPT data'!$A$3:$A$20000,"&gt;="&amp;Q$3,'ChatGPT data'!$A$3:$A$20000,"&lt;="&amp;Q$4,'ChatGPT data'!$B$3:$B$20000,$A72),IF($B72="LinkedIn Ads",SUMIFS('LinkedIn data'!$I$3:$I$20000,'LinkedIn data'!$A$3:$A$20000,"&gt;="&amp;Q$3,'LinkedIn data'!$A$3:$A$20000,"&lt;="&amp;Q$4,'LinkedIn data'!$B$3:$B$20000,$A72),0)))))</f>
        <v/>
      </c>
      <c r="R72" s="15" t="str">
        <f aca="false">IF($A72="","",SUM(F72:Q72))</f>
        <v/>
      </c>
      <c r="S72" s="37" t="str">
        <f aca="false">IF($A72="","",IF($B72="Meta",SUMIFS('Meta data'!$E$3:$E$20000,'Meta data'!$B$3:$B$20000,$A72),IF($B72="Google Ads",SUMIFS('Google data'!$E$3:$E$20000,'Google data'!$B$3:$B$20000,$A72),IF($B72="ChatGPT Ads",SUMIFS('ChatGPT data'!$E$3:$E$20000,'ChatGPT data'!$B$3:$B$20000,$A72),IF($B72="LinkedIn Ads",SUMIFS('LinkedIn data'!$E$3:$E$20000,'LinkedIn data'!$B$3:$B$20000,$A72),0)))))</f>
        <v/>
      </c>
      <c r="T72" s="37" t="str">
        <f aca="false">IF($A72="","",IF($B72="Meta",SUMIFS('Meta data'!$F$3:$F$20000,'Meta data'!$B$3:$B$20000,$A72),IF($B72="Google Ads",SUMIFS('Google data'!$F$3:$F$20000,'Google data'!$B$3:$B$20000,$A72),IF($B72="ChatGPT Ads",SUMIFS('ChatGPT data'!$F$3:$F$20000,'ChatGPT data'!$B$3:$B$20000,$A72),IF($B72="LinkedIn Ads",SUMIFS('LinkedIn data'!$F$3:$F$20000,'LinkedIn data'!$B$3:$B$20000,$A72),0)))))</f>
        <v/>
      </c>
      <c r="U72" s="38" t="str">
        <f aca="false">IF(OR($A72="",T72=0),"",R72/T72)</f>
        <v/>
      </c>
    </row>
    <row r="73" customFormat="false" ht="15" hidden="false" customHeight="false" outlineLevel="0" collapsed="false">
      <c r="A73" s="59"/>
      <c r="B73" s="59"/>
      <c r="C73" s="59"/>
      <c r="D73" s="59"/>
      <c r="E73" s="59"/>
      <c r="F73" s="14" t="str">
        <f aca="false">IF($A73="","",IF($B73="Meta",SUMIFS('Meta data'!$I$3:$I$20000,'Meta data'!$A$3:$A$20000,"&gt;="&amp;F$3,'Meta data'!$A$3:$A$20000,"&lt;="&amp;F$4,'Meta data'!$B$3:$B$20000,$A73),IF($B73="Google Ads",SUMIFS('Google data'!$I$3:$I$20000,'Google data'!$A$3:$A$20000,"&gt;="&amp;F$3,'Google data'!$A$3:$A$20000,"&lt;="&amp;F$4,'Google data'!$B$3:$B$20000,$A73),IF($B73="ChatGPT Ads",SUMIFS('ChatGPT data'!$I$3:$I$20000,'ChatGPT data'!$A$3:$A$20000,"&gt;="&amp;F$3,'ChatGPT data'!$A$3:$A$20000,"&lt;="&amp;F$4,'ChatGPT data'!$B$3:$B$20000,$A73),IF($B73="LinkedIn Ads",SUMIFS('LinkedIn data'!$I$3:$I$20000,'LinkedIn data'!$A$3:$A$20000,"&gt;="&amp;F$3,'LinkedIn data'!$A$3:$A$20000,"&lt;="&amp;F$4,'LinkedIn data'!$B$3:$B$20000,$A73),0)))))</f>
        <v/>
      </c>
      <c r="G73" s="14" t="str">
        <f aca="false">IF($A73="","",IF($B73="Meta",SUMIFS('Meta data'!$I$3:$I$20000,'Meta data'!$A$3:$A$20000,"&gt;="&amp;G$3,'Meta data'!$A$3:$A$20000,"&lt;="&amp;G$4,'Meta data'!$B$3:$B$20000,$A73),IF($B73="Google Ads",SUMIFS('Google data'!$I$3:$I$20000,'Google data'!$A$3:$A$20000,"&gt;="&amp;G$3,'Google data'!$A$3:$A$20000,"&lt;="&amp;G$4,'Google data'!$B$3:$B$20000,$A73),IF($B73="ChatGPT Ads",SUMIFS('ChatGPT data'!$I$3:$I$20000,'ChatGPT data'!$A$3:$A$20000,"&gt;="&amp;G$3,'ChatGPT data'!$A$3:$A$20000,"&lt;="&amp;G$4,'ChatGPT data'!$B$3:$B$20000,$A73),IF($B73="LinkedIn Ads",SUMIFS('LinkedIn data'!$I$3:$I$20000,'LinkedIn data'!$A$3:$A$20000,"&gt;="&amp;G$3,'LinkedIn data'!$A$3:$A$20000,"&lt;="&amp;G$4,'LinkedIn data'!$B$3:$B$20000,$A73),0)))))</f>
        <v/>
      </c>
      <c r="H73" s="14" t="str">
        <f aca="false">IF($A73="","",IF($B73="Meta",SUMIFS('Meta data'!$I$3:$I$20000,'Meta data'!$A$3:$A$20000,"&gt;="&amp;H$3,'Meta data'!$A$3:$A$20000,"&lt;="&amp;H$4,'Meta data'!$B$3:$B$20000,$A73),IF($B73="Google Ads",SUMIFS('Google data'!$I$3:$I$20000,'Google data'!$A$3:$A$20000,"&gt;="&amp;H$3,'Google data'!$A$3:$A$20000,"&lt;="&amp;H$4,'Google data'!$B$3:$B$20000,$A73),IF($B73="ChatGPT Ads",SUMIFS('ChatGPT data'!$I$3:$I$20000,'ChatGPT data'!$A$3:$A$20000,"&gt;="&amp;H$3,'ChatGPT data'!$A$3:$A$20000,"&lt;="&amp;H$4,'ChatGPT data'!$B$3:$B$20000,$A73),IF($B73="LinkedIn Ads",SUMIFS('LinkedIn data'!$I$3:$I$20000,'LinkedIn data'!$A$3:$A$20000,"&gt;="&amp;H$3,'LinkedIn data'!$A$3:$A$20000,"&lt;="&amp;H$4,'LinkedIn data'!$B$3:$B$20000,$A73),0)))))</f>
        <v/>
      </c>
      <c r="I73" s="14" t="str">
        <f aca="false">IF($A73="","",IF($B73="Meta",SUMIFS('Meta data'!$I$3:$I$20000,'Meta data'!$A$3:$A$20000,"&gt;="&amp;I$3,'Meta data'!$A$3:$A$20000,"&lt;="&amp;I$4,'Meta data'!$B$3:$B$20000,$A73),IF($B73="Google Ads",SUMIFS('Google data'!$I$3:$I$20000,'Google data'!$A$3:$A$20000,"&gt;="&amp;I$3,'Google data'!$A$3:$A$20000,"&lt;="&amp;I$4,'Google data'!$B$3:$B$20000,$A73),IF($B73="ChatGPT Ads",SUMIFS('ChatGPT data'!$I$3:$I$20000,'ChatGPT data'!$A$3:$A$20000,"&gt;="&amp;I$3,'ChatGPT data'!$A$3:$A$20000,"&lt;="&amp;I$4,'ChatGPT data'!$B$3:$B$20000,$A73),IF($B73="LinkedIn Ads",SUMIFS('LinkedIn data'!$I$3:$I$20000,'LinkedIn data'!$A$3:$A$20000,"&gt;="&amp;I$3,'LinkedIn data'!$A$3:$A$20000,"&lt;="&amp;I$4,'LinkedIn data'!$B$3:$B$20000,$A73),0)))))</f>
        <v/>
      </c>
      <c r="J73" s="14" t="str">
        <f aca="false">IF($A73="","",IF($B73="Meta",SUMIFS('Meta data'!$I$3:$I$20000,'Meta data'!$A$3:$A$20000,"&gt;="&amp;J$3,'Meta data'!$A$3:$A$20000,"&lt;="&amp;J$4,'Meta data'!$B$3:$B$20000,$A73),IF($B73="Google Ads",SUMIFS('Google data'!$I$3:$I$20000,'Google data'!$A$3:$A$20000,"&gt;="&amp;J$3,'Google data'!$A$3:$A$20000,"&lt;="&amp;J$4,'Google data'!$B$3:$B$20000,$A73),IF($B73="ChatGPT Ads",SUMIFS('ChatGPT data'!$I$3:$I$20000,'ChatGPT data'!$A$3:$A$20000,"&gt;="&amp;J$3,'ChatGPT data'!$A$3:$A$20000,"&lt;="&amp;J$4,'ChatGPT data'!$B$3:$B$20000,$A73),IF($B73="LinkedIn Ads",SUMIFS('LinkedIn data'!$I$3:$I$20000,'LinkedIn data'!$A$3:$A$20000,"&gt;="&amp;J$3,'LinkedIn data'!$A$3:$A$20000,"&lt;="&amp;J$4,'LinkedIn data'!$B$3:$B$20000,$A73),0)))))</f>
        <v/>
      </c>
      <c r="K73" s="14" t="str">
        <f aca="false">IF($A73="","",IF($B73="Meta",SUMIFS('Meta data'!$I$3:$I$20000,'Meta data'!$A$3:$A$20000,"&gt;="&amp;K$3,'Meta data'!$A$3:$A$20000,"&lt;="&amp;K$4,'Meta data'!$B$3:$B$20000,$A73),IF($B73="Google Ads",SUMIFS('Google data'!$I$3:$I$20000,'Google data'!$A$3:$A$20000,"&gt;="&amp;K$3,'Google data'!$A$3:$A$20000,"&lt;="&amp;K$4,'Google data'!$B$3:$B$20000,$A73),IF($B73="ChatGPT Ads",SUMIFS('ChatGPT data'!$I$3:$I$20000,'ChatGPT data'!$A$3:$A$20000,"&gt;="&amp;K$3,'ChatGPT data'!$A$3:$A$20000,"&lt;="&amp;K$4,'ChatGPT data'!$B$3:$B$20000,$A73),IF($B73="LinkedIn Ads",SUMIFS('LinkedIn data'!$I$3:$I$20000,'LinkedIn data'!$A$3:$A$20000,"&gt;="&amp;K$3,'LinkedIn data'!$A$3:$A$20000,"&lt;="&amp;K$4,'LinkedIn data'!$B$3:$B$20000,$A73),0)))))</f>
        <v/>
      </c>
      <c r="L73" s="14" t="str">
        <f aca="false">IF($A73="","",IF($B73="Meta",SUMIFS('Meta data'!$I$3:$I$20000,'Meta data'!$A$3:$A$20000,"&gt;="&amp;L$3,'Meta data'!$A$3:$A$20000,"&lt;="&amp;L$4,'Meta data'!$B$3:$B$20000,$A73),IF($B73="Google Ads",SUMIFS('Google data'!$I$3:$I$20000,'Google data'!$A$3:$A$20000,"&gt;="&amp;L$3,'Google data'!$A$3:$A$20000,"&lt;="&amp;L$4,'Google data'!$B$3:$B$20000,$A73),IF($B73="ChatGPT Ads",SUMIFS('ChatGPT data'!$I$3:$I$20000,'ChatGPT data'!$A$3:$A$20000,"&gt;="&amp;L$3,'ChatGPT data'!$A$3:$A$20000,"&lt;="&amp;L$4,'ChatGPT data'!$B$3:$B$20000,$A73),IF($B73="LinkedIn Ads",SUMIFS('LinkedIn data'!$I$3:$I$20000,'LinkedIn data'!$A$3:$A$20000,"&gt;="&amp;L$3,'LinkedIn data'!$A$3:$A$20000,"&lt;="&amp;L$4,'LinkedIn data'!$B$3:$B$20000,$A73),0)))))</f>
        <v/>
      </c>
      <c r="M73" s="14" t="str">
        <f aca="false">IF($A73="","",IF($B73="Meta",SUMIFS('Meta data'!$I$3:$I$20000,'Meta data'!$A$3:$A$20000,"&gt;="&amp;M$3,'Meta data'!$A$3:$A$20000,"&lt;="&amp;M$4,'Meta data'!$B$3:$B$20000,$A73),IF($B73="Google Ads",SUMIFS('Google data'!$I$3:$I$20000,'Google data'!$A$3:$A$20000,"&gt;="&amp;M$3,'Google data'!$A$3:$A$20000,"&lt;="&amp;M$4,'Google data'!$B$3:$B$20000,$A73),IF($B73="ChatGPT Ads",SUMIFS('ChatGPT data'!$I$3:$I$20000,'ChatGPT data'!$A$3:$A$20000,"&gt;="&amp;M$3,'ChatGPT data'!$A$3:$A$20000,"&lt;="&amp;M$4,'ChatGPT data'!$B$3:$B$20000,$A73),IF($B73="LinkedIn Ads",SUMIFS('LinkedIn data'!$I$3:$I$20000,'LinkedIn data'!$A$3:$A$20000,"&gt;="&amp;M$3,'LinkedIn data'!$A$3:$A$20000,"&lt;="&amp;M$4,'LinkedIn data'!$B$3:$B$20000,$A73),0)))))</f>
        <v/>
      </c>
      <c r="N73" s="14" t="str">
        <f aca="false">IF($A73="","",IF($B73="Meta",SUMIFS('Meta data'!$I$3:$I$20000,'Meta data'!$A$3:$A$20000,"&gt;="&amp;N$3,'Meta data'!$A$3:$A$20000,"&lt;="&amp;N$4,'Meta data'!$B$3:$B$20000,$A73),IF($B73="Google Ads",SUMIFS('Google data'!$I$3:$I$20000,'Google data'!$A$3:$A$20000,"&gt;="&amp;N$3,'Google data'!$A$3:$A$20000,"&lt;="&amp;N$4,'Google data'!$B$3:$B$20000,$A73),IF($B73="ChatGPT Ads",SUMIFS('ChatGPT data'!$I$3:$I$20000,'ChatGPT data'!$A$3:$A$20000,"&gt;="&amp;N$3,'ChatGPT data'!$A$3:$A$20000,"&lt;="&amp;N$4,'ChatGPT data'!$B$3:$B$20000,$A73),IF($B73="LinkedIn Ads",SUMIFS('LinkedIn data'!$I$3:$I$20000,'LinkedIn data'!$A$3:$A$20000,"&gt;="&amp;N$3,'LinkedIn data'!$A$3:$A$20000,"&lt;="&amp;N$4,'LinkedIn data'!$B$3:$B$20000,$A73),0)))))</f>
        <v/>
      </c>
      <c r="O73" s="14" t="str">
        <f aca="false">IF($A73="","",IF($B73="Meta",SUMIFS('Meta data'!$I$3:$I$20000,'Meta data'!$A$3:$A$20000,"&gt;="&amp;O$3,'Meta data'!$A$3:$A$20000,"&lt;="&amp;O$4,'Meta data'!$B$3:$B$20000,$A73),IF($B73="Google Ads",SUMIFS('Google data'!$I$3:$I$20000,'Google data'!$A$3:$A$20000,"&gt;="&amp;O$3,'Google data'!$A$3:$A$20000,"&lt;="&amp;O$4,'Google data'!$B$3:$B$20000,$A73),IF($B73="ChatGPT Ads",SUMIFS('ChatGPT data'!$I$3:$I$20000,'ChatGPT data'!$A$3:$A$20000,"&gt;="&amp;O$3,'ChatGPT data'!$A$3:$A$20000,"&lt;="&amp;O$4,'ChatGPT data'!$B$3:$B$20000,$A73),IF($B73="LinkedIn Ads",SUMIFS('LinkedIn data'!$I$3:$I$20000,'LinkedIn data'!$A$3:$A$20000,"&gt;="&amp;O$3,'LinkedIn data'!$A$3:$A$20000,"&lt;="&amp;O$4,'LinkedIn data'!$B$3:$B$20000,$A73),0)))))</f>
        <v/>
      </c>
      <c r="P73" s="14" t="str">
        <f aca="false">IF($A73="","",IF($B73="Meta",SUMIFS('Meta data'!$I$3:$I$20000,'Meta data'!$A$3:$A$20000,"&gt;="&amp;P$3,'Meta data'!$A$3:$A$20000,"&lt;="&amp;P$4,'Meta data'!$B$3:$B$20000,$A73),IF($B73="Google Ads",SUMIFS('Google data'!$I$3:$I$20000,'Google data'!$A$3:$A$20000,"&gt;="&amp;P$3,'Google data'!$A$3:$A$20000,"&lt;="&amp;P$4,'Google data'!$B$3:$B$20000,$A73),IF($B73="ChatGPT Ads",SUMIFS('ChatGPT data'!$I$3:$I$20000,'ChatGPT data'!$A$3:$A$20000,"&gt;="&amp;P$3,'ChatGPT data'!$A$3:$A$20000,"&lt;="&amp;P$4,'ChatGPT data'!$B$3:$B$20000,$A73),IF($B73="LinkedIn Ads",SUMIFS('LinkedIn data'!$I$3:$I$20000,'LinkedIn data'!$A$3:$A$20000,"&gt;="&amp;P$3,'LinkedIn data'!$A$3:$A$20000,"&lt;="&amp;P$4,'LinkedIn data'!$B$3:$B$20000,$A73),0)))))</f>
        <v/>
      </c>
      <c r="Q73" s="14" t="str">
        <f aca="false">IF($A73="","",IF($B73="Meta",SUMIFS('Meta data'!$I$3:$I$20000,'Meta data'!$A$3:$A$20000,"&gt;="&amp;Q$3,'Meta data'!$A$3:$A$20000,"&lt;="&amp;Q$4,'Meta data'!$B$3:$B$20000,$A73),IF($B73="Google Ads",SUMIFS('Google data'!$I$3:$I$20000,'Google data'!$A$3:$A$20000,"&gt;="&amp;Q$3,'Google data'!$A$3:$A$20000,"&lt;="&amp;Q$4,'Google data'!$B$3:$B$20000,$A73),IF($B73="ChatGPT Ads",SUMIFS('ChatGPT data'!$I$3:$I$20000,'ChatGPT data'!$A$3:$A$20000,"&gt;="&amp;Q$3,'ChatGPT data'!$A$3:$A$20000,"&lt;="&amp;Q$4,'ChatGPT data'!$B$3:$B$20000,$A73),IF($B73="LinkedIn Ads",SUMIFS('LinkedIn data'!$I$3:$I$20000,'LinkedIn data'!$A$3:$A$20000,"&gt;="&amp;Q$3,'LinkedIn data'!$A$3:$A$20000,"&lt;="&amp;Q$4,'LinkedIn data'!$B$3:$B$20000,$A73),0)))))</f>
        <v/>
      </c>
      <c r="R73" s="15" t="str">
        <f aca="false">IF($A73="","",SUM(F73:Q73))</f>
        <v/>
      </c>
      <c r="S73" s="37" t="str">
        <f aca="false">IF($A73="","",IF($B73="Meta",SUMIFS('Meta data'!$E$3:$E$20000,'Meta data'!$B$3:$B$20000,$A73),IF($B73="Google Ads",SUMIFS('Google data'!$E$3:$E$20000,'Google data'!$B$3:$B$20000,$A73),IF($B73="ChatGPT Ads",SUMIFS('ChatGPT data'!$E$3:$E$20000,'ChatGPT data'!$B$3:$B$20000,$A73),IF($B73="LinkedIn Ads",SUMIFS('LinkedIn data'!$E$3:$E$20000,'LinkedIn data'!$B$3:$B$20000,$A73),0)))))</f>
        <v/>
      </c>
      <c r="T73" s="37" t="str">
        <f aca="false">IF($A73="","",IF($B73="Meta",SUMIFS('Meta data'!$F$3:$F$20000,'Meta data'!$B$3:$B$20000,$A73),IF($B73="Google Ads",SUMIFS('Google data'!$F$3:$F$20000,'Google data'!$B$3:$B$20000,$A73),IF($B73="ChatGPT Ads",SUMIFS('ChatGPT data'!$F$3:$F$20000,'ChatGPT data'!$B$3:$B$20000,$A73),IF($B73="LinkedIn Ads",SUMIFS('LinkedIn data'!$F$3:$F$20000,'LinkedIn data'!$B$3:$B$20000,$A73),0)))))</f>
        <v/>
      </c>
      <c r="U73" s="38" t="str">
        <f aca="false">IF(OR($A73="",T73=0),"",R73/T73)</f>
        <v/>
      </c>
    </row>
    <row r="74" customFormat="false" ht="15" hidden="false" customHeight="false" outlineLevel="0" collapsed="false">
      <c r="A74" s="59"/>
      <c r="B74" s="59"/>
      <c r="C74" s="59"/>
      <c r="D74" s="59"/>
      <c r="E74" s="59"/>
      <c r="F74" s="14" t="str">
        <f aca="false">IF($A74="","",IF($B74="Meta",SUMIFS('Meta data'!$I$3:$I$20000,'Meta data'!$A$3:$A$20000,"&gt;="&amp;F$3,'Meta data'!$A$3:$A$20000,"&lt;="&amp;F$4,'Meta data'!$B$3:$B$20000,$A74),IF($B74="Google Ads",SUMIFS('Google data'!$I$3:$I$20000,'Google data'!$A$3:$A$20000,"&gt;="&amp;F$3,'Google data'!$A$3:$A$20000,"&lt;="&amp;F$4,'Google data'!$B$3:$B$20000,$A74),IF($B74="ChatGPT Ads",SUMIFS('ChatGPT data'!$I$3:$I$20000,'ChatGPT data'!$A$3:$A$20000,"&gt;="&amp;F$3,'ChatGPT data'!$A$3:$A$20000,"&lt;="&amp;F$4,'ChatGPT data'!$B$3:$B$20000,$A74),IF($B74="LinkedIn Ads",SUMIFS('LinkedIn data'!$I$3:$I$20000,'LinkedIn data'!$A$3:$A$20000,"&gt;="&amp;F$3,'LinkedIn data'!$A$3:$A$20000,"&lt;="&amp;F$4,'LinkedIn data'!$B$3:$B$20000,$A74),0)))))</f>
        <v/>
      </c>
      <c r="G74" s="14" t="str">
        <f aca="false">IF($A74="","",IF($B74="Meta",SUMIFS('Meta data'!$I$3:$I$20000,'Meta data'!$A$3:$A$20000,"&gt;="&amp;G$3,'Meta data'!$A$3:$A$20000,"&lt;="&amp;G$4,'Meta data'!$B$3:$B$20000,$A74),IF($B74="Google Ads",SUMIFS('Google data'!$I$3:$I$20000,'Google data'!$A$3:$A$20000,"&gt;="&amp;G$3,'Google data'!$A$3:$A$20000,"&lt;="&amp;G$4,'Google data'!$B$3:$B$20000,$A74),IF($B74="ChatGPT Ads",SUMIFS('ChatGPT data'!$I$3:$I$20000,'ChatGPT data'!$A$3:$A$20000,"&gt;="&amp;G$3,'ChatGPT data'!$A$3:$A$20000,"&lt;="&amp;G$4,'ChatGPT data'!$B$3:$B$20000,$A74),IF($B74="LinkedIn Ads",SUMIFS('LinkedIn data'!$I$3:$I$20000,'LinkedIn data'!$A$3:$A$20000,"&gt;="&amp;G$3,'LinkedIn data'!$A$3:$A$20000,"&lt;="&amp;G$4,'LinkedIn data'!$B$3:$B$20000,$A74),0)))))</f>
        <v/>
      </c>
      <c r="H74" s="14" t="str">
        <f aca="false">IF($A74="","",IF($B74="Meta",SUMIFS('Meta data'!$I$3:$I$20000,'Meta data'!$A$3:$A$20000,"&gt;="&amp;H$3,'Meta data'!$A$3:$A$20000,"&lt;="&amp;H$4,'Meta data'!$B$3:$B$20000,$A74),IF($B74="Google Ads",SUMIFS('Google data'!$I$3:$I$20000,'Google data'!$A$3:$A$20000,"&gt;="&amp;H$3,'Google data'!$A$3:$A$20000,"&lt;="&amp;H$4,'Google data'!$B$3:$B$20000,$A74),IF($B74="ChatGPT Ads",SUMIFS('ChatGPT data'!$I$3:$I$20000,'ChatGPT data'!$A$3:$A$20000,"&gt;="&amp;H$3,'ChatGPT data'!$A$3:$A$20000,"&lt;="&amp;H$4,'ChatGPT data'!$B$3:$B$20000,$A74),IF($B74="LinkedIn Ads",SUMIFS('LinkedIn data'!$I$3:$I$20000,'LinkedIn data'!$A$3:$A$20000,"&gt;="&amp;H$3,'LinkedIn data'!$A$3:$A$20000,"&lt;="&amp;H$4,'LinkedIn data'!$B$3:$B$20000,$A74),0)))))</f>
        <v/>
      </c>
      <c r="I74" s="14" t="str">
        <f aca="false">IF($A74="","",IF($B74="Meta",SUMIFS('Meta data'!$I$3:$I$20000,'Meta data'!$A$3:$A$20000,"&gt;="&amp;I$3,'Meta data'!$A$3:$A$20000,"&lt;="&amp;I$4,'Meta data'!$B$3:$B$20000,$A74),IF($B74="Google Ads",SUMIFS('Google data'!$I$3:$I$20000,'Google data'!$A$3:$A$20000,"&gt;="&amp;I$3,'Google data'!$A$3:$A$20000,"&lt;="&amp;I$4,'Google data'!$B$3:$B$20000,$A74),IF($B74="ChatGPT Ads",SUMIFS('ChatGPT data'!$I$3:$I$20000,'ChatGPT data'!$A$3:$A$20000,"&gt;="&amp;I$3,'ChatGPT data'!$A$3:$A$20000,"&lt;="&amp;I$4,'ChatGPT data'!$B$3:$B$20000,$A74),IF($B74="LinkedIn Ads",SUMIFS('LinkedIn data'!$I$3:$I$20000,'LinkedIn data'!$A$3:$A$20000,"&gt;="&amp;I$3,'LinkedIn data'!$A$3:$A$20000,"&lt;="&amp;I$4,'LinkedIn data'!$B$3:$B$20000,$A74),0)))))</f>
        <v/>
      </c>
      <c r="J74" s="14" t="str">
        <f aca="false">IF($A74="","",IF($B74="Meta",SUMIFS('Meta data'!$I$3:$I$20000,'Meta data'!$A$3:$A$20000,"&gt;="&amp;J$3,'Meta data'!$A$3:$A$20000,"&lt;="&amp;J$4,'Meta data'!$B$3:$B$20000,$A74),IF($B74="Google Ads",SUMIFS('Google data'!$I$3:$I$20000,'Google data'!$A$3:$A$20000,"&gt;="&amp;J$3,'Google data'!$A$3:$A$20000,"&lt;="&amp;J$4,'Google data'!$B$3:$B$20000,$A74),IF($B74="ChatGPT Ads",SUMIFS('ChatGPT data'!$I$3:$I$20000,'ChatGPT data'!$A$3:$A$20000,"&gt;="&amp;J$3,'ChatGPT data'!$A$3:$A$20000,"&lt;="&amp;J$4,'ChatGPT data'!$B$3:$B$20000,$A74),IF($B74="LinkedIn Ads",SUMIFS('LinkedIn data'!$I$3:$I$20000,'LinkedIn data'!$A$3:$A$20000,"&gt;="&amp;J$3,'LinkedIn data'!$A$3:$A$20000,"&lt;="&amp;J$4,'LinkedIn data'!$B$3:$B$20000,$A74),0)))))</f>
        <v/>
      </c>
      <c r="K74" s="14" t="str">
        <f aca="false">IF($A74="","",IF($B74="Meta",SUMIFS('Meta data'!$I$3:$I$20000,'Meta data'!$A$3:$A$20000,"&gt;="&amp;K$3,'Meta data'!$A$3:$A$20000,"&lt;="&amp;K$4,'Meta data'!$B$3:$B$20000,$A74),IF($B74="Google Ads",SUMIFS('Google data'!$I$3:$I$20000,'Google data'!$A$3:$A$20000,"&gt;="&amp;K$3,'Google data'!$A$3:$A$20000,"&lt;="&amp;K$4,'Google data'!$B$3:$B$20000,$A74),IF($B74="ChatGPT Ads",SUMIFS('ChatGPT data'!$I$3:$I$20000,'ChatGPT data'!$A$3:$A$20000,"&gt;="&amp;K$3,'ChatGPT data'!$A$3:$A$20000,"&lt;="&amp;K$4,'ChatGPT data'!$B$3:$B$20000,$A74),IF($B74="LinkedIn Ads",SUMIFS('LinkedIn data'!$I$3:$I$20000,'LinkedIn data'!$A$3:$A$20000,"&gt;="&amp;K$3,'LinkedIn data'!$A$3:$A$20000,"&lt;="&amp;K$4,'LinkedIn data'!$B$3:$B$20000,$A74),0)))))</f>
        <v/>
      </c>
      <c r="L74" s="14" t="str">
        <f aca="false">IF($A74="","",IF($B74="Meta",SUMIFS('Meta data'!$I$3:$I$20000,'Meta data'!$A$3:$A$20000,"&gt;="&amp;L$3,'Meta data'!$A$3:$A$20000,"&lt;="&amp;L$4,'Meta data'!$B$3:$B$20000,$A74),IF($B74="Google Ads",SUMIFS('Google data'!$I$3:$I$20000,'Google data'!$A$3:$A$20000,"&gt;="&amp;L$3,'Google data'!$A$3:$A$20000,"&lt;="&amp;L$4,'Google data'!$B$3:$B$20000,$A74),IF($B74="ChatGPT Ads",SUMIFS('ChatGPT data'!$I$3:$I$20000,'ChatGPT data'!$A$3:$A$20000,"&gt;="&amp;L$3,'ChatGPT data'!$A$3:$A$20000,"&lt;="&amp;L$4,'ChatGPT data'!$B$3:$B$20000,$A74),IF($B74="LinkedIn Ads",SUMIFS('LinkedIn data'!$I$3:$I$20000,'LinkedIn data'!$A$3:$A$20000,"&gt;="&amp;L$3,'LinkedIn data'!$A$3:$A$20000,"&lt;="&amp;L$4,'LinkedIn data'!$B$3:$B$20000,$A74),0)))))</f>
        <v/>
      </c>
      <c r="M74" s="14" t="str">
        <f aca="false">IF($A74="","",IF($B74="Meta",SUMIFS('Meta data'!$I$3:$I$20000,'Meta data'!$A$3:$A$20000,"&gt;="&amp;M$3,'Meta data'!$A$3:$A$20000,"&lt;="&amp;M$4,'Meta data'!$B$3:$B$20000,$A74),IF($B74="Google Ads",SUMIFS('Google data'!$I$3:$I$20000,'Google data'!$A$3:$A$20000,"&gt;="&amp;M$3,'Google data'!$A$3:$A$20000,"&lt;="&amp;M$4,'Google data'!$B$3:$B$20000,$A74),IF($B74="ChatGPT Ads",SUMIFS('ChatGPT data'!$I$3:$I$20000,'ChatGPT data'!$A$3:$A$20000,"&gt;="&amp;M$3,'ChatGPT data'!$A$3:$A$20000,"&lt;="&amp;M$4,'ChatGPT data'!$B$3:$B$20000,$A74),IF($B74="LinkedIn Ads",SUMIFS('LinkedIn data'!$I$3:$I$20000,'LinkedIn data'!$A$3:$A$20000,"&gt;="&amp;M$3,'LinkedIn data'!$A$3:$A$20000,"&lt;="&amp;M$4,'LinkedIn data'!$B$3:$B$20000,$A74),0)))))</f>
        <v/>
      </c>
      <c r="N74" s="14" t="str">
        <f aca="false">IF($A74="","",IF($B74="Meta",SUMIFS('Meta data'!$I$3:$I$20000,'Meta data'!$A$3:$A$20000,"&gt;="&amp;N$3,'Meta data'!$A$3:$A$20000,"&lt;="&amp;N$4,'Meta data'!$B$3:$B$20000,$A74),IF($B74="Google Ads",SUMIFS('Google data'!$I$3:$I$20000,'Google data'!$A$3:$A$20000,"&gt;="&amp;N$3,'Google data'!$A$3:$A$20000,"&lt;="&amp;N$4,'Google data'!$B$3:$B$20000,$A74),IF($B74="ChatGPT Ads",SUMIFS('ChatGPT data'!$I$3:$I$20000,'ChatGPT data'!$A$3:$A$20000,"&gt;="&amp;N$3,'ChatGPT data'!$A$3:$A$20000,"&lt;="&amp;N$4,'ChatGPT data'!$B$3:$B$20000,$A74),IF($B74="LinkedIn Ads",SUMIFS('LinkedIn data'!$I$3:$I$20000,'LinkedIn data'!$A$3:$A$20000,"&gt;="&amp;N$3,'LinkedIn data'!$A$3:$A$20000,"&lt;="&amp;N$4,'LinkedIn data'!$B$3:$B$20000,$A74),0)))))</f>
        <v/>
      </c>
      <c r="O74" s="14" t="str">
        <f aca="false">IF($A74="","",IF($B74="Meta",SUMIFS('Meta data'!$I$3:$I$20000,'Meta data'!$A$3:$A$20000,"&gt;="&amp;O$3,'Meta data'!$A$3:$A$20000,"&lt;="&amp;O$4,'Meta data'!$B$3:$B$20000,$A74),IF($B74="Google Ads",SUMIFS('Google data'!$I$3:$I$20000,'Google data'!$A$3:$A$20000,"&gt;="&amp;O$3,'Google data'!$A$3:$A$20000,"&lt;="&amp;O$4,'Google data'!$B$3:$B$20000,$A74),IF($B74="ChatGPT Ads",SUMIFS('ChatGPT data'!$I$3:$I$20000,'ChatGPT data'!$A$3:$A$20000,"&gt;="&amp;O$3,'ChatGPT data'!$A$3:$A$20000,"&lt;="&amp;O$4,'ChatGPT data'!$B$3:$B$20000,$A74),IF($B74="LinkedIn Ads",SUMIFS('LinkedIn data'!$I$3:$I$20000,'LinkedIn data'!$A$3:$A$20000,"&gt;="&amp;O$3,'LinkedIn data'!$A$3:$A$20000,"&lt;="&amp;O$4,'LinkedIn data'!$B$3:$B$20000,$A74),0)))))</f>
        <v/>
      </c>
      <c r="P74" s="14" t="str">
        <f aca="false">IF($A74="","",IF($B74="Meta",SUMIFS('Meta data'!$I$3:$I$20000,'Meta data'!$A$3:$A$20000,"&gt;="&amp;P$3,'Meta data'!$A$3:$A$20000,"&lt;="&amp;P$4,'Meta data'!$B$3:$B$20000,$A74),IF($B74="Google Ads",SUMIFS('Google data'!$I$3:$I$20000,'Google data'!$A$3:$A$20000,"&gt;="&amp;P$3,'Google data'!$A$3:$A$20000,"&lt;="&amp;P$4,'Google data'!$B$3:$B$20000,$A74),IF($B74="ChatGPT Ads",SUMIFS('ChatGPT data'!$I$3:$I$20000,'ChatGPT data'!$A$3:$A$20000,"&gt;="&amp;P$3,'ChatGPT data'!$A$3:$A$20000,"&lt;="&amp;P$4,'ChatGPT data'!$B$3:$B$20000,$A74),IF($B74="LinkedIn Ads",SUMIFS('LinkedIn data'!$I$3:$I$20000,'LinkedIn data'!$A$3:$A$20000,"&gt;="&amp;P$3,'LinkedIn data'!$A$3:$A$20000,"&lt;="&amp;P$4,'LinkedIn data'!$B$3:$B$20000,$A74),0)))))</f>
        <v/>
      </c>
      <c r="Q74" s="14" t="str">
        <f aca="false">IF($A74="","",IF($B74="Meta",SUMIFS('Meta data'!$I$3:$I$20000,'Meta data'!$A$3:$A$20000,"&gt;="&amp;Q$3,'Meta data'!$A$3:$A$20000,"&lt;="&amp;Q$4,'Meta data'!$B$3:$B$20000,$A74),IF($B74="Google Ads",SUMIFS('Google data'!$I$3:$I$20000,'Google data'!$A$3:$A$20000,"&gt;="&amp;Q$3,'Google data'!$A$3:$A$20000,"&lt;="&amp;Q$4,'Google data'!$B$3:$B$20000,$A74),IF($B74="ChatGPT Ads",SUMIFS('ChatGPT data'!$I$3:$I$20000,'ChatGPT data'!$A$3:$A$20000,"&gt;="&amp;Q$3,'ChatGPT data'!$A$3:$A$20000,"&lt;="&amp;Q$4,'ChatGPT data'!$B$3:$B$20000,$A74),IF($B74="LinkedIn Ads",SUMIFS('LinkedIn data'!$I$3:$I$20000,'LinkedIn data'!$A$3:$A$20000,"&gt;="&amp;Q$3,'LinkedIn data'!$A$3:$A$20000,"&lt;="&amp;Q$4,'LinkedIn data'!$B$3:$B$20000,$A74),0)))))</f>
        <v/>
      </c>
      <c r="R74" s="15" t="str">
        <f aca="false">IF($A74="","",SUM(F74:Q74))</f>
        <v/>
      </c>
      <c r="S74" s="37" t="str">
        <f aca="false">IF($A74="","",IF($B74="Meta",SUMIFS('Meta data'!$E$3:$E$20000,'Meta data'!$B$3:$B$20000,$A74),IF($B74="Google Ads",SUMIFS('Google data'!$E$3:$E$20000,'Google data'!$B$3:$B$20000,$A74),IF($B74="ChatGPT Ads",SUMIFS('ChatGPT data'!$E$3:$E$20000,'ChatGPT data'!$B$3:$B$20000,$A74),IF($B74="LinkedIn Ads",SUMIFS('LinkedIn data'!$E$3:$E$20000,'LinkedIn data'!$B$3:$B$20000,$A74),0)))))</f>
        <v/>
      </c>
      <c r="T74" s="37" t="str">
        <f aca="false">IF($A74="","",IF($B74="Meta",SUMIFS('Meta data'!$F$3:$F$20000,'Meta data'!$B$3:$B$20000,$A74),IF($B74="Google Ads",SUMIFS('Google data'!$F$3:$F$20000,'Google data'!$B$3:$B$20000,$A74),IF($B74="ChatGPT Ads",SUMIFS('ChatGPT data'!$F$3:$F$20000,'ChatGPT data'!$B$3:$B$20000,$A74),IF($B74="LinkedIn Ads",SUMIFS('LinkedIn data'!$F$3:$F$20000,'LinkedIn data'!$B$3:$B$20000,$A74),0)))))</f>
        <v/>
      </c>
      <c r="U74" s="38" t="str">
        <f aca="false">IF(OR($A74="",T74=0),"",R74/T74)</f>
        <v/>
      </c>
    </row>
    <row r="75" customFormat="false" ht="15" hidden="false" customHeight="false" outlineLevel="0" collapsed="false">
      <c r="A75" s="59"/>
      <c r="B75" s="59"/>
      <c r="C75" s="59"/>
      <c r="D75" s="59"/>
      <c r="E75" s="59"/>
      <c r="F75" s="14" t="str">
        <f aca="false">IF($A75="","",IF($B75="Meta",SUMIFS('Meta data'!$I$3:$I$20000,'Meta data'!$A$3:$A$20000,"&gt;="&amp;F$3,'Meta data'!$A$3:$A$20000,"&lt;="&amp;F$4,'Meta data'!$B$3:$B$20000,$A75),IF($B75="Google Ads",SUMIFS('Google data'!$I$3:$I$20000,'Google data'!$A$3:$A$20000,"&gt;="&amp;F$3,'Google data'!$A$3:$A$20000,"&lt;="&amp;F$4,'Google data'!$B$3:$B$20000,$A75),IF($B75="ChatGPT Ads",SUMIFS('ChatGPT data'!$I$3:$I$20000,'ChatGPT data'!$A$3:$A$20000,"&gt;="&amp;F$3,'ChatGPT data'!$A$3:$A$20000,"&lt;="&amp;F$4,'ChatGPT data'!$B$3:$B$20000,$A75),IF($B75="LinkedIn Ads",SUMIFS('LinkedIn data'!$I$3:$I$20000,'LinkedIn data'!$A$3:$A$20000,"&gt;="&amp;F$3,'LinkedIn data'!$A$3:$A$20000,"&lt;="&amp;F$4,'LinkedIn data'!$B$3:$B$20000,$A75),0)))))</f>
        <v/>
      </c>
      <c r="G75" s="14" t="str">
        <f aca="false">IF($A75="","",IF($B75="Meta",SUMIFS('Meta data'!$I$3:$I$20000,'Meta data'!$A$3:$A$20000,"&gt;="&amp;G$3,'Meta data'!$A$3:$A$20000,"&lt;="&amp;G$4,'Meta data'!$B$3:$B$20000,$A75),IF($B75="Google Ads",SUMIFS('Google data'!$I$3:$I$20000,'Google data'!$A$3:$A$20000,"&gt;="&amp;G$3,'Google data'!$A$3:$A$20000,"&lt;="&amp;G$4,'Google data'!$B$3:$B$20000,$A75),IF($B75="ChatGPT Ads",SUMIFS('ChatGPT data'!$I$3:$I$20000,'ChatGPT data'!$A$3:$A$20000,"&gt;="&amp;G$3,'ChatGPT data'!$A$3:$A$20000,"&lt;="&amp;G$4,'ChatGPT data'!$B$3:$B$20000,$A75),IF($B75="LinkedIn Ads",SUMIFS('LinkedIn data'!$I$3:$I$20000,'LinkedIn data'!$A$3:$A$20000,"&gt;="&amp;G$3,'LinkedIn data'!$A$3:$A$20000,"&lt;="&amp;G$4,'LinkedIn data'!$B$3:$B$20000,$A75),0)))))</f>
        <v/>
      </c>
      <c r="H75" s="14" t="str">
        <f aca="false">IF($A75="","",IF($B75="Meta",SUMIFS('Meta data'!$I$3:$I$20000,'Meta data'!$A$3:$A$20000,"&gt;="&amp;H$3,'Meta data'!$A$3:$A$20000,"&lt;="&amp;H$4,'Meta data'!$B$3:$B$20000,$A75),IF($B75="Google Ads",SUMIFS('Google data'!$I$3:$I$20000,'Google data'!$A$3:$A$20000,"&gt;="&amp;H$3,'Google data'!$A$3:$A$20000,"&lt;="&amp;H$4,'Google data'!$B$3:$B$20000,$A75),IF($B75="ChatGPT Ads",SUMIFS('ChatGPT data'!$I$3:$I$20000,'ChatGPT data'!$A$3:$A$20000,"&gt;="&amp;H$3,'ChatGPT data'!$A$3:$A$20000,"&lt;="&amp;H$4,'ChatGPT data'!$B$3:$B$20000,$A75),IF($B75="LinkedIn Ads",SUMIFS('LinkedIn data'!$I$3:$I$20000,'LinkedIn data'!$A$3:$A$20000,"&gt;="&amp;H$3,'LinkedIn data'!$A$3:$A$20000,"&lt;="&amp;H$4,'LinkedIn data'!$B$3:$B$20000,$A75),0)))))</f>
        <v/>
      </c>
      <c r="I75" s="14" t="str">
        <f aca="false">IF($A75="","",IF($B75="Meta",SUMIFS('Meta data'!$I$3:$I$20000,'Meta data'!$A$3:$A$20000,"&gt;="&amp;I$3,'Meta data'!$A$3:$A$20000,"&lt;="&amp;I$4,'Meta data'!$B$3:$B$20000,$A75),IF($B75="Google Ads",SUMIFS('Google data'!$I$3:$I$20000,'Google data'!$A$3:$A$20000,"&gt;="&amp;I$3,'Google data'!$A$3:$A$20000,"&lt;="&amp;I$4,'Google data'!$B$3:$B$20000,$A75),IF($B75="ChatGPT Ads",SUMIFS('ChatGPT data'!$I$3:$I$20000,'ChatGPT data'!$A$3:$A$20000,"&gt;="&amp;I$3,'ChatGPT data'!$A$3:$A$20000,"&lt;="&amp;I$4,'ChatGPT data'!$B$3:$B$20000,$A75),IF($B75="LinkedIn Ads",SUMIFS('LinkedIn data'!$I$3:$I$20000,'LinkedIn data'!$A$3:$A$20000,"&gt;="&amp;I$3,'LinkedIn data'!$A$3:$A$20000,"&lt;="&amp;I$4,'LinkedIn data'!$B$3:$B$20000,$A75),0)))))</f>
        <v/>
      </c>
      <c r="J75" s="14" t="str">
        <f aca="false">IF($A75="","",IF($B75="Meta",SUMIFS('Meta data'!$I$3:$I$20000,'Meta data'!$A$3:$A$20000,"&gt;="&amp;J$3,'Meta data'!$A$3:$A$20000,"&lt;="&amp;J$4,'Meta data'!$B$3:$B$20000,$A75),IF($B75="Google Ads",SUMIFS('Google data'!$I$3:$I$20000,'Google data'!$A$3:$A$20000,"&gt;="&amp;J$3,'Google data'!$A$3:$A$20000,"&lt;="&amp;J$4,'Google data'!$B$3:$B$20000,$A75),IF($B75="ChatGPT Ads",SUMIFS('ChatGPT data'!$I$3:$I$20000,'ChatGPT data'!$A$3:$A$20000,"&gt;="&amp;J$3,'ChatGPT data'!$A$3:$A$20000,"&lt;="&amp;J$4,'ChatGPT data'!$B$3:$B$20000,$A75),IF($B75="LinkedIn Ads",SUMIFS('LinkedIn data'!$I$3:$I$20000,'LinkedIn data'!$A$3:$A$20000,"&gt;="&amp;J$3,'LinkedIn data'!$A$3:$A$20000,"&lt;="&amp;J$4,'LinkedIn data'!$B$3:$B$20000,$A75),0)))))</f>
        <v/>
      </c>
      <c r="K75" s="14" t="str">
        <f aca="false">IF($A75="","",IF($B75="Meta",SUMIFS('Meta data'!$I$3:$I$20000,'Meta data'!$A$3:$A$20000,"&gt;="&amp;K$3,'Meta data'!$A$3:$A$20000,"&lt;="&amp;K$4,'Meta data'!$B$3:$B$20000,$A75),IF($B75="Google Ads",SUMIFS('Google data'!$I$3:$I$20000,'Google data'!$A$3:$A$20000,"&gt;="&amp;K$3,'Google data'!$A$3:$A$20000,"&lt;="&amp;K$4,'Google data'!$B$3:$B$20000,$A75),IF($B75="ChatGPT Ads",SUMIFS('ChatGPT data'!$I$3:$I$20000,'ChatGPT data'!$A$3:$A$20000,"&gt;="&amp;K$3,'ChatGPT data'!$A$3:$A$20000,"&lt;="&amp;K$4,'ChatGPT data'!$B$3:$B$20000,$A75),IF($B75="LinkedIn Ads",SUMIFS('LinkedIn data'!$I$3:$I$20000,'LinkedIn data'!$A$3:$A$20000,"&gt;="&amp;K$3,'LinkedIn data'!$A$3:$A$20000,"&lt;="&amp;K$4,'LinkedIn data'!$B$3:$B$20000,$A75),0)))))</f>
        <v/>
      </c>
      <c r="L75" s="14" t="str">
        <f aca="false">IF($A75="","",IF($B75="Meta",SUMIFS('Meta data'!$I$3:$I$20000,'Meta data'!$A$3:$A$20000,"&gt;="&amp;L$3,'Meta data'!$A$3:$A$20000,"&lt;="&amp;L$4,'Meta data'!$B$3:$B$20000,$A75),IF($B75="Google Ads",SUMIFS('Google data'!$I$3:$I$20000,'Google data'!$A$3:$A$20000,"&gt;="&amp;L$3,'Google data'!$A$3:$A$20000,"&lt;="&amp;L$4,'Google data'!$B$3:$B$20000,$A75),IF($B75="ChatGPT Ads",SUMIFS('ChatGPT data'!$I$3:$I$20000,'ChatGPT data'!$A$3:$A$20000,"&gt;="&amp;L$3,'ChatGPT data'!$A$3:$A$20000,"&lt;="&amp;L$4,'ChatGPT data'!$B$3:$B$20000,$A75),IF($B75="LinkedIn Ads",SUMIFS('LinkedIn data'!$I$3:$I$20000,'LinkedIn data'!$A$3:$A$20000,"&gt;="&amp;L$3,'LinkedIn data'!$A$3:$A$20000,"&lt;="&amp;L$4,'LinkedIn data'!$B$3:$B$20000,$A75),0)))))</f>
        <v/>
      </c>
      <c r="M75" s="14" t="str">
        <f aca="false">IF($A75="","",IF($B75="Meta",SUMIFS('Meta data'!$I$3:$I$20000,'Meta data'!$A$3:$A$20000,"&gt;="&amp;M$3,'Meta data'!$A$3:$A$20000,"&lt;="&amp;M$4,'Meta data'!$B$3:$B$20000,$A75),IF($B75="Google Ads",SUMIFS('Google data'!$I$3:$I$20000,'Google data'!$A$3:$A$20000,"&gt;="&amp;M$3,'Google data'!$A$3:$A$20000,"&lt;="&amp;M$4,'Google data'!$B$3:$B$20000,$A75),IF($B75="ChatGPT Ads",SUMIFS('ChatGPT data'!$I$3:$I$20000,'ChatGPT data'!$A$3:$A$20000,"&gt;="&amp;M$3,'ChatGPT data'!$A$3:$A$20000,"&lt;="&amp;M$4,'ChatGPT data'!$B$3:$B$20000,$A75),IF($B75="LinkedIn Ads",SUMIFS('LinkedIn data'!$I$3:$I$20000,'LinkedIn data'!$A$3:$A$20000,"&gt;="&amp;M$3,'LinkedIn data'!$A$3:$A$20000,"&lt;="&amp;M$4,'LinkedIn data'!$B$3:$B$20000,$A75),0)))))</f>
        <v/>
      </c>
      <c r="N75" s="14" t="str">
        <f aca="false">IF($A75="","",IF($B75="Meta",SUMIFS('Meta data'!$I$3:$I$20000,'Meta data'!$A$3:$A$20000,"&gt;="&amp;N$3,'Meta data'!$A$3:$A$20000,"&lt;="&amp;N$4,'Meta data'!$B$3:$B$20000,$A75),IF($B75="Google Ads",SUMIFS('Google data'!$I$3:$I$20000,'Google data'!$A$3:$A$20000,"&gt;="&amp;N$3,'Google data'!$A$3:$A$20000,"&lt;="&amp;N$4,'Google data'!$B$3:$B$20000,$A75),IF($B75="ChatGPT Ads",SUMIFS('ChatGPT data'!$I$3:$I$20000,'ChatGPT data'!$A$3:$A$20000,"&gt;="&amp;N$3,'ChatGPT data'!$A$3:$A$20000,"&lt;="&amp;N$4,'ChatGPT data'!$B$3:$B$20000,$A75),IF($B75="LinkedIn Ads",SUMIFS('LinkedIn data'!$I$3:$I$20000,'LinkedIn data'!$A$3:$A$20000,"&gt;="&amp;N$3,'LinkedIn data'!$A$3:$A$20000,"&lt;="&amp;N$4,'LinkedIn data'!$B$3:$B$20000,$A75),0)))))</f>
        <v/>
      </c>
      <c r="O75" s="14" t="str">
        <f aca="false">IF($A75="","",IF($B75="Meta",SUMIFS('Meta data'!$I$3:$I$20000,'Meta data'!$A$3:$A$20000,"&gt;="&amp;O$3,'Meta data'!$A$3:$A$20000,"&lt;="&amp;O$4,'Meta data'!$B$3:$B$20000,$A75),IF($B75="Google Ads",SUMIFS('Google data'!$I$3:$I$20000,'Google data'!$A$3:$A$20000,"&gt;="&amp;O$3,'Google data'!$A$3:$A$20000,"&lt;="&amp;O$4,'Google data'!$B$3:$B$20000,$A75),IF($B75="ChatGPT Ads",SUMIFS('ChatGPT data'!$I$3:$I$20000,'ChatGPT data'!$A$3:$A$20000,"&gt;="&amp;O$3,'ChatGPT data'!$A$3:$A$20000,"&lt;="&amp;O$4,'ChatGPT data'!$B$3:$B$20000,$A75),IF($B75="LinkedIn Ads",SUMIFS('LinkedIn data'!$I$3:$I$20000,'LinkedIn data'!$A$3:$A$20000,"&gt;="&amp;O$3,'LinkedIn data'!$A$3:$A$20000,"&lt;="&amp;O$4,'LinkedIn data'!$B$3:$B$20000,$A75),0)))))</f>
        <v/>
      </c>
      <c r="P75" s="14" t="str">
        <f aca="false">IF($A75="","",IF($B75="Meta",SUMIFS('Meta data'!$I$3:$I$20000,'Meta data'!$A$3:$A$20000,"&gt;="&amp;P$3,'Meta data'!$A$3:$A$20000,"&lt;="&amp;P$4,'Meta data'!$B$3:$B$20000,$A75),IF($B75="Google Ads",SUMIFS('Google data'!$I$3:$I$20000,'Google data'!$A$3:$A$20000,"&gt;="&amp;P$3,'Google data'!$A$3:$A$20000,"&lt;="&amp;P$4,'Google data'!$B$3:$B$20000,$A75),IF($B75="ChatGPT Ads",SUMIFS('ChatGPT data'!$I$3:$I$20000,'ChatGPT data'!$A$3:$A$20000,"&gt;="&amp;P$3,'ChatGPT data'!$A$3:$A$20000,"&lt;="&amp;P$4,'ChatGPT data'!$B$3:$B$20000,$A75),IF($B75="LinkedIn Ads",SUMIFS('LinkedIn data'!$I$3:$I$20000,'LinkedIn data'!$A$3:$A$20000,"&gt;="&amp;P$3,'LinkedIn data'!$A$3:$A$20000,"&lt;="&amp;P$4,'LinkedIn data'!$B$3:$B$20000,$A75),0)))))</f>
        <v/>
      </c>
      <c r="Q75" s="14" t="str">
        <f aca="false">IF($A75="","",IF($B75="Meta",SUMIFS('Meta data'!$I$3:$I$20000,'Meta data'!$A$3:$A$20000,"&gt;="&amp;Q$3,'Meta data'!$A$3:$A$20000,"&lt;="&amp;Q$4,'Meta data'!$B$3:$B$20000,$A75),IF($B75="Google Ads",SUMIFS('Google data'!$I$3:$I$20000,'Google data'!$A$3:$A$20000,"&gt;="&amp;Q$3,'Google data'!$A$3:$A$20000,"&lt;="&amp;Q$4,'Google data'!$B$3:$B$20000,$A75),IF($B75="ChatGPT Ads",SUMIFS('ChatGPT data'!$I$3:$I$20000,'ChatGPT data'!$A$3:$A$20000,"&gt;="&amp;Q$3,'ChatGPT data'!$A$3:$A$20000,"&lt;="&amp;Q$4,'ChatGPT data'!$B$3:$B$20000,$A75),IF($B75="LinkedIn Ads",SUMIFS('LinkedIn data'!$I$3:$I$20000,'LinkedIn data'!$A$3:$A$20000,"&gt;="&amp;Q$3,'LinkedIn data'!$A$3:$A$20000,"&lt;="&amp;Q$4,'LinkedIn data'!$B$3:$B$20000,$A75),0)))))</f>
        <v/>
      </c>
      <c r="R75" s="15" t="str">
        <f aca="false">IF($A75="","",SUM(F75:Q75))</f>
        <v/>
      </c>
      <c r="S75" s="37" t="str">
        <f aca="false">IF($A75="","",IF($B75="Meta",SUMIFS('Meta data'!$E$3:$E$20000,'Meta data'!$B$3:$B$20000,$A75),IF($B75="Google Ads",SUMIFS('Google data'!$E$3:$E$20000,'Google data'!$B$3:$B$20000,$A75),IF($B75="ChatGPT Ads",SUMIFS('ChatGPT data'!$E$3:$E$20000,'ChatGPT data'!$B$3:$B$20000,$A75),IF($B75="LinkedIn Ads",SUMIFS('LinkedIn data'!$E$3:$E$20000,'LinkedIn data'!$B$3:$B$20000,$A75),0)))))</f>
        <v/>
      </c>
      <c r="T75" s="37" t="str">
        <f aca="false">IF($A75="","",IF($B75="Meta",SUMIFS('Meta data'!$F$3:$F$20000,'Meta data'!$B$3:$B$20000,$A75),IF($B75="Google Ads",SUMIFS('Google data'!$F$3:$F$20000,'Google data'!$B$3:$B$20000,$A75),IF($B75="ChatGPT Ads",SUMIFS('ChatGPT data'!$F$3:$F$20000,'ChatGPT data'!$B$3:$B$20000,$A75),IF($B75="LinkedIn Ads",SUMIFS('LinkedIn data'!$F$3:$F$20000,'LinkedIn data'!$B$3:$B$20000,$A75),0)))))</f>
        <v/>
      </c>
      <c r="U75" s="38" t="str">
        <f aca="false">IF(OR($A75="",T75=0),"",R75/T75)</f>
        <v/>
      </c>
    </row>
    <row r="76" customFormat="false" ht="15" hidden="false" customHeight="false" outlineLevel="0" collapsed="false">
      <c r="A76" s="59"/>
      <c r="B76" s="59"/>
      <c r="C76" s="59"/>
      <c r="D76" s="59"/>
      <c r="E76" s="59"/>
      <c r="F76" s="14" t="str">
        <f aca="false">IF($A76="","",IF($B76="Meta",SUMIFS('Meta data'!$I$3:$I$20000,'Meta data'!$A$3:$A$20000,"&gt;="&amp;F$3,'Meta data'!$A$3:$A$20000,"&lt;="&amp;F$4,'Meta data'!$B$3:$B$20000,$A76),IF($B76="Google Ads",SUMIFS('Google data'!$I$3:$I$20000,'Google data'!$A$3:$A$20000,"&gt;="&amp;F$3,'Google data'!$A$3:$A$20000,"&lt;="&amp;F$4,'Google data'!$B$3:$B$20000,$A76),IF($B76="ChatGPT Ads",SUMIFS('ChatGPT data'!$I$3:$I$20000,'ChatGPT data'!$A$3:$A$20000,"&gt;="&amp;F$3,'ChatGPT data'!$A$3:$A$20000,"&lt;="&amp;F$4,'ChatGPT data'!$B$3:$B$20000,$A76),IF($B76="LinkedIn Ads",SUMIFS('LinkedIn data'!$I$3:$I$20000,'LinkedIn data'!$A$3:$A$20000,"&gt;="&amp;F$3,'LinkedIn data'!$A$3:$A$20000,"&lt;="&amp;F$4,'LinkedIn data'!$B$3:$B$20000,$A76),0)))))</f>
        <v/>
      </c>
      <c r="G76" s="14" t="str">
        <f aca="false">IF($A76="","",IF($B76="Meta",SUMIFS('Meta data'!$I$3:$I$20000,'Meta data'!$A$3:$A$20000,"&gt;="&amp;G$3,'Meta data'!$A$3:$A$20000,"&lt;="&amp;G$4,'Meta data'!$B$3:$B$20000,$A76),IF($B76="Google Ads",SUMIFS('Google data'!$I$3:$I$20000,'Google data'!$A$3:$A$20000,"&gt;="&amp;G$3,'Google data'!$A$3:$A$20000,"&lt;="&amp;G$4,'Google data'!$B$3:$B$20000,$A76),IF($B76="ChatGPT Ads",SUMIFS('ChatGPT data'!$I$3:$I$20000,'ChatGPT data'!$A$3:$A$20000,"&gt;="&amp;G$3,'ChatGPT data'!$A$3:$A$20000,"&lt;="&amp;G$4,'ChatGPT data'!$B$3:$B$20000,$A76),IF($B76="LinkedIn Ads",SUMIFS('LinkedIn data'!$I$3:$I$20000,'LinkedIn data'!$A$3:$A$20000,"&gt;="&amp;G$3,'LinkedIn data'!$A$3:$A$20000,"&lt;="&amp;G$4,'LinkedIn data'!$B$3:$B$20000,$A76),0)))))</f>
        <v/>
      </c>
      <c r="H76" s="14" t="str">
        <f aca="false">IF($A76="","",IF($B76="Meta",SUMIFS('Meta data'!$I$3:$I$20000,'Meta data'!$A$3:$A$20000,"&gt;="&amp;H$3,'Meta data'!$A$3:$A$20000,"&lt;="&amp;H$4,'Meta data'!$B$3:$B$20000,$A76),IF($B76="Google Ads",SUMIFS('Google data'!$I$3:$I$20000,'Google data'!$A$3:$A$20000,"&gt;="&amp;H$3,'Google data'!$A$3:$A$20000,"&lt;="&amp;H$4,'Google data'!$B$3:$B$20000,$A76),IF($B76="ChatGPT Ads",SUMIFS('ChatGPT data'!$I$3:$I$20000,'ChatGPT data'!$A$3:$A$20000,"&gt;="&amp;H$3,'ChatGPT data'!$A$3:$A$20000,"&lt;="&amp;H$4,'ChatGPT data'!$B$3:$B$20000,$A76),IF($B76="LinkedIn Ads",SUMIFS('LinkedIn data'!$I$3:$I$20000,'LinkedIn data'!$A$3:$A$20000,"&gt;="&amp;H$3,'LinkedIn data'!$A$3:$A$20000,"&lt;="&amp;H$4,'LinkedIn data'!$B$3:$B$20000,$A76),0)))))</f>
        <v/>
      </c>
      <c r="I76" s="14" t="str">
        <f aca="false">IF($A76="","",IF($B76="Meta",SUMIFS('Meta data'!$I$3:$I$20000,'Meta data'!$A$3:$A$20000,"&gt;="&amp;I$3,'Meta data'!$A$3:$A$20000,"&lt;="&amp;I$4,'Meta data'!$B$3:$B$20000,$A76),IF($B76="Google Ads",SUMIFS('Google data'!$I$3:$I$20000,'Google data'!$A$3:$A$20000,"&gt;="&amp;I$3,'Google data'!$A$3:$A$20000,"&lt;="&amp;I$4,'Google data'!$B$3:$B$20000,$A76),IF($B76="ChatGPT Ads",SUMIFS('ChatGPT data'!$I$3:$I$20000,'ChatGPT data'!$A$3:$A$20000,"&gt;="&amp;I$3,'ChatGPT data'!$A$3:$A$20000,"&lt;="&amp;I$4,'ChatGPT data'!$B$3:$B$20000,$A76),IF($B76="LinkedIn Ads",SUMIFS('LinkedIn data'!$I$3:$I$20000,'LinkedIn data'!$A$3:$A$20000,"&gt;="&amp;I$3,'LinkedIn data'!$A$3:$A$20000,"&lt;="&amp;I$4,'LinkedIn data'!$B$3:$B$20000,$A76),0)))))</f>
        <v/>
      </c>
      <c r="J76" s="14" t="str">
        <f aca="false">IF($A76="","",IF($B76="Meta",SUMIFS('Meta data'!$I$3:$I$20000,'Meta data'!$A$3:$A$20000,"&gt;="&amp;J$3,'Meta data'!$A$3:$A$20000,"&lt;="&amp;J$4,'Meta data'!$B$3:$B$20000,$A76),IF($B76="Google Ads",SUMIFS('Google data'!$I$3:$I$20000,'Google data'!$A$3:$A$20000,"&gt;="&amp;J$3,'Google data'!$A$3:$A$20000,"&lt;="&amp;J$4,'Google data'!$B$3:$B$20000,$A76),IF($B76="ChatGPT Ads",SUMIFS('ChatGPT data'!$I$3:$I$20000,'ChatGPT data'!$A$3:$A$20000,"&gt;="&amp;J$3,'ChatGPT data'!$A$3:$A$20000,"&lt;="&amp;J$4,'ChatGPT data'!$B$3:$B$20000,$A76),IF($B76="LinkedIn Ads",SUMIFS('LinkedIn data'!$I$3:$I$20000,'LinkedIn data'!$A$3:$A$20000,"&gt;="&amp;J$3,'LinkedIn data'!$A$3:$A$20000,"&lt;="&amp;J$4,'LinkedIn data'!$B$3:$B$20000,$A76),0)))))</f>
        <v/>
      </c>
      <c r="K76" s="14" t="str">
        <f aca="false">IF($A76="","",IF($B76="Meta",SUMIFS('Meta data'!$I$3:$I$20000,'Meta data'!$A$3:$A$20000,"&gt;="&amp;K$3,'Meta data'!$A$3:$A$20000,"&lt;="&amp;K$4,'Meta data'!$B$3:$B$20000,$A76),IF($B76="Google Ads",SUMIFS('Google data'!$I$3:$I$20000,'Google data'!$A$3:$A$20000,"&gt;="&amp;K$3,'Google data'!$A$3:$A$20000,"&lt;="&amp;K$4,'Google data'!$B$3:$B$20000,$A76),IF($B76="ChatGPT Ads",SUMIFS('ChatGPT data'!$I$3:$I$20000,'ChatGPT data'!$A$3:$A$20000,"&gt;="&amp;K$3,'ChatGPT data'!$A$3:$A$20000,"&lt;="&amp;K$4,'ChatGPT data'!$B$3:$B$20000,$A76),IF($B76="LinkedIn Ads",SUMIFS('LinkedIn data'!$I$3:$I$20000,'LinkedIn data'!$A$3:$A$20000,"&gt;="&amp;K$3,'LinkedIn data'!$A$3:$A$20000,"&lt;="&amp;K$4,'LinkedIn data'!$B$3:$B$20000,$A76),0)))))</f>
        <v/>
      </c>
      <c r="L76" s="14" t="str">
        <f aca="false">IF($A76="","",IF($B76="Meta",SUMIFS('Meta data'!$I$3:$I$20000,'Meta data'!$A$3:$A$20000,"&gt;="&amp;L$3,'Meta data'!$A$3:$A$20000,"&lt;="&amp;L$4,'Meta data'!$B$3:$B$20000,$A76),IF($B76="Google Ads",SUMIFS('Google data'!$I$3:$I$20000,'Google data'!$A$3:$A$20000,"&gt;="&amp;L$3,'Google data'!$A$3:$A$20000,"&lt;="&amp;L$4,'Google data'!$B$3:$B$20000,$A76),IF($B76="ChatGPT Ads",SUMIFS('ChatGPT data'!$I$3:$I$20000,'ChatGPT data'!$A$3:$A$20000,"&gt;="&amp;L$3,'ChatGPT data'!$A$3:$A$20000,"&lt;="&amp;L$4,'ChatGPT data'!$B$3:$B$20000,$A76),IF($B76="LinkedIn Ads",SUMIFS('LinkedIn data'!$I$3:$I$20000,'LinkedIn data'!$A$3:$A$20000,"&gt;="&amp;L$3,'LinkedIn data'!$A$3:$A$20000,"&lt;="&amp;L$4,'LinkedIn data'!$B$3:$B$20000,$A76),0)))))</f>
        <v/>
      </c>
      <c r="M76" s="14" t="str">
        <f aca="false">IF($A76="","",IF($B76="Meta",SUMIFS('Meta data'!$I$3:$I$20000,'Meta data'!$A$3:$A$20000,"&gt;="&amp;M$3,'Meta data'!$A$3:$A$20000,"&lt;="&amp;M$4,'Meta data'!$B$3:$B$20000,$A76),IF($B76="Google Ads",SUMIFS('Google data'!$I$3:$I$20000,'Google data'!$A$3:$A$20000,"&gt;="&amp;M$3,'Google data'!$A$3:$A$20000,"&lt;="&amp;M$4,'Google data'!$B$3:$B$20000,$A76),IF($B76="ChatGPT Ads",SUMIFS('ChatGPT data'!$I$3:$I$20000,'ChatGPT data'!$A$3:$A$20000,"&gt;="&amp;M$3,'ChatGPT data'!$A$3:$A$20000,"&lt;="&amp;M$4,'ChatGPT data'!$B$3:$B$20000,$A76),IF($B76="LinkedIn Ads",SUMIFS('LinkedIn data'!$I$3:$I$20000,'LinkedIn data'!$A$3:$A$20000,"&gt;="&amp;M$3,'LinkedIn data'!$A$3:$A$20000,"&lt;="&amp;M$4,'LinkedIn data'!$B$3:$B$20000,$A76),0)))))</f>
        <v/>
      </c>
      <c r="N76" s="14" t="str">
        <f aca="false">IF($A76="","",IF($B76="Meta",SUMIFS('Meta data'!$I$3:$I$20000,'Meta data'!$A$3:$A$20000,"&gt;="&amp;N$3,'Meta data'!$A$3:$A$20000,"&lt;="&amp;N$4,'Meta data'!$B$3:$B$20000,$A76),IF($B76="Google Ads",SUMIFS('Google data'!$I$3:$I$20000,'Google data'!$A$3:$A$20000,"&gt;="&amp;N$3,'Google data'!$A$3:$A$20000,"&lt;="&amp;N$4,'Google data'!$B$3:$B$20000,$A76),IF($B76="ChatGPT Ads",SUMIFS('ChatGPT data'!$I$3:$I$20000,'ChatGPT data'!$A$3:$A$20000,"&gt;="&amp;N$3,'ChatGPT data'!$A$3:$A$20000,"&lt;="&amp;N$4,'ChatGPT data'!$B$3:$B$20000,$A76),IF($B76="LinkedIn Ads",SUMIFS('LinkedIn data'!$I$3:$I$20000,'LinkedIn data'!$A$3:$A$20000,"&gt;="&amp;N$3,'LinkedIn data'!$A$3:$A$20000,"&lt;="&amp;N$4,'LinkedIn data'!$B$3:$B$20000,$A76),0)))))</f>
        <v/>
      </c>
      <c r="O76" s="14" t="str">
        <f aca="false">IF($A76="","",IF($B76="Meta",SUMIFS('Meta data'!$I$3:$I$20000,'Meta data'!$A$3:$A$20000,"&gt;="&amp;O$3,'Meta data'!$A$3:$A$20000,"&lt;="&amp;O$4,'Meta data'!$B$3:$B$20000,$A76),IF($B76="Google Ads",SUMIFS('Google data'!$I$3:$I$20000,'Google data'!$A$3:$A$20000,"&gt;="&amp;O$3,'Google data'!$A$3:$A$20000,"&lt;="&amp;O$4,'Google data'!$B$3:$B$20000,$A76),IF($B76="ChatGPT Ads",SUMIFS('ChatGPT data'!$I$3:$I$20000,'ChatGPT data'!$A$3:$A$20000,"&gt;="&amp;O$3,'ChatGPT data'!$A$3:$A$20000,"&lt;="&amp;O$4,'ChatGPT data'!$B$3:$B$20000,$A76),IF($B76="LinkedIn Ads",SUMIFS('LinkedIn data'!$I$3:$I$20000,'LinkedIn data'!$A$3:$A$20000,"&gt;="&amp;O$3,'LinkedIn data'!$A$3:$A$20000,"&lt;="&amp;O$4,'LinkedIn data'!$B$3:$B$20000,$A76),0)))))</f>
        <v/>
      </c>
      <c r="P76" s="14" t="str">
        <f aca="false">IF($A76="","",IF($B76="Meta",SUMIFS('Meta data'!$I$3:$I$20000,'Meta data'!$A$3:$A$20000,"&gt;="&amp;P$3,'Meta data'!$A$3:$A$20000,"&lt;="&amp;P$4,'Meta data'!$B$3:$B$20000,$A76),IF($B76="Google Ads",SUMIFS('Google data'!$I$3:$I$20000,'Google data'!$A$3:$A$20000,"&gt;="&amp;P$3,'Google data'!$A$3:$A$20000,"&lt;="&amp;P$4,'Google data'!$B$3:$B$20000,$A76),IF($B76="ChatGPT Ads",SUMIFS('ChatGPT data'!$I$3:$I$20000,'ChatGPT data'!$A$3:$A$20000,"&gt;="&amp;P$3,'ChatGPT data'!$A$3:$A$20000,"&lt;="&amp;P$4,'ChatGPT data'!$B$3:$B$20000,$A76),IF($B76="LinkedIn Ads",SUMIFS('LinkedIn data'!$I$3:$I$20000,'LinkedIn data'!$A$3:$A$20000,"&gt;="&amp;P$3,'LinkedIn data'!$A$3:$A$20000,"&lt;="&amp;P$4,'LinkedIn data'!$B$3:$B$20000,$A76),0)))))</f>
        <v/>
      </c>
      <c r="Q76" s="14" t="str">
        <f aca="false">IF($A76="","",IF($B76="Meta",SUMIFS('Meta data'!$I$3:$I$20000,'Meta data'!$A$3:$A$20000,"&gt;="&amp;Q$3,'Meta data'!$A$3:$A$20000,"&lt;="&amp;Q$4,'Meta data'!$B$3:$B$20000,$A76),IF($B76="Google Ads",SUMIFS('Google data'!$I$3:$I$20000,'Google data'!$A$3:$A$20000,"&gt;="&amp;Q$3,'Google data'!$A$3:$A$20000,"&lt;="&amp;Q$4,'Google data'!$B$3:$B$20000,$A76),IF($B76="ChatGPT Ads",SUMIFS('ChatGPT data'!$I$3:$I$20000,'ChatGPT data'!$A$3:$A$20000,"&gt;="&amp;Q$3,'ChatGPT data'!$A$3:$A$20000,"&lt;="&amp;Q$4,'ChatGPT data'!$B$3:$B$20000,$A76),IF($B76="LinkedIn Ads",SUMIFS('LinkedIn data'!$I$3:$I$20000,'LinkedIn data'!$A$3:$A$20000,"&gt;="&amp;Q$3,'LinkedIn data'!$A$3:$A$20000,"&lt;="&amp;Q$4,'LinkedIn data'!$B$3:$B$20000,$A76),0)))))</f>
        <v/>
      </c>
      <c r="R76" s="15" t="str">
        <f aca="false">IF($A76="","",SUM(F76:Q76))</f>
        <v/>
      </c>
      <c r="S76" s="37" t="str">
        <f aca="false">IF($A76="","",IF($B76="Meta",SUMIFS('Meta data'!$E$3:$E$20000,'Meta data'!$B$3:$B$20000,$A76),IF($B76="Google Ads",SUMIFS('Google data'!$E$3:$E$20000,'Google data'!$B$3:$B$20000,$A76),IF($B76="ChatGPT Ads",SUMIFS('ChatGPT data'!$E$3:$E$20000,'ChatGPT data'!$B$3:$B$20000,$A76),IF($B76="LinkedIn Ads",SUMIFS('LinkedIn data'!$E$3:$E$20000,'LinkedIn data'!$B$3:$B$20000,$A76),0)))))</f>
        <v/>
      </c>
      <c r="T76" s="37" t="str">
        <f aca="false">IF($A76="","",IF($B76="Meta",SUMIFS('Meta data'!$F$3:$F$20000,'Meta data'!$B$3:$B$20000,$A76),IF($B76="Google Ads",SUMIFS('Google data'!$F$3:$F$20000,'Google data'!$B$3:$B$20000,$A76),IF($B76="ChatGPT Ads",SUMIFS('ChatGPT data'!$F$3:$F$20000,'ChatGPT data'!$B$3:$B$20000,$A76),IF($B76="LinkedIn Ads",SUMIFS('LinkedIn data'!$F$3:$F$20000,'LinkedIn data'!$B$3:$B$20000,$A76),0)))))</f>
        <v/>
      </c>
      <c r="U76" s="38" t="str">
        <f aca="false">IF(OR($A76="",T76=0),"",R76/T76)</f>
        <v/>
      </c>
    </row>
    <row r="77" customFormat="false" ht="15" hidden="false" customHeight="false" outlineLevel="0" collapsed="false">
      <c r="A77" s="59"/>
      <c r="B77" s="59"/>
      <c r="C77" s="59"/>
      <c r="D77" s="59"/>
      <c r="E77" s="59"/>
      <c r="F77" s="14" t="str">
        <f aca="false">IF($A77="","",IF($B77="Meta",SUMIFS('Meta data'!$I$3:$I$20000,'Meta data'!$A$3:$A$20000,"&gt;="&amp;F$3,'Meta data'!$A$3:$A$20000,"&lt;="&amp;F$4,'Meta data'!$B$3:$B$20000,$A77),IF($B77="Google Ads",SUMIFS('Google data'!$I$3:$I$20000,'Google data'!$A$3:$A$20000,"&gt;="&amp;F$3,'Google data'!$A$3:$A$20000,"&lt;="&amp;F$4,'Google data'!$B$3:$B$20000,$A77),IF($B77="ChatGPT Ads",SUMIFS('ChatGPT data'!$I$3:$I$20000,'ChatGPT data'!$A$3:$A$20000,"&gt;="&amp;F$3,'ChatGPT data'!$A$3:$A$20000,"&lt;="&amp;F$4,'ChatGPT data'!$B$3:$B$20000,$A77),IF($B77="LinkedIn Ads",SUMIFS('LinkedIn data'!$I$3:$I$20000,'LinkedIn data'!$A$3:$A$20000,"&gt;="&amp;F$3,'LinkedIn data'!$A$3:$A$20000,"&lt;="&amp;F$4,'LinkedIn data'!$B$3:$B$20000,$A77),0)))))</f>
        <v/>
      </c>
      <c r="G77" s="14" t="str">
        <f aca="false">IF($A77="","",IF($B77="Meta",SUMIFS('Meta data'!$I$3:$I$20000,'Meta data'!$A$3:$A$20000,"&gt;="&amp;G$3,'Meta data'!$A$3:$A$20000,"&lt;="&amp;G$4,'Meta data'!$B$3:$B$20000,$A77),IF($B77="Google Ads",SUMIFS('Google data'!$I$3:$I$20000,'Google data'!$A$3:$A$20000,"&gt;="&amp;G$3,'Google data'!$A$3:$A$20000,"&lt;="&amp;G$4,'Google data'!$B$3:$B$20000,$A77),IF($B77="ChatGPT Ads",SUMIFS('ChatGPT data'!$I$3:$I$20000,'ChatGPT data'!$A$3:$A$20000,"&gt;="&amp;G$3,'ChatGPT data'!$A$3:$A$20000,"&lt;="&amp;G$4,'ChatGPT data'!$B$3:$B$20000,$A77),IF($B77="LinkedIn Ads",SUMIFS('LinkedIn data'!$I$3:$I$20000,'LinkedIn data'!$A$3:$A$20000,"&gt;="&amp;G$3,'LinkedIn data'!$A$3:$A$20000,"&lt;="&amp;G$4,'LinkedIn data'!$B$3:$B$20000,$A77),0)))))</f>
        <v/>
      </c>
      <c r="H77" s="14" t="str">
        <f aca="false">IF($A77="","",IF($B77="Meta",SUMIFS('Meta data'!$I$3:$I$20000,'Meta data'!$A$3:$A$20000,"&gt;="&amp;H$3,'Meta data'!$A$3:$A$20000,"&lt;="&amp;H$4,'Meta data'!$B$3:$B$20000,$A77),IF($B77="Google Ads",SUMIFS('Google data'!$I$3:$I$20000,'Google data'!$A$3:$A$20000,"&gt;="&amp;H$3,'Google data'!$A$3:$A$20000,"&lt;="&amp;H$4,'Google data'!$B$3:$B$20000,$A77),IF($B77="ChatGPT Ads",SUMIFS('ChatGPT data'!$I$3:$I$20000,'ChatGPT data'!$A$3:$A$20000,"&gt;="&amp;H$3,'ChatGPT data'!$A$3:$A$20000,"&lt;="&amp;H$4,'ChatGPT data'!$B$3:$B$20000,$A77),IF($B77="LinkedIn Ads",SUMIFS('LinkedIn data'!$I$3:$I$20000,'LinkedIn data'!$A$3:$A$20000,"&gt;="&amp;H$3,'LinkedIn data'!$A$3:$A$20000,"&lt;="&amp;H$4,'LinkedIn data'!$B$3:$B$20000,$A77),0)))))</f>
        <v/>
      </c>
      <c r="I77" s="14" t="str">
        <f aca="false">IF($A77="","",IF($B77="Meta",SUMIFS('Meta data'!$I$3:$I$20000,'Meta data'!$A$3:$A$20000,"&gt;="&amp;I$3,'Meta data'!$A$3:$A$20000,"&lt;="&amp;I$4,'Meta data'!$B$3:$B$20000,$A77),IF($B77="Google Ads",SUMIFS('Google data'!$I$3:$I$20000,'Google data'!$A$3:$A$20000,"&gt;="&amp;I$3,'Google data'!$A$3:$A$20000,"&lt;="&amp;I$4,'Google data'!$B$3:$B$20000,$A77),IF($B77="ChatGPT Ads",SUMIFS('ChatGPT data'!$I$3:$I$20000,'ChatGPT data'!$A$3:$A$20000,"&gt;="&amp;I$3,'ChatGPT data'!$A$3:$A$20000,"&lt;="&amp;I$4,'ChatGPT data'!$B$3:$B$20000,$A77),IF($B77="LinkedIn Ads",SUMIFS('LinkedIn data'!$I$3:$I$20000,'LinkedIn data'!$A$3:$A$20000,"&gt;="&amp;I$3,'LinkedIn data'!$A$3:$A$20000,"&lt;="&amp;I$4,'LinkedIn data'!$B$3:$B$20000,$A77),0)))))</f>
        <v/>
      </c>
      <c r="J77" s="14" t="str">
        <f aca="false">IF($A77="","",IF($B77="Meta",SUMIFS('Meta data'!$I$3:$I$20000,'Meta data'!$A$3:$A$20000,"&gt;="&amp;J$3,'Meta data'!$A$3:$A$20000,"&lt;="&amp;J$4,'Meta data'!$B$3:$B$20000,$A77),IF($B77="Google Ads",SUMIFS('Google data'!$I$3:$I$20000,'Google data'!$A$3:$A$20000,"&gt;="&amp;J$3,'Google data'!$A$3:$A$20000,"&lt;="&amp;J$4,'Google data'!$B$3:$B$20000,$A77),IF($B77="ChatGPT Ads",SUMIFS('ChatGPT data'!$I$3:$I$20000,'ChatGPT data'!$A$3:$A$20000,"&gt;="&amp;J$3,'ChatGPT data'!$A$3:$A$20000,"&lt;="&amp;J$4,'ChatGPT data'!$B$3:$B$20000,$A77),IF($B77="LinkedIn Ads",SUMIFS('LinkedIn data'!$I$3:$I$20000,'LinkedIn data'!$A$3:$A$20000,"&gt;="&amp;J$3,'LinkedIn data'!$A$3:$A$20000,"&lt;="&amp;J$4,'LinkedIn data'!$B$3:$B$20000,$A77),0)))))</f>
        <v/>
      </c>
      <c r="K77" s="14" t="str">
        <f aca="false">IF($A77="","",IF($B77="Meta",SUMIFS('Meta data'!$I$3:$I$20000,'Meta data'!$A$3:$A$20000,"&gt;="&amp;K$3,'Meta data'!$A$3:$A$20000,"&lt;="&amp;K$4,'Meta data'!$B$3:$B$20000,$A77),IF($B77="Google Ads",SUMIFS('Google data'!$I$3:$I$20000,'Google data'!$A$3:$A$20000,"&gt;="&amp;K$3,'Google data'!$A$3:$A$20000,"&lt;="&amp;K$4,'Google data'!$B$3:$B$20000,$A77),IF($B77="ChatGPT Ads",SUMIFS('ChatGPT data'!$I$3:$I$20000,'ChatGPT data'!$A$3:$A$20000,"&gt;="&amp;K$3,'ChatGPT data'!$A$3:$A$20000,"&lt;="&amp;K$4,'ChatGPT data'!$B$3:$B$20000,$A77),IF($B77="LinkedIn Ads",SUMIFS('LinkedIn data'!$I$3:$I$20000,'LinkedIn data'!$A$3:$A$20000,"&gt;="&amp;K$3,'LinkedIn data'!$A$3:$A$20000,"&lt;="&amp;K$4,'LinkedIn data'!$B$3:$B$20000,$A77),0)))))</f>
        <v/>
      </c>
      <c r="L77" s="14" t="str">
        <f aca="false">IF($A77="","",IF($B77="Meta",SUMIFS('Meta data'!$I$3:$I$20000,'Meta data'!$A$3:$A$20000,"&gt;="&amp;L$3,'Meta data'!$A$3:$A$20000,"&lt;="&amp;L$4,'Meta data'!$B$3:$B$20000,$A77),IF($B77="Google Ads",SUMIFS('Google data'!$I$3:$I$20000,'Google data'!$A$3:$A$20000,"&gt;="&amp;L$3,'Google data'!$A$3:$A$20000,"&lt;="&amp;L$4,'Google data'!$B$3:$B$20000,$A77),IF($B77="ChatGPT Ads",SUMIFS('ChatGPT data'!$I$3:$I$20000,'ChatGPT data'!$A$3:$A$20000,"&gt;="&amp;L$3,'ChatGPT data'!$A$3:$A$20000,"&lt;="&amp;L$4,'ChatGPT data'!$B$3:$B$20000,$A77),IF($B77="LinkedIn Ads",SUMIFS('LinkedIn data'!$I$3:$I$20000,'LinkedIn data'!$A$3:$A$20000,"&gt;="&amp;L$3,'LinkedIn data'!$A$3:$A$20000,"&lt;="&amp;L$4,'LinkedIn data'!$B$3:$B$20000,$A77),0)))))</f>
        <v/>
      </c>
      <c r="M77" s="14" t="str">
        <f aca="false">IF($A77="","",IF($B77="Meta",SUMIFS('Meta data'!$I$3:$I$20000,'Meta data'!$A$3:$A$20000,"&gt;="&amp;M$3,'Meta data'!$A$3:$A$20000,"&lt;="&amp;M$4,'Meta data'!$B$3:$B$20000,$A77),IF($B77="Google Ads",SUMIFS('Google data'!$I$3:$I$20000,'Google data'!$A$3:$A$20000,"&gt;="&amp;M$3,'Google data'!$A$3:$A$20000,"&lt;="&amp;M$4,'Google data'!$B$3:$B$20000,$A77),IF($B77="ChatGPT Ads",SUMIFS('ChatGPT data'!$I$3:$I$20000,'ChatGPT data'!$A$3:$A$20000,"&gt;="&amp;M$3,'ChatGPT data'!$A$3:$A$20000,"&lt;="&amp;M$4,'ChatGPT data'!$B$3:$B$20000,$A77),IF($B77="LinkedIn Ads",SUMIFS('LinkedIn data'!$I$3:$I$20000,'LinkedIn data'!$A$3:$A$20000,"&gt;="&amp;M$3,'LinkedIn data'!$A$3:$A$20000,"&lt;="&amp;M$4,'LinkedIn data'!$B$3:$B$20000,$A77),0)))))</f>
        <v/>
      </c>
      <c r="N77" s="14" t="str">
        <f aca="false">IF($A77="","",IF($B77="Meta",SUMIFS('Meta data'!$I$3:$I$20000,'Meta data'!$A$3:$A$20000,"&gt;="&amp;N$3,'Meta data'!$A$3:$A$20000,"&lt;="&amp;N$4,'Meta data'!$B$3:$B$20000,$A77),IF($B77="Google Ads",SUMIFS('Google data'!$I$3:$I$20000,'Google data'!$A$3:$A$20000,"&gt;="&amp;N$3,'Google data'!$A$3:$A$20000,"&lt;="&amp;N$4,'Google data'!$B$3:$B$20000,$A77),IF($B77="ChatGPT Ads",SUMIFS('ChatGPT data'!$I$3:$I$20000,'ChatGPT data'!$A$3:$A$20000,"&gt;="&amp;N$3,'ChatGPT data'!$A$3:$A$20000,"&lt;="&amp;N$4,'ChatGPT data'!$B$3:$B$20000,$A77),IF($B77="LinkedIn Ads",SUMIFS('LinkedIn data'!$I$3:$I$20000,'LinkedIn data'!$A$3:$A$20000,"&gt;="&amp;N$3,'LinkedIn data'!$A$3:$A$20000,"&lt;="&amp;N$4,'LinkedIn data'!$B$3:$B$20000,$A77),0)))))</f>
        <v/>
      </c>
      <c r="O77" s="14" t="str">
        <f aca="false">IF($A77="","",IF($B77="Meta",SUMIFS('Meta data'!$I$3:$I$20000,'Meta data'!$A$3:$A$20000,"&gt;="&amp;O$3,'Meta data'!$A$3:$A$20000,"&lt;="&amp;O$4,'Meta data'!$B$3:$B$20000,$A77),IF($B77="Google Ads",SUMIFS('Google data'!$I$3:$I$20000,'Google data'!$A$3:$A$20000,"&gt;="&amp;O$3,'Google data'!$A$3:$A$20000,"&lt;="&amp;O$4,'Google data'!$B$3:$B$20000,$A77),IF($B77="ChatGPT Ads",SUMIFS('ChatGPT data'!$I$3:$I$20000,'ChatGPT data'!$A$3:$A$20000,"&gt;="&amp;O$3,'ChatGPT data'!$A$3:$A$20000,"&lt;="&amp;O$4,'ChatGPT data'!$B$3:$B$20000,$A77),IF($B77="LinkedIn Ads",SUMIFS('LinkedIn data'!$I$3:$I$20000,'LinkedIn data'!$A$3:$A$20000,"&gt;="&amp;O$3,'LinkedIn data'!$A$3:$A$20000,"&lt;="&amp;O$4,'LinkedIn data'!$B$3:$B$20000,$A77),0)))))</f>
        <v/>
      </c>
      <c r="P77" s="14" t="str">
        <f aca="false">IF($A77="","",IF($B77="Meta",SUMIFS('Meta data'!$I$3:$I$20000,'Meta data'!$A$3:$A$20000,"&gt;="&amp;P$3,'Meta data'!$A$3:$A$20000,"&lt;="&amp;P$4,'Meta data'!$B$3:$B$20000,$A77),IF($B77="Google Ads",SUMIFS('Google data'!$I$3:$I$20000,'Google data'!$A$3:$A$20000,"&gt;="&amp;P$3,'Google data'!$A$3:$A$20000,"&lt;="&amp;P$4,'Google data'!$B$3:$B$20000,$A77),IF($B77="ChatGPT Ads",SUMIFS('ChatGPT data'!$I$3:$I$20000,'ChatGPT data'!$A$3:$A$20000,"&gt;="&amp;P$3,'ChatGPT data'!$A$3:$A$20000,"&lt;="&amp;P$4,'ChatGPT data'!$B$3:$B$20000,$A77),IF($B77="LinkedIn Ads",SUMIFS('LinkedIn data'!$I$3:$I$20000,'LinkedIn data'!$A$3:$A$20000,"&gt;="&amp;P$3,'LinkedIn data'!$A$3:$A$20000,"&lt;="&amp;P$4,'LinkedIn data'!$B$3:$B$20000,$A77),0)))))</f>
        <v/>
      </c>
      <c r="Q77" s="14" t="str">
        <f aca="false">IF($A77="","",IF($B77="Meta",SUMIFS('Meta data'!$I$3:$I$20000,'Meta data'!$A$3:$A$20000,"&gt;="&amp;Q$3,'Meta data'!$A$3:$A$20000,"&lt;="&amp;Q$4,'Meta data'!$B$3:$B$20000,$A77),IF($B77="Google Ads",SUMIFS('Google data'!$I$3:$I$20000,'Google data'!$A$3:$A$20000,"&gt;="&amp;Q$3,'Google data'!$A$3:$A$20000,"&lt;="&amp;Q$4,'Google data'!$B$3:$B$20000,$A77),IF($B77="ChatGPT Ads",SUMIFS('ChatGPT data'!$I$3:$I$20000,'ChatGPT data'!$A$3:$A$20000,"&gt;="&amp;Q$3,'ChatGPT data'!$A$3:$A$20000,"&lt;="&amp;Q$4,'ChatGPT data'!$B$3:$B$20000,$A77),IF($B77="LinkedIn Ads",SUMIFS('LinkedIn data'!$I$3:$I$20000,'LinkedIn data'!$A$3:$A$20000,"&gt;="&amp;Q$3,'LinkedIn data'!$A$3:$A$20000,"&lt;="&amp;Q$4,'LinkedIn data'!$B$3:$B$20000,$A77),0)))))</f>
        <v/>
      </c>
      <c r="R77" s="15" t="str">
        <f aca="false">IF($A77="","",SUM(F77:Q77))</f>
        <v/>
      </c>
      <c r="S77" s="37" t="str">
        <f aca="false">IF($A77="","",IF($B77="Meta",SUMIFS('Meta data'!$E$3:$E$20000,'Meta data'!$B$3:$B$20000,$A77),IF($B77="Google Ads",SUMIFS('Google data'!$E$3:$E$20000,'Google data'!$B$3:$B$20000,$A77),IF($B77="ChatGPT Ads",SUMIFS('ChatGPT data'!$E$3:$E$20000,'ChatGPT data'!$B$3:$B$20000,$A77),IF($B77="LinkedIn Ads",SUMIFS('LinkedIn data'!$E$3:$E$20000,'LinkedIn data'!$B$3:$B$20000,$A77),0)))))</f>
        <v/>
      </c>
      <c r="T77" s="37" t="str">
        <f aca="false">IF($A77="","",IF($B77="Meta",SUMIFS('Meta data'!$F$3:$F$20000,'Meta data'!$B$3:$B$20000,$A77),IF($B77="Google Ads",SUMIFS('Google data'!$F$3:$F$20000,'Google data'!$B$3:$B$20000,$A77),IF($B77="ChatGPT Ads",SUMIFS('ChatGPT data'!$F$3:$F$20000,'ChatGPT data'!$B$3:$B$20000,$A77),IF($B77="LinkedIn Ads",SUMIFS('LinkedIn data'!$F$3:$F$20000,'LinkedIn data'!$B$3:$B$20000,$A77),0)))))</f>
        <v/>
      </c>
      <c r="U77" s="38" t="str">
        <f aca="false">IF(OR($A77="",T77=0),"",R77/T77)</f>
        <v/>
      </c>
    </row>
    <row r="78" customFormat="false" ht="15" hidden="false" customHeight="false" outlineLevel="0" collapsed="false">
      <c r="A78" s="59"/>
      <c r="B78" s="59"/>
      <c r="C78" s="59"/>
      <c r="D78" s="59"/>
      <c r="E78" s="59"/>
      <c r="F78" s="14" t="str">
        <f aca="false">IF($A78="","",IF($B78="Meta",SUMIFS('Meta data'!$I$3:$I$20000,'Meta data'!$A$3:$A$20000,"&gt;="&amp;F$3,'Meta data'!$A$3:$A$20000,"&lt;="&amp;F$4,'Meta data'!$B$3:$B$20000,$A78),IF($B78="Google Ads",SUMIFS('Google data'!$I$3:$I$20000,'Google data'!$A$3:$A$20000,"&gt;="&amp;F$3,'Google data'!$A$3:$A$20000,"&lt;="&amp;F$4,'Google data'!$B$3:$B$20000,$A78),IF($B78="ChatGPT Ads",SUMIFS('ChatGPT data'!$I$3:$I$20000,'ChatGPT data'!$A$3:$A$20000,"&gt;="&amp;F$3,'ChatGPT data'!$A$3:$A$20000,"&lt;="&amp;F$4,'ChatGPT data'!$B$3:$B$20000,$A78),IF($B78="LinkedIn Ads",SUMIFS('LinkedIn data'!$I$3:$I$20000,'LinkedIn data'!$A$3:$A$20000,"&gt;="&amp;F$3,'LinkedIn data'!$A$3:$A$20000,"&lt;="&amp;F$4,'LinkedIn data'!$B$3:$B$20000,$A78),0)))))</f>
        <v/>
      </c>
      <c r="G78" s="14" t="str">
        <f aca="false">IF($A78="","",IF($B78="Meta",SUMIFS('Meta data'!$I$3:$I$20000,'Meta data'!$A$3:$A$20000,"&gt;="&amp;G$3,'Meta data'!$A$3:$A$20000,"&lt;="&amp;G$4,'Meta data'!$B$3:$B$20000,$A78),IF($B78="Google Ads",SUMIFS('Google data'!$I$3:$I$20000,'Google data'!$A$3:$A$20000,"&gt;="&amp;G$3,'Google data'!$A$3:$A$20000,"&lt;="&amp;G$4,'Google data'!$B$3:$B$20000,$A78),IF($B78="ChatGPT Ads",SUMIFS('ChatGPT data'!$I$3:$I$20000,'ChatGPT data'!$A$3:$A$20000,"&gt;="&amp;G$3,'ChatGPT data'!$A$3:$A$20000,"&lt;="&amp;G$4,'ChatGPT data'!$B$3:$B$20000,$A78),IF($B78="LinkedIn Ads",SUMIFS('LinkedIn data'!$I$3:$I$20000,'LinkedIn data'!$A$3:$A$20000,"&gt;="&amp;G$3,'LinkedIn data'!$A$3:$A$20000,"&lt;="&amp;G$4,'LinkedIn data'!$B$3:$B$20000,$A78),0)))))</f>
        <v/>
      </c>
      <c r="H78" s="14" t="str">
        <f aca="false">IF($A78="","",IF($B78="Meta",SUMIFS('Meta data'!$I$3:$I$20000,'Meta data'!$A$3:$A$20000,"&gt;="&amp;H$3,'Meta data'!$A$3:$A$20000,"&lt;="&amp;H$4,'Meta data'!$B$3:$B$20000,$A78),IF($B78="Google Ads",SUMIFS('Google data'!$I$3:$I$20000,'Google data'!$A$3:$A$20000,"&gt;="&amp;H$3,'Google data'!$A$3:$A$20000,"&lt;="&amp;H$4,'Google data'!$B$3:$B$20000,$A78),IF($B78="ChatGPT Ads",SUMIFS('ChatGPT data'!$I$3:$I$20000,'ChatGPT data'!$A$3:$A$20000,"&gt;="&amp;H$3,'ChatGPT data'!$A$3:$A$20000,"&lt;="&amp;H$4,'ChatGPT data'!$B$3:$B$20000,$A78),IF($B78="LinkedIn Ads",SUMIFS('LinkedIn data'!$I$3:$I$20000,'LinkedIn data'!$A$3:$A$20000,"&gt;="&amp;H$3,'LinkedIn data'!$A$3:$A$20000,"&lt;="&amp;H$4,'LinkedIn data'!$B$3:$B$20000,$A78),0)))))</f>
        <v/>
      </c>
      <c r="I78" s="14" t="str">
        <f aca="false">IF($A78="","",IF($B78="Meta",SUMIFS('Meta data'!$I$3:$I$20000,'Meta data'!$A$3:$A$20000,"&gt;="&amp;I$3,'Meta data'!$A$3:$A$20000,"&lt;="&amp;I$4,'Meta data'!$B$3:$B$20000,$A78),IF($B78="Google Ads",SUMIFS('Google data'!$I$3:$I$20000,'Google data'!$A$3:$A$20000,"&gt;="&amp;I$3,'Google data'!$A$3:$A$20000,"&lt;="&amp;I$4,'Google data'!$B$3:$B$20000,$A78),IF($B78="ChatGPT Ads",SUMIFS('ChatGPT data'!$I$3:$I$20000,'ChatGPT data'!$A$3:$A$20000,"&gt;="&amp;I$3,'ChatGPT data'!$A$3:$A$20000,"&lt;="&amp;I$4,'ChatGPT data'!$B$3:$B$20000,$A78),IF($B78="LinkedIn Ads",SUMIFS('LinkedIn data'!$I$3:$I$20000,'LinkedIn data'!$A$3:$A$20000,"&gt;="&amp;I$3,'LinkedIn data'!$A$3:$A$20000,"&lt;="&amp;I$4,'LinkedIn data'!$B$3:$B$20000,$A78),0)))))</f>
        <v/>
      </c>
      <c r="J78" s="14" t="str">
        <f aca="false">IF($A78="","",IF($B78="Meta",SUMIFS('Meta data'!$I$3:$I$20000,'Meta data'!$A$3:$A$20000,"&gt;="&amp;J$3,'Meta data'!$A$3:$A$20000,"&lt;="&amp;J$4,'Meta data'!$B$3:$B$20000,$A78),IF($B78="Google Ads",SUMIFS('Google data'!$I$3:$I$20000,'Google data'!$A$3:$A$20000,"&gt;="&amp;J$3,'Google data'!$A$3:$A$20000,"&lt;="&amp;J$4,'Google data'!$B$3:$B$20000,$A78),IF($B78="ChatGPT Ads",SUMIFS('ChatGPT data'!$I$3:$I$20000,'ChatGPT data'!$A$3:$A$20000,"&gt;="&amp;J$3,'ChatGPT data'!$A$3:$A$20000,"&lt;="&amp;J$4,'ChatGPT data'!$B$3:$B$20000,$A78),IF($B78="LinkedIn Ads",SUMIFS('LinkedIn data'!$I$3:$I$20000,'LinkedIn data'!$A$3:$A$20000,"&gt;="&amp;J$3,'LinkedIn data'!$A$3:$A$20000,"&lt;="&amp;J$4,'LinkedIn data'!$B$3:$B$20000,$A78),0)))))</f>
        <v/>
      </c>
      <c r="K78" s="14" t="str">
        <f aca="false">IF($A78="","",IF($B78="Meta",SUMIFS('Meta data'!$I$3:$I$20000,'Meta data'!$A$3:$A$20000,"&gt;="&amp;K$3,'Meta data'!$A$3:$A$20000,"&lt;="&amp;K$4,'Meta data'!$B$3:$B$20000,$A78),IF($B78="Google Ads",SUMIFS('Google data'!$I$3:$I$20000,'Google data'!$A$3:$A$20000,"&gt;="&amp;K$3,'Google data'!$A$3:$A$20000,"&lt;="&amp;K$4,'Google data'!$B$3:$B$20000,$A78),IF($B78="ChatGPT Ads",SUMIFS('ChatGPT data'!$I$3:$I$20000,'ChatGPT data'!$A$3:$A$20000,"&gt;="&amp;K$3,'ChatGPT data'!$A$3:$A$20000,"&lt;="&amp;K$4,'ChatGPT data'!$B$3:$B$20000,$A78),IF($B78="LinkedIn Ads",SUMIFS('LinkedIn data'!$I$3:$I$20000,'LinkedIn data'!$A$3:$A$20000,"&gt;="&amp;K$3,'LinkedIn data'!$A$3:$A$20000,"&lt;="&amp;K$4,'LinkedIn data'!$B$3:$B$20000,$A78),0)))))</f>
        <v/>
      </c>
      <c r="L78" s="14" t="str">
        <f aca="false">IF($A78="","",IF($B78="Meta",SUMIFS('Meta data'!$I$3:$I$20000,'Meta data'!$A$3:$A$20000,"&gt;="&amp;L$3,'Meta data'!$A$3:$A$20000,"&lt;="&amp;L$4,'Meta data'!$B$3:$B$20000,$A78),IF($B78="Google Ads",SUMIFS('Google data'!$I$3:$I$20000,'Google data'!$A$3:$A$20000,"&gt;="&amp;L$3,'Google data'!$A$3:$A$20000,"&lt;="&amp;L$4,'Google data'!$B$3:$B$20000,$A78),IF($B78="ChatGPT Ads",SUMIFS('ChatGPT data'!$I$3:$I$20000,'ChatGPT data'!$A$3:$A$20000,"&gt;="&amp;L$3,'ChatGPT data'!$A$3:$A$20000,"&lt;="&amp;L$4,'ChatGPT data'!$B$3:$B$20000,$A78),IF($B78="LinkedIn Ads",SUMIFS('LinkedIn data'!$I$3:$I$20000,'LinkedIn data'!$A$3:$A$20000,"&gt;="&amp;L$3,'LinkedIn data'!$A$3:$A$20000,"&lt;="&amp;L$4,'LinkedIn data'!$B$3:$B$20000,$A78),0)))))</f>
        <v/>
      </c>
      <c r="M78" s="14" t="str">
        <f aca="false">IF($A78="","",IF($B78="Meta",SUMIFS('Meta data'!$I$3:$I$20000,'Meta data'!$A$3:$A$20000,"&gt;="&amp;M$3,'Meta data'!$A$3:$A$20000,"&lt;="&amp;M$4,'Meta data'!$B$3:$B$20000,$A78),IF($B78="Google Ads",SUMIFS('Google data'!$I$3:$I$20000,'Google data'!$A$3:$A$20000,"&gt;="&amp;M$3,'Google data'!$A$3:$A$20000,"&lt;="&amp;M$4,'Google data'!$B$3:$B$20000,$A78),IF($B78="ChatGPT Ads",SUMIFS('ChatGPT data'!$I$3:$I$20000,'ChatGPT data'!$A$3:$A$20000,"&gt;="&amp;M$3,'ChatGPT data'!$A$3:$A$20000,"&lt;="&amp;M$4,'ChatGPT data'!$B$3:$B$20000,$A78),IF($B78="LinkedIn Ads",SUMIFS('LinkedIn data'!$I$3:$I$20000,'LinkedIn data'!$A$3:$A$20000,"&gt;="&amp;M$3,'LinkedIn data'!$A$3:$A$20000,"&lt;="&amp;M$4,'LinkedIn data'!$B$3:$B$20000,$A78),0)))))</f>
        <v/>
      </c>
      <c r="N78" s="14" t="str">
        <f aca="false">IF($A78="","",IF($B78="Meta",SUMIFS('Meta data'!$I$3:$I$20000,'Meta data'!$A$3:$A$20000,"&gt;="&amp;N$3,'Meta data'!$A$3:$A$20000,"&lt;="&amp;N$4,'Meta data'!$B$3:$B$20000,$A78),IF($B78="Google Ads",SUMIFS('Google data'!$I$3:$I$20000,'Google data'!$A$3:$A$20000,"&gt;="&amp;N$3,'Google data'!$A$3:$A$20000,"&lt;="&amp;N$4,'Google data'!$B$3:$B$20000,$A78),IF($B78="ChatGPT Ads",SUMIFS('ChatGPT data'!$I$3:$I$20000,'ChatGPT data'!$A$3:$A$20000,"&gt;="&amp;N$3,'ChatGPT data'!$A$3:$A$20000,"&lt;="&amp;N$4,'ChatGPT data'!$B$3:$B$20000,$A78),IF($B78="LinkedIn Ads",SUMIFS('LinkedIn data'!$I$3:$I$20000,'LinkedIn data'!$A$3:$A$20000,"&gt;="&amp;N$3,'LinkedIn data'!$A$3:$A$20000,"&lt;="&amp;N$4,'LinkedIn data'!$B$3:$B$20000,$A78),0)))))</f>
        <v/>
      </c>
      <c r="O78" s="14" t="str">
        <f aca="false">IF($A78="","",IF($B78="Meta",SUMIFS('Meta data'!$I$3:$I$20000,'Meta data'!$A$3:$A$20000,"&gt;="&amp;O$3,'Meta data'!$A$3:$A$20000,"&lt;="&amp;O$4,'Meta data'!$B$3:$B$20000,$A78),IF($B78="Google Ads",SUMIFS('Google data'!$I$3:$I$20000,'Google data'!$A$3:$A$20000,"&gt;="&amp;O$3,'Google data'!$A$3:$A$20000,"&lt;="&amp;O$4,'Google data'!$B$3:$B$20000,$A78),IF($B78="ChatGPT Ads",SUMIFS('ChatGPT data'!$I$3:$I$20000,'ChatGPT data'!$A$3:$A$20000,"&gt;="&amp;O$3,'ChatGPT data'!$A$3:$A$20000,"&lt;="&amp;O$4,'ChatGPT data'!$B$3:$B$20000,$A78),IF($B78="LinkedIn Ads",SUMIFS('LinkedIn data'!$I$3:$I$20000,'LinkedIn data'!$A$3:$A$20000,"&gt;="&amp;O$3,'LinkedIn data'!$A$3:$A$20000,"&lt;="&amp;O$4,'LinkedIn data'!$B$3:$B$20000,$A78),0)))))</f>
        <v/>
      </c>
      <c r="P78" s="14" t="str">
        <f aca="false">IF($A78="","",IF($B78="Meta",SUMIFS('Meta data'!$I$3:$I$20000,'Meta data'!$A$3:$A$20000,"&gt;="&amp;P$3,'Meta data'!$A$3:$A$20000,"&lt;="&amp;P$4,'Meta data'!$B$3:$B$20000,$A78),IF($B78="Google Ads",SUMIFS('Google data'!$I$3:$I$20000,'Google data'!$A$3:$A$20000,"&gt;="&amp;P$3,'Google data'!$A$3:$A$20000,"&lt;="&amp;P$4,'Google data'!$B$3:$B$20000,$A78),IF($B78="ChatGPT Ads",SUMIFS('ChatGPT data'!$I$3:$I$20000,'ChatGPT data'!$A$3:$A$20000,"&gt;="&amp;P$3,'ChatGPT data'!$A$3:$A$20000,"&lt;="&amp;P$4,'ChatGPT data'!$B$3:$B$20000,$A78),IF($B78="LinkedIn Ads",SUMIFS('LinkedIn data'!$I$3:$I$20000,'LinkedIn data'!$A$3:$A$20000,"&gt;="&amp;P$3,'LinkedIn data'!$A$3:$A$20000,"&lt;="&amp;P$4,'LinkedIn data'!$B$3:$B$20000,$A78),0)))))</f>
        <v/>
      </c>
      <c r="Q78" s="14" t="str">
        <f aca="false">IF($A78="","",IF($B78="Meta",SUMIFS('Meta data'!$I$3:$I$20000,'Meta data'!$A$3:$A$20000,"&gt;="&amp;Q$3,'Meta data'!$A$3:$A$20000,"&lt;="&amp;Q$4,'Meta data'!$B$3:$B$20000,$A78),IF($B78="Google Ads",SUMIFS('Google data'!$I$3:$I$20000,'Google data'!$A$3:$A$20000,"&gt;="&amp;Q$3,'Google data'!$A$3:$A$20000,"&lt;="&amp;Q$4,'Google data'!$B$3:$B$20000,$A78),IF($B78="ChatGPT Ads",SUMIFS('ChatGPT data'!$I$3:$I$20000,'ChatGPT data'!$A$3:$A$20000,"&gt;="&amp;Q$3,'ChatGPT data'!$A$3:$A$20000,"&lt;="&amp;Q$4,'ChatGPT data'!$B$3:$B$20000,$A78),IF($B78="LinkedIn Ads",SUMIFS('LinkedIn data'!$I$3:$I$20000,'LinkedIn data'!$A$3:$A$20000,"&gt;="&amp;Q$3,'LinkedIn data'!$A$3:$A$20000,"&lt;="&amp;Q$4,'LinkedIn data'!$B$3:$B$20000,$A78),0)))))</f>
        <v/>
      </c>
      <c r="R78" s="15" t="str">
        <f aca="false">IF($A78="","",SUM(F78:Q78))</f>
        <v/>
      </c>
      <c r="S78" s="37" t="str">
        <f aca="false">IF($A78="","",IF($B78="Meta",SUMIFS('Meta data'!$E$3:$E$20000,'Meta data'!$B$3:$B$20000,$A78),IF($B78="Google Ads",SUMIFS('Google data'!$E$3:$E$20000,'Google data'!$B$3:$B$20000,$A78),IF($B78="ChatGPT Ads",SUMIFS('ChatGPT data'!$E$3:$E$20000,'ChatGPT data'!$B$3:$B$20000,$A78),IF($B78="LinkedIn Ads",SUMIFS('LinkedIn data'!$E$3:$E$20000,'LinkedIn data'!$B$3:$B$20000,$A78),0)))))</f>
        <v/>
      </c>
      <c r="T78" s="37" t="str">
        <f aca="false">IF($A78="","",IF($B78="Meta",SUMIFS('Meta data'!$F$3:$F$20000,'Meta data'!$B$3:$B$20000,$A78),IF($B78="Google Ads",SUMIFS('Google data'!$F$3:$F$20000,'Google data'!$B$3:$B$20000,$A78),IF($B78="ChatGPT Ads",SUMIFS('ChatGPT data'!$F$3:$F$20000,'ChatGPT data'!$B$3:$B$20000,$A78),IF($B78="LinkedIn Ads",SUMIFS('LinkedIn data'!$F$3:$F$20000,'LinkedIn data'!$B$3:$B$20000,$A78),0)))))</f>
        <v/>
      </c>
      <c r="U78" s="38" t="str">
        <f aca="false">IF(OR($A78="",T78=0),"",R78/T78)</f>
        <v/>
      </c>
    </row>
    <row r="79" customFormat="false" ht="15" hidden="false" customHeight="false" outlineLevel="0" collapsed="false">
      <c r="A79" s="59"/>
      <c r="B79" s="59"/>
      <c r="C79" s="59"/>
      <c r="D79" s="59"/>
      <c r="E79" s="59"/>
      <c r="F79" s="14" t="str">
        <f aca="false">IF($A79="","",IF($B79="Meta",SUMIFS('Meta data'!$I$3:$I$20000,'Meta data'!$A$3:$A$20000,"&gt;="&amp;F$3,'Meta data'!$A$3:$A$20000,"&lt;="&amp;F$4,'Meta data'!$B$3:$B$20000,$A79),IF($B79="Google Ads",SUMIFS('Google data'!$I$3:$I$20000,'Google data'!$A$3:$A$20000,"&gt;="&amp;F$3,'Google data'!$A$3:$A$20000,"&lt;="&amp;F$4,'Google data'!$B$3:$B$20000,$A79),IF($B79="ChatGPT Ads",SUMIFS('ChatGPT data'!$I$3:$I$20000,'ChatGPT data'!$A$3:$A$20000,"&gt;="&amp;F$3,'ChatGPT data'!$A$3:$A$20000,"&lt;="&amp;F$4,'ChatGPT data'!$B$3:$B$20000,$A79),IF($B79="LinkedIn Ads",SUMIFS('LinkedIn data'!$I$3:$I$20000,'LinkedIn data'!$A$3:$A$20000,"&gt;="&amp;F$3,'LinkedIn data'!$A$3:$A$20000,"&lt;="&amp;F$4,'LinkedIn data'!$B$3:$B$20000,$A79),0)))))</f>
        <v/>
      </c>
      <c r="G79" s="14" t="str">
        <f aca="false">IF($A79="","",IF($B79="Meta",SUMIFS('Meta data'!$I$3:$I$20000,'Meta data'!$A$3:$A$20000,"&gt;="&amp;G$3,'Meta data'!$A$3:$A$20000,"&lt;="&amp;G$4,'Meta data'!$B$3:$B$20000,$A79),IF($B79="Google Ads",SUMIFS('Google data'!$I$3:$I$20000,'Google data'!$A$3:$A$20000,"&gt;="&amp;G$3,'Google data'!$A$3:$A$20000,"&lt;="&amp;G$4,'Google data'!$B$3:$B$20000,$A79),IF($B79="ChatGPT Ads",SUMIFS('ChatGPT data'!$I$3:$I$20000,'ChatGPT data'!$A$3:$A$20000,"&gt;="&amp;G$3,'ChatGPT data'!$A$3:$A$20000,"&lt;="&amp;G$4,'ChatGPT data'!$B$3:$B$20000,$A79),IF($B79="LinkedIn Ads",SUMIFS('LinkedIn data'!$I$3:$I$20000,'LinkedIn data'!$A$3:$A$20000,"&gt;="&amp;G$3,'LinkedIn data'!$A$3:$A$20000,"&lt;="&amp;G$4,'LinkedIn data'!$B$3:$B$20000,$A79),0)))))</f>
        <v/>
      </c>
      <c r="H79" s="14" t="str">
        <f aca="false">IF($A79="","",IF($B79="Meta",SUMIFS('Meta data'!$I$3:$I$20000,'Meta data'!$A$3:$A$20000,"&gt;="&amp;H$3,'Meta data'!$A$3:$A$20000,"&lt;="&amp;H$4,'Meta data'!$B$3:$B$20000,$A79),IF($B79="Google Ads",SUMIFS('Google data'!$I$3:$I$20000,'Google data'!$A$3:$A$20000,"&gt;="&amp;H$3,'Google data'!$A$3:$A$20000,"&lt;="&amp;H$4,'Google data'!$B$3:$B$20000,$A79),IF($B79="ChatGPT Ads",SUMIFS('ChatGPT data'!$I$3:$I$20000,'ChatGPT data'!$A$3:$A$20000,"&gt;="&amp;H$3,'ChatGPT data'!$A$3:$A$20000,"&lt;="&amp;H$4,'ChatGPT data'!$B$3:$B$20000,$A79),IF($B79="LinkedIn Ads",SUMIFS('LinkedIn data'!$I$3:$I$20000,'LinkedIn data'!$A$3:$A$20000,"&gt;="&amp;H$3,'LinkedIn data'!$A$3:$A$20000,"&lt;="&amp;H$4,'LinkedIn data'!$B$3:$B$20000,$A79),0)))))</f>
        <v/>
      </c>
      <c r="I79" s="14" t="str">
        <f aca="false">IF($A79="","",IF($B79="Meta",SUMIFS('Meta data'!$I$3:$I$20000,'Meta data'!$A$3:$A$20000,"&gt;="&amp;I$3,'Meta data'!$A$3:$A$20000,"&lt;="&amp;I$4,'Meta data'!$B$3:$B$20000,$A79),IF($B79="Google Ads",SUMIFS('Google data'!$I$3:$I$20000,'Google data'!$A$3:$A$20000,"&gt;="&amp;I$3,'Google data'!$A$3:$A$20000,"&lt;="&amp;I$4,'Google data'!$B$3:$B$20000,$A79),IF($B79="ChatGPT Ads",SUMIFS('ChatGPT data'!$I$3:$I$20000,'ChatGPT data'!$A$3:$A$20000,"&gt;="&amp;I$3,'ChatGPT data'!$A$3:$A$20000,"&lt;="&amp;I$4,'ChatGPT data'!$B$3:$B$20000,$A79),IF($B79="LinkedIn Ads",SUMIFS('LinkedIn data'!$I$3:$I$20000,'LinkedIn data'!$A$3:$A$20000,"&gt;="&amp;I$3,'LinkedIn data'!$A$3:$A$20000,"&lt;="&amp;I$4,'LinkedIn data'!$B$3:$B$20000,$A79),0)))))</f>
        <v/>
      </c>
      <c r="J79" s="14" t="str">
        <f aca="false">IF($A79="","",IF($B79="Meta",SUMIFS('Meta data'!$I$3:$I$20000,'Meta data'!$A$3:$A$20000,"&gt;="&amp;J$3,'Meta data'!$A$3:$A$20000,"&lt;="&amp;J$4,'Meta data'!$B$3:$B$20000,$A79),IF($B79="Google Ads",SUMIFS('Google data'!$I$3:$I$20000,'Google data'!$A$3:$A$20000,"&gt;="&amp;J$3,'Google data'!$A$3:$A$20000,"&lt;="&amp;J$4,'Google data'!$B$3:$B$20000,$A79),IF($B79="ChatGPT Ads",SUMIFS('ChatGPT data'!$I$3:$I$20000,'ChatGPT data'!$A$3:$A$20000,"&gt;="&amp;J$3,'ChatGPT data'!$A$3:$A$20000,"&lt;="&amp;J$4,'ChatGPT data'!$B$3:$B$20000,$A79),IF($B79="LinkedIn Ads",SUMIFS('LinkedIn data'!$I$3:$I$20000,'LinkedIn data'!$A$3:$A$20000,"&gt;="&amp;J$3,'LinkedIn data'!$A$3:$A$20000,"&lt;="&amp;J$4,'LinkedIn data'!$B$3:$B$20000,$A79),0)))))</f>
        <v/>
      </c>
      <c r="K79" s="14" t="str">
        <f aca="false">IF($A79="","",IF($B79="Meta",SUMIFS('Meta data'!$I$3:$I$20000,'Meta data'!$A$3:$A$20000,"&gt;="&amp;K$3,'Meta data'!$A$3:$A$20000,"&lt;="&amp;K$4,'Meta data'!$B$3:$B$20000,$A79),IF($B79="Google Ads",SUMIFS('Google data'!$I$3:$I$20000,'Google data'!$A$3:$A$20000,"&gt;="&amp;K$3,'Google data'!$A$3:$A$20000,"&lt;="&amp;K$4,'Google data'!$B$3:$B$20000,$A79),IF($B79="ChatGPT Ads",SUMIFS('ChatGPT data'!$I$3:$I$20000,'ChatGPT data'!$A$3:$A$20000,"&gt;="&amp;K$3,'ChatGPT data'!$A$3:$A$20000,"&lt;="&amp;K$4,'ChatGPT data'!$B$3:$B$20000,$A79),IF($B79="LinkedIn Ads",SUMIFS('LinkedIn data'!$I$3:$I$20000,'LinkedIn data'!$A$3:$A$20000,"&gt;="&amp;K$3,'LinkedIn data'!$A$3:$A$20000,"&lt;="&amp;K$4,'LinkedIn data'!$B$3:$B$20000,$A79),0)))))</f>
        <v/>
      </c>
      <c r="L79" s="14" t="str">
        <f aca="false">IF($A79="","",IF($B79="Meta",SUMIFS('Meta data'!$I$3:$I$20000,'Meta data'!$A$3:$A$20000,"&gt;="&amp;L$3,'Meta data'!$A$3:$A$20000,"&lt;="&amp;L$4,'Meta data'!$B$3:$B$20000,$A79),IF($B79="Google Ads",SUMIFS('Google data'!$I$3:$I$20000,'Google data'!$A$3:$A$20000,"&gt;="&amp;L$3,'Google data'!$A$3:$A$20000,"&lt;="&amp;L$4,'Google data'!$B$3:$B$20000,$A79),IF($B79="ChatGPT Ads",SUMIFS('ChatGPT data'!$I$3:$I$20000,'ChatGPT data'!$A$3:$A$20000,"&gt;="&amp;L$3,'ChatGPT data'!$A$3:$A$20000,"&lt;="&amp;L$4,'ChatGPT data'!$B$3:$B$20000,$A79),IF($B79="LinkedIn Ads",SUMIFS('LinkedIn data'!$I$3:$I$20000,'LinkedIn data'!$A$3:$A$20000,"&gt;="&amp;L$3,'LinkedIn data'!$A$3:$A$20000,"&lt;="&amp;L$4,'LinkedIn data'!$B$3:$B$20000,$A79),0)))))</f>
        <v/>
      </c>
      <c r="M79" s="14" t="str">
        <f aca="false">IF($A79="","",IF($B79="Meta",SUMIFS('Meta data'!$I$3:$I$20000,'Meta data'!$A$3:$A$20000,"&gt;="&amp;M$3,'Meta data'!$A$3:$A$20000,"&lt;="&amp;M$4,'Meta data'!$B$3:$B$20000,$A79),IF($B79="Google Ads",SUMIFS('Google data'!$I$3:$I$20000,'Google data'!$A$3:$A$20000,"&gt;="&amp;M$3,'Google data'!$A$3:$A$20000,"&lt;="&amp;M$4,'Google data'!$B$3:$B$20000,$A79),IF($B79="ChatGPT Ads",SUMIFS('ChatGPT data'!$I$3:$I$20000,'ChatGPT data'!$A$3:$A$20000,"&gt;="&amp;M$3,'ChatGPT data'!$A$3:$A$20000,"&lt;="&amp;M$4,'ChatGPT data'!$B$3:$B$20000,$A79),IF($B79="LinkedIn Ads",SUMIFS('LinkedIn data'!$I$3:$I$20000,'LinkedIn data'!$A$3:$A$20000,"&gt;="&amp;M$3,'LinkedIn data'!$A$3:$A$20000,"&lt;="&amp;M$4,'LinkedIn data'!$B$3:$B$20000,$A79),0)))))</f>
        <v/>
      </c>
      <c r="N79" s="14" t="str">
        <f aca="false">IF($A79="","",IF($B79="Meta",SUMIFS('Meta data'!$I$3:$I$20000,'Meta data'!$A$3:$A$20000,"&gt;="&amp;N$3,'Meta data'!$A$3:$A$20000,"&lt;="&amp;N$4,'Meta data'!$B$3:$B$20000,$A79),IF($B79="Google Ads",SUMIFS('Google data'!$I$3:$I$20000,'Google data'!$A$3:$A$20000,"&gt;="&amp;N$3,'Google data'!$A$3:$A$20000,"&lt;="&amp;N$4,'Google data'!$B$3:$B$20000,$A79),IF($B79="ChatGPT Ads",SUMIFS('ChatGPT data'!$I$3:$I$20000,'ChatGPT data'!$A$3:$A$20000,"&gt;="&amp;N$3,'ChatGPT data'!$A$3:$A$20000,"&lt;="&amp;N$4,'ChatGPT data'!$B$3:$B$20000,$A79),IF($B79="LinkedIn Ads",SUMIFS('LinkedIn data'!$I$3:$I$20000,'LinkedIn data'!$A$3:$A$20000,"&gt;="&amp;N$3,'LinkedIn data'!$A$3:$A$20000,"&lt;="&amp;N$4,'LinkedIn data'!$B$3:$B$20000,$A79),0)))))</f>
        <v/>
      </c>
      <c r="O79" s="14" t="str">
        <f aca="false">IF($A79="","",IF($B79="Meta",SUMIFS('Meta data'!$I$3:$I$20000,'Meta data'!$A$3:$A$20000,"&gt;="&amp;O$3,'Meta data'!$A$3:$A$20000,"&lt;="&amp;O$4,'Meta data'!$B$3:$B$20000,$A79),IF($B79="Google Ads",SUMIFS('Google data'!$I$3:$I$20000,'Google data'!$A$3:$A$20000,"&gt;="&amp;O$3,'Google data'!$A$3:$A$20000,"&lt;="&amp;O$4,'Google data'!$B$3:$B$20000,$A79),IF($B79="ChatGPT Ads",SUMIFS('ChatGPT data'!$I$3:$I$20000,'ChatGPT data'!$A$3:$A$20000,"&gt;="&amp;O$3,'ChatGPT data'!$A$3:$A$20000,"&lt;="&amp;O$4,'ChatGPT data'!$B$3:$B$20000,$A79),IF($B79="LinkedIn Ads",SUMIFS('LinkedIn data'!$I$3:$I$20000,'LinkedIn data'!$A$3:$A$20000,"&gt;="&amp;O$3,'LinkedIn data'!$A$3:$A$20000,"&lt;="&amp;O$4,'LinkedIn data'!$B$3:$B$20000,$A79),0)))))</f>
        <v/>
      </c>
      <c r="P79" s="14" t="str">
        <f aca="false">IF($A79="","",IF($B79="Meta",SUMIFS('Meta data'!$I$3:$I$20000,'Meta data'!$A$3:$A$20000,"&gt;="&amp;P$3,'Meta data'!$A$3:$A$20000,"&lt;="&amp;P$4,'Meta data'!$B$3:$B$20000,$A79),IF($B79="Google Ads",SUMIFS('Google data'!$I$3:$I$20000,'Google data'!$A$3:$A$20000,"&gt;="&amp;P$3,'Google data'!$A$3:$A$20000,"&lt;="&amp;P$4,'Google data'!$B$3:$B$20000,$A79),IF($B79="ChatGPT Ads",SUMIFS('ChatGPT data'!$I$3:$I$20000,'ChatGPT data'!$A$3:$A$20000,"&gt;="&amp;P$3,'ChatGPT data'!$A$3:$A$20000,"&lt;="&amp;P$4,'ChatGPT data'!$B$3:$B$20000,$A79),IF($B79="LinkedIn Ads",SUMIFS('LinkedIn data'!$I$3:$I$20000,'LinkedIn data'!$A$3:$A$20000,"&gt;="&amp;P$3,'LinkedIn data'!$A$3:$A$20000,"&lt;="&amp;P$4,'LinkedIn data'!$B$3:$B$20000,$A79),0)))))</f>
        <v/>
      </c>
      <c r="Q79" s="14" t="str">
        <f aca="false">IF($A79="","",IF($B79="Meta",SUMIFS('Meta data'!$I$3:$I$20000,'Meta data'!$A$3:$A$20000,"&gt;="&amp;Q$3,'Meta data'!$A$3:$A$20000,"&lt;="&amp;Q$4,'Meta data'!$B$3:$B$20000,$A79),IF($B79="Google Ads",SUMIFS('Google data'!$I$3:$I$20000,'Google data'!$A$3:$A$20000,"&gt;="&amp;Q$3,'Google data'!$A$3:$A$20000,"&lt;="&amp;Q$4,'Google data'!$B$3:$B$20000,$A79),IF($B79="ChatGPT Ads",SUMIFS('ChatGPT data'!$I$3:$I$20000,'ChatGPT data'!$A$3:$A$20000,"&gt;="&amp;Q$3,'ChatGPT data'!$A$3:$A$20000,"&lt;="&amp;Q$4,'ChatGPT data'!$B$3:$B$20000,$A79),IF($B79="LinkedIn Ads",SUMIFS('LinkedIn data'!$I$3:$I$20000,'LinkedIn data'!$A$3:$A$20000,"&gt;="&amp;Q$3,'LinkedIn data'!$A$3:$A$20000,"&lt;="&amp;Q$4,'LinkedIn data'!$B$3:$B$20000,$A79),0)))))</f>
        <v/>
      </c>
      <c r="R79" s="15" t="str">
        <f aca="false">IF($A79="","",SUM(F79:Q79))</f>
        <v/>
      </c>
      <c r="S79" s="37" t="str">
        <f aca="false">IF($A79="","",IF($B79="Meta",SUMIFS('Meta data'!$E$3:$E$20000,'Meta data'!$B$3:$B$20000,$A79),IF($B79="Google Ads",SUMIFS('Google data'!$E$3:$E$20000,'Google data'!$B$3:$B$20000,$A79),IF($B79="ChatGPT Ads",SUMIFS('ChatGPT data'!$E$3:$E$20000,'ChatGPT data'!$B$3:$B$20000,$A79),IF($B79="LinkedIn Ads",SUMIFS('LinkedIn data'!$E$3:$E$20000,'LinkedIn data'!$B$3:$B$20000,$A79),0)))))</f>
        <v/>
      </c>
      <c r="T79" s="37" t="str">
        <f aca="false">IF($A79="","",IF($B79="Meta",SUMIFS('Meta data'!$F$3:$F$20000,'Meta data'!$B$3:$B$20000,$A79),IF($B79="Google Ads",SUMIFS('Google data'!$F$3:$F$20000,'Google data'!$B$3:$B$20000,$A79),IF($B79="ChatGPT Ads",SUMIFS('ChatGPT data'!$F$3:$F$20000,'ChatGPT data'!$B$3:$B$20000,$A79),IF($B79="LinkedIn Ads",SUMIFS('LinkedIn data'!$F$3:$F$20000,'LinkedIn data'!$B$3:$B$20000,$A79),0)))))</f>
        <v/>
      </c>
      <c r="U79" s="38" t="str">
        <f aca="false">IF(OR($A79="",T79=0),"",R79/T79)</f>
        <v/>
      </c>
    </row>
    <row r="80" customFormat="false" ht="15" hidden="false" customHeight="false" outlineLevel="0" collapsed="false">
      <c r="A80" s="59"/>
      <c r="B80" s="59"/>
      <c r="C80" s="59"/>
      <c r="D80" s="59"/>
      <c r="E80" s="59"/>
      <c r="F80" s="14" t="str">
        <f aca="false">IF($A80="","",IF($B80="Meta",SUMIFS('Meta data'!$I$3:$I$20000,'Meta data'!$A$3:$A$20000,"&gt;="&amp;F$3,'Meta data'!$A$3:$A$20000,"&lt;="&amp;F$4,'Meta data'!$B$3:$B$20000,$A80),IF($B80="Google Ads",SUMIFS('Google data'!$I$3:$I$20000,'Google data'!$A$3:$A$20000,"&gt;="&amp;F$3,'Google data'!$A$3:$A$20000,"&lt;="&amp;F$4,'Google data'!$B$3:$B$20000,$A80),IF($B80="ChatGPT Ads",SUMIFS('ChatGPT data'!$I$3:$I$20000,'ChatGPT data'!$A$3:$A$20000,"&gt;="&amp;F$3,'ChatGPT data'!$A$3:$A$20000,"&lt;="&amp;F$4,'ChatGPT data'!$B$3:$B$20000,$A80),IF($B80="LinkedIn Ads",SUMIFS('LinkedIn data'!$I$3:$I$20000,'LinkedIn data'!$A$3:$A$20000,"&gt;="&amp;F$3,'LinkedIn data'!$A$3:$A$20000,"&lt;="&amp;F$4,'LinkedIn data'!$B$3:$B$20000,$A80),0)))))</f>
        <v/>
      </c>
      <c r="G80" s="14" t="str">
        <f aca="false">IF($A80="","",IF($B80="Meta",SUMIFS('Meta data'!$I$3:$I$20000,'Meta data'!$A$3:$A$20000,"&gt;="&amp;G$3,'Meta data'!$A$3:$A$20000,"&lt;="&amp;G$4,'Meta data'!$B$3:$B$20000,$A80),IF($B80="Google Ads",SUMIFS('Google data'!$I$3:$I$20000,'Google data'!$A$3:$A$20000,"&gt;="&amp;G$3,'Google data'!$A$3:$A$20000,"&lt;="&amp;G$4,'Google data'!$B$3:$B$20000,$A80),IF($B80="ChatGPT Ads",SUMIFS('ChatGPT data'!$I$3:$I$20000,'ChatGPT data'!$A$3:$A$20000,"&gt;="&amp;G$3,'ChatGPT data'!$A$3:$A$20000,"&lt;="&amp;G$4,'ChatGPT data'!$B$3:$B$20000,$A80),IF($B80="LinkedIn Ads",SUMIFS('LinkedIn data'!$I$3:$I$20000,'LinkedIn data'!$A$3:$A$20000,"&gt;="&amp;G$3,'LinkedIn data'!$A$3:$A$20000,"&lt;="&amp;G$4,'LinkedIn data'!$B$3:$B$20000,$A80),0)))))</f>
        <v/>
      </c>
      <c r="H80" s="14" t="str">
        <f aca="false">IF($A80="","",IF($B80="Meta",SUMIFS('Meta data'!$I$3:$I$20000,'Meta data'!$A$3:$A$20000,"&gt;="&amp;H$3,'Meta data'!$A$3:$A$20000,"&lt;="&amp;H$4,'Meta data'!$B$3:$B$20000,$A80),IF($B80="Google Ads",SUMIFS('Google data'!$I$3:$I$20000,'Google data'!$A$3:$A$20000,"&gt;="&amp;H$3,'Google data'!$A$3:$A$20000,"&lt;="&amp;H$4,'Google data'!$B$3:$B$20000,$A80),IF($B80="ChatGPT Ads",SUMIFS('ChatGPT data'!$I$3:$I$20000,'ChatGPT data'!$A$3:$A$20000,"&gt;="&amp;H$3,'ChatGPT data'!$A$3:$A$20000,"&lt;="&amp;H$4,'ChatGPT data'!$B$3:$B$20000,$A80),IF($B80="LinkedIn Ads",SUMIFS('LinkedIn data'!$I$3:$I$20000,'LinkedIn data'!$A$3:$A$20000,"&gt;="&amp;H$3,'LinkedIn data'!$A$3:$A$20000,"&lt;="&amp;H$4,'LinkedIn data'!$B$3:$B$20000,$A80),0)))))</f>
        <v/>
      </c>
      <c r="I80" s="14" t="str">
        <f aca="false">IF($A80="","",IF($B80="Meta",SUMIFS('Meta data'!$I$3:$I$20000,'Meta data'!$A$3:$A$20000,"&gt;="&amp;I$3,'Meta data'!$A$3:$A$20000,"&lt;="&amp;I$4,'Meta data'!$B$3:$B$20000,$A80),IF($B80="Google Ads",SUMIFS('Google data'!$I$3:$I$20000,'Google data'!$A$3:$A$20000,"&gt;="&amp;I$3,'Google data'!$A$3:$A$20000,"&lt;="&amp;I$4,'Google data'!$B$3:$B$20000,$A80),IF($B80="ChatGPT Ads",SUMIFS('ChatGPT data'!$I$3:$I$20000,'ChatGPT data'!$A$3:$A$20000,"&gt;="&amp;I$3,'ChatGPT data'!$A$3:$A$20000,"&lt;="&amp;I$4,'ChatGPT data'!$B$3:$B$20000,$A80),IF($B80="LinkedIn Ads",SUMIFS('LinkedIn data'!$I$3:$I$20000,'LinkedIn data'!$A$3:$A$20000,"&gt;="&amp;I$3,'LinkedIn data'!$A$3:$A$20000,"&lt;="&amp;I$4,'LinkedIn data'!$B$3:$B$20000,$A80),0)))))</f>
        <v/>
      </c>
      <c r="J80" s="14" t="str">
        <f aca="false">IF($A80="","",IF($B80="Meta",SUMIFS('Meta data'!$I$3:$I$20000,'Meta data'!$A$3:$A$20000,"&gt;="&amp;J$3,'Meta data'!$A$3:$A$20000,"&lt;="&amp;J$4,'Meta data'!$B$3:$B$20000,$A80),IF($B80="Google Ads",SUMIFS('Google data'!$I$3:$I$20000,'Google data'!$A$3:$A$20000,"&gt;="&amp;J$3,'Google data'!$A$3:$A$20000,"&lt;="&amp;J$4,'Google data'!$B$3:$B$20000,$A80),IF($B80="ChatGPT Ads",SUMIFS('ChatGPT data'!$I$3:$I$20000,'ChatGPT data'!$A$3:$A$20000,"&gt;="&amp;J$3,'ChatGPT data'!$A$3:$A$20000,"&lt;="&amp;J$4,'ChatGPT data'!$B$3:$B$20000,$A80),IF($B80="LinkedIn Ads",SUMIFS('LinkedIn data'!$I$3:$I$20000,'LinkedIn data'!$A$3:$A$20000,"&gt;="&amp;J$3,'LinkedIn data'!$A$3:$A$20000,"&lt;="&amp;J$4,'LinkedIn data'!$B$3:$B$20000,$A80),0)))))</f>
        <v/>
      </c>
      <c r="K80" s="14" t="str">
        <f aca="false">IF($A80="","",IF($B80="Meta",SUMIFS('Meta data'!$I$3:$I$20000,'Meta data'!$A$3:$A$20000,"&gt;="&amp;K$3,'Meta data'!$A$3:$A$20000,"&lt;="&amp;K$4,'Meta data'!$B$3:$B$20000,$A80),IF($B80="Google Ads",SUMIFS('Google data'!$I$3:$I$20000,'Google data'!$A$3:$A$20000,"&gt;="&amp;K$3,'Google data'!$A$3:$A$20000,"&lt;="&amp;K$4,'Google data'!$B$3:$B$20000,$A80),IF($B80="ChatGPT Ads",SUMIFS('ChatGPT data'!$I$3:$I$20000,'ChatGPT data'!$A$3:$A$20000,"&gt;="&amp;K$3,'ChatGPT data'!$A$3:$A$20000,"&lt;="&amp;K$4,'ChatGPT data'!$B$3:$B$20000,$A80),IF($B80="LinkedIn Ads",SUMIFS('LinkedIn data'!$I$3:$I$20000,'LinkedIn data'!$A$3:$A$20000,"&gt;="&amp;K$3,'LinkedIn data'!$A$3:$A$20000,"&lt;="&amp;K$4,'LinkedIn data'!$B$3:$B$20000,$A80),0)))))</f>
        <v/>
      </c>
      <c r="L80" s="14" t="str">
        <f aca="false">IF($A80="","",IF($B80="Meta",SUMIFS('Meta data'!$I$3:$I$20000,'Meta data'!$A$3:$A$20000,"&gt;="&amp;L$3,'Meta data'!$A$3:$A$20000,"&lt;="&amp;L$4,'Meta data'!$B$3:$B$20000,$A80),IF($B80="Google Ads",SUMIFS('Google data'!$I$3:$I$20000,'Google data'!$A$3:$A$20000,"&gt;="&amp;L$3,'Google data'!$A$3:$A$20000,"&lt;="&amp;L$4,'Google data'!$B$3:$B$20000,$A80),IF($B80="ChatGPT Ads",SUMIFS('ChatGPT data'!$I$3:$I$20000,'ChatGPT data'!$A$3:$A$20000,"&gt;="&amp;L$3,'ChatGPT data'!$A$3:$A$20000,"&lt;="&amp;L$4,'ChatGPT data'!$B$3:$B$20000,$A80),IF($B80="LinkedIn Ads",SUMIFS('LinkedIn data'!$I$3:$I$20000,'LinkedIn data'!$A$3:$A$20000,"&gt;="&amp;L$3,'LinkedIn data'!$A$3:$A$20000,"&lt;="&amp;L$4,'LinkedIn data'!$B$3:$B$20000,$A80),0)))))</f>
        <v/>
      </c>
      <c r="M80" s="14" t="str">
        <f aca="false">IF($A80="","",IF($B80="Meta",SUMIFS('Meta data'!$I$3:$I$20000,'Meta data'!$A$3:$A$20000,"&gt;="&amp;M$3,'Meta data'!$A$3:$A$20000,"&lt;="&amp;M$4,'Meta data'!$B$3:$B$20000,$A80),IF($B80="Google Ads",SUMIFS('Google data'!$I$3:$I$20000,'Google data'!$A$3:$A$20000,"&gt;="&amp;M$3,'Google data'!$A$3:$A$20000,"&lt;="&amp;M$4,'Google data'!$B$3:$B$20000,$A80),IF($B80="ChatGPT Ads",SUMIFS('ChatGPT data'!$I$3:$I$20000,'ChatGPT data'!$A$3:$A$20000,"&gt;="&amp;M$3,'ChatGPT data'!$A$3:$A$20000,"&lt;="&amp;M$4,'ChatGPT data'!$B$3:$B$20000,$A80),IF($B80="LinkedIn Ads",SUMIFS('LinkedIn data'!$I$3:$I$20000,'LinkedIn data'!$A$3:$A$20000,"&gt;="&amp;M$3,'LinkedIn data'!$A$3:$A$20000,"&lt;="&amp;M$4,'LinkedIn data'!$B$3:$B$20000,$A80),0)))))</f>
        <v/>
      </c>
      <c r="N80" s="14" t="str">
        <f aca="false">IF($A80="","",IF($B80="Meta",SUMIFS('Meta data'!$I$3:$I$20000,'Meta data'!$A$3:$A$20000,"&gt;="&amp;N$3,'Meta data'!$A$3:$A$20000,"&lt;="&amp;N$4,'Meta data'!$B$3:$B$20000,$A80),IF($B80="Google Ads",SUMIFS('Google data'!$I$3:$I$20000,'Google data'!$A$3:$A$20000,"&gt;="&amp;N$3,'Google data'!$A$3:$A$20000,"&lt;="&amp;N$4,'Google data'!$B$3:$B$20000,$A80),IF($B80="ChatGPT Ads",SUMIFS('ChatGPT data'!$I$3:$I$20000,'ChatGPT data'!$A$3:$A$20000,"&gt;="&amp;N$3,'ChatGPT data'!$A$3:$A$20000,"&lt;="&amp;N$4,'ChatGPT data'!$B$3:$B$20000,$A80),IF($B80="LinkedIn Ads",SUMIFS('LinkedIn data'!$I$3:$I$20000,'LinkedIn data'!$A$3:$A$20000,"&gt;="&amp;N$3,'LinkedIn data'!$A$3:$A$20000,"&lt;="&amp;N$4,'LinkedIn data'!$B$3:$B$20000,$A80),0)))))</f>
        <v/>
      </c>
      <c r="O80" s="14" t="str">
        <f aca="false">IF($A80="","",IF($B80="Meta",SUMIFS('Meta data'!$I$3:$I$20000,'Meta data'!$A$3:$A$20000,"&gt;="&amp;O$3,'Meta data'!$A$3:$A$20000,"&lt;="&amp;O$4,'Meta data'!$B$3:$B$20000,$A80),IF($B80="Google Ads",SUMIFS('Google data'!$I$3:$I$20000,'Google data'!$A$3:$A$20000,"&gt;="&amp;O$3,'Google data'!$A$3:$A$20000,"&lt;="&amp;O$4,'Google data'!$B$3:$B$20000,$A80),IF($B80="ChatGPT Ads",SUMIFS('ChatGPT data'!$I$3:$I$20000,'ChatGPT data'!$A$3:$A$20000,"&gt;="&amp;O$3,'ChatGPT data'!$A$3:$A$20000,"&lt;="&amp;O$4,'ChatGPT data'!$B$3:$B$20000,$A80),IF($B80="LinkedIn Ads",SUMIFS('LinkedIn data'!$I$3:$I$20000,'LinkedIn data'!$A$3:$A$20000,"&gt;="&amp;O$3,'LinkedIn data'!$A$3:$A$20000,"&lt;="&amp;O$4,'LinkedIn data'!$B$3:$B$20000,$A80),0)))))</f>
        <v/>
      </c>
      <c r="P80" s="14" t="str">
        <f aca="false">IF($A80="","",IF($B80="Meta",SUMIFS('Meta data'!$I$3:$I$20000,'Meta data'!$A$3:$A$20000,"&gt;="&amp;P$3,'Meta data'!$A$3:$A$20000,"&lt;="&amp;P$4,'Meta data'!$B$3:$B$20000,$A80),IF($B80="Google Ads",SUMIFS('Google data'!$I$3:$I$20000,'Google data'!$A$3:$A$20000,"&gt;="&amp;P$3,'Google data'!$A$3:$A$20000,"&lt;="&amp;P$4,'Google data'!$B$3:$B$20000,$A80),IF($B80="ChatGPT Ads",SUMIFS('ChatGPT data'!$I$3:$I$20000,'ChatGPT data'!$A$3:$A$20000,"&gt;="&amp;P$3,'ChatGPT data'!$A$3:$A$20000,"&lt;="&amp;P$4,'ChatGPT data'!$B$3:$B$20000,$A80),IF($B80="LinkedIn Ads",SUMIFS('LinkedIn data'!$I$3:$I$20000,'LinkedIn data'!$A$3:$A$20000,"&gt;="&amp;P$3,'LinkedIn data'!$A$3:$A$20000,"&lt;="&amp;P$4,'LinkedIn data'!$B$3:$B$20000,$A80),0)))))</f>
        <v/>
      </c>
      <c r="Q80" s="14" t="str">
        <f aca="false">IF($A80="","",IF($B80="Meta",SUMIFS('Meta data'!$I$3:$I$20000,'Meta data'!$A$3:$A$20000,"&gt;="&amp;Q$3,'Meta data'!$A$3:$A$20000,"&lt;="&amp;Q$4,'Meta data'!$B$3:$B$20000,$A80),IF($B80="Google Ads",SUMIFS('Google data'!$I$3:$I$20000,'Google data'!$A$3:$A$20000,"&gt;="&amp;Q$3,'Google data'!$A$3:$A$20000,"&lt;="&amp;Q$4,'Google data'!$B$3:$B$20000,$A80),IF($B80="ChatGPT Ads",SUMIFS('ChatGPT data'!$I$3:$I$20000,'ChatGPT data'!$A$3:$A$20000,"&gt;="&amp;Q$3,'ChatGPT data'!$A$3:$A$20000,"&lt;="&amp;Q$4,'ChatGPT data'!$B$3:$B$20000,$A80),IF($B80="LinkedIn Ads",SUMIFS('LinkedIn data'!$I$3:$I$20000,'LinkedIn data'!$A$3:$A$20000,"&gt;="&amp;Q$3,'LinkedIn data'!$A$3:$A$20000,"&lt;="&amp;Q$4,'LinkedIn data'!$B$3:$B$20000,$A80),0)))))</f>
        <v/>
      </c>
      <c r="R80" s="15" t="str">
        <f aca="false">IF($A80="","",SUM(F80:Q80))</f>
        <v/>
      </c>
      <c r="S80" s="37" t="str">
        <f aca="false">IF($A80="","",IF($B80="Meta",SUMIFS('Meta data'!$E$3:$E$20000,'Meta data'!$B$3:$B$20000,$A80),IF($B80="Google Ads",SUMIFS('Google data'!$E$3:$E$20000,'Google data'!$B$3:$B$20000,$A80),IF($B80="ChatGPT Ads",SUMIFS('ChatGPT data'!$E$3:$E$20000,'ChatGPT data'!$B$3:$B$20000,$A80),IF($B80="LinkedIn Ads",SUMIFS('LinkedIn data'!$E$3:$E$20000,'LinkedIn data'!$B$3:$B$20000,$A80),0)))))</f>
        <v/>
      </c>
      <c r="T80" s="37" t="str">
        <f aca="false">IF($A80="","",IF($B80="Meta",SUMIFS('Meta data'!$F$3:$F$20000,'Meta data'!$B$3:$B$20000,$A80),IF($B80="Google Ads",SUMIFS('Google data'!$F$3:$F$20000,'Google data'!$B$3:$B$20000,$A80),IF($B80="ChatGPT Ads",SUMIFS('ChatGPT data'!$F$3:$F$20000,'ChatGPT data'!$B$3:$B$20000,$A80),IF($B80="LinkedIn Ads",SUMIFS('LinkedIn data'!$F$3:$F$20000,'LinkedIn data'!$B$3:$B$20000,$A80),0)))))</f>
        <v/>
      </c>
      <c r="U80" s="38" t="str">
        <f aca="false">IF(OR($A80="",T80=0),"",R80/T80)</f>
        <v/>
      </c>
    </row>
    <row r="81" customFormat="false" ht="15" hidden="false" customHeight="false" outlineLevel="0" collapsed="false">
      <c r="A81" s="59"/>
      <c r="B81" s="59"/>
      <c r="C81" s="59"/>
      <c r="D81" s="59"/>
      <c r="E81" s="59"/>
      <c r="F81" s="14" t="str">
        <f aca="false">IF($A81="","",IF($B81="Meta",SUMIFS('Meta data'!$I$3:$I$20000,'Meta data'!$A$3:$A$20000,"&gt;="&amp;F$3,'Meta data'!$A$3:$A$20000,"&lt;="&amp;F$4,'Meta data'!$B$3:$B$20000,$A81),IF($B81="Google Ads",SUMIFS('Google data'!$I$3:$I$20000,'Google data'!$A$3:$A$20000,"&gt;="&amp;F$3,'Google data'!$A$3:$A$20000,"&lt;="&amp;F$4,'Google data'!$B$3:$B$20000,$A81),IF($B81="ChatGPT Ads",SUMIFS('ChatGPT data'!$I$3:$I$20000,'ChatGPT data'!$A$3:$A$20000,"&gt;="&amp;F$3,'ChatGPT data'!$A$3:$A$20000,"&lt;="&amp;F$4,'ChatGPT data'!$B$3:$B$20000,$A81),IF($B81="LinkedIn Ads",SUMIFS('LinkedIn data'!$I$3:$I$20000,'LinkedIn data'!$A$3:$A$20000,"&gt;="&amp;F$3,'LinkedIn data'!$A$3:$A$20000,"&lt;="&amp;F$4,'LinkedIn data'!$B$3:$B$20000,$A81),0)))))</f>
        <v/>
      </c>
      <c r="G81" s="14" t="str">
        <f aca="false">IF($A81="","",IF($B81="Meta",SUMIFS('Meta data'!$I$3:$I$20000,'Meta data'!$A$3:$A$20000,"&gt;="&amp;G$3,'Meta data'!$A$3:$A$20000,"&lt;="&amp;G$4,'Meta data'!$B$3:$B$20000,$A81),IF($B81="Google Ads",SUMIFS('Google data'!$I$3:$I$20000,'Google data'!$A$3:$A$20000,"&gt;="&amp;G$3,'Google data'!$A$3:$A$20000,"&lt;="&amp;G$4,'Google data'!$B$3:$B$20000,$A81),IF($B81="ChatGPT Ads",SUMIFS('ChatGPT data'!$I$3:$I$20000,'ChatGPT data'!$A$3:$A$20000,"&gt;="&amp;G$3,'ChatGPT data'!$A$3:$A$20000,"&lt;="&amp;G$4,'ChatGPT data'!$B$3:$B$20000,$A81),IF($B81="LinkedIn Ads",SUMIFS('LinkedIn data'!$I$3:$I$20000,'LinkedIn data'!$A$3:$A$20000,"&gt;="&amp;G$3,'LinkedIn data'!$A$3:$A$20000,"&lt;="&amp;G$4,'LinkedIn data'!$B$3:$B$20000,$A81),0)))))</f>
        <v/>
      </c>
      <c r="H81" s="14" t="str">
        <f aca="false">IF($A81="","",IF($B81="Meta",SUMIFS('Meta data'!$I$3:$I$20000,'Meta data'!$A$3:$A$20000,"&gt;="&amp;H$3,'Meta data'!$A$3:$A$20000,"&lt;="&amp;H$4,'Meta data'!$B$3:$B$20000,$A81),IF($B81="Google Ads",SUMIFS('Google data'!$I$3:$I$20000,'Google data'!$A$3:$A$20000,"&gt;="&amp;H$3,'Google data'!$A$3:$A$20000,"&lt;="&amp;H$4,'Google data'!$B$3:$B$20000,$A81),IF($B81="ChatGPT Ads",SUMIFS('ChatGPT data'!$I$3:$I$20000,'ChatGPT data'!$A$3:$A$20000,"&gt;="&amp;H$3,'ChatGPT data'!$A$3:$A$20000,"&lt;="&amp;H$4,'ChatGPT data'!$B$3:$B$20000,$A81),IF($B81="LinkedIn Ads",SUMIFS('LinkedIn data'!$I$3:$I$20000,'LinkedIn data'!$A$3:$A$20000,"&gt;="&amp;H$3,'LinkedIn data'!$A$3:$A$20000,"&lt;="&amp;H$4,'LinkedIn data'!$B$3:$B$20000,$A81),0)))))</f>
        <v/>
      </c>
      <c r="I81" s="14" t="str">
        <f aca="false">IF($A81="","",IF($B81="Meta",SUMIFS('Meta data'!$I$3:$I$20000,'Meta data'!$A$3:$A$20000,"&gt;="&amp;I$3,'Meta data'!$A$3:$A$20000,"&lt;="&amp;I$4,'Meta data'!$B$3:$B$20000,$A81),IF($B81="Google Ads",SUMIFS('Google data'!$I$3:$I$20000,'Google data'!$A$3:$A$20000,"&gt;="&amp;I$3,'Google data'!$A$3:$A$20000,"&lt;="&amp;I$4,'Google data'!$B$3:$B$20000,$A81),IF($B81="ChatGPT Ads",SUMIFS('ChatGPT data'!$I$3:$I$20000,'ChatGPT data'!$A$3:$A$20000,"&gt;="&amp;I$3,'ChatGPT data'!$A$3:$A$20000,"&lt;="&amp;I$4,'ChatGPT data'!$B$3:$B$20000,$A81),IF($B81="LinkedIn Ads",SUMIFS('LinkedIn data'!$I$3:$I$20000,'LinkedIn data'!$A$3:$A$20000,"&gt;="&amp;I$3,'LinkedIn data'!$A$3:$A$20000,"&lt;="&amp;I$4,'LinkedIn data'!$B$3:$B$20000,$A81),0)))))</f>
        <v/>
      </c>
      <c r="J81" s="14" t="str">
        <f aca="false">IF($A81="","",IF($B81="Meta",SUMIFS('Meta data'!$I$3:$I$20000,'Meta data'!$A$3:$A$20000,"&gt;="&amp;J$3,'Meta data'!$A$3:$A$20000,"&lt;="&amp;J$4,'Meta data'!$B$3:$B$20000,$A81),IF($B81="Google Ads",SUMIFS('Google data'!$I$3:$I$20000,'Google data'!$A$3:$A$20000,"&gt;="&amp;J$3,'Google data'!$A$3:$A$20000,"&lt;="&amp;J$4,'Google data'!$B$3:$B$20000,$A81),IF($B81="ChatGPT Ads",SUMIFS('ChatGPT data'!$I$3:$I$20000,'ChatGPT data'!$A$3:$A$20000,"&gt;="&amp;J$3,'ChatGPT data'!$A$3:$A$20000,"&lt;="&amp;J$4,'ChatGPT data'!$B$3:$B$20000,$A81),IF($B81="LinkedIn Ads",SUMIFS('LinkedIn data'!$I$3:$I$20000,'LinkedIn data'!$A$3:$A$20000,"&gt;="&amp;J$3,'LinkedIn data'!$A$3:$A$20000,"&lt;="&amp;J$4,'LinkedIn data'!$B$3:$B$20000,$A81),0)))))</f>
        <v/>
      </c>
      <c r="K81" s="14" t="str">
        <f aca="false">IF($A81="","",IF($B81="Meta",SUMIFS('Meta data'!$I$3:$I$20000,'Meta data'!$A$3:$A$20000,"&gt;="&amp;K$3,'Meta data'!$A$3:$A$20000,"&lt;="&amp;K$4,'Meta data'!$B$3:$B$20000,$A81),IF($B81="Google Ads",SUMIFS('Google data'!$I$3:$I$20000,'Google data'!$A$3:$A$20000,"&gt;="&amp;K$3,'Google data'!$A$3:$A$20000,"&lt;="&amp;K$4,'Google data'!$B$3:$B$20000,$A81),IF($B81="ChatGPT Ads",SUMIFS('ChatGPT data'!$I$3:$I$20000,'ChatGPT data'!$A$3:$A$20000,"&gt;="&amp;K$3,'ChatGPT data'!$A$3:$A$20000,"&lt;="&amp;K$4,'ChatGPT data'!$B$3:$B$20000,$A81),IF($B81="LinkedIn Ads",SUMIFS('LinkedIn data'!$I$3:$I$20000,'LinkedIn data'!$A$3:$A$20000,"&gt;="&amp;K$3,'LinkedIn data'!$A$3:$A$20000,"&lt;="&amp;K$4,'LinkedIn data'!$B$3:$B$20000,$A81),0)))))</f>
        <v/>
      </c>
      <c r="L81" s="14" t="str">
        <f aca="false">IF($A81="","",IF($B81="Meta",SUMIFS('Meta data'!$I$3:$I$20000,'Meta data'!$A$3:$A$20000,"&gt;="&amp;L$3,'Meta data'!$A$3:$A$20000,"&lt;="&amp;L$4,'Meta data'!$B$3:$B$20000,$A81),IF($B81="Google Ads",SUMIFS('Google data'!$I$3:$I$20000,'Google data'!$A$3:$A$20000,"&gt;="&amp;L$3,'Google data'!$A$3:$A$20000,"&lt;="&amp;L$4,'Google data'!$B$3:$B$20000,$A81),IF($B81="ChatGPT Ads",SUMIFS('ChatGPT data'!$I$3:$I$20000,'ChatGPT data'!$A$3:$A$20000,"&gt;="&amp;L$3,'ChatGPT data'!$A$3:$A$20000,"&lt;="&amp;L$4,'ChatGPT data'!$B$3:$B$20000,$A81),IF($B81="LinkedIn Ads",SUMIFS('LinkedIn data'!$I$3:$I$20000,'LinkedIn data'!$A$3:$A$20000,"&gt;="&amp;L$3,'LinkedIn data'!$A$3:$A$20000,"&lt;="&amp;L$4,'LinkedIn data'!$B$3:$B$20000,$A81),0)))))</f>
        <v/>
      </c>
      <c r="M81" s="14" t="str">
        <f aca="false">IF($A81="","",IF($B81="Meta",SUMIFS('Meta data'!$I$3:$I$20000,'Meta data'!$A$3:$A$20000,"&gt;="&amp;M$3,'Meta data'!$A$3:$A$20000,"&lt;="&amp;M$4,'Meta data'!$B$3:$B$20000,$A81),IF($B81="Google Ads",SUMIFS('Google data'!$I$3:$I$20000,'Google data'!$A$3:$A$20000,"&gt;="&amp;M$3,'Google data'!$A$3:$A$20000,"&lt;="&amp;M$4,'Google data'!$B$3:$B$20000,$A81),IF($B81="ChatGPT Ads",SUMIFS('ChatGPT data'!$I$3:$I$20000,'ChatGPT data'!$A$3:$A$20000,"&gt;="&amp;M$3,'ChatGPT data'!$A$3:$A$20000,"&lt;="&amp;M$4,'ChatGPT data'!$B$3:$B$20000,$A81),IF($B81="LinkedIn Ads",SUMIFS('LinkedIn data'!$I$3:$I$20000,'LinkedIn data'!$A$3:$A$20000,"&gt;="&amp;M$3,'LinkedIn data'!$A$3:$A$20000,"&lt;="&amp;M$4,'LinkedIn data'!$B$3:$B$20000,$A81),0)))))</f>
        <v/>
      </c>
      <c r="N81" s="14" t="str">
        <f aca="false">IF($A81="","",IF($B81="Meta",SUMIFS('Meta data'!$I$3:$I$20000,'Meta data'!$A$3:$A$20000,"&gt;="&amp;N$3,'Meta data'!$A$3:$A$20000,"&lt;="&amp;N$4,'Meta data'!$B$3:$B$20000,$A81),IF($B81="Google Ads",SUMIFS('Google data'!$I$3:$I$20000,'Google data'!$A$3:$A$20000,"&gt;="&amp;N$3,'Google data'!$A$3:$A$20000,"&lt;="&amp;N$4,'Google data'!$B$3:$B$20000,$A81),IF($B81="ChatGPT Ads",SUMIFS('ChatGPT data'!$I$3:$I$20000,'ChatGPT data'!$A$3:$A$20000,"&gt;="&amp;N$3,'ChatGPT data'!$A$3:$A$20000,"&lt;="&amp;N$4,'ChatGPT data'!$B$3:$B$20000,$A81),IF($B81="LinkedIn Ads",SUMIFS('LinkedIn data'!$I$3:$I$20000,'LinkedIn data'!$A$3:$A$20000,"&gt;="&amp;N$3,'LinkedIn data'!$A$3:$A$20000,"&lt;="&amp;N$4,'LinkedIn data'!$B$3:$B$20000,$A81),0)))))</f>
        <v/>
      </c>
      <c r="O81" s="14" t="str">
        <f aca="false">IF($A81="","",IF($B81="Meta",SUMIFS('Meta data'!$I$3:$I$20000,'Meta data'!$A$3:$A$20000,"&gt;="&amp;O$3,'Meta data'!$A$3:$A$20000,"&lt;="&amp;O$4,'Meta data'!$B$3:$B$20000,$A81),IF($B81="Google Ads",SUMIFS('Google data'!$I$3:$I$20000,'Google data'!$A$3:$A$20000,"&gt;="&amp;O$3,'Google data'!$A$3:$A$20000,"&lt;="&amp;O$4,'Google data'!$B$3:$B$20000,$A81),IF($B81="ChatGPT Ads",SUMIFS('ChatGPT data'!$I$3:$I$20000,'ChatGPT data'!$A$3:$A$20000,"&gt;="&amp;O$3,'ChatGPT data'!$A$3:$A$20000,"&lt;="&amp;O$4,'ChatGPT data'!$B$3:$B$20000,$A81),IF($B81="LinkedIn Ads",SUMIFS('LinkedIn data'!$I$3:$I$20000,'LinkedIn data'!$A$3:$A$20000,"&gt;="&amp;O$3,'LinkedIn data'!$A$3:$A$20000,"&lt;="&amp;O$4,'LinkedIn data'!$B$3:$B$20000,$A81),0)))))</f>
        <v/>
      </c>
      <c r="P81" s="14" t="str">
        <f aca="false">IF($A81="","",IF($B81="Meta",SUMIFS('Meta data'!$I$3:$I$20000,'Meta data'!$A$3:$A$20000,"&gt;="&amp;P$3,'Meta data'!$A$3:$A$20000,"&lt;="&amp;P$4,'Meta data'!$B$3:$B$20000,$A81),IF($B81="Google Ads",SUMIFS('Google data'!$I$3:$I$20000,'Google data'!$A$3:$A$20000,"&gt;="&amp;P$3,'Google data'!$A$3:$A$20000,"&lt;="&amp;P$4,'Google data'!$B$3:$B$20000,$A81),IF($B81="ChatGPT Ads",SUMIFS('ChatGPT data'!$I$3:$I$20000,'ChatGPT data'!$A$3:$A$20000,"&gt;="&amp;P$3,'ChatGPT data'!$A$3:$A$20000,"&lt;="&amp;P$4,'ChatGPT data'!$B$3:$B$20000,$A81),IF($B81="LinkedIn Ads",SUMIFS('LinkedIn data'!$I$3:$I$20000,'LinkedIn data'!$A$3:$A$20000,"&gt;="&amp;P$3,'LinkedIn data'!$A$3:$A$20000,"&lt;="&amp;P$4,'LinkedIn data'!$B$3:$B$20000,$A81),0)))))</f>
        <v/>
      </c>
      <c r="Q81" s="14" t="str">
        <f aca="false">IF($A81="","",IF($B81="Meta",SUMIFS('Meta data'!$I$3:$I$20000,'Meta data'!$A$3:$A$20000,"&gt;="&amp;Q$3,'Meta data'!$A$3:$A$20000,"&lt;="&amp;Q$4,'Meta data'!$B$3:$B$20000,$A81),IF($B81="Google Ads",SUMIFS('Google data'!$I$3:$I$20000,'Google data'!$A$3:$A$20000,"&gt;="&amp;Q$3,'Google data'!$A$3:$A$20000,"&lt;="&amp;Q$4,'Google data'!$B$3:$B$20000,$A81),IF($B81="ChatGPT Ads",SUMIFS('ChatGPT data'!$I$3:$I$20000,'ChatGPT data'!$A$3:$A$20000,"&gt;="&amp;Q$3,'ChatGPT data'!$A$3:$A$20000,"&lt;="&amp;Q$4,'ChatGPT data'!$B$3:$B$20000,$A81),IF($B81="LinkedIn Ads",SUMIFS('LinkedIn data'!$I$3:$I$20000,'LinkedIn data'!$A$3:$A$20000,"&gt;="&amp;Q$3,'LinkedIn data'!$A$3:$A$20000,"&lt;="&amp;Q$4,'LinkedIn data'!$B$3:$B$20000,$A81),0)))))</f>
        <v/>
      </c>
      <c r="R81" s="15" t="str">
        <f aca="false">IF($A81="","",SUM(F81:Q81))</f>
        <v/>
      </c>
      <c r="S81" s="37" t="str">
        <f aca="false">IF($A81="","",IF($B81="Meta",SUMIFS('Meta data'!$E$3:$E$20000,'Meta data'!$B$3:$B$20000,$A81),IF($B81="Google Ads",SUMIFS('Google data'!$E$3:$E$20000,'Google data'!$B$3:$B$20000,$A81),IF($B81="ChatGPT Ads",SUMIFS('ChatGPT data'!$E$3:$E$20000,'ChatGPT data'!$B$3:$B$20000,$A81),IF($B81="LinkedIn Ads",SUMIFS('LinkedIn data'!$E$3:$E$20000,'LinkedIn data'!$B$3:$B$20000,$A81),0)))))</f>
        <v/>
      </c>
      <c r="T81" s="37" t="str">
        <f aca="false">IF($A81="","",IF($B81="Meta",SUMIFS('Meta data'!$F$3:$F$20000,'Meta data'!$B$3:$B$20000,$A81),IF($B81="Google Ads",SUMIFS('Google data'!$F$3:$F$20000,'Google data'!$B$3:$B$20000,$A81),IF($B81="ChatGPT Ads",SUMIFS('ChatGPT data'!$F$3:$F$20000,'ChatGPT data'!$B$3:$B$20000,$A81),IF($B81="LinkedIn Ads",SUMIFS('LinkedIn data'!$F$3:$F$20000,'LinkedIn data'!$B$3:$B$20000,$A81),0)))))</f>
        <v/>
      </c>
      <c r="U81" s="38" t="str">
        <f aca="false">IF(OR($A81="",T81=0),"",R81/T81)</f>
        <v/>
      </c>
    </row>
    <row r="82" customFormat="false" ht="15" hidden="false" customHeight="false" outlineLevel="0" collapsed="false">
      <c r="A82" s="59"/>
      <c r="B82" s="59"/>
      <c r="C82" s="59"/>
      <c r="D82" s="59"/>
      <c r="E82" s="59"/>
      <c r="F82" s="14" t="str">
        <f aca="false">IF($A82="","",IF($B82="Meta",SUMIFS('Meta data'!$I$3:$I$20000,'Meta data'!$A$3:$A$20000,"&gt;="&amp;F$3,'Meta data'!$A$3:$A$20000,"&lt;="&amp;F$4,'Meta data'!$B$3:$B$20000,$A82),IF($B82="Google Ads",SUMIFS('Google data'!$I$3:$I$20000,'Google data'!$A$3:$A$20000,"&gt;="&amp;F$3,'Google data'!$A$3:$A$20000,"&lt;="&amp;F$4,'Google data'!$B$3:$B$20000,$A82),IF($B82="ChatGPT Ads",SUMIFS('ChatGPT data'!$I$3:$I$20000,'ChatGPT data'!$A$3:$A$20000,"&gt;="&amp;F$3,'ChatGPT data'!$A$3:$A$20000,"&lt;="&amp;F$4,'ChatGPT data'!$B$3:$B$20000,$A82),IF($B82="LinkedIn Ads",SUMIFS('LinkedIn data'!$I$3:$I$20000,'LinkedIn data'!$A$3:$A$20000,"&gt;="&amp;F$3,'LinkedIn data'!$A$3:$A$20000,"&lt;="&amp;F$4,'LinkedIn data'!$B$3:$B$20000,$A82),0)))))</f>
        <v/>
      </c>
      <c r="G82" s="14" t="str">
        <f aca="false">IF($A82="","",IF($B82="Meta",SUMIFS('Meta data'!$I$3:$I$20000,'Meta data'!$A$3:$A$20000,"&gt;="&amp;G$3,'Meta data'!$A$3:$A$20000,"&lt;="&amp;G$4,'Meta data'!$B$3:$B$20000,$A82),IF($B82="Google Ads",SUMIFS('Google data'!$I$3:$I$20000,'Google data'!$A$3:$A$20000,"&gt;="&amp;G$3,'Google data'!$A$3:$A$20000,"&lt;="&amp;G$4,'Google data'!$B$3:$B$20000,$A82),IF($B82="ChatGPT Ads",SUMIFS('ChatGPT data'!$I$3:$I$20000,'ChatGPT data'!$A$3:$A$20000,"&gt;="&amp;G$3,'ChatGPT data'!$A$3:$A$20000,"&lt;="&amp;G$4,'ChatGPT data'!$B$3:$B$20000,$A82),IF($B82="LinkedIn Ads",SUMIFS('LinkedIn data'!$I$3:$I$20000,'LinkedIn data'!$A$3:$A$20000,"&gt;="&amp;G$3,'LinkedIn data'!$A$3:$A$20000,"&lt;="&amp;G$4,'LinkedIn data'!$B$3:$B$20000,$A82),0)))))</f>
        <v/>
      </c>
      <c r="H82" s="14" t="str">
        <f aca="false">IF($A82="","",IF($B82="Meta",SUMIFS('Meta data'!$I$3:$I$20000,'Meta data'!$A$3:$A$20000,"&gt;="&amp;H$3,'Meta data'!$A$3:$A$20000,"&lt;="&amp;H$4,'Meta data'!$B$3:$B$20000,$A82),IF($B82="Google Ads",SUMIFS('Google data'!$I$3:$I$20000,'Google data'!$A$3:$A$20000,"&gt;="&amp;H$3,'Google data'!$A$3:$A$20000,"&lt;="&amp;H$4,'Google data'!$B$3:$B$20000,$A82),IF($B82="ChatGPT Ads",SUMIFS('ChatGPT data'!$I$3:$I$20000,'ChatGPT data'!$A$3:$A$20000,"&gt;="&amp;H$3,'ChatGPT data'!$A$3:$A$20000,"&lt;="&amp;H$4,'ChatGPT data'!$B$3:$B$20000,$A82),IF($B82="LinkedIn Ads",SUMIFS('LinkedIn data'!$I$3:$I$20000,'LinkedIn data'!$A$3:$A$20000,"&gt;="&amp;H$3,'LinkedIn data'!$A$3:$A$20000,"&lt;="&amp;H$4,'LinkedIn data'!$B$3:$B$20000,$A82),0)))))</f>
        <v/>
      </c>
      <c r="I82" s="14" t="str">
        <f aca="false">IF($A82="","",IF($B82="Meta",SUMIFS('Meta data'!$I$3:$I$20000,'Meta data'!$A$3:$A$20000,"&gt;="&amp;I$3,'Meta data'!$A$3:$A$20000,"&lt;="&amp;I$4,'Meta data'!$B$3:$B$20000,$A82),IF($B82="Google Ads",SUMIFS('Google data'!$I$3:$I$20000,'Google data'!$A$3:$A$20000,"&gt;="&amp;I$3,'Google data'!$A$3:$A$20000,"&lt;="&amp;I$4,'Google data'!$B$3:$B$20000,$A82),IF($B82="ChatGPT Ads",SUMIFS('ChatGPT data'!$I$3:$I$20000,'ChatGPT data'!$A$3:$A$20000,"&gt;="&amp;I$3,'ChatGPT data'!$A$3:$A$20000,"&lt;="&amp;I$4,'ChatGPT data'!$B$3:$B$20000,$A82),IF($B82="LinkedIn Ads",SUMIFS('LinkedIn data'!$I$3:$I$20000,'LinkedIn data'!$A$3:$A$20000,"&gt;="&amp;I$3,'LinkedIn data'!$A$3:$A$20000,"&lt;="&amp;I$4,'LinkedIn data'!$B$3:$B$20000,$A82),0)))))</f>
        <v/>
      </c>
      <c r="J82" s="14" t="str">
        <f aca="false">IF($A82="","",IF($B82="Meta",SUMIFS('Meta data'!$I$3:$I$20000,'Meta data'!$A$3:$A$20000,"&gt;="&amp;J$3,'Meta data'!$A$3:$A$20000,"&lt;="&amp;J$4,'Meta data'!$B$3:$B$20000,$A82),IF($B82="Google Ads",SUMIFS('Google data'!$I$3:$I$20000,'Google data'!$A$3:$A$20000,"&gt;="&amp;J$3,'Google data'!$A$3:$A$20000,"&lt;="&amp;J$4,'Google data'!$B$3:$B$20000,$A82),IF($B82="ChatGPT Ads",SUMIFS('ChatGPT data'!$I$3:$I$20000,'ChatGPT data'!$A$3:$A$20000,"&gt;="&amp;J$3,'ChatGPT data'!$A$3:$A$20000,"&lt;="&amp;J$4,'ChatGPT data'!$B$3:$B$20000,$A82),IF($B82="LinkedIn Ads",SUMIFS('LinkedIn data'!$I$3:$I$20000,'LinkedIn data'!$A$3:$A$20000,"&gt;="&amp;J$3,'LinkedIn data'!$A$3:$A$20000,"&lt;="&amp;J$4,'LinkedIn data'!$B$3:$B$20000,$A82),0)))))</f>
        <v/>
      </c>
      <c r="K82" s="14" t="str">
        <f aca="false">IF($A82="","",IF($B82="Meta",SUMIFS('Meta data'!$I$3:$I$20000,'Meta data'!$A$3:$A$20000,"&gt;="&amp;K$3,'Meta data'!$A$3:$A$20000,"&lt;="&amp;K$4,'Meta data'!$B$3:$B$20000,$A82),IF($B82="Google Ads",SUMIFS('Google data'!$I$3:$I$20000,'Google data'!$A$3:$A$20000,"&gt;="&amp;K$3,'Google data'!$A$3:$A$20000,"&lt;="&amp;K$4,'Google data'!$B$3:$B$20000,$A82),IF($B82="ChatGPT Ads",SUMIFS('ChatGPT data'!$I$3:$I$20000,'ChatGPT data'!$A$3:$A$20000,"&gt;="&amp;K$3,'ChatGPT data'!$A$3:$A$20000,"&lt;="&amp;K$4,'ChatGPT data'!$B$3:$B$20000,$A82),IF($B82="LinkedIn Ads",SUMIFS('LinkedIn data'!$I$3:$I$20000,'LinkedIn data'!$A$3:$A$20000,"&gt;="&amp;K$3,'LinkedIn data'!$A$3:$A$20000,"&lt;="&amp;K$4,'LinkedIn data'!$B$3:$B$20000,$A82),0)))))</f>
        <v/>
      </c>
      <c r="L82" s="14" t="str">
        <f aca="false">IF($A82="","",IF($B82="Meta",SUMIFS('Meta data'!$I$3:$I$20000,'Meta data'!$A$3:$A$20000,"&gt;="&amp;L$3,'Meta data'!$A$3:$A$20000,"&lt;="&amp;L$4,'Meta data'!$B$3:$B$20000,$A82),IF($B82="Google Ads",SUMIFS('Google data'!$I$3:$I$20000,'Google data'!$A$3:$A$20000,"&gt;="&amp;L$3,'Google data'!$A$3:$A$20000,"&lt;="&amp;L$4,'Google data'!$B$3:$B$20000,$A82),IF($B82="ChatGPT Ads",SUMIFS('ChatGPT data'!$I$3:$I$20000,'ChatGPT data'!$A$3:$A$20000,"&gt;="&amp;L$3,'ChatGPT data'!$A$3:$A$20000,"&lt;="&amp;L$4,'ChatGPT data'!$B$3:$B$20000,$A82),IF($B82="LinkedIn Ads",SUMIFS('LinkedIn data'!$I$3:$I$20000,'LinkedIn data'!$A$3:$A$20000,"&gt;="&amp;L$3,'LinkedIn data'!$A$3:$A$20000,"&lt;="&amp;L$4,'LinkedIn data'!$B$3:$B$20000,$A82),0)))))</f>
        <v/>
      </c>
      <c r="M82" s="14" t="str">
        <f aca="false">IF($A82="","",IF($B82="Meta",SUMIFS('Meta data'!$I$3:$I$20000,'Meta data'!$A$3:$A$20000,"&gt;="&amp;M$3,'Meta data'!$A$3:$A$20000,"&lt;="&amp;M$4,'Meta data'!$B$3:$B$20000,$A82),IF($B82="Google Ads",SUMIFS('Google data'!$I$3:$I$20000,'Google data'!$A$3:$A$20000,"&gt;="&amp;M$3,'Google data'!$A$3:$A$20000,"&lt;="&amp;M$4,'Google data'!$B$3:$B$20000,$A82),IF($B82="ChatGPT Ads",SUMIFS('ChatGPT data'!$I$3:$I$20000,'ChatGPT data'!$A$3:$A$20000,"&gt;="&amp;M$3,'ChatGPT data'!$A$3:$A$20000,"&lt;="&amp;M$4,'ChatGPT data'!$B$3:$B$20000,$A82),IF($B82="LinkedIn Ads",SUMIFS('LinkedIn data'!$I$3:$I$20000,'LinkedIn data'!$A$3:$A$20000,"&gt;="&amp;M$3,'LinkedIn data'!$A$3:$A$20000,"&lt;="&amp;M$4,'LinkedIn data'!$B$3:$B$20000,$A82),0)))))</f>
        <v/>
      </c>
      <c r="N82" s="14" t="str">
        <f aca="false">IF($A82="","",IF($B82="Meta",SUMIFS('Meta data'!$I$3:$I$20000,'Meta data'!$A$3:$A$20000,"&gt;="&amp;N$3,'Meta data'!$A$3:$A$20000,"&lt;="&amp;N$4,'Meta data'!$B$3:$B$20000,$A82),IF($B82="Google Ads",SUMIFS('Google data'!$I$3:$I$20000,'Google data'!$A$3:$A$20000,"&gt;="&amp;N$3,'Google data'!$A$3:$A$20000,"&lt;="&amp;N$4,'Google data'!$B$3:$B$20000,$A82),IF($B82="ChatGPT Ads",SUMIFS('ChatGPT data'!$I$3:$I$20000,'ChatGPT data'!$A$3:$A$20000,"&gt;="&amp;N$3,'ChatGPT data'!$A$3:$A$20000,"&lt;="&amp;N$4,'ChatGPT data'!$B$3:$B$20000,$A82),IF($B82="LinkedIn Ads",SUMIFS('LinkedIn data'!$I$3:$I$20000,'LinkedIn data'!$A$3:$A$20000,"&gt;="&amp;N$3,'LinkedIn data'!$A$3:$A$20000,"&lt;="&amp;N$4,'LinkedIn data'!$B$3:$B$20000,$A82),0)))))</f>
        <v/>
      </c>
      <c r="O82" s="14" t="str">
        <f aca="false">IF($A82="","",IF($B82="Meta",SUMIFS('Meta data'!$I$3:$I$20000,'Meta data'!$A$3:$A$20000,"&gt;="&amp;O$3,'Meta data'!$A$3:$A$20000,"&lt;="&amp;O$4,'Meta data'!$B$3:$B$20000,$A82),IF($B82="Google Ads",SUMIFS('Google data'!$I$3:$I$20000,'Google data'!$A$3:$A$20000,"&gt;="&amp;O$3,'Google data'!$A$3:$A$20000,"&lt;="&amp;O$4,'Google data'!$B$3:$B$20000,$A82),IF($B82="ChatGPT Ads",SUMIFS('ChatGPT data'!$I$3:$I$20000,'ChatGPT data'!$A$3:$A$20000,"&gt;="&amp;O$3,'ChatGPT data'!$A$3:$A$20000,"&lt;="&amp;O$4,'ChatGPT data'!$B$3:$B$20000,$A82),IF($B82="LinkedIn Ads",SUMIFS('LinkedIn data'!$I$3:$I$20000,'LinkedIn data'!$A$3:$A$20000,"&gt;="&amp;O$3,'LinkedIn data'!$A$3:$A$20000,"&lt;="&amp;O$4,'LinkedIn data'!$B$3:$B$20000,$A82),0)))))</f>
        <v/>
      </c>
      <c r="P82" s="14" t="str">
        <f aca="false">IF($A82="","",IF($B82="Meta",SUMIFS('Meta data'!$I$3:$I$20000,'Meta data'!$A$3:$A$20000,"&gt;="&amp;P$3,'Meta data'!$A$3:$A$20000,"&lt;="&amp;P$4,'Meta data'!$B$3:$B$20000,$A82),IF($B82="Google Ads",SUMIFS('Google data'!$I$3:$I$20000,'Google data'!$A$3:$A$20000,"&gt;="&amp;P$3,'Google data'!$A$3:$A$20000,"&lt;="&amp;P$4,'Google data'!$B$3:$B$20000,$A82),IF($B82="ChatGPT Ads",SUMIFS('ChatGPT data'!$I$3:$I$20000,'ChatGPT data'!$A$3:$A$20000,"&gt;="&amp;P$3,'ChatGPT data'!$A$3:$A$20000,"&lt;="&amp;P$4,'ChatGPT data'!$B$3:$B$20000,$A82),IF($B82="LinkedIn Ads",SUMIFS('LinkedIn data'!$I$3:$I$20000,'LinkedIn data'!$A$3:$A$20000,"&gt;="&amp;P$3,'LinkedIn data'!$A$3:$A$20000,"&lt;="&amp;P$4,'LinkedIn data'!$B$3:$B$20000,$A82),0)))))</f>
        <v/>
      </c>
      <c r="Q82" s="14" t="str">
        <f aca="false">IF($A82="","",IF($B82="Meta",SUMIFS('Meta data'!$I$3:$I$20000,'Meta data'!$A$3:$A$20000,"&gt;="&amp;Q$3,'Meta data'!$A$3:$A$20000,"&lt;="&amp;Q$4,'Meta data'!$B$3:$B$20000,$A82),IF($B82="Google Ads",SUMIFS('Google data'!$I$3:$I$20000,'Google data'!$A$3:$A$20000,"&gt;="&amp;Q$3,'Google data'!$A$3:$A$20000,"&lt;="&amp;Q$4,'Google data'!$B$3:$B$20000,$A82),IF($B82="ChatGPT Ads",SUMIFS('ChatGPT data'!$I$3:$I$20000,'ChatGPT data'!$A$3:$A$20000,"&gt;="&amp;Q$3,'ChatGPT data'!$A$3:$A$20000,"&lt;="&amp;Q$4,'ChatGPT data'!$B$3:$B$20000,$A82),IF($B82="LinkedIn Ads",SUMIFS('LinkedIn data'!$I$3:$I$20000,'LinkedIn data'!$A$3:$A$20000,"&gt;="&amp;Q$3,'LinkedIn data'!$A$3:$A$20000,"&lt;="&amp;Q$4,'LinkedIn data'!$B$3:$B$20000,$A82),0)))))</f>
        <v/>
      </c>
      <c r="R82" s="15" t="str">
        <f aca="false">IF($A82="","",SUM(F82:Q82))</f>
        <v/>
      </c>
      <c r="S82" s="37" t="str">
        <f aca="false">IF($A82="","",IF($B82="Meta",SUMIFS('Meta data'!$E$3:$E$20000,'Meta data'!$B$3:$B$20000,$A82),IF($B82="Google Ads",SUMIFS('Google data'!$E$3:$E$20000,'Google data'!$B$3:$B$20000,$A82),IF($B82="ChatGPT Ads",SUMIFS('ChatGPT data'!$E$3:$E$20000,'ChatGPT data'!$B$3:$B$20000,$A82),IF($B82="LinkedIn Ads",SUMIFS('LinkedIn data'!$E$3:$E$20000,'LinkedIn data'!$B$3:$B$20000,$A82),0)))))</f>
        <v/>
      </c>
      <c r="T82" s="37" t="str">
        <f aca="false">IF($A82="","",IF($B82="Meta",SUMIFS('Meta data'!$F$3:$F$20000,'Meta data'!$B$3:$B$20000,$A82),IF($B82="Google Ads",SUMIFS('Google data'!$F$3:$F$20000,'Google data'!$B$3:$B$20000,$A82),IF($B82="ChatGPT Ads",SUMIFS('ChatGPT data'!$F$3:$F$20000,'ChatGPT data'!$B$3:$B$20000,$A82),IF($B82="LinkedIn Ads",SUMIFS('LinkedIn data'!$F$3:$F$20000,'LinkedIn data'!$B$3:$B$20000,$A82),0)))))</f>
        <v/>
      </c>
      <c r="U82" s="38" t="str">
        <f aca="false">IF(OR($A82="",T82=0),"",R82/T82)</f>
        <v/>
      </c>
    </row>
    <row r="83" customFormat="false" ht="15" hidden="false" customHeight="false" outlineLevel="0" collapsed="false">
      <c r="A83" s="59"/>
      <c r="B83" s="59"/>
      <c r="C83" s="59"/>
      <c r="D83" s="59"/>
      <c r="E83" s="59"/>
      <c r="F83" s="14" t="str">
        <f aca="false">IF($A83="","",IF($B83="Meta",SUMIFS('Meta data'!$I$3:$I$20000,'Meta data'!$A$3:$A$20000,"&gt;="&amp;F$3,'Meta data'!$A$3:$A$20000,"&lt;="&amp;F$4,'Meta data'!$B$3:$B$20000,$A83),IF($B83="Google Ads",SUMIFS('Google data'!$I$3:$I$20000,'Google data'!$A$3:$A$20000,"&gt;="&amp;F$3,'Google data'!$A$3:$A$20000,"&lt;="&amp;F$4,'Google data'!$B$3:$B$20000,$A83),IF($B83="ChatGPT Ads",SUMIFS('ChatGPT data'!$I$3:$I$20000,'ChatGPT data'!$A$3:$A$20000,"&gt;="&amp;F$3,'ChatGPT data'!$A$3:$A$20000,"&lt;="&amp;F$4,'ChatGPT data'!$B$3:$B$20000,$A83),IF($B83="LinkedIn Ads",SUMIFS('LinkedIn data'!$I$3:$I$20000,'LinkedIn data'!$A$3:$A$20000,"&gt;="&amp;F$3,'LinkedIn data'!$A$3:$A$20000,"&lt;="&amp;F$4,'LinkedIn data'!$B$3:$B$20000,$A83),0)))))</f>
        <v/>
      </c>
      <c r="G83" s="14" t="str">
        <f aca="false">IF($A83="","",IF($B83="Meta",SUMIFS('Meta data'!$I$3:$I$20000,'Meta data'!$A$3:$A$20000,"&gt;="&amp;G$3,'Meta data'!$A$3:$A$20000,"&lt;="&amp;G$4,'Meta data'!$B$3:$B$20000,$A83),IF($B83="Google Ads",SUMIFS('Google data'!$I$3:$I$20000,'Google data'!$A$3:$A$20000,"&gt;="&amp;G$3,'Google data'!$A$3:$A$20000,"&lt;="&amp;G$4,'Google data'!$B$3:$B$20000,$A83),IF($B83="ChatGPT Ads",SUMIFS('ChatGPT data'!$I$3:$I$20000,'ChatGPT data'!$A$3:$A$20000,"&gt;="&amp;G$3,'ChatGPT data'!$A$3:$A$20000,"&lt;="&amp;G$4,'ChatGPT data'!$B$3:$B$20000,$A83),IF($B83="LinkedIn Ads",SUMIFS('LinkedIn data'!$I$3:$I$20000,'LinkedIn data'!$A$3:$A$20000,"&gt;="&amp;G$3,'LinkedIn data'!$A$3:$A$20000,"&lt;="&amp;G$4,'LinkedIn data'!$B$3:$B$20000,$A83),0)))))</f>
        <v/>
      </c>
      <c r="H83" s="14" t="str">
        <f aca="false">IF($A83="","",IF($B83="Meta",SUMIFS('Meta data'!$I$3:$I$20000,'Meta data'!$A$3:$A$20000,"&gt;="&amp;H$3,'Meta data'!$A$3:$A$20000,"&lt;="&amp;H$4,'Meta data'!$B$3:$B$20000,$A83),IF($B83="Google Ads",SUMIFS('Google data'!$I$3:$I$20000,'Google data'!$A$3:$A$20000,"&gt;="&amp;H$3,'Google data'!$A$3:$A$20000,"&lt;="&amp;H$4,'Google data'!$B$3:$B$20000,$A83),IF($B83="ChatGPT Ads",SUMIFS('ChatGPT data'!$I$3:$I$20000,'ChatGPT data'!$A$3:$A$20000,"&gt;="&amp;H$3,'ChatGPT data'!$A$3:$A$20000,"&lt;="&amp;H$4,'ChatGPT data'!$B$3:$B$20000,$A83),IF($B83="LinkedIn Ads",SUMIFS('LinkedIn data'!$I$3:$I$20000,'LinkedIn data'!$A$3:$A$20000,"&gt;="&amp;H$3,'LinkedIn data'!$A$3:$A$20000,"&lt;="&amp;H$4,'LinkedIn data'!$B$3:$B$20000,$A83),0)))))</f>
        <v/>
      </c>
      <c r="I83" s="14" t="str">
        <f aca="false">IF($A83="","",IF($B83="Meta",SUMIFS('Meta data'!$I$3:$I$20000,'Meta data'!$A$3:$A$20000,"&gt;="&amp;I$3,'Meta data'!$A$3:$A$20000,"&lt;="&amp;I$4,'Meta data'!$B$3:$B$20000,$A83),IF($B83="Google Ads",SUMIFS('Google data'!$I$3:$I$20000,'Google data'!$A$3:$A$20000,"&gt;="&amp;I$3,'Google data'!$A$3:$A$20000,"&lt;="&amp;I$4,'Google data'!$B$3:$B$20000,$A83),IF($B83="ChatGPT Ads",SUMIFS('ChatGPT data'!$I$3:$I$20000,'ChatGPT data'!$A$3:$A$20000,"&gt;="&amp;I$3,'ChatGPT data'!$A$3:$A$20000,"&lt;="&amp;I$4,'ChatGPT data'!$B$3:$B$20000,$A83),IF($B83="LinkedIn Ads",SUMIFS('LinkedIn data'!$I$3:$I$20000,'LinkedIn data'!$A$3:$A$20000,"&gt;="&amp;I$3,'LinkedIn data'!$A$3:$A$20000,"&lt;="&amp;I$4,'LinkedIn data'!$B$3:$B$20000,$A83),0)))))</f>
        <v/>
      </c>
      <c r="J83" s="14" t="str">
        <f aca="false">IF($A83="","",IF($B83="Meta",SUMIFS('Meta data'!$I$3:$I$20000,'Meta data'!$A$3:$A$20000,"&gt;="&amp;J$3,'Meta data'!$A$3:$A$20000,"&lt;="&amp;J$4,'Meta data'!$B$3:$B$20000,$A83),IF($B83="Google Ads",SUMIFS('Google data'!$I$3:$I$20000,'Google data'!$A$3:$A$20000,"&gt;="&amp;J$3,'Google data'!$A$3:$A$20000,"&lt;="&amp;J$4,'Google data'!$B$3:$B$20000,$A83),IF($B83="ChatGPT Ads",SUMIFS('ChatGPT data'!$I$3:$I$20000,'ChatGPT data'!$A$3:$A$20000,"&gt;="&amp;J$3,'ChatGPT data'!$A$3:$A$20000,"&lt;="&amp;J$4,'ChatGPT data'!$B$3:$B$20000,$A83),IF($B83="LinkedIn Ads",SUMIFS('LinkedIn data'!$I$3:$I$20000,'LinkedIn data'!$A$3:$A$20000,"&gt;="&amp;J$3,'LinkedIn data'!$A$3:$A$20000,"&lt;="&amp;J$4,'LinkedIn data'!$B$3:$B$20000,$A83),0)))))</f>
        <v/>
      </c>
      <c r="K83" s="14" t="str">
        <f aca="false">IF($A83="","",IF($B83="Meta",SUMIFS('Meta data'!$I$3:$I$20000,'Meta data'!$A$3:$A$20000,"&gt;="&amp;K$3,'Meta data'!$A$3:$A$20000,"&lt;="&amp;K$4,'Meta data'!$B$3:$B$20000,$A83),IF($B83="Google Ads",SUMIFS('Google data'!$I$3:$I$20000,'Google data'!$A$3:$A$20000,"&gt;="&amp;K$3,'Google data'!$A$3:$A$20000,"&lt;="&amp;K$4,'Google data'!$B$3:$B$20000,$A83),IF($B83="ChatGPT Ads",SUMIFS('ChatGPT data'!$I$3:$I$20000,'ChatGPT data'!$A$3:$A$20000,"&gt;="&amp;K$3,'ChatGPT data'!$A$3:$A$20000,"&lt;="&amp;K$4,'ChatGPT data'!$B$3:$B$20000,$A83),IF($B83="LinkedIn Ads",SUMIFS('LinkedIn data'!$I$3:$I$20000,'LinkedIn data'!$A$3:$A$20000,"&gt;="&amp;K$3,'LinkedIn data'!$A$3:$A$20000,"&lt;="&amp;K$4,'LinkedIn data'!$B$3:$B$20000,$A83),0)))))</f>
        <v/>
      </c>
      <c r="L83" s="14" t="str">
        <f aca="false">IF($A83="","",IF($B83="Meta",SUMIFS('Meta data'!$I$3:$I$20000,'Meta data'!$A$3:$A$20000,"&gt;="&amp;L$3,'Meta data'!$A$3:$A$20000,"&lt;="&amp;L$4,'Meta data'!$B$3:$B$20000,$A83),IF($B83="Google Ads",SUMIFS('Google data'!$I$3:$I$20000,'Google data'!$A$3:$A$20000,"&gt;="&amp;L$3,'Google data'!$A$3:$A$20000,"&lt;="&amp;L$4,'Google data'!$B$3:$B$20000,$A83),IF($B83="ChatGPT Ads",SUMIFS('ChatGPT data'!$I$3:$I$20000,'ChatGPT data'!$A$3:$A$20000,"&gt;="&amp;L$3,'ChatGPT data'!$A$3:$A$20000,"&lt;="&amp;L$4,'ChatGPT data'!$B$3:$B$20000,$A83),IF($B83="LinkedIn Ads",SUMIFS('LinkedIn data'!$I$3:$I$20000,'LinkedIn data'!$A$3:$A$20000,"&gt;="&amp;L$3,'LinkedIn data'!$A$3:$A$20000,"&lt;="&amp;L$4,'LinkedIn data'!$B$3:$B$20000,$A83),0)))))</f>
        <v/>
      </c>
      <c r="M83" s="14" t="str">
        <f aca="false">IF($A83="","",IF($B83="Meta",SUMIFS('Meta data'!$I$3:$I$20000,'Meta data'!$A$3:$A$20000,"&gt;="&amp;M$3,'Meta data'!$A$3:$A$20000,"&lt;="&amp;M$4,'Meta data'!$B$3:$B$20000,$A83),IF($B83="Google Ads",SUMIFS('Google data'!$I$3:$I$20000,'Google data'!$A$3:$A$20000,"&gt;="&amp;M$3,'Google data'!$A$3:$A$20000,"&lt;="&amp;M$4,'Google data'!$B$3:$B$20000,$A83),IF($B83="ChatGPT Ads",SUMIFS('ChatGPT data'!$I$3:$I$20000,'ChatGPT data'!$A$3:$A$20000,"&gt;="&amp;M$3,'ChatGPT data'!$A$3:$A$20000,"&lt;="&amp;M$4,'ChatGPT data'!$B$3:$B$20000,$A83),IF($B83="LinkedIn Ads",SUMIFS('LinkedIn data'!$I$3:$I$20000,'LinkedIn data'!$A$3:$A$20000,"&gt;="&amp;M$3,'LinkedIn data'!$A$3:$A$20000,"&lt;="&amp;M$4,'LinkedIn data'!$B$3:$B$20000,$A83),0)))))</f>
        <v/>
      </c>
      <c r="N83" s="14" t="str">
        <f aca="false">IF($A83="","",IF($B83="Meta",SUMIFS('Meta data'!$I$3:$I$20000,'Meta data'!$A$3:$A$20000,"&gt;="&amp;N$3,'Meta data'!$A$3:$A$20000,"&lt;="&amp;N$4,'Meta data'!$B$3:$B$20000,$A83),IF($B83="Google Ads",SUMIFS('Google data'!$I$3:$I$20000,'Google data'!$A$3:$A$20000,"&gt;="&amp;N$3,'Google data'!$A$3:$A$20000,"&lt;="&amp;N$4,'Google data'!$B$3:$B$20000,$A83),IF($B83="ChatGPT Ads",SUMIFS('ChatGPT data'!$I$3:$I$20000,'ChatGPT data'!$A$3:$A$20000,"&gt;="&amp;N$3,'ChatGPT data'!$A$3:$A$20000,"&lt;="&amp;N$4,'ChatGPT data'!$B$3:$B$20000,$A83),IF($B83="LinkedIn Ads",SUMIFS('LinkedIn data'!$I$3:$I$20000,'LinkedIn data'!$A$3:$A$20000,"&gt;="&amp;N$3,'LinkedIn data'!$A$3:$A$20000,"&lt;="&amp;N$4,'LinkedIn data'!$B$3:$B$20000,$A83),0)))))</f>
        <v/>
      </c>
      <c r="O83" s="14" t="str">
        <f aca="false">IF($A83="","",IF($B83="Meta",SUMIFS('Meta data'!$I$3:$I$20000,'Meta data'!$A$3:$A$20000,"&gt;="&amp;O$3,'Meta data'!$A$3:$A$20000,"&lt;="&amp;O$4,'Meta data'!$B$3:$B$20000,$A83),IF($B83="Google Ads",SUMIFS('Google data'!$I$3:$I$20000,'Google data'!$A$3:$A$20000,"&gt;="&amp;O$3,'Google data'!$A$3:$A$20000,"&lt;="&amp;O$4,'Google data'!$B$3:$B$20000,$A83),IF($B83="ChatGPT Ads",SUMIFS('ChatGPT data'!$I$3:$I$20000,'ChatGPT data'!$A$3:$A$20000,"&gt;="&amp;O$3,'ChatGPT data'!$A$3:$A$20000,"&lt;="&amp;O$4,'ChatGPT data'!$B$3:$B$20000,$A83),IF($B83="LinkedIn Ads",SUMIFS('LinkedIn data'!$I$3:$I$20000,'LinkedIn data'!$A$3:$A$20000,"&gt;="&amp;O$3,'LinkedIn data'!$A$3:$A$20000,"&lt;="&amp;O$4,'LinkedIn data'!$B$3:$B$20000,$A83),0)))))</f>
        <v/>
      </c>
      <c r="P83" s="14" t="str">
        <f aca="false">IF($A83="","",IF($B83="Meta",SUMIFS('Meta data'!$I$3:$I$20000,'Meta data'!$A$3:$A$20000,"&gt;="&amp;P$3,'Meta data'!$A$3:$A$20000,"&lt;="&amp;P$4,'Meta data'!$B$3:$B$20000,$A83),IF($B83="Google Ads",SUMIFS('Google data'!$I$3:$I$20000,'Google data'!$A$3:$A$20000,"&gt;="&amp;P$3,'Google data'!$A$3:$A$20000,"&lt;="&amp;P$4,'Google data'!$B$3:$B$20000,$A83),IF($B83="ChatGPT Ads",SUMIFS('ChatGPT data'!$I$3:$I$20000,'ChatGPT data'!$A$3:$A$20000,"&gt;="&amp;P$3,'ChatGPT data'!$A$3:$A$20000,"&lt;="&amp;P$4,'ChatGPT data'!$B$3:$B$20000,$A83),IF($B83="LinkedIn Ads",SUMIFS('LinkedIn data'!$I$3:$I$20000,'LinkedIn data'!$A$3:$A$20000,"&gt;="&amp;P$3,'LinkedIn data'!$A$3:$A$20000,"&lt;="&amp;P$4,'LinkedIn data'!$B$3:$B$20000,$A83),0)))))</f>
        <v/>
      </c>
      <c r="Q83" s="14" t="str">
        <f aca="false">IF($A83="","",IF($B83="Meta",SUMIFS('Meta data'!$I$3:$I$20000,'Meta data'!$A$3:$A$20000,"&gt;="&amp;Q$3,'Meta data'!$A$3:$A$20000,"&lt;="&amp;Q$4,'Meta data'!$B$3:$B$20000,$A83),IF($B83="Google Ads",SUMIFS('Google data'!$I$3:$I$20000,'Google data'!$A$3:$A$20000,"&gt;="&amp;Q$3,'Google data'!$A$3:$A$20000,"&lt;="&amp;Q$4,'Google data'!$B$3:$B$20000,$A83),IF($B83="ChatGPT Ads",SUMIFS('ChatGPT data'!$I$3:$I$20000,'ChatGPT data'!$A$3:$A$20000,"&gt;="&amp;Q$3,'ChatGPT data'!$A$3:$A$20000,"&lt;="&amp;Q$4,'ChatGPT data'!$B$3:$B$20000,$A83),IF($B83="LinkedIn Ads",SUMIFS('LinkedIn data'!$I$3:$I$20000,'LinkedIn data'!$A$3:$A$20000,"&gt;="&amp;Q$3,'LinkedIn data'!$A$3:$A$20000,"&lt;="&amp;Q$4,'LinkedIn data'!$B$3:$B$20000,$A83),0)))))</f>
        <v/>
      </c>
      <c r="R83" s="15" t="str">
        <f aca="false">IF($A83="","",SUM(F83:Q83))</f>
        <v/>
      </c>
      <c r="S83" s="37" t="str">
        <f aca="false">IF($A83="","",IF($B83="Meta",SUMIFS('Meta data'!$E$3:$E$20000,'Meta data'!$B$3:$B$20000,$A83),IF($B83="Google Ads",SUMIFS('Google data'!$E$3:$E$20000,'Google data'!$B$3:$B$20000,$A83),IF($B83="ChatGPT Ads",SUMIFS('ChatGPT data'!$E$3:$E$20000,'ChatGPT data'!$B$3:$B$20000,$A83),IF($B83="LinkedIn Ads",SUMIFS('LinkedIn data'!$E$3:$E$20000,'LinkedIn data'!$B$3:$B$20000,$A83),0)))))</f>
        <v/>
      </c>
      <c r="T83" s="37" t="str">
        <f aca="false">IF($A83="","",IF($B83="Meta",SUMIFS('Meta data'!$F$3:$F$20000,'Meta data'!$B$3:$B$20000,$A83),IF($B83="Google Ads",SUMIFS('Google data'!$F$3:$F$20000,'Google data'!$B$3:$B$20000,$A83),IF($B83="ChatGPT Ads",SUMIFS('ChatGPT data'!$F$3:$F$20000,'ChatGPT data'!$B$3:$B$20000,$A83),IF($B83="LinkedIn Ads",SUMIFS('LinkedIn data'!$F$3:$F$20000,'LinkedIn data'!$B$3:$B$20000,$A83),0)))))</f>
        <v/>
      </c>
      <c r="U83" s="38" t="str">
        <f aca="false">IF(OR($A83="",T83=0),"",R83/T83)</f>
        <v/>
      </c>
    </row>
    <row r="84" customFormat="false" ht="15" hidden="false" customHeight="false" outlineLevel="0" collapsed="false">
      <c r="A84" s="59"/>
      <c r="B84" s="59"/>
      <c r="C84" s="59"/>
      <c r="D84" s="59"/>
      <c r="E84" s="59"/>
      <c r="F84" s="14" t="str">
        <f aca="false">IF($A84="","",IF($B84="Meta",SUMIFS('Meta data'!$I$3:$I$20000,'Meta data'!$A$3:$A$20000,"&gt;="&amp;F$3,'Meta data'!$A$3:$A$20000,"&lt;="&amp;F$4,'Meta data'!$B$3:$B$20000,$A84),IF($B84="Google Ads",SUMIFS('Google data'!$I$3:$I$20000,'Google data'!$A$3:$A$20000,"&gt;="&amp;F$3,'Google data'!$A$3:$A$20000,"&lt;="&amp;F$4,'Google data'!$B$3:$B$20000,$A84),IF($B84="ChatGPT Ads",SUMIFS('ChatGPT data'!$I$3:$I$20000,'ChatGPT data'!$A$3:$A$20000,"&gt;="&amp;F$3,'ChatGPT data'!$A$3:$A$20000,"&lt;="&amp;F$4,'ChatGPT data'!$B$3:$B$20000,$A84),IF($B84="LinkedIn Ads",SUMIFS('LinkedIn data'!$I$3:$I$20000,'LinkedIn data'!$A$3:$A$20000,"&gt;="&amp;F$3,'LinkedIn data'!$A$3:$A$20000,"&lt;="&amp;F$4,'LinkedIn data'!$B$3:$B$20000,$A84),0)))))</f>
        <v/>
      </c>
      <c r="G84" s="14" t="str">
        <f aca="false">IF($A84="","",IF($B84="Meta",SUMIFS('Meta data'!$I$3:$I$20000,'Meta data'!$A$3:$A$20000,"&gt;="&amp;G$3,'Meta data'!$A$3:$A$20000,"&lt;="&amp;G$4,'Meta data'!$B$3:$B$20000,$A84),IF($B84="Google Ads",SUMIFS('Google data'!$I$3:$I$20000,'Google data'!$A$3:$A$20000,"&gt;="&amp;G$3,'Google data'!$A$3:$A$20000,"&lt;="&amp;G$4,'Google data'!$B$3:$B$20000,$A84),IF($B84="ChatGPT Ads",SUMIFS('ChatGPT data'!$I$3:$I$20000,'ChatGPT data'!$A$3:$A$20000,"&gt;="&amp;G$3,'ChatGPT data'!$A$3:$A$20000,"&lt;="&amp;G$4,'ChatGPT data'!$B$3:$B$20000,$A84),IF($B84="LinkedIn Ads",SUMIFS('LinkedIn data'!$I$3:$I$20000,'LinkedIn data'!$A$3:$A$20000,"&gt;="&amp;G$3,'LinkedIn data'!$A$3:$A$20000,"&lt;="&amp;G$4,'LinkedIn data'!$B$3:$B$20000,$A84),0)))))</f>
        <v/>
      </c>
      <c r="H84" s="14" t="str">
        <f aca="false">IF($A84="","",IF($B84="Meta",SUMIFS('Meta data'!$I$3:$I$20000,'Meta data'!$A$3:$A$20000,"&gt;="&amp;H$3,'Meta data'!$A$3:$A$20000,"&lt;="&amp;H$4,'Meta data'!$B$3:$B$20000,$A84),IF($B84="Google Ads",SUMIFS('Google data'!$I$3:$I$20000,'Google data'!$A$3:$A$20000,"&gt;="&amp;H$3,'Google data'!$A$3:$A$20000,"&lt;="&amp;H$4,'Google data'!$B$3:$B$20000,$A84),IF($B84="ChatGPT Ads",SUMIFS('ChatGPT data'!$I$3:$I$20000,'ChatGPT data'!$A$3:$A$20000,"&gt;="&amp;H$3,'ChatGPT data'!$A$3:$A$20000,"&lt;="&amp;H$4,'ChatGPT data'!$B$3:$B$20000,$A84),IF($B84="LinkedIn Ads",SUMIFS('LinkedIn data'!$I$3:$I$20000,'LinkedIn data'!$A$3:$A$20000,"&gt;="&amp;H$3,'LinkedIn data'!$A$3:$A$20000,"&lt;="&amp;H$4,'LinkedIn data'!$B$3:$B$20000,$A84),0)))))</f>
        <v/>
      </c>
      <c r="I84" s="14" t="str">
        <f aca="false">IF($A84="","",IF($B84="Meta",SUMIFS('Meta data'!$I$3:$I$20000,'Meta data'!$A$3:$A$20000,"&gt;="&amp;I$3,'Meta data'!$A$3:$A$20000,"&lt;="&amp;I$4,'Meta data'!$B$3:$B$20000,$A84),IF($B84="Google Ads",SUMIFS('Google data'!$I$3:$I$20000,'Google data'!$A$3:$A$20000,"&gt;="&amp;I$3,'Google data'!$A$3:$A$20000,"&lt;="&amp;I$4,'Google data'!$B$3:$B$20000,$A84),IF($B84="ChatGPT Ads",SUMIFS('ChatGPT data'!$I$3:$I$20000,'ChatGPT data'!$A$3:$A$20000,"&gt;="&amp;I$3,'ChatGPT data'!$A$3:$A$20000,"&lt;="&amp;I$4,'ChatGPT data'!$B$3:$B$20000,$A84),IF($B84="LinkedIn Ads",SUMIFS('LinkedIn data'!$I$3:$I$20000,'LinkedIn data'!$A$3:$A$20000,"&gt;="&amp;I$3,'LinkedIn data'!$A$3:$A$20000,"&lt;="&amp;I$4,'LinkedIn data'!$B$3:$B$20000,$A84),0)))))</f>
        <v/>
      </c>
      <c r="J84" s="14" t="str">
        <f aca="false">IF($A84="","",IF($B84="Meta",SUMIFS('Meta data'!$I$3:$I$20000,'Meta data'!$A$3:$A$20000,"&gt;="&amp;J$3,'Meta data'!$A$3:$A$20000,"&lt;="&amp;J$4,'Meta data'!$B$3:$B$20000,$A84),IF($B84="Google Ads",SUMIFS('Google data'!$I$3:$I$20000,'Google data'!$A$3:$A$20000,"&gt;="&amp;J$3,'Google data'!$A$3:$A$20000,"&lt;="&amp;J$4,'Google data'!$B$3:$B$20000,$A84),IF($B84="ChatGPT Ads",SUMIFS('ChatGPT data'!$I$3:$I$20000,'ChatGPT data'!$A$3:$A$20000,"&gt;="&amp;J$3,'ChatGPT data'!$A$3:$A$20000,"&lt;="&amp;J$4,'ChatGPT data'!$B$3:$B$20000,$A84),IF($B84="LinkedIn Ads",SUMIFS('LinkedIn data'!$I$3:$I$20000,'LinkedIn data'!$A$3:$A$20000,"&gt;="&amp;J$3,'LinkedIn data'!$A$3:$A$20000,"&lt;="&amp;J$4,'LinkedIn data'!$B$3:$B$20000,$A84),0)))))</f>
        <v/>
      </c>
      <c r="K84" s="14" t="str">
        <f aca="false">IF($A84="","",IF($B84="Meta",SUMIFS('Meta data'!$I$3:$I$20000,'Meta data'!$A$3:$A$20000,"&gt;="&amp;K$3,'Meta data'!$A$3:$A$20000,"&lt;="&amp;K$4,'Meta data'!$B$3:$B$20000,$A84),IF($B84="Google Ads",SUMIFS('Google data'!$I$3:$I$20000,'Google data'!$A$3:$A$20000,"&gt;="&amp;K$3,'Google data'!$A$3:$A$20000,"&lt;="&amp;K$4,'Google data'!$B$3:$B$20000,$A84),IF($B84="ChatGPT Ads",SUMIFS('ChatGPT data'!$I$3:$I$20000,'ChatGPT data'!$A$3:$A$20000,"&gt;="&amp;K$3,'ChatGPT data'!$A$3:$A$20000,"&lt;="&amp;K$4,'ChatGPT data'!$B$3:$B$20000,$A84),IF($B84="LinkedIn Ads",SUMIFS('LinkedIn data'!$I$3:$I$20000,'LinkedIn data'!$A$3:$A$20000,"&gt;="&amp;K$3,'LinkedIn data'!$A$3:$A$20000,"&lt;="&amp;K$4,'LinkedIn data'!$B$3:$B$20000,$A84),0)))))</f>
        <v/>
      </c>
      <c r="L84" s="14" t="str">
        <f aca="false">IF($A84="","",IF($B84="Meta",SUMIFS('Meta data'!$I$3:$I$20000,'Meta data'!$A$3:$A$20000,"&gt;="&amp;L$3,'Meta data'!$A$3:$A$20000,"&lt;="&amp;L$4,'Meta data'!$B$3:$B$20000,$A84),IF($B84="Google Ads",SUMIFS('Google data'!$I$3:$I$20000,'Google data'!$A$3:$A$20000,"&gt;="&amp;L$3,'Google data'!$A$3:$A$20000,"&lt;="&amp;L$4,'Google data'!$B$3:$B$20000,$A84),IF($B84="ChatGPT Ads",SUMIFS('ChatGPT data'!$I$3:$I$20000,'ChatGPT data'!$A$3:$A$20000,"&gt;="&amp;L$3,'ChatGPT data'!$A$3:$A$20000,"&lt;="&amp;L$4,'ChatGPT data'!$B$3:$B$20000,$A84),IF($B84="LinkedIn Ads",SUMIFS('LinkedIn data'!$I$3:$I$20000,'LinkedIn data'!$A$3:$A$20000,"&gt;="&amp;L$3,'LinkedIn data'!$A$3:$A$20000,"&lt;="&amp;L$4,'LinkedIn data'!$B$3:$B$20000,$A84),0)))))</f>
        <v/>
      </c>
      <c r="M84" s="14" t="str">
        <f aca="false">IF($A84="","",IF($B84="Meta",SUMIFS('Meta data'!$I$3:$I$20000,'Meta data'!$A$3:$A$20000,"&gt;="&amp;M$3,'Meta data'!$A$3:$A$20000,"&lt;="&amp;M$4,'Meta data'!$B$3:$B$20000,$A84),IF($B84="Google Ads",SUMIFS('Google data'!$I$3:$I$20000,'Google data'!$A$3:$A$20000,"&gt;="&amp;M$3,'Google data'!$A$3:$A$20000,"&lt;="&amp;M$4,'Google data'!$B$3:$B$20000,$A84),IF($B84="ChatGPT Ads",SUMIFS('ChatGPT data'!$I$3:$I$20000,'ChatGPT data'!$A$3:$A$20000,"&gt;="&amp;M$3,'ChatGPT data'!$A$3:$A$20000,"&lt;="&amp;M$4,'ChatGPT data'!$B$3:$B$20000,$A84),IF($B84="LinkedIn Ads",SUMIFS('LinkedIn data'!$I$3:$I$20000,'LinkedIn data'!$A$3:$A$20000,"&gt;="&amp;M$3,'LinkedIn data'!$A$3:$A$20000,"&lt;="&amp;M$4,'LinkedIn data'!$B$3:$B$20000,$A84),0)))))</f>
        <v/>
      </c>
      <c r="N84" s="14" t="str">
        <f aca="false">IF($A84="","",IF($B84="Meta",SUMIFS('Meta data'!$I$3:$I$20000,'Meta data'!$A$3:$A$20000,"&gt;="&amp;N$3,'Meta data'!$A$3:$A$20000,"&lt;="&amp;N$4,'Meta data'!$B$3:$B$20000,$A84),IF($B84="Google Ads",SUMIFS('Google data'!$I$3:$I$20000,'Google data'!$A$3:$A$20000,"&gt;="&amp;N$3,'Google data'!$A$3:$A$20000,"&lt;="&amp;N$4,'Google data'!$B$3:$B$20000,$A84),IF($B84="ChatGPT Ads",SUMIFS('ChatGPT data'!$I$3:$I$20000,'ChatGPT data'!$A$3:$A$20000,"&gt;="&amp;N$3,'ChatGPT data'!$A$3:$A$20000,"&lt;="&amp;N$4,'ChatGPT data'!$B$3:$B$20000,$A84),IF($B84="LinkedIn Ads",SUMIFS('LinkedIn data'!$I$3:$I$20000,'LinkedIn data'!$A$3:$A$20000,"&gt;="&amp;N$3,'LinkedIn data'!$A$3:$A$20000,"&lt;="&amp;N$4,'LinkedIn data'!$B$3:$B$20000,$A84),0)))))</f>
        <v/>
      </c>
      <c r="O84" s="14" t="str">
        <f aca="false">IF($A84="","",IF($B84="Meta",SUMIFS('Meta data'!$I$3:$I$20000,'Meta data'!$A$3:$A$20000,"&gt;="&amp;O$3,'Meta data'!$A$3:$A$20000,"&lt;="&amp;O$4,'Meta data'!$B$3:$B$20000,$A84),IF($B84="Google Ads",SUMIFS('Google data'!$I$3:$I$20000,'Google data'!$A$3:$A$20000,"&gt;="&amp;O$3,'Google data'!$A$3:$A$20000,"&lt;="&amp;O$4,'Google data'!$B$3:$B$20000,$A84),IF($B84="ChatGPT Ads",SUMIFS('ChatGPT data'!$I$3:$I$20000,'ChatGPT data'!$A$3:$A$20000,"&gt;="&amp;O$3,'ChatGPT data'!$A$3:$A$20000,"&lt;="&amp;O$4,'ChatGPT data'!$B$3:$B$20000,$A84),IF($B84="LinkedIn Ads",SUMIFS('LinkedIn data'!$I$3:$I$20000,'LinkedIn data'!$A$3:$A$20000,"&gt;="&amp;O$3,'LinkedIn data'!$A$3:$A$20000,"&lt;="&amp;O$4,'LinkedIn data'!$B$3:$B$20000,$A84),0)))))</f>
        <v/>
      </c>
      <c r="P84" s="14" t="str">
        <f aca="false">IF($A84="","",IF($B84="Meta",SUMIFS('Meta data'!$I$3:$I$20000,'Meta data'!$A$3:$A$20000,"&gt;="&amp;P$3,'Meta data'!$A$3:$A$20000,"&lt;="&amp;P$4,'Meta data'!$B$3:$B$20000,$A84),IF($B84="Google Ads",SUMIFS('Google data'!$I$3:$I$20000,'Google data'!$A$3:$A$20000,"&gt;="&amp;P$3,'Google data'!$A$3:$A$20000,"&lt;="&amp;P$4,'Google data'!$B$3:$B$20000,$A84),IF($B84="ChatGPT Ads",SUMIFS('ChatGPT data'!$I$3:$I$20000,'ChatGPT data'!$A$3:$A$20000,"&gt;="&amp;P$3,'ChatGPT data'!$A$3:$A$20000,"&lt;="&amp;P$4,'ChatGPT data'!$B$3:$B$20000,$A84),IF($B84="LinkedIn Ads",SUMIFS('LinkedIn data'!$I$3:$I$20000,'LinkedIn data'!$A$3:$A$20000,"&gt;="&amp;P$3,'LinkedIn data'!$A$3:$A$20000,"&lt;="&amp;P$4,'LinkedIn data'!$B$3:$B$20000,$A84),0)))))</f>
        <v/>
      </c>
      <c r="Q84" s="14" t="str">
        <f aca="false">IF($A84="","",IF($B84="Meta",SUMIFS('Meta data'!$I$3:$I$20000,'Meta data'!$A$3:$A$20000,"&gt;="&amp;Q$3,'Meta data'!$A$3:$A$20000,"&lt;="&amp;Q$4,'Meta data'!$B$3:$B$20000,$A84),IF($B84="Google Ads",SUMIFS('Google data'!$I$3:$I$20000,'Google data'!$A$3:$A$20000,"&gt;="&amp;Q$3,'Google data'!$A$3:$A$20000,"&lt;="&amp;Q$4,'Google data'!$B$3:$B$20000,$A84),IF($B84="ChatGPT Ads",SUMIFS('ChatGPT data'!$I$3:$I$20000,'ChatGPT data'!$A$3:$A$20000,"&gt;="&amp;Q$3,'ChatGPT data'!$A$3:$A$20000,"&lt;="&amp;Q$4,'ChatGPT data'!$B$3:$B$20000,$A84),IF($B84="LinkedIn Ads",SUMIFS('LinkedIn data'!$I$3:$I$20000,'LinkedIn data'!$A$3:$A$20000,"&gt;="&amp;Q$3,'LinkedIn data'!$A$3:$A$20000,"&lt;="&amp;Q$4,'LinkedIn data'!$B$3:$B$20000,$A84),0)))))</f>
        <v/>
      </c>
      <c r="R84" s="15" t="str">
        <f aca="false">IF($A84="","",SUM(F84:Q84))</f>
        <v/>
      </c>
      <c r="S84" s="37" t="str">
        <f aca="false">IF($A84="","",IF($B84="Meta",SUMIFS('Meta data'!$E$3:$E$20000,'Meta data'!$B$3:$B$20000,$A84),IF($B84="Google Ads",SUMIFS('Google data'!$E$3:$E$20000,'Google data'!$B$3:$B$20000,$A84),IF($B84="ChatGPT Ads",SUMIFS('ChatGPT data'!$E$3:$E$20000,'ChatGPT data'!$B$3:$B$20000,$A84),IF($B84="LinkedIn Ads",SUMIFS('LinkedIn data'!$E$3:$E$20000,'LinkedIn data'!$B$3:$B$20000,$A84),0)))))</f>
        <v/>
      </c>
      <c r="T84" s="37" t="str">
        <f aca="false">IF($A84="","",IF($B84="Meta",SUMIFS('Meta data'!$F$3:$F$20000,'Meta data'!$B$3:$B$20000,$A84),IF($B84="Google Ads",SUMIFS('Google data'!$F$3:$F$20000,'Google data'!$B$3:$B$20000,$A84),IF($B84="ChatGPT Ads",SUMIFS('ChatGPT data'!$F$3:$F$20000,'ChatGPT data'!$B$3:$B$20000,$A84),IF($B84="LinkedIn Ads",SUMIFS('LinkedIn data'!$F$3:$F$20000,'LinkedIn data'!$B$3:$B$20000,$A84),0)))))</f>
        <v/>
      </c>
      <c r="U84" s="38" t="str">
        <f aca="false">IF(OR($A84="",T84=0),"",R84/T84)</f>
        <v/>
      </c>
    </row>
    <row r="85" customFormat="false" ht="15" hidden="false" customHeight="false" outlineLevel="0" collapsed="false">
      <c r="A85" s="59"/>
      <c r="B85" s="59"/>
      <c r="C85" s="59"/>
      <c r="D85" s="59"/>
      <c r="E85" s="59"/>
      <c r="F85" s="14" t="str">
        <f aca="false">IF($A85="","",IF($B85="Meta",SUMIFS('Meta data'!$I$3:$I$20000,'Meta data'!$A$3:$A$20000,"&gt;="&amp;F$3,'Meta data'!$A$3:$A$20000,"&lt;="&amp;F$4,'Meta data'!$B$3:$B$20000,$A85),IF($B85="Google Ads",SUMIFS('Google data'!$I$3:$I$20000,'Google data'!$A$3:$A$20000,"&gt;="&amp;F$3,'Google data'!$A$3:$A$20000,"&lt;="&amp;F$4,'Google data'!$B$3:$B$20000,$A85),IF($B85="ChatGPT Ads",SUMIFS('ChatGPT data'!$I$3:$I$20000,'ChatGPT data'!$A$3:$A$20000,"&gt;="&amp;F$3,'ChatGPT data'!$A$3:$A$20000,"&lt;="&amp;F$4,'ChatGPT data'!$B$3:$B$20000,$A85),IF($B85="LinkedIn Ads",SUMIFS('LinkedIn data'!$I$3:$I$20000,'LinkedIn data'!$A$3:$A$20000,"&gt;="&amp;F$3,'LinkedIn data'!$A$3:$A$20000,"&lt;="&amp;F$4,'LinkedIn data'!$B$3:$B$20000,$A85),0)))))</f>
        <v/>
      </c>
      <c r="G85" s="14" t="str">
        <f aca="false">IF($A85="","",IF($B85="Meta",SUMIFS('Meta data'!$I$3:$I$20000,'Meta data'!$A$3:$A$20000,"&gt;="&amp;G$3,'Meta data'!$A$3:$A$20000,"&lt;="&amp;G$4,'Meta data'!$B$3:$B$20000,$A85),IF($B85="Google Ads",SUMIFS('Google data'!$I$3:$I$20000,'Google data'!$A$3:$A$20000,"&gt;="&amp;G$3,'Google data'!$A$3:$A$20000,"&lt;="&amp;G$4,'Google data'!$B$3:$B$20000,$A85),IF($B85="ChatGPT Ads",SUMIFS('ChatGPT data'!$I$3:$I$20000,'ChatGPT data'!$A$3:$A$20000,"&gt;="&amp;G$3,'ChatGPT data'!$A$3:$A$20000,"&lt;="&amp;G$4,'ChatGPT data'!$B$3:$B$20000,$A85),IF($B85="LinkedIn Ads",SUMIFS('LinkedIn data'!$I$3:$I$20000,'LinkedIn data'!$A$3:$A$20000,"&gt;="&amp;G$3,'LinkedIn data'!$A$3:$A$20000,"&lt;="&amp;G$4,'LinkedIn data'!$B$3:$B$20000,$A85),0)))))</f>
        <v/>
      </c>
      <c r="H85" s="14" t="str">
        <f aca="false">IF($A85="","",IF($B85="Meta",SUMIFS('Meta data'!$I$3:$I$20000,'Meta data'!$A$3:$A$20000,"&gt;="&amp;H$3,'Meta data'!$A$3:$A$20000,"&lt;="&amp;H$4,'Meta data'!$B$3:$B$20000,$A85),IF($B85="Google Ads",SUMIFS('Google data'!$I$3:$I$20000,'Google data'!$A$3:$A$20000,"&gt;="&amp;H$3,'Google data'!$A$3:$A$20000,"&lt;="&amp;H$4,'Google data'!$B$3:$B$20000,$A85),IF($B85="ChatGPT Ads",SUMIFS('ChatGPT data'!$I$3:$I$20000,'ChatGPT data'!$A$3:$A$20000,"&gt;="&amp;H$3,'ChatGPT data'!$A$3:$A$20000,"&lt;="&amp;H$4,'ChatGPT data'!$B$3:$B$20000,$A85),IF($B85="LinkedIn Ads",SUMIFS('LinkedIn data'!$I$3:$I$20000,'LinkedIn data'!$A$3:$A$20000,"&gt;="&amp;H$3,'LinkedIn data'!$A$3:$A$20000,"&lt;="&amp;H$4,'LinkedIn data'!$B$3:$B$20000,$A85),0)))))</f>
        <v/>
      </c>
      <c r="I85" s="14" t="str">
        <f aca="false">IF($A85="","",IF($B85="Meta",SUMIFS('Meta data'!$I$3:$I$20000,'Meta data'!$A$3:$A$20000,"&gt;="&amp;I$3,'Meta data'!$A$3:$A$20000,"&lt;="&amp;I$4,'Meta data'!$B$3:$B$20000,$A85),IF($B85="Google Ads",SUMIFS('Google data'!$I$3:$I$20000,'Google data'!$A$3:$A$20000,"&gt;="&amp;I$3,'Google data'!$A$3:$A$20000,"&lt;="&amp;I$4,'Google data'!$B$3:$B$20000,$A85),IF($B85="ChatGPT Ads",SUMIFS('ChatGPT data'!$I$3:$I$20000,'ChatGPT data'!$A$3:$A$20000,"&gt;="&amp;I$3,'ChatGPT data'!$A$3:$A$20000,"&lt;="&amp;I$4,'ChatGPT data'!$B$3:$B$20000,$A85),IF($B85="LinkedIn Ads",SUMIFS('LinkedIn data'!$I$3:$I$20000,'LinkedIn data'!$A$3:$A$20000,"&gt;="&amp;I$3,'LinkedIn data'!$A$3:$A$20000,"&lt;="&amp;I$4,'LinkedIn data'!$B$3:$B$20000,$A85),0)))))</f>
        <v/>
      </c>
      <c r="J85" s="14" t="str">
        <f aca="false">IF($A85="","",IF($B85="Meta",SUMIFS('Meta data'!$I$3:$I$20000,'Meta data'!$A$3:$A$20000,"&gt;="&amp;J$3,'Meta data'!$A$3:$A$20000,"&lt;="&amp;J$4,'Meta data'!$B$3:$B$20000,$A85),IF($B85="Google Ads",SUMIFS('Google data'!$I$3:$I$20000,'Google data'!$A$3:$A$20000,"&gt;="&amp;J$3,'Google data'!$A$3:$A$20000,"&lt;="&amp;J$4,'Google data'!$B$3:$B$20000,$A85),IF($B85="ChatGPT Ads",SUMIFS('ChatGPT data'!$I$3:$I$20000,'ChatGPT data'!$A$3:$A$20000,"&gt;="&amp;J$3,'ChatGPT data'!$A$3:$A$20000,"&lt;="&amp;J$4,'ChatGPT data'!$B$3:$B$20000,$A85),IF($B85="LinkedIn Ads",SUMIFS('LinkedIn data'!$I$3:$I$20000,'LinkedIn data'!$A$3:$A$20000,"&gt;="&amp;J$3,'LinkedIn data'!$A$3:$A$20000,"&lt;="&amp;J$4,'LinkedIn data'!$B$3:$B$20000,$A85),0)))))</f>
        <v/>
      </c>
      <c r="K85" s="14" t="str">
        <f aca="false">IF($A85="","",IF($B85="Meta",SUMIFS('Meta data'!$I$3:$I$20000,'Meta data'!$A$3:$A$20000,"&gt;="&amp;K$3,'Meta data'!$A$3:$A$20000,"&lt;="&amp;K$4,'Meta data'!$B$3:$B$20000,$A85),IF($B85="Google Ads",SUMIFS('Google data'!$I$3:$I$20000,'Google data'!$A$3:$A$20000,"&gt;="&amp;K$3,'Google data'!$A$3:$A$20000,"&lt;="&amp;K$4,'Google data'!$B$3:$B$20000,$A85),IF($B85="ChatGPT Ads",SUMIFS('ChatGPT data'!$I$3:$I$20000,'ChatGPT data'!$A$3:$A$20000,"&gt;="&amp;K$3,'ChatGPT data'!$A$3:$A$20000,"&lt;="&amp;K$4,'ChatGPT data'!$B$3:$B$20000,$A85),IF($B85="LinkedIn Ads",SUMIFS('LinkedIn data'!$I$3:$I$20000,'LinkedIn data'!$A$3:$A$20000,"&gt;="&amp;K$3,'LinkedIn data'!$A$3:$A$20000,"&lt;="&amp;K$4,'LinkedIn data'!$B$3:$B$20000,$A85),0)))))</f>
        <v/>
      </c>
      <c r="L85" s="14" t="str">
        <f aca="false">IF($A85="","",IF($B85="Meta",SUMIFS('Meta data'!$I$3:$I$20000,'Meta data'!$A$3:$A$20000,"&gt;="&amp;L$3,'Meta data'!$A$3:$A$20000,"&lt;="&amp;L$4,'Meta data'!$B$3:$B$20000,$A85),IF($B85="Google Ads",SUMIFS('Google data'!$I$3:$I$20000,'Google data'!$A$3:$A$20000,"&gt;="&amp;L$3,'Google data'!$A$3:$A$20000,"&lt;="&amp;L$4,'Google data'!$B$3:$B$20000,$A85),IF($B85="ChatGPT Ads",SUMIFS('ChatGPT data'!$I$3:$I$20000,'ChatGPT data'!$A$3:$A$20000,"&gt;="&amp;L$3,'ChatGPT data'!$A$3:$A$20000,"&lt;="&amp;L$4,'ChatGPT data'!$B$3:$B$20000,$A85),IF($B85="LinkedIn Ads",SUMIFS('LinkedIn data'!$I$3:$I$20000,'LinkedIn data'!$A$3:$A$20000,"&gt;="&amp;L$3,'LinkedIn data'!$A$3:$A$20000,"&lt;="&amp;L$4,'LinkedIn data'!$B$3:$B$20000,$A85),0)))))</f>
        <v/>
      </c>
      <c r="M85" s="14" t="str">
        <f aca="false">IF($A85="","",IF($B85="Meta",SUMIFS('Meta data'!$I$3:$I$20000,'Meta data'!$A$3:$A$20000,"&gt;="&amp;M$3,'Meta data'!$A$3:$A$20000,"&lt;="&amp;M$4,'Meta data'!$B$3:$B$20000,$A85),IF($B85="Google Ads",SUMIFS('Google data'!$I$3:$I$20000,'Google data'!$A$3:$A$20000,"&gt;="&amp;M$3,'Google data'!$A$3:$A$20000,"&lt;="&amp;M$4,'Google data'!$B$3:$B$20000,$A85),IF($B85="ChatGPT Ads",SUMIFS('ChatGPT data'!$I$3:$I$20000,'ChatGPT data'!$A$3:$A$20000,"&gt;="&amp;M$3,'ChatGPT data'!$A$3:$A$20000,"&lt;="&amp;M$4,'ChatGPT data'!$B$3:$B$20000,$A85),IF($B85="LinkedIn Ads",SUMIFS('LinkedIn data'!$I$3:$I$20000,'LinkedIn data'!$A$3:$A$20000,"&gt;="&amp;M$3,'LinkedIn data'!$A$3:$A$20000,"&lt;="&amp;M$4,'LinkedIn data'!$B$3:$B$20000,$A85),0)))))</f>
        <v/>
      </c>
      <c r="N85" s="14" t="str">
        <f aca="false">IF($A85="","",IF($B85="Meta",SUMIFS('Meta data'!$I$3:$I$20000,'Meta data'!$A$3:$A$20000,"&gt;="&amp;N$3,'Meta data'!$A$3:$A$20000,"&lt;="&amp;N$4,'Meta data'!$B$3:$B$20000,$A85),IF($B85="Google Ads",SUMIFS('Google data'!$I$3:$I$20000,'Google data'!$A$3:$A$20000,"&gt;="&amp;N$3,'Google data'!$A$3:$A$20000,"&lt;="&amp;N$4,'Google data'!$B$3:$B$20000,$A85),IF($B85="ChatGPT Ads",SUMIFS('ChatGPT data'!$I$3:$I$20000,'ChatGPT data'!$A$3:$A$20000,"&gt;="&amp;N$3,'ChatGPT data'!$A$3:$A$20000,"&lt;="&amp;N$4,'ChatGPT data'!$B$3:$B$20000,$A85),IF($B85="LinkedIn Ads",SUMIFS('LinkedIn data'!$I$3:$I$20000,'LinkedIn data'!$A$3:$A$20000,"&gt;="&amp;N$3,'LinkedIn data'!$A$3:$A$20000,"&lt;="&amp;N$4,'LinkedIn data'!$B$3:$B$20000,$A85),0)))))</f>
        <v/>
      </c>
      <c r="O85" s="14" t="str">
        <f aca="false">IF($A85="","",IF($B85="Meta",SUMIFS('Meta data'!$I$3:$I$20000,'Meta data'!$A$3:$A$20000,"&gt;="&amp;O$3,'Meta data'!$A$3:$A$20000,"&lt;="&amp;O$4,'Meta data'!$B$3:$B$20000,$A85),IF($B85="Google Ads",SUMIFS('Google data'!$I$3:$I$20000,'Google data'!$A$3:$A$20000,"&gt;="&amp;O$3,'Google data'!$A$3:$A$20000,"&lt;="&amp;O$4,'Google data'!$B$3:$B$20000,$A85),IF($B85="ChatGPT Ads",SUMIFS('ChatGPT data'!$I$3:$I$20000,'ChatGPT data'!$A$3:$A$20000,"&gt;="&amp;O$3,'ChatGPT data'!$A$3:$A$20000,"&lt;="&amp;O$4,'ChatGPT data'!$B$3:$B$20000,$A85),IF($B85="LinkedIn Ads",SUMIFS('LinkedIn data'!$I$3:$I$20000,'LinkedIn data'!$A$3:$A$20000,"&gt;="&amp;O$3,'LinkedIn data'!$A$3:$A$20000,"&lt;="&amp;O$4,'LinkedIn data'!$B$3:$B$20000,$A85),0)))))</f>
        <v/>
      </c>
      <c r="P85" s="14" t="str">
        <f aca="false">IF($A85="","",IF($B85="Meta",SUMIFS('Meta data'!$I$3:$I$20000,'Meta data'!$A$3:$A$20000,"&gt;="&amp;P$3,'Meta data'!$A$3:$A$20000,"&lt;="&amp;P$4,'Meta data'!$B$3:$B$20000,$A85),IF($B85="Google Ads",SUMIFS('Google data'!$I$3:$I$20000,'Google data'!$A$3:$A$20000,"&gt;="&amp;P$3,'Google data'!$A$3:$A$20000,"&lt;="&amp;P$4,'Google data'!$B$3:$B$20000,$A85),IF($B85="ChatGPT Ads",SUMIFS('ChatGPT data'!$I$3:$I$20000,'ChatGPT data'!$A$3:$A$20000,"&gt;="&amp;P$3,'ChatGPT data'!$A$3:$A$20000,"&lt;="&amp;P$4,'ChatGPT data'!$B$3:$B$20000,$A85),IF($B85="LinkedIn Ads",SUMIFS('LinkedIn data'!$I$3:$I$20000,'LinkedIn data'!$A$3:$A$20000,"&gt;="&amp;P$3,'LinkedIn data'!$A$3:$A$20000,"&lt;="&amp;P$4,'LinkedIn data'!$B$3:$B$20000,$A85),0)))))</f>
        <v/>
      </c>
      <c r="Q85" s="14" t="str">
        <f aca="false">IF($A85="","",IF($B85="Meta",SUMIFS('Meta data'!$I$3:$I$20000,'Meta data'!$A$3:$A$20000,"&gt;="&amp;Q$3,'Meta data'!$A$3:$A$20000,"&lt;="&amp;Q$4,'Meta data'!$B$3:$B$20000,$A85),IF($B85="Google Ads",SUMIFS('Google data'!$I$3:$I$20000,'Google data'!$A$3:$A$20000,"&gt;="&amp;Q$3,'Google data'!$A$3:$A$20000,"&lt;="&amp;Q$4,'Google data'!$B$3:$B$20000,$A85),IF($B85="ChatGPT Ads",SUMIFS('ChatGPT data'!$I$3:$I$20000,'ChatGPT data'!$A$3:$A$20000,"&gt;="&amp;Q$3,'ChatGPT data'!$A$3:$A$20000,"&lt;="&amp;Q$4,'ChatGPT data'!$B$3:$B$20000,$A85),IF($B85="LinkedIn Ads",SUMIFS('LinkedIn data'!$I$3:$I$20000,'LinkedIn data'!$A$3:$A$20000,"&gt;="&amp;Q$3,'LinkedIn data'!$A$3:$A$20000,"&lt;="&amp;Q$4,'LinkedIn data'!$B$3:$B$20000,$A85),0)))))</f>
        <v/>
      </c>
      <c r="R85" s="15" t="str">
        <f aca="false">IF($A85="","",SUM(F85:Q85))</f>
        <v/>
      </c>
      <c r="S85" s="37" t="str">
        <f aca="false">IF($A85="","",IF($B85="Meta",SUMIFS('Meta data'!$E$3:$E$20000,'Meta data'!$B$3:$B$20000,$A85),IF($B85="Google Ads",SUMIFS('Google data'!$E$3:$E$20000,'Google data'!$B$3:$B$20000,$A85),IF($B85="ChatGPT Ads",SUMIFS('ChatGPT data'!$E$3:$E$20000,'ChatGPT data'!$B$3:$B$20000,$A85),IF($B85="LinkedIn Ads",SUMIFS('LinkedIn data'!$E$3:$E$20000,'LinkedIn data'!$B$3:$B$20000,$A85),0)))))</f>
        <v/>
      </c>
      <c r="T85" s="37" t="str">
        <f aca="false">IF($A85="","",IF($B85="Meta",SUMIFS('Meta data'!$F$3:$F$20000,'Meta data'!$B$3:$B$20000,$A85),IF($B85="Google Ads",SUMIFS('Google data'!$F$3:$F$20000,'Google data'!$B$3:$B$20000,$A85),IF($B85="ChatGPT Ads",SUMIFS('ChatGPT data'!$F$3:$F$20000,'ChatGPT data'!$B$3:$B$20000,$A85),IF($B85="LinkedIn Ads",SUMIFS('LinkedIn data'!$F$3:$F$20000,'LinkedIn data'!$B$3:$B$20000,$A85),0)))))</f>
        <v/>
      </c>
      <c r="U85" s="38" t="str">
        <f aca="false">IF(OR($A85="",T85=0),"",R85/T85)</f>
        <v/>
      </c>
    </row>
    <row r="86" customFormat="false" ht="15" hidden="false" customHeight="false" outlineLevel="0" collapsed="false">
      <c r="A86" s="59"/>
      <c r="B86" s="59"/>
      <c r="C86" s="59"/>
      <c r="D86" s="59"/>
      <c r="E86" s="59"/>
      <c r="F86" s="14" t="str">
        <f aca="false">IF($A86="","",IF($B86="Meta",SUMIFS('Meta data'!$I$3:$I$20000,'Meta data'!$A$3:$A$20000,"&gt;="&amp;F$3,'Meta data'!$A$3:$A$20000,"&lt;="&amp;F$4,'Meta data'!$B$3:$B$20000,$A86),IF($B86="Google Ads",SUMIFS('Google data'!$I$3:$I$20000,'Google data'!$A$3:$A$20000,"&gt;="&amp;F$3,'Google data'!$A$3:$A$20000,"&lt;="&amp;F$4,'Google data'!$B$3:$B$20000,$A86),IF($B86="ChatGPT Ads",SUMIFS('ChatGPT data'!$I$3:$I$20000,'ChatGPT data'!$A$3:$A$20000,"&gt;="&amp;F$3,'ChatGPT data'!$A$3:$A$20000,"&lt;="&amp;F$4,'ChatGPT data'!$B$3:$B$20000,$A86),IF($B86="LinkedIn Ads",SUMIFS('LinkedIn data'!$I$3:$I$20000,'LinkedIn data'!$A$3:$A$20000,"&gt;="&amp;F$3,'LinkedIn data'!$A$3:$A$20000,"&lt;="&amp;F$4,'LinkedIn data'!$B$3:$B$20000,$A86),0)))))</f>
        <v/>
      </c>
      <c r="G86" s="14" t="str">
        <f aca="false">IF($A86="","",IF($B86="Meta",SUMIFS('Meta data'!$I$3:$I$20000,'Meta data'!$A$3:$A$20000,"&gt;="&amp;G$3,'Meta data'!$A$3:$A$20000,"&lt;="&amp;G$4,'Meta data'!$B$3:$B$20000,$A86),IF($B86="Google Ads",SUMIFS('Google data'!$I$3:$I$20000,'Google data'!$A$3:$A$20000,"&gt;="&amp;G$3,'Google data'!$A$3:$A$20000,"&lt;="&amp;G$4,'Google data'!$B$3:$B$20000,$A86),IF($B86="ChatGPT Ads",SUMIFS('ChatGPT data'!$I$3:$I$20000,'ChatGPT data'!$A$3:$A$20000,"&gt;="&amp;G$3,'ChatGPT data'!$A$3:$A$20000,"&lt;="&amp;G$4,'ChatGPT data'!$B$3:$B$20000,$A86),IF($B86="LinkedIn Ads",SUMIFS('LinkedIn data'!$I$3:$I$20000,'LinkedIn data'!$A$3:$A$20000,"&gt;="&amp;G$3,'LinkedIn data'!$A$3:$A$20000,"&lt;="&amp;G$4,'LinkedIn data'!$B$3:$B$20000,$A86),0)))))</f>
        <v/>
      </c>
      <c r="H86" s="14" t="str">
        <f aca="false">IF($A86="","",IF($B86="Meta",SUMIFS('Meta data'!$I$3:$I$20000,'Meta data'!$A$3:$A$20000,"&gt;="&amp;H$3,'Meta data'!$A$3:$A$20000,"&lt;="&amp;H$4,'Meta data'!$B$3:$B$20000,$A86),IF($B86="Google Ads",SUMIFS('Google data'!$I$3:$I$20000,'Google data'!$A$3:$A$20000,"&gt;="&amp;H$3,'Google data'!$A$3:$A$20000,"&lt;="&amp;H$4,'Google data'!$B$3:$B$20000,$A86),IF($B86="ChatGPT Ads",SUMIFS('ChatGPT data'!$I$3:$I$20000,'ChatGPT data'!$A$3:$A$20000,"&gt;="&amp;H$3,'ChatGPT data'!$A$3:$A$20000,"&lt;="&amp;H$4,'ChatGPT data'!$B$3:$B$20000,$A86),IF($B86="LinkedIn Ads",SUMIFS('LinkedIn data'!$I$3:$I$20000,'LinkedIn data'!$A$3:$A$20000,"&gt;="&amp;H$3,'LinkedIn data'!$A$3:$A$20000,"&lt;="&amp;H$4,'LinkedIn data'!$B$3:$B$20000,$A86),0)))))</f>
        <v/>
      </c>
      <c r="I86" s="14" t="str">
        <f aca="false">IF($A86="","",IF($B86="Meta",SUMIFS('Meta data'!$I$3:$I$20000,'Meta data'!$A$3:$A$20000,"&gt;="&amp;I$3,'Meta data'!$A$3:$A$20000,"&lt;="&amp;I$4,'Meta data'!$B$3:$B$20000,$A86),IF($B86="Google Ads",SUMIFS('Google data'!$I$3:$I$20000,'Google data'!$A$3:$A$20000,"&gt;="&amp;I$3,'Google data'!$A$3:$A$20000,"&lt;="&amp;I$4,'Google data'!$B$3:$B$20000,$A86),IF($B86="ChatGPT Ads",SUMIFS('ChatGPT data'!$I$3:$I$20000,'ChatGPT data'!$A$3:$A$20000,"&gt;="&amp;I$3,'ChatGPT data'!$A$3:$A$20000,"&lt;="&amp;I$4,'ChatGPT data'!$B$3:$B$20000,$A86),IF($B86="LinkedIn Ads",SUMIFS('LinkedIn data'!$I$3:$I$20000,'LinkedIn data'!$A$3:$A$20000,"&gt;="&amp;I$3,'LinkedIn data'!$A$3:$A$20000,"&lt;="&amp;I$4,'LinkedIn data'!$B$3:$B$20000,$A86),0)))))</f>
        <v/>
      </c>
      <c r="J86" s="14" t="str">
        <f aca="false">IF($A86="","",IF($B86="Meta",SUMIFS('Meta data'!$I$3:$I$20000,'Meta data'!$A$3:$A$20000,"&gt;="&amp;J$3,'Meta data'!$A$3:$A$20000,"&lt;="&amp;J$4,'Meta data'!$B$3:$B$20000,$A86),IF($B86="Google Ads",SUMIFS('Google data'!$I$3:$I$20000,'Google data'!$A$3:$A$20000,"&gt;="&amp;J$3,'Google data'!$A$3:$A$20000,"&lt;="&amp;J$4,'Google data'!$B$3:$B$20000,$A86),IF($B86="ChatGPT Ads",SUMIFS('ChatGPT data'!$I$3:$I$20000,'ChatGPT data'!$A$3:$A$20000,"&gt;="&amp;J$3,'ChatGPT data'!$A$3:$A$20000,"&lt;="&amp;J$4,'ChatGPT data'!$B$3:$B$20000,$A86),IF($B86="LinkedIn Ads",SUMIFS('LinkedIn data'!$I$3:$I$20000,'LinkedIn data'!$A$3:$A$20000,"&gt;="&amp;J$3,'LinkedIn data'!$A$3:$A$20000,"&lt;="&amp;J$4,'LinkedIn data'!$B$3:$B$20000,$A86),0)))))</f>
        <v/>
      </c>
      <c r="K86" s="14" t="str">
        <f aca="false">IF($A86="","",IF($B86="Meta",SUMIFS('Meta data'!$I$3:$I$20000,'Meta data'!$A$3:$A$20000,"&gt;="&amp;K$3,'Meta data'!$A$3:$A$20000,"&lt;="&amp;K$4,'Meta data'!$B$3:$B$20000,$A86),IF($B86="Google Ads",SUMIFS('Google data'!$I$3:$I$20000,'Google data'!$A$3:$A$20000,"&gt;="&amp;K$3,'Google data'!$A$3:$A$20000,"&lt;="&amp;K$4,'Google data'!$B$3:$B$20000,$A86),IF($B86="ChatGPT Ads",SUMIFS('ChatGPT data'!$I$3:$I$20000,'ChatGPT data'!$A$3:$A$20000,"&gt;="&amp;K$3,'ChatGPT data'!$A$3:$A$20000,"&lt;="&amp;K$4,'ChatGPT data'!$B$3:$B$20000,$A86),IF($B86="LinkedIn Ads",SUMIFS('LinkedIn data'!$I$3:$I$20000,'LinkedIn data'!$A$3:$A$20000,"&gt;="&amp;K$3,'LinkedIn data'!$A$3:$A$20000,"&lt;="&amp;K$4,'LinkedIn data'!$B$3:$B$20000,$A86),0)))))</f>
        <v/>
      </c>
      <c r="L86" s="14" t="str">
        <f aca="false">IF($A86="","",IF($B86="Meta",SUMIFS('Meta data'!$I$3:$I$20000,'Meta data'!$A$3:$A$20000,"&gt;="&amp;L$3,'Meta data'!$A$3:$A$20000,"&lt;="&amp;L$4,'Meta data'!$B$3:$B$20000,$A86),IF($B86="Google Ads",SUMIFS('Google data'!$I$3:$I$20000,'Google data'!$A$3:$A$20000,"&gt;="&amp;L$3,'Google data'!$A$3:$A$20000,"&lt;="&amp;L$4,'Google data'!$B$3:$B$20000,$A86),IF($B86="ChatGPT Ads",SUMIFS('ChatGPT data'!$I$3:$I$20000,'ChatGPT data'!$A$3:$A$20000,"&gt;="&amp;L$3,'ChatGPT data'!$A$3:$A$20000,"&lt;="&amp;L$4,'ChatGPT data'!$B$3:$B$20000,$A86),IF($B86="LinkedIn Ads",SUMIFS('LinkedIn data'!$I$3:$I$20000,'LinkedIn data'!$A$3:$A$20000,"&gt;="&amp;L$3,'LinkedIn data'!$A$3:$A$20000,"&lt;="&amp;L$4,'LinkedIn data'!$B$3:$B$20000,$A86),0)))))</f>
        <v/>
      </c>
      <c r="M86" s="14" t="str">
        <f aca="false">IF($A86="","",IF($B86="Meta",SUMIFS('Meta data'!$I$3:$I$20000,'Meta data'!$A$3:$A$20000,"&gt;="&amp;M$3,'Meta data'!$A$3:$A$20000,"&lt;="&amp;M$4,'Meta data'!$B$3:$B$20000,$A86),IF($B86="Google Ads",SUMIFS('Google data'!$I$3:$I$20000,'Google data'!$A$3:$A$20000,"&gt;="&amp;M$3,'Google data'!$A$3:$A$20000,"&lt;="&amp;M$4,'Google data'!$B$3:$B$20000,$A86),IF($B86="ChatGPT Ads",SUMIFS('ChatGPT data'!$I$3:$I$20000,'ChatGPT data'!$A$3:$A$20000,"&gt;="&amp;M$3,'ChatGPT data'!$A$3:$A$20000,"&lt;="&amp;M$4,'ChatGPT data'!$B$3:$B$20000,$A86),IF($B86="LinkedIn Ads",SUMIFS('LinkedIn data'!$I$3:$I$20000,'LinkedIn data'!$A$3:$A$20000,"&gt;="&amp;M$3,'LinkedIn data'!$A$3:$A$20000,"&lt;="&amp;M$4,'LinkedIn data'!$B$3:$B$20000,$A86),0)))))</f>
        <v/>
      </c>
      <c r="N86" s="14" t="str">
        <f aca="false">IF($A86="","",IF($B86="Meta",SUMIFS('Meta data'!$I$3:$I$20000,'Meta data'!$A$3:$A$20000,"&gt;="&amp;N$3,'Meta data'!$A$3:$A$20000,"&lt;="&amp;N$4,'Meta data'!$B$3:$B$20000,$A86),IF($B86="Google Ads",SUMIFS('Google data'!$I$3:$I$20000,'Google data'!$A$3:$A$20000,"&gt;="&amp;N$3,'Google data'!$A$3:$A$20000,"&lt;="&amp;N$4,'Google data'!$B$3:$B$20000,$A86),IF($B86="ChatGPT Ads",SUMIFS('ChatGPT data'!$I$3:$I$20000,'ChatGPT data'!$A$3:$A$20000,"&gt;="&amp;N$3,'ChatGPT data'!$A$3:$A$20000,"&lt;="&amp;N$4,'ChatGPT data'!$B$3:$B$20000,$A86),IF($B86="LinkedIn Ads",SUMIFS('LinkedIn data'!$I$3:$I$20000,'LinkedIn data'!$A$3:$A$20000,"&gt;="&amp;N$3,'LinkedIn data'!$A$3:$A$20000,"&lt;="&amp;N$4,'LinkedIn data'!$B$3:$B$20000,$A86),0)))))</f>
        <v/>
      </c>
      <c r="O86" s="14" t="str">
        <f aca="false">IF($A86="","",IF($B86="Meta",SUMIFS('Meta data'!$I$3:$I$20000,'Meta data'!$A$3:$A$20000,"&gt;="&amp;O$3,'Meta data'!$A$3:$A$20000,"&lt;="&amp;O$4,'Meta data'!$B$3:$B$20000,$A86),IF($B86="Google Ads",SUMIFS('Google data'!$I$3:$I$20000,'Google data'!$A$3:$A$20000,"&gt;="&amp;O$3,'Google data'!$A$3:$A$20000,"&lt;="&amp;O$4,'Google data'!$B$3:$B$20000,$A86),IF($B86="ChatGPT Ads",SUMIFS('ChatGPT data'!$I$3:$I$20000,'ChatGPT data'!$A$3:$A$20000,"&gt;="&amp;O$3,'ChatGPT data'!$A$3:$A$20000,"&lt;="&amp;O$4,'ChatGPT data'!$B$3:$B$20000,$A86),IF($B86="LinkedIn Ads",SUMIFS('LinkedIn data'!$I$3:$I$20000,'LinkedIn data'!$A$3:$A$20000,"&gt;="&amp;O$3,'LinkedIn data'!$A$3:$A$20000,"&lt;="&amp;O$4,'LinkedIn data'!$B$3:$B$20000,$A86),0)))))</f>
        <v/>
      </c>
      <c r="P86" s="14" t="str">
        <f aca="false">IF($A86="","",IF($B86="Meta",SUMIFS('Meta data'!$I$3:$I$20000,'Meta data'!$A$3:$A$20000,"&gt;="&amp;P$3,'Meta data'!$A$3:$A$20000,"&lt;="&amp;P$4,'Meta data'!$B$3:$B$20000,$A86),IF($B86="Google Ads",SUMIFS('Google data'!$I$3:$I$20000,'Google data'!$A$3:$A$20000,"&gt;="&amp;P$3,'Google data'!$A$3:$A$20000,"&lt;="&amp;P$4,'Google data'!$B$3:$B$20000,$A86),IF($B86="ChatGPT Ads",SUMIFS('ChatGPT data'!$I$3:$I$20000,'ChatGPT data'!$A$3:$A$20000,"&gt;="&amp;P$3,'ChatGPT data'!$A$3:$A$20000,"&lt;="&amp;P$4,'ChatGPT data'!$B$3:$B$20000,$A86),IF($B86="LinkedIn Ads",SUMIFS('LinkedIn data'!$I$3:$I$20000,'LinkedIn data'!$A$3:$A$20000,"&gt;="&amp;P$3,'LinkedIn data'!$A$3:$A$20000,"&lt;="&amp;P$4,'LinkedIn data'!$B$3:$B$20000,$A86),0)))))</f>
        <v/>
      </c>
      <c r="Q86" s="14" t="str">
        <f aca="false">IF($A86="","",IF($B86="Meta",SUMIFS('Meta data'!$I$3:$I$20000,'Meta data'!$A$3:$A$20000,"&gt;="&amp;Q$3,'Meta data'!$A$3:$A$20000,"&lt;="&amp;Q$4,'Meta data'!$B$3:$B$20000,$A86),IF($B86="Google Ads",SUMIFS('Google data'!$I$3:$I$20000,'Google data'!$A$3:$A$20000,"&gt;="&amp;Q$3,'Google data'!$A$3:$A$20000,"&lt;="&amp;Q$4,'Google data'!$B$3:$B$20000,$A86),IF($B86="ChatGPT Ads",SUMIFS('ChatGPT data'!$I$3:$I$20000,'ChatGPT data'!$A$3:$A$20000,"&gt;="&amp;Q$3,'ChatGPT data'!$A$3:$A$20000,"&lt;="&amp;Q$4,'ChatGPT data'!$B$3:$B$20000,$A86),IF($B86="LinkedIn Ads",SUMIFS('LinkedIn data'!$I$3:$I$20000,'LinkedIn data'!$A$3:$A$20000,"&gt;="&amp;Q$3,'LinkedIn data'!$A$3:$A$20000,"&lt;="&amp;Q$4,'LinkedIn data'!$B$3:$B$20000,$A86),0)))))</f>
        <v/>
      </c>
      <c r="R86" s="15" t="str">
        <f aca="false">IF($A86="","",SUM(F86:Q86))</f>
        <v/>
      </c>
      <c r="S86" s="37" t="str">
        <f aca="false">IF($A86="","",IF($B86="Meta",SUMIFS('Meta data'!$E$3:$E$20000,'Meta data'!$B$3:$B$20000,$A86),IF($B86="Google Ads",SUMIFS('Google data'!$E$3:$E$20000,'Google data'!$B$3:$B$20000,$A86),IF($B86="ChatGPT Ads",SUMIFS('ChatGPT data'!$E$3:$E$20000,'ChatGPT data'!$B$3:$B$20000,$A86),IF($B86="LinkedIn Ads",SUMIFS('LinkedIn data'!$E$3:$E$20000,'LinkedIn data'!$B$3:$B$20000,$A86),0)))))</f>
        <v/>
      </c>
      <c r="T86" s="37" t="str">
        <f aca="false">IF($A86="","",IF($B86="Meta",SUMIFS('Meta data'!$F$3:$F$20000,'Meta data'!$B$3:$B$20000,$A86),IF($B86="Google Ads",SUMIFS('Google data'!$F$3:$F$20000,'Google data'!$B$3:$B$20000,$A86),IF($B86="ChatGPT Ads",SUMIFS('ChatGPT data'!$F$3:$F$20000,'ChatGPT data'!$B$3:$B$20000,$A86),IF($B86="LinkedIn Ads",SUMIFS('LinkedIn data'!$F$3:$F$20000,'LinkedIn data'!$B$3:$B$20000,$A86),0)))))</f>
        <v/>
      </c>
      <c r="U86" s="38" t="str">
        <f aca="false">IF(OR($A86="",T86=0),"",R86/T86)</f>
        <v/>
      </c>
    </row>
    <row r="87" customFormat="false" ht="15" hidden="false" customHeight="false" outlineLevel="0" collapsed="false">
      <c r="A87" s="59"/>
      <c r="B87" s="59"/>
      <c r="C87" s="59"/>
      <c r="D87" s="59"/>
      <c r="E87" s="59"/>
      <c r="F87" s="14" t="str">
        <f aca="false">IF($A87="","",IF($B87="Meta",SUMIFS('Meta data'!$I$3:$I$20000,'Meta data'!$A$3:$A$20000,"&gt;="&amp;F$3,'Meta data'!$A$3:$A$20000,"&lt;="&amp;F$4,'Meta data'!$B$3:$B$20000,$A87),IF($B87="Google Ads",SUMIFS('Google data'!$I$3:$I$20000,'Google data'!$A$3:$A$20000,"&gt;="&amp;F$3,'Google data'!$A$3:$A$20000,"&lt;="&amp;F$4,'Google data'!$B$3:$B$20000,$A87),IF($B87="ChatGPT Ads",SUMIFS('ChatGPT data'!$I$3:$I$20000,'ChatGPT data'!$A$3:$A$20000,"&gt;="&amp;F$3,'ChatGPT data'!$A$3:$A$20000,"&lt;="&amp;F$4,'ChatGPT data'!$B$3:$B$20000,$A87),IF($B87="LinkedIn Ads",SUMIFS('LinkedIn data'!$I$3:$I$20000,'LinkedIn data'!$A$3:$A$20000,"&gt;="&amp;F$3,'LinkedIn data'!$A$3:$A$20000,"&lt;="&amp;F$4,'LinkedIn data'!$B$3:$B$20000,$A87),0)))))</f>
        <v/>
      </c>
      <c r="G87" s="14" t="str">
        <f aca="false">IF($A87="","",IF($B87="Meta",SUMIFS('Meta data'!$I$3:$I$20000,'Meta data'!$A$3:$A$20000,"&gt;="&amp;G$3,'Meta data'!$A$3:$A$20000,"&lt;="&amp;G$4,'Meta data'!$B$3:$B$20000,$A87),IF($B87="Google Ads",SUMIFS('Google data'!$I$3:$I$20000,'Google data'!$A$3:$A$20000,"&gt;="&amp;G$3,'Google data'!$A$3:$A$20000,"&lt;="&amp;G$4,'Google data'!$B$3:$B$20000,$A87),IF($B87="ChatGPT Ads",SUMIFS('ChatGPT data'!$I$3:$I$20000,'ChatGPT data'!$A$3:$A$20000,"&gt;="&amp;G$3,'ChatGPT data'!$A$3:$A$20000,"&lt;="&amp;G$4,'ChatGPT data'!$B$3:$B$20000,$A87),IF($B87="LinkedIn Ads",SUMIFS('LinkedIn data'!$I$3:$I$20000,'LinkedIn data'!$A$3:$A$20000,"&gt;="&amp;G$3,'LinkedIn data'!$A$3:$A$20000,"&lt;="&amp;G$4,'LinkedIn data'!$B$3:$B$20000,$A87),0)))))</f>
        <v/>
      </c>
      <c r="H87" s="14" t="str">
        <f aca="false">IF($A87="","",IF($B87="Meta",SUMIFS('Meta data'!$I$3:$I$20000,'Meta data'!$A$3:$A$20000,"&gt;="&amp;H$3,'Meta data'!$A$3:$A$20000,"&lt;="&amp;H$4,'Meta data'!$B$3:$B$20000,$A87),IF($B87="Google Ads",SUMIFS('Google data'!$I$3:$I$20000,'Google data'!$A$3:$A$20000,"&gt;="&amp;H$3,'Google data'!$A$3:$A$20000,"&lt;="&amp;H$4,'Google data'!$B$3:$B$20000,$A87),IF($B87="ChatGPT Ads",SUMIFS('ChatGPT data'!$I$3:$I$20000,'ChatGPT data'!$A$3:$A$20000,"&gt;="&amp;H$3,'ChatGPT data'!$A$3:$A$20000,"&lt;="&amp;H$4,'ChatGPT data'!$B$3:$B$20000,$A87),IF($B87="LinkedIn Ads",SUMIFS('LinkedIn data'!$I$3:$I$20000,'LinkedIn data'!$A$3:$A$20000,"&gt;="&amp;H$3,'LinkedIn data'!$A$3:$A$20000,"&lt;="&amp;H$4,'LinkedIn data'!$B$3:$B$20000,$A87),0)))))</f>
        <v/>
      </c>
      <c r="I87" s="14" t="str">
        <f aca="false">IF($A87="","",IF($B87="Meta",SUMIFS('Meta data'!$I$3:$I$20000,'Meta data'!$A$3:$A$20000,"&gt;="&amp;I$3,'Meta data'!$A$3:$A$20000,"&lt;="&amp;I$4,'Meta data'!$B$3:$B$20000,$A87),IF($B87="Google Ads",SUMIFS('Google data'!$I$3:$I$20000,'Google data'!$A$3:$A$20000,"&gt;="&amp;I$3,'Google data'!$A$3:$A$20000,"&lt;="&amp;I$4,'Google data'!$B$3:$B$20000,$A87),IF($B87="ChatGPT Ads",SUMIFS('ChatGPT data'!$I$3:$I$20000,'ChatGPT data'!$A$3:$A$20000,"&gt;="&amp;I$3,'ChatGPT data'!$A$3:$A$20000,"&lt;="&amp;I$4,'ChatGPT data'!$B$3:$B$20000,$A87),IF($B87="LinkedIn Ads",SUMIFS('LinkedIn data'!$I$3:$I$20000,'LinkedIn data'!$A$3:$A$20000,"&gt;="&amp;I$3,'LinkedIn data'!$A$3:$A$20000,"&lt;="&amp;I$4,'LinkedIn data'!$B$3:$B$20000,$A87),0)))))</f>
        <v/>
      </c>
      <c r="J87" s="14" t="str">
        <f aca="false">IF($A87="","",IF($B87="Meta",SUMIFS('Meta data'!$I$3:$I$20000,'Meta data'!$A$3:$A$20000,"&gt;="&amp;J$3,'Meta data'!$A$3:$A$20000,"&lt;="&amp;J$4,'Meta data'!$B$3:$B$20000,$A87),IF($B87="Google Ads",SUMIFS('Google data'!$I$3:$I$20000,'Google data'!$A$3:$A$20000,"&gt;="&amp;J$3,'Google data'!$A$3:$A$20000,"&lt;="&amp;J$4,'Google data'!$B$3:$B$20000,$A87),IF($B87="ChatGPT Ads",SUMIFS('ChatGPT data'!$I$3:$I$20000,'ChatGPT data'!$A$3:$A$20000,"&gt;="&amp;J$3,'ChatGPT data'!$A$3:$A$20000,"&lt;="&amp;J$4,'ChatGPT data'!$B$3:$B$20000,$A87),IF($B87="LinkedIn Ads",SUMIFS('LinkedIn data'!$I$3:$I$20000,'LinkedIn data'!$A$3:$A$20000,"&gt;="&amp;J$3,'LinkedIn data'!$A$3:$A$20000,"&lt;="&amp;J$4,'LinkedIn data'!$B$3:$B$20000,$A87),0)))))</f>
        <v/>
      </c>
      <c r="K87" s="14" t="str">
        <f aca="false">IF($A87="","",IF($B87="Meta",SUMIFS('Meta data'!$I$3:$I$20000,'Meta data'!$A$3:$A$20000,"&gt;="&amp;K$3,'Meta data'!$A$3:$A$20000,"&lt;="&amp;K$4,'Meta data'!$B$3:$B$20000,$A87),IF($B87="Google Ads",SUMIFS('Google data'!$I$3:$I$20000,'Google data'!$A$3:$A$20000,"&gt;="&amp;K$3,'Google data'!$A$3:$A$20000,"&lt;="&amp;K$4,'Google data'!$B$3:$B$20000,$A87),IF($B87="ChatGPT Ads",SUMIFS('ChatGPT data'!$I$3:$I$20000,'ChatGPT data'!$A$3:$A$20000,"&gt;="&amp;K$3,'ChatGPT data'!$A$3:$A$20000,"&lt;="&amp;K$4,'ChatGPT data'!$B$3:$B$20000,$A87),IF($B87="LinkedIn Ads",SUMIFS('LinkedIn data'!$I$3:$I$20000,'LinkedIn data'!$A$3:$A$20000,"&gt;="&amp;K$3,'LinkedIn data'!$A$3:$A$20000,"&lt;="&amp;K$4,'LinkedIn data'!$B$3:$B$20000,$A87),0)))))</f>
        <v/>
      </c>
      <c r="L87" s="14" t="str">
        <f aca="false">IF($A87="","",IF($B87="Meta",SUMIFS('Meta data'!$I$3:$I$20000,'Meta data'!$A$3:$A$20000,"&gt;="&amp;L$3,'Meta data'!$A$3:$A$20000,"&lt;="&amp;L$4,'Meta data'!$B$3:$B$20000,$A87),IF($B87="Google Ads",SUMIFS('Google data'!$I$3:$I$20000,'Google data'!$A$3:$A$20000,"&gt;="&amp;L$3,'Google data'!$A$3:$A$20000,"&lt;="&amp;L$4,'Google data'!$B$3:$B$20000,$A87),IF($B87="ChatGPT Ads",SUMIFS('ChatGPT data'!$I$3:$I$20000,'ChatGPT data'!$A$3:$A$20000,"&gt;="&amp;L$3,'ChatGPT data'!$A$3:$A$20000,"&lt;="&amp;L$4,'ChatGPT data'!$B$3:$B$20000,$A87),IF($B87="LinkedIn Ads",SUMIFS('LinkedIn data'!$I$3:$I$20000,'LinkedIn data'!$A$3:$A$20000,"&gt;="&amp;L$3,'LinkedIn data'!$A$3:$A$20000,"&lt;="&amp;L$4,'LinkedIn data'!$B$3:$B$20000,$A87),0)))))</f>
        <v/>
      </c>
      <c r="M87" s="14" t="str">
        <f aca="false">IF($A87="","",IF($B87="Meta",SUMIFS('Meta data'!$I$3:$I$20000,'Meta data'!$A$3:$A$20000,"&gt;="&amp;M$3,'Meta data'!$A$3:$A$20000,"&lt;="&amp;M$4,'Meta data'!$B$3:$B$20000,$A87),IF($B87="Google Ads",SUMIFS('Google data'!$I$3:$I$20000,'Google data'!$A$3:$A$20000,"&gt;="&amp;M$3,'Google data'!$A$3:$A$20000,"&lt;="&amp;M$4,'Google data'!$B$3:$B$20000,$A87),IF($B87="ChatGPT Ads",SUMIFS('ChatGPT data'!$I$3:$I$20000,'ChatGPT data'!$A$3:$A$20000,"&gt;="&amp;M$3,'ChatGPT data'!$A$3:$A$20000,"&lt;="&amp;M$4,'ChatGPT data'!$B$3:$B$20000,$A87),IF($B87="LinkedIn Ads",SUMIFS('LinkedIn data'!$I$3:$I$20000,'LinkedIn data'!$A$3:$A$20000,"&gt;="&amp;M$3,'LinkedIn data'!$A$3:$A$20000,"&lt;="&amp;M$4,'LinkedIn data'!$B$3:$B$20000,$A87),0)))))</f>
        <v/>
      </c>
      <c r="N87" s="14" t="str">
        <f aca="false">IF($A87="","",IF($B87="Meta",SUMIFS('Meta data'!$I$3:$I$20000,'Meta data'!$A$3:$A$20000,"&gt;="&amp;N$3,'Meta data'!$A$3:$A$20000,"&lt;="&amp;N$4,'Meta data'!$B$3:$B$20000,$A87),IF($B87="Google Ads",SUMIFS('Google data'!$I$3:$I$20000,'Google data'!$A$3:$A$20000,"&gt;="&amp;N$3,'Google data'!$A$3:$A$20000,"&lt;="&amp;N$4,'Google data'!$B$3:$B$20000,$A87),IF($B87="ChatGPT Ads",SUMIFS('ChatGPT data'!$I$3:$I$20000,'ChatGPT data'!$A$3:$A$20000,"&gt;="&amp;N$3,'ChatGPT data'!$A$3:$A$20000,"&lt;="&amp;N$4,'ChatGPT data'!$B$3:$B$20000,$A87),IF($B87="LinkedIn Ads",SUMIFS('LinkedIn data'!$I$3:$I$20000,'LinkedIn data'!$A$3:$A$20000,"&gt;="&amp;N$3,'LinkedIn data'!$A$3:$A$20000,"&lt;="&amp;N$4,'LinkedIn data'!$B$3:$B$20000,$A87),0)))))</f>
        <v/>
      </c>
      <c r="O87" s="14" t="str">
        <f aca="false">IF($A87="","",IF($B87="Meta",SUMIFS('Meta data'!$I$3:$I$20000,'Meta data'!$A$3:$A$20000,"&gt;="&amp;O$3,'Meta data'!$A$3:$A$20000,"&lt;="&amp;O$4,'Meta data'!$B$3:$B$20000,$A87),IF($B87="Google Ads",SUMIFS('Google data'!$I$3:$I$20000,'Google data'!$A$3:$A$20000,"&gt;="&amp;O$3,'Google data'!$A$3:$A$20000,"&lt;="&amp;O$4,'Google data'!$B$3:$B$20000,$A87),IF($B87="ChatGPT Ads",SUMIFS('ChatGPT data'!$I$3:$I$20000,'ChatGPT data'!$A$3:$A$20000,"&gt;="&amp;O$3,'ChatGPT data'!$A$3:$A$20000,"&lt;="&amp;O$4,'ChatGPT data'!$B$3:$B$20000,$A87),IF($B87="LinkedIn Ads",SUMIFS('LinkedIn data'!$I$3:$I$20000,'LinkedIn data'!$A$3:$A$20000,"&gt;="&amp;O$3,'LinkedIn data'!$A$3:$A$20000,"&lt;="&amp;O$4,'LinkedIn data'!$B$3:$B$20000,$A87),0)))))</f>
        <v/>
      </c>
      <c r="P87" s="14" t="str">
        <f aca="false">IF($A87="","",IF($B87="Meta",SUMIFS('Meta data'!$I$3:$I$20000,'Meta data'!$A$3:$A$20000,"&gt;="&amp;P$3,'Meta data'!$A$3:$A$20000,"&lt;="&amp;P$4,'Meta data'!$B$3:$B$20000,$A87),IF($B87="Google Ads",SUMIFS('Google data'!$I$3:$I$20000,'Google data'!$A$3:$A$20000,"&gt;="&amp;P$3,'Google data'!$A$3:$A$20000,"&lt;="&amp;P$4,'Google data'!$B$3:$B$20000,$A87),IF($B87="ChatGPT Ads",SUMIFS('ChatGPT data'!$I$3:$I$20000,'ChatGPT data'!$A$3:$A$20000,"&gt;="&amp;P$3,'ChatGPT data'!$A$3:$A$20000,"&lt;="&amp;P$4,'ChatGPT data'!$B$3:$B$20000,$A87),IF($B87="LinkedIn Ads",SUMIFS('LinkedIn data'!$I$3:$I$20000,'LinkedIn data'!$A$3:$A$20000,"&gt;="&amp;P$3,'LinkedIn data'!$A$3:$A$20000,"&lt;="&amp;P$4,'LinkedIn data'!$B$3:$B$20000,$A87),0)))))</f>
        <v/>
      </c>
      <c r="Q87" s="14" t="str">
        <f aca="false">IF($A87="","",IF($B87="Meta",SUMIFS('Meta data'!$I$3:$I$20000,'Meta data'!$A$3:$A$20000,"&gt;="&amp;Q$3,'Meta data'!$A$3:$A$20000,"&lt;="&amp;Q$4,'Meta data'!$B$3:$B$20000,$A87),IF($B87="Google Ads",SUMIFS('Google data'!$I$3:$I$20000,'Google data'!$A$3:$A$20000,"&gt;="&amp;Q$3,'Google data'!$A$3:$A$20000,"&lt;="&amp;Q$4,'Google data'!$B$3:$B$20000,$A87),IF($B87="ChatGPT Ads",SUMIFS('ChatGPT data'!$I$3:$I$20000,'ChatGPT data'!$A$3:$A$20000,"&gt;="&amp;Q$3,'ChatGPT data'!$A$3:$A$20000,"&lt;="&amp;Q$4,'ChatGPT data'!$B$3:$B$20000,$A87),IF($B87="LinkedIn Ads",SUMIFS('LinkedIn data'!$I$3:$I$20000,'LinkedIn data'!$A$3:$A$20000,"&gt;="&amp;Q$3,'LinkedIn data'!$A$3:$A$20000,"&lt;="&amp;Q$4,'LinkedIn data'!$B$3:$B$20000,$A87),0)))))</f>
        <v/>
      </c>
      <c r="R87" s="15" t="str">
        <f aca="false">IF($A87="","",SUM(F87:Q87))</f>
        <v/>
      </c>
      <c r="S87" s="37" t="str">
        <f aca="false">IF($A87="","",IF($B87="Meta",SUMIFS('Meta data'!$E$3:$E$20000,'Meta data'!$B$3:$B$20000,$A87),IF($B87="Google Ads",SUMIFS('Google data'!$E$3:$E$20000,'Google data'!$B$3:$B$20000,$A87),IF($B87="ChatGPT Ads",SUMIFS('ChatGPT data'!$E$3:$E$20000,'ChatGPT data'!$B$3:$B$20000,$A87),IF($B87="LinkedIn Ads",SUMIFS('LinkedIn data'!$E$3:$E$20000,'LinkedIn data'!$B$3:$B$20000,$A87),0)))))</f>
        <v/>
      </c>
      <c r="T87" s="37" t="str">
        <f aca="false">IF($A87="","",IF($B87="Meta",SUMIFS('Meta data'!$F$3:$F$20000,'Meta data'!$B$3:$B$20000,$A87),IF($B87="Google Ads",SUMIFS('Google data'!$F$3:$F$20000,'Google data'!$B$3:$B$20000,$A87),IF($B87="ChatGPT Ads",SUMIFS('ChatGPT data'!$F$3:$F$20000,'ChatGPT data'!$B$3:$B$20000,$A87),IF($B87="LinkedIn Ads",SUMIFS('LinkedIn data'!$F$3:$F$20000,'LinkedIn data'!$B$3:$B$20000,$A87),0)))))</f>
        <v/>
      </c>
      <c r="U87" s="38" t="str">
        <f aca="false">IF(OR($A87="",T87=0),"",R87/T87)</f>
        <v/>
      </c>
    </row>
    <row r="88" customFormat="false" ht="15" hidden="false" customHeight="false" outlineLevel="0" collapsed="false">
      <c r="A88" s="59"/>
      <c r="B88" s="59"/>
      <c r="C88" s="59"/>
      <c r="D88" s="59"/>
      <c r="E88" s="59"/>
      <c r="F88" s="14" t="str">
        <f aca="false">IF($A88="","",IF($B88="Meta",SUMIFS('Meta data'!$I$3:$I$20000,'Meta data'!$A$3:$A$20000,"&gt;="&amp;F$3,'Meta data'!$A$3:$A$20000,"&lt;="&amp;F$4,'Meta data'!$B$3:$B$20000,$A88),IF($B88="Google Ads",SUMIFS('Google data'!$I$3:$I$20000,'Google data'!$A$3:$A$20000,"&gt;="&amp;F$3,'Google data'!$A$3:$A$20000,"&lt;="&amp;F$4,'Google data'!$B$3:$B$20000,$A88),IF($B88="ChatGPT Ads",SUMIFS('ChatGPT data'!$I$3:$I$20000,'ChatGPT data'!$A$3:$A$20000,"&gt;="&amp;F$3,'ChatGPT data'!$A$3:$A$20000,"&lt;="&amp;F$4,'ChatGPT data'!$B$3:$B$20000,$A88),IF($B88="LinkedIn Ads",SUMIFS('LinkedIn data'!$I$3:$I$20000,'LinkedIn data'!$A$3:$A$20000,"&gt;="&amp;F$3,'LinkedIn data'!$A$3:$A$20000,"&lt;="&amp;F$4,'LinkedIn data'!$B$3:$B$20000,$A88),0)))))</f>
        <v/>
      </c>
      <c r="G88" s="14" t="str">
        <f aca="false">IF($A88="","",IF($B88="Meta",SUMIFS('Meta data'!$I$3:$I$20000,'Meta data'!$A$3:$A$20000,"&gt;="&amp;G$3,'Meta data'!$A$3:$A$20000,"&lt;="&amp;G$4,'Meta data'!$B$3:$B$20000,$A88),IF($B88="Google Ads",SUMIFS('Google data'!$I$3:$I$20000,'Google data'!$A$3:$A$20000,"&gt;="&amp;G$3,'Google data'!$A$3:$A$20000,"&lt;="&amp;G$4,'Google data'!$B$3:$B$20000,$A88),IF($B88="ChatGPT Ads",SUMIFS('ChatGPT data'!$I$3:$I$20000,'ChatGPT data'!$A$3:$A$20000,"&gt;="&amp;G$3,'ChatGPT data'!$A$3:$A$20000,"&lt;="&amp;G$4,'ChatGPT data'!$B$3:$B$20000,$A88),IF($B88="LinkedIn Ads",SUMIFS('LinkedIn data'!$I$3:$I$20000,'LinkedIn data'!$A$3:$A$20000,"&gt;="&amp;G$3,'LinkedIn data'!$A$3:$A$20000,"&lt;="&amp;G$4,'LinkedIn data'!$B$3:$B$20000,$A88),0)))))</f>
        <v/>
      </c>
      <c r="H88" s="14" t="str">
        <f aca="false">IF($A88="","",IF($B88="Meta",SUMIFS('Meta data'!$I$3:$I$20000,'Meta data'!$A$3:$A$20000,"&gt;="&amp;H$3,'Meta data'!$A$3:$A$20000,"&lt;="&amp;H$4,'Meta data'!$B$3:$B$20000,$A88),IF($B88="Google Ads",SUMIFS('Google data'!$I$3:$I$20000,'Google data'!$A$3:$A$20000,"&gt;="&amp;H$3,'Google data'!$A$3:$A$20000,"&lt;="&amp;H$4,'Google data'!$B$3:$B$20000,$A88),IF($B88="ChatGPT Ads",SUMIFS('ChatGPT data'!$I$3:$I$20000,'ChatGPT data'!$A$3:$A$20000,"&gt;="&amp;H$3,'ChatGPT data'!$A$3:$A$20000,"&lt;="&amp;H$4,'ChatGPT data'!$B$3:$B$20000,$A88),IF($B88="LinkedIn Ads",SUMIFS('LinkedIn data'!$I$3:$I$20000,'LinkedIn data'!$A$3:$A$20000,"&gt;="&amp;H$3,'LinkedIn data'!$A$3:$A$20000,"&lt;="&amp;H$4,'LinkedIn data'!$B$3:$B$20000,$A88),0)))))</f>
        <v/>
      </c>
      <c r="I88" s="14" t="str">
        <f aca="false">IF($A88="","",IF($B88="Meta",SUMIFS('Meta data'!$I$3:$I$20000,'Meta data'!$A$3:$A$20000,"&gt;="&amp;I$3,'Meta data'!$A$3:$A$20000,"&lt;="&amp;I$4,'Meta data'!$B$3:$B$20000,$A88),IF($B88="Google Ads",SUMIFS('Google data'!$I$3:$I$20000,'Google data'!$A$3:$A$20000,"&gt;="&amp;I$3,'Google data'!$A$3:$A$20000,"&lt;="&amp;I$4,'Google data'!$B$3:$B$20000,$A88),IF($B88="ChatGPT Ads",SUMIFS('ChatGPT data'!$I$3:$I$20000,'ChatGPT data'!$A$3:$A$20000,"&gt;="&amp;I$3,'ChatGPT data'!$A$3:$A$20000,"&lt;="&amp;I$4,'ChatGPT data'!$B$3:$B$20000,$A88),IF($B88="LinkedIn Ads",SUMIFS('LinkedIn data'!$I$3:$I$20000,'LinkedIn data'!$A$3:$A$20000,"&gt;="&amp;I$3,'LinkedIn data'!$A$3:$A$20000,"&lt;="&amp;I$4,'LinkedIn data'!$B$3:$B$20000,$A88),0)))))</f>
        <v/>
      </c>
      <c r="J88" s="14" t="str">
        <f aca="false">IF($A88="","",IF($B88="Meta",SUMIFS('Meta data'!$I$3:$I$20000,'Meta data'!$A$3:$A$20000,"&gt;="&amp;J$3,'Meta data'!$A$3:$A$20000,"&lt;="&amp;J$4,'Meta data'!$B$3:$B$20000,$A88),IF($B88="Google Ads",SUMIFS('Google data'!$I$3:$I$20000,'Google data'!$A$3:$A$20000,"&gt;="&amp;J$3,'Google data'!$A$3:$A$20000,"&lt;="&amp;J$4,'Google data'!$B$3:$B$20000,$A88),IF($B88="ChatGPT Ads",SUMIFS('ChatGPT data'!$I$3:$I$20000,'ChatGPT data'!$A$3:$A$20000,"&gt;="&amp;J$3,'ChatGPT data'!$A$3:$A$20000,"&lt;="&amp;J$4,'ChatGPT data'!$B$3:$B$20000,$A88),IF($B88="LinkedIn Ads",SUMIFS('LinkedIn data'!$I$3:$I$20000,'LinkedIn data'!$A$3:$A$20000,"&gt;="&amp;J$3,'LinkedIn data'!$A$3:$A$20000,"&lt;="&amp;J$4,'LinkedIn data'!$B$3:$B$20000,$A88),0)))))</f>
        <v/>
      </c>
      <c r="K88" s="14" t="str">
        <f aca="false">IF($A88="","",IF($B88="Meta",SUMIFS('Meta data'!$I$3:$I$20000,'Meta data'!$A$3:$A$20000,"&gt;="&amp;K$3,'Meta data'!$A$3:$A$20000,"&lt;="&amp;K$4,'Meta data'!$B$3:$B$20000,$A88),IF($B88="Google Ads",SUMIFS('Google data'!$I$3:$I$20000,'Google data'!$A$3:$A$20000,"&gt;="&amp;K$3,'Google data'!$A$3:$A$20000,"&lt;="&amp;K$4,'Google data'!$B$3:$B$20000,$A88),IF($B88="ChatGPT Ads",SUMIFS('ChatGPT data'!$I$3:$I$20000,'ChatGPT data'!$A$3:$A$20000,"&gt;="&amp;K$3,'ChatGPT data'!$A$3:$A$20000,"&lt;="&amp;K$4,'ChatGPT data'!$B$3:$B$20000,$A88),IF($B88="LinkedIn Ads",SUMIFS('LinkedIn data'!$I$3:$I$20000,'LinkedIn data'!$A$3:$A$20000,"&gt;="&amp;K$3,'LinkedIn data'!$A$3:$A$20000,"&lt;="&amp;K$4,'LinkedIn data'!$B$3:$B$20000,$A88),0)))))</f>
        <v/>
      </c>
      <c r="L88" s="14" t="str">
        <f aca="false">IF($A88="","",IF($B88="Meta",SUMIFS('Meta data'!$I$3:$I$20000,'Meta data'!$A$3:$A$20000,"&gt;="&amp;L$3,'Meta data'!$A$3:$A$20000,"&lt;="&amp;L$4,'Meta data'!$B$3:$B$20000,$A88),IF($B88="Google Ads",SUMIFS('Google data'!$I$3:$I$20000,'Google data'!$A$3:$A$20000,"&gt;="&amp;L$3,'Google data'!$A$3:$A$20000,"&lt;="&amp;L$4,'Google data'!$B$3:$B$20000,$A88),IF($B88="ChatGPT Ads",SUMIFS('ChatGPT data'!$I$3:$I$20000,'ChatGPT data'!$A$3:$A$20000,"&gt;="&amp;L$3,'ChatGPT data'!$A$3:$A$20000,"&lt;="&amp;L$4,'ChatGPT data'!$B$3:$B$20000,$A88),IF($B88="LinkedIn Ads",SUMIFS('LinkedIn data'!$I$3:$I$20000,'LinkedIn data'!$A$3:$A$20000,"&gt;="&amp;L$3,'LinkedIn data'!$A$3:$A$20000,"&lt;="&amp;L$4,'LinkedIn data'!$B$3:$B$20000,$A88),0)))))</f>
        <v/>
      </c>
      <c r="M88" s="14" t="str">
        <f aca="false">IF($A88="","",IF($B88="Meta",SUMIFS('Meta data'!$I$3:$I$20000,'Meta data'!$A$3:$A$20000,"&gt;="&amp;M$3,'Meta data'!$A$3:$A$20000,"&lt;="&amp;M$4,'Meta data'!$B$3:$B$20000,$A88),IF($B88="Google Ads",SUMIFS('Google data'!$I$3:$I$20000,'Google data'!$A$3:$A$20000,"&gt;="&amp;M$3,'Google data'!$A$3:$A$20000,"&lt;="&amp;M$4,'Google data'!$B$3:$B$20000,$A88),IF($B88="ChatGPT Ads",SUMIFS('ChatGPT data'!$I$3:$I$20000,'ChatGPT data'!$A$3:$A$20000,"&gt;="&amp;M$3,'ChatGPT data'!$A$3:$A$20000,"&lt;="&amp;M$4,'ChatGPT data'!$B$3:$B$20000,$A88),IF($B88="LinkedIn Ads",SUMIFS('LinkedIn data'!$I$3:$I$20000,'LinkedIn data'!$A$3:$A$20000,"&gt;="&amp;M$3,'LinkedIn data'!$A$3:$A$20000,"&lt;="&amp;M$4,'LinkedIn data'!$B$3:$B$20000,$A88),0)))))</f>
        <v/>
      </c>
      <c r="N88" s="14" t="str">
        <f aca="false">IF($A88="","",IF($B88="Meta",SUMIFS('Meta data'!$I$3:$I$20000,'Meta data'!$A$3:$A$20000,"&gt;="&amp;N$3,'Meta data'!$A$3:$A$20000,"&lt;="&amp;N$4,'Meta data'!$B$3:$B$20000,$A88),IF($B88="Google Ads",SUMIFS('Google data'!$I$3:$I$20000,'Google data'!$A$3:$A$20000,"&gt;="&amp;N$3,'Google data'!$A$3:$A$20000,"&lt;="&amp;N$4,'Google data'!$B$3:$B$20000,$A88),IF($B88="ChatGPT Ads",SUMIFS('ChatGPT data'!$I$3:$I$20000,'ChatGPT data'!$A$3:$A$20000,"&gt;="&amp;N$3,'ChatGPT data'!$A$3:$A$20000,"&lt;="&amp;N$4,'ChatGPT data'!$B$3:$B$20000,$A88),IF($B88="LinkedIn Ads",SUMIFS('LinkedIn data'!$I$3:$I$20000,'LinkedIn data'!$A$3:$A$20000,"&gt;="&amp;N$3,'LinkedIn data'!$A$3:$A$20000,"&lt;="&amp;N$4,'LinkedIn data'!$B$3:$B$20000,$A88),0)))))</f>
        <v/>
      </c>
      <c r="O88" s="14" t="str">
        <f aca="false">IF($A88="","",IF($B88="Meta",SUMIFS('Meta data'!$I$3:$I$20000,'Meta data'!$A$3:$A$20000,"&gt;="&amp;O$3,'Meta data'!$A$3:$A$20000,"&lt;="&amp;O$4,'Meta data'!$B$3:$B$20000,$A88),IF($B88="Google Ads",SUMIFS('Google data'!$I$3:$I$20000,'Google data'!$A$3:$A$20000,"&gt;="&amp;O$3,'Google data'!$A$3:$A$20000,"&lt;="&amp;O$4,'Google data'!$B$3:$B$20000,$A88),IF($B88="ChatGPT Ads",SUMIFS('ChatGPT data'!$I$3:$I$20000,'ChatGPT data'!$A$3:$A$20000,"&gt;="&amp;O$3,'ChatGPT data'!$A$3:$A$20000,"&lt;="&amp;O$4,'ChatGPT data'!$B$3:$B$20000,$A88),IF($B88="LinkedIn Ads",SUMIFS('LinkedIn data'!$I$3:$I$20000,'LinkedIn data'!$A$3:$A$20000,"&gt;="&amp;O$3,'LinkedIn data'!$A$3:$A$20000,"&lt;="&amp;O$4,'LinkedIn data'!$B$3:$B$20000,$A88),0)))))</f>
        <v/>
      </c>
      <c r="P88" s="14" t="str">
        <f aca="false">IF($A88="","",IF($B88="Meta",SUMIFS('Meta data'!$I$3:$I$20000,'Meta data'!$A$3:$A$20000,"&gt;="&amp;P$3,'Meta data'!$A$3:$A$20000,"&lt;="&amp;P$4,'Meta data'!$B$3:$B$20000,$A88),IF($B88="Google Ads",SUMIFS('Google data'!$I$3:$I$20000,'Google data'!$A$3:$A$20000,"&gt;="&amp;P$3,'Google data'!$A$3:$A$20000,"&lt;="&amp;P$4,'Google data'!$B$3:$B$20000,$A88),IF($B88="ChatGPT Ads",SUMIFS('ChatGPT data'!$I$3:$I$20000,'ChatGPT data'!$A$3:$A$20000,"&gt;="&amp;P$3,'ChatGPT data'!$A$3:$A$20000,"&lt;="&amp;P$4,'ChatGPT data'!$B$3:$B$20000,$A88),IF($B88="LinkedIn Ads",SUMIFS('LinkedIn data'!$I$3:$I$20000,'LinkedIn data'!$A$3:$A$20000,"&gt;="&amp;P$3,'LinkedIn data'!$A$3:$A$20000,"&lt;="&amp;P$4,'LinkedIn data'!$B$3:$B$20000,$A88),0)))))</f>
        <v/>
      </c>
      <c r="Q88" s="14" t="str">
        <f aca="false">IF($A88="","",IF($B88="Meta",SUMIFS('Meta data'!$I$3:$I$20000,'Meta data'!$A$3:$A$20000,"&gt;="&amp;Q$3,'Meta data'!$A$3:$A$20000,"&lt;="&amp;Q$4,'Meta data'!$B$3:$B$20000,$A88),IF($B88="Google Ads",SUMIFS('Google data'!$I$3:$I$20000,'Google data'!$A$3:$A$20000,"&gt;="&amp;Q$3,'Google data'!$A$3:$A$20000,"&lt;="&amp;Q$4,'Google data'!$B$3:$B$20000,$A88),IF($B88="ChatGPT Ads",SUMIFS('ChatGPT data'!$I$3:$I$20000,'ChatGPT data'!$A$3:$A$20000,"&gt;="&amp;Q$3,'ChatGPT data'!$A$3:$A$20000,"&lt;="&amp;Q$4,'ChatGPT data'!$B$3:$B$20000,$A88),IF($B88="LinkedIn Ads",SUMIFS('LinkedIn data'!$I$3:$I$20000,'LinkedIn data'!$A$3:$A$20000,"&gt;="&amp;Q$3,'LinkedIn data'!$A$3:$A$20000,"&lt;="&amp;Q$4,'LinkedIn data'!$B$3:$B$20000,$A88),0)))))</f>
        <v/>
      </c>
      <c r="R88" s="15" t="str">
        <f aca="false">IF($A88="","",SUM(F88:Q88))</f>
        <v/>
      </c>
      <c r="S88" s="37" t="str">
        <f aca="false">IF($A88="","",IF($B88="Meta",SUMIFS('Meta data'!$E$3:$E$20000,'Meta data'!$B$3:$B$20000,$A88),IF($B88="Google Ads",SUMIFS('Google data'!$E$3:$E$20000,'Google data'!$B$3:$B$20000,$A88),IF($B88="ChatGPT Ads",SUMIFS('ChatGPT data'!$E$3:$E$20000,'ChatGPT data'!$B$3:$B$20000,$A88),IF($B88="LinkedIn Ads",SUMIFS('LinkedIn data'!$E$3:$E$20000,'LinkedIn data'!$B$3:$B$20000,$A88),0)))))</f>
        <v/>
      </c>
      <c r="T88" s="37" t="str">
        <f aca="false">IF($A88="","",IF($B88="Meta",SUMIFS('Meta data'!$F$3:$F$20000,'Meta data'!$B$3:$B$20000,$A88),IF($B88="Google Ads",SUMIFS('Google data'!$F$3:$F$20000,'Google data'!$B$3:$B$20000,$A88),IF($B88="ChatGPT Ads",SUMIFS('ChatGPT data'!$F$3:$F$20000,'ChatGPT data'!$B$3:$B$20000,$A88),IF($B88="LinkedIn Ads",SUMIFS('LinkedIn data'!$F$3:$F$20000,'LinkedIn data'!$B$3:$B$20000,$A88),0)))))</f>
        <v/>
      </c>
      <c r="U88" s="38" t="str">
        <f aca="false">IF(OR($A88="",T88=0),"",R88/T88)</f>
        <v/>
      </c>
    </row>
    <row r="89" customFormat="false" ht="15" hidden="false" customHeight="false" outlineLevel="0" collapsed="false">
      <c r="A89" s="59"/>
      <c r="B89" s="59"/>
      <c r="C89" s="59"/>
      <c r="D89" s="59"/>
      <c r="E89" s="59"/>
      <c r="F89" s="14" t="str">
        <f aca="false">IF($A89="","",IF($B89="Meta",SUMIFS('Meta data'!$I$3:$I$20000,'Meta data'!$A$3:$A$20000,"&gt;="&amp;F$3,'Meta data'!$A$3:$A$20000,"&lt;="&amp;F$4,'Meta data'!$B$3:$B$20000,$A89),IF($B89="Google Ads",SUMIFS('Google data'!$I$3:$I$20000,'Google data'!$A$3:$A$20000,"&gt;="&amp;F$3,'Google data'!$A$3:$A$20000,"&lt;="&amp;F$4,'Google data'!$B$3:$B$20000,$A89),IF($B89="ChatGPT Ads",SUMIFS('ChatGPT data'!$I$3:$I$20000,'ChatGPT data'!$A$3:$A$20000,"&gt;="&amp;F$3,'ChatGPT data'!$A$3:$A$20000,"&lt;="&amp;F$4,'ChatGPT data'!$B$3:$B$20000,$A89),IF($B89="LinkedIn Ads",SUMIFS('LinkedIn data'!$I$3:$I$20000,'LinkedIn data'!$A$3:$A$20000,"&gt;="&amp;F$3,'LinkedIn data'!$A$3:$A$20000,"&lt;="&amp;F$4,'LinkedIn data'!$B$3:$B$20000,$A89),0)))))</f>
        <v/>
      </c>
      <c r="G89" s="14" t="str">
        <f aca="false">IF($A89="","",IF($B89="Meta",SUMIFS('Meta data'!$I$3:$I$20000,'Meta data'!$A$3:$A$20000,"&gt;="&amp;G$3,'Meta data'!$A$3:$A$20000,"&lt;="&amp;G$4,'Meta data'!$B$3:$B$20000,$A89),IF($B89="Google Ads",SUMIFS('Google data'!$I$3:$I$20000,'Google data'!$A$3:$A$20000,"&gt;="&amp;G$3,'Google data'!$A$3:$A$20000,"&lt;="&amp;G$4,'Google data'!$B$3:$B$20000,$A89),IF($B89="ChatGPT Ads",SUMIFS('ChatGPT data'!$I$3:$I$20000,'ChatGPT data'!$A$3:$A$20000,"&gt;="&amp;G$3,'ChatGPT data'!$A$3:$A$20000,"&lt;="&amp;G$4,'ChatGPT data'!$B$3:$B$20000,$A89),IF($B89="LinkedIn Ads",SUMIFS('LinkedIn data'!$I$3:$I$20000,'LinkedIn data'!$A$3:$A$20000,"&gt;="&amp;G$3,'LinkedIn data'!$A$3:$A$20000,"&lt;="&amp;G$4,'LinkedIn data'!$B$3:$B$20000,$A89),0)))))</f>
        <v/>
      </c>
      <c r="H89" s="14" t="str">
        <f aca="false">IF($A89="","",IF($B89="Meta",SUMIFS('Meta data'!$I$3:$I$20000,'Meta data'!$A$3:$A$20000,"&gt;="&amp;H$3,'Meta data'!$A$3:$A$20000,"&lt;="&amp;H$4,'Meta data'!$B$3:$B$20000,$A89),IF($B89="Google Ads",SUMIFS('Google data'!$I$3:$I$20000,'Google data'!$A$3:$A$20000,"&gt;="&amp;H$3,'Google data'!$A$3:$A$20000,"&lt;="&amp;H$4,'Google data'!$B$3:$B$20000,$A89),IF($B89="ChatGPT Ads",SUMIFS('ChatGPT data'!$I$3:$I$20000,'ChatGPT data'!$A$3:$A$20000,"&gt;="&amp;H$3,'ChatGPT data'!$A$3:$A$20000,"&lt;="&amp;H$4,'ChatGPT data'!$B$3:$B$20000,$A89),IF($B89="LinkedIn Ads",SUMIFS('LinkedIn data'!$I$3:$I$20000,'LinkedIn data'!$A$3:$A$20000,"&gt;="&amp;H$3,'LinkedIn data'!$A$3:$A$20000,"&lt;="&amp;H$4,'LinkedIn data'!$B$3:$B$20000,$A89),0)))))</f>
        <v/>
      </c>
      <c r="I89" s="14" t="str">
        <f aca="false">IF($A89="","",IF($B89="Meta",SUMIFS('Meta data'!$I$3:$I$20000,'Meta data'!$A$3:$A$20000,"&gt;="&amp;I$3,'Meta data'!$A$3:$A$20000,"&lt;="&amp;I$4,'Meta data'!$B$3:$B$20000,$A89),IF($B89="Google Ads",SUMIFS('Google data'!$I$3:$I$20000,'Google data'!$A$3:$A$20000,"&gt;="&amp;I$3,'Google data'!$A$3:$A$20000,"&lt;="&amp;I$4,'Google data'!$B$3:$B$20000,$A89),IF($B89="ChatGPT Ads",SUMIFS('ChatGPT data'!$I$3:$I$20000,'ChatGPT data'!$A$3:$A$20000,"&gt;="&amp;I$3,'ChatGPT data'!$A$3:$A$20000,"&lt;="&amp;I$4,'ChatGPT data'!$B$3:$B$20000,$A89),IF($B89="LinkedIn Ads",SUMIFS('LinkedIn data'!$I$3:$I$20000,'LinkedIn data'!$A$3:$A$20000,"&gt;="&amp;I$3,'LinkedIn data'!$A$3:$A$20000,"&lt;="&amp;I$4,'LinkedIn data'!$B$3:$B$20000,$A89),0)))))</f>
        <v/>
      </c>
      <c r="J89" s="14" t="str">
        <f aca="false">IF($A89="","",IF($B89="Meta",SUMIFS('Meta data'!$I$3:$I$20000,'Meta data'!$A$3:$A$20000,"&gt;="&amp;J$3,'Meta data'!$A$3:$A$20000,"&lt;="&amp;J$4,'Meta data'!$B$3:$B$20000,$A89),IF($B89="Google Ads",SUMIFS('Google data'!$I$3:$I$20000,'Google data'!$A$3:$A$20000,"&gt;="&amp;J$3,'Google data'!$A$3:$A$20000,"&lt;="&amp;J$4,'Google data'!$B$3:$B$20000,$A89),IF($B89="ChatGPT Ads",SUMIFS('ChatGPT data'!$I$3:$I$20000,'ChatGPT data'!$A$3:$A$20000,"&gt;="&amp;J$3,'ChatGPT data'!$A$3:$A$20000,"&lt;="&amp;J$4,'ChatGPT data'!$B$3:$B$20000,$A89),IF($B89="LinkedIn Ads",SUMIFS('LinkedIn data'!$I$3:$I$20000,'LinkedIn data'!$A$3:$A$20000,"&gt;="&amp;J$3,'LinkedIn data'!$A$3:$A$20000,"&lt;="&amp;J$4,'LinkedIn data'!$B$3:$B$20000,$A89),0)))))</f>
        <v/>
      </c>
      <c r="K89" s="14" t="str">
        <f aca="false">IF($A89="","",IF($B89="Meta",SUMIFS('Meta data'!$I$3:$I$20000,'Meta data'!$A$3:$A$20000,"&gt;="&amp;K$3,'Meta data'!$A$3:$A$20000,"&lt;="&amp;K$4,'Meta data'!$B$3:$B$20000,$A89),IF($B89="Google Ads",SUMIFS('Google data'!$I$3:$I$20000,'Google data'!$A$3:$A$20000,"&gt;="&amp;K$3,'Google data'!$A$3:$A$20000,"&lt;="&amp;K$4,'Google data'!$B$3:$B$20000,$A89),IF($B89="ChatGPT Ads",SUMIFS('ChatGPT data'!$I$3:$I$20000,'ChatGPT data'!$A$3:$A$20000,"&gt;="&amp;K$3,'ChatGPT data'!$A$3:$A$20000,"&lt;="&amp;K$4,'ChatGPT data'!$B$3:$B$20000,$A89),IF($B89="LinkedIn Ads",SUMIFS('LinkedIn data'!$I$3:$I$20000,'LinkedIn data'!$A$3:$A$20000,"&gt;="&amp;K$3,'LinkedIn data'!$A$3:$A$20000,"&lt;="&amp;K$4,'LinkedIn data'!$B$3:$B$20000,$A89),0)))))</f>
        <v/>
      </c>
      <c r="L89" s="14" t="str">
        <f aca="false">IF($A89="","",IF($B89="Meta",SUMIFS('Meta data'!$I$3:$I$20000,'Meta data'!$A$3:$A$20000,"&gt;="&amp;L$3,'Meta data'!$A$3:$A$20000,"&lt;="&amp;L$4,'Meta data'!$B$3:$B$20000,$A89),IF($B89="Google Ads",SUMIFS('Google data'!$I$3:$I$20000,'Google data'!$A$3:$A$20000,"&gt;="&amp;L$3,'Google data'!$A$3:$A$20000,"&lt;="&amp;L$4,'Google data'!$B$3:$B$20000,$A89),IF($B89="ChatGPT Ads",SUMIFS('ChatGPT data'!$I$3:$I$20000,'ChatGPT data'!$A$3:$A$20000,"&gt;="&amp;L$3,'ChatGPT data'!$A$3:$A$20000,"&lt;="&amp;L$4,'ChatGPT data'!$B$3:$B$20000,$A89),IF($B89="LinkedIn Ads",SUMIFS('LinkedIn data'!$I$3:$I$20000,'LinkedIn data'!$A$3:$A$20000,"&gt;="&amp;L$3,'LinkedIn data'!$A$3:$A$20000,"&lt;="&amp;L$4,'LinkedIn data'!$B$3:$B$20000,$A89),0)))))</f>
        <v/>
      </c>
      <c r="M89" s="14" t="str">
        <f aca="false">IF($A89="","",IF($B89="Meta",SUMIFS('Meta data'!$I$3:$I$20000,'Meta data'!$A$3:$A$20000,"&gt;="&amp;M$3,'Meta data'!$A$3:$A$20000,"&lt;="&amp;M$4,'Meta data'!$B$3:$B$20000,$A89),IF($B89="Google Ads",SUMIFS('Google data'!$I$3:$I$20000,'Google data'!$A$3:$A$20000,"&gt;="&amp;M$3,'Google data'!$A$3:$A$20000,"&lt;="&amp;M$4,'Google data'!$B$3:$B$20000,$A89),IF($B89="ChatGPT Ads",SUMIFS('ChatGPT data'!$I$3:$I$20000,'ChatGPT data'!$A$3:$A$20000,"&gt;="&amp;M$3,'ChatGPT data'!$A$3:$A$20000,"&lt;="&amp;M$4,'ChatGPT data'!$B$3:$B$20000,$A89),IF($B89="LinkedIn Ads",SUMIFS('LinkedIn data'!$I$3:$I$20000,'LinkedIn data'!$A$3:$A$20000,"&gt;="&amp;M$3,'LinkedIn data'!$A$3:$A$20000,"&lt;="&amp;M$4,'LinkedIn data'!$B$3:$B$20000,$A89),0)))))</f>
        <v/>
      </c>
      <c r="N89" s="14" t="str">
        <f aca="false">IF($A89="","",IF($B89="Meta",SUMIFS('Meta data'!$I$3:$I$20000,'Meta data'!$A$3:$A$20000,"&gt;="&amp;N$3,'Meta data'!$A$3:$A$20000,"&lt;="&amp;N$4,'Meta data'!$B$3:$B$20000,$A89),IF($B89="Google Ads",SUMIFS('Google data'!$I$3:$I$20000,'Google data'!$A$3:$A$20000,"&gt;="&amp;N$3,'Google data'!$A$3:$A$20000,"&lt;="&amp;N$4,'Google data'!$B$3:$B$20000,$A89),IF($B89="ChatGPT Ads",SUMIFS('ChatGPT data'!$I$3:$I$20000,'ChatGPT data'!$A$3:$A$20000,"&gt;="&amp;N$3,'ChatGPT data'!$A$3:$A$20000,"&lt;="&amp;N$4,'ChatGPT data'!$B$3:$B$20000,$A89),IF($B89="LinkedIn Ads",SUMIFS('LinkedIn data'!$I$3:$I$20000,'LinkedIn data'!$A$3:$A$20000,"&gt;="&amp;N$3,'LinkedIn data'!$A$3:$A$20000,"&lt;="&amp;N$4,'LinkedIn data'!$B$3:$B$20000,$A89),0)))))</f>
        <v/>
      </c>
      <c r="O89" s="14" t="str">
        <f aca="false">IF($A89="","",IF($B89="Meta",SUMIFS('Meta data'!$I$3:$I$20000,'Meta data'!$A$3:$A$20000,"&gt;="&amp;O$3,'Meta data'!$A$3:$A$20000,"&lt;="&amp;O$4,'Meta data'!$B$3:$B$20000,$A89),IF($B89="Google Ads",SUMIFS('Google data'!$I$3:$I$20000,'Google data'!$A$3:$A$20000,"&gt;="&amp;O$3,'Google data'!$A$3:$A$20000,"&lt;="&amp;O$4,'Google data'!$B$3:$B$20000,$A89),IF($B89="ChatGPT Ads",SUMIFS('ChatGPT data'!$I$3:$I$20000,'ChatGPT data'!$A$3:$A$20000,"&gt;="&amp;O$3,'ChatGPT data'!$A$3:$A$20000,"&lt;="&amp;O$4,'ChatGPT data'!$B$3:$B$20000,$A89),IF($B89="LinkedIn Ads",SUMIFS('LinkedIn data'!$I$3:$I$20000,'LinkedIn data'!$A$3:$A$20000,"&gt;="&amp;O$3,'LinkedIn data'!$A$3:$A$20000,"&lt;="&amp;O$4,'LinkedIn data'!$B$3:$B$20000,$A89),0)))))</f>
        <v/>
      </c>
      <c r="P89" s="14" t="str">
        <f aca="false">IF($A89="","",IF($B89="Meta",SUMIFS('Meta data'!$I$3:$I$20000,'Meta data'!$A$3:$A$20000,"&gt;="&amp;P$3,'Meta data'!$A$3:$A$20000,"&lt;="&amp;P$4,'Meta data'!$B$3:$B$20000,$A89),IF($B89="Google Ads",SUMIFS('Google data'!$I$3:$I$20000,'Google data'!$A$3:$A$20000,"&gt;="&amp;P$3,'Google data'!$A$3:$A$20000,"&lt;="&amp;P$4,'Google data'!$B$3:$B$20000,$A89),IF($B89="ChatGPT Ads",SUMIFS('ChatGPT data'!$I$3:$I$20000,'ChatGPT data'!$A$3:$A$20000,"&gt;="&amp;P$3,'ChatGPT data'!$A$3:$A$20000,"&lt;="&amp;P$4,'ChatGPT data'!$B$3:$B$20000,$A89),IF($B89="LinkedIn Ads",SUMIFS('LinkedIn data'!$I$3:$I$20000,'LinkedIn data'!$A$3:$A$20000,"&gt;="&amp;P$3,'LinkedIn data'!$A$3:$A$20000,"&lt;="&amp;P$4,'LinkedIn data'!$B$3:$B$20000,$A89),0)))))</f>
        <v/>
      </c>
      <c r="Q89" s="14" t="str">
        <f aca="false">IF($A89="","",IF($B89="Meta",SUMIFS('Meta data'!$I$3:$I$20000,'Meta data'!$A$3:$A$20000,"&gt;="&amp;Q$3,'Meta data'!$A$3:$A$20000,"&lt;="&amp;Q$4,'Meta data'!$B$3:$B$20000,$A89),IF($B89="Google Ads",SUMIFS('Google data'!$I$3:$I$20000,'Google data'!$A$3:$A$20000,"&gt;="&amp;Q$3,'Google data'!$A$3:$A$20000,"&lt;="&amp;Q$4,'Google data'!$B$3:$B$20000,$A89),IF($B89="ChatGPT Ads",SUMIFS('ChatGPT data'!$I$3:$I$20000,'ChatGPT data'!$A$3:$A$20000,"&gt;="&amp;Q$3,'ChatGPT data'!$A$3:$A$20000,"&lt;="&amp;Q$4,'ChatGPT data'!$B$3:$B$20000,$A89),IF($B89="LinkedIn Ads",SUMIFS('LinkedIn data'!$I$3:$I$20000,'LinkedIn data'!$A$3:$A$20000,"&gt;="&amp;Q$3,'LinkedIn data'!$A$3:$A$20000,"&lt;="&amp;Q$4,'LinkedIn data'!$B$3:$B$20000,$A89),0)))))</f>
        <v/>
      </c>
      <c r="R89" s="15" t="str">
        <f aca="false">IF($A89="","",SUM(F89:Q89))</f>
        <v/>
      </c>
      <c r="S89" s="37" t="str">
        <f aca="false">IF($A89="","",IF($B89="Meta",SUMIFS('Meta data'!$E$3:$E$20000,'Meta data'!$B$3:$B$20000,$A89),IF($B89="Google Ads",SUMIFS('Google data'!$E$3:$E$20000,'Google data'!$B$3:$B$20000,$A89),IF($B89="ChatGPT Ads",SUMIFS('ChatGPT data'!$E$3:$E$20000,'ChatGPT data'!$B$3:$B$20000,$A89),IF($B89="LinkedIn Ads",SUMIFS('LinkedIn data'!$E$3:$E$20000,'LinkedIn data'!$B$3:$B$20000,$A89),0)))))</f>
        <v/>
      </c>
      <c r="T89" s="37" t="str">
        <f aca="false">IF($A89="","",IF($B89="Meta",SUMIFS('Meta data'!$F$3:$F$20000,'Meta data'!$B$3:$B$20000,$A89),IF($B89="Google Ads",SUMIFS('Google data'!$F$3:$F$20000,'Google data'!$B$3:$B$20000,$A89),IF($B89="ChatGPT Ads",SUMIFS('ChatGPT data'!$F$3:$F$20000,'ChatGPT data'!$B$3:$B$20000,$A89),IF($B89="LinkedIn Ads",SUMIFS('LinkedIn data'!$F$3:$F$20000,'LinkedIn data'!$B$3:$B$20000,$A89),0)))))</f>
        <v/>
      </c>
      <c r="U89" s="38" t="str">
        <f aca="false">IF(OR($A89="",T89=0),"",R89/T89)</f>
        <v/>
      </c>
    </row>
    <row r="90" customFormat="false" ht="15" hidden="false" customHeight="false" outlineLevel="0" collapsed="false">
      <c r="A90" s="59"/>
      <c r="B90" s="59"/>
      <c r="C90" s="59"/>
      <c r="D90" s="59"/>
      <c r="E90" s="59"/>
      <c r="F90" s="14" t="str">
        <f aca="false">IF($A90="","",IF($B90="Meta",SUMIFS('Meta data'!$I$3:$I$20000,'Meta data'!$A$3:$A$20000,"&gt;="&amp;F$3,'Meta data'!$A$3:$A$20000,"&lt;="&amp;F$4,'Meta data'!$B$3:$B$20000,$A90),IF($B90="Google Ads",SUMIFS('Google data'!$I$3:$I$20000,'Google data'!$A$3:$A$20000,"&gt;="&amp;F$3,'Google data'!$A$3:$A$20000,"&lt;="&amp;F$4,'Google data'!$B$3:$B$20000,$A90),IF($B90="ChatGPT Ads",SUMIFS('ChatGPT data'!$I$3:$I$20000,'ChatGPT data'!$A$3:$A$20000,"&gt;="&amp;F$3,'ChatGPT data'!$A$3:$A$20000,"&lt;="&amp;F$4,'ChatGPT data'!$B$3:$B$20000,$A90),IF($B90="LinkedIn Ads",SUMIFS('LinkedIn data'!$I$3:$I$20000,'LinkedIn data'!$A$3:$A$20000,"&gt;="&amp;F$3,'LinkedIn data'!$A$3:$A$20000,"&lt;="&amp;F$4,'LinkedIn data'!$B$3:$B$20000,$A90),0)))))</f>
        <v/>
      </c>
      <c r="G90" s="14" t="str">
        <f aca="false">IF($A90="","",IF($B90="Meta",SUMIFS('Meta data'!$I$3:$I$20000,'Meta data'!$A$3:$A$20000,"&gt;="&amp;G$3,'Meta data'!$A$3:$A$20000,"&lt;="&amp;G$4,'Meta data'!$B$3:$B$20000,$A90),IF($B90="Google Ads",SUMIFS('Google data'!$I$3:$I$20000,'Google data'!$A$3:$A$20000,"&gt;="&amp;G$3,'Google data'!$A$3:$A$20000,"&lt;="&amp;G$4,'Google data'!$B$3:$B$20000,$A90),IF($B90="ChatGPT Ads",SUMIFS('ChatGPT data'!$I$3:$I$20000,'ChatGPT data'!$A$3:$A$20000,"&gt;="&amp;G$3,'ChatGPT data'!$A$3:$A$20000,"&lt;="&amp;G$4,'ChatGPT data'!$B$3:$B$20000,$A90),IF($B90="LinkedIn Ads",SUMIFS('LinkedIn data'!$I$3:$I$20000,'LinkedIn data'!$A$3:$A$20000,"&gt;="&amp;G$3,'LinkedIn data'!$A$3:$A$20000,"&lt;="&amp;G$4,'LinkedIn data'!$B$3:$B$20000,$A90),0)))))</f>
        <v/>
      </c>
      <c r="H90" s="14" t="str">
        <f aca="false">IF($A90="","",IF($B90="Meta",SUMIFS('Meta data'!$I$3:$I$20000,'Meta data'!$A$3:$A$20000,"&gt;="&amp;H$3,'Meta data'!$A$3:$A$20000,"&lt;="&amp;H$4,'Meta data'!$B$3:$B$20000,$A90),IF($B90="Google Ads",SUMIFS('Google data'!$I$3:$I$20000,'Google data'!$A$3:$A$20000,"&gt;="&amp;H$3,'Google data'!$A$3:$A$20000,"&lt;="&amp;H$4,'Google data'!$B$3:$B$20000,$A90),IF($B90="ChatGPT Ads",SUMIFS('ChatGPT data'!$I$3:$I$20000,'ChatGPT data'!$A$3:$A$20000,"&gt;="&amp;H$3,'ChatGPT data'!$A$3:$A$20000,"&lt;="&amp;H$4,'ChatGPT data'!$B$3:$B$20000,$A90),IF($B90="LinkedIn Ads",SUMIFS('LinkedIn data'!$I$3:$I$20000,'LinkedIn data'!$A$3:$A$20000,"&gt;="&amp;H$3,'LinkedIn data'!$A$3:$A$20000,"&lt;="&amp;H$4,'LinkedIn data'!$B$3:$B$20000,$A90),0)))))</f>
        <v/>
      </c>
      <c r="I90" s="14" t="str">
        <f aca="false">IF($A90="","",IF($B90="Meta",SUMIFS('Meta data'!$I$3:$I$20000,'Meta data'!$A$3:$A$20000,"&gt;="&amp;I$3,'Meta data'!$A$3:$A$20000,"&lt;="&amp;I$4,'Meta data'!$B$3:$B$20000,$A90),IF($B90="Google Ads",SUMIFS('Google data'!$I$3:$I$20000,'Google data'!$A$3:$A$20000,"&gt;="&amp;I$3,'Google data'!$A$3:$A$20000,"&lt;="&amp;I$4,'Google data'!$B$3:$B$20000,$A90),IF($B90="ChatGPT Ads",SUMIFS('ChatGPT data'!$I$3:$I$20000,'ChatGPT data'!$A$3:$A$20000,"&gt;="&amp;I$3,'ChatGPT data'!$A$3:$A$20000,"&lt;="&amp;I$4,'ChatGPT data'!$B$3:$B$20000,$A90),IF($B90="LinkedIn Ads",SUMIFS('LinkedIn data'!$I$3:$I$20000,'LinkedIn data'!$A$3:$A$20000,"&gt;="&amp;I$3,'LinkedIn data'!$A$3:$A$20000,"&lt;="&amp;I$4,'LinkedIn data'!$B$3:$B$20000,$A90),0)))))</f>
        <v/>
      </c>
      <c r="J90" s="14" t="str">
        <f aca="false">IF($A90="","",IF($B90="Meta",SUMIFS('Meta data'!$I$3:$I$20000,'Meta data'!$A$3:$A$20000,"&gt;="&amp;J$3,'Meta data'!$A$3:$A$20000,"&lt;="&amp;J$4,'Meta data'!$B$3:$B$20000,$A90),IF($B90="Google Ads",SUMIFS('Google data'!$I$3:$I$20000,'Google data'!$A$3:$A$20000,"&gt;="&amp;J$3,'Google data'!$A$3:$A$20000,"&lt;="&amp;J$4,'Google data'!$B$3:$B$20000,$A90),IF($B90="ChatGPT Ads",SUMIFS('ChatGPT data'!$I$3:$I$20000,'ChatGPT data'!$A$3:$A$20000,"&gt;="&amp;J$3,'ChatGPT data'!$A$3:$A$20000,"&lt;="&amp;J$4,'ChatGPT data'!$B$3:$B$20000,$A90),IF($B90="LinkedIn Ads",SUMIFS('LinkedIn data'!$I$3:$I$20000,'LinkedIn data'!$A$3:$A$20000,"&gt;="&amp;J$3,'LinkedIn data'!$A$3:$A$20000,"&lt;="&amp;J$4,'LinkedIn data'!$B$3:$B$20000,$A90),0)))))</f>
        <v/>
      </c>
      <c r="K90" s="14" t="str">
        <f aca="false">IF($A90="","",IF($B90="Meta",SUMIFS('Meta data'!$I$3:$I$20000,'Meta data'!$A$3:$A$20000,"&gt;="&amp;K$3,'Meta data'!$A$3:$A$20000,"&lt;="&amp;K$4,'Meta data'!$B$3:$B$20000,$A90),IF($B90="Google Ads",SUMIFS('Google data'!$I$3:$I$20000,'Google data'!$A$3:$A$20000,"&gt;="&amp;K$3,'Google data'!$A$3:$A$20000,"&lt;="&amp;K$4,'Google data'!$B$3:$B$20000,$A90),IF($B90="ChatGPT Ads",SUMIFS('ChatGPT data'!$I$3:$I$20000,'ChatGPT data'!$A$3:$A$20000,"&gt;="&amp;K$3,'ChatGPT data'!$A$3:$A$20000,"&lt;="&amp;K$4,'ChatGPT data'!$B$3:$B$20000,$A90),IF($B90="LinkedIn Ads",SUMIFS('LinkedIn data'!$I$3:$I$20000,'LinkedIn data'!$A$3:$A$20000,"&gt;="&amp;K$3,'LinkedIn data'!$A$3:$A$20000,"&lt;="&amp;K$4,'LinkedIn data'!$B$3:$B$20000,$A90),0)))))</f>
        <v/>
      </c>
      <c r="L90" s="14" t="str">
        <f aca="false">IF($A90="","",IF($B90="Meta",SUMIFS('Meta data'!$I$3:$I$20000,'Meta data'!$A$3:$A$20000,"&gt;="&amp;L$3,'Meta data'!$A$3:$A$20000,"&lt;="&amp;L$4,'Meta data'!$B$3:$B$20000,$A90),IF($B90="Google Ads",SUMIFS('Google data'!$I$3:$I$20000,'Google data'!$A$3:$A$20000,"&gt;="&amp;L$3,'Google data'!$A$3:$A$20000,"&lt;="&amp;L$4,'Google data'!$B$3:$B$20000,$A90),IF($B90="ChatGPT Ads",SUMIFS('ChatGPT data'!$I$3:$I$20000,'ChatGPT data'!$A$3:$A$20000,"&gt;="&amp;L$3,'ChatGPT data'!$A$3:$A$20000,"&lt;="&amp;L$4,'ChatGPT data'!$B$3:$B$20000,$A90),IF($B90="LinkedIn Ads",SUMIFS('LinkedIn data'!$I$3:$I$20000,'LinkedIn data'!$A$3:$A$20000,"&gt;="&amp;L$3,'LinkedIn data'!$A$3:$A$20000,"&lt;="&amp;L$4,'LinkedIn data'!$B$3:$B$20000,$A90),0)))))</f>
        <v/>
      </c>
      <c r="M90" s="14" t="str">
        <f aca="false">IF($A90="","",IF($B90="Meta",SUMIFS('Meta data'!$I$3:$I$20000,'Meta data'!$A$3:$A$20000,"&gt;="&amp;M$3,'Meta data'!$A$3:$A$20000,"&lt;="&amp;M$4,'Meta data'!$B$3:$B$20000,$A90),IF($B90="Google Ads",SUMIFS('Google data'!$I$3:$I$20000,'Google data'!$A$3:$A$20000,"&gt;="&amp;M$3,'Google data'!$A$3:$A$20000,"&lt;="&amp;M$4,'Google data'!$B$3:$B$20000,$A90),IF($B90="ChatGPT Ads",SUMIFS('ChatGPT data'!$I$3:$I$20000,'ChatGPT data'!$A$3:$A$20000,"&gt;="&amp;M$3,'ChatGPT data'!$A$3:$A$20000,"&lt;="&amp;M$4,'ChatGPT data'!$B$3:$B$20000,$A90),IF($B90="LinkedIn Ads",SUMIFS('LinkedIn data'!$I$3:$I$20000,'LinkedIn data'!$A$3:$A$20000,"&gt;="&amp;M$3,'LinkedIn data'!$A$3:$A$20000,"&lt;="&amp;M$4,'LinkedIn data'!$B$3:$B$20000,$A90),0)))))</f>
        <v/>
      </c>
      <c r="N90" s="14" t="str">
        <f aca="false">IF($A90="","",IF($B90="Meta",SUMIFS('Meta data'!$I$3:$I$20000,'Meta data'!$A$3:$A$20000,"&gt;="&amp;N$3,'Meta data'!$A$3:$A$20000,"&lt;="&amp;N$4,'Meta data'!$B$3:$B$20000,$A90),IF($B90="Google Ads",SUMIFS('Google data'!$I$3:$I$20000,'Google data'!$A$3:$A$20000,"&gt;="&amp;N$3,'Google data'!$A$3:$A$20000,"&lt;="&amp;N$4,'Google data'!$B$3:$B$20000,$A90),IF($B90="ChatGPT Ads",SUMIFS('ChatGPT data'!$I$3:$I$20000,'ChatGPT data'!$A$3:$A$20000,"&gt;="&amp;N$3,'ChatGPT data'!$A$3:$A$20000,"&lt;="&amp;N$4,'ChatGPT data'!$B$3:$B$20000,$A90),IF($B90="LinkedIn Ads",SUMIFS('LinkedIn data'!$I$3:$I$20000,'LinkedIn data'!$A$3:$A$20000,"&gt;="&amp;N$3,'LinkedIn data'!$A$3:$A$20000,"&lt;="&amp;N$4,'LinkedIn data'!$B$3:$B$20000,$A90),0)))))</f>
        <v/>
      </c>
      <c r="O90" s="14" t="str">
        <f aca="false">IF($A90="","",IF($B90="Meta",SUMIFS('Meta data'!$I$3:$I$20000,'Meta data'!$A$3:$A$20000,"&gt;="&amp;O$3,'Meta data'!$A$3:$A$20000,"&lt;="&amp;O$4,'Meta data'!$B$3:$B$20000,$A90),IF($B90="Google Ads",SUMIFS('Google data'!$I$3:$I$20000,'Google data'!$A$3:$A$20000,"&gt;="&amp;O$3,'Google data'!$A$3:$A$20000,"&lt;="&amp;O$4,'Google data'!$B$3:$B$20000,$A90),IF($B90="ChatGPT Ads",SUMIFS('ChatGPT data'!$I$3:$I$20000,'ChatGPT data'!$A$3:$A$20000,"&gt;="&amp;O$3,'ChatGPT data'!$A$3:$A$20000,"&lt;="&amp;O$4,'ChatGPT data'!$B$3:$B$20000,$A90),IF($B90="LinkedIn Ads",SUMIFS('LinkedIn data'!$I$3:$I$20000,'LinkedIn data'!$A$3:$A$20000,"&gt;="&amp;O$3,'LinkedIn data'!$A$3:$A$20000,"&lt;="&amp;O$4,'LinkedIn data'!$B$3:$B$20000,$A90),0)))))</f>
        <v/>
      </c>
      <c r="P90" s="14" t="str">
        <f aca="false">IF($A90="","",IF($B90="Meta",SUMIFS('Meta data'!$I$3:$I$20000,'Meta data'!$A$3:$A$20000,"&gt;="&amp;P$3,'Meta data'!$A$3:$A$20000,"&lt;="&amp;P$4,'Meta data'!$B$3:$B$20000,$A90),IF($B90="Google Ads",SUMIFS('Google data'!$I$3:$I$20000,'Google data'!$A$3:$A$20000,"&gt;="&amp;P$3,'Google data'!$A$3:$A$20000,"&lt;="&amp;P$4,'Google data'!$B$3:$B$20000,$A90),IF($B90="ChatGPT Ads",SUMIFS('ChatGPT data'!$I$3:$I$20000,'ChatGPT data'!$A$3:$A$20000,"&gt;="&amp;P$3,'ChatGPT data'!$A$3:$A$20000,"&lt;="&amp;P$4,'ChatGPT data'!$B$3:$B$20000,$A90),IF($B90="LinkedIn Ads",SUMIFS('LinkedIn data'!$I$3:$I$20000,'LinkedIn data'!$A$3:$A$20000,"&gt;="&amp;P$3,'LinkedIn data'!$A$3:$A$20000,"&lt;="&amp;P$4,'LinkedIn data'!$B$3:$B$20000,$A90),0)))))</f>
        <v/>
      </c>
      <c r="Q90" s="14" t="str">
        <f aca="false">IF($A90="","",IF($B90="Meta",SUMIFS('Meta data'!$I$3:$I$20000,'Meta data'!$A$3:$A$20000,"&gt;="&amp;Q$3,'Meta data'!$A$3:$A$20000,"&lt;="&amp;Q$4,'Meta data'!$B$3:$B$20000,$A90),IF($B90="Google Ads",SUMIFS('Google data'!$I$3:$I$20000,'Google data'!$A$3:$A$20000,"&gt;="&amp;Q$3,'Google data'!$A$3:$A$20000,"&lt;="&amp;Q$4,'Google data'!$B$3:$B$20000,$A90),IF($B90="ChatGPT Ads",SUMIFS('ChatGPT data'!$I$3:$I$20000,'ChatGPT data'!$A$3:$A$20000,"&gt;="&amp;Q$3,'ChatGPT data'!$A$3:$A$20000,"&lt;="&amp;Q$4,'ChatGPT data'!$B$3:$B$20000,$A90),IF($B90="LinkedIn Ads",SUMIFS('LinkedIn data'!$I$3:$I$20000,'LinkedIn data'!$A$3:$A$20000,"&gt;="&amp;Q$3,'LinkedIn data'!$A$3:$A$20000,"&lt;="&amp;Q$4,'LinkedIn data'!$B$3:$B$20000,$A90),0)))))</f>
        <v/>
      </c>
      <c r="R90" s="15" t="str">
        <f aca="false">IF($A90="","",SUM(F90:Q90))</f>
        <v/>
      </c>
      <c r="S90" s="37" t="str">
        <f aca="false">IF($A90="","",IF($B90="Meta",SUMIFS('Meta data'!$E$3:$E$20000,'Meta data'!$B$3:$B$20000,$A90),IF($B90="Google Ads",SUMIFS('Google data'!$E$3:$E$20000,'Google data'!$B$3:$B$20000,$A90),IF($B90="ChatGPT Ads",SUMIFS('ChatGPT data'!$E$3:$E$20000,'ChatGPT data'!$B$3:$B$20000,$A90),IF($B90="LinkedIn Ads",SUMIFS('LinkedIn data'!$E$3:$E$20000,'LinkedIn data'!$B$3:$B$20000,$A90),0)))))</f>
        <v/>
      </c>
      <c r="T90" s="37" t="str">
        <f aca="false">IF($A90="","",IF($B90="Meta",SUMIFS('Meta data'!$F$3:$F$20000,'Meta data'!$B$3:$B$20000,$A90),IF($B90="Google Ads",SUMIFS('Google data'!$F$3:$F$20000,'Google data'!$B$3:$B$20000,$A90),IF($B90="ChatGPT Ads",SUMIFS('ChatGPT data'!$F$3:$F$20000,'ChatGPT data'!$B$3:$B$20000,$A90),IF($B90="LinkedIn Ads",SUMIFS('LinkedIn data'!$F$3:$F$20000,'LinkedIn data'!$B$3:$B$20000,$A90),0)))))</f>
        <v/>
      </c>
      <c r="U90" s="38" t="str">
        <f aca="false">IF(OR($A90="",T90=0),"",R90/T90)</f>
        <v/>
      </c>
    </row>
    <row r="91" customFormat="false" ht="15" hidden="false" customHeight="false" outlineLevel="0" collapsed="false">
      <c r="A91" s="59"/>
      <c r="B91" s="59"/>
      <c r="C91" s="59"/>
      <c r="D91" s="59"/>
      <c r="E91" s="59"/>
      <c r="F91" s="14" t="str">
        <f aca="false">IF($A91="","",IF($B91="Meta",SUMIFS('Meta data'!$I$3:$I$20000,'Meta data'!$A$3:$A$20000,"&gt;="&amp;F$3,'Meta data'!$A$3:$A$20000,"&lt;="&amp;F$4,'Meta data'!$B$3:$B$20000,$A91),IF($B91="Google Ads",SUMIFS('Google data'!$I$3:$I$20000,'Google data'!$A$3:$A$20000,"&gt;="&amp;F$3,'Google data'!$A$3:$A$20000,"&lt;="&amp;F$4,'Google data'!$B$3:$B$20000,$A91),IF($B91="ChatGPT Ads",SUMIFS('ChatGPT data'!$I$3:$I$20000,'ChatGPT data'!$A$3:$A$20000,"&gt;="&amp;F$3,'ChatGPT data'!$A$3:$A$20000,"&lt;="&amp;F$4,'ChatGPT data'!$B$3:$B$20000,$A91),IF($B91="LinkedIn Ads",SUMIFS('LinkedIn data'!$I$3:$I$20000,'LinkedIn data'!$A$3:$A$20000,"&gt;="&amp;F$3,'LinkedIn data'!$A$3:$A$20000,"&lt;="&amp;F$4,'LinkedIn data'!$B$3:$B$20000,$A91),0)))))</f>
        <v/>
      </c>
      <c r="G91" s="14" t="str">
        <f aca="false">IF($A91="","",IF($B91="Meta",SUMIFS('Meta data'!$I$3:$I$20000,'Meta data'!$A$3:$A$20000,"&gt;="&amp;G$3,'Meta data'!$A$3:$A$20000,"&lt;="&amp;G$4,'Meta data'!$B$3:$B$20000,$A91),IF($B91="Google Ads",SUMIFS('Google data'!$I$3:$I$20000,'Google data'!$A$3:$A$20000,"&gt;="&amp;G$3,'Google data'!$A$3:$A$20000,"&lt;="&amp;G$4,'Google data'!$B$3:$B$20000,$A91),IF($B91="ChatGPT Ads",SUMIFS('ChatGPT data'!$I$3:$I$20000,'ChatGPT data'!$A$3:$A$20000,"&gt;="&amp;G$3,'ChatGPT data'!$A$3:$A$20000,"&lt;="&amp;G$4,'ChatGPT data'!$B$3:$B$20000,$A91),IF($B91="LinkedIn Ads",SUMIFS('LinkedIn data'!$I$3:$I$20000,'LinkedIn data'!$A$3:$A$20000,"&gt;="&amp;G$3,'LinkedIn data'!$A$3:$A$20000,"&lt;="&amp;G$4,'LinkedIn data'!$B$3:$B$20000,$A91),0)))))</f>
        <v/>
      </c>
      <c r="H91" s="14" t="str">
        <f aca="false">IF($A91="","",IF($B91="Meta",SUMIFS('Meta data'!$I$3:$I$20000,'Meta data'!$A$3:$A$20000,"&gt;="&amp;H$3,'Meta data'!$A$3:$A$20000,"&lt;="&amp;H$4,'Meta data'!$B$3:$B$20000,$A91),IF($B91="Google Ads",SUMIFS('Google data'!$I$3:$I$20000,'Google data'!$A$3:$A$20000,"&gt;="&amp;H$3,'Google data'!$A$3:$A$20000,"&lt;="&amp;H$4,'Google data'!$B$3:$B$20000,$A91),IF($B91="ChatGPT Ads",SUMIFS('ChatGPT data'!$I$3:$I$20000,'ChatGPT data'!$A$3:$A$20000,"&gt;="&amp;H$3,'ChatGPT data'!$A$3:$A$20000,"&lt;="&amp;H$4,'ChatGPT data'!$B$3:$B$20000,$A91),IF($B91="LinkedIn Ads",SUMIFS('LinkedIn data'!$I$3:$I$20000,'LinkedIn data'!$A$3:$A$20000,"&gt;="&amp;H$3,'LinkedIn data'!$A$3:$A$20000,"&lt;="&amp;H$4,'LinkedIn data'!$B$3:$B$20000,$A91),0)))))</f>
        <v/>
      </c>
      <c r="I91" s="14" t="str">
        <f aca="false">IF($A91="","",IF($B91="Meta",SUMIFS('Meta data'!$I$3:$I$20000,'Meta data'!$A$3:$A$20000,"&gt;="&amp;I$3,'Meta data'!$A$3:$A$20000,"&lt;="&amp;I$4,'Meta data'!$B$3:$B$20000,$A91),IF($B91="Google Ads",SUMIFS('Google data'!$I$3:$I$20000,'Google data'!$A$3:$A$20000,"&gt;="&amp;I$3,'Google data'!$A$3:$A$20000,"&lt;="&amp;I$4,'Google data'!$B$3:$B$20000,$A91),IF($B91="ChatGPT Ads",SUMIFS('ChatGPT data'!$I$3:$I$20000,'ChatGPT data'!$A$3:$A$20000,"&gt;="&amp;I$3,'ChatGPT data'!$A$3:$A$20000,"&lt;="&amp;I$4,'ChatGPT data'!$B$3:$B$20000,$A91),IF($B91="LinkedIn Ads",SUMIFS('LinkedIn data'!$I$3:$I$20000,'LinkedIn data'!$A$3:$A$20000,"&gt;="&amp;I$3,'LinkedIn data'!$A$3:$A$20000,"&lt;="&amp;I$4,'LinkedIn data'!$B$3:$B$20000,$A91),0)))))</f>
        <v/>
      </c>
      <c r="J91" s="14" t="str">
        <f aca="false">IF($A91="","",IF($B91="Meta",SUMIFS('Meta data'!$I$3:$I$20000,'Meta data'!$A$3:$A$20000,"&gt;="&amp;J$3,'Meta data'!$A$3:$A$20000,"&lt;="&amp;J$4,'Meta data'!$B$3:$B$20000,$A91),IF($B91="Google Ads",SUMIFS('Google data'!$I$3:$I$20000,'Google data'!$A$3:$A$20000,"&gt;="&amp;J$3,'Google data'!$A$3:$A$20000,"&lt;="&amp;J$4,'Google data'!$B$3:$B$20000,$A91),IF($B91="ChatGPT Ads",SUMIFS('ChatGPT data'!$I$3:$I$20000,'ChatGPT data'!$A$3:$A$20000,"&gt;="&amp;J$3,'ChatGPT data'!$A$3:$A$20000,"&lt;="&amp;J$4,'ChatGPT data'!$B$3:$B$20000,$A91),IF($B91="LinkedIn Ads",SUMIFS('LinkedIn data'!$I$3:$I$20000,'LinkedIn data'!$A$3:$A$20000,"&gt;="&amp;J$3,'LinkedIn data'!$A$3:$A$20000,"&lt;="&amp;J$4,'LinkedIn data'!$B$3:$B$20000,$A91),0)))))</f>
        <v/>
      </c>
      <c r="K91" s="14" t="str">
        <f aca="false">IF($A91="","",IF($B91="Meta",SUMIFS('Meta data'!$I$3:$I$20000,'Meta data'!$A$3:$A$20000,"&gt;="&amp;K$3,'Meta data'!$A$3:$A$20000,"&lt;="&amp;K$4,'Meta data'!$B$3:$B$20000,$A91),IF($B91="Google Ads",SUMIFS('Google data'!$I$3:$I$20000,'Google data'!$A$3:$A$20000,"&gt;="&amp;K$3,'Google data'!$A$3:$A$20000,"&lt;="&amp;K$4,'Google data'!$B$3:$B$20000,$A91),IF($B91="ChatGPT Ads",SUMIFS('ChatGPT data'!$I$3:$I$20000,'ChatGPT data'!$A$3:$A$20000,"&gt;="&amp;K$3,'ChatGPT data'!$A$3:$A$20000,"&lt;="&amp;K$4,'ChatGPT data'!$B$3:$B$20000,$A91),IF($B91="LinkedIn Ads",SUMIFS('LinkedIn data'!$I$3:$I$20000,'LinkedIn data'!$A$3:$A$20000,"&gt;="&amp;K$3,'LinkedIn data'!$A$3:$A$20000,"&lt;="&amp;K$4,'LinkedIn data'!$B$3:$B$20000,$A91),0)))))</f>
        <v/>
      </c>
      <c r="L91" s="14" t="str">
        <f aca="false">IF($A91="","",IF($B91="Meta",SUMIFS('Meta data'!$I$3:$I$20000,'Meta data'!$A$3:$A$20000,"&gt;="&amp;L$3,'Meta data'!$A$3:$A$20000,"&lt;="&amp;L$4,'Meta data'!$B$3:$B$20000,$A91),IF($B91="Google Ads",SUMIFS('Google data'!$I$3:$I$20000,'Google data'!$A$3:$A$20000,"&gt;="&amp;L$3,'Google data'!$A$3:$A$20000,"&lt;="&amp;L$4,'Google data'!$B$3:$B$20000,$A91),IF($B91="ChatGPT Ads",SUMIFS('ChatGPT data'!$I$3:$I$20000,'ChatGPT data'!$A$3:$A$20000,"&gt;="&amp;L$3,'ChatGPT data'!$A$3:$A$20000,"&lt;="&amp;L$4,'ChatGPT data'!$B$3:$B$20000,$A91),IF($B91="LinkedIn Ads",SUMIFS('LinkedIn data'!$I$3:$I$20000,'LinkedIn data'!$A$3:$A$20000,"&gt;="&amp;L$3,'LinkedIn data'!$A$3:$A$20000,"&lt;="&amp;L$4,'LinkedIn data'!$B$3:$B$20000,$A91),0)))))</f>
        <v/>
      </c>
      <c r="M91" s="14" t="str">
        <f aca="false">IF($A91="","",IF($B91="Meta",SUMIFS('Meta data'!$I$3:$I$20000,'Meta data'!$A$3:$A$20000,"&gt;="&amp;M$3,'Meta data'!$A$3:$A$20000,"&lt;="&amp;M$4,'Meta data'!$B$3:$B$20000,$A91),IF($B91="Google Ads",SUMIFS('Google data'!$I$3:$I$20000,'Google data'!$A$3:$A$20000,"&gt;="&amp;M$3,'Google data'!$A$3:$A$20000,"&lt;="&amp;M$4,'Google data'!$B$3:$B$20000,$A91),IF($B91="ChatGPT Ads",SUMIFS('ChatGPT data'!$I$3:$I$20000,'ChatGPT data'!$A$3:$A$20000,"&gt;="&amp;M$3,'ChatGPT data'!$A$3:$A$20000,"&lt;="&amp;M$4,'ChatGPT data'!$B$3:$B$20000,$A91),IF($B91="LinkedIn Ads",SUMIFS('LinkedIn data'!$I$3:$I$20000,'LinkedIn data'!$A$3:$A$20000,"&gt;="&amp;M$3,'LinkedIn data'!$A$3:$A$20000,"&lt;="&amp;M$4,'LinkedIn data'!$B$3:$B$20000,$A91),0)))))</f>
        <v/>
      </c>
      <c r="N91" s="14" t="str">
        <f aca="false">IF($A91="","",IF($B91="Meta",SUMIFS('Meta data'!$I$3:$I$20000,'Meta data'!$A$3:$A$20000,"&gt;="&amp;N$3,'Meta data'!$A$3:$A$20000,"&lt;="&amp;N$4,'Meta data'!$B$3:$B$20000,$A91),IF($B91="Google Ads",SUMIFS('Google data'!$I$3:$I$20000,'Google data'!$A$3:$A$20000,"&gt;="&amp;N$3,'Google data'!$A$3:$A$20000,"&lt;="&amp;N$4,'Google data'!$B$3:$B$20000,$A91),IF($B91="ChatGPT Ads",SUMIFS('ChatGPT data'!$I$3:$I$20000,'ChatGPT data'!$A$3:$A$20000,"&gt;="&amp;N$3,'ChatGPT data'!$A$3:$A$20000,"&lt;="&amp;N$4,'ChatGPT data'!$B$3:$B$20000,$A91),IF($B91="LinkedIn Ads",SUMIFS('LinkedIn data'!$I$3:$I$20000,'LinkedIn data'!$A$3:$A$20000,"&gt;="&amp;N$3,'LinkedIn data'!$A$3:$A$20000,"&lt;="&amp;N$4,'LinkedIn data'!$B$3:$B$20000,$A91),0)))))</f>
        <v/>
      </c>
      <c r="O91" s="14" t="str">
        <f aca="false">IF($A91="","",IF($B91="Meta",SUMIFS('Meta data'!$I$3:$I$20000,'Meta data'!$A$3:$A$20000,"&gt;="&amp;O$3,'Meta data'!$A$3:$A$20000,"&lt;="&amp;O$4,'Meta data'!$B$3:$B$20000,$A91),IF($B91="Google Ads",SUMIFS('Google data'!$I$3:$I$20000,'Google data'!$A$3:$A$20000,"&gt;="&amp;O$3,'Google data'!$A$3:$A$20000,"&lt;="&amp;O$4,'Google data'!$B$3:$B$20000,$A91),IF($B91="ChatGPT Ads",SUMIFS('ChatGPT data'!$I$3:$I$20000,'ChatGPT data'!$A$3:$A$20000,"&gt;="&amp;O$3,'ChatGPT data'!$A$3:$A$20000,"&lt;="&amp;O$4,'ChatGPT data'!$B$3:$B$20000,$A91),IF($B91="LinkedIn Ads",SUMIFS('LinkedIn data'!$I$3:$I$20000,'LinkedIn data'!$A$3:$A$20000,"&gt;="&amp;O$3,'LinkedIn data'!$A$3:$A$20000,"&lt;="&amp;O$4,'LinkedIn data'!$B$3:$B$20000,$A91),0)))))</f>
        <v/>
      </c>
      <c r="P91" s="14" t="str">
        <f aca="false">IF($A91="","",IF($B91="Meta",SUMIFS('Meta data'!$I$3:$I$20000,'Meta data'!$A$3:$A$20000,"&gt;="&amp;P$3,'Meta data'!$A$3:$A$20000,"&lt;="&amp;P$4,'Meta data'!$B$3:$B$20000,$A91),IF($B91="Google Ads",SUMIFS('Google data'!$I$3:$I$20000,'Google data'!$A$3:$A$20000,"&gt;="&amp;P$3,'Google data'!$A$3:$A$20000,"&lt;="&amp;P$4,'Google data'!$B$3:$B$20000,$A91),IF($B91="ChatGPT Ads",SUMIFS('ChatGPT data'!$I$3:$I$20000,'ChatGPT data'!$A$3:$A$20000,"&gt;="&amp;P$3,'ChatGPT data'!$A$3:$A$20000,"&lt;="&amp;P$4,'ChatGPT data'!$B$3:$B$20000,$A91),IF($B91="LinkedIn Ads",SUMIFS('LinkedIn data'!$I$3:$I$20000,'LinkedIn data'!$A$3:$A$20000,"&gt;="&amp;P$3,'LinkedIn data'!$A$3:$A$20000,"&lt;="&amp;P$4,'LinkedIn data'!$B$3:$B$20000,$A91),0)))))</f>
        <v/>
      </c>
      <c r="Q91" s="14" t="str">
        <f aca="false">IF($A91="","",IF($B91="Meta",SUMIFS('Meta data'!$I$3:$I$20000,'Meta data'!$A$3:$A$20000,"&gt;="&amp;Q$3,'Meta data'!$A$3:$A$20000,"&lt;="&amp;Q$4,'Meta data'!$B$3:$B$20000,$A91),IF($B91="Google Ads",SUMIFS('Google data'!$I$3:$I$20000,'Google data'!$A$3:$A$20000,"&gt;="&amp;Q$3,'Google data'!$A$3:$A$20000,"&lt;="&amp;Q$4,'Google data'!$B$3:$B$20000,$A91),IF($B91="ChatGPT Ads",SUMIFS('ChatGPT data'!$I$3:$I$20000,'ChatGPT data'!$A$3:$A$20000,"&gt;="&amp;Q$3,'ChatGPT data'!$A$3:$A$20000,"&lt;="&amp;Q$4,'ChatGPT data'!$B$3:$B$20000,$A91),IF($B91="LinkedIn Ads",SUMIFS('LinkedIn data'!$I$3:$I$20000,'LinkedIn data'!$A$3:$A$20000,"&gt;="&amp;Q$3,'LinkedIn data'!$A$3:$A$20000,"&lt;="&amp;Q$4,'LinkedIn data'!$B$3:$B$20000,$A91),0)))))</f>
        <v/>
      </c>
      <c r="R91" s="15" t="str">
        <f aca="false">IF($A91="","",SUM(F91:Q91))</f>
        <v/>
      </c>
      <c r="S91" s="37" t="str">
        <f aca="false">IF($A91="","",IF($B91="Meta",SUMIFS('Meta data'!$E$3:$E$20000,'Meta data'!$B$3:$B$20000,$A91),IF($B91="Google Ads",SUMIFS('Google data'!$E$3:$E$20000,'Google data'!$B$3:$B$20000,$A91),IF($B91="ChatGPT Ads",SUMIFS('ChatGPT data'!$E$3:$E$20000,'ChatGPT data'!$B$3:$B$20000,$A91),IF($B91="LinkedIn Ads",SUMIFS('LinkedIn data'!$E$3:$E$20000,'LinkedIn data'!$B$3:$B$20000,$A91),0)))))</f>
        <v/>
      </c>
      <c r="T91" s="37" t="str">
        <f aca="false">IF($A91="","",IF($B91="Meta",SUMIFS('Meta data'!$F$3:$F$20000,'Meta data'!$B$3:$B$20000,$A91),IF($B91="Google Ads",SUMIFS('Google data'!$F$3:$F$20000,'Google data'!$B$3:$B$20000,$A91),IF($B91="ChatGPT Ads",SUMIFS('ChatGPT data'!$F$3:$F$20000,'ChatGPT data'!$B$3:$B$20000,$A91),IF($B91="LinkedIn Ads",SUMIFS('LinkedIn data'!$F$3:$F$20000,'LinkedIn data'!$B$3:$B$20000,$A91),0)))))</f>
        <v/>
      </c>
      <c r="U91" s="38" t="str">
        <f aca="false">IF(OR($A91="",T91=0),"",R91/T91)</f>
        <v/>
      </c>
    </row>
    <row r="92" customFormat="false" ht="15" hidden="false" customHeight="false" outlineLevel="0" collapsed="false">
      <c r="A92" s="59"/>
      <c r="B92" s="59"/>
      <c r="C92" s="59"/>
      <c r="D92" s="59"/>
      <c r="E92" s="59"/>
      <c r="F92" s="14" t="str">
        <f aca="false">IF($A92="","",IF($B92="Meta",SUMIFS('Meta data'!$I$3:$I$20000,'Meta data'!$A$3:$A$20000,"&gt;="&amp;F$3,'Meta data'!$A$3:$A$20000,"&lt;="&amp;F$4,'Meta data'!$B$3:$B$20000,$A92),IF($B92="Google Ads",SUMIFS('Google data'!$I$3:$I$20000,'Google data'!$A$3:$A$20000,"&gt;="&amp;F$3,'Google data'!$A$3:$A$20000,"&lt;="&amp;F$4,'Google data'!$B$3:$B$20000,$A92),IF($B92="ChatGPT Ads",SUMIFS('ChatGPT data'!$I$3:$I$20000,'ChatGPT data'!$A$3:$A$20000,"&gt;="&amp;F$3,'ChatGPT data'!$A$3:$A$20000,"&lt;="&amp;F$4,'ChatGPT data'!$B$3:$B$20000,$A92),IF($B92="LinkedIn Ads",SUMIFS('LinkedIn data'!$I$3:$I$20000,'LinkedIn data'!$A$3:$A$20000,"&gt;="&amp;F$3,'LinkedIn data'!$A$3:$A$20000,"&lt;="&amp;F$4,'LinkedIn data'!$B$3:$B$20000,$A92),0)))))</f>
        <v/>
      </c>
      <c r="G92" s="14" t="str">
        <f aca="false">IF($A92="","",IF($B92="Meta",SUMIFS('Meta data'!$I$3:$I$20000,'Meta data'!$A$3:$A$20000,"&gt;="&amp;G$3,'Meta data'!$A$3:$A$20000,"&lt;="&amp;G$4,'Meta data'!$B$3:$B$20000,$A92),IF($B92="Google Ads",SUMIFS('Google data'!$I$3:$I$20000,'Google data'!$A$3:$A$20000,"&gt;="&amp;G$3,'Google data'!$A$3:$A$20000,"&lt;="&amp;G$4,'Google data'!$B$3:$B$20000,$A92),IF($B92="ChatGPT Ads",SUMIFS('ChatGPT data'!$I$3:$I$20000,'ChatGPT data'!$A$3:$A$20000,"&gt;="&amp;G$3,'ChatGPT data'!$A$3:$A$20000,"&lt;="&amp;G$4,'ChatGPT data'!$B$3:$B$20000,$A92),IF($B92="LinkedIn Ads",SUMIFS('LinkedIn data'!$I$3:$I$20000,'LinkedIn data'!$A$3:$A$20000,"&gt;="&amp;G$3,'LinkedIn data'!$A$3:$A$20000,"&lt;="&amp;G$4,'LinkedIn data'!$B$3:$B$20000,$A92),0)))))</f>
        <v/>
      </c>
      <c r="H92" s="14" t="str">
        <f aca="false">IF($A92="","",IF($B92="Meta",SUMIFS('Meta data'!$I$3:$I$20000,'Meta data'!$A$3:$A$20000,"&gt;="&amp;H$3,'Meta data'!$A$3:$A$20000,"&lt;="&amp;H$4,'Meta data'!$B$3:$B$20000,$A92),IF($B92="Google Ads",SUMIFS('Google data'!$I$3:$I$20000,'Google data'!$A$3:$A$20000,"&gt;="&amp;H$3,'Google data'!$A$3:$A$20000,"&lt;="&amp;H$4,'Google data'!$B$3:$B$20000,$A92),IF($B92="ChatGPT Ads",SUMIFS('ChatGPT data'!$I$3:$I$20000,'ChatGPT data'!$A$3:$A$20000,"&gt;="&amp;H$3,'ChatGPT data'!$A$3:$A$20000,"&lt;="&amp;H$4,'ChatGPT data'!$B$3:$B$20000,$A92),IF($B92="LinkedIn Ads",SUMIFS('LinkedIn data'!$I$3:$I$20000,'LinkedIn data'!$A$3:$A$20000,"&gt;="&amp;H$3,'LinkedIn data'!$A$3:$A$20000,"&lt;="&amp;H$4,'LinkedIn data'!$B$3:$B$20000,$A92),0)))))</f>
        <v/>
      </c>
      <c r="I92" s="14" t="str">
        <f aca="false">IF($A92="","",IF($B92="Meta",SUMIFS('Meta data'!$I$3:$I$20000,'Meta data'!$A$3:$A$20000,"&gt;="&amp;I$3,'Meta data'!$A$3:$A$20000,"&lt;="&amp;I$4,'Meta data'!$B$3:$B$20000,$A92),IF($B92="Google Ads",SUMIFS('Google data'!$I$3:$I$20000,'Google data'!$A$3:$A$20000,"&gt;="&amp;I$3,'Google data'!$A$3:$A$20000,"&lt;="&amp;I$4,'Google data'!$B$3:$B$20000,$A92),IF($B92="ChatGPT Ads",SUMIFS('ChatGPT data'!$I$3:$I$20000,'ChatGPT data'!$A$3:$A$20000,"&gt;="&amp;I$3,'ChatGPT data'!$A$3:$A$20000,"&lt;="&amp;I$4,'ChatGPT data'!$B$3:$B$20000,$A92),IF($B92="LinkedIn Ads",SUMIFS('LinkedIn data'!$I$3:$I$20000,'LinkedIn data'!$A$3:$A$20000,"&gt;="&amp;I$3,'LinkedIn data'!$A$3:$A$20000,"&lt;="&amp;I$4,'LinkedIn data'!$B$3:$B$20000,$A92),0)))))</f>
        <v/>
      </c>
      <c r="J92" s="14" t="str">
        <f aca="false">IF($A92="","",IF($B92="Meta",SUMIFS('Meta data'!$I$3:$I$20000,'Meta data'!$A$3:$A$20000,"&gt;="&amp;J$3,'Meta data'!$A$3:$A$20000,"&lt;="&amp;J$4,'Meta data'!$B$3:$B$20000,$A92),IF($B92="Google Ads",SUMIFS('Google data'!$I$3:$I$20000,'Google data'!$A$3:$A$20000,"&gt;="&amp;J$3,'Google data'!$A$3:$A$20000,"&lt;="&amp;J$4,'Google data'!$B$3:$B$20000,$A92),IF($B92="ChatGPT Ads",SUMIFS('ChatGPT data'!$I$3:$I$20000,'ChatGPT data'!$A$3:$A$20000,"&gt;="&amp;J$3,'ChatGPT data'!$A$3:$A$20000,"&lt;="&amp;J$4,'ChatGPT data'!$B$3:$B$20000,$A92),IF($B92="LinkedIn Ads",SUMIFS('LinkedIn data'!$I$3:$I$20000,'LinkedIn data'!$A$3:$A$20000,"&gt;="&amp;J$3,'LinkedIn data'!$A$3:$A$20000,"&lt;="&amp;J$4,'LinkedIn data'!$B$3:$B$20000,$A92),0)))))</f>
        <v/>
      </c>
      <c r="K92" s="14" t="str">
        <f aca="false">IF($A92="","",IF($B92="Meta",SUMIFS('Meta data'!$I$3:$I$20000,'Meta data'!$A$3:$A$20000,"&gt;="&amp;K$3,'Meta data'!$A$3:$A$20000,"&lt;="&amp;K$4,'Meta data'!$B$3:$B$20000,$A92),IF($B92="Google Ads",SUMIFS('Google data'!$I$3:$I$20000,'Google data'!$A$3:$A$20000,"&gt;="&amp;K$3,'Google data'!$A$3:$A$20000,"&lt;="&amp;K$4,'Google data'!$B$3:$B$20000,$A92),IF($B92="ChatGPT Ads",SUMIFS('ChatGPT data'!$I$3:$I$20000,'ChatGPT data'!$A$3:$A$20000,"&gt;="&amp;K$3,'ChatGPT data'!$A$3:$A$20000,"&lt;="&amp;K$4,'ChatGPT data'!$B$3:$B$20000,$A92),IF($B92="LinkedIn Ads",SUMIFS('LinkedIn data'!$I$3:$I$20000,'LinkedIn data'!$A$3:$A$20000,"&gt;="&amp;K$3,'LinkedIn data'!$A$3:$A$20000,"&lt;="&amp;K$4,'LinkedIn data'!$B$3:$B$20000,$A92),0)))))</f>
        <v/>
      </c>
      <c r="L92" s="14" t="str">
        <f aca="false">IF($A92="","",IF($B92="Meta",SUMIFS('Meta data'!$I$3:$I$20000,'Meta data'!$A$3:$A$20000,"&gt;="&amp;L$3,'Meta data'!$A$3:$A$20000,"&lt;="&amp;L$4,'Meta data'!$B$3:$B$20000,$A92),IF($B92="Google Ads",SUMIFS('Google data'!$I$3:$I$20000,'Google data'!$A$3:$A$20000,"&gt;="&amp;L$3,'Google data'!$A$3:$A$20000,"&lt;="&amp;L$4,'Google data'!$B$3:$B$20000,$A92),IF($B92="ChatGPT Ads",SUMIFS('ChatGPT data'!$I$3:$I$20000,'ChatGPT data'!$A$3:$A$20000,"&gt;="&amp;L$3,'ChatGPT data'!$A$3:$A$20000,"&lt;="&amp;L$4,'ChatGPT data'!$B$3:$B$20000,$A92),IF($B92="LinkedIn Ads",SUMIFS('LinkedIn data'!$I$3:$I$20000,'LinkedIn data'!$A$3:$A$20000,"&gt;="&amp;L$3,'LinkedIn data'!$A$3:$A$20000,"&lt;="&amp;L$4,'LinkedIn data'!$B$3:$B$20000,$A92),0)))))</f>
        <v/>
      </c>
      <c r="M92" s="14" t="str">
        <f aca="false">IF($A92="","",IF($B92="Meta",SUMIFS('Meta data'!$I$3:$I$20000,'Meta data'!$A$3:$A$20000,"&gt;="&amp;M$3,'Meta data'!$A$3:$A$20000,"&lt;="&amp;M$4,'Meta data'!$B$3:$B$20000,$A92),IF($B92="Google Ads",SUMIFS('Google data'!$I$3:$I$20000,'Google data'!$A$3:$A$20000,"&gt;="&amp;M$3,'Google data'!$A$3:$A$20000,"&lt;="&amp;M$4,'Google data'!$B$3:$B$20000,$A92),IF($B92="ChatGPT Ads",SUMIFS('ChatGPT data'!$I$3:$I$20000,'ChatGPT data'!$A$3:$A$20000,"&gt;="&amp;M$3,'ChatGPT data'!$A$3:$A$20000,"&lt;="&amp;M$4,'ChatGPT data'!$B$3:$B$20000,$A92),IF($B92="LinkedIn Ads",SUMIFS('LinkedIn data'!$I$3:$I$20000,'LinkedIn data'!$A$3:$A$20000,"&gt;="&amp;M$3,'LinkedIn data'!$A$3:$A$20000,"&lt;="&amp;M$4,'LinkedIn data'!$B$3:$B$20000,$A92),0)))))</f>
        <v/>
      </c>
      <c r="N92" s="14" t="str">
        <f aca="false">IF($A92="","",IF($B92="Meta",SUMIFS('Meta data'!$I$3:$I$20000,'Meta data'!$A$3:$A$20000,"&gt;="&amp;N$3,'Meta data'!$A$3:$A$20000,"&lt;="&amp;N$4,'Meta data'!$B$3:$B$20000,$A92),IF($B92="Google Ads",SUMIFS('Google data'!$I$3:$I$20000,'Google data'!$A$3:$A$20000,"&gt;="&amp;N$3,'Google data'!$A$3:$A$20000,"&lt;="&amp;N$4,'Google data'!$B$3:$B$20000,$A92),IF($B92="ChatGPT Ads",SUMIFS('ChatGPT data'!$I$3:$I$20000,'ChatGPT data'!$A$3:$A$20000,"&gt;="&amp;N$3,'ChatGPT data'!$A$3:$A$20000,"&lt;="&amp;N$4,'ChatGPT data'!$B$3:$B$20000,$A92),IF($B92="LinkedIn Ads",SUMIFS('LinkedIn data'!$I$3:$I$20000,'LinkedIn data'!$A$3:$A$20000,"&gt;="&amp;N$3,'LinkedIn data'!$A$3:$A$20000,"&lt;="&amp;N$4,'LinkedIn data'!$B$3:$B$20000,$A92),0)))))</f>
        <v/>
      </c>
      <c r="O92" s="14" t="str">
        <f aca="false">IF($A92="","",IF($B92="Meta",SUMIFS('Meta data'!$I$3:$I$20000,'Meta data'!$A$3:$A$20000,"&gt;="&amp;O$3,'Meta data'!$A$3:$A$20000,"&lt;="&amp;O$4,'Meta data'!$B$3:$B$20000,$A92),IF($B92="Google Ads",SUMIFS('Google data'!$I$3:$I$20000,'Google data'!$A$3:$A$20000,"&gt;="&amp;O$3,'Google data'!$A$3:$A$20000,"&lt;="&amp;O$4,'Google data'!$B$3:$B$20000,$A92),IF($B92="ChatGPT Ads",SUMIFS('ChatGPT data'!$I$3:$I$20000,'ChatGPT data'!$A$3:$A$20000,"&gt;="&amp;O$3,'ChatGPT data'!$A$3:$A$20000,"&lt;="&amp;O$4,'ChatGPT data'!$B$3:$B$20000,$A92),IF($B92="LinkedIn Ads",SUMIFS('LinkedIn data'!$I$3:$I$20000,'LinkedIn data'!$A$3:$A$20000,"&gt;="&amp;O$3,'LinkedIn data'!$A$3:$A$20000,"&lt;="&amp;O$4,'LinkedIn data'!$B$3:$B$20000,$A92),0)))))</f>
        <v/>
      </c>
      <c r="P92" s="14" t="str">
        <f aca="false">IF($A92="","",IF($B92="Meta",SUMIFS('Meta data'!$I$3:$I$20000,'Meta data'!$A$3:$A$20000,"&gt;="&amp;P$3,'Meta data'!$A$3:$A$20000,"&lt;="&amp;P$4,'Meta data'!$B$3:$B$20000,$A92),IF($B92="Google Ads",SUMIFS('Google data'!$I$3:$I$20000,'Google data'!$A$3:$A$20000,"&gt;="&amp;P$3,'Google data'!$A$3:$A$20000,"&lt;="&amp;P$4,'Google data'!$B$3:$B$20000,$A92),IF($B92="ChatGPT Ads",SUMIFS('ChatGPT data'!$I$3:$I$20000,'ChatGPT data'!$A$3:$A$20000,"&gt;="&amp;P$3,'ChatGPT data'!$A$3:$A$20000,"&lt;="&amp;P$4,'ChatGPT data'!$B$3:$B$20000,$A92),IF($B92="LinkedIn Ads",SUMIFS('LinkedIn data'!$I$3:$I$20000,'LinkedIn data'!$A$3:$A$20000,"&gt;="&amp;P$3,'LinkedIn data'!$A$3:$A$20000,"&lt;="&amp;P$4,'LinkedIn data'!$B$3:$B$20000,$A92),0)))))</f>
        <v/>
      </c>
      <c r="Q92" s="14" t="str">
        <f aca="false">IF($A92="","",IF($B92="Meta",SUMIFS('Meta data'!$I$3:$I$20000,'Meta data'!$A$3:$A$20000,"&gt;="&amp;Q$3,'Meta data'!$A$3:$A$20000,"&lt;="&amp;Q$4,'Meta data'!$B$3:$B$20000,$A92),IF($B92="Google Ads",SUMIFS('Google data'!$I$3:$I$20000,'Google data'!$A$3:$A$20000,"&gt;="&amp;Q$3,'Google data'!$A$3:$A$20000,"&lt;="&amp;Q$4,'Google data'!$B$3:$B$20000,$A92),IF($B92="ChatGPT Ads",SUMIFS('ChatGPT data'!$I$3:$I$20000,'ChatGPT data'!$A$3:$A$20000,"&gt;="&amp;Q$3,'ChatGPT data'!$A$3:$A$20000,"&lt;="&amp;Q$4,'ChatGPT data'!$B$3:$B$20000,$A92),IF($B92="LinkedIn Ads",SUMIFS('LinkedIn data'!$I$3:$I$20000,'LinkedIn data'!$A$3:$A$20000,"&gt;="&amp;Q$3,'LinkedIn data'!$A$3:$A$20000,"&lt;="&amp;Q$4,'LinkedIn data'!$B$3:$B$20000,$A92),0)))))</f>
        <v/>
      </c>
      <c r="R92" s="15" t="str">
        <f aca="false">IF($A92="","",SUM(F92:Q92))</f>
        <v/>
      </c>
      <c r="S92" s="37" t="str">
        <f aca="false">IF($A92="","",IF($B92="Meta",SUMIFS('Meta data'!$E$3:$E$20000,'Meta data'!$B$3:$B$20000,$A92),IF($B92="Google Ads",SUMIFS('Google data'!$E$3:$E$20000,'Google data'!$B$3:$B$20000,$A92),IF($B92="ChatGPT Ads",SUMIFS('ChatGPT data'!$E$3:$E$20000,'ChatGPT data'!$B$3:$B$20000,$A92),IF($B92="LinkedIn Ads",SUMIFS('LinkedIn data'!$E$3:$E$20000,'LinkedIn data'!$B$3:$B$20000,$A92),0)))))</f>
        <v/>
      </c>
      <c r="T92" s="37" t="str">
        <f aca="false">IF($A92="","",IF($B92="Meta",SUMIFS('Meta data'!$F$3:$F$20000,'Meta data'!$B$3:$B$20000,$A92),IF($B92="Google Ads",SUMIFS('Google data'!$F$3:$F$20000,'Google data'!$B$3:$B$20000,$A92),IF($B92="ChatGPT Ads",SUMIFS('ChatGPT data'!$F$3:$F$20000,'ChatGPT data'!$B$3:$B$20000,$A92),IF($B92="LinkedIn Ads",SUMIFS('LinkedIn data'!$F$3:$F$20000,'LinkedIn data'!$B$3:$B$20000,$A92),0)))))</f>
        <v/>
      </c>
      <c r="U92" s="38" t="str">
        <f aca="false">IF(OR($A92="",T92=0),"",R92/T92)</f>
        <v/>
      </c>
    </row>
    <row r="93" customFormat="false" ht="15" hidden="false" customHeight="false" outlineLevel="0" collapsed="false">
      <c r="A93" s="59"/>
      <c r="B93" s="59"/>
      <c r="C93" s="59"/>
      <c r="D93" s="59"/>
      <c r="E93" s="59"/>
      <c r="F93" s="14" t="str">
        <f aca="false">IF($A93="","",IF($B93="Meta",SUMIFS('Meta data'!$I$3:$I$20000,'Meta data'!$A$3:$A$20000,"&gt;="&amp;F$3,'Meta data'!$A$3:$A$20000,"&lt;="&amp;F$4,'Meta data'!$B$3:$B$20000,$A93),IF($B93="Google Ads",SUMIFS('Google data'!$I$3:$I$20000,'Google data'!$A$3:$A$20000,"&gt;="&amp;F$3,'Google data'!$A$3:$A$20000,"&lt;="&amp;F$4,'Google data'!$B$3:$B$20000,$A93),IF($B93="ChatGPT Ads",SUMIFS('ChatGPT data'!$I$3:$I$20000,'ChatGPT data'!$A$3:$A$20000,"&gt;="&amp;F$3,'ChatGPT data'!$A$3:$A$20000,"&lt;="&amp;F$4,'ChatGPT data'!$B$3:$B$20000,$A93),IF($B93="LinkedIn Ads",SUMIFS('LinkedIn data'!$I$3:$I$20000,'LinkedIn data'!$A$3:$A$20000,"&gt;="&amp;F$3,'LinkedIn data'!$A$3:$A$20000,"&lt;="&amp;F$4,'LinkedIn data'!$B$3:$B$20000,$A93),0)))))</f>
        <v/>
      </c>
      <c r="G93" s="14" t="str">
        <f aca="false">IF($A93="","",IF($B93="Meta",SUMIFS('Meta data'!$I$3:$I$20000,'Meta data'!$A$3:$A$20000,"&gt;="&amp;G$3,'Meta data'!$A$3:$A$20000,"&lt;="&amp;G$4,'Meta data'!$B$3:$B$20000,$A93),IF($B93="Google Ads",SUMIFS('Google data'!$I$3:$I$20000,'Google data'!$A$3:$A$20000,"&gt;="&amp;G$3,'Google data'!$A$3:$A$20000,"&lt;="&amp;G$4,'Google data'!$B$3:$B$20000,$A93),IF($B93="ChatGPT Ads",SUMIFS('ChatGPT data'!$I$3:$I$20000,'ChatGPT data'!$A$3:$A$20000,"&gt;="&amp;G$3,'ChatGPT data'!$A$3:$A$20000,"&lt;="&amp;G$4,'ChatGPT data'!$B$3:$B$20000,$A93),IF($B93="LinkedIn Ads",SUMIFS('LinkedIn data'!$I$3:$I$20000,'LinkedIn data'!$A$3:$A$20000,"&gt;="&amp;G$3,'LinkedIn data'!$A$3:$A$20000,"&lt;="&amp;G$4,'LinkedIn data'!$B$3:$B$20000,$A93),0)))))</f>
        <v/>
      </c>
      <c r="H93" s="14" t="str">
        <f aca="false">IF($A93="","",IF($B93="Meta",SUMIFS('Meta data'!$I$3:$I$20000,'Meta data'!$A$3:$A$20000,"&gt;="&amp;H$3,'Meta data'!$A$3:$A$20000,"&lt;="&amp;H$4,'Meta data'!$B$3:$B$20000,$A93),IF($B93="Google Ads",SUMIFS('Google data'!$I$3:$I$20000,'Google data'!$A$3:$A$20000,"&gt;="&amp;H$3,'Google data'!$A$3:$A$20000,"&lt;="&amp;H$4,'Google data'!$B$3:$B$20000,$A93),IF($B93="ChatGPT Ads",SUMIFS('ChatGPT data'!$I$3:$I$20000,'ChatGPT data'!$A$3:$A$20000,"&gt;="&amp;H$3,'ChatGPT data'!$A$3:$A$20000,"&lt;="&amp;H$4,'ChatGPT data'!$B$3:$B$20000,$A93),IF($B93="LinkedIn Ads",SUMIFS('LinkedIn data'!$I$3:$I$20000,'LinkedIn data'!$A$3:$A$20000,"&gt;="&amp;H$3,'LinkedIn data'!$A$3:$A$20000,"&lt;="&amp;H$4,'LinkedIn data'!$B$3:$B$20000,$A93),0)))))</f>
        <v/>
      </c>
      <c r="I93" s="14" t="str">
        <f aca="false">IF($A93="","",IF($B93="Meta",SUMIFS('Meta data'!$I$3:$I$20000,'Meta data'!$A$3:$A$20000,"&gt;="&amp;I$3,'Meta data'!$A$3:$A$20000,"&lt;="&amp;I$4,'Meta data'!$B$3:$B$20000,$A93),IF($B93="Google Ads",SUMIFS('Google data'!$I$3:$I$20000,'Google data'!$A$3:$A$20000,"&gt;="&amp;I$3,'Google data'!$A$3:$A$20000,"&lt;="&amp;I$4,'Google data'!$B$3:$B$20000,$A93),IF($B93="ChatGPT Ads",SUMIFS('ChatGPT data'!$I$3:$I$20000,'ChatGPT data'!$A$3:$A$20000,"&gt;="&amp;I$3,'ChatGPT data'!$A$3:$A$20000,"&lt;="&amp;I$4,'ChatGPT data'!$B$3:$B$20000,$A93),IF($B93="LinkedIn Ads",SUMIFS('LinkedIn data'!$I$3:$I$20000,'LinkedIn data'!$A$3:$A$20000,"&gt;="&amp;I$3,'LinkedIn data'!$A$3:$A$20000,"&lt;="&amp;I$4,'LinkedIn data'!$B$3:$B$20000,$A93),0)))))</f>
        <v/>
      </c>
      <c r="J93" s="14" t="str">
        <f aca="false">IF($A93="","",IF($B93="Meta",SUMIFS('Meta data'!$I$3:$I$20000,'Meta data'!$A$3:$A$20000,"&gt;="&amp;J$3,'Meta data'!$A$3:$A$20000,"&lt;="&amp;J$4,'Meta data'!$B$3:$B$20000,$A93),IF($B93="Google Ads",SUMIFS('Google data'!$I$3:$I$20000,'Google data'!$A$3:$A$20000,"&gt;="&amp;J$3,'Google data'!$A$3:$A$20000,"&lt;="&amp;J$4,'Google data'!$B$3:$B$20000,$A93),IF($B93="ChatGPT Ads",SUMIFS('ChatGPT data'!$I$3:$I$20000,'ChatGPT data'!$A$3:$A$20000,"&gt;="&amp;J$3,'ChatGPT data'!$A$3:$A$20000,"&lt;="&amp;J$4,'ChatGPT data'!$B$3:$B$20000,$A93),IF($B93="LinkedIn Ads",SUMIFS('LinkedIn data'!$I$3:$I$20000,'LinkedIn data'!$A$3:$A$20000,"&gt;="&amp;J$3,'LinkedIn data'!$A$3:$A$20000,"&lt;="&amp;J$4,'LinkedIn data'!$B$3:$B$20000,$A93),0)))))</f>
        <v/>
      </c>
      <c r="K93" s="14" t="str">
        <f aca="false">IF($A93="","",IF($B93="Meta",SUMIFS('Meta data'!$I$3:$I$20000,'Meta data'!$A$3:$A$20000,"&gt;="&amp;K$3,'Meta data'!$A$3:$A$20000,"&lt;="&amp;K$4,'Meta data'!$B$3:$B$20000,$A93),IF($B93="Google Ads",SUMIFS('Google data'!$I$3:$I$20000,'Google data'!$A$3:$A$20000,"&gt;="&amp;K$3,'Google data'!$A$3:$A$20000,"&lt;="&amp;K$4,'Google data'!$B$3:$B$20000,$A93),IF($B93="ChatGPT Ads",SUMIFS('ChatGPT data'!$I$3:$I$20000,'ChatGPT data'!$A$3:$A$20000,"&gt;="&amp;K$3,'ChatGPT data'!$A$3:$A$20000,"&lt;="&amp;K$4,'ChatGPT data'!$B$3:$B$20000,$A93),IF($B93="LinkedIn Ads",SUMIFS('LinkedIn data'!$I$3:$I$20000,'LinkedIn data'!$A$3:$A$20000,"&gt;="&amp;K$3,'LinkedIn data'!$A$3:$A$20000,"&lt;="&amp;K$4,'LinkedIn data'!$B$3:$B$20000,$A93),0)))))</f>
        <v/>
      </c>
      <c r="L93" s="14" t="str">
        <f aca="false">IF($A93="","",IF($B93="Meta",SUMIFS('Meta data'!$I$3:$I$20000,'Meta data'!$A$3:$A$20000,"&gt;="&amp;L$3,'Meta data'!$A$3:$A$20000,"&lt;="&amp;L$4,'Meta data'!$B$3:$B$20000,$A93),IF($B93="Google Ads",SUMIFS('Google data'!$I$3:$I$20000,'Google data'!$A$3:$A$20000,"&gt;="&amp;L$3,'Google data'!$A$3:$A$20000,"&lt;="&amp;L$4,'Google data'!$B$3:$B$20000,$A93),IF($B93="ChatGPT Ads",SUMIFS('ChatGPT data'!$I$3:$I$20000,'ChatGPT data'!$A$3:$A$20000,"&gt;="&amp;L$3,'ChatGPT data'!$A$3:$A$20000,"&lt;="&amp;L$4,'ChatGPT data'!$B$3:$B$20000,$A93),IF($B93="LinkedIn Ads",SUMIFS('LinkedIn data'!$I$3:$I$20000,'LinkedIn data'!$A$3:$A$20000,"&gt;="&amp;L$3,'LinkedIn data'!$A$3:$A$20000,"&lt;="&amp;L$4,'LinkedIn data'!$B$3:$B$20000,$A93),0)))))</f>
        <v/>
      </c>
      <c r="M93" s="14" t="str">
        <f aca="false">IF($A93="","",IF($B93="Meta",SUMIFS('Meta data'!$I$3:$I$20000,'Meta data'!$A$3:$A$20000,"&gt;="&amp;M$3,'Meta data'!$A$3:$A$20000,"&lt;="&amp;M$4,'Meta data'!$B$3:$B$20000,$A93),IF($B93="Google Ads",SUMIFS('Google data'!$I$3:$I$20000,'Google data'!$A$3:$A$20000,"&gt;="&amp;M$3,'Google data'!$A$3:$A$20000,"&lt;="&amp;M$4,'Google data'!$B$3:$B$20000,$A93),IF($B93="ChatGPT Ads",SUMIFS('ChatGPT data'!$I$3:$I$20000,'ChatGPT data'!$A$3:$A$20000,"&gt;="&amp;M$3,'ChatGPT data'!$A$3:$A$20000,"&lt;="&amp;M$4,'ChatGPT data'!$B$3:$B$20000,$A93),IF($B93="LinkedIn Ads",SUMIFS('LinkedIn data'!$I$3:$I$20000,'LinkedIn data'!$A$3:$A$20000,"&gt;="&amp;M$3,'LinkedIn data'!$A$3:$A$20000,"&lt;="&amp;M$4,'LinkedIn data'!$B$3:$B$20000,$A93),0)))))</f>
        <v/>
      </c>
      <c r="N93" s="14" t="str">
        <f aca="false">IF($A93="","",IF($B93="Meta",SUMIFS('Meta data'!$I$3:$I$20000,'Meta data'!$A$3:$A$20000,"&gt;="&amp;N$3,'Meta data'!$A$3:$A$20000,"&lt;="&amp;N$4,'Meta data'!$B$3:$B$20000,$A93),IF($B93="Google Ads",SUMIFS('Google data'!$I$3:$I$20000,'Google data'!$A$3:$A$20000,"&gt;="&amp;N$3,'Google data'!$A$3:$A$20000,"&lt;="&amp;N$4,'Google data'!$B$3:$B$20000,$A93),IF($B93="ChatGPT Ads",SUMIFS('ChatGPT data'!$I$3:$I$20000,'ChatGPT data'!$A$3:$A$20000,"&gt;="&amp;N$3,'ChatGPT data'!$A$3:$A$20000,"&lt;="&amp;N$4,'ChatGPT data'!$B$3:$B$20000,$A93),IF($B93="LinkedIn Ads",SUMIFS('LinkedIn data'!$I$3:$I$20000,'LinkedIn data'!$A$3:$A$20000,"&gt;="&amp;N$3,'LinkedIn data'!$A$3:$A$20000,"&lt;="&amp;N$4,'LinkedIn data'!$B$3:$B$20000,$A93),0)))))</f>
        <v/>
      </c>
      <c r="O93" s="14" t="str">
        <f aca="false">IF($A93="","",IF($B93="Meta",SUMIFS('Meta data'!$I$3:$I$20000,'Meta data'!$A$3:$A$20000,"&gt;="&amp;O$3,'Meta data'!$A$3:$A$20000,"&lt;="&amp;O$4,'Meta data'!$B$3:$B$20000,$A93),IF($B93="Google Ads",SUMIFS('Google data'!$I$3:$I$20000,'Google data'!$A$3:$A$20000,"&gt;="&amp;O$3,'Google data'!$A$3:$A$20000,"&lt;="&amp;O$4,'Google data'!$B$3:$B$20000,$A93),IF($B93="ChatGPT Ads",SUMIFS('ChatGPT data'!$I$3:$I$20000,'ChatGPT data'!$A$3:$A$20000,"&gt;="&amp;O$3,'ChatGPT data'!$A$3:$A$20000,"&lt;="&amp;O$4,'ChatGPT data'!$B$3:$B$20000,$A93),IF($B93="LinkedIn Ads",SUMIFS('LinkedIn data'!$I$3:$I$20000,'LinkedIn data'!$A$3:$A$20000,"&gt;="&amp;O$3,'LinkedIn data'!$A$3:$A$20000,"&lt;="&amp;O$4,'LinkedIn data'!$B$3:$B$20000,$A93),0)))))</f>
        <v/>
      </c>
      <c r="P93" s="14" t="str">
        <f aca="false">IF($A93="","",IF($B93="Meta",SUMIFS('Meta data'!$I$3:$I$20000,'Meta data'!$A$3:$A$20000,"&gt;="&amp;P$3,'Meta data'!$A$3:$A$20000,"&lt;="&amp;P$4,'Meta data'!$B$3:$B$20000,$A93),IF($B93="Google Ads",SUMIFS('Google data'!$I$3:$I$20000,'Google data'!$A$3:$A$20000,"&gt;="&amp;P$3,'Google data'!$A$3:$A$20000,"&lt;="&amp;P$4,'Google data'!$B$3:$B$20000,$A93),IF($B93="ChatGPT Ads",SUMIFS('ChatGPT data'!$I$3:$I$20000,'ChatGPT data'!$A$3:$A$20000,"&gt;="&amp;P$3,'ChatGPT data'!$A$3:$A$20000,"&lt;="&amp;P$4,'ChatGPT data'!$B$3:$B$20000,$A93),IF($B93="LinkedIn Ads",SUMIFS('LinkedIn data'!$I$3:$I$20000,'LinkedIn data'!$A$3:$A$20000,"&gt;="&amp;P$3,'LinkedIn data'!$A$3:$A$20000,"&lt;="&amp;P$4,'LinkedIn data'!$B$3:$B$20000,$A93),0)))))</f>
        <v/>
      </c>
      <c r="Q93" s="14" t="str">
        <f aca="false">IF($A93="","",IF($B93="Meta",SUMIFS('Meta data'!$I$3:$I$20000,'Meta data'!$A$3:$A$20000,"&gt;="&amp;Q$3,'Meta data'!$A$3:$A$20000,"&lt;="&amp;Q$4,'Meta data'!$B$3:$B$20000,$A93),IF($B93="Google Ads",SUMIFS('Google data'!$I$3:$I$20000,'Google data'!$A$3:$A$20000,"&gt;="&amp;Q$3,'Google data'!$A$3:$A$20000,"&lt;="&amp;Q$4,'Google data'!$B$3:$B$20000,$A93),IF($B93="ChatGPT Ads",SUMIFS('ChatGPT data'!$I$3:$I$20000,'ChatGPT data'!$A$3:$A$20000,"&gt;="&amp;Q$3,'ChatGPT data'!$A$3:$A$20000,"&lt;="&amp;Q$4,'ChatGPT data'!$B$3:$B$20000,$A93),IF($B93="LinkedIn Ads",SUMIFS('LinkedIn data'!$I$3:$I$20000,'LinkedIn data'!$A$3:$A$20000,"&gt;="&amp;Q$3,'LinkedIn data'!$A$3:$A$20000,"&lt;="&amp;Q$4,'LinkedIn data'!$B$3:$B$20000,$A93),0)))))</f>
        <v/>
      </c>
      <c r="R93" s="15" t="str">
        <f aca="false">IF($A93="","",SUM(F93:Q93))</f>
        <v/>
      </c>
      <c r="S93" s="37" t="str">
        <f aca="false">IF($A93="","",IF($B93="Meta",SUMIFS('Meta data'!$E$3:$E$20000,'Meta data'!$B$3:$B$20000,$A93),IF($B93="Google Ads",SUMIFS('Google data'!$E$3:$E$20000,'Google data'!$B$3:$B$20000,$A93),IF($B93="ChatGPT Ads",SUMIFS('ChatGPT data'!$E$3:$E$20000,'ChatGPT data'!$B$3:$B$20000,$A93),IF($B93="LinkedIn Ads",SUMIFS('LinkedIn data'!$E$3:$E$20000,'LinkedIn data'!$B$3:$B$20000,$A93),0)))))</f>
        <v/>
      </c>
      <c r="T93" s="37" t="str">
        <f aca="false">IF($A93="","",IF($B93="Meta",SUMIFS('Meta data'!$F$3:$F$20000,'Meta data'!$B$3:$B$20000,$A93),IF($B93="Google Ads",SUMIFS('Google data'!$F$3:$F$20000,'Google data'!$B$3:$B$20000,$A93),IF($B93="ChatGPT Ads",SUMIFS('ChatGPT data'!$F$3:$F$20000,'ChatGPT data'!$B$3:$B$20000,$A93),IF($B93="LinkedIn Ads",SUMIFS('LinkedIn data'!$F$3:$F$20000,'LinkedIn data'!$B$3:$B$20000,$A93),0)))))</f>
        <v/>
      </c>
      <c r="U93" s="38" t="str">
        <f aca="false">IF(OR($A93="",T93=0),"",R93/T93)</f>
        <v/>
      </c>
    </row>
    <row r="94" customFormat="false" ht="15" hidden="false" customHeight="false" outlineLevel="0" collapsed="false">
      <c r="A94" s="59"/>
      <c r="B94" s="59"/>
      <c r="C94" s="59"/>
      <c r="D94" s="59"/>
      <c r="E94" s="59"/>
      <c r="F94" s="14" t="str">
        <f aca="false">IF($A94="","",IF($B94="Meta",SUMIFS('Meta data'!$I$3:$I$20000,'Meta data'!$A$3:$A$20000,"&gt;="&amp;F$3,'Meta data'!$A$3:$A$20000,"&lt;="&amp;F$4,'Meta data'!$B$3:$B$20000,$A94),IF($B94="Google Ads",SUMIFS('Google data'!$I$3:$I$20000,'Google data'!$A$3:$A$20000,"&gt;="&amp;F$3,'Google data'!$A$3:$A$20000,"&lt;="&amp;F$4,'Google data'!$B$3:$B$20000,$A94),IF($B94="ChatGPT Ads",SUMIFS('ChatGPT data'!$I$3:$I$20000,'ChatGPT data'!$A$3:$A$20000,"&gt;="&amp;F$3,'ChatGPT data'!$A$3:$A$20000,"&lt;="&amp;F$4,'ChatGPT data'!$B$3:$B$20000,$A94),IF($B94="LinkedIn Ads",SUMIFS('LinkedIn data'!$I$3:$I$20000,'LinkedIn data'!$A$3:$A$20000,"&gt;="&amp;F$3,'LinkedIn data'!$A$3:$A$20000,"&lt;="&amp;F$4,'LinkedIn data'!$B$3:$B$20000,$A94),0)))))</f>
        <v/>
      </c>
      <c r="G94" s="14" t="str">
        <f aca="false">IF($A94="","",IF($B94="Meta",SUMIFS('Meta data'!$I$3:$I$20000,'Meta data'!$A$3:$A$20000,"&gt;="&amp;G$3,'Meta data'!$A$3:$A$20000,"&lt;="&amp;G$4,'Meta data'!$B$3:$B$20000,$A94),IF($B94="Google Ads",SUMIFS('Google data'!$I$3:$I$20000,'Google data'!$A$3:$A$20000,"&gt;="&amp;G$3,'Google data'!$A$3:$A$20000,"&lt;="&amp;G$4,'Google data'!$B$3:$B$20000,$A94),IF($B94="ChatGPT Ads",SUMIFS('ChatGPT data'!$I$3:$I$20000,'ChatGPT data'!$A$3:$A$20000,"&gt;="&amp;G$3,'ChatGPT data'!$A$3:$A$20000,"&lt;="&amp;G$4,'ChatGPT data'!$B$3:$B$20000,$A94),IF($B94="LinkedIn Ads",SUMIFS('LinkedIn data'!$I$3:$I$20000,'LinkedIn data'!$A$3:$A$20000,"&gt;="&amp;G$3,'LinkedIn data'!$A$3:$A$20000,"&lt;="&amp;G$4,'LinkedIn data'!$B$3:$B$20000,$A94),0)))))</f>
        <v/>
      </c>
      <c r="H94" s="14" t="str">
        <f aca="false">IF($A94="","",IF($B94="Meta",SUMIFS('Meta data'!$I$3:$I$20000,'Meta data'!$A$3:$A$20000,"&gt;="&amp;H$3,'Meta data'!$A$3:$A$20000,"&lt;="&amp;H$4,'Meta data'!$B$3:$B$20000,$A94),IF($B94="Google Ads",SUMIFS('Google data'!$I$3:$I$20000,'Google data'!$A$3:$A$20000,"&gt;="&amp;H$3,'Google data'!$A$3:$A$20000,"&lt;="&amp;H$4,'Google data'!$B$3:$B$20000,$A94),IF($B94="ChatGPT Ads",SUMIFS('ChatGPT data'!$I$3:$I$20000,'ChatGPT data'!$A$3:$A$20000,"&gt;="&amp;H$3,'ChatGPT data'!$A$3:$A$20000,"&lt;="&amp;H$4,'ChatGPT data'!$B$3:$B$20000,$A94),IF($B94="LinkedIn Ads",SUMIFS('LinkedIn data'!$I$3:$I$20000,'LinkedIn data'!$A$3:$A$20000,"&gt;="&amp;H$3,'LinkedIn data'!$A$3:$A$20000,"&lt;="&amp;H$4,'LinkedIn data'!$B$3:$B$20000,$A94),0)))))</f>
        <v/>
      </c>
      <c r="I94" s="14" t="str">
        <f aca="false">IF($A94="","",IF($B94="Meta",SUMIFS('Meta data'!$I$3:$I$20000,'Meta data'!$A$3:$A$20000,"&gt;="&amp;I$3,'Meta data'!$A$3:$A$20000,"&lt;="&amp;I$4,'Meta data'!$B$3:$B$20000,$A94),IF($B94="Google Ads",SUMIFS('Google data'!$I$3:$I$20000,'Google data'!$A$3:$A$20000,"&gt;="&amp;I$3,'Google data'!$A$3:$A$20000,"&lt;="&amp;I$4,'Google data'!$B$3:$B$20000,$A94),IF($B94="ChatGPT Ads",SUMIFS('ChatGPT data'!$I$3:$I$20000,'ChatGPT data'!$A$3:$A$20000,"&gt;="&amp;I$3,'ChatGPT data'!$A$3:$A$20000,"&lt;="&amp;I$4,'ChatGPT data'!$B$3:$B$20000,$A94),IF($B94="LinkedIn Ads",SUMIFS('LinkedIn data'!$I$3:$I$20000,'LinkedIn data'!$A$3:$A$20000,"&gt;="&amp;I$3,'LinkedIn data'!$A$3:$A$20000,"&lt;="&amp;I$4,'LinkedIn data'!$B$3:$B$20000,$A94),0)))))</f>
        <v/>
      </c>
      <c r="J94" s="14" t="str">
        <f aca="false">IF($A94="","",IF($B94="Meta",SUMIFS('Meta data'!$I$3:$I$20000,'Meta data'!$A$3:$A$20000,"&gt;="&amp;J$3,'Meta data'!$A$3:$A$20000,"&lt;="&amp;J$4,'Meta data'!$B$3:$B$20000,$A94),IF($B94="Google Ads",SUMIFS('Google data'!$I$3:$I$20000,'Google data'!$A$3:$A$20000,"&gt;="&amp;J$3,'Google data'!$A$3:$A$20000,"&lt;="&amp;J$4,'Google data'!$B$3:$B$20000,$A94),IF($B94="ChatGPT Ads",SUMIFS('ChatGPT data'!$I$3:$I$20000,'ChatGPT data'!$A$3:$A$20000,"&gt;="&amp;J$3,'ChatGPT data'!$A$3:$A$20000,"&lt;="&amp;J$4,'ChatGPT data'!$B$3:$B$20000,$A94),IF($B94="LinkedIn Ads",SUMIFS('LinkedIn data'!$I$3:$I$20000,'LinkedIn data'!$A$3:$A$20000,"&gt;="&amp;J$3,'LinkedIn data'!$A$3:$A$20000,"&lt;="&amp;J$4,'LinkedIn data'!$B$3:$B$20000,$A94),0)))))</f>
        <v/>
      </c>
      <c r="K94" s="14" t="str">
        <f aca="false">IF($A94="","",IF($B94="Meta",SUMIFS('Meta data'!$I$3:$I$20000,'Meta data'!$A$3:$A$20000,"&gt;="&amp;K$3,'Meta data'!$A$3:$A$20000,"&lt;="&amp;K$4,'Meta data'!$B$3:$B$20000,$A94),IF($B94="Google Ads",SUMIFS('Google data'!$I$3:$I$20000,'Google data'!$A$3:$A$20000,"&gt;="&amp;K$3,'Google data'!$A$3:$A$20000,"&lt;="&amp;K$4,'Google data'!$B$3:$B$20000,$A94),IF($B94="ChatGPT Ads",SUMIFS('ChatGPT data'!$I$3:$I$20000,'ChatGPT data'!$A$3:$A$20000,"&gt;="&amp;K$3,'ChatGPT data'!$A$3:$A$20000,"&lt;="&amp;K$4,'ChatGPT data'!$B$3:$B$20000,$A94),IF($B94="LinkedIn Ads",SUMIFS('LinkedIn data'!$I$3:$I$20000,'LinkedIn data'!$A$3:$A$20000,"&gt;="&amp;K$3,'LinkedIn data'!$A$3:$A$20000,"&lt;="&amp;K$4,'LinkedIn data'!$B$3:$B$20000,$A94),0)))))</f>
        <v/>
      </c>
      <c r="L94" s="14" t="str">
        <f aca="false">IF($A94="","",IF($B94="Meta",SUMIFS('Meta data'!$I$3:$I$20000,'Meta data'!$A$3:$A$20000,"&gt;="&amp;L$3,'Meta data'!$A$3:$A$20000,"&lt;="&amp;L$4,'Meta data'!$B$3:$B$20000,$A94),IF($B94="Google Ads",SUMIFS('Google data'!$I$3:$I$20000,'Google data'!$A$3:$A$20000,"&gt;="&amp;L$3,'Google data'!$A$3:$A$20000,"&lt;="&amp;L$4,'Google data'!$B$3:$B$20000,$A94),IF($B94="ChatGPT Ads",SUMIFS('ChatGPT data'!$I$3:$I$20000,'ChatGPT data'!$A$3:$A$20000,"&gt;="&amp;L$3,'ChatGPT data'!$A$3:$A$20000,"&lt;="&amp;L$4,'ChatGPT data'!$B$3:$B$20000,$A94),IF($B94="LinkedIn Ads",SUMIFS('LinkedIn data'!$I$3:$I$20000,'LinkedIn data'!$A$3:$A$20000,"&gt;="&amp;L$3,'LinkedIn data'!$A$3:$A$20000,"&lt;="&amp;L$4,'LinkedIn data'!$B$3:$B$20000,$A94),0)))))</f>
        <v/>
      </c>
      <c r="M94" s="14" t="str">
        <f aca="false">IF($A94="","",IF($B94="Meta",SUMIFS('Meta data'!$I$3:$I$20000,'Meta data'!$A$3:$A$20000,"&gt;="&amp;M$3,'Meta data'!$A$3:$A$20000,"&lt;="&amp;M$4,'Meta data'!$B$3:$B$20000,$A94),IF($B94="Google Ads",SUMIFS('Google data'!$I$3:$I$20000,'Google data'!$A$3:$A$20000,"&gt;="&amp;M$3,'Google data'!$A$3:$A$20000,"&lt;="&amp;M$4,'Google data'!$B$3:$B$20000,$A94),IF($B94="ChatGPT Ads",SUMIFS('ChatGPT data'!$I$3:$I$20000,'ChatGPT data'!$A$3:$A$20000,"&gt;="&amp;M$3,'ChatGPT data'!$A$3:$A$20000,"&lt;="&amp;M$4,'ChatGPT data'!$B$3:$B$20000,$A94),IF($B94="LinkedIn Ads",SUMIFS('LinkedIn data'!$I$3:$I$20000,'LinkedIn data'!$A$3:$A$20000,"&gt;="&amp;M$3,'LinkedIn data'!$A$3:$A$20000,"&lt;="&amp;M$4,'LinkedIn data'!$B$3:$B$20000,$A94),0)))))</f>
        <v/>
      </c>
      <c r="N94" s="14" t="str">
        <f aca="false">IF($A94="","",IF($B94="Meta",SUMIFS('Meta data'!$I$3:$I$20000,'Meta data'!$A$3:$A$20000,"&gt;="&amp;N$3,'Meta data'!$A$3:$A$20000,"&lt;="&amp;N$4,'Meta data'!$B$3:$B$20000,$A94),IF($B94="Google Ads",SUMIFS('Google data'!$I$3:$I$20000,'Google data'!$A$3:$A$20000,"&gt;="&amp;N$3,'Google data'!$A$3:$A$20000,"&lt;="&amp;N$4,'Google data'!$B$3:$B$20000,$A94),IF($B94="ChatGPT Ads",SUMIFS('ChatGPT data'!$I$3:$I$20000,'ChatGPT data'!$A$3:$A$20000,"&gt;="&amp;N$3,'ChatGPT data'!$A$3:$A$20000,"&lt;="&amp;N$4,'ChatGPT data'!$B$3:$B$20000,$A94),IF($B94="LinkedIn Ads",SUMIFS('LinkedIn data'!$I$3:$I$20000,'LinkedIn data'!$A$3:$A$20000,"&gt;="&amp;N$3,'LinkedIn data'!$A$3:$A$20000,"&lt;="&amp;N$4,'LinkedIn data'!$B$3:$B$20000,$A94),0)))))</f>
        <v/>
      </c>
      <c r="O94" s="14" t="str">
        <f aca="false">IF($A94="","",IF($B94="Meta",SUMIFS('Meta data'!$I$3:$I$20000,'Meta data'!$A$3:$A$20000,"&gt;="&amp;O$3,'Meta data'!$A$3:$A$20000,"&lt;="&amp;O$4,'Meta data'!$B$3:$B$20000,$A94),IF($B94="Google Ads",SUMIFS('Google data'!$I$3:$I$20000,'Google data'!$A$3:$A$20000,"&gt;="&amp;O$3,'Google data'!$A$3:$A$20000,"&lt;="&amp;O$4,'Google data'!$B$3:$B$20000,$A94),IF($B94="ChatGPT Ads",SUMIFS('ChatGPT data'!$I$3:$I$20000,'ChatGPT data'!$A$3:$A$20000,"&gt;="&amp;O$3,'ChatGPT data'!$A$3:$A$20000,"&lt;="&amp;O$4,'ChatGPT data'!$B$3:$B$20000,$A94),IF($B94="LinkedIn Ads",SUMIFS('LinkedIn data'!$I$3:$I$20000,'LinkedIn data'!$A$3:$A$20000,"&gt;="&amp;O$3,'LinkedIn data'!$A$3:$A$20000,"&lt;="&amp;O$4,'LinkedIn data'!$B$3:$B$20000,$A94),0)))))</f>
        <v/>
      </c>
      <c r="P94" s="14" t="str">
        <f aca="false">IF($A94="","",IF($B94="Meta",SUMIFS('Meta data'!$I$3:$I$20000,'Meta data'!$A$3:$A$20000,"&gt;="&amp;P$3,'Meta data'!$A$3:$A$20000,"&lt;="&amp;P$4,'Meta data'!$B$3:$B$20000,$A94),IF($B94="Google Ads",SUMIFS('Google data'!$I$3:$I$20000,'Google data'!$A$3:$A$20000,"&gt;="&amp;P$3,'Google data'!$A$3:$A$20000,"&lt;="&amp;P$4,'Google data'!$B$3:$B$20000,$A94),IF($B94="ChatGPT Ads",SUMIFS('ChatGPT data'!$I$3:$I$20000,'ChatGPT data'!$A$3:$A$20000,"&gt;="&amp;P$3,'ChatGPT data'!$A$3:$A$20000,"&lt;="&amp;P$4,'ChatGPT data'!$B$3:$B$20000,$A94),IF($B94="LinkedIn Ads",SUMIFS('LinkedIn data'!$I$3:$I$20000,'LinkedIn data'!$A$3:$A$20000,"&gt;="&amp;P$3,'LinkedIn data'!$A$3:$A$20000,"&lt;="&amp;P$4,'LinkedIn data'!$B$3:$B$20000,$A94),0)))))</f>
        <v/>
      </c>
      <c r="Q94" s="14" t="str">
        <f aca="false">IF($A94="","",IF($B94="Meta",SUMIFS('Meta data'!$I$3:$I$20000,'Meta data'!$A$3:$A$20000,"&gt;="&amp;Q$3,'Meta data'!$A$3:$A$20000,"&lt;="&amp;Q$4,'Meta data'!$B$3:$B$20000,$A94),IF($B94="Google Ads",SUMIFS('Google data'!$I$3:$I$20000,'Google data'!$A$3:$A$20000,"&gt;="&amp;Q$3,'Google data'!$A$3:$A$20000,"&lt;="&amp;Q$4,'Google data'!$B$3:$B$20000,$A94),IF($B94="ChatGPT Ads",SUMIFS('ChatGPT data'!$I$3:$I$20000,'ChatGPT data'!$A$3:$A$20000,"&gt;="&amp;Q$3,'ChatGPT data'!$A$3:$A$20000,"&lt;="&amp;Q$4,'ChatGPT data'!$B$3:$B$20000,$A94),IF($B94="LinkedIn Ads",SUMIFS('LinkedIn data'!$I$3:$I$20000,'LinkedIn data'!$A$3:$A$20000,"&gt;="&amp;Q$3,'LinkedIn data'!$A$3:$A$20000,"&lt;="&amp;Q$4,'LinkedIn data'!$B$3:$B$20000,$A94),0)))))</f>
        <v/>
      </c>
      <c r="R94" s="15" t="str">
        <f aca="false">IF($A94="","",SUM(F94:Q94))</f>
        <v/>
      </c>
      <c r="S94" s="37" t="str">
        <f aca="false">IF($A94="","",IF($B94="Meta",SUMIFS('Meta data'!$E$3:$E$20000,'Meta data'!$B$3:$B$20000,$A94),IF($B94="Google Ads",SUMIFS('Google data'!$E$3:$E$20000,'Google data'!$B$3:$B$20000,$A94),IF($B94="ChatGPT Ads",SUMIFS('ChatGPT data'!$E$3:$E$20000,'ChatGPT data'!$B$3:$B$20000,$A94),IF($B94="LinkedIn Ads",SUMIFS('LinkedIn data'!$E$3:$E$20000,'LinkedIn data'!$B$3:$B$20000,$A94),0)))))</f>
        <v/>
      </c>
      <c r="T94" s="37" t="str">
        <f aca="false">IF($A94="","",IF($B94="Meta",SUMIFS('Meta data'!$F$3:$F$20000,'Meta data'!$B$3:$B$20000,$A94),IF($B94="Google Ads",SUMIFS('Google data'!$F$3:$F$20000,'Google data'!$B$3:$B$20000,$A94),IF($B94="ChatGPT Ads",SUMIFS('ChatGPT data'!$F$3:$F$20000,'ChatGPT data'!$B$3:$B$20000,$A94),IF($B94="LinkedIn Ads",SUMIFS('LinkedIn data'!$F$3:$F$20000,'LinkedIn data'!$B$3:$B$20000,$A94),0)))))</f>
        <v/>
      </c>
      <c r="U94" s="38" t="str">
        <f aca="false">IF(OR($A94="",T94=0),"",R94/T94)</f>
        <v/>
      </c>
    </row>
    <row r="95" customFormat="false" ht="15" hidden="false" customHeight="false" outlineLevel="0" collapsed="false">
      <c r="A95" s="59"/>
      <c r="B95" s="59"/>
      <c r="C95" s="59"/>
      <c r="D95" s="59"/>
      <c r="E95" s="59"/>
      <c r="F95" s="14" t="str">
        <f aca="false">IF($A95="","",IF($B95="Meta",SUMIFS('Meta data'!$I$3:$I$20000,'Meta data'!$A$3:$A$20000,"&gt;="&amp;F$3,'Meta data'!$A$3:$A$20000,"&lt;="&amp;F$4,'Meta data'!$B$3:$B$20000,$A95),IF($B95="Google Ads",SUMIFS('Google data'!$I$3:$I$20000,'Google data'!$A$3:$A$20000,"&gt;="&amp;F$3,'Google data'!$A$3:$A$20000,"&lt;="&amp;F$4,'Google data'!$B$3:$B$20000,$A95),IF($B95="ChatGPT Ads",SUMIFS('ChatGPT data'!$I$3:$I$20000,'ChatGPT data'!$A$3:$A$20000,"&gt;="&amp;F$3,'ChatGPT data'!$A$3:$A$20000,"&lt;="&amp;F$4,'ChatGPT data'!$B$3:$B$20000,$A95),IF($B95="LinkedIn Ads",SUMIFS('LinkedIn data'!$I$3:$I$20000,'LinkedIn data'!$A$3:$A$20000,"&gt;="&amp;F$3,'LinkedIn data'!$A$3:$A$20000,"&lt;="&amp;F$4,'LinkedIn data'!$B$3:$B$20000,$A95),0)))))</f>
        <v/>
      </c>
      <c r="G95" s="14" t="str">
        <f aca="false">IF($A95="","",IF($B95="Meta",SUMIFS('Meta data'!$I$3:$I$20000,'Meta data'!$A$3:$A$20000,"&gt;="&amp;G$3,'Meta data'!$A$3:$A$20000,"&lt;="&amp;G$4,'Meta data'!$B$3:$B$20000,$A95),IF($B95="Google Ads",SUMIFS('Google data'!$I$3:$I$20000,'Google data'!$A$3:$A$20000,"&gt;="&amp;G$3,'Google data'!$A$3:$A$20000,"&lt;="&amp;G$4,'Google data'!$B$3:$B$20000,$A95),IF($B95="ChatGPT Ads",SUMIFS('ChatGPT data'!$I$3:$I$20000,'ChatGPT data'!$A$3:$A$20000,"&gt;="&amp;G$3,'ChatGPT data'!$A$3:$A$20000,"&lt;="&amp;G$4,'ChatGPT data'!$B$3:$B$20000,$A95),IF($B95="LinkedIn Ads",SUMIFS('LinkedIn data'!$I$3:$I$20000,'LinkedIn data'!$A$3:$A$20000,"&gt;="&amp;G$3,'LinkedIn data'!$A$3:$A$20000,"&lt;="&amp;G$4,'LinkedIn data'!$B$3:$B$20000,$A95),0)))))</f>
        <v/>
      </c>
      <c r="H95" s="14" t="str">
        <f aca="false">IF($A95="","",IF($B95="Meta",SUMIFS('Meta data'!$I$3:$I$20000,'Meta data'!$A$3:$A$20000,"&gt;="&amp;H$3,'Meta data'!$A$3:$A$20000,"&lt;="&amp;H$4,'Meta data'!$B$3:$B$20000,$A95),IF($B95="Google Ads",SUMIFS('Google data'!$I$3:$I$20000,'Google data'!$A$3:$A$20000,"&gt;="&amp;H$3,'Google data'!$A$3:$A$20000,"&lt;="&amp;H$4,'Google data'!$B$3:$B$20000,$A95),IF($B95="ChatGPT Ads",SUMIFS('ChatGPT data'!$I$3:$I$20000,'ChatGPT data'!$A$3:$A$20000,"&gt;="&amp;H$3,'ChatGPT data'!$A$3:$A$20000,"&lt;="&amp;H$4,'ChatGPT data'!$B$3:$B$20000,$A95),IF($B95="LinkedIn Ads",SUMIFS('LinkedIn data'!$I$3:$I$20000,'LinkedIn data'!$A$3:$A$20000,"&gt;="&amp;H$3,'LinkedIn data'!$A$3:$A$20000,"&lt;="&amp;H$4,'LinkedIn data'!$B$3:$B$20000,$A95),0)))))</f>
        <v/>
      </c>
      <c r="I95" s="14" t="str">
        <f aca="false">IF($A95="","",IF($B95="Meta",SUMIFS('Meta data'!$I$3:$I$20000,'Meta data'!$A$3:$A$20000,"&gt;="&amp;I$3,'Meta data'!$A$3:$A$20000,"&lt;="&amp;I$4,'Meta data'!$B$3:$B$20000,$A95),IF($B95="Google Ads",SUMIFS('Google data'!$I$3:$I$20000,'Google data'!$A$3:$A$20000,"&gt;="&amp;I$3,'Google data'!$A$3:$A$20000,"&lt;="&amp;I$4,'Google data'!$B$3:$B$20000,$A95),IF($B95="ChatGPT Ads",SUMIFS('ChatGPT data'!$I$3:$I$20000,'ChatGPT data'!$A$3:$A$20000,"&gt;="&amp;I$3,'ChatGPT data'!$A$3:$A$20000,"&lt;="&amp;I$4,'ChatGPT data'!$B$3:$B$20000,$A95),IF($B95="LinkedIn Ads",SUMIFS('LinkedIn data'!$I$3:$I$20000,'LinkedIn data'!$A$3:$A$20000,"&gt;="&amp;I$3,'LinkedIn data'!$A$3:$A$20000,"&lt;="&amp;I$4,'LinkedIn data'!$B$3:$B$20000,$A95),0)))))</f>
        <v/>
      </c>
      <c r="J95" s="14" t="str">
        <f aca="false">IF($A95="","",IF($B95="Meta",SUMIFS('Meta data'!$I$3:$I$20000,'Meta data'!$A$3:$A$20000,"&gt;="&amp;J$3,'Meta data'!$A$3:$A$20000,"&lt;="&amp;J$4,'Meta data'!$B$3:$B$20000,$A95),IF($B95="Google Ads",SUMIFS('Google data'!$I$3:$I$20000,'Google data'!$A$3:$A$20000,"&gt;="&amp;J$3,'Google data'!$A$3:$A$20000,"&lt;="&amp;J$4,'Google data'!$B$3:$B$20000,$A95),IF($B95="ChatGPT Ads",SUMIFS('ChatGPT data'!$I$3:$I$20000,'ChatGPT data'!$A$3:$A$20000,"&gt;="&amp;J$3,'ChatGPT data'!$A$3:$A$20000,"&lt;="&amp;J$4,'ChatGPT data'!$B$3:$B$20000,$A95),IF($B95="LinkedIn Ads",SUMIFS('LinkedIn data'!$I$3:$I$20000,'LinkedIn data'!$A$3:$A$20000,"&gt;="&amp;J$3,'LinkedIn data'!$A$3:$A$20000,"&lt;="&amp;J$4,'LinkedIn data'!$B$3:$B$20000,$A95),0)))))</f>
        <v/>
      </c>
      <c r="K95" s="14" t="str">
        <f aca="false">IF($A95="","",IF($B95="Meta",SUMIFS('Meta data'!$I$3:$I$20000,'Meta data'!$A$3:$A$20000,"&gt;="&amp;K$3,'Meta data'!$A$3:$A$20000,"&lt;="&amp;K$4,'Meta data'!$B$3:$B$20000,$A95),IF($B95="Google Ads",SUMIFS('Google data'!$I$3:$I$20000,'Google data'!$A$3:$A$20000,"&gt;="&amp;K$3,'Google data'!$A$3:$A$20000,"&lt;="&amp;K$4,'Google data'!$B$3:$B$20000,$A95),IF($B95="ChatGPT Ads",SUMIFS('ChatGPT data'!$I$3:$I$20000,'ChatGPT data'!$A$3:$A$20000,"&gt;="&amp;K$3,'ChatGPT data'!$A$3:$A$20000,"&lt;="&amp;K$4,'ChatGPT data'!$B$3:$B$20000,$A95),IF($B95="LinkedIn Ads",SUMIFS('LinkedIn data'!$I$3:$I$20000,'LinkedIn data'!$A$3:$A$20000,"&gt;="&amp;K$3,'LinkedIn data'!$A$3:$A$20000,"&lt;="&amp;K$4,'LinkedIn data'!$B$3:$B$20000,$A95),0)))))</f>
        <v/>
      </c>
      <c r="L95" s="14" t="str">
        <f aca="false">IF($A95="","",IF($B95="Meta",SUMIFS('Meta data'!$I$3:$I$20000,'Meta data'!$A$3:$A$20000,"&gt;="&amp;L$3,'Meta data'!$A$3:$A$20000,"&lt;="&amp;L$4,'Meta data'!$B$3:$B$20000,$A95),IF($B95="Google Ads",SUMIFS('Google data'!$I$3:$I$20000,'Google data'!$A$3:$A$20000,"&gt;="&amp;L$3,'Google data'!$A$3:$A$20000,"&lt;="&amp;L$4,'Google data'!$B$3:$B$20000,$A95),IF($B95="ChatGPT Ads",SUMIFS('ChatGPT data'!$I$3:$I$20000,'ChatGPT data'!$A$3:$A$20000,"&gt;="&amp;L$3,'ChatGPT data'!$A$3:$A$20000,"&lt;="&amp;L$4,'ChatGPT data'!$B$3:$B$20000,$A95),IF($B95="LinkedIn Ads",SUMIFS('LinkedIn data'!$I$3:$I$20000,'LinkedIn data'!$A$3:$A$20000,"&gt;="&amp;L$3,'LinkedIn data'!$A$3:$A$20000,"&lt;="&amp;L$4,'LinkedIn data'!$B$3:$B$20000,$A95),0)))))</f>
        <v/>
      </c>
      <c r="M95" s="14" t="str">
        <f aca="false">IF($A95="","",IF($B95="Meta",SUMIFS('Meta data'!$I$3:$I$20000,'Meta data'!$A$3:$A$20000,"&gt;="&amp;M$3,'Meta data'!$A$3:$A$20000,"&lt;="&amp;M$4,'Meta data'!$B$3:$B$20000,$A95),IF($B95="Google Ads",SUMIFS('Google data'!$I$3:$I$20000,'Google data'!$A$3:$A$20000,"&gt;="&amp;M$3,'Google data'!$A$3:$A$20000,"&lt;="&amp;M$4,'Google data'!$B$3:$B$20000,$A95),IF($B95="ChatGPT Ads",SUMIFS('ChatGPT data'!$I$3:$I$20000,'ChatGPT data'!$A$3:$A$20000,"&gt;="&amp;M$3,'ChatGPT data'!$A$3:$A$20000,"&lt;="&amp;M$4,'ChatGPT data'!$B$3:$B$20000,$A95),IF($B95="LinkedIn Ads",SUMIFS('LinkedIn data'!$I$3:$I$20000,'LinkedIn data'!$A$3:$A$20000,"&gt;="&amp;M$3,'LinkedIn data'!$A$3:$A$20000,"&lt;="&amp;M$4,'LinkedIn data'!$B$3:$B$20000,$A95),0)))))</f>
        <v/>
      </c>
      <c r="N95" s="14" t="str">
        <f aca="false">IF($A95="","",IF($B95="Meta",SUMIFS('Meta data'!$I$3:$I$20000,'Meta data'!$A$3:$A$20000,"&gt;="&amp;N$3,'Meta data'!$A$3:$A$20000,"&lt;="&amp;N$4,'Meta data'!$B$3:$B$20000,$A95),IF($B95="Google Ads",SUMIFS('Google data'!$I$3:$I$20000,'Google data'!$A$3:$A$20000,"&gt;="&amp;N$3,'Google data'!$A$3:$A$20000,"&lt;="&amp;N$4,'Google data'!$B$3:$B$20000,$A95),IF($B95="ChatGPT Ads",SUMIFS('ChatGPT data'!$I$3:$I$20000,'ChatGPT data'!$A$3:$A$20000,"&gt;="&amp;N$3,'ChatGPT data'!$A$3:$A$20000,"&lt;="&amp;N$4,'ChatGPT data'!$B$3:$B$20000,$A95),IF($B95="LinkedIn Ads",SUMIFS('LinkedIn data'!$I$3:$I$20000,'LinkedIn data'!$A$3:$A$20000,"&gt;="&amp;N$3,'LinkedIn data'!$A$3:$A$20000,"&lt;="&amp;N$4,'LinkedIn data'!$B$3:$B$20000,$A95),0)))))</f>
        <v/>
      </c>
      <c r="O95" s="14" t="str">
        <f aca="false">IF($A95="","",IF($B95="Meta",SUMIFS('Meta data'!$I$3:$I$20000,'Meta data'!$A$3:$A$20000,"&gt;="&amp;O$3,'Meta data'!$A$3:$A$20000,"&lt;="&amp;O$4,'Meta data'!$B$3:$B$20000,$A95),IF($B95="Google Ads",SUMIFS('Google data'!$I$3:$I$20000,'Google data'!$A$3:$A$20000,"&gt;="&amp;O$3,'Google data'!$A$3:$A$20000,"&lt;="&amp;O$4,'Google data'!$B$3:$B$20000,$A95),IF($B95="ChatGPT Ads",SUMIFS('ChatGPT data'!$I$3:$I$20000,'ChatGPT data'!$A$3:$A$20000,"&gt;="&amp;O$3,'ChatGPT data'!$A$3:$A$20000,"&lt;="&amp;O$4,'ChatGPT data'!$B$3:$B$20000,$A95),IF($B95="LinkedIn Ads",SUMIFS('LinkedIn data'!$I$3:$I$20000,'LinkedIn data'!$A$3:$A$20000,"&gt;="&amp;O$3,'LinkedIn data'!$A$3:$A$20000,"&lt;="&amp;O$4,'LinkedIn data'!$B$3:$B$20000,$A95),0)))))</f>
        <v/>
      </c>
      <c r="P95" s="14" t="str">
        <f aca="false">IF($A95="","",IF($B95="Meta",SUMIFS('Meta data'!$I$3:$I$20000,'Meta data'!$A$3:$A$20000,"&gt;="&amp;P$3,'Meta data'!$A$3:$A$20000,"&lt;="&amp;P$4,'Meta data'!$B$3:$B$20000,$A95),IF($B95="Google Ads",SUMIFS('Google data'!$I$3:$I$20000,'Google data'!$A$3:$A$20000,"&gt;="&amp;P$3,'Google data'!$A$3:$A$20000,"&lt;="&amp;P$4,'Google data'!$B$3:$B$20000,$A95),IF($B95="ChatGPT Ads",SUMIFS('ChatGPT data'!$I$3:$I$20000,'ChatGPT data'!$A$3:$A$20000,"&gt;="&amp;P$3,'ChatGPT data'!$A$3:$A$20000,"&lt;="&amp;P$4,'ChatGPT data'!$B$3:$B$20000,$A95),IF($B95="LinkedIn Ads",SUMIFS('LinkedIn data'!$I$3:$I$20000,'LinkedIn data'!$A$3:$A$20000,"&gt;="&amp;P$3,'LinkedIn data'!$A$3:$A$20000,"&lt;="&amp;P$4,'LinkedIn data'!$B$3:$B$20000,$A95),0)))))</f>
        <v/>
      </c>
      <c r="Q95" s="14" t="str">
        <f aca="false">IF($A95="","",IF($B95="Meta",SUMIFS('Meta data'!$I$3:$I$20000,'Meta data'!$A$3:$A$20000,"&gt;="&amp;Q$3,'Meta data'!$A$3:$A$20000,"&lt;="&amp;Q$4,'Meta data'!$B$3:$B$20000,$A95),IF($B95="Google Ads",SUMIFS('Google data'!$I$3:$I$20000,'Google data'!$A$3:$A$20000,"&gt;="&amp;Q$3,'Google data'!$A$3:$A$20000,"&lt;="&amp;Q$4,'Google data'!$B$3:$B$20000,$A95),IF($B95="ChatGPT Ads",SUMIFS('ChatGPT data'!$I$3:$I$20000,'ChatGPT data'!$A$3:$A$20000,"&gt;="&amp;Q$3,'ChatGPT data'!$A$3:$A$20000,"&lt;="&amp;Q$4,'ChatGPT data'!$B$3:$B$20000,$A95),IF($B95="LinkedIn Ads",SUMIFS('LinkedIn data'!$I$3:$I$20000,'LinkedIn data'!$A$3:$A$20000,"&gt;="&amp;Q$3,'LinkedIn data'!$A$3:$A$20000,"&lt;="&amp;Q$4,'LinkedIn data'!$B$3:$B$20000,$A95),0)))))</f>
        <v/>
      </c>
      <c r="R95" s="15" t="str">
        <f aca="false">IF($A95="","",SUM(F95:Q95))</f>
        <v/>
      </c>
      <c r="S95" s="37" t="str">
        <f aca="false">IF($A95="","",IF($B95="Meta",SUMIFS('Meta data'!$E$3:$E$20000,'Meta data'!$B$3:$B$20000,$A95),IF($B95="Google Ads",SUMIFS('Google data'!$E$3:$E$20000,'Google data'!$B$3:$B$20000,$A95),IF($B95="ChatGPT Ads",SUMIFS('ChatGPT data'!$E$3:$E$20000,'ChatGPT data'!$B$3:$B$20000,$A95),IF($B95="LinkedIn Ads",SUMIFS('LinkedIn data'!$E$3:$E$20000,'LinkedIn data'!$B$3:$B$20000,$A95),0)))))</f>
        <v/>
      </c>
      <c r="T95" s="37" t="str">
        <f aca="false">IF($A95="","",IF($B95="Meta",SUMIFS('Meta data'!$F$3:$F$20000,'Meta data'!$B$3:$B$20000,$A95),IF($B95="Google Ads",SUMIFS('Google data'!$F$3:$F$20000,'Google data'!$B$3:$B$20000,$A95),IF($B95="ChatGPT Ads",SUMIFS('ChatGPT data'!$F$3:$F$20000,'ChatGPT data'!$B$3:$B$20000,$A95),IF($B95="LinkedIn Ads",SUMIFS('LinkedIn data'!$F$3:$F$20000,'LinkedIn data'!$B$3:$B$20000,$A95),0)))))</f>
        <v/>
      </c>
      <c r="U95" s="38" t="str">
        <f aca="false">IF(OR($A95="",T95=0),"",R95/T95)</f>
        <v/>
      </c>
    </row>
    <row r="96" customFormat="false" ht="15" hidden="false" customHeight="false" outlineLevel="0" collapsed="false">
      <c r="A96" s="59"/>
      <c r="B96" s="59"/>
      <c r="C96" s="59"/>
      <c r="D96" s="59"/>
      <c r="E96" s="59"/>
      <c r="F96" s="14" t="str">
        <f aca="false">IF($A96="","",IF($B96="Meta",SUMIFS('Meta data'!$I$3:$I$20000,'Meta data'!$A$3:$A$20000,"&gt;="&amp;F$3,'Meta data'!$A$3:$A$20000,"&lt;="&amp;F$4,'Meta data'!$B$3:$B$20000,$A96),IF($B96="Google Ads",SUMIFS('Google data'!$I$3:$I$20000,'Google data'!$A$3:$A$20000,"&gt;="&amp;F$3,'Google data'!$A$3:$A$20000,"&lt;="&amp;F$4,'Google data'!$B$3:$B$20000,$A96),IF($B96="ChatGPT Ads",SUMIFS('ChatGPT data'!$I$3:$I$20000,'ChatGPT data'!$A$3:$A$20000,"&gt;="&amp;F$3,'ChatGPT data'!$A$3:$A$20000,"&lt;="&amp;F$4,'ChatGPT data'!$B$3:$B$20000,$A96),IF($B96="LinkedIn Ads",SUMIFS('LinkedIn data'!$I$3:$I$20000,'LinkedIn data'!$A$3:$A$20000,"&gt;="&amp;F$3,'LinkedIn data'!$A$3:$A$20000,"&lt;="&amp;F$4,'LinkedIn data'!$B$3:$B$20000,$A96),0)))))</f>
        <v/>
      </c>
      <c r="G96" s="14" t="str">
        <f aca="false">IF($A96="","",IF($B96="Meta",SUMIFS('Meta data'!$I$3:$I$20000,'Meta data'!$A$3:$A$20000,"&gt;="&amp;G$3,'Meta data'!$A$3:$A$20000,"&lt;="&amp;G$4,'Meta data'!$B$3:$B$20000,$A96),IF($B96="Google Ads",SUMIFS('Google data'!$I$3:$I$20000,'Google data'!$A$3:$A$20000,"&gt;="&amp;G$3,'Google data'!$A$3:$A$20000,"&lt;="&amp;G$4,'Google data'!$B$3:$B$20000,$A96),IF($B96="ChatGPT Ads",SUMIFS('ChatGPT data'!$I$3:$I$20000,'ChatGPT data'!$A$3:$A$20000,"&gt;="&amp;G$3,'ChatGPT data'!$A$3:$A$20000,"&lt;="&amp;G$4,'ChatGPT data'!$B$3:$B$20000,$A96),IF($B96="LinkedIn Ads",SUMIFS('LinkedIn data'!$I$3:$I$20000,'LinkedIn data'!$A$3:$A$20000,"&gt;="&amp;G$3,'LinkedIn data'!$A$3:$A$20000,"&lt;="&amp;G$4,'LinkedIn data'!$B$3:$B$20000,$A96),0)))))</f>
        <v/>
      </c>
      <c r="H96" s="14" t="str">
        <f aca="false">IF($A96="","",IF($B96="Meta",SUMIFS('Meta data'!$I$3:$I$20000,'Meta data'!$A$3:$A$20000,"&gt;="&amp;H$3,'Meta data'!$A$3:$A$20000,"&lt;="&amp;H$4,'Meta data'!$B$3:$B$20000,$A96),IF($B96="Google Ads",SUMIFS('Google data'!$I$3:$I$20000,'Google data'!$A$3:$A$20000,"&gt;="&amp;H$3,'Google data'!$A$3:$A$20000,"&lt;="&amp;H$4,'Google data'!$B$3:$B$20000,$A96),IF($B96="ChatGPT Ads",SUMIFS('ChatGPT data'!$I$3:$I$20000,'ChatGPT data'!$A$3:$A$20000,"&gt;="&amp;H$3,'ChatGPT data'!$A$3:$A$20000,"&lt;="&amp;H$4,'ChatGPT data'!$B$3:$B$20000,$A96),IF($B96="LinkedIn Ads",SUMIFS('LinkedIn data'!$I$3:$I$20000,'LinkedIn data'!$A$3:$A$20000,"&gt;="&amp;H$3,'LinkedIn data'!$A$3:$A$20000,"&lt;="&amp;H$4,'LinkedIn data'!$B$3:$B$20000,$A96),0)))))</f>
        <v/>
      </c>
      <c r="I96" s="14" t="str">
        <f aca="false">IF($A96="","",IF($B96="Meta",SUMIFS('Meta data'!$I$3:$I$20000,'Meta data'!$A$3:$A$20000,"&gt;="&amp;I$3,'Meta data'!$A$3:$A$20000,"&lt;="&amp;I$4,'Meta data'!$B$3:$B$20000,$A96),IF($B96="Google Ads",SUMIFS('Google data'!$I$3:$I$20000,'Google data'!$A$3:$A$20000,"&gt;="&amp;I$3,'Google data'!$A$3:$A$20000,"&lt;="&amp;I$4,'Google data'!$B$3:$B$20000,$A96),IF($B96="ChatGPT Ads",SUMIFS('ChatGPT data'!$I$3:$I$20000,'ChatGPT data'!$A$3:$A$20000,"&gt;="&amp;I$3,'ChatGPT data'!$A$3:$A$20000,"&lt;="&amp;I$4,'ChatGPT data'!$B$3:$B$20000,$A96),IF($B96="LinkedIn Ads",SUMIFS('LinkedIn data'!$I$3:$I$20000,'LinkedIn data'!$A$3:$A$20000,"&gt;="&amp;I$3,'LinkedIn data'!$A$3:$A$20000,"&lt;="&amp;I$4,'LinkedIn data'!$B$3:$B$20000,$A96),0)))))</f>
        <v/>
      </c>
      <c r="J96" s="14" t="str">
        <f aca="false">IF($A96="","",IF($B96="Meta",SUMIFS('Meta data'!$I$3:$I$20000,'Meta data'!$A$3:$A$20000,"&gt;="&amp;J$3,'Meta data'!$A$3:$A$20000,"&lt;="&amp;J$4,'Meta data'!$B$3:$B$20000,$A96),IF($B96="Google Ads",SUMIFS('Google data'!$I$3:$I$20000,'Google data'!$A$3:$A$20000,"&gt;="&amp;J$3,'Google data'!$A$3:$A$20000,"&lt;="&amp;J$4,'Google data'!$B$3:$B$20000,$A96),IF($B96="ChatGPT Ads",SUMIFS('ChatGPT data'!$I$3:$I$20000,'ChatGPT data'!$A$3:$A$20000,"&gt;="&amp;J$3,'ChatGPT data'!$A$3:$A$20000,"&lt;="&amp;J$4,'ChatGPT data'!$B$3:$B$20000,$A96),IF($B96="LinkedIn Ads",SUMIFS('LinkedIn data'!$I$3:$I$20000,'LinkedIn data'!$A$3:$A$20000,"&gt;="&amp;J$3,'LinkedIn data'!$A$3:$A$20000,"&lt;="&amp;J$4,'LinkedIn data'!$B$3:$B$20000,$A96),0)))))</f>
        <v/>
      </c>
      <c r="K96" s="14" t="str">
        <f aca="false">IF($A96="","",IF($B96="Meta",SUMIFS('Meta data'!$I$3:$I$20000,'Meta data'!$A$3:$A$20000,"&gt;="&amp;K$3,'Meta data'!$A$3:$A$20000,"&lt;="&amp;K$4,'Meta data'!$B$3:$B$20000,$A96),IF($B96="Google Ads",SUMIFS('Google data'!$I$3:$I$20000,'Google data'!$A$3:$A$20000,"&gt;="&amp;K$3,'Google data'!$A$3:$A$20000,"&lt;="&amp;K$4,'Google data'!$B$3:$B$20000,$A96),IF($B96="ChatGPT Ads",SUMIFS('ChatGPT data'!$I$3:$I$20000,'ChatGPT data'!$A$3:$A$20000,"&gt;="&amp;K$3,'ChatGPT data'!$A$3:$A$20000,"&lt;="&amp;K$4,'ChatGPT data'!$B$3:$B$20000,$A96),IF($B96="LinkedIn Ads",SUMIFS('LinkedIn data'!$I$3:$I$20000,'LinkedIn data'!$A$3:$A$20000,"&gt;="&amp;K$3,'LinkedIn data'!$A$3:$A$20000,"&lt;="&amp;K$4,'LinkedIn data'!$B$3:$B$20000,$A96),0)))))</f>
        <v/>
      </c>
      <c r="L96" s="14" t="str">
        <f aca="false">IF($A96="","",IF($B96="Meta",SUMIFS('Meta data'!$I$3:$I$20000,'Meta data'!$A$3:$A$20000,"&gt;="&amp;L$3,'Meta data'!$A$3:$A$20000,"&lt;="&amp;L$4,'Meta data'!$B$3:$B$20000,$A96),IF($B96="Google Ads",SUMIFS('Google data'!$I$3:$I$20000,'Google data'!$A$3:$A$20000,"&gt;="&amp;L$3,'Google data'!$A$3:$A$20000,"&lt;="&amp;L$4,'Google data'!$B$3:$B$20000,$A96),IF($B96="ChatGPT Ads",SUMIFS('ChatGPT data'!$I$3:$I$20000,'ChatGPT data'!$A$3:$A$20000,"&gt;="&amp;L$3,'ChatGPT data'!$A$3:$A$20000,"&lt;="&amp;L$4,'ChatGPT data'!$B$3:$B$20000,$A96),IF($B96="LinkedIn Ads",SUMIFS('LinkedIn data'!$I$3:$I$20000,'LinkedIn data'!$A$3:$A$20000,"&gt;="&amp;L$3,'LinkedIn data'!$A$3:$A$20000,"&lt;="&amp;L$4,'LinkedIn data'!$B$3:$B$20000,$A96),0)))))</f>
        <v/>
      </c>
      <c r="M96" s="14" t="str">
        <f aca="false">IF($A96="","",IF($B96="Meta",SUMIFS('Meta data'!$I$3:$I$20000,'Meta data'!$A$3:$A$20000,"&gt;="&amp;M$3,'Meta data'!$A$3:$A$20000,"&lt;="&amp;M$4,'Meta data'!$B$3:$B$20000,$A96),IF($B96="Google Ads",SUMIFS('Google data'!$I$3:$I$20000,'Google data'!$A$3:$A$20000,"&gt;="&amp;M$3,'Google data'!$A$3:$A$20000,"&lt;="&amp;M$4,'Google data'!$B$3:$B$20000,$A96),IF($B96="ChatGPT Ads",SUMIFS('ChatGPT data'!$I$3:$I$20000,'ChatGPT data'!$A$3:$A$20000,"&gt;="&amp;M$3,'ChatGPT data'!$A$3:$A$20000,"&lt;="&amp;M$4,'ChatGPT data'!$B$3:$B$20000,$A96),IF($B96="LinkedIn Ads",SUMIFS('LinkedIn data'!$I$3:$I$20000,'LinkedIn data'!$A$3:$A$20000,"&gt;="&amp;M$3,'LinkedIn data'!$A$3:$A$20000,"&lt;="&amp;M$4,'LinkedIn data'!$B$3:$B$20000,$A96),0)))))</f>
        <v/>
      </c>
      <c r="N96" s="14" t="str">
        <f aca="false">IF($A96="","",IF($B96="Meta",SUMIFS('Meta data'!$I$3:$I$20000,'Meta data'!$A$3:$A$20000,"&gt;="&amp;N$3,'Meta data'!$A$3:$A$20000,"&lt;="&amp;N$4,'Meta data'!$B$3:$B$20000,$A96),IF($B96="Google Ads",SUMIFS('Google data'!$I$3:$I$20000,'Google data'!$A$3:$A$20000,"&gt;="&amp;N$3,'Google data'!$A$3:$A$20000,"&lt;="&amp;N$4,'Google data'!$B$3:$B$20000,$A96),IF($B96="ChatGPT Ads",SUMIFS('ChatGPT data'!$I$3:$I$20000,'ChatGPT data'!$A$3:$A$20000,"&gt;="&amp;N$3,'ChatGPT data'!$A$3:$A$20000,"&lt;="&amp;N$4,'ChatGPT data'!$B$3:$B$20000,$A96),IF($B96="LinkedIn Ads",SUMIFS('LinkedIn data'!$I$3:$I$20000,'LinkedIn data'!$A$3:$A$20000,"&gt;="&amp;N$3,'LinkedIn data'!$A$3:$A$20000,"&lt;="&amp;N$4,'LinkedIn data'!$B$3:$B$20000,$A96),0)))))</f>
        <v/>
      </c>
      <c r="O96" s="14" t="str">
        <f aca="false">IF($A96="","",IF($B96="Meta",SUMIFS('Meta data'!$I$3:$I$20000,'Meta data'!$A$3:$A$20000,"&gt;="&amp;O$3,'Meta data'!$A$3:$A$20000,"&lt;="&amp;O$4,'Meta data'!$B$3:$B$20000,$A96),IF($B96="Google Ads",SUMIFS('Google data'!$I$3:$I$20000,'Google data'!$A$3:$A$20000,"&gt;="&amp;O$3,'Google data'!$A$3:$A$20000,"&lt;="&amp;O$4,'Google data'!$B$3:$B$20000,$A96),IF($B96="ChatGPT Ads",SUMIFS('ChatGPT data'!$I$3:$I$20000,'ChatGPT data'!$A$3:$A$20000,"&gt;="&amp;O$3,'ChatGPT data'!$A$3:$A$20000,"&lt;="&amp;O$4,'ChatGPT data'!$B$3:$B$20000,$A96),IF($B96="LinkedIn Ads",SUMIFS('LinkedIn data'!$I$3:$I$20000,'LinkedIn data'!$A$3:$A$20000,"&gt;="&amp;O$3,'LinkedIn data'!$A$3:$A$20000,"&lt;="&amp;O$4,'LinkedIn data'!$B$3:$B$20000,$A96),0)))))</f>
        <v/>
      </c>
      <c r="P96" s="14" t="str">
        <f aca="false">IF($A96="","",IF($B96="Meta",SUMIFS('Meta data'!$I$3:$I$20000,'Meta data'!$A$3:$A$20000,"&gt;="&amp;P$3,'Meta data'!$A$3:$A$20000,"&lt;="&amp;P$4,'Meta data'!$B$3:$B$20000,$A96),IF($B96="Google Ads",SUMIFS('Google data'!$I$3:$I$20000,'Google data'!$A$3:$A$20000,"&gt;="&amp;P$3,'Google data'!$A$3:$A$20000,"&lt;="&amp;P$4,'Google data'!$B$3:$B$20000,$A96),IF($B96="ChatGPT Ads",SUMIFS('ChatGPT data'!$I$3:$I$20000,'ChatGPT data'!$A$3:$A$20000,"&gt;="&amp;P$3,'ChatGPT data'!$A$3:$A$20000,"&lt;="&amp;P$4,'ChatGPT data'!$B$3:$B$20000,$A96),IF($B96="LinkedIn Ads",SUMIFS('LinkedIn data'!$I$3:$I$20000,'LinkedIn data'!$A$3:$A$20000,"&gt;="&amp;P$3,'LinkedIn data'!$A$3:$A$20000,"&lt;="&amp;P$4,'LinkedIn data'!$B$3:$B$20000,$A96),0)))))</f>
        <v/>
      </c>
      <c r="Q96" s="14" t="str">
        <f aca="false">IF($A96="","",IF($B96="Meta",SUMIFS('Meta data'!$I$3:$I$20000,'Meta data'!$A$3:$A$20000,"&gt;="&amp;Q$3,'Meta data'!$A$3:$A$20000,"&lt;="&amp;Q$4,'Meta data'!$B$3:$B$20000,$A96),IF($B96="Google Ads",SUMIFS('Google data'!$I$3:$I$20000,'Google data'!$A$3:$A$20000,"&gt;="&amp;Q$3,'Google data'!$A$3:$A$20000,"&lt;="&amp;Q$4,'Google data'!$B$3:$B$20000,$A96),IF($B96="ChatGPT Ads",SUMIFS('ChatGPT data'!$I$3:$I$20000,'ChatGPT data'!$A$3:$A$20000,"&gt;="&amp;Q$3,'ChatGPT data'!$A$3:$A$20000,"&lt;="&amp;Q$4,'ChatGPT data'!$B$3:$B$20000,$A96),IF($B96="LinkedIn Ads",SUMIFS('LinkedIn data'!$I$3:$I$20000,'LinkedIn data'!$A$3:$A$20000,"&gt;="&amp;Q$3,'LinkedIn data'!$A$3:$A$20000,"&lt;="&amp;Q$4,'LinkedIn data'!$B$3:$B$20000,$A96),0)))))</f>
        <v/>
      </c>
      <c r="R96" s="15" t="str">
        <f aca="false">IF($A96="","",SUM(F96:Q96))</f>
        <v/>
      </c>
      <c r="S96" s="37" t="str">
        <f aca="false">IF($A96="","",IF($B96="Meta",SUMIFS('Meta data'!$E$3:$E$20000,'Meta data'!$B$3:$B$20000,$A96),IF($B96="Google Ads",SUMIFS('Google data'!$E$3:$E$20000,'Google data'!$B$3:$B$20000,$A96),IF($B96="ChatGPT Ads",SUMIFS('ChatGPT data'!$E$3:$E$20000,'ChatGPT data'!$B$3:$B$20000,$A96),IF($B96="LinkedIn Ads",SUMIFS('LinkedIn data'!$E$3:$E$20000,'LinkedIn data'!$B$3:$B$20000,$A96),0)))))</f>
        <v/>
      </c>
      <c r="T96" s="37" t="str">
        <f aca="false">IF($A96="","",IF($B96="Meta",SUMIFS('Meta data'!$F$3:$F$20000,'Meta data'!$B$3:$B$20000,$A96),IF($B96="Google Ads",SUMIFS('Google data'!$F$3:$F$20000,'Google data'!$B$3:$B$20000,$A96),IF($B96="ChatGPT Ads",SUMIFS('ChatGPT data'!$F$3:$F$20000,'ChatGPT data'!$B$3:$B$20000,$A96),IF($B96="LinkedIn Ads",SUMIFS('LinkedIn data'!$F$3:$F$20000,'LinkedIn data'!$B$3:$B$20000,$A96),0)))))</f>
        <v/>
      </c>
      <c r="U96" s="38" t="str">
        <f aca="false">IF(OR($A96="",T96=0),"",R96/T96)</f>
        <v/>
      </c>
    </row>
    <row r="97" customFormat="false" ht="15" hidden="false" customHeight="false" outlineLevel="0" collapsed="false">
      <c r="A97" s="59"/>
      <c r="B97" s="59"/>
      <c r="C97" s="59"/>
      <c r="D97" s="59"/>
      <c r="E97" s="59"/>
      <c r="F97" s="14" t="str">
        <f aca="false">IF($A97="","",IF($B97="Meta",SUMIFS('Meta data'!$I$3:$I$20000,'Meta data'!$A$3:$A$20000,"&gt;="&amp;F$3,'Meta data'!$A$3:$A$20000,"&lt;="&amp;F$4,'Meta data'!$B$3:$B$20000,$A97),IF($B97="Google Ads",SUMIFS('Google data'!$I$3:$I$20000,'Google data'!$A$3:$A$20000,"&gt;="&amp;F$3,'Google data'!$A$3:$A$20000,"&lt;="&amp;F$4,'Google data'!$B$3:$B$20000,$A97),IF($B97="ChatGPT Ads",SUMIFS('ChatGPT data'!$I$3:$I$20000,'ChatGPT data'!$A$3:$A$20000,"&gt;="&amp;F$3,'ChatGPT data'!$A$3:$A$20000,"&lt;="&amp;F$4,'ChatGPT data'!$B$3:$B$20000,$A97),IF($B97="LinkedIn Ads",SUMIFS('LinkedIn data'!$I$3:$I$20000,'LinkedIn data'!$A$3:$A$20000,"&gt;="&amp;F$3,'LinkedIn data'!$A$3:$A$20000,"&lt;="&amp;F$4,'LinkedIn data'!$B$3:$B$20000,$A97),0)))))</f>
        <v/>
      </c>
      <c r="G97" s="14" t="str">
        <f aca="false">IF($A97="","",IF($B97="Meta",SUMIFS('Meta data'!$I$3:$I$20000,'Meta data'!$A$3:$A$20000,"&gt;="&amp;G$3,'Meta data'!$A$3:$A$20000,"&lt;="&amp;G$4,'Meta data'!$B$3:$B$20000,$A97),IF($B97="Google Ads",SUMIFS('Google data'!$I$3:$I$20000,'Google data'!$A$3:$A$20000,"&gt;="&amp;G$3,'Google data'!$A$3:$A$20000,"&lt;="&amp;G$4,'Google data'!$B$3:$B$20000,$A97),IF($B97="ChatGPT Ads",SUMIFS('ChatGPT data'!$I$3:$I$20000,'ChatGPT data'!$A$3:$A$20000,"&gt;="&amp;G$3,'ChatGPT data'!$A$3:$A$20000,"&lt;="&amp;G$4,'ChatGPT data'!$B$3:$B$20000,$A97),IF($B97="LinkedIn Ads",SUMIFS('LinkedIn data'!$I$3:$I$20000,'LinkedIn data'!$A$3:$A$20000,"&gt;="&amp;G$3,'LinkedIn data'!$A$3:$A$20000,"&lt;="&amp;G$4,'LinkedIn data'!$B$3:$B$20000,$A97),0)))))</f>
        <v/>
      </c>
      <c r="H97" s="14" t="str">
        <f aca="false">IF($A97="","",IF($B97="Meta",SUMIFS('Meta data'!$I$3:$I$20000,'Meta data'!$A$3:$A$20000,"&gt;="&amp;H$3,'Meta data'!$A$3:$A$20000,"&lt;="&amp;H$4,'Meta data'!$B$3:$B$20000,$A97),IF($B97="Google Ads",SUMIFS('Google data'!$I$3:$I$20000,'Google data'!$A$3:$A$20000,"&gt;="&amp;H$3,'Google data'!$A$3:$A$20000,"&lt;="&amp;H$4,'Google data'!$B$3:$B$20000,$A97),IF($B97="ChatGPT Ads",SUMIFS('ChatGPT data'!$I$3:$I$20000,'ChatGPT data'!$A$3:$A$20000,"&gt;="&amp;H$3,'ChatGPT data'!$A$3:$A$20000,"&lt;="&amp;H$4,'ChatGPT data'!$B$3:$B$20000,$A97),IF($B97="LinkedIn Ads",SUMIFS('LinkedIn data'!$I$3:$I$20000,'LinkedIn data'!$A$3:$A$20000,"&gt;="&amp;H$3,'LinkedIn data'!$A$3:$A$20000,"&lt;="&amp;H$4,'LinkedIn data'!$B$3:$B$20000,$A97),0)))))</f>
        <v/>
      </c>
      <c r="I97" s="14" t="str">
        <f aca="false">IF($A97="","",IF($B97="Meta",SUMIFS('Meta data'!$I$3:$I$20000,'Meta data'!$A$3:$A$20000,"&gt;="&amp;I$3,'Meta data'!$A$3:$A$20000,"&lt;="&amp;I$4,'Meta data'!$B$3:$B$20000,$A97),IF($B97="Google Ads",SUMIFS('Google data'!$I$3:$I$20000,'Google data'!$A$3:$A$20000,"&gt;="&amp;I$3,'Google data'!$A$3:$A$20000,"&lt;="&amp;I$4,'Google data'!$B$3:$B$20000,$A97),IF($B97="ChatGPT Ads",SUMIFS('ChatGPT data'!$I$3:$I$20000,'ChatGPT data'!$A$3:$A$20000,"&gt;="&amp;I$3,'ChatGPT data'!$A$3:$A$20000,"&lt;="&amp;I$4,'ChatGPT data'!$B$3:$B$20000,$A97),IF($B97="LinkedIn Ads",SUMIFS('LinkedIn data'!$I$3:$I$20000,'LinkedIn data'!$A$3:$A$20000,"&gt;="&amp;I$3,'LinkedIn data'!$A$3:$A$20000,"&lt;="&amp;I$4,'LinkedIn data'!$B$3:$B$20000,$A97),0)))))</f>
        <v/>
      </c>
      <c r="J97" s="14" t="str">
        <f aca="false">IF($A97="","",IF($B97="Meta",SUMIFS('Meta data'!$I$3:$I$20000,'Meta data'!$A$3:$A$20000,"&gt;="&amp;J$3,'Meta data'!$A$3:$A$20000,"&lt;="&amp;J$4,'Meta data'!$B$3:$B$20000,$A97),IF($B97="Google Ads",SUMIFS('Google data'!$I$3:$I$20000,'Google data'!$A$3:$A$20000,"&gt;="&amp;J$3,'Google data'!$A$3:$A$20000,"&lt;="&amp;J$4,'Google data'!$B$3:$B$20000,$A97),IF($B97="ChatGPT Ads",SUMIFS('ChatGPT data'!$I$3:$I$20000,'ChatGPT data'!$A$3:$A$20000,"&gt;="&amp;J$3,'ChatGPT data'!$A$3:$A$20000,"&lt;="&amp;J$4,'ChatGPT data'!$B$3:$B$20000,$A97),IF($B97="LinkedIn Ads",SUMIFS('LinkedIn data'!$I$3:$I$20000,'LinkedIn data'!$A$3:$A$20000,"&gt;="&amp;J$3,'LinkedIn data'!$A$3:$A$20000,"&lt;="&amp;J$4,'LinkedIn data'!$B$3:$B$20000,$A97),0)))))</f>
        <v/>
      </c>
      <c r="K97" s="14" t="str">
        <f aca="false">IF($A97="","",IF($B97="Meta",SUMIFS('Meta data'!$I$3:$I$20000,'Meta data'!$A$3:$A$20000,"&gt;="&amp;K$3,'Meta data'!$A$3:$A$20000,"&lt;="&amp;K$4,'Meta data'!$B$3:$B$20000,$A97),IF($B97="Google Ads",SUMIFS('Google data'!$I$3:$I$20000,'Google data'!$A$3:$A$20000,"&gt;="&amp;K$3,'Google data'!$A$3:$A$20000,"&lt;="&amp;K$4,'Google data'!$B$3:$B$20000,$A97),IF($B97="ChatGPT Ads",SUMIFS('ChatGPT data'!$I$3:$I$20000,'ChatGPT data'!$A$3:$A$20000,"&gt;="&amp;K$3,'ChatGPT data'!$A$3:$A$20000,"&lt;="&amp;K$4,'ChatGPT data'!$B$3:$B$20000,$A97),IF($B97="LinkedIn Ads",SUMIFS('LinkedIn data'!$I$3:$I$20000,'LinkedIn data'!$A$3:$A$20000,"&gt;="&amp;K$3,'LinkedIn data'!$A$3:$A$20000,"&lt;="&amp;K$4,'LinkedIn data'!$B$3:$B$20000,$A97),0)))))</f>
        <v/>
      </c>
      <c r="L97" s="14" t="str">
        <f aca="false">IF($A97="","",IF($B97="Meta",SUMIFS('Meta data'!$I$3:$I$20000,'Meta data'!$A$3:$A$20000,"&gt;="&amp;L$3,'Meta data'!$A$3:$A$20000,"&lt;="&amp;L$4,'Meta data'!$B$3:$B$20000,$A97),IF($B97="Google Ads",SUMIFS('Google data'!$I$3:$I$20000,'Google data'!$A$3:$A$20000,"&gt;="&amp;L$3,'Google data'!$A$3:$A$20000,"&lt;="&amp;L$4,'Google data'!$B$3:$B$20000,$A97),IF($B97="ChatGPT Ads",SUMIFS('ChatGPT data'!$I$3:$I$20000,'ChatGPT data'!$A$3:$A$20000,"&gt;="&amp;L$3,'ChatGPT data'!$A$3:$A$20000,"&lt;="&amp;L$4,'ChatGPT data'!$B$3:$B$20000,$A97),IF($B97="LinkedIn Ads",SUMIFS('LinkedIn data'!$I$3:$I$20000,'LinkedIn data'!$A$3:$A$20000,"&gt;="&amp;L$3,'LinkedIn data'!$A$3:$A$20000,"&lt;="&amp;L$4,'LinkedIn data'!$B$3:$B$20000,$A97),0)))))</f>
        <v/>
      </c>
      <c r="M97" s="14" t="str">
        <f aca="false">IF($A97="","",IF($B97="Meta",SUMIFS('Meta data'!$I$3:$I$20000,'Meta data'!$A$3:$A$20000,"&gt;="&amp;M$3,'Meta data'!$A$3:$A$20000,"&lt;="&amp;M$4,'Meta data'!$B$3:$B$20000,$A97),IF($B97="Google Ads",SUMIFS('Google data'!$I$3:$I$20000,'Google data'!$A$3:$A$20000,"&gt;="&amp;M$3,'Google data'!$A$3:$A$20000,"&lt;="&amp;M$4,'Google data'!$B$3:$B$20000,$A97),IF($B97="ChatGPT Ads",SUMIFS('ChatGPT data'!$I$3:$I$20000,'ChatGPT data'!$A$3:$A$20000,"&gt;="&amp;M$3,'ChatGPT data'!$A$3:$A$20000,"&lt;="&amp;M$4,'ChatGPT data'!$B$3:$B$20000,$A97),IF($B97="LinkedIn Ads",SUMIFS('LinkedIn data'!$I$3:$I$20000,'LinkedIn data'!$A$3:$A$20000,"&gt;="&amp;M$3,'LinkedIn data'!$A$3:$A$20000,"&lt;="&amp;M$4,'LinkedIn data'!$B$3:$B$20000,$A97),0)))))</f>
        <v/>
      </c>
      <c r="N97" s="14" t="str">
        <f aca="false">IF($A97="","",IF($B97="Meta",SUMIFS('Meta data'!$I$3:$I$20000,'Meta data'!$A$3:$A$20000,"&gt;="&amp;N$3,'Meta data'!$A$3:$A$20000,"&lt;="&amp;N$4,'Meta data'!$B$3:$B$20000,$A97),IF($B97="Google Ads",SUMIFS('Google data'!$I$3:$I$20000,'Google data'!$A$3:$A$20000,"&gt;="&amp;N$3,'Google data'!$A$3:$A$20000,"&lt;="&amp;N$4,'Google data'!$B$3:$B$20000,$A97),IF($B97="ChatGPT Ads",SUMIFS('ChatGPT data'!$I$3:$I$20000,'ChatGPT data'!$A$3:$A$20000,"&gt;="&amp;N$3,'ChatGPT data'!$A$3:$A$20000,"&lt;="&amp;N$4,'ChatGPT data'!$B$3:$B$20000,$A97),IF($B97="LinkedIn Ads",SUMIFS('LinkedIn data'!$I$3:$I$20000,'LinkedIn data'!$A$3:$A$20000,"&gt;="&amp;N$3,'LinkedIn data'!$A$3:$A$20000,"&lt;="&amp;N$4,'LinkedIn data'!$B$3:$B$20000,$A97),0)))))</f>
        <v/>
      </c>
      <c r="O97" s="14" t="str">
        <f aca="false">IF($A97="","",IF($B97="Meta",SUMIFS('Meta data'!$I$3:$I$20000,'Meta data'!$A$3:$A$20000,"&gt;="&amp;O$3,'Meta data'!$A$3:$A$20000,"&lt;="&amp;O$4,'Meta data'!$B$3:$B$20000,$A97),IF($B97="Google Ads",SUMIFS('Google data'!$I$3:$I$20000,'Google data'!$A$3:$A$20000,"&gt;="&amp;O$3,'Google data'!$A$3:$A$20000,"&lt;="&amp;O$4,'Google data'!$B$3:$B$20000,$A97),IF($B97="ChatGPT Ads",SUMIFS('ChatGPT data'!$I$3:$I$20000,'ChatGPT data'!$A$3:$A$20000,"&gt;="&amp;O$3,'ChatGPT data'!$A$3:$A$20000,"&lt;="&amp;O$4,'ChatGPT data'!$B$3:$B$20000,$A97),IF($B97="LinkedIn Ads",SUMIFS('LinkedIn data'!$I$3:$I$20000,'LinkedIn data'!$A$3:$A$20000,"&gt;="&amp;O$3,'LinkedIn data'!$A$3:$A$20000,"&lt;="&amp;O$4,'LinkedIn data'!$B$3:$B$20000,$A97),0)))))</f>
        <v/>
      </c>
      <c r="P97" s="14" t="str">
        <f aca="false">IF($A97="","",IF($B97="Meta",SUMIFS('Meta data'!$I$3:$I$20000,'Meta data'!$A$3:$A$20000,"&gt;="&amp;P$3,'Meta data'!$A$3:$A$20000,"&lt;="&amp;P$4,'Meta data'!$B$3:$B$20000,$A97),IF($B97="Google Ads",SUMIFS('Google data'!$I$3:$I$20000,'Google data'!$A$3:$A$20000,"&gt;="&amp;P$3,'Google data'!$A$3:$A$20000,"&lt;="&amp;P$4,'Google data'!$B$3:$B$20000,$A97),IF($B97="ChatGPT Ads",SUMIFS('ChatGPT data'!$I$3:$I$20000,'ChatGPT data'!$A$3:$A$20000,"&gt;="&amp;P$3,'ChatGPT data'!$A$3:$A$20000,"&lt;="&amp;P$4,'ChatGPT data'!$B$3:$B$20000,$A97),IF($B97="LinkedIn Ads",SUMIFS('LinkedIn data'!$I$3:$I$20000,'LinkedIn data'!$A$3:$A$20000,"&gt;="&amp;P$3,'LinkedIn data'!$A$3:$A$20000,"&lt;="&amp;P$4,'LinkedIn data'!$B$3:$B$20000,$A97),0)))))</f>
        <v/>
      </c>
      <c r="Q97" s="14" t="str">
        <f aca="false">IF($A97="","",IF($B97="Meta",SUMIFS('Meta data'!$I$3:$I$20000,'Meta data'!$A$3:$A$20000,"&gt;="&amp;Q$3,'Meta data'!$A$3:$A$20000,"&lt;="&amp;Q$4,'Meta data'!$B$3:$B$20000,$A97),IF($B97="Google Ads",SUMIFS('Google data'!$I$3:$I$20000,'Google data'!$A$3:$A$20000,"&gt;="&amp;Q$3,'Google data'!$A$3:$A$20000,"&lt;="&amp;Q$4,'Google data'!$B$3:$B$20000,$A97),IF($B97="ChatGPT Ads",SUMIFS('ChatGPT data'!$I$3:$I$20000,'ChatGPT data'!$A$3:$A$20000,"&gt;="&amp;Q$3,'ChatGPT data'!$A$3:$A$20000,"&lt;="&amp;Q$4,'ChatGPT data'!$B$3:$B$20000,$A97),IF($B97="LinkedIn Ads",SUMIFS('LinkedIn data'!$I$3:$I$20000,'LinkedIn data'!$A$3:$A$20000,"&gt;="&amp;Q$3,'LinkedIn data'!$A$3:$A$20000,"&lt;="&amp;Q$4,'LinkedIn data'!$B$3:$B$20000,$A97),0)))))</f>
        <v/>
      </c>
      <c r="R97" s="15" t="str">
        <f aca="false">IF($A97="","",SUM(F97:Q97))</f>
        <v/>
      </c>
      <c r="S97" s="37" t="str">
        <f aca="false">IF($A97="","",IF($B97="Meta",SUMIFS('Meta data'!$E$3:$E$20000,'Meta data'!$B$3:$B$20000,$A97),IF($B97="Google Ads",SUMIFS('Google data'!$E$3:$E$20000,'Google data'!$B$3:$B$20000,$A97),IF($B97="ChatGPT Ads",SUMIFS('ChatGPT data'!$E$3:$E$20000,'ChatGPT data'!$B$3:$B$20000,$A97),IF($B97="LinkedIn Ads",SUMIFS('LinkedIn data'!$E$3:$E$20000,'LinkedIn data'!$B$3:$B$20000,$A97),0)))))</f>
        <v/>
      </c>
      <c r="T97" s="37" t="str">
        <f aca="false">IF($A97="","",IF($B97="Meta",SUMIFS('Meta data'!$F$3:$F$20000,'Meta data'!$B$3:$B$20000,$A97),IF($B97="Google Ads",SUMIFS('Google data'!$F$3:$F$20000,'Google data'!$B$3:$B$20000,$A97),IF($B97="ChatGPT Ads",SUMIFS('ChatGPT data'!$F$3:$F$20000,'ChatGPT data'!$B$3:$B$20000,$A97),IF($B97="LinkedIn Ads",SUMIFS('LinkedIn data'!$F$3:$F$20000,'LinkedIn data'!$B$3:$B$20000,$A97),0)))))</f>
        <v/>
      </c>
      <c r="U97" s="38" t="str">
        <f aca="false">IF(OR($A97="",T97=0),"",R97/T97)</f>
        <v/>
      </c>
    </row>
    <row r="98" customFormat="false" ht="15" hidden="false" customHeight="false" outlineLevel="0" collapsed="false">
      <c r="A98" s="59"/>
      <c r="B98" s="59"/>
      <c r="C98" s="59"/>
      <c r="D98" s="59"/>
      <c r="E98" s="59"/>
      <c r="F98" s="14" t="str">
        <f aca="false">IF($A98="","",IF($B98="Meta",SUMIFS('Meta data'!$I$3:$I$20000,'Meta data'!$A$3:$A$20000,"&gt;="&amp;F$3,'Meta data'!$A$3:$A$20000,"&lt;="&amp;F$4,'Meta data'!$B$3:$B$20000,$A98),IF($B98="Google Ads",SUMIFS('Google data'!$I$3:$I$20000,'Google data'!$A$3:$A$20000,"&gt;="&amp;F$3,'Google data'!$A$3:$A$20000,"&lt;="&amp;F$4,'Google data'!$B$3:$B$20000,$A98),IF($B98="ChatGPT Ads",SUMIFS('ChatGPT data'!$I$3:$I$20000,'ChatGPT data'!$A$3:$A$20000,"&gt;="&amp;F$3,'ChatGPT data'!$A$3:$A$20000,"&lt;="&amp;F$4,'ChatGPT data'!$B$3:$B$20000,$A98),IF($B98="LinkedIn Ads",SUMIFS('LinkedIn data'!$I$3:$I$20000,'LinkedIn data'!$A$3:$A$20000,"&gt;="&amp;F$3,'LinkedIn data'!$A$3:$A$20000,"&lt;="&amp;F$4,'LinkedIn data'!$B$3:$B$20000,$A98),0)))))</f>
        <v/>
      </c>
      <c r="G98" s="14" t="str">
        <f aca="false">IF($A98="","",IF($B98="Meta",SUMIFS('Meta data'!$I$3:$I$20000,'Meta data'!$A$3:$A$20000,"&gt;="&amp;G$3,'Meta data'!$A$3:$A$20000,"&lt;="&amp;G$4,'Meta data'!$B$3:$B$20000,$A98),IF($B98="Google Ads",SUMIFS('Google data'!$I$3:$I$20000,'Google data'!$A$3:$A$20000,"&gt;="&amp;G$3,'Google data'!$A$3:$A$20000,"&lt;="&amp;G$4,'Google data'!$B$3:$B$20000,$A98),IF($B98="ChatGPT Ads",SUMIFS('ChatGPT data'!$I$3:$I$20000,'ChatGPT data'!$A$3:$A$20000,"&gt;="&amp;G$3,'ChatGPT data'!$A$3:$A$20000,"&lt;="&amp;G$4,'ChatGPT data'!$B$3:$B$20000,$A98),IF($B98="LinkedIn Ads",SUMIFS('LinkedIn data'!$I$3:$I$20000,'LinkedIn data'!$A$3:$A$20000,"&gt;="&amp;G$3,'LinkedIn data'!$A$3:$A$20000,"&lt;="&amp;G$4,'LinkedIn data'!$B$3:$B$20000,$A98),0)))))</f>
        <v/>
      </c>
      <c r="H98" s="14" t="str">
        <f aca="false">IF($A98="","",IF($B98="Meta",SUMIFS('Meta data'!$I$3:$I$20000,'Meta data'!$A$3:$A$20000,"&gt;="&amp;H$3,'Meta data'!$A$3:$A$20000,"&lt;="&amp;H$4,'Meta data'!$B$3:$B$20000,$A98),IF($B98="Google Ads",SUMIFS('Google data'!$I$3:$I$20000,'Google data'!$A$3:$A$20000,"&gt;="&amp;H$3,'Google data'!$A$3:$A$20000,"&lt;="&amp;H$4,'Google data'!$B$3:$B$20000,$A98),IF($B98="ChatGPT Ads",SUMIFS('ChatGPT data'!$I$3:$I$20000,'ChatGPT data'!$A$3:$A$20000,"&gt;="&amp;H$3,'ChatGPT data'!$A$3:$A$20000,"&lt;="&amp;H$4,'ChatGPT data'!$B$3:$B$20000,$A98),IF($B98="LinkedIn Ads",SUMIFS('LinkedIn data'!$I$3:$I$20000,'LinkedIn data'!$A$3:$A$20000,"&gt;="&amp;H$3,'LinkedIn data'!$A$3:$A$20000,"&lt;="&amp;H$4,'LinkedIn data'!$B$3:$B$20000,$A98),0)))))</f>
        <v/>
      </c>
      <c r="I98" s="14" t="str">
        <f aca="false">IF($A98="","",IF($B98="Meta",SUMIFS('Meta data'!$I$3:$I$20000,'Meta data'!$A$3:$A$20000,"&gt;="&amp;I$3,'Meta data'!$A$3:$A$20000,"&lt;="&amp;I$4,'Meta data'!$B$3:$B$20000,$A98),IF($B98="Google Ads",SUMIFS('Google data'!$I$3:$I$20000,'Google data'!$A$3:$A$20000,"&gt;="&amp;I$3,'Google data'!$A$3:$A$20000,"&lt;="&amp;I$4,'Google data'!$B$3:$B$20000,$A98),IF($B98="ChatGPT Ads",SUMIFS('ChatGPT data'!$I$3:$I$20000,'ChatGPT data'!$A$3:$A$20000,"&gt;="&amp;I$3,'ChatGPT data'!$A$3:$A$20000,"&lt;="&amp;I$4,'ChatGPT data'!$B$3:$B$20000,$A98),IF($B98="LinkedIn Ads",SUMIFS('LinkedIn data'!$I$3:$I$20000,'LinkedIn data'!$A$3:$A$20000,"&gt;="&amp;I$3,'LinkedIn data'!$A$3:$A$20000,"&lt;="&amp;I$4,'LinkedIn data'!$B$3:$B$20000,$A98),0)))))</f>
        <v/>
      </c>
      <c r="J98" s="14" t="str">
        <f aca="false">IF($A98="","",IF($B98="Meta",SUMIFS('Meta data'!$I$3:$I$20000,'Meta data'!$A$3:$A$20000,"&gt;="&amp;J$3,'Meta data'!$A$3:$A$20000,"&lt;="&amp;J$4,'Meta data'!$B$3:$B$20000,$A98),IF($B98="Google Ads",SUMIFS('Google data'!$I$3:$I$20000,'Google data'!$A$3:$A$20000,"&gt;="&amp;J$3,'Google data'!$A$3:$A$20000,"&lt;="&amp;J$4,'Google data'!$B$3:$B$20000,$A98),IF($B98="ChatGPT Ads",SUMIFS('ChatGPT data'!$I$3:$I$20000,'ChatGPT data'!$A$3:$A$20000,"&gt;="&amp;J$3,'ChatGPT data'!$A$3:$A$20000,"&lt;="&amp;J$4,'ChatGPT data'!$B$3:$B$20000,$A98),IF($B98="LinkedIn Ads",SUMIFS('LinkedIn data'!$I$3:$I$20000,'LinkedIn data'!$A$3:$A$20000,"&gt;="&amp;J$3,'LinkedIn data'!$A$3:$A$20000,"&lt;="&amp;J$4,'LinkedIn data'!$B$3:$B$20000,$A98),0)))))</f>
        <v/>
      </c>
      <c r="K98" s="14" t="str">
        <f aca="false">IF($A98="","",IF($B98="Meta",SUMIFS('Meta data'!$I$3:$I$20000,'Meta data'!$A$3:$A$20000,"&gt;="&amp;K$3,'Meta data'!$A$3:$A$20000,"&lt;="&amp;K$4,'Meta data'!$B$3:$B$20000,$A98),IF($B98="Google Ads",SUMIFS('Google data'!$I$3:$I$20000,'Google data'!$A$3:$A$20000,"&gt;="&amp;K$3,'Google data'!$A$3:$A$20000,"&lt;="&amp;K$4,'Google data'!$B$3:$B$20000,$A98),IF($B98="ChatGPT Ads",SUMIFS('ChatGPT data'!$I$3:$I$20000,'ChatGPT data'!$A$3:$A$20000,"&gt;="&amp;K$3,'ChatGPT data'!$A$3:$A$20000,"&lt;="&amp;K$4,'ChatGPT data'!$B$3:$B$20000,$A98),IF($B98="LinkedIn Ads",SUMIFS('LinkedIn data'!$I$3:$I$20000,'LinkedIn data'!$A$3:$A$20000,"&gt;="&amp;K$3,'LinkedIn data'!$A$3:$A$20000,"&lt;="&amp;K$4,'LinkedIn data'!$B$3:$B$20000,$A98),0)))))</f>
        <v/>
      </c>
      <c r="L98" s="14" t="str">
        <f aca="false">IF($A98="","",IF($B98="Meta",SUMIFS('Meta data'!$I$3:$I$20000,'Meta data'!$A$3:$A$20000,"&gt;="&amp;L$3,'Meta data'!$A$3:$A$20000,"&lt;="&amp;L$4,'Meta data'!$B$3:$B$20000,$A98),IF($B98="Google Ads",SUMIFS('Google data'!$I$3:$I$20000,'Google data'!$A$3:$A$20000,"&gt;="&amp;L$3,'Google data'!$A$3:$A$20000,"&lt;="&amp;L$4,'Google data'!$B$3:$B$20000,$A98),IF($B98="ChatGPT Ads",SUMIFS('ChatGPT data'!$I$3:$I$20000,'ChatGPT data'!$A$3:$A$20000,"&gt;="&amp;L$3,'ChatGPT data'!$A$3:$A$20000,"&lt;="&amp;L$4,'ChatGPT data'!$B$3:$B$20000,$A98),IF($B98="LinkedIn Ads",SUMIFS('LinkedIn data'!$I$3:$I$20000,'LinkedIn data'!$A$3:$A$20000,"&gt;="&amp;L$3,'LinkedIn data'!$A$3:$A$20000,"&lt;="&amp;L$4,'LinkedIn data'!$B$3:$B$20000,$A98),0)))))</f>
        <v/>
      </c>
      <c r="M98" s="14" t="str">
        <f aca="false">IF($A98="","",IF($B98="Meta",SUMIFS('Meta data'!$I$3:$I$20000,'Meta data'!$A$3:$A$20000,"&gt;="&amp;M$3,'Meta data'!$A$3:$A$20000,"&lt;="&amp;M$4,'Meta data'!$B$3:$B$20000,$A98),IF($B98="Google Ads",SUMIFS('Google data'!$I$3:$I$20000,'Google data'!$A$3:$A$20000,"&gt;="&amp;M$3,'Google data'!$A$3:$A$20000,"&lt;="&amp;M$4,'Google data'!$B$3:$B$20000,$A98),IF($B98="ChatGPT Ads",SUMIFS('ChatGPT data'!$I$3:$I$20000,'ChatGPT data'!$A$3:$A$20000,"&gt;="&amp;M$3,'ChatGPT data'!$A$3:$A$20000,"&lt;="&amp;M$4,'ChatGPT data'!$B$3:$B$20000,$A98),IF($B98="LinkedIn Ads",SUMIFS('LinkedIn data'!$I$3:$I$20000,'LinkedIn data'!$A$3:$A$20000,"&gt;="&amp;M$3,'LinkedIn data'!$A$3:$A$20000,"&lt;="&amp;M$4,'LinkedIn data'!$B$3:$B$20000,$A98),0)))))</f>
        <v/>
      </c>
      <c r="N98" s="14" t="str">
        <f aca="false">IF($A98="","",IF($B98="Meta",SUMIFS('Meta data'!$I$3:$I$20000,'Meta data'!$A$3:$A$20000,"&gt;="&amp;N$3,'Meta data'!$A$3:$A$20000,"&lt;="&amp;N$4,'Meta data'!$B$3:$B$20000,$A98),IF($B98="Google Ads",SUMIFS('Google data'!$I$3:$I$20000,'Google data'!$A$3:$A$20000,"&gt;="&amp;N$3,'Google data'!$A$3:$A$20000,"&lt;="&amp;N$4,'Google data'!$B$3:$B$20000,$A98),IF($B98="ChatGPT Ads",SUMIFS('ChatGPT data'!$I$3:$I$20000,'ChatGPT data'!$A$3:$A$20000,"&gt;="&amp;N$3,'ChatGPT data'!$A$3:$A$20000,"&lt;="&amp;N$4,'ChatGPT data'!$B$3:$B$20000,$A98),IF($B98="LinkedIn Ads",SUMIFS('LinkedIn data'!$I$3:$I$20000,'LinkedIn data'!$A$3:$A$20000,"&gt;="&amp;N$3,'LinkedIn data'!$A$3:$A$20000,"&lt;="&amp;N$4,'LinkedIn data'!$B$3:$B$20000,$A98),0)))))</f>
        <v/>
      </c>
      <c r="O98" s="14" t="str">
        <f aca="false">IF($A98="","",IF($B98="Meta",SUMIFS('Meta data'!$I$3:$I$20000,'Meta data'!$A$3:$A$20000,"&gt;="&amp;O$3,'Meta data'!$A$3:$A$20000,"&lt;="&amp;O$4,'Meta data'!$B$3:$B$20000,$A98),IF($B98="Google Ads",SUMIFS('Google data'!$I$3:$I$20000,'Google data'!$A$3:$A$20000,"&gt;="&amp;O$3,'Google data'!$A$3:$A$20000,"&lt;="&amp;O$4,'Google data'!$B$3:$B$20000,$A98),IF($B98="ChatGPT Ads",SUMIFS('ChatGPT data'!$I$3:$I$20000,'ChatGPT data'!$A$3:$A$20000,"&gt;="&amp;O$3,'ChatGPT data'!$A$3:$A$20000,"&lt;="&amp;O$4,'ChatGPT data'!$B$3:$B$20000,$A98),IF($B98="LinkedIn Ads",SUMIFS('LinkedIn data'!$I$3:$I$20000,'LinkedIn data'!$A$3:$A$20000,"&gt;="&amp;O$3,'LinkedIn data'!$A$3:$A$20000,"&lt;="&amp;O$4,'LinkedIn data'!$B$3:$B$20000,$A98),0)))))</f>
        <v/>
      </c>
      <c r="P98" s="14" t="str">
        <f aca="false">IF($A98="","",IF($B98="Meta",SUMIFS('Meta data'!$I$3:$I$20000,'Meta data'!$A$3:$A$20000,"&gt;="&amp;P$3,'Meta data'!$A$3:$A$20000,"&lt;="&amp;P$4,'Meta data'!$B$3:$B$20000,$A98),IF($B98="Google Ads",SUMIFS('Google data'!$I$3:$I$20000,'Google data'!$A$3:$A$20000,"&gt;="&amp;P$3,'Google data'!$A$3:$A$20000,"&lt;="&amp;P$4,'Google data'!$B$3:$B$20000,$A98),IF($B98="ChatGPT Ads",SUMIFS('ChatGPT data'!$I$3:$I$20000,'ChatGPT data'!$A$3:$A$20000,"&gt;="&amp;P$3,'ChatGPT data'!$A$3:$A$20000,"&lt;="&amp;P$4,'ChatGPT data'!$B$3:$B$20000,$A98),IF($B98="LinkedIn Ads",SUMIFS('LinkedIn data'!$I$3:$I$20000,'LinkedIn data'!$A$3:$A$20000,"&gt;="&amp;P$3,'LinkedIn data'!$A$3:$A$20000,"&lt;="&amp;P$4,'LinkedIn data'!$B$3:$B$20000,$A98),0)))))</f>
        <v/>
      </c>
      <c r="Q98" s="14" t="str">
        <f aca="false">IF($A98="","",IF($B98="Meta",SUMIFS('Meta data'!$I$3:$I$20000,'Meta data'!$A$3:$A$20000,"&gt;="&amp;Q$3,'Meta data'!$A$3:$A$20000,"&lt;="&amp;Q$4,'Meta data'!$B$3:$B$20000,$A98),IF($B98="Google Ads",SUMIFS('Google data'!$I$3:$I$20000,'Google data'!$A$3:$A$20000,"&gt;="&amp;Q$3,'Google data'!$A$3:$A$20000,"&lt;="&amp;Q$4,'Google data'!$B$3:$B$20000,$A98),IF($B98="ChatGPT Ads",SUMIFS('ChatGPT data'!$I$3:$I$20000,'ChatGPT data'!$A$3:$A$20000,"&gt;="&amp;Q$3,'ChatGPT data'!$A$3:$A$20000,"&lt;="&amp;Q$4,'ChatGPT data'!$B$3:$B$20000,$A98),IF($B98="LinkedIn Ads",SUMIFS('LinkedIn data'!$I$3:$I$20000,'LinkedIn data'!$A$3:$A$20000,"&gt;="&amp;Q$3,'LinkedIn data'!$A$3:$A$20000,"&lt;="&amp;Q$4,'LinkedIn data'!$B$3:$B$20000,$A98),0)))))</f>
        <v/>
      </c>
      <c r="R98" s="15" t="str">
        <f aca="false">IF($A98="","",SUM(F98:Q98))</f>
        <v/>
      </c>
      <c r="S98" s="37" t="str">
        <f aca="false">IF($A98="","",IF($B98="Meta",SUMIFS('Meta data'!$E$3:$E$20000,'Meta data'!$B$3:$B$20000,$A98),IF($B98="Google Ads",SUMIFS('Google data'!$E$3:$E$20000,'Google data'!$B$3:$B$20000,$A98),IF($B98="ChatGPT Ads",SUMIFS('ChatGPT data'!$E$3:$E$20000,'ChatGPT data'!$B$3:$B$20000,$A98),IF($B98="LinkedIn Ads",SUMIFS('LinkedIn data'!$E$3:$E$20000,'LinkedIn data'!$B$3:$B$20000,$A98),0)))))</f>
        <v/>
      </c>
      <c r="T98" s="37" t="str">
        <f aca="false">IF($A98="","",IF($B98="Meta",SUMIFS('Meta data'!$F$3:$F$20000,'Meta data'!$B$3:$B$20000,$A98),IF($B98="Google Ads",SUMIFS('Google data'!$F$3:$F$20000,'Google data'!$B$3:$B$20000,$A98),IF($B98="ChatGPT Ads",SUMIFS('ChatGPT data'!$F$3:$F$20000,'ChatGPT data'!$B$3:$B$20000,$A98),IF($B98="LinkedIn Ads",SUMIFS('LinkedIn data'!$F$3:$F$20000,'LinkedIn data'!$B$3:$B$20000,$A98),0)))))</f>
        <v/>
      </c>
      <c r="U98" s="38" t="str">
        <f aca="false">IF(OR($A98="",T98=0),"",R98/T98)</f>
        <v/>
      </c>
    </row>
    <row r="99" customFormat="false" ht="15" hidden="false" customHeight="false" outlineLevel="0" collapsed="false">
      <c r="A99" s="59"/>
      <c r="B99" s="59"/>
      <c r="C99" s="59"/>
      <c r="D99" s="59"/>
      <c r="E99" s="59"/>
      <c r="F99" s="14" t="str">
        <f aca="false">IF($A99="","",IF($B99="Meta",SUMIFS('Meta data'!$I$3:$I$20000,'Meta data'!$A$3:$A$20000,"&gt;="&amp;F$3,'Meta data'!$A$3:$A$20000,"&lt;="&amp;F$4,'Meta data'!$B$3:$B$20000,$A99),IF($B99="Google Ads",SUMIFS('Google data'!$I$3:$I$20000,'Google data'!$A$3:$A$20000,"&gt;="&amp;F$3,'Google data'!$A$3:$A$20000,"&lt;="&amp;F$4,'Google data'!$B$3:$B$20000,$A99),IF($B99="ChatGPT Ads",SUMIFS('ChatGPT data'!$I$3:$I$20000,'ChatGPT data'!$A$3:$A$20000,"&gt;="&amp;F$3,'ChatGPT data'!$A$3:$A$20000,"&lt;="&amp;F$4,'ChatGPT data'!$B$3:$B$20000,$A99),IF($B99="LinkedIn Ads",SUMIFS('LinkedIn data'!$I$3:$I$20000,'LinkedIn data'!$A$3:$A$20000,"&gt;="&amp;F$3,'LinkedIn data'!$A$3:$A$20000,"&lt;="&amp;F$4,'LinkedIn data'!$B$3:$B$20000,$A99),0)))))</f>
        <v/>
      </c>
      <c r="G99" s="14" t="str">
        <f aca="false">IF($A99="","",IF($B99="Meta",SUMIFS('Meta data'!$I$3:$I$20000,'Meta data'!$A$3:$A$20000,"&gt;="&amp;G$3,'Meta data'!$A$3:$A$20000,"&lt;="&amp;G$4,'Meta data'!$B$3:$B$20000,$A99),IF($B99="Google Ads",SUMIFS('Google data'!$I$3:$I$20000,'Google data'!$A$3:$A$20000,"&gt;="&amp;G$3,'Google data'!$A$3:$A$20000,"&lt;="&amp;G$4,'Google data'!$B$3:$B$20000,$A99),IF($B99="ChatGPT Ads",SUMIFS('ChatGPT data'!$I$3:$I$20000,'ChatGPT data'!$A$3:$A$20000,"&gt;="&amp;G$3,'ChatGPT data'!$A$3:$A$20000,"&lt;="&amp;G$4,'ChatGPT data'!$B$3:$B$20000,$A99),IF($B99="LinkedIn Ads",SUMIFS('LinkedIn data'!$I$3:$I$20000,'LinkedIn data'!$A$3:$A$20000,"&gt;="&amp;G$3,'LinkedIn data'!$A$3:$A$20000,"&lt;="&amp;G$4,'LinkedIn data'!$B$3:$B$20000,$A99),0)))))</f>
        <v/>
      </c>
      <c r="H99" s="14" t="str">
        <f aca="false">IF($A99="","",IF($B99="Meta",SUMIFS('Meta data'!$I$3:$I$20000,'Meta data'!$A$3:$A$20000,"&gt;="&amp;H$3,'Meta data'!$A$3:$A$20000,"&lt;="&amp;H$4,'Meta data'!$B$3:$B$20000,$A99),IF($B99="Google Ads",SUMIFS('Google data'!$I$3:$I$20000,'Google data'!$A$3:$A$20000,"&gt;="&amp;H$3,'Google data'!$A$3:$A$20000,"&lt;="&amp;H$4,'Google data'!$B$3:$B$20000,$A99),IF($B99="ChatGPT Ads",SUMIFS('ChatGPT data'!$I$3:$I$20000,'ChatGPT data'!$A$3:$A$20000,"&gt;="&amp;H$3,'ChatGPT data'!$A$3:$A$20000,"&lt;="&amp;H$4,'ChatGPT data'!$B$3:$B$20000,$A99),IF($B99="LinkedIn Ads",SUMIFS('LinkedIn data'!$I$3:$I$20000,'LinkedIn data'!$A$3:$A$20000,"&gt;="&amp;H$3,'LinkedIn data'!$A$3:$A$20000,"&lt;="&amp;H$4,'LinkedIn data'!$B$3:$B$20000,$A99),0)))))</f>
        <v/>
      </c>
      <c r="I99" s="14" t="str">
        <f aca="false">IF($A99="","",IF($B99="Meta",SUMIFS('Meta data'!$I$3:$I$20000,'Meta data'!$A$3:$A$20000,"&gt;="&amp;I$3,'Meta data'!$A$3:$A$20000,"&lt;="&amp;I$4,'Meta data'!$B$3:$B$20000,$A99),IF($B99="Google Ads",SUMIFS('Google data'!$I$3:$I$20000,'Google data'!$A$3:$A$20000,"&gt;="&amp;I$3,'Google data'!$A$3:$A$20000,"&lt;="&amp;I$4,'Google data'!$B$3:$B$20000,$A99),IF($B99="ChatGPT Ads",SUMIFS('ChatGPT data'!$I$3:$I$20000,'ChatGPT data'!$A$3:$A$20000,"&gt;="&amp;I$3,'ChatGPT data'!$A$3:$A$20000,"&lt;="&amp;I$4,'ChatGPT data'!$B$3:$B$20000,$A99),IF($B99="LinkedIn Ads",SUMIFS('LinkedIn data'!$I$3:$I$20000,'LinkedIn data'!$A$3:$A$20000,"&gt;="&amp;I$3,'LinkedIn data'!$A$3:$A$20000,"&lt;="&amp;I$4,'LinkedIn data'!$B$3:$B$20000,$A99),0)))))</f>
        <v/>
      </c>
      <c r="J99" s="14" t="str">
        <f aca="false">IF($A99="","",IF($B99="Meta",SUMIFS('Meta data'!$I$3:$I$20000,'Meta data'!$A$3:$A$20000,"&gt;="&amp;J$3,'Meta data'!$A$3:$A$20000,"&lt;="&amp;J$4,'Meta data'!$B$3:$B$20000,$A99),IF($B99="Google Ads",SUMIFS('Google data'!$I$3:$I$20000,'Google data'!$A$3:$A$20000,"&gt;="&amp;J$3,'Google data'!$A$3:$A$20000,"&lt;="&amp;J$4,'Google data'!$B$3:$B$20000,$A99),IF($B99="ChatGPT Ads",SUMIFS('ChatGPT data'!$I$3:$I$20000,'ChatGPT data'!$A$3:$A$20000,"&gt;="&amp;J$3,'ChatGPT data'!$A$3:$A$20000,"&lt;="&amp;J$4,'ChatGPT data'!$B$3:$B$20000,$A99),IF($B99="LinkedIn Ads",SUMIFS('LinkedIn data'!$I$3:$I$20000,'LinkedIn data'!$A$3:$A$20000,"&gt;="&amp;J$3,'LinkedIn data'!$A$3:$A$20000,"&lt;="&amp;J$4,'LinkedIn data'!$B$3:$B$20000,$A99),0)))))</f>
        <v/>
      </c>
      <c r="K99" s="14" t="str">
        <f aca="false">IF($A99="","",IF($B99="Meta",SUMIFS('Meta data'!$I$3:$I$20000,'Meta data'!$A$3:$A$20000,"&gt;="&amp;K$3,'Meta data'!$A$3:$A$20000,"&lt;="&amp;K$4,'Meta data'!$B$3:$B$20000,$A99),IF($B99="Google Ads",SUMIFS('Google data'!$I$3:$I$20000,'Google data'!$A$3:$A$20000,"&gt;="&amp;K$3,'Google data'!$A$3:$A$20000,"&lt;="&amp;K$4,'Google data'!$B$3:$B$20000,$A99),IF($B99="ChatGPT Ads",SUMIFS('ChatGPT data'!$I$3:$I$20000,'ChatGPT data'!$A$3:$A$20000,"&gt;="&amp;K$3,'ChatGPT data'!$A$3:$A$20000,"&lt;="&amp;K$4,'ChatGPT data'!$B$3:$B$20000,$A99),IF($B99="LinkedIn Ads",SUMIFS('LinkedIn data'!$I$3:$I$20000,'LinkedIn data'!$A$3:$A$20000,"&gt;="&amp;K$3,'LinkedIn data'!$A$3:$A$20000,"&lt;="&amp;K$4,'LinkedIn data'!$B$3:$B$20000,$A99),0)))))</f>
        <v/>
      </c>
      <c r="L99" s="14" t="str">
        <f aca="false">IF($A99="","",IF($B99="Meta",SUMIFS('Meta data'!$I$3:$I$20000,'Meta data'!$A$3:$A$20000,"&gt;="&amp;L$3,'Meta data'!$A$3:$A$20000,"&lt;="&amp;L$4,'Meta data'!$B$3:$B$20000,$A99),IF($B99="Google Ads",SUMIFS('Google data'!$I$3:$I$20000,'Google data'!$A$3:$A$20000,"&gt;="&amp;L$3,'Google data'!$A$3:$A$20000,"&lt;="&amp;L$4,'Google data'!$B$3:$B$20000,$A99),IF($B99="ChatGPT Ads",SUMIFS('ChatGPT data'!$I$3:$I$20000,'ChatGPT data'!$A$3:$A$20000,"&gt;="&amp;L$3,'ChatGPT data'!$A$3:$A$20000,"&lt;="&amp;L$4,'ChatGPT data'!$B$3:$B$20000,$A99),IF($B99="LinkedIn Ads",SUMIFS('LinkedIn data'!$I$3:$I$20000,'LinkedIn data'!$A$3:$A$20000,"&gt;="&amp;L$3,'LinkedIn data'!$A$3:$A$20000,"&lt;="&amp;L$4,'LinkedIn data'!$B$3:$B$20000,$A99),0)))))</f>
        <v/>
      </c>
      <c r="M99" s="14" t="str">
        <f aca="false">IF($A99="","",IF($B99="Meta",SUMIFS('Meta data'!$I$3:$I$20000,'Meta data'!$A$3:$A$20000,"&gt;="&amp;M$3,'Meta data'!$A$3:$A$20000,"&lt;="&amp;M$4,'Meta data'!$B$3:$B$20000,$A99),IF($B99="Google Ads",SUMIFS('Google data'!$I$3:$I$20000,'Google data'!$A$3:$A$20000,"&gt;="&amp;M$3,'Google data'!$A$3:$A$20000,"&lt;="&amp;M$4,'Google data'!$B$3:$B$20000,$A99),IF($B99="ChatGPT Ads",SUMIFS('ChatGPT data'!$I$3:$I$20000,'ChatGPT data'!$A$3:$A$20000,"&gt;="&amp;M$3,'ChatGPT data'!$A$3:$A$20000,"&lt;="&amp;M$4,'ChatGPT data'!$B$3:$B$20000,$A99),IF($B99="LinkedIn Ads",SUMIFS('LinkedIn data'!$I$3:$I$20000,'LinkedIn data'!$A$3:$A$20000,"&gt;="&amp;M$3,'LinkedIn data'!$A$3:$A$20000,"&lt;="&amp;M$4,'LinkedIn data'!$B$3:$B$20000,$A99),0)))))</f>
        <v/>
      </c>
      <c r="N99" s="14" t="str">
        <f aca="false">IF($A99="","",IF($B99="Meta",SUMIFS('Meta data'!$I$3:$I$20000,'Meta data'!$A$3:$A$20000,"&gt;="&amp;N$3,'Meta data'!$A$3:$A$20000,"&lt;="&amp;N$4,'Meta data'!$B$3:$B$20000,$A99),IF($B99="Google Ads",SUMIFS('Google data'!$I$3:$I$20000,'Google data'!$A$3:$A$20000,"&gt;="&amp;N$3,'Google data'!$A$3:$A$20000,"&lt;="&amp;N$4,'Google data'!$B$3:$B$20000,$A99),IF($B99="ChatGPT Ads",SUMIFS('ChatGPT data'!$I$3:$I$20000,'ChatGPT data'!$A$3:$A$20000,"&gt;="&amp;N$3,'ChatGPT data'!$A$3:$A$20000,"&lt;="&amp;N$4,'ChatGPT data'!$B$3:$B$20000,$A99),IF($B99="LinkedIn Ads",SUMIFS('LinkedIn data'!$I$3:$I$20000,'LinkedIn data'!$A$3:$A$20000,"&gt;="&amp;N$3,'LinkedIn data'!$A$3:$A$20000,"&lt;="&amp;N$4,'LinkedIn data'!$B$3:$B$20000,$A99),0)))))</f>
        <v/>
      </c>
      <c r="O99" s="14" t="str">
        <f aca="false">IF($A99="","",IF($B99="Meta",SUMIFS('Meta data'!$I$3:$I$20000,'Meta data'!$A$3:$A$20000,"&gt;="&amp;O$3,'Meta data'!$A$3:$A$20000,"&lt;="&amp;O$4,'Meta data'!$B$3:$B$20000,$A99),IF($B99="Google Ads",SUMIFS('Google data'!$I$3:$I$20000,'Google data'!$A$3:$A$20000,"&gt;="&amp;O$3,'Google data'!$A$3:$A$20000,"&lt;="&amp;O$4,'Google data'!$B$3:$B$20000,$A99),IF($B99="ChatGPT Ads",SUMIFS('ChatGPT data'!$I$3:$I$20000,'ChatGPT data'!$A$3:$A$20000,"&gt;="&amp;O$3,'ChatGPT data'!$A$3:$A$20000,"&lt;="&amp;O$4,'ChatGPT data'!$B$3:$B$20000,$A99),IF($B99="LinkedIn Ads",SUMIFS('LinkedIn data'!$I$3:$I$20000,'LinkedIn data'!$A$3:$A$20000,"&gt;="&amp;O$3,'LinkedIn data'!$A$3:$A$20000,"&lt;="&amp;O$4,'LinkedIn data'!$B$3:$B$20000,$A99),0)))))</f>
        <v/>
      </c>
      <c r="P99" s="14" t="str">
        <f aca="false">IF($A99="","",IF($B99="Meta",SUMIFS('Meta data'!$I$3:$I$20000,'Meta data'!$A$3:$A$20000,"&gt;="&amp;P$3,'Meta data'!$A$3:$A$20000,"&lt;="&amp;P$4,'Meta data'!$B$3:$B$20000,$A99),IF($B99="Google Ads",SUMIFS('Google data'!$I$3:$I$20000,'Google data'!$A$3:$A$20000,"&gt;="&amp;P$3,'Google data'!$A$3:$A$20000,"&lt;="&amp;P$4,'Google data'!$B$3:$B$20000,$A99),IF($B99="ChatGPT Ads",SUMIFS('ChatGPT data'!$I$3:$I$20000,'ChatGPT data'!$A$3:$A$20000,"&gt;="&amp;P$3,'ChatGPT data'!$A$3:$A$20000,"&lt;="&amp;P$4,'ChatGPT data'!$B$3:$B$20000,$A99),IF($B99="LinkedIn Ads",SUMIFS('LinkedIn data'!$I$3:$I$20000,'LinkedIn data'!$A$3:$A$20000,"&gt;="&amp;P$3,'LinkedIn data'!$A$3:$A$20000,"&lt;="&amp;P$4,'LinkedIn data'!$B$3:$B$20000,$A99),0)))))</f>
        <v/>
      </c>
      <c r="Q99" s="14" t="str">
        <f aca="false">IF($A99="","",IF($B99="Meta",SUMIFS('Meta data'!$I$3:$I$20000,'Meta data'!$A$3:$A$20000,"&gt;="&amp;Q$3,'Meta data'!$A$3:$A$20000,"&lt;="&amp;Q$4,'Meta data'!$B$3:$B$20000,$A99),IF($B99="Google Ads",SUMIFS('Google data'!$I$3:$I$20000,'Google data'!$A$3:$A$20000,"&gt;="&amp;Q$3,'Google data'!$A$3:$A$20000,"&lt;="&amp;Q$4,'Google data'!$B$3:$B$20000,$A99),IF($B99="ChatGPT Ads",SUMIFS('ChatGPT data'!$I$3:$I$20000,'ChatGPT data'!$A$3:$A$20000,"&gt;="&amp;Q$3,'ChatGPT data'!$A$3:$A$20000,"&lt;="&amp;Q$4,'ChatGPT data'!$B$3:$B$20000,$A99),IF($B99="LinkedIn Ads",SUMIFS('LinkedIn data'!$I$3:$I$20000,'LinkedIn data'!$A$3:$A$20000,"&gt;="&amp;Q$3,'LinkedIn data'!$A$3:$A$20000,"&lt;="&amp;Q$4,'LinkedIn data'!$B$3:$B$20000,$A99),0)))))</f>
        <v/>
      </c>
      <c r="R99" s="15" t="str">
        <f aca="false">IF($A99="","",SUM(F99:Q99))</f>
        <v/>
      </c>
      <c r="S99" s="37" t="str">
        <f aca="false">IF($A99="","",IF($B99="Meta",SUMIFS('Meta data'!$E$3:$E$20000,'Meta data'!$B$3:$B$20000,$A99),IF($B99="Google Ads",SUMIFS('Google data'!$E$3:$E$20000,'Google data'!$B$3:$B$20000,$A99),IF($B99="ChatGPT Ads",SUMIFS('ChatGPT data'!$E$3:$E$20000,'ChatGPT data'!$B$3:$B$20000,$A99),IF($B99="LinkedIn Ads",SUMIFS('LinkedIn data'!$E$3:$E$20000,'LinkedIn data'!$B$3:$B$20000,$A99),0)))))</f>
        <v/>
      </c>
      <c r="T99" s="37" t="str">
        <f aca="false">IF($A99="","",IF($B99="Meta",SUMIFS('Meta data'!$F$3:$F$20000,'Meta data'!$B$3:$B$20000,$A99),IF($B99="Google Ads",SUMIFS('Google data'!$F$3:$F$20000,'Google data'!$B$3:$B$20000,$A99),IF($B99="ChatGPT Ads",SUMIFS('ChatGPT data'!$F$3:$F$20000,'ChatGPT data'!$B$3:$B$20000,$A99),IF($B99="LinkedIn Ads",SUMIFS('LinkedIn data'!$F$3:$F$20000,'LinkedIn data'!$B$3:$B$20000,$A99),0)))))</f>
        <v/>
      </c>
      <c r="U99" s="38" t="str">
        <f aca="false">IF(OR($A99="",T99=0),"",R99/T99)</f>
        <v/>
      </c>
    </row>
    <row r="100" customFormat="false" ht="15" hidden="false" customHeight="false" outlineLevel="0" collapsed="false">
      <c r="A100" s="59"/>
      <c r="B100" s="59"/>
      <c r="C100" s="59"/>
      <c r="D100" s="59"/>
      <c r="E100" s="59"/>
      <c r="F100" s="14" t="str">
        <f aca="false">IF($A100="","",IF($B100="Meta",SUMIFS('Meta data'!$I$3:$I$20000,'Meta data'!$A$3:$A$20000,"&gt;="&amp;F$3,'Meta data'!$A$3:$A$20000,"&lt;="&amp;F$4,'Meta data'!$B$3:$B$20000,$A100),IF($B100="Google Ads",SUMIFS('Google data'!$I$3:$I$20000,'Google data'!$A$3:$A$20000,"&gt;="&amp;F$3,'Google data'!$A$3:$A$20000,"&lt;="&amp;F$4,'Google data'!$B$3:$B$20000,$A100),IF($B100="ChatGPT Ads",SUMIFS('ChatGPT data'!$I$3:$I$20000,'ChatGPT data'!$A$3:$A$20000,"&gt;="&amp;F$3,'ChatGPT data'!$A$3:$A$20000,"&lt;="&amp;F$4,'ChatGPT data'!$B$3:$B$20000,$A100),IF($B100="LinkedIn Ads",SUMIFS('LinkedIn data'!$I$3:$I$20000,'LinkedIn data'!$A$3:$A$20000,"&gt;="&amp;F$3,'LinkedIn data'!$A$3:$A$20000,"&lt;="&amp;F$4,'LinkedIn data'!$B$3:$B$20000,$A100),0)))))</f>
        <v/>
      </c>
      <c r="G100" s="14" t="str">
        <f aca="false">IF($A100="","",IF($B100="Meta",SUMIFS('Meta data'!$I$3:$I$20000,'Meta data'!$A$3:$A$20000,"&gt;="&amp;G$3,'Meta data'!$A$3:$A$20000,"&lt;="&amp;G$4,'Meta data'!$B$3:$B$20000,$A100),IF($B100="Google Ads",SUMIFS('Google data'!$I$3:$I$20000,'Google data'!$A$3:$A$20000,"&gt;="&amp;G$3,'Google data'!$A$3:$A$20000,"&lt;="&amp;G$4,'Google data'!$B$3:$B$20000,$A100),IF($B100="ChatGPT Ads",SUMIFS('ChatGPT data'!$I$3:$I$20000,'ChatGPT data'!$A$3:$A$20000,"&gt;="&amp;G$3,'ChatGPT data'!$A$3:$A$20000,"&lt;="&amp;G$4,'ChatGPT data'!$B$3:$B$20000,$A100),IF($B100="LinkedIn Ads",SUMIFS('LinkedIn data'!$I$3:$I$20000,'LinkedIn data'!$A$3:$A$20000,"&gt;="&amp;G$3,'LinkedIn data'!$A$3:$A$20000,"&lt;="&amp;G$4,'LinkedIn data'!$B$3:$B$20000,$A100),0)))))</f>
        <v/>
      </c>
      <c r="H100" s="14" t="str">
        <f aca="false">IF($A100="","",IF($B100="Meta",SUMIFS('Meta data'!$I$3:$I$20000,'Meta data'!$A$3:$A$20000,"&gt;="&amp;H$3,'Meta data'!$A$3:$A$20000,"&lt;="&amp;H$4,'Meta data'!$B$3:$B$20000,$A100),IF($B100="Google Ads",SUMIFS('Google data'!$I$3:$I$20000,'Google data'!$A$3:$A$20000,"&gt;="&amp;H$3,'Google data'!$A$3:$A$20000,"&lt;="&amp;H$4,'Google data'!$B$3:$B$20000,$A100),IF($B100="ChatGPT Ads",SUMIFS('ChatGPT data'!$I$3:$I$20000,'ChatGPT data'!$A$3:$A$20000,"&gt;="&amp;H$3,'ChatGPT data'!$A$3:$A$20000,"&lt;="&amp;H$4,'ChatGPT data'!$B$3:$B$20000,$A100),IF($B100="LinkedIn Ads",SUMIFS('LinkedIn data'!$I$3:$I$20000,'LinkedIn data'!$A$3:$A$20000,"&gt;="&amp;H$3,'LinkedIn data'!$A$3:$A$20000,"&lt;="&amp;H$4,'LinkedIn data'!$B$3:$B$20000,$A100),0)))))</f>
        <v/>
      </c>
      <c r="I100" s="14" t="str">
        <f aca="false">IF($A100="","",IF($B100="Meta",SUMIFS('Meta data'!$I$3:$I$20000,'Meta data'!$A$3:$A$20000,"&gt;="&amp;I$3,'Meta data'!$A$3:$A$20000,"&lt;="&amp;I$4,'Meta data'!$B$3:$B$20000,$A100),IF($B100="Google Ads",SUMIFS('Google data'!$I$3:$I$20000,'Google data'!$A$3:$A$20000,"&gt;="&amp;I$3,'Google data'!$A$3:$A$20000,"&lt;="&amp;I$4,'Google data'!$B$3:$B$20000,$A100),IF($B100="ChatGPT Ads",SUMIFS('ChatGPT data'!$I$3:$I$20000,'ChatGPT data'!$A$3:$A$20000,"&gt;="&amp;I$3,'ChatGPT data'!$A$3:$A$20000,"&lt;="&amp;I$4,'ChatGPT data'!$B$3:$B$20000,$A100),IF($B100="LinkedIn Ads",SUMIFS('LinkedIn data'!$I$3:$I$20000,'LinkedIn data'!$A$3:$A$20000,"&gt;="&amp;I$3,'LinkedIn data'!$A$3:$A$20000,"&lt;="&amp;I$4,'LinkedIn data'!$B$3:$B$20000,$A100),0)))))</f>
        <v/>
      </c>
      <c r="J100" s="14" t="str">
        <f aca="false">IF($A100="","",IF($B100="Meta",SUMIFS('Meta data'!$I$3:$I$20000,'Meta data'!$A$3:$A$20000,"&gt;="&amp;J$3,'Meta data'!$A$3:$A$20000,"&lt;="&amp;J$4,'Meta data'!$B$3:$B$20000,$A100),IF($B100="Google Ads",SUMIFS('Google data'!$I$3:$I$20000,'Google data'!$A$3:$A$20000,"&gt;="&amp;J$3,'Google data'!$A$3:$A$20000,"&lt;="&amp;J$4,'Google data'!$B$3:$B$20000,$A100),IF($B100="ChatGPT Ads",SUMIFS('ChatGPT data'!$I$3:$I$20000,'ChatGPT data'!$A$3:$A$20000,"&gt;="&amp;J$3,'ChatGPT data'!$A$3:$A$20000,"&lt;="&amp;J$4,'ChatGPT data'!$B$3:$B$20000,$A100),IF($B100="LinkedIn Ads",SUMIFS('LinkedIn data'!$I$3:$I$20000,'LinkedIn data'!$A$3:$A$20000,"&gt;="&amp;J$3,'LinkedIn data'!$A$3:$A$20000,"&lt;="&amp;J$4,'LinkedIn data'!$B$3:$B$20000,$A100),0)))))</f>
        <v/>
      </c>
      <c r="K100" s="14" t="str">
        <f aca="false">IF($A100="","",IF($B100="Meta",SUMIFS('Meta data'!$I$3:$I$20000,'Meta data'!$A$3:$A$20000,"&gt;="&amp;K$3,'Meta data'!$A$3:$A$20000,"&lt;="&amp;K$4,'Meta data'!$B$3:$B$20000,$A100),IF($B100="Google Ads",SUMIFS('Google data'!$I$3:$I$20000,'Google data'!$A$3:$A$20000,"&gt;="&amp;K$3,'Google data'!$A$3:$A$20000,"&lt;="&amp;K$4,'Google data'!$B$3:$B$20000,$A100),IF($B100="ChatGPT Ads",SUMIFS('ChatGPT data'!$I$3:$I$20000,'ChatGPT data'!$A$3:$A$20000,"&gt;="&amp;K$3,'ChatGPT data'!$A$3:$A$20000,"&lt;="&amp;K$4,'ChatGPT data'!$B$3:$B$20000,$A100),IF($B100="LinkedIn Ads",SUMIFS('LinkedIn data'!$I$3:$I$20000,'LinkedIn data'!$A$3:$A$20000,"&gt;="&amp;K$3,'LinkedIn data'!$A$3:$A$20000,"&lt;="&amp;K$4,'LinkedIn data'!$B$3:$B$20000,$A100),0)))))</f>
        <v/>
      </c>
      <c r="L100" s="14" t="str">
        <f aca="false">IF($A100="","",IF($B100="Meta",SUMIFS('Meta data'!$I$3:$I$20000,'Meta data'!$A$3:$A$20000,"&gt;="&amp;L$3,'Meta data'!$A$3:$A$20000,"&lt;="&amp;L$4,'Meta data'!$B$3:$B$20000,$A100),IF($B100="Google Ads",SUMIFS('Google data'!$I$3:$I$20000,'Google data'!$A$3:$A$20000,"&gt;="&amp;L$3,'Google data'!$A$3:$A$20000,"&lt;="&amp;L$4,'Google data'!$B$3:$B$20000,$A100),IF($B100="ChatGPT Ads",SUMIFS('ChatGPT data'!$I$3:$I$20000,'ChatGPT data'!$A$3:$A$20000,"&gt;="&amp;L$3,'ChatGPT data'!$A$3:$A$20000,"&lt;="&amp;L$4,'ChatGPT data'!$B$3:$B$20000,$A100),IF($B100="LinkedIn Ads",SUMIFS('LinkedIn data'!$I$3:$I$20000,'LinkedIn data'!$A$3:$A$20000,"&gt;="&amp;L$3,'LinkedIn data'!$A$3:$A$20000,"&lt;="&amp;L$4,'LinkedIn data'!$B$3:$B$20000,$A100),0)))))</f>
        <v/>
      </c>
      <c r="M100" s="14" t="str">
        <f aca="false">IF($A100="","",IF($B100="Meta",SUMIFS('Meta data'!$I$3:$I$20000,'Meta data'!$A$3:$A$20000,"&gt;="&amp;M$3,'Meta data'!$A$3:$A$20000,"&lt;="&amp;M$4,'Meta data'!$B$3:$B$20000,$A100),IF($B100="Google Ads",SUMIFS('Google data'!$I$3:$I$20000,'Google data'!$A$3:$A$20000,"&gt;="&amp;M$3,'Google data'!$A$3:$A$20000,"&lt;="&amp;M$4,'Google data'!$B$3:$B$20000,$A100),IF($B100="ChatGPT Ads",SUMIFS('ChatGPT data'!$I$3:$I$20000,'ChatGPT data'!$A$3:$A$20000,"&gt;="&amp;M$3,'ChatGPT data'!$A$3:$A$20000,"&lt;="&amp;M$4,'ChatGPT data'!$B$3:$B$20000,$A100),IF($B100="LinkedIn Ads",SUMIFS('LinkedIn data'!$I$3:$I$20000,'LinkedIn data'!$A$3:$A$20000,"&gt;="&amp;M$3,'LinkedIn data'!$A$3:$A$20000,"&lt;="&amp;M$4,'LinkedIn data'!$B$3:$B$20000,$A100),0)))))</f>
        <v/>
      </c>
      <c r="N100" s="14" t="str">
        <f aca="false">IF($A100="","",IF($B100="Meta",SUMIFS('Meta data'!$I$3:$I$20000,'Meta data'!$A$3:$A$20000,"&gt;="&amp;N$3,'Meta data'!$A$3:$A$20000,"&lt;="&amp;N$4,'Meta data'!$B$3:$B$20000,$A100),IF($B100="Google Ads",SUMIFS('Google data'!$I$3:$I$20000,'Google data'!$A$3:$A$20000,"&gt;="&amp;N$3,'Google data'!$A$3:$A$20000,"&lt;="&amp;N$4,'Google data'!$B$3:$B$20000,$A100),IF($B100="ChatGPT Ads",SUMIFS('ChatGPT data'!$I$3:$I$20000,'ChatGPT data'!$A$3:$A$20000,"&gt;="&amp;N$3,'ChatGPT data'!$A$3:$A$20000,"&lt;="&amp;N$4,'ChatGPT data'!$B$3:$B$20000,$A100),IF($B100="LinkedIn Ads",SUMIFS('LinkedIn data'!$I$3:$I$20000,'LinkedIn data'!$A$3:$A$20000,"&gt;="&amp;N$3,'LinkedIn data'!$A$3:$A$20000,"&lt;="&amp;N$4,'LinkedIn data'!$B$3:$B$20000,$A100),0)))))</f>
        <v/>
      </c>
      <c r="O100" s="14" t="str">
        <f aca="false">IF($A100="","",IF($B100="Meta",SUMIFS('Meta data'!$I$3:$I$20000,'Meta data'!$A$3:$A$20000,"&gt;="&amp;O$3,'Meta data'!$A$3:$A$20000,"&lt;="&amp;O$4,'Meta data'!$B$3:$B$20000,$A100),IF($B100="Google Ads",SUMIFS('Google data'!$I$3:$I$20000,'Google data'!$A$3:$A$20000,"&gt;="&amp;O$3,'Google data'!$A$3:$A$20000,"&lt;="&amp;O$4,'Google data'!$B$3:$B$20000,$A100),IF($B100="ChatGPT Ads",SUMIFS('ChatGPT data'!$I$3:$I$20000,'ChatGPT data'!$A$3:$A$20000,"&gt;="&amp;O$3,'ChatGPT data'!$A$3:$A$20000,"&lt;="&amp;O$4,'ChatGPT data'!$B$3:$B$20000,$A100),IF($B100="LinkedIn Ads",SUMIFS('LinkedIn data'!$I$3:$I$20000,'LinkedIn data'!$A$3:$A$20000,"&gt;="&amp;O$3,'LinkedIn data'!$A$3:$A$20000,"&lt;="&amp;O$4,'LinkedIn data'!$B$3:$B$20000,$A100),0)))))</f>
        <v/>
      </c>
      <c r="P100" s="14" t="str">
        <f aca="false">IF($A100="","",IF($B100="Meta",SUMIFS('Meta data'!$I$3:$I$20000,'Meta data'!$A$3:$A$20000,"&gt;="&amp;P$3,'Meta data'!$A$3:$A$20000,"&lt;="&amp;P$4,'Meta data'!$B$3:$B$20000,$A100),IF($B100="Google Ads",SUMIFS('Google data'!$I$3:$I$20000,'Google data'!$A$3:$A$20000,"&gt;="&amp;P$3,'Google data'!$A$3:$A$20000,"&lt;="&amp;P$4,'Google data'!$B$3:$B$20000,$A100),IF($B100="ChatGPT Ads",SUMIFS('ChatGPT data'!$I$3:$I$20000,'ChatGPT data'!$A$3:$A$20000,"&gt;="&amp;P$3,'ChatGPT data'!$A$3:$A$20000,"&lt;="&amp;P$4,'ChatGPT data'!$B$3:$B$20000,$A100),IF($B100="LinkedIn Ads",SUMIFS('LinkedIn data'!$I$3:$I$20000,'LinkedIn data'!$A$3:$A$20000,"&gt;="&amp;P$3,'LinkedIn data'!$A$3:$A$20000,"&lt;="&amp;P$4,'LinkedIn data'!$B$3:$B$20000,$A100),0)))))</f>
        <v/>
      </c>
      <c r="Q100" s="14" t="str">
        <f aca="false">IF($A100="","",IF($B100="Meta",SUMIFS('Meta data'!$I$3:$I$20000,'Meta data'!$A$3:$A$20000,"&gt;="&amp;Q$3,'Meta data'!$A$3:$A$20000,"&lt;="&amp;Q$4,'Meta data'!$B$3:$B$20000,$A100),IF($B100="Google Ads",SUMIFS('Google data'!$I$3:$I$20000,'Google data'!$A$3:$A$20000,"&gt;="&amp;Q$3,'Google data'!$A$3:$A$20000,"&lt;="&amp;Q$4,'Google data'!$B$3:$B$20000,$A100),IF($B100="ChatGPT Ads",SUMIFS('ChatGPT data'!$I$3:$I$20000,'ChatGPT data'!$A$3:$A$20000,"&gt;="&amp;Q$3,'ChatGPT data'!$A$3:$A$20000,"&lt;="&amp;Q$4,'ChatGPT data'!$B$3:$B$20000,$A100),IF($B100="LinkedIn Ads",SUMIFS('LinkedIn data'!$I$3:$I$20000,'LinkedIn data'!$A$3:$A$20000,"&gt;="&amp;Q$3,'LinkedIn data'!$A$3:$A$20000,"&lt;="&amp;Q$4,'LinkedIn data'!$B$3:$B$20000,$A100),0)))))</f>
        <v/>
      </c>
      <c r="R100" s="15" t="str">
        <f aca="false">IF($A100="","",SUM(F100:Q100))</f>
        <v/>
      </c>
      <c r="S100" s="37" t="str">
        <f aca="false">IF($A100="","",IF($B100="Meta",SUMIFS('Meta data'!$E$3:$E$20000,'Meta data'!$B$3:$B$20000,$A100),IF($B100="Google Ads",SUMIFS('Google data'!$E$3:$E$20000,'Google data'!$B$3:$B$20000,$A100),IF($B100="ChatGPT Ads",SUMIFS('ChatGPT data'!$E$3:$E$20000,'ChatGPT data'!$B$3:$B$20000,$A100),IF($B100="LinkedIn Ads",SUMIFS('LinkedIn data'!$E$3:$E$20000,'LinkedIn data'!$B$3:$B$20000,$A100),0)))))</f>
        <v/>
      </c>
      <c r="T100" s="37" t="str">
        <f aca="false">IF($A100="","",IF($B100="Meta",SUMIFS('Meta data'!$F$3:$F$20000,'Meta data'!$B$3:$B$20000,$A100),IF($B100="Google Ads",SUMIFS('Google data'!$F$3:$F$20000,'Google data'!$B$3:$B$20000,$A100),IF($B100="ChatGPT Ads",SUMIFS('ChatGPT data'!$F$3:$F$20000,'ChatGPT data'!$B$3:$B$20000,$A100),IF($B100="LinkedIn Ads",SUMIFS('LinkedIn data'!$F$3:$F$20000,'LinkedIn data'!$B$3:$B$20000,$A100),0)))))</f>
        <v/>
      </c>
      <c r="U100" s="38" t="str">
        <f aca="false">IF(OR($A100="",T100=0),"",R100/T100)</f>
        <v/>
      </c>
    </row>
    <row r="101" customFormat="false" ht="15" hidden="false" customHeight="false" outlineLevel="0" collapsed="false">
      <c r="A101" s="59"/>
      <c r="B101" s="59"/>
      <c r="C101" s="59"/>
      <c r="D101" s="59"/>
      <c r="E101" s="59"/>
      <c r="F101" s="14" t="str">
        <f aca="false">IF($A101="","",IF($B101="Meta",SUMIFS('Meta data'!$I$3:$I$20000,'Meta data'!$A$3:$A$20000,"&gt;="&amp;F$3,'Meta data'!$A$3:$A$20000,"&lt;="&amp;F$4,'Meta data'!$B$3:$B$20000,$A101),IF($B101="Google Ads",SUMIFS('Google data'!$I$3:$I$20000,'Google data'!$A$3:$A$20000,"&gt;="&amp;F$3,'Google data'!$A$3:$A$20000,"&lt;="&amp;F$4,'Google data'!$B$3:$B$20000,$A101),IF($B101="ChatGPT Ads",SUMIFS('ChatGPT data'!$I$3:$I$20000,'ChatGPT data'!$A$3:$A$20000,"&gt;="&amp;F$3,'ChatGPT data'!$A$3:$A$20000,"&lt;="&amp;F$4,'ChatGPT data'!$B$3:$B$20000,$A101),IF($B101="LinkedIn Ads",SUMIFS('LinkedIn data'!$I$3:$I$20000,'LinkedIn data'!$A$3:$A$20000,"&gt;="&amp;F$3,'LinkedIn data'!$A$3:$A$20000,"&lt;="&amp;F$4,'LinkedIn data'!$B$3:$B$20000,$A101),0)))))</f>
        <v/>
      </c>
      <c r="G101" s="14" t="str">
        <f aca="false">IF($A101="","",IF($B101="Meta",SUMIFS('Meta data'!$I$3:$I$20000,'Meta data'!$A$3:$A$20000,"&gt;="&amp;G$3,'Meta data'!$A$3:$A$20000,"&lt;="&amp;G$4,'Meta data'!$B$3:$B$20000,$A101),IF($B101="Google Ads",SUMIFS('Google data'!$I$3:$I$20000,'Google data'!$A$3:$A$20000,"&gt;="&amp;G$3,'Google data'!$A$3:$A$20000,"&lt;="&amp;G$4,'Google data'!$B$3:$B$20000,$A101),IF($B101="ChatGPT Ads",SUMIFS('ChatGPT data'!$I$3:$I$20000,'ChatGPT data'!$A$3:$A$20000,"&gt;="&amp;G$3,'ChatGPT data'!$A$3:$A$20000,"&lt;="&amp;G$4,'ChatGPT data'!$B$3:$B$20000,$A101),IF($B101="LinkedIn Ads",SUMIFS('LinkedIn data'!$I$3:$I$20000,'LinkedIn data'!$A$3:$A$20000,"&gt;="&amp;G$3,'LinkedIn data'!$A$3:$A$20000,"&lt;="&amp;G$4,'LinkedIn data'!$B$3:$B$20000,$A101),0)))))</f>
        <v/>
      </c>
      <c r="H101" s="14" t="str">
        <f aca="false">IF($A101="","",IF($B101="Meta",SUMIFS('Meta data'!$I$3:$I$20000,'Meta data'!$A$3:$A$20000,"&gt;="&amp;H$3,'Meta data'!$A$3:$A$20000,"&lt;="&amp;H$4,'Meta data'!$B$3:$B$20000,$A101),IF($B101="Google Ads",SUMIFS('Google data'!$I$3:$I$20000,'Google data'!$A$3:$A$20000,"&gt;="&amp;H$3,'Google data'!$A$3:$A$20000,"&lt;="&amp;H$4,'Google data'!$B$3:$B$20000,$A101),IF($B101="ChatGPT Ads",SUMIFS('ChatGPT data'!$I$3:$I$20000,'ChatGPT data'!$A$3:$A$20000,"&gt;="&amp;H$3,'ChatGPT data'!$A$3:$A$20000,"&lt;="&amp;H$4,'ChatGPT data'!$B$3:$B$20000,$A101),IF($B101="LinkedIn Ads",SUMIFS('LinkedIn data'!$I$3:$I$20000,'LinkedIn data'!$A$3:$A$20000,"&gt;="&amp;H$3,'LinkedIn data'!$A$3:$A$20000,"&lt;="&amp;H$4,'LinkedIn data'!$B$3:$B$20000,$A101),0)))))</f>
        <v/>
      </c>
      <c r="I101" s="14" t="str">
        <f aca="false">IF($A101="","",IF($B101="Meta",SUMIFS('Meta data'!$I$3:$I$20000,'Meta data'!$A$3:$A$20000,"&gt;="&amp;I$3,'Meta data'!$A$3:$A$20000,"&lt;="&amp;I$4,'Meta data'!$B$3:$B$20000,$A101),IF($B101="Google Ads",SUMIFS('Google data'!$I$3:$I$20000,'Google data'!$A$3:$A$20000,"&gt;="&amp;I$3,'Google data'!$A$3:$A$20000,"&lt;="&amp;I$4,'Google data'!$B$3:$B$20000,$A101),IF($B101="ChatGPT Ads",SUMIFS('ChatGPT data'!$I$3:$I$20000,'ChatGPT data'!$A$3:$A$20000,"&gt;="&amp;I$3,'ChatGPT data'!$A$3:$A$20000,"&lt;="&amp;I$4,'ChatGPT data'!$B$3:$B$20000,$A101),IF($B101="LinkedIn Ads",SUMIFS('LinkedIn data'!$I$3:$I$20000,'LinkedIn data'!$A$3:$A$20000,"&gt;="&amp;I$3,'LinkedIn data'!$A$3:$A$20000,"&lt;="&amp;I$4,'LinkedIn data'!$B$3:$B$20000,$A101),0)))))</f>
        <v/>
      </c>
      <c r="J101" s="14" t="str">
        <f aca="false">IF($A101="","",IF($B101="Meta",SUMIFS('Meta data'!$I$3:$I$20000,'Meta data'!$A$3:$A$20000,"&gt;="&amp;J$3,'Meta data'!$A$3:$A$20000,"&lt;="&amp;J$4,'Meta data'!$B$3:$B$20000,$A101),IF($B101="Google Ads",SUMIFS('Google data'!$I$3:$I$20000,'Google data'!$A$3:$A$20000,"&gt;="&amp;J$3,'Google data'!$A$3:$A$20000,"&lt;="&amp;J$4,'Google data'!$B$3:$B$20000,$A101),IF($B101="ChatGPT Ads",SUMIFS('ChatGPT data'!$I$3:$I$20000,'ChatGPT data'!$A$3:$A$20000,"&gt;="&amp;J$3,'ChatGPT data'!$A$3:$A$20000,"&lt;="&amp;J$4,'ChatGPT data'!$B$3:$B$20000,$A101),IF($B101="LinkedIn Ads",SUMIFS('LinkedIn data'!$I$3:$I$20000,'LinkedIn data'!$A$3:$A$20000,"&gt;="&amp;J$3,'LinkedIn data'!$A$3:$A$20000,"&lt;="&amp;J$4,'LinkedIn data'!$B$3:$B$20000,$A101),0)))))</f>
        <v/>
      </c>
      <c r="K101" s="14" t="str">
        <f aca="false">IF($A101="","",IF($B101="Meta",SUMIFS('Meta data'!$I$3:$I$20000,'Meta data'!$A$3:$A$20000,"&gt;="&amp;K$3,'Meta data'!$A$3:$A$20000,"&lt;="&amp;K$4,'Meta data'!$B$3:$B$20000,$A101),IF($B101="Google Ads",SUMIFS('Google data'!$I$3:$I$20000,'Google data'!$A$3:$A$20000,"&gt;="&amp;K$3,'Google data'!$A$3:$A$20000,"&lt;="&amp;K$4,'Google data'!$B$3:$B$20000,$A101),IF($B101="ChatGPT Ads",SUMIFS('ChatGPT data'!$I$3:$I$20000,'ChatGPT data'!$A$3:$A$20000,"&gt;="&amp;K$3,'ChatGPT data'!$A$3:$A$20000,"&lt;="&amp;K$4,'ChatGPT data'!$B$3:$B$20000,$A101),IF($B101="LinkedIn Ads",SUMIFS('LinkedIn data'!$I$3:$I$20000,'LinkedIn data'!$A$3:$A$20000,"&gt;="&amp;K$3,'LinkedIn data'!$A$3:$A$20000,"&lt;="&amp;K$4,'LinkedIn data'!$B$3:$B$20000,$A101),0)))))</f>
        <v/>
      </c>
      <c r="L101" s="14" t="str">
        <f aca="false">IF($A101="","",IF($B101="Meta",SUMIFS('Meta data'!$I$3:$I$20000,'Meta data'!$A$3:$A$20000,"&gt;="&amp;L$3,'Meta data'!$A$3:$A$20000,"&lt;="&amp;L$4,'Meta data'!$B$3:$B$20000,$A101),IF($B101="Google Ads",SUMIFS('Google data'!$I$3:$I$20000,'Google data'!$A$3:$A$20000,"&gt;="&amp;L$3,'Google data'!$A$3:$A$20000,"&lt;="&amp;L$4,'Google data'!$B$3:$B$20000,$A101),IF($B101="ChatGPT Ads",SUMIFS('ChatGPT data'!$I$3:$I$20000,'ChatGPT data'!$A$3:$A$20000,"&gt;="&amp;L$3,'ChatGPT data'!$A$3:$A$20000,"&lt;="&amp;L$4,'ChatGPT data'!$B$3:$B$20000,$A101),IF($B101="LinkedIn Ads",SUMIFS('LinkedIn data'!$I$3:$I$20000,'LinkedIn data'!$A$3:$A$20000,"&gt;="&amp;L$3,'LinkedIn data'!$A$3:$A$20000,"&lt;="&amp;L$4,'LinkedIn data'!$B$3:$B$20000,$A101),0)))))</f>
        <v/>
      </c>
      <c r="M101" s="14" t="str">
        <f aca="false">IF($A101="","",IF($B101="Meta",SUMIFS('Meta data'!$I$3:$I$20000,'Meta data'!$A$3:$A$20000,"&gt;="&amp;M$3,'Meta data'!$A$3:$A$20000,"&lt;="&amp;M$4,'Meta data'!$B$3:$B$20000,$A101),IF($B101="Google Ads",SUMIFS('Google data'!$I$3:$I$20000,'Google data'!$A$3:$A$20000,"&gt;="&amp;M$3,'Google data'!$A$3:$A$20000,"&lt;="&amp;M$4,'Google data'!$B$3:$B$20000,$A101),IF($B101="ChatGPT Ads",SUMIFS('ChatGPT data'!$I$3:$I$20000,'ChatGPT data'!$A$3:$A$20000,"&gt;="&amp;M$3,'ChatGPT data'!$A$3:$A$20000,"&lt;="&amp;M$4,'ChatGPT data'!$B$3:$B$20000,$A101),IF($B101="LinkedIn Ads",SUMIFS('LinkedIn data'!$I$3:$I$20000,'LinkedIn data'!$A$3:$A$20000,"&gt;="&amp;M$3,'LinkedIn data'!$A$3:$A$20000,"&lt;="&amp;M$4,'LinkedIn data'!$B$3:$B$20000,$A101),0)))))</f>
        <v/>
      </c>
      <c r="N101" s="14" t="str">
        <f aca="false">IF($A101="","",IF($B101="Meta",SUMIFS('Meta data'!$I$3:$I$20000,'Meta data'!$A$3:$A$20000,"&gt;="&amp;N$3,'Meta data'!$A$3:$A$20000,"&lt;="&amp;N$4,'Meta data'!$B$3:$B$20000,$A101),IF($B101="Google Ads",SUMIFS('Google data'!$I$3:$I$20000,'Google data'!$A$3:$A$20000,"&gt;="&amp;N$3,'Google data'!$A$3:$A$20000,"&lt;="&amp;N$4,'Google data'!$B$3:$B$20000,$A101),IF($B101="ChatGPT Ads",SUMIFS('ChatGPT data'!$I$3:$I$20000,'ChatGPT data'!$A$3:$A$20000,"&gt;="&amp;N$3,'ChatGPT data'!$A$3:$A$20000,"&lt;="&amp;N$4,'ChatGPT data'!$B$3:$B$20000,$A101),IF($B101="LinkedIn Ads",SUMIFS('LinkedIn data'!$I$3:$I$20000,'LinkedIn data'!$A$3:$A$20000,"&gt;="&amp;N$3,'LinkedIn data'!$A$3:$A$20000,"&lt;="&amp;N$4,'LinkedIn data'!$B$3:$B$20000,$A101),0)))))</f>
        <v/>
      </c>
      <c r="O101" s="14" t="str">
        <f aca="false">IF($A101="","",IF($B101="Meta",SUMIFS('Meta data'!$I$3:$I$20000,'Meta data'!$A$3:$A$20000,"&gt;="&amp;O$3,'Meta data'!$A$3:$A$20000,"&lt;="&amp;O$4,'Meta data'!$B$3:$B$20000,$A101),IF($B101="Google Ads",SUMIFS('Google data'!$I$3:$I$20000,'Google data'!$A$3:$A$20000,"&gt;="&amp;O$3,'Google data'!$A$3:$A$20000,"&lt;="&amp;O$4,'Google data'!$B$3:$B$20000,$A101),IF($B101="ChatGPT Ads",SUMIFS('ChatGPT data'!$I$3:$I$20000,'ChatGPT data'!$A$3:$A$20000,"&gt;="&amp;O$3,'ChatGPT data'!$A$3:$A$20000,"&lt;="&amp;O$4,'ChatGPT data'!$B$3:$B$20000,$A101),IF($B101="LinkedIn Ads",SUMIFS('LinkedIn data'!$I$3:$I$20000,'LinkedIn data'!$A$3:$A$20000,"&gt;="&amp;O$3,'LinkedIn data'!$A$3:$A$20000,"&lt;="&amp;O$4,'LinkedIn data'!$B$3:$B$20000,$A101),0)))))</f>
        <v/>
      </c>
      <c r="P101" s="14" t="str">
        <f aca="false">IF($A101="","",IF($B101="Meta",SUMIFS('Meta data'!$I$3:$I$20000,'Meta data'!$A$3:$A$20000,"&gt;="&amp;P$3,'Meta data'!$A$3:$A$20000,"&lt;="&amp;P$4,'Meta data'!$B$3:$B$20000,$A101),IF($B101="Google Ads",SUMIFS('Google data'!$I$3:$I$20000,'Google data'!$A$3:$A$20000,"&gt;="&amp;P$3,'Google data'!$A$3:$A$20000,"&lt;="&amp;P$4,'Google data'!$B$3:$B$20000,$A101),IF($B101="ChatGPT Ads",SUMIFS('ChatGPT data'!$I$3:$I$20000,'ChatGPT data'!$A$3:$A$20000,"&gt;="&amp;P$3,'ChatGPT data'!$A$3:$A$20000,"&lt;="&amp;P$4,'ChatGPT data'!$B$3:$B$20000,$A101),IF($B101="LinkedIn Ads",SUMIFS('LinkedIn data'!$I$3:$I$20000,'LinkedIn data'!$A$3:$A$20000,"&gt;="&amp;P$3,'LinkedIn data'!$A$3:$A$20000,"&lt;="&amp;P$4,'LinkedIn data'!$B$3:$B$20000,$A101),0)))))</f>
        <v/>
      </c>
      <c r="Q101" s="14" t="str">
        <f aca="false">IF($A101="","",IF($B101="Meta",SUMIFS('Meta data'!$I$3:$I$20000,'Meta data'!$A$3:$A$20000,"&gt;="&amp;Q$3,'Meta data'!$A$3:$A$20000,"&lt;="&amp;Q$4,'Meta data'!$B$3:$B$20000,$A101),IF($B101="Google Ads",SUMIFS('Google data'!$I$3:$I$20000,'Google data'!$A$3:$A$20000,"&gt;="&amp;Q$3,'Google data'!$A$3:$A$20000,"&lt;="&amp;Q$4,'Google data'!$B$3:$B$20000,$A101),IF($B101="ChatGPT Ads",SUMIFS('ChatGPT data'!$I$3:$I$20000,'ChatGPT data'!$A$3:$A$20000,"&gt;="&amp;Q$3,'ChatGPT data'!$A$3:$A$20000,"&lt;="&amp;Q$4,'ChatGPT data'!$B$3:$B$20000,$A101),IF($B101="LinkedIn Ads",SUMIFS('LinkedIn data'!$I$3:$I$20000,'LinkedIn data'!$A$3:$A$20000,"&gt;="&amp;Q$3,'LinkedIn data'!$A$3:$A$20000,"&lt;="&amp;Q$4,'LinkedIn data'!$B$3:$B$20000,$A101),0)))))</f>
        <v/>
      </c>
      <c r="R101" s="15" t="str">
        <f aca="false">IF($A101="","",SUM(F101:Q101))</f>
        <v/>
      </c>
      <c r="S101" s="37" t="str">
        <f aca="false">IF($A101="","",IF($B101="Meta",SUMIFS('Meta data'!$E$3:$E$20000,'Meta data'!$B$3:$B$20000,$A101),IF($B101="Google Ads",SUMIFS('Google data'!$E$3:$E$20000,'Google data'!$B$3:$B$20000,$A101),IF($B101="ChatGPT Ads",SUMIFS('ChatGPT data'!$E$3:$E$20000,'ChatGPT data'!$B$3:$B$20000,$A101),IF($B101="LinkedIn Ads",SUMIFS('LinkedIn data'!$E$3:$E$20000,'LinkedIn data'!$B$3:$B$20000,$A101),0)))))</f>
        <v/>
      </c>
      <c r="T101" s="37" t="str">
        <f aca="false">IF($A101="","",IF($B101="Meta",SUMIFS('Meta data'!$F$3:$F$20000,'Meta data'!$B$3:$B$20000,$A101),IF($B101="Google Ads",SUMIFS('Google data'!$F$3:$F$20000,'Google data'!$B$3:$B$20000,$A101),IF($B101="ChatGPT Ads",SUMIFS('ChatGPT data'!$F$3:$F$20000,'ChatGPT data'!$B$3:$B$20000,$A101),IF($B101="LinkedIn Ads",SUMIFS('LinkedIn data'!$F$3:$F$20000,'LinkedIn data'!$B$3:$B$20000,$A101),0)))))</f>
        <v/>
      </c>
      <c r="U101" s="38" t="str">
        <f aca="false">IF(OR($A101="",T101=0),"",R101/T101)</f>
        <v/>
      </c>
    </row>
    <row r="102" customFormat="false" ht="15" hidden="false" customHeight="false" outlineLevel="0" collapsed="false">
      <c r="A102" s="59"/>
      <c r="B102" s="59"/>
      <c r="C102" s="59"/>
      <c r="D102" s="59"/>
      <c r="E102" s="59"/>
      <c r="F102" s="14" t="str">
        <f aca="false">IF($A102="","",IF($B102="Meta",SUMIFS('Meta data'!$I$3:$I$20000,'Meta data'!$A$3:$A$20000,"&gt;="&amp;F$3,'Meta data'!$A$3:$A$20000,"&lt;="&amp;F$4,'Meta data'!$B$3:$B$20000,$A102),IF($B102="Google Ads",SUMIFS('Google data'!$I$3:$I$20000,'Google data'!$A$3:$A$20000,"&gt;="&amp;F$3,'Google data'!$A$3:$A$20000,"&lt;="&amp;F$4,'Google data'!$B$3:$B$20000,$A102),IF($B102="ChatGPT Ads",SUMIFS('ChatGPT data'!$I$3:$I$20000,'ChatGPT data'!$A$3:$A$20000,"&gt;="&amp;F$3,'ChatGPT data'!$A$3:$A$20000,"&lt;="&amp;F$4,'ChatGPT data'!$B$3:$B$20000,$A102),IF($B102="LinkedIn Ads",SUMIFS('LinkedIn data'!$I$3:$I$20000,'LinkedIn data'!$A$3:$A$20000,"&gt;="&amp;F$3,'LinkedIn data'!$A$3:$A$20000,"&lt;="&amp;F$4,'LinkedIn data'!$B$3:$B$20000,$A102),0)))))</f>
        <v/>
      </c>
      <c r="G102" s="14" t="str">
        <f aca="false">IF($A102="","",IF($B102="Meta",SUMIFS('Meta data'!$I$3:$I$20000,'Meta data'!$A$3:$A$20000,"&gt;="&amp;G$3,'Meta data'!$A$3:$A$20000,"&lt;="&amp;G$4,'Meta data'!$B$3:$B$20000,$A102),IF($B102="Google Ads",SUMIFS('Google data'!$I$3:$I$20000,'Google data'!$A$3:$A$20000,"&gt;="&amp;G$3,'Google data'!$A$3:$A$20000,"&lt;="&amp;G$4,'Google data'!$B$3:$B$20000,$A102),IF($B102="ChatGPT Ads",SUMIFS('ChatGPT data'!$I$3:$I$20000,'ChatGPT data'!$A$3:$A$20000,"&gt;="&amp;G$3,'ChatGPT data'!$A$3:$A$20000,"&lt;="&amp;G$4,'ChatGPT data'!$B$3:$B$20000,$A102),IF($B102="LinkedIn Ads",SUMIFS('LinkedIn data'!$I$3:$I$20000,'LinkedIn data'!$A$3:$A$20000,"&gt;="&amp;G$3,'LinkedIn data'!$A$3:$A$20000,"&lt;="&amp;G$4,'LinkedIn data'!$B$3:$B$20000,$A102),0)))))</f>
        <v/>
      </c>
      <c r="H102" s="14" t="str">
        <f aca="false">IF($A102="","",IF($B102="Meta",SUMIFS('Meta data'!$I$3:$I$20000,'Meta data'!$A$3:$A$20000,"&gt;="&amp;H$3,'Meta data'!$A$3:$A$20000,"&lt;="&amp;H$4,'Meta data'!$B$3:$B$20000,$A102),IF($B102="Google Ads",SUMIFS('Google data'!$I$3:$I$20000,'Google data'!$A$3:$A$20000,"&gt;="&amp;H$3,'Google data'!$A$3:$A$20000,"&lt;="&amp;H$4,'Google data'!$B$3:$B$20000,$A102),IF($B102="ChatGPT Ads",SUMIFS('ChatGPT data'!$I$3:$I$20000,'ChatGPT data'!$A$3:$A$20000,"&gt;="&amp;H$3,'ChatGPT data'!$A$3:$A$20000,"&lt;="&amp;H$4,'ChatGPT data'!$B$3:$B$20000,$A102),IF($B102="LinkedIn Ads",SUMIFS('LinkedIn data'!$I$3:$I$20000,'LinkedIn data'!$A$3:$A$20000,"&gt;="&amp;H$3,'LinkedIn data'!$A$3:$A$20000,"&lt;="&amp;H$4,'LinkedIn data'!$B$3:$B$20000,$A102),0)))))</f>
        <v/>
      </c>
      <c r="I102" s="14" t="str">
        <f aca="false">IF($A102="","",IF($B102="Meta",SUMIFS('Meta data'!$I$3:$I$20000,'Meta data'!$A$3:$A$20000,"&gt;="&amp;I$3,'Meta data'!$A$3:$A$20000,"&lt;="&amp;I$4,'Meta data'!$B$3:$B$20000,$A102),IF($B102="Google Ads",SUMIFS('Google data'!$I$3:$I$20000,'Google data'!$A$3:$A$20000,"&gt;="&amp;I$3,'Google data'!$A$3:$A$20000,"&lt;="&amp;I$4,'Google data'!$B$3:$B$20000,$A102),IF($B102="ChatGPT Ads",SUMIFS('ChatGPT data'!$I$3:$I$20000,'ChatGPT data'!$A$3:$A$20000,"&gt;="&amp;I$3,'ChatGPT data'!$A$3:$A$20000,"&lt;="&amp;I$4,'ChatGPT data'!$B$3:$B$20000,$A102),IF($B102="LinkedIn Ads",SUMIFS('LinkedIn data'!$I$3:$I$20000,'LinkedIn data'!$A$3:$A$20000,"&gt;="&amp;I$3,'LinkedIn data'!$A$3:$A$20000,"&lt;="&amp;I$4,'LinkedIn data'!$B$3:$B$20000,$A102),0)))))</f>
        <v/>
      </c>
      <c r="J102" s="14" t="str">
        <f aca="false">IF($A102="","",IF($B102="Meta",SUMIFS('Meta data'!$I$3:$I$20000,'Meta data'!$A$3:$A$20000,"&gt;="&amp;J$3,'Meta data'!$A$3:$A$20000,"&lt;="&amp;J$4,'Meta data'!$B$3:$B$20000,$A102),IF($B102="Google Ads",SUMIFS('Google data'!$I$3:$I$20000,'Google data'!$A$3:$A$20000,"&gt;="&amp;J$3,'Google data'!$A$3:$A$20000,"&lt;="&amp;J$4,'Google data'!$B$3:$B$20000,$A102),IF($B102="ChatGPT Ads",SUMIFS('ChatGPT data'!$I$3:$I$20000,'ChatGPT data'!$A$3:$A$20000,"&gt;="&amp;J$3,'ChatGPT data'!$A$3:$A$20000,"&lt;="&amp;J$4,'ChatGPT data'!$B$3:$B$20000,$A102),IF($B102="LinkedIn Ads",SUMIFS('LinkedIn data'!$I$3:$I$20000,'LinkedIn data'!$A$3:$A$20000,"&gt;="&amp;J$3,'LinkedIn data'!$A$3:$A$20000,"&lt;="&amp;J$4,'LinkedIn data'!$B$3:$B$20000,$A102),0)))))</f>
        <v/>
      </c>
      <c r="K102" s="14" t="str">
        <f aca="false">IF($A102="","",IF($B102="Meta",SUMIFS('Meta data'!$I$3:$I$20000,'Meta data'!$A$3:$A$20000,"&gt;="&amp;K$3,'Meta data'!$A$3:$A$20000,"&lt;="&amp;K$4,'Meta data'!$B$3:$B$20000,$A102),IF($B102="Google Ads",SUMIFS('Google data'!$I$3:$I$20000,'Google data'!$A$3:$A$20000,"&gt;="&amp;K$3,'Google data'!$A$3:$A$20000,"&lt;="&amp;K$4,'Google data'!$B$3:$B$20000,$A102),IF($B102="ChatGPT Ads",SUMIFS('ChatGPT data'!$I$3:$I$20000,'ChatGPT data'!$A$3:$A$20000,"&gt;="&amp;K$3,'ChatGPT data'!$A$3:$A$20000,"&lt;="&amp;K$4,'ChatGPT data'!$B$3:$B$20000,$A102),IF($B102="LinkedIn Ads",SUMIFS('LinkedIn data'!$I$3:$I$20000,'LinkedIn data'!$A$3:$A$20000,"&gt;="&amp;K$3,'LinkedIn data'!$A$3:$A$20000,"&lt;="&amp;K$4,'LinkedIn data'!$B$3:$B$20000,$A102),0)))))</f>
        <v/>
      </c>
      <c r="L102" s="14" t="str">
        <f aca="false">IF($A102="","",IF($B102="Meta",SUMIFS('Meta data'!$I$3:$I$20000,'Meta data'!$A$3:$A$20000,"&gt;="&amp;L$3,'Meta data'!$A$3:$A$20000,"&lt;="&amp;L$4,'Meta data'!$B$3:$B$20000,$A102),IF($B102="Google Ads",SUMIFS('Google data'!$I$3:$I$20000,'Google data'!$A$3:$A$20000,"&gt;="&amp;L$3,'Google data'!$A$3:$A$20000,"&lt;="&amp;L$4,'Google data'!$B$3:$B$20000,$A102),IF($B102="ChatGPT Ads",SUMIFS('ChatGPT data'!$I$3:$I$20000,'ChatGPT data'!$A$3:$A$20000,"&gt;="&amp;L$3,'ChatGPT data'!$A$3:$A$20000,"&lt;="&amp;L$4,'ChatGPT data'!$B$3:$B$20000,$A102),IF($B102="LinkedIn Ads",SUMIFS('LinkedIn data'!$I$3:$I$20000,'LinkedIn data'!$A$3:$A$20000,"&gt;="&amp;L$3,'LinkedIn data'!$A$3:$A$20000,"&lt;="&amp;L$4,'LinkedIn data'!$B$3:$B$20000,$A102),0)))))</f>
        <v/>
      </c>
      <c r="M102" s="14" t="str">
        <f aca="false">IF($A102="","",IF($B102="Meta",SUMIFS('Meta data'!$I$3:$I$20000,'Meta data'!$A$3:$A$20000,"&gt;="&amp;M$3,'Meta data'!$A$3:$A$20000,"&lt;="&amp;M$4,'Meta data'!$B$3:$B$20000,$A102),IF($B102="Google Ads",SUMIFS('Google data'!$I$3:$I$20000,'Google data'!$A$3:$A$20000,"&gt;="&amp;M$3,'Google data'!$A$3:$A$20000,"&lt;="&amp;M$4,'Google data'!$B$3:$B$20000,$A102),IF($B102="ChatGPT Ads",SUMIFS('ChatGPT data'!$I$3:$I$20000,'ChatGPT data'!$A$3:$A$20000,"&gt;="&amp;M$3,'ChatGPT data'!$A$3:$A$20000,"&lt;="&amp;M$4,'ChatGPT data'!$B$3:$B$20000,$A102),IF($B102="LinkedIn Ads",SUMIFS('LinkedIn data'!$I$3:$I$20000,'LinkedIn data'!$A$3:$A$20000,"&gt;="&amp;M$3,'LinkedIn data'!$A$3:$A$20000,"&lt;="&amp;M$4,'LinkedIn data'!$B$3:$B$20000,$A102),0)))))</f>
        <v/>
      </c>
      <c r="N102" s="14" t="str">
        <f aca="false">IF($A102="","",IF($B102="Meta",SUMIFS('Meta data'!$I$3:$I$20000,'Meta data'!$A$3:$A$20000,"&gt;="&amp;N$3,'Meta data'!$A$3:$A$20000,"&lt;="&amp;N$4,'Meta data'!$B$3:$B$20000,$A102),IF($B102="Google Ads",SUMIFS('Google data'!$I$3:$I$20000,'Google data'!$A$3:$A$20000,"&gt;="&amp;N$3,'Google data'!$A$3:$A$20000,"&lt;="&amp;N$4,'Google data'!$B$3:$B$20000,$A102),IF($B102="ChatGPT Ads",SUMIFS('ChatGPT data'!$I$3:$I$20000,'ChatGPT data'!$A$3:$A$20000,"&gt;="&amp;N$3,'ChatGPT data'!$A$3:$A$20000,"&lt;="&amp;N$4,'ChatGPT data'!$B$3:$B$20000,$A102),IF($B102="LinkedIn Ads",SUMIFS('LinkedIn data'!$I$3:$I$20000,'LinkedIn data'!$A$3:$A$20000,"&gt;="&amp;N$3,'LinkedIn data'!$A$3:$A$20000,"&lt;="&amp;N$4,'LinkedIn data'!$B$3:$B$20000,$A102),0)))))</f>
        <v/>
      </c>
      <c r="O102" s="14" t="str">
        <f aca="false">IF($A102="","",IF($B102="Meta",SUMIFS('Meta data'!$I$3:$I$20000,'Meta data'!$A$3:$A$20000,"&gt;="&amp;O$3,'Meta data'!$A$3:$A$20000,"&lt;="&amp;O$4,'Meta data'!$B$3:$B$20000,$A102),IF($B102="Google Ads",SUMIFS('Google data'!$I$3:$I$20000,'Google data'!$A$3:$A$20000,"&gt;="&amp;O$3,'Google data'!$A$3:$A$20000,"&lt;="&amp;O$4,'Google data'!$B$3:$B$20000,$A102),IF($B102="ChatGPT Ads",SUMIFS('ChatGPT data'!$I$3:$I$20000,'ChatGPT data'!$A$3:$A$20000,"&gt;="&amp;O$3,'ChatGPT data'!$A$3:$A$20000,"&lt;="&amp;O$4,'ChatGPT data'!$B$3:$B$20000,$A102),IF($B102="LinkedIn Ads",SUMIFS('LinkedIn data'!$I$3:$I$20000,'LinkedIn data'!$A$3:$A$20000,"&gt;="&amp;O$3,'LinkedIn data'!$A$3:$A$20000,"&lt;="&amp;O$4,'LinkedIn data'!$B$3:$B$20000,$A102),0)))))</f>
        <v/>
      </c>
      <c r="P102" s="14" t="str">
        <f aca="false">IF($A102="","",IF($B102="Meta",SUMIFS('Meta data'!$I$3:$I$20000,'Meta data'!$A$3:$A$20000,"&gt;="&amp;P$3,'Meta data'!$A$3:$A$20000,"&lt;="&amp;P$4,'Meta data'!$B$3:$B$20000,$A102),IF($B102="Google Ads",SUMIFS('Google data'!$I$3:$I$20000,'Google data'!$A$3:$A$20000,"&gt;="&amp;P$3,'Google data'!$A$3:$A$20000,"&lt;="&amp;P$4,'Google data'!$B$3:$B$20000,$A102),IF($B102="ChatGPT Ads",SUMIFS('ChatGPT data'!$I$3:$I$20000,'ChatGPT data'!$A$3:$A$20000,"&gt;="&amp;P$3,'ChatGPT data'!$A$3:$A$20000,"&lt;="&amp;P$4,'ChatGPT data'!$B$3:$B$20000,$A102),IF($B102="LinkedIn Ads",SUMIFS('LinkedIn data'!$I$3:$I$20000,'LinkedIn data'!$A$3:$A$20000,"&gt;="&amp;P$3,'LinkedIn data'!$A$3:$A$20000,"&lt;="&amp;P$4,'LinkedIn data'!$B$3:$B$20000,$A102),0)))))</f>
        <v/>
      </c>
      <c r="Q102" s="14" t="str">
        <f aca="false">IF($A102="","",IF($B102="Meta",SUMIFS('Meta data'!$I$3:$I$20000,'Meta data'!$A$3:$A$20000,"&gt;="&amp;Q$3,'Meta data'!$A$3:$A$20000,"&lt;="&amp;Q$4,'Meta data'!$B$3:$B$20000,$A102),IF($B102="Google Ads",SUMIFS('Google data'!$I$3:$I$20000,'Google data'!$A$3:$A$20000,"&gt;="&amp;Q$3,'Google data'!$A$3:$A$20000,"&lt;="&amp;Q$4,'Google data'!$B$3:$B$20000,$A102),IF($B102="ChatGPT Ads",SUMIFS('ChatGPT data'!$I$3:$I$20000,'ChatGPT data'!$A$3:$A$20000,"&gt;="&amp;Q$3,'ChatGPT data'!$A$3:$A$20000,"&lt;="&amp;Q$4,'ChatGPT data'!$B$3:$B$20000,$A102),IF($B102="LinkedIn Ads",SUMIFS('LinkedIn data'!$I$3:$I$20000,'LinkedIn data'!$A$3:$A$20000,"&gt;="&amp;Q$3,'LinkedIn data'!$A$3:$A$20000,"&lt;="&amp;Q$4,'LinkedIn data'!$B$3:$B$20000,$A102),0)))))</f>
        <v/>
      </c>
      <c r="R102" s="15" t="str">
        <f aca="false">IF($A102="","",SUM(F102:Q102))</f>
        <v/>
      </c>
      <c r="S102" s="37" t="str">
        <f aca="false">IF($A102="","",IF($B102="Meta",SUMIFS('Meta data'!$E$3:$E$20000,'Meta data'!$B$3:$B$20000,$A102),IF($B102="Google Ads",SUMIFS('Google data'!$E$3:$E$20000,'Google data'!$B$3:$B$20000,$A102),IF($B102="ChatGPT Ads",SUMIFS('ChatGPT data'!$E$3:$E$20000,'ChatGPT data'!$B$3:$B$20000,$A102),IF($B102="LinkedIn Ads",SUMIFS('LinkedIn data'!$E$3:$E$20000,'LinkedIn data'!$B$3:$B$20000,$A102),0)))))</f>
        <v/>
      </c>
      <c r="T102" s="37" t="str">
        <f aca="false">IF($A102="","",IF($B102="Meta",SUMIFS('Meta data'!$F$3:$F$20000,'Meta data'!$B$3:$B$20000,$A102),IF($B102="Google Ads",SUMIFS('Google data'!$F$3:$F$20000,'Google data'!$B$3:$B$20000,$A102),IF($B102="ChatGPT Ads",SUMIFS('ChatGPT data'!$F$3:$F$20000,'ChatGPT data'!$B$3:$B$20000,$A102),IF($B102="LinkedIn Ads",SUMIFS('LinkedIn data'!$F$3:$F$20000,'LinkedIn data'!$B$3:$B$20000,$A102),0)))))</f>
        <v/>
      </c>
      <c r="U102" s="38" t="str">
        <f aca="false">IF(OR($A102="",T102=0),"",R102/T102)</f>
        <v/>
      </c>
    </row>
    <row r="104" customFormat="false" ht="15" hidden="false" customHeight="false" outlineLevel="0" collapsed="false">
      <c r="A104" s="28" t="s">
        <v>222</v>
      </c>
    </row>
  </sheetData>
  <conditionalFormatting sqref="E3">
    <cfRule type="expression" priority="2" aboveAverage="0" equalAverage="0" bottom="0" percent="0" rank="0" text="" dxfId="7">
      <formula>LEFT(E3,1)="⚠"</formula>
    </cfRule>
  </conditionalFormatting>
  <dataValidations count="2">
    <dataValidation allowBlank="true" errorStyle="stop" operator="between" showDropDown="false" showErrorMessage="false" showInputMessage="false" sqref="B7:B300" type="list">
      <formula1>"Meta,Google Ads,ChatGPT Ads,LinkedIn Ads"</formula1>
      <formula2>0</formula2>
    </dataValidation>
    <dataValidation allowBlank="true" errorStyle="stop" operator="between" showDropDown="false" showErrorMessage="false" showInputMessage="false" sqref="D7:D300" type="list">
      <formula1>"EMEA,Americas,Global,Not specified"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9" min="8" style="0" width="12"/>
    <col collapsed="false" customWidth="true" hidden="false" outlineLevel="0" max="10" min="10" style="0" width="10"/>
    <col collapsed="false" customWidth="true" hidden="false" outlineLevel="0" max="11" min="11" style="0" width="34"/>
    <col collapsed="false" customWidth="true" hidden="false" outlineLevel="0" max="12" min="12" style="0" width="52"/>
    <col collapsed="false" customWidth="true" hidden="false" outlineLevel="0" max="14" min="13" style="0" width="13"/>
    <col collapsed="false" customWidth="true" hidden="false" outlineLevel="0" max="15" min="15" style="0" width="12"/>
  </cols>
  <sheetData>
    <row r="1" customFormat="false" ht="19.7" hidden="false" customHeight="false" outlineLevel="0" collapsed="false">
      <c r="A1" s="31" t="s">
        <v>223</v>
      </c>
    </row>
    <row r="2" customFormat="false" ht="15" hidden="false" customHeight="false" outlineLevel="0" collapsed="false">
      <c r="A2" s="28" t="s">
        <v>224</v>
      </c>
    </row>
    <row r="4" customFormat="false" ht="15" hidden="false" customHeight="false" outlineLevel="0" collapsed="false">
      <c r="A4" s="10" t="s">
        <v>225</v>
      </c>
      <c r="B4" s="11"/>
      <c r="C4" s="11"/>
      <c r="D4" s="11"/>
      <c r="E4" s="11"/>
      <c r="F4" s="11"/>
      <c r="G4" s="11"/>
      <c r="H4" s="11"/>
      <c r="I4" s="11"/>
      <c r="J4" s="11"/>
      <c r="K4" s="11"/>
      <c r="L4" s="11"/>
      <c r="M4" s="11"/>
      <c r="N4" s="11"/>
      <c r="O4" s="11"/>
    </row>
    <row r="5" customFormat="false" ht="43.5" hidden="false" customHeight="true" outlineLevel="0" collapsed="false">
      <c r="A5" s="12" t="s">
        <v>226</v>
      </c>
      <c r="B5" s="12" t="s">
        <v>227</v>
      </c>
      <c r="C5" s="12" t="s">
        <v>228</v>
      </c>
      <c r="D5" s="12" t="s">
        <v>229</v>
      </c>
      <c r="E5" s="12" t="s">
        <v>230</v>
      </c>
      <c r="F5" s="12" t="s">
        <v>231</v>
      </c>
      <c r="G5" s="12" t="s">
        <v>232</v>
      </c>
      <c r="H5" s="12" t="s">
        <v>233</v>
      </c>
      <c r="I5" s="12" t="s">
        <v>234</v>
      </c>
      <c r="J5" s="12" t="s">
        <v>235</v>
      </c>
      <c r="K5" s="12" t="s">
        <v>236</v>
      </c>
      <c r="L5" s="12" t="s">
        <v>237</v>
      </c>
      <c r="M5" s="12" t="s">
        <v>238</v>
      </c>
      <c r="N5" s="12" t="s">
        <v>239</v>
      </c>
      <c r="O5" s="12" t="s">
        <v>240</v>
      </c>
      <c r="P5" s="60" t="s">
        <v>58</v>
      </c>
    </row>
    <row r="6" customFormat="false" ht="54" hidden="false" customHeight="true" outlineLevel="0" collapsed="false">
      <c r="A6" s="61" t="n">
        <v>46020</v>
      </c>
      <c r="B6" s="61" t="n">
        <v>46026</v>
      </c>
      <c r="C6" s="62"/>
      <c r="D6" s="63"/>
      <c r="E6" s="23"/>
      <c r="F6" s="64"/>
      <c r="G6" s="62"/>
      <c r="H6" s="29"/>
      <c r="I6" s="63"/>
      <c r="J6" s="64"/>
      <c r="K6" s="65" t="s">
        <v>241</v>
      </c>
      <c r="L6" s="23" t="s">
        <v>242</v>
      </c>
      <c r="M6" s="38" t="n">
        <f aca="false">SUMIFS('Meta data'!$C$3:$C$20000,'Meta data'!$A$3:$A$20000,"&gt;="&amp;$A6,'Meta data'!$A$3:$A$20000,"&lt;="&amp;$B6,'Meta data'!$G$3:$G$20000,"&lt;&gt;Month total")</f>
        <v>0</v>
      </c>
      <c r="N6" s="38" t="n">
        <f aca="false">SUMIFS('Google data'!$C$3:$C$20000,'Google data'!$A$3:$A$20000,"&gt;="&amp;$A6,'Google data'!$A$3:$A$20000,"&lt;="&amp;$B6,'Google data'!$G$3:$G$20000,"&lt;&gt;Month total")</f>
        <v>0</v>
      </c>
      <c r="O6" s="38" t="str">
        <f aca="false">IF(OR(C6="",M6=0),"",C6-M6)</f>
        <v/>
      </c>
      <c r="P6" s="41" t="str">
        <f aca="false">TEXT(A6,"d mmm")</f>
        <v>29 Dec</v>
      </c>
    </row>
    <row r="7" customFormat="false" ht="54" hidden="false" customHeight="true" outlineLevel="0" collapsed="false">
      <c r="A7" s="61" t="n">
        <v>46027</v>
      </c>
      <c r="B7" s="61" t="n">
        <v>46033</v>
      </c>
      <c r="C7" s="62"/>
      <c r="D7" s="63"/>
      <c r="E7" s="23"/>
      <c r="F7" s="64"/>
      <c r="G7" s="62"/>
      <c r="H7" s="29"/>
      <c r="I7" s="63"/>
      <c r="J7" s="64"/>
      <c r="K7" s="65" t="s">
        <v>241</v>
      </c>
      <c r="L7" s="23" t="s">
        <v>243</v>
      </c>
      <c r="M7" s="38" t="n">
        <f aca="false">SUMIFS('Meta data'!$C$3:$C$20000,'Meta data'!$A$3:$A$20000,"&gt;="&amp;$A7,'Meta data'!$A$3:$A$20000,"&lt;="&amp;$B7,'Meta data'!$G$3:$G$20000,"&lt;&gt;Month total")</f>
        <v>0</v>
      </c>
      <c r="N7" s="38" t="n">
        <f aca="false">SUMIFS('Google data'!$C$3:$C$20000,'Google data'!$A$3:$A$20000,"&gt;="&amp;$A7,'Google data'!$A$3:$A$20000,"&lt;="&amp;$B7,'Google data'!$G$3:$G$20000,"&lt;&gt;Month total")</f>
        <v>0</v>
      </c>
      <c r="O7" s="38" t="str">
        <f aca="false">IF(OR(C7="",M7=0),"",C7-M7)</f>
        <v/>
      </c>
      <c r="P7" s="41" t="str">
        <f aca="false">TEXT(A7,"d mmm")</f>
        <v>5 Jan</v>
      </c>
    </row>
    <row r="8" customFormat="false" ht="54" hidden="false" customHeight="true" outlineLevel="0" collapsed="false">
      <c r="A8" s="61" t="n">
        <v>46034</v>
      </c>
      <c r="B8" s="61" t="n">
        <v>46040</v>
      </c>
      <c r="C8" s="62"/>
      <c r="D8" s="63"/>
      <c r="E8" s="23"/>
      <c r="F8" s="64"/>
      <c r="G8" s="62"/>
      <c r="H8" s="29"/>
      <c r="I8" s="63"/>
      <c r="J8" s="64"/>
      <c r="K8" s="65" t="s">
        <v>241</v>
      </c>
      <c r="L8" s="23" t="s">
        <v>244</v>
      </c>
      <c r="M8" s="38" t="n">
        <f aca="false">SUMIFS('Meta data'!$C$3:$C$20000,'Meta data'!$A$3:$A$20000,"&gt;="&amp;$A8,'Meta data'!$A$3:$A$20000,"&lt;="&amp;$B8,'Meta data'!$G$3:$G$20000,"&lt;&gt;Month total")</f>
        <v>0</v>
      </c>
      <c r="N8" s="38" t="n">
        <f aca="false">SUMIFS('Google data'!$C$3:$C$20000,'Google data'!$A$3:$A$20000,"&gt;="&amp;$A8,'Google data'!$A$3:$A$20000,"&lt;="&amp;$B8,'Google data'!$G$3:$G$20000,"&lt;&gt;Month total")</f>
        <v>0</v>
      </c>
      <c r="O8" s="38" t="str">
        <f aca="false">IF(OR(C8="",M8=0),"",C8-M8)</f>
        <v/>
      </c>
      <c r="P8" s="41" t="str">
        <f aca="false">TEXT(A8,"d mmm")</f>
        <v>12 Jan</v>
      </c>
    </row>
    <row r="9" customFormat="false" ht="54" hidden="false" customHeight="true" outlineLevel="0" collapsed="false">
      <c r="A9" s="61" t="n">
        <v>46041</v>
      </c>
      <c r="B9" s="61" t="n">
        <v>46047</v>
      </c>
      <c r="C9" s="62"/>
      <c r="D9" s="63"/>
      <c r="E9" s="23"/>
      <c r="F9" s="64"/>
      <c r="G9" s="62"/>
      <c r="H9" s="29"/>
      <c r="I9" s="63"/>
      <c r="J9" s="64"/>
      <c r="K9" s="65" t="s">
        <v>241</v>
      </c>
      <c r="L9" s="23" t="s">
        <v>245</v>
      </c>
      <c r="M9" s="38" t="n">
        <f aca="false">SUMIFS('Meta data'!$C$3:$C$20000,'Meta data'!$A$3:$A$20000,"&gt;="&amp;$A9,'Meta data'!$A$3:$A$20000,"&lt;="&amp;$B9,'Meta data'!$G$3:$G$20000,"&lt;&gt;Month total")</f>
        <v>0</v>
      </c>
      <c r="N9" s="38" t="n">
        <f aca="false">SUMIFS('Google data'!$C$3:$C$20000,'Google data'!$A$3:$A$20000,"&gt;="&amp;$A9,'Google data'!$A$3:$A$20000,"&lt;="&amp;$B9,'Google data'!$G$3:$G$20000,"&lt;&gt;Month total")</f>
        <v>0</v>
      </c>
      <c r="O9" s="38" t="str">
        <f aca="false">IF(OR(C9="",M9=0),"",C9-M9)</f>
        <v/>
      </c>
      <c r="P9" s="41" t="str">
        <f aca="false">TEXT(A9,"d mmm")</f>
        <v>19 Jan</v>
      </c>
    </row>
    <row r="10" customFormat="false" ht="54" hidden="false" customHeight="true" outlineLevel="0" collapsed="false">
      <c r="A10" s="61" t="n">
        <v>46048</v>
      </c>
      <c r="B10" s="61" t="n">
        <v>46054</v>
      </c>
      <c r="C10" s="62"/>
      <c r="D10" s="63"/>
      <c r="E10" s="23"/>
      <c r="F10" s="64"/>
      <c r="G10" s="62"/>
      <c r="H10" s="29"/>
      <c r="I10" s="63"/>
      <c r="J10" s="64"/>
      <c r="K10" s="23"/>
      <c r="L10" s="23" t="s">
        <v>246</v>
      </c>
      <c r="M10" s="38" t="n">
        <f aca="false">SUMIFS('Meta data'!$C$3:$C$20000,'Meta data'!$A$3:$A$20000,"&gt;="&amp;$A10,'Meta data'!$A$3:$A$20000,"&lt;="&amp;$B10,'Meta data'!$G$3:$G$20000,"&lt;&gt;Month total")</f>
        <v>0</v>
      </c>
      <c r="N10" s="38" t="n">
        <f aca="false">SUMIFS('Google data'!$C$3:$C$20000,'Google data'!$A$3:$A$20000,"&gt;="&amp;$A10,'Google data'!$A$3:$A$20000,"&lt;="&amp;$B10,'Google data'!$G$3:$G$20000,"&lt;&gt;Month total")</f>
        <v>0</v>
      </c>
      <c r="O10" s="38" t="str">
        <f aca="false">IF(OR(C10="",M10=0),"",C10-M10)</f>
        <v/>
      </c>
      <c r="P10" s="41" t="str">
        <f aca="false">TEXT(A10,"d mmm")</f>
        <v>26 Jan</v>
      </c>
    </row>
    <row r="11" customFormat="false" ht="54" hidden="false" customHeight="true" outlineLevel="0" collapsed="false">
      <c r="A11" s="61" t="n">
        <v>46055</v>
      </c>
      <c r="B11" s="61" t="n">
        <v>46061</v>
      </c>
      <c r="C11" s="62"/>
      <c r="D11" s="63"/>
      <c r="E11" s="23"/>
      <c r="F11" s="64"/>
      <c r="G11" s="62"/>
      <c r="H11" s="29" t="s">
        <v>247</v>
      </c>
      <c r="I11" s="63"/>
      <c r="J11" s="64" t="s">
        <v>248</v>
      </c>
      <c r="K11" s="23"/>
      <c r="L11" s="23" t="s">
        <v>249</v>
      </c>
      <c r="M11" s="38" t="n">
        <f aca="false">SUMIFS('Meta data'!$C$3:$C$20000,'Meta data'!$A$3:$A$20000,"&gt;="&amp;$A11,'Meta data'!$A$3:$A$20000,"&lt;="&amp;$B11,'Meta data'!$G$3:$G$20000,"&lt;&gt;Month total")</f>
        <v>0</v>
      </c>
      <c r="N11" s="38" t="n">
        <f aca="false">SUMIFS('Google data'!$C$3:$C$20000,'Google data'!$A$3:$A$20000,"&gt;="&amp;$A11,'Google data'!$A$3:$A$20000,"&lt;="&amp;$B11,'Google data'!$G$3:$G$20000,"&lt;&gt;Month total")</f>
        <v>0</v>
      </c>
      <c r="O11" s="38" t="str">
        <f aca="false">IF(OR(C11="",M11=0),"",C11-M11)</f>
        <v/>
      </c>
      <c r="P11" s="41" t="str">
        <f aca="false">TEXT(A11,"d mmm")</f>
        <v>2 Feb</v>
      </c>
    </row>
    <row r="12" customFormat="false" ht="54" hidden="false" customHeight="true" outlineLevel="0" collapsed="false">
      <c r="A12" s="61" t="n">
        <v>46062</v>
      </c>
      <c r="B12" s="61" t="n">
        <v>46068</v>
      </c>
      <c r="C12" s="62" t="n">
        <v>7000</v>
      </c>
      <c r="D12" s="63" t="n">
        <v>428</v>
      </c>
      <c r="E12" s="23" t="s">
        <v>250</v>
      </c>
      <c r="F12" s="64" t="s">
        <v>251</v>
      </c>
      <c r="G12" s="62"/>
      <c r="H12" s="29" t="s">
        <v>247</v>
      </c>
      <c r="I12" s="63" t="n">
        <v>39</v>
      </c>
      <c r="J12" s="64" t="s">
        <v>252</v>
      </c>
      <c r="K12" s="65" t="s">
        <v>253</v>
      </c>
      <c r="L12" s="23" t="s">
        <v>254</v>
      </c>
      <c r="M12" s="38" t="n">
        <f aca="false">SUMIFS('Meta data'!$C$3:$C$20000,'Meta data'!$A$3:$A$20000,"&gt;="&amp;$A12,'Meta data'!$A$3:$A$20000,"&lt;="&amp;$B12,'Meta data'!$G$3:$G$20000,"&lt;&gt;Month total")</f>
        <v>0</v>
      </c>
      <c r="N12" s="38" t="n">
        <f aca="false">SUMIFS('Google data'!$C$3:$C$20000,'Google data'!$A$3:$A$20000,"&gt;="&amp;$A12,'Google data'!$A$3:$A$20000,"&lt;="&amp;$B12,'Google data'!$G$3:$G$20000,"&lt;&gt;Month total")</f>
        <v>0</v>
      </c>
      <c r="O12" s="38" t="str">
        <f aca="false">IF(OR(C12="",M12=0),"",C12-M12)</f>
        <v/>
      </c>
      <c r="P12" s="41" t="str">
        <f aca="false">TEXT(A12,"d mmm")</f>
        <v>9 Feb</v>
      </c>
    </row>
    <row r="13" customFormat="false" ht="54" hidden="false" customHeight="true" outlineLevel="0" collapsed="false">
      <c r="A13" s="61" t="n">
        <v>46069</v>
      </c>
      <c r="B13" s="61" t="n">
        <v>46075</v>
      </c>
      <c r="C13" s="62"/>
      <c r="D13" s="63" t="n">
        <v>529</v>
      </c>
      <c r="E13" s="23" t="s">
        <v>255</v>
      </c>
      <c r="F13" s="64" t="s">
        <v>256</v>
      </c>
      <c r="G13" s="62"/>
      <c r="H13" s="29" t="s">
        <v>247</v>
      </c>
      <c r="I13" s="63" t="n">
        <v>35</v>
      </c>
      <c r="J13" s="64" t="s">
        <v>257</v>
      </c>
      <c r="K13" s="23"/>
      <c r="L13" s="23" t="s">
        <v>258</v>
      </c>
      <c r="M13" s="38" t="n">
        <f aca="false">SUMIFS('Meta data'!$C$3:$C$20000,'Meta data'!$A$3:$A$20000,"&gt;="&amp;$A13,'Meta data'!$A$3:$A$20000,"&lt;="&amp;$B13,'Meta data'!$G$3:$G$20000,"&lt;&gt;Month total")</f>
        <v>0</v>
      </c>
      <c r="N13" s="38" t="n">
        <f aca="false">SUMIFS('Google data'!$C$3:$C$20000,'Google data'!$A$3:$A$20000,"&gt;="&amp;$A13,'Google data'!$A$3:$A$20000,"&lt;="&amp;$B13,'Google data'!$G$3:$G$20000,"&lt;&gt;Month total")</f>
        <v>0</v>
      </c>
      <c r="O13" s="38" t="str">
        <f aca="false">IF(OR(C13="",M13=0),"",C13-M13)</f>
        <v/>
      </c>
      <c r="P13" s="41" t="str">
        <f aca="false">TEXT(A13,"d mmm")</f>
        <v>16 Feb</v>
      </c>
    </row>
    <row r="14" customFormat="false" ht="54" hidden="false" customHeight="true" outlineLevel="0" collapsed="false">
      <c r="A14" s="61" t="n">
        <v>46076</v>
      </c>
      <c r="B14" s="61" t="n">
        <v>46082</v>
      </c>
      <c r="C14" s="62"/>
      <c r="D14" s="63" t="n">
        <v>395</v>
      </c>
      <c r="E14" s="23" t="s">
        <v>255</v>
      </c>
      <c r="F14" s="64" t="s">
        <v>259</v>
      </c>
      <c r="G14" s="62"/>
      <c r="H14" s="29" t="s">
        <v>247</v>
      </c>
      <c r="I14" s="63" t="n">
        <v>36</v>
      </c>
      <c r="J14" s="64" t="s">
        <v>260</v>
      </c>
      <c r="K14" s="23"/>
      <c r="L14" s="23" t="s">
        <v>261</v>
      </c>
      <c r="M14" s="38" t="n">
        <f aca="false">SUMIFS('Meta data'!$C$3:$C$20000,'Meta data'!$A$3:$A$20000,"&gt;="&amp;$A14,'Meta data'!$A$3:$A$20000,"&lt;="&amp;$B14,'Meta data'!$G$3:$G$20000,"&lt;&gt;Month total")</f>
        <v>0</v>
      </c>
      <c r="N14" s="38" t="n">
        <f aca="false">SUMIFS('Google data'!$C$3:$C$20000,'Google data'!$A$3:$A$20000,"&gt;="&amp;$A14,'Google data'!$A$3:$A$20000,"&lt;="&amp;$B14,'Google data'!$G$3:$G$20000,"&lt;&gt;Month total")</f>
        <v>0</v>
      </c>
      <c r="O14" s="38" t="str">
        <f aca="false">IF(OR(C14="",M14=0),"",C14-M14)</f>
        <v/>
      </c>
      <c r="P14" s="41" t="str">
        <f aca="false">TEXT(A14,"d mmm")</f>
        <v>23 Feb</v>
      </c>
    </row>
    <row r="15" customFormat="false" ht="54" hidden="false" customHeight="true" outlineLevel="0" collapsed="false">
      <c r="A15" s="61" t="n">
        <v>46083</v>
      </c>
      <c r="B15" s="61" t="n">
        <v>46089</v>
      </c>
      <c r="C15" s="62" t="n">
        <v>9524.34</v>
      </c>
      <c r="D15" s="63" t="n">
        <v>413</v>
      </c>
      <c r="E15" s="23" t="s">
        <v>255</v>
      </c>
      <c r="F15" s="64" t="s">
        <v>262</v>
      </c>
      <c r="G15" s="62" t="n">
        <v>2001.72</v>
      </c>
      <c r="H15" s="29" t="s">
        <v>247</v>
      </c>
      <c r="I15" s="63" t="n">
        <v>40</v>
      </c>
      <c r="J15" s="64" t="s">
        <v>263</v>
      </c>
      <c r="K15" s="65" t="s">
        <v>264</v>
      </c>
      <c r="L15" s="23" t="s">
        <v>265</v>
      </c>
      <c r="M15" s="38" t="n">
        <f aca="false">SUMIFS('Meta data'!$C$3:$C$20000,'Meta data'!$A$3:$A$20000,"&gt;="&amp;$A15,'Meta data'!$A$3:$A$20000,"&lt;="&amp;$B15,'Meta data'!$G$3:$G$20000,"&lt;&gt;Month total")</f>
        <v>0</v>
      </c>
      <c r="N15" s="38" t="n">
        <f aca="false">SUMIFS('Google data'!$C$3:$C$20000,'Google data'!$A$3:$A$20000,"&gt;="&amp;$A15,'Google data'!$A$3:$A$20000,"&lt;="&amp;$B15,'Google data'!$G$3:$G$20000,"&lt;&gt;Month total")</f>
        <v>0</v>
      </c>
      <c r="O15" s="38" t="str">
        <f aca="false">IF(OR(C15="",M15=0),"",C15-M15)</f>
        <v/>
      </c>
      <c r="P15" s="41" t="str">
        <f aca="false">TEXT(A15,"d mmm")</f>
        <v>2 Mar</v>
      </c>
    </row>
    <row r="16" customFormat="false" ht="54" hidden="false" customHeight="true" outlineLevel="0" collapsed="false">
      <c r="A16" s="61" t="n">
        <v>46090</v>
      </c>
      <c r="B16" s="61" t="n">
        <v>46096</v>
      </c>
      <c r="C16" s="62" t="n">
        <v>9576.29</v>
      </c>
      <c r="D16" s="63" t="n">
        <v>348</v>
      </c>
      <c r="E16" s="23" t="s">
        <v>255</v>
      </c>
      <c r="F16" s="64" t="s">
        <v>266</v>
      </c>
      <c r="G16" s="62" t="n">
        <v>2281.74</v>
      </c>
      <c r="H16" s="29" t="s">
        <v>247</v>
      </c>
      <c r="I16" s="63" t="n">
        <v>45</v>
      </c>
      <c r="J16" s="64" t="s">
        <v>267</v>
      </c>
      <c r="K16" s="65" t="s">
        <v>264</v>
      </c>
      <c r="L16" s="23" t="s">
        <v>268</v>
      </c>
      <c r="M16" s="38" t="n">
        <f aca="false">SUMIFS('Meta data'!$C$3:$C$20000,'Meta data'!$A$3:$A$20000,"&gt;="&amp;$A16,'Meta data'!$A$3:$A$20000,"&lt;="&amp;$B16,'Meta data'!$G$3:$G$20000,"&lt;&gt;Month total")</f>
        <v>0</v>
      </c>
      <c r="N16" s="38" t="n">
        <f aca="false">SUMIFS('Google data'!$C$3:$C$20000,'Google data'!$A$3:$A$20000,"&gt;="&amp;$A16,'Google data'!$A$3:$A$20000,"&lt;="&amp;$B16,'Google data'!$G$3:$G$20000,"&lt;&gt;Month total")</f>
        <v>0</v>
      </c>
      <c r="O16" s="38" t="str">
        <f aca="false">IF(OR(C16="",M16=0),"",C16-M16)</f>
        <v/>
      </c>
      <c r="P16" s="41" t="str">
        <f aca="false">TEXT(A16,"d mmm")</f>
        <v>9 Mar</v>
      </c>
    </row>
    <row r="17" customFormat="false" ht="54" hidden="false" customHeight="true" outlineLevel="0" collapsed="false">
      <c r="A17" s="61" t="n">
        <v>46097</v>
      </c>
      <c r="B17" s="61" t="n">
        <v>46103</v>
      </c>
      <c r="C17" s="62" t="n">
        <v>9620.3</v>
      </c>
      <c r="D17" s="63" t="n">
        <v>343</v>
      </c>
      <c r="E17" s="23" t="s">
        <v>255</v>
      </c>
      <c r="F17" s="64" t="s">
        <v>269</v>
      </c>
      <c r="G17" s="62" t="n">
        <v>2696.09</v>
      </c>
      <c r="H17" s="29" t="s">
        <v>247</v>
      </c>
      <c r="I17" s="63" t="n">
        <v>25</v>
      </c>
      <c r="J17" s="64" t="s">
        <v>270</v>
      </c>
      <c r="K17" s="65" t="s">
        <v>271</v>
      </c>
      <c r="L17" s="23" t="s">
        <v>272</v>
      </c>
      <c r="M17" s="38" t="n">
        <f aca="false">SUMIFS('Meta data'!$C$3:$C$20000,'Meta data'!$A$3:$A$20000,"&gt;="&amp;$A17,'Meta data'!$A$3:$A$20000,"&lt;="&amp;$B17,'Meta data'!$G$3:$G$20000,"&lt;&gt;Month total")</f>
        <v>0</v>
      </c>
      <c r="N17" s="38" t="n">
        <f aca="false">SUMIFS('Google data'!$C$3:$C$20000,'Google data'!$A$3:$A$20000,"&gt;="&amp;$A17,'Google data'!$A$3:$A$20000,"&lt;="&amp;$B17,'Google data'!$G$3:$G$20000,"&lt;&gt;Month total")</f>
        <v>0</v>
      </c>
      <c r="O17" s="38" t="str">
        <f aca="false">IF(OR(C17="",M17=0),"",C17-M17)</f>
        <v/>
      </c>
      <c r="P17" s="41" t="str">
        <f aca="false">TEXT(A17,"d mmm")</f>
        <v>16 Mar</v>
      </c>
    </row>
    <row r="18" customFormat="false" ht="54" hidden="false" customHeight="true" outlineLevel="0" collapsed="false">
      <c r="A18" s="61" t="n">
        <v>46104</v>
      </c>
      <c r="B18" s="61" t="n">
        <v>46110</v>
      </c>
      <c r="C18" s="62" t="n">
        <v>6541.52</v>
      </c>
      <c r="D18" s="63" t="n">
        <v>286</v>
      </c>
      <c r="E18" s="23" t="s">
        <v>255</v>
      </c>
      <c r="F18" s="64" t="s">
        <v>273</v>
      </c>
      <c r="G18" s="62" t="n">
        <v>2563.26</v>
      </c>
      <c r="H18" s="29" t="s">
        <v>247</v>
      </c>
      <c r="I18" s="63" t="n">
        <v>21</v>
      </c>
      <c r="J18" s="64" t="s">
        <v>274</v>
      </c>
      <c r="K18" s="23"/>
      <c r="L18" s="23" t="s">
        <v>275</v>
      </c>
      <c r="M18" s="38" t="n">
        <f aca="false">SUMIFS('Meta data'!$C$3:$C$20000,'Meta data'!$A$3:$A$20000,"&gt;="&amp;$A18,'Meta data'!$A$3:$A$20000,"&lt;="&amp;$B18,'Meta data'!$G$3:$G$20000,"&lt;&gt;Month total")</f>
        <v>0</v>
      </c>
      <c r="N18" s="38" t="n">
        <f aca="false">SUMIFS('Google data'!$C$3:$C$20000,'Google data'!$A$3:$A$20000,"&gt;="&amp;$A18,'Google data'!$A$3:$A$20000,"&lt;="&amp;$B18,'Google data'!$G$3:$G$20000,"&lt;&gt;Month total")</f>
        <v>0</v>
      </c>
      <c r="O18" s="38" t="str">
        <f aca="false">IF(OR(C18="",M18=0),"",C18-M18)</f>
        <v/>
      </c>
      <c r="P18" s="41" t="str">
        <f aca="false">TEXT(A18,"d mmm")</f>
        <v>23 Mar</v>
      </c>
    </row>
    <row r="19" customFormat="false" ht="54" hidden="false" customHeight="true" outlineLevel="0" collapsed="false">
      <c r="A19" s="61" t="n">
        <v>46111</v>
      </c>
      <c r="B19" s="61" t="n">
        <v>46117</v>
      </c>
      <c r="C19" s="62" t="n">
        <v>5195.57</v>
      </c>
      <c r="D19" s="63" t="n">
        <v>218</v>
      </c>
      <c r="E19" s="23" t="s">
        <v>255</v>
      </c>
      <c r="F19" s="64" t="s">
        <v>276</v>
      </c>
      <c r="G19" s="62" t="n">
        <v>2314.85</v>
      </c>
      <c r="H19" s="29" t="s">
        <v>247</v>
      </c>
      <c r="I19" s="63" t="n">
        <v>21</v>
      </c>
      <c r="J19" s="64" t="s">
        <v>277</v>
      </c>
      <c r="K19" s="23"/>
      <c r="L19" s="23" t="s">
        <v>278</v>
      </c>
      <c r="M19" s="38" t="n">
        <f aca="false">SUMIFS('Meta data'!$C$3:$C$20000,'Meta data'!$A$3:$A$20000,"&gt;="&amp;$A19,'Meta data'!$A$3:$A$20000,"&lt;="&amp;$B19,'Meta data'!$G$3:$G$20000,"&lt;&gt;Month total")</f>
        <v>0</v>
      </c>
      <c r="N19" s="38" t="n">
        <f aca="false">SUMIFS('Google data'!$C$3:$C$20000,'Google data'!$A$3:$A$20000,"&gt;="&amp;$A19,'Google data'!$A$3:$A$20000,"&lt;="&amp;$B19,'Google data'!$G$3:$G$20000,"&lt;&gt;Month total")</f>
        <v>0</v>
      </c>
      <c r="O19" s="38" t="str">
        <f aca="false">IF(OR(C19="",M19=0),"",C19-M19)</f>
        <v/>
      </c>
      <c r="P19" s="41" t="str">
        <f aca="false">TEXT(A19,"d mmm")</f>
        <v>30 Mar</v>
      </c>
    </row>
    <row r="20" customFormat="false" ht="54" hidden="false" customHeight="true" outlineLevel="0" collapsed="false">
      <c r="A20" s="61" t="n">
        <v>46118</v>
      </c>
      <c r="B20" s="61" t="n">
        <v>46124</v>
      </c>
      <c r="C20" s="62" t="n">
        <v>5284.58</v>
      </c>
      <c r="D20" s="63" t="n">
        <v>210</v>
      </c>
      <c r="E20" s="23" t="s">
        <v>279</v>
      </c>
      <c r="F20" s="64" t="s">
        <v>280</v>
      </c>
      <c r="G20" s="62" t="n">
        <v>3850.45</v>
      </c>
      <c r="H20" s="29" t="s">
        <v>247</v>
      </c>
      <c r="I20" s="63" t="n">
        <v>40.98</v>
      </c>
      <c r="J20" s="64" t="s">
        <v>281</v>
      </c>
      <c r="K20" s="65" t="s">
        <v>282</v>
      </c>
      <c r="L20" s="23" t="s">
        <v>283</v>
      </c>
      <c r="M20" s="38" t="n">
        <f aca="false">SUMIFS('Meta data'!$C$3:$C$20000,'Meta data'!$A$3:$A$20000,"&gt;="&amp;$A20,'Meta data'!$A$3:$A$20000,"&lt;="&amp;$B20,'Meta data'!$G$3:$G$20000,"&lt;&gt;Month total")</f>
        <v>0</v>
      </c>
      <c r="N20" s="38" t="n">
        <f aca="false">SUMIFS('Google data'!$C$3:$C$20000,'Google data'!$A$3:$A$20000,"&gt;="&amp;$A20,'Google data'!$A$3:$A$20000,"&lt;="&amp;$B20,'Google data'!$G$3:$G$20000,"&lt;&gt;Month total")</f>
        <v>0</v>
      </c>
      <c r="O20" s="38" t="str">
        <f aca="false">IF(OR(C20="",M20=0),"",C20-M20)</f>
        <v/>
      </c>
      <c r="P20" s="41" t="str">
        <f aca="false">TEXT(A20,"d mmm")</f>
        <v>6 Apr</v>
      </c>
    </row>
    <row r="21" customFormat="false" ht="54" hidden="false" customHeight="true" outlineLevel="0" collapsed="false">
      <c r="A21" s="61" t="n">
        <v>46125</v>
      </c>
      <c r="B21" s="61" t="n">
        <v>46131</v>
      </c>
      <c r="C21" s="62" t="n">
        <v>5136.46</v>
      </c>
      <c r="D21" s="63" t="n">
        <v>201</v>
      </c>
      <c r="E21" s="23" t="s">
        <v>284</v>
      </c>
      <c r="F21" s="64" t="s">
        <v>285</v>
      </c>
      <c r="G21" s="62" t="n">
        <v>1548.87</v>
      </c>
      <c r="H21" s="29" t="s">
        <v>247</v>
      </c>
      <c r="I21" s="63" t="n">
        <v>35.9</v>
      </c>
      <c r="J21" s="64" t="s">
        <v>286</v>
      </c>
      <c r="K21" s="23"/>
      <c r="L21" s="23" t="s">
        <v>287</v>
      </c>
      <c r="M21" s="38" t="n">
        <f aca="false">SUMIFS('Meta data'!$C$3:$C$20000,'Meta data'!$A$3:$A$20000,"&gt;="&amp;$A21,'Meta data'!$A$3:$A$20000,"&lt;="&amp;$B21,'Meta data'!$G$3:$G$20000,"&lt;&gt;Month total")</f>
        <v>0</v>
      </c>
      <c r="N21" s="38" t="n">
        <f aca="false">SUMIFS('Google data'!$C$3:$C$20000,'Google data'!$A$3:$A$20000,"&gt;="&amp;$A21,'Google data'!$A$3:$A$20000,"&lt;="&amp;$B21,'Google data'!$G$3:$G$20000,"&lt;&gt;Month total")</f>
        <v>0</v>
      </c>
      <c r="O21" s="38" t="str">
        <f aca="false">IF(OR(C21="",M21=0),"",C21-M21)</f>
        <v/>
      </c>
      <c r="P21" s="41" t="str">
        <f aca="false">TEXT(A21,"d mmm")</f>
        <v>13 Apr</v>
      </c>
    </row>
    <row r="22" customFormat="false" ht="54" hidden="false" customHeight="true" outlineLevel="0" collapsed="false">
      <c r="A22" s="61" t="n">
        <v>46132</v>
      </c>
      <c r="B22" s="61" t="n">
        <v>46138</v>
      </c>
      <c r="C22" s="62" t="n">
        <v>4424.25</v>
      </c>
      <c r="D22" s="63" t="n">
        <v>151</v>
      </c>
      <c r="E22" s="23" t="s">
        <v>255</v>
      </c>
      <c r="F22" s="64" t="s">
        <v>288</v>
      </c>
      <c r="G22" s="62" t="n">
        <v>2107.74</v>
      </c>
      <c r="H22" s="29" t="s">
        <v>247</v>
      </c>
      <c r="I22" s="63" t="n">
        <v>22</v>
      </c>
      <c r="J22" s="64" t="s">
        <v>289</v>
      </c>
      <c r="K22" s="65" t="s">
        <v>290</v>
      </c>
      <c r="L22" s="23" t="s">
        <v>291</v>
      </c>
      <c r="M22" s="38" t="n">
        <f aca="false">SUMIFS('Meta data'!$C$3:$C$20000,'Meta data'!$A$3:$A$20000,"&gt;="&amp;$A22,'Meta data'!$A$3:$A$20000,"&lt;="&amp;$B22,'Meta data'!$G$3:$G$20000,"&lt;&gt;Month total")</f>
        <v>0</v>
      </c>
      <c r="N22" s="38" t="n">
        <f aca="false">SUMIFS('Google data'!$C$3:$C$20000,'Google data'!$A$3:$A$20000,"&gt;="&amp;$A22,'Google data'!$A$3:$A$20000,"&lt;="&amp;$B22,'Google data'!$G$3:$G$20000,"&lt;&gt;Month total")</f>
        <v>0</v>
      </c>
      <c r="O22" s="38" t="str">
        <f aca="false">IF(OR(C22="",M22=0),"",C22-M22)</f>
        <v/>
      </c>
      <c r="P22" s="41" t="str">
        <f aca="false">TEXT(A22,"d mmm")</f>
        <v>20 Apr</v>
      </c>
    </row>
    <row r="23" customFormat="false" ht="54" hidden="false" customHeight="true" outlineLevel="0" collapsed="false">
      <c r="A23" s="61" t="n">
        <v>46139</v>
      </c>
      <c r="B23" s="61" t="n">
        <v>46145</v>
      </c>
      <c r="C23" s="62" t="n">
        <v>5340.95</v>
      </c>
      <c r="D23" s="63" t="n">
        <v>167</v>
      </c>
      <c r="E23" s="23" t="s">
        <v>255</v>
      </c>
      <c r="F23" s="64" t="s">
        <v>292</v>
      </c>
      <c r="G23" s="62" t="n">
        <v>2395.86</v>
      </c>
      <c r="H23" s="29" t="s">
        <v>247</v>
      </c>
      <c r="I23" s="63" t="n">
        <v>20</v>
      </c>
      <c r="J23" s="64" t="s">
        <v>293</v>
      </c>
      <c r="K23" s="23"/>
      <c r="L23" s="23" t="s">
        <v>294</v>
      </c>
      <c r="M23" s="38" t="n">
        <f aca="false">SUMIFS('Meta data'!$C$3:$C$20000,'Meta data'!$A$3:$A$20000,"&gt;="&amp;$A23,'Meta data'!$A$3:$A$20000,"&lt;="&amp;$B23,'Meta data'!$G$3:$G$20000,"&lt;&gt;Month total")</f>
        <v>0</v>
      </c>
      <c r="N23" s="38" t="n">
        <f aca="false">SUMIFS('Google data'!$C$3:$C$20000,'Google data'!$A$3:$A$20000,"&gt;="&amp;$A23,'Google data'!$A$3:$A$20000,"&lt;="&amp;$B23,'Google data'!$G$3:$G$20000,"&lt;&gt;Month total")</f>
        <v>0</v>
      </c>
      <c r="O23" s="38" t="str">
        <f aca="false">IF(OR(C23="",M23=0),"",C23-M23)</f>
        <v/>
      </c>
      <c r="P23" s="41" t="str">
        <f aca="false">TEXT(A23,"d mmm")</f>
        <v>27 Apr</v>
      </c>
    </row>
    <row r="24" customFormat="false" ht="54" hidden="false" customHeight="true" outlineLevel="0" collapsed="false">
      <c r="A24" s="61" t="n">
        <v>46146</v>
      </c>
      <c r="B24" s="61" t="n">
        <v>46152</v>
      </c>
      <c r="C24" s="62" t="n">
        <v>5084.11</v>
      </c>
      <c r="D24" s="63" t="n">
        <v>147</v>
      </c>
      <c r="E24" s="23" t="s">
        <v>255</v>
      </c>
      <c r="F24" s="64" t="s">
        <v>295</v>
      </c>
      <c r="G24" s="62" t="n">
        <v>2552.59</v>
      </c>
      <c r="H24" s="29" t="s">
        <v>247</v>
      </c>
      <c r="I24" s="63" t="n">
        <v>37</v>
      </c>
      <c r="J24" s="64" t="s">
        <v>296</v>
      </c>
      <c r="K24" s="23"/>
      <c r="L24" s="23" t="s">
        <v>297</v>
      </c>
      <c r="M24" s="38" t="n">
        <f aca="false">SUMIFS('Meta data'!$C$3:$C$20000,'Meta data'!$A$3:$A$20000,"&gt;="&amp;$A24,'Meta data'!$A$3:$A$20000,"&lt;="&amp;$B24,'Meta data'!$G$3:$G$20000,"&lt;&gt;Month total")</f>
        <v>0</v>
      </c>
      <c r="N24" s="38" t="n">
        <f aca="false">SUMIFS('Google data'!$C$3:$C$20000,'Google data'!$A$3:$A$20000,"&gt;="&amp;$A24,'Google data'!$A$3:$A$20000,"&lt;="&amp;$B24,'Google data'!$G$3:$G$20000,"&lt;&gt;Month total")</f>
        <v>0</v>
      </c>
      <c r="O24" s="38" t="str">
        <f aca="false">IF(OR(C24="",M24=0),"",C24-M24)</f>
        <v/>
      </c>
      <c r="P24" s="41" t="str">
        <f aca="false">TEXT(A24,"d mmm")</f>
        <v>4 May</v>
      </c>
    </row>
    <row r="25" customFormat="false" ht="54" hidden="false" customHeight="true" outlineLevel="0" collapsed="false">
      <c r="A25" s="61" t="n">
        <v>46153</v>
      </c>
      <c r="B25" s="61" t="n">
        <v>46159</v>
      </c>
      <c r="C25" s="62" t="n">
        <v>4598.76</v>
      </c>
      <c r="D25" s="63" t="n">
        <v>121</v>
      </c>
      <c r="E25" s="23" t="s">
        <v>298</v>
      </c>
      <c r="F25" s="64" t="s">
        <v>299</v>
      </c>
      <c r="G25" s="62" t="n">
        <v>4653.95</v>
      </c>
      <c r="H25" s="29" t="s">
        <v>300</v>
      </c>
      <c r="I25" s="63" t="n">
        <v>117</v>
      </c>
      <c r="J25" s="64" t="s">
        <v>301</v>
      </c>
      <c r="K25" s="65" t="s">
        <v>302</v>
      </c>
      <c r="L25" s="23" t="s">
        <v>303</v>
      </c>
      <c r="M25" s="38" t="n">
        <f aca="false">SUMIFS('Meta data'!$C$3:$C$20000,'Meta data'!$A$3:$A$20000,"&gt;="&amp;$A25,'Meta data'!$A$3:$A$20000,"&lt;="&amp;$B25,'Meta data'!$G$3:$G$20000,"&lt;&gt;Month total")</f>
        <v>0</v>
      </c>
      <c r="N25" s="38" t="n">
        <f aca="false">SUMIFS('Google data'!$C$3:$C$20000,'Google data'!$A$3:$A$20000,"&gt;="&amp;$A25,'Google data'!$A$3:$A$20000,"&lt;="&amp;$B25,'Google data'!$G$3:$G$20000,"&lt;&gt;Month total")</f>
        <v>0</v>
      </c>
      <c r="O25" s="38" t="str">
        <f aca="false">IF(OR(C25="",M25=0),"",C25-M25)</f>
        <v/>
      </c>
      <c r="P25" s="41" t="str">
        <f aca="false">TEXT(A25,"d mmm")</f>
        <v>11 May</v>
      </c>
    </row>
    <row r="26" customFormat="false" ht="54" hidden="false" customHeight="true" outlineLevel="0" collapsed="false">
      <c r="A26" s="61" t="n">
        <v>46160</v>
      </c>
      <c r="B26" s="61" t="n">
        <v>46166</v>
      </c>
      <c r="C26" s="62" t="n">
        <v>5084.88</v>
      </c>
      <c r="D26" s="63" t="n">
        <v>134</v>
      </c>
      <c r="E26" s="23" t="s">
        <v>304</v>
      </c>
      <c r="F26" s="64" t="s">
        <v>305</v>
      </c>
      <c r="G26" s="62" t="n">
        <v>2376.49</v>
      </c>
      <c r="H26" s="29" t="s">
        <v>247</v>
      </c>
      <c r="I26" s="63" t="n">
        <v>36</v>
      </c>
      <c r="J26" s="64" t="s">
        <v>306</v>
      </c>
      <c r="K26" s="23"/>
      <c r="L26" s="23" t="s">
        <v>307</v>
      </c>
      <c r="M26" s="38" t="n">
        <f aca="false">SUMIFS('Meta data'!$C$3:$C$20000,'Meta data'!$A$3:$A$20000,"&gt;="&amp;$A26,'Meta data'!$A$3:$A$20000,"&lt;="&amp;$B26,'Meta data'!$G$3:$G$20000,"&lt;&gt;Month total")</f>
        <v>0</v>
      </c>
      <c r="N26" s="38" t="n">
        <f aca="false">SUMIFS('Google data'!$C$3:$C$20000,'Google data'!$A$3:$A$20000,"&gt;="&amp;$A26,'Google data'!$A$3:$A$20000,"&lt;="&amp;$B26,'Google data'!$G$3:$G$20000,"&lt;&gt;Month total")</f>
        <v>0</v>
      </c>
      <c r="O26" s="38" t="str">
        <f aca="false">IF(OR(C26="",M26=0),"",C26-M26)</f>
        <v/>
      </c>
      <c r="P26" s="41" t="str">
        <f aca="false">TEXT(A26,"d mmm")</f>
        <v>18 May</v>
      </c>
    </row>
    <row r="27" customFormat="false" ht="54" hidden="false" customHeight="true" outlineLevel="0" collapsed="false">
      <c r="A27" s="61" t="n">
        <v>46167</v>
      </c>
      <c r="B27" s="61" t="n">
        <v>46173</v>
      </c>
      <c r="C27" s="62" t="n">
        <v>5163.22</v>
      </c>
      <c r="D27" s="63" t="n">
        <v>104</v>
      </c>
      <c r="E27" s="23" t="s">
        <v>255</v>
      </c>
      <c r="F27" s="64" t="s">
        <v>308</v>
      </c>
      <c r="G27" s="62" t="n">
        <v>5539.58</v>
      </c>
      <c r="H27" s="29" t="s">
        <v>247</v>
      </c>
      <c r="I27" s="63" t="n">
        <v>38.44</v>
      </c>
      <c r="J27" s="64" t="s">
        <v>309</v>
      </c>
      <c r="K27" s="65" t="s">
        <v>310</v>
      </c>
      <c r="L27" s="23" t="s">
        <v>311</v>
      </c>
      <c r="M27" s="38" t="n">
        <f aca="false">SUMIFS('Meta data'!$C$3:$C$20000,'Meta data'!$A$3:$A$20000,"&gt;="&amp;$A27,'Meta data'!$A$3:$A$20000,"&lt;="&amp;$B27,'Meta data'!$G$3:$G$20000,"&lt;&gt;Month total")</f>
        <v>0</v>
      </c>
      <c r="N27" s="38" t="n">
        <f aca="false">SUMIFS('Google data'!$C$3:$C$20000,'Google data'!$A$3:$A$20000,"&gt;="&amp;$A27,'Google data'!$A$3:$A$20000,"&lt;="&amp;$B27,'Google data'!$G$3:$G$20000,"&lt;&gt;Month total")</f>
        <v>0</v>
      </c>
      <c r="O27" s="38" t="str">
        <f aca="false">IF(OR(C27="",M27=0),"",C27-M27)</f>
        <v/>
      </c>
      <c r="P27" s="41" t="str">
        <f aca="false">TEXT(A27,"d mmm")</f>
        <v>25 May</v>
      </c>
    </row>
    <row r="28" customFormat="false" ht="54" hidden="false" customHeight="true" outlineLevel="0" collapsed="false">
      <c r="A28" s="61" t="n">
        <v>46174</v>
      </c>
      <c r="B28" s="61" t="n">
        <v>46180</v>
      </c>
      <c r="C28" s="62" t="n">
        <v>4657.98</v>
      </c>
      <c r="D28" s="63" t="n">
        <v>134</v>
      </c>
      <c r="E28" s="23" t="s">
        <v>255</v>
      </c>
      <c r="F28" s="64" t="s">
        <v>312</v>
      </c>
      <c r="G28" s="62" t="n">
        <v>2898.53</v>
      </c>
      <c r="H28" s="29" t="s">
        <v>247</v>
      </c>
      <c r="I28" s="63" t="n">
        <v>26</v>
      </c>
      <c r="J28" s="64" t="s">
        <v>313</v>
      </c>
      <c r="K28" s="23"/>
      <c r="L28" s="23" t="s">
        <v>314</v>
      </c>
      <c r="M28" s="38" t="n">
        <f aca="false">SUMIFS('Meta data'!$C$3:$C$20000,'Meta data'!$A$3:$A$20000,"&gt;="&amp;$A28,'Meta data'!$A$3:$A$20000,"&lt;="&amp;$B28,'Meta data'!$G$3:$G$20000,"&lt;&gt;Month total")</f>
        <v>0</v>
      </c>
      <c r="N28" s="38" t="n">
        <f aca="false">SUMIFS('Google data'!$C$3:$C$20000,'Google data'!$A$3:$A$20000,"&gt;="&amp;$A28,'Google data'!$A$3:$A$20000,"&lt;="&amp;$B28,'Google data'!$G$3:$G$20000,"&lt;&gt;Month total")</f>
        <v>0</v>
      </c>
      <c r="O28" s="38" t="str">
        <f aca="false">IF(OR(C28="",M28=0),"",C28-M28)</f>
        <v/>
      </c>
      <c r="P28" s="41" t="str">
        <f aca="false">TEXT(A28,"d mmm")</f>
        <v>1 Jun</v>
      </c>
    </row>
    <row r="29" customFormat="false" ht="54" hidden="false" customHeight="true" outlineLevel="0" collapsed="false">
      <c r="A29" s="61" t="n">
        <v>46181</v>
      </c>
      <c r="B29" s="61" t="n">
        <v>46187</v>
      </c>
      <c r="C29" s="62" t="n">
        <v>3956.44</v>
      </c>
      <c r="D29" s="63" t="n">
        <v>109</v>
      </c>
      <c r="E29" s="23" t="s">
        <v>255</v>
      </c>
      <c r="F29" s="64" t="s">
        <v>315</v>
      </c>
      <c r="G29" s="62" t="n">
        <v>2313.79</v>
      </c>
      <c r="H29" s="29" t="s">
        <v>247</v>
      </c>
      <c r="I29" s="63" t="n">
        <v>29</v>
      </c>
      <c r="J29" s="64" t="s">
        <v>316</v>
      </c>
      <c r="K29" s="23"/>
      <c r="L29" s="23" t="s">
        <v>317</v>
      </c>
      <c r="M29" s="38" t="n">
        <f aca="false">SUMIFS('Meta data'!$C$3:$C$20000,'Meta data'!$A$3:$A$20000,"&gt;="&amp;$A29,'Meta data'!$A$3:$A$20000,"&lt;="&amp;$B29,'Meta data'!$G$3:$G$20000,"&lt;&gt;Month total")</f>
        <v>0</v>
      </c>
      <c r="N29" s="38" t="n">
        <f aca="false">SUMIFS('Google data'!$C$3:$C$20000,'Google data'!$A$3:$A$20000,"&gt;="&amp;$A29,'Google data'!$A$3:$A$20000,"&lt;="&amp;$B29,'Google data'!$G$3:$G$20000,"&lt;&gt;Month total")</f>
        <v>0</v>
      </c>
      <c r="O29" s="38" t="str">
        <f aca="false">IF(OR(C29="",M29=0),"",C29-M29)</f>
        <v/>
      </c>
      <c r="P29" s="41" t="str">
        <f aca="false">TEXT(A29,"d mmm")</f>
        <v>8 Jun</v>
      </c>
    </row>
    <row r="30" customFormat="false" ht="54" hidden="false" customHeight="true" outlineLevel="0" collapsed="false">
      <c r="A30" s="61" t="n">
        <v>46188</v>
      </c>
      <c r="B30" s="61" t="n">
        <v>46194</v>
      </c>
      <c r="C30" s="62" t="n">
        <v>3859</v>
      </c>
      <c r="D30" s="63" t="n">
        <v>130</v>
      </c>
      <c r="E30" s="23" t="s">
        <v>318</v>
      </c>
      <c r="F30" s="64" t="s">
        <v>319</v>
      </c>
      <c r="G30" s="62" t="n">
        <v>2388</v>
      </c>
      <c r="H30" s="29" t="s">
        <v>247</v>
      </c>
      <c r="I30" s="63" t="n">
        <v>30.3</v>
      </c>
      <c r="J30" s="64" t="s">
        <v>320</v>
      </c>
      <c r="K30" s="23"/>
      <c r="L30" s="23" t="s">
        <v>321</v>
      </c>
      <c r="M30" s="38" t="n">
        <f aca="false">SUMIFS('Meta data'!$C$3:$C$20000,'Meta data'!$A$3:$A$20000,"&gt;="&amp;$A30,'Meta data'!$A$3:$A$20000,"&lt;="&amp;$B30,'Meta data'!$G$3:$G$20000,"&lt;&gt;Month total")</f>
        <v>0</v>
      </c>
      <c r="N30" s="38" t="n">
        <f aca="false">SUMIFS('Google data'!$C$3:$C$20000,'Google data'!$A$3:$A$20000,"&gt;="&amp;$A30,'Google data'!$A$3:$A$20000,"&lt;="&amp;$B30,'Google data'!$G$3:$G$20000,"&lt;&gt;Month total")</f>
        <v>0</v>
      </c>
      <c r="O30" s="38" t="str">
        <f aca="false">IF(OR(C30="",M30=0),"",C30-M30)</f>
        <v/>
      </c>
      <c r="P30" s="41" t="str">
        <f aca="false">TEXT(A30,"d mmm")</f>
        <v>15 Jun</v>
      </c>
    </row>
    <row r="31" customFormat="false" ht="54" hidden="false" customHeight="true" outlineLevel="0" collapsed="false">
      <c r="A31" s="61" t="n">
        <v>46195</v>
      </c>
      <c r="B31" s="61" t="n">
        <v>46201</v>
      </c>
      <c r="C31" s="62" t="n">
        <v>3786.67</v>
      </c>
      <c r="D31" s="63" t="n">
        <v>75</v>
      </c>
      <c r="E31" s="23" t="s">
        <v>255</v>
      </c>
      <c r="F31" s="64" t="s">
        <v>322</v>
      </c>
      <c r="G31" s="62" t="n">
        <v>3572.29</v>
      </c>
      <c r="H31" s="29" t="s">
        <v>247</v>
      </c>
      <c r="I31" s="63" t="n">
        <v>45.96</v>
      </c>
      <c r="J31" s="64" t="s">
        <v>323</v>
      </c>
      <c r="K31" s="23"/>
      <c r="L31" s="23" t="s">
        <v>324</v>
      </c>
      <c r="M31" s="38" t="n">
        <f aca="false">SUMIFS('Meta data'!$C$3:$C$20000,'Meta data'!$A$3:$A$20000,"&gt;="&amp;$A31,'Meta data'!$A$3:$A$20000,"&lt;="&amp;$B31,'Meta data'!$G$3:$G$20000,"&lt;&gt;Month total")</f>
        <v>0</v>
      </c>
      <c r="N31" s="38" t="n">
        <f aca="false">SUMIFS('Google data'!$C$3:$C$20000,'Google data'!$A$3:$A$20000,"&gt;="&amp;$A31,'Google data'!$A$3:$A$20000,"&lt;="&amp;$B31,'Google data'!$G$3:$G$20000,"&lt;&gt;Month total")</f>
        <v>0</v>
      </c>
      <c r="O31" s="38" t="str">
        <f aca="false">IF(OR(C31="",M31=0),"",C31-M31)</f>
        <v/>
      </c>
      <c r="P31" s="41" t="str">
        <f aca="false">TEXT(A31,"d mmm")</f>
        <v>22 Jun</v>
      </c>
    </row>
    <row r="32" customFormat="false" ht="54" hidden="false" customHeight="true" outlineLevel="0" collapsed="false">
      <c r="A32" s="61" t="n">
        <v>46202</v>
      </c>
      <c r="B32" s="61" t="n">
        <v>46208</v>
      </c>
      <c r="C32" s="62" t="n">
        <v>4138.42</v>
      </c>
      <c r="D32" s="63" t="n">
        <v>146</v>
      </c>
      <c r="E32" s="23" t="s">
        <v>255</v>
      </c>
      <c r="F32" s="64" t="s">
        <v>325</v>
      </c>
      <c r="G32" s="62" t="n">
        <v>1933.83</v>
      </c>
      <c r="H32" s="29" t="s">
        <v>247</v>
      </c>
      <c r="I32" s="63" t="n">
        <v>22</v>
      </c>
      <c r="J32" s="64" t="s">
        <v>326</v>
      </c>
      <c r="K32" s="23"/>
      <c r="L32" s="23" t="s">
        <v>327</v>
      </c>
      <c r="M32" s="38" t="n">
        <f aca="false">SUMIFS('Meta data'!$C$3:$C$20000,'Meta data'!$A$3:$A$20000,"&gt;="&amp;$A32,'Meta data'!$A$3:$A$20000,"&lt;="&amp;$B32,'Meta data'!$G$3:$G$20000,"&lt;&gt;Month total")</f>
        <v>0</v>
      </c>
      <c r="N32" s="38" t="n">
        <f aca="false">SUMIFS('Google data'!$C$3:$C$20000,'Google data'!$A$3:$A$20000,"&gt;="&amp;$A32,'Google data'!$A$3:$A$20000,"&lt;="&amp;$B32,'Google data'!$G$3:$G$20000,"&lt;&gt;Month total")</f>
        <v>0</v>
      </c>
      <c r="O32" s="38" t="str">
        <f aca="false">IF(OR(C32="",M32=0),"",C32-M32)</f>
        <v/>
      </c>
      <c r="P32" s="41" t="str">
        <f aca="false">TEXT(A32,"d mmm")</f>
        <v>29 Jun</v>
      </c>
    </row>
    <row r="33" customFormat="false" ht="54" hidden="false" customHeight="true" outlineLevel="0" collapsed="false">
      <c r="A33" s="61" t="n">
        <v>46209</v>
      </c>
      <c r="B33" s="61" t="n">
        <v>46215</v>
      </c>
      <c r="C33" s="62" t="n">
        <v>3650.75</v>
      </c>
      <c r="D33" s="63"/>
      <c r="E33" s="23" t="s">
        <v>328</v>
      </c>
      <c r="F33" s="64"/>
      <c r="G33" s="62" t="n">
        <v>2503.06</v>
      </c>
      <c r="H33" s="29" t="s">
        <v>247</v>
      </c>
      <c r="I33" s="63" t="n">
        <v>15</v>
      </c>
      <c r="J33" s="64" t="s">
        <v>329</v>
      </c>
      <c r="K33" s="65" t="s">
        <v>330</v>
      </c>
      <c r="L33" s="23" t="s">
        <v>331</v>
      </c>
      <c r="M33" s="38" t="n">
        <f aca="false">SUMIFS('Meta data'!$C$3:$C$20000,'Meta data'!$A$3:$A$20000,"&gt;="&amp;$A33,'Meta data'!$A$3:$A$20000,"&lt;="&amp;$B33,'Meta data'!$G$3:$G$20000,"&lt;&gt;Month total")</f>
        <v>0</v>
      </c>
      <c r="N33" s="38" t="n">
        <f aca="false">SUMIFS('Google data'!$C$3:$C$20000,'Google data'!$A$3:$A$20000,"&gt;="&amp;$A33,'Google data'!$A$3:$A$20000,"&lt;="&amp;$B33,'Google data'!$G$3:$G$20000,"&lt;&gt;Month total")</f>
        <v>0</v>
      </c>
      <c r="O33" s="38" t="str">
        <f aca="false">IF(OR(C33="",M33=0),"",C33-M33)</f>
        <v/>
      </c>
      <c r="P33" s="41" t="str">
        <f aca="false">TEXT(A33,"d mmm")</f>
        <v>6 Jul</v>
      </c>
    </row>
    <row r="34" customFormat="false" ht="54" hidden="false" customHeight="true" outlineLevel="0" collapsed="false">
      <c r="A34" s="61" t="n">
        <v>46216</v>
      </c>
      <c r="B34" s="61" t="n">
        <v>46222</v>
      </c>
      <c r="C34" s="62" t="n">
        <v>4671.76</v>
      </c>
      <c r="D34" s="63" t="n">
        <v>126</v>
      </c>
      <c r="E34" s="23" t="s">
        <v>332</v>
      </c>
      <c r="F34" s="64" t="s">
        <v>333</v>
      </c>
      <c r="G34" s="62" t="n">
        <v>3062.98</v>
      </c>
      <c r="H34" s="29" t="s">
        <v>247</v>
      </c>
      <c r="I34" s="63" t="n">
        <v>15</v>
      </c>
      <c r="J34" s="64" t="s">
        <v>334</v>
      </c>
      <c r="K34" s="23"/>
      <c r="L34" s="23" t="s">
        <v>335</v>
      </c>
      <c r="M34" s="38" t="n">
        <f aca="false">SUMIFS('Meta data'!$C$3:$C$20000,'Meta data'!$A$3:$A$20000,"&gt;="&amp;$A34,'Meta data'!$A$3:$A$20000,"&lt;="&amp;$B34,'Meta data'!$G$3:$G$20000,"&lt;&gt;Month total")</f>
        <v>0</v>
      </c>
      <c r="N34" s="38" t="n">
        <f aca="false">SUMIFS('Google data'!$C$3:$C$20000,'Google data'!$A$3:$A$20000,"&gt;="&amp;$A34,'Google data'!$A$3:$A$20000,"&lt;="&amp;$B34,'Google data'!$G$3:$G$20000,"&lt;&gt;Month total")</f>
        <v>0</v>
      </c>
      <c r="O34" s="38" t="str">
        <f aca="false">IF(OR(C34="",M34=0),"",C34-M34)</f>
        <v/>
      </c>
      <c r="P34" s="41" t="str">
        <f aca="false">TEXT(A34,"d mmm")</f>
        <v>13 Jul</v>
      </c>
    </row>
    <row r="35" customFormat="false" ht="54" hidden="false" customHeight="true" outlineLevel="0" collapsed="false">
      <c r="A35" s="61" t="n">
        <v>46223</v>
      </c>
      <c r="B35" s="61" t="n">
        <v>46229</v>
      </c>
      <c r="C35" s="62" t="n">
        <v>4982.08</v>
      </c>
      <c r="D35" s="63" t="n">
        <v>6</v>
      </c>
      <c r="E35" s="23" t="s">
        <v>336</v>
      </c>
      <c r="F35" s="64" t="s">
        <v>337</v>
      </c>
      <c r="G35" s="62" t="n">
        <v>2766.71</v>
      </c>
      <c r="H35" s="29" t="s">
        <v>247</v>
      </c>
      <c r="I35" s="63" t="n">
        <v>8</v>
      </c>
      <c r="J35" s="64" t="s">
        <v>338</v>
      </c>
      <c r="K35" s="65" t="s">
        <v>339</v>
      </c>
      <c r="L35" s="23" t="s">
        <v>340</v>
      </c>
      <c r="M35" s="38" t="n">
        <f aca="false">SUMIFS('Meta data'!$C$3:$C$20000,'Meta data'!$A$3:$A$20000,"&gt;="&amp;$A35,'Meta data'!$A$3:$A$20000,"&lt;="&amp;$B35,'Meta data'!$G$3:$G$20000,"&lt;&gt;Month total")</f>
        <v>0</v>
      </c>
      <c r="N35" s="38" t="n">
        <f aca="false">SUMIFS('Google data'!$C$3:$C$20000,'Google data'!$A$3:$A$20000,"&gt;="&amp;$A35,'Google data'!$A$3:$A$20000,"&lt;="&amp;$B35,'Google data'!$G$3:$G$20000,"&lt;&gt;Month total")</f>
        <v>0</v>
      </c>
      <c r="O35" s="38" t="str">
        <f aca="false">IF(OR(C35="",M35=0),"",C35-M35)</f>
        <v/>
      </c>
      <c r="P35" s="41" t="str">
        <f aca="false">TEXT(A35,"d mmm")</f>
        <v>20 Jul</v>
      </c>
    </row>
    <row r="36" customFormat="false" ht="54" hidden="false" customHeight="true" outlineLevel="0" collapsed="false">
      <c r="A36" s="61" t="n">
        <v>46230</v>
      </c>
      <c r="B36" s="61" t="n">
        <v>46236</v>
      </c>
      <c r="C36" s="62" t="n">
        <v>3639.86</v>
      </c>
      <c r="D36" s="63" t="n">
        <v>52</v>
      </c>
      <c r="E36" s="23" t="s">
        <v>255</v>
      </c>
      <c r="F36" s="64" t="s">
        <v>341</v>
      </c>
      <c r="G36" s="62" t="n">
        <v>2151.54</v>
      </c>
      <c r="H36" s="29" t="s">
        <v>247</v>
      </c>
      <c r="I36" s="63" t="n">
        <v>4.93</v>
      </c>
      <c r="J36" s="64" t="s">
        <v>342</v>
      </c>
      <c r="K36" s="65" t="s">
        <v>343</v>
      </c>
      <c r="L36" s="23" t="s">
        <v>344</v>
      </c>
      <c r="M36" s="38" t="n">
        <f aca="false">SUMIFS('Meta data'!$C$3:$C$20000,'Meta data'!$A$3:$A$20000,"&gt;="&amp;$A36,'Meta data'!$A$3:$A$20000,"&lt;="&amp;$B36,'Meta data'!$G$3:$G$20000,"&lt;&gt;Month total")</f>
        <v>0</v>
      </c>
      <c r="N36" s="38" t="n">
        <f aca="false">SUMIFS('Google data'!$C$3:$C$20000,'Google data'!$A$3:$A$20000,"&gt;="&amp;$A36,'Google data'!$A$3:$A$20000,"&lt;="&amp;$B36,'Google data'!$G$3:$G$20000,"&lt;&gt;Month total")</f>
        <v>0</v>
      </c>
      <c r="O36" s="38" t="str">
        <f aca="false">IF(OR(C36="",M36=0),"",C36-M36)</f>
        <v/>
      </c>
      <c r="P36" s="41" t="str">
        <f aca="false">TEXT(A36,"d mmm")</f>
        <v>27 Jul</v>
      </c>
    </row>
    <row r="37" customFormat="false" ht="54" hidden="false" customHeight="true" outlineLevel="0" collapsed="false">
      <c r="A37" s="61" t="n">
        <v>46237</v>
      </c>
      <c r="B37" s="61" t="n">
        <v>46243</v>
      </c>
      <c r="C37" s="62" t="n">
        <v>3052</v>
      </c>
      <c r="D37" s="63" t="n">
        <v>64</v>
      </c>
      <c r="E37" s="23" t="s">
        <v>345</v>
      </c>
      <c r="F37" s="64" t="s">
        <v>346</v>
      </c>
      <c r="G37" s="62" t="n">
        <v>2964</v>
      </c>
      <c r="H37" s="29" t="s">
        <v>247</v>
      </c>
      <c r="I37" s="63" t="n">
        <v>18</v>
      </c>
      <c r="J37" s="64" t="s">
        <v>347</v>
      </c>
      <c r="K37" s="23"/>
      <c r="L37" s="23" t="s">
        <v>348</v>
      </c>
      <c r="M37" s="38" t="n">
        <f aca="false">SUMIFS('Meta data'!$C$3:$C$20000,'Meta data'!$A$3:$A$20000,"&gt;="&amp;$A37,'Meta data'!$A$3:$A$20000,"&lt;="&amp;$B37,'Meta data'!$G$3:$G$20000,"&lt;&gt;Month total")</f>
        <v>0</v>
      </c>
      <c r="N37" s="38" t="n">
        <f aca="false">SUMIFS('Google data'!$C$3:$C$20000,'Google data'!$A$3:$A$20000,"&gt;="&amp;$A37,'Google data'!$A$3:$A$20000,"&lt;="&amp;$B37,'Google data'!$G$3:$G$20000,"&lt;&gt;Month total")</f>
        <v>0</v>
      </c>
      <c r="O37" s="38" t="str">
        <f aca="false">IF(OR(C37="",M37=0),"",C37-M37)</f>
        <v/>
      </c>
      <c r="P37" s="41" t="str">
        <f aca="false">TEXT(A37,"d mmm")</f>
        <v>3 Aug</v>
      </c>
    </row>
    <row r="38" customFormat="false" ht="54" hidden="false" customHeight="true" outlineLevel="0" collapsed="false">
      <c r="A38" s="61" t="n">
        <v>46244</v>
      </c>
      <c r="B38" s="61" t="n">
        <v>46250</v>
      </c>
      <c r="C38" s="62" t="n">
        <v>2017.36</v>
      </c>
      <c r="D38" s="63" t="n">
        <v>78</v>
      </c>
      <c r="E38" s="23" t="s">
        <v>349</v>
      </c>
      <c r="F38" s="64" t="s">
        <v>350</v>
      </c>
      <c r="G38" s="62" t="n">
        <v>3586.65</v>
      </c>
      <c r="H38" s="29" t="s">
        <v>247</v>
      </c>
      <c r="I38" s="63" t="n">
        <v>26.07</v>
      </c>
      <c r="J38" s="64" t="s">
        <v>351</v>
      </c>
      <c r="K38" s="65" t="s">
        <v>352</v>
      </c>
      <c r="L38" s="23" t="s">
        <v>353</v>
      </c>
      <c r="M38" s="38" t="n">
        <f aca="false">SUMIFS('Meta data'!$C$3:$C$20000,'Meta data'!$A$3:$A$20000,"&gt;="&amp;$A38,'Meta data'!$A$3:$A$20000,"&lt;="&amp;$B38,'Meta data'!$G$3:$G$20000,"&lt;&gt;Month total")</f>
        <v>0</v>
      </c>
      <c r="N38" s="38" t="n">
        <f aca="false">SUMIFS('Google data'!$C$3:$C$20000,'Google data'!$A$3:$A$20000,"&gt;="&amp;$A38,'Google data'!$A$3:$A$20000,"&lt;="&amp;$B38,'Google data'!$G$3:$G$20000,"&lt;&gt;Month total")</f>
        <v>0</v>
      </c>
      <c r="O38" s="38" t="str">
        <f aca="false">IF(OR(C38="",M38=0),"",C38-M38)</f>
        <v/>
      </c>
      <c r="P38" s="41" t="str">
        <f aca="false">TEXT(A38,"d mmm")</f>
        <v>10 Aug</v>
      </c>
    </row>
    <row r="39" customFormat="false" ht="54" hidden="false" customHeight="true" outlineLevel="0" collapsed="false">
      <c r="A39" s="61" t="n">
        <v>46251</v>
      </c>
      <c r="B39" s="61" t="n">
        <v>46257</v>
      </c>
      <c r="C39" s="62" t="n">
        <v>2147.12</v>
      </c>
      <c r="D39" s="63" t="n">
        <v>177</v>
      </c>
      <c r="E39" s="23" t="s">
        <v>255</v>
      </c>
      <c r="F39" s="64" t="s">
        <v>354</v>
      </c>
      <c r="G39" s="62" t="n">
        <v>1250.87</v>
      </c>
      <c r="H39" s="29" t="s">
        <v>247</v>
      </c>
      <c r="I39" s="63" t="n">
        <v>35.66</v>
      </c>
      <c r="J39" s="64" t="s">
        <v>355</v>
      </c>
      <c r="K39" s="23"/>
      <c r="L39" s="23" t="s">
        <v>356</v>
      </c>
      <c r="M39" s="38" t="n">
        <f aca="false">SUMIFS('Meta data'!$C$3:$C$20000,'Meta data'!$A$3:$A$20000,"&gt;="&amp;$A39,'Meta data'!$A$3:$A$20000,"&lt;="&amp;$B39,'Meta data'!$G$3:$G$20000,"&lt;&gt;Month total")</f>
        <v>0</v>
      </c>
      <c r="N39" s="38" t="n">
        <f aca="false">SUMIFS('Google data'!$C$3:$C$20000,'Google data'!$A$3:$A$20000,"&gt;="&amp;$A39,'Google data'!$A$3:$A$20000,"&lt;="&amp;$B39,'Google data'!$G$3:$G$20000,"&lt;&gt;Month total")</f>
        <v>0</v>
      </c>
      <c r="O39" s="38" t="str">
        <f aca="false">IF(OR(C39="",M39=0),"",C39-M39)</f>
        <v/>
      </c>
      <c r="P39" s="41" t="str">
        <f aca="false">TEXT(A39,"d mmm")</f>
        <v>17 Aug</v>
      </c>
    </row>
    <row r="40" customFormat="false" ht="54" hidden="false" customHeight="true" outlineLevel="0" collapsed="false">
      <c r="A40" s="61" t="n">
        <v>46258</v>
      </c>
      <c r="B40" s="61" t="n">
        <v>46264</v>
      </c>
      <c r="C40" s="62" t="n">
        <v>2144</v>
      </c>
      <c r="D40" s="63" t="n">
        <v>165</v>
      </c>
      <c r="E40" s="23" t="s">
        <v>357</v>
      </c>
      <c r="F40" s="64" t="s">
        <v>358</v>
      </c>
      <c r="G40" s="62" t="n">
        <v>1386</v>
      </c>
      <c r="H40" s="29" t="s">
        <v>247</v>
      </c>
      <c r="I40" s="63" t="n">
        <v>79.4</v>
      </c>
      <c r="J40" s="64" t="s">
        <v>359</v>
      </c>
      <c r="K40" s="23"/>
      <c r="L40" s="23" t="s">
        <v>360</v>
      </c>
      <c r="M40" s="38" t="n">
        <f aca="false">SUMIFS('Meta data'!$C$3:$C$20000,'Meta data'!$A$3:$A$20000,"&gt;="&amp;$A40,'Meta data'!$A$3:$A$20000,"&lt;="&amp;$B40,'Meta data'!$G$3:$G$20000,"&lt;&gt;Month total")</f>
        <v>0</v>
      </c>
      <c r="N40" s="38" t="n">
        <f aca="false">SUMIFS('Google data'!$C$3:$C$20000,'Google data'!$A$3:$A$20000,"&gt;="&amp;$A40,'Google data'!$A$3:$A$20000,"&lt;="&amp;$B40,'Google data'!$G$3:$G$20000,"&lt;&gt;Month total")</f>
        <v>0</v>
      </c>
      <c r="O40" s="38" t="str">
        <f aca="false">IF(OR(C40="",M40=0),"",C40-M40)</f>
        <v/>
      </c>
      <c r="P40" s="41" t="str">
        <f aca="false">TEXT(A40,"d mmm")</f>
        <v>24 Aug</v>
      </c>
    </row>
    <row r="41" customFormat="false" ht="54" hidden="false" customHeight="true" outlineLevel="0" collapsed="false">
      <c r="A41" s="61" t="n">
        <v>46265</v>
      </c>
      <c r="B41" s="61" t="n">
        <v>46271</v>
      </c>
      <c r="C41" s="62" t="n">
        <v>2167</v>
      </c>
      <c r="D41" s="63" t="n">
        <v>182</v>
      </c>
      <c r="E41" s="23" t="s">
        <v>357</v>
      </c>
      <c r="F41" s="64" t="s">
        <v>361</v>
      </c>
      <c r="G41" s="62" t="n">
        <v>1763</v>
      </c>
      <c r="H41" s="29" t="s">
        <v>247</v>
      </c>
      <c r="I41" s="63" t="n">
        <v>87.06</v>
      </c>
      <c r="J41" s="64" t="s">
        <v>362</v>
      </c>
      <c r="K41" s="23"/>
      <c r="L41" s="23" t="s">
        <v>363</v>
      </c>
      <c r="M41" s="38" t="n">
        <f aca="false">SUMIFS('Meta data'!$C$3:$C$20000,'Meta data'!$A$3:$A$20000,"&gt;="&amp;$A41,'Meta data'!$A$3:$A$20000,"&lt;="&amp;$B41,'Meta data'!$G$3:$G$20000,"&lt;&gt;Month total")</f>
        <v>0</v>
      </c>
      <c r="N41" s="38" t="n">
        <f aca="false">SUMIFS('Google data'!$C$3:$C$20000,'Google data'!$A$3:$A$20000,"&gt;="&amp;$A41,'Google data'!$A$3:$A$20000,"&lt;="&amp;$B41,'Google data'!$G$3:$G$20000,"&lt;&gt;Month total")</f>
        <v>0</v>
      </c>
      <c r="O41" s="38" t="str">
        <f aca="false">IF(OR(C41="",M41=0),"",C41-M41)</f>
        <v/>
      </c>
      <c r="P41" s="41" t="str">
        <f aca="false">TEXT(A41,"d mmm")</f>
        <v>31 Aug</v>
      </c>
    </row>
    <row r="42" customFormat="false" ht="54" hidden="false" customHeight="true" outlineLevel="0" collapsed="false">
      <c r="A42" s="61" t="n">
        <v>46272</v>
      </c>
      <c r="B42" s="61" t="n">
        <v>46278</v>
      </c>
      <c r="C42" s="62" t="n">
        <v>2153</v>
      </c>
      <c r="D42" s="63" t="n">
        <v>178</v>
      </c>
      <c r="E42" s="23" t="s">
        <v>357</v>
      </c>
      <c r="F42" s="64" t="s">
        <v>364</v>
      </c>
      <c r="G42" s="62" t="n">
        <v>1751</v>
      </c>
      <c r="H42" s="29" t="s">
        <v>247</v>
      </c>
      <c r="I42" s="63" t="n">
        <v>68.41</v>
      </c>
      <c r="J42" s="64" t="s">
        <v>365</v>
      </c>
      <c r="K42" s="65" t="s">
        <v>366</v>
      </c>
      <c r="L42" s="23" t="s">
        <v>367</v>
      </c>
      <c r="M42" s="38" t="n">
        <f aca="false">SUMIFS('Meta data'!$C$3:$C$20000,'Meta data'!$A$3:$A$20000,"&gt;="&amp;$A42,'Meta data'!$A$3:$A$20000,"&lt;="&amp;$B42,'Meta data'!$G$3:$G$20000,"&lt;&gt;Month total")</f>
        <v>0</v>
      </c>
      <c r="N42" s="38" t="n">
        <f aca="false">SUMIFS('Google data'!$C$3:$C$20000,'Google data'!$A$3:$A$20000,"&gt;="&amp;$A42,'Google data'!$A$3:$A$20000,"&lt;="&amp;$B42,'Google data'!$G$3:$G$20000,"&lt;&gt;Month total")</f>
        <v>0</v>
      </c>
      <c r="O42" s="38" t="str">
        <f aca="false">IF(OR(C42="",M42=0),"",C42-M42)</f>
        <v/>
      </c>
      <c r="P42" s="41" t="str">
        <f aca="false">TEXT(A42,"d mmm")</f>
        <v>7 Sep</v>
      </c>
    </row>
    <row r="43" customFormat="false" ht="54" hidden="false" customHeight="true" outlineLevel="0" collapsed="false">
      <c r="A43" s="61" t="n">
        <v>46279</v>
      </c>
      <c r="B43" s="61" t="n">
        <v>46285</v>
      </c>
      <c r="C43" s="62" t="n">
        <v>1792</v>
      </c>
      <c r="D43" s="63" t="n">
        <v>153</v>
      </c>
      <c r="E43" s="23" t="s">
        <v>357</v>
      </c>
      <c r="F43" s="64" t="s">
        <v>368</v>
      </c>
      <c r="G43" s="62" t="n">
        <v>1907</v>
      </c>
      <c r="H43" s="29" t="s">
        <v>247</v>
      </c>
      <c r="I43" s="63" t="n">
        <v>15</v>
      </c>
      <c r="J43" s="64" t="s">
        <v>369</v>
      </c>
      <c r="K43" s="65" t="s">
        <v>370</v>
      </c>
      <c r="L43" s="23" t="s">
        <v>371</v>
      </c>
      <c r="M43" s="38" t="n">
        <f aca="false">SUMIFS('Meta data'!$C$3:$C$20000,'Meta data'!$A$3:$A$20000,"&gt;="&amp;$A43,'Meta data'!$A$3:$A$20000,"&lt;="&amp;$B43,'Meta data'!$G$3:$G$20000,"&lt;&gt;Month total")</f>
        <v>0</v>
      </c>
      <c r="N43" s="38" t="n">
        <f aca="false">SUMIFS('Google data'!$C$3:$C$20000,'Google data'!$A$3:$A$20000,"&gt;="&amp;$A43,'Google data'!$A$3:$A$20000,"&lt;="&amp;$B43,'Google data'!$G$3:$G$20000,"&lt;&gt;Month total")</f>
        <v>0</v>
      </c>
      <c r="O43" s="38" t="str">
        <f aca="false">IF(OR(C43="",M43=0),"",C43-M43)</f>
        <v/>
      </c>
      <c r="P43" s="41" t="str">
        <f aca="false">TEXT(A43,"d mmm")</f>
        <v>14 Sep</v>
      </c>
    </row>
    <row r="44" customFormat="false" ht="54" hidden="false" customHeight="true" outlineLevel="0" collapsed="false">
      <c r="A44" s="61" t="n">
        <v>46286</v>
      </c>
      <c r="B44" s="61" t="n">
        <v>46292</v>
      </c>
      <c r="C44" s="62" t="n">
        <v>1079</v>
      </c>
      <c r="D44" s="63" t="n">
        <v>100</v>
      </c>
      <c r="E44" s="23" t="s">
        <v>357</v>
      </c>
      <c r="F44" s="64" t="s">
        <v>372</v>
      </c>
      <c r="G44" s="62" t="n">
        <v>691</v>
      </c>
      <c r="H44" s="29" t="s">
        <v>373</v>
      </c>
      <c r="I44" s="63" t="n">
        <v>9</v>
      </c>
      <c r="J44" s="64" t="s">
        <v>374</v>
      </c>
      <c r="K44" s="65" t="s">
        <v>375</v>
      </c>
      <c r="L44" s="23" t="s">
        <v>376</v>
      </c>
      <c r="M44" s="38" t="n">
        <f aca="false">SUMIFS('Meta data'!$C$3:$C$20000,'Meta data'!$A$3:$A$20000,"&gt;="&amp;$A44,'Meta data'!$A$3:$A$20000,"&lt;="&amp;$B44,'Meta data'!$G$3:$G$20000,"&lt;&gt;Month total")</f>
        <v>0</v>
      </c>
      <c r="N44" s="38" t="n">
        <f aca="false">SUMIFS('Google data'!$C$3:$C$20000,'Google data'!$A$3:$A$20000,"&gt;="&amp;$A44,'Google data'!$A$3:$A$20000,"&lt;="&amp;$B44,'Google data'!$G$3:$G$20000,"&lt;&gt;Month total")</f>
        <v>0</v>
      </c>
      <c r="O44" s="38" t="str">
        <f aca="false">IF(OR(C44="",M44=0),"",C44-M44)</f>
        <v/>
      </c>
      <c r="P44" s="41" t="str">
        <f aca="false">TEXT(A44,"d mmm")</f>
        <v>21 Sep</v>
      </c>
    </row>
    <row r="45" customFormat="false" ht="54" hidden="false" customHeight="true" outlineLevel="0" collapsed="false">
      <c r="A45" s="61" t="n">
        <v>46293</v>
      </c>
      <c r="B45" s="61" t="n">
        <v>46299</v>
      </c>
      <c r="C45" s="62" t="n">
        <v>1131</v>
      </c>
      <c r="D45" s="63" t="n">
        <v>88</v>
      </c>
      <c r="E45" s="23" t="s">
        <v>357</v>
      </c>
      <c r="F45" s="64" t="s">
        <v>377</v>
      </c>
      <c r="G45" s="62" t="n">
        <v>698</v>
      </c>
      <c r="H45" s="29" t="s">
        <v>373</v>
      </c>
      <c r="I45" s="63" t="n">
        <v>15</v>
      </c>
      <c r="J45" s="64" t="s">
        <v>378</v>
      </c>
      <c r="K45" s="65" t="s">
        <v>379</v>
      </c>
      <c r="L45" s="23" t="s">
        <v>380</v>
      </c>
      <c r="M45" s="38" t="n">
        <f aca="false">SUMIFS('Meta data'!$C$3:$C$20000,'Meta data'!$A$3:$A$20000,"&gt;="&amp;$A45,'Meta data'!$A$3:$A$20000,"&lt;="&amp;$B45,'Meta data'!$G$3:$G$20000,"&lt;&gt;Month total")</f>
        <v>0</v>
      </c>
      <c r="N45" s="38" t="n">
        <f aca="false">SUMIFS('Google data'!$C$3:$C$20000,'Google data'!$A$3:$A$20000,"&gt;="&amp;$A45,'Google data'!$A$3:$A$20000,"&lt;="&amp;$B45,'Google data'!$G$3:$G$20000,"&lt;&gt;Month total")</f>
        <v>0</v>
      </c>
      <c r="O45" s="38" t="str">
        <f aca="false">IF(OR(C45="",M45=0),"",C45-M45)</f>
        <v/>
      </c>
      <c r="P45" s="41" t="str">
        <f aca="false">TEXT(A45,"d mmm")</f>
        <v>28 Sep</v>
      </c>
    </row>
    <row r="46" customFormat="false" ht="54" hidden="false" customHeight="true" outlineLevel="0" collapsed="false">
      <c r="A46" s="61" t="n">
        <v>46300</v>
      </c>
      <c r="B46" s="61" t="n">
        <v>46306</v>
      </c>
      <c r="C46" s="62" t="n">
        <v>1107</v>
      </c>
      <c r="D46" s="63" t="n">
        <v>93</v>
      </c>
      <c r="E46" s="23" t="s">
        <v>357</v>
      </c>
      <c r="F46" s="64" t="s">
        <v>361</v>
      </c>
      <c r="G46" s="62" t="n">
        <v>638</v>
      </c>
      <c r="H46" s="29" t="s">
        <v>373</v>
      </c>
      <c r="I46" s="63" t="n">
        <v>23</v>
      </c>
      <c r="J46" s="64" t="s">
        <v>381</v>
      </c>
      <c r="K46" s="65" t="s">
        <v>379</v>
      </c>
      <c r="L46" s="23" t="s">
        <v>382</v>
      </c>
      <c r="M46" s="38" t="n">
        <f aca="false">SUMIFS('Meta data'!$C$3:$C$20000,'Meta data'!$A$3:$A$20000,"&gt;="&amp;$A46,'Meta data'!$A$3:$A$20000,"&lt;="&amp;$B46,'Meta data'!$G$3:$G$20000,"&lt;&gt;Month total")</f>
        <v>0</v>
      </c>
      <c r="N46" s="38" t="n">
        <f aca="false">SUMIFS('Google data'!$C$3:$C$20000,'Google data'!$A$3:$A$20000,"&gt;="&amp;$A46,'Google data'!$A$3:$A$20000,"&lt;="&amp;$B46,'Google data'!$G$3:$G$20000,"&lt;&gt;Month total")</f>
        <v>0</v>
      </c>
      <c r="O46" s="38" t="str">
        <f aca="false">IF(OR(C46="",M46=0),"",C46-M46)</f>
        <v/>
      </c>
      <c r="P46" s="41" t="str">
        <f aca="false">TEXT(A46,"d mmm")</f>
        <v>5 Oct</v>
      </c>
    </row>
    <row r="47" customFormat="false" ht="15" hidden="false" customHeight="false" outlineLevel="0" collapsed="false">
      <c r="A47" s="28" t="s">
        <v>383</v>
      </c>
    </row>
    <row r="49" customFormat="false" ht="15" hidden="false" customHeight="false" outlineLevel="0" collapsed="false">
      <c r="A49" s="10" t="s">
        <v>384</v>
      </c>
      <c r="B49" s="11"/>
      <c r="C49" s="11"/>
      <c r="D49" s="11"/>
      <c r="E49" s="11"/>
      <c r="F49" s="11"/>
      <c r="G49" s="11"/>
      <c r="H49" s="11"/>
      <c r="I49" s="11"/>
      <c r="J49" s="11"/>
      <c r="K49" s="11"/>
      <c r="L49" s="11"/>
      <c r="M49" s="11"/>
      <c r="N49" s="11"/>
      <c r="O49" s="11"/>
    </row>
    <row r="50" customFormat="false" ht="36" hidden="false" customHeight="true" outlineLevel="0" collapsed="false">
      <c r="A50" s="12" t="s">
        <v>385</v>
      </c>
      <c r="B50" s="12"/>
      <c r="C50" s="12" t="s">
        <v>386</v>
      </c>
      <c r="D50" s="12"/>
      <c r="E50" s="12" t="s">
        <v>387</v>
      </c>
      <c r="F50" s="12" t="s">
        <v>388</v>
      </c>
      <c r="G50" s="12" t="s">
        <v>389</v>
      </c>
      <c r="H50" s="12" t="str">
        <f aca="false">"Platform – total ("&amp;Settings!$C$6&amp;")"</f>
        <v>Platform – total (USD)</v>
      </c>
      <c r="I50" s="12" t="s">
        <v>390</v>
      </c>
      <c r="J50" s="12" t="s">
        <v>391</v>
      </c>
      <c r="K50" s="12" t="s">
        <v>18</v>
      </c>
      <c r="L50" s="12"/>
      <c r="M50" s="12"/>
      <c r="N50" s="12"/>
      <c r="O50" s="12"/>
    </row>
    <row r="51" customFormat="false" ht="42" hidden="false" customHeight="true" outlineLevel="0" collapsed="false">
      <c r="A51" s="13" t="s">
        <v>392</v>
      </c>
      <c r="B51" s="13"/>
      <c r="C51" s="23" t="s">
        <v>393</v>
      </c>
      <c r="D51" s="23"/>
      <c r="E51" s="62" t="n">
        <v>38762</v>
      </c>
      <c r="F51" s="38" t="n">
        <f aca="false">SUMIFS('Meta data'!$C$3:$C$20000,'Meta data'!$A$3:$A$20000,"&gt;="&amp;DATE(2026,2,1),'Meta data'!$A$3:$A$20000,"&lt;="&amp;DATE(2026,2,28))</f>
        <v>28952.75</v>
      </c>
      <c r="G51" s="38" t="n">
        <f aca="false">SUMIFS('Google data'!$C$3:$C$20000,'Google data'!$A$3:$A$20000,"&gt;="&amp;DATE(2026,2,1),'Google data'!$A$3:$A$20000,"&lt;="&amp;DATE(2026,2,28))</f>
        <v>9917.16</v>
      </c>
      <c r="H51" s="66" t="n">
        <f aca="false">SUMIFS('Meta data'!$I$3:$I$20000,'Meta data'!$A$3:$A$20000,"&gt;="&amp;DATE(2026,2,1),'Meta data'!$A$3:$A$20000,"&lt;="&amp;DATE(2026,2,28))+SUMIFS('Google data'!$I$3:$I$20000,'Google data'!$A$3:$A$20000,"&gt;="&amp;DATE(2026,2,1),'Google data'!$A$3:$A$20000,"&lt;="&amp;DATE(2026,2,28))</f>
        <v>40037.159732</v>
      </c>
      <c r="I51" s="66" t="n">
        <f aca="false">IF(Settings!$C$6="USD",E51-H51,"")</f>
        <v>-1275.159732</v>
      </c>
      <c r="J51" s="67" t="n">
        <f aca="false">IF(OR(Settings!$C$6&lt;&gt;"USD",H51=0),"",E51/H51-1)</f>
        <v>-0.0318494054157598</v>
      </c>
      <c r="K51" s="23" t="s">
        <v>394</v>
      </c>
      <c r="L51" s="23"/>
      <c r="M51" s="23"/>
      <c r="N51" s="23"/>
      <c r="O51" s="23"/>
    </row>
    <row r="52" customFormat="false" ht="42" hidden="false" customHeight="true" outlineLevel="0" collapsed="false">
      <c r="A52" s="13" t="s">
        <v>395</v>
      </c>
      <c r="B52" s="13"/>
      <c r="C52" s="23" t="s">
        <v>396</v>
      </c>
      <c r="D52" s="23"/>
      <c r="E52" s="62" t="n">
        <v>24586.06</v>
      </c>
      <c r="F52" s="38" t="n">
        <f aca="false">SUMIFS('Meta data'!$C$3:$C$20000,'Meta data'!$A$3:$A$20000,"&gt;="&amp;DATE(2026,4,1),'Meta data'!$A$3:$A$20000,"&lt;="&amp;DATE(2026,4,30))</f>
        <v>22241.56</v>
      </c>
      <c r="G52" s="38"/>
      <c r="H52" s="66" t="n">
        <f aca="false">SUMIFS('Meta data'!$I$3:$I$20000,'Meta data'!$A$3:$A$20000,"&gt;="&amp;DATE(2026,4,1),'Meta data'!$A$3:$A$20000,"&lt;="&amp;DATE(2026,4,30))</f>
        <v>22241.56</v>
      </c>
      <c r="I52" s="66" t="n">
        <f aca="false">IF(Settings!$C$6="USD",E52-H52,"")</f>
        <v>2344.5</v>
      </c>
      <c r="J52" s="67" t="n">
        <f aca="false">IF(OR(Settings!$C$6&lt;&gt;"USD",H52=0),"",E52/H52-1)</f>
        <v>0.1054107715466</v>
      </c>
      <c r="K52" s="23" t="s">
        <v>397</v>
      </c>
      <c r="L52" s="23"/>
      <c r="M52" s="23"/>
      <c r="N52" s="23"/>
      <c r="O52" s="23"/>
    </row>
    <row r="53" customFormat="false" ht="42" hidden="false" customHeight="true" outlineLevel="0" collapsed="false">
      <c r="A53" s="13" t="s">
        <v>398</v>
      </c>
      <c r="B53" s="13"/>
      <c r="C53" s="23" t="s">
        <v>399</v>
      </c>
      <c r="D53" s="23"/>
      <c r="E53" s="62" t="n">
        <v>11420.33</v>
      </c>
      <c r="F53" s="38"/>
      <c r="G53" s="38" t="n">
        <f aca="false">SUMIFS('Google data'!$C$3:$C$20000,'Google data'!$A$3:$A$20000,"&gt;="&amp;DATE(2026,4,1),'Google data'!$A$3:$A$20000,"&lt;="&amp;DATE(2026,4,30))</f>
        <v>8922.13</v>
      </c>
      <c r="H53" s="66" t="n">
        <f aca="false">SUMIFS('Google data'!$I$3:$I$20000,'Google data'!$A$3:$A$20000,"&gt;="&amp;DATE(2026,4,1),'Google data'!$A$3:$A$20000,"&lt;="&amp;DATE(2026,4,30))</f>
        <v>9972.264701</v>
      </c>
      <c r="I53" s="66" t="n">
        <f aca="false">IF(Settings!$C$6="USD",E53-H53,"")</f>
        <v>1448.065299</v>
      </c>
      <c r="J53" s="67" t="n">
        <f aca="false">IF(OR(Settings!$C$6&lt;&gt;"USD",H53=0),"",E53/H53-1)</f>
        <v>0.145209272158088</v>
      </c>
      <c r="K53" s="23" t="s">
        <v>400</v>
      </c>
      <c r="L53" s="23"/>
      <c r="M53" s="23"/>
      <c r="N53" s="23"/>
      <c r="O53" s="23"/>
    </row>
    <row r="54" customFormat="false" ht="42" hidden="false" customHeight="true" outlineLevel="0" collapsed="false">
      <c r="A54" s="13" t="s">
        <v>401</v>
      </c>
      <c r="B54" s="13"/>
      <c r="C54" s="23" t="s">
        <v>402</v>
      </c>
      <c r="D54" s="23"/>
      <c r="E54" s="62" t="n">
        <v>22276.5</v>
      </c>
      <c r="F54" s="38" t="n">
        <f aca="false">SUMIFS('Meta data'!$C$3:$C$20000,'Meta data'!$A$3:$A$20000,"&gt;="&amp;DATE(2026,5,1),'Meta data'!$A$3:$A$20000,"&lt;="&amp;DATE(2026,5,31))</f>
        <v>22276.5</v>
      </c>
      <c r="G54" s="38"/>
      <c r="H54" s="66" t="n">
        <f aca="false">SUMIFS('Meta data'!$I$3:$I$20000,'Meta data'!$A$3:$A$20000,"&gt;="&amp;DATE(2026,5,1),'Meta data'!$A$3:$A$20000,"&lt;="&amp;DATE(2026,5,31))</f>
        <v>22276.5</v>
      </c>
      <c r="I54" s="66" t="n">
        <f aca="false">IF(Settings!$C$6="USD",E54-H54,"")</f>
        <v>0</v>
      </c>
      <c r="J54" s="67" t="n">
        <f aca="false">IF(OR(Settings!$C$6&lt;&gt;"USD",H54=0),"",E54/H54-1)</f>
        <v>0</v>
      </c>
      <c r="K54" s="23" t="s">
        <v>403</v>
      </c>
      <c r="L54" s="23"/>
      <c r="M54" s="23"/>
      <c r="N54" s="23"/>
      <c r="O54" s="23"/>
    </row>
    <row r="55" customFormat="false" ht="42" hidden="false" customHeight="true" outlineLevel="0" collapsed="false">
      <c r="A55" s="13" t="s">
        <v>404</v>
      </c>
      <c r="B55" s="13"/>
      <c r="C55" s="23" t="s">
        <v>405</v>
      </c>
      <c r="D55" s="23"/>
      <c r="E55" s="62" t="n">
        <v>13815.37</v>
      </c>
      <c r="F55" s="38"/>
      <c r="G55" s="38" t="n">
        <f aca="false">SUMIFS('Google data'!$C$3:$C$20000,'Google data'!$A$3:$A$20000,"&gt;="&amp;DATE(2026,5,1),'Google data'!$A$3:$A$20000,"&lt;="&amp;DATE(2026,5,31))</f>
        <v>10793.27</v>
      </c>
      <c r="H55" s="66" t="n">
        <f aca="false">SUMIFS('Google data'!$I$3:$I$20000,'Google data'!$A$3:$A$20000,"&gt;="&amp;DATE(2026,5,1),'Google data'!$A$3:$A$20000,"&lt;="&amp;DATE(2026,5,31))</f>
        <v>12063.637879</v>
      </c>
      <c r="I55" s="66" t="n">
        <f aca="false">IF(Settings!$C$6="USD",E55-H55,"")</f>
        <v>1751.732121</v>
      </c>
      <c r="J55" s="67" t="n">
        <f aca="false">IF(OR(Settings!$C$6&lt;&gt;"USD",H55=0),"",E55/H55-1)</f>
        <v>0.145207618014576</v>
      </c>
      <c r="K55" s="23" t="s">
        <v>406</v>
      </c>
      <c r="L55" s="23"/>
      <c r="M55" s="23"/>
      <c r="N55" s="23"/>
      <c r="O55" s="23"/>
    </row>
    <row r="56" customFormat="false" ht="42" hidden="false" customHeight="true" outlineLevel="0" collapsed="false">
      <c r="A56" s="13" t="s">
        <v>407</v>
      </c>
      <c r="B56" s="13"/>
      <c r="C56" s="23" t="s">
        <v>408</v>
      </c>
      <c r="D56" s="23"/>
      <c r="E56" s="62" t="n">
        <v>17453.29</v>
      </c>
      <c r="F56" s="38" t="n">
        <f aca="false">SUMIFS('Meta data'!$C$3:$C$20000,'Meta data'!$A$3:$A$20000,"&gt;="&amp;DATE(2026,6,1),'Meta data'!$A$3:$A$20000,"&lt;="&amp;DATE(2026,6,30))</f>
        <v>17453.29</v>
      </c>
      <c r="G56" s="38"/>
      <c r="H56" s="66" t="n">
        <f aca="false">SUMIFS('Meta data'!$I$3:$I$20000,'Meta data'!$A$3:$A$20000,"&gt;="&amp;DATE(2026,6,1),'Meta data'!$A$3:$A$20000,"&lt;="&amp;DATE(2026,6,30))</f>
        <v>17453.29</v>
      </c>
      <c r="I56" s="66" t="n">
        <f aca="false">IF(Settings!$C$6="USD",E56-H56,"")</f>
        <v>0</v>
      </c>
      <c r="J56" s="67" t="n">
        <f aca="false">IF(OR(Settings!$C$6&lt;&gt;"USD",H56=0),"",E56/H56-1)</f>
        <v>0</v>
      </c>
      <c r="K56" s="23" t="s">
        <v>403</v>
      </c>
      <c r="L56" s="23"/>
      <c r="M56" s="23"/>
      <c r="N56" s="23"/>
      <c r="O56" s="23"/>
    </row>
    <row r="57" customFormat="false" ht="42" hidden="false" customHeight="true" outlineLevel="0" collapsed="false">
      <c r="A57" s="13" t="s">
        <v>409</v>
      </c>
      <c r="B57" s="13"/>
      <c r="C57" s="23" t="s">
        <v>410</v>
      </c>
      <c r="D57" s="23"/>
      <c r="E57" s="62" t="n">
        <v>15982.98</v>
      </c>
      <c r="F57" s="38"/>
      <c r="G57" s="38" t="n">
        <f aca="false">SUMIFS('Google data'!$C$3:$C$20000,'Google data'!$A$3:$A$20000,"&gt;="&amp;DATE(2026,6,1),'Google data'!$A$3:$A$20000,"&lt;="&amp;DATE(2026,6,30))</f>
        <v>12486.69</v>
      </c>
      <c r="H57" s="66" t="n">
        <f aca="false">SUMIFS('Google data'!$I$3:$I$20000,'Google data'!$A$3:$A$20000,"&gt;="&amp;DATE(2026,6,1),'Google data'!$A$3:$A$20000,"&lt;="&amp;DATE(2026,6,30))</f>
        <v>13956.373413</v>
      </c>
      <c r="I57" s="66" t="n">
        <f aca="false">IF(Settings!$C$6="USD",E57-H57,"")</f>
        <v>2026.606587</v>
      </c>
      <c r="J57" s="67" t="n">
        <f aca="false">IF(OR(Settings!$C$6&lt;&gt;"USD",H57=0),"",E57/H57-1)</f>
        <v>0.145210114907951</v>
      </c>
      <c r="K57" s="23" t="s">
        <v>406</v>
      </c>
      <c r="L57" s="23"/>
      <c r="M57" s="23"/>
      <c r="N57" s="23"/>
      <c r="O57" s="23"/>
    </row>
    <row r="58" customFormat="false" ht="42" hidden="false" customHeight="true" outlineLevel="0" collapsed="false">
      <c r="A58" s="13" t="s">
        <v>411</v>
      </c>
      <c r="B58" s="13"/>
      <c r="C58" s="23" t="s">
        <v>412</v>
      </c>
      <c r="D58" s="23"/>
      <c r="E58" s="62" t="n">
        <v>34014.08</v>
      </c>
      <c r="F58" s="38" t="n">
        <f aca="false">SUMIFS('Meta data'!$C$3:$C$20000,'Meta data'!$A$3:$A$20000,"&gt;="&amp;DATE(2026,7,1),'Meta data'!$A$3:$A$20000,"&lt;="&amp;DATE(2026,7,31))</f>
        <v>18956.66</v>
      </c>
      <c r="G58" s="38" t="n">
        <f aca="false">SUMIFS('Google data'!$C$3:$C$20000,'Google data'!$A$3:$A$20000,"&gt;="&amp;DATE(2026,7,1),'Google data'!$A$3:$A$20000,"&lt;="&amp;DATE(2026,7,31))</f>
        <v>11763.62</v>
      </c>
      <c r="H58" s="66" t="n">
        <f aca="false">SUMIFS('Meta data'!$I$3:$I$20000,'Meta data'!$A$3:$A$20000,"&gt;="&amp;DATE(2026,7,1),'Meta data'!$A$3:$A$20000,"&lt;="&amp;DATE(2026,7,31))+SUMIFS('Google data'!$I$3:$I$20000,'Google data'!$A$3:$A$20000,"&gt;="&amp;DATE(2026,7,1),'Google data'!$A$3:$A$20000,"&lt;="&amp;DATE(2026,7,31))</f>
        <v>32104.858074</v>
      </c>
      <c r="I58" s="66" t="n">
        <f aca="false">IF(Settings!$C$6="USD",E58-H58,"")</f>
        <v>1909.22192600001</v>
      </c>
      <c r="J58" s="67" t="n">
        <f aca="false">IF(OR(Settings!$C$6&lt;&gt;"USD",H58=0),"",E58/H58-1)</f>
        <v>0.0594683185204978</v>
      </c>
      <c r="K58" s="23" t="s">
        <v>413</v>
      </c>
      <c r="L58" s="23"/>
      <c r="M58" s="23"/>
      <c r="N58" s="23"/>
      <c r="O58" s="23"/>
    </row>
    <row r="59" customFormat="false" ht="42" hidden="false" customHeight="true" outlineLevel="0" collapsed="false">
      <c r="A59" s="13" t="s">
        <v>414</v>
      </c>
      <c r="B59" s="13"/>
      <c r="C59" s="23" t="s">
        <v>415</v>
      </c>
      <c r="D59" s="23"/>
      <c r="E59" s="62" t="n">
        <v>182515.62</v>
      </c>
      <c r="F59" s="38" t="n">
        <f aca="false">SUMIFS('Meta data'!$C$3:$C$20000,'Meta data'!$A$3:$A$20000,"&gt;="&amp;DATE(2026,1,1),'Meta data'!$A$3:$A$20000,"&lt;="&amp;DATE(2026,6,30))</f>
        <v>137403.45</v>
      </c>
      <c r="G59" s="38" t="n">
        <f aca="false">SUMIFS('Google data'!$C$3:$C$20000,'Google data'!$A$3:$A$20000,"&gt;="&amp;DATE(2026,1,1),'Google data'!$A$3:$A$20000,"&lt;="&amp;DATE(2026,6,30))</f>
        <v>60864.96</v>
      </c>
      <c r="H59" s="66" t="n">
        <f aca="false">SUMIFS('Meta data'!$I$3:$I$20000,'Meta data'!$A$3:$A$20000,"&gt;="&amp;DATE(2026,1,1),'Meta data'!$A$3:$A$20000,"&lt;="&amp;DATE(2026,6,30))+SUMIFS('Google data'!$I$3:$I$20000,'Google data'!$A$3:$A$20000,"&gt;="&amp;DATE(2026,1,1),'Google data'!$A$3:$A$20000,"&lt;="&amp;DATE(2026,6,30))</f>
        <v>205432.215792</v>
      </c>
      <c r="I59" s="66" t="n">
        <f aca="false">IF(Settings!$C$6="USD",E59-H59,"")</f>
        <v>-22916.595792</v>
      </c>
      <c r="J59" s="67" t="n">
        <f aca="false">IF(OR(Settings!$C$6&lt;&gt;"USD",H59=0),"",E59/H59-1)</f>
        <v>-0.111553077026648</v>
      </c>
      <c r="K59" s="23" t="s">
        <v>416</v>
      </c>
      <c r="L59" s="23"/>
      <c r="M59" s="23"/>
      <c r="N59" s="23"/>
      <c r="O59" s="23"/>
    </row>
    <row r="60" customFormat="false" ht="15" hidden="false" customHeight="false" outlineLevel="0" collapsed="false">
      <c r="A60" s="28" t="s">
        <v>417</v>
      </c>
    </row>
    <row r="63" customFormat="false" ht="15" hidden="false" customHeight="false" outlineLevel="0" collapsed="false">
      <c r="A63" s="10" t="s">
        <v>418</v>
      </c>
      <c r="B63" s="11"/>
      <c r="C63" s="11"/>
      <c r="D63" s="11"/>
      <c r="E63" s="11"/>
      <c r="F63" s="11"/>
      <c r="G63" s="11"/>
      <c r="H63" s="11"/>
      <c r="I63" s="11"/>
      <c r="J63" s="11"/>
    </row>
    <row r="82" customFormat="false" ht="15" hidden="false" customHeight="false" outlineLevel="0" collapsed="false">
      <c r="A82" s="28" t="s">
        <v>419</v>
      </c>
    </row>
  </sheetData>
  <mergeCells count="27">
    <mergeCell ref="A51:B51"/>
    <mergeCell ref="C51:D51"/>
    <mergeCell ref="K51:O51"/>
    <mergeCell ref="A52:B52"/>
    <mergeCell ref="C52:D52"/>
    <mergeCell ref="K52:O52"/>
    <mergeCell ref="A53:B53"/>
    <mergeCell ref="C53:D53"/>
    <mergeCell ref="K53:O53"/>
    <mergeCell ref="A54:B54"/>
    <mergeCell ref="C54:D54"/>
    <mergeCell ref="K54:O54"/>
    <mergeCell ref="A55:B55"/>
    <mergeCell ref="C55:D55"/>
    <mergeCell ref="K55:O55"/>
    <mergeCell ref="A56:B56"/>
    <mergeCell ref="C56:D56"/>
    <mergeCell ref="K56:O56"/>
    <mergeCell ref="A57:B57"/>
    <mergeCell ref="C57:D57"/>
    <mergeCell ref="K57:O57"/>
    <mergeCell ref="A58:B58"/>
    <mergeCell ref="C58:D58"/>
    <mergeCell ref="K58:O58"/>
    <mergeCell ref="A59:B59"/>
    <mergeCell ref="C59:D59"/>
    <mergeCell ref="K59:O59"/>
  </mergeCells>
  <conditionalFormatting sqref="I51:J59">
    <cfRule type="expression" priority="2" aboveAverage="0" equalAverage="0" bottom="0" percent="0" rank="0" text="" dxfId="7">
      <formula>AND(ISNUMBER($I51),ABS($I51)&gt;100)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4" min="3" style="0" width="18"/>
    <col collapsed="false" customWidth="true" hidden="false" outlineLevel="0" max="5" min="5" style="0" width="58"/>
  </cols>
  <sheetData>
    <row r="1" customFormat="false" ht="19.7" hidden="false" customHeight="false" outlineLevel="0" collapsed="false">
      <c r="A1" s="31" t="s">
        <v>420</v>
      </c>
    </row>
    <row r="2" customFormat="false" ht="15" hidden="false" customHeight="false" outlineLevel="0" collapsed="false">
      <c r="A2" s="28" t="s">
        <v>421</v>
      </c>
    </row>
    <row r="4" customFormat="false" ht="15" hidden="false" customHeight="false" outlineLevel="0" collapsed="false">
      <c r="A4" s="10" t="s">
        <v>422</v>
      </c>
      <c r="B4" s="11"/>
      <c r="C4" s="11"/>
      <c r="D4" s="11"/>
      <c r="E4" s="11"/>
    </row>
    <row r="5" customFormat="false" ht="15" hidden="false" customHeight="false" outlineLevel="0" collapsed="false">
      <c r="A5" s="13" t="s">
        <v>423</v>
      </c>
      <c r="B5" s="13"/>
      <c r="C5" s="68" t="n">
        <v>46295</v>
      </c>
      <c r="D5" s="28" t="s">
        <v>424</v>
      </c>
    </row>
    <row r="6" customFormat="false" ht="15" hidden="false" customHeight="false" outlineLevel="0" collapsed="false">
      <c r="A6" s="13" t="s">
        <v>425</v>
      </c>
      <c r="B6" s="13"/>
      <c r="C6" s="69" t="s">
        <v>426</v>
      </c>
      <c r="D6" s="28" t="s">
        <v>427</v>
      </c>
    </row>
    <row r="8" customFormat="false" ht="15" hidden="false" customHeight="false" outlineLevel="0" collapsed="false">
      <c r="A8" s="10" t="s">
        <v>428</v>
      </c>
      <c r="B8" s="11"/>
      <c r="C8" s="11"/>
      <c r="D8" s="11"/>
      <c r="E8" s="11"/>
    </row>
    <row r="9" customFormat="false" ht="30" hidden="false" customHeight="true" outlineLevel="0" collapsed="false">
      <c r="A9" s="13" t="s">
        <v>429</v>
      </c>
      <c r="B9" s="13"/>
      <c r="C9" s="70" t="s">
        <v>430</v>
      </c>
      <c r="D9" s="70"/>
      <c r="E9" s="70"/>
    </row>
    <row r="10" customFormat="false" ht="15" hidden="false" customHeight="false" outlineLevel="0" collapsed="false">
      <c r="A10" s="13" t="s">
        <v>431</v>
      </c>
      <c r="B10" s="13"/>
      <c r="C10" s="68" t="n">
        <v>46023</v>
      </c>
    </row>
    <row r="11" customFormat="false" ht="15" hidden="false" customHeight="false" outlineLevel="0" collapsed="false">
      <c r="A11" s="13" t="s">
        <v>432</v>
      </c>
      <c r="B11" s="13"/>
      <c r="C11" s="68" t="n">
        <v>46387</v>
      </c>
    </row>
    <row r="12" customFormat="false" ht="15" hidden="false" customHeight="false" outlineLevel="0" collapsed="false">
      <c r="A12" s="13" t="s">
        <v>433</v>
      </c>
      <c r="B12" s="13"/>
      <c r="C12" s="71" t="n">
        <f aca="false">YEAR(C10)</f>
        <v>2026</v>
      </c>
    </row>
    <row r="13" customFormat="false" ht="15" hidden="false" customHeight="false" outlineLevel="0" collapsed="false">
      <c r="A13" s="13" t="s">
        <v>434</v>
      </c>
      <c r="B13" s="13"/>
      <c r="C13" s="72" t="n">
        <f aca="false">DATE(C12,1,1)-WEEKDAY(DATE(C12,1,1),2)+1</f>
        <v>46020</v>
      </c>
      <c r="D13" s="28" t="s">
        <v>435</v>
      </c>
    </row>
    <row r="15" customFormat="false" ht="30" hidden="false" customHeight="true" outlineLevel="0" collapsed="false">
      <c r="A15" s="12" t="s">
        <v>436</v>
      </c>
      <c r="B15" s="12" t="s">
        <v>3</v>
      </c>
      <c r="C15" s="12" t="s">
        <v>437</v>
      </c>
      <c r="D15" s="12" t="s">
        <v>438</v>
      </c>
      <c r="E15" s="12" t="s">
        <v>18</v>
      </c>
    </row>
    <row r="16" customFormat="false" ht="15" hidden="false" customHeight="false" outlineLevel="0" collapsed="false">
      <c r="A16" s="13" t="s">
        <v>439</v>
      </c>
      <c r="B16" s="73" t="n">
        <v>300000</v>
      </c>
      <c r="C16" s="69" t="s">
        <v>426</v>
      </c>
      <c r="D16" s="15" t="n">
        <f aca="false">IF(B16="","",B16*IF(C16=$C$6,1,IF(C16="USD",1/$B$41,$B$41)))</f>
        <v>300000</v>
      </c>
      <c r="E16" s="74" t="s">
        <v>440</v>
      </c>
    </row>
    <row r="17" customFormat="false" ht="15" hidden="false" customHeight="false" outlineLevel="0" collapsed="false">
      <c r="A17" s="13" t="s">
        <v>9</v>
      </c>
      <c r="B17" s="73" t="n">
        <v>320000</v>
      </c>
      <c r="C17" s="69" t="s">
        <v>426</v>
      </c>
      <c r="D17" s="14" t="n">
        <f aca="false">IF(B17="","",B17*IF(C17=$C$6,1,IF(C17="USD",1/$B$41,$B$41)))</f>
        <v>320000</v>
      </c>
      <c r="E17" s="74" t="s">
        <v>441</v>
      </c>
    </row>
    <row r="18" customFormat="false" ht="15" hidden="false" customHeight="false" outlineLevel="0" collapsed="false">
      <c r="A18" s="13" t="s">
        <v>442</v>
      </c>
      <c r="B18" s="73" t="n">
        <v>350000</v>
      </c>
      <c r="C18" s="69" t="s">
        <v>426</v>
      </c>
      <c r="D18" s="14" t="n">
        <f aca="false">IF(B18="","",B18*IF(C18=$C$6,1,IF(C18="USD",1/$B$41,$B$41)))</f>
        <v>350000</v>
      </c>
      <c r="E18" s="74" t="s">
        <v>443</v>
      </c>
    </row>
    <row r="20" customFormat="false" ht="15" hidden="false" customHeight="false" outlineLevel="0" collapsed="false">
      <c r="A20" s="10" t="s">
        <v>444</v>
      </c>
      <c r="B20" s="11"/>
      <c r="C20" s="11"/>
      <c r="D20" s="11"/>
      <c r="E20" s="11"/>
    </row>
    <row r="21" customFormat="false" ht="30" hidden="false" customHeight="true" outlineLevel="0" collapsed="false">
      <c r="A21" s="12" t="s">
        <v>11</v>
      </c>
      <c r="B21" s="12" t="s">
        <v>17</v>
      </c>
      <c r="C21" s="12" t="s">
        <v>445</v>
      </c>
      <c r="D21" s="12"/>
      <c r="E21" s="12" t="s">
        <v>18</v>
      </c>
    </row>
    <row r="22" customFormat="false" ht="22.35" hidden="false" customHeight="false" outlineLevel="0" collapsed="false">
      <c r="A22" s="13" t="s">
        <v>19</v>
      </c>
      <c r="B22" s="69" t="s">
        <v>426</v>
      </c>
      <c r="C22" s="69" t="s">
        <v>446</v>
      </c>
      <c r="D22" s="54"/>
      <c r="E22" s="74" t="s">
        <v>447</v>
      </c>
    </row>
    <row r="23" customFormat="false" ht="15" hidden="false" customHeight="false" outlineLevel="0" collapsed="false">
      <c r="A23" s="13" t="s">
        <v>20</v>
      </c>
      <c r="B23" s="69" t="s">
        <v>448</v>
      </c>
      <c r="C23" s="69" t="s">
        <v>446</v>
      </c>
      <c r="D23" s="54"/>
      <c r="E23" s="74"/>
    </row>
    <row r="24" customFormat="false" ht="15" hidden="false" customHeight="false" outlineLevel="0" collapsed="false">
      <c r="A24" s="13" t="s">
        <v>21</v>
      </c>
      <c r="B24" s="69" t="s">
        <v>448</v>
      </c>
      <c r="C24" s="69" t="s">
        <v>446</v>
      </c>
      <c r="D24" s="54"/>
      <c r="E24" s="74" t="s">
        <v>449</v>
      </c>
    </row>
    <row r="25" customFormat="false" ht="15" hidden="false" customHeight="false" outlineLevel="0" collapsed="false">
      <c r="A25" s="13" t="s">
        <v>22</v>
      </c>
      <c r="B25" s="69" t="s">
        <v>426</v>
      </c>
      <c r="C25" s="69" t="s">
        <v>446</v>
      </c>
      <c r="D25" s="54"/>
      <c r="E25" s="74" t="s">
        <v>450</v>
      </c>
    </row>
    <row r="27" customFormat="false" ht="15" hidden="false" customHeight="false" outlineLevel="0" collapsed="false">
      <c r="A27" s="10" t="s">
        <v>451</v>
      </c>
      <c r="B27" s="11"/>
      <c r="C27" s="11"/>
      <c r="D27" s="11"/>
      <c r="E27" s="11"/>
    </row>
    <row r="28" customFormat="false" ht="30" hidden="false" customHeight="true" outlineLevel="0" collapsed="false">
      <c r="A28" s="12" t="s">
        <v>104</v>
      </c>
      <c r="B28" s="12" t="s">
        <v>452</v>
      </c>
      <c r="C28" s="12" t="s">
        <v>453</v>
      </c>
      <c r="D28" s="12"/>
      <c r="E28" s="12"/>
    </row>
    <row r="29" customFormat="false" ht="15" hidden="false" customHeight="false" outlineLevel="0" collapsed="false">
      <c r="A29" s="43" t="n">
        <f aca="false">DATE($C$12,1,1)</f>
        <v>46023</v>
      </c>
      <c r="B29" s="75" t="n">
        <v>1.1177</v>
      </c>
      <c r="C29" s="76" t="s">
        <v>454</v>
      </c>
      <c r="D29" s="76"/>
      <c r="E29" s="76"/>
    </row>
    <row r="30" customFormat="false" ht="15" hidden="false" customHeight="false" outlineLevel="0" collapsed="false">
      <c r="A30" s="43" t="n">
        <f aca="false">DATE($C$12,2,1)</f>
        <v>46054</v>
      </c>
      <c r="B30" s="75" t="n">
        <v>1.1177</v>
      </c>
      <c r="C30" s="76" t="s">
        <v>455</v>
      </c>
      <c r="D30" s="76"/>
      <c r="E30" s="76"/>
    </row>
    <row r="31" customFormat="false" ht="15" hidden="false" customHeight="false" outlineLevel="0" collapsed="false">
      <c r="A31" s="43" t="n">
        <f aca="false">DATE($C$12,3,1)</f>
        <v>46082</v>
      </c>
      <c r="B31" s="75" t="n">
        <v>1.1177</v>
      </c>
      <c r="C31" s="76" t="s">
        <v>455</v>
      </c>
      <c r="D31" s="76"/>
      <c r="E31" s="76"/>
    </row>
    <row r="32" customFormat="false" ht="15" hidden="false" customHeight="false" outlineLevel="0" collapsed="false">
      <c r="A32" s="43" t="n">
        <f aca="false">DATE($C$12,4,1)</f>
        <v>46113</v>
      </c>
      <c r="B32" s="75" t="n">
        <v>1.1177</v>
      </c>
      <c r="C32" s="76" t="s">
        <v>455</v>
      </c>
      <c r="D32" s="76"/>
      <c r="E32" s="76"/>
    </row>
    <row r="33" customFormat="false" ht="15" hidden="false" customHeight="false" outlineLevel="0" collapsed="false">
      <c r="A33" s="43" t="n">
        <f aca="false">DATE($C$12,5,1)</f>
        <v>46143</v>
      </c>
      <c r="B33" s="75" t="n">
        <v>1.1177</v>
      </c>
      <c r="C33" s="76" t="s">
        <v>455</v>
      </c>
      <c r="D33" s="76"/>
      <c r="E33" s="76"/>
    </row>
    <row r="34" customFormat="false" ht="15" hidden="false" customHeight="false" outlineLevel="0" collapsed="false">
      <c r="A34" s="43" t="n">
        <f aca="false">DATE($C$12,6,1)</f>
        <v>46174</v>
      </c>
      <c r="B34" s="75" t="n">
        <v>1.1177</v>
      </c>
      <c r="C34" s="76" t="s">
        <v>455</v>
      </c>
      <c r="D34" s="76"/>
      <c r="E34" s="76"/>
    </row>
    <row r="35" customFormat="false" ht="15" hidden="false" customHeight="false" outlineLevel="0" collapsed="false">
      <c r="A35" s="43" t="n">
        <f aca="false">DATE($C$12,7,1)</f>
        <v>46204</v>
      </c>
      <c r="B35" s="75" t="n">
        <v>1.1177</v>
      </c>
      <c r="C35" s="76" t="s">
        <v>455</v>
      </c>
      <c r="D35" s="76"/>
      <c r="E35" s="76"/>
    </row>
    <row r="36" customFormat="false" ht="15" hidden="false" customHeight="false" outlineLevel="0" collapsed="false">
      <c r="A36" s="43" t="n">
        <f aca="false">DATE($C$12,8,1)</f>
        <v>46235</v>
      </c>
      <c r="B36" s="75" t="n">
        <v>1.1177</v>
      </c>
      <c r="C36" s="76" t="s">
        <v>455</v>
      </c>
      <c r="D36" s="76"/>
      <c r="E36" s="76"/>
    </row>
    <row r="37" customFormat="false" ht="15" hidden="false" customHeight="false" outlineLevel="0" collapsed="false">
      <c r="A37" s="43" t="n">
        <f aca="false">DATE($C$12,9,1)</f>
        <v>46266</v>
      </c>
      <c r="B37" s="75" t="n">
        <v>1.1177</v>
      </c>
      <c r="C37" s="76" t="s">
        <v>455</v>
      </c>
      <c r="D37" s="76"/>
      <c r="E37" s="76"/>
    </row>
    <row r="38" customFormat="false" ht="15" hidden="false" customHeight="false" outlineLevel="0" collapsed="false">
      <c r="A38" s="43" t="n">
        <f aca="false">DATE($C$12,10,1)</f>
        <v>46296</v>
      </c>
      <c r="B38" s="75" t="n">
        <v>1.1177</v>
      </c>
      <c r="C38" s="76" t="s">
        <v>455</v>
      </c>
      <c r="D38" s="76"/>
      <c r="E38" s="76"/>
    </row>
    <row r="39" customFormat="false" ht="15" hidden="false" customHeight="false" outlineLevel="0" collapsed="false">
      <c r="A39" s="43" t="n">
        <f aca="false">DATE($C$12,11,1)</f>
        <v>46327</v>
      </c>
      <c r="B39" s="75" t="n">
        <v>1.1177</v>
      </c>
      <c r="C39" s="76" t="s">
        <v>455</v>
      </c>
      <c r="D39" s="76"/>
      <c r="E39" s="76"/>
    </row>
    <row r="40" customFormat="false" ht="15" hidden="false" customHeight="false" outlineLevel="0" collapsed="false">
      <c r="A40" s="43" t="n">
        <f aca="false">DATE($C$12,12,1)</f>
        <v>46357</v>
      </c>
      <c r="B40" s="75" t="n">
        <v>1.1177</v>
      </c>
      <c r="C40" s="76" t="s">
        <v>455</v>
      </c>
      <c r="D40" s="76"/>
      <c r="E40" s="76"/>
    </row>
    <row r="41" customFormat="false" ht="15" hidden="false" customHeight="false" outlineLevel="0" collapsed="false">
      <c r="A41" s="24" t="s">
        <v>456</v>
      </c>
      <c r="B41" s="77" t="n">
        <f aca="false">AVERAGE(B29:B40)</f>
        <v>1.1177</v>
      </c>
    </row>
    <row r="43" customFormat="false" ht="15" hidden="false" customHeight="false" outlineLevel="0" collapsed="false">
      <c r="A43" s="28" t="s">
        <v>457</v>
      </c>
    </row>
    <row r="44" customFormat="false" ht="15" hidden="false" customHeight="false" outlineLevel="0" collapsed="false">
      <c r="A44" s="28" t="s">
        <v>458</v>
      </c>
    </row>
  </sheetData>
  <mergeCells count="21">
    <mergeCell ref="A5:B5"/>
    <mergeCell ref="A6:B6"/>
    <mergeCell ref="A9:B9"/>
    <mergeCell ref="C9:E9"/>
    <mergeCell ref="A10:B10"/>
    <mergeCell ref="A11:B11"/>
    <mergeCell ref="A12:B12"/>
    <mergeCell ref="A13:B13"/>
    <mergeCell ref="C28:E28"/>
    <mergeCell ref="C29:E29"/>
    <mergeCell ref="C30:E30"/>
    <mergeCell ref="C31:E31"/>
    <mergeCell ref="C32:E32"/>
    <mergeCell ref="C33:E33"/>
    <mergeCell ref="C34:E34"/>
    <mergeCell ref="C35:E35"/>
    <mergeCell ref="C36:E36"/>
    <mergeCell ref="C37:E37"/>
    <mergeCell ref="C38:E38"/>
    <mergeCell ref="C39:E39"/>
    <mergeCell ref="C40:E40"/>
  </mergeCells>
  <dataValidations count="2">
    <dataValidation allowBlank="false" errorStyle="stop" operator="between" showDropDown="false" showErrorMessage="false" showInputMessage="false" sqref="C6 C16:C18 B22:B25" type="list">
      <formula1>"EUR,USD"</formula1>
      <formula2>0</formula2>
    </dataValidation>
    <dataValidation allowBlank="false" errorStyle="stop" operator="between" showDropDown="false" showErrorMessage="false" showInputMessage="false" sqref="C22:C2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19.7" hidden="false" customHeight="false" outlineLevel="0" collapsed="false">
      <c r="A1" s="31" t="s">
        <v>459</v>
      </c>
    </row>
    <row r="3" customFormat="false" ht="15" hidden="false" customHeight="false" outlineLevel="0" collapsed="false">
      <c r="A3" s="10" t="s">
        <v>460</v>
      </c>
      <c r="B3" s="11"/>
    </row>
    <row r="4" customFormat="false" ht="30" hidden="false" customHeight="true" outlineLevel="0" collapsed="false">
      <c r="A4" s="78" t="s">
        <v>461</v>
      </c>
      <c r="B4" s="79" t="s">
        <v>462</v>
      </c>
    </row>
    <row r="5" customFormat="false" ht="30" hidden="false" customHeight="true" outlineLevel="0" collapsed="false">
      <c r="A5" s="78" t="s">
        <v>463</v>
      </c>
      <c r="B5" s="79" t="s">
        <v>464</v>
      </c>
    </row>
    <row r="6" customFormat="false" ht="30" hidden="false" customHeight="true" outlineLevel="0" collapsed="false">
      <c r="A6" s="78" t="s">
        <v>465</v>
      </c>
      <c r="B6" s="79" t="s">
        <v>466</v>
      </c>
    </row>
    <row r="7" customFormat="false" ht="15.75" hidden="false" customHeight="true" outlineLevel="0" collapsed="false">
      <c r="A7" s="78" t="s">
        <v>467</v>
      </c>
      <c r="B7" s="79" t="s">
        <v>468</v>
      </c>
    </row>
    <row r="8" customFormat="false" ht="15.75" hidden="false" customHeight="true" outlineLevel="0" collapsed="false">
      <c r="A8" s="78" t="s">
        <v>469</v>
      </c>
      <c r="B8" s="79" t="s">
        <v>470</v>
      </c>
    </row>
    <row r="9" customFormat="false" ht="30" hidden="false" customHeight="true" outlineLevel="0" collapsed="false">
      <c r="A9" s="78" t="s">
        <v>471</v>
      </c>
      <c r="B9" s="79" t="s">
        <v>472</v>
      </c>
    </row>
    <row r="10" customFormat="false" ht="30" hidden="false" customHeight="true" outlineLevel="0" collapsed="false">
      <c r="A10" s="78" t="s">
        <v>473</v>
      </c>
      <c r="B10" s="79" t="s">
        <v>474</v>
      </c>
    </row>
    <row r="11" customFormat="false" ht="15.75" hidden="false" customHeight="true" outlineLevel="0" collapsed="false">
      <c r="A11" s="78" t="s">
        <v>475</v>
      </c>
      <c r="B11" s="79" t="s">
        <v>476</v>
      </c>
    </row>
    <row r="12" customFormat="false" ht="15" hidden="false" customHeight="false" outlineLevel="0" collapsed="false">
      <c r="A12" s="10" t="s">
        <v>477</v>
      </c>
      <c r="B12" s="11"/>
    </row>
    <row r="13" customFormat="false" ht="30" hidden="false" customHeight="true" outlineLevel="0" collapsed="false">
      <c r="A13" s="78" t="s">
        <v>478</v>
      </c>
      <c r="B13" s="79" t="s">
        <v>479</v>
      </c>
    </row>
    <row r="14" customFormat="false" ht="15.75" hidden="false" customHeight="true" outlineLevel="0" collapsed="false">
      <c r="A14" s="78" t="s">
        <v>480</v>
      </c>
      <c r="B14" s="79" t="s">
        <v>481</v>
      </c>
    </row>
    <row r="15" customFormat="false" ht="15" hidden="false" customHeight="false" outlineLevel="0" collapsed="false">
      <c r="A15" s="10" t="s">
        <v>482</v>
      </c>
      <c r="B15" s="11"/>
    </row>
    <row r="16" customFormat="false" ht="30" hidden="false" customHeight="true" outlineLevel="0" collapsed="false">
      <c r="A16" s="78" t="s">
        <v>483</v>
      </c>
      <c r="B16" s="79" t="s">
        <v>484</v>
      </c>
    </row>
    <row r="17" customFormat="false" ht="30" hidden="false" customHeight="true" outlineLevel="0" collapsed="false">
      <c r="A17" s="78" t="s">
        <v>485</v>
      </c>
      <c r="B17" s="79" t="s">
        <v>486</v>
      </c>
    </row>
    <row r="18" customFormat="false" ht="15" hidden="false" customHeight="false" outlineLevel="0" collapsed="false">
      <c r="A18" s="10" t="s">
        <v>487</v>
      </c>
      <c r="B18" s="11"/>
    </row>
    <row r="19" customFormat="false" ht="15.75" hidden="false" customHeight="true" outlineLevel="0" collapsed="false">
      <c r="A19" s="78" t="s">
        <v>488</v>
      </c>
      <c r="B19" s="79" t="s">
        <v>489</v>
      </c>
    </row>
    <row r="20" customFormat="false" ht="30" hidden="false" customHeight="true" outlineLevel="0" collapsed="false">
      <c r="A20" s="78" t="s">
        <v>488</v>
      </c>
      <c r="B20" s="79" t="s">
        <v>490</v>
      </c>
    </row>
    <row r="21" customFormat="false" ht="15.75" hidden="false" customHeight="true" outlineLevel="0" collapsed="false">
      <c r="A21" s="78" t="s">
        <v>488</v>
      </c>
      <c r="B21" s="79" t="s">
        <v>491</v>
      </c>
    </row>
    <row r="22" customFormat="false" ht="15" hidden="false" customHeight="false" outlineLevel="0" collapsed="false">
      <c r="A22" s="10" t="s">
        <v>492</v>
      </c>
      <c r="B22" s="11"/>
    </row>
    <row r="23" customFormat="false" ht="27.75" hidden="false" customHeight="true" outlineLevel="0" collapsed="false">
      <c r="B23" s="80" t="s">
        <v>493</v>
      </c>
    </row>
    <row r="24" customFormat="false" ht="27.75" hidden="false" customHeight="true" outlineLevel="0" collapsed="false">
      <c r="B24" s="80" t="s">
        <v>494</v>
      </c>
    </row>
    <row r="25" customFormat="false" ht="27.75" hidden="false" customHeight="true" outlineLevel="0" collapsed="false">
      <c r="B25" s="80"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K8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4"/>
    <col collapsed="false" customWidth="true" hidden="false" outlineLevel="0" max="4" min="4" style="0" width="13"/>
    <col collapsed="false" customWidth="true" hidden="false" outlineLevel="0" max="5" min="5" style="0" width="11"/>
    <col collapsed="false" customWidth="true" hidden="false" outlineLevel="0" max="7" min="6" style="0" width="12"/>
    <col collapsed="false" customWidth="true" hidden="false" outlineLevel="0" max="8" min="8" style="0" width="22"/>
    <col collapsed="false" customWidth="true" hidden="false" outlineLevel="0" max="9" min="9" style="0" width="14"/>
  </cols>
  <sheetData>
    <row r="1" customFormat="false" ht="15" hidden="false" customHeight="false" outlineLevel="0" collapsed="false">
      <c r="A1" s="81" t="s">
        <v>496</v>
      </c>
      <c r="B1" s="81"/>
      <c r="C1" s="81"/>
      <c r="D1" s="81"/>
      <c r="E1" s="81"/>
      <c r="F1" s="81"/>
      <c r="G1" s="81"/>
      <c r="H1" s="81"/>
      <c r="I1" s="81"/>
    </row>
    <row r="2" customFormat="false" ht="30" hidden="false" customHeight="true" outlineLevel="0" collapsed="false">
      <c r="A2" s="34" t="s">
        <v>497</v>
      </c>
      <c r="B2" s="34" t="s">
        <v>163</v>
      </c>
      <c r="C2" s="34" t="s">
        <v>498</v>
      </c>
      <c r="D2" s="34" t="s">
        <v>499</v>
      </c>
      <c r="E2" s="34" t="s">
        <v>114</v>
      </c>
      <c r="F2" s="34" t="s">
        <v>115</v>
      </c>
      <c r="G2" s="34" t="s">
        <v>500</v>
      </c>
      <c r="H2" s="34" t="s">
        <v>501</v>
      </c>
      <c r="I2" s="34" t="str">
        <f aca="false">"Spend ("&amp;Settings!$C$6&amp;")"</f>
        <v>Spend (USD)</v>
      </c>
      <c r="K2" s="28" t="s">
        <v>502</v>
      </c>
    </row>
    <row r="3" customFormat="false" ht="15" hidden="false" customHeight="false" outlineLevel="0" collapsed="false">
      <c r="A3" s="82" t="n">
        <v>46023</v>
      </c>
      <c r="B3" s="83" t="s">
        <v>182</v>
      </c>
      <c r="C3" s="84" t="n">
        <v>1563.17</v>
      </c>
      <c r="D3" s="85" t="n">
        <v>272869</v>
      </c>
      <c r="E3" s="85" t="n">
        <v>1973</v>
      </c>
      <c r="F3" s="86" t="n">
        <v>160</v>
      </c>
      <c r="G3" s="83" t="s">
        <v>503</v>
      </c>
      <c r="H3" s="0" t="str">
        <f aca="false">IF(B3="","",IF(COUNTIF(Campaigns!$A$7:$A$300,B3)&gt;0,"✓","⚠ add to Campaigns tab"))</f>
        <v>✓</v>
      </c>
      <c r="I3" s="84" t="n">
        <f aca="false">IF(C3="","",C3*IF(Settings!$B$22=Settings!$C$6,1,IF(Settings!$B$22="USD",1/INDEX(Settings!$B$29:$B$40,MONTH(A3)),INDEX(Settings!$B$29:$B$40,MONTH(A3)))))</f>
        <v>1563.17</v>
      </c>
      <c r="K3" s="28" t="s">
        <v>504</v>
      </c>
    </row>
    <row r="4" customFormat="false" ht="15" hidden="false" customHeight="false" outlineLevel="0" collapsed="false">
      <c r="A4" s="82" t="n">
        <v>46023</v>
      </c>
      <c r="B4" s="83" t="s">
        <v>170</v>
      </c>
      <c r="C4" s="84" t="n">
        <v>628.57</v>
      </c>
      <c r="D4" s="85" t="n">
        <v>46543</v>
      </c>
      <c r="E4" s="85" t="n">
        <v>303</v>
      </c>
      <c r="F4" s="86" t="n">
        <v>43</v>
      </c>
      <c r="G4" s="83" t="s">
        <v>503</v>
      </c>
      <c r="H4" s="0" t="str">
        <f aca="false">IF(B4="","",IF(COUNTIF(Campaigns!$A$7:$A$300,B4)&gt;0,"✓","⚠ add to Campaigns tab"))</f>
        <v>✓</v>
      </c>
      <c r="I4" s="84" t="n">
        <f aca="false">IF(C4="","",C4*IF(Settings!$B$22=Settings!$C$6,1,IF(Settings!$B$22="USD",1/INDEX(Settings!$B$29:$B$40,MONTH(A4)),INDEX(Settings!$B$29:$B$40,MONTH(A4)))))</f>
        <v>628.57</v>
      </c>
    </row>
    <row r="5" customFormat="false" ht="15" hidden="false" customHeight="false" outlineLevel="0" collapsed="false">
      <c r="A5" s="82" t="n">
        <v>46023</v>
      </c>
      <c r="B5" s="83" t="s">
        <v>167</v>
      </c>
      <c r="C5" s="84" t="n">
        <v>2782.56</v>
      </c>
      <c r="D5" s="85" t="n">
        <v>400411</v>
      </c>
      <c r="E5" s="85" t="n">
        <v>3285</v>
      </c>
      <c r="F5" s="86" t="n">
        <v>325</v>
      </c>
      <c r="G5" s="83" t="s">
        <v>503</v>
      </c>
      <c r="H5" s="0" t="str">
        <f aca="false">IF(B5="","",IF(COUNTIF(Campaigns!$A$7:$A$300,B5)&gt;0,"✓","⚠ add to Campaigns tab"))</f>
        <v>✓</v>
      </c>
      <c r="I5" s="84" t="n">
        <f aca="false">IF(C5="","",C5*IF(Settings!$B$22=Settings!$C$6,1,IF(Settings!$B$22="USD",1/INDEX(Settings!$B$29:$B$40,MONTH(A5)),INDEX(Settings!$B$29:$B$40,MONTH(A5)))))</f>
        <v>2782.56</v>
      </c>
    </row>
    <row r="6" customFormat="false" ht="15" hidden="false" customHeight="false" outlineLevel="0" collapsed="false">
      <c r="A6" s="82" t="n">
        <v>46023</v>
      </c>
      <c r="B6" s="83" t="s">
        <v>176</v>
      </c>
      <c r="C6" s="84" t="n">
        <v>487.46</v>
      </c>
      <c r="D6" s="85" t="n">
        <v>46253</v>
      </c>
      <c r="E6" s="85" t="n">
        <v>428</v>
      </c>
      <c r="F6" s="86" t="n">
        <v>29</v>
      </c>
      <c r="G6" s="83" t="s">
        <v>503</v>
      </c>
      <c r="H6" s="0" t="str">
        <f aca="false">IF(B6="","",IF(COUNTIF(Campaigns!$A$7:$A$300,B6)&gt;0,"✓","⚠ add to Campaigns tab"))</f>
        <v>✓</v>
      </c>
      <c r="I6" s="84" t="n">
        <f aca="false">IF(C6="","",C6*IF(Settings!$B$22=Settings!$C$6,1,IF(Settings!$B$22="USD",1/INDEX(Settings!$B$29:$B$40,MONTH(A6)),INDEX(Settings!$B$29:$B$40,MONTH(A6)))))</f>
        <v>487.46</v>
      </c>
    </row>
    <row r="7" customFormat="false" ht="15" hidden="false" customHeight="false" outlineLevel="0" collapsed="false">
      <c r="A7" s="82" t="n">
        <v>46023</v>
      </c>
      <c r="B7" s="83" t="s">
        <v>169</v>
      </c>
      <c r="C7" s="84" t="n">
        <v>2148.71</v>
      </c>
      <c r="D7" s="85" t="n">
        <v>109831</v>
      </c>
      <c r="E7" s="85" t="n">
        <v>1058</v>
      </c>
      <c r="F7" s="86" t="n">
        <v>132</v>
      </c>
      <c r="G7" s="83" t="s">
        <v>503</v>
      </c>
      <c r="H7" s="0" t="str">
        <f aca="false">IF(B7="","",IF(COUNTIF(Campaigns!$A$7:$A$300,B7)&gt;0,"✓","⚠ add to Campaigns tab"))</f>
        <v>✓</v>
      </c>
      <c r="I7" s="84" t="n">
        <f aca="false">IF(C7="","",C7*IF(Settings!$B$22=Settings!$C$6,1,IF(Settings!$B$22="USD",1/INDEX(Settings!$B$29:$B$40,MONTH(A7)),INDEX(Settings!$B$29:$B$40,MONTH(A7)))))</f>
        <v>2148.71</v>
      </c>
    </row>
    <row r="8" customFormat="false" ht="15" hidden="false" customHeight="false" outlineLevel="0" collapsed="false">
      <c r="A8" s="82" t="n">
        <v>46023</v>
      </c>
      <c r="B8" s="83" t="s">
        <v>171</v>
      </c>
      <c r="C8" s="84" t="n">
        <v>482.04</v>
      </c>
      <c r="D8" s="85" t="n">
        <v>15439</v>
      </c>
      <c r="E8" s="85" t="n">
        <v>193</v>
      </c>
      <c r="F8" s="86" t="n">
        <v>30</v>
      </c>
      <c r="G8" s="83" t="s">
        <v>503</v>
      </c>
      <c r="H8" s="0" t="str">
        <f aca="false">IF(B8="","",IF(COUNTIF(Campaigns!$A$7:$A$300,B8)&gt;0,"✓","⚠ add to Campaigns tab"))</f>
        <v>✓</v>
      </c>
      <c r="I8" s="84" t="n">
        <f aca="false">IF(C8="","",C8*IF(Settings!$B$22=Settings!$C$6,1,IF(Settings!$B$22="USD",1/INDEX(Settings!$B$29:$B$40,MONTH(A8)),INDEX(Settings!$B$29:$B$40,MONTH(A8)))))</f>
        <v>482.04</v>
      </c>
    </row>
    <row r="9" customFormat="false" ht="15" hidden="false" customHeight="false" outlineLevel="0" collapsed="false">
      <c r="A9" s="82" t="n">
        <v>46054</v>
      </c>
      <c r="B9" s="83" t="s">
        <v>181</v>
      </c>
      <c r="C9" s="84" t="n">
        <v>2286.95</v>
      </c>
      <c r="D9" s="85" t="n">
        <v>374177</v>
      </c>
      <c r="E9" s="85" t="n">
        <v>3315</v>
      </c>
      <c r="F9" s="86" t="n">
        <v>0</v>
      </c>
      <c r="G9" s="83" t="s">
        <v>503</v>
      </c>
      <c r="H9" s="0" t="str">
        <f aca="false">IF(B9="","",IF(COUNTIF(Campaigns!$A$7:$A$300,B9)&gt;0,"✓","⚠ add to Campaigns tab"))</f>
        <v>✓</v>
      </c>
      <c r="I9" s="84" t="n">
        <f aca="false">IF(C9="","",C9*IF(Settings!$B$22=Settings!$C$6,1,IF(Settings!$B$22="USD",1/INDEX(Settings!$B$29:$B$40,MONTH(A9)),INDEX(Settings!$B$29:$B$40,MONTH(A9)))))</f>
        <v>2286.95</v>
      </c>
    </row>
    <row r="10" customFormat="false" ht="15" hidden="false" customHeight="false" outlineLevel="0" collapsed="false">
      <c r="A10" s="82" t="n">
        <v>46054</v>
      </c>
      <c r="B10" s="83" t="s">
        <v>170</v>
      </c>
      <c r="C10" s="84" t="n">
        <v>2516.8</v>
      </c>
      <c r="D10" s="85" t="n">
        <v>96394</v>
      </c>
      <c r="E10" s="85" t="n">
        <v>909</v>
      </c>
      <c r="F10" s="86" t="n">
        <v>144</v>
      </c>
      <c r="G10" s="83" t="s">
        <v>503</v>
      </c>
      <c r="H10" s="0" t="str">
        <f aca="false">IF(B10="","",IF(COUNTIF(Campaigns!$A$7:$A$300,B10)&gt;0,"✓","⚠ add to Campaigns tab"))</f>
        <v>✓</v>
      </c>
      <c r="I10" s="84" t="n">
        <f aca="false">IF(C10="","",C10*IF(Settings!$B$22=Settings!$C$6,1,IF(Settings!$B$22="USD",1/INDEX(Settings!$B$29:$B$40,MONTH(A10)),INDEX(Settings!$B$29:$B$40,MONTH(A10)))))</f>
        <v>2516.8</v>
      </c>
    </row>
    <row r="11" customFormat="false" ht="15" hidden="false" customHeight="false" outlineLevel="0" collapsed="false">
      <c r="A11" s="82" t="n">
        <v>46054</v>
      </c>
      <c r="B11" s="83" t="s">
        <v>167</v>
      </c>
      <c r="C11" s="84" t="n">
        <v>2511.78</v>
      </c>
      <c r="D11" s="85" t="n">
        <v>353745</v>
      </c>
      <c r="E11" s="85" t="n">
        <v>4487</v>
      </c>
      <c r="F11" s="86" t="n">
        <v>392</v>
      </c>
      <c r="G11" s="83" t="s">
        <v>503</v>
      </c>
      <c r="H11" s="0" t="str">
        <f aca="false">IF(B11="","",IF(COUNTIF(Campaigns!$A$7:$A$300,B11)&gt;0,"✓","⚠ add to Campaigns tab"))</f>
        <v>✓</v>
      </c>
      <c r="I11" s="84" t="n">
        <f aca="false">IF(C11="","",C11*IF(Settings!$B$22=Settings!$C$6,1,IF(Settings!$B$22="USD",1/INDEX(Settings!$B$29:$B$40,MONTH(A11)),INDEX(Settings!$B$29:$B$40,MONTH(A11)))))</f>
        <v>2511.78</v>
      </c>
    </row>
    <row r="12" customFormat="false" ht="15" hidden="false" customHeight="false" outlineLevel="0" collapsed="false">
      <c r="A12" s="82" t="n">
        <v>46054</v>
      </c>
      <c r="B12" s="83" t="s">
        <v>166</v>
      </c>
      <c r="C12" s="84" t="n">
        <v>18574.2</v>
      </c>
      <c r="D12" s="85" t="n">
        <v>950989</v>
      </c>
      <c r="E12" s="85" t="n">
        <v>11841</v>
      </c>
      <c r="F12" s="86" t="n">
        <v>777</v>
      </c>
      <c r="G12" s="83" t="s">
        <v>503</v>
      </c>
      <c r="H12" s="0" t="str">
        <f aca="false">IF(B12="","",IF(COUNTIF(Campaigns!$A$7:$A$300,B12)&gt;0,"✓","⚠ add to Campaigns tab"))</f>
        <v>✓</v>
      </c>
      <c r="I12" s="84" t="n">
        <f aca="false">IF(C12="","",C12*IF(Settings!$B$22=Settings!$C$6,1,IF(Settings!$B$22="USD",1/INDEX(Settings!$B$29:$B$40,MONTH(A12)),INDEX(Settings!$B$29:$B$40,MONTH(A12)))))</f>
        <v>18574.2</v>
      </c>
    </row>
    <row r="13" customFormat="false" ht="15" hidden="false" customHeight="false" outlineLevel="0" collapsed="false">
      <c r="A13" s="82" t="n">
        <v>46054</v>
      </c>
      <c r="B13" s="83" t="s">
        <v>176</v>
      </c>
      <c r="C13" s="84" t="n">
        <v>558.29</v>
      </c>
      <c r="D13" s="85" t="n">
        <v>45822</v>
      </c>
      <c r="E13" s="85" t="n">
        <v>502</v>
      </c>
      <c r="F13" s="86" t="n">
        <v>41</v>
      </c>
      <c r="G13" s="83" t="s">
        <v>503</v>
      </c>
      <c r="H13" s="0" t="str">
        <f aca="false">IF(B13="","",IF(COUNTIF(Campaigns!$A$7:$A$300,B13)&gt;0,"✓","⚠ add to Campaigns tab"))</f>
        <v>✓</v>
      </c>
      <c r="I13" s="84" t="n">
        <f aca="false">IF(C13="","",C13*IF(Settings!$B$22=Settings!$C$6,1,IF(Settings!$B$22="USD",1/INDEX(Settings!$B$29:$B$40,MONTH(A13)),INDEX(Settings!$B$29:$B$40,MONTH(A13)))))</f>
        <v>558.29</v>
      </c>
    </row>
    <row r="14" customFormat="false" ht="15" hidden="false" customHeight="false" outlineLevel="0" collapsed="false">
      <c r="A14" s="82" t="n">
        <v>46054</v>
      </c>
      <c r="B14" s="83" t="s">
        <v>169</v>
      </c>
      <c r="C14" s="84" t="n">
        <v>1948.23</v>
      </c>
      <c r="D14" s="85" t="n">
        <v>80209</v>
      </c>
      <c r="E14" s="85" t="n">
        <v>1098</v>
      </c>
      <c r="F14" s="86" t="n">
        <v>184</v>
      </c>
      <c r="G14" s="83" t="s">
        <v>503</v>
      </c>
      <c r="H14" s="0" t="str">
        <f aca="false">IF(B14="","",IF(COUNTIF(Campaigns!$A$7:$A$300,B14)&gt;0,"✓","⚠ add to Campaigns tab"))</f>
        <v>✓</v>
      </c>
      <c r="I14" s="84" t="n">
        <f aca="false">IF(C14="","",C14*IF(Settings!$B$22=Settings!$C$6,1,IF(Settings!$B$22="USD",1/INDEX(Settings!$B$29:$B$40,MONTH(A14)),INDEX(Settings!$B$29:$B$40,MONTH(A14)))))</f>
        <v>1948.23</v>
      </c>
    </row>
    <row r="15" customFormat="false" ht="15" hidden="false" customHeight="false" outlineLevel="0" collapsed="false">
      <c r="A15" s="82" t="n">
        <v>46054</v>
      </c>
      <c r="B15" s="83" t="s">
        <v>171</v>
      </c>
      <c r="C15" s="84" t="n">
        <v>556.5</v>
      </c>
      <c r="D15" s="85" t="n">
        <v>26549</v>
      </c>
      <c r="E15" s="85" t="n">
        <v>250</v>
      </c>
      <c r="F15" s="86" t="n">
        <v>19</v>
      </c>
      <c r="G15" s="83" t="s">
        <v>503</v>
      </c>
      <c r="H15" s="0" t="str">
        <f aca="false">IF(B15="","",IF(COUNTIF(Campaigns!$A$7:$A$300,B15)&gt;0,"✓","⚠ add to Campaigns tab"))</f>
        <v>✓</v>
      </c>
      <c r="I15" s="84" t="n">
        <f aca="false">IF(C15="","",C15*IF(Settings!$B$22=Settings!$C$6,1,IF(Settings!$B$22="USD",1/INDEX(Settings!$B$29:$B$40,MONTH(A15)),INDEX(Settings!$B$29:$B$40,MONTH(A15)))))</f>
        <v>556.5</v>
      </c>
    </row>
    <row r="16" customFormat="false" ht="15" hidden="false" customHeight="false" outlineLevel="0" collapsed="false">
      <c r="A16" s="82" t="n">
        <v>46082</v>
      </c>
      <c r="B16" s="83" t="s">
        <v>170</v>
      </c>
      <c r="C16" s="84" t="n">
        <v>2809.01</v>
      </c>
      <c r="D16" s="85" t="n">
        <v>76821</v>
      </c>
      <c r="E16" s="85" t="n">
        <v>734</v>
      </c>
      <c r="F16" s="86" t="n">
        <v>111</v>
      </c>
      <c r="G16" s="83" t="s">
        <v>503</v>
      </c>
      <c r="H16" s="0" t="str">
        <f aca="false">IF(B16="","",IF(COUNTIF(Campaigns!$A$7:$A$300,B16)&gt;0,"✓","⚠ add to Campaigns tab"))</f>
        <v>✓</v>
      </c>
      <c r="I16" s="84" t="n">
        <f aca="false">IF(C16="","",C16*IF(Settings!$B$22=Settings!$C$6,1,IF(Settings!$B$22="USD",1/INDEX(Settings!$B$29:$B$40,MONTH(A16)),INDEX(Settings!$B$29:$B$40,MONTH(A16)))))</f>
        <v>2809.01</v>
      </c>
    </row>
    <row r="17" customFormat="false" ht="15" hidden="false" customHeight="false" outlineLevel="0" collapsed="false">
      <c r="A17" s="82" t="n">
        <v>46082</v>
      </c>
      <c r="B17" s="83" t="s">
        <v>167</v>
      </c>
      <c r="C17" s="84" t="n">
        <v>2776.42</v>
      </c>
      <c r="D17" s="85" t="n">
        <v>339487</v>
      </c>
      <c r="E17" s="85" t="n">
        <v>3141</v>
      </c>
      <c r="F17" s="86" t="n">
        <v>311</v>
      </c>
      <c r="G17" s="83" t="s">
        <v>503</v>
      </c>
      <c r="H17" s="0" t="str">
        <f aca="false">IF(B17="","",IF(COUNTIF(Campaigns!$A$7:$A$300,B17)&gt;0,"✓","⚠ add to Campaigns tab"))</f>
        <v>✓</v>
      </c>
      <c r="I17" s="84" t="n">
        <f aca="false">IF(C17="","",C17*IF(Settings!$B$22=Settings!$C$6,1,IF(Settings!$B$22="USD",1/INDEX(Settings!$B$29:$B$40,MONTH(A17)),INDEX(Settings!$B$29:$B$40,MONTH(A17)))))</f>
        <v>2776.42</v>
      </c>
    </row>
    <row r="18" customFormat="false" ht="15" hidden="false" customHeight="false" outlineLevel="0" collapsed="false">
      <c r="A18" s="82" t="n">
        <v>46082</v>
      </c>
      <c r="B18" s="83" t="s">
        <v>166</v>
      </c>
      <c r="C18" s="84" t="n">
        <v>29346.15</v>
      </c>
      <c r="D18" s="85" t="n">
        <v>1213635</v>
      </c>
      <c r="E18" s="85" t="n">
        <v>13257</v>
      </c>
      <c r="F18" s="86" t="n">
        <v>907</v>
      </c>
      <c r="G18" s="83" t="s">
        <v>503</v>
      </c>
      <c r="H18" s="0" t="str">
        <f aca="false">IF(B18="","",IF(COUNTIF(Campaigns!$A$7:$A$300,B18)&gt;0,"✓","⚠ add to Campaigns tab"))</f>
        <v>✓</v>
      </c>
      <c r="I18" s="84" t="n">
        <f aca="false">IF(C18="","",C18*IF(Settings!$B$22=Settings!$C$6,1,IF(Settings!$B$22="USD",1/INDEX(Settings!$B$29:$B$40,MONTH(A18)),INDEX(Settings!$B$29:$B$40,MONTH(A18)))))</f>
        <v>29346.15</v>
      </c>
    </row>
    <row r="19" customFormat="false" ht="15" hidden="false" customHeight="false" outlineLevel="0" collapsed="false">
      <c r="A19" s="82" t="n">
        <v>46082</v>
      </c>
      <c r="B19" s="83" t="s">
        <v>176</v>
      </c>
      <c r="C19" s="84" t="n">
        <v>620.12</v>
      </c>
      <c r="D19" s="85" t="n">
        <v>46225</v>
      </c>
      <c r="E19" s="85" t="n">
        <v>475</v>
      </c>
      <c r="F19" s="86" t="n">
        <v>34</v>
      </c>
      <c r="G19" s="83" t="s">
        <v>503</v>
      </c>
      <c r="H19" s="0" t="str">
        <f aca="false">IF(B19="","",IF(COUNTIF(Campaigns!$A$7:$A$300,B19)&gt;0,"✓","⚠ add to Campaigns tab"))</f>
        <v>✓</v>
      </c>
      <c r="I19" s="84" t="n">
        <f aca="false">IF(C19="","",C19*IF(Settings!$B$22=Settings!$C$6,1,IF(Settings!$B$22="USD",1/INDEX(Settings!$B$29:$B$40,MONTH(A19)),INDEX(Settings!$B$29:$B$40,MONTH(A19)))))</f>
        <v>620.12</v>
      </c>
    </row>
    <row r="20" customFormat="false" ht="15" hidden="false" customHeight="false" outlineLevel="0" collapsed="false">
      <c r="A20" s="82" t="n">
        <v>46082</v>
      </c>
      <c r="B20" s="83" t="s">
        <v>169</v>
      </c>
      <c r="C20" s="84" t="n">
        <v>2200.97</v>
      </c>
      <c r="D20" s="85" t="n">
        <v>64552</v>
      </c>
      <c r="E20" s="85" t="n">
        <v>854</v>
      </c>
      <c r="F20" s="86" t="n">
        <v>138</v>
      </c>
      <c r="G20" s="83" t="s">
        <v>503</v>
      </c>
      <c r="H20" s="0" t="str">
        <f aca="false">IF(B20="","",IF(COUNTIF(Campaigns!$A$7:$A$300,B20)&gt;0,"✓","⚠ add to Campaigns tab"))</f>
        <v>✓</v>
      </c>
      <c r="I20" s="84" t="n">
        <f aca="false">IF(C20="","",C20*IF(Settings!$B$22=Settings!$C$6,1,IF(Settings!$B$22="USD",1/INDEX(Settings!$B$29:$B$40,MONTH(A20)),INDEX(Settings!$B$29:$B$40,MONTH(A20)))))</f>
        <v>2200.97</v>
      </c>
    </row>
    <row r="21" customFormat="false" ht="15" hidden="false" customHeight="false" outlineLevel="0" collapsed="false">
      <c r="A21" s="82" t="n">
        <v>46082</v>
      </c>
      <c r="B21" s="83" t="s">
        <v>171</v>
      </c>
      <c r="C21" s="84" t="n">
        <v>634.17</v>
      </c>
      <c r="D21" s="85" t="n">
        <v>27141</v>
      </c>
      <c r="E21" s="85" t="n">
        <v>261</v>
      </c>
      <c r="F21" s="86" t="n">
        <v>15</v>
      </c>
      <c r="G21" s="83" t="s">
        <v>503</v>
      </c>
      <c r="H21" s="0" t="str">
        <f aca="false">IF(B21="","",IF(COUNTIF(Campaigns!$A$7:$A$300,B21)&gt;0,"✓","⚠ add to Campaigns tab"))</f>
        <v>✓</v>
      </c>
      <c r="I21" s="84" t="n">
        <f aca="false">IF(C21="","",C21*IF(Settings!$B$22=Settings!$C$6,1,IF(Settings!$B$22="USD",1/INDEX(Settings!$B$29:$B$40,MONTH(A21)),INDEX(Settings!$B$29:$B$40,MONTH(A21)))))</f>
        <v>634.17</v>
      </c>
    </row>
    <row r="22" customFormat="false" ht="15" hidden="false" customHeight="false" outlineLevel="0" collapsed="false">
      <c r="A22" s="82" t="n">
        <v>46113</v>
      </c>
      <c r="B22" s="83" t="s">
        <v>170</v>
      </c>
      <c r="C22" s="84" t="n">
        <v>2737.77</v>
      </c>
      <c r="D22" s="85" t="n">
        <v>76093</v>
      </c>
      <c r="E22" s="85" t="n">
        <v>548</v>
      </c>
      <c r="F22" s="86" t="n">
        <v>89</v>
      </c>
      <c r="G22" s="83" t="s">
        <v>503</v>
      </c>
      <c r="H22" s="0" t="str">
        <f aca="false">IF(B22="","",IF(COUNTIF(Campaigns!$A$7:$A$300,B22)&gt;0,"✓","⚠ add to Campaigns tab"))</f>
        <v>✓</v>
      </c>
      <c r="I22" s="84" t="n">
        <f aca="false">IF(C22="","",C22*IF(Settings!$B$22=Settings!$C$6,1,IF(Settings!$B$22="USD",1/INDEX(Settings!$B$29:$B$40,MONTH(A22)),INDEX(Settings!$B$29:$B$40,MONTH(A22)))))</f>
        <v>2737.77</v>
      </c>
    </row>
    <row r="23" customFormat="false" ht="15" hidden="false" customHeight="false" outlineLevel="0" collapsed="false">
      <c r="A23" s="82" t="n">
        <v>46113</v>
      </c>
      <c r="B23" s="83" t="s">
        <v>167</v>
      </c>
      <c r="C23" s="84" t="n">
        <v>2711.28</v>
      </c>
      <c r="D23" s="85" t="n">
        <v>260681</v>
      </c>
      <c r="E23" s="85" t="n">
        <v>2618</v>
      </c>
      <c r="F23" s="86" t="n">
        <v>223</v>
      </c>
      <c r="G23" s="83" t="s">
        <v>503</v>
      </c>
      <c r="H23" s="0" t="str">
        <f aca="false">IF(B23="","",IF(COUNTIF(Campaigns!$A$7:$A$300,B23)&gt;0,"✓","⚠ add to Campaigns tab"))</f>
        <v>✓</v>
      </c>
      <c r="I23" s="84" t="n">
        <f aca="false">IF(C23="","",C23*IF(Settings!$B$22=Settings!$C$6,1,IF(Settings!$B$22="USD",1/INDEX(Settings!$B$29:$B$40,MONTH(A23)),INDEX(Settings!$B$29:$B$40,MONTH(A23)))))</f>
        <v>2711.28</v>
      </c>
    </row>
    <row r="24" customFormat="false" ht="15" hidden="false" customHeight="false" outlineLevel="0" collapsed="false">
      <c r="A24" s="82" t="n">
        <v>46113</v>
      </c>
      <c r="B24" s="83" t="s">
        <v>166</v>
      </c>
      <c r="C24" s="84" t="n">
        <v>8224.89</v>
      </c>
      <c r="D24" s="85" t="n">
        <v>488896</v>
      </c>
      <c r="E24" s="85" t="n">
        <v>4672</v>
      </c>
      <c r="F24" s="86" t="n">
        <v>238</v>
      </c>
      <c r="G24" s="83" t="s">
        <v>503</v>
      </c>
      <c r="H24" s="0" t="str">
        <f aca="false">IF(B24="","",IF(COUNTIF(Campaigns!$A$7:$A$300,B24)&gt;0,"✓","⚠ add to Campaigns tab"))</f>
        <v>✓</v>
      </c>
      <c r="I24" s="84" t="n">
        <f aca="false">IF(C24="","",C24*IF(Settings!$B$22=Settings!$C$6,1,IF(Settings!$B$22="USD",1/INDEX(Settings!$B$29:$B$40,MONTH(A24)),INDEX(Settings!$B$29:$B$40,MONTH(A24)))))</f>
        <v>8224.89</v>
      </c>
    </row>
    <row r="25" customFormat="false" ht="15" hidden="false" customHeight="false" outlineLevel="0" collapsed="false">
      <c r="A25" s="82" t="n">
        <v>46113</v>
      </c>
      <c r="B25" s="83" t="s">
        <v>176</v>
      </c>
      <c r="C25" s="84" t="n">
        <v>603.57</v>
      </c>
      <c r="D25" s="85" t="n">
        <v>61767</v>
      </c>
      <c r="E25" s="85" t="n">
        <v>526</v>
      </c>
      <c r="F25" s="86" t="n">
        <v>34</v>
      </c>
      <c r="G25" s="83" t="s">
        <v>503</v>
      </c>
      <c r="H25" s="0" t="str">
        <f aca="false">IF(B25="","",IF(COUNTIF(Campaigns!$A$7:$A$300,B25)&gt;0,"✓","⚠ add to Campaigns tab"))</f>
        <v>✓</v>
      </c>
      <c r="I25" s="84" t="n">
        <f aca="false">IF(C25="","",C25*IF(Settings!$B$22=Settings!$C$6,1,IF(Settings!$B$22="USD",1/INDEX(Settings!$B$29:$B$40,MONTH(A25)),INDEX(Settings!$B$29:$B$40,MONTH(A25)))))</f>
        <v>603.57</v>
      </c>
    </row>
    <row r="26" customFormat="false" ht="15" hidden="false" customHeight="false" outlineLevel="0" collapsed="false">
      <c r="A26" s="82" t="n">
        <v>46113</v>
      </c>
      <c r="B26" s="83" t="s">
        <v>168</v>
      </c>
      <c r="C26" s="84" t="n">
        <v>5268.88</v>
      </c>
      <c r="D26" s="85" t="n">
        <v>134102</v>
      </c>
      <c r="E26" s="85" t="n">
        <v>1749</v>
      </c>
      <c r="F26" s="86" t="n">
        <v>144</v>
      </c>
      <c r="G26" s="83" t="s">
        <v>503</v>
      </c>
      <c r="H26" s="0" t="str">
        <f aca="false">IF(B26="","",IF(COUNTIF(Campaigns!$A$7:$A$300,B26)&gt;0,"✓","⚠ add to Campaigns tab"))</f>
        <v>✓</v>
      </c>
      <c r="I26" s="84" t="n">
        <f aca="false">IF(C26="","",C26*IF(Settings!$B$22=Settings!$C$6,1,IF(Settings!$B$22="USD",1/INDEX(Settings!$B$29:$B$40,MONTH(A26)),INDEX(Settings!$B$29:$B$40,MONTH(A26)))))</f>
        <v>5268.88</v>
      </c>
    </row>
    <row r="27" customFormat="false" ht="15" hidden="false" customHeight="false" outlineLevel="0" collapsed="false">
      <c r="A27" s="82" t="n">
        <v>46113</v>
      </c>
      <c r="B27" s="83" t="s">
        <v>169</v>
      </c>
      <c r="C27" s="84" t="n">
        <v>2116.08</v>
      </c>
      <c r="D27" s="85" t="n">
        <v>55674</v>
      </c>
      <c r="E27" s="85" t="n">
        <v>697</v>
      </c>
      <c r="F27" s="86" t="n">
        <v>132</v>
      </c>
      <c r="G27" s="83" t="s">
        <v>503</v>
      </c>
      <c r="H27" s="0" t="str">
        <f aca="false">IF(B27="","",IF(COUNTIF(Campaigns!$A$7:$A$300,B27)&gt;0,"✓","⚠ add to Campaigns tab"))</f>
        <v>✓</v>
      </c>
      <c r="I27" s="84" t="n">
        <f aca="false">IF(C27="","",C27*IF(Settings!$B$22=Settings!$C$6,1,IF(Settings!$B$22="USD",1/INDEX(Settings!$B$29:$B$40,MONTH(A27)),INDEX(Settings!$B$29:$B$40,MONTH(A27)))))</f>
        <v>2116.08</v>
      </c>
    </row>
    <row r="28" customFormat="false" ht="15" hidden="false" customHeight="false" outlineLevel="0" collapsed="false">
      <c r="A28" s="82" t="n">
        <v>46113</v>
      </c>
      <c r="B28" s="83" t="s">
        <v>171</v>
      </c>
      <c r="C28" s="84" t="n">
        <v>579.09</v>
      </c>
      <c r="D28" s="85" t="n">
        <v>33429</v>
      </c>
      <c r="E28" s="85" t="n">
        <v>257</v>
      </c>
      <c r="F28" s="86" t="n">
        <v>16</v>
      </c>
      <c r="G28" s="83" t="s">
        <v>503</v>
      </c>
      <c r="H28" s="0" t="str">
        <f aca="false">IF(B28="","",IF(COUNTIF(Campaigns!$A$7:$A$300,B28)&gt;0,"✓","⚠ add to Campaigns tab"))</f>
        <v>✓</v>
      </c>
      <c r="I28" s="84" t="n">
        <f aca="false">IF(C28="","",C28*IF(Settings!$B$22=Settings!$C$6,1,IF(Settings!$B$22="USD",1/INDEX(Settings!$B$29:$B$40,MONTH(A28)),INDEX(Settings!$B$29:$B$40,MONTH(A28)))))</f>
        <v>579.09</v>
      </c>
    </row>
    <row r="29" customFormat="false" ht="15" hidden="false" customHeight="false" outlineLevel="0" collapsed="false">
      <c r="A29" s="82" t="n">
        <v>46143</v>
      </c>
      <c r="B29" s="83" t="s">
        <v>170</v>
      </c>
      <c r="C29" s="84" t="n">
        <v>2733.67</v>
      </c>
      <c r="D29" s="85" t="n">
        <v>74141</v>
      </c>
      <c r="E29" s="85" t="n">
        <v>572</v>
      </c>
      <c r="F29" s="86" t="n">
        <v>83</v>
      </c>
      <c r="G29" s="83" t="s">
        <v>503</v>
      </c>
      <c r="H29" s="0" t="str">
        <f aca="false">IF(B29="","",IF(COUNTIF(Campaigns!$A$7:$A$300,B29)&gt;0,"✓","⚠ add to Campaigns tab"))</f>
        <v>✓</v>
      </c>
      <c r="I29" s="84" t="n">
        <f aca="false">IF(C29="","",C29*IF(Settings!$B$22=Settings!$C$6,1,IF(Settings!$B$22="USD",1/INDEX(Settings!$B$29:$B$40,MONTH(A29)),INDEX(Settings!$B$29:$B$40,MONTH(A29)))))</f>
        <v>2733.67</v>
      </c>
    </row>
    <row r="30" customFormat="false" ht="15" hidden="false" customHeight="false" outlineLevel="0" collapsed="false">
      <c r="A30" s="82" t="n">
        <v>46143</v>
      </c>
      <c r="B30" s="83" t="s">
        <v>167</v>
      </c>
      <c r="C30" s="84" t="n">
        <v>2778.32</v>
      </c>
      <c r="D30" s="85" t="n">
        <v>256582</v>
      </c>
      <c r="E30" s="85" t="n">
        <v>1913</v>
      </c>
      <c r="F30" s="86" t="n">
        <v>155</v>
      </c>
      <c r="G30" s="83" t="s">
        <v>503</v>
      </c>
      <c r="H30" s="0" t="str">
        <f aca="false">IF(B30="","",IF(COUNTIF(Campaigns!$A$7:$A$300,B30)&gt;0,"✓","⚠ add to Campaigns tab"))</f>
        <v>✓</v>
      </c>
      <c r="I30" s="84" t="n">
        <f aca="false">IF(C30="","",C30*IF(Settings!$B$22=Settings!$C$6,1,IF(Settings!$B$22="USD",1/INDEX(Settings!$B$29:$B$40,MONTH(A30)),INDEX(Settings!$B$29:$B$40,MONTH(A30)))))</f>
        <v>2778.32</v>
      </c>
    </row>
    <row r="31" customFormat="false" ht="15" hidden="false" customHeight="false" outlineLevel="0" collapsed="false">
      <c r="A31" s="82" t="n">
        <v>46143</v>
      </c>
      <c r="B31" s="83" t="s">
        <v>166</v>
      </c>
      <c r="C31" s="84" t="n">
        <v>5591.42</v>
      </c>
      <c r="D31" s="85" t="n">
        <v>336366</v>
      </c>
      <c r="E31" s="85" t="n">
        <v>2887</v>
      </c>
      <c r="F31" s="86" t="n">
        <v>112</v>
      </c>
      <c r="G31" s="83" t="s">
        <v>503</v>
      </c>
      <c r="H31" s="0" t="str">
        <f aca="false">IF(B31="","",IF(COUNTIF(Campaigns!$A$7:$A$300,B31)&gt;0,"✓","⚠ add to Campaigns tab"))</f>
        <v>✓</v>
      </c>
      <c r="I31" s="84" t="n">
        <f aca="false">IF(C31="","",C31*IF(Settings!$B$22=Settings!$C$6,1,IF(Settings!$B$22="USD",1/INDEX(Settings!$B$29:$B$40,MONTH(A31)),INDEX(Settings!$B$29:$B$40,MONTH(A31)))))</f>
        <v>5591.42</v>
      </c>
    </row>
    <row r="32" customFormat="false" ht="15" hidden="false" customHeight="false" outlineLevel="0" collapsed="false">
      <c r="A32" s="82" t="n">
        <v>46143</v>
      </c>
      <c r="B32" s="83" t="s">
        <v>176</v>
      </c>
      <c r="C32" s="84" t="n">
        <v>611.7</v>
      </c>
      <c r="D32" s="85" t="n">
        <v>44663</v>
      </c>
      <c r="E32" s="85" t="n">
        <v>449</v>
      </c>
      <c r="F32" s="86" t="n">
        <v>45</v>
      </c>
      <c r="G32" s="83" t="s">
        <v>503</v>
      </c>
      <c r="H32" s="0" t="str">
        <f aca="false">IF(B32="","",IF(COUNTIF(Campaigns!$A$7:$A$300,B32)&gt;0,"✓","⚠ add to Campaigns tab"))</f>
        <v>✓</v>
      </c>
      <c r="I32" s="84" t="n">
        <f aca="false">IF(C32="","",C32*IF(Settings!$B$22=Settings!$C$6,1,IF(Settings!$B$22="USD",1/INDEX(Settings!$B$29:$B$40,MONTH(A32)),INDEX(Settings!$B$29:$B$40,MONTH(A32)))))</f>
        <v>611.7</v>
      </c>
    </row>
    <row r="33" customFormat="false" ht="15" hidden="false" customHeight="false" outlineLevel="0" collapsed="false">
      <c r="A33" s="82" t="n">
        <v>46143</v>
      </c>
      <c r="B33" s="83" t="s">
        <v>168</v>
      </c>
      <c r="C33" s="84" t="n">
        <v>7877.6</v>
      </c>
      <c r="D33" s="85" t="n">
        <v>209353</v>
      </c>
      <c r="E33" s="85" t="n">
        <v>1765</v>
      </c>
      <c r="F33" s="86" t="n">
        <v>139</v>
      </c>
      <c r="G33" s="83" t="s">
        <v>503</v>
      </c>
      <c r="H33" s="0" t="str">
        <f aca="false">IF(B33="","",IF(COUNTIF(Campaigns!$A$7:$A$300,B33)&gt;0,"✓","⚠ add to Campaigns tab"))</f>
        <v>✓</v>
      </c>
      <c r="I33" s="84" t="n">
        <f aca="false">IF(C33="","",C33*IF(Settings!$B$22=Settings!$C$6,1,IF(Settings!$B$22="USD",1/INDEX(Settings!$B$29:$B$40,MONTH(A33)),INDEX(Settings!$B$29:$B$40,MONTH(A33)))))</f>
        <v>7877.6</v>
      </c>
    </row>
    <row r="34" customFormat="false" ht="15" hidden="false" customHeight="false" outlineLevel="0" collapsed="false">
      <c r="A34" s="82" t="n">
        <v>46143</v>
      </c>
      <c r="B34" s="83" t="s">
        <v>169</v>
      </c>
      <c r="C34" s="84" t="n">
        <v>2121.95</v>
      </c>
      <c r="D34" s="85" t="n">
        <v>51042</v>
      </c>
      <c r="E34" s="85" t="n">
        <v>520</v>
      </c>
      <c r="F34" s="86" t="n">
        <v>82</v>
      </c>
      <c r="G34" s="83" t="s">
        <v>503</v>
      </c>
      <c r="H34" s="0" t="str">
        <f aca="false">IF(B34="","",IF(COUNTIF(Campaigns!$A$7:$A$300,B34)&gt;0,"✓","⚠ add to Campaigns tab"))</f>
        <v>✓</v>
      </c>
      <c r="I34" s="84" t="n">
        <f aca="false">IF(C34="","",C34*IF(Settings!$B$22=Settings!$C$6,1,IF(Settings!$B$22="USD",1/INDEX(Settings!$B$29:$B$40,MONTH(A34)),INDEX(Settings!$B$29:$B$40,MONTH(A34)))))</f>
        <v>2121.95</v>
      </c>
    </row>
    <row r="35" customFormat="false" ht="15" hidden="false" customHeight="false" outlineLevel="0" collapsed="false">
      <c r="A35" s="82" t="n">
        <v>46143</v>
      </c>
      <c r="B35" s="83" t="s">
        <v>171</v>
      </c>
      <c r="C35" s="84" t="n">
        <v>561.84</v>
      </c>
      <c r="D35" s="85" t="n">
        <v>22746</v>
      </c>
      <c r="E35" s="85" t="n">
        <v>211</v>
      </c>
      <c r="F35" s="86" t="n">
        <v>16</v>
      </c>
      <c r="G35" s="83" t="s">
        <v>503</v>
      </c>
      <c r="H35" s="0" t="str">
        <f aca="false">IF(B35="","",IF(COUNTIF(Campaigns!$A$7:$A$300,B35)&gt;0,"✓","⚠ add to Campaigns tab"))</f>
        <v>✓</v>
      </c>
      <c r="I35" s="84" t="n">
        <f aca="false">IF(C35="","",C35*IF(Settings!$B$22=Settings!$C$6,1,IF(Settings!$B$22="USD",1/INDEX(Settings!$B$29:$B$40,MONTH(A35)),INDEX(Settings!$B$29:$B$40,MONTH(A35)))))</f>
        <v>561.84</v>
      </c>
    </row>
    <row r="36" customFormat="false" ht="15" hidden="false" customHeight="false" outlineLevel="0" collapsed="false">
      <c r="A36" s="82" t="n">
        <v>46174</v>
      </c>
      <c r="B36" s="83" t="s">
        <v>170</v>
      </c>
      <c r="C36" s="84" t="n">
        <v>144.2</v>
      </c>
      <c r="D36" s="85" t="n">
        <v>4230</v>
      </c>
      <c r="E36" s="85" t="n">
        <v>19</v>
      </c>
      <c r="F36" s="86" t="n">
        <v>3</v>
      </c>
      <c r="G36" s="83" t="s">
        <v>503</v>
      </c>
      <c r="H36" s="0" t="str">
        <f aca="false">IF(B36="","",IF(COUNTIF(Campaigns!$A$7:$A$300,B36)&gt;0,"✓","⚠ add to Campaigns tab"))</f>
        <v>✓</v>
      </c>
      <c r="I36" s="84" t="n">
        <f aca="false">IF(C36="","",C36*IF(Settings!$B$22=Settings!$C$6,1,IF(Settings!$B$22="USD",1/INDEX(Settings!$B$29:$B$40,MONTH(A36)),INDEX(Settings!$B$29:$B$40,MONTH(A36)))))</f>
        <v>144.2</v>
      </c>
    </row>
    <row r="37" customFormat="false" ht="15" hidden="false" customHeight="false" outlineLevel="0" collapsed="false">
      <c r="A37" s="82" t="n">
        <v>46174</v>
      </c>
      <c r="B37" s="83" t="s">
        <v>167</v>
      </c>
      <c r="C37" s="84" t="n">
        <v>2697.04</v>
      </c>
      <c r="D37" s="85" t="n">
        <v>175517</v>
      </c>
      <c r="E37" s="85" t="n">
        <v>1893</v>
      </c>
      <c r="F37" s="86" t="n">
        <v>55</v>
      </c>
      <c r="G37" s="83" t="s">
        <v>503</v>
      </c>
      <c r="H37" s="0" t="str">
        <f aca="false">IF(B37="","",IF(COUNTIF(Campaigns!$A$7:$A$300,B37)&gt;0,"✓","⚠ add to Campaigns tab"))</f>
        <v>✓</v>
      </c>
      <c r="I37" s="84" t="n">
        <f aca="false">IF(C37="","",C37*IF(Settings!$B$22=Settings!$C$6,1,IF(Settings!$B$22="USD",1/INDEX(Settings!$B$29:$B$40,MONTH(A37)),INDEX(Settings!$B$29:$B$40,MONTH(A37)))))</f>
        <v>2697.04</v>
      </c>
    </row>
    <row r="38" customFormat="false" ht="15" hidden="false" customHeight="false" outlineLevel="0" collapsed="false">
      <c r="A38" s="82" t="n">
        <v>46174</v>
      </c>
      <c r="B38" s="83" t="s">
        <v>166</v>
      </c>
      <c r="C38" s="84" t="n">
        <v>4885.67</v>
      </c>
      <c r="D38" s="85" t="n">
        <v>280629</v>
      </c>
      <c r="E38" s="85" t="n">
        <v>2181</v>
      </c>
      <c r="F38" s="86" t="n">
        <v>149</v>
      </c>
      <c r="G38" s="83" t="s">
        <v>503</v>
      </c>
      <c r="H38" s="0" t="str">
        <f aca="false">IF(B38="","",IF(COUNTIF(Campaigns!$A$7:$A$300,B38)&gt;0,"✓","⚠ add to Campaigns tab"))</f>
        <v>✓</v>
      </c>
      <c r="I38" s="84" t="n">
        <f aca="false">IF(C38="","",C38*IF(Settings!$B$22=Settings!$C$6,1,IF(Settings!$B$22="USD",1/INDEX(Settings!$B$29:$B$40,MONTH(A38)),INDEX(Settings!$B$29:$B$40,MONTH(A38)))))</f>
        <v>4885.67</v>
      </c>
    </row>
    <row r="39" customFormat="false" ht="15" hidden="false" customHeight="false" outlineLevel="0" collapsed="false">
      <c r="A39" s="82" t="n">
        <v>46174</v>
      </c>
      <c r="B39" s="83" t="s">
        <v>176</v>
      </c>
      <c r="C39" s="84" t="n">
        <v>329.42</v>
      </c>
      <c r="D39" s="85" t="n">
        <v>24438</v>
      </c>
      <c r="E39" s="85" t="n">
        <v>186</v>
      </c>
      <c r="F39" s="86" t="n">
        <v>17</v>
      </c>
      <c r="G39" s="83" t="s">
        <v>503</v>
      </c>
      <c r="H39" s="0" t="str">
        <f aca="false">IF(B39="","",IF(COUNTIF(Campaigns!$A$7:$A$300,B39)&gt;0,"✓","⚠ add to Campaigns tab"))</f>
        <v>✓</v>
      </c>
      <c r="I39" s="84" t="n">
        <f aca="false">IF(C39="","",C39*IF(Settings!$B$22=Settings!$C$6,1,IF(Settings!$B$22="USD",1/INDEX(Settings!$B$29:$B$40,MONTH(A39)),INDEX(Settings!$B$29:$B$40,MONTH(A39)))))</f>
        <v>329.42</v>
      </c>
    </row>
    <row r="40" customFormat="false" ht="15" hidden="false" customHeight="false" outlineLevel="0" collapsed="false">
      <c r="A40" s="82" t="n">
        <v>46174</v>
      </c>
      <c r="B40" s="83" t="s">
        <v>172</v>
      </c>
      <c r="C40" s="84" t="n">
        <v>2401.95</v>
      </c>
      <c r="D40" s="85" t="n">
        <v>62557</v>
      </c>
      <c r="E40" s="85" t="n">
        <v>489</v>
      </c>
      <c r="F40" s="86" t="n">
        <v>50</v>
      </c>
      <c r="G40" s="83" t="s">
        <v>503</v>
      </c>
      <c r="H40" s="0" t="str">
        <f aca="false">IF(B40="","",IF(COUNTIF(Campaigns!$A$7:$A$300,B40)&gt;0,"✓","⚠ add to Campaigns tab"))</f>
        <v>✓</v>
      </c>
      <c r="I40" s="84" t="n">
        <f aca="false">IF(C40="","",C40*IF(Settings!$B$22=Settings!$C$6,1,IF(Settings!$B$22="USD",1/INDEX(Settings!$B$29:$B$40,MONTH(A40)),INDEX(Settings!$B$29:$B$40,MONTH(A40)))))</f>
        <v>2401.95</v>
      </c>
    </row>
    <row r="41" customFormat="false" ht="15" hidden="false" customHeight="false" outlineLevel="0" collapsed="false">
      <c r="A41" s="82" t="n">
        <v>46174</v>
      </c>
      <c r="B41" s="83" t="s">
        <v>173</v>
      </c>
      <c r="C41" s="84" t="n">
        <v>817.03</v>
      </c>
      <c r="D41" s="85" t="n">
        <v>26255</v>
      </c>
      <c r="E41" s="85" t="n">
        <v>303</v>
      </c>
      <c r="F41" s="86" t="n">
        <v>22</v>
      </c>
      <c r="G41" s="83" t="s">
        <v>503</v>
      </c>
      <c r="H41" s="0" t="str">
        <f aca="false">IF(B41="","",IF(COUNTIF(Campaigns!$A$7:$A$300,B41)&gt;0,"✓","⚠ add to Campaigns tab"))</f>
        <v>✓</v>
      </c>
      <c r="I41" s="84" t="n">
        <f aca="false">IF(C41="","",C41*IF(Settings!$B$22=Settings!$C$6,1,IF(Settings!$B$22="USD",1/INDEX(Settings!$B$29:$B$40,MONTH(A41)),INDEX(Settings!$B$29:$B$40,MONTH(A41)))))</f>
        <v>817.03</v>
      </c>
    </row>
    <row r="42" customFormat="false" ht="15" hidden="false" customHeight="false" outlineLevel="0" collapsed="false">
      <c r="A42" s="82" t="n">
        <v>46174</v>
      </c>
      <c r="B42" s="83" t="s">
        <v>168</v>
      </c>
      <c r="C42" s="84" t="n">
        <v>2560.21</v>
      </c>
      <c r="D42" s="85" t="n">
        <v>37491</v>
      </c>
      <c r="E42" s="85" t="n">
        <v>603</v>
      </c>
      <c r="F42" s="86" t="n">
        <v>67</v>
      </c>
      <c r="G42" s="83" t="s">
        <v>503</v>
      </c>
      <c r="H42" s="0" t="str">
        <f aca="false">IF(B42="","",IF(COUNTIF(Campaigns!$A$7:$A$300,B42)&gt;0,"✓","⚠ add to Campaigns tab"))</f>
        <v>✓</v>
      </c>
      <c r="I42" s="84" t="n">
        <f aca="false">IF(C42="","",C42*IF(Settings!$B$22=Settings!$C$6,1,IF(Settings!$B$22="USD",1/INDEX(Settings!$B$29:$B$40,MONTH(A42)),INDEX(Settings!$B$29:$B$40,MONTH(A42)))))</f>
        <v>2560.21</v>
      </c>
    </row>
    <row r="43" customFormat="false" ht="15" hidden="false" customHeight="false" outlineLevel="0" collapsed="false">
      <c r="A43" s="82" t="n">
        <v>46174</v>
      </c>
      <c r="B43" s="83" t="s">
        <v>177</v>
      </c>
      <c r="C43" s="84" t="n">
        <v>500.58</v>
      </c>
      <c r="D43" s="85" t="n">
        <v>14520</v>
      </c>
      <c r="E43" s="85" t="n">
        <v>104</v>
      </c>
      <c r="F43" s="86" t="n">
        <v>7</v>
      </c>
      <c r="G43" s="83" t="s">
        <v>503</v>
      </c>
      <c r="H43" s="0" t="str">
        <f aca="false">IF(B43="","",IF(COUNTIF(Campaigns!$A$7:$A$300,B43)&gt;0,"✓","⚠ add to Campaigns tab"))</f>
        <v>✓</v>
      </c>
      <c r="I43" s="84" t="n">
        <f aca="false">IF(C43="","",C43*IF(Settings!$B$22=Settings!$C$6,1,IF(Settings!$B$22="USD",1/INDEX(Settings!$B$29:$B$40,MONTH(A43)),INDEX(Settings!$B$29:$B$40,MONTH(A43)))))</f>
        <v>500.58</v>
      </c>
    </row>
    <row r="44" customFormat="false" ht="15" hidden="false" customHeight="false" outlineLevel="0" collapsed="false">
      <c r="A44" s="82" t="n">
        <v>46174</v>
      </c>
      <c r="B44" s="83" t="s">
        <v>169</v>
      </c>
      <c r="C44" s="84" t="n">
        <v>1152.63</v>
      </c>
      <c r="D44" s="85" t="n">
        <v>26478</v>
      </c>
      <c r="E44" s="85" t="n">
        <v>217</v>
      </c>
      <c r="F44" s="86" t="n">
        <v>32</v>
      </c>
      <c r="G44" s="83" t="s">
        <v>503</v>
      </c>
      <c r="H44" s="0" t="str">
        <f aca="false">IF(B44="","",IF(COUNTIF(Campaigns!$A$7:$A$300,B44)&gt;0,"✓","⚠ add to Campaigns tab"))</f>
        <v>✓</v>
      </c>
      <c r="I44" s="84" t="n">
        <f aca="false">IF(C44="","",C44*IF(Settings!$B$22=Settings!$C$6,1,IF(Settings!$B$22="USD",1/INDEX(Settings!$B$29:$B$40,MONTH(A44)),INDEX(Settings!$B$29:$B$40,MONTH(A44)))))</f>
        <v>1152.63</v>
      </c>
    </row>
    <row r="45" customFormat="false" ht="15" hidden="false" customHeight="false" outlineLevel="0" collapsed="false">
      <c r="A45" s="82" t="n">
        <v>46174</v>
      </c>
      <c r="B45" s="83" t="s">
        <v>174</v>
      </c>
      <c r="C45" s="84" t="n">
        <v>952.34</v>
      </c>
      <c r="D45" s="85" t="n">
        <v>29207</v>
      </c>
      <c r="E45" s="85" t="n">
        <v>259</v>
      </c>
      <c r="F45" s="86" t="n">
        <v>30</v>
      </c>
      <c r="G45" s="83" t="s">
        <v>503</v>
      </c>
      <c r="H45" s="0" t="str">
        <f aca="false">IF(B45="","",IF(COUNTIF(Campaigns!$A$7:$A$300,B45)&gt;0,"✓","⚠ add to Campaigns tab"))</f>
        <v>✓</v>
      </c>
      <c r="I45" s="84" t="n">
        <f aca="false">IF(C45="","",C45*IF(Settings!$B$22=Settings!$C$6,1,IF(Settings!$B$22="USD",1/INDEX(Settings!$B$29:$B$40,MONTH(A45)),INDEX(Settings!$B$29:$B$40,MONTH(A45)))))</f>
        <v>952.34</v>
      </c>
    </row>
    <row r="46" customFormat="false" ht="15" hidden="false" customHeight="false" outlineLevel="0" collapsed="false">
      <c r="A46" s="82" t="n">
        <v>46174</v>
      </c>
      <c r="B46" s="83" t="s">
        <v>171</v>
      </c>
      <c r="C46" s="84" t="n">
        <v>1012.22</v>
      </c>
      <c r="D46" s="85" t="n">
        <v>63348</v>
      </c>
      <c r="E46" s="85" t="n">
        <v>422</v>
      </c>
      <c r="F46" s="86" t="n">
        <v>53</v>
      </c>
      <c r="G46" s="83" t="s">
        <v>503</v>
      </c>
      <c r="H46" s="0" t="str">
        <f aca="false">IF(B46="","",IF(COUNTIF(Campaigns!$A$7:$A$300,B46)&gt;0,"✓","⚠ add to Campaigns tab"))</f>
        <v>✓</v>
      </c>
      <c r="I46" s="84" t="n">
        <f aca="false">IF(C46="","",C46*IF(Settings!$B$22=Settings!$C$6,1,IF(Settings!$B$22="USD",1/INDEX(Settings!$B$29:$B$40,MONTH(A46)),INDEX(Settings!$B$29:$B$40,MONTH(A46)))))</f>
        <v>1012.22</v>
      </c>
    </row>
    <row r="47" customFormat="false" ht="15" hidden="false" customHeight="false" outlineLevel="0" collapsed="false">
      <c r="A47" s="82" t="n">
        <v>46204</v>
      </c>
      <c r="B47" s="83" t="s">
        <v>167</v>
      </c>
      <c r="C47" s="84" t="n">
        <v>1743.28</v>
      </c>
      <c r="D47" s="85" t="n">
        <v>127829</v>
      </c>
      <c r="E47" s="85" t="n">
        <v>1046</v>
      </c>
      <c r="F47" s="86" t="n">
        <v>44</v>
      </c>
      <c r="G47" s="83" t="s">
        <v>503</v>
      </c>
      <c r="H47" s="0" t="str">
        <f aca="false">IF(B47="","",IF(COUNTIF(Campaigns!$A$7:$A$300,B47)&gt;0,"✓","⚠ add to Campaigns tab"))</f>
        <v>✓</v>
      </c>
      <c r="I47" s="84" t="n">
        <f aca="false">IF(C47="","",C47*IF(Settings!$B$22=Settings!$C$6,1,IF(Settings!$B$22="USD",1/INDEX(Settings!$B$29:$B$40,MONTH(A47)),INDEX(Settings!$B$29:$B$40,MONTH(A47)))))</f>
        <v>1743.28</v>
      </c>
    </row>
    <row r="48" customFormat="false" ht="15" hidden="false" customHeight="false" outlineLevel="0" collapsed="false">
      <c r="A48" s="82" t="n">
        <v>46204</v>
      </c>
      <c r="B48" s="83" t="s">
        <v>166</v>
      </c>
      <c r="C48" s="84" t="n">
        <v>5011.85</v>
      </c>
      <c r="D48" s="85" t="n">
        <v>272769</v>
      </c>
      <c r="E48" s="85" t="n">
        <v>3465</v>
      </c>
      <c r="F48" s="86" t="n">
        <v>55</v>
      </c>
      <c r="G48" s="83" t="s">
        <v>503</v>
      </c>
      <c r="H48" s="0" t="str">
        <f aca="false">IF(B48="","",IF(COUNTIF(Campaigns!$A$7:$A$300,B48)&gt;0,"✓","⚠ add to Campaigns tab"))</f>
        <v>✓</v>
      </c>
      <c r="I48" s="84" t="n">
        <f aca="false">IF(C48="","",C48*IF(Settings!$B$22=Settings!$C$6,1,IF(Settings!$B$22="USD",1/INDEX(Settings!$B$29:$B$40,MONTH(A48)),INDEX(Settings!$B$29:$B$40,MONTH(A48)))))</f>
        <v>5011.85</v>
      </c>
    </row>
    <row r="49" customFormat="false" ht="15" hidden="false" customHeight="false" outlineLevel="0" collapsed="false">
      <c r="A49" s="82" t="n">
        <v>46204</v>
      </c>
      <c r="B49" s="83" t="s">
        <v>178</v>
      </c>
      <c r="C49" s="84" t="n">
        <v>916.05</v>
      </c>
      <c r="D49" s="85" t="n">
        <v>94305</v>
      </c>
      <c r="E49" s="85" t="n">
        <v>786</v>
      </c>
      <c r="F49" s="86" t="n">
        <v>20</v>
      </c>
      <c r="G49" s="83" t="s">
        <v>503</v>
      </c>
      <c r="H49" s="0" t="str">
        <f aca="false">IF(B49="","",IF(COUNTIF(Campaigns!$A$7:$A$300,B49)&gt;0,"✓","⚠ add to Campaigns tab"))</f>
        <v>✓</v>
      </c>
      <c r="I49" s="84" t="n">
        <f aca="false">IF(C49="","",C49*IF(Settings!$B$22=Settings!$C$6,1,IF(Settings!$B$22="USD",1/INDEX(Settings!$B$29:$B$40,MONTH(A49)),INDEX(Settings!$B$29:$B$40,MONTH(A49)))))</f>
        <v>916.05</v>
      </c>
    </row>
    <row r="50" customFormat="false" ht="15" hidden="false" customHeight="false" outlineLevel="0" collapsed="false">
      <c r="A50" s="82" t="n">
        <v>46204</v>
      </c>
      <c r="B50" s="83" t="s">
        <v>179</v>
      </c>
      <c r="C50" s="84" t="n">
        <v>1073.68</v>
      </c>
      <c r="D50" s="85" t="n">
        <v>71318</v>
      </c>
      <c r="E50" s="85" t="n">
        <v>2343</v>
      </c>
      <c r="F50" s="86" t="n">
        <v>8</v>
      </c>
      <c r="G50" s="83" t="s">
        <v>503</v>
      </c>
      <c r="H50" s="0" t="str">
        <f aca="false">IF(B50="","",IF(COUNTIF(Campaigns!$A$7:$A$300,B50)&gt;0,"✓","⚠ add to Campaigns tab"))</f>
        <v>✓</v>
      </c>
      <c r="I50" s="84" t="n">
        <f aca="false">IF(C50="","",C50*IF(Settings!$B$22=Settings!$C$6,1,IF(Settings!$B$22="USD",1/INDEX(Settings!$B$29:$B$40,MONTH(A50)),INDEX(Settings!$B$29:$B$40,MONTH(A50)))))</f>
        <v>1073.68</v>
      </c>
    </row>
    <row r="51" customFormat="false" ht="15" hidden="false" customHeight="false" outlineLevel="0" collapsed="false">
      <c r="A51" s="82" t="n">
        <v>46204</v>
      </c>
      <c r="B51" s="83" t="s">
        <v>172</v>
      </c>
      <c r="C51" s="84" t="n">
        <v>1772.61</v>
      </c>
      <c r="D51" s="85" t="n">
        <v>48942</v>
      </c>
      <c r="E51" s="85" t="n">
        <v>420</v>
      </c>
      <c r="F51" s="86" t="n">
        <v>24</v>
      </c>
      <c r="G51" s="83" t="s">
        <v>503</v>
      </c>
      <c r="H51" s="0" t="str">
        <f aca="false">IF(B51="","",IF(COUNTIF(Campaigns!$A$7:$A$300,B51)&gt;0,"✓","⚠ add to Campaigns tab"))</f>
        <v>✓</v>
      </c>
      <c r="I51" s="84" t="n">
        <f aca="false">IF(C51="","",C51*IF(Settings!$B$22=Settings!$C$6,1,IF(Settings!$B$22="USD",1/INDEX(Settings!$B$29:$B$40,MONTH(A51)),INDEX(Settings!$B$29:$B$40,MONTH(A51)))))</f>
        <v>1772.61</v>
      </c>
    </row>
    <row r="52" customFormat="false" ht="15" hidden="false" customHeight="false" outlineLevel="0" collapsed="false">
      <c r="A52" s="82" t="n">
        <v>46204</v>
      </c>
      <c r="B52" s="83" t="s">
        <v>173</v>
      </c>
      <c r="C52" s="84" t="n">
        <v>1617.62</v>
      </c>
      <c r="D52" s="85" t="n">
        <v>41301</v>
      </c>
      <c r="E52" s="85" t="n">
        <v>372</v>
      </c>
      <c r="F52" s="86" t="n">
        <v>34</v>
      </c>
      <c r="G52" s="83" t="s">
        <v>503</v>
      </c>
      <c r="H52" s="0" t="str">
        <f aca="false">IF(B52="","",IF(COUNTIF(Campaigns!$A$7:$A$300,B52)&gt;0,"✓","⚠ add to Campaigns tab"))</f>
        <v>✓</v>
      </c>
      <c r="I52" s="84" t="n">
        <f aca="false">IF(C52="","",C52*IF(Settings!$B$22=Settings!$C$6,1,IF(Settings!$B$22="USD",1/INDEX(Settings!$B$29:$B$40,MONTH(A52)),INDEX(Settings!$B$29:$B$40,MONTH(A52)))))</f>
        <v>1617.62</v>
      </c>
    </row>
    <row r="53" customFormat="false" ht="15" hidden="false" customHeight="false" outlineLevel="0" collapsed="false">
      <c r="A53" s="82" t="n">
        <v>46204</v>
      </c>
      <c r="B53" s="83" t="s">
        <v>177</v>
      </c>
      <c r="C53" s="84" t="n">
        <v>912.51</v>
      </c>
      <c r="D53" s="85" t="n">
        <v>20327</v>
      </c>
      <c r="E53" s="85" t="n">
        <v>196</v>
      </c>
      <c r="F53" s="86" t="n">
        <v>9</v>
      </c>
      <c r="G53" s="83" t="s">
        <v>503</v>
      </c>
      <c r="H53" s="0" t="str">
        <f aca="false">IF(B53="","",IF(COUNTIF(Campaigns!$A$7:$A$300,B53)&gt;0,"✓","⚠ add to Campaigns tab"))</f>
        <v>✓</v>
      </c>
      <c r="I53" s="84" t="n">
        <f aca="false">IF(C53="","",C53*IF(Settings!$B$22=Settings!$C$6,1,IF(Settings!$B$22="USD",1/INDEX(Settings!$B$29:$B$40,MONTH(A53)),INDEX(Settings!$B$29:$B$40,MONTH(A53)))))</f>
        <v>912.51</v>
      </c>
    </row>
    <row r="54" customFormat="false" ht="15" hidden="false" customHeight="false" outlineLevel="0" collapsed="false">
      <c r="A54" s="82" t="n">
        <v>46204</v>
      </c>
      <c r="B54" s="83" t="s">
        <v>174</v>
      </c>
      <c r="C54" s="84" t="n">
        <v>1685.84</v>
      </c>
      <c r="D54" s="85" t="n">
        <v>50915</v>
      </c>
      <c r="E54" s="85" t="n">
        <v>484</v>
      </c>
      <c r="F54" s="86" t="n">
        <v>35</v>
      </c>
      <c r="G54" s="83" t="s">
        <v>503</v>
      </c>
      <c r="H54" s="0" t="str">
        <f aca="false">IF(B54="","",IF(COUNTIF(Campaigns!$A$7:$A$300,B54)&gt;0,"✓","⚠ add to Campaigns tab"))</f>
        <v>✓</v>
      </c>
      <c r="I54" s="84" t="n">
        <f aca="false">IF(C54="","",C54*IF(Settings!$B$22=Settings!$C$6,1,IF(Settings!$B$22="USD",1/INDEX(Settings!$B$29:$B$40,MONTH(A54)),INDEX(Settings!$B$29:$B$40,MONTH(A54)))))</f>
        <v>1685.84</v>
      </c>
    </row>
    <row r="55" customFormat="false" ht="15" hidden="false" customHeight="false" outlineLevel="0" collapsed="false">
      <c r="A55" s="82" t="n">
        <v>46204</v>
      </c>
      <c r="B55" s="83" t="s">
        <v>183</v>
      </c>
      <c r="C55" s="84" t="n">
        <v>120.62</v>
      </c>
      <c r="D55" s="85" t="n">
        <v>7225</v>
      </c>
      <c r="E55" s="85" t="n">
        <v>320</v>
      </c>
      <c r="F55" s="86" t="n">
        <v>0</v>
      </c>
      <c r="G55" s="83" t="s">
        <v>503</v>
      </c>
      <c r="H55" s="0" t="str">
        <f aca="false">IF(B55="","",IF(COUNTIF(Campaigns!$A$7:$A$300,B55)&gt;0,"✓","⚠ add to Campaigns tab"))</f>
        <v>✓</v>
      </c>
      <c r="I55" s="84" t="n">
        <f aca="false">IF(C55="","",C55*IF(Settings!$B$22=Settings!$C$6,1,IF(Settings!$B$22="USD",1/INDEX(Settings!$B$29:$B$40,MONTH(A55)),INDEX(Settings!$B$29:$B$40,MONTH(A55)))))</f>
        <v>120.62</v>
      </c>
    </row>
    <row r="56" customFormat="false" ht="15" hidden="false" customHeight="false" outlineLevel="0" collapsed="false">
      <c r="A56" s="82" t="n">
        <v>46204</v>
      </c>
      <c r="B56" s="83" t="s">
        <v>171</v>
      </c>
      <c r="C56" s="84" t="n">
        <v>3047.53</v>
      </c>
      <c r="D56" s="85" t="n">
        <v>191798</v>
      </c>
      <c r="E56" s="85" t="n">
        <v>1575</v>
      </c>
      <c r="F56" s="86" t="n">
        <v>52</v>
      </c>
      <c r="G56" s="83" t="s">
        <v>503</v>
      </c>
      <c r="H56" s="0" t="str">
        <f aca="false">IF(B56="","",IF(COUNTIF(Campaigns!$A$7:$A$300,B56)&gt;0,"✓","⚠ add to Campaigns tab"))</f>
        <v>✓</v>
      </c>
      <c r="I56" s="84" t="n">
        <f aca="false">IF(C56="","",C56*IF(Settings!$B$22=Settings!$C$6,1,IF(Settings!$B$22="USD",1/INDEX(Settings!$B$29:$B$40,MONTH(A56)),INDEX(Settings!$B$29:$B$40,MONTH(A56)))))</f>
        <v>3047.53</v>
      </c>
    </row>
    <row r="57" customFormat="false" ht="15" hidden="false" customHeight="false" outlineLevel="0" collapsed="false">
      <c r="A57" s="82" t="n">
        <v>46204</v>
      </c>
      <c r="B57" s="83" t="s">
        <v>180</v>
      </c>
      <c r="C57" s="84" t="n">
        <v>1055.07</v>
      </c>
      <c r="D57" s="85" t="n">
        <v>70762</v>
      </c>
      <c r="E57" s="85" t="n">
        <v>367</v>
      </c>
      <c r="F57" s="86" t="n">
        <v>3</v>
      </c>
      <c r="G57" s="83" t="s">
        <v>503</v>
      </c>
      <c r="H57" s="0" t="str">
        <f aca="false">IF(B57="","",IF(COUNTIF(Campaigns!$A$7:$A$300,B57)&gt;0,"✓","⚠ add to Campaigns tab"))</f>
        <v>✓</v>
      </c>
      <c r="I57" s="84" t="n">
        <f aca="false">IF(C57="","",C57*IF(Settings!$B$22=Settings!$C$6,1,IF(Settings!$B$22="USD",1/INDEX(Settings!$B$29:$B$40,MONTH(A57)),INDEX(Settings!$B$29:$B$40,MONTH(A57)))))</f>
        <v>1055.07</v>
      </c>
    </row>
    <row r="58" customFormat="false" ht="15" hidden="false" customHeight="false" outlineLevel="0" collapsed="false">
      <c r="A58" s="82" t="n">
        <v>46235</v>
      </c>
      <c r="B58" s="83" t="s">
        <v>178</v>
      </c>
      <c r="C58" s="84" t="n">
        <v>1205.52</v>
      </c>
      <c r="D58" s="85" t="n">
        <v>160610</v>
      </c>
      <c r="E58" s="85" t="n">
        <v>5913</v>
      </c>
      <c r="F58" s="86" t="n">
        <v>82</v>
      </c>
      <c r="G58" s="83" t="s">
        <v>503</v>
      </c>
      <c r="H58" s="0" t="str">
        <f aca="false">IF(B58="","",IF(COUNTIF(Campaigns!$A$7:$A$300,B58)&gt;0,"✓","⚠ add to Campaigns tab"))</f>
        <v>✓</v>
      </c>
      <c r="I58" s="84" t="n">
        <f aca="false">IF(C58="","",C58*IF(Settings!$B$22=Settings!$C$6,1,IF(Settings!$B$22="USD",1/INDEX(Settings!$B$29:$B$40,MONTH(A58)),INDEX(Settings!$B$29:$B$40,MONTH(A58)))))</f>
        <v>1205.52</v>
      </c>
    </row>
    <row r="59" customFormat="false" ht="15" hidden="false" customHeight="false" outlineLevel="0" collapsed="false">
      <c r="A59" s="82" t="n">
        <v>46235</v>
      </c>
      <c r="B59" s="83" t="s">
        <v>179</v>
      </c>
      <c r="C59" s="84" t="n">
        <v>924.58</v>
      </c>
      <c r="D59" s="85" t="n">
        <v>176198</v>
      </c>
      <c r="E59" s="85" t="n">
        <v>4048</v>
      </c>
      <c r="F59" s="86" t="n">
        <v>21</v>
      </c>
      <c r="G59" s="83" t="s">
        <v>503</v>
      </c>
      <c r="H59" s="0" t="str">
        <f aca="false">IF(B59="","",IF(COUNTIF(Campaigns!$A$7:$A$300,B59)&gt;0,"✓","⚠ add to Campaigns tab"))</f>
        <v>✓</v>
      </c>
      <c r="I59" s="84" t="n">
        <f aca="false">IF(C59="","",C59*IF(Settings!$B$22=Settings!$C$6,1,IF(Settings!$B$22="USD",1/INDEX(Settings!$B$29:$B$40,MONTH(A59)),INDEX(Settings!$B$29:$B$40,MONTH(A59)))))</f>
        <v>924.58</v>
      </c>
    </row>
    <row r="60" customFormat="false" ht="15" hidden="false" customHeight="false" outlineLevel="0" collapsed="false">
      <c r="A60" s="82" t="n">
        <v>46235</v>
      </c>
      <c r="B60" s="83" t="s">
        <v>172</v>
      </c>
      <c r="C60" s="84" t="n">
        <v>1184.66</v>
      </c>
      <c r="D60" s="85" t="n">
        <v>25329</v>
      </c>
      <c r="E60" s="85" t="n">
        <v>302</v>
      </c>
      <c r="F60" s="86" t="n">
        <v>57</v>
      </c>
      <c r="G60" s="83" t="s">
        <v>503</v>
      </c>
      <c r="H60" s="0" t="str">
        <f aca="false">IF(B60="","",IF(COUNTIF(Campaigns!$A$7:$A$300,B60)&gt;0,"✓","⚠ add to Campaigns tab"))</f>
        <v>✓</v>
      </c>
      <c r="I60" s="84" t="n">
        <f aca="false">IF(C60="","",C60*IF(Settings!$B$22=Settings!$C$6,1,IF(Settings!$B$22="USD",1/INDEX(Settings!$B$29:$B$40,MONTH(A60)),INDEX(Settings!$B$29:$B$40,MONTH(A60)))))</f>
        <v>1184.66</v>
      </c>
    </row>
    <row r="61" customFormat="false" ht="15" hidden="false" customHeight="false" outlineLevel="0" collapsed="false">
      <c r="A61" s="82" t="n">
        <v>46235</v>
      </c>
      <c r="B61" s="83" t="s">
        <v>173</v>
      </c>
      <c r="C61" s="84" t="n">
        <v>1557.31</v>
      </c>
      <c r="D61" s="85" t="n">
        <v>37165</v>
      </c>
      <c r="E61" s="85" t="n">
        <v>504</v>
      </c>
      <c r="F61" s="86" t="n">
        <v>86</v>
      </c>
      <c r="G61" s="83" t="s">
        <v>503</v>
      </c>
      <c r="H61" s="0" t="str">
        <f aca="false">IF(B61="","",IF(COUNTIF(Campaigns!$A$7:$A$300,B61)&gt;0,"✓","⚠ add to Campaigns tab"))</f>
        <v>✓</v>
      </c>
      <c r="I61" s="84" t="n">
        <f aca="false">IF(C61="","",C61*IF(Settings!$B$22=Settings!$C$6,1,IF(Settings!$B$22="USD",1/INDEX(Settings!$B$29:$B$40,MONTH(A61)),INDEX(Settings!$B$29:$B$40,MONTH(A61)))))</f>
        <v>1557.31</v>
      </c>
    </row>
    <row r="62" customFormat="false" ht="15" hidden="false" customHeight="false" outlineLevel="0" collapsed="false">
      <c r="A62" s="82" t="n">
        <v>46235</v>
      </c>
      <c r="B62" s="83" t="s">
        <v>177</v>
      </c>
      <c r="C62" s="84" t="n">
        <v>911.02</v>
      </c>
      <c r="D62" s="85" t="n">
        <v>19135</v>
      </c>
      <c r="E62" s="85" t="n">
        <v>231</v>
      </c>
      <c r="F62" s="86" t="n">
        <v>36</v>
      </c>
      <c r="G62" s="83" t="s">
        <v>503</v>
      </c>
      <c r="H62" s="0" t="str">
        <f aca="false">IF(B62="","",IF(COUNTIF(Campaigns!$A$7:$A$300,B62)&gt;0,"✓","⚠ add to Campaigns tab"))</f>
        <v>✓</v>
      </c>
      <c r="I62" s="84" t="n">
        <f aca="false">IF(C62="","",C62*IF(Settings!$B$22=Settings!$C$6,1,IF(Settings!$B$22="USD",1/INDEX(Settings!$B$29:$B$40,MONTH(A62)),INDEX(Settings!$B$29:$B$40,MONTH(A62)))))</f>
        <v>911.02</v>
      </c>
    </row>
    <row r="63" customFormat="false" ht="15" hidden="false" customHeight="false" outlineLevel="0" collapsed="false">
      <c r="A63" s="82" t="n">
        <v>46235</v>
      </c>
      <c r="B63" s="83" t="s">
        <v>174</v>
      </c>
      <c r="C63" s="84" t="n">
        <v>915.04</v>
      </c>
      <c r="D63" s="85" t="n">
        <v>25463</v>
      </c>
      <c r="E63" s="85" t="n">
        <v>275</v>
      </c>
      <c r="F63" s="86" t="n">
        <v>32</v>
      </c>
      <c r="G63" s="83" t="s">
        <v>503</v>
      </c>
      <c r="H63" s="0" t="str">
        <f aca="false">IF(B63="","",IF(COUNTIF(Campaigns!$A$7:$A$300,B63)&gt;0,"✓","⚠ add to Campaigns tab"))</f>
        <v>✓</v>
      </c>
      <c r="I63" s="84" t="n">
        <f aca="false">IF(C63="","",C63*IF(Settings!$B$22=Settings!$C$6,1,IF(Settings!$B$22="USD",1/INDEX(Settings!$B$29:$B$40,MONTH(A63)),INDEX(Settings!$B$29:$B$40,MONTH(A63)))))</f>
        <v>915.04</v>
      </c>
    </row>
    <row r="64" customFormat="false" ht="15" hidden="false" customHeight="false" outlineLevel="0" collapsed="false">
      <c r="A64" s="82" t="n">
        <v>46235</v>
      </c>
      <c r="B64" s="83" t="s">
        <v>183</v>
      </c>
      <c r="C64" s="84" t="n">
        <v>306.8</v>
      </c>
      <c r="D64" s="85" t="n">
        <v>30571</v>
      </c>
      <c r="E64" s="85" t="n">
        <v>1061</v>
      </c>
      <c r="F64" s="86" t="n">
        <v>1</v>
      </c>
      <c r="G64" s="83" t="s">
        <v>503</v>
      </c>
      <c r="H64" s="0" t="str">
        <f aca="false">IF(B64="","",IF(COUNTIF(Campaigns!$A$7:$A$300,B64)&gt;0,"✓","⚠ add to Campaigns tab"))</f>
        <v>✓</v>
      </c>
      <c r="I64" s="84" t="n">
        <f aca="false">IF(C64="","",C64*IF(Settings!$B$22=Settings!$C$6,1,IF(Settings!$B$22="USD",1/INDEX(Settings!$B$29:$B$40,MONTH(A64)),INDEX(Settings!$B$29:$B$40,MONTH(A64)))))</f>
        <v>306.8</v>
      </c>
    </row>
    <row r="65" customFormat="false" ht="15" hidden="false" customHeight="false" outlineLevel="0" collapsed="false">
      <c r="A65" s="82" t="n">
        <v>46235</v>
      </c>
      <c r="B65" s="83" t="s">
        <v>171</v>
      </c>
      <c r="C65" s="84" t="n">
        <v>2719.28</v>
      </c>
      <c r="D65" s="85" t="n">
        <v>174162</v>
      </c>
      <c r="E65" s="85" t="n">
        <v>1485</v>
      </c>
      <c r="F65" s="86" t="n">
        <v>133</v>
      </c>
      <c r="G65" s="83" t="s">
        <v>503</v>
      </c>
      <c r="H65" s="0" t="str">
        <f aca="false">IF(B65="","",IF(COUNTIF(Campaigns!$A$7:$A$300,B65)&gt;0,"✓","⚠ add to Campaigns tab"))</f>
        <v>✓</v>
      </c>
      <c r="I65" s="84" t="n">
        <f aca="false">IF(C65="","",C65*IF(Settings!$B$22=Settings!$C$6,1,IF(Settings!$B$22="USD",1/INDEX(Settings!$B$29:$B$40,MONTH(A65)),INDEX(Settings!$B$29:$B$40,MONTH(A65)))))</f>
        <v>2719.28</v>
      </c>
    </row>
    <row r="66" customFormat="false" ht="15" hidden="false" customHeight="false" outlineLevel="0" collapsed="false">
      <c r="A66" s="82" t="n">
        <v>46235</v>
      </c>
      <c r="B66" s="83" t="s">
        <v>180</v>
      </c>
      <c r="C66" s="84" t="n">
        <v>919.73</v>
      </c>
      <c r="D66" s="85" t="n">
        <v>83337</v>
      </c>
      <c r="E66" s="85" t="n">
        <v>1686</v>
      </c>
      <c r="F66" s="86" t="n">
        <v>41</v>
      </c>
      <c r="G66" s="83" t="s">
        <v>503</v>
      </c>
      <c r="H66" s="0" t="str">
        <f aca="false">IF(B66="","",IF(COUNTIF(Campaigns!$A$7:$A$300,B66)&gt;0,"✓","⚠ add to Campaigns tab"))</f>
        <v>✓</v>
      </c>
      <c r="I66" s="84" t="n">
        <f aca="false">IF(C66="","",C66*IF(Settings!$B$22=Settings!$C$6,1,IF(Settings!$B$22="USD",1/INDEX(Settings!$B$29:$B$40,MONTH(A66)),INDEX(Settings!$B$29:$B$40,MONTH(A66)))))</f>
        <v>919.73</v>
      </c>
    </row>
    <row r="67" customFormat="false" ht="15" hidden="false" customHeight="false" outlineLevel="0" collapsed="false">
      <c r="A67" s="82" t="n">
        <v>46266</v>
      </c>
      <c r="B67" s="83" t="s">
        <v>175</v>
      </c>
      <c r="C67" s="84" t="n">
        <v>3692.72</v>
      </c>
      <c r="D67" s="85" t="n">
        <v>6790123</v>
      </c>
      <c r="E67" s="85" t="n">
        <v>83839</v>
      </c>
      <c r="F67" s="86" t="n">
        <v>7</v>
      </c>
      <c r="G67" s="83" t="s">
        <v>503</v>
      </c>
      <c r="H67" s="0" t="str">
        <f aca="false">IF(B67="","",IF(COUNTIF(Campaigns!$A$7:$A$300,B67)&gt;0,"✓","⚠ add to Campaigns tab"))</f>
        <v>✓</v>
      </c>
      <c r="I67" s="84" t="n">
        <f aca="false">IF(C67="","",C67*IF(Settings!$B$22=Settings!$C$6,1,IF(Settings!$B$22="USD",1/INDEX(Settings!$B$29:$B$40,MONTH(A67)),INDEX(Settings!$B$29:$B$40,MONTH(A67)))))</f>
        <v>3692.72</v>
      </c>
    </row>
    <row r="68" customFormat="false" ht="15" hidden="false" customHeight="false" outlineLevel="0" collapsed="false">
      <c r="A68" s="82" t="n">
        <v>46266</v>
      </c>
      <c r="B68" s="83" t="s">
        <v>178</v>
      </c>
      <c r="C68" s="84" t="n">
        <v>934.65</v>
      </c>
      <c r="D68" s="85" t="n">
        <v>107731</v>
      </c>
      <c r="E68" s="85" t="n">
        <v>1124</v>
      </c>
      <c r="F68" s="86" t="n">
        <v>144</v>
      </c>
      <c r="G68" s="83" t="s">
        <v>503</v>
      </c>
      <c r="H68" s="0" t="str">
        <f aca="false">IF(B68="","",IF(COUNTIF(Campaigns!$A$7:$A$300,B68)&gt;0,"✓","⚠ add to Campaigns tab"))</f>
        <v>✓</v>
      </c>
      <c r="I68" s="84" t="n">
        <f aca="false">IF(C68="","",C68*IF(Settings!$B$22=Settings!$C$6,1,IF(Settings!$B$22="USD",1/INDEX(Settings!$B$29:$B$40,MONTH(A68)),INDEX(Settings!$B$29:$B$40,MONTH(A68)))))</f>
        <v>934.65</v>
      </c>
    </row>
    <row r="69" customFormat="false" ht="15" hidden="false" customHeight="false" outlineLevel="0" collapsed="false">
      <c r="A69" s="82" t="n">
        <v>46266</v>
      </c>
      <c r="B69" s="83" t="s">
        <v>179</v>
      </c>
      <c r="C69" s="84" t="n">
        <v>463.94</v>
      </c>
      <c r="D69" s="85" t="n">
        <v>34907</v>
      </c>
      <c r="E69" s="85" t="n">
        <v>374</v>
      </c>
      <c r="F69" s="86" t="n">
        <v>44</v>
      </c>
      <c r="G69" s="83" t="s">
        <v>503</v>
      </c>
      <c r="H69" s="0" t="str">
        <f aca="false">IF(B69="","",IF(COUNTIF(Campaigns!$A$7:$A$300,B69)&gt;0,"✓","⚠ add to Campaigns tab"))</f>
        <v>✓</v>
      </c>
      <c r="I69" s="84" t="n">
        <f aca="false">IF(C69="","",C69*IF(Settings!$B$22=Settings!$C$6,1,IF(Settings!$B$22="USD",1/INDEX(Settings!$B$29:$B$40,MONTH(A69)),INDEX(Settings!$B$29:$B$40,MONTH(A69)))))</f>
        <v>463.94</v>
      </c>
    </row>
    <row r="70" customFormat="false" ht="15" hidden="false" customHeight="false" outlineLevel="0" collapsed="false">
      <c r="A70" s="82" t="n">
        <v>46266</v>
      </c>
      <c r="B70" s="83" t="s">
        <v>172</v>
      </c>
      <c r="C70" s="84" t="n">
        <v>967.01</v>
      </c>
      <c r="D70" s="85" t="n">
        <v>22664</v>
      </c>
      <c r="E70" s="85" t="n">
        <v>350</v>
      </c>
      <c r="F70" s="86" t="n">
        <v>71</v>
      </c>
      <c r="G70" s="83" t="s">
        <v>503</v>
      </c>
      <c r="H70" s="0" t="str">
        <f aca="false">IF(B70="","",IF(COUNTIF(Campaigns!$A$7:$A$300,B70)&gt;0,"✓","⚠ add to Campaigns tab"))</f>
        <v>✓</v>
      </c>
      <c r="I70" s="84" t="n">
        <f aca="false">IF(C70="","",C70*IF(Settings!$B$22=Settings!$C$6,1,IF(Settings!$B$22="USD",1/INDEX(Settings!$B$29:$B$40,MONTH(A70)),INDEX(Settings!$B$29:$B$40,MONTH(A70)))))</f>
        <v>967.01</v>
      </c>
    </row>
    <row r="71" customFormat="false" ht="15" hidden="false" customHeight="false" outlineLevel="0" collapsed="false">
      <c r="A71" s="82" t="n">
        <v>46266</v>
      </c>
      <c r="B71" s="83" t="s">
        <v>173</v>
      </c>
      <c r="C71" s="84" t="n">
        <v>1178.52</v>
      </c>
      <c r="D71" s="85" t="n">
        <v>32396</v>
      </c>
      <c r="E71" s="85" t="n">
        <v>507</v>
      </c>
      <c r="F71" s="86" t="n">
        <v>89</v>
      </c>
      <c r="G71" s="83" t="s">
        <v>503</v>
      </c>
      <c r="H71" s="0" t="str">
        <f aca="false">IF(B71="","",IF(COUNTIF(Campaigns!$A$7:$A$300,B71)&gt;0,"✓","⚠ add to Campaigns tab"))</f>
        <v>✓</v>
      </c>
      <c r="I71" s="84" t="n">
        <f aca="false">IF(C71="","",C71*IF(Settings!$B$22=Settings!$C$6,1,IF(Settings!$B$22="USD",1/INDEX(Settings!$B$29:$B$40,MONTH(A71)),INDEX(Settings!$B$29:$B$40,MONTH(A71)))))</f>
        <v>1178.52</v>
      </c>
    </row>
    <row r="72" customFormat="false" ht="15" hidden="false" customHeight="false" outlineLevel="0" collapsed="false">
      <c r="A72" s="82" t="n">
        <v>46266</v>
      </c>
      <c r="B72" s="83" t="s">
        <v>177</v>
      </c>
      <c r="C72" s="84" t="n">
        <v>736.73</v>
      </c>
      <c r="D72" s="85" t="n">
        <v>16860</v>
      </c>
      <c r="E72" s="85" t="n">
        <v>303</v>
      </c>
      <c r="F72" s="86" t="n">
        <v>56</v>
      </c>
      <c r="G72" s="83" t="s">
        <v>503</v>
      </c>
      <c r="H72" s="0" t="str">
        <f aca="false">IF(B72="","",IF(COUNTIF(Campaigns!$A$7:$A$300,B72)&gt;0,"✓","⚠ add to Campaigns tab"))</f>
        <v>✓</v>
      </c>
      <c r="I72" s="84" t="n">
        <f aca="false">IF(C72="","",C72*IF(Settings!$B$22=Settings!$C$6,1,IF(Settings!$B$22="USD",1/INDEX(Settings!$B$29:$B$40,MONTH(A72)),INDEX(Settings!$B$29:$B$40,MONTH(A72)))))</f>
        <v>736.73</v>
      </c>
    </row>
    <row r="73" customFormat="false" ht="15" hidden="false" customHeight="false" outlineLevel="0" collapsed="false">
      <c r="A73" s="82" t="n">
        <v>46266</v>
      </c>
      <c r="B73" s="83" t="s">
        <v>174</v>
      </c>
      <c r="C73" s="84" t="n">
        <v>468.69</v>
      </c>
      <c r="D73" s="85" t="n">
        <v>16363</v>
      </c>
      <c r="E73" s="85" t="n">
        <v>251</v>
      </c>
      <c r="F73" s="86" t="n">
        <v>37</v>
      </c>
      <c r="G73" s="83" t="s">
        <v>503</v>
      </c>
      <c r="H73" s="0" t="str">
        <f aca="false">IF(B73="","",IF(COUNTIF(Campaigns!$A$7:$A$300,B73)&gt;0,"✓","⚠ add to Campaigns tab"))</f>
        <v>✓</v>
      </c>
      <c r="I73" s="84" t="n">
        <f aca="false">IF(C73="","",C73*IF(Settings!$B$22=Settings!$C$6,1,IF(Settings!$B$22="USD",1/INDEX(Settings!$B$29:$B$40,MONTH(A73)),INDEX(Settings!$B$29:$B$40,MONTH(A73)))))</f>
        <v>468.69</v>
      </c>
    </row>
    <row r="74" customFormat="false" ht="15" hidden="false" customHeight="false" outlineLevel="0" collapsed="false">
      <c r="A74" s="82" t="n">
        <v>46266</v>
      </c>
      <c r="B74" s="83" t="s">
        <v>183</v>
      </c>
      <c r="C74" s="84" t="n">
        <v>245.07</v>
      </c>
      <c r="D74" s="85" t="n">
        <v>38563</v>
      </c>
      <c r="E74" s="85" t="n">
        <v>1102</v>
      </c>
      <c r="F74" s="86" t="n">
        <v>2</v>
      </c>
      <c r="G74" s="83" t="s">
        <v>503</v>
      </c>
      <c r="H74" s="0" t="str">
        <f aca="false">IF(B74="","",IF(COUNTIF(Campaigns!$A$7:$A$300,B74)&gt;0,"✓","⚠ add to Campaigns tab"))</f>
        <v>✓</v>
      </c>
      <c r="I74" s="84" t="n">
        <f aca="false">IF(C74="","",C74*IF(Settings!$B$22=Settings!$C$6,1,IF(Settings!$B$22="USD",1/INDEX(Settings!$B$29:$B$40,MONTH(A74)),INDEX(Settings!$B$29:$B$40,MONTH(A74)))))</f>
        <v>245.07</v>
      </c>
    </row>
    <row r="75" customFormat="false" ht="15" hidden="false" customHeight="false" outlineLevel="0" collapsed="false">
      <c r="A75" s="82" t="n">
        <v>46266</v>
      </c>
      <c r="B75" s="83" t="s">
        <v>171</v>
      </c>
      <c r="C75" s="84" t="n">
        <v>1895.1</v>
      </c>
      <c r="D75" s="85" t="n">
        <v>110225</v>
      </c>
      <c r="E75" s="85" t="n">
        <v>1083</v>
      </c>
      <c r="F75" s="86" t="n">
        <v>137</v>
      </c>
      <c r="G75" s="83" t="s">
        <v>503</v>
      </c>
      <c r="H75" s="0" t="str">
        <f aca="false">IF(B75="","",IF(COUNTIF(Campaigns!$A$7:$A$300,B75)&gt;0,"✓","⚠ add to Campaigns tab"))</f>
        <v>✓</v>
      </c>
      <c r="I75" s="84" t="n">
        <f aca="false">IF(C75="","",C75*IF(Settings!$B$22=Settings!$C$6,1,IF(Settings!$B$22="USD",1/INDEX(Settings!$B$29:$B$40,MONTH(A75)),INDEX(Settings!$B$29:$B$40,MONTH(A75)))))</f>
        <v>1895.1</v>
      </c>
    </row>
    <row r="76" customFormat="false" ht="15" hidden="false" customHeight="false" outlineLevel="0" collapsed="false">
      <c r="A76" s="82" t="n">
        <v>46266</v>
      </c>
      <c r="B76" s="83" t="s">
        <v>180</v>
      </c>
      <c r="C76" s="84" t="n">
        <v>480.55</v>
      </c>
      <c r="D76" s="85" t="n">
        <v>32565</v>
      </c>
      <c r="E76" s="85" t="n">
        <v>360</v>
      </c>
      <c r="F76" s="86" t="n">
        <v>68</v>
      </c>
      <c r="G76" s="83" t="s">
        <v>503</v>
      </c>
      <c r="H76" s="0" t="str">
        <f aca="false">IF(B76="","",IF(COUNTIF(Campaigns!$A$7:$A$300,B76)&gt;0,"✓","⚠ add to Campaigns tab"))</f>
        <v>✓</v>
      </c>
      <c r="I76" s="84" t="n">
        <f aca="false">IF(C76="","",C76*IF(Settings!$B$22=Settings!$C$6,1,IF(Settings!$B$22="USD",1/INDEX(Settings!$B$29:$B$40,MONTH(A76)),INDEX(Settings!$B$29:$B$40,MONTH(A76)))))</f>
        <v>480.55</v>
      </c>
    </row>
    <row r="77" customFormat="false" ht="15" hidden="false" customHeight="false" outlineLevel="0" collapsed="false">
      <c r="H77" s="0" t="str">
        <f aca="false">IF(B77="","",IF(COUNTIF(Campaigns!$A$7:$A$300,B77)&gt;0,"✓","⚠ add to Campaigns tab"))</f>
        <v/>
      </c>
      <c r="I77" s="84" t="str">
        <f aca="false">IF(C77="","",C77*IF(Settings!$B$22=Settings!$C$6,1,IF(Settings!$B$22="USD",1/INDEX(Settings!$B$29:$B$40,MONTH(A77)),INDEX(Settings!$B$29:$B$40,MONTH(A77)))))</f>
        <v/>
      </c>
    </row>
    <row r="78" customFormat="false" ht="15" hidden="false" customHeight="false" outlineLevel="0" collapsed="false">
      <c r="H78" s="0" t="str">
        <f aca="false">IF(B78="","",IF(COUNTIF(Campaigns!$A$7:$A$300,B78)&gt;0,"✓","⚠ add to Campaigns tab"))</f>
        <v/>
      </c>
      <c r="I78" s="84" t="str">
        <f aca="false">IF(C78="","",C78*IF(Settings!$B$22=Settings!$C$6,1,IF(Settings!$B$22="USD",1/INDEX(Settings!$B$29:$B$40,MONTH(A78)),INDEX(Settings!$B$29:$B$40,MONTH(A78)))))</f>
        <v/>
      </c>
    </row>
    <row r="79" customFormat="false" ht="15" hidden="false" customHeight="false" outlineLevel="0" collapsed="false">
      <c r="H79" s="0" t="str">
        <f aca="false">IF(B79="","",IF(COUNTIF(Campaigns!$A$7:$A$300,B79)&gt;0,"✓","⚠ add to Campaigns tab"))</f>
        <v/>
      </c>
      <c r="I79" s="84" t="str">
        <f aca="false">IF(C79="","",C79*IF(Settings!$B$22=Settings!$C$6,1,IF(Settings!$B$22="USD",1/INDEX(Settings!$B$29:$B$40,MONTH(A79)),INDEX(Settings!$B$29:$B$40,MONTH(A79)))))</f>
        <v/>
      </c>
    </row>
    <row r="80" customFormat="false" ht="15" hidden="false" customHeight="false" outlineLevel="0" collapsed="false">
      <c r="H80" s="0" t="str">
        <f aca="false">IF(B80="","",IF(COUNTIF(Campaigns!$A$7:$A$300,B80)&gt;0,"✓","⚠ add to Campaigns tab"))</f>
        <v/>
      </c>
      <c r="I80" s="84" t="str">
        <f aca="false">IF(C80="","",C80*IF(Settings!$B$22=Settings!$C$6,1,IF(Settings!$B$22="USD",1/INDEX(Settings!$B$29:$B$40,MONTH(A80)),INDEX(Settings!$B$29:$B$40,MONTH(A80)))))</f>
        <v/>
      </c>
    </row>
    <row r="81" customFormat="false" ht="15" hidden="false" customHeight="false" outlineLevel="0" collapsed="false">
      <c r="H81" s="0" t="str">
        <f aca="false">IF(B81="","",IF(COUNTIF(Campaigns!$A$7:$A$300,B81)&gt;0,"✓","⚠ add to Campaigns tab"))</f>
        <v/>
      </c>
      <c r="I81" s="84" t="str">
        <f aca="false">IF(C81="","",C81*IF(Settings!$B$22=Settings!$C$6,1,IF(Settings!$B$22="USD",1/INDEX(Settings!$B$29:$B$40,MONTH(A81)),INDEX(Settings!$B$29:$B$40,MONTH(A81)))))</f>
        <v/>
      </c>
    </row>
    <row r="82" customFormat="false" ht="15" hidden="false" customHeight="false" outlineLevel="0" collapsed="false">
      <c r="H82" s="0" t="str">
        <f aca="false">IF(B82="","",IF(COUNTIF(Campaigns!$A$7:$A$300,B82)&gt;0,"✓","⚠ add to Campaigns tab"))</f>
        <v/>
      </c>
      <c r="I82" s="84" t="str">
        <f aca="false">IF(C82="","",C82*IF(Settings!$B$22=Settings!$C$6,1,IF(Settings!$B$22="USD",1/INDEX(Settings!$B$29:$B$40,MONTH(A82)),INDEX(Settings!$B$29:$B$40,MONTH(A82)))))</f>
        <v/>
      </c>
    </row>
    <row r="83" customFormat="false" ht="15" hidden="false" customHeight="false" outlineLevel="0" collapsed="false">
      <c r="H83" s="0" t="str">
        <f aca="false">IF(B83="","",IF(COUNTIF(Campaigns!$A$7:$A$300,B83)&gt;0,"✓","⚠ add to Campaigns tab"))</f>
        <v/>
      </c>
      <c r="I83" s="84" t="str">
        <f aca="false">IF(C83="","",C83*IF(Settings!$B$22=Settings!$C$6,1,IF(Settings!$B$22="USD",1/INDEX(Settings!$B$29:$B$40,MONTH(A83)),INDEX(Settings!$B$29:$B$40,MONTH(A83)))))</f>
        <v/>
      </c>
    </row>
    <row r="84" customFormat="false" ht="15" hidden="false" customHeight="false" outlineLevel="0" collapsed="false">
      <c r="H84" s="0" t="str">
        <f aca="false">IF(B84="","",IF(COUNTIF(Campaigns!$A$7:$A$300,B84)&gt;0,"✓","⚠ add to Campaigns tab"))</f>
        <v/>
      </c>
      <c r="I84" s="84" t="str">
        <f aca="false">IF(C84="","",C84*IF(Settings!$B$22=Settings!$C$6,1,IF(Settings!$B$22="USD",1/INDEX(Settings!$B$29:$B$40,MONTH(A84)),INDEX(Settings!$B$29:$B$40,MONTH(A84)))))</f>
        <v/>
      </c>
    </row>
    <row r="85" customFormat="false" ht="15" hidden="false" customHeight="false" outlineLevel="0" collapsed="false">
      <c r="H85" s="0" t="str">
        <f aca="false">IF(B85="","",IF(COUNTIF(Campaigns!$A$7:$A$300,B85)&gt;0,"✓","⚠ add to Campaigns tab"))</f>
        <v/>
      </c>
      <c r="I85" s="84" t="str">
        <f aca="false">IF(C85="","",C85*IF(Settings!$B$22=Settings!$C$6,1,IF(Settings!$B$22="USD",1/INDEX(Settings!$B$29:$B$40,MONTH(A85)),INDEX(Settings!$B$29:$B$40,MONTH(A85)))))</f>
        <v/>
      </c>
    </row>
    <row r="86" customFormat="false" ht="15" hidden="false" customHeight="false" outlineLevel="0" collapsed="false">
      <c r="H86" s="0" t="str">
        <f aca="false">IF(B86="","",IF(COUNTIF(Campaigns!$A$7:$A$300,B86)&gt;0,"✓","⚠ add to Campaigns tab"))</f>
        <v/>
      </c>
      <c r="I86" s="84" t="str">
        <f aca="false">IF(C86="","",C86*IF(Settings!$B$22=Settings!$C$6,1,IF(Settings!$B$22="USD",1/INDEX(Settings!$B$29:$B$40,MONTH(A86)),INDEX(Settings!$B$29:$B$40,MONTH(A86)))))</f>
        <v/>
      </c>
    </row>
    <row r="87" customFormat="false" ht="15" hidden="false" customHeight="false" outlineLevel="0" collapsed="false">
      <c r="H87" s="0" t="str">
        <f aca="false">IF(B87="","",IF(COUNTIF(Campaigns!$A$7:$A$300,B87)&gt;0,"✓","⚠ add to Campaigns tab"))</f>
        <v/>
      </c>
      <c r="I87" s="84" t="str">
        <f aca="false">IF(C87="","",C87*IF(Settings!$B$22=Settings!$C$6,1,IF(Settings!$B$22="USD",1/INDEX(Settings!$B$29:$B$40,MONTH(A87)),INDEX(Settings!$B$29:$B$40,MONTH(A87)))))</f>
        <v/>
      </c>
    </row>
    <row r="88" customFormat="false" ht="15" hidden="false" customHeight="false" outlineLevel="0" collapsed="false">
      <c r="H88" s="0" t="str">
        <f aca="false">IF(B88="","",IF(COUNTIF(Campaigns!$A$7:$A$300,B88)&gt;0,"✓","⚠ add to Campaigns tab"))</f>
        <v/>
      </c>
      <c r="I88" s="84" t="str">
        <f aca="false">IF(C88="","",C88*IF(Settings!$B$22=Settings!$C$6,1,IF(Settings!$B$22="USD",1/INDEX(Settings!$B$29:$B$40,MONTH(A88)),INDEX(Settings!$B$29:$B$40,MONTH(A88)))))</f>
        <v/>
      </c>
    </row>
    <row r="89" customFormat="false" ht="15" hidden="false" customHeight="false" outlineLevel="0" collapsed="false">
      <c r="H89" s="0" t="str">
        <f aca="false">IF(B89="","",IF(COUNTIF(Campaigns!$A$7:$A$300,B89)&gt;0,"✓","⚠ add to Campaigns tab"))</f>
        <v/>
      </c>
      <c r="I89" s="84" t="str">
        <f aca="false">IF(C89="","",C89*IF(Settings!$B$22=Settings!$C$6,1,IF(Settings!$B$22="USD",1/INDEX(Settings!$B$29:$B$40,MONTH(A89)),INDEX(Settings!$B$29:$B$40,MONTH(A89)))))</f>
        <v/>
      </c>
    </row>
    <row r="90" customFormat="false" ht="15" hidden="false" customHeight="false" outlineLevel="0" collapsed="false">
      <c r="H90" s="0" t="str">
        <f aca="false">IF(B90="","",IF(COUNTIF(Campaigns!$A$7:$A$300,B90)&gt;0,"✓","⚠ add to Campaigns tab"))</f>
        <v/>
      </c>
      <c r="I90" s="84" t="str">
        <f aca="false">IF(C90="","",C90*IF(Settings!$B$22=Settings!$C$6,1,IF(Settings!$B$22="USD",1/INDEX(Settings!$B$29:$B$40,MONTH(A90)),INDEX(Settings!$B$29:$B$40,MONTH(A90)))))</f>
        <v/>
      </c>
    </row>
    <row r="91" customFormat="false" ht="15" hidden="false" customHeight="false" outlineLevel="0" collapsed="false">
      <c r="H91" s="0" t="str">
        <f aca="false">IF(B91="","",IF(COUNTIF(Campaigns!$A$7:$A$300,B91)&gt;0,"✓","⚠ add to Campaigns tab"))</f>
        <v/>
      </c>
      <c r="I91" s="84" t="str">
        <f aca="false">IF(C91="","",C91*IF(Settings!$B$22=Settings!$C$6,1,IF(Settings!$B$22="USD",1/INDEX(Settings!$B$29:$B$40,MONTH(A91)),INDEX(Settings!$B$29:$B$40,MONTH(A91)))))</f>
        <v/>
      </c>
    </row>
    <row r="92" customFormat="false" ht="15" hidden="false" customHeight="false" outlineLevel="0" collapsed="false">
      <c r="H92" s="0" t="str">
        <f aca="false">IF(B92="","",IF(COUNTIF(Campaigns!$A$7:$A$300,B92)&gt;0,"✓","⚠ add to Campaigns tab"))</f>
        <v/>
      </c>
      <c r="I92" s="84" t="str">
        <f aca="false">IF(C92="","",C92*IF(Settings!$B$22=Settings!$C$6,1,IF(Settings!$B$22="USD",1/INDEX(Settings!$B$29:$B$40,MONTH(A92)),INDEX(Settings!$B$29:$B$40,MONTH(A92)))))</f>
        <v/>
      </c>
    </row>
    <row r="93" customFormat="false" ht="15" hidden="false" customHeight="false" outlineLevel="0" collapsed="false">
      <c r="H93" s="0" t="str">
        <f aca="false">IF(B93="","",IF(COUNTIF(Campaigns!$A$7:$A$300,B93)&gt;0,"✓","⚠ add to Campaigns tab"))</f>
        <v/>
      </c>
      <c r="I93" s="84" t="str">
        <f aca="false">IF(C93="","",C93*IF(Settings!$B$22=Settings!$C$6,1,IF(Settings!$B$22="USD",1/INDEX(Settings!$B$29:$B$40,MONTH(A93)),INDEX(Settings!$B$29:$B$40,MONTH(A93)))))</f>
        <v/>
      </c>
    </row>
    <row r="94" customFormat="false" ht="15" hidden="false" customHeight="false" outlineLevel="0" collapsed="false">
      <c r="H94" s="0" t="str">
        <f aca="false">IF(B94="","",IF(COUNTIF(Campaigns!$A$7:$A$300,B94)&gt;0,"✓","⚠ add to Campaigns tab"))</f>
        <v/>
      </c>
      <c r="I94" s="84" t="str">
        <f aca="false">IF(C94="","",C94*IF(Settings!$B$22=Settings!$C$6,1,IF(Settings!$B$22="USD",1/INDEX(Settings!$B$29:$B$40,MONTH(A94)),INDEX(Settings!$B$29:$B$40,MONTH(A94)))))</f>
        <v/>
      </c>
    </row>
    <row r="95" customFormat="false" ht="15" hidden="false" customHeight="false" outlineLevel="0" collapsed="false">
      <c r="H95" s="0" t="str">
        <f aca="false">IF(B95="","",IF(COUNTIF(Campaigns!$A$7:$A$300,B95)&gt;0,"✓","⚠ add to Campaigns tab"))</f>
        <v/>
      </c>
      <c r="I95" s="84" t="str">
        <f aca="false">IF(C95="","",C95*IF(Settings!$B$22=Settings!$C$6,1,IF(Settings!$B$22="USD",1/INDEX(Settings!$B$29:$B$40,MONTH(A95)),INDEX(Settings!$B$29:$B$40,MONTH(A95)))))</f>
        <v/>
      </c>
    </row>
    <row r="96" customFormat="false" ht="15" hidden="false" customHeight="false" outlineLevel="0" collapsed="false">
      <c r="H96" s="0" t="str">
        <f aca="false">IF(B96="","",IF(COUNTIF(Campaigns!$A$7:$A$300,B96)&gt;0,"✓","⚠ add to Campaigns tab"))</f>
        <v/>
      </c>
      <c r="I96" s="84" t="str">
        <f aca="false">IF(C96="","",C96*IF(Settings!$B$22=Settings!$C$6,1,IF(Settings!$B$22="USD",1/INDEX(Settings!$B$29:$B$40,MONTH(A96)),INDEX(Settings!$B$29:$B$40,MONTH(A96)))))</f>
        <v/>
      </c>
    </row>
    <row r="97" customFormat="false" ht="15" hidden="false" customHeight="false" outlineLevel="0" collapsed="false">
      <c r="H97" s="0" t="str">
        <f aca="false">IF(B97="","",IF(COUNTIF(Campaigns!$A$7:$A$300,B97)&gt;0,"✓","⚠ add to Campaigns tab"))</f>
        <v/>
      </c>
      <c r="I97" s="84" t="str">
        <f aca="false">IF(C97="","",C97*IF(Settings!$B$22=Settings!$C$6,1,IF(Settings!$B$22="USD",1/INDEX(Settings!$B$29:$B$40,MONTH(A97)),INDEX(Settings!$B$29:$B$40,MONTH(A97)))))</f>
        <v/>
      </c>
    </row>
    <row r="98" customFormat="false" ht="15" hidden="false" customHeight="false" outlineLevel="0" collapsed="false">
      <c r="H98" s="0" t="str">
        <f aca="false">IF(B98="","",IF(COUNTIF(Campaigns!$A$7:$A$300,B98)&gt;0,"✓","⚠ add to Campaigns tab"))</f>
        <v/>
      </c>
      <c r="I98" s="84" t="str">
        <f aca="false">IF(C98="","",C98*IF(Settings!$B$22=Settings!$C$6,1,IF(Settings!$B$22="USD",1/INDEX(Settings!$B$29:$B$40,MONTH(A98)),INDEX(Settings!$B$29:$B$40,MONTH(A98)))))</f>
        <v/>
      </c>
    </row>
    <row r="99" customFormat="false" ht="15" hidden="false" customHeight="false" outlineLevel="0" collapsed="false">
      <c r="H99" s="0" t="str">
        <f aca="false">IF(B99="","",IF(COUNTIF(Campaigns!$A$7:$A$300,B99)&gt;0,"✓","⚠ add to Campaigns tab"))</f>
        <v/>
      </c>
      <c r="I99" s="84" t="str">
        <f aca="false">IF(C99="","",C99*IF(Settings!$B$22=Settings!$C$6,1,IF(Settings!$B$22="USD",1/INDEX(Settings!$B$29:$B$40,MONTH(A99)),INDEX(Settings!$B$29:$B$40,MONTH(A99)))))</f>
        <v/>
      </c>
    </row>
    <row r="100" customFormat="false" ht="15" hidden="false" customHeight="false" outlineLevel="0" collapsed="false">
      <c r="H100" s="0" t="str">
        <f aca="false">IF(B100="","",IF(COUNTIF(Campaigns!$A$7:$A$300,B100)&gt;0,"✓","⚠ add to Campaigns tab"))</f>
        <v/>
      </c>
      <c r="I100" s="84" t="str">
        <f aca="false">IF(C100="","",C100*IF(Settings!$B$22=Settings!$C$6,1,IF(Settings!$B$22="USD",1/INDEX(Settings!$B$29:$B$40,MONTH(A100)),INDEX(Settings!$B$29:$B$40,MONTH(A100)))))</f>
        <v/>
      </c>
    </row>
    <row r="101" customFormat="false" ht="15" hidden="false" customHeight="false" outlineLevel="0" collapsed="false">
      <c r="H101" s="0" t="str">
        <f aca="false">IF(B101="","",IF(COUNTIF(Campaigns!$A$7:$A$300,B101)&gt;0,"✓","⚠ add to Campaigns tab"))</f>
        <v/>
      </c>
      <c r="I101" s="84" t="str">
        <f aca="false">IF(C101="","",C101*IF(Settings!$B$22=Settings!$C$6,1,IF(Settings!$B$22="USD",1/INDEX(Settings!$B$29:$B$40,MONTH(A101)),INDEX(Settings!$B$29:$B$40,MONTH(A101)))))</f>
        <v/>
      </c>
    </row>
    <row r="102" customFormat="false" ht="15" hidden="false" customHeight="false" outlineLevel="0" collapsed="false">
      <c r="H102" s="0" t="str">
        <f aca="false">IF(B102="","",IF(COUNTIF(Campaigns!$A$7:$A$300,B102)&gt;0,"✓","⚠ add to Campaigns tab"))</f>
        <v/>
      </c>
      <c r="I102" s="84" t="str">
        <f aca="false">IF(C102="","",C102*IF(Settings!$B$22=Settings!$C$6,1,IF(Settings!$B$22="USD",1/INDEX(Settings!$B$29:$B$40,MONTH(A102)),INDEX(Settings!$B$29:$B$40,MONTH(A102)))))</f>
        <v/>
      </c>
    </row>
    <row r="103" customFormat="false" ht="15" hidden="false" customHeight="false" outlineLevel="0" collapsed="false">
      <c r="H103" s="0" t="str">
        <f aca="false">IF(B103="","",IF(COUNTIF(Campaigns!$A$7:$A$300,B103)&gt;0,"✓","⚠ add to Campaigns tab"))</f>
        <v/>
      </c>
      <c r="I103" s="84" t="str">
        <f aca="false">IF(C103="","",C103*IF(Settings!$B$22=Settings!$C$6,1,IF(Settings!$B$22="USD",1/INDEX(Settings!$B$29:$B$40,MONTH(A103)),INDEX(Settings!$B$29:$B$40,MONTH(A103)))))</f>
        <v/>
      </c>
    </row>
    <row r="104" customFormat="false" ht="15" hidden="false" customHeight="false" outlineLevel="0" collapsed="false">
      <c r="H104" s="0" t="str">
        <f aca="false">IF(B104="","",IF(COUNTIF(Campaigns!$A$7:$A$300,B104)&gt;0,"✓","⚠ add to Campaigns tab"))</f>
        <v/>
      </c>
      <c r="I104" s="84" t="str">
        <f aca="false">IF(C104="","",C104*IF(Settings!$B$22=Settings!$C$6,1,IF(Settings!$B$22="USD",1/INDEX(Settings!$B$29:$B$40,MONTH(A104)),INDEX(Settings!$B$29:$B$40,MONTH(A104)))))</f>
        <v/>
      </c>
    </row>
    <row r="105" customFormat="false" ht="15" hidden="false" customHeight="false" outlineLevel="0" collapsed="false">
      <c r="H105" s="0" t="str">
        <f aca="false">IF(B105="","",IF(COUNTIF(Campaigns!$A$7:$A$300,B105)&gt;0,"✓","⚠ add to Campaigns tab"))</f>
        <v/>
      </c>
      <c r="I105" s="84" t="str">
        <f aca="false">IF(C105="","",C105*IF(Settings!$B$22=Settings!$C$6,1,IF(Settings!$B$22="USD",1/INDEX(Settings!$B$29:$B$40,MONTH(A105)),INDEX(Settings!$B$29:$B$40,MONTH(A105)))))</f>
        <v/>
      </c>
    </row>
    <row r="106" customFormat="false" ht="15" hidden="false" customHeight="false" outlineLevel="0" collapsed="false">
      <c r="H106" s="0" t="str">
        <f aca="false">IF(B106="","",IF(COUNTIF(Campaigns!$A$7:$A$300,B106)&gt;0,"✓","⚠ add to Campaigns tab"))</f>
        <v/>
      </c>
      <c r="I106" s="84" t="str">
        <f aca="false">IF(C106="","",C106*IF(Settings!$B$22=Settings!$C$6,1,IF(Settings!$B$22="USD",1/INDEX(Settings!$B$29:$B$40,MONTH(A106)),INDEX(Settings!$B$29:$B$40,MONTH(A106)))))</f>
        <v/>
      </c>
    </row>
    <row r="107" customFormat="false" ht="15" hidden="false" customHeight="false" outlineLevel="0" collapsed="false">
      <c r="H107" s="0" t="str">
        <f aca="false">IF(B107="","",IF(COUNTIF(Campaigns!$A$7:$A$300,B107)&gt;0,"✓","⚠ add to Campaigns tab"))</f>
        <v/>
      </c>
      <c r="I107" s="84" t="str">
        <f aca="false">IF(C107="","",C107*IF(Settings!$B$22=Settings!$C$6,1,IF(Settings!$B$22="USD",1/INDEX(Settings!$B$29:$B$40,MONTH(A107)),INDEX(Settings!$B$29:$B$40,MONTH(A107)))))</f>
        <v/>
      </c>
    </row>
    <row r="108" customFormat="false" ht="15" hidden="false" customHeight="false" outlineLevel="0" collapsed="false">
      <c r="H108" s="0" t="str">
        <f aca="false">IF(B108="","",IF(COUNTIF(Campaigns!$A$7:$A$300,B108)&gt;0,"✓","⚠ add to Campaigns tab"))</f>
        <v/>
      </c>
      <c r="I108" s="84" t="str">
        <f aca="false">IF(C108="","",C108*IF(Settings!$B$22=Settings!$C$6,1,IF(Settings!$B$22="USD",1/INDEX(Settings!$B$29:$B$40,MONTH(A108)),INDEX(Settings!$B$29:$B$40,MONTH(A108)))))</f>
        <v/>
      </c>
    </row>
    <row r="109" customFormat="false" ht="15" hidden="false" customHeight="false" outlineLevel="0" collapsed="false">
      <c r="H109" s="0" t="str">
        <f aca="false">IF(B109="","",IF(COUNTIF(Campaigns!$A$7:$A$300,B109)&gt;0,"✓","⚠ add to Campaigns tab"))</f>
        <v/>
      </c>
      <c r="I109" s="84" t="str">
        <f aca="false">IF(C109="","",C109*IF(Settings!$B$22=Settings!$C$6,1,IF(Settings!$B$22="USD",1/INDEX(Settings!$B$29:$B$40,MONTH(A109)),INDEX(Settings!$B$29:$B$40,MONTH(A109)))))</f>
        <v/>
      </c>
    </row>
    <row r="110" customFormat="false" ht="15" hidden="false" customHeight="false" outlineLevel="0" collapsed="false">
      <c r="H110" s="0" t="str">
        <f aca="false">IF(B110="","",IF(COUNTIF(Campaigns!$A$7:$A$300,B110)&gt;0,"✓","⚠ add to Campaigns tab"))</f>
        <v/>
      </c>
      <c r="I110" s="84" t="str">
        <f aca="false">IF(C110="","",C110*IF(Settings!$B$22=Settings!$C$6,1,IF(Settings!$B$22="USD",1/INDEX(Settings!$B$29:$B$40,MONTH(A110)),INDEX(Settings!$B$29:$B$40,MONTH(A110)))))</f>
        <v/>
      </c>
    </row>
    <row r="111" customFormat="false" ht="15" hidden="false" customHeight="false" outlineLevel="0" collapsed="false">
      <c r="H111" s="0" t="str">
        <f aca="false">IF(B111="","",IF(COUNTIF(Campaigns!$A$7:$A$300,B111)&gt;0,"✓","⚠ add to Campaigns tab"))</f>
        <v/>
      </c>
      <c r="I111" s="84" t="str">
        <f aca="false">IF(C111="","",C111*IF(Settings!$B$22=Settings!$C$6,1,IF(Settings!$B$22="USD",1/INDEX(Settings!$B$29:$B$40,MONTH(A111)),INDEX(Settings!$B$29:$B$40,MONTH(A111)))))</f>
        <v/>
      </c>
    </row>
    <row r="112" customFormat="false" ht="15" hidden="false" customHeight="false" outlineLevel="0" collapsed="false">
      <c r="H112" s="0" t="str">
        <f aca="false">IF(B112="","",IF(COUNTIF(Campaigns!$A$7:$A$300,B112)&gt;0,"✓","⚠ add to Campaigns tab"))</f>
        <v/>
      </c>
      <c r="I112" s="84" t="str">
        <f aca="false">IF(C112="","",C112*IF(Settings!$B$22=Settings!$C$6,1,IF(Settings!$B$22="USD",1/INDEX(Settings!$B$29:$B$40,MONTH(A112)),INDEX(Settings!$B$29:$B$40,MONTH(A112)))))</f>
        <v/>
      </c>
    </row>
    <row r="113" customFormat="false" ht="15" hidden="false" customHeight="false" outlineLevel="0" collapsed="false">
      <c r="H113" s="0" t="str">
        <f aca="false">IF(B113="","",IF(COUNTIF(Campaigns!$A$7:$A$300,B113)&gt;0,"✓","⚠ add to Campaigns tab"))</f>
        <v/>
      </c>
      <c r="I113" s="84" t="str">
        <f aca="false">IF(C113="","",C113*IF(Settings!$B$22=Settings!$C$6,1,IF(Settings!$B$22="USD",1/INDEX(Settings!$B$29:$B$40,MONTH(A113)),INDEX(Settings!$B$29:$B$40,MONTH(A113)))))</f>
        <v/>
      </c>
    </row>
    <row r="114" customFormat="false" ht="15" hidden="false" customHeight="false" outlineLevel="0" collapsed="false">
      <c r="H114" s="0" t="str">
        <f aca="false">IF(B114="","",IF(COUNTIF(Campaigns!$A$7:$A$300,B114)&gt;0,"✓","⚠ add to Campaigns tab"))</f>
        <v/>
      </c>
      <c r="I114" s="84" t="str">
        <f aca="false">IF(C114="","",C114*IF(Settings!$B$22=Settings!$C$6,1,IF(Settings!$B$22="USD",1/INDEX(Settings!$B$29:$B$40,MONTH(A114)),INDEX(Settings!$B$29:$B$40,MONTH(A114)))))</f>
        <v/>
      </c>
    </row>
    <row r="115" customFormat="false" ht="15" hidden="false" customHeight="false" outlineLevel="0" collapsed="false">
      <c r="H115" s="0" t="str">
        <f aca="false">IF(B115="","",IF(COUNTIF(Campaigns!$A$7:$A$300,B115)&gt;0,"✓","⚠ add to Campaigns tab"))</f>
        <v/>
      </c>
      <c r="I115" s="84" t="str">
        <f aca="false">IF(C115="","",C115*IF(Settings!$B$22=Settings!$C$6,1,IF(Settings!$B$22="USD",1/INDEX(Settings!$B$29:$B$40,MONTH(A115)),INDEX(Settings!$B$29:$B$40,MONTH(A115)))))</f>
        <v/>
      </c>
    </row>
    <row r="116" customFormat="false" ht="15" hidden="false" customHeight="false" outlineLevel="0" collapsed="false">
      <c r="H116" s="0" t="str">
        <f aca="false">IF(B116="","",IF(COUNTIF(Campaigns!$A$7:$A$300,B116)&gt;0,"✓","⚠ add to Campaigns tab"))</f>
        <v/>
      </c>
      <c r="I116" s="84" t="str">
        <f aca="false">IF(C116="","",C116*IF(Settings!$B$22=Settings!$C$6,1,IF(Settings!$B$22="USD",1/INDEX(Settings!$B$29:$B$40,MONTH(A116)),INDEX(Settings!$B$29:$B$40,MONTH(A116)))))</f>
        <v/>
      </c>
    </row>
    <row r="117" customFormat="false" ht="15" hidden="false" customHeight="false" outlineLevel="0" collapsed="false">
      <c r="H117" s="0" t="str">
        <f aca="false">IF(B117="","",IF(COUNTIF(Campaigns!$A$7:$A$300,B117)&gt;0,"✓","⚠ add to Campaigns tab"))</f>
        <v/>
      </c>
      <c r="I117" s="84" t="str">
        <f aca="false">IF(C117="","",C117*IF(Settings!$B$22=Settings!$C$6,1,IF(Settings!$B$22="USD",1/INDEX(Settings!$B$29:$B$40,MONTH(A117)),INDEX(Settings!$B$29:$B$40,MONTH(A117)))))</f>
        <v/>
      </c>
    </row>
    <row r="118" customFormat="false" ht="15" hidden="false" customHeight="false" outlineLevel="0" collapsed="false">
      <c r="H118" s="0" t="str">
        <f aca="false">IF(B118="","",IF(COUNTIF(Campaigns!$A$7:$A$300,B118)&gt;0,"✓","⚠ add to Campaigns tab"))</f>
        <v/>
      </c>
      <c r="I118" s="84" t="str">
        <f aca="false">IF(C118="","",C118*IF(Settings!$B$22=Settings!$C$6,1,IF(Settings!$B$22="USD",1/INDEX(Settings!$B$29:$B$40,MONTH(A118)),INDEX(Settings!$B$29:$B$40,MONTH(A118)))))</f>
        <v/>
      </c>
    </row>
    <row r="119" customFormat="false" ht="15" hidden="false" customHeight="false" outlineLevel="0" collapsed="false">
      <c r="H119" s="0" t="str">
        <f aca="false">IF(B119="","",IF(COUNTIF(Campaigns!$A$7:$A$300,B119)&gt;0,"✓","⚠ add to Campaigns tab"))</f>
        <v/>
      </c>
      <c r="I119" s="84" t="str">
        <f aca="false">IF(C119="","",C119*IF(Settings!$B$22=Settings!$C$6,1,IF(Settings!$B$22="USD",1/INDEX(Settings!$B$29:$B$40,MONTH(A119)),INDEX(Settings!$B$29:$B$40,MONTH(A119)))))</f>
        <v/>
      </c>
    </row>
    <row r="120" customFormat="false" ht="15" hidden="false" customHeight="false" outlineLevel="0" collapsed="false">
      <c r="H120" s="0" t="str">
        <f aca="false">IF(B120="","",IF(COUNTIF(Campaigns!$A$7:$A$300,B120)&gt;0,"✓","⚠ add to Campaigns tab"))</f>
        <v/>
      </c>
      <c r="I120" s="84" t="str">
        <f aca="false">IF(C120="","",C120*IF(Settings!$B$22=Settings!$C$6,1,IF(Settings!$B$22="USD",1/INDEX(Settings!$B$29:$B$40,MONTH(A120)),INDEX(Settings!$B$29:$B$40,MONTH(A120)))))</f>
        <v/>
      </c>
    </row>
    <row r="121" customFormat="false" ht="15" hidden="false" customHeight="false" outlineLevel="0" collapsed="false">
      <c r="H121" s="0" t="str">
        <f aca="false">IF(B121="","",IF(COUNTIF(Campaigns!$A$7:$A$300,B121)&gt;0,"✓","⚠ add to Campaigns tab"))</f>
        <v/>
      </c>
      <c r="I121" s="84" t="str">
        <f aca="false">IF(C121="","",C121*IF(Settings!$B$22=Settings!$C$6,1,IF(Settings!$B$22="USD",1/INDEX(Settings!$B$29:$B$40,MONTH(A121)),INDEX(Settings!$B$29:$B$40,MONTH(A121)))))</f>
        <v/>
      </c>
    </row>
    <row r="122" customFormat="false" ht="15" hidden="false" customHeight="false" outlineLevel="0" collapsed="false">
      <c r="H122" s="0" t="str">
        <f aca="false">IF(B122="","",IF(COUNTIF(Campaigns!$A$7:$A$300,B122)&gt;0,"✓","⚠ add to Campaigns tab"))</f>
        <v/>
      </c>
      <c r="I122" s="84" t="str">
        <f aca="false">IF(C122="","",C122*IF(Settings!$B$22=Settings!$C$6,1,IF(Settings!$B$22="USD",1/INDEX(Settings!$B$29:$B$40,MONTH(A122)),INDEX(Settings!$B$29:$B$40,MONTH(A122)))))</f>
        <v/>
      </c>
    </row>
    <row r="123" customFormat="false" ht="15" hidden="false" customHeight="false" outlineLevel="0" collapsed="false">
      <c r="H123" s="0" t="str">
        <f aca="false">IF(B123="","",IF(COUNTIF(Campaigns!$A$7:$A$300,B123)&gt;0,"✓","⚠ add to Campaigns tab"))</f>
        <v/>
      </c>
      <c r="I123" s="84" t="str">
        <f aca="false">IF(C123="","",C123*IF(Settings!$B$22=Settings!$C$6,1,IF(Settings!$B$22="USD",1/INDEX(Settings!$B$29:$B$40,MONTH(A123)),INDEX(Settings!$B$29:$B$40,MONTH(A123)))))</f>
        <v/>
      </c>
    </row>
    <row r="124" customFormat="false" ht="15" hidden="false" customHeight="false" outlineLevel="0" collapsed="false">
      <c r="H124" s="0" t="str">
        <f aca="false">IF(B124="","",IF(COUNTIF(Campaigns!$A$7:$A$300,B124)&gt;0,"✓","⚠ add to Campaigns tab"))</f>
        <v/>
      </c>
      <c r="I124" s="84" t="str">
        <f aca="false">IF(C124="","",C124*IF(Settings!$B$22=Settings!$C$6,1,IF(Settings!$B$22="USD",1/INDEX(Settings!$B$29:$B$40,MONTH(A124)),INDEX(Settings!$B$29:$B$40,MONTH(A124)))))</f>
        <v/>
      </c>
    </row>
    <row r="125" customFormat="false" ht="15" hidden="false" customHeight="false" outlineLevel="0" collapsed="false">
      <c r="H125" s="0" t="str">
        <f aca="false">IF(B125="","",IF(COUNTIF(Campaigns!$A$7:$A$300,B125)&gt;0,"✓","⚠ add to Campaigns tab"))</f>
        <v/>
      </c>
      <c r="I125" s="84" t="str">
        <f aca="false">IF(C125="","",C125*IF(Settings!$B$22=Settings!$C$6,1,IF(Settings!$B$22="USD",1/INDEX(Settings!$B$29:$B$40,MONTH(A125)),INDEX(Settings!$B$29:$B$40,MONTH(A125)))))</f>
        <v/>
      </c>
    </row>
    <row r="126" customFormat="false" ht="15" hidden="false" customHeight="false" outlineLevel="0" collapsed="false">
      <c r="H126" s="0" t="str">
        <f aca="false">IF(B126="","",IF(COUNTIF(Campaigns!$A$7:$A$300,B126)&gt;0,"✓","⚠ add to Campaigns tab"))</f>
        <v/>
      </c>
      <c r="I126" s="84" t="str">
        <f aca="false">IF(C126="","",C126*IF(Settings!$B$22=Settings!$C$6,1,IF(Settings!$B$22="USD",1/INDEX(Settings!$B$29:$B$40,MONTH(A126)),INDEX(Settings!$B$29:$B$40,MONTH(A126)))))</f>
        <v/>
      </c>
    </row>
    <row r="127" customFormat="false" ht="15" hidden="false" customHeight="false" outlineLevel="0" collapsed="false">
      <c r="H127" s="0" t="str">
        <f aca="false">IF(B127="","",IF(COUNTIF(Campaigns!$A$7:$A$300,B127)&gt;0,"✓","⚠ add to Campaigns tab"))</f>
        <v/>
      </c>
      <c r="I127" s="84" t="str">
        <f aca="false">IF(C127="","",C127*IF(Settings!$B$22=Settings!$C$6,1,IF(Settings!$B$22="USD",1/INDEX(Settings!$B$29:$B$40,MONTH(A127)),INDEX(Settings!$B$29:$B$40,MONTH(A127)))))</f>
        <v/>
      </c>
    </row>
    <row r="128" customFormat="false" ht="15" hidden="false" customHeight="false" outlineLevel="0" collapsed="false">
      <c r="H128" s="0" t="str">
        <f aca="false">IF(B128="","",IF(COUNTIF(Campaigns!$A$7:$A$300,B128)&gt;0,"✓","⚠ add to Campaigns tab"))</f>
        <v/>
      </c>
      <c r="I128" s="84" t="str">
        <f aca="false">IF(C128="","",C128*IF(Settings!$B$22=Settings!$C$6,1,IF(Settings!$B$22="USD",1/INDEX(Settings!$B$29:$B$40,MONTH(A128)),INDEX(Settings!$B$29:$B$40,MONTH(A128)))))</f>
        <v/>
      </c>
    </row>
    <row r="129" customFormat="false" ht="15" hidden="false" customHeight="false" outlineLevel="0" collapsed="false">
      <c r="H129" s="0" t="str">
        <f aca="false">IF(B129="","",IF(COUNTIF(Campaigns!$A$7:$A$300,B129)&gt;0,"✓","⚠ add to Campaigns tab"))</f>
        <v/>
      </c>
      <c r="I129" s="84" t="str">
        <f aca="false">IF(C129="","",C129*IF(Settings!$B$22=Settings!$C$6,1,IF(Settings!$B$22="USD",1/INDEX(Settings!$B$29:$B$40,MONTH(A129)),INDEX(Settings!$B$29:$B$40,MONTH(A129)))))</f>
        <v/>
      </c>
    </row>
    <row r="130" customFormat="false" ht="15" hidden="false" customHeight="false" outlineLevel="0" collapsed="false">
      <c r="H130" s="0" t="str">
        <f aca="false">IF(B130="","",IF(COUNTIF(Campaigns!$A$7:$A$300,B130)&gt;0,"✓","⚠ add to Campaigns tab"))</f>
        <v/>
      </c>
      <c r="I130" s="84" t="str">
        <f aca="false">IF(C130="","",C130*IF(Settings!$B$22=Settings!$C$6,1,IF(Settings!$B$22="USD",1/INDEX(Settings!$B$29:$B$40,MONTH(A130)),INDEX(Settings!$B$29:$B$40,MONTH(A130)))))</f>
        <v/>
      </c>
    </row>
    <row r="131" customFormat="false" ht="15" hidden="false" customHeight="false" outlineLevel="0" collapsed="false">
      <c r="H131" s="0" t="str">
        <f aca="false">IF(B131="","",IF(COUNTIF(Campaigns!$A$7:$A$300,B131)&gt;0,"✓","⚠ add to Campaigns tab"))</f>
        <v/>
      </c>
      <c r="I131" s="84" t="str">
        <f aca="false">IF(C131="","",C131*IF(Settings!$B$22=Settings!$C$6,1,IF(Settings!$B$22="USD",1/INDEX(Settings!$B$29:$B$40,MONTH(A131)),INDEX(Settings!$B$29:$B$40,MONTH(A131)))))</f>
        <v/>
      </c>
    </row>
    <row r="132" customFormat="false" ht="15" hidden="false" customHeight="false" outlineLevel="0" collapsed="false">
      <c r="H132" s="0" t="str">
        <f aca="false">IF(B132="","",IF(COUNTIF(Campaigns!$A$7:$A$300,B132)&gt;0,"✓","⚠ add to Campaigns tab"))</f>
        <v/>
      </c>
      <c r="I132" s="84" t="str">
        <f aca="false">IF(C132="","",C132*IF(Settings!$B$22=Settings!$C$6,1,IF(Settings!$B$22="USD",1/INDEX(Settings!$B$29:$B$40,MONTH(A132)),INDEX(Settings!$B$29:$B$40,MONTH(A132)))))</f>
        <v/>
      </c>
    </row>
    <row r="133" customFormat="false" ht="15" hidden="false" customHeight="false" outlineLevel="0" collapsed="false">
      <c r="H133" s="0" t="str">
        <f aca="false">IF(B133="","",IF(COUNTIF(Campaigns!$A$7:$A$300,B133)&gt;0,"✓","⚠ add to Campaigns tab"))</f>
        <v/>
      </c>
      <c r="I133" s="84" t="str">
        <f aca="false">IF(C133="","",C133*IF(Settings!$B$22=Settings!$C$6,1,IF(Settings!$B$22="USD",1/INDEX(Settings!$B$29:$B$40,MONTH(A133)),INDEX(Settings!$B$29:$B$40,MONTH(A133)))))</f>
        <v/>
      </c>
    </row>
    <row r="134" customFormat="false" ht="15" hidden="false" customHeight="false" outlineLevel="0" collapsed="false">
      <c r="H134" s="0" t="str">
        <f aca="false">IF(B134="","",IF(COUNTIF(Campaigns!$A$7:$A$300,B134)&gt;0,"✓","⚠ add to Campaigns tab"))</f>
        <v/>
      </c>
      <c r="I134" s="84" t="str">
        <f aca="false">IF(C134="","",C134*IF(Settings!$B$22=Settings!$C$6,1,IF(Settings!$B$22="USD",1/INDEX(Settings!$B$29:$B$40,MONTH(A134)),INDEX(Settings!$B$29:$B$40,MONTH(A134)))))</f>
        <v/>
      </c>
    </row>
    <row r="135" customFormat="false" ht="15" hidden="false" customHeight="false" outlineLevel="0" collapsed="false">
      <c r="H135" s="0" t="str">
        <f aca="false">IF(B135="","",IF(COUNTIF(Campaigns!$A$7:$A$300,B135)&gt;0,"✓","⚠ add to Campaigns tab"))</f>
        <v/>
      </c>
      <c r="I135" s="84" t="str">
        <f aca="false">IF(C135="","",C135*IF(Settings!$B$22=Settings!$C$6,1,IF(Settings!$B$22="USD",1/INDEX(Settings!$B$29:$B$40,MONTH(A135)),INDEX(Settings!$B$29:$B$40,MONTH(A135)))))</f>
        <v/>
      </c>
    </row>
    <row r="136" customFormat="false" ht="15" hidden="false" customHeight="false" outlineLevel="0" collapsed="false">
      <c r="H136" s="0" t="str">
        <f aca="false">IF(B136="","",IF(COUNTIF(Campaigns!$A$7:$A$300,B136)&gt;0,"✓","⚠ add to Campaigns tab"))</f>
        <v/>
      </c>
      <c r="I136" s="84" t="str">
        <f aca="false">IF(C136="","",C136*IF(Settings!$B$22=Settings!$C$6,1,IF(Settings!$B$22="USD",1/INDEX(Settings!$B$29:$B$40,MONTH(A136)),INDEX(Settings!$B$29:$B$40,MONTH(A136)))))</f>
        <v/>
      </c>
    </row>
    <row r="137" customFormat="false" ht="15" hidden="false" customHeight="false" outlineLevel="0" collapsed="false">
      <c r="H137" s="0" t="str">
        <f aca="false">IF(B137="","",IF(COUNTIF(Campaigns!$A$7:$A$300,B137)&gt;0,"✓","⚠ add to Campaigns tab"))</f>
        <v/>
      </c>
      <c r="I137" s="84" t="str">
        <f aca="false">IF(C137="","",C137*IF(Settings!$B$22=Settings!$C$6,1,IF(Settings!$B$22="USD",1/INDEX(Settings!$B$29:$B$40,MONTH(A137)),INDEX(Settings!$B$29:$B$40,MONTH(A137)))))</f>
        <v/>
      </c>
    </row>
    <row r="138" customFormat="false" ht="15" hidden="false" customHeight="false" outlineLevel="0" collapsed="false">
      <c r="H138" s="0" t="str">
        <f aca="false">IF(B138="","",IF(COUNTIF(Campaigns!$A$7:$A$300,B138)&gt;0,"✓","⚠ add to Campaigns tab"))</f>
        <v/>
      </c>
      <c r="I138" s="84" t="str">
        <f aca="false">IF(C138="","",C138*IF(Settings!$B$22=Settings!$C$6,1,IF(Settings!$B$22="USD",1/INDEX(Settings!$B$29:$B$40,MONTH(A138)),INDEX(Settings!$B$29:$B$40,MONTH(A138)))))</f>
        <v/>
      </c>
    </row>
    <row r="139" customFormat="false" ht="15" hidden="false" customHeight="false" outlineLevel="0" collapsed="false">
      <c r="H139" s="0" t="str">
        <f aca="false">IF(B139="","",IF(COUNTIF(Campaigns!$A$7:$A$300,B139)&gt;0,"✓","⚠ add to Campaigns tab"))</f>
        <v/>
      </c>
      <c r="I139" s="84" t="str">
        <f aca="false">IF(C139="","",C139*IF(Settings!$B$22=Settings!$C$6,1,IF(Settings!$B$22="USD",1/INDEX(Settings!$B$29:$B$40,MONTH(A139)),INDEX(Settings!$B$29:$B$40,MONTH(A139)))))</f>
        <v/>
      </c>
    </row>
    <row r="140" customFormat="false" ht="15" hidden="false" customHeight="false" outlineLevel="0" collapsed="false">
      <c r="H140" s="0" t="str">
        <f aca="false">IF(B140="","",IF(COUNTIF(Campaigns!$A$7:$A$300,B140)&gt;0,"✓","⚠ add to Campaigns tab"))</f>
        <v/>
      </c>
      <c r="I140" s="84" t="str">
        <f aca="false">IF(C140="","",C140*IF(Settings!$B$22=Settings!$C$6,1,IF(Settings!$B$22="USD",1/INDEX(Settings!$B$29:$B$40,MONTH(A140)),INDEX(Settings!$B$29:$B$40,MONTH(A140)))))</f>
        <v/>
      </c>
    </row>
    <row r="141" customFormat="false" ht="15" hidden="false" customHeight="false" outlineLevel="0" collapsed="false">
      <c r="H141" s="0" t="str">
        <f aca="false">IF(B141="","",IF(COUNTIF(Campaigns!$A$7:$A$300,B141)&gt;0,"✓","⚠ add to Campaigns tab"))</f>
        <v/>
      </c>
      <c r="I141" s="84" t="str">
        <f aca="false">IF(C141="","",C141*IF(Settings!$B$22=Settings!$C$6,1,IF(Settings!$B$22="USD",1/INDEX(Settings!$B$29:$B$40,MONTH(A141)),INDEX(Settings!$B$29:$B$40,MONTH(A141)))))</f>
        <v/>
      </c>
    </row>
    <row r="142" customFormat="false" ht="15" hidden="false" customHeight="false" outlineLevel="0" collapsed="false">
      <c r="H142" s="0" t="str">
        <f aca="false">IF(B142="","",IF(COUNTIF(Campaigns!$A$7:$A$300,B142)&gt;0,"✓","⚠ add to Campaigns tab"))</f>
        <v/>
      </c>
      <c r="I142" s="84" t="str">
        <f aca="false">IF(C142="","",C142*IF(Settings!$B$22=Settings!$C$6,1,IF(Settings!$B$22="USD",1/INDEX(Settings!$B$29:$B$40,MONTH(A142)),INDEX(Settings!$B$29:$B$40,MONTH(A142)))))</f>
        <v/>
      </c>
    </row>
    <row r="143" customFormat="false" ht="15" hidden="false" customHeight="false" outlineLevel="0" collapsed="false">
      <c r="H143" s="0" t="str">
        <f aca="false">IF(B143="","",IF(COUNTIF(Campaigns!$A$7:$A$300,B143)&gt;0,"✓","⚠ add to Campaigns tab"))</f>
        <v/>
      </c>
      <c r="I143" s="84" t="str">
        <f aca="false">IF(C143="","",C143*IF(Settings!$B$22=Settings!$C$6,1,IF(Settings!$B$22="USD",1/INDEX(Settings!$B$29:$B$40,MONTH(A143)),INDEX(Settings!$B$29:$B$40,MONTH(A143)))))</f>
        <v/>
      </c>
    </row>
    <row r="144" customFormat="false" ht="15" hidden="false" customHeight="false" outlineLevel="0" collapsed="false">
      <c r="H144" s="0" t="str">
        <f aca="false">IF(B144="","",IF(COUNTIF(Campaigns!$A$7:$A$300,B144)&gt;0,"✓","⚠ add to Campaigns tab"))</f>
        <v/>
      </c>
      <c r="I144" s="84" t="str">
        <f aca="false">IF(C144="","",C144*IF(Settings!$B$22=Settings!$C$6,1,IF(Settings!$B$22="USD",1/INDEX(Settings!$B$29:$B$40,MONTH(A144)),INDEX(Settings!$B$29:$B$40,MONTH(A144)))))</f>
        <v/>
      </c>
    </row>
    <row r="145" customFormat="false" ht="15" hidden="false" customHeight="false" outlineLevel="0" collapsed="false">
      <c r="H145" s="0" t="str">
        <f aca="false">IF(B145="","",IF(COUNTIF(Campaigns!$A$7:$A$300,B145)&gt;0,"✓","⚠ add to Campaigns tab"))</f>
        <v/>
      </c>
      <c r="I145" s="84" t="str">
        <f aca="false">IF(C145="","",C145*IF(Settings!$B$22=Settings!$C$6,1,IF(Settings!$B$22="USD",1/INDEX(Settings!$B$29:$B$40,MONTH(A145)),INDEX(Settings!$B$29:$B$40,MONTH(A145)))))</f>
        <v/>
      </c>
    </row>
    <row r="146" customFormat="false" ht="15" hidden="false" customHeight="false" outlineLevel="0" collapsed="false">
      <c r="H146" s="0" t="str">
        <f aca="false">IF(B146="","",IF(COUNTIF(Campaigns!$A$7:$A$300,B146)&gt;0,"✓","⚠ add to Campaigns tab"))</f>
        <v/>
      </c>
      <c r="I146" s="84" t="str">
        <f aca="false">IF(C146="","",C146*IF(Settings!$B$22=Settings!$C$6,1,IF(Settings!$B$22="USD",1/INDEX(Settings!$B$29:$B$40,MONTH(A146)),INDEX(Settings!$B$29:$B$40,MONTH(A146)))))</f>
        <v/>
      </c>
    </row>
    <row r="147" customFormat="false" ht="15" hidden="false" customHeight="false" outlineLevel="0" collapsed="false">
      <c r="H147" s="0" t="str">
        <f aca="false">IF(B147="","",IF(COUNTIF(Campaigns!$A$7:$A$300,B147)&gt;0,"✓","⚠ add to Campaigns tab"))</f>
        <v/>
      </c>
      <c r="I147" s="84" t="str">
        <f aca="false">IF(C147="","",C147*IF(Settings!$B$22=Settings!$C$6,1,IF(Settings!$B$22="USD",1/INDEX(Settings!$B$29:$B$40,MONTH(A147)),INDEX(Settings!$B$29:$B$40,MONTH(A147)))))</f>
        <v/>
      </c>
    </row>
    <row r="148" customFormat="false" ht="15" hidden="false" customHeight="false" outlineLevel="0" collapsed="false">
      <c r="H148" s="0" t="str">
        <f aca="false">IF(B148="","",IF(COUNTIF(Campaigns!$A$7:$A$300,B148)&gt;0,"✓","⚠ add to Campaigns tab"))</f>
        <v/>
      </c>
      <c r="I148" s="84" t="str">
        <f aca="false">IF(C148="","",C148*IF(Settings!$B$22=Settings!$C$6,1,IF(Settings!$B$22="USD",1/INDEX(Settings!$B$29:$B$40,MONTH(A148)),INDEX(Settings!$B$29:$B$40,MONTH(A148)))))</f>
        <v/>
      </c>
    </row>
    <row r="149" customFormat="false" ht="15" hidden="false" customHeight="false" outlineLevel="0" collapsed="false">
      <c r="H149" s="0" t="str">
        <f aca="false">IF(B149="","",IF(COUNTIF(Campaigns!$A$7:$A$300,B149)&gt;0,"✓","⚠ add to Campaigns tab"))</f>
        <v/>
      </c>
      <c r="I149" s="84" t="str">
        <f aca="false">IF(C149="","",C149*IF(Settings!$B$22=Settings!$C$6,1,IF(Settings!$B$22="USD",1/INDEX(Settings!$B$29:$B$40,MONTH(A149)),INDEX(Settings!$B$29:$B$40,MONTH(A149)))))</f>
        <v/>
      </c>
    </row>
    <row r="150" customFormat="false" ht="15" hidden="false" customHeight="false" outlineLevel="0" collapsed="false">
      <c r="H150" s="0" t="str">
        <f aca="false">IF(B150="","",IF(COUNTIF(Campaigns!$A$7:$A$300,B150)&gt;0,"✓","⚠ add to Campaigns tab"))</f>
        <v/>
      </c>
      <c r="I150" s="84" t="str">
        <f aca="false">IF(C150="","",C150*IF(Settings!$B$22=Settings!$C$6,1,IF(Settings!$B$22="USD",1/INDEX(Settings!$B$29:$B$40,MONTH(A150)),INDEX(Settings!$B$29:$B$40,MONTH(A150)))))</f>
        <v/>
      </c>
    </row>
    <row r="151" customFormat="false" ht="15" hidden="false" customHeight="false" outlineLevel="0" collapsed="false">
      <c r="H151" s="0" t="str">
        <f aca="false">IF(B151="","",IF(COUNTIF(Campaigns!$A$7:$A$300,B151)&gt;0,"✓","⚠ add to Campaigns tab"))</f>
        <v/>
      </c>
      <c r="I151" s="84" t="str">
        <f aca="false">IF(C151="","",C151*IF(Settings!$B$22=Settings!$C$6,1,IF(Settings!$B$22="USD",1/INDEX(Settings!$B$29:$B$40,MONTH(A151)),INDEX(Settings!$B$29:$B$40,MONTH(A151)))))</f>
        <v/>
      </c>
    </row>
    <row r="152" customFormat="false" ht="15" hidden="false" customHeight="false" outlineLevel="0" collapsed="false">
      <c r="H152" s="0" t="str">
        <f aca="false">IF(B152="","",IF(COUNTIF(Campaigns!$A$7:$A$300,B152)&gt;0,"✓","⚠ add to Campaigns tab"))</f>
        <v/>
      </c>
      <c r="I152" s="84" t="str">
        <f aca="false">IF(C152="","",C152*IF(Settings!$B$22=Settings!$C$6,1,IF(Settings!$B$22="USD",1/INDEX(Settings!$B$29:$B$40,MONTH(A152)),INDEX(Settings!$B$29:$B$40,MONTH(A152)))))</f>
        <v/>
      </c>
    </row>
    <row r="153" customFormat="false" ht="15" hidden="false" customHeight="false" outlineLevel="0" collapsed="false">
      <c r="H153" s="0" t="str">
        <f aca="false">IF(B153="","",IF(COUNTIF(Campaigns!$A$7:$A$300,B153)&gt;0,"✓","⚠ add to Campaigns tab"))</f>
        <v/>
      </c>
      <c r="I153" s="84" t="str">
        <f aca="false">IF(C153="","",C153*IF(Settings!$B$22=Settings!$C$6,1,IF(Settings!$B$22="USD",1/INDEX(Settings!$B$29:$B$40,MONTH(A153)),INDEX(Settings!$B$29:$B$40,MONTH(A153)))))</f>
        <v/>
      </c>
    </row>
    <row r="154" customFormat="false" ht="15" hidden="false" customHeight="false" outlineLevel="0" collapsed="false">
      <c r="H154" s="0" t="str">
        <f aca="false">IF(B154="","",IF(COUNTIF(Campaigns!$A$7:$A$300,B154)&gt;0,"✓","⚠ add to Campaigns tab"))</f>
        <v/>
      </c>
      <c r="I154" s="84" t="str">
        <f aca="false">IF(C154="","",C154*IF(Settings!$B$22=Settings!$C$6,1,IF(Settings!$B$22="USD",1/INDEX(Settings!$B$29:$B$40,MONTH(A154)),INDEX(Settings!$B$29:$B$40,MONTH(A154)))))</f>
        <v/>
      </c>
    </row>
    <row r="155" customFormat="false" ht="15" hidden="false" customHeight="false" outlineLevel="0" collapsed="false">
      <c r="H155" s="0" t="str">
        <f aca="false">IF(B155="","",IF(COUNTIF(Campaigns!$A$7:$A$300,B155)&gt;0,"✓","⚠ add to Campaigns tab"))</f>
        <v/>
      </c>
      <c r="I155" s="84" t="str">
        <f aca="false">IF(C155="","",C155*IF(Settings!$B$22=Settings!$C$6,1,IF(Settings!$B$22="USD",1/INDEX(Settings!$B$29:$B$40,MONTH(A155)),INDEX(Settings!$B$29:$B$40,MONTH(A155)))))</f>
        <v/>
      </c>
    </row>
    <row r="156" customFormat="false" ht="15" hidden="false" customHeight="false" outlineLevel="0" collapsed="false">
      <c r="H156" s="0" t="str">
        <f aca="false">IF(B156="","",IF(COUNTIF(Campaigns!$A$7:$A$300,B156)&gt;0,"✓","⚠ add to Campaigns tab"))</f>
        <v/>
      </c>
      <c r="I156" s="84" t="str">
        <f aca="false">IF(C156="","",C156*IF(Settings!$B$22=Settings!$C$6,1,IF(Settings!$B$22="USD",1/INDEX(Settings!$B$29:$B$40,MONTH(A156)),INDEX(Settings!$B$29:$B$40,MONTH(A156)))))</f>
        <v/>
      </c>
    </row>
    <row r="157" customFormat="false" ht="15" hidden="false" customHeight="false" outlineLevel="0" collapsed="false">
      <c r="H157" s="0" t="str">
        <f aca="false">IF(B157="","",IF(COUNTIF(Campaigns!$A$7:$A$300,B157)&gt;0,"✓","⚠ add to Campaigns tab"))</f>
        <v/>
      </c>
      <c r="I157" s="84" t="str">
        <f aca="false">IF(C157="","",C157*IF(Settings!$B$22=Settings!$C$6,1,IF(Settings!$B$22="USD",1/INDEX(Settings!$B$29:$B$40,MONTH(A157)),INDEX(Settings!$B$29:$B$40,MONTH(A157)))))</f>
        <v/>
      </c>
    </row>
    <row r="158" customFormat="false" ht="15" hidden="false" customHeight="false" outlineLevel="0" collapsed="false">
      <c r="H158" s="0" t="str">
        <f aca="false">IF(B158="","",IF(COUNTIF(Campaigns!$A$7:$A$300,B158)&gt;0,"✓","⚠ add to Campaigns tab"))</f>
        <v/>
      </c>
      <c r="I158" s="84" t="str">
        <f aca="false">IF(C158="","",C158*IF(Settings!$B$22=Settings!$C$6,1,IF(Settings!$B$22="USD",1/INDEX(Settings!$B$29:$B$40,MONTH(A158)),INDEX(Settings!$B$29:$B$40,MONTH(A158)))))</f>
        <v/>
      </c>
    </row>
    <row r="159" customFormat="false" ht="15" hidden="false" customHeight="false" outlineLevel="0" collapsed="false">
      <c r="H159" s="0" t="str">
        <f aca="false">IF(B159="","",IF(COUNTIF(Campaigns!$A$7:$A$300,B159)&gt;0,"✓","⚠ add to Campaigns tab"))</f>
        <v/>
      </c>
      <c r="I159" s="84" t="str">
        <f aca="false">IF(C159="","",C159*IF(Settings!$B$22=Settings!$C$6,1,IF(Settings!$B$22="USD",1/INDEX(Settings!$B$29:$B$40,MONTH(A159)),INDEX(Settings!$B$29:$B$40,MONTH(A159)))))</f>
        <v/>
      </c>
    </row>
    <row r="160" customFormat="false" ht="15" hidden="false" customHeight="false" outlineLevel="0" collapsed="false">
      <c r="H160" s="0" t="str">
        <f aca="false">IF(B160="","",IF(COUNTIF(Campaigns!$A$7:$A$300,B160)&gt;0,"✓","⚠ add to Campaigns tab"))</f>
        <v/>
      </c>
      <c r="I160" s="84" t="str">
        <f aca="false">IF(C160="","",C160*IF(Settings!$B$22=Settings!$C$6,1,IF(Settings!$B$22="USD",1/INDEX(Settings!$B$29:$B$40,MONTH(A160)),INDEX(Settings!$B$29:$B$40,MONTH(A160)))))</f>
        <v/>
      </c>
    </row>
    <row r="161" customFormat="false" ht="15" hidden="false" customHeight="false" outlineLevel="0" collapsed="false">
      <c r="H161" s="0" t="str">
        <f aca="false">IF(B161="","",IF(COUNTIF(Campaigns!$A$7:$A$300,B161)&gt;0,"✓","⚠ add to Campaigns tab"))</f>
        <v/>
      </c>
      <c r="I161" s="84" t="str">
        <f aca="false">IF(C161="","",C161*IF(Settings!$B$22=Settings!$C$6,1,IF(Settings!$B$22="USD",1/INDEX(Settings!$B$29:$B$40,MONTH(A161)),INDEX(Settings!$B$29:$B$40,MONTH(A161)))))</f>
        <v/>
      </c>
    </row>
    <row r="162" customFormat="false" ht="15" hidden="false" customHeight="false" outlineLevel="0" collapsed="false">
      <c r="H162" s="0" t="str">
        <f aca="false">IF(B162="","",IF(COUNTIF(Campaigns!$A$7:$A$300,B162)&gt;0,"✓","⚠ add to Campaigns tab"))</f>
        <v/>
      </c>
      <c r="I162" s="84" t="str">
        <f aca="false">IF(C162="","",C162*IF(Settings!$B$22=Settings!$C$6,1,IF(Settings!$B$22="USD",1/INDEX(Settings!$B$29:$B$40,MONTH(A162)),INDEX(Settings!$B$29:$B$40,MONTH(A162)))))</f>
        <v/>
      </c>
    </row>
    <row r="163" customFormat="false" ht="15" hidden="false" customHeight="false" outlineLevel="0" collapsed="false">
      <c r="H163" s="0" t="str">
        <f aca="false">IF(B163="","",IF(COUNTIF(Campaigns!$A$7:$A$300,B163)&gt;0,"✓","⚠ add to Campaigns tab"))</f>
        <v/>
      </c>
      <c r="I163" s="84" t="str">
        <f aca="false">IF(C163="","",C163*IF(Settings!$B$22=Settings!$C$6,1,IF(Settings!$B$22="USD",1/INDEX(Settings!$B$29:$B$40,MONTH(A163)),INDEX(Settings!$B$29:$B$40,MONTH(A163)))))</f>
        <v/>
      </c>
    </row>
    <row r="164" customFormat="false" ht="15" hidden="false" customHeight="false" outlineLevel="0" collapsed="false">
      <c r="H164" s="0" t="str">
        <f aca="false">IF(B164="","",IF(COUNTIF(Campaigns!$A$7:$A$300,B164)&gt;0,"✓","⚠ add to Campaigns tab"))</f>
        <v/>
      </c>
      <c r="I164" s="84" t="str">
        <f aca="false">IF(C164="","",C164*IF(Settings!$B$22=Settings!$C$6,1,IF(Settings!$B$22="USD",1/INDEX(Settings!$B$29:$B$40,MONTH(A164)),INDEX(Settings!$B$29:$B$40,MONTH(A164)))))</f>
        <v/>
      </c>
    </row>
    <row r="165" customFormat="false" ht="15" hidden="false" customHeight="false" outlineLevel="0" collapsed="false">
      <c r="H165" s="0" t="str">
        <f aca="false">IF(B165="","",IF(COUNTIF(Campaigns!$A$7:$A$300,B165)&gt;0,"✓","⚠ add to Campaigns tab"))</f>
        <v/>
      </c>
      <c r="I165" s="84" t="str">
        <f aca="false">IF(C165="","",C165*IF(Settings!$B$22=Settings!$C$6,1,IF(Settings!$B$22="USD",1/INDEX(Settings!$B$29:$B$40,MONTH(A165)),INDEX(Settings!$B$29:$B$40,MONTH(A165)))))</f>
        <v/>
      </c>
    </row>
    <row r="166" customFormat="false" ht="15" hidden="false" customHeight="false" outlineLevel="0" collapsed="false">
      <c r="H166" s="0" t="str">
        <f aca="false">IF(B166="","",IF(COUNTIF(Campaigns!$A$7:$A$300,B166)&gt;0,"✓","⚠ add to Campaigns tab"))</f>
        <v/>
      </c>
      <c r="I166" s="84" t="str">
        <f aca="false">IF(C166="","",C166*IF(Settings!$B$22=Settings!$C$6,1,IF(Settings!$B$22="USD",1/INDEX(Settings!$B$29:$B$40,MONTH(A166)),INDEX(Settings!$B$29:$B$40,MONTH(A166)))))</f>
        <v/>
      </c>
    </row>
    <row r="167" customFormat="false" ht="15" hidden="false" customHeight="false" outlineLevel="0" collapsed="false">
      <c r="H167" s="0" t="str">
        <f aca="false">IF(B167="","",IF(COUNTIF(Campaigns!$A$7:$A$300,B167)&gt;0,"✓","⚠ add to Campaigns tab"))</f>
        <v/>
      </c>
      <c r="I167" s="84" t="str">
        <f aca="false">IF(C167="","",C167*IF(Settings!$B$22=Settings!$C$6,1,IF(Settings!$B$22="USD",1/INDEX(Settings!$B$29:$B$40,MONTH(A167)),INDEX(Settings!$B$29:$B$40,MONTH(A167)))))</f>
        <v/>
      </c>
    </row>
    <row r="168" customFormat="false" ht="15" hidden="false" customHeight="false" outlineLevel="0" collapsed="false">
      <c r="H168" s="0" t="str">
        <f aca="false">IF(B168="","",IF(COUNTIF(Campaigns!$A$7:$A$300,B168)&gt;0,"✓","⚠ add to Campaigns tab"))</f>
        <v/>
      </c>
      <c r="I168" s="84" t="str">
        <f aca="false">IF(C168="","",C168*IF(Settings!$B$22=Settings!$C$6,1,IF(Settings!$B$22="USD",1/INDEX(Settings!$B$29:$B$40,MONTH(A168)),INDEX(Settings!$B$29:$B$40,MONTH(A168)))))</f>
        <v/>
      </c>
    </row>
    <row r="169" customFormat="false" ht="15" hidden="false" customHeight="false" outlineLevel="0" collapsed="false">
      <c r="H169" s="0" t="str">
        <f aca="false">IF(B169="","",IF(COUNTIF(Campaigns!$A$7:$A$300,B169)&gt;0,"✓","⚠ add to Campaigns tab"))</f>
        <v/>
      </c>
      <c r="I169" s="84" t="str">
        <f aca="false">IF(C169="","",C169*IF(Settings!$B$22=Settings!$C$6,1,IF(Settings!$B$22="USD",1/INDEX(Settings!$B$29:$B$40,MONTH(A169)),INDEX(Settings!$B$29:$B$40,MONTH(A169)))))</f>
        <v/>
      </c>
    </row>
    <row r="170" customFormat="false" ht="15" hidden="false" customHeight="false" outlineLevel="0" collapsed="false">
      <c r="H170" s="0" t="str">
        <f aca="false">IF(B170="","",IF(COUNTIF(Campaigns!$A$7:$A$300,B170)&gt;0,"✓","⚠ add to Campaigns tab"))</f>
        <v/>
      </c>
      <c r="I170" s="84" t="str">
        <f aca="false">IF(C170="","",C170*IF(Settings!$B$22=Settings!$C$6,1,IF(Settings!$B$22="USD",1/INDEX(Settings!$B$29:$B$40,MONTH(A170)),INDEX(Settings!$B$29:$B$40,MONTH(A170)))))</f>
        <v/>
      </c>
    </row>
    <row r="171" customFormat="false" ht="15" hidden="false" customHeight="false" outlineLevel="0" collapsed="false">
      <c r="H171" s="0" t="str">
        <f aca="false">IF(B171="","",IF(COUNTIF(Campaigns!$A$7:$A$300,B171)&gt;0,"✓","⚠ add to Campaigns tab"))</f>
        <v/>
      </c>
      <c r="I171" s="84" t="str">
        <f aca="false">IF(C171="","",C171*IF(Settings!$B$22=Settings!$C$6,1,IF(Settings!$B$22="USD",1/INDEX(Settings!$B$29:$B$40,MONTH(A171)),INDEX(Settings!$B$29:$B$40,MONTH(A171)))))</f>
        <v/>
      </c>
    </row>
    <row r="172" customFormat="false" ht="15" hidden="false" customHeight="false" outlineLevel="0" collapsed="false">
      <c r="H172" s="0" t="str">
        <f aca="false">IF(B172="","",IF(COUNTIF(Campaigns!$A$7:$A$300,B172)&gt;0,"✓","⚠ add to Campaigns tab"))</f>
        <v/>
      </c>
      <c r="I172" s="84" t="str">
        <f aca="false">IF(C172="","",C172*IF(Settings!$B$22=Settings!$C$6,1,IF(Settings!$B$22="USD",1/INDEX(Settings!$B$29:$B$40,MONTH(A172)),INDEX(Settings!$B$29:$B$40,MONTH(A172)))))</f>
        <v/>
      </c>
    </row>
    <row r="173" customFormat="false" ht="15" hidden="false" customHeight="false" outlineLevel="0" collapsed="false">
      <c r="H173" s="0" t="str">
        <f aca="false">IF(B173="","",IF(COUNTIF(Campaigns!$A$7:$A$300,B173)&gt;0,"✓","⚠ add to Campaigns tab"))</f>
        <v/>
      </c>
      <c r="I173" s="84" t="str">
        <f aca="false">IF(C173="","",C173*IF(Settings!$B$22=Settings!$C$6,1,IF(Settings!$B$22="USD",1/INDEX(Settings!$B$29:$B$40,MONTH(A173)),INDEX(Settings!$B$29:$B$40,MONTH(A173)))))</f>
        <v/>
      </c>
    </row>
    <row r="174" customFormat="false" ht="15" hidden="false" customHeight="false" outlineLevel="0" collapsed="false">
      <c r="H174" s="0" t="str">
        <f aca="false">IF(B174="","",IF(COUNTIF(Campaigns!$A$7:$A$300,B174)&gt;0,"✓","⚠ add to Campaigns tab"))</f>
        <v/>
      </c>
      <c r="I174" s="84" t="str">
        <f aca="false">IF(C174="","",C174*IF(Settings!$B$22=Settings!$C$6,1,IF(Settings!$B$22="USD",1/INDEX(Settings!$B$29:$B$40,MONTH(A174)),INDEX(Settings!$B$29:$B$40,MONTH(A174)))))</f>
        <v/>
      </c>
    </row>
    <row r="175" customFormat="false" ht="15" hidden="false" customHeight="false" outlineLevel="0" collapsed="false">
      <c r="H175" s="0" t="str">
        <f aca="false">IF(B175="","",IF(COUNTIF(Campaigns!$A$7:$A$300,B175)&gt;0,"✓","⚠ add to Campaigns tab"))</f>
        <v/>
      </c>
      <c r="I175" s="84" t="str">
        <f aca="false">IF(C175="","",C175*IF(Settings!$B$22=Settings!$C$6,1,IF(Settings!$B$22="USD",1/INDEX(Settings!$B$29:$B$40,MONTH(A175)),INDEX(Settings!$B$29:$B$40,MONTH(A175)))))</f>
        <v/>
      </c>
    </row>
    <row r="176" customFormat="false" ht="15" hidden="false" customHeight="false" outlineLevel="0" collapsed="false">
      <c r="H176" s="0" t="str">
        <f aca="false">IF(B176="","",IF(COUNTIF(Campaigns!$A$7:$A$300,B176)&gt;0,"✓","⚠ add to Campaigns tab"))</f>
        <v/>
      </c>
      <c r="I176" s="84" t="str">
        <f aca="false">IF(C176="","",C176*IF(Settings!$B$22=Settings!$C$6,1,IF(Settings!$B$22="USD",1/INDEX(Settings!$B$29:$B$40,MONTH(A176)),INDEX(Settings!$B$29:$B$40,MONTH(A176)))))</f>
        <v/>
      </c>
    </row>
    <row r="177" customFormat="false" ht="15" hidden="false" customHeight="false" outlineLevel="0" collapsed="false">
      <c r="H177" s="0" t="str">
        <f aca="false">IF(B177="","",IF(COUNTIF(Campaigns!$A$7:$A$300,B177)&gt;0,"✓","⚠ add to Campaigns tab"))</f>
        <v/>
      </c>
      <c r="I177" s="84" t="str">
        <f aca="false">IF(C177="","",C177*IF(Settings!$B$22=Settings!$C$6,1,IF(Settings!$B$22="USD",1/INDEX(Settings!$B$29:$B$40,MONTH(A177)),INDEX(Settings!$B$29:$B$40,MONTH(A177)))))</f>
        <v/>
      </c>
    </row>
    <row r="178" customFormat="false" ht="15" hidden="false" customHeight="false" outlineLevel="0" collapsed="false">
      <c r="H178" s="0" t="str">
        <f aca="false">IF(B178="","",IF(COUNTIF(Campaigns!$A$7:$A$300,B178)&gt;0,"✓","⚠ add to Campaigns tab"))</f>
        <v/>
      </c>
      <c r="I178" s="84" t="str">
        <f aca="false">IF(C178="","",C178*IF(Settings!$B$22=Settings!$C$6,1,IF(Settings!$B$22="USD",1/INDEX(Settings!$B$29:$B$40,MONTH(A178)),INDEX(Settings!$B$29:$B$40,MONTH(A178)))))</f>
        <v/>
      </c>
    </row>
    <row r="179" customFormat="false" ht="15" hidden="false" customHeight="false" outlineLevel="0" collapsed="false">
      <c r="H179" s="0" t="str">
        <f aca="false">IF(B179="","",IF(COUNTIF(Campaigns!$A$7:$A$300,B179)&gt;0,"✓","⚠ add to Campaigns tab"))</f>
        <v/>
      </c>
      <c r="I179" s="84" t="str">
        <f aca="false">IF(C179="","",C179*IF(Settings!$B$22=Settings!$C$6,1,IF(Settings!$B$22="USD",1/INDEX(Settings!$B$29:$B$40,MONTH(A179)),INDEX(Settings!$B$29:$B$40,MONTH(A179)))))</f>
        <v/>
      </c>
    </row>
    <row r="180" customFormat="false" ht="15" hidden="false" customHeight="false" outlineLevel="0" collapsed="false">
      <c r="H180" s="0" t="str">
        <f aca="false">IF(B180="","",IF(COUNTIF(Campaigns!$A$7:$A$300,B180)&gt;0,"✓","⚠ add to Campaigns tab"))</f>
        <v/>
      </c>
      <c r="I180" s="84" t="str">
        <f aca="false">IF(C180="","",C180*IF(Settings!$B$22=Settings!$C$6,1,IF(Settings!$B$22="USD",1/INDEX(Settings!$B$29:$B$40,MONTH(A180)),INDEX(Settings!$B$29:$B$40,MONTH(A180)))))</f>
        <v/>
      </c>
    </row>
    <row r="181" customFormat="false" ht="15" hidden="false" customHeight="false" outlineLevel="0" collapsed="false">
      <c r="H181" s="0" t="str">
        <f aca="false">IF(B181="","",IF(COUNTIF(Campaigns!$A$7:$A$300,B181)&gt;0,"✓","⚠ add to Campaigns tab"))</f>
        <v/>
      </c>
      <c r="I181" s="84" t="str">
        <f aca="false">IF(C181="","",C181*IF(Settings!$B$22=Settings!$C$6,1,IF(Settings!$B$22="USD",1/INDEX(Settings!$B$29:$B$40,MONTH(A181)),INDEX(Settings!$B$29:$B$40,MONTH(A181)))))</f>
        <v/>
      </c>
    </row>
    <row r="182" customFormat="false" ht="15" hidden="false" customHeight="false" outlineLevel="0" collapsed="false">
      <c r="H182" s="0" t="str">
        <f aca="false">IF(B182="","",IF(COUNTIF(Campaigns!$A$7:$A$300,B182)&gt;0,"✓","⚠ add to Campaigns tab"))</f>
        <v/>
      </c>
      <c r="I182" s="84" t="str">
        <f aca="false">IF(C182="","",C182*IF(Settings!$B$22=Settings!$C$6,1,IF(Settings!$B$22="USD",1/INDEX(Settings!$B$29:$B$40,MONTH(A182)),INDEX(Settings!$B$29:$B$40,MONTH(A182)))))</f>
        <v/>
      </c>
    </row>
    <row r="183" customFormat="false" ht="15" hidden="false" customHeight="false" outlineLevel="0" collapsed="false">
      <c r="H183" s="0" t="str">
        <f aca="false">IF(B183="","",IF(COUNTIF(Campaigns!$A$7:$A$300,B183)&gt;0,"✓","⚠ add to Campaigns tab"))</f>
        <v/>
      </c>
      <c r="I183" s="84" t="str">
        <f aca="false">IF(C183="","",C183*IF(Settings!$B$22=Settings!$C$6,1,IF(Settings!$B$22="USD",1/INDEX(Settings!$B$29:$B$40,MONTH(A183)),INDEX(Settings!$B$29:$B$40,MONTH(A183)))))</f>
        <v/>
      </c>
    </row>
    <row r="184" customFormat="false" ht="15" hidden="false" customHeight="false" outlineLevel="0" collapsed="false">
      <c r="H184" s="0" t="str">
        <f aca="false">IF(B184="","",IF(COUNTIF(Campaigns!$A$7:$A$300,B184)&gt;0,"✓","⚠ add to Campaigns tab"))</f>
        <v/>
      </c>
      <c r="I184" s="84" t="str">
        <f aca="false">IF(C184="","",C184*IF(Settings!$B$22=Settings!$C$6,1,IF(Settings!$B$22="USD",1/INDEX(Settings!$B$29:$B$40,MONTH(A184)),INDEX(Settings!$B$29:$B$40,MONTH(A184)))))</f>
        <v/>
      </c>
    </row>
    <row r="185" customFormat="false" ht="15" hidden="false" customHeight="false" outlineLevel="0" collapsed="false">
      <c r="H185" s="0" t="str">
        <f aca="false">IF(B185="","",IF(COUNTIF(Campaigns!$A$7:$A$300,B185)&gt;0,"✓","⚠ add to Campaigns tab"))</f>
        <v/>
      </c>
      <c r="I185" s="84" t="str">
        <f aca="false">IF(C185="","",C185*IF(Settings!$B$22=Settings!$C$6,1,IF(Settings!$B$22="USD",1/INDEX(Settings!$B$29:$B$40,MONTH(A185)),INDEX(Settings!$B$29:$B$40,MONTH(A185)))))</f>
        <v/>
      </c>
    </row>
    <row r="186" customFormat="false" ht="15" hidden="false" customHeight="false" outlineLevel="0" collapsed="false">
      <c r="H186" s="0" t="str">
        <f aca="false">IF(B186="","",IF(COUNTIF(Campaigns!$A$7:$A$300,B186)&gt;0,"✓","⚠ add to Campaigns tab"))</f>
        <v/>
      </c>
      <c r="I186" s="84" t="str">
        <f aca="false">IF(C186="","",C186*IF(Settings!$B$22=Settings!$C$6,1,IF(Settings!$B$22="USD",1/INDEX(Settings!$B$29:$B$40,MONTH(A186)),INDEX(Settings!$B$29:$B$40,MONTH(A186)))))</f>
        <v/>
      </c>
    </row>
    <row r="187" customFormat="false" ht="15" hidden="false" customHeight="false" outlineLevel="0" collapsed="false">
      <c r="H187" s="0" t="str">
        <f aca="false">IF(B187="","",IF(COUNTIF(Campaigns!$A$7:$A$300,B187)&gt;0,"✓","⚠ add to Campaigns tab"))</f>
        <v/>
      </c>
      <c r="I187" s="84" t="str">
        <f aca="false">IF(C187="","",C187*IF(Settings!$B$22=Settings!$C$6,1,IF(Settings!$B$22="USD",1/INDEX(Settings!$B$29:$B$40,MONTH(A187)),INDEX(Settings!$B$29:$B$40,MONTH(A187)))))</f>
        <v/>
      </c>
    </row>
    <row r="188" customFormat="false" ht="15" hidden="false" customHeight="false" outlineLevel="0" collapsed="false">
      <c r="H188" s="0" t="str">
        <f aca="false">IF(B188="","",IF(COUNTIF(Campaigns!$A$7:$A$300,B188)&gt;0,"✓","⚠ add to Campaigns tab"))</f>
        <v/>
      </c>
      <c r="I188" s="84" t="str">
        <f aca="false">IF(C188="","",C188*IF(Settings!$B$22=Settings!$C$6,1,IF(Settings!$B$22="USD",1/INDEX(Settings!$B$29:$B$40,MONTH(A188)),INDEX(Settings!$B$29:$B$40,MONTH(A188)))))</f>
        <v/>
      </c>
    </row>
    <row r="189" customFormat="false" ht="15" hidden="false" customHeight="false" outlineLevel="0" collapsed="false">
      <c r="H189" s="0" t="str">
        <f aca="false">IF(B189="","",IF(COUNTIF(Campaigns!$A$7:$A$300,B189)&gt;0,"✓","⚠ add to Campaigns tab"))</f>
        <v/>
      </c>
      <c r="I189" s="84" t="str">
        <f aca="false">IF(C189="","",C189*IF(Settings!$B$22=Settings!$C$6,1,IF(Settings!$B$22="USD",1/INDEX(Settings!$B$29:$B$40,MONTH(A189)),INDEX(Settings!$B$29:$B$40,MONTH(A189)))))</f>
        <v/>
      </c>
    </row>
    <row r="190" customFormat="false" ht="15" hidden="false" customHeight="false" outlineLevel="0" collapsed="false">
      <c r="H190" s="0" t="str">
        <f aca="false">IF(B190="","",IF(COUNTIF(Campaigns!$A$7:$A$300,B190)&gt;0,"✓","⚠ add to Campaigns tab"))</f>
        <v/>
      </c>
      <c r="I190" s="84" t="str">
        <f aca="false">IF(C190="","",C190*IF(Settings!$B$22=Settings!$C$6,1,IF(Settings!$B$22="USD",1/INDEX(Settings!$B$29:$B$40,MONTH(A190)),INDEX(Settings!$B$29:$B$40,MONTH(A190)))))</f>
        <v/>
      </c>
    </row>
    <row r="191" customFormat="false" ht="15" hidden="false" customHeight="false" outlineLevel="0" collapsed="false">
      <c r="H191" s="0" t="str">
        <f aca="false">IF(B191="","",IF(COUNTIF(Campaigns!$A$7:$A$300,B191)&gt;0,"✓","⚠ add to Campaigns tab"))</f>
        <v/>
      </c>
      <c r="I191" s="84" t="str">
        <f aca="false">IF(C191="","",C191*IF(Settings!$B$22=Settings!$C$6,1,IF(Settings!$B$22="USD",1/INDEX(Settings!$B$29:$B$40,MONTH(A191)),INDEX(Settings!$B$29:$B$40,MONTH(A191)))))</f>
        <v/>
      </c>
    </row>
    <row r="192" customFormat="false" ht="15" hidden="false" customHeight="false" outlineLevel="0" collapsed="false">
      <c r="H192" s="0" t="str">
        <f aca="false">IF(B192="","",IF(COUNTIF(Campaigns!$A$7:$A$300,B192)&gt;0,"✓","⚠ add to Campaigns tab"))</f>
        <v/>
      </c>
      <c r="I192" s="84" t="str">
        <f aca="false">IF(C192="","",C192*IF(Settings!$B$22=Settings!$C$6,1,IF(Settings!$B$22="USD",1/INDEX(Settings!$B$29:$B$40,MONTH(A192)),INDEX(Settings!$B$29:$B$40,MONTH(A192)))))</f>
        <v/>
      </c>
    </row>
    <row r="193" customFormat="false" ht="15" hidden="false" customHeight="false" outlineLevel="0" collapsed="false">
      <c r="H193" s="0" t="str">
        <f aca="false">IF(B193="","",IF(COUNTIF(Campaigns!$A$7:$A$300,B193)&gt;0,"✓","⚠ add to Campaigns tab"))</f>
        <v/>
      </c>
      <c r="I193" s="84" t="str">
        <f aca="false">IF(C193="","",C193*IF(Settings!$B$22=Settings!$C$6,1,IF(Settings!$B$22="USD",1/INDEX(Settings!$B$29:$B$40,MONTH(A193)),INDEX(Settings!$B$29:$B$40,MONTH(A193)))))</f>
        <v/>
      </c>
    </row>
    <row r="194" customFormat="false" ht="15" hidden="false" customHeight="false" outlineLevel="0" collapsed="false">
      <c r="H194" s="0" t="str">
        <f aca="false">IF(B194="","",IF(COUNTIF(Campaigns!$A$7:$A$300,B194)&gt;0,"✓","⚠ add to Campaigns tab"))</f>
        <v/>
      </c>
      <c r="I194" s="84" t="str">
        <f aca="false">IF(C194="","",C194*IF(Settings!$B$22=Settings!$C$6,1,IF(Settings!$B$22="USD",1/INDEX(Settings!$B$29:$B$40,MONTH(A194)),INDEX(Settings!$B$29:$B$40,MONTH(A194)))))</f>
        <v/>
      </c>
    </row>
    <row r="195" customFormat="false" ht="15" hidden="false" customHeight="false" outlineLevel="0" collapsed="false">
      <c r="H195" s="0" t="str">
        <f aca="false">IF(B195="","",IF(COUNTIF(Campaigns!$A$7:$A$300,B195)&gt;0,"✓","⚠ add to Campaigns tab"))</f>
        <v/>
      </c>
      <c r="I195" s="84" t="str">
        <f aca="false">IF(C195="","",C195*IF(Settings!$B$22=Settings!$C$6,1,IF(Settings!$B$22="USD",1/INDEX(Settings!$B$29:$B$40,MONTH(A195)),INDEX(Settings!$B$29:$B$40,MONTH(A195)))))</f>
        <v/>
      </c>
    </row>
    <row r="196" customFormat="false" ht="15" hidden="false" customHeight="false" outlineLevel="0" collapsed="false">
      <c r="H196" s="0" t="str">
        <f aca="false">IF(B196="","",IF(COUNTIF(Campaigns!$A$7:$A$300,B196)&gt;0,"✓","⚠ add to Campaigns tab"))</f>
        <v/>
      </c>
      <c r="I196" s="84" t="str">
        <f aca="false">IF(C196="","",C196*IF(Settings!$B$22=Settings!$C$6,1,IF(Settings!$B$22="USD",1/INDEX(Settings!$B$29:$B$40,MONTH(A196)),INDEX(Settings!$B$29:$B$40,MONTH(A196)))))</f>
        <v/>
      </c>
    </row>
    <row r="197" customFormat="false" ht="15" hidden="false" customHeight="false" outlineLevel="0" collapsed="false">
      <c r="H197" s="0" t="str">
        <f aca="false">IF(B197="","",IF(COUNTIF(Campaigns!$A$7:$A$300,B197)&gt;0,"✓","⚠ add to Campaigns tab"))</f>
        <v/>
      </c>
      <c r="I197" s="84" t="str">
        <f aca="false">IF(C197="","",C197*IF(Settings!$B$22=Settings!$C$6,1,IF(Settings!$B$22="USD",1/INDEX(Settings!$B$29:$B$40,MONTH(A197)),INDEX(Settings!$B$29:$B$40,MONTH(A197)))))</f>
        <v/>
      </c>
    </row>
    <row r="198" customFormat="false" ht="15" hidden="false" customHeight="false" outlineLevel="0" collapsed="false">
      <c r="H198" s="0" t="str">
        <f aca="false">IF(B198="","",IF(COUNTIF(Campaigns!$A$7:$A$300,B198)&gt;0,"✓","⚠ add to Campaigns tab"))</f>
        <v/>
      </c>
      <c r="I198" s="84" t="str">
        <f aca="false">IF(C198="","",C198*IF(Settings!$B$22=Settings!$C$6,1,IF(Settings!$B$22="USD",1/INDEX(Settings!$B$29:$B$40,MONTH(A198)),INDEX(Settings!$B$29:$B$40,MONTH(A198)))))</f>
        <v/>
      </c>
    </row>
    <row r="199" customFormat="false" ht="15" hidden="false" customHeight="false" outlineLevel="0" collapsed="false">
      <c r="H199" s="0" t="str">
        <f aca="false">IF(B199="","",IF(COUNTIF(Campaigns!$A$7:$A$300,B199)&gt;0,"✓","⚠ add to Campaigns tab"))</f>
        <v/>
      </c>
      <c r="I199" s="84" t="str">
        <f aca="false">IF(C199="","",C199*IF(Settings!$B$22=Settings!$C$6,1,IF(Settings!$B$22="USD",1/INDEX(Settings!$B$29:$B$40,MONTH(A199)),INDEX(Settings!$B$29:$B$40,MONTH(A199)))))</f>
        <v/>
      </c>
    </row>
    <row r="200" customFormat="false" ht="15" hidden="false" customHeight="false" outlineLevel="0" collapsed="false">
      <c r="H200" s="0" t="str">
        <f aca="false">IF(B200="","",IF(COUNTIF(Campaigns!$A$7:$A$300,B200)&gt;0,"✓","⚠ add to Campaigns tab"))</f>
        <v/>
      </c>
      <c r="I200" s="84" t="str">
        <f aca="false">IF(C200="","",C200*IF(Settings!$B$22=Settings!$C$6,1,IF(Settings!$B$22="USD",1/INDEX(Settings!$B$29:$B$40,MONTH(A200)),INDEX(Settings!$B$29:$B$40,MONTH(A200)))))</f>
        <v/>
      </c>
    </row>
    <row r="201" customFormat="false" ht="15" hidden="false" customHeight="false" outlineLevel="0" collapsed="false">
      <c r="H201" s="0" t="str">
        <f aca="false">IF(B201="","",IF(COUNTIF(Campaigns!$A$7:$A$300,B201)&gt;0,"✓","⚠ add to Campaigns tab"))</f>
        <v/>
      </c>
      <c r="I201" s="84" t="str">
        <f aca="false">IF(C201="","",C201*IF(Settings!$B$22=Settings!$C$6,1,IF(Settings!$B$22="USD",1/INDEX(Settings!$B$29:$B$40,MONTH(A201)),INDEX(Settings!$B$29:$B$40,MONTH(A201)))))</f>
        <v/>
      </c>
    </row>
    <row r="202" customFormat="false" ht="15" hidden="false" customHeight="false" outlineLevel="0" collapsed="false">
      <c r="H202" s="0" t="str">
        <f aca="false">IF(B202="","",IF(COUNTIF(Campaigns!$A$7:$A$300,B202)&gt;0,"✓","⚠ add to Campaigns tab"))</f>
        <v/>
      </c>
      <c r="I202" s="84" t="str">
        <f aca="false">IF(C202="","",C202*IF(Settings!$B$22=Settings!$C$6,1,IF(Settings!$B$22="USD",1/INDEX(Settings!$B$29:$B$40,MONTH(A202)),INDEX(Settings!$B$29:$B$40,MONTH(A202)))))</f>
        <v/>
      </c>
    </row>
    <row r="203" customFormat="false" ht="15" hidden="false" customHeight="false" outlineLevel="0" collapsed="false">
      <c r="H203" s="0" t="str">
        <f aca="false">IF(B203="","",IF(COUNTIF(Campaigns!$A$7:$A$300,B203)&gt;0,"✓","⚠ add to Campaigns tab"))</f>
        <v/>
      </c>
      <c r="I203" s="84" t="str">
        <f aca="false">IF(C203="","",C203*IF(Settings!$B$22=Settings!$C$6,1,IF(Settings!$B$22="USD",1/INDEX(Settings!$B$29:$B$40,MONTH(A203)),INDEX(Settings!$B$29:$B$40,MONTH(A203)))))</f>
        <v/>
      </c>
    </row>
    <row r="204" customFormat="false" ht="15" hidden="false" customHeight="false" outlineLevel="0" collapsed="false">
      <c r="H204" s="0" t="str">
        <f aca="false">IF(B204="","",IF(COUNTIF(Campaigns!$A$7:$A$300,B204)&gt;0,"✓","⚠ add to Campaigns tab"))</f>
        <v/>
      </c>
      <c r="I204" s="84" t="str">
        <f aca="false">IF(C204="","",C204*IF(Settings!$B$22=Settings!$C$6,1,IF(Settings!$B$22="USD",1/INDEX(Settings!$B$29:$B$40,MONTH(A204)),INDEX(Settings!$B$29:$B$40,MONTH(A204)))))</f>
        <v/>
      </c>
    </row>
    <row r="205" customFormat="false" ht="15" hidden="false" customHeight="false" outlineLevel="0" collapsed="false">
      <c r="H205" s="0" t="str">
        <f aca="false">IF(B205="","",IF(COUNTIF(Campaigns!$A$7:$A$300,B205)&gt;0,"✓","⚠ add to Campaigns tab"))</f>
        <v/>
      </c>
      <c r="I205" s="84" t="str">
        <f aca="false">IF(C205="","",C205*IF(Settings!$B$22=Settings!$C$6,1,IF(Settings!$B$22="USD",1/INDEX(Settings!$B$29:$B$40,MONTH(A205)),INDEX(Settings!$B$29:$B$40,MONTH(A205)))))</f>
        <v/>
      </c>
    </row>
    <row r="206" customFormat="false" ht="15" hidden="false" customHeight="false" outlineLevel="0" collapsed="false">
      <c r="H206" s="0" t="str">
        <f aca="false">IF(B206="","",IF(COUNTIF(Campaigns!$A$7:$A$300,B206)&gt;0,"✓","⚠ add to Campaigns tab"))</f>
        <v/>
      </c>
      <c r="I206" s="84" t="str">
        <f aca="false">IF(C206="","",C206*IF(Settings!$B$22=Settings!$C$6,1,IF(Settings!$B$22="USD",1/INDEX(Settings!$B$29:$B$40,MONTH(A206)),INDEX(Settings!$B$29:$B$40,MONTH(A206)))))</f>
        <v/>
      </c>
    </row>
    <row r="207" customFormat="false" ht="15" hidden="false" customHeight="false" outlineLevel="0" collapsed="false">
      <c r="H207" s="0" t="str">
        <f aca="false">IF(B207="","",IF(COUNTIF(Campaigns!$A$7:$A$300,B207)&gt;0,"✓","⚠ add to Campaigns tab"))</f>
        <v/>
      </c>
      <c r="I207" s="84" t="str">
        <f aca="false">IF(C207="","",C207*IF(Settings!$B$22=Settings!$C$6,1,IF(Settings!$B$22="USD",1/INDEX(Settings!$B$29:$B$40,MONTH(A207)),INDEX(Settings!$B$29:$B$40,MONTH(A207)))))</f>
        <v/>
      </c>
    </row>
    <row r="208" customFormat="false" ht="15" hidden="false" customHeight="false" outlineLevel="0" collapsed="false">
      <c r="H208" s="0" t="str">
        <f aca="false">IF(B208="","",IF(COUNTIF(Campaigns!$A$7:$A$300,B208)&gt;0,"✓","⚠ add to Campaigns tab"))</f>
        <v/>
      </c>
      <c r="I208" s="84" t="str">
        <f aca="false">IF(C208="","",C208*IF(Settings!$B$22=Settings!$C$6,1,IF(Settings!$B$22="USD",1/INDEX(Settings!$B$29:$B$40,MONTH(A208)),INDEX(Settings!$B$29:$B$40,MONTH(A208)))))</f>
        <v/>
      </c>
    </row>
    <row r="209" customFormat="false" ht="15" hidden="false" customHeight="false" outlineLevel="0" collapsed="false">
      <c r="H209" s="0" t="str">
        <f aca="false">IF(B209="","",IF(COUNTIF(Campaigns!$A$7:$A$300,B209)&gt;0,"✓","⚠ add to Campaigns tab"))</f>
        <v/>
      </c>
      <c r="I209" s="84" t="str">
        <f aca="false">IF(C209="","",C209*IF(Settings!$B$22=Settings!$C$6,1,IF(Settings!$B$22="USD",1/INDEX(Settings!$B$29:$B$40,MONTH(A209)),INDEX(Settings!$B$29:$B$40,MONTH(A209)))))</f>
        <v/>
      </c>
    </row>
    <row r="210" customFormat="false" ht="15" hidden="false" customHeight="false" outlineLevel="0" collapsed="false">
      <c r="H210" s="0" t="str">
        <f aca="false">IF(B210="","",IF(COUNTIF(Campaigns!$A$7:$A$300,B210)&gt;0,"✓","⚠ add to Campaigns tab"))</f>
        <v/>
      </c>
      <c r="I210" s="84" t="str">
        <f aca="false">IF(C210="","",C210*IF(Settings!$B$22=Settings!$C$6,1,IF(Settings!$B$22="USD",1/INDEX(Settings!$B$29:$B$40,MONTH(A210)),INDEX(Settings!$B$29:$B$40,MONTH(A210)))))</f>
        <v/>
      </c>
    </row>
    <row r="211" customFormat="false" ht="15" hidden="false" customHeight="false" outlineLevel="0" collapsed="false">
      <c r="H211" s="0" t="str">
        <f aca="false">IF(B211="","",IF(COUNTIF(Campaigns!$A$7:$A$300,B211)&gt;0,"✓","⚠ add to Campaigns tab"))</f>
        <v/>
      </c>
      <c r="I211" s="84" t="str">
        <f aca="false">IF(C211="","",C211*IF(Settings!$B$22=Settings!$C$6,1,IF(Settings!$B$22="USD",1/INDEX(Settings!$B$29:$B$40,MONTH(A211)),INDEX(Settings!$B$29:$B$40,MONTH(A211)))))</f>
        <v/>
      </c>
    </row>
    <row r="212" customFormat="false" ht="15" hidden="false" customHeight="false" outlineLevel="0" collapsed="false">
      <c r="H212" s="0" t="str">
        <f aca="false">IF(B212="","",IF(COUNTIF(Campaigns!$A$7:$A$300,B212)&gt;0,"✓","⚠ add to Campaigns tab"))</f>
        <v/>
      </c>
      <c r="I212" s="84" t="str">
        <f aca="false">IF(C212="","",C212*IF(Settings!$B$22=Settings!$C$6,1,IF(Settings!$B$22="USD",1/INDEX(Settings!$B$29:$B$40,MONTH(A212)),INDEX(Settings!$B$29:$B$40,MONTH(A212)))))</f>
        <v/>
      </c>
    </row>
    <row r="213" customFormat="false" ht="15" hidden="false" customHeight="false" outlineLevel="0" collapsed="false">
      <c r="H213" s="0" t="str">
        <f aca="false">IF(B213="","",IF(COUNTIF(Campaigns!$A$7:$A$300,B213)&gt;0,"✓","⚠ add to Campaigns tab"))</f>
        <v/>
      </c>
      <c r="I213" s="84" t="str">
        <f aca="false">IF(C213="","",C213*IF(Settings!$B$22=Settings!$C$6,1,IF(Settings!$B$22="USD",1/INDEX(Settings!$B$29:$B$40,MONTH(A213)),INDEX(Settings!$B$29:$B$40,MONTH(A213)))))</f>
        <v/>
      </c>
    </row>
    <row r="214" customFormat="false" ht="15" hidden="false" customHeight="false" outlineLevel="0" collapsed="false">
      <c r="H214" s="0" t="str">
        <f aca="false">IF(B214="","",IF(COUNTIF(Campaigns!$A$7:$A$300,B214)&gt;0,"✓","⚠ add to Campaigns tab"))</f>
        <v/>
      </c>
      <c r="I214" s="84" t="str">
        <f aca="false">IF(C214="","",C214*IF(Settings!$B$22=Settings!$C$6,1,IF(Settings!$B$22="USD",1/INDEX(Settings!$B$29:$B$40,MONTH(A214)),INDEX(Settings!$B$29:$B$40,MONTH(A214)))))</f>
        <v/>
      </c>
    </row>
    <row r="215" customFormat="false" ht="15" hidden="false" customHeight="false" outlineLevel="0" collapsed="false">
      <c r="H215" s="0" t="str">
        <f aca="false">IF(B215="","",IF(COUNTIF(Campaigns!$A$7:$A$300,B215)&gt;0,"✓","⚠ add to Campaigns tab"))</f>
        <v/>
      </c>
      <c r="I215" s="84" t="str">
        <f aca="false">IF(C215="","",C215*IF(Settings!$B$22=Settings!$C$6,1,IF(Settings!$B$22="USD",1/INDEX(Settings!$B$29:$B$40,MONTH(A215)),INDEX(Settings!$B$29:$B$40,MONTH(A215)))))</f>
        <v/>
      </c>
    </row>
    <row r="216" customFormat="false" ht="15" hidden="false" customHeight="false" outlineLevel="0" collapsed="false">
      <c r="H216" s="0" t="str">
        <f aca="false">IF(B216="","",IF(COUNTIF(Campaigns!$A$7:$A$300,B216)&gt;0,"✓","⚠ add to Campaigns tab"))</f>
        <v/>
      </c>
      <c r="I216" s="84" t="str">
        <f aca="false">IF(C216="","",C216*IF(Settings!$B$22=Settings!$C$6,1,IF(Settings!$B$22="USD",1/INDEX(Settings!$B$29:$B$40,MONTH(A216)),INDEX(Settings!$B$29:$B$40,MONTH(A216)))))</f>
        <v/>
      </c>
    </row>
    <row r="217" customFormat="false" ht="15" hidden="false" customHeight="false" outlineLevel="0" collapsed="false">
      <c r="H217" s="0" t="str">
        <f aca="false">IF(B217="","",IF(COUNTIF(Campaigns!$A$7:$A$300,B217)&gt;0,"✓","⚠ add to Campaigns tab"))</f>
        <v/>
      </c>
      <c r="I217" s="84" t="str">
        <f aca="false">IF(C217="","",C217*IF(Settings!$B$22=Settings!$C$6,1,IF(Settings!$B$22="USD",1/INDEX(Settings!$B$29:$B$40,MONTH(A217)),INDEX(Settings!$B$29:$B$40,MONTH(A217)))))</f>
        <v/>
      </c>
    </row>
    <row r="218" customFormat="false" ht="15" hidden="false" customHeight="false" outlineLevel="0" collapsed="false">
      <c r="H218" s="0" t="str">
        <f aca="false">IF(B218="","",IF(COUNTIF(Campaigns!$A$7:$A$300,B218)&gt;0,"✓","⚠ add to Campaigns tab"))</f>
        <v/>
      </c>
      <c r="I218" s="84" t="str">
        <f aca="false">IF(C218="","",C218*IF(Settings!$B$22=Settings!$C$6,1,IF(Settings!$B$22="USD",1/INDEX(Settings!$B$29:$B$40,MONTH(A218)),INDEX(Settings!$B$29:$B$40,MONTH(A218)))))</f>
        <v/>
      </c>
    </row>
    <row r="219" customFormat="false" ht="15" hidden="false" customHeight="false" outlineLevel="0" collapsed="false">
      <c r="H219" s="0" t="str">
        <f aca="false">IF(B219="","",IF(COUNTIF(Campaigns!$A$7:$A$300,B219)&gt;0,"✓","⚠ add to Campaigns tab"))</f>
        <v/>
      </c>
      <c r="I219" s="84" t="str">
        <f aca="false">IF(C219="","",C219*IF(Settings!$B$22=Settings!$C$6,1,IF(Settings!$B$22="USD",1/INDEX(Settings!$B$29:$B$40,MONTH(A219)),INDEX(Settings!$B$29:$B$40,MONTH(A219)))))</f>
        <v/>
      </c>
    </row>
    <row r="220" customFormat="false" ht="15" hidden="false" customHeight="false" outlineLevel="0" collapsed="false">
      <c r="H220" s="0" t="str">
        <f aca="false">IF(B220="","",IF(COUNTIF(Campaigns!$A$7:$A$300,B220)&gt;0,"✓","⚠ add to Campaigns tab"))</f>
        <v/>
      </c>
      <c r="I220" s="84" t="str">
        <f aca="false">IF(C220="","",C220*IF(Settings!$B$22=Settings!$C$6,1,IF(Settings!$B$22="USD",1/INDEX(Settings!$B$29:$B$40,MONTH(A220)),INDEX(Settings!$B$29:$B$40,MONTH(A220)))))</f>
        <v/>
      </c>
    </row>
    <row r="221" customFormat="false" ht="15" hidden="false" customHeight="false" outlineLevel="0" collapsed="false">
      <c r="H221" s="0" t="str">
        <f aca="false">IF(B221="","",IF(COUNTIF(Campaigns!$A$7:$A$300,B221)&gt;0,"✓","⚠ add to Campaigns tab"))</f>
        <v/>
      </c>
      <c r="I221" s="84" t="str">
        <f aca="false">IF(C221="","",C221*IF(Settings!$B$22=Settings!$C$6,1,IF(Settings!$B$22="USD",1/INDEX(Settings!$B$29:$B$40,MONTH(A221)),INDEX(Settings!$B$29:$B$40,MONTH(A221)))))</f>
        <v/>
      </c>
    </row>
    <row r="222" customFormat="false" ht="15" hidden="false" customHeight="false" outlineLevel="0" collapsed="false">
      <c r="H222" s="0" t="str">
        <f aca="false">IF(B222="","",IF(COUNTIF(Campaigns!$A$7:$A$300,B222)&gt;0,"✓","⚠ add to Campaigns tab"))</f>
        <v/>
      </c>
      <c r="I222" s="84" t="str">
        <f aca="false">IF(C222="","",C222*IF(Settings!$B$22=Settings!$C$6,1,IF(Settings!$B$22="USD",1/INDEX(Settings!$B$29:$B$40,MONTH(A222)),INDEX(Settings!$B$29:$B$40,MONTH(A222)))))</f>
        <v/>
      </c>
    </row>
    <row r="223" customFormat="false" ht="15" hidden="false" customHeight="false" outlineLevel="0" collapsed="false">
      <c r="H223" s="0" t="str">
        <f aca="false">IF(B223="","",IF(COUNTIF(Campaigns!$A$7:$A$300,B223)&gt;0,"✓","⚠ add to Campaigns tab"))</f>
        <v/>
      </c>
      <c r="I223" s="84" t="str">
        <f aca="false">IF(C223="","",C223*IF(Settings!$B$22=Settings!$C$6,1,IF(Settings!$B$22="USD",1/INDEX(Settings!$B$29:$B$40,MONTH(A223)),INDEX(Settings!$B$29:$B$40,MONTH(A223)))))</f>
        <v/>
      </c>
    </row>
    <row r="224" customFormat="false" ht="15" hidden="false" customHeight="false" outlineLevel="0" collapsed="false">
      <c r="H224" s="0" t="str">
        <f aca="false">IF(B224="","",IF(COUNTIF(Campaigns!$A$7:$A$300,B224)&gt;0,"✓","⚠ add to Campaigns tab"))</f>
        <v/>
      </c>
      <c r="I224" s="84" t="str">
        <f aca="false">IF(C224="","",C224*IF(Settings!$B$22=Settings!$C$6,1,IF(Settings!$B$22="USD",1/INDEX(Settings!$B$29:$B$40,MONTH(A224)),INDEX(Settings!$B$29:$B$40,MONTH(A224)))))</f>
        <v/>
      </c>
    </row>
    <row r="225" customFormat="false" ht="15" hidden="false" customHeight="false" outlineLevel="0" collapsed="false">
      <c r="H225" s="0" t="str">
        <f aca="false">IF(B225="","",IF(COUNTIF(Campaigns!$A$7:$A$300,B225)&gt;0,"✓","⚠ add to Campaigns tab"))</f>
        <v/>
      </c>
      <c r="I225" s="84" t="str">
        <f aca="false">IF(C225="","",C225*IF(Settings!$B$22=Settings!$C$6,1,IF(Settings!$B$22="USD",1/INDEX(Settings!$B$29:$B$40,MONTH(A225)),INDEX(Settings!$B$29:$B$40,MONTH(A225)))))</f>
        <v/>
      </c>
    </row>
    <row r="226" customFormat="false" ht="15" hidden="false" customHeight="false" outlineLevel="0" collapsed="false">
      <c r="H226" s="0" t="str">
        <f aca="false">IF(B226="","",IF(COUNTIF(Campaigns!$A$7:$A$300,B226)&gt;0,"✓","⚠ add to Campaigns tab"))</f>
        <v/>
      </c>
      <c r="I226" s="84" t="str">
        <f aca="false">IF(C226="","",C226*IF(Settings!$B$22=Settings!$C$6,1,IF(Settings!$B$22="USD",1/INDEX(Settings!$B$29:$B$40,MONTH(A226)),INDEX(Settings!$B$29:$B$40,MONTH(A226)))))</f>
        <v/>
      </c>
    </row>
    <row r="227" customFormat="false" ht="15" hidden="false" customHeight="false" outlineLevel="0" collapsed="false">
      <c r="H227" s="0" t="str">
        <f aca="false">IF(B227="","",IF(COUNTIF(Campaigns!$A$7:$A$300,B227)&gt;0,"✓","⚠ add to Campaigns tab"))</f>
        <v/>
      </c>
      <c r="I227" s="84" t="str">
        <f aca="false">IF(C227="","",C227*IF(Settings!$B$22=Settings!$C$6,1,IF(Settings!$B$22="USD",1/INDEX(Settings!$B$29:$B$40,MONTH(A227)),INDEX(Settings!$B$29:$B$40,MONTH(A227)))))</f>
        <v/>
      </c>
    </row>
    <row r="228" customFormat="false" ht="15" hidden="false" customHeight="false" outlineLevel="0" collapsed="false">
      <c r="H228" s="0" t="str">
        <f aca="false">IF(B228="","",IF(COUNTIF(Campaigns!$A$7:$A$300,B228)&gt;0,"✓","⚠ add to Campaigns tab"))</f>
        <v/>
      </c>
      <c r="I228" s="84" t="str">
        <f aca="false">IF(C228="","",C228*IF(Settings!$B$22=Settings!$C$6,1,IF(Settings!$B$22="USD",1/INDEX(Settings!$B$29:$B$40,MONTH(A228)),INDEX(Settings!$B$29:$B$40,MONTH(A228)))))</f>
        <v/>
      </c>
    </row>
    <row r="229" customFormat="false" ht="15" hidden="false" customHeight="false" outlineLevel="0" collapsed="false">
      <c r="H229" s="0" t="str">
        <f aca="false">IF(B229="","",IF(COUNTIF(Campaigns!$A$7:$A$300,B229)&gt;0,"✓","⚠ add to Campaigns tab"))</f>
        <v/>
      </c>
      <c r="I229" s="84" t="str">
        <f aca="false">IF(C229="","",C229*IF(Settings!$B$22=Settings!$C$6,1,IF(Settings!$B$22="USD",1/INDEX(Settings!$B$29:$B$40,MONTH(A229)),INDEX(Settings!$B$29:$B$40,MONTH(A229)))))</f>
        <v/>
      </c>
    </row>
    <row r="230" customFormat="false" ht="15" hidden="false" customHeight="false" outlineLevel="0" collapsed="false">
      <c r="H230" s="0" t="str">
        <f aca="false">IF(B230="","",IF(COUNTIF(Campaigns!$A$7:$A$300,B230)&gt;0,"✓","⚠ add to Campaigns tab"))</f>
        <v/>
      </c>
      <c r="I230" s="84" t="str">
        <f aca="false">IF(C230="","",C230*IF(Settings!$B$22=Settings!$C$6,1,IF(Settings!$B$22="USD",1/INDEX(Settings!$B$29:$B$40,MONTH(A230)),INDEX(Settings!$B$29:$B$40,MONTH(A230)))))</f>
        <v/>
      </c>
    </row>
    <row r="231" customFormat="false" ht="15" hidden="false" customHeight="false" outlineLevel="0" collapsed="false">
      <c r="H231" s="0" t="str">
        <f aca="false">IF(B231="","",IF(COUNTIF(Campaigns!$A$7:$A$300,B231)&gt;0,"✓","⚠ add to Campaigns tab"))</f>
        <v/>
      </c>
      <c r="I231" s="84" t="str">
        <f aca="false">IF(C231="","",C231*IF(Settings!$B$22=Settings!$C$6,1,IF(Settings!$B$22="USD",1/INDEX(Settings!$B$29:$B$40,MONTH(A231)),INDEX(Settings!$B$29:$B$40,MONTH(A231)))))</f>
        <v/>
      </c>
    </row>
    <row r="232" customFormat="false" ht="15" hidden="false" customHeight="false" outlineLevel="0" collapsed="false">
      <c r="H232" s="0" t="str">
        <f aca="false">IF(B232="","",IF(COUNTIF(Campaigns!$A$7:$A$300,B232)&gt;0,"✓","⚠ add to Campaigns tab"))</f>
        <v/>
      </c>
      <c r="I232" s="84" t="str">
        <f aca="false">IF(C232="","",C232*IF(Settings!$B$22=Settings!$C$6,1,IF(Settings!$B$22="USD",1/INDEX(Settings!$B$29:$B$40,MONTH(A232)),INDEX(Settings!$B$29:$B$40,MONTH(A232)))))</f>
        <v/>
      </c>
    </row>
    <row r="233" customFormat="false" ht="15" hidden="false" customHeight="false" outlineLevel="0" collapsed="false">
      <c r="H233" s="0" t="str">
        <f aca="false">IF(B233="","",IF(COUNTIF(Campaigns!$A$7:$A$300,B233)&gt;0,"✓","⚠ add to Campaigns tab"))</f>
        <v/>
      </c>
      <c r="I233" s="84" t="str">
        <f aca="false">IF(C233="","",C233*IF(Settings!$B$22=Settings!$C$6,1,IF(Settings!$B$22="USD",1/INDEX(Settings!$B$29:$B$40,MONTH(A233)),INDEX(Settings!$B$29:$B$40,MONTH(A233)))))</f>
        <v/>
      </c>
    </row>
    <row r="234" customFormat="false" ht="15" hidden="false" customHeight="false" outlineLevel="0" collapsed="false">
      <c r="H234" s="0" t="str">
        <f aca="false">IF(B234="","",IF(COUNTIF(Campaigns!$A$7:$A$300,B234)&gt;0,"✓","⚠ add to Campaigns tab"))</f>
        <v/>
      </c>
      <c r="I234" s="84" t="str">
        <f aca="false">IF(C234="","",C234*IF(Settings!$B$22=Settings!$C$6,1,IF(Settings!$B$22="USD",1/INDEX(Settings!$B$29:$B$40,MONTH(A234)),INDEX(Settings!$B$29:$B$40,MONTH(A234)))))</f>
        <v/>
      </c>
    </row>
    <row r="235" customFormat="false" ht="15" hidden="false" customHeight="false" outlineLevel="0" collapsed="false">
      <c r="H235" s="0" t="str">
        <f aca="false">IF(B235="","",IF(COUNTIF(Campaigns!$A$7:$A$300,B235)&gt;0,"✓","⚠ add to Campaigns tab"))</f>
        <v/>
      </c>
      <c r="I235" s="84" t="str">
        <f aca="false">IF(C235="","",C235*IF(Settings!$B$22=Settings!$C$6,1,IF(Settings!$B$22="USD",1/INDEX(Settings!$B$29:$B$40,MONTH(A235)),INDEX(Settings!$B$29:$B$40,MONTH(A235)))))</f>
        <v/>
      </c>
    </row>
    <row r="236" customFormat="false" ht="15" hidden="false" customHeight="false" outlineLevel="0" collapsed="false">
      <c r="H236" s="0" t="str">
        <f aca="false">IF(B236="","",IF(COUNTIF(Campaigns!$A$7:$A$300,B236)&gt;0,"✓","⚠ add to Campaigns tab"))</f>
        <v/>
      </c>
      <c r="I236" s="84" t="str">
        <f aca="false">IF(C236="","",C236*IF(Settings!$B$22=Settings!$C$6,1,IF(Settings!$B$22="USD",1/INDEX(Settings!$B$29:$B$40,MONTH(A236)),INDEX(Settings!$B$29:$B$40,MONTH(A236)))))</f>
        <v/>
      </c>
    </row>
    <row r="237" customFormat="false" ht="15" hidden="false" customHeight="false" outlineLevel="0" collapsed="false">
      <c r="H237" s="0" t="str">
        <f aca="false">IF(B237="","",IF(COUNTIF(Campaigns!$A$7:$A$300,B237)&gt;0,"✓","⚠ add to Campaigns tab"))</f>
        <v/>
      </c>
      <c r="I237" s="84" t="str">
        <f aca="false">IF(C237="","",C237*IF(Settings!$B$22=Settings!$C$6,1,IF(Settings!$B$22="USD",1/INDEX(Settings!$B$29:$B$40,MONTH(A237)),INDEX(Settings!$B$29:$B$40,MONTH(A237)))))</f>
        <v/>
      </c>
    </row>
    <row r="238" customFormat="false" ht="15" hidden="false" customHeight="false" outlineLevel="0" collapsed="false">
      <c r="H238" s="0" t="str">
        <f aca="false">IF(B238="","",IF(COUNTIF(Campaigns!$A$7:$A$300,B238)&gt;0,"✓","⚠ add to Campaigns tab"))</f>
        <v/>
      </c>
      <c r="I238" s="84" t="str">
        <f aca="false">IF(C238="","",C238*IF(Settings!$B$22=Settings!$C$6,1,IF(Settings!$B$22="USD",1/INDEX(Settings!$B$29:$B$40,MONTH(A238)),INDEX(Settings!$B$29:$B$40,MONTH(A238)))))</f>
        <v/>
      </c>
    </row>
    <row r="239" customFormat="false" ht="15" hidden="false" customHeight="false" outlineLevel="0" collapsed="false">
      <c r="H239" s="0" t="str">
        <f aca="false">IF(B239="","",IF(COUNTIF(Campaigns!$A$7:$A$300,B239)&gt;0,"✓","⚠ add to Campaigns tab"))</f>
        <v/>
      </c>
      <c r="I239" s="84" t="str">
        <f aca="false">IF(C239="","",C239*IF(Settings!$B$22=Settings!$C$6,1,IF(Settings!$B$22="USD",1/INDEX(Settings!$B$29:$B$40,MONTH(A239)),INDEX(Settings!$B$29:$B$40,MONTH(A239)))))</f>
        <v/>
      </c>
    </row>
    <row r="240" customFormat="false" ht="15" hidden="false" customHeight="false" outlineLevel="0" collapsed="false">
      <c r="H240" s="0" t="str">
        <f aca="false">IF(B240="","",IF(COUNTIF(Campaigns!$A$7:$A$300,B240)&gt;0,"✓","⚠ add to Campaigns tab"))</f>
        <v/>
      </c>
      <c r="I240" s="84" t="str">
        <f aca="false">IF(C240="","",C240*IF(Settings!$B$22=Settings!$C$6,1,IF(Settings!$B$22="USD",1/INDEX(Settings!$B$29:$B$40,MONTH(A240)),INDEX(Settings!$B$29:$B$40,MONTH(A240)))))</f>
        <v/>
      </c>
    </row>
    <row r="241" customFormat="false" ht="15" hidden="false" customHeight="false" outlineLevel="0" collapsed="false">
      <c r="H241" s="0" t="str">
        <f aca="false">IF(B241="","",IF(COUNTIF(Campaigns!$A$7:$A$300,B241)&gt;0,"✓","⚠ add to Campaigns tab"))</f>
        <v/>
      </c>
      <c r="I241" s="84" t="str">
        <f aca="false">IF(C241="","",C241*IF(Settings!$B$22=Settings!$C$6,1,IF(Settings!$B$22="USD",1/INDEX(Settings!$B$29:$B$40,MONTH(A241)),INDEX(Settings!$B$29:$B$40,MONTH(A241)))))</f>
        <v/>
      </c>
    </row>
    <row r="242" customFormat="false" ht="15" hidden="false" customHeight="false" outlineLevel="0" collapsed="false">
      <c r="H242" s="0" t="str">
        <f aca="false">IF(B242="","",IF(COUNTIF(Campaigns!$A$7:$A$300,B242)&gt;0,"✓","⚠ add to Campaigns tab"))</f>
        <v/>
      </c>
      <c r="I242" s="84" t="str">
        <f aca="false">IF(C242="","",C242*IF(Settings!$B$22=Settings!$C$6,1,IF(Settings!$B$22="USD",1/INDEX(Settings!$B$29:$B$40,MONTH(A242)),INDEX(Settings!$B$29:$B$40,MONTH(A242)))))</f>
        <v/>
      </c>
    </row>
    <row r="243" customFormat="false" ht="15" hidden="false" customHeight="false" outlineLevel="0" collapsed="false">
      <c r="H243" s="0" t="str">
        <f aca="false">IF(B243="","",IF(COUNTIF(Campaigns!$A$7:$A$300,B243)&gt;0,"✓","⚠ add to Campaigns tab"))</f>
        <v/>
      </c>
      <c r="I243" s="84" t="str">
        <f aca="false">IF(C243="","",C243*IF(Settings!$B$22=Settings!$C$6,1,IF(Settings!$B$22="USD",1/INDEX(Settings!$B$29:$B$40,MONTH(A243)),INDEX(Settings!$B$29:$B$40,MONTH(A243)))))</f>
        <v/>
      </c>
    </row>
    <row r="244" customFormat="false" ht="15" hidden="false" customHeight="false" outlineLevel="0" collapsed="false">
      <c r="H244" s="0" t="str">
        <f aca="false">IF(B244="","",IF(COUNTIF(Campaigns!$A$7:$A$300,B244)&gt;0,"✓","⚠ add to Campaigns tab"))</f>
        <v/>
      </c>
      <c r="I244" s="84" t="str">
        <f aca="false">IF(C244="","",C244*IF(Settings!$B$22=Settings!$C$6,1,IF(Settings!$B$22="USD",1/INDEX(Settings!$B$29:$B$40,MONTH(A244)),INDEX(Settings!$B$29:$B$40,MONTH(A244)))))</f>
        <v/>
      </c>
    </row>
    <row r="245" customFormat="false" ht="15" hidden="false" customHeight="false" outlineLevel="0" collapsed="false">
      <c r="H245" s="0" t="str">
        <f aca="false">IF(B245="","",IF(COUNTIF(Campaigns!$A$7:$A$300,B245)&gt;0,"✓","⚠ add to Campaigns tab"))</f>
        <v/>
      </c>
      <c r="I245" s="84" t="str">
        <f aca="false">IF(C245="","",C245*IF(Settings!$B$22=Settings!$C$6,1,IF(Settings!$B$22="USD",1/INDEX(Settings!$B$29:$B$40,MONTH(A245)),INDEX(Settings!$B$29:$B$40,MONTH(A245)))))</f>
        <v/>
      </c>
    </row>
    <row r="246" customFormat="false" ht="15" hidden="false" customHeight="false" outlineLevel="0" collapsed="false">
      <c r="H246" s="0" t="str">
        <f aca="false">IF(B246="","",IF(COUNTIF(Campaigns!$A$7:$A$300,B246)&gt;0,"✓","⚠ add to Campaigns tab"))</f>
        <v/>
      </c>
      <c r="I246" s="84" t="str">
        <f aca="false">IF(C246="","",C246*IF(Settings!$B$22=Settings!$C$6,1,IF(Settings!$B$22="USD",1/INDEX(Settings!$B$29:$B$40,MONTH(A246)),INDEX(Settings!$B$29:$B$40,MONTH(A246)))))</f>
        <v/>
      </c>
    </row>
    <row r="247" customFormat="false" ht="15" hidden="false" customHeight="false" outlineLevel="0" collapsed="false">
      <c r="H247" s="0" t="str">
        <f aca="false">IF(B247="","",IF(COUNTIF(Campaigns!$A$7:$A$300,B247)&gt;0,"✓","⚠ add to Campaigns tab"))</f>
        <v/>
      </c>
      <c r="I247" s="84" t="str">
        <f aca="false">IF(C247="","",C247*IF(Settings!$B$22=Settings!$C$6,1,IF(Settings!$B$22="USD",1/INDEX(Settings!$B$29:$B$40,MONTH(A247)),INDEX(Settings!$B$29:$B$40,MONTH(A247)))))</f>
        <v/>
      </c>
    </row>
    <row r="248" customFormat="false" ht="15" hidden="false" customHeight="false" outlineLevel="0" collapsed="false">
      <c r="H248" s="0" t="str">
        <f aca="false">IF(B248="","",IF(COUNTIF(Campaigns!$A$7:$A$300,B248)&gt;0,"✓","⚠ add to Campaigns tab"))</f>
        <v/>
      </c>
      <c r="I248" s="84" t="str">
        <f aca="false">IF(C248="","",C248*IF(Settings!$B$22=Settings!$C$6,1,IF(Settings!$B$22="USD",1/INDEX(Settings!$B$29:$B$40,MONTH(A248)),INDEX(Settings!$B$29:$B$40,MONTH(A248)))))</f>
        <v/>
      </c>
    </row>
    <row r="249" customFormat="false" ht="15" hidden="false" customHeight="false" outlineLevel="0" collapsed="false">
      <c r="H249" s="0" t="str">
        <f aca="false">IF(B249="","",IF(COUNTIF(Campaigns!$A$7:$A$300,B249)&gt;0,"✓","⚠ add to Campaigns tab"))</f>
        <v/>
      </c>
      <c r="I249" s="84" t="str">
        <f aca="false">IF(C249="","",C249*IF(Settings!$B$22=Settings!$C$6,1,IF(Settings!$B$22="USD",1/INDEX(Settings!$B$29:$B$40,MONTH(A249)),INDEX(Settings!$B$29:$B$40,MONTH(A249)))))</f>
        <v/>
      </c>
    </row>
    <row r="250" customFormat="false" ht="15" hidden="false" customHeight="false" outlineLevel="0" collapsed="false">
      <c r="H250" s="0" t="str">
        <f aca="false">IF(B250="","",IF(COUNTIF(Campaigns!$A$7:$A$300,B250)&gt;0,"✓","⚠ add to Campaigns tab"))</f>
        <v/>
      </c>
      <c r="I250" s="84" t="str">
        <f aca="false">IF(C250="","",C250*IF(Settings!$B$22=Settings!$C$6,1,IF(Settings!$B$22="USD",1/INDEX(Settings!$B$29:$B$40,MONTH(A250)),INDEX(Settings!$B$29:$B$40,MONTH(A250)))))</f>
        <v/>
      </c>
    </row>
    <row r="251" customFormat="false" ht="15" hidden="false" customHeight="false" outlineLevel="0" collapsed="false">
      <c r="H251" s="0" t="str">
        <f aca="false">IF(B251="","",IF(COUNTIF(Campaigns!$A$7:$A$300,B251)&gt;0,"✓","⚠ add to Campaigns tab"))</f>
        <v/>
      </c>
      <c r="I251" s="84" t="str">
        <f aca="false">IF(C251="","",C251*IF(Settings!$B$22=Settings!$C$6,1,IF(Settings!$B$22="USD",1/INDEX(Settings!$B$29:$B$40,MONTH(A251)),INDEX(Settings!$B$29:$B$40,MONTH(A251)))))</f>
        <v/>
      </c>
    </row>
    <row r="252" customFormat="false" ht="15" hidden="false" customHeight="false" outlineLevel="0" collapsed="false">
      <c r="H252" s="0" t="str">
        <f aca="false">IF(B252="","",IF(COUNTIF(Campaigns!$A$7:$A$300,B252)&gt;0,"✓","⚠ add to Campaigns tab"))</f>
        <v/>
      </c>
      <c r="I252" s="84" t="str">
        <f aca="false">IF(C252="","",C252*IF(Settings!$B$22=Settings!$C$6,1,IF(Settings!$B$22="USD",1/INDEX(Settings!$B$29:$B$40,MONTH(A252)),INDEX(Settings!$B$29:$B$40,MONTH(A252)))))</f>
        <v/>
      </c>
    </row>
    <row r="253" customFormat="false" ht="15" hidden="false" customHeight="false" outlineLevel="0" collapsed="false">
      <c r="H253" s="0" t="str">
        <f aca="false">IF(B253="","",IF(COUNTIF(Campaigns!$A$7:$A$300,B253)&gt;0,"✓","⚠ add to Campaigns tab"))</f>
        <v/>
      </c>
      <c r="I253" s="84" t="str">
        <f aca="false">IF(C253="","",C253*IF(Settings!$B$22=Settings!$C$6,1,IF(Settings!$B$22="USD",1/INDEX(Settings!$B$29:$B$40,MONTH(A253)),INDEX(Settings!$B$29:$B$40,MONTH(A253)))))</f>
        <v/>
      </c>
    </row>
    <row r="254" customFormat="false" ht="15" hidden="false" customHeight="false" outlineLevel="0" collapsed="false">
      <c r="H254" s="0" t="str">
        <f aca="false">IF(B254="","",IF(COUNTIF(Campaigns!$A$7:$A$300,B254)&gt;0,"✓","⚠ add to Campaigns tab"))</f>
        <v/>
      </c>
      <c r="I254" s="84" t="str">
        <f aca="false">IF(C254="","",C254*IF(Settings!$B$22=Settings!$C$6,1,IF(Settings!$B$22="USD",1/INDEX(Settings!$B$29:$B$40,MONTH(A254)),INDEX(Settings!$B$29:$B$40,MONTH(A254)))))</f>
        <v/>
      </c>
    </row>
    <row r="255" customFormat="false" ht="15" hidden="false" customHeight="false" outlineLevel="0" collapsed="false">
      <c r="H255" s="0" t="str">
        <f aca="false">IF(B255="","",IF(COUNTIF(Campaigns!$A$7:$A$300,B255)&gt;0,"✓","⚠ add to Campaigns tab"))</f>
        <v/>
      </c>
      <c r="I255" s="84" t="str">
        <f aca="false">IF(C255="","",C255*IF(Settings!$B$22=Settings!$C$6,1,IF(Settings!$B$22="USD",1/INDEX(Settings!$B$29:$B$40,MONTH(A255)),INDEX(Settings!$B$29:$B$40,MONTH(A255)))))</f>
        <v/>
      </c>
    </row>
    <row r="256" customFormat="false" ht="15" hidden="false" customHeight="false" outlineLevel="0" collapsed="false">
      <c r="H256" s="0" t="str">
        <f aca="false">IF(B256="","",IF(COUNTIF(Campaigns!$A$7:$A$300,B256)&gt;0,"✓","⚠ add to Campaigns tab"))</f>
        <v/>
      </c>
      <c r="I256" s="84" t="str">
        <f aca="false">IF(C256="","",C256*IF(Settings!$B$22=Settings!$C$6,1,IF(Settings!$B$22="USD",1/INDEX(Settings!$B$29:$B$40,MONTH(A256)),INDEX(Settings!$B$29:$B$40,MONTH(A256)))))</f>
        <v/>
      </c>
    </row>
    <row r="257" customFormat="false" ht="15" hidden="false" customHeight="false" outlineLevel="0" collapsed="false">
      <c r="H257" s="0" t="str">
        <f aca="false">IF(B257="","",IF(COUNTIF(Campaigns!$A$7:$A$300,B257)&gt;0,"✓","⚠ add to Campaigns tab"))</f>
        <v/>
      </c>
      <c r="I257" s="84" t="str">
        <f aca="false">IF(C257="","",C257*IF(Settings!$B$22=Settings!$C$6,1,IF(Settings!$B$22="USD",1/INDEX(Settings!$B$29:$B$40,MONTH(A257)),INDEX(Settings!$B$29:$B$40,MONTH(A257)))))</f>
        <v/>
      </c>
    </row>
    <row r="258" customFormat="false" ht="15" hidden="false" customHeight="false" outlineLevel="0" collapsed="false">
      <c r="H258" s="0" t="str">
        <f aca="false">IF(B258="","",IF(COUNTIF(Campaigns!$A$7:$A$300,B258)&gt;0,"✓","⚠ add to Campaigns tab"))</f>
        <v/>
      </c>
      <c r="I258" s="84" t="str">
        <f aca="false">IF(C258="","",C258*IF(Settings!$B$22=Settings!$C$6,1,IF(Settings!$B$22="USD",1/INDEX(Settings!$B$29:$B$40,MONTH(A258)),INDEX(Settings!$B$29:$B$40,MONTH(A258)))))</f>
        <v/>
      </c>
    </row>
    <row r="259" customFormat="false" ht="15" hidden="false" customHeight="false" outlineLevel="0" collapsed="false">
      <c r="H259" s="0" t="str">
        <f aca="false">IF(B259="","",IF(COUNTIF(Campaigns!$A$7:$A$300,B259)&gt;0,"✓","⚠ add to Campaigns tab"))</f>
        <v/>
      </c>
      <c r="I259" s="84" t="str">
        <f aca="false">IF(C259="","",C259*IF(Settings!$B$22=Settings!$C$6,1,IF(Settings!$B$22="USD",1/INDEX(Settings!$B$29:$B$40,MONTH(A259)),INDEX(Settings!$B$29:$B$40,MONTH(A259)))))</f>
        <v/>
      </c>
    </row>
    <row r="260" customFormat="false" ht="15" hidden="false" customHeight="false" outlineLevel="0" collapsed="false">
      <c r="H260" s="0" t="str">
        <f aca="false">IF(B260="","",IF(COUNTIF(Campaigns!$A$7:$A$300,B260)&gt;0,"✓","⚠ add to Campaigns tab"))</f>
        <v/>
      </c>
      <c r="I260" s="84" t="str">
        <f aca="false">IF(C260="","",C260*IF(Settings!$B$22=Settings!$C$6,1,IF(Settings!$B$22="USD",1/INDEX(Settings!$B$29:$B$40,MONTH(A260)),INDEX(Settings!$B$29:$B$40,MONTH(A260)))))</f>
        <v/>
      </c>
    </row>
    <row r="261" customFormat="false" ht="15" hidden="false" customHeight="false" outlineLevel="0" collapsed="false">
      <c r="H261" s="0" t="str">
        <f aca="false">IF(B261="","",IF(COUNTIF(Campaigns!$A$7:$A$300,B261)&gt;0,"✓","⚠ add to Campaigns tab"))</f>
        <v/>
      </c>
      <c r="I261" s="84" t="str">
        <f aca="false">IF(C261="","",C261*IF(Settings!$B$22=Settings!$C$6,1,IF(Settings!$B$22="USD",1/INDEX(Settings!$B$29:$B$40,MONTH(A261)),INDEX(Settings!$B$29:$B$40,MONTH(A261)))))</f>
        <v/>
      </c>
    </row>
    <row r="262" customFormat="false" ht="15" hidden="false" customHeight="false" outlineLevel="0" collapsed="false">
      <c r="H262" s="0" t="str">
        <f aca="false">IF(B262="","",IF(COUNTIF(Campaigns!$A$7:$A$300,B262)&gt;0,"✓","⚠ add to Campaigns tab"))</f>
        <v/>
      </c>
      <c r="I262" s="84" t="str">
        <f aca="false">IF(C262="","",C262*IF(Settings!$B$22=Settings!$C$6,1,IF(Settings!$B$22="USD",1/INDEX(Settings!$B$29:$B$40,MONTH(A262)),INDEX(Settings!$B$29:$B$40,MONTH(A262)))))</f>
        <v/>
      </c>
    </row>
    <row r="263" customFormat="false" ht="15" hidden="false" customHeight="false" outlineLevel="0" collapsed="false">
      <c r="H263" s="0" t="str">
        <f aca="false">IF(B263="","",IF(COUNTIF(Campaigns!$A$7:$A$300,B263)&gt;0,"✓","⚠ add to Campaigns tab"))</f>
        <v/>
      </c>
      <c r="I263" s="84" t="str">
        <f aca="false">IF(C263="","",C263*IF(Settings!$B$22=Settings!$C$6,1,IF(Settings!$B$22="USD",1/INDEX(Settings!$B$29:$B$40,MONTH(A263)),INDEX(Settings!$B$29:$B$40,MONTH(A263)))))</f>
        <v/>
      </c>
    </row>
    <row r="264" customFormat="false" ht="15" hidden="false" customHeight="false" outlineLevel="0" collapsed="false">
      <c r="H264" s="0" t="str">
        <f aca="false">IF(B264="","",IF(COUNTIF(Campaigns!$A$7:$A$300,B264)&gt;0,"✓","⚠ add to Campaigns tab"))</f>
        <v/>
      </c>
      <c r="I264" s="84" t="str">
        <f aca="false">IF(C264="","",C264*IF(Settings!$B$22=Settings!$C$6,1,IF(Settings!$B$22="USD",1/INDEX(Settings!$B$29:$B$40,MONTH(A264)),INDEX(Settings!$B$29:$B$40,MONTH(A264)))))</f>
        <v/>
      </c>
    </row>
    <row r="265" customFormat="false" ht="15" hidden="false" customHeight="false" outlineLevel="0" collapsed="false">
      <c r="H265" s="0" t="str">
        <f aca="false">IF(B265="","",IF(COUNTIF(Campaigns!$A$7:$A$300,B265)&gt;0,"✓","⚠ add to Campaigns tab"))</f>
        <v/>
      </c>
      <c r="I265" s="84" t="str">
        <f aca="false">IF(C265="","",C265*IF(Settings!$B$22=Settings!$C$6,1,IF(Settings!$B$22="USD",1/INDEX(Settings!$B$29:$B$40,MONTH(A265)),INDEX(Settings!$B$29:$B$40,MONTH(A265)))))</f>
        <v/>
      </c>
    </row>
    <row r="266" customFormat="false" ht="15" hidden="false" customHeight="false" outlineLevel="0" collapsed="false">
      <c r="H266" s="0" t="str">
        <f aca="false">IF(B266="","",IF(COUNTIF(Campaigns!$A$7:$A$300,B266)&gt;0,"✓","⚠ add to Campaigns tab"))</f>
        <v/>
      </c>
      <c r="I266" s="84" t="str">
        <f aca="false">IF(C266="","",C266*IF(Settings!$B$22=Settings!$C$6,1,IF(Settings!$B$22="USD",1/INDEX(Settings!$B$29:$B$40,MONTH(A266)),INDEX(Settings!$B$29:$B$40,MONTH(A266)))))</f>
        <v/>
      </c>
    </row>
    <row r="267" customFormat="false" ht="15" hidden="false" customHeight="false" outlineLevel="0" collapsed="false">
      <c r="H267" s="0" t="str">
        <f aca="false">IF(B267="","",IF(COUNTIF(Campaigns!$A$7:$A$300,B267)&gt;0,"✓","⚠ add to Campaigns tab"))</f>
        <v/>
      </c>
      <c r="I267" s="84" t="str">
        <f aca="false">IF(C267="","",C267*IF(Settings!$B$22=Settings!$C$6,1,IF(Settings!$B$22="USD",1/INDEX(Settings!$B$29:$B$40,MONTH(A267)),INDEX(Settings!$B$29:$B$40,MONTH(A267)))))</f>
        <v/>
      </c>
    </row>
    <row r="268" customFormat="false" ht="15" hidden="false" customHeight="false" outlineLevel="0" collapsed="false">
      <c r="H268" s="0" t="str">
        <f aca="false">IF(B268="","",IF(COUNTIF(Campaigns!$A$7:$A$300,B268)&gt;0,"✓","⚠ add to Campaigns tab"))</f>
        <v/>
      </c>
      <c r="I268" s="84" t="str">
        <f aca="false">IF(C268="","",C268*IF(Settings!$B$22=Settings!$C$6,1,IF(Settings!$B$22="USD",1/INDEX(Settings!$B$29:$B$40,MONTH(A268)),INDEX(Settings!$B$29:$B$40,MONTH(A268)))))</f>
        <v/>
      </c>
    </row>
    <row r="269" customFormat="false" ht="15" hidden="false" customHeight="false" outlineLevel="0" collapsed="false">
      <c r="H269" s="0" t="str">
        <f aca="false">IF(B269="","",IF(COUNTIF(Campaigns!$A$7:$A$300,B269)&gt;0,"✓","⚠ add to Campaigns tab"))</f>
        <v/>
      </c>
      <c r="I269" s="84" t="str">
        <f aca="false">IF(C269="","",C269*IF(Settings!$B$22=Settings!$C$6,1,IF(Settings!$B$22="USD",1/INDEX(Settings!$B$29:$B$40,MONTH(A269)),INDEX(Settings!$B$29:$B$40,MONTH(A269)))))</f>
        <v/>
      </c>
    </row>
    <row r="270" customFormat="false" ht="15" hidden="false" customHeight="false" outlineLevel="0" collapsed="false">
      <c r="H270" s="0" t="str">
        <f aca="false">IF(B270="","",IF(COUNTIF(Campaigns!$A$7:$A$300,B270)&gt;0,"✓","⚠ add to Campaigns tab"))</f>
        <v/>
      </c>
      <c r="I270" s="84" t="str">
        <f aca="false">IF(C270="","",C270*IF(Settings!$B$22=Settings!$C$6,1,IF(Settings!$B$22="USD",1/INDEX(Settings!$B$29:$B$40,MONTH(A270)),INDEX(Settings!$B$29:$B$40,MONTH(A270)))))</f>
        <v/>
      </c>
    </row>
    <row r="271" customFormat="false" ht="15" hidden="false" customHeight="false" outlineLevel="0" collapsed="false">
      <c r="H271" s="0" t="str">
        <f aca="false">IF(B271="","",IF(COUNTIF(Campaigns!$A$7:$A$300,B271)&gt;0,"✓","⚠ add to Campaigns tab"))</f>
        <v/>
      </c>
      <c r="I271" s="84" t="str">
        <f aca="false">IF(C271="","",C271*IF(Settings!$B$22=Settings!$C$6,1,IF(Settings!$B$22="USD",1/INDEX(Settings!$B$29:$B$40,MONTH(A271)),INDEX(Settings!$B$29:$B$40,MONTH(A271)))))</f>
        <v/>
      </c>
    </row>
    <row r="272" customFormat="false" ht="15" hidden="false" customHeight="false" outlineLevel="0" collapsed="false">
      <c r="H272" s="0" t="str">
        <f aca="false">IF(B272="","",IF(COUNTIF(Campaigns!$A$7:$A$300,B272)&gt;0,"✓","⚠ add to Campaigns tab"))</f>
        <v/>
      </c>
      <c r="I272" s="84" t="str">
        <f aca="false">IF(C272="","",C272*IF(Settings!$B$22=Settings!$C$6,1,IF(Settings!$B$22="USD",1/INDEX(Settings!$B$29:$B$40,MONTH(A272)),INDEX(Settings!$B$29:$B$40,MONTH(A272)))))</f>
        <v/>
      </c>
    </row>
    <row r="273" customFormat="false" ht="15" hidden="false" customHeight="false" outlineLevel="0" collapsed="false">
      <c r="H273" s="0" t="str">
        <f aca="false">IF(B273="","",IF(COUNTIF(Campaigns!$A$7:$A$300,B273)&gt;0,"✓","⚠ add to Campaigns tab"))</f>
        <v/>
      </c>
      <c r="I273" s="84" t="str">
        <f aca="false">IF(C273="","",C273*IF(Settings!$B$22=Settings!$C$6,1,IF(Settings!$B$22="USD",1/INDEX(Settings!$B$29:$B$40,MONTH(A273)),INDEX(Settings!$B$29:$B$40,MONTH(A273)))))</f>
        <v/>
      </c>
    </row>
    <row r="274" customFormat="false" ht="15" hidden="false" customHeight="false" outlineLevel="0" collapsed="false">
      <c r="H274" s="0" t="str">
        <f aca="false">IF(B274="","",IF(COUNTIF(Campaigns!$A$7:$A$300,B274)&gt;0,"✓","⚠ add to Campaigns tab"))</f>
        <v/>
      </c>
      <c r="I274" s="84" t="str">
        <f aca="false">IF(C274="","",C274*IF(Settings!$B$22=Settings!$C$6,1,IF(Settings!$B$22="USD",1/INDEX(Settings!$B$29:$B$40,MONTH(A274)),INDEX(Settings!$B$29:$B$40,MONTH(A274)))))</f>
        <v/>
      </c>
    </row>
    <row r="275" customFormat="false" ht="15" hidden="false" customHeight="false" outlineLevel="0" collapsed="false">
      <c r="H275" s="0" t="str">
        <f aca="false">IF(B275="","",IF(COUNTIF(Campaigns!$A$7:$A$300,B275)&gt;0,"✓","⚠ add to Campaigns tab"))</f>
        <v/>
      </c>
      <c r="I275" s="84" t="str">
        <f aca="false">IF(C275="","",C275*IF(Settings!$B$22=Settings!$C$6,1,IF(Settings!$B$22="USD",1/INDEX(Settings!$B$29:$B$40,MONTH(A275)),INDEX(Settings!$B$29:$B$40,MONTH(A275)))))</f>
        <v/>
      </c>
    </row>
    <row r="276" customFormat="false" ht="15" hidden="false" customHeight="false" outlineLevel="0" collapsed="false">
      <c r="H276" s="0" t="str">
        <f aca="false">IF(B276="","",IF(COUNTIF(Campaigns!$A$7:$A$300,B276)&gt;0,"✓","⚠ add to Campaigns tab"))</f>
        <v/>
      </c>
      <c r="I276" s="84" t="str">
        <f aca="false">IF(C276="","",C276*IF(Settings!$B$22=Settings!$C$6,1,IF(Settings!$B$22="USD",1/INDEX(Settings!$B$29:$B$40,MONTH(A276)),INDEX(Settings!$B$29:$B$40,MONTH(A276)))))</f>
        <v/>
      </c>
    </row>
    <row r="277" customFormat="false" ht="15" hidden="false" customHeight="false" outlineLevel="0" collapsed="false">
      <c r="H277" s="0" t="str">
        <f aca="false">IF(B277="","",IF(COUNTIF(Campaigns!$A$7:$A$300,B277)&gt;0,"✓","⚠ add to Campaigns tab"))</f>
        <v/>
      </c>
      <c r="I277" s="84" t="str">
        <f aca="false">IF(C277="","",C277*IF(Settings!$B$22=Settings!$C$6,1,IF(Settings!$B$22="USD",1/INDEX(Settings!$B$29:$B$40,MONTH(A277)),INDEX(Settings!$B$29:$B$40,MONTH(A277)))))</f>
        <v/>
      </c>
    </row>
    <row r="278" customFormat="false" ht="15" hidden="false" customHeight="false" outlineLevel="0" collapsed="false">
      <c r="H278" s="0" t="str">
        <f aca="false">IF(B278="","",IF(COUNTIF(Campaigns!$A$7:$A$300,B278)&gt;0,"✓","⚠ add to Campaigns tab"))</f>
        <v/>
      </c>
      <c r="I278" s="84" t="str">
        <f aca="false">IF(C278="","",C278*IF(Settings!$B$22=Settings!$C$6,1,IF(Settings!$B$22="USD",1/INDEX(Settings!$B$29:$B$40,MONTH(A278)),INDEX(Settings!$B$29:$B$40,MONTH(A278)))))</f>
        <v/>
      </c>
    </row>
    <row r="279" customFormat="false" ht="15" hidden="false" customHeight="false" outlineLevel="0" collapsed="false">
      <c r="H279" s="0" t="str">
        <f aca="false">IF(B279="","",IF(COUNTIF(Campaigns!$A$7:$A$300,B279)&gt;0,"✓","⚠ add to Campaigns tab"))</f>
        <v/>
      </c>
      <c r="I279" s="84" t="str">
        <f aca="false">IF(C279="","",C279*IF(Settings!$B$22=Settings!$C$6,1,IF(Settings!$B$22="USD",1/INDEX(Settings!$B$29:$B$40,MONTH(A279)),INDEX(Settings!$B$29:$B$40,MONTH(A279)))))</f>
        <v/>
      </c>
    </row>
    <row r="280" customFormat="false" ht="15" hidden="false" customHeight="false" outlineLevel="0" collapsed="false">
      <c r="H280" s="0" t="str">
        <f aca="false">IF(B280="","",IF(COUNTIF(Campaigns!$A$7:$A$300,B280)&gt;0,"✓","⚠ add to Campaigns tab"))</f>
        <v/>
      </c>
      <c r="I280" s="84" t="str">
        <f aca="false">IF(C280="","",C280*IF(Settings!$B$22=Settings!$C$6,1,IF(Settings!$B$22="USD",1/INDEX(Settings!$B$29:$B$40,MONTH(A280)),INDEX(Settings!$B$29:$B$40,MONTH(A280)))))</f>
        <v/>
      </c>
    </row>
    <row r="281" customFormat="false" ht="15" hidden="false" customHeight="false" outlineLevel="0" collapsed="false">
      <c r="H281" s="0" t="str">
        <f aca="false">IF(B281="","",IF(COUNTIF(Campaigns!$A$7:$A$300,B281)&gt;0,"✓","⚠ add to Campaigns tab"))</f>
        <v/>
      </c>
      <c r="I281" s="84" t="str">
        <f aca="false">IF(C281="","",C281*IF(Settings!$B$22=Settings!$C$6,1,IF(Settings!$B$22="USD",1/INDEX(Settings!$B$29:$B$40,MONTH(A281)),INDEX(Settings!$B$29:$B$40,MONTH(A281)))))</f>
        <v/>
      </c>
    </row>
    <row r="282" customFormat="false" ht="15" hidden="false" customHeight="false" outlineLevel="0" collapsed="false">
      <c r="H282" s="0" t="str">
        <f aca="false">IF(B282="","",IF(COUNTIF(Campaigns!$A$7:$A$300,B282)&gt;0,"✓","⚠ add to Campaigns tab"))</f>
        <v/>
      </c>
      <c r="I282" s="84" t="str">
        <f aca="false">IF(C282="","",C282*IF(Settings!$B$22=Settings!$C$6,1,IF(Settings!$B$22="USD",1/INDEX(Settings!$B$29:$B$40,MONTH(A282)),INDEX(Settings!$B$29:$B$40,MONTH(A282)))))</f>
        <v/>
      </c>
    </row>
    <row r="283" customFormat="false" ht="15" hidden="false" customHeight="false" outlineLevel="0" collapsed="false">
      <c r="H283" s="0" t="str">
        <f aca="false">IF(B283="","",IF(COUNTIF(Campaigns!$A$7:$A$300,B283)&gt;0,"✓","⚠ add to Campaigns tab"))</f>
        <v/>
      </c>
      <c r="I283" s="84" t="str">
        <f aca="false">IF(C283="","",C283*IF(Settings!$B$22=Settings!$C$6,1,IF(Settings!$B$22="USD",1/INDEX(Settings!$B$29:$B$40,MONTH(A283)),INDEX(Settings!$B$29:$B$40,MONTH(A283)))))</f>
        <v/>
      </c>
    </row>
    <row r="284" customFormat="false" ht="15" hidden="false" customHeight="false" outlineLevel="0" collapsed="false">
      <c r="H284" s="0" t="str">
        <f aca="false">IF(B284="","",IF(COUNTIF(Campaigns!$A$7:$A$300,B284)&gt;0,"✓","⚠ add to Campaigns tab"))</f>
        <v/>
      </c>
      <c r="I284" s="84" t="str">
        <f aca="false">IF(C284="","",C284*IF(Settings!$B$22=Settings!$C$6,1,IF(Settings!$B$22="USD",1/INDEX(Settings!$B$29:$B$40,MONTH(A284)),INDEX(Settings!$B$29:$B$40,MONTH(A284)))))</f>
        <v/>
      </c>
    </row>
    <row r="285" customFormat="false" ht="15" hidden="false" customHeight="false" outlineLevel="0" collapsed="false">
      <c r="H285" s="0" t="str">
        <f aca="false">IF(B285="","",IF(COUNTIF(Campaigns!$A$7:$A$300,B285)&gt;0,"✓","⚠ add to Campaigns tab"))</f>
        <v/>
      </c>
      <c r="I285" s="84" t="str">
        <f aca="false">IF(C285="","",C285*IF(Settings!$B$22=Settings!$C$6,1,IF(Settings!$B$22="USD",1/INDEX(Settings!$B$29:$B$40,MONTH(A285)),INDEX(Settings!$B$29:$B$40,MONTH(A285)))))</f>
        <v/>
      </c>
    </row>
    <row r="286" customFormat="false" ht="15" hidden="false" customHeight="false" outlineLevel="0" collapsed="false">
      <c r="H286" s="0" t="str">
        <f aca="false">IF(B286="","",IF(COUNTIF(Campaigns!$A$7:$A$300,B286)&gt;0,"✓","⚠ add to Campaigns tab"))</f>
        <v/>
      </c>
      <c r="I286" s="84" t="str">
        <f aca="false">IF(C286="","",C286*IF(Settings!$B$22=Settings!$C$6,1,IF(Settings!$B$22="USD",1/INDEX(Settings!$B$29:$B$40,MONTH(A286)),INDEX(Settings!$B$29:$B$40,MONTH(A286)))))</f>
        <v/>
      </c>
    </row>
    <row r="287" customFormat="false" ht="15" hidden="false" customHeight="false" outlineLevel="0" collapsed="false">
      <c r="H287" s="0" t="str">
        <f aca="false">IF(B287="","",IF(COUNTIF(Campaigns!$A$7:$A$300,B287)&gt;0,"✓","⚠ add to Campaigns tab"))</f>
        <v/>
      </c>
      <c r="I287" s="84" t="str">
        <f aca="false">IF(C287="","",C287*IF(Settings!$B$22=Settings!$C$6,1,IF(Settings!$B$22="USD",1/INDEX(Settings!$B$29:$B$40,MONTH(A287)),INDEX(Settings!$B$29:$B$40,MONTH(A287)))))</f>
        <v/>
      </c>
    </row>
    <row r="288" customFormat="false" ht="15" hidden="false" customHeight="false" outlineLevel="0" collapsed="false">
      <c r="H288" s="0" t="str">
        <f aca="false">IF(B288="","",IF(COUNTIF(Campaigns!$A$7:$A$300,B288)&gt;0,"✓","⚠ add to Campaigns tab"))</f>
        <v/>
      </c>
      <c r="I288" s="84" t="str">
        <f aca="false">IF(C288="","",C288*IF(Settings!$B$22=Settings!$C$6,1,IF(Settings!$B$22="USD",1/INDEX(Settings!$B$29:$B$40,MONTH(A288)),INDEX(Settings!$B$29:$B$40,MONTH(A288)))))</f>
        <v/>
      </c>
    </row>
    <row r="289" customFormat="false" ht="15" hidden="false" customHeight="false" outlineLevel="0" collapsed="false">
      <c r="H289" s="0" t="str">
        <f aca="false">IF(B289="","",IF(COUNTIF(Campaigns!$A$7:$A$300,B289)&gt;0,"✓","⚠ add to Campaigns tab"))</f>
        <v/>
      </c>
      <c r="I289" s="84" t="str">
        <f aca="false">IF(C289="","",C289*IF(Settings!$B$22=Settings!$C$6,1,IF(Settings!$B$22="USD",1/INDEX(Settings!$B$29:$B$40,MONTH(A289)),INDEX(Settings!$B$29:$B$40,MONTH(A289)))))</f>
        <v/>
      </c>
    </row>
    <row r="290" customFormat="false" ht="15" hidden="false" customHeight="false" outlineLevel="0" collapsed="false">
      <c r="H290" s="0" t="str">
        <f aca="false">IF(B290="","",IF(COUNTIF(Campaigns!$A$7:$A$300,B290)&gt;0,"✓","⚠ add to Campaigns tab"))</f>
        <v/>
      </c>
      <c r="I290" s="84" t="str">
        <f aca="false">IF(C290="","",C290*IF(Settings!$B$22=Settings!$C$6,1,IF(Settings!$B$22="USD",1/INDEX(Settings!$B$29:$B$40,MONTH(A290)),INDEX(Settings!$B$29:$B$40,MONTH(A290)))))</f>
        <v/>
      </c>
    </row>
    <row r="291" customFormat="false" ht="15" hidden="false" customHeight="false" outlineLevel="0" collapsed="false">
      <c r="H291" s="0" t="str">
        <f aca="false">IF(B291="","",IF(COUNTIF(Campaigns!$A$7:$A$300,B291)&gt;0,"✓","⚠ add to Campaigns tab"))</f>
        <v/>
      </c>
      <c r="I291" s="84" t="str">
        <f aca="false">IF(C291="","",C291*IF(Settings!$B$22=Settings!$C$6,1,IF(Settings!$B$22="USD",1/INDEX(Settings!$B$29:$B$40,MONTH(A291)),INDEX(Settings!$B$29:$B$40,MONTH(A291)))))</f>
        <v/>
      </c>
    </row>
    <row r="292" customFormat="false" ht="15" hidden="false" customHeight="false" outlineLevel="0" collapsed="false">
      <c r="H292" s="0" t="str">
        <f aca="false">IF(B292="","",IF(COUNTIF(Campaigns!$A$7:$A$300,B292)&gt;0,"✓","⚠ add to Campaigns tab"))</f>
        <v/>
      </c>
      <c r="I292" s="84" t="str">
        <f aca="false">IF(C292="","",C292*IF(Settings!$B$22=Settings!$C$6,1,IF(Settings!$B$22="USD",1/INDEX(Settings!$B$29:$B$40,MONTH(A292)),INDEX(Settings!$B$29:$B$40,MONTH(A292)))))</f>
        <v/>
      </c>
    </row>
    <row r="293" customFormat="false" ht="15" hidden="false" customHeight="false" outlineLevel="0" collapsed="false">
      <c r="H293" s="0" t="str">
        <f aca="false">IF(B293="","",IF(COUNTIF(Campaigns!$A$7:$A$300,B293)&gt;0,"✓","⚠ add to Campaigns tab"))</f>
        <v/>
      </c>
      <c r="I293" s="84" t="str">
        <f aca="false">IF(C293="","",C293*IF(Settings!$B$22=Settings!$C$6,1,IF(Settings!$B$22="USD",1/INDEX(Settings!$B$29:$B$40,MONTH(A293)),INDEX(Settings!$B$29:$B$40,MONTH(A293)))))</f>
        <v/>
      </c>
    </row>
    <row r="294" customFormat="false" ht="15" hidden="false" customHeight="false" outlineLevel="0" collapsed="false">
      <c r="H294" s="0" t="str">
        <f aca="false">IF(B294="","",IF(COUNTIF(Campaigns!$A$7:$A$300,B294)&gt;0,"✓","⚠ add to Campaigns tab"))</f>
        <v/>
      </c>
      <c r="I294" s="84" t="str">
        <f aca="false">IF(C294="","",C294*IF(Settings!$B$22=Settings!$C$6,1,IF(Settings!$B$22="USD",1/INDEX(Settings!$B$29:$B$40,MONTH(A294)),INDEX(Settings!$B$29:$B$40,MONTH(A294)))))</f>
        <v/>
      </c>
    </row>
    <row r="295" customFormat="false" ht="15" hidden="false" customHeight="false" outlineLevel="0" collapsed="false">
      <c r="H295" s="0" t="str">
        <f aca="false">IF(B295="","",IF(COUNTIF(Campaigns!$A$7:$A$300,B295)&gt;0,"✓","⚠ add to Campaigns tab"))</f>
        <v/>
      </c>
      <c r="I295" s="84" t="str">
        <f aca="false">IF(C295="","",C295*IF(Settings!$B$22=Settings!$C$6,1,IF(Settings!$B$22="USD",1/INDEX(Settings!$B$29:$B$40,MONTH(A295)),INDEX(Settings!$B$29:$B$40,MONTH(A295)))))</f>
        <v/>
      </c>
    </row>
    <row r="296" customFormat="false" ht="15" hidden="false" customHeight="false" outlineLevel="0" collapsed="false">
      <c r="H296" s="0" t="str">
        <f aca="false">IF(B296="","",IF(COUNTIF(Campaigns!$A$7:$A$300,B296)&gt;0,"✓","⚠ add to Campaigns tab"))</f>
        <v/>
      </c>
      <c r="I296" s="84" t="str">
        <f aca="false">IF(C296="","",C296*IF(Settings!$B$22=Settings!$C$6,1,IF(Settings!$B$22="USD",1/INDEX(Settings!$B$29:$B$40,MONTH(A296)),INDEX(Settings!$B$29:$B$40,MONTH(A296)))))</f>
        <v/>
      </c>
    </row>
    <row r="297" customFormat="false" ht="15" hidden="false" customHeight="false" outlineLevel="0" collapsed="false">
      <c r="H297" s="0" t="str">
        <f aca="false">IF(B297="","",IF(COUNTIF(Campaigns!$A$7:$A$300,B297)&gt;0,"✓","⚠ add to Campaigns tab"))</f>
        <v/>
      </c>
      <c r="I297" s="84" t="str">
        <f aca="false">IF(C297="","",C297*IF(Settings!$B$22=Settings!$C$6,1,IF(Settings!$B$22="USD",1/INDEX(Settings!$B$29:$B$40,MONTH(A297)),INDEX(Settings!$B$29:$B$40,MONTH(A297)))))</f>
        <v/>
      </c>
    </row>
    <row r="298" customFormat="false" ht="15" hidden="false" customHeight="false" outlineLevel="0" collapsed="false">
      <c r="H298" s="0" t="str">
        <f aca="false">IF(B298="","",IF(COUNTIF(Campaigns!$A$7:$A$300,B298)&gt;0,"✓","⚠ add to Campaigns tab"))</f>
        <v/>
      </c>
      <c r="I298" s="84" t="str">
        <f aca="false">IF(C298="","",C298*IF(Settings!$B$22=Settings!$C$6,1,IF(Settings!$B$22="USD",1/INDEX(Settings!$B$29:$B$40,MONTH(A298)),INDEX(Settings!$B$29:$B$40,MONTH(A298)))))</f>
        <v/>
      </c>
    </row>
    <row r="299" customFormat="false" ht="15" hidden="false" customHeight="false" outlineLevel="0" collapsed="false">
      <c r="H299" s="0" t="str">
        <f aca="false">IF(B299="","",IF(COUNTIF(Campaigns!$A$7:$A$300,B299)&gt;0,"✓","⚠ add to Campaigns tab"))</f>
        <v/>
      </c>
      <c r="I299" s="84" t="str">
        <f aca="false">IF(C299="","",C299*IF(Settings!$B$22=Settings!$C$6,1,IF(Settings!$B$22="USD",1/INDEX(Settings!$B$29:$B$40,MONTH(A299)),INDEX(Settings!$B$29:$B$40,MONTH(A299)))))</f>
        <v/>
      </c>
    </row>
    <row r="300" customFormat="false" ht="15" hidden="false" customHeight="false" outlineLevel="0" collapsed="false">
      <c r="H300" s="0" t="str">
        <f aca="false">IF(B300="","",IF(COUNTIF(Campaigns!$A$7:$A$300,B300)&gt;0,"✓","⚠ add to Campaigns tab"))</f>
        <v/>
      </c>
      <c r="I300" s="84" t="str">
        <f aca="false">IF(C300="","",C300*IF(Settings!$B$22=Settings!$C$6,1,IF(Settings!$B$22="USD",1/INDEX(Settings!$B$29:$B$40,MONTH(A300)),INDEX(Settings!$B$29:$B$40,MONTH(A300)))))</f>
        <v/>
      </c>
    </row>
    <row r="301" customFormat="false" ht="15" hidden="false" customHeight="false" outlineLevel="0" collapsed="false">
      <c r="H301" s="0" t="str">
        <f aca="false">IF(B301="","",IF(COUNTIF(Campaigns!$A$7:$A$300,B301)&gt;0,"✓","⚠ add to Campaigns tab"))</f>
        <v/>
      </c>
      <c r="I301" s="84" t="str">
        <f aca="false">IF(C301="","",C301*IF(Settings!$B$22=Settings!$C$6,1,IF(Settings!$B$22="USD",1/INDEX(Settings!$B$29:$B$40,MONTH(A301)),INDEX(Settings!$B$29:$B$40,MONTH(A301)))))</f>
        <v/>
      </c>
    </row>
    <row r="302" customFormat="false" ht="15" hidden="false" customHeight="false" outlineLevel="0" collapsed="false">
      <c r="H302" s="0" t="str">
        <f aca="false">IF(B302="","",IF(COUNTIF(Campaigns!$A$7:$A$300,B302)&gt;0,"✓","⚠ add to Campaigns tab"))</f>
        <v/>
      </c>
      <c r="I302" s="84" t="str">
        <f aca="false">IF(C302="","",C302*IF(Settings!$B$22=Settings!$C$6,1,IF(Settings!$B$22="USD",1/INDEX(Settings!$B$29:$B$40,MONTH(A302)),INDEX(Settings!$B$29:$B$40,MONTH(A302)))))</f>
        <v/>
      </c>
    </row>
    <row r="303" customFormat="false" ht="15" hidden="false" customHeight="false" outlineLevel="0" collapsed="false">
      <c r="H303" s="0" t="str">
        <f aca="false">IF(B303="","",IF(COUNTIF(Campaigns!$A$7:$A$300,B303)&gt;0,"✓","⚠ add to Campaigns tab"))</f>
        <v/>
      </c>
      <c r="I303" s="84" t="str">
        <f aca="false">IF(C303="","",C303*IF(Settings!$B$22=Settings!$C$6,1,IF(Settings!$B$22="USD",1/INDEX(Settings!$B$29:$B$40,MONTH(A303)),INDEX(Settings!$B$29:$B$40,MONTH(A303)))))</f>
        <v/>
      </c>
    </row>
    <row r="304" customFormat="false" ht="15" hidden="false" customHeight="false" outlineLevel="0" collapsed="false">
      <c r="H304" s="0" t="str">
        <f aca="false">IF(B304="","",IF(COUNTIF(Campaigns!$A$7:$A$300,B304)&gt;0,"✓","⚠ add to Campaigns tab"))</f>
        <v/>
      </c>
      <c r="I304" s="84" t="str">
        <f aca="false">IF(C304="","",C304*IF(Settings!$B$22=Settings!$C$6,1,IF(Settings!$B$22="USD",1/INDEX(Settings!$B$29:$B$40,MONTH(A304)),INDEX(Settings!$B$29:$B$40,MONTH(A304)))))</f>
        <v/>
      </c>
    </row>
    <row r="305" customFormat="false" ht="15" hidden="false" customHeight="false" outlineLevel="0" collapsed="false">
      <c r="H305" s="0" t="str">
        <f aca="false">IF(B305="","",IF(COUNTIF(Campaigns!$A$7:$A$300,B305)&gt;0,"✓","⚠ add to Campaigns tab"))</f>
        <v/>
      </c>
      <c r="I305" s="84" t="str">
        <f aca="false">IF(C305="","",C305*IF(Settings!$B$22=Settings!$C$6,1,IF(Settings!$B$22="USD",1/INDEX(Settings!$B$29:$B$40,MONTH(A305)),INDEX(Settings!$B$29:$B$40,MONTH(A305)))))</f>
        <v/>
      </c>
    </row>
    <row r="306" customFormat="false" ht="15" hidden="false" customHeight="false" outlineLevel="0" collapsed="false">
      <c r="H306" s="0" t="str">
        <f aca="false">IF(B306="","",IF(COUNTIF(Campaigns!$A$7:$A$300,B306)&gt;0,"✓","⚠ add to Campaigns tab"))</f>
        <v/>
      </c>
      <c r="I306" s="84" t="str">
        <f aca="false">IF(C306="","",C306*IF(Settings!$B$22=Settings!$C$6,1,IF(Settings!$B$22="USD",1/INDEX(Settings!$B$29:$B$40,MONTH(A306)),INDEX(Settings!$B$29:$B$40,MONTH(A306)))))</f>
        <v/>
      </c>
    </row>
    <row r="307" customFormat="false" ht="15" hidden="false" customHeight="false" outlineLevel="0" collapsed="false">
      <c r="H307" s="0" t="str">
        <f aca="false">IF(B307="","",IF(COUNTIF(Campaigns!$A$7:$A$300,B307)&gt;0,"✓","⚠ add to Campaigns tab"))</f>
        <v/>
      </c>
      <c r="I307" s="84" t="str">
        <f aca="false">IF(C307="","",C307*IF(Settings!$B$22=Settings!$C$6,1,IF(Settings!$B$22="USD",1/INDEX(Settings!$B$29:$B$40,MONTH(A307)),INDEX(Settings!$B$29:$B$40,MONTH(A307)))))</f>
        <v/>
      </c>
    </row>
    <row r="308" customFormat="false" ht="15" hidden="false" customHeight="false" outlineLevel="0" collapsed="false">
      <c r="H308" s="0" t="str">
        <f aca="false">IF(B308="","",IF(COUNTIF(Campaigns!$A$7:$A$300,B308)&gt;0,"✓","⚠ add to Campaigns tab"))</f>
        <v/>
      </c>
      <c r="I308" s="84" t="str">
        <f aca="false">IF(C308="","",C308*IF(Settings!$B$22=Settings!$C$6,1,IF(Settings!$B$22="USD",1/INDEX(Settings!$B$29:$B$40,MONTH(A308)),INDEX(Settings!$B$29:$B$40,MONTH(A308)))))</f>
        <v/>
      </c>
    </row>
    <row r="309" customFormat="false" ht="15" hidden="false" customHeight="false" outlineLevel="0" collapsed="false">
      <c r="H309" s="0" t="str">
        <f aca="false">IF(B309="","",IF(COUNTIF(Campaigns!$A$7:$A$300,B309)&gt;0,"✓","⚠ add to Campaigns tab"))</f>
        <v/>
      </c>
      <c r="I309" s="84" t="str">
        <f aca="false">IF(C309="","",C309*IF(Settings!$B$22=Settings!$C$6,1,IF(Settings!$B$22="USD",1/INDEX(Settings!$B$29:$B$40,MONTH(A309)),INDEX(Settings!$B$29:$B$40,MONTH(A309)))))</f>
        <v/>
      </c>
    </row>
    <row r="310" customFormat="false" ht="15" hidden="false" customHeight="false" outlineLevel="0" collapsed="false">
      <c r="H310" s="0" t="str">
        <f aca="false">IF(B310="","",IF(COUNTIF(Campaigns!$A$7:$A$300,B310)&gt;0,"✓","⚠ add to Campaigns tab"))</f>
        <v/>
      </c>
      <c r="I310" s="84" t="str">
        <f aca="false">IF(C310="","",C310*IF(Settings!$B$22=Settings!$C$6,1,IF(Settings!$B$22="USD",1/INDEX(Settings!$B$29:$B$40,MONTH(A310)),INDEX(Settings!$B$29:$B$40,MONTH(A310)))))</f>
        <v/>
      </c>
    </row>
    <row r="311" customFormat="false" ht="15" hidden="false" customHeight="false" outlineLevel="0" collapsed="false">
      <c r="H311" s="0" t="str">
        <f aca="false">IF(B311="","",IF(COUNTIF(Campaigns!$A$7:$A$300,B311)&gt;0,"✓","⚠ add to Campaigns tab"))</f>
        <v/>
      </c>
      <c r="I311" s="84" t="str">
        <f aca="false">IF(C311="","",C311*IF(Settings!$B$22=Settings!$C$6,1,IF(Settings!$B$22="USD",1/INDEX(Settings!$B$29:$B$40,MONTH(A311)),INDEX(Settings!$B$29:$B$40,MONTH(A311)))))</f>
        <v/>
      </c>
    </row>
    <row r="312" customFormat="false" ht="15" hidden="false" customHeight="false" outlineLevel="0" collapsed="false">
      <c r="H312" s="0" t="str">
        <f aca="false">IF(B312="","",IF(COUNTIF(Campaigns!$A$7:$A$300,B312)&gt;0,"✓","⚠ add to Campaigns tab"))</f>
        <v/>
      </c>
      <c r="I312" s="84" t="str">
        <f aca="false">IF(C312="","",C312*IF(Settings!$B$22=Settings!$C$6,1,IF(Settings!$B$22="USD",1/INDEX(Settings!$B$29:$B$40,MONTH(A312)),INDEX(Settings!$B$29:$B$40,MONTH(A312)))))</f>
        <v/>
      </c>
    </row>
    <row r="313" customFormat="false" ht="15" hidden="false" customHeight="false" outlineLevel="0" collapsed="false">
      <c r="H313" s="0" t="str">
        <f aca="false">IF(B313="","",IF(COUNTIF(Campaigns!$A$7:$A$300,B313)&gt;0,"✓","⚠ add to Campaigns tab"))</f>
        <v/>
      </c>
      <c r="I313" s="84" t="str">
        <f aca="false">IF(C313="","",C313*IF(Settings!$B$22=Settings!$C$6,1,IF(Settings!$B$22="USD",1/INDEX(Settings!$B$29:$B$40,MONTH(A313)),INDEX(Settings!$B$29:$B$40,MONTH(A313)))))</f>
        <v/>
      </c>
    </row>
    <row r="314" customFormat="false" ht="15" hidden="false" customHeight="false" outlineLevel="0" collapsed="false">
      <c r="H314" s="0" t="str">
        <f aca="false">IF(B314="","",IF(COUNTIF(Campaigns!$A$7:$A$300,B314)&gt;0,"✓","⚠ add to Campaigns tab"))</f>
        <v/>
      </c>
      <c r="I314" s="84" t="str">
        <f aca="false">IF(C314="","",C314*IF(Settings!$B$22=Settings!$C$6,1,IF(Settings!$B$22="USD",1/INDEX(Settings!$B$29:$B$40,MONTH(A314)),INDEX(Settings!$B$29:$B$40,MONTH(A314)))))</f>
        <v/>
      </c>
    </row>
    <row r="315" customFormat="false" ht="15" hidden="false" customHeight="false" outlineLevel="0" collapsed="false">
      <c r="H315" s="0" t="str">
        <f aca="false">IF(B315="","",IF(COUNTIF(Campaigns!$A$7:$A$300,B315)&gt;0,"✓","⚠ add to Campaigns tab"))</f>
        <v/>
      </c>
      <c r="I315" s="84" t="str">
        <f aca="false">IF(C315="","",C315*IF(Settings!$B$22=Settings!$C$6,1,IF(Settings!$B$22="USD",1/INDEX(Settings!$B$29:$B$40,MONTH(A315)),INDEX(Settings!$B$29:$B$40,MONTH(A315)))))</f>
        <v/>
      </c>
    </row>
    <row r="316" customFormat="false" ht="15" hidden="false" customHeight="false" outlineLevel="0" collapsed="false">
      <c r="H316" s="0" t="str">
        <f aca="false">IF(B316="","",IF(COUNTIF(Campaigns!$A$7:$A$300,B316)&gt;0,"✓","⚠ add to Campaigns tab"))</f>
        <v/>
      </c>
      <c r="I316" s="84" t="str">
        <f aca="false">IF(C316="","",C316*IF(Settings!$B$22=Settings!$C$6,1,IF(Settings!$B$22="USD",1/INDEX(Settings!$B$29:$B$40,MONTH(A316)),INDEX(Settings!$B$29:$B$40,MONTH(A316)))))</f>
        <v/>
      </c>
    </row>
    <row r="317" customFormat="false" ht="15" hidden="false" customHeight="false" outlineLevel="0" collapsed="false">
      <c r="H317" s="0" t="str">
        <f aca="false">IF(B317="","",IF(COUNTIF(Campaigns!$A$7:$A$300,B317)&gt;0,"✓","⚠ add to Campaigns tab"))</f>
        <v/>
      </c>
      <c r="I317" s="84" t="str">
        <f aca="false">IF(C317="","",C317*IF(Settings!$B$22=Settings!$C$6,1,IF(Settings!$B$22="USD",1/INDEX(Settings!$B$29:$B$40,MONTH(A317)),INDEX(Settings!$B$29:$B$40,MONTH(A317)))))</f>
        <v/>
      </c>
    </row>
    <row r="318" customFormat="false" ht="15" hidden="false" customHeight="false" outlineLevel="0" collapsed="false">
      <c r="H318" s="0" t="str">
        <f aca="false">IF(B318="","",IF(COUNTIF(Campaigns!$A$7:$A$300,B318)&gt;0,"✓","⚠ add to Campaigns tab"))</f>
        <v/>
      </c>
      <c r="I318" s="84" t="str">
        <f aca="false">IF(C318="","",C318*IF(Settings!$B$22=Settings!$C$6,1,IF(Settings!$B$22="USD",1/INDEX(Settings!$B$29:$B$40,MONTH(A318)),INDEX(Settings!$B$29:$B$40,MONTH(A318)))))</f>
        <v/>
      </c>
    </row>
    <row r="319" customFormat="false" ht="15" hidden="false" customHeight="false" outlineLevel="0" collapsed="false">
      <c r="H319" s="0" t="str">
        <f aca="false">IF(B319="","",IF(COUNTIF(Campaigns!$A$7:$A$300,B319)&gt;0,"✓","⚠ add to Campaigns tab"))</f>
        <v/>
      </c>
      <c r="I319" s="84" t="str">
        <f aca="false">IF(C319="","",C319*IF(Settings!$B$22=Settings!$C$6,1,IF(Settings!$B$22="USD",1/INDEX(Settings!$B$29:$B$40,MONTH(A319)),INDEX(Settings!$B$29:$B$40,MONTH(A319)))))</f>
        <v/>
      </c>
    </row>
    <row r="320" customFormat="false" ht="15" hidden="false" customHeight="false" outlineLevel="0" collapsed="false">
      <c r="H320" s="0" t="str">
        <f aca="false">IF(B320="","",IF(COUNTIF(Campaigns!$A$7:$A$300,B320)&gt;0,"✓","⚠ add to Campaigns tab"))</f>
        <v/>
      </c>
      <c r="I320" s="84" t="str">
        <f aca="false">IF(C320="","",C320*IF(Settings!$B$22=Settings!$C$6,1,IF(Settings!$B$22="USD",1/INDEX(Settings!$B$29:$B$40,MONTH(A320)),INDEX(Settings!$B$29:$B$40,MONTH(A320)))))</f>
        <v/>
      </c>
    </row>
    <row r="321" customFormat="false" ht="15" hidden="false" customHeight="false" outlineLevel="0" collapsed="false">
      <c r="H321" s="0" t="str">
        <f aca="false">IF(B321="","",IF(COUNTIF(Campaigns!$A$7:$A$300,B321)&gt;0,"✓","⚠ add to Campaigns tab"))</f>
        <v/>
      </c>
      <c r="I321" s="84" t="str">
        <f aca="false">IF(C321="","",C321*IF(Settings!$B$22=Settings!$C$6,1,IF(Settings!$B$22="USD",1/INDEX(Settings!$B$29:$B$40,MONTH(A321)),INDEX(Settings!$B$29:$B$40,MONTH(A321)))))</f>
        <v/>
      </c>
    </row>
    <row r="322" customFormat="false" ht="15" hidden="false" customHeight="false" outlineLevel="0" collapsed="false">
      <c r="H322" s="0" t="str">
        <f aca="false">IF(B322="","",IF(COUNTIF(Campaigns!$A$7:$A$300,B322)&gt;0,"✓","⚠ add to Campaigns tab"))</f>
        <v/>
      </c>
      <c r="I322" s="84" t="str">
        <f aca="false">IF(C322="","",C322*IF(Settings!$B$22=Settings!$C$6,1,IF(Settings!$B$22="USD",1/INDEX(Settings!$B$29:$B$40,MONTH(A322)),INDEX(Settings!$B$29:$B$40,MONTH(A322)))))</f>
        <v/>
      </c>
    </row>
    <row r="323" customFormat="false" ht="15" hidden="false" customHeight="false" outlineLevel="0" collapsed="false">
      <c r="H323" s="0" t="str">
        <f aca="false">IF(B323="","",IF(COUNTIF(Campaigns!$A$7:$A$300,B323)&gt;0,"✓","⚠ add to Campaigns tab"))</f>
        <v/>
      </c>
      <c r="I323" s="84" t="str">
        <f aca="false">IF(C323="","",C323*IF(Settings!$B$22=Settings!$C$6,1,IF(Settings!$B$22="USD",1/INDEX(Settings!$B$29:$B$40,MONTH(A323)),INDEX(Settings!$B$29:$B$40,MONTH(A323)))))</f>
        <v/>
      </c>
    </row>
    <row r="324" customFormat="false" ht="15" hidden="false" customHeight="false" outlineLevel="0" collapsed="false">
      <c r="H324" s="0" t="str">
        <f aca="false">IF(B324="","",IF(COUNTIF(Campaigns!$A$7:$A$300,B324)&gt;0,"✓","⚠ add to Campaigns tab"))</f>
        <v/>
      </c>
      <c r="I324" s="84" t="str">
        <f aca="false">IF(C324="","",C324*IF(Settings!$B$22=Settings!$C$6,1,IF(Settings!$B$22="USD",1/INDEX(Settings!$B$29:$B$40,MONTH(A324)),INDEX(Settings!$B$29:$B$40,MONTH(A324)))))</f>
        <v/>
      </c>
    </row>
    <row r="325" customFormat="false" ht="15" hidden="false" customHeight="false" outlineLevel="0" collapsed="false">
      <c r="H325" s="0" t="str">
        <f aca="false">IF(B325="","",IF(COUNTIF(Campaigns!$A$7:$A$300,B325)&gt;0,"✓","⚠ add to Campaigns tab"))</f>
        <v/>
      </c>
      <c r="I325" s="84" t="str">
        <f aca="false">IF(C325="","",C325*IF(Settings!$B$22=Settings!$C$6,1,IF(Settings!$B$22="USD",1/INDEX(Settings!$B$29:$B$40,MONTH(A325)),INDEX(Settings!$B$29:$B$40,MONTH(A325)))))</f>
        <v/>
      </c>
    </row>
    <row r="326" customFormat="false" ht="15" hidden="false" customHeight="false" outlineLevel="0" collapsed="false">
      <c r="H326" s="0" t="str">
        <f aca="false">IF(B326="","",IF(COUNTIF(Campaigns!$A$7:$A$300,B326)&gt;0,"✓","⚠ add to Campaigns tab"))</f>
        <v/>
      </c>
      <c r="I326" s="84" t="str">
        <f aca="false">IF(C326="","",C326*IF(Settings!$B$22=Settings!$C$6,1,IF(Settings!$B$22="USD",1/INDEX(Settings!$B$29:$B$40,MONTH(A326)),INDEX(Settings!$B$29:$B$40,MONTH(A326)))))</f>
        <v/>
      </c>
    </row>
    <row r="327" customFormat="false" ht="15" hidden="false" customHeight="false" outlineLevel="0" collapsed="false">
      <c r="H327" s="0" t="str">
        <f aca="false">IF(B327="","",IF(COUNTIF(Campaigns!$A$7:$A$300,B327)&gt;0,"✓","⚠ add to Campaigns tab"))</f>
        <v/>
      </c>
      <c r="I327" s="84" t="str">
        <f aca="false">IF(C327="","",C327*IF(Settings!$B$22=Settings!$C$6,1,IF(Settings!$B$22="USD",1/INDEX(Settings!$B$29:$B$40,MONTH(A327)),INDEX(Settings!$B$29:$B$40,MONTH(A327)))))</f>
        <v/>
      </c>
    </row>
    <row r="328" customFormat="false" ht="15" hidden="false" customHeight="false" outlineLevel="0" collapsed="false">
      <c r="H328" s="0" t="str">
        <f aca="false">IF(B328="","",IF(COUNTIF(Campaigns!$A$7:$A$300,B328)&gt;0,"✓","⚠ add to Campaigns tab"))</f>
        <v/>
      </c>
      <c r="I328" s="84" t="str">
        <f aca="false">IF(C328="","",C328*IF(Settings!$B$22=Settings!$C$6,1,IF(Settings!$B$22="USD",1/INDEX(Settings!$B$29:$B$40,MONTH(A328)),INDEX(Settings!$B$29:$B$40,MONTH(A328)))))</f>
        <v/>
      </c>
    </row>
    <row r="329" customFormat="false" ht="15" hidden="false" customHeight="false" outlineLevel="0" collapsed="false">
      <c r="H329" s="0" t="str">
        <f aca="false">IF(B329="","",IF(COUNTIF(Campaigns!$A$7:$A$300,B329)&gt;0,"✓","⚠ add to Campaigns tab"))</f>
        <v/>
      </c>
      <c r="I329" s="84" t="str">
        <f aca="false">IF(C329="","",C329*IF(Settings!$B$22=Settings!$C$6,1,IF(Settings!$B$22="USD",1/INDEX(Settings!$B$29:$B$40,MONTH(A329)),INDEX(Settings!$B$29:$B$40,MONTH(A329)))))</f>
        <v/>
      </c>
    </row>
    <row r="330" customFormat="false" ht="15" hidden="false" customHeight="false" outlineLevel="0" collapsed="false">
      <c r="H330" s="0" t="str">
        <f aca="false">IF(B330="","",IF(COUNTIF(Campaigns!$A$7:$A$300,B330)&gt;0,"✓","⚠ add to Campaigns tab"))</f>
        <v/>
      </c>
      <c r="I330" s="84" t="str">
        <f aca="false">IF(C330="","",C330*IF(Settings!$B$22=Settings!$C$6,1,IF(Settings!$B$22="USD",1/INDEX(Settings!$B$29:$B$40,MONTH(A330)),INDEX(Settings!$B$29:$B$40,MONTH(A330)))))</f>
        <v/>
      </c>
    </row>
    <row r="331" customFormat="false" ht="15" hidden="false" customHeight="false" outlineLevel="0" collapsed="false">
      <c r="H331" s="0" t="str">
        <f aca="false">IF(B331="","",IF(COUNTIF(Campaigns!$A$7:$A$300,B331)&gt;0,"✓","⚠ add to Campaigns tab"))</f>
        <v/>
      </c>
      <c r="I331" s="84" t="str">
        <f aca="false">IF(C331="","",C331*IF(Settings!$B$22=Settings!$C$6,1,IF(Settings!$B$22="USD",1/INDEX(Settings!$B$29:$B$40,MONTH(A331)),INDEX(Settings!$B$29:$B$40,MONTH(A331)))))</f>
        <v/>
      </c>
    </row>
    <row r="332" customFormat="false" ht="15" hidden="false" customHeight="false" outlineLevel="0" collapsed="false">
      <c r="H332" s="0" t="str">
        <f aca="false">IF(B332="","",IF(COUNTIF(Campaigns!$A$7:$A$300,B332)&gt;0,"✓","⚠ add to Campaigns tab"))</f>
        <v/>
      </c>
      <c r="I332" s="84" t="str">
        <f aca="false">IF(C332="","",C332*IF(Settings!$B$22=Settings!$C$6,1,IF(Settings!$B$22="USD",1/INDEX(Settings!$B$29:$B$40,MONTH(A332)),INDEX(Settings!$B$29:$B$40,MONTH(A332)))))</f>
        <v/>
      </c>
    </row>
    <row r="333" customFormat="false" ht="15" hidden="false" customHeight="false" outlineLevel="0" collapsed="false">
      <c r="H333" s="0" t="str">
        <f aca="false">IF(B333="","",IF(COUNTIF(Campaigns!$A$7:$A$300,B333)&gt;0,"✓","⚠ add to Campaigns tab"))</f>
        <v/>
      </c>
      <c r="I333" s="84" t="str">
        <f aca="false">IF(C333="","",C333*IF(Settings!$B$22=Settings!$C$6,1,IF(Settings!$B$22="USD",1/INDEX(Settings!$B$29:$B$40,MONTH(A333)),INDEX(Settings!$B$29:$B$40,MONTH(A333)))))</f>
        <v/>
      </c>
    </row>
    <row r="334" customFormat="false" ht="15" hidden="false" customHeight="false" outlineLevel="0" collapsed="false">
      <c r="H334" s="0" t="str">
        <f aca="false">IF(B334="","",IF(COUNTIF(Campaigns!$A$7:$A$300,B334)&gt;0,"✓","⚠ add to Campaigns tab"))</f>
        <v/>
      </c>
      <c r="I334" s="84" t="str">
        <f aca="false">IF(C334="","",C334*IF(Settings!$B$22=Settings!$C$6,1,IF(Settings!$B$22="USD",1/INDEX(Settings!$B$29:$B$40,MONTH(A334)),INDEX(Settings!$B$29:$B$40,MONTH(A334)))))</f>
        <v/>
      </c>
    </row>
    <row r="335" customFormat="false" ht="15" hidden="false" customHeight="false" outlineLevel="0" collapsed="false">
      <c r="H335" s="0" t="str">
        <f aca="false">IF(B335="","",IF(COUNTIF(Campaigns!$A$7:$A$300,B335)&gt;0,"✓","⚠ add to Campaigns tab"))</f>
        <v/>
      </c>
      <c r="I335" s="84" t="str">
        <f aca="false">IF(C335="","",C335*IF(Settings!$B$22=Settings!$C$6,1,IF(Settings!$B$22="USD",1/INDEX(Settings!$B$29:$B$40,MONTH(A335)),INDEX(Settings!$B$29:$B$40,MONTH(A335)))))</f>
        <v/>
      </c>
    </row>
    <row r="336" customFormat="false" ht="15" hidden="false" customHeight="false" outlineLevel="0" collapsed="false">
      <c r="H336" s="0" t="str">
        <f aca="false">IF(B336="","",IF(COUNTIF(Campaigns!$A$7:$A$300,B336)&gt;0,"✓","⚠ add to Campaigns tab"))</f>
        <v/>
      </c>
      <c r="I336" s="84" t="str">
        <f aca="false">IF(C336="","",C336*IF(Settings!$B$22=Settings!$C$6,1,IF(Settings!$B$22="USD",1/INDEX(Settings!$B$29:$B$40,MONTH(A336)),INDEX(Settings!$B$29:$B$40,MONTH(A336)))))</f>
        <v/>
      </c>
    </row>
    <row r="337" customFormat="false" ht="15" hidden="false" customHeight="false" outlineLevel="0" collapsed="false">
      <c r="H337" s="0" t="str">
        <f aca="false">IF(B337="","",IF(COUNTIF(Campaigns!$A$7:$A$300,B337)&gt;0,"✓","⚠ add to Campaigns tab"))</f>
        <v/>
      </c>
      <c r="I337" s="84" t="str">
        <f aca="false">IF(C337="","",C337*IF(Settings!$B$22=Settings!$C$6,1,IF(Settings!$B$22="USD",1/INDEX(Settings!$B$29:$B$40,MONTH(A337)),INDEX(Settings!$B$29:$B$40,MONTH(A337)))))</f>
        <v/>
      </c>
    </row>
    <row r="338" customFormat="false" ht="15" hidden="false" customHeight="false" outlineLevel="0" collapsed="false">
      <c r="H338" s="0" t="str">
        <f aca="false">IF(B338="","",IF(COUNTIF(Campaigns!$A$7:$A$300,B338)&gt;0,"✓","⚠ add to Campaigns tab"))</f>
        <v/>
      </c>
      <c r="I338" s="84" t="str">
        <f aca="false">IF(C338="","",C338*IF(Settings!$B$22=Settings!$C$6,1,IF(Settings!$B$22="USD",1/INDEX(Settings!$B$29:$B$40,MONTH(A338)),INDEX(Settings!$B$29:$B$40,MONTH(A338)))))</f>
        <v/>
      </c>
    </row>
    <row r="339" customFormat="false" ht="15" hidden="false" customHeight="false" outlineLevel="0" collapsed="false">
      <c r="H339" s="0" t="str">
        <f aca="false">IF(B339="","",IF(COUNTIF(Campaigns!$A$7:$A$300,B339)&gt;0,"✓","⚠ add to Campaigns tab"))</f>
        <v/>
      </c>
      <c r="I339" s="84" t="str">
        <f aca="false">IF(C339="","",C339*IF(Settings!$B$22=Settings!$C$6,1,IF(Settings!$B$22="USD",1/INDEX(Settings!$B$29:$B$40,MONTH(A339)),INDEX(Settings!$B$29:$B$40,MONTH(A339)))))</f>
        <v/>
      </c>
    </row>
    <row r="340" customFormat="false" ht="15" hidden="false" customHeight="false" outlineLevel="0" collapsed="false">
      <c r="H340" s="0" t="str">
        <f aca="false">IF(B340="","",IF(COUNTIF(Campaigns!$A$7:$A$300,B340)&gt;0,"✓","⚠ add to Campaigns tab"))</f>
        <v/>
      </c>
      <c r="I340" s="84" t="str">
        <f aca="false">IF(C340="","",C340*IF(Settings!$B$22=Settings!$C$6,1,IF(Settings!$B$22="USD",1/INDEX(Settings!$B$29:$B$40,MONTH(A340)),INDEX(Settings!$B$29:$B$40,MONTH(A340)))))</f>
        <v/>
      </c>
    </row>
    <row r="341" customFormat="false" ht="15" hidden="false" customHeight="false" outlineLevel="0" collapsed="false">
      <c r="H341" s="0" t="str">
        <f aca="false">IF(B341="","",IF(COUNTIF(Campaigns!$A$7:$A$300,B341)&gt;0,"✓","⚠ add to Campaigns tab"))</f>
        <v/>
      </c>
      <c r="I341" s="84" t="str">
        <f aca="false">IF(C341="","",C341*IF(Settings!$B$22=Settings!$C$6,1,IF(Settings!$B$22="USD",1/INDEX(Settings!$B$29:$B$40,MONTH(A341)),INDEX(Settings!$B$29:$B$40,MONTH(A341)))))</f>
        <v/>
      </c>
    </row>
    <row r="342" customFormat="false" ht="15" hidden="false" customHeight="false" outlineLevel="0" collapsed="false">
      <c r="H342" s="0" t="str">
        <f aca="false">IF(B342="","",IF(COUNTIF(Campaigns!$A$7:$A$300,B342)&gt;0,"✓","⚠ add to Campaigns tab"))</f>
        <v/>
      </c>
      <c r="I342" s="84" t="str">
        <f aca="false">IF(C342="","",C342*IF(Settings!$B$22=Settings!$C$6,1,IF(Settings!$B$22="USD",1/INDEX(Settings!$B$29:$B$40,MONTH(A342)),INDEX(Settings!$B$29:$B$40,MONTH(A342)))))</f>
        <v/>
      </c>
    </row>
    <row r="343" customFormat="false" ht="15" hidden="false" customHeight="false" outlineLevel="0" collapsed="false">
      <c r="H343" s="0" t="str">
        <f aca="false">IF(B343="","",IF(COUNTIF(Campaigns!$A$7:$A$300,B343)&gt;0,"✓","⚠ add to Campaigns tab"))</f>
        <v/>
      </c>
      <c r="I343" s="84" t="str">
        <f aca="false">IF(C343="","",C343*IF(Settings!$B$22=Settings!$C$6,1,IF(Settings!$B$22="USD",1/INDEX(Settings!$B$29:$B$40,MONTH(A343)),INDEX(Settings!$B$29:$B$40,MONTH(A343)))))</f>
        <v/>
      </c>
    </row>
    <row r="344" customFormat="false" ht="15" hidden="false" customHeight="false" outlineLevel="0" collapsed="false">
      <c r="H344" s="0" t="str">
        <f aca="false">IF(B344="","",IF(COUNTIF(Campaigns!$A$7:$A$300,B344)&gt;0,"✓","⚠ add to Campaigns tab"))</f>
        <v/>
      </c>
      <c r="I344" s="84" t="str">
        <f aca="false">IF(C344="","",C344*IF(Settings!$B$22=Settings!$C$6,1,IF(Settings!$B$22="USD",1/INDEX(Settings!$B$29:$B$40,MONTH(A344)),INDEX(Settings!$B$29:$B$40,MONTH(A344)))))</f>
        <v/>
      </c>
    </row>
    <row r="345" customFormat="false" ht="15" hidden="false" customHeight="false" outlineLevel="0" collapsed="false">
      <c r="H345" s="0" t="str">
        <f aca="false">IF(B345="","",IF(COUNTIF(Campaigns!$A$7:$A$300,B345)&gt;0,"✓","⚠ add to Campaigns tab"))</f>
        <v/>
      </c>
      <c r="I345" s="84" t="str">
        <f aca="false">IF(C345="","",C345*IF(Settings!$B$22=Settings!$C$6,1,IF(Settings!$B$22="USD",1/INDEX(Settings!$B$29:$B$40,MONTH(A345)),INDEX(Settings!$B$29:$B$40,MONTH(A345)))))</f>
        <v/>
      </c>
    </row>
    <row r="346" customFormat="false" ht="15" hidden="false" customHeight="false" outlineLevel="0" collapsed="false">
      <c r="H346" s="0" t="str">
        <f aca="false">IF(B346="","",IF(COUNTIF(Campaigns!$A$7:$A$300,B346)&gt;0,"✓","⚠ add to Campaigns tab"))</f>
        <v/>
      </c>
      <c r="I346" s="84" t="str">
        <f aca="false">IF(C346="","",C346*IF(Settings!$B$22=Settings!$C$6,1,IF(Settings!$B$22="USD",1/INDEX(Settings!$B$29:$B$40,MONTH(A346)),INDEX(Settings!$B$29:$B$40,MONTH(A346)))))</f>
        <v/>
      </c>
    </row>
    <row r="347" customFormat="false" ht="15" hidden="false" customHeight="false" outlineLevel="0" collapsed="false">
      <c r="H347" s="0" t="str">
        <f aca="false">IF(B347="","",IF(COUNTIF(Campaigns!$A$7:$A$300,B347)&gt;0,"✓","⚠ add to Campaigns tab"))</f>
        <v/>
      </c>
      <c r="I347" s="84" t="str">
        <f aca="false">IF(C347="","",C347*IF(Settings!$B$22=Settings!$C$6,1,IF(Settings!$B$22="USD",1/INDEX(Settings!$B$29:$B$40,MONTH(A347)),INDEX(Settings!$B$29:$B$40,MONTH(A347)))))</f>
        <v/>
      </c>
    </row>
    <row r="348" customFormat="false" ht="15" hidden="false" customHeight="false" outlineLevel="0" collapsed="false">
      <c r="H348" s="0" t="str">
        <f aca="false">IF(B348="","",IF(COUNTIF(Campaigns!$A$7:$A$300,B348)&gt;0,"✓","⚠ add to Campaigns tab"))</f>
        <v/>
      </c>
      <c r="I348" s="84" t="str">
        <f aca="false">IF(C348="","",C348*IF(Settings!$B$22=Settings!$C$6,1,IF(Settings!$B$22="USD",1/INDEX(Settings!$B$29:$B$40,MONTH(A348)),INDEX(Settings!$B$29:$B$40,MONTH(A348)))))</f>
        <v/>
      </c>
    </row>
    <row r="349" customFormat="false" ht="15" hidden="false" customHeight="false" outlineLevel="0" collapsed="false">
      <c r="H349" s="0" t="str">
        <f aca="false">IF(B349="","",IF(COUNTIF(Campaigns!$A$7:$A$300,B349)&gt;0,"✓","⚠ add to Campaigns tab"))</f>
        <v/>
      </c>
      <c r="I349" s="84" t="str">
        <f aca="false">IF(C349="","",C349*IF(Settings!$B$22=Settings!$C$6,1,IF(Settings!$B$22="USD",1/INDEX(Settings!$B$29:$B$40,MONTH(A349)),INDEX(Settings!$B$29:$B$40,MONTH(A349)))))</f>
        <v/>
      </c>
    </row>
    <row r="350" customFormat="false" ht="15" hidden="false" customHeight="false" outlineLevel="0" collapsed="false">
      <c r="H350" s="0" t="str">
        <f aca="false">IF(B350="","",IF(COUNTIF(Campaigns!$A$7:$A$300,B350)&gt;0,"✓","⚠ add to Campaigns tab"))</f>
        <v/>
      </c>
      <c r="I350" s="84" t="str">
        <f aca="false">IF(C350="","",C350*IF(Settings!$B$22=Settings!$C$6,1,IF(Settings!$B$22="USD",1/INDEX(Settings!$B$29:$B$40,MONTH(A350)),INDEX(Settings!$B$29:$B$40,MONTH(A350)))))</f>
        <v/>
      </c>
    </row>
    <row r="351" customFormat="false" ht="15" hidden="false" customHeight="false" outlineLevel="0" collapsed="false">
      <c r="H351" s="0" t="str">
        <f aca="false">IF(B351="","",IF(COUNTIF(Campaigns!$A$7:$A$300,B351)&gt;0,"✓","⚠ add to Campaigns tab"))</f>
        <v/>
      </c>
      <c r="I351" s="84" t="str">
        <f aca="false">IF(C351="","",C351*IF(Settings!$B$22=Settings!$C$6,1,IF(Settings!$B$22="USD",1/INDEX(Settings!$B$29:$B$40,MONTH(A351)),INDEX(Settings!$B$29:$B$40,MONTH(A351)))))</f>
        <v/>
      </c>
    </row>
    <row r="352" customFormat="false" ht="15" hidden="false" customHeight="false" outlineLevel="0" collapsed="false">
      <c r="H352" s="0" t="str">
        <f aca="false">IF(B352="","",IF(COUNTIF(Campaigns!$A$7:$A$300,B352)&gt;0,"✓","⚠ add to Campaigns tab"))</f>
        <v/>
      </c>
      <c r="I352" s="84" t="str">
        <f aca="false">IF(C352="","",C352*IF(Settings!$B$22=Settings!$C$6,1,IF(Settings!$B$22="USD",1/INDEX(Settings!$B$29:$B$40,MONTH(A352)),INDEX(Settings!$B$29:$B$40,MONTH(A352)))))</f>
        <v/>
      </c>
    </row>
    <row r="353" customFormat="false" ht="15" hidden="false" customHeight="false" outlineLevel="0" collapsed="false">
      <c r="H353" s="0" t="str">
        <f aca="false">IF(B353="","",IF(COUNTIF(Campaigns!$A$7:$A$300,B353)&gt;0,"✓","⚠ add to Campaigns tab"))</f>
        <v/>
      </c>
      <c r="I353" s="84" t="str">
        <f aca="false">IF(C353="","",C353*IF(Settings!$B$22=Settings!$C$6,1,IF(Settings!$B$22="USD",1/INDEX(Settings!$B$29:$B$40,MONTH(A353)),INDEX(Settings!$B$29:$B$40,MONTH(A353)))))</f>
        <v/>
      </c>
    </row>
    <row r="354" customFormat="false" ht="15" hidden="false" customHeight="false" outlineLevel="0" collapsed="false">
      <c r="H354" s="0" t="str">
        <f aca="false">IF(B354="","",IF(COUNTIF(Campaigns!$A$7:$A$300,B354)&gt;0,"✓","⚠ add to Campaigns tab"))</f>
        <v/>
      </c>
      <c r="I354" s="84" t="str">
        <f aca="false">IF(C354="","",C354*IF(Settings!$B$22=Settings!$C$6,1,IF(Settings!$B$22="USD",1/INDEX(Settings!$B$29:$B$40,MONTH(A354)),INDEX(Settings!$B$29:$B$40,MONTH(A354)))))</f>
        <v/>
      </c>
    </row>
    <row r="355" customFormat="false" ht="15" hidden="false" customHeight="false" outlineLevel="0" collapsed="false">
      <c r="H355" s="0" t="str">
        <f aca="false">IF(B355="","",IF(COUNTIF(Campaigns!$A$7:$A$300,B355)&gt;0,"✓","⚠ add to Campaigns tab"))</f>
        <v/>
      </c>
      <c r="I355" s="84" t="str">
        <f aca="false">IF(C355="","",C355*IF(Settings!$B$22=Settings!$C$6,1,IF(Settings!$B$22="USD",1/INDEX(Settings!$B$29:$B$40,MONTH(A355)),INDEX(Settings!$B$29:$B$40,MONTH(A355)))))</f>
        <v/>
      </c>
    </row>
    <row r="356" customFormat="false" ht="15" hidden="false" customHeight="false" outlineLevel="0" collapsed="false">
      <c r="H356" s="0" t="str">
        <f aca="false">IF(B356="","",IF(COUNTIF(Campaigns!$A$7:$A$300,B356)&gt;0,"✓","⚠ add to Campaigns tab"))</f>
        <v/>
      </c>
      <c r="I356" s="84" t="str">
        <f aca="false">IF(C356="","",C356*IF(Settings!$B$22=Settings!$C$6,1,IF(Settings!$B$22="USD",1/INDEX(Settings!$B$29:$B$40,MONTH(A356)),INDEX(Settings!$B$29:$B$40,MONTH(A356)))))</f>
        <v/>
      </c>
    </row>
    <row r="357" customFormat="false" ht="15" hidden="false" customHeight="false" outlineLevel="0" collapsed="false">
      <c r="H357" s="0" t="str">
        <f aca="false">IF(B357="","",IF(COUNTIF(Campaigns!$A$7:$A$300,B357)&gt;0,"✓","⚠ add to Campaigns tab"))</f>
        <v/>
      </c>
      <c r="I357" s="84" t="str">
        <f aca="false">IF(C357="","",C357*IF(Settings!$B$22=Settings!$C$6,1,IF(Settings!$B$22="USD",1/INDEX(Settings!$B$29:$B$40,MONTH(A357)),INDEX(Settings!$B$29:$B$40,MONTH(A357)))))</f>
        <v/>
      </c>
    </row>
    <row r="358" customFormat="false" ht="15" hidden="false" customHeight="false" outlineLevel="0" collapsed="false">
      <c r="H358" s="0" t="str">
        <f aca="false">IF(B358="","",IF(COUNTIF(Campaigns!$A$7:$A$300,B358)&gt;0,"✓","⚠ add to Campaigns tab"))</f>
        <v/>
      </c>
      <c r="I358" s="84" t="str">
        <f aca="false">IF(C358="","",C358*IF(Settings!$B$22=Settings!$C$6,1,IF(Settings!$B$22="USD",1/INDEX(Settings!$B$29:$B$40,MONTH(A358)),INDEX(Settings!$B$29:$B$40,MONTH(A358)))))</f>
        <v/>
      </c>
    </row>
    <row r="359" customFormat="false" ht="15" hidden="false" customHeight="false" outlineLevel="0" collapsed="false">
      <c r="H359" s="0" t="str">
        <f aca="false">IF(B359="","",IF(COUNTIF(Campaigns!$A$7:$A$300,B359)&gt;0,"✓","⚠ add to Campaigns tab"))</f>
        <v/>
      </c>
      <c r="I359" s="84" t="str">
        <f aca="false">IF(C359="","",C359*IF(Settings!$B$22=Settings!$C$6,1,IF(Settings!$B$22="USD",1/INDEX(Settings!$B$29:$B$40,MONTH(A359)),INDEX(Settings!$B$29:$B$40,MONTH(A359)))))</f>
        <v/>
      </c>
    </row>
    <row r="360" customFormat="false" ht="15" hidden="false" customHeight="false" outlineLevel="0" collapsed="false">
      <c r="H360" s="0" t="str">
        <f aca="false">IF(B360="","",IF(COUNTIF(Campaigns!$A$7:$A$300,B360)&gt;0,"✓","⚠ add to Campaigns tab"))</f>
        <v/>
      </c>
      <c r="I360" s="84" t="str">
        <f aca="false">IF(C360="","",C360*IF(Settings!$B$22=Settings!$C$6,1,IF(Settings!$B$22="USD",1/INDEX(Settings!$B$29:$B$40,MONTH(A360)),INDEX(Settings!$B$29:$B$40,MONTH(A360)))))</f>
        <v/>
      </c>
    </row>
    <row r="361" customFormat="false" ht="15" hidden="false" customHeight="false" outlineLevel="0" collapsed="false">
      <c r="H361" s="0" t="str">
        <f aca="false">IF(B361="","",IF(COUNTIF(Campaigns!$A$7:$A$300,B361)&gt;0,"✓","⚠ add to Campaigns tab"))</f>
        <v/>
      </c>
      <c r="I361" s="84" t="str">
        <f aca="false">IF(C361="","",C361*IF(Settings!$B$22=Settings!$C$6,1,IF(Settings!$B$22="USD",1/INDEX(Settings!$B$29:$B$40,MONTH(A361)),INDEX(Settings!$B$29:$B$40,MONTH(A361)))))</f>
        <v/>
      </c>
    </row>
    <row r="362" customFormat="false" ht="15" hidden="false" customHeight="false" outlineLevel="0" collapsed="false">
      <c r="H362" s="0" t="str">
        <f aca="false">IF(B362="","",IF(COUNTIF(Campaigns!$A$7:$A$300,B362)&gt;0,"✓","⚠ add to Campaigns tab"))</f>
        <v/>
      </c>
      <c r="I362" s="84" t="str">
        <f aca="false">IF(C362="","",C362*IF(Settings!$B$22=Settings!$C$6,1,IF(Settings!$B$22="USD",1/INDEX(Settings!$B$29:$B$40,MONTH(A362)),INDEX(Settings!$B$29:$B$40,MONTH(A362)))))</f>
        <v/>
      </c>
    </row>
    <row r="363" customFormat="false" ht="15" hidden="false" customHeight="false" outlineLevel="0" collapsed="false">
      <c r="H363" s="0" t="str">
        <f aca="false">IF(B363="","",IF(COUNTIF(Campaigns!$A$7:$A$300,B363)&gt;0,"✓","⚠ add to Campaigns tab"))</f>
        <v/>
      </c>
      <c r="I363" s="84" t="str">
        <f aca="false">IF(C363="","",C363*IF(Settings!$B$22=Settings!$C$6,1,IF(Settings!$B$22="USD",1/INDEX(Settings!$B$29:$B$40,MONTH(A363)),INDEX(Settings!$B$29:$B$40,MONTH(A363)))))</f>
        <v/>
      </c>
    </row>
    <row r="364" customFormat="false" ht="15" hidden="false" customHeight="false" outlineLevel="0" collapsed="false">
      <c r="H364" s="0" t="str">
        <f aca="false">IF(B364="","",IF(COUNTIF(Campaigns!$A$7:$A$300,B364)&gt;0,"✓","⚠ add to Campaigns tab"))</f>
        <v/>
      </c>
      <c r="I364" s="84" t="str">
        <f aca="false">IF(C364="","",C364*IF(Settings!$B$22=Settings!$C$6,1,IF(Settings!$B$22="USD",1/INDEX(Settings!$B$29:$B$40,MONTH(A364)),INDEX(Settings!$B$29:$B$40,MONTH(A364)))))</f>
        <v/>
      </c>
    </row>
    <row r="365" customFormat="false" ht="15" hidden="false" customHeight="false" outlineLevel="0" collapsed="false">
      <c r="H365" s="0" t="str">
        <f aca="false">IF(B365="","",IF(COUNTIF(Campaigns!$A$7:$A$300,B365)&gt;0,"✓","⚠ add to Campaigns tab"))</f>
        <v/>
      </c>
      <c r="I365" s="84" t="str">
        <f aca="false">IF(C365="","",C365*IF(Settings!$B$22=Settings!$C$6,1,IF(Settings!$B$22="USD",1/INDEX(Settings!$B$29:$B$40,MONTH(A365)),INDEX(Settings!$B$29:$B$40,MONTH(A365)))))</f>
        <v/>
      </c>
    </row>
    <row r="366" customFormat="false" ht="15" hidden="false" customHeight="false" outlineLevel="0" collapsed="false">
      <c r="H366" s="0" t="str">
        <f aca="false">IF(B366="","",IF(COUNTIF(Campaigns!$A$7:$A$300,B366)&gt;0,"✓","⚠ add to Campaigns tab"))</f>
        <v/>
      </c>
      <c r="I366" s="84" t="str">
        <f aca="false">IF(C366="","",C366*IF(Settings!$B$22=Settings!$C$6,1,IF(Settings!$B$22="USD",1/INDEX(Settings!$B$29:$B$40,MONTH(A366)),INDEX(Settings!$B$29:$B$40,MONTH(A366)))))</f>
        <v/>
      </c>
    </row>
    <row r="367" customFormat="false" ht="15" hidden="false" customHeight="false" outlineLevel="0" collapsed="false">
      <c r="H367" s="0" t="str">
        <f aca="false">IF(B367="","",IF(COUNTIF(Campaigns!$A$7:$A$300,B367)&gt;0,"✓","⚠ add to Campaigns tab"))</f>
        <v/>
      </c>
      <c r="I367" s="84" t="str">
        <f aca="false">IF(C367="","",C367*IF(Settings!$B$22=Settings!$C$6,1,IF(Settings!$B$22="USD",1/INDEX(Settings!$B$29:$B$40,MONTH(A367)),INDEX(Settings!$B$29:$B$40,MONTH(A367)))))</f>
        <v/>
      </c>
    </row>
    <row r="368" customFormat="false" ht="15" hidden="false" customHeight="false" outlineLevel="0" collapsed="false">
      <c r="H368" s="0" t="str">
        <f aca="false">IF(B368="","",IF(COUNTIF(Campaigns!$A$7:$A$300,B368)&gt;0,"✓","⚠ add to Campaigns tab"))</f>
        <v/>
      </c>
      <c r="I368" s="84" t="str">
        <f aca="false">IF(C368="","",C368*IF(Settings!$B$22=Settings!$C$6,1,IF(Settings!$B$22="USD",1/INDEX(Settings!$B$29:$B$40,MONTH(A368)),INDEX(Settings!$B$29:$B$40,MONTH(A368)))))</f>
        <v/>
      </c>
    </row>
    <row r="369" customFormat="false" ht="15" hidden="false" customHeight="false" outlineLevel="0" collapsed="false">
      <c r="H369" s="0" t="str">
        <f aca="false">IF(B369="","",IF(COUNTIF(Campaigns!$A$7:$A$300,B369)&gt;0,"✓","⚠ add to Campaigns tab"))</f>
        <v/>
      </c>
      <c r="I369" s="84" t="str">
        <f aca="false">IF(C369="","",C369*IF(Settings!$B$22=Settings!$C$6,1,IF(Settings!$B$22="USD",1/INDEX(Settings!$B$29:$B$40,MONTH(A369)),INDEX(Settings!$B$29:$B$40,MONTH(A369)))))</f>
        <v/>
      </c>
    </row>
    <row r="370" customFormat="false" ht="15" hidden="false" customHeight="false" outlineLevel="0" collapsed="false">
      <c r="H370" s="0" t="str">
        <f aca="false">IF(B370="","",IF(COUNTIF(Campaigns!$A$7:$A$300,B370)&gt;0,"✓","⚠ add to Campaigns tab"))</f>
        <v/>
      </c>
      <c r="I370" s="84" t="str">
        <f aca="false">IF(C370="","",C370*IF(Settings!$B$22=Settings!$C$6,1,IF(Settings!$B$22="USD",1/INDEX(Settings!$B$29:$B$40,MONTH(A370)),INDEX(Settings!$B$29:$B$40,MONTH(A370)))))</f>
        <v/>
      </c>
    </row>
    <row r="371" customFormat="false" ht="15" hidden="false" customHeight="false" outlineLevel="0" collapsed="false">
      <c r="H371" s="0" t="str">
        <f aca="false">IF(B371="","",IF(COUNTIF(Campaigns!$A$7:$A$300,B371)&gt;0,"✓","⚠ add to Campaigns tab"))</f>
        <v/>
      </c>
      <c r="I371" s="84" t="str">
        <f aca="false">IF(C371="","",C371*IF(Settings!$B$22=Settings!$C$6,1,IF(Settings!$B$22="USD",1/INDEX(Settings!$B$29:$B$40,MONTH(A371)),INDEX(Settings!$B$29:$B$40,MONTH(A371)))))</f>
        <v/>
      </c>
    </row>
    <row r="372" customFormat="false" ht="15" hidden="false" customHeight="false" outlineLevel="0" collapsed="false">
      <c r="H372" s="0" t="str">
        <f aca="false">IF(B372="","",IF(COUNTIF(Campaigns!$A$7:$A$300,B372)&gt;0,"✓","⚠ add to Campaigns tab"))</f>
        <v/>
      </c>
      <c r="I372" s="84" t="str">
        <f aca="false">IF(C372="","",C372*IF(Settings!$B$22=Settings!$C$6,1,IF(Settings!$B$22="USD",1/INDEX(Settings!$B$29:$B$40,MONTH(A372)),INDEX(Settings!$B$29:$B$40,MONTH(A372)))))</f>
        <v/>
      </c>
    </row>
    <row r="373" customFormat="false" ht="15" hidden="false" customHeight="false" outlineLevel="0" collapsed="false">
      <c r="H373" s="0" t="str">
        <f aca="false">IF(B373="","",IF(COUNTIF(Campaigns!$A$7:$A$300,B373)&gt;0,"✓","⚠ add to Campaigns tab"))</f>
        <v/>
      </c>
      <c r="I373" s="84" t="str">
        <f aca="false">IF(C373="","",C373*IF(Settings!$B$22=Settings!$C$6,1,IF(Settings!$B$22="USD",1/INDEX(Settings!$B$29:$B$40,MONTH(A373)),INDEX(Settings!$B$29:$B$40,MONTH(A373)))))</f>
        <v/>
      </c>
    </row>
    <row r="374" customFormat="false" ht="15" hidden="false" customHeight="false" outlineLevel="0" collapsed="false">
      <c r="H374" s="0" t="str">
        <f aca="false">IF(B374="","",IF(COUNTIF(Campaigns!$A$7:$A$300,B374)&gt;0,"✓","⚠ add to Campaigns tab"))</f>
        <v/>
      </c>
      <c r="I374" s="84" t="str">
        <f aca="false">IF(C374="","",C374*IF(Settings!$B$22=Settings!$C$6,1,IF(Settings!$B$22="USD",1/INDEX(Settings!$B$29:$B$40,MONTH(A374)),INDEX(Settings!$B$29:$B$40,MONTH(A374)))))</f>
        <v/>
      </c>
    </row>
    <row r="375" customFormat="false" ht="15" hidden="false" customHeight="false" outlineLevel="0" collapsed="false">
      <c r="H375" s="0" t="str">
        <f aca="false">IF(B375="","",IF(COUNTIF(Campaigns!$A$7:$A$300,B375)&gt;0,"✓","⚠ add to Campaigns tab"))</f>
        <v/>
      </c>
      <c r="I375" s="84" t="str">
        <f aca="false">IF(C375="","",C375*IF(Settings!$B$22=Settings!$C$6,1,IF(Settings!$B$22="USD",1/INDEX(Settings!$B$29:$B$40,MONTH(A375)),INDEX(Settings!$B$29:$B$40,MONTH(A375)))))</f>
        <v/>
      </c>
    </row>
    <row r="376" customFormat="false" ht="15" hidden="false" customHeight="false" outlineLevel="0" collapsed="false">
      <c r="H376" s="0" t="str">
        <f aca="false">IF(B376="","",IF(COUNTIF(Campaigns!$A$7:$A$300,B376)&gt;0,"✓","⚠ add to Campaigns tab"))</f>
        <v/>
      </c>
      <c r="I376" s="84" t="str">
        <f aca="false">IF(C376="","",C376*IF(Settings!$B$22=Settings!$C$6,1,IF(Settings!$B$22="USD",1/INDEX(Settings!$B$29:$B$40,MONTH(A376)),INDEX(Settings!$B$29:$B$40,MONTH(A376)))))</f>
        <v/>
      </c>
    </row>
    <row r="377" customFormat="false" ht="15" hidden="false" customHeight="false" outlineLevel="0" collapsed="false">
      <c r="H377" s="0" t="str">
        <f aca="false">IF(B377="","",IF(COUNTIF(Campaigns!$A$7:$A$300,B377)&gt;0,"✓","⚠ add to Campaigns tab"))</f>
        <v/>
      </c>
      <c r="I377" s="84" t="str">
        <f aca="false">IF(C377="","",C377*IF(Settings!$B$22=Settings!$C$6,1,IF(Settings!$B$22="USD",1/INDEX(Settings!$B$29:$B$40,MONTH(A377)),INDEX(Settings!$B$29:$B$40,MONTH(A377)))))</f>
        <v/>
      </c>
    </row>
    <row r="378" customFormat="false" ht="15" hidden="false" customHeight="false" outlineLevel="0" collapsed="false">
      <c r="H378" s="0" t="str">
        <f aca="false">IF(B378="","",IF(COUNTIF(Campaigns!$A$7:$A$300,B378)&gt;0,"✓","⚠ add to Campaigns tab"))</f>
        <v/>
      </c>
      <c r="I378" s="84" t="str">
        <f aca="false">IF(C378="","",C378*IF(Settings!$B$22=Settings!$C$6,1,IF(Settings!$B$22="USD",1/INDEX(Settings!$B$29:$B$40,MONTH(A378)),INDEX(Settings!$B$29:$B$40,MONTH(A378)))))</f>
        <v/>
      </c>
    </row>
    <row r="379" customFormat="false" ht="15" hidden="false" customHeight="false" outlineLevel="0" collapsed="false">
      <c r="H379" s="0" t="str">
        <f aca="false">IF(B379="","",IF(COUNTIF(Campaigns!$A$7:$A$300,B379)&gt;0,"✓","⚠ add to Campaigns tab"))</f>
        <v/>
      </c>
      <c r="I379" s="84" t="str">
        <f aca="false">IF(C379="","",C379*IF(Settings!$B$22=Settings!$C$6,1,IF(Settings!$B$22="USD",1/INDEX(Settings!$B$29:$B$40,MONTH(A379)),INDEX(Settings!$B$29:$B$40,MONTH(A379)))))</f>
        <v/>
      </c>
    </row>
    <row r="380" customFormat="false" ht="15" hidden="false" customHeight="false" outlineLevel="0" collapsed="false">
      <c r="H380" s="0" t="str">
        <f aca="false">IF(B380="","",IF(COUNTIF(Campaigns!$A$7:$A$300,B380)&gt;0,"✓","⚠ add to Campaigns tab"))</f>
        <v/>
      </c>
      <c r="I380" s="84" t="str">
        <f aca="false">IF(C380="","",C380*IF(Settings!$B$22=Settings!$C$6,1,IF(Settings!$B$22="USD",1/INDEX(Settings!$B$29:$B$40,MONTH(A380)),INDEX(Settings!$B$29:$B$40,MONTH(A380)))))</f>
        <v/>
      </c>
    </row>
    <row r="381" customFormat="false" ht="15" hidden="false" customHeight="false" outlineLevel="0" collapsed="false">
      <c r="H381" s="0" t="str">
        <f aca="false">IF(B381="","",IF(COUNTIF(Campaigns!$A$7:$A$300,B381)&gt;0,"✓","⚠ add to Campaigns tab"))</f>
        <v/>
      </c>
      <c r="I381" s="84" t="str">
        <f aca="false">IF(C381="","",C381*IF(Settings!$B$22=Settings!$C$6,1,IF(Settings!$B$22="USD",1/INDEX(Settings!$B$29:$B$40,MONTH(A381)),INDEX(Settings!$B$29:$B$40,MONTH(A381)))))</f>
        <v/>
      </c>
    </row>
    <row r="382" customFormat="false" ht="15" hidden="false" customHeight="false" outlineLevel="0" collapsed="false">
      <c r="H382" s="0" t="str">
        <f aca="false">IF(B382="","",IF(COUNTIF(Campaigns!$A$7:$A$300,B382)&gt;0,"✓","⚠ add to Campaigns tab"))</f>
        <v/>
      </c>
      <c r="I382" s="84" t="str">
        <f aca="false">IF(C382="","",C382*IF(Settings!$B$22=Settings!$C$6,1,IF(Settings!$B$22="USD",1/INDEX(Settings!$B$29:$B$40,MONTH(A382)),INDEX(Settings!$B$29:$B$40,MONTH(A382)))))</f>
        <v/>
      </c>
    </row>
    <row r="383" customFormat="false" ht="15" hidden="false" customHeight="false" outlineLevel="0" collapsed="false">
      <c r="H383" s="0" t="str">
        <f aca="false">IF(B383="","",IF(COUNTIF(Campaigns!$A$7:$A$300,B383)&gt;0,"✓","⚠ add to Campaigns tab"))</f>
        <v/>
      </c>
      <c r="I383" s="84" t="str">
        <f aca="false">IF(C383="","",C383*IF(Settings!$B$22=Settings!$C$6,1,IF(Settings!$B$22="USD",1/INDEX(Settings!$B$29:$B$40,MONTH(A383)),INDEX(Settings!$B$29:$B$40,MONTH(A383)))))</f>
        <v/>
      </c>
    </row>
    <row r="384" customFormat="false" ht="15" hidden="false" customHeight="false" outlineLevel="0" collapsed="false">
      <c r="H384" s="0" t="str">
        <f aca="false">IF(B384="","",IF(COUNTIF(Campaigns!$A$7:$A$300,B384)&gt;0,"✓","⚠ add to Campaigns tab"))</f>
        <v/>
      </c>
      <c r="I384" s="84" t="str">
        <f aca="false">IF(C384="","",C384*IF(Settings!$B$22=Settings!$C$6,1,IF(Settings!$B$22="USD",1/INDEX(Settings!$B$29:$B$40,MONTH(A384)),INDEX(Settings!$B$29:$B$40,MONTH(A384)))))</f>
        <v/>
      </c>
    </row>
    <row r="385" customFormat="false" ht="15" hidden="false" customHeight="false" outlineLevel="0" collapsed="false">
      <c r="H385" s="0" t="str">
        <f aca="false">IF(B385="","",IF(COUNTIF(Campaigns!$A$7:$A$300,B385)&gt;0,"✓","⚠ add to Campaigns tab"))</f>
        <v/>
      </c>
      <c r="I385" s="84" t="str">
        <f aca="false">IF(C385="","",C385*IF(Settings!$B$22=Settings!$C$6,1,IF(Settings!$B$22="USD",1/INDEX(Settings!$B$29:$B$40,MONTH(A385)),INDEX(Settings!$B$29:$B$40,MONTH(A385)))))</f>
        <v/>
      </c>
    </row>
    <row r="386" customFormat="false" ht="15" hidden="false" customHeight="false" outlineLevel="0" collapsed="false">
      <c r="H386" s="0" t="str">
        <f aca="false">IF(B386="","",IF(COUNTIF(Campaigns!$A$7:$A$300,B386)&gt;0,"✓","⚠ add to Campaigns tab"))</f>
        <v/>
      </c>
      <c r="I386" s="84" t="str">
        <f aca="false">IF(C386="","",C386*IF(Settings!$B$22=Settings!$C$6,1,IF(Settings!$B$22="USD",1/INDEX(Settings!$B$29:$B$40,MONTH(A386)),INDEX(Settings!$B$29:$B$40,MONTH(A386)))))</f>
        <v/>
      </c>
    </row>
    <row r="387" customFormat="false" ht="15" hidden="false" customHeight="false" outlineLevel="0" collapsed="false">
      <c r="H387" s="0" t="str">
        <f aca="false">IF(B387="","",IF(COUNTIF(Campaigns!$A$7:$A$300,B387)&gt;0,"✓","⚠ add to Campaigns tab"))</f>
        <v/>
      </c>
      <c r="I387" s="84" t="str">
        <f aca="false">IF(C387="","",C387*IF(Settings!$B$22=Settings!$C$6,1,IF(Settings!$B$22="USD",1/INDEX(Settings!$B$29:$B$40,MONTH(A387)),INDEX(Settings!$B$29:$B$40,MONTH(A387)))))</f>
        <v/>
      </c>
    </row>
    <row r="388" customFormat="false" ht="15" hidden="false" customHeight="false" outlineLevel="0" collapsed="false">
      <c r="H388" s="0" t="str">
        <f aca="false">IF(B388="","",IF(COUNTIF(Campaigns!$A$7:$A$300,B388)&gt;0,"✓","⚠ add to Campaigns tab"))</f>
        <v/>
      </c>
      <c r="I388" s="84" t="str">
        <f aca="false">IF(C388="","",C388*IF(Settings!$B$22=Settings!$C$6,1,IF(Settings!$B$22="USD",1/INDEX(Settings!$B$29:$B$40,MONTH(A388)),INDEX(Settings!$B$29:$B$40,MONTH(A388)))))</f>
        <v/>
      </c>
    </row>
    <row r="389" customFormat="false" ht="15" hidden="false" customHeight="false" outlineLevel="0" collapsed="false">
      <c r="H389" s="0" t="str">
        <f aca="false">IF(B389="","",IF(COUNTIF(Campaigns!$A$7:$A$300,B389)&gt;0,"✓","⚠ add to Campaigns tab"))</f>
        <v/>
      </c>
      <c r="I389" s="84" t="str">
        <f aca="false">IF(C389="","",C389*IF(Settings!$B$22=Settings!$C$6,1,IF(Settings!$B$22="USD",1/INDEX(Settings!$B$29:$B$40,MONTH(A389)),INDEX(Settings!$B$29:$B$40,MONTH(A389)))))</f>
        <v/>
      </c>
    </row>
    <row r="390" customFormat="false" ht="15" hidden="false" customHeight="false" outlineLevel="0" collapsed="false">
      <c r="H390" s="0" t="str">
        <f aca="false">IF(B390="","",IF(COUNTIF(Campaigns!$A$7:$A$300,B390)&gt;0,"✓","⚠ add to Campaigns tab"))</f>
        <v/>
      </c>
      <c r="I390" s="84" t="str">
        <f aca="false">IF(C390="","",C390*IF(Settings!$B$22=Settings!$C$6,1,IF(Settings!$B$22="USD",1/INDEX(Settings!$B$29:$B$40,MONTH(A390)),INDEX(Settings!$B$29:$B$40,MONTH(A390)))))</f>
        <v/>
      </c>
    </row>
    <row r="391" customFormat="false" ht="15" hidden="false" customHeight="false" outlineLevel="0" collapsed="false">
      <c r="H391" s="0" t="str">
        <f aca="false">IF(B391="","",IF(COUNTIF(Campaigns!$A$7:$A$300,B391)&gt;0,"✓","⚠ add to Campaigns tab"))</f>
        <v/>
      </c>
      <c r="I391" s="84" t="str">
        <f aca="false">IF(C391="","",C391*IF(Settings!$B$22=Settings!$C$6,1,IF(Settings!$B$22="USD",1/INDEX(Settings!$B$29:$B$40,MONTH(A391)),INDEX(Settings!$B$29:$B$40,MONTH(A391)))))</f>
        <v/>
      </c>
    </row>
    <row r="392" customFormat="false" ht="15" hidden="false" customHeight="false" outlineLevel="0" collapsed="false">
      <c r="H392" s="0" t="str">
        <f aca="false">IF(B392="","",IF(COUNTIF(Campaigns!$A$7:$A$300,B392)&gt;0,"✓","⚠ add to Campaigns tab"))</f>
        <v/>
      </c>
      <c r="I392" s="84" t="str">
        <f aca="false">IF(C392="","",C392*IF(Settings!$B$22=Settings!$C$6,1,IF(Settings!$B$22="USD",1/INDEX(Settings!$B$29:$B$40,MONTH(A392)),INDEX(Settings!$B$29:$B$40,MONTH(A392)))))</f>
        <v/>
      </c>
    </row>
    <row r="393" customFormat="false" ht="15" hidden="false" customHeight="false" outlineLevel="0" collapsed="false">
      <c r="H393" s="0" t="str">
        <f aca="false">IF(B393="","",IF(COUNTIF(Campaigns!$A$7:$A$300,B393)&gt;0,"✓","⚠ add to Campaigns tab"))</f>
        <v/>
      </c>
      <c r="I393" s="84" t="str">
        <f aca="false">IF(C393="","",C393*IF(Settings!$B$22=Settings!$C$6,1,IF(Settings!$B$22="USD",1/INDEX(Settings!$B$29:$B$40,MONTH(A393)),INDEX(Settings!$B$29:$B$40,MONTH(A393)))))</f>
        <v/>
      </c>
    </row>
    <row r="394" customFormat="false" ht="15" hidden="false" customHeight="false" outlineLevel="0" collapsed="false">
      <c r="H394" s="0" t="str">
        <f aca="false">IF(B394="","",IF(COUNTIF(Campaigns!$A$7:$A$300,B394)&gt;0,"✓","⚠ add to Campaigns tab"))</f>
        <v/>
      </c>
      <c r="I394" s="84" t="str">
        <f aca="false">IF(C394="","",C394*IF(Settings!$B$22=Settings!$C$6,1,IF(Settings!$B$22="USD",1/INDEX(Settings!$B$29:$B$40,MONTH(A394)),INDEX(Settings!$B$29:$B$40,MONTH(A394)))))</f>
        <v/>
      </c>
    </row>
    <row r="395" customFormat="false" ht="15" hidden="false" customHeight="false" outlineLevel="0" collapsed="false">
      <c r="H395" s="0" t="str">
        <f aca="false">IF(B395="","",IF(COUNTIF(Campaigns!$A$7:$A$300,B395)&gt;0,"✓","⚠ add to Campaigns tab"))</f>
        <v/>
      </c>
      <c r="I395" s="84" t="str">
        <f aca="false">IF(C395="","",C395*IF(Settings!$B$22=Settings!$C$6,1,IF(Settings!$B$22="USD",1/INDEX(Settings!$B$29:$B$40,MONTH(A395)),INDEX(Settings!$B$29:$B$40,MONTH(A395)))))</f>
        <v/>
      </c>
    </row>
    <row r="396" customFormat="false" ht="15" hidden="false" customHeight="false" outlineLevel="0" collapsed="false">
      <c r="H396" s="0" t="str">
        <f aca="false">IF(B396="","",IF(COUNTIF(Campaigns!$A$7:$A$300,B396)&gt;0,"✓","⚠ add to Campaigns tab"))</f>
        <v/>
      </c>
      <c r="I396" s="84" t="str">
        <f aca="false">IF(C396="","",C396*IF(Settings!$B$22=Settings!$C$6,1,IF(Settings!$B$22="USD",1/INDEX(Settings!$B$29:$B$40,MONTH(A396)),INDEX(Settings!$B$29:$B$40,MONTH(A396)))))</f>
        <v/>
      </c>
    </row>
    <row r="397" customFormat="false" ht="15" hidden="false" customHeight="false" outlineLevel="0" collapsed="false">
      <c r="H397" s="0" t="str">
        <f aca="false">IF(B397="","",IF(COUNTIF(Campaigns!$A$7:$A$300,B397)&gt;0,"✓","⚠ add to Campaigns tab"))</f>
        <v/>
      </c>
      <c r="I397" s="84" t="str">
        <f aca="false">IF(C397="","",C397*IF(Settings!$B$22=Settings!$C$6,1,IF(Settings!$B$22="USD",1/INDEX(Settings!$B$29:$B$40,MONTH(A397)),INDEX(Settings!$B$29:$B$40,MONTH(A397)))))</f>
        <v/>
      </c>
    </row>
    <row r="398" customFormat="false" ht="15" hidden="false" customHeight="false" outlineLevel="0" collapsed="false">
      <c r="H398" s="0" t="str">
        <f aca="false">IF(B398="","",IF(COUNTIF(Campaigns!$A$7:$A$300,B398)&gt;0,"✓","⚠ add to Campaigns tab"))</f>
        <v/>
      </c>
      <c r="I398" s="84" t="str">
        <f aca="false">IF(C398="","",C398*IF(Settings!$B$22=Settings!$C$6,1,IF(Settings!$B$22="USD",1/INDEX(Settings!$B$29:$B$40,MONTH(A398)),INDEX(Settings!$B$29:$B$40,MONTH(A398)))))</f>
        <v/>
      </c>
    </row>
    <row r="399" customFormat="false" ht="15" hidden="false" customHeight="false" outlineLevel="0" collapsed="false">
      <c r="H399" s="0" t="str">
        <f aca="false">IF(B399="","",IF(COUNTIF(Campaigns!$A$7:$A$300,B399)&gt;0,"✓","⚠ add to Campaigns tab"))</f>
        <v/>
      </c>
      <c r="I399" s="84" t="str">
        <f aca="false">IF(C399="","",C399*IF(Settings!$B$22=Settings!$C$6,1,IF(Settings!$B$22="USD",1/INDEX(Settings!$B$29:$B$40,MONTH(A399)),INDEX(Settings!$B$29:$B$40,MONTH(A399)))))</f>
        <v/>
      </c>
    </row>
    <row r="400" customFormat="false" ht="15" hidden="false" customHeight="false" outlineLevel="0" collapsed="false">
      <c r="H400" s="0" t="str">
        <f aca="false">IF(B400="","",IF(COUNTIF(Campaigns!$A$7:$A$300,B400)&gt;0,"✓","⚠ add to Campaigns tab"))</f>
        <v/>
      </c>
      <c r="I400" s="84" t="str">
        <f aca="false">IF(C400="","",C400*IF(Settings!$B$22=Settings!$C$6,1,IF(Settings!$B$22="USD",1/INDEX(Settings!$B$29:$B$40,MONTH(A400)),INDEX(Settings!$B$29:$B$40,MONTH(A400)))))</f>
        <v/>
      </c>
    </row>
    <row r="401" customFormat="false" ht="15" hidden="false" customHeight="false" outlineLevel="0" collapsed="false">
      <c r="H401" s="0" t="str">
        <f aca="false">IF(B401="","",IF(COUNTIF(Campaigns!$A$7:$A$300,B401)&gt;0,"✓","⚠ add to Campaigns tab"))</f>
        <v/>
      </c>
      <c r="I401" s="84" t="str">
        <f aca="false">IF(C401="","",C401*IF(Settings!$B$22=Settings!$C$6,1,IF(Settings!$B$22="USD",1/INDEX(Settings!$B$29:$B$40,MONTH(A401)),INDEX(Settings!$B$29:$B$40,MONTH(A401)))))</f>
        <v/>
      </c>
    </row>
    <row r="402" customFormat="false" ht="15" hidden="false" customHeight="false" outlineLevel="0" collapsed="false">
      <c r="H402" s="0" t="str">
        <f aca="false">IF(B402="","",IF(COUNTIF(Campaigns!$A$7:$A$300,B402)&gt;0,"✓","⚠ add to Campaigns tab"))</f>
        <v/>
      </c>
      <c r="I402" s="84" t="str">
        <f aca="false">IF(C402="","",C402*IF(Settings!$B$22=Settings!$C$6,1,IF(Settings!$B$22="USD",1/INDEX(Settings!$B$29:$B$40,MONTH(A402)),INDEX(Settings!$B$29:$B$40,MONTH(A402)))))</f>
        <v/>
      </c>
    </row>
    <row r="403" customFormat="false" ht="15" hidden="false" customHeight="false" outlineLevel="0" collapsed="false">
      <c r="H403" s="0" t="str">
        <f aca="false">IF(B403="","",IF(COUNTIF(Campaigns!$A$7:$A$300,B403)&gt;0,"✓","⚠ add to Campaigns tab"))</f>
        <v/>
      </c>
      <c r="I403" s="84" t="str">
        <f aca="false">IF(C403="","",C403*IF(Settings!$B$22=Settings!$C$6,1,IF(Settings!$B$22="USD",1/INDEX(Settings!$B$29:$B$40,MONTH(A403)),INDEX(Settings!$B$29:$B$40,MONTH(A403)))))</f>
        <v/>
      </c>
    </row>
    <row r="404" customFormat="false" ht="15" hidden="false" customHeight="false" outlineLevel="0" collapsed="false">
      <c r="H404" s="0" t="str">
        <f aca="false">IF(B404="","",IF(COUNTIF(Campaigns!$A$7:$A$300,B404)&gt;0,"✓","⚠ add to Campaigns tab"))</f>
        <v/>
      </c>
      <c r="I404" s="84" t="str">
        <f aca="false">IF(C404="","",C404*IF(Settings!$B$22=Settings!$C$6,1,IF(Settings!$B$22="USD",1/INDEX(Settings!$B$29:$B$40,MONTH(A404)),INDEX(Settings!$B$29:$B$40,MONTH(A404)))))</f>
        <v/>
      </c>
    </row>
    <row r="405" customFormat="false" ht="15" hidden="false" customHeight="false" outlineLevel="0" collapsed="false">
      <c r="H405" s="0" t="str">
        <f aca="false">IF(B405="","",IF(COUNTIF(Campaigns!$A$7:$A$300,B405)&gt;0,"✓","⚠ add to Campaigns tab"))</f>
        <v/>
      </c>
      <c r="I405" s="84" t="str">
        <f aca="false">IF(C405="","",C405*IF(Settings!$B$22=Settings!$C$6,1,IF(Settings!$B$22="USD",1/INDEX(Settings!$B$29:$B$40,MONTH(A405)),INDEX(Settings!$B$29:$B$40,MONTH(A405)))))</f>
        <v/>
      </c>
    </row>
    <row r="406" customFormat="false" ht="15" hidden="false" customHeight="false" outlineLevel="0" collapsed="false">
      <c r="H406" s="0" t="str">
        <f aca="false">IF(B406="","",IF(COUNTIF(Campaigns!$A$7:$A$300,B406)&gt;0,"✓","⚠ add to Campaigns tab"))</f>
        <v/>
      </c>
      <c r="I406" s="84" t="str">
        <f aca="false">IF(C406="","",C406*IF(Settings!$B$22=Settings!$C$6,1,IF(Settings!$B$22="USD",1/INDEX(Settings!$B$29:$B$40,MONTH(A406)),INDEX(Settings!$B$29:$B$40,MONTH(A406)))))</f>
        <v/>
      </c>
    </row>
    <row r="407" customFormat="false" ht="15" hidden="false" customHeight="false" outlineLevel="0" collapsed="false">
      <c r="H407" s="0" t="str">
        <f aca="false">IF(B407="","",IF(COUNTIF(Campaigns!$A$7:$A$300,B407)&gt;0,"✓","⚠ add to Campaigns tab"))</f>
        <v/>
      </c>
      <c r="I407" s="84" t="str">
        <f aca="false">IF(C407="","",C407*IF(Settings!$B$22=Settings!$C$6,1,IF(Settings!$B$22="USD",1/INDEX(Settings!$B$29:$B$40,MONTH(A407)),INDEX(Settings!$B$29:$B$40,MONTH(A407)))))</f>
        <v/>
      </c>
    </row>
    <row r="408" customFormat="false" ht="15" hidden="false" customHeight="false" outlineLevel="0" collapsed="false">
      <c r="H408" s="0" t="str">
        <f aca="false">IF(B408="","",IF(COUNTIF(Campaigns!$A$7:$A$300,B408)&gt;0,"✓","⚠ add to Campaigns tab"))</f>
        <v/>
      </c>
      <c r="I408" s="84" t="str">
        <f aca="false">IF(C408="","",C408*IF(Settings!$B$22=Settings!$C$6,1,IF(Settings!$B$22="USD",1/INDEX(Settings!$B$29:$B$40,MONTH(A408)),INDEX(Settings!$B$29:$B$40,MONTH(A408)))))</f>
        <v/>
      </c>
    </row>
    <row r="409" customFormat="false" ht="15" hidden="false" customHeight="false" outlineLevel="0" collapsed="false">
      <c r="H409" s="0" t="str">
        <f aca="false">IF(B409="","",IF(COUNTIF(Campaigns!$A$7:$A$300,B409)&gt;0,"✓","⚠ add to Campaigns tab"))</f>
        <v/>
      </c>
      <c r="I409" s="84" t="str">
        <f aca="false">IF(C409="","",C409*IF(Settings!$B$22=Settings!$C$6,1,IF(Settings!$B$22="USD",1/INDEX(Settings!$B$29:$B$40,MONTH(A409)),INDEX(Settings!$B$29:$B$40,MONTH(A409)))))</f>
        <v/>
      </c>
    </row>
    <row r="410" customFormat="false" ht="15" hidden="false" customHeight="false" outlineLevel="0" collapsed="false">
      <c r="H410" s="0" t="str">
        <f aca="false">IF(B410="","",IF(COUNTIF(Campaigns!$A$7:$A$300,B410)&gt;0,"✓","⚠ add to Campaigns tab"))</f>
        <v/>
      </c>
      <c r="I410" s="84" t="str">
        <f aca="false">IF(C410="","",C410*IF(Settings!$B$22=Settings!$C$6,1,IF(Settings!$B$22="USD",1/INDEX(Settings!$B$29:$B$40,MONTH(A410)),INDEX(Settings!$B$29:$B$40,MONTH(A410)))))</f>
        <v/>
      </c>
    </row>
    <row r="411" customFormat="false" ht="15" hidden="false" customHeight="false" outlineLevel="0" collapsed="false">
      <c r="H411" s="0" t="str">
        <f aca="false">IF(B411="","",IF(COUNTIF(Campaigns!$A$7:$A$300,B411)&gt;0,"✓","⚠ add to Campaigns tab"))</f>
        <v/>
      </c>
      <c r="I411" s="84" t="str">
        <f aca="false">IF(C411="","",C411*IF(Settings!$B$22=Settings!$C$6,1,IF(Settings!$B$22="USD",1/INDEX(Settings!$B$29:$B$40,MONTH(A411)),INDEX(Settings!$B$29:$B$40,MONTH(A411)))))</f>
        <v/>
      </c>
    </row>
    <row r="412" customFormat="false" ht="15" hidden="false" customHeight="false" outlineLevel="0" collapsed="false">
      <c r="H412" s="0" t="str">
        <f aca="false">IF(B412="","",IF(COUNTIF(Campaigns!$A$7:$A$300,B412)&gt;0,"✓","⚠ add to Campaigns tab"))</f>
        <v/>
      </c>
      <c r="I412" s="84" t="str">
        <f aca="false">IF(C412="","",C412*IF(Settings!$B$22=Settings!$C$6,1,IF(Settings!$B$22="USD",1/INDEX(Settings!$B$29:$B$40,MONTH(A412)),INDEX(Settings!$B$29:$B$40,MONTH(A412)))))</f>
        <v/>
      </c>
    </row>
    <row r="413" customFormat="false" ht="15" hidden="false" customHeight="false" outlineLevel="0" collapsed="false">
      <c r="H413" s="0" t="str">
        <f aca="false">IF(B413="","",IF(COUNTIF(Campaigns!$A$7:$A$300,B413)&gt;0,"✓","⚠ add to Campaigns tab"))</f>
        <v/>
      </c>
      <c r="I413" s="84" t="str">
        <f aca="false">IF(C413="","",C413*IF(Settings!$B$22=Settings!$C$6,1,IF(Settings!$B$22="USD",1/INDEX(Settings!$B$29:$B$40,MONTH(A413)),INDEX(Settings!$B$29:$B$40,MONTH(A413)))))</f>
        <v/>
      </c>
    </row>
    <row r="414" customFormat="false" ht="15" hidden="false" customHeight="false" outlineLevel="0" collapsed="false">
      <c r="H414" s="0" t="str">
        <f aca="false">IF(B414="","",IF(COUNTIF(Campaigns!$A$7:$A$300,B414)&gt;0,"✓","⚠ add to Campaigns tab"))</f>
        <v/>
      </c>
      <c r="I414" s="84" t="str">
        <f aca="false">IF(C414="","",C414*IF(Settings!$B$22=Settings!$C$6,1,IF(Settings!$B$22="USD",1/INDEX(Settings!$B$29:$B$40,MONTH(A414)),INDEX(Settings!$B$29:$B$40,MONTH(A414)))))</f>
        <v/>
      </c>
    </row>
    <row r="415" customFormat="false" ht="15" hidden="false" customHeight="false" outlineLevel="0" collapsed="false">
      <c r="H415" s="0" t="str">
        <f aca="false">IF(B415="","",IF(COUNTIF(Campaigns!$A$7:$A$300,B415)&gt;0,"✓","⚠ add to Campaigns tab"))</f>
        <v/>
      </c>
      <c r="I415" s="84" t="str">
        <f aca="false">IF(C415="","",C415*IF(Settings!$B$22=Settings!$C$6,1,IF(Settings!$B$22="USD",1/INDEX(Settings!$B$29:$B$40,MONTH(A415)),INDEX(Settings!$B$29:$B$40,MONTH(A415)))))</f>
        <v/>
      </c>
    </row>
    <row r="416" customFormat="false" ht="15" hidden="false" customHeight="false" outlineLevel="0" collapsed="false">
      <c r="H416" s="0" t="str">
        <f aca="false">IF(B416="","",IF(COUNTIF(Campaigns!$A$7:$A$300,B416)&gt;0,"✓","⚠ add to Campaigns tab"))</f>
        <v/>
      </c>
      <c r="I416" s="84" t="str">
        <f aca="false">IF(C416="","",C416*IF(Settings!$B$22=Settings!$C$6,1,IF(Settings!$B$22="USD",1/INDEX(Settings!$B$29:$B$40,MONTH(A416)),INDEX(Settings!$B$29:$B$40,MONTH(A416)))))</f>
        <v/>
      </c>
    </row>
    <row r="417" customFormat="false" ht="15" hidden="false" customHeight="false" outlineLevel="0" collapsed="false">
      <c r="H417" s="0" t="str">
        <f aca="false">IF(B417="","",IF(COUNTIF(Campaigns!$A$7:$A$300,B417)&gt;0,"✓","⚠ add to Campaigns tab"))</f>
        <v/>
      </c>
      <c r="I417" s="84" t="str">
        <f aca="false">IF(C417="","",C417*IF(Settings!$B$22=Settings!$C$6,1,IF(Settings!$B$22="USD",1/INDEX(Settings!$B$29:$B$40,MONTH(A417)),INDEX(Settings!$B$29:$B$40,MONTH(A417)))))</f>
        <v/>
      </c>
    </row>
    <row r="418" customFormat="false" ht="15" hidden="false" customHeight="false" outlineLevel="0" collapsed="false">
      <c r="H418" s="0" t="str">
        <f aca="false">IF(B418="","",IF(COUNTIF(Campaigns!$A$7:$A$300,B418)&gt;0,"✓","⚠ add to Campaigns tab"))</f>
        <v/>
      </c>
      <c r="I418" s="84" t="str">
        <f aca="false">IF(C418="","",C418*IF(Settings!$B$22=Settings!$C$6,1,IF(Settings!$B$22="USD",1/INDEX(Settings!$B$29:$B$40,MONTH(A418)),INDEX(Settings!$B$29:$B$40,MONTH(A418)))))</f>
        <v/>
      </c>
    </row>
    <row r="419" customFormat="false" ht="15" hidden="false" customHeight="false" outlineLevel="0" collapsed="false">
      <c r="H419" s="0" t="str">
        <f aca="false">IF(B419="","",IF(COUNTIF(Campaigns!$A$7:$A$300,B419)&gt;0,"✓","⚠ add to Campaigns tab"))</f>
        <v/>
      </c>
      <c r="I419" s="84" t="str">
        <f aca="false">IF(C419="","",C419*IF(Settings!$B$22=Settings!$C$6,1,IF(Settings!$B$22="USD",1/INDEX(Settings!$B$29:$B$40,MONTH(A419)),INDEX(Settings!$B$29:$B$40,MONTH(A419)))))</f>
        <v/>
      </c>
    </row>
    <row r="420" customFormat="false" ht="15" hidden="false" customHeight="false" outlineLevel="0" collapsed="false">
      <c r="H420" s="0" t="str">
        <f aca="false">IF(B420="","",IF(COUNTIF(Campaigns!$A$7:$A$300,B420)&gt;0,"✓","⚠ add to Campaigns tab"))</f>
        <v/>
      </c>
      <c r="I420" s="84" t="str">
        <f aca="false">IF(C420="","",C420*IF(Settings!$B$22=Settings!$C$6,1,IF(Settings!$B$22="USD",1/INDEX(Settings!$B$29:$B$40,MONTH(A420)),INDEX(Settings!$B$29:$B$40,MONTH(A420)))))</f>
        <v/>
      </c>
    </row>
    <row r="421" customFormat="false" ht="15" hidden="false" customHeight="false" outlineLevel="0" collapsed="false">
      <c r="H421" s="0" t="str">
        <f aca="false">IF(B421="","",IF(COUNTIF(Campaigns!$A$7:$A$300,B421)&gt;0,"✓","⚠ add to Campaigns tab"))</f>
        <v/>
      </c>
      <c r="I421" s="84" t="str">
        <f aca="false">IF(C421="","",C421*IF(Settings!$B$22=Settings!$C$6,1,IF(Settings!$B$22="USD",1/INDEX(Settings!$B$29:$B$40,MONTH(A421)),INDEX(Settings!$B$29:$B$40,MONTH(A421)))))</f>
        <v/>
      </c>
    </row>
    <row r="422" customFormat="false" ht="15" hidden="false" customHeight="false" outlineLevel="0" collapsed="false">
      <c r="H422" s="0" t="str">
        <f aca="false">IF(B422="","",IF(COUNTIF(Campaigns!$A$7:$A$300,B422)&gt;0,"✓","⚠ add to Campaigns tab"))</f>
        <v/>
      </c>
      <c r="I422" s="84" t="str">
        <f aca="false">IF(C422="","",C422*IF(Settings!$B$22=Settings!$C$6,1,IF(Settings!$B$22="USD",1/INDEX(Settings!$B$29:$B$40,MONTH(A422)),INDEX(Settings!$B$29:$B$40,MONTH(A422)))))</f>
        <v/>
      </c>
    </row>
    <row r="423" customFormat="false" ht="15" hidden="false" customHeight="false" outlineLevel="0" collapsed="false">
      <c r="H423" s="0" t="str">
        <f aca="false">IF(B423="","",IF(COUNTIF(Campaigns!$A$7:$A$300,B423)&gt;0,"✓","⚠ add to Campaigns tab"))</f>
        <v/>
      </c>
      <c r="I423" s="84" t="str">
        <f aca="false">IF(C423="","",C423*IF(Settings!$B$22=Settings!$C$6,1,IF(Settings!$B$22="USD",1/INDEX(Settings!$B$29:$B$40,MONTH(A423)),INDEX(Settings!$B$29:$B$40,MONTH(A423)))))</f>
        <v/>
      </c>
    </row>
    <row r="424" customFormat="false" ht="15" hidden="false" customHeight="false" outlineLevel="0" collapsed="false">
      <c r="H424" s="0" t="str">
        <f aca="false">IF(B424="","",IF(COUNTIF(Campaigns!$A$7:$A$300,B424)&gt;0,"✓","⚠ add to Campaigns tab"))</f>
        <v/>
      </c>
      <c r="I424" s="84" t="str">
        <f aca="false">IF(C424="","",C424*IF(Settings!$B$22=Settings!$C$6,1,IF(Settings!$B$22="USD",1/INDEX(Settings!$B$29:$B$40,MONTH(A424)),INDEX(Settings!$B$29:$B$40,MONTH(A424)))))</f>
        <v/>
      </c>
    </row>
    <row r="425" customFormat="false" ht="15" hidden="false" customHeight="false" outlineLevel="0" collapsed="false">
      <c r="H425" s="0" t="str">
        <f aca="false">IF(B425="","",IF(COUNTIF(Campaigns!$A$7:$A$300,B425)&gt;0,"✓","⚠ add to Campaigns tab"))</f>
        <v/>
      </c>
      <c r="I425" s="84" t="str">
        <f aca="false">IF(C425="","",C425*IF(Settings!$B$22=Settings!$C$6,1,IF(Settings!$B$22="USD",1/INDEX(Settings!$B$29:$B$40,MONTH(A425)),INDEX(Settings!$B$29:$B$40,MONTH(A425)))))</f>
        <v/>
      </c>
    </row>
    <row r="426" customFormat="false" ht="15" hidden="false" customHeight="false" outlineLevel="0" collapsed="false">
      <c r="H426" s="0" t="str">
        <f aca="false">IF(B426="","",IF(COUNTIF(Campaigns!$A$7:$A$300,B426)&gt;0,"✓","⚠ add to Campaigns tab"))</f>
        <v/>
      </c>
      <c r="I426" s="84" t="str">
        <f aca="false">IF(C426="","",C426*IF(Settings!$B$22=Settings!$C$6,1,IF(Settings!$B$22="USD",1/INDEX(Settings!$B$29:$B$40,MONTH(A426)),INDEX(Settings!$B$29:$B$40,MONTH(A426)))))</f>
        <v/>
      </c>
    </row>
    <row r="427" customFormat="false" ht="15" hidden="false" customHeight="false" outlineLevel="0" collapsed="false">
      <c r="H427" s="0" t="str">
        <f aca="false">IF(B427="","",IF(COUNTIF(Campaigns!$A$7:$A$300,B427)&gt;0,"✓","⚠ add to Campaigns tab"))</f>
        <v/>
      </c>
      <c r="I427" s="84" t="str">
        <f aca="false">IF(C427="","",C427*IF(Settings!$B$22=Settings!$C$6,1,IF(Settings!$B$22="USD",1/INDEX(Settings!$B$29:$B$40,MONTH(A427)),INDEX(Settings!$B$29:$B$40,MONTH(A427)))))</f>
        <v/>
      </c>
    </row>
    <row r="428" customFormat="false" ht="15" hidden="false" customHeight="false" outlineLevel="0" collapsed="false">
      <c r="H428" s="0" t="str">
        <f aca="false">IF(B428="","",IF(COUNTIF(Campaigns!$A$7:$A$300,B428)&gt;0,"✓","⚠ add to Campaigns tab"))</f>
        <v/>
      </c>
      <c r="I428" s="84" t="str">
        <f aca="false">IF(C428="","",C428*IF(Settings!$B$22=Settings!$C$6,1,IF(Settings!$B$22="USD",1/INDEX(Settings!$B$29:$B$40,MONTH(A428)),INDEX(Settings!$B$29:$B$40,MONTH(A428)))))</f>
        <v/>
      </c>
    </row>
    <row r="429" customFormat="false" ht="15" hidden="false" customHeight="false" outlineLevel="0" collapsed="false">
      <c r="H429" s="0" t="str">
        <f aca="false">IF(B429="","",IF(COUNTIF(Campaigns!$A$7:$A$300,B429)&gt;0,"✓","⚠ add to Campaigns tab"))</f>
        <v/>
      </c>
      <c r="I429" s="84" t="str">
        <f aca="false">IF(C429="","",C429*IF(Settings!$B$22=Settings!$C$6,1,IF(Settings!$B$22="USD",1/INDEX(Settings!$B$29:$B$40,MONTH(A429)),INDEX(Settings!$B$29:$B$40,MONTH(A429)))))</f>
        <v/>
      </c>
    </row>
    <row r="430" customFormat="false" ht="15" hidden="false" customHeight="false" outlineLevel="0" collapsed="false">
      <c r="H430" s="0" t="str">
        <f aca="false">IF(B430="","",IF(COUNTIF(Campaigns!$A$7:$A$300,B430)&gt;0,"✓","⚠ add to Campaigns tab"))</f>
        <v/>
      </c>
      <c r="I430" s="84" t="str">
        <f aca="false">IF(C430="","",C430*IF(Settings!$B$22=Settings!$C$6,1,IF(Settings!$B$22="USD",1/INDEX(Settings!$B$29:$B$40,MONTH(A430)),INDEX(Settings!$B$29:$B$40,MONTH(A430)))))</f>
        <v/>
      </c>
    </row>
    <row r="431" customFormat="false" ht="15" hidden="false" customHeight="false" outlineLevel="0" collapsed="false">
      <c r="H431" s="0" t="str">
        <f aca="false">IF(B431="","",IF(COUNTIF(Campaigns!$A$7:$A$300,B431)&gt;0,"✓","⚠ add to Campaigns tab"))</f>
        <v/>
      </c>
      <c r="I431" s="84" t="str">
        <f aca="false">IF(C431="","",C431*IF(Settings!$B$22=Settings!$C$6,1,IF(Settings!$B$22="USD",1/INDEX(Settings!$B$29:$B$40,MONTH(A431)),INDEX(Settings!$B$29:$B$40,MONTH(A431)))))</f>
        <v/>
      </c>
    </row>
    <row r="432" customFormat="false" ht="15" hidden="false" customHeight="false" outlineLevel="0" collapsed="false">
      <c r="H432" s="0" t="str">
        <f aca="false">IF(B432="","",IF(COUNTIF(Campaigns!$A$7:$A$300,B432)&gt;0,"✓","⚠ add to Campaigns tab"))</f>
        <v/>
      </c>
      <c r="I432" s="84" t="str">
        <f aca="false">IF(C432="","",C432*IF(Settings!$B$22=Settings!$C$6,1,IF(Settings!$B$22="USD",1/INDEX(Settings!$B$29:$B$40,MONTH(A432)),INDEX(Settings!$B$29:$B$40,MONTH(A432)))))</f>
        <v/>
      </c>
    </row>
    <row r="433" customFormat="false" ht="15" hidden="false" customHeight="false" outlineLevel="0" collapsed="false">
      <c r="H433" s="0" t="str">
        <f aca="false">IF(B433="","",IF(COUNTIF(Campaigns!$A$7:$A$300,B433)&gt;0,"✓","⚠ add to Campaigns tab"))</f>
        <v/>
      </c>
      <c r="I433" s="84" t="str">
        <f aca="false">IF(C433="","",C433*IF(Settings!$B$22=Settings!$C$6,1,IF(Settings!$B$22="USD",1/INDEX(Settings!$B$29:$B$40,MONTH(A433)),INDEX(Settings!$B$29:$B$40,MONTH(A433)))))</f>
        <v/>
      </c>
    </row>
    <row r="434" customFormat="false" ht="15" hidden="false" customHeight="false" outlineLevel="0" collapsed="false">
      <c r="H434" s="0" t="str">
        <f aca="false">IF(B434="","",IF(COUNTIF(Campaigns!$A$7:$A$300,B434)&gt;0,"✓","⚠ add to Campaigns tab"))</f>
        <v/>
      </c>
      <c r="I434" s="84" t="str">
        <f aca="false">IF(C434="","",C434*IF(Settings!$B$22=Settings!$C$6,1,IF(Settings!$B$22="USD",1/INDEX(Settings!$B$29:$B$40,MONTH(A434)),INDEX(Settings!$B$29:$B$40,MONTH(A434)))))</f>
        <v/>
      </c>
    </row>
    <row r="435" customFormat="false" ht="15" hidden="false" customHeight="false" outlineLevel="0" collapsed="false">
      <c r="H435" s="0" t="str">
        <f aca="false">IF(B435="","",IF(COUNTIF(Campaigns!$A$7:$A$300,B435)&gt;0,"✓","⚠ add to Campaigns tab"))</f>
        <v/>
      </c>
      <c r="I435" s="84" t="str">
        <f aca="false">IF(C435="","",C435*IF(Settings!$B$22=Settings!$C$6,1,IF(Settings!$B$22="USD",1/INDEX(Settings!$B$29:$B$40,MONTH(A435)),INDEX(Settings!$B$29:$B$40,MONTH(A435)))))</f>
        <v/>
      </c>
    </row>
    <row r="436" customFormat="false" ht="15" hidden="false" customHeight="false" outlineLevel="0" collapsed="false">
      <c r="H436" s="0" t="str">
        <f aca="false">IF(B436="","",IF(COUNTIF(Campaigns!$A$7:$A$300,B436)&gt;0,"✓","⚠ add to Campaigns tab"))</f>
        <v/>
      </c>
      <c r="I436" s="84" t="str">
        <f aca="false">IF(C436="","",C436*IF(Settings!$B$22=Settings!$C$6,1,IF(Settings!$B$22="USD",1/INDEX(Settings!$B$29:$B$40,MONTH(A436)),INDEX(Settings!$B$29:$B$40,MONTH(A436)))))</f>
        <v/>
      </c>
    </row>
    <row r="437" customFormat="false" ht="15" hidden="false" customHeight="false" outlineLevel="0" collapsed="false">
      <c r="H437" s="0" t="str">
        <f aca="false">IF(B437="","",IF(COUNTIF(Campaigns!$A$7:$A$300,B437)&gt;0,"✓","⚠ add to Campaigns tab"))</f>
        <v/>
      </c>
      <c r="I437" s="84" t="str">
        <f aca="false">IF(C437="","",C437*IF(Settings!$B$22=Settings!$C$6,1,IF(Settings!$B$22="USD",1/INDEX(Settings!$B$29:$B$40,MONTH(A437)),INDEX(Settings!$B$29:$B$40,MONTH(A437)))))</f>
        <v/>
      </c>
    </row>
    <row r="438" customFormat="false" ht="15" hidden="false" customHeight="false" outlineLevel="0" collapsed="false">
      <c r="H438" s="0" t="str">
        <f aca="false">IF(B438="","",IF(COUNTIF(Campaigns!$A$7:$A$300,B438)&gt;0,"✓","⚠ add to Campaigns tab"))</f>
        <v/>
      </c>
      <c r="I438" s="84" t="str">
        <f aca="false">IF(C438="","",C438*IF(Settings!$B$22=Settings!$C$6,1,IF(Settings!$B$22="USD",1/INDEX(Settings!$B$29:$B$40,MONTH(A438)),INDEX(Settings!$B$29:$B$40,MONTH(A438)))))</f>
        <v/>
      </c>
    </row>
    <row r="439" customFormat="false" ht="15" hidden="false" customHeight="false" outlineLevel="0" collapsed="false">
      <c r="H439" s="0" t="str">
        <f aca="false">IF(B439="","",IF(COUNTIF(Campaigns!$A$7:$A$300,B439)&gt;0,"✓","⚠ add to Campaigns tab"))</f>
        <v/>
      </c>
      <c r="I439" s="84" t="str">
        <f aca="false">IF(C439="","",C439*IF(Settings!$B$22=Settings!$C$6,1,IF(Settings!$B$22="USD",1/INDEX(Settings!$B$29:$B$40,MONTH(A439)),INDEX(Settings!$B$29:$B$40,MONTH(A439)))))</f>
        <v/>
      </c>
    </row>
    <row r="440" customFormat="false" ht="15" hidden="false" customHeight="false" outlineLevel="0" collapsed="false">
      <c r="H440" s="0" t="str">
        <f aca="false">IF(B440="","",IF(COUNTIF(Campaigns!$A$7:$A$300,B440)&gt;0,"✓","⚠ add to Campaigns tab"))</f>
        <v/>
      </c>
      <c r="I440" s="84" t="str">
        <f aca="false">IF(C440="","",C440*IF(Settings!$B$22=Settings!$C$6,1,IF(Settings!$B$22="USD",1/INDEX(Settings!$B$29:$B$40,MONTH(A440)),INDEX(Settings!$B$29:$B$40,MONTH(A440)))))</f>
        <v/>
      </c>
    </row>
    <row r="441" customFormat="false" ht="15" hidden="false" customHeight="false" outlineLevel="0" collapsed="false">
      <c r="H441" s="0" t="str">
        <f aca="false">IF(B441="","",IF(COUNTIF(Campaigns!$A$7:$A$300,B441)&gt;0,"✓","⚠ add to Campaigns tab"))</f>
        <v/>
      </c>
      <c r="I441" s="84" t="str">
        <f aca="false">IF(C441="","",C441*IF(Settings!$B$22=Settings!$C$6,1,IF(Settings!$B$22="USD",1/INDEX(Settings!$B$29:$B$40,MONTH(A441)),INDEX(Settings!$B$29:$B$40,MONTH(A441)))))</f>
        <v/>
      </c>
    </row>
    <row r="442" customFormat="false" ht="15" hidden="false" customHeight="false" outlineLevel="0" collapsed="false">
      <c r="H442" s="0" t="str">
        <f aca="false">IF(B442="","",IF(COUNTIF(Campaigns!$A$7:$A$300,B442)&gt;0,"✓","⚠ add to Campaigns tab"))</f>
        <v/>
      </c>
      <c r="I442" s="84" t="str">
        <f aca="false">IF(C442="","",C442*IF(Settings!$B$22=Settings!$C$6,1,IF(Settings!$B$22="USD",1/INDEX(Settings!$B$29:$B$40,MONTH(A442)),INDEX(Settings!$B$29:$B$40,MONTH(A442)))))</f>
        <v/>
      </c>
    </row>
    <row r="443" customFormat="false" ht="15" hidden="false" customHeight="false" outlineLevel="0" collapsed="false">
      <c r="H443" s="0" t="str">
        <f aca="false">IF(B443="","",IF(COUNTIF(Campaigns!$A$7:$A$300,B443)&gt;0,"✓","⚠ add to Campaigns tab"))</f>
        <v/>
      </c>
      <c r="I443" s="84" t="str">
        <f aca="false">IF(C443="","",C443*IF(Settings!$B$22=Settings!$C$6,1,IF(Settings!$B$22="USD",1/INDEX(Settings!$B$29:$B$40,MONTH(A443)),INDEX(Settings!$B$29:$B$40,MONTH(A443)))))</f>
        <v/>
      </c>
    </row>
    <row r="444" customFormat="false" ht="15" hidden="false" customHeight="false" outlineLevel="0" collapsed="false">
      <c r="H444" s="0" t="str">
        <f aca="false">IF(B444="","",IF(COUNTIF(Campaigns!$A$7:$A$300,B444)&gt;0,"✓","⚠ add to Campaigns tab"))</f>
        <v/>
      </c>
      <c r="I444" s="84" t="str">
        <f aca="false">IF(C444="","",C444*IF(Settings!$B$22=Settings!$C$6,1,IF(Settings!$B$22="USD",1/INDEX(Settings!$B$29:$B$40,MONTH(A444)),INDEX(Settings!$B$29:$B$40,MONTH(A444)))))</f>
        <v/>
      </c>
    </row>
    <row r="445" customFormat="false" ht="15" hidden="false" customHeight="false" outlineLevel="0" collapsed="false">
      <c r="H445" s="0" t="str">
        <f aca="false">IF(B445="","",IF(COUNTIF(Campaigns!$A$7:$A$300,B445)&gt;0,"✓","⚠ add to Campaigns tab"))</f>
        <v/>
      </c>
      <c r="I445" s="84" t="str">
        <f aca="false">IF(C445="","",C445*IF(Settings!$B$22=Settings!$C$6,1,IF(Settings!$B$22="USD",1/INDEX(Settings!$B$29:$B$40,MONTH(A445)),INDEX(Settings!$B$29:$B$40,MONTH(A445)))))</f>
        <v/>
      </c>
    </row>
    <row r="446" customFormat="false" ht="15" hidden="false" customHeight="false" outlineLevel="0" collapsed="false">
      <c r="H446" s="0" t="str">
        <f aca="false">IF(B446="","",IF(COUNTIF(Campaigns!$A$7:$A$300,B446)&gt;0,"✓","⚠ add to Campaigns tab"))</f>
        <v/>
      </c>
      <c r="I446" s="84" t="str">
        <f aca="false">IF(C446="","",C446*IF(Settings!$B$22=Settings!$C$6,1,IF(Settings!$B$22="USD",1/INDEX(Settings!$B$29:$B$40,MONTH(A446)),INDEX(Settings!$B$29:$B$40,MONTH(A446)))))</f>
        <v/>
      </c>
    </row>
    <row r="447" customFormat="false" ht="15" hidden="false" customHeight="false" outlineLevel="0" collapsed="false">
      <c r="H447" s="0" t="str">
        <f aca="false">IF(B447="","",IF(COUNTIF(Campaigns!$A$7:$A$300,B447)&gt;0,"✓","⚠ add to Campaigns tab"))</f>
        <v/>
      </c>
      <c r="I447" s="84" t="str">
        <f aca="false">IF(C447="","",C447*IF(Settings!$B$22=Settings!$C$6,1,IF(Settings!$B$22="USD",1/INDEX(Settings!$B$29:$B$40,MONTH(A447)),INDEX(Settings!$B$29:$B$40,MONTH(A447)))))</f>
        <v/>
      </c>
    </row>
    <row r="448" customFormat="false" ht="15" hidden="false" customHeight="false" outlineLevel="0" collapsed="false">
      <c r="H448" s="0" t="str">
        <f aca="false">IF(B448="","",IF(COUNTIF(Campaigns!$A$7:$A$300,B448)&gt;0,"✓","⚠ add to Campaigns tab"))</f>
        <v/>
      </c>
      <c r="I448" s="84" t="str">
        <f aca="false">IF(C448="","",C448*IF(Settings!$B$22=Settings!$C$6,1,IF(Settings!$B$22="USD",1/INDEX(Settings!$B$29:$B$40,MONTH(A448)),INDEX(Settings!$B$29:$B$40,MONTH(A448)))))</f>
        <v/>
      </c>
    </row>
    <row r="449" customFormat="false" ht="15" hidden="false" customHeight="false" outlineLevel="0" collapsed="false">
      <c r="H449" s="0" t="str">
        <f aca="false">IF(B449="","",IF(COUNTIF(Campaigns!$A$7:$A$300,B449)&gt;0,"✓","⚠ add to Campaigns tab"))</f>
        <v/>
      </c>
      <c r="I449" s="84" t="str">
        <f aca="false">IF(C449="","",C449*IF(Settings!$B$22=Settings!$C$6,1,IF(Settings!$B$22="USD",1/INDEX(Settings!$B$29:$B$40,MONTH(A449)),INDEX(Settings!$B$29:$B$40,MONTH(A449)))))</f>
        <v/>
      </c>
    </row>
    <row r="450" customFormat="false" ht="15" hidden="false" customHeight="false" outlineLevel="0" collapsed="false">
      <c r="H450" s="0" t="str">
        <f aca="false">IF(B450="","",IF(COUNTIF(Campaigns!$A$7:$A$300,B450)&gt;0,"✓","⚠ add to Campaigns tab"))</f>
        <v/>
      </c>
      <c r="I450" s="84" t="str">
        <f aca="false">IF(C450="","",C450*IF(Settings!$B$22=Settings!$C$6,1,IF(Settings!$B$22="USD",1/INDEX(Settings!$B$29:$B$40,MONTH(A450)),INDEX(Settings!$B$29:$B$40,MONTH(A450)))))</f>
        <v/>
      </c>
    </row>
    <row r="451" customFormat="false" ht="15" hidden="false" customHeight="false" outlineLevel="0" collapsed="false">
      <c r="H451" s="0" t="str">
        <f aca="false">IF(B451="","",IF(COUNTIF(Campaigns!$A$7:$A$300,B451)&gt;0,"✓","⚠ add to Campaigns tab"))</f>
        <v/>
      </c>
      <c r="I451" s="84" t="str">
        <f aca="false">IF(C451="","",C451*IF(Settings!$B$22=Settings!$C$6,1,IF(Settings!$B$22="USD",1/INDEX(Settings!$B$29:$B$40,MONTH(A451)),INDEX(Settings!$B$29:$B$40,MONTH(A451)))))</f>
        <v/>
      </c>
    </row>
    <row r="452" customFormat="false" ht="15" hidden="false" customHeight="false" outlineLevel="0" collapsed="false">
      <c r="H452" s="0" t="str">
        <f aca="false">IF(B452="","",IF(COUNTIF(Campaigns!$A$7:$A$300,B452)&gt;0,"✓","⚠ add to Campaigns tab"))</f>
        <v/>
      </c>
      <c r="I452" s="84" t="str">
        <f aca="false">IF(C452="","",C452*IF(Settings!$B$22=Settings!$C$6,1,IF(Settings!$B$22="USD",1/INDEX(Settings!$B$29:$B$40,MONTH(A452)),INDEX(Settings!$B$29:$B$40,MONTH(A452)))))</f>
        <v/>
      </c>
    </row>
    <row r="453" customFormat="false" ht="15" hidden="false" customHeight="false" outlineLevel="0" collapsed="false">
      <c r="H453" s="0" t="str">
        <f aca="false">IF(B453="","",IF(COUNTIF(Campaigns!$A$7:$A$300,B453)&gt;0,"✓","⚠ add to Campaigns tab"))</f>
        <v/>
      </c>
      <c r="I453" s="84" t="str">
        <f aca="false">IF(C453="","",C453*IF(Settings!$B$22=Settings!$C$6,1,IF(Settings!$B$22="USD",1/INDEX(Settings!$B$29:$B$40,MONTH(A453)),INDEX(Settings!$B$29:$B$40,MONTH(A453)))))</f>
        <v/>
      </c>
    </row>
    <row r="454" customFormat="false" ht="15" hidden="false" customHeight="false" outlineLevel="0" collapsed="false">
      <c r="H454" s="0" t="str">
        <f aca="false">IF(B454="","",IF(COUNTIF(Campaigns!$A$7:$A$300,B454)&gt;0,"✓","⚠ add to Campaigns tab"))</f>
        <v/>
      </c>
      <c r="I454" s="84" t="str">
        <f aca="false">IF(C454="","",C454*IF(Settings!$B$22=Settings!$C$6,1,IF(Settings!$B$22="USD",1/INDEX(Settings!$B$29:$B$40,MONTH(A454)),INDEX(Settings!$B$29:$B$40,MONTH(A454)))))</f>
        <v/>
      </c>
    </row>
    <row r="455" customFormat="false" ht="15" hidden="false" customHeight="false" outlineLevel="0" collapsed="false">
      <c r="H455" s="0" t="str">
        <f aca="false">IF(B455="","",IF(COUNTIF(Campaigns!$A$7:$A$300,B455)&gt;0,"✓","⚠ add to Campaigns tab"))</f>
        <v/>
      </c>
      <c r="I455" s="84" t="str">
        <f aca="false">IF(C455="","",C455*IF(Settings!$B$22=Settings!$C$6,1,IF(Settings!$B$22="USD",1/INDEX(Settings!$B$29:$B$40,MONTH(A455)),INDEX(Settings!$B$29:$B$40,MONTH(A455)))))</f>
        <v/>
      </c>
    </row>
    <row r="456" customFormat="false" ht="15" hidden="false" customHeight="false" outlineLevel="0" collapsed="false">
      <c r="H456" s="0" t="str">
        <f aca="false">IF(B456="","",IF(COUNTIF(Campaigns!$A$7:$A$300,B456)&gt;0,"✓","⚠ add to Campaigns tab"))</f>
        <v/>
      </c>
      <c r="I456" s="84" t="str">
        <f aca="false">IF(C456="","",C456*IF(Settings!$B$22=Settings!$C$6,1,IF(Settings!$B$22="USD",1/INDEX(Settings!$B$29:$B$40,MONTH(A456)),INDEX(Settings!$B$29:$B$40,MONTH(A456)))))</f>
        <v/>
      </c>
    </row>
    <row r="457" customFormat="false" ht="15" hidden="false" customHeight="false" outlineLevel="0" collapsed="false">
      <c r="H457" s="0" t="str">
        <f aca="false">IF(B457="","",IF(COUNTIF(Campaigns!$A$7:$A$300,B457)&gt;0,"✓","⚠ add to Campaigns tab"))</f>
        <v/>
      </c>
      <c r="I457" s="84" t="str">
        <f aca="false">IF(C457="","",C457*IF(Settings!$B$22=Settings!$C$6,1,IF(Settings!$B$22="USD",1/INDEX(Settings!$B$29:$B$40,MONTH(A457)),INDEX(Settings!$B$29:$B$40,MONTH(A457)))))</f>
        <v/>
      </c>
    </row>
    <row r="458" customFormat="false" ht="15" hidden="false" customHeight="false" outlineLevel="0" collapsed="false">
      <c r="H458" s="0" t="str">
        <f aca="false">IF(B458="","",IF(COUNTIF(Campaigns!$A$7:$A$300,B458)&gt;0,"✓","⚠ add to Campaigns tab"))</f>
        <v/>
      </c>
      <c r="I458" s="84" t="str">
        <f aca="false">IF(C458="","",C458*IF(Settings!$B$22=Settings!$C$6,1,IF(Settings!$B$22="USD",1/INDEX(Settings!$B$29:$B$40,MONTH(A458)),INDEX(Settings!$B$29:$B$40,MONTH(A458)))))</f>
        <v/>
      </c>
    </row>
    <row r="459" customFormat="false" ht="15" hidden="false" customHeight="false" outlineLevel="0" collapsed="false">
      <c r="H459" s="0" t="str">
        <f aca="false">IF(B459="","",IF(COUNTIF(Campaigns!$A$7:$A$300,B459)&gt;0,"✓","⚠ add to Campaigns tab"))</f>
        <v/>
      </c>
      <c r="I459" s="84" t="str">
        <f aca="false">IF(C459="","",C459*IF(Settings!$B$22=Settings!$C$6,1,IF(Settings!$B$22="USD",1/INDEX(Settings!$B$29:$B$40,MONTH(A459)),INDEX(Settings!$B$29:$B$40,MONTH(A459)))))</f>
        <v/>
      </c>
    </row>
    <row r="460" customFormat="false" ht="15" hidden="false" customHeight="false" outlineLevel="0" collapsed="false">
      <c r="H460" s="0" t="str">
        <f aca="false">IF(B460="","",IF(COUNTIF(Campaigns!$A$7:$A$300,B460)&gt;0,"✓","⚠ add to Campaigns tab"))</f>
        <v/>
      </c>
      <c r="I460" s="84" t="str">
        <f aca="false">IF(C460="","",C460*IF(Settings!$B$22=Settings!$C$6,1,IF(Settings!$B$22="USD",1/INDEX(Settings!$B$29:$B$40,MONTH(A460)),INDEX(Settings!$B$29:$B$40,MONTH(A460)))))</f>
        <v/>
      </c>
    </row>
    <row r="461" customFormat="false" ht="15" hidden="false" customHeight="false" outlineLevel="0" collapsed="false">
      <c r="H461" s="0" t="str">
        <f aca="false">IF(B461="","",IF(COUNTIF(Campaigns!$A$7:$A$300,B461)&gt;0,"✓","⚠ add to Campaigns tab"))</f>
        <v/>
      </c>
      <c r="I461" s="84" t="str">
        <f aca="false">IF(C461="","",C461*IF(Settings!$B$22=Settings!$C$6,1,IF(Settings!$B$22="USD",1/INDEX(Settings!$B$29:$B$40,MONTH(A461)),INDEX(Settings!$B$29:$B$40,MONTH(A461)))))</f>
        <v/>
      </c>
    </row>
    <row r="462" customFormat="false" ht="15" hidden="false" customHeight="false" outlineLevel="0" collapsed="false">
      <c r="H462" s="0" t="str">
        <f aca="false">IF(B462="","",IF(COUNTIF(Campaigns!$A$7:$A$300,B462)&gt;0,"✓","⚠ add to Campaigns tab"))</f>
        <v/>
      </c>
      <c r="I462" s="84" t="str">
        <f aca="false">IF(C462="","",C462*IF(Settings!$B$22=Settings!$C$6,1,IF(Settings!$B$22="USD",1/INDEX(Settings!$B$29:$B$40,MONTH(A462)),INDEX(Settings!$B$29:$B$40,MONTH(A462)))))</f>
        <v/>
      </c>
    </row>
    <row r="463" customFormat="false" ht="15" hidden="false" customHeight="false" outlineLevel="0" collapsed="false">
      <c r="H463" s="0" t="str">
        <f aca="false">IF(B463="","",IF(COUNTIF(Campaigns!$A$7:$A$300,B463)&gt;0,"✓","⚠ add to Campaigns tab"))</f>
        <v/>
      </c>
      <c r="I463" s="84" t="str">
        <f aca="false">IF(C463="","",C463*IF(Settings!$B$22=Settings!$C$6,1,IF(Settings!$B$22="USD",1/INDEX(Settings!$B$29:$B$40,MONTH(A463)),INDEX(Settings!$B$29:$B$40,MONTH(A463)))))</f>
        <v/>
      </c>
    </row>
    <row r="464" customFormat="false" ht="15" hidden="false" customHeight="false" outlineLevel="0" collapsed="false">
      <c r="H464" s="0" t="str">
        <f aca="false">IF(B464="","",IF(COUNTIF(Campaigns!$A$7:$A$300,B464)&gt;0,"✓","⚠ add to Campaigns tab"))</f>
        <v/>
      </c>
      <c r="I464" s="84" t="str">
        <f aca="false">IF(C464="","",C464*IF(Settings!$B$22=Settings!$C$6,1,IF(Settings!$B$22="USD",1/INDEX(Settings!$B$29:$B$40,MONTH(A464)),INDEX(Settings!$B$29:$B$40,MONTH(A464)))))</f>
        <v/>
      </c>
    </row>
    <row r="465" customFormat="false" ht="15" hidden="false" customHeight="false" outlineLevel="0" collapsed="false">
      <c r="H465" s="0" t="str">
        <f aca="false">IF(B465="","",IF(COUNTIF(Campaigns!$A$7:$A$300,B465)&gt;0,"✓","⚠ add to Campaigns tab"))</f>
        <v/>
      </c>
      <c r="I465" s="84" t="str">
        <f aca="false">IF(C465="","",C465*IF(Settings!$B$22=Settings!$C$6,1,IF(Settings!$B$22="USD",1/INDEX(Settings!$B$29:$B$40,MONTH(A465)),INDEX(Settings!$B$29:$B$40,MONTH(A465)))))</f>
        <v/>
      </c>
    </row>
    <row r="466" customFormat="false" ht="15" hidden="false" customHeight="false" outlineLevel="0" collapsed="false">
      <c r="H466" s="0" t="str">
        <f aca="false">IF(B466="","",IF(COUNTIF(Campaigns!$A$7:$A$300,B466)&gt;0,"✓","⚠ add to Campaigns tab"))</f>
        <v/>
      </c>
      <c r="I466" s="84" t="str">
        <f aca="false">IF(C466="","",C466*IF(Settings!$B$22=Settings!$C$6,1,IF(Settings!$B$22="USD",1/INDEX(Settings!$B$29:$B$40,MONTH(A466)),INDEX(Settings!$B$29:$B$40,MONTH(A466)))))</f>
        <v/>
      </c>
    </row>
    <row r="467" customFormat="false" ht="15" hidden="false" customHeight="false" outlineLevel="0" collapsed="false">
      <c r="H467" s="0" t="str">
        <f aca="false">IF(B467="","",IF(COUNTIF(Campaigns!$A$7:$A$300,B467)&gt;0,"✓","⚠ add to Campaigns tab"))</f>
        <v/>
      </c>
      <c r="I467" s="84" t="str">
        <f aca="false">IF(C467="","",C467*IF(Settings!$B$22=Settings!$C$6,1,IF(Settings!$B$22="USD",1/INDEX(Settings!$B$29:$B$40,MONTH(A467)),INDEX(Settings!$B$29:$B$40,MONTH(A467)))))</f>
        <v/>
      </c>
    </row>
    <row r="468" customFormat="false" ht="15" hidden="false" customHeight="false" outlineLevel="0" collapsed="false">
      <c r="H468" s="0" t="str">
        <f aca="false">IF(B468="","",IF(COUNTIF(Campaigns!$A$7:$A$300,B468)&gt;0,"✓","⚠ add to Campaigns tab"))</f>
        <v/>
      </c>
      <c r="I468" s="84" t="str">
        <f aca="false">IF(C468="","",C468*IF(Settings!$B$22=Settings!$C$6,1,IF(Settings!$B$22="USD",1/INDEX(Settings!$B$29:$B$40,MONTH(A468)),INDEX(Settings!$B$29:$B$40,MONTH(A468)))))</f>
        <v/>
      </c>
    </row>
    <row r="469" customFormat="false" ht="15" hidden="false" customHeight="false" outlineLevel="0" collapsed="false">
      <c r="H469" s="0" t="str">
        <f aca="false">IF(B469="","",IF(COUNTIF(Campaigns!$A$7:$A$300,B469)&gt;0,"✓","⚠ add to Campaigns tab"))</f>
        <v/>
      </c>
      <c r="I469" s="84" t="str">
        <f aca="false">IF(C469="","",C469*IF(Settings!$B$22=Settings!$C$6,1,IF(Settings!$B$22="USD",1/INDEX(Settings!$B$29:$B$40,MONTH(A469)),INDEX(Settings!$B$29:$B$40,MONTH(A469)))))</f>
        <v/>
      </c>
    </row>
    <row r="470" customFormat="false" ht="15" hidden="false" customHeight="false" outlineLevel="0" collapsed="false">
      <c r="H470" s="0" t="str">
        <f aca="false">IF(B470="","",IF(COUNTIF(Campaigns!$A$7:$A$300,B470)&gt;0,"✓","⚠ add to Campaigns tab"))</f>
        <v/>
      </c>
      <c r="I470" s="84" t="str">
        <f aca="false">IF(C470="","",C470*IF(Settings!$B$22=Settings!$C$6,1,IF(Settings!$B$22="USD",1/INDEX(Settings!$B$29:$B$40,MONTH(A470)),INDEX(Settings!$B$29:$B$40,MONTH(A470)))))</f>
        <v/>
      </c>
    </row>
    <row r="471" customFormat="false" ht="15" hidden="false" customHeight="false" outlineLevel="0" collapsed="false">
      <c r="H471" s="0" t="str">
        <f aca="false">IF(B471="","",IF(COUNTIF(Campaigns!$A$7:$A$300,B471)&gt;0,"✓","⚠ add to Campaigns tab"))</f>
        <v/>
      </c>
      <c r="I471" s="84" t="str">
        <f aca="false">IF(C471="","",C471*IF(Settings!$B$22=Settings!$C$6,1,IF(Settings!$B$22="USD",1/INDEX(Settings!$B$29:$B$40,MONTH(A471)),INDEX(Settings!$B$29:$B$40,MONTH(A471)))))</f>
        <v/>
      </c>
    </row>
    <row r="472" customFormat="false" ht="15" hidden="false" customHeight="false" outlineLevel="0" collapsed="false">
      <c r="H472" s="0" t="str">
        <f aca="false">IF(B472="","",IF(COUNTIF(Campaigns!$A$7:$A$300,B472)&gt;0,"✓","⚠ add to Campaigns tab"))</f>
        <v/>
      </c>
      <c r="I472" s="84" t="str">
        <f aca="false">IF(C472="","",C472*IF(Settings!$B$22=Settings!$C$6,1,IF(Settings!$B$22="USD",1/INDEX(Settings!$B$29:$B$40,MONTH(A472)),INDEX(Settings!$B$29:$B$40,MONTH(A472)))))</f>
        <v/>
      </c>
    </row>
    <row r="473" customFormat="false" ht="15" hidden="false" customHeight="false" outlineLevel="0" collapsed="false">
      <c r="H473" s="0" t="str">
        <f aca="false">IF(B473="","",IF(COUNTIF(Campaigns!$A$7:$A$300,B473)&gt;0,"✓","⚠ add to Campaigns tab"))</f>
        <v/>
      </c>
      <c r="I473" s="84" t="str">
        <f aca="false">IF(C473="","",C473*IF(Settings!$B$22=Settings!$C$6,1,IF(Settings!$B$22="USD",1/INDEX(Settings!$B$29:$B$40,MONTH(A473)),INDEX(Settings!$B$29:$B$40,MONTH(A473)))))</f>
        <v/>
      </c>
    </row>
    <row r="474" customFormat="false" ht="15" hidden="false" customHeight="false" outlineLevel="0" collapsed="false">
      <c r="H474" s="0" t="str">
        <f aca="false">IF(B474="","",IF(COUNTIF(Campaigns!$A$7:$A$300,B474)&gt;0,"✓","⚠ add to Campaigns tab"))</f>
        <v/>
      </c>
      <c r="I474" s="84" t="str">
        <f aca="false">IF(C474="","",C474*IF(Settings!$B$22=Settings!$C$6,1,IF(Settings!$B$22="USD",1/INDEX(Settings!$B$29:$B$40,MONTH(A474)),INDEX(Settings!$B$29:$B$40,MONTH(A474)))))</f>
        <v/>
      </c>
    </row>
    <row r="475" customFormat="false" ht="15" hidden="false" customHeight="false" outlineLevel="0" collapsed="false">
      <c r="H475" s="0" t="str">
        <f aca="false">IF(B475="","",IF(COUNTIF(Campaigns!$A$7:$A$300,B475)&gt;0,"✓","⚠ add to Campaigns tab"))</f>
        <v/>
      </c>
      <c r="I475" s="84" t="str">
        <f aca="false">IF(C475="","",C475*IF(Settings!$B$22=Settings!$C$6,1,IF(Settings!$B$22="USD",1/INDEX(Settings!$B$29:$B$40,MONTH(A475)),INDEX(Settings!$B$29:$B$40,MONTH(A475)))))</f>
        <v/>
      </c>
    </row>
    <row r="476" customFormat="false" ht="15" hidden="false" customHeight="false" outlineLevel="0" collapsed="false">
      <c r="H476" s="0" t="str">
        <f aca="false">IF(B476="","",IF(COUNTIF(Campaigns!$A$7:$A$300,B476)&gt;0,"✓","⚠ add to Campaigns tab"))</f>
        <v/>
      </c>
      <c r="I476" s="84" t="str">
        <f aca="false">IF(C476="","",C476*IF(Settings!$B$22=Settings!$C$6,1,IF(Settings!$B$22="USD",1/INDEX(Settings!$B$29:$B$40,MONTH(A476)),INDEX(Settings!$B$29:$B$40,MONTH(A476)))))</f>
        <v/>
      </c>
    </row>
    <row r="477" customFormat="false" ht="15" hidden="false" customHeight="false" outlineLevel="0" collapsed="false">
      <c r="H477" s="0" t="str">
        <f aca="false">IF(B477="","",IF(COUNTIF(Campaigns!$A$7:$A$300,B477)&gt;0,"✓","⚠ add to Campaigns tab"))</f>
        <v/>
      </c>
      <c r="I477" s="84" t="str">
        <f aca="false">IF(C477="","",C477*IF(Settings!$B$22=Settings!$C$6,1,IF(Settings!$B$22="USD",1/INDEX(Settings!$B$29:$B$40,MONTH(A477)),INDEX(Settings!$B$29:$B$40,MONTH(A477)))))</f>
        <v/>
      </c>
    </row>
    <row r="478" customFormat="false" ht="15" hidden="false" customHeight="false" outlineLevel="0" collapsed="false">
      <c r="H478" s="0" t="str">
        <f aca="false">IF(B478="","",IF(COUNTIF(Campaigns!$A$7:$A$300,B478)&gt;0,"✓","⚠ add to Campaigns tab"))</f>
        <v/>
      </c>
      <c r="I478" s="84" t="str">
        <f aca="false">IF(C478="","",C478*IF(Settings!$B$22=Settings!$C$6,1,IF(Settings!$B$22="USD",1/INDEX(Settings!$B$29:$B$40,MONTH(A478)),INDEX(Settings!$B$29:$B$40,MONTH(A478)))))</f>
        <v/>
      </c>
    </row>
    <row r="479" customFormat="false" ht="15" hidden="false" customHeight="false" outlineLevel="0" collapsed="false">
      <c r="H479" s="0" t="str">
        <f aca="false">IF(B479="","",IF(COUNTIF(Campaigns!$A$7:$A$300,B479)&gt;0,"✓","⚠ add to Campaigns tab"))</f>
        <v/>
      </c>
      <c r="I479" s="84" t="str">
        <f aca="false">IF(C479="","",C479*IF(Settings!$B$22=Settings!$C$6,1,IF(Settings!$B$22="USD",1/INDEX(Settings!$B$29:$B$40,MONTH(A479)),INDEX(Settings!$B$29:$B$40,MONTH(A479)))))</f>
        <v/>
      </c>
    </row>
    <row r="480" customFormat="false" ht="15" hidden="false" customHeight="false" outlineLevel="0" collapsed="false">
      <c r="H480" s="0" t="str">
        <f aca="false">IF(B480="","",IF(COUNTIF(Campaigns!$A$7:$A$300,B480)&gt;0,"✓","⚠ add to Campaigns tab"))</f>
        <v/>
      </c>
      <c r="I480" s="84" t="str">
        <f aca="false">IF(C480="","",C480*IF(Settings!$B$22=Settings!$C$6,1,IF(Settings!$B$22="USD",1/INDEX(Settings!$B$29:$B$40,MONTH(A480)),INDEX(Settings!$B$29:$B$40,MONTH(A480)))))</f>
        <v/>
      </c>
    </row>
    <row r="481" customFormat="false" ht="15" hidden="false" customHeight="false" outlineLevel="0" collapsed="false">
      <c r="H481" s="0" t="str">
        <f aca="false">IF(B481="","",IF(COUNTIF(Campaigns!$A$7:$A$300,B481)&gt;0,"✓","⚠ add to Campaigns tab"))</f>
        <v/>
      </c>
      <c r="I481" s="84" t="str">
        <f aca="false">IF(C481="","",C481*IF(Settings!$B$22=Settings!$C$6,1,IF(Settings!$B$22="USD",1/INDEX(Settings!$B$29:$B$40,MONTH(A481)),INDEX(Settings!$B$29:$B$40,MONTH(A481)))))</f>
        <v/>
      </c>
    </row>
    <row r="482" customFormat="false" ht="15" hidden="false" customHeight="false" outlineLevel="0" collapsed="false">
      <c r="H482" s="0" t="str">
        <f aca="false">IF(B482="","",IF(COUNTIF(Campaigns!$A$7:$A$300,B482)&gt;0,"✓","⚠ add to Campaigns tab"))</f>
        <v/>
      </c>
      <c r="I482" s="84" t="str">
        <f aca="false">IF(C482="","",C482*IF(Settings!$B$22=Settings!$C$6,1,IF(Settings!$B$22="USD",1/INDEX(Settings!$B$29:$B$40,MONTH(A482)),INDEX(Settings!$B$29:$B$40,MONTH(A482)))))</f>
        <v/>
      </c>
    </row>
    <row r="483" customFormat="false" ht="15" hidden="false" customHeight="false" outlineLevel="0" collapsed="false">
      <c r="H483" s="0" t="str">
        <f aca="false">IF(B483="","",IF(COUNTIF(Campaigns!$A$7:$A$300,B483)&gt;0,"✓","⚠ add to Campaigns tab"))</f>
        <v/>
      </c>
      <c r="I483" s="84" t="str">
        <f aca="false">IF(C483="","",C483*IF(Settings!$B$22=Settings!$C$6,1,IF(Settings!$B$22="USD",1/INDEX(Settings!$B$29:$B$40,MONTH(A483)),INDEX(Settings!$B$29:$B$40,MONTH(A483)))))</f>
        <v/>
      </c>
    </row>
    <row r="484" customFormat="false" ht="15" hidden="false" customHeight="false" outlineLevel="0" collapsed="false">
      <c r="H484" s="0" t="str">
        <f aca="false">IF(B484="","",IF(COUNTIF(Campaigns!$A$7:$A$300,B484)&gt;0,"✓","⚠ add to Campaigns tab"))</f>
        <v/>
      </c>
      <c r="I484" s="84" t="str">
        <f aca="false">IF(C484="","",C484*IF(Settings!$B$22=Settings!$C$6,1,IF(Settings!$B$22="USD",1/INDEX(Settings!$B$29:$B$40,MONTH(A484)),INDEX(Settings!$B$29:$B$40,MONTH(A484)))))</f>
        <v/>
      </c>
    </row>
    <row r="485" customFormat="false" ht="15" hidden="false" customHeight="false" outlineLevel="0" collapsed="false">
      <c r="H485" s="0" t="str">
        <f aca="false">IF(B485="","",IF(COUNTIF(Campaigns!$A$7:$A$300,B485)&gt;0,"✓","⚠ add to Campaigns tab"))</f>
        <v/>
      </c>
      <c r="I485" s="84" t="str">
        <f aca="false">IF(C485="","",C485*IF(Settings!$B$22=Settings!$C$6,1,IF(Settings!$B$22="USD",1/INDEX(Settings!$B$29:$B$40,MONTH(A485)),INDEX(Settings!$B$29:$B$40,MONTH(A485)))))</f>
        <v/>
      </c>
    </row>
    <row r="486" customFormat="false" ht="15" hidden="false" customHeight="false" outlineLevel="0" collapsed="false">
      <c r="H486" s="0" t="str">
        <f aca="false">IF(B486="","",IF(COUNTIF(Campaigns!$A$7:$A$300,B486)&gt;0,"✓","⚠ add to Campaigns tab"))</f>
        <v/>
      </c>
      <c r="I486" s="84" t="str">
        <f aca="false">IF(C486="","",C486*IF(Settings!$B$22=Settings!$C$6,1,IF(Settings!$B$22="USD",1/INDEX(Settings!$B$29:$B$40,MONTH(A486)),INDEX(Settings!$B$29:$B$40,MONTH(A486)))))</f>
        <v/>
      </c>
    </row>
    <row r="487" customFormat="false" ht="15" hidden="false" customHeight="false" outlineLevel="0" collapsed="false">
      <c r="H487" s="0" t="str">
        <f aca="false">IF(B487="","",IF(COUNTIF(Campaigns!$A$7:$A$300,B487)&gt;0,"✓","⚠ add to Campaigns tab"))</f>
        <v/>
      </c>
      <c r="I487" s="84" t="str">
        <f aca="false">IF(C487="","",C487*IF(Settings!$B$22=Settings!$C$6,1,IF(Settings!$B$22="USD",1/INDEX(Settings!$B$29:$B$40,MONTH(A487)),INDEX(Settings!$B$29:$B$40,MONTH(A487)))))</f>
        <v/>
      </c>
    </row>
    <row r="488" customFormat="false" ht="15" hidden="false" customHeight="false" outlineLevel="0" collapsed="false">
      <c r="H488" s="0" t="str">
        <f aca="false">IF(B488="","",IF(COUNTIF(Campaigns!$A$7:$A$300,B488)&gt;0,"✓","⚠ add to Campaigns tab"))</f>
        <v/>
      </c>
      <c r="I488" s="84" t="str">
        <f aca="false">IF(C488="","",C488*IF(Settings!$B$22=Settings!$C$6,1,IF(Settings!$B$22="USD",1/INDEX(Settings!$B$29:$B$40,MONTH(A488)),INDEX(Settings!$B$29:$B$40,MONTH(A488)))))</f>
        <v/>
      </c>
    </row>
    <row r="489" customFormat="false" ht="15" hidden="false" customHeight="false" outlineLevel="0" collapsed="false">
      <c r="H489" s="0" t="str">
        <f aca="false">IF(B489="","",IF(COUNTIF(Campaigns!$A$7:$A$300,B489)&gt;0,"✓","⚠ add to Campaigns tab"))</f>
        <v/>
      </c>
      <c r="I489" s="84" t="str">
        <f aca="false">IF(C489="","",C489*IF(Settings!$B$22=Settings!$C$6,1,IF(Settings!$B$22="USD",1/INDEX(Settings!$B$29:$B$40,MONTH(A489)),INDEX(Settings!$B$29:$B$40,MONTH(A489)))))</f>
        <v/>
      </c>
    </row>
    <row r="490" customFormat="false" ht="15" hidden="false" customHeight="false" outlineLevel="0" collapsed="false">
      <c r="H490" s="0" t="str">
        <f aca="false">IF(B490="","",IF(COUNTIF(Campaigns!$A$7:$A$300,B490)&gt;0,"✓","⚠ add to Campaigns tab"))</f>
        <v/>
      </c>
      <c r="I490" s="84" t="str">
        <f aca="false">IF(C490="","",C490*IF(Settings!$B$22=Settings!$C$6,1,IF(Settings!$B$22="USD",1/INDEX(Settings!$B$29:$B$40,MONTH(A490)),INDEX(Settings!$B$29:$B$40,MONTH(A490)))))</f>
        <v/>
      </c>
    </row>
    <row r="491" customFormat="false" ht="15" hidden="false" customHeight="false" outlineLevel="0" collapsed="false">
      <c r="H491" s="0" t="str">
        <f aca="false">IF(B491="","",IF(COUNTIF(Campaigns!$A$7:$A$300,B491)&gt;0,"✓","⚠ add to Campaigns tab"))</f>
        <v/>
      </c>
      <c r="I491" s="84" t="str">
        <f aca="false">IF(C491="","",C491*IF(Settings!$B$22=Settings!$C$6,1,IF(Settings!$B$22="USD",1/INDEX(Settings!$B$29:$B$40,MONTH(A491)),INDEX(Settings!$B$29:$B$40,MONTH(A491)))))</f>
        <v/>
      </c>
    </row>
    <row r="492" customFormat="false" ht="15" hidden="false" customHeight="false" outlineLevel="0" collapsed="false">
      <c r="H492" s="0" t="str">
        <f aca="false">IF(B492="","",IF(COUNTIF(Campaigns!$A$7:$A$300,B492)&gt;0,"✓","⚠ add to Campaigns tab"))</f>
        <v/>
      </c>
      <c r="I492" s="84" t="str">
        <f aca="false">IF(C492="","",C492*IF(Settings!$B$22=Settings!$C$6,1,IF(Settings!$B$22="USD",1/INDEX(Settings!$B$29:$B$40,MONTH(A492)),INDEX(Settings!$B$29:$B$40,MONTH(A492)))))</f>
        <v/>
      </c>
    </row>
    <row r="493" customFormat="false" ht="15" hidden="false" customHeight="false" outlineLevel="0" collapsed="false">
      <c r="H493" s="0" t="str">
        <f aca="false">IF(B493="","",IF(COUNTIF(Campaigns!$A$7:$A$300,B493)&gt;0,"✓","⚠ add to Campaigns tab"))</f>
        <v/>
      </c>
      <c r="I493" s="84" t="str">
        <f aca="false">IF(C493="","",C493*IF(Settings!$B$22=Settings!$C$6,1,IF(Settings!$B$22="USD",1/INDEX(Settings!$B$29:$B$40,MONTH(A493)),INDEX(Settings!$B$29:$B$40,MONTH(A493)))))</f>
        <v/>
      </c>
    </row>
    <row r="494" customFormat="false" ht="15" hidden="false" customHeight="false" outlineLevel="0" collapsed="false">
      <c r="H494" s="0" t="str">
        <f aca="false">IF(B494="","",IF(COUNTIF(Campaigns!$A$7:$A$300,B494)&gt;0,"✓","⚠ add to Campaigns tab"))</f>
        <v/>
      </c>
      <c r="I494" s="84" t="str">
        <f aca="false">IF(C494="","",C494*IF(Settings!$B$22=Settings!$C$6,1,IF(Settings!$B$22="USD",1/INDEX(Settings!$B$29:$B$40,MONTH(A494)),INDEX(Settings!$B$29:$B$40,MONTH(A494)))))</f>
        <v/>
      </c>
    </row>
    <row r="495" customFormat="false" ht="15" hidden="false" customHeight="false" outlineLevel="0" collapsed="false">
      <c r="H495" s="0" t="str">
        <f aca="false">IF(B495="","",IF(COUNTIF(Campaigns!$A$7:$A$300,B495)&gt;0,"✓","⚠ add to Campaigns tab"))</f>
        <v/>
      </c>
      <c r="I495" s="84" t="str">
        <f aca="false">IF(C495="","",C495*IF(Settings!$B$22=Settings!$C$6,1,IF(Settings!$B$22="USD",1/INDEX(Settings!$B$29:$B$40,MONTH(A495)),INDEX(Settings!$B$29:$B$40,MONTH(A495)))))</f>
        <v/>
      </c>
    </row>
    <row r="496" customFormat="false" ht="15" hidden="false" customHeight="false" outlineLevel="0" collapsed="false">
      <c r="H496" s="0" t="str">
        <f aca="false">IF(B496="","",IF(COUNTIF(Campaigns!$A$7:$A$300,B496)&gt;0,"✓","⚠ add to Campaigns tab"))</f>
        <v/>
      </c>
      <c r="I496" s="84" t="str">
        <f aca="false">IF(C496="","",C496*IF(Settings!$B$22=Settings!$C$6,1,IF(Settings!$B$22="USD",1/INDEX(Settings!$B$29:$B$40,MONTH(A496)),INDEX(Settings!$B$29:$B$40,MONTH(A496)))))</f>
        <v/>
      </c>
    </row>
    <row r="497" customFormat="false" ht="15" hidden="false" customHeight="false" outlineLevel="0" collapsed="false">
      <c r="H497" s="0" t="str">
        <f aca="false">IF(B497="","",IF(COUNTIF(Campaigns!$A$7:$A$300,B497)&gt;0,"✓","⚠ add to Campaigns tab"))</f>
        <v/>
      </c>
      <c r="I497" s="84" t="str">
        <f aca="false">IF(C497="","",C497*IF(Settings!$B$22=Settings!$C$6,1,IF(Settings!$B$22="USD",1/INDEX(Settings!$B$29:$B$40,MONTH(A497)),INDEX(Settings!$B$29:$B$40,MONTH(A497)))))</f>
        <v/>
      </c>
    </row>
    <row r="498" customFormat="false" ht="15" hidden="false" customHeight="false" outlineLevel="0" collapsed="false">
      <c r="H498" s="0" t="str">
        <f aca="false">IF(B498="","",IF(COUNTIF(Campaigns!$A$7:$A$300,B498)&gt;0,"✓","⚠ add to Campaigns tab"))</f>
        <v/>
      </c>
      <c r="I498" s="84" t="str">
        <f aca="false">IF(C498="","",C498*IF(Settings!$B$22=Settings!$C$6,1,IF(Settings!$B$22="USD",1/INDEX(Settings!$B$29:$B$40,MONTH(A498)),INDEX(Settings!$B$29:$B$40,MONTH(A498)))))</f>
        <v/>
      </c>
    </row>
    <row r="499" customFormat="false" ht="15" hidden="false" customHeight="false" outlineLevel="0" collapsed="false">
      <c r="H499" s="0" t="str">
        <f aca="false">IF(B499="","",IF(COUNTIF(Campaigns!$A$7:$A$300,B499)&gt;0,"✓","⚠ add to Campaigns tab"))</f>
        <v/>
      </c>
      <c r="I499" s="84" t="str">
        <f aca="false">IF(C499="","",C499*IF(Settings!$B$22=Settings!$C$6,1,IF(Settings!$B$22="USD",1/INDEX(Settings!$B$29:$B$40,MONTH(A499)),INDEX(Settings!$B$29:$B$40,MONTH(A499)))))</f>
        <v/>
      </c>
    </row>
    <row r="500" customFormat="false" ht="15" hidden="false" customHeight="false" outlineLevel="0" collapsed="false">
      <c r="H500" s="0" t="str">
        <f aca="false">IF(B500="","",IF(COUNTIF(Campaigns!$A$7:$A$300,B500)&gt;0,"✓","⚠ add to Campaigns tab"))</f>
        <v/>
      </c>
      <c r="I500" s="84" t="str">
        <f aca="false">IF(C500="","",C500*IF(Settings!$B$22=Settings!$C$6,1,IF(Settings!$B$22="USD",1/INDEX(Settings!$B$29:$B$40,MONTH(A500)),INDEX(Settings!$B$29:$B$40,MONTH(A500)))))</f>
        <v/>
      </c>
    </row>
    <row r="501" customFormat="false" ht="15" hidden="false" customHeight="false" outlineLevel="0" collapsed="false">
      <c r="H501" s="0" t="str">
        <f aca="false">IF(B501="","",IF(COUNTIF(Campaigns!$A$7:$A$300,B501)&gt;0,"✓","⚠ add to Campaigns tab"))</f>
        <v/>
      </c>
      <c r="I501" s="84" t="str">
        <f aca="false">IF(C501="","",C501*IF(Settings!$B$22=Settings!$C$6,1,IF(Settings!$B$22="USD",1/INDEX(Settings!$B$29:$B$40,MONTH(A501)),INDEX(Settings!$B$29:$B$40,MONTH(A501)))))</f>
        <v/>
      </c>
    </row>
    <row r="502" customFormat="false" ht="15" hidden="false" customHeight="false" outlineLevel="0" collapsed="false">
      <c r="H502" s="0" t="str">
        <f aca="false">IF(B502="","",IF(COUNTIF(Campaigns!$A$7:$A$300,B502)&gt;0,"✓","⚠ add to Campaigns tab"))</f>
        <v/>
      </c>
      <c r="I502" s="84" t="str">
        <f aca="false">IF(C502="","",C502*IF(Settings!$B$22=Settings!$C$6,1,IF(Settings!$B$22="USD",1/INDEX(Settings!$B$29:$B$40,MONTH(A502)),INDEX(Settings!$B$29:$B$40,MONTH(A502)))))</f>
        <v/>
      </c>
    </row>
    <row r="503" customFormat="false" ht="15" hidden="false" customHeight="false" outlineLevel="0" collapsed="false">
      <c r="H503" s="0" t="str">
        <f aca="false">IF(B503="","",IF(COUNTIF(Campaigns!$A$7:$A$300,B503)&gt;0,"✓","⚠ add to Campaigns tab"))</f>
        <v/>
      </c>
      <c r="I503" s="84" t="str">
        <f aca="false">IF(C503="","",C503*IF(Settings!$B$22=Settings!$C$6,1,IF(Settings!$B$22="USD",1/INDEX(Settings!$B$29:$B$40,MONTH(A503)),INDEX(Settings!$B$29:$B$40,MONTH(A503)))))</f>
        <v/>
      </c>
    </row>
    <row r="504" customFormat="false" ht="15" hidden="false" customHeight="false" outlineLevel="0" collapsed="false">
      <c r="H504" s="0" t="str">
        <f aca="false">IF(B504="","",IF(COUNTIF(Campaigns!$A$7:$A$300,B504)&gt;0,"✓","⚠ add to Campaigns tab"))</f>
        <v/>
      </c>
      <c r="I504" s="84" t="str">
        <f aca="false">IF(C504="","",C504*IF(Settings!$B$22=Settings!$C$6,1,IF(Settings!$B$22="USD",1/INDEX(Settings!$B$29:$B$40,MONTH(A504)),INDEX(Settings!$B$29:$B$40,MONTH(A504)))))</f>
        <v/>
      </c>
    </row>
    <row r="505" customFormat="false" ht="15" hidden="false" customHeight="false" outlineLevel="0" collapsed="false">
      <c r="H505" s="0" t="str">
        <f aca="false">IF(B505="","",IF(COUNTIF(Campaigns!$A$7:$A$300,B505)&gt;0,"✓","⚠ add to Campaigns tab"))</f>
        <v/>
      </c>
      <c r="I505" s="84" t="str">
        <f aca="false">IF(C505="","",C505*IF(Settings!$B$22=Settings!$C$6,1,IF(Settings!$B$22="USD",1/INDEX(Settings!$B$29:$B$40,MONTH(A505)),INDEX(Settings!$B$29:$B$40,MONTH(A505)))))</f>
        <v/>
      </c>
    </row>
    <row r="506" customFormat="false" ht="15" hidden="false" customHeight="false" outlineLevel="0" collapsed="false">
      <c r="H506" s="0" t="str">
        <f aca="false">IF(B506="","",IF(COUNTIF(Campaigns!$A$7:$A$300,B506)&gt;0,"✓","⚠ add to Campaigns tab"))</f>
        <v/>
      </c>
      <c r="I506" s="84" t="str">
        <f aca="false">IF(C506="","",C506*IF(Settings!$B$22=Settings!$C$6,1,IF(Settings!$B$22="USD",1/INDEX(Settings!$B$29:$B$40,MONTH(A506)),INDEX(Settings!$B$29:$B$40,MONTH(A506)))))</f>
        <v/>
      </c>
    </row>
    <row r="507" customFormat="false" ht="15" hidden="false" customHeight="false" outlineLevel="0" collapsed="false">
      <c r="H507" s="0" t="str">
        <f aca="false">IF(B507="","",IF(COUNTIF(Campaigns!$A$7:$A$300,B507)&gt;0,"✓","⚠ add to Campaigns tab"))</f>
        <v/>
      </c>
      <c r="I507" s="84" t="str">
        <f aca="false">IF(C507="","",C507*IF(Settings!$B$22=Settings!$C$6,1,IF(Settings!$B$22="USD",1/INDEX(Settings!$B$29:$B$40,MONTH(A507)),INDEX(Settings!$B$29:$B$40,MONTH(A507)))))</f>
        <v/>
      </c>
    </row>
    <row r="508" customFormat="false" ht="15" hidden="false" customHeight="false" outlineLevel="0" collapsed="false">
      <c r="H508" s="0" t="str">
        <f aca="false">IF(B508="","",IF(COUNTIF(Campaigns!$A$7:$A$300,B508)&gt;0,"✓","⚠ add to Campaigns tab"))</f>
        <v/>
      </c>
      <c r="I508" s="84" t="str">
        <f aca="false">IF(C508="","",C508*IF(Settings!$B$22=Settings!$C$6,1,IF(Settings!$B$22="USD",1/INDEX(Settings!$B$29:$B$40,MONTH(A508)),INDEX(Settings!$B$29:$B$40,MONTH(A508)))))</f>
        <v/>
      </c>
    </row>
    <row r="509" customFormat="false" ht="15" hidden="false" customHeight="false" outlineLevel="0" collapsed="false">
      <c r="H509" s="0" t="str">
        <f aca="false">IF(B509="","",IF(COUNTIF(Campaigns!$A$7:$A$300,B509)&gt;0,"✓","⚠ add to Campaigns tab"))</f>
        <v/>
      </c>
      <c r="I509" s="84" t="str">
        <f aca="false">IF(C509="","",C509*IF(Settings!$B$22=Settings!$C$6,1,IF(Settings!$B$22="USD",1/INDEX(Settings!$B$29:$B$40,MONTH(A509)),INDEX(Settings!$B$29:$B$40,MONTH(A509)))))</f>
        <v/>
      </c>
    </row>
    <row r="510" customFormat="false" ht="15" hidden="false" customHeight="false" outlineLevel="0" collapsed="false">
      <c r="H510" s="0" t="str">
        <f aca="false">IF(B510="","",IF(COUNTIF(Campaigns!$A$7:$A$300,B510)&gt;0,"✓","⚠ add to Campaigns tab"))</f>
        <v/>
      </c>
      <c r="I510" s="84" t="str">
        <f aca="false">IF(C510="","",C510*IF(Settings!$B$22=Settings!$C$6,1,IF(Settings!$B$22="USD",1/INDEX(Settings!$B$29:$B$40,MONTH(A510)),INDEX(Settings!$B$29:$B$40,MONTH(A510)))))</f>
        <v/>
      </c>
    </row>
    <row r="511" customFormat="false" ht="15" hidden="false" customHeight="false" outlineLevel="0" collapsed="false">
      <c r="H511" s="0" t="str">
        <f aca="false">IF(B511="","",IF(COUNTIF(Campaigns!$A$7:$A$300,B511)&gt;0,"✓","⚠ add to Campaigns tab"))</f>
        <v/>
      </c>
      <c r="I511" s="84" t="str">
        <f aca="false">IF(C511="","",C511*IF(Settings!$B$22=Settings!$C$6,1,IF(Settings!$B$22="USD",1/INDEX(Settings!$B$29:$B$40,MONTH(A511)),INDEX(Settings!$B$29:$B$40,MONTH(A511)))))</f>
        <v/>
      </c>
    </row>
    <row r="512" customFormat="false" ht="15" hidden="false" customHeight="false" outlineLevel="0" collapsed="false">
      <c r="H512" s="0" t="str">
        <f aca="false">IF(B512="","",IF(COUNTIF(Campaigns!$A$7:$A$300,B512)&gt;0,"✓","⚠ add to Campaigns tab"))</f>
        <v/>
      </c>
      <c r="I512" s="84" t="str">
        <f aca="false">IF(C512="","",C512*IF(Settings!$B$22=Settings!$C$6,1,IF(Settings!$B$22="USD",1/INDEX(Settings!$B$29:$B$40,MONTH(A512)),INDEX(Settings!$B$29:$B$40,MONTH(A512)))))</f>
        <v/>
      </c>
    </row>
    <row r="513" customFormat="false" ht="15" hidden="false" customHeight="false" outlineLevel="0" collapsed="false">
      <c r="H513" s="0" t="str">
        <f aca="false">IF(B513="","",IF(COUNTIF(Campaigns!$A$7:$A$300,B513)&gt;0,"✓","⚠ add to Campaigns tab"))</f>
        <v/>
      </c>
      <c r="I513" s="84" t="str">
        <f aca="false">IF(C513="","",C513*IF(Settings!$B$22=Settings!$C$6,1,IF(Settings!$B$22="USD",1/INDEX(Settings!$B$29:$B$40,MONTH(A513)),INDEX(Settings!$B$29:$B$40,MONTH(A513)))))</f>
        <v/>
      </c>
    </row>
    <row r="514" customFormat="false" ht="15" hidden="false" customHeight="false" outlineLevel="0" collapsed="false">
      <c r="H514" s="0" t="str">
        <f aca="false">IF(B514="","",IF(COUNTIF(Campaigns!$A$7:$A$300,B514)&gt;0,"✓","⚠ add to Campaigns tab"))</f>
        <v/>
      </c>
      <c r="I514" s="84" t="str">
        <f aca="false">IF(C514="","",C514*IF(Settings!$B$22=Settings!$C$6,1,IF(Settings!$B$22="USD",1/INDEX(Settings!$B$29:$B$40,MONTH(A514)),INDEX(Settings!$B$29:$B$40,MONTH(A514)))))</f>
        <v/>
      </c>
    </row>
    <row r="515" customFormat="false" ht="15" hidden="false" customHeight="false" outlineLevel="0" collapsed="false">
      <c r="H515" s="0" t="str">
        <f aca="false">IF(B515="","",IF(COUNTIF(Campaigns!$A$7:$A$300,B515)&gt;0,"✓","⚠ add to Campaigns tab"))</f>
        <v/>
      </c>
      <c r="I515" s="84" t="str">
        <f aca="false">IF(C515="","",C515*IF(Settings!$B$22=Settings!$C$6,1,IF(Settings!$B$22="USD",1/INDEX(Settings!$B$29:$B$40,MONTH(A515)),INDEX(Settings!$B$29:$B$40,MONTH(A515)))))</f>
        <v/>
      </c>
    </row>
    <row r="516" customFormat="false" ht="15" hidden="false" customHeight="false" outlineLevel="0" collapsed="false">
      <c r="H516" s="0" t="str">
        <f aca="false">IF(B516="","",IF(COUNTIF(Campaigns!$A$7:$A$300,B516)&gt;0,"✓","⚠ add to Campaigns tab"))</f>
        <v/>
      </c>
      <c r="I516" s="84" t="str">
        <f aca="false">IF(C516="","",C516*IF(Settings!$B$22=Settings!$C$6,1,IF(Settings!$B$22="USD",1/INDEX(Settings!$B$29:$B$40,MONTH(A516)),INDEX(Settings!$B$29:$B$40,MONTH(A516)))))</f>
        <v/>
      </c>
    </row>
    <row r="517" customFormat="false" ht="15" hidden="false" customHeight="false" outlineLevel="0" collapsed="false">
      <c r="H517" s="0" t="str">
        <f aca="false">IF(B517="","",IF(COUNTIF(Campaigns!$A$7:$A$300,B517)&gt;0,"✓","⚠ add to Campaigns tab"))</f>
        <v/>
      </c>
      <c r="I517" s="84" t="str">
        <f aca="false">IF(C517="","",C517*IF(Settings!$B$22=Settings!$C$6,1,IF(Settings!$B$22="USD",1/INDEX(Settings!$B$29:$B$40,MONTH(A517)),INDEX(Settings!$B$29:$B$40,MONTH(A517)))))</f>
        <v/>
      </c>
    </row>
    <row r="518" customFormat="false" ht="15" hidden="false" customHeight="false" outlineLevel="0" collapsed="false">
      <c r="H518" s="0" t="str">
        <f aca="false">IF(B518="","",IF(COUNTIF(Campaigns!$A$7:$A$300,B518)&gt;0,"✓","⚠ add to Campaigns tab"))</f>
        <v/>
      </c>
      <c r="I518" s="84" t="str">
        <f aca="false">IF(C518="","",C518*IF(Settings!$B$22=Settings!$C$6,1,IF(Settings!$B$22="USD",1/INDEX(Settings!$B$29:$B$40,MONTH(A518)),INDEX(Settings!$B$29:$B$40,MONTH(A518)))))</f>
        <v/>
      </c>
    </row>
    <row r="519" customFormat="false" ht="15" hidden="false" customHeight="false" outlineLevel="0" collapsed="false">
      <c r="H519" s="0" t="str">
        <f aca="false">IF(B519="","",IF(COUNTIF(Campaigns!$A$7:$A$300,B519)&gt;0,"✓","⚠ add to Campaigns tab"))</f>
        <v/>
      </c>
      <c r="I519" s="84" t="str">
        <f aca="false">IF(C519="","",C519*IF(Settings!$B$22=Settings!$C$6,1,IF(Settings!$B$22="USD",1/INDEX(Settings!$B$29:$B$40,MONTH(A519)),INDEX(Settings!$B$29:$B$40,MONTH(A519)))))</f>
        <v/>
      </c>
    </row>
    <row r="520" customFormat="false" ht="15" hidden="false" customHeight="false" outlineLevel="0" collapsed="false">
      <c r="H520" s="0" t="str">
        <f aca="false">IF(B520="","",IF(COUNTIF(Campaigns!$A$7:$A$300,B520)&gt;0,"✓","⚠ add to Campaigns tab"))</f>
        <v/>
      </c>
      <c r="I520" s="84" t="str">
        <f aca="false">IF(C520="","",C520*IF(Settings!$B$22=Settings!$C$6,1,IF(Settings!$B$22="USD",1/INDEX(Settings!$B$29:$B$40,MONTH(A520)),INDEX(Settings!$B$29:$B$40,MONTH(A520)))))</f>
        <v/>
      </c>
    </row>
    <row r="521" customFormat="false" ht="15" hidden="false" customHeight="false" outlineLevel="0" collapsed="false">
      <c r="H521" s="0" t="str">
        <f aca="false">IF(B521="","",IF(COUNTIF(Campaigns!$A$7:$A$300,B521)&gt;0,"✓","⚠ add to Campaigns tab"))</f>
        <v/>
      </c>
      <c r="I521" s="84" t="str">
        <f aca="false">IF(C521="","",C521*IF(Settings!$B$22=Settings!$C$6,1,IF(Settings!$B$22="USD",1/INDEX(Settings!$B$29:$B$40,MONTH(A521)),INDEX(Settings!$B$29:$B$40,MONTH(A521)))))</f>
        <v/>
      </c>
    </row>
    <row r="522" customFormat="false" ht="15" hidden="false" customHeight="false" outlineLevel="0" collapsed="false">
      <c r="H522" s="0" t="str">
        <f aca="false">IF(B522="","",IF(COUNTIF(Campaigns!$A$7:$A$300,B522)&gt;0,"✓","⚠ add to Campaigns tab"))</f>
        <v/>
      </c>
      <c r="I522" s="84" t="str">
        <f aca="false">IF(C522="","",C522*IF(Settings!$B$22=Settings!$C$6,1,IF(Settings!$B$22="USD",1/INDEX(Settings!$B$29:$B$40,MONTH(A522)),INDEX(Settings!$B$29:$B$40,MONTH(A522)))))</f>
        <v/>
      </c>
    </row>
    <row r="523" customFormat="false" ht="15" hidden="false" customHeight="false" outlineLevel="0" collapsed="false">
      <c r="H523" s="0" t="str">
        <f aca="false">IF(B523="","",IF(COUNTIF(Campaigns!$A$7:$A$300,B523)&gt;0,"✓","⚠ add to Campaigns tab"))</f>
        <v/>
      </c>
      <c r="I523" s="84" t="str">
        <f aca="false">IF(C523="","",C523*IF(Settings!$B$22=Settings!$C$6,1,IF(Settings!$B$22="USD",1/INDEX(Settings!$B$29:$B$40,MONTH(A523)),INDEX(Settings!$B$29:$B$40,MONTH(A523)))))</f>
        <v/>
      </c>
    </row>
    <row r="524" customFormat="false" ht="15" hidden="false" customHeight="false" outlineLevel="0" collapsed="false">
      <c r="H524" s="0" t="str">
        <f aca="false">IF(B524="","",IF(COUNTIF(Campaigns!$A$7:$A$300,B524)&gt;0,"✓","⚠ add to Campaigns tab"))</f>
        <v/>
      </c>
      <c r="I524" s="84" t="str">
        <f aca="false">IF(C524="","",C524*IF(Settings!$B$22=Settings!$C$6,1,IF(Settings!$B$22="USD",1/INDEX(Settings!$B$29:$B$40,MONTH(A524)),INDEX(Settings!$B$29:$B$40,MONTH(A524)))))</f>
        <v/>
      </c>
    </row>
    <row r="525" customFormat="false" ht="15" hidden="false" customHeight="false" outlineLevel="0" collapsed="false">
      <c r="H525" s="0" t="str">
        <f aca="false">IF(B525="","",IF(COUNTIF(Campaigns!$A$7:$A$300,B525)&gt;0,"✓","⚠ add to Campaigns tab"))</f>
        <v/>
      </c>
      <c r="I525" s="84" t="str">
        <f aca="false">IF(C525="","",C525*IF(Settings!$B$22=Settings!$C$6,1,IF(Settings!$B$22="USD",1/INDEX(Settings!$B$29:$B$40,MONTH(A525)),INDEX(Settings!$B$29:$B$40,MONTH(A525)))))</f>
        <v/>
      </c>
    </row>
    <row r="526" customFormat="false" ht="15" hidden="false" customHeight="false" outlineLevel="0" collapsed="false">
      <c r="H526" s="0" t="str">
        <f aca="false">IF(B526="","",IF(COUNTIF(Campaigns!$A$7:$A$300,B526)&gt;0,"✓","⚠ add to Campaigns tab"))</f>
        <v/>
      </c>
      <c r="I526" s="84" t="str">
        <f aca="false">IF(C526="","",C526*IF(Settings!$B$22=Settings!$C$6,1,IF(Settings!$B$22="USD",1/INDEX(Settings!$B$29:$B$40,MONTH(A526)),INDEX(Settings!$B$29:$B$40,MONTH(A526)))))</f>
        <v/>
      </c>
    </row>
    <row r="527" customFormat="false" ht="15" hidden="false" customHeight="false" outlineLevel="0" collapsed="false">
      <c r="H527" s="0" t="str">
        <f aca="false">IF(B527="","",IF(COUNTIF(Campaigns!$A$7:$A$300,B527)&gt;0,"✓","⚠ add to Campaigns tab"))</f>
        <v/>
      </c>
      <c r="I527" s="84" t="str">
        <f aca="false">IF(C527="","",C527*IF(Settings!$B$22=Settings!$C$6,1,IF(Settings!$B$22="USD",1/INDEX(Settings!$B$29:$B$40,MONTH(A527)),INDEX(Settings!$B$29:$B$40,MONTH(A527)))))</f>
        <v/>
      </c>
    </row>
    <row r="528" customFormat="false" ht="15" hidden="false" customHeight="false" outlineLevel="0" collapsed="false">
      <c r="H528" s="0" t="str">
        <f aca="false">IF(B528="","",IF(COUNTIF(Campaigns!$A$7:$A$300,B528)&gt;0,"✓","⚠ add to Campaigns tab"))</f>
        <v/>
      </c>
      <c r="I528" s="84" t="str">
        <f aca="false">IF(C528="","",C528*IF(Settings!$B$22=Settings!$C$6,1,IF(Settings!$B$22="USD",1/INDEX(Settings!$B$29:$B$40,MONTH(A528)),INDEX(Settings!$B$29:$B$40,MONTH(A528)))))</f>
        <v/>
      </c>
    </row>
    <row r="529" customFormat="false" ht="15" hidden="false" customHeight="false" outlineLevel="0" collapsed="false">
      <c r="H529" s="0" t="str">
        <f aca="false">IF(B529="","",IF(COUNTIF(Campaigns!$A$7:$A$300,B529)&gt;0,"✓","⚠ add to Campaigns tab"))</f>
        <v/>
      </c>
      <c r="I529" s="84" t="str">
        <f aca="false">IF(C529="","",C529*IF(Settings!$B$22=Settings!$C$6,1,IF(Settings!$B$22="USD",1/INDEX(Settings!$B$29:$B$40,MONTH(A529)),INDEX(Settings!$B$29:$B$40,MONTH(A529)))))</f>
        <v/>
      </c>
    </row>
    <row r="530" customFormat="false" ht="15" hidden="false" customHeight="false" outlineLevel="0" collapsed="false">
      <c r="H530" s="0" t="str">
        <f aca="false">IF(B530="","",IF(COUNTIF(Campaigns!$A$7:$A$300,B530)&gt;0,"✓","⚠ add to Campaigns tab"))</f>
        <v/>
      </c>
      <c r="I530" s="84" t="str">
        <f aca="false">IF(C530="","",C530*IF(Settings!$B$22=Settings!$C$6,1,IF(Settings!$B$22="USD",1/INDEX(Settings!$B$29:$B$40,MONTH(A530)),INDEX(Settings!$B$29:$B$40,MONTH(A530)))))</f>
        <v/>
      </c>
    </row>
    <row r="531" customFormat="false" ht="15" hidden="false" customHeight="false" outlineLevel="0" collapsed="false">
      <c r="H531" s="0" t="str">
        <f aca="false">IF(B531="","",IF(COUNTIF(Campaigns!$A$7:$A$300,B531)&gt;0,"✓","⚠ add to Campaigns tab"))</f>
        <v/>
      </c>
      <c r="I531" s="84" t="str">
        <f aca="false">IF(C531="","",C531*IF(Settings!$B$22=Settings!$C$6,1,IF(Settings!$B$22="USD",1/INDEX(Settings!$B$29:$B$40,MONTH(A531)),INDEX(Settings!$B$29:$B$40,MONTH(A531)))))</f>
        <v/>
      </c>
    </row>
    <row r="532" customFormat="false" ht="15" hidden="false" customHeight="false" outlineLevel="0" collapsed="false">
      <c r="H532" s="0" t="str">
        <f aca="false">IF(B532="","",IF(COUNTIF(Campaigns!$A$7:$A$300,B532)&gt;0,"✓","⚠ add to Campaigns tab"))</f>
        <v/>
      </c>
      <c r="I532" s="84" t="str">
        <f aca="false">IF(C532="","",C532*IF(Settings!$B$22=Settings!$C$6,1,IF(Settings!$B$22="USD",1/INDEX(Settings!$B$29:$B$40,MONTH(A532)),INDEX(Settings!$B$29:$B$40,MONTH(A532)))))</f>
        <v/>
      </c>
    </row>
    <row r="533" customFormat="false" ht="15" hidden="false" customHeight="false" outlineLevel="0" collapsed="false">
      <c r="H533" s="0" t="str">
        <f aca="false">IF(B533="","",IF(COUNTIF(Campaigns!$A$7:$A$300,B533)&gt;0,"✓","⚠ add to Campaigns tab"))</f>
        <v/>
      </c>
      <c r="I533" s="84" t="str">
        <f aca="false">IF(C533="","",C533*IF(Settings!$B$22=Settings!$C$6,1,IF(Settings!$B$22="USD",1/INDEX(Settings!$B$29:$B$40,MONTH(A533)),INDEX(Settings!$B$29:$B$40,MONTH(A533)))))</f>
        <v/>
      </c>
    </row>
    <row r="534" customFormat="false" ht="15" hidden="false" customHeight="false" outlineLevel="0" collapsed="false">
      <c r="H534" s="0" t="str">
        <f aca="false">IF(B534="","",IF(COUNTIF(Campaigns!$A$7:$A$300,B534)&gt;0,"✓","⚠ add to Campaigns tab"))</f>
        <v/>
      </c>
      <c r="I534" s="84" t="str">
        <f aca="false">IF(C534="","",C534*IF(Settings!$B$22=Settings!$C$6,1,IF(Settings!$B$22="USD",1/INDEX(Settings!$B$29:$B$40,MONTH(A534)),INDEX(Settings!$B$29:$B$40,MONTH(A534)))))</f>
        <v/>
      </c>
    </row>
    <row r="535" customFormat="false" ht="15" hidden="false" customHeight="false" outlineLevel="0" collapsed="false">
      <c r="H535" s="0" t="str">
        <f aca="false">IF(B535="","",IF(COUNTIF(Campaigns!$A$7:$A$300,B535)&gt;0,"✓","⚠ add to Campaigns tab"))</f>
        <v/>
      </c>
      <c r="I535" s="84" t="str">
        <f aca="false">IF(C535="","",C535*IF(Settings!$B$22=Settings!$C$6,1,IF(Settings!$B$22="USD",1/INDEX(Settings!$B$29:$B$40,MONTH(A535)),INDEX(Settings!$B$29:$B$40,MONTH(A535)))))</f>
        <v/>
      </c>
    </row>
    <row r="536" customFormat="false" ht="15" hidden="false" customHeight="false" outlineLevel="0" collapsed="false">
      <c r="H536" s="0" t="str">
        <f aca="false">IF(B536="","",IF(COUNTIF(Campaigns!$A$7:$A$300,B536)&gt;0,"✓","⚠ add to Campaigns tab"))</f>
        <v/>
      </c>
      <c r="I536" s="84" t="str">
        <f aca="false">IF(C536="","",C536*IF(Settings!$B$22=Settings!$C$6,1,IF(Settings!$B$22="USD",1/INDEX(Settings!$B$29:$B$40,MONTH(A536)),INDEX(Settings!$B$29:$B$40,MONTH(A536)))))</f>
        <v/>
      </c>
    </row>
    <row r="537" customFormat="false" ht="15" hidden="false" customHeight="false" outlineLevel="0" collapsed="false">
      <c r="H537" s="0" t="str">
        <f aca="false">IF(B537="","",IF(COUNTIF(Campaigns!$A$7:$A$300,B537)&gt;0,"✓","⚠ add to Campaigns tab"))</f>
        <v/>
      </c>
      <c r="I537" s="84" t="str">
        <f aca="false">IF(C537="","",C537*IF(Settings!$B$22=Settings!$C$6,1,IF(Settings!$B$22="USD",1/INDEX(Settings!$B$29:$B$40,MONTH(A537)),INDEX(Settings!$B$29:$B$40,MONTH(A537)))))</f>
        <v/>
      </c>
    </row>
    <row r="538" customFormat="false" ht="15" hidden="false" customHeight="false" outlineLevel="0" collapsed="false">
      <c r="H538" s="0" t="str">
        <f aca="false">IF(B538="","",IF(COUNTIF(Campaigns!$A$7:$A$300,B538)&gt;0,"✓","⚠ add to Campaigns tab"))</f>
        <v/>
      </c>
      <c r="I538" s="84" t="str">
        <f aca="false">IF(C538="","",C538*IF(Settings!$B$22=Settings!$C$6,1,IF(Settings!$B$22="USD",1/INDEX(Settings!$B$29:$B$40,MONTH(A538)),INDEX(Settings!$B$29:$B$40,MONTH(A538)))))</f>
        <v/>
      </c>
    </row>
    <row r="539" customFormat="false" ht="15" hidden="false" customHeight="false" outlineLevel="0" collapsed="false">
      <c r="H539" s="0" t="str">
        <f aca="false">IF(B539="","",IF(COUNTIF(Campaigns!$A$7:$A$300,B539)&gt;0,"✓","⚠ add to Campaigns tab"))</f>
        <v/>
      </c>
      <c r="I539" s="84" t="str">
        <f aca="false">IF(C539="","",C539*IF(Settings!$B$22=Settings!$C$6,1,IF(Settings!$B$22="USD",1/INDEX(Settings!$B$29:$B$40,MONTH(A539)),INDEX(Settings!$B$29:$B$40,MONTH(A539)))))</f>
        <v/>
      </c>
    </row>
    <row r="540" customFormat="false" ht="15" hidden="false" customHeight="false" outlineLevel="0" collapsed="false">
      <c r="H540" s="0" t="str">
        <f aca="false">IF(B540="","",IF(COUNTIF(Campaigns!$A$7:$A$300,B540)&gt;0,"✓","⚠ add to Campaigns tab"))</f>
        <v/>
      </c>
      <c r="I540" s="84" t="str">
        <f aca="false">IF(C540="","",C540*IF(Settings!$B$22=Settings!$C$6,1,IF(Settings!$B$22="USD",1/INDEX(Settings!$B$29:$B$40,MONTH(A540)),INDEX(Settings!$B$29:$B$40,MONTH(A540)))))</f>
        <v/>
      </c>
    </row>
    <row r="541" customFormat="false" ht="15" hidden="false" customHeight="false" outlineLevel="0" collapsed="false">
      <c r="H541" s="0" t="str">
        <f aca="false">IF(B541="","",IF(COUNTIF(Campaigns!$A$7:$A$300,B541)&gt;0,"✓","⚠ add to Campaigns tab"))</f>
        <v/>
      </c>
      <c r="I541" s="84" t="str">
        <f aca="false">IF(C541="","",C541*IF(Settings!$B$22=Settings!$C$6,1,IF(Settings!$B$22="USD",1/INDEX(Settings!$B$29:$B$40,MONTH(A541)),INDEX(Settings!$B$29:$B$40,MONTH(A541)))))</f>
        <v/>
      </c>
    </row>
    <row r="542" customFormat="false" ht="15" hidden="false" customHeight="false" outlineLevel="0" collapsed="false">
      <c r="H542" s="0" t="str">
        <f aca="false">IF(B542="","",IF(COUNTIF(Campaigns!$A$7:$A$300,B542)&gt;0,"✓","⚠ add to Campaigns tab"))</f>
        <v/>
      </c>
      <c r="I542" s="84" t="str">
        <f aca="false">IF(C542="","",C542*IF(Settings!$B$22=Settings!$C$6,1,IF(Settings!$B$22="USD",1/INDEX(Settings!$B$29:$B$40,MONTH(A542)),INDEX(Settings!$B$29:$B$40,MONTH(A542)))))</f>
        <v/>
      </c>
    </row>
    <row r="543" customFormat="false" ht="15" hidden="false" customHeight="false" outlineLevel="0" collapsed="false">
      <c r="H543" s="0" t="str">
        <f aca="false">IF(B543="","",IF(COUNTIF(Campaigns!$A$7:$A$300,B543)&gt;0,"✓","⚠ add to Campaigns tab"))</f>
        <v/>
      </c>
      <c r="I543" s="84" t="str">
        <f aca="false">IF(C543="","",C543*IF(Settings!$B$22=Settings!$C$6,1,IF(Settings!$B$22="USD",1/INDEX(Settings!$B$29:$B$40,MONTH(A543)),INDEX(Settings!$B$29:$B$40,MONTH(A543)))))</f>
        <v/>
      </c>
    </row>
    <row r="544" customFormat="false" ht="15" hidden="false" customHeight="false" outlineLevel="0" collapsed="false">
      <c r="H544" s="0" t="str">
        <f aca="false">IF(B544="","",IF(COUNTIF(Campaigns!$A$7:$A$300,B544)&gt;0,"✓","⚠ add to Campaigns tab"))</f>
        <v/>
      </c>
      <c r="I544" s="84" t="str">
        <f aca="false">IF(C544="","",C544*IF(Settings!$B$22=Settings!$C$6,1,IF(Settings!$B$22="USD",1/INDEX(Settings!$B$29:$B$40,MONTH(A544)),INDEX(Settings!$B$29:$B$40,MONTH(A544)))))</f>
        <v/>
      </c>
    </row>
    <row r="545" customFormat="false" ht="15" hidden="false" customHeight="false" outlineLevel="0" collapsed="false">
      <c r="H545" s="0" t="str">
        <f aca="false">IF(B545="","",IF(COUNTIF(Campaigns!$A$7:$A$300,B545)&gt;0,"✓","⚠ add to Campaigns tab"))</f>
        <v/>
      </c>
      <c r="I545" s="84" t="str">
        <f aca="false">IF(C545="","",C545*IF(Settings!$B$22=Settings!$C$6,1,IF(Settings!$B$22="USD",1/INDEX(Settings!$B$29:$B$40,MONTH(A545)),INDEX(Settings!$B$29:$B$40,MONTH(A545)))))</f>
        <v/>
      </c>
    </row>
    <row r="546" customFormat="false" ht="15" hidden="false" customHeight="false" outlineLevel="0" collapsed="false">
      <c r="H546" s="0" t="str">
        <f aca="false">IF(B546="","",IF(COUNTIF(Campaigns!$A$7:$A$300,B546)&gt;0,"✓","⚠ add to Campaigns tab"))</f>
        <v/>
      </c>
      <c r="I546" s="84" t="str">
        <f aca="false">IF(C546="","",C546*IF(Settings!$B$22=Settings!$C$6,1,IF(Settings!$B$22="USD",1/INDEX(Settings!$B$29:$B$40,MONTH(A546)),INDEX(Settings!$B$29:$B$40,MONTH(A546)))))</f>
        <v/>
      </c>
    </row>
    <row r="547" customFormat="false" ht="15" hidden="false" customHeight="false" outlineLevel="0" collapsed="false">
      <c r="H547" s="0" t="str">
        <f aca="false">IF(B547="","",IF(COUNTIF(Campaigns!$A$7:$A$300,B547)&gt;0,"✓","⚠ add to Campaigns tab"))</f>
        <v/>
      </c>
      <c r="I547" s="84" t="str">
        <f aca="false">IF(C547="","",C547*IF(Settings!$B$22=Settings!$C$6,1,IF(Settings!$B$22="USD",1/INDEX(Settings!$B$29:$B$40,MONTH(A547)),INDEX(Settings!$B$29:$B$40,MONTH(A547)))))</f>
        <v/>
      </c>
    </row>
    <row r="548" customFormat="false" ht="15" hidden="false" customHeight="false" outlineLevel="0" collapsed="false">
      <c r="H548" s="0" t="str">
        <f aca="false">IF(B548="","",IF(COUNTIF(Campaigns!$A$7:$A$300,B548)&gt;0,"✓","⚠ add to Campaigns tab"))</f>
        <v/>
      </c>
      <c r="I548" s="84" t="str">
        <f aca="false">IF(C548="","",C548*IF(Settings!$B$22=Settings!$C$6,1,IF(Settings!$B$22="USD",1/INDEX(Settings!$B$29:$B$40,MONTH(A548)),INDEX(Settings!$B$29:$B$40,MONTH(A548)))))</f>
        <v/>
      </c>
    </row>
    <row r="549" customFormat="false" ht="15" hidden="false" customHeight="false" outlineLevel="0" collapsed="false">
      <c r="H549" s="0" t="str">
        <f aca="false">IF(B549="","",IF(COUNTIF(Campaigns!$A$7:$A$300,B549)&gt;0,"✓","⚠ add to Campaigns tab"))</f>
        <v/>
      </c>
      <c r="I549" s="84" t="str">
        <f aca="false">IF(C549="","",C549*IF(Settings!$B$22=Settings!$C$6,1,IF(Settings!$B$22="USD",1/INDEX(Settings!$B$29:$B$40,MONTH(A549)),INDEX(Settings!$B$29:$B$40,MONTH(A549)))))</f>
        <v/>
      </c>
    </row>
    <row r="550" customFormat="false" ht="15" hidden="false" customHeight="false" outlineLevel="0" collapsed="false">
      <c r="H550" s="0" t="str">
        <f aca="false">IF(B550="","",IF(COUNTIF(Campaigns!$A$7:$A$300,B550)&gt;0,"✓","⚠ add to Campaigns tab"))</f>
        <v/>
      </c>
      <c r="I550" s="84" t="str">
        <f aca="false">IF(C550="","",C550*IF(Settings!$B$22=Settings!$C$6,1,IF(Settings!$B$22="USD",1/INDEX(Settings!$B$29:$B$40,MONTH(A550)),INDEX(Settings!$B$29:$B$40,MONTH(A550)))))</f>
        <v/>
      </c>
    </row>
    <row r="551" customFormat="false" ht="15" hidden="false" customHeight="false" outlineLevel="0" collapsed="false">
      <c r="H551" s="0" t="str">
        <f aca="false">IF(B551="","",IF(COUNTIF(Campaigns!$A$7:$A$300,B551)&gt;0,"✓","⚠ add to Campaigns tab"))</f>
        <v/>
      </c>
      <c r="I551" s="84" t="str">
        <f aca="false">IF(C551="","",C551*IF(Settings!$B$22=Settings!$C$6,1,IF(Settings!$B$22="USD",1/INDEX(Settings!$B$29:$B$40,MONTH(A551)),INDEX(Settings!$B$29:$B$40,MONTH(A551)))))</f>
        <v/>
      </c>
    </row>
    <row r="552" customFormat="false" ht="15" hidden="false" customHeight="false" outlineLevel="0" collapsed="false">
      <c r="H552" s="0" t="str">
        <f aca="false">IF(B552="","",IF(COUNTIF(Campaigns!$A$7:$A$300,B552)&gt;0,"✓","⚠ add to Campaigns tab"))</f>
        <v/>
      </c>
      <c r="I552" s="84" t="str">
        <f aca="false">IF(C552="","",C552*IF(Settings!$B$22=Settings!$C$6,1,IF(Settings!$B$22="USD",1/INDEX(Settings!$B$29:$B$40,MONTH(A552)),INDEX(Settings!$B$29:$B$40,MONTH(A552)))))</f>
        <v/>
      </c>
    </row>
    <row r="553" customFormat="false" ht="15" hidden="false" customHeight="false" outlineLevel="0" collapsed="false">
      <c r="H553" s="0" t="str">
        <f aca="false">IF(B553="","",IF(COUNTIF(Campaigns!$A$7:$A$300,B553)&gt;0,"✓","⚠ add to Campaigns tab"))</f>
        <v/>
      </c>
      <c r="I553" s="84" t="str">
        <f aca="false">IF(C553="","",C553*IF(Settings!$B$22=Settings!$C$6,1,IF(Settings!$B$22="USD",1/INDEX(Settings!$B$29:$B$40,MONTH(A553)),INDEX(Settings!$B$29:$B$40,MONTH(A553)))))</f>
        <v/>
      </c>
    </row>
    <row r="554" customFormat="false" ht="15" hidden="false" customHeight="false" outlineLevel="0" collapsed="false">
      <c r="H554" s="0" t="str">
        <f aca="false">IF(B554="","",IF(COUNTIF(Campaigns!$A$7:$A$300,B554)&gt;0,"✓","⚠ add to Campaigns tab"))</f>
        <v/>
      </c>
      <c r="I554" s="84" t="str">
        <f aca="false">IF(C554="","",C554*IF(Settings!$B$22=Settings!$C$6,1,IF(Settings!$B$22="USD",1/INDEX(Settings!$B$29:$B$40,MONTH(A554)),INDEX(Settings!$B$29:$B$40,MONTH(A554)))))</f>
        <v/>
      </c>
    </row>
    <row r="555" customFormat="false" ht="15" hidden="false" customHeight="false" outlineLevel="0" collapsed="false">
      <c r="H555" s="0" t="str">
        <f aca="false">IF(B555="","",IF(COUNTIF(Campaigns!$A$7:$A$300,B555)&gt;0,"✓","⚠ add to Campaigns tab"))</f>
        <v/>
      </c>
      <c r="I555" s="84" t="str">
        <f aca="false">IF(C555="","",C555*IF(Settings!$B$22=Settings!$C$6,1,IF(Settings!$B$22="USD",1/INDEX(Settings!$B$29:$B$40,MONTH(A555)),INDEX(Settings!$B$29:$B$40,MONTH(A555)))))</f>
        <v/>
      </c>
    </row>
    <row r="556" customFormat="false" ht="15" hidden="false" customHeight="false" outlineLevel="0" collapsed="false">
      <c r="H556" s="0" t="str">
        <f aca="false">IF(B556="","",IF(COUNTIF(Campaigns!$A$7:$A$300,B556)&gt;0,"✓","⚠ add to Campaigns tab"))</f>
        <v/>
      </c>
      <c r="I556" s="84" t="str">
        <f aca="false">IF(C556="","",C556*IF(Settings!$B$22=Settings!$C$6,1,IF(Settings!$B$22="USD",1/INDEX(Settings!$B$29:$B$40,MONTH(A556)),INDEX(Settings!$B$29:$B$40,MONTH(A556)))))</f>
        <v/>
      </c>
    </row>
    <row r="557" customFormat="false" ht="15" hidden="false" customHeight="false" outlineLevel="0" collapsed="false">
      <c r="H557" s="0" t="str">
        <f aca="false">IF(B557="","",IF(COUNTIF(Campaigns!$A$7:$A$300,B557)&gt;0,"✓","⚠ add to Campaigns tab"))</f>
        <v/>
      </c>
      <c r="I557" s="84" t="str">
        <f aca="false">IF(C557="","",C557*IF(Settings!$B$22=Settings!$C$6,1,IF(Settings!$B$22="USD",1/INDEX(Settings!$B$29:$B$40,MONTH(A557)),INDEX(Settings!$B$29:$B$40,MONTH(A557)))))</f>
        <v/>
      </c>
    </row>
    <row r="558" customFormat="false" ht="15" hidden="false" customHeight="false" outlineLevel="0" collapsed="false">
      <c r="H558" s="0" t="str">
        <f aca="false">IF(B558="","",IF(COUNTIF(Campaigns!$A$7:$A$300,B558)&gt;0,"✓","⚠ add to Campaigns tab"))</f>
        <v/>
      </c>
      <c r="I558" s="84" t="str">
        <f aca="false">IF(C558="","",C558*IF(Settings!$B$22=Settings!$C$6,1,IF(Settings!$B$22="USD",1/INDEX(Settings!$B$29:$B$40,MONTH(A558)),INDEX(Settings!$B$29:$B$40,MONTH(A558)))))</f>
        <v/>
      </c>
    </row>
    <row r="559" customFormat="false" ht="15" hidden="false" customHeight="false" outlineLevel="0" collapsed="false">
      <c r="H559" s="0" t="str">
        <f aca="false">IF(B559="","",IF(COUNTIF(Campaigns!$A$7:$A$300,B559)&gt;0,"✓","⚠ add to Campaigns tab"))</f>
        <v/>
      </c>
      <c r="I559" s="84" t="str">
        <f aca="false">IF(C559="","",C559*IF(Settings!$B$22=Settings!$C$6,1,IF(Settings!$B$22="USD",1/INDEX(Settings!$B$29:$B$40,MONTH(A559)),INDEX(Settings!$B$29:$B$40,MONTH(A559)))))</f>
        <v/>
      </c>
    </row>
    <row r="560" customFormat="false" ht="15" hidden="false" customHeight="false" outlineLevel="0" collapsed="false">
      <c r="H560" s="0" t="str">
        <f aca="false">IF(B560="","",IF(COUNTIF(Campaigns!$A$7:$A$300,B560)&gt;0,"✓","⚠ add to Campaigns tab"))</f>
        <v/>
      </c>
      <c r="I560" s="84" t="str">
        <f aca="false">IF(C560="","",C560*IF(Settings!$B$22=Settings!$C$6,1,IF(Settings!$B$22="USD",1/INDEX(Settings!$B$29:$B$40,MONTH(A560)),INDEX(Settings!$B$29:$B$40,MONTH(A560)))))</f>
        <v/>
      </c>
    </row>
    <row r="561" customFormat="false" ht="15" hidden="false" customHeight="false" outlineLevel="0" collapsed="false">
      <c r="H561" s="0" t="str">
        <f aca="false">IF(B561="","",IF(COUNTIF(Campaigns!$A$7:$A$300,B561)&gt;0,"✓","⚠ add to Campaigns tab"))</f>
        <v/>
      </c>
      <c r="I561" s="84" t="str">
        <f aca="false">IF(C561="","",C561*IF(Settings!$B$22=Settings!$C$6,1,IF(Settings!$B$22="USD",1/INDEX(Settings!$B$29:$B$40,MONTH(A561)),INDEX(Settings!$B$29:$B$40,MONTH(A561)))))</f>
        <v/>
      </c>
    </row>
    <row r="562" customFormat="false" ht="15" hidden="false" customHeight="false" outlineLevel="0" collapsed="false">
      <c r="H562" s="0" t="str">
        <f aca="false">IF(B562="","",IF(COUNTIF(Campaigns!$A$7:$A$300,B562)&gt;0,"✓","⚠ add to Campaigns tab"))</f>
        <v/>
      </c>
      <c r="I562" s="84" t="str">
        <f aca="false">IF(C562="","",C562*IF(Settings!$B$22=Settings!$C$6,1,IF(Settings!$B$22="USD",1/INDEX(Settings!$B$29:$B$40,MONTH(A562)),INDEX(Settings!$B$29:$B$40,MONTH(A562)))))</f>
        <v/>
      </c>
    </row>
    <row r="563" customFormat="false" ht="15" hidden="false" customHeight="false" outlineLevel="0" collapsed="false">
      <c r="H563" s="0" t="str">
        <f aca="false">IF(B563="","",IF(COUNTIF(Campaigns!$A$7:$A$300,B563)&gt;0,"✓","⚠ add to Campaigns tab"))</f>
        <v/>
      </c>
      <c r="I563" s="84" t="str">
        <f aca="false">IF(C563="","",C563*IF(Settings!$B$22=Settings!$C$6,1,IF(Settings!$B$22="USD",1/INDEX(Settings!$B$29:$B$40,MONTH(A563)),INDEX(Settings!$B$29:$B$40,MONTH(A563)))))</f>
        <v/>
      </c>
    </row>
    <row r="564" customFormat="false" ht="15" hidden="false" customHeight="false" outlineLevel="0" collapsed="false">
      <c r="H564" s="0" t="str">
        <f aca="false">IF(B564="","",IF(COUNTIF(Campaigns!$A$7:$A$300,B564)&gt;0,"✓","⚠ add to Campaigns tab"))</f>
        <v/>
      </c>
      <c r="I564" s="84" t="str">
        <f aca="false">IF(C564="","",C564*IF(Settings!$B$22=Settings!$C$6,1,IF(Settings!$B$22="USD",1/INDEX(Settings!$B$29:$B$40,MONTH(A564)),INDEX(Settings!$B$29:$B$40,MONTH(A564)))))</f>
        <v/>
      </c>
    </row>
    <row r="565" customFormat="false" ht="15" hidden="false" customHeight="false" outlineLevel="0" collapsed="false">
      <c r="H565" s="0" t="str">
        <f aca="false">IF(B565="","",IF(COUNTIF(Campaigns!$A$7:$A$300,B565)&gt;0,"✓","⚠ add to Campaigns tab"))</f>
        <v/>
      </c>
      <c r="I565" s="84" t="str">
        <f aca="false">IF(C565="","",C565*IF(Settings!$B$22=Settings!$C$6,1,IF(Settings!$B$22="USD",1/INDEX(Settings!$B$29:$B$40,MONTH(A565)),INDEX(Settings!$B$29:$B$40,MONTH(A565)))))</f>
        <v/>
      </c>
    </row>
    <row r="566" customFormat="false" ht="15" hidden="false" customHeight="false" outlineLevel="0" collapsed="false">
      <c r="H566" s="0" t="str">
        <f aca="false">IF(B566="","",IF(COUNTIF(Campaigns!$A$7:$A$300,B566)&gt;0,"✓","⚠ add to Campaigns tab"))</f>
        <v/>
      </c>
      <c r="I566" s="84" t="str">
        <f aca="false">IF(C566="","",C566*IF(Settings!$B$22=Settings!$C$6,1,IF(Settings!$B$22="USD",1/INDEX(Settings!$B$29:$B$40,MONTH(A566)),INDEX(Settings!$B$29:$B$40,MONTH(A566)))))</f>
        <v/>
      </c>
    </row>
    <row r="567" customFormat="false" ht="15" hidden="false" customHeight="false" outlineLevel="0" collapsed="false">
      <c r="H567" s="0" t="str">
        <f aca="false">IF(B567="","",IF(COUNTIF(Campaigns!$A$7:$A$300,B567)&gt;0,"✓","⚠ add to Campaigns tab"))</f>
        <v/>
      </c>
      <c r="I567" s="84" t="str">
        <f aca="false">IF(C567="","",C567*IF(Settings!$B$22=Settings!$C$6,1,IF(Settings!$B$22="USD",1/INDEX(Settings!$B$29:$B$40,MONTH(A567)),INDEX(Settings!$B$29:$B$40,MONTH(A567)))))</f>
        <v/>
      </c>
    </row>
    <row r="568" customFormat="false" ht="15" hidden="false" customHeight="false" outlineLevel="0" collapsed="false">
      <c r="H568" s="0" t="str">
        <f aca="false">IF(B568="","",IF(COUNTIF(Campaigns!$A$7:$A$300,B568)&gt;0,"✓","⚠ add to Campaigns tab"))</f>
        <v/>
      </c>
      <c r="I568" s="84" t="str">
        <f aca="false">IF(C568="","",C568*IF(Settings!$B$22=Settings!$C$6,1,IF(Settings!$B$22="USD",1/INDEX(Settings!$B$29:$B$40,MONTH(A568)),INDEX(Settings!$B$29:$B$40,MONTH(A568)))))</f>
        <v/>
      </c>
    </row>
    <row r="569" customFormat="false" ht="15" hidden="false" customHeight="false" outlineLevel="0" collapsed="false">
      <c r="H569" s="0" t="str">
        <f aca="false">IF(B569="","",IF(COUNTIF(Campaigns!$A$7:$A$300,B569)&gt;0,"✓","⚠ add to Campaigns tab"))</f>
        <v/>
      </c>
      <c r="I569" s="84" t="str">
        <f aca="false">IF(C569="","",C569*IF(Settings!$B$22=Settings!$C$6,1,IF(Settings!$B$22="USD",1/INDEX(Settings!$B$29:$B$40,MONTH(A569)),INDEX(Settings!$B$29:$B$40,MONTH(A569)))))</f>
        <v/>
      </c>
    </row>
    <row r="570" customFormat="false" ht="15" hidden="false" customHeight="false" outlineLevel="0" collapsed="false">
      <c r="H570" s="0" t="str">
        <f aca="false">IF(B570="","",IF(COUNTIF(Campaigns!$A$7:$A$300,B570)&gt;0,"✓","⚠ add to Campaigns tab"))</f>
        <v/>
      </c>
      <c r="I570" s="84" t="str">
        <f aca="false">IF(C570="","",C570*IF(Settings!$B$22=Settings!$C$6,1,IF(Settings!$B$22="USD",1/INDEX(Settings!$B$29:$B$40,MONTH(A570)),INDEX(Settings!$B$29:$B$40,MONTH(A570)))))</f>
        <v/>
      </c>
    </row>
    <row r="571" customFormat="false" ht="15" hidden="false" customHeight="false" outlineLevel="0" collapsed="false">
      <c r="H571" s="0" t="str">
        <f aca="false">IF(B571="","",IF(COUNTIF(Campaigns!$A$7:$A$300,B571)&gt;0,"✓","⚠ add to Campaigns tab"))</f>
        <v/>
      </c>
      <c r="I571" s="84" t="str">
        <f aca="false">IF(C571="","",C571*IF(Settings!$B$22=Settings!$C$6,1,IF(Settings!$B$22="USD",1/INDEX(Settings!$B$29:$B$40,MONTH(A571)),INDEX(Settings!$B$29:$B$40,MONTH(A571)))))</f>
        <v/>
      </c>
    </row>
    <row r="572" customFormat="false" ht="15" hidden="false" customHeight="false" outlineLevel="0" collapsed="false">
      <c r="H572" s="0" t="str">
        <f aca="false">IF(B572="","",IF(COUNTIF(Campaigns!$A$7:$A$300,B572)&gt;0,"✓","⚠ add to Campaigns tab"))</f>
        <v/>
      </c>
      <c r="I572" s="84" t="str">
        <f aca="false">IF(C572="","",C572*IF(Settings!$B$22=Settings!$C$6,1,IF(Settings!$B$22="USD",1/INDEX(Settings!$B$29:$B$40,MONTH(A572)),INDEX(Settings!$B$29:$B$40,MONTH(A572)))))</f>
        <v/>
      </c>
    </row>
    <row r="573" customFormat="false" ht="15" hidden="false" customHeight="false" outlineLevel="0" collapsed="false">
      <c r="H573" s="0" t="str">
        <f aca="false">IF(B573="","",IF(COUNTIF(Campaigns!$A$7:$A$300,B573)&gt;0,"✓","⚠ add to Campaigns tab"))</f>
        <v/>
      </c>
      <c r="I573" s="84" t="str">
        <f aca="false">IF(C573="","",C573*IF(Settings!$B$22=Settings!$C$6,1,IF(Settings!$B$22="USD",1/INDEX(Settings!$B$29:$B$40,MONTH(A573)),INDEX(Settings!$B$29:$B$40,MONTH(A573)))))</f>
        <v/>
      </c>
    </row>
    <row r="574" customFormat="false" ht="15" hidden="false" customHeight="false" outlineLevel="0" collapsed="false">
      <c r="H574" s="0" t="str">
        <f aca="false">IF(B574="","",IF(COUNTIF(Campaigns!$A$7:$A$300,B574)&gt;0,"✓","⚠ add to Campaigns tab"))</f>
        <v/>
      </c>
      <c r="I574" s="84" t="str">
        <f aca="false">IF(C574="","",C574*IF(Settings!$B$22=Settings!$C$6,1,IF(Settings!$B$22="USD",1/INDEX(Settings!$B$29:$B$40,MONTH(A574)),INDEX(Settings!$B$29:$B$40,MONTH(A574)))))</f>
        <v/>
      </c>
    </row>
    <row r="575" customFormat="false" ht="15" hidden="false" customHeight="false" outlineLevel="0" collapsed="false">
      <c r="H575" s="0" t="str">
        <f aca="false">IF(B575="","",IF(COUNTIF(Campaigns!$A$7:$A$300,B575)&gt;0,"✓","⚠ add to Campaigns tab"))</f>
        <v/>
      </c>
      <c r="I575" s="84" t="str">
        <f aca="false">IF(C575="","",C575*IF(Settings!$B$22=Settings!$C$6,1,IF(Settings!$B$22="USD",1/INDEX(Settings!$B$29:$B$40,MONTH(A575)),INDEX(Settings!$B$29:$B$40,MONTH(A575)))))</f>
        <v/>
      </c>
    </row>
    <row r="576" customFormat="false" ht="15" hidden="false" customHeight="false" outlineLevel="0" collapsed="false">
      <c r="H576" s="0" t="str">
        <f aca="false">IF(B576="","",IF(COUNTIF(Campaigns!$A$7:$A$300,B576)&gt;0,"✓","⚠ add to Campaigns tab"))</f>
        <v/>
      </c>
      <c r="I576" s="84" t="str">
        <f aca="false">IF(C576="","",C576*IF(Settings!$B$22=Settings!$C$6,1,IF(Settings!$B$22="USD",1/INDEX(Settings!$B$29:$B$40,MONTH(A576)),INDEX(Settings!$B$29:$B$40,MONTH(A576)))))</f>
        <v/>
      </c>
    </row>
    <row r="577" customFormat="false" ht="15" hidden="false" customHeight="false" outlineLevel="0" collapsed="false">
      <c r="H577" s="0" t="str">
        <f aca="false">IF(B577="","",IF(COUNTIF(Campaigns!$A$7:$A$300,B577)&gt;0,"✓","⚠ add to Campaigns tab"))</f>
        <v/>
      </c>
      <c r="I577" s="84" t="str">
        <f aca="false">IF(C577="","",C577*IF(Settings!$B$22=Settings!$C$6,1,IF(Settings!$B$22="USD",1/INDEX(Settings!$B$29:$B$40,MONTH(A577)),INDEX(Settings!$B$29:$B$40,MONTH(A577)))))</f>
        <v/>
      </c>
    </row>
    <row r="578" customFormat="false" ht="15" hidden="false" customHeight="false" outlineLevel="0" collapsed="false">
      <c r="H578" s="0" t="str">
        <f aca="false">IF(B578="","",IF(COUNTIF(Campaigns!$A$7:$A$300,B578)&gt;0,"✓","⚠ add to Campaigns tab"))</f>
        <v/>
      </c>
      <c r="I578" s="84" t="str">
        <f aca="false">IF(C578="","",C578*IF(Settings!$B$22=Settings!$C$6,1,IF(Settings!$B$22="USD",1/INDEX(Settings!$B$29:$B$40,MONTH(A578)),INDEX(Settings!$B$29:$B$40,MONTH(A578)))))</f>
        <v/>
      </c>
    </row>
    <row r="579" customFormat="false" ht="15" hidden="false" customHeight="false" outlineLevel="0" collapsed="false">
      <c r="H579" s="0" t="str">
        <f aca="false">IF(B579="","",IF(COUNTIF(Campaigns!$A$7:$A$300,B579)&gt;0,"✓","⚠ add to Campaigns tab"))</f>
        <v/>
      </c>
      <c r="I579" s="84" t="str">
        <f aca="false">IF(C579="","",C579*IF(Settings!$B$22=Settings!$C$6,1,IF(Settings!$B$22="USD",1/INDEX(Settings!$B$29:$B$40,MONTH(A579)),INDEX(Settings!$B$29:$B$40,MONTH(A579)))))</f>
        <v/>
      </c>
    </row>
    <row r="580" customFormat="false" ht="15" hidden="false" customHeight="false" outlineLevel="0" collapsed="false">
      <c r="H580" s="0" t="str">
        <f aca="false">IF(B580="","",IF(COUNTIF(Campaigns!$A$7:$A$300,B580)&gt;0,"✓","⚠ add to Campaigns tab"))</f>
        <v/>
      </c>
      <c r="I580" s="84" t="str">
        <f aca="false">IF(C580="","",C580*IF(Settings!$B$22=Settings!$C$6,1,IF(Settings!$B$22="USD",1/INDEX(Settings!$B$29:$B$40,MONTH(A580)),INDEX(Settings!$B$29:$B$40,MONTH(A580)))))</f>
        <v/>
      </c>
    </row>
    <row r="581" customFormat="false" ht="15" hidden="false" customHeight="false" outlineLevel="0" collapsed="false">
      <c r="H581" s="0" t="str">
        <f aca="false">IF(B581="","",IF(COUNTIF(Campaigns!$A$7:$A$300,B581)&gt;0,"✓","⚠ add to Campaigns tab"))</f>
        <v/>
      </c>
      <c r="I581" s="84" t="str">
        <f aca="false">IF(C581="","",C581*IF(Settings!$B$22=Settings!$C$6,1,IF(Settings!$B$22="USD",1/INDEX(Settings!$B$29:$B$40,MONTH(A581)),INDEX(Settings!$B$29:$B$40,MONTH(A581)))))</f>
        <v/>
      </c>
    </row>
    <row r="582" customFormat="false" ht="15" hidden="false" customHeight="false" outlineLevel="0" collapsed="false">
      <c r="H582" s="0" t="str">
        <f aca="false">IF(B582="","",IF(COUNTIF(Campaigns!$A$7:$A$300,B582)&gt;0,"✓","⚠ add to Campaigns tab"))</f>
        <v/>
      </c>
      <c r="I582" s="84" t="str">
        <f aca="false">IF(C582="","",C582*IF(Settings!$B$22=Settings!$C$6,1,IF(Settings!$B$22="USD",1/INDEX(Settings!$B$29:$B$40,MONTH(A582)),INDEX(Settings!$B$29:$B$40,MONTH(A582)))))</f>
        <v/>
      </c>
    </row>
    <row r="583" customFormat="false" ht="15" hidden="false" customHeight="false" outlineLevel="0" collapsed="false">
      <c r="H583" s="0" t="str">
        <f aca="false">IF(B583="","",IF(COUNTIF(Campaigns!$A$7:$A$300,B583)&gt;0,"✓","⚠ add to Campaigns tab"))</f>
        <v/>
      </c>
      <c r="I583" s="84" t="str">
        <f aca="false">IF(C583="","",C583*IF(Settings!$B$22=Settings!$C$6,1,IF(Settings!$B$22="USD",1/INDEX(Settings!$B$29:$B$40,MONTH(A583)),INDEX(Settings!$B$29:$B$40,MONTH(A583)))))</f>
        <v/>
      </c>
    </row>
    <row r="584" customFormat="false" ht="15" hidden="false" customHeight="false" outlineLevel="0" collapsed="false">
      <c r="H584" s="0" t="str">
        <f aca="false">IF(B584="","",IF(COUNTIF(Campaigns!$A$7:$A$300,B584)&gt;0,"✓","⚠ add to Campaigns tab"))</f>
        <v/>
      </c>
      <c r="I584" s="84" t="str">
        <f aca="false">IF(C584="","",C584*IF(Settings!$B$22=Settings!$C$6,1,IF(Settings!$B$22="USD",1/INDEX(Settings!$B$29:$B$40,MONTH(A584)),INDEX(Settings!$B$29:$B$40,MONTH(A584)))))</f>
        <v/>
      </c>
    </row>
    <row r="585" customFormat="false" ht="15" hidden="false" customHeight="false" outlineLevel="0" collapsed="false">
      <c r="H585" s="0" t="str">
        <f aca="false">IF(B585="","",IF(COUNTIF(Campaigns!$A$7:$A$300,B585)&gt;0,"✓","⚠ add to Campaigns tab"))</f>
        <v/>
      </c>
      <c r="I585" s="84" t="str">
        <f aca="false">IF(C585="","",C585*IF(Settings!$B$22=Settings!$C$6,1,IF(Settings!$B$22="USD",1/INDEX(Settings!$B$29:$B$40,MONTH(A585)),INDEX(Settings!$B$29:$B$40,MONTH(A585)))))</f>
        <v/>
      </c>
    </row>
    <row r="586" customFormat="false" ht="15" hidden="false" customHeight="false" outlineLevel="0" collapsed="false">
      <c r="H586" s="0" t="str">
        <f aca="false">IF(B586="","",IF(COUNTIF(Campaigns!$A$7:$A$300,B586)&gt;0,"✓","⚠ add to Campaigns tab"))</f>
        <v/>
      </c>
      <c r="I586" s="84" t="str">
        <f aca="false">IF(C586="","",C586*IF(Settings!$B$22=Settings!$C$6,1,IF(Settings!$B$22="USD",1/INDEX(Settings!$B$29:$B$40,MONTH(A586)),INDEX(Settings!$B$29:$B$40,MONTH(A586)))))</f>
        <v/>
      </c>
    </row>
    <row r="587" customFormat="false" ht="15" hidden="false" customHeight="false" outlineLevel="0" collapsed="false">
      <c r="H587" s="0" t="str">
        <f aca="false">IF(B587="","",IF(COUNTIF(Campaigns!$A$7:$A$300,B587)&gt;0,"✓","⚠ add to Campaigns tab"))</f>
        <v/>
      </c>
      <c r="I587" s="84" t="str">
        <f aca="false">IF(C587="","",C587*IF(Settings!$B$22=Settings!$C$6,1,IF(Settings!$B$22="USD",1/INDEX(Settings!$B$29:$B$40,MONTH(A587)),INDEX(Settings!$B$29:$B$40,MONTH(A587)))))</f>
        <v/>
      </c>
    </row>
    <row r="588" customFormat="false" ht="15" hidden="false" customHeight="false" outlineLevel="0" collapsed="false">
      <c r="H588" s="0" t="str">
        <f aca="false">IF(B588="","",IF(COUNTIF(Campaigns!$A$7:$A$300,B588)&gt;0,"✓","⚠ add to Campaigns tab"))</f>
        <v/>
      </c>
      <c r="I588" s="84" t="str">
        <f aca="false">IF(C588="","",C588*IF(Settings!$B$22=Settings!$C$6,1,IF(Settings!$B$22="USD",1/INDEX(Settings!$B$29:$B$40,MONTH(A588)),INDEX(Settings!$B$29:$B$40,MONTH(A588)))))</f>
        <v/>
      </c>
    </row>
    <row r="589" customFormat="false" ht="15" hidden="false" customHeight="false" outlineLevel="0" collapsed="false">
      <c r="H589" s="0" t="str">
        <f aca="false">IF(B589="","",IF(COUNTIF(Campaigns!$A$7:$A$300,B589)&gt;0,"✓","⚠ add to Campaigns tab"))</f>
        <v/>
      </c>
      <c r="I589" s="84" t="str">
        <f aca="false">IF(C589="","",C589*IF(Settings!$B$22=Settings!$C$6,1,IF(Settings!$B$22="USD",1/INDEX(Settings!$B$29:$B$40,MONTH(A589)),INDEX(Settings!$B$29:$B$40,MONTH(A589)))))</f>
        <v/>
      </c>
    </row>
    <row r="590" customFormat="false" ht="15" hidden="false" customHeight="false" outlineLevel="0" collapsed="false">
      <c r="H590" s="0" t="str">
        <f aca="false">IF(B590="","",IF(COUNTIF(Campaigns!$A$7:$A$300,B590)&gt;0,"✓","⚠ add to Campaigns tab"))</f>
        <v/>
      </c>
      <c r="I590" s="84" t="str">
        <f aca="false">IF(C590="","",C590*IF(Settings!$B$22=Settings!$C$6,1,IF(Settings!$B$22="USD",1/INDEX(Settings!$B$29:$B$40,MONTH(A590)),INDEX(Settings!$B$29:$B$40,MONTH(A590)))))</f>
        <v/>
      </c>
    </row>
    <row r="591" customFormat="false" ht="15" hidden="false" customHeight="false" outlineLevel="0" collapsed="false">
      <c r="H591" s="0" t="str">
        <f aca="false">IF(B591="","",IF(COUNTIF(Campaigns!$A$7:$A$300,B591)&gt;0,"✓","⚠ add to Campaigns tab"))</f>
        <v/>
      </c>
      <c r="I591" s="84" t="str">
        <f aca="false">IF(C591="","",C591*IF(Settings!$B$22=Settings!$C$6,1,IF(Settings!$B$22="USD",1/INDEX(Settings!$B$29:$B$40,MONTH(A591)),INDEX(Settings!$B$29:$B$40,MONTH(A591)))))</f>
        <v/>
      </c>
    </row>
    <row r="592" customFormat="false" ht="15" hidden="false" customHeight="false" outlineLevel="0" collapsed="false">
      <c r="H592" s="0" t="str">
        <f aca="false">IF(B592="","",IF(COUNTIF(Campaigns!$A$7:$A$300,B592)&gt;0,"✓","⚠ add to Campaigns tab"))</f>
        <v/>
      </c>
      <c r="I592" s="84" t="str">
        <f aca="false">IF(C592="","",C592*IF(Settings!$B$22=Settings!$C$6,1,IF(Settings!$B$22="USD",1/INDEX(Settings!$B$29:$B$40,MONTH(A592)),INDEX(Settings!$B$29:$B$40,MONTH(A592)))))</f>
        <v/>
      </c>
    </row>
    <row r="593" customFormat="false" ht="15" hidden="false" customHeight="false" outlineLevel="0" collapsed="false">
      <c r="H593" s="0" t="str">
        <f aca="false">IF(B593="","",IF(COUNTIF(Campaigns!$A$7:$A$300,B593)&gt;0,"✓","⚠ add to Campaigns tab"))</f>
        <v/>
      </c>
      <c r="I593" s="84" t="str">
        <f aca="false">IF(C593="","",C593*IF(Settings!$B$22=Settings!$C$6,1,IF(Settings!$B$22="USD",1/INDEX(Settings!$B$29:$B$40,MONTH(A593)),INDEX(Settings!$B$29:$B$40,MONTH(A593)))))</f>
        <v/>
      </c>
    </row>
    <row r="594" customFormat="false" ht="15" hidden="false" customHeight="false" outlineLevel="0" collapsed="false">
      <c r="H594" s="0" t="str">
        <f aca="false">IF(B594="","",IF(COUNTIF(Campaigns!$A$7:$A$300,B594)&gt;0,"✓","⚠ add to Campaigns tab"))</f>
        <v/>
      </c>
      <c r="I594" s="84" t="str">
        <f aca="false">IF(C594="","",C594*IF(Settings!$B$22=Settings!$C$6,1,IF(Settings!$B$22="USD",1/INDEX(Settings!$B$29:$B$40,MONTH(A594)),INDEX(Settings!$B$29:$B$40,MONTH(A594)))))</f>
        <v/>
      </c>
    </row>
    <row r="595" customFormat="false" ht="15" hidden="false" customHeight="false" outlineLevel="0" collapsed="false">
      <c r="H595" s="0" t="str">
        <f aca="false">IF(B595="","",IF(COUNTIF(Campaigns!$A$7:$A$300,B595)&gt;0,"✓","⚠ add to Campaigns tab"))</f>
        <v/>
      </c>
      <c r="I595" s="84" t="str">
        <f aca="false">IF(C595="","",C595*IF(Settings!$B$22=Settings!$C$6,1,IF(Settings!$B$22="USD",1/INDEX(Settings!$B$29:$B$40,MONTH(A595)),INDEX(Settings!$B$29:$B$40,MONTH(A595)))))</f>
        <v/>
      </c>
    </row>
    <row r="596" customFormat="false" ht="15" hidden="false" customHeight="false" outlineLevel="0" collapsed="false">
      <c r="H596" s="0" t="str">
        <f aca="false">IF(B596="","",IF(COUNTIF(Campaigns!$A$7:$A$300,B596)&gt;0,"✓","⚠ add to Campaigns tab"))</f>
        <v/>
      </c>
      <c r="I596" s="84" t="str">
        <f aca="false">IF(C596="","",C596*IF(Settings!$B$22=Settings!$C$6,1,IF(Settings!$B$22="USD",1/INDEX(Settings!$B$29:$B$40,MONTH(A596)),INDEX(Settings!$B$29:$B$40,MONTH(A596)))))</f>
        <v/>
      </c>
    </row>
    <row r="597" customFormat="false" ht="15" hidden="false" customHeight="false" outlineLevel="0" collapsed="false">
      <c r="H597" s="0" t="str">
        <f aca="false">IF(B597="","",IF(COUNTIF(Campaigns!$A$7:$A$300,B597)&gt;0,"✓","⚠ add to Campaigns tab"))</f>
        <v/>
      </c>
      <c r="I597" s="84" t="str">
        <f aca="false">IF(C597="","",C597*IF(Settings!$B$22=Settings!$C$6,1,IF(Settings!$B$22="USD",1/INDEX(Settings!$B$29:$B$40,MONTH(A597)),INDEX(Settings!$B$29:$B$40,MONTH(A597)))))</f>
        <v/>
      </c>
    </row>
    <row r="598" customFormat="false" ht="15" hidden="false" customHeight="false" outlineLevel="0" collapsed="false">
      <c r="H598" s="0" t="str">
        <f aca="false">IF(B598="","",IF(COUNTIF(Campaigns!$A$7:$A$300,B598)&gt;0,"✓","⚠ add to Campaigns tab"))</f>
        <v/>
      </c>
      <c r="I598" s="84" t="str">
        <f aca="false">IF(C598="","",C598*IF(Settings!$B$22=Settings!$C$6,1,IF(Settings!$B$22="USD",1/INDEX(Settings!$B$29:$B$40,MONTH(A598)),INDEX(Settings!$B$29:$B$40,MONTH(A598)))))</f>
        <v/>
      </c>
    </row>
    <row r="599" customFormat="false" ht="15" hidden="false" customHeight="false" outlineLevel="0" collapsed="false">
      <c r="H599" s="0" t="str">
        <f aca="false">IF(B599="","",IF(COUNTIF(Campaigns!$A$7:$A$300,B599)&gt;0,"✓","⚠ add to Campaigns tab"))</f>
        <v/>
      </c>
      <c r="I599" s="84" t="str">
        <f aca="false">IF(C599="","",C599*IF(Settings!$B$22=Settings!$C$6,1,IF(Settings!$B$22="USD",1/INDEX(Settings!$B$29:$B$40,MONTH(A599)),INDEX(Settings!$B$29:$B$40,MONTH(A599)))))</f>
        <v/>
      </c>
    </row>
    <row r="600" customFormat="false" ht="15" hidden="false" customHeight="false" outlineLevel="0" collapsed="false">
      <c r="H600" s="0" t="str">
        <f aca="false">IF(B600="","",IF(COUNTIF(Campaigns!$A$7:$A$300,B600)&gt;0,"✓","⚠ add to Campaigns tab"))</f>
        <v/>
      </c>
      <c r="I600" s="84" t="str">
        <f aca="false">IF(C600="","",C600*IF(Settings!$B$22=Settings!$C$6,1,IF(Settings!$B$22="USD",1/INDEX(Settings!$B$29:$B$40,MONTH(A600)),INDEX(Settings!$B$29:$B$40,MONTH(A600)))))</f>
        <v/>
      </c>
    </row>
    <row r="601" customFormat="false" ht="15" hidden="false" customHeight="false" outlineLevel="0" collapsed="false">
      <c r="H601" s="0" t="str">
        <f aca="false">IF(B601="","",IF(COUNTIF(Campaigns!$A$7:$A$300,B601)&gt;0,"✓","⚠ add to Campaigns tab"))</f>
        <v/>
      </c>
      <c r="I601" s="84" t="str">
        <f aca="false">IF(C601="","",C601*IF(Settings!$B$22=Settings!$C$6,1,IF(Settings!$B$22="USD",1/INDEX(Settings!$B$29:$B$40,MONTH(A601)),INDEX(Settings!$B$29:$B$40,MONTH(A601)))))</f>
        <v/>
      </c>
    </row>
    <row r="602" customFormat="false" ht="15" hidden="false" customHeight="false" outlineLevel="0" collapsed="false">
      <c r="H602" s="0" t="str">
        <f aca="false">IF(B602="","",IF(COUNTIF(Campaigns!$A$7:$A$300,B602)&gt;0,"✓","⚠ add to Campaigns tab"))</f>
        <v/>
      </c>
      <c r="I602" s="84" t="str">
        <f aca="false">IF(C602="","",C602*IF(Settings!$B$22=Settings!$C$6,1,IF(Settings!$B$22="USD",1/INDEX(Settings!$B$29:$B$40,MONTH(A602)),INDEX(Settings!$B$29:$B$40,MONTH(A602)))))</f>
        <v/>
      </c>
    </row>
    <row r="603" customFormat="false" ht="15" hidden="false" customHeight="false" outlineLevel="0" collapsed="false">
      <c r="H603" s="0" t="str">
        <f aca="false">IF(B603="","",IF(COUNTIF(Campaigns!$A$7:$A$300,B603)&gt;0,"✓","⚠ add to Campaigns tab"))</f>
        <v/>
      </c>
      <c r="I603" s="84" t="str">
        <f aca="false">IF(C603="","",C603*IF(Settings!$B$22=Settings!$C$6,1,IF(Settings!$B$22="USD",1/INDEX(Settings!$B$29:$B$40,MONTH(A603)),INDEX(Settings!$B$29:$B$40,MONTH(A603)))))</f>
        <v/>
      </c>
    </row>
    <row r="604" customFormat="false" ht="15" hidden="false" customHeight="false" outlineLevel="0" collapsed="false">
      <c r="H604" s="0" t="str">
        <f aca="false">IF(B604="","",IF(COUNTIF(Campaigns!$A$7:$A$300,B604)&gt;0,"✓","⚠ add to Campaigns tab"))</f>
        <v/>
      </c>
      <c r="I604" s="84" t="str">
        <f aca="false">IF(C604="","",C604*IF(Settings!$B$22=Settings!$C$6,1,IF(Settings!$B$22="USD",1/INDEX(Settings!$B$29:$B$40,MONTH(A604)),INDEX(Settings!$B$29:$B$40,MONTH(A604)))))</f>
        <v/>
      </c>
    </row>
    <row r="605" customFormat="false" ht="15" hidden="false" customHeight="false" outlineLevel="0" collapsed="false">
      <c r="H605" s="0" t="str">
        <f aca="false">IF(B605="","",IF(COUNTIF(Campaigns!$A$7:$A$300,B605)&gt;0,"✓","⚠ add to Campaigns tab"))</f>
        <v/>
      </c>
      <c r="I605" s="84" t="str">
        <f aca="false">IF(C605="","",C605*IF(Settings!$B$22=Settings!$C$6,1,IF(Settings!$B$22="USD",1/INDEX(Settings!$B$29:$B$40,MONTH(A605)),INDEX(Settings!$B$29:$B$40,MONTH(A605)))))</f>
        <v/>
      </c>
    </row>
    <row r="606" customFormat="false" ht="15" hidden="false" customHeight="false" outlineLevel="0" collapsed="false">
      <c r="H606" s="0" t="str">
        <f aca="false">IF(B606="","",IF(COUNTIF(Campaigns!$A$7:$A$300,B606)&gt;0,"✓","⚠ add to Campaigns tab"))</f>
        <v/>
      </c>
      <c r="I606" s="84" t="str">
        <f aca="false">IF(C606="","",C606*IF(Settings!$B$22=Settings!$C$6,1,IF(Settings!$B$22="USD",1/INDEX(Settings!$B$29:$B$40,MONTH(A606)),INDEX(Settings!$B$29:$B$40,MONTH(A606)))))</f>
        <v/>
      </c>
    </row>
    <row r="607" customFormat="false" ht="15" hidden="false" customHeight="false" outlineLevel="0" collapsed="false">
      <c r="H607" s="0" t="str">
        <f aca="false">IF(B607="","",IF(COUNTIF(Campaigns!$A$7:$A$300,B607)&gt;0,"✓","⚠ add to Campaigns tab"))</f>
        <v/>
      </c>
      <c r="I607" s="84" t="str">
        <f aca="false">IF(C607="","",C607*IF(Settings!$B$22=Settings!$C$6,1,IF(Settings!$B$22="USD",1/INDEX(Settings!$B$29:$B$40,MONTH(A607)),INDEX(Settings!$B$29:$B$40,MONTH(A607)))))</f>
        <v/>
      </c>
    </row>
    <row r="608" customFormat="false" ht="15" hidden="false" customHeight="false" outlineLevel="0" collapsed="false">
      <c r="H608" s="0" t="str">
        <f aca="false">IF(B608="","",IF(COUNTIF(Campaigns!$A$7:$A$300,B608)&gt;0,"✓","⚠ add to Campaigns tab"))</f>
        <v/>
      </c>
      <c r="I608" s="84" t="str">
        <f aca="false">IF(C608="","",C608*IF(Settings!$B$22=Settings!$C$6,1,IF(Settings!$B$22="USD",1/INDEX(Settings!$B$29:$B$40,MONTH(A608)),INDEX(Settings!$B$29:$B$40,MONTH(A608)))))</f>
        <v/>
      </c>
    </row>
    <row r="609" customFormat="false" ht="15" hidden="false" customHeight="false" outlineLevel="0" collapsed="false">
      <c r="H609" s="0" t="str">
        <f aca="false">IF(B609="","",IF(COUNTIF(Campaigns!$A$7:$A$300,B609)&gt;0,"✓","⚠ add to Campaigns tab"))</f>
        <v/>
      </c>
      <c r="I609" s="84" t="str">
        <f aca="false">IF(C609="","",C609*IF(Settings!$B$22=Settings!$C$6,1,IF(Settings!$B$22="USD",1/INDEX(Settings!$B$29:$B$40,MONTH(A609)),INDEX(Settings!$B$29:$B$40,MONTH(A609)))))</f>
        <v/>
      </c>
    </row>
    <row r="610" customFormat="false" ht="15" hidden="false" customHeight="false" outlineLevel="0" collapsed="false">
      <c r="H610" s="0" t="str">
        <f aca="false">IF(B610="","",IF(COUNTIF(Campaigns!$A$7:$A$300,B610)&gt;0,"✓","⚠ add to Campaigns tab"))</f>
        <v/>
      </c>
      <c r="I610" s="84" t="str">
        <f aca="false">IF(C610="","",C610*IF(Settings!$B$22=Settings!$C$6,1,IF(Settings!$B$22="USD",1/INDEX(Settings!$B$29:$B$40,MONTH(A610)),INDEX(Settings!$B$29:$B$40,MONTH(A610)))))</f>
        <v/>
      </c>
    </row>
    <row r="611" customFormat="false" ht="15" hidden="false" customHeight="false" outlineLevel="0" collapsed="false">
      <c r="H611" s="0" t="str">
        <f aca="false">IF(B611="","",IF(COUNTIF(Campaigns!$A$7:$A$300,B611)&gt;0,"✓","⚠ add to Campaigns tab"))</f>
        <v/>
      </c>
      <c r="I611" s="84" t="str">
        <f aca="false">IF(C611="","",C611*IF(Settings!$B$22=Settings!$C$6,1,IF(Settings!$B$22="USD",1/INDEX(Settings!$B$29:$B$40,MONTH(A611)),INDEX(Settings!$B$29:$B$40,MONTH(A611)))))</f>
        <v/>
      </c>
    </row>
    <row r="612" customFormat="false" ht="15" hidden="false" customHeight="false" outlineLevel="0" collapsed="false">
      <c r="H612" s="0" t="str">
        <f aca="false">IF(B612="","",IF(COUNTIF(Campaigns!$A$7:$A$300,B612)&gt;0,"✓","⚠ add to Campaigns tab"))</f>
        <v/>
      </c>
      <c r="I612" s="84" t="str">
        <f aca="false">IF(C612="","",C612*IF(Settings!$B$22=Settings!$C$6,1,IF(Settings!$B$22="USD",1/INDEX(Settings!$B$29:$B$40,MONTH(A612)),INDEX(Settings!$B$29:$B$40,MONTH(A612)))))</f>
        <v/>
      </c>
    </row>
    <row r="613" customFormat="false" ht="15" hidden="false" customHeight="false" outlineLevel="0" collapsed="false">
      <c r="H613" s="0" t="str">
        <f aca="false">IF(B613="","",IF(COUNTIF(Campaigns!$A$7:$A$300,B613)&gt;0,"✓","⚠ add to Campaigns tab"))</f>
        <v/>
      </c>
      <c r="I613" s="84" t="str">
        <f aca="false">IF(C613="","",C613*IF(Settings!$B$22=Settings!$C$6,1,IF(Settings!$B$22="USD",1/INDEX(Settings!$B$29:$B$40,MONTH(A613)),INDEX(Settings!$B$29:$B$40,MONTH(A613)))))</f>
        <v/>
      </c>
    </row>
    <row r="614" customFormat="false" ht="15" hidden="false" customHeight="false" outlineLevel="0" collapsed="false">
      <c r="H614" s="0" t="str">
        <f aca="false">IF(B614="","",IF(COUNTIF(Campaigns!$A$7:$A$300,B614)&gt;0,"✓","⚠ add to Campaigns tab"))</f>
        <v/>
      </c>
      <c r="I614" s="84" t="str">
        <f aca="false">IF(C614="","",C614*IF(Settings!$B$22=Settings!$C$6,1,IF(Settings!$B$22="USD",1/INDEX(Settings!$B$29:$B$40,MONTH(A614)),INDEX(Settings!$B$29:$B$40,MONTH(A614)))))</f>
        <v/>
      </c>
    </row>
    <row r="615" customFormat="false" ht="15" hidden="false" customHeight="false" outlineLevel="0" collapsed="false">
      <c r="H615" s="0" t="str">
        <f aca="false">IF(B615="","",IF(COUNTIF(Campaigns!$A$7:$A$300,B615)&gt;0,"✓","⚠ add to Campaigns tab"))</f>
        <v/>
      </c>
      <c r="I615" s="84" t="str">
        <f aca="false">IF(C615="","",C615*IF(Settings!$B$22=Settings!$C$6,1,IF(Settings!$B$22="USD",1/INDEX(Settings!$B$29:$B$40,MONTH(A615)),INDEX(Settings!$B$29:$B$40,MONTH(A615)))))</f>
        <v/>
      </c>
    </row>
    <row r="616" customFormat="false" ht="15" hidden="false" customHeight="false" outlineLevel="0" collapsed="false">
      <c r="H616" s="0" t="str">
        <f aca="false">IF(B616="","",IF(COUNTIF(Campaigns!$A$7:$A$300,B616)&gt;0,"✓","⚠ add to Campaigns tab"))</f>
        <v/>
      </c>
      <c r="I616" s="84" t="str">
        <f aca="false">IF(C616="","",C616*IF(Settings!$B$22=Settings!$C$6,1,IF(Settings!$B$22="USD",1/INDEX(Settings!$B$29:$B$40,MONTH(A616)),INDEX(Settings!$B$29:$B$40,MONTH(A616)))))</f>
        <v/>
      </c>
    </row>
    <row r="617" customFormat="false" ht="15" hidden="false" customHeight="false" outlineLevel="0" collapsed="false">
      <c r="H617" s="0" t="str">
        <f aca="false">IF(B617="","",IF(COUNTIF(Campaigns!$A$7:$A$300,B617)&gt;0,"✓","⚠ add to Campaigns tab"))</f>
        <v/>
      </c>
      <c r="I617" s="84" t="str">
        <f aca="false">IF(C617="","",C617*IF(Settings!$B$22=Settings!$C$6,1,IF(Settings!$B$22="USD",1/INDEX(Settings!$B$29:$B$40,MONTH(A617)),INDEX(Settings!$B$29:$B$40,MONTH(A617)))))</f>
        <v/>
      </c>
    </row>
    <row r="618" customFormat="false" ht="15" hidden="false" customHeight="false" outlineLevel="0" collapsed="false">
      <c r="H618" s="0" t="str">
        <f aca="false">IF(B618="","",IF(COUNTIF(Campaigns!$A$7:$A$300,B618)&gt;0,"✓","⚠ add to Campaigns tab"))</f>
        <v/>
      </c>
      <c r="I618" s="84" t="str">
        <f aca="false">IF(C618="","",C618*IF(Settings!$B$22=Settings!$C$6,1,IF(Settings!$B$22="USD",1/INDEX(Settings!$B$29:$B$40,MONTH(A618)),INDEX(Settings!$B$29:$B$40,MONTH(A618)))))</f>
        <v/>
      </c>
    </row>
    <row r="619" customFormat="false" ht="15" hidden="false" customHeight="false" outlineLevel="0" collapsed="false">
      <c r="H619" s="0" t="str">
        <f aca="false">IF(B619="","",IF(COUNTIF(Campaigns!$A$7:$A$300,B619)&gt;0,"✓","⚠ add to Campaigns tab"))</f>
        <v/>
      </c>
      <c r="I619" s="84" t="str">
        <f aca="false">IF(C619="","",C619*IF(Settings!$B$22=Settings!$C$6,1,IF(Settings!$B$22="USD",1/INDEX(Settings!$B$29:$B$40,MONTH(A619)),INDEX(Settings!$B$29:$B$40,MONTH(A619)))))</f>
        <v/>
      </c>
    </row>
    <row r="620" customFormat="false" ht="15" hidden="false" customHeight="false" outlineLevel="0" collapsed="false">
      <c r="H620" s="0" t="str">
        <f aca="false">IF(B620="","",IF(COUNTIF(Campaigns!$A$7:$A$300,B620)&gt;0,"✓","⚠ add to Campaigns tab"))</f>
        <v/>
      </c>
      <c r="I620" s="84" t="str">
        <f aca="false">IF(C620="","",C620*IF(Settings!$B$22=Settings!$C$6,1,IF(Settings!$B$22="USD",1/INDEX(Settings!$B$29:$B$40,MONTH(A620)),INDEX(Settings!$B$29:$B$40,MONTH(A620)))))</f>
        <v/>
      </c>
    </row>
    <row r="621" customFormat="false" ht="15" hidden="false" customHeight="false" outlineLevel="0" collapsed="false">
      <c r="H621" s="0" t="str">
        <f aca="false">IF(B621="","",IF(COUNTIF(Campaigns!$A$7:$A$300,B621)&gt;0,"✓","⚠ add to Campaigns tab"))</f>
        <v/>
      </c>
      <c r="I621" s="84" t="str">
        <f aca="false">IF(C621="","",C621*IF(Settings!$B$22=Settings!$C$6,1,IF(Settings!$B$22="USD",1/INDEX(Settings!$B$29:$B$40,MONTH(A621)),INDEX(Settings!$B$29:$B$40,MONTH(A621)))))</f>
        <v/>
      </c>
    </row>
    <row r="622" customFormat="false" ht="15" hidden="false" customHeight="false" outlineLevel="0" collapsed="false">
      <c r="H622" s="0" t="str">
        <f aca="false">IF(B622="","",IF(COUNTIF(Campaigns!$A$7:$A$300,B622)&gt;0,"✓","⚠ add to Campaigns tab"))</f>
        <v/>
      </c>
      <c r="I622" s="84" t="str">
        <f aca="false">IF(C622="","",C622*IF(Settings!$B$22=Settings!$C$6,1,IF(Settings!$B$22="USD",1/INDEX(Settings!$B$29:$B$40,MONTH(A622)),INDEX(Settings!$B$29:$B$40,MONTH(A622)))))</f>
        <v/>
      </c>
    </row>
    <row r="623" customFormat="false" ht="15" hidden="false" customHeight="false" outlineLevel="0" collapsed="false">
      <c r="H623" s="0" t="str">
        <f aca="false">IF(B623="","",IF(COUNTIF(Campaigns!$A$7:$A$300,B623)&gt;0,"✓","⚠ add to Campaigns tab"))</f>
        <v/>
      </c>
      <c r="I623" s="84" t="str">
        <f aca="false">IF(C623="","",C623*IF(Settings!$B$22=Settings!$C$6,1,IF(Settings!$B$22="USD",1/INDEX(Settings!$B$29:$B$40,MONTH(A623)),INDEX(Settings!$B$29:$B$40,MONTH(A623)))))</f>
        <v/>
      </c>
    </row>
    <row r="624" customFormat="false" ht="15" hidden="false" customHeight="false" outlineLevel="0" collapsed="false">
      <c r="H624" s="0" t="str">
        <f aca="false">IF(B624="","",IF(COUNTIF(Campaigns!$A$7:$A$300,B624)&gt;0,"✓","⚠ add to Campaigns tab"))</f>
        <v/>
      </c>
      <c r="I624" s="84" t="str">
        <f aca="false">IF(C624="","",C624*IF(Settings!$B$22=Settings!$C$6,1,IF(Settings!$B$22="USD",1/INDEX(Settings!$B$29:$B$40,MONTH(A624)),INDEX(Settings!$B$29:$B$40,MONTH(A624)))))</f>
        <v/>
      </c>
    </row>
    <row r="625" customFormat="false" ht="15" hidden="false" customHeight="false" outlineLevel="0" collapsed="false">
      <c r="H625" s="0" t="str">
        <f aca="false">IF(B625="","",IF(COUNTIF(Campaigns!$A$7:$A$300,B625)&gt;0,"✓","⚠ add to Campaigns tab"))</f>
        <v/>
      </c>
      <c r="I625" s="84" t="str">
        <f aca="false">IF(C625="","",C625*IF(Settings!$B$22=Settings!$C$6,1,IF(Settings!$B$22="USD",1/INDEX(Settings!$B$29:$B$40,MONTH(A625)),INDEX(Settings!$B$29:$B$40,MONTH(A625)))))</f>
        <v/>
      </c>
    </row>
    <row r="626" customFormat="false" ht="15" hidden="false" customHeight="false" outlineLevel="0" collapsed="false">
      <c r="H626" s="0" t="str">
        <f aca="false">IF(B626="","",IF(COUNTIF(Campaigns!$A$7:$A$300,B626)&gt;0,"✓","⚠ add to Campaigns tab"))</f>
        <v/>
      </c>
      <c r="I626" s="84" t="str">
        <f aca="false">IF(C626="","",C626*IF(Settings!$B$22=Settings!$C$6,1,IF(Settings!$B$22="USD",1/INDEX(Settings!$B$29:$B$40,MONTH(A626)),INDEX(Settings!$B$29:$B$40,MONTH(A626)))))</f>
        <v/>
      </c>
    </row>
    <row r="627" customFormat="false" ht="15" hidden="false" customHeight="false" outlineLevel="0" collapsed="false">
      <c r="H627" s="0" t="str">
        <f aca="false">IF(B627="","",IF(COUNTIF(Campaigns!$A$7:$A$300,B627)&gt;0,"✓","⚠ add to Campaigns tab"))</f>
        <v/>
      </c>
      <c r="I627" s="84" t="str">
        <f aca="false">IF(C627="","",C627*IF(Settings!$B$22=Settings!$C$6,1,IF(Settings!$B$22="USD",1/INDEX(Settings!$B$29:$B$40,MONTH(A627)),INDEX(Settings!$B$29:$B$40,MONTH(A627)))))</f>
        <v/>
      </c>
    </row>
    <row r="628" customFormat="false" ht="15" hidden="false" customHeight="false" outlineLevel="0" collapsed="false">
      <c r="H628" s="0" t="str">
        <f aca="false">IF(B628="","",IF(COUNTIF(Campaigns!$A$7:$A$300,B628)&gt;0,"✓","⚠ add to Campaigns tab"))</f>
        <v/>
      </c>
      <c r="I628" s="84" t="str">
        <f aca="false">IF(C628="","",C628*IF(Settings!$B$22=Settings!$C$6,1,IF(Settings!$B$22="USD",1/INDEX(Settings!$B$29:$B$40,MONTH(A628)),INDEX(Settings!$B$29:$B$40,MONTH(A628)))))</f>
        <v/>
      </c>
    </row>
    <row r="629" customFormat="false" ht="15" hidden="false" customHeight="false" outlineLevel="0" collapsed="false">
      <c r="H629" s="0" t="str">
        <f aca="false">IF(B629="","",IF(COUNTIF(Campaigns!$A$7:$A$300,B629)&gt;0,"✓","⚠ add to Campaigns tab"))</f>
        <v/>
      </c>
      <c r="I629" s="84" t="str">
        <f aca="false">IF(C629="","",C629*IF(Settings!$B$22=Settings!$C$6,1,IF(Settings!$B$22="USD",1/INDEX(Settings!$B$29:$B$40,MONTH(A629)),INDEX(Settings!$B$29:$B$40,MONTH(A629)))))</f>
        <v/>
      </c>
    </row>
    <row r="630" customFormat="false" ht="15" hidden="false" customHeight="false" outlineLevel="0" collapsed="false">
      <c r="H630" s="0" t="str">
        <f aca="false">IF(B630="","",IF(COUNTIF(Campaigns!$A$7:$A$300,B630)&gt;0,"✓","⚠ add to Campaigns tab"))</f>
        <v/>
      </c>
      <c r="I630" s="84" t="str">
        <f aca="false">IF(C630="","",C630*IF(Settings!$B$22=Settings!$C$6,1,IF(Settings!$B$22="USD",1/INDEX(Settings!$B$29:$B$40,MONTH(A630)),INDEX(Settings!$B$29:$B$40,MONTH(A630)))))</f>
        <v/>
      </c>
    </row>
    <row r="631" customFormat="false" ht="15" hidden="false" customHeight="false" outlineLevel="0" collapsed="false">
      <c r="H631" s="0" t="str">
        <f aca="false">IF(B631="","",IF(COUNTIF(Campaigns!$A$7:$A$300,B631)&gt;0,"✓","⚠ add to Campaigns tab"))</f>
        <v/>
      </c>
      <c r="I631" s="84" t="str">
        <f aca="false">IF(C631="","",C631*IF(Settings!$B$22=Settings!$C$6,1,IF(Settings!$B$22="USD",1/INDEX(Settings!$B$29:$B$40,MONTH(A631)),INDEX(Settings!$B$29:$B$40,MONTH(A631)))))</f>
        <v/>
      </c>
    </row>
    <row r="632" customFormat="false" ht="15" hidden="false" customHeight="false" outlineLevel="0" collapsed="false">
      <c r="H632" s="0" t="str">
        <f aca="false">IF(B632="","",IF(COUNTIF(Campaigns!$A$7:$A$300,B632)&gt;0,"✓","⚠ add to Campaigns tab"))</f>
        <v/>
      </c>
      <c r="I632" s="84" t="str">
        <f aca="false">IF(C632="","",C632*IF(Settings!$B$22=Settings!$C$6,1,IF(Settings!$B$22="USD",1/INDEX(Settings!$B$29:$B$40,MONTH(A632)),INDEX(Settings!$B$29:$B$40,MONTH(A632)))))</f>
        <v/>
      </c>
    </row>
    <row r="633" customFormat="false" ht="15" hidden="false" customHeight="false" outlineLevel="0" collapsed="false">
      <c r="H633" s="0" t="str">
        <f aca="false">IF(B633="","",IF(COUNTIF(Campaigns!$A$7:$A$300,B633)&gt;0,"✓","⚠ add to Campaigns tab"))</f>
        <v/>
      </c>
      <c r="I633" s="84" t="str">
        <f aca="false">IF(C633="","",C633*IF(Settings!$B$22=Settings!$C$6,1,IF(Settings!$B$22="USD",1/INDEX(Settings!$B$29:$B$40,MONTH(A633)),INDEX(Settings!$B$29:$B$40,MONTH(A633)))))</f>
        <v/>
      </c>
    </row>
    <row r="634" customFormat="false" ht="15" hidden="false" customHeight="false" outlineLevel="0" collapsed="false">
      <c r="H634" s="0" t="str">
        <f aca="false">IF(B634="","",IF(COUNTIF(Campaigns!$A$7:$A$300,B634)&gt;0,"✓","⚠ add to Campaigns tab"))</f>
        <v/>
      </c>
      <c r="I634" s="84" t="str">
        <f aca="false">IF(C634="","",C634*IF(Settings!$B$22=Settings!$C$6,1,IF(Settings!$B$22="USD",1/INDEX(Settings!$B$29:$B$40,MONTH(A634)),INDEX(Settings!$B$29:$B$40,MONTH(A634)))))</f>
        <v/>
      </c>
    </row>
    <row r="635" customFormat="false" ht="15" hidden="false" customHeight="false" outlineLevel="0" collapsed="false">
      <c r="H635" s="0" t="str">
        <f aca="false">IF(B635="","",IF(COUNTIF(Campaigns!$A$7:$A$300,B635)&gt;0,"✓","⚠ add to Campaigns tab"))</f>
        <v/>
      </c>
      <c r="I635" s="84" t="str">
        <f aca="false">IF(C635="","",C635*IF(Settings!$B$22=Settings!$C$6,1,IF(Settings!$B$22="USD",1/INDEX(Settings!$B$29:$B$40,MONTH(A635)),INDEX(Settings!$B$29:$B$40,MONTH(A635)))))</f>
        <v/>
      </c>
    </row>
    <row r="636" customFormat="false" ht="15" hidden="false" customHeight="false" outlineLevel="0" collapsed="false">
      <c r="H636" s="0" t="str">
        <f aca="false">IF(B636="","",IF(COUNTIF(Campaigns!$A$7:$A$300,B636)&gt;0,"✓","⚠ add to Campaigns tab"))</f>
        <v/>
      </c>
      <c r="I636" s="84" t="str">
        <f aca="false">IF(C636="","",C636*IF(Settings!$B$22=Settings!$C$6,1,IF(Settings!$B$22="USD",1/INDEX(Settings!$B$29:$B$40,MONTH(A636)),INDEX(Settings!$B$29:$B$40,MONTH(A636)))))</f>
        <v/>
      </c>
    </row>
    <row r="637" customFormat="false" ht="15" hidden="false" customHeight="false" outlineLevel="0" collapsed="false">
      <c r="H637" s="0" t="str">
        <f aca="false">IF(B637="","",IF(COUNTIF(Campaigns!$A$7:$A$300,B637)&gt;0,"✓","⚠ add to Campaigns tab"))</f>
        <v/>
      </c>
      <c r="I637" s="84" t="str">
        <f aca="false">IF(C637="","",C637*IF(Settings!$B$22=Settings!$C$6,1,IF(Settings!$B$22="USD",1/INDEX(Settings!$B$29:$B$40,MONTH(A637)),INDEX(Settings!$B$29:$B$40,MONTH(A637)))))</f>
        <v/>
      </c>
    </row>
    <row r="638" customFormat="false" ht="15" hidden="false" customHeight="false" outlineLevel="0" collapsed="false">
      <c r="H638" s="0" t="str">
        <f aca="false">IF(B638="","",IF(COUNTIF(Campaigns!$A$7:$A$300,B638)&gt;0,"✓","⚠ add to Campaigns tab"))</f>
        <v/>
      </c>
      <c r="I638" s="84" t="str">
        <f aca="false">IF(C638="","",C638*IF(Settings!$B$22=Settings!$C$6,1,IF(Settings!$B$22="USD",1/INDEX(Settings!$B$29:$B$40,MONTH(A638)),INDEX(Settings!$B$29:$B$40,MONTH(A638)))))</f>
        <v/>
      </c>
    </row>
    <row r="639" customFormat="false" ht="15" hidden="false" customHeight="false" outlineLevel="0" collapsed="false">
      <c r="H639" s="0" t="str">
        <f aca="false">IF(B639="","",IF(COUNTIF(Campaigns!$A$7:$A$300,B639)&gt;0,"✓","⚠ add to Campaigns tab"))</f>
        <v/>
      </c>
      <c r="I639" s="84" t="str">
        <f aca="false">IF(C639="","",C639*IF(Settings!$B$22=Settings!$C$6,1,IF(Settings!$B$22="USD",1/INDEX(Settings!$B$29:$B$40,MONTH(A639)),INDEX(Settings!$B$29:$B$40,MONTH(A639)))))</f>
        <v/>
      </c>
    </row>
    <row r="640" customFormat="false" ht="15" hidden="false" customHeight="false" outlineLevel="0" collapsed="false">
      <c r="H640" s="0" t="str">
        <f aca="false">IF(B640="","",IF(COUNTIF(Campaigns!$A$7:$A$300,B640)&gt;0,"✓","⚠ add to Campaigns tab"))</f>
        <v/>
      </c>
      <c r="I640" s="84" t="str">
        <f aca="false">IF(C640="","",C640*IF(Settings!$B$22=Settings!$C$6,1,IF(Settings!$B$22="USD",1/INDEX(Settings!$B$29:$B$40,MONTH(A640)),INDEX(Settings!$B$29:$B$40,MONTH(A640)))))</f>
        <v/>
      </c>
    </row>
    <row r="641" customFormat="false" ht="15" hidden="false" customHeight="false" outlineLevel="0" collapsed="false">
      <c r="H641" s="0" t="str">
        <f aca="false">IF(B641="","",IF(COUNTIF(Campaigns!$A$7:$A$300,B641)&gt;0,"✓","⚠ add to Campaigns tab"))</f>
        <v/>
      </c>
      <c r="I641" s="84" t="str">
        <f aca="false">IF(C641="","",C641*IF(Settings!$B$22=Settings!$C$6,1,IF(Settings!$B$22="USD",1/INDEX(Settings!$B$29:$B$40,MONTH(A641)),INDEX(Settings!$B$29:$B$40,MONTH(A641)))))</f>
        <v/>
      </c>
    </row>
    <row r="642" customFormat="false" ht="15" hidden="false" customHeight="false" outlineLevel="0" collapsed="false">
      <c r="H642" s="0" t="str">
        <f aca="false">IF(B642="","",IF(COUNTIF(Campaigns!$A$7:$A$300,B642)&gt;0,"✓","⚠ add to Campaigns tab"))</f>
        <v/>
      </c>
      <c r="I642" s="84" t="str">
        <f aca="false">IF(C642="","",C642*IF(Settings!$B$22=Settings!$C$6,1,IF(Settings!$B$22="USD",1/INDEX(Settings!$B$29:$B$40,MONTH(A642)),INDEX(Settings!$B$29:$B$40,MONTH(A642)))))</f>
        <v/>
      </c>
    </row>
    <row r="643" customFormat="false" ht="15" hidden="false" customHeight="false" outlineLevel="0" collapsed="false">
      <c r="H643" s="0" t="str">
        <f aca="false">IF(B643="","",IF(COUNTIF(Campaigns!$A$7:$A$300,B643)&gt;0,"✓","⚠ add to Campaigns tab"))</f>
        <v/>
      </c>
      <c r="I643" s="84" t="str">
        <f aca="false">IF(C643="","",C643*IF(Settings!$B$22=Settings!$C$6,1,IF(Settings!$B$22="USD",1/INDEX(Settings!$B$29:$B$40,MONTH(A643)),INDEX(Settings!$B$29:$B$40,MONTH(A643)))))</f>
        <v/>
      </c>
    </row>
    <row r="644" customFormat="false" ht="15" hidden="false" customHeight="false" outlineLevel="0" collapsed="false">
      <c r="H644" s="0" t="str">
        <f aca="false">IF(B644="","",IF(COUNTIF(Campaigns!$A$7:$A$300,B644)&gt;0,"✓","⚠ add to Campaigns tab"))</f>
        <v/>
      </c>
      <c r="I644" s="84" t="str">
        <f aca="false">IF(C644="","",C644*IF(Settings!$B$22=Settings!$C$6,1,IF(Settings!$B$22="USD",1/INDEX(Settings!$B$29:$B$40,MONTH(A644)),INDEX(Settings!$B$29:$B$40,MONTH(A644)))))</f>
        <v/>
      </c>
    </row>
    <row r="645" customFormat="false" ht="15" hidden="false" customHeight="false" outlineLevel="0" collapsed="false">
      <c r="H645" s="0" t="str">
        <f aca="false">IF(B645="","",IF(COUNTIF(Campaigns!$A$7:$A$300,B645)&gt;0,"✓","⚠ add to Campaigns tab"))</f>
        <v/>
      </c>
      <c r="I645" s="84" t="str">
        <f aca="false">IF(C645="","",C645*IF(Settings!$B$22=Settings!$C$6,1,IF(Settings!$B$22="USD",1/INDEX(Settings!$B$29:$B$40,MONTH(A645)),INDEX(Settings!$B$29:$B$40,MONTH(A645)))))</f>
        <v/>
      </c>
    </row>
    <row r="646" customFormat="false" ht="15" hidden="false" customHeight="false" outlineLevel="0" collapsed="false">
      <c r="H646" s="0" t="str">
        <f aca="false">IF(B646="","",IF(COUNTIF(Campaigns!$A$7:$A$300,B646)&gt;0,"✓","⚠ add to Campaigns tab"))</f>
        <v/>
      </c>
      <c r="I646" s="84" t="str">
        <f aca="false">IF(C646="","",C646*IF(Settings!$B$22=Settings!$C$6,1,IF(Settings!$B$22="USD",1/INDEX(Settings!$B$29:$B$40,MONTH(A646)),INDEX(Settings!$B$29:$B$40,MONTH(A646)))))</f>
        <v/>
      </c>
    </row>
    <row r="647" customFormat="false" ht="15" hidden="false" customHeight="false" outlineLevel="0" collapsed="false">
      <c r="H647" s="0" t="str">
        <f aca="false">IF(B647="","",IF(COUNTIF(Campaigns!$A$7:$A$300,B647)&gt;0,"✓","⚠ add to Campaigns tab"))</f>
        <v/>
      </c>
      <c r="I647" s="84" t="str">
        <f aca="false">IF(C647="","",C647*IF(Settings!$B$22=Settings!$C$6,1,IF(Settings!$B$22="USD",1/INDEX(Settings!$B$29:$B$40,MONTH(A647)),INDEX(Settings!$B$29:$B$40,MONTH(A647)))))</f>
        <v/>
      </c>
    </row>
    <row r="648" customFormat="false" ht="15" hidden="false" customHeight="false" outlineLevel="0" collapsed="false">
      <c r="H648" s="0" t="str">
        <f aca="false">IF(B648="","",IF(COUNTIF(Campaigns!$A$7:$A$300,B648)&gt;0,"✓","⚠ add to Campaigns tab"))</f>
        <v/>
      </c>
      <c r="I648" s="84" t="str">
        <f aca="false">IF(C648="","",C648*IF(Settings!$B$22=Settings!$C$6,1,IF(Settings!$B$22="USD",1/INDEX(Settings!$B$29:$B$40,MONTH(A648)),INDEX(Settings!$B$29:$B$40,MONTH(A648)))))</f>
        <v/>
      </c>
    </row>
    <row r="649" customFormat="false" ht="15" hidden="false" customHeight="false" outlineLevel="0" collapsed="false">
      <c r="H649" s="0" t="str">
        <f aca="false">IF(B649="","",IF(COUNTIF(Campaigns!$A$7:$A$300,B649)&gt;0,"✓","⚠ add to Campaigns tab"))</f>
        <v/>
      </c>
      <c r="I649" s="84" t="str">
        <f aca="false">IF(C649="","",C649*IF(Settings!$B$22=Settings!$C$6,1,IF(Settings!$B$22="USD",1/INDEX(Settings!$B$29:$B$40,MONTH(A649)),INDEX(Settings!$B$29:$B$40,MONTH(A649)))))</f>
        <v/>
      </c>
    </row>
    <row r="650" customFormat="false" ht="15" hidden="false" customHeight="false" outlineLevel="0" collapsed="false">
      <c r="H650" s="0" t="str">
        <f aca="false">IF(B650="","",IF(COUNTIF(Campaigns!$A$7:$A$300,B650)&gt;0,"✓","⚠ add to Campaigns tab"))</f>
        <v/>
      </c>
      <c r="I650" s="84" t="str">
        <f aca="false">IF(C650="","",C650*IF(Settings!$B$22=Settings!$C$6,1,IF(Settings!$B$22="USD",1/INDEX(Settings!$B$29:$B$40,MONTH(A650)),INDEX(Settings!$B$29:$B$40,MONTH(A650)))))</f>
        <v/>
      </c>
    </row>
    <row r="651" customFormat="false" ht="15" hidden="false" customHeight="false" outlineLevel="0" collapsed="false">
      <c r="H651" s="0" t="str">
        <f aca="false">IF(B651="","",IF(COUNTIF(Campaigns!$A$7:$A$300,B651)&gt;0,"✓","⚠ add to Campaigns tab"))</f>
        <v/>
      </c>
      <c r="I651" s="84" t="str">
        <f aca="false">IF(C651="","",C651*IF(Settings!$B$22=Settings!$C$6,1,IF(Settings!$B$22="USD",1/INDEX(Settings!$B$29:$B$40,MONTH(A651)),INDEX(Settings!$B$29:$B$40,MONTH(A651)))))</f>
        <v/>
      </c>
    </row>
    <row r="652" customFormat="false" ht="15" hidden="false" customHeight="false" outlineLevel="0" collapsed="false">
      <c r="H652" s="0" t="str">
        <f aca="false">IF(B652="","",IF(COUNTIF(Campaigns!$A$7:$A$300,B652)&gt;0,"✓","⚠ add to Campaigns tab"))</f>
        <v/>
      </c>
      <c r="I652" s="84" t="str">
        <f aca="false">IF(C652="","",C652*IF(Settings!$B$22=Settings!$C$6,1,IF(Settings!$B$22="USD",1/INDEX(Settings!$B$29:$B$40,MONTH(A652)),INDEX(Settings!$B$29:$B$40,MONTH(A652)))))</f>
        <v/>
      </c>
    </row>
    <row r="653" customFormat="false" ht="15" hidden="false" customHeight="false" outlineLevel="0" collapsed="false">
      <c r="H653" s="0" t="str">
        <f aca="false">IF(B653="","",IF(COUNTIF(Campaigns!$A$7:$A$300,B653)&gt;0,"✓","⚠ add to Campaigns tab"))</f>
        <v/>
      </c>
      <c r="I653" s="84" t="str">
        <f aca="false">IF(C653="","",C653*IF(Settings!$B$22=Settings!$C$6,1,IF(Settings!$B$22="USD",1/INDEX(Settings!$B$29:$B$40,MONTH(A653)),INDEX(Settings!$B$29:$B$40,MONTH(A653)))))</f>
        <v/>
      </c>
    </row>
    <row r="654" customFormat="false" ht="15" hidden="false" customHeight="false" outlineLevel="0" collapsed="false">
      <c r="H654" s="0" t="str">
        <f aca="false">IF(B654="","",IF(COUNTIF(Campaigns!$A$7:$A$300,B654)&gt;0,"✓","⚠ add to Campaigns tab"))</f>
        <v/>
      </c>
      <c r="I654" s="84" t="str">
        <f aca="false">IF(C654="","",C654*IF(Settings!$B$22=Settings!$C$6,1,IF(Settings!$B$22="USD",1/INDEX(Settings!$B$29:$B$40,MONTH(A654)),INDEX(Settings!$B$29:$B$40,MONTH(A654)))))</f>
        <v/>
      </c>
    </row>
    <row r="655" customFormat="false" ht="15" hidden="false" customHeight="false" outlineLevel="0" collapsed="false">
      <c r="H655" s="0" t="str">
        <f aca="false">IF(B655="","",IF(COUNTIF(Campaigns!$A$7:$A$300,B655)&gt;0,"✓","⚠ add to Campaigns tab"))</f>
        <v/>
      </c>
      <c r="I655" s="84" t="str">
        <f aca="false">IF(C655="","",C655*IF(Settings!$B$22=Settings!$C$6,1,IF(Settings!$B$22="USD",1/INDEX(Settings!$B$29:$B$40,MONTH(A655)),INDEX(Settings!$B$29:$B$40,MONTH(A655)))))</f>
        <v/>
      </c>
    </row>
    <row r="656" customFormat="false" ht="15" hidden="false" customHeight="false" outlineLevel="0" collapsed="false">
      <c r="H656" s="0" t="str">
        <f aca="false">IF(B656="","",IF(COUNTIF(Campaigns!$A$7:$A$300,B656)&gt;0,"✓","⚠ add to Campaigns tab"))</f>
        <v/>
      </c>
      <c r="I656" s="84" t="str">
        <f aca="false">IF(C656="","",C656*IF(Settings!$B$22=Settings!$C$6,1,IF(Settings!$B$22="USD",1/INDEX(Settings!$B$29:$B$40,MONTH(A656)),INDEX(Settings!$B$29:$B$40,MONTH(A656)))))</f>
        <v/>
      </c>
    </row>
    <row r="657" customFormat="false" ht="15" hidden="false" customHeight="false" outlineLevel="0" collapsed="false">
      <c r="H657" s="0" t="str">
        <f aca="false">IF(B657="","",IF(COUNTIF(Campaigns!$A$7:$A$300,B657)&gt;0,"✓","⚠ add to Campaigns tab"))</f>
        <v/>
      </c>
      <c r="I657" s="84" t="str">
        <f aca="false">IF(C657="","",C657*IF(Settings!$B$22=Settings!$C$6,1,IF(Settings!$B$22="USD",1/INDEX(Settings!$B$29:$B$40,MONTH(A657)),INDEX(Settings!$B$29:$B$40,MONTH(A657)))))</f>
        <v/>
      </c>
    </row>
    <row r="658" customFormat="false" ht="15" hidden="false" customHeight="false" outlineLevel="0" collapsed="false">
      <c r="H658" s="0" t="str">
        <f aca="false">IF(B658="","",IF(COUNTIF(Campaigns!$A$7:$A$300,B658)&gt;0,"✓","⚠ add to Campaigns tab"))</f>
        <v/>
      </c>
      <c r="I658" s="84" t="str">
        <f aca="false">IF(C658="","",C658*IF(Settings!$B$22=Settings!$C$6,1,IF(Settings!$B$22="USD",1/INDEX(Settings!$B$29:$B$40,MONTH(A658)),INDEX(Settings!$B$29:$B$40,MONTH(A658)))))</f>
        <v/>
      </c>
    </row>
    <row r="659" customFormat="false" ht="15" hidden="false" customHeight="false" outlineLevel="0" collapsed="false">
      <c r="H659" s="0" t="str">
        <f aca="false">IF(B659="","",IF(COUNTIF(Campaigns!$A$7:$A$300,B659)&gt;0,"✓","⚠ add to Campaigns tab"))</f>
        <v/>
      </c>
      <c r="I659" s="84" t="str">
        <f aca="false">IF(C659="","",C659*IF(Settings!$B$22=Settings!$C$6,1,IF(Settings!$B$22="USD",1/INDEX(Settings!$B$29:$B$40,MONTH(A659)),INDEX(Settings!$B$29:$B$40,MONTH(A659)))))</f>
        <v/>
      </c>
    </row>
    <row r="660" customFormat="false" ht="15" hidden="false" customHeight="false" outlineLevel="0" collapsed="false">
      <c r="H660" s="0" t="str">
        <f aca="false">IF(B660="","",IF(COUNTIF(Campaigns!$A$7:$A$300,B660)&gt;0,"✓","⚠ add to Campaigns tab"))</f>
        <v/>
      </c>
      <c r="I660" s="84" t="str">
        <f aca="false">IF(C660="","",C660*IF(Settings!$B$22=Settings!$C$6,1,IF(Settings!$B$22="USD",1/INDEX(Settings!$B$29:$B$40,MONTH(A660)),INDEX(Settings!$B$29:$B$40,MONTH(A660)))))</f>
        <v/>
      </c>
    </row>
    <row r="661" customFormat="false" ht="15" hidden="false" customHeight="false" outlineLevel="0" collapsed="false">
      <c r="H661" s="0" t="str">
        <f aca="false">IF(B661="","",IF(COUNTIF(Campaigns!$A$7:$A$300,B661)&gt;0,"✓","⚠ add to Campaigns tab"))</f>
        <v/>
      </c>
      <c r="I661" s="84" t="str">
        <f aca="false">IF(C661="","",C661*IF(Settings!$B$22=Settings!$C$6,1,IF(Settings!$B$22="USD",1/INDEX(Settings!$B$29:$B$40,MONTH(A661)),INDEX(Settings!$B$29:$B$40,MONTH(A661)))))</f>
        <v/>
      </c>
    </row>
    <row r="662" customFormat="false" ht="15" hidden="false" customHeight="false" outlineLevel="0" collapsed="false">
      <c r="H662" s="0" t="str">
        <f aca="false">IF(B662="","",IF(COUNTIF(Campaigns!$A$7:$A$300,B662)&gt;0,"✓","⚠ add to Campaigns tab"))</f>
        <v/>
      </c>
      <c r="I662" s="84" t="str">
        <f aca="false">IF(C662="","",C662*IF(Settings!$B$22=Settings!$C$6,1,IF(Settings!$B$22="USD",1/INDEX(Settings!$B$29:$B$40,MONTH(A662)),INDEX(Settings!$B$29:$B$40,MONTH(A662)))))</f>
        <v/>
      </c>
    </row>
    <row r="663" customFormat="false" ht="15" hidden="false" customHeight="false" outlineLevel="0" collapsed="false">
      <c r="H663" s="0" t="str">
        <f aca="false">IF(B663="","",IF(COUNTIF(Campaigns!$A$7:$A$300,B663)&gt;0,"✓","⚠ add to Campaigns tab"))</f>
        <v/>
      </c>
      <c r="I663" s="84" t="str">
        <f aca="false">IF(C663="","",C663*IF(Settings!$B$22=Settings!$C$6,1,IF(Settings!$B$22="USD",1/INDEX(Settings!$B$29:$B$40,MONTH(A663)),INDEX(Settings!$B$29:$B$40,MONTH(A663)))))</f>
        <v/>
      </c>
    </row>
    <row r="664" customFormat="false" ht="15" hidden="false" customHeight="false" outlineLevel="0" collapsed="false">
      <c r="H664" s="0" t="str">
        <f aca="false">IF(B664="","",IF(COUNTIF(Campaigns!$A$7:$A$300,B664)&gt;0,"✓","⚠ add to Campaigns tab"))</f>
        <v/>
      </c>
      <c r="I664" s="84" t="str">
        <f aca="false">IF(C664="","",C664*IF(Settings!$B$22=Settings!$C$6,1,IF(Settings!$B$22="USD",1/INDEX(Settings!$B$29:$B$40,MONTH(A664)),INDEX(Settings!$B$29:$B$40,MONTH(A664)))))</f>
        <v/>
      </c>
    </row>
    <row r="665" customFormat="false" ht="15" hidden="false" customHeight="false" outlineLevel="0" collapsed="false">
      <c r="H665" s="0" t="str">
        <f aca="false">IF(B665="","",IF(COUNTIF(Campaigns!$A$7:$A$300,B665)&gt;0,"✓","⚠ add to Campaigns tab"))</f>
        <v/>
      </c>
      <c r="I665" s="84" t="str">
        <f aca="false">IF(C665="","",C665*IF(Settings!$B$22=Settings!$C$6,1,IF(Settings!$B$22="USD",1/INDEX(Settings!$B$29:$B$40,MONTH(A665)),INDEX(Settings!$B$29:$B$40,MONTH(A665)))))</f>
        <v/>
      </c>
    </row>
    <row r="666" customFormat="false" ht="15" hidden="false" customHeight="false" outlineLevel="0" collapsed="false">
      <c r="H666" s="0" t="str">
        <f aca="false">IF(B666="","",IF(COUNTIF(Campaigns!$A$7:$A$300,B666)&gt;0,"✓","⚠ add to Campaigns tab"))</f>
        <v/>
      </c>
      <c r="I666" s="84" t="str">
        <f aca="false">IF(C666="","",C666*IF(Settings!$B$22=Settings!$C$6,1,IF(Settings!$B$22="USD",1/INDEX(Settings!$B$29:$B$40,MONTH(A666)),INDEX(Settings!$B$29:$B$40,MONTH(A666)))))</f>
        <v/>
      </c>
    </row>
    <row r="667" customFormat="false" ht="15" hidden="false" customHeight="false" outlineLevel="0" collapsed="false">
      <c r="H667" s="0" t="str">
        <f aca="false">IF(B667="","",IF(COUNTIF(Campaigns!$A$7:$A$300,B667)&gt;0,"✓","⚠ add to Campaigns tab"))</f>
        <v/>
      </c>
      <c r="I667" s="84" t="str">
        <f aca="false">IF(C667="","",C667*IF(Settings!$B$22=Settings!$C$6,1,IF(Settings!$B$22="USD",1/INDEX(Settings!$B$29:$B$40,MONTH(A667)),INDEX(Settings!$B$29:$B$40,MONTH(A667)))))</f>
        <v/>
      </c>
    </row>
    <row r="668" customFormat="false" ht="15" hidden="false" customHeight="false" outlineLevel="0" collapsed="false">
      <c r="H668" s="0" t="str">
        <f aca="false">IF(B668="","",IF(COUNTIF(Campaigns!$A$7:$A$300,B668)&gt;0,"✓","⚠ add to Campaigns tab"))</f>
        <v/>
      </c>
      <c r="I668" s="84" t="str">
        <f aca="false">IF(C668="","",C668*IF(Settings!$B$22=Settings!$C$6,1,IF(Settings!$B$22="USD",1/INDEX(Settings!$B$29:$B$40,MONTH(A668)),INDEX(Settings!$B$29:$B$40,MONTH(A668)))))</f>
        <v/>
      </c>
    </row>
    <row r="669" customFormat="false" ht="15" hidden="false" customHeight="false" outlineLevel="0" collapsed="false">
      <c r="H669" s="0" t="str">
        <f aca="false">IF(B669="","",IF(COUNTIF(Campaigns!$A$7:$A$300,B669)&gt;0,"✓","⚠ add to Campaigns tab"))</f>
        <v/>
      </c>
      <c r="I669" s="84" t="str">
        <f aca="false">IF(C669="","",C669*IF(Settings!$B$22=Settings!$C$6,1,IF(Settings!$B$22="USD",1/INDEX(Settings!$B$29:$B$40,MONTH(A669)),INDEX(Settings!$B$29:$B$40,MONTH(A669)))))</f>
        <v/>
      </c>
    </row>
    <row r="670" customFormat="false" ht="15" hidden="false" customHeight="false" outlineLevel="0" collapsed="false">
      <c r="H670" s="0" t="str">
        <f aca="false">IF(B670="","",IF(COUNTIF(Campaigns!$A$7:$A$300,B670)&gt;0,"✓","⚠ add to Campaigns tab"))</f>
        <v/>
      </c>
      <c r="I670" s="84" t="str">
        <f aca="false">IF(C670="","",C670*IF(Settings!$B$22=Settings!$C$6,1,IF(Settings!$B$22="USD",1/INDEX(Settings!$B$29:$B$40,MONTH(A670)),INDEX(Settings!$B$29:$B$40,MONTH(A670)))))</f>
        <v/>
      </c>
    </row>
    <row r="671" customFormat="false" ht="15" hidden="false" customHeight="false" outlineLevel="0" collapsed="false">
      <c r="H671" s="0" t="str">
        <f aca="false">IF(B671="","",IF(COUNTIF(Campaigns!$A$7:$A$300,B671)&gt;0,"✓","⚠ add to Campaigns tab"))</f>
        <v/>
      </c>
      <c r="I671" s="84" t="str">
        <f aca="false">IF(C671="","",C671*IF(Settings!$B$22=Settings!$C$6,1,IF(Settings!$B$22="USD",1/INDEX(Settings!$B$29:$B$40,MONTH(A671)),INDEX(Settings!$B$29:$B$40,MONTH(A671)))))</f>
        <v/>
      </c>
    </row>
    <row r="672" customFormat="false" ht="15" hidden="false" customHeight="false" outlineLevel="0" collapsed="false">
      <c r="H672" s="0" t="str">
        <f aca="false">IF(B672="","",IF(COUNTIF(Campaigns!$A$7:$A$300,B672)&gt;0,"✓","⚠ add to Campaigns tab"))</f>
        <v/>
      </c>
      <c r="I672" s="84" t="str">
        <f aca="false">IF(C672="","",C672*IF(Settings!$B$22=Settings!$C$6,1,IF(Settings!$B$22="USD",1/INDEX(Settings!$B$29:$B$40,MONTH(A672)),INDEX(Settings!$B$29:$B$40,MONTH(A672)))))</f>
        <v/>
      </c>
    </row>
    <row r="673" customFormat="false" ht="15" hidden="false" customHeight="false" outlineLevel="0" collapsed="false">
      <c r="H673" s="0" t="str">
        <f aca="false">IF(B673="","",IF(COUNTIF(Campaigns!$A$7:$A$300,B673)&gt;0,"✓","⚠ add to Campaigns tab"))</f>
        <v/>
      </c>
      <c r="I673" s="84" t="str">
        <f aca="false">IF(C673="","",C673*IF(Settings!$B$22=Settings!$C$6,1,IF(Settings!$B$22="USD",1/INDEX(Settings!$B$29:$B$40,MONTH(A673)),INDEX(Settings!$B$29:$B$40,MONTH(A673)))))</f>
        <v/>
      </c>
    </row>
    <row r="674" customFormat="false" ht="15" hidden="false" customHeight="false" outlineLevel="0" collapsed="false">
      <c r="H674" s="0" t="str">
        <f aca="false">IF(B674="","",IF(COUNTIF(Campaigns!$A$7:$A$300,B674)&gt;0,"✓","⚠ add to Campaigns tab"))</f>
        <v/>
      </c>
      <c r="I674" s="84" t="str">
        <f aca="false">IF(C674="","",C674*IF(Settings!$B$22=Settings!$C$6,1,IF(Settings!$B$22="USD",1/INDEX(Settings!$B$29:$B$40,MONTH(A674)),INDEX(Settings!$B$29:$B$40,MONTH(A674)))))</f>
        <v/>
      </c>
    </row>
    <row r="675" customFormat="false" ht="15" hidden="false" customHeight="false" outlineLevel="0" collapsed="false">
      <c r="H675" s="0" t="str">
        <f aca="false">IF(B675="","",IF(COUNTIF(Campaigns!$A$7:$A$300,B675)&gt;0,"✓","⚠ add to Campaigns tab"))</f>
        <v/>
      </c>
      <c r="I675" s="84" t="str">
        <f aca="false">IF(C675="","",C675*IF(Settings!$B$22=Settings!$C$6,1,IF(Settings!$B$22="USD",1/INDEX(Settings!$B$29:$B$40,MONTH(A675)),INDEX(Settings!$B$29:$B$40,MONTH(A675)))))</f>
        <v/>
      </c>
    </row>
    <row r="676" customFormat="false" ht="15" hidden="false" customHeight="false" outlineLevel="0" collapsed="false">
      <c r="H676" s="0" t="str">
        <f aca="false">IF(B676="","",IF(COUNTIF(Campaigns!$A$7:$A$300,B676)&gt;0,"✓","⚠ add to Campaigns tab"))</f>
        <v/>
      </c>
      <c r="I676" s="84" t="str">
        <f aca="false">IF(C676="","",C676*IF(Settings!$B$22=Settings!$C$6,1,IF(Settings!$B$22="USD",1/INDEX(Settings!$B$29:$B$40,MONTH(A676)),INDEX(Settings!$B$29:$B$40,MONTH(A676)))))</f>
        <v/>
      </c>
    </row>
    <row r="677" customFormat="false" ht="15" hidden="false" customHeight="false" outlineLevel="0" collapsed="false">
      <c r="H677" s="0" t="str">
        <f aca="false">IF(B677="","",IF(COUNTIF(Campaigns!$A$7:$A$300,B677)&gt;0,"✓","⚠ add to Campaigns tab"))</f>
        <v/>
      </c>
      <c r="I677" s="84" t="str">
        <f aca="false">IF(C677="","",C677*IF(Settings!$B$22=Settings!$C$6,1,IF(Settings!$B$22="USD",1/INDEX(Settings!$B$29:$B$40,MONTH(A677)),INDEX(Settings!$B$29:$B$40,MONTH(A677)))))</f>
        <v/>
      </c>
    </row>
    <row r="678" customFormat="false" ht="15" hidden="false" customHeight="false" outlineLevel="0" collapsed="false">
      <c r="H678" s="0" t="str">
        <f aca="false">IF(B678="","",IF(COUNTIF(Campaigns!$A$7:$A$300,B678)&gt;0,"✓","⚠ add to Campaigns tab"))</f>
        <v/>
      </c>
      <c r="I678" s="84" t="str">
        <f aca="false">IF(C678="","",C678*IF(Settings!$B$22=Settings!$C$6,1,IF(Settings!$B$22="USD",1/INDEX(Settings!$B$29:$B$40,MONTH(A678)),INDEX(Settings!$B$29:$B$40,MONTH(A678)))))</f>
        <v/>
      </c>
    </row>
    <row r="679" customFormat="false" ht="15" hidden="false" customHeight="false" outlineLevel="0" collapsed="false">
      <c r="H679" s="0" t="str">
        <f aca="false">IF(B679="","",IF(COUNTIF(Campaigns!$A$7:$A$300,B679)&gt;0,"✓","⚠ add to Campaigns tab"))</f>
        <v/>
      </c>
      <c r="I679" s="84" t="str">
        <f aca="false">IF(C679="","",C679*IF(Settings!$B$22=Settings!$C$6,1,IF(Settings!$B$22="USD",1/INDEX(Settings!$B$29:$B$40,MONTH(A679)),INDEX(Settings!$B$29:$B$40,MONTH(A679)))))</f>
        <v/>
      </c>
    </row>
    <row r="680" customFormat="false" ht="15" hidden="false" customHeight="false" outlineLevel="0" collapsed="false">
      <c r="H680" s="0" t="str">
        <f aca="false">IF(B680="","",IF(COUNTIF(Campaigns!$A$7:$A$300,B680)&gt;0,"✓","⚠ add to Campaigns tab"))</f>
        <v/>
      </c>
      <c r="I680" s="84" t="str">
        <f aca="false">IF(C680="","",C680*IF(Settings!$B$22=Settings!$C$6,1,IF(Settings!$B$22="USD",1/INDEX(Settings!$B$29:$B$40,MONTH(A680)),INDEX(Settings!$B$29:$B$40,MONTH(A680)))))</f>
        <v/>
      </c>
    </row>
    <row r="681" customFormat="false" ht="15" hidden="false" customHeight="false" outlineLevel="0" collapsed="false">
      <c r="H681" s="0" t="str">
        <f aca="false">IF(B681="","",IF(COUNTIF(Campaigns!$A$7:$A$300,B681)&gt;0,"✓","⚠ add to Campaigns tab"))</f>
        <v/>
      </c>
      <c r="I681" s="84" t="str">
        <f aca="false">IF(C681="","",C681*IF(Settings!$B$22=Settings!$C$6,1,IF(Settings!$B$22="USD",1/INDEX(Settings!$B$29:$B$40,MONTH(A681)),INDEX(Settings!$B$29:$B$40,MONTH(A681)))))</f>
        <v/>
      </c>
    </row>
    <row r="682" customFormat="false" ht="15" hidden="false" customHeight="false" outlineLevel="0" collapsed="false">
      <c r="H682" s="0" t="str">
        <f aca="false">IF(B682="","",IF(COUNTIF(Campaigns!$A$7:$A$300,B682)&gt;0,"✓","⚠ add to Campaigns tab"))</f>
        <v/>
      </c>
      <c r="I682" s="84" t="str">
        <f aca="false">IF(C682="","",C682*IF(Settings!$B$22=Settings!$C$6,1,IF(Settings!$B$22="USD",1/INDEX(Settings!$B$29:$B$40,MONTH(A682)),INDEX(Settings!$B$29:$B$40,MONTH(A682)))))</f>
        <v/>
      </c>
    </row>
    <row r="683" customFormat="false" ht="15" hidden="false" customHeight="false" outlineLevel="0" collapsed="false">
      <c r="H683" s="0" t="str">
        <f aca="false">IF(B683="","",IF(COUNTIF(Campaigns!$A$7:$A$300,B683)&gt;0,"✓","⚠ add to Campaigns tab"))</f>
        <v/>
      </c>
      <c r="I683" s="84" t="str">
        <f aca="false">IF(C683="","",C683*IF(Settings!$B$22=Settings!$C$6,1,IF(Settings!$B$22="USD",1/INDEX(Settings!$B$29:$B$40,MONTH(A683)),INDEX(Settings!$B$29:$B$40,MONTH(A683)))))</f>
        <v/>
      </c>
    </row>
    <row r="684" customFormat="false" ht="15" hidden="false" customHeight="false" outlineLevel="0" collapsed="false">
      <c r="H684" s="0" t="str">
        <f aca="false">IF(B684="","",IF(COUNTIF(Campaigns!$A$7:$A$300,B684)&gt;0,"✓","⚠ add to Campaigns tab"))</f>
        <v/>
      </c>
      <c r="I684" s="84" t="str">
        <f aca="false">IF(C684="","",C684*IF(Settings!$B$22=Settings!$C$6,1,IF(Settings!$B$22="USD",1/INDEX(Settings!$B$29:$B$40,MONTH(A684)),INDEX(Settings!$B$29:$B$40,MONTH(A684)))))</f>
        <v/>
      </c>
    </row>
    <row r="685" customFormat="false" ht="15" hidden="false" customHeight="false" outlineLevel="0" collapsed="false">
      <c r="H685" s="0" t="str">
        <f aca="false">IF(B685="","",IF(COUNTIF(Campaigns!$A$7:$A$300,B685)&gt;0,"✓","⚠ add to Campaigns tab"))</f>
        <v/>
      </c>
      <c r="I685" s="84" t="str">
        <f aca="false">IF(C685="","",C685*IF(Settings!$B$22=Settings!$C$6,1,IF(Settings!$B$22="USD",1/INDEX(Settings!$B$29:$B$40,MONTH(A685)),INDEX(Settings!$B$29:$B$40,MONTH(A685)))))</f>
        <v/>
      </c>
    </row>
    <row r="686" customFormat="false" ht="15" hidden="false" customHeight="false" outlineLevel="0" collapsed="false">
      <c r="H686" s="0" t="str">
        <f aca="false">IF(B686="","",IF(COUNTIF(Campaigns!$A$7:$A$300,B686)&gt;0,"✓","⚠ add to Campaigns tab"))</f>
        <v/>
      </c>
      <c r="I686" s="84" t="str">
        <f aca="false">IF(C686="","",C686*IF(Settings!$B$22=Settings!$C$6,1,IF(Settings!$B$22="USD",1/INDEX(Settings!$B$29:$B$40,MONTH(A686)),INDEX(Settings!$B$29:$B$40,MONTH(A686)))))</f>
        <v/>
      </c>
    </row>
    <row r="687" customFormat="false" ht="15" hidden="false" customHeight="false" outlineLevel="0" collapsed="false">
      <c r="H687" s="0" t="str">
        <f aca="false">IF(B687="","",IF(COUNTIF(Campaigns!$A$7:$A$300,B687)&gt;0,"✓","⚠ add to Campaigns tab"))</f>
        <v/>
      </c>
      <c r="I687" s="84" t="str">
        <f aca="false">IF(C687="","",C687*IF(Settings!$B$22=Settings!$C$6,1,IF(Settings!$B$22="USD",1/INDEX(Settings!$B$29:$B$40,MONTH(A687)),INDEX(Settings!$B$29:$B$40,MONTH(A687)))))</f>
        <v/>
      </c>
    </row>
    <row r="688" customFormat="false" ht="15" hidden="false" customHeight="false" outlineLevel="0" collapsed="false">
      <c r="H688" s="0" t="str">
        <f aca="false">IF(B688="","",IF(COUNTIF(Campaigns!$A$7:$A$300,B688)&gt;0,"✓","⚠ add to Campaigns tab"))</f>
        <v/>
      </c>
      <c r="I688" s="84" t="str">
        <f aca="false">IF(C688="","",C688*IF(Settings!$B$22=Settings!$C$6,1,IF(Settings!$B$22="USD",1/INDEX(Settings!$B$29:$B$40,MONTH(A688)),INDEX(Settings!$B$29:$B$40,MONTH(A688)))))</f>
        <v/>
      </c>
    </row>
    <row r="689" customFormat="false" ht="15" hidden="false" customHeight="false" outlineLevel="0" collapsed="false">
      <c r="H689" s="0" t="str">
        <f aca="false">IF(B689="","",IF(COUNTIF(Campaigns!$A$7:$A$300,B689)&gt;0,"✓","⚠ add to Campaigns tab"))</f>
        <v/>
      </c>
      <c r="I689" s="84" t="str">
        <f aca="false">IF(C689="","",C689*IF(Settings!$B$22=Settings!$C$6,1,IF(Settings!$B$22="USD",1/INDEX(Settings!$B$29:$B$40,MONTH(A689)),INDEX(Settings!$B$29:$B$40,MONTH(A689)))))</f>
        <v/>
      </c>
    </row>
    <row r="690" customFormat="false" ht="15" hidden="false" customHeight="false" outlineLevel="0" collapsed="false">
      <c r="H690" s="0" t="str">
        <f aca="false">IF(B690="","",IF(COUNTIF(Campaigns!$A$7:$A$300,B690)&gt;0,"✓","⚠ add to Campaigns tab"))</f>
        <v/>
      </c>
      <c r="I690" s="84" t="str">
        <f aca="false">IF(C690="","",C690*IF(Settings!$B$22=Settings!$C$6,1,IF(Settings!$B$22="USD",1/INDEX(Settings!$B$29:$B$40,MONTH(A690)),INDEX(Settings!$B$29:$B$40,MONTH(A690)))))</f>
        <v/>
      </c>
    </row>
    <row r="691" customFormat="false" ht="15" hidden="false" customHeight="false" outlineLevel="0" collapsed="false">
      <c r="H691" s="0" t="str">
        <f aca="false">IF(B691="","",IF(COUNTIF(Campaigns!$A$7:$A$300,B691)&gt;0,"✓","⚠ add to Campaigns tab"))</f>
        <v/>
      </c>
      <c r="I691" s="84" t="str">
        <f aca="false">IF(C691="","",C691*IF(Settings!$B$22=Settings!$C$6,1,IF(Settings!$B$22="USD",1/INDEX(Settings!$B$29:$B$40,MONTH(A691)),INDEX(Settings!$B$29:$B$40,MONTH(A691)))))</f>
        <v/>
      </c>
    </row>
    <row r="692" customFormat="false" ht="15" hidden="false" customHeight="false" outlineLevel="0" collapsed="false">
      <c r="H692" s="0" t="str">
        <f aca="false">IF(B692="","",IF(COUNTIF(Campaigns!$A$7:$A$300,B692)&gt;0,"✓","⚠ add to Campaigns tab"))</f>
        <v/>
      </c>
      <c r="I692" s="84" t="str">
        <f aca="false">IF(C692="","",C692*IF(Settings!$B$22=Settings!$C$6,1,IF(Settings!$B$22="USD",1/INDEX(Settings!$B$29:$B$40,MONTH(A692)),INDEX(Settings!$B$29:$B$40,MONTH(A692)))))</f>
        <v/>
      </c>
    </row>
    <row r="693" customFormat="false" ht="15" hidden="false" customHeight="false" outlineLevel="0" collapsed="false">
      <c r="H693" s="0" t="str">
        <f aca="false">IF(B693="","",IF(COUNTIF(Campaigns!$A$7:$A$300,B693)&gt;0,"✓","⚠ add to Campaigns tab"))</f>
        <v/>
      </c>
      <c r="I693" s="84" t="str">
        <f aca="false">IF(C693="","",C693*IF(Settings!$B$22=Settings!$C$6,1,IF(Settings!$B$22="USD",1/INDEX(Settings!$B$29:$B$40,MONTH(A693)),INDEX(Settings!$B$29:$B$40,MONTH(A693)))))</f>
        <v/>
      </c>
    </row>
    <row r="694" customFormat="false" ht="15" hidden="false" customHeight="false" outlineLevel="0" collapsed="false">
      <c r="H694" s="0" t="str">
        <f aca="false">IF(B694="","",IF(COUNTIF(Campaigns!$A$7:$A$300,B694)&gt;0,"✓","⚠ add to Campaigns tab"))</f>
        <v/>
      </c>
      <c r="I694" s="84" t="str">
        <f aca="false">IF(C694="","",C694*IF(Settings!$B$22=Settings!$C$6,1,IF(Settings!$B$22="USD",1/INDEX(Settings!$B$29:$B$40,MONTH(A694)),INDEX(Settings!$B$29:$B$40,MONTH(A694)))))</f>
        <v/>
      </c>
    </row>
    <row r="695" customFormat="false" ht="15" hidden="false" customHeight="false" outlineLevel="0" collapsed="false">
      <c r="H695" s="0" t="str">
        <f aca="false">IF(B695="","",IF(COUNTIF(Campaigns!$A$7:$A$300,B695)&gt;0,"✓","⚠ add to Campaigns tab"))</f>
        <v/>
      </c>
      <c r="I695" s="84" t="str">
        <f aca="false">IF(C695="","",C695*IF(Settings!$B$22=Settings!$C$6,1,IF(Settings!$B$22="USD",1/INDEX(Settings!$B$29:$B$40,MONTH(A695)),INDEX(Settings!$B$29:$B$40,MONTH(A695)))))</f>
        <v/>
      </c>
    </row>
    <row r="696" customFormat="false" ht="15" hidden="false" customHeight="false" outlineLevel="0" collapsed="false">
      <c r="H696" s="0" t="str">
        <f aca="false">IF(B696="","",IF(COUNTIF(Campaigns!$A$7:$A$300,B696)&gt;0,"✓","⚠ add to Campaigns tab"))</f>
        <v/>
      </c>
      <c r="I696" s="84" t="str">
        <f aca="false">IF(C696="","",C696*IF(Settings!$B$22=Settings!$C$6,1,IF(Settings!$B$22="USD",1/INDEX(Settings!$B$29:$B$40,MONTH(A696)),INDEX(Settings!$B$29:$B$40,MONTH(A696)))))</f>
        <v/>
      </c>
    </row>
    <row r="697" customFormat="false" ht="15" hidden="false" customHeight="false" outlineLevel="0" collapsed="false">
      <c r="H697" s="0" t="str">
        <f aca="false">IF(B697="","",IF(COUNTIF(Campaigns!$A$7:$A$300,B697)&gt;0,"✓","⚠ add to Campaigns tab"))</f>
        <v/>
      </c>
      <c r="I697" s="84" t="str">
        <f aca="false">IF(C697="","",C697*IF(Settings!$B$22=Settings!$C$6,1,IF(Settings!$B$22="USD",1/INDEX(Settings!$B$29:$B$40,MONTH(A697)),INDEX(Settings!$B$29:$B$40,MONTH(A697)))))</f>
        <v/>
      </c>
    </row>
    <row r="698" customFormat="false" ht="15" hidden="false" customHeight="false" outlineLevel="0" collapsed="false">
      <c r="H698" s="0" t="str">
        <f aca="false">IF(B698="","",IF(COUNTIF(Campaigns!$A$7:$A$300,B698)&gt;0,"✓","⚠ add to Campaigns tab"))</f>
        <v/>
      </c>
      <c r="I698" s="84" t="str">
        <f aca="false">IF(C698="","",C698*IF(Settings!$B$22=Settings!$C$6,1,IF(Settings!$B$22="USD",1/INDEX(Settings!$B$29:$B$40,MONTH(A698)),INDEX(Settings!$B$29:$B$40,MONTH(A698)))))</f>
        <v/>
      </c>
    </row>
    <row r="699" customFormat="false" ht="15" hidden="false" customHeight="false" outlineLevel="0" collapsed="false">
      <c r="H699" s="0" t="str">
        <f aca="false">IF(B699="","",IF(COUNTIF(Campaigns!$A$7:$A$300,B699)&gt;0,"✓","⚠ add to Campaigns tab"))</f>
        <v/>
      </c>
      <c r="I699" s="84" t="str">
        <f aca="false">IF(C699="","",C699*IF(Settings!$B$22=Settings!$C$6,1,IF(Settings!$B$22="USD",1/INDEX(Settings!$B$29:$B$40,MONTH(A699)),INDEX(Settings!$B$29:$B$40,MONTH(A699)))))</f>
        <v/>
      </c>
    </row>
    <row r="700" customFormat="false" ht="15" hidden="false" customHeight="false" outlineLevel="0" collapsed="false">
      <c r="H700" s="0" t="str">
        <f aca="false">IF(B700="","",IF(COUNTIF(Campaigns!$A$7:$A$300,B700)&gt;0,"✓","⚠ add to Campaigns tab"))</f>
        <v/>
      </c>
      <c r="I700" s="84" t="str">
        <f aca="false">IF(C700="","",C700*IF(Settings!$B$22=Settings!$C$6,1,IF(Settings!$B$22="USD",1/INDEX(Settings!$B$29:$B$40,MONTH(A700)),INDEX(Settings!$B$29:$B$40,MONTH(A700)))))</f>
        <v/>
      </c>
    </row>
    <row r="701" customFormat="false" ht="15" hidden="false" customHeight="false" outlineLevel="0" collapsed="false">
      <c r="H701" s="0" t="str">
        <f aca="false">IF(B701="","",IF(COUNTIF(Campaigns!$A$7:$A$300,B701)&gt;0,"✓","⚠ add to Campaigns tab"))</f>
        <v/>
      </c>
      <c r="I701" s="84" t="str">
        <f aca="false">IF(C701="","",C701*IF(Settings!$B$22=Settings!$C$6,1,IF(Settings!$B$22="USD",1/INDEX(Settings!$B$29:$B$40,MONTH(A701)),INDEX(Settings!$B$29:$B$40,MONTH(A701)))))</f>
        <v/>
      </c>
    </row>
    <row r="702" customFormat="false" ht="15" hidden="false" customHeight="false" outlineLevel="0" collapsed="false">
      <c r="H702" s="0" t="str">
        <f aca="false">IF(B702="","",IF(COUNTIF(Campaigns!$A$7:$A$300,B702)&gt;0,"✓","⚠ add to Campaigns tab"))</f>
        <v/>
      </c>
      <c r="I702" s="84" t="str">
        <f aca="false">IF(C702="","",C702*IF(Settings!$B$22=Settings!$C$6,1,IF(Settings!$B$22="USD",1/INDEX(Settings!$B$29:$B$40,MONTH(A702)),INDEX(Settings!$B$29:$B$40,MONTH(A702)))))</f>
        <v/>
      </c>
    </row>
    <row r="703" customFormat="false" ht="15" hidden="false" customHeight="false" outlineLevel="0" collapsed="false">
      <c r="H703" s="0" t="str">
        <f aca="false">IF(B703="","",IF(COUNTIF(Campaigns!$A$7:$A$300,B703)&gt;0,"✓","⚠ add to Campaigns tab"))</f>
        <v/>
      </c>
      <c r="I703" s="84" t="str">
        <f aca="false">IF(C703="","",C703*IF(Settings!$B$22=Settings!$C$6,1,IF(Settings!$B$22="USD",1/INDEX(Settings!$B$29:$B$40,MONTH(A703)),INDEX(Settings!$B$29:$B$40,MONTH(A703)))))</f>
        <v/>
      </c>
    </row>
    <row r="704" customFormat="false" ht="15" hidden="false" customHeight="false" outlineLevel="0" collapsed="false">
      <c r="H704" s="0" t="str">
        <f aca="false">IF(B704="","",IF(COUNTIF(Campaigns!$A$7:$A$300,B704)&gt;0,"✓","⚠ add to Campaigns tab"))</f>
        <v/>
      </c>
      <c r="I704" s="84" t="str">
        <f aca="false">IF(C704="","",C704*IF(Settings!$B$22=Settings!$C$6,1,IF(Settings!$B$22="USD",1/INDEX(Settings!$B$29:$B$40,MONTH(A704)),INDEX(Settings!$B$29:$B$40,MONTH(A704)))))</f>
        <v/>
      </c>
    </row>
    <row r="705" customFormat="false" ht="15" hidden="false" customHeight="false" outlineLevel="0" collapsed="false">
      <c r="H705" s="0" t="str">
        <f aca="false">IF(B705="","",IF(COUNTIF(Campaigns!$A$7:$A$300,B705)&gt;0,"✓","⚠ add to Campaigns tab"))</f>
        <v/>
      </c>
      <c r="I705" s="84" t="str">
        <f aca="false">IF(C705="","",C705*IF(Settings!$B$22=Settings!$C$6,1,IF(Settings!$B$22="USD",1/INDEX(Settings!$B$29:$B$40,MONTH(A705)),INDEX(Settings!$B$29:$B$40,MONTH(A705)))))</f>
        <v/>
      </c>
    </row>
    <row r="706" customFormat="false" ht="15" hidden="false" customHeight="false" outlineLevel="0" collapsed="false">
      <c r="H706" s="0" t="str">
        <f aca="false">IF(B706="","",IF(COUNTIF(Campaigns!$A$7:$A$300,B706)&gt;0,"✓","⚠ add to Campaigns tab"))</f>
        <v/>
      </c>
      <c r="I706" s="84" t="str">
        <f aca="false">IF(C706="","",C706*IF(Settings!$B$22=Settings!$C$6,1,IF(Settings!$B$22="USD",1/INDEX(Settings!$B$29:$B$40,MONTH(A706)),INDEX(Settings!$B$29:$B$40,MONTH(A706)))))</f>
        <v/>
      </c>
    </row>
    <row r="707" customFormat="false" ht="15" hidden="false" customHeight="false" outlineLevel="0" collapsed="false">
      <c r="H707" s="0" t="str">
        <f aca="false">IF(B707="","",IF(COUNTIF(Campaigns!$A$7:$A$300,B707)&gt;0,"✓","⚠ add to Campaigns tab"))</f>
        <v/>
      </c>
      <c r="I707" s="84" t="str">
        <f aca="false">IF(C707="","",C707*IF(Settings!$B$22=Settings!$C$6,1,IF(Settings!$B$22="USD",1/INDEX(Settings!$B$29:$B$40,MONTH(A707)),INDEX(Settings!$B$29:$B$40,MONTH(A707)))))</f>
        <v/>
      </c>
    </row>
    <row r="708" customFormat="false" ht="15" hidden="false" customHeight="false" outlineLevel="0" collapsed="false">
      <c r="H708" s="0" t="str">
        <f aca="false">IF(B708="","",IF(COUNTIF(Campaigns!$A$7:$A$300,B708)&gt;0,"✓","⚠ add to Campaigns tab"))</f>
        <v/>
      </c>
      <c r="I708" s="84" t="str">
        <f aca="false">IF(C708="","",C708*IF(Settings!$B$22=Settings!$C$6,1,IF(Settings!$B$22="USD",1/INDEX(Settings!$B$29:$B$40,MONTH(A708)),INDEX(Settings!$B$29:$B$40,MONTH(A708)))))</f>
        <v/>
      </c>
    </row>
    <row r="709" customFormat="false" ht="15" hidden="false" customHeight="false" outlineLevel="0" collapsed="false">
      <c r="H709" s="0" t="str">
        <f aca="false">IF(B709="","",IF(COUNTIF(Campaigns!$A$7:$A$300,B709)&gt;0,"✓","⚠ add to Campaigns tab"))</f>
        <v/>
      </c>
      <c r="I709" s="84" t="str">
        <f aca="false">IF(C709="","",C709*IF(Settings!$B$22=Settings!$C$6,1,IF(Settings!$B$22="USD",1/INDEX(Settings!$B$29:$B$40,MONTH(A709)),INDEX(Settings!$B$29:$B$40,MONTH(A709)))))</f>
        <v/>
      </c>
    </row>
    <row r="710" customFormat="false" ht="15" hidden="false" customHeight="false" outlineLevel="0" collapsed="false">
      <c r="H710" s="0" t="str">
        <f aca="false">IF(B710="","",IF(COUNTIF(Campaigns!$A$7:$A$300,B710)&gt;0,"✓","⚠ add to Campaigns tab"))</f>
        <v/>
      </c>
      <c r="I710" s="84" t="str">
        <f aca="false">IF(C710="","",C710*IF(Settings!$B$22=Settings!$C$6,1,IF(Settings!$B$22="USD",1/INDEX(Settings!$B$29:$B$40,MONTH(A710)),INDEX(Settings!$B$29:$B$40,MONTH(A710)))))</f>
        <v/>
      </c>
    </row>
    <row r="711" customFormat="false" ht="15" hidden="false" customHeight="false" outlineLevel="0" collapsed="false">
      <c r="H711" s="0" t="str">
        <f aca="false">IF(B711="","",IF(COUNTIF(Campaigns!$A$7:$A$300,B711)&gt;0,"✓","⚠ add to Campaigns tab"))</f>
        <v/>
      </c>
      <c r="I711" s="84" t="str">
        <f aca="false">IF(C711="","",C711*IF(Settings!$B$22=Settings!$C$6,1,IF(Settings!$B$22="USD",1/INDEX(Settings!$B$29:$B$40,MONTH(A711)),INDEX(Settings!$B$29:$B$40,MONTH(A711)))))</f>
        <v/>
      </c>
    </row>
    <row r="712" customFormat="false" ht="15" hidden="false" customHeight="false" outlineLevel="0" collapsed="false">
      <c r="H712" s="0" t="str">
        <f aca="false">IF(B712="","",IF(COUNTIF(Campaigns!$A$7:$A$300,B712)&gt;0,"✓","⚠ add to Campaigns tab"))</f>
        <v/>
      </c>
      <c r="I712" s="84" t="str">
        <f aca="false">IF(C712="","",C712*IF(Settings!$B$22=Settings!$C$6,1,IF(Settings!$B$22="USD",1/INDEX(Settings!$B$29:$B$40,MONTH(A712)),INDEX(Settings!$B$29:$B$40,MONTH(A712)))))</f>
        <v/>
      </c>
    </row>
    <row r="713" customFormat="false" ht="15" hidden="false" customHeight="false" outlineLevel="0" collapsed="false">
      <c r="H713" s="0" t="str">
        <f aca="false">IF(B713="","",IF(COUNTIF(Campaigns!$A$7:$A$300,B713)&gt;0,"✓","⚠ add to Campaigns tab"))</f>
        <v/>
      </c>
      <c r="I713" s="84" t="str">
        <f aca="false">IF(C713="","",C713*IF(Settings!$B$22=Settings!$C$6,1,IF(Settings!$B$22="USD",1/INDEX(Settings!$B$29:$B$40,MONTH(A713)),INDEX(Settings!$B$29:$B$40,MONTH(A713)))))</f>
        <v/>
      </c>
    </row>
    <row r="714" customFormat="false" ht="15" hidden="false" customHeight="false" outlineLevel="0" collapsed="false">
      <c r="H714" s="0" t="str">
        <f aca="false">IF(B714="","",IF(COUNTIF(Campaigns!$A$7:$A$300,B714)&gt;0,"✓","⚠ add to Campaigns tab"))</f>
        <v/>
      </c>
      <c r="I714" s="84" t="str">
        <f aca="false">IF(C714="","",C714*IF(Settings!$B$22=Settings!$C$6,1,IF(Settings!$B$22="USD",1/INDEX(Settings!$B$29:$B$40,MONTH(A714)),INDEX(Settings!$B$29:$B$40,MONTH(A714)))))</f>
        <v/>
      </c>
    </row>
    <row r="715" customFormat="false" ht="15" hidden="false" customHeight="false" outlineLevel="0" collapsed="false">
      <c r="H715" s="0" t="str">
        <f aca="false">IF(B715="","",IF(COUNTIF(Campaigns!$A$7:$A$300,B715)&gt;0,"✓","⚠ add to Campaigns tab"))</f>
        <v/>
      </c>
      <c r="I715" s="84" t="str">
        <f aca="false">IF(C715="","",C715*IF(Settings!$B$22=Settings!$C$6,1,IF(Settings!$B$22="USD",1/INDEX(Settings!$B$29:$B$40,MONTH(A715)),INDEX(Settings!$B$29:$B$40,MONTH(A715)))))</f>
        <v/>
      </c>
    </row>
    <row r="716" customFormat="false" ht="15" hidden="false" customHeight="false" outlineLevel="0" collapsed="false">
      <c r="H716" s="0" t="str">
        <f aca="false">IF(B716="","",IF(COUNTIF(Campaigns!$A$7:$A$300,B716)&gt;0,"✓","⚠ add to Campaigns tab"))</f>
        <v/>
      </c>
      <c r="I716" s="84" t="str">
        <f aca="false">IF(C716="","",C716*IF(Settings!$B$22=Settings!$C$6,1,IF(Settings!$B$22="USD",1/INDEX(Settings!$B$29:$B$40,MONTH(A716)),INDEX(Settings!$B$29:$B$40,MONTH(A716)))))</f>
        <v/>
      </c>
    </row>
    <row r="717" customFormat="false" ht="15" hidden="false" customHeight="false" outlineLevel="0" collapsed="false">
      <c r="H717" s="0" t="str">
        <f aca="false">IF(B717="","",IF(COUNTIF(Campaigns!$A$7:$A$300,B717)&gt;0,"✓","⚠ add to Campaigns tab"))</f>
        <v/>
      </c>
      <c r="I717" s="84" t="str">
        <f aca="false">IF(C717="","",C717*IF(Settings!$B$22=Settings!$C$6,1,IF(Settings!$B$22="USD",1/INDEX(Settings!$B$29:$B$40,MONTH(A717)),INDEX(Settings!$B$29:$B$40,MONTH(A717)))))</f>
        <v/>
      </c>
    </row>
    <row r="718" customFormat="false" ht="15" hidden="false" customHeight="false" outlineLevel="0" collapsed="false">
      <c r="H718" s="0" t="str">
        <f aca="false">IF(B718="","",IF(COUNTIF(Campaigns!$A$7:$A$300,B718)&gt;0,"✓","⚠ add to Campaigns tab"))</f>
        <v/>
      </c>
      <c r="I718" s="84" t="str">
        <f aca="false">IF(C718="","",C718*IF(Settings!$B$22=Settings!$C$6,1,IF(Settings!$B$22="USD",1/INDEX(Settings!$B$29:$B$40,MONTH(A718)),INDEX(Settings!$B$29:$B$40,MONTH(A718)))))</f>
        <v/>
      </c>
    </row>
    <row r="719" customFormat="false" ht="15" hidden="false" customHeight="false" outlineLevel="0" collapsed="false">
      <c r="H719" s="0" t="str">
        <f aca="false">IF(B719="","",IF(COUNTIF(Campaigns!$A$7:$A$300,B719)&gt;0,"✓","⚠ add to Campaigns tab"))</f>
        <v/>
      </c>
      <c r="I719" s="84" t="str">
        <f aca="false">IF(C719="","",C719*IF(Settings!$B$22=Settings!$C$6,1,IF(Settings!$B$22="USD",1/INDEX(Settings!$B$29:$B$40,MONTH(A719)),INDEX(Settings!$B$29:$B$40,MONTH(A719)))))</f>
        <v/>
      </c>
    </row>
    <row r="720" customFormat="false" ht="15" hidden="false" customHeight="false" outlineLevel="0" collapsed="false">
      <c r="H720" s="0" t="str">
        <f aca="false">IF(B720="","",IF(COUNTIF(Campaigns!$A$7:$A$300,B720)&gt;0,"✓","⚠ add to Campaigns tab"))</f>
        <v/>
      </c>
      <c r="I720" s="84" t="str">
        <f aca="false">IF(C720="","",C720*IF(Settings!$B$22=Settings!$C$6,1,IF(Settings!$B$22="USD",1/INDEX(Settings!$B$29:$B$40,MONTH(A720)),INDEX(Settings!$B$29:$B$40,MONTH(A720)))))</f>
        <v/>
      </c>
    </row>
    <row r="721" customFormat="false" ht="15" hidden="false" customHeight="false" outlineLevel="0" collapsed="false">
      <c r="H721" s="0" t="str">
        <f aca="false">IF(B721="","",IF(COUNTIF(Campaigns!$A$7:$A$300,B721)&gt;0,"✓","⚠ add to Campaigns tab"))</f>
        <v/>
      </c>
      <c r="I721" s="84" t="str">
        <f aca="false">IF(C721="","",C721*IF(Settings!$B$22=Settings!$C$6,1,IF(Settings!$B$22="USD",1/INDEX(Settings!$B$29:$B$40,MONTH(A721)),INDEX(Settings!$B$29:$B$40,MONTH(A721)))))</f>
        <v/>
      </c>
    </row>
    <row r="722" customFormat="false" ht="15" hidden="false" customHeight="false" outlineLevel="0" collapsed="false">
      <c r="H722" s="0" t="str">
        <f aca="false">IF(B722="","",IF(COUNTIF(Campaigns!$A$7:$A$300,B722)&gt;0,"✓","⚠ add to Campaigns tab"))</f>
        <v/>
      </c>
      <c r="I722" s="84" t="str">
        <f aca="false">IF(C722="","",C722*IF(Settings!$B$22=Settings!$C$6,1,IF(Settings!$B$22="USD",1/INDEX(Settings!$B$29:$B$40,MONTH(A722)),INDEX(Settings!$B$29:$B$40,MONTH(A722)))))</f>
        <v/>
      </c>
    </row>
    <row r="723" customFormat="false" ht="15" hidden="false" customHeight="false" outlineLevel="0" collapsed="false">
      <c r="H723" s="0" t="str">
        <f aca="false">IF(B723="","",IF(COUNTIF(Campaigns!$A$7:$A$300,B723)&gt;0,"✓","⚠ add to Campaigns tab"))</f>
        <v/>
      </c>
      <c r="I723" s="84" t="str">
        <f aca="false">IF(C723="","",C723*IF(Settings!$B$22=Settings!$C$6,1,IF(Settings!$B$22="USD",1/INDEX(Settings!$B$29:$B$40,MONTH(A723)),INDEX(Settings!$B$29:$B$40,MONTH(A723)))))</f>
        <v/>
      </c>
    </row>
    <row r="724" customFormat="false" ht="15" hidden="false" customHeight="false" outlineLevel="0" collapsed="false">
      <c r="H724" s="0" t="str">
        <f aca="false">IF(B724="","",IF(COUNTIF(Campaigns!$A$7:$A$300,B724)&gt;0,"✓","⚠ add to Campaigns tab"))</f>
        <v/>
      </c>
      <c r="I724" s="84" t="str">
        <f aca="false">IF(C724="","",C724*IF(Settings!$B$22=Settings!$C$6,1,IF(Settings!$B$22="USD",1/INDEX(Settings!$B$29:$B$40,MONTH(A724)),INDEX(Settings!$B$29:$B$40,MONTH(A724)))))</f>
        <v/>
      </c>
    </row>
    <row r="725" customFormat="false" ht="15" hidden="false" customHeight="false" outlineLevel="0" collapsed="false">
      <c r="H725" s="0" t="str">
        <f aca="false">IF(B725="","",IF(COUNTIF(Campaigns!$A$7:$A$300,B725)&gt;0,"✓","⚠ add to Campaigns tab"))</f>
        <v/>
      </c>
      <c r="I725" s="84" t="str">
        <f aca="false">IF(C725="","",C725*IF(Settings!$B$22=Settings!$C$6,1,IF(Settings!$B$22="USD",1/INDEX(Settings!$B$29:$B$40,MONTH(A725)),INDEX(Settings!$B$29:$B$40,MONTH(A725)))))</f>
        <v/>
      </c>
    </row>
    <row r="726" customFormat="false" ht="15" hidden="false" customHeight="false" outlineLevel="0" collapsed="false">
      <c r="H726" s="0" t="str">
        <f aca="false">IF(B726="","",IF(COUNTIF(Campaigns!$A$7:$A$300,B726)&gt;0,"✓","⚠ add to Campaigns tab"))</f>
        <v/>
      </c>
      <c r="I726" s="84" t="str">
        <f aca="false">IF(C726="","",C726*IF(Settings!$B$22=Settings!$C$6,1,IF(Settings!$B$22="USD",1/INDEX(Settings!$B$29:$B$40,MONTH(A726)),INDEX(Settings!$B$29:$B$40,MONTH(A726)))))</f>
        <v/>
      </c>
    </row>
    <row r="727" customFormat="false" ht="15" hidden="false" customHeight="false" outlineLevel="0" collapsed="false">
      <c r="H727" s="0" t="str">
        <f aca="false">IF(B727="","",IF(COUNTIF(Campaigns!$A$7:$A$300,B727)&gt;0,"✓","⚠ add to Campaigns tab"))</f>
        <v/>
      </c>
      <c r="I727" s="84" t="str">
        <f aca="false">IF(C727="","",C727*IF(Settings!$B$22=Settings!$C$6,1,IF(Settings!$B$22="USD",1/INDEX(Settings!$B$29:$B$40,MONTH(A727)),INDEX(Settings!$B$29:$B$40,MONTH(A727)))))</f>
        <v/>
      </c>
    </row>
    <row r="728" customFormat="false" ht="15" hidden="false" customHeight="false" outlineLevel="0" collapsed="false">
      <c r="H728" s="0" t="str">
        <f aca="false">IF(B728="","",IF(COUNTIF(Campaigns!$A$7:$A$300,B728)&gt;0,"✓","⚠ add to Campaigns tab"))</f>
        <v/>
      </c>
      <c r="I728" s="84" t="str">
        <f aca="false">IF(C728="","",C728*IF(Settings!$B$22=Settings!$C$6,1,IF(Settings!$B$22="USD",1/INDEX(Settings!$B$29:$B$40,MONTH(A728)),INDEX(Settings!$B$29:$B$40,MONTH(A728)))))</f>
        <v/>
      </c>
    </row>
    <row r="729" customFormat="false" ht="15" hidden="false" customHeight="false" outlineLevel="0" collapsed="false">
      <c r="H729" s="0" t="str">
        <f aca="false">IF(B729="","",IF(COUNTIF(Campaigns!$A$7:$A$300,B729)&gt;0,"✓","⚠ add to Campaigns tab"))</f>
        <v/>
      </c>
      <c r="I729" s="84" t="str">
        <f aca="false">IF(C729="","",C729*IF(Settings!$B$22=Settings!$C$6,1,IF(Settings!$B$22="USD",1/INDEX(Settings!$B$29:$B$40,MONTH(A729)),INDEX(Settings!$B$29:$B$40,MONTH(A729)))))</f>
        <v/>
      </c>
    </row>
    <row r="730" customFormat="false" ht="15" hidden="false" customHeight="false" outlineLevel="0" collapsed="false">
      <c r="H730" s="0" t="str">
        <f aca="false">IF(B730="","",IF(COUNTIF(Campaigns!$A$7:$A$300,B730)&gt;0,"✓","⚠ add to Campaigns tab"))</f>
        <v/>
      </c>
      <c r="I730" s="84" t="str">
        <f aca="false">IF(C730="","",C730*IF(Settings!$B$22=Settings!$C$6,1,IF(Settings!$B$22="USD",1/INDEX(Settings!$B$29:$B$40,MONTH(A730)),INDEX(Settings!$B$29:$B$40,MONTH(A730)))))</f>
        <v/>
      </c>
    </row>
    <row r="731" customFormat="false" ht="15" hidden="false" customHeight="false" outlineLevel="0" collapsed="false">
      <c r="H731" s="0" t="str">
        <f aca="false">IF(B731="","",IF(COUNTIF(Campaigns!$A$7:$A$300,B731)&gt;0,"✓","⚠ add to Campaigns tab"))</f>
        <v/>
      </c>
      <c r="I731" s="84" t="str">
        <f aca="false">IF(C731="","",C731*IF(Settings!$B$22=Settings!$C$6,1,IF(Settings!$B$22="USD",1/INDEX(Settings!$B$29:$B$40,MONTH(A731)),INDEX(Settings!$B$29:$B$40,MONTH(A731)))))</f>
        <v/>
      </c>
    </row>
    <row r="732" customFormat="false" ht="15" hidden="false" customHeight="false" outlineLevel="0" collapsed="false">
      <c r="H732" s="0" t="str">
        <f aca="false">IF(B732="","",IF(COUNTIF(Campaigns!$A$7:$A$300,B732)&gt;0,"✓","⚠ add to Campaigns tab"))</f>
        <v/>
      </c>
      <c r="I732" s="84" t="str">
        <f aca="false">IF(C732="","",C732*IF(Settings!$B$22=Settings!$C$6,1,IF(Settings!$B$22="USD",1/INDEX(Settings!$B$29:$B$40,MONTH(A732)),INDEX(Settings!$B$29:$B$40,MONTH(A732)))))</f>
        <v/>
      </c>
    </row>
    <row r="733" customFormat="false" ht="15" hidden="false" customHeight="false" outlineLevel="0" collapsed="false">
      <c r="H733" s="0" t="str">
        <f aca="false">IF(B733="","",IF(COUNTIF(Campaigns!$A$7:$A$300,B733)&gt;0,"✓","⚠ add to Campaigns tab"))</f>
        <v/>
      </c>
      <c r="I733" s="84" t="str">
        <f aca="false">IF(C733="","",C733*IF(Settings!$B$22=Settings!$C$6,1,IF(Settings!$B$22="USD",1/INDEX(Settings!$B$29:$B$40,MONTH(A733)),INDEX(Settings!$B$29:$B$40,MONTH(A733)))))</f>
        <v/>
      </c>
    </row>
    <row r="734" customFormat="false" ht="15" hidden="false" customHeight="false" outlineLevel="0" collapsed="false">
      <c r="H734" s="0" t="str">
        <f aca="false">IF(B734="","",IF(COUNTIF(Campaigns!$A$7:$A$300,B734)&gt;0,"✓","⚠ add to Campaigns tab"))</f>
        <v/>
      </c>
      <c r="I734" s="84" t="str">
        <f aca="false">IF(C734="","",C734*IF(Settings!$B$22=Settings!$C$6,1,IF(Settings!$B$22="USD",1/INDEX(Settings!$B$29:$B$40,MONTH(A734)),INDEX(Settings!$B$29:$B$40,MONTH(A734)))))</f>
        <v/>
      </c>
    </row>
    <row r="735" customFormat="false" ht="15" hidden="false" customHeight="false" outlineLevel="0" collapsed="false">
      <c r="H735" s="0" t="str">
        <f aca="false">IF(B735="","",IF(COUNTIF(Campaigns!$A$7:$A$300,B735)&gt;0,"✓","⚠ add to Campaigns tab"))</f>
        <v/>
      </c>
      <c r="I735" s="84" t="str">
        <f aca="false">IF(C735="","",C735*IF(Settings!$B$22=Settings!$C$6,1,IF(Settings!$B$22="USD",1/INDEX(Settings!$B$29:$B$40,MONTH(A735)),INDEX(Settings!$B$29:$B$40,MONTH(A735)))))</f>
        <v/>
      </c>
    </row>
    <row r="736" customFormat="false" ht="15" hidden="false" customHeight="false" outlineLevel="0" collapsed="false">
      <c r="H736" s="0" t="str">
        <f aca="false">IF(B736="","",IF(COUNTIF(Campaigns!$A$7:$A$300,B736)&gt;0,"✓","⚠ add to Campaigns tab"))</f>
        <v/>
      </c>
      <c r="I736" s="84" t="str">
        <f aca="false">IF(C736="","",C736*IF(Settings!$B$22=Settings!$C$6,1,IF(Settings!$B$22="USD",1/INDEX(Settings!$B$29:$B$40,MONTH(A736)),INDEX(Settings!$B$29:$B$40,MONTH(A736)))))</f>
        <v/>
      </c>
    </row>
    <row r="737" customFormat="false" ht="15" hidden="false" customHeight="false" outlineLevel="0" collapsed="false">
      <c r="H737" s="0" t="str">
        <f aca="false">IF(B737="","",IF(COUNTIF(Campaigns!$A$7:$A$300,B737)&gt;0,"✓","⚠ add to Campaigns tab"))</f>
        <v/>
      </c>
      <c r="I737" s="84" t="str">
        <f aca="false">IF(C737="","",C737*IF(Settings!$B$22=Settings!$C$6,1,IF(Settings!$B$22="USD",1/INDEX(Settings!$B$29:$B$40,MONTH(A737)),INDEX(Settings!$B$29:$B$40,MONTH(A737)))))</f>
        <v/>
      </c>
    </row>
    <row r="738" customFormat="false" ht="15" hidden="false" customHeight="false" outlineLevel="0" collapsed="false">
      <c r="H738" s="0" t="str">
        <f aca="false">IF(B738="","",IF(COUNTIF(Campaigns!$A$7:$A$300,B738)&gt;0,"✓","⚠ add to Campaigns tab"))</f>
        <v/>
      </c>
      <c r="I738" s="84" t="str">
        <f aca="false">IF(C738="","",C738*IF(Settings!$B$22=Settings!$C$6,1,IF(Settings!$B$22="USD",1/INDEX(Settings!$B$29:$B$40,MONTH(A738)),INDEX(Settings!$B$29:$B$40,MONTH(A738)))))</f>
        <v/>
      </c>
    </row>
    <row r="739" customFormat="false" ht="15" hidden="false" customHeight="false" outlineLevel="0" collapsed="false">
      <c r="H739" s="0" t="str">
        <f aca="false">IF(B739="","",IF(COUNTIF(Campaigns!$A$7:$A$300,B739)&gt;0,"✓","⚠ add to Campaigns tab"))</f>
        <v/>
      </c>
      <c r="I739" s="84" t="str">
        <f aca="false">IF(C739="","",C739*IF(Settings!$B$22=Settings!$C$6,1,IF(Settings!$B$22="USD",1/INDEX(Settings!$B$29:$B$40,MONTH(A739)),INDEX(Settings!$B$29:$B$40,MONTH(A739)))))</f>
        <v/>
      </c>
    </row>
    <row r="740" customFormat="false" ht="15" hidden="false" customHeight="false" outlineLevel="0" collapsed="false">
      <c r="H740" s="0" t="str">
        <f aca="false">IF(B740="","",IF(COUNTIF(Campaigns!$A$7:$A$300,B740)&gt;0,"✓","⚠ add to Campaigns tab"))</f>
        <v/>
      </c>
      <c r="I740" s="84" t="str">
        <f aca="false">IF(C740="","",C740*IF(Settings!$B$22=Settings!$C$6,1,IF(Settings!$B$22="USD",1/INDEX(Settings!$B$29:$B$40,MONTH(A740)),INDEX(Settings!$B$29:$B$40,MONTH(A740)))))</f>
        <v/>
      </c>
    </row>
    <row r="741" customFormat="false" ht="15" hidden="false" customHeight="false" outlineLevel="0" collapsed="false">
      <c r="H741" s="0" t="str">
        <f aca="false">IF(B741="","",IF(COUNTIF(Campaigns!$A$7:$A$300,B741)&gt;0,"✓","⚠ add to Campaigns tab"))</f>
        <v/>
      </c>
      <c r="I741" s="84" t="str">
        <f aca="false">IF(C741="","",C741*IF(Settings!$B$22=Settings!$C$6,1,IF(Settings!$B$22="USD",1/INDEX(Settings!$B$29:$B$40,MONTH(A741)),INDEX(Settings!$B$29:$B$40,MONTH(A741)))))</f>
        <v/>
      </c>
    </row>
    <row r="742" customFormat="false" ht="15" hidden="false" customHeight="false" outlineLevel="0" collapsed="false">
      <c r="H742" s="0" t="str">
        <f aca="false">IF(B742="","",IF(COUNTIF(Campaigns!$A$7:$A$300,B742)&gt;0,"✓","⚠ add to Campaigns tab"))</f>
        <v/>
      </c>
      <c r="I742" s="84" t="str">
        <f aca="false">IF(C742="","",C742*IF(Settings!$B$22=Settings!$C$6,1,IF(Settings!$B$22="USD",1/INDEX(Settings!$B$29:$B$40,MONTH(A742)),INDEX(Settings!$B$29:$B$40,MONTH(A742)))))</f>
        <v/>
      </c>
    </row>
    <row r="743" customFormat="false" ht="15" hidden="false" customHeight="false" outlineLevel="0" collapsed="false">
      <c r="H743" s="0" t="str">
        <f aca="false">IF(B743="","",IF(COUNTIF(Campaigns!$A$7:$A$300,B743)&gt;0,"✓","⚠ add to Campaigns tab"))</f>
        <v/>
      </c>
      <c r="I743" s="84" t="str">
        <f aca="false">IF(C743="","",C743*IF(Settings!$B$22=Settings!$C$6,1,IF(Settings!$B$22="USD",1/INDEX(Settings!$B$29:$B$40,MONTH(A743)),INDEX(Settings!$B$29:$B$40,MONTH(A743)))))</f>
        <v/>
      </c>
    </row>
    <row r="744" customFormat="false" ht="15" hidden="false" customHeight="false" outlineLevel="0" collapsed="false">
      <c r="H744" s="0" t="str">
        <f aca="false">IF(B744="","",IF(COUNTIF(Campaigns!$A$7:$A$300,B744)&gt;0,"✓","⚠ add to Campaigns tab"))</f>
        <v/>
      </c>
      <c r="I744" s="84" t="str">
        <f aca="false">IF(C744="","",C744*IF(Settings!$B$22=Settings!$C$6,1,IF(Settings!$B$22="USD",1/INDEX(Settings!$B$29:$B$40,MONTH(A744)),INDEX(Settings!$B$29:$B$40,MONTH(A744)))))</f>
        <v/>
      </c>
    </row>
    <row r="745" customFormat="false" ht="15" hidden="false" customHeight="false" outlineLevel="0" collapsed="false">
      <c r="H745" s="0" t="str">
        <f aca="false">IF(B745="","",IF(COUNTIF(Campaigns!$A$7:$A$300,B745)&gt;0,"✓","⚠ add to Campaigns tab"))</f>
        <v/>
      </c>
      <c r="I745" s="84" t="str">
        <f aca="false">IF(C745="","",C745*IF(Settings!$B$22=Settings!$C$6,1,IF(Settings!$B$22="USD",1/INDEX(Settings!$B$29:$B$40,MONTH(A745)),INDEX(Settings!$B$29:$B$40,MONTH(A745)))))</f>
        <v/>
      </c>
    </row>
    <row r="746" customFormat="false" ht="15" hidden="false" customHeight="false" outlineLevel="0" collapsed="false">
      <c r="H746" s="0" t="str">
        <f aca="false">IF(B746="","",IF(COUNTIF(Campaigns!$A$7:$A$300,B746)&gt;0,"✓","⚠ add to Campaigns tab"))</f>
        <v/>
      </c>
      <c r="I746" s="84" t="str">
        <f aca="false">IF(C746="","",C746*IF(Settings!$B$22=Settings!$C$6,1,IF(Settings!$B$22="USD",1/INDEX(Settings!$B$29:$B$40,MONTH(A746)),INDEX(Settings!$B$29:$B$40,MONTH(A746)))))</f>
        <v/>
      </c>
    </row>
    <row r="747" customFormat="false" ht="15" hidden="false" customHeight="false" outlineLevel="0" collapsed="false">
      <c r="H747" s="0" t="str">
        <f aca="false">IF(B747="","",IF(COUNTIF(Campaigns!$A$7:$A$300,B747)&gt;0,"✓","⚠ add to Campaigns tab"))</f>
        <v/>
      </c>
      <c r="I747" s="84" t="str">
        <f aca="false">IF(C747="","",C747*IF(Settings!$B$22=Settings!$C$6,1,IF(Settings!$B$22="USD",1/INDEX(Settings!$B$29:$B$40,MONTH(A747)),INDEX(Settings!$B$29:$B$40,MONTH(A747)))))</f>
        <v/>
      </c>
    </row>
    <row r="748" customFormat="false" ht="15" hidden="false" customHeight="false" outlineLevel="0" collapsed="false">
      <c r="H748" s="0" t="str">
        <f aca="false">IF(B748="","",IF(COUNTIF(Campaigns!$A$7:$A$300,B748)&gt;0,"✓","⚠ add to Campaigns tab"))</f>
        <v/>
      </c>
      <c r="I748" s="84" t="str">
        <f aca="false">IF(C748="","",C748*IF(Settings!$B$22=Settings!$C$6,1,IF(Settings!$B$22="USD",1/INDEX(Settings!$B$29:$B$40,MONTH(A748)),INDEX(Settings!$B$29:$B$40,MONTH(A748)))))</f>
        <v/>
      </c>
    </row>
    <row r="749" customFormat="false" ht="15" hidden="false" customHeight="false" outlineLevel="0" collapsed="false">
      <c r="H749" s="0" t="str">
        <f aca="false">IF(B749="","",IF(COUNTIF(Campaigns!$A$7:$A$300,B749)&gt;0,"✓","⚠ add to Campaigns tab"))</f>
        <v/>
      </c>
      <c r="I749" s="84" t="str">
        <f aca="false">IF(C749="","",C749*IF(Settings!$B$22=Settings!$C$6,1,IF(Settings!$B$22="USD",1/INDEX(Settings!$B$29:$B$40,MONTH(A749)),INDEX(Settings!$B$29:$B$40,MONTH(A749)))))</f>
        <v/>
      </c>
    </row>
    <row r="750" customFormat="false" ht="15" hidden="false" customHeight="false" outlineLevel="0" collapsed="false">
      <c r="H750" s="0" t="str">
        <f aca="false">IF(B750="","",IF(COUNTIF(Campaigns!$A$7:$A$300,B750)&gt;0,"✓","⚠ add to Campaigns tab"))</f>
        <v/>
      </c>
      <c r="I750" s="84" t="str">
        <f aca="false">IF(C750="","",C750*IF(Settings!$B$22=Settings!$C$6,1,IF(Settings!$B$22="USD",1/INDEX(Settings!$B$29:$B$40,MONTH(A750)),INDEX(Settings!$B$29:$B$40,MONTH(A750)))))</f>
        <v/>
      </c>
    </row>
    <row r="751" customFormat="false" ht="15" hidden="false" customHeight="false" outlineLevel="0" collapsed="false">
      <c r="H751" s="0" t="str">
        <f aca="false">IF(B751="","",IF(COUNTIF(Campaigns!$A$7:$A$300,B751)&gt;0,"✓","⚠ add to Campaigns tab"))</f>
        <v/>
      </c>
      <c r="I751" s="84" t="str">
        <f aca="false">IF(C751="","",C751*IF(Settings!$B$22=Settings!$C$6,1,IF(Settings!$B$22="USD",1/INDEX(Settings!$B$29:$B$40,MONTH(A751)),INDEX(Settings!$B$29:$B$40,MONTH(A751)))))</f>
        <v/>
      </c>
    </row>
    <row r="752" customFormat="false" ht="15" hidden="false" customHeight="false" outlineLevel="0" collapsed="false">
      <c r="H752" s="0" t="str">
        <f aca="false">IF(B752="","",IF(COUNTIF(Campaigns!$A$7:$A$300,B752)&gt;0,"✓","⚠ add to Campaigns tab"))</f>
        <v/>
      </c>
      <c r="I752" s="84" t="str">
        <f aca="false">IF(C752="","",C752*IF(Settings!$B$22=Settings!$C$6,1,IF(Settings!$B$22="USD",1/INDEX(Settings!$B$29:$B$40,MONTH(A752)),INDEX(Settings!$B$29:$B$40,MONTH(A752)))))</f>
        <v/>
      </c>
    </row>
    <row r="753" customFormat="false" ht="15" hidden="false" customHeight="false" outlineLevel="0" collapsed="false">
      <c r="H753" s="0" t="str">
        <f aca="false">IF(B753="","",IF(COUNTIF(Campaigns!$A$7:$A$300,B753)&gt;0,"✓","⚠ add to Campaigns tab"))</f>
        <v/>
      </c>
      <c r="I753" s="84" t="str">
        <f aca="false">IF(C753="","",C753*IF(Settings!$B$22=Settings!$C$6,1,IF(Settings!$B$22="USD",1/INDEX(Settings!$B$29:$B$40,MONTH(A753)),INDEX(Settings!$B$29:$B$40,MONTH(A753)))))</f>
        <v/>
      </c>
    </row>
    <row r="754" customFormat="false" ht="15" hidden="false" customHeight="false" outlineLevel="0" collapsed="false">
      <c r="H754" s="0" t="str">
        <f aca="false">IF(B754="","",IF(COUNTIF(Campaigns!$A$7:$A$300,B754)&gt;0,"✓","⚠ add to Campaigns tab"))</f>
        <v/>
      </c>
      <c r="I754" s="84" t="str">
        <f aca="false">IF(C754="","",C754*IF(Settings!$B$22=Settings!$C$6,1,IF(Settings!$B$22="USD",1/INDEX(Settings!$B$29:$B$40,MONTH(A754)),INDEX(Settings!$B$29:$B$40,MONTH(A754)))))</f>
        <v/>
      </c>
    </row>
    <row r="755" customFormat="false" ht="15" hidden="false" customHeight="false" outlineLevel="0" collapsed="false">
      <c r="H755" s="0" t="str">
        <f aca="false">IF(B755="","",IF(COUNTIF(Campaigns!$A$7:$A$300,B755)&gt;0,"✓","⚠ add to Campaigns tab"))</f>
        <v/>
      </c>
      <c r="I755" s="84" t="str">
        <f aca="false">IF(C755="","",C755*IF(Settings!$B$22=Settings!$C$6,1,IF(Settings!$B$22="USD",1/INDEX(Settings!$B$29:$B$40,MONTH(A755)),INDEX(Settings!$B$29:$B$40,MONTH(A755)))))</f>
        <v/>
      </c>
    </row>
    <row r="756" customFormat="false" ht="15" hidden="false" customHeight="false" outlineLevel="0" collapsed="false">
      <c r="H756" s="0" t="str">
        <f aca="false">IF(B756="","",IF(COUNTIF(Campaigns!$A$7:$A$300,B756)&gt;0,"✓","⚠ add to Campaigns tab"))</f>
        <v/>
      </c>
      <c r="I756" s="84" t="str">
        <f aca="false">IF(C756="","",C756*IF(Settings!$B$22=Settings!$C$6,1,IF(Settings!$B$22="USD",1/INDEX(Settings!$B$29:$B$40,MONTH(A756)),INDEX(Settings!$B$29:$B$40,MONTH(A756)))))</f>
        <v/>
      </c>
    </row>
    <row r="757" customFormat="false" ht="15" hidden="false" customHeight="false" outlineLevel="0" collapsed="false">
      <c r="H757" s="0" t="str">
        <f aca="false">IF(B757="","",IF(COUNTIF(Campaigns!$A$7:$A$300,B757)&gt;0,"✓","⚠ add to Campaigns tab"))</f>
        <v/>
      </c>
      <c r="I757" s="84" t="str">
        <f aca="false">IF(C757="","",C757*IF(Settings!$B$22=Settings!$C$6,1,IF(Settings!$B$22="USD",1/INDEX(Settings!$B$29:$B$40,MONTH(A757)),INDEX(Settings!$B$29:$B$40,MONTH(A757)))))</f>
        <v/>
      </c>
    </row>
    <row r="758" customFormat="false" ht="15" hidden="false" customHeight="false" outlineLevel="0" collapsed="false">
      <c r="H758" s="0" t="str">
        <f aca="false">IF(B758="","",IF(COUNTIF(Campaigns!$A$7:$A$300,B758)&gt;0,"✓","⚠ add to Campaigns tab"))</f>
        <v/>
      </c>
      <c r="I758" s="84" t="str">
        <f aca="false">IF(C758="","",C758*IF(Settings!$B$22=Settings!$C$6,1,IF(Settings!$B$22="USD",1/INDEX(Settings!$B$29:$B$40,MONTH(A758)),INDEX(Settings!$B$29:$B$40,MONTH(A758)))))</f>
        <v/>
      </c>
    </row>
    <row r="759" customFormat="false" ht="15" hidden="false" customHeight="false" outlineLevel="0" collapsed="false">
      <c r="H759" s="0" t="str">
        <f aca="false">IF(B759="","",IF(COUNTIF(Campaigns!$A$7:$A$300,B759)&gt;0,"✓","⚠ add to Campaigns tab"))</f>
        <v/>
      </c>
      <c r="I759" s="84" t="str">
        <f aca="false">IF(C759="","",C759*IF(Settings!$B$22=Settings!$C$6,1,IF(Settings!$B$22="USD",1/INDEX(Settings!$B$29:$B$40,MONTH(A759)),INDEX(Settings!$B$29:$B$40,MONTH(A759)))))</f>
        <v/>
      </c>
    </row>
    <row r="760" customFormat="false" ht="15" hidden="false" customHeight="false" outlineLevel="0" collapsed="false">
      <c r="H760" s="0" t="str">
        <f aca="false">IF(B760="","",IF(COUNTIF(Campaigns!$A$7:$A$300,B760)&gt;0,"✓","⚠ add to Campaigns tab"))</f>
        <v/>
      </c>
      <c r="I760" s="84" t="str">
        <f aca="false">IF(C760="","",C760*IF(Settings!$B$22=Settings!$C$6,1,IF(Settings!$B$22="USD",1/INDEX(Settings!$B$29:$B$40,MONTH(A760)),INDEX(Settings!$B$29:$B$40,MONTH(A760)))))</f>
        <v/>
      </c>
    </row>
    <row r="761" customFormat="false" ht="15" hidden="false" customHeight="false" outlineLevel="0" collapsed="false">
      <c r="H761" s="0" t="str">
        <f aca="false">IF(B761="","",IF(COUNTIF(Campaigns!$A$7:$A$300,B761)&gt;0,"✓","⚠ add to Campaigns tab"))</f>
        <v/>
      </c>
      <c r="I761" s="84" t="str">
        <f aca="false">IF(C761="","",C761*IF(Settings!$B$22=Settings!$C$6,1,IF(Settings!$B$22="USD",1/INDEX(Settings!$B$29:$B$40,MONTH(A761)),INDEX(Settings!$B$29:$B$40,MONTH(A761)))))</f>
        <v/>
      </c>
    </row>
    <row r="762" customFormat="false" ht="15" hidden="false" customHeight="false" outlineLevel="0" collapsed="false">
      <c r="H762" s="0" t="str">
        <f aca="false">IF(B762="","",IF(COUNTIF(Campaigns!$A$7:$A$300,B762)&gt;0,"✓","⚠ add to Campaigns tab"))</f>
        <v/>
      </c>
      <c r="I762" s="84" t="str">
        <f aca="false">IF(C762="","",C762*IF(Settings!$B$22=Settings!$C$6,1,IF(Settings!$B$22="USD",1/INDEX(Settings!$B$29:$B$40,MONTH(A762)),INDEX(Settings!$B$29:$B$40,MONTH(A762)))))</f>
        <v/>
      </c>
    </row>
    <row r="763" customFormat="false" ht="15" hidden="false" customHeight="false" outlineLevel="0" collapsed="false">
      <c r="H763" s="0" t="str">
        <f aca="false">IF(B763="","",IF(COUNTIF(Campaigns!$A$7:$A$300,B763)&gt;0,"✓","⚠ add to Campaigns tab"))</f>
        <v/>
      </c>
      <c r="I763" s="84" t="str">
        <f aca="false">IF(C763="","",C763*IF(Settings!$B$22=Settings!$C$6,1,IF(Settings!$B$22="USD",1/INDEX(Settings!$B$29:$B$40,MONTH(A763)),INDEX(Settings!$B$29:$B$40,MONTH(A763)))))</f>
        <v/>
      </c>
    </row>
    <row r="764" customFormat="false" ht="15" hidden="false" customHeight="false" outlineLevel="0" collapsed="false">
      <c r="H764" s="0" t="str">
        <f aca="false">IF(B764="","",IF(COUNTIF(Campaigns!$A$7:$A$300,B764)&gt;0,"✓","⚠ add to Campaigns tab"))</f>
        <v/>
      </c>
      <c r="I764" s="84" t="str">
        <f aca="false">IF(C764="","",C764*IF(Settings!$B$22=Settings!$C$6,1,IF(Settings!$B$22="USD",1/INDEX(Settings!$B$29:$B$40,MONTH(A764)),INDEX(Settings!$B$29:$B$40,MONTH(A764)))))</f>
        <v/>
      </c>
    </row>
    <row r="765" customFormat="false" ht="15" hidden="false" customHeight="false" outlineLevel="0" collapsed="false">
      <c r="H765" s="0" t="str">
        <f aca="false">IF(B765="","",IF(COUNTIF(Campaigns!$A$7:$A$300,B765)&gt;0,"✓","⚠ add to Campaigns tab"))</f>
        <v/>
      </c>
      <c r="I765" s="84" t="str">
        <f aca="false">IF(C765="","",C765*IF(Settings!$B$22=Settings!$C$6,1,IF(Settings!$B$22="USD",1/INDEX(Settings!$B$29:$B$40,MONTH(A765)),INDEX(Settings!$B$29:$B$40,MONTH(A765)))))</f>
        <v/>
      </c>
    </row>
    <row r="766" customFormat="false" ht="15" hidden="false" customHeight="false" outlineLevel="0" collapsed="false">
      <c r="H766" s="0" t="str">
        <f aca="false">IF(B766="","",IF(COUNTIF(Campaigns!$A$7:$A$300,B766)&gt;0,"✓","⚠ add to Campaigns tab"))</f>
        <v/>
      </c>
      <c r="I766" s="84" t="str">
        <f aca="false">IF(C766="","",C766*IF(Settings!$B$22=Settings!$C$6,1,IF(Settings!$B$22="USD",1/INDEX(Settings!$B$29:$B$40,MONTH(A766)),INDEX(Settings!$B$29:$B$40,MONTH(A766)))))</f>
        <v/>
      </c>
    </row>
    <row r="767" customFormat="false" ht="15" hidden="false" customHeight="false" outlineLevel="0" collapsed="false">
      <c r="H767" s="0" t="str">
        <f aca="false">IF(B767="","",IF(COUNTIF(Campaigns!$A$7:$A$300,B767)&gt;0,"✓","⚠ add to Campaigns tab"))</f>
        <v/>
      </c>
      <c r="I767" s="84" t="str">
        <f aca="false">IF(C767="","",C767*IF(Settings!$B$22=Settings!$C$6,1,IF(Settings!$B$22="USD",1/INDEX(Settings!$B$29:$B$40,MONTH(A767)),INDEX(Settings!$B$29:$B$40,MONTH(A767)))))</f>
        <v/>
      </c>
    </row>
    <row r="768" customFormat="false" ht="15" hidden="false" customHeight="false" outlineLevel="0" collapsed="false">
      <c r="H768" s="0" t="str">
        <f aca="false">IF(B768="","",IF(COUNTIF(Campaigns!$A$7:$A$300,B768)&gt;0,"✓","⚠ add to Campaigns tab"))</f>
        <v/>
      </c>
      <c r="I768" s="84" t="str">
        <f aca="false">IF(C768="","",C768*IF(Settings!$B$22=Settings!$C$6,1,IF(Settings!$B$22="USD",1/INDEX(Settings!$B$29:$B$40,MONTH(A768)),INDEX(Settings!$B$29:$B$40,MONTH(A768)))))</f>
        <v/>
      </c>
    </row>
    <row r="769" customFormat="false" ht="15" hidden="false" customHeight="false" outlineLevel="0" collapsed="false">
      <c r="H769" s="0" t="str">
        <f aca="false">IF(B769="","",IF(COUNTIF(Campaigns!$A$7:$A$300,B769)&gt;0,"✓","⚠ add to Campaigns tab"))</f>
        <v/>
      </c>
      <c r="I769" s="84" t="str">
        <f aca="false">IF(C769="","",C769*IF(Settings!$B$22=Settings!$C$6,1,IF(Settings!$B$22="USD",1/INDEX(Settings!$B$29:$B$40,MONTH(A769)),INDEX(Settings!$B$29:$B$40,MONTH(A769)))))</f>
        <v/>
      </c>
    </row>
    <row r="770" customFormat="false" ht="15" hidden="false" customHeight="false" outlineLevel="0" collapsed="false">
      <c r="H770" s="0" t="str">
        <f aca="false">IF(B770="","",IF(COUNTIF(Campaigns!$A$7:$A$300,B770)&gt;0,"✓","⚠ add to Campaigns tab"))</f>
        <v/>
      </c>
      <c r="I770" s="84" t="str">
        <f aca="false">IF(C770="","",C770*IF(Settings!$B$22=Settings!$C$6,1,IF(Settings!$B$22="USD",1/INDEX(Settings!$B$29:$B$40,MONTH(A770)),INDEX(Settings!$B$29:$B$40,MONTH(A770)))))</f>
        <v/>
      </c>
    </row>
    <row r="771" customFormat="false" ht="15" hidden="false" customHeight="false" outlineLevel="0" collapsed="false">
      <c r="H771" s="0" t="str">
        <f aca="false">IF(B771="","",IF(COUNTIF(Campaigns!$A$7:$A$300,B771)&gt;0,"✓","⚠ add to Campaigns tab"))</f>
        <v/>
      </c>
      <c r="I771" s="84" t="str">
        <f aca="false">IF(C771="","",C771*IF(Settings!$B$22=Settings!$C$6,1,IF(Settings!$B$22="USD",1/INDEX(Settings!$B$29:$B$40,MONTH(A771)),INDEX(Settings!$B$29:$B$40,MONTH(A771)))))</f>
        <v/>
      </c>
    </row>
    <row r="772" customFormat="false" ht="15" hidden="false" customHeight="false" outlineLevel="0" collapsed="false">
      <c r="H772" s="0" t="str">
        <f aca="false">IF(B772="","",IF(COUNTIF(Campaigns!$A$7:$A$300,B772)&gt;0,"✓","⚠ add to Campaigns tab"))</f>
        <v/>
      </c>
      <c r="I772" s="84" t="str">
        <f aca="false">IF(C772="","",C772*IF(Settings!$B$22=Settings!$C$6,1,IF(Settings!$B$22="USD",1/INDEX(Settings!$B$29:$B$40,MONTH(A772)),INDEX(Settings!$B$29:$B$40,MONTH(A772)))))</f>
        <v/>
      </c>
    </row>
    <row r="773" customFormat="false" ht="15" hidden="false" customHeight="false" outlineLevel="0" collapsed="false">
      <c r="H773" s="0" t="str">
        <f aca="false">IF(B773="","",IF(COUNTIF(Campaigns!$A$7:$A$300,B773)&gt;0,"✓","⚠ add to Campaigns tab"))</f>
        <v/>
      </c>
      <c r="I773" s="84" t="str">
        <f aca="false">IF(C773="","",C773*IF(Settings!$B$22=Settings!$C$6,1,IF(Settings!$B$22="USD",1/INDEX(Settings!$B$29:$B$40,MONTH(A773)),INDEX(Settings!$B$29:$B$40,MONTH(A773)))))</f>
        <v/>
      </c>
    </row>
    <row r="774" customFormat="false" ht="15" hidden="false" customHeight="false" outlineLevel="0" collapsed="false">
      <c r="H774" s="0" t="str">
        <f aca="false">IF(B774="","",IF(COUNTIF(Campaigns!$A$7:$A$300,B774)&gt;0,"✓","⚠ add to Campaigns tab"))</f>
        <v/>
      </c>
      <c r="I774" s="84" t="str">
        <f aca="false">IF(C774="","",C774*IF(Settings!$B$22=Settings!$C$6,1,IF(Settings!$B$22="USD",1/INDEX(Settings!$B$29:$B$40,MONTH(A774)),INDEX(Settings!$B$29:$B$40,MONTH(A774)))))</f>
        <v/>
      </c>
    </row>
    <row r="775" customFormat="false" ht="15" hidden="false" customHeight="false" outlineLevel="0" collapsed="false">
      <c r="H775" s="0" t="str">
        <f aca="false">IF(B775="","",IF(COUNTIF(Campaigns!$A$7:$A$300,B775)&gt;0,"✓","⚠ add to Campaigns tab"))</f>
        <v/>
      </c>
      <c r="I775" s="84" t="str">
        <f aca="false">IF(C775="","",C775*IF(Settings!$B$22=Settings!$C$6,1,IF(Settings!$B$22="USD",1/INDEX(Settings!$B$29:$B$40,MONTH(A775)),INDEX(Settings!$B$29:$B$40,MONTH(A775)))))</f>
        <v/>
      </c>
    </row>
    <row r="776" customFormat="false" ht="15" hidden="false" customHeight="false" outlineLevel="0" collapsed="false">
      <c r="H776" s="0" t="str">
        <f aca="false">IF(B776="","",IF(COUNTIF(Campaigns!$A$7:$A$300,B776)&gt;0,"✓","⚠ add to Campaigns tab"))</f>
        <v/>
      </c>
      <c r="I776" s="84" t="str">
        <f aca="false">IF(C776="","",C776*IF(Settings!$B$22=Settings!$C$6,1,IF(Settings!$B$22="USD",1/INDEX(Settings!$B$29:$B$40,MONTH(A776)),INDEX(Settings!$B$29:$B$40,MONTH(A776)))))</f>
        <v/>
      </c>
    </row>
    <row r="777" customFormat="false" ht="15" hidden="false" customHeight="false" outlineLevel="0" collapsed="false">
      <c r="H777" s="0" t="str">
        <f aca="false">IF(B777="","",IF(COUNTIF(Campaigns!$A$7:$A$300,B777)&gt;0,"✓","⚠ add to Campaigns tab"))</f>
        <v/>
      </c>
      <c r="I777" s="84" t="str">
        <f aca="false">IF(C777="","",C777*IF(Settings!$B$22=Settings!$C$6,1,IF(Settings!$B$22="USD",1/INDEX(Settings!$B$29:$B$40,MONTH(A777)),INDEX(Settings!$B$29:$B$40,MONTH(A777)))))</f>
        <v/>
      </c>
    </row>
    <row r="778" customFormat="false" ht="15" hidden="false" customHeight="false" outlineLevel="0" collapsed="false">
      <c r="H778" s="0" t="str">
        <f aca="false">IF(B778="","",IF(COUNTIF(Campaigns!$A$7:$A$300,B778)&gt;0,"✓","⚠ add to Campaigns tab"))</f>
        <v/>
      </c>
      <c r="I778" s="84" t="str">
        <f aca="false">IF(C778="","",C778*IF(Settings!$B$22=Settings!$C$6,1,IF(Settings!$B$22="USD",1/INDEX(Settings!$B$29:$B$40,MONTH(A778)),INDEX(Settings!$B$29:$B$40,MONTH(A778)))))</f>
        <v/>
      </c>
    </row>
    <row r="779" customFormat="false" ht="15" hidden="false" customHeight="false" outlineLevel="0" collapsed="false">
      <c r="H779" s="0" t="str">
        <f aca="false">IF(B779="","",IF(COUNTIF(Campaigns!$A$7:$A$300,B779)&gt;0,"✓","⚠ add to Campaigns tab"))</f>
        <v/>
      </c>
      <c r="I779" s="84" t="str">
        <f aca="false">IF(C779="","",C779*IF(Settings!$B$22=Settings!$C$6,1,IF(Settings!$B$22="USD",1/INDEX(Settings!$B$29:$B$40,MONTH(A779)),INDEX(Settings!$B$29:$B$40,MONTH(A779)))))</f>
        <v/>
      </c>
    </row>
    <row r="780" customFormat="false" ht="15" hidden="false" customHeight="false" outlineLevel="0" collapsed="false">
      <c r="H780" s="0" t="str">
        <f aca="false">IF(B780="","",IF(COUNTIF(Campaigns!$A$7:$A$300,B780)&gt;0,"✓","⚠ add to Campaigns tab"))</f>
        <v/>
      </c>
      <c r="I780" s="84" t="str">
        <f aca="false">IF(C780="","",C780*IF(Settings!$B$22=Settings!$C$6,1,IF(Settings!$B$22="USD",1/INDEX(Settings!$B$29:$B$40,MONTH(A780)),INDEX(Settings!$B$29:$B$40,MONTH(A780)))))</f>
        <v/>
      </c>
    </row>
    <row r="781" customFormat="false" ht="15" hidden="false" customHeight="false" outlineLevel="0" collapsed="false">
      <c r="H781" s="0" t="str">
        <f aca="false">IF(B781="","",IF(COUNTIF(Campaigns!$A$7:$A$300,B781)&gt;0,"✓","⚠ add to Campaigns tab"))</f>
        <v/>
      </c>
      <c r="I781" s="84" t="str">
        <f aca="false">IF(C781="","",C781*IF(Settings!$B$22=Settings!$C$6,1,IF(Settings!$B$22="USD",1/INDEX(Settings!$B$29:$B$40,MONTH(A781)),INDEX(Settings!$B$29:$B$40,MONTH(A781)))))</f>
        <v/>
      </c>
    </row>
    <row r="782" customFormat="false" ht="15" hidden="false" customHeight="false" outlineLevel="0" collapsed="false">
      <c r="H782" s="0" t="str">
        <f aca="false">IF(B782="","",IF(COUNTIF(Campaigns!$A$7:$A$300,B782)&gt;0,"✓","⚠ add to Campaigns tab"))</f>
        <v/>
      </c>
      <c r="I782" s="84" t="str">
        <f aca="false">IF(C782="","",C782*IF(Settings!$B$22=Settings!$C$6,1,IF(Settings!$B$22="USD",1/INDEX(Settings!$B$29:$B$40,MONTH(A782)),INDEX(Settings!$B$29:$B$40,MONTH(A782)))))</f>
        <v/>
      </c>
    </row>
    <row r="783" customFormat="false" ht="15" hidden="false" customHeight="false" outlineLevel="0" collapsed="false">
      <c r="H783" s="0" t="str">
        <f aca="false">IF(B783="","",IF(COUNTIF(Campaigns!$A$7:$A$300,B783)&gt;0,"✓","⚠ add to Campaigns tab"))</f>
        <v/>
      </c>
      <c r="I783" s="84" t="str">
        <f aca="false">IF(C783="","",C783*IF(Settings!$B$22=Settings!$C$6,1,IF(Settings!$B$22="USD",1/INDEX(Settings!$B$29:$B$40,MONTH(A783)),INDEX(Settings!$B$29:$B$40,MONTH(A783)))))</f>
        <v/>
      </c>
    </row>
    <row r="784" customFormat="false" ht="15" hidden="false" customHeight="false" outlineLevel="0" collapsed="false">
      <c r="H784" s="0" t="str">
        <f aca="false">IF(B784="","",IF(COUNTIF(Campaigns!$A$7:$A$300,B784)&gt;0,"✓","⚠ add to Campaigns tab"))</f>
        <v/>
      </c>
      <c r="I784" s="84" t="str">
        <f aca="false">IF(C784="","",C784*IF(Settings!$B$22=Settings!$C$6,1,IF(Settings!$B$22="USD",1/INDEX(Settings!$B$29:$B$40,MONTH(A784)),INDEX(Settings!$B$29:$B$40,MONTH(A784)))))</f>
        <v/>
      </c>
    </row>
    <row r="785" customFormat="false" ht="15" hidden="false" customHeight="false" outlineLevel="0" collapsed="false">
      <c r="H785" s="0" t="str">
        <f aca="false">IF(B785="","",IF(COUNTIF(Campaigns!$A$7:$A$300,B785)&gt;0,"✓","⚠ add to Campaigns tab"))</f>
        <v/>
      </c>
      <c r="I785" s="84" t="str">
        <f aca="false">IF(C785="","",C785*IF(Settings!$B$22=Settings!$C$6,1,IF(Settings!$B$22="USD",1/INDEX(Settings!$B$29:$B$40,MONTH(A785)),INDEX(Settings!$B$29:$B$40,MONTH(A785)))))</f>
        <v/>
      </c>
    </row>
    <row r="786" customFormat="false" ht="15" hidden="false" customHeight="false" outlineLevel="0" collapsed="false">
      <c r="H786" s="0" t="str">
        <f aca="false">IF(B786="","",IF(COUNTIF(Campaigns!$A$7:$A$300,B786)&gt;0,"✓","⚠ add to Campaigns tab"))</f>
        <v/>
      </c>
      <c r="I786" s="84" t="str">
        <f aca="false">IF(C786="","",C786*IF(Settings!$B$22=Settings!$C$6,1,IF(Settings!$B$22="USD",1/INDEX(Settings!$B$29:$B$40,MONTH(A786)),INDEX(Settings!$B$29:$B$40,MONTH(A786)))))</f>
        <v/>
      </c>
    </row>
    <row r="787" customFormat="false" ht="15" hidden="false" customHeight="false" outlineLevel="0" collapsed="false">
      <c r="H787" s="0" t="str">
        <f aca="false">IF(B787="","",IF(COUNTIF(Campaigns!$A$7:$A$300,B787)&gt;0,"✓","⚠ add to Campaigns tab"))</f>
        <v/>
      </c>
      <c r="I787" s="84" t="str">
        <f aca="false">IF(C787="","",C787*IF(Settings!$B$22=Settings!$C$6,1,IF(Settings!$B$22="USD",1/INDEX(Settings!$B$29:$B$40,MONTH(A787)),INDEX(Settings!$B$29:$B$40,MONTH(A787)))))</f>
        <v/>
      </c>
    </row>
    <row r="788" customFormat="false" ht="15" hidden="false" customHeight="false" outlineLevel="0" collapsed="false">
      <c r="H788" s="0" t="str">
        <f aca="false">IF(B788="","",IF(COUNTIF(Campaigns!$A$7:$A$300,B788)&gt;0,"✓","⚠ add to Campaigns tab"))</f>
        <v/>
      </c>
      <c r="I788" s="84" t="str">
        <f aca="false">IF(C788="","",C788*IF(Settings!$B$22=Settings!$C$6,1,IF(Settings!$B$22="USD",1/INDEX(Settings!$B$29:$B$40,MONTH(A788)),INDEX(Settings!$B$29:$B$40,MONTH(A788)))))</f>
        <v/>
      </c>
    </row>
    <row r="789" customFormat="false" ht="15" hidden="false" customHeight="false" outlineLevel="0" collapsed="false">
      <c r="H789" s="0" t="str">
        <f aca="false">IF(B789="","",IF(COUNTIF(Campaigns!$A$7:$A$300,B789)&gt;0,"✓","⚠ add to Campaigns tab"))</f>
        <v/>
      </c>
      <c r="I789" s="84" t="str">
        <f aca="false">IF(C789="","",C789*IF(Settings!$B$22=Settings!$C$6,1,IF(Settings!$B$22="USD",1/INDEX(Settings!$B$29:$B$40,MONTH(A789)),INDEX(Settings!$B$29:$B$40,MONTH(A789)))))</f>
        <v/>
      </c>
    </row>
    <row r="790" customFormat="false" ht="15" hidden="false" customHeight="false" outlineLevel="0" collapsed="false">
      <c r="H790" s="0" t="str">
        <f aca="false">IF(B790="","",IF(COUNTIF(Campaigns!$A$7:$A$300,B790)&gt;0,"✓","⚠ add to Campaigns tab"))</f>
        <v/>
      </c>
      <c r="I790" s="84" t="str">
        <f aca="false">IF(C790="","",C790*IF(Settings!$B$22=Settings!$C$6,1,IF(Settings!$B$22="USD",1/INDEX(Settings!$B$29:$B$40,MONTH(A790)),INDEX(Settings!$B$29:$B$40,MONTH(A790)))))</f>
        <v/>
      </c>
    </row>
    <row r="791" customFormat="false" ht="15" hidden="false" customHeight="false" outlineLevel="0" collapsed="false">
      <c r="H791" s="0" t="str">
        <f aca="false">IF(B791="","",IF(COUNTIF(Campaigns!$A$7:$A$300,B791)&gt;0,"✓","⚠ add to Campaigns tab"))</f>
        <v/>
      </c>
      <c r="I791" s="84" t="str">
        <f aca="false">IF(C791="","",C791*IF(Settings!$B$22=Settings!$C$6,1,IF(Settings!$B$22="USD",1/INDEX(Settings!$B$29:$B$40,MONTH(A791)),INDEX(Settings!$B$29:$B$40,MONTH(A791)))))</f>
        <v/>
      </c>
    </row>
    <row r="792" customFormat="false" ht="15" hidden="false" customHeight="false" outlineLevel="0" collapsed="false">
      <c r="H792" s="0" t="str">
        <f aca="false">IF(B792="","",IF(COUNTIF(Campaigns!$A$7:$A$300,B792)&gt;0,"✓","⚠ add to Campaigns tab"))</f>
        <v/>
      </c>
      <c r="I792" s="84" t="str">
        <f aca="false">IF(C792="","",C792*IF(Settings!$B$22=Settings!$C$6,1,IF(Settings!$B$22="USD",1/INDEX(Settings!$B$29:$B$40,MONTH(A792)),INDEX(Settings!$B$29:$B$40,MONTH(A792)))))</f>
        <v/>
      </c>
    </row>
    <row r="793" customFormat="false" ht="15" hidden="false" customHeight="false" outlineLevel="0" collapsed="false">
      <c r="H793" s="0" t="str">
        <f aca="false">IF(B793="","",IF(COUNTIF(Campaigns!$A$7:$A$300,B793)&gt;0,"✓","⚠ add to Campaigns tab"))</f>
        <v/>
      </c>
      <c r="I793" s="84" t="str">
        <f aca="false">IF(C793="","",C793*IF(Settings!$B$22=Settings!$C$6,1,IF(Settings!$B$22="USD",1/INDEX(Settings!$B$29:$B$40,MONTH(A793)),INDEX(Settings!$B$29:$B$40,MONTH(A793)))))</f>
        <v/>
      </c>
    </row>
    <row r="794" customFormat="false" ht="15" hidden="false" customHeight="false" outlineLevel="0" collapsed="false">
      <c r="H794" s="0" t="str">
        <f aca="false">IF(B794="","",IF(COUNTIF(Campaigns!$A$7:$A$300,B794)&gt;0,"✓","⚠ add to Campaigns tab"))</f>
        <v/>
      </c>
      <c r="I794" s="84" t="str">
        <f aca="false">IF(C794="","",C794*IF(Settings!$B$22=Settings!$C$6,1,IF(Settings!$B$22="USD",1/INDEX(Settings!$B$29:$B$40,MONTH(A794)),INDEX(Settings!$B$29:$B$40,MONTH(A794)))))</f>
        <v/>
      </c>
    </row>
    <row r="795" customFormat="false" ht="15" hidden="false" customHeight="false" outlineLevel="0" collapsed="false">
      <c r="H795" s="0" t="str">
        <f aca="false">IF(B795="","",IF(COUNTIF(Campaigns!$A$7:$A$300,B795)&gt;0,"✓","⚠ add to Campaigns tab"))</f>
        <v/>
      </c>
      <c r="I795" s="84" t="str">
        <f aca="false">IF(C795="","",C795*IF(Settings!$B$22=Settings!$C$6,1,IF(Settings!$B$22="USD",1/INDEX(Settings!$B$29:$B$40,MONTH(A795)),INDEX(Settings!$B$29:$B$40,MONTH(A795)))))</f>
        <v/>
      </c>
    </row>
    <row r="796" customFormat="false" ht="15" hidden="false" customHeight="false" outlineLevel="0" collapsed="false">
      <c r="H796" s="0" t="str">
        <f aca="false">IF(B796="","",IF(COUNTIF(Campaigns!$A$7:$A$300,B796)&gt;0,"✓","⚠ add to Campaigns tab"))</f>
        <v/>
      </c>
      <c r="I796" s="84" t="str">
        <f aca="false">IF(C796="","",C796*IF(Settings!$B$22=Settings!$C$6,1,IF(Settings!$B$22="USD",1/INDEX(Settings!$B$29:$B$40,MONTH(A796)),INDEX(Settings!$B$29:$B$40,MONTH(A796)))))</f>
        <v/>
      </c>
    </row>
    <row r="797" customFormat="false" ht="15" hidden="false" customHeight="false" outlineLevel="0" collapsed="false">
      <c r="H797" s="0" t="str">
        <f aca="false">IF(B797="","",IF(COUNTIF(Campaigns!$A$7:$A$300,B797)&gt;0,"✓","⚠ add to Campaigns tab"))</f>
        <v/>
      </c>
      <c r="I797" s="84" t="str">
        <f aca="false">IF(C797="","",C797*IF(Settings!$B$22=Settings!$C$6,1,IF(Settings!$B$22="USD",1/INDEX(Settings!$B$29:$B$40,MONTH(A797)),INDEX(Settings!$B$29:$B$40,MONTH(A797)))))</f>
        <v/>
      </c>
    </row>
    <row r="798" customFormat="false" ht="15" hidden="false" customHeight="false" outlineLevel="0" collapsed="false">
      <c r="H798" s="0" t="str">
        <f aca="false">IF(B798="","",IF(COUNTIF(Campaigns!$A$7:$A$300,B798)&gt;0,"✓","⚠ add to Campaigns tab"))</f>
        <v/>
      </c>
      <c r="I798" s="84" t="str">
        <f aca="false">IF(C798="","",C798*IF(Settings!$B$22=Settings!$C$6,1,IF(Settings!$B$22="USD",1/INDEX(Settings!$B$29:$B$40,MONTH(A798)),INDEX(Settings!$B$29:$B$40,MONTH(A798)))))</f>
        <v/>
      </c>
    </row>
    <row r="799" customFormat="false" ht="15" hidden="false" customHeight="false" outlineLevel="0" collapsed="false">
      <c r="H799" s="0" t="str">
        <f aca="false">IF(B799="","",IF(COUNTIF(Campaigns!$A$7:$A$300,B799)&gt;0,"✓","⚠ add to Campaigns tab"))</f>
        <v/>
      </c>
      <c r="I799" s="84" t="str">
        <f aca="false">IF(C799="","",C799*IF(Settings!$B$22=Settings!$C$6,1,IF(Settings!$B$22="USD",1/INDEX(Settings!$B$29:$B$40,MONTH(A799)),INDEX(Settings!$B$29:$B$40,MONTH(A799)))))</f>
        <v/>
      </c>
    </row>
    <row r="800" customFormat="false" ht="15" hidden="false" customHeight="false" outlineLevel="0" collapsed="false">
      <c r="H800" s="0" t="str">
        <f aca="false">IF(B800="","",IF(COUNTIF(Campaigns!$A$7:$A$300,B800)&gt;0,"✓","⚠ add to Campaigns tab"))</f>
        <v/>
      </c>
      <c r="I800" s="84" t="str">
        <f aca="false">IF(C800="","",C800*IF(Settings!$B$22=Settings!$C$6,1,IF(Settings!$B$22="USD",1/INDEX(Settings!$B$29:$B$40,MONTH(A800)),INDEX(Settings!$B$29:$B$40,MONTH(A800)))))</f>
        <v/>
      </c>
    </row>
    <row r="801" customFormat="false" ht="15" hidden="false" customHeight="false" outlineLevel="0" collapsed="false">
      <c r="H801" s="0" t="str">
        <f aca="false">IF(B801="","",IF(COUNTIF(Campaigns!$A$7:$A$300,B801)&gt;0,"✓","⚠ add to Campaigns tab"))</f>
        <v/>
      </c>
      <c r="I801" s="84" t="str">
        <f aca="false">IF(C801="","",C801*IF(Settings!$B$22=Settings!$C$6,1,IF(Settings!$B$22="USD",1/INDEX(Settings!$B$29:$B$40,MONTH(A801)),INDEX(Settings!$B$29:$B$40,MONTH(A801)))))</f>
        <v/>
      </c>
    </row>
    <row r="802" customFormat="false" ht="15" hidden="false" customHeight="false" outlineLevel="0" collapsed="false">
      <c r="H802" s="0" t="str">
        <f aca="false">IF(B802="","",IF(COUNTIF(Campaigns!$A$7:$A$300,B802)&gt;0,"✓","⚠ add to Campaigns tab"))</f>
        <v/>
      </c>
      <c r="I802" s="84" t="str">
        <f aca="false">IF(C802="","",C802*IF(Settings!$B$22=Settings!$C$6,1,IF(Settings!$B$22="USD",1/INDEX(Settings!$B$29:$B$40,MONTH(A802)),INDEX(Settings!$B$29:$B$40,MONTH(A802)))))</f>
        <v/>
      </c>
    </row>
    <row r="803" customFormat="false" ht="15" hidden="false" customHeight="false" outlineLevel="0" collapsed="false">
      <c r="H803" s="0" t="str">
        <f aca="false">IF(B803="","",IF(COUNTIF(Campaigns!$A$7:$A$300,B803)&gt;0,"✓","⚠ add to Campaigns tab"))</f>
        <v/>
      </c>
      <c r="I803" s="84" t="str">
        <f aca="false">IF(C803="","",C803*IF(Settings!$B$22=Settings!$C$6,1,IF(Settings!$B$22="USD",1/INDEX(Settings!$B$29:$B$40,MONTH(A803)),INDEX(Settings!$B$29:$B$40,MONTH(A803)))))</f>
        <v/>
      </c>
    </row>
    <row r="804" customFormat="false" ht="15" hidden="false" customHeight="false" outlineLevel="0" collapsed="false">
      <c r="H804" s="0" t="str">
        <f aca="false">IF(B804="","",IF(COUNTIF(Campaigns!$A$7:$A$300,B804)&gt;0,"✓","⚠ add to Campaigns tab"))</f>
        <v/>
      </c>
      <c r="I804" s="84" t="str">
        <f aca="false">IF(C804="","",C804*IF(Settings!$B$22=Settings!$C$6,1,IF(Settings!$B$22="USD",1/INDEX(Settings!$B$29:$B$40,MONTH(A804)),INDEX(Settings!$B$29:$B$40,MONTH(A804)))))</f>
        <v/>
      </c>
    </row>
    <row r="805" customFormat="false" ht="15" hidden="false" customHeight="false" outlineLevel="0" collapsed="false">
      <c r="H805" s="0" t="str">
        <f aca="false">IF(B805="","",IF(COUNTIF(Campaigns!$A$7:$A$300,B805)&gt;0,"✓","⚠ add to Campaigns tab"))</f>
        <v/>
      </c>
      <c r="I805" s="84" t="str">
        <f aca="false">IF(C805="","",C805*IF(Settings!$B$22=Settings!$C$6,1,IF(Settings!$B$22="USD",1/INDEX(Settings!$B$29:$B$40,MONTH(A805)),INDEX(Settings!$B$29:$B$40,MONTH(A805)))))</f>
        <v/>
      </c>
    </row>
    <row r="806" customFormat="false" ht="15" hidden="false" customHeight="false" outlineLevel="0" collapsed="false">
      <c r="H806" s="0" t="str">
        <f aca="false">IF(B806="","",IF(COUNTIF(Campaigns!$A$7:$A$300,B806)&gt;0,"✓","⚠ add to Campaigns tab"))</f>
        <v/>
      </c>
      <c r="I806" s="84" t="str">
        <f aca="false">IF(C806="","",C806*IF(Settings!$B$22=Settings!$C$6,1,IF(Settings!$B$22="USD",1/INDEX(Settings!$B$29:$B$40,MONTH(A806)),INDEX(Settings!$B$29:$B$40,MONTH(A806)))))</f>
        <v/>
      </c>
    </row>
    <row r="807" customFormat="false" ht="15" hidden="false" customHeight="false" outlineLevel="0" collapsed="false">
      <c r="H807" s="0" t="str">
        <f aca="false">IF(B807="","",IF(COUNTIF(Campaigns!$A$7:$A$300,B807)&gt;0,"✓","⚠ add to Campaigns tab"))</f>
        <v/>
      </c>
      <c r="I807" s="84" t="str">
        <f aca="false">IF(C807="","",C807*IF(Settings!$B$22=Settings!$C$6,1,IF(Settings!$B$22="USD",1/INDEX(Settings!$B$29:$B$40,MONTH(A807)),INDEX(Settings!$B$29:$B$40,MONTH(A807)))))</f>
        <v/>
      </c>
    </row>
    <row r="808" customFormat="false" ht="15" hidden="false" customHeight="false" outlineLevel="0" collapsed="false">
      <c r="H808" s="0" t="str">
        <f aca="false">IF(B808="","",IF(COUNTIF(Campaigns!$A$7:$A$300,B808)&gt;0,"✓","⚠ add to Campaigns tab"))</f>
        <v/>
      </c>
      <c r="I808" s="84" t="str">
        <f aca="false">IF(C808="","",C808*IF(Settings!$B$22=Settings!$C$6,1,IF(Settings!$B$22="USD",1/INDEX(Settings!$B$29:$B$40,MONTH(A808)),INDEX(Settings!$B$29:$B$40,MONTH(A808)))))</f>
        <v/>
      </c>
    </row>
    <row r="809" customFormat="false" ht="15" hidden="false" customHeight="false" outlineLevel="0" collapsed="false">
      <c r="H809" s="0" t="str">
        <f aca="false">IF(B809="","",IF(COUNTIF(Campaigns!$A$7:$A$300,B809)&gt;0,"✓","⚠ add to Campaigns tab"))</f>
        <v/>
      </c>
      <c r="I809" s="84" t="str">
        <f aca="false">IF(C809="","",C809*IF(Settings!$B$22=Settings!$C$6,1,IF(Settings!$B$22="USD",1/INDEX(Settings!$B$29:$B$40,MONTH(A809)),INDEX(Settings!$B$29:$B$40,MONTH(A809)))))</f>
        <v/>
      </c>
    </row>
    <row r="810" customFormat="false" ht="15" hidden="false" customHeight="false" outlineLevel="0" collapsed="false">
      <c r="H810" s="0" t="str">
        <f aca="false">IF(B810="","",IF(COUNTIF(Campaigns!$A$7:$A$300,B810)&gt;0,"✓","⚠ add to Campaigns tab"))</f>
        <v/>
      </c>
      <c r="I810" s="84" t="str">
        <f aca="false">IF(C810="","",C810*IF(Settings!$B$22=Settings!$C$6,1,IF(Settings!$B$22="USD",1/INDEX(Settings!$B$29:$B$40,MONTH(A810)),INDEX(Settings!$B$29:$B$40,MONTH(A810)))))</f>
        <v/>
      </c>
    </row>
    <row r="811" customFormat="false" ht="15" hidden="false" customHeight="false" outlineLevel="0" collapsed="false">
      <c r="H811" s="0" t="str">
        <f aca="false">IF(B811="","",IF(COUNTIF(Campaigns!$A$7:$A$300,B811)&gt;0,"✓","⚠ add to Campaigns tab"))</f>
        <v/>
      </c>
      <c r="I811" s="84" t="str">
        <f aca="false">IF(C811="","",C811*IF(Settings!$B$22=Settings!$C$6,1,IF(Settings!$B$22="USD",1/INDEX(Settings!$B$29:$B$40,MONTH(A811)),INDEX(Settings!$B$29:$B$40,MONTH(A811)))))</f>
        <v/>
      </c>
    </row>
    <row r="812" customFormat="false" ht="15" hidden="false" customHeight="false" outlineLevel="0" collapsed="false">
      <c r="H812" s="0" t="str">
        <f aca="false">IF(B812="","",IF(COUNTIF(Campaigns!$A$7:$A$300,B812)&gt;0,"✓","⚠ add to Campaigns tab"))</f>
        <v/>
      </c>
      <c r="I812" s="84" t="str">
        <f aca="false">IF(C812="","",C812*IF(Settings!$B$22=Settings!$C$6,1,IF(Settings!$B$22="USD",1/INDEX(Settings!$B$29:$B$40,MONTH(A812)),INDEX(Settings!$B$29:$B$40,MONTH(A812)))))</f>
        <v/>
      </c>
    </row>
    <row r="813" customFormat="false" ht="15" hidden="false" customHeight="false" outlineLevel="0" collapsed="false">
      <c r="H813" s="0" t="str">
        <f aca="false">IF(B813="","",IF(COUNTIF(Campaigns!$A$7:$A$300,B813)&gt;0,"✓","⚠ add to Campaigns tab"))</f>
        <v/>
      </c>
      <c r="I813" s="84" t="str">
        <f aca="false">IF(C813="","",C813*IF(Settings!$B$22=Settings!$C$6,1,IF(Settings!$B$22="USD",1/INDEX(Settings!$B$29:$B$40,MONTH(A813)),INDEX(Settings!$B$29:$B$40,MONTH(A813)))))</f>
        <v/>
      </c>
    </row>
    <row r="814" customFormat="false" ht="15" hidden="false" customHeight="false" outlineLevel="0" collapsed="false">
      <c r="H814" s="0" t="str">
        <f aca="false">IF(B814="","",IF(COUNTIF(Campaigns!$A$7:$A$300,B814)&gt;0,"✓","⚠ add to Campaigns tab"))</f>
        <v/>
      </c>
      <c r="I814" s="84" t="str">
        <f aca="false">IF(C814="","",C814*IF(Settings!$B$22=Settings!$C$6,1,IF(Settings!$B$22="USD",1/INDEX(Settings!$B$29:$B$40,MONTH(A814)),INDEX(Settings!$B$29:$B$40,MONTH(A814)))))</f>
        <v/>
      </c>
    </row>
    <row r="815" customFormat="false" ht="15" hidden="false" customHeight="false" outlineLevel="0" collapsed="false">
      <c r="H815" s="0" t="str">
        <f aca="false">IF(B815="","",IF(COUNTIF(Campaigns!$A$7:$A$300,B815)&gt;0,"✓","⚠ add to Campaigns tab"))</f>
        <v/>
      </c>
      <c r="I815" s="84" t="str">
        <f aca="false">IF(C815="","",C815*IF(Settings!$B$22=Settings!$C$6,1,IF(Settings!$B$22="USD",1/INDEX(Settings!$B$29:$B$40,MONTH(A815)),INDEX(Settings!$B$29:$B$40,MONTH(A815)))))</f>
        <v/>
      </c>
    </row>
    <row r="816" customFormat="false" ht="15" hidden="false" customHeight="false" outlineLevel="0" collapsed="false">
      <c r="H816" s="0" t="str">
        <f aca="false">IF(B816="","",IF(COUNTIF(Campaigns!$A$7:$A$300,B816)&gt;0,"✓","⚠ add to Campaigns tab"))</f>
        <v/>
      </c>
      <c r="I816" s="84" t="str">
        <f aca="false">IF(C816="","",C816*IF(Settings!$B$22=Settings!$C$6,1,IF(Settings!$B$22="USD",1/INDEX(Settings!$B$29:$B$40,MONTH(A816)),INDEX(Settings!$B$29:$B$40,MONTH(A816)))))</f>
        <v/>
      </c>
    </row>
    <row r="817" customFormat="false" ht="15" hidden="false" customHeight="false" outlineLevel="0" collapsed="false">
      <c r="H817" s="0" t="str">
        <f aca="false">IF(B817="","",IF(COUNTIF(Campaigns!$A$7:$A$300,B817)&gt;0,"✓","⚠ add to Campaigns tab"))</f>
        <v/>
      </c>
      <c r="I817" s="84" t="str">
        <f aca="false">IF(C817="","",C817*IF(Settings!$B$22=Settings!$C$6,1,IF(Settings!$B$22="USD",1/INDEX(Settings!$B$29:$B$40,MONTH(A817)),INDEX(Settings!$B$29:$B$40,MONTH(A817)))))</f>
        <v/>
      </c>
    </row>
    <row r="818" customFormat="false" ht="15" hidden="false" customHeight="false" outlineLevel="0" collapsed="false">
      <c r="H818" s="0" t="str">
        <f aca="false">IF(B818="","",IF(COUNTIF(Campaigns!$A$7:$A$300,B818)&gt;0,"✓","⚠ add to Campaigns tab"))</f>
        <v/>
      </c>
      <c r="I818" s="84" t="str">
        <f aca="false">IF(C818="","",C818*IF(Settings!$B$22=Settings!$C$6,1,IF(Settings!$B$22="USD",1/INDEX(Settings!$B$29:$B$40,MONTH(A818)),INDEX(Settings!$B$29:$B$40,MONTH(A818)))))</f>
        <v/>
      </c>
    </row>
    <row r="819" customFormat="false" ht="15" hidden="false" customHeight="false" outlineLevel="0" collapsed="false">
      <c r="H819" s="0" t="str">
        <f aca="false">IF(B819="","",IF(COUNTIF(Campaigns!$A$7:$A$300,B819)&gt;0,"✓","⚠ add to Campaigns tab"))</f>
        <v/>
      </c>
      <c r="I819" s="84" t="str">
        <f aca="false">IF(C819="","",C819*IF(Settings!$B$22=Settings!$C$6,1,IF(Settings!$B$22="USD",1/INDEX(Settings!$B$29:$B$40,MONTH(A819)),INDEX(Settings!$B$29:$B$40,MONTH(A819)))))</f>
        <v/>
      </c>
    </row>
    <row r="820" customFormat="false" ht="15" hidden="false" customHeight="false" outlineLevel="0" collapsed="false">
      <c r="H820" s="0" t="str">
        <f aca="false">IF(B820="","",IF(COUNTIF(Campaigns!$A$7:$A$300,B820)&gt;0,"✓","⚠ add to Campaigns tab"))</f>
        <v/>
      </c>
      <c r="I820" s="84" t="str">
        <f aca="false">IF(C820="","",C820*IF(Settings!$B$22=Settings!$C$6,1,IF(Settings!$B$22="USD",1/INDEX(Settings!$B$29:$B$40,MONTH(A820)),INDEX(Settings!$B$29:$B$40,MONTH(A820)))))</f>
        <v/>
      </c>
    </row>
    <row r="821" customFormat="false" ht="15" hidden="false" customHeight="false" outlineLevel="0" collapsed="false">
      <c r="H821" s="0" t="str">
        <f aca="false">IF(B821="","",IF(COUNTIF(Campaigns!$A$7:$A$300,B821)&gt;0,"✓","⚠ add to Campaigns tab"))</f>
        <v/>
      </c>
      <c r="I821" s="84" t="str">
        <f aca="false">IF(C821="","",C821*IF(Settings!$B$22=Settings!$C$6,1,IF(Settings!$B$22="USD",1/INDEX(Settings!$B$29:$B$40,MONTH(A821)),INDEX(Settings!$B$29:$B$40,MONTH(A821)))))</f>
        <v/>
      </c>
    </row>
    <row r="822" customFormat="false" ht="15" hidden="false" customHeight="false" outlineLevel="0" collapsed="false">
      <c r="H822" s="0" t="str">
        <f aca="false">IF(B822="","",IF(COUNTIF(Campaigns!$A$7:$A$300,B822)&gt;0,"✓","⚠ add to Campaigns tab"))</f>
        <v/>
      </c>
      <c r="I822" s="84" t="str">
        <f aca="false">IF(C822="","",C822*IF(Settings!$B$22=Settings!$C$6,1,IF(Settings!$B$22="USD",1/INDEX(Settings!$B$29:$B$40,MONTH(A822)),INDEX(Settings!$B$29:$B$40,MONTH(A822)))))</f>
        <v/>
      </c>
    </row>
    <row r="823" customFormat="false" ht="15" hidden="false" customHeight="false" outlineLevel="0" collapsed="false">
      <c r="H823" s="0" t="str">
        <f aca="false">IF(B823="","",IF(COUNTIF(Campaigns!$A$7:$A$300,B823)&gt;0,"✓","⚠ add to Campaigns tab"))</f>
        <v/>
      </c>
      <c r="I823" s="84" t="str">
        <f aca="false">IF(C823="","",C823*IF(Settings!$B$22=Settings!$C$6,1,IF(Settings!$B$22="USD",1/INDEX(Settings!$B$29:$B$40,MONTH(A823)),INDEX(Settings!$B$29:$B$40,MONTH(A823)))))</f>
        <v/>
      </c>
    </row>
    <row r="824" customFormat="false" ht="15" hidden="false" customHeight="false" outlineLevel="0" collapsed="false">
      <c r="H824" s="0" t="str">
        <f aca="false">IF(B824="","",IF(COUNTIF(Campaigns!$A$7:$A$300,B824)&gt;0,"✓","⚠ add to Campaigns tab"))</f>
        <v/>
      </c>
      <c r="I824" s="84" t="str">
        <f aca="false">IF(C824="","",C824*IF(Settings!$B$22=Settings!$C$6,1,IF(Settings!$B$22="USD",1/INDEX(Settings!$B$29:$B$40,MONTH(A824)),INDEX(Settings!$B$29:$B$40,MONTH(A824)))))</f>
        <v/>
      </c>
    </row>
    <row r="825" customFormat="false" ht="15" hidden="false" customHeight="false" outlineLevel="0" collapsed="false">
      <c r="H825" s="0" t="str">
        <f aca="false">IF(B825="","",IF(COUNTIF(Campaigns!$A$7:$A$300,B825)&gt;0,"✓","⚠ add to Campaigns tab"))</f>
        <v/>
      </c>
      <c r="I825" s="84" t="str">
        <f aca="false">IF(C825="","",C825*IF(Settings!$B$22=Settings!$C$6,1,IF(Settings!$B$22="USD",1/INDEX(Settings!$B$29:$B$40,MONTH(A825)),INDEX(Settings!$B$29:$B$40,MONTH(A825)))))</f>
        <v/>
      </c>
    </row>
    <row r="826" customFormat="false" ht="15" hidden="false" customHeight="false" outlineLevel="0" collapsed="false">
      <c r="H826" s="0" t="str">
        <f aca="false">IF(B826="","",IF(COUNTIF(Campaigns!$A$7:$A$300,B826)&gt;0,"✓","⚠ add to Campaigns tab"))</f>
        <v/>
      </c>
      <c r="I826" s="84" t="str">
        <f aca="false">IF(C826="","",C826*IF(Settings!$B$22=Settings!$C$6,1,IF(Settings!$B$22="USD",1/INDEX(Settings!$B$29:$B$40,MONTH(A826)),INDEX(Settings!$B$29:$B$40,MONTH(A826)))))</f>
        <v/>
      </c>
    </row>
    <row r="827" customFormat="false" ht="15" hidden="false" customHeight="false" outlineLevel="0" collapsed="false">
      <c r="H827" s="0" t="str">
        <f aca="false">IF(B827="","",IF(COUNTIF(Campaigns!$A$7:$A$300,B827)&gt;0,"✓","⚠ add to Campaigns tab"))</f>
        <v/>
      </c>
      <c r="I827" s="84" t="str">
        <f aca="false">IF(C827="","",C827*IF(Settings!$B$22=Settings!$C$6,1,IF(Settings!$B$22="USD",1/INDEX(Settings!$B$29:$B$40,MONTH(A827)),INDEX(Settings!$B$29:$B$40,MONTH(A827)))))</f>
        <v/>
      </c>
    </row>
    <row r="828" customFormat="false" ht="15" hidden="false" customHeight="false" outlineLevel="0" collapsed="false">
      <c r="H828" s="0" t="str">
        <f aca="false">IF(B828="","",IF(COUNTIF(Campaigns!$A$7:$A$300,B828)&gt;0,"✓","⚠ add to Campaigns tab"))</f>
        <v/>
      </c>
      <c r="I828" s="84" t="str">
        <f aca="false">IF(C828="","",C828*IF(Settings!$B$22=Settings!$C$6,1,IF(Settings!$B$22="USD",1/INDEX(Settings!$B$29:$B$40,MONTH(A828)),INDEX(Settings!$B$29:$B$40,MONTH(A828)))))</f>
        <v/>
      </c>
    </row>
    <row r="829" customFormat="false" ht="15" hidden="false" customHeight="false" outlineLevel="0" collapsed="false">
      <c r="H829" s="0" t="str">
        <f aca="false">IF(B829="","",IF(COUNTIF(Campaigns!$A$7:$A$300,B829)&gt;0,"✓","⚠ add to Campaigns tab"))</f>
        <v/>
      </c>
      <c r="I829" s="84" t="str">
        <f aca="false">IF(C829="","",C829*IF(Settings!$B$22=Settings!$C$6,1,IF(Settings!$B$22="USD",1/INDEX(Settings!$B$29:$B$40,MONTH(A829)),INDEX(Settings!$B$29:$B$40,MONTH(A829)))))</f>
        <v/>
      </c>
    </row>
    <row r="830" customFormat="false" ht="15" hidden="false" customHeight="false" outlineLevel="0" collapsed="false">
      <c r="H830" s="0" t="str">
        <f aca="false">IF(B830="","",IF(COUNTIF(Campaigns!$A$7:$A$300,B830)&gt;0,"✓","⚠ add to Campaigns tab"))</f>
        <v/>
      </c>
      <c r="I830" s="84" t="str">
        <f aca="false">IF(C830="","",C830*IF(Settings!$B$22=Settings!$C$6,1,IF(Settings!$B$22="USD",1/INDEX(Settings!$B$29:$B$40,MONTH(A830)),INDEX(Settings!$B$29:$B$40,MONTH(A830)))))</f>
        <v/>
      </c>
    </row>
    <row r="831" customFormat="false" ht="15" hidden="false" customHeight="false" outlineLevel="0" collapsed="false">
      <c r="H831" s="0" t="str">
        <f aca="false">IF(B831="","",IF(COUNTIF(Campaigns!$A$7:$A$300,B831)&gt;0,"✓","⚠ add to Campaigns tab"))</f>
        <v/>
      </c>
      <c r="I831" s="84" t="str">
        <f aca="false">IF(C831="","",C831*IF(Settings!$B$22=Settings!$C$6,1,IF(Settings!$B$22="USD",1/INDEX(Settings!$B$29:$B$40,MONTH(A831)),INDEX(Settings!$B$29:$B$40,MONTH(A831)))))</f>
        <v/>
      </c>
    </row>
    <row r="832" customFormat="false" ht="15" hidden="false" customHeight="false" outlineLevel="0" collapsed="false">
      <c r="H832" s="0" t="str">
        <f aca="false">IF(B832="","",IF(COUNTIF(Campaigns!$A$7:$A$300,B832)&gt;0,"✓","⚠ add to Campaigns tab"))</f>
        <v/>
      </c>
      <c r="I832" s="84" t="str">
        <f aca="false">IF(C832="","",C832*IF(Settings!$B$22=Settings!$C$6,1,IF(Settings!$B$22="USD",1/INDEX(Settings!$B$29:$B$40,MONTH(A832)),INDEX(Settings!$B$29:$B$40,MONTH(A832)))))</f>
        <v/>
      </c>
    </row>
    <row r="833" customFormat="false" ht="15" hidden="false" customHeight="false" outlineLevel="0" collapsed="false">
      <c r="H833" s="0" t="str">
        <f aca="false">IF(B833="","",IF(COUNTIF(Campaigns!$A$7:$A$300,B833)&gt;0,"✓","⚠ add to Campaigns tab"))</f>
        <v/>
      </c>
      <c r="I833" s="84" t="str">
        <f aca="false">IF(C833="","",C833*IF(Settings!$B$22=Settings!$C$6,1,IF(Settings!$B$22="USD",1/INDEX(Settings!$B$29:$B$40,MONTH(A833)),INDEX(Settings!$B$29:$B$40,MONTH(A833)))))</f>
        <v/>
      </c>
    </row>
    <row r="834" customFormat="false" ht="15" hidden="false" customHeight="false" outlineLevel="0" collapsed="false">
      <c r="H834" s="0" t="str">
        <f aca="false">IF(B834="","",IF(COUNTIF(Campaigns!$A$7:$A$300,B834)&gt;0,"✓","⚠ add to Campaigns tab"))</f>
        <v/>
      </c>
      <c r="I834" s="84" t="str">
        <f aca="false">IF(C834="","",C834*IF(Settings!$B$22=Settings!$C$6,1,IF(Settings!$B$22="USD",1/INDEX(Settings!$B$29:$B$40,MONTH(A834)),INDEX(Settings!$B$29:$B$40,MONTH(A834)))))</f>
        <v/>
      </c>
    </row>
    <row r="835" customFormat="false" ht="15" hidden="false" customHeight="false" outlineLevel="0" collapsed="false">
      <c r="H835" s="0" t="str">
        <f aca="false">IF(B835="","",IF(COUNTIF(Campaigns!$A$7:$A$300,B835)&gt;0,"✓","⚠ add to Campaigns tab"))</f>
        <v/>
      </c>
      <c r="I835" s="84" t="str">
        <f aca="false">IF(C835="","",C835*IF(Settings!$B$22=Settings!$C$6,1,IF(Settings!$B$22="USD",1/INDEX(Settings!$B$29:$B$40,MONTH(A835)),INDEX(Settings!$B$29:$B$40,MONTH(A835)))))</f>
        <v/>
      </c>
    </row>
    <row r="836" customFormat="false" ht="15" hidden="false" customHeight="false" outlineLevel="0" collapsed="false">
      <c r="H836" s="0" t="str">
        <f aca="false">IF(B836="","",IF(COUNTIF(Campaigns!$A$7:$A$300,B836)&gt;0,"✓","⚠ add to Campaigns tab"))</f>
        <v/>
      </c>
      <c r="I836" s="84" t="str">
        <f aca="false">IF(C836="","",C836*IF(Settings!$B$22=Settings!$C$6,1,IF(Settings!$B$22="USD",1/INDEX(Settings!$B$29:$B$40,MONTH(A836)),INDEX(Settings!$B$29:$B$40,MONTH(A836)))))</f>
        <v/>
      </c>
    </row>
    <row r="837" customFormat="false" ht="15" hidden="false" customHeight="false" outlineLevel="0" collapsed="false">
      <c r="H837" s="0" t="str">
        <f aca="false">IF(B837="","",IF(COUNTIF(Campaigns!$A$7:$A$300,B837)&gt;0,"✓","⚠ add to Campaigns tab"))</f>
        <v/>
      </c>
      <c r="I837" s="84" t="str">
        <f aca="false">IF(C837="","",C837*IF(Settings!$B$22=Settings!$C$6,1,IF(Settings!$B$22="USD",1/INDEX(Settings!$B$29:$B$40,MONTH(A837)),INDEX(Settings!$B$29:$B$40,MONTH(A837)))))</f>
        <v/>
      </c>
    </row>
    <row r="838" customFormat="false" ht="15" hidden="false" customHeight="false" outlineLevel="0" collapsed="false">
      <c r="H838" s="0" t="str">
        <f aca="false">IF(B838="","",IF(COUNTIF(Campaigns!$A$7:$A$300,B838)&gt;0,"✓","⚠ add to Campaigns tab"))</f>
        <v/>
      </c>
      <c r="I838" s="84" t="str">
        <f aca="false">IF(C838="","",C838*IF(Settings!$B$22=Settings!$C$6,1,IF(Settings!$B$22="USD",1/INDEX(Settings!$B$29:$B$40,MONTH(A838)),INDEX(Settings!$B$29:$B$40,MONTH(A838)))))</f>
        <v/>
      </c>
    </row>
    <row r="839" customFormat="false" ht="15" hidden="false" customHeight="false" outlineLevel="0" collapsed="false">
      <c r="H839" s="0" t="str">
        <f aca="false">IF(B839="","",IF(COUNTIF(Campaigns!$A$7:$A$300,B839)&gt;0,"✓","⚠ add to Campaigns tab"))</f>
        <v/>
      </c>
      <c r="I839" s="84" t="str">
        <f aca="false">IF(C839="","",C839*IF(Settings!$B$22=Settings!$C$6,1,IF(Settings!$B$22="USD",1/INDEX(Settings!$B$29:$B$40,MONTH(A839)),INDEX(Settings!$B$29:$B$40,MONTH(A839)))))</f>
        <v/>
      </c>
    </row>
    <row r="840" customFormat="false" ht="15" hidden="false" customHeight="false" outlineLevel="0" collapsed="false">
      <c r="H840" s="0" t="str">
        <f aca="false">IF(B840="","",IF(COUNTIF(Campaigns!$A$7:$A$300,B840)&gt;0,"✓","⚠ add to Campaigns tab"))</f>
        <v/>
      </c>
      <c r="I840" s="84" t="str">
        <f aca="false">IF(C840="","",C840*IF(Settings!$B$22=Settings!$C$6,1,IF(Settings!$B$22="USD",1/INDEX(Settings!$B$29:$B$40,MONTH(A840)),INDEX(Settings!$B$29:$B$40,MONTH(A840)))))</f>
        <v/>
      </c>
    </row>
    <row r="841" customFormat="false" ht="15" hidden="false" customHeight="false" outlineLevel="0" collapsed="false">
      <c r="H841" s="0" t="str">
        <f aca="false">IF(B841="","",IF(COUNTIF(Campaigns!$A$7:$A$300,B841)&gt;0,"✓","⚠ add to Campaigns tab"))</f>
        <v/>
      </c>
      <c r="I841" s="84" t="str">
        <f aca="false">IF(C841="","",C841*IF(Settings!$B$22=Settings!$C$6,1,IF(Settings!$B$22="USD",1/INDEX(Settings!$B$29:$B$40,MONTH(A841)),INDEX(Settings!$B$29:$B$40,MONTH(A841)))))</f>
        <v/>
      </c>
    </row>
    <row r="842" customFormat="false" ht="15" hidden="false" customHeight="false" outlineLevel="0" collapsed="false">
      <c r="H842" s="0" t="str">
        <f aca="false">IF(B842="","",IF(COUNTIF(Campaigns!$A$7:$A$300,B842)&gt;0,"✓","⚠ add to Campaigns tab"))</f>
        <v/>
      </c>
      <c r="I842" s="84" t="str">
        <f aca="false">IF(C842="","",C842*IF(Settings!$B$22=Settings!$C$6,1,IF(Settings!$B$22="USD",1/INDEX(Settings!$B$29:$B$40,MONTH(A842)),INDEX(Settings!$B$29:$B$40,MONTH(A842)))))</f>
        <v/>
      </c>
    </row>
    <row r="843" customFormat="false" ht="15" hidden="false" customHeight="false" outlineLevel="0" collapsed="false">
      <c r="H843" s="0" t="str">
        <f aca="false">IF(B843="","",IF(COUNTIF(Campaigns!$A$7:$A$300,B843)&gt;0,"✓","⚠ add to Campaigns tab"))</f>
        <v/>
      </c>
      <c r="I843" s="84" t="str">
        <f aca="false">IF(C843="","",C843*IF(Settings!$B$22=Settings!$C$6,1,IF(Settings!$B$22="USD",1/INDEX(Settings!$B$29:$B$40,MONTH(A843)),INDEX(Settings!$B$29:$B$40,MONTH(A843)))))</f>
        <v/>
      </c>
    </row>
    <row r="844" customFormat="false" ht="15" hidden="false" customHeight="false" outlineLevel="0" collapsed="false">
      <c r="H844" s="0" t="str">
        <f aca="false">IF(B844="","",IF(COUNTIF(Campaigns!$A$7:$A$300,B844)&gt;0,"✓","⚠ add to Campaigns tab"))</f>
        <v/>
      </c>
      <c r="I844" s="84" t="str">
        <f aca="false">IF(C844="","",C844*IF(Settings!$B$22=Settings!$C$6,1,IF(Settings!$B$22="USD",1/INDEX(Settings!$B$29:$B$40,MONTH(A844)),INDEX(Settings!$B$29:$B$40,MONTH(A844)))))</f>
        <v/>
      </c>
    </row>
    <row r="845" customFormat="false" ht="15" hidden="false" customHeight="false" outlineLevel="0" collapsed="false">
      <c r="H845" s="0" t="str">
        <f aca="false">IF(B845="","",IF(COUNTIF(Campaigns!$A$7:$A$300,B845)&gt;0,"✓","⚠ add to Campaigns tab"))</f>
        <v/>
      </c>
      <c r="I845" s="84" t="str">
        <f aca="false">IF(C845="","",C845*IF(Settings!$B$22=Settings!$C$6,1,IF(Settings!$B$22="USD",1/INDEX(Settings!$B$29:$B$40,MONTH(A845)),INDEX(Settings!$B$29:$B$40,MONTH(A845)))))</f>
        <v/>
      </c>
    </row>
    <row r="846" customFormat="false" ht="15" hidden="false" customHeight="false" outlineLevel="0" collapsed="false">
      <c r="H846" s="0" t="str">
        <f aca="false">IF(B846="","",IF(COUNTIF(Campaigns!$A$7:$A$300,B846)&gt;0,"✓","⚠ add to Campaigns tab"))</f>
        <v/>
      </c>
      <c r="I846" s="84" t="str">
        <f aca="false">IF(C846="","",C846*IF(Settings!$B$22=Settings!$C$6,1,IF(Settings!$B$22="USD",1/INDEX(Settings!$B$29:$B$40,MONTH(A846)),INDEX(Settings!$B$29:$B$40,MONTH(A846)))))</f>
        <v/>
      </c>
    </row>
    <row r="847" customFormat="false" ht="15" hidden="false" customHeight="false" outlineLevel="0" collapsed="false">
      <c r="H847" s="0" t="str">
        <f aca="false">IF(B847="","",IF(COUNTIF(Campaigns!$A$7:$A$300,B847)&gt;0,"✓","⚠ add to Campaigns tab"))</f>
        <v/>
      </c>
      <c r="I847" s="84" t="str">
        <f aca="false">IF(C847="","",C847*IF(Settings!$B$22=Settings!$C$6,1,IF(Settings!$B$22="USD",1/INDEX(Settings!$B$29:$B$40,MONTH(A847)),INDEX(Settings!$B$29:$B$40,MONTH(A847)))))</f>
        <v/>
      </c>
    </row>
    <row r="848" customFormat="false" ht="15" hidden="false" customHeight="false" outlineLevel="0" collapsed="false">
      <c r="H848" s="0" t="str">
        <f aca="false">IF(B848="","",IF(COUNTIF(Campaigns!$A$7:$A$300,B848)&gt;0,"✓","⚠ add to Campaigns tab"))</f>
        <v/>
      </c>
      <c r="I848" s="84" t="str">
        <f aca="false">IF(C848="","",C848*IF(Settings!$B$22=Settings!$C$6,1,IF(Settings!$B$22="USD",1/INDEX(Settings!$B$29:$B$40,MONTH(A848)),INDEX(Settings!$B$29:$B$40,MONTH(A848)))))</f>
        <v/>
      </c>
    </row>
    <row r="849" customFormat="false" ht="15" hidden="false" customHeight="false" outlineLevel="0" collapsed="false">
      <c r="H849" s="0" t="str">
        <f aca="false">IF(B849="","",IF(COUNTIF(Campaigns!$A$7:$A$300,B849)&gt;0,"✓","⚠ add to Campaigns tab"))</f>
        <v/>
      </c>
      <c r="I849" s="84" t="str">
        <f aca="false">IF(C849="","",C849*IF(Settings!$B$22=Settings!$C$6,1,IF(Settings!$B$22="USD",1/INDEX(Settings!$B$29:$B$40,MONTH(A849)),INDEX(Settings!$B$29:$B$40,MONTH(A849)))))</f>
        <v/>
      </c>
    </row>
    <row r="850" customFormat="false" ht="15" hidden="false" customHeight="false" outlineLevel="0" collapsed="false">
      <c r="H850" s="0" t="str">
        <f aca="false">IF(B850="","",IF(COUNTIF(Campaigns!$A$7:$A$300,B850)&gt;0,"✓","⚠ add to Campaigns tab"))</f>
        <v/>
      </c>
      <c r="I850" s="84" t="str">
        <f aca="false">IF(C850="","",C850*IF(Settings!$B$22=Settings!$C$6,1,IF(Settings!$B$22="USD",1/INDEX(Settings!$B$29:$B$40,MONTH(A850)),INDEX(Settings!$B$29:$B$40,MONTH(A850)))))</f>
        <v/>
      </c>
    </row>
    <row r="851" customFormat="false" ht="15" hidden="false" customHeight="false" outlineLevel="0" collapsed="false">
      <c r="H851" s="0" t="str">
        <f aca="false">IF(B851="","",IF(COUNTIF(Campaigns!$A$7:$A$300,B851)&gt;0,"✓","⚠ add to Campaigns tab"))</f>
        <v/>
      </c>
      <c r="I851" s="84" t="str">
        <f aca="false">IF(C851="","",C851*IF(Settings!$B$22=Settings!$C$6,1,IF(Settings!$B$22="USD",1/INDEX(Settings!$B$29:$B$40,MONTH(A851)),INDEX(Settings!$B$29:$B$40,MONTH(A851)))))</f>
        <v/>
      </c>
    </row>
    <row r="852" customFormat="false" ht="15" hidden="false" customHeight="false" outlineLevel="0" collapsed="false">
      <c r="H852" s="0" t="str">
        <f aca="false">IF(B852="","",IF(COUNTIF(Campaigns!$A$7:$A$300,B852)&gt;0,"✓","⚠ add to Campaigns tab"))</f>
        <v/>
      </c>
      <c r="I852" s="84" t="str">
        <f aca="false">IF(C852="","",C852*IF(Settings!$B$22=Settings!$C$6,1,IF(Settings!$B$22="USD",1/INDEX(Settings!$B$29:$B$40,MONTH(A852)),INDEX(Settings!$B$29:$B$40,MONTH(A852)))))</f>
        <v/>
      </c>
    </row>
    <row r="853" customFormat="false" ht="15" hidden="false" customHeight="false" outlineLevel="0" collapsed="false">
      <c r="H853" s="0" t="str">
        <f aca="false">IF(B853="","",IF(COUNTIF(Campaigns!$A$7:$A$300,B853)&gt;0,"✓","⚠ add to Campaigns tab"))</f>
        <v/>
      </c>
      <c r="I853" s="84" t="str">
        <f aca="false">IF(C853="","",C853*IF(Settings!$B$22=Settings!$C$6,1,IF(Settings!$B$22="USD",1/INDEX(Settings!$B$29:$B$40,MONTH(A853)),INDEX(Settings!$B$29:$B$40,MONTH(A853)))))</f>
        <v/>
      </c>
    </row>
    <row r="854" customFormat="false" ht="15" hidden="false" customHeight="false" outlineLevel="0" collapsed="false">
      <c r="H854" s="0" t="str">
        <f aca="false">IF(B854="","",IF(COUNTIF(Campaigns!$A$7:$A$300,B854)&gt;0,"✓","⚠ add to Campaigns tab"))</f>
        <v/>
      </c>
      <c r="I854" s="84" t="str">
        <f aca="false">IF(C854="","",C854*IF(Settings!$B$22=Settings!$C$6,1,IF(Settings!$B$22="USD",1/INDEX(Settings!$B$29:$B$40,MONTH(A854)),INDEX(Settings!$B$29:$B$40,MONTH(A854)))))</f>
        <v/>
      </c>
    </row>
    <row r="855" customFormat="false" ht="15" hidden="false" customHeight="false" outlineLevel="0" collapsed="false">
      <c r="H855" s="0" t="str">
        <f aca="false">IF(B855="","",IF(COUNTIF(Campaigns!$A$7:$A$300,B855)&gt;0,"✓","⚠ add to Campaigns tab"))</f>
        <v/>
      </c>
      <c r="I855" s="84" t="str">
        <f aca="false">IF(C855="","",C855*IF(Settings!$B$22=Settings!$C$6,1,IF(Settings!$B$22="USD",1/INDEX(Settings!$B$29:$B$40,MONTH(A855)),INDEX(Settings!$B$29:$B$40,MONTH(A855)))))</f>
        <v/>
      </c>
    </row>
    <row r="856" customFormat="false" ht="15" hidden="false" customHeight="false" outlineLevel="0" collapsed="false">
      <c r="H856" s="0" t="str">
        <f aca="false">IF(B856="","",IF(COUNTIF(Campaigns!$A$7:$A$300,B856)&gt;0,"✓","⚠ add to Campaigns tab"))</f>
        <v/>
      </c>
      <c r="I856" s="84" t="str">
        <f aca="false">IF(C856="","",C856*IF(Settings!$B$22=Settings!$C$6,1,IF(Settings!$B$22="USD",1/INDEX(Settings!$B$29:$B$40,MONTH(A856)),INDEX(Settings!$B$29:$B$40,MONTH(A856)))))</f>
        <v/>
      </c>
    </row>
    <row r="857" customFormat="false" ht="15" hidden="false" customHeight="false" outlineLevel="0" collapsed="false">
      <c r="H857" s="0" t="str">
        <f aca="false">IF(B857="","",IF(COUNTIF(Campaigns!$A$7:$A$300,B857)&gt;0,"✓","⚠ add to Campaigns tab"))</f>
        <v/>
      </c>
      <c r="I857" s="84" t="str">
        <f aca="false">IF(C857="","",C857*IF(Settings!$B$22=Settings!$C$6,1,IF(Settings!$B$22="USD",1/INDEX(Settings!$B$29:$B$40,MONTH(A857)),INDEX(Settings!$B$29:$B$40,MONTH(A857)))))</f>
        <v/>
      </c>
    </row>
    <row r="858" customFormat="false" ht="15" hidden="false" customHeight="false" outlineLevel="0" collapsed="false">
      <c r="H858" s="0" t="str">
        <f aca="false">IF(B858="","",IF(COUNTIF(Campaigns!$A$7:$A$300,B858)&gt;0,"✓","⚠ add to Campaigns tab"))</f>
        <v/>
      </c>
      <c r="I858" s="84" t="str">
        <f aca="false">IF(C858="","",C858*IF(Settings!$B$22=Settings!$C$6,1,IF(Settings!$B$22="USD",1/INDEX(Settings!$B$29:$B$40,MONTH(A858)),INDEX(Settings!$B$29:$B$40,MONTH(A858)))))</f>
        <v/>
      </c>
    </row>
    <row r="859" customFormat="false" ht="15" hidden="false" customHeight="false" outlineLevel="0" collapsed="false">
      <c r="H859" s="0" t="str">
        <f aca="false">IF(B859="","",IF(COUNTIF(Campaigns!$A$7:$A$300,B859)&gt;0,"✓","⚠ add to Campaigns tab"))</f>
        <v/>
      </c>
      <c r="I859" s="84" t="str">
        <f aca="false">IF(C859="","",C859*IF(Settings!$B$22=Settings!$C$6,1,IF(Settings!$B$22="USD",1/INDEX(Settings!$B$29:$B$40,MONTH(A859)),INDEX(Settings!$B$29:$B$40,MONTH(A859)))))</f>
        <v/>
      </c>
    </row>
    <row r="860" customFormat="false" ht="15" hidden="false" customHeight="false" outlineLevel="0" collapsed="false">
      <c r="H860" s="0" t="str">
        <f aca="false">IF(B860="","",IF(COUNTIF(Campaigns!$A$7:$A$300,B860)&gt;0,"✓","⚠ add to Campaigns tab"))</f>
        <v/>
      </c>
      <c r="I860" s="84" t="str">
        <f aca="false">IF(C860="","",C860*IF(Settings!$B$22=Settings!$C$6,1,IF(Settings!$B$22="USD",1/INDEX(Settings!$B$29:$B$40,MONTH(A860)),INDEX(Settings!$B$29:$B$40,MONTH(A860)))))</f>
        <v/>
      </c>
    </row>
    <row r="861" customFormat="false" ht="15" hidden="false" customHeight="false" outlineLevel="0" collapsed="false">
      <c r="H861" s="0" t="str">
        <f aca="false">IF(B861="","",IF(COUNTIF(Campaigns!$A$7:$A$300,B861)&gt;0,"✓","⚠ add to Campaigns tab"))</f>
        <v/>
      </c>
      <c r="I861" s="84" t="str">
        <f aca="false">IF(C861="","",C861*IF(Settings!$B$22=Settings!$C$6,1,IF(Settings!$B$22="USD",1/INDEX(Settings!$B$29:$B$40,MONTH(A861)),INDEX(Settings!$B$29:$B$40,MONTH(A861)))))</f>
        <v/>
      </c>
    </row>
    <row r="862" customFormat="false" ht="15" hidden="false" customHeight="false" outlineLevel="0" collapsed="false">
      <c r="H862" s="0" t="str">
        <f aca="false">IF(B862="","",IF(COUNTIF(Campaigns!$A$7:$A$300,B862)&gt;0,"✓","⚠ add to Campaigns tab"))</f>
        <v/>
      </c>
      <c r="I862" s="84" t="str">
        <f aca="false">IF(C862="","",C862*IF(Settings!$B$22=Settings!$C$6,1,IF(Settings!$B$22="USD",1/INDEX(Settings!$B$29:$B$40,MONTH(A862)),INDEX(Settings!$B$29:$B$40,MONTH(A862)))))</f>
        <v/>
      </c>
    </row>
    <row r="863" customFormat="false" ht="15" hidden="false" customHeight="false" outlineLevel="0" collapsed="false">
      <c r="H863" s="0" t="str">
        <f aca="false">IF(B863="","",IF(COUNTIF(Campaigns!$A$7:$A$300,B863)&gt;0,"✓","⚠ add to Campaigns tab"))</f>
        <v/>
      </c>
      <c r="I863" s="84" t="str">
        <f aca="false">IF(C863="","",C863*IF(Settings!$B$22=Settings!$C$6,1,IF(Settings!$B$22="USD",1/INDEX(Settings!$B$29:$B$40,MONTH(A863)),INDEX(Settings!$B$29:$B$40,MONTH(A863)))))</f>
        <v/>
      </c>
    </row>
    <row r="864" customFormat="false" ht="15" hidden="false" customHeight="false" outlineLevel="0" collapsed="false">
      <c r="H864" s="0" t="str">
        <f aca="false">IF(B864="","",IF(COUNTIF(Campaigns!$A$7:$A$300,B864)&gt;0,"✓","⚠ add to Campaigns tab"))</f>
        <v/>
      </c>
      <c r="I864" s="84" t="str">
        <f aca="false">IF(C864="","",C864*IF(Settings!$B$22=Settings!$C$6,1,IF(Settings!$B$22="USD",1/INDEX(Settings!$B$29:$B$40,MONTH(A864)),INDEX(Settings!$B$29:$B$40,MONTH(A864)))))</f>
        <v/>
      </c>
    </row>
    <row r="865" customFormat="false" ht="15" hidden="false" customHeight="false" outlineLevel="0" collapsed="false">
      <c r="H865" s="0" t="str">
        <f aca="false">IF(B865="","",IF(COUNTIF(Campaigns!$A$7:$A$300,B865)&gt;0,"✓","⚠ add to Campaigns tab"))</f>
        <v/>
      </c>
      <c r="I865" s="84" t="str">
        <f aca="false">IF(C865="","",C865*IF(Settings!$B$22=Settings!$C$6,1,IF(Settings!$B$22="USD",1/INDEX(Settings!$B$29:$B$40,MONTH(A865)),INDEX(Settings!$B$29:$B$40,MONTH(A865)))))</f>
        <v/>
      </c>
    </row>
    <row r="866" customFormat="false" ht="15" hidden="false" customHeight="false" outlineLevel="0" collapsed="false">
      <c r="H866" s="0" t="str">
        <f aca="false">IF(B866="","",IF(COUNTIF(Campaigns!$A$7:$A$300,B866)&gt;0,"✓","⚠ add to Campaigns tab"))</f>
        <v/>
      </c>
      <c r="I866" s="84" t="str">
        <f aca="false">IF(C866="","",C866*IF(Settings!$B$22=Settings!$C$6,1,IF(Settings!$B$22="USD",1/INDEX(Settings!$B$29:$B$40,MONTH(A866)),INDEX(Settings!$B$29:$B$40,MONTH(A866)))))</f>
        <v/>
      </c>
    </row>
    <row r="867" customFormat="false" ht="15" hidden="false" customHeight="false" outlineLevel="0" collapsed="false">
      <c r="H867" s="0" t="str">
        <f aca="false">IF(B867="","",IF(COUNTIF(Campaigns!$A$7:$A$300,B867)&gt;0,"✓","⚠ add to Campaigns tab"))</f>
        <v/>
      </c>
      <c r="I867" s="84" t="str">
        <f aca="false">IF(C867="","",C867*IF(Settings!$B$22=Settings!$C$6,1,IF(Settings!$B$22="USD",1/INDEX(Settings!$B$29:$B$40,MONTH(A867)),INDEX(Settings!$B$29:$B$40,MONTH(A867)))))</f>
        <v/>
      </c>
    </row>
    <row r="868" customFormat="false" ht="15" hidden="false" customHeight="false" outlineLevel="0" collapsed="false">
      <c r="H868" s="0" t="str">
        <f aca="false">IF(B868="","",IF(COUNTIF(Campaigns!$A$7:$A$300,B868)&gt;0,"✓","⚠ add to Campaigns tab"))</f>
        <v/>
      </c>
      <c r="I868" s="84" t="str">
        <f aca="false">IF(C868="","",C868*IF(Settings!$B$22=Settings!$C$6,1,IF(Settings!$B$22="USD",1/INDEX(Settings!$B$29:$B$40,MONTH(A868)),INDEX(Settings!$B$29:$B$40,MONTH(A868)))))</f>
        <v/>
      </c>
    </row>
    <row r="869" customFormat="false" ht="15" hidden="false" customHeight="false" outlineLevel="0" collapsed="false">
      <c r="H869" s="0" t="str">
        <f aca="false">IF(B869="","",IF(COUNTIF(Campaigns!$A$7:$A$300,B869)&gt;0,"✓","⚠ add to Campaigns tab"))</f>
        <v/>
      </c>
      <c r="I869" s="84" t="str">
        <f aca="false">IF(C869="","",C869*IF(Settings!$B$22=Settings!$C$6,1,IF(Settings!$B$22="USD",1/INDEX(Settings!$B$29:$B$40,MONTH(A869)),INDEX(Settings!$B$29:$B$40,MONTH(A869)))))</f>
        <v/>
      </c>
    </row>
    <row r="870" customFormat="false" ht="15" hidden="false" customHeight="false" outlineLevel="0" collapsed="false">
      <c r="H870" s="0" t="str">
        <f aca="false">IF(B870="","",IF(COUNTIF(Campaigns!$A$7:$A$300,B870)&gt;0,"✓","⚠ add to Campaigns tab"))</f>
        <v/>
      </c>
      <c r="I870" s="84" t="str">
        <f aca="false">IF(C870="","",C870*IF(Settings!$B$22=Settings!$C$6,1,IF(Settings!$B$22="USD",1/INDEX(Settings!$B$29:$B$40,MONTH(A870)),INDEX(Settings!$B$29:$B$40,MONTH(A870)))))</f>
        <v/>
      </c>
    </row>
    <row r="871" customFormat="false" ht="15" hidden="false" customHeight="false" outlineLevel="0" collapsed="false">
      <c r="H871" s="0" t="str">
        <f aca="false">IF(B871="","",IF(COUNTIF(Campaigns!$A$7:$A$300,B871)&gt;0,"✓","⚠ add to Campaigns tab"))</f>
        <v/>
      </c>
      <c r="I871" s="84" t="str">
        <f aca="false">IF(C871="","",C871*IF(Settings!$B$22=Settings!$C$6,1,IF(Settings!$B$22="USD",1/INDEX(Settings!$B$29:$B$40,MONTH(A871)),INDEX(Settings!$B$29:$B$40,MONTH(A871)))))</f>
        <v/>
      </c>
    </row>
    <row r="872" customFormat="false" ht="15" hidden="false" customHeight="false" outlineLevel="0" collapsed="false">
      <c r="H872" s="0" t="str">
        <f aca="false">IF(B872="","",IF(COUNTIF(Campaigns!$A$7:$A$300,B872)&gt;0,"✓","⚠ add to Campaigns tab"))</f>
        <v/>
      </c>
      <c r="I872" s="84" t="str">
        <f aca="false">IF(C872="","",C872*IF(Settings!$B$22=Settings!$C$6,1,IF(Settings!$B$22="USD",1/INDEX(Settings!$B$29:$B$40,MONTH(A872)),INDEX(Settings!$B$29:$B$40,MONTH(A872)))))</f>
        <v/>
      </c>
    </row>
    <row r="873" customFormat="false" ht="15" hidden="false" customHeight="false" outlineLevel="0" collapsed="false">
      <c r="H873" s="0" t="str">
        <f aca="false">IF(B873="","",IF(COUNTIF(Campaigns!$A$7:$A$300,B873)&gt;0,"✓","⚠ add to Campaigns tab"))</f>
        <v/>
      </c>
      <c r="I873" s="84" t="str">
        <f aca="false">IF(C873="","",C873*IF(Settings!$B$22=Settings!$C$6,1,IF(Settings!$B$22="USD",1/INDEX(Settings!$B$29:$B$40,MONTH(A873)),INDEX(Settings!$B$29:$B$40,MONTH(A873)))))</f>
        <v/>
      </c>
    </row>
    <row r="874" customFormat="false" ht="15" hidden="false" customHeight="false" outlineLevel="0" collapsed="false">
      <c r="H874" s="0" t="str">
        <f aca="false">IF(B874="","",IF(COUNTIF(Campaigns!$A$7:$A$300,B874)&gt;0,"✓","⚠ add to Campaigns tab"))</f>
        <v/>
      </c>
      <c r="I874" s="84" t="str">
        <f aca="false">IF(C874="","",C874*IF(Settings!$B$22=Settings!$C$6,1,IF(Settings!$B$22="USD",1/INDEX(Settings!$B$29:$B$40,MONTH(A874)),INDEX(Settings!$B$29:$B$40,MONTH(A874)))))</f>
        <v/>
      </c>
    </row>
    <row r="875" customFormat="false" ht="15" hidden="false" customHeight="false" outlineLevel="0" collapsed="false">
      <c r="H875" s="0" t="str">
        <f aca="false">IF(B875="","",IF(COUNTIF(Campaigns!$A$7:$A$300,B875)&gt;0,"✓","⚠ add to Campaigns tab"))</f>
        <v/>
      </c>
      <c r="I875" s="84" t="str">
        <f aca="false">IF(C875="","",C875*IF(Settings!$B$22=Settings!$C$6,1,IF(Settings!$B$22="USD",1/INDEX(Settings!$B$29:$B$40,MONTH(A875)),INDEX(Settings!$B$29:$B$40,MONTH(A875)))))</f>
        <v/>
      </c>
    </row>
    <row r="876" customFormat="false" ht="15" hidden="false" customHeight="false" outlineLevel="0" collapsed="false">
      <c r="H876" s="0" t="str">
        <f aca="false">IF(B876="","",IF(COUNTIF(Campaigns!$A$7:$A$300,B876)&gt;0,"✓","⚠ add to Campaigns tab"))</f>
        <v/>
      </c>
      <c r="I876" s="84" t="str">
        <f aca="false">IF(C876="","",C876*IF(Settings!$B$22=Settings!$C$6,1,IF(Settings!$B$22="USD",1/INDEX(Settings!$B$29:$B$40,MONTH(A876)),INDEX(Settings!$B$29:$B$40,MONTH(A876)))))</f>
        <v/>
      </c>
    </row>
    <row r="877" customFormat="false" ht="15" hidden="false" customHeight="false" outlineLevel="0" collapsed="false">
      <c r="H877" s="0" t="str">
        <f aca="false">IF(B877="","",IF(COUNTIF(Campaigns!$A$7:$A$300,B877)&gt;0,"✓","⚠ add to Campaigns tab"))</f>
        <v/>
      </c>
      <c r="I877" s="84" t="str">
        <f aca="false">IF(C877="","",C877*IF(Settings!$B$22=Settings!$C$6,1,IF(Settings!$B$22="USD",1/INDEX(Settings!$B$29:$B$40,MONTH(A877)),INDEX(Settings!$B$29:$B$40,MONTH(A877)))))</f>
        <v/>
      </c>
    </row>
    <row r="878" customFormat="false" ht="15" hidden="false" customHeight="false" outlineLevel="0" collapsed="false">
      <c r="H878" s="0" t="str">
        <f aca="false">IF(B878="","",IF(COUNTIF(Campaigns!$A$7:$A$300,B878)&gt;0,"✓","⚠ add to Campaigns tab"))</f>
        <v/>
      </c>
      <c r="I878" s="84" t="str">
        <f aca="false">IF(C878="","",C878*IF(Settings!$B$22=Settings!$C$6,1,IF(Settings!$B$22="USD",1/INDEX(Settings!$B$29:$B$40,MONTH(A878)),INDEX(Settings!$B$29:$B$40,MONTH(A878)))))</f>
        <v/>
      </c>
    </row>
    <row r="879" customFormat="false" ht="15" hidden="false" customHeight="false" outlineLevel="0" collapsed="false">
      <c r="H879" s="0" t="str">
        <f aca="false">IF(B879="","",IF(COUNTIF(Campaigns!$A$7:$A$300,B879)&gt;0,"✓","⚠ add to Campaigns tab"))</f>
        <v/>
      </c>
      <c r="I879" s="84" t="str">
        <f aca="false">IF(C879="","",C879*IF(Settings!$B$22=Settings!$C$6,1,IF(Settings!$B$22="USD",1/INDEX(Settings!$B$29:$B$40,MONTH(A879)),INDEX(Settings!$B$29:$B$40,MONTH(A879)))))</f>
        <v/>
      </c>
    </row>
    <row r="880" customFormat="false" ht="15" hidden="false" customHeight="false" outlineLevel="0" collapsed="false">
      <c r="H880" s="0" t="str">
        <f aca="false">IF(B880="","",IF(COUNTIF(Campaigns!$A$7:$A$300,B880)&gt;0,"✓","⚠ add to Campaigns tab"))</f>
        <v/>
      </c>
      <c r="I880" s="84" t="str">
        <f aca="false">IF(C880="","",C880*IF(Settings!$B$22=Settings!$C$6,1,IF(Settings!$B$22="USD",1/INDEX(Settings!$B$29:$B$40,MONTH(A880)),INDEX(Settings!$B$29:$B$40,MONTH(A880)))))</f>
        <v/>
      </c>
    </row>
    <row r="881" customFormat="false" ht="15" hidden="false" customHeight="false" outlineLevel="0" collapsed="false">
      <c r="H881" s="0" t="str">
        <f aca="false">IF(B881="","",IF(COUNTIF(Campaigns!$A$7:$A$300,B881)&gt;0,"✓","⚠ add to Campaigns tab"))</f>
        <v/>
      </c>
      <c r="I881" s="84" t="str">
        <f aca="false">IF(C881="","",C881*IF(Settings!$B$22=Settings!$C$6,1,IF(Settings!$B$22="USD",1/INDEX(Settings!$B$29:$B$40,MONTH(A881)),INDEX(Settings!$B$29:$B$40,MONTH(A881)))))</f>
        <v/>
      </c>
    </row>
    <row r="882" customFormat="false" ht="15" hidden="false" customHeight="false" outlineLevel="0" collapsed="false">
      <c r="H882" s="0" t="str">
        <f aca="false">IF(B882="","",IF(COUNTIF(Campaigns!$A$7:$A$300,B882)&gt;0,"✓","⚠ add to Campaigns tab"))</f>
        <v/>
      </c>
      <c r="I882" s="84" t="str">
        <f aca="false">IF(C882="","",C882*IF(Settings!$B$22=Settings!$C$6,1,IF(Settings!$B$22="USD",1/INDEX(Settings!$B$29:$B$40,MONTH(A882)),INDEX(Settings!$B$29:$B$40,MONTH(A882)))))</f>
        <v/>
      </c>
    </row>
    <row r="883" customFormat="false" ht="15" hidden="false" customHeight="false" outlineLevel="0" collapsed="false">
      <c r="H883" s="0" t="str">
        <f aca="false">IF(B883="","",IF(COUNTIF(Campaigns!$A$7:$A$300,B883)&gt;0,"✓","⚠ add to Campaigns tab"))</f>
        <v/>
      </c>
      <c r="I883" s="84" t="str">
        <f aca="false">IF(C883="","",C883*IF(Settings!$B$22=Settings!$C$6,1,IF(Settings!$B$22="USD",1/INDEX(Settings!$B$29:$B$40,MONTH(A883)),INDEX(Settings!$B$29:$B$40,MONTH(A883)))))</f>
        <v/>
      </c>
    </row>
    <row r="884" customFormat="false" ht="15" hidden="false" customHeight="false" outlineLevel="0" collapsed="false">
      <c r="H884" s="0" t="str">
        <f aca="false">IF(B884="","",IF(COUNTIF(Campaigns!$A$7:$A$300,B884)&gt;0,"✓","⚠ add to Campaigns tab"))</f>
        <v/>
      </c>
      <c r="I884" s="84" t="str">
        <f aca="false">IF(C884="","",C884*IF(Settings!$B$22=Settings!$C$6,1,IF(Settings!$B$22="USD",1/INDEX(Settings!$B$29:$B$40,MONTH(A884)),INDEX(Settings!$B$29:$B$40,MONTH(A884)))))</f>
        <v/>
      </c>
    </row>
    <row r="885" customFormat="false" ht="15" hidden="false" customHeight="false" outlineLevel="0" collapsed="false">
      <c r="H885" s="0" t="str">
        <f aca="false">IF(B885="","",IF(COUNTIF(Campaigns!$A$7:$A$300,B885)&gt;0,"✓","⚠ add to Campaigns tab"))</f>
        <v/>
      </c>
      <c r="I885" s="84" t="str">
        <f aca="false">IF(C885="","",C885*IF(Settings!$B$22=Settings!$C$6,1,IF(Settings!$B$22="USD",1/INDEX(Settings!$B$29:$B$40,MONTH(A885)),INDEX(Settings!$B$29:$B$40,MONTH(A885)))))</f>
        <v/>
      </c>
    </row>
    <row r="886" customFormat="false" ht="15" hidden="false" customHeight="false" outlineLevel="0" collapsed="false">
      <c r="H886" s="0" t="str">
        <f aca="false">IF(B886="","",IF(COUNTIF(Campaigns!$A$7:$A$300,B886)&gt;0,"✓","⚠ add to Campaigns tab"))</f>
        <v/>
      </c>
      <c r="I886" s="84" t="str">
        <f aca="false">IF(C886="","",C886*IF(Settings!$B$22=Settings!$C$6,1,IF(Settings!$B$22="USD",1/INDEX(Settings!$B$29:$B$40,MONTH(A886)),INDEX(Settings!$B$29:$B$40,MONTH(A886)))))</f>
        <v/>
      </c>
    </row>
    <row r="887" customFormat="false" ht="15" hidden="false" customHeight="false" outlineLevel="0" collapsed="false">
      <c r="H887" s="0" t="str">
        <f aca="false">IF(B887="","",IF(COUNTIF(Campaigns!$A$7:$A$300,B887)&gt;0,"✓","⚠ add to Campaigns tab"))</f>
        <v/>
      </c>
      <c r="I887" s="84" t="str">
        <f aca="false">IF(C887="","",C887*IF(Settings!$B$22=Settings!$C$6,1,IF(Settings!$B$22="USD",1/INDEX(Settings!$B$29:$B$40,MONTH(A887)),INDEX(Settings!$B$29:$B$40,MONTH(A887)))))</f>
        <v/>
      </c>
    </row>
    <row r="888" customFormat="false" ht="15" hidden="false" customHeight="false" outlineLevel="0" collapsed="false">
      <c r="H888" s="0" t="str">
        <f aca="false">IF(B888="","",IF(COUNTIF(Campaigns!$A$7:$A$300,B888)&gt;0,"✓","⚠ add to Campaigns tab"))</f>
        <v/>
      </c>
      <c r="I888" s="84" t="str">
        <f aca="false">IF(C888="","",C888*IF(Settings!$B$22=Settings!$C$6,1,IF(Settings!$B$22="USD",1/INDEX(Settings!$B$29:$B$40,MONTH(A888)),INDEX(Settings!$B$29:$B$40,MONTH(A888)))))</f>
        <v/>
      </c>
    </row>
    <row r="889" customFormat="false" ht="15" hidden="false" customHeight="false" outlineLevel="0" collapsed="false">
      <c r="H889" s="0" t="str">
        <f aca="false">IF(B889="","",IF(COUNTIF(Campaigns!$A$7:$A$300,B889)&gt;0,"✓","⚠ add to Campaigns tab"))</f>
        <v/>
      </c>
      <c r="I889" s="84" t="str">
        <f aca="false">IF(C889="","",C889*IF(Settings!$B$22=Settings!$C$6,1,IF(Settings!$B$22="USD",1/INDEX(Settings!$B$29:$B$40,MONTH(A889)),INDEX(Settings!$B$29:$B$40,MONTH(A889)))))</f>
        <v/>
      </c>
    </row>
    <row r="890" customFormat="false" ht="15" hidden="false" customHeight="false" outlineLevel="0" collapsed="false">
      <c r="H890" s="0" t="str">
        <f aca="false">IF(B890="","",IF(COUNTIF(Campaigns!$A$7:$A$300,B890)&gt;0,"✓","⚠ add to Campaigns tab"))</f>
        <v/>
      </c>
      <c r="I890" s="84" t="str">
        <f aca="false">IF(C890="","",C890*IF(Settings!$B$22=Settings!$C$6,1,IF(Settings!$B$22="USD",1/INDEX(Settings!$B$29:$B$40,MONTH(A890)),INDEX(Settings!$B$29:$B$40,MONTH(A890)))))</f>
        <v/>
      </c>
    </row>
    <row r="891" customFormat="false" ht="15" hidden="false" customHeight="false" outlineLevel="0" collapsed="false">
      <c r="H891" s="0" t="str">
        <f aca="false">IF(B891="","",IF(COUNTIF(Campaigns!$A$7:$A$300,B891)&gt;0,"✓","⚠ add to Campaigns tab"))</f>
        <v/>
      </c>
      <c r="I891" s="84" t="str">
        <f aca="false">IF(C891="","",C891*IF(Settings!$B$22=Settings!$C$6,1,IF(Settings!$B$22="USD",1/INDEX(Settings!$B$29:$B$40,MONTH(A891)),INDEX(Settings!$B$29:$B$40,MONTH(A891)))))</f>
        <v/>
      </c>
    </row>
    <row r="892" customFormat="false" ht="15" hidden="false" customHeight="false" outlineLevel="0" collapsed="false">
      <c r="H892" s="0" t="str">
        <f aca="false">IF(B892="","",IF(COUNTIF(Campaigns!$A$7:$A$300,B892)&gt;0,"✓","⚠ add to Campaigns tab"))</f>
        <v/>
      </c>
      <c r="I892" s="84" t="str">
        <f aca="false">IF(C892="","",C892*IF(Settings!$B$22=Settings!$C$6,1,IF(Settings!$B$22="USD",1/INDEX(Settings!$B$29:$B$40,MONTH(A892)),INDEX(Settings!$B$29:$B$40,MONTH(A892)))))</f>
        <v/>
      </c>
    </row>
    <row r="893" customFormat="false" ht="15" hidden="false" customHeight="false" outlineLevel="0" collapsed="false">
      <c r="H893" s="0" t="str">
        <f aca="false">IF(B893="","",IF(COUNTIF(Campaigns!$A$7:$A$300,B893)&gt;0,"✓","⚠ add to Campaigns tab"))</f>
        <v/>
      </c>
      <c r="I893" s="84" t="str">
        <f aca="false">IF(C893="","",C893*IF(Settings!$B$22=Settings!$C$6,1,IF(Settings!$B$22="USD",1/INDEX(Settings!$B$29:$B$40,MONTH(A893)),INDEX(Settings!$B$29:$B$40,MONTH(A893)))))</f>
        <v/>
      </c>
    </row>
    <row r="894" customFormat="false" ht="15" hidden="false" customHeight="false" outlineLevel="0" collapsed="false">
      <c r="H894" s="0" t="str">
        <f aca="false">IF(B894="","",IF(COUNTIF(Campaigns!$A$7:$A$300,B894)&gt;0,"✓","⚠ add to Campaigns tab"))</f>
        <v/>
      </c>
      <c r="I894" s="84" t="str">
        <f aca="false">IF(C894="","",C894*IF(Settings!$B$22=Settings!$C$6,1,IF(Settings!$B$22="USD",1/INDEX(Settings!$B$29:$B$40,MONTH(A894)),INDEX(Settings!$B$29:$B$40,MONTH(A894)))))</f>
        <v/>
      </c>
    </row>
    <row r="895" customFormat="false" ht="15" hidden="false" customHeight="false" outlineLevel="0" collapsed="false">
      <c r="H895" s="0" t="str">
        <f aca="false">IF(B895="","",IF(COUNTIF(Campaigns!$A$7:$A$300,B895)&gt;0,"✓","⚠ add to Campaigns tab"))</f>
        <v/>
      </c>
      <c r="I895" s="84" t="str">
        <f aca="false">IF(C895="","",C895*IF(Settings!$B$22=Settings!$C$6,1,IF(Settings!$B$22="USD",1/INDEX(Settings!$B$29:$B$40,MONTH(A895)),INDEX(Settings!$B$29:$B$40,MONTH(A895)))))</f>
        <v/>
      </c>
    </row>
    <row r="896" customFormat="false" ht="15" hidden="false" customHeight="false" outlineLevel="0" collapsed="false">
      <c r="H896" s="0" t="str">
        <f aca="false">IF(B896="","",IF(COUNTIF(Campaigns!$A$7:$A$300,B896)&gt;0,"✓","⚠ add to Campaigns tab"))</f>
        <v/>
      </c>
      <c r="I896" s="84" t="str">
        <f aca="false">IF(C896="","",C896*IF(Settings!$B$22=Settings!$C$6,1,IF(Settings!$B$22="USD",1/INDEX(Settings!$B$29:$B$40,MONTH(A896)),INDEX(Settings!$B$29:$B$40,MONTH(A896)))))</f>
        <v/>
      </c>
    </row>
    <row r="897" customFormat="false" ht="15" hidden="false" customHeight="false" outlineLevel="0" collapsed="false">
      <c r="H897" s="0" t="str">
        <f aca="false">IF(B897="","",IF(COUNTIF(Campaigns!$A$7:$A$300,B897)&gt;0,"✓","⚠ add to Campaigns tab"))</f>
        <v/>
      </c>
      <c r="I897" s="84" t="str">
        <f aca="false">IF(C897="","",C897*IF(Settings!$B$22=Settings!$C$6,1,IF(Settings!$B$22="USD",1/INDEX(Settings!$B$29:$B$40,MONTH(A897)),INDEX(Settings!$B$29:$B$40,MONTH(A897)))))</f>
        <v/>
      </c>
    </row>
    <row r="898" customFormat="false" ht="15" hidden="false" customHeight="false" outlineLevel="0" collapsed="false">
      <c r="H898" s="0" t="str">
        <f aca="false">IF(B898="","",IF(COUNTIF(Campaigns!$A$7:$A$300,B898)&gt;0,"✓","⚠ add to Campaigns tab"))</f>
        <v/>
      </c>
      <c r="I898" s="84" t="str">
        <f aca="false">IF(C898="","",C898*IF(Settings!$B$22=Settings!$C$6,1,IF(Settings!$B$22="USD",1/INDEX(Settings!$B$29:$B$40,MONTH(A898)),INDEX(Settings!$B$29:$B$40,MONTH(A898)))))</f>
        <v/>
      </c>
    </row>
    <row r="899" customFormat="false" ht="15" hidden="false" customHeight="false" outlineLevel="0" collapsed="false">
      <c r="H899" s="0" t="str">
        <f aca="false">IF(B899="","",IF(COUNTIF(Campaigns!$A$7:$A$300,B899)&gt;0,"✓","⚠ add to Campaigns tab"))</f>
        <v/>
      </c>
      <c r="I899" s="84" t="str">
        <f aca="false">IF(C899="","",C899*IF(Settings!$B$22=Settings!$C$6,1,IF(Settings!$B$22="USD",1/INDEX(Settings!$B$29:$B$40,MONTH(A899)),INDEX(Settings!$B$29:$B$40,MONTH(A899)))))</f>
        <v/>
      </c>
    </row>
    <row r="900" customFormat="false" ht="15" hidden="false" customHeight="false" outlineLevel="0" collapsed="false">
      <c r="H900" s="0" t="str">
        <f aca="false">IF(B900="","",IF(COUNTIF(Campaigns!$A$7:$A$300,B900)&gt;0,"✓","⚠ add to Campaigns tab"))</f>
        <v/>
      </c>
      <c r="I900" s="84" t="str">
        <f aca="false">IF(C900="","",C900*IF(Settings!$B$22=Settings!$C$6,1,IF(Settings!$B$22="USD",1/INDEX(Settings!$B$29:$B$40,MONTH(A900)),INDEX(Settings!$B$29:$B$40,MONTH(A900)))))</f>
        <v/>
      </c>
    </row>
    <row r="901" customFormat="false" ht="15" hidden="false" customHeight="false" outlineLevel="0" collapsed="false">
      <c r="H901" s="0" t="str">
        <f aca="false">IF(B901="","",IF(COUNTIF(Campaigns!$A$7:$A$300,B901)&gt;0,"✓","⚠ add to Campaigns tab"))</f>
        <v/>
      </c>
      <c r="I901" s="84" t="str">
        <f aca="false">IF(C901="","",C901*IF(Settings!$B$22=Settings!$C$6,1,IF(Settings!$B$22="USD",1/INDEX(Settings!$B$29:$B$40,MONTH(A901)),INDEX(Settings!$B$29:$B$40,MONTH(A901)))))</f>
        <v/>
      </c>
    </row>
    <row r="902" customFormat="false" ht="15" hidden="false" customHeight="false" outlineLevel="0" collapsed="false">
      <c r="H902" s="0" t="str">
        <f aca="false">IF(B902="","",IF(COUNTIF(Campaigns!$A$7:$A$300,B902)&gt;0,"✓","⚠ add to Campaigns tab"))</f>
        <v/>
      </c>
      <c r="I902" s="84" t="str">
        <f aca="false">IF(C902="","",C902*IF(Settings!$B$22=Settings!$C$6,1,IF(Settings!$B$22="USD",1/INDEX(Settings!$B$29:$B$40,MONTH(A902)),INDEX(Settings!$B$29:$B$40,MONTH(A902)))))</f>
        <v/>
      </c>
    </row>
    <row r="903" customFormat="false" ht="15" hidden="false" customHeight="false" outlineLevel="0" collapsed="false">
      <c r="H903" s="0" t="str">
        <f aca="false">IF(B903="","",IF(COUNTIF(Campaigns!$A$7:$A$300,B903)&gt;0,"✓","⚠ add to Campaigns tab"))</f>
        <v/>
      </c>
      <c r="I903" s="84" t="str">
        <f aca="false">IF(C903="","",C903*IF(Settings!$B$22=Settings!$C$6,1,IF(Settings!$B$22="USD",1/INDEX(Settings!$B$29:$B$40,MONTH(A903)),INDEX(Settings!$B$29:$B$40,MONTH(A903)))))</f>
        <v/>
      </c>
    </row>
    <row r="904" customFormat="false" ht="15" hidden="false" customHeight="false" outlineLevel="0" collapsed="false">
      <c r="H904" s="0" t="str">
        <f aca="false">IF(B904="","",IF(COUNTIF(Campaigns!$A$7:$A$300,B904)&gt;0,"✓","⚠ add to Campaigns tab"))</f>
        <v/>
      </c>
      <c r="I904" s="84" t="str">
        <f aca="false">IF(C904="","",C904*IF(Settings!$B$22=Settings!$C$6,1,IF(Settings!$B$22="USD",1/INDEX(Settings!$B$29:$B$40,MONTH(A904)),INDEX(Settings!$B$29:$B$40,MONTH(A904)))))</f>
        <v/>
      </c>
    </row>
    <row r="905" customFormat="false" ht="15" hidden="false" customHeight="false" outlineLevel="0" collapsed="false">
      <c r="H905" s="0" t="str">
        <f aca="false">IF(B905="","",IF(COUNTIF(Campaigns!$A$7:$A$300,B905)&gt;0,"✓","⚠ add to Campaigns tab"))</f>
        <v/>
      </c>
      <c r="I905" s="84" t="str">
        <f aca="false">IF(C905="","",C905*IF(Settings!$B$22=Settings!$C$6,1,IF(Settings!$B$22="USD",1/INDEX(Settings!$B$29:$B$40,MONTH(A905)),INDEX(Settings!$B$29:$B$40,MONTH(A905)))))</f>
        <v/>
      </c>
    </row>
    <row r="906" customFormat="false" ht="15" hidden="false" customHeight="false" outlineLevel="0" collapsed="false">
      <c r="H906" s="0" t="str">
        <f aca="false">IF(B906="","",IF(COUNTIF(Campaigns!$A$7:$A$300,B906)&gt;0,"✓","⚠ add to Campaigns tab"))</f>
        <v/>
      </c>
      <c r="I906" s="84" t="str">
        <f aca="false">IF(C906="","",C906*IF(Settings!$B$22=Settings!$C$6,1,IF(Settings!$B$22="USD",1/INDEX(Settings!$B$29:$B$40,MONTH(A906)),INDEX(Settings!$B$29:$B$40,MONTH(A906)))))</f>
        <v/>
      </c>
    </row>
    <row r="907" customFormat="false" ht="15" hidden="false" customHeight="false" outlineLevel="0" collapsed="false">
      <c r="H907" s="0" t="str">
        <f aca="false">IF(B907="","",IF(COUNTIF(Campaigns!$A$7:$A$300,B907)&gt;0,"✓","⚠ add to Campaigns tab"))</f>
        <v/>
      </c>
      <c r="I907" s="84" t="str">
        <f aca="false">IF(C907="","",C907*IF(Settings!$B$22=Settings!$C$6,1,IF(Settings!$B$22="USD",1/INDEX(Settings!$B$29:$B$40,MONTH(A907)),INDEX(Settings!$B$29:$B$40,MONTH(A907)))))</f>
        <v/>
      </c>
    </row>
    <row r="908" customFormat="false" ht="15" hidden="false" customHeight="false" outlineLevel="0" collapsed="false">
      <c r="H908" s="0" t="str">
        <f aca="false">IF(B908="","",IF(COUNTIF(Campaigns!$A$7:$A$300,B908)&gt;0,"✓","⚠ add to Campaigns tab"))</f>
        <v/>
      </c>
      <c r="I908" s="84" t="str">
        <f aca="false">IF(C908="","",C908*IF(Settings!$B$22=Settings!$C$6,1,IF(Settings!$B$22="USD",1/INDEX(Settings!$B$29:$B$40,MONTH(A908)),INDEX(Settings!$B$29:$B$40,MONTH(A908)))))</f>
        <v/>
      </c>
    </row>
    <row r="909" customFormat="false" ht="15" hidden="false" customHeight="false" outlineLevel="0" collapsed="false">
      <c r="H909" s="0" t="str">
        <f aca="false">IF(B909="","",IF(COUNTIF(Campaigns!$A$7:$A$300,B909)&gt;0,"✓","⚠ add to Campaigns tab"))</f>
        <v/>
      </c>
      <c r="I909" s="84" t="str">
        <f aca="false">IF(C909="","",C909*IF(Settings!$B$22=Settings!$C$6,1,IF(Settings!$B$22="USD",1/INDEX(Settings!$B$29:$B$40,MONTH(A909)),INDEX(Settings!$B$29:$B$40,MONTH(A909)))))</f>
        <v/>
      </c>
    </row>
    <row r="910" customFormat="false" ht="15" hidden="false" customHeight="false" outlineLevel="0" collapsed="false">
      <c r="H910" s="0" t="str">
        <f aca="false">IF(B910="","",IF(COUNTIF(Campaigns!$A$7:$A$300,B910)&gt;0,"✓","⚠ add to Campaigns tab"))</f>
        <v/>
      </c>
      <c r="I910" s="84" t="str">
        <f aca="false">IF(C910="","",C910*IF(Settings!$B$22=Settings!$C$6,1,IF(Settings!$B$22="USD",1/INDEX(Settings!$B$29:$B$40,MONTH(A910)),INDEX(Settings!$B$29:$B$40,MONTH(A910)))))</f>
        <v/>
      </c>
    </row>
    <row r="911" customFormat="false" ht="15" hidden="false" customHeight="false" outlineLevel="0" collapsed="false">
      <c r="H911" s="0" t="str">
        <f aca="false">IF(B911="","",IF(COUNTIF(Campaigns!$A$7:$A$300,B911)&gt;0,"✓","⚠ add to Campaigns tab"))</f>
        <v/>
      </c>
      <c r="I911" s="84" t="str">
        <f aca="false">IF(C911="","",C911*IF(Settings!$B$22=Settings!$C$6,1,IF(Settings!$B$22="USD",1/INDEX(Settings!$B$29:$B$40,MONTH(A911)),INDEX(Settings!$B$29:$B$40,MONTH(A911)))))</f>
        <v/>
      </c>
    </row>
    <row r="912" customFormat="false" ht="15" hidden="false" customHeight="false" outlineLevel="0" collapsed="false">
      <c r="H912" s="0" t="str">
        <f aca="false">IF(B912="","",IF(COUNTIF(Campaigns!$A$7:$A$300,B912)&gt;0,"✓","⚠ add to Campaigns tab"))</f>
        <v/>
      </c>
      <c r="I912" s="84" t="str">
        <f aca="false">IF(C912="","",C912*IF(Settings!$B$22=Settings!$C$6,1,IF(Settings!$B$22="USD",1/INDEX(Settings!$B$29:$B$40,MONTH(A912)),INDEX(Settings!$B$29:$B$40,MONTH(A912)))))</f>
        <v/>
      </c>
    </row>
    <row r="913" customFormat="false" ht="15" hidden="false" customHeight="false" outlineLevel="0" collapsed="false">
      <c r="H913" s="0" t="str">
        <f aca="false">IF(B913="","",IF(COUNTIF(Campaigns!$A$7:$A$300,B913)&gt;0,"✓","⚠ add to Campaigns tab"))</f>
        <v/>
      </c>
      <c r="I913" s="84" t="str">
        <f aca="false">IF(C913="","",C913*IF(Settings!$B$22=Settings!$C$6,1,IF(Settings!$B$22="USD",1/INDEX(Settings!$B$29:$B$40,MONTH(A913)),INDEX(Settings!$B$29:$B$40,MONTH(A913)))))</f>
        <v/>
      </c>
    </row>
    <row r="914" customFormat="false" ht="15" hidden="false" customHeight="false" outlineLevel="0" collapsed="false">
      <c r="H914" s="0" t="str">
        <f aca="false">IF(B914="","",IF(COUNTIF(Campaigns!$A$7:$A$300,B914)&gt;0,"✓","⚠ add to Campaigns tab"))</f>
        <v/>
      </c>
      <c r="I914" s="84" t="str">
        <f aca="false">IF(C914="","",C914*IF(Settings!$B$22=Settings!$C$6,1,IF(Settings!$B$22="USD",1/INDEX(Settings!$B$29:$B$40,MONTH(A914)),INDEX(Settings!$B$29:$B$40,MONTH(A914)))))</f>
        <v/>
      </c>
    </row>
    <row r="915" customFormat="false" ht="15" hidden="false" customHeight="false" outlineLevel="0" collapsed="false">
      <c r="H915" s="0" t="str">
        <f aca="false">IF(B915="","",IF(COUNTIF(Campaigns!$A$7:$A$300,B915)&gt;0,"✓","⚠ add to Campaigns tab"))</f>
        <v/>
      </c>
      <c r="I915" s="84" t="str">
        <f aca="false">IF(C915="","",C915*IF(Settings!$B$22=Settings!$C$6,1,IF(Settings!$B$22="USD",1/INDEX(Settings!$B$29:$B$40,MONTH(A915)),INDEX(Settings!$B$29:$B$40,MONTH(A915)))))</f>
        <v/>
      </c>
    </row>
    <row r="916" customFormat="false" ht="15" hidden="false" customHeight="false" outlineLevel="0" collapsed="false">
      <c r="H916" s="0" t="str">
        <f aca="false">IF(B916="","",IF(COUNTIF(Campaigns!$A$7:$A$300,B916)&gt;0,"✓","⚠ add to Campaigns tab"))</f>
        <v/>
      </c>
      <c r="I916" s="84" t="str">
        <f aca="false">IF(C916="","",C916*IF(Settings!$B$22=Settings!$C$6,1,IF(Settings!$B$22="USD",1/INDEX(Settings!$B$29:$B$40,MONTH(A916)),INDEX(Settings!$B$29:$B$40,MONTH(A916)))))</f>
        <v/>
      </c>
    </row>
    <row r="917" customFormat="false" ht="15" hidden="false" customHeight="false" outlineLevel="0" collapsed="false">
      <c r="H917" s="0" t="str">
        <f aca="false">IF(B917="","",IF(COUNTIF(Campaigns!$A$7:$A$300,B917)&gt;0,"✓","⚠ add to Campaigns tab"))</f>
        <v/>
      </c>
      <c r="I917" s="84" t="str">
        <f aca="false">IF(C917="","",C917*IF(Settings!$B$22=Settings!$C$6,1,IF(Settings!$B$22="USD",1/INDEX(Settings!$B$29:$B$40,MONTH(A917)),INDEX(Settings!$B$29:$B$40,MONTH(A917)))))</f>
        <v/>
      </c>
    </row>
    <row r="918" customFormat="false" ht="15" hidden="false" customHeight="false" outlineLevel="0" collapsed="false">
      <c r="H918" s="0" t="str">
        <f aca="false">IF(B918="","",IF(COUNTIF(Campaigns!$A$7:$A$300,B918)&gt;0,"✓","⚠ add to Campaigns tab"))</f>
        <v/>
      </c>
      <c r="I918" s="84" t="str">
        <f aca="false">IF(C918="","",C918*IF(Settings!$B$22=Settings!$C$6,1,IF(Settings!$B$22="USD",1/INDEX(Settings!$B$29:$B$40,MONTH(A918)),INDEX(Settings!$B$29:$B$40,MONTH(A918)))))</f>
        <v/>
      </c>
    </row>
    <row r="919" customFormat="false" ht="15" hidden="false" customHeight="false" outlineLevel="0" collapsed="false">
      <c r="H919" s="0" t="str">
        <f aca="false">IF(B919="","",IF(COUNTIF(Campaigns!$A$7:$A$300,B919)&gt;0,"✓","⚠ add to Campaigns tab"))</f>
        <v/>
      </c>
      <c r="I919" s="84" t="str">
        <f aca="false">IF(C919="","",C919*IF(Settings!$B$22=Settings!$C$6,1,IF(Settings!$B$22="USD",1/INDEX(Settings!$B$29:$B$40,MONTH(A919)),INDEX(Settings!$B$29:$B$40,MONTH(A919)))))</f>
        <v/>
      </c>
    </row>
    <row r="920" customFormat="false" ht="15" hidden="false" customHeight="false" outlineLevel="0" collapsed="false">
      <c r="H920" s="0" t="str">
        <f aca="false">IF(B920="","",IF(COUNTIF(Campaigns!$A$7:$A$300,B920)&gt;0,"✓","⚠ add to Campaigns tab"))</f>
        <v/>
      </c>
      <c r="I920" s="84" t="str">
        <f aca="false">IF(C920="","",C920*IF(Settings!$B$22=Settings!$C$6,1,IF(Settings!$B$22="USD",1/INDEX(Settings!$B$29:$B$40,MONTH(A920)),INDEX(Settings!$B$29:$B$40,MONTH(A920)))))</f>
        <v/>
      </c>
    </row>
    <row r="921" customFormat="false" ht="15" hidden="false" customHeight="false" outlineLevel="0" collapsed="false">
      <c r="H921" s="0" t="str">
        <f aca="false">IF(B921="","",IF(COUNTIF(Campaigns!$A$7:$A$300,B921)&gt;0,"✓","⚠ add to Campaigns tab"))</f>
        <v/>
      </c>
      <c r="I921" s="84" t="str">
        <f aca="false">IF(C921="","",C921*IF(Settings!$B$22=Settings!$C$6,1,IF(Settings!$B$22="USD",1/INDEX(Settings!$B$29:$B$40,MONTH(A921)),INDEX(Settings!$B$29:$B$40,MONTH(A921)))))</f>
        <v/>
      </c>
    </row>
    <row r="922" customFormat="false" ht="15" hidden="false" customHeight="false" outlineLevel="0" collapsed="false">
      <c r="H922" s="0" t="str">
        <f aca="false">IF(B922="","",IF(COUNTIF(Campaigns!$A$7:$A$300,B922)&gt;0,"✓","⚠ add to Campaigns tab"))</f>
        <v/>
      </c>
      <c r="I922" s="84" t="str">
        <f aca="false">IF(C922="","",C922*IF(Settings!$B$22=Settings!$C$6,1,IF(Settings!$B$22="USD",1/INDEX(Settings!$B$29:$B$40,MONTH(A922)),INDEX(Settings!$B$29:$B$40,MONTH(A922)))))</f>
        <v/>
      </c>
    </row>
    <row r="923" customFormat="false" ht="15" hidden="false" customHeight="false" outlineLevel="0" collapsed="false">
      <c r="H923" s="0" t="str">
        <f aca="false">IF(B923="","",IF(COUNTIF(Campaigns!$A$7:$A$300,B923)&gt;0,"✓","⚠ add to Campaigns tab"))</f>
        <v/>
      </c>
      <c r="I923" s="84" t="str">
        <f aca="false">IF(C923="","",C923*IF(Settings!$B$22=Settings!$C$6,1,IF(Settings!$B$22="USD",1/INDEX(Settings!$B$29:$B$40,MONTH(A923)),INDEX(Settings!$B$29:$B$40,MONTH(A923)))))</f>
        <v/>
      </c>
    </row>
    <row r="924" customFormat="false" ht="15" hidden="false" customHeight="false" outlineLevel="0" collapsed="false">
      <c r="H924" s="0" t="str">
        <f aca="false">IF(B924="","",IF(COUNTIF(Campaigns!$A$7:$A$300,B924)&gt;0,"✓","⚠ add to Campaigns tab"))</f>
        <v/>
      </c>
      <c r="I924" s="84" t="str">
        <f aca="false">IF(C924="","",C924*IF(Settings!$B$22=Settings!$C$6,1,IF(Settings!$B$22="USD",1/INDEX(Settings!$B$29:$B$40,MONTH(A924)),INDEX(Settings!$B$29:$B$40,MONTH(A924)))))</f>
        <v/>
      </c>
    </row>
    <row r="925" customFormat="false" ht="15" hidden="false" customHeight="false" outlineLevel="0" collapsed="false">
      <c r="H925" s="0" t="str">
        <f aca="false">IF(B925="","",IF(COUNTIF(Campaigns!$A$7:$A$300,B925)&gt;0,"✓","⚠ add to Campaigns tab"))</f>
        <v/>
      </c>
      <c r="I925" s="84" t="str">
        <f aca="false">IF(C925="","",C925*IF(Settings!$B$22=Settings!$C$6,1,IF(Settings!$B$22="USD",1/INDEX(Settings!$B$29:$B$40,MONTH(A925)),INDEX(Settings!$B$29:$B$40,MONTH(A925)))))</f>
        <v/>
      </c>
    </row>
    <row r="926" customFormat="false" ht="15" hidden="false" customHeight="false" outlineLevel="0" collapsed="false">
      <c r="H926" s="0" t="str">
        <f aca="false">IF(B926="","",IF(COUNTIF(Campaigns!$A$7:$A$300,B926)&gt;0,"✓","⚠ add to Campaigns tab"))</f>
        <v/>
      </c>
      <c r="I926" s="84" t="str">
        <f aca="false">IF(C926="","",C926*IF(Settings!$B$22=Settings!$C$6,1,IF(Settings!$B$22="USD",1/INDEX(Settings!$B$29:$B$40,MONTH(A926)),INDEX(Settings!$B$29:$B$40,MONTH(A926)))))</f>
        <v/>
      </c>
    </row>
    <row r="927" customFormat="false" ht="15" hidden="false" customHeight="false" outlineLevel="0" collapsed="false">
      <c r="H927" s="0" t="str">
        <f aca="false">IF(B927="","",IF(COUNTIF(Campaigns!$A$7:$A$300,B927)&gt;0,"✓","⚠ add to Campaigns tab"))</f>
        <v/>
      </c>
      <c r="I927" s="84" t="str">
        <f aca="false">IF(C927="","",C927*IF(Settings!$B$22=Settings!$C$6,1,IF(Settings!$B$22="USD",1/INDEX(Settings!$B$29:$B$40,MONTH(A927)),INDEX(Settings!$B$29:$B$40,MONTH(A927)))))</f>
        <v/>
      </c>
    </row>
    <row r="928" customFormat="false" ht="15" hidden="false" customHeight="false" outlineLevel="0" collapsed="false">
      <c r="H928" s="0" t="str">
        <f aca="false">IF(B928="","",IF(COUNTIF(Campaigns!$A$7:$A$300,B928)&gt;0,"✓","⚠ add to Campaigns tab"))</f>
        <v/>
      </c>
      <c r="I928" s="84" t="str">
        <f aca="false">IF(C928="","",C928*IF(Settings!$B$22=Settings!$C$6,1,IF(Settings!$B$22="USD",1/INDEX(Settings!$B$29:$B$40,MONTH(A928)),INDEX(Settings!$B$29:$B$40,MONTH(A928)))))</f>
        <v/>
      </c>
    </row>
    <row r="929" customFormat="false" ht="15" hidden="false" customHeight="false" outlineLevel="0" collapsed="false">
      <c r="H929" s="0" t="str">
        <f aca="false">IF(B929="","",IF(COUNTIF(Campaigns!$A$7:$A$300,B929)&gt;0,"✓","⚠ add to Campaigns tab"))</f>
        <v/>
      </c>
      <c r="I929" s="84" t="str">
        <f aca="false">IF(C929="","",C929*IF(Settings!$B$22=Settings!$C$6,1,IF(Settings!$B$22="USD",1/INDEX(Settings!$B$29:$B$40,MONTH(A929)),INDEX(Settings!$B$29:$B$40,MONTH(A929)))))</f>
        <v/>
      </c>
    </row>
    <row r="930" customFormat="false" ht="15" hidden="false" customHeight="false" outlineLevel="0" collapsed="false">
      <c r="H930" s="0" t="str">
        <f aca="false">IF(B930="","",IF(COUNTIF(Campaigns!$A$7:$A$300,B930)&gt;0,"✓","⚠ add to Campaigns tab"))</f>
        <v/>
      </c>
      <c r="I930" s="84" t="str">
        <f aca="false">IF(C930="","",C930*IF(Settings!$B$22=Settings!$C$6,1,IF(Settings!$B$22="USD",1/INDEX(Settings!$B$29:$B$40,MONTH(A930)),INDEX(Settings!$B$29:$B$40,MONTH(A930)))))</f>
        <v/>
      </c>
    </row>
    <row r="931" customFormat="false" ht="15" hidden="false" customHeight="false" outlineLevel="0" collapsed="false">
      <c r="H931" s="0" t="str">
        <f aca="false">IF(B931="","",IF(COUNTIF(Campaigns!$A$7:$A$300,B931)&gt;0,"✓","⚠ add to Campaigns tab"))</f>
        <v/>
      </c>
      <c r="I931" s="84" t="str">
        <f aca="false">IF(C931="","",C931*IF(Settings!$B$22=Settings!$C$6,1,IF(Settings!$B$22="USD",1/INDEX(Settings!$B$29:$B$40,MONTH(A931)),INDEX(Settings!$B$29:$B$40,MONTH(A931)))))</f>
        <v/>
      </c>
    </row>
    <row r="932" customFormat="false" ht="15" hidden="false" customHeight="false" outlineLevel="0" collapsed="false">
      <c r="H932" s="0" t="str">
        <f aca="false">IF(B932="","",IF(COUNTIF(Campaigns!$A$7:$A$300,B932)&gt;0,"✓","⚠ add to Campaigns tab"))</f>
        <v/>
      </c>
      <c r="I932" s="84" t="str">
        <f aca="false">IF(C932="","",C932*IF(Settings!$B$22=Settings!$C$6,1,IF(Settings!$B$22="USD",1/INDEX(Settings!$B$29:$B$40,MONTH(A932)),INDEX(Settings!$B$29:$B$40,MONTH(A932)))))</f>
        <v/>
      </c>
    </row>
    <row r="933" customFormat="false" ht="15" hidden="false" customHeight="false" outlineLevel="0" collapsed="false">
      <c r="H933" s="0" t="str">
        <f aca="false">IF(B933="","",IF(COUNTIF(Campaigns!$A$7:$A$300,B933)&gt;0,"✓","⚠ add to Campaigns tab"))</f>
        <v/>
      </c>
      <c r="I933" s="84" t="str">
        <f aca="false">IF(C933="","",C933*IF(Settings!$B$22=Settings!$C$6,1,IF(Settings!$B$22="USD",1/INDEX(Settings!$B$29:$B$40,MONTH(A933)),INDEX(Settings!$B$29:$B$40,MONTH(A933)))))</f>
        <v/>
      </c>
    </row>
    <row r="934" customFormat="false" ht="15" hidden="false" customHeight="false" outlineLevel="0" collapsed="false">
      <c r="H934" s="0" t="str">
        <f aca="false">IF(B934="","",IF(COUNTIF(Campaigns!$A$7:$A$300,B934)&gt;0,"✓","⚠ add to Campaigns tab"))</f>
        <v/>
      </c>
      <c r="I934" s="84" t="str">
        <f aca="false">IF(C934="","",C934*IF(Settings!$B$22=Settings!$C$6,1,IF(Settings!$B$22="USD",1/INDEX(Settings!$B$29:$B$40,MONTH(A934)),INDEX(Settings!$B$29:$B$40,MONTH(A934)))))</f>
        <v/>
      </c>
    </row>
    <row r="935" customFormat="false" ht="15" hidden="false" customHeight="false" outlineLevel="0" collapsed="false">
      <c r="H935" s="0" t="str">
        <f aca="false">IF(B935="","",IF(COUNTIF(Campaigns!$A$7:$A$300,B935)&gt;0,"✓","⚠ add to Campaigns tab"))</f>
        <v/>
      </c>
      <c r="I935" s="84" t="str">
        <f aca="false">IF(C935="","",C935*IF(Settings!$B$22=Settings!$C$6,1,IF(Settings!$B$22="USD",1/INDEX(Settings!$B$29:$B$40,MONTH(A935)),INDEX(Settings!$B$29:$B$40,MONTH(A935)))))</f>
        <v/>
      </c>
    </row>
    <row r="936" customFormat="false" ht="15" hidden="false" customHeight="false" outlineLevel="0" collapsed="false">
      <c r="H936" s="0" t="str">
        <f aca="false">IF(B936="","",IF(COUNTIF(Campaigns!$A$7:$A$300,B936)&gt;0,"✓","⚠ add to Campaigns tab"))</f>
        <v/>
      </c>
      <c r="I936" s="84" t="str">
        <f aca="false">IF(C936="","",C936*IF(Settings!$B$22=Settings!$C$6,1,IF(Settings!$B$22="USD",1/INDEX(Settings!$B$29:$B$40,MONTH(A936)),INDEX(Settings!$B$29:$B$40,MONTH(A936)))))</f>
        <v/>
      </c>
    </row>
    <row r="937" customFormat="false" ht="15" hidden="false" customHeight="false" outlineLevel="0" collapsed="false">
      <c r="H937" s="0" t="str">
        <f aca="false">IF(B937="","",IF(COUNTIF(Campaigns!$A$7:$A$300,B937)&gt;0,"✓","⚠ add to Campaigns tab"))</f>
        <v/>
      </c>
      <c r="I937" s="84" t="str">
        <f aca="false">IF(C937="","",C937*IF(Settings!$B$22=Settings!$C$6,1,IF(Settings!$B$22="USD",1/INDEX(Settings!$B$29:$B$40,MONTH(A937)),INDEX(Settings!$B$29:$B$40,MONTH(A937)))))</f>
        <v/>
      </c>
    </row>
    <row r="938" customFormat="false" ht="15" hidden="false" customHeight="false" outlineLevel="0" collapsed="false">
      <c r="H938" s="0" t="str">
        <f aca="false">IF(B938="","",IF(COUNTIF(Campaigns!$A$7:$A$300,B938)&gt;0,"✓","⚠ add to Campaigns tab"))</f>
        <v/>
      </c>
      <c r="I938" s="84" t="str">
        <f aca="false">IF(C938="","",C938*IF(Settings!$B$22=Settings!$C$6,1,IF(Settings!$B$22="USD",1/INDEX(Settings!$B$29:$B$40,MONTH(A938)),INDEX(Settings!$B$29:$B$40,MONTH(A938)))))</f>
        <v/>
      </c>
    </row>
    <row r="939" customFormat="false" ht="15" hidden="false" customHeight="false" outlineLevel="0" collapsed="false">
      <c r="H939" s="0" t="str">
        <f aca="false">IF(B939="","",IF(COUNTIF(Campaigns!$A$7:$A$300,B939)&gt;0,"✓","⚠ add to Campaigns tab"))</f>
        <v/>
      </c>
      <c r="I939" s="84" t="str">
        <f aca="false">IF(C939="","",C939*IF(Settings!$B$22=Settings!$C$6,1,IF(Settings!$B$22="USD",1/INDEX(Settings!$B$29:$B$40,MONTH(A939)),INDEX(Settings!$B$29:$B$40,MONTH(A939)))))</f>
        <v/>
      </c>
    </row>
    <row r="940" customFormat="false" ht="15" hidden="false" customHeight="false" outlineLevel="0" collapsed="false">
      <c r="H940" s="0" t="str">
        <f aca="false">IF(B940="","",IF(COUNTIF(Campaigns!$A$7:$A$300,B940)&gt;0,"✓","⚠ add to Campaigns tab"))</f>
        <v/>
      </c>
      <c r="I940" s="84" t="str">
        <f aca="false">IF(C940="","",C940*IF(Settings!$B$22=Settings!$C$6,1,IF(Settings!$B$22="USD",1/INDEX(Settings!$B$29:$B$40,MONTH(A940)),INDEX(Settings!$B$29:$B$40,MONTH(A940)))))</f>
        <v/>
      </c>
    </row>
    <row r="941" customFormat="false" ht="15" hidden="false" customHeight="false" outlineLevel="0" collapsed="false">
      <c r="H941" s="0" t="str">
        <f aca="false">IF(B941="","",IF(COUNTIF(Campaigns!$A$7:$A$300,B941)&gt;0,"✓","⚠ add to Campaigns tab"))</f>
        <v/>
      </c>
      <c r="I941" s="84" t="str">
        <f aca="false">IF(C941="","",C941*IF(Settings!$B$22=Settings!$C$6,1,IF(Settings!$B$22="USD",1/INDEX(Settings!$B$29:$B$40,MONTH(A941)),INDEX(Settings!$B$29:$B$40,MONTH(A941)))))</f>
        <v/>
      </c>
    </row>
    <row r="942" customFormat="false" ht="15" hidden="false" customHeight="false" outlineLevel="0" collapsed="false">
      <c r="H942" s="0" t="str">
        <f aca="false">IF(B942="","",IF(COUNTIF(Campaigns!$A$7:$A$300,B942)&gt;0,"✓","⚠ add to Campaigns tab"))</f>
        <v/>
      </c>
      <c r="I942" s="84" t="str">
        <f aca="false">IF(C942="","",C942*IF(Settings!$B$22=Settings!$C$6,1,IF(Settings!$B$22="USD",1/INDEX(Settings!$B$29:$B$40,MONTH(A942)),INDEX(Settings!$B$29:$B$40,MONTH(A942)))))</f>
        <v/>
      </c>
    </row>
    <row r="943" customFormat="false" ht="15" hidden="false" customHeight="false" outlineLevel="0" collapsed="false">
      <c r="H943" s="0" t="str">
        <f aca="false">IF(B943="","",IF(COUNTIF(Campaigns!$A$7:$A$300,B943)&gt;0,"✓","⚠ add to Campaigns tab"))</f>
        <v/>
      </c>
      <c r="I943" s="84" t="str">
        <f aca="false">IF(C943="","",C943*IF(Settings!$B$22=Settings!$C$6,1,IF(Settings!$B$22="USD",1/INDEX(Settings!$B$29:$B$40,MONTH(A943)),INDEX(Settings!$B$29:$B$40,MONTH(A943)))))</f>
        <v/>
      </c>
    </row>
    <row r="944" customFormat="false" ht="15" hidden="false" customHeight="false" outlineLevel="0" collapsed="false">
      <c r="H944" s="0" t="str">
        <f aca="false">IF(B944="","",IF(COUNTIF(Campaigns!$A$7:$A$300,B944)&gt;0,"✓","⚠ add to Campaigns tab"))</f>
        <v/>
      </c>
      <c r="I944" s="84" t="str">
        <f aca="false">IF(C944="","",C944*IF(Settings!$B$22=Settings!$C$6,1,IF(Settings!$B$22="USD",1/INDEX(Settings!$B$29:$B$40,MONTH(A944)),INDEX(Settings!$B$29:$B$40,MONTH(A944)))))</f>
        <v/>
      </c>
    </row>
    <row r="945" customFormat="false" ht="15" hidden="false" customHeight="false" outlineLevel="0" collapsed="false">
      <c r="H945" s="0" t="str">
        <f aca="false">IF(B945="","",IF(COUNTIF(Campaigns!$A$7:$A$300,B945)&gt;0,"✓","⚠ add to Campaigns tab"))</f>
        <v/>
      </c>
      <c r="I945" s="84" t="str">
        <f aca="false">IF(C945="","",C945*IF(Settings!$B$22=Settings!$C$6,1,IF(Settings!$B$22="USD",1/INDEX(Settings!$B$29:$B$40,MONTH(A945)),INDEX(Settings!$B$29:$B$40,MONTH(A945)))))</f>
        <v/>
      </c>
    </row>
    <row r="946" customFormat="false" ht="15" hidden="false" customHeight="false" outlineLevel="0" collapsed="false">
      <c r="H946" s="0" t="str">
        <f aca="false">IF(B946="","",IF(COUNTIF(Campaigns!$A$7:$A$300,B946)&gt;0,"✓","⚠ add to Campaigns tab"))</f>
        <v/>
      </c>
      <c r="I946" s="84" t="str">
        <f aca="false">IF(C946="","",C946*IF(Settings!$B$22=Settings!$C$6,1,IF(Settings!$B$22="USD",1/INDEX(Settings!$B$29:$B$40,MONTH(A946)),INDEX(Settings!$B$29:$B$40,MONTH(A946)))))</f>
        <v/>
      </c>
    </row>
    <row r="947" customFormat="false" ht="15" hidden="false" customHeight="false" outlineLevel="0" collapsed="false">
      <c r="H947" s="0" t="str">
        <f aca="false">IF(B947="","",IF(COUNTIF(Campaigns!$A$7:$A$300,B947)&gt;0,"✓","⚠ add to Campaigns tab"))</f>
        <v/>
      </c>
      <c r="I947" s="84" t="str">
        <f aca="false">IF(C947="","",C947*IF(Settings!$B$22=Settings!$C$6,1,IF(Settings!$B$22="USD",1/INDEX(Settings!$B$29:$B$40,MONTH(A947)),INDEX(Settings!$B$29:$B$40,MONTH(A947)))))</f>
        <v/>
      </c>
    </row>
    <row r="948" customFormat="false" ht="15" hidden="false" customHeight="false" outlineLevel="0" collapsed="false">
      <c r="H948" s="0" t="str">
        <f aca="false">IF(B948="","",IF(COUNTIF(Campaigns!$A$7:$A$300,B948)&gt;0,"✓","⚠ add to Campaigns tab"))</f>
        <v/>
      </c>
      <c r="I948" s="84" t="str">
        <f aca="false">IF(C948="","",C948*IF(Settings!$B$22=Settings!$C$6,1,IF(Settings!$B$22="USD",1/INDEX(Settings!$B$29:$B$40,MONTH(A948)),INDEX(Settings!$B$29:$B$40,MONTH(A948)))))</f>
        <v/>
      </c>
    </row>
    <row r="949" customFormat="false" ht="15" hidden="false" customHeight="false" outlineLevel="0" collapsed="false">
      <c r="H949" s="0" t="str">
        <f aca="false">IF(B949="","",IF(COUNTIF(Campaigns!$A$7:$A$300,B949)&gt;0,"✓","⚠ add to Campaigns tab"))</f>
        <v/>
      </c>
      <c r="I949" s="84" t="str">
        <f aca="false">IF(C949="","",C949*IF(Settings!$B$22=Settings!$C$6,1,IF(Settings!$B$22="USD",1/INDEX(Settings!$B$29:$B$40,MONTH(A949)),INDEX(Settings!$B$29:$B$40,MONTH(A949)))))</f>
        <v/>
      </c>
    </row>
    <row r="950" customFormat="false" ht="15" hidden="false" customHeight="false" outlineLevel="0" collapsed="false">
      <c r="H950" s="0" t="str">
        <f aca="false">IF(B950="","",IF(COUNTIF(Campaigns!$A$7:$A$300,B950)&gt;0,"✓","⚠ add to Campaigns tab"))</f>
        <v/>
      </c>
      <c r="I950" s="84" t="str">
        <f aca="false">IF(C950="","",C950*IF(Settings!$B$22=Settings!$C$6,1,IF(Settings!$B$22="USD",1/INDEX(Settings!$B$29:$B$40,MONTH(A950)),INDEX(Settings!$B$29:$B$40,MONTH(A950)))))</f>
        <v/>
      </c>
    </row>
    <row r="951" customFormat="false" ht="15" hidden="false" customHeight="false" outlineLevel="0" collapsed="false">
      <c r="H951" s="0" t="str">
        <f aca="false">IF(B951="","",IF(COUNTIF(Campaigns!$A$7:$A$300,B951)&gt;0,"✓","⚠ add to Campaigns tab"))</f>
        <v/>
      </c>
      <c r="I951" s="84" t="str">
        <f aca="false">IF(C951="","",C951*IF(Settings!$B$22=Settings!$C$6,1,IF(Settings!$B$22="USD",1/INDEX(Settings!$B$29:$B$40,MONTH(A951)),INDEX(Settings!$B$29:$B$40,MONTH(A951)))))</f>
        <v/>
      </c>
    </row>
    <row r="952" customFormat="false" ht="15" hidden="false" customHeight="false" outlineLevel="0" collapsed="false">
      <c r="H952" s="0" t="str">
        <f aca="false">IF(B952="","",IF(COUNTIF(Campaigns!$A$7:$A$300,B952)&gt;0,"✓","⚠ add to Campaigns tab"))</f>
        <v/>
      </c>
      <c r="I952" s="84" t="str">
        <f aca="false">IF(C952="","",C952*IF(Settings!$B$22=Settings!$C$6,1,IF(Settings!$B$22="USD",1/INDEX(Settings!$B$29:$B$40,MONTH(A952)),INDEX(Settings!$B$29:$B$40,MONTH(A952)))))</f>
        <v/>
      </c>
    </row>
    <row r="953" customFormat="false" ht="15" hidden="false" customHeight="false" outlineLevel="0" collapsed="false">
      <c r="H953" s="0" t="str">
        <f aca="false">IF(B953="","",IF(COUNTIF(Campaigns!$A$7:$A$300,B953)&gt;0,"✓","⚠ add to Campaigns tab"))</f>
        <v/>
      </c>
      <c r="I953" s="84" t="str">
        <f aca="false">IF(C953="","",C953*IF(Settings!$B$22=Settings!$C$6,1,IF(Settings!$B$22="USD",1/INDEX(Settings!$B$29:$B$40,MONTH(A953)),INDEX(Settings!$B$29:$B$40,MONTH(A953)))))</f>
        <v/>
      </c>
    </row>
    <row r="954" customFormat="false" ht="15" hidden="false" customHeight="false" outlineLevel="0" collapsed="false">
      <c r="H954" s="0" t="str">
        <f aca="false">IF(B954="","",IF(COUNTIF(Campaigns!$A$7:$A$300,B954)&gt;0,"✓","⚠ add to Campaigns tab"))</f>
        <v/>
      </c>
      <c r="I954" s="84" t="str">
        <f aca="false">IF(C954="","",C954*IF(Settings!$B$22=Settings!$C$6,1,IF(Settings!$B$22="USD",1/INDEX(Settings!$B$29:$B$40,MONTH(A954)),INDEX(Settings!$B$29:$B$40,MONTH(A954)))))</f>
        <v/>
      </c>
    </row>
    <row r="955" customFormat="false" ht="15" hidden="false" customHeight="false" outlineLevel="0" collapsed="false">
      <c r="H955" s="0" t="str">
        <f aca="false">IF(B955="","",IF(COUNTIF(Campaigns!$A$7:$A$300,B955)&gt;0,"✓","⚠ add to Campaigns tab"))</f>
        <v/>
      </c>
      <c r="I955" s="84" t="str">
        <f aca="false">IF(C955="","",C955*IF(Settings!$B$22=Settings!$C$6,1,IF(Settings!$B$22="USD",1/INDEX(Settings!$B$29:$B$40,MONTH(A955)),INDEX(Settings!$B$29:$B$40,MONTH(A955)))))</f>
        <v/>
      </c>
    </row>
    <row r="956" customFormat="false" ht="15" hidden="false" customHeight="false" outlineLevel="0" collapsed="false">
      <c r="H956" s="0" t="str">
        <f aca="false">IF(B956="","",IF(COUNTIF(Campaigns!$A$7:$A$300,B956)&gt;0,"✓","⚠ add to Campaigns tab"))</f>
        <v/>
      </c>
      <c r="I956" s="84" t="str">
        <f aca="false">IF(C956="","",C956*IF(Settings!$B$22=Settings!$C$6,1,IF(Settings!$B$22="USD",1/INDEX(Settings!$B$29:$B$40,MONTH(A956)),INDEX(Settings!$B$29:$B$40,MONTH(A956)))))</f>
        <v/>
      </c>
    </row>
    <row r="957" customFormat="false" ht="15" hidden="false" customHeight="false" outlineLevel="0" collapsed="false">
      <c r="H957" s="0" t="str">
        <f aca="false">IF(B957="","",IF(COUNTIF(Campaigns!$A$7:$A$300,B957)&gt;0,"✓","⚠ add to Campaigns tab"))</f>
        <v/>
      </c>
      <c r="I957" s="84" t="str">
        <f aca="false">IF(C957="","",C957*IF(Settings!$B$22=Settings!$C$6,1,IF(Settings!$B$22="USD",1/INDEX(Settings!$B$29:$B$40,MONTH(A957)),INDEX(Settings!$B$29:$B$40,MONTH(A957)))))</f>
        <v/>
      </c>
    </row>
    <row r="958" customFormat="false" ht="15" hidden="false" customHeight="false" outlineLevel="0" collapsed="false">
      <c r="H958" s="0" t="str">
        <f aca="false">IF(B958="","",IF(COUNTIF(Campaigns!$A$7:$A$300,B958)&gt;0,"✓","⚠ add to Campaigns tab"))</f>
        <v/>
      </c>
      <c r="I958" s="84" t="str">
        <f aca="false">IF(C958="","",C958*IF(Settings!$B$22=Settings!$C$6,1,IF(Settings!$B$22="USD",1/INDEX(Settings!$B$29:$B$40,MONTH(A958)),INDEX(Settings!$B$29:$B$40,MONTH(A958)))))</f>
        <v/>
      </c>
    </row>
    <row r="959" customFormat="false" ht="15" hidden="false" customHeight="false" outlineLevel="0" collapsed="false">
      <c r="H959" s="0" t="str">
        <f aca="false">IF(B959="","",IF(COUNTIF(Campaigns!$A$7:$A$300,B959)&gt;0,"✓","⚠ add to Campaigns tab"))</f>
        <v/>
      </c>
      <c r="I959" s="84" t="str">
        <f aca="false">IF(C959="","",C959*IF(Settings!$B$22=Settings!$C$6,1,IF(Settings!$B$22="USD",1/INDEX(Settings!$B$29:$B$40,MONTH(A959)),INDEX(Settings!$B$29:$B$40,MONTH(A959)))))</f>
        <v/>
      </c>
    </row>
    <row r="960" customFormat="false" ht="15" hidden="false" customHeight="false" outlineLevel="0" collapsed="false">
      <c r="H960" s="0" t="str">
        <f aca="false">IF(B960="","",IF(COUNTIF(Campaigns!$A$7:$A$300,B960)&gt;0,"✓","⚠ add to Campaigns tab"))</f>
        <v/>
      </c>
      <c r="I960" s="84" t="str">
        <f aca="false">IF(C960="","",C960*IF(Settings!$B$22=Settings!$C$6,1,IF(Settings!$B$22="USD",1/INDEX(Settings!$B$29:$B$40,MONTH(A960)),INDEX(Settings!$B$29:$B$40,MONTH(A960)))))</f>
        <v/>
      </c>
    </row>
    <row r="961" customFormat="false" ht="15" hidden="false" customHeight="false" outlineLevel="0" collapsed="false">
      <c r="H961" s="0" t="str">
        <f aca="false">IF(B961="","",IF(COUNTIF(Campaigns!$A$7:$A$300,B961)&gt;0,"✓","⚠ add to Campaigns tab"))</f>
        <v/>
      </c>
      <c r="I961" s="84" t="str">
        <f aca="false">IF(C961="","",C961*IF(Settings!$B$22=Settings!$C$6,1,IF(Settings!$B$22="USD",1/INDEX(Settings!$B$29:$B$40,MONTH(A961)),INDEX(Settings!$B$29:$B$40,MONTH(A961)))))</f>
        <v/>
      </c>
    </row>
    <row r="962" customFormat="false" ht="15" hidden="false" customHeight="false" outlineLevel="0" collapsed="false">
      <c r="H962" s="0" t="str">
        <f aca="false">IF(B962="","",IF(COUNTIF(Campaigns!$A$7:$A$300,B962)&gt;0,"✓","⚠ add to Campaigns tab"))</f>
        <v/>
      </c>
      <c r="I962" s="84" t="str">
        <f aca="false">IF(C962="","",C962*IF(Settings!$B$22=Settings!$C$6,1,IF(Settings!$B$22="USD",1/INDEX(Settings!$B$29:$B$40,MONTH(A962)),INDEX(Settings!$B$29:$B$40,MONTH(A962)))))</f>
        <v/>
      </c>
    </row>
    <row r="963" customFormat="false" ht="15" hidden="false" customHeight="false" outlineLevel="0" collapsed="false">
      <c r="H963" s="0" t="str">
        <f aca="false">IF(B963="","",IF(COUNTIF(Campaigns!$A$7:$A$300,B963)&gt;0,"✓","⚠ add to Campaigns tab"))</f>
        <v/>
      </c>
      <c r="I963" s="84" t="str">
        <f aca="false">IF(C963="","",C963*IF(Settings!$B$22=Settings!$C$6,1,IF(Settings!$B$22="USD",1/INDEX(Settings!$B$29:$B$40,MONTH(A963)),INDEX(Settings!$B$29:$B$40,MONTH(A963)))))</f>
        <v/>
      </c>
    </row>
    <row r="964" customFormat="false" ht="15" hidden="false" customHeight="false" outlineLevel="0" collapsed="false">
      <c r="H964" s="0" t="str">
        <f aca="false">IF(B964="","",IF(COUNTIF(Campaigns!$A$7:$A$300,B964)&gt;0,"✓","⚠ add to Campaigns tab"))</f>
        <v/>
      </c>
      <c r="I964" s="84" t="str">
        <f aca="false">IF(C964="","",C964*IF(Settings!$B$22=Settings!$C$6,1,IF(Settings!$B$22="USD",1/INDEX(Settings!$B$29:$B$40,MONTH(A964)),INDEX(Settings!$B$29:$B$40,MONTH(A964)))))</f>
        <v/>
      </c>
    </row>
    <row r="965" customFormat="false" ht="15" hidden="false" customHeight="false" outlineLevel="0" collapsed="false">
      <c r="H965" s="0" t="str">
        <f aca="false">IF(B965="","",IF(COUNTIF(Campaigns!$A$7:$A$300,B965)&gt;0,"✓","⚠ add to Campaigns tab"))</f>
        <v/>
      </c>
      <c r="I965" s="84" t="str">
        <f aca="false">IF(C965="","",C965*IF(Settings!$B$22=Settings!$C$6,1,IF(Settings!$B$22="USD",1/INDEX(Settings!$B$29:$B$40,MONTH(A965)),INDEX(Settings!$B$29:$B$40,MONTH(A965)))))</f>
        <v/>
      </c>
    </row>
    <row r="966" customFormat="false" ht="15" hidden="false" customHeight="false" outlineLevel="0" collapsed="false">
      <c r="H966" s="0" t="str">
        <f aca="false">IF(B966="","",IF(COUNTIF(Campaigns!$A$7:$A$300,B966)&gt;0,"✓","⚠ add to Campaigns tab"))</f>
        <v/>
      </c>
      <c r="I966" s="84" t="str">
        <f aca="false">IF(C966="","",C966*IF(Settings!$B$22=Settings!$C$6,1,IF(Settings!$B$22="USD",1/INDEX(Settings!$B$29:$B$40,MONTH(A966)),INDEX(Settings!$B$29:$B$40,MONTH(A966)))))</f>
        <v/>
      </c>
    </row>
    <row r="967" customFormat="false" ht="15" hidden="false" customHeight="false" outlineLevel="0" collapsed="false">
      <c r="H967" s="0" t="str">
        <f aca="false">IF(B967="","",IF(COUNTIF(Campaigns!$A$7:$A$300,B967)&gt;0,"✓","⚠ add to Campaigns tab"))</f>
        <v/>
      </c>
      <c r="I967" s="84" t="str">
        <f aca="false">IF(C967="","",C967*IF(Settings!$B$22=Settings!$C$6,1,IF(Settings!$B$22="USD",1/INDEX(Settings!$B$29:$B$40,MONTH(A967)),INDEX(Settings!$B$29:$B$40,MONTH(A967)))))</f>
        <v/>
      </c>
    </row>
    <row r="968" customFormat="false" ht="15" hidden="false" customHeight="false" outlineLevel="0" collapsed="false">
      <c r="H968" s="0" t="str">
        <f aca="false">IF(B968="","",IF(COUNTIF(Campaigns!$A$7:$A$300,B968)&gt;0,"✓","⚠ add to Campaigns tab"))</f>
        <v/>
      </c>
      <c r="I968" s="84" t="str">
        <f aca="false">IF(C968="","",C968*IF(Settings!$B$22=Settings!$C$6,1,IF(Settings!$B$22="USD",1/INDEX(Settings!$B$29:$B$40,MONTH(A968)),INDEX(Settings!$B$29:$B$40,MONTH(A968)))))</f>
        <v/>
      </c>
    </row>
    <row r="969" customFormat="false" ht="15" hidden="false" customHeight="false" outlineLevel="0" collapsed="false">
      <c r="H969" s="0" t="str">
        <f aca="false">IF(B969="","",IF(COUNTIF(Campaigns!$A$7:$A$300,B969)&gt;0,"✓","⚠ add to Campaigns tab"))</f>
        <v/>
      </c>
      <c r="I969" s="84" t="str">
        <f aca="false">IF(C969="","",C969*IF(Settings!$B$22=Settings!$C$6,1,IF(Settings!$B$22="USD",1/INDEX(Settings!$B$29:$B$40,MONTH(A969)),INDEX(Settings!$B$29:$B$40,MONTH(A969)))))</f>
        <v/>
      </c>
    </row>
    <row r="970" customFormat="false" ht="15" hidden="false" customHeight="false" outlineLevel="0" collapsed="false">
      <c r="H970" s="0" t="str">
        <f aca="false">IF(B970="","",IF(COUNTIF(Campaigns!$A$7:$A$300,B970)&gt;0,"✓","⚠ add to Campaigns tab"))</f>
        <v/>
      </c>
      <c r="I970" s="84" t="str">
        <f aca="false">IF(C970="","",C970*IF(Settings!$B$22=Settings!$C$6,1,IF(Settings!$B$22="USD",1/INDEX(Settings!$B$29:$B$40,MONTH(A970)),INDEX(Settings!$B$29:$B$40,MONTH(A970)))))</f>
        <v/>
      </c>
    </row>
    <row r="971" customFormat="false" ht="15" hidden="false" customHeight="false" outlineLevel="0" collapsed="false">
      <c r="H971" s="0" t="str">
        <f aca="false">IF(B971="","",IF(COUNTIF(Campaigns!$A$7:$A$300,B971)&gt;0,"✓","⚠ add to Campaigns tab"))</f>
        <v/>
      </c>
      <c r="I971" s="84" t="str">
        <f aca="false">IF(C971="","",C971*IF(Settings!$B$22=Settings!$C$6,1,IF(Settings!$B$22="USD",1/INDEX(Settings!$B$29:$B$40,MONTH(A971)),INDEX(Settings!$B$29:$B$40,MONTH(A971)))))</f>
        <v/>
      </c>
    </row>
    <row r="972" customFormat="false" ht="15" hidden="false" customHeight="false" outlineLevel="0" collapsed="false">
      <c r="H972" s="0" t="str">
        <f aca="false">IF(B972="","",IF(COUNTIF(Campaigns!$A$7:$A$300,B972)&gt;0,"✓","⚠ add to Campaigns tab"))</f>
        <v/>
      </c>
      <c r="I972" s="84" t="str">
        <f aca="false">IF(C972="","",C972*IF(Settings!$B$22=Settings!$C$6,1,IF(Settings!$B$22="USD",1/INDEX(Settings!$B$29:$B$40,MONTH(A972)),INDEX(Settings!$B$29:$B$40,MONTH(A972)))))</f>
        <v/>
      </c>
    </row>
    <row r="973" customFormat="false" ht="15" hidden="false" customHeight="false" outlineLevel="0" collapsed="false">
      <c r="H973" s="0" t="str">
        <f aca="false">IF(B973="","",IF(COUNTIF(Campaigns!$A$7:$A$300,B973)&gt;0,"✓","⚠ add to Campaigns tab"))</f>
        <v/>
      </c>
      <c r="I973" s="84" t="str">
        <f aca="false">IF(C973="","",C973*IF(Settings!$B$22=Settings!$C$6,1,IF(Settings!$B$22="USD",1/INDEX(Settings!$B$29:$B$40,MONTH(A973)),INDEX(Settings!$B$29:$B$40,MONTH(A973)))))</f>
        <v/>
      </c>
    </row>
    <row r="974" customFormat="false" ht="15" hidden="false" customHeight="false" outlineLevel="0" collapsed="false">
      <c r="H974" s="0" t="str">
        <f aca="false">IF(B974="","",IF(COUNTIF(Campaigns!$A$7:$A$300,B974)&gt;0,"✓","⚠ add to Campaigns tab"))</f>
        <v/>
      </c>
      <c r="I974" s="84" t="str">
        <f aca="false">IF(C974="","",C974*IF(Settings!$B$22=Settings!$C$6,1,IF(Settings!$B$22="USD",1/INDEX(Settings!$B$29:$B$40,MONTH(A974)),INDEX(Settings!$B$29:$B$40,MONTH(A974)))))</f>
        <v/>
      </c>
    </row>
    <row r="975" customFormat="false" ht="15" hidden="false" customHeight="false" outlineLevel="0" collapsed="false">
      <c r="H975" s="0" t="str">
        <f aca="false">IF(B975="","",IF(COUNTIF(Campaigns!$A$7:$A$300,B975)&gt;0,"✓","⚠ add to Campaigns tab"))</f>
        <v/>
      </c>
      <c r="I975" s="84" t="str">
        <f aca="false">IF(C975="","",C975*IF(Settings!$B$22=Settings!$C$6,1,IF(Settings!$B$22="USD",1/INDEX(Settings!$B$29:$B$40,MONTH(A975)),INDEX(Settings!$B$29:$B$40,MONTH(A975)))))</f>
        <v/>
      </c>
    </row>
    <row r="976" customFormat="false" ht="15" hidden="false" customHeight="false" outlineLevel="0" collapsed="false">
      <c r="H976" s="0" t="str">
        <f aca="false">IF(B976="","",IF(COUNTIF(Campaigns!$A$7:$A$300,B976)&gt;0,"✓","⚠ add to Campaigns tab"))</f>
        <v/>
      </c>
      <c r="I976" s="84" t="str">
        <f aca="false">IF(C976="","",C976*IF(Settings!$B$22=Settings!$C$6,1,IF(Settings!$B$22="USD",1/INDEX(Settings!$B$29:$B$40,MONTH(A976)),INDEX(Settings!$B$29:$B$40,MONTH(A976)))))</f>
        <v/>
      </c>
    </row>
    <row r="977" customFormat="false" ht="15" hidden="false" customHeight="false" outlineLevel="0" collapsed="false">
      <c r="H977" s="0" t="str">
        <f aca="false">IF(B977="","",IF(COUNTIF(Campaigns!$A$7:$A$300,B977)&gt;0,"✓","⚠ add to Campaigns tab"))</f>
        <v/>
      </c>
      <c r="I977" s="84" t="str">
        <f aca="false">IF(C977="","",C977*IF(Settings!$B$22=Settings!$C$6,1,IF(Settings!$B$22="USD",1/INDEX(Settings!$B$29:$B$40,MONTH(A977)),INDEX(Settings!$B$29:$B$40,MONTH(A977)))))</f>
        <v/>
      </c>
    </row>
    <row r="978" customFormat="false" ht="15" hidden="false" customHeight="false" outlineLevel="0" collapsed="false">
      <c r="H978" s="0" t="str">
        <f aca="false">IF(B978="","",IF(COUNTIF(Campaigns!$A$7:$A$300,B978)&gt;0,"✓","⚠ add to Campaigns tab"))</f>
        <v/>
      </c>
      <c r="I978" s="84" t="str">
        <f aca="false">IF(C978="","",C978*IF(Settings!$B$22=Settings!$C$6,1,IF(Settings!$B$22="USD",1/INDEX(Settings!$B$29:$B$40,MONTH(A978)),INDEX(Settings!$B$29:$B$40,MONTH(A978)))))</f>
        <v/>
      </c>
    </row>
    <row r="979" customFormat="false" ht="15" hidden="false" customHeight="false" outlineLevel="0" collapsed="false">
      <c r="H979" s="0" t="str">
        <f aca="false">IF(B979="","",IF(COUNTIF(Campaigns!$A$7:$A$300,B979)&gt;0,"✓","⚠ add to Campaigns tab"))</f>
        <v/>
      </c>
      <c r="I979" s="84" t="str">
        <f aca="false">IF(C979="","",C979*IF(Settings!$B$22=Settings!$C$6,1,IF(Settings!$B$22="USD",1/INDEX(Settings!$B$29:$B$40,MONTH(A979)),INDEX(Settings!$B$29:$B$40,MONTH(A979)))))</f>
        <v/>
      </c>
    </row>
    <row r="980" customFormat="false" ht="15" hidden="false" customHeight="false" outlineLevel="0" collapsed="false">
      <c r="H980" s="0" t="str">
        <f aca="false">IF(B980="","",IF(COUNTIF(Campaigns!$A$7:$A$300,B980)&gt;0,"✓","⚠ add to Campaigns tab"))</f>
        <v/>
      </c>
      <c r="I980" s="84" t="str">
        <f aca="false">IF(C980="","",C980*IF(Settings!$B$22=Settings!$C$6,1,IF(Settings!$B$22="USD",1/INDEX(Settings!$B$29:$B$40,MONTH(A980)),INDEX(Settings!$B$29:$B$40,MONTH(A980)))))</f>
        <v/>
      </c>
    </row>
    <row r="981" customFormat="false" ht="15" hidden="false" customHeight="false" outlineLevel="0" collapsed="false">
      <c r="H981" s="0" t="str">
        <f aca="false">IF(B981="","",IF(COUNTIF(Campaigns!$A$7:$A$300,B981)&gt;0,"✓","⚠ add to Campaigns tab"))</f>
        <v/>
      </c>
      <c r="I981" s="84" t="str">
        <f aca="false">IF(C981="","",C981*IF(Settings!$B$22=Settings!$C$6,1,IF(Settings!$B$22="USD",1/INDEX(Settings!$B$29:$B$40,MONTH(A981)),INDEX(Settings!$B$29:$B$40,MONTH(A981)))))</f>
        <v/>
      </c>
    </row>
    <row r="982" customFormat="false" ht="15" hidden="false" customHeight="false" outlineLevel="0" collapsed="false">
      <c r="H982" s="0" t="str">
        <f aca="false">IF(B982="","",IF(COUNTIF(Campaigns!$A$7:$A$300,B982)&gt;0,"✓","⚠ add to Campaigns tab"))</f>
        <v/>
      </c>
      <c r="I982" s="84" t="str">
        <f aca="false">IF(C982="","",C982*IF(Settings!$B$22=Settings!$C$6,1,IF(Settings!$B$22="USD",1/INDEX(Settings!$B$29:$B$40,MONTH(A982)),INDEX(Settings!$B$29:$B$40,MONTH(A982)))))</f>
        <v/>
      </c>
    </row>
    <row r="983" customFormat="false" ht="15" hidden="false" customHeight="false" outlineLevel="0" collapsed="false">
      <c r="H983" s="0" t="str">
        <f aca="false">IF(B983="","",IF(COUNTIF(Campaigns!$A$7:$A$300,B983)&gt;0,"✓","⚠ add to Campaigns tab"))</f>
        <v/>
      </c>
      <c r="I983" s="84" t="str">
        <f aca="false">IF(C983="","",C983*IF(Settings!$B$22=Settings!$C$6,1,IF(Settings!$B$22="USD",1/INDEX(Settings!$B$29:$B$40,MONTH(A983)),INDEX(Settings!$B$29:$B$40,MONTH(A983)))))</f>
        <v/>
      </c>
    </row>
    <row r="984" customFormat="false" ht="15" hidden="false" customHeight="false" outlineLevel="0" collapsed="false">
      <c r="H984" s="0" t="str">
        <f aca="false">IF(B984="","",IF(COUNTIF(Campaigns!$A$7:$A$300,B984)&gt;0,"✓","⚠ add to Campaigns tab"))</f>
        <v/>
      </c>
      <c r="I984" s="84" t="str">
        <f aca="false">IF(C984="","",C984*IF(Settings!$B$22=Settings!$C$6,1,IF(Settings!$B$22="USD",1/INDEX(Settings!$B$29:$B$40,MONTH(A984)),INDEX(Settings!$B$29:$B$40,MONTH(A984)))))</f>
        <v/>
      </c>
    </row>
    <row r="985" customFormat="false" ht="15" hidden="false" customHeight="false" outlineLevel="0" collapsed="false">
      <c r="H985" s="0" t="str">
        <f aca="false">IF(B985="","",IF(COUNTIF(Campaigns!$A$7:$A$300,B985)&gt;0,"✓","⚠ add to Campaigns tab"))</f>
        <v/>
      </c>
      <c r="I985" s="84" t="str">
        <f aca="false">IF(C985="","",C985*IF(Settings!$B$22=Settings!$C$6,1,IF(Settings!$B$22="USD",1/INDEX(Settings!$B$29:$B$40,MONTH(A985)),INDEX(Settings!$B$29:$B$40,MONTH(A985)))))</f>
        <v/>
      </c>
    </row>
    <row r="986" customFormat="false" ht="15" hidden="false" customHeight="false" outlineLevel="0" collapsed="false">
      <c r="H986" s="0" t="str">
        <f aca="false">IF(B986="","",IF(COUNTIF(Campaigns!$A$7:$A$300,B986)&gt;0,"✓","⚠ add to Campaigns tab"))</f>
        <v/>
      </c>
      <c r="I986" s="84" t="str">
        <f aca="false">IF(C986="","",C986*IF(Settings!$B$22=Settings!$C$6,1,IF(Settings!$B$22="USD",1/INDEX(Settings!$B$29:$B$40,MONTH(A986)),INDEX(Settings!$B$29:$B$40,MONTH(A986)))))</f>
        <v/>
      </c>
    </row>
    <row r="987" customFormat="false" ht="15" hidden="false" customHeight="false" outlineLevel="0" collapsed="false">
      <c r="H987" s="0" t="str">
        <f aca="false">IF(B987="","",IF(COUNTIF(Campaigns!$A$7:$A$300,B987)&gt;0,"✓","⚠ add to Campaigns tab"))</f>
        <v/>
      </c>
      <c r="I987" s="84" t="str">
        <f aca="false">IF(C987="","",C987*IF(Settings!$B$22=Settings!$C$6,1,IF(Settings!$B$22="USD",1/INDEX(Settings!$B$29:$B$40,MONTH(A987)),INDEX(Settings!$B$29:$B$40,MONTH(A987)))))</f>
        <v/>
      </c>
    </row>
    <row r="988" customFormat="false" ht="15" hidden="false" customHeight="false" outlineLevel="0" collapsed="false">
      <c r="H988" s="0" t="str">
        <f aca="false">IF(B988="","",IF(COUNTIF(Campaigns!$A$7:$A$300,B988)&gt;0,"✓","⚠ add to Campaigns tab"))</f>
        <v/>
      </c>
      <c r="I988" s="84" t="str">
        <f aca="false">IF(C988="","",C988*IF(Settings!$B$22=Settings!$C$6,1,IF(Settings!$B$22="USD",1/INDEX(Settings!$B$29:$B$40,MONTH(A988)),INDEX(Settings!$B$29:$B$40,MONTH(A988)))))</f>
        <v/>
      </c>
    </row>
    <row r="989" customFormat="false" ht="15" hidden="false" customHeight="false" outlineLevel="0" collapsed="false">
      <c r="H989" s="0" t="str">
        <f aca="false">IF(B989="","",IF(COUNTIF(Campaigns!$A$7:$A$300,B989)&gt;0,"✓","⚠ add to Campaigns tab"))</f>
        <v/>
      </c>
      <c r="I989" s="84" t="str">
        <f aca="false">IF(C989="","",C989*IF(Settings!$B$22=Settings!$C$6,1,IF(Settings!$B$22="USD",1/INDEX(Settings!$B$29:$B$40,MONTH(A989)),INDEX(Settings!$B$29:$B$40,MONTH(A989)))))</f>
        <v/>
      </c>
    </row>
    <row r="990" customFormat="false" ht="15" hidden="false" customHeight="false" outlineLevel="0" collapsed="false">
      <c r="H990" s="0" t="str">
        <f aca="false">IF(B990="","",IF(COUNTIF(Campaigns!$A$7:$A$300,B990)&gt;0,"✓","⚠ add to Campaigns tab"))</f>
        <v/>
      </c>
      <c r="I990" s="84" t="str">
        <f aca="false">IF(C990="","",C990*IF(Settings!$B$22=Settings!$C$6,1,IF(Settings!$B$22="USD",1/INDEX(Settings!$B$29:$B$40,MONTH(A990)),INDEX(Settings!$B$29:$B$40,MONTH(A990)))))</f>
        <v/>
      </c>
    </row>
    <row r="991" customFormat="false" ht="15" hidden="false" customHeight="false" outlineLevel="0" collapsed="false">
      <c r="H991" s="0" t="str">
        <f aca="false">IF(B991="","",IF(COUNTIF(Campaigns!$A$7:$A$300,B991)&gt;0,"✓","⚠ add to Campaigns tab"))</f>
        <v/>
      </c>
      <c r="I991" s="84" t="str">
        <f aca="false">IF(C991="","",C991*IF(Settings!$B$22=Settings!$C$6,1,IF(Settings!$B$22="USD",1/INDEX(Settings!$B$29:$B$40,MONTH(A991)),INDEX(Settings!$B$29:$B$40,MONTH(A991)))))</f>
        <v/>
      </c>
    </row>
    <row r="992" customFormat="false" ht="15" hidden="false" customHeight="false" outlineLevel="0" collapsed="false">
      <c r="H992" s="0" t="str">
        <f aca="false">IF(B992="","",IF(COUNTIF(Campaigns!$A$7:$A$300,B992)&gt;0,"✓","⚠ add to Campaigns tab"))</f>
        <v/>
      </c>
      <c r="I992" s="84" t="str">
        <f aca="false">IF(C992="","",C992*IF(Settings!$B$22=Settings!$C$6,1,IF(Settings!$B$22="USD",1/INDEX(Settings!$B$29:$B$40,MONTH(A992)),INDEX(Settings!$B$29:$B$40,MONTH(A992)))))</f>
        <v/>
      </c>
    </row>
    <row r="993" customFormat="false" ht="15" hidden="false" customHeight="false" outlineLevel="0" collapsed="false">
      <c r="H993" s="0" t="str">
        <f aca="false">IF(B993="","",IF(COUNTIF(Campaigns!$A$7:$A$300,B993)&gt;0,"✓","⚠ add to Campaigns tab"))</f>
        <v/>
      </c>
      <c r="I993" s="84" t="str">
        <f aca="false">IF(C993="","",C993*IF(Settings!$B$22=Settings!$C$6,1,IF(Settings!$B$22="USD",1/INDEX(Settings!$B$29:$B$40,MONTH(A993)),INDEX(Settings!$B$29:$B$40,MONTH(A993)))))</f>
        <v/>
      </c>
    </row>
    <row r="994" customFormat="false" ht="15" hidden="false" customHeight="false" outlineLevel="0" collapsed="false">
      <c r="H994" s="0" t="str">
        <f aca="false">IF(B994="","",IF(COUNTIF(Campaigns!$A$7:$A$300,B994)&gt;0,"✓","⚠ add to Campaigns tab"))</f>
        <v/>
      </c>
      <c r="I994" s="84" t="str">
        <f aca="false">IF(C994="","",C994*IF(Settings!$B$22=Settings!$C$6,1,IF(Settings!$B$22="USD",1/INDEX(Settings!$B$29:$B$40,MONTH(A994)),INDEX(Settings!$B$29:$B$40,MONTH(A994)))))</f>
        <v/>
      </c>
    </row>
    <row r="995" customFormat="false" ht="15" hidden="false" customHeight="false" outlineLevel="0" collapsed="false">
      <c r="H995" s="0" t="str">
        <f aca="false">IF(B995="","",IF(COUNTIF(Campaigns!$A$7:$A$300,B995)&gt;0,"✓","⚠ add to Campaigns tab"))</f>
        <v/>
      </c>
      <c r="I995" s="84" t="str">
        <f aca="false">IF(C995="","",C995*IF(Settings!$B$22=Settings!$C$6,1,IF(Settings!$B$22="USD",1/INDEX(Settings!$B$29:$B$40,MONTH(A995)),INDEX(Settings!$B$29:$B$40,MONTH(A995)))))</f>
        <v/>
      </c>
    </row>
    <row r="996" customFormat="false" ht="15" hidden="false" customHeight="false" outlineLevel="0" collapsed="false">
      <c r="H996" s="0" t="str">
        <f aca="false">IF(B996="","",IF(COUNTIF(Campaigns!$A$7:$A$300,B996)&gt;0,"✓","⚠ add to Campaigns tab"))</f>
        <v/>
      </c>
      <c r="I996" s="84" t="str">
        <f aca="false">IF(C996="","",C996*IF(Settings!$B$22=Settings!$C$6,1,IF(Settings!$B$22="USD",1/INDEX(Settings!$B$29:$B$40,MONTH(A996)),INDEX(Settings!$B$29:$B$40,MONTH(A996)))))</f>
        <v/>
      </c>
    </row>
    <row r="997" customFormat="false" ht="15" hidden="false" customHeight="false" outlineLevel="0" collapsed="false">
      <c r="H997" s="0" t="str">
        <f aca="false">IF(B997="","",IF(COUNTIF(Campaigns!$A$7:$A$300,B997)&gt;0,"✓","⚠ add to Campaigns tab"))</f>
        <v/>
      </c>
      <c r="I997" s="84" t="str">
        <f aca="false">IF(C997="","",C997*IF(Settings!$B$22=Settings!$C$6,1,IF(Settings!$B$22="USD",1/INDEX(Settings!$B$29:$B$40,MONTH(A997)),INDEX(Settings!$B$29:$B$40,MONTH(A997)))))</f>
        <v/>
      </c>
    </row>
    <row r="998" customFormat="false" ht="15" hidden="false" customHeight="false" outlineLevel="0" collapsed="false">
      <c r="H998" s="0" t="str">
        <f aca="false">IF(B998="","",IF(COUNTIF(Campaigns!$A$7:$A$300,B998)&gt;0,"✓","⚠ add to Campaigns tab"))</f>
        <v/>
      </c>
      <c r="I998" s="84" t="str">
        <f aca="false">IF(C998="","",C998*IF(Settings!$B$22=Settings!$C$6,1,IF(Settings!$B$22="USD",1/INDEX(Settings!$B$29:$B$40,MONTH(A998)),INDEX(Settings!$B$29:$B$40,MONTH(A998)))))</f>
        <v/>
      </c>
    </row>
    <row r="999" customFormat="false" ht="15" hidden="false" customHeight="false" outlineLevel="0" collapsed="false">
      <c r="H999" s="0" t="str">
        <f aca="false">IF(B999="","",IF(COUNTIF(Campaigns!$A$7:$A$300,B999)&gt;0,"✓","⚠ add to Campaigns tab"))</f>
        <v/>
      </c>
      <c r="I999" s="84" t="str">
        <f aca="false">IF(C999="","",C999*IF(Settings!$B$22=Settings!$C$6,1,IF(Settings!$B$22="USD",1/INDEX(Settings!$B$29:$B$40,MONTH(A999)),INDEX(Settings!$B$29:$B$40,MONTH(A999)))))</f>
        <v/>
      </c>
    </row>
    <row r="1000" customFormat="false" ht="15" hidden="false" customHeight="false" outlineLevel="0" collapsed="false">
      <c r="H1000" s="0" t="str">
        <f aca="false">IF(B1000="","",IF(COUNTIF(Campaigns!$A$7:$A$300,B1000)&gt;0,"✓","⚠ add to Campaigns tab"))</f>
        <v/>
      </c>
      <c r="I1000" s="84" t="str">
        <f aca="false">IF(C1000="","",C1000*IF(Settings!$B$22=Settings!$C$6,1,IF(Settings!$B$22="USD",1/INDEX(Settings!$B$29:$B$40,MONTH(A1000)),INDEX(Settings!$B$29:$B$40,MONTH(A1000)))))</f>
        <v/>
      </c>
    </row>
    <row r="1001" customFormat="false" ht="15" hidden="false" customHeight="false" outlineLevel="0" collapsed="false">
      <c r="H1001" s="0" t="str">
        <f aca="false">IF(B1001="","",IF(COUNTIF(Campaigns!$A$7:$A$300,B1001)&gt;0,"✓","⚠ add to Campaigns tab"))</f>
        <v/>
      </c>
      <c r="I1001" s="84" t="str">
        <f aca="false">IF(C1001="","",C1001*IF(Settings!$B$22=Settings!$C$6,1,IF(Settings!$B$22="USD",1/INDEX(Settings!$B$29:$B$40,MONTH(A1001)),INDEX(Settings!$B$29:$B$40,MONTH(A1001)))))</f>
        <v/>
      </c>
    </row>
    <row r="1002" customFormat="false" ht="15" hidden="false" customHeight="false" outlineLevel="0" collapsed="false">
      <c r="H1002" s="0" t="str">
        <f aca="false">IF(B1002="","",IF(COUNTIF(Campaigns!$A$7:$A$300,B1002)&gt;0,"✓","⚠ add to Campaigns tab"))</f>
        <v/>
      </c>
      <c r="I1002" s="84" t="str">
        <f aca="false">IF(C1002="","",C1002*IF(Settings!$B$22=Settings!$C$6,1,IF(Settings!$B$22="USD",1/INDEX(Settings!$B$29:$B$40,MONTH(A1002)),INDEX(Settings!$B$29:$B$40,MONTH(A1002)))))</f>
        <v/>
      </c>
    </row>
    <row r="1003" customFormat="false" ht="15" hidden="false" customHeight="false" outlineLevel="0" collapsed="false">
      <c r="H1003" s="0" t="str">
        <f aca="false">IF(B1003="","",IF(COUNTIF(Campaigns!$A$7:$A$300,B1003)&gt;0,"✓","⚠ add to Campaigns tab"))</f>
        <v/>
      </c>
      <c r="I1003" s="84" t="str">
        <f aca="false">IF(C1003="","",C1003*IF(Settings!$B$22=Settings!$C$6,1,IF(Settings!$B$22="USD",1/INDEX(Settings!$B$29:$B$40,MONTH(A1003)),INDEX(Settings!$B$29:$B$40,MONTH(A1003)))))</f>
        <v/>
      </c>
    </row>
    <row r="1004" customFormat="false" ht="15" hidden="false" customHeight="false" outlineLevel="0" collapsed="false">
      <c r="H1004" s="0" t="str">
        <f aca="false">IF(B1004="","",IF(COUNTIF(Campaigns!$A$7:$A$300,B1004)&gt;0,"✓","⚠ add to Campaigns tab"))</f>
        <v/>
      </c>
      <c r="I1004" s="84" t="str">
        <f aca="false">IF(C1004="","",C1004*IF(Settings!$B$22=Settings!$C$6,1,IF(Settings!$B$22="USD",1/INDEX(Settings!$B$29:$B$40,MONTH(A1004)),INDEX(Settings!$B$29:$B$40,MONTH(A1004)))))</f>
        <v/>
      </c>
    </row>
    <row r="1005" customFormat="false" ht="15" hidden="false" customHeight="false" outlineLevel="0" collapsed="false">
      <c r="H1005" s="0" t="str">
        <f aca="false">IF(B1005="","",IF(COUNTIF(Campaigns!$A$7:$A$300,B1005)&gt;0,"✓","⚠ add to Campaigns tab"))</f>
        <v/>
      </c>
      <c r="I1005" s="84" t="str">
        <f aca="false">IF(C1005="","",C1005*IF(Settings!$B$22=Settings!$C$6,1,IF(Settings!$B$22="USD",1/INDEX(Settings!$B$29:$B$40,MONTH(A1005)),INDEX(Settings!$B$29:$B$40,MONTH(A1005)))))</f>
        <v/>
      </c>
    </row>
    <row r="1006" customFormat="false" ht="15" hidden="false" customHeight="false" outlineLevel="0" collapsed="false">
      <c r="H1006" s="0" t="str">
        <f aca="false">IF(B1006="","",IF(COUNTIF(Campaigns!$A$7:$A$300,B1006)&gt;0,"✓","⚠ add to Campaigns tab"))</f>
        <v/>
      </c>
      <c r="I1006" s="84" t="str">
        <f aca="false">IF(C1006="","",C1006*IF(Settings!$B$22=Settings!$C$6,1,IF(Settings!$B$22="USD",1/INDEX(Settings!$B$29:$B$40,MONTH(A1006)),INDEX(Settings!$B$29:$B$40,MONTH(A1006)))))</f>
        <v/>
      </c>
    </row>
    <row r="1007" customFormat="false" ht="15" hidden="false" customHeight="false" outlineLevel="0" collapsed="false">
      <c r="H1007" s="0" t="str">
        <f aca="false">IF(B1007="","",IF(COUNTIF(Campaigns!$A$7:$A$300,B1007)&gt;0,"✓","⚠ add to Campaigns tab"))</f>
        <v/>
      </c>
      <c r="I1007" s="84" t="str">
        <f aca="false">IF(C1007="","",C1007*IF(Settings!$B$22=Settings!$C$6,1,IF(Settings!$B$22="USD",1/INDEX(Settings!$B$29:$B$40,MONTH(A1007)),INDEX(Settings!$B$29:$B$40,MONTH(A1007)))))</f>
        <v/>
      </c>
    </row>
    <row r="1008" customFormat="false" ht="15" hidden="false" customHeight="false" outlineLevel="0" collapsed="false">
      <c r="H1008" s="0" t="str">
        <f aca="false">IF(B1008="","",IF(COUNTIF(Campaigns!$A$7:$A$300,B1008)&gt;0,"✓","⚠ add to Campaigns tab"))</f>
        <v/>
      </c>
      <c r="I1008" s="84" t="str">
        <f aca="false">IF(C1008="","",C1008*IF(Settings!$B$22=Settings!$C$6,1,IF(Settings!$B$22="USD",1/INDEX(Settings!$B$29:$B$40,MONTH(A1008)),INDEX(Settings!$B$29:$B$40,MONTH(A1008)))))</f>
        <v/>
      </c>
    </row>
    <row r="1009" customFormat="false" ht="15" hidden="false" customHeight="false" outlineLevel="0" collapsed="false">
      <c r="H1009" s="0" t="str">
        <f aca="false">IF(B1009="","",IF(COUNTIF(Campaigns!$A$7:$A$300,B1009)&gt;0,"✓","⚠ add to Campaigns tab"))</f>
        <v/>
      </c>
      <c r="I1009" s="84" t="str">
        <f aca="false">IF(C1009="","",C1009*IF(Settings!$B$22=Settings!$C$6,1,IF(Settings!$B$22="USD",1/INDEX(Settings!$B$29:$B$40,MONTH(A1009)),INDEX(Settings!$B$29:$B$40,MONTH(A1009)))))</f>
        <v/>
      </c>
    </row>
    <row r="1010" customFormat="false" ht="15" hidden="false" customHeight="false" outlineLevel="0" collapsed="false">
      <c r="H1010" s="0" t="str">
        <f aca="false">IF(B1010="","",IF(COUNTIF(Campaigns!$A$7:$A$300,B1010)&gt;0,"✓","⚠ add to Campaigns tab"))</f>
        <v/>
      </c>
      <c r="I1010" s="84" t="str">
        <f aca="false">IF(C1010="","",C1010*IF(Settings!$B$22=Settings!$C$6,1,IF(Settings!$B$22="USD",1/INDEX(Settings!$B$29:$B$40,MONTH(A1010)),INDEX(Settings!$B$29:$B$40,MONTH(A1010)))))</f>
        <v/>
      </c>
    </row>
    <row r="1011" customFormat="false" ht="15" hidden="false" customHeight="false" outlineLevel="0" collapsed="false">
      <c r="H1011" s="0" t="str">
        <f aca="false">IF(B1011="","",IF(COUNTIF(Campaigns!$A$7:$A$300,B1011)&gt;0,"✓","⚠ add to Campaigns tab"))</f>
        <v/>
      </c>
      <c r="I1011" s="84" t="str">
        <f aca="false">IF(C1011="","",C1011*IF(Settings!$B$22=Settings!$C$6,1,IF(Settings!$B$22="USD",1/INDEX(Settings!$B$29:$B$40,MONTH(A1011)),INDEX(Settings!$B$29:$B$40,MONTH(A1011)))))</f>
        <v/>
      </c>
    </row>
    <row r="1012" customFormat="false" ht="15" hidden="false" customHeight="false" outlineLevel="0" collapsed="false">
      <c r="H1012" s="0" t="str">
        <f aca="false">IF(B1012="","",IF(COUNTIF(Campaigns!$A$7:$A$300,B1012)&gt;0,"✓","⚠ add to Campaigns tab"))</f>
        <v/>
      </c>
      <c r="I1012" s="84" t="str">
        <f aca="false">IF(C1012="","",C1012*IF(Settings!$B$22=Settings!$C$6,1,IF(Settings!$B$22="USD",1/INDEX(Settings!$B$29:$B$40,MONTH(A1012)),INDEX(Settings!$B$29:$B$40,MONTH(A1012)))))</f>
        <v/>
      </c>
    </row>
    <row r="1013" customFormat="false" ht="15" hidden="false" customHeight="false" outlineLevel="0" collapsed="false">
      <c r="H1013" s="0" t="str">
        <f aca="false">IF(B1013="","",IF(COUNTIF(Campaigns!$A$7:$A$300,B1013)&gt;0,"✓","⚠ add to Campaigns tab"))</f>
        <v/>
      </c>
      <c r="I1013" s="84" t="str">
        <f aca="false">IF(C1013="","",C1013*IF(Settings!$B$22=Settings!$C$6,1,IF(Settings!$B$22="USD",1/INDEX(Settings!$B$29:$B$40,MONTH(A1013)),INDEX(Settings!$B$29:$B$40,MONTH(A1013)))))</f>
        <v/>
      </c>
    </row>
    <row r="1014" customFormat="false" ht="15" hidden="false" customHeight="false" outlineLevel="0" collapsed="false">
      <c r="H1014" s="0" t="str">
        <f aca="false">IF(B1014="","",IF(COUNTIF(Campaigns!$A$7:$A$300,B1014)&gt;0,"✓","⚠ add to Campaigns tab"))</f>
        <v/>
      </c>
      <c r="I1014" s="84" t="str">
        <f aca="false">IF(C1014="","",C1014*IF(Settings!$B$22=Settings!$C$6,1,IF(Settings!$B$22="USD",1/INDEX(Settings!$B$29:$B$40,MONTH(A1014)),INDEX(Settings!$B$29:$B$40,MONTH(A1014)))))</f>
        <v/>
      </c>
    </row>
    <row r="1015" customFormat="false" ht="15" hidden="false" customHeight="false" outlineLevel="0" collapsed="false">
      <c r="H1015" s="0" t="str">
        <f aca="false">IF(B1015="","",IF(COUNTIF(Campaigns!$A$7:$A$300,B1015)&gt;0,"✓","⚠ add to Campaigns tab"))</f>
        <v/>
      </c>
      <c r="I1015" s="84" t="str">
        <f aca="false">IF(C1015="","",C1015*IF(Settings!$B$22=Settings!$C$6,1,IF(Settings!$B$22="USD",1/INDEX(Settings!$B$29:$B$40,MONTH(A1015)),INDEX(Settings!$B$29:$B$40,MONTH(A1015)))))</f>
        <v/>
      </c>
    </row>
    <row r="1016" customFormat="false" ht="15" hidden="false" customHeight="false" outlineLevel="0" collapsed="false">
      <c r="H1016" s="0" t="str">
        <f aca="false">IF(B1016="","",IF(COUNTIF(Campaigns!$A$7:$A$300,B1016)&gt;0,"✓","⚠ add to Campaigns tab"))</f>
        <v/>
      </c>
      <c r="I1016" s="84" t="str">
        <f aca="false">IF(C1016="","",C1016*IF(Settings!$B$22=Settings!$C$6,1,IF(Settings!$B$22="USD",1/INDEX(Settings!$B$29:$B$40,MONTH(A1016)),INDEX(Settings!$B$29:$B$40,MONTH(A1016)))))</f>
        <v/>
      </c>
    </row>
    <row r="1017" customFormat="false" ht="15" hidden="false" customHeight="false" outlineLevel="0" collapsed="false">
      <c r="H1017" s="0" t="str">
        <f aca="false">IF(B1017="","",IF(COUNTIF(Campaigns!$A$7:$A$300,B1017)&gt;0,"✓","⚠ add to Campaigns tab"))</f>
        <v/>
      </c>
      <c r="I1017" s="84" t="str">
        <f aca="false">IF(C1017="","",C1017*IF(Settings!$B$22=Settings!$C$6,1,IF(Settings!$B$22="USD",1/INDEX(Settings!$B$29:$B$40,MONTH(A1017)),INDEX(Settings!$B$29:$B$40,MONTH(A1017)))))</f>
        <v/>
      </c>
    </row>
    <row r="1018" customFormat="false" ht="15" hidden="false" customHeight="false" outlineLevel="0" collapsed="false">
      <c r="H1018" s="0" t="str">
        <f aca="false">IF(B1018="","",IF(COUNTIF(Campaigns!$A$7:$A$300,B1018)&gt;0,"✓","⚠ add to Campaigns tab"))</f>
        <v/>
      </c>
      <c r="I1018" s="84" t="str">
        <f aca="false">IF(C1018="","",C1018*IF(Settings!$B$22=Settings!$C$6,1,IF(Settings!$B$22="USD",1/INDEX(Settings!$B$29:$B$40,MONTH(A1018)),INDEX(Settings!$B$29:$B$40,MONTH(A1018)))))</f>
        <v/>
      </c>
    </row>
    <row r="1019" customFormat="false" ht="15" hidden="false" customHeight="false" outlineLevel="0" collapsed="false">
      <c r="H1019" s="0" t="str">
        <f aca="false">IF(B1019="","",IF(COUNTIF(Campaigns!$A$7:$A$300,B1019)&gt;0,"✓","⚠ add to Campaigns tab"))</f>
        <v/>
      </c>
      <c r="I1019" s="84" t="str">
        <f aca="false">IF(C1019="","",C1019*IF(Settings!$B$22=Settings!$C$6,1,IF(Settings!$B$22="USD",1/INDEX(Settings!$B$29:$B$40,MONTH(A1019)),INDEX(Settings!$B$29:$B$40,MONTH(A1019)))))</f>
        <v/>
      </c>
    </row>
    <row r="1020" customFormat="false" ht="15" hidden="false" customHeight="false" outlineLevel="0" collapsed="false">
      <c r="H1020" s="0" t="str">
        <f aca="false">IF(B1020="","",IF(COUNTIF(Campaigns!$A$7:$A$300,B1020)&gt;0,"✓","⚠ add to Campaigns tab"))</f>
        <v/>
      </c>
      <c r="I1020" s="84" t="str">
        <f aca="false">IF(C1020="","",C1020*IF(Settings!$B$22=Settings!$C$6,1,IF(Settings!$B$22="USD",1/INDEX(Settings!$B$29:$B$40,MONTH(A1020)),INDEX(Settings!$B$29:$B$40,MONTH(A1020)))))</f>
        <v/>
      </c>
    </row>
    <row r="1021" customFormat="false" ht="15" hidden="false" customHeight="false" outlineLevel="0" collapsed="false">
      <c r="H1021" s="0" t="str">
        <f aca="false">IF(B1021="","",IF(COUNTIF(Campaigns!$A$7:$A$300,B1021)&gt;0,"✓","⚠ add to Campaigns tab"))</f>
        <v/>
      </c>
      <c r="I1021" s="84" t="str">
        <f aca="false">IF(C1021="","",C1021*IF(Settings!$B$22=Settings!$C$6,1,IF(Settings!$B$22="USD",1/INDEX(Settings!$B$29:$B$40,MONTH(A1021)),INDEX(Settings!$B$29:$B$40,MONTH(A1021)))))</f>
        <v/>
      </c>
    </row>
    <row r="1022" customFormat="false" ht="15" hidden="false" customHeight="false" outlineLevel="0" collapsed="false">
      <c r="H1022" s="0" t="str">
        <f aca="false">IF(B1022="","",IF(COUNTIF(Campaigns!$A$7:$A$300,B1022)&gt;0,"✓","⚠ add to Campaigns tab"))</f>
        <v/>
      </c>
      <c r="I1022" s="84" t="str">
        <f aca="false">IF(C1022="","",C1022*IF(Settings!$B$22=Settings!$C$6,1,IF(Settings!$B$22="USD",1/INDEX(Settings!$B$29:$B$40,MONTH(A1022)),INDEX(Settings!$B$29:$B$40,MONTH(A1022)))))</f>
        <v/>
      </c>
    </row>
    <row r="1023" customFormat="false" ht="15" hidden="false" customHeight="false" outlineLevel="0" collapsed="false">
      <c r="H1023" s="0" t="str">
        <f aca="false">IF(B1023="","",IF(COUNTIF(Campaigns!$A$7:$A$300,B1023)&gt;0,"✓","⚠ add to Campaigns tab"))</f>
        <v/>
      </c>
      <c r="I1023" s="84" t="str">
        <f aca="false">IF(C1023="","",C1023*IF(Settings!$B$22=Settings!$C$6,1,IF(Settings!$B$22="USD",1/INDEX(Settings!$B$29:$B$40,MONTH(A1023)),INDEX(Settings!$B$29:$B$40,MONTH(A1023)))))</f>
        <v/>
      </c>
    </row>
    <row r="1024" customFormat="false" ht="15" hidden="false" customHeight="false" outlineLevel="0" collapsed="false">
      <c r="H1024" s="0" t="str">
        <f aca="false">IF(B1024="","",IF(COUNTIF(Campaigns!$A$7:$A$300,B1024)&gt;0,"✓","⚠ add to Campaigns tab"))</f>
        <v/>
      </c>
      <c r="I1024" s="84" t="str">
        <f aca="false">IF(C1024="","",C1024*IF(Settings!$B$22=Settings!$C$6,1,IF(Settings!$B$22="USD",1/INDEX(Settings!$B$29:$B$40,MONTH(A1024)),INDEX(Settings!$B$29:$B$40,MONTH(A1024)))))</f>
        <v/>
      </c>
    </row>
    <row r="1025" customFormat="false" ht="15" hidden="false" customHeight="false" outlineLevel="0" collapsed="false">
      <c r="H1025" s="0" t="str">
        <f aca="false">IF(B1025="","",IF(COUNTIF(Campaigns!$A$7:$A$300,B1025)&gt;0,"✓","⚠ add to Campaigns tab"))</f>
        <v/>
      </c>
      <c r="I1025" s="84" t="str">
        <f aca="false">IF(C1025="","",C1025*IF(Settings!$B$22=Settings!$C$6,1,IF(Settings!$B$22="USD",1/INDEX(Settings!$B$29:$B$40,MONTH(A1025)),INDEX(Settings!$B$29:$B$40,MONTH(A1025)))))</f>
        <v/>
      </c>
    </row>
    <row r="1026" customFormat="false" ht="15" hidden="false" customHeight="false" outlineLevel="0" collapsed="false">
      <c r="H1026" s="0" t="str">
        <f aca="false">IF(B1026="","",IF(COUNTIF(Campaigns!$A$7:$A$300,B1026)&gt;0,"✓","⚠ add to Campaigns tab"))</f>
        <v/>
      </c>
      <c r="I1026" s="84" t="str">
        <f aca="false">IF(C1026="","",C1026*IF(Settings!$B$22=Settings!$C$6,1,IF(Settings!$B$22="USD",1/INDEX(Settings!$B$29:$B$40,MONTH(A1026)),INDEX(Settings!$B$29:$B$40,MONTH(A1026)))))</f>
        <v/>
      </c>
    </row>
    <row r="1027" customFormat="false" ht="15" hidden="false" customHeight="false" outlineLevel="0" collapsed="false">
      <c r="H1027" s="0" t="str">
        <f aca="false">IF(B1027="","",IF(COUNTIF(Campaigns!$A$7:$A$300,B1027)&gt;0,"✓","⚠ add to Campaigns tab"))</f>
        <v/>
      </c>
      <c r="I1027" s="84" t="str">
        <f aca="false">IF(C1027="","",C1027*IF(Settings!$B$22=Settings!$C$6,1,IF(Settings!$B$22="USD",1/INDEX(Settings!$B$29:$B$40,MONTH(A1027)),INDEX(Settings!$B$29:$B$40,MONTH(A1027)))))</f>
        <v/>
      </c>
    </row>
    <row r="1028" customFormat="false" ht="15" hidden="false" customHeight="false" outlineLevel="0" collapsed="false">
      <c r="H1028" s="0" t="str">
        <f aca="false">IF(B1028="","",IF(COUNTIF(Campaigns!$A$7:$A$300,B1028)&gt;0,"✓","⚠ add to Campaigns tab"))</f>
        <v/>
      </c>
      <c r="I1028" s="84" t="str">
        <f aca="false">IF(C1028="","",C1028*IF(Settings!$B$22=Settings!$C$6,1,IF(Settings!$B$22="USD",1/INDEX(Settings!$B$29:$B$40,MONTH(A1028)),INDEX(Settings!$B$29:$B$40,MONTH(A1028)))))</f>
        <v/>
      </c>
    </row>
    <row r="1029" customFormat="false" ht="15" hidden="false" customHeight="false" outlineLevel="0" collapsed="false">
      <c r="H1029" s="0" t="str">
        <f aca="false">IF(B1029="","",IF(COUNTIF(Campaigns!$A$7:$A$300,B1029)&gt;0,"✓","⚠ add to Campaigns tab"))</f>
        <v/>
      </c>
      <c r="I1029" s="84" t="str">
        <f aca="false">IF(C1029="","",C1029*IF(Settings!$B$22=Settings!$C$6,1,IF(Settings!$B$22="USD",1/INDEX(Settings!$B$29:$B$40,MONTH(A1029)),INDEX(Settings!$B$29:$B$40,MONTH(A1029)))))</f>
        <v/>
      </c>
    </row>
    <row r="1030" customFormat="false" ht="15" hidden="false" customHeight="false" outlineLevel="0" collapsed="false">
      <c r="H1030" s="0" t="str">
        <f aca="false">IF(B1030="","",IF(COUNTIF(Campaigns!$A$7:$A$300,B1030)&gt;0,"✓","⚠ add to Campaigns tab"))</f>
        <v/>
      </c>
      <c r="I1030" s="84" t="str">
        <f aca="false">IF(C1030="","",C1030*IF(Settings!$B$22=Settings!$C$6,1,IF(Settings!$B$22="USD",1/INDEX(Settings!$B$29:$B$40,MONTH(A1030)),INDEX(Settings!$B$29:$B$40,MONTH(A1030)))))</f>
        <v/>
      </c>
    </row>
    <row r="1031" customFormat="false" ht="15" hidden="false" customHeight="false" outlineLevel="0" collapsed="false">
      <c r="H1031" s="0" t="str">
        <f aca="false">IF(B1031="","",IF(COUNTIF(Campaigns!$A$7:$A$300,B1031)&gt;0,"✓","⚠ add to Campaigns tab"))</f>
        <v/>
      </c>
      <c r="I1031" s="84" t="str">
        <f aca="false">IF(C1031="","",C1031*IF(Settings!$B$22=Settings!$C$6,1,IF(Settings!$B$22="USD",1/INDEX(Settings!$B$29:$B$40,MONTH(A1031)),INDEX(Settings!$B$29:$B$40,MONTH(A1031)))))</f>
        <v/>
      </c>
    </row>
    <row r="1032" customFormat="false" ht="15" hidden="false" customHeight="false" outlineLevel="0" collapsed="false">
      <c r="H1032" s="0" t="str">
        <f aca="false">IF(B1032="","",IF(COUNTIF(Campaigns!$A$7:$A$300,B1032)&gt;0,"✓","⚠ add to Campaigns tab"))</f>
        <v/>
      </c>
      <c r="I1032" s="84" t="str">
        <f aca="false">IF(C1032="","",C1032*IF(Settings!$B$22=Settings!$C$6,1,IF(Settings!$B$22="USD",1/INDEX(Settings!$B$29:$B$40,MONTH(A1032)),INDEX(Settings!$B$29:$B$40,MONTH(A1032)))))</f>
        <v/>
      </c>
    </row>
    <row r="1033" customFormat="false" ht="15" hidden="false" customHeight="false" outlineLevel="0" collapsed="false">
      <c r="H1033" s="0" t="str">
        <f aca="false">IF(B1033="","",IF(COUNTIF(Campaigns!$A$7:$A$300,B1033)&gt;0,"✓","⚠ add to Campaigns tab"))</f>
        <v/>
      </c>
      <c r="I1033" s="84" t="str">
        <f aca="false">IF(C1033="","",C1033*IF(Settings!$B$22=Settings!$C$6,1,IF(Settings!$B$22="USD",1/INDEX(Settings!$B$29:$B$40,MONTH(A1033)),INDEX(Settings!$B$29:$B$40,MONTH(A1033)))))</f>
        <v/>
      </c>
    </row>
    <row r="1034" customFormat="false" ht="15" hidden="false" customHeight="false" outlineLevel="0" collapsed="false">
      <c r="H1034" s="0" t="str">
        <f aca="false">IF(B1034="","",IF(COUNTIF(Campaigns!$A$7:$A$300,B1034)&gt;0,"✓","⚠ add to Campaigns tab"))</f>
        <v/>
      </c>
      <c r="I1034" s="84" t="str">
        <f aca="false">IF(C1034="","",C1034*IF(Settings!$B$22=Settings!$C$6,1,IF(Settings!$B$22="USD",1/INDEX(Settings!$B$29:$B$40,MONTH(A1034)),INDEX(Settings!$B$29:$B$40,MONTH(A1034)))))</f>
        <v/>
      </c>
    </row>
    <row r="1035" customFormat="false" ht="15" hidden="false" customHeight="false" outlineLevel="0" collapsed="false">
      <c r="H1035" s="0" t="str">
        <f aca="false">IF(B1035="","",IF(COUNTIF(Campaigns!$A$7:$A$300,B1035)&gt;0,"✓","⚠ add to Campaigns tab"))</f>
        <v/>
      </c>
      <c r="I1035" s="84" t="str">
        <f aca="false">IF(C1035="","",C1035*IF(Settings!$B$22=Settings!$C$6,1,IF(Settings!$B$22="USD",1/INDEX(Settings!$B$29:$B$40,MONTH(A1035)),INDEX(Settings!$B$29:$B$40,MONTH(A1035)))))</f>
        <v/>
      </c>
    </row>
    <row r="1036" customFormat="false" ht="15" hidden="false" customHeight="false" outlineLevel="0" collapsed="false">
      <c r="H1036" s="0" t="str">
        <f aca="false">IF(B1036="","",IF(COUNTIF(Campaigns!$A$7:$A$300,B1036)&gt;0,"✓","⚠ add to Campaigns tab"))</f>
        <v/>
      </c>
      <c r="I1036" s="84" t="str">
        <f aca="false">IF(C1036="","",C1036*IF(Settings!$B$22=Settings!$C$6,1,IF(Settings!$B$22="USD",1/INDEX(Settings!$B$29:$B$40,MONTH(A1036)),INDEX(Settings!$B$29:$B$40,MONTH(A1036)))))</f>
        <v/>
      </c>
    </row>
    <row r="1037" customFormat="false" ht="15" hidden="false" customHeight="false" outlineLevel="0" collapsed="false">
      <c r="H1037" s="0" t="str">
        <f aca="false">IF(B1037="","",IF(COUNTIF(Campaigns!$A$7:$A$300,B1037)&gt;0,"✓","⚠ add to Campaigns tab"))</f>
        <v/>
      </c>
      <c r="I1037" s="84" t="str">
        <f aca="false">IF(C1037="","",C1037*IF(Settings!$B$22=Settings!$C$6,1,IF(Settings!$B$22="USD",1/INDEX(Settings!$B$29:$B$40,MONTH(A1037)),INDEX(Settings!$B$29:$B$40,MONTH(A1037)))))</f>
        <v/>
      </c>
    </row>
    <row r="1038" customFormat="false" ht="15" hidden="false" customHeight="false" outlineLevel="0" collapsed="false">
      <c r="H1038" s="0" t="str">
        <f aca="false">IF(B1038="","",IF(COUNTIF(Campaigns!$A$7:$A$300,B1038)&gt;0,"✓","⚠ add to Campaigns tab"))</f>
        <v/>
      </c>
      <c r="I1038" s="84" t="str">
        <f aca="false">IF(C1038="","",C1038*IF(Settings!$B$22=Settings!$C$6,1,IF(Settings!$B$22="USD",1/INDEX(Settings!$B$29:$B$40,MONTH(A1038)),INDEX(Settings!$B$29:$B$40,MONTH(A1038)))))</f>
        <v/>
      </c>
    </row>
    <row r="1039" customFormat="false" ht="15" hidden="false" customHeight="false" outlineLevel="0" collapsed="false">
      <c r="H1039" s="0" t="str">
        <f aca="false">IF(B1039="","",IF(COUNTIF(Campaigns!$A$7:$A$300,B1039)&gt;0,"✓","⚠ add to Campaigns tab"))</f>
        <v/>
      </c>
      <c r="I1039" s="84" t="str">
        <f aca="false">IF(C1039="","",C1039*IF(Settings!$B$22=Settings!$C$6,1,IF(Settings!$B$22="USD",1/INDEX(Settings!$B$29:$B$40,MONTH(A1039)),INDEX(Settings!$B$29:$B$40,MONTH(A1039)))))</f>
        <v/>
      </c>
    </row>
    <row r="1040" customFormat="false" ht="15" hidden="false" customHeight="false" outlineLevel="0" collapsed="false">
      <c r="H1040" s="0" t="str">
        <f aca="false">IF(B1040="","",IF(COUNTIF(Campaigns!$A$7:$A$300,B1040)&gt;0,"✓","⚠ add to Campaigns tab"))</f>
        <v/>
      </c>
      <c r="I1040" s="84" t="str">
        <f aca="false">IF(C1040="","",C1040*IF(Settings!$B$22=Settings!$C$6,1,IF(Settings!$B$22="USD",1/INDEX(Settings!$B$29:$B$40,MONTH(A1040)),INDEX(Settings!$B$29:$B$40,MONTH(A1040)))))</f>
        <v/>
      </c>
    </row>
    <row r="1041" customFormat="false" ht="15" hidden="false" customHeight="false" outlineLevel="0" collapsed="false">
      <c r="H1041" s="0" t="str">
        <f aca="false">IF(B1041="","",IF(COUNTIF(Campaigns!$A$7:$A$300,B1041)&gt;0,"✓","⚠ add to Campaigns tab"))</f>
        <v/>
      </c>
      <c r="I1041" s="84" t="str">
        <f aca="false">IF(C1041="","",C1041*IF(Settings!$B$22=Settings!$C$6,1,IF(Settings!$B$22="USD",1/INDEX(Settings!$B$29:$B$40,MONTH(A1041)),INDEX(Settings!$B$29:$B$40,MONTH(A1041)))))</f>
        <v/>
      </c>
    </row>
    <row r="1042" customFormat="false" ht="15" hidden="false" customHeight="false" outlineLevel="0" collapsed="false">
      <c r="H1042" s="0" t="str">
        <f aca="false">IF(B1042="","",IF(COUNTIF(Campaigns!$A$7:$A$300,B1042)&gt;0,"✓","⚠ add to Campaigns tab"))</f>
        <v/>
      </c>
      <c r="I1042" s="84" t="str">
        <f aca="false">IF(C1042="","",C1042*IF(Settings!$B$22=Settings!$C$6,1,IF(Settings!$B$22="USD",1/INDEX(Settings!$B$29:$B$40,MONTH(A1042)),INDEX(Settings!$B$29:$B$40,MONTH(A1042)))))</f>
        <v/>
      </c>
    </row>
    <row r="1043" customFormat="false" ht="15" hidden="false" customHeight="false" outlineLevel="0" collapsed="false">
      <c r="H1043" s="0" t="str">
        <f aca="false">IF(B1043="","",IF(COUNTIF(Campaigns!$A$7:$A$300,B1043)&gt;0,"✓","⚠ add to Campaigns tab"))</f>
        <v/>
      </c>
      <c r="I1043" s="84" t="str">
        <f aca="false">IF(C1043="","",C1043*IF(Settings!$B$22=Settings!$C$6,1,IF(Settings!$B$22="USD",1/INDEX(Settings!$B$29:$B$40,MONTH(A1043)),INDEX(Settings!$B$29:$B$40,MONTH(A1043)))))</f>
        <v/>
      </c>
    </row>
    <row r="1044" customFormat="false" ht="15" hidden="false" customHeight="false" outlineLevel="0" collapsed="false">
      <c r="H1044" s="0" t="str">
        <f aca="false">IF(B1044="","",IF(COUNTIF(Campaigns!$A$7:$A$300,B1044)&gt;0,"✓","⚠ add to Campaigns tab"))</f>
        <v/>
      </c>
      <c r="I1044" s="84" t="str">
        <f aca="false">IF(C1044="","",C1044*IF(Settings!$B$22=Settings!$C$6,1,IF(Settings!$B$22="USD",1/INDEX(Settings!$B$29:$B$40,MONTH(A1044)),INDEX(Settings!$B$29:$B$40,MONTH(A1044)))))</f>
        <v/>
      </c>
    </row>
    <row r="1045" customFormat="false" ht="15" hidden="false" customHeight="false" outlineLevel="0" collapsed="false">
      <c r="H1045" s="0" t="str">
        <f aca="false">IF(B1045="","",IF(COUNTIF(Campaigns!$A$7:$A$300,B1045)&gt;0,"✓","⚠ add to Campaigns tab"))</f>
        <v/>
      </c>
      <c r="I1045" s="84" t="str">
        <f aca="false">IF(C1045="","",C1045*IF(Settings!$B$22=Settings!$C$6,1,IF(Settings!$B$22="USD",1/INDEX(Settings!$B$29:$B$40,MONTH(A1045)),INDEX(Settings!$B$29:$B$40,MONTH(A1045)))))</f>
        <v/>
      </c>
    </row>
    <row r="1046" customFormat="false" ht="15" hidden="false" customHeight="false" outlineLevel="0" collapsed="false">
      <c r="H1046" s="0" t="str">
        <f aca="false">IF(B1046="","",IF(COUNTIF(Campaigns!$A$7:$A$300,B1046)&gt;0,"✓","⚠ add to Campaigns tab"))</f>
        <v/>
      </c>
      <c r="I1046" s="84" t="str">
        <f aca="false">IF(C1046="","",C1046*IF(Settings!$B$22=Settings!$C$6,1,IF(Settings!$B$22="USD",1/INDEX(Settings!$B$29:$B$40,MONTH(A1046)),INDEX(Settings!$B$29:$B$40,MONTH(A1046)))))</f>
        <v/>
      </c>
    </row>
    <row r="1047" customFormat="false" ht="15" hidden="false" customHeight="false" outlineLevel="0" collapsed="false">
      <c r="H1047" s="0" t="str">
        <f aca="false">IF(B1047="","",IF(COUNTIF(Campaigns!$A$7:$A$300,B1047)&gt;0,"✓","⚠ add to Campaigns tab"))</f>
        <v/>
      </c>
      <c r="I1047" s="84" t="str">
        <f aca="false">IF(C1047="","",C1047*IF(Settings!$B$22=Settings!$C$6,1,IF(Settings!$B$22="USD",1/INDEX(Settings!$B$29:$B$40,MONTH(A1047)),INDEX(Settings!$B$29:$B$40,MONTH(A1047)))))</f>
        <v/>
      </c>
    </row>
    <row r="1048" customFormat="false" ht="15" hidden="false" customHeight="false" outlineLevel="0" collapsed="false">
      <c r="H1048" s="0" t="str">
        <f aca="false">IF(B1048="","",IF(COUNTIF(Campaigns!$A$7:$A$300,B1048)&gt;0,"✓","⚠ add to Campaigns tab"))</f>
        <v/>
      </c>
      <c r="I1048" s="84" t="str">
        <f aca="false">IF(C1048="","",C1048*IF(Settings!$B$22=Settings!$C$6,1,IF(Settings!$B$22="USD",1/INDEX(Settings!$B$29:$B$40,MONTH(A1048)),INDEX(Settings!$B$29:$B$40,MONTH(A1048)))))</f>
        <v/>
      </c>
    </row>
    <row r="1049" customFormat="false" ht="15" hidden="false" customHeight="false" outlineLevel="0" collapsed="false">
      <c r="H1049" s="0" t="str">
        <f aca="false">IF(B1049="","",IF(COUNTIF(Campaigns!$A$7:$A$300,B1049)&gt;0,"✓","⚠ add to Campaigns tab"))</f>
        <v/>
      </c>
      <c r="I1049" s="84" t="str">
        <f aca="false">IF(C1049="","",C1049*IF(Settings!$B$22=Settings!$C$6,1,IF(Settings!$B$22="USD",1/INDEX(Settings!$B$29:$B$40,MONTH(A1049)),INDEX(Settings!$B$29:$B$40,MONTH(A1049)))))</f>
        <v/>
      </c>
    </row>
    <row r="1050" customFormat="false" ht="15" hidden="false" customHeight="false" outlineLevel="0" collapsed="false">
      <c r="H1050" s="0" t="str">
        <f aca="false">IF(B1050="","",IF(COUNTIF(Campaigns!$A$7:$A$300,B1050)&gt;0,"✓","⚠ add to Campaigns tab"))</f>
        <v/>
      </c>
      <c r="I1050" s="84" t="str">
        <f aca="false">IF(C1050="","",C1050*IF(Settings!$B$22=Settings!$C$6,1,IF(Settings!$B$22="USD",1/INDEX(Settings!$B$29:$B$40,MONTH(A1050)),INDEX(Settings!$B$29:$B$40,MONTH(A1050)))))</f>
        <v/>
      </c>
    </row>
    <row r="1051" customFormat="false" ht="15" hidden="false" customHeight="false" outlineLevel="0" collapsed="false">
      <c r="H1051" s="0" t="str">
        <f aca="false">IF(B1051="","",IF(COUNTIF(Campaigns!$A$7:$A$300,B1051)&gt;0,"✓","⚠ add to Campaigns tab"))</f>
        <v/>
      </c>
      <c r="I1051" s="84" t="str">
        <f aca="false">IF(C1051="","",C1051*IF(Settings!$B$22=Settings!$C$6,1,IF(Settings!$B$22="USD",1/INDEX(Settings!$B$29:$B$40,MONTH(A1051)),INDEX(Settings!$B$29:$B$40,MONTH(A1051)))))</f>
        <v/>
      </c>
    </row>
    <row r="1052" customFormat="false" ht="15" hidden="false" customHeight="false" outlineLevel="0" collapsed="false">
      <c r="H1052" s="0" t="str">
        <f aca="false">IF(B1052="","",IF(COUNTIF(Campaigns!$A$7:$A$300,B1052)&gt;0,"✓","⚠ add to Campaigns tab"))</f>
        <v/>
      </c>
      <c r="I1052" s="84" t="str">
        <f aca="false">IF(C1052="","",C1052*IF(Settings!$B$22=Settings!$C$6,1,IF(Settings!$B$22="USD",1/INDEX(Settings!$B$29:$B$40,MONTH(A1052)),INDEX(Settings!$B$29:$B$40,MONTH(A1052)))))</f>
        <v/>
      </c>
    </row>
    <row r="1053" customFormat="false" ht="15" hidden="false" customHeight="false" outlineLevel="0" collapsed="false">
      <c r="H1053" s="0" t="str">
        <f aca="false">IF(B1053="","",IF(COUNTIF(Campaigns!$A$7:$A$300,B1053)&gt;0,"✓","⚠ add to Campaigns tab"))</f>
        <v/>
      </c>
      <c r="I1053" s="84" t="str">
        <f aca="false">IF(C1053="","",C1053*IF(Settings!$B$22=Settings!$C$6,1,IF(Settings!$B$22="USD",1/INDEX(Settings!$B$29:$B$40,MONTH(A1053)),INDEX(Settings!$B$29:$B$40,MONTH(A1053)))))</f>
        <v/>
      </c>
    </row>
    <row r="1054" customFormat="false" ht="15" hidden="false" customHeight="false" outlineLevel="0" collapsed="false">
      <c r="H1054" s="0" t="str">
        <f aca="false">IF(B1054="","",IF(COUNTIF(Campaigns!$A$7:$A$300,B1054)&gt;0,"✓","⚠ add to Campaigns tab"))</f>
        <v/>
      </c>
      <c r="I1054" s="84" t="str">
        <f aca="false">IF(C1054="","",C1054*IF(Settings!$B$22=Settings!$C$6,1,IF(Settings!$B$22="USD",1/INDEX(Settings!$B$29:$B$40,MONTH(A1054)),INDEX(Settings!$B$29:$B$40,MONTH(A1054)))))</f>
        <v/>
      </c>
    </row>
    <row r="1055" customFormat="false" ht="15" hidden="false" customHeight="false" outlineLevel="0" collapsed="false">
      <c r="H1055" s="0" t="str">
        <f aca="false">IF(B1055="","",IF(COUNTIF(Campaigns!$A$7:$A$300,B1055)&gt;0,"✓","⚠ add to Campaigns tab"))</f>
        <v/>
      </c>
      <c r="I1055" s="84" t="str">
        <f aca="false">IF(C1055="","",C1055*IF(Settings!$B$22=Settings!$C$6,1,IF(Settings!$B$22="USD",1/INDEX(Settings!$B$29:$B$40,MONTH(A1055)),INDEX(Settings!$B$29:$B$40,MONTH(A1055)))))</f>
        <v/>
      </c>
    </row>
    <row r="1056" customFormat="false" ht="15" hidden="false" customHeight="false" outlineLevel="0" collapsed="false">
      <c r="H1056" s="0" t="str">
        <f aca="false">IF(B1056="","",IF(COUNTIF(Campaigns!$A$7:$A$300,B1056)&gt;0,"✓","⚠ add to Campaigns tab"))</f>
        <v/>
      </c>
      <c r="I1056" s="84" t="str">
        <f aca="false">IF(C1056="","",C1056*IF(Settings!$B$22=Settings!$C$6,1,IF(Settings!$B$22="USD",1/INDEX(Settings!$B$29:$B$40,MONTH(A1056)),INDEX(Settings!$B$29:$B$40,MONTH(A1056)))))</f>
        <v/>
      </c>
    </row>
    <row r="1057" customFormat="false" ht="15" hidden="false" customHeight="false" outlineLevel="0" collapsed="false">
      <c r="H1057" s="0" t="str">
        <f aca="false">IF(B1057="","",IF(COUNTIF(Campaigns!$A$7:$A$300,B1057)&gt;0,"✓","⚠ add to Campaigns tab"))</f>
        <v/>
      </c>
      <c r="I1057" s="84" t="str">
        <f aca="false">IF(C1057="","",C1057*IF(Settings!$B$22=Settings!$C$6,1,IF(Settings!$B$22="USD",1/INDEX(Settings!$B$29:$B$40,MONTH(A1057)),INDEX(Settings!$B$29:$B$40,MONTH(A1057)))))</f>
        <v/>
      </c>
    </row>
    <row r="1058" customFormat="false" ht="15" hidden="false" customHeight="false" outlineLevel="0" collapsed="false">
      <c r="H1058" s="0" t="str">
        <f aca="false">IF(B1058="","",IF(COUNTIF(Campaigns!$A$7:$A$300,B1058)&gt;0,"✓","⚠ add to Campaigns tab"))</f>
        <v/>
      </c>
      <c r="I1058" s="84" t="str">
        <f aca="false">IF(C1058="","",C1058*IF(Settings!$B$22=Settings!$C$6,1,IF(Settings!$B$22="USD",1/INDEX(Settings!$B$29:$B$40,MONTH(A1058)),INDEX(Settings!$B$29:$B$40,MONTH(A1058)))))</f>
        <v/>
      </c>
    </row>
    <row r="1059" customFormat="false" ht="15" hidden="false" customHeight="false" outlineLevel="0" collapsed="false">
      <c r="H1059" s="0" t="str">
        <f aca="false">IF(B1059="","",IF(COUNTIF(Campaigns!$A$7:$A$300,B1059)&gt;0,"✓","⚠ add to Campaigns tab"))</f>
        <v/>
      </c>
      <c r="I1059" s="84" t="str">
        <f aca="false">IF(C1059="","",C1059*IF(Settings!$B$22=Settings!$C$6,1,IF(Settings!$B$22="USD",1/INDEX(Settings!$B$29:$B$40,MONTH(A1059)),INDEX(Settings!$B$29:$B$40,MONTH(A1059)))))</f>
        <v/>
      </c>
    </row>
    <row r="1060" customFormat="false" ht="15" hidden="false" customHeight="false" outlineLevel="0" collapsed="false">
      <c r="H1060" s="0" t="str">
        <f aca="false">IF(B1060="","",IF(COUNTIF(Campaigns!$A$7:$A$300,B1060)&gt;0,"✓","⚠ add to Campaigns tab"))</f>
        <v/>
      </c>
      <c r="I1060" s="84" t="str">
        <f aca="false">IF(C1060="","",C1060*IF(Settings!$B$22=Settings!$C$6,1,IF(Settings!$B$22="USD",1/INDEX(Settings!$B$29:$B$40,MONTH(A1060)),INDEX(Settings!$B$29:$B$40,MONTH(A1060)))))</f>
        <v/>
      </c>
    </row>
    <row r="1061" customFormat="false" ht="15" hidden="false" customHeight="false" outlineLevel="0" collapsed="false">
      <c r="H1061" s="0" t="str">
        <f aca="false">IF(B1061="","",IF(COUNTIF(Campaigns!$A$7:$A$300,B1061)&gt;0,"✓","⚠ add to Campaigns tab"))</f>
        <v/>
      </c>
      <c r="I1061" s="84" t="str">
        <f aca="false">IF(C1061="","",C1061*IF(Settings!$B$22=Settings!$C$6,1,IF(Settings!$B$22="USD",1/INDEX(Settings!$B$29:$B$40,MONTH(A1061)),INDEX(Settings!$B$29:$B$40,MONTH(A1061)))))</f>
        <v/>
      </c>
    </row>
    <row r="1062" customFormat="false" ht="15" hidden="false" customHeight="false" outlineLevel="0" collapsed="false">
      <c r="H1062" s="0" t="str">
        <f aca="false">IF(B1062="","",IF(COUNTIF(Campaigns!$A$7:$A$300,B1062)&gt;0,"✓","⚠ add to Campaigns tab"))</f>
        <v/>
      </c>
      <c r="I1062" s="84" t="str">
        <f aca="false">IF(C1062="","",C1062*IF(Settings!$B$22=Settings!$C$6,1,IF(Settings!$B$22="USD",1/INDEX(Settings!$B$29:$B$40,MONTH(A1062)),INDEX(Settings!$B$29:$B$40,MONTH(A1062)))))</f>
        <v/>
      </c>
    </row>
    <row r="1063" customFormat="false" ht="15" hidden="false" customHeight="false" outlineLevel="0" collapsed="false">
      <c r="H1063" s="0" t="str">
        <f aca="false">IF(B1063="","",IF(COUNTIF(Campaigns!$A$7:$A$300,B1063)&gt;0,"✓","⚠ add to Campaigns tab"))</f>
        <v/>
      </c>
      <c r="I1063" s="84" t="str">
        <f aca="false">IF(C1063="","",C1063*IF(Settings!$B$22=Settings!$C$6,1,IF(Settings!$B$22="USD",1/INDEX(Settings!$B$29:$B$40,MONTH(A1063)),INDEX(Settings!$B$29:$B$40,MONTH(A1063)))))</f>
        <v/>
      </c>
    </row>
    <row r="1064" customFormat="false" ht="15" hidden="false" customHeight="false" outlineLevel="0" collapsed="false">
      <c r="H1064" s="0" t="str">
        <f aca="false">IF(B1064="","",IF(COUNTIF(Campaigns!$A$7:$A$300,B1064)&gt;0,"✓","⚠ add to Campaigns tab"))</f>
        <v/>
      </c>
      <c r="I1064" s="84" t="str">
        <f aca="false">IF(C1064="","",C1064*IF(Settings!$B$22=Settings!$C$6,1,IF(Settings!$B$22="USD",1/INDEX(Settings!$B$29:$B$40,MONTH(A1064)),INDEX(Settings!$B$29:$B$40,MONTH(A1064)))))</f>
        <v/>
      </c>
    </row>
    <row r="1065" customFormat="false" ht="15" hidden="false" customHeight="false" outlineLevel="0" collapsed="false">
      <c r="H1065" s="0" t="str">
        <f aca="false">IF(B1065="","",IF(COUNTIF(Campaigns!$A$7:$A$300,B1065)&gt;0,"✓","⚠ add to Campaigns tab"))</f>
        <v/>
      </c>
      <c r="I1065" s="84" t="str">
        <f aca="false">IF(C1065="","",C1065*IF(Settings!$B$22=Settings!$C$6,1,IF(Settings!$B$22="USD",1/INDEX(Settings!$B$29:$B$40,MONTH(A1065)),INDEX(Settings!$B$29:$B$40,MONTH(A1065)))))</f>
        <v/>
      </c>
    </row>
    <row r="1066" customFormat="false" ht="15" hidden="false" customHeight="false" outlineLevel="0" collapsed="false">
      <c r="H1066" s="0" t="str">
        <f aca="false">IF(B1066="","",IF(COUNTIF(Campaigns!$A$7:$A$300,B1066)&gt;0,"✓","⚠ add to Campaigns tab"))</f>
        <v/>
      </c>
      <c r="I1066" s="84" t="str">
        <f aca="false">IF(C1066="","",C1066*IF(Settings!$B$22=Settings!$C$6,1,IF(Settings!$B$22="USD",1/INDEX(Settings!$B$29:$B$40,MONTH(A1066)),INDEX(Settings!$B$29:$B$40,MONTH(A1066)))))</f>
        <v/>
      </c>
    </row>
    <row r="1067" customFormat="false" ht="15" hidden="false" customHeight="false" outlineLevel="0" collapsed="false">
      <c r="H1067" s="0" t="str">
        <f aca="false">IF(B1067="","",IF(COUNTIF(Campaigns!$A$7:$A$300,B1067)&gt;0,"✓","⚠ add to Campaigns tab"))</f>
        <v/>
      </c>
      <c r="I1067" s="84" t="str">
        <f aca="false">IF(C1067="","",C1067*IF(Settings!$B$22=Settings!$C$6,1,IF(Settings!$B$22="USD",1/INDEX(Settings!$B$29:$B$40,MONTH(A1067)),INDEX(Settings!$B$29:$B$40,MONTH(A1067)))))</f>
        <v/>
      </c>
    </row>
    <row r="1068" customFormat="false" ht="15" hidden="false" customHeight="false" outlineLevel="0" collapsed="false">
      <c r="H1068" s="0" t="str">
        <f aca="false">IF(B1068="","",IF(COUNTIF(Campaigns!$A$7:$A$300,B1068)&gt;0,"✓","⚠ add to Campaigns tab"))</f>
        <v/>
      </c>
      <c r="I1068" s="84" t="str">
        <f aca="false">IF(C1068="","",C1068*IF(Settings!$B$22=Settings!$C$6,1,IF(Settings!$B$22="USD",1/INDEX(Settings!$B$29:$B$40,MONTH(A1068)),INDEX(Settings!$B$29:$B$40,MONTH(A1068)))))</f>
        <v/>
      </c>
    </row>
    <row r="1069" customFormat="false" ht="15" hidden="false" customHeight="false" outlineLevel="0" collapsed="false">
      <c r="H1069" s="0" t="str">
        <f aca="false">IF(B1069="","",IF(COUNTIF(Campaigns!$A$7:$A$300,B1069)&gt;0,"✓","⚠ add to Campaigns tab"))</f>
        <v/>
      </c>
      <c r="I1069" s="84" t="str">
        <f aca="false">IF(C1069="","",C1069*IF(Settings!$B$22=Settings!$C$6,1,IF(Settings!$B$22="USD",1/INDEX(Settings!$B$29:$B$40,MONTH(A1069)),INDEX(Settings!$B$29:$B$40,MONTH(A1069)))))</f>
        <v/>
      </c>
    </row>
    <row r="1070" customFormat="false" ht="15" hidden="false" customHeight="false" outlineLevel="0" collapsed="false">
      <c r="H1070" s="0" t="str">
        <f aca="false">IF(B1070="","",IF(COUNTIF(Campaigns!$A$7:$A$300,B1070)&gt;0,"✓","⚠ add to Campaigns tab"))</f>
        <v/>
      </c>
      <c r="I1070" s="84" t="str">
        <f aca="false">IF(C1070="","",C1070*IF(Settings!$B$22=Settings!$C$6,1,IF(Settings!$B$22="USD",1/INDEX(Settings!$B$29:$B$40,MONTH(A1070)),INDEX(Settings!$B$29:$B$40,MONTH(A1070)))))</f>
        <v/>
      </c>
    </row>
    <row r="1071" customFormat="false" ht="15" hidden="false" customHeight="false" outlineLevel="0" collapsed="false">
      <c r="H1071" s="0" t="str">
        <f aca="false">IF(B1071="","",IF(COUNTIF(Campaigns!$A$7:$A$300,B1071)&gt;0,"✓","⚠ add to Campaigns tab"))</f>
        <v/>
      </c>
      <c r="I1071" s="84" t="str">
        <f aca="false">IF(C1071="","",C1071*IF(Settings!$B$22=Settings!$C$6,1,IF(Settings!$B$22="USD",1/INDEX(Settings!$B$29:$B$40,MONTH(A1071)),INDEX(Settings!$B$29:$B$40,MONTH(A1071)))))</f>
        <v/>
      </c>
    </row>
    <row r="1072" customFormat="false" ht="15" hidden="false" customHeight="false" outlineLevel="0" collapsed="false">
      <c r="H1072" s="0" t="str">
        <f aca="false">IF(B1072="","",IF(COUNTIF(Campaigns!$A$7:$A$300,B1072)&gt;0,"✓","⚠ add to Campaigns tab"))</f>
        <v/>
      </c>
      <c r="I1072" s="84" t="str">
        <f aca="false">IF(C1072="","",C1072*IF(Settings!$B$22=Settings!$C$6,1,IF(Settings!$B$22="USD",1/INDEX(Settings!$B$29:$B$40,MONTH(A1072)),INDEX(Settings!$B$29:$B$40,MONTH(A1072)))))</f>
        <v/>
      </c>
    </row>
    <row r="1073" customFormat="false" ht="15" hidden="false" customHeight="false" outlineLevel="0" collapsed="false">
      <c r="H1073" s="0" t="str">
        <f aca="false">IF(B1073="","",IF(COUNTIF(Campaigns!$A$7:$A$300,B1073)&gt;0,"✓","⚠ add to Campaigns tab"))</f>
        <v/>
      </c>
      <c r="I1073" s="84" t="str">
        <f aca="false">IF(C1073="","",C1073*IF(Settings!$B$22=Settings!$C$6,1,IF(Settings!$B$22="USD",1/INDEX(Settings!$B$29:$B$40,MONTH(A1073)),INDEX(Settings!$B$29:$B$40,MONTH(A1073)))))</f>
        <v/>
      </c>
    </row>
    <row r="1074" customFormat="false" ht="15" hidden="false" customHeight="false" outlineLevel="0" collapsed="false">
      <c r="H1074" s="0" t="str">
        <f aca="false">IF(B1074="","",IF(COUNTIF(Campaigns!$A$7:$A$300,B1074)&gt;0,"✓","⚠ add to Campaigns tab"))</f>
        <v/>
      </c>
      <c r="I1074" s="84" t="str">
        <f aca="false">IF(C1074="","",C1074*IF(Settings!$B$22=Settings!$C$6,1,IF(Settings!$B$22="USD",1/INDEX(Settings!$B$29:$B$40,MONTH(A1074)),INDEX(Settings!$B$29:$B$40,MONTH(A1074)))))</f>
        <v/>
      </c>
    </row>
    <row r="1075" customFormat="false" ht="15" hidden="false" customHeight="false" outlineLevel="0" collapsed="false">
      <c r="H1075" s="0" t="str">
        <f aca="false">IF(B1075="","",IF(COUNTIF(Campaigns!$A$7:$A$300,B1075)&gt;0,"✓","⚠ add to Campaigns tab"))</f>
        <v/>
      </c>
      <c r="I1075" s="84" t="str">
        <f aca="false">IF(C1075="","",C1075*IF(Settings!$B$22=Settings!$C$6,1,IF(Settings!$B$22="USD",1/INDEX(Settings!$B$29:$B$40,MONTH(A1075)),INDEX(Settings!$B$29:$B$40,MONTH(A1075)))))</f>
        <v/>
      </c>
    </row>
    <row r="1076" customFormat="false" ht="15" hidden="false" customHeight="false" outlineLevel="0" collapsed="false">
      <c r="H1076" s="0" t="str">
        <f aca="false">IF(B1076="","",IF(COUNTIF(Campaigns!$A$7:$A$300,B1076)&gt;0,"✓","⚠ add to Campaigns tab"))</f>
        <v/>
      </c>
      <c r="I1076" s="84" t="str">
        <f aca="false">IF(C1076="","",C1076*IF(Settings!$B$22=Settings!$C$6,1,IF(Settings!$B$22="USD",1/INDEX(Settings!$B$29:$B$40,MONTH(A1076)),INDEX(Settings!$B$29:$B$40,MONTH(A1076)))))</f>
        <v/>
      </c>
    </row>
    <row r="1077" customFormat="false" ht="15" hidden="false" customHeight="false" outlineLevel="0" collapsed="false">
      <c r="H1077" s="0" t="str">
        <f aca="false">IF(B1077="","",IF(COUNTIF(Campaigns!$A$7:$A$300,B1077)&gt;0,"✓","⚠ add to Campaigns tab"))</f>
        <v/>
      </c>
      <c r="I1077" s="84" t="str">
        <f aca="false">IF(C1077="","",C1077*IF(Settings!$B$22=Settings!$C$6,1,IF(Settings!$B$22="USD",1/INDEX(Settings!$B$29:$B$40,MONTH(A1077)),INDEX(Settings!$B$29:$B$40,MONTH(A1077)))))</f>
        <v/>
      </c>
    </row>
    <row r="1078" customFormat="false" ht="15" hidden="false" customHeight="false" outlineLevel="0" collapsed="false">
      <c r="H1078" s="0" t="str">
        <f aca="false">IF(B1078="","",IF(COUNTIF(Campaigns!$A$7:$A$300,B1078)&gt;0,"✓","⚠ add to Campaigns tab"))</f>
        <v/>
      </c>
      <c r="I1078" s="84" t="str">
        <f aca="false">IF(C1078="","",C1078*IF(Settings!$B$22=Settings!$C$6,1,IF(Settings!$B$22="USD",1/INDEX(Settings!$B$29:$B$40,MONTH(A1078)),INDEX(Settings!$B$29:$B$40,MONTH(A1078)))))</f>
        <v/>
      </c>
    </row>
    <row r="1079" customFormat="false" ht="15" hidden="false" customHeight="false" outlineLevel="0" collapsed="false">
      <c r="H1079" s="0" t="str">
        <f aca="false">IF(B1079="","",IF(COUNTIF(Campaigns!$A$7:$A$300,B1079)&gt;0,"✓","⚠ add to Campaigns tab"))</f>
        <v/>
      </c>
      <c r="I1079" s="84" t="str">
        <f aca="false">IF(C1079="","",C1079*IF(Settings!$B$22=Settings!$C$6,1,IF(Settings!$B$22="USD",1/INDEX(Settings!$B$29:$B$40,MONTH(A1079)),INDEX(Settings!$B$29:$B$40,MONTH(A1079)))))</f>
        <v/>
      </c>
    </row>
    <row r="1080" customFormat="false" ht="15" hidden="false" customHeight="false" outlineLevel="0" collapsed="false">
      <c r="H1080" s="0" t="str">
        <f aca="false">IF(B1080="","",IF(COUNTIF(Campaigns!$A$7:$A$300,B1080)&gt;0,"✓","⚠ add to Campaigns tab"))</f>
        <v/>
      </c>
      <c r="I1080" s="84" t="str">
        <f aca="false">IF(C1080="","",C1080*IF(Settings!$B$22=Settings!$C$6,1,IF(Settings!$B$22="USD",1/INDEX(Settings!$B$29:$B$40,MONTH(A1080)),INDEX(Settings!$B$29:$B$40,MONTH(A1080)))))</f>
        <v/>
      </c>
    </row>
    <row r="1081" customFormat="false" ht="15" hidden="false" customHeight="false" outlineLevel="0" collapsed="false">
      <c r="H1081" s="0" t="str">
        <f aca="false">IF(B1081="","",IF(COUNTIF(Campaigns!$A$7:$A$300,B1081)&gt;0,"✓","⚠ add to Campaigns tab"))</f>
        <v/>
      </c>
      <c r="I1081" s="84" t="str">
        <f aca="false">IF(C1081="","",C1081*IF(Settings!$B$22=Settings!$C$6,1,IF(Settings!$B$22="USD",1/INDEX(Settings!$B$29:$B$40,MONTH(A1081)),INDEX(Settings!$B$29:$B$40,MONTH(A1081)))))</f>
        <v/>
      </c>
    </row>
    <row r="1082" customFormat="false" ht="15" hidden="false" customHeight="false" outlineLevel="0" collapsed="false">
      <c r="H1082" s="0" t="str">
        <f aca="false">IF(B1082="","",IF(COUNTIF(Campaigns!$A$7:$A$300,B1082)&gt;0,"✓","⚠ add to Campaigns tab"))</f>
        <v/>
      </c>
      <c r="I1082" s="84" t="str">
        <f aca="false">IF(C1082="","",C1082*IF(Settings!$B$22=Settings!$C$6,1,IF(Settings!$B$22="USD",1/INDEX(Settings!$B$29:$B$40,MONTH(A1082)),INDEX(Settings!$B$29:$B$40,MONTH(A1082)))))</f>
        <v/>
      </c>
    </row>
    <row r="1083" customFormat="false" ht="15" hidden="false" customHeight="false" outlineLevel="0" collapsed="false">
      <c r="H1083" s="0" t="str">
        <f aca="false">IF(B1083="","",IF(COUNTIF(Campaigns!$A$7:$A$300,B1083)&gt;0,"✓","⚠ add to Campaigns tab"))</f>
        <v/>
      </c>
      <c r="I1083" s="84" t="str">
        <f aca="false">IF(C1083="","",C1083*IF(Settings!$B$22=Settings!$C$6,1,IF(Settings!$B$22="USD",1/INDEX(Settings!$B$29:$B$40,MONTH(A1083)),INDEX(Settings!$B$29:$B$40,MONTH(A1083)))))</f>
        <v/>
      </c>
    </row>
    <row r="1084" customFormat="false" ht="15" hidden="false" customHeight="false" outlineLevel="0" collapsed="false">
      <c r="H1084" s="0" t="str">
        <f aca="false">IF(B1084="","",IF(COUNTIF(Campaigns!$A$7:$A$300,B1084)&gt;0,"✓","⚠ add to Campaigns tab"))</f>
        <v/>
      </c>
      <c r="I1084" s="84" t="str">
        <f aca="false">IF(C1084="","",C1084*IF(Settings!$B$22=Settings!$C$6,1,IF(Settings!$B$22="USD",1/INDEX(Settings!$B$29:$B$40,MONTH(A1084)),INDEX(Settings!$B$29:$B$40,MONTH(A1084)))))</f>
        <v/>
      </c>
    </row>
    <row r="1085" customFormat="false" ht="15" hidden="false" customHeight="false" outlineLevel="0" collapsed="false">
      <c r="H1085" s="0" t="str">
        <f aca="false">IF(B1085="","",IF(COUNTIF(Campaigns!$A$7:$A$300,B1085)&gt;0,"✓","⚠ add to Campaigns tab"))</f>
        <v/>
      </c>
      <c r="I1085" s="84" t="str">
        <f aca="false">IF(C1085="","",C1085*IF(Settings!$B$22=Settings!$C$6,1,IF(Settings!$B$22="USD",1/INDEX(Settings!$B$29:$B$40,MONTH(A1085)),INDEX(Settings!$B$29:$B$40,MONTH(A1085)))))</f>
        <v/>
      </c>
    </row>
    <row r="1086" customFormat="false" ht="15" hidden="false" customHeight="false" outlineLevel="0" collapsed="false">
      <c r="H1086" s="0" t="str">
        <f aca="false">IF(B1086="","",IF(COUNTIF(Campaigns!$A$7:$A$300,B1086)&gt;0,"✓","⚠ add to Campaigns tab"))</f>
        <v/>
      </c>
      <c r="I1086" s="84" t="str">
        <f aca="false">IF(C1086="","",C1086*IF(Settings!$B$22=Settings!$C$6,1,IF(Settings!$B$22="USD",1/INDEX(Settings!$B$29:$B$40,MONTH(A1086)),INDEX(Settings!$B$29:$B$40,MONTH(A1086)))))</f>
        <v/>
      </c>
    </row>
    <row r="1087" customFormat="false" ht="15" hidden="false" customHeight="false" outlineLevel="0" collapsed="false">
      <c r="H1087" s="0" t="str">
        <f aca="false">IF(B1087="","",IF(COUNTIF(Campaigns!$A$7:$A$300,B1087)&gt;0,"✓","⚠ add to Campaigns tab"))</f>
        <v/>
      </c>
      <c r="I1087" s="84" t="str">
        <f aca="false">IF(C1087="","",C1087*IF(Settings!$B$22=Settings!$C$6,1,IF(Settings!$B$22="USD",1/INDEX(Settings!$B$29:$B$40,MONTH(A1087)),INDEX(Settings!$B$29:$B$40,MONTH(A1087)))))</f>
        <v/>
      </c>
    </row>
    <row r="1088" customFormat="false" ht="15" hidden="false" customHeight="false" outlineLevel="0" collapsed="false">
      <c r="H1088" s="0" t="str">
        <f aca="false">IF(B1088="","",IF(COUNTIF(Campaigns!$A$7:$A$300,B1088)&gt;0,"✓","⚠ add to Campaigns tab"))</f>
        <v/>
      </c>
      <c r="I1088" s="84" t="str">
        <f aca="false">IF(C1088="","",C1088*IF(Settings!$B$22=Settings!$C$6,1,IF(Settings!$B$22="USD",1/INDEX(Settings!$B$29:$B$40,MONTH(A1088)),INDEX(Settings!$B$29:$B$40,MONTH(A1088)))))</f>
        <v/>
      </c>
    </row>
    <row r="1089" customFormat="false" ht="15" hidden="false" customHeight="false" outlineLevel="0" collapsed="false">
      <c r="H1089" s="0" t="str">
        <f aca="false">IF(B1089="","",IF(COUNTIF(Campaigns!$A$7:$A$300,B1089)&gt;0,"✓","⚠ add to Campaigns tab"))</f>
        <v/>
      </c>
      <c r="I1089" s="84" t="str">
        <f aca="false">IF(C1089="","",C1089*IF(Settings!$B$22=Settings!$C$6,1,IF(Settings!$B$22="USD",1/INDEX(Settings!$B$29:$B$40,MONTH(A1089)),INDEX(Settings!$B$29:$B$40,MONTH(A1089)))))</f>
        <v/>
      </c>
    </row>
    <row r="1090" customFormat="false" ht="15" hidden="false" customHeight="false" outlineLevel="0" collapsed="false">
      <c r="H1090" s="0" t="str">
        <f aca="false">IF(B1090="","",IF(COUNTIF(Campaigns!$A$7:$A$300,B1090)&gt;0,"✓","⚠ add to Campaigns tab"))</f>
        <v/>
      </c>
      <c r="I1090" s="84" t="str">
        <f aca="false">IF(C1090="","",C1090*IF(Settings!$B$22=Settings!$C$6,1,IF(Settings!$B$22="USD",1/INDEX(Settings!$B$29:$B$40,MONTH(A1090)),INDEX(Settings!$B$29:$B$40,MONTH(A1090)))))</f>
        <v/>
      </c>
    </row>
    <row r="1091" customFormat="false" ht="15" hidden="false" customHeight="false" outlineLevel="0" collapsed="false">
      <c r="H1091" s="0" t="str">
        <f aca="false">IF(B1091="","",IF(COUNTIF(Campaigns!$A$7:$A$300,B1091)&gt;0,"✓","⚠ add to Campaigns tab"))</f>
        <v/>
      </c>
      <c r="I1091" s="84" t="str">
        <f aca="false">IF(C1091="","",C1091*IF(Settings!$B$22=Settings!$C$6,1,IF(Settings!$B$22="USD",1/INDEX(Settings!$B$29:$B$40,MONTH(A1091)),INDEX(Settings!$B$29:$B$40,MONTH(A1091)))))</f>
        <v/>
      </c>
    </row>
    <row r="1092" customFormat="false" ht="15" hidden="false" customHeight="false" outlineLevel="0" collapsed="false">
      <c r="H1092" s="0" t="str">
        <f aca="false">IF(B1092="","",IF(COUNTIF(Campaigns!$A$7:$A$300,B1092)&gt;0,"✓","⚠ add to Campaigns tab"))</f>
        <v/>
      </c>
      <c r="I1092" s="84" t="str">
        <f aca="false">IF(C1092="","",C1092*IF(Settings!$B$22=Settings!$C$6,1,IF(Settings!$B$22="USD",1/INDEX(Settings!$B$29:$B$40,MONTH(A1092)),INDEX(Settings!$B$29:$B$40,MONTH(A1092)))))</f>
        <v/>
      </c>
    </row>
    <row r="1093" customFormat="false" ht="15" hidden="false" customHeight="false" outlineLevel="0" collapsed="false">
      <c r="H1093" s="0" t="str">
        <f aca="false">IF(B1093="","",IF(COUNTIF(Campaigns!$A$7:$A$300,B1093)&gt;0,"✓","⚠ add to Campaigns tab"))</f>
        <v/>
      </c>
      <c r="I1093" s="84" t="str">
        <f aca="false">IF(C1093="","",C1093*IF(Settings!$B$22=Settings!$C$6,1,IF(Settings!$B$22="USD",1/INDEX(Settings!$B$29:$B$40,MONTH(A1093)),INDEX(Settings!$B$29:$B$40,MONTH(A1093)))))</f>
        <v/>
      </c>
    </row>
    <row r="1094" customFormat="false" ht="15" hidden="false" customHeight="false" outlineLevel="0" collapsed="false">
      <c r="H1094" s="0" t="str">
        <f aca="false">IF(B1094="","",IF(COUNTIF(Campaigns!$A$7:$A$300,B1094)&gt;0,"✓","⚠ add to Campaigns tab"))</f>
        <v/>
      </c>
      <c r="I1094" s="84" t="str">
        <f aca="false">IF(C1094="","",C1094*IF(Settings!$B$22=Settings!$C$6,1,IF(Settings!$B$22="USD",1/INDEX(Settings!$B$29:$B$40,MONTH(A1094)),INDEX(Settings!$B$29:$B$40,MONTH(A1094)))))</f>
        <v/>
      </c>
    </row>
    <row r="1095" customFormat="false" ht="15" hidden="false" customHeight="false" outlineLevel="0" collapsed="false">
      <c r="H1095" s="0" t="str">
        <f aca="false">IF(B1095="","",IF(COUNTIF(Campaigns!$A$7:$A$300,B1095)&gt;0,"✓","⚠ add to Campaigns tab"))</f>
        <v/>
      </c>
      <c r="I1095" s="84" t="str">
        <f aca="false">IF(C1095="","",C1095*IF(Settings!$B$22=Settings!$C$6,1,IF(Settings!$B$22="USD",1/INDEX(Settings!$B$29:$B$40,MONTH(A1095)),INDEX(Settings!$B$29:$B$40,MONTH(A1095)))))</f>
        <v/>
      </c>
    </row>
    <row r="1096" customFormat="false" ht="15" hidden="false" customHeight="false" outlineLevel="0" collapsed="false">
      <c r="H1096" s="0" t="str">
        <f aca="false">IF(B1096="","",IF(COUNTIF(Campaigns!$A$7:$A$300,B1096)&gt;0,"✓","⚠ add to Campaigns tab"))</f>
        <v/>
      </c>
      <c r="I1096" s="84" t="str">
        <f aca="false">IF(C1096="","",C1096*IF(Settings!$B$22=Settings!$C$6,1,IF(Settings!$B$22="USD",1/INDEX(Settings!$B$29:$B$40,MONTH(A1096)),INDEX(Settings!$B$29:$B$40,MONTH(A1096)))))</f>
        <v/>
      </c>
    </row>
    <row r="1097" customFormat="false" ht="15" hidden="false" customHeight="false" outlineLevel="0" collapsed="false">
      <c r="H1097" s="0" t="str">
        <f aca="false">IF(B1097="","",IF(COUNTIF(Campaigns!$A$7:$A$300,B1097)&gt;0,"✓","⚠ add to Campaigns tab"))</f>
        <v/>
      </c>
      <c r="I1097" s="84" t="str">
        <f aca="false">IF(C1097="","",C1097*IF(Settings!$B$22=Settings!$C$6,1,IF(Settings!$B$22="USD",1/INDEX(Settings!$B$29:$B$40,MONTH(A1097)),INDEX(Settings!$B$29:$B$40,MONTH(A1097)))))</f>
        <v/>
      </c>
    </row>
    <row r="1098" customFormat="false" ht="15" hidden="false" customHeight="false" outlineLevel="0" collapsed="false">
      <c r="H1098" s="0" t="str">
        <f aca="false">IF(B1098="","",IF(COUNTIF(Campaigns!$A$7:$A$300,B1098)&gt;0,"✓","⚠ add to Campaigns tab"))</f>
        <v/>
      </c>
      <c r="I1098" s="84" t="str">
        <f aca="false">IF(C1098="","",C1098*IF(Settings!$B$22=Settings!$C$6,1,IF(Settings!$B$22="USD",1/INDEX(Settings!$B$29:$B$40,MONTH(A1098)),INDEX(Settings!$B$29:$B$40,MONTH(A1098)))))</f>
        <v/>
      </c>
    </row>
    <row r="1099" customFormat="false" ht="15" hidden="false" customHeight="false" outlineLevel="0" collapsed="false">
      <c r="H1099" s="0" t="str">
        <f aca="false">IF(B1099="","",IF(COUNTIF(Campaigns!$A$7:$A$300,B1099)&gt;0,"✓","⚠ add to Campaigns tab"))</f>
        <v/>
      </c>
      <c r="I1099" s="84" t="str">
        <f aca="false">IF(C1099="","",C1099*IF(Settings!$B$22=Settings!$C$6,1,IF(Settings!$B$22="USD",1/INDEX(Settings!$B$29:$B$40,MONTH(A1099)),INDEX(Settings!$B$29:$B$40,MONTH(A1099)))))</f>
        <v/>
      </c>
    </row>
    <row r="1100" customFormat="false" ht="15" hidden="false" customHeight="false" outlineLevel="0" collapsed="false">
      <c r="H1100" s="0" t="str">
        <f aca="false">IF(B1100="","",IF(COUNTIF(Campaigns!$A$7:$A$300,B1100)&gt;0,"✓","⚠ add to Campaigns tab"))</f>
        <v/>
      </c>
      <c r="I1100" s="84" t="str">
        <f aca="false">IF(C1100="","",C1100*IF(Settings!$B$22=Settings!$C$6,1,IF(Settings!$B$22="USD",1/INDEX(Settings!$B$29:$B$40,MONTH(A1100)),INDEX(Settings!$B$29:$B$40,MONTH(A1100)))))</f>
        <v/>
      </c>
    </row>
    <row r="1101" customFormat="false" ht="15" hidden="false" customHeight="false" outlineLevel="0" collapsed="false">
      <c r="H1101" s="0" t="str">
        <f aca="false">IF(B1101="","",IF(COUNTIF(Campaigns!$A$7:$A$300,B1101)&gt;0,"✓","⚠ add to Campaigns tab"))</f>
        <v/>
      </c>
      <c r="I1101" s="84" t="str">
        <f aca="false">IF(C1101="","",C1101*IF(Settings!$B$22=Settings!$C$6,1,IF(Settings!$B$22="USD",1/INDEX(Settings!$B$29:$B$40,MONTH(A1101)),INDEX(Settings!$B$29:$B$40,MONTH(A1101)))))</f>
        <v/>
      </c>
    </row>
    <row r="1102" customFormat="false" ht="15" hidden="false" customHeight="false" outlineLevel="0" collapsed="false">
      <c r="H1102" s="0" t="str">
        <f aca="false">IF(B1102="","",IF(COUNTIF(Campaigns!$A$7:$A$300,B1102)&gt;0,"✓","⚠ add to Campaigns tab"))</f>
        <v/>
      </c>
      <c r="I1102" s="84" t="str">
        <f aca="false">IF(C1102="","",C1102*IF(Settings!$B$22=Settings!$C$6,1,IF(Settings!$B$22="USD",1/INDEX(Settings!$B$29:$B$40,MONTH(A1102)),INDEX(Settings!$B$29:$B$40,MONTH(A1102)))))</f>
        <v/>
      </c>
    </row>
    <row r="1103" customFormat="false" ht="15" hidden="false" customHeight="false" outlineLevel="0" collapsed="false">
      <c r="H1103" s="0" t="str">
        <f aca="false">IF(B1103="","",IF(COUNTIF(Campaigns!$A$7:$A$300,B1103)&gt;0,"✓","⚠ add to Campaigns tab"))</f>
        <v/>
      </c>
      <c r="I1103" s="84" t="str">
        <f aca="false">IF(C1103="","",C1103*IF(Settings!$B$22=Settings!$C$6,1,IF(Settings!$B$22="USD",1/INDEX(Settings!$B$29:$B$40,MONTH(A1103)),INDEX(Settings!$B$29:$B$40,MONTH(A1103)))))</f>
        <v/>
      </c>
    </row>
    <row r="1104" customFormat="false" ht="15" hidden="false" customHeight="false" outlineLevel="0" collapsed="false">
      <c r="H1104" s="0" t="str">
        <f aca="false">IF(B1104="","",IF(COUNTIF(Campaigns!$A$7:$A$300,B1104)&gt;0,"✓","⚠ add to Campaigns tab"))</f>
        <v/>
      </c>
      <c r="I1104" s="84" t="str">
        <f aca="false">IF(C1104="","",C1104*IF(Settings!$B$22=Settings!$C$6,1,IF(Settings!$B$22="USD",1/INDEX(Settings!$B$29:$B$40,MONTH(A1104)),INDEX(Settings!$B$29:$B$40,MONTH(A1104)))))</f>
        <v/>
      </c>
    </row>
    <row r="1105" customFormat="false" ht="15" hidden="false" customHeight="false" outlineLevel="0" collapsed="false">
      <c r="H1105" s="0" t="str">
        <f aca="false">IF(B1105="","",IF(COUNTIF(Campaigns!$A$7:$A$300,B1105)&gt;0,"✓","⚠ add to Campaigns tab"))</f>
        <v/>
      </c>
      <c r="I1105" s="84" t="str">
        <f aca="false">IF(C1105="","",C1105*IF(Settings!$B$22=Settings!$C$6,1,IF(Settings!$B$22="USD",1/INDEX(Settings!$B$29:$B$40,MONTH(A1105)),INDEX(Settings!$B$29:$B$40,MONTH(A1105)))))</f>
        <v/>
      </c>
    </row>
    <row r="1106" customFormat="false" ht="15" hidden="false" customHeight="false" outlineLevel="0" collapsed="false">
      <c r="H1106" s="0" t="str">
        <f aca="false">IF(B1106="","",IF(COUNTIF(Campaigns!$A$7:$A$300,B1106)&gt;0,"✓","⚠ add to Campaigns tab"))</f>
        <v/>
      </c>
      <c r="I1106" s="84" t="str">
        <f aca="false">IF(C1106="","",C1106*IF(Settings!$B$22=Settings!$C$6,1,IF(Settings!$B$22="USD",1/INDEX(Settings!$B$29:$B$40,MONTH(A1106)),INDEX(Settings!$B$29:$B$40,MONTH(A1106)))))</f>
        <v/>
      </c>
    </row>
    <row r="1107" customFormat="false" ht="15" hidden="false" customHeight="false" outlineLevel="0" collapsed="false">
      <c r="H1107" s="0" t="str">
        <f aca="false">IF(B1107="","",IF(COUNTIF(Campaigns!$A$7:$A$300,B1107)&gt;0,"✓","⚠ add to Campaigns tab"))</f>
        <v/>
      </c>
      <c r="I1107" s="84" t="str">
        <f aca="false">IF(C1107="","",C1107*IF(Settings!$B$22=Settings!$C$6,1,IF(Settings!$B$22="USD",1/INDEX(Settings!$B$29:$B$40,MONTH(A1107)),INDEX(Settings!$B$29:$B$40,MONTH(A1107)))))</f>
        <v/>
      </c>
    </row>
    <row r="1108" customFormat="false" ht="15" hidden="false" customHeight="false" outlineLevel="0" collapsed="false">
      <c r="H1108" s="0" t="str">
        <f aca="false">IF(B1108="","",IF(COUNTIF(Campaigns!$A$7:$A$300,B1108)&gt;0,"✓","⚠ add to Campaigns tab"))</f>
        <v/>
      </c>
      <c r="I1108" s="84" t="str">
        <f aca="false">IF(C1108="","",C1108*IF(Settings!$B$22=Settings!$C$6,1,IF(Settings!$B$22="USD",1/INDEX(Settings!$B$29:$B$40,MONTH(A1108)),INDEX(Settings!$B$29:$B$40,MONTH(A1108)))))</f>
        <v/>
      </c>
    </row>
    <row r="1109" customFormat="false" ht="15" hidden="false" customHeight="false" outlineLevel="0" collapsed="false">
      <c r="H1109" s="0" t="str">
        <f aca="false">IF(B1109="","",IF(COUNTIF(Campaigns!$A$7:$A$300,B1109)&gt;0,"✓","⚠ add to Campaigns tab"))</f>
        <v/>
      </c>
      <c r="I1109" s="84" t="str">
        <f aca="false">IF(C1109="","",C1109*IF(Settings!$B$22=Settings!$C$6,1,IF(Settings!$B$22="USD",1/INDEX(Settings!$B$29:$B$40,MONTH(A1109)),INDEX(Settings!$B$29:$B$40,MONTH(A1109)))))</f>
        <v/>
      </c>
    </row>
    <row r="1110" customFormat="false" ht="15" hidden="false" customHeight="false" outlineLevel="0" collapsed="false">
      <c r="H1110" s="0" t="str">
        <f aca="false">IF(B1110="","",IF(COUNTIF(Campaigns!$A$7:$A$300,B1110)&gt;0,"✓","⚠ add to Campaigns tab"))</f>
        <v/>
      </c>
      <c r="I1110" s="84" t="str">
        <f aca="false">IF(C1110="","",C1110*IF(Settings!$B$22=Settings!$C$6,1,IF(Settings!$B$22="USD",1/INDEX(Settings!$B$29:$B$40,MONTH(A1110)),INDEX(Settings!$B$29:$B$40,MONTH(A1110)))))</f>
        <v/>
      </c>
    </row>
    <row r="1111" customFormat="false" ht="15" hidden="false" customHeight="false" outlineLevel="0" collapsed="false">
      <c r="H1111" s="0" t="str">
        <f aca="false">IF(B1111="","",IF(COUNTIF(Campaigns!$A$7:$A$300,B1111)&gt;0,"✓","⚠ add to Campaigns tab"))</f>
        <v/>
      </c>
      <c r="I1111" s="84" t="str">
        <f aca="false">IF(C1111="","",C1111*IF(Settings!$B$22=Settings!$C$6,1,IF(Settings!$B$22="USD",1/INDEX(Settings!$B$29:$B$40,MONTH(A1111)),INDEX(Settings!$B$29:$B$40,MONTH(A1111)))))</f>
        <v/>
      </c>
    </row>
    <row r="1112" customFormat="false" ht="15" hidden="false" customHeight="false" outlineLevel="0" collapsed="false">
      <c r="H1112" s="0" t="str">
        <f aca="false">IF(B1112="","",IF(COUNTIF(Campaigns!$A$7:$A$300,B1112)&gt;0,"✓","⚠ add to Campaigns tab"))</f>
        <v/>
      </c>
      <c r="I1112" s="84" t="str">
        <f aca="false">IF(C1112="","",C1112*IF(Settings!$B$22=Settings!$C$6,1,IF(Settings!$B$22="USD",1/INDEX(Settings!$B$29:$B$40,MONTH(A1112)),INDEX(Settings!$B$29:$B$40,MONTH(A1112)))))</f>
        <v/>
      </c>
    </row>
    <row r="1113" customFormat="false" ht="15" hidden="false" customHeight="false" outlineLevel="0" collapsed="false">
      <c r="H1113" s="0" t="str">
        <f aca="false">IF(B1113="","",IF(COUNTIF(Campaigns!$A$7:$A$300,B1113)&gt;0,"✓","⚠ add to Campaigns tab"))</f>
        <v/>
      </c>
      <c r="I1113" s="84" t="str">
        <f aca="false">IF(C1113="","",C1113*IF(Settings!$B$22=Settings!$C$6,1,IF(Settings!$B$22="USD",1/INDEX(Settings!$B$29:$B$40,MONTH(A1113)),INDEX(Settings!$B$29:$B$40,MONTH(A1113)))))</f>
        <v/>
      </c>
    </row>
    <row r="1114" customFormat="false" ht="15" hidden="false" customHeight="false" outlineLevel="0" collapsed="false">
      <c r="H1114" s="0" t="str">
        <f aca="false">IF(B1114="","",IF(COUNTIF(Campaigns!$A$7:$A$300,B1114)&gt;0,"✓","⚠ add to Campaigns tab"))</f>
        <v/>
      </c>
      <c r="I1114" s="84" t="str">
        <f aca="false">IF(C1114="","",C1114*IF(Settings!$B$22=Settings!$C$6,1,IF(Settings!$B$22="USD",1/INDEX(Settings!$B$29:$B$40,MONTH(A1114)),INDEX(Settings!$B$29:$B$40,MONTH(A1114)))))</f>
        <v/>
      </c>
    </row>
    <row r="1115" customFormat="false" ht="15" hidden="false" customHeight="false" outlineLevel="0" collapsed="false">
      <c r="H1115" s="0" t="str">
        <f aca="false">IF(B1115="","",IF(COUNTIF(Campaigns!$A$7:$A$300,B1115)&gt;0,"✓","⚠ add to Campaigns tab"))</f>
        <v/>
      </c>
      <c r="I1115" s="84" t="str">
        <f aca="false">IF(C1115="","",C1115*IF(Settings!$B$22=Settings!$C$6,1,IF(Settings!$B$22="USD",1/INDEX(Settings!$B$29:$B$40,MONTH(A1115)),INDEX(Settings!$B$29:$B$40,MONTH(A1115)))))</f>
        <v/>
      </c>
    </row>
    <row r="1116" customFormat="false" ht="15" hidden="false" customHeight="false" outlineLevel="0" collapsed="false">
      <c r="H1116" s="0" t="str">
        <f aca="false">IF(B1116="","",IF(COUNTIF(Campaigns!$A$7:$A$300,B1116)&gt;0,"✓","⚠ add to Campaigns tab"))</f>
        <v/>
      </c>
      <c r="I1116" s="84" t="str">
        <f aca="false">IF(C1116="","",C1116*IF(Settings!$B$22=Settings!$C$6,1,IF(Settings!$B$22="USD",1/INDEX(Settings!$B$29:$B$40,MONTH(A1116)),INDEX(Settings!$B$29:$B$40,MONTH(A1116)))))</f>
        <v/>
      </c>
    </row>
    <row r="1117" customFormat="false" ht="15" hidden="false" customHeight="false" outlineLevel="0" collapsed="false">
      <c r="H1117" s="0" t="str">
        <f aca="false">IF(B1117="","",IF(COUNTIF(Campaigns!$A$7:$A$300,B1117)&gt;0,"✓","⚠ add to Campaigns tab"))</f>
        <v/>
      </c>
      <c r="I1117" s="84" t="str">
        <f aca="false">IF(C1117="","",C1117*IF(Settings!$B$22=Settings!$C$6,1,IF(Settings!$B$22="USD",1/INDEX(Settings!$B$29:$B$40,MONTH(A1117)),INDEX(Settings!$B$29:$B$40,MONTH(A1117)))))</f>
        <v/>
      </c>
    </row>
    <row r="1118" customFormat="false" ht="15" hidden="false" customHeight="false" outlineLevel="0" collapsed="false">
      <c r="H1118" s="0" t="str">
        <f aca="false">IF(B1118="","",IF(COUNTIF(Campaigns!$A$7:$A$300,B1118)&gt;0,"✓","⚠ add to Campaigns tab"))</f>
        <v/>
      </c>
      <c r="I1118" s="84" t="str">
        <f aca="false">IF(C1118="","",C1118*IF(Settings!$B$22=Settings!$C$6,1,IF(Settings!$B$22="USD",1/INDEX(Settings!$B$29:$B$40,MONTH(A1118)),INDEX(Settings!$B$29:$B$40,MONTH(A1118)))))</f>
        <v/>
      </c>
    </row>
    <row r="1119" customFormat="false" ht="15" hidden="false" customHeight="false" outlineLevel="0" collapsed="false">
      <c r="H1119" s="0" t="str">
        <f aca="false">IF(B1119="","",IF(COUNTIF(Campaigns!$A$7:$A$300,B1119)&gt;0,"✓","⚠ add to Campaigns tab"))</f>
        <v/>
      </c>
      <c r="I1119" s="84" t="str">
        <f aca="false">IF(C1119="","",C1119*IF(Settings!$B$22=Settings!$C$6,1,IF(Settings!$B$22="USD",1/INDEX(Settings!$B$29:$B$40,MONTH(A1119)),INDEX(Settings!$B$29:$B$40,MONTH(A1119)))))</f>
        <v/>
      </c>
    </row>
    <row r="1120" customFormat="false" ht="15" hidden="false" customHeight="false" outlineLevel="0" collapsed="false">
      <c r="H1120" s="0" t="str">
        <f aca="false">IF(B1120="","",IF(COUNTIF(Campaigns!$A$7:$A$300,B1120)&gt;0,"✓","⚠ add to Campaigns tab"))</f>
        <v/>
      </c>
      <c r="I1120" s="84" t="str">
        <f aca="false">IF(C1120="","",C1120*IF(Settings!$B$22=Settings!$C$6,1,IF(Settings!$B$22="USD",1/INDEX(Settings!$B$29:$B$40,MONTH(A1120)),INDEX(Settings!$B$29:$B$40,MONTH(A1120)))))</f>
        <v/>
      </c>
    </row>
    <row r="1121" customFormat="false" ht="15" hidden="false" customHeight="false" outlineLevel="0" collapsed="false">
      <c r="H1121" s="0" t="str">
        <f aca="false">IF(B1121="","",IF(COUNTIF(Campaigns!$A$7:$A$300,B1121)&gt;0,"✓","⚠ add to Campaigns tab"))</f>
        <v/>
      </c>
      <c r="I1121" s="84" t="str">
        <f aca="false">IF(C1121="","",C1121*IF(Settings!$B$22=Settings!$C$6,1,IF(Settings!$B$22="USD",1/INDEX(Settings!$B$29:$B$40,MONTH(A1121)),INDEX(Settings!$B$29:$B$40,MONTH(A1121)))))</f>
        <v/>
      </c>
    </row>
    <row r="1122" customFormat="false" ht="15" hidden="false" customHeight="false" outlineLevel="0" collapsed="false">
      <c r="H1122" s="0" t="str">
        <f aca="false">IF(B1122="","",IF(COUNTIF(Campaigns!$A$7:$A$300,B1122)&gt;0,"✓","⚠ add to Campaigns tab"))</f>
        <v/>
      </c>
      <c r="I1122" s="84" t="str">
        <f aca="false">IF(C1122="","",C1122*IF(Settings!$B$22=Settings!$C$6,1,IF(Settings!$B$22="USD",1/INDEX(Settings!$B$29:$B$40,MONTH(A1122)),INDEX(Settings!$B$29:$B$40,MONTH(A1122)))))</f>
        <v/>
      </c>
    </row>
    <row r="1123" customFormat="false" ht="15" hidden="false" customHeight="false" outlineLevel="0" collapsed="false">
      <c r="H1123" s="0" t="str">
        <f aca="false">IF(B1123="","",IF(COUNTIF(Campaigns!$A$7:$A$300,B1123)&gt;0,"✓","⚠ add to Campaigns tab"))</f>
        <v/>
      </c>
      <c r="I1123" s="84" t="str">
        <f aca="false">IF(C1123="","",C1123*IF(Settings!$B$22=Settings!$C$6,1,IF(Settings!$B$22="USD",1/INDEX(Settings!$B$29:$B$40,MONTH(A1123)),INDEX(Settings!$B$29:$B$40,MONTH(A1123)))))</f>
        <v/>
      </c>
    </row>
    <row r="1124" customFormat="false" ht="15" hidden="false" customHeight="false" outlineLevel="0" collapsed="false">
      <c r="H1124" s="0" t="str">
        <f aca="false">IF(B1124="","",IF(COUNTIF(Campaigns!$A$7:$A$300,B1124)&gt;0,"✓","⚠ add to Campaigns tab"))</f>
        <v/>
      </c>
      <c r="I1124" s="84" t="str">
        <f aca="false">IF(C1124="","",C1124*IF(Settings!$B$22=Settings!$C$6,1,IF(Settings!$B$22="USD",1/INDEX(Settings!$B$29:$B$40,MONTH(A1124)),INDEX(Settings!$B$29:$B$40,MONTH(A1124)))))</f>
        <v/>
      </c>
    </row>
    <row r="1125" customFormat="false" ht="15" hidden="false" customHeight="false" outlineLevel="0" collapsed="false">
      <c r="H1125" s="0" t="str">
        <f aca="false">IF(B1125="","",IF(COUNTIF(Campaigns!$A$7:$A$300,B1125)&gt;0,"✓","⚠ add to Campaigns tab"))</f>
        <v/>
      </c>
      <c r="I1125" s="84" t="str">
        <f aca="false">IF(C1125="","",C1125*IF(Settings!$B$22=Settings!$C$6,1,IF(Settings!$B$22="USD",1/INDEX(Settings!$B$29:$B$40,MONTH(A1125)),INDEX(Settings!$B$29:$B$40,MONTH(A1125)))))</f>
        <v/>
      </c>
    </row>
    <row r="1126" customFormat="false" ht="15" hidden="false" customHeight="false" outlineLevel="0" collapsed="false">
      <c r="H1126" s="0" t="str">
        <f aca="false">IF(B1126="","",IF(COUNTIF(Campaigns!$A$7:$A$300,B1126)&gt;0,"✓","⚠ add to Campaigns tab"))</f>
        <v/>
      </c>
      <c r="I1126" s="84" t="str">
        <f aca="false">IF(C1126="","",C1126*IF(Settings!$B$22=Settings!$C$6,1,IF(Settings!$B$22="USD",1/INDEX(Settings!$B$29:$B$40,MONTH(A1126)),INDEX(Settings!$B$29:$B$40,MONTH(A1126)))))</f>
        <v/>
      </c>
    </row>
    <row r="1127" customFormat="false" ht="15" hidden="false" customHeight="false" outlineLevel="0" collapsed="false">
      <c r="H1127" s="0" t="str">
        <f aca="false">IF(B1127="","",IF(COUNTIF(Campaigns!$A$7:$A$300,B1127)&gt;0,"✓","⚠ add to Campaigns tab"))</f>
        <v/>
      </c>
      <c r="I1127" s="84" t="str">
        <f aca="false">IF(C1127="","",C1127*IF(Settings!$B$22=Settings!$C$6,1,IF(Settings!$B$22="USD",1/INDEX(Settings!$B$29:$B$40,MONTH(A1127)),INDEX(Settings!$B$29:$B$40,MONTH(A1127)))))</f>
        <v/>
      </c>
    </row>
    <row r="1128" customFormat="false" ht="15" hidden="false" customHeight="false" outlineLevel="0" collapsed="false">
      <c r="H1128" s="0" t="str">
        <f aca="false">IF(B1128="","",IF(COUNTIF(Campaigns!$A$7:$A$300,B1128)&gt;0,"✓","⚠ add to Campaigns tab"))</f>
        <v/>
      </c>
      <c r="I1128" s="84" t="str">
        <f aca="false">IF(C1128="","",C1128*IF(Settings!$B$22=Settings!$C$6,1,IF(Settings!$B$22="USD",1/INDEX(Settings!$B$29:$B$40,MONTH(A1128)),INDEX(Settings!$B$29:$B$40,MONTH(A1128)))))</f>
        <v/>
      </c>
    </row>
    <row r="1129" customFormat="false" ht="15" hidden="false" customHeight="false" outlineLevel="0" collapsed="false">
      <c r="H1129" s="0" t="str">
        <f aca="false">IF(B1129="","",IF(COUNTIF(Campaigns!$A$7:$A$300,B1129)&gt;0,"✓","⚠ add to Campaigns tab"))</f>
        <v/>
      </c>
      <c r="I1129" s="84" t="str">
        <f aca="false">IF(C1129="","",C1129*IF(Settings!$B$22=Settings!$C$6,1,IF(Settings!$B$22="USD",1/INDEX(Settings!$B$29:$B$40,MONTH(A1129)),INDEX(Settings!$B$29:$B$40,MONTH(A1129)))))</f>
        <v/>
      </c>
    </row>
    <row r="1130" customFormat="false" ht="15" hidden="false" customHeight="false" outlineLevel="0" collapsed="false">
      <c r="H1130" s="0" t="str">
        <f aca="false">IF(B1130="","",IF(COUNTIF(Campaigns!$A$7:$A$300,B1130)&gt;0,"✓","⚠ add to Campaigns tab"))</f>
        <v/>
      </c>
      <c r="I1130" s="84" t="str">
        <f aca="false">IF(C1130="","",C1130*IF(Settings!$B$22=Settings!$C$6,1,IF(Settings!$B$22="USD",1/INDEX(Settings!$B$29:$B$40,MONTH(A1130)),INDEX(Settings!$B$29:$B$40,MONTH(A1130)))))</f>
        <v/>
      </c>
    </row>
    <row r="1131" customFormat="false" ht="15" hidden="false" customHeight="false" outlineLevel="0" collapsed="false">
      <c r="H1131" s="0" t="str">
        <f aca="false">IF(B1131="","",IF(COUNTIF(Campaigns!$A$7:$A$300,B1131)&gt;0,"✓","⚠ add to Campaigns tab"))</f>
        <v/>
      </c>
      <c r="I1131" s="84" t="str">
        <f aca="false">IF(C1131="","",C1131*IF(Settings!$B$22=Settings!$C$6,1,IF(Settings!$B$22="USD",1/INDEX(Settings!$B$29:$B$40,MONTH(A1131)),INDEX(Settings!$B$29:$B$40,MONTH(A1131)))))</f>
        <v/>
      </c>
    </row>
    <row r="1132" customFormat="false" ht="15" hidden="false" customHeight="false" outlineLevel="0" collapsed="false">
      <c r="H1132" s="0" t="str">
        <f aca="false">IF(B1132="","",IF(COUNTIF(Campaigns!$A$7:$A$300,B1132)&gt;0,"✓","⚠ add to Campaigns tab"))</f>
        <v/>
      </c>
      <c r="I1132" s="84" t="str">
        <f aca="false">IF(C1132="","",C1132*IF(Settings!$B$22=Settings!$C$6,1,IF(Settings!$B$22="USD",1/INDEX(Settings!$B$29:$B$40,MONTH(A1132)),INDEX(Settings!$B$29:$B$40,MONTH(A1132)))))</f>
        <v/>
      </c>
    </row>
    <row r="1133" customFormat="false" ht="15" hidden="false" customHeight="false" outlineLevel="0" collapsed="false">
      <c r="H1133" s="0" t="str">
        <f aca="false">IF(B1133="","",IF(COUNTIF(Campaigns!$A$7:$A$300,B1133)&gt;0,"✓","⚠ add to Campaigns tab"))</f>
        <v/>
      </c>
      <c r="I1133" s="84" t="str">
        <f aca="false">IF(C1133="","",C1133*IF(Settings!$B$22=Settings!$C$6,1,IF(Settings!$B$22="USD",1/INDEX(Settings!$B$29:$B$40,MONTH(A1133)),INDEX(Settings!$B$29:$B$40,MONTH(A1133)))))</f>
        <v/>
      </c>
    </row>
    <row r="1134" customFormat="false" ht="15" hidden="false" customHeight="false" outlineLevel="0" collapsed="false">
      <c r="H1134" s="0" t="str">
        <f aca="false">IF(B1134="","",IF(COUNTIF(Campaigns!$A$7:$A$300,B1134)&gt;0,"✓","⚠ add to Campaigns tab"))</f>
        <v/>
      </c>
      <c r="I1134" s="84" t="str">
        <f aca="false">IF(C1134="","",C1134*IF(Settings!$B$22=Settings!$C$6,1,IF(Settings!$B$22="USD",1/INDEX(Settings!$B$29:$B$40,MONTH(A1134)),INDEX(Settings!$B$29:$B$40,MONTH(A1134)))))</f>
        <v/>
      </c>
    </row>
    <row r="1135" customFormat="false" ht="15" hidden="false" customHeight="false" outlineLevel="0" collapsed="false">
      <c r="H1135" s="0" t="str">
        <f aca="false">IF(B1135="","",IF(COUNTIF(Campaigns!$A$7:$A$300,B1135)&gt;0,"✓","⚠ add to Campaigns tab"))</f>
        <v/>
      </c>
      <c r="I1135" s="84" t="str">
        <f aca="false">IF(C1135="","",C1135*IF(Settings!$B$22=Settings!$C$6,1,IF(Settings!$B$22="USD",1/INDEX(Settings!$B$29:$B$40,MONTH(A1135)),INDEX(Settings!$B$29:$B$40,MONTH(A1135)))))</f>
        <v/>
      </c>
    </row>
    <row r="1136" customFormat="false" ht="15" hidden="false" customHeight="false" outlineLevel="0" collapsed="false">
      <c r="H1136" s="0" t="str">
        <f aca="false">IF(B1136="","",IF(COUNTIF(Campaigns!$A$7:$A$300,B1136)&gt;0,"✓","⚠ add to Campaigns tab"))</f>
        <v/>
      </c>
      <c r="I1136" s="84" t="str">
        <f aca="false">IF(C1136="","",C1136*IF(Settings!$B$22=Settings!$C$6,1,IF(Settings!$B$22="USD",1/INDEX(Settings!$B$29:$B$40,MONTH(A1136)),INDEX(Settings!$B$29:$B$40,MONTH(A1136)))))</f>
        <v/>
      </c>
    </row>
    <row r="1137" customFormat="false" ht="15" hidden="false" customHeight="false" outlineLevel="0" collapsed="false">
      <c r="H1137" s="0" t="str">
        <f aca="false">IF(B1137="","",IF(COUNTIF(Campaigns!$A$7:$A$300,B1137)&gt;0,"✓","⚠ add to Campaigns tab"))</f>
        <v/>
      </c>
      <c r="I1137" s="84" t="str">
        <f aca="false">IF(C1137="","",C1137*IF(Settings!$B$22=Settings!$C$6,1,IF(Settings!$B$22="USD",1/INDEX(Settings!$B$29:$B$40,MONTH(A1137)),INDEX(Settings!$B$29:$B$40,MONTH(A1137)))))</f>
        <v/>
      </c>
    </row>
    <row r="1138" customFormat="false" ht="15" hidden="false" customHeight="false" outlineLevel="0" collapsed="false">
      <c r="H1138" s="0" t="str">
        <f aca="false">IF(B1138="","",IF(COUNTIF(Campaigns!$A$7:$A$300,B1138)&gt;0,"✓","⚠ add to Campaigns tab"))</f>
        <v/>
      </c>
      <c r="I1138" s="84" t="str">
        <f aca="false">IF(C1138="","",C1138*IF(Settings!$B$22=Settings!$C$6,1,IF(Settings!$B$22="USD",1/INDEX(Settings!$B$29:$B$40,MONTH(A1138)),INDEX(Settings!$B$29:$B$40,MONTH(A1138)))))</f>
        <v/>
      </c>
    </row>
    <row r="1139" customFormat="false" ht="15" hidden="false" customHeight="false" outlineLevel="0" collapsed="false">
      <c r="H1139" s="0" t="str">
        <f aca="false">IF(B1139="","",IF(COUNTIF(Campaigns!$A$7:$A$300,B1139)&gt;0,"✓","⚠ add to Campaigns tab"))</f>
        <v/>
      </c>
      <c r="I1139" s="84" t="str">
        <f aca="false">IF(C1139="","",C1139*IF(Settings!$B$22=Settings!$C$6,1,IF(Settings!$B$22="USD",1/INDEX(Settings!$B$29:$B$40,MONTH(A1139)),INDEX(Settings!$B$29:$B$40,MONTH(A1139)))))</f>
        <v/>
      </c>
    </row>
    <row r="1140" customFormat="false" ht="15" hidden="false" customHeight="false" outlineLevel="0" collapsed="false">
      <c r="H1140" s="0" t="str">
        <f aca="false">IF(B1140="","",IF(COUNTIF(Campaigns!$A$7:$A$300,B1140)&gt;0,"✓","⚠ add to Campaigns tab"))</f>
        <v/>
      </c>
      <c r="I1140" s="84" t="str">
        <f aca="false">IF(C1140="","",C1140*IF(Settings!$B$22=Settings!$C$6,1,IF(Settings!$B$22="USD",1/INDEX(Settings!$B$29:$B$40,MONTH(A1140)),INDEX(Settings!$B$29:$B$40,MONTH(A1140)))))</f>
        <v/>
      </c>
    </row>
    <row r="1141" customFormat="false" ht="15" hidden="false" customHeight="false" outlineLevel="0" collapsed="false">
      <c r="H1141" s="0" t="str">
        <f aca="false">IF(B1141="","",IF(COUNTIF(Campaigns!$A$7:$A$300,B1141)&gt;0,"✓","⚠ add to Campaigns tab"))</f>
        <v/>
      </c>
      <c r="I1141" s="84" t="str">
        <f aca="false">IF(C1141="","",C1141*IF(Settings!$B$22=Settings!$C$6,1,IF(Settings!$B$22="USD",1/INDEX(Settings!$B$29:$B$40,MONTH(A1141)),INDEX(Settings!$B$29:$B$40,MONTH(A1141)))))</f>
        <v/>
      </c>
    </row>
    <row r="1142" customFormat="false" ht="15" hidden="false" customHeight="false" outlineLevel="0" collapsed="false">
      <c r="H1142" s="0" t="str">
        <f aca="false">IF(B1142="","",IF(COUNTIF(Campaigns!$A$7:$A$300,B1142)&gt;0,"✓","⚠ add to Campaigns tab"))</f>
        <v/>
      </c>
      <c r="I1142" s="84" t="str">
        <f aca="false">IF(C1142="","",C1142*IF(Settings!$B$22=Settings!$C$6,1,IF(Settings!$B$22="USD",1/INDEX(Settings!$B$29:$B$40,MONTH(A1142)),INDEX(Settings!$B$29:$B$40,MONTH(A1142)))))</f>
        <v/>
      </c>
    </row>
    <row r="1143" customFormat="false" ht="15" hidden="false" customHeight="false" outlineLevel="0" collapsed="false">
      <c r="H1143" s="0" t="str">
        <f aca="false">IF(B1143="","",IF(COUNTIF(Campaigns!$A$7:$A$300,B1143)&gt;0,"✓","⚠ add to Campaigns tab"))</f>
        <v/>
      </c>
      <c r="I1143" s="84" t="str">
        <f aca="false">IF(C1143="","",C1143*IF(Settings!$B$22=Settings!$C$6,1,IF(Settings!$B$22="USD",1/INDEX(Settings!$B$29:$B$40,MONTH(A1143)),INDEX(Settings!$B$29:$B$40,MONTH(A1143)))))</f>
        <v/>
      </c>
    </row>
    <row r="1144" customFormat="false" ht="15" hidden="false" customHeight="false" outlineLevel="0" collapsed="false">
      <c r="H1144" s="0" t="str">
        <f aca="false">IF(B1144="","",IF(COUNTIF(Campaigns!$A$7:$A$300,B1144)&gt;0,"✓","⚠ add to Campaigns tab"))</f>
        <v/>
      </c>
      <c r="I1144" s="84" t="str">
        <f aca="false">IF(C1144="","",C1144*IF(Settings!$B$22=Settings!$C$6,1,IF(Settings!$B$22="USD",1/INDEX(Settings!$B$29:$B$40,MONTH(A1144)),INDEX(Settings!$B$29:$B$40,MONTH(A1144)))))</f>
        <v/>
      </c>
    </row>
    <row r="1145" customFormat="false" ht="15" hidden="false" customHeight="false" outlineLevel="0" collapsed="false">
      <c r="H1145" s="0" t="str">
        <f aca="false">IF(B1145="","",IF(COUNTIF(Campaigns!$A$7:$A$300,B1145)&gt;0,"✓","⚠ add to Campaigns tab"))</f>
        <v/>
      </c>
      <c r="I1145" s="84" t="str">
        <f aca="false">IF(C1145="","",C1145*IF(Settings!$B$22=Settings!$C$6,1,IF(Settings!$B$22="USD",1/INDEX(Settings!$B$29:$B$40,MONTH(A1145)),INDEX(Settings!$B$29:$B$40,MONTH(A1145)))))</f>
        <v/>
      </c>
    </row>
    <row r="1146" customFormat="false" ht="15" hidden="false" customHeight="false" outlineLevel="0" collapsed="false">
      <c r="H1146" s="0" t="str">
        <f aca="false">IF(B1146="","",IF(COUNTIF(Campaigns!$A$7:$A$300,B1146)&gt;0,"✓","⚠ add to Campaigns tab"))</f>
        <v/>
      </c>
      <c r="I1146" s="84" t="str">
        <f aca="false">IF(C1146="","",C1146*IF(Settings!$B$22=Settings!$C$6,1,IF(Settings!$B$22="USD",1/INDEX(Settings!$B$29:$B$40,MONTH(A1146)),INDEX(Settings!$B$29:$B$40,MONTH(A1146)))))</f>
        <v/>
      </c>
    </row>
    <row r="1147" customFormat="false" ht="15" hidden="false" customHeight="false" outlineLevel="0" collapsed="false">
      <c r="H1147" s="0" t="str">
        <f aca="false">IF(B1147="","",IF(COUNTIF(Campaigns!$A$7:$A$300,B1147)&gt;0,"✓","⚠ add to Campaigns tab"))</f>
        <v/>
      </c>
      <c r="I1147" s="84" t="str">
        <f aca="false">IF(C1147="","",C1147*IF(Settings!$B$22=Settings!$C$6,1,IF(Settings!$B$22="USD",1/INDEX(Settings!$B$29:$B$40,MONTH(A1147)),INDEX(Settings!$B$29:$B$40,MONTH(A1147)))))</f>
        <v/>
      </c>
    </row>
    <row r="1148" customFormat="false" ht="15" hidden="false" customHeight="false" outlineLevel="0" collapsed="false">
      <c r="H1148" s="0" t="str">
        <f aca="false">IF(B1148="","",IF(COUNTIF(Campaigns!$A$7:$A$300,B1148)&gt;0,"✓","⚠ add to Campaigns tab"))</f>
        <v/>
      </c>
      <c r="I1148" s="84" t="str">
        <f aca="false">IF(C1148="","",C1148*IF(Settings!$B$22=Settings!$C$6,1,IF(Settings!$B$22="USD",1/INDEX(Settings!$B$29:$B$40,MONTH(A1148)),INDEX(Settings!$B$29:$B$40,MONTH(A1148)))))</f>
        <v/>
      </c>
    </row>
    <row r="1149" customFormat="false" ht="15" hidden="false" customHeight="false" outlineLevel="0" collapsed="false">
      <c r="H1149" s="0" t="str">
        <f aca="false">IF(B1149="","",IF(COUNTIF(Campaigns!$A$7:$A$300,B1149)&gt;0,"✓","⚠ add to Campaigns tab"))</f>
        <v/>
      </c>
      <c r="I1149" s="84" t="str">
        <f aca="false">IF(C1149="","",C1149*IF(Settings!$B$22=Settings!$C$6,1,IF(Settings!$B$22="USD",1/INDEX(Settings!$B$29:$B$40,MONTH(A1149)),INDEX(Settings!$B$29:$B$40,MONTH(A1149)))))</f>
        <v/>
      </c>
    </row>
    <row r="1150" customFormat="false" ht="15" hidden="false" customHeight="false" outlineLevel="0" collapsed="false">
      <c r="H1150" s="0" t="str">
        <f aca="false">IF(B1150="","",IF(COUNTIF(Campaigns!$A$7:$A$300,B1150)&gt;0,"✓","⚠ add to Campaigns tab"))</f>
        <v/>
      </c>
      <c r="I1150" s="84" t="str">
        <f aca="false">IF(C1150="","",C1150*IF(Settings!$B$22=Settings!$C$6,1,IF(Settings!$B$22="USD",1/INDEX(Settings!$B$29:$B$40,MONTH(A1150)),INDEX(Settings!$B$29:$B$40,MONTH(A1150)))))</f>
        <v/>
      </c>
    </row>
    <row r="1151" customFormat="false" ht="15" hidden="false" customHeight="false" outlineLevel="0" collapsed="false">
      <c r="H1151" s="0" t="str">
        <f aca="false">IF(B1151="","",IF(COUNTIF(Campaigns!$A$7:$A$300,B1151)&gt;0,"✓","⚠ add to Campaigns tab"))</f>
        <v/>
      </c>
      <c r="I1151" s="84" t="str">
        <f aca="false">IF(C1151="","",C1151*IF(Settings!$B$22=Settings!$C$6,1,IF(Settings!$B$22="USD",1/INDEX(Settings!$B$29:$B$40,MONTH(A1151)),INDEX(Settings!$B$29:$B$40,MONTH(A1151)))))</f>
        <v/>
      </c>
    </row>
    <row r="1152" customFormat="false" ht="15" hidden="false" customHeight="false" outlineLevel="0" collapsed="false">
      <c r="H1152" s="0" t="str">
        <f aca="false">IF(B1152="","",IF(COUNTIF(Campaigns!$A$7:$A$300,B1152)&gt;0,"✓","⚠ add to Campaigns tab"))</f>
        <v/>
      </c>
      <c r="I1152" s="84" t="str">
        <f aca="false">IF(C1152="","",C1152*IF(Settings!$B$22=Settings!$C$6,1,IF(Settings!$B$22="USD",1/INDEX(Settings!$B$29:$B$40,MONTH(A1152)),INDEX(Settings!$B$29:$B$40,MONTH(A1152)))))</f>
        <v/>
      </c>
    </row>
    <row r="1153" customFormat="false" ht="15" hidden="false" customHeight="false" outlineLevel="0" collapsed="false">
      <c r="H1153" s="0" t="str">
        <f aca="false">IF(B1153="","",IF(COUNTIF(Campaigns!$A$7:$A$300,B1153)&gt;0,"✓","⚠ add to Campaigns tab"))</f>
        <v/>
      </c>
      <c r="I1153" s="84" t="str">
        <f aca="false">IF(C1153="","",C1153*IF(Settings!$B$22=Settings!$C$6,1,IF(Settings!$B$22="USD",1/INDEX(Settings!$B$29:$B$40,MONTH(A1153)),INDEX(Settings!$B$29:$B$40,MONTH(A1153)))))</f>
        <v/>
      </c>
    </row>
    <row r="1154" customFormat="false" ht="15" hidden="false" customHeight="false" outlineLevel="0" collapsed="false">
      <c r="H1154" s="0" t="str">
        <f aca="false">IF(B1154="","",IF(COUNTIF(Campaigns!$A$7:$A$300,B1154)&gt;0,"✓","⚠ add to Campaigns tab"))</f>
        <v/>
      </c>
      <c r="I1154" s="84" t="str">
        <f aca="false">IF(C1154="","",C1154*IF(Settings!$B$22=Settings!$C$6,1,IF(Settings!$B$22="USD",1/INDEX(Settings!$B$29:$B$40,MONTH(A1154)),INDEX(Settings!$B$29:$B$40,MONTH(A1154)))))</f>
        <v/>
      </c>
    </row>
    <row r="1155" customFormat="false" ht="15" hidden="false" customHeight="false" outlineLevel="0" collapsed="false">
      <c r="H1155" s="0" t="str">
        <f aca="false">IF(B1155="","",IF(COUNTIF(Campaigns!$A$7:$A$300,B1155)&gt;0,"✓","⚠ add to Campaigns tab"))</f>
        <v/>
      </c>
      <c r="I1155" s="84" t="str">
        <f aca="false">IF(C1155="","",C1155*IF(Settings!$B$22=Settings!$C$6,1,IF(Settings!$B$22="USD",1/INDEX(Settings!$B$29:$B$40,MONTH(A1155)),INDEX(Settings!$B$29:$B$40,MONTH(A1155)))))</f>
        <v/>
      </c>
    </row>
    <row r="1156" customFormat="false" ht="15" hidden="false" customHeight="false" outlineLevel="0" collapsed="false">
      <c r="H1156" s="0" t="str">
        <f aca="false">IF(B1156="","",IF(COUNTIF(Campaigns!$A$7:$A$300,B1156)&gt;0,"✓","⚠ add to Campaigns tab"))</f>
        <v/>
      </c>
      <c r="I1156" s="84" t="str">
        <f aca="false">IF(C1156="","",C1156*IF(Settings!$B$22=Settings!$C$6,1,IF(Settings!$B$22="USD",1/INDEX(Settings!$B$29:$B$40,MONTH(A1156)),INDEX(Settings!$B$29:$B$40,MONTH(A1156)))))</f>
        <v/>
      </c>
    </row>
    <row r="1157" customFormat="false" ht="15" hidden="false" customHeight="false" outlineLevel="0" collapsed="false">
      <c r="H1157" s="0" t="str">
        <f aca="false">IF(B1157="","",IF(COUNTIF(Campaigns!$A$7:$A$300,B1157)&gt;0,"✓","⚠ add to Campaigns tab"))</f>
        <v/>
      </c>
      <c r="I1157" s="84" t="str">
        <f aca="false">IF(C1157="","",C1157*IF(Settings!$B$22=Settings!$C$6,1,IF(Settings!$B$22="USD",1/INDEX(Settings!$B$29:$B$40,MONTH(A1157)),INDEX(Settings!$B$29:$B$40,MONTH(A1157)))))</f>
        <v/>
      </c>
    </row>
    <row r="1158" customFormat="false" ht="15" hidden="false" customHeight="false" outlineLevel="0" collapsed="false">
      <c r="H1158" s="0" t="str">
        <f aca="false">IF(B1158="","",IF(COUNTIF(Campaigns!$A$7:$A$300,B1158)&gt;0,"✓","⚠ add to Campaigns tab"))</f>
        <v/>
      </c>
      <c r="I1158" s="84" t="str">
        <f aca="false">IF(C1158="","",C1158*IF(Settings!$B$22=Settings!$C$6,1,IF(Settings!$B$22="USD",1/INDEX(Settings!$B$29:$B$40,MONTH(A1158)),INDEX(Settings!$B$29:$B$40,MONTH(A1158)))))</f>
        <v/>
      </c>
    </row>
    <row r="1159" customFormat="false" ht="15" hidden="false" customHeight="false" outlineLevel="0" collapsed="false">
      <c r="H1159" s="0" t="str">
        <f aca="false">IF(B1159="","",IF(COUNTIF(Campaigns!$A$7:$A$300,B1159)&gt;0,"✓","⚠ add to Campaigns tab"))</f>
        <v/>
      </c>
      <c r="I1159" s="84" t="str">
        <f aca="false">IF(C1159="","",C1159*IF(Settings!$B$22=Settings!$C$6,1,IF(Settings!$B$22="USD",1/INDEX(Settings!$B$29:$B$40,MONTH(A1159)),INDEX(Settings!$B$29:$B$40,MONTH(A1159)))))</f>
        <v/>
      </c>
    </row>
    <row r="1160" customFormat="false" ht="15" hidden="false" customHeight="false" outlineLevel="0" collapsed="false">
      <c r="H1160" s="0" t="str">
        <f aca="false">IF(B1160="","",IF(COUNTIF(Campaigns!$A$7:$A$300,B1160)&gt;0,"✓","⚠ add to Campaigns tab"))</f>
        <v/>
      </c>
      <c r="I1160" s="84" t="str">
        <f aca="false">IF(C1160="","",C1160*IF(Settings!$B$22=Settings!$C$6,1,IF(Settings!$B$22="USD",1/INDEX(Settings!$B$29:$B$40,MONTH(A1160)),INDEX(Settings!$B$29:$B$40,MONTH(A1160)))))</f>
        <v/>
      </c>
    </row>
    <row r="1161" customFormat="false" ht="15" hidden="false" customHeight="false" outlineLevel="0" collapsed="false">
      <c r="H1161" s="0" t="str">
        <f aca="false">IF(B1161="","",IF(COUNTIF(Campaigns!$A$7:$A$300,B1161)&gt;0,"✓","⚠ add to Campaigns tab"))</f>
        <v/>
      </c>
      <c r="I1161" s="84" t="str">
        <f aca="false">IF(C1161="","",C1161*IF(Settings!$B$22=Settings!$C$6,1,IF(Settings!$B$22="USD",1/INDEX(Settings!$B$29:$B$40,MONTH(A1161)),INDEX(Settings!$B$29:$B$40,MONTH(A1161)))))</f>
        <v/>
      </c>
    </row>
    <row r="1162" customFormat="false" ht="15" hidden="false" customHeight="false" outlineLevel="0" collapsed="false">
      <c r="H1162" s="0" t="str">
        <f aca="false">IF(B1162="","",IF(COUNTIF(Campaigns!$A$7:$A$300,B1162)&gt;0,"✓","⚠ add to Campaigns tab"))</f>
        <v/>
      </c>
      <c r="I1162" s="84" t="str">
        <f aca="false">IF(C1162="","",C1162*IF(Settings!$B$22=Settings!$C$6,1,IF(Settings!$B$22="USD",1/INDEX(Settings!$B$29:$B$40,MONTH(A1162)),INDEX(Settings!$B$29:$B$40,MONTH(A1162)))))</f>
        <v/>
      </c>
    </row>
    <row r="1163" customFormat="false" ht="15" hidden="false" customHeight="false" outlineLevel="0" collapsed="false">
      <c r="H1163" s="0" t="str">
        <f aca="false">IF(B1163="","",IF(COUNTIF(Campaigns!$A$7:$A$300,B1163)&gt;0,"✓","⚠ add to Campaigns tab"))</f>
        <v/>
      </c>
      <c r="I1163" s="84" t="str">
        <f aca="false">IF(C1163="","",C1163*IF(Settings!$B$22=Settings!$C$6,1,IF(Settings!$B$22="USD",1/INDEX(Settings!$B$29:$B$40,MONTH(A1163)),INDEX(Settings!$B$29:$B$40,MONTH(A1163)))))</f>
        <v/>
      </c>
    </row>
    <row r="1164" customFormat="false" ht="15" hidden="false" customHeight="false" outlineLevel="0" collapsed="false">
      <c r="H1164" s="0" t="str">
        <f aca="false">IF(B1164="","",IF(COUNTIF(Campaigns!$A$7:$A$300,B1164)&gt;0,"✓","⚠ add to Campaigns tab"))</f>
        <v/>
      </c>
      <c r="I1164" s="84" t="str">
        <f aca="false">IF(C1164="","",C1164*IF(Settings!$B$22=Settings!$C$6,1,IF(Settings!$B$22="USD",1/INDEX(Settings!$B$29:$B$40,MONTH(A1164)),INDEX(Settings!$B$29:$B$40,MONTH(A1164)))))</f>
        <v/>
      </c>
    </row>
    <row r="1165" customFormat="false" ht="15" hidden="false" customHeight="false" outlineLevel="0" collapsed="false">
      <c r="H1165" s="0" t="str">
        <f aca="false">IF(B1165="","",IF(COUNTIF(Campaigns!$A$7:$A$300,B1165)&gt;0,"✓","⚠ add to Campaigns tab"))</f>
        <v/>
      </c>
      <c r="I1165" s="84" t="str">
        <f aca="false">IF(C1165="","",C1165*IF(Settings!$B$22=Settings!$C$6,1,IF(Settings!$B$22="USD",1/INDEX(Settings!$B$29:$B$40,MONTH(A1165)),INDEX(Settings!$B$29:$B$40,MONTH(A1165)))))</f>
        <v/>
      </c>
    </row>
    <row r="1166" customFormat="false" ht="15" hidden="false" customHeight="false" outlineLevel="0" collapsed="false">
      <c r="H1166" s="0" t="str">
        <f aca="false">IF(B1166="","",IF(COUNTIF(Campaigns!$A$7:$A$300,B1166)&gt;0,"✓","⚠ add to Campaigns tab"))</f>
        <v/>
      </c>
      <c r="I1166" s="84" t="str">
        <f aca="false">IF(C1166="","",C1166*IF(Settings!$B$22=Settings!$C$6,1,IF(Settings!$B$22="USD",1/INDEX(Settings!$B$29:$B$40,MONTH(A1166)),INDEX(Settings!$B$29:$B$40,MONTH(A1166)))))</f>
        <v/>
      </c>
    </row>
    <row r="1167" customFormat="false" ht="15" hidden="false" customHeight="false" outlineLevel="0" collapsed="false">
      <c r="H1167" s="0" t="str">
        <f aca="false">IF(B1167="","",IF(COUNTIF(Campaigns!$A$7:$A$300,B1167)&gt;0,"✓","⚠ add to Campaigns tab"))</f>
        <v/>
      </c>
      <c r="I1167" s="84" t="str">
        <f aca="false">IF(C1167="","",C1167*IF(Settings!$B$22=Settings!$C$6,1,IF(Settings!$B$22="USD",1/INDEX(Settings!$B$29:$B$40,MONTH(A1167)),INDEX(Settings!$B$29:$B$40,MONTH(A1167)))))</f>
        <v/>
      </c>
    </row>
    <row r="1168" customFormat="false" ht="15" hidden="false" customHeight="false" outlineLevel="0" collapsed="false">
      <c r="H1168" s="0" t="str">
        <f aca="false">IF(B1168="","",IF(COUNTIF(Campaigns!$A$7:$A$300,B1168)&gt;0,"✓","⚠ add to Campaigns tab"))</f>
        <v/>
      </c>
      <c r="I1168" s="84" t="str">
        <f aca="false">IF(C1168="","",C1168*IF(Settings!$B$22=Settings!$C$6,1,IF(Settings!$B$22="USD",1/INDEX(Settings!$B$29:$B$40,MONTH(A1168)),INDEX(Settings!$B$29:$B$40,MONTH(A1168)))))</f>
        <v/>
      </c>
    </row>
    <row r="1169" customFormat="false" ht="15" hidden="false" customHeight="false" outlineLevel="0" collapsed="false">
      <c r="H1169" s="0" t="str">
        <f aca="false">IF(B1169="","",IF(COUNTIF(Campaigns!$A$7:$A$300,B1169)&gt;0,"✓","⚠ add to Campaigns tab"))</f>
        <v/>
      </c>
      <c r="I1169" s="84" t="str">
        <f aca="false">IF(C1169="","",C1169*IF(Settings!$B$22=Settings!$C$6,1,IF(Settings!$B$22="USD",1/INDEX(Settings!$B$29:$B$40,MONTH(A1169)),INDEX(Settings!$B$29:$B$40,MONTH(A1169)))))</f>
        <v/>
      </c>
    </row>
    <row r="1170" customFormat="false" ht="15" hidden="false" customHeight="false" outlineLevel="0" collapsed="false">
      <c r="H1170" s="0" t="str">
        <f aca="false">IF(B1170="","",IF(COUNTIF(Campaigns!$A$7:$A$300,B1170)&gt;0,"✓","⚠ add to Campaigns tab"))</f>
        <v/>
      </c>
      <c r="I1170" s="84" t="str">
        <f aca="false">IF(C1170="","",C1170*IF(Settings!$B$22=Settings!$C$6,1,IF(Settings!$B$22="USD",1/INDEX(Settings!$B$29:$B$40,MONTH(A1170)),INDEX(Settings!$B$29:$B$40,MONTH(A1170)))))</f>
        <v/>
      </c>
    </row>
    <row r="1171" customFormat="false" ht="15" hidden="false" customHeight="false" outlineLevel="0" collapsed="false">
      <c r="H1171" s="0" t="str">
        <f aca="false">IF(B1171="","",IF(COUNTIF(Campaigns!$A$7:$A$300,B1171)&gt;0,"✓","⚠ add to Campaigns tab"))</f>
        <v/>
      </c>
      <c r="I1171" s="84" t="str">
        <f aca="false">IF(C1171="","",C1171*IF(Settings!$B$22=Settings!$C$6,1,IF(Settings!$B$22="USD",1/INDEX(Settings!$B$29:$B$40,MONTH(A1171)),INDEX(Settings!$B$29:$B$40,MONTH(A1171)))))</f>
        <v/>
      </c>
    </row>
    <row r="1172" customFormat="false" ht="15" hidden="false" customHeight="false" outlineLevel="0" collapsed="false">
      <c r="H1172" s="0" t="str">
        <f aca="false">IF(B1172="","",IF(COUNTIF(Campaigns!$A$7:$A$300,B1172)&gt;0,"✓","⚠ add to Campaigns tab"))</f>
        <v/>
      </c>
      <c r="I1172" s="84" t="str">
        <f aca="false">IF(C1172="","",C1172*IF(Settings!$B$22=Settings!$C$6,1,IF(Settings!$B$22="USD",1/INDEX(Settings!$B$29:$B$40,MONTH(A1172)),INDEX(Settings!$B$29:$B$40,MONTH(A1172)))))</f>
        <v/>
      </c>
    </row>
    <row r="1173" customFormat="false" ht="15" hidden="false" customHeight="false" outlineLevel="0" collapsed="false">
      <c r="H1173" s="0" t="str">
        <f aca="false">IF(B1173="","",IF(COUNTIF(Campaigns!$A$7:$A$300,B1173)&gt;0,"✓","⚠ add to Campaigns tab"))</f>
        <v/>
      </c>
      <c r="I1173" s="84" t="str">
        <f aca="false">IF(C1173="","",C1173*IF(Settings!$B$22=Settings!$C$6,1,IF(Settings!$B$22="USD",1/INDEX(Settings!$B$29:$B$40,MONTH(A1173)),INDEX(Settings!$B$29:$B$40,MONTH(A1173)))))</f>
        <v/>
      </c>
    </row>
    <row r="1174" customFormat="false" ht="15" hidden="false" customHeight="false" outlineLevel="0" collapsed="false">
      <c r="H1174" s="0" t="str">
        <f aca="false">IF(B1174="","",IF(COUNTIF(Campaigns!$A$7:$A$300,B1174)&gt;0,"✓","⚠ add to Campaigns tab"))</f>
        <v/>
      </c>
      <c r="I1174" s="84" t="str">
        <f aca="false">IF(C1174="","",C1174*IF(Settings!$B$22=Settings!$C$6,1,IF(Settings!$B$22="USD",1/INDEX(Settings!$B$29:$B$40,MONTH(A1174)),INDEX(Settings!$B$29:$B$40,MONTH(A1174)))))</f>
        <v/>
      </c>
    </row>
    <row r="1175" customFormat="false" ht="15" hidden="false" customHeight="false" outlineLevel="0" collapsed="false">
      <c r="H1175" s="0" t="str">
        <f aca="false">IF(B1175="","",IF(COUNTIF(Campaigns!$A$7:$A$300,B1175)&gt;0,"✓","⚠ add to Campaigns tab"))</f>
        <v/>
      </c>
      <c r="I1175" s="84" t="str">
        <f aca="false">IF(C1175="","",C1175*IF(Settings!$B$22=Settings!$C$6,1,IF(Settings!$B$22="USD",1/INDEX(Settings!$B$29:$B$40,MONTH(A1175)),INDEX(Settings!$B$29:$B$40,MONTH(A1175)))))</f>
        <v/>
      </c>
    </row>
    <row r="1176" customFormat="false" ht="15" hidden="false" customHeight="false" outlineLevel="0" collapsed="false">
      <c r="H1176" s="0" t="str">
        <f aca="false">IF(B1176="","",IF(COUNTIF(Campaigns!$A$7:$A$300,B1176)&gt;0,"✓","⚠ add to Campaigns tab"))</f>
        <v/>
      </c>
      <c r="I1176" s="84" t="str">
        <f aca="false">IF(C1176="","",C1176*IF(Settings!$B$22=Settings!$C$6,1,IF(Settings!$B$22="USD",1/INDEX(Settings!$B$29:$B$40,MONTH(A1176)),INDEX(Settings!$B$29:$B$40,MONTH(A1176)))))</f>
        <v/>
      </c>
    </row>
    <row r="1177" customFormat="false" ht="15" hidden="false" customHeight="false" outlineLevel="0" collapsed="false">
      <c r="H1177" s="0" t="str">
        <f aca="false">IF(B1177="","",IF(COUNTIF(Campaigns!$A$7:$A$300,B1177)&gt;0,"✓","⚠ add to Campaigns tab"))</f>
        <v/>
      </c>
      <c r="I1177" s="84" t="str">
        <f aca="false">IF(C1177="","",C1177*IF(Settings!$B$22=Settings!$C$6,1,IF(Settings!$B$22="USD",1/INDEX(Settings!$B$29:$B$40,MONTH(A1177)),INDEX(Settings!$B$29:$B$40,MONTH(A1177)))))</f>
        <v/>
      </c>
    </row>
    <row r="1178" customFormat="false" ht="15" hidden="false" customHeight="false" outlineLevel="0" collapsed="false">
      <c r="H1178" s="0" t="str">
        <f aca="false">IF(B1178="","",IF(COUNTIF(Campaigns!$A$7:$A$300,B1178)&gt;0,"✓","⚠ add to Campaigns tab"))</f>
        <v/>
      </c>
      <c r="I1178" s="84" t="str">
        <f aca="false">IF(C1178="","",C1178*IF(Settings!$B$22=Settings!$C$6,1,IF(Settings!$B$22="USD",1/INDEX(Settings!$B$29:$B$40,MONTH(A1178)),INDEX(Settings!$B$29:$B$40,MONTH(A1178)))))</f>
        <v/>
      </c>
    </row>
    <row r="1179" customFormat="false" ht="15" hidden="false" customHeight="false" outlineLevel="0" collapsed="false">
      <c r="H1179" s="0" t="str">
        <f aca="false">IF(B1179="","",IF(COUNTIF(Campaigns!$A$7:$A$300,B1179)&gt;0,"✓","⚠ add to Campaigns tab"))</f>
        <v/>
      </c>
      <c r="I1179" s="84" t="str">
        <f aca="false">IF(C1179="","",C1179*IF(Settings!$B$22=Settings!$C$6,1,IF(Settings!$B$22="USD",1/INDEX(Settings!$B$29:$B$40,MONTH(A1179)),INDEX(Settings!$B$29:$B$40,MONTH(A1179)))))</f>
        <v/>
      </c>
    </row>
    <row r="1180" customFormat="false" ht="15" hidden="false" customHeight="false" outlineLevel="0" collapsed="false">
      <c r="H1180" s="0" t="str">
        <f aca="false">IF(B1180="","",IF(COUNTIF(Campaigns!$A$7:$A$300,B1180)&gt;0,"✓","⚠ add to Campaigns tab"))</f>
        <v/>
      </c>
      <c r="I1180" s="84" t="str">
        <f aca="false">IF(C1180="","",C1180*IF(Settings!$B$22=Settings!$C$6,1,IF(Settings!$B$22="USD",1/INDEX(Settings!$B$29:$B$40,MONTH(A1180)),INDEX(Settings!$B$29:$B$40,MONTH(A1180)))))</f>
        <v/>
      </c>
    </row>
    <row r="1181" customFormat="false" ht="15" hidden="false" customHeight="false" outlineLevel="0" collapsed="false">
      <c r="H1181" s="0" t="str">
        <f aca="false">IF(B1181="","",IF(COUNTIF(Campaigns!$A$7:$A$300,B1181)&gt;0,"✓","⚠ add to Campaigns tab"))</f>
        <v/>
      </c>
      <c r="I1181" s="84" t="str">
        <f aca="false">IF(C1181="","",C1181*IF(Settings!$B$22=Settings!$C$6,1,IF(Settings!$B$22="USD",1/INDEX(Settings!$B$29:$B$40,MONTH(A1181)),INDEX(Settings!$B$29:$B$40,MONTH(A1181)))))</f>
        <v/>
      </c>
    </row>
    <row r="1182" customFormat="false" ht="15" hidden="false" customHeight="false" outlineLevel="0" collapsed="false">
      <c r="H1182" s="0" t="str">
        <f aca="false">IF(B1182="","",IF(COUNTIF(Campaigns!$A$7:$A$300,B1182)&gt;0,"✓","⚠ add to Campaigns tab"))</f>
        <v/>
      </c>
      <c r="I1182" s="84" t="str">
        <f aca="false">IF(C1182="","",C1182*IF(Settings!$B$22=Settings!$C$6,1,IF(Settings!$B$22="USD",1/INDEX(Settings!$B$29:$B$40,MONTH(A1182)),INDEX(Settings!$B$29:$B$40,MONTH(A1182)))))</f>
        <v/>
      </c>
    </row>
    <row r="1183" customFormat="false" ht="15" hidden="false" customHeight="false" outlineLevel="0" collapsed="false">
      <c r="H1183" s="0" t="str">
        <f aca="false">IF(B1183="","",IF(COUNTIF(Campaigns!$A$7:$A$300,B1183)&gt;0,"✓","⚠ add to Campaigns tab"))</f>
        <v/>
      </c>
      <c r="I1183" s="84" t="str">
        <f aca="false">IF(C1183="","",C1183*IF(Settings!$B$22=Settings!$C$6,1,IF(Settings!$B$22="USD",1/INDEX(Settings!$B$29:$B$40,MONTH(A1183)),INDEX(Settings!$B$29:$B$40,MONTH(A1183)))))</f>
        <v/>
      </c>
    </row>
    <row r="1184" customFormat="false" ht="15" hidden="false" customHeight="false" outlineLevel="0" collapsed="false">
      <c r="H1184" s="0" t="str">
        <f aca="false">IF(B1184="","",IF(COUNTIF(Campaigns!$A$7:$A$300,B1184)&gt;0,"✓","⚠ add to Campaigns tab"))</f>
        <v/>
      </c>
      <c r="I1184" s="84" t="str">
        <f aca="false">IF(C1184="","",C1184*IF(Settings!$B$22=Settings!$C$6,1,IF(Settings!$B$22="USD",1/INDEX(Settings!$B$29:$B$40,MONTH(A1184)),INDEX(Settings!$B$29:$B$40,MONTH(A1184)))))</f>
        <v/>
      </c>
    </row>
    <row r="1185" customFormat="false" ht="15" hidden="false" customHeight="false" outlineLevel="0" collapsed="false">
      <c r="H1185" s="0" t="str">
        <f aca="false">IF(B1185="","",IF(COUNTIF(Campaigns!$A$7:$A$300,B1185)&gt;0,"✓","⚠ add to Campaigns tab"))</f>
        <v/>
      </c>
      <c r="I1185" s="84" t="str">
        <f aca="false">IF(C1185="","",C1185*IF(Settings!$B$22=Settings!$C$6,1,IF(Settings!$B$22="USD",1/INDEX(Settings!$B$29:$B$40,MONTH(A1185)),INDEX(Settings!$B$29:$B$40,MONTH(A1185)))))</f>
        <v/>
      </c>
    </row>
    <row r="1186" customFormat="false" ht="15" hidden="false" customHeight="false" outlineLevel="0" collapsed="false">
      <c r="H1186" s="0" t="str">
        <f aca="false">IF(B1186="","",IF(COUNTIF(Campaigns!$A$7:$A$300,B1186)&gt;0,"✓","⚠ add to Campaigns tab"))</f>
        <v/>
      </c>
      <c r="I1186" s="84" t="str">
        <f aca="false">IF(C1186="","",C1186*IF(Settings!$B$22=Settings!$C$6,1,IF(Settings!$B$22="USD",1/INDEX(Settings!$B$29:$B$40,MONTH(A1186)),INDEX(Settings!$B$29:$B$40,MONTH(A1186)))))</f>
        <v/>
      </c>
    </row>
    <row r="1187" customFormat="false" ht="15" hidden="false" customHeight="false" outlineLevel="0" collapsed="false">
      <c r="H1187" s="0" t="str">
        <f aca="false">IF(B1187="","",IF(COUNTIF(Campaigns!$A$7:$A$300,B1187)&gt;0,"✓","⚠ add to Campaigns tab"))</f>
        <v/>
      </c>
      <c r="I1187" s="84" t="str">
        <f aca="false">IF(C1187="","",C1187*IF(Settings!$B$22=Settings!$C$6,1,IF(Settings!$B$22="USD",1/INDEX(Settings!$B$29:$B$40,MONTH(A1187)),INDEX(Settings!$B$29:$B$40,MONTH(A1187)))))</f>
        <v/>
      </c>
    </row>
    <row r="1188" customFormat="false" ht="15" hidden="false" customHeight="false" outlineLevel="0" collapsed="false">
      <c r="H1188" s="0" t="str">
        <f aca="false">IF(B1188="","",IF(COUNTIF(Campaigns!$A$7:$A$300,B1188)&gt;0,"✓","⚠ add to Campaigns tab"))</f>
        <v/>
      </c>
      <c r="I1188" s="84" t="str">
        <f aca="false">IF(C1188="","",C1188*IF(Settings!$B$22=Settings!$C$6,1,IF(Settings!$B$22="USD",1/INDEX(Settings!$B$29:$B$40,MONTH(A1188)),INDEX(Settings!$B$29:$B$40,MONTH(A1188)))))</f>
        <v/>
      </c>
    </row>
    <row r="1189" customFormat="false" ht="15" hidden="false" customHeight="false" outlineLevel="0" collapsed="false">
      <c r="H1189" s="0" t="str">
        <f aca="false">IF(B1189="","",IF(COUNTIF(Campaigns!$A$7:$A$300,B1189)&gt;0,"✓","⚠ add to Campaigns tab"))</f>
        <v/>
      </c>
      <c r="I1189" s="84" t="str">
        <f aca="false">IF(C1189="","",C1189*IF(Settings!$B$22=Settings!$C$6,1,IF(Settings!$B$22="USD",1/INDEX(Settings!$B$29:$B$40,MONTH(A1189)),INDEX(Settings!$B$29:$B$40,MONTH(A1189)))))</f>
        <v/>
      </c>
    </row>
    <row r="1190" customFormat="false" ht="15" hidden="false" customHeight="false" outlineLevel="0" collapsed="false">
      <c r="H1190" s="0" t="str">
        <f aca="false">IF(B1190="","",IF(COUNTIF(Campaigns!$A$7:$A$300,B1190)&gt;0,"✓","⚠ add to Campaigns tab"))</f>
        <v/>
      </c>
      <c r="I1190" s="84" t="str">
        <f aca="false">IF(C1190="","",C1190*IF(Settings!$B$22=Settings!$C$6,1,IF(Settings!$B$22="USD",1/INDEX(Settings!$B$29:$B$40,MONTH(A1190)),INDEX(Settings!$B$29:$B$40,MONTH(A1190)))))</f>
        <v/>
      </c>
    </row>
    <row r="1191" customFormat="false" ht="15" hidden="false" customHeight="false" outlineLevel="0" collapsed="false">
      <c r="H1191" s="0" t="str">
        <f aca="false">IF(B1191="","",IF(COUNTIF(Campaigns!$A$7:$A$300,B1191)&gt;0,"✓","⚠ add to Campaigns tab"))</f>
        <v/>
      </c>
      <c r="I1191" s="84" t="str">
        <f aca="false">IF(C1191="","",C1191*IF(Settings!$B$22=Settings!$C$6,1,IF(Settings!$B$22="USD",1/INDEX(Settings!$B$29:$B$40,MONTH(A1191)),INDEX(Settings!$B$29:$B$40,MONTH(A1191)))))</f>
        <v/>
      </c>
    </row>
    <row r="1192" customFormat="false" ht="15" hidden="false" customHeight="false" outlineLevel="0" collapsed="false">
      <c r="H1192" s="0" t="str">
        <f aca="false">IF(B1192="","",IF(COUNTIF(Campaigns!$A$7:$A$300,B1192)&gt;0,"✓","⚠ add to Campaigns tab"))</f>
        <v/>
      </c>
      <c r="I1192" s="84" t="str">
        <f aca="false">IF(C1192="","",C1192*IF(Settings!$B$22=Settings!$C$6,1,IF(Settings!$B$22="USD",1/INDEX(Settings!$B$29:$B$40,MONTH(A1192)),INDEX(Settings!$B$29:$B$40,MONTH(A1192)))))</f>
        <v/>
      </c>
    </row>
    <row r="1193" customFormat="false" ht="15" hidden="false" customHeight="false" outlineLevel="0" collapsed="false">
      <c r="H1193" s="0" t="str">
        <f aca="false">IF(B1193="","",IF(COUNTIF(Campaigns!$A$7:$A$300,B1193)&gt;0,"✓","⚠ add to Campaigns tab"))</f>
        <v/>
      </c>
      <c r="I1193" s="84" t="str">
        <f aca="false">IF(C1193="","",C1193*IF(Settings!$B$22=Settings!$C$6,1,IF(Settings!$B$22="USD",1/INDEX(Settings!$B$29:$B$40,MONTH(A1193)),INDEX(Settings!$B$29:$B$40,MONTH(A1193)))))</f>
        <v/>
      </c>
    </row>
    <row r="1194" customFormat="false" ht="15" hidden="false" customHeight="false" outlineLevel="0" collapsed="false">
      <c r="H1194" s="0" t="str">
        <f aca="false">IF(B1194="","",IF(COUNTIF(Campaigns!$A$7:$A$300,B1194)&gt;0,"✓","⚠ add to Campaigns tab"))</f>
        <v/>
      </c>
      <c r="I1194" s="84" t="str">
        <f aca="false">IF(C1194="","",C1194*IF(Settings!$B$22=Settings!$C$6,1,IF(Settings!$B$22="USD",1/INDEX(Settings!$B$29:$B$40,MONTH(A1194)),INDEX(Settings!$B$29:$B$40,MONTH(A1194)))))</f>
        <v/>
      </c>
    </row>
    <row r="1195" customFormat="false" ht="15" hidden="false" customHeight="false" outlineLevel="0" collapsed="false">
      <c r="H1195" s="0" t="str">
        <f aca="false">IF(B1195="","",IF(COUNTIF(Campaigns!$A$7:$A$300,B1195)&gt;0,"✓","⚠ add to Campaigns tab"))</f>
        <v/>
      </c>
      <c r="I1195" s="84" t="str">
        <f aca="false">IF(C1195="","",C1195*IF(Settings!$B$22=Settings!$C$6,1,IF(Settings!$B$22="USD",1/INDEX(Settings!$B$29:$B$40,MONTH(A1195)),INDEX(Settings!$B$29:$B$40,MONTH(A1195)))))</f>
        <v/>
      </c>
    </row>
    <row r="1196" customFormat="false" ht="15" hidden="false" customHeight="false" outlineLevel="0" collapsed="false">
      <c r="H1196" s="0" t="str">
        <f aca="false">IF(B1196="","",IF(COUNTIF(Campaigns!$A$7:$A$300,B1196)&gt;0,"✓","⚠ add to Campaigns tab"))</f>
        <v/>
      </c>
      <c r="I1196" s="84" t="str">
        <f aca="false">IF(C1196="","",C1196*IF(Settings!$B$22=Settings!$C$6,1,IF(Settings!$B$22="USD",1/INDEX(Settings!$B$29:$B$40,MONTH(A1196)),INDEX(Settings!$B$29:$B$40,MONTH(A1196)))))</f>
        <v/>
      </c>
    </row>
    <row r="1197" customFormat="false" ht="15" hidden="false" customHeight="false" outlineLevel="0" collapsed="false">
      <c r="H1197" s="0" t="str">
        <f aca="false">IF(B1197="","",IF(COUNTIF(Campaigns!$A$7:$A$300,B1197)&gt;0,"✓","⚠ add to Campaigns tab"))</f>
        <v/>
      </c>
      <c r="I1197" s="84" t="str">
        <f aca="false">IF(C1197="","",C1197*IF(Settings!$B$22=Settings!$C$6,1,IF(Settings!$B$22="USD",1/INDEX(Settings!$B$29:$B$40,MONTH(A1197)),INDEX(Settings!$B$29:$B$40,MONTH(A1197)))))</f>
        <v/>
      </c>
    </row>
    <row r="1198" customFormat="false" ht="15" hidden="false" customHeight="false" outlineLevel="0" collapsed="false">
      <c r="H1198" s="0" t="str">
        <f aca="false">IF(B1198="","",IF(COUNTIF(Campaigns!$A$7:$A$300,B1198)&gt;0,"✓","⚠ add to Campaigns tab"))</f>
        <v/>
      </c>
      <c r="I1198" s="84" t="str">
        <f aca="false">IF(C1198="","",C1198*IF(Settings!$B$22=Settings!$C$6,1,IF(Settings!$B$22="USD",1/INDEX(Settings!$B$29:$B$40,MONTH(A1198)),INDEX(Settings!$B$29:$B$40,MONTH(A1198)))))</f>
        <v/>
      </c>
    </row>
    <row r="1199" customFormat="false" ht="15" hidden="false" customHeight="false" outlineLevel="0" collapsed="false">
      <c r="H1199" s="0" t="str">
        <f aca="false">IF(B1199="","",IF(COUNTIF(Campaigns!$A$7:$A$300,B1199)&gt;0,"✓","⚠ add to Campaigns tab"))</f>
        <v/>
      </c>
      <c r="I1199" s="84" t="str">
        <f aca="false">IF(C1199="","",C1199*IF(Settings!$B$22=Settings!$C$6,1,IF(Settings!$B$22="USD",1/INDEX(Settings!$B$29:$B$40,MONTH(A1199)),INDEX(Settings!$B$29:$B$40,MONTH(A1199)))))</f>
        <v/>
      </c>
    </row>
    <row r="1200" customFormat="false" ht="15" hidden="false" customHeight="false" outlineLevel="0" collapsed="false">
      <c r="H1200" s="0" t="str">
        <f aca="false">IF(B1200="","",IF(COUNTIF(Campaigns!$A$7:$A$300,B1200)&gt;0,"✓","⚠ add to Campaigns tab"))</f>
        <v/>
      </c>
      <c r="I1200" s="84" t="str">
        <f aca="false">IF(C1200="","",C1200*IF(Settings!$B$22=Settings!$C$6,1,IF(Settings!$B$22="USD",1/INDEX(Settings!$B$29:$B$40,MONTH(A1200)),INDEX(Settings!$B$29:$B$40,MONTH(A1200)))))</f>
        <v/>
      </c>
    </row>
    <row r="1201" customFormat="false" ht="15" hidden="false" customHeight="false" outlineLevel="0" collapsed="false">
      <c r="H1201" s="0" t="str">
        <f aca="false">IF(B1201="","",IF(COUNTIF(Campaigns!$A$7:$A$300,B1201)&gt;0,"✓","⚠ add to Campaigns tab"))</f>
        <v/>
      </c>
      <c r="I1201" s="84" t="str">
        <f aca="false">IF(C1201="","",C1201*IF(Settings!$B$22=Settings!$C$6,1,IF(Settings!$B$22="USD",1/INDEX(Settings!$B$29:$B$40,MONTH(A1201)),INDEX(Settings!$B$29:$B$40,MONTH(A1201)))))</f>
        <v/>
      </c>
    </row>
    <row r="1202" customFormat="false" ht="15" hidden="false" customHeight="false" outlineLevel="0" collapsed="false">
      <c r="H1202" s="0" t="str">
        <f aca="false">IF(B1202="","",IF(COUNTIF(Campaigns!$A$7:$A$300,B1202)&gt;0,"✓","⚠ add to Campaigns tab"))</f>
        <v/>
      </c>
      <c r="I1202" s="84" t="str">
        <f aca="false">IF(C1202="","",C1202*IF(Settings!$B$22=Settings!$C$6,1,IF(Settings!$B$22="USD",1/INDEX(Settings!$B$29:$B$40,MONTH(A1202)),INDEX(Settings!$B$29:$B$40,MONTH(A1202)))))</f>
        <v/>
      </c>
    </row>
    <row r="1203" customFormat="false" ht="15" hidden="false" customHeight="false" outlineLevel="0" collapsed="false">
      <c r="H1203" s="0" t="str">
        <f aca="false">IF(B1203="","",IF(COUNTIF(Campaigns!$A$7:$A$300,B1203)&gt;0,"✓","⚠ add to Campaigns tab"))</f>
        <v/>
      </c>
      <c r="I1203" s="84" t="str">
        <f aca="false">IF(C1203="","",C1203*IF(Settings!$B$22=Settings!$C$6,1,IF(Settings!$B$22="USD",1/INDEX(Settings!$B$29:$B$40,MONTH(A1203)),INDEX(Settings!$B$29:$B$40,MONTH(A1203)))))</f>
        <v/>
      </c>
    </row>
    <row r="1204" customFormat="false" ht="15" hidden="false" customHeight="false" outlineLevel="0" collapsed="false">
      <c r="H1204" s="0" t="str">
        <f aca="false">IF(B1204="","",IF(COUNTIF(Campaigns!$A$7:$A$300,B1204)&gt;0,"✓","⚠ add to Campaigns tab"))</f>
        <v/>
      </c>
      <c r="I1204" s="84" t="str">
        <f aca="false">IF(C1204="","",C1204*IF(Settings!$B$22=Settings!$C$6,1,IF(Settings!$B$22="USD",1/INDEX(Settings!$B$29:$B$40,MONTH(A1204)),INDEX(Settings!$B$29:$B$40,MONTH(A1204)))))</f>
        <v/>
      </c>
    </row>
    <row r="1205" customFormat="false" ht="15" hidden="false" customHeight="false" outlineLevel="0" collapsed="false">
      <c r="H1205" s="0" t="str">
        <f aca="false">IF(B1205="","",IF(COUNTIF(Campaigns!$A$7:$A$300,B1205)&gt;0,"✓","⚠ add to Campaigns tab"))</f>
        <v/>
      </c>
      <c r="I1205" s="84" t="str">
        <f aca="false">IF(C1205="","",C1205*IF(Settings!$B$22=Settings!$C$6,1,IF(Settings!$B$22="USD",1/INDEX(Settings!$B$29:$B$40,MONTH(A1205)),INDEX(Settings!$B$29:$B$40,MONTH(A1205)))))</f>
        <v/>
      </c>
    </row>
    <row r="1206" customFormat="false" ht="15" hidden="false" customHeight="false" outlineLevel="0" collapsed="false">
      <c r="H1206" s="0" t="str">
        <f aca="false">IF(B1206="","",IF(COUNTIF(Campaigns!$A$7:$A$300,B1206)&gt;0,"✓","⚠ add to Campaigns tab"))</f>
        <v/>
      </c>
      <c r="I1206" s="84" t="str">
        <f aca="false">IF(C1206="","",C1206*IF(Settings!$B$22=Settings!$C$6,1,IF(Settings!$B$22="USD",1/INDEX(Settings!$B$29:$B$40,MONTH(A1206)),INDEX(Settings!$B$29:$B$40,MONTH(A1206)))))</f>
        <v/>
      </c>
    </row>
    <row r="1207" customFormat="false" ht="15" hidden="false" customHeight="false" outlineLevel="0" collapsed="false">
      <c r="H1207" s="0" t="str">
        <f aca="false">IF(B1207="","",IF(COUNTIF(Campaigns!$A$7:$A$300,B1207)&gt;0,"✓","⚠ add to Campaigns tab"))</f>
        <v/>
      </c>
      <c r="I1207" s="84" t="str">
        <f aca="false">IF(C1207="","",C1207*IF(Settings!$B$22=Settings!$C$6,1,IF(Settings!$B$22="USD",1/INDEX(Settings!$B$29:$B$40,MONTH(A1207)),INDEX(Settings!$B$29:$B$40,MONTH(A1207)))))</f>
        <v/>
      </c>
    </row>
    <row r="1208" customFormat="false" ht="15" hidden="false" customHeight="false" outlineLevel="0" collapsed="false">
      <c r="H1208" s="0" t="str">
        <f aca="false">IF(B1208="","",IF(COUNTIF(Campaigns!$A$7:$A$300,B1208)&gt;0,"✓","⚠ add to Campaigns tab"))</f>
        <v/>
      </c>
      <c r="I1208" s="84" t="str">
        <f aca="false">IF(C1208="","",C1208*IF(Settings!$B$22=Settings!$C$6,1,IF(Settings!$B$22="USD",1/INDEX(Settings!$B$29:$B$40,MONTH(A1208)),INDEX(Settings!$B$29:$B$40,MONTH(A1208)))))</f>
        <v/>
      </c>
    </row>
    <row r="1209" customFormat="false" ht="15" hidden="false" customHeight="false" outlineLevel="0" collapsed="false">
      <c r="H1209" s="0" t="str">
        <f aca="false">IF(B1209="","",IF(COUNTIF(Campaigns!$A$7:$A$300,B1209)&gt;0,"✓","⚠ add to Campaigns tab"))</f>
        <v/>
      </c>
      <c r="I1209" s="84" t="str">
        <f aca="false">IF(C1209="","",C1209*IF(Settings!$B$22=Settings!$C$6,1,IF(Settings!$B$22="USD",1/INDEX(Settings!$B$29:$B$40,MONTH(A1209)),INDEX(Settings!$B$29:$B$40,MONTH(A1209)))))</f>
        <v/>
      </c>
    </row>
    <row r="1210" customFormat="false" ht="15" hidden="false" customHeight="false" outlineLevel="0" collapsed="false">
      <c r="H1210" s="0" t="str">
        <f aca="false">IF(B1210="","",IF(COUNTIF(Campaigns!$A$7:$A$300,B1210)&gt;0,"✓","⚠ add to Campaigns tab"))</f>
        <v/>
      </c>
      <c r="I1210" s="84" t="str">
        <f aca="false">IF(C1210="","",C1210*IF(Settings!$B$22=Settings!$C$6,1,IF(Settings!$B$22="USD",1/INDEX(Settings!$B$29:$B$40,MONTH(A1210)),INDEX(Settings!$B$29:$B$40,MONTH(A1210)))))</f>
        <v/>
      </c>
    </row>
    <row r="1211" customFormat="false" ht="15" hidden="false" customHeight="false" outlineLevel="0" collapsed="false">
      <c r="H1211" s="0" t="str">
        <f aca="false">IF(B1211="","",IF(COUNTIF(Campaigns!$A$7:$A$300,B1211)&gt;0,"✓","⚠ add to Campaigns tab"))</f>
        <v/>
      </c>
      <c r="I1211" s="84" t="str">
        <f aca="false">IF(C1211="","",C1211*IF(Settings!$B$22=Settings!$C$6,1,IF(Settings!$B$22="USD",1/INDEX(Settings!$B$29:$B$40,MONTH(A1211)),INDEX(Settings!$B$29:$B$40,MONTH(A1211)))))</f>
        <v/>
      </c>
    </row>
    <row r="1212" customFormat="false" ht="15" hidden="false" customHeight="false" outlineLevel="0" collapsed="false">
      <c r="H1212" s="0" t="str">
        <f aca="false">IF(B1212="","",IF(COUNTIF(Campaigns!$A$7:$A$300,B1212)&gt;0,"✓","⚠ add to Campaigns tab"))</f>
        <v/>
      </c>
      <c r="I1212" s="84" t="str">
        <f aca="false">IF(C1212="","",C1212*IF(Settings!$B$22=Settings!$C$6,1,IF(Settings!$B$22="USD",1/INDEX(Settings!$B$29:$B$40,MONTH(A1212)),INDEX(Settings!$B$29:$B$40,MONTH(A1212)))))</f>
        <v/>
      </c>
    </row>
    <row r="1213" customFormat="false" ht="15" hidden="false" customHeight="false" outlineLevel="0" collapsed="false">
      <c r="H1213" s="0" t="str">
        <f aca="false">IF(B1213="","",IF(COUNTIF(Campaigns!$A$7:$A$300,B1213)&gt;0,"✓","⚠ add to Campaigns tab"))</f>
        <v/>
      </c>
      <c r="I1213" s="84" t="str">
        <f aca="false">IF(C1213="","",C1213*IF(Settings!$B$22=Settings!$C$6,1,IF(Settings!$B$22="USD",1/INDEX(Settings!$B$29:$B$40,MONTH(A1213)),INDEX(Settings!$B$29:$B$40,MONTH(A1213)))))</f>
        <v/>
      </c>
    </row>
    <row r="1214" customFormat="false" ht="15" hidden="false" customHeight="false" outlineLevel="0" collapsed="false">
      <c r="H1214" s="0" t="str">
        <f aca="false">IF(B1214="","",IF(COUNTIF(Campaigns!$A$7:$A$300,B1214)&gt;0,"✓","⚠ add to Campaigns tab"))</f>
        <v/>
      </c>
      <c r="I1214" s="84" t="str">
        <f aca="false">IF(C1214="","",C1214*IF(Settings!$B$22=Settings!$C$6,1,IF(Settings!$B$22="USD",1/INDEX(Settings!$B$29:$B$40,MONTH(A1214)),INDEX(Settings!$B$29:$B$40,MONTH(A1214)))))</f>
        <v/>
      </c>
    </row>
    <row r="1215" customFormat="false" ht="15" hidden="false" customHeight="false" outlineLevel="0" collapsed="false">
      <c r="H1215" s="0" t="str">
        <f aca="false">IF(B1215="","",IF(COUNTIF(Campaigns!$A$7:$A$300,B1215)&gt;0,"✓","⚠ add to Campaigns tab"))</f>
        <v/>
      </c>
      <c r="I1215" s="84" t="str">
        <f aca="false">IF(C1215="","",C1215*IF(Settings!$B$22=Settings!$C$6,1,IF(Settings!$B$22="USD",1/INDEX(Settings!$B$29:$B$40,MONTH(A1215)),INDEX(Settings!$B$29:$B$40,MONTH(A1215)))))</f>
        <v/>
      </c>
    </row>
    <row r="1216" customFormat="false" ht="15" hidden="false" customHeight="false" outlineLevel="0" collapsed="false">
      <c r="H1216" s="0" t="str">
        <f aca="false">IF(B1216="","",IF(COUNTIF(Campaigns!$A$7:$A$300,B1216)&gt;0,"✓","⚠ add to Campaigns tab"))</f>
        <v/>
      </c>
      <c r="I1216" s="84" t="str">
        <f aca="false">IF(C1216="","",C1216*IF(Settings!$B$22=Settings!$C$6,1,IF(Settings!$B$22="USD",1/INDEX(Settings!$B$29:$B$40,MONTH(A1216)),INDEX(Settings!$B$29:$B$40,MONTH(A1216)))))</f>
        <v/>
      </c>
    </row>
    <row r="1217" customFormat="false" ht="15" hidden="false" customHeight="false" outlineLevel="0" collapsed="false">
      <c r="H1217" s="0" t="str">
        <f aca="false">IF(B1217="","",IF(COUNTIF(Campaigns!$A$7:$A$300,B1217)&gt;0,"✓","⚠ add to Campaigns tab"))</f>
        <v/>
      </c>
      <c r="I1217" s="84" t="str">
        <f aca="false">IF(C1217="","",C1217*IF(Settings!$B$22=Settings!$C$6,1,IF(Settings!$B$22="USD",1/INDEX(Settings!$B$29:$B$40,MONTH(A1217)),INDEX(Settings!$B$29:$B$40,MONTH(A1217)))))</f>
        <v/>
      </c>
    </row>
    <row r="1218" customFormat="false" ht="15" hidden="false" customHeight="false" outlineLevel="0" collapsed="false">
      <c r="H1218" s="0" t="str">
        <f aca="false">IF(B1218="","",IF(COUNTIF(Campaigns!$A$7:$A$300,B1218)&gt;0,"✓","⚠ add to Campaigns tab"))</f>
        <v/>
      </c>
      <c r="I1218" s="84" t="str">
        <f aca="false">IF(C1218="","",C1218*IF(Settings!$B$22=Settings!$C$6,1,IF(Settings!$B$22="USD",1/INDEX(Settings!$B$29:$B$40,MONTH(A1218)),INDEX(Settings!$B$29:$B$40,MONTH(A1218)))))</f>
        <v/>
      </c>
    </row>
    <row r="1219" customFormat="false" ht="15" hidden="false" customHeight="false" outlineLevel="0" collapsed="false">
      <c r="H1219" s="0" t="str">
        <f aca="false">IF(B1219="","",IF(COUNTIF(Campaigns!$A$7:$A$300,B1219)&gt;0,"✓","⚠ add to Campaigns tab"))</f>
        <v/>
      </c>
      <c r="I1219" s="84" t="str">
        <f aca="false">IF(C1219="","",C1219*IF(Settings!$B$22=Settings!$C$6,1,IF(Settings!$B$22="USD",1/INDEX(Settings!$B$29:$B$40,MONTH(A1219)),INDEX(Settings!$B$29:$B$40,MONTH(A1219)))))</f>
        <v/>
      </c>
    </row>
    <row r="1220" customFormat="false" ht="15" hidden="false" customHeight="false" outlineLevel="0" collapsed="false">
      <c r="H1220" s="0" t="str">
        <f aca="false">IF(B1220="","",IF(COUNTIF(Campaigns!$A$7:$A$300,B1220)&gt;0,"✓","⚠ add to Campaigns tab"))</f>
        <v/>
      </c>
      <c r="I1220" s="84" t="str">
        <f aca="false">IF(C1220="","",C1220*IF(Settings!$B$22=Settings!$C$6,1,IF(Settings!$B$22="USD",1/INDEX(Settings!$B$29:$B$40,MONTH(A1220)),INDEX(Settings!$B$29:$B$40,MONTH(A1220)))))</f>
        <v/>
      </c>
    </row>
    <row r="1221" customFormat="false" ht="15" hidden="false" customHeight="false" outlineLevel="0" collapsed="false">
      <c r="H1221" s="0" t="str">
        <f aca="false">IF(B1221="","",IF(COUNTIF(Campaigns!$A$7:$A$300,B1221)&gt;0,"✓","⚠ add to Campaigns tab"))</f>
        <v/>
      </c>
      <c r="I1221" s="84" t="str">
        <f aca="false">IF(C1221="","",C1221*IF(Settings!$B$22=Settings!$C$6,1,IF(Settings!$B$22="USD",1/INDEX(Settings!$B$29:$B$40,MONTH(A1221)),INDEX(Settings!$B$29:$B$40,MONTH(A1221)))))</f>
        <v/>
      </c>
    </row>
    <row r="1222" customFormat="false" ht="15" hidden="false" customHeight="false" outlineLevel="0" collapsed="false">
      <c r="H1222" s="0" t="str">
        <f aca="false">IF(B1222="","",IF(COUNTIF(Campaigns!$A$7:$A$300,B1222)&gt;0,"✓","⚠ add to Campaigns tab"))</f>
        <v/>
      </c>
      <c r="I1222" s="84" t="str">
        <f aca="false">IF(C1222="","",C1222*IF(Settings!$B$22=Settings!$C$6,1,IF(Settings!$B$22="USD",1/INDEX(Settings!$B$29:$B$40,MONTH(A1222)),INDEX(Settings!$B$29:$B$40,MONTH(A1222)))))</f>
        <v/>
      </c>
    </row>
    <row r="1223" customFormat="false" ht="15" hidden="false" customHeight="false" outlineLevel="0" collapsed="false">
      <c r="H1223" s="0" t="str">
        <f aca="false">IF(B1223="","",IF(COUNTIF(Campaigns!$A$7:$A$300,B1223)&gt;0,"✓","⚠ add to Campaigns tab"))</f>
        <v/>
      </c>
      <c r="I1223" s="84" t="str">
        <f aca="false">IF(C1223="","",C1223*IF(Settings!$B$22=Settings!$C$6,1,IF(Settings!$B$22="USD",1/INDEX(Settings!$B$29:$B$40,MONTH(A1223)),INDEX(Settings!$B$29:$B$40,MONTH(A1223)))))</f>
        <v/>
      </c>
    </row>
    <row r="1224" customFormat="false" ht="15" hidden="false" customHeight="false" outlineLevel="0" collapsed="false">
      <c r="H1224" s="0" t="str">
        <f aca="false">IF(B1224="","",IF(COUNTIF(Campaigns!$A$7:$A$300,B1224)&gt;0,"✓","⚠ add to Campaigns tab"))</f>
        <v/>
      </c>
      <c r="I1224" s="84" t="str">
        <f aca="false">IF(C1224="","",C1224*IF(Settings!$B$22=Settings!$C$6,1,IF(Settings!$B$22="USD",1/INDEX(Settings!$B$29:$B$40,MONTH(A1224)),INDEX(Settings!$B$29:$B$40,MONTH(A1224)))))</f>
        <v/>
      </c>
    </row>
    <row r="1225" customFormat="false" ht="15" hidden="false" customHeight="false" outlineLevel="0" collapsed="false">
      <c r="H1225" s="0" t="str">
        <f aca="false">IF(B1225="","",IF(COUNTIF(Campaigns!$A$7:$A$300,B1225)&gt;0,"✓","⚠ add to Campaigns tab"))</f>
        <v/>
      </c>
      <c r="I1225" s="84" t="str">
        <f aca="false">IF(C1225="","",C1225*IF(Settings!$B$22=Settings!$C$6,1,IF(Settings!$B$22="USD",1/INDEX(Settings!$B$29:$B$40,MONTH(A1225)),INDEX(Settings!$B$29:$B$40,MONTH(A1225)))))</f>
        <v/>
      </c>
    </row>
    <row r="1226" customFormat="false" ht="15" hidden="false" customHeight="false" outlineLevel="0" collapsed="false">
      <c r="H1226" s="0" t="str">
        <f aca="false">IF(B1226="","",IF(COUNTIF(Campaigns!$A$7:$A$300,B1226)&gt;0,"✓","⚠ add to Campaigns tab"))</f>
        <v/>
      </c>
      <c r="I1226" s="84" t="str">
        <f aca="false">IF(C1226="","",C1226*IF(Settings!$B$22=Settings!$C$6,1,IF(Settings!$B$22="USD",1/INDEX(Settings!$B$29:$B$40,MONTH(A1226)),INDEX(Settings!$B$29:$B$40,MONTH(A1226)))))</f>
        <v/>
      </c>
    </row>
    <row r="1227" customFormat="false" ht="15" hidden="false" customHeight="false" outlineLevel="0" collapsed="false">
      <c r="H1227" s="0" t="str">
        <f aca="false">IF(B1227="","",IF(COUNTIF(Campaigns!$A$7:$A$300,B1227)&gt;0,"✓","⚠ add to Campaigns tab"))</f>
        <v/>
      </c>
      <c r="I1227" s="84" t="str">
        <f aca="false">IF(C1227="","",C1227*IF(Settings!$B$22=Settings!$C$6,1,IF(Settings!$B$22="USD",1/INDEX(Settings!$B$29:$B$40,MONTH(A1227)),INDEX(Settings!$B$29:$B$40,MONTH(A1227)))))</f>
        <v/>
      </c>
    </row>
    <row r="1228" customFormat="false" ht="15" hidden="false" customHeight="false" outlineLevel="0" collapsed="false">
      <c r="H1228" s="0" t="str">
        <f aca="false">IF(B1228="","",IF(COUNTIF(Campaigns!$A$7:$A$300,B1228)&gt;0,"✓","⚠ add to Campaigns tab"))</f>
        <v/>
      </c>
      <c r="I1228" s="84" t="str">
        <f aca="false">IF(C1228="","",C1228*IF(Settings!$B$22=Settings!$C$6,1,IF(Settings!$B$22="USD",1/INDEX(Settings!$B$29:$B$40,MONTH(A1228)),INDEX(Settings!$B$29:$B$40,MONTH(A1228)))))</f>
        <v/>
      </c>
    </row>
    <row r="1229" customFormat="false" ht="15" hidden="false" customHeight="false" outlineLevel="0" collapsed="false">
      <c r="H1229" s="0" t="str">
        <f aca="false">IF(B1229="","",IF(COUNTIF(Campaigns!$A$7:$A$300,B1229)&gt;0,"✓","⚠ add to Campaigns tab"))</f>
        <v/>
      </c>
      <c r="I1229" s="84" t="str">
        <f aca="false">IF(C1229="","",C1229*IF(Settings!$B$22=Settings!$C$6,1,IF(Settings!$B$22="USD",1/INDEX(Settings!$B$29:$B$40,MONTH(A1229)),INDEX(Settings!$B$29:$B$40,MONTH(A1229)))))</f>
        <v/>
      </c>
    </row>
    <row r="1230" customFormat="false" ht="15" hidden="false" customHeight="false" outlineLevel="0" collapsed="false">
      <c r="H1230" s="0" t="str">
        <f aca="false">IF(B1230="","",IF(COUNTIF(Campaigns!$A$7:$A$300,B1230)&gt;0,"✓","⚠ add to Campaigns tab"))</f>
        <v/>
      </c>
      <c r="I1230" s="84" t="str">
        <f aca="false">IF(C1230="","",C1230*IF(Settings!$B$22=Settings!$C$6,1,IF(Settings!$B$22="USD",1/INDEX(Settings!$B$29:$B$40,MONTH(A1230)),INDEX(Settings!$B$29:$B$40,MONTH(A1230)))))</f>
        <v/>
      </c>
    </row>
    <row r="1231" customFormat="false" ht="15" hidden="false" customHeight="false" outlineLevel="0" collapsed="false">
      <c r="H1231" s="0" t="str">
        <f aca="false">IF(B1231="","",IF(COUNTIF(Campaigns!$A$7:$A$300,B1231)&gt;0,"✓","⚠ add to Campaigns tab"))</f>
        <v/>
      </c>
      <c r="I1231" s="84" t="str">
        <f aca="false">IF(C1231="","",C1231*IF(Settings!$B$22=Settings!$C$6,1,IF(Settings!$B$22="USD",1/INDEX(Settings!$B$29:$B$40,MONTH(A1231)),INDEX(Settings!$B$29:$B$40,MONTH(A1231)))))</f>
        <v/>
      </c>
    </row>
    <row r="1232" customFormat="false" ht="15" hidden="false" customHeight="false" outlineLevel="0" collapsed="false">
      <c r="H1232" s="0" t="str">
        <f aca="false">IF(B1232="","",IF(COUNTIF(Campaigns!$A$7:$A$300,B1232)&gt;0,"✓","⚠ add to Campaigns tab"))</f>
        <v/>
      </c>
      <c r="I1232" s="84" t="str">
        <f aca="false">IF(C1232="","",C1232*IF(Settings!$B$22=Settings!$C$6,1,IF(Settings!$B$22="USD",1/INDEX(Settings!$B$29:$B$40,MONTH(A1232)),INDEX(Settings!$B$29:$B$40,MONTH(A1232)))))</f>
        <v/>
      </c>
    </row>
    <row r="1233" customFormat="false" ht="15" hidden="false" customHeight="false" outlineLevel="0" collapsed="false">
      <c r="H1233" s="0" t="str">
        <f aca="false">IF(B1233="","",IF(COUNTIF(Campaigns!$A$7:$A$300,B1233)&gt;0,"✓","⚠ add to Campaigns tab"))</f>
        <v/>
      </c>
      <c r="I1233" s="84" t="str">
        <f aca="false">IF(C1233="","",C1233*IF(Settings!$B$22=Settings!$C$6,1,IF(Settings!$B$22="USD",1/INDEX(Settings!$B$29:$B$40,MONTH(A1233)),INDEX(Settings!$B$29:$B$40,MONTH(A1233)))))</f>
        <v/>
      </c>
    </row>
    <row r="1234" customFormat="false" ht="15" hidden="false" customHeight="false" outlineLevel="0" collapsed="false">
      <c r="H1234" s="0" t="str">
        <f aca="false">IF(B1234="","",IF(COUNTIF(Campaigns!$A$7:$A$300,B1234)&gt;0,"✓","⚠ add to Campaigns tab"))</f>
        <v/>
      </c>
      <c r="I1234" s="84" t="str">
        <f aca="false">IF(C1234="","",C1234*IF(Settings!$B$22=Settings!$C$6,1,IF(Settings!$B$22="USD",1/INDEX(Settings!$B$29:$B$40,MONTH(A1234)),INDEX(Settings!$B$29:$B$40,MONTH(A1234)))))</f>
        <v/>
      </c>
    </row>
    <row r="1235" customFormat="false" ht="15" hidden="false" customHeight="false" outlineLevel="0" collapsed="false">
      <c r="H1235" s="0" t="str">
        <f aca="false">IF(B1235="","",IF(COUNTIF(Campaigns!$A$7:$A$300,B1235)&gt;0,"✓","⚠ add to Campaigns tab"))</f>
        <v/>
      </c>
      <c r="I1235" s="84" t="str">
        <f aca="false">IF(C1235="","",C1235*IF(Settings!$B$22=Settings!$C$6,1,IF(Settings!$B$22="USD",1/INDEX(Settings!$B$29:$B$40,MONTH(A1235)),INDEX(Settings!$B$29:$B$40,MONTH(A1235)))))</f>
        <v/>
      </c>
    </row>
    <row r="1236" customFormat="false" ht="15" hidden="false" customHeight="false" outlineLevel="0" collapsed="false">
      <c r="H1236" s="0" t="str">
        <f aca="false">IF(B1236="","",IF(COUNTIF(Campaigns!$A$7:$A$300,B1236)&gt;0,"✓","⚠ add to Campaigns tab"))</f>
        <v/>
      </c>
      <c r="I1236" s="84" t="str">
        <f aca="false">IF(C1236="","",C1236*IF(Settings!$B$22=Settings!$C$6,1,IF(Settings!$B$22="USD",1/INDEX(Settings!$B$29:$B$40,MONTH(A1236)),INDEX(Settings!$B$29:$B$40,MONTH(A1236)))))</f>
        <v/>
      </c>
    </row>
    <row r="1237" customFormat="false" ht="15" hidden="false" customHeight="false" outlineLevel="0" collapsed="false">
      <c r="H1237" s="0" t="str">
        <f aca="false">IF(B1237="","",IF(COUNTIF(Campaigns!$A$7:$A$300,B1237)&gt;0,"✓","⚠ add to Campaigns tab"))</f>
        <v/>
      </c>
      <c r="I1237" s="84" t="str">
        <f aca="false">IF(C1237="","",C1237*IF(Settings!$B$22=Settings!$C$6,1,IF(Settings!$B$22="USD",1/INDEX(Settings!$B$29:$B$40,MONTH(A1237)),INDEX(Settings!$B$29:$B$40,MONTH(A1237)))))</f>
        <v/>
      </c>
    </row>
    <row r="1238" customFormat="false" ht="15" hidden="false" customHeight="false" outlineLevel="0" collapsed="false">
      <c r="H1238" s="0" t="str">
        <f aca="false">IF(B1238="","",IF(COUNTIF(Campaigns!$A$7:$A$300,B1238)&gt;0,"✓","⚠ add to Campaigns tab"))</f>
        <v/>
      </c>
      <c r="I1238" s="84" t="str">
        <f aca="false">IF(C1238="","",C1238*IF(Settings!$B$22=Settings!$C$6,1,IF(Settings!$B$22="USD",1/INDEX(Settings!$B$29:$B$40,MONTH(A1238)),INDEX(Settings!$B$29:$B$40,MONTH(A1238)))))</f>
        <v/>
      </c>
    </row>
    <row r="1239" customFormat="false" ht="15" hidden="false" customHeight="false" outlineLevel="0" collapsed="false">
      <c r="H1239" s="0" t="str">
        <f aca="false">IF(B1239="","",IF(COUNTIF(Campaigns!$A$7:$A$300,B1239)&gt;0,"✓","⚠ add to Campaigns tab"))</f>
        <v/>
      </c>
      <c r="I1239" s="84" t="str">
        <f aca="false">IF(C1239="","",C1239*IF(Settings!$B$22=Settings!$C$6,1,IF(Settings!$B$22="USD",1/INDEX(Settings!$B$29:$B$40,MONTH(A1239)),INDEX(Settings!$B$29:$B$40,MONTH(A1239)))))</f>
        <v/>
      </c>
    </row>
    <row r="1240" customFormat="false" ht="15" hidden="false" customHeight="false" outlineLevel="0" collapsed="false">
      <c r="H1240" s="0" t="str">
        <f aca="false">IF(B1240="","",IF(COUNTIF(Campaigns!$A$7:$A$300,B1240)&gt;0,"✓","⚠ add to Campaigns tab"))</f>
        <v/>
      </c>
      <c r="I1240" s="84" t="str">
        <f aca="false">IF(C1240="","",C1240*IF(Settings!$B$22=Settings!$C$6,1,IF(Settings!$B$22="USD",1/INDEX(Settings!$B$29:$B$40,MONTH(A1240)),INDEX(Settings!$B$29:$B$40,MONTH(A1240)))))</f>
        <v/>
      </c>
    </row>
    <row r="1241" customFormat="false" ht="15" hidden="false" customHeight="false" outlineLevel="0" collapsed="false">
      <c r="H1241" s="0" t="str">
        <f aca="false">IF(B1241="","",IF(COUNTIF(Campaigns!$A$7:$A$300,B1241)&gt;0,"✓","⚠ add to Campaigns tab"))</f>
        <v/>
      </c>
      <c r="I1241" s="84" t="str">
        <f aca="false">IF(C1241="","",C1241*IF(Settings!$B$22=Settings!$C$6,1,IF(Settings!$B$22="USD",1/INDEX(Settings!$B$29:$B$40,MONTH(A1241)),INDEX(Settings!$B$29:$B$40,MONTH(A1241)))))</f>
        <v/>
      </c>
    </row>
    <row r="1242" customFormat="false" ht="15" hidden="false" customHeight="false" outlineLevel="0" collapsed="false">
      <c r="H1242" s="0" t="str">
        <f aca="false">IF(B1242="","",IF(COUNTIF(Campaigns!$A$7:$A$300,B1242)&gt;0,"✓","⚠ add to Campaigns tab"))</f>
        <v/>
      </c>
      <c r="I1242" s="84" t="str">
        <f aca="false">IF(C1242="","",C1242*IF(Settings!$B$22=Settings!$C$6,1,IF(Settings!$B$22="USD",1/INDEX(Settings!$B$29:$B$40,MONTH(A1242)),INDEX(Settings!$B$29:$B$40,MONTH(A1242)))))</f>
        <v/>
      </c>
    </row>
    <row r="1243" customFormat="false" ht="15" hidden="false" customHeight="false" outlineLevel="0" collapsed="false">
      <c r="H1243" s="0" t="str">
        <f aca="false">IF(B1243="","",IF(COUNTIF(Campaigns!$A$7:$A$300,B1243)&gt;0,"✓","⚠ add to Campaigns tab"))</f>
        <v/>
      </c>
      <c r="I1243" s="84" t="str">
        <f aca="false">IF(C1243="","",C1243*IF(Settings!$B$22=Settings!$C$6,1,IF(Settings!$B$22="USD",1/INDEX(Settings!$B$29:$B$40,MONTH(A1243)),INDEX(Settings!$B$29:$B$40,MONTH(A1243)))))</f>
        <v/>
      </c>
    </row>
    <row r="1244" customFormat="false" ht="15" hidden="false" customHeight="false" outlineLevel="0" collapsed="false">
      <c r="H1244" s="0" t="str">
        <f aca="false">IF(B1244="","",IF(COUNTIF(Campaigns!$A$7:$A$300,B1244)&gt;0,"✓","⚠ add to Campaigns tab"))</f>
        <v/>
      </c>
      <c r="I1244" s="84" t="str">
        <f aca="false">IF(C1244="","",C1244*IF(Settings!$B$22=Settings!$C$6,1,IF(Settings!$B$22="USD",1/INDEX(Settings!$B$29:$B$40,MONTH(A1244)),INDEX(Settings!$B$29:$B$40,MONTH(A1244)))))</f>
        <v/>
      </c>
    </row>
    <row r="1245" customFormat="false" ht="15" hidden="false" customHeight="false" outlineLevel="0" collapsed="false">
      <c r="H1245" s="0" t="str">
        <f aca="false">IF(B1245="","",IF(COUNTIF(Campaigns!$A$7:$A$300,B1245)&gt;0,"✓","⚠ add to Campaigns tab"))</f>
        <v/>
      </c>
      <c r="I1245" s="84" t="str">
        <f aca="false">IF(C1245="","",C1245*IF(Settings!$B$22=Settings!$C$6,1,IF(Settings!$B$22="USD",1/INDEX(Settings!$B$29:$B$40,MONTH(A1245)),INDEX(Settings!$B$29:$B$40,MONTH(A1245)))))</f>
        <v/>
      </c>
    </row>
    <row r="1246" customFormat="false" ht="15" hidden="false" customHeight="false" outlineLevel="0" collapsed="false">
      <c r="H1246" s="0" t="str">
        <f aca="false">IF(B1246="","",IF(COUNTIF(Campaigns!$A$7:$A$300,B1246)&gt;0,"✓","⚠ add to Campaigns tab"))</f>
        <v/>
      </c>
      <c r="I1246" s="84" t="str">
        <f aca="false">IF(C1246="","",C1246*IF(Settings!$B$22=Settings!$C$6,1,IF(Settings!$B$22="USD",1/INDEX(Settings!$B$29:$B$40,MONTH(A1246)),INDEX(Settings!$B$29:$B$40,MONTH(A1246)))))</f>
        <v/>
      </c>
    </row>
    <row r="1247" customFormat="false" ht="15" hidden="false" customHeight="false" outlineLevel="0" collapsed="false">
      <c r="H1247" s="0" t="str">
        <f aca="false">IF(B1247="","",IF(COUNTIF(Campaigns!$A$7:$A$300,B1247)&gt;0,"✓","⚠ add to Campaigns tab"))</f>
        <v/>
      </c>
      <c r="I1247" s="84" t="str">
        <f aca="false">IF(C1247="","",C1247*IF(Settings!$B$22=Settings!$C$6,1,IF(Settings!$B$22="USD",1/INDEX(Settings!$B$29:$B$40,MONTH(A1247)),INDEX(Settings!$B$29:$B$40,MONTH(A1247)))))</f>
        <v/>
      </c>
    </row>
    <row r="1248" customFormat="false" ht="15" hidden="false" customHeight="false" outlineLevel="0" collapsed="false">
      <c r="H1248" s="0" t="str">
        <f aca="false">IF(B1248="","",IF(COUNTIF(Campaigns!$A$7:$A$300,B1248)&gt;0,"✓","⚠ add to Campaigns tab"))</f>
        <v/>
      </c>
      <c r="I1248" s="84" t="str">
        <f aca="false">IF(C1248="","",C1248*IF(Settings!$B$22=Settings!$C$6,1,IF(Settings!$B$22="USD",1/INDEX(Settings!$B$29:$B$40,MONTH(A1248)),INDEX(Settings!$B$29:$B$40,MONTH(A1248)))))</f>
        <v/>
      </c>
    </row>
    <row r="1249" customFormat="false" ht="15" hidden="false" customHeight="false" outlineLevel="0" collapsed="false">
      <c r="H1249" s="0" t="str">
        <f aca="false">IF(B1249="","",IF(COUNTIF(Campaigns!$A$7:$A$300,B1249)&gt;0,"✓","⚠ add to Campaigns tab"))</f>
        <v/>
      </c>
      <c r="I1249" s="84" t="str">
        <f aca="false">IF(C1249="","",C1249*IF(Settings!$B$22=Settings!$C$6,1,IF(Settings!$B$22="USD",1/INDEX(Settings!$B$29:$B$40,MONTH(A1249)),INDEX(Settings!$B$29:$B$40,MONTH(A1249)))))</f>
        <v/>
      </c>
    </row>
    <row r="1250" customFormat="false" ht="15" hidden="false" customHeight="false" outlineLevel="0" collapsed="false">
      <c r="H1250" s="0" t="str">
        <f aca="false">IF(B1250="","",IF(COUNTIF(Campaigns!$A$7:$A$300,B1250)&gt;0,"✓","⚠ add to Campaigns tab"))</f>
        <v/>
      </c>
      <c r="I1250" s="84" t="str">
        <f aca="false">IF(C1250="","",C1250*IF(Settings!$B$22=Settings!$C$6,1,IF(Settings!$B$22="USD",1/INDEX(Settings!$B$29:$B$40,MONTH(A1250)),INDEX(Settings!$B$29:$B$40,MONTH(A1250)))))</f>
        <v/>
      </c>
    </row>
    <row r="1251" customFormat="false" ht="15" hidden="false" customHeight="false" outlineLevel="0" collapsed="false">
      <c r="H1251" s="0" t="str">
        <f aca="false">IF(B1251="","",IF(COUNTIF(Campaigns!$A$7:$A$300,B1251)&gt;0,"✓","⚠ add to Campaigns tab"))</f>
        <v/>
      </c>
      <c r="I1251" s="84" t="str">
        <f aca="false">IF(C1251="","",C1251*IF(Settings!$B$22=Settings!$C$6,1,IF(Settings!$B$22="USD",1/INDEX(Settings!$B$29:$B$40,MONTH(A1251)),INDEX(Settings!$B$29:$B$40,MONTH(A1251)))))</f>
        <v/>
      </c>
    </row>
    <row r="1252" customFormat="false" ht="15" hidden="false" customHeight="false" outlineLevel="0" collapsed="false">
      <c r="H1252" s="0" t="str">
        <f aca="false">IF(B1252="","",IF(COUNTIF(Campaigns!$A$7:$A$300,B1252)&gt;0,"✓","⚠ add to Campaigns tab"))</f>
        <v/>
      </c>
      <c r="I1252" s="84" t="str">
        <f aca="false">IF(C1252="","",C1252*IF(Settings!$B$22=Settings!$C$6,1,IF(Settings!$B$22="USD",1/INDEX(Settings!$B$29:$B$40,MONTH(A1252)),INDEX(Settings!$B$29:$B$40,MONTH(A1252)))))</f>
        <v/>
      </c>
    </row>
    <row r="1253" customFormat="false" ht="15" hidden="false" customHeight="false" outlineLevel="0" collapsed="false">
      <c r="H1253" s="0" t="str">
        <f aca="false">IF(B1253="","",IF(COUNTIF(Campaigns!$A$7:$A$300,B1253)&gt;0,"✓","⚠ add to Campaigns tab"))</f>
        <v/>
      </c>
      <c r="I1253" s="84" t="str">
        <f aca="false">IF(C1253="","",C1253*IF(Settings!$B$22=Settings!$C$6,1,IF(Settings!$B$22="USD",1/INDEX(Settings!$B$29:$B$40,MONTH(A1253)),INDEX(Settings!$B$29:$B$40,MONTH(A1253)))))</f>
        <v/>
      </c>
    </row>
    <row r="1254" customFormat="false" ht="15" hidden="false" customHeight="false" outlineLevel="0" collapsed="false">
      <c r="H1254" s="0" t="str">
        <f aca="false">IF(B1254="","",IF(COUNTIF(Campaigns!$A$7:$A$300,B1254)&gt;0,"✓","⚠ add to Campaigns tab"))</f>
        <v/>
      </c>
      <c r="I1254" s="84" t="str">
        <f aca="false">IF(C1254="","",C1254*IF(Settings!$B$22=Settings!$C$6,1,IF(Settings!$B$22="USD",1/INDEX(Settings!$B$29:$B$40,MONTH(A1254)),INDEX(Settings!$B$29:$B$40,MONTH(A1254)))))</f>
        <v/>
      </c>
    </row>
    <row r="1255" customFormat="false" ht="15" hidden="false" customHeight="false" outlineLevel="0" collapsed="false">
      <c r="H1255" s="0" t="str">
        <f aca="false">IF(B1255="","",IF(COUNTIF(Campaigns!$A$7:$A$300,B1255)&gt;0,"✓","⚠ add to Campaigns tab"))</f>
        <v/>
      </c>
      <c r="I1255" s="84" t="str">
        <f aca="false">IF(C1255="","",C1255*IF(Settings!$B$22=Settings!$C$6,1,IF(Settings!$B$22="USD",1/INDEX(Settings!$B$29:$B$40,MONTH(A1255)),INDEX(Settings!$B$29:$B$40,MONTH(A1255)))))</f>
        <v/>
      </c>
    </row>
    <row r="1256" customFormat="false" ht="15" hidden="false" customHeight="false" outlineLevel="0" collapsed="false">
      <c r="H1256" s="0" t="str">
        <f aca="false">IF(B1256="","",IF(COUNTIF(Campaigns!$A$7:$A$300,B1256)&gt;0,"✓","⚠ add to Campaigns tab"))</f>
        <v/>
      </c>
      <c r="I1256" s="84" t="str">
        <f aca="false">IF(C1256="","",C1256*IF(Settings!$B$22=Settings!$C$6,1,IF(Settings!$B$22="USD",1/INDEX(Settings!$B$29:$B$40,MONTH(A1256)),INDEX(Settings!$B$29:$B$40,MONTH(A1256)))))</f>
        <v/>
      </c>
    </row>
    <row r="1257" customFormat="false" ht="15" hidden="false" customHeight="false" outlineLevel="0" collapsed="false">
      <c r="H1257" s="0" t="str">
        <f aca="false">IF(B1257="","",IF(COUNTIF(Campaigns!$A$7:$A$300,B1257)&gt;0,"✓","⚠ add to Campaigns tab"))</f>
        <v/>
      </c>
      <c r="I1257" s="84" t="str">
        <f aca="false">IF(C1257="","",C1257*IF(Settings!$B$22=Settings!$C$6,1,IF(Settings!$B$22="USD",1/INDEX(Settings!$B$29:$B$40,MONTH(A1257)),INDEX(Settings!$B$29:$B$40,MONTH(A1257)))))</f>
        <v/>
      </c>
    </row>
    <row r="1258" customFormat="false" ht="15" hidden="false" customHeight="false" outlineLevel="0" collapsed="false">
      <c r="H1258" s="0" t="str">
        <f aca="false">IF(B1258="","",IF(COUNTIF(Campaigns!$A$7:$A$300,B1258)&gt;0,"✓","⚠ add to Campaigns tab"))</f>
        <v/>
      </c>
      <c r="I1258" s="84" t="str">
        <f aca="false">IF(C1258="","",C1258*IF(Settings!$B$22=Settings!$C$6,1,IF(Settings!$B$22="USD",1/INDEX(Settings!$B$29:$B$40,MONTH(A1258)),INDEX(Settings!$B$29:$B$40,MONTH(A1258)))))</f>
        <v/>
      </c>
    </row>
    <row r="1259" customFormat="false" ht="15" hidden="false" customHeight="false" outlineLevel="0" collapsed="false">
      <c r="H1259" s="0" t="str">
        <f aca="false">IF(B1259="","",IF(COUNTIF(Campaigns!$A$7:$A$300,B1259)&gt;0,"✓","⚠ add to Campaigns tab"))</f>
        <v/>
      </c>
      <c r="I1259" s="84" t="str">
        <f aca="false">IF(C1259="","",C1259*IF(Settings!$B$22=Settings!$C$6,1,IF(Settings!$B$22="USD",1/INDEX(Settings!$B$29:$B$40,MONTH(A1259)),INDEX(Settings!$B$29:$B$40,MONTH(A1259)))))</f>
        <v/>
      </c>
    </row>
    <row r="1260" customFormat="false" ht="15" hidden="false" customHeight="false" outlineLevel="0" collapsed="false">
      <c r="H1260" s="0" t="str">
        <f aca="false">IF(B1260="","",IF(COUNTIF(Campaigns!$A$7:$A$300,B1260)&gt;0,"✓","⚠ add to Campaigns tab"))</f>
        <v/>
      </c>
      <c r="I1260" s="84" t="str">
        <f aca="false">IF(C1260="","",C1260*IF(Settings!$B$22=Settings!$C$6,1,IF(Settings!$B$22="USD",1/INDEX(Settings!$B$29:$B$40,MONTH(A1260)),INDEX(Settings!$B$29:$B$40,MONTH(A1260)))))</f>
        <v/>
      </c>
    </row>
    <row r="1261" customFormat="false" ht="15" hidden="false" customHeight="false" outlineLevel="0" collapsed="false">
      <c r="H1261" s="0" t="str">
        <f aca="false">IF(B1261="","",IF(COUNTIF(Campaigns!$A$7:$A$300,B1261)&gt;0,"✓","⚠ add to Campaigns tab"))</f>
        <v/>
      </c>
      <c r="I1261" s="84" t="str">
        <f aca="false">IF(C1261="","",C1261*IF(Settings!$B$22=Settings!$C$6,1,IF(Settings!$B$22="USD",1/INDEX(Settings!$B$29:$B$40,MONTH(A1261)),INDEX(Settings!$B$29:$B$40,MONTH(A1261)))))</f>
        <v/>
      </c>
    </row>
    <row r="1262" customFormat="false" ht="15" hidden="false" customHeight="false" outlineLevel="0" collapsed="false">
      <c r="H1262" s="0" t="str">
        <f aca="false">IF(B1262="","",IF(COUNTIF(Campaigns!$A$7:$A$300,B1262)&gt;0,"✓","⚠ add to Campaigns tab"))</f>
        <v/>
      </c>
      <c r="I1262" s="84" t="str">
        <f aca="false">IF(C1262="","",C1262*IF(Settings!$B$22=Settings!$C$6,1,IF(Settings!$B$22="USD",1/INDEX(Settings!$B$29:$B$40,MONTH(A1262)),INDEX(Settings!$B$29:$B$40,MONTH(A1262)))))</f>
        <v/>
      </c>
    </row>
    <row r="1263" customFormat="false" ht="15" hidden="false" customHeight="false" outlineLevel="0" collapsed="false">
      <c r="H1263" s="0" t="str">
        <f aca="false">IF(B1263="","",IF(COUNTIF(Campaigns!$A$7:$A$300,B1263)&gt;0,"✓","⚠ add to Campaigns tab"))</f>
        <v/>
      </c>
      <c r="I1263" s="84" t="str">
        <f aca="false">IF(C1263="","",C1263*IF(Settings!$B$22=Settings!$C$6,1,IF(Settings!$B$22="USD",1/INDEX(Settings!$B$29:$B$40,MONTH(A1263)),INDEX(Settings!$B$29:$B$40,MONTH(A1263)))))</f>
        <v/>
      </c>
    </row>
    <row r="1264" customFormat="false" ht="15" hidden="false" customHeight="false" outlineLevel="0" collapsed="false">
      <c r="H1264" s="0" t="str">
        <f aca="false">IF(B1264="","",IF(COUNTIF(Campaigns!$A$7:$A$300,B1264)&gt;0,"✓","⚠ add to Campaigns tab"))</f>
        <v/>
      </c>
      <c r="I1264" s="84" t="str">
        <f aca="false">IF(C1264="","",C1264*IF(Settings!$B$22=Settings!$C$6,1,IF(Settings!$B$22="USD",1/INDEX(Settings!$B$29:$B$40,MONTH(A1264)),INDEX(Settings!$B$29:$B$40,MONTH(A1264)))))</f>
        <v/>
      </c>
    </row>
    <row r="1265" customFormat="false" ht="15" hidden="false" customHeight="false" outlineLevel="0" collapsed="false">
      <c r="H1265" s="0" t="str">
        <f aca="false">IF(B1265="","",IF(COUNTIF(Campaigns!$A$7:$A$300,B1265)&gt;0,"✓","⚠ add to Campaigns tab"))</f>
        <v/>
      </c>
      <c r="I1265" s="84" t="str">
        <f aca="false">IF(C1265="","",C1265*IF(Settings!$B$22=Settings!$C$6,1,IF(Settings!$B$22="USD",1/INDEX(Settings!$B$29:$B$40,MONTH(A1265)),INDEX(Settings!$B$29:$B$40,MONTH(A1265)))))</f>
        <v/>
      </c>
    </row>
    <row r="1266" customFormat="false" ht="15" hidden="false" customHeight="false" outlineLevel="0" collapsed="false">
      <c r="H1266" s="0" t="str">
        <f aca="false">IF(B1266="","",IF(COUNTIF(Campaigns!$A$7:$A$300,B1266)&gt;0,"✓","⚠ add to Campaigns tab"))</f>
        <v/>
      </c>
      <c r="I1266" s="84" t="str">
        <f aca="false">IF(C1266="","",C1266*IF(Settings!$B$22=Settings!$C$6,1,IF(Settings!$B$22="USD",1/INDEX(Settings!$B$29:$B$40,MONTH(A1266)),INDEX(Settings!$B$29:$B$40,MONTH(A1266)))))</f>
        <v/>
      </c>
    </row>
    <row r="1267" customFormat="false" ht="15" hidden="false" customHeight="false" outlineLevel="0" collapsed="false">
      <c r="H1267" s="0" t="str">
        <f aca="false">IF(B1267="","",IF(COUNTIF(Campaigns!$A$7:$A$300,B1267)&gt;0,"✓","⚠ add to Campaigns tab"))</f>
        <v/>
      </c>
      <c r="I1267" s="84" t="str">
        <f aca="false">IF(C1267="","",C1267*IF(Settings!$B$22=Settings!$C$6,1,IF(Settings!$B$22="USD",1/INDEX(Settings!$B$29:$B$40,MONTH(A1267)),INDEX(Settings!$B$29:$B$40,MONTH(A1267)))))</f>
        <v/>
      </c>
    </row>
    <row r="1268" customFormat="false" ht="15" hidden="false" customHeight="false" outlineLevel="0" collapsed="false">
      <c r="H1268" s="0" t="str">
        <f aca="false">IF(B1268="","",IF(COUNTIF(Campaigns!$A$7:$A$300,B1268)&gt;0,"✓","⚠ add to Campaigns tab"))</f>
        <v/>
      </c>
      <c r="I1268" s="84" t="str">
        <f aca="false">IF(C1268="","",C1268*IF(Settings!$B$22=Settings!$C$6,1,IF(Settings!$B$22="USD",1/INDEX(Settings!$B$29:$B$40,MONTH(A1268)),INDEX(Settings!$B$29:$B$40,MONTH(A1268)))))</f>
        <v/>
      </c>
    </row>
    <row r="1269" customFormat="false" ht="15" hidden="false" customHeight="false" outlineLevel="0" collapsed="false">
      <c r="H1269" s="0" t="str">
        <f aca="false">IF(B1269="","",IF(COUNTIF(Campaigns!$A$7:$A$300,B1269)&gt;0,"✓","⚠ add to Campaigns tab"))</f>
        <v/>
      </c>
      <c r="I1269" s="84" t="str">
        <f aca="false">IF(C1269="","",C1269*IF(Settings!$B$22=Settings!$C$6,1,IF(Settings!$B$22="USD",1/INDEX(Settings!$B$29:$B$40,MONTH(A1269)),INDEX(Settings!$B$29:$B$40,MONTH(A1269)))))</f>
        <v/>
      </c>
    </row>
    <row r="1270" customFormat="false" ht="15" hidden="false" customHeight="false" outlineLevel="0" collapsed="false">
      <c r="H1270" s="0" t="str">
        <f aca="false">IF(B1270="","",IF(COUNTIF(Campaigns!$A$7:$A$300,B1270)&gt;0,"✓","⚠ add to Campaigns tab"))</f>
        <v/>
      </c>
      <c r="I1270" s="84" t="str">
        <f aca="false">IF(C1270="","",C1270*IF(Settings!$B$22=Settings!$C$6,1,IF(Settings!$B$22="USD",1/INDEX(Settings!$B$29:$B$40,MONTH(A1270)),INDEX(Settings!$B$29:$B$40,MONTH(A1270)))))</f>
        <v/>
      </c>
    </row>
    <row r="1271" customFormat="false" ht="15" hidden="false" customHeight="false" outlineLevel="0" collapsed="false">
      <c r="H1271" s="0" t="str">
        <f aca="false">IF(B1271="","",IF(COUNTIF(Campaigns!$A$7:$A$300,B1271)&gt;0,"✓","⚠ add to Campaigns tab"))</f>
        <v/>
      </c>
      <c r="I1271" s="84" t="str">
        <f aca="false">IF(C1271="","",C1271*IF(Settings!$B$22=Settings!$C$6,1,IF(Settings!$B$22="USD",1/INDEX(Settings!$B$29:$B$40,MONTH(A1271)),INDEX(Settings!$B$29:$B$40,MONTH(A1271)))))</f>
        <v/>
      </c>
    </row>
    <row r="1272" customFormat="false" ht="15" hidden="false" customHeight="false" outlineLevel="0" collapsed="false">
      <c r="H1272" s="0" t="str">
        <f aca="false">IF(B1272="","",IF(COUNTIF(Campaigns!$A$7:$A$300,B1272)&gt;0,"✓","⚠ add to Campaigns tab"))</f>
        <v/>
      </c>
      <c r="I1272" s="84" t="str">
        <f aca="false">IF(C1272="","",C1272*IF(Settings!$B$22=Settings!$C$6,1,IF(Settings!$B$22="USD",1/INDEX(Settings!$B$29:$B$40,MONTH(A1272)),INDEX(Settings!$B$29:$B$40,MONTH(A1272)))))</f>
        <v/>
      </c>
    </row>
    <row r="1273" customFormat="false" ht="15" hidden="false" customHeight="false" outlineLevel="0" collapsed="false">
      <c r="H1273" s="0" t="str">
        <f aca="false">IF(B1273="","",IF(COUNTIF(Campaigns!$A$7:$A$300,B1273)&gt;0,"✓","⚠ add to Campaigns tab"))</f>
        <v/>
      </c>
      <c r="I1273" s="84" t="str">
        <f aca="false">IF(C1273="","",C1273*IF(Settings!$B$22=Settings!$C$6,1,IF(Settings!$B$22="USD",1/INDEX(Settings!$B$29:$B$40,MONTH(A1273)),INDEX(Settings!$B$29:$B$40,MONTH(A1273)))))</f>
        <v/>
      </c>
    </row>
    <row r="1274" customFormat="false" ht="15" hidden="false" customHeight="false" outlineLevel="0" collapsed="false">
      <c r="H1274" s="0" t="str">
        <f aca="false">IF(B1274="","",IF(COUNTIF(Campaigns!$A$7:$A$300,B1274)&gt;0,"✓","⚠ add to Campaigns tab"))</f>
        <v/>
      </c>
      <c r="I1274" s="84" t="str">
        <f aca="false">IF(C1274="","",C1274*IF(Settings!$B$22=Settings!$C$6,1,IF(Settings!$B$22="USD",1/INDEX(Settings!$B$29:$B$40,MONTH(A1274)),INDEX(Settings!$B$29:$B$40,MONTH(A1274)))))</f>
        <v/>
      </c>
    </row>
    <row r="1275" customFormat="false" ht="15" hidden="false" customHeight="false" outlineLevel="0" collapsed="false">
      <c r="H1275" s="0" t="str">
        <f aca="false">IF(B1275="","",IF(COUNTIF(Campaigns!$A$7:$A$300,B1275)&gt;0,"✓","⚠ add to Campaigns tab"))</f>
        <v/>
      </c>
      <c r="I1275" s="84" t="str">
        <f aca="false">IF(C1275="","",C1275*IF(Settings!$B$22=Settings!$C$6,1,IF(Settings!$B$22="USD",1/INDEX(Settings!$B$29:$B$40,MONTH(A1275)),INDEX(Settings!$B$29:$B$40,MONTH(A1275)))))</f>
        <v/>
      </c>
    </row>
    <row r="1276" customFormat="false" ht="15" hidden="false" customHeight="false" outlineLevel="0" collapsed="false">
      <c r="H1276" s="0" t="str">
        <f aca="false">IF(B1276="","",IF(COUNTIF(Campaigns!$A$7:$A$300,B1276)&gt;0,"✓","⚠ add to Campaigns tab"))</f>
        <v/>
      </c>
      <c r="I1276" s="84" t="str">
        <f aca="false">IF(C1276="","",C1276*IF(Settings!$B$22=Settings!$C$6,1,IF(Settings!$B$22="USD",1/INDEX(Settings!$B$29:$B$40,MONTH(A1276)),INDEX(Settings!$B$29:$B$40,MONTH(A1276)))))</f>
        <v/>
      </c>
    </row>
    <row r="1277" customFormat="false" ht="15" hidden="false" customHeight="false" outlineLevel="0" collapsed="false">
      <c r="H1277" s="0" t="str">
        <f aca="false">IF(B1277="","",IF(COUNTIF(Campaigns!$A$7:$A$300,B1277)&gt;0,"✓","⚠ add to Campaigns tab"))</f>
        <v/>
      </c>
      <c r="I1277" s="84" t="str">
        <f aca="false">IF(C1277="","",C1277*IF(Settings!$B$22=Settings!$C$6,1,IF(Settings!$B$22="USD",1/INDEX(Settings!$B$29:$B$40,MONTH(A1277)),INDEX(Settings!$B$29:$B$40,MONTH(A1277)))))</f>
        <v/>
      </c>
    </row>
    <row r="1278" customFormat="false" ht="15" hidden="false" customHeight="false" outlineLevel="0" collapsed="false">
      <c r="H1278" s="0" t="str">
        <f aca="false">IF(B1278="","",IF(COUNTIF(Campaigns!$A$7:$A$300,B1278)&gt;0,"✓","⚠ add to Campaigns tab"))</f>
        <v/>
      </c>
      <c r="I1278" s="84" t="str">
        <f aca="false">IF(C1278="","",C1278*IF(Settings!$B$22=Settings!$C$6,1,IF(Settings!$B$22="USD",1/INDEX(Settings!$B$29:$B$40,MONTH(A1278)),INDEX(Settings!$B$29:$B$40,MONTH(A1278)))))</f>
        <v/>
      </c>
    </row>
    <row r="1279" customFormat="false" ht="15" hidden="false" customHeight="false" outlineLevel="0" collapsed="false">
      <c r="H1279" s="0" t="str">
        <f aca="false">IF(B1279="","",IF(COUNTIF(Campaigns!$A$7:$A$300,B1279)&gt;0,"✓","⚠ add to Campaigns tab"))</f>
        <v/>
      </c>
      <c r="I1279" s="84" t="str">
        <f aca="false">IF(C1279="","",C1279*IF(Settings!$B$22=Settings!$C$6,1,IF(Settings!$B$22="USD",1/INDEX(Settings!$B$29:$B$40,MONTH(A1279)),INDEX(Settings!$B$29:$B$40,MONTH(A1279)))))</f>
        <v/>
      </c>
    </row>
    <row r="1280" customFormat="false" ht="15" hidden="false" customHeight="false" outlineLevel="0" collapsed="false">
      <c r="H1280" s="0" t="str">
        <f aca="false">IF(B1280="","",IF(COUNTIF(Campaigns!$A$7:$A$300,B1280)&gt;0,"✓","⚠ add to Campaigns tab"))</f>
        <v/>
      </c>
      <c r="I1280" s="84" t="str">
        <f aca="false">IF(C1280="","",C1280*IF(Settings!$B$22=Settings!$C$6,1,IF(Settings!$B$22="USD",1/INDEX(Settings!$B$29:$B$40,MONTH(A1280)),INDEX(Settings!$B$29:$B$40,MONTH(A1280)))))</f>
        <v/>
      </c>
    </row>
    <row r="1281" customFormat="false" ht="15" hidden="false" customHeight="false" outlineLevel="0" collapsed="false">
      <c r="H1281" s="0" t="str">
        <f aca="false">IF(B1281="","",IF(COUNTIF(Campaigns!$A$7:$A$300,B1281)&gt;0,"✓","⚠ add to Campaigns tab"))</f>
        <v/>
      </c>
      <c r="I1281" s="84" t="str">
        <f aca="false">IF(C1281="","",C1281*IF(Settings!$B$22=Settings!$C$6,1,IF(Settings!$B$22="USD",1/INDEX(Settings!$B$29:$B$40,MONTH(A1281)),INDEX(Settings!$B$29:$B$40,MONTH(A1281)))))</f>
        <v/>
      </c>
    </row>
    <row r="1282" customFormat="false" ht="15" hidden="false" customHeight="false" outlineLevel="0" collapsed="false">
      <c r="H1282" s="0" t="str">
        <f aca="false">IF(B1282="","",IF(COUNTIF(Campaigns!$A$7:$A$300,B1282)&gt;0,"✓","⚠ add to Campaigns tab"))</f>
        <v/>
      </c>
      <c r="I1282" s="84" t="str">
        <f aca="false">IF(C1282="","",C1282*IF(Settings!$B$22=Settings!$C$6,1,IF(Settings!$B$22="USD",1/INDEX(Settings!$B$29:$B$40,MONTH(A1282)),INDEX(Settings!$B$29:$B$40,MONTH(A1282)))))</f>
        <v/>
      </c>
    </row>
    <row r="1283" customFormat="false" ht="15" hidden="false" customHeight="false" outlineLevel="0" collapsed="false">
      <c r="H1283" s="0" t="str">
        <f aca="false">IF(B1283="","",IF(COUNTIF(Campaigns!$A$7:$A$300,B1283)&gt;0,"✓","⚠ add to Campaigns tab"))</f>
        <v/>
      </c>
      <c r="I1283" s="84" t="str">
        <f aca="false">IF(C1283="","",C1283*IF(Settings!$B$22=Settings!$C$6,1,IF(Settings!$B$22="USD",1/INDEX(Settings!$B$29:$B$40,MONTH(A1283)),INDEX(Settings!$B$29:$B$40,MONTH(A1283)))))</f>
        <v/>
      </c>
    </row>
    <row r="1284" customFormat="false" ht="15" hidden="false" customHeight="false" outlineLevel="0" collapsed="false">
      <c r="H1284" s="0" t="str">
        <f aca="false">IF(B1284="","",IF(COUNTIF(Campaigns!$A$7:$A$300,B1284)&gt;0,"✓","⚠ add to Campaigns tab"))</f>
        <v/>
      </c>
      <c r="I1284" s="84" t="str">
        <f aca="false">IF(C1284="","",C1284*IF(Settings!$B$22=Settings!$C$6,1,IF(Settings!$B$22="USD",1/INDEX(Settings!$B$29:$B$40,MONTH(A1284)),INDEX(Settings!$B$29:$B$40,MONTH(A1284)))))</f>
        <v/>
      </c>
    </row>
    <row r="1285" customFormat="false" ht="15" hidden="false" customHeight="false" outlineLevel="0" collapsed="false">
      <c r="H1285" s="0" t="str">
        <f aca="false">IF(B1285="","",IF(COUNTIF(Campaigns!$A$7:$A$300,B1285)&gt;0,"✓","⚠ add to Campaigns tab"))</f>
        <v/>
      </c>
      <c r="I1285" s="84" t="str">
        <f aca="false">IF(C1285="","",C1285*IF(Settings!$B$22=Settings!$C$6,1,IF(Settings!$B$22="USD",1/INDEX(Settings!$B$29:$B$40,MONTH(A1285)),INDEX(Settings!$B$29:$B$40,MONTH(A1285)))))</f>
        <v/>
      </c>
    </row>
    <row r="1286" customFormat="false" ht="15" hidden="false" customHeight="false" outlineLevel="0" collapsed="false">
      <c r="H1286" s="0" t="str">
        <f aca="false">IF(B1286="","",IF(COUNTIF(Campaigns!$A$7:$A$300,B1286)&gt;0,"✓","⚠ add to Campaigns tab"))</f>
        <v/>
      </c>
      <c r="I1286" s="84" t="str">
        <f aca="false">IF(C1286="","",C1286*IF(Settings!$B$22=Settings!$C$6,1,IF(Settings!$B$22="USD",1/INDEX(Settings!$B$29:$B$40,MONTH(A1286)),INDEX(Settings!$B$29:$B$40,MONTH(A1286)))))</f>
        <v/>
      </c>
    </row>
    <row r="1287" customFormat="false" ht="15" hidden="false" customHeight="false" outlineLevel="0" collapsed="false">
      <c r="H1287" s="0" t="str">
        <f aca="false">IF(B1287="","",IF(COUNTIF(Campaigns!$A$7:$A$300,B1287)&gt;0,"✓","⚠ add to Campaigns tab"))</f>
        <v/>
      </c>
      <c r="I1287" s="84" t="str">
        <f aca="false">IF(C1287="","",C1287*IF(Settings!$B$22=Settings!$C$6,1,IF(Settings!$B$22="USD",1/INDEX(Settings!$B$29:$B$40,MONTH(A1287)),INDEX(Settings!$B$29:$B$40,MONTH(A1287)))))</f>
        <v/>
      </c>
    </row>
    <row r="1288" customFormat="false" ht="15" hidden="false" customHeight="false" outlineLevel="0" collapsed="false">
      <c r="H1288" s="0" t="str">
        <f aca="false">IF(B1288="","",IF(COUNTIF(Campaigns!$A$7:$A$300,B1288)&gt;0,"✓","⚠ add to Campaigns tab"))</f>
        <v/>
      </c>
      <c r="I1288" s="84" t="str">
        <f aca="false">IF(C1288="","",C1288*IF(Settings!$B$22=Settings!$C$6,1,IF(Settings!$B$22="USD",1/INDEX(Settings!$B$29:$B$40,MONTH(A1288)),INDEX(Settings!$B$29:$B$40,MONTH(A1288)))))</f>
        <v/>
      </c>
    </row>
    <row r="1289" customFormat="false" ht="15" hidden="false" customHeight="false" outlineLevel="0" collapsed="false">
      <c r="H1289" s="0" t="str">
        <f aca="false">IF(B1289="","",IF(COUNTIF(Campaigns!$A$7:$A$300,B1289)&gt;0,"✓","⚠ add to Campaigns tab"))</f>
        <v/>
      </c>
      <c r="I1289" s="84" t="str">
        <f aca="false">IF(C1289="","",C1289*IF(Settings!$B$22=Settings!$C$6,1,IF(Settings!$B$22="USD",1/INDEX(Settings!$B$29:$B$40,MONTH(A1289)),INDEX(Settings!$B$29:$B$40,MONTH(A1289)))))</f>
        <v/>
      </c>
    </row>
    <row r="1290" customFormat="false" ht="15" hidden="false" customHeight="false" outlineLevel="0" collapsed="false">
      <c r="H1290" s="0" t="str">
        <f aca="false">IF(B1290="","",IF(COUNTIF(Campaigns!$A$7:$A$300,B1290)&gt;0,"✓","⚠ add to Campaigns tab"))</f>
        <v/>
      </c>
      <c r="I1290" s="84" t="str">
        <f aca="false">IF(C1290="","",C1290*IF(Settings!$B$22=Settings!$C$6,1,IF(Settings!$B$22="USD",1/INDEX(Settings!$B$29:$B$40,MONTH(A1290)),INDEX(Settings!$B$29:$B$40,MONTH(A1290)))))</f>
        <v/>
      </c>
    </row>
    <row r="1291" customFormat="false" ht="15" hidden="false" customHeight="false" outlineLevel="0" collapsed="false">
      <c r="H1291" s="0" t="str">
        <f aca="false">IF(B1291="","",IF(COUNTIF(Campaigns!$A$7:$A$300,B1291)&gt;0,"✓","⚠ add to Campaigns tab"))</f>
        <v/>
      </c>
      <c r="I1291" s="84" t="str">
        <f aca="false">IF(C1291="","",C1291*IF(Settings!$B$22=Settings!$C$6,1,IF(Settings!$B$22="USD",1/INDEX(Settings!$B$29:$B$40,MONTH(A1291)),INDEX(Settings!$B$29:$B$40,MONTH(A1291)))))</f>
        <v/>
      </c>
    </row>
    <row r="1292" customFormat="false" ht="15" hidden="false" customHeight="false" outlineLevel="0" collapsed="false">
      <c r="H1292" s="0" t="str">
        <f aca="false">IF(B1292="","",IF(COUNTIF(Campaigns!$A$7:$A$300,B1292)&gt;0,"✓","⚠ add to Campaigns tab"))</f>
        <v/>
      </c>
      <c r="I1292" s="84" t="str">
        <f aca="false">IF(C1292="","",C1292*IF(Settings!$B$22=Settings!$C$6,1,IF(Settings!$B$22="USD",1/INDEX(Settings!$B$29:$B$40,MONTH(A1292)),INDEX(Settings!$B$29:$B$40,MONTH(A1292)))))</f>
        <v/>
      </c>
    </row>
    <row r="1293" customFormat="false" ht="15" hidden="false" customHeight="false" outlineLevel="0" collapsed="false">
      <c r="H1293" s="0" t="str">
        <f aca="false">IF(B1293="","",IF(COUNTIF(Campaigns!$A$7:$A$300,B1293)&gt;0,"✓","⚠ add to Campaigns tab"))</f>
        <v/>
      </c>
      <c r="I1293" s="84" t="str">
        <f aca="false">IF(C1293="","",C1293*IF(Settings!$B$22=Settings!$C$6,1,IF(Settings!$B$22="USD",1/INDEX(Settings!$B$29:$B$40,MONTH(A1293)),INDEX(Settings!$B$29:$B$40,MONTH(A1293)))))</f>
        <v/>
      </c>
    </row>
    <row r="1294" customFormat="false" ht="15" hidden="false" customHeight="false" outlineLevel="0" collapsed="false">
      <c r="H1294" s="0" t="str">
        <f aca="false">IF(B1294="","",IF(COUNTIF(Campaigns!$A$7:$A$300,B1294)&gt;0,"✓","⚠ add to Campaigns tab"))</f>
        <v/>
      </c>
      <c r="I1294" s="84" t="str">
        <f aca="false">IF(C1294="","",C1294*IF(Settings!$B$22=Settings!$C$6,1,IF(Settings!$B$22="USD",1/INDEX(Settings!$B$29:$B$40,MONTH(A1294)),INDEX(Settings!$B$29:$B$40,MONTH(A1294)))))</f>
        <v/>
      </c>
    </row>
    <row r="1295" customFormat="false" ht="15" hidden="false" customHeight="false" outlineLevel="0" collapsed="false">
      <c r="H1295" s="0" t="str">
        <f aca="false">IF(B1295="","",IF(COUNTIF(Campaigns!$A$7:$A$300,B1295)&gt;0,"✓","⚠ add to Campaigns tab"))</f>
        <v/>
      </c>
      <c r="I1295" s="84" t="str">
        <f aca="false">IF(C1295="","",C1295*IF(Settings!$B$22=Settings!$C$6,1,IF(Settings!$B$22="USD",1/INDEX(Settings!$B$29:$B$40,MONTH(A1295)),INDEX(Settings!$B$29:$B$40,MONTH(A1295)))))</f>
        <v/>
      </c>
    </row>
    <row r="1296" customFormat="false" ht="15" hidden="false" customHeight="false" outlineLevel="0" collapsed="false">
      <c r="H1296" s="0" t="str">
        <f aca="false">IF(B1296="","",IF(COUNTIF(Campaigns!$A$7:$A$300,B1296)&gt;0,"✓","⚠ add to Campaigns tab"))</f>
        <v/>
      </c>
      <c r="I1296" s="84" t="str">
        <f aca="false">IF(C1296="","",C1296*IF(Settings!$B$22=Settings!$C$6,1,IF(Settings!$B$22="USD",1/INDEX(Settings!$B$29:$B$40,MONTH(A1296)),INDEX(Settings!$B$29:$B$40,MONTH(A1296)))))</f>
        <v/>
      </c>
    </row>
    <row r="1297" customFormat="false" ht="15" hidden="false" customHeight="false" outlineLevel="0" collapsed="false">
      <c r="H1297" s="0" t="str">
        <f aca="false">IF(B1297="","",IF(COUNTIF(Campaigns!$A$7:$A$300,B1297)&gt;0,"✓","⚠ add to Campaigns tab"))</f>
        <v/>
      </c>
      <c r="I1297" s="84" t="str">
        <f aca="false">IF(C1297="","",C1297*IF(Settings!$B$22=Settings!$C$6,1,IF(Settings!$B$22="USD",1/INDEX(Settings!$B$29:$B$40,MONTH(A1297)),INDEX(Settings!$B$29:$B$40,MONTH(A1297)))))</f>
        <v/>
      </c>
    </row>
    <row r="1298" customFormat="false" ht="15" hidden="false" customHeight="false" outlineLevel="0" collapsed="false">
      <c r="H1298" s="0" t="str">
        <f aca="false">IF(B1298="","",IF(COUNTIF(Campaigns!$A$7:$A$300,B1298)&gt;0,"✓","⚠ add to Campaigns tab"))</f>
        <v/>
      </c>
      <c r="I1298" s="84" t="str">
        <f aca="false">IF(C1298="","",C1298*IF(Settings!$B$22=Settings!$C$6,1,IF(Settings!$B$22="USD",1/INDEX(Settings!$B$29:$B$40,MONTH(A1298)),INDEX(Settings!$B$29:$B$40,MONTH(A1298)))))</f>
        <v/>
      </c>
    </row>
    <row r="1299" customFormat="false" ht="15" hidden="false" customHeight="false" outlineLevel="0" collapsed="false">
      <c r="H1299" s="0" t="str">
        <f aca="false">IF(B1299="","",IF(COUNTIF(Campaigns!$A$7:$A$300,B1299)&gt;0,"✓","⚠ add to Campaigns tab"))</f>
        <v/>
      </c>
      <c r="I1299" s="84" t="str">
        <f aca="false">IF(C1299="","",C1299*IF(Settings!$B$22=Settings!$C$6,1,IF(Settings!$B$22="USD",1/INDEX(Settings!$B$29:$B$40,MONTH(A1299)),INDEX(Settings!$B$29:$B$40,MONTH(A1299)))))</f>
        <v/>
      </c>
    </row>
    <row r="1300" customFormat="false" ht="15" hidden="false" customHeight="false" outlineLevel="0" collapsed="false">
      <c r="H1300" s="0" t="str">
        <f aca="false">IF(B1300="","",IF(COUNTIF(Campaigns!$A$7:$A$300,B1300)&gt;0,"✓","⚠ add to Campaigns tab"))</f>
        <v/>
      </c>
      <c r="I1300" s="84" t="str">
        <f aca="false">IF(C1300="","",C1300*IF(Settings!$B$22=Settings!$C$6,1,IF(Settings!$B$22="USD",1/INDEX(Settings!$B$29:$B$40,MONTH(A1300)),INDEX(Settings!$B$29:$B$40,MONTH(A1300)))))</f>
        <v/>
      </c>
    </row>
    <row r="1301" customFormat="false" ht="15" hidden="false" customHeight="false" outlineLevel="0" collapsed="false">
      <c r="H1301" s="0" t="str">
        <f aca="false">IF(B1301="","",IF(COUNTIF(Campaigns!$A$7:$A$300,B1301)&gt;0,"✓","⚠ add to Campaigns tab"))</f>
        <v/>
      </c>
      <c r="I1301" s="84" t="str">
        <f aca="false">IF(C1301="","",C1301*IF(Settings!$B$22=Settings!$C$6,1,IF(Settings!$B$22="USD",1/INDEX(Settings!$B$29:$B$40,MONTH(A1301)),INDEX(Settings!$B$29:$B$40,MONTH(A1301)))))</f>
        <v/>
      </c>
    </row>
    <row r="1302" customFormat="false" ht="15" hidden="false" customHeight="false" outlineLevel="0" collapsed="false">
      <c r="H1302" s="0" t="str">
        <f aca="false">IF(B1302="","",IF(COUNTIF(Campaigns!$A$7:$A$300,B1302)&gt;0,"✓","⚠ add to Campaigns tab"))</f>
        <v/>
      </c>
      <c r="I1302" s="84" t="str">
        <f aca="false">IF(C1302="","",C1302*IF(Settings!$B$22=Settings!$C$6,1,IF(Settings!$B$22="USD",1/INDEX(Settings!$B$29:$B$40,MONTH(A1302)),INDEX(Settings!$B$29:$B$40,MONTH(A1302)))))</f>
        <v/>
      </c>
    </row>
    <row r="1303" customFormat="false" ht="15" hidden="false" customHeight="false" outlineLevel="0" collapsed="false">
      <c r="H1303" s="0" t="str">
        <f aca="false">IF(B1303="","",IF(COUNTIF(Campaigns!$A$7:$A$300,B1303)&gt;0,"✓","⚠ add to Campaigns tab"))</f>
        <v/>
      </c>
      <c r="I1303" s="84" t="str">
        <f aca="false">IF(C1303="","",C1303*IF(Settings!$B$22=Settings!$C$6,1,IF(Settings!$B$22="USD",1/INDEX(Settings!$B$29:$B$40,MONTH(A1303)),INDEX(Settings!$B$29:$B$40,MONTH(A1303)))))</f>
        <v/>
      </c>
    </row>
    <row r="1304" customFormat="false" ht="15" hidden="false" customHeight="false" outlineLevel="0" collapsed="false">
      <c r="H1304" s="0" t="str">
        <f aca="false">IF(B1304="","",IF(COUNTIF(Campaigns!$A$7:$A$300,B1304)&gt;0,"✓","⚠ add to Campaigns tab"))</f>
        <v/>
      </c>
      <c r="I1304" s="84" t="str">
        <f aca="false">IF(C1304="","",C1304*IF(Settings!$B$22=Settings!$C$6,1,IF(Settings!$B$22="USD",1/INDEX(Settings!$B$29:$B$40,MONTH(A1304)),INDEX(Settings!$B$29:$B$40,MONTH(A1304)))))</f>
        <v/>
      </c>
    </row>
    <row r="1305" customFormat="false" ht="15" hidden="false" customHeight="false" outlineLevel="0" collapsed="false">
      <c r="H1305" s="0" t="str">
        <f aca="false">IF(B1305="","",IF(COUNTIF(Campaigns!$A$7:$A$300,B1305)&gt;0,"✓","⚠ add to Campaigns tab"))</f>
        <v/>
      </c>
      <c r="I1305" s="84" t="str">
        <f aca="false">IF(C1305="","",C1305*IF(Settings!$B$22=Settings!$C$6,1,IF(Settings!$B$22="USD",1/INDEX(Settings!$B$29:$B$40,MONTH(A1305)),INDEX(Settings!$B$29:$B$40,MONTH(A1305)))))</f>
        <v/>
      </c>
    </row>
    <row r="1306" customFormat="false" ht="15" hidden="false" customHeight="false" outlineLevel="0" collapsed="false">
      <c r="H1306" s="0" t="str">
        <f aca="false">IF(B1306="","",IF(COUNTIF(Campaigns!$A$7:$A$300,B1306)&gt;0,"✓","⚠ add to Campaigns tab"))</f>
        <v/>
      </c>
      <c r="I1306" s="84" t="str">
        <f aca="false">IF(C1306="","",C1306*IF(Settings!$B$22=Settings!$C$6,1,IF(Settings!$B$22="USD",1/INDEX(Settings!$B$29:$B$40,MONTH(A1306)),INDEX(Settings!$B$29:$B$40,MONTH(A1306)))))</f>
        <v/>
      </c>
    </row>
    <row r="1307" customFormat="false" ht="15" hidden="false" customHeight="false" outlineLevel="0" collapsed="false">
      <c r="H1307" s="0" t="str">
        <f aca="false">IF(B1307="","",IF(COUNTIF(Campaigns!$A$7:$A$300,B1307)&gt;0,"✓","⚠ add to Campaigns tab"))</f>
        <v/>
      </c>
      <c r="I1307" s="84" t="str">
        <f aca="false">IF(C1307="","",C1307*IF(Settings!$B$22=Settings!$C$6,1,IF(Settings!$B$22="USD",1/INDEX(Settings!$B$29:$B$40,MONTH(A1307)),INDEX(Settings!$B$29:$B$40,MONTH(A1307)))))</f>
        <v/>
      </c>
    </row>
    <row r="1308" customFormat="false" ht="15" hidden="false" customHeight="false" outlineLevel="0" collapsed="false">
      <c r="H1308" s="0" t="str">
        <f aca="false">IF(B1308="","",IF(COUNTIF(Campaigns!$A$7:$A$300,B1308)&gt;0,"✓","⚠ add to Campaigns tab"))</f>
        <v/>
      </c>
      <c r="I1308" s="84" t="str">
        <f aca="false">IF(C1308="","",C1308*IF(Settings!$B$22=Settings!$C$6,1,IF(Settings!$B$22="USD",1/INDEX(Settings!$B$29:$B$40,MONTH(A1308)),INDEX(Settings!$B$29:$B$40,MONTH(A1308)))))</f>
        <v/>
      </c>
    </row>
    <row r="1309" customFormat="false" ht="15" hidden="false" customHeight="false" outlineLevel="0" collapsed="false">
      <c r="H1309" s="0" t="str">
        <f aca="false">IF(B1309="","",IF(COUNTIF(Campaigns!$A$7:$A$300,B1309)&gt;0,"✓","⚠ add to Campaigns tab"))</f>
        <v/>
      </c>
      <c r="I1309" s="84" t="str">
        <f aca="false">IF(C1309="","",C1309*IF(Settings!$B$22=Settings!$C$6,1,IF(Settings!$B$22="USD",1/INDEX(Settings!$B$29:$B$40,MONTH(A1309)),INDEX(Settings!$B$29:$B$40,MONTH(A1309)))))</f>
        <v/>
      </c>
    </row>
    <row r="1310" customFormat="false" ht="15" hidden="false" customHeight="false" outlineLevel="0" collapsed="false">
      <c r="H1310" s="0" t="str">
        <f aca="false">IF(B1310="","",IF(COUNTIF(Campaigns!$A$7:$A$300,B1310)&gt;0,"✓","⚠ add to Campaigns tab"))</f>
        <v/>
      </c>
      <c r="I1310" s="84" t="str">
        <f aca="false">IF(C1310="","",C1310*IF(Settings!$B$22=Settings!$C$6,1,IF(Settings!$B$22="USD",1/INDEX(Settings!$B$29:$B$40,MONTH(A1310)),INDEX(Settings!$B$29:$B$40,MONTH(A1310)))))</f>
        <v/>
      </c>
    </row>
    <row r="1311" customFormat="false" ht="15" hidden="false" customHeight="false" outlineLevel="0" collapsed="false">
      <c r="H1311" s="0" t="str">
        <f aca="false">IF(B1311="","",IF(COUNTIF(Campaigns!$A$7:$A$300,B1311)&gt;0,"✓","⚠ add to Campaigns tab"))</f>
        <v/>
      </c>
      <c r="I1311" s="84" t="str">
        <f aca="false">IF(C1311="","",C1311*IF(Settings!$B$22=Settings!$C$6,1,IF(Settings!$B$22="USD",1/INDEX(Settings!$B$29:$B$40,MONTH(A1311)),INDEX(Settings!$B$29:$B$40,MONTH(A1311)))))</f>
        <v/>
      </c>
    </row>
    <row r="1312" customFormat="false" ht="15" hidden="false" customHeight="false" outlineLevel="0" collapsed="false">
      <c r="H1312" s="0" t="str">
        <f aca="false">IF(B1312="","",IF(COUNTIF(Campaigns!$A$7:$A$300,B1312)&gt;0,"✓","⚠ add to Campaigns tab"))</f>
        <v/>
      </c>
      <c r="I1312" s="84" t="str">
        <f aca="false">IF(C1312="","",C1312*IF(Settings!$B$22=Settings!$C$6,1,IF(Settings!$B$22="USD",1/INDEX(Settings!$B$29:$B$40,MONTH(A1312)),INDEX(Settings!$B$29:$B$40,MONTH(A1312)))))</f>
        <v/>
      </c>
    </row>
    <row r="1313" customFormat="false" ht="15" hidden="false" customHeight="false" outlineLevel="0" collapsed="false">
      <c r="H1313" s="0" t="str">
        <f aca="false">IF(B1313="","",IF(COUNTIF(Campaigns!$A$7:$A$300,B1313)&gt;0,"✓","⚠ add to Campaigns tab"))</f>
        <v/>
      </c>
      <c r="I1313" s="84" t="str">
        <f aca="false">IF(C1313="","",C1313*IF(Settings!$B$22=Settings!$C$6,1,IF(Settings!$B$22="USD",1/INDEX(Settings!$B$29:$B$40,MONTH(A1313)),INDEX(Settings!$B$29:$B$40,MONTH(A1313)))))</f>
        <v/>
      </c>
    </row>
    <row r="1314" customFormat="false" ht="15" hidden="false" customHeight="false" outlineLevel="0" collapsed="false">
      <c r="H1314" s="0" t="str">
        <f aca="false">IF(B1314="","",IF(COUNTIF(Campaigns!$A$7:$A$300,B1314)&gt;0,"✓","⚠ add to Campaigns tab"))</f>
        <v/>
      </c>
      <c r="I1314" s="84" t="str">
        <f aca="false">IF(C1314="","",C1314*IF(Settings!$B$22=Settings!$C$6,1,IF(Settings!$B$22="USD",1/INDEX(Settings!$B$29:$B$40,MONTH(A1314)),INDEX(Settings!$B$29:$B$40,MONTH(A1314)))))</f>
        <v/>
      </c>
    </row>
    <row r="1315" customFormat="false" ht="15" hidden="false" customHeight="false" outlineLevel="0" collapsed="false">
      <c r="H1315" s="0" t="str">
        <f aca="false">IF(B1315="","",IF(COUNTIF(Campaigns!$A$7:$A$300,B1315)&gt;0,"✓","⚠ add to Campaigns tab"))</f>
        <v/>
      </c>
      <c r="I1315" s="84" t="str">
        <f aca="false">IF(C1315="","",C1315*IF(Settings!$B$22=Settings!$C$6,1,IF(Settings!$B$22="USD",1/INDEX(Settings!$B$29:$B$40,MONTH(A1315)),INDEX(Settings!$B$29:$B$40,MONTH(A1315)))))</f>
        <v/>
      </c>
    </row>
    <row r="1316" customFormat="false" ht="15" hidden="false" customHeight="false" outlineLevel="0" collapsed="false">
      <c r="H1316" s="0" t="str">
        <f aca="false">IF(B1316="","",IF(COUNTIF(Campaigns!$A$7:$A$300,B1316)&gt;0,"✓","⚠ add to Campaigns tab"))</f>
        <v/>
      </c>
      <c r="I1316" s="84" t="str">
        <f aca="false">IF(C1316="","",C1316*IF(Settings!$B$22=Settings!$C$6,1,IF(Settings!$B$22="USD",1/INDEX(Settings!$B$29:$B$40,MONTH(A1316)),INDEX(Settings!$B$29:$B$40,MONTH(A1316)))))</f>
        <v/>
      </c>
    </row>
    <row r="1317" customFormat="false" ht="15" hidden="false" customHeight="false" outlineLevel="0" collapsed="false">
      <c r="H1317" s="0" t="str">
        <f aca="false">IF(B1317="","",IF(COUNTIF(Campaigns!$A$7:$A$300,B1317)&gt;0,"✓","⚠ add to Campaigns tab"))</f>
        <v/>
      </c>
      <c r="I1317" s="84" t="str">
        <f aca="false">IF(C1317="","",C1317*IF(Settings!$B$22=Settings!$C$6,1,IF(Settings!$B$22="USD",1/INDEX(Settings!$B$29:$B$40,MONTH(A1317)),INDEX(Settings!$B$29:$B$40,MONTH(A1317)))))</f>
        <v/>
      </c>
    </row>
    <row r="1318" customFormat="false" ht="15" hidden="false" customHeight="false" outlineLevel="0" collapsed="false">
      <c r="H1318" s="0" t="str">
        <f aca="false">IF(B1318="","",IF(COUNTIF(Campaigns!$A$7:$A$300,B1318)&gt;0,"✓","⚠ add to Campaigns tab"))</f>
        <v/>
      </c>
      <c r="I1318" s="84" t="str">
        <f aca="false">IF(C1318="","",C1318*IF(Settings!$B$22=Settings!$C$6,1,IF(Settings!$B$22="USD",1/INDEX(Settings!$B$29:$B$40,MONTH(A1318)),INDEX(Settings!$B$29:$B$40,MONTH(A1318)))))</f>
        <v/>
      </c>
    </row>
    <row r="1319" customFormat="false" ht="15" hidden="false" customHeight="false" outlineLevel="0" collapsed="false">
      <c r="H1319" s="0" t="str">
        <f aca="false">IF(B1319="","",IF(COUNTIF(Campaigns!$A$7:$A$300,B1319)&gt;0,"✓","⚠ add to Campaigns tab"))</f>
        <v/>
      </c>
      <c r="I1319" s="84" t="str">
        <f aca="false">IF(C1319="","",C1319*IF(Settings!$B$22=Settings!$C$6,1,IF(Settings!$B$22="USD",1/INDEX(Settings!$B$29:$B$40,MONTH(A1319)),INDEX(Settings!$B$29:$B$40,MONTH(A1319)))))</f>
        <v/>
      </c>
    </row>
    <row r="1320" customFormat="false" ht="15" hidden="false" customHeight="false" outlineLevel="0" collapsed="false">
      <c r="H1320" s="0" t="str">
        <f aca="false">IF(B1320="","",IF(COUNTIF(Campaigns!$A$7:$A$300,B1320)&gt;0,"✓","⚠ add to Campaigns tab"))</f>
        <v/>
      </c>
      <c r="I1320" s="84" t="str">
        <f aca="false">IF(C1320="","",C1320*IF(Settings!$B$22=Settings!$C$6,1,IF(Settings!$B$22="USD",1/INDEX(Settings!$B$29:$B$40,MONTH(A1320)),INDEX(Settings!$B$29:$B$40,MONTH(A1320)))))</f>
        <v/>
      </c>
    </row>
    <row r="1321" customFormat="false" ht="15" hidden="false" customHeight="false" outlineLevel="0" collapsed="false">
      <c r="H1321" s="0" t="str">
        <f aca="false">IF(B1321="","",IF(COUNTIF(Campaigns!$A$7:$A$300,B1321)&gt;0,"✓","⚠ add to Campaigns tab"))</f>
        <v/>
      </c>
      <c r="I1321" s="84" t="str">
        <f aca="false">IF(C1321="","",C1321*IF(Settings!$B$22=Settings!$C$6,1,IF(Settings!$B$22="USD",1/INDEX(Settings!$B$29:$B$40,MONTH(A1321)),INDEX(Settings!$B$29:$B$40,MONTH(A1321)))))</f>
        <v/>
      </c>
    </row>
    <row r="1322" customFormat="false" ht="15" hidden="false" customHeight="false" outlineLevel="0" collapsed="false">
      <c r="H1322" s="0" t="str">
        <f aca="false">IF(B1322="","",IF(COUNTIF(Campaigns!$A$7:$A$300,B1322)&gt;0,"✓","⚠ add to Campaigns tab"))</f>
        <v/>
      </c>
      <c r="I1322" s="84" t="str">
        <f aca="false">IF(C1322="","",C1322*IF(Settings!$B$22=Settings!$C$6,1,IF(Settings!$B$22="USD",1/INDEX(Settings!$B$29:$B$40,MONTH(A1322)),INDEX(Settings!$B$29:$B$40,MONTH(A1322)))))</f>
        <v/>
      </c>
    </row>
    <row r="1323" customFormat="false" ht="15" hidden="false" customHeight="false" outlineLevel="0" collapsed="false">
      <c r="H1323" s="0" t="str">
        <f aca="false">IF(B1323="","",IF(COUNTIF(Campaigns!$A$7:$A$300,B1323)&gt;0,"✓","⚠ add to Campaigns tab"))</f>
        <v/>
      </c>
      <c r="I1323" s="84" t="str">
        <f aca="false">IF(C1323="","",C1323*IF(Settings!$B$22=Settings!$C$6,1,IF(Settings!$B$22="USD",1/INDEX(Settings!$B$29:$B$40,MONTH(A1323)),INDEX(Settings!$B$29:$B$40,MONTH(A1323)))))</f>
        <v/>
      </c>
    </row>
    <row r="1324" customFormat="false" ht="15" hidden="false" customHeight="false" outlineLevel="0" collapsed="false">
      <c r="H1324" s="0" t="str">
        <f aca="false">IF(B1324="","",IF(COUNTIF(Campaigns!$A$7:$A$300,B1324)&gt;0,"✓","⚠ add to Campaigns tab"))</f>
        <v/>
      </c>
      <c r="I1324" s="84" t="str">
        <f aca="false">IF(C1324="","",C1324*IF(Settings!$B$22=Settings!$C$6,1,IF(Settings!$B$22="USD",1/INDEX(Settings!$B$29:$B$40,MONTH(A1324)),INDEX(Settings!$B$29:$B$40,MONTH(A1324)))))</f>
        <v/>
      </c>
    </row>
    <row r="1325" customFormat="false" ht="15" hidden="false" customHeight="false" outlineLevel="0" collapsed="false">
      <c r="H1325" s="0" t="str">
        <f aca="false">IF(B1325="","",IF(COUNTIF(Campaigns!$A$7:$A$300,B1325)&gt;0,"✓","⚠ add to Campaigns tab"))</f>
        <v/>
      </c>
      <c r="I1325" s="84" t="str">
        <f aca="false">IF(C1325="","",C1325*IF(Settings!$B$22=Settings!$C$6,1,IF(Settings!$B$22="USD",1/INDEX(Settings!$B$29:$B$40,MONTH(A1325)),INDEX(Settings!$B$29:$B$40,MONTH(A1325)))))</f>
        <v/>
      </c>
    </row>
    <row r="1326" customFormat="false" ht="15" hidden="false" customHeight="false" outlineLevel="0" collapsed="false">
      <c r="H1326" s="0" t="str">
        <f aca="false">IF(B1326="","",IF(COUNTIF(Campaigns!$A$7:$A$300,B1326)&gt;0,"✓","⚠ add to Campaigns tab"))</f>
        <v/>
      </c>
      <c r="I1326" s="84" t="str">
        <f aca="false">IF(C1326="","",C1326*IF(Settings!$B$22=Settings!$C$6,1,IF(Settings!$B$22="USD",1/INDEX(Settings!$B$29:$B$40,MONTH(A1326)),INDEX(Settings!$B$29:$B$40,MONTH(A1326)))))</f>
        <v/>
      </c>
    </row>
    <row r="1327" customFormat="false" ht="15" hidden="false" customHeight="false" outlineLevel="0" collapsed="false">
      <c r="H1327" s="0" t="str">
        <f aca="false">IF(B1327="","",IF(COUNTIF(Campaigns!$A$7:$A$300,B1327)&gt;0,"✓","⚠ add to Campaigns tab"))</f>
        <v/>
      </c>
      <c r="I1327" s="84" t="str">
        <f aca="false">IF(C1327="","",C1327*IF(Settings!$B$22=Settings!$C$6,1,IF(Settings!$B$22="USD",1/INDEX(Settings!$B$29:$B$40,MONTH(A1327)),INDEX(Settings!$B$29:$B$40,MONTH(A1327)))))</f>
        <v/>
      </c>
    </row>
    <row r="1328" customFormat="false" ht="15" hidden="false" customHeight="false" outlineLevel="0" collapsed="false">
      <c r="H1328" s="0" t="str">
        <f aca="false">IF(B1328="","",IF(COUNTIF(Campaigns!$A$7:$A$300,B1328)&gt;0,"✓","⚠ add to Campaigns tab"))</f>
        <v/>
      </c>
      <c r="I1328" s="84" t="str">
        <f aca="false">IF(C1328="","",C1328*IF(Settings!$B$22=Settings!$C$6,1,IF(Settings!$B$22="USD",1/INDEX(Settings!$B$29:$B$40,MONTH(A1328)),INDEX(Settings!$B$29:$B$40,MONTH(A1328)))))</f>
        <v/>
      </c>
    </row>
    <row r="1329" customFormat="false" ht="15" hidden="false" customHeight="false" outlineLevel="0" collapsed="false">
      <c r="H1329" s="0" t="str">
        <f aca="false">IF(B1329="","",IF(COUNTIF(Campaigns!$A$7:$A$300,B1329)&gt;0,"✓","⚠ add to Campaigns tab"))</f>
        <v/>
      </c>
      <c r="I1329" s="84" t="str">
        <f aca="false">IF(C1329="","",C1329*IF(Settings!$B$22=Settings!$C$6,1,IF(Settings!$B$22="USD",1/INDEX(Settings!$B$29:$B$40,MONTH(A1329)),INDEX(Settings!$B$29:$B$40,MONTH(A1329)))))</f>
        <v/>
      </c>
    </row>
    <row r="1330" customFormat="false" ht="15" hidden="false" customHeight="false" outlineLevel="0" collapsed="false">
      <c r="H1330" s="0" t="str">
        <f aca="false">IF(B1330="","",IF(COUNTIF(Campaigns!$A$7:$A$300,B1330)&gt;0,"✓","⚠ add to Campaigns tab"))</f>
        <v/>
      </c>
      <c r="I1330" s="84" t="str">
        <f aca="false">IF(C1330="","",C1330*IF(Settings!$B$22=Settings!$C$6,1,IF(Settings!$B$22="USD",1/INDEX(Settings!$B$29:$B$40,MONTH(A1330)),INDEX(Settings!$B$29:$B$40,MONTH(A1330)))))</f>
        <v/>
      </c>
    </row>
    <row r="1331" customFormat="false" ht="15" hidden="false" customHeight="false" outlineLevel="0" collapsed="false">
      <c r="H1331" s="0" t="str">
        <f aca="false">IF(B1331="","",IF(COUNTIF(Campaigns!$A$7:$A$300,B1331)&gt;0,"✓","⚠ add to Campaigns tab"))</f>
        <v/>
      </c>
      <c r="I1331" s="84" t="str">
        <f aca="false">IF(C1331="","",C1331*IF(Settings!$B$22=Settings!$C$6,1,IF(Settings!$B$22="USD",1/INDEX(Settings!$B$29:$B$40,MONTH(A1331)),INDEX(Settings!$B$29:$B$40,MONTH(A1331)))))</f>
        <v/>
      </c>
    </row>
    <row r="1332" customFormat="false" ht="15" hidden="false" customHeight="false" outlineLevel="0" collapsed="false">
      <c r="H1332" s="0" t="str">
        <f aca="false">IF(B1332="","",IF(COUNTIF(Campaigns!$A$7:$A$300,B1332)&gt;0,"✓","⚠ add to Campaigns tab"))</f>
        <v/>
      </c>
      <c r="I1332" s="84" t="str">
        <f aca="false">IF(C1332="","",C1332*IF(Settings!$B$22=Settings!$C$6,1,IF(Settings!$B$22="USD",1/INDEX(Settings!$B$29:$B$40,MONTH(A1332)),INDEX(Settings!$B$29:$B$40,MONTH(A1332)))))</f>
        <v/>
      </c>
    </row>
    <row r="1333" customFormat="false" ht="15" hidden="false" customHeight="false" outlineLevel="0" collapsed="false">
      <c r="H1333" s="0" t="str">
        <f aca="false">IF(B1333="","",IF(COUNTIF(Campaigns!$A$7:$A$300,B1333)&gt;0,"✓","⚠ add to Campaigns tab"))</f>
        <v/>
      </c>
      <c r="I1333" s="84" t="str">
        <f aca="false">IF(C1333="","",C1333*IF(Settings!$B$22=Settings!$C$6,1,IF(Settings!$B$22="USD",1/INDEX(Settings!$B$29:$B$40,MONTH(A1333)),INDEX(Settings!$B$29:$B$40,MONTH(A1333)))))</f>
        <v/>
      </c>
    </row>
    <row r="1334" customFormat="false" ht="15" hidden="false" customHeight="false" outlineLevel="0" collapsed="false">
      <c r="H1334" s="0" t="str">
        <f aca="false">IF(B1334="","",IF(COUNTIF(Campaigns!$A$7:$A$300,B1334)&gt;0,"✓","⚠ add to Campaigns tab"))</f>
        <v/>
      </c>
      <c r="I1334" s="84" t="str">
        <f aca="false">IF(C1334="","",C1334*IF(Settings!$B$22=Settings!$C$6,1,IF(Settings!$B$22="USD",1/INDEX(Settings!$B$29:$B$40,MONTH(A1334)),INDEX(Settings!$B$29:$B$40,MONTH(A1334)))))</f>
        <v/>
      </c>
    </row>
    <row r="1335" customFormat="false" ht="15" hidden="false" customHeight="false" outlineLevel="0" collapsed="false">
      <c r="H1335" s="0" t="str">
        <f aca="false">IF(B1335="","",IF(COUNTIF(Campaigns!$A$7:$A$300,B1335)&gt;0,"✓","⚠ add to Campaigns tab"))</f>
        <v/>
      </c>
      <c r="I1335" s="84" t="str">
        <f aca="false">IF(C1335="","",C1335*IF(Settings!$B$22=Settings!$C$6,1,IF(Settings!$B$22="USD",1/INDEX(Settings!$B$29:$B$40,MONTH(A1335)),INDEX(Settings!$B$29:$B$40,MONTH(A1335)))))</f>
        <v/>
      </c>
    </row>
    <row r="1336" customFormat="false" ht="15" hidden="false" customHeight="false" outlineLevel="0" collapsed="false">
      <c r="H1336" s="0" t="str">
        <f aca="false">IF(B1336="","",IF(COUNTIF(Campaigns!$A$7:$A$300,B1336)&gt;0,"✓","⚠ add to Campaigns tab"))</f>
        <v/>
      </c>
      <c r="I1336" s="84" t="str">
        <f aca="false">IF(C1336="","",C1336*IF(Settings!$B$22=Settings!$C$6,1,IF(Settings!$B$22="USD",1/INDEX(Settings!$B$29:$B$40,MONTH(A1336)),INDEX(Settings!$B$29:$B$40,MONTH(A1336)))))</f>
        <v/>
      </c>
    </row>
    <row r="1337" customFormat="false" ht="15" hidden="false" customHeight="false" outlineLevel="0" collapsed="false">
      <c r="H1337" s="0" t="str">
        <f aca="false">IF(B1337="","",IF(COUNTIF(Campaigns!$A$7:$A$300,B1337)&gt;0,"✓","⚠ add to Campaigns tab"))</f>
        <v/>
      </c>
      <c r="I1337" s="84" t="str">
        <f aca="false">IF(C1337="","",C1337*IF(Settings!$B$22=Settings!$C$6,1,IF(Settings!$B$22="USD",1/INDEX(Settings!$B$29:$B$40,MONTH(A1337)),INDEX(Settings!$B$29:$B$40,MONTH(A1337)))))</f>
        <v/>
      </c>
    </row>
    <row r="1338" customFormat="false" ht="15" hidden="false" customHeight="false" outlineLevel="0" collapsed="false">
      <c r="H1338" s="0" t="str">
        <f aca="false">IF(B1338="","",IF(COUNTIF(Campaigns!$A$7:$A$300,B1338)&gt;0,"✓","⚠ add to Campaigns tab"))</f>
        <v/>
      </c>
      <c r="I1338" s="84" t="str">
        <f aca="false">IF(C1338="","",C1338*IF(Settings!$B$22=Settings!$C$6,1,IF(Settings!$B$22="USD",1/INDEX(Settings!$B$29:$B$40,MONTH(A1338)),INDEX(Settings!$B$29:$B$40,MONTH(A1338)))))</f>
        <v/>
      </c>
    </row>
    <row r="1339" customFormat="false" ht="15" hidden="false" customHeight="false" outlineLevel="0" collapsed="false">
      <c r="H1339" s="0" t="str">
        <f aca="false">IF(B1339="","",IF(COUNTIF(Campaigns!$A$7:$A$300,B1339)&gt;0,"✓","⚠ add to Campaigns tab"))</f>
        <v/>
      </c>
      <c r="I1339" s="84" t="str">
        <f aca="false">IF(C1339="","",C1339*IF(Settings!$B$22=Settings!$C$6,1,IF(Settings!$B$22="USD",1/INDEX(Settings!$B$29:$B$40,MONTH(A1339)),INDEX(Settings!$B$29:$B$40,MONTH(A1339)))))</f>
        <v/>
      </c>
    </row>
    <row r="1340" customFormat="false" ht="15" hidden="false" customHeight="false" outlineLevel="0" collapsed="false">
      <c r="H1340" s="0" t="str">
        <f aca="false">IF(B1340="","",IF(COUNTIF(Campaigns!$A$7:$A$300,B1340)&gt;0,"✓","⚠ add to Campaigns tab"))</f>
        <v/>
      </c>
      <c r="I1340" s="84" t="str">
        <f aca="false">IF(C1340="","",C1340*IF(Settings!$B$22=Settings!$C$6,1,IF(Settings!$B$22="USD",1/INDEX(Settings!$B$29:$B$40,MONTH(A1340)),INDEX(Settings!$B$29:$B$40,MONTH(A1340)))))</f>
        <v/>
      </c>
    </row>
    <row r="1341" customFormat="false" ht="15" hidden="false" customHeight="false" outlineLevel="0" collapsed="false">
      <c r="H1341" s="0" t="str">
        <f aca="false">IF(B1341="","",IF(COUNTIF(Campaigns!$A$7:$A$300,B1341)&gt;0,"✓","⚠ add to Campaigns tab"))</f>
        <v/>
      </c>
      <c r="I1341" s="84" t="str">
        <f aca="false">IF(C1341="","",C1341*IF(Settings!$B$22=Settings!$C$6,1,IF(Settings!$B$22="USD",1/INDEX(Settings!$B$29:$B$40,MONTH(A1341)),INDEX(Settings!$B$29:$B$40,MONTH(A1341)))))</f>
        <v/>
      </c>
    </row>
    <row r="1342" customFormat="false" ht="15" hidden="false" customHeight="false" outlineLevel="0" collapsed="false">
      <c r="H1342" s="0" t="str">
        <f aca="false">IF(B1342="","",IF(COUNTIF(Campaigns!$A$7:$A$300,B1342)&gt;0,"✓","⚠ add to Campaigns tab"))</f>
        <v/>
      </c>
      <c r="I1342" s="84" t="str">
        <f aca="false">IF(C1342="","",C1342*IF(Settings!$B$22=Settings!$C$6,1,IF(Settings!$B$22="USD",1/INDEX(Settings!$B$29:$B$40,MONTH(A1342)),INDEX(Settings!$B$29:$B$40,MONTH(A1342)))))</f>
        <v/>
      </c>
    </row>
    <row r="1343" customFormat="false" ht="15" hidden="false" customHeight="false" outlineLevel="0" collapsed="false">
      <c r="H1343" s="0" t="str">
        <f aca="false">IF(B1343="","",IF(COUNTIF(Campaigns!$A$7:$A$300,B1343)&gt;0,"✓","⚠ add to Campaigns tab"))</f>
        <v/>
      </c>
      <c r="I1343" s="84" t="str">
        <f aca="false">IF(C1343="","",C1343*IF(Settings!$B$22=Settings!$C$6,1,IF(Settings!$B$22="USD",1/INDEX(Settings!$B$29:$B$40,MONTH(A1343)),INDEX(Settings!$B$29:$B$40,MONTH(A1343)))))</f>
        <v/>
      </c>
    </row>
    <row r="1344" customFormat="false" ht="15" hidden="false" customHeight="false" outlineLevel="0" collapsed="false">
      <c r="H1344" s="0" t="str">
        <f aca="false">IF(B1344="","",IF(COUNTIF(Campaigns!$A$7:$A$300,B1344)&gt;0,"✓","⚠ add to Campaigns tab"))</f>
        <v/>
      </c>
      <c r="I1344" s="84" t="str">
        <f aca="false">IF(C1344="","",C1344*IF(Settings!$B$22=Settings!$C$6,1,IF(Settings!$B$22="USD",1/INDEX(Settings!$B$29:$B$40,MONTH(A1344)),INDEX(Settings!$B$29:$B$40,MONTH(A1344)))))</f>
        <v/>
      </c>
    </row>
    <row r="1345" customFormat="false" ht="15" hidden="false" customHeight="false" outlineLevel="0" collapsed="false">
      <c r="H1345" s="0" t="str">
        <f aca="false">IF(B1345="","",IF(COUNTIF(Campaigns!$A$7:$A$300,B1345)&gt;0,"✓","⚠ add to Campaigns tab"))</f>
        <v/>
      </c>
      <c r="I1345" s="84" t="str">
        <f aca="false">IF(C1345="","",C1345*IF(Settings!$B$22=Settings!$C$6,1,IF(Settings!$B$22="USD",1/INDEX(Settings!$B$29:$B$40,MONTH(A1345)),INDEX(Settings!$B$29:$B$40,MONTH(A1345)))))</f>
        <v/>
      </c>
    </row>
    <row r="1346" customFormat="false" ht="15" hidden="false" customHeight="false" outlineLevel="0" collapsed="false">
      <c r="H1346" s="0" t="str">
        <f aca="false">IF(B1346="","",IF(COUNTIF(Campaigns!$A$7:$A$300,B1346)&gt;0,"✓","⚠ add to Campaigns tab"))</f>
        <v/>
      </c>
      <c r="I1346" s="84" t="str">
        <f aca="false">IF(C1346="","",C1346*IF(Settings!$B$22=Settings!$C$6,1,IF(Settings!$B$22="USD",1/INDEX(Settings!$B$29:$B$40,MONTH(A1346)),INDEX(Settings!$B$29:$B$40,MONTH(A1346)))))</f>
        <v/>
      </c>
    </row>
    <row r="1347" customFormat="false" ht="15" hidden="false" customHeight="false" outlineLevel="0" collapsed="false">
      <c r="H1347" s="0" t="str">
        <f aca="false">IF(B1347="","",IF(COUNTIF(Campaigns!$A$7:$A$300,B1347)&gt;0,"✓","⚠ add to Campaigns tab"))</f>
        <v/>
      </c>
      <c r="I1347" s="84" t="str">
        <f aca="false">IF(C1347="","",C1347*IF(Settings!$B$22=Settings!$C$6,1,IF(Settings!$B$22="USD",1/INDEX(Settings!$B$29:$B$40,MONTH(A1347)),INDEX(Settings!$B$29:$B$40,MONTH(A1347)))))</f>
        <v/>
      </c>
    </row>
    <row r="1348" customFormat="false" ht="15" hidden="false" customHeight="false" outlineLevel="0" collapsed="false">
      <c r="H1348" s="0" t="str">
        <f aca="false">IF(B1348="","",IF(COUNTIF(Campaigns!$A$7:$A$300,B1348)&gt;0,"✓","⚠ add to Campaigns tab"))</f>
        <v/>
      </c>
      <c r="I1348" s="84" t="str">
        <f aca="false">IF(C1348="","",C1348*IF(Settings!$B$22=Settings!$C$6,1,IF(Settings!$B$22="USD",1/INDEX(Settings!$B$29:$B$40,MONTH(A1348)),INDEX(Settings!$B$29:$B$40,MONTH(A1348)))))</f>
        <v/>
      </c>
    </row>
    <row r="1349" customFormat="false" ht="15" hidden="false" customHeight="false" outlineLevel="0" collapsed="false">
      <c r="H1349" s="0" t="str">
        <f aca="false">IF(B1349="","",IF(COUNTIF(Campaigns!$A$7:$A$300,B1349)&gt;0,"✓","⚠ add to Campaigns tab"))</f>
        <v/>
      </c>
      <c r="I1349" s="84" t="str">
        <f aca="false">IF(C1349="","",C1349*IF(Settings!$B$22=Settings!$C$6,1,IF(Settings!$B$22="USD",1/INDEX(Settings!$B$29:$B$40,MONTH(A1349)),INDEX(Settings!$B$29:$B$40,MONTH(A1349)))))</f>
        <v/>
      </c>
    </row>
    <row r="1350" customFormat="false" ht="15" hidden="false" customHeight="false" outlineLevel="0" collapsed="false">
      <c r="H1350" s="0" t="str">
        <f aca="false">IF(B1350="","",IF(COUNTIF(Campaigns!$A$7:$A$300,B1350)&gt;0,"✓","⚠ add to Campaigns tab"))</f>
        <v/>
      </c>
      <c r="I1350" s="84" t="str">
        <f aca="false">IF(C1350="","",C1350*IF(Settings!$B$22=Settings!$C$6,1,IF(Settings!$B$22="USD",1/INDEX(Settings!$B$29:$B$40,MONTH(A1350)),INDEX(Settings!$B$29:$B$40,MONTH(A1350)))))</f>
        <v/>
      </c>
    </row>
    <row r="1351" customFormat="false" ht="15" hidden="false" customHeight="false" outlineLevel="0" collapsed="false">
      <c r="H1351" s="0" t="str">
        <f aca="false">IF(B1351="","",IF(COUNTIF(Campaigns!$A$7:$A$300,B1351)&gt;0,"✓","⚠ add to Campaigns tab"))</f>
        <v/>
      </c>
      <c r="I1351" s="84" t="str">
        <f aca="false">IF(C1351="","",C1351*IF(Settings!$B$22=Settings!$C$6,1,IF(Settings!$B$22="USD",1/INDEX(Settings!$B$29:$B$40,MONTH(A1351)),INDEX(Settings!$B$29:$B$40,MONTH(A1351)))))</f>
        <v/>
      </c>
    </row>
    <row r="1352" customFormat="false" ht="15" hidden="false" customHeight="false" outlineLevel="0" collapsed="false">
      <c r="H1352" s="0" t="str">
        <f aca="false">IF(B1352="","",IF(COUNTIF(Campaigns!$A$7:$A$300,B1352)&gt;0,"✓","⚠ add to Campaigns tab"))</f>
        <v/>
      </c>
      <c r="I1352" s="84" t="str">
        <f aca="false">IF(C1352="","",C1352*IF(Settings!$B$22=Settings!$C$6,1,IF(Settings!$B$22="USD",1/INDEX(Settings!$B$29:$B$40,MONTH(A1352)),INDEX(Settings!$B$29:$B$40,MONTH(A1352)))))</f>
        <v/>
      </c>
    </row>
    <row r="1353" customFormat="false" ht="15" hidden="false" customHeight="false" outlineLevel="0" collapsed="false">
      <c r="H1353" s="0" t="str">
        <f aca="false">IF(B1353="","",IF(COUNTIF(Campaigns!$A$7:$A$300,B1353)&gt;0,"✓","⚠ add to Campaigns tab"))</f>
        <v/>
      </c>
      <c r="I1353" s="84" t="str">
        <f aca="false">IF(C1353="","",C1353*IF(Settings!$B$22=Settings!$C$6,1,IF(Settings!$B$22="USD",1/INDEX(Settings!$B$29:$B$40,MONTH(A1353)),INDEX(Settings!$B$29:$B$40,MONTH(A1353)))))</f>
        <v/>
      </c>
    </row>
    <row r="1354" customFormat="false" ht="15" hidden="false" customHeight="false" outlineLevel="0" collapsed="false">
      <c r="H1354" s="0" t="str">
        <f aca="false">IF(B1354="","",IF(COUNTIF(Campaigns!$A$7:$A$300,B1354)&gt;0,"✓","⚠ add to Campaigns tab"))</f>
        <v/>
      </c>
      <c r="I1354" s="84" t="str">
        <f aca="false">IF(C1354="","",C1354*IF(Settings!$B$22=Settings!$C$6,1,IF(Settings!$B$22="USD",1/INDEX(Settings!$B$29:$B$40,MONTH(A1354)),INDEX(Settings!$B$29:$B$40,MONTH(A1354)))))</f>
        <v/>
      </c>
    </row>
    <row r="1355" customFormat="false" ht="15" hidden="false" customHeight="false" outlineLevel="0" collapsed="false">
      <c r="H1355" s="0" t="str">
        <f aca="false">IF(B1355="","",IF(COUNTIF(Campaigns!$A$7:$A$300,B1355)&gt;0,"✓","⚠ add to Campaigns tab"))</f>
        <v/>
      </c>
      <c r="I1355" s="84" t="str">
        <f aca="false">IF(C1355="","",C1355*IF(Settings!$B$22=Settings!$C$6,1,IF(Settings!$B$22="USD",1/INDEX(Settings!$B$29:$B$40,MONTH(A1355)),INDEX(Settings!$B$29:$B$40,MONTH(A1355)))))</f>
        <v/>
      </c>
    </row>
    <row r="1356" customFormat="false" ht="15" hidden="false" customHeight="false" outlineLevel="0" collapsed="false">
      <c r="H1356" s="0" t="str">
        <f aca="false">IF(B1356="","",IF(COUNTIF(Campaigns!$A$7:$A$300,B1356)&gt;0,"✓","⚠ add to Campaigns tab"))</f>
        <v/>
      </c>
      <c r="I1356" s="84" t="str">
        <f aca="false">IF(C1356="","",C1356*IF(Settings!$B$22=Settings!$C$6,1,IF(Settings!$B$22="USD",1/INDEX(Settings!$B$29:$B$40,MONTH(A1356)),INDEX(Settings!$B$29:$B$40,MONTH(A1356)))))</f>
        <v/>
      </c>
    </row>
    <row r="1357" customFormat="false" ht="15" hidden="false" customHeight="false" outlineLevel="0" collapsed="false">
      <c r="H1357" s="0" t="str">
        <f aca="false">IF(B1357="","",IF(COUNTIF(Campaigns!$A$7:$A$300,B1357)&gt;0,"✓","⚠ add to Campaigns tab"))</f>
        <v/>
      </c>
      <c r="I1357" s="84" t="str">
        <f aca="false">IF(C1357="","",C1357*IF(Settings!$B$22=Settings!$C$6,1,IF(Settings!$B$22="USD",1/INDEX(Settings!$B$29:$B$40,MONTH(A1357)),INDEX(Settings!$B$29:$B$40,MONTH(A1357)))))</f>
        <v/>
      </c>
    </row>
    <row r="1358" customFormat="false" ht="15" hidden="false" customHeight="false" outlineLevel="0" collapsed="false">
      <c r="H1358" s="0" t="str">
        <f aca="false">IF(B1358="","",IF(COUNTIF(Campaigns!$A$7:$A$300,B1358)&gt;0,"✓","⚠ add to Campaigns tab"))</f>
        <v/>
      </c>
      <c r="I1358" s="84" t="str">
        <f aca="false">IF(C1358="","",C1358*IF(Settings!$B$22=Settings!$C$6,1,IF(Settings!$B$22="USD",1/INDEX(Settings!$B$29:$B$40,MONTH(A1358)),INDEX(Settings!$B$29:$B$40,MONTH(A1358)))))</f>
        <v/>
      </c>
    </row>
    <row r="1359" customFormat="false" ht="15" hidden="false" customHeight="false" outlineLevel="0" collapsed="false">
      <c r="H1359" s="0" t="str">
        <f aca="false">IF(B1359="","",IF(COUNTIF(Campaigns!$A$7:$A$300,B1359)&gt;0,"✓","⚠ add to Campaigns tab"))</f>
        <v/>
      </c>
      <c r="I1359" s="84" t="str">
        <f aca="false">IF(C1359="","",C1359*IF(Settings!$B$22=Settings!$C$6,1,IF(Settings!$B$22="USD",1/INDEX(Settings!$B$29:$B$40,MONTH(A1359)),INDEX(Settings!$B$29:$B$40,MONTH(A1359)))))</f>
        <v/>
      </c>
    </row>
    <row r="1360" customFormat="false" ht="15" hidden="false" customHeight="false" outlineLevel="0" collapsed="false">
      <c r="H1360" s="0" t="str">
        <f aca="false">IF(B1360="","",IF(COUNTIF(Campaigns!$A$7:$A$300,B1360)&gt;0,"✓","⚠ add to Campaigns tab"))</f>
        <v/>
      </c>
      <c r="I1360" s="84" t="str">
        <f aca="false">IF(C1360="","",C1360*IF(Settings!$B$22=Settings!$C$6,1,IF(Settings!$B$22="USD",1/INDEX(Settings!$B$29:$B$40,MONTH(A1360)),INDEX(Settings!$B$29:$B$40,MONTH(A1360)))))</f>
        <v/>
      </c>
    </row>
    <row r="1361" customFormat="false" ht="15" hidden="false" customHeight="false" outlineLevel="0" collapsed="false">
      <c r="H1361" s="0" t="str">
        <f aca="false">IF(B1361="","",IF(COUNTIF(Campaigns!$A$7:$A$300,B1361)&gt;0,"✓","⚠ add to Campaigns tab"))</f>
        <v/>
      </c>
      <c r="I1361" s="84" t="str">
        <f aca="false">IF(C1361="","",C1361*IF(Settings!$B$22=Settings!$C$6,1,IF(Settings!$B$22="USD",1/INDEX(Settings!$B$29:$B$40,MONTH(A1361)),INDEX(Settings!$B$29:$B$40,MONTH(A1361)))))</f>
        <v/>
      </c>
    </row>
    <row r="1362" customFormat="false" ht="15" hidden="false" customHeight="false" outlineLevel="0" collapsed="false">
      <c r="H1362" s="0" t="str">
        <f aca="false">IF(B1362="","",IF(COUNTIF(Campaigns!$A$7:$A$300,B1362)&gt;0,"✓","⚠ add to Campaigns tab"))</f>
        <v/>
      </c>
      <c r="I1362" s="84" t="str">
        <f aca="false">IF(C1362="","",C1362*IF(Settings!$B$22=Settings!$C$6,1,IF(Settings!$B$22="USD",1/INDEX(Settings!$B$29:$B$40,MONTH(A1362)),INDEX(Settings!$B$29:$B$40,MONTH(A1362)))))</f>
        <v/>
      </c>
    </row>
    <row r="1363" customFormat="false" ht="15" hidden="false" customHeight="false" outlineLevel="0" collapsed="false">
      <c r="H1363" s="0" t="str">
        <f aca="false">IF(B1363="","",IF(COUNTIF(Campaigns!$A$7:$A$300,B1363)&gt;0,"✓","⚠ add to Campaigns tab"))</f>
        <v/>
      </c>
      <c r="I1363" s="84" t="str">
        <f aca="false">IF(C1363="","",C1363*IF(Settings!$B$22=Settings!$C$6,1,IF(Settings!$B$22="USD",1/INDEX(Settings!$B$29:$B$40,MONTH(A1363)),INDEX(Settings!$B$29:$B$40,MONTH(A1363)))))</f>
        <v/>
      </c>
    </row>
    <row r="1364" customFormat="false" ht="15" hidden="false" customHeight="false" outlineLevel="0" collapsed="false">
      <c r="H1364" s="0" t="str">
        <f aca="false">IF(B1364="","",IF(COUNTIF(Campaigns!$A$7:$A$300,B1364)&gt;0,"✓","⚠ add to Campaigns tab"))</f>
        <v/>
      </c>
      <c r="I1364" s="84" t="str">
        <f aca="false">IF(C1364="","",C1364*IF(Settings!$B$22=Settings!$C$6,1,IF(Settings!$B$22="USD",1/INDEX(Settings!$B$29:$B$40,MONTH(A1364)),INDEX(Settings!$B$29:$B$40,MONTH(A1364)))))</f>
        <v/>
      </c>
    </row>
    <row r="1365" customFormat="false" ht="15" hidden="false" customHeight="false" outlineLevel="0" collapsed="false">
      <c r="H1365" s="0" t="str">
        <f aca="false">IF(B1365="","",IF(COUNTIF(Campaigns!$A$7:$A$300,B1365)&gt;0,"✓","⚠ add to Campaigns tab"))</f>
        <v/>
      </c>
      <c r="I1365" s="84" t="str">
        <f aca="false">IF(C1365="","",C1365*IF(Settings!$B$22=Settings!$C$6,1,IF(Settings!$B$22="USD",1/INDEX(Settings!$B$29:$B$40,MONTH(A1365)),INDEX(Settings!$B$29:$B$40,MONTH(A1365)))))</f>
        <v/>
      </c>
    </row>
    <row r="1366" customFormat="false" ht="15" hidden="false" customHeight="false" outlineLevel="0" collapsed="false">
      <c r="H1366" s="0" t="str">
        <f aca="false">IF(B1366="","",IF(COUNTIF(Campaigns!$A$7:$A$300,B1366)&gt;0,"✓","⚠ add to Campaigns tab"))</f>
        <v/>
      </c>
      <c r="I1366" s="84" t="str">
        <f aca="false">IF(C1366="","",C1366*IF(Settings!$B$22=Settings!$C$6,1,IF(Settings!$B$22="USD",1/INDEX(Settings!$B$29:$B$40,MONTH(A1366)),INDEX(Settings!$B$29:$B$40,MONTH(A1366)))))</f>
        <v/>
      </c>
    </row>
    <row r="1367" customFormat="false" ht="15" hidden="false" customHeight="false" outlineLevel="0" collapsed="false">
      <c r="H1367" s="0" t="str">
        <f aca="false">IF(B1367="","",IF(COUNTIF(Campaigns!$A$7:$A$300,B1367)&gt;0,"✓","⚠ add to Campaigns tab"))</f>
        <v/>
      </c>
      <c r="I1367" s="84" t="str">
        <f aca="false">IF(C1367="","",C1367*IF(Settings!$B$22=Settings!$C$6,1,IF(Settings!$B$22="USD",1/INDEX(Settings!$B$29:$B$40,MONTH(A1367)),INDEX(Settings!$B$29:$B$40,MONTH(A1367)))))</f>
        <v/>
      </c>
    </row>
    <row r="1368" customFormat="false" ht="15" hidden="false" customHeight="false" outlineLevel="0" collapsed="false">
      <c r="H1368" s="0" t="str">
        <f aca="false">IF(B1368="","",IF(COUNTIF(Campaigns!$A$7:$A$300,B1368)&gt;0,"✓","⚠ add to Campaigns tab"))</f>
        <v/>
      </c>
      <c r="I1368" s="84" t="str">
        <f aca="false">IF(C1368="","",C1368*IF(Settings!$B$22=Settings!$C$6,1,IF(Settings!$B$22="USD",1/INDEX(Settings!$B$29:$B$40,MONTH(A1368)),INDEX(Settings!$B$29:$B$40,MONTH(A1368)))))</f>
        <v/>
      </c>
    </row>
    <row r="1369" customFormat="false" ht="15" hidden="false" customHeight="false" outlineLevel="0" collapsed="false">
      <c r="H1369" s="0" t="str">
        <f aca="false">IF(B1369="","",IF(COUNTIF(Campaigns!$A$7:$A$300,B1369)&gt;0,"✓","⚠ add to Campaigns tab"))</f>
        <v/>
      </c>
      <c r="I1369" s="84" t="str">
        <f aca="false">IF(C1369="","",C1369*IF(Settings!$B$22=Settings!$C$6,1,IF(Settings!$B$22="USD",1/INDEX(Settings!$B$29:$B$40,MONTH(A1369)),INDEX(Settings!$B$29:$B$40,MONTH(A1369)))))</f>
        <v/>
      </c>
    </row>
    <row r="1370" customFormat="false" ht="15" hidden="false" customHeight="false" outlineLevel="0" collapsed="false">
      <c r="H1370" s="0" t="str">
        <f aca="false">IF(B1370="","",IF(COUNTIF(Campaigns!$A$7:$A$300,B1370)&gt;0,"✓","⚠ add to Campaigns tab"))</f>
        <v/>
      </c>
      <c r="I1370" s="84" t="str">
        <f aca="false">IF(C1370="","",C1370*IF(Settings!$B$22=Settings!$C$6,1,IF(Settings!$B$22="USD",1/INDEX(Settings!$B$29:$B$40,MONTH(A1370)),INDEX(Settings!$B$29:$B$40,MONTH(A1370)))))</f>
        <v/>
      </c>
    </row>
    <row r="1371" customFormat="false" ht="15" hidden="false" customHeight="false" outlineLevel="0" collapsed="false">
      <c r="H1371" s="0" t="str">
        <f aca="false">IF(B1371="","",IF(COUNTIF(Campaigns!$A$7:$A$300,B1371)&gt;0,"✓","⚠ add to Campaigns tab"))</f>
        <v/>
      </c>
      <c r="I1371" s="84" t="str">
        <f aca="false">IF(C1371="","",C1371*IF(Settings!$B$22=Settings!$C$6,1,IF(Settings!$B$22="USD",1/INDEX(Settings!$B$29:$B$40,MONTH(A1371)),INDEX(Settings!$B$29:$B$40,MONTH(A1371)))))</f>
        <v/>
      </c>
    </row>
    <row r="1372" customFormat="false" ht="15" hidden="false" customHeight="false" outlineLevel="0" collapsed="false">
      <c r="H1372" s="0" t="str">
        <f aca="false">IF(B1372="","",IF(COUNTIF(Campaigns!$A$7:$A$300,B1372)&gt;0,"✓","⚠ add to Campaigns tab"))</f>
        <v/>
      </c>
      <c r="I1372" s="84" t="str">
        <f aca="false">IF(C1372="","",C1372*IF(Settings!$B$22=Settings!$C$6,1,IF(Settings!$B$22="USD",1/INDEX(Settings!$B$29:$B$40,MONTH(A1372)),INDEX(Settings!$B$29:$B$40,MONTH(A1372)))))</f>
        <v/>
      </c>
    </row>
    <row r="1373" customFormat="false" ht="15" hidden="false" customHeight="false" outlineLevel="0" collapsed="false">
      <c r="H1373" s="0" t="str">
        <f aca="false">IF(B1373="","",IF(COUNTIF(Campaigns!$A$7:$A$300,B1373)&gt;0,"✓","⚠ add to Campaigns tab"))</f>
        <v/>
      </c>
      <c r="I1373" s="84" t="str">
        <f aca="false">IF(C1373="","",C1373*IF(Settings!$B$22=Settings!$C$6,1,IF(Settings!$B$22="USD",1/INDEX(Settings!$B$29:$B$40,MONTH(A1373)),INDEX(Settings!$B$29:$B$40,MONTH(A1373)))))</f>
        <v/>
      </c>
    </row>
    <row r="1374" customFormat="false" ht="15" hidden="false" customHeight="false" outlineLevel="0" collapsed="false">
      <c r="H1374" s="0" t="str">
        <f aca="false">IF(B1374="","",IF(COUNTIF(Campaigns!$A$7:$A$300,B1374)&gt;0,"✓","⚠ add to Campaigns tab"))</f>
        <v/>
      </c>
      <c r="I1374" s="84" t="str">
        <f aca="false">IF(C1374="","",C1374*IF(Settings!$B$22=Settings!$C$6,1,IF(Settings!$B$22="USD",1/INDEX(Settings!$B$29:$B$40,MONTH(A1374)),INDEX(Settings!$B$29:$B$40,MONTH(A1374)))))</f>
        <v/>
      </c>
    </row>
    <row r="1375" customFormat="false" ht="15" hidden="false" customHeight="false" outlineLevel="0" collapsed="false">
      <c r="H1375" s="0" t="str">
        <f aca="false">IF(B1375="","",IF(COUNTIF(Campaigns!$A$7:$A$300,B1375)&gt;0,"✓","⚠ add to Campaigns tab"))</f>
        <v/>
      </c>
      <c r="I1375" s="84" t="str">
        <f aca="false">IF(C1375="","",C1375*IF(Settings!$B$22=Settings!$C$6,1,IF(Settings!$B$22="USD",1/INDEX(Settings!$B$29:$B$40,MONTH(A1375)),INDEX(Settings!$B$29:$B$40,MONTH(A1375)))))</f>
        <v/>
      </c>
    </row>
    <row r="1376" customFormat="false" ht="15" hidden="false" customHeight="false" outlineLevel="0" collapsed="false">
      <c r="H1376" s="0" t="str">
        <f aca="false">IF(B1376="","",IF(COUNTIF(Campaigns!$A$7:$A$300,B1376)&gt;0,"✓","⚠ add to Campaigns tab"))</f>
        <v/>
      </c>
      <c r="I1376" s="84" t="str">
        <f aca="false">IF(C1376="","",C1376*IF(Settings!$B$22=Settings!$C$6,1,IF(Settings!$B$22="USD",1/INDEX(Settings!$B$29:$B$40,MONTH(A1376)),INDEX(Settings!$B$29:$B$40,MONTH(A1376)))))</f>
        <v/>
      </c>
    </row>
    <row r="1377" customFormat="false" ht="15" hidden="false" customHeight="false" outlineLevel="0" collapsed="false">
      <c r="H1377" s="0" t="str">
        <f aca="false">IF(B1377="","",IF(COUNTIF(Campaigns!$A$7:$A$300,B1377)&gt;0,"✓","⚠ add to Campaigns tab"))</f>
        <v/>
      </c>
      <c r="I1377" s="84" t="str">
        <f aca="false">IF(C1377="","",C1377*IF(Settings!$B$22=Settings!$C$6,1,IF(Settings!$B$22="USD",1/INDEX(Settings!$B$29:$B$40,MONTH(A1377)),INDEX(Settings!$B$29:$B$40,MONTH(A1377)))))</f>
        <v/>
      </c>
    </row>
    <row r="1378" customFormat="false" ht="15" hidden="false" customHeight="false" outlineLevel="0" collapsed="false">
      <c r="H1378" s="0" t="str">
        <f aca="false">IF(B1378="","",IF(COUNTIF(Campaigns!$A$7:$A$300,B1378)&gt;0,"✓","⚠ add to Campaigns tab"))</f>
        <v/>
      </c>
      <c r="I1378" s="84" t="str">
        <f aca="false">IF(C1378="","",C1378*IF(Settings!$B$22=Settings!$C$6,1,IF(Settings!$B$22="USD",1/INDEX(Settings!$B$29:$B$40,MONTH(A1378)),INDEX(Settings!$B$29:$B$40,MONTH(A1378)))))</f>
        <v/>
      </c>
    </row>
    <row r="1379" customFormat="false" ht="15" hidden="false" customHeight="false" outlineLevel="0" collapsed="false">
      <c r="H1379" s="0" t="str">
        <f aca="false">IF(B1379="","",IF(COUNTIF(Campaigns!$A$7:$A$300,B1379)&gt;0,"✓","⚠ add to Campaigns tab"))</f>
        <v/>
      </c>
      <c r="I1379" s="84" t="str">
        <f aca="false">IF(C1379="","",C1379*IF(Settings!$B$22=Settings!$C$6,1,IF(Settings!$B$22="USD",1/INDEX(Settings!$B$29:$B$40,MONTH(A1379)),INDEX(Settings!$B$29:$B$40,MONTH(A1379)))))</f>
        <v/>
      </c>
    </row>
    <row r="1380" customFormat="false" ht="15" hidden="false" customHeight="false" outlineLevel="0" collapsed="false">
      <c r="H1380" s="0" t="str">
        <f aca="false">IF(B1380="","",IF(COUNTIF(Campaigns!$A$7:$A$300,B1380)&gt;0,"✓","⚠ add to Campaigns tab"))</f>
        <v/>
      </c>
      <c r="I1380" s="84" t="str">
        <f aca="false">IF(C1380="","",C1380*IF(Settings!$B$22=Settings!$C$6,1,IF(Settings!$B$22="USD",1/INDEX(Settings!$B$29:$B$40,MONTH(A1380)),INDEX(Settings!$B$29:$B$40,MONTH(A1380)))))</f>
        <v/>
      </c>
    </row>
    <row r="1381" customFormat="false" ht="15" hidden="false" customHeight="false" outlineLevel="0" collapsed="false">
      <c r="H1381" s="0" t="str">
        <f aca="false">IF(B1381="","",IF(COUNTIF(Campaigns!$A$7:$A$300,B1381)&gt;0,"✓","⚠ add to Campaigns tab"))</f>
        <v/>
      </c>
      <c r="I1381" s="84" t="str">
        <f aca="false">IF(C1381="","",C1381*IF(Settings!$B$22=Settings!$C$6,1,IF(Settings!$B$22="USD",1/INDEX(Settings!$B$29:$B$40,MONTH(A1381)),INDEX(Settings!$B$29:$B$40,MONTH(A1381)))))</f>
        <v/>
      </c>
    </row>
    <row r="1382" customFormat="false" ht="15" hidden="false" customHeight="false" outlineLevel="0" collapsed="false">
      <c r="H1382" s="0" t="str">
        <f aca="false">IF(B1382="","",IF(COUNTIF(Campaigns!$A$7:$A$300,B1382)&gt;0,"✓","⚠ add to Campaigns tab"))</f>
        <v/>
      </c>
      <c r="I1382" s="84" t="str">
        <f aca="false">IF(C1382="","",C1382*IF(Settings!$B$22=Settings!$C$6,1,IF(Settings!$B$22="USD",1/INDEX(Settings!$B$29:$B$40,MONTH(A1382)),INDEX(Settings!$B$29:$B$40,MONTH(A1382)))))</f>
        <v/>
      </c>
    </row>
    <row r="1383" customFormat="false" ht="15" hidden="false" customHeight="false" outlineLevel="0" collapsed="false">
      <c r="H1383" s="0" t="str">
        <f aca="false">IF(B1383="","",IF(COUNTIF(Campaigns!$A$7:$A$300,B1383)&gt;0,"✓","⚠ add to Campaigns tab"))</f>
        <v/>
      </c>
      <c r="I1383" s="84" t="str">
        <f aca="false">IF(C1383="","",C1383*IF(Settings!$B$22=Settings!$C$6,1,IF(Settings!$B$22="USD",1/INDEX(Settings!$B$29:$B$40,MONTH(A1383)),INDEX(Settings!$B$29:$B$40,MONTH(A1383)))))</f>
        <v/>
      </c>
    </row>
    <row r="1384" customFormat="false" ht="15" hidden="false" customHeight="false" outlineLevel="0" collapsed="false">
      <c r="H1384" s="0" t="str">
        <f aca="false">IF(B1384="","",IF(COUNTIF(Campaigns!$A$7:$A$300,B1384)&gt;0,"✓","⚠ add to Campaigns tab"))</f>
        <v/>
      </c>
      <c r="I1384" s="84" t="str">
        <f aca="false">IF(C1384="","",C1384*IF(Settings!$B$22=Settings!$C$6,1,IF(Settings!$B$22="USD",1/INDEX(Settings!$B$29:$B$40,MONTH(A1384)),INDEX(Settings!$B$29:$B$40,MONTH(A1384)))))</f>
        <v/>
      </c>
    </row>
    <row r="1385" customFormat="false" ht="15" hidden="false" customHeight="false" outlineLevel="0" collapsed="false">
      <c r="H1385" s="0" t="str">
        <f aca="false">IF(B1385="","",IF(COUNTIF(Campaigns!$A$7:$A$300,B1385)&gt;0,"✓","⚠ add to Campaigns tab"))</f>
        <v/>
      </c>
      <c r="I1385" s="84" t="str">
        <f aca="false">IF(C1385="","",C1385*IF(Settings!$B$22=Settings!$C$6,1,IF(Settings!$B$22="USD",1/INDEX(Settings!$B$29:$B$40,MONTH(A1385)),INDEX(Settings!$B$29:$B$40,MONTH(A1385)))))</f>
        <v/>
      </c>
    </row>
    <row r="1386" customFormat="false" ht="15" hidden="false" customHeight="false" outlineLevel="0" collapsed="false">
      <c r="H1386" s="0" t="str">
        <f aca="false">IF(B1386="","",IF(COUNTIF(Campaigns!$A$7:$A$300,B1386)&gt;0,"✓","⚠ add to Campaigns tab"))</f>
        <v/>
      </c>
      <c r="I1386" s="84" t="str">
        <f aca="false">IF(C1386="","",C1386*IF(Settings!$B$22=Settings!$C$6,1,IF(Settings!$B$22="USD",1/INDEX(Settings!$B$29:$B$40,MONTH(A1386)),INDEX(Settings!$B$29:$B$40,MONTH(A1386)))))</f>
        <v/>
      </c>
    </row>
    <row r="1387" customFormat="false" ht="15" hidden="false" customHeight="false" outlineLevel="0" collapsed="false">
      <c r="H1387" s="0" t="str">
        <f aca="false">IF(B1387="","",IF(COUNTIF(Campaigns!$A$7:$A$300,B1387)&gt;0,"✓","⚠ add to Campaigns tab"))</f>
        <v/>
      </c>
      <c r="I1387" s="84" t="str">
        <f aca="false">IF(C1387="","",C1387*IF(Settings!$B$22=Settings!$C$6,1,IF(Settings!$B$22="USD",1/INDEX(Settings!$B$29:$B$40,MONTH(A1387)),INDEX(Settings!$B$29:$B$40,MONTH(A1387)))))</f>
        <v/>
      </c>
    </row>
    <row r="1388" customFormat="false" ht="15" hidden="false" customHeight="false" outlineLevel="0" collapsed="false">
      <c r="H1388" s="0" t="str">
        <f aca="false">IF(B1388="","",IF(COUNTIF(Campaigns!$A$7:$A$300,B1388)&gt;0,"✓","⚠ add to Campaigns tab"))</f>
        <v/>
      </c>
      <c r="I1388" s="84" t="str">
        <f aca="false">IF(C1388="","",C1388*IF(Settings!$B$22=Settings!$C$6,1,IF(Settings!$B$22="USD",1/INDEX(Settings!$B$29:$B$40,MONTH(A1388)),INDEX(Settings!$B$29:$B$40,MONTH(A1388)))))</f>
        <v/>
      </c>
    </row>
    <row r="1389" customFormat="false" ht="15" hidden="false" customHeight="false" outlineLevel="0" collapsed="false">
      <c r="H1389" s="0" t="str">
        <f aca="false">IF(B1389="","",IF(COUNTIF(Campaigns!$A$7:$A$300,B1389)&gt;0,"✓","⚠ add to Campaigns tab"))</f>
        <v/>
      </c>
      <c r="I1389" s="84" t="str">
        <f aca="false">IF(C1389="","",C1389*IF(Settings!$B$22=Settings!$C$6,1,IF(Settings!$B$22="USD",1/INDEX(Settings!$B$29:$B$40,MONTH(A1389)),INDEX(Settings!$B$29:$B$40,MONTH(A1389)))))</f>
        <v/>
      </c>
    </row>
    <row r="1390" customFormat="false" ht="15" hidden="false" customHeight="false" outlineLevel="0" collapsed="false">
      <c r="H1390" s="0" t="str">
        <f aca="false">IF(B1390="","",IF(COUNTIF(Campaigns!$A$7:$A$300,B1390)&gt;0,"✓","⚠ add to Campaigns tab"))</f>
        <v/>
      </c>
      <c r="I1390" s="84" t="str">
        <f aca="false">IF(C1390="","",C1390*IF(Settings!$B$22=Settings!$C$6,1,IF(Settings!$B$22="USD",1/INDEX(Settings!$B$29:$B$40,MONTH(A1390)),INDEX(Settings!$B$29:$B$40,MONTH(A1390)))))</f>
        <v/>
      </c>
    </row>
    <row r="1391" customFormat="false" ht="15" hidden="false" customHeight="false" outlineLevel="0" collapsed="false">
      <c r="H1391" s="0" t="str">
        <f aca="false">IF(B1391="","",IF(COUNTIF(Campaigns!$A$7:$A$300,B1391)&gt;0,"✓","⚠ add to Campaigns tab"))</f>
        <v/>
      </c>
      <c r="I1391" s="84" t="str">
        <f aca="false">IF(C1391="","",C1391*IF(Settings!$B$22=Settings!$C$6,1,IF(Settings!$B$22="USD",1/INDEX(Settings!$B$29:$B$40,MONTH(A1391)),INDEX(Settings!$B$29:$B$40,MONTH(A1391)))))</f>
        <v/>
      </c>
    </row>
    <row r="1392" customFormat="false" ht="15" hidden="false" customHeight="false" outlineLevel="0" collapsed="false">
      <c r="H1392" s="0" t="str">
        <f aca="false">IF(B1392="","",IF(COUNTIF(Campaigns!$A$7:$A$300,B1392)&gt;0,"✓","⚠ add to Campaigns tab"))</f>
        <v/>
      </c>
      <c r="I1392" s="84" t="str">
        <f aca="false">IF(C1392="","",C1392*IF(Settings!$B$22=Settings!$C$6,1,IF(Settings!$B$22="USD",1/INDEX(Settings!$B$29:$B$40,MONTH(A1392)),INDEX(Settings!$B$29:$B$40,MONTH(A1392)))))</f>
        <v/>
      </c>
    </row>
    <row r="1393" customFormat="false" ht="15" hidden="false" customHeight="false" outlineLevel="0" collapsed="false">
      <c r="H1393" s="0" t="str">
        <f aca="false">IF(B1393="","",IF(COUNTIF(Campaigns!$A$7:$A$300,B1393)&gt;0,"✓","⚠ add to Campaigns tab"))</f>
        <v/>
      </c>
      <c r="I1393" s="84" t="str">
        <f aca="false">IF(C1393="","",C1393*IF(Settings!$B$22=Settings!$C$6,1,IF(Settings!$B$22="USD",1/INDEX(Settings!$B$29:$B$40,MONTH(A1393)),INDEX(Settings!$B$29:$B$40,MONTH(A1393)))))</f>
        <v/>
      </c>
    </row>
    <row r="1394" customFormat="false" ht="15" hidden="false" customHeight="false" outlineLevel="0" collapsed="false">
      <c r="H1394" s="0" t="str">
        <f aca="false">IF(B1394="","",IF(COUNTIF(Campaigns!$A$7:$A$300,B1394)&gt;0,"✓","⚠ add to Campaigns tab"))</f>
        <v/>
      </c>
      <c r="I1394" s="84" t="str">
        <f aca="false">IF(C1394="","",C1394*IF(Settings!$B$22=Settings!$C$6,1,IF(Settings!$B$22="USD",1/INDEX(Settings!$B$29:$B$40,MONTH(A1394)),INDEX(Settings!$B$29:$B$40,MONTH(A1394)))))</f>
        <v/>
      </c>
    </row>
    <row r="1395" customFormat="false" ht="15" hidden="false" customHeight="false" outlineLevel="0" collapsed="false">
      <c r="H1395" s="0" t="str">
        <f aca="false">IF(B1395="","",IF(COUNTIF(Campaigns!$A$7:$A$300,B1395)&gt;0,"✓","⚠ add to Campaigns tab"))</f>
        <v/>
      </c>
      <c r="I1395" s="84" t="str">
        <f aca="false">IF(C1395="","",C1395*IF(Settings!$B$22=Settings!$C$6,1,IF(Settings!$B$22="USD",1/INDEX(Settings!$B$29:$B$40,MONTH(A1395)),INDEX(Settings!$B$29:$B$40,MONTH(A1395)))))</f>
        <v/>
      </c>
    </row>
    <row r="1396" customFormat="false" ht="15" hidden="false" customHeight="false" outlineLevel="0" collapsed="false">
      <c r="H1396" s="0" t="str">
        <f aca="false">IF(B1396="","",IF(COUNTIF(Campaigns!$A$7:$A$300,B1396)&gt;0,"✓","⚠ add to Campaigns tab"))</f>
        <v/>
      </c>
      <c r="I1396" s="84" t="str">
        <f aca="false">IF(C1396="","",C1396*IF(Settings!$B$22=Settings!$C$6,1,IF(Settings!$B$22="USD",1/INDEX(Settings!$B$29:$B$40,MONTH(A1396)),INDEX(Settings!$B$29:$B$40,MONTH(A1396)))))</f>
        <v/>
      </c>
    </row>
    <row r="1397" customFormat="false" ht="15" hidden="false" customHeight="false" outlineLevel="0" collapsed="false">
      <c r="H1397" s="0" t="str">
        <f aca="false">IF(B1397="","",IF(COUNTIF(Campaigns!$A$7:$A$300,B1397)&gt;0,"✓","⚠ add to Campaigns tab"))</f>
        <v/>
      </c>
      <c r="I1397" s="84" t="str">
        <f aca="false">IF(C1397="","",C1397*IF(Settings!$B$22=Settings!$C$6,1,IF(Settings!$B$22="USD",1/INDEX(Settings!$B$29:$B$40,MONTH(A1397)),INDEX(Settings!$B$29:$B$40,MONTH(A1397)))))</f>
        <v/>
      </c>
    </row>
    <row r="1398" customFormat="false" ht="15" hidden="false" customHeight="false" outlineLevel="0" collapsed="false">
      <c r="H1398" s="0" t="str">
        <f aca="false">IF(B1398="","",IF(COUNTIF(Campaigns!$A$7:$A$300,B1398)&gt;0,"✓","⚠ add to Campaigns tab"))</f>
        <v/>
      </c>
      <c r="I1398" s="84" t="str">
        <f aca="false">IF(C1398="","",C1398*IF(Settings!$B$22=Settings!$C$6,1,IF(Settings!$B$22="USD",1/INDEX(Settings!$B$29:$B$40,MONTH(A1398)),INDEX(Settings!$B$29:$B$40,MONTH(A1398)))))</f>
        <v/>
      </c>
    </row>
    <row r="1399" customFormat="false" ht="15" hidden="false" customHeight="false" outlineLevel="0" collapsed="false">
      <c r="H1399" s="0" t="str">
        <f aca="false">IF(B1399="","",IF(COUNTIF(Campaigns!$A$7:$A$300,B1399)&gt;0,"✓","⚠ add to Campaigns tab"))</f>
        <v/>
      </c>
      <c r="I1399" s="84" t="str">
        <f aca="false">IF(C1399="","",C1399*IF(Settings!$B$22=Settings!$C$6,1,IF(Settings!$B$22="USD",1/INDEX(Settings!$B$29:$B$40,MONTH(A1399)),INDEX(Settings!$B$29:$B$40,MONTH(A1399)))))</f>
        <v/>
      </c>
    </row>
    <row r="1400" customFormat="false" ht="15" hidden="false" customHeight="false" outlineLevel="0" collapsed="false">
      <c r="H1400" s="0" t="str">
        <f aca="false">IF(B1400="","",IF(COUNTIF(Campaigns!$A$7:$A$300,B1400)&gt;0,"✓","⚠ add to Campaigns tab"))</f>
        <v/>
      </c>
      <c r="I1400" s="84" t="str">
        <f aca="false">IF(C1400="","",C1400*IF(Settings!$B$22=Settings!$C$6,1,IF(Settings!$B$22="USD",1/INDEX(Settings!$B$29:$B$40,MONTH(A1400)),INDEX(Settings!$B$29:$B$40,MONTH(A1400)))))</f>
        <v/>
      </c>
    </row>
    <row r="1401" customFormat="false" ht="15" hidden="false" customHeight="false" outlineLevel="0" collapsed="false">
      <c r="H1401" s="0" t="str">
        <f aca="false">IF(B1401="","",IF(COUNTIF(Campaigns!$A$7:$A$300,B1401)&gt;0,"✓","⚠ add to Campaigns tab"))</f>
        <v/>
      </c>
      <c r="I1401" s="84" t="str">
        <f aca="false">IF(C1401="","",C1401*IF(Settings!$B$22=Settings!$C$6,1,IF(Settings!$B$22="USD",1/INDEX(Settings!$B$29:$B$40,MONTH(A1401)),INDEX(Settings!$B$29:$B$40,MONTH(A1401)))))</f>
        <v/>
      </c>
    </row>
    <row r="1402" customFormat="false" ht="15" hidden="false" customHeight="false" outlineLevel="0" collapsed="false">
      <c r="H1402" s="0" t="str">
        <f aca="false">IF(B1402="","",IF(COUNTIF(Campaigns!$A$7:$A$300,B1402)&gt;0,"✓","⚠ add to Campaigns tab"))</f>
        <v/>
      </c>
      <c r="I1402" s="84" t="str">
        <f aca="false">IF(C1402="","",C1402*IF(Settings!$B$22=Settings!$C$6,1,IF(Settings!$B$22="USD",1/INDEX(Settings!$B$29:$B$40,MONTH(A1402)),INDEX(Settings!$B$29:$B$40,MONTH(A1402)))))</f>
        <v/>
      </c>
    </row>
    <row r="1403" customFormat="false" ht="15" hidden="false" customHeight="false" outlineLevel="0" collapsed="false">
      <c r="H1403" s="0" t="str">
        <f aca="false">IF(B1403="","",IF(COUNTIF(Campaigns!$A$7:$A$300,B1403)&gt;0,"✓","⚠ add to Campaigns tab"))</f>
        <v/>
      </c>
      <c r="I1403" s="84" t="str">
        <f aca="false">IF(C1403="","",C1403*IF(Settings!$B$22=Settings!$C$6,1,IF(Settings!$B$22="USD",1/INDEX(Settings!$B$29:$B$40,MONTH(A1403)),INDEX(Settings!$B$29:$B$40,MONTH(A1403)))))</f>
        <v/>
      </c>
    </row>
    <row r="1404" customFormat="false" ht="15" hidden="false" customHeight="false" outlineLevel="0" collapsed="false">
      <c r="H1404" s="0" t="str">
        <f aca="false">IF(B1404="","",IF(COUNTIF(Campaigns!$A$7:$A$300,B1404)&gt;0,"✓","⚠ add to Campaigns tab"))</f>
        <v/>
      </c>
      <c r="I1404" s="84" t="str">
        <f aca="false">IF(C1404="","",C1404*IF(Settings!$B$22=Settings!$C$6,1,IF(Settings!$B$22="USD",1/INDEX(Settings!$B$29:$B$40,MONTH(A1404)),INDEX(Settings!$B$29:$B$40,MONTH(A1404)))))</f>
        <v/>
      </c>
    </row>
    <row r="1405" customFormat="false" ht="15" hidden="false" customHeight="false" outlineLevel="0" collapsed="false">
      <c r="H1405" s="0" t="str">
        <f aca="false">IF(B1405="","",IF(COUNTIF(Campaigns!$A$7:$A$300,B1405)&gt;0,"✓","⚠ add to Campaigns tab"))</f>
        <v/>
      </c>
      <c r="I1405" s="84" t="str">
        <f aca="false">IF(C1405="","",C1405*IF(Settings!$B$22=Settings!$C$6,1,IF(Settings!$B$22="USD",1/INDEX(Settings!$B$29:$B$40,MONTH(A1405)),INDEX(Settings!$B$29:$B$40,MONTH(A1405)))))</f>
        <v/>
      </c>
    </row>
    <row r="1406" customFormat="false" ht="15" hidden="false" customHeight="false" outlineLevel="0" collapsed="false">
      <c r="H1406" s="0" t="str">
        <f aca="false">IF(B1406="","",IF(COUNTIF(Campaigns!$A$7:$A$300,B1406)&gt;0,"✓","⚠ add to Campaigns tab"))</f>
        <v/>
      </c>
      <c r="I1406" s="84" t="str">
        <f aca="false">IF(C1406="","",C1406*IF(Settings!$B$22=Settings!$C$6,1,IF(Settings!$B$22="USD",1/INDEX(Settings!$B$29:$B$40,MONTH(A1406)),INDEX(Settings!$B$29:$B$40,MONTH(A1406)))))</f>
        <v/>
      </c>
    </row>
    <row r="1407" customFormat="false" ht="15" hidden="false" customHeight="false" outlineLevel="0" collapsed="false">
      <c r="H1407" s="0" t="str">
        <f aca="false">IF(B1407="","",IF(COUNTIF(Campaigns!$A$7:$A$300,B1407)&gt;0,"✓","⚠ add to Campaigns tab"))</f>
        <v/>
      </c>
      <c r="I1407" s="84" t="str">
        <f aca="false">IF(C1407="","",C1407*IF(Settings!$B$22=Settings!$C$6,1,IF(Settings!$B$22="USD",1/INDEX(Settings!$B$29:$B$40,MONTH(A1407)),INDEX(Settings!$B$29:$B$40,MONTH(A1407)))))</f>
        <v/>
      </c>
    </row>
    <row r="1408" customFormat="false" ht="15" hidden="false" customHeight="false" outlineLevel="0" collapsed="false">
      <c r="H1408" s="0" t="str">
        <f aca="false">IF(B1408="","",IF(COUNTIF(Campaigns!$A$7:$A$300,B1408)&gt;0,"✓","⚠ add to Campaigns tab"))</f>
        <v/>
      </c>
      <c r="I1408" s="84" t="str">
        <f aca="false">IF(C1408="","",C1408*IF(Settings!$B$22=Settings!$C$6,1,IF(Settings!$B$22="USD",1/INDEX(Settings!$B$29:$B$40,MONTH(A1408)),INDEX(Settings!$B$29:$B$40,MONTH(A1408)))))</f>
        <v/>
      </c>
    </row>
    <row r="1409" customFormat="false" ht="15" hidden="false" customHeight="false" outlineLevel="0" collapsed="false">
      <c r="H1409" s="0" t="str">
        <f aca="false">IF(B1409="","",IF(COUNTIF(Campaigns!$A$7:$A$300,B1409)&gt;0,"✓","⚠ add to Campaigns tab"))</f>
        <v/>
      </c>
      <c r="I1409" s="84" t="str">
        <f aca="false">IF(C1409="","",C1409*IF(Settings!$B$22=Settings!$C$6,1,IF(Settings!$B$22="USD",1/INDEX(Settings!$B$29:$B$40,MONTH(A1409)),INDEX(Settings!$B$29:$B$40,MONTH(A1409)))))</f>
        <v/>
      </c>
    </row>
    <row r="1410" customFormat="false" ht="15" hidden="false" customHeight="false" outlineLevel="0" collapsed="false">
      <c r="H1410" s="0" t="str">
        <f aca="false">IF(B1410="","",IF(COUNTIF(Campaigns!$A$7:$A$300,B1410)&gt;0,"✓","⚠ add to Campaigns tab"))</f>
        <v/>
      </c>
      <c r="I1410" s="84" t="str">
        <f aca="false">IF(C1410="","",C1410*IF(Settings!$B$22=Settings!$C$6,1,IF(Settings!$B$22="USD",1/INDEX(Settings!$B$29:$B$40,MONTH(A1410)),INDEX(Settings!$B$29:$B$40,MONTH(A1410)))))</f>
        <v/>
      </c>
    </row>
    <row r="1411" customFormat="false" ht="15" hidden="false" customHeight="false" outlineLevel="0" collapsed="false">
      <c r="H1411" s="0" t="str">
        <f aca="false">IF(B1411="","",IF(COUNTIF(Campaigns!$A$7:$A$300,B1411)&gt;0,"✓","⚠ add to Campaigns tab"))</f>
        <v/>
      </c>
      <c r="I1411" s="84" t="str">
        <f aca="false">IF(C1411="","",C1411*IF(Settings!$B$22=Settings!$C$6,1,IF(Settings!$B$22="USD",1/INDEX(Settings!$B$29:$B$40,MONTH(A1411)),INDEX(Settings!$B$29:$B$40,MONTH(A1411)))))</f>
        <v/>
      </c>
    </row>
    <row r="1412" customFormat="false" ht="15" hidden="false" customHeight="false" outlineLevel="0" collapsed="false">
      <c r="H1412" s="0" t="str">
        <f aca="false">IF(B1412="","",IF(COUNTIF(Campaigns!$A$7:$A$300,B1412)&gt;0,"✓","⚠ add to Campaigns tab"))</f>
        <v/>
      </c>
      <c r="I1412" s="84" t="str">
        <f aca="false">IF(C1412="","",C1412*IF(Settings!$B$22=Settings!$C$6,1,IF(Settings!$B$22="USD",1/INDEX(Settings!$B$29:$B$40,MONTH(A1412)),INDEX(Settings!$B$29:$B$40,MONTH(A1412)))))</f>
        <v/>
      </c>
    </row>
    <row r="1413" customFormat="false" ht="15" hidden="false" customHeight="false" outlineLevel="0" collapsed="false">
      <c r="H1413" s="0" t="str">
        <f aca="false">IF(B1413="","",IF(COUNTIF(Campaigns!$A$7:$A$300,B1413)&gt;0,"✓","⚠ add to Campaigns tab"))</f>
        <v/>
      </c>
      <c r="I1413" s="84" t="str">
        <f aca="false">IF(C1413="","",C1413*IF(Settings!$B$22=Settings!$C$6,1,IF(Settings!$B$22="USD",1/INDEX(Settings!$B$29:$B$40,MONTH(A1413)),INDEX(Settings!$B$29:$B$40,MONTH(A1413)))))</f>
        <v/>
      </c>
    </row>
    <row r="1414" customFormat="false" ht="15" hidden="false" customHeight="false" outlineLevel="0" collapsed="false">
      <c r="H1414" s="0" t="str">
        <f aca="false">IF(B1414="","",IF(COUNTIF(Campaigns!$A$7:$A$300,B1414)&gt;0,"✓","⚠ add to Campaigns tab"))</f>
        <v/>
      </c>
      <c r="I1414" s="84" t="str">
        <f aca="false">IF(C1414="","",C1414*IF(Settings!$B$22=Settings!$C$6,1,IF(Settings!$B$22="USD",1/INDEX(Settings!$B$29:$B$40,MONTH(A1414)),INDEX(Settings!$B$29:$B$40,MONTH(A1414)))))</f>
        <v/>
      </c>
    </row>
    <row r="1415" customFormat="false" ht="15" hidden="false" customHeight="false" outlineLevel="0" collapsed="false">
      <c r="H1415" s="0" t="str">
        <f aca="false">IF(B1415="","",IF(COUNTIF(Campaigns!$A$7:$A$300,B1415)&gt;0,"✓","⚠ add to Campaigns tab"))</f>
        <v/>
      </c>
      <c r="I1415" s="84" t="str">
        <f aca="false">IF(C1415="","",C1415*IF(Settings!$B$22=Settings!$C$6,1,IF(Settings!$B$22="USD",1/INDEX(Settings!$B$29:$B$40,MONTH(A1415)),INDEX(Settings!$B$29:$B$40,MONTH(A1415)))))</f>
        <v/>
      </c>
    </row>
    <row r="1416" customFormat="false" ht="15" hidden="false" customHeight="false" outlineLevel="0" collapsed="false">
      <c r="H1416" s="0" t="str">
        <f aca="false">IF(B1416="","",IF(COUNTIF(Campaigns!$A$7:$A$300,B1416)&gt;0,"✓","⚠ add to Campaigns tab"))</f>
        <v/>
      </c>
      <c r="I1416" s="84" t="str">
        <f aca="false">IF(C1416="","",C1416*IF(Settings!$B$22=Settings!$C$6,1,IF(Settings!$B$22="USD",1/INDEX(Settings!$B$29:$B$40,MONTH(A1416)),INDEX(Settings!$B$29:$B$40,MONTH(A1416)))))</f>
        <v/>
      </c>
    </row>
    <row r="1417" customFormat="false" ht="15" hidden="false" customHeight="false" outlineLevel="0" collapsed="false">
      <c r="H1417" s="0" t="str">
        <f aca="false">IF(B1417="","",IF(COUNTIF(Campaigns!$A$7:$A$300,B1417)&gt;0,"✓","⚠ add to Campaigns tab"))</f>
        <v/>
      </c>
      <c r="I1417" s="84" t="str">
        <f aca="false">IF(C1417="","",C1417*IF(Settings!$B$22=Settings!$C$6,1,IF(Settings!$B$22="USD",1/INDEX(Settings!$B$29:$B$40,MONTH(A1417)),INDEX(Settings!$B$29:$B$40,MONTH(A1417)))))</f>
        <v/>
      </c>
    </row>
    <row r="1418" customFormat="false" ht="15" hidden="false" customHeight="false" outlineLevel="0" collapsed="false">
      <c r="H1418" s="0" t="str">
        <f aca="false">IF(B1418="","",IF(COUNTIF(Campaigns!$A$7:$A$300,B1418)&gt;0,"✓","⚠ add to Campaigns tab"))</f>
        <v/>
      </c>
      <c r="I1418" s="84" t="str">
        <f aca="false">IF(C1418="","",C1418*IF(Settings!$B$22=Settings!$C$6,1,IF(Settings!$B$22="USD",1/INDEX(Settings!$B$29:$B$40,MONTH(A1418)),INDEX(Settings!$B$29:$B$40,MONTH(A1418)))))</f>
        <v/>
      </c>
    </row>
    <row r="1419" customFormat="false" ht="15" hidden="false" customHeight="false" outlineLevel="0" collapsed="false">
      <c r="H1419" s="0" t="str">
        <f aca="false">IF(B1419="","",IF(COUNTIF(Campaigns!$A$7:$A$300,B1419)&gt;0,"✓","⚠ add to Campaigns tab"))</f>
        <v/>
      </c>
      <c r="I1419" s="84" t="str">
        <f aca="false">IF(C1419="","",C1419*IF(Settings!$B$22=Settings!$C$6,1,IF(Settings!$B$22="USD",1/INDEX(Settings!$B$29:$B$40,MONTH(A1419)),INDEX(Settings!$B$29:$B$40,MONTH(A1419)))))</f>
        <v/>
      </c>
    </row>
    <row r="1420" customFormat="false" ht="15" hidden="false" customHeight="false" outlineLevel="0" collapsed="false">
      <c r="H1420" s="0" t="str">
        <f aca="false">IF(B1420="","",IF(COUNTIF(Campaigns!$A$7:$A$300,B1420)&gt;0,"✓","⚠ add to Campaigns tab"))</f>
        <v/>
      </c>
      <c r="I1420" s="84" t="str">
        <f aca="false">IF(C1420="","",C1420*IF(Settings!$B$22=Settings!$C$6,1,IF(Settings!$B$22="USD",1/INDEX(Settings!$B$29:$B$40,MONTH(A1420)),INDEX(Settings!$B$29:$B$40,MONTH(A1420)))))</f>
        <v/>
      </c>
    </row>
    <row r="1421" customFormat="false" ht="15" hidden="false" customHeight="false" outlineLevel="0" collapsed="false">
      <c r="H1421" s="0" t="str">
        <f aca="false">IF(B1421="","",IF(COUNTIF(Campaigns!$A$7:$A$300,B1421)&gt;0,"✓","⚠ add to Campaigns tab"))</f>
        <v/>
      </c>
      <c r="I1421" s="84" t="str">
        <f aca="false">IF(C1421="","",C1421*IF(Settings!$B$22=Settings!$C$6,1,IF(Settings!$B$22="USD",1/INDEX(Settings!$B$29:$B$40,MONTH(A1421)),INDEX(Settings!$B$29:$B$40,MONTH(A1421)))))</f>
        <v/>
      </c>
    </row>
    <row r="1422" customFormat="false" ht="15" hidden="false" customHeight="false" outlineLevel="0" collapsed="false">
      <c r="H1422" s="0" t="str">
        <f aca="false">IF(B1422="","",IF(COUNTIF(Campaigns!$A$7:$A$300,B1422)&gt;0,"✓","⚠ add to Campaigns tab"))</f>
        <v/>
      </c>
      <c r="I1422" s="84" t="str">
        <f aca="false">IF(C1422="","",C1422*IF(Settings!$B$22=Settings!$C$6,1,IF(Settings!$B$22="USD",1/INDEX(Settings!$B$29:$B$40,MONTH(A1422)),INDEX(Settings!$B$29:$B$40,MONTH(A1422)))))</f>
        <v/>
      </c>
    </row>
    <row r="1423" customFormat="false" ht="15" hidden="false" customHeight="false" outlineLevel="0" collapsed="false">
      <c r="H1423" s="0" t="str">
        <f aca="false">IF(B1423="","",IF(COUNTIF(Campaigns!$A$7:$A$300,B1423)&gt;0,"✓","⚠ add to Campaigns tab"))</f>
        <v/>
      </c>
      <c r="I1423" s="84" t="str">
        <f aca="false">IF(C1423="","",C1423*IF(Settings!$B$22=Settings!$C$6,1,IF(Settings!$B$22="USD",1/INDEX(Settings!$B$29:$B$40,MONTH(A1423)),INDEX(Settings!$B$29:$B$40,MONTH(A1423)))))</f>
        <v/>
      </c>
    </row>
    <row r="1424" customFormat="false" ht="15" hidden="false" customHeight="false" outlineLevel="0" collapsed="false">
      <c r="H1424" s="0" t="str">
        <f aca="false">IF(B1424="","",IF(COUNTIF(Campaigns!$A$7:$A$300,B1424)&gt;0,"✓","⚠ add to Campaigns tab"))</f>
        <v/>
      </c>
      <c r="I1424" s="84" t="str">
        <f aca="false">IF(C1424="","",C1424*IF(Settings!$B$22=Settings!$C$6,1,IF(Settings!$B$22="USD",1/INDEX(Settings!$B$29:$B$40,MONTH(A1424)),INDEX(Settings!$B$29:$B$40,MONTH(A1424)))))</f>
        <v/>
      </c>
    </row>
    <row r="1425" customFormat="false" ht="15" hidden="false" customHeight="false" outlineLevel="0" collapsed="false">
      <c r="H1425" s="0" t="str">
        <f aca="false">IF(B1425="","",IF(COUNTIF(Campaigns!$A$7:$A$300,B1425)&gt;0,"✓","⚠ add to Campaigns tab"))</f>
        <v/>
      </c>
      <c r="I1425" s="84" t="str">
        <f aca="false">IF(C1425="","",C1425*IF(Settings!$B$22=Settings!$C$6,1,IF(Settings!$B$22="USD",1/INDEX(Settings!$B$29:$B$40,MONTH(A1425)),INDEX(Settings!$B$29:$B$40,MONTH(A1425)))))</f>
        <v/>
      </c>
    </row>
    <row r="1426" customFormat="false" ht="15" hidden="false" customHeight="false" outlineLevel="0" collapsed="false">
      <c r="H1426" s="0" t="str">
        <f aca="false">IF(B1426="","",IF(COUNTIF(Campaigns!$A$7:$A$300,B1426)&gt;0,"✓","⚠ add to Campaigns tab"))</f>
        <v/>
      </c>
      <c r="I1426" s="84" t="str">
        <f aca="false">IF(C1426="","",C1426*IF(Settings!$B$22=Settings!$C$6,1,IF(Settings!$B$22="USD",1/INDEX(Settings!$B$29:$B$40,MONTH(A1426)),INDEX(Settings!$B$29:$B$40,MONTH(A1426)))))</f>
        <v/>
      </c>
    </row>
    <row r="1427" customFormat="false" ht="15" hidden="false" customHeight="false" outlineLevel="0" collapsed="false">
      <c r="H1427" s="0" t="str">
        <f aca="false">IF(B1427="","",IF(COUNTIF(Campaigns!$A$7:$A$300,B1427)&gt;0,"✓","⚠ add to Campaigns tab"))</f>
        <v/>
      </c>
      <c r="I1427" s="84" t="str">
        <f aca="false">IF(C1427="","",C1427*IF(Settings!$B$22=Settings!$C$6,1,IF(Settings!$B$22="USD",1/INDEX(Settings!$B$29:$B$40,MONTH(A1427)),INDEX(Settings!$B$29:$B$40,MONTH(A1427)))))</f>
        <v/>
      </c>
    </row>
    <row r="1428" customFormat="false" ht="15" hidden="false" customHeight="false" outlineLevel="0" collapsed="false">
      <c r="H1428" s="0" t="str">
        <f aca="false">IF(B1428="","",IF(COUNTIF(Campaigns!$A$7:$A$300,B1428)&gt;0,"✓","⚠ add to Campaigns tab"))</f>
        <v/>
      </c>
      <c r="I1428" s="84" t="str">
        <f aca="false">IF(C1428="","",C1428*IF(Settings!$B$22=Settings!$C$6,1,IF(Settings!$B$22="USD",1/INDEX(Settings!$B$29:$B$40,MONTH(A1428)),INDEX(Settings!$B$29:$B$40,MONTH(A1428)))))</f>
        <v/>
      </c>
    </row>
    <row r="1429" customFormat="false" ht="15" hidden="false" customHeight="false" outlineLevel="0" collapsed="false">
      <c r="H1429" s="0" t="str">
        <f aca="false">IF(B1429="","",IF(COUNTIF(Campaigns!$A$7:$A$300,B1429)&gt;0,"✓","⚠ add to Campaigns tab"))</f>
        <v/>
      </c>
      <c r="I1429" s="84" t="str">
        <f aca="false">IF(C1429="","",C1429*IF(Settings!$B$22=Settings!$C$6,1,IF(Settings!$B$22="USD",1/INDEX(Settings!$B$29:$B$40,MONTH(A1429)),INDEX(Settings!$B$29:$B$40,MONTH(A1429)))))</f>
        <v/>
      </c>
    </row>
    <row r="1430" customFormat="false" ht="15" hidden="false" customHeight="false" outlineLevel="0" collapsed="false">
      <c r="H1430" s="0" t="str">
        <f aca="false">IF(B1430="","",IF(COUNTIF(Campaigns!$A$7:$A$300,B1430)&gt;0,"✓","⚠ add to Campaigns tab"))</f>
        <v/>
      </c>
      <c r="I1430" s="84" t="str">
        <f aca="false">IF(C1430="","",C1430*IF(Settings!$B$22=Settings!$C$6,1,IF(Settings!$B$22="USD",1/INDEX(Settings!$B$29:$B$40,MONTH(A1430)),INDEX(Settings!$B$29:$B$40,MONTH(A1430)))))</f>
        <v/>
      </c>
    </row>
    <row r="1431" customFormat="false" ht="15" hidden="false" customHeight="false" outlineLevel="0" collapsed="false">
      <c r="H1431" s="0" t="str">
        <f aca="false">IF(B1431="","",IF(COUNTIF(Campaigns!$A$7:$A$300,B1431)&gt;0,"✓","⚠ add to Campaigns tab"))</f>
        <v/>
      </c>
      <c r="I1431" s="84" t="str">
        <f aca="false">IF(C1431="","",C1431*IF(Settings!$B$22=Settings!$C$6,1,IF(Settings!$B$22="USD",1/INDEX(Settings!$B$29:$B$40,MONTH(A1431)),INDEX(Settings!$B$29:$B$40,MONTH(A1431)))))</f>
        <v/>
      </c>
    </row>
    <row r="1432" customFormat="false" ht="15" hidden="false" customHeight="false" outlineLevel="0" collapsed="false">
      <c r="H1432" s="0" t="str">
        <f aca="false">IF(B1432="","",IF(COUNTIF(Campaigns!$A$7:$A$300,B1432)&gt;0,"✓","⚠ add to Campaigns tab"))</f>
        <v/>
      </c>
      <c r="I1432" s="84" t="str">
        <f aca="false">IF(C1432="","",C1432*IF(Settings!$B$22=Settings!$C$6,1,IF(Settings!$B$22="USD",1/INDEX(Settings!$B$29:$B$40,MONTH(A1432)),INDEX(Settings!$B$29:$B$40,MONTH(A1432)))))</f>
        <v/>
      </c>
    </row>
    <row r="1433" customFormat="false" ht="15" hidden="false" customHeight="false" outlineLevel="0" collapsed="false">
      <c r="H1433" s="0" t="str">
        <f aca="false">IF(B1433="","",IF(COUNTIF(Campaigns!$A$7:$A$300,B1433)&gt;0,"✓","⚠ add to Campaigns tab"))</f>
        <v/>
      </c>
      <c r="I1433" s="84" t="str">
        <f aca="false">IF(C1433="","",C1433*IF(Settings!$B$22=Settings!$C$6,1,IF(Settings!$B$22="USD",1/INDEX(Settings!$B$29:$B$40,MONTH(A1433)),INDEX(Settings!$B$29:$B$40,MONTH(A1433)))))</f>
        <v/>
      </c>
    </row>
    <row r="1434" customFormat="false" ht="15" hidden="false" customHeight="false" outlineLevel="0" collapsed="false">
      <c r="H1434" s="0" t="str">
        <f aca="false">IF(B1434="","",IF(COUNTIF(Campaigns!$A$7:$A$300,B1434)&gt;0,"✓","⚠ add to Campaigns tab"))</f>
        <v/>
      </c>
      <c r="I1434" s="84" t="str">
        <f aca="false">IF(C1434="","",C1434*IF(Settings!$B$22=Settings!$C$6,1,IF(Settings!$B$22="USD",1/INDEX(Settings!$B$29:$B$40,MONTH(A1434)),INDEX(Settings!$B$29:$B$40,MONTH(A1434)))))</f>
        <v/>
      </c>
    </row>
    <row r="1435" customFormat="false" ht="15" hidden="false" customHeight="false" outlineLevel="0" collapsed="false">
      <c r="H1435" s="0" t="str">
        <f aca="false">IF(B1435="","",IF(COUNTIF(Campaigns!$A$7:$A$300,B1435)&gt;0,"✓","⚠ add to Campaigns tab"))</f>
        <v/>
      </c>
      <c r="I1435" s="84" t="str">
        <f aca="false">IF(C1435="","",C1435*IF(Settings!$B$22=Settings!$C$6,1,IF(Settings!$B$22="USD",1/INDEX(Settings!$B$29:$B$40,MONTH(A1435)),INDEX(Settings!$B$29:$B$40,MONTH(A1435)))))</f>
        <v/>
      </c>
    </row>
    <row r="1436" customFormat="false" ht="15" hidden="false" customHeight="false" outlineLevel="0" collapsed="false">
      <c r="H1436" s="0" t="str">
        <f aca="false">IF(B1436="","",IF(COUNTIF(Campaigns!$A$7:$A$300,B1436)&gt;0,"✓","⚠ add to Campaigns tab"))</f>
        <v/>
      </c>
      <c r="I1436" s="84" t="str">
        <f aca="false">IF(C1436="","",C1436*IF(Settings!$B$22=Settings!$C$6,1,IF(Settings!$B$22="USD",1/INDEX(Settings!$B$29:$B$40,MONTH(A1436)),INDEX(Settings!$B$29:$B$40,MONTH(A1436)))))</f>
        <v/>
      </c>
    </row>
    <row r="1437" customFormat="false" ht="15" hidden="false" customHeight="false" outlineLevel="0" collapsed="false">
      <c r="H1437" s="0" t="str">
        <f aca="false">IF(B1437="","",IF(COUNTIF(Campaigns!$A$7:$A$300,B1437)&gt;0,"✓","⚠ add to Campaigns tab"))</f>
        <v/>
      </c>
      <c r="I1437" s="84" t="str">
        <f aca="false">IF(C1437="","",C1437*IF(Settings!$B$22=Settings!$C$6,1,IF(Settings!$B$22="USD",1/INDEX(Settings!$B$29:$B$40,MONTH(A1437)),INDEX(Settings!$B$29:$B$40,MONTH(A1437)))))</f>
        <v/>
      </c>
    </row>
    <row r="1438" customFormat="false" ht="15" hidden="false" customHeight="false" outlineLevel="0" collapsed="false">
      <c r="H1438" s="0" t="str">
        <f aca="false">IF(B1438="","",IF(COUNTIF(Campaigns!$A$7:$A$300,B1438)&gt;0,"✓","⚠ add to Campaigns tab"))</f>
        <v/>
      </c>
      <c r="I1438" s="84" t="str">
        <f aca="false">IF(C1438="","",C1438*IF(Settings!$B$22=Settings!$C$6,1,IF(Settings!$B$22="USD",1/INDEX(Settings!$B$29:$B$40,MONTH(A1438)),INDEX(Settings!$B$29:$B$40,MONTH(A1438)))))</f>
        <v/>
      </c>
    </row>
    <row r="1439" customFormat="false" ht="15" hidden="false" customHeight="false" outlineLevel="0" collapsed="false">
      <c r="H1439" s="0" t="str">
        <f aca="false">IF(B1439="","",IF(COUNTIF(Campaigns!$A$7:$A$300,B1439)&gt;0,"✓","⚠ add to Campaigns tab"))</f>
        <v/>
      </c>
      <c r="I1439" s="84" t="str">
        <f aca="false">IF(C1439="","",C1439*IF(Settings!$B$22=Settings!$C$6,1,IF(Settings!$B$22="USD",1/INDEX(Settings!$B$29:$B$40,MONTH(A1439)),INDEX(Settings!$B$29:$B$40,MONTH(A1439)))))</f>
        <v/>
      </c>
    </row>
    <row r="1440" customFormat="false" ht="15" hidden="false" customHeight="false" outlineLevel="0" collapsed="false">
      <c r="H1440" s="0" t="str">
        <f aca="false">IF(B1440="","",IF(COUNTIF(Campaigns!$A$7:$A$300,B1440)&gt;0,"✓","⚠ add to Campaigns tab"))</f>
        <v/>
      </c>
      <c r="I1440" s="84" t="str">
        <f aca="false">IF(C1440="","",C1440*IF(Settings!$B$22=Settings!$C$6,1,IF(Settings!$B$22="USD",1/INDEX(Settings!$B$29:$B$40,MONTH(A1440)),INDEX(Settings!$B$29:$B$40,MONTH(A1440)))))</f>
        <v/>
      </c>
    </row>
    <row r="1441" customFormat="false" ht="15" hidden="false" customHeight="false" outlineLevel="0" collapsed="false">
      <c r="H1441" s="0" t="str">
        <f aca="false">IF(B1441="","",IF(COUNTIF(Campaigns!$A$7:$A$300,B1441)&gt;0,"✓","⚠ add to Campaigns tab"))</f>
        <v/>
      </c>
      <c r="I1441" s="84" t="str">
        <f aca="false">IF(C1441="","",C1441*IF(Settings!$B$22=Settings!$C$6,1,IF(Settings!$B$22="USD",1/INDEX(Settings!$B$29:$B$40,MONTH(A1441)),INDEX(Settings!$B$29:$B$40,MONTH(A1441)))))</f>
        <v/>
      </c>
    </row>
    <row r="1442" customFormat="false" ht="15" hidden="false" customHeight="false" outlineLevel="0" collapsed="false">
      <c r="H1442" s="0" t="str">
        <f aca="false">IF(B1442="","",IF(COUNTIF(Campaigns!$A$7:$A$300,B1442)&gt;0,"✓","⚠ add to Campaigns tab"))</f>
        <v/>
      </c>
      <c r="I1442" s="84" t="str">
        <f aca="false">IF(C1442="","",C1442*IF(Settings!$B$22=Settings!$C$6,1,IF(Settings!$B$22="USD",1/INDEX(Settings!$B$29:$B$40,MONTH(A1442)),INDEX(Settings!$B$29:$B$40,MONTH(A1442)))))</f>
        <v/>
      </c>
    </row>
    <row r="1443" customFormat="false" ht="15" hidden="false" customHeight="false" outlineLevel="0" collapsed="false">
      <c r="H1443" s="0" t="str">
        <f aca="false">IF(B1443="","",IF(COUNTIF(Campaigns!$A$7:$A$300,B1443)&gt;0,"✓","⚠ add to Campaigns tab"))</f>
        <v/>
      </c>
      <c r="I1443" s="84" t="str">
        <f aca="false">IF(C1443="","",C1443*IF(Settings!$B$22=Settings!$C$6,1,IF(Settings!$B$22="USD",1/INDEX(Settings!$B$29:$B$40,MONTH(A1443)),INDEX(Settings!$B$29:$B$40,MONTH(A1443)))))</f>
        <v/>
      </c>
    </row>
    <row r="1444" customFormat="false" ht="15" hidden="false" customHeight="false" outlineLevel="0" collapsed="false">
      <c r="H1444" s="0" t="str">
        <f aca="false">IF(B1444="","",IF(COUNTIF(Campaigns!$A$7:$A$300,B1444)&gt;0,"✓","⚠ add to Campaigns tab"))</f>
        <v/>
      </c>
      <c r="I1444" s="84" t="str">
        <f aca="false">IF(C1444="","",C1444*IF(Settings!$B$22=Settings!$C$6,1,IF(Settings!$B$22="USD",1/INDEX(Settings!$B$29:$B$40,MONTH(A1444)),INDEX(Settings!$B$29:$B$40,MONTH(A1444)))))</f>
        <v/>
      </c>
    </row>
    <row r="1445" customFormat="false" ht="15" hidden="false" customHeight="false" outlineLevel="0" collapsed="false">
      <c r="H1445" s="0" t="str">
        <f aca="false">IF(B1445="","",IF(COUNTIF(Campaigns!$A$7:$A$300,B1445)&gt;0,"✓","⚠ add to Campaigns tab"))</f>
        <v/>
      </c>
      <c r="I1445" s="84" t="str">
        <f aca="false">IF(C1445="","",C1445*IF(Settings!$B$22=Settings!$C$6,1,IF(Settings!$B$22="USD",1/INDEX(Settings!$B$29:$B$40,MONTH(A1445)),INDEX(Settings!$B$29:$B$40,MONTH(A1445)))))</f>
        <v/>
      </c>
    </row>
    <row r="1446" customFormat="false" ht="15" hidden="false" customHeight="false" outlineLevel="0" collapsed="false">
      <c r="H1446" s="0" t="str">
        <f aca="false">IF(B1446="","",IF(COUNTIF(Campaigns!$A$7:$A$300,B1446)&gt;0,"✓","⚠ add to Campaigns tab"))</f>
        <v/>
      </c>
      <c r="I1446" s="84" t="str">
        <f aca="false">IF(C1446="","",C1446*IF(Settings!$B$22=Settings!$C$6,1,IF(Settings!$B$22="USD",1/INDEX(Settings!$B$29:$B$40,MONTH(A1446)),INDEX(Settings!$B$29:$B$40,MONTH(A1446)))))</f>
        <v/>
      </c>
    </row>
    <row r="1447" customFormat="false" ht="15" hidden="false" customHeight="false" outlineLevel="0" collapsed="false">
      <c r="H1447" s="0" t="str">
        <f aca="false">IF(B1447="","",IF(COUNTIF(Campaigns!$A$7:$A$300,B1447)&gt;0,"✓","⚠ add to Campaigns tab"))</f>
        <v/>
      </c>
      <c r="I1447" s="84" t="str">
        <f aca="false">IF(C1447="","",C1447*IF(Settings!$B$22=Settings!$C$6,1,IF(Settings!$B$22="USD",1/INDEX(Settings!$B$29:$B$40,MONTH(A1447)),INDEX(Settings!$B$29:$B$40,MONTH(A1447)))))</f>
        <v/>
      </c>
    </row>
    <row r="1448" customFormat="false" ht="15" hidden="false" customHeight="false" outlineLevel="0" collapsed="false">
      <c r="H1448" s="0" t="str">
        <f aca="false">IF(B1448="","",IF(COUNTIF(Campaigns!$A$7:$A$300,B1448)&gt;0,"✓","⚠ add to Campaigns tab"))</f>
        <v/>
      </c>
      <c r="I1448" s="84" t="str">
        <f aca="false">IF(C1448="","",C1448*IF(Settings!$B$22=Settings!$C$6,1,IF(Settings!$B$22="USD",1/INDEX(Settings!$B$29:$B$40,MONTH(A1448)),INDEX(Settings!$B$29:$B$40,MONTH(A1448)))))</f>
        <v/>
      </c>
    </row>
    <row r="1449" customFormat="false" ht="15" hidden="false" customHeight="false" outlineLevel="0" collapsed="false">
      <c r="H1449" s="0" t="str">
        <f aca="false">IF(B1449="","",IF(COUNTIF(Campaigns!$A$7:$A$300,B1449)&gt;0,"✓","⚠ add to Campaigns tab"))</f>
        <v/>
      </c>
      <c r="I1449" s="84" t="str">
        <f aca="false">IF(C1449="","",C1449*IF(Settings!$B$22=Settings!$C$6,1,IF(Settings!$B$22="USD",1/INDEX(Settings!$B$29:$B$40,MONTH(A1449)),INDEX(Settings!$B$29:$B$40,MONTH(A1449)))))</f>
        <v/>
      </c>
    </row>
    <row r="1450" customFormat="false" ht="15" hidden="false" customHeight="false" outlineLevel="0" collapsed="false">
      <c r="H1450" s="0" t="str">
        <f aca="false">IF(B1450="","",IF(COUNTIF(Campaigns!$A$7:$A$300,B1450)&gt;0,"✓","⚠ add to Campaigns tab"))</f>
        <v/>
      </c>
      <c r="I1450" s="84" t="str">
        <f aca="false">IF(C1450="","",C1450*IF(Settings!$B$22=Settings!$C$6,1,IF(Settings!$B$22="USD",1/INDEX(Settings!$B$29:$B$40,MONTH(A1450)),INDEX(Settings!$B$29:$B$40,MONTH(A1450)))))</f>
        <v/>
      </c>
    </row>
    <row r="1451" customFormat="false" ht="15" hidden="false" customHeight="false" outlineLevel="0" collapsed="false">
      <c r="H1451" s="0" t="str">
        <f aca="false">IF(B1451="","",IF(COUNTIF(Campaigns!$A$7:$A$300,B1451)&gt;0,"✓","⚠ add to Campaigns tab"))</f>
        <v/>
      </c>
      <c r="I1451" s="84" t="str">
        <f aca="false">IF(C1451="","",C1451*IF(Settings!$B$22=Settings!$C$6,1,IF(Settings!$B$22="USD",1/INDEX(Settings!$B$29:$B$40,MONTH(A1451)),INDEX(Settings!$B$29:$B$40,MONTH(A1451)))))</f>
        <v/>
      </c>
    </row>
    <row r="1452" customFormat="false" ht="15" hidden="false" customHeight="false" outlineLevel="0" collapsed="false">
      <c r="H1452" s="0" t="str">
        <f aca="false">IF(B1452="","",IF(COUNTIF(Campaigns!$A$7:$A$300,B1452)&gt;0,"✓","⚠ add to Campaigns tab"))</f>
        <v/>
      </c>
      <c r="I1452" s="84" t="str">
        <f aca="false">IF(C1452="","",C1452*IF(Settings!$B$22=Settings!$C$6,1,IF(Settings!$B$22="USD",1/INDEX(Settings!$B$29:$B$40,MONTH(A1452)),INDEX(Settings!$B$29:$B$40,MONTH(A1452)))))</f>
        <v/>
      </c>
    </row>
    <row r="1453" customFormat="false" ht="15" hidden="false" customHeight="false" outlineLevel="0" collapsed="false">
      <c r="H1453" s="0" t="str">
        <f aca="false">IF(B1453="","",IF(COUNTIF(Campaigns!$A$7:$A$300,B1453)&gt;0,"✓","⚠ add to Campaigns tab"))</f>
        <v/>
      </c>
      <c r="I1453" s="84" t="str">
        <f aca="false">IF(C1453="","",C1453*IF(Settings!$B$22=Settings!$C$6,1,IF(Settings!$B$22="USD",1/INDEX(Settings!$B$29:$B$40,MONTH(A1453)),INDEX(Settings!$B$29:$B$40,MONTH(A1453)))))</f>
        <v/>
      </c>
    </row>
    <row r="1454" customFormat="false" ht="15" hidden="false" customHeight="false" outlineLevel="0" collapsed="false">
      <c r="H1454" s="0" t="str">
        <f aca="false">IF(B1454="","",IF(COUNTIF(Campaigns!$A$7:$A$300,B1454)&gt;0,"✓","⚠ add to Campaigns tab"))</f>
        <v/>
      </c>
      <c r="I1454" s="84" t="str">
        <f aca="false">IF(C1454="","",C1454*IF(Settings!$B$22=Settings!$C$6,1,IF(Settings!$B$22="USD",1/INDEX(Settings!$B$29:$B$40,MONTH(A1454)),INDEX(Settings!$B$29:$B$40,MONTH(A1454)))))</f>
        <v/>
      </c>
    </row>
    <row r="1455" customFormat="false" ht="15" hidden="false" customHeight="false" outlineLevel="0" collapsed="false">
      <c r="H1455" s="0" t="str">
        <f aca="false">IF(B1455="","",IF(COUNTIF(Campaigns!$A$7:$A$300,B1455)&gt;0,"✓","⚠ add to Campaigns tab"))</f>
        <v/>
      </c>
      <c r="I1455" s="84" t="str">
        <f aca="false">IF(C1455="","",C1455*IF(Settings!$B$22=Settings!$C$6,1,IF(Settings!$B$22="USD",1/INDEX(Settings!$B$29:$B$40,MONTH(A1455)),INDEX(Settings!$B$29:$B$40,MONTH(A1455)))))</f>
        <v/>
      </c>
    </row>
    <row r="1456" customFormat="false" ht="15" hidden="false" customHeight="false" outlineLevel="0" collapsed="false">
      <c r="H1456" s="0" t="str">
        <f aca="false">IF(B1456="","",IF(COUNTIF(Campaigns!$A$7:$A$300,B1456)&gt;0,"✓","⚠ add to Campaigns tab"))</f>
        <v/>
      </c>
      <c r="I1456" s="84" t="str">
        <f aca="false">IF(C1456="","",C1456*IF(Settings!$B$22=Settings!$C$6,1,IF(Settings!$B$22="USD",1/INDEX(Settings!$B$29:$B$40,MONTH(A1456)),INDEX(Settings!$B$29:$B$40,MONTH(A1456)))))</f>
        <v/>
      </c>
    </row>
    <row r="1457" customFormat="false" ht="15" hidden="false" customHeight="false" outlineLevel="0" collapsed="false">
      <c r="H1457" s="0" t="str">
        <f aca="false">IF(B1457="","",IF(COUNTIF(Campaigns!$A$7:$A$300,B1457)&gt;0,"✓","⚠ add to Campaigns tab"))</f>
        <v/>
      </c>
      <c r="I1457" s="84" t="str">
        <f aca="false">IF(C1457="","",C1457*IF(Settings!$B$22=Settings!$C$6,1,IF(Settings!$B$22="USD",1/INDEX(Settings!$B$29:$B$40,MONTH(A1457)),INDEX(Settings!$B$29:$B$40,MONTH(A1457)))))</f>
        <v/>
      </c>
    </row>
    <row r="1458" customFormat="false" ht="15" hidden="false" customHeight="false" outlineLevel="0" collapsed="false">
      <c r="H1458" s="0" t="str">
        <f aca="false">IF(B1458="","",IF(COUNTIF(Campaigns!$A$7:$A$300,B1458)&gt;0,"✓","⚠ add to Campaigns tab"))</f>
        <v/>
      </c>
      <c r="I1458" s="84" t="str">
        <f aca="false">IF(C1458="","",C1458*IF(Settings!$B$22=Settings!$C$6,1,IF(Settings!$B$22="USD",1/INDEX(Settings!$B$29:$B$40,MONTH(A1458)),INDEX(Settings!$B$29:$B$40,MONTH(A1458)))))</f>
        <v/>
      </c>
    </row>
    <row r="1459" customFormat="false" ht="15" hidden="false" customHeight="false" outlineLevel="0" collapsed="false">
      <c r="H1459" s="0" t="str">
        <f aca="false">IF(B1459="","",IF(COUNTIF(Campaigns!$A$7:$A$300,B1459)&gt;0,"✓","⚠ add to Campaigns tab"))</f>
        <v/>
      </c>
      <c r="I1459" s="84" t="str">
        <f aca="false">IF(C1459="","",C1459*IF(Settings!$B$22=Settings!$C$6,1,IF(Settings!$B$22="USD",1/INDEX(Settings!$B$29:$B$40,MONTH(A1459)),INDEX(Settings!$B$29:$B$40,MONTH(A1459)))))</f>
        <v/>
      </c>
    </row>
    <row r="1460" customFormat="false" ht="15" hidden="false" customHeight="false" outlineLevel="0" collapsed="false">
      <c r="H1460" s="0" t="str">
        <f aca="false">IF(B1460="","",IF(COUNTIF(Campaigns!$A$7:$A$300,B1460)&gt;0,"✓","⚠ add to Campaigns tab"))</f>
        <v/>
      </c>
      <c r="I1460" s="84" t="str">
        <f aca="false">IF(C1460="","",C1460*IF(Settings!$B$22=Settings!$C$6,1,IF(Settings!$B$22="USD",1/INDEX(Settings!$B$29:$B$40,MONTH(A1460)),INDEX(Settings!$B$29:$B$40,MONTH(A1460)))))</f>
        <v/>
      </c>
    </row>
    <row r="1461" customFormat="false" ht="15" hidden="false" customHeight="false" outlineLevel="0" collapsed="false">
      <c r="H1461" s="0" t="str">
        <f aca="false">IF(B1461="","",IF(COUNTIF(Campaigns!$A$7:$A$300,B1461)&gt;0,"✓","⚠ add to Campaigns tab"))</f>
        <v/>
      </c>
      <c r="I1461" s="84" t="str">
        <f aca="false">IF(C1461="","",C1461*IF(Settings!$B$22=Settings!$C$6,1,IF(Settings!$B$22="USD",1/INDEX(Settings!$B$29:$B$40,MONTH(A1461)),INDEX(Settings!$B$29:$B$40,MONTH(A1461)))))</f>
        <v/>
      </c>
    </row>
    <row r="1462" customFormat="false" ht="15" hidden="false" customHeight="false" outlineLevel="0" collapsed="false">
      <c r="H1462" s="0" t="str">
        <f aca="false">IF(B1462="","",IF(COUNTIF(Campaigns!$A$7:$A$300,B1462)&gt;0,"✓","⚠ add to Campaigns tab"))</f>
        <v/>
      </c>
      <c r="I1462" s="84" t="str">
        <f aca="false">IF(C1462="","",C1462*IF(Settings!$B$22=Settings!$C$6,1,IF(Settings!$B$22="USD",1/INDEX(Settings!$B$29:$B$40,MONTH(A1462)),INDEX(Settings!$B$29:$B$40,MONTH(A1462)))))</f>
        <v/>
      </c>
    </row>
    <row r="1463" customFormat="false" ht="15" hidden="false" customHeight="false" outlineLevel="0" collapsed="false">
      <c r="H1463" s="0" t="str">
        <f aca="false">IF(B1463="","",IF(COUNTIF(Campaigns!$A$7:$A$300,B1463)&gt;0,"✓","⚠ add to Campaigns tab"))</f>
        <v/>
      </c>
      <c r="I1463" s="84" t="str">
        <f aca="false">IF(C1463="","",C1463*IF(Settings!$B$22=Settings!$C$6,1,IF(Settings!$B$22="USD",1/INDEX(Settings!$B$29:$B$40,MONTH(A1463)),INDEX(Settings!$B$29:$B$40,MONTH(A1463)))))</f>
        <v/>
      </c>
    </row>
    <row r="1464" customFormat="false" ht="15" hidden="false" customHeight="false" outlineLevel="0" collapsed="false">
      <c r="H1464" s="0" t="str">
        <f aca="false">IF(B1464="","",IF(COUNTIF(Campaigns!$A$7:$A$300,B1464)&gt;0,"✓","⚠ add to Campaigns tab"))</f>
        <v/>
      </c>
      <c r="I1464" s="84" t="str">
        <f aca="false">IF(C1464="","",C1464*IF(Settings!$B$22=Settings!$C$6,1,IF(Settings!$B$22="USD",1/INDEX(Settings!$B$29:$B$40,MONTH(A1464)),INDEX(Settings!$B$29:$B$40,MONTH(A1464)))))</f>
        <v/>
      </c>
    </row>
    <row r="1465" customFormat="false" ht="15" hidden="false" customHeight="false" outlineLevel="0" collapsed="false">
      <c r="H1465" s="0" t="str">
        <f aca="false">IF(B1465="","",IF(COUNTIF(Campaigns!$A$7:$A$300,B1465)&gt;0,"✓","⚠ add to Campaigns tab"))</f>
        <v/>
      </c>
      <c r="I1465" s="84" t="str">
        <f aca="false">IF(C1465="","",C1465*IF(Settings!$B$22=Settings!$C$6,1,IF(Settings!$B$22="USD",1/INDEX(Settings!$B$29:$B$40,MONTH(A1465)),INDEX(Settings!$B$29:$B$40,MONTH(A1465)))))</f>
        <v/>
      </c>
    </row>
    <row r="1466" customFormat="false" ht="15" hidden="false" customHeight="false" outlineLevel="0" collapsed="false">
      <c r="H1466" s="0" t="str">
        <f aca="false">IF(B1466="","",IF(COUNTIF(Campaigns!$A$7:$A$300,B1466)&gt;0,"✓","⚠ add to Campaigns tab"))</f>
        <v/>
      </c>
      <c r="I1466" s="84" t="str">
        <f aca="false">IF(C1466="","",C1466*IF(Settings!$B$22=Settings!$C$6,1,IF(Settings!$B$22="USD",1/INDEX(Settings!$B$29:$B$40,MONTH(A1466)),INDEX(Settings!$B$29:$B$40,MONTH(A1466)))))</f>
        <v/>
      </c>
    </row>
    <row r="1467" customFormat="false" ht="15" hidden="false" customHeight="false" outlineLevel="0" collapsed="false">
      <c r="H1467" s="0" t="str">
        <f aca="false">IF(B1467="","",IF(COUNTIF(Campaigns!$A$7:$A$300,B1467)&gt;0,"✓","⚠ add to Campaigns tab"))</f>
        <v/>
      </c>
      <c r="I1467" s="84" t="str">
        <f aca="false">IF(C1467="","",C1467*IF(Settings!$B$22=Settings!$C$6,1,IF(Settings!$B$22="USD",1/INDEX(Settings!$B$29:$B$40,MONTH(A1467)),INDEX(Settings!$B$29:$B$40,MONTH(A1467)))))</f>
        <v/>
      </c>
    </row>
    <row r="1468" customFormat="false" ht="15" hidden="false" customHeight="false" outlineLevel="0" collapsed="false">
      <c r="H1468" s="0" t="str">
        <f aca="false">IF(B1468="","",IF(COUNTIF(Campaigns!$A$7:$A$300,B1468)&gt;0,"✓","⚠ add to Campaigns tab"))</f>
        <v/>
      </c>
      <c r="I1468" s="84" t="str">
        <f aca="false">IF(C1468="","",C1468*IF(Settings!$B$22=Settings!$C$6,1,IF(Settings!$B$22="USD",1/INDEX(Settings!$B$29:$B$40,MONTH(A1468)),INDEX(Settings!$B$29:$B$40,MONTH(A1468)))))</f>
        <v/>
      </c>
    </row>
    <row r="1469" customFormat="false" ht="15" hidden="false" customHeight="false" outlineLevel="0" collapsed="false">
      <c r="H1469" s="0" t="str">
        <f aca="false">IF(B1469="","",IF(COUNTIF(Campaigns!$A$7:$A$300,B1469)&gt;0,"✓","⚠ add to Campaigns tab"))</f>
        <v/>
      </c>
      <c r="I1469" s="84" t="str">
        <f aca="false">IF(C1469="","",C1469*IF(Settings!$B$22=Settings!$C$6,1,IF(Settings!$B$22="USD",1/INDEX(Settings!$B$29:$B$40,MONTH(A1469)),INDEX(Settings!$B$29:$B$40,MONTH(A1469)))))</f>
        <v/>
      </c>
    </row>
    <row r="1470" customFormat="false" ht="15" hidden="false" customHeight="false" outlineLevel="0" collapsed="false">
      <c r="H1470" s="0" t="str">
        <f aca="false">IF(B1470="","",IF(COUNTIF(Campaigns!$A$7:$A$300,B1470)&gt;0,"✓","⚠ add to Campaigns tab"))</f>
        <v/>
      </c>
      <c r="I1470" s="84" t="str">
        <f aca="false">IF(C1470="","",C1470*IF(Settings!$B$22=Settings!$C$6,1,IF(Settings!$B$22="USD",1/INDEX(Settings!$B$29:$B$40,MONTH(A1470)),INDEX(Settings!$B$29:$B$40,MONTH(A1470)))))</f>
        <v/>
      </c>
    </row>
    <row r="1471" customFormat="false" ht="15" hidden="false" customHeight="false" outlineLevel="0" collapsed="false">
      <c r="H1471" s="0" t="str">
        <f aca="false">IF(B1471="","",IF(COUNTIF(Campaigns!$A$7:$A$300,B1471)&gt;0,"✓","⚠ add to Campaigns tab"))</f>
        <v/>
      </c>
      <c r="I1471" s="84" t="str">
        <f aca="false">IF(C1471="","",C1471*IF(Settings!$B$22=Settings!$C$6,1,IF(Settings!$B$22="USD",1/INDEX(Settings!$B$29:$B$40,MONTH(A1471)),INDEX(Settings!$B$29:$B$40,MONTH(A1471)))))</f>
        <v/>
      </c>
    </row>
    <row r="1472" customFormat="false" ht="15" hidden="false" customHeight="false" outlineLevel="0" collapsed="false">
      <c r="H1472" s="0" t="str">
        <f aca="false">IF(B1472="","",IF(COUNTIF(Campaigns!$A$7:$A$300,B1472)&gt;0,"✓","⚠ add to Campaigns tab"))</f>
        <v/>
      </c>
      <c r="I1472" s="84" t="str">
        <f aca="false">IF(C1472="","",C1472*IF(Settings!$B$22=Settings!$C$6,1,IF(Settings!$B$22="USD",1/INDEX(Settings!$B$29:$B$40,MONTH(A1472)),INDEX(Settings!$B$29:$B$40,MONTH(A1472)))))</f>
        <v/>
      </c>
    </row>
    <row r="1473" customFormat="false" ht="15" hidden="false" customHeight="false" outlineLevel="0" collapsed="false">
      <c r="H1473" s="0" t="str">
        <f aca="false">IF(B1473="","",IF(COUNTIF(Campaigns!$A$7:$A$300,B1473)&gt;0,"✓","⚠ add to Campaigns tab"))</f>
        <v/>
      </c>
      <c r="I1473" s="84" t="str">
        <f aca="false">IF(C1473="","",C1473*IF(Settings!$B$22=Settings!$C$6,1,IF(Settings!$B$22="USD",1/INDEX(Settings!$B$29:$B$40,MONTH(A1473)),INDEX(Settings!$B$29:$B$40,MONTH(A1473)))))</f>
        <v/>
      </c>
    </row>
    <row r="1474" customFormat="false" ht="15" hidden="false" customHeight="false" outlineLevel="0" collapsed="false">
      <c r="H1474" s="0" t="str">
        <f aca="false">IF(B1474="","",IF(COUNTIF(Campaigns!$A$7:$A$300,B1474)&gt;0,"✓","⚠ add to Campaigns tab"))</f>
        <v/>
      </c>
      <c r="I1474" s="84" t="str">
        <f aca="false">IF(C1474="","",C1474*IF(Settings!$B$22=Settings!$C$6,1,IF(Settings!$B$22="USD",1/INDEX(Settings!$B$29:$B$40,MONTH(A1474)),INDEX(Settings!$B$29:$B$40,MONTH(A1474)))))</f>
        <v/>
      </c>
    </row>
    <row r="1475" customFormat="false" ht="15" hidden="false" customHeight="false" outlineLevel="0" collapsed="false">
      <c r="H1475" s="0" t="str">
        <f aca="false">IF(B1475="","",IF(COUNTIF(Campaigns!$A$7:$A$300,B1475)&gt;0,"✓","⚠ add to Campaigns tab"))</f>
        <v/>
      </c>
      <c r="I1475" s="84" t="str">
        <f aca="false">IF(C1475="","",C1475*IF(Settings!$B$22=Settings!$C$6,1,IF(Settings!$B$22="USD",1/INDEX(Settings!$B$29:$B$40,MONTH(A1475)),INDEX(Settings!$B$29:$B$40,MONTH(A1475)))))</f>
        <v/>
      </c>
    </row>
    <row r="1476" customFormat="false" ht="15" hidden="false" customHeight="false" outlineLevel="0" collapsed="false">
      <c r="H1476" s="0" t="str">
        <f aca="false">IF(B1476="","",IF(COUNTIF(Campaigns!$A$7:$A$300,B1476)&gt;0,"✓","⚠ add to Campaigns tab"))</f>
        <v/>
      </c>
      <c r="I1476" s="84" t="str">
        <f aca="false">IF(C1476="","",C1476*IF(Settings!$B$22=Settings!$C$6,1,IF(Settings!$B$22="USD",1/INDEX(Settings!$B$29:$B$40,MONTH(A1476)),INDEX(Settings!$B$29:$B$40,MONTH(A1476)))))</f>
        <v/>
      </c>
    </row>
    <row r="1477" customFormat="false" ht="15" hidden="false" customHeight="false" outlineLevel="0" collapsed="false">
      <c r="H1477" s="0" t="str">
        <f aca="false">IF(B1477="","",IF(COUNTIF(Campaigns!$A$7:$A$300,B1477)&gt;0,"✓","⚠ add to Campaigns tab"))</f>
        <v/>
      </c>
      <c r="I1477" s="84" t="str">
        <f aca="false">IF(C1477="","",C1477*IF(Settings!$B$22=Settings!$C$6,1,IF(Settings!$B$22="USD",1/INDEX(Settings!$B$29:$B$40,MONTH(A1477)),INDEX(Settings!$B$29:$B$40,MONTH(A1477)))))</f>
        <v/>
      </c>
    </row>
    <row r="1478" customFormat="false" ht="15" hidden="false" customHeight="false" outlineLevel="0" collapsed="false">
      <c r="H1478" s="0" t="str">
        <f aca="false">IF(B1478="","",IF(COUNTIF(Campaigns!$A$7:$A$300,B1478)&gt;0,"✓","⚠ add to Campaigns tab"))</f>
        <v/>
      </c>
      <c r="I1478" s="84" t="str">
        <f aca="false">IF(C1478="","",C1478*IF(Settings!$B$22=Settings!$C$6,1,IF(Settings!$B$22="USD",1/INDEX(Settings!$B$29:$B$40,MONTH(A1478)),INDEX(Settings!$B$29:$B$40,MONTH(A1478)))))</f>
        <v/>
      </c>
    </row>
    <row r="1479" customFormat="false" ht="15" hidden="false" customHeight="false" outlineLevel="0" collapsed="false">
      <c r="H1479" s="0" t="str">
        <f aca="false">IF(B1479="","",IF(COUNTIF(Campaigns!$A$7:$A$300,B1479)&gt;0,"✓","⚠ add to Campaigns tab"))</f>
        <v/>
      </c>
      <c r="I1479" s="84" t="str">
        <f aca="false">IF(C1479="","",C1479*IF(Settings!$B$22=Settings!$C$6,1,IF(Settings!$B$22="USD",1/INDEX(Settings!$B$29:$B$40,MONTH(A1479)),INDEX(Settings!$B$29:$B$40,MONTH(A1479)))))</f>
        <v/>
      </c>
    </row>
    <row r="1480" customFormat="false" ht="15" hidden="false" customHeight="false" outlineLevel="0" collapsed="false">
      <c r="H1480" s="0" t="str">
        <f aca="false">IF(B1480="","",IF(COUNTIF(Campaigns!$A$7:$A$300,B1480)&gt;0,"✓","⚠ add to Campaigns tab"))</f>
        <v/>
      </c>
      <c r="I1480" s="84" t="str">
        <f aca="false">IF(C1480="","",C1480*IF(Settings!$B$22=Settings!$C$6,1,IF(Settings!$B$22="USD",1/INDEX(Settings!$B$29:$B$40,MONTH(A1480)),INDEX(Settings!$B$29:$B$40,MONTH(A1480)))))</f>
        <v/>
      </c>
    </row>
    <row r="1481" customFormat="false" ht="15" hidden="false" customHeight="false" outlineLevel="0" collapsed="false">
      <c r="H1481" s="0" t="str">
        <f aca="false">IF(B1481="","",IF(COUNTIF(Campaigns!$A$7:$A$300,B1481)&gt;0,"✓","⚠ add to Campaigns tab"))</f>
        <v/>
      </c>
      <c r="I1481" s="84" t="str">
        <f aca="false">IF(C1481="","",C1481*IF(Settings!$B$22=Settings!$C$6,1,IF(Settings!$B$22="USD",1/INDEX(Settings!$B$29:$B$40,MONTH(A1481)),INDEX(Settings!$B$29:$B$40,MONTH(A1481)))))</f>
        <v/>
      </c>
    </row>
    <row r="1482" customFormat="false" ht="15" hidden="false" customHeight="false" outlineLevel="0" collapsed="false">
      <c r="H1482" s="0" t="str">
        <f aca="false">IF(B1482="","",IF(COUNTIF(Campaigns!$A$7:$A$300,B1482)&gt;0,"✓","⚠ add to Campaigns tab"))</f>
        <v/>
      </c>
      <c r="I1482" s="84" t="str">
        <f aca="false">IF(C1482="","",C1482*IF(Settings!$B$22=Settings!$C$6,1,IF(Settings!$B$22="USD",1/INDEX(Settings!$B$29:$B$40,MONTH(A1482)),INDEX(Settings!$B$29:$B$40,MONTH(A1482)))))</f>
        <v/>
      </c>
    </row>
    <row r="1483" customFormat="false" ht="15" hidden="false" customHeight="false" outlineLevel="0" collapsed="false">
      <c r="H1483" s="0" t="str">
        <f aca="false">IF(B1483="","",IF(COUNTIF(Campaigns!$A$7:$A$300,B1483)&gt;0,"✓","⚠ add to Campaigns tab"))</f>
        <v/>
      </c>
      <c r="I1483" s="84" t="str">
        <f aca="false">IF(C1483="","",C1483*IF(Settings!$B$22=Settings!$C$6,1,IF(Settings!$B$22="USD",1/INDEX(Settings!$B$29:$B$40,MONTH(A1483)),INDEX(Settings!$B$29:$B$40,MONTH(A1483)))))</f>
        <v/>
      </c>
    </row>
    <row r="1484" customFormat="false" ht="15" hidden="false" customHeight="false" outlineLevel="0" collapsed="false">
      <c r="H1484" s="0" t="str">
        <f aca="false">IF(B1484="","",IF(COUNTIF(Campaigns!$A$7:$A$300,B1484)&gt;0,"✓","⚠ add to Campaigns tab"))</f>
        <v/>
      </c>
      <c r="I1484" s="84" t="str">
        <f aca="false">IF(C1484="","",C1484*IF(Settings!$B$22=Settings!$C$6,1,IF(Settings!$B$22="USD",1/INDEX(Settings!$B$29:$B$40,MONTH(A1484)),INDEX(Settings!$B$29:$B$40,MONTH(A1484)))))</f>
        <v/>
      </c>
    </row>
    <row r="1485" customFormat="false" ht="15" hidden="false" customHeight="false" outlineLevel="0" collapsed="false">
      <c r="H1485" s="0" t="str">
        <f aca="false">IF(B1485="","",IF(COUNTIF(Campaigns!$A$7:$A$300,B1485)&gt;0,"✓","⚠ add to Campaigns tab"))</f>
        <v/>
      </c>
      <c r="I1485" s="84" t="str">
        <f aca="false">IF(C1485="","",C1485*IF(Settings!$B$22=Settings!$C$6,1,IF(Settings!$B$22="USD",1/INDEX(Settings!$B$29:$B$40,MONTH(A1485)),INDEX(Settings!$B$29:$B$40,MONTH(A1485)))))</f>
        <v/>
      </c>
    </row>
    <row r="1486" customFormat="false" ht="15" hidden="false" customHeight="false" outlineLevel="0" collapsed="false">
      <c r="H1486" s="0" t="str">
        <f aca="false">IF(B1486="","",IF(COUNTIF(Campaigns!$A$7:$A$300,B1486)&gt;0,"✓","⚠ add to Campaigns tab"))</f>
        <v/>
      </c>
      <c r="I1486" s="84" t="str">
        <f aca="false">IF(C1486="","",C1486*IF(Settings!$B$22=Settings!$C$6,1,IF(Settings!$B$22="USD",1/INDEX(Settings!$B$29:$B$40,MONTH(A1486)),INDEX(Settings!$B$29:$B$40,MONTH(A1486)))))</f>
        <v/>
      </c>
    </row>
    <row r="1487" customFormat="false" ht="15" hidden="false" customHeight="false" outlineLevel="0" collapsed="false">
      <c r="H1487" s="0" t="str">
        <f aca="false">IF(B1487="","",IF(COUNTIF(Campaigns!$A$7:$A$300,B1487)&gt;0,"✓","⚠ add to Campaigns tab"))</f>
        <v/>
      </c>
      <c r="I1487" s="84" t="str">
        <f aca="false">IF(C1487="","",C1487*IF(Settings!$B$22=Settings!$C$6,1,IF(Settings!$B$22="USD",1/INDEX(Settings!$B$29:$B$40,MONTH(A1487)),INDEX(Settings!$B$29:$B$40,MONTH(A1487)))))</f>
        <v/>
      </c>
    </row>
    <row r="1488" customFormat="false" ht="15" hidden="false" customHeight="false" outlineLevel="0" collapsed="false">
      <c r="H1488" s="0" t="str">
        <f aca="false">IF(B1488="","",IF(COUNTIF(Campaigns!$A$7:$A$300,B1488)&gt;0,"✓","⚠ add to Campaigns tab"))</f>
        <v/>
      </c>
      <c r="I1488" s="84" t="str">
        <f aca="false">IF(C1488="","",C1488*IF(Settings!$B$22=Settings!$C$6,1,IF(Settings!$B$22="USD",1/INDEX(Settings!$B$29:$B$40,MONTH(A1488)),INDEX(Settings!$B$29:$B$40,MONTH(A1488)))))</f>
        <v/>
      </c>
    </row>
    <row r="1489" customFormat="false" ht="15" hidden="false" customHeight="false" outlineLevel="0" collapsed="false">
      <c r="H1489" s="0" t="str">
        <f aca="false">IF(B1489="","",IF(COUNTIF(Campaigns!$A$7:$A$300,B1489)&gt;0,"✓","⚠ add to Campaigns tab"))</f>
        <v/>
      </c>
      <c r="I1489" s="84" t="str">
        <f aca="false">IF(C1489="","",C1489*IF(Settings!$B$22=Settings!$C$6,1,IF(Settings!$B$22="USD",1/INDEX(Settings!$B$29:$B$40,MONTH(A1489)),INDEX(Settings!$B$29:$B$40,MONTH(A1489)))))</f>
        <v/>
      </c>
    </row>
    <row r="1490" customFormat="false" ht="15" hidden="false" customHeight="false" outlineLevel="0" collapsed="false">
      <c r="H1490" s="0" t="str">
        <f aca="false">IF(B1490="","",IF(COUNTIF(Campaigns!$A$7:$A$300,B1490)&gt;0,"✓","⚠ add to Campaigns tab"))</f>
        <v/>
      </c>
      <c r="I1490" s="84" t="str">
        <f aca="false">IF(C1490="","",C1490*IF(Settings!$B$22=Settings!$C$6,1,IF(Settings!$B$22="USD",1/INDEX(Settings!$B$29:$B$40,MONTH(A1490)),INDEX(Settings!$B$29:$B$40,MONTH(A1490)))))</f>
        <v/>
      </c>
    </row>
    <row r="1491" customFormat="false" ht="15" hidden="false" customHeight="false" outlineLevel="0" collapsed="false">
      <c r="H1491" s="0" t="str">
        <f aca="false">IF(B1491="","",IF(COUNTIF(Campaigns!$A$7:$A$300,B1491)&gt;0,"✓","⚠ add to Campaigns tab"))</f>
        <v/>
      </c>
      <c r="I1491" s="84" t="str">
        <f aca="false">IF(C1491="","",C1491*IF(Settings!$B$22=Settings!$C$6,1,IF(Settings!$B$22="USD",1/INDEX(Settings!$B$29:$B$40,MONTH(A1491)),INDEX(Settings!$B$29:$B$40,MONTH(A1491)))))</f>
        <v/>
      </c>
    </row>
    <row r="1492" customFormat="false" ht="15" hidden="false" customHeight="false" outlineLevel="0" collapsed="false">
      <c r="H1492" s="0" t="str">
        <f aca="false">IF(B1492="","",IF(COUNTIF(Campaigns!$A$7:$A$300,B1492)&gt;0,"✓","⚠ add to Campaigns tab"))</f>
        <v/>
      </c>
      <c r="I1492" s="84" t="str">
        <f aca="false">IF(C1492="","",C1492*IF(Settings!$B$22=Settings!$C$6,1,IF(Settings!$B$22="USD",1/INDEX(Settings!$B$29:$B$40,MONTH(A1492)),INDEX(Settings!$B$29:$B$40,MONTH(A1492)))))</f>
        <v/>
      </c>
    </row>
    <row r="1493" customFormat="false" ht="15" hidden="false" customHeight="false" outlineLevel="0" collapsed="false">
      <c r="H1493" s="0" t="str">
        <f aca="false">IF(B1493="","",IF(COUNTIF(Campaigns!$A$7:$A$300,B1493)&gt;0,"✓","⚠ add to Campaigns tab"))</f>
        <v/>
      </c>
      <c r="I1493" s="84" t="str">
        <f aca="false">IF(C1493="","",C1493*IF(Settings!$B$22=Settings!$C$6,1,IF(Settings!$B$22="USD",1/INDEX(Settings!$B$29:$B$40,MONTH(A1493)),INDEX(Settings!$B$29:$B$40,MONTH(A1493)))))</f>
        <v/>
      </c>
    </row>
    <row r="1494" customFormat="false" ht="15" hidden="false" customHeight="false" outlineLevel="0" collapsed="false">
      <c r="H1494" s="0" t="str">
        <f aca="false">IF(B1494="","",IF(COUNTIF(Campaigns!$A$7:$A$300,B1494)&gt;0,"✓","⚠ add to Campaigns tab"))</f>
        <v/>
      </c>
      <c r="I1494" s="84" t="str">
        <f aca="false">IF(C1494="","",C1494*IF(Settings!$B$22=Settings!$C$6,1,IF(Settings!$B$22="USD",1/INDEX(Settings!$B$29:$B$40,MONTH(A1494)),INDEX(Settings!$B$29:$B$40,MONTH(A1494)))))</f>
        <v/>
      </c>
    </row>
    <row r="1495" customFormat="false" ht="15" hidden="false" customHeight="false" outlineLevel="0" collapsed="false">
      <c r="H1495" s="0" t="str">
        <f aca="false">IF(B1495="","",IF(COUNTIF(Campaigns!$A$7:$A$300,B1495)&gt;0,"✓","⚠ add to Campaigns tab"))</f>
        <v/>
      </c>
      <c r="I1495" s="84" t="str">
        <f aca="false">IF(C1495="","",C1495*IF(Settings!$B$22=Settings!$C$6,1,IF(Settings!$B$22="USD",1/INDEX(Settings!$B$29:$B$40,MONTH(A1495)),INDEX(Settings!$B$29:$B$40,MONTH(A1495)))))</f>
        <v/>
      </c>
    </row>
    <row r="1496" customFormat="false" ht="15" hidden="false" customHeight="false" outlineLevel="0" collapsed="false">
      <c r="H1496" s="0" t="str">
        <f aca="false">IF(B1496="","",IF(COUNTIF(Campaigns!$A$7:$A$300,B1496)&gt;0,"✓","⚠ add to Campaigns tab"))</f>
        <v/>
      </c>
      <c r="I1496" s="84" t="str">
        <f aca="false">IF(C1496="","",C1496*IF(Settings!$B$22=Settings!$C$6,1,IF(Settings!$B$22="USD",1/INDEX(Settings!$B$29:$B$40,MONTH(A1496)),INDEX(Settings!$B$29:$B$40,MONTH(A1496)))))</f>
        <v/>
      </c>
    </row>
    <row r="1497" customFormat="false" ht="15" hidden="false" customHeight="false" outlineLevel="0" collapsed="false">
      <c r="H1497" s="0" t="str">
        <f aca="false">IF(B1497="","",IF(COUNTIF(Campaigns!$A$7:$A$300,B1497)&gt;0,"✓","⚠ add to Campaigns tab"))</f>
        <v/>
      </c>
      <c r="I1497" s="84" t="str">
        <f aca="false">IF(C1497="","",C1497*IF(Settings!$B$22=Settings!$C$6,1,IF(Settings!$B$22="USD",1/INDEX(Settings!$B$29:$B$40,MONTH(A1497)),INDEX(Settings!$B$29:$B$40,MONTH(A1497)))))</f>
        <v/>
      </c>
    </row>
    <row r="1498" customFormat="false" ht="15" hidden="false" customHeight="false" outlineLevel="0" collapsed="false">
      <c r="H1498" s="0" t="str">
        <f aca="false">IF(B1498="","",IF(COUNTIF(Campaigns!$A$7:$A$300,B1498)&gt;0,"✓","⚠ add to Campaigns tab"))</f>
        <v/>
      </c>
      <c r="I1498" s="84" t="str">
        <f aca="false">IF(C1498="","",C1498*IF(Settings!$B$22=Settings!$C$6,1,IF(Settings!$B$22="USD",1/INDEX(Settings!$B$29:$B$40,MONTH(A1498)),INDEX(Settings!$B$29:$B$40,MONTH(A1498)))))</f>
        <v/>
      </c>
    </row>
    <row r="1499" customFormat="false" ht="15" hidden="false" customHeight="false" outlineLevel="0" collapsed="false">
      <c r="H1499" s="0" t="str">
        <f aca="false">IF(B1499="","",IF(COUNTIF(Campaigns!$A$7:$A$300,B1499)&gt;0,"✓","⚠ add to Campaigns tab"))</f>
        <v/>
      </c>
      <c r="I1499" s="84" t="str">
        <f aca="false">IF(C1499="","",C1499*IF(Settings!$B$22=Settings!$C$6,1,IF(Settings!$B$22="USD",1/INDEX(Settings!$B$29:$B$40,MONTH(A1499)),INDEX(Settings!$B$29:$B$40,MONTH(A1499)))))</f>
        <v/>
      </c>
    </row>
    <row r="1500" customFormat="false" ht="15" hidden="false" customHeight="false" outlineLevel="0" collapsed="false">
      <c r="H1500" s="0" t="str">
        <f aca="false">IF(B1500="","",IF(COUNTIF(Campaigns!$A$7:$A$300,B1500)&gt;0,"✓","⚠ add to Campaigns tab"))</f>
        <v/>
      </c>
      <c r="I1500" s="84" t="str">
        <f aca="false">IF(C1500="","",C1500*IF(Settings!$B$22=Settings!$C$6,1,IF(Settings!$B$22="USD",1/INDEX(Settings!$B$29:$B$40,MONTH(A1500)),INDEX(Settings!$B$29:$B$40,MONTH(A1500)))))</f>
        <v/>
      </c>
    </row>
    <row r="1501" customFormat="false" ht="15" hidden="false" customHeight="false" outlineLevel="0" collapsed="false">
      <c r="H1501" s="0" t="str">
        <f aca="false">IF(B1501="","",IF(COUNTIF(Campaigns!$A$7:$A$300,B1501)&gt;0,"✓","⚠ add to Campaigns tab"))</f>
        <v/>
      </c>
      <c r="I1501" s="84" t="str">
        <f aca="false">IF(C1501="","",C1501*IF(Settings!$B$22=Settings!$C$6,1,IF(Settings!$B$22="USD",1/INDEX(Settings!$B$29:$B$40,MONTH(A1501)),INDEX(Settings!$B$29:$B$40,MONTH(A1501)))))</f>
        <v/>
      </c>
    </row>
    <row r="1502" customFormat="false" ht="15" hidden="false" customHeight="false" outlineLevel="0" collapsed="false">
      <c r="H1502" s="0" t="str">
        <f aca="false">IF(B1502="","",IF(COUNTIF(Campaigns!$A$7:$A$300,B1502)&gt;0,"✓","⚠ add to Campaigns tab"))</f>
        <v/>
      </c>
      <c r="I1502" s="84" t="str">
        <f aca="false">IF(C1502="","",C1502*IF(Settings!$B$22=Settings!$C$6,1,IF(Settings!$B$22="USD",1/INDEX(Settings!$B$29:$B$40,MONTH(A1502)),INDEX(Settings!$B$29:$B$40,MONTH(A1502)))))</f>
        <v/>
      </c>
    </row>
    <row r="1503" customFormat="false" ht="15" hidden="false" customHeight="false" outlineLevel="0" collapsed="false">
      <c r="H1503" s="0" t="str">
        <f aca="false">IF(B1503="","",IF(COUNTIF(Campaigns!$A$7:$A$300,B1503)&gt;0,"✓","⚠ add to Campaigns tab"))</f>
        <v/>
      </c>
      <c r="I1503" s="84" t="str">
        <f aca="false">IF(C1503="","",C1503*IF(Settings!$B$22=Settings!$C$6,1,IF(Settings!$B$22="USD",1/INDEX(Settings!$B$29:$B$40,MONTH(A1503)),INDEX(Settings!$B$29:$B$40,MONTH(A1503)))))</f>
        <v/>
      </c>
    </row>
    <row r="1504" customFormat="false" ht="15" hidden="false" customHeight="false" outlineLevel="0" collapsed="false">
      <c r="H1504" s="0" t="str">
        <f aca="false">IF(B1504="","",IF(COUNTIF(Campaigns!$A$7:$A$300,B1504)&gt;0,"✓","⚠ add to Campaigns tab"))</f>
        <v/>
      </c>
      <c r="I1504" s="84" t="str">
        <f aca="false">IF(C1504="","",C1504*IF(Settings!$B$22=Settings!$C$6,1,IF(Settings!$B$22="USD",1/INDEX(Settings!$B$29:$B$40,MONTH(A1504)),INDEX(Settings!$B$29:$B$40,MONTH(A1504)))))</f>
        <v/>
      </c>
    </row>
    <row r="1505" customFormat="false" ht="15" hidden="false" customHeight="false" outlineLevel="0" collapsed="false">
      <c r="H1505" s="0" t="str">
        <f aca="false">IF(B1505="","",IF(COUNTIF(Campaigns!$A$7:$A$300,B1505)&gt;0,"✓","⚠ add to Campaigns tab"))</f>
        <v/>
      </c>
      <c r="I1505" s="84" t="str">
        <f aca="false">IF(C1505="","",C1505*IF(Settings!$B$22=Settings!$C$6,1,IF(Settings!$B$22="USD",1/INDEX(Settings!$B$29:$B$40,MONTH(A1505)),INDEX(Settings!$B$29:$B$40,MONTH(A1505)))))</f>
        <v/>
      </c>
    </row>
    <row r="1506" customFormat="false" ht="15" hidden="false" customHeight="false" outlineLevel="0" collapsed="false">
      <c r="H1506" s="0" t="str">
        <f aca="false">IF(B1506="","",IF(COUNTIF(Campaigns!$A$7:$A$300,B1506)&gt;0,"✓","⚠ add to Campaigns tab"))</f>
        <v/>
      </c>
      <c r="I1506" s="84" t="str">
        <f aca="false">IF(C1506="","",C1506*IF(Settings!$B$22=Settings!$C$6,1,IF(Settings!$B$22="USD",1/INDEX(Settings!$B$29:$B$40,MONTH(A1506)),INDEX(Settings!$B$29:$B$40,MONTH(A1506)))))</f>
        <v/>
      </c>
    </row>
    <row r="1507" customFormat="false" ht="15" hidden="false" customHeight="false" outlineLevel="0" collapsed="false">
      <c r="H1507" s="0" t="str">
        <f aca="false">IF(B1507="","",IF(COUNTIF(Campaigns!$A$7:$A$300,B1507)&gt;0,"✓","⚠ add to Campaigns tab"))</f>
        <v/>
      </c>
      <c r="I1507" s="84" t="str">
        <f aca="false">IF(C1507="","",C1507*IF(Settings!$B$22=Settings!$C$6,1,IF(Settings!$B$22="USD",1/INDEX(Settings!$B$29:$B$40,MONTH(A1507)),INDEX(Settings!$B$29:$B$40,MONTH(A1507)))))</f>
        <v/>
      </c>
    </row>
    <row r="1508" customFormat="false" ht="15" hidden="false" customHeight="false" outlineLevel="0" collapsed="false">
      <c r="H1508" s="0" t="str">
        <f aca="false">IF(B1508="","",IF(COUNTIF(Campaigns!$A$7:$A$300,B1508)&gt;0,"✓","⚠ add to Campaigns tab"))</f>
        <v/>
      </c>
      <c r="I1508" s="84" t="str">
        <f aca="false">IF(C1508="","",C1508*IF(Settings!$B$22=Settings!$C$6,1,IF(Settings!$B$22="USD",1/INDEX(Settings!$B$29:$B$40,MONTH(A1508)),INDEX(Settings!$B$29:$B$40,MONTH(A1508)))))</f>
        <v/>
      </c>
    </row>
    <row r="1509" customFormat="false" ht="15" hidden="false" customHeight="false" outlineLevel="0" collapsed="false">
      <c r="H1509" s="0" t="str">
        <f aca="false">IF(B1509="","",IF(COUNTIF(Campaigns!$A$7:$A$300,B1509)&gt;0,"✓","⚠ add to Campaigns tab"))</f>
        <v/>
      </c>
      <c r="I1509" s="84" t="str">
        <f aca="false">IF(C1509="","",C1509*IF(Settings!$B$22=Settings!$C$6,1,IF(Settings!$B$22="USD",1/INDEX(Settings!$B$29:$B$40,MONTH(A1509)),INDEX(Settings!$B$29:$B$40,MONTH(A1509)))))</f>
        <v/>
      </c>
    </row>
    <row r="1510" customFormat="false" ht="15" hidden="false" customHeight="false" outlineLevel="0" collapsed="false">
      <c r="H1510" s="0" t="str">
        <f aca="false">IF(B1510="","",IF(COUNTIF(Campaigns!$A$7:$A$300,B1510)&gt;0,"✓","⚠ add to Campaigns tab"))</f>
        <v/>
      </c>
      <c r="I1510" s="84" t="str">
        <f aca="false">IF(C1510="","",C1510*IF(Settings!$B$22=Settings!$C$6,1,IF(Settings!$B$22="USD",1/INDEX(Settings!$B$29:$B$40,MONTH(A1510)),INDEX(Settings!$B$29:$B$40,MONTH(A1510)))))</f>
        <v/>
      </c>
    </row>
    <row r="1511" customFormat="false" ht="15" hidden="false" customHeight="false" outlineLevel="0" collapsed="false">
      <c r="H1511" s="0" t="str">
        <f aca="false">IF(B1511="","",IF(COUNTIF(Campaigns!$A$7:$A$300,B1511)&gt;0,"✓","⚠ add to Campaigns tab"))</f>
        <v/>
      </c>
      <c r="I1511" s="84" t="str">
        <f aca="false">IF(C1511="","",C1511*IF(Settings!$B$22=Settings!$C$6,1,IF(Settings!$B$22="USD",1/INDEX(Settings!$B$29:$B$40,MONTH(A1511)),INDEX(Settings!$B$29:$B$40,MONTH(A1511)))))</f>
        <v/>
      </c>
    </row>
    <row r="1512" customFormat="false" ht="15" hidden="false" customHeight="false" outlineLevel="0" collapsed="false">
      <c r="H1512" s="0" t="str">
        <f aca="false">IF(B1512="","",IF(COUNTIF(Campaigns!$A$7:$A$300,B1512)&gt;0,"✓","⚠ add to Campaigns tab"))</f>
        <v/>
      </c>
      <c r="I1512" s="84" t="str">
        <f aca="false">IF(C1512="","",C1512*IF(Settings!$B$22=Settings!$C$6,1,IF(Settings!$B$22="USD",1/INDEX(Settings!$B$29:$B$40,MONTH(A1512)),INDEX(Settings!$B$29:$B$40,MONTH(A1512)))))</f>
        <v/>
      </c>
    </row>
    <row r="1513" customFormat="false" ht="15" hidden="false" customHeight="false" outlineLevel="0" collapsed="false">
      <c r="H1513" s="0" t="str">
        <f aca="false">IF(B1513="","",IF(COUNTIF(Campaigns!$A$7:$A$300,B1513)&gt;0,"✓","⚠ add to Campaigns tab"))</f>
        <v/>
      </c>
      <c r="I1513" s="84" t="str">
        <f aca="false">IF(C1513="","",C1513*IF(Settings!$B$22=Settings!$C$6,1,IF(Settings!$B$22="USD",1/INDEX(Settings!$B$29:$B$40,MONTH(A1513)),INDEX(Settings!$B$29:$B$40,MONTH(A1513)))))</f>
        <v/>
      </c>
    </row>
    <row r="1514" customFormat="false" ht="15" hidden="false" customHeight="false" outlineLevel="0" collapsed="false">
      <c r="H1514" s="0" t="str">
        <f aca="false">IF(B1514="","",IF(COUNTIF(Campaigns!$A$7:$A$300,B1514)&gt;0,"✓","⚠ add to Campaigns tab"))</f>
        <v/>
      </c>
      <c r="I1514" s="84" t="str">
        <f aca="false">IF(C1514="","",C1514*IF(Settings!$B$22=Settings!$C$6,1,IF(Settings!$B$22="USD",1/INDEX(Settings!$B$29:$B$40,MONTH(A1514)),INDEX(Settings!$B$29:$B$40,MONTH(A1514)))))</f>
        <v/>
      </c>
    </row>
    <row r="1515" customFormat="false" ht="15" hidden="false" customHeight="false" outlineLevel="0" collapsed="false">
      <c r="H1515" s="0" t="str">
        <f aca="false">IF(B1515="","",IF(COUNTIF(Campaigns!$A$7:$A$300,B1515)&gt;0,"✓","⚠ add to Campaigns tab"))</f>
        <v/>
      </c>
      <c r="I1515" s="84" t="str">
        <f aca="false">IF(C1515="","",C1515*IF(Settings!$B$22=Settings!$C$6,1,IF(Settings!$B$22="USD",1/INDEX(Settings!$B$29:$B$40,MONTH(A1515)),INDEX(Settings!$B$29:$B$40,MONTH(A1515)))))</f>
        <v/>
      </c>
    </row>
    <row r="1516" customFormat="false" ht="15" hidden="false" customHeight="false" outlineLevel="0" collapsed="false">
      <c r="H1516" s="0" t="str">
        <f aca="false">IF(B1516="","",IF(COUNTIF(Campaigns!$A$7:$A$300,B1516)&gt;0,"✓","⚠ add to Campaigns tab"))</f>
        <v/>
      </c>
      <c r="I1516" s="84" t="str">
        <f aca="false">IF(C1516="","",C1516*IF(Settings!$B$22=Settings!$C$6,1,IF(Settings!$B$22="USD",1/INDEX(Settings!$B$29:$B$40,MONTH(A1516)),INDEX(Settings!$B$29:$B$40,MONTH(A1516)))))</f>
        <v/>
      </c>
    </row>
    <row r="1517" customFormat="false" ht="15" hidden="false" customHeight="false" outlineLevel="0" collapsed="false">
      <c r="H1517" s="0" t="str">
        <f aca="false">IF(B1517="","",IF(COUNTIF(Campaigns!$A$7:$A$300,B1517)&gt;0,"✓","⚠ add to Campaigns tab"))</f>
        <v/>
      </c>
      <c r="I1517" s="84" t="str">
        <f aca="false">IF(C1517="","",C1517*IF(Settings!$B$22=Settings!$C$6,1,IF(Settings!$B$22="USD",1/INDEX(Settings!$B$29:$B$40,MONTH(A1517)),INDEX(Settings!$B$29:$B$40,MONTH(A1517)))))</f>
        <v/>
      </c>
    </row>
    <row r="1518" customFormat="false" ht="15" hidden="false" customHeight="false" outlineLevel="0" collapsed="false">
      <c r="H1518" s="0" t="str">
        <f aca="false">IF(B1518="","",IF(COUNTIF(Campaigns!$A$7:$A$300,B1518)&gt;0,"✓","⚠ add to Campaigns tab"))</f>
        <v/>
      </c>
      <c r="I1518" s="84" t="str">
        <f aca="false">IF(C1518="","",C1518*IF(Settings!$B$22=Settings!$C$6,1,IF(Settings!$B$22="USD",1/INDEX(Settings!$B$29:$B$40,MONTH(A1518)),INDEX(Settings!$B$29:$B$40,MONTH(A1518)))))</f>
        <v/>
      </c>
    </row>
    <row r="1519" customFormat="false" ht="15" hidden="false" customHeight="false" outlineLevel="0" collapsed="false">
      <c r="H1519" s="0" t="str">
        <f aca="false">IF(B1519="","",IF(COUNTIF(Campaigns!$A$7:$A$300,B1519)&gt;0,"✓","⚠ add to Campaigns tab"))</f>
        <v/>
      </c>
      <c r="I1519" s="84" t="str">
        <f aca="false">IF(C1519="","",C1519*IF(Settings!$B$22=Settings!$C$6,1,IF(Settings!$B$22="USD",1/INDEX(Settings!$B$29:$B$40,MONTH(A1519)),INDEX(Settings!$B$29:$B$40,MONTH(A1519)))))</f>
        <v/>
      </c>
    </row>
    <row r="1520" customFormat="false" ht="15" hidden="false" customHeight="false" outlineLevel="0" collapsed="false">
      <c r="H1520" s="0" t="str">
        <f aca="false">IF(B1520="","",IF(COUNTIF(Campaigns!$A$7:$A$300,B1520)&gt;0,"✓","⚠ add to Campaigns tab"))</f>
        <v/>
      </c>
      <c r="I1520" s="84" t="str">
        <f aca="false">IF(C1520="","",C1520*IF(Settings!$B$22=Settings!$C$6,1,IF(Settings!$B$22="USD",1/INDEX(Settings!$B$29:$B$40,MONTH(A1520)),INDEX(Settings!$B$29:$B$40,MONTH(A1520)))))</f>
        <v/>
      </c>
    </row>
    <row r="1521" customFormat="false" ht="15" hidden="false" customHeight="false" outlineLevel="0" collapsed="false">
      <c r="H1521" s="0" t="str">
        <f aca="false">IF(B1521="","",IF(COUNTIF(Campaigns!$A$7:$A$300,B1521)&gt;0,"✓","⚠ add to Campaigns tab"))</f>
        <v/>
      </c>
      <c r="I1521" s="84" t="str">
        <f aca="false">IF(C1521="","",C1521*IF(Settings!$B$22=Settings!$C$6,1,IF(Settings!$B$22="USD",1/INDEX(Settings!$B$29:$B$40,MONTH(A1521)),INDEX(Settings!$B$29:$B$40,MONTH(A1521)))))</f>
        <v/>
      </c>
    </row>
    <row r="1522" customFormat="false" ht="15" hidden="false" customHeight="false" outlineLevel="0" collapsed="false">
      <c r="H1522" s="0" t="str">
        <f aca="false">IF(B1522="","",IF(COUNTIF(Campaigns!$A$7:$A$300,B1522)&gt;0,"✓","⚠ add to Campaigns tab"))</f>
        <v/>
      </c>
      <c r="I1522" s="84" t="str">
        <f aca="false">IF(C1522="","",C1522*IF(Settings!$B$22=Settings!$C$6,1,IF(Settings!$B$22="USD",1/INDEX(Settings!$B$29:$B$40,MONTH(A1522)),INDEX(Settings!$B$29:$B$40,MONTH(A1522)))))</f>
        <v/>
      </c>
    </row>
    <row r="1523" customFormat="false" ht="15" hidden="false" customHeight="false" outlineLevel="0" collapsed="false">
      <c r="H1523" s="0" t="str">
        <f aca="false">IF(B1523="","",IF(COUNTIF(Campaigns!$A$7:$A$300,B1523)&gt;0,"✓","⚠ add to Campaigns tab"))</f>
        <v/>
      </c>
      <c r="I1523" s="84" t="str">
        <f aca="false">IF(C1523="","",C1523*IF(Settings!$B$22=Settings!$C$6,1,IF(Settings!$B$22="USD",1/INDEX(Settings!$B$29:$B$40,MONTH(A1523)),INDEX(Settings!$B$29:$B$40,MONTH(A1523)))))</f>
        <v/>
      </c>
    </row>
    <row r="1524" customFormat="false" ht="15" hidden="false" customHeight="false" outlineLevel="0" collapsed="false">
      <c r="H1524" s="0" t="str">
        <f aca="false">IF(B1524="","",IF(COUNTIF(Campaigns!$A$7:$A$300,B1524)&gt;0,"✓","⚠ add to Campaigns tab"))</f>
        <v/>
      </c>
      <c r="I1524" s="84" t="str">
        <f aca="false">IF(C1524="","",C1524*IF(Settings!$B$22=Settings!$C$6,1,IF(Settings!$B$22="USD",1/INDEX(Settings!$B$29:$B$40,MONTH(A1524)),INDEX(Settings!$B$29:$B$40,MONTH(A1524)))))</f>
        <v/>
      </c>
    </row>
    <row r="1525" customFormat="false" ht="15" hidden="false" customHeight="false" outlineLevel="0" collapsed="false">
      <c r="H1525" s="0" t="str">
        <f aca="false">IF(B1525="","",IF(COUNTIF(Campaigns!$A$7:$A$300,B1525)&gt;0,"✓","⚠ add to Campaigns tab"))</f>
        <v/>
      </c>
      <c r="I1525" s="84" t="str">
        <f aca="false">IF(C1525="","",C1525*IF(Settings!$B$22=Settings!$C$6,1,IF(Settings!$B$22="USD",1/INDEX(Settings!$B$29:$B$40,MONTH(A1525)),INDEX(Settings!$B$29:$B$40,MONTH(A1525)))))</f>
        <v/>
      </c>
    </row>
    <row r="1526" customFormat="false" ht="15" hidden="false" customHeight="false" outlineLevel="0" collapsed="false">
      <c r="H1526" s="0" t="str">
        <f aca="false">IF(B1526="","",IF(COUNTIF(Campaigns!$A$7:$A$300,B1526)&gt;0,"✓","⚠ add to Campaigns tab"))</f>
        <v/>
      </c>
      <c r="I1526" s="84" t="str">
        <f aca="false">IF(C1526="","",C1526*IF(Settings!$B$22=Settings!$C$6,1,IF(Settings!$B$22="USD",1/INDEX(Settings!$B$29:$B$40,MONTH(A1526)),INDEX(Settings!$B$29:$B$40,MONTH(A1526)))))</f>
        <v/>
      </c>
    </row>
    <row r="1527" customFormat="false" ht="15" hidden="false" customHeight="false" outlineLevel="0" collapsed="false">
      <c r="H1527" s="0" t="str">
        <f aca="false">IF(B1527="","",IF(COUNTIF(Campaigns!$A$7:$A$300,B1527)&gt;0,"✓","⚠ add to Campaigns tab"))</f>
        <v/>
      </c>
      <c r="I1527" s="84" t="str">
        <f aca="false">IF(C1527="","",C1527*IF(Settings!$B$22=Settings!$C$6,1,IF(Settings!$B$22="USD",1/INDEX(Settings!$B$29:$B$40,MONTH(A1527)),INDEX(Settings!$B$29:$B$40,MONTH(A1527)))))</f>
        <v/>
      </c>
    </row>
    <row r="1528" customFormat="false" ht="15" hidden="false" customHeight="false" outlineLevel="0" collapsed="false">
      <c r="H1528" s="0" t="str">
        <f aca="false">IF(B1528="","",IF(COUNTIF(Campaigns!$A$7:$A$300,B1528)&gt;0,"✓","⚠ add to Campaigns tab"))</f>
        <v/>
      </c>
      <c r="I1528" s="84" t="str">
        <f aca="false">IF(C1528="","",C1528*IF(Settings!$B$22=Settings!$C$6,1,IF(Settings!$B$22="USD",1/INDEX(Settings!$B$29:$B$40,MONTH(A1528)),INDEX(Settings!$B$29:$B$40,MONTH(A1528)))))</f>
        <v/>
      </c>
    </row>
    <row r="1529" customFormat="false" ht="15" hidden="false" customHeight="false" outlineLevel="0" collapsed="false">
      <c r="H1529" s="0" t="str">
        <f aca="false">IF(B1529="","",IF(COUNTIF(Campaigns!$A$7:$A$300,B1529)&gt;0,"✓","⚠ add to Campaigns tab"))</f>
        <v/>
      </c>
      <c r="I1529" s="84" t="str">
        <f aca="false">IF(C1529="","",C1529*IF(Settings!$B$22=Settings!$C$6,1,IF(Settings!$B$22="USD",1/INDEX(Settings!$B$29:$B$40,MONTH(A1529)),INDEX(Settings!$B$29:$B$40,MONTH(A1529)))))</f>
        <v/>
      </c>
    </row>
    <row r="1530" customFormat="false" ht="15" hidden="false" customHeight="false" outlineLevel="0" collapsed="false">
      <c r="H1530" s="0" t="str">
        <f aca="false">IF(B1530="","",IF(COUNTIF(Campaigns!$A$7:$A$300,B1530)&gt;0,"✓","⚠ add to Campaigns tab"))</f>
        <v/>
      </c>
      <c r="I1530" s="84" t="str">
        <f aca="false">IF(C1530="","",C1530*IF(Settings!$B$22=Settings!$C$6,1,IF(Settings!$B$22="USD",1/INDEX(Settings!$B$29:$B$40,MONTH(A1530)),INDEX(Settings!$B$29:$B$40,MONTH(A1530)))))</f>
        <v/>
      </c>
    </row>
    <row r="1531" customFormat="false" ht="15" hidden="false" customHeight="false" outlineLevel="0" collapsed="false">
      <c r="H1531" s="0" t="str">
        <f aca="false">IF(B1531="","",IF(COUNTIF(Campaigns!$A$7:$A$300,B1531)&gt;0,"✓","⚠ add to Campaigns tab"))</f>
        <v/>
      </c>
      <c r="I1531" s="84" t="str">
        <f aca="false">IF(C1531="","",C1531*IF(Settings!$B$22=Settings!$C$6,1,IF(Settings!$B$22="USD",1/INDEX(Settings!$B$29:$B$40,MONTH(A1531)),INDEX(Settings!$B$29:$B$40,MONTH(A1531)))))</f>
        <v/>
      </c>
    </row>
    <row r="1532" customFormat="false" ht="15" hidden="false" customHeight="false" outlineLevel="0" collapsed="false">
      <c r="H1532" s="0" t="str">
        <f aca="false">IF(B1532="","",IF(COUNTIF(Campaigns!$A$7:$A$300,B1532)&gt;0,"✓","⚠ add to Campaigns tab"))</f>
        <v/>
      </c>
      <c r="I1532" s="84" t="str">
        <f aca="false">IF(C1532="","",C1532*IF(Settings!$B$22=Settings!$C$6,1,IF(Settings!$B$22="USD",1/INDEX(Settings!$B$29:$B$40,MONTH(A1532)),INDEX(Settings!$B$29:$B$40,MONTH(A1532)))))</f>
        <v/>
      </c>
    </row>
    <row r="1533" customFormat="false" ht="15" hidden="false" customHeight="false" outlineLevel="0" collapsed="false">
      <c r="H1533" s="0" t="str">
        <f aca="false">IF(B1533="","",IF(COUNTIF(Campaigns!$A$7:$A$300,B1533)&gt;0,"✓","⚠ add to Campaigns tab"))</f>
        <v/>
      </c>
      <c r="I1533" s="84" t="str">
        <f aca="false">IF(C1533="","",C1533*IF(Settings!$B$22=Settings!$C$6,1,IF(Settings!$B$22="USD",1/INDEX(Settings!$B$29:$B$40,MONTH(A1533)),INDEX(Settings!$B$29:$B$40,MONTH(A1533)))))</f>
        <v/>
      </c>
    </row>
    <row r="1534" customFormat="false" ht="15" hidden="false" customHeight="false" outlineLevel="0" collapsed="false">
      <c r="H1534" s="0" t="str">
        <f aca="false">IF(B1534="","",IF(COUNTIF(Campaigns!$A$7:$A$300,B1534)&gt;0,"✓","⚠ add to Campaigns tab"))</f>
        <v/>
      </c>
      <c r="I1534" s="84" t="str">
        <f aca="false">IF(C1534="","",C1534*IF(Settings!$B$22=Settings!$C$6,1,IF(Settings!$B$22="USD",1/INDEX(Settings!$B$29:$B$40,MONTH(A1534)),INDEX(Settings!$B$29:$B$40,MONTH(A1534)))))</f>
        <v/>
      </c>
    </row>
    <row r="1535" customFormat="false" ht="15" hidden="false" customHeight="false" outlineLevel="0" collapsed="false">
      <c r="H1535" s="0" t="str">
        <f aca="false">IF(B1535="","",IF(COUNTIF(Campaigns!$A$7:$A$300,B1535)&gt;0,"✓","⚠ add to Campaigns tab"))</f>
        <v/>
      </c>
      <c r="I1535" s="84" t="str">
        <f aca="false">IF(C1535="","",C1535*IF(Settings!$B$22=Settings!$C$6,1,IF(Settings!$B$22="USD",1/INDEX(Settings!$B$29:$B$40,MONTH(A1535)),INDEX(Settings!$B$29:$B$40,MONTH(A1535)))))</f>
        <v/>
      </c>
    </row>
    <row r="1536" customFormat="false" ht="15" hidden="false" customHeight="false" outlineLevel="0" collapsed="false">
      <c r="H1536" s="0" t="str">
        <f aca="false">IF(B1536="","",IF(COUNTIF(Campaigns!$A$7:$A$300,B1536)&gt;0,"✓","⚠ add to Campaigns tab"))</f>
        <v/>
      </c>
      <c r="I1536" s="84" t="str">
        <f aca="false">IF(C1536="","",C1536*IF(Settings!$B$22=Settings!$C$6,1,IF(Settings!$B$22="USD",1/INDEX(Settings!$B$29:$B$40,MONTH(A1536)),INDEX(Settings!$B$29:$B$40,MONTH(A1536)))))</f>
        <v/>
      </c>
    </row>
    <row r="1537" customFormat="false" ht="15" hidden="false" customHeight="false" outlineLevel="0" collapsed="false">
      <c r="H1537" s="0" t="str">
        <f aca="false">IF(B1537="","",IF(COUNTIF(Campaigns!$A$7:$A$300,B1537)&gt;0,"✓","⚠ add to Campaigns tab"))</f>
        <v/>
      </c>
      <c r="I1537" s="84" t="str">
        <f aca="false">IF(C1537="","",C1537*IF(Settings!$B$22=Settings!$C$6,1,IF(Settings!$B$22="USD",1/INDEX(Settings!$B$29:$B$40,MONTH(A1537)),INDEX(Settings!$B$29:$B$40,MONTH(A1537)))))</f>
        <v/>
      </c>
    </row>
    <row r="1538" customFormat="false" ht="15" hidden="false" customHeight="false" outlineLevel="0" collapsed="false">
      <c r="H1538" s="0" t="str">
        <f aca="false">IF(B1538="","",IF(COUNTIF(Campaigns!$A$7:$A$300,B1538)&gt;0,"✓","⚠ add to Campaigns tab"))</f>
        <v/>
      </c>
      <c r="I1538" s="84" t="str">
        <f aca="false">IF(C1538="","",C1538*IF(Settings!$B$22=Settings!$C$6,1,IF(Settings!$B$22="USD",1/INDEX(Settings!$B$29:$B$40,MONTH(A1538)),INDEX(Settings!$B$29:$B$40,MONTH(A1538)))))</f>
        <v/>
      </c>
    </row>
    <row r="1539" customFormat="false" ht="15" hidden="false" customHeight="false" outlineLevel="0" collapsed="false">
      <c r="H1539" s="0" t="str">
        <f aca="false">IF(B1539="","",IF(COUNTIF(Campaigns!$A$7:$A$300,B1539)&gt;0,"✓","⚠ add to Campaigns tab"))</f>
        <v/>
      </c>
      <c r="I1539" s="84" t="str">
        <f aca="false">IF(C1539="","",C1539*IF(Settings!$B$22=Settings!$C$6,1,IF(Settings!$B$22="USD",1/INDEX(Settings!$B$29:$B$40,MONTH(A1539)),INDEX(Settings!$B$29:$B$40,MONTH(A1539)))))</f>
        <v/>
      </c>
    </row>
    <row r="1540" customFormat="false" ht="15" hidden="false" customHeight="false" outlineLevel="0" collapsed="false">
      <c r="H1540" s="0" t="str">
        <f aca="false">IF(B1540="","",IF(COUNTIF(Campaigns!$A$7:$A$300,B1540)&gt;0,"✓","⚠ add to Campaigns tab"))</f>
        <v/>
      </c>
      <c r="I1540" s="84" t="str">
        <f aca="false">IF(C1540="","",C1540*IF(Settings!$B$22=Settings!$C$6,1,IF(Settings!$B$22="USD",1/INDEX(Settings!$B$29:$B$40,MONTH(A1540)),INDEX(Settings!$B$29:$B$40,MONTH(A1540)))))</f>
        <v/>
      </c>
    </row>
    <row r="1541" customFormat="false" ht="15" hidden="false" customHeight="false" outlineLevel="0" collapsed="false">
      <c r="H1541" s="0" t="str">
        <f aca="false">IF(B1541="","",IF(COUNTIF(Campaigns!$A$7:$A$300,B1541)&gt;0,"✓","⚠ add to Campaigns tab"))</f>
        <v/>
      </c>
      <c r="I1541" s="84" t="str">
        <f aca="false">IF(C1541="","",C1541*IF(Settings!$B$22=Settings!$C$6,1,IF(Settings!$B$22="USD",1/INDEX(Settings!$B$29:$B$40,MONTH(A1541)),INDEX(Settings!$B$29:$B$40,MONTH(A1541)))))</f>
        <v/>
      </c>
    </row>
    <row r="1542" customFormat="false" ht="15" hidden="false" customHeight="false" outlineLevel="0" collapsed="false">
      <c r="H1542" s="0" t="str">
        <f aca="false">IF(B1542="","",IF(COUNTIF(Campaigns!$A$7:$A$300,B1542)&gt;0,"✓","⚠ add to Campaigns tab"))</f>
        <v/>
      </c>
      <c r="I1542" s="84" t="str">
        <f aca="false">IF(C1542="","",C1542*IF(Settings!$B$22=Settings!$C$6,1,IF(Settings!$B$22="USD",1/INDEX(Settings!$B$29:$B$40,MONTH(A1542)),INDEX(Settings!$B$29:$B$40,MONTH(A1542)))))</f>
        <v/>
      </c>
    </row>
    <row r="1543" customFormat="false" ht="15" hidden="false" customHeight="false" outlineLevel="0" collapsed="false">
      <c r="H1543" s="0" t="str">
        <f aca="false">IF(B1543="","",IF(COUNTIF(Campaigns!$A$7:$A$300,B1543)&gt;0,"✓","⚠ add to Campaigns tab"))</f>
        <v/>
      </c>
      <c r="I1543" s="84" t="str">
        <f aca="false">IF(C1543="","",C1543*IF(Settings!$B$22=Settings!$C$6,1,IF(Settings!$B$22="USD",1/INDEX(Settings!$B$29:$B$40,MONTH(A1543)),INDEX(Settings!$B$29:$B$40,MONTH(A1543)))))</f>
        <v/>
      </c>
    </row>
    <row r="1544" customFormat="false" ht="15" hidden="false" customHeight="false" outlineLevel="0" collapsed="false">
      <c r="H1544" s="0" t="str">
        <f aca="false">IF(B1544="","",IF(COUNTIF(Campaigns!$A$7:$A$300,B1544)&gt;0,"✓","⚠ add to Campaigns tab"))</f>
        <v/>
      </c>
      <c r="I1544" s="84" t="str">
        <f aca="false">IF(C1544="","",C1544*IF(Settings!$B$22=Settings!$C$6,1,IF(Settings!$B$22="USD",1/INDEX(Settings!$B$29:$B$40,MONTH(A1544)),INDEX(Settings!$B$29:$B$40,MONTH(A1544)))))</f>
        <v/>
      </c>
    </row>
    <row r="1545" customFormat="false" ht="15" hidden="false" customHeight="false" outlineLevel="0" collapsed="false">
      <c r="H1545" s="0" t="str">
        <f aca="false">IF(B1545="","",IF(COUNTIF(Campaigns!$A$7:$A$300,B1545)&gt;0,"✓","⚠ add to Campaigns tab"))</f>
        <v/>
      </c>
      <c r="I1545" s="84" t="str">
        <f aca="false">IF(C1545="","",C1545*IF(Settings!$B$22=Settings!$C$6,1,IF(Settings!$B$22="USD",1/INDEX(Settings!$B$29:$B$40,MONTH(A1545)),INDEX(Settings!$B$29:$B$40,MONTH(A1545)))))</f>
        <v/>
      </c>
    </row>
    <row r="1546" customFormat="false" ht="15" hidden="false" customHeight="false" outlineLevel="0" collapsed="false">
      <c r="H1546" s="0" t="str">
        <f aca="false">IF(B1546="","",IF(COUNTIF(Campaigns!$A$7:$A$300,B1546)&gt;0,"✓","⚠ add to Campaigns tab"))</f>
        <v/>
      </c>
      <c r="I1546" s="84" t="str">
        <f aca="false">IF(C1546="","",C1546*IF(Settings!$B$22=Settings!$C$6,1,IF(Settings!$B$22="USD",1/INDEX(Settings!$B$29:$B$40,MONTH(A1546)),INDEX(Settings!$B$29:$B$40,MONTH(A1546)))))</f>
        <v/>
      </c>
    </row>
    <row r="1547" customFormat="false" ht="15" hidden="false" customHeight="false" outlineLevel="0" collapsed="false">
      <c r="H1547" s="0" t="str">
        <f aca="false">IF(B1547="","",IF(COUNTIF(Campaigns!$A$7:$A$300,B1547)&gt;0,"✓","⚠ add to Campaigns tab"))</f>
        <v/>
      </c>
      <c r="I1547" s="84" t="str">
        <f aca="false">IF(C1547="","",C1547*IF(Settings!$B$22=Settings!$C$6,1,IF(Settings!$B$22="USD",1/INDEX(Settings!$B$29:$B$40,MONTH(A1547)),INDEX(Settings!$B$29:$B$40,MONTH(A1547)))))</f>
        <v/>
      </c>
    </row>
    <row r="1548" customFormat="false" ht="15" hidden="false" customHeight="false" outlineLevel="0" collapsed="false">
      <c r="H1548" s="0" t="str">
        <f aca="false">IF(B1548="","",IF(COUNTIF(Campaigns!$A$7:$A$300,B1548)&gt;0,"✓","⚠ add to Campaigns tab"))</f>
        <v/>
      </c>
      <c r="I1548" s="84" t="str">
        <f aca="false">IF(C1548="","",C1548*IF(Settings!$B$22=Settings!$C$6,1,IF(Settings!$B$22="USD",1/INDEX(Settings!$B$29:$B$40,MONTH(A1548)),INDEX(Settings!$B$29:$B$40,MONTH(A1548)))))</f>
        <v/>
      </c>
    </row>
    <row r="1549" customFormat="false" ht="15" hidden="false" customHeight="false" outlineLevel="0" collapsed="false">
      <c r="H1549" s="0" t="str">
        <f aca="false">IF(B1549="","",IF(COUNTIF(Campaigns!$A$7:$A$300,B1549)&gt;0,"✓","⚠ add to Campaigns tab"))</f>
        <v/>
      </c>
      <c r="I1549" s="84" t="str">
        <f aca="false">IF(C1549="","",C1549*IF(Settings!$B$22=Settings!$C$6,1,IF(Settings!$B$22="USD",1/INDEX(Settings!$B$29:$B$40,MONTH(A1549)),INDEX(Settings!$B$29:$B$40,MONTH(A1549)))))</f>
        <v/>
      </c>
    </row>
    <row r="1550" customFormat="false" ht="15" hidden="false" customHeight="false" outlineLevel="0" collapsed="false">
      <c r="H1550" s="0" t="str">
        <f aca="false">IF(B1550="","",IF(COUNTIF(Campaigns!$A$7:$A$300,B1550)&gt;0,"✓","⚠ add to Campaigns tab"))</f>
        <v/>
      </c>
      <c r="I1550" s="84" t="str">
        <f aca="false">IF(C1550="","",C1550*IF(Settings!$B$22=Settings!$C$6,1,IF(Settings!$B$22="USD",1/INDEX(Settings!$B$29:$B$40,MONTH(A1550)),INDEX(Settings!$B$29:$B$40,MONTH(A1550)))))</f>
        <v/>
      </c>
    </row>
    <row r="1551" customFormat="false" ht="15" hidden="false" customHeight="false" outlineLevel="0" collapsed="false">
      <c r="H1551" s="0" t="str">
        <f aca="false">IF(B1551="","",IF(COUNTIF(Campaigns!$A$7:$A$300,B1551)&gt;0,"✓","⚠ add to Campaigns tab"))</f>
        <v/>
      </c>
      <c r="I1551" s="84" t="str">
        <f aca="false">IF(C1551="","",C1551*IF(Settings!$B$22=Settings!$C$6,1,IF(Settings!$B$22="USD",1/INDEX(Settings!$B$29:$B$40,MONTH(A1551)),INDEX(Settings!$B$29:$B$40,MONTH(A1551)))))</f>
        <v/>
      </c>
    </row>
    <row r="1552" customFormat="false" ht="15" hidden="false" customHeight="false" outlineLevel="0" collapsed="false">
      <c r="H1552" s="0" t="str">
        <f aca="false">IF(B1552="","",IF(COUNTIF(Campaigns!$A$7:$A$300,B1552)&gt;0,"✓","⚠ add to Campaigns tab"))</f>
        <v/>
      </c>
      <c r="I1552" s="84" t="str">
        <f aca="false">IF(C1552="","",C1552*IF(Settings!$B$22=Settings!$C$6,1,IF(Settings!$B$22="USD",1/INDEX(Settings!$B$29:$B$40,MONTH(A1552)),INDEX(Settings!$B$29:$B$40,MONTH(A1552)))))</f>
        <v/>
      </c>
    </row>
    <row r="1553" customFormat="false" ht="15" hidden="false" customHeight="false" outlineLevel="0" collapsed="false">
      <c r="H1553" s="0" t="str">
        <f aca="false">IF(B1553="","",IF(COUNTIF(Campaigns!$A$7:$A$300,B1553)&gt;0,"✓","⚠ add to Campaigns tab"))</f>
        <v/>
      </c>
      <c r="I1553" s="84" t="str">
        <f aca="false">IF(C1553="","",C1553*IF(Settings!$B$22=Settings!$C$6,1,IF(Settings!$B$22="USD",1/INDEX(Settings!$B$29:$B$40,MONTH(A1553)),INDEX(Settings!$B$29:$B$40,MONTH(A1553)))))</f>
        <v/>
      </c>
    </row>
    <row r="1554" customFormat="false" ht="15" hidden="false" customHeight="false" outlineLevel="0" collapsed="false">
      <c r="H1554" s="0" t="str">
        <f aca="false">IF(B1554="","",IF(COUNTIF(Campaigns!$A$7:$A$300,B1554)&gt;0,"✓","⚠ add to Campaigns tab"))</f>
        <v/>
      </c>
      <c r="I1554" s="84" t="str">
        <f aca="false">IF(C1554="","",C1554*IF(Settings!$B$22=Settings!$C$6,1,IF(Settings!$B$22="USD",1/INDEX(Settings!$B$29:$B$40,MONTH(A1554)),INDEX(Settings!$B$29:$B$40,MONTH(A1554)))))</f>
        <v/>
      </c>
    </row>
    <row r="1555" customFormat="false" ht="15" hidden="false" customHeight="false" outlineLevel="0" collapsed="false">
      <c r="H1555" s="0" t="str">
        <f aca="false">IF(B1555="","",IF(COUNTIF(Campaigns!$A$7:$A$300,B1555)&gt;0,"✓","⚠ add to Campaigns tab"))</f>
        <v/>
      </c>
      <c r="I1555" s="84" t="str">
        <f aca="false">IF(C1555="","",C1555*IF(Settings!$B$22=Settings!$C$6,1,IF(Settings!$B$22="USD",1/INDEX(Settings!$B$29:$B$40,MONTH(A1555)),INDEX(Settings!$B$29:$B$40,MONTH(A1555)))))</f>
        <v/>
      </c>
    </row>
    <row r="1556" customFormat="false" ht="15" hidden="false" customHeight="false" outlineLevel="0" collapsed="false">
      <c r="H1556" s="0" t="str">
        <f aca="false">IF(B1556="","",IF(COUNTIF(Campaigns!$A$7:$A$300,B1556)&gt;0,"✓","⚠ add to Campaigns tab"))</f>
        <v/>
      </c>
      <c r="I1556" s="84" t="str">
        <f aca="false">IF(C1556="","",C1556*IF(Settings!$B$22=Settings!$C$6,1,IF(Settings!$B$22="USD",1/INDEX(Settings!$B$29:$B$40,MONTH(A1556)),INDEX(Settings!$B$29:$B$40,MONTH(A1556)))))</f>
        <v/>
      </c>
    </row>
    <row r="1557" customFormat="false" ht="15" hidden="false" customHeight="false" outlineLevel="0" collapsed="false">
      <c r="H1557" s="0" t="str">
        <f aca="false">IF(B1557="","",IF(COUNTIF(Campaigns!$A$7:$A$300,B1557)&gt;0,"✓","⚠ add to Campaigns tab"))</f>
        <v/>
      </c>
      <c r="I1557" s="84" t="str">
        <f aca="false">IF(C1557="","",C1557*IF(Settings!$B$22=Settings!$C$6,1,IF(Settings!$B$22="USD",1/INDEX(Settings!$B$29:$B$40,MONTH(A1557)),INDEX(Settings!$B$29:$B$40,MONTH(A1557)))))</f>
        <v/>
      </c>
    </row>
    <row r="1558" customFormat="false" ht="15" hidden="false" customHeight="false" outlineLevel="0" collapsed="false">
      <c r="H1558" s="0" t="str">
        <f aca="false">IF(B1558="","",IF(COUNTIF(Campaigns!$A$7:$A$300,B1558)&gt;0,"✓","⚠ add to Campaigns tab"))</f>
        <v/>
      </c>
      <c r="I1558" s="84" t="str">
        <f aca="false">IF(C1558="","",C1558*IF(Settings!$B$22=Settings!$C$6,1,IF(Settings!$B$22="USD",1/INDEX(Settings!$B$29:$B$40,MONTH(A1558)),INDEX(Settings!$B$29:$B$40,MONTH(A1558)))))</f>
        <v/>
      </c>
    </row>
    <row r="1559" customFormat="false" ht="15" hidden="false" customHeight="false" outlineLevel="0" collapsed="false">
      <c r="H1559" s="0" t="str">
        <f aca="false">IF(B1559="","",IF(COUNTIF(Campaigns!$A$7:$A$300,B1559)&gt;0,"✓","⚠ add to Campaigns tab"))</f>
        <v/>
      </c>
      <c r="I1559" s="84" t="str">
        <f aca="false">IF(C1559="","",C1559*IF(Settings!$B$22=Settings!$C$6,1,IF(Settings!$B$22="USD",1/INDEX(Settings!$B$29:$B$40,MONTH(A1559)),INDEX(Settings!$B$29:$B$40,MONTH(A1559)))))</f>
        <v/>
      </c>
    </row>
    <row r="1560" customFormat="false" ht="15" hidden="false" customHeight="false" outlineLevel="0" collapsed="false">
      <c r="H1560" s="0" t="str">
        <f aca="false">IF(B1560="","",IF(COUNTIF(Campaigns!$A$7:$A$300,B1560)&gt;0,"✓","⚠ add to Campaigns tab"))</f>
        <v/>
      </c>
      <c r="I1560" s="84" t="str">
        <f aca="false">IF(C1560="","",C1560*IF(Settings!$B$22=Settings!$C$6,1,IF(Settings!$B$22="USD",1/INDEX(Settings!$B$29:$B$40,MONTH(A1560)),INDEX(Settings!$B$29:$B$40,MONTH(A1560)))))</f>
        <v/>
      </c>
    </row>
    <row r="1561" customFormat="false" ht="15" hidden="false" customHeight="false" outlineLevel="0" collapsed="false">
      <c r="H1561" s="0" t="str">
        <f aca="false">IF(B1561="","",IF(COUNTIF(Campaigns!$A$7:$A$300,B1561)&gt;0,"✓","⚠ add to Campaigns tab"))</f>
        <v/>
      </c>
      <c r="I1561" s="84" t="str">
        <f aca="false">IF(C1561="","",C1561*IF(Settings!$B$22=Settings!$C$6,1,IF(Settings!$B$22="USD",1/INDEX(Settings!$B$29:$B$40,MONTH(A1561)),INDEX(Settings!$B$29:$B$40,MONTH(A1561)))))</f>
        <v/>
      </c>
    </row>
    <row r="1562" customFormat="false" ht="15" hidden="false" customHeight="false" outlineLevel="0" collapsed="false">
      <c r="H1562" s="0" t="str">
        <f aca="false">IF(B1562="","",IF(COUNTIF(Campaigns!$A$7:$A$300,B1562)&gt;0,"✓","⚠ add to Campaigns tab"))</f>
        <v/>
      </c>
      <c r="I1562" s="84" t="str">
        <f aca="false">IF(C1562="","",C1562*IF(Settings!$B$22=Settings!$C$6,1,IF(Settings!$B$22="USD",1/INDEX(Settings!$B$29:$B$40,MONTH(A1562)),INDEX(Settings!$B$29:$B$40,MONTH(A1562)))))</f>
        <v/>
      </c>
    </row>
    <row r="1563" customFormat="false" ht="15" hidden="false" customHeight="false" outlineLevel="0" collapsed="false">
      <c r="H1563" s="0" t="str">
        <f aca="false">IF(B1563="","",IF(COUNTIF(Campaigns!$A$7:$A$300,B1563)&gt;0,"✓","⚠ add to Campaigns tab"))</f>
        <v/>
      </c>
      <c r="I1563" s="84" t="str">
        <f aca="false">IF(C1563="","",C1563*IF(Settings!$B$22=Settings!$C$6,1,IF(Settings!$B$22="USD",1/INDEX(Settings!$B$29:$B$40,MONTH(A1563)),INDEX(Settings!$B$29:$B$40,MONTH(A1563)))))</f>
        <v/>
      </c>
    </row>
    <row r="1564" customFormat="false" ht="15" hidden="false" customHeight="false" outlineLevel="0" collapsed="false">
      <c r="H1564" s="0" t="str">
        <f aca="false">IF(B1564="","",IF(COUNTIF(Campaigns!$A$7:$A$300,B1564)&gt;0,"✓","⚠ add to Campaigns tab"))</f>
        <v/>
      </c>
      <c r="I1564" s="84" t="str">
        <f aca="false">IF(C1564="","",C1564*IF(Settings!$B$22=Settings!$C$6,1,IF(Settings!$B$22="USD",1/INDEX(Settings!$B$29:$B$40,MONTH(A1564)),INDEX(Settings!$B$29:$B$40,MONTH(A1564)))))</f>
        <v/>
      </c>
    </row>
    <row r="1565" customFormat="false" ht="15" hidden="false" customHeight="false" outlineLevel="0" collapsed="false">
      <c r="H1565" s="0" t="str">
        <f aca="false">IF(B1565="","",IF(COUNTIF(Campaigns!$A$7:$A$300,B1565)&gt;0,"✓","⚠ add to Campaigns tab"))</f>
        <v/>
      </c>
      <c r="I1565" s="84" t="str">
        <f aca="false">IF(C1565="","",C1565*IF(Settings!$B$22=Settings!$C$6,1,IF(Settings!$B$22="USD",1/INDEX(Settings!$B$29:$B$40,MONTH(A1565)),INDEX(Settings!$B$29:$B$40,MONTH(A1565)))))</f>
        <v/>
      </c>
    </row>
    <row r="1566" customFormat="false" ht="15" hidden="false" customHeight="false" outlineLevel="0" collapsed="false">
      <c r="H1566" s="0" t="str">
        <f aca="false">IF(B1566="","",IF(COUNTIF(Campaigns!$A$7:$A$300,B1566)&gt;0,"✓","⚠ add to Campaigns tab"))</f>
        <v/>
      </c>
      <c r="I1566" s="84" t="str">
        <f aca="false">IF(C1566="","",C1566*IF(Settings!$B$22=Settings!$C$6,1,IF(Settings!$B$22="USD",1/INDEX(Settings!$B$29:$B$40,MONTH(A1566)),INDEX(Settings!$B$29:$B$40,MONTH(A1566)))))</f>
        <v/>
      </c>
    </row>
    <row r="1567" customFormat="false" ht="15" hidden="false" customHeight="false" outlineLevel="0" collapsed="false">
      <c r="H1567" s="0" t="str">
        <f aca="false">IF(B1567="","",IF(COUNTIF(Campaigns!$A$7:$A$300,B1567)&gt;0,"✓","⚠ add to Campaigns tab"))</f>
        <v/>
      </c>
      <c r="I1567" s="84" t="str">
        <f aca="false">IF(C1567="","",C1567*IF(Settings!$B$22=Settings!$C$6,1,IF(Settings!$B$22="USD",1/INDEX(Settings!$B$29:$B$40,MONTH(A1567)),INDEX(Settings!$B$29:$B$40,MONTH(A1567)))))</f>
        <v/>
      </c>
    </row>
    <row r="1568" customFormat="false" ht="15" hidden="false" customHeight="false" outlineLevel="0" collapsed="false">
      <c r="H1568" s="0" t="str">
        <f aca="false">IF(B1568="","",IF(COUNTIF(Campaigns!$A$7:$A$300,B1568)&gt;0,"✓","⚠ add to Campaigns tab"))</f>
        <v/>
      </c>
      <c r="I1568" s="84" t="str">
        <f aca="false">IF(C1568="","",C1568*IF(Settings!$B$22=Settings!$C$6,1,IF(Settings!$B$22="USD",1/INDEX(Settings!$B$29:$B$40,MONTH(A1568)),INDEX(Settings!$B$29:$B$40,MONTH(A1568)))))</f>
        <v/>
      </c>
    </row>
    <row r="1569" customFormat="false" ht="15" hidden="false" customHeight="false" outlineLevel="0" collapsed="false">
      <c r="H1569" s="0" t="str">
        <f aca="false">IF(B1569="","",IF(COUNTIF(Campaigns!$A$7:$A$300,B1569)&gt;0,"✓","⚠ add to Campaigns tab"))</f>
        <v/>
      </c>
      <c r="I1569" s="84" t="str">
        <f aca="false">IF(C1569="","",C1569*IF(Settings!$B$22=Settings!$C$6,1,IF(Settings!$B$22="USD",1/INDEX(Settings!$B$29:$B$40,MONTH(A1569)),INDEX(Settings!$B$29:$B$40,MONTH(A1569)))))</f>
        <v/>
      </c>
    </row>
    <row r="1570" customFormat="false" ht="15" hidden="false" customHeight="false" outlineLevel="0" collapsed="false">
      <c r="H1570" s="0" t="str">
        <f aca="false">IF(B1570="","",IF(COUNTIF(Campaigns!$A$7:$A$300,B1570)&gt;0,"✓","⚠ add to Campaigns tab"))</f>
        <v/>
      </c>
      <c r="I1570" s="84" t="str">
        <f aca="false">IF(C1570="","",C1570*IF(Settings!$B$22=Settings!$C$6,1,IF(Settings!$B$22="USD",1/INDEX(Settings!$B$29:$B$40,MONTH(A1570)),INDEX(Settings!$B$29:$B$40,MONTH(A1570)))))</f>
        <v/>
      </c>
    </row>
    <row r="1571" customFormat="false" ht="15" hidden="false" customHeight="false" outlineLevel="0" collapsed="false">
      <c r="H1571" s="0" t="str">
        <f aca="false">IF(B1571="","",IF(COUNTIF(Campaigns!$A$7:$A$300,B1571)&gt;0,"✓","⚠ add to Campaigns tab"))</f>
        <v/>
      </c>
      <c r="I1571" s="84" t="str">
        <f aca="false">IF(C1571="","",C1571*IF(Settings!$B$22=Settings!$C$6,1,IF(Settings!$B$22="USD",1/INDEX(Settings!$B$29:$B$40,MONTH(A1571)),INDEX(Settings!$B$29:$B$40,MONTH(A1571)))))</f>
        <v/>
      </c>
    </row>
    <row r="1572" customFormat="false" ht="15" hidden="false" customHeight="false" outlineLevel="0" collapsed="false">
      <c r="H1572" s="0" t="str">
        <f aca="false">IF(B1572="","",IF(COUNTIF(Campaigns!$A$7:$A$300,B1572)&gt;0,"✓","⚠ add to Campaigns tab"))</f>
        <v/>
      </c>
      <c r="I1572" s="84" t="str">
        <f aca="false">IF(C1572="","",C1572*IF(Settings!$B$22=Settings!$C$6,1,IF(Settings!$B$22="USD",1/INDEX(Settings!$B$29:$B$40,MONTH(A1572)),INDEX(Settings!$B$29:$B$40,MONTH(A1572)))))</f>
        <v/>
      </c>
    </row>
    <row r="1573" customFormat="false" ht="15" hidden="false" customHeight="false" outlineLevel="0" collapsed="false">
      <c r="H1573" s="0" t="str">
        <f aca="false">IF(B1573="","",IF(COUNTIF(Campaigns!$A$7:$A$300,B1573)&gt;0,"✓","⚠ add to Campaigns tab"))</f>
        <v/>
      </c>
      <c r="I1573" s="84" t="str">
        <f aca="false">IF(C1573="","",C1573*IF(Settings!$B$22=Settings!$C$6,1,IF(Settings!$B$22="USD",1/INDEX(Settings!$B$29:$B$40,MONTH(A1573)),INDEX(Settings!$B$29:$B$40,MONTH(A1573)))))</f>
        <v/>
      </c>
    </row>
    <row r="1574" customFormat="false" ht="15" hidden="false" customHeight="false" outlineLevel="0" collapsed="false">
      <c r="H1574" s="0" t="str">
        <f aca="false">IF(B1574="","",IF(COUNTIF(Campaigns!$A$7:$A$300,B1574)&gt;0,"✓","⚠ add to Campaigns tab"))</f>
        <v/>
      </c>
      <c r="I1574" s="84" t="str">
        <f aca="false">IF(C1574="","",C1574*IF(Settings!$B$22=Settings!$C$6,1,IF(Settings!$B$22="USD",1/INDEX(Settings!$B$29:$B$40,MONTH(A1574)),INDEX(Settings!$B$29:$B$40,MONTH(A1574)))))</f>
        <v/>
      </c>
    </row>
    <row r="1575" customFormat="false" ht="15" hidden="false" customHeight="false" outlineLevel="0" collapsed="false">
      <c r="H1575" s="0" t="str">
        <f aca="false">IF(B1575="","",IF(COUNTIF(Campaigns!$A$7:$A$300,B1575)&gt;0,"✓","⚠ add to Campaigns tab"))</f>
        <v/>
      </c>
      <c r="I1575" s="84" t="str">
        <f aca="false">IF(C1575="","",C1575*IF(Settings!$B$22=Settings!$C$6,1,IF(Settings!$B$22="USD",1/INDEX(Settings!$B$29:$B$40,MONTH(A1575)),INDEX(Settings!$B$29:$B$40,MONTH(A1575)))))</f>
        <v/>
      </c>
    </row>
    <row r="1576" customFormat="false" ht="15" hidden="false" customHeight="false" outlineLevel="0" collapsed="false">
      <c r="H1576" s="0" t="str">
        <f aca="false">IF(B1576="","",IF(COUNTIF(Campaigns!$A$7:$A$300,B1576)&gt;0,"✓","⚠ add to Campaigns tab"))</f>
        <v/>
      </c>
      <c r="I1576" s="84" t="str">
        <f aca="false">IF(C1576="","",C1576*IF(Settings!$B$22=Settings!$C$6,1,IF(Settings!$B$22="USD",1/INDEX(Settings!$B$29:$B$40,MONTH(A1576)),INDEX(Settings!$B$29:$B$40,MONTH(A1576)))))</f>
        <v/>
      </c>
    </row>
    <row r="1577" customFormat="false" ht="15" hidden="false" customHeight="false" outlineLevel="0" collapsed="false">
      <c r="H1577" s="0" t="str">
        <f aca="false">IF(B1577="","",IF(COUNTIF(Campaigns!$A$7:$A$300,B1577)&gt;0,"✓","⚠ add to Campaigns tab"))</f>
        <v/>
      </c>
      <c r="I1577" s="84" t="str">
        <f aca="false">IF(C1577="","",C1577*IF(Settings!$B$22=Settings!$C$6,1,IF(Settings!$B$22="USD",1/INDEX(Settings!$B$29:$B$40,MONTH(A1577)),INDEX(Settings!$B$29:$B$40,MONTH(A1577)))))</f>
        <v/>
      </c>
    </row>
    <row r="1578" customFormat="false" ht="15" hidden="false" customHeight="false" outlineLevel="0" collapsed="false">
      <c r="H1578" s="0" t="str">
        <f aca="false">IF(B1578="","",IF(COUNTIF(Campaigns!$A$7:$A$300,B1578)&gt;0,"✓","⚠ add to Campaigns tab"))</f>
        <v/>
      </c>
      <c r="I1578" s="84" t="str">
        <f aca="false">IF(C1578="","",C1578*IF(Settings!$B$22=Settings!$C$6,1,IF(Settings!$B$22="USD",1/INDEX(Settings!$B$29:$B$40,MONTH(A1578)),INDEX(Settings!$B$29:$B$40,MONTH(A1578)))))</f>
        <v/>
      </c>
    </row>
    <row r="1579" customFormat="false" ht="15" hidden="false" customHeight="false" outlineLevel="0" collapsed="false">
      <c r="H1579" s="0" t="str">
        <f aca="false">IF(B1579="","",IF(COUNTIF(Campaigns!$A$7:$A$300,B1579)&gt;0,"✓","⚠ add to Campaigns tab"))</f>
        <v/>
      </c>
      <c r="I1579" s="84" t="str">
        <f aca="false">IF(C1579="","",C1579*IF(Settings!$B$22=Settings!$C$6,1,IF(Settings!$B$22="USD",1/INDEX(Settings!$B$29:$B$40,MONTH(A1579)),INDEX(Settings!$B$29:$B$40,MONTH(A1579)))))</f>
        <v/>
      </c>
    </row>
    <row r="1580" customFormat="false" ht="15" hidden="false" customHeight="false" outlineLevel="0" collapsed="false">
      <c r="H1580" s="0" t="str">
        <f aca="false">IF(B1580="","",IF(COUNTIF(Campaigns!$A$7:$A$300,B1580)&gt;0,"✓","⚠ add to Campaigns tab"))</f>
        <v/>
      </c>
      <c r="I1580" s="84" t="str">
        <f aca="false">IF(C1580="","",C1580*IF(Settings!$B$22=Settings!$C$6,1,IF(Settings!$B$22="USD",1/INDEX(Settings!$B$29:$B$40,MONTH(A1580)),INDEX(Settings!$B$29:$B$40,MONTH(A1580)))))</f>
        <v/>
      </c>
    </row>
    <row r="1581" customFormat="false" ht="15" hidden="false" customHeight="false" outlineLevel="0" collapsed="false">
      <c r="H1581" s="0" t="str">
        <f aca="false">IF(B1581="","",IF(COUNTIF(Campaigns!$A$7:$A$300,B1581)&gt;0,"✓","⚠ add to Campaigns tab"))</f>
        <v/>
      </c>
      <c r="I1581" s="84" t="str">
        <f aca="false">IF(C1581="","",C1581*IF(Settings!$B$22=Settings!$C$6,1,IF(Settings!$B$22="USD",1/INDEX(Settings!$B$29:$B$40,MONTH(A1581)),INDEX(Settings!$B$29:$B$40,MONTH(A1581)))))</f>
        <v/>
      </c>
    </row>
    <row r="1582" customFormat="false" ht="15" hidden="false" customHeight="false" outlineLevel="0" collapsed="false">
      <c r="H1582" s="0" t="str">
        <f aca="false">IF(B1582="","",IF(COUNTIF(Campaigns!$A$7:$A$300,B1582)&gt;0,"✓","⚠ add to Campaigns tab"))</f>
        <v/>
      </c>
      <c r="I1582" s="84" t="str">
        <f aca="false">IF(C1582="","",C1582*IF(Settings!$B$22=Settings!$C$6,1,IF(Settings!$B$22="USD",1/INDEX(Settings!$B$29:$B$40,MONTH(A1582)),INDEX(Settings!$B$29:$B$40,MONTH(A1582)))))</f>
        <v/>
      </c>
    </row>
    <row r="1583" customFormat="false" ht="15" hidden="false" customHeight="false" outlineLevel="0" collapsed="false">
      <c r="H1583" s="0" t="str">
        <f aca="false">IF(B1583="","",IF(COUNTIF(Campaigns!$A$7:$A$300,B1583)&gt;0,"✓","⚠ add to Campaigns tab"))</f>
        <v/>
      </c>
      <c r="I1583" s="84" t="str">
        <f aca="false">IF(C1583="","",C1583*IF(Settings!$B$22=Settings!$C$6,1,IF(Settings!$B$22="USD",1/INDEX(Settings!$B$29:$B$40,MONTH(A1583)),INDEX(Settings!$B$29:$B$40,MONTH(A1583)))))</f>
        <v/>
      </c>
    </row>
    <row r="1584" customFormat="false" ht="15" hidden="false" customHeight="false" outlineLevel="0" collapsed="false">
      <c r="H1584" s="0" t="str">
        <f aca="false">IF(B1584="","",IF(COUNTIF(Campaigns!$A$7:$A$300,B1584)&gt;0,"✓","⚠ add to Campaigns tab"))</f>
        <v/>
      </c>
      <c r="I1584" s="84" t="str">
        <f aca="false">IF(C1584="","",C1584*IF(Settings!$B$22=Settings!$C$6,1,IF(Settings!$B$22="USD",1/INDEX(Settings!$B$29:$B$40,MONTH(A1584)),INDEX(Settings!$B$29:$B$40,MONTH(A1584)))))</f>
        <v/>
      </c>
    </row>
    <row r="1585" customFormat="false" ht="15" hidden="false" customHeight="false" outlineLevel="0" collapsed="false">
      <c r="H1585" s="0" t="str">
        <f aca="false">IF(B1585="","",IF(COUNTIF(Campaigns!$A$7:$A$300,B1585)&gt;0,"✓","⚠ add to Campaigns tab"))</f>
        <v/>
      </c>
      <c r="I1585" s="84" t="str">
        <f aca="false">IF(C1585="","",C1585*IF(Settings!$B$22=Settings!$C$6,1,IF(Settings!$B$22="USD",1/INDEX(Settings!$B$29:$B$40,MONTH(A1585)),INDEX(Settings!$B$29:$B$40,MONTH(A1585)))))</f>
        <v/>
      </c>
    </row>
    <row r="1586" customFormat="false" ht="15" hidden="false" customHeight="false" outlineLevel="0" collapsed="false">
      <c r="H1586" s="0" t="str">
        <f aca="false">IF(B1586="","",IF(COUNTIF(Campaigns!$A$7:$A$300,B1586)&gt;0,"✓","⚠ add to Campaigns tab"))</f>
        <v/>
      </c>
      <c r="I1586" s="84" t="str">
        <f aca="false">IF(C1586="","",C1586*IF(Settings!$B$22=Settings!$C$6,1,IF(Settings!$B$22="USD",1/INDEX(Settings!$B$29:$B$40,MONTH(A1586)),INDEX(Settings!$B$29:$B$40,MONTH(A1586)))))</f>
        <v/>
      </c>
    </row>
    <row r="1587" customFormat="false" ht="15" hidden="false" customHeight="false" outlineLevel="0" collapsed="false">
      <c r="H1587" s="0" t="str">
        <f aca="false">IF(B1587="","",IF(COUNTIF(Campaigns!$A$7:$A$300,B1587)&gt;0,"✓","⚠ add to Campaigns tab"))</f>
        <v/>
      </c>
      <c r="I1587" s="84" t="str">
        <f aca="false">IF(C1587="","",C1587*IF(Settings!$B$22=Settings!$C$6,1,IF(Settings!$B$22="USD",1/INDEX(Settings!$B$29:$B$40,MONTH(A1587)),INDEX(Settings!$B$29:$B$40,MONTH(A1587)))))</f>
        <v/>
      </c>
    </row>
    <row r="1588" customFormat="false" ht="15" hidden="false" customHeight="false" outlineLevel="0" collapsed="false">
      <c r="H1588" s="0" t="str">
        <f aca="false">IF(B1588="","",IF(COUNTIF(Campaigns!$A$7:$A$300,B1588)&gt;0,"✓","⚠ add to Campaigns tab"))</f>
        <v/>
      </c>
      <c r="I1588" s="84" t="str">
        <f aca="false">IF(C1588="","",C1588*IF(Settings!$B$22=Settings!$C$6,1,IF(Settings!$B$22="USD",1/INDEX(Settings!$B$29:$B$40,MONTH(A1588)),INDEX(Settings!$B$29:$B$40,MONTH(A1588)))))</f>
        <v/>
      </c>
    </row>
    <row r="1589" customFormat="false" ht="15" hidden="false" customHeight="false" outlineLevel="0" collapsed="false">
      <c r="H1589" s="0" t="str">
        <f aca="false">IF(B1589="","",IF(COUNTIF(Campaigns!$A$7:$A$300,B1589)&gt;0,"✓","⚠ add to Campaigns tab"))</f>
        <v/>
      </c>
      <c r="I1589" s="84" t="str">
        <f aca="false">IF(C1589="","",C1589*IF(Settings!$B$22=Settings!$C$6,1,IF(Settings!$B$22="USD",1/INDEX(Settings!$B$29:$B$40,MONTH(A1589)),INDEX(Settings!$B$29:$B$40,MONTH(A1589)))))</f>
        <v/>
      </c>
    </row>
    <row r="1590" customFormat="false" ht="15" hidden="false" customHeight="false" outlineLevel="0" collapsed="false">
      <c r="H1590" s="0" t="str">
        <f aca="false">IF(B1590="","",IF(COUNTIF(Campaigns!$A$7:$A$300,B1590)&gt;0,"✓","⚠ add to Campaigns tab"))</f>
        <v/>
      </c>
      <c r="I1590" s="84" t="str">
        <f aca="false">IF(C1590="","",C1590*IF(Settings!$B$22=Settings!$C$6,1,IF(Settings!$B$22="USD",1/INDEX(Settings!$B$29:$B$40,MONTH(A1590)),INDEX(Settings!$B$29:$B$40,MONTH(A1590)))))</f>
        <v/>
      </c>
    </row>
    <row r="1591" customFormat="false" ht="15" hidden="false" customHeight="false" outlineLevel="0" collapsed="false">
      <c r="H1591" s="0" t="str">
        <f aca="false">IF(B1591="","",IF(COUNTIF(Campaigns!$A$7:$A$300,B1591)&gt;0,"✓","⚠ add to Campaigns tab"))</f>
        <v/>
      </c>
      <c r="I1591" s="84" t="str">
        <f aca="false">IF(C1591="","",C1591*IF(Settings!$B$22=Settings!$C$6,1,IF(Settings!$B$22="USD",1/INDEX(Settings!$B$29:$B$40,MONTH(A1591)),INDEX(Settings!$B$29:$B$40,MONTH(A1591)))))</f>
        <v/>
      </c>
    </row>
    <row r="1592" customFormat="false" ht="15" hidden="false" customHeight="false" outlineLevel="0" collapsed="false">
      <c r="H1592" s="0" t="str">
        <f aca="false">IF(B1592="","",IF(COUNTIF(Campaigns!$A$7:$A$300,B1592)&gt;0,"✓","⚠ add to Campaigns tab"))</f>
        <v/>
      </c>
      <c r="I1592" s="84" t="str">
        <f aca="false">IF(C1592="","",C1592*IF(Settings!$B$22=Settings!$C$6,1,IF(Settings!$B$22="USD",1/INDEX(Settings!$B$29:$B$40,MONTH(A1592)),INDEX(Settings!$B$29:$B$40,MONTH(A1592)))))</f>
        <v/>
      </c>
    </row>
    <row r="1593" customFormat="false" ht="15" hidden="false" customHeight="false" outlineLevel="0" collapsed="false">
      <c r="H1593" s="0" t="str">
        <f aca="false">IF(B1593="","",IF(COUNTIF(Campaigns!$A$7:$A$300,B1593)&gt;0,"✓","⚠ add to Campaigns tab"))</f>
        <v/>
      </c>
      <c r="I1593" s="84" t="str">
        <f aca="false">IF(C1593="","",C1593*IF(Settings!$B$22=Settings!$C$6,1,IF(Settings!$B$22="USD",1/INDEX(Settings!$B$29:$B$40,MONTH(A1593)),INDEX(Settings!$B$29:$B$40,MONTH(A1593)))))</f>
        <v/>
      </c>
    </row>
    <row r="1594" customFormat="false" ht="15" hidden="false" customHeight="false" outlineLevel="0" collapsed="false">
      <c r="H1594" s="0" t="str">
        <f aca="false">IF(B1594="","",IF(COUNTIF(Campaigns!$A$7:$A$300,B1594)&gt;0,"✓","⚠ add to Campaigns tab"))</f>
        <v/>
      </c>
      <c r="I1594" s="84" t="str">
        <f aca="false">IF(C1594="","",C1594*IF(Settings!$B$22=Settings!$C$6,1,IF(Settings!$B$22="USD",1/INDEX(Settings!$B$29:$B$40,MONTH(A1594)),INDEX(Settings!$B$29:$B$40,MONTH(A1594)))))</f>
        <v/>
      </c>
    </row>
    <row r="1595" customFormat="false" ht="15" hidden="false" customHeight="false" outlineLevel="0" collapsed="false">
      <c r="H1595" s="0" t="str">
        <f aca="false">IF(B1595="","",IF(COUNTIF(Campaigns!$A$7:$A$300,B1595)&gt;0,"✓","⚠ add to Campaigns tab"))</f>
        <v/>
      </c>
      <c r="I1595" s="84" t="str">
        <f aca="false">IF(C1595="","",C1595*IF(Settings!$B$22=Settings!$C$6,1,IF(Settings!$B$22="USD",1/INDEX(Settings!$B$29:$B$40,MONTH(A1595)),INDEX(Settings!$B$29:$B$40,MONTH(A1595)))))</f>
        <v/>
      </c>
    </row>
    <row r="1596" customFormat="false" ht="15" hidden="false" customHeight="false" outlineLevel="0" collapsed="false">
      <c r="H1596" s="0" t="str">
        <f aca="false">IF(B1596="","",IF(COUNTIF(Campaigns!$A$7:$A$300,B1596)&gt;0,"✓","⚠ add to Campaigns tab"))</f>
        <v/>
      </c>
      <c r="I1596" s="84" t="str">
        <f aca="false">IF(C1596="","",C1596*IF(Settings!$B$22=Settings!$C$6,1,IF(Settings!$B$22="USD",1/INDEX(Settings!$B$29:$B$40,MONTH(A1596)),INDEX(Settings!$B$29:$B$40,MONTH(A1596)))))</f>
        <v/>
      </c>
    </row>
    <row r="1597" customFormat="false" ht="15" hidden="false" customHeight="false" outlineLevel="0" collapsed="false">
      <c r="H1597" s="0" t="str">
        <f aca="false">IF(B1597="","",IF(COUNTIF(Campaigns!$A$7:$A$300,B1597)&gt;0,"✓","⚠ add to Campaigns tab"))</f>
        <v/>
      </c>
      <c r="I1597" s="84" t="str">
        <f aca="false">IF(C1597="","",C1597*IF(Settings!$B$22=Settings!$C$6,1,IF(Settings!$B$22="USD",1/INDEX(Settings!$B$29:$B$40,MONTH(A1597)),INDEX(Settings!$B$29:$B$40,MONTH(A1597)))))</f>
        <v/>
      </c>
    </row>
    <row r="1598" customFormat="false" ht="15" hidden="false" customHeight="false" outlineLevel="0" collapsed="false">
      <c r="H1598" s="0" t="str">
        <f aca="false">IF(B1598="","",IF(COUNTIF(Campaigns!$A$7:$A$300,B1598)&gt;0,"✓","⚠ add to Campaigns tab"))</f>
        <v/>
      </c>
      <c r="I1598" s="84" t="str">
        <f aca="false">IF(C1598="","",C1598*IF(Settings!$B$22=Settings!$C$6,1,IF(Settings!$B$22="USD",1/INDEX(Settings!$B$29:$B$40,MONTH(A1598)),INDEX(Settings!$B$29:$B$40,MONTH(A1598)))))</f>
        <v/>
      </c>
    </row>
    <row r="1599" customFormat="false" ht="15" hidden="false" customHeight="false" outlineLevel="0" collapsed="false">
      <c r="H1599" s="0" t="str">
        <f aca="false">IF(B1599="","",IF(COUNTIF(Campaigns!$A$7:$A$300,B1599)&gt;0,"✓","⚠ add to Campaigns tab"))</f>
        <v/>
      </c>
      <c r="I1599" s="84" t="str">
        <f aca="false">IF(C1599="","",C1599*IF(Settings!$B$22=Settings!$C$6,1,IF(Settings!$B$22="USD",1/INDEX(Settings!$B$29:$B$40,MONTH(A1599)),INDEX(Settings!$B$29:$B$40,MONTH(A1599)))))</f>
        <v/>
      </c>
    </row>
    <row r="1600" customFormat="false" ht="15" hidden="false" customHeight="false" outlineLevel="0" collapsed="false">
      <c r="H1600" s="0" t="str">
        <f aca="false">IF(B1600="","",IF(COUNTIF(Campaigns!$A$7:$A$300,B1600)&gt;0,"✓","⚠ add to Campaigns tab"))</f>
        <v/>
      </c>
      <c r="I1600" s="84" t="str">
        <f aca="false">IF(C1600="","",C1600*IF(Settings!$B$22=Settings!$C$6,1,IF(Settings!$B$22="USD",1/INDEX(Settings!$B$29:$B$40,MONTH(A1600)),INDEX(Settings!$B$29:$B$40,MONTH(A1600)))))</f>
        <v/>
      </c>
    </row>
    <row r="1601" customFormat="false" ht="15" hidden="false" customHeight="false" outlineLevel="0" collapsed="false">
      <c r="H1601" s="0" t="str">
        <f aca="false">IF(B1601="","",IF(COUNTIF(Campaigns!$A$7:$A$300,B1601)&gt;0,"✓","⚠ add to Campaigns tab"))</f>
        <v/>
      </c>
      <c r="I1601" s="84" t="str">
        <f aca="false">IF(C1601="","",C1601*IF(Settings!$B$22=Settings!$C$6,1,IF(Settings!$B$22="USD",1/INDEX(Settings!$B$29:$B$40,MONTH(A1601)),INDEX(Settings!$B$29:$B$40,MONTH(A1601)))))</f>
        <v/>
      </c>
    </row>
    <row r="1602" customFormat="false" ht="15" hidden="false" customHeight="false" outlineLevel="0" collapsed="false">
      <c r="H1602" s="0" t="str">
        <f aca="false">IF(B1602="","",IF(COUNTIF(Campaigns!$A$7:$A$300,B1602)&gt;0,"✓","⚠ add to Campaigns tab"))</f>
        <v/>
      </c>
      <c r="I1602" s="84" t="str">
        <f aca="false">IF(C1602="","",C1602*IF(Settings!$B$22=Settings!$C$6,1,IF(Settings!$B$22="USD",1/INDEX(Settings!$B$29:$B$40,MONTH(A1602)),INDEX(Settings!$B$29:$B$40,MONTH(A1602)))))</f>
        <v/>
      </c>
    </row>
    <row r="1603" customFormat="false" ht="15" hidden="false" customHeight="false" outlineLevel="0" collapsed="false">
      <c r="H1603" s="0" t="str">
        <f aca="false">IF(B1603="","",IF(COUNTIF(Campaigns!$A$7:$A$300,B1603)&gt;0,"✓","⚠ add to Campaigns tab"))</f>
        <v/>
      </c>
      <c r="I1603" s="84" t="str">
        <f aca="false">IF(C1603="","",C1603*IF(Settings!$B$22=Settings!$C$6,1,IF(Settings!$B$22="USD",1/INDEX(Settings!$B$29:$B$40,MONTH(A1603)),INDEX(Settings!$B$29:$B$40,MONTH(A1603)))))</f>
        <v/>
      </c>
    </row>
    <row r="1604" customFormat="false" ht="15" hidden="false" customHeight="false" outlineLevel="0" collapsed="false">
      <c r="H1604" s="0" t="str">
        <f aca="false">IF(B1604="","",IF(COUNTIF(Campaigns!$A$7:$A$300,B1604)&gt;0,"✓","⚠ add to Campaigns tab"))</f>
        <v/>
      </c>
      <c r="I1604" s="84" t="str">
        <f aca="false">IF(C1604="","",C1604*IF(Settings!$B$22=Settings!$C$6,1,IF(Settings!$B$22="USD",1/INDEX(Settings!$B$29:$B$40,MONTH(A1604)),INDEX(Settings!$B$29:$B$40,MONTH(A1604)))))</f>
        <v/>
      </c>
    </row>
    <row r="1605" customFormat="false" ht="15" hidden="false" customHeight="false" outlineLevel="0" collapsed="false">
      <c r="H1605" s="0" t="str">
        <f aca="false">IF(B1605="","",IF(COUNTIF(Campaigns!$A$7:$A$300,B1605)&gt;0,"✓","⚠ add to Campaigns tab"))</f>
        <v/>
      </c>
      <c r="I1605" s="84" t="str">
        <f aca="false">IF(C1605="","",C1605*IF(Settings!$B$22=Settings!$C$6,1,IF(Settings!$B$22="USD",1/INDEX(Settings!$B$29:$B$40,MONTH(A1605)),INDEX(Settings!$B$29:$B$40,MONTH(A1605)))))</f>
        <v/>
      </c>
    </row>
    <row r="1606" customFormat="false" ht="15" hidden="false" customHeight="false" outlineLevel="0" collapsed="false">
      <c r="H1606" s="0" t="str">
        <f aca="false">IF(B1606="","",IF(COUNTIF(Campaigns!$A$7:$A$300,B1606)&gt;0,"✓","⚠ add to Campaigns tab"))</f>
        <v/>
      </c>
      <c r="I1606" s="84" t="str">
        <f aca="false">IF(C1606="","",C1606*IF(Settings!$B$22=Settings!$C$6,1,IF(Settings!$B$22="USD",1/INDEX(Settings!$B$29:$B$40,MONTH(A1606)),INDEX(Settings!$B$29:$B$40,MONTH(A1606)))))</f>
        <v/>
      </c>
    </row>
    <row r="1607" customFormat="false" ht="15" hidden="false" customHeight="false" outlineLevel="0" collapsed="false">
      <c r="H1607" s="0" t="str">
        <f aca="false">IF(B1607="","",IF(COUNTIF(Campaigns!$A$7:$A$300,B1607)&gt;0,"✓","⚠ add to Campaigns tab"))</f>
        <v/>
      </c>
      <c r="I1607" s="84" t="str">
        <f aca="false">IF(C1607="","",C1607*IF(Settings!$B$22=Settings!$C$6,1,IF(Settings!$B$22="USD",1/INDEX(Settings!$B$29:$B$40,MONTH(A1607)),INDEX(Settings!$B$29:$B$40,MONTH(A1607)))))</f>
        <v/>
      </c>
    </row>
    <row r="1608" customFormat="false" ht="15" hidden="false" customHeight="false" outlineLevel="0" collapsed="false">
      <c r="H1608" s="0" t="str">
        <f aca="false">IF(B1608="","",IF(COUNTIF(Campaigns!$A$7:$A$300,B1608)&gt;0,"✓","⚠ add to Campaigns tab"))</f>
        <v/>
      </c>
      <c r="I1608" s="84" t="str">
        <f aca="false">IF(C1608="","",C1608*IF(Settings!$B$22=Settings!$C$6,1,IF(Settings!$B$22="USD",1/INDEX(Settings!$B$29:$B$40,MONTH(A1608)),INDEX(Settings!$B$29:$B$40,MONTH(A1608)))))</f>
        <v/>
      </c>
    </row>
    <row r="1609" customFormat="false" ht="15" hidden="false" customHeight="false" outlineLevel="0" collapsed="false">
      <c r="H1609" s="0" t="str">
        <f aca="false">IF(B1609="","",IF(COUNTIF(Campaigns!$A$7:$A$300,B1609)&gt;0,"✓","⚠ add to Campaigns tab"))</f>
        <v/>
      </c>
      <c r="I1609" s="84" t="str">
        <f aca="false">IF(C1609="","",C1609*IF(Settings!$B$22=Settings!$C$6,1,IF(Settings!$B$22="USD",1/INDEX(Settings!$B$29:$B$40,MONTH(A1609)),INDEX(Settings!$B$29:$B$40,MONTH(A1609)))))</f>
        <v/>
      </c>
    </row>
    <row r="1610" customFormat="false" ht="15" hidden="false" customHeight="false" outlineLevel="0" collapsed="false">
      <c r="H1610" s="0" t="str">
        <f aca="false">IF(B1610="","",IF(COUNTIF(Campaigns!$A$7:$A$300,B1610)&gt;0,"✓","⚠ add to Campaigns tab"))</f>
        <v/>
      </c>
      <c r="I1610" s="84" t="str">
        <f aca="false">IF(C1610="","",C1610*IF(Settings!$B$22=Settings!$C$6,1,IF(Settings!$B$22="USD",1/INDEX(Settings!$B$29:$B$40,MONTH(A1610)),INDEX(Settings!$B$29:$B$40,MONTH(A1610)))))</f>
        <v/>
      </c>
    </row>
    <row r="1611" customFormat="false" ht="15" hidden="false" customHeight="false" outlineLevel="0" collapsed="false">
      <c r="H1611" s="0" t="str">
        <f aca="false">IF(B1611="","",IF(COUNTIF(Campaigns!$A$7:$A$300,B1611)&gt;0,"✓","⚠ add to Campaigns tab"))</f>
        <v/>
      </c>
      <c r="I1611" s="84" t="str">
        <f aca="false">IF(C1611="","",C1611*IF(Settings!$B$22=Settings!$C$6,1,IF(Settings!$B$22="USD",1/INDEX(Settings!$B$29:$B$40,MONTH(A1611)),INDEX(Settings!$B$29:$B$40,MONTH(A1611)))))</f>
        <v/>
      </c>
    </row>
    <row r="1612" customFormat="false" ht="15" hidden="false" customHeight="false" outlineLevel="0" collapsed="false">
      <c r="H1612" s="0" t="str">
        <f aca="false">IF(B1612="","",IF(COUNTIF(Campaigns!$A$7:$A$300,B1612)&gt;0,"✓","⚠ add to Campaigns tab"))</f>
        <v/>
      </c>
      <c r="I1612" s="84" t="str">
        <f aca="false">IF(C1612="","",C1612*IF(Settings!$B$22=Settings!$C$6,1,IF(Settings!$B$22="USD",1/INDEX(Settings!$B$29:$B$40,MONTH(A1612)),INDEX(Settings!$B$29:$B$40,MONTH(A1612)))))</f>
        <v/>
      </c>
    </row>
    <row r="1613" customFormat="false" ht="15" hidden="false" customHeight="false" outlineLevel="0" collapsed="false">
      <c r="H1613" s="0" t="str">
        <f aca="false">IF(B1613="","",IF(COUNTIF(Campaigns!$A$7:$A$300,B1613)&gt;0,"✓","⚠ add to Campaigns tab"))</f>
        <v/>
      </c>
      <c r="I1613" s="84" t="str">
        <f aca="false">IF(C1613="","",C1613*IF(Settings!$B$22=Settings!$C$6,1,IF(Settings!$B$22="USD",1/INDEX(Settings!$B$29:$B$40,MONTH(A1613)),INDEX(Settings!$B$29:$B$40,MONTH(A1613)))))</f>
        <v/>
      </c>
    </row>
    <row r="1614" customFormat="false" ht="15" hidden="false" customHeight="false" outlineLevel="0" collapsed="false">
      <c r="H1614" s="0" t="str">
        <f aca="false">IF(B1614="","",IF(COUNTIF(Campaigns!$A$7:$A$300,B1614)&gt;0,"✓","⚠ add to Campaigns tab"))</f>
        <v/>
      </c>
      <c r="I1614" s="84" t="str">
        <f aca="false">IF(C1614="","",C1614*IF(Settings!$B$22=Settings!$C$6,1,IF(Settings!$B$22="USD",1/INDEX(Settings!$B$29:$B$40,MONTH(A1614)),INDEX(Settings!$B$29:$B$40,MONTH(A1614)))))</f>
        <v/>
      </c>
    </row>
    <row r="1615" customFormat="false" ht="15" hidden="false" customHeight="false" outlineLevel="0" collapsed="false">
      <c r="H1615" s="0" t="str">
        <f aca="false">IF(B1615="","",IF(COUNTIF(Campaigns!$A$7:$A$300,B1615)&gt;0,"✓","⚠ add to Campaigns tab"))</f>
        <v/>
      </c>
      <c r="I1615" s="84" t="str">
        <f aca="false">IF(C1615="","",C1615*IF(Settings!$B$22=Settings!$C$6,1,IF(Settings!$B$22="USD",1/INDEX(Settings!$B$29:$B$40,MONTH(A1615)),INDEX(Settings!$B$29:$B$40,MONTH(A1615)))))</f>
        <v/>
      </c>
    </row>
    <row r="1616" customFormat="false" ht="15" hidden="false" customHeight="false" outlineLevel="0" collapsed="false">
      <c r="H1616" s="0" t="str">
        <f aca="false">IF(B1616="","",IF(COUNTIF(Campaigns!$A$7:$A$300,B1616)&gt;0,"✓","⚠ add to Campaigns tab"))</f>
        <v/>
      </c>
      <c r="I1616" s="84" t="str">
        <f aca="false">IF(C1616="","",C1616*IF(Settings!$B$22=Settings!$C$6,1,IF(Settings!$B$22="USD",1/INDEX(Settings!$B$29:$B$40,MONTH(A1616)),INDEX(Settings!$B$29:$B$40,MONTH(A1616)))))</f>
        <v/>
      </c>
    </row>
    <row r="1617" customFormat="false" ht="15" hidden="false" customHeight="false" outlineLevel="0" collapsed="false">
      <c r="H1617" s="0" t="str">
        <f aca="false">IF(B1617="","",IF(COUNTIF(Campaigns!$A$7:$A$300,B1617)&gt;0,"✓","⚠ add to Campaigns tab"))</f>
        <v/>
      </c>
      <c r="I1617" s="84" t="str">
        <f aca="false">IF(C1617="","",C1617*IF(Settings!$B$22=Settings!$C$6,1,IF(Settings!$B$22="USD",1/INDEX(Settings!$B$29:$B$40,MONTH(A1617)),INDEX(Settings!$B$29:$B$40,MONTH(A1617)))))</f>
        <v/>
      </c>
    </row>
    <row r="1618" customFormat="false" ht="15" hidden="false" customHeight="false" outlineLevel="0" collapsed="false">
      <c r="H1618" s="0" t="str">
        <f aca="false">IF(B1618="","",IF(COUNTIF(Campaigns!$A$7:$A$300,B1618)&gt;0,"✓","⚠ add to Campaigns tab"))</f>
        <v/>
      </c>
      <c r="I1618" s="84" t="str">
        <f aca="false">IF(C1618="","",C1618*IF(Settings!$B$22=Settings!$C$6,1,IF(Settings!$B$22="USD",1/INDEX(Settings!$B$29:$B$40,MONTH(A1618)),INDEX(Settings!$B$29:$B$40,MONTH(A1618)))))</f>
        <v/>
      </c>
    </row>
    <row r="1619" customFormat="false" ht="15" hidden="false" customHeight="false" outlineLevel="0" collapsed="false">
      <c r="H1619" s="0" t="str">
        <f aca="false">IF(B1619="","",IF(COUNTIF(Campaigns!$A$7:$A$300,B1619)&gt;0,"✓","⚠ add to Campaigns tab"))</f>
        <v/>
      </c>
      <c r="I1619" s="84" t="str">
        <f aca="false">IF(C1619="","",C1619*IF(Settings!$B$22=Settings!$C$6,1,IF(Settings!$B$22="USD",1/INDEX(Settings!$B$29:$B$40,MONTH(A1619)),INDEX(Settings!$B$29:$B$40,MONTH(A1619)))))</f>
        <v/>
      </c>
    </row>
    <row r="1620" customFormat="false" ht="15" hidden="false" customHeight="false" outlineLevel="0" collapsed="false">
      <c r="H1620" s="0" t="str">
        <f aca="false">IF(B1620="","",IF(COUNTIF(Campaigns!$A$7:$A$300,B1620)&gt;0,"✓","⚠ add to Campaigns tab"))</f>
        <v/>
      </c>
      <c r="I1620" s="84" t="str">
        <f aca="false">IF(C1620="","",C1620*IF(Settings!$B$22=Settings!$C$6,1,IF(Settings!$B$22="USD",1/INDEX(Settings!$B$29:$B$40,MONTH(A1620)),INDEX(Settings!$B$29:$B$40,MONTH(A1620)))))</f>
        <v/>
      </c>
    </row>
    <row r="1621" customFormat="false" ht="15" hidden="false" customHeight="false" outlineLevel="0" collapsed="false">
      <c r="H1621" s="0" t="str">
        <f aca="false">IF(B1621="","",IF(COUNTIF(Campaigns!$A$7:$A$300,B1621)&gt;0,"✓","⚠ add to Campaigns tab"))</f>
        <v/>
      </c>
      <c r="I1621" s="84" t="str">
        <f aca="false">IF(C1621="","",C1621*IF(Settings!$B$22=Settings!$C$6,1,IF(Settings!$B$22="USD",1/INDEX(Settings!$B$29:$B$40,MONTH(A1621)),INDEX(Settings!$B$29:$B$40,MONTH(A1621)))))</f>
        <v/>
      </c>
    </row>
    <row r="1622" customFormat="false" ht="15" hidden="false" customHeight="false" outlineLevel="0" collapsed="false">
      <c r="H1622" s="0" t="str">
        <f aca="false">IF(B1622="","",IF(COUNTIF(Campaigns!$A$7:$A$300,B1622)&gt;0,"✓","⚠ add to Campaigns tab"))</f>
        <v/>
      </c>
      <c r="I1622" s="84" t="str">
        <f aca="false">IF(C1622="","",C1622*IF(Settings!$B$22=Settings!$C$6,1,IF(Settings!$B$22="USD",1/INDEX(Settings!$B$29:$B$40,MONTH(A1622)),INDEX(Settings!$B$29:$B$40,MONTH(A1622)))))</f>
        <v/>
      </c>
    </row>
    <row r="1623" customFormat="false" ht="15" hidden="false" customHeight="false" outlineLevel="0" collapsed="false">
      <c r="H1623" s="0" t="str">
        <f aca="false">IF(B1623="","",IF(COUNTIF(Campaigns!$A$7:$A$300,B1623)&gt;0,"✓","⚠ add to Campaigns tab"))</f>
        <v/>
      </c>
      <c r="I1623" s="84" t="str">
        <f aca="false">IF(C1623="","",C1623*IF(Settings!$B$22=Settings!$C$6,1,IF(Settings!$B$22="USD",1/INDEX(Settings!$B$29:$B$40,MONTH(A1623)),INDEX(Settings!$B$29:$B$40,MONTH(A1623)))))</f>
        <v/>
      </c>
    </row>
    <row r="1624" customFormat="false" ht="15" hidden="false" customHeight="false" outlineLevel="0" collapsed="false">
      <c r="H1624" s="0" t="str">
        <f aca="false">IF(B1624="","",IF(COUNTIF(Campaigns!$A$7:$A$300,B1624)&gt;0,"✓","⚠ add to Campaigns tab"))</f>
        <v/>
      </c>
      <c r="I1624" s="84" t="str">
        <f aca="false">IF(C1624="","",C1624*IF(Settings!$B$22=Settings!$C$6,1,IF(Settings!$B$22="USD",1/INDEX(Settings!$B$29:$B$40,MONTH(A1624)),INDEX(Settings!$B$29:$B$40,MONTH(A1624)))))</f>
        <v/>
      </c>
    </row>
    <row r="1625" customFormat="false" ht="15" hidden="false" customHeight="false" outlineLevel="0" collapsed="false">
      <c r="H1625" s="0" t="str">
        <f aca="false">IF(B1625="","",IF(COUNTIF(Campaigns!$A$7:$A$300,B1625)&gt;0,"✓","⚠ add to Campaigns tab"))</f>
        <v/>
      </c>
      <c r="I1625" s="84" t="str">
        <f aca="false">IF(C1625="","",C1625*IF(Settings!$B$22=Settings!$C$6,1,IF(Settings!$B$22="USD",1/INDEX(Settings!$B$29:$B$40,MONTH(A1625)),INDEX(Settings!$B$29:$B$40,MONTH(A1625)))))</f>
        <v/>
      </c>
    </row>
    <row r="1626" customFormat="false" ht="15" hidden="false" customHeight="false" outlineLevel="0" collapsed="false">
      <c r="H1626" s="0" t="str">
        <f aca="false">IF(B1626="","",IF(COUNTIF(Campaigns!$A$7:$A$300,B1626)&gt;0,"✓","⚠ add to Campaigns tab"))</f>
        <v/>
      </c>
      <c r="I1626" s="84" t="str">
        <f aca="false">IF(C1626="","",C1626*IF(Settings!$B$22=Settings!$C$6,1,IF(Settings!$B$22="USD",1/INDEX(Settings!$B$29:$B$40,MONTH(A1626)),INDEX(Settings!$B$29:$B$40,MONTH(A1626)))))</f>
        <v/>
      </c>
    </row>
    <row r="1627" customFormat="false" ht="15" hidden="false" customHeight="false" outlineLevel="0" collapsed="false">
      <c r="H1627" s="0" t="str">
        <f aca="false">IF(B1627="","",IF(COUNTIF(Campaigns!$A$7:$A$300,B1627)&gt;0,"✓","⚠ add to Campaigns tab"))</f>
        <v/>
      </c>
      <c r="I1627" s="84" t="str">
        <f aca="false">IF(C1627="","",C1627*IF(Settings!$B$22=Settings!$C$6,1,IF(Settings!$B$22="USD",1/INDEX(Settings!$B$29:$B$40,MONTH(A1627)),INDEX(Settings!$B$29:$B$40,MONTH(A1627)))))</f>
        <v/>
      </c>
    </row>
    <row r="1628" customFormat="false" ht="15" hidden="false" customHeight="false" outlineLevel="0" collapsed="false">
      <c r="H1628" s="0" t="str">
        <f aca="false">IF(B1628="","",IF(COUNTIF(Campaigns!$A$7:$A$300,B1628)&gt;0,"✓","⚠ add to Campaigns tab"))</f>
        <v/>
      </c>
      <c r="I1628" s="84" t="str">
        <f aca="false">IF(C1628="","",C1628*IF(Settings!$B$22=Settings!$C$6,1,IF(Settings!$B$22="USD",1/INDEX(Settings!$B$29:$B$40,MONTH(A1628)),INDEX(Settings!$B$29:$B$40,MONTH(A1628)))))</f>
        <v/>
      </c>
    </row>
    <row r="1629" customFormat="false" ht="15" hidden="false" customHeight="false" outlineLevel="0" collapsed="false">
      <c r="H1629" s="0" t="str">
        <f aca="false">IF(B1629="","",IF(COUNTIF(Campaigns!$A$7:$A$300,B1629)&gt;0,"✓","⚠ add to Campaigns tab"))</f>
        <v/>
      </c>
      <c r="I1629" s="84" t="str">
        <f aca="false">IF(C1629="","",C1629*IF(Settings!$B$22=Settings!$C$6,1,IF(Settings!$B$22="USD",1/INDEX(Settings!$B$29:$B$40,MONTH(A1629)),INDEX(Settings!$B$29:$B$40,MONTH(A1629)))))</f>
        <v/>
      </c>
    </row>
    <row r="1630" customFormat="false" ht="15" hidden="false" customHeight="false" outlineLevel="0" collapsed="false">
      <c r="H1630" s="0" t="str">
        <f aca="false">IF(B1630="","",IF(COUNTIF(Campaigns!$A$7:$A$300,B1630)&gt;0,"✓","⚠ add to Campaigns tab"))</f>
        <v/>
      </c>
      <c r="I1630" s="84" t="str">
        <f aca="false">IF(C1630="","",C1630*IF(Settings!$B$22=Settings!$C$6,1,IF(Settings!$B$22="USD",1/INDEX(Settings!$B$29:$B$40,MONTH(A1630)),INDEX(Settings!$B$29:$B$40,MONTH(A1630)))))</f>
        <v/>
      </c>
    </row>
    <row r="1631" customFormat="false" ht="15" hidden="false" customHeight="false" outlineLevel="0" collapsed="false">
      <c r="H1631" s="0" t="str">
        <f aca="false">IF(B1631="","",IF(COUNTIF(Campaigns!$A$7:$A$300,B1631)&gt;0,"✓","⚠ add to Campaigns tab"))</f>
        <v/>
      </c>
      <c r="I1631" s="84" t="str">
        <f aca="false">IF(C1631="","",C1631*IF(Settings!$B$22=Settings!$C$6,1,IF(Settings!$B$22="USD",1/INDEX(Settings!$B$29:$B$40,MONTH(A1631)),INDEX(Settings!$B$29:$B$40,MONTH(A1631)))))</f>
        <v/>
      </c>
    </row>
    <row r="1632" customFormat="false" ht="15" hidden="false" customHeight="false" outlineLevel="0" collapsed="false">
      <c r="H1632" s="0" t="str">
        <f aca="false">IF(B1632="","",IF(COUNTIF(Campaigns!$A$7:$A$300,B1632)&gt;0,"✓","⚠ add to Campaigns tab"))</f>
        <v/>
      </c>
      <c r="I1632" s="84" t="str">
        <f aca="false">IF(C1632="","",C1632*IF(Settings!$B$22=Settings!$C$6,1,IF(Settings!$B$22="USD",1/INDEX(Settings!$B$29:$B$40,MONTH(A1632)),INDEX(Settings!$B$29:$B$40,MONTH(A1632)))))</f>
        <v/>
      </c>
    </row>
    <row r="1633" customFormat="false" ht="15" hidden="false" customHeight="false" outlineLevel="0" collapsed="false">
      <c r="H1633" s="0" t="str">
        <f aca="false">IF(B1633="","",IF(COUNTIF(Campaigns!$A$7:$A$300,B1633)&gt;0,"✓","⚠ add to Campaigns tab"))</f>
        <v/>
      </c>
      <c r="I1633" s="84" t="str">
        <f aca="false">IF(C1633="","",C1633*IF(Settings!$B$22=Settings!$C$6,1,IF(Settings!$B$22="USD",1/INDEX(Settings!$B$29:$B$40,MONTH(A1633)),INDEX(Settings!$B$29:$B$40,MONTH(A1633)))))</f>
        <v/>
      </c>
    </row>
    <row r="1634" customFormat="false" ht="15" hidden="false" customHeight="false" outlineLevel="0" collapsed="false">
      <c r="H1634" s="0" t="str">
        <f aca="false">IF(B1634="","",IF(COUNTIF(Campaigns!$A$7:$A$300,B1634)&gt;0,"✓","⚠ add to Campaigns tab"))</f>
        <v/>
      </c>
      <c r="I1634" s="84" t="str">
        <f aca="false">IF(C1634="","",C1634*IF(Settings!$B$22=Settings!$C$6,1,IF(Settings!$B$22="USD",1/INDEX(Settings!$B$29:$B$40,MONTH(A1634)),INDEX(Settings!$B$29:$B$40,MONTH(A1634)))))</f>
        <v/>
      </c>
    </row>
    <row r="1635" customFormat="false" ht="15" hidden="false" customHeight="false" outlineLevel="0" collapsed="false">
      <c r="H1635" s="0" t="str">
        <f aca="false">IF(B1635="","",IF(COUNTIF(Campaigns!$A$7:$A$300,B1635)&gt;0,"✓","⚠ add to Campaigns tab"))</f>
        <v/>
      </c>
      <c r="I1635" s="84" t="str">
        <f aca="false">IF(C1635="","",C1635*IF(Settings!$B$22=Settings!$C$6,1,IF(Settings!$B$22="USD",1/INDEX(Settings!$B$29:$B$40,MONTH(A1635)),INDEX(Settings!$B$29:$B$40,MONTH(A1635)))))</f>
        <v/>
      </c>
    </row>
    <row r="1636" customFormat="false" ht="15" hidden="false" customHeight="false" outlineLevel="0" collapsed="false">
      <c r="H1636" s="0" t="str">
        <f aca="false">IF(B1636="","",IF(COUNTIF(Campaigns!$A$7:$A$300,B1636)&gt;0,"✓","⚠ add to Campaigns tab"))</f>
        <v/>
      </c>
      <c r="I1636" s="84" t="str">
        <f aca="false">IF(C1636="","",C1636*IF(Settings!$B$22=Settings!$C$6,1,IF(Settings!$B$22="USD",1/INDEX(Settings!$B$29:$B$40,MONTH(A1636)),INDEX(Settings!$B$29:$B$40,MONTH(A1636)))))</f>
        <v/>
      </c>
    </row>
    <row r="1637" customFormat="false" ht="15" hidden="false" customHeight="false" outlineLevel="0" collapsed="false">
      <c r="H1637" s="0" t="str">
        <f aca="false">IF(B1637="","",IF(COUNTIF(Campaigns!$A$7:$A$300,B1637)&gt;0,"✓","⚠ add to Campaigns tab"))</f>
        <v/>
      </c>
      <c r="I1637" s="84" t="str">
        <f aca="false">IF(C1637="","",C1637*IF(Settings!$B$22=Settings!$C$6,1,IF(Settings!$B$22="USD",1/INDEX(Settings!$B$29:$B$40,MONTH(A1637)),INDEX(Settings!$B$29:$B$40,MONTH(A1637)))))</f>
        <v/>
      </c>
    </row>
    <row r="1638" customFormat="false" ht="15" hidden="false" customHeight="false" outlineLevel="0" collapsed="false">
      <c r="H1638" s="0" t="str">
        <f aca="false">IF(B1638="","",IF(COUNTIF(Campaigns!$A$7:$A$300,B1638)&gt;0,"✓","⚠ add to Campaigns tab"))</f>
        <v/>
      </c>
      <c r="I1638" s="84" t="str">
        <f aca="false">IF(C1638="","",C1638*IF(Settings!$B$22=Settings!$C$6,1,IF(Settings!$B$22="USD",1/INDEX(Settings!$B$29:$B$40,MONTH(A1638)),INDEX(Settings!$B$29:$B$40,MONTH(A1638)))))</f>
        <v/>
      </c>
    </row>
    <row r="1639" customFormat="false" ht="15" hidden="false" customHeight="false" outlineLevel="0" collapsed="false">
      <c r="H1639" s="0" t="str">
        <f aca="false">IF(B1639="","",IF(COUNTIF(Campaigns!$A$7:$A$300,B1639)&gt;0,"✓","⚠ add to Campaigns tab"))</f>
        <v/>
      </c>
      <c r="I1639" s="84" t="str">
        <f aca="false">IF(C1639="","",C1639*IF(Settings!$B$22=Settings!$C$6,1,IF(Settings!$B$22="USD",1/INDEX(Settings!$B$29:$B$40,MONTH(A1639)),INDEX(Settings!$B$29:$B$40,MONTH(A1639)))))</f>
        <v/>
      </c>
    </row>
    <row r="1640" customFormat="false" ht="15" hidden="false" customHeight="false" outlineLevel="0" collapsed="false">
      <c r="H1640" s="0" t="str">
        <f aca="false">IF(B1640="","",IF(COUNTIF(Campaigns!$A$7:$A$300,B1640)&gt;0,"✓","⚠ add to Campaigns tab"))</f>
        <v/>
      </c>
      <c r="I1640" s="84" t="str">
        <f aca="false">IF(C1640="","",C1640*IF(Settings!$B$22=Settings!$C$6,1,IF(Settings!$B$22="USD",1/INDEX(Settings!$B$29:$B$40,MONTH(A1640)),INDEX(Settings!$B$29:$B$40,MONTH(A1640)))))</f>
        <v/>
      </c>
    </row>
    <row r="1641" customFormat="false" ht="15" hidden="false" customHeight="false" outlineLevel="0" collapsed="false">
      <c r="H1641" s="0" t="str">
        <f aca="false">IF(B1641="","",IF(COUNTIF(Campaigns!$A$7:$A$300,B1641)&gt;0,"✓","⚠ add to Campaigns tab"))</f>
        <v/>
      </c>
      <c r="I1641" s="84" t="str">
        <f aca="false">IF(C1641="","",C1641*IF(Settings!$B$22=Settings!$C$6,1,IF(Settings!$B$22="USD",1/INDEX(Settings!$B$29:$B$40,MONTH(A1641)),INDEX(Settings!$B$29:$B$40,MONTH(A1641)))))</f>
        <v/>
      </c>
    </row>
    <row r="1642" customFormat="false" ht="15" hidden="false" customHeight="false" outlineLevel="0" collapsed="false">
      <c r="H1642" s="0" t="str">
        <f aca="false">IF(B1642="","",IF(COUNTIF(Campaigns!$A$7:$A$300,B1642)&gt;0,"✓","⚠ add to Campaigns tab"))</f>
        <v/>
      </c>
      <c r="I1642" s="84" t="str">
        <f aca="false">IF(C1642="","",C1642*IF(Settings!$B$22=Settings!$C$6,1,IF(Settings!$B$22="USD",1/INDEX(Settings!$B$29:$B$40,MONTH(A1642)),INDEX(Settings!$B$29:$B$40,MONTH(A1642)))))</f>
        <v/>
      </c>
    </row>
    <row r="1643" customFormat="false" ht="15" hidden="false" customHeight="false" outlineLevel="0" collapsed="false">
      <c r="H1643" s="0" t="str">
        <f aca="false">IF(B1643="","",IF(COUNTIF(Campaigns!$A$7:$A$300,B1643)&gt;0,"✓","⚠ add to Campaigns tab"))</f>
        <v/>
      </c>
      <c r="I1643" s="84" t="str">
        <f aca="false">IF(C1643="","",C1643*IF(Settings!$B$22=Settings!$C$6,1,IF(Settings!$B$22="USD",1/INDEX(Settings!$B$29:$B$40,MONTH(A1643)),INDEX(Settings!$B$29:$B$40,MONTH(A1643)))))</f>
        <v/>
      </c>
    </row>
    <row r="1644" customFormat="false" ht="15" hidden="false" customHeight="false" outlineLevel="0" collapsed="false">
      <c r="H1644" s="0" t="str">
        <f aca="false">IF(B1644="","",IF(COUNTIF(Campaigns!$A$7:$A$300,B1644)&gt;0,"✓","⚠ add to Campaigns tab"))</f>
        <v/>
      </c>
      <c r="I1644" s="84" t="str">
        <f aca="false">IF(C1644="","",C1644*IF(Settings!$B$22=Settings!$C$6,1,IF(Settings!$B$22="USD",1/INDEX(Settings!$B$29:$B$40,MONTH(A1644)),INDEX(Settings!$B$29:$B$40,MONTH(A1644)))))</f>
        <v/>
      </c>
    </row>
    <row r="1645" customFormat="false" ht="15" hidden="false" customHeight="false" outlineLevel="0" collapsed="false">
      <c r="H1645" s="0" t="str">
        <f aca="false">IF(B1645="","",IF(COUNTIF(Campaigns!$A$7:$A$300,B1645)&gt;0,"✓","⚠ add to Campaigns tab"))</f>
        <v/>
      </c>
      <c r="I1645" s="84" t="str">
        <f aca="false">IF(C1645="","",C1645*IF(Settings!$B$22=Settings!$C$6,1,IF(Settings!$B$22="USD",1/INDEX(Settings!$B$29:$B$40,MONTH(A1645)),INDEX(Settings!$B$29:$B$40,MONTH(A1645)))))</f>
        <v/>
      </c>
    </row>
    <row r="1646" customFormat="false" ht="15" hidden="false" customHeight="false" outlineLevel="0" collapsed="false">
      <c r="H1646" s="0" t="str">
        <f aca="false">IF(B1646="","",IF(COUNTIF(Campaigns!$A$7:$A$300,B1646)&gt;0,"✓","⚠ add to Campaigns tab"))</f>
        <v/>
      </c>
      <c r="I1646" s="84" t="str">
        <f aca="false">IF(C1646="","",C1646*IF(Settings!$B$22=Settings!$C$6,1,IF(Settings!$B$22="USD",1/INDEX(Settings!$B$29:$B$40,MONTH(A1646)),INDEX(Settings!$B$29:$B$40,MONTH(A1646)))))</f>
        <v/>
      </c>
    </row>
    <row r="1647" customFormat="false" ht="15" hidden="false" customHeight="false" outlineLevel="0" collapsed="false">
      <c r="H1647" s="0" t="str">
        <f aca="false">IF(B1647="","",IF(COUNTIF(Campaigns!$A$7:$A$300,B1647)&gt;0,"✓","⚠ add to Campaigns tab"))</f>
        <v/>
      </c>
      <c r="I1647" s="84" t="str">
        <f aca="false">IF(C1647="","",C1647*IF(Settings!$B$22=Settings!$C$6,1,IF(Settings!$B$22="USD",1/INDEX(Settings!$B$29:$B$40,MONTH(A1647)),INDEX(Settings!$B$29:$B$40,MONTH(A1647)))))</f>
        <v/>
      </c>
    </row>
    <row r="1648" customFormat="false" ht="15" hidden="false" customHeight="false" outlineLevel="0" collapsed="false">
      <c r="H1648" s="0" t="str">
        <f aca="false">IF(B1648="","",IF(COUNTIF(Campaigns!$A$7:$A$300,B1648)&gt;0,"✓","⚠ add to Campaigns tab"))</f>
        <v/>
      </c>
      <c r="I1648" s="84" t="str">
        <f aca="false">IF(C1648="","",C1648*IF(Settings!$B$22=Settings!$C$6,1,IF(Settings!$B$22="USD",1/INDEX(Settings!$B$29:$B$40,MONTH(A1648)),INDEX(Settings!$B$29:$B$40,MONTH(A1648)))))</f>
        <v/>
      </c>
    </row>
    <row r="1649" customFormat="false" ht="15" hidden="false" customHeight="false" outlineLevel="0" collapsed="false">
      <c r="H1649" s="0" t="str">
        <f aca="false">IF(B1649="","",IF(COUNTIF(Campaigns!$A$7:$A$300,B1649)&gt;0,"✓","⚠ add to Campaigns tab"))</f>
        <v/>
      </c>
      <c r="I1649" s="84" t="str">
        <f aca="false">IF(C1649="","",C1649*IF(Settings!$B$22=Settings!$C$6,1,IF(Settings!$B$22="USD",1/INDEX(Settings!$B$29:$B$40,MONTH(A1649)),INDEX(Settings!$B$29:$B$40,MONTH(A1649)))))</f>
        <v/>
      </c>
    </row>
    <row r="1650" customFormat="false" ht="15" hidden="false" customHeight="false" outlineLevel="0" collapsed="false">
      <c r="H1650" s="0" t="str">
        <f aca="false">IF(B1650="","",IF(COUNTIF(Campaigns!$A$7:$A$300,B1650)&gt;0,"✓","⚠ add to Campaigns tab"))</f>
        <v/>
      </c>
      <c r="I1650" s="84" t="str">
        <f aca="false">IF(C1650="","",C1650*IF(Settings!$B$22=Settings!$C$6,1,IF(Settings!$B$22="USD",1/INDEX(Settings!$B$29:$B$40,MONTH(A1650)),INDEX(Settings!$B$29:$B$40,MONTH(A1650)))))</f>
        <v/>
      </c>
    </row>
    <row r="1651" customFormat="false" ht="15" hidden="false" customHeight="false" outlineLevel="0" collapsed="false">
      <c r="H1651" s="0" t="str">
        <f aca="false">IF(B1651="","",IF(COUNTIF(Campaigns!$A$7:$A$300,B1651)&gt;0,"✓","⚠ add to Campaigns tab"))</f>
        <v/>
      </c>
      <c r="I1651" s="84" t="str">
        <f aca="false">IF(C1651="","",C1651*IF(Settings!$B$22=Settings!$C$6,1,IF(Settings!$B$22="USD",1/INDEX(Settings!$B$29:$B$40,MONTH(A1651)),INDEX(Settings!$B$29:$B$40,MONTH(A1651)))))</f>
        <v/>
      </c>
    </row>
    <row r="1652" customFormat="false" ht="15" hidden="false" customHeight="false" outlineLevel="0" collapsed="false">
      <c r="H1652" s="0" t="str">
        <f aca="false">IF(B1652="","",IF(COUNTIF(Campaigns!$A$7:$A$300,B1652)&gt;0,"✓","⚠ add to Campaigns tab"))</f>
        <v/>
      </c>
      <c r="I1652" s="84" t="str">
        <f aca="false">IF(C1652="","",C1652*IF(Settings!$B$22=Settings!$C$6,1,IF(Settings!$B$22="USD",1/INDEX(Settings!$B$29:$B$40,MONTH(A1652)),INDEX(Settings!$B$29:$B$40,MONTH(A1652)))))</f>
        <v/>
      </c>
    </row>
    <row r="1653" customFormat="false" ht="15" hidden="false" customHeight="false" outlineLevel="0" collapsed="false">
      <c r="H1653" s="0" t="str">
        <f aca="false">IF(B1653="","",IF(COUNTIF(Campaigns!$A$7:$A$300,B1653)&gt;0,"✓","⚠ add to Campaigns tab"))</f>
        <v/>
      </c>
      <c r="I1653" s="84" t="str">
        <f aca="false">IF(C1653="","",C1653*IF(Settings!$B$22=Settings!$C$6,1,IF(Settings!$B$22="USD",1/INDEX(Settings!$B$29:$B$40,MONTH(A1653)),INDEX(Settings!$B$29:$B$40,MONTH(A1653)))))</f>
        <v/>
      </c>
    </row>
    <row r="1654" customFormat="false" ht="15" hidden="false" customHeight="false" outlineLevel="0" collapsed="false">
      <c r="H1654" s="0" t="str">
        <f aca="false">IF(B1654="","",IF(COUNTIF(Campaigns!$A$7:$A$300,B1654)&gt;0,"✓","⚠ add to Campaigns tab"))</f>
        <v/>
      </c>
      <c r="I1654" s="84" t="str">
        <f aca="false">IF(C1654="","",C1654*IF(Settings!$B$22=Settings!$C$6,1,IF(Settings!$B$22="USD",1/INDEX(Settings!$B$29:$B$40,MONTH(A1654)),INDEX(Settings!$B$29:$B$40,MONTH(A1654)))))</f>
        <v/>
      </c>
    </row>
    <row r="1655" customFormat="false" ht="15" hidden="false" customHeight="false" outlineLevel="0" collapsed="false">
      <c r="H1655" s="0" t="str">
        <f aca="false">IF(B1655="","",IF(COUNTIF(Campaigns!$A$7:$A$300,B1655)&gt;0,"✓","⚠ add to Campaigns tab"))</f>
        <v/>
      </c>
      <c r="I1655" s="84" t="str">
        <f aca="false">IF(C1655="","",C1655*IF(Settings!$B$22=Settings!$C$6,1,IF(Settings!$B$22="USD",1/INDEX(Settings!$B$29:$B$40,MONTH(A1655)),INDEX(Settings!$B$29:$B$40,MONTH(A1655)))))</f>
        <v/>
      </c>
    </row>
    <row r="1656" customFormat="false" ht="15" hidden="false" customHeight="false" outlineLevel="0" collapsed="false">
      <c r="H1656" s="0" t="str">
        <f aca="false">IF(B1656="","",IF(COUNTIF(Campaigns!$A$7:$A$300,B1656)&gt;0,"✓","⚠ add to Campaigns tab"))</f>
        <v/>
      </c>
      <c r="I1656" s="84" t="str">
        <f aca="false">IF(C1656="","",C1656*IF(Settings!$B$22=Settings!$C$6,1,IF(Settings!$B$22="USD",1/INDEX(Settings!$B$29:$B$40,MONTH(A1656)),INDEX(Settings!$B$29:$B$40,MONTH(A1656)))))</f>
        <v/>
      </c>
    </row>
    <row r="1657" customFormat="false" ht="15" hidden="false" customHeight="false" outlineLevel="0" collapsed="false">
      <c r="H1657" s="0" t="str">
        <f aca="false">IF(B1657="","",IF(COUNTIF(Campaigns!$A$7:$A$300,B1657)&gt;0,"✓","⚠ add to Campaigns tab"))</f>
        <v/>
      </c>
      <c r="I1657" s="84" t="str">
        <f aca="false">IF(C1657="","",C1657*IF(Settings!$B$22=Settings!$C$6,1,IF(Settings!$B$22="USD",1/INDEX(Settings!$B$29:$B$40,MONTH(A1657)),INDEX(Settings!$B$29:$B$40,MONTH(A1657)))))</f>
        <v/>
      </c>
    </row>
    <row r="1658" customFormat="false" ht="15" hidden="false" customHeight="false" outlineLevel="0" collapsed="false">
      <c r="H1658" s="0" t="str">
        <f aca="false">IF(B1658="","",IF(COUNTIF(Campaigns!$A$7:$A$300,B1658)&gt;0,"✓","⚠ add to Campaigns tab"))</f>
        <v/>
      </c>
      <c r="I1658" s="84" t="str">
        <f aca="false">IF(C1658="","",C1658*IF(Settings!$B$22=Settings!$C$6,1,IF(Settings!$B$22="USD",1/INDEX(Settings!$B$29:$B$40,MONTH(A1658)),INDEX(Settings!$B$29:$B$40,MONTH(A1658)))))</f>
        <v/>
      </c>
    </row>
    <row r="1659" customFormat="false" ht="15" hidden="false" customHeight="false" outlineLevel="0" collapsed="false">
      <c r="H1659" s="0" t="str">
        <f aca="false">IF(B1659="","",IF(COUNTIF(Campaigns!$A$7:$A$300,B1659)&gt;0,"✓","⚠ add to Campaigns tab"))</f>
        <v/>
      </c>
      <c r="I1659" s="84" t="str">
        <f aca="false">IF(C1659="","",C1659*IF(Settings!$B$22=Settings!$C$6,1,IF(Settings!$B$22="USD",1/INDEX(Settings!$B$29:$B$40,MONTH(A1659)),INDEX(Settings!$B$29:$B$40,MONTH(A1659)))))</f>
        <v/>
      </c>
    </row>
    <row r="1660" customFormat="false" ht="15" hidden="false" customHeight="false" outlineLevel="0" collapsed="false">
      <c r="H1660" s="0" t="str">
        <f aca="false">IF(B1660="","",IF(COUNTIF(Campaigns!$A$7:$A$300,B1660)&gt;0,"✓","⚠ add to Campaigns tab"))</f>
        <v/>
      </c>
      <c r="I1660" s="84" t="str">
        <f aca="false">IF(C1660="","",C1660*IF(Settings!$B$22=Settings!$C$6,1,IF(Settings!$B$22="USD",1/INDEX(Settings!$B$29:$B$40,MONTH(A1660)),INDEX(Settings!$B$29:$B$40,MONTH(A1660)))))</f>
        <v/>
      </c>
    </row>
    <row r="1661" customFormat="false" ht="15" hidden="false" customHeight="false" outlineLevel="0" collapsed="false">
      <c r="H1661" s="0" t="str">
        <f aca="false">IF(B1661="","",IF(COUNTIF(Campaigns!$A$7:$A$300,B1661)&gt;0,"✓","⚠ add to Campaigns tab"))</f>
        <v/>
      </c>
      <c r="I1661" s="84" t="str">
        <f aca="false">IF(C1661="","",C1661*IF(Settings!$B$22=Settings!$C$6,1,IF(Settings!$B$22="USD",1/INDEX(Settings!$B$29:$B$40,MONTH(A1661)),INDEX(Settings!$B$29:$B$40,MONTH(A1661)))))</f>
        <v/>
      </c>
    </row>
    <row r="1662" customFormat="false" ht="15" hidden="false" customHeight="false" outlineLevel="0" collapsed="false">
      <c r="H1662" s="0" t="str">
        <f aca="false">IF(B1662="","",IF(COUNTIF(Campaigns!$A$7:$A$300,B1662)&gt;0,"✓","⚠ add to Campaigns tab"))</f>
        <v/>
      </c>
      <c r="I1662" s="84" t="str">
        <f aca="false">IF(C1662="","",C1662*IF(Settings!$B$22=Settings!$C$6,1,IF(Settings!$B$22="USD",1/INDEX(Settings!$B$29:$B$40,MONTH(A1662)),INDEX(Settings!$B$29:$B$40,MONTH(A1662)))))</f>
        <v/>
      </c>
    </row>
    <row r="1663" customFormat="false" ht="15" hidden="false" customHeight="false" outlineLevel="0" collapsed="false">
      <c r="H1663" s="0" t="str">
        <f aca="false">IF(B1663="","",IF(COUNTIF(Campaigns!$A$7:$A$300,B1663)&gt;0,"✓","⚠ add to Campaigns tab"))</f>
        <v/>
      </c>
      <c r="I1663" s="84" t="str">
        <f aca="false">IF(C1663="","",C1663*IF(Settings!$B$22=Settings!$C$6,1,IF(Settings!$B$22="USD",1/INDEX(Settings!$B$29:$B$40,MONTH(A1663)),INDEX(Settings!$B$29:$B$40,MONTH(A1663)))))</f>
        <v/>
      </c>
    </row>
    <row r="1664" customFormat="false" ht="15" hidden="false" customHeight="false" outlineLevel="0" collapsed="false">
      <c r="H1664" s="0" t="str">
        <f aca="false">IF(B1664="","",IF(COUNTIF(Campaigns!$A$7:$A$300,B1664)&gt;0,"✓","⚠ add to Campaigns tab"))</f>
        <v/>
      </c>
      <c r="I1664" s="84" t="str">
        <f aca="false">IF(C1664="","",C1664*IF(Settings!$B$22=Settings!$C$6,1,IF(Settings!$B$22="USD",1/INDEX(Settings!$B$29:$B$40,MONTH(A1664)),INDEX(Settings!$B$29:$B$40,MONTH(A1664)))))</f>
        <v/>
      </c>
    </row>
    <row r="1665" customFormat="false" ht="15" hidden="false" customHeight="false" outlineLevel="0" collapsed="false">
      <c r="H1665" s="0" t="str">
        <f aca="false">IF(B1665="","",IF(COUNTIF(Campaigns!$A$7:$A$300,B1665)&gt;0,"✓","⚠ add to Campaigns tab"))</f>
        <v/>
      </c>
      <c r="I1665" s="84" t="str">
        <f aca="false">IF(C1665="","",C1665*IF(Settings!$B$22=Settings!$C$6,1,IF(Settings!$B$22="USD",1/INDEX(Settings!$B$29:$B$40,MONTH(A1665)),INDEX(Settings!$B$29:$B$40,MONTH(A1665)))))</f>
        <v/>
      </c>
    </row>
    <row r="1666" customFormat="false" ht="15" hidden="false" customHeight="false" outlineLevel="0" collapsed="false">
      <c r="H1666" s="0" t="str">
        <f aca="false">IF(B1666="","",IF(COUNTIF(Campaigns!$A$7:$A$300,B1666)&gt;0,"✓","⚠ add to Campaigns tab"))</f>
        <v/>
      </c>
      <c r="I1666" s="84" t="str">
        <f aca="false">IF(C1666="","",C1666*IF(Settings!$B$22=Settings!$C$6,1,IF(Settings!$B$22="USD",1/INDEX(Settings!$B$29:$B$40,MONTH(A1666)),INDEX(Settings!$B$29:$B$40,MONTH(A1666)))))</f>
        <v/>
      </c>
    </row>
    <row r="1667" customFormat="false" ht="15" hidden="false" customHeight="false" outlineLevel="0" collapsed="false">
      <c r="H1667" s="0" t="str">
        <f aca="false">IF(B1667="","",IF(COUNTIF(Campaigns!$A$7:$A$300,B1667)&gt;0,"✓","⚠ add to Campaigns tab"))</f>
        <v/>
      </c>
      <c r="I1667" s="84" t="str">
        <f aca="false">IF(C1667="","",C1667*IF(Settings!$B$22=Settings!$C$6,1,IF(Settings!$B$22="USD",1/INDEX(Settings!$B$29:$B$40,MONTH(A1667)),INDEX(Settings!$B$29:$B$40,MONTH(A1667)))))</f>
        <v/>
      </c>
    </row>
    <row r="1668" customFormat="false" ht="15" hidden="false" customHeight="false" outlineLevel="0" collapsed="false">
      <c r="H1668" s="0" t="str">
        <f aca="false">IF(B1668="","",IF(COUNTIF(Campaigns!$A$7:$A$300,B1668)&gt;0,"✓","⚠ add to Campaigns tab"))</f>
        <v/>
      </c>
      <c r="I1668" s="84" t="str">
        <f aca="false">IF(C1668="","",C1668*IF(Settings!$B$22=Settings!$C$6,1,IF(Settings!$B$22="USD",1/INDEX(Settings!$B$29:$B$40,MONTH(A1668)),INDEX(Settings!$B$29:$B$40,MONTH(A1668)))))</f>
        <v/>
      </c>
    </row>
    <row r="1669" customFormat="false" ht="15" hidden="false" customHeight="false" outlineLevel="0" collapsed="false">
      <c r="H1669" s="0" t="str">
        <f aca="false">IF(B1669="","",IF(COUNTIF(Campaigns!$A$7:$A$300,B1669)&gt;0,"✓","⚠ add to Campaigns tab"))</f>
        <v/>
      </c>
      <c r="I1669" s="84" t="str">
        <f aca="false">IF(C1669="","",C1669*IF(Settings!$B$22=Settings!$C$6,1,IF(Settings!$B$22="USD",1/INDEX(Settings!$B$29:$B$40,MONTH(A1669)),INDEX(Settings!$B$29:$B$40,MONTH(A1669)))))</f>
        <v/>
      </c>
    </row>
    <row r="1670" customFormat="false" ht="15" hidden="false" customHeight="false" outlineLevel="0" collapsed="false">
      <c r="H1670" s="0" t="str">
        <f aca="false">IF(B1670="","",IF(COUNTIF(Campaigns!$A$7:$A$300,B1670)&gt;0,"✓","⚠ add to Campaigns tab"))</f>
        <v/>
      </c>
      <c r="I1670" s="84" t="str">
        <f aca="false">IF(C1670="","",C1670*IF(Settings!$B$22=Settings!$C$6,1,IF(Settings!$B$22="USD",1/INDEX(Settings!$B$29:$B$40,MONTH(A1670)),INDEX(Settings!$B$29:$B$40,MONTH(A1670)))))</f>
        <v/>
      </c>
    </row>
    <row r="1671" customFormat="false" ht="15" hidden="false" customHeight="false" outlineLevel="0" collapsed="false">
      <c r="H1671" s="0" t="str">
        <f aca="false">IF(B1671="","",IF(COUNTIF(Campaigns!$A$7:$A$300,B1671)&gt;0,"✓","⚠ add to Campaigns tab"))</f>
        <v/>
      </c>
      <c r="I1671" s="84" t="str">
        <f aca="false">IF(C1671="","",C1671*IF(Settings!$B$22=Settings!$C$6,1,IF(Settings!$B$22="USD",1/INDEX(Settings!$B$29:$B$40,MONTH(A1671)),INDEX(Settings!$B$29:$B$40,MONTH(A1671)))))</f>
        <v/>
      </c>
    </row>
    <row r="1672" customFormat="false" ht="15" hidden="false" customHeight="false" outlineLevel="0" collapsed="false">
      <c r="H1672" s="0" t="str">
        <f aca="false">IF(B1672="","",IF(COUNTIF(Campaigns!$A$7:$A$300,B1672)&gt;0,"✓","⚠ add to Campaigns tab"))</f>
        <v/>
      </c>
      <c r="I1672" s="84" t="str">
        <f aca="false">IF(C1672="","",C1672*IF(Settings!$B$22=Settings!$C$6,1,IF(Settings!$B$22="USD",1/INDEX(Settings!$B$29:$B$40,MONTH(A1672)),INDEX(Settings!$B$29:$B$40,MONTH(A1672)))))</f>
        <v/>
      </c>
    </row>
    <row r="1673" customFormat="false" ht="15" hidden="false" customHeight="false" outlineLevel="0" collapsed="false">
      <c r="H1673" s="0" t="str">
        <f aca="false">IF(B1673="","",IF(COUNTIF(Campaigns!$A$7:$A$300,B1673)&gt;0,"✓","⚠ add to Campaigns tab"))</f>
        <v/>
      </c>
      <c r="I1673" s="84" t="str">
        <f aca="false">IF(C1673="","",C1673*IF(Settings!$B$22=Settings!$C$6,1,IF(Settings!$B$22="USD",1/INDEX(Settings!$B$29:$B$40,MONTH(A1673)),INDEX(Settings!$B$29:$B$40,MONTH(A1673)))))</f>
        <v/>
      </c>
    </row>
    <row r="1674" customFormat="false" ht="15" hidden="false" customHeight="false" outlineLevel="0" collapsed="false">
      <c r="H1674" s="0" t="str">
        <f aca="false">IF(B1674="","",IF(COUNTIF(Campaigns!$A$7:$A$300,B1674)&gt;0,"✓","⚠ add to Campaigns tab"))</f>
        <v/>
      </c>
      <c r="I1674" s="84" t="str">
        <f aca="false">IF(C1674="","",C1674*IF(Settings!$B$22=Settings!$C$6,1,IF(Settings!$B$22="USD",1/INDEX(Settings!$B$29:$B$40,MONTH(A1674)),INDEX(Settings!$B$29:$B$40,MONTH(A1674)))))</f>
        <v/>
      </c>
    </row>
    <row r="1675" customFormat="false" ht="15" hidden="false" customHeight="false" outlineLevel="0" collapsed="false">
      <c r="H1675" s="0" t="str">
        <f aca="false">IF(B1675="","",IF(COUNTIF(Campaigns!$A$7:$A$300,B1675)&gt;0,"✓","⚠ add to Campaigns tab"))</f>
        <v/>
      </c>
      <c r="I1675" s="84" t="str">
        <f aca="false">IF(C1675="","",C1675*IF(Settings!$B$22=Settings!$C$6,1,IF(Settings!$B$22="USD",1/INDEX(Settings!$B$29:$B$40,MONTH(A1675)),INDEX(Settings!$B$29:$B$40,MONTH(A1675)))))</f>
        <v/>
      </c>
    </row>
    <row r="1676" customFormat="false" ht="15" hidden="false" customHeight="false" outlineLevel="0" collapsed="false">
      <c r="H1676" s="0" t="str">
        <f aca="false">IF(B1676="","",IF(COUNTIF(Campaigns!$A$7:$A$300,B1676)&gt;0,"✓","⚠ add to Campaigns tab"))</f>
        <v/>
      </c>
      <c r="I1676" s="84" t="str">
        <f aca="false">IF(C1676="","",C1676*IF(Settings!$B$22=Settings!$C$6,1,IF(Settings!$B$22="USD",1/INDEX(Settings!$B$29:$B$40,MONTH(A1676)),INDEX(Settings!$B$29:$B$40,MONTH(A1676)))))</f>
        <v/>
      </c>
    </row>
    <row r="1677" customFormat="false" ht="15" hidden="false" customHeight="false" outlineLevel="0" collapsed="false">
      <c r="H1677" s="0" t="str">
        <f aca="false">IF(B1677="","",IF(COUNTIF(Campaigns!$A$7:$A$300,B1677)&gt;0,"✓","⚠ add to Campaigns tab"))</f>
        <v/>
      </c>
      <c r="I1677" s="84" t="str">
        <f aca="false">IF(C1677="","",C1677*IF(Settings!$B$22=Settings!$C$6,1,IF(Settings!$B$22="USD",1/INDEX(Settings!$B$29:$B$40,MONTH(A1677)),INDEX(Settings!$B$29:$B$40,MONTH(A1677)))))</f>
        <v/>
      </c>
    </row>
    <row r="1678" customFormat="false" ht="15" hidden="false" customHeight="false" outlineLevel="0" collapsed="false">
      <c r="H1678" s="0" t="str">
        <f aca="false">IF(B1678="","",IF(COUNTIF(Campaigns!$A$7:$A$300,B1678)&gt;0,"✓","⚠ add to Campaigns tab"))</f>
        <v/>
      </c>
      <c r="I1678" s="84" t="str">
        <f aca="false">IF(C1678="","",C1678*IF(Settings!$B$22=Settings!$C$6,1,IF(Settings!$B$22="USD",1/INDEX(Settings!$B$29:$B$40,MONTH(A1678)),INDEX(Settings!$B$29:$B$40,MONTH(A1678)))))</f>
        <v/>
      </c>
    </row>
    <row r="1679" customFormat="false" ht="15" hidden="false" customHeight="false" outlineLevel="0" collapsed="false">
      <c r="H1679" s="0" t="str">
        <f aca="false">IF(B1679="","",IF(COUNTIF(Campaigns!$A$7:$A$300,B1679)&gt;0,"✓","⚠ add to Campaigns tab"))</f>
        <v/>
      </c>
      <c r="I1679" s="84" t="str">
        <f aca="false">IF(C1679="","",C1679*IF(Settings!$B$22=Settings!$C$6,1,IF(Settings!$B$22="USD",1/INDEX(Settings!$B$29:$B$40,MONTH(A1679)),INDEX(Settings!$B$29:$B$40,MONTH(A1679)))))</f>
        <v/>
      </c>
    </row>
    <row r="1680" customFormat="false" ht="15" hidden="false" customHeight="false" outlineLevel="0" collapsed="false">
      <c r="H1680" s="0" t="str">
        <f aca="false">IF(B1680="","",IF(COUNTIF(Campaigns!$A$7:$A$300,B1680)&gt;0,"✓","⚠ add to Campaigns tab"))</f>
        <v/>
      </c>
      <c r="I1680" s="84" t="str">
        <f aca="false">IF(C1680="","",C1680*IF(Settings!$B$22=Settings!$C$6,1,IF(Settings!$B$22="USD",1/INDEX(Settings!$B$29:$B$40,MONTH(A1680)),INDEX(Settings!$B$29:$B$40,MONTH(A1680)))))</f>
        <v/>
      </c>
    </row>
    <row r="1681" customFormat="false" ht="15" hidden="false" customHeight="false" outlineLevel="0" collapsed="false">
      <c r="H1681" s="0" t="str">
        <f aca="false">IF(B1681="","",IF(COUNTIF(Campaigns!$A$7:$A$300,B1681)&gt;0,"✓","⚠ add to Campaigns tab"))</f>
        <v/>
      </c>
      <c r="I1681" s="84" t="str">
        <f aca="false">IF(C1681="","",C1681*IF(Settings!$B$22=Settings!$C$6,1,IF(Settings!$B$22="USD",1/INDEX(Settings!$B$29:$B$40,MONTH(A1681)),INDEX(Settings!$B$29:$B$40,MONTH(A1681)))))</f>
        <v/>
      </c>
    </row>
    <row r="1682" customFormat="false" ht="15" hidden="false" customHeight="false" outlineLevel="0" collapsed="false">
      <c r="H1682" s="0" t="str">
        <f aca="false">IF(B1682="","",IF(COUNTIF(Campaigns!$A$7:$A$300,B1682)&gt;0,"✓","⚠ add to Campaigns tab"))</f>
        <v/>
      </c>
      <c r="I1682" s="84" t="str">
        <f aca="false">IF(C1682="","",C1682*IF(Settings!$B$22=Settings!$C$6,1,IF(Settings!$B$22="USD",1/INDEX(Settings!$B$29:$B$40,MONTH(A1682)),INDEX(Settings!$B$29:$B$40,MONTH(A1682)))))</f>
        <v/>
      </c>
    </row>
    <row r="1683" customFormat="false" ht="15" hidden="false" customHeight="false" outlineLevel="0" collapsed="false">
      <c r="H1683" s="0" t="str">
        <f aca="false">IF(B1683="","",IF(COUNTIF(Campaigns!$A$7:$A$300,B1683)&gt;0,"✓","⚠ add to Campaigns tab"))</f>
        <v/>
      </c>
      <c r="I1683" s="84" t="str">
        <f aca="false">IF(C1683="","",C1683*IF(Settings!$B$22=Settings!$C$6,1,IF(Settings!$B$22="USD",1/INDEX(Settings!$B$29:$B$40,MONTH(A1683)),INDEX(Settings!$B$29:$B$40,MONTH(A1683)))))</f>
        <v/>
      </c>
    </row>
    <row r="1684" customFormat="false" ht="15" hidden="false" customHeight="false" outlineLevel="0" collapsed="false">
      <c r="H1684" s="0" t="str">
        <f aca="false">IF(B1684="","",IF(COUNTIF(Campaigns!$A$7:$A$300,B1684)&gt;0,"✓","⚠ add to Campaigns tab"))</f>
        <v/>
      </c>
      <c r="I1684" s="84" t="str">
        <f aca="false">IF(C1684="","",C1684*IF(Settings!$B$22=Settings!$C$6,1,IF(Settings!$B$22="USD",1/INDEX(Settings!$B$29:$B$40,MONTH(A1684)),INDEX(Settings!$B$29:$B$40,MONTH(A1684)))))</f>
        <v/>
      </c>
    </row>
    <row r="1685" customFormat="false" ht="15" hidden="false" customHeight="false" outlineLevel="0" collapsed="false">
      <c r="H1685" s="0" t="str">
        <f aca="false">IF(B1685="","",IF(COUNTIF(Campaigns!$A$7:$A$300,B1685)&gt;0,"✓","⚠ add to Campaigns tab"))</f>
        <v/>
      </c>
      <c r="I1685" s="84" t="str">
        <f aca="false">IF(C1685="","",C1685*IF(Settings!$B$22=Settings!$C$6,1,IF(Settings!$B$22="USD",1/INDEX(Settings!$B$29:$B$40,MONTH(A1685)),INDEX(Settings!$B$29:$B$40,MONTH(A1685)))))</f>
        <v/>
      </c>
    </row>
    <row r="1686" customFormat="false" ht="15" hidden="false" customHeight="false" outlineLevel="0" collapsed="false">
      <c r="H1686" s="0" t="str">
        <f aca="false">IF(B1686="","",IF(COUNTIF(Campaigns!$A$7:$A$300,B1686)&gt;0,"✓","⚠ add to Campaigns tab"))</f>
        <v/>
      </c>
      <c r="I1686" s="84" t="str">
        <f aca="false">IF(C1686="","",C1686*IF(Settings!$B$22=Settings!$C$6,1,IF(Settings!$B$22="USD",1/INDEX(Settings!$B$29:$B$40,MONTH(A1686)),INDEX(Settings!$B$29:$B$40,MONTH(A1686)))))</f>
        <v/>
      </c>
    </row>
    <row r="1687" customFormat="false" ht="15" hidden="false" customHeight="false" outlineLevel="0" collapsed="false">
      <c r="H1687" s="0" t="str">
        <f aca="false">IF(B1687="","",IF(COUNTIF(Campaigns!$A$7:$A$300,B1687)&gt;0,"✓","⚠ add to Campaigns tab"))</f>
        <v/>
      </c>
      <c r="I1687" s="84" t="str">
        <f aca="false">IF(C1687="","",C1687*IF(Settings!$B$22=Settings!$C$6,1,IF(Settings!$B$22="USD",1/INDEX(Settings!$B$29:$B$40,MONTH(A1687)),INDEX(Settings!$B$29:$B$40,MONTH(A1687)))))</f>
        <v/>
      </c>
    </row>
    <row r="1688" customFormat="false" ht="15" hidden="false" customHeight="false" outlineLevel="0" collapsed="false">
      <c r="H1688" s="0" t="str">
        <f aca="false">IF(B1688="","",IF(COUNTIF(Campaigns!$A$7:$A$300,B1688)&gt;0,"✓","⚠ add to Campaigns tab"))</f>
        <v/>
      </c>
      <c r="I1688" s="84" t="str">
        <f aca="false">IF(C1688="","",C1688*IF(Settings!$B$22=Settings!$C$6,1,IF(Settings!$B$22="USD",1/INDEX(Settings!$B$29:$B$40,MONTH(A1688)),INDEX(Settings!$B$29:$B$40,MONTH(A1688)))))</f>
        <v/>
      </c>
    </row>
    <row r="1689" customFormat="false" ht="15" hidden="false" customHeight="false" outlineLevel="0" collapsed="false">
      <c r="H1689" s="0" t="str">
        <f aca="false">IF(B1689="","",IF(COUNTIF(Campaigns!$A$7:$A$300,B1689)&gt;0,"✓","⚠ add to Campaigns tab"))</f>
        <v/>
      </c>
      <c r="I1689" s="84" t="str">
        <f aca="false">IF(C1689="","",C1689*IF(Settings!$B$22=Settings!$C$6,1,IF(Settings!$B$22="USD",1/INDEX(Settings!$B$29:$B$40,MONTH(A1689)),INDEX(Settings!$B$29:$B$40,MONTH(A1689)))))</f>
        <v/>
      </c>
    </row>
    <row r="1690" customFormat="false" ht="15" hidden="false" customHeight="false" outlineLevel="0" collapsed="false">
      <c r="H1690" s="0" t="str">
        <f aca="false">IF(B1690="","",IF(COUNTIF(Campaigns!$A$7:$A$300,B1690)&gt;0,"✓","⚠ add to Campaigns tab"))</f>
        <v/>
      </c>
      <c r="I1690" s="84" t="str">
        <f aca="false">IF(C1690="","",C1690*IF(Settings!$B$22=Settings!$C$6,1,IF(Settings!$B$22="USD",1/INDEX(Settings!$B$29:$B$40,MONTH(A1690)),INDEX(Settings!$B$29:$B$40,MONTH(A1690)))))</f>
        <v/>
      </c>
    </row>
    <row r="1691" customFormat="false" ht="15" hidden="false" customHeight="false" outlineLevel="0" collapsed="false">
      <c r="H1691" s="0" t="str">
        <f aca="false">IF(B1691="","",IF(COUNTIF(Campaigns!$A$7:$A$300,B1691)&gt;0,"✓","⚠ add to Campaigns tab"))</f>
        <v/>
      </c>
      <c r="I1691" s="84" t="str">
        <f aca="false">IF(C1691="","",C1691*IF(Settings!$B$22=Settings!$C$6,1,IF(Settings!$B$22="USD",1/INDEX(Settings!$B$29:$B$40,MONTH(A1691)),INDEX(Settings!$B$29:$B$40,MONTH(A1691)))))</f>
        <v/>
      </c>
    </row>
    <row r="1692" customFormat="false" ht="15" hidden="false" customHeight="false" outlineLevel="0" collapsed="false">
      <c r="H1692" s="0" t="str">
        <f aca="false">IF(B1692="","",IF(COUNTIF(Campaigns!$A$7:$A$300,B1692)&gt;0,"✓","⚠ add to Campaigns tab"))</f>
        <v/>
      </c>
      <c r="I1692" s="84" t="str">
        <f aca="false">IF(C1692="","",C1692*IF(Settings!$B$22=Settings!$C$6,1,IF(Settings!$B$22="USD",1/INDEX(Settings!$B$29:$B$40,MONTH(A1692)),INDEX(Settings!$B$29:$B$40,MONTH(A1692)))))</f>
        <v/>
      </c>
    </row>
    <row r="1693" customFormat="false" ht="15" hidden="false" customHeight="false" outlineLevel="0" collapsed="false">
      <c r="H1693" s="0" t="str">
        <f aca="false">IF(B1693="","",IF(COUNTIF(Campaigns!$A$7:$A$300,B1693)&gt;0,"✓","⚠ add to Campaigns tab"))</f>
        <v/>
      </c>
      <c r="I1693" s="84" t="str">
        <f aca="false">IF(C1693="","",C1693*IF(Settings!$B$22=Settings!$C$6,1,IF(Settings!$B$22="USD",1/INDEX(Settings!$B$29:$B$40,MONTH(A1693)),INDEX(Settings!$B$29:$B$40,MONTH(A1693)))))</f>
        <v/>
      </c>
    </row>
    <row r="1694" customFormat="false" ht="15" hidden="false" customHeight="false" outlineLevel="0" collapsed="false">
      <c r="H1694" s="0" t="str">
        <f aca="false">IF(B1694="","",IF(COUNTIF(Campaigns!$A$7:$A$300,B1694)&gt;0,"✓","⚠ add to Campaigns tab"))</f>
        <v/>
      </c>
      <c r="I1694" s="84" t="str">
        <f aca="false">IF(C1694="","",C1694*IF(Settings!$B$22=Settings!$C$6,1,IF(Settings!$B$22="USD",1/INDEX(Settings!$B$29:$B$40,MONTH(A1694)),INDEX(Settings!$B$29:$B$40,MONTH(A1694)))))</f>
        <v/>
      </c>
    </row>
    <row r="1695" customFormat="false" ht="15" hidden="false" customHeight="false" outlineLevel="0" collapsed="false">
      <c r="H1695" s="0" t="str">
        <f aca="false">IF(B1695="","",IF(COUNTIF(Campaigns!$A$7:$A$300,B1695)&gt;0,"✓","⚠ add to Campaigns tab"))</f>
        <v/>
      </c>
      <c r="I1695" s="84" t="str">
        <f aca="false">IF(C1695="","",C1695*IF(Settings!$B$22=Settings!$C$6,1,IF(Settings!$B$22="USD",1/INDEX(Settings!$B$29:$B$40,MONTH(A1695)),INDEX(Settings!$B$29:$B$40,MONTH(A1695)))))</f>
        <v/>
      </c>
    </row>
    <row r="1696" customFormat="false" ht="15" hidden="false" customHeight="false" outlineLevel="0" collapsed="false">
      <c r="H1696" s="0" t="str">
        <f aca="false">IF(B1696="","",IF(COUNTIF(Campaigns!$A$7:$A$300,B1696)&gt;0,"✓","⚠ add to Campaigns tab"))</f>
        <v/>
      </c>
      <c r="I1696" s="84" t="str">
        <f aca="false">IF(C1696="","",C1696*IF(Settings!$B$22=Settings!$C$6,1,IF(Settings!$B$22="USD",1/INDEX(Settings!$B$29:$B$40,MONTH(A1696)),INDEX(Settings!$B$29:$B$40,MONTH(A1696)))))</f>
        <v/>
      </c>
    </row>
    <row r="1697" customFormat="false" ht="15" hidden="false" customHeight="false" outlineLevel="0" collapsed="false">
      <c r="H1697" s="0" t="str">
        <f aca="false">IF(B1697="","",IF(COUNTIF(Campaigns!$A$7:$A$300,B1697)&gt;0,"✓","⚠ add to Campaigns tab"))</f>
        <v/>
      </c>
      <c r="I1697" s="84" t="str">
        <f aca="false">IF(C1697="","",C1697*IF(Settings!$B$22=Settings!$C$6,1,IF(Settings!$B$22="USD",1/INDEX(Settings!$B$29:$B$40,MONTH(A1697)),INDEX(Settings!$B$29:$B$40,MONTH(A1697)))))</f>
        <v/>
      </c>
    </row>
    <row r="1698" customFormat="false" ht="15" hidden="false" customHeight="false" outlineLevel="0" collapsed="false">
      <c r="H1698" s="0" t="str">
        <f aca="false">IF(B1698="","",IF(COUNTIF(Campaigns!$A$7:$A$300,B1698)&gt;0,"✓","⚠ add to Campaigns tab"))</f>
        <v/>
      </c>
      <c r="I1698" s="84" t="str">
        <f aca="false">IF(C1698="","",C1698*IF(Settings!$B$22=Settings!$C$6,1,IF(Settings!$B$22="USD",1/INDEX(Settings!$B$29:$B$40,MONTH(A1698)),INDEX(Settings!$B$29:$B$40,MONTH(A1698)))))</f>
        <v/>
      </c>
    </row>
    <row r="1699" customFormat="false" ht="15" hidden="false" customHeight="false" outlineLevel="0" collapsed="false">
      <c r="H1699" s="0" t="str">
        <f aca="false">IF(B1699="","",IF(COUNTIF(Campaigns!$A$7:$A$300,B1699)&gt;0,"✓","⚠ add to Campaigns tab"))</f>
        <v/>
      </c>
      <c r="I1699" s="84" t="str">
        <f aca="false">IF(C1699="","",C1699*IF(Settings!$B$22=Settings!$C$6,1,IF(Settings!$B$22="USD",1/INDEX(Settings!$B$29:$B$40,MONTH(A1699)),INDEX(Settings!$B$29:$B$40,MONTH(A1699)))))</f>
        <v/>
      </c>
    </row>
    <row r="1700" customFormat="false" ht="15" hidden="false" customHeight="false" outlineLevel="0" collapsed="false">
      <c r="H1700" s="0" t="str">
        <f aca="false">IF(B1700="","",IF(COUNTIF(Campaigns!$A$7:$A$300,B1700)&gt;0,"✓","⚠ add to Campaigns tab"))</f>
        <v/>
      </c>
      <c r="I1700" s="84" t="str">
        <f aca="false">IF(C1700="","",C1700*IF(Settings!$B$22=Settings!$C$6,1,IF(Settings!$B$22="USD",1/INDEX(Settings!$B$29:$B$40,MONTH(A1700)),INDEX(Settings!$B$29:$B$40,MONTH(A1700)))))</f>
        <v/>
      </c>
    </row>
    <row r="1701" customFormat="false" ht="15" hidden="false" customHeight="false" outlineLevel="0" collapsed="false">
      <c r="H1701" s="0" t="str">
        <f aca="false">IF(B1701="","",IF(COUNTIF(Campaigns!$A$7:$A$300,B1701)&gt;0,"✓","⚠ add to Campaigns tab"))</f>
        <v/>
      </c>
      <c r="I1701" s="84" t="str">
        <f aca="false">IF(C1701="","",C1701*IF(Settings!$B$22=Settings!$C$6,1,IF(Settings!$B$22="USD",1/INDEX(Settings!$B$29:$B$40,MONTH(A1701)),INDEX(Settings!$B$29:$B$40,MONTH(A1701)))))</f>
        <v/>
      </c>
    </row>
    <row r="1702" customFormat="false" ht="15" hidden="false" customHeight="false" outlineLevel="0" collapsed="false">
      <c r="H1702" s="0" t="str">
        <f aca="false">IF(B1702="","",IF(COUNTIF(Campaigns!$A$7:$A$300,B1702)&gt;0,"✓","⚠ add to Campaigns tab"))</f>
        <v/>
      </c>
      <c r="I1702" s="84" t="str">
        <f aca="false">IF(C1702="","",C1702*IF(Settings!$B$22=Settings!$C$6,1,IF(Settings!$B$22="USD",1/INDEX(Settings!$B$29:$B$40,MONTH(A1702)),INDEX(Settings!$B$29:$B$40,MONTH(A1702)))))</f>
        <v/>
      </c>
    </row>
    <row r="1703" customFormat="false" ht="15" hidden="false" customHeight="false" outlineLevel="0" collapsed="false">
      <c r="H1703" s="0" t="str">
        <f aca="false">IF(B1703="","",IF(COUNTIF(Campaigns!$A$7:$A$300,B1703)&gt;0,"✓","⚠ add to Campaigns tab"))</f>
        <v/>
      </c>
      <c r="I1703" s="84" t="str">
        <f aca="false">IF(C1703="","",C1703*IF(Settings!$B$22=Settings!$C$6,1,IF(Settings!$B$22="USD",1/INDEX(Settings!$B$29:$B$40,MONTH(A1703)),INDEX(Settings!$B$29:$B$40,MONTH(A1703)))))</f>
        <v/>
      </c>
    </row>
    <row r="1704" customFormat="false" ht="15" hidden="false" customHeight="false" outlineLevel="0" collapsed="false">
      <c r="H1704" s="0" t="str">
        <f aca="false">IF(B1704="","",IF(COUNTIF(Campaigns!$A$7:$A$300,B1704)&gt;0,"✓","⚠ add to Campaigns tab"))</f>
        <v/>
      </c>
      <c r="I1704" s="84" t="str">
        <f aca="false">IF(C1704="","",C1704*IF(Settings!$B$22=Settings!$C$6,1,IF(Settings!$B$22="USD",1/INDEX(Settings!$B$29:$B$40,MONTH(A1704)),INDEX(Settings!$B$29:$B$40,MONTH(A1704)))))</f>
        <v/>
      </c>
    </row>
    <row r="1705" customFormat="false" ht="15" hidden="false" customHeight="false" outlineLevel="0" collapsed="false">
      <c r="H1705" s="0" t="str">
        <f aca="false">IF(B1705="","",IF(COUNTIF(Campaigns!$A$7:$A$300,B1705)&gt;0,"✓","⚠ add to Campaigns tab"))</f>
        <v/>
      </c>
      <c r="I1705" s="84" t="str">
        <f aca="false">IF(C1705="","",C1705*IF(Settings!$B$22=Settings!$C$6,1,IF(Settings!$B$22="USD",1/INDEX(Settings!$B$29:$B$40,MONTH(A1705)),INDEX(Settings!$B$29:$B$40,MONTH(A1705)))))</f>
        <v/>
      </c>
    </row>
    <row r="1706" customFormat="false" ht="15" hidden="false" customHeight="false" outlineLevel="0" collapsed="false">
      <c r="H1706" s="0" t="str">
        <f aca="false">IF(B1706="","",IF(COUNTIF(Campaigns!$A$7:$A$300,B1706)&gt;0,"✓","⚠ add to Campaigns tab"))</f>
        <v/>
      </c>
      <c r="I1706" s="84" t="str">
        <f aca="false">IF(C1706="","",C1706*IF(Settings!$B$22=Settings!$C$6,1,IF(Settings!$B$22="USD",1/INDEX(Settings!$B$29:$B$40,MONTH(A1706)),INDEX(Settings!$B$29:$B$40,MONTH(A1706)))))</f>
        <v/>
      </c>
    </row>
    <row r="1707" customFormat="false" ht="15" hidden="false" customHeight="false" outlineLevel="0" collapsed="false">
      <c r="H1707" s="0" t="str">
        <f aca="false">IF(B1707="","",IF(COUNTIF(Campaigns!$A$7:$A$300,B1707)&gt;0,"✓","⚠ add to Campaigns tab"))</f>
        <v/>
      </c>
      <c r="I1707" s="84" t="str">
        <f aca="false">IF(C1707="","",C1707*IF(Settings!$B$22=Settings!$C$6,1,IF(Settings!$B$22="USD",1/INDEX(Settings!$B$29:$B$40,MONTH(A1707)),INDEX(Settings!$B$29:$B$40,MONTH(A1707)))))</f>
        <v/>
      </c>
    </row>
    <row r="1708" customFormat="false" ht="15" hidden="false" customHeight="false" outlineLevel="0" collapsed="false">
      <c r="H1708" s="0" t="str">
        <f aca="false">IF(B1708="","",IF(COUNTIF(Campaigns!$A$7:$A$300,B1708)&gt;0,"✓","⚠ add to Campaigns tab"))</f>
        <v/>
      </c>
      <c r="I1708" s="84" t="str">
        <f aca="false">IF(C1708="","",C1708*IF(Settings!$B$22=Settings!$C$6,1,IF(Settings!$B$22="USD",1/INDEX(Settings!$B$29:$B$40,MONTH(A1708)),INDEX(Settings!$B$29:$B$40,MONTH(A1708)))))</f>
        <v/>
      </c>
    </row>
    <row r="1709" customFormat="false" ht="15" hidden="false" customHeight="false" outlineLevel="0" collapsed="false">
      <c r="H1709" s="0" t="str">
        <f aca="false">IF(B1709="","",IF(COUNTIF(Campaigns!$A$7:$A$300,B1709)&gt;0,"✓","⚠ add to Campaigns tab"))</f>
        <v/>
      </c>
      <c r="I1709" s="84" t="str">
        <f aca="false">IF(C1709="","",C1709*IF(Settings!$B$22=Settings!$C$6,1,IF(Settings!$B$22="USD",1/INDEX(Settings!$B$29:$B$40,MONTH(A1709)),INDEX(Settings!$B$29:$B$40,MONTH(A1709)))))</f>
        <v/>
      </c>
    </row>
    <row r="1710" customFormat="false" ht="15" hidden="false" customHeight="false" outlineLevel="0" collapsed="false">
      <c r="H1710" s="0" t="str">
        <f aca="false">IF(B1710="","",IF(COUNTIF(Campaigns!$A$7:$A$300,B1710)&gt;0,"✓","⚠ add to Campaigns tab"))</f>
        <v/>
      </c>
      <c r="I1710" s="84" t="str">
        <f aca="false">IF(C1710="","",C1710*IF(Settings!$B$22=Settings!$C$6,1,IF(Settings!$B$22="USD",1/INDEX(Settings!$B$29:$B$40,MONTH(A1710)),INDEX(Settings!$B$29:$B$40,MONTH(A1710)))))</f>
        <v/>
      </c>
    </row>
    <row r="1711" customFormat="false" ht="15" hidden="false" customHeight="false" outlineLevel="0" collapsed="false">
      <c r="H1711" s="0" t="str">
        <f aca="false">IF(B1711="","",IF(COUNTIF(Campaigns!$A$7:$A$300,B1711)&gt;0,"✓","⚠ add to Campaigns tab"))</f>
        <v/>
      </c>
      <c r="I1711" s="84" t="str">
        <f aca="false">IF(C1711="","",C1711*IF(Settings!$B$22=Settings!$C$6,1,IF(Settings!$B$22="USD",1/INDEX(Settings!$B$29:$B$40,MONTH(A1711)),INDEX(Settings!$B$29:$B$40,MONTH(A1711)))))</f>
        <v/>
      </c>
    </row>
    <row r="1712" customFormat="false" ht="15" hidden="false" customHeight="false" outlineLevel="0" collapsed="false">
      <c r="H1712" s="0" t="str">
        <f aca="false">IF(B1712="","",IF(COUNTIF(Campaigns!$A$7:$A$300,B1712)&gt;0,"✓","⚠ add to Campaigns tab"))</f>
        <v/>
      </c>
      <c r="I1712" s="84" t="str">
        <f aca="false">IF(C1712="","",C1712*IF(Settings!$B$22=Settings!$C$6,1,IF(Settings!$B$22="USD",1/INDEX(Settings!$B$29:$B$40,MONTH(A1712)),INDEX(Settings!$B$29:$B$40,MONTH(A1712)))))</f>
        <v/>
      </c>
    </row>
    <row r="1713" customFormat="false" ht="15" hidden="false" customHeight="false" outlineLevel="0" collapsed="false">
      <c r="H1713" s="0" t="str">
        <f aca="false">IF(B1713="","",IF(COUNTIF(Campaigns!$A$7:$A$300,B1713)&gt;0,"✓","⚠ add to Campaigns tab"))</f>
        <v/>
      </c>
      <c r="I1713" s="84" t="str">
        <f aca="false">IF(C1713="","",C1713*IF(Settings!$B$22=Settings!$C$6,1,IF(Settings!$B$22="USD",1/INDEX(Settings!$B$29:$B$40,MONTH(A1713)),INDEX(Settings!$B$29:$B$40,MONTH(A1713)))))</f>
        <v/>
      </c>
    </row>
    <row r="1714" customFormat="false" ht="15" hidden="false" customHeight="false" outlineLevel="0" collapsed="false">
      <c r="H1714" s="0" t="str">
        <f aca="false">IF(B1714="","",IF(COUNTIF(Campaigns!$A$7:$A$300,B1714)&gt;0,"✓","⚠ add to Campaigns tab"))</f>
        <v/>
      </c>
      <c r="I1714" s="84" t="str">
        <f aca="false">IF(C1714="","",C1714*IF(Settings!$B$22=Settings!$C$6,1,IF(Settings!$B$22="USD",1/INDEX(Settings!$B$29:$B$40,MONTH(A1714)),INDEX(Settings!$B$29:$B$40,MONTH(A1714)))))</f>
        <v/>
      </c>
    </row>
    <row r="1715" customFormat="false" ht="15" hidden="false" customHeight="false" outlineLevel="0" collapsed="false">
      <c r="H1715" s="0" t="str">
        <f aca="false">IF(B1715="","",IF(COUNTIF(Campaigns!$A$7:$A$300,B1715)&gt;0,"✓","⚠ add to Campaigns tab"))</f>
        <v/>
      </c>
      <c r="I1715" s="84" t="str">
        <f aca="false">IF(C1715="","",C1715*IF(Settings!$B$22=Settings!$C$6,1,IF(Settings!$B$22="USD",1/INDEX(Settings!$B$29:$B$40,MONTH(A1715)),INDEX(Settings!$B$29:$B$40,MONTH(A1715)))))</f>
        <v/>
      </c>
    </row>
    <row r="1716" customFormat="false" ht="15" hidden="false" customHeight="false" outlineLevel="0" collapsed="false">
      <c r="H1716" s="0" t="str">
        <f aca="false">IF(B1716="","",IF(COUNTIF(Campaigns!$A$7:$A$300,B1716)&gt;0,"✓","⚠ add to Campaigns tab"))</f>
        <v/>
      </c>
      <c r="I1716" s="84" t="str">
        <f aca="false">IF(C1716="","",C1716*IF(Settings!$B$22=Settings!$C$6,1,IF(Settings!$B$22="USD",1/INDEX(Settings!$B$29:$B$40,MONTH(A1716)),INDEX(Settings!$B$29:$B$40,MONTH(A1716)))))</f>
        <v/>
      </c>
    </row>
    <row r="1717" customFormat="false" ht="15" hidden="false" customHeight="false" outlineLevel="0" collapsed="false">
      <c r="H1717" s="0" t="str">
        <f aca="false">IF(B1717="","",IF(COUNTIF(Campaigns!$A$7:$A$300,B1717)&gt;0,"✓","⚠ add to Campaigns tab"))</f>
        <v/>
      </c>
      <c r="I1717" s="84" t="str">
        <f aca="false">IF(C1717="","",C1717*IF(Settings!$B$22=Settings!$C$6,1,IF(Settings!$B$22="USD",1/INDEX(Settings!$B$29:$B$40,MONTH(A1717)),INDEX(Settings!$B$29:$B$40,MONTH(A1717)))))</f>
        <v/>
      </c>
    </row>
    <row r="1718" customFormat="false" ht="15" hidden="false" customHeight="false" outlineLevel="0" collapsed="false">
      <c r="H1718" s="0" t="str">
        <f aca="false">IF(B1718="","",IF(COUNTIF(Campaigns!$A$7:$A$300,B1718)&gt;0,"✓","⚠ add to Campaigns tab"))</f>
        <v/>
      </c>
      <c r="I1718" s="84" t="str">
        <f aca="false">IF(C1718="","",C1718*IF(Settings!$B$22=Settings!$C$6,1,IF(Settings!$B$22="USD",1/INDEX(Settings!$B$29:$B$40,MONTH(A1718)),INDEX(Settings!$B$29:$B$40,MONTH(A1718)))))</f>
        <v/>
      </c>
    </row>
    <row r="1719" customFormat="false" ht="15" hidden="false" customHeight="false" outlineLevel="0" collapsed="false">
      <c r="H1719" s="0" t="str">
        <f aca="false">IF(B1719="","",IF(COUNTIF(Campaigns!$A$7:$A$300,B1719)&gt;0,"✓","⚠ add to Campaigns tab"))</f>
        <v/>
      </c>
      <c r="I1719" s="84" t="str">
        <f aca="false">IF(C1719="","",C1719*IF(Settings!$B$22=Settings!$C$6,1,IF(Settings!$B$22="USD",1/INDEX(Settings!$B$29:$B$40,MONTH(A1719)),INDEX(Settings!$B$29:$B$40,MONTH(A1719)))))</f>
        <v/>
      </c>
    </row>
    <row r="1720" customFormat="false" ht="15" hidden="false" customHeight="false" outlineLevel="0" collapsed="false">
      <c r="H1720" s="0" t="str">
        <f aca="false">IF(B1720="","",IF(COUNTIF(Campaigns!$A$7:$A$300,B1720)&gt;0,"✓","⚠ add to Campaigns tab"))</f>
        <v/>
      </c>
      <c r="I1720" s="84" t="str">
        <f aca="false">IF(C1720="","",C1720*IF(Settings!$B$22=Settings!$C$6,1,IF(Settings!$B$22="USD",1/INDEX(Settings!$B$29:$B$40,MONTH(A1720)),INDEX(Settings!$B$29:$B$40,MONTH(A1720)))))</f>
        <v/>
      </c>
    </row>
    <row r="1721" customFormat="false" ht="15" hidden="false" customHeight="false" outlineLevel="0" collapsed="false">
      <c r="H1721" s="0" t="str">
        <f aca="false">IF(B1721="","",IF(COUNTIF(Campaigns!$A$7:$A$300,B1721)&gt;0,"✓","⚠ add to Campaigns tab"))</f>
        <v/>
      </c>
      <c r="I1721" s="84" t="str">
        <f aca="false">IF(C1721="","",C1721*IF(Settings!$B$22=Settings!$C$6,1,IF(Settings!$B$22="USD",1/INDEX(Settings!$B$29:$B$40,MONTH(A1721)),INDEX(Settings!$B$29:$B$40,MONTH(A1721)))))</f>
        <v/>
      </c>
    </row>
    <row r="1722" customFormat="false" ht="15" hidden="false" customHeight="false" outlineLevel="0" collapsed="false">
      <c r="H1722" s="0" t="str">
        <f aca="false">IF(B1722="","",IF(COUNTIF(Campaigns!$A$7:$A$300,B1722)&gt;0,"✓","⚠ add to Campaigns tab"))</f>
        <v/>
      </c>
      <c r="I1722" s="84" t="str">
        <f aca="false">IF(C1722="","",C1722*IF(Settings!$B$22=Settings!$C$6,1,IF(Settings!$B$22="USD",1/INDEX(Settings!$B$29:$B$40,MONTH(A1722)),INDEX(Settings!$B$29:$B$40,MONTH(A1722)))))</f>
        <v/>
      </c>
    </row>
    <row r="1723" customFormat="false" ht="15" hidden="false" customHeight="false" outlineLevel="0" collapsed="false">
      <c r="H1723" s="0" t="str">
        <f aca="false">IF(B1723="","",IF(COUNTIF(Campaigns!$A$7:$A$300,B1723)&gt;0,"✓","⚠ add to Campaigns tab"))</f>
        <v/>
      </c>
      <c r="I1723" s="84" t="str">
        <f aca="false">IF(C1723="","",C1723*IF(Settings!$B$22=Settings!$C$6,1,IF(Settings!$B$22="USD",1/INDEX(Settings!$B$29:$B$40,MONTH(A1723)),INDEX(Settings!$B$29:$B$40,MONTH(A1723)))))</f>
        <v/>
      </c>
    </row>
    <row r="1724" customFormat="false" ht="15" hidden="false" customHeight="false" outlineLevel="0" collapsed="false">
      <c r="H1724" s="0" t="str">
        <f aca="false">IF(B1724="","",IF(COUNTIF(Campaigns!$A$7:$A$300,B1724)&gt;0,"✓","⚠ add to Campaigns tab"))</f>
        <v/>
      </c>
      <c r="I1724" s="84" t="str">
        <f aca="false">IF(C1724="","",C1724*IF(Settings!$B$22=Settings!$C$6,1,IF(Settings!$B$22="USD",1/INDEX(Settings!$B$29:$B$40,MONTH(A1724)),INDEX(Settings!$B$29:$B$40,MONTH(A1724)))))</f>
        <v/>
      </c>
    </row>
    <row r="1725" customFormat="false" ht="15" hidden="false" customHeight="false" outlineLevel="0" collapsed="false">
      <c r="H1725" s="0" t="str">
        <f aca="false">IF(B1725="","",IF(COUNTIF(Campaigns!$A$7:$A$300,B1725)&gt;0,"✓","⚠ add to Campaigns tab"))</f>
        <v/>
      </c>
      <c r="I1725" s="84" t="str">
        <f aca="false">IF(C1725="","",C1725*IF(Settings!$B$22=Settings!$C$6,1,IF(Settings!$B$22="USD",1/INDEX(Settings!$B$29:$B$40,MONTH(A1725)),INDEX(Settings!$B$29:$B$40,MONTH(A1725)))))</f>
        <v/>
      </c>
    </row>
    <row r="1726" customFormat="false" ht="15" hidden="false" customHeight="false" outlineLevel="0" collapsed="false">
      <c r="H1726" s="0" t="str">
        <f aca="false">IF(B1726="","",IF(COUNTIF(Campaigns!$A$7:$A$300,B1726)&gt;0,"✓","⚠ add to Campaigns tab"))</f>
        <v/>
      </c>
      <c r="I1726" s="84" t="str">
        <f aca="false">IF(C1726="","",C1726*IF(Settings!$B$22=Settings!$C$6,1,IF(Settings!$B$22="USD",1/INDEX(Settings!$B$29:$B$40,MONTH(A1726)),INDEX(Settings!$B$29:$B$40,MONTH(A1726)))))</f>
        <v/>
      </c>
    </row>
    <row r="1727" customFormat="false" ht="15" hidden="false" customHeight="false" outlineLevel="0" collapsed="false">
      <c r="H1727" s="0" t="str">
        <f aca="false">IF(B1727="","",IF(COUNTIF(Campaigns!$A$7:$A$300,B1727)&gt;0,"✓","⚠ add to Campaigns tab"))</f>
        <v/>
      </c>
      <c r="I1727" s="84" t="str">
        <f aca="false">IF(C1727="","",C1727*IF(Settings!$B$22=Settings!$C$6,1,IF(Settings!$B$22="USD",1/INDEX(Settings!$B$29:$B$40,MONTH(A1727)),INDEX(Settings!$B$29:$B$40,MONTH(A1727)))))</f>
        <v/>
      </c>
    </row>
    <row r="1728" customFormat="false" ht="15" hidden="false" customHeight="false" outlineLevel="0" collapsed="false">
      <c r="H1728" s="0" t="str">
        <f aca="false">IF(B1728="","",IF(COUNTIF(Campaigns!$A$7:$A$300,B1728)&gt;0,"✓","⚠ add to Campaigns tab"))</f>
        <v/>
      </c>
      <c r="I1728" s="84" t="str">
        <f aca="false">IF(C1728="","",C1728*IF(Settings!$B$22=Settings!$C$6,1,IF(Settings!$B$22="USD",1/INDEX(Settings!$B$29:$B$40,MONTH(A1728)),INDEX(Settings!$B$29:$B$40,MONTH(A1728)))))</f>
        <v/>
      </c>
    </row>
    <row r="1729" customFormat="false" ht="15" hidden="false" customHeight="false" outlineLevel="0" collapsed="false">
      <c r="H1729" s="0" t="str">
        <f aca="false">IF(B1729="","",IF(COUNTIF(Campaigns!$A$7:$A$300,B1729)&gt;0,"✓","⚠ add to Campaigns tab"))</f>
        <v/>
      </c>
      <c r="I1729" s="84" t="str">
        <f aca="false">IF(C1729="","",C1729*IF(Settings!$B$22=Settings!$C$6,1,IF(Settings!$B$22="USD",1/INDEX(Settings!$B$29:$B$40,MONTH(A1729)),INDEX(Settings!$B$29:$B$40,MONTH(A1729)))))</f>
        <v/>
      </c>
    </row>
    <row r="1730" customFormat="false" ht="15" hidden="false" customHeight="false" outlineLevel="0" collapsed="false">
      <c r="H1730" s="0" t="str">
        <f aca="false">IF(B1730="","",IF(COUNTIF(Campaigns!$A$7:$A$300,B1730)&gt;0,"✓","⚠ add to Campaigns tab"))</f>
        <v/>
      </c>
      <c r="I1730" s="84" t="str">
        <f aca="false">IF(C1730="","",C1730*IF(Settings!$B$22=Settings!$C$6,1,IF(Settings!$B$22="USD",1/INDEX(Settings!$B$29:$B$40,MONTH(A1730)),INDEX(Settings!$B$29:$B$40,MONTH(A1730)))))</f>
        <v/>
      </c>
    </row>
    <row r="1731" customFormat="false" ht="15" hidden="false" customHeight="false" outlineLevel="0" collapsed="false">
      <c r="H1731" s="0" t="str">
        <f aca="false">IF(B1731="","",IF(COUNTIF(Campaigns!$A$7:$A$300,B1731)&gt;0,"✓","⚠ add to Campaigns tab"))</f>
        <v/>
      </c>
      <c r="I1731" s="84" t="str">
        <f aca="false">IF(C1731="","",C1731*IF(Settings!$B$22=Settings!$C$6,1,IF(Settings!$B$22="USD",1/INDEX(Settings!$B$29:$B$40,MONTH(A1731)),INDEX(Settings!$B$29:$B$40,MONTH(A1731)))))</f>
        <v/>
      </c>
    </row>
    <row r="1732" customFormat="false" ht="15" hidden="false" customHeight="false" outlineLevel="0" collapsed="false">
      <c r="H1732" s="0" t="str">
        <f aca="false">IF(B1732="","",IF(COUNTIF(Campaigns!$A$7:$A$300,B1732)&gt;0,"✓","⚠ add to Campaigns tab"))</f>
        <v/>
      </c>
      <c r="I1732" s="84" t="str">
        <f aca="false">IF(C1732="","",C1732*IF(Settings!$B$22=Settings!$C$6,1,IF(Settings!$B$22="USD",1/INDEX(Settings!$B$29:$B$40,MONTH(A1732)),INDEX(Settings!$B$29:$B$40,MONTH(A1732)))))</f>
        <v/>
      </c>
    </row>
    <row r="1733" customFormat="false" ht="15" hidden="false" customHeight="false" outlineLevel="0" collapsed="false">
      <c r="H1733" s="0" t="str">
        <f aca="false">IF(B1733="","",IF(COUNTIF(Campaigns!$A$7:$A$300,B1733)&gt;0,"✓","⚠ add to Campaigns tab"))</f>
        <v/>
      </c>
      <c r="I1733" s="84" t="str">
        <f aca="false">IF(C1733="","",C1733*IF(Settings!$B$22=Settings!$C$6,1,IF(Settings!$B$22="USD",1/INDEX(Settings!$B$29:$B$40,MONTH(A1733)),INDEX(Settings!$B$29:$B$40,MONTH(A1733)))))</f>
        <v/>
      </c>
    </row>
    <row r="1734" customFormat="false" ht="15" hidden="false" customHeight="false" outlineLevel="0" collapsed="false">
      <c r="H1734" s="0" t="str">
        <f aca="false">IF(B1734="","",IF(COUNTIF(Campaigns!$A$7:$A$300,B1734)&gt;0,"✓","⚠ add to Campaigns tab"))</f>
        <v/>
      </c>
      <c r="I1734" s="84" t="str">
        <f aca="false">IF(C1734="","",C1734*IF(Settings!$B$22=Settings!$C$6,1,IF(Settings!$B$22="USD",1/INDEX(Settings!$B$29:$B$40,MONTH(A1734)),INDEX(Settings!$B$29:$B$40,MONTH(A1734)))))</f>
        <v/>
      </c>
    </row>
    <row r="1735" customFormat="false" ht="15" hidden="false" customHeight="false" outlineLevel="0" collapsed="false">
      <c r="H1735" s="0" t="str">
        <f aca="false">IF(B1735="","",IF(COUNTIF(Campaigns!$A$7:$A$300,B1735)&gt;0,"✓","⚠ add to Campaigns tab"))</f>
        <v/>
      </c>
      <c r="I1735" s="84" t="str">
        <f aca="false">IF(C1735="","",C1735*IF(Settings!$B$22=Settings!$C$6,1,IF(Settings!$B$22="USD",1/INDEX(Settings!$B$29:$B$40,MONTH(A1735)),INDEX(Settings!$B$29:$B$40,MONTH(A1735)))))</f>
        <v/>
      </c>
    </row>
    <row r="1736" customFormat="false" ht="15" hidden="false" customHeight="false" outlineLevel="0" collapsed="false">
      <c r="H1736" s="0" t="str">
        <f aca="false">IF(B1736="","",IF(COUNTIF(Campaigns!$A$7:$A$300,B1736)&gt;0,"✓","⚠ add to Campaigns tab"))</f>
        <v/>
      </c>
      <c r="I1736" s="84" t="str">
        <f aca="false">IF(C1736="","",C1736*IF(Settings!$B$22=Settings!$C$6,1,IF(Settings!$B$22="USD",1/INDEX(Settings!$B$29:$B$40,MONTH(A1736)),INDEX(Settings!$B$29:$B$40,MONTH(A1736)))))</f>
        <v/>
      </c>
    </row>
    <row r="1737" customFormat="false" ht="15" hidden="false" customHeight="false" outlineLevel="0" collapsed="false">
      <c r="H1737" s="0" t="str">
        <f aca="false">IF(B1737="","",IF(COUNTIF(Campaigns!$A$7:$A$300,B1737)&gt;0,"✓","⚠ add to Campaigns tab"))</f>
        <v/>
      </c>
      <c r="I1737" s="84" t="str">
        <f aca="false">IF(C1737="","",C1737*IF(Settings!$B$22=Settings!$C$6,1,IF(Settings!$B$22="USD",1/INDEX(Settings!$B$29:$B$40,MONTH(A1737)),INDEX(Settings!$B$29:$B$40,MONTH(A1737)))))</f>
        <v/>
      </c>
    </row>
    <row r="1738" customFormat="false" ht="15" hidden="false" customHeight="false" outlineLevel="0" collapsed="false">
      <c r="H1738" s="0" t="str">
        <f aca="false">IF(B1738="","",IF(COUNTIF(Campaigns!$A$7:$A$300,B1738)&gt;0,"✓","⚠ add to Campaigns tab"))</f>
        <v/>
      </c>
      <c r="I1738" s="84" t="str">
        <f aca="false">IF(C1738="","",C1738*IF(Settings!$B$22=Settings!$C$6,1,IF(Settings!$B$22="USD",1/INDEX(Settings!$B$29:$B$40,MONTH(A1738)),INDEX(Settings!$B$29:$B$40,MONTH(A1738)))))</f>
        <v/>
      </c>
    </row>
    <row r="1739" customFormat="false" ht="15" hidden="false" customHeight="false" outlineLevel="0" collapsed="false">
      <c r="H1739" s="0" t="str">
        <f aca="false">IF(B1739="","",IF(COUNTIF(Campaigns!$A$7:$A$300,B1739)&gt;0,"✓","⚠ add to Campaigns tab"))</f>
        <v/>
      </c>
      <c r="I1739" s="84" t="str">
        <f aca="false">IF(C1739="","",C1739*IF(Settings!$B$22=Settings!$C$6,1,IF(Settings!$B$22="USD",1/INDEX(Settings!$B$29:$B$40,MONTH(A1739)),INDEX(Settings!$B$29:$B$40,MONTH(A1739)))))</f>
        <v/>
      </c>
    </row>
    <row r="1740" customFormat="false" ht="15" hidden="false" customHeight="false" outlineLevel="0" collapsed="false">
      <c r="H1740" s="0" t="str">
        <f aca="false">IF(B1740="","",IF(COUNTIF(Campaigns!$A$7:$A$300,B1740)&gt;0,"✓","⚠ add to Campaigns tab"))</f>
        <v/>
      </c>
      <c r="I1740" s="84" t="str">
        <f aca="false">IF(C1740="","",C1740*IF(Settings!$B$22=Settings!$C$6,1,IF(Settings!$B$22="USD",1/INDEX(Settings!$B$29:$B$40,MONTH(A1740)),INDEX(Settings!$B$29:$B$40,MONTH(A1740)))))</f>
        <v/>
      </c>
    </row>
    <row r="1741" customFormat="false" ht="15" hidden="false" customHeight="false" outlineLevel="0" collapsed="false">
      <c r="H1741" s="0" t="str">
        <f aca="false">IF(B1741="","",IF(COUNTIF(Campaigns!$A$7:$A$300,B1741)&gt;0,"✓","⚠ add to Campaigns tab"))</f>
        <v/>
      </c>
      <c r="I1741" s="84" t="str">
        <f aca="false">IF(C1741="","",C1741*IF(Settings!$B$22=Settings!$C$6,1,IF(Settings!$B$22="USD",1/INDEX(Settings!$B$29:$B$40,MONTH(A1741)),INDEX(Settings!$B$29:$B$40,MONTH(A1741)))))</f>
        <v/>
      </c>
    </row>
    <row r="1742" customFormat="false" ht="15" hidden="false" customHeight="false" outlineLevel="0" collapsed="false">
      <c r="H1742" s="0" t="str">
        <f aca="false">IF(B1742="","",IF(COUNTIF(Campaigns!$A$7:$A$300,B1742)&gt;0,"✓","⚠ add to Campaigns tab"))</f>
        <v/>
      </c>
      <c r="I1742" s="84" t="str">
        <f aca="false">IF(C1742="","",C1742*IF(Settings!$B$22=Settings!$C$6,1,IF(Settings!$B$22="USD",1/INDEX(Settings!$B$29:$B$40,MONTH(A1742)),INDEX(Settings!$B$29:$B$40,MONTH(A1742)))))</f>
        <v/>
      </c>
    </row>
    <row r="1743" customFormat="false" ht="15" hidden="false" customHeight="false" outlineLevel="0" collapsed="false">
      <c r="H1743" s="0" t="str">
        <f aca="false">IF(B1743="","",IF(COUNTIF(Campaigns!$A$7:$A$300,B1743)&gt;0,"✓","⚠ add to Campaigns tab"))</f>
        <v/>
      </c>
      <c r="I1743" s="84" t="str">
        <f aca="false">IF(C1743="","",C1743*IF(Settings!$B$22=Settings!$C$6,1,IF(Settings!$B$22="USD",1/INDEX(Settings!$B$29:$B$40,MONTH(A1743)),INDEX(Settings!$B$29:$B$40,MONTH(A1743)))))</f>
        <v/>
      </c>
    </row>
    <row r="1744" customFormat="false" ht="15" hidden="false" customHeight="false" outlineLevel="0" collapsed="false">
      <c r="H1744" s="0" t="str">
        <f aca="false">IF(B1744="","",IF(COUNTIF(Campaigns!$A$7:$A$300,B1744)&gt;0,"✓","⚠ add to Campaigns tab"))</f>
        <v/>
      </c>
      <c r="I1744" s="84" t="str">
        <f aca="false">IF(C1744="","",C1744*IF(Settings!$B$22=Settings!$C$6,1,IF(Settings!$B$22="USD",1/INDEX(Settings!$B$29:$B$40,MONTH(A1744)),INDEX(Settings!$B$29:$B$40,MONTH(A1744)))))</f>
        <v/>
      </c>
    </row>
    <row r="1745" customFormat="false" ht="15" hidden="false" customHeight="false" outlineLevel="0" collapsed="false">
      <c r="H1745" s="0" t="str">
        <f aca="false">IF(B1745="","",IF(COUNTIF(Campaigns!$A$7:$A$300,B1745)&gt;0,"✓","⚠ add to Campaigns tab"))</f>
        <v/>
      </c>
      <c r="I1745" s="84" t="str">
        <f aca="false">IF(C1745="","",C1745*IF(Settings!$B$22=Settings!$C$6,1,IF(Settings!$B$22="USD",1/INDEX(Settings!$B$29:$B$40,MONTH(A1745)),INDEX(Settings!$B$29:$B$40,MONTH(A1745)))))</f>
        <v/>
      </c>
    </row>
    <row r="1746" customFormat="false" ht="15" hidden="false" customHeight="false" outlineLevel="0" collapsed="false">
      <c r="H1746" s="0" t="str">
        <f aca="false">IF(B1746="","",IF(COUNTIF(Campaigns!$A$7:$A$300,B1746)&gt;0,"✓","⚠ add to Campaigns tab"))</f>
        <v/>
      </c>
      <c r="I1746" s="84" t="str">
        <f aca="false">IF(C1746="","",C1746*IF(Settings!$B$22=Settings!$C$6,1,IF(Settings!$B$22="USD",1/INDEX(Settings!$B$29:$B$40,MONTH(A1746)),INDEX(Settings!$B$29:$B$40,MONTH(A1746)))))</f>
        <v/>
      </c>
    </row>
    <row r="1747" customFormat="false" ht="15" hidden="false" customHeight="false" outlineLevel="0" collapsed="false">
      <c r="H1747" s="0" t="str">
        <f aca="false">IF(B1747="","",IF(COUNTIF(Campaigns!$A$7:$A$300,B1747)&gt;0,"✓","⚠ add to Campaigns tab"))</f>
        <v/>
      </c>
      <c r="I1747" s="84" t="str">
        <f aca="false">IF(C1747="","",C1747*IF(Settings!$B$22=Settings!$C$6,1,IF(Settings!$B$22="USD",1/INDEX(Settings!$B$29:$B$40,MONTH(A1747)),INDEX(Settings!$B$29:$B$40,MONTH(A1747)))))</f>
        <v/>
      </c>
    </row>
    <row r="1748" customFormat="false" ht="15" hidden="false" customHeight="false" outlineLevel="0" collapsed="false">
      <c r="H1748" s="0" t="str">
        <f aca="false">IF(B1748="","",IF(COUNTIF(Campaigns!$A$7:$A$300,B1748)&gt;0,"✓","⚠ add to Campaigns tab"))</f>
        <v/>
      </c>
      <c r="I1748" s="84" t="str">
        <f aca="false">IF(C1748="","",C1748*IF(Settings!$B$22=Settings!$C$6,1,IF(Settings!$B$22="USD",1/INDEX(Settings!$B$29:$B$40,MONTH(A1748)),INDEX(Settings!$B$29:$B$40,MONTH(A1748)))))</f>
        <v/>
      </c>
    </row>
    <row r="1749" customFormat="false" ht="15" hidden="false" customHeight="false" outlineLevel="0" collapsed="false">
      <c r="H1749" s="0" t="str">
        <f aca="false">IF(B1749="","",IF(COUNTIF(Campaigns!$A$7:$A$300,B1749)&gt;0,"✓","⚠ add to Campaigns tab"))</f>
        <v/>
      </c>
      <c r="I1749" s="84" t="str">
        <f aca="false">IF(C1749="","",C1749*IF(Settings!$B$22=Settings!$C$6,1,IF(Settings!$B$22="USD",1/INDEX(Settings!$B$29:$B$40,MONTH(A1749)),INDEX(Settings!$B$29:$B$40,MONTH(A1749)))))</f>
        <v/>
      </c>
    </row>
    <row r="1750" customFormat="false" ht="15" hidden="false" customHeight="false" outlineLevel="0" collapsed="false">
      <c r="H1750" s="0" t="str">
        <f aca="false">IF(B1750="","",IF(COUNTIF(Campaigns!$A$7:$A$300,B1750)&gt;0,"✓","⚠ add to Campaigns tab"))</f>
        <v/>
      </c>
      <c r="I1750" s="84" t="str">
        <f aca="false">IF(C1750="","",C1750*IF(Settings!$B$22=Settings!$C$6,1,IF(Settings!$B$22="USD",1/INDEX(Settings!$B$29:$B$40,MONTH(A1750)),INDEX(Settings!$B$29:$B$40,MONTH(A1750)))))</f>
        <v/>
      </c>
    </row>
    <row r="1751" customFormat="false" ht="15" hidden="false" customHeight="false" outlineLevel="0" collapsed="false">
      <c r="H1751" s="0" t="str">
        <f aca="false">IF(B1751="","",IF(COUNTIF(Campaigns!$A$7:$A$300,B1751)&gt;0,"✓","⚠ add to Campaigns tab"))</f>
        <v/>
      </c>
      <c r="I1751" s="84" t="str">
        <f aca="false">IF(C1751="","",C1751*IF(Settings!$B$22=Settings!$C$6,1,IF(Settings!$B$22="USD",1/INDEX(Settings!$B$29:$B$40,MONTH(A1751)),INDEX(Settings!$B$29:$B$40,MONTH(A1751)))))</f>
        <v/>
      </c>
    </row>
    <row r="1752" customFormat="false" ht="15" hidden="false" customHeight="false" outlineLevel="0" collapsed="false">
      <c r="H1752" s="0" t="str">
        <f aca="false">IF(B1752="","",IF(COUNTIF(Campaigns!$A$7:$A$300,B1752)&gt;0,"✓","⚠ add to Campaigns tab"))</f>
        <v/>
      </c>
      <c r="I1752" s="84" t="str">
        <f aca="false">IF(C1752="","",C1752*IF(Settings!$B$22=Settings!$C$6,1,IF(Settings!$B$22="USD",1/INDEX(Settings!$B$29:$B$40,MONTH(A1752)),INDEX(Settings!$B$29:$B$40,MONTH(A1752)))))</f>
        <v/>
      </c>
    </row>
    <row r="1753" customFormat="false" ht="15" hidden="false" customHeight="false" outlineLevel="0" collapsed="false">
      <c r="H1753" s="0" t="str">
        <f aca="false">IF(B1753="","",IF(COUNTIF(Campaigns!$A$7:$A$300,B1753)&gt;0,"✓","⚠ add to Campaigns tab"))</f>
        <v/>
      </c>
      <c r="I1753" s="84" t="str">
        <f aca="false">IF(C1753="","",C1753*IF(Settings!$B$22=Settings!$C$6,1,IF(Settings!$B$22="USD",1/INDEX(Settings!$B$29:$B$40,MONTH(A1753)),INDEX(Settings!$B$29:$B$40,MONTH(A1753)))))</f>
        <v/>
      </c>
    </row>
    <row r="1754" customFormat="false" ht="15" hidden="false" customHeight="false" outlineLevel="0" collapsed="false">
      <c r="H1754" s="0" t="str">
        <f aca="false">IF(B1754="","",IF(COUNTIF(Campaigns!$A$7:$A$300,B1754)&gt;0,"✓","⚠ add to Campaigns tab"))</f>
        <v/>
      </c>
      <c r="I1754" s="84" t="str">
        <f aca="false">IF(C1754="","",C1754*IF(Settings!$B$22=Settings!$C$6,1,IF(Settings!$B$22="USD",1/INDEX(Settings!$B$29:$B$40,MONTH(A1754)),INDEX(Settings!$B$29:$B$40,MONTH(A1754)))))</f>
        <v/>
      </c>
    </row>
    <row r="1755" customFormat="false" ht="15" hidden="false" customHeight="false" outlineLevel="0" collapsed="false">
      <c r="H1755" s="0" t="str">
        <f aca="false">IF(B1755="","",IF(COUNTIF(Campaigns!$A$7:$A$300,B1755)&gt;0,"✓","⚠ add to Campaigns tab"))</f>
        <v/>
      </c>
      <c r="I1755" s="84" t="str">
        <f aca="false">IF(C1755="","",C1755*IF(Settings!$B$22=Settings!$C$6,1,IF(Settings!$B$22="USD",1/INDEX(Settings!$B$29:$B$40,MONTH(A1755)),INDEX(Settings!$B$29:$B$40,MONTH(A1755)))))</f>
        <v/>
      </c>
    </row>
    <row r="1756" customFormat="false" ht="15" hidden="false" customHeight="false" outlineLevel="0" collapsed="false">
      <c r="H1756" s="0" t="str">
        <f aca="false">IF(B1756="","",IF(COUNTIF(Campaigns!$A$7:$A$300,B1756)&gt;0,"✓","⚠ add to Campaigns tab"))</f>
        <v/>
      </c>
      <c r="I1756" s="84" t="str">
        <f aca="false">IF(C1756="","",C1756*IF(Settings!$B$22=Settings!$C$6,1,IF(Settings!$B$22="USD",1/INDEX(Settings!$B$29:$B$40,MONTH(A1756)),INDEX(Settings!$B$29:$B$40,MONTH(A1756)))))</f>
        <v/>
      </c>
    </row>
    <row r="1757" customFormat="false" ht="15" hidden="false" customHeight="false" outlineLevel="0" collapsed="false">
      <c r="H1757" s="0" t="str">
        <f aca="false">IF(B1757="","",IF(COUNTIF(Campaigns!$A$7:$A$300,B1757)&gt;0,"✓","⚠ add to Campaigns tab"))</f>
        <v/>
      </c>
      <c r="I1757" s="84" t="str">
        <f aca="false">IF(C1757="","",C1757*IF(Settings!$B$22=Settings!$C$6,1,IF(Settings!$B$22="USD",1/INDEX(Settings!$B$29:$B$40,MONTH(A1757)),INDEX(Settings!$B$29:$B$40,MONTH(A1757)))))</f>
        <v/>
      </c>
    </row>
    <row r="1758" customFormat="false" ht="15" hidden="false" customHeight="false" outlineLevel="0" collapsed="false">
      <c r="H1758" s="0" t="str">
        <f aca="false">IF(B1758="","",IF(COUNTIF(Campaigns!$A$7:$A$300,B1758)&gt;0,"✓","⚠ add to Campaigns tab"))</f>
        <v/>
      </c>
      <c r="I1758" s="84" t="str">
        <f aca="false">IF(C1758="","",C1758*IF(Settings!$B$22=Settings!$C$6,1,IF(Settings!$B$22="USD",1/INDEX(Settings!$B$29:$B$40,MONTH(A1758)),INDEX(Settings!$B$29:$B$40,MONTH(A1758)))))</f>
        <v/>
      </c>
    </row>
    <row r="1759" customFormat="false" ht="15" hidden="false" customHeight="false" outlineLevel="0" collapsed="false">
      <c r="H1759" s="0" t="str">
        <f aca="false">IF(B1759="","",IF(COUNTIF(Campaigns!$A$7:$A$300,B1759)&gt;0,"✓","⚠ add to Campaigns tab"))</f>
        <v/>
      </c>
      <c r="I1759" s="84" t="str">
        <f aca="false">IF(C1759="","",C1759*IF(Settings!$B$22=Settings!$C$6,1,IF(Settings!$B$22="USD",1/INDEX(Settings!$B$29:$B$40,MONTH(A1759)),INDEX(Settings!$B$29:$B$40,MONTH(A1759)))))</f>
        <v/>
      </c>
    </row>
    <row r="1760" customFormat="false" ht="15" hidden="false" customHeight="false" outlineLevel="0" collapsed="false">
      <c r="H1760" s="0" t="str">
        <f aca="false">IF(B1760="","",IF(COUNTIF(Campaigns!$A$7:$A$300,B1760)&gt;0,"✓","⚠ add to Campaigns tab"))</f>
        <v/>
      </c>
      <c r="I1760" s="84" t="str">
        <f aca="false">IF(C1760="","",C1760*IF(Settings!$B$22=Settings!$C$6,1,IF(Settings!$B$22="USD",1/INDEX(Settings!$B$29:$B$40,MONTH(A1760)),INDEX(Settings!$B$29:$B$40,MONTH(A1760)))))</f>
        <v/>
      </c>
    </row>
    <row r="1761" customFormat="false" ht="15" hidden="false" customHeight="false" outlineLevel="0" collapsed="false">
      <c r="H1761" s="0" t="str">
        <f aca="false">IF(B1761="","",IF(COUNTIF(Campaigns!$A$7:$A$300,B1761)&gt;0,"✓","⚠ add to Campaigns tab"))</f>
        <v/>
      </c>
      <c r="I1761" s="84" t="str">
        <f aca="false">IF(C1761="","",C1761*IF(Settings!$B$22=Settings!$C$6,1,IF(Settings!$B$22="USD",1/INDEX(Settings!$B$29:$B$40,MONTH(A1761)),INDEX(Settings!$B$29:$B$40,MONTH(A1761)))))</f>
        <v/>
      </c>
    </row>
    <row r="1762" customFormat="false" ht="15" hidden="false" customHeight="false" outlineLevel="0" collapsed="false">
      <c r="H1762" s="0" t="str">
        <f aca="false">IF(B1762="","",IF(COUNTIF(Campaigns!$A$7:$A$300,B1762)&gt;0,"✓","⚠ add to Campaigns tab"))</f>
        <v/>
      </c>
      <c r="I1762" s="84" t="str">
        <f aca="false">IF(C1762="","",C1762*IF(Settings!$B$22=Settings!$C$6,1,IF(Settings!$B$22="USD",1/INDEX(Settings!$B$29:$B$40,MONTH(A1762)),INDEX(Settings!$B$29:$B$40,MONTH(A1762)))))</f>
        <v/>
      </c>
    </row>
    <row r="1763" customFormat="false" ht="15" hidden="false" customHeight="false" outlineLevel="0" collapsed="false">
      <c r="H1763" s="0" t="str">
        <f aca="false">IF(B1763="","",IF(COUNTIF(Campaigns!$A$7:$A$300,B1763)&gt;0,"✓","⚠ add to Campaigns tab"))</f>
        <v/>
      </c>
      <c r="I1763" s="84" t="str">
        <f aca="false">IF(C1763="","",C1763*IF(Settings!$B$22=Settings!$C$6,1,IF(Settings!$B$22="USD",1/INDEX(Settings!$B$29:$B$40,MONTH(A1763)),INDEX(Settings!$B$29:$B$40,MONTH(A1763)))))</f>
        <v/>
      </c>
    </row>
    <row r="1764" customFormat="false" ht="15" hidden="false" customHeight="false" outlineLevel="0" collapsed="false">
      <c r="H1764" s="0" t="str">
        <f aca="false">IF(B1764="","",IF(COUNTIF(Campaigns!$A$7:$A$300,B1764)&gt;0,"✓","⚠ add to Campaigns tab"))</f>
        <v/>
      </c>
      <c r="I1764" s="84" t="str">
        <f aca="false">IF(C1764="","",C1764*IF(Settings!$B$22=Settings!$C$6,1,IF(Settings!$B$22="USD",1/INDEX(Settings!$B$29:$B$40,MONTH(A1764)),INDEX(Settings!$B$29:$B$40,MONTH(A1764)))))</f>
        <v/>
      </c>
    </row>
    <row r="1765" customFormat="false" ht="15" hidden="false" customHeight="false" outlineLevel="0" collapsed="false">
      <c r="H1765" s="0" t="str">
        <f aca="false">IF(B1765="","",IF(COUNTIF(Campaigns!$A$7:$A$300,B1765)&gt;0,"✓","⚠ add to Campaigns tab"))</f>
        <v/>
      </c>
      <c r="I1765" s="84" t="str">
        <f aca="false">IF(C1765="","",C1765*IF(Settings!$B$22=Settings!$C$6,1,IF(Settings!$B$22="USD",1/INDEX(Settings!$B$29:$B$40,MONTH(A1765)),INDEX(Settings!$B$29:$B$40,MONTH(A1765)))))</f>
        <v/>
      </c>
    </row>
    <row r="1766" customFormat="false" ht="15" hidden="false" customHeight="false" outlineLevel="0" collapsed="false">
      <c r="H1766" s="0" t="str">
        <f aca="false">IF(B1766="","",IF(COUNTIF(Campaigns!$A$7:$A$300,B1766)&gt;0,"✓","⚠ add to Campaigns tab"))</f>
        <v/>
      </c>
      <c r="I1766" s="84" t="str">
        <f aca="false">IF(C1766="","",C1766*IF(Settings!$B$22=Settings!$C$6,1,IF(Settings!$B$22="USD",1/INDEX(Settings!$B$29:$B$40,MONTH(A1766)),INDEX(Settings!$B$29:$B$40,MONTH(A1766)))))</f>
        <v/>
      </c>
    </row>
    <row r="1767" customFormat="false" ht="15" hidden="false" customHeight="false" outlineLevel="0" collapsed="false">
      <c r="H1767" s="0" t="str">
        <f aca="false">IF(B1767="","",IF(COUNTIF(Campaigns!$A$7:$A$300,B1767)&gt;0,"✓","⚠ add to Campaigns tab"))</f>
        <v/>
      </c>
      <c r="I1767" s="84" t="str">
        <f aca="false">IF(C1767="","",C1767*IF(Settings!$B$22=Settings!$C$6,1,IF(Settings!$B$22="USD",1/INDEX(Settings!$B$29:$B$40,MONTH(A1767)),INDEX(Settings!$B$29:$B$40,MONTH(A1767)))))</f>
        <v/>
      </c>
    </row>
    <row r="1768" customFormat="false" ht="15" hidden="false" customHeight="false" outlineLevel="0" collapsed="false">
      <c r="H1768" s="0" t="str">
        <f aca="false">IF(B1768="","",IF(COUNTIF(Campaigns!$A$7:$A$300,B1768)&gt;0,"✓","⚠ add to Campaigns tab"))</f>
        <v/>
      </c>
      <c r="I1768" s="84" t="str">
        <f aca="false">IF(C1768="","",C1768*IF(Settings!$B$22=Settings!$C$6,1,IF(Settings!$B$22="USD",1/INDEX(Settings!$B$29:$B$40,MONTH(A1768)),INDEX(Settings!$B$29:$B$40,MONTH(A1768)))))</f>
        <v/>
      </c>
    </row>
    <row r="1769" customFormat="false" ht="15" hidden="false" customHeight="false" outlineLevel="0" collapsed="false">
      <c r="H1769" s="0" t="str">
        <f aca="false">IF(B1769="","",IF(COUNTIF(Campaigns!$A$7:$A$300,B1769)&gt;0,"✓","⚠ add to Campaigns tab"))</f>
        <v/>
      </c>
      <c r="I1769" s="84" t="str">
        <f aca="false">IF(C1769="","",C1769*IF(Settings!$B$22=Settings!$C$6,1,IF(Settings!$B$22="USD",1/INDEX(Settings!$B$29:$B$40,MONTH(A1769)),INDEX(Settings!$B$29:$B$40,MONTH(A1769)))))</f>
        <v/>
      </c>
    </row>
    <row r="1770" customFormat="false" ht="15" hidden="false" customHeight="false" outlineLevel="0" collapsed="false">
      <c r="H1770" s="0" t="str">
        <f aca="false">IF(B1770="","",IF(COUNTIF(Campaigns!$A$7:$A$300,B1770)&gt;0,"✓","⚠ add to Campaigns tab"))</f>
        <v/>
      </c>
      <c r="I1770" s="84" t="str">
        <f aca="false">IF(C1770="","",C1770*IF(Settings!$B$22=Settings!$C$6,1,IF(Settings!$B$22="USD",1/INDEX(Settings!$B$29:$B$40,MONTH(A1770)),INDEX(Settings!$B$29:$B$40,MONTH(A1770)))))</f>
        <v/>
      </c>
    </row>
    <row r="1771" customFormat="false" ht="15" hidden="false" customHeight="false" outlineLevel="0" collapsed="false">
      <c r="H1771" s="0" t="str">
        <f aca="false">IF(B1771="","",IF(COUNTIF(Campaigns!$A$7:$A$300,B1771)&gt;0,"✓","⚠ add to Campaigns tab"))</f>
        <v/>
      </c>
      <c r="I1771" s="84" t="str">
        <f aca="false">IF(C1771="","",C1771*IF(Settings!$B$22=Settings!$C$6,1,IF(Settings!$B$22="USD",1/INDEX(Settings!$B$29:$B$40,MONTH(A1771)),INDEX(Settings!$B$29:$B$40,MONTH(A1771)))))</f>
        <v/>
      </c>
    </row>
    <row r="1772" customFormat="false" ht="15" hidden="false" customHeight="false" outlineLevel="0" collapsed="false">
      <c r="H1772" s="0" t="str">
        <f aca="false">IF(B1772="","",IF(COUNTIF(Campaigns!$A$7:$A$300,B1772)&gt;0,"✓","⚠ add to Campaigns tab"))</f>
        <v/>
      </c>
      <c r="I1772" s="84" t="str">
        <f aca="false">IF(C1772="","",C1772*IF(Settings!$B$22=Settings!$C$6,1,IF(Settings!$B$22="USD",1/INDEX(Settings!$B$29:$B$40,MONTH(A1772)),INDEX(Settings!$B$29:$B$40,MONTH(A1772)))))</f>
        <v/>
      </c>
    </row>
    <row r="1773" customFormat="false" ht="15" hidden="false" customHeight="false" outlineLevel="0" collapsed="false">
      <c r="H1773" s="0" t="str">
        <f aca="false">IF(B1773="","",IF(COUNTIF(Campaigns!$A$7:$A$300,B1773)&gt;0,"✓","⚠ add to Campaigns tab"))</f>
        <v/>
      </c>
      <c r="I1773" s="84" t="str">
        <f aca="false">IF(C1773="","",C1773*IF(Settings!$B$22=Settings!$C$6,1,IF(Settings!$B$22="USD",1/INDEX(Settings!$B$29:$B$40,MONTH(A1773)),INDEX(Settings!$B$29:$B$40,MONTH(A1773)))))</f>
        <v/>
      </c>
    </row>
    <row r="1774" customFormat="false" ht="15" hidden="false" customHeight="false" outlineLevel="0" collapsed="false">
      <c r="H1774" s="0" t="str">
        <f aca="false">IF(B1774="","",IF(COUNTIF(Campaigns!$A$7:$A$300,B1774)&gt;0,"✓","⚠ add to Campaigns tab"))</f>
        <v/>
      </c>
      <c r="I1774" s="84" t="str">
        <f aca="false">IF(C1774="","",C1774*IF(Settings!$B$22=Settings!$C$6,1,IF(Settings!$B$22="USD",1/INDEX(Settings!$B$29:$B$40,MONTH(A1774)),INDEX(Settings!$B$29:$B$40,MONTH(A1774)))))</f>
        <v/>
      </c>
    </row>
    <row r="1775" customFormat="false" ht="15" hidden="false" customHeight="false" outlineLevel="0" collapsed="false">
      <c r="H1775" s="0" t="str">
        <f aca="false">IF(B1775="","",IF(COUNTIF(Campaigns!$A$7:$A$300,B1775)&gt;0,"✓","⚠ add to Campaigns tab"))</f>
        <v/>
      </c>
      <c r="I1775" s="84" t="str">
        <f aca="false">IF(C1775="","",C1775*IF(Settings!$B$22=Settings!$C$6,1,IF(Settings!$B$22="USD",1/INDEX(Settings!$B$29:$B$40,MONTH(A1775)),INDEX(Settings!$B$29:$B$40,MONTH(A1775)))))</f>
        <v/>
      </c>
    </row>
    <row r="1776" customFormat="false" ht="15" hidden="false" customHeight="false" outlineLevel="0" collapsed="false">
      <c r="H1776" s="0" t="str">
        <f aca="false">IF(B1776="","",IF(COUNTIF(Campaigns!$A$7:$A$300,B1776)&gt;0,"✓","⚠ add to Campaigns tab"))</f>
        <v/>
      </c>
      <c r="I1776" s="84" t="str">
        <f aca="false">IF(C1776="","",C1776*IF(Settings!$B$22=Settings!$C$6,1,IF(Settings!$B$22="USD",1/INDEX(Settings!$B$29:$B$40,MONTH(A1776)),INDEX(Settings!$B$29:$B$40,MONTH(A1776)))))</f>
        <v/>
      </c>
    </row>
    <row r="1777" customFormat="false" ht="15" hidden="false" customHeight="false" outlineLevel="0" collapsed="false">
      <c r="H1777" s="0" t="str">
        <f aca="false">IF(B1777="","",IF(COUNTIF(Campaigns!$A$7:$A$300,B1777)&gt;0,"✓","⚠ add to Campaigns tab"))</f>
        <v/>
      </c>
      <c r="I1777" s="84" t="str">
        <f aca="false">IF(C1777="","",C1777*IF(Settings!$B$22=Settings!$C$6,1,IF(Settings!$B$22="USD",1/INDEX(Settings!$B$29:$B$40,MONTH(A1777)),INDEX(Settings!$B$29:$B$40,MONTH(A1777)))))</f>
        <v/>
      </c>
    </row>
    <row r="1778" customFormat="false" ht="15" hidden="false" customHeight="false" outlineLevel="0" collapsed="false">
      <c r="H1778" s="0" t="str">
        <f aca="false">IF(B1778="","",IF(COUNTIF(Campaigns!$A$7:$A$300,B1778)&gt;0,"✓","⚠ add to Campaigns tab"))</f>
        <v/>
      </c>
      <c r="I1778" s="84" t="str">
        <f aca="false">IF(C1778="","",C1778*IF(Settings!$B$22=Settings!$C$6,1,IF(Settings!$B$22="USD",1/INDEX(Settings!$B$29:$B$40,MONTH(A1778)),INDEX(Settings!$B$29:$B$40,MONTH(A1778)))))</f>
        <v/>
      </c>
    </row>
    <row r="1779" customFormat="false" ht="15" hidden="false" customHeight="false" outlineLevel="0" collapsed="false">
      <c r="H1779" s="0" t="str">
        <f aca="false">IF(B1779="","",IF(COUNTIF(Campaigns!$A$7:$A$300,B1779)&gt;0,"✓","⚠ add to Campaigns tab"))</f>
        <v/>
      </c>
      <c r="I1779" s="84" t="str">
        <f aca="false">IF(C1779="","",C1779*IF(Settings!$B$22=Settings!$C$6,1,IF(Settings!$B$22="USD",1/INDEX(Settings!$B$29:$B$40,MONTH(A1779)),INDEX(Settings!$B$29:$B$40,MONTH(A1779)))))</f>
        <v/>
      </c>
    </row>
    <row r="1780" customFormat="false" ht="15" hidden="false" customHeight="false" outlineLevel="0" collapsed="false">
      <c r="H1780" s="0" t="str">
        <f aca="false">IF(B1780="","",IF(COUNTIF(Campaigns!$A$7:$A$300,B1780)&gt;0,"✓","⚠ add to Campaigns tab"))</f>
        <v/>
      </c>
      <c r="I1780" s="84" t="str">
        <f aca="false">IF(C1780="","",C1780*IF(Settings!$B$22=Settings!$C$6,1,IF(Settings!$B$22="USD",1/INDEX(Settings!$B$29:$B$40,MONTH(A1780)),INDEX(Settings!$B$29:$B$40,MONTH(A1780)))))</f>
        <v/>
      </c>
    </row>
    <row r="1781" customFormat="false" ht="15" hidden="false" customHeight="false" outlineLevel="0" collapsed="false">
      <c r="H1781" s="0" t="str">
        <f aca="false">IF(B1781="","",IF(COUNTIF(Campaigns!$A$7:$A$300,B1781)&gt;0,"✓","⚠ add to Campaigns tab"))</f>
        <v/>
      </c>
      <c r="I1781" s="84" t="str">
        <f aca="false">IF(C1781="","",C1781*IF(Settings!$B$22=Settings!$C$6,1,IF(Settings!$B$22="USD",1/INDEX(Settings!$B$29:$B$40,MONTH(A1781)),INDEX(Settings!$B$29:$B$40,MONTH(A1781)))))</f>
        <v/>
      </c>
    </row>
    <row r="1782" customFormat="false" ht="15" hidden="false" customHeight="false" outlineLevel="0" collapsed="false">
      <c r="H1782" s="0" t="str">
        <f aca="false">IF(B1782="","",IF(COUNTIF(Campaigns!$A$7:$A$300,B1782)&gt;0,"✓","⚠ add to Campaigns tab"))</f>
        <v/>
      </c>
      <c r="I1782" s="84" t="str">
        <f aca="false">IF(C1782="","",C1782*IF(Settings!$B$22=Settings!$C$6,1,IF(Settings!$B$22="USD",1/INDEX(Settings!$B$29:$B$40,MONTH(A1782)),INDEX(Settings!$B$29:$B$40,MONTH(A1782)))))</f>
        <v/>
      </c>
    </row>
    <row r="1783" customFormat="false" ht="15" hidden="false" customHeight="false" outlineLevel="0" collapsed="false">
      <c r="H1783" s="0" t="str">
        <f aca="false">IF(B1783="","",IF(COUNTIF(Campaigns!$A$7:$A$300,B1783)&gt;0,"✓","⚠ add to Campaigns tab"))</f>
        <v/>
      </c>
      <c r="I1783" s="84" t="str">
        <f aca="false">IF(C1783="","",C1783*IF(Settings!$B$22=Settings!$C$6,1,IF(Settings!$B$22="USD",1/INDEX(Settings!$B$29:$B$40,MONTH(A1783)),INDEX(Settings!$B$29:$B$40,MONTH(A1783)))))</f>
        <v/>
      </c>
    </row>
    <row r="1784" customFormat="false" ht="15" hidden="false" customHeight="false" outlineLevel="0" collapsed="false">
      <c r="H1784" s="0" t="str">
        <f aca="false">IF(B1784="","",IF(COUNTIF(Campaigns!$A$7:$A$300,B1784)&gt;0,"✓","⚠ add to Campaigns tab"))</f>
        <v/>
      </c>
      <c r="I1784" s="84" t="str">
        <f aca="false">IF(C1784="","",C1784*IF(Settings!$B$22=Settings!$C$6,1,IF(Settings!$B$22="USD",1/INDEX(Settings!$B$29:$B$40,MONTH(A1784)),INDEX(Settings!$B$29:$B$40,MONTH(A1784)))))</f>
        <v/>
      </c>
    </row>
    <row r="1785" customFormat="false" ht="15" hidden="false" customHeight="false" outlineLevel="0" collapsed="false">
      <c r="H1785" s="0" t="str">
        <f aca="false">IF(B1785="","",IF(COUNTIF(Campaigns!$A$7:$A$300,B1785)&gt;0,"✓","⚠ add to Campaigns tab"))</f>
        <v/>
      </c>
      <c r="I1785" s="84" t="str">
        <f aca="false">IF(C1785="","",C1785*IF(Settings!$B$22=Settings!$C$6,1,IF(Settings!$B$22="USD",1/INDEX(Settings!$B$29:$B$40,MONTH(A1785)),INDEX(Settings!$B$29:$B$40,MONTH(A1785)))))</f>
        <v/>
      </c>
    </row>
    <row r="1786" customFormat="false" ht="15" hidden="false" customHeight="false" outlineLevel="0" collapsed="false">
      <c r="H1786" s="0" t="str">
        <f aca="false">IF(B1786="","",IF(COUNTIF(Campaigns!$A$7:$A$300,B1786)&gt;0,"✓","⚠ add to Campaigns tab"))</f>
        <v/>
      </c>
      <c r="I1786" s="84" t="str">
        <f aca="false">IF(C1786="","",C1786*IF(Settings!$B$22=Settings!$C$6,1,IF(Settings!$B$22="USD",1/INDEX(Settings!$B$29:$B$40,MONTH(A1786)),INDEX(Settings!$B$29:$B$40,MONTH(A1786)))))</f>
        <v/>
      </c>
    </row>
    <row r="1787" customFormat="false" ht="15" hidden="false" customHeight="false" outlineLevel="0" collapsed="false">
      <c r="H1787" s="0" t="str">
        <f aca="false">IF(B1787="","",IF(COUNTIF(Campaigns!$A$7:$A$300,B1787)&gt;0,"✓","⚠ add to Campaigns tab"))</f>
        <v/>
      </c>
      <c r="I1787" s="84" t="str">
        <f aca="false">IF(C1787="","",C1787*IF(Settings!$B$22=Settings!$C$6,1,IF(Settings!$B$22="USD",1/INDEX(Settings!$B$29:$B$40,MONTH(A1787)),INDEX(Settings!$B$29:$B$40,MONTH(A1787)))))</f>
        <v/>
      </c>
    </row>
    <row r="1788" customFormat="false" ht="15" hidden="false" customHeight="false" outlineLevel="0" collapsed="false">
      <c r="H1788" s="0" t="str">
        <f aca="false">IF(B1788="","",IF(COUNTIF(Campaigns!$A$7:$A$300,B1788)&gt;0,"✓","⚠ add to Campaigns tab"))</f>
        <v/>
      </c>
      <c r="I1788" s="84" t="str">
        <f aca="false">IF(C1788="","",C1788*IF(Settings!$B$22=Settings!$C$6,1,IF(Settings!$B$22="USD",1/INDEX(Settings!$B$29:$B$40,MONTH(A1788)),INDEX(Settings!$B$29:$B$40,MONTH(A1788)))))</f>
        <v/>
      </c>
    </row>
    <row r="1789" customFormat="false" ht="15" hidden="false" customHeight="false" outlineLevel="0" collapsed="false">
      <c r="H1789" s="0" t="str">
        <f aca="false">IF(B1789="","",IF(COUNTIF(Campaigns!$A$7:$A$300,B1789)&gt;0,"✓","⚠ add to Campaigns tab"))</f>
        <v/>
      </c>
      <c r="I1789" s="84" t="str">
        <f aca="false">IF(C1789="","",C1789*IF(Settings!$B$22=Settings!$C$6,1,IF(Settings!$B$22="USD",1/INDEX(Settings!$B$29:$B$40,MONTH(A1789)),INDEX(Settings!$B$29:$B$40,MONTH(A1789)))))</f>
        <v/>
      </c>
    </row>
    <row r="1790" customFormat="false" ht="15" hidden="false" customHeight="false" outlineLevel="0" collapsed="false">
      <c r="H1790" s="0" t="str">
        <f aca="false">IF(B1790="","",IF(COUNTIF(Campaigns!$A$7:$A$300,B1790)&gt;0,"✓","⚠ add to Campaigns tab"))</f>
        <v/>
      </c>
      <c r="I1790" s="84" t="str">
        <f aca="false">IF(C1790="","",C1790*IF(Settings!$B$22=Settings!$C$6,1,IF(Settings!$B$22="USD",1/INDEX(Settings!$B$29:$B$40,MONTH(A1790)),INDEX(Settings!$B$29:$B$40,MONTH(A1790)))))</f>
        <v/>
      </c>
    </row>
    <row r="1791" customFormat="false" ht="15" hidden="false" customHeight="false" outlineLevel="0" collapsed="false">
      <c r="H1791" s="0" t="str">
        <f aca="false">IF(B1791="","",IF(COUNTIF(Campaigns!$A$7:$A$300,B1791)&gt;0,"✓","⚠ add to Campaigns tab"))</f>
        <v/>
      </c>
      <c r="I1791" s="84" t="str">
        <f aca="false">IF(C1791="","",C1791*IF(Settings!$B$22=Settings!$C$6,1,IF(Settings!$B$22="USD",1/INDEX(Settings!$B$29:$B$40,MONTH(A1791)),INDEX(Settings!$B$29:$B$40,MONTH(A1791)))))</f>
        <v/>
      </c>
    </row>
    <row r="1792" customFormat="false" ht="15" hidden="false" customHeight="false" outlineLevel="0" collapsed="false">
      <c r="H1792" s="0" t="str">
        <f aca="false">IF(B1792="","",IF(COUNTIF(Campaigns!$A$7:$A$300,B1792)&gt;0,"✓","⚠ add to Campaigns tab"))</f>
        <v/>
      </c>
      <c r="I1792" s="84" t="str">
        <f aca="false">IF(C1792="","",C1792*IF(Settings!$B$22=Settings!$C$6,1,IF(Settings!$B$22="USD",1/INDEX(Settings!$B$29:$B$40,MONTH(A1792)),INDEX(Settings!$B$29:$B$40,MONTH(A1792)))))</f>
        <v/>
      </c>
    </row>
    <row r="1793" customFormat="false" ht="15" hidden="false" customHeight="false" outlineLevel="0" collapsed="false">
      <c r="H1793" s="0" t="str">
        <f aca="false">IF(B1793="","",IF(COUNTIF(Campaigns!$A$7:$A$300,B1793)&gt;0,"✓","⚠ add to Campaigns tab"))</f>
        <v/>
      </c>
      <c r="I1793" s="84" t="str">
        <f aca="false">IF(C1793="","",C1793*IF(Settings!$B$22=Settings!$C$6,1,IF(Settings!$B$22="USD",1/INDEX(Settings!$B$29:$B$40,MONTH(A1793)),INDEX(Settings!$B$29:$B$40,MONTH(A1793)))))</f>
        <v/>
      </c>
    </row>
    <row r="1794" customFormat="false" ht="15" hidden="false" customHeight="false" outlineLevel="0" collapsed="false">
      <c r="H1794" s="0" t="str">
        <f aca="false">IF(B1794="","",IF(COUNTIF(Campaigns!$A$7:$A$300,B1794)&gt;0,"✓","⚠ add to Campaigns tab"))</f>
        <v/>
      </c>
      <c r="I1794" s="84" t="str">
        <f aca="false">IF(C1794="","",C1794*IF(Settings!$B$22=Settings!$C$6,1,IF(Settings!$B$22="USD",1/INDEX(Settings!$B$29:$B$40,MONTH(A1794)),INDEX(Settings!$B$29:$B$40,MONTH(A1794)))))</f>
        <v/>
      </c>
    </row>
    <row r="1795" customFormat="false" ht="15" hidden="false" customHeight="false" outlineLevel="0" collapsed="false">
      <c r="H1795" s="0" t="str">
        <f aca="false">IF(B1795="","",IF(COUNTIF(Campaigns!$A$7:$A$300,B1795)&gt;0,"✓","⚠ add to Campaigns tab"))</f>
        <v/>
      </c>
      <c r="I1795" s="84" t="str">
        <f aca="false">IF(C1795="","",C1795*IF(Settings!$B$22=Settings!$C$6,1,IF(Settings!$B$22="USD",1/INDEX(Settings!$B$29:$B$40,MONTH(A1795)),INDEX(Settings!$B$29:$B$40,MONTH(A1795)))))</f>
        <v/>
      </c>
    </row>
    <row r="1796" customFormat="false" ht="15" hidden="false" customHeight="false" outlineLevel="0" collapsed="false">
      <c r="H1796" s="0" t="str">
        <f aca="false">IF(B1796="","",IF(COUNTIF(Campaigns!$A$7:$A$300,B1796)&gt;0,"✓","⚠ add to Campaigns tab"))</f>
        <v/>
      </c>
      <c r="I1796" s="84" t="str">
        <f aca="false">IF(C1796="","",C1796*IF(Settings!$B$22=Settings!$C$6,1,IF(Settings!$B$22="USD",1/INDEX(Settings!$B$29:$B$40,MONTH(A1796)),INDEX(Settings!$B$29:$B$40,MONTH(A1796)))))</f>
        <v/>
      </c>
    </row>
    <row r="1797" customFormat="false" ht="15" hidden="false" customHeight="false" outlineLevel="0" collapsed="false">
      <c r="H1797" s="0" t="str">
        <f aca="false">IF(B1797="","",IF(COUNTIF(Campaigns!$A$7:$A$300,B1797)&gt;0,"✓","⚠ add to Campaigns tab"))</f>
        <v/>
      </c>
      <c r="I1797" s="84" t="str">
        <f aca="false">IF(C1797="","",C1797*IF(Settings!$B$22=Settings!$C$6,1,IF(Settings!$B$22="USD",1/INDEX(Settings!$B$29:$B$40,MONTH(A1797)),INDEX(Settings!$B$29:$B$40,MONTH(A1797)))))</f>
        <v/>
      </c>
    </row>
    <row r="1798" customFormat="false" ht="15" hidden="false" customHeight="false" outlineLevel="0" collapsed="false">
      <c r="H1798" s="0" t="str">
        <f aca="false">IF(B1798="","",IF(COUNTIF(Campaigns!$A$7:$A$300,B1798)&gt;0,"✓","⚠ add to Campaigns tab"))</f>
        <v/>
      </c>
      <c r="I1798" s="84" t="str">
        <f aca="false">IF(C1798="","",C1798*IF(Settings!$B$22=Settings!$C$6,1,IF(Settings!$B$22="USD",1/INDEX(Settings!$B$29:$B$40,MONTH(A1798)),INDEX(Settings!$B$29:$B$40,MONTH(A1798)))))</f>
        <v/>
      </c>
    </row>
    <row r="1799" customFormat="false" ht="15" hidden="false" customHeight="false" outlineLevel="0" collapsed="false">
      <c r="H1799" s="0" t="str">
        <f aca="false">IF(B1799="","",IF(COUNTIF(Campaigns!$A$7:$A$300,B1799)&gt;0,"✓","⚠ add to Campaigns tab"))</f>
        <v/>
      </c>
      <c r="I1799" s="84" t="str">
        <f aca="false">IF(C1799="","",C1799*IF(Settings!$B$22=Settings!$C$6,1,IF(Settings!$B$22="USD",1/INDEX(Settings!$B$29:$B$40,MONTH(A1799)),INDEX(Settings!$B$29:$B$40,MONTH(A1799)))))</f>
        <v/>
      </c>
    </row>
    <row r="1800" customFormat="false" ht="15" hidden="false" customHeight="false" outlineLevel="0" collapsed="false">
      <c r="H1800" s="0" t="str">
        <f aca="false">IF(B1800="","",IF(COUNTIF(Campaigns!$A$7:$A$300,B1800)&gt;0,"✓","⚠ add to Campaigns tab"))</f>
        <v/>
      </c>
      <c r="I1800" s="84" t="str">
        <f aca="false">IF(C1800="","",C1800*IF(Settings!$B$22=Settings!$C$6,1,IF(Settings!$B$22="USD",1/INDEX(Settings!$B$29:$B$40,MONTH(A1800)),INDEX(Settings!$B$29:$B$40,MONTH(A1800)))))</f>
        <v/>
      </c>
    </row>
    <row r="1801" customFormat="false" ht="15" hidden="false" customHeight="false" outlineLevel="0" collapsed="false">
      <c r="H1801" s="0" t="str">
        <f aca="false">IF(B1801="","",IF(COUNTIF(Campaigns!$A$7:$A$300,B1801)&gt;0,"✓","⚠ add to Campaigns tab"))</f>
        <v/>
      </c>
      <c r="I1801" s="84" t="str">
        <f aca="false">IF(C1801="","",C1801*IF(Settings!$B$22=Settings!$C$6,1,IF(Settings!$B$22="USD",1/INDEX(Settings!$B$29:$B$40,MONTH(A1801)),INDEX(Settings!$B$29:$B$40,MONTH(A1801)))))</f>
        <v/>
      </c>
    </row>
    <row r="1802" customFormat="false" ht="15" hidden="false" customHeight="false" outlineLevel="0" collapsed="false">
      <c r="H1802" s="0" t="str">
        <f aca="false">IF(B1802="","",IF(COUNTIF(Campaigns!$A$7:$A$300,B1802)&gt;0,"✓","⚠ add to Campaigns tab"))</f>
        <v/>
      </c>
      <c r="I1802" s="84" t="str">
        <f aca="false">IF(C1802="","",C1802*IF(Settings!$B$22=Settings!$C$6,1,IF(Settings!$B$22="USD",1/INDEX(Settings!$B$29:$B$40,MONTH(A1802)),INDEX(Settings!$B$29:$B$40,MONTH(A1802)))))</f>
        <v/>
      </c>
    </row>
    <row r="1803" customFormat="false" ht="15" hidden="false" customHeight="false" outlineLevel="0" collapsed="false">
      <c r="H1803" s="0" t="str">
        <f aca="false">IF(B1803="","",IF(COUNTIF(Campaigns!$A$7:$A$300,B1803)&gt;0,"✓","⚠ add to Campaigns tab"))</f>
        <v/>
      </c>
      <c r="I1803" s="84" t="str">
        <f aca="false">IF(C1803="","",C1803*IF(Settings!$B$22=Settings!$C$6,1,IF(Settings!$B$22="USD",1/INDEX(Settings!$B$29:$B$40,MONTH(A1803)),INDEX(Settings!$B$29:$B$40,MONTH(A1803)))))</f>
        <v/>
      </c>
    </row>
    <row r="1804" customFormat="false" ht="15" hidden="false" customHeight="false" outlineLevel="0" collapsed="false">
      <c r="H1804" s="0" t="str">
        <f aca="false">IF(B1804="","",IF(COUNTIF(Campaigns!$A$7:$A$300,B1804)&gt;0,"✓","⚠ add to Campaigns tab"))</f>
        <v/>
      </c>
      <c r="I1804" s="84" t="str">
        <f aca="false">IF(C1804="","",C1804*IF(Settings!$B$22=Settings!$C$6,1,IF(Settings!$B$22="USD",1/INDEX(Settings!$B$29:$B$40,MONTH(A1804)),INDEX(Settings!$B$29:$B$40,MONTH(A1804)))))</f>
        <v/>
      </c>
    </row>
    <row r="1805" customFormat="false" ht="15" hidden="false" customHeight="false" outlineLevel="0" collapsed="false">
      <c r="H1805" s="0" t="str">
        <f aca="false">IF(B1805="","",IF(COUNTIF(Campaigns!$A$7:$A$300,B1805)&gt;0,"✓","⚠ add to Campaigns tab"))</f>
        <v/>
      </c>
      <c r="I1805" s="84" t="str">
        <f aca="false">IF(C1805="","",C1805*IF(Settings!$B$22=Settings!$C$6,1,IF(Settings!$B$22="USD",1/INDEX(Settings!$B$29:$B$40,MONTH(A1805)),INDEX(Settings!$B$29:$B$40,MONTH(A1805)))))</f>
        <v/>
      </c>
    </row>
    <row r="1806" customFormat="false" ht="15" hidden="false" customHeight="false" outlineLevel="0" collapsed="false">
      <c r="H1806" s="0" t="str">
        <f aca="false">IF(B1806="","",IF(COUNTIF(Campaigns!$A$7:$A$300,B1806)&gt;0,"✓","⚠ add to Campaigns tab"))</f>
        <v/>
      </c>
      <c r="I1806" s="84" t="str">
        <f aca="false">IF(C1806="","",C1806*IF(Settings!$B$22=Settings!$C$6,1,IF(Settings!$B$22="USD",1/INDEX(Settings!$B$29:$B$40,MONTH(A1806)),INDEX(Settings!$B$29:$B$40,MONTH(A1806)))))</f>
        <v/>
      </c>
    </row>
    <row r="1807" customFormat="false" ht="15" hidden="false" customHeight="false" outlineLevel="0" collapsed="false">
      <c r="H1807" s="0" t="str">
        <f aca="false">IF(B1807="","",IF(COUNTIF(Campaigns!$A$7:$A$300,B1807)&gt;0,"✓","⚠ add to Campaigns tab"))</f>
        <v/>
      </c>
      <c r="I1807" s="84" t="str">
        <f aca="false">IF(C1807="","",C1807*IF(Settings!$B$22=Settings!$C$6,1,IF(Settings!$B$22="USD",1/INDEX(Settings!$B$29:$B$40,MONTH(A1807)),INDEX(Settings!$B$29:$B$40,MONTH(A1807)))))</f>
        <v/>
      </c>
    </row>
    <row r="1808" customFormat="false" ht="15" hidden="false" customHeight="false" outlineLevel="0" collapsed="false">
      <c r="H1808" s="0" t="str">
        <f aca="false">IF(B1808="","",IF(COUNTIF(Campaigns!$A$7:$A$300,B1808)&gt;0,"✓","⚠ add to Campaigns tab"))</f>
        <v/>
      </c>
      <c r="I1808" s="84" t="str">
        <f aca="false">IF(C1808="","",C1808*IF(Settings!$B$22=Settings!$C$6,1,IF(Settings!$B$22="USD",1/INDEX(Settings!$B$29:$B$40,MONTH(A1808)),INDEX(Settings!$B$29:$B$40,MONTH(A1808)))))</f>
        <v/>
      </c>
    </row>
    <row r="1809" customFormat="false" ht="15" hidden="false" customHeight="false" outlineLevel="0" collapsed="false">
      <c r="H1809" s="0" t="str">
        <f aca="false">IF(B1809="","",IF(COUNTIF(Campaigns!$A$7:$A$300,B1809)&gt;0,"✓","⚠ add to Campaigns tab"))</f>
        <v/>
      </c>
      <c r="I1809" s="84" t="str">
        <f aca="false">IF(C1809="","",C1809*IF(Settings!$B$22=Settings!$C$6,1,IF(Settings!$B$22="USD",1/INDEX(Settings!$B$29:$B$40,MONTH(A1809)),INDEX(Settings!$B$29:$B$40,MONTH(A1809)))))</f>
        <v/>
      </c>
    </row>
    <row r="1810" customFormat="false" ht="15" hidden="false" customHeight="false" outlineLevel="0" collapsed="false">
      <c r="H1810" s="0" t="str">
        <f aca="false">IF(B1810="","",IF(COUNTIF(Campaigns!$A$7:$A$300,B1810)&gt;0,"✓","⚠ add to Campaigns tab"))</f>
        <v/>
      </c>
      <c r="I1810" s="84" t="str">
        <f aca="false">IF(C1810="","",C1810*IF(Settings!$B$22=Settings!$C$6,1,IF(Settings!$B$22="USD",1/INDEX(Settings!$B$29:$B$40,MONTH(A1810)),INDEX(Settings!$B$29:$B$40,MONTH(A1810)))))</f>
        <v/>
      </c>
    </row>
    <row r="1811" customFormat="false" ht="15" hidden="false" customHeight="false" outlineLevel="0" collapsed="false">
      <c r="H1811" s="0" t="str">
        <f aca="false">IF(B1811="","",IF(COUNTIF(Campaigns!$A$7:$A$300,B1811)&gt;0,"✓","⚠ add to Campaigns tab"))</f>
        <v/>
      </c>
      <c r="I1811" s="84" t="str">
        <f aca="false">IF(C1811="","",C1811*IF(Settings!$B$22=Settings!$C$6,1,IF(Settings!$B$22="USD",1/INDEX(Settings!$B$29:$B$40,MONTH(A1811)),INDEX(Settings!$B$29:$B$40,MONTH(A1811)))))</f>
        <v/>
      </c>
    </row>
    <row r="1812" customFormat="false" ht="15" hidden="false" customHeight="false" outlineLevel="0" collapsed="false">
      <c r="H1812" s="0" t="str">
        <f aca="false">IF(B1812="","",IF(COUNTIF(Campaigns!$A$7:$A$300,B1812)&gt;0,"✓","⚠ add to Campaigns tab"))</f>
        <v/>
      </c>
      <c r="I1812" s="84" t="str">
        <f aca="false">IF(C1812="","",C1812*IF(Settings!$B$22=Settings!$C$6,1,IF(Settings!$B$22="USD",1/INDEX(Settings!$B$29:$B$40,MONTH(A1812)),INDEX(Settings!$B$29:$B$40,MONTH(A1812)))))</f>
        <v/>
      </c>
    </row>
    <row r="1813" customFormat="false" ht="15" hidden="false" customHeight="false" outlineLevel="0" collapsed="false">
      <c r="H1813" s="0" t="str">
        <f aca="false">IF(B1813="","",IF(COUNTIF(Campaigns!$A$7:$A$300,B1813)&gt;0,"✓","⚠ add to Campaigns tab"))</f>
        <v/>
      </c>
      <c r="I1813" s="84" t="str">
        <f aca="false">IF(C1813="","",C1813*IF(Settings!$B$22=Settings!$C$6,1,IF(Settings!$B$22="USD",1/INDEX(Settings!$B$29:$B$40,MONTH(A1813)),INDEX(Settings!$B$29:$B$40,MONTH(A1813)))))</f>
        <v/>
      </c>
    </row>
    <row r="1814" customFormat="false" ht="15" hidden="false" customHeight="false" outlineLevel="0" collapsed="false">
      <c r="H1814" s="0" t="str">
        <f aca="false">IF(B1814="","",IF(COUNTIF(Campaigns!$A$7:$A$300,B1814)&gt;0,"✓","⚠ add to Campaigns tab"))</f>
        <v/>
      </c>
      <c r="I1814" s="84" t="str">
        <f aca="false">IF(C1814="","",C1814*IF(Settings!$B$22=Settings!$C$6,1,IF(Settings!$B$22="USD",1/INDEX(Settings!$B$29:$B$40,MONTH(A1814)),INDEX(Settings!$B$29:$B$40,MONTH(A1814)))))</f>
        <v/>
      </c>
    </row>
    <row r="1815" customFormat="false" ht="15" hidden="false" customHeight="false" outlineLevel="0" collapsed="false">
      <c r="H1815" s="0" t="str">
        <f aca="false">IF(B1815="","",IF(COUNTIF(Campaigns!$A$7:$A$300,B1815)&gt;0,"✓","⚠ add to Campaigns tab"))</f>
        <v/>
      </c>
      <c r="I1815" s="84" t="str">
        <f aca="false">IF(C1815="","",C1815*IF(Settings!$B$22=Settings!$C$6,1,IF(Settings!$B$22="USD",1/INDEX(Settings!$B$29:$B$40,MONTH(A1815)),INDEX(Settings!$B$29:$B$40,MONTH(A1815)))))</f>
        <v/>
      </c>
    </row>
    <row r="1816" customFormat="false" ht="15" hidden="false" customHeight="false" outlineLevel="0" collapsed="false">
      <c r="H1816" s="0" t="str">
        <f aca="false">IF(B1816="","",IF(COUNTIF(Campaigns!$A$7:$A$300,B1816)&gt;0,"✓","⚠ add to Campaigns tab"))</f>
        <v/>
      </c>
      <c r="I1816" s="84" t="str">
        <f aca="false">IF(C1816="","",C1816*IF(Settings!$B$22=Settings!$C$6,1,IF(Settings!$B$22="USD",1/INDEX(Settings!$B$29:$B$40,MONTH(A1816)),INDEX(Settings!$B$29:$B$40,MONTH(A1816)))))</f>
        <v/>
      </c>
    </row>
    <row r="1817" customFormat="false" ht="15" hidden="false" customHeight="false" outlineLevel="0" collapsed="false">
      <c r="H1817" s="0" t="str">
        <f aca="false">IF(B1817="","",IF(COUNTIF(Campaigns!$A$7:$A$300,B1817)&gt;0,"✓","⚠ add to Campaigns tab"))</f>
        <v/>
      </c>
      <c r="I1817" s="84" t="str">
        <f aca="false">IF(C1817="","",C1817*IF(Settings!$B$22=Settings!$C$6,1,IF(Settings!$B$22="USD",1/INDEX(Settings!$B$29:$B$40,MONTH(A1817)),INDEX(Settings!$B$29:$B$40,MONTH(A1817)))))</f>
        <v/>
      </c>
    </row>
    <row r="1818" customFormat="false" ht="15" hidden="false" customHeight="false" outlineLevel="0" collapsed="false">
      <c r="H1818" s="0" t="str">
        <f aca="false">IF(B1818="","",IF(COUNTIF(Campaigns!$A$7:$A$300,B1818)&gt;0,"✓","⚠ add to Campaigns tab"))</f>
        <v/>
      </c>
      <c r="I1818" s="84" t="str">
        <f aca="false">IF(C1818="","",C1818*IF(Settings!$B$22=Settings!$C$6,1,IF(Settings!$B$22="USD",1/INDEX(Settings!$B$29:$B$40,MONTH(A1818)),INDEX(Settings!$B$29:$B$40,MONTH(A1818)))))</f>
        <v/>
      </c>
    </row>
    <row r="1819" customFormat="false" ht="15" hidden="false" customHeight="false" outlineLevel="0" collapsed="false">
      <c r="H1819" s="0" t="str">
        <f aca="false">IF(B1819="","",IF(COUNTIF(Campaigns!$A$7:$A$300,B1819)&gt;0,"✓","⚠ add to Campaigns tab"))</f>
        <v/>
      </c>
      <c r="I1819" s="84" t="str">
        <f aca="false">IF(C1819="","",C1819*IF(Settings!$B$22=Settings!$C$6,1,IF(Settings!$B$22="USD",1/INDEX(Settings!$B$29:$B$40,MONTH(A1819)),INDEX(Settings!$B$29:$B$40,MONTH(A1819)))))</f>
        <v/>
      </c>
    </row>
    <row r="1820" customFormat="false" ht="15" hidden="false" customHeight="false" outlineLevel="0" collapsed="false">
      <c r="H1820" s="0" t="str">
        <f aca="false">IF(B1820="","",IF(COUNTIF(Campaigns!$A$7:$A$300,B1820)&gt;0,"✓","⚠ add to Campaigns tab"))</f>
        <v/>
      </c>
      <c r="I1820" s="84" t="str">
        <f aca="false">IF(C1820="","",C1820*IF(Settings!$B$22=Settings!$C$6,1,IF(Settings!$B$22="USD",1/INDEX(Settings!$B$29:$B$40,MONTH(A1820)),INDEX(Settings!$B$29:$B$40,MONTH(A1820)))))</f>
        <v/>
      </c>
    </row>
    <row r="1821" customFormat="false" ht="15" hidden="false" customHeight="false" outlineLevel="0" collapsed="false">
      <c r="H1821" s="0" t="str">
        <f aca="false">IF(B1821="","",IF(COUNTIF(Campaigns!$A$7:$A$300,B1821)&gt;0,"✓","⚠ add to Campaigns tab"))</f>
        <v/>
      </c>
      <c r="I1821" s="84" t="str">
        <f aca="false">IF(C1821="","",C1821*IF(Settings!$B$22=Settings!$C$6,1,IF(Settings!$B$22="USD",1/INDEX(Settings!$B$29:$B$40,MONTH(A1821)),INDEX(Settings!$B$29:$B$40,MONTH(A1821)))))</f>
        <v/>
      </c>
    </row>
    <row r="1822" customFormat="false" ht="15" hidden="false" customHeight="false" outlineLevel="0" collapsed="false">
      <c r="H1822" s="0" t="str">
        <f aca="false">IF(B1822="","",IF(COUNTIF(Campaigns!$A$7:$A$300,B1822)&gt;0,"✓","⚠ add to Campaigns tab"))</f>
        <v/>
      </c>
      <c r="I1822" s="84" t="str">
        <f aca="false">IF(C1822="","",C1822*IF(Settings!$B$22=Settings!$C$6,1,IF(Settings!$B$22="USD",1/INDEX(Settings!$B$29:$B$40,MONTH(A1822)),INDEX(Settings!$B$29:$B$40,MONTH(A1822)))))</f>
        <v/>
      </c>
    </row>
    <row r="1823" customFormat="false" ht="15" hidden="false" customHeight="false" outlineLevel="0" collapsed="false">
      <c r="H1823" s="0" t="str">
        <f aca="false">IF(B1823="","",IF(COUNTIF(Campaigns!$A$7:$A$300,B1823)&gt;0,"✓","⚠ add to Campaigns tab"))</f>
        <v/>
      </c>
      <c r="I1823" s="84" t="str">
        <f aca="false">IF(C1823="","",C1823*IF(Settings!$B$22=Settings!$C$6,1,IF(Settings!$B$22="USD",1/INDEX(Settings!$B$29:$B$40,MONTH(A1823)),INDEX(Settings!$B$29:$B$40,MONTH(A1823)))))</f>
        <v/>
      </c>
    </row>
    <row r="1824" customFormat="false" ht="15" hidden="false" customHeight="false" outlineLevel="0" collapsed="false">
      <c r="H1824" s="0" t="str">
        <f aca="false">IF(B1824="","",IF(COUNTIF(Campaigns!$A$7:$A$300,B1824)&gt;0,"✓","⚠ add to Campaigns tab"))</f>
        <v/>
      </c>
      <c r="I1824" s="84" t="str">
        <f aca="false">IF(C1824="","",C1824*IF(Settings!$B$22=Settings!$C$6,1,IF(Settings!$B$22="USD",1/INDEX(Settings!$B$29:$B$40,MONTH(A1824)),INDEX(Settings!$B$29:$B$40,MONTH(A1824)))))</f>
        <v/>
      </c>
    </row>
    <row r="1825" customFormat="false" ht="15" hidden="false" customHeight="false" outlineLevel="0" collapsed="false">
      <c r="H1825" s="0" t="str">
        <f aca="false">IF(B1825="","",IF(COUNTIF(Campaigns!$A$7:$A$300,B1825)&gt;0,"✓","⚠ add to Campaigns tab"))</f>
        <v/>
      </c>
      <c r="I1825" s="84" t="str">
        <f aca="false">IF(C1825="","",C1825*IF(Settings!$B$22=Settings!$C$6,1,IF(Settings!$B$22="USD",1/INDEX(Settings!$B$29:$B$40,MONTH(A1825)),INDEX(Settings!$B$29:$B$40,MONTH(A1825)))))</f>
        <v/>
      </c>
    </row>
    <row r="1826" customFormat="false" ht="15" hidden="false" customHeight="false" outlineLevel="0" collapsed="false">
      <c r="H1826" s="0" t="str">
        <f aca="false">IF(B1826="","",IF(COUNTIF(Campaigns!$A$7:$A$300,B1826)&gt;0,"✓","⚠ add to Campaigns tab"))</f>
        <v/>
      </c>
      <c r="I1826" s="84" t="str">
        <f aca="false">IF(C1826="","",C1826*IF(Settings!$B$22=Settings!$C$6,1,IF(Settings!$B$22="USD",1/INDEX(Settings!$B$29:$B$40,MONTH(A1826)),INDEX(Settings!$B$29:$B$40,MONTH(A1826)))))</f>
        <v/>
      </c>
    </row>
    <row r="1827" customFormat="false" ht="15" hidden="false" customHeight="false" outlineLevel="0" collapsed="false">
      <c r="H1827" s="0" t="str">
        <f aca="false">IF(B1827="","",IF(COUNTIF(Campaigns!$A$7:$A$300,B1827)&gt;0,"✓","⚠ add to Campaigns tab"))</f>
        <v/>
      </c>
      <c r="I1827" s="84" t="str">
        <f aca="false">IF(C1827="","",C1827*IF(Settings!$B$22=Settings!$C$6,1,IF(Settings!$B$22="USD",1/INDEX(Settings!$B$29:$B$40,MONTH(A1827)),INDEX(Settings!$B$29:$B$40,MONTH(A1827)))))</f>
        <v/>
      </c>
    </row>
    <row r="1828" customFormat="false" ht="15" hidden="false" customHeight="false" outlineLevel="0" collapsed="false">
      <c r="H1828" s="0" t="str">
        <f aca="false">IF(B1828="","",IF(COUNTIF(Campaigns!$A$7:$A$300,B1828)&gt;0,"✓","⚠ add to Campaigns tab"))</f>
        <v/>
      </c>
      <c r="I1828" s="84" t="str">
        <f aca="false">IF(C1828="","",C1828*IF(Settings!$B$22=Settings!$C$6,1,IF(Settings!$B$22="USD",1/INDEX(Settings!$B$29:$B$40,MONTH(A1828)),INDEX(Settings!$B$29:$B$40,MONTH(A1828)))))</f>
        <v/>
      </c>
    </row>
    <row r="1829" customFormat="false" ht="15" hidden="false" customHeight="false" outlineLevel="0" collapsed="false">
      <c r="H1829" s="0" t="str">
        <f aca="false">IF(B1829="","",IF(COUNTIF(Campaigns!$A$7:$A$300,B1829)&gt;0,"✓","⚠ add to Campaigns tab"))</f>
        <v/>
      </c>
      <c r="I1829" s="84" t="str">
        <f aca="false">IF(C1829="","",C1829*IF(Settings!$B$22=Settings!$C$6,1,IF(Settings!$B$22="USD",1/INDEX(Settings!$B$29:$B$40,MONTH(A1829)),INDEX(Settings!$B$29:$B$40,MONTH(A1829)))))</f>
        <v/>
      </c>
    </row>
    <row r="1830" customFormat="false" ht="15" hidden="false" customHeight="false" outlineLevel="0" collapsed="false">
      <c r="H1830" s="0" t="str">
        <f aca="false">IF(B1830="","",IF(COUNTIF(Campaigns!$A$7:$A$300,B1830)&gt;0,"✓","⚠ add to Campaigns tab"))</f>
        <v/>
      </c>
      <c r="I1830" s="84" t="str">
        <f aca="false">IF(C1830="","",C1830*IF(Settings!$B$22=Settings!$C$6,1,IF(Settings!$B$22="USD",1/INDEX(Settings!$B$29:$B$40,MONTH(A1830)),INDEX(Settings!$B$29:$B$40,MONTH(A1830)))))</f>
        <v/>
      </c>
    </row>
    <row r="1831" customFormat="false" ht="15" hidden="false" customHeight="false" outlineLevel="0" collapsed="false">
      <c r="H1831" s="0" t="str">
        <f aca="false">IF(B1831="","",IF(COUNTIF(Campaigns!$A$7:$A$300,B1831)&gt;0,"✓","⚠ add to Campaigns tab"))</f>
        <v/>
      </c>
      <c r="I1831" s="84" t="str">
        <f aca="false">IF(C1831="","",C1831*IF(Settings!$B$22=Settings!$C$6,1,IF(Settings!$B$22="USD",1/INDEX(Settings!$B$29:$B$40,MONTH(A1831)),INDEX(Settings!$B$29:$B$40,MONTH(A1831)))))</f>
        <v/>
      </c>
    </row>
    <row r="1832" customFormat="false" ht="15" hidden="false" customHeight="false" outlineLevel="0" collapsed="false">
      <c r="H1832" s="0" t="str">
        <f aca="false">IF(B1832="","",IF(COUNTIF(Campaigns!$A$7:$A$300,B1832)&gt;0,"✓","⚠ add to Campaigns tab"))</f>
        <v/>
      </c>
      <c r="I1832" s="84" t="str">
        <f aca="false">IF(C1832="","",C1832*IF(Settings!$B$22=Settings!$C$6,1,IF(Settings!$B$22="USD",1/INDEX(Settings!$B$29:$B$40,MONTH(A1832)),INDEX(Settings!$B$29:$B$40,MONTH(A1832)))))</f>
        <v/>
      </c>
    </row>
    <row r="1833" customFormat="false" ht="15" hidden="false" customHeight="false" outlineLevel="0" collapsed="false">
      <c r="H1833" s="0" t="str">
        <f aca="false">IF(B1833="","",IF(COUNTIF(Campaigns!$A$7:$A$300,B1833)&gt;0,"✓","⚠ add to Campaigns tab"))</f>
        <v/>
      </c>
      <c r="I1833" s="84" t="str">
        <f aca="false">IF(C1833="","",C1833*IF(Settings!$B$22=Settings!$C$6,1,IF(Settings!$B$22="USD",1/INDEX(Settings!$B$29:$B$40,MONTH(A1833)),INDEX(Settings!$B$29:$B$40,MONTH(A1833)))))</f>
        <v/>
      </c>
    </row>
    <row r="1834" customFormat="false" ht="15" hidden="false" customHeight="false" outlineLevel="0" collapsed="false">
      <c r="H1834" s="0" t="str">
        <f aca="false">IF(B1834="","",IF(COUNTIF(Campaigns!$A$7:$A$300,B1834)&gt;0,"✓","⚠ add to Campaigns tab"))</f>
        <v/>
      </c>
      <c r="I1834" s="84" t="str">
        <f aca="false">IF(C1834="","",C1834*IF(Settings!$B$22=Settings!$C$6,1,IF(Settings!$B$22="USD",1/INDEX(Settings!$B$29:$B$40,MONTH(A1834)),INDEX(Settings!$B$29:$B$40,MONTH(A1834)))))</f>
        <v/>
      </c>
    </row>
    <row r="1835" customFormat="false" ht="15" hidden="false" customHeight="false" outlineLevel="0" collapsed="false">
      <c r="H1835" s="0" t="str">
        <f aca="false">IF(B1835="","",IF(COUNTIF(Campaigns!$A$7:$A$300,B1835)&gt;0,"✓","⚠ add to Campaigns tab"))</f>
        <v/>
      </c>
      <c r="I1835" s="84" t="str">
        <f aca="false">IF(C1835="","",C1835*IF(Settings!$B$22=Settings!$C$6,1,IF(Settings!$B$22="USD",1/INDEX(Settings!$B$29:$B$40,MONTH(A1835)),INDEX(Settings!$B$29:$B$40,MONTH(A1835)))))</f>
        <v/>
      </c>
    </row>
    <row r="1836" customFormat="false" ht="15" hidden="false" customHeight="false" outlineLevel="0" collapsed="false">
      <c r="H1836" s="0" t="str">
        <f aca="false">IF(B1836="","",IF(COUNTIF(Campaigns!$A$7:$A$300,B1836)&gt;0,"✓","⚠ add to Campaigns tab"))</f>
        <v/>
      </c>
      <c r="I1836" s="84" t="str">
        <f aca="false">IF(C1836="","",C1836*IF(Settings!$B$22=Settings!$C$6,1,IF(Settings!$B$22="USD",1/INDEX(Settings!$B$29:$B$40,MONTH(A1836)),INDEX(Settings!$B$29:$B$40,MONTH(A1836)))))</f>
        <v/>
      </c>
    </row>
    <row r="1837" customFormat="false" ht="15" hidden="false" customHeight="false" outlineLevel="0" collapsed="false">
      <c r="H1837" s="0" t="str">
        <f aca="false">IF(B1837="","",IF(COUNTIF(Campaigns!$A$7:$A$300,B1837)&gt;0,"✓","⚠ add to Campaigns tab"))</f>
        <v/>
      </c>
      <c r="I1837" s="84" t="str">
        <f aca="false">IF(C1837="","",C1837*IF(Settings!$B$22=Settings!$C$6,1,IF(Settings!$B$22="USD",1/INDEX(Settings!$B$29:$B$40,MONTH(A1837)),INDEX(Settings!$B$29:$B$40,MONTH(A1837)))))</f>
        <v/>
      </c>
    </row>
    <row r="1838" customFormat="false" ht="15" hidden="false" customHeight="false" outlineLevel="0" collapsed="false">
      <c r="H1838" s="0" t="str">
        <f aca="false">IF(B1838="","",IF(COUNTIF(Campaigns!$A$7:$A$300,B1838)&gt;0,"✓","⚠ add to Campaigns tab"))</f>
        <v/>
      </c>
      <c r="I1838" s="84" t="str">
        <f aca="false">IF(C1838="","",C1838*IF(Settings!$B$22=Settings!$C$6,1,IF(Settings!$B$22="USD",1/INDEX(Settings!$B$29:$B$40,MONTH(A1838)),INDEX(Settings!$B$29:$B$40,MONTH(A1838)))))</f>
        <v/>
      </c>
    </row>
    <row r="1839" customFormat="false" ht="15" hidden="false" customHeight="false" outlineLevel="0" collapsed="false">
      <c r="H1839" s="0" t="str">
        <f aca="false">IF(B1839="","",IF(COUNTIF(Campaigns!$A$7:$A$300,B1839)&gt;0,"✓","⚠ add to Campaigns tab"))</f>
        <v/>
      </c>
      <c r="I1839" s="84" t="str">
        <f aca="false">IF(C1839="","",C1839*IF(Settings!$B$22=Settings!$C$6,1,IF(Settings!$B$22="USD",1/INDEX(Settings!$B$29:$B$40,MONTH(A1839)),INDEX(Settings!$B$29:$B$40,MONTH(A1839)))))</f>
        <v/>
      </c>
    </row>
    <row r="1840" customFormat="false" ht="15" hidden="false" customHeight="false" outlineLevel="0" collapsed="false">
      <c r="H1840" s="0" t="str">
        <f aca="false">IF(B1840="","",IF(COUNTIF(Campaigns!$A$7:$A$300,B1840)&gt;0,"✓","⚠ add to Campaigns tab"))</f>
        <v/>
      </c>
      <c r="I1840" s="84" t="str">
        <f aca="false">IF(C1840="","",C1840*IF(Settings!$B$22=Settings!$C$6,1,IF(Settings!$B$22="USD",1/INDEX(Settings!$B$29:$B$40,MONTH(A1840)),INDEX(Settings!$B$29:$B$40,MONTH(A1840)))))</f>
        <v/>
      </c>
    </row>
    <row r="1841" customFormat="false" ht="15" hidden="false" customHeight="false" outlineLevel="0" collapsed="false">
      <c r="H1841" s="0" t="str">
        <f aca="false">IF(B1841="","",IF(COUNTIF(Campaigns!$A$7:$A$300,B1841)&gt;0,"✓","⚠ add to Campaigns tab"))</f>
        <v/>
      </c>
      <c r="I1841" s="84" t="str">
        <f aca="false">IF(C1841="","",C1841*IF(Settings!$B$22=Settings!$C$6,1,IF(Settings!$B$22="USD",1/INDEX(Settings!$B$29:$B$40,MONTH(A1841)),INDEX(Settings!$B$29:$B$40,MONTH(A1841)))))</f>
        <v/>
      </c>
    </row>
    <row r="1842" customFormat="false" ht="15" hidden="false" customHeight="false" outlineLevel="0" collapsed="false">
      <c r="H1842" s="0" t="str">
        <f aca="false">IF(B1842="","",IF(COUNTIF(Campaigns!$A$7:$A$300,B1842)&gt;0,"✓","⚠ add to Campaigns tab"))</f>
        <v/>
      </c>
      <c r="I1842" s="84" t="str">
        <f aca="false">IF(C1842="","",C1842*IF(Settings!$B$22=Settings!$C$6,1,IF(Settings!$B$22="USD",1/INDEX(Settings!$B$29:$B$40,MONTH(A1842)),INDEX(Settings!$B$29:$B$40,MONTH(A1842)))))</f>
        <v/>
      </c>
    </row>
    <row r="1843" customFormat="false" ht="15" hidden="false" customHeight="false" outlineLevel="0" collapsed="false">
      <c r="H1843" s="0" t="str">
        <f aca="false">IF(B1843="","",IF(COUNTIF(Campaigns!$A$7:$A$300,B1843)&gt;0,"✓","⚠ add to Campaigns tab"))</f>
        <v/>
      </c>
      <c r="I1843" s="84" t="str">
        <f aca="false">IF(C1843="","",C1843*IF(Settings!$B$22=Settings!$C$6,1,IF(Settings!$B$22="USD",1/INDEX(Settings!$B$29:$B$40,MONTH(A1843)),INDEX(Settings!$B$29:$B$40,MONTH(A1843)))))</f>
        <v/>
      </c>
    </row>
    <row r="1844" customFormat="false" ht="15" hidden="false" customHeight="false" outlineLevel="0" collapsed="false">
      <c r="H1844" s="0" t="str">
        <f aca="false">IF(B1844="","",IF(COUNTIF(Campaigns!$A$7:$A$300,B1844)&gt;0,"✓","⚠ add to Campaigns tab"))</f>
        <v/>
      </c>
      <c r="I1844" s="84" t="str">
        <f aca="false">IF(C1844="","",C1844*IF(Settings!$B$22=Settings!$C$6,1,IF(Settings!$B$22="USD",1/INDEX(Settings!$B$29:$B$40,MONTH(A1844)),INDEX(Settings!$B$29:$B$40,MONTH(A1844)))))</f>
        <v/>
      </c>
    </row>
    <row r="1845" customFormat="false" ht="15" hidden="false" customHeight="false" outlineLevel="0" collapsed="false">
      <c r="H1845" s="0" t="str">
        <f aca="false">IF(B1845="","",IF(COUNTIF(Campaigns!$A$7:$A$300,B1845)&gt;0,"✓","⚠ add to Campaigns tab"))</f>
        <v/>
      </c>
      <c r="I1845" s="84" t="str">
        <f aca="false">IF(C1845="","",C1845*IF(Settings!$B$22=Settings!$C$6,1,IF(Settings!$B$22="USD",1/INDEX(Settings!$B$29:$B$40,MONTH(A1845)),INDEX(Settings!$B$29:$B$40,MONTH(A1845)))))</f>
        <v/>
      </c>
    </row>
    <row r="1846" customFormat="false" ht="15" hidden="false" customHeight="false" outlineLevel="0" collapsed="false">
      <c r="H1846" s="0" t="str">
        <f aca="false">IF(B1846="","",IF(COUNTIF(Campaigns!$A$7:$A$300,B1846)&gt;0,"✓","⚠ add to Campaigns tab"))</f>
        <v/>
      </c>
      <c r="I1846" s="84" t="str">
        <f aca="false">IF(C1846="","",C1846*IF(Settings!$B$22=Settings!$C$6,1,IF(Settings!$B$22="USD",1/INDEX(Settings!$B$29:$B$40,MONTH(A1846)),INDEX(Settings!$B$29:$B$40,MONTH(A1846)))))</f>
        <v/>
      </c>
    </row>
    <row r="1847" customFormat="false" ht="15" hidden="false" customHeight="false" outlineLevel="0" collapsed="false">
      <c r="H1847" s="0" t="str">
        <f aca="false">IF(B1847="","",IF(COUNTIF(Campaigns!$A$7:$A$300,B1847)&gt;0,"✓","⚠ add to Campaigns tab"))</f>
        <v/>
      </c>
      <c r="I1847" s="84" t="str">
        <f aca="false">IF(C1847="","",C1847*IF(Settings!$B$22=Settings!$C$6,1,IF(Settings!$B$22="USD",1/INDEX(Settings!$B$29:$B$40,MONTH(A1847)),INDEX(Settings!$B$29:$B$40,MONTH(A1847)))))</f>
        <v/>
      </c>
    </row>
    <row r="1848" customFormat="false" ht="15" hidden="false" customHeight="false" outlineLevel="0" collapsed="false">
      <c r="H1848" s="0" t="str">
        <f aca="false">IF(B1848="","",IF(COUNTIF(Campaigns!$A$7:$A$300,B1848)&gt;0,"✓","⚠ add to Campaigns tab"))</f>
        <v/>
      </c>
      <c r="I1848" s="84" t="str">
        <f aca="false">IF(C1848="","",C1848*IF(Settings!$B$22=Settings!$C$6,1,IF(Settings!$B$22="USD",1/INDEX(Settings!$B$29:$B$40,MONTH(A1848)),INDEX(Settings!$B$29:$B$40,MONTH(A1848)))))</f>
        <v/>
      </c>
    </row>
    <row r="1849" customFormat="false" ht="15" hidden="false" customHeight="false" outlineLevel="0" collapsed="false">
      <c r="H1849" s="0" t="str">
        <f aca="false">IF(B1849="","",IF(COUNTIF(Campaigns!$A$7:$A$300,B1849)&gt;0,"✓","⚠ add to Campaigns tab"))</f>
        <v/>
      </c>
      <c r="I1849" s="84" t="str">
        <f aca="false">IF(C1849="","",C1849*IF(Settings!$B$22=Settings!$C$6,1,IF(Settings!$B$22="USD",1/INDEX(Settings!$B$29:$B$40,MONTH(A1849)),INDEX(Settings!$B$29:$B$40,MONTH(A1849)))))</f>
        <v/>
      </c>
    </row>
    <row r="1850" customFormat="false" ht="15" hidden="false" customHeight="false" outlineLevel="0" collapsed="false">
      <c r="H1850" s="0" t="str">
        <f aca="false">IF(B1850="","",IF(COUNTIF(Campaigns!$A$7:$A$300,B1850)&gt;0,"✓","⚠ add to Campaigns tab"))</f>
        <v/>
      </c>
      <c r="I1850" s="84" t="str">
        <f aca="false">IF(C1850="","",C1850*IF(Settings!$B$22=Settings!$C$6,1,IF(Settings!$B$22="USD",1/INDEX(Settings!$B$29:$B$40,MONTH(A1850)),INDEX(Settings!$B$29:$B$40,MONTH(A1850)))))</f>
        <v/>
      </c>
    </row>
    <row r="1851" customFormat="false" ht="15" hidden="false" customHeight="false" outlineLevel="0" collapsed="false">
      <c r="H1851" s="0" t="str">
        <f aca="false">IF(B1851="","",IF(COUNTIF(Campaigns!$A$7:$A$300,B1851)&gt;0,"✓","⚠ add to Campaigns tab"))</f>
        <v/>
      </c>
      <c r="I1851" s="84" t="str">
        <f aca="false">IF(C1851="","",C1851*IF(Settings!$B$22=Settings!$C$6,1,IF(Settings!$B$22="USD",1/INDEX(Settings!$B$29:$B$40,MONTH(A1851)),INDEX(Settings!$B$29:$B$40,MONTH(A1851)))))</f>
        <v/>
      </c>
    </row>
    <row r="1852" customFormat="false" ht="15" hidden="false" customHeight="false" outlineLevel="0" collapsed="false">
      <c r="H1852" s="0" t="str">
        <f aca="false">IF(B1852="","",IF(COUNTIF(Campaigns!$A$7:$A$300,B1852)&gt;0,"✓","⚠ add to Campaigns tab"))</f>
        <v/>
      </c>
      <c r="I1852" s="84" t="str">
        <f aca="false">IF(C1852="","",C1852*IF(Settings!$B$22=Settings!$C$6,1,IF(Settings!$B$22="USD",1/INDEX(Settings!$B$29:$B$40,MONTH(A1852)),INDEX(Settings!$B$29:$B$40,MONTH(A1852)))))</f>
        <v/>
      </c>
    </row>
    <row r="1853" customFormat="false" ht="15" hidden="false" customHeight="false" outlineLevel="0" collapsed="false">
      <c r="H1853" s="0" t="str">
        <f aca="false">IF(B1853="","",IF(COUNTIF(Campaigns!$A$7:$A$300,B1853)&gt;0,"✓","⚠ add to Campaigns tab"))</f>
        <v/>
      </c>
      <c r="I1853" s="84" t="str">
        <f aca="false">IF(C1853="","",C1853*IF(Settings!$B$22=Settings!$C$6,1,IF(Settings!$B$22="USD",1/INDEX(Settings!$B$29:$B$40,MONTH(A1853)),INDEX(Settings!$B$29:$B$40,MONTH(A1853)))))</f>
        <v/>
      </c>
    </row>
    <row r="1854" customFormat="false" ht="15" hidden="false" customHeight="false" outlineLevel="0" collapsed="false">
      <c r="H1854" s="0" t="str">
        <f aca="false">IF(B1854="","",IF(COUNTIF(Campaigns!$A$7:$A$300,B1854)&gt;0,"✓","⚠ add to Campaigns tab"))</f>
        <v/>
      </c>
      <c r="I1854" s="84" t="str">
        <f aca="false">IF(C1854="","",C1854*IF(Settings!$B$22=Settings!$C$6,1,IF(Settings!$B$22="USD",1/INDEX(Settings!$B$29:$B$40,MONTH(A1854)),INDEX(Settings!$B$29:$B$40,MONTH(A1854)))))</f>
        <v/>
      </c>
    </row>
    <row r="1855" customFormat="false" ht="15" hidden="false" customHeight="false" outlineLevel="0" collapsed="false">
      <c r="H1855" s="0" t="str">
        <f aca="false">IF(B1855="","",IF(COUNTIF(Campaigns!$A$7:$A$300,B1855)&gt;0,"✓","⚠ add to Campaigns tab"))</f>
        <v/>
      </c>
      <c r="I1855" s="84" t="str">
        <f aca="false">IF(C1855="","",C1855*IF(Settings!$B$22=Settings!$C$6,1,IF(Settings!$B$22="USD",1/INDEX(Settings!$B$29:$B$40,MONTH(A1855)),INDEX(Settings!$B$29:$B$40,MONTH(A1855)))))</f>
        <v/>
      </c>
    </row>
    <row r="1856" customFormat="false" ht="15" hidden="false" customHeight="false" outlineLevel="0" collapsed="false">
      <c r="H1856" s="0" t="str">
        <f aca="false">IF(B1856="","",IF(COUNTIF(Campaigns!$A$7:$A$300,B1856)&gt;0,"✓","⚠ add to Campaigns tab"))</f>
        <v/>
      </c>
      <c r="I1856" s="84" t="str">
        <f aca="false">IF(C1856="","",C1856*IF(Settings!$B$22=Settings!$C$6,1,IF(Settings!$B$22="USD",1/INDEX(Settings!$B$29:$B$40,MONTH(A1856)),INDEX(Settings!$B$29:$B$40,MONTH(A1856)))))</f>
        <v/>
      </c>
    </row>
    <row r="1857" customFormat="false" ht="15" hidden="false" customHeight="false" outlineLevel="0" collapsed="false">
      <c r="H1857" s="0" t="str">
        <f aca="false">IF(B1857="","",IF(COUNTIF(Campaigns!$A$7:$A$300,B1857)&gt;0,"✓","⚠ add to Campaigns tab"))</f>
        <v/>
      </c>
      <c r="I1857" s="84" t="str">
        <f aca="false">IF(C1857="","",C1857*IF(Settings!$B$22=Settings!$C$6,1,IF(Settings!$B$22="USD",1/INDEX(Settings!$B$29:$B$40,MONTH(A1857)),INDEX(Settings!$B$29:$B$40,MONTH(A1857)))))</f>
        <v/>
      </c>
    </row>
    <row r="1858" customFormat="false" ht="15" hidden="false" customHeight="false" outlineLevel="0" collapsed="false">
      <c r="H1858" s="0" t="str">
        <f aca="false">IF(B1858="","",IF(COUNTIF(Campaigns!$A$7:$A$300,B1858)&gt;0,"✓","⚠ add to Campaigns tab"))</f>
        <v/>
      </c>
      <c r="I1858" s="84" t="str">
        <f aca="false">IF(C1858="","",C1858*IF(Settings!$B$22=Settings!$C$6,1,IF(Settings!$B$22="USD",1/INDEX(Settings!$B$29:$B$40,MONTH(A1858)),INDEX(Settings!$B$29:$B$40,MONTH(A1858)))))</f>
        <v/>
      </c>
    </row>
    <row r="1859" customFormat="false" ht="15" hidden="false" customHeight="false" outlineLevel="0" collapsed="false">
      <c r="H1859" s="0" t="str">
        <f aca="false">IF(B1859="","",IF(COUNTIF(Campaigns!$A$7:$A$300,B1859)&gt;0,"✓","⚠ add to Campaigns tab"))</f>
        <v/>
      </c>
      <c r="I1859" s="84" t="str">
        <f aca="false">IF(C1859="","",C1859*IF(Settings!$B$22=Settings!$C$6,1,IF(Settings!$B$22="USD",1/INDEX(Settings!$B$29:$B$40,MONTH(A1859)),INDEX(Settings!$B$29:$B$40,MONTH(A1859)))))</f>
        <v/>
      </c>
    </row>
    <row r="1860" customFormat="false" ht="15" hidden="false" customHeight="false" outlineLevel="0" collapsed="false">
      <c r="H1860" s="0" t="str">
        <f aca="false">IF(B1860="","",IF(COUNTIF(Campaigns!$A$7:$A$300,B1860)&gt;0,"✓","⚠ add to Campaigns tab"))</f>
        <v/>
      </c>
      <c r="I1860" s="84" t="str">
        <f aca="false">IF(C1860="","",C1860*IF(Settings!$B$22=Settings!$C$6,1,IF(Settings!$B$22="USD",1/INDEX(Settings!$B$29:$B$40,MONTH(A1860)),INDEX(Settings!$B$29:$B$40,MONTH(A1860)))))</f>
        <v/>
      </c>
    </row>
    <row r="1861" customFormat="false" ht="15" hidden="false" customHeight="false" outlineLevel="0" collapsed="false">
      <c r="H1861" s="0" t="str">
        <f aca="false">IF(B1861="","",IF(COUNTIF(Campaigns!$A$7:$A$300,B1861)&gt;0,"✓","⚠ add to Campaigns tab"))</f>
        <v/>
      </c>
      <c r="I1861" s="84" t="str">
        <f aca="false">IF(C1861="","",C1861*IF(Settings!$B$22=Settings!$C$6,1,IF(Settings!$B$22="USD",1/INDEX(Settings!$B$29:$B$40,MONTH(A1861)),INDEX(Settings!$B$29:$B$40,MONTH(A1861)))))</f>
        <v/>
      </c>
    </row>
    <row r="1862" customFormat="false" ht="15" hidden="false" customHeight="false" outlineLevel="0" collapsed="false">
      <c r="H1862" s="0" t="str">
        <f aca="false">IF(B1862="","",IF(COUNTIF(Campaigns!$A$7:$A$300,B1862)&gt;0,"✓","⚠ add to Campaigns tab"))</f>
        <v/>
      </c>
      <c r="I1862" s="84" t="str">
        <f aca="false">IF(C1862="","",C1862*IF(Settings!$B$22=Settings!$C$6,1,IF(Settings!$B$22="USD",1/INDEX(Settings!$B$29:$B$40,MONTH(A1862)),INDEX(Settings!$B$29:$B$40,MONTH(A1862)))))</f>
        <v/>
      </c>
    </row>
    <row r="1863" customFormat="false" ht="15" hidden="false" customHeight="false" outlineLevel="0" collapsed="false">
      <c r="H1863" s="0" t="str">
        <f aca="false">IF(B1863="","",IF(COUNTIF(Campaigns!$A$7:$A$300,B1863)&gt;0,"✓","⚠ add to Campaigns tab"))</f>
        <v/>
      </c>
      <c r="I1863" s="84" t="str">
        <f aca="false">IF(C1863="","",C1863*IF(Settings!$B$22=Settings!$C$6,1,IF(Settings!$B$22="USD",1/INDEX(Settings!$B$29:$B$40,MONTH(A1863)),INDEX(Settings!$B$29:$B$40,MONTH(A1863)))))</f>
        <v/>
      </c>
    </row>
    <row r="1864" customFormat="false" ht="15" hidden="false" customHeight="false" outlineLevel="0" collapsed="false">
      <c r="H1864" s="0" t="str">
        <f aca="false">IF(B1864="","",IF(COUNTIF(Campaigns!$A$7:$A$300,B1864)&gt;0,"✓","⚠ add to Campaigns tab"))</f>
        <v/>
      </c>
      <c r="I1864" s="84" t="str">
        <f aca="false">IF(C1864="","",C1864*IF(Settings!$B$22=Settings!$C$6,1,IF(Settings!$B$22="USD",1/INDEX(Settings!$B$29:$B$40,MONTH(A1864)),INDEX(Settings!$B$29:$B$40,MONTH(A1864)))))</f>
        <v/>
      </c>
    </row>
    <row r="1865" customFormat="false" ht="15" hidden="false" customHeight="false" outlineLevel="0" collapsed="false">
      <c r="H1865" s="0" t="str">
        <f aca="false">IF(B1865="","",IF(COUNTIF(Campaigns!$A$7:$A$300,B1865)&gt;0,"✓","⚠ add to Campaigns tab"))</f>
        <v/>
      </c>
      <c r="I1865" s="84" t="str">
        <f aca="false">IF(C1865="","",C1865*IF(Settings!$B$22=Settings!$C$6,1,IF(Settings!$B$22="USD",1/INDEX(Settings!$B$29:$B$40,MONTH(A1865)),INDEX(Settings!$B$29:$B$40,MONTH(A1865)))))</f>
        <v/>
      </c>
    </row>
    <row r="1866" customFormat="false" ht="15" hidden="false" customHeight="false" outlineLevel="0" collapsed="false">
      <c r="H1866" s="0" t="str">
        <f aca="false">IF(B1866="","",IF(COUNTIF(Campaigns!$A$7:$A$300,B1866)&gt;0,"✓","⚠ add to Campaigns tab"))</f>
        <v/>
      </c>
      <c r="I1866" s="84" t="str">
        <f aca="false">IF(C1866="","",C1866*IF(Settings!$B$22=Settings!$C$6,1,IF(Settings!$B$22="USD",1/INDEX(Settings!$B$29:$B$40,MONTH(A1866)),INDEX(Settings!$B$29:$B$40,MONTH(A1866)))))</f>
        <v/>
      </c>
    </row>
    <row r="1867" customFormat="false" ht="15" hidden="false" customHeight="false" outlineLevel="0" collapsed="false">
      <c r="H1867" s="0" t="str">
        <f aca="false">IF(B1867="","",IF(COUNTIF(Campaigns!$A$7:$A$300,B1867)&gt;0,"✓","⚠ add to Campaigns tab"))</f>
        <v/>
      </c>
      <c r="I1867" s="84" t="str">
        <f aca="false">IF(C1867="","",C1867*IF(Settings!$B$22=Settings!$C$6,1,IF(Settings!$B$22="USD",1/INDEX(Settings!$B$29:$B$40,MONTH(A1867)),INDEX(Settings!$B$29:$B$40,MONTH(A1867)))))</f>
        <v/>
      </c>
    </row>
    <row r="1868" customFormat="false" ht="15" hidden="false" customHeight="false" outlineLevel="0" collapsed="false">
      <c r="H1868" s="0" t="str">
        <f aca="false">IF(B1868="","",IF(COUNTIF(Campaigns!$A$7:$A$300,B1868)&gt;0,"✓","⚠ add to Campaigns tab"))</f>
        <v/>
      </c>
      <c r="I1868" s="84" t="str">
        <f aca="false">IF(C1868="","",C1868*IF(Settings!$B$22=Settings!$C$6,1,IF(Settings!$B$22="USD",1/INDEX(Settings!$B$29:$B$40,MONTH(A1868)),INDEX(Settings!$B$29:$B$40,MONTH(A1868)))))</f>
        <v/>
      </c>
    </row>
    <row r="1869" customFormat="false" ht="15" hidden="false" customHeight="false" outlineLevel="0" collapsed="false">
      <c r="H1869" s="0" t="str">
        <f aca="false">IF(B1869="","",IF(COUNTIF(Campaigns!$A$7:$A$300,B1869)&gt;0,"✓","⚠ add to Campaigns tab"))</f>
        <v/>
      </c>
      <c r="I1869" s="84" t="str">
        <f aca="false">IF(C1869="","",C1869*IF(Settings!$B$22=Settings!$C$6,1,IF(Settings!$B$22="USD",1/INDEX(Settings!$B$29:$B$40,MONTH(A1869)),INDEX(Settings!$B$29:$B$40,MONTH(A1869)))))</f>
        <v/>
      </c>
    </row>
    <row r="1870" customFormat="false" ht="15" hidden="false" customHeight="false" outlineLevel="0" collapsed="false">
      <c r="H1870" s="0" t="str">
        <f aca="false">IF(B1870="","",IF(COUNTIF(Campaigns!$A$7:$A$300,B1870)&gt;0,"✓","⚠ add to Campaigns tab"))</f>
        <v/>
      </c>
      <c r="I1870" s="84" t="str">
        <f aca="false">IF(C1870="","",C1870*IF(Settings!$B$22=Settings!$C$6,1,IF(Settings!$B$22="USD",1/INDEX(Settings!$B$29:$B$40,MONTH(A1870)),INDEX(Settings!$B$29:$B$40,MONTH(A1870)))))</f>
        <v/>
      </c>
    </row>
    <row r="1871" customFormat="false" ht="15" hidden="false" customHeight="false" outlineLevel="0" collapsed="false">
      <c r="H1871" s="0" t="str">
        <f aca="false">IF(B1871="","",IF(COUNTIF(Campaigns!$A$7:$A$300,B1871)&gt;0,"✓","⚠ add to Campaigns tab"))</f>
        <v/>
      </c>
      <c r="I1871" s="84" t="str">
        <f aca="false">IF(C1871="","",C1871*IF(Settings!$B$22=Settings!$C$6,1,IF(Settings!$B$22="USD",1/INDEX(Settings!$B$29:$B$40,MONTH(A1871)),INDEX(Settings!$B$29:$B$40,MONTH(A1871)))))</f>
        <v/>
      </c>
    </row>
    <row r="1872" customFormat="false" ht="15" hidden="false" customHeight="false" outlineLevel="0" collapsed="false">
      <c r="H1872" s="0" t="str">
        <f aca="false">IF(B1872="","",IF(COUNTIF(Campaigns!$A$7:$A$300,B1872)&gt;0,"✓","⚠ add to Campaigns tab"))</f>
        <v/>
      </c>
      <c r="I1872" s="84" t="str">
        <f aca="false">IF(C1872="","",C1872*IF(Settings!$B$22=Settings!$C$6,1,IF(Settings!$B$22="USD",1/INDEX(Settings!$B$29:$B$40,MONTH(A1872)),INDEX(Settings!$B$29:$B$40,MONTH(A1872)))))</f>
        <v/>
      </c>
    </row>
    <row r="1873" customFormat="false" ht="15" hidden="false" customHeight="false" outlineLevel="0" collapsed="false">
      <c r="H1873" s="0" t="str">
        <f aca="false">IF(B1873="","",IF(COUNTIF(Campaigns!$A$7:$A$300,B1873)&gt;0,"✓","⚠ add to Campaigns tab"))</f>
        <v/>
      </c>
      <c r="I1873" s="84" t="str">
        <f aca="false">IF(C1873="","",C1873*IF(Settings!$B$22=Settings!$C$6,1,IF(Settings!$B$22="USD",1/INDEX(Settings!$B$29:$B$40,MONTH(A1873)),INDEX(Settings!$B$29:$B$40,MONTH(A1873)))))</f>
        <v/>
      </c>
    </row>
    <row r="1874" customFormat="false" ht="15" hidden="false" customHeight="false" outlineLevel="0" collapsed="false">
      <c r="H1874" s="0" t="str">
        <f aca="false">IF(B1874="","",IF(COUNTIF(Campaigns!$A$7:$A$300,B1874)&gt;0,"✓","⚠ add to Campaigns tab"))</f>
        <v/>
      </c>
      <c r="I1874" s="84" t="str">
        <f aca="false">IF(C1874="","",C1874*IF(Settings!$B$22=Settings!$C$6,1,IF(Settings!$B$22="USD",1/INDEX(Settings!$B$29:$B$40,MONTH(A1874)),INDEX(Settings!$B$29:$B$40,MONTH(A1874)))))</f>
        <v/>
      </c>
    </row>
    <row r="1875" customFormat="false" ht="15" hidden="false" customHeight="false" outlineLevel="0" collapsed="false">
      <c r="H1875" s="0" t="str">
        <f aca="false">IF(B1875="","",IF(COUNTIF(Campaigns!$A$7:$A$300,B1875)&gt;0,"✓","⚠ add to Campaigns tab"))</f>
        <v/>
      </c>
      <c r="I1875" s="84" t="str">
        <f aca="false">IF(C1875="","",C1875*IF(Settings!$B$22=Settings!$C$6,1,IF(Settings!$B$22="USD",1/INDEX(Settings!$B$29:$B$40,MONTH(A1875)),INDEX(Settings!$B$29:$B$40,MONTH(A1875)))))</f>
        <v/>
      </c>
    </row>
    <row r="1876" customFormat="false" ht="15" hidden="false" customHeight="false" outlineLevel="0" collapsed="false">
      <c r="H1876" s="0" t="str">
        <f aca="false">IF(B1876="","",IF(COUNTIF(Campaigns!$A$7:$A$300,B1876)&gt;0,"✓","⚠ add to Campaigns tab"))</f>
        <v/>
      </c>
      <c r="I1876" s="84" t="str">
        <f aca="false">IF(C1876="","",C1876*IF(Settings!$B$22=Settings!$C$6,1,IF(Settings!$B$22="USD",1/INDEX(Settings!$B$29:$B$40,MONTH(A1876)),INDEX(Settings!$B$29:$B$40,MONTH(A1876)))))</f>
        <v/>
      </c>
    </row>
    <row r="1877" customFormat="false" ht="15" hidden="false" customHeight="false" outlineLevel="0" collapsed="false">
      <c r="H1877" s="0" t="str">
        <f aca="false">IF(B1877="","",IF(COUNTIF(Campaigns!$A$7:$A$300,B1877)&gt;0,"✓","⚠ add to Campaigns tab"))</f>
        <v/>
      </c>
      <c r="I1877" s="84" t="str">
        <f aca="false">IF(C1877="","",C1877*IF(Settings!$B$22=Settings!$C$6,1,IF(Settings!$B$22="USD",1/INDEX(Settings!$B$29:$B$40,MONTH(A1877)),INDEX(Settings!$B$29:$B$40,MONTH(A1877)))))</f>
        <v/>
      </c>
    </row>
    <row r="1878" customFormat="false" ht="15" hidden="false" customHeight="false" outlineLevel="0" collapsed="false">
      <c r="H1878" s="0" t="str">
        <f aca="false">IF(B1878="","",IF(COUNTIF(Campaigns!$A$7:$A$300,B1878)&gt;0,"✓","⚠ add to Campaigns tab"))</f>
        <v/>
      </c>
      <c r="I1878" s="84" t="str">
        <f aca="false">IF(C1878="","",C1878*IF(Settings!$B$22=Settings!$C$6,1,IF(Settings!$B$22="USD",1/INDEX(Settings!$B$29:$B$40,MONTH(A1878)),INDEX(Settings!$B$29:$B$40,MONTH(A1878)))))</f>
        <v/>
      </c>
    </row>
    <row r="1879" customFormat="false" ht="15" hidden="false" customHeight="false" outlineLevel="0" collapsed="false">
      <c r="H1879" s="0" t="str">
        <f aca="false">IF(B1879="","",IF(COUNTIF(Campaigns!$A$7:$A$300,B1879)&gt;0,"✓","⚠ add to Campaigns tab"))</f>
        <v/>
      </c>
      <c r="I1879" s="84" t="str">
        <f aca="false">IF(C1879="","",C1879*IF(Settings!$B$22=Settings!$C$6,1,IF(Settings!$B$22="USD",1/INDEX(Settings!$B$29:$B$40,MONTH(A1879)),INDEX(Settings!$B$29:$B$40,MONTH(A1879)))))</f>
        <v/>
      </c>
    </row>
    <row r="1880" customFormat="false" ht="15" hidden="false" customHeight="false" outlineLevel="0" collapsed="false">
      <c r="H1880" s="0" t="str">
        <f aca="false">IF(B1880="","",IF(COUNTIF(Campaigns!$A$7:$A$300,B1880)&gt;0,"✓","⚠ add to Campaigns tab"))</f>
        <v/>
      </c>
      <c r="I1880" s="84" t="str">
        <f aca="false">IF(C1880="","",C1880*IF(Settings!$B$22=Settings!$C$6,1,IF(Settings!$B$22="USD",1/INDEX(Settings!$B$29:$B$40,MONTH(A1880)),INDEX(Settings!$B$29:$B$40,MONTH(A1880)))))</f>
        <v/>
      </c>
    </row>
    <row r="1881" customFormat="false" ht="15" hidden="false" customHeight="false" outlineLevel="0" collapsed="false">
      <c r="H1881" s="0" t="str">
        <f aca="false">IF(B1881="","",IF(COUNTIF(Campaigns!$A$7:$A$300,B1881)&gt;0,"✓","⚠ add to Campaigns tab"))</f>
        <v/>
      </c>
      <c r="I1881" s="84" t="str">
        <f aca="false">IF(C1881="","",C1881*IF(Settings!$B$22=Settings!$C$6,1,IF(Settings!$B$22="USD",1/INDEX(Settings!$B$29:$B$40,MONTH(A1881)),INDEX(Settings!$B$29:$B$40,MONTH(A1881)))))</f>
        <v/>
      </c>
    </row>
    <row r="1882" customFormat="false" ht="15" hidden="false" customHeight="false" outlineLevel="0" collapsed="false">
      <c r="H1882" s="0" t="str">
        <f aca="false">IF(B1882="","",IF(COUNTIF(Campaigns!$A$7:$A$300,B1882)&gt;0,"✓","⚠ add to Campaigns tab"))</f>
        <v/>
      </c>
      <c r="I1882" s="84" t="str">
        <f aca="false">IF(C1882="","",C1882*IF(Settings!$B$22=Settings!$C$6,1,IF(Settings!$B$22="USD",1/INDEX(Settings!$B$29:$B$40,MONTH(A1882)),INDEX(Settings!$B$29:$B$40,MONTH(A1882)))))</f>
        <v/>
      </c>
    </row>
    <row r="1883" customFormat="false" ht="15" hidden="false" customHeight="false" outlineLevel="0" collapsed="false">
      <c r="H1883" s="0" t="str">
        <f aca="false">IF(B1883="","",IF(COUNTIF(Campaigns!$A$7:$A$300,B1883)&gt;0,"✓","⚠ add to Campaigns tab"))</f>
        <v/>
      </c>
      <c r="I1883" s="84" t="str">
        <f aca="false">IF(C1883="","",C1883*IF(Settings!$B$22=Settings!$C$6,1,IF(Settings!$B$22="USD",1/INDEX(Settings!$B$29:$B$40,MONTH(A1883)),INDEX(Settings!$B$29:$B$40,MONTH(A1883)))))</f>
        <v/>
      </c>
    </row>
    <row r="1884" customFormat="false" ht="15" hidden="false" customHeight="false" outlineLevel="0" collapsed="false">
      <c r="H1884" s="0" t="str">
        <f aca="false">IF(B1884="","",IF(COUNTIF(Campaigns!$A$7:$A$300,B1884)&gt;0,"✓","⚠ add to Campaigns tab"))</f>
        <v/>
      </c>
      <c r="I1884" s="84" t="str">
        <f aca="false">IF(C1884="","",C1884*IF(Settings!$B$22=Settings!$C$6,1,IF(Settings!$B$22="USD",1/INDEX(Settings!$B$29:$B$40,MONTH(A1884)),INDEX(Settings!$B$29:$B$40,MONTH(A1884)))))</f>
        <v/>
      </c>
    </row>
    <row r="1885" customFormat="false" ht="15" hidden="false" customHeight="false" outlineLevel="0" collapsed="false">
      <c r="H1885" s="0" t="str">
        <f aca="false">IF(B1885="","",IF(COUNTIF(Campaigns!$A$7:$A$300,B1885)&gt;0,"✓","⚠ add to Campaigns tab"))</f>
        <v/>
      </c>
      <c r="I1885" s="84" t="str">
        <f aca="false">IF(C1885="","",C1885*IF(Settings!$B$22=Settings!$C$6,1,IF(Settings!$B$22="USD",1/INDEX(Settings!$B$29:$B$40,MONTH(A1885)),INDEX(Settings!$B$29:$B$40,MONTH(A1885)))))</f>
        <v/>
      </c>
    </row>
    <row r="1886" customFormat="false" ht="15" hidden="false" customHeight="false" outlineLevel="0" collapsed="false">
      <c r="H1886" s="0" t="str">
        <f aca="false">IF(B1886="","",IF(COUNTIF(Campaigns!$A$7:$A$300,B1886)&gt;0,"✓","⚠ add to Campaigns tab"))</f>
        <v/>
      </c>
      <c r="I1886" s="84" t="str">
        <f aca="false">IF(C1886="","",C1886*IF(Settings!$B$22=Settings!$C$6,1,IF(Settings!$B$22="USD",1/INDEX(Settings!$B$29:$B$40,MONTH(A1886)),INDEX(Settings!$B$29:$B$40,MONTH(A1886)))))</f>
        <v/>
      </c>
    </row>
    <row r="1887" customFormat="false" ht="15" hidden="false" customHeight="false" outlineLevel="0" collapsed="false">
      <c r="H1887" s="0" t="str">
        <f aca="false">IF(B1887="","",IF(COUNTIF(Campaigns!$A$7:$A$300,B1887)&gt;0,"✓","⚠ add to Campaigns tab"))</f>
        <v/>
      </c>
      <c r="I1887" s="84" t="str">
        <f aca="false">IF(C1887="","",C1887*IF(Settings!$B$22=Settings!$C$6,1,IF(Settings!$B$22="USD",1/INDEX(Settings!$B$29:$B$40,MONTH(A1887)),INDEX(Settings!$B$29:$B$40,MONTH(A1887)))))</f>
        <v/>
      </c>
    </row>
    <row r="1888" customFormat="false" ht="15" hidden="false" customHeight="false" outlineLevel="0" collapsed="false">
      <c r="H1888" s="0" t="str">
        <f aca="false">IF(B1888="","",IF(COUNTIF(Campaigns!$A$7:$A$300,B1888)&gt;0,"✓","⚠ add to Campaigns tab"))</f>
        <v/>
      </c>
      <c r="I1888" s="84" t="str">
        <f aca="false">IF(C1888="","",C1888*IF(Settings!$B$22=Settings!$C$6,1,IF(Settings!$B$22="USD",1/INDEX(Settings!$B$29:$B$40,MONTH(A1888)),INDEX(Settings!$B$29:$B$40,MONTH(A1888)))))</f>
        <v/>
      </c>
    </row>
    <row r="1889" customFormat="false" ht="15" hidden="false" customHeight="false" outlineLevel="0" collapsed="false">
      <c r="H1889" s="0" t="str">
        <f aca="false">IF(B1889="","",IF(COUNTIF(Campaigns!$A$7:$A$300,B1889)&gt;0,"✓","⚠ add to Campaigns tab"))</f>
        <v/>
      </c>
      <c r="I1889" s="84" t="str">
        <f aca="false">IF(C1889="","",C1889*IF(Settings!$B$22=Settings!$C$6,1,IF(Settings!$B$22="USD",1/INDEX(Settings!$B$29:$B$40,MONTH(A1889)),INDEX(Settings!$B$29:$B$40,MONTH(A1889)))))</f>
        <v/>
      </c>
    </row>
    <row r="1890" customFormat="false" ht="15" hidden="false" customHeight="false" outlineLevel="0" collapsed="false">
      <c r="H1890" s="0" t="str">
        <f aca="false">IF(B1890="","",IF(COUNTIF(Campaigns!$A$7:$A$300,B1890)&gt;0,"✓","⚠ add to Campaigns tab"))</f>
        <v/>
      </c>
      <c r="I1890" s="84" t="str">
        <f aca="false">IF(C1890="","",C1890*IF(Settings!$B$22=Settings!$C$6,1,IF(Settings!$B$22="USD",1/INDEX(Settings!$B$29:$B$40,MONTH(A1890)),INDEX(Settings!$B$29:$B$40,MONTH(A1890)))))</f>
        <v/>
      </c>
    </row>
    <row r="1891" customFormat="false" ht="15" hidden="false" customHeight="false" outlineLevel="0" collapsed="false">
      <c r="H1891" s="0" t="str">
        <f aca="false">IF(B1891="","",IF(COUNTIF(Campaigns!$A$7:$A$300,B1891)&gt;0,"✓","⚠ add to Campaigns tab"))</f>
        <v/>
      </c>
      <c r="I1891" s="84" t="str">
        <f aca="false">IF(C1891="","",C1891*IF(Settings!$B$22=Settings!$C$6,1,IF(Settings!$B$22="USD",1/INDEX(Settings!$B$29:$B$40,MONTH(A1891)),INDEX(Settings!$B$29:$B$40,MONTH(A1891)))))</f>
        <v/>
      </c>
    </row>
    <row r="1892" customFormat="false" ht="15" hidden="false" customHeight="false" outlineLevel="0" collapsed="false">
      <c r="H1892" s="0" t="str">
        <f aca="false">IF(B1892="","",IF(COUNTIF(Campaigns!$A$7:$A$300,B1892)&gt;0,"✓","⚠ add to Campaigns tab"))</f>
        <v/>
      </c>
      <c r="I1892" s="84" t="str">
        <f aca="false">IF(C1892="","",C1892*IF(Settings!$B$22=Settings!$C$6,1,IF(Settings!$B$22="USD",1/INDEX(Settings!$B$29:$B$40,MONTH(A1892)),INDEX(Settings!$B$29:$B$40,MONTH(A1892)))))</f>
        <v/>
      </c>
    </row>
    <row r="1893" customFormat="false" ht="15" hidden="false" customHeight="false" outlineLevel="0" collapsed="false">
      <c r="H1893" s="0" t="str">
        <f aca="false">IF(B1893="","",IF(COUNTIF(Campaigns!$A$7:$A$300,B1893)&gt;0,"✓","⚠ add to Campaigns tab"))</f>
        <v/>
      </c>
      <c r="I1893" s="84" t="str">
        <f aca="false">IF(C1893="","",C1893*IF(Settings!$B$22=Settings!$C$6,1,IF(Settings!$B$22="USD",1/INDEX(Settings!$B$29:$B$40,MONTH(A1893)),INDEX(Settings!$B$29:$B$40,MONTH(A1893)))))</f>
        <v/>
      </c>
    </row>
    <row r="1894" customFormat="false" ht="15" hidden="false" customHeight="false" outlineLevel="0" collapsed="false">
      <c r="H1894" s="0" t="str">
        <f aca="false">IF(B1894="","",IF(COUNTIF(Campaigns!$A$7:$A$300,B1894)&gt;0,"✓","⚠ add to Campaigns tab"))</f>
        <v/>
      </c>
      <c r="I1894" s="84" t="str">
        <f aca="false">IF(C1894="","",C1894*IF(Settings!$B$22=Settings!$C$6,1,IF(Settings!$B$22="USD",1/INDEX(Settings!$B$29:$B$40,MONTH(A1894)),INDEX(Settings!$B$29:$B$40,MONTH(A1894)))))</f>
        <v/>
      </c>
    </row>
    <row r="1895" customFormat="false" ht="15" hidden="false" customHeight="false" outlineLevel="0" collapsed="false">
      <c r="H1895" s="0" t="str">
        <f aca="false">IF(B1895="","",IF(COUNTIF(Campaigns!$A$7:$A$300,B1895)&gt;0,"✓","⚠ add to Campaigns tab"))</f>
        <v/>
      </c>
      <c r="I1895" s="84" t="str">
        <f aca="false">IF(C1895="","",C1895*IF(Settings!$B$22=Settings!$C$6,1,IF(Settings!$B$22="USD",1/INDEX(Settings!$B$29:$B$40,MONTH(A1895)),INDEX(Settings!$B$29:$B$40,MONTH(A1895)))))</f>
        <v/>
      </c>
    </row>
    <row r="1896" customFormat="false" ht="15" hidden="false" customHeight="false" outlineLevel="0" collapsed="false">
      <c r="H1896" s="0" t="str">
        <f aca="false">IF(B1896="","",IF(COUNTIF(Campaigns!$A$7:$A$300,B1896)&gt;0,"✓","⚠ add to Campaigns tab"))</f>
        <v/>
      </c>
      <c r="I1896" s="84" t="str">
        <f aca="false">IF(C1896="","",C1896*IF(Settings!$B$22=Settings!$C$6,1,IF(Settings!$B$22="USD",1/INDEX(Settings!$B$29:$B$40,MONTH(A1896)),INDEX(Settings!$B$29:$B$40,MONTH(A1896)))))</f>
        <v/>
      </c>
    </row>
    <row r="1897" customFormat="false" ht="15" hidden="false" customHeight="false" outlineLevel="0" collapsed="false">
      <c r="H1897" s="0" t="str">
        <f aca="false">IF(B1897="","",IF(COUNTIF(Campaigns!$A$7:$A$300,B1897)&gt;0,"✓","⚠ add to Campaigns tab"))</f>
        <v/>
      </c>
      <c r="I1897" s="84" t="str">
        <f aca="false">IF(C1897="","",C1897*IF(Settings!$B$22=Settings!$C$6,1,IF(Settings!$B$22="USD",1/INDEX(Settings!$B$29:$B$40,MONTH(A1897)),INDEX(Settings!$B$29:$B$40,MONTH(A1897)))))</f>
        <v/>
      </c>
    </row>
    <row r="1898" customFormat="false" ht="15" hidden="false" customHeight="false" outlineLevel="0" collapsed="false">
      <c r="H1898" s="0" t="str">
        <f aca="false">IF(B1898="","",IF(COUNTIF(Campaigns!$A$7:$A$300,B1898)&gt;0,"✓","⚠ add to Campaigns tab"))</f>
        <v/>
      </c>
      <c r="I1898" s="84" t="str">
        <f aca="false">IF(C1898="","",C1898*IF(Settings!$B$22=Settings!$C$6,1,IF(Settings!$B$22="USD",1/INDEX(Settings!$B$29:$B$40,MONTH(A1898)),INDEX(Settings!$B$29:$B$40,MONTH(A1898)))))</f>
        <v/>
      </c>
    </row>
    <row r="1899" customFormat="false" ht="15" hidden="false" customHeight="false" outlineLevel="0" collapsed="false">
      <c r="H1899" s="0" t="str">
        <f aca="false">IF(B1899="","",IF(COUNTIF(Campaigns!$A$7:$A$300,B1899)&gt;0,"✓","⚠ add to Campaigns tab"))</f>
        <v/>
      </c>
      <c r="I1899" s="84" t="str">
        <f aca="false">IF(C1899="","",C1899*IF(Settings!$B$22=Settings!$C$6,1,IF(Settings!$B$22="USD",1/INDEX(Settings!$B$29:$B$40,MONTH(A1899)),INDEX(Settings!$B$29:$B$40,MONTH(A1899)))))</f>
        <v/>
      </c>
    </row>
    <row r="1900" customFormat="false" ht="15" hidden="false" customHeight="false" outlineLevel="0" collapsed="false">
      <c r="H1900" s="0" t="str">
        <f aca="false">IF(B1900="","",IF(COUNTIF(Campaigns!$A$7:$A$300,B1900)&gt;0,"✓","⚠ add to Campaigns tab"))</f>
        <v/>
      </c>
      <c r="I1900" s="84" t="str">
        <f aca="false">IF(C1900="","",C1900*IF(Settings!$B$22=Settings!$C$6,1,IF(Settings!$B$22="USD",1/INDEX(Settings!$B$29:$B$40,MONTH(A1900)),INDEX(Settings!$B$29:$B$40,MONTH(A1900)))))</f>
        <v/>
      </c>
    </row>
    <row r="1901" customFormat="false" ht="15" hidden="false" customHeight="false" outlineLevel="0" collapsed="false">
      <c r="H1901" s="0" t="str">
        <f aca="false">IF(B1901="","",IF(COUNTIF(Campaigns!$A$7:$A$300,B1901)&gt;0,"✓","⚠ add to Campaigns tab"))</f>
        <v/>
      </c>
      <c r="I1901" s="84" t="str">
        <f aca="false">IF(C1901="","",C1901*IF(Settings!$B$22=Settings!$C$6,1,IF(Settings!$B$22="USD",1/INDEX(Settings!$B$29:$B$40,MONTH(A1901)),INDEX(Settings!$B$29:$B$40,MONTH(A1901)))))</f>
        <v/>
      </c>
    </row>
    <row r="1902" customFormat="false" ht="15" hidden="false" customHeight="false" outlineLevel="0" collapsed="false">
      <c r="H1902" s="0" t="str">
        <f aca="false">IF(B1902="","",IF(COUNTIF(Campaigns!$A$7:$A$300,B1902)&gt;0,"✓","⚠ add to Campaigns tab"))</f>
        <v/>
      </c>
      <c r="I1902" s="84" t="str">
        <f aca="false">IF(C1902="","",C1902*IF(Settings!$B$22=Settings!$C$6,1,IF(Settings!$B$22="USD",1/INDEX(Settings!$B$29:$B$40,MONTH(A1902)),INDEX(Settings!$B$29:$B$40,MONTH(A1902)))))</f>
        <v/>
      </c>
    </row>
    <row r="1903" customFormat="false" ht="15" hidden="false" customHeight="false" outlineLevel="0" collapsed="false">
      <c r="H1903" s="0" t="str">
        <f aca="false">IF(B1903="","",IF(COUNTIF(Campaigns!$A$7:$A$300,B1903)&gt;0,"✓","⚠ add to Campaigns tab"))</f>
        <v/>
      </c>
      <c r="I1903" s="84" t="str">
        <f aca="false">IF(C1903="","",C1903*IF(Settings!$B$22=Settings!$C$6,1,IF(Settings!$B$22="USD",1/INDEX(Settings!$B$29:$B$40,MONTH(A1903)),INDEX(Settings!$B$29:$B$40,MONTH(A1903)))))</f>
        <v/>
      </c>
    </row>
    <row r="1904" customFormat="false" ht="15" hidden="false" customHeight="false" outlineLevel="0" collapsed="false">
      <c r="H1904" s="0" t="str">
        <f aca="false">IF(B1904="","",IF(COUNTIF(Campaigns!$A$7:$A$300,B1904)&gt;0,"✓","⚠ add to Campaigns tab"))</f>
        <v/>
      </c>
      <c r="I1904" s="84" t="str">
        <f aca="false">IF(C1904="","",C1904*IF(Settings!$B$22=Settings!$C$6,1,IF(Settings!$B$22="USD",1/INDEX(Settings!$B$29:$B$40,MONTH(A1904)),INDEX(Settings!$B$29:$B$40,MONTH(A1904)))))</f>
        <v/>
      </c>
    </row>
    <row r="1905" customFormat="false" ht="15" hidden="false" customHeight="false" outlineLevel="0" collapsed="false">
      <c r="H1905" s="0" t="str">
        <f aca="false">IF(B1905="","",IF(COUNTIF(Campaigns!$A$7:$A$300,B1905)&gt;0,"✓","⚠ add to Campaigns tab"))</f>
        <v/>
      </c>
      <c r="I1905" s="84" t="str">
        <f aca="false">IF(C1905="","",C1905*IF(Settings!$B$22=Settings!$C$6,1,IF(Settings!$B$22="USD",1/INDEX(Settings!$B$29:$B$40,MONTH(A1905)),INDEX(Settings!$B$29:$B$40,MONTH(A1905)))))</f>
        <v/>
      </c>
    </row>
    <row r="1906" customFormat="false" ht="15" hidden="false" customHeight="false" outlineLevel="0" collapsed="false">
      <c r="H1906" s="0" t="str">
        <f aca="false">IF(B1906="","",IF(COUNTIF(Campaigns!$A$7:$A$300,B1906)&gt;0,"✓","⚠ add to Campaigns tab"))</f>
        <v/>
      </c>
      <c r="I1906" s="84" t="str">
        <f aca="false">IF(C1906="","",C1906*IF(Settings!$B$22=Settings!$C$6,1,IF(Settings!$B$22="USD",1/INDEX(Settings!$B$29:$B$40,MONTH(A1906)),INDEX(Settings!$B$29:$B$40,MONTH(A1906)))))</f>
        <v/>
      </c>
    </row>
    <row r="1907" customFormat="false" ht="15" hidden="false" customHeight="false" outlineLevel="0" collapsed="false">
      <c r="H1907" s="0" t="str">
        <f aca="false">IF(B1907="","",IF(COUNTIF(Campaigns!$A$7:$A$300,B1907)&gt;0,"✓","⚠ add to Campaigns tab"))</f>
        <v/>
      </c>
      <c r="I1907" s="84" t="str">
        <f aca="false">IF(C1907="","",C1907*IF(Settings!$B$22=Settings!$C$6,1,IF(Settings!$B$22="USD",1/INDEX(Settings!$B$29:$B$40,MONTH(A1907)),INDEX(Settings!$B$29:$B$40,MONTH(A1907)))))</f>
        <v/>
      </c>
    </row>
    <row r="1908" customFormat="false" ht="15" hidden="false" customHeight="false" outlineLevel="0" collapsed="false">
      <c r="H1908" s="0" t="str">
        <f aca="false">IF(B1908="","",IF(COUNTIF(Campaigns!$A$7:$A$300,B1908)&gt;0,"✓","⚠ add to Campaigns tab"))</f>
        <v/>
      </c>
      <c r="I1908" s="84" t="str">
        <f aca="false">IF(C1908="","",C1908*IF(Settings!$B$22=Settings!$C$6,1,IF(Settings!$B$22="USD",1/INDEX(Settings!$B$29:$B$40,MONTH(A1908)),INDEX(Settings!$B$29:$B$40,MONTH(A1908)))))</f>
        <v/>
      </c>
    </row>
    <row r="1909" customFormat="false" ht="15" hidden="false" customHeight="false" outlineLevel="0" collapsed="false">
      <c r="H1909" s="0" t="str">
        <f aca="false">IF(B1909="","",IF(COUNTIF(Campaigns!$A$7:$A$300,B1909)&gt;0,"✓","⚠ add to Campaigns tab"))</f>
        <v/>
      </c>
      <c r="I1909" s="84" t="str">
        <f aca="false">IF(C1909="","",C1909*IF(Settings!$B$22=Settings!$C$6,1,IF(Settings!$B$22="USD",1/INDEX(Settings!$B$29:$B$40,MONTH(A1909)),INDEX(Settings!$B$29:$B$40,MONTH(A1909)))))</f>
        <v/>
      </c>
    </row>
    <row r="1910" customFormat="false" ht="15" hidden="false" customHeight="false" outlineLevel="0" collapsed="false">
      <c r="H1910" s="0" t="str">
        <f aca="false">IF(B1910="","",IF(COUNTIF(Campaigns!$A$7:$A$300,B1910)&gt;0,"✓","⚠ add to Campaigns tab"))</f>
        <v/>
      </c>
      <c r="I1910" s="84" t="str">
        <f aca="false">IF(C1910="","",C1910*IF(Settings!$B$22=Settings!$C$6,1,IF(Settings!$B$22="USD",1/INDEX(Settings!$B$29:$B$40,MONTH(A1910)),INDEX(Settings!$B$29:$B$40,MONTH(A1910)))))</f>
        <v/>
      </c>
    </row>
    <row r="1911" customFormat="false" ht="15" hidden="false" customHeight="false" outlineLevel="0" collapsed="false">
      <c r="H1911" s="0" t="str">
        <f aca="false">IF(B1911="","",IF(COUNTIF(Campaigns!$A$7:$A$300,B1911)&gt;0,"✓","⚠ add to Campaigns tab"))</f>
        <v/>
      </c>
      <c r="I1911" s="84" t="str">
        <f aca="false">IF(C1911="","",C1911*IF(Settings!$B$22=Settings!$C$6,1,IF(Settings!$B$22="USD",1/INDEX(Settings!$B$29:$B$40,MONTH(A1911)),INDEX(Settings!$B$29:$B$40,MONTH(A1911)))))</f>
        <v/>
      </c>
    </row>
    <row r="1912" customFormat="false" ht="15" hidden="false" customHeight="false" outlineLevel="0" collapsed="false">
      <c r="H1912" s="0" t="str">
        <f aca="false">IF(B1912="","",IF(COUNTIF(Campaigns!$A$7:$A$300,B1912)&gt;0,"✓","⚠ add to Campaigns tab"))</f>
        <v/>
      </c>
      <c r="I1912" s="84" t="str">
        <f aca="false">IF(C1912="","",C1912*IF(Settings!$B$22=Settings!$C$6,1,IF(Settings!$B$22="USD",1/INDEX(Settings!$B$29:$B$40,MONTH(A1912)),INDEX(Settings!$B$29:$B$40,MONTH(A1912)))))</f>
        <v/>
      </c>
    </row>
    <row r="1913" customFormat="false" ht="15" hidden="false" customHeight="false" outlineLevel="0" collapsed="false">
      <c r="H1913" s="0" t="str">
        <f aca="false">IF(B1913="","",IF(COUNTIF(Campaigns!$A$7:$A$300,B1913)&gt;0,"✓","⚠ add to Campaigns tab"))</f>
        <v/>
      </c>
      <c r="I1913" s="84" t="str">
        <f aca="false">IF(C1913="","",C1913*IF(Settings!$B$22=Settings!$C$6,1,IF(Settings!$B$22="USD",1/INDEX(Settings!$B$29:$B$40,MONTH(A1913)),INDEX(Settings!$B$29:$B$40,MONTH(A1913)))))</f>
        <v/>
      </c>
    </row>
    <row r="1914" customFormat="false" ht="15" hidden="false" customHeight="false" outlineLevel="0" collapsed="false">
      <c r="H1914" s="0" t="str">
        <f aca="false">IF(B1914="","",IF(COUNTIF(Campaigns!$A$7:$A$300,B1914)&gt;0,"✓","⚠ add to Campaigns tab"))</f>
        <v/>
      </c>
      <c r="I1914" s="84" t="str">
        <f aca="false">IF(C1914="","",C1914*IF(Settings!$B$22=Settings!$C$6,1,IF(Settings!$B$22="USD",1/INDEX(Settings!$B$29:$B$40,MONTH(A1914)),INDEX(Settings!$B$29:$B$40,MONTH(A1914)))))</f>
        <v/>
      </c>
    </row>
    <row r="1915" customFormat="false" ht="15" hidden="false" customHeight="false" outlineLevel="0" collapsed="false">
      <c r="H1915" s="0" t="str">
        <f aca="false">IF(B1915="","",IF(COUNTIF(Campaigns!$A$7:$A$300,B1915)&gt;0,"✓","⚠ add to Campaigns tab"))</f>
        <v/>
      </c>
      <c r="I1915" s="84" t="str">
        <f aca="false">IF(C1915="","",C1915*IF(Settings!$B$22=Settings!$C$6,1,IF(Settings!$B$22="USD",1/INDEX(Settings!$B$29:$B$40,MONTH(A1915)),INDEX(Settings!$B$29:$B$40,MONTH(A1915)))))</f>
        <v/>
      </c>
    </row>
    <row r="1916" customFormat="false" ht="15" hidden="false" customHeight="false" outlineLevel="0" collapsed="false">
      <c r="H1916" s="0" t="str">
        <f aca="false">IF(B1916="","",IF(COUNTIF(Campaigns!$A$7:$A$300,B1916)&gt;0,"✓","⚠ add to Campaigns tab"))</f>
        <v/>
      </c>
      <c r="I1916" s="84" t="str">
        <f aca="false">IF(C1916="","",C1916*IF(Settings!$B$22=Settings!$C$6,1,IF(Settings!$B$22="USD",1/INDEX(Settings!$B$29:$B$40,MONTH(A1916)),INDEX(Settings!$B$29:$B$40,MONTH(A1916)))))</f>
        <v/>
      </c>
    </row>
    <row r="1917" customFormat="false" ht="15" hidden="false" customHeight="false" outlineLevel="0" collapsed="false">
      <c r="H1917" s="0" t="str">
        <f aca="false">IF(B1917="","",IF(COUNTIF(Campaigns!$A$7:$A$300,B1917)&gt;0,"✓","⚠ add to Campaigns tab"))</f>
        <v/>
      </c>
      <c r="I1917" s="84" t="str">
        <f aca="false">IF(C1917="","",C1917*IF(Settings!$B$22=Settings!$C$6,1,IF(Settings!$B$22="USD",1/INDEX(Settings!$B$29:$B$40,MONTH(A1917)),INDEX(Settings!$B$29:$B$40,MONTH(A1917)))))</f>
        <v/>
      </c>
    </row>
    <row r="1918" customFormat="false" ht="15" hidden="false" customHeight="false" outlineLevel="0" collapsed="false">
      <c r="H1918" s="0" t="str">
        <f aca="false">IF(B1918="","",IF(COUNTIF(Campaigns!$A$7:$A$300,B1918)&gt;0,"✓","⚠ add to Campaigns tab"))</f>
        <v/>
      </c>
      <c r="I1918" s="84" t="str">
        <f aca="false">IF(C1918="","",C1918*IF(Settings!$B$22=Settings!$C$6,1,IF(Settings!$B$22="USD",1/INDEX(Settings!$B$29:$B$40,MONTH(A1918)),INDEX(Settings!$B$29:$B$40,MONTH(A1918)))))</f>
        <v/>
      </c>
    </row>
    <row r="1919" customFormat="false" ht="15" hidden="false" customHeight="false" outlineLevel="0" collapsed="false">
      <c r="H1919" s="0" t="str">
        <f aca="false">IF(B1919="","",IF(COUNTIF(Campaigns!$A$7:$A$300,B1919)&gt;0,"✓","⚠ add to Campaigns tab"))</f>
        <v/>
      </c>
      <c r="I1919" s="84" t="str">
        <f aca="false">IF(C1919="","",C1919*IF(Settings!$B$22=Settings!$C$6,1,IF(Settings!$B$22="USD",1/INDEX(Settings!$B$29:$B$40,MONTH(A1919)),INDEX(Settings!$B$29:$B$40,MONTH(A1919)))))</f>
        <v/>
      </c>
    </row>
    <row r="1920" customFormat="false" ht="15" hidden="false" customHeight="false" outlineLevel="0" collapsed="false">
      <c r="H1920" s="0" t="str">
        <f aca="false">IF(B1920="","",IF(COUNTIF(Campaigns!$A$7:$A$300,B1920)&gt;0,"✓","⚠ add to Campaigns tab"))</f>
        <v/>
      </c>
      <c r="I1920" s="84" t="str">
        <f aca="false">IF(C1920="","",C1920*IF(Settings!$B$22=Settings!$C$6,1,IF(Settings!$B$22="USD",1/INDEX(Settings!$B$29:$B$40,MONTH(A1920)),INDEX(Settings!$B$29:$B$40,MONTH(A1920)))))</f>
        <v/>
      </c>
    </row>
    <row r="1921" customFormat="false" ht="15" hidden="false" customHeight="false" outlineLevel="0" collapsed="false">
      <c r="H1921" s="0" t="str">
        <f aca="false">IF(B1921="","",IF(COUNTIF(Campaigns!$A$7:$A$300,B1921)&gt;0,"✓","⚠ add to Campaigns tab"))</f>
        <v/>
      </c>
      <c r="I1921" s="84" t="str">
        <f aca="false">IF(C1921="","",C1921*IF(Settings!$B$22=Settings!$C$6,1,IF(Settings!$B$22="USD",1/INDEX(Settings!$B$29:$B$40,MONTH(A1921)),INDEX(Settings!$B$29:$B$40,MONTH(A1921)))))</f>
        <v/>
      </c>
    </row>
    <row r="1922" customFormat="false" ht="15" hidden="false" customHeight="false" outlineLevel="0" collapsed="false">
      <c r="H1922" s="0" t="str">
        <f aca="false">IF(B1922="","",IF(COUNTIF(Campaigns!$A$7:$A$300,B1922)&gt;0,"✓","⚠ add to Campaigns tab"))</f>
        <v/>
      </c>
      <c r="I1922" s="84" t="str">
        <f aca="false">IF(C1922="","",C1922*IF(Settings!$B$22=Settings!$C$6,1,IF(Settings!$B$22="USD",1/INDEX(Settings!$B$29:$B$40,MONTH(A1922)),INDEX(Settings!$B$29:$B$40,MONTH(A1922)))))</f>
        <v/>
      </c>
    </row>
    <row r="1923" customFormat="false" ht="15" hidden="false" customHeight="false" outlineLevel="0" collapsed="false">
      <c r="H1923" s="0" t="str">
        <f aca="false">IF(B1923="","",IF(COUNTIF(Campaigns!$A$7:$A$300,B1923)&gt;0,"✓","⚠ add to Campaigns tab"))</f>
        <v/>
      </c>
      <c r="I1923" s="84" t="str">
        <f aca="false">IF(C1923="","",C1923*IF(Settings!$B$22=Settings!$C$6,1,IF(Settings!$B$22="USD",1/INDEX(Settings!$B$29:$B$40,MONTH(A1923)),INDEX(Settings!$B$29:$B$40,MONTH(A1923)))))</f>
        <v/>
      </c>
    </row>
    <row r="1924" customFormat="false" ht="15" hidden="false" customHeight="false" outlineLevel="0" collapsed="false">
      <c r="H1924" s="0" t="str">
        <f aca="false">IF(B1924="","",IF(COUNTIF(Campaigns!$A$7:$A$300,B1924)&gt;0,"✓","⚠ add to Campaigns tab"))</f>
        <v/>
      </c>
      <c r="I1924" s="84" t="str">
        <f aca="false">IF(C1924="","",C1924*IF(Settings!$B$22=Settings!$C$6,1,IF(Settings!$B$22="USD",1/INDEX(Settings!$B$29:$B$40,MONTH(A1924)),INDEX(Settings!$B$29:$B$40,MONTH(A1924)))))</f>
        <v/>
      </c>
    </row>
    <row r="1925" customFormat="false" ht="15" hidden="false" customHeight="false" outlineLevel="0" collapsed="false">
      <c r="H1925" s="0" t="str">
        <f aca="false">IF(B1925="","",IF(COUNTIF(Campaigns!$A$7:$A$300,B1925)&gt;0,"✓","⚠ add to Campaigns tab"))</f>
        <v/>
      </c>
      <c r="I1925" s="84" t="str">
        <f aca="false">IF(C1925="","",C1925*IF(Settings!$B$22=Settings!$C$6,1,IF(Settings!$B$22="USD",1/INDEX(Settings!$B$29:$B$40,MONTH(A1925)),INDEX(Settings!$B$29:$B$40,MONTH(A1925)))))</f>
        <v/>
      </c>
    </row>
    <row r="1926" customFormat="false" ht="15" hidden="false" customHeight="false" outlineLevel="0" collapsed="false">
      <c r="H1926" s="0" t="str">
        <f aca="false">IF(B1926="","",IF(COUNTIF(Campaigns!$A$7:$A$300,B1926)&gt;0,"✓","⚠ add to Campaigns tab"))</f>
        <v/>
      </c>
      <c r="I1926" s="84" t="str">
        <f aca="false">IF(C1926="","",C1926*IF(Settings!$B$22=Settings!$C$6,1,IF(Settings!$B$22="USD",1/INDEX(Settings!$B$29:$B$40,MONTH(A1926)),INDEX(Settings!$B$29:$B$40,MONTH(A1926)))))</f>
        <v/>
      </c>
    </row>
    <row r="1927" customFormat="false" ht="15" hidden="false" customHeight="false" outlineLevel="0" collapsed="false">
      <c r="H1927" s="0" t="str">
        <f aca="false">IF(B1927="","",IF(COUNTIF(Campaigns!$A$7:$A$300,B1927)&gt;0,"✓","⚠ add to Campaigns tab"))</f>
        <v/>
      </c>
      <c r="I1927" s="84" t="str">
        <f aca="false">IF(C1927="","",C1927*IF(Settings!$B$22=Settings!$C$6,1,IF(Settings!$B$22="USD",1/INDEX(Settings!$B$29:$B$40,MONTH(A1927)),INDEX(Settings!$B$29:$B$40,MONTH(A1927)))))</f>
        <v/>
      </c>
    </row>
    <row r="1928" customFormat="false" ht="15" hidden="false" customHeight="false" outlineLevel="0" collapsed="false">
      <c r="H1928" s="0" t="str">
        <f aca="false">IF(B1928="","",IF(COUNTIF(Campaigns!$A$7:$A$300,B1928)&gt;0,"✓","⚠ add to Campaigns tab"))</f>
        <v/>
      </c>
      <c r="I1928" s="84" t="str">
        <f aca="false">IF(C1928="","",C1928*IF(Settings!$B$22=Settings!$C$6,1,IF(Settings!$B$22="USD",1/INDEX(Settings!$B$29:$B$40,MONTH(A1928)),INDEX(Settings!$B$29:$B$40,MONTH(A1928)))))</f>
        <v/>
      </c>
    </row>
    <row r="1929" customFormat="false" ht="15" hidden="false" customHeight="false" outlineLevel="0" collapsed="false">
      <c r="H1929" s="0" t="str">
        <f aca="false">IF(B1929="","",IF(COUNTIF(Campaigns!$A$7:$A$300,B1929)&gt;0,"✓","⚠ add to Campaigns tab"))</f>
        <v/>
      </c>
      <c r="I1929" s="84" t="str">
        <f aca="false">IF(C1929="","",C1929*IF(Settings!$B$22=Settings!$C$6,1,IF(Settings!$B$22="USD",1/INDEX(Settings!$B$29:$B$40,MONTH(A1929)),INDEX(Settings!$B$29:$B$40,MONTH(A1929)))))</f>
        <v/>
      </c>
    </row>
    <row r="1930" customFormat="false" ht="15" hidden="false" customHeight="false" outlineLevel="0" collapsed="false">
      <c r="H1930" s="0" t="str">
        <f aca="false">IF(B1930="","",IF(COUNTIF(Campaigns!$A$7:$A$300,B1930)&gt;0,"✓","⚠ add to Campaigns tab"))</f>
        <v/>
      </c>
      <c r="I1930" s="84" t="str">
        <f aca="false">IF(C1930="","",C1930*IF(Settings!$B$22=Settings!$C$6,1,IF(Settings!$B$22="USD",1/INDEX(Settings!$B$29:$B$40,MONTH(A1930)),INDEX(Settings!$B$29:$B$40,MONTH(A1930)))))</f>
        <v/>
      </c>
    </row>
    <row r="1931" customFormat="false" ht="15" hidden="false" customHeight="false" outlineLevel="0" collapsed="false">
      <c r="H1931" s="0" t="str">
        <f aca="false">IF(B1931="","",IF(COUNTIF(Campaigns!$A$7:$A$300,B1931)&gt;0,"✓","⚠ add to Campaigns tab"))</f>
        <v/>
      </c>
      <c r="I1931" s="84" t="str">
        <f aca="false">IF(C1931="","",C1931*IF(Settings!$B$22=Settings!$C$6,1,IF(Settings!$B$22="USD",1/INDEX(Settings!$B$29:$B$40,MONTH(A1931)),INDEX(Settings!$B$29:$B$40,MONTH(A1931)))))</f>
        <v/>
      </c>
    </row>
    <row r="1932" customFormat="false" ht="15" hidden="false" customHeight="false" outlineLevel="0" collapsed="false">
      <c r="H1932" s="0" t="str">
        <f aca="false">IF(B1932="","",IF(COUNTIF(Campaigns!$A$7:$A$300,B1932)&gt;0,"✓","⚠ add to Campaigns tab"))</f>
        <v/>
      </c>
      <c r="I1932" s="84" t="str">
        <f aca="false">IF(C1932="","",C1932*IF(Settings!$B$22=Settings!$C$6,1,IF(Settings!$B$22="USD",1/INDEX(Settings!$B$29:$B$40,MONTH(A1932)),INDEX(Settings!$B$29:$B$40,MONTH(A1932)))))</f>
        <v/>
      </c>
    </row>
    <row r="1933" customFormat="false" ht="15" hidden="false" customHeight="false" outlineLevel="0" collapsed="false">
      <c r="H1933" s="0" t="str">
        <f aca="false">IF(B1933="","",IF(COUNTIF(Campaigns!$A$7:$A$300,B1933)&gt;0,"✓","⚠ add to Campaigns tab"))</f>
        <v/>
      </c>
      <c r="I1933" s="84" t="str">
        <f aca="false">IF(C1933="","",C1933*IF(Settings!$B$22=Settings!$C$6,1,IF(Settings!$B$22="USD",1/INDEX(Settings!$B$29:$B$40,MONTH(A1933)),INDEX(Settings!$B$29:$B$40,MONTH(A1933)))))</f>
        <v/>
      </c>
    </row>
    <row r="1934" customFormat="false" ht="15" hidden="false" customHeight="false" outlineLevel="0" collapsed="false">
      <c r="H1934" s="0" t="str">
        <f aca="false">IF(B1934="","",IF(COUNTIF(Campaigns!$A$7:$A$300,B1934)&gt;0,"✓","⚠ add to Campaigns tab"))</f>
        <v/>
      </c>
      <c r="I1934" s="84" t="str">
        <f aca="false">IF(C1934="","",C1934*IF(Settings!$B$22=Settings!$C$6,1,IF(Settings!$B$22="USD",1/INDEX(Settings!$B$29:$B$40,MONTH(A1934)),INDEX(Settings!$B$29:$B$40,MONTH(A1934)))))</f>
        <v/>
      </c>
    </row>
    <row r="1935" customFormat="false" ht="15" hidden="false" customHeight="false" outlineLevel="0" collapsed="false">
      <c r="H1935" s="0" t="str">
        <f aca="false">IF(B1935="","",IF(COUNTIF(Campaigns!$A$7:$A$300,B1935)&gt;0,"✓","⚠ add to Campaigns tab"))</f>
        <v/>
      </c>
      <c r="I1935" s="84" t="str">
        <f aca="false">IF(C1935="","",C1935*IF(Settings!$B$22=Settings!$C$6,1,IF(Settings!$B$22="USD",1/INDEX(Settings!$B$29:$B$40,MONTH(A1935)),INDEX(Settings!$B$29:$B$40,MONTH(A1935)))))</f>
        <v/>
      </c>
    </row>
    <row r="1936" customFormat="false" ht="15" hidden="false" customHeight="false" outlineLevel="0" collapsed="false">
      <c r="H1936" s="0" t="str">
        <f aca="false">IF(B1936="","",IF(COUNTIF(Campaigns!$A$7:$A$300,B1936)&gt;0,"✓","⚠ add to Campaigns tab"))</f>
        <v/>
      </c>
      <c r="I1936" s="84" t="str">
        <f aca="false">IF(C1936="","",C1936*IF(Settings!$B$22=Settings!$C$6,1,IF(Settings!$B$22="USD",1/INDEX(Settings!$B$29:$B$40,MONTH(A1936)),INDEX(Settings!$B$29:$B$40,MONTH(A1936)))))</f>
        <v/>
      </c>
    </row>
    <row r="1937" customFormat="false" ht="15" hidden="false" customHeight="false" outlineLevel="0" collapsed="false">
      <c r="H1937" s="0" t="str">
        <f aca="false">IF(B1937="","",IF(COUNTIF(Campaigns!$A$7:$A$300,B1937)&gt;0,"✓","⚠ add to Campaigns tab"))</f>
        <v/>
      </c>
      <c r="I1937" s="84" t="str">
        <f aca="false">IF(C1937="","",C1937*IF(Settings!$B$22=Settings!$C$6,1,IF(Settings!$B$22="USD",1/INDEX(Settings!$B$29:$B$40,MONTH(A1937)),INDEX(Settings!$B$29:$B$40,MONTH(A1937)))))</f>
        <v/>
      </c>
    </row>
    <row r="1938" customFormat="false" ht="15" hidden="false" customHeight="false" outlineLevel="0" collapsed="false">
      <c r="H1938" s="0" t="str">
        <f aca="false">IF(B1938="","",IF(COUNTIF(Campaigns!$A$7:$A$300,B1938)&gt;0,"✓","⚠ add to Campaigns tab"))</f>
        <v/>
      </c>
      <c r="I1938" s="84" t="str">
        <f aca="false">IF(C1938="","",C1938*IF(Settings!$B$22=Settings!$C$6,1,IF(Settings!$B$22="USD",1/INDEX(Settings!$B$29:$B$40,MONTH(A1938)),INDEX(Settings!$B$29:$B$40,MONTH(A1938)))))</f>
        <v/>
      </c>
    </row>
    <row r="1939" customFormat="false" ht="15" hidden="false" customHeight="false" outlineLevel="0" collapsed="false">
      <c r="H1939" s="0" t="str">
        <f aca="false">IF(B1939="","",IF(COUNTIF(Campaigns!$A$7:$A$300,B1939)&gt;0,"✓","⚠ add to Campaigns tab"))</f>
        <v/>
      </c>
      <c r="I1939" s="84" t="str">
        <f aca="false">IF(C1939="","",C1939*IF(Settings!$B$22=Settings!$C$6,1,IF(Settings!$B$22="USD",1/INDEX(Settings!$B$29:$B$40,MONTH(A1939)),INDEX(Settings!$B$29:$B$40,MONTH(A1939)))))</f>
        <v/>
      </c>
    </row>
    <row r="1940" customFormat="false" ht="15" hidden="false" customHeight="false" outlineLevel="0" collapsed="false">
      <c r="H1940" s="0" t="str">
        <f aca="false">IF(B1940="","",IF(COUNTIF(Campaigns!$A$7:$A$300,B1940)&gt;0,"✓","⚠ add to Campaigns tab"))</f>
        <v/>
      </c>
      <c r="I1940" s="84" t="str">
        <f aca="false">IF(C1940="","",C1940*IF(Settings!$B$22=Settings!$C$6,1,IF(Settings!$B$22="USD",1/INDEX(Settings!$B$29:$B$40,MONTH(A1940)),INDEX(Settings!$B$29:$B$40,MONTH(A1940)))))</f>
        <v/>
      </c>
    </row>
    <row r="1941" customFormat="false" ht="15" hidden="false" customHeight="false" outlineLevel="0" collapsed="false">
      <c r="H1941" s="0" t="str">
        <f aca="false">IF(B1941="","",IF(COUNTIF(Campaigns!$A$7:$A$300,B1941)&gt;0,"✓","⚠ add to Campaigns tab"))</f>
        <v/>
      </c>
      <c r="I1941" s="84" t="str">
        <f aca="false">IF(C1941="","",C1941*IF(Settings!$B$22=Settings!$C$6,1,IF(Settings!$B$22="USD",1/INDEX(Settings!$B$29:$B$40,MONTH(A1941)),INDEX(Settings!$B$29:$B$40,MONTH(A1941)))))</f>
        <v/>
      </c>
    </row>
    <row r="1942" customFormat="false" ht="15" hidden="false" customHeight="false" outlineLevel="0" collapsed="false">
      <c r="H1942" s="0" t="str">
        <f aca="false">IF(B1942="","",IF(COUNTIF(Campaigns!$A$7:$A$300,B1942)&gt;0,"✓","⚠ add to Campaigns tab"))</f>
        <v/>
      </c>
      <c r="I1942" s="84" t="str">
        <f aca="false">IF(C1942="","",C1942*IF(Settings!$B$22=Settings!$C$6,1,IF(Settings!$B$22="USD",1/INDEX(Settings!$B$29:$B$40,MONTH(A1942)),INDEX(Settings!$B$29:$B$40,MONTH(A1942)))))</f>
        <v/>
      </c>
    </row>
    <row r="1943" customFormat="false" ht="15" hidden="false" customHeight="false" outlineLevel="0" collapsed="false">
      <c r="H1943" s="0" t="str">
        <f aca="false">IF(B1943="","",IF(COUNTIF(Campaigns!$A$7:$A$300,B1943)&gt;0,"✓","⚠ add to Campaigns tab"))</f>
        <v/>
      </c>
      <c r="I1943" s="84" t="str">
        <f aca="false">IF(C1943="","",C1943*IF(Settings!$B$22=Settings!$C$6,1,IF(Settings!$B$22="USD",1/INDEX(Settings!$B$29:$B$40,MONTH(A1943)),INDEX(Settings!$B$29:$B$40,MONTH(A1943)))))</f>
        <v/>
      </c>
    </row>
    <row r="1944" customFormat="false" ht="15" hidden="false" customHeight="false" outlineLevel="0" collapsed="false">
      <c r="H1944" s="0" t="str">
        <f aca="false">IF(B1944="","",IF(COUNTIF(Campaigns!$A$7:$A$300,B1944)&gt;0,"✓","⚠ add to Campaigns tab"))</f>
        <v/>
      </c>
      <c r="I1944" s="84" t="str">
        <f aca="false">IF(C1944="","",C1944*IF(Settings!$B$22=Settings!$C$6,1,IF(Settings!$B$22="USD",1/INDEX(Settings!$B$29:$B$40,MONTH(A1944)),INDEX(Settings!$B$29:$B$40,MONTH(A1944)))))</f>
        <v/>
      </c>
    </row>
    <row r="1945" customFormat="false" ht="15" hidden="false" customHeight="false" outlineLevel="0" collapsed="false">
      <c r="H1945" s="0" t="str">
        <f aca="false">IF(B1945="","",IF(COUNTIF(Campaigns!$A$7:$A$300,B1945)&gt;0,"✓","⚠ add to Campaigns tab"))</f>
        <v/>
      </c>
      <c r="I1945" s="84" t="str">
        <f aca="false">IF(C1945="","",C1945*IF(Settings!$B$22=Settings!$C$6,1,IF(Settings!$B$22="USD",1/INDEX(Settings!$B$29:$B$40,MONTH(A1945)),INDEX(Settings!$B$29:$B$40,MONTH(A1945)))))</f>
        <v/>
      </c>
    </row>
    <row r="1946" customFormat="false" ht="15" hidden="false" customHeight="false" outlineLevel="0" collapsed="false">
      <c r="H1946" s="0" t="str">
        <f aca="false">IF(B1946="","",IF(COUNTIF(Campaigns!$A$7:$A$300,B1946)&gt;0,"✓","⚠ add to Campaigns tab"))</f>
        <v/>
      </c>
      <c r="I1946" s="84" t="str">
        <f aca="false">IF(C1946="","",C1946*IF(Settings!$B$22=Settings!$C$6,1,IF(Settings!$B$22="USD",1/INDEX(Settings!$B$29:$B$40,MONTH(A1946)),INDEX(Settings!$B$29:$B$40,MONTH(A1946)))))</f>
        <v/>
      </c>
    </row>
    <row r="1947" customFormat="false" ht="15" hidden="false" customHeight="false" outlineLevel="0" collapsed="false">
      <c r="H1947" s="0" t="str">
        <f aca="false">IF(B1947="","",IF(COUNTIF(Campaigns!$A$7:$A$300,B1947)&gt;0,"✓","⚠ add to Campaigns tab"))</f>
        <v/>
      </c>
      <c r="I1947" s="84" t="str">
        <f aca="false">IF(C1947="","",C1947*IF(Settings!$B$22=Settings!$C$6,1,IF(Settings!$B$22="USD",1/INDEX(Settings!$B$29:$B$40,MONTH(A1947)),INDEX(Settings!$B$29:$B$40,MONTH(A1947)))))</f>
        <v/>
      </c>
    </row>
    <row r="1948" customFormat="false" ht="15" hidden="false" customHeight="false" outlineLevel="0" collapsed="false">
      <c r="H1948" s="0" t="str">
        <f aca="false">IF(B1948="","",IF(COUNTIF(Campaigns!$A$7:$A$300,B1948)&gt;0,"✓","⚠ add to Campaigns tab"))</f>
        <v/>
      </c>
      <c r="I1948" s="84" t="str">
        <f aca="false">IF(C1948="","",C1948*IF(Settings!$B$22=Settings!$C$6,1,IF(Settings!$B$22="USD",1/INDEX(Settings!$B$29:$B$40,MONTH(A1948)),INDEX(Settings!$B$29:$B$40,MONTH(A1948)))))</f>
        <v/>
      </c>
    </row>
    <row r="1949" customFormat="false" ht="15" hidden="false" customHeight="false" outlineLevel="0" collapsed="false">
      <c r="H1949" s="0" t="str">
        <f aca="false">IF(B1949="","",IF(COUNTIF(Campaigns!$A$7:$A$300,B1949)&gt;0,"✓","⚠ add to Campaigns tab"))</f>
        <v/>
      </c>
      <c r="I1949" s="84" t="str">
        <f aca="false">IF(C1949="","",C1949*IF(Settings!$B$22=Settings!$C$6,1,IF(Settings!$B$22="USD",1/INDEX(Settings!$B$29:$B$40,MONTH(A1949)),INDEX(Settings!$B$29:$B$40,MONTH(A1949)))))</f>
        <v/>
      </c>
    </row>
    <row r="1950" customFormat="false" ht="15" hidden="false" customHeight="false" outlineLevel="0" collapsed="false">
      <c r="H1950" s="0" t="str">
        <f aca="false">IF(B1950="","",IF(COUNTIF(Campaigns!$A$7:$A$300,B1950)&gt;0,"✓","⚠ add to Campaigns tab"))</f>
        <v/>
      </c>
      <c r="I1950" s="84" t="str">
        <f aca="false">IF(C1950="","",C1950*IF(Settings!$B$22=Settings!$C$6,1,IF(Settings!$B$22="USD",1/INDEX(Settings!$B$29:$B$40,MONTH(A1950)),INDEX(Settings!$B$29:$B$40,MONTH(A1950)))))</f>
        <v/>
      </c>
    </row>
    <row r="1951" customFormat="false" ht="15" hidden="false" customHeight="false" outlineLevel="0" collapsed="false">
      <c r="H1951" s="0" t="str">
        <f aca="false">IF(B1951="","",IF(COUNTIF(Campaigns!$A$7:$A$300,B1951)&gt;0,"✓","⚠ add to Campaigns tab"))</f>
        <v/>
      </c>
      <c r="I1951" s="84" t="str">
        <f aca="false">IF(C1951="","",C1951*IF(Settings!$B$22=Settings!$C$6,1,IF(Settings!$B$22="USD",1/INDEX(Settings!$B$29:$B$40,MONTH(A1951)),INDEX(Settings!$B$29:$B$40,MONTH(A1951)))))</f>
        <v/>
      </c>
    </row>
    <row r="1952" customFormat="false" ht="15" hidden="false" customHeight="false" outlineLevel="0" collapsed="false">
      <c r="H1952" s="0" t="str">
        <f aca="false">IF(B1952="","",IF(COUNTIF(Campaigns!$A$7:$A$300,B1952)&gt;0,"✓","⚠ add to Campaigns tab"))</f>
        <v/>
      </c>
      <c r="I1952" s="84" t="str">
        <f aca="false">IF(C1952="","",C1952*IF(Settings!$B$22=Settings!$C$6,1,IF(Settings!$B$22="USD",1/INDEX(Settings!$B$29:$B$40,MONTH(A1952)),INDEX(Settings!$B$29:$B$40,MONTH(A1952)))))</f>
        <v/>
      </c>
    </row>
    <row r="1953" customFormat="false" ht="15" hidden="false" customHeight="false" outlineLevel="0" collapsed="false">
      <c r="H1953" s="0" t="str">
        <f aca="false">IF(B1953="","",IF(COUNTIF(Campaigns!$A$7:$A$300,B1953)&gt;0,"✓","⚠ add to Campaigns tab"))</f>
        <v/>
      </c>
      <c r="I1953" s="84" t="str">
        <f aca="false">IF(C1953="","",C1953*IF(Settings!$B$22=Settings!$C$6,1,IF(Settings!$B$22="USD",1/INDEX(Settings!$B$29:$B$40,MONTH(A1953)),INDEX(Settings!$B$29:$B$40,MONTH(A1953)))))</f>
        <v/>
      </c>
    </row>
    <row r="1954" customFormat="false" ht="15" hidden="false" customHeight="false" outlineLevel="0" collapsed="false">
      <c r="H1954" s="0" t="str">
        <f aca="false">IF(B1954="","",IF(COUNTIF(Campaigns!$A$7:$A$300,B1954)&gt;0,"✓","⚠ add to Campaigns tab"))</f>
        <v/>
      </c>
      <c r="I1954" s="84" t="str">
        <f aca="false">IF(C1954="","",C1954*IF(Settings!$B$22=Settings!$C$6,1,IF(Settings!$B$22="USD",1/INDEX(Settings!$B$29:$B$40,MONTH(A1954)),INDEX(Settings!$B$29:$B$40,MONTH(A1954)))))</f>
        <v/>
      </c>
    </row>
    <row r="1955" customFormat="false" ht="15" hidden="false" customHeight="false" outlineLevel="0" collapsed="false">
      <c r="H1955" s="0" t="str">
        <f aca="false">IF(B1955="","",IF(COUNTIF(Campaigns!$A$7:$A$300,B1955)&gt;0,"✓","⚠ add to Campaigns tab"))</f>
        <v/>
      </c>
      <c r="I1955" s="84" t="str">
        <f aca="false">IF(C1955="","",C1955*IF(Settings!$B$22=Settings!$C$6,1,IF(Settings!$B$22="USD",1/INDEX(Settings!$B$29:$B$40,MONTH(A1955)),INDEX(Settings!$B$29:$B$40,MONTH(A1955)))))</f>
        <v/>
      </c>
    </row>
    <row r="1956" customFormat="false" ht="15" hidden="false" customHeight="false" outlineLevel="0" collapsed="false">
      <c r="H1956" s="0" t="str">
        <f aca="false">IF(B1956="","",IF(COUNTIF(Campaigns!$A$7:$A$300,B1956)&gt;0,"✓","⚠ add to Campaigns tab"))</f>
        <v/>
      </c>
      <c r="I1956" s="84" t="str">
        <f aca="false">IF(C1956="","",C1956*IF(Settings!$B$22=Settings!$C$6,1,IF(Settings!$B$22="USD",1/INDEX(Settings!$B$29:$B$40,MONTH(A1956)),INDEX(Settings!$B$29:$B$40,MONTH(A1956)))))</f>
        <v/>
      </c>
    </row>
    <row r="1957" customFormat="false" ht="15" hidden="false" customHeight="false" outlineLevel="0" collapsed="false">
      <c r="H1957" s="0" t="str">
        <f aca="false">IF(B1957="","",IF(COUNTIF(Campaigns!$A$7:$A$300,B1957)&gt;0,"✓","⚠ add to Campaigns tab"))</f>
        <v/>
      </c>
      <c r="I1957" s="84" t="str">
        <f aca="false">IF(C1957="","",C1957*IF(Settings!$B$22=Settings!$C$6,1,IF(Settings!$B$22="USD",1/INDEX(Settings!$B$29:$B$40,MONTH(A1957)),INDEX(Settings!$B$29:$B$40,MONTH(A1957)))))</f>
        <v/>
      </c>
    </row>
    <row r="1958" customFormat="false" ht="15" hidden="false" customHeight="false" outlineLevel="0" collapsed="false">
      <c r="H1958" s="0" t="str">
        <f aca="false">IF(B1958="","",IF(COUNTIF(Campaigns!$A$7:$A$300,B1958)&gt;0,"✓","⚠ add to Campaigns tab"))</f>
        <v/>
      </c>
      <c r="I1958" s="84" t="str">
        <f aca="false">IF(C1958="","",C1958*IF(Settings!$B$22=Settings!$C$6,1,IF(Settings!$B$22="USD",1/INDEX(Settings!$B$29:$B$40,MONTH(A1958)),INDEX(Settings!$B$29:$B$40,MONTH(A1958)))))</f>
        <v/>
      </c>
    </row>
    <row r="1959" customFormat="false" ht="15" hidden="false" customHeight="false" outlineLevel="0" collapsed="false">
      <c r="H1959" s="0" t="str">
        <f aca="false">IF(B1959="","",IF(COUNTIF(Campaigns!$A$7:$A$300,B1959)&gt;0,"✓","⚠ add to Campaigns tab"))</f>
        <v/>
      </c>
      <c r="I1959" s="84" t="str">
        <f aca="false">IF(C1959="","",C1959*IF(Settings!$B$22=Settings!$C$6,1,IF(Settings!$B$22="USD",1/INDEX(Settings!$B$29:$B$40,MONTH(A1959)),INDEX(Settings!$B$29:$B$40,MONTH(A1959)))))</f>
        <v/>
      </c>
    </row>
    <row r="1960" customFormat="false" ht="15" hidden="false" customHeight="false" outlineLevel="0" collapsed="false">
      <c r="H1960" s="0" t="str">
        <f aca="false">IF(B1960="","",IF(COUNTIF(Campaigns!$A$7:$A$300,B1960)&gt;0,"✓","⚠ add to Campaigns tab"))</f>
        <v/>
      </c>
      <c r="I1960" s="84" t="str">
        <f aca="false">IF(C1960="","",C1960*IF(Settings!$B$22=Settings!$C$6,1,IF(Settings!$B$22="USD",1/INDEX(Settings!$B$29:$B$40,MONTH(A1960)),INDEX(Settings!$B$29:$B$40,MONTH(A1960)))))</f>
        <v/>
      </c>
    </row>
    <row r="1961" customFormat="false" ht="15" hidden="false" customHeight="false" outlineLevel="0" collapsed="false">
      <c r="H1961" s="0" t="str">
        <f aca="false">IF(B1961="","",IF(COUNTIF(Campaigns!$A$7:$A$300,B1961)&gt;0,"✓","⚠ add to Campaigns tab"))</f>
        <v/>
      </c>
      <c r="I1961" s="84" t="str">
        <f aca="false">IF(C1961="","",C1961*IF(Settings!$B$22=Settings!$C$6,1,IF(Settings!$B$22="USD",1/INDEX(Settings!$B$29:$B$40,MONTH(A1961)),INDEX(Settings!$B$29:$B$40,MONTH(A1961)))))</f>
        <v/>
      </c>
    </row>
    <row r="1962" customFormat="false" ht="15" hidden="false" customHeight="false" outlineLevel="0" collapsed="false">
      <c r="H1962" s="0" t="str">
        <f aca="false">IF(B1962="","",IF(COUNTIF(Campaigns!$A$7:$A$300,B1962)&gt;0,"✓","⚠ add to Campaigns tab"))</f>
        <v/>
      </c>
      <c r="I1962" s="84" t="str">
        <f aca="false">IF(C1962="","",C1962*IF(Settings!$B$22=Settings!$C$6,1,IF(Settings!$B$22="USD",1/INDEX(Settings!$B$29:$B$40,MONTH(A1962)),INDEX(Settings!$B$29:$B$40,MONTH(A1962)))))</f>
        <v/>
      </c>
    </row>
    <row r="1963" customFormat="false" ht="15" hidden="false" customHeight="false" outlineLevel="0" collapsed="false">
      <c r="H1963" s="0" t="str">
        <f aca="false">IF(B1963="","",IF(COUNTIF(Campaigns!$A$7:$A$300,B1963)&gt;0,"✓","⚠ add to Campaigns tab"))</f>
        <v/>
      </c>
      <c r="I1963" s="84" t="str">
        <f aca="false">IF(C1963="","",C1963*IF(Settings!$B$22=Settings!$C$6,1,IF(Settings!$B$22="USD",1/INDEX(Settings!$B$29:$B$40,MONTH(A1963)),INDEX(Settings!$B$29:$B$40,MONTH(A1963)))))</f>
        <v/>
      </c>
    </row>
    <row r="1964" customFormat="false" ht="15" hidden="false" customHeight="false" outlineLevel="0" collapsed="false">
      <c r="H1964" s="0" t="str">
        <f aca="false">IF(B1964="","",IF(COUNTIF(Campaigns!$A$7:$A$300,B1964)&gt;0,"✓","⚠ add to Campaigns tab"))</f>
        <v/>
      </c>
      <c r="I1964" s="84" t="str">
        <f aca="false">IF(C1964="","",C1964*IF(Settings!$B$22=Settings!$C$6,1,IF(Settings!$B$22="USD",1/INDEX(Settings!$B$29:$B$40,MONTH(A1964)),INDEX(Settings!$B$29:$B$40,MONTH(A1964)))))</f>
        <v/>
      </c>
    </row>
    <row r="1965" customFormat="false" ht="15" hidden="false" customHeight="false" outlineLevel="0" collapsed="false">
      <c r="H1965" s="0" t="str">
        <f aca="false">IF(B1965="","",IF(COUNTIF(Campaigns!$A$7:$A$300,B1965)&gt;0,"✓","⚠ add to Campaigns tab"))</f>
        <v/>
      </c>
      <c r="I1965" s="84" t="str">
        <f aca="false">IF(C1965="","",C1965*IF(Settings!$B$22=Settings!$C$6,1,IF(Settings!$B$22="USD",1/INDEX(Settings!$B$29:$B$40,MONTH(A1965)),INDEX(Settings!$B$29:$B$40,MONTH(A1965)))))</f>
        <v/>
      </c>
    </row>
    <row r="1966" customFormat="false" ht="15" hidden="false" customHeight="false" outlineLevel="0" collapsed="false">
      <c r="H1966" s="0" t="str">
        <f aca="false">IF(B1966="","",IF(COUNTIF(Campaigns!$A$7:$A$300,B1966)&gt;0,"✓","⚠ add to Campaigns tab"))</f>
        <v/>
      </c>
      <c r="I1966" s="84" t="str">
        <f aca="false">IF(C1966="","",C1966*IF(Settings!$B$22=Settings!$C$6,1,IF(Settings!$B$22="USD",1/INDEX(Settings!$B$29:$B$40,MONTH(A1966)),INDEX(Settings!$B$29:$B$40,MONTH(A1966)))))</f>
        <v/>
      </c>
    </row>
    <row r="1967" customFormat="false" ht="15" hidden="false" customHeight="false" outlineLevel="0" collapsed="false">
      <c r="H1967" s="0" t="str">
        <f aca="false">IF(B1967="","",IF(COUNTIF(Campaigns!$A$7:$A$300,B1967)&gt;0,"✓","⚠ add to Campaigns tab"))</f>
        <v/>
      </c>
      <c r="I1967" s="84" t="str">
        <f aca="false">IF(C1967="","",C1967*IF(Settings!$B$22=Settings!$C$6,1,IF(Settings!$B$22="USD",1/INDEX(Settings!$B$29:$B$40,MONTH(A1967)),INDEX(Settings!$B$29:$B$40,MONTH(A1967)))))</f>
        <v/>
      </c>
    </row>
    <row r="1968" customFormat="false" ht="15" hidden="false" customHeight="false" outlineLevel="0" collapsed="false">
      <c r="H1968" s="0" t="str">
        <f aca="false">IF(B1968="","",IF(COUNTIF(Campaigns!$A$7:$A$300,B1968)&gt;0,"✓","⚠ add to Campaigns tab"))</f>
        <v/>
      </c>
      <c r="I1968" s="84" t="str">
        <f aca="false">IF(C1968="","",C1968*IF(Settings!$B$22=Settings!$C$6,1,IF(Settings!$B$22="USD",1/INDEX(Settings!$B$29:$B$40,MONTH(A1968)),INDEX(Settings!$B$29:$B$40,MONTH(A1968)))))</f>
        <v/>
      </c>
    </row>
    <row r="1969" customFormat="false" ht="15" hidden="false" customHeight="false" outlineLevel="0" collapsed="false">
      <c r="H1969" s="0" t="str">
        <f aca="false">IF(B1969="","",IF(COUNTIF(Campaigns!$A$7:$A$300,B1969)&gt;0,"✓","⚠ add to Campaigns tab"))</f>
        <v/>
      </c>
      <c r="I1969" s="84" t="str">
        <f aca="false">IF(C1969="","",C1969*IF(Settings!$B$22=Settings!$C$6,1,IF(Settings!$B$22="USD",1/INDEX(Settings!$B$29:$B$40,MONTH(A1969)),INDEX(Settings!$B$29:$B$40,MONTH(A1969)))))</f>
        <v/>
      </c>
    </row>
    <row r="1970" customFormat="false" ht="15" hidden="false" customHeight="false" outlineLevel="0" collapsed="false">
      <c r="H1970" s="0" t="str">
        <f aca="false">IF(B1970="","",IF(COUNTIF(Campaigns!$A$7:$A$300,B1970)&gt;0,"✓","⚠ add to Campaigns tab"))</f>
        <v/>
      </c>
      <c r="I1970" s="84" t="str">
        <f aca="false">IF(C1970="","",C1970*IF(Settings!$B$22=Settings!$C$6,1,IF(Settings!$B$22="USD",1/INDEX(Settings!$B$29:$B$40,MONTH(A1970)),INDEX(Settings!$B$29:$B$40,MONTH(A1970)))))</f>
        <v/>
      </c>
    </row>
    <row r="1971" customFormat="false" ht="15" hidden="false" customHeight="false" outlineLevel="0" collapsed="false">
      <c r="H1971" s="0" t="str">
        <f aca="false">IF(B1971="","",IF(COUNTIF(Campaigns!$A$7:$A$300,B1971)&gt;0,"✓","⚠ add to Campaigns tab"))</f>
        <v/>
      </c>
      <c r="I1971" s="84" t="str">
        <f aca="false">IF(C1971="","",C1971*IF(Settings!$B$22=Settings!$C$6,1,IF(Settings!$B$22="USD",1/INDEX(Settings!$B$29:$B$40,MONTH(A1971)),INDEX(Settings!$B$29:$B$40,MONTH(A1971)))))</f>
        <v/>
      </c>
    </row>
    <row r="1972" customFormat="false" ht="15" hidden="false" customHeight="false" outlineLevel="0" collapsed="false">
      <c r="H1972" s="0" t="str">
        <f aca="false">IF(B1972="","",IF(COUNTIF(Campaigns!$A$7:$A$300,B1972)&gt;0,"✓","⚠ add to Campaigns tab"))</f>
        <v/>
      </c>
      <c r="I1972" s="84" t="str">
        <f aca="false">IF(C1972="","",C1972*IF(Settings!$B$22=Settings!$C$6,1,IF(Settings!$B$22="USD",1/INDEX(Settings!$B$29:$B$40,MONTH(A1972)),INDEX(Settings!$B$29:$B$40,MONTH(A1972)))))</f>
        <v/>
      </c>
    </row>
    <row r="1973" customFormat="false" ht="15" hidden="false" customHeight="false" outlineLevel="0" collapsed="false">
      <c r="H1973" s="0" t="str">
        <f aca="false">IF(B1973="","",IF(COUNTIF(Campaigns!$A$7:$A$300,B1973)&gt;0,"✓","⚠ add to Campaigns tab"))</f>
        <v/>
      </c>
      <c r="I1973" s="84" t="str">
        <f aca="false">IF(C1973="","",C1973*IF(Settings!$B$22=Settings!$C$6,1,IF(Settings!$B$22="USD",1/INDEX(Settings!$B$29:$B$40,MONTH(A1973)),INDEX(Settings!$B$29:$B$40,MONTH(A1973)))))</f>
        <v/>
      </c>
    </row>
    <row r="1974" customFormat="false" ht="15" hidden="false" customHeight="false" outlineLevel="0" collapsed="false">
      <c r="H1974" s="0" t="str">
        <f aca="false">IF(B1974="","",IF(COUNTIF(Campaigns!$A$7:$A$300,B1974)&gt;0,"✓","⚠ add to Campaigns tab"))</f>
        <v/>
      </c>
      <c r="I1974" s="84" t="str">
        <f aca="false">IF(C1974="","",C1974*IF(Settings!$B$22=Settings!$C$6,1,IF(Settings!$B$22="USD",1/INDEX(Settings!$B$29:$B$40,MONTH(A1974)),INDEX(Settings!$B$29:$B$40,MONTH(A1974)))))</f>
        <v/>
      </c>
    </row>
    <row r="1975" customFormat="false" ht="15" hidden="false" customHeight="false" outlineLevel="0" collapsed="false">
      <c r="H1975" s="0" t="str">
        <f aca="false">IF(B1975="","",IF(COUNTIF(Campaigns!$A$7:$A$300,B1975)&gt;0,"✓","⚠ add to Campaigns tab"))</f>
        <v/>
      </c>
      <c r="I1975" s="84" t="str">
        <f aca="false">IF(C1975="","",C1975*IF(Settings!$B$22=Settings!$C$6,1,IF(Settings!$B$22="USD",1/INDEX(Settings!$B$29:$B$40,MONTH(A1975)),INDEX(Settings!$B$29:$B$40,MONTH(A1975)))))</f>
        <v/>
      </c>
    </row>
    <row r="1976" customFormat="false" ht="15" hidden="false" customHeight="false" outlineLevel="0" collapsed="false">
      <c r="H1976" s="0" t="str">
        <f aca="false">IF(B1976="","",IF(COUNTIF(Campaigns!$A$7:$A$300,B1976)&gt;0,"✓","⚠ add to Campaigns tab"))</f>
        <v/>
      </c>
      <c r="I1976" s="84" t="str">
        <f aca="false">IF(C1976="","",C1976*IF(Settings!$B$22=Settings!$C$6,1,IF(Settings!$B$22="USD",1/INDEX(Settings!$B$29:$B$40,MONTH(A1976)),INDEX(Settings!$B$29:$B$40,MONTH(A1976)))))</f>
        <v/>
      </c>
    </row>
    <row r="1977" customFormat="false" ht="15" hidden="false" customHeight="false" outlineLevel="0" collapsed="false">
      <c r="H1977" s="0" t="str">
        <f aca="false">IF(B1977="","",IF(COUNTIF(Campaigns!$A$7:$A$300,B1977)&gt;0,"✓","⚠ add to Campaigns tab"))</f>
        <v/>
      </c>
      <c r="I1977" s="84" t="str">
        <f aca="false">IF(C1977="","",C1977*IF(Settings!$B$22=Settings!$C$6,1,IF(Settings!$B$22="USD",1/INDEX(Settings!$B$29:$B$40,MONTH(A1977)),INDEX(Settings!$B$29:$B$40,MONTH(A1977)))))</f>
        <v/>
      </c>
    </row>
    <row r="1978" customFormat="false" ht="15" hidden="false" customHeight="false" outlineLevel="0" collapsed="false">
      <c r="H1978" s="0" t="str">
        <f aca="false">IF(B1978="","",IF(COUNTIF(Campaigns!$A$7:$A$300,B1978)&gt;0,"✓","⚠ add to Campaigns tab"))</f>
        <v/>
      </c>
      <c r="I1978" s="84" t="str">
        <f aca="false">IF(C1978="","",C1978*IF(Settings!$B$22=Settings!$C$6,1,IF(Settings!$B$22="USD",1/INDEX(Settings!$B$29:$B$40,MONTH(A1978)),INDEX(Settings!$B$29:$B$40,MONTH(A1978)))))</f>
        <v/>
      </c>
    </row>
    <row r="1979" customFormat="false" ht="15" hidden="false" customHeight="false" outlineLevel="0" collapsed="false">
      <c r="H1979" s="0" t="str">
        <f aca="false">IF(B1979="","",IF(COUNTIF(Campaigns!$A$7:$A$300,B1979)&gt;0,"✓","⚠ add to Campaigns tab"))</f>
        <v/>
      </c>
      <c r="I1979" s="84" t="str">
        <f aca="false">IF(C1979="","",C1979*IF(Settings!$B$22=Settings!$C$6,1,IF(Settings!$B$22="USD",1/INDEX(Settings!$B$29:$B$40,MONTH(A1979)),INDEX(Settings!$B$29:$B$40,MONTH(A1979)))))</f>
        <v/>
      </c>
    </row>
    <row r="1980" customFormat="false" ht="15" hidden="false" customHeight="false" outlineLevel="0" collapsed="false">
      <c r="H1980" s="0" t="str">
        <f aca="false">IF(B1980="","",IF(COUNTIF(Campaigns!$A$7:$A$300,B1980)&gt;0,"✓","⚠ add to Campaigns tab"))</f>
        <v/>
      </c>
      <c r="I1980" s="84" t="str">
        <f aca="false">IF(C1980="","",C1980*IF(Settings!$B$22=Settings!$C$6,1,IF(Settings!$B$22="USD",1/INDEX(Settings!$B$29:$B$40,MONTH(A1980)),INDEX(Settings!$B$29:$B$40,MONTH(A1980)))))</f>
        <v/>
      </c>
    </row>
    <row r="1981" customFormat="false" ht="15" hidden="false" customHeight="false" outlineLevel="0" collapsed="false">
      <c r="H1981" s="0" t="str">
        <f aca="false">IF(B1981="","",IF(COUNTIF(Campaigns!$A$7:$A$300,B1981)&gt;0,"✓","⚠ add to Campaigns tab"))</f>
        <v/>
      </c>
      <c r="I1981" s="84" t="str">
        <f aca="false">IF(C1981="","",C1981*IF(Settings!$B$22=Settings!$C$6,1,IF(Settings!$B$22="USD",1/INDEX(Settings!$B$29:$B$40,MONTH(A1981)),INDEX(Settings!$B$29:$B$40,MONTH(A1981)))))</f>
        <v/>
      </c>
    </row>
    <row r="1982" customFormat="false" ht="15" hidden="false" customHeight="false" outlineLevel="0" collapsed="false">
      <c r="H1982" s="0" t="str">
        <f aca="false">IF(B1982="","",IF(COUNTIF(Campaigns!$A$7:$A$300,B1982)&gt;0,"✓","⚠ add to Campaigns tab"))</f>
        <v/>
      </c>
      <c r="I1982" s="84" t="str">
        <f aca="false">IF(C1982="","",C1982*IF(Settings!$B$22=Settings!$C$6,1,IF(Settings!$B$22="USD",1/INDEX(Settings!$B$29:$B$40,MONTH(A1982)),INDEX(Settings!$B$29:$B$40,MONTH(A1982)))))</f>
        <v/>
      </c>
    </row>
    <row r="1983" customFormat="false" ht="15" hidden="false" customHeight="false" outlineLevel="0" collapsed="false">
      <c r="H1983" s="0" t="str">
        <f aca="false">IF(B1983="","",IF(COUNTIF(Campaigns!$A$7:$A$300,B1983)&gt;0,"✓","⚠ add to Campaigns tab"))</f>
        <v/>
      </c>
      <c r="I1983" s="84" t="str">
        <f aca="false">IF(C1983="","",C1983*IF(Settings!$B$22=Settings!$C$6,1,IF(Settings!$B$22="USD",1/INDEX(Settings!$B$29:$B$40,MONTH(A1983)),INDEX(Settings!$B$29:$B$40,MONTH(A1983)))))</f>
        <v/>
      </c>
    </row>
    <row r="1984" customFormat="false" ht="15" hidden="false" customHeight="false" outlineLevel="0" collapsed="false">
      <c r="H1984" s="0" t="str">
        <f aca="false">IF(B1984="","",IF(COUNTIF(Campaigns!$A$7:$A$300,B1984)&gt;0,"✓","⚠ add to Campaigns tab"))</f>
        <v/>
      </c>
      <c r="I1984" s="84" t="str">
        <f aca="false">IF(C1984="","",C1984*IF(Settings!$B$22=Settings!$C$6,1,IF(Settings!$B$22="USD",1/INDEX(Settings!$B$29:$B$40,MONTH(A1984)),INDEX(Settings!$B$29:$B$40,MONTH(A1984)))))</f>
        <v/>
      </c>
    </row>
    <row r="1985" customFormat="false" ht="15" hidden="false" customHeight="false" outlineLevel="0" collapsed="false">
      <c r="H1985" s="0" t="str">
        <f aca="false">IF(B1985="","",IF(COUNTIF(Campaigns!$A$7:$A$300,B1985)&gt;0,"✓","⚠ add to Campaigns tab"))</f>
        <v/>
      </c>
      <c r="I1985" s="84" t="str">
        <f aca="false">IF(C1985="","",C1985*IF(Settings!$B$22=Settings!$C$6,1,IF(Settings!$B$22="USD",1/INDEX(Settings!$B$29:$B$40,MONTH(A1985)),INDEX(Settings!$B$29:$B$40,MONTH(A1985)))))</f>
        <v/>
      </c>
    </row>
    <row r="1986" customFormat="false" ht="15" hidden="false" customHeight="false" outlineLevel="0" collapsed="false">
      <c r="H1986" s="0" t="str">
        <f aca="false">IF(B1986="","",IF(COUNTIF(Campaigns!$A$7:$A$300,B1986)&gt;0,"✓","⚠ add to Campaigns tab"))</f>
        <v/>
      </c>
      <c r="I1986" s="84" t="str">
        <f aca="false">IF(C1986="","",C1986*IF(Settings!$B$22=Settings!$C$6,1,IF(Settings!$B$22="USD",1/INDEX(Settings!$B$29:$B$40,MONTH(A1986)),INDEX(Settings!$B$29:$B$40,MONTH(A1986)))))</f>
        <v/>
      </c>
    </row>
    <row r="1987" customFormat="false" ht="15" hidden="false" customHeight="false" outlineLevel="0" collapsed="false">
      <c r="H1987" s="0" t="str">
        <f aca="false">IF(B1987="","",IF(COUNTIF(Campaigns!$A$7:$A$300,B1987)&gt;0,"✓","⚠ add to Campaigns tab"))</f>
        <v/>
      </c>
      <c r="I1987" s="84" t="str">
        <f aca="false">IF(C1987="","",C1987*IF(Settings!$B$22=Settings!$C$6,1,IF(Settings!$B$22="USD",1/INDEX(Settings!$B$29:$B$40,MONTH(A1987)),INDEX(Settings!$B$29:$B$40,MONTH(A1987)))))</f>
        <v/>
      </c>
    </row>
    <row r="1988" customFormat="false" ht="15" hidden="false" customHeight="false" outlineLevel="0" collapsed="false">
      <c r="H1988" s="0" t="str">
        <f aca="false">IF(B1988="","",IF(COUNTIF(Campaigns!$A$7:$A$300,B1988)&gt;0,"✓","⚠ add to Campaigns tab"))</f>
        <v/>
      </c>
      <c r="I1988" s="84" t="str">
        <f aca="false">IF(C1988="","",C1988*IF(Settings!$B$22=Settings!$C$6,1,IF(Settings!$B$22="USD",1/INDEX(Settings!$B$29:$B$40,MONTH(A1988)),INDEX(Settings!$B$29:$B$40,MONTH(A1988)))))</f>
        <v/>
      </c>
    </row>
    <row r="1989" customFormat="false" ht="15" hidden="false" customHeight="false" outlineLevel="0" collapsed="false">
      <c r="H1989" s="0" t="str">
        <f aca="false">IF(B1989="","",IF(COUNTIF(Campaigns!$A$7:$A$300,B1989)&gt;0,"✓","⚠ add to Campaigns tab"))</f>
        <v/>
      </c>
      <c r="I1989" s="84" t="str">
        <f aca="false">IF(C1989="","",C1989*IF(Settings!$B$22=Settings!$C$6,1,IF(Settings!$B$22="USD",1/INDEX(Settings!$B$29:$B$40,MONTH(A1989)),INDEX(Settings!$B$29:$B$40,MONTH(A1989)))))</f>
        <v/>
      </c>
    </row>
    <row r="1990" customFormat="false" ht="15" hidden="false" customHeight="false" outlineLevel="0" collapsed="false">
      <c r="H1990" s="0" t="str">
        <f aca="false">IF(B1990="","",IF(COUNTIF(Campaigns!$A$7:$A$300,B1990)&gt;0,"✓","⚠ add to Campaigns tab"))</f>
        <v/>
      </c>
      <c r="I1990" s="84" t="str">
        <f aca="false">IF(C1990="","",C1990*IF(Settings!$B$22=Settings!$C$6,1,IF(Settings!$B$22="USD",1/INDEX(Settings!$B$29:$B$40,MONTH(A1990)),INDEX(Settings!$B$29:$B$40,MONTH(A1990)))))</f>
        <v/>
      </c>
    </row>
    <row r="1991" customFormat="false" ht="15" hidden="false" customHeight="false" outlineLevel="0" collapsed="false">
      <c r="H1991" s="0" t="str">
        <f aca="false">IF(B1991="","",IF(COUNTIF(Campaigns!$A$7:$A$300,B1991)&gt;0,"✓","⚠ add to Campaigns tab"))</f>
        <v/>
      </c>
      <c r="I1991" s="84" t="str">
        <f aca="false">IF(C1991="","",C1991*IF(Settings!$B$22=Settings!$C$6,1,IF(Settings!$B$22="USD",1/INDEX(Settings!$B$29:$B$40,MONTH(A1991)),INDEX(Settings!$B$29:$B$40,MONTH(A1991)))))</f>
        <v/>
      </c>
    </row>
    <row r="1992" customFormat="false" ht="15" hidden="false" customHeight="false" outlineLevel="0" collapsed="false">
      <c r="H1992" s="0" t="str">
        <f aca="false">IF(B1992="","",IF(COUNTIF(Campaigns!$A$7:$A$300,B1992)&gt;0,"✓","⚠ add to Campaigns tab"))</f>
        <v/>
      </c>
      <c r="I1992" s="84" t="str">
        <f aca="false">IF(C1992="","",C1992*IF(Settings!$B$22=Settings!$C$6,1,IF(Settings!$B$22="USD",1/INDEX(Settings!$B$29:$B$40,MONTH(A1992)),INDEX(Settings!$B$29:$B$40,MONTH(A1992)))))</f>
        <v/>
      </c>
    </row>
    <row r="1993" customFormat="false" ht="15" hidden="false" customHeight="false" outlineLevel="0" collapsed="false">
      <c r="H1993" s="0" t="str">
        <f aca="false">IF(B1993="","",IF(COUNTIF(Campaigns!$A$7:$A$300,B1993)&gt;0,"✓","⚠ add to Campaigns tab"))</f>
        <v/>
      </c>
      <c r="I1993" s="84" t="str">
        <f aca="false">IF(C1993="","",C1993*IF(Settings!$B$22=Settings!$C$6,1,IF(Settings!$B$22="USD",1/INDEX(Settings!$B$29:$B$40,MONTH(A1993)),INDEX(Settings!$B$29:$B$40,MONTH(A1993)))))</f>
        <v/>
      </c>
    </row>
    <row r="1994" customFormat="false" ht="15" hidden="false" customHeight="false" outlineLevel="0" collapsed="false">
      <c r="H1994" s="0" t="str">
        <f aca="false">IF(B1994="","",IF(COUNTIF(Campaigns!$A$7:$A$300,B1994)&gt;0,"✓","⚠ add to Campaigns tab"))</f>
        <v/>
      </c>
      <c r="I1994" s="84" t="str">
        <f aca="false">IF(C1994="","",C1994*IF(Settings!$B$22=Settings!$C$6,1,IF(Settings!$B$22="USD",1/INDEX(Settings!$B$29:$B$40,MONTH(A1994)),INDEX(Settings!$B$29:$B$40,MONTH(A1994)))))</f>
        <v/>
      </c>
    </row>
    <row r="1995" customFormat="false" ht="15" hidden="false" customHeight="false" outlineLevel="0" collapsed="false">
      <c r="H1995" s="0" t="str">
        <f aca="false">IF(B1995="","",IF(COUNTIF(Campaigns!$A$7:$A$300,B1995)&gt;0,"✓","⚠ add to Campaigns tab"))</f>
        <v/>
      </c>
      <c r="I1995" s="84" t="str">
        <f aca="false">IF(C1995="","",C1995*IF(Settings!$B$22=Settings!$C$6,1,IF(Settings!$B$22="USD",1/INDEX(Settings!$B$29:$B$40,MONTH(A1995)),INDEX(Settings!$B$29:$B$40,MONTH(A1995)))))</f>
        <v/>
      </c>
    </row>
    <row r="1996" customFormat="false" ht="15" hidden="false" customHeight="false" outlineLevel="0" collapsed="false">
      <c r="H1996" s="0" t="str">
        <f aca="false">IF(B1996="","",IF(COUNTIF(Campaigns!$A$7:$A$300,B1996)&gt;0,"✓","⚠ add to Campaigns tab"))</f>
        <v/>
      </c>
      <c r="I1996" s="84" t="str">
        <f aca="false">IF(C1996="","",C1996*IF(Settings!$B$22=Settings!$C$6,1,IF(Settings!$B$22="USD",1/INDEX(Settings!$B$29:$B$40,MONTH(A1996)),INDEX(Settings!$B$29:$B$40,MONTH(A1996)))))</f>
        <v/>
      </c>
    </row>
    <row r="1997" customFormat="false" ht="15" hidden="false" customHeight="false" outlineLevel="0" collapsed="false">
      <c r="H1997" s="0" t="str">
        <f aca="false">IF(B1997="","",IF(COUNTIF(Campaigns!$A$7:$A$300,B1997)&gt;0,"✓","⚠ add to Campaigns tab"))</f>
        <v/>
      </c>
      <c r="I1997" s="84" t="str">
        <f aca="false">IF(C1997="","",C1997*IF(Settings!$B$22=Settings!$C$6,1,IF(Settings!$B$22="USD",1/INDEX(Settings!$B$29:$B$40,MONTH(A1997)),INDEX(Settings!$B$29:$B$40,MONTH(A1997)))))</f>
        <v/>
      </c>
    </row>
    <row r="1998" customFormat="false" ht="15" hidden="false" customHeight="false" outlineLevel="0" collapsed="false">
      <c r="H1998" s="0" t="str">
        <f aca="false">IF(B1998="","",IF(COUNTIF(Campaigns!$A$7:$A$300,B1998)&gt;0,"✓","⚠ add to Campaigns tab"))</f>
        <v/>
      </c>
      <c r="I1998" s="84" t="str">
        <f aca="false">IF(C1998="","",C1998*IF(Settings!$B$22=Settings!$C$6,1,IF(Settings!$B$22="USD",1/INDEX(Settings!$B$29:$B$40,MONTH(A1998)),INDEX(Settings!$B$29:$B$40,MONTH(A1998)))))</f>
        <v/>
      </c>
    </row>
    <row r="1999" customFormat="false" ht="15" hidden="false" customHeight="false" outlineLevel="0" collapsed="false">
      <c r="H1999" s="0" t="str">
        <f aca="false">IF(B1999="","",IF(COUNTIF(Campaigns!$A$7:$A$300,B1999)&gt;0,"✓","⚠ add to Campaigns tab"))</f>
        <v/>
      </c>
      <c r="I1999" s="84" t="str">
        <f aca="false">IF(C1999="","",C1999*IF(Settings!$B$22=Settings!$C$6,1,IF(Settings!$B$22="USD",1/INDEX(Settings!$B$29:$B$40,MONTH(A1999)),INDEX(Settings!$B$29:$B$40,MONTH(A1999)))))</f>
        <v/>
      </c>
    </row>
    <row r="2000" customFormat="false" ht="15" hidden="false" customHeight="false" outlineLevel="0" collapsed="false">
      <c r="H2000" s="0" t="str">
        <f aca="false">IF(B2000="","",IF(COUNTIF(Campaigns!$A$7:$A$300,B2000)&gt;0,"✓","⚠ add to Campaigns tab"))</f>
        <v/>
      </c>
      <c r="I2000" s="84" t="str">
        <f aca="false">IF(C2000="","",C2000*IF(Settings!$B$22=Settings!$C$6,1,IF(Settings!$B$22="USD",1/INDEX(Settings!$B$29:$B$40,MONTH(A2000)),INDEX(Settings!$B$29:$B$40,MONTH(A2000)))))</f>
        <v/>
      </c>
    </row>
    <row r="2001" customFormat="false" ht="15" hidden="false" customHeight="false" outlineLevel="0" collapsed="false">
      <c r="H2001" s="0" t="str">
        <f aca="false">IF(B2001="","",IF(COUNTIF(Campaigns!$A$7:$A$300,B2001)&gt;0,"✓","⚠ add to Campaigns tab"))</f>
        <v/>
      </c>
      <c r="I2001" s="84" t="str">
        <f aca="false">IF(C2001="","",C2001*IF(Settings!$B$22=Settings!$C$6,1,IF(Settings!$B$22="USD",1/INDEX(Settings!$B$29:$B$40,MONTH(A2001)),INDEX(Settings!$B$29:$B$40,MONTH(A2001)))))</f>
        <v/>
      </c>
    </row>
    <row r="2002" customFormat="false" ht="15" hidden="false" customHeight="false" outlineLevel="0" collapsed="false">
      <c r="H2002" s="0" t="str">
        <f aca="false">IF(B2002="","",IF(COUNTIF(Campaigns!$A$7:$A$300,B2002)&gt;0,"✓","⚠ add to Campaigns tab"))</f>
        <v/>
      </c>
      <c r="I2002" s="84" t="str">
        <f aca="false">IF(C2002="","",C2002*IF(Settings!$B$22=Settings!$C$6,1,IF(Settings!$B$22="USD",1/INDEX(Settings!$B$29:$B$40,MONTH(A2002)),INDEX(Settings!$B$29:$B$40,MONTH(A2002)))))</f>
        <v/>
      </c>
    </row>
    <row r="2003" customFormat="false" ht="15" hidden="false" customHeight="false" outlineLevel="0" collapsed="false">
      <c r="H2003" s="0" t="str">
        <f aca="false">IF(B2003="","",IF(COUNTIF(Campaigns!$A$7:$A$300,B2003)&gt;0,"✓","⚠ add to Campaigns tab"))</f>
        <v/>
      </c>
      <c r="I2003" s="84" t="str">
        <f aca="false">IF(C2003="","",C2003*IF(Settings!$B$22=Settings!$C$6,1,IF(Settings!$B$22="USD",1/INDEX(Settings!$B$29:$B$40,MONTH(A2003)),INDEX(Settings!$B$29:$B$40,MONTH(A2003)))))</f>
        <v/>
      </c>
    </row>
    <row r="2004" customFormat="false" ht="15" hidden="false" customHeight="false" outlineLevel="0" collapsed="false">
      <c r="H2004" s="0" t="str">
        <f aca="false">IF(B2004="","",IF(COUNTIF(Campaigns!$A$7:$A$300,B2004)&gt;0,"✓","⚠ add to Campaigns tab"))</f>
        <v/>
      </c>
      <c r="I2004" s="84" t="str">
        <f aca="false">IF(C2004="","",C2004*IF(Settings!$B$22=Settings!$C$6,1,IF(Settings!$B$22="USD",1/INDEX(Settings!$B$29:$B$40,MONTH(A2004)),INDEX(Settings!$B$29:$B$40,MONTH(A2004)))))</f>
        <v/>
      </c>
    </row>
    <row r="2005" customFormat="false" ht="15" hidden="false" customHeight="false" outlineLevel="0" collapsed="false">
      <c r="H2005" s="0" t="str">
        <f aca="false">IF(B2005="","",IF(COUNTIF(Campaigns!$A$7:$A$300,B2005)&gt;0,"✓","⚠ add to Campaigns tab"))</f>
        <v/>
      </c>
      <c r="I2005" s="84" t="str">
        <f aca="false">IF(C2005="","",C2005*IF(Settings!$B$22=Settings!$C$6,1,IF(Settings!$B$22="USD",1/INDEX(Settings!$B$29:$B$40,MONTH(A2005)),INDEX(Settings!$B$29:$B$40,MONTH(A2005)))))</f>
        <v/>
      </c>
    </row>
    <row r="2006" customFormat="false" ht="15" hidden="false" customHeight="false" outlineLevel="0" collapsed="false">
      <c r="H2006" s="0" t="str">
        <f aca="false">IF(B2006="","",IF(COUNTIF(Campaigns!$A$7:$A$300,B2006)&gt;0,"✓","⚠ add to Campaigns tab"))</f>
        <v/>
      </c>
      <c r="I2006" s="84" t="str">
        <f aca="false">IF(C2006="","",C2006*IF(Settings!$B$22=Settings!$C$6,1,IF(Settings!$B$22="USD",1/INDEX(Settings!$B$29:$B$40,MONTH(A2006)),INDEX(Settings!$B$29:$B$40,MONTH(A2006)))))</f>
        <v/>
      </c>
    </row>
    <row r="2007" customFormat="false" ht="15" hidden="false" customHeight="false" outlineLevel="0" collapsed="false">
      <c r="H2007" s="0" t="str">
        <f aca="false">IF(B2007="","",IF(COUNTIF(Campaigns!$A$7:$A$300,B2007)&gt;0,"✓","⚠ add to Campaigns tab"))</f>
        <v/>
      </c>
      <c r="I2007" s="84" t="str">
        <f aca="false">IF(C2007="","",C2007*IF(Settings!$B$22=Settings!$C$6,1,IF(Settings!$B$22="USD",1/INDEX(Settings!$B$29:$B$40,MONTH(A2007)),INDEX(Settings!$B$29:$B$40,MONTH(A2007)))))</f>
        <v/>
      </c>
    </row>
    <row r="2008" customFormat="false" ht="15" hidden="false" customHeight="false" outlineLevel="0" collapsed="false">
      <c r="H2008" s="0" t="str">
        <f aca="false">IF(B2008="","",IF(COUNTIF(Campaigns!$A$7:$A$300,B2008)&gt;0,"✓","⚠ add to Campaigns tab"))</f>
        <v/>
      </c>
      <c r="I2008" s="84" t="str">
        <f aca="false">IF(C2008="","",C2008*IF(Settings!$B$22=Settings!$C$6,1,IF(Settings!$B$22="USD",1/INDEX(Settings!$B$29:$B$40,MONTH(A2008)),INDEX(Settings!$B$29:$B$40,MONTH(A2008)))))</f>
        <v/>
      </c>
    </row>
    <row r="2009" customFormat="false" ht="15" hidden="false" customHeight="false" outlineLevel="0" collapsed="false">
      <c r="H2009" s="0" t="str">
        <f aca="false">IF(B2009="","",IF(COUNTIF(Campaigns!$A$7:$A$300,B2009)&gt;0,"✓","⚠ add to Campaigns tab"))</f>
        <v/>
      </c>
      <c r="I2009" s="84" t="str">
        <f aca="false">IF(C2009="","",C2009*IF(Settings!$B$22=Settings!$C$6,1,IF(Settings!$B$22="USD",1/INDEX(Settings!$B$29:$B$40,MONTH(A2009)),INDEX(Settings!$B$29:$B$40,MONTH(A2009)))))</f>
        <v/>
      </c>
    </row>
    <row r="2010" customFormat="false" ht="15" hidden="false" customHeight="false" outlineLevel="0" collapsed="false">
      <c r="H2010" s="0" t="str">
        <f aca="false">IF(B2010="","",IF(COUNTIF(Campaigns!$A$7:$A$300,B2010)&gt;0,"✓","⚠ add to Campaigns tab"))</f>
        <v/>
      </c>
      <c r="I2010" s="84" t="str">
        <f aca="false">IF(C2010="","",C2010*IF(Settings!$B$22=Settings!$C$6,1,IF(Settings!$B$22="USD",1/INDEX(Settings!$B$29:$B$40,MONTH(A2010)),INDEX(Settings!$B$29:$B$40,MONTH(A2010)))))</f>
        <v/>
      </c>
    </row>
    <row r="2011" customFormat="false" ht="15" hidden="false" customHeight="false" outlineLevel="0" collapsed="false">
      <c r="H2011" s="0" t="str">
        <f aca="false">IF(B2011="","",IF(COUNTIF(Campaigns!$A$7:$A$300,B2011)&gt;0,"✓","⚠ add to Campaigns tab"))</f>
        <v/>
      </c>
      <c r="I2011" s="84" t="str">
        <f aca="false">IF(C2011="","",C2011*IF(Settings!$B$22=Settings!$C$6,1,IF(Settings!$B$22="USD",1/INDEX(Settings!$B$29:$B$40,MONTH(A2011)),INDEX(Settings!$B$29:$B$40,MONTH(A2011)))))</f>
        <v/>
      </c>
    </row>
    <row r="2012" customFormat="false" ht="15" hidden="false" customHeight="false" outlineLevel="0" collapsed="false">
      <c r="H2012" s="0" t="str">
        <f aca="false">IF(B2012="","",IF(COUNTIF(Campaigns!$A$7:$A$300,B2012)&gt;0,"✓","⚠ add to Campaigns tab"))</f>
        <v/>
      </c>
      <c r="I2012" s="84" t="str">
        <f aca="false">IF(C2012="","",C2012*IF(Settings!$B$22=Settings!$C$6,1,IF(Settings!$B$22="USD",1/INDEX(Settings!$B$29:$B$40,MONTH(A2012)),INDEX(Settings!$B$29:$B$40,MONTH(A2012)))))</f>
        <v/>
      </c>
    </row>
    <row r="2013" customFormat="false" ht="15" hidden="false" customHeight="false" outlineLevel="0" collapsed="false">
      <c r="H2013" s="0" t="str">
        <f aca="false">IF(B2013="","",IF(COUNTIF(Campaigns!$A$7:$A$300,B2013)&gt;0,"✓","⚠ add to Campaigns tab"))</f>
        <v/>
      </c>
      <c r="I2013" s="84" t="str">
        <f aca="false">IF(C2013="","",C2013*IF(Settings!$B$22=Settings!$C$6,1,IF(Settings!$B$22="USD",1/INDEX(Settings!$B$29:$B$40,MONTH(A2013)),INDEX(Settings!$B$29:$B$40,MONTH(A2013)))))</f>
        <v/>
      </c>
    </row>
    <row r="2014" customFormat="false" ht="15" hidden="false" customHeight="false" outlineLevel="0" collapsed="false">
      <c r="H2014" s="0" t="str">
        <f aca="false">IF(B2014="","",IF(COUNTIF(Campaigns!$A$7:$A$300,B2014)&gt;0,"✓","⚠ add to Campaigns tab"))</f>
        <v/>
      </c>
      <c r="I2014" s="84" t="str">
        <f aca="false">IF(C2014="","",C2014*IF(Settings!$B$22=Settings!$C$6,1,IF(Settings!$B$22="USD",1/INDEX(Settings!$B$29:$B$40,MONTH(A2014)),INDEX(Settings!$B$29:$B$40,MONTH(A2014)))))</f>
        <v/>
      </c>
    </row>
    <row r="2015" customFormat="false" ht="15" hidden="false" customHeight="false" outlineLevel="0" collapsed="false">
      <c r="H2015" s="0" t="str">
        <f aca="false">IF(B2015="","",IF(COUNTIF(Campaigns!$A$7:$A$300,B2015)&gt;0,"✓","⚠ add to Campaigns tab"))</f>
        <v/>
      </c>
      <c r="I2015" s="84" t="str">
        <f aca="false">IF(C2015="","",C2015*IF(Settings!$B$22=Settings!$C$6,1,IF(Settings!$B$22="USD",1/INDEX(Settings!$B$29:$B$40,MONTH(A2015)),INDEX(Settings!$B$29:$B$40,MONTH(A2015)))))</f>
        <v/>
      </c>
    </row>
    <row r="2016" customFormat="false" ht="15" hidden="false" customHeight="false" outlineLevel="0" collapsed="false">
      <c r="H2016" s="0" t="str">
        <f aca="false">IF(B2016="","",IF(COUNTIF(Campaigns!$A$7:$A$300,B2016)&gt;0,"✓","⚠ add to Campaigns tab"))</f>
        <v/>
      </c>
      <c r="I2016" s="84" t="str">
        <f aca="false">IF(C2016="","",C2016*IF(Settings!$B$22=Settings!$C$6,1,IF(Settings!$B$22="USD",1/INDEX(Settings!$B$29:$B$40,MONTH(A2016)),INDEX(Settings!$B$29:$B$40,MONTH(A2016)))))</f>
        <v/>
      </c>
    </row>
    <row r="2017" customFormat="false" ht="15" hidden="false" customHeight="false" outlineLevel="0" collapsed="false">
      <c r="H2017" s="0" t="str">
        <f aca="false">IF(B2017="","",IF(COUNTIF(Campaigns!$A$7:$A$300,B2017)&gt;0,"✓","⚠ add to Campaigns tab"))</f>
        <v/>
      </c>
      <c r="I2017" s="84" t="str">
        <f aca="false">IF(C2017="","",C2017*IF(Settings!$B$22=Settings!$C$6,1,IF(Settings!$B$22="USD",1/INDEX(Settings!$B$29:$B$40,MONTH(A2017)),INDEX(Settings!$B$29:$B$40,MONTH(A2017)))))</f>
        <v/>
      </c>
    </row>
    <row r="2018" customFormat="false" ht="15" hidden="false" customHeight="false" outlineLevel="0" collapsed="false">
      <c r="H2018" s="0" t="str">
        <f aca="false">IF(B2018="","",IF(COUNTIF(Campaigns!$A$7:$A$300,B2018)&gt;0,"✓","⚠ add to Campaigns tab"))</f>
        <v/>
      </c>
      <c r="I2018" s="84" t="str">
        <f aca="false">IF(C2018="","",C2018*IF(Settings!$B$22=Settings!$C$6,1,IF(Settings!$B$22="USD",1/INDEX(Settings!$B$29:$B$40,MONTH(A2018)),INDEX(Settings!$B$29:$B$40,MONTH(A2018)))))</f>
        <v/>
      </c>
    </row>
    <row r="2019" customFormat="false" ht="15" hidden="false" customHeight="false" outlineLevel="0" collapsed="false">
      <c r="H2019" s="0" t="str">
        <f aca="false">IF(B2019="","",IF(COUNTIF(Campaigns!$A$7:$A$300,B2019)&gt;0,"✓","⚠ add to Campaigns tab"))</f>
        <v/>
      </c>
      <c r="I2019" s="84" t="str">
        <f aca="false">IF(C2019="","",C2019*IF(Settings!$B$22=Settings!$C$6,1,IF(Settings!$B$22="USD",1/INDEX(Settings!$B$29:$B$40,MONTH(A2019)),INDEX(Settings!$B$29:$B$40,MONTH(A2019)))))</f>
        <v/>
      </c>
    </row>
    <row r="2020" customFormat="false" ht="15" hidden="false" customHeight="false" outlineLevel="0" collapsed="false">
      <c r="H2020" s="0" t="str">
        <f aca="false">IF(B2020="","",IF(COUNTIF(Campaigns!$A$7:$A$300,B2020)&gt;0,"✓","⚠ add to Campaigns tab"))</f>
        <v/>
      </c>
      <c r="I2020" s="84" t="str">
        <f aca="false">IF(C2020="","",C2020*IF(Settings!$B$22=Settings!$C$6,1,IF(Settings!$B$22="USD",1/INDEX(Settings!$B$29:$B$40,MONTH(A2020)),INDEX(Settings!$B$29:$B$40,MONTH(A2020)))))</f>
        <v/>
      </c>
    </row>
    <row r="2021" customFormat="false" ht="15" hidden="false" customHeight="false" outlineLevel="0" collapsed="false">
      <c r="H2021" s="0" t="str">
        <f aca="false">IF(B2021="","",IF(COUNTIF(Campaigns!$A$7:$A$300,B2021)&gt;0,"✓","⚠ add to Campaigns tab"))</f>
        <v/>
      </c>
      <c r="I2021" s="84" t="str">
        <f aca="false">IF(C2021="","",C2021*IF(Settings!$B$22=Settings!$C$6,1,IF(Settings!$B$22="USD",1/INDEX(Settings!$B$29:$B$40,MONTH(A2021)),INDEX(Settings!$B$29:$B$40,MONTH(A2021)))))</f>
        <v/>
      </c>
    </row>
    <row r="2022" customFormat="false" ht="15" hidden="false" customHeight="false" outlineLevel="0" collapsed="false">
      <c r="H2022" s="0" t="str">
        <f aca="false">IF(B2022="","",IF(COUNTIF(Campaigns!$A$7:$A$300,B2022)&gt;0,"✓","⚠ add to Campaigns tab"))</f>
        <v/>
      </c>
      <c r="I2022" s="84" t="str">
        <f aca="false">IF(C2022="","",C2022*IF(Settings!$B$22=Settings!$C$6,1,IF(Settings!$B$22="USD",1/INDEX(Settings!$B$29:$B$40,MONTH(A2022)),INDEX(Settings!$B$29:$B$40,MONTH(A2022)))))</f>
        <v/>
      </c>
    </row>
    <row r="2023" customFormat="false" ht="15" hidden="false" customHeight="false" outlineLevel="0" collapsed="false">
      <c r="H2023" s="0" t="str">
        <f aca="false">IF(B2023="","",IF(COUNTIF(Campaigns!$A$7:$A$300,B2023)&gt;0,"✓","⚠ add to Campaigns tab"))</f>
        <v/>
      </c>
      <c r="I2023" s="84" t="str">
        <f aca="false">IF(C2023="","",C2023*IF(Settings!$B$22=Settings!$C$6,1,IF(Settings!$B$22="USD",1/INDEX(Settings!$B$29:$B$40,MONTH(A2023)),INDEX(Settings!$B$29:$B$40,MONTH(A2023)))))</f>
        <v/>
      </c>
    </row>
    <row r="2024" customFormat="false" ht="15" hidden="false" customHeight="false" outlineLevel="0" collapsed="false">
      <c r="H2024" s="0" t="str">
        <f aca="false">IF(B2024="","",IF(COUNTIF(Campaigns!$A$7:$A$300,B2024)&gt;0,"✓","⚠ add to Campaigns tab"))</f>
        <v/>
      </c>
      <c r="I2024" s="84" t="str">
        <f aca="false">IF(C2024="","",C2024*IF(Settings!$B$22=Settings!$C$6,1,IF(Settings!$B$22="USD",1/INDEX(Settings!$B$29:$B$40,MONTH(A2024)),INDEX(Settings!$B$29:$B$40,MONTH(A2024)))))</f>
        <v/>
      </c>
    </row>
    <row r="2025" customFormat="false" ht="15" hidden="false" customHeight="false" outlineLevel="0" collapsed="false">
      <c r="H2025" s="0" t="str">
        <f aca="false">IF(B2025="","",IF(COUNTIF(Campaigns!$A$7:$A$300,B2025)&gt;0,"✓","⚠ add to Campaigns tab"))</f>
        <v/>
      </c>
      <c r="I2025" s="84" t="str">
        <f aca="false">IF(C2025="","",C2025*IF(Settings!$B$22=Settings!$C$6,1,IF(Settings!$B$22="USD",1/INDEX(Settings!$B$29:$B$40,MONTH(A2025)),INDEX(Settings!$B$29:$B$40,MONTH(A2025)))))</f>
        <v/>
      </c>
    </row>
    <row r="2026" customFormat="false" ht="15" hidden="false" customHeight="false" outlineLevel="0" collapsed="false">
      <c r="H2026" s="0" t="str">
        <f aca="false">IF(B2026="","",IF(COUNTIF(Campaigns!$A$7:$A$300,B2026)&gt;0,"✓","⚠ add to Campaigns tab"))</f>
        <v/>
      </c>
      <c r="I2026" s="84" t="str">
        <f aca="false">IF(C2026="","",C2026*IF(Settings!$B$22=Settings!$C$6,1,IF(Settings!$B$22="USD",1/INDEX(Settings!$B$29:$B$40,MONTH(A2026)),INDEX(Settings!$B$29:$B$40,MONTH(A2026)))))</f>
        <v/>
      </c>
    </row>
    <row r="2027" customFormat="false" ht="15" hidden="false" customHeight="false" outlineLevel="0" collapsed="false">
      <c r="H2027" s="0" t="str">
        <f aca="false">IF(B2027="","",IF(COUNTIF(Campaigns!$A$7:$A$300,B2027)&gt;0,"✓","⚠ add to Campaigns tab"))</f>
        <v/>
      </c>
      <c r="I2027" s="84" t="str">
        <f aca="false">IF(C2027="","",C2027*IF(Settings!$B$22=Settings!$C$6,1,IF(Settings!$B$22="USD",1/INDEX(Settings!$B$29:$B$40,MONTH(A2027)),INDEX(Settings!$B$29:$B$40,MONTH(A2027)))))</f>
        <v/>
      </c>
    </row>
    <row r="2028" customFormat="false" ht="15" hidden="false" customHeight="false" outlineLevel="0" collapsed="false">
      <c r="H2028" s="0" t="str">
        <f aca="false">IF(B2028="","",IF(COUNTIF(Campaigns!$A$7:$A$300,B2028)&gt;0,"✓","⚠ add to Campaigns tab"))</f>
        <v/>
      </c>
      <c r="I2028" s="84" t="str">
        <f aca="false">IF(C2028="","",C2028*IF(Settings!$B$22=Settings!$C$6,1,IF(Settings!$B$22="USD",1/INDEX(Settings!$B$29:$B$40,MONTH(A2028)),INDEX(Settings!$B$29:$B$40,MONTH(A2028)))))</f>
        <v/>
      </c>
    </row>
    <row r="2029" customFormat="false" ht="15" hidden="false" customHeight="false" outlineLevel="0" collapsed="false">
      <c r="H2029" s="0" t="str">
        <f aca="false">IF(B2029="","",IF(COUNTIF(Campaigns!$A$7:$A$300,B2029)&gt;0,"✓","⚠ add to Campaigns tab"))</f>
        <v/>
      </c>
      <c r="I2029" s="84" t="str">
        <f aca="false">IF(C2029="","",C2029*IF(Settings!$B$22=Settings!$C$6,1,IF(Settings!$B$22="USD",1/INDEX(Settings!$B$29:$B$40,MONTH(A2029)),INDEX(Settings!$B$29:$B$40,MONTH(A2029)))))</f>
        <v/>
      </c>
    </row>
    <row r="2030" customFormat="false" ht="15" hidden="false" customHeight="false" outlineLevel="0" collapsed="false">
      <c r="H2030" s="0" t="str">
        <f aca="false">IF(B2030="","",IF(COUNTIF(Campaigns!$A$7:$A$300,B2030)&gt;0,"✓","⚠ add to Campaigns tab"))</f>
        <v/>
      </c>
      <c r="I2030" s="84" t="str">
        <f aca="false">IF(C2030="","",C2030*IF(Settings!$B$22=Settings!$C$6,1,IF(Settings!$B$22="USD",1/INDEX(Settings!$B$29:$B$40,MONTH(A2030)),INDEX(Settings!$B$29:$B$40,MONTH(A2030)))))</f>
        <v/>
      </c>
    </row>
    <row r="2031" customFormat="false" ht="15" hidden="false" customHeight="false" outlineLevel="0" collapsed="false">
      <c r="H2031" s="0" t="str">
        <f aca="false">IF(B2031="","",IF(COUNTIF(Campaigns!$A$7:$A$300,B2031)&gt;0,"✓","⚠ add to Campaigns tab"))</f>
        <v/>
      </c>
      <c r="I2031" s="84" t="str">
        <f aca="false">IF(C2031="","",C2031*IF(Settings!$B$22=Settings!$C$6,1,IF(Settings!$B$22="USD",1/INDEX(Settings!$B$29:$B$40,MONTH(A2031)),INDEX(Settings!$B$29:$B$40,MONTH(A2031)))))</f>
        <v/>
      </c>
    </row>
    <row r="2032" customFormat="false" ht="15" hidden="false" customHeight="false" outlineLevel="0" collapsed="false">
      <c r="H2032" s="0" t="str">
        <f aca="false">IF(B2032="","",IF(COUNTIF(Campaigns!$A$7:$A$300,B2032)&gt;0,"✓","⚠ add to Campaigns tab"))</f>
        <v/>
      </c>
      <c r="I2032" s="84" t="str">
        <f aca="false">IF(C2032="","",C2032*IF(Settings!$B$22=Settings!$C$6,1,IF(Settings!$B$22="USD",1/INDEX(Settings!$B$29:$B$40,MONTH(A2032)),INDEX(Settings!$B$29:$B$40,MONTH(A2032)))))</f>
        <v/>
      </c>
    </row>
    <row r="2033" customFormat="false" ht="15" hidden="false" customHeight="false" outlineLevel="0" collapsed="false">
      <c r="H2033" s="0" t="str">
        <f aca="false">IF(B2033="","",IF(COUNTIF(Campaigns!$A$7:$A$300,B2033)&gt;0,"✓","⚠ add to Campaigns tab"))</f>
        <v/>
      </c>
      <c r="I2033" s="84" t="str">
        <f aca="false">IF(C2033="","",C2033*IF(Settings!$B$22=Settings!$C$6,1,IF(Settings!$B$22="USD",1/INDEX(Settings!$B$29:$B$40,MONTH(A2033)),INDEX(Settings!$B$29:$B$40,MONTH(A2033)))))</f>
        <v/>
      </c>
    </row>
    <row r="2034" customFormat="false" ht="15" hidden="false" customHeight="false" outlineLevel="0" collapsed="false">
      <c r="H2034" s="0" t="str">
        <f aca="false">IF(B2034="","",IF(COUNTIF(Campaigns!$A$7:$A$300,B2034)&gt;0,"✓","⚠ add to Campaigns tab"))</f>
        <v/>
      </c>
      <c r="I2034" s="84" t="str">
        <f aca="false">IF(C2034="","",C2034*IF(Settings!$B$22=Settings!$C$6,1,IF(Settings!$B$22="USD",1/INDEX(Settings!$B$29:$B$40,MONTH(A2034)),INDEX(Settings!$B$29:$B$40,MONTH(A2034)))))</f>
        <v/>
      </c>
    </row>
    <row r="2035" customFormat="false" ht="15" hidden="false" customHeight="false" outlineLevel="0" collapsed="false">
      <c r="H2035" s="0" t="str">
        <f aca="false">IF(B2035="","",IF(COUNTIF(Campaigns!$A$7:$A$300,B2035)&gt;0,"✓","⚠ add to Campaigns tab"))</f>
        <v/>
      </c>
      <c r="I2035" s="84" t="str">
        <f aca="false">IF(C2035="","",C2035*IF(Settings!$B$22=Settings!$C$6,1,IF(Settings!$B$22="USD",1/INDEX(Settings!$B$29:$B$40,MONTH(A2035)),INDEX(Settings!$B$29:$B$40,MONTH(A2035)))))</f>
        <v/>
      </c>
    </row>
    <row r="2036" customFormat="false" ht="15" hidden="false" customHeight="false" outlineLevel="0" collapsed="false">
      <c r="H2036" s="0" t="str">
        <f aca="false">IF(B2036="","",IF(COUNTIF(Campaigns!$A$7:$A$300,B2036)&gt;0,"✓","⚠ add to Campaigns tab"))</f>
        <v/>
      </c>
      <c r="I2036" s="84" t="str">
        <f aca="false">IF(C2036="","",C2036*IF(Settings!$B$22=Settings!$C$6,1,IF(Settings!$B$22="USD",1/INDEX(Settings!$B$29:$B$40,MONTH(A2036)),INDEX(Settings!$B$29:$B$40,MONTH(A2036)))))</f>
        <v/>
      </c>
    </row>
    <row r="2037" customFormat="false" ht="15" hidden="false" customHeight="false" outlineLevel="0" collapsed="false">
      <c r="H2037" s="0" t="str">
        <f aca="false">IF(B2037="","",IF(COUNTIF(Campaigns!$A$7:$A$300,B2037)&gt;0,"✓","⚠ add to Campaigns tab"))</f>
        <v/>
      </c>
      <c r="I2037" s="84" t="str">
        <f aca="false">IF(C2037="","",C2037*IF(Settings!$B$22=Settings!$C$6,1,IF(Settings!$B$22="USD",1/INDEX(Settings!$B$29:$B$40,MONTH(A2037)),INDEX(Settings!$B$29:$B$40,MONTH(A2037)))))</f>
        <v/>
      </c>
    </row>
    <row r="2038" customFormat="false" ht="15" hidden="false" customHeight="false" outlineLevel="0" collapsed="false">
      <c r="H2038" s="0" t="str">
        <f aca="false">IF(B2038="","",IF(COUNTIF(Campaigns!$A$7:$A$300,B2038)&gt;0,"✓","⚠ add to Campaigns tab"))</f>
        <v/>
      </c>
      <c r="I2038" s="84" t="str">
        <f aca="false">IF(C2038="","",C2038*IF(Settings!$B$22=Settings!$C$6,1,IF(Settings!$B$22="USD",1/INDEX(Settings!$B$29:$B$40,MONTH(A2038)),INDEX(Settings!$B$29:$B$40,MONTH(A2038)))))</f>
        <v/>
      </c>
    </row>
    <row r="2039" customFormat="false" ht="15" hidden="false" customHeight="false" outlineLevel="0" collapsed="false">
      <c r="H2039" s="0" t="str">
        <f aca="false">IF(B2039="","",IF(COUNTIF(Campaigns!$A$7:$A$300,B2039)&gt;0,"✓","⚠ add to Campaigns tab"))</f>
        <v/>
      </c>
      <c r="I2039" s="84" t="str">
        <f aca="false">IF(C2039="","",C2039*IF(Settings!$B$22=Settings!$C$6,1,IF(Settings!$B$22="USD",1/INDEX(Settings!$B$29:$B$40,MONTH(A2039)),INDEX(Settings!$B$29:$B$40,MONTH(A2039)))))</f>
        <v/>
      </c>
    </row>
    <row r="2040" customFormat="false" ht="15" hidden="false" customHeight="false" outlineLevel="0" collapsed="false">
      <c r="H2040" s="0" t="str">
        <f aca="false">IF(B2040="","",IF(COUNTIF(Campaigns!$A$7:$A$300,B2040)&gt;0,"✓","⚠ add to Campaigns tab"))</f>
        <v/>
      </c>
      <c r="I2040" s="84" t="str">
        <f aca="false">IF(C2040="","",C2040*IF(Settings!$B$22=Settings!$C$6,1,IF(Settings!$B$22="USD",1/INDEX(Settings!$B$29:$B$40,MONTH(A2040)),INDEX(Settings!$B$29:$B$40,MONTH(A2040)))))</f>
        <v/>
      </c>
    </row>
    <row r="2041" customFormat="false" ht="15" hidden="false" customHeight="false" outlineLevel="0" collapsed="false">
      <c r="H2041" s="0" t="str">
        <f aca="false">IF(B2041="","",IF(COUNTIF(Campaigns!$A$7:$A$300,B2041)&gt;0,"✓","⚠ add to Campaigns tab"))</f>
        <v/>
      </c>
      <c r="I2041" s="84" t="str">
        <f aca="false">IF(C2041="","",C2041*IF(Settings!$B$22=Settings!$C$6,1,IF(Settings!$B$22="USD",1/INDEX(Settings!$B$29:$B$40,MONTH(A2041)),INDEX(Settings!$B$29:$B$40,MONTH(A2041)))))</f>
        <v/>
      </c>
    </row>
    <row r="2042" customFormat="false" ht="15" hidden="false" customHeight="false" outlineLevel="0" collapsed="false">
      <c r="H2042" s="0" t="str">
        <f aca="false">IF(B2042="","",IF(COUNTIF(Campaigns!$A$7:$A$300,B2042)&gt;0,"✓","⚠ add to Campaigns tab"))</f>
        <v/>
      </c>
      <c r="I2042" s="84" t="str">
        <f aca="false">IF(C2042="","",C2042*IF(Settings!$B$22=Settings!$C$6,1,IF(Settings!$B$22="USD",1/INDEX(Settings!$B$29:$B$40,MONTH(A2042)),INDEX(Settings!$B$29:$B$40,MONTH(A2042)))))</f>
        <v/>
      </c>
    </row>
    <row r="2043" customFormat="false" ht="15" hidden="false" customHeight="false" outlineLevel="0" collapsed="false">
      <c r="H2043" s="0" t="str">
        <f aca="false">IF(B2043="","",IF(COUNTIF(Campaigns!$A$7:$A$300,B2043)&gt;0,"✓","⚠ add to Campaigns tab"))</f>
        <v/>
      </c>
      <c r="I2043" s="84" t="str">
        <f aca="false">IF(C2043="","",C2043*IF(Settings!$B$22=Settings!$C$6,1,IF(Settings!$B$22="USD",1/INDEX(Settings!$B$29:$B$40,MONTH(A2043)),INDEX(Settings!$B$29:$B$40,MONTH(A2043)))))</f>
        <v/>
      </c>
    </row>
    <row r="2044" customFormat="false" ht="15" hidden="false" customHeight="false" outlineLevel="0" collapsed="false">
      <c r="H2044" s="0" t="str">
        <f aca="false">IF(B2044="","",IF(COUNTIF(Campaigns!$A$7:$A$300,B2044)&gt;0,"✓","⚠ add to Campaigns tab"))</f>
        <v/>
      </c>
      <c r="I2044" s="84" t="str">
        <f aca="false">IF(C2044="","",C2044*IF(Settings!$B$22=Settings!$C$6,1,IF(Settings!$B$22="USD",1/INDEX(Settings!$B$29:$B$40,MONTH(A2044)),INDEX(Settings!$B$29:$B$40,MONTH(A2044)))))</f>
        <v/>
      </c>
    </row>
    <row r="2045" customFormat="false" ht="15" hidden="false" customHeight="false" outlineLevel="0" collapsed="false">
      <c r="H2045" s="0" t="str">
        <f aca="false">IF(B2045="","",IF(COUNTIF(Campaigns!$A$7:$A$300,B2045)&gt;0,"✓","⚠ add to Campaigns tab"))</f>
        <v/>
      </c>
      <c r="I2045" s="84" t="str">
        <f aca="false">IF(C2045="","",C2045*IF(Settings!$B$22=Settings!$C$6,1,IF(Settings!$B$22="USD",1/INDEX(Settings!$B$29:$B$40,MONTH(A2045)),INDEX(Settings!$B$29:$B$40,MONTH(A2045)))))</f>
        <v/>
      </c>
    </row>
    <row r="2046" customFormat="false" ht="15" hidden="false" customHeight="false" outlineLevel="0" collapsed="false">
      <c r="H2046" s="0" t="str">
        <f aca="false">IF(B2046="","",IF(COUNTIF(Campaigns!$A$7:$A$300,B2046)&gt;0,"✓","⚠ add to Campaigns tab"))</f>
        <v/>
      </c>
      <c r="I2046" s="84" t="str">
        <f aca="false">IF(C2046="","",C2046*IF(Settings!$B$22=Settings!$C$6,1,IF(Settings!$B$22="USD",1/INDEX(Settings!$B$29:$B$40,MONTH(A2046)),INDEX(Settings!$B$29:$B$40,MONTH(A2046)))))</f>
        <v/>
      </c>
    </row>
    <row r="2047" customFormat="false" ht="15" hidden="false" customHeight="false" outlineLevel="0" collapsed="false">
      <c r="H2047" s="0" t="str">
        <f aca="false">IF(B2047="","",IF(COUNTIF(Campaigns!$A$7:$A$300,B2047)&gt;0,"✓","⚠ add to Campaigns tab"))</f>
        <v/>
      </c>
      <c r="I2047" s="84" t="str">
        <f aca="false">IF(C2047="","",C2047*IF(Settings!$B$22=Settings!$C$6,1,IF(Settings!$B$22="USD",1/INDEX(Settings!$B$29:$B$40,MONTH(A2047)),INDEX(Settings!$B$29:$B$40,MONTH(A2047)))))</f>
        <v/>
      </c>
    </row>
    <row r="2048" customFormat="false" ht="15" hidden="false" customHeight="false" outlineLevel="0" collapsed="false">
      <c r="H2048" s="0" t="str">
        <f aca="false">IF(B2048="","",IF(COUNTIF(Campaigns!$A$7:$A$300,B2048)&gt;0,"✓","⚠ add to Campaigns tab"))</f>
        <v/>
      </c>
      <c r="I2048" s="84" t="str">
        <f aca="false">IF(C2048="","",C2048*IF(Settings!$B$22=Settings!$C$6,1,IF(Settings!$B$22="USD",1/INDEX(Settings!$B$29:$B$40,MONTH(A2048)),INDEX(Settings!$B$29:$B$40,MONTH(A2048)))))</f>
        <v/>
      </c>
    </row>
    <row r="2049" customFormat="false" ht="15" hidden="false" customHeight="false" outlineLevel="0" collapsed="false">
      <c r="H2049" s="0" t="str">
        <f aca="false">IF(B2049="","",IF(COUNTIF(Campaigns!$A$7:$A$300,B2049)&gt;0,"✓","⚠ add to Campaigns tab"))</f>
        <v/>
      </c>
      <c r="I2049" s="84" t="str">
        <f aca="false">IF(C2049="","",C2049*IF(Settings!$B$22=Settings!$C$6,1,IF(Settings!$B$22="USD",1/INDEX(Settings!$B$29:$B$40,MONTH(A2049)),INDEX(Settings!$B$29:$B$40,MONTH(A2049)))))</f>
        <v/>
      </c>
    </row>
    <row r="2050" customFormat="false" ht="15" hidden="false" customHeight="false" outlineLevel="0" collapsed="false">
      <c r="H2050" s="0" t="str">
        <f aca="false">IF(B2050="","",IF(COUNTIF(Campaigns!$A$7:$A$300,B2050)&gt;0,"✓","⚠ add to Campaigns tab"))</f>
        <v/>
      </c>
      <c r="I2050" s="84" t="str">
        <f aca="false">IF(C2050="","",C2050*IF(Settings!$B$22=Settings!$C$6,1,IF(Settings!$B$22="USD",1/INDEX(Settings!$B$29:$B$40,MONTH(A2050)),INDEX(Settings!$B$29:$B$40,MONTH(A2050)))))</f>
        <v/>
      </c>
    </row>
    <row r="2051" customFormat="false" ht="15" hidden="false" customHeight="false" outlineLevel="0" collapsed="false">
      <c r="H2051" s="0" t="str">
        <f aca="false">IF(B2051="","",IF(COUNTIF(Campaigns!$A$7:$A$300,B2051)&gt;0,"✓","⚠ add to Campaigns tab"))</f>
        <v/>
      </c>
      <c r="I2051" s="84" t="str">
        <f aca="false">IF(C2051="","",C2051*IF(Settings!$B$22=Settings!$C$6,1,IF(Settings!$B$22="USD",1/INDEX(Settings!$B$29:$B$40,MONTH(A2051)),INDEX(Settings!$B$29:$B$40,MONTH(A2051)))))</f>
        <v/>
      </c>
    </row>
    <row r="2052" customFormat="false" ht="15" hidden="false" customHeight="false" outlineLevel="0" collapsed="false">
      <c r="H2052" s="0" t="str">
        <f aca="false">IF(B2052="","",IF(COUNTIF(Campaigns!$A$7:$A$300,B2052)&gt;0,"✓","⚠ add to Campaigns tab"))</f>
        <v/>
      </c>
      <c r="I2052" s="84" t="str">
        <f aca="false">IF(C2052="","",C2052*IF(Settings!$B$22=Settings!$C$6,1,IF(Settings!$B$22="USD",1/INDEX(Settings!$B$29:$B$40,MONTH(A2052)),INDEX(Settings!$B$29:$B$40,MONTH(A2052)))))</f>
        <v/>
      </c>
    </row>
    <row r="2053" customFormat="false" ht="15" hidden="false" customHeight="false" outlineLevel="0" collapsed="false">
      <c r="H2053" s="0" t="str">
        <f aca="false">IF(B2053="","",IF(COUNTIF(Campaigns!$A$7:$A$300,B2053)&gt;0,"✓","⚠ add to Campaigns tab"))</f>
        <v/>
      </c>
      <c r="I2053" s="84" t="str">
        <f aca="false">IF(C2053="","",C2053*IF(Settings!$B$22=Settings!$C$6,1,IF(Settings!$B$22="USD",1/INDEX(Settings!$B$29:$B$40,MONTH(A2053)),INDEX(Settings!$B$29:$B$40,MONTH(A2053)))))</f>
        <v/>
      </c>
    </row>
    <row r="2054" customFormat="false" ht="15" hidden="false" customHeight="false" outlineLevel="0" collapsed="false">
      <c r="H2054" s="0" t="str">
        <f aca="false">IF(B2054="","",IF(COUNTIF(Campaigns!$A$7:$A$300,B2054)&gt;0,"✓","⚠ add to Campaigns tab"))</f>
        <v/>
      </c>
      <c r="I2054" s="84" t="str">
        <f aca="false">IF(C2054="","",C2054*IF(Settings!$B$22=Settings!$C$6,1,IF(Settings!$B$22="USD",1/INDEX(Settings!$B$29:$B$40,MONTH(A2054)),INDEX(Settings!$B$29:$B$40,MONTH(A2054)))))</f>
        <v/>
      </c>
    </row>
    <row r="2055" customFormat="false" ht="15" hidden="false" customHeight="false" outlineLevel="0" collapsed="false">
      <c r="H2055" s="0" t="str">
        <f aca="false">IF(B2055="","",IF(COUNTIF(Campaigns!$A$7:$A$300,B2055)&gt;0,"✓","⚠ add to Campaigns tab"))</f>
        <v/>
      </c>
      <c r="I2055" s="84" t="str">
        <f aca="false">IF(C2055="","",C2055*IF(Settings!$B$22=Settings!$C$6,1,IF(Settings!$B$22="USD",1/INDEX(Settings!$B$29:$B$40,MONTH(A2055)),INDEX(Settings!$B$29:$B$40,MONTH(A2055)))))</f>
        <v/>
      </c>
    </row>
    <row r="2056" customFormat="false" ht="15" hidden="false" customHeight="false" outlineLevel="0" collapsed="false">
      <c r="H2056" s="0" t="str">
        <f aca="false">IF(B2056="","",IF(COUNTIF(Campaigns!$A$7:$A$300,B2056)&gt;0,"✓","⚠ add to Campaigns tab"))</f>
        <v/>
      </c>
      <c r="I2056" s="84" t="str">
        <f aca="false">IF(C2056="","",C2056*IF(Settings!$B$22=Settings!$C$6,1,IF(Settings!$B$22="USD",1/INDEX(Settings!$B$29:$B$40,MONTH(A2056)),INDEX(Settings!$B$29:$B$40,MONTH(A2056)))))</f>
        <v/>
      </c>
    </row>
    <row r="2057" customFormat="false" ht="15" hidden="false" customHeight="false" outlineLevel="0" collapsed="false">
      <c r="H2057" s="0" t="str">
        <f aca="false">IF(B2057="","",IF(COUNTIF(Campaigns!$A$7:$A$300,B2057)&gt;0,"✓","⚠ add to Campaigns tab"))</f>
        <v/>
      </c>
      <c r="I2057" s="84" t="str">
        <f aca="false">IF(C2057="","",C2057*IF(Settings!$B$22=Settings!$C$6,1,IF(Settings!$B$22="USD",1/INDEX(Settings!$B$29:$B$40,MONTH(A2057)),INDEX(Settings!$B$29:$B$40,MONTH(A2057)))))</f>
        <v/>
      </c>
    </row>
    <row r="2058" customFormat="false" ht="15" hidden="false" customHeight="false" outlineLevel="0" collapsed="false">
      <c r="H2058" s="0" t="str">
        <f aca="false">IF(B2058="","",IF(COUNTIF(Campaigns!$A$7:$A$300,B2058)&gt;0,"✓","⚠ add to Campaigns tab"))</f>
        <v/>
      </c>
      <c r="I2058" s="84" t="str">
        <f aca="false">IF(C2058="","",C2058*IF(Settings!$B$22=Settings!$C$6,1,IF(Settings!$B$22="USD",1/INDEX(Settings!$B$29:$B$40,MONTH(A2058)),INDEX(Settings!$B$29:$B$40,MONTH(A2058)))))</f>
        <v/>
      </c>
    </row>
    <row r="2059" customFormat="false" ht="15" hidden="false" customHeight="false" outlineLevel="0" collapsed="false">
      <c r="H2059" s="0" t="str">
        <f aca="false">IF(B2059="","",IF(COUNTIF(Campaigns!$A$7:$A$300,B2059)&gt;0,"✓","⚠ add to Campaigns tab"))</f>
        <v/>
      </c>
      <c r="I2059" s="84" t="str">
        <f aca="false">IF(C2059="","",C2059*IF(Settings!$B$22=Settings!$C$6,1,IF(Settings!$B$22="USD",1/INDEX(Settings!$B$29:$B$40,MONTH(A2059)),INDEX(Settings!$B$29:$B$40,MONTH(A2059)))))</f>
        <v/>
      </c>
    </row>
    <row r="2060" customFormat="false" ht="15" hidden="false" customHeight="false" outlineLevel="0" collapsed="false">
      <c r="H2060" s="0" t="str">
        <f aca="false">IF(B2060="","",IF(COUNTIF(Campaigns!$A$7:$A$300,B2060)&gt;0,"✓","⚠ add to Campaigns tab"))</f>
        <v/>
      </c>
      <c r="I2060" s="84" t="str">
        <f aca="false">IF(C2060="","",C2060*IF(Settings!$B$22=Settings!$C$6,1,IF(Settings!$B$22="USD",1/INDEX(Settings!$B$29:$B$40,MONTH(A2060)),INDEX(Settings!$B$29:$B$40,MONTH(A2060)))))</f>
        <v/>
      </c>
    </row>
    <row r="2061" customFormat="false" ht="15" hidden="false" customHeight="false" outlineLevel="0" collapsed="false">
      <c r="H2061" s="0" t="str">
        <f aca="false">IF(B2061="","",IF(COUNTIF(Campaigns!$A$7:$A$300,B2061)&gt;0,"✓","⚠ add to Campaigns tab"))</f>
        <v/>
      </c>
      <c r="I2061" s="84" t="str">
        <f aca="false">IF(C2061="","",C2061*IF(Settings!$B$22=Settings!$C$6,1,IF(Settings!$B$22="USD",1/INDEX(Settings!$B$29:$B$40,MONTH(A2061)),INDEX(Settings!$B$29:$B$40,MONTH(A2061)))))</f>
        <v/>
      </c>
    </row>
    <row r="2062" customFormat="false" ht="15" hidden="false" customHeight="false" outlineLevel="0" collapsed="false">
      <c r="H2062" s="0" t="str">
        <f aca="false">IF(B2062="","",IF(COUNTIF(Campaigns!$A$7:$A$300,B2062)&gt;0,"✓","⚠ add to Campaigns tab"))</f>
        <v/>
      </c>
      <c r="I2062" s="84" t="str">
        <f aca="false">IF(C2062="","",C2062*IF(Settings!$B$22=Settings!$C$6,1,IF(Settings!$B$22="USD",1/INDEX(Settings!$B$29:$B$40,MONTH(A2062)),INDEX(Settings!$B$29:$B$40,MONTH(A2062)))))</f>
        <v/>
      </c>
    </row>
    <row r="2063" customFormat="false" ht="15" hidden="false" customHeight="false" outlineLevel="0" collapsed="false">
      <c r="H2063" s="0" t="str">
        <f aca="false">IF(B2063="","",IF(COUNTIF(Campaigns!$A$7:$A$300,B2063)&gt;0,"✓","⚠ add to Campaigns tab"))</f>
        <v/>
      </c>
      <c r="I2063" s="84" t="str">
        <f aca="false">IF(C2063="","",C2063*IF(Settings!$B$22=Settings!$C$6,1,IF(Settings!$B$22="USD",1/INDEX(Settings!$B$29:$B$40,MONTH(A2063)),INDEX(Settings!$B$29:$B$40,MONTH(A2063)))))</f>
        <v/>
      </c>
    </row>
    <row r="2064" customFormat="false" ht="15" hidden="false" customHeight="false" outlineLevel="0" collapsed="false">
      <c r="H2064" s="0" t="str">
        <f aca="false">IF(B2064="","",IF(COUNTIF(Campaigns!$A$7:$A$300,B2064)&gt;0,"✓","⚠ add to Campaigns tab"))</f>
        <v/>
      </c>
      <c r="I2064" s="84" t="str">
        <f aca="false">IF(C2064="","",C2064*IF(Settings!$B$22=Settings!$C$6,1,IF(Settings!$B$22="USD",1/INDEX(Settings!$B$29:$B$40,MONTH(A2064)),INDEX(Settings!$B$29:$B$40,MONTH(A2064)))))</f>
        <v/>
      </c>
    </row>
    <row r="2065" customFormat="false" ht="15" hidden="false" customHeight="false" outlineLevel="0" collapsed="false">
      <c r="H2065" s="0" t="str">
        <f aca="false">IF(B2065="","",IF(COUNTIF(Campaigns!$A$7:$A$300,B2065)&gt;0,"✓","⚠ add to Campaigns tab"))</f>
        <v/>
      </c>
      <c r="I2065" s="84" t="str">
        <f aca="false">IF(C2065="","",C2065*IF(Settings!$B$22=Settings!$C$6,1,IF(Settings!$B$22="USD",1/INDEX(Settings!$B$29:$B$40,MONTH(A2065)),INDEX(Settings!$B$29:$B$40,MONTH(A2065)))))</f>
        <v/>
      </c>
    </row>
    <row r="2066" customFormat="false" ht="15" hidden="false" customHeight="false" outlineLevel="0" collapsed="false">
      <c r="H2066" s="0" t="str">
        <f aca="false">IF(B2066="","",IF(COUNTIF(Campaigns!$A$7:$A$300,B2066)&gt;0,"✓","⚠ add to Campaigns tab"))</f>
        <v/>
      </c>
      <c r="I2066" s="84" t="str">
        <f aca="false">IF(C2066="","",C2066*IF(Settings!$B$22=Settings!$C$6,1,IF(Settings!$B$22="USD",1/INDEX(Settings!$B$29:$B$40,MONTH(A2066)),INDEX(Settings!$B$29:$B$40,MONTH(A2066)))))</f>
        <v/>
      </c>
    </row>
    <row r="2067" customFormat="false" ht="15" hidden="false" customHeight="false" outlineLevel="0" collapsed="false">
      <c r="H2067" s="0" t="str">
        <f aca="false">IF(B2067="","",IF(COUNTIF(Campaigns!$A$7:$A$300,B2067)&gt;0,"✓","⚠ add to Campaigns tab"))</f>
        <v/>
      </c>
      <c r="I2067" s="84" t="str">
        <f aca="false">IF(C2067="","",C2067*IF(Settings!$B$22=Settings!$C$6,1,IF(Settings!$B$22="USD",1/INDEX(Settings!$B$29:$B$40,MONTH(A2067)),INDEX(Settings!$B$29:$B$40,MONTH(A2067)))))</f>
        <v/>
      </c>
    </row>
    <row r="2068" customFormat="false" ht="15" hidden="false" customHeight="false" outlineLevel="0" collapsed="false">
      <c r="H2068" s="0" t="str">
        <f aca="false">IF(B2068="","",IF(COUNTIF(Campaigns!$A$7:$A$300,B2068)&gt;0,"✓","⚠ add to Campaigns tab"))</f>
        <v/>
      </c>
      <c r="I2068" s="84" t="str">
        <f aca="false">IF(C2068="","",C2068*IF(Settings!$B$22=Settings!$C$6,1,IF(Settings!$B$22="USD",1/INDEX(Settings!$B$29:$B$40,MONTH(A2068)),INDEX(Settings!$B$29:$B$40,MONTH(A2068)))))</f>
        <v/>
      </c>
    </row>
    <row r="2069" customFormat="false" ht="15" hidden="false" customHeight="false" outlineLevel="0" collapsed="false">
      <c r="H2069" s="0" t="str">
        <f aca="false">IF(B2069="","",IF(COUNTIF(Campaigns!$A$7:$A$300,B2069)&gt;0,"✓","⚠ add to Campaigns tab"))</f>
        <v/>
      </c>
      <c r="I2069" s="84" t="str">
        <f aca="false">IF(C2069="","",C2069*IF(Settings!$B$22=Settings!$C$6,1,IF(Settings!$B$22="USD",1/INDEX(Settings!$B$29:$B$40,MONTH(A2069)),INDEX(Settings!$B$29:$B$40,MONTH(A2069)))))</f>
        <v/>
      </c>
    </row>
    <row r="2070" customFormat="false" ht="15" hidden="false" customHeight="false" outlineLevel="0" collapsed="false">
      <c r="H2070" s="0" t="str">
        <f aca="false">IF(B2070="","",IF(COUNTIF(Campaigns!$A$7:$A$300,B2070)&gt;0,"✓","⚠ add to Campaigns tab"))</f>
        <v/>
      </c>
      <c r="I2070" s="84" t="str">
        <f aca="false">IF(C2070="","",C2070*IF(Settings!$B$22=Settings!$C$6,1,IF(Settings!$B$22="USD",1/INDEX(Settings!$B$29:$B$40,MONTH(A2070)),INDEX(Settings!$B$29:$B$40,MONTH(A2070)))))</f>
        <v/>
      </c>
    </row>
    <row r="2071" customFormat="false" ht="15" hidden="false" customHeight="false" outlineLevel="0" collapsed="false">
      <c r="H2071" s="0" t="str">
        <f aca="false">IF(B2071="","",IF(COUNTIF(Campaigns!$A$7:$A$300,B2071)&gt;0,"✓","⚠ add to Campaigns tab"))</f>
        <v/>
      </c>
      <c r="I2071" s="84" t="str">
        <f aca="false">IF(C2071="","",C2071*IF(Settings!$B$22=Settings!$C$6,1,IF(Settings!$B$22="USD",1/INDEX(Settings!$B$29:$B$40,MONTH(A2071)),INDEX(Settings!$B$29:$B$40,MONTH(A2071)))))</f>
        <v/>
      </c>
    </row>
    <row r="2072" customFormat="false" ht="15" hidden="false" customHeight="false" outlineLevel="0" collapsed="false">
      <c r="H2072" s="0" t="str">
        <f aca="false">IF(B2072="","",IF(COUNTIF(Campaigns!$A$7:$A$300,B2072)&gt;0,"✓","⚠ add to Campaigns tab"))</f>
        <v/>
      </c>
      <c r="I2072" s="84" t="str">
        <f aca="false">IF(C2072="","",C2072*IF(Settings!$B$22=Settings!$C$6,1,IF(Settings!$B$22="USD",1/INDEX(Settings!$B$29:$B$40,MONTH(A2072)),INDEX(Settings!$B$29:$B$40,MONTH(A2072)))))</f>
        <v/>
      </c>
    </row>
    <row r="2073" customFormat="false" ht="15" hidden="false" customHeight="false" outlineLevel="0" collapsed="false">
      <c r="H2073" s="0" t="str">
        <f aca="false">IF(B2073="","",IF(COUNTIF(Campaigns!$A$7:$A$300,B2073)&gt;0,"✓","⚠ add to Campaigns tab"))</f>
        <v/>
      </c>
      <c r="I2073" s="84" t="str">
        <f aca="false">IF(C2073="","",C2073*IF(Settings!$B$22=Settings!$C$6,1,IF(Settings!$B$22="USD",1/INDEX(Settings!$B$29:$B$40,MONTH(A2073)),INDEX(Settings!$B$29:$B$40,MONTH(A2073)))))</f>
        <v/>
      </c>
    </row>
    <row r="2074" customFormat="false" ht="15" hidden="false" customHeight="false" outlineLevel="0" collapsed="false">
      <c r="H2074" s="0" t="str">
        <f aca="false">IF(B2074="","",IF(COUNTIF(Campaigns!$A$7:$A$300,B2074)&gt;0,"✓","⚠ add to Campaigns tab"))</f>
        <v/>
      </c>
      <c r="I2074" s="84" t="str">
        <f aca="false">IF(C2074="","",C2074*IF(Settings!$B$22=Settings!$C$6,1,IF(Settings!$B$22="USD",1/INDEX(Settings!$B$29:$B$40,MONTH(A2074)),INDEX(Settings!$B$29:$B$40,MONTH(A2074)))))</f>
        <v/>
      </c>
    </row>
    <row r="2075" customFormat="false" ht="15" hidden="false" customHeight="false" outlineLevel="0" collapsed="false">
      <c r="H2075" s="0" t="str">
        <f aca="false">IF(B2075="","",IF(COUNTIF(Campaigns!$A$7:$A$300,B2075)&gt;0,"✓","⚠ add to Campaigns tab"))</f>
        <v/>
      </c>
      <c r="I2075" s="84" t="str">
        <f aca="false">IF(C2075="","",C2075*IF(Settings!$B$22=Settings!$C$6,1,IF(Settings!$B$22="USD",1/INDEX(Settings!$B$29:$B$40,MONTH(A2075)),INDEX(Settings!$B$29:$B$40,MONTH(A2075)))))</f>
        <v/>
      </c>
    </row>
    <row r="2076" customFormat="false" ht="15" hidden="false" customHeight="false" outlineLevel="0" collapsed="false">
      <c r="H2076" s="0" t="str">
        <f aca="false">IF(B2076="","",IF(COUNTIF(Campaigns!$A$7:$A$300,B2076)&gt;0,"✓","⚠ add to Campaigns tab"))</f>
        <v/>
      </c>
      <c r="I2076" s="84" t="str">
        <f aca="false">IF(C2076="","",C2076*IF(Settings!$B$22=Settings!$C$6,1,IF(Settings!$B$22="USD",1/INDEX(Settings!$B$29:$B$40,MONTH(A2076)),INDEX(Settings!$B$29:$B$40,MONTH(A2076)))))</f>
        <v/>
      </c>
    </row>
    <row r="2077" customFormat="false" ht="15" hidden="false" customHeight="false" outlineLevel="0" collapsed="false">
      <c r="H2077" s="0" t="str">
        <f aca="false">IF(B2077="","",IF(COUNTIF(Campaigns!$A$7:$A$300,B2077)&gt;0,"✓","⚠ add to Campaigns tab"))</f>
        <v/>
      </c>
      <c r="I2077" s="84" t="str">
        <f aca="false">IF(C2077="","",C2077*IF(Settings!$B$22=Settings!$C$6,1,IF(Settings!$B$22="USD",1/INDEX(Settings!$B$29:$B$40,MONTH(A2077)),INDEX(Settings!$B$29:$B$40,MONTH(A2077)))))</f>
        <v/>
      </c>
    </row>
    <row r="2078" customFormat="false" ht="15" hidden="false" customHeight="false" outlineLevel="0" collapsed="false">
      <c r="H2078" s="0" t="str">
        <f aca="false">IF(B2078="","",IF(COUNTIF(Campaigns!$A$7:$A$300,B2078)&gt;0,"✓","⚠ add to Campaigns tab"))</f>
        <v/>
      </c>
      <c r="I2078" s="84" t="str">
        <f aca="false">IF(C2078="","",C2078*IF(Settings!$B$22=Settings!$C$6,1,IF(Settings!$B$22="USD",1/INDEX(Settings!$B$29:$B$40,MONTH(A2078)),INDEX(Settings!$B$29:$B$40,MONTH(A2078)))))</f>
        <v/>
      </c>
    </row>
    <row r="2079" customFormat="false" ht="15" hidden="false" customHeight="false" outlineLevel="0" collapsed="false">
      <c r="H2079" s="0" t="str">
        <f aca="false">IF(B2079="","",IF(COUNTIF(Campaigns!$A$7:$A$300,B2079)&gt;0,"✓","⚠ add to Campaigns tab"))</f>
        <v/>
      </c>
      <c r="I2079" s="84" t="str">
        <f aca="false">IF(C2079="","",C2079*IF(Settings!$B$22=Settings!$C$6,1,IF(Settings!$B$22="USD",1/INDEX(Settings!$B$29:$B$40,MONTH(A2079)),INDEX(Settings!$B$29:$B$40,MONTH(A2079)))))</f>
        <v/>
      </c>
    </row>
    <row r="2080" customFormat="false" ht="15" hidden="false" customHeight="false" outlineLevel="0" collapsed="false">
      <c r="H2080" s="0" t="str">
        <f aca="false">IF(B2080="","",IF(COUNTIF(Campaigns!$A$7:$A$300,B2080)&gt;0,"✓","⚠ add to Campaigns tab"))</f>
        <v/>
      </c>
      <c r="I2080" s="84" t="str">
        <f aca="false">IF(C2080="","",C2080*IF(Settings!$B$22=Settings!$C$6,1,IF(Settings!$B$22="USD",1/INDEX(Settings!$B$29:$B$40,MONTH(A2080)),INDEX(Settings!$B$29:$B$40,MONTH(A2080)))))</f>
        <v/>
      </c>
    </row>
    <row r="2081" customFormat="false" ht="15" hidden="false" customHeight="false" outlineLevel="0" collapsed="false">
      <c r="H2081" s="0" t="str">
        <f aca="false">IF(B2081="","",IF(COUNTIF(Campaigns!$A$7:$A$300,B2081)&gt;0,"✓","⚠ add to Campaigns tab"))</f>
        <v/>
      </c>
      <c r="I2081" s="84" t="str">
        <f aca="false">IF(C2081="","",C2081*IF(Settings!$B$22=Settings!$C$6,1,IF(Settings!$B$22="USD",1/INDEX(Settings!$B$29:$B$40,MONTH(A2081)),INDEX(Settings!$B$29:$B$40,MONTH(A2081)))))</f>
        <v/>
      </c>
    </row>
    <row r="2082" customFormat="false" ht="15" hidden="false" customHeight="false" outlineLevel="0" collapsed="false">
      <c r="H2082" s="0" t="str">
        <f aca="false">IF(B2082="","",IF(COUNTIF(Campaigns!$A$7:$A$300,B2082)&gt;0,"✓","⚠ add to Campaigns tab"))</f>
        <v/>
      </c>
      <c r="I2082" s="84" t="str">
        <f aca="false">IF(C2082="","",C2082*IF(Settings!$B$22=Settings!$C$6,1,IF(Settings!$B$22="USD",1/INDEX(Settings!$B$29:$B$40,MONTH(A2082)),INDEX(Settings!$B$29:$B$40,MONTH(A2082)))))</f>
        <v/>
      </c>
    </row>
    <row r="2083" customFormat="false" ht="15" hidden="false" customHeight="false" outlineLevel="0" collapsed="false">
      <c r="H2083" s="0" t="str">
        <f aca="false">IF(B2083="","",IF(COUNTIF(Campaigns!$A$7:$A$300,B2083)&gt;0,"✓","⚠ add to Campaigns tab"))</f>
        <v/>
      </c>
      <c r="I2083" s="84" t="str">
        <f aca="false">IF(C2083="","",C2083*IF(Settings!$B$22=Settings!$C$6,1,IF(Settings!$B$22="USD",1/INDEX(Settings!$B$29:$B$40,MONTH(A2083)),INDEX(Settings!$B$29:$B$40,MONTH(A2083)))))</f>
        <v/>
      </c>
    </row>
    <row r="2084" customFormat="false" ht="15" hidden="false" customHeight="false" outlineLevel="0" collapsed="false">
      <c r="H2084" s="0" t="str">
        <f aca="false">IF(B2084="","",IF(COUNTIF(Campaigns!$A$7:$A$300,B2084)&gt;0,"✓","⚠ add to Campaigns tab"))</f>
        <v/>
      </c>
      <c r="I2084" s="84" t="str">
        <f aca="false">IF(C2084="","",C2084*IF(Settings!$B$22=Settings!$C$6,1,IF(Settings!$B$22="USD",1/INDEX(Settings!$B$29:$B$40,MONTH(A2084)),INDEX(Settings!$B$29:$B$40,MONTH(A2084)))))</f>
        <v/>
      </c>
    </row>
    <row r="2085" customFormat="false" ht="15" hidden="false" customHeight="false" outlineLevel="0" collapsed="false">
      <c r="H2085" s="0" t="str">
        <f aca="false">IF(B2085="","",IF(COUNTIF(Campaigns!$A$7:$A$300,B2085)&gt;0,"✓","⚠ add to Campaigns tab"))</f>
        <v/>
      </c>
      <c r="I2085" s="84" t="str">
        <f aca="false">IF(C2085="","",C2085*IF(Settings!$B$22=Settings!$C$6,1,IF(Settings!$B$22="USD",1/INDEX(Settings!$B$29:$B$40,MONTH(A2085)),INDEX(Settings!$B$29:$B$40,MONTH(A2085)))))</f>
        <v/>
      </c>
    </row>
    <row r="2086" customFormat="false" ht="15" hidden="false" customHeight="false" outlineLevel="0" collapsed="false">
      <c r="H2086" s="0" t="str">
        <f aca="false">IF(B2086="","",IF(COUNTIF(Campaigns!$A$7:$A$300,B2086)&gt;0,"✓","⚠ add to Campaigns tab"))</f>
        <v/>
      </c>
      <c r="I2086" s="84" t="str">
        <f aca="false">IF(C2086="","",C2086*IF(Settings!$B$22=Settings!$C$6,1,IF(Settings!$B$22="USD",1/INDEX(Settings!$B$29:$B$40,MONTH(A2086)),INDEX(Settings!$B$29:$B$40,MONTH(A2086)))))</f>
        <v/>
      </c>
    </row>
    <row r="2087" customFormat="false" ht="15" hidden="false" customHeight="false" outlineLevel="0" collapsed="false">
      <c r="H2087" s="0" t="str">
        <f aca="false">IF(B2087="","",IF(COUNTIF(Campaigns!$A$7:$A$300,B2087)&gt;0,"✓","⚠ add to Campaigns tab"))</f>
        <v/>
      </c>
      <c r="I2087" s="84" t="str">
        <f aca="false">IF(C2087="","",C2087*IF(Settings!$B$22=Settings!$C$6,1,IF(Settings!$B$22="USD",1/INDEX(Settings!$B$29:$B$40,MONTH(A2087)),INDEX(Settings!$B$29:$B$40,MONTH(A2087)))))</f>
        <v/>
      </c>
    </row>
    <row r="2088" customFormat="false" ht="15" hidden="false" customHeight="false" outlineLevel="0" collapsed="false">
      <c r="H2088" s="0" t="str">
        <f aca="false">IF(B2088="","",IF(COUNTIF(Campaigns!$A$7:$A$300,B2088)&gt;0,"✓","⚠ add to Campaigns tab"))</f>
        <v/>
      </c>
      <c r="I2088" s="84" t="str">
        <f aca="false">IF(C2088="","",C2088*IF(Settings!$B$22=Settings!$C$6,1,IF(Settings!$B$22="USD",1/INDEX(Settings!$B$29:$B$40,MONTH(A2088)),INDEX(Settings!$B$29:$B$40,MONTH(A2088)))))</f>
        <v/>
      </c>
    </row>
    <row r="2089" customFormat="false" ht="15" hidden="false" customHeight="false" outlineLevel="0" collapsed="false">
      <c r="H2089" s="0" t="str">
        <f aca="false">IF(B2089="","",IF(COUNTIF(Campaigns!$A$7:$A$300,B2089)&gt;0,"✓","⚠ add to Campaigns tab"))</f>
        <v/>
      </c>
      <c r="I2089" s="84" t="str">
        <f aca="false">IF(C2089="","",C2089*IF(Settings!$B$22=Settings!$C$6,1,IF(Settings!$B$22="USD",1/INDEX(Settings!$B$29:$B$40,MONTH(A2089)),INDEX(Settings!$B$29:$B$40,MONTH(A2089)))))</f>
        <v/>
      </c>
    </row>
    <row r="2090" customFormat="false" ht="15" hidden="false" customHeight="false" outlineLevel="0" collapsed="false">
      <c r="H2090" s="0" t="str">
        <f aca="false">IF(B2090="","",IF(COUNTIF(Campaigns!$A$7:$A$300,B2090)&gt;0,"✓","⚠ add to Campaigns tab"))</f>
        <v/>
      </c>
      <c r="I2090" s="84" t="str">
        <f aca="false">IF(C2090="","",C2090*IF(Settings!$B$22=Settings!$C$6,1,IF(Settings!$B$22="USD",1/INDEX(Settings!$B$29:$B$40,MONTH(A2090)),INDEX(Settings!$B$29:$B$40,MONTH(A2090)))))</f>
        <v/>
      </c>
    </row>
    <row r="2091" customFormat="false" ht="15" hidden="false" customHeight="false" outlineLevel="0" collapsed="false">
      <c r="H2091" s="0" t="str">
        <f aca="false">IF(B2091="","",IF(COUNTIF(Campaigns!$A$7:$A$300,B2091)&gt;0,"✓","⚠ add to Campaigns tab"))</f>
        <v/>
      </c>
      <c r="I2091" s="84" t="str">
        <f aca="false">IF(C2091="","",C2091*IF(Settings!$B$22=Settings!$C$6,1,IF(Settings!$B$22="USD",1/INDEX(Settings!$B$29:$B$40,MONTH(A2091)),INDEX(Settings!$B$29:$B$40,MONTH(A2091)))))</f>
        <v/>
      </c>
    </row>
    <row r="2092" customFormat="false" ht="15" hidden="false" customHeight="false" outlineLevel="0" collapsed="false">
      <c r="H2092" s="0" t="str">
        <f aca="false">IF(B2092="","",IF(COUNTIF(Campaigns!$A$7:$A$300,B2092)&gt;0,"✓","⚠ add to Campaigns tab"))</f>
        <v/>
      </c>
      <c r="I2092" s="84" t="str">
        <f aca="false">IF(C2092="","",C2092*IF(Settings!$B$22=Settings!$C$6,1,IF(Settings!$B$22="USD",1/INDEX(Settings!$B$29:$B$40,MONTH(A2092)),INDEX(Settings!$B$29:$B$40,MONTH(A2092)))))</f>
        <v/>
      </c>
    </row>
    <row r="2093" customFormat="false" ht="15" hidden="false" customHeight="false" outlineLevel="0" collapsed="false">
      <c r="H2093" s="0" t="str">
        <f aca="false">IF(B2093="","",IF(COUNTIF(Campaigns!$A$7:$A$300,B2093)&gt;0,"✓","⚠ add to Campaigns tab"))</f>
        <v/>
      </c>
      <c r="I2093" s="84" t="str">
        <f aca="false">IF(C2093="","",C2093*IF(Settings!$B$22=Settings!$C$6,1,IF(Settings!$B$22="USD",1/INDEX(Settings!$B$29:$B$40,MONTH(A2093)),INDEX(Settings!$B$29:$B$40,MONTH(A2093)))))</f>
        <v/>
      </c>
    </row>
    <row r="2094" customFormat="false" ht="15" hidden="false" customHeight="false" outlineLevel="0" collapsed="false">
      <c r="H2094" s="0" t="str">
        <f aca="false">IF(B2094="","",IF(COUNTIF(Campaigns!$A$7:$A$300,B2094)&gt;0,"✓","⚠ add to Campaigns tab"))</f>
        <v/>
      </c>
      <c r="I2094" s="84" t="str">
        <f aca="false">IF(C2094="","",C2094*IF(Settings!$B$22=Settings!$C$6,1,IF(Settings!$B$22="USD",1/INDEX(Settings!$B$29:$B$40,MONTH(A2094)),INDEX(Settings!$B$29:$B$40,MONTH(A2094)))))</f>
        <v/>
      </c>
    </row>
    <row r="2095" customFormat="false" ht="15" hidden="false" customHeight="false" outlineLevel="0" collapsed="false">
      <c r="H2095" s="0" t="str">
        <f aca="false">IF(B2095="","",IF(COUNTIF(Campaigns!$A$7:$A$300,B2095)&gt;0,"✓","⚠ add to Campaigns tab"))</f>
        <v/>
      </c>
      <c r="I2095" s="84" t="str">
        <f aca="false">IF(C2095="","",C2095*IF(Settings!$B$22=Settings!$C$6,1,IF(Settings!$B$22="USD",1/INDEX(Settings!$B$29:$B$40,MONTH(A2095)),INDEX(Settings!$B$29:$B$40,MONTH(A2095)))))</f>
        <v/>
      </c>
    </row>
    <row r="2096" customFormat="false" ht="15" hidden="false" customHeight="false" outlineLevel="0" collapsed="false">
      <c r="H2096" s="0" t="str">
        <f aca="false">IF(B2096="","",IF(COUNTIF(Campaigns!$A$7:$A$300,B2096)&gt;0,"✓","⚠ add to Campaigns tab"))</f>
        <v/>
      </c>
      <c r="I2096" s="84" t="str">
        <f aca="false">IF(C2096="","",C2096*IF(Settings!$B$22=Settings!$C$6,1,IF(Settings!$B$22="USD",1/INDEX(Settings!$B$29:$B$40,MONTH(A2096)),INDEX(Settings!$B$29:$B$40,MONTH(A2096)))))</f>
        <v/>
      </c>
    </row>
    <row r="2097" customFormat="false" ht="15" hidden="false" customHeight="false" outlineLevel="0" collapsed="false">
      <c r="H2097" s="0" t="str">
        <f aca="false">IF(B2097="","",IF(COUNTIF(Campaigns!$A$7:$A$300,B2097)&gt;0,"✓","⚠ add to Campaigns tab"))</f>
        <v/>
      </c>
      <c r="I2097" s="84" t="str">
        <f aca="false">IF(C2097="","",C2097*IF(Settings!$B$22=Settings!$C$6,1,IF(Settings!$B$22="USD",1/INDEX(Settings!$B$29:$B$40,MONTH(A2097)),INDEX(Settings!$B$29:$B$40,MONTH(A2097)))))</f>
        <v/>
      </c>
    </row>
    <row r="2098" customFormat="false" ht="15" hidden="false" customHeight="false" outlineLevel="0" collapsed="false">
      <c r="H2098" s="0" t="str">
        <f aca="false">IF(B2098="","",IF(COUNTIF(Campaigns!$A$7:$A$300,B2098)&gt;0,"✓","⚠ add to Campaigns tab"))</f>
        <v/>
      </c>
      <c r="I2098" s="84" t="str">
        <f aca="false">IF(C2098="","",C2098*IF(Settings!$B$22=Settings!$C$6,1,IF(Settings!$B$22="USD",1/INDEX(Settings!$B$29:$B$40,MONTH(A2098)),INDEX(Settings!$B$29:$B$40,MONTH(A2098)))))</f>
        <v/>
      </c>
    </row>
    <row r="2099" customFormat="false" ht="15" hidden="false" customHeight="false" outlineLevel="0" collapsed="false">
      <c r="H2099" s="0" t="str">
        <f aca="false">IF(B2099="","",IF(COUNTIF(Campaigns!$A$7:$A$300,B2099)&gt;0,"✓","⚠ add to Campaigns tab"))</f>
        <v/>
      </c>
      <c r="I2099" s="84" t="str">
        <f aca="false">IF(C2099="","",C2099*IF(Settings!$B$22=Settings!$C$6,1,IF(Settings!$B$22="USD",1/INDEX(Settings!$B$29:$B$40,MONTH(A2099)),INDEX(Settings!$B$29:$B$40,MONTH(A2099)))))</f>
        <v/>
      </c>
    </row>
    <row r="2100" customFormat="false" ht="15" hidden="false" customHeight="false" outlineLevel="0" collapsed="false">
      <c r="H2100" s="0" t="str">
        <f aca="false">IF(B2100="","",IF(COUNTIF(Campaigns!$A$7:$A$300,B2100)&gt;0,"✓","⚠ add to Campaigns tab"))</f>
        <v/>
      </c>
      <c r="I2100" s="84" t="str">
        <f aca="false">IF(C2100="","",C2100*IF(Settings!$B$22=Settings!$C$6,1,IF(Settings!$B$22="USD",1/INDEX(Settings!$B$29:$B$40,MONTH(A2100)),INDEX(Settings!$B$29:$B$40,MONTH(A2100)))))</f>
        <v/>
      </c>
    </row>
    <row r="2101" customFormat="false" ht="15" hidden="false" customHeight="false" outlineLevel="0" collapsed="false">
      <c r="H2101" s="0" t="str">
        <f aca="false">IF(B2101="","",IF(COUNTIF(Campaigns!$A$7:$A$300,B2101)&gt;0,"✓","⚠ add to Campaigns tab"))</f>
        <v/>
      </c>
      <c r="I2101" s="84" t="str">
        <f aca="false">IF(C2101="","",C2101*IF(Settings!$B$22=Settings!$C$6,1,IF(Settings!$B$22="USD",1/INDEX(Settings!$B$29:$B$40,MONTH(A2101)),INDEX(Settings!$B$29:$B$40,MONTH(A2101)))))</f>
        <v/>
      </c>
    </row>
    <row r="2102" customFormat="false" ht="15" hidden="false" customHeight="false" outlineLevel="0" collapsed="false">
      <c r="H2102" s="0" t="str">
        <f aca="false">IF(B2102="","",IF(COUNTIF(Campaigns!$A$7:$A$300,B2102)&gt;0,"✓","⚠ add to Campaigns tab"))</f>
        <v/>
      </c>
      <c r="I2102" s="84" t="str">
        <f aca="false">IF(C2102="","",C2102*IF(Settings!$B$22=Settings!$C$6,1,IF(Settings!$B$22="USD",1/INDEX(Settings!$B$29:$B$40,MONTH(A2102)),INDEX(Settings!$B$29:$B$40,MONTH(A2102)))))</f>
        <v/>
      </c>
    </row>
    <row r="2103" customFormat="false" ht="15" hidden="false" customHeight="false" outlineLevel="0" collapsed="false">
      <c r="H2103" s="0" t="str">
        <f aca="false">IF(B2103="","",IF(COUNTIF(Campaigns!$A$7:$A$300,B2103)&gt;0,"✓","⚠ add to Campaigns tab"))</f>
        <v/>
      </c>
      <c r="I2103" s="84" t="str">
        <f aca="false">IF(C2103="","",C2103*IF(Settings!$B$22=Settings!$C$6,1,IF(Settings!$B$22="USD",1/INDEX(Settings!$B$29:$B$40,MONTH(A2103)),INDEX(Settings!$B$29:$B$40,MONTH(A2103)))))</f>
        <v/>
      </c>
    </row>
    <row r="2104" customFormat="false" ht="15" hidden="false" customHeight="false" outlineLevel="0" collapsed="false">
      <c r="H2104" s="0" t="str">
        <f aca="false">IF(B2104="","",IF(COUNTIF(Campaigns!$A$7:$A$300,B2104)&gt;0,"✓","⚠ add to Campaigns tab"))</f>
        <v/>
      </c>
      <c r="I2104" s="84" t="str">
        <f aca="false">IF(C2104="","",C2104*IF(Settings!$B$22=Settings!$C$6,1,IF(Settings!$B$22="USD",1/INDEX(Settings!$B$29:$B$40,MONTH(A2104)),INDEX(Settings!$B$29:$B$40,MONTH(A2104)))))</f>
        <v/>
      </c>
    </row>
    <row r="2105" customFormat="false" ht="15" hidden="false" customHeight="false" outlineLevel="0" collapsed="false">
      <c r="H2105" s="0" t="str">
        <f aca="false">IF(B2105="","",IF(COUNTIF(Campaigns!$A$7:$A$300,B2105)&gt;0,"✓","⚠ add to Campaigns tab"))</f>
        <v/>
      </c>
      <c r="I2105" s="84" t="str">
        <f aca="false">IF(C2105="","",C2105*IF(Settings!$B$22=Settings!$C$6,1,IF(Settings!$B$22="USD",1/INDEX(Settings!$B$29:$B$40,MONTH(A2105)),INDEX(Settings!$B$29:$B$40,MONTH(A2105)))))</f>
        <v/>
      </c>
    </row>
    <row r="2106" customFormat="false" ht="15" hidden="false" customHeight="false" outlineLevel="0" collapsed="false">
      <c r="H2106" s="0" t="str">
        <f aca="false">IF(B2106="","",IF(COUNTIF(Campaigns!$A$7:$A$300,B2106)&gt;0,"✓","⚠ add to Campaigns tab"))</f>
        <v/>
      </c>
      <c r="I2106" s="84" t="str">
        <f aca="false">IF(C2106="","",C2106*IF(Settings!$B$22=Settings!$C$6,1,IF(Settings!$B$22="USD",1/INDEX(Settings!$B$29:$B$40,MONTH(A2106)),INDEX(Settings!$B$29:$B$40,MONTH(A2106)))))</f>
        <v/>
      </c>
    </row>
    <row r="2107" customFormat="false" ht="15" hidden="false" customHeight="false" outlineLevel="0" collapsed="false">
      <c r="H2107" s="0" t="str">
        <f aca="false">IF(B2107="","",IF(COUNTIF(Campaigns!$A$7:$A$300,B2107)&gt;0,"✓","⚠ add to Campaigns tab"))</f>
        <v/>
      </c>
      <c r="I2107" s="84" t="str">
        <f aca="false">IF(C2107="","",C2107*IF(Settings!$B$22=Settings!$C$6,1,IF(Settings!$B$22="USD",1/INDEX(Settings!$B$29:$B$40,MONTH(A2107)),INDEX(Settings!$B$29:$B$40,MONTH(A2107)))))</f>
        <v/>
      </c>
    </row>
    <row r="2108" customFormat="false" ht="15" hidden="false" customHeight="false" outlineLevel="0" collapsed="false">
      <c r="H2108" s="0" t="str">
        <f aca="false">IF(B2108="","",IF(COUNTIF(Campaigns!$A$7:$A$300,B2108)&gt;0,"✓","⚠ add to Campaigns tab"))</f>
        <v/>
      </c>
      <c r="I2108" s="84" t="str">
        <f aca="false">IF(C2108="","",C2108*IF(Settings!$B$22=Settings!$C$6,1,IF(Settings!$B$22="USD",1/INDEX(Settings!$B$29:$B$40,MONTH(A2108)),INDEX(Settings!$B$29:$B$40,MONTH(A2108)))))</f>
        <v/>
      </c>
    </row>
    <row r="2109" customFormat="false" ht="15" hidden="false" customHeight="false" outlineLevel="0" collapsed="false">
      <c r="H2109" s="0" t="str">
        <f aca="false">IF(B2109="","",IF(COUNTIF(Campaigns!$A$7:$A$300,B2109)&gt;0,"✓","⚠ add to Campaigns tab"))</f>
        <v/>
      </c>
      <c r="I2109" s="84" t="str">
        <f aca="false">IF(C2109="","",C2109*IF(Settings!$B$22=Settings!$C$6,1,IF(Settings!$B$22="USD",1/INDEX(Settings!$B$29:$B$40,MONTH(A2109)),INDEX(Settings!$B$29:$B$40,MONTH(A2109)))))</f>
        <v/>
      </c>
    </row>
    <row r="2110" customFormat="false" ht="15" hidden="false" customHeight="false" outlineLevel="0" collapsed="false">
      <c r="H2110" s="0" t="str">
        <f aca="false">IF(B2110="","",IF(COUNTIF(Campaigns!$A$7:$A$300,B2110)&gt;0,"✓","⚠ add to Campaigns tab"))</f>
        <v/>
      </c>
      <c r="I2110" s="84" t="str">
        <f aca="false">IF(C2110="","",C2110*IF(Settings!$B$22=Settings!$C$6,1,IF(Settings!$B$22="USD",1/INDEX(Settings!$B$29:$B$40,MONTH(A2110)),INDEX(Settings!$B$29:$B$40,MONTH(A2110)))))</f>
        <v/>
      </c>
    </row>
    <row r="2111" customFormat="false" ht="15" hidden="false" customHeight="false" outlineLevel="0" collapsed="false">
      <c r="H2111" s="0" t="str">
        <f aca="false">IF(B2111="","",IF(COUNTIF(Campaigns!$A$7:$A$300,B2111)&gt;0,"✓","⚠ add to Campaigns tab"))</f>
        <v/>
      </c>
      <c r="I2111" s="84" t="str">
        <f aca="false">IF(C2111="","",C2111*IF(Settings!$B$22=Settings!$C$6,1,IF(Settings!$B$22="USD",1/INDEX(Settings!$B$29:$B$40,MONTH(A2111)),INDEX(Settings!$B$29:$B$40,MONTH(A2111)))))</f>
        <v/>
      </c>
    </row>
    <row r="2112" customFormat="false" ht="15" hidden="false" customHeight="false" outlineLevel="0" collapsed="false">
      <c r="H2112" s="0" t="str">
        <f aca="false">IF(B2112="","",IF(COUNTIF(Campaigns!$A$7:$A$300,B2112)&gt;0,"✓","⚠ add to Campaigns tab"))</f>
        <v/>
      </c>
      <c r="I2112" s="84" t="str">
        <f aca="false">IF(C2112="","",C2112*IF(Settings!$B$22=Settings!$C$6,1,IF(Settings!$B$22="USD",1/INDEX(Settings!$B$29:$B$40,MONTH(A2112)),INDEX(Settings!$B$29:$B$40,MONTH(A2112)))))</f>
        <v/>
      </c>
    </row>
    <row r="2113" customFormat="false" ht="15" hidden="false" customHeight="false" outlineLevel="0" collapsed="false">
      <c r="H2113" s="0" t="str">
        <f aca="false">IF(B2113="","",IF(COUNTIF(Campaigns!$A$7:$A$300,B2113)&gt;0,"✓","⚠ add to Campaigns tab"))</f>
        <v/>
      </c>
      <c r="I2113" s="84" t="str">
        <f aca="false">IF(C2113="","",C2113*IF(Settings!$B$22=Settings!$C$6,1,IF(Settings!$B$22="USD",1/INDEX(Settings!$B$29:$B$40,MONTH(A2113)),INDEX(Settings!$B$29:$B$40,MONTH(A2113)))))</f>
        <v/>
      </c>
    </row>
    <row r="2114" customFormat="false" ht="15" hidden="false" customHeight="false" outlineLevel="0" collapsed="false">
      <c r="H2114" s="0" t="str">
        <f aca="false">IF(B2114="","",IF(COUNTIF(Campaigns!$A$7:$A$300,B2114)&gt;0,"✓","⚠ add to Campaigns tab"))</f>
        <v/>
      </c>
      <c r="I2114" s="84" t="str">
        <f aca="false">IF(C2114="","",C2114*IF(Settings!$B$22=Settings!$C$6,1,IF(Settings!$B$22="USD",1/INDEX(Settings!$B$29:$B$40,MONTH(A2114)),INDEX(Settings!$B$29:$B$40,MONTH(A2114)))))</f>
        <v/>
      </c>
    </row>
    <row r="2115" customFormat="false" ht="15" hidden="false" customHeight="false" outlineLevel="0" collapsed="false">
      <c r="H2115" s="0" t="str">
        <f aca="false">IF(B2115="","",IF(COUNTIF(Campaigns!$A$7:$A$300,B2115)&gt;0,"✓","⚠ add to Campaigns tab"))</f>
        <v/>
      </c>
      <c r="I2115" s="84" t="str">
        <f aca="false">IF(C2115="","",C2115*IF(Settings!$B$22=Settings!$C$6,1,IF(Settings!$B$22="USD",1/INDEX(Settings!$B$29:$B$40,MONTH(A2115)),INDEX(Settings!$B$29:$B$40,MONTH(A2115)))))</f>
        <v/>
      </c>
    </row>
    <row r="2116" customFormat="false" ht="15" hidden="false" customHeight="false" outlineLevel="0" collapsed="false">
      <c r="H2116" s="0" t="str">
        <f aca="false">IF(B2116="","",IF(COUNTIF(Campaigns!$A$7:$A$300,B2116)&gt;0,"✓","⚠ add to Campaigns tab"))</f>
        <v/>
      </c>
      <c r="I2116" s="84" t="str">
        <f aca="false">IF(C2116="","",C2116*IF(Settings!$B$22=Settings!$C$6,1,IF(Settings!$B$22="USD",1/INDEX(Settings!$B$29:$B$40,MONTH(A2116)),INDEX(Settings!$B$29:$B$40,MONTH(A2116)))))</f>
        <v/>
      </c>
    </row>
    <row r="2117" customFormat="false" ht="15" hidden="false" customHeight="false" outlineLevel="0" collapsed="false">
      <c r="H2117" s="0" t="str">
        <f aca="false">IF(B2117="","",IF(COUNTIF(Campaigns!$A$7:$A$300,B2117)&gt;0,"✓","⚠ add to Campaigns tab"))</f>
        <v/>
      </c>
      <c r="I2117" s="84" t="str">
        <f aca="false">IF(C2117="","",C2117*IF(Settings!$B$22=Settings!$C$6,1,IF(Settings!$B$22="USD",1/INDEX(Settings!$B$29:$B$40,MONTH(A2117)),INDEX(Settings!$B$29:$B$40,MONTH(A2117)))))</f>
        <v/>
      </c>
    </row>
    <row r="2118" customFormat="false" ht="15" hidden="false" customHeight="false" outlineLevel="0" collapsed="false">
      <c r="H2118" s="0" t="str">
        <f aca="false">IF(B2118="","",IF(COUNTIF(Campaigns!$A$7:$A$300,B2118)&gt;0,"✓","⚠ add to Campaigns tab"))</f>
        <v/>
      </c>
      <c r="I2118" s="84" t="str">
        <f aca="false">IF(C2118="","",C2118*IF(Settings!$B$22=Settings!$C$6,1,IF(Settings!$B$22="USD",1/INDEX(Settings!$B$29:$B$40,MONTH(A2118)),INDEX(Settings!$B$29:$B$40,MONTH(A2118)))))</f>
        <v/>
      </c>
    </row>
    <row r="2119" customFormat="false" ht="15" hidden="false" customHeight="false" outlineLevel="0" collapsed="false">
      <c r="H2119" s="0" t="str">
        <f aca="false">IF(B2119="","",IF(COUNTIF(Campaigns!$A$7:$A$300,B2119)&gt;0,"✓","⚠ add to Campaigns tab"))</f>
        <v/>
      </c>
      <c r="I2119" s="84" t="str">
        <f aca="false">IF(C2119="","",C2119*IF(Settings!$B$22=Settings!$C$6,1,IF(Settings!$B$22="USD",1/INDEX(Settings!$B$29:$B$40,MONTH(A2119)),INDEX(Settings!$B$29:$B$40,MONTH(A2119)))))</f>
        <v/>
      </c>
    </row>
    <row r="2120" customFormat="false" ht="15" hidden="false" customHeight="false" outlineLevel="0" collapsed="false">
      <c r="H2120" s="0" t="str">
        <f aca="false">IF(B2120="","",IF(COUNTIF(Campaigns!$A$7:$A$300,B2120)&gt;0,"✓","⚠ add to Campaigns tab"))</f>
        <v/>
      </c>
      <c r="I2120" s="84" t="str">
        <f aca="false">IF(C2120="","",C2120*IF(Settings!$B$22=Settings!$C$6,1,IF(Settings!$B$22="USD",1/INDEX(Settings!$B$29:$B$40,MONTH(A2120)),INDEX(Settings!$B$29:$B$40,MONTH(A2120)))))</f>
        <v/>
      </c>
    </row>
    <row r="2121" customFormat="false" ht="15" hidden="false" customHeight="false" outlineLevel="0" collapsed="false">
      <c r="H2121" s="0" t="str">
        <f aca="false">IF(B2121="","",IF(COUNTIF(Campaigns!$A$7:$A$300,B2121)&gt;0,"✓","⚠ add to Campaigns tab"))</f>
        <v/>
      </c>
      <c r="I2121" s="84" t="str">
        <f aca="false">IF(C2121="","",C2121*IF(Settings!$B$22=Settings!$C$6,1,IF(Settings!$B$22="USD",1/INDEX(Settings!$B$29:$B$40,MONTH(A2121)),INDEX(Settings!$B$29:$B$40,MONTH(A2121)))))</f>
        <v/>
      </c>
    </row>
    <row r="2122" customFormat="false" ht="15" hidden="false" customHeight="false" outlineLevel="0" collapsed="false">
      <c r="H2122" s="0" t="str">
        <f aca="false">IF(B2122="","",IF(COUNTIF(Campaigns!$A$7:$A$300,B2122)&gt;0,"✓","⚠ add to Campaigns tab"))</f>
        <v/>
      </c>
      <c r="I2122" s="84" t="str">
        <f aca="false">IF(C2122="","",C2122*IF(Settings!$B$22=Settings!$C$6,1,IF(Settings!$B$22="USD",1/INDEX(Settings!$B$29:$B$40,MONTH(A2122)),INDEX(Settings!$B$29:$B$40,MONTH(A2122)))))</f>
        <v/>
      </c>
    </row>
    <row r="2123" customFormat="false" ht="15" hidden="false" customHeight="false" outlineLevel="0" collapsed="false">
      <c r="H2123" s="0" t="str">
        <f aca="false">IF(B2123="","",IF(COUNTIF(Campaigns!$A$7:$A$300,B2123)&gt;0,"✓","⚠ add to Campaigns tab"))</f>
        <v/>
      </c>
      <c r="I2123" s="84" t="str">
        <f aca="false">IF(C2123="","",C2123*IF(Settings!$B$22=Settings!$C$6,1,IF(Settings!$B$22="USD",1/INDEX(Settings!$B$29:$B$40,MONTH(A2123)),INDEX(Settings!$B$29:$B$40,MONTH(A2123)))))</f>
        <v/>
      </c>
    </row>
    <row r="2124" customFormat="false" ht="15" hidden="false" customHeight="false" outlineLevel="0" collapsed="false">
      <c r="H2124" s="0" t="str">
        <f aca="false">IF(B2124="","",IF(COUNTIF(Campaigns!$A$7:$A$300,B2124)&gt;0,"✓","⚠ add to Campaigns tab"))</f>
        <v/>
      </c>
      <c r="I2124" s="84" t="str">
        <f aca="false">IF(C2124="","",C2124*IF(Settings!$B$22=Settings!$C$6,1,IF(Settings!$B$22="USD",1/INDEX(Settings!$B$29:$B$40,MONTH(A2124)),INDEX(Settings!$B$29:$B$40,MONTH(A2124)))))</f>
        <v/>
      </c>
    </row>
    <row r="2125" customFormat="false" ht="15" hidden="false" customHeight="false" outlineLevel="0" collapsed="false">
      <c r="H2125" s="0" t="str">
        <f aca="false">IF(B2125="","",IF(COUNTIF(Campaigns!$A$7:$A$300,B2125)&gt;0,"✓","⚠ add to Campaigns tab"))</f>
        <v/>
      </c>
      <c r="I2125" s="84" t="str">
        <f aca="false">IF(C2125="","",C2125*IF(Settings!$B$22=Settings!$C$6,1,IF(Settings!$B$22="USD",1/INDEX(Settings!$B$29:$B$40,MONTH(A2125)),INDEX(Settings!$B$29:$B$40,MONTH(A2125)))))</f>
        <v/>
      </c>
    </row>
    <row r="2126" customFormat="false" ht="15" hidden="false" customHeight="false" outlineLevel="0" collapsed="false">
      <c r="H2126" s="0" t="str">
        <f aca="false">IF(B2126="","",IF(COUNTIF(Campaigns!$A$7:$A$300,B2126)&gt;0,"✓","⚠ add to Campaigns tab"))</f>
        <v/>
      </c>
      <c r="I2126" s="84" t="str">
        <f aca="false">IF(C2126="","",C2126*IF(Settings!$B$22=Settings!$C$6,1,IF(Settings!$B$22="USD",1/INDEX(Settings!$B$29:$B$40,MONTH(A2126)),INDEX(Settings!$B$29:$B$40,MONTH(A2126)))))</f>
        <v/>
      </c>
    </row>
    <row r="2127" customFormat="false" ht="15" hidden="false" customHeight="false" outlineLevel="0" collapsed="false">
      <c r="H2127" s="0" t="str">
        <f aca="false">IF(B2127="","",IF(COUNTIF(Campaigns!$A$7:$A$300,B2127)&gt;0,"✓","⚠ add to Campaigns tab"))</f>
        <v/>
      </c>
      <c r="I2127" s="84" t="str">
        <f aca="false">IF(C2127="","",C2127*IF(Settings!$B$22=Settings!$C$6,1,IF(Settings!$B$22="USD",1/INDEX(Settings!$B$29:$B$40,MONTH(A2127)),INDEX(Settings!$B$29:$B$40,MONTH(A2127)))))</f>
        <v/>
      </c>
    </row>
    <row r="2128" customFormat="false" ht="15" hidden="false" customHeight="false" outlineLevel="0" collapsed="false">
      <c r="H2128" s="0" t="str">
        <f aca="false">IF(B2128="","",IF(COUNTIF(Campaigns!$A$7:$A$300,B2128)&gt;0,"✓","⚠ add to Campaigns tab"))</f>
        <v/>
      </c>
      <c r="I2128" s="84" t="str">
        <f aca="false">IF(C2128="","",C2128*IF(Settings!$B$22=Settings!$C$6,1,IF(Settings!$B$22="USD",1/INDEX(Settings!$B$29:$B$40,MONTH(A2128)),INDEX(Settings!$B$29:$B$40,MONTH(A2128)))))</f>
        <v/>
      </c>
    </row>
    <row r="2129" customFormat="false" ht="15" hidden="false" customHeight="false" outlineLevel="0" collapsed="false">
      <c r="H2129" s="0" t="str">
        <f aca="false">IF(B2129="","",IF(COUNTIF(Campaigns!$A$7:$A$300,B2129)&gt;0,"✓","⚠ add to Campaigns tab"))</f>
        <v/>
      </c>
      <c r="I2129" s="84" t="str">
        <f aca="false">IF(C2129="","",C2129*IF(Settings!$B$22=Settings!$C$6,1,IF(Settings!$B$22="USD",1/INDEX(Settings!$B$29:$B$40,MONTH(A2129)),INDEX(Settings!$B$29:$B$40,MONTH(A2129)))))</f>
        <v/>
      </c>
    </row>
    <row r="2130" customFormat="false" ht="15" hidden="false" customHeight="false" outlineLevel="0" collapsed="false">
      <c r="H2130" s="0" t="str">
        <f aca="false">IF(B2130="","",IF(COUNTIF(Campaigns!$A$7:$A$300,B2130)&gt;0,"✓","⚠ add to Campaigns tab"))</f>
        <v/>
      </c>
      <c r="I2130" s="84" t="str">
        <f aca="false">IF(C2130="","",C2130*IF(Settings!$B$22=Settings!$C$6,1,IF(Settings!$B$22="USD",1/INDEX(Settings!$B$29:$B$40,MONTH(A2130)),INDEX(Settings!$B$29:$B$40,MONTH(A2130)))))</f>
        <v/>
      </c>
    </row>
    <row r="2131" customFormat="false" ht="15" hidden="false" customHeight="false" outlineLevel="0" collapsed="false">
      <c r="H2131" s="0" t="str">
        <f aca="false">IF(B2131="","",IF(COUNTIF(Campaigns!$A$7:$A$300,B2131)&gt;0,"✓","⚠ add to Campaigns tab"))</f>
        <v/>
      </c>
      <c r="I2131" s="84" t="str">
        <f aca="false">IF(C2131="","",C2131*IF(Settings!$B$22=Settings!$C$6,1,IF(Settings!$B$22="USD",1/INDEX(Settings!$B$29:$B$40,MONTH(A2131)),INDEX(Settings!$B$29:$B$40,MONTH(A2131)))))</f>
        <v/>
      </c>
    </row>
    <row r="2132" customFormat="false" ht="15" hidden="false" customHeight="false" outlineLevel="0" collapsed="false">
      <c r="H2132" s="0" t="str">
        <f aca="false">IF(B2132="","",IF(COUNTIF(Campaigns!$A$7:$A$300,B2132)&gt;0,"✓","⚠ add to Campaigns tab"))</f>
        <v/>
      </c>
      <c r="I2132" s="84" t="str">
        <f aca="false">IF(C2132="","",C2132*IF(Settings!$B$22=Settings!$C$6,1,IF(Settings!$B$22="USD",1/INDEX(Settings!$B$29:$B$40,MONTH(A2132)),INDEX(Settings!$B$29:$B$40,MONTH(A2132)))))</f>
        <v/>
      </c>
    </row>
    <row r="2133" customFormat="false" ht="15" hidden="false" customHeight="false" outlineLevel="0" collapsed="false">
      <c r="H2133" s="0" t="str">
        <f aca="false">IF(B2133="","",IF(COUNTIF(Campaigns!$A$7:$A$300,B2133)&gt;0,"✓","⚠ add to Campaigns tab"))</f>
        <v/>
      </c>
      <c r="I2133" s="84" t="str">
        <f aca="false">IF(C2133="","",C2133*IF(Settings!$B$22=Settings!$C$6,1,IF(Settings!$B$22="USD",1/INDEX(Settings!$B$29:$B$40,MONTH(A2133)),INDEX(Settings!$B$29:$B$40,MONTH(A2133)))))</f>
        <v/>
      </c>
    </row>
    <row r="2134" customFormat="false" ht="15" hidden="false" customHeight="false" outlineLevel="0" collapsed="false">
      <c r="H2134" s="0" t="str">
        <f aca="false">IF(B2134="","",IF(COUNTIF(Campaigns!$A$7:$A$300,B2134)&gt;0,"✓","⚠ add to Campaigns tab"))</f>
        <v/>
      </c>
      <c r="I2134" s="84" t="str">
        <f aca="false">IF(C2134="","",C2134*IF(Settings!$B$22=Settings!$C$6,1,IF(Settings!$B$22="USD",1/INDEX(Settings!$B$29:$B$40,MONTH(A2134)),INDEX(Settings!$B$29:$B$40,MONTH(A2134)))))</f>
        <v/>
      </c>
    </row>
    <row r="2135" customFormat="false" ht="15" hidden="false" customHeight="false" outlineLevel="0" collapsed="false">
      <c r="H2135" s="0" t="str">
        <f aca="false">IF(B2135="","",IF(COUNTIF(Campaigns!$A$7:$A$300,B2135)&gt;0,"✓","⚠ add to Campaigns tab"))</f>
        <v/>
      </c>
      <c r="I2135" s="84" t="str">
        <f aca="false">IF(C2135="","",C2135*IF(Settings!$B$22=Settings!$C$6,1,IF(Settings!$B$22="USD",1/INDEX(Settings!$B$29:$B$40,MONTH(A2135)),INDEX(Settings!$B$29:$B$40,MONTH(A2135)))))</f>
        <v/>
      </c>
    </row>
    <row r="2136" customFormat="false" ht="15" hidden="false" customHeight="false" outlineLevel="0" collapsed="false">
      <c r="H2136" s="0" t="str">
        <f aca="false">IF(B2136="","",IF(COUNTIF(Campaigns!$A$7:$A$300,B2136)&gt;0,"✓","⚠ add to Campaigns tab"))</f>
        <v/>
      </c>
      <c r="I2136" s="84" t="str">
        <f aca="false">IF(C2136="","",C2136*IF(Settings!$B$22=Settings!$C$6,1,IF(Settings!$B$22="USD",1/INDEX(Settings!$B$29:$B$40,MONTH(A2136)),INDEX(Settings!$B$29:$B$40,MONTH(A2136)))))</f>
        <v/>
      </c>
    </row>
    <row r="2137" customFormat="false" ht="15" hidden="false" customHeight="false" outlineLevel="0" collapsed="false">
      <c r="H2137" s="0" t="str">
        <f aca="false">IF(B2137="","",IF(COUNTIF(Campaigns!$A$7:$A$300,B2137)&gt;0,"✓","⚠ add to Campaigns tab"))</f>
        <v/>
      </c>
      <c r="I2137" s="84" t="str">
        <f aca="false">IF(C2137="","",C2137*IF(Settings!$B$22=Settings!$C$6,1,IF(Settings!$B$22="USD",1/INDEX(Settings!$B$29:$B$40,MONTH(A2137)),INDEX(Settings!$B$29:$B$40,MONTH(A2137)))))</f>
        <v/>
      </c>
    </row>
    <row r="2138" customFormat="false" ht="15" hidden="false" customHeight="false" outlineLevel="0" collapsed="false">
      <c r="H2138" s="0" t="str">
        <f aca="false">IF(B2138="","",IF(COUNTIF(Campaigns!$A$7:$A$300,B2138)&gt;0,"✓","⚠ add to Campaigns tab"))</f>
        <v/>
      </c>
      <c r="I2138" s="84" t="str">
        <f aca="false">IF(C2138="","",C2138*IF(Settings!$B$22=Settings!$C$6,1,IF(Settings!$B$22="USD",1/INDEX(Settings!$B$29:$B$40,MONTH(A2138)),INDEX(Settings!$B$29:$B$40,MONTH(A2138)))))</f>
        <v/>
      </c>
    </row>
    <row r="2139" customFormat="false" ht="15" hidden="false" customHeight="false" outlineLevel="0" collapsed="false">
      <c r="H2139" s="0" t="str">
        <f aca="false">IF(B2139="","",IF(COUNTIF(Campaigns!$A$7:$A$300,B2139)&gt;0,"✓","⚠ add to Campaigns tab"))</f>
        <v/>
      </c>
      <c r="I2139" s="84" t="str">
        <f aca="false">IF(C2139="","",C2139*IF(Settings!$B$22=Settings!$C$6,1,IF(Settings!$B$22="USD",1/INDEX(Settings!$B$29:$B$40,MONTH(A2139)),INDEX(Settings!$B$29:$B$40,MONTH(A2139)))))</f>
        <v/>
      </c>
    </row>
    <row r="2140" customFormat="false" ht="15" hidden="false" customHeight="false" outlineLevel="0" collapsed="false">
      <c r="H2140" s="0" t="str">
        <f aca="false">IF(B2140="","",IF(COUNTIF(Campaigns!$A$7:$A$300,B2140)&gt;0,"✓","⚠ add to Campaigns tab"))</f>
        <v/>
      </c>
      <c r="I2140" s="84" t="str">
        <f aca="false">IF(C2140="","",C2140*IF(Settings!$B$22=Settings!$C$6,1,IF(Settings!$B$22="USD",1/INDEX(Settings!$B$29:$B$40,MONTH(A2140)),INDEX(Settings!$B$29:$B$40,MONTH(A2140)))))</f>
        <v/>
      </c>
    </row>
    <row r="2141" customFormat="false" ht="15" hidden="false" customHeight="false" outlineLevel="0" collapsed="false">
      <c r="H2141" s="0" t="str">
        <f aca="false">IF(B2141="","",IF(COUNTIF(Campaigns!$A$7:$A$300,B2141)&gt;0,"✓","⚠ add to Campaigns tab"))</f>
        <v/>
      </c>
      <c r="I2141" s="84" t="str">
        <f aca="false">IF(C2141="","",C2141*IF(Settings!$B$22=Settings!$C$6,1,IF(Settings!$B$22="USD",1/INDEX(Settings!$B$29:$B$40,MONTH(A2141)),INDEX(Settings!$B$29:$B$40,MONTH(A2141)))))</f>
        <v/>
      </c>
    </row>
    <row r="2142" customFormat="false" ht="15" hidden="false" customHeight="false" outlineLevel="0" collapsed="false">
      <c r="H2142" s="0" t="str">
        <f aca="false">IF(B2142="","",IF(COUNTIF(Campaigns!$A$7:$A$300,B2142)&gt;0,"✓","⚠ add to Campaigns tab"))</f>
        <v/>
      </c>
      <c r="I2142" s="84" t="str">
        <f aca="false">IF(C2142="","",C2142*IF(Settings!$B$22=Settings!$C$6,1,IF(Settings!$B$22="USD",1/INDEX(Settings!$B$29:$B$40,MONTH(A2142)),INDEX(Settings!$B$29:$B$40,MONTH(A2142)))))</f>
        <v/>
      </c>
    </row>
    <row r="2143" customFormat="false" ht="15" hidden="false" customHeight="false" outlineLevel="0" collapsed="false">
      <c r="H2143" s="0" t="str">
        <f aca="false">IF(B2143="","",IF(COUNTIF(Campaigns!$A$7:$A$300,B2143)&gt;0,"✓","⚠ add to Campaigns tab"))</f>
        <v/>
      </c>
      <c r="I2143" s="84" t="str">
        <f aca="false">IF(C2143="","",C2143*IF(Settings!$B$22=Settings!$C$6,1,IF(Settings!$B$22="USD",1/INDEX(Settings!$B$29:$B$40,MONTH(A2143)),INDEX(Settings!$B$29:$B$40,MONTH(A2143)))))</f>
        <v/>
      </c>
    </row>
    <row r="2144" customFormat="false" ht="15" hidden="false" customHeight="false" outlineLevel="0" collapsed="false">
      <c r="H2144" s="0" t="str">
        <f aca="false">IF(B2144="","",IF(COUNTIF(Campaigns!$A$7:$A$300,B2144)&gt;0,"✓","⚠ add to Campaigns tab"))</f>
        <v/>
      </c>
      <c r="I2144" s="84" t="str">
        <f aca="false">IF(C2144="","",C2144*IF(Settings!$B$22=Settings!$C$6,1,IF(Settings!$B$22="USD",1/INDEX(Settings!$B$29:$B$40,MONTH(A2144)),INDEX(Settings!$B$29:$B$40,MONTH(A2144)))))</f>
        <v/>
      </c>
    </row>
    <row r="2145" customFormat="false" ht="15" hidden="false" customHeight="false" outlineLevel="0" collapsed="false">
      <c r="H2145" s="0" t="str">
        <f aca="false">IF(B2145="","",IF(COUNTIF(Campaigns!$A$7:$A$300,B2145)&gt;0,"✓","⚠ add to Campaigns tab"))</f>
        <v/>
      </c>
      <c r="I2145" s="84" t="str">
        <f aca="false">IF(C2145="","",C2145*IF(Settings!$B$22=Settings!$C$6,1,IF(Settings!$B$22="USD",1/INDEX(Settings!$B$29:$B$40,MONTH(A2145)),INDEX(Settings!$B$29:$B$40,MONTH(A2145)))))</f>
        <v/>
      </c>
    </row>
    <row r="2146" customFormat="false" ht="15" hidden="false" customHeight="false" outlineLevel="0" collapsed="false">
      <c r="H2146" s="0" t="str">
        <f aca="false">IF(B2146="","",IF(COUNTIF(Campaigns!$A$7:$A$300,B2146)&gt;0,"✓","⚠ add to Campaigns tab"))</f>
        <v/>
      </c>
      <c r="I2146" s="84" t="str">
        <f aca="false">IF(C2146="","",C2146*IF(Settings!$B$22=Settings!$C$6,1,IF(Settings!$B$22="USD",1/INDEX(Settings!$B$29:$B$40,MONTH(A2146)),INDEX(Settings!$B$29:$B$40,MONTH(A2146)))))</f>
        <v/>
      </c>
    </row>
    <row r="2147" customFormat="false" ht="15" hidden="false" customHeight="false" outlineLevel="0" collapsed="false">
      <c r="H2147" s="0" t="str">
        <f aca="false">IF(B2147="","",IF(COUNTIF(Campaigns!$A$7:$A$300,B2147)&gt;0,"✓","⚠ add to Campaigns tab"))</f>
        <v/>
      </c>
      <c r="I2147" s="84" t="str">
        <f aca="false">IF(C2147="","",C2147*IF(Settings!$B$22=Settings!$C$6,1,IF(Settings!$B$22="USD",1/INDEX(Settings!$B$29:$B$40,MONTH(A2147)),INDEX(Settings!$B$29:$B$40,MONTH(A2147)))))</f>
        <v/>
      </c>
    </row>
    <row r="2148" customFormat="false" ht="15" hidden="false" customHeight="false" outlineLevel="0" collapsed="false">
      <c r="H2148" s="0" t="str">
        <f aca="false">IF(B2148="","",IF(COUNTIF(Campaigns!$A$7:$A$300,B2148)&gt;0,"✓","⚠ add to Campaigns tab"))</f>
        <v/>
      </c>
      <c r="I2148" s="84" t="str">
        <f aca="false">IF(C2148="","",C2148*IF(Settings!$B$22=Settings!$C$6,1,IF(Settings!$B$22="USD",1/INDEX(Settings!$B$29:$B$40,MONTH(A2148)),INDEX(Settings!$B$29:$B$40,MONTH(A2148)))))</f>
        <v/>
      </c>
    </row>
    <row r="2149" customFormat="false" ht="15" hidden="false" customHeight="false" outlineLevel="0" collapsed="false">
      <c r="H2149" s="0" t="str">
        <f aca="false">IF(B2149="","",IF(COUNTIF(Campaigns!$A$7:$A$300,B2149)&gt;0,"✓","⚠ add to Campaigns tab"))</f>
        <v/>
      </c>
      <c r="I2149" s="84" t="str">
        <f aca="false">IF(C2149="","",C2149*IF(Settings!$B$22=Settings!$C$6,1,IF(Settings!$B$22="USD",1/INDEX(Settings!$B$29:$B$40,MONTH(A2149)),INDEX(Settings!$B$29:$B$40,MONTH(A2149)))))</f>
        <v/>
      </c>
    </row>
    <row r="2150" customFormat="false" ht="15" hidden="false" customHeight="false" outlineLevel="0" collapsed="false">
      <c r="H2150" s="0" t="str">
        <f aca="false">IF(B2150="","",IF(COUNTIF(Campaigns!$A$7:$A$300,B2150)&gt;0,"✓","⚠ add to Campaigns tab"))</f>
        <v/>
      </c>
      <c r="I2150" s="84" t="str">
        <f aca="false">IF(C2150="","",C2150*IF(Settings!$B$22=Settings!$C$6,1,IF(Settings!$B$22="USD",1/INDEX(Settings!$B$29:$B$40,MONTH(A2150)),INDEX(Settings!$B$29:$B$40,MONTH(A2150)))))</f>
        <v/>
      </c>
    </row>
    <row r="2151" customFormat="false" ht="15" hidden="false" customHeight="false" outlineLevel="0" collapsed="false">
      <c r="H2151" s="0" t="str">
        <f aca="false">IF(B2151="","",IF(COUNTIF(Campaigns!$A$7:$A$300,B2151)&gt;0,"✓","⚠ add to Campaigns tab"))</f>
        <v/>
      </c>
      <c r="I2151" s="84" t="str">
        <f aca="false">IF(C2151="","",C2151*IF(Settings!$B$22=Settings!$C$6,1,IF(Settings!$B$22="USD",1/INDEX(Settings!$B$29:$B$40,MONTH(A2151)),INDEX(Settings!$B$29:$B$40,MONTH(A2151)))))</f>
        <v/>
      </c>
    </row>
    <row r="2152" customFormat="false" ht="15" hidden="false" customHeight="false" outlineLevel="0" collapsed="false">
      <c r="H2152" s="0" t="str">
        <f aca="false">IF(B2152="","",IF(COUNTIF(Campaigns!$A$7:$A$300,B2152)&gt;0,"✓","⚠ add to Campaigns tab"))</f>
        <v/>
      </c>
      <c r="I2152" s="84" t="str">
        <f aca="false">IF(C2152="","",C2152*IF(Settings!$B$22=Settings!$C$6,1,IF(Settings!$B$22="USD",1/INDEX(Settings!$B$29:$B$40,MONTH(A2152)),INDEX(Settings!$B$29:$B$40,MONTH(A2152)))))</f>
        <v/>
      </c>
    </row>
    <row r="2153" customFormat="false" ht="15" hidden="false" customHeight="false" outlineLevel="0" collapsed="false">
      <c r="H2153" s="0" t="str">
        <f aca="false">IF(B2153="","",IF(COUNTIF(Campaigns!$A$7:$A$300,B2153)&gt;0,"✓","⚠ add to Campaigns tab"))</f>
        <v/>
      </c>
      <c r="I2153" s="84" t="str">
        <f aca="false">IF(C2153="","",C2153*IF(Settings!$B$22=Settings!$C$6,1,IF(Settings!$B$22="USD",1/INDEX(Settings!$B$29:$B$40,MONTH(A2153)),INDEX(Settings!$B$29:$B$40,MONTH(A2153)))))</f>
        <v/>
      </c>
    </row>
    <row r="2154" customFormat="false" ht="15" hidden="false" customHeight="false" outlineLevel="0" collapsed="false">
      <c r="H2154" s="0" t="str">
        <f aca="false">IF(B2154="","",IF(COUNTIF(Campaigns!$A$7:$A$300,B2154)&gt;0,"✓","⚠ add to Campaigns tab"))</f>
        <v/>
      </c>
      <c r="I2154" s="84" t="str">
        <f aca="false">IF(C2154="","",C2154*IF(Settings!$B$22=Settings!$C$6,1,IF(Settings!$B$22="USD",1/INDEX(Settings!$B$29:$B$40,MONTH(A2154)),INDEX(Settings!$B$29:$B$40,MONTH(A2154)))))</f>
        <v/>
      </c>
    </row>
    <row r="2155" customFormat="false" ht="15" hidden="false" customHeight="false" outlineLevel="0" collapsed="false">
      <c r="H2155" s="0" t="str">
        <f aca="false">IF(B2155="","",IF(COUNTIF(Campaigns!$A$7:$A$300,B2155)&gt;0,"✓","⚠ add to Campaigns tab"))</f>
        <v/>
      </c>
      <c r="I2155" s="84" t="str">
        <f aca="false">IF(C2155="","",C2155*IF(Settings!$B$22=Settings!$C$6,1,IF(Settings!$B$22="USD",1/INDEX(Settings!$B$29:$B$40,MONTH(A2155)),INDEX(Settings!$B$29:$B$40,MONTH(A2155)))))</f>
        <v/>
      </c>
    </row>
    <row r="2156" customFormat="false" ht="15" hidden="false" customHeight="false" outlineLevel="0" collapsed="false">
      <c r="H2156" s="0" t="str">
        <f aca="false">IF(B2156="","",IF(COUNTIF(Campaigns!$A$7:$A$300,B2156)&gt;0,"✓","⚠ add to Campaigns tab"))</f>
        <v/>
      </c>
      <c r="I2156" s="84" t="str">
        <f aca="false">IF(C2156="","",C2156*IF(Settings!$B$22=Settings!$C$6,1,IF(Settings!$B$22="USD",1/INDEX(Settings!$B$29:$B$40,MONTH(A2156)),INDEX(Settings!$B$29:$B$40,MONTH(A2156)))))</f>
        <v/>
      </c>
    </row>
    <row r="2157" customFormat="false" ht="15" hidden="false" customHeight="false" outlineLevel="0" collapsed="false">
      <c r="H2157" s="0" t="str">
        <f aca="false">IF(B2157="","",IF(COUNTIF(Campaigns!$A$7:$A$300,B2157)&gt;0,"✓","⚠ add to Campaigns tab"))</f>
        <v/>
      </c>
      <c r="I2157" s="84" t="str">
        <f aca="false">IF(C2157="","",C2157*IF(Settings!$B$22=Settings!$C$6,1,IF(Settings!$B$22="USD",1/INDEX(Settings!$B$29:$B$40,MONTH(A2157)),INDEX(Settings!$B$29:$B$40,MONTH(A2157)))))</f>
        <v/>
      </c>
    </row>
    <row r="2158" customFormat="false" ht="15" hidden="false" customHeight="false" outlineLevel="0" collapsed="false">
      <c r="H2158" s="0" t="str">
        <f aca="false">IF(B2158="","",IF(COUNTIF(Campaigns!$A$7:$A$300,B2158)&gt;0,"✓","⚠ add to Campaigns tab"))</f>
        <v/>
      </c>
      <c r="I2158" s="84" t="str">
        <f aca="false">IF(C2158="","",C2158*IF(Settings!$B$22=Settings!$C$6,1,IF(Settings!$B$22="USD",1/INDEX(Settings!$B$29:$B$40,MONTH(A2158)),INDEX(Settings!$B$29:$B$40,MONTH(A2158)))))</f>
        <v/>
      </c>
    </row>
    <row r="2159" customFormat="false" ht="15" hidden="false" customHeight="false" outlineLevel="0" collapsed="false">
      <c r="H2159" s="0" t="str">
        <f aca="false">IF(B2159="","",IF(COUNTIF(Campaigns!$A$7:$A$300,B2159)&gt;0,"✓","⚠ add to Campaigns tab"))</f>
        <v/>
      </c>
      <c r="I2159" s="84" t="str">
        <f aca="false">IF(C2159="","",C2159*IF(Settings!$B$22=Settings!$C$6,1,IF(Settings!$B$22="USD",1/INDEX(Settings!$B$29:$B$40,MONTH(A2159)),INDEX(Settings!$B$29:$B$40,MONTH(A2159)))))</f>
        <v/>
      </c>
    </row>
    <row r="2160" customFormat="false" ht="15" hidden="false" customHeight="false" outlineLevel="0" collapsed="false">
      <c r="H2160" s="0" t="str">
        <f aca="false">IF(B2160="","",IF(COUNTIF(Campaigns!$A$7:$A$300,B2160)&gt;0,"✓","⚠ add to Campaigns tab"))</f>
        <v/>
      </c>
      <c r="I2160" s="84" t="str">
        <f aca="false">IF(C2160="","",C2160*IF(Settings!$B$22=Settings!$C$6,1,IF(Settings!$B$22="USD",1/INDEX(Settings!$B$29:$B$40,MONTH(A2160)),INDEX(Settings!$B$29:$B$40,MONTH(A2160)))))</f>
        <v/>
      </c>
    </row>
    <row r="2161" customFormat="false" ht="15" hidden="false" customHeight="false" outlineLevel="0" collapsed="false">
      <c r="H2161" s="0" t="str">
        <f aca="false">IF(B2161="","",IF(COUNTIF(Campaigns!$A$7:$A$300,B2161)&gt;0,"✓","⚠ add to Campaigns tab"))</f>
        <v/>
      </c>
      <c r="I2161" s="84" t="str">
        <f aca="false">IF(C2161="","",C2161*IF(Settings!$B$22=Settings!$C$6,1,IF(Settings!$B$22="USD",1/INDEX(Settings!$B$29:$B$40,MONTH(A2161)),INDEX(Settings!$B$29:$B$40,MONTH(A2161)))))</f>
        <v/>
      </c>
    </row>
    <row r="2162" customFormat="false" ht="15" hidden="false" customHeight="false" outlineLevel="0" collapsed="false">
      <c r="H2162" s="0" t="str">
        <f aca="false">IF(B2162="","",IF(COUNTIF(Campaigns!$A$7:$A$300,B2162)&gt;0,"✓","⚠ add to Campaigns tab"))</f>
        <v/>
      </c>
      <c r="I2162" s="84" t="str">
        <f aca="false">IF(C2162="","",C2162*IF(Settings!$B$22=Settings!$C$6,1,IF(Settings!$B$22="USD",1/INDEX(Settings!$B$29:$B$40,MONTH(A2162)),INDEX(Settings!$B$29:$B$40,MONTH(A2162)))))</f>
        <v/>
      </c>
    </row>
    <row r="2163" customFormat="false" ht="15" hidden="false" customHeight="false" outlineLevel="0" collapsed="false">
      <c r="H2163" s="0" t="str">
        <f aca="false">IF(B2163="","",IF(COUNTIF(Campaigns!$A$7:$A$300,B2163)&gt;0,"✓","⚠ add to Campaigns tab"))</f>
        <v/>
      </c>
      <c r="I2163" s="84" t="str">
        <f aca="false">IF(C2163="","",C2163*IF(Settings!$B$22=Settings!$C$6,1,IF(Settings!$B$22="USD",1/INDEX(Settings!$B$29:$B$40,MONTH(A2163)),INDEX(Settings!$B$29:$B$40,MONTH(A2163)))))</f>
        <v/>
      </c>
    </row>
    <row r="2164" customFormat="false" ht="15" hidden="false" customHeight="false" outlineLevel="0" collapsed="false">
      <c r="H2164" s="0" t="str">
        <f aca="false">IF(B2164="","",IF(COUNTIF(Campaigns!$A$7:$A$300,B2164)&gt;0,"✓","⚠ add to Campaigns tab"))</f>
        <v/>
      </c>
      <c r="I2164" s="84" t="str">
        <f aca="false">IF(C2164="","",C2164*IF(Settings!$B$22=Settings!$C$6,1,IF(Settings!$B$22="USD",1/INDEX(Settings!$B$29:$B$40,MONTH(A2164)),INDEX(Settings!$B$29:$B$40,MONTH(A2164)))))</f>
        <v/>
      </c>
    </row>
    <row r="2165" customFormat="false" ht="15" hidden="false" customHeight="false" outlineLevel="0" collapsed="false">
      <c r="H2165" s="0" t="str">
        <f aca="false">IF(B2165="","",IF(COUNTIF(Campaigns!$A$7:$A$300,B2165)&gt;0,"✓","⚠ add to Campaigns tab"))</f>
        <v/>
      </c>
      <c r="I2165" s="84" t="str">
        <f aca="false">IF(C2165="","",C2165*IF(Settings!$B$22=Settings!$C$6,1,IF(Settings!$B$22="USD",1/INDEX(Settings!$B$29:$B$40,MONTH(A2165)),INDEX(Settings!$B$29:$B$40,MONTH(A2165)))))</f>
        <v/>
      </c>
    </row>
    <row r="2166" customFormat="false" ht="15" hidden="false" customHeight="false" outlineLevel="0" collapsed="false">
      <c r="H2166" s="0" t="str">
        <f aca="false">IF(B2166="","",IF(COUNTIF(Campaigns!$A$7:$A$300,B2166)&gt;0,"✓","⚠ add to Campaigns tab"))</f>
        <v/>
      </c>
      <c r="I2166" s="84" t="str">
        <f aca="false">IF(C2166="","",C2166*IF(Settings!$B$22=Settings!$C$6,1,IF(Settings!$B$22="USD",1/INDEX(Settings!$B$29:$B$40,MONTH(A2166)),INDEX(Settings!$B$29:$B$40,MONTH(A2166)))))</f>
        <v/>
      </c>
    </row>
    <row r="2167" customFormat="false" ht="15" hidden="false" customHeight="false" outlineLevel="0" collapsed="false">
      <c r="H2167" s="0" t="str">
        <f aca="false">IF(B2167="","",IF(COUNTIF(Campaigns!$A$7:$A$300,B2167)&gt;0,"✓","⚠ add to Campaigns tab"))</f>
        <v/>
      </c>
      <c r="I2167" s="84" t="str">
        <f aca="false">IF(C2167="","",C2167*IF(Settings!$B$22=Settings!$C$6,1,IF(Settings!$B$22="USD",1/INDEX(Settings!$B$29:$B$40,MONTH(A2167)),INDEX(Settings!$B$29:$B$40,MONTH(A2167)))))</f>
        <v/>
      </c>
    </row>
    <row r="2168" customFormat="false" ht="15" hidden="false" customHeight="false" outlineLevel="0" collapsed="false">
      <c r="H2168" s="0" t="str">
        <f aca="false">IF(B2168="","",IF(COUNTIF(Campaigns!$A$7:$A$300,B2168)&gt;0,"✓","⚠ add to Campaigns tab"))</f>
        <v/>
      </c>
      <c r="I2168" s="84" t="str">
        <f aca="false">IF(C2168="","",C2168*IF(Settings!$B$22=Settings!$C$6,1,IF(Settings!$B$22="USD",1/INDEX(Settings!$B$29:$B$40,MONTH(A2168)),INDEX(Settings!$B$29:$B$40,MONTH(A2168)))))</f>
        <v/>
      </c>
    </row>
    <row r="2169" customFormat="false" ht="15" hidden="false" customHeight="false" outlineLevel="0" collapsed="false">
      <c r="H2169" s="0" t="str">
        <f aca="false">IF(B2169="","",IF(COUNTIF(Campaigns!$A$7:$A$300,B2169)&gt;0,"✓","⚠ add to Campaigns tab"))</f>
        <v/>
      </c>
      <c r="I2169" s="84" t="str">
        <f aca="false">IF(C2169="","",C2169*IF(Settings!$B$22=Settings!$C$6,1,IF(Settings!$B$22="USD",1/INDEX(Settings!$B$29:$B$40,MONTH(A2169)),INDEX(Settings!$B$29:$B$40,MONTH(A2169)))))</f>
        <v/>
      </c>
    </row>
    <row r="2170" customFormat="false" ht="15" hidden="false" customHeight="false" outlineLevel="0" collapsed="false">
      <c r="H2170" s="0" t="str">
        <f aca="false">IF(B2170="","",IF(COUNTIF(Campaigns!$A$7:$A$300,B2170)&gt;0,"✓","⚠ add to Campaigns tab"))</f>
        <v/>
      </c>
      <c r="I2170" s="84" t="str">
        <f aca="false">IF(C2170="","",C2170*IF(Settings!$B$22=Settings!$C$6,1,IF(Settings!$B$22="USD",1/INDEX(Settings!$B$29:$B$40,MONTH(A2170)),INDEX(Settings!$B$29:$B$40,MONTH(A2170)))))</f>
        <v/>
      </c>
    </row>
    <row r="2171" customFormat="false" ht="15" hidden="false" customHeight="false" outlineLevel="0" collapsed="false">
      <c r="H2171" s="0" t="str">
        <f aca="false">IF(B2171="","",IF(COUNTIF(Campaigns!$A$7:$A$300,B2171)&gt;0,"✓","⚠ add to Campaigns tab"))</f>
        <v/>
      </c>
      <c r="I2171" s="84" t="str">
        <f aca="false">IF(C2171="","",C2171*IF(Settings!$B$22=Settings!$C$6,1,IF(Settings!$B$22="USD",1/INDEX(Settings!$B$29:$B$40,MONTH(A2171)),INDEX(Settings!$B$29:$B$40,MONTH(A2171)))))</f>
        <v/>
      </c>
    </row>
    <row r="2172" customFormat="false" ht="15" hidden="false" customHeight="false" outlineLevel="0" collapsed="false">
      <c r="H2172" s="0" t="str">
        <f aca="false">IF(B2172="","",IF(COUNTIF(Campaigns!$A$7:$A$300,B2172)&gt;0,"✓","⚠ add to Campaigns tab"))</f>
        <v/>
      </c>
      <c r="I2172" s="84" t="str">
        <f aca="false">IF(C2172="","",C2172*IF(Settings!$B$22=Settings!$C$6,1,IF(Settings!$B$22="USD",1/INDEX(Settings!$B$29:$B$40,MONTH(A2172)),INDEX(Settings!$B$29:$B$40,MONTH(A2172)))))</f>
        <v/>
      </c>
    </row>
    <row r="2173" customFormat="false" ht="15" hidden="false" customHeight="false" outlineLevel="0" collapsed="false">
      <c r="H2173" s="0" t="str">
        <f aca="false">IF(B2173="","",IF(COUNTIF(Campaigns!$A$7:$A$300,B2173)&gt;0,"✓","⚠ add to Campaigns tab"))</f>
        <v/>
      </c>
      <c r="I2173" s="84" t="str">
        <f aca="false">IF(C2173="","",C2173*IF(Settings!$B$22=Settings!$C$6,1,IF(Settings!$B$22="USD",1/INDEX(Settings!$B$29:$B$40,MONTH(A2173)),INDEX(Settings!$B$29:$B$40,MONTH(A2173)))))</f>
        <v/>
      </c>
    </row>
    <row r="2174" customFormat="false" ht="15" hidden="false" customHeight="false" outlineLevel="0" collapsed="false">
      <c r="H2174" s="0" t="str">
        <f aca="false">IF(B2174="","",IF(COUNTIF(Campaigns!$A$7:$A$300,B2174)&gt;0,"✓","⚠ add to Campaigns tab"))</f>
        <v/>
      </c>
      <c r="I2174" s="84" t="str">
        <f aca="false">IF(C2174="","",C2174*IF(Settings!$B$22=Settings!$C$6,1,IF(Settings!$B$22="USD",1/INDEX(Settings!$B$29:$B$40,MONTH(A2174)),INDEX(Settings!$B$29:$B$40,MONTH(A2174)))))</f>
        <v/>
      </c>
    </row>
    <row r="2175" customFormat="false" ht="15" hidden="false" customHeight="false" outlineLevel="0" collapsed="false">
      <c r="H2175" s="0" t="str">
        <f aca="false">IF(B2175="","",IF(COUNTIF(Campaigns!$A$7:$A$300,B2175)&gt;0,"✓","⚠ add to Campaigns tab"))</f>
        <v/>
      </c>
      <c r="I2175" s="84" t="str">
        <f aca="false">IF(C2175="","",C2175*IF(Settings!$B$22=Settings!$C$6,1,IF(Settings!$B$22="USD",1/INDEX(Settings!$B$29:$B$40,MONTH(A2175)),INDEX(Settings!$B$29:$B$40,MONTH(A2175)))))</f>
        <v/>
      </c>
    </row>
    <row r="2176" customFormat="false" ht="15" hidden="false" customHeight="false" outlineLevel="0" collapsed="false">
      <c r="H2176" s="0" t="str">
        <f aca="false">IF(B2176="","",IF(COUNTIF(Campaigns!$A$7:$A$300,B2176)&gt;0,"✓","⚠ add to Campaigns tab"))</f>
        <v/>
      </c>
      <c r="I2176" s="84" t="str">
        <f aca="false">IF(C2176="","",C2176*IF(Settings!$B$22=Settings!$C$6,1,IF(Settings!$B$22="USD",1/INDEX(Settings!$B$29:$B$40,MONTH(A2176)),INDEX(Settings!$B$29:$B$40,MONTH(A2176)))))</f>
        <v/>
      </c>
    </row>
    <row r="2177" customFormat="false" ht="15" hidden="false" customHeight="false" outlineLevel="0" collapsed="false">
      <c r="H2177" s="0" t="str">
        <f aca="false">IF(B2177="","",IF(COUNTIF(Campaigns!$A$7:$A$300,B2177)&gt;0,"✓","⚠ add to Campaigns tab"))</f>
        <v/>
      </c>
      <c r="I2177" s="84" t="str">
        <f aca="false">IF(C2177="","",C2177*IF(Settings!$B$22=Settings!$C$6,1,IF(Settings!$B$22="USD",1/INDEX(Settings!$B$29:$B$40,MONTH(A2177)),INDEX(Settings!$B$29:$B$40,MONTH(A2177)))))</f>
        <v/>
      </c>
    </row>
    <row r="2178" customFormat="false" ht="15" hidden="false" customHeight="false" outlineLevel="0" collapsed="false">
      <c r="H2178" s="0" t="str">
        <f aca="false">IF(B2178="","",IF(COUNTIF(Campaigns!$A$7:$A$300,B2178)&gt;0,"✓","⚠ add to Campaigns tab"))</f>
        <v/>
      </c>
      <c r="I2178" s="84" t="str">
        <f aca="false">IF(C2178="","",C2178*IF(Settings!$B$22=Settings!$C$6,1,IF(Settings!$B$22="USD",1/INDEX(Settings!$B$29:$B$40,MONTH(A2178)),INDEX(Settings!$B$29:$B$40,MONTH(A2178)))))</f>
        <v/>
      </c>
    </row>
    <row r="2179" customFormat="false" ht="15" hidden="false" customHeight="false" outlineLevel="0" collapsed="false">
      <c r="H2179" s="0" t="str">
        <f aca="false">IF(B2179="","",IF(COUNTIF(Campaigns!$A$7:$A$300,B2179)&gt;0,"✓","⚠ add to Campaigns tab"))</f>
        <v/>
      </c>
      <c r="I2179" s="84" t="str">
        <f aca="false">IF(C2179="","",C2179*IF(Settings!$B$22=Settings!$C$6,1,IF(Settings!$B$22="USD",1/INDEX(Settings!$B$29:$B$40,MONTH(A2179)),INDEX(Settings!$B$29:$B$40,MONTH(A2179)))))</f>
        <v/>
      </c>
    </row>
    <row r="2180" customFormat="false" ht="15" hidden="false" customHeight="false" outlineLevel="0" collapsed="false">
      <c r="H2180" s="0" t="str">
        <f aca="false">IF(B2180="","",IF(COUNTIF(Campaigns!$A$7:$A$300,B2180)&gt;0,"✓","⚠ add to Campaigns tab"))</f>
        <v/>
      </c>
      <c r="I2180" s="84" t="str">
        <f aca="false">IF(C2180="","",C2180*IF(Settings!$B$22=Settings!$C$6,1,IF(Settings!$B$22="USD",1/INDEX(Settings!$B$29:$B$40,MONTH(A2180)),INDEX(Settings!$B$29:$B$40,MONTH(A2180)))))</f>
        <v/>
      </c>
    </row>
    <row r="2181" customFormat="false" ht="15" hidden="false" customHeight="false" outlineLevel="0" collapsed="false">
      <c r="H2181" s="0" t="str">
        <f aca="false">IF(B2181="","",IF(COUNTIF(Campaigns!$A$7:$A$300,B2181)&gt;0,"✓","⚠ add to Campaigns tab"))</f>
        <v/>
      </c>
      <c r="I2181" s="84" t="str">
        <f aca="false">IF(C2181="","",C2181*IF(Settings!$B$22=Settings!$C$6,1,IF(Settings!$B$22="USD",1/INDEX(Settings!$B$29:$B$40,MONTH(A2181)),INDEX(Settings!$B$29:$B$40,MONTH(A2181)))))</f>
        <v/>
      </c>
    </row>
    <row r="2182" customFormat="false" ht="15" hidden="false" customHeight="false" outlineLevel="0" collapsed="false">
      <c r="H2182" s="0" t="str">
        <f aca="false">IF(B2182="","",IF(COUNTIF(Campaigns!$A$7:$A$300,B2182)&gt;0,"✓","⚠ add to Campaigns tab"))</f>
        <v/>
      </c>
      <c r="I2182" s="84" t="str">
        <f aca="false">IF(C2182="","",C2182*IF(Settings!$B$22=Settings!$C$6,1,IF(Settings!$B$22="USD",1/INDEX(Settings!$B$29:$B$40,MONTH(A2182)),INDEX(Settings!$B$29:$B$40,MONTH(A2182)))))</f>
        <v/>
      </c>
    </row>
    <row r="2183" customFormat="false" ht="15" hidden="false" customHeight="false" outlineLevel="0" collapsed="false">
      <c r="H2183" s="0" t="str">
        <f aca="false">IF(B2183="","",IF(COUNTIF(Campaigns!$A$7:$A$300,B2183)&gt;0,"✓","⚠ add to Campaigns tab"))</f>
        <v/>
      </c>
      <c r="I2183" s="84" t="str">
        <f aca="false">IF(C2183="","",C2183*IF(Settings!$B$22=Settings!$C$6,1,IF(Settings!$B$22="USD",1/INDEX(Settings!$B$29:$B$40,MONTH(A2183)),INDEX(Settings!$B$29:$B$40,MONTH(A2183)))))</f>
        <v/>
      </c>
    </row>
    <row r="2184" customFormat="false" ht="15" hidden="false" customHeight="false" outlineLevel="0" collapsed="false">
      <c r="H2184" s="0" t="str">
        <f aca="false">IF(B2184="","",IF(COUNTIF(Campaigns!$A$7:$A$300,B2184)&gt;0,"✓","⚠ add to Campaigns tab"))</f>
        <v/>
      </c>
      <c r="I2184" s="84" t="str">
        <f aca="false">IF(C2184="","",C2184*IF(Settings!$B$22=Settings!$C$6,1,IF(Settings!$B$22="USD",1/INDEX(Settings!$B$29:$B$40,MONTH(A2184)),INDEX(Settings!$B$29:$B$40,MONTH(A2184)))))</f>
        <v/>
      </c>
    </row>
    <row r="2185" customFormat="false" ht="15" hidden="false" customHeight="false" outlineLevel="0" collapsed="false">
      <c r="H2185" s="0" t="str">
        <f aca="false">IF(B2185="","",IF(COUNTIF(Campaigns!$A$7:$A$300,B2185)&gt;0,"✓","⚠ add to Campaigns tab"))</f>
        <v/>
      </c>
      <c r="I2185" s="84" t="str">
        <f aca="false">IF(C2185="","",C2185*IF(Settings!$B$22=Settings!$C$6,1,IF(Settings!$B$22="USD",1/INDEX(Settings!$B$29:$B$40,MONTH(A2185)),INDEX(Settings!$B$29:$B$40,MONTH(A2185)))))</f>
        <v/>
      </c>
    </row>
    <row r="2186" customFormat="false" ht="15" hidden="false" customHeight="false" outlineLevel="0" collapsed="false">
      <c r="H2186" s="0" t="str">
        <f aca="false">IF(B2186="","",IF(COUNTIF(Campaigns!$A$7:$A$300,B2186)&gt;0,"✓","⚠ add to Campaigns tab"))</f>
        <v/>
      </c>
      <c r="I2186" s="84" t="str">
        <f aca="false">IF(C2186="","",C2186*IF(Settings!$B$22=Settings!$C$6,1,IF(Settings!$B$22="USD",1/INDEX(Settings!$B$29:$B$40,MONTH(A2186)),INDEX(Settings!$B$29:$B$40,MONTH(A2186)))))</f>
        <v/>
      </c>
    </row>
    <row r="2187" customFormat="false" ht="15" hidden="false" customHeight="false" outlineLevel="0" collapsed="false">
      <c r="H2187" s="0" t="str">
        <f aca="false">IF(B2187="","",IF(COUNTIF(Campaigns!$A$7:$A$300,B2187)&gt;0,"✓","⚠ add to Campaigns tab"))</f>
        <v/>
      </c>
      <c r="I2187" s="84" t="str">
        <f aca="false">IF(C2187="","",C2187*IF(Settings!$B$22=Settings!$C$6,1,IF(Settings!$B$22="USD",1/INDEX(Settings!$B$29:$B$40,MONTH(A2187)),INDEX(Settings!$B$29:$B$40,MONTH(A2187)))))</f>
        <v/>
      </c>
    </row>
    <row r="2188" customFormat="false" ht="15" hidden="false" customHeight="false" outlineLevel="0" collapsed="false">
      <c r="H2188" s="0" t="str">
        <f aca="false">IF(B2188="","",IF(COUNTIF(Campaigns!$A$7:$A$300,B2188)&gt;0,"✓","⚠ add to Campaigns tab"))</f>
        <v/>
      </c>
      <c r="I2188" s="84" t="str">
        <f aca="false">IF(C2188="","",C2188*IF(Settings!$B$22=Settings!$C$6,1,IF(Settings!$B$22="USD",1/INDEX(Settings!$B$29:$B$40,MONTH(A2188)),INDEX(Settings!$B$29:$B$40,MONTH(A2188)))))</f>
        <v/>
      </c>
    </row>
    <row r="2189" customFormat="false" ht="15" hidden="false" customHeight="false" outlineLevel="0" collapsed="false">
      <c r="H2189" s="0" t="str">
        <f aca="false">IF(B2189="","",IF(COUNTIF(Campaigns!$A$7:$A$300,B2189)&gt;0,"✓","⚠ add to Campaigns tab"))</f>
        <v/>
      </c>
      <c r="I2189" s="84" t="str">
        <f aca="false">IF(C2189="","",C2189*IF(Settings!$B$22=Settings!$C$6,1,IF(Settings!$B$22="USD",1/INDEX(Settings!$B$29:$B$40,MONTH(A2189)),INDEX(Settings!$B$29:$B$40,MONTH(A2189)))))</f>
        <v/>
      </c>
    </row>
    <row r="2190" customFormat="false" ht="15" hidden="false" customHeight="false" outlineLevel="0" collapsed="false">
      <c r="H2190" s="0" t="str">
        <f aca="false">IF(B2190="","",IF(COUNTIF(Campaigns!$A$7:$A$300,B2190)&gt;0,"✓","⚠ add to Campaigns tab"))</f>
        <v/>
      </c>
      <c r="I2190" s="84" t="str">
        <f aca="false">IF(C2190="","",C2190*IF(Settings!$B$22=Settings!$C$6,1,IF(Settings!$B$22="USD",1/INDEX(Settings!$B$29:$B$40,MONTH(A2190)),INDEX(Settings!$B$29:$B$40,MONTH(A2190)))))</f>
        <v/>
      </c>
    </row>
    <row r="2191" customFormat="false" ht="15" hidden="false" customHeight="false" outlineLevel="0" collapsed="false">
      <c r="H2191" s="0" t="str">
        <f aca="false">IF(B2191="","",IF(COUNTIF(Campaigns!$A$7:$A$300,B2191)&gt;0,"✓","⚠ add to Campaigns tab"))</f>
        <v/>
      </c>
      <c r="I2191" s="84" t="str">
        <f aca="false">IF(C2191="","",C2191*IF(Settings!$B$22=Settings!$C$6,1,IF(Settings!$B$22="USD",1/INDEX(Settings!$B$29:$B$40,MONTH(A2191)),INDEX(Settings!$B$29:$B$40,MONTH(A2191)))))</f>
        <v/>
      </c>
    </row>
    <row r="2192" customFormat="false" ht="15" hidden="false" customHeight="false" outlineLevel="0" collapsed="false">
      <c r="H2192" s="0" t="str">
        <f aca="false">IF(B2192="","",IF(COUNTIF(Campaigns!$A$7:$A$300,B2192)&gt;0,"✓","⚠ add to Campaigns tab"))</f>
        <v/>
      </c>
      <c r="I2192" s="84" t="str">
        <f aca="false">IF(C2192="","",C2192*IF(Settings!$B$22=Settings!$C$6,1,IF(Settings!$B$22="USD",1/INDEX(Settings!$B$29:$B$40,MONTH(A2192)),INDEX(Settings!$B$29:$B$40,MONTH(A2192)))))</f>
        <v/>
      </c>
    </row>
    <row r="2193" customFormat="false" ht="15" hidden="false" customHeight="false" outlineLevel="0" collapsed="false">
      <c r="H2193" s="0" t="str">
        <f aca="false">IF(B2193="","",IF(COUNTIF(Campaigns!$A$7:$A$300,B2193)&gt;0,"✓","⚠ add to Campaigns tab"))</f>
        <v/>
      </c>
      <c r="I2193" s="84" t="str">
        <f aca="false">IF(C2193="","",C2193*IF(Settings!$B$22=Settings!$C$6,1,IF(Settings!$B$22="USD",1/INDEX(Settings!$B$29:$B$40,MONTH(A2193)),INDEX(Settings!$B$29:$B$40,MONTH(A2193)))))</f>
        <v/>
      </c>
    </row>
    <row r="2194" customFormat="false" ht="15" hidden="false" customHeight="false" outlineLevel="0" collapsed="false">
      <c r="H2194" s="0" t="str">
        <f aca="false">IF(B2194="","",IF(COUNTIF(Campaigns!$A$7:$A$300,B2194)&gt;0,"✓","⚠ add to Campaigns tab"))</f>
        <v/>
      </c>
      <c r="I2194" s="84" t="str">
        <f aca="false">IF(C2194="","",C2194*IF(Settings!$B$22=Settings!$C$6,1,IF(Settings!$B$22="USD",1/INDEX(Settings!$B$29:$B$40,MONTH(A2194)),INDEX(Settings!$B$29:$B$40,MONTH(A2194)))))</f>
        <v/>
      </c>
    </row>
    <row r="2195" customFormat="false" ht="15" hidden="false" customHeight="false" outlineLevel="0" collapsed="false">
      <c r="H2195" s="0" t="str">
        <f aca="false">IF(B2195="","",IF(COUNTIF(Campaigns!$A$7:$A$300,B2195)&gt;0,"✓","⚠ add to Campaigns tab"))</f>
        <v/>
      </c>
      <c r="I2195" s="84" t="str">
        <f aca="false">IF(C2195="","",C2195*IF(Settings!$B$22=Settings!$C$6,1,IF(Settings!$B$22="USD",1/INDEX(Settings!$B$29:$B$40,MONTH(A2195)),INDEX(Settings!$B$29:$B$40,MONTH(A2195)))))</f>
        <v/>
      </c>
    </row>
    <row r="2196" customFormat="false" ht="15" hidden="false" customHeight="false" outlineLevel="0" collapsed="false">
      <c r="H2196" s="0" t="str">
        <f aca="false">IF(B2196="","",IF(COUNTIF(Campaigns!$A$7:$A$300,B2196)&gt;0,"✓","⚠ add to Campaigns tab"))</f>
        <v/>
      </c>
      <c r="I2196" s="84" t="str">
        <f aca="false">IF(C2196="","",C2196*IF(Settings!$B$22=Settings!$C$6,1,IF(Settings!$B$22="USD",1/INDEX(Settings!$B$29:$B$40,MONTH(A2196)),INDEX(Settings!$B$29:$B$40,MONTH(A2196)))))</f>
        <v/>
      </c>
    </row>
    <row r="2197" customFormat="false" ht="15" hidden="false" customHeight="false" outlineLevel="0" collapsed="false">
      <c r="H2197" s="0" t="str">
        <f aca="false">IF(B2197="","",IF(COUNTIF(Campaigns!$A$7:$A$300,B2197)&gt;0,"✓","⚠ add to Campaigns tab"))</f>
        <v/>
      </c>
      <c r="I2197" s="84" t="str">
        <f aca="false">IF(C2197="","",C2197*IF(Settings!$B$22=Settings!$C$6,1,IF(Settings!$B$22="USD",1/INDEX(Settings!$B$29:$B$40,MONTH(A2197)),INDEX(Settings!$B$29:$B$40,MONTH(A2197)))))</f>
        <v/>
      </c>
    </row>
    <row r="2198" customFormat="false" ht="15" hidden="false" customHeight="false" outlineLevel="0" collapsed="false">
      <c r="H2198" s="0" t="str">
        <f aca="false">IF(B2198="","",IF(COUNTIF(Campaigns!$A$7:$A$300,B2198)&gt;0,"✓","⚠ add to Campaigns tab"))</f>
        <v/>
      </c>
      <c r="I2198" s="84" t="str">
        <f aca="false">IF(C2198="","",C2198*IF(Settings!$B$22=Settings!$C$6,1,IF(Settings!$B$22="USD",1/INDEX(Settings!$B$29:$B$40,MONTH(A2198)),INDEX(Settings!$B$29:$B$40,MONTH(A2198)))))</f>
        <v/>
      </c>
    </row>
    <row r="2199" customFormat="false" ht="15" hidden="false" customHeight="false" outlineLevel="0" collapsed="false">
      <c r="H2199" s="0" t="str">
        <f aca="false">IF(B2199="","",IF(COUNTIF(Campaigns!$A$7:$A$300,B2199)&gt;0,"✓","⚠ add to Campaigns tab"))</f>
        <v/>
      </c>
      <c r="I2199" s="84" t="str">
        <f aca="false">IF(C2199="","",C2199*IF(Settings!$B$22=Settings!$C$6,1,IF(Settings!$B$22="USD",1/INDEX(Settings!$B$29:$B$40,MONTH(A2199)),INDEX(Settings!$B$29:$B$40,MONTH(A2199)))))</f>
        <v/>
      </c>
    </row>
    <row r="2200" customFormat="false" ht="15" hidden="false" customHeight="false" outlineLevel="0" collapsed="false">
      <c r="H2200" s="0" t="str">
        <f aca="false">IF(B2200="","",IF(COUNTIF(Campaigns!$A$7:$A$300,B2200)&gt;0,"✓","⚠ add to Campaigns tab"))</f>
        <v/>
      </c>
      <c r="I2200" s="84" t="str">
        <f aca="false">IF(C2200="","",C2200*IF(Settings!$B$22=Settings!$C$6,1,IF(Settings!$B$22="USD",1/INDEX(Settings!$B$29:$B$40,MONTH(A2200)),INDEX(Settings!$B$29:$B$40,MONTH(A2200)))))</f>
        <v/>
      </c>
    </row>
    <row r="2201" customFormat="false" ht="15" hidden="false" customHeight="false" outlineLevel="0" collapsed="false">
      <c r="H2201" s="0" t="str">
        <f aca="false">IF(B2201="","",IF(COUNTIF(Campaigns!$A$7:$A$300,B2201)&gt;0,"✓","⚠ add to Campaigns tab"))</f>
        <v/>
      </c>
      <c r="I2201" s="84" t="str">
        <f aca="false">IF(C2201="","",C2201*IF(Settings!$B$22=Settings!$C$6,1,IF(Settings!$B$22="USD",1/INDEX(Settings!$B$29:$B$40,MONTH(A2201)),INDEX(Settings!$B$29:$B$40,MONTH(A2201)))))</f>
        <v/>
      </c>
    </row>
    <row r="2202" customFormat="false" ht="15" hidden="false" customHeight="false" outlineLevel="0" collapsed="false">
      <c r="H2202" s="0" t="str">
        <f aca="false">IF(B2202="","",IF(COUNTIF(Campaigns!$A$7:$A$300,B2202)&gt;0,"✓","⚠ add to Campaigns tab"))</f>
        <v/>
      </c>
      <c r="I2202" s="84" t="str">
        <f aca="false">IF(C2202="","",C2202*IF(Settings!$B$22=Settings!$C$6,1,IF(Settings!$B$22="USD",1/INDEX(Settings!$B$29:$B$40,MONTH(A2202)),INDEX(Settings!$B$29:$B$40,MONTH(A2202)))))</f>
        <v/>
      </c>
    </row>
    <row r="2203" customFormat="false" ht="15" hidden="false" customHeight="false" outlineLevel="0" collapsed="false">
      <c r="H2203" s="0" t="str">
        <f aca="false">IF(B2203="","",IF(COUNTIF(Campaigns!$A$7:$A$300,B2203)&gt;0,"✓","⚠ add to Campaigns tab"))</f>
        <v/>
      </c>
      <c r="I2203" s="84" t="str">
        <f aca="false">IF(C2203="","",C2203*IF(Settings!$B$22=Settings!$C$6,1,IF(Settings!$B$22="USD",1/INDEX(Settings!$B$29:$B$40,MONTH(A2203)),INDEX(Settings!$B$29:$B$40,MONTH(A2203)))))</f>
        <v/>
      </c>
    </row>
    <row r="2204" customFormat="false" ht="15" hidden="false" customHeight="false" outlineLevel="0" collapsed="false">
      <c r="H2204" s="0" t="str">
        <f aca="false">IF(B2204="","",IF(COUNTIF(Campaigns!$A$7:$A$300,B2204)&gt;0,"✓","⚠ add to Campaigns tab"))</f>
        <v/>
      </c>
      <c r="I2204" s="84" t="str">
        <f aca="false">IF(C2204="","",C2204*IF(Settings!$B$22=Settings!$C$6,1,IF(Settings!$B$22="USD",1/INDEX(Settings!$B$29:$B$40,MONTH(A2204)),INDEX(Settings!$B$29:$B$40,MONTH(A2204)))))</f>
        <v/>
      </c>
    </row>
    <row r="2205" customFormat="false" ht="15" hidden="false" customHeight="false" outlineLevel="0" collapsed="false">
      <c r="H2205" s="0" t="str">
        <f aca="false">IF(B2205="","",IF(COUNTIF(Campaigns!$A$7:$A$300,B2205)&gt;0,"✓","⚠ add to Campaigns tab"))</f>
        <v/>
      </c>
      <c r="I2205" s="84" t="str">
        <f aca="false">IF(C2205="","",C2205*IF(Settings!$B$22=Settings!$C$6,1,IF(Settings!$B$22="USD",1/INDEX(Settings!$B$29:$B$40,MONTH(A2205)),INDEX(Settings!$B$29:$B$40,MONTH(A2205)))))</f>
        <v/>
      </c>
    </row>
    <row r="2206" customFormat="false" ht="15" hidden="false" customHeight="false" outlineLevel="0" collapsed="false">
      <c r="H2206" s="0" t="str">
        <f aca="false">IF(B2206="","",IF(COUNTIF(Campaigns!$A$7:$A$300,B2206)&gt;0,"✓","⚠ add to Campaigns tab"))</f>
        <v/>
      </c>
      <c r="I2206" s="84" t="str">
        <f aca="false">IF(C2206="","",C2206*IF(Settings!$B$22=Settings!$C$6,1,IF(Settings!$B$22="USD",1/INDEX(Settings!$B$29:$B$40,MONTH(A2206)),INDEX(Settings!$B$29:$B$40,MONTH(A2206)))))</f>
        <v/>
      </c>
    </row>
    <row r="2207" customFormat="false" ht="15" hidden="false" customHeight="false" outlineLevel="0" collapsed="false">
      <c r="H2207" s="0" t="str">
        <f aca="false">IF(B2207="","",IF(COUNTIF(Campaigns!$A$7:$A$300,B2207)&gt;0,"✓","⚠ add to Campaigns tab"))</f>
        <v/>
      </c>
      <c r="I2207" s="84" t="str">
        <f aca="false">IF(C2207="","",C2207*IF(Settings!$B$22=Settings!$C$6,1,IF(Settings!$B$22="USD",1/INDEX(Settings!$B$29:$B$40,MONTH(A2207)),INDEX(Settings!$B$29:$B$40,MONTH(A2207)))))</f>
        <v/>
      </c>
    </row>
    <row r="2208" customFormat="false" ht="15" hidden="false" customHeight="false" outlineLevel="0" collapsed="false">
      <c r="H2208" s="0" t="str">
        <f aca="false">IF(B2208="","",IF(COUNTIF(Campaigns!$A$7:$A$300,B2208)&gt;0,"✓","⚠ add to Campaigns tab"))</f>
        <v/>
      </c>
      <c r="I2208" s="84" t="str">
        <f aca="false">IF(C2208="","",C2208*IF(Settings!$B$22=Settings!$C$6,1,IF(Settings!$B$22="USD",1/INDEX(Settings!$B$29:$B$40,MONTH(A2208)),INDEX(Settings!$B$29:$B$40,MONTH(A2208)))))</f>
        <v/>
      </c>
    </row>
    <row r="2209" customFormat="false" ht="15" hidden="false" customHeight="false" outlineLevel="0" collapsed="false">
      <c r="H2209" s="0" t="str">
        <f aca="false">IF(B2209="","",IF(COUNTIF(Campaigns!$A$7:$A$300,B2209)&gt;0,"✓","⚠ add to Campaigns tab"))</f>
        <v/>
      </c>
      <c r="I2209" s="84" t="str">
        <f aca="false">IF(C2209="","",C2209*IF(Settings!$B$22=Settings!$C$6,1,IF(Settings!$B$22="USD",1/INDEX(Settings!$B$29:$B$40,MONTH(A2209)),INDEX(Settings!$B$29:$B$40,MONTH(A2209)))))</f>
        <v/>
      </c>
    </row>
    <row r="2210" customFormat="false" ht="15" hidden="false" customHeight="false" outlineLevel="0" collapsed="false">
      <c r="H2210" s="0" t="str">
        <f aca="false">IF(B2210="","",IF(COUNTIF(Campaigns!$A$7:$A$300,B2210)&gt;0,"✓","⚠ add to Campaigns tab"))</f>
        <v/>
      </c>
      <c r="I2210" s="84" t="str">
        <f aca="false">IF(C2210="","",C2210*IF(Settings!$B$22=Settings!$C$6,1,IF(Settings!$B$22="USD",1/INDEX(Settings!$B$29:$B$40,MONTH(A2210)),INDEX(Settings!$B$29:$B$40,MONTH(A2210)))))</f>
        <v/>
      </c>
    </row>
    <row r="2211" customFormat="false" ht="15" hidden="false" customHeight="false" outlineLevel="0" collapsed="false">
      <c r="H2211" s="0" t="str">
        <f aca="false">IF(B2211="","",IF(COUNTIF(Campaigns!$A$7:$A$300,B2211)&gt;0,"✓","⚠ add to Campaigns tab"))</f>
        <v/>
      </c>
      <c r="I2211" s="84" t="str">
        <f aca="false">IF(C2211="","",C2211*IF(Settings!$B$22=Settings!$C$6,1,IF(Settings!$B$22="USD",1/INDEX(Settings!$B$29:$B$40,MONTH(A2211)),INDEX(Settings!$B$29:$B$40,MONTH(A2211)))))</f>
        <v/>
      </c>
    </row>
    <row r="2212" customFormat="false" ht="15" hidden="false" customHeight="false" outlineLevel="0" collapsed="false">
      <c r="H2212" s="0" t="str">
        <f aca="false">IF(B2212="","",IF(COUNTIF(Campaigns!$A$7:$A$300,B2212)&gt;0,"✓","⚠ add to Campaigns tab"))</f>
        <v/>
      </c>
      <c r="I2212" s="84" t="str">
        <f aca="false">IF(C2212="","",C2212*IF(Settings!$B$22=Settings!$C$6,1,IF(Settings!$B$22="USD",1/INDEX(Settings!$B$29:$B$40,MONTH(A2212)),INDEX(Settings!$B$29:$B$40,MONTH(A2212)))))</f>
        <v/>
      </c>
    </row>
    <row r="2213" customFormat="false" ht="15" hidden="false" customHeight="false" outlineLevel="0" collapsed="false">
      <c r="H2213" s="0" t="str">
        <f aca="false">IF(B2213="","",IF(COUNTIF(Campaigns!$A$7:$A$300,B2213)&gt;0,"✓","⚠ add to Campaigns tab"))</f>
        <v/>
      </c>
      <c r="I2213" s="84" t="str">
        <f aca="false">IF(C2213="","",C2213*IF(Settings!$B$22=Settings!$C$6,1,IF(Settings!$B$22="USD",1/INDEX(Settings!$B$29:$B$40,MONTH(A2213)),INDEX(Settings!$B$29:$B$40,MONTH(A2213)))))</f>
        <v/>
      </c>
    </row>
    <row r="2214" customFormat="false" ht="15" hidden="false" customHeight="false" outlineLevel="0" collapsed="false">
      <c r="H2214" s="0" t="str">
        <f aca="false">IF(B2214="","",IF(COUNTIF(Campaigns!$A$7:$A$300,B2214)&gt;0,"✓","⚠ add to Campaigns tab"))</f>
        <v/>
      </c>
      <c r="I2214" s="84" t="str">
        <f aca="false">IF(C2214="","",C2214*IF(Settings!$B$22=Settings!$C$6,1,IF(Settings!$B$22="USD",1/INDEX(Settings!$B$29:$B$40,MONTH(A2214)),INDEX(Settings!$B$29:$B$40,MONTH(A2214)))))</f>
        <v/>
      </c>
    </row>
    <row r="2215" customFormat="false" ht="15" hidden="false" customHeight="false" outlineLevel="0" collapsed="false">
      <c r="H2215" s="0" t="str">
        <f aca="false">IF(B2215="","",IF(COUNTIF(Campaigns!$A$7:$A$300,B2215)&gt;0,"✓","⚠ add to Campaigns tab"))</f>
        <v/>
      </c>
      <c r="I2215" s="84" t="str">
        <f aca="false">IF(C2215="","",C2215*IF(Settings!$B$22=Settings!$C$6,1,IF(Settings!$B$22="USD",1/INDEX(Settings!$B$29:$B$40,MONTH(A2215)),INDEX(Settings!$B$29:$B$40,MONTH(A2215)))))</f>
        <v/>
      </c>
    </row>
    <row r="2216" customFormat="false" ht="15" hidden="false" customHeight="false" outlineLevel="0" collapsed="false">
      <c r="H2216" s="0" t="str">
        <f aca="false">IF(B2216="","",IF(COUNTIF(Campaigns!$A$7:$A$300,B2216)&gt;0,"✓","⚠ add to Campaigns tab"))</f>
        <v/>
      </c>
      <c r="I2216" s="84" t="str">
        <f aca="false">IF(C2216="","",C2216*IF(Settings!$B$22=Settings!$C$6,1,IF(Settings!$B$22="USD",1/INDEX(Settings!$B$29:$B$40,MONTH(A2216)),INDEX(Settings!$B$29:$B$40,MONTH(A2216)))))</f>
        <v/>
      </c>
    </row>
    <row r="2217" customFormat="false" ht="15" hidden="false" customHeight="false" outlineLevel="0" collapsed="false">
      <c r="H2217" s="0" t="str">
        <f aca="false">IF(B2217="","",IF(COUNTIF(Campaigns!$A$7:$A$300,B2217)&gt;0,"✓","⚠ add to Campaigns tab"))</f>
        <v/>
      </c>
      <c r="I2217" s="84" t="str">
        <f aca="false">IF(C2217="","",C2217*IF(Settings!$B$22=Settings!$C$6,1,IF(Settings!$B$22="USD",1/INDEX(Settings!$B$29:$B$40,MONTH(A2217)),INDEX(Settings!$B$29:$B$40,MONTH(A2217)))))</f>
        <v/>
      </c>
    </row>
    <row r="2218" customFormat="false" ht="15" hidden="false" customHeight="false" outlineLevel="0" collapsed="false">
      <c r="H2218" s="0" t="str">
        <f aca="false">IF(B2218="","",IF(COUNTIF(Campaigns!$A$7:$A$300,B2218)&gt;0,"✓","⚠ add to Campaigns tab"))</f>
        <v/>
      </c>
      <c r="I2218" s="84" t="str">
        <f aca="false">IF(C2218="","",C2218*IF(Settings!$B$22=Settings!$C$6,1,IF(Settings!$B$22="USD",1/INDEX(Settings!$B$29:$B$40,MONTH(A2218)),INDEX(Settings!$B$29:$B$40,MONTH(A2218)))))</f>
        <v/>
      </c>
    </row>
    <row r="2219" customFormat="false" ht="15" hidden="false" customHeight="false" outlineLevel="0" collapsed="false">
      <c r="H2219" s="0" t="str">
        <f aca="false">IF(B2219="","",IF(COUNTIF(Campaigns!$A$7:$A$300,B2219)&gt;0,"✓","⚠ add to Campaigns tab"))</f>
        <v/>
      </c>
      <c r="I2219" s="84" t="str">
        <f aca="false">IF(C2219="","",C2219*IF(Settings!$B$22=Settings!$C$6,1,IF(Settings!$B$22="USD",1/INDEX(Settings!$B$29:$B$40,MONTH(A2219)),INDEX(Settings!$B$29:$B$40,MONTH(A2219)))))</f>
        <v/>
      </c>
    </row>
    <row r="2220" customFormat="false" ht="15" hidden="false" customHeight="false" outlineLevel="0" collapsed="false">
      <c r="H2220" s="0" t="str">
        <f aca="false">IF(B2220="","",IF(COUNTIF(Campaigns!$A$7:$A$300,B2220)&gt;0,"✓","⚠ add to Campaigns tab"))</f>
        <v/>
      </c>
      <c r="I2220" s="84" t="str">
        <f aca="false">IF(C2220="","",C2220*IF(Settings!$B$22=Settings!$C$6,1,IF(Settings!$B$22="USD",1/INDEX(Settings!$B$29:$B$40,MONTH(A2220)),INDEX(Settings!$B$29:$B$40,MONTH(A2220)))))</f>
        <v/>
      </c>
    </row>
    <row r="2221" customFormat="false" ht="15" hidden="false" customHeight="false" outlineLevel="0" collapsed="false">
      <c r="H2221" s="0" t="str">
        <f aca="false">IF(B2221="","",IF(COUNTIF(Campaigns!$A$7:$A$300,B2221)&gt;0,"✓","⚠ add to Campaigns tab"))</f>
        <v/>
      </c>
      <c r="I2221" s="84" t="str">
        <f aca="false">IF(C2221="","",C2221*IF(Settings!$B$22=Settings!$C$6,1,IF(Settings!$B$22="USD",1/INDEX(Settings!$B$29:$B$40,MONTH(A2221)),INDEX(Settings!$B$29:$B$40,MONTH(A2221)))))</f>
        <v/>
      </c>
    </row>
    <row r="2222" customFormat="false" ht="15" hidden="false" customHeight="false" outlineLevel="0" collapsed="false">
      <c r="H2222" s="0" t="str">
        <f aca="false">IF(B2222="","",IF(COUNTIF(Campaigns!$A$7:$A$300,B2222)&gt;0,"✓","⚠ add to Campaigns tab"))</f>
        <v/>
      </c>
      <c r="I2222" s="84" t="str">
        <f aca="false">IF(C2222="","",C2222*IF(Settings!$B$22=Settings!$C$6,1,IF(Settings!$B$22="USD",1/INDEX(Settings!$B$29:$B$40,MONTH(A2222)),INDEX(Settings!$B$29:$B$40,MONTH(A2222)))))</f>
        <v/>
      </c>
    </row>
    <row r="2223" customFormat="false" ht="15" hidden="false" customHeight="false" outlineLevel="0" collapsed="false">
      <c r="H2223" s="0" t="str">
        <f aca="false">IF(B2223="","",IF(COUNTIF(Campaigns!$A$7:$A$300,B2223)&gt;0,"✓","⚠ add to Campaigns tab"))</f>
        <v/>
      </c>
      <c r="I2223" s="84" t="str">
        <f aca="false">IF(C2223="","",C2223*IF(Settings!$B$22=Settings!$C$6,1,IF(Settings!$B$22="USD",1/INDEX(Settings!$B$29:$B$40,MONTH(A2223)),INDEX(Settings!$B$29:$B$40,MONTH(A2223)))))</f>
        <v/>
      </c>
    </row>
    <row r="2224" customFormat="false" ht="15" hidden="false" customHeight="false" outlineLevel="0" collapsed="false">
      <c r="H2224" s="0" t="str">
        <f aca="false">IF(B2224="","",IF(COUNTIF(Campaigns!$A$7:$A$300,B2224)&gt;0,"✓","⚠ add to Campaigns tab"))</f>
        <v/>
      </c>
      <c r="I2224" s="84" t="str">
        <f aca="false">IF(C2224="","",C2224*IF(Settings!$B$22=Settings!$C$6,1,IF(Settings!$B$22="USD",1/INDEX(Settings!$B$29:$B$40,MONTH(A2224)),INDEX(Settings!$B$29:$B$40,MONTH(A2224)))))</f>
        <v/>
      </c>
    </row>
    <row r="2225" customFormat="false" ht="15" hidden="false" customHeight="false" outlineLevel="0" collapsed="false">
      <c r="H2225" s="0" t="str">
        <f aca="false">IF(B2225="","",IF(COUNTIF(Campaigns!$A$7:$A$300,B2225)&gt;0,"✓","⚠ add to Campaigns tab"))</f>
        <v/>
      </c>
      <c r="I2225" s="84" t="str">
        <f aca="false">IF(C2225="","",C2225*IF(Settings!$B$22=Settings!$C$6,1,IF(Settings!$B$22="USD",1/INDEX(Settings!$B$29:$B$40,MONTH(A2225)),INDEX(Settings!$B$29:$B$40,MONTH(A2225)))))</f>
        <v/>
      </c>
    </row>
    <row r="2226" customFormat="false" ht="15" hidden="false" customHeight="false" outlineLevel="0" collapsed="false">
      <c r="H2226" s="0" t="str">
        <f aca="false">IF(B2226="","",IF(COUNTIF(Campaigns!$A$7:$A$300,B2226)&gt;0,"✓","⚠ add to Campaigns tab"))</f>
        <v/>
      </c>
      <c r="I2226" s="84" t="str">
        <f aca="false">IF(C2226="","",C2226*IF(Settings!$B$22=Settings!$C$6,1,IF(Settings!$B$22="USD",1/INDEX(Settings!$B$29:$B$40,MONTH(A2226)),INDEX(Settings!$B$29:$B$40,MONTH(A2226)))))</f>
        <v/>
      </c>
    </row>
    <row r="2227" customFormat="false" ht="15" hidden="false" customHeight="false" outlineLevel="0" collapsed="false">
      <c r="H2227" s="0" t="str">
        <f aca="false">IF(B2227="","",IF(COUNTIF(Campaigns!$A$7:$A$300,B2227)&gt;0,"✓","⚠ add to Campaigns tab"))</f>
        <v/>
      </c>
      <c r="I2227" s="84" t="str">
        <f aca="false">IF(C2227="","",C2227*IF(Settings!$B$22=Settings!$C$6,1,IF(Settings!$B$22="USD",1/INDEX(Settings!$B$29:$B$40,MONTH(A2227)),INDEX(Settings!$B$29:$B$40,MONTH(A2227)))))</f>
        <v/>
      </c>
    </row>
    <row r="2228" customFormat="false" ht="15" hidden="false" customHeight="false" outlineLevel="0" collapsed="false">
      <c r="H2228" s="0" t="str">
        <f aca="false">IF(B2228="","",IF(COUNTIF(Campaigns!$A$7:$A$300,B2228)&gt;0,"✓","⚠ add to Campaigns tab"))</f>
        <v/>
      </c>
      <c r="I2228" s="84" t="str">
        <f aca="false">IF(C2228="","",C2228*IF(Settings!$B$22=Settings!$C$6,1,IF(Settings!$B$22="USD",1/INDEX(Settings!$B$29:$B$40,MONTH(A2228)),INDEX(Settings!$B$29:$B$40,MONTH(A2228)))))</f>
        <v/>
      </c>
    </row>
    <row r="2229" customFormat="false" ht="15" hidden="false" customHeight="false" outlineLevel="0" collapsed="false">
      <c r="H2229" s="0" t="str">
        <f aca="false">IF(B2229="","",IF(COUNTIF(Campaigns!$A$7:$A$300,B2229)&gt;0,"✓","⚠ add to Campaigns tab"))</f>
        <v/>
      </c>
      <c r="I2229" s="84" t="str">
        <f aca="false">IF(C2229="","",C2229*IF(Settings!$B$22=Settings!$C$6,1,IF(Settings!$B$22="USD",1/INDEX(Settings!$B$29:$B$40,MONTH(A2229)),INDEX(Settings!$B$29:$B$40,MONTH(A2229)))))</f>
        <v/>
      </c>
    </row>
    <row r="2230" customFormat="false" ht="15" hidden="false" customHeight="false" outlineLevel="0" collapsed="false">
      <c r="H2230" s="0" t="str">
        <f aca="false">IF(B2230="","",IF(COUNTIF(Campaigns!$A$7:$A$300,B2230)&gt;0,"✓","⚠ add to Campaigns tab"))</f>
        <v/>
      </c>
      <c r="I2230" s="84" t="str">
        <f aca="false">IF(C2230="","",C2230*IF(Settings!$B$22=Settings!$C$6,1,IF(Settings!$B$22="USD",1/INDEX(Settings!$B$29:$B$40,MONTH(A2230)),INDEX(Settings!$B$29:$B$40,MONTH(A2230)))))</f>
        <v/>
      </c>
    </row>
    <row r="2231" customFormat="false" ht="15" hidden="false" customHeight="false" outlineLevel="0" collapsed="false">
      <c r="H2231" s="0" t="str">
        <f aca="false">IF(B2231="","",IF(COUNTIF(Campaigns!$A$7:$A$300,B2231)&gt;0,"✓","⚠ add to Campaigns tab"))</f>
        <v/>
      </c>
      <c r="I2231" s="84" t="str">
        <f aca="false">IF(C2231="","",C2231*IF(Settings!$B$22=Settings!$C$6,1,IF(Settings!$B$22="USD",1/INDEX(Settings!$B$29:$B$40,MONTH(A2231)),INDEX(Settings!$B$29:$B$40,MONTH(A2231)))))</f>
        <v/>
      </c>
    </row>
    <row r="2232" customFormat="false" ht="15" hidden="false" customHeight="false" outlineLevel="0" collapsed="false">
      <c r="H2232" s="0" t="str">
        <f aca="false">IF(B2232="","",IF(COUNTIF(Campaigns!$A$7:$A$300,B2232)&gt;0,"✓","⚠ add to Campaigns tab"))</f>
        <v/>
      </c>
      <c r="I2232" s="84" t="str">
        <f aca="false">IF(C2232="","",C2232*IF(Settings!$B$22=Settings!$C$6,1,IF(Settings!$B$22="USD",1/INDEX(Settings!$B$29:$B$40,MONTH(A2232)),INDEX(Settings!$B$29:$B$40,MONTH(A2232)))))</f>
        <v/>
      </c>
    </row>
    <row r="2233" customFormat="false" ht="15" hidden="false" customHeight="false" outlineLevel="0" collapsed="false">
      <c r="H2233" s="0" t="str">
        <f aca="false">IF(B2233="","",IF(COUNTIF(Campaigns!$A$7:$A$300,B2233)&gt;0,"✓","⚠ add to Campaigns tab"))</f>
        <v/>
      </c>
      <c r="I2233" s="84" t="str">
        <f aca="false">IF(C2233="","",C2233*IF(Settings!$B$22=Settings!$C$6,1,IF(Settings!$B$22="USD",1/INDEX(Settings!$B$29:$B$40,MONTH(A2233)),INDEX(Settings!$B$29:$B$40,MONTH(A2233)))))</f>
        <v/>
      </c>
    </row>
    <row r="2234" customFormat="false" ht="15" hidden="false" customHeight="false" outlineLevel="0" collapsed="false">
      <c r="H2234" s="0" t="str">
        <f aca="false">IF(B2234="","",IF(COUNTIF(Campaigns!$A$7:$A$300,B2234)&gt;0,"✓","⚠ add to Campaigns tab"))</f>
        <v/>
      </c>
      <c r="I2234" s="84" t="str">
        <f aca="false">IF(C2234="","",C2234*IF(Settings!$B$22=Settings!$C$6,1,IF(Settings!$B$22="USD",1/INDEX(Settings!$B$29:$B$40,MONTH(A2234)),INDEX(Settings!$B$29:$B$40,MONTH(A2234)))))</f>
        <v/>
      </c>
    </row>
    <row r="2235" customFormat="false" ht="15" hidden="false" customHeight="false" outlineLevel="0" collapsed="false">
      <c r="H2235" s="0" t="str">
        <f aca="false">IF(B2235="","",IF(COUNTIF(Campaigns!$A$7:$A$300,B2235)&gt;0,"✓","⚠ add to Campaigns tab"))</f>
        <v/>
      </c>
      <c r="I2235" s="84" t="str">
        <f aca="false">IF(C2235="","",C2235*IF(Settings!$B$22=Settings!$C$6,1,IF(Settings!$B$22="USD",1/INDEX(Settings!$B$29:$B$40,MONTH(A2235)),INDEX(Settings!$B$29:$B$40,MONTH(A2235)))))</f>
        <v/>
      </c>
    </row>
    <row r="2236" customFormat="false" ht="15" hidden="false" customHeight="false" outlineLevel="0" collapsed="false">
      <c r="H2236" s="0" t="str">
        <f aca="false">IF(B2236="","",IF(COUNTIF(Campaigns!$A$7:$A$300,B2236)&gt;0,"✓","⚠ add to Campaigns tab"))</f>
        <v/>
      </c>
      <c r="I2236" s="84" t="str">
        <f aca="false">IF(C2236="","",C2236*IF(Settings!$B$22=Settings!$C$6,1,IF(Settings!$B$22="USD",1/INDEX(Settings!$B$29:$B$40,MONTH(A2236)),INDEX(Settings!$B$29:$B$40,MONTH(A2236)))))</f>
        <v/>
      </c>
    </row>
    <row r="2237" customFormat="false" ht="15" hidden="false" customHeight="false" outlineLevel="0" collapsed="false">
      <c r="H2237" s="0" t="str">
        <f aca="false">IF(B2237="","",IF(COUNTIF(Campaigns!$A$7:$A$300,B2237)&gt;0,"✓","⚠ add to Campaigns tab"))</f>
        <v/>
      </c>
      <c r="I2237" s="84" t="str">
        <f aca="false">IF(C2237="","",C2237*IF(Settings!$B$22=Settings!$C$6,1,IF(Settings!$B$22="USD",1/INDEX(Settings!$B$29:$B$40,MONTH(A2237)),INDEX(Settings!$B$29:$B$40,MONTH(A2237)))))</f>
        <v/>
      </c>
    </row>
    <row r="2238" customFormat="false" ht="15" hidden="false" customHeight="false" outlineLevel="0" collapsed="false">
      <c r="H2238" s="0" t="str">
        <f aca="false">IF(B2238="","",IF(COUNTIF(Campaigns!$A$7:$A$300,B2238)&gt;0,"✓","⚠ add to Campaigns tab"))</f>
        <v/>
      </c>
      <c r="I2238" s="84" t="str">
        <f aca="false">IF(C2238="","",C2238*IF(Settings!$B$22=Settings!$C$6,1,IF(Settings!$B$22="USD",1/INDEX(Settings!$B$29:$B$40,MONTH(A2238)),INDEX(Settings!$B$29:$B$40,MONTH(A2238)))))</f>
        <v/>
      </c>
    </row>
    <row r="2239" customFormat="false" ht="15" hidden="false" customHeight="false" outlineLevel="0" collapsed="false">
      <c r="H2239" s="0" t="str">
        <f aca="false">IF(B2239="","",IF(COUNTIF(Campaigns!$A$7:$A$300,B2239)&gt;0,"✓","⚠ add to Campaigns tab"))</f>
        <v/>
      </c>
      <c r="I2239" s="84" t="str">
        <f aca="false">IF(C2239="","",C2239*IF(Settings!$B$22=Settings!$C$6,1,IF(Settings!$B$22="USD",1/INDEX(Settings!$B$29:$B$40,MONTH(A2239)),INDEX(Settings!$B$29:$B$40,MONTH(A2239)))))</f>
        <v/>
      </c>
    </row>
    <row r="2240" customFormat="false" ht="15" hidden="false" customHeight="false" outlineLevel="0" collapsed="false">
      <c r="H2240" s="0" t="str">
        <f aca="false">IF(B2240="","",IF(COUNTIF(Campaigns!$A$7:$A$300,B2240)&gt;0,"✓","⚠ add to Campaigns tab"))</f>
        <v/>
      </c>
      <c r="I2240" s="84" t="str">
        <f aca="false">IF(C2240="","",C2240*IF(Settings!$B$22=Settings!$C$6,1,IF(Settings!$B$22="USD",1/INDEX(Settings!$B$29:$B$40,MONTH(A2240)),INDEX(Settings!$B$29:$B$40,MONTH(A2240)))))</f>
        <v/>
      </c>
    </row>
    <row r="2241" customFormat="false" ht="15" hidden="false" customHeight="false" outlineLevel="0" collapsed="false">
      <c r="H2241" s="0" t="str">
        <f aca="false">IF(B2241="","",IF(COUNTIF(Campaigns!$A$7:$A$300,B2241)&gt;0,"✓","⚠ add to Campaigns tab"))</f>
        <v/>
      </c>
      <c r="I2241" s="84" t="str">
        <f aca="false">IF(C2241="","",C2241*IF(Settings!$B$22=Settings!$C$6,1,IF(Settings!$B$22="USD",1/INDEX(Settings!$B$29:$B$40,MONTH(A2241)),INDEX(Settings!$B$29:$B$40,MONTH(A2241)))))</f>
        <v/>
      </c>
    </row>
    <row r="2242" customFormat="false" ht="15" hidden="false" customHeight="false" outlineLevel="0" collapsed="false">
      <c r="H2242" s="0" t="str">
        <f aca="false">IF(B2242="","",IF(COUNTIF(Campaigns!$A$7:$A$300,B2242)&gt;0,"✓","⚠ add to Campaigns tab"))</f>
        <v/>
      </c>
      <c r="I2242" s="84" t="str">
        <f aca="false">IF(C2242="","",C2242*IF(Settings!$B$22=Settings!$C$6,1,IF(Settings!$B$22="USD",1/INDEX(Settings!$B$29:$B$40,MONTH(A2242)),INDEX(Settings!$B$29:$B$40,MONTH(A2242)))))</f>
        <v/>
      </c>
    </row>
    <row r="2243" customFormat="false" ht="15" hidden="false" customHeight="false" outlineLevel="0" collapsed="false">
      <c r="H2243" s="0" t="str">
        <f aca="false">IF(B2243="","",IF(COUNTIF(Campaigns!$A$7:$A$300,B2243)&gt;0,"✓","⚠ add to Campaigns tab"))</f>
        <v/>
      </c>
      <c r="I2243" s="84" t="str">
        <f aca="false">IF(C2243="","",C2243*IF(Settings!$B$22=Settings!$C$6,1,IF(Settings!$B$22="USD",1/INDEX(Settings!$B$29:$B$40,MONTH(A2243)),INDEX(Settings!$B$29:$B$40,MONTH(A2243)))))</f>
        <v/>
      </c>
    </row>
    <row r="2244" customFormat="false" ht="15" hidden="false" customHeight="false" outlineLevel="0" collapsed="false">
      <c r="H2244" s="0" t="str">
        <f aca="false">IF(B2244="","",IF(COUNTIF(Campaigns!$A$7:$A$300,B2244)&gt;0,"✓","⚠ add to Campaigns tab"))</f>
        <v/>
      </c>
      <c r="I2244" s="84" t="str">
        <f aca="false">IF(C2244="","",C2244*IF(Settings!$B$22=Settings!$C$6,1,IF(Settings!$B$22="USD",1/INDEX(Settings!$B$29:$B$40,MONTH(A2244)),INDEX(Settings!$B$29:$B$40,MONTH(A2244)))))</f>
        <v/>
      </c>
    </row>
    <row r="2245" customFormat="false" ht="15" hidden="false" customHeight="false" outlineLevel="0" collapsed="false">
      <c r="H2245" s="0" t="str">
        <f aca="false">IF(B2245="","",IF(COUNTIF(Campaigns!$A$7:$A$300,B2245)&gt;0,"✓","⚠ add to Campaigns tab"))</f>
        <v/>
      </c>
      <c r="I2245" s="84" t="str">
        <f aca="false">IF(C2245="","",C2245*IF(Settings!$B$22=Settings!$C$6,1,IF(Settings!$B$22="USD",1/INDEX(Settings!$B$29:$B$40,MONTH(A2245)),INDEX(Settings!$B$29:$B$40,MONTH(A2245)))))</f>
        <v/>
      </c>
    </row>
    <row r="2246" customFormat="false" ht="15" hidden="false" customHeight="false" outlineLevel="0" collapsed="false">
      <c r="H2246" s="0" t="str">
        <f aca="false">IF(B2246="","",IF(COUNTIF(Campaigns!$A$7:$A$300,B2246)&gt;0,"✓","⚠ add to Campaigns tab"))</f>
        <v/>
      </c>
      <c r="I2246" s="84" t="str">
        <f aca="false">IF(C2246="","",C2246*IF(Settings!$B$22=Settings!$C$6,1,IF(Settings!$B$22="USD",1/INDEX(Settings!$B$29:$B$40,MONTH(A2246)),INDEX(Settings!$B$29:$B$40,MONTH(A2246)))))</f>
        <v/>
      </c>
    </row>
    <row r="2247" customFormat="false" ht="15" hidden="false" customHeight="false" outlineLevel="0" collapsed="false">
      <c r="H2247" s="0" t="str">
        <f aca="false">IF(B2247="","",IF(COUNTIF(Campaigns!$A$7:$A$300,B2247)&gt;0,"✓","⚠ add to Campaigns tab"))</f>
        <v/>
      </c>
      <c r="I2247" s="84" t="str">
        <f aca="false">IF(C2247="","",C2247*IF(Settings!$B$22=Settings!$C$6,1,IF(Settings!$B$22="USD",1/INDEX(Settings!$B$29:$B$40,MONTH(A2247)),INDEX(Settings!$B$29:$B$40,MONTH(A2247)))))</f>
        <v/>
      </c>
    </row>
    <row r="2248" customFormat="false" ht="15" hidden="false" customHeight="false" outlineLevel="0" collapsed="false">
      <c r="H2248" s="0" t="str">
        <f aca="false">IF(B2248="","",IF(COUNTIF(Campaigns!$A$7:$A$300,B2248)&gt;0,"✓","⚠ add to Campaigns tab"))</f>
        <v/>
      </c>
      <c r="I2248" s="84" t="str">
        <f aca="false">IF(C2248="","",C2248*IF(Settings!$B$22=Settings!$C$6,1,IF(Settings!$B$22="USD",1/INDEX(Settings!$B$29:$B$40,MONTH(A2248)),INDEX(Settings!$B$29:$B$40,MONTH(A2248)))))</f>
        <v/>
      </c>
    </row>
    <row r="2249" customFormat="false" ht="15" hidden="false" customHeight="false" outlineLevel="0" collapsed="false">
      <c r="H2249" s="0" t="str">
        <f aca="false">IF(B2249="","",IF(COUNTIF(Campaigns!$A$7:$A$300,B2249)&gt;0,"✓","⚠ add to Campaigns tab"))</f>
        <v/>
      </c>
      <c r="I2249" s="84" t="str">
        <f aca="false">IF(C2249="","",C2249*IF(Settings!$B$22=Settings!$C$6,1,IF(Settings!$B$22="USD",1/INDEX(Settings!$B$29:$B$40,MONTH(A2249)),INDEX(Settings!$B$29:$B$40,MONTH(A2249)))))</f>
        <v/>
      </c>
    </row>
    <row r="2250" customFormat="false" ht="15" hidden="false" customHeight="false" outlineLevel="0" collapsed="false">
      <c r="H2250" s="0" t="str">
        <f aca="false">IF(B2250="","",IF(COUNTIF(Campaigns!$A$7:$A$300,B2250)&gt;0,"✓","⚠ add to Campaigns tab"))</f>
        <v/>
      </c>
      <c r="I2250" s="84" t="str">
        <f aca="false">IF(C2250="","",C2250*IF(Settings!$B$22=Settings!$C$6,1,IF(Settings!$B$22="USD",1/INDEX(Settings!$B$29:$B$40,MONTH(A2250)),INDEX(Settings!$B$29:$B$40,MONTH(A2250)))))</f>
        <v/>
      </c>
    </row>
    <row r="2251" customFormat="false" ht="15" hidden="false" customHeight="false" outlineLevel="0" collapsed="false">
      <c r="H2251" s="0" t="str">
        <f aca="false">IF(B2251="","",IF(COUNTIF(Campaigns!$A$7:$A$300,B2251)&gt;0,"✓","⚠ add to Campaigns tab"))</f>
        <v/>
      </c>
      <c r="I2251" s="84" t="str">
        <f aca="false">IF(C2251="","",C2251*IF(Settings!$B$22=Settings!$C$6,1,IF(Settings!$B$22="USD",1/INDEX(Settings!$B$29:$B$40,MONTH(A2251)),INDEX(Settings!$B$29:$B$40,MONTH(A2251)))))</f>
        <v/>
      </c>
    </row>
    <row r="2252" customFormat="false" ht="15" hidden="false" customHeight="false" outlineLevel="0" collapsed="false">
      <c r="H2252" s="0" t="str">
        <f aca="false">IF(B2252="","",IF(COUNTIF(Campaigns!$A$7:$A$300,B2252)&gt;0,"✓","⚠ add to Campaigns tab"))</f>
        <v/>
      </c>
      <c r="I2252" s="84" t="str">
        <f aca="false">IF(C2252="","",C2252*IF(Settings!$B$22=Settings!$C$6,1,IF(Settings!$B$22="USD",1/INDEX(Settings!$B$29:$B$40,MONTH(A2252)),INDEX(Settings!$B$29:$B$40,MONTH(A2252)))))</f>
        <v/>
      </c>
    </row>
    <row r="2253" customFormat="false" ht="15" hidden="false" customHeight="false" outlineLevel="0" collapsed="false">
      <c r="H2253" s="0" t="str">
        <f aca="false">IF(B2253="","",IF(COUNTIF(Campaigns!$A$7:$A$300,B2253)&gt;0,"✓","⚠ add to Campaigns tab"))</f>
        <v/>
      </c>
      <c r="I2253" s="84" t="str">
        <f aca="false">IF(C2253="","",C2253*IF(Settings!$B$22=Settings!$C$6,1,IF(Settings!$B$22="USD",1/INDEX(Settings!$B$29:$B$40,MONTH(A2253)),INDEX(Settings!$B$29:$B$40,MONTH(A2253)))))</f>
        <v/>
      </c>
    </row>
    <row r="2254" customFormat="false" ht="15" hidden="false" customHeight="false" outlineLevel="0" collapsed="false">
      <c r="H2254" s="0" t="str">
        <f aca="false">IF(B2254="","",IF(COUNTIF(Campaigns!$A$7:$A$300,B2254)&gt;0,"✓","⚠ add to Campaigns tab"))</f>
        <v/>
      </c>
      <c r="I2254" s="84" t="str">
        <f aca="false">IF(C2254="","",C2254*IF(Settings!$B$22=Settings!$C$6,1,IF(Settings!$B$22="USD",1/INDEX(Settings!$B$29:$B$40,MONTH(A2254)),INDEX(Settings!$B$29:$B$40,MONTH(A2254)))))</f>
        <v/>
      </c>
    </row>
    <row r="2255" customFormat="false" ht="15" hidden="false" customHeight="false" outlineLevel="0" collapsed="false">
      <c r="H2255" s="0" t="str">
        <f aca="false">IF(B2255="","",IF(COUNTIF(Campaigns!$A$7:$A$300,B2255)&gt;0,"✓","⚠ add to Campaigns tab"))</f>
        <v/>
      </c>
      <c r="I2255" s="84" t="str">
        <f aca="false">IF(C2255="","",C2255*IF(Settings!$B$22=Settings!$C$6,1,IF(Settings!$B$22="USD",1/INDEX(Settings!$B$29:$B$40,MONTH(A2255)),INDEX(Settings!$B$29:$B$40,MONTH(A2255)))))</f>
        <v/>
      </c>
    </row>
    <row r="2256" customFormat="false" ht="15" hidden="false" customHeight="false" outlineLevel="0" collapsed="false">
      <c r="H2256" s="0" t="str">
        <f aca="false">IF(B2256="","",IF(COUNTIF(Campaigns!$A$7:$A$300,B2256)&gt;0,"✓","⚠ add to Campaigns tab"))</f>
        <v/>
      </c>
      <c r="I2256" s="84" t="str">
        <f aca="false">IF(C2256="","",C2256*IF(Settings!$B$22=Settings!$C$6,1,IF(Settings!$B$22="USD",1/INDEX(Settings!$B$29:$B$40,MONTH(A2256)),INDEX(Settings!$B$29:$B$40,MONTH(A2256)))))</f>
        <v/>
      </c>
    </row>
    <row r="2257" customFormat="false" ht="15" hidden="false" customHeight="false" outlineLevel="0" collapsed="false">
      <c r="H2257" s="0" t="str">
        <f aca="false">IF(B2257="","",IF(COUNTIF(Campaigns!$A$7:$A$300,B2257)&gt;0,"✓","⚠ add to Campaigns tab"))</f>
        <v/>
      </c>
      <c r="I2257" s="84" t="str">
        <f aca="false">IF(C2257="","",C2257*IF(Settings!$B$22=Settings!$C$6,1,IF(Settings!$B$22="USD",1/INDEX(Settings!$B$29:$B$40,MONTH(A2257)),INDEX(Settings!$B$29:$B$40,MONTH(A2257)))))</f>
        <v/>
      </c>
    </row>
    <row r="2258" customFormat="false" ht="15" hidden="false" customHeight="false" outlineLevel="0" collapsed="false">
      <c r="H2258" s="0" t="str">
        <f aca="false">IF(B2258="","",IF(COUNTIF(Campaigns!$A$7:$A$300,B2258)&gt;0,"✓","⚠ add to Campaigns tab"))</f>
        <v/>
      </c>
      <c r="I2258" s="84" t="str">
        <f aca="false">IF(C2258="","",C2258*IF(Settings!$B$22=Settings!$C$6,1,IF(Settings!$B$22="USD",1/INDEX(Settings!$B$29:$B$40,MONTH(A2258)),INDEX(Settings!$B$29:$B$40,MONTH(A2258)))))</f>
        <v/>
      </c>
    </row>
    <row r="2259" customFormat="false" ht="15" hidden="false" customHeight="false" outlineLevel="0" collapsed="false">
      <c r="H2259" s="0" t="str">
        <f aca="false">IF(B2259="","",IF(COUNTIF(Campaigns!$A$7:$A$300,B2259)&gt;0,"✓","⚠ add to Campaigns tab"))</f>
        <v/>
      </c>
      <c r="I2259" s="84" t="str">
        <f aca="false">IF(C2259="","",C2259*IF(Settings!$B$22=Settings!$C$6,1,IF(Settings!$B$22="USD",1/INDEX(Settings!$B$29:$B$40,MONTH(A2259)),INDEX(Settings!$B$29:$B$40,MONTH(A2259)))))</f>
        <v/>
      </c>
    </row>
    <row r="2260" customFormat="false" ht="15" hidden="false" customHeight="false" outlineLevel="0" collapsed="false">
      <c r="H2260" s="0" t="str">
        <f aca="false">IF(B2260="","",IF(COUNTIF(Campaigns!$A$7:$A$300,B2260)&gt;0,"✓","⚠ add to Campaigns tab"))</f>
        <v/>
      </c>
      <c r="I2260" s="84" t="str">
        <f aca="false">IF(C2260="","",C2260*IF(Settings!$B$22=Settings!$C$6,1,IF(Settings!$B$22="USD",1/INDEX(Settings!$B$29:$B$40,MONTH(A2260)),INDEX(Settings!$B$29:$B$40,MONTH(A2260)))))</f>
        <v/>
      </c>
    </row>
    <row r="2261" customFormat="false" ht="15" hidden="false" customHeight="false" outlineLevel="0" collapsed="false">
      <c r="H2261" s="0" t="str">
        <f aca="false">IF(B2261="","",IF(COUNTIF(Campaigns!$A$7:$A$300,B2261)&gt;0,"✓","⚠ add to Campaigns tab"))</f>
        <v/>
      </c>
      <c r="I2261" s="84" t="str">
        <f aca="false">IF(C2261="","",C2261*IF(Settings!$B$22=Settings!$C$6,1,IF(Settings!$B$22="USD",1/INDEX(Settings!$B$29:$B$40,MONTH(A2261)),INDEX(Settings!$B$29:$B$40,MONTH(A2261)))))</f>
        <v/>
      </c>
    </row>
    <row r="2262" customFormat="false" ht="15" hidden="false" customHeight="false" outlineLevel="0" collapsed="false">
      <c r="H2262" s="0" t="str">
        <f aca="false">IF(B2262="","",IF(COUNTIF(Campaigns!$A$7:$A$300,B2262)&gt;0,"✓","⚠ add to Campaigns tab"))</f>
        <v/>
      </c>
      <c r="I2262" s="84" t="str">
        <f aca="false">IF(C2262="","",C2262*IF(Settings!$B$22=Settings!$C$6,1,IF(Settings!$B$22="USD",1/INDEX(Settings!$B$29:$B$40,MONTH(A2262)),INDEX(Settings!$B$29:$B$40,MONTH(A2262)))))</f>
        <v/>
      </c>
    </row>
    <row r="2263" customFormat="false" ht="15" hidden="false" customHeight="false" outlineLevel="0" collapsed="false">
      <c r="H2263" s="0" t="str">
        <f aca="false">IF(B2263="","",IF(COUNTIF(Campaigns!$A$7:$A$300,B2263)&gt;0,"✓","⚠ add to Campaigns tab"))</f>
        <v/>
      </c>
      <c r="I2263" s="84" t="str">
        <f aca="false">IF(C2263="","",C2263*IF(Settings!$B$22=Settings!$C$6,1,IF(Settings!$B$22="USD",1/INDEX(Settings!$B$29:$B$40,MONTH(A2263)),INDEX(Settings!$B$29:$B$40,MONTH(A2263)))))</f>
        <v/>
      </c>
    </row>
    <row r="2264" customFormat="false" ht="15" hidden="false" customHeight="false" outlineLevel="0" collapsed="false">
      <c r="H2264" s="0" t="str">
        <f aca="false">IF(B2264="","",IF(COUNTIF(Campaigns!$A$7:$A$300,B2264)&gt;0,"✓","⚠ add to Campaigns tab"))</f>
        <v/>
      </c>
      <c r="I2264" s="84" t="str">
        <f aca="false">IF(C2264="","",C2264*IF(Settings!$B$22=Settings!$C$6,1,IF(Settings!$B$22="USD",1/INDEX(Settings!$B$29:$B$40,MONTH(A2264)),INDEX(Settings!$B$29:$B$40,MONTH(A2264)))))</f>
        <v/>
      </c>
    </row>
    <row r="2265" customFormat="false" ht="15" hidden="false" customHeight="false" outlineLevel="0" collapsed="false">
      <c r="H2265" s="0" t="str">
        <f aca="false">IF(B2265="","",IF(COUNTIF(Campaigns!$A$7:$A$300,B2265)&gt;0,"✓","⚠ add to Campaigns tab"))</f>
        <v/>
      </c>
      <c r="I2265" s="84" t="str">
        <f aca="false">IF(C2265="","",C2265*IF(Settings!$B$22=Settings!$C$6,1,IF(Settings!$B$22="USD",1/INDEX(Settings!$B$29:$B$40,MONTH(A2265)),INDEX(Settings!$B$29:$B$40,MONTH(A2265)))))</f>
        <v/>
      </c>
    </row>
    <row r="2266" customFormat="false" ht="15" hidden="false" customHeight="false" outlineLevel="0" collapsed="false">
      <c r="H2266" s="0" t="str">
        <f aca="false">IF(B2266="","",IF(COUNTIF(Campaigns!$A$7:$A$300,B2266)&gt;0,"✓","⚠ add to Campaigns tab"))</f>
        <v/>
      </c>
      <c r="I2266" s="84" t="str">
        <f aca="false">IF(C2266="","",C2266*IF(Settings!$B$22=Settings!$C$6,1,IF(Settings!$B$22="USD",1/INDEX(Settings!$B$29:$B$40,MONTH(A2266)),INDEX(Settings!$B$29:$B$40,MONTH(A2266)))))</f>
        <v/>
      </c>
    </row>
    <row r="2267" customFormat="false" ht="15" hidden="false" customHeight="false" outlineLevel="0" collapsed="false">
      <c r="H2267" s="0" t="str">
        <f aca="false">IF(B2267="","",IF(COUNTIF(Campaigns!$A$7:$A$300,B2267)&gt;0,"✓","⚠ add to Campaigns tab"))</f>
        <v/>
      </c>
      <c r="I2267" s="84" t="str">
        <f aca="false">IF(C2267="","",C2267*IF(Settings!$B$22=Settings!$C$6,1,IF(Settings!$B$22="USD",1/INDEX(Settings!$B$29:$B$40,MONTH(A2267)),INDEX(Settings!$B$29:$B$40,MONTH(A2267)))))</f>
        <v/>
      </c>
    </row>
    <row r="2268" customFormat="false" ht="15" hidden="false" customHeight="false" outlineLevel="0" collapsed="false">
      <c r="H2268" s="0" t="str">
        <f aca="false">IF(B2268="","",IF(COUNTIF(Campaigns!$A$7:$A$300,B2268)&gt;0,"✓","⚠ add to Campaigns tab"))</f>
        <v/>
      </c>
      <c r="I2268" s="84" t="str">
        <f aca="false">IF(C2268="","",C2268*IF(Settings!$B$22=Settings!$C$6,1,IF(Settings!$B$22="USD",1/INDEX(Settings!$B$29:$B$40,MONTH(A2268)),INDEX(Settings!$B$29:$B$40,MONTH(A2268)))))</f>
        <v/>
      </c>
    </row>
    <row r="2269" customFormat="false" ht="15" hidden="false" customHeight="false" outlineLevel="0" collapsed="false">
      <c r="H2269" s="0" t="str">
        <f aca="false">IF(B2269="","",IF(COUNTIF(Campaigns!$A$7:$A$300,B2269)&gt;0,"✓","⚠ add to Campaigns tab"))</f>
        <v/>
      </c>
      <c r="I2269" s="84" t="str">
        <f aca="false">IF(C2269="","",C2269*IF(Settings!$B$22=Settings!$C$6,1,IF(Settings!$B$22="USD",1/INDEX(Settings!$B$29:$B$40,MONTH(A2269)),INDEX(Settings!$B$29:$B$40,MONTH(A2269)))))</f>
        <v/>
      </c>
    </row>
    <row r="2270" customFormat="false" ht="15" hidden="false" customHeight="false" outlineLevel="0" collapsed="false">
      <c r="H2270" s="0" t="str">
        <f aca="false">IF(B2270="","",IF(COUNTIF(Campaigns!$A$7:$A$300,B2270)&gt;0,"✓","⚠ add to Campaigns tab"))</f>
        <v/>
      </c>
      <c r="I2270" s="84" t="str">
        <f aca="false">IF(C2270="","",C2270*IF(Settings!$B$22=Settings!$C$6,1,IF(Settings!$B$22="USD",1/INDEX(Settings!$B$29:$B$40,MONTH(A2270)),INDEX(Settings!$B$29:$B$40,MONTH(A2270)))))</f>
        <v/>
      </c>
    </row>
    <row r="2271" customFormat="false" ht="15" hidden="false" customHeight="false" outlineLevel="0" collapsed="false">
      <c r="H2271" s="0" t="str">
        <f aca="false">IF(B2271="","",IF(COUNTIF(Campaigns!$A$7:$A$300,B2271)&gt;0,"✓","⚠ add to Campaigns tab"))</f>
        <v/>
      </c>
      <c r="I2271" s="84" t="str">
        <f aca="false">IF(C2271="","",C2271*IF(Settings!$B$22=Settings!$C$6,1,IF(Settings!$B$22="USD",1/INDEX(Settings!$B$29:$B$40,MONTH(A2271)),INDEX(Settings!$B$29:$B$40,MONTH(A2271)))))</f>
        <v/>
      </c>
    </row>
    <row r="2272" customFormat="false" ht="15" hidden="false" customHeight="false" outlineLevel="0" collapsed="false">
      <c r="H2272" s="0" t="str">
        <f aca="false">IF(B2272="","",IF(COUNTIF(Campaigns!$A$7:$A$300,B2272)&gt;0,"✓","⚠ add to Campaigns tab"))</f>
        <v/>
      </c>
      <c r="I2272" s="84" t="str">
        <f aca="false">IF(C2272="","",C2272*IF(Settings!$B$22=Settings!$C$6,1,IF(Settings!$B$22="USD",1/INDEX(Settings!$B$29:$B$40,MONTH(A2272)),INDEX(Settings!$B$29:$B$40,MONTH(A2272)))))</f>
        <v/>
      </c>
    </row>
    <row r="2273" customFormat="false" ht="15" hidden="false" customHeight="false" outlineLevel="0" collapsed="false">
      <c r="H2273" s="0" t="str">
        <f aca="false">IF(B2273="","",IF(COUNTIF(Campaigns!$A$7:$A$300,B2273)&gt;0,"✓","⚠ add to Campaigns tab"))</f>
        <v/>
      </c>
      <c r="I2273" s="84" t="str">
        <f aca="false">IF(C2273="","",C2273*IF(Settings!$B$22=Settings!$C$6,1,IF(Settings!$B$22="USD",1/INDEX(Settings!$B$29:$B$40,MONTH(A2273)),INDEX(Settings!$B$29:$B$40,MONTH(A2273)))))</f>
        <v/>
      </c>
    </row>
    <row r="2274" customFormat="false" ht="15" hidden="false" customHeight="false" outlineLevel="0" collapsed="false">
      <c r="H2274" s="0" t="str">
        <f aca="false">IF(B2274="","",IF(COUNTIF(Campaigns!$A$7:$A$300,B2274)&gt;0,"✓","⚠ add to Campaigns tab"))</f>
        <v/>
      </c>
      <c r="I2274" s="84" t="str">
        <f aca="false">IF(C2274="","",C2274*IF(Settings!$B$22=Settings!$C$6,1,IF(Settings!$B$22="USD",1/INDEX(Settings!$B$29:$B$40,MONTH(A2274)),INDEX(Settings!$B$29:$B$40,MONTH(A2274)))))</f>
        <v/>
      </c>
    </row>
    <row r="2275" customFormat="false" ht="15" hidden="false" customHeight="false" outlineLevel="0" collapsed="false">
      <c r="H2275" s="0" t="str">
        <f aca="false">IF(B2275="","",IF(COUNTIF(Campaigns!$A$7:$A$300,B2275)&gt;0,"✓","⚠ add to Campaigns tab"))</f>
        <v/>
      </c>
      <c r="I2275" s="84" t="str">
        <f aca="false">IF(C2275="","",C2275*IF(Settings!$B$22=Settings!$C$6,1,IF(Settings!$B$22="USD",1/INDEX(Settings!$B$29:$B$40,MONTH(A2275)),INDEX(Settings!$B$29:$B$40,MONTH(A2275)))))</f>
        <v/>
      </c>
    </row>
    <row r="2276" customFormat="false" ht="15" hidden="false" customHeight="false" outlineLevel="0" collapsed="false">
      <c r="H2276" s="0" t="str">
        <f aca="false">IF(B2276="","",IF(COUNTIF(Campaigns!$A$7:$A$300,B2276)&gt;0,"✓","⚠ add to Campaigns tab"))</f>
        <v/>
      </c>
      <c r="I2276" s="84" t="str">
        <f aca="false">IF(C2276="","",C2276*IF(Settings!$B$22=Settings!$C$6,1,IF(Settings!$B$22="USD",1/INDEX(Settings!$B$29:$B$40,MONTH(A2276)),INDEX(Settings!$B$29:$B$40,MONTH(A2276)))))</f>
        <v/>
      </c>
    </row>
    <row r="2277" customFormat="false" ht="15" hidden="false" customHeight="false" outlineLevel="0" collapsed="false">
      <c r="H2277" s="0" t="str">
        <f aca="false">IF(B2277="","",IF(COUNTIF(Campaigns!$A$7:$A$300,B2277)&gt;0,"✓","⚠ add to Campaigns tab"))</f>
        <v/>
      </c>
      <c r="I2277" s="84" t="str">
        <f aca="false">IF(C2277="","",C2277*IF(Settings!$B$22=Settings!$C$6,1,IF(Settings!$B$22="USD",1/INDEX(Settings!$B$29:$B$40,MONTH(A2277)),INDEX(Settings!$B$29:$B$40,MONTH(A2277)))))</f>
        <v/>
      </c>
    </row>
    <row r="2278" customFormat="false" ht="15" hidden="false" customHeight="false" outlineLevel="0" collapsed="false">
      <c r="H2278" s="0" t="str">
        <f aca="false">IF(B2278="","",IF(COUNTIF(Campaigns!$A$7:$A$300,B2278)&gt;0,"✓","⚠ add to Campaigns tab"))</f>
        <v/>
      </c>
      <c r="I2278" s="84" t="str">
        <f aca="false">IF(C2278="","",C2278*IF(Settings!$B$22=Settings!$C$6,1,IF(Settings!$B$22="USD",1/INDEX(Settings!$B$29:$B$40,MONTH(A2278)),INDEX(Settings!$B$29:$B$40,MONTH(A2278)))))</f>
        <v/>
      </c>
    </row>
    <row r="2279" customFormat="false" ht="15" hidden="false" customHeight="false" outlineLevel="0" collapsed="false">
      <c r="H2279" s="0" t="str">
        <f aca="false">IF(B2279="","",IF(COUNTIF(Campaigns!$A$7:$A$300,B2279)&gt;0,"✓","⚠ add to Campaigns tab"))</f>
        <v/>
      </c>
      <c r="I2279" s="84" t="str">
        <f aca="false">IF(C2279="","",C2279*IF(Settings!$B$22=Settings!$C$6,1,IF(Settings!$B$22="USD",1/INDEX(Settings!$B$29:$B$40,MONTH(A2279)),INDEX(Settings!$B$29:$B$40,MONTH(A2279)))))</f>
        <v/>
      </c>
    </row>
    <row r="2280" customFormat="false" ht="15" hidden="false" customHeight="false" outlineLevel="0" collapsed="false">
      <c r="H2280" s="0" t="str">
        <f aca="false">IF(B2280="","",IF(COUNTIF(Campaigns!$A$7:$A$300,B2280)&gt;0,"✓","⚠ add to Campaigns tab"))</f>
        <v/>
      </c>
      <c r="I2280" s="84" t="str">
        <f aca="false">IF(C2280="","",C2280*IF(Settings!$B$22=Settings!$C$6,1,IF(Settings!$B$22="USD",1/INDEX(Settings!$B$29:$B$40,MONTH(A2280)),INDEX(Settings!$B$29:$B$40,MONTH(A2280)))))</f>
        <v/>
      </c>
    </row>
    <row r="2281" customFormat="false" ht="15" hidden="false" customHeight="false" outlineLevel="0" collapsed="false">
      <c r="H2281" s="0" t="str">
        <f aca="false">IF(B2281="","",IF(COUNTIF(Campaigns!$A$7:$A$300,B2281)&gt;0,"✓","⚠ add to Campaigns tab"))</f>
        <v/>
      </c>
      <c r="I2281" s="84" t="str">
        <f aca="false">IF(C2281="","",C2281*IF(Settings!$B$22=Settings!$C$6,1,IF(Settings!$B$22="USD",1/INDEX(Settings!$B$29:$B$40,MONTH(A2281)),INDEX(Settings!$B$29:$B$40,MONTH(A2281)))))</f>
        <v/>
      </c>
    </row>
    <row r="2282" customFormat="false" ht="15" hidden="false" customHeight="false" outlineLevel="0" collapsed="false">
      <c r="H2282" s="0" t="str">
        <f aca="false">IF(B2282="","",IF(COUNTIF(Campaigns!$A$7:$A$300,B2282)&gt;0,"✓","⚠ add to Campaigns tab"))</f>
        <v/>
      </c>
      <c r="I2282" s="84" t="str">
        <f aca="false">IF(C2282="","",C2282*IF(Settings!$B$22=Settings!$C$6,1,IF(Settings!$B$22="USD",1/INDEX(Settings!$B$29:$B$40,MONTH(A2282)),INDEX(Settings!$B$29:$B$40,MONTH(A2282)))))</f>
        <v/>
      </c>
    </row>
    <row r="2283" customFormat="false" ht="15" hidden="false" customHeight="false" outlineLevel="0" collapsed="false">
      <c r="H2283" s="0" t="str">
        <f aca="false">IF(B2283="","",IF(COUNTIF(Campaigns!$A$7:$A$300,B2283)&gt;0,"✓","⚠ add to Campaigns tab"))</f>
        <v/>
      </c>
      <c r="I2283" s="84" t="str">
        <f aca="false">IF(C2283="","",C2283*IF(Settings!$B$22=Settings!$C$6,1,IF(Settings!$B$22="USD",1/INDEX(Settings!$B$29:$B$40,MONTH(A2283)),INDEX(Settings!$B$29:$B$40,MONTH(A2283)))))</f>
        <v/>
      </c>
    </row>
    <row r="2284" customFormat="false" ht="15" hidden="false" customHeight="false" outlineLevel="0" collapsed="false">
      <c r="H2284" s="0" t="str">
        <f aca="false">IF(B2284="","",IF(COUNTIF(Campaigns!$A$7:$A$300,B2284)&gt;0,"✓","⚠ add to Campaigns tab"))</f>
        <v/>
      </c>
      <c r="I2284" s="84" t="str">
        <f aca="false">IF(C2284="","",C2284*IF(Settings!$B$22=Settings!$C$6,1,IF(Settings!$B$22="USD",1/INDEX(Settings!$B$29:$B$40,MONTH(A2284)),INDEX(Settings!$B$29:$B$40,MONTH(A2284)))))</f>
        <v/>
      </c>
    </row>
    <row r="2285" customFormat="false" ht="15" hidden="false" customHeight="false" outlineLevel="0" collapsed="false">
      <c r="H2285" s="0" t="str">
        <f aca="false">IF(B2285="","",IF(COUNTIF(Campaigns!$A$7:$A$300,B2285)&gt;0,"✓","⚠ add to Campaigns tab"))</f>
        <v/>
      </c>
      <c r="I2285" s="84" t="str">
        <f aca="false">IF(C2285="","",C2285*IF(Settings!$B$22=Settings!$C$6,1,IF(Settings!$B$22="USD",1/INDEX(Settings!$B$29:$B$40,MONTH(A2285)),INDEX(Settings!$B$29:$B$40,MONTH(A2285)))))</f>
        <v/>
      </c>
    </row>
    <row r="2286" customFormat="false" ht="15" hidden="false" customHeight="false" outlineLevel="0" collapsed="false">
      <c r="H2286" s="0" t="str">
        <f aca="false">IF(B2286="","",IF(COUNTIF(Campaigns!$A$7:$A$300,B2286)&gt;0,"✓","⚠ add to Campaigns tab"))</f>
        <v/>
      </c>
      <c r="I2286" s="84" t="str">
        <f aca="false">IF(C2286="","",C2286*IF(Settings!$B$22=Settings!$C$6,1,IF(Settings!$B$22="USD",1/INDEX(Settings!$B$29:$B$40,MONTH(A2286)),INDEX(Settings!$B$29:$B$40,MONTH(A2286)))))</f>
        <v/>
      </c>
    </row>
    <row r="2287" customFormat="false" ht="15" hidden="false" customHeight="false" outlineLevel="0" collapsed="false">
      <c r="H2287" s="0" t="str">
        <f aca="false">IF(B2287="","",IF(COUNTIF(Campaigns!$A$7:$A$300,B2287)&gt;0,"✓","⚠ add to Campaigns tab"))</f>
        <v/>
      </c>
      <c r="I2287" s="84" t="str">
        <f aca="false">IF(C2287="","",C2287*IF(Settings!$B$22=Settings!$C$6,1,IF(Settings!$B$22="USD",1/INDEX(Settings!$B$29:$B$40,MONTH(A2287)),INDEX(Settings!$B$29:$B$40,MONTH(A2287)))))</f>
        <v/>
      </c>
    </row>
    <row r="2288" customFormat="false" ht="15" hidden="false" customHeight="false" outlineLevel="0" collapsed="false">
      <c r="H2288" s="0" t="str">
        <f aca="false">IF(B2288="","",IF(COUNTIF(Campaigns!$A$7:$A$300,B2288)&gt;0,"✓","⚠ add to Campaigns tab"))</f>
        <v/>
      </c>
      <c r="I2288" s="84" t="str">
        <f aca="false">IF(C2288="","",C2288*IF(Settings!$B$22=Settings!$C$6,1,IF(Settings!$B$22="USD",1/INDEX(Settings!$B$29:$B$40,MONTH(A2288)),INDEX(Settings!$B$29:$B$40,MONTH(A2288)))))</f>
        <v/>
      </c>
    </row>
    <row r="2289" customFormat="false" ht="15" hidden="false" customHeight="false" outlineLevel="0" collapsed="false">
      <c r="H2289" s="0" t="str">
        <f aca="false">IF(B2289="","",IF(COUNTIF(Campaigns!$A$7:$A$300,B2289)&gt;0,"✓","⚠ add to Campaigns tab"))</f>
        <v/>
      </c>
      <c r="I2289" s="84" t="str">
        <f aca="false">IF(C2289="","",C2289*IF(Settings!$B$22=Settings!$C$6,1,IF(Settings!$B$22="USD",1/INDEX(Settings!$B$29:$B$40,MONTH(A2289)),INDEX(Settings!$B$29:$B$40,MONTH(A2289)))))</f>
        <v/>
      </c>
    </row>
    <row r="2290" customFormat="false" ht="15" hidden="false" customHeight="false" outlineLevel="0" collapsed="false">
      <c r="H2290" s="0" t="str">
        <f aca="false">IF(B2290="","",IF(COUNTIF(Campaigns!$A$7:$A$300,B2290)&gt;0,"✓","⚠ add to Campaigns tab"))</f>
        <v/>
      </c>
      <c r="I2290" s="84" t="str">
        <f aca="false">IF(C2290="","",C2290*IF(Settings!$B$22=Settings!$C$6,1,IF(Settings!$B$22="USD",1/INDEX(Settings!$B$29:$B$40,MONTH(A2290)),INDEX(Settings!$B$29:$B$40,MONTH(A2290)))))</f>
        <v/>
      </c>
    </row>
    <row r="2291" customFormat="false" ht="15" hidden="false" customHeight="false" outlineLevel="0" collapsed="false">
      <c r="H2291" s="0" t="str">
        <f aca="false">IF(B2291="","",IF(COUNTIF(Campaigns!$A$7:$A$300,B2291)&gt;0,"✓","⚠ add to Campaigns tab"))</f>
        <v/>
      </c>
      <c r="I2291" s="84" t="str">
        <f aca="false">IF(C2291="","",C2291*IF(Settings!$B$22=Settings!$C$6,1,IF(Settings!$B$22="USD",1/INDEX(Settings!$B$29:$B$40,MONTH(A2291)),INDEX(Settings!$B$29:$B$40,MONTH(A2291)))))</f>
        <v/>
      </c>
    </row>
    <row r="2292" customFormat="false" ht="15" hidden="false" customHeight="false" outlineLevel="0" collapsed="false">
      <c r="H2292" s="0" t="str">
        <f aca="false">IF(B2292="","",IF(COUNTIF(Campaigns!$A$7:$A$300,B2292)&gt;0,"✓","⚠ add to Campaigns tab"))</f>
        <v/>
      </c>
      <c r="I2292" s="84" t="str">
        <f aca="false">IF(C2292="","",C2292*IF(Settings!$B$22=Settings!$C$6,1,IF(Settings!$B$22="USD",1/INDEX(Settings!$B$29:$B$40,MONTH(A2292)),INDEX(Settings!$B$29:$B$40,MONTH(A2292)))))</f>
        <v/>
      </c>
    </row>
    <row r="2293" customFormat="false" ht="15" hidden="false" customHeight="false" outlineLevel="0" collapsed="false">
      <c r="H2293" s="0" t="str">
        <f aca="false">IF(B2293="","",IF(COUNTIF(Campaigns!$A$7:$A$300,B2293)&gt;0,"✓","⚠ add to Campaigns tab"))</f>
        <v/>
      </c>
      <c r="I2293" s="84" t="str">
        <f aca="false">IF(C2293="","",C2293*IF(Settings!$B$22=Settings!$C$6,1,IF(Settings!$B$22="USD",1/INDEX(Settings!$B$29:$B$40,MONTH(A2293)),INDEX(Settings!$B$29:$B$40,MONTH(A2293)))))</f>
        <v/>
      </c>
    </row>
    <row r="2294" customFormat="false" ht="15" hidden="false" customHeight="false" outlineLevel="0" collapsed="false">
      <c r="H2294" s="0" t="str">
        <f aca="false">IF(B2294="","",IF(COUNTIF(Campaigns!$A$7:$A$300,B2294)&gt;0,"✓","⚠ add to Campaigns tab"))</f>
        <v/>
      </c>
      <c r="I2294" s="84" t="str">
        <f aca="false">IF(C2294="","",C2294*IF(Settings!$B$22=Settings!$C$6,1,IF(Settings!$B$22="USD",1/INDEX(Settings!$B$29:$B$40,MONTH(A2294)),INDEX(Settings!$B$29:$B$40,MONTH(A2294)))))</f>
        <v/>
      </c>
    </row>
    <row r="2295" customFormat="false" ht="15" hidden="false" customHeight="false" outlineLevel="0" collapsed="false">
      <c r="H2295" s="0" t="str">
        <f aca="false">IF(B2295="","",IF(COUNTIF(Campaigns!$A$7:$A$300,B2295)&gt;0,"✓","⚠ add to Campaigns tab"))</f>
        <v/>
      </c>
      <c r="I2295" s="84" t="str">
        <f aca="false">IF(C2295="","",C2295*IF(Settings!$B$22=Settings!$C$6,1,IF(Settings!$B$22="USD",1/INDEX(Settings!$B$29:$B$40,MONTH(A2295)),INDEX(Settings!$B$29:$B$40,MONTH(A2295)))))</f>
        <v/>
      </c>
    </row>
    <row r="2296" customFormat="false" ht="15" hidden="false" customHeight="false" outlineLevel="0" collapsed="false">
      <c r="H2296" s="0" t="str">
        <f aca="false">IF(B2296="","",IF(COUNTIF(Campaigns!$A$7:$A$300,B2296)&gt;0,"✓","⚠ add to Campaigns tab"))</f>
        <v/>
      </c>
      <c r="I2296" s="84" t="str">
        <f aca="false">IF(C2296="","",C2296*IF(Settings!$B$22=Settings!$C$6,1,IF(Settings!$B$22="USD",1/INDEX(Settings!$B$29:$B$40,MONTH(A2296)),INDEX(Settings!$B$29:$B$40,MONTH(A2296)))))</f>
        <v/>
      </c>
    </row>
    <row r="2297" customFormat="false" ht="15" hidden="false" customHeight="false" outlineLevel="0" collapsed="false">
      <c r="H2297" s="0" t="str">
        <f aca="false">IF(B2297="","",IF(COUNTIF(Campaigns!$A$7:$A$300,B2297)&gt;0,"✓","⚠ add to Campaigns tab"))</f>
        <v/>
      </c>
      <c r="I2297" s="84" t="str">
        <f aca="false">IF(C2297="","",C2297*IF(Settings!$B$22=Settings!$C$6,1,IF(Settings!$B$22="USD",1/INDEX(Settings!$B$29:$B$40,MONTH(A2297)),INDEX(Settings!$B$29:$B$40,MONTH(A2297)))))</f>
        <v/>
      </c>
    </row>
    <row r="2298" customFormat="false" ht="15" hidden="false" customHeight="false" outlineLevel="0" collapsed="false">
      <c r="H2298" s="0" t="str">
        <f aca="false">IF(B2298="","",IF(COUNTIF(Campaigns!$A$7:$A$300,B2298)&gt;0,"✓","⚠ add to Campaigns tab"))</f>
        <v/>
      </c>
      <c r="I2298" s="84" t="str">
        <f aca="false">IF(C2298="","",C2298*IF(Settings!$B$22=Settings!$C$6,1,IF(Settings!$B$22="USD",1/INDEX(Settings!$B$29:$B$40,MONTH(A2298)),INDEX(Settings!$B$29:$B$40,MONTH(A2298)))))</f>
        <v/>
      </c>
    </row>
    <row r="2299" customFormat="false" ht="15" hidden="false" customHeight="false" outlineLevel="0" collapsed="false">
      <c r="H2299" s="0" t="str">
        <f aca="false">IF(B2299="","",IF(COUNTIF(Campaigns!$A$7:$A$300,B2299)&gt;0,"✓","⚠ add to Campaigns tab"))</f>
        <v/>
      </c>
      <c r="I2299" s="84" t="str">
        <f aca="false">IF(C2299="","",C2299*IF(Settings!$B$22=Settings!$C$6,1,IF(Settings!$B$22="USD",1/INDEX(Settings!$B$29:$B$40,MONTH(A2299)),INDEX(Settings!$B$29:$B$40,MONTH(A2299)))))</f>
        <v/>
      </c>
    </row>
    <row r="2300" customFormat="false" ht="15" hidden="false" customHeight="false" outlineLevel="0" collapsed="false">
      <c r="H2300" s="0" t="str">
        <f aca="false">IF(B2300="","",IF(COUNTIF(Campaigns!$A$7:$A$300,B2300)&gt;0,"✓","⚠ add to Campaigns tab"))</f>
        <v/>
      </c>
      <c r="I2300" s="84" t="str">
        <f aca="false">IF(C2300="","",C2300*IF(Settings!$B$22=Settings!$C$6,1,IF(Settings!$B$22="USD",1/INDEX(Settings!$B$29:$B$40,MONTH(A2300)),INDEX(Settings!$B$29:$B$40,MONTH(A2300)))))</f>
        <v/>
      </c>
    </row>
    <row r="2301" customFormat="false" ht="15" hidden="false" customHeight="false" outlineLevel="0" collapsed="false">
      <c r="H2301" s="0" t="str">
        <f aca="false">IF(B2301="","",IF(COUNTIF(Campaigns!$A$7:$A$300,B2301)&gt;0,"✓","⚠ add to Campaigns tab"))</f>
        <v/>
      </c>
      <c r="I2301" s="84" t="str">
        <f aca="false">IF(C2301="","",C2301*IF(Settings!$B$22=Settings!$C$6,1,IF(Settings!$B$22="USD",1/INDEX(Settings!$B$29:$B$40,MONTH(A2301)),INDEX(Settings!$B$29:$B$40,MONTH(A2301)))))</f>
        <v/>
      </c>
    </row>
    <row r="2302" customFormat="false" ht="15" hidden="false" customHeight="false" outlineLevel="0" collapsed="false">
      <c r="H2302" s="0" t="str">
        <f aca="false">IF(B2302="","",IF(COUNTIF(Campaigns!$A$7:$A$300,B2302)&gt;0,"✓","⚠ add to Campaigns tab"))</f>
        <v/>
      </c>
      <c r="I2302" s="84" t="str">
        <f aca="false">IF(C2302="","",C2302*IF(Settings!$B$22=Settings!$C$6,1,IF(Settings!$B$22="USD",1/INDEX(Settings!$B$29:$B$40,MONTH(A2302)),INDEX(Settings!$B$29:$B$40,MONTH(A2302)))))</f>
        <v/>
      </c>
    </row>
    <row r="2303" customFormat="false" ht="15" hidden="false" customHeight="false" outlineLevel="0" collapsed="false">
      <c r="H2303" s="0" t="str">
        <f aca="false">IF(B2303="","",IF(COUNTIF(Campaigns!$A$7:$A$300,B2303)&gt;0,"✓","⚠ add to Campaigns tab"))</f>
        <v/>
      </c>
      <c r="I2303" s="84" t="str">
        <f aca="false">IF(C2303="","",C2303*IF(Settings!$B$22=Settings!$C$6,1,IF(Settings!$B$22="USD",1/INDEX(Settings!$B$29:$B$40,MONTH(A2303)),INDEX(Settings!$B$29:$B$40,MONTH(A2303)))))</f>
        <v/>
      </c>
    </row>
    <row r="2304" customFormat="false" ht="15" hidden="false" customHeight="false" outlineLevel="0" collapsed="false">
      <c r="H2304" s="0" t="str">
        <f aca="false">IF(B2304="","",IF(COUNTIF(Campaigns!$A$7:$A$300,B2304)&gt;0,"✓","⚠ add to Campaigns tab"))</f>
        <v/>
      </c>
      <c r="I2304" s="84" t="str">
        <f aca="false">IF(C2304="","",C2304*IF(Settings!$B$22=Settings!$C$6,1,IF(Settings!$B$22="USD",1/INDEX(Settings!$B$29:$B$40,MONTH(A2304)),INDEX(Settings!$B$29:$B$40,MONTH(A2304)))))</f>
        <v/>
      </c>
    </row>
    <row r="2305" customFormat="false" ht="15" hidden="false" customHeight="false" outlineLevel="0" collapsed="false">
      <c r="H2305" s="0" t="str">
        <f aca="false">IF(B2305="","",IF(COUNTIF(Campaigns!$A$7:$A$300,B2305)&gt;0,"✓","⚠ add to Campaigns tab"))</f>
        <v/>
      </c>
      <c r="I2305" s="84" t="str">
        <f aca="false">IF(C2305="","",C2305*IF(Settings!$B$22=Settings!$C$6,1,IF(Settings!$B$22="USD",1/INDEX(Settings!$B$29:$B$40,MONTH(A2305)),INDEX(Settings!$B$29:$B$40,MONTH(A2305)))))</f>
        <v/>
      </c>
    </row>
    <row r="2306" customFormat="false" ht="15" hidden="false" customHeight="false" outlineLevel="0" collapsed="false">
      <c r="H2306" s="0" t="str">
        <f aca="false">IF(B2306="","",IF(COUNTIF(Campaigns!$A$7:$A$300,B2306)&gt;0,"✓","⚠ add to Campaigns tab"))</f>
        <v/>
      </c>
      <c r="I2306" s="84" t="str">
        <f aca="false">IF(C2306="","",C2306*IF(Settings!$B$22=Settings!$C$6,1,IF(Settings!$B$22="USD",1/INDEX(Settings!$B$29:$B$40,MONTH(A2306)),INDEX(Settings!$B$29:$B$40,MONTH(A2306)))))</f>
        <v/>
      </c>
    </row>
    <row r="2307" customFormat="false" ht="15" hidden="false" customHeight="false" outlineLevel="0" collapsed="false">
      <c r="H2307" s="0" t="str">
        <f aca="false">IF(B2307="","",IF(COUNTIF(Campaigns!$A$7:$A$300,B2307)&gt;0,"✓","⚠ add to Campaigns tab"))</f>
        <v/>
      </c>
      <c r="I2307" s="84" t="str">
        <f aca="false">IF(C2307="","",C2307*IF(Settings!$B$22=Settings!$C$6,1,IF(Settings!$B$22="USD",1/INDEX(Settings!$B$29:$B$40,MONTH(A2307)),INDEX(Settings!$B$29:$B$40,MONTH(A2307)))))</f>
        <v/>
      </c>
    </row>
    <row r="2308" customFormat="false" ht="15" hidden="false" customHeight="false" outlineLevel="0" collapsed="false">
      <c r="H2308" s="0" t="str">
        <f aca="false">IF(B2308="","",IF(COUNTIF(Campaigns!$A$7:$A$300,B2308)&gt;0,"✓","⚠ add to Campaigns tab"))</f>
        <v/>
      </c>
      <c r="I2308" s="84" t="str">
        <f aca="false">IF(C2308="","",C2308*IF(Settings!$B$22=Settings!$C$6,1,IF(Settings!$B$22="USD",1/INDEX(Settings!$B$29:$B$40,MONTH(A2308)),INDEX(Settings!$B$29:$B$40,MONTH(A2308)))))</f>
        <v/>
      </c>
    </row>
    <row r="2309" customFormat="false" ht="15" hidden="false" customHeight="false" outlineLevel="0" collapsed="false">
      <c r="H2309" s="0" t="str">
        <f aca="false">IF(B2309="","",IF(COUNTIF(Campaigns!$A$7:$A$300,B2309)&gt;0,"✓","⚠ add to Campaigns tab"))</f>
        <v/>
      </c>
      <c r="I2309" s="84" t="str">
        <f aca="false">IF(C2309="","",C2309*IF(Settings!$B$22=Settings!$C$6,1,IF(Settings!$B$22="USD",1/INDEX(Settings!$B$29:$B$40,MONTH(A2309)),INDEX(Settings!$B$29:$B$40,MONTH(A2309)))))</f>
        <v/>
      </c>
    </row>
    <row r="2310" customFormat="false" ht="15" hidden="false" customHeight="false" outlineLevel="0" collapsed="false">
      <c r="H2310" s="0" t="str">
        <f aca="false">IF(B2310="","",IF(COUNTIF(Campaigns!$A$7:$A$300,B2310)&gt;0,"✓","⚠ add to Campaigns tab"))</f>
        <v/>
      </c>
      <c r="I2310" s="84" t="str">
        <f aca="false">IF(C2310="","",C2310*IF(Settings!$B$22=Settings!$C$6,1,IF(Settings!$B$22="USD",1/INDEX(Settings!$B$29:$B$40,MONTH(A2310)),INDEX(Settings!$B$29:$B$40,MONTH(A2310)))))</f>
        <v/>
      </c>
    </row>
    <row r="2311" customFormat="false" ht="15" hidden="false" customHeight="false" outlineLevel="0" collapsed="false">
      <c r="H2311" s="0" t="str">
        <f aca="false">IF(B2311="","",IF(COUNTIF(Campaigns!$A$7:$A$300,B2311)&gt;0,"✓","⚠ add to Campaigns tab"))</f>
        <v/>
      </c>
      <c r="I2311" s="84" t="str">
        <f aca="false">IF(C2311="","",C2311*IF(Settings!$B$22=Settings!$C$6,1,IF(Settings!$B$22="USD",1/INDEX(Settings!$B$29:$B$40,MONTH(A2311)),INDEX(Settings!$B$29:$B$40,MONTH(A2311)))))</f>
        <v/>
      </c>
    </row>
    <row r="2312" customFormat="false" ht="15" hidden="false" customHeight="false" outlineLevel="0" collapsed="false">
      <c r="H2312" s="0" t="str">
        <f aca="false">IF(B2312="","",IF(COUNTIF(Campaigns!$A$7:$A$300,B2312)&gt;0,"✓","⚠ add to Campaigns tab"))</f>
        <v/>
      </c>
      <c r="I2312" s="84" t="str">
        <f aca="false">IF(C2312="","",C2312*IF(Settings!$B$22=Settings!$C$6,1,IF(Settings!$B$22="USD",1/INDEX(Settings!$B$29:$B$40,MONTH(A2312)),INDEX(Settings!$B$29:$B$40,MONTH(A2312)))))</f>
        <v/>
      </c>
    </row>
    <row r="2313" customFormat="false" ht="15" hidden="false" customHeight="false" outlineLevel="0" collapsed="false">
      <c r="H2313" s="0" t="str">
        <f aca="false">IF(B2313="","",IF(COUNTIF(Campaigns!$A$7:$A$300,B2313)&gt;0,"✓","⚠ add to Campaigns tab"))</f>
        <v/>
      </c>
      <c r="I2313" s="84" t="str">
        <f aca="false">IF(C2313="","",C2313*IF(Settings!$B$22=Settings!$C$6,1,IF(Settings!$B$22="USD",1/INDEX(Settings!$B$29:$B$40,MONTH(A2313)),INDEX(Settings!$B$29:$B$40,MONTH(A2313)))))</f>
        <v/>
      </c>
    </row>
    <row r="2314" customFormat="false" ht="15" hidden="false" customHeight="false" outlineLevel="0" collapsed="false">
      <c r="H2314" s="0" t="str">
        <f aca="false">IF(B2314="","",IF(COUNTIF(Campaigns!$A$7:$A$300,B2314)&gt;0,"✓","⚠ add to Campaigns tab"))</f>
        <v/>
      </c>
      <c r="I2314" s="84" t="str">
        <f aca="false">IF(C2314="","",C2314*IF(Settings!$B$22=Settings!$C$6,1,IF(Settings!$B$22="USD",1/INDEX(Settings!$B$29:$B$40,MONTH(A2314)),INDEX(Settings!$B$29:$B$40,MONTH(A2314)))))</f>
        <v/>
      </c>
    </row>
    <row r="2315" customFormat="false" ht="15" hidden="false" customHeight="false" outlineLevel="0" collapsed="false">
      <c r="H2315" s="0" t="str">
        <f aca="false">IF(B2315="","",IF(COUNTIF(Campaigns!$A$7:$A$300,B2315)&gt;0,"✓","⚠ add to Campaigns tab"))</f>
        <v/>
      </c>
      <c r="I2315" s="84" t="str">
        <f aca="false">IF(C2315="","",C2315*IF(Settings!$B$22=Settings!$C$6,1,IF(Settings!$B$22="USD",1/INDEX(Settings!$B$29:$B$40,MONTH(A2315)),INDEX(Settings!$B$29:$B$40,MONTH(A2315)))))</f>
        <v/>
      </c>
    </row>
    <row r="2316" customFormat="false" ht="15" hidden="false" customHeight="false" outlineLevel="0" collapsed="false">
      <c r="H2316" s="0" t="str">
        <f aca="false">IF(B2316="","",IF(COUNTIF(Campaigns!$A$7:$A$300,B2316)&gt;0,"✓","⚠ add to Campaigns tab"))</f>
        <v/>
      </c>
      <c r="I2316" s="84" t="str">
        <f aca="false">IF(C2316="","",C2316*IF(Settings!$B$22=Settings!$C$6,1,IF(Settings!$B$22="USD",1/INDEX(Settings!$B$29:$B$40,MONTH(A2316)),INDEX(Settings!$B$29:$B$40,MONTH(A2316)))))</f>
        <v/>
      </c>
    </row>
    <row r="2317" customFormat="false" ht="15" hidden="false" customHeight="false" outlineLevel="0" collapsed="false">
      <c r="H2317" s="0" t="str">
        <f aca="false">IF(B2317="","",IF(COUNTIF(Campaigns!$A$7:$A$300,B2317)&gt;0,"✓","⚠ add to Campaigns tab"))</f>
        <v/>
      </c>
      <c r="I2317" s="84" t="str">
        <f aca="false">IF(C2317="","",C2317*IF(Settings!$B$22=Settings!$C$6,1,IF(Settings!$B$22="USD",1/INDEX(Settings!$B$29:$B$40,MONTH(A2317)),INDEX(Settings!$B$29:$B$40,MONTH(A2317)))))</f>
        <v/>
      </c>
    </row>
    <row r="2318" customFormat="false" ht="15" hidden="false" customHeight="false" outlineLevel="0" collapsed="false">
      <c r="H2318" s="0" t="str">
        <f aca="false">IF(B2318="","",IF(COUNTIF(Campaigns!$A$7:$A$300,B2318)&gt;0,"✓","⚠ add to Campaigns tab"))</f>
        <v/>
      </c>
      <c r="I2318" s="84" t="str">
        <f aca="false">IF(C2318="","",C2318*IF(Settings!$B$22=Settings!$C$6,1,IF(Settings!$B$22="USD",1/INDEX(Settings!$B$29:$B$40,MONTH(A2318)),INDEX(Settings!$B$29:$B$40,MONTH(A2318)))))</f>
        <v/>
      </c>
    </row>
    <row r="2319" customFormat="false" ht="15" hidden="false" customHeight="false" outlineLevel="0" collapsed="false">
      <c r="H2319" s="0" t="str">
        <f aca="false">IF(B2319="","",IF(COUNTIF(Campaigns!$A$7:$A$300,B2319)&gt;0,"✓","⚠ add to Campaigns tab"))</f>
        <v/>
      </c>
      <c r="I2319" s="84" t="str">
        <f aca="false">IF(C2319="","",C2319*IF(Settings!$B$22=Settings!$C$6,1,IF(Settings!$B$22="USD",1/INDEX(Settings!$B$29:$B$40,MONTH(A2319)),INDEX(Settings!$B$29:$B$40,MONTH(A2319)))))</f>
        <v/>
      </c>
    </row>
    <row r="2320" customFormat="false" ht="15" hidden="false" customHeight="false" outlineLevel="0" collapsed="false">
      <c r="H2320" s="0" t="str">
        <f aca="false">IF(B2320="","",IF(COUNTIF(Campaigns!$A$7:$A$300,B2320)&gt;0,"✓","⚠ add to Campaigns tab"))</f>
        <v/>
      </c>
      <c r="I2320" s="84" t="str">
        <f aca="false">IF(C2320="","",C2320*IF(Settings!$B$22=Settings!$C$6,1,IF(Settings!$B$22="USD",1/INDEX(Settings!$B$29:$B$40,MONTH(A2320)),INDEX(Settings!$B$29:$B$40,MONTH(A2320)))))</f>
        <v/>
      </c>
    </row>
    <row r="2321" customFormat="false" ht="15" hidden="false" customHeight="false" outlineLevel="0" collapsed="false">
      <c r="H2321" s="0" t="str">
        <f aca="false">IF(B2321="","",IF(COUNTIF(Campaigns!$A$7:$A$300,B2321)&gt;0,"✓","⚠ add to Campaigns tab"))</f>
        <v/>
      </c>
      <c r="I2321" s="84" t="str">
        <f aca="false">IF(C2321="","",C2321*IF(Settings!$B$22=Settings!$C$6,1,IF(Settings!$B$22="USD",1/INDEX(Settings!$B$29:$B$40,MONTH(A2321)),INDEX(Settings!$B$29:$B$40,MONTH(A2321)))))</f>
        <v/>
      </c>
    </row>
    <row r="2322" customFormat="false" ht="15" hidden="false" customHeight="false" outlineLevel="0" collapsed="false">
      <c r="H2322" s="0" t="str">
        <f aca="false">IF(B2322="","",IF(COUNTIF(Campaigns!$A$7:$A$300,B2322)&gt;0,"✓","⚠ add to Campaigns tab"))</f>
        <v/>
      </c>
      <c r="I2322" s="84" t="str">
        <f aca="false">IF(C2322="","",C2322*IF(Settings!$B$22=Settings!$C$6,1,IF(Settings!$B$22="USD",1/INDEX(Settings!$B$29:$B$40,MONTH(A2322)),INDEX(Settings!$B$29:$B$40,MONTH(A2322)))))</f>
        <v/>
      </c>
    </row>
    <row r="2323" customFormat="false" ht="15" hidden="false" customHeight="false" outlineLevel="0" collapsed="false">
      <c r="H2323" s="0" t="str">
        <f aca="false">IF(B2323="","",IF(COUNTIF(Campaigns!$A$7:$A$300,B2323)&gt;0,"✓","⚠ add to Campaigns tab"))</f>
        <v/>
      </c>
      <c r="I2323" s="84" t="str">
        <f aca="false">IF(C2323="","",C2323*IF(Settings!$B$22=Settings!$C$6,1,IF(Settings!$B$22="USD",1/INDEX(Settings!$B$29:$B$40,MONTH(A2323)),INDEX(Settings!$B$29:$B$40,MONTH(A2323)))))</f>
        <v/>
      </c>
    </row>
    <row r="2324" customFormat="false" ht="15" hidden="false" customHeight="false" outlineLevel="0" collapsed="false">
      <c r="H2324" s="0" t="str">
        <f aca="false">IF(B2324="","",IF(COUNTIF(Campaigns!$A$7:$A$300,B2324)&gt;0,"✓","⚠ add to Campaigns tab"))</f>
        <v/>
      </c>
      <c r="I2324" s="84" t="str">
        <f aca="false">IF(C2324="","",C2324*IF(Settings!$B$22=Settings!$C$6,1,IF(Settings!$B$22="USD",1/INDEX(Settings!$B$29:$B$40,MONTH(A2324)),INDEX(Settings!$B$29:$B$40,MONTH(A2324)))))</f>
        <v/>
      </c>
    </row>
    <row r="2325" customFormat="false" ht="15" hidden="false" customHeight="false" outlineLevel="0" collapsed="false">
      <c r="H2325" s="0" t="str">
        <f aca="false">IF(B2325="","",IF(COUNTIF(Campaigns!$A$7:$A$300,B2325)&gt;0,"✓","⚠ add to Campaigns tab"))</f>
        <v/>
      </c>
      <c r="I2325" s="84" t="str">
        <f aca="false">IF(C2325="","",C2325*IF(Settings!$B$22=Settings!$C$6,1,IF(Settings!$B$22="USD",1/INDEX(Settings!$B$29:$B$40,MONTH(A2325)),INDEX(Settings!$B$29:$B$40,MONTH(A2325)))))</f>
        <v/>
      </c>
    </row>
    <row r="2326" customFormat="false" ht="15" hidden="false" customHeight="false" outlineLevel="0" collapsed="false">
      <c r="H2326" s="0" t="str">
        <f aca="false">IF(B2326="","",IF(COUNTIF(Campaigns!$A$7:$A$300,B2326)&gt;0,"✓","⚠ add to Campaigns tab"))</f>
        <v/>
      </c>
      <c r="I2326" s="84" t="str">
        <f aca="false">IF(C2326="","",C2326*IF(Settings!$B$22=Settings!$C$6,1,IF(Settings!$B$22="USD",1/INDEX(Settings!$B$29:$B$40,MONTH(A2326)),INDEX(Settings!$B$29:$B$40,MONTH(A2326)))))</f>
        <v/>
      </c>
    </row>
    <row r="2327" customFormat="false" ht="15" hidden="false" customHeight="false" outlineLevel="0" collapsed="false">
      <c r="H2327" s="0" t="str">
        <f aca="false">IF(B2327="","",IF(COUNTIF(Campaigns!$A$7:$A$300,B2327)&gt;0,"✓","⚠ add to Campaigns tab"))</f>
        <v/>
      </c>
      <c r="I2327" s="84" t="str">
        <f aca="false">IF(C2327="","",C2327*IF(Settings!$B$22=Settings!$C$6,1,IF(Settings!$B$22="USD",1/INDEX(Settings!$B$29:$B$40,MONTH(A2327)),INDEX(Settings!$B$29:$B$40,MONTH(A2327)))))</f>
        <v/>
      </c>
    </row>
    <row r="2328" customFormat="false" ht="15" hidden="false" customHeight="false" outlineLevel="0" collapsed="false">
      <c r="H2328" s="0" t="str">
        <f aca="false">IF(B2328="","",IF(COUNTIF(Campaigns!$A$7:$A$300,B2328)&gt;0,"✓","⚠ add to Campaigns tab"))</f>
        <v/>
      </c>
      <c r="I2328" s="84" t="str">
        <f aca="false">IF(C2328="","",C2328*IF(Settings!$B$22=Settings!$C$6,1,IF(Settings!$B$22="USD",1/INDEX(Settings!$B$29:$B$40,MONTH(A2328)),INDEX(Settings!$B$29:$B$40,MONTH(A2328)))))</f>
        <v/>
      </c>
    </row>
    <row r="2329" customFormat="false" ht="15" hidden="false" customHeight="false" outlineLevel="0" collapsed="false">
      <c r="H2329" s="0" t="str">
        <f aca="false">IF(B2329="","",IF(COUNTIF(Campaigns!$A$7:$A$300,B2329)&gt;0,"✓","⚠ add to Campaigns tab"))</f>
        <v/>
      </c>
      <c r="I2329" s="84" t="str">
        <f aca="false">IF(C2329="","",C2329*IF(Settings!$B$22=Settings!$C$6,1,IF(Settings!$B$22="USD",1/INDEX(Settings!$B$29:$B$40,MONTH(A2329)),INDEX(Settings!$B$29:$B$40,MONTH(A2329)))))</f>
        <v/>
      </c>
    </row>
    <row r="2330" customFormat="false" ht="15" hidden="false" customHeight="false" outlineLevel="0" collapsed="false">
      <c r="H2330" s="0" t="str">
        <f aca="false">IF(B2330="","",IF(COUNTIF(Campaigns!$A$7:$A$300,B2330)&gt;0,"✓","⚠ add to Campaigns tab"))</f>
        <v/>
      </c>
      <c r="I2330" s="84" t="str">
        <f aca="false">IF(C2330="","",C2330*IF(Settings!$B$22=Settings!$C$6,1,IF(Settings!$B$22="USD",1/INDEX(Settings!$B$29:$B$40,MONTH(A2330)),INDEX(Settings!$B$29:$B$40,MONTH(A2330)))))</f>
        <v/>
      </c>
    </row>
    <row r="2331" customFormat="false" ht="15" hidden="false" customHeight="false" outlineLevel="0" collapsed="false">
      <c r="H2331" s="0" t="str">
        <f aca="false">IF(B2331="","",IF(COUNTIF(Campaigns!$A$7:$A$300,B2331)&gt;0,"✓","⚠ add to Campaigns tab"))</f>
        <v/>
      </c>
      <c r="I2331" s="84" t="str">
        <f aca="false">IF(C2331="","",C2331*IF(Settings!$B$22=Settings!$C$6,1,IF(Settings!$B$22="USD",1/INDEX(Settings!$B$29:$B$40,MONTH(A2331)),INDEX(Settings!$B$29:$B$40,MONTH(A2331)))))</f>
        <v/>
      </c>
    </row>
    <row r="2332" customFormat="false" ht="15" hidden="false" customHeight="false" outlineLevel="0" collapsed="false">
      <c r="H2332" s="0" t="str">
        <f aca="false">IF(B2332="","",IF(COUNTIF(Campaigns!$A$7:$A$300,B2332)&gt;0,"✓","⚠ add to Campaigns tab"))</f>
        <v/>
      </c>
      <c r="I2332" s="84" t="str">
        <f aca="false">IF(C2332="","",C2332*IF(Settings!$B$22=Settings!$C$6,1,IF(Settings!$B$22="USD",1/INDEX(Settings!$B$29:$B$40,MONTH(A2332)),INDEX(Settings!$B$29:$B$40,MONTH(A2332)))))</f>
        <v/>
      </c>
    </row>
    <row r="2333" customFormat="false" ht="15" hidden="false" customHeight="false" outlineLevel="0" collapsed="false">
      <c r="H2333" s="0" t="str">
        <f aca="false">IF(B2333="","",IF(COUNTIF(Campaigns!$A$7:$A$300,B2333)&gt;0,"✓","⚠ add to Campaigns tab"))</f>
        <v/>
      </c>
      <c r="I2333" s="84" t="str">
        <f aca="false">IF(C2333="","",C2333*IF(Settings!$B$22=Settings!$C$6,1,IF(Settings!$B$22="USD",1/INDEX(Settings!$B$29:$B$40,MONTH(A2333)),INDEX(Settings!$B$29:$B$40,MONTH(A2333)))))</f>
        <v/>
      </c>
    </row>
    <row r="2334" customFormat="false" ht="15" hidden="false" customHeight="false" outlineLevel="0" collapsed="false">
      <c r="H2334" s="0" t="str">
        <f aca="false">IF(B2334="","",IF(COUNTIF(Campaigns!$A$7:$A$300,B2334)&gt;0,"✓","⚠ add to Campaigns tab"))</f>
        <v/>
      </c>
      <c r="I2334" s="84" t="str">
        <f aca="false">IF(C2334="","",C2334*IF(Settings!$B$22=Settings!$C$6,1,IF(Settings!$B$22="USD",1/INDEX(Settings!$B$29:$B$40,MONTH(A2334)),INDEX(Settings!$B$29:$B$40,MONTH(A2334)))))</f>
        <v/>
      </c>
    </row>
    <row r="2335" customFormat="false" ht="15" hidden="false" customHeight="false" outlineLevel="0" collapsed="false">
      <c r="H2335" s="0" t="str">
        <f aca="false">IF(B2335="","",IF(COUNTIF(Campaigns!$A$7:$A$300,B2335)&gt;0,"✓","⚠ add to Campaigns tab"))</f>
        <v/>
      </c>
      <c r="I2335" s="84" t="str">
        <f aca="false">IF(C2335="","",C2335*IF(Settings!$B$22=Settings!$C$6,1,IF(Settings!$B$22="USD",1/INDEX(Settings!$B$29:$B$40,MONTH(A2335)),INDEX(Settings!$B$29:$B$40,MONTH(A2335)))))</f>
        <v/>
      </c>
    </row>
    <row r="2336" customFormat="false" ht="15" hidden="false" customHeight="false" outlineLevel="0" collapsed="false">
      <c r="H2336" s="0" t="str">
        <f aca="false">IF(B2336="","",IF(COUNTIF(Campaigns!$A$7:$A$300,B2336)&gt;0,"✓","⚠ add to Campaigns tab"))</f>
        <v/>
      </c>
      <c r="I2336" s="84" t="str">
        <f aca="false">IF(C2336="","",C2336*IF(Settings!$B$22=Settings!$C$6,1,IF(Settings!$B$22="USD",1/INDEX(Settings!$B$29:$B$40,MONTH(A2336)),INDEX(Settings!$B$29:$B$40,MONTH(A2336)))))</f>
        <v/>
      </c>
    </row>
    <row r="2337" customFormat="false" ht="15" hidden="false" customHeight="false" outlineLevel="0" collapsed="false">
      <c r="H2337" s="0" t="str">
        <f aca="false">IF(B2337="","",IF(COUNTIF(Campaigns!$A$7:$A$300,B2337)&gt;0,"✓","⚠ add to Campaigns tab"))</f>
        <v/>
      </c>
      <c r="I2337" s="84" t="str">
        <f aca="false">IF(C2337="","",C2337*IF(Settings!$B$22=Settings!$C$6,1,IF(Settings!$B$22="USD",1/INDEX(Settings!$B$29:$B$40,MONTH(A2337)),INDEX(Settings!$B$29:$B$40,MONTH(A2337)))))</f>
        <v/>
      </c>
    </row>
    <row r="2338" customFormat="false" ht="15" hidden="false" customHeight="false" outlineLevel="0" collapsed="false">
      <c r="H2338" s="0" t="str">
        <f aca="false">IF(B2338="","",IF(COUNTIF(Campaigns!$A$7:$A$300,B2338)&gt;0,"✓","⚠ add to Campaigns tab"))</f>
        <v/>
      </c>
      <c r="I2338" s="84" t="str">
        <f aca="false">IF(C2338="","",C2338*IF(Settings!$B$22=Settings!$C$6,1,IF(Settings!$B$22="USD",1/INDEX(Settings!$B$29:$B$40,MONTH(A2338)),INDEX(Settings!$B$29:$B$40,MONTH(A2338)))))</f>
        <v/>
      </c>
    </row>
    <row r="2339" customFormat="false" ht="15" hidden="false" customHeight="false" outlineLevel="0" collapsed="false">
      <c r="H2339" s="0" t="str">
        <f aca="false">IF(B2339="","",IF(COUNTIF(Campaigns!$A$7:$A$300,B2339)&gt;0,"✓","⚠ add to Campaigns tab"))</f>
        <v/>
      </c>
      <c r="I2339" s="84" t="str">
        <f aca="false">IF(C2339="","",C2339*IF(Settings!$B$22=Settings!$C$6,1,IF(Settings!$B$22="USD",1/INDEX(Settings!$B$29:$B$40,MONTH(A2339)),INDEX(Settings!$B$29:$B$40,MONTH(A2339)))))</f>
        <v/>
      </c>
    </row>
    <row r="2340" customFormat="false" ht="15" hidden="false" customHeight="false" outlineLevel="0" collapsed="false">
      <c r="H2340" s="0" t="str">
        <f aca="false">IF(B2340="","",IF(COUNTIF(Campaigns!$A$7:$A$300,B2340)&gt;0,"✓","⚠ add to Campaigns tab"))</f>
        <v/>
      </c>
      <c r="I2340" s="84" t="str">
        <f aca="false">IF(C2340="","",C2340*IF(Settings!$B$22=Settings!$C$6,1,IF(Settings!$B$22="USD",1/INDEX(Settings!$B$29:$B$40,MONTH(A2340)),INDEX(Settings!$B$29:$B$40,MONTH(A2340)))))</f>
        <v/>
      </c>
    </row>
    <row r="2341" customFormat="false" ht="15" hidden="false" customHeight="false" outlineLevel="0" collapsed="false">
      <c r="H2341" s="0" t="str">
        <f aca="false">IF(B2341="","",IF(COUNTIF(Campaigns!$A$7:$A$300,B2341)&gt;0,"✓","⚠ add to Campaigns tab"))</f>
        <v/>
      </c>
      <c r="I2341" s="84" t="str">
        <f aca="false">IF(C2341="","",C2341*IF(Settings!$B$22=Settings!$C$6,1,IF(Settings!$B$22="USD",1/INDEX(Settings!$B$29:$B$40,MONTH(A2341)),INDEX(Settings!$B$29:$B$40,MONTH(A2341)))))</f>
        <v/>
      </c>
    </row>
    <row r="2342" customFormat="false" ht="15" hidden="false" customHeight="false" outlineLevel="0" collapsed="false">
      <c r="H2342" s="0" t="str">
        <f aca="false">IF(B2342="","",IF(COUNTIF(Campaigns!$A$7:$A$300,B2342)&gt;0,"✓","⚠ add to Campaigns tab"))</f>
        <v/>
      </c>
      <c r="I2342" s="84" t="str">
        <f aca="false">IF(C2342="","",C2342*IF(Settings!$B$22=Settings!$C$6,1,IF(Settings!$B$22="USD",1/INDEX(Settings!$B$29:$B$40,MONTH(A2342)),INDEX(Settings!$B$29:$B$40,MONTH(A2342)))))</f>
        <v/>
      </c>
    </row>
    <row r="2343" customFormat="false" ht="15" hidden="false" customHeight="false" outlineLevel="0" collapsed="false">
      <c r="H2343" s="0" t="str">
        <f aca="false">IF(B2343="","",IF(COUNTIF(Campaigns!$A$7:$A$300,B2343)&gt;0,"✓","⚠ add to Campaigns tab"))</f>
        <v/>
      </c>
      <c r="I2343" s="84" t="str">
        <f aca="false">IF(C2343="","",C2343*IF(Settings!$B$22=Settings!$C$6,1,IF(Settings!$B$22="USD",1/INDEX(Settings!$B$29:$B$40,MONTH(A2343)),INDEX(Settings!$B$29:$B$40,MONTH(A2343)))))</f>
        <v/>
      </c>
    </row>
    <row r="2344" customFormat="false" ht="15" hidden="false" customHeight="false" outlineLevel="0" collapsed="false">
      <c r="H2344" s="0" t="str">
        <f aca="false">IF(B2344="","",IF(COUNTIF(Campaigns!$A$7:$A$300,B2344)&gt;0,"✓","⚠ add to Campaigns tab"))</f>
        <v/>
      </c>
      <c r="I2344" s="84" t="str">
        <f aca="false">IF(C2344="","",C2344*IF(Settings!$B$22=Settings!$C$6,1,IF(Settings!$B$22="USD",1/INDEX(Settings!$B$29:$B$40,MONTH(A2344)),INDEX(Settings!$B$29:$B$40,MONTH(A2344)))))</f>
        <v/>
      </c>
    </row>
    <row r="2345" customFormat="false" ht="15" hidden="false" customHeight="false" outlineLevel="0" collapsed="false">
      <c r="H2345" s="0" t="str">
        <f aca="false">IF(B2345="","",IF(COUNTIF(Campaigns!$A$7:$A$300,B2345)&gt;0,"✓","⚠ add to Campaigns tab"))</f>
        <v/>
      </c>
      <c r="I2345" s="84" t="str">
        <f aca="false">IF(C2345="","",C2345*IF(Settings!$B$22=Settings!$C$6,1,IF(Settings!$B$22="USD",1/INDEX(Settings!$B$29:$B$40,MONTH(A2345)),INDEX(Settings!$B$29:$B$40,MONTH(A2345)))))</f>
        <v/>
      </c>
    </row>
    <row r="2346" customFormat="false" ht="15" hidden="false" customHeight="false" outlineLevel="0" collapsed="false">
      <c r="H2346" s="0" t="str">
        <f aca="false">IF(B2346="","",IF(COUNTIF(Campaigns!$A$7:$A$300,B2346)&gt;0,"✓","⚠ add to Campaigns tab"))</f>
        <v/>
      </c>
      <c r="I2346" s="84" t="str">
        <f aca="false">IF(C2346="","",C2346*IF(Settings!$B$22=Settings!$C$6,1,IF(Settings!$B$22="USD",1/INDEX(Settings!$B$29:$B$40,MONTH(A2346)),INDEX(Settings!$B$29:$B$40,MONTH(A2346)))))</f>
        <v/>
      </c>
    </row>
    <row r="2347" customFormat="false" ht="15" hidden="false" customHeight="false" outlineLevel="0" collapsed="false">
      <c r="H2347" s="0" t="str">
        <f aca="false">IF(B2347="","",IF(COUNTIF(Campaigns!$A$7:$A$300,B2347)&gt;0,"✓","⚠ add to Campaigns tab"))</f>
        <v/>
      </c>
      <c r="I2347" s="84" t="str">
        <f aca="false">IF(C2347="","",C2347*IF(Settings!$B$22=Settings!$C$6,1,IF(Settings!$B$22="USD",1/INDEX(Settings!$B$29:$B$40,MONTH(A2347)),INDEX(Settings!$B$29:$B$40,MONTH(A2347)))))</f>
        <v/>
      </c>
    </row>
    <row r="2348" customFormat="false" ht="15" hidden="false" customHeight="false" outlineLevel="0" collapsed="false">
      <c r="H2348" s="0" t="str">
        <f aca="false">IF(B2348="","",IF(COUNTIF(Campaigns!$A$7:$A$300,B2348)&gt;0,"✓","⚠ add to Campaigns tab"))</f>
        <v/>
      </c>
      <c r="I2348" s="84" t="str">
        <f aca="false">IF(C2348="","",C2348*IF(Settings!$B$22=Settings!$C$6,1,IF(Settings!$B$22="USD",1/INDEX(Settings!$B$29:$B$40,MONTH(A2348)),INDEX(Settings!$B$29:$B$40,MONTH(A2348)))))</f>
        <v/>
      </c>
    </row>
    <row r="2349" customFormat="false" ht="15" hidden="false" customHeight="false" outlineLevel="0" collapsed="false">
      <c r="H2349" s="0" t="str">
        <f aca="false">IF(B2349="","",IF(COUNTIF(Campaigns!$A$7:$A$300,B2349)&gt;0,"✓","⚠ add to Campaigns tab"))</f>
        <v/>
      </c>
      <c r="I2349" s="84" t="str">
        <f aca="false">IF(C2349="","",C2349*IF(Settings!$B$22=Settings!$C$6,1,IF(Settings!$B$22="USD",1/INDEX(Settings!$B$29:$B$40,MONTH(A2349)),INDEX(Settings!$B$29:$B$40,MONTH(A2349)))))</f>
        <v/>
      </c>
    </row>
    <row r="2350" customFormat="false" ht="15" hidden="false" customHeight="false" outlineLevel="0" collapsed="false">
      <c r="H2350" s="0" t="str">
        <f aca="false">IF(B2350="","",IF(COUNTIF(Campaigns!$A$7:$A$300,B2350)&gt;0,"✓","⚠ add to Campaigns tab"))</f>
        <v/>
      </c>
      <c r="I2350" s="84" t="str">
        <f aca="false">IF(C2350="","",C2350*IF(Settings!$B$22=Settings!$C$6,1,IF(Settings!$B$22="USD",1/INDEX(Settings!$B$29:$B$40,MONTH(A2350)),INDEX(Settings!$B$29:$B$40,MONTH(A2350)))))</f>
        <v/>
      </c>
    </row>
    <row r="2351" customFormat="false" ht="15" hidden="false" customHeight="false" outlineLevel="0" collapsed="false">
      <c r="H2351" s="0" t="str">
        <f aca="false">IF(B2351="","",IF(COUNTIF(Campaigns!$A$7:$A$300,B2351)&gt;0,"✓","⚠ add to Campaigns tab"))</f>
        <v/>
      </c>
      <c r="I2351" s="84" t="str">
        <f aca="false">IF(C2351="","",C2351*IF(Settings!$B$22=Settings!$C$6,1,IF(Settings!$B$22="USD",1/INDEX(Settings!$B$29:$B$40,MONTH(A2351)),INDEX(Settings!$B$29:$B$40,MONTH(A2351)))))</f>
        <v/>
      </c>
    </row>
    <row r="2352" customFormat="false" ht="15" hidden="false" customHeight="false" outlineLevel="0" collapsed="false">
      <c r="H2352" s="0" t="str">
        <f aca="false">IF(B2352="","",IF(COUNTIF(Campaigns!$A$7:$A$300,B2352)&gt;0,"✓","⚠ add to Campaigns tab"))</f>
        <v/>
      </c>
      <c r="I2352" s="84" t="str">
        <f aca="false">IF(C2352="","",C2352*IF(Settings!$B$22=Settings!$C$6,1,IF(Settings!$B$22="USD",1/INDEX(Settings!$B$29:$B$40,MONTH(A2352)),INDEX(Settings!$B$29:$B$40,MONTH(A2352)))))</f>
        <v/>
      </c>
    </row>
    <row r="2353" customFormat="false" ht="15" hidden="false" customHeight="false" outlineLevel="0" collapsed="false">
      <c r="H2353" s="0" t="str">
        <f aca="false">IF(B2353="","",IF(COUNTIF(Campaigns!$A$7:$A$300,B2353)&gt;0,"✓","⚠ add to Campaigns tab"))</f>
        <v/>
      </c>
      <c r="I2353" s="84" t="str">
        <f aca="false">IF(C2353="","",C2353*IF(Settings!$B$22=Settings!$C$6,1,IF(Settings!$B$22="USD",1/INDEX(Settings!$B$29:$B$40,MONTH(A2353)),INDEX(Settings!$B$29:$B$40,MONTH(A2353)))))</f>
        <v/>
      </c>
    </row>
    <row r="2354" customFormat="false" ht="15" hidden="false" customHeight="false" outlineLevel="0" collapsed="false">
      <c r="H2354" s="0" t="str">
        <f aca="false">IF(B2354="","",IF(COUNTIF(Campaigns!$A$7:$A$300,B2354)&gt;0,"✓","⚠ add to Campaigns tab"))</f>
        <v/>
      </c>
      <c r="I2354" s="84" t="str">
        <f aca="false">IF(C2354="","",C2354*IF(Settings!$B$22=Settings!$C$6,1,IF(Settings!$B$22="USD",1/INDEX(Settings!$B$29:$B$40,MONTH(A2354)),INDEX(Settings!$B$29:$B$40,MONTH(A2354)))))</f>
        <v/>
      </c>
    </row>
    <row r="2355" customFormat="false" ht="15" hidden="false" customHeight="false" outlineLevel="0" collapsed="false">
      <c r="H2355" s="0" t="str">
        <f aca="false">IF(B2355="","",IF(COUNTIF(Campaigns!$A$7:$A$300,B2355)&gt;0,"✓","⚠ add to Campaigns tab"))</f>
        <v/>
      </c>
      <c r="I2355" s="84" t="str">
        <f aca="false">IF(C2355="","",C2355*IF(Settings!$B$22=Settings!$C$6,1,IF(Settings!$B$22="USD",1/INDEX(Settings!$B$29:$B$40,MONTH(A2355)),INDEX(Settings!$B$29:$B$40,MONTH(A2355)))))</f>
        <v/>
      </c>
    </row>
    <row r="2356" customFormat="false" ht="15" hidden="false" customHeight="false" outlineLevel="0" collapsed="false">
      <c r="H2356" s="0" t="str">
        <f aca="false">IF(B2356="","",IF(COUNTIF(Campaigns!$A$7:$A$300,B2356)&gt;0,"✓","⚠ add to Campaigns tab"))</f>
        <v/>
      </c>
      <c r="I2356" s="84" t="str">
        <f aca="false">IF(C2356="","",C2356*IF(Settings!$B$22=Settings!$C$6,1,IF(Settings!$B$22="USD",1/INDEX(Settings!$B$29:$B$40,MONTH(A2356)),INDEX(Settings!$B$29:$B$40,MONTH(A2356)))))</f>
        <v/>
      </c>
    </row>
    <row r="2357" customFormat="false" ht="15" hidden="false" customHeight="false" outlineLevel="0" collapsed="false">
      <c r="H2357" s="0" t="str">
        <f aca="false">IF(B2357="","",IF(COUNTIF(Campaigns!$A$7:$A$300,B2357)&gt;0,"✓","⚠ add to Campaigns tab"))</f>
        <v/>
      </c>
      <c r="I2357" s="84" t="str">
        <f aca="false">IF(C2357="","",C2357*IF(Settings!$B$22=Settings!$C$6,1,IF(Settings!$B$22="USD",1/INDEX(Settings!$B$29:$B$40,MONTH(A2357)),INDEX(Settings!$B$29:$B$40,MONTH(A2357)))))</f>
        <v/>
      </c>
    </row>
    <row r="2358" customFormat="false" ht="15" hidden="false" customHeight="false" outlineLevel="0" collapsed="false">
      <c r="H2358" s="0" t="str">
        <f aca="false">IF(B2358="","",IF(COUNTIF(Campaigns!$A$7:$A$300,B2358)&gt;0,"✓","⚠ add to Campaigns tab"))</f>
        <v/>
      </c>
      <c r="I2358" s="84" t="str">
        <f aca="false">IF(C2358="","",C2358*IF(Settings!$B$22=Settings!$C$6,1,IF(Settings!$B$22="USD",1/INDEX(Settings!$B$29:$B$40,MONTH(A2358)),INDEX(Settings!$B$29:$B$40,MONTH(A2358)))))</f>
        <v/>
      </c>
    </row>
    <row r="2359" customFormat="false" ht="15" hidden="false" customHeight="false" outlineLevel="0" collapsed="false">
      <c r="H2359" s="0" t="str">
        <f aca="false">IF(B2359="","",IF(COUNTIF(Campaigns!$A$7:$A$300,B2359)&gt;0,"✓","⚠ add to Campaigns tab"))</f>
        <v/>
      </c>
      <c r="I2359" s="84" t="str">
        <f aca="false">IF(C2359="","",C2359*IF(Settings!$B$22=Settings!$C$6,1,IF(Settings!$B$22="USD",1/INDEX(Settings!$B$29:$B$40,MONTH(A2359)),INDEX(Settings!$B$29:$B$40,MONTH(A2359)))))</f>
        <v/>
      </c>
    </row>
    <row r="2360" customFormat="false" ht="15" hidden="false" customHeight="false" outlineLevel="0" collapsed="false">
      <c r="H2360" s="0" t="str">
        <f aca="false">IF(B2360="","",IF(COUNTIF(Campaigns!$A$7:$A$300,B2360)&gt;0,"✓","⚠ add to Campaigns tab"))</f>
        <v/>
      </c>
      <c r="I2360" s="84" t="str">
        <f aca="false">IF(C2360="","",C2360*IF(Settings!$B$22=Settings!$C$6,1,IF(Settings!$B$22="USD",1/INDEX(Settings!$B$29:$B$40,MONTH(A2360)),INDEX(Settings!$B$29:$B$40,MONTH(A2360)))))</f>
        <v/>
      </c>
    </row>
    <row r="2361" customFormat="false" ht="15" hidden="false" customHeight="false" outlineLevel="0" collapsed="false">
      <c r="H2361" s="0" t="str">
        <f aca="false">IF(B2361="","",IF(COUNTIF(Campaigns!$A$7:$A$300,B2361)&gt;0,"✓","⚠ add to Campaigns tab"))</f>
        <v/>
      </c>
      <c r="I2361" s="84" t="str">
        <f aca="false">IF(C2361="","",C2361*IF(Settings!$B$22=Settings!$C$6,1,IF(Settings!$B$22="USD",1/INDEX(Settings!$B$29:$B$40,MONTH(A2361)),INDEX(Settings!$B$29:$B$40,MONTH(A2361)))))</f>
        <v/>
      </c>
    </row>
    <row r="2362" customFormat="false" ht="15" hidden="false" customHeight="false" outlineLevel="0" collapsed="false">
      <c r="H2362" s="0" t="str">
        <f aca="false">IF(B2362="","",IF(COUNTIF(Campaigns!$A$7:$A$300,B2362)&gt;0,"✓","⚠ add to Campaigns tab"))</f>
        <v/>
      </c>
      <c r="I2362" s="84" t="str">
        <f aca="false">IF(C2362="","",C2362*IF(Settings!$B$22=Settings!$C$6,1,IF(Settings!$B$22="USD",1/INDEX(Settings!$B$29:$B$40,MONTH(A2362)),INDEX(Settings!$B$29:$B$40,MONTH(A2362)))))</f>
        <v/>
      </c>
    </row>
    <row r="2363" customFormat="false" ht="15" hidden="false" customHeight="false" outlineLevel="0" collapsed="false">
      <c r="H2363" s="0" t="str">
        <f aca="false">IF(B2363="","",IF(COUNTIF(Campaigns!$A$7:$A$300,B2363)&gt;0,"✓","⚠ add to Campaigns tab"))</f>
        <v/>
      </c>
      <c r="I2363" s="84" t="str">
        <f aca="false">IF(C2363="","",C2363*IF(Settings!$B$22=Settings!$C$6,1,IF(Settings!$B$22="USD",1/INDEX(Settings!$B$29:$B$40,MONTH(A2363)),INDEX(Settings!$B$29:$B$40,MONTH(A2363)))))</f>
        <v/>
      </c>
    </row>
    <row r="2364" customFormat="false" ht="15" hidden="false" customHeight="false" outlineLevel="0" collapsed="false">
      <c r="H2364" s="0" t="str">
        <f aca="false">IF(B2364="","",IF(COUNTIF(Campaigns!$A$7:$A$300,B2364)&gt;0,"✓","⚠ add to Campaigns tab"))</f>
        <v/>
      </c>
      <c r="I2364" s="84" t="str">
        <f aca="false">IF(C2364="","",C2364*IF(Settings!$B$22=Settings!$C$6,1,IF(Settings!$B$22="USD",1/INDEX(Settings!$B$29:$B$40,MONTH(A2364)),INDEX(Settings!$B$29:$B$40,MONTH(A2364)))))</f>
        <v/>
      </c>
    </row>
    <row r="2365" customFormat="false" ht="15" hidden="false" customHeight="false" outlineLevel="0" collapsed="false">
      <c r="H2365" s="0" t="str">
        <f aca="false">IF(B2365="","",IF(COUNTIF(Campaigns!$A$7:$A$300,B2365)&gt;0,"✓","⚠ add to Campaigns tab"))</f>
        <v/>
      </c>
      <c r="I2365" s="84" t="str">
        <f aca="false">IF(C2365="","",C2365*IF(Settings!$B$22=Settings!$C$6,1,IF(Settings!$B$22="USD",1/INDEX(Settings!$B$29:$B$40,MONTH(A2365)),INDEX(Settings!$B$29:$B$40,MONTH(A2365)))))</f>
        <v/>
      </c>
    </row>
    <row r="2366" customFormat="false" ht="15" hidden="false" customHeight="false" outlineLevel="0" collapsed="false">
      <c r="H2366" s="0" t="str">
        <f aca="false">IF(B2366="","",IF(COUNTIF(Campaigns!$A$7:$A$300,B2366)&gt;0,"✓","⚠ add to Campaigns tab"))</f>
        <v/>
      </c>
      <c r="I2366" s="84" t="str">
        <f aca="false">IF(C2366="","",C2366*IF(Settings!$B$22=Settings!$C$6,1,IF(Settings!$B$22="USD",1/INDEX(Settings!$B$29:$B$40,MONTH(A2366)),INDEX(Settings!$B$29:$B$40,MONTH(A2366)))))</f>
        <v/>
      </c>
    </row>
    <row r="2367" customFormat="false" ht="15" hidden="false" customHeight="false" outlineLevel="0" collapsed="false">
      <c r="H2367" s="0" t="str">
        <f aca="false">IF(B2367="","",IF(COUNTIF(Campaigns!$A$7:$A$300,B2367)&gt;0,"✓","⚠ add to Campaigns tab"))</f>
        <v/>
      </c>
      <c r="I2367" s="84" t="str">
        <f aca="false">IF(C2367="","",C2367*IF(Settings!$B$22=Settings!$C$6,1,IF(Settings!$B$22="USD",1/INDEX(Settings!$B$29:$B$40,MONTH(A2367)),INDEX(Settings!$B$29:$B$40,MONTH(A2367)))))</f>
        <v/>
      </c>
    </row>
    <row r="2368" customFormat="false" ht="15" hidden="false" customHeight="false" outlineLevel="0" collapsed="false">
      <c r="H2368" s="0" t="str">
        <f aca="false">IF(B2368="","",IF(COUNTIF(Campaigns!$A$7:$A$300,B2368)&gt;0,"✓","⚠ add to Campaigns tab"))</f>
        <v/>
      </c>
      <c r="I2368" s="84" t="str">
        <f aca="false">IF(C2368="","",C2368*IF(Settings!$B$22=Settings!$C$6,1,IF(Settings!$B$22="USD",1/INDEX(Settings!$B$29:$B$40,MONTH(A2368)),INDEX(Settings!$B$29:$B$40,MONTH(A2368)))))</f>
        <v/>
      </c>
    </row>
    <row r="2369" customFormat="false" ht="15" hidden="false" customHeight="false" outlineLevel="0" collapsed="false">
      <c r="H2369" s="0" t="str">
        <f aca="false">IF(B2369="","",IF(COUNTIF(Campaigns!$A$7:$A$300,B2369)&gt;0,"✓","⚠ add to Campaigns tab"))</f>
        <v/>
      </c>
      <c r="I2369" s="84" t="str">
        <f aca="false">IF(C2369="","",C2369*IF(Settings!$B$22=Settings!$C$6,1,IF(Settings!$B$22="USD",1/INDEX(Settings!$B$29:$B$40,MONTH(A2369)),INDEX(Settings!$B$29:$B$40,MONTH(A2369)))))</f>
        <v/>
      </c>
    </row>
    <row r="2370" customFormat="false" ht="15" hidden="false" customHeight="false" outlineLevel="0" collapsed="false">
      <c r="H2370" s="0" t="str">
        <f aca="false">IF(B2370="","",IF(COUNTIF(Campaigns!$A$7:$A$300,B2370)&gt;0,"✓","⚠ add to Campaigns tab"))</f>
        <v/>
      </c>
      <c r="I2370" s="84" t="str">
        <f aca="false">IF(C2370="","",C2370*IF(Settings!$B$22=Settings!$C$6,1,IF(Settings!$B$22="USD",1/INDEX(Settings!$B$29:$B$40,MONTH(A2370)),INDEX(Settings!$B$29:$B$40,MONTH(A2370)))))</f>
        <v/>
      </c>
    </row>
    <row r="2371" customFormat="false" ht="15" hidden="false" customHeight="false" outlineLevel="0" collapsed="false">
      <c r="H2371" s="0" t="str">
        <f aca="false">IF(B2371="","",IF(COUNTIF(Campaigns!$A$7:$A$300,B2371)&gt;0,"✓","⚠ add to Campaigns tab"))</f>
        <v/>
      </c>
      <c r="I2371" s="84" t="str">
        <f aca="false">IF(C2371="","",C2371*IF(Settings!$B$22=Settings!$C$6,1,IF(Settings!$B$22="USD",1/INDEX(Settings!$B$29:$B$40,MONTH(A2371)),INDEX(Settings!$B$29:$B$40,MONTH(A2371)))))</f>
        <v/>
      </c>
    </row>
    <row r="2372" customFormat="false" ht="15" hidden="false" customHeight="false" outlineLevel="0" collapsed="false">
      <c r="H2372" s="0" t="str">
        <f aca="false">IF(B2372="","",IF(COUNTIF(Campaigns!$A$7:$A$300,B2372)&gt;0,"✓","⚠ add to Campaigns tab"))</f>
        <v/>
      </c>
      <c r="I2372" s="84" t="str">
        <f aca="false">IF(C2372="","",C2372*IF(Settings!$B$22=Settings!$C$6,1,IF(Settings!$B$22="USD",1/INDEX(Settings!$B$29:$B$40,MONTH(A2372)),INDEX(Settings!$B$29:$B$40,MONTH(A2372)))))</f>
        <v/>
      </c>
    </row>
    <row r="2373" customFormat="false" ht="15" hidden="false" customHeight="false" outlineLevel="0" collapsed="false">
      <c r="H2373" s="0" t="str">
        <f aca="false">IF(B2373="","",IF(COUNTIF(Campaigns!$A$7:$A$300,B2373)&gt;0,"✓","⚠ add to Campaigns tab"))</f>
        <v/>
      </c>
      <c r="I2373" s="84" t="str">
        <f aca="false">IF(C2373="","",C2373*IF(Settings!$B$22=Settings!$C$6,1,IF(Settings!$B$22="USD",1/INDEX(Settings!$B$29:$B$40,MONTH(A2373)),INDEX(Settings!$B$29:$B$40,MONTH(A2373)))))</f>
        <v/>
      </c>
    </row>
    <row r="2374" customFormat="false" ht="15" hidden="false" customHeight="false" outlineLevel="0" collapsed="false">
      <c r="H2374" s="0" t="str">
        <f aca="false">IF(B2374="","",IF(COUNTIF(Campaigns!$A$7:$A$300,B2374)&gt;0,"✓","⚠ add to Campaigns tab"))</f>
        <v/>
      </c>
      <c r="I2374" s="84" t="str">
        <f aca="false">IF(C2374="","",C2374*IF(Settings!$B$22=Settings!$C$6,1,IF(Settings!$B$22="USD",1/INDEX(Settings!$B$29:$B$40,MONTH(A2374)),INDEX(Settings!$B$29:$B$40,MONTH(A2374)))))</f>
        <v/>
      </c>
    </row>
    <row r="2375" customFormat="false" ht="15" hidden="false" customHeight="false" outlineLevel="0" collapsed="false">
      <c r="H2375" s="0" t="str">
        <f aca="false">IF(B2375="","",IF(COUNTIF(Campaigns!$A$7:$A$300,B2375)&gt;0,"✓","⚠ add to Campaigns tab"))</f>
        <v/>
      </c>
      <c r="I2375" s="84" t="str">
        <f aca="false">IF(C2375="","",C2375*IF(Settings!$B$22=Settings!$C$6,1,IF(Settings!$B$22="USD",1/INDEX(Settings!$B$29:$B$40,MONTH(A2375)),INDEX(Settings!$B$29:$B$40,MONTH(A2375)))))</f>
        <v/>
      </c>
    </row>
    <row r="2376" customFormat="false" ht="15" hidden="false" customHeight="false" outlineLevel="0" collapsed="false">
      <c r="H2376" s="0" t="str">
        <f aca="false">IF(B2376="","",IF(COUNTIF(Campaigns!$A$7:$A$300,B2376)&gt;0,"✓","⚠ add to Campaigns tab"))</f>
        <v/>
      </c>
      <c r="I2376" s="84" t="str">
        <f aca="false">IF(C2376="","",C2376*IF(Settings!$B$22=Settings!$C$6,1,IF(Settings!$B$22="USD",1/INDEX(Settings!$B$29:$B$40,MONTH(A2376)),INDEX(Settings!$B$29:$B$40,MONTH(A2376)))))</f>
        <v/>
      </c>
    </row>
    <row r="2377" customFormat="false" ht="15" hidden="false" customHeight="false" outlineLevel="0" collapsed="false">
      <c r="H2377" s="0" t="str">
        <f aca="false">IF(B2377="","",IF(COUNTIF(Campaigns!$A$7:$A$300,B2377)&gt;0,"✓","⚠ add to Campaigns tab"))</f>
        <v/>
      </c>
      <c r="I2377" s="84" t="str">
        <f aca="false">IF(C2377="","",C2377*IF(Settings!$B$22=Settings!$C$6,1,IF(Settings!$B$22="USD",1/INDEX(Settings!$B$29:$B$40,MONTH(A2377)),INDEX(Settings!$B$29:$B$40,MONTH(A2377)))))</f>
        <v/>
      </c>
    </row>
    <row r="2378" customFormat="false" ht="15" hidden="false" customHeight="false" outlineLevel="0" collapsed="false">
      <c r="H2378" s="0" t="str">
        <f aca="false">IF(B2378="","",IF(COUNTIF(Campaigns!$A$7:$A$300,B2378)&gt;0,"✓","⚠ add to Campaigns tab"))</f>
        <v/>
      </c>
      <c r="I2378" s="84" t="str">
        <f aca="false">IF(C2378="","",C2378*IF(Settings!$B$22=Settings!$C$6,1,IF(Settings!$B$22="USD",1/INDEX(Settings!$B$29:$B$40,MONTH(A2378)),INDEX(Settings!$B$29:$B$40,MONTH(A2378)))))</f>
        <v/>
      </c>
    </row>
    <row r="2379" customFormat="false" ht="15" hidden="false" customHeight="false" outlineLevel="0" collapsed="false">
      <c r="H2379" s="0" t="str">
        <f aca="false">IF(B2379="","",IF(COUNTIF(Campaigns!$A$7:$A$300,B2379)&gt;0,"✓","⚠ add to Campaigns tab"))</f>
        <v/>
      </c>
      <c r="I2379" s="84" t="str">
        <f aca="false">IF(C2379="","",C2379*IF(Settings!$B$22=Settings!$C$6,1,IF(Settings!$B$22="USD",1/INDEX(Settings!$B$29:$B$40,MONTH(A2379)),INDEX(Settings!$B$29:$B$40,MONTH(A2379)))))</f>
        <v/>
      </c>
    </row>
    <row r="2380" customFormat="false" ht="15" hidden="false" customHeight="false" outlineLevel="0" collapsed="false">
      <c r="H2380" s="0" t="str">
        <f aca="false">IF(B2380="","",IF(COUNTIF(Campaigns!$A$7:$A$300,B2380)&gt;0,"✓","⚠ add to Campaigns tab"))</f>
        <v/>
      </c>
      <c r="I2380" s="84" t="str">
        <f aca="false">IF(C2380="","",C2380*IF(Settings!$B$22=Settings!$C$6,1,IF(Settings!$B$22="USD",1/INDEX(Settings!$B$29:$B$40,MONTH(A2380)),INDEX(Settings!$B$29:$B$40,MONTH(A2380)))))</f>
        <v/>
      </c>
    </row>
    <row r="2381" customFormat="false" ht="15" hidden="false" customHeight="false" outlineLevel="0" collapsed="false">
      <c r="H2381" s="0" t="str">
        <f aca="false">IF(B2381="","",IF(COUNTIF(Campaigns!$A$7:$A$300,B2381)&gt;0,"✓","⚠ add to Campaigns tab"))</f>
        <v/>
      </c>
      <c r="I2381" s="84" t="str">
        <f aca="false">IF(C2381="","",C2381*IF(Settings!$B$22=Settings!$C$6,1,IF(Settings!$B$22="USD",1/INDEX(Settings!$B$29:$B$40,MONTH(A2381)),INDEX(Settings!$B$29:$B$40,MONTH(A2381)))))</f>
        <v/>
      </c>
    </row>
    <row r="2382" customFormat="false" ht="15" hidden="false" customHeight="false" outlineLevel="0" collapsed="false">
      <c r="H2382" s="0" t="str">
        <f aca="false">IF(B2382="","",IF(COUNTIF(Campaigns!$A$7:$A$300,B2382)&gt;0,"✓","⚠ add to Campaigns tab"))</f>
        <v/>
      </c>
      <c r="I2382" s="84" t="str">
        <f aca="false">IF(C2382="","",C2382*IF(Settings!$B$22=Settings!$C$6,1,IF(Settings!$B$22="USD",1/INDEX(Settings!$B$29:$B$40,MONTH(A2382)),INDEX(Settings!$B$29:$B$40,MONTH(A2382)))))</f>
        <v/>
      </c>
    </row>
    <row r="2383" customFormat="false" ht="15" hidden="false" customHeight="false" outlineLevel="0" collapsed="false">
      <c r="H2383" s="0" t="str">
        <f aca="false">IF(B2383="","",IF(COUNTIF(Campaigns!$A$7:$A$300,B2383)&gt;0,"✓","⚠ add to Campaigns tab"))</f>
        <v/>
      </c>
      <c r="I2383" s="84" t="str">
        <f aca="false">IF(C2383="","",C2383*IF(Settings!$B$22=Settings!$C$6,1,IF(Settings!$B$22="USD",1/INDEX(Settings!$B$29:$B$40,MONTH(A2383)),INDEX(Settings!$B$29:$B$40,MONTH(A2383)))))</f>
        <v/>
      </c>
    </row>
    <row r="2384" customFormat="false" ht="15" hidden="false" customHeight="false" outlineLevel="0" collapsed="false">
      <c r="H2384" s="0" t="str">
        <f aca="false">IF(B2384="","",IF(COUNTIF(Campaigns!$A$7:$A$300,B2384)&gt;0,"✓","⚠ add to Campaigns tab"))</f>
        <v/>
      </c>
      <c r="I2384" s="84" t="str">
        <f aca="false">IF(C2384="","",C2384*IF(Settings!$B$22=Settings!$C$6,1,IF(Settings!$B$22="USD",1/INDEX(Settings!$B$29:$B$40,MONTH(A2384)),INDEX(Settings!$B$29:$B$40,MONTH(A2384)))))</f>
        <v/>
      </c>
    </row>
    <row r="2385" customFormat="false" ht="15" hidden="false" customHeight="false" outlineLevel="0" collapsed="false">
      <c r="H2385" s="0" t="str">
        <f aca="false">IF(B2385="","",IF(COUNTIF(Campaigns!$A$7:$A$300,B2385)&gt;0,"✓","⚠ add to Campaigns tab"))</f>
        <v/>
      </c>
      <c r="I2385" s="84" t="str">
        <f aca="false">IF(C2385="","",C2385*IF(Settings!$B$22=Settings!$C$6,1,IF(Settings!$B$22="USD",1/INDEX(Settings!$B$29:$B$40,MONTH(A2385)),INDEX(Settings!$B$29:$B$40,MONTH(A2385)))))</f>
        <v/>
      </c>
    </row>
    <row r="2386" customFormat="false" ht="15" hidden="false" customHeight="false" outlineLevel="0" collapsed="false">
      <c r="H2386" s="0" t="str">
        <f aca="false">IF(B2386="","",IF(COUNTIF(Campaigns!$A$7:$A$300,B2386)&gt;0,"✓","⚠ add to Campaigns tab"))</f>
        <v/>
      </c>
      <c r="I2386" s="84" t="str">
        <f aca="false">IF(C2386="","",C2386*IF(Settings!$B$22=Settings!$C$6,1,IF(Settings!$B$22="USD",1/INDEX(Settings!$B$29:$B$40,MONTH(A2386)),INDEX(Settings!$B$29:$B$40,MONTH(A2386)))))</f>
        <v/>
      </c>
    </row>
    <row r="2387" customFormat="false" ht="15" hidden="false" customHeight="false" outlineLevel="0" collapsed="false">
      <c r="H2387" s="0" t="str">
        <f aca="false">IF(B2387="","",IF(COUNTIF(Campaigns!$A$7:$A$300,B2387)&gt;0,"✓","⚠ add to Campaigns tab"))</f>
        <v/>
      </c>
      <c r="I2387" s="84" t="str">
        <f aca="false">IF(C2387="","",C2387*IF(Settings!$B$22=Settings!$C$6,1,IF(Settings!$B$22="USD",1/INDEX(Settings!$B$29:$B$40,MONTH(A2387)),INDEX(Settings!$B$29:$B$40,MONTH(A2387)))))</f>
        <v/>
      </c>
    </row>
    <row r="2388" customFormat="false" ht="15" hidden="false" customHeight="false" outlineLevel="0" collapsed="false">
      <c r="H2388" s="0" t="str">
        <f aca="false">IF(B2388="","",IF(COUNTIF(Campaigns!$A$7:$A$300,B2388)&gt;0,"✓","⚠ add to Campaigns tab"))</f>
        <v/>
      </c>
      <c r="I2388" s="84" t="str">
        <f aca="false">IF(C2388="","",C2388*IF(Settings!$B$22=Settings!$C$6,1,IF(Settings!$B$22="USD",1/INDEX(Settings!$B$29:$B$40,MONTH(A2388)),INDEX(Settings!$B$29:$B$40,MONTH(A2388)))))</f>
        <v/>
      </c>
    </row>
    <row r="2389" customFormat="false" ht="15" hidden="false" customHeight="false" outlineLevel="0" collapsed="false">
      <c r="H2389" s="0" t="str">
        <f aca="false">IF(B2389="","",IF(COUNTIF(Campaigns!$A$7:$A$300,B2389)&gt;0,"✓","⚠ add to Campaigns tab"))</f>
        <v/>
      </c>
      <c r="I2389" s="84" t="str">
        <f aca="false">IF(C2389="","",C2389*IF(Settings!$B$22=Settings!$C$6,1,IF(Settings!$B$22="USD",1/INDEX(Settings!$B$29:$B$40,MONTH(A2389)),INDEX(Settings!$B$29:$B$40,MONTH(A2389)))))</f>
        <v/>
      </c>
    </row>
    <row r="2390" customFormat="false" ht="15" hidden="false" customHeight="false" outlineLevel="0" collapsed="false">
      <c r="H2390" s="0" t="str">
        <f aca="false">IF(B2390="","",IF(COUNTIF(Campaigns!$A$7:$A$300,B2390)&gt;0,"✓","⚠ add to Campaigns tab"))</f>
        <v/>
      </c>
      <c r="I2390" s="84" t="str">
        <f aca="false">IF(C2390="","",C2390*IF(Settings!$B$22=Settings!$C$6,1,IF(Settings!$B$22="USD",1/INDEX(Settings!$B$29:$B$40,MONTH(A2390)),INDEX(Settings!$B$29:$B$40,MONTH(A2390)))))</f>
        <v/>
      </c>
    </row>
    <row r="2391" customFormat="false" ht="15" hidden="false" customHeight="false" outlineLevel="0" collapsed="false">
      <c r="H2391" s="0" t="str">
        <f aca="false">IF(B2391="","",IF(COUNTIF(Campaigns!$A$7:$A$300,B2391)&gt;0,"✓","⚠ add to Campaigns tab"))</f>
        <v/>
      </c>
      <c r="I2391" s="84" t="str">
        <f aca="false">IF(C2391="","",C2391*IF(Settings!$B$22=Settings!$C$6,1,IF(Settings!$B$22="USD",1/INDEX(Settings!$B$29:$B$40,MONTH(A2391)),INDEX(Settings!$B$29:$B$40,MONTH(A2391)))))</f>
        <v/>
      </c>
    </row>
    <row r="2392" customFormat="false" ht="15" hidden="false" customHeight="false" outlineLevel="0" collapsed="false">
      <c r="H2392" s="0" t="str">
        <f aca="false">IF(B2392="","",IF(COUNTIF(Campaigns!$A$7:$A$300,B2392)&gt;0,"✓","⚠ add to Campaigns tab"))</f>
        <v/>
      </c>
      <c r="I2392" s="84" t="str">
        <f aca="false">IF(C2392="","",C2392*IF(Settings!$B$22=Settings!$C$6,1,IF(Settings!$B$22="USD",1/INDEX(Settings!$B$29:$B$40,MONTH(A2392)),INDEX(Settings!$B$29:$B$40,MONTH(A2392)))))</f>
        <v/>
      </c>
    </row>
    <row r="2393" customFormat="false" ht="15" hidden="false" customHeight="false" outlineLevel="0" collapsed="false">
      <c r="H2393" s="0" t="str">
        <f aca="false">IF(B2393="","",IF(COUNTIF(Campaigns!$A$7:$A$300,B2393)&gt;0,"✓","⚠ add to Campaigns tab"))</f>
        <v/>
      </c>
      <c r="I2393" s="84" t="str">
        <f aca="false">IF(C2393="","",C2393*IF(Settings!$B$22=Settings!$C$6,1,IF(Settings!$B$22="USD",1/INDEX(Settings!$B$29:$B$40,MONTH(A2393)),INDEX(Settings!$B$29:$B$40,MONTH(A2393)))))</f>
        <v/>
      </c>
    </row>
    <row r="2394" customFormat="false" ht="15" hidden="false" customHeight="false" outlineLevel="0" collapsed="false">
      <c r="H2394" s="0" t="str">
        <f aca="false">IF(B2394="","",IF(COUNTIF(Campaigns!$A$7:$A$300,B2394)&gt;0,"✓","⚠ add to Campaigns tab"))</f>
        <v/>
      </c>
      <c r="I2394" s="84" t="str">
        <f aca="false">IF(C2394="","",C2394*IF(Settings!$B$22=Settings!$C$6,1,IF(Settings!$B$22="USD",1/INDEX(Settings!$B$29:$B$40,MONTH(A2394)),INDEX(Settings!$B$29:$B$40,MONTH(A2394)))))</f>
        <v/>
      </c>
    </row>
    <row r="2395" customFormat="false" ht="15" hidden="false" customHeight="false" outlineLevel="0" collapsed="false">
      <c r="H2395" s="0" t="str">
        <f aca="false">IF(B2395="","",IF(COUNTIF(Campaigns!$A$7:$A$300,B2395)&gt;0,"✓","⚠ add to Campaigns tab"))</f>
        <v/>
      </c>
      <c r="I2395" s="84" t="str">
        <f aca="false">IF(C2395="","",C2395*IF(Settings!$B$22=Settings!$C$6,1,IF(Settings!$B$22="USD",1/INDEX(Settings!$B$29:$B$40,MONTH(A2395)),INDEX(Settings!$B$29:$B$40,MONTH(A2395)))))</f>
        <v/>
      </c>
    </row>
    <row r="2396" customFormat="false" ht="15" hidden="false" customHeight="false" outlineLevel="0" collapsed="false">
      <c r="H2396" s="0" t="str">
        <f aca="false">IF(B2396="","",IF(COUNTIF(Campaigns!$A$7:$A$300,B2396)&gt;0,"✓","⚠ add to Campaigns tab"))</f>
        <v/>
      </c>
      <c r="I2396" s="84" t="str">
        <f aca="false">IF(C2396="","",C2396*IF(Settings!$B$22=Settings!$C$6,1,IF(Settings!$B$22="USD",1/INDEX(Settings!$B$29:$B$40,MONTH(A2396)),INDEX(Settings!$B$29:$B$40,MONTH(A2396)))))</f>
        <v/>
      </c>
    </row>
    <row r="2397" customFormat="false" ht="15" hidden="false" customHeight="false" outlineLevel="0" collapsed="false">
      <c r="H2397" s="0" t="str">
        <f aca="false">IF(B2397="","",IF(COUNTIF(Campaigns!$A$7:$A$300,B2397)&gt;0,"✓","⚠ add to Campaigns tab"))</f>
        <v/>
      </c>
      <c r="I2397" s="84" t="str">
        <f aca="false">IF(C2397="","",C2397*IF(Settings!$B$22=Settings!$C$6,1,IF(Settings!$B$22="USD",1/INDEX(Settings!$B$29:$B$40,MONTH(A2397)),INDEX(Settings!$B$29:$B$40,MONTH(A2397)))))</f>
        <v/>
      </c>
    </row>
    <row r="2398" customFormat="false" ht="15" hidden="false" customHeight="false" outlineLevel="0" collapsed="false">
      <c r="H2398" s="0" t="str">
        <f aca="false">IF(B2398="","",IF(COUNTIF(Campaigns!$A$7:$A$300,B2398)&gt;0,"✓","⚠ add to Campaigns tab"))</f>
        <v/>
      </c>
      <c r="I2398" s="84" t="str">
        <f aca="false">IF(C2398="","",C2398*IF(Settings!$B$22=Settings!$C$6,1,IF(Settings!$B$22="USD",1/INDEX(Settings!$B$29:$B$40,MONTH(A2398)),INDEX(Settings!$B$29:$B$40,MONTH(A2398)))))</f>
        <v/>
      </c>
    </row>
    <row r="2399" customFormat="false" ht="15" hidden="false" customHeight="false" outlineLevel="0" collapsed="false">
      <c r="H2399" s="0" t="str">
        <f aca="false">IF(B2399="","",IF(COUNTIF(Campaigns!$A$7:$A$300,B2399)&gt;0,"✓","⚠ add to Campaigns tab"))</f>
        <v/>
      </c>
      <c r="I2399" s="84" t="str">
        <f aca="false">IF(C2399="","",C2399*IF(Settings!$B$22=Settings!$C$6,1,IF(Settings!$B$22="USD",1/INDEX(Settings!$B$29:$B$40,MONTH(A2399)),INDEX(Settings!$B$29:$B$40,MONTH(A2399)))))</f>
        <v/>
      </c>
    </row>
    <row r="2400" customFormat="false" ht="15" hidden="false" customHeight="false" outlineLevel="0" collapsed="false">
      <c r="H2400" s="0" t="str">
        <f aca="false">IF(B2400="","",IF(COUNTIF(Campaigns!$A$7:$A$300,B2400)&gt;0,"✓","⚠ add to Campaigns tab"))</f>
        <v/>
      </c>
      <c r="I2400" s="84" t="str">
        <f aca="false">IF(C2400="","",C2400*IF(Settings!$B$22=Settings!$C$6,1,IF(Settings!$B$22="USD",1/INDEX(Settings!$B$29:$B$40,MONTH(A2400)),INDEX(Settings!$B$29:$B$40,MONTH(A2400)))))</f>
        <v/>
      </c>
    </row>
    <row r="2401" customFormat="false" ht="15" hidden="false" customHeight="false" outlineLevel="0" collapsed="false">
      <c r="H2401" s="0" t="str">
        <f aca="false">IF(B2401="","",IF(COUNTIF(Campaigns!$A$7:$A$300,B2401)&gt;0,"✓","⚠ add to Campaigns tab"))</f>
        <v/>
      </c>
      <c r="I2401" s="84" t="str">
        <f aca="false">IF(C2401="","",C2401*IF(Settings!$B$22=Settings!$C$6,1,IF(Settings!$B$22="USD",1/INDEX(Settings!$B$29:$B$40,MONTH(A2401)),INDEX(Settings!$B$29:$B$40,MONTH(A2401)))))</f>
        <v/>
      </c>
    </row>
    <row r="2402" customFormat="false" ht="15" hidden="false" customHeight="false" outlineLevel="0" collapsed="false">
      <c r="H2402" s="0" t="str">
        <f aca="false">IF(B2402="","",IF(COUNTIF(Campaigns!$A$7:$A$300,B2402)&gt;0,"✓","⚠ add to Campaigns tab"))</f>
        <v/>
      </c>
      <c r="I2402" s="84" t="str">
        <f aca="false">IF(C2402="","",C2402*IF(Settings!$B$22=Settings!$C$6,1,IF(Settings!$B$22="USD",1/INDEX(Settings!$B$29:$B$40,MONTH(A2402)),INDEX(Settings!$B$29:$B$40,MONTH(A2402)))))</f>
        <v/>
      </c>
    </row>
    <row r="2403" customFormat="false" ht="15" hidden="false" customHeight="false" outlineLevel="0" collapsed="false">
      <c r="H2403" s="0" t="str">
        <f aca="false">IF(B2403="","",IF(COUNTIF(Campaigns!$A$7:$A$300,B2403)&gt;0,"✓","⚠ add to Campaigns tab"))</f>
        <v/>
      </c>
      <c r="I2403" s="84" t="str">
        <f aca="false">IF(C2403="","",C2403*IF(Settings!$B$22=Settings!$C$6,1,IF(Settings!$B$22="USD",1/INDEX(Settings!$B$29:$B$40,MONTH(A2403)),INDEX(Settings!$B$29:$B$40,MONTH(A2403)))))</f>
        <v/>
      </c>
    </row>
    <row r="2404" customFormat="false" ht="15" hidden="false" customHeight="false" outlineLevel="0" collapsed="false">
      <c r="H2404" s="0" t="str">
        <f aca="false">IF(B2404="","",IF(COUNTIF(Campaigns!$A$7:$A$300,B2404)&gt;0,"✓","⚠ add to Campaigns tab"))</f>
        <v/>
      </c>
      <c r="I2404" s="84" t="str">
        <f aca="false">IF(C2404="","",C2404*IF(Settings!$B$22=Settings!$C$6,1,IF(Settings!$B$22="USD",1/INDEX(Settings!$B$29:$B$40,MONTH(A2404)),INDEX(Settings!$B$29:$B$40,MONTH(A2404)))))</f>
        <v/>
      </c>
    </row>
    <row r="2405" customFormat="false" ht="15" hidden="false" customHeight="false" outlineLevel="0" collapsed="false">
      <c r="H2405" s="0" t="str">
        <f aca="false">IF(B2405="","",IF(COUNTIF(Campaigns!$A$7:$A$300,B2405)&gt;0,"✓","⚠ add to Campaigns tab"))</f>
        <v/>
      </c>
      <c r="I2405" s="84" t="str">
        <f aca="false">IF(C2405="","",C2405*IF(Settings!$B$22=Settings!$C$6,1,IF(Settings!$B$22="USD",1/INDEX(Settings!$B$29:$B$40,MONTH(A2405)),INDEX(Settings!$B$29:$B$40,MONTH(A2405)))))</f>
        <v/>
      </c>
    </row>
    <row r="2406" customFormat="false" ht="15" hidden="false" customHeight="false" outlineLevel="0" collapsed="false">
      <c r="H2406" s="0" t="str">
        <f aca="false">IF(B2406="","",IF(COUNTIF(Campaigns!$A$7:$A$300,B2406)&gt;0,"✓","⚠ add to Campaigns tab"))</f>
        <v/>
      </c>
      <c r="I2406" s="84" t="str">
        <f aca="false">IF(C2406="","",C2406*IF(Settings!$B$22=Settings!$C$6,1,IF(Settings!$B$22="USD",1/INDEX(Settings!$B$29:$B$40,MONTH(A2406)),INDEX(Settings!$B$29:$B$40,MONTH(A2406)))))</f>
        <v/>
      </c>
    </row>
    <row r="2407" customFormat="false" ht="15" hidden="false" customHeight="false" outlineLevel="0" collapsed="false">
      <c r="H2407" s="0" t="str">
        <f aca="false">IF(B2407="","",IF(COUNTIF(Campaigns!$A$7:$A$300,B2407)&gt;0,"✓","⚠ add to Campaigns tab"))</f>
        <v/>
      </c>
      <c r="I2407" s="84" t="str">
        <f aca="false">IF(C2407="","",C2407*IF(Settings!$B$22=Settings!$C$6,1,IF(Settings!$B$22="USD",1/INDEX(Settings!$B$29:$B$40,MONTH(A2407)),INDEX(Settings!$B$29:$B$40,MONTH(A2407)))))</f>
        <v/>
      </c>
    </row>
    <row r="2408" customFormat="false" ht="15" hidden="false" customHeight="false" outlineLevel="0" collapsed="false">
      <c r="H2408" s="0" t="str">
        <f aca="false">IF(B2408="","",IF(COUNTIF(Campaigns!$A$7:$A$300,B2408)&gt;0,"✓","⚠ add to Campaigns tab"))</f>
        <v/>
      </c>
      <c r="I2408" s="84" t="str">
        <f aca="false">IF(C2408="","",C2408*IF(Settings!$B$22=Settings!$C$6,1,IF(Settings!$B$22="USD",1/INDEX(Settings!$B$29:$B$40,MONTH(A2408)),INDEX(Settings!$B$29:$B$40,MONTH(A2408)))))</f>
        <v/>
      </c>
    </row>
    <row r="2409" customFormat="false" ht="15" hidden="false" customHeight="false" outlineLevel="0" collapsed="false">
      <c r="H2409" s="0" t="str">
        <f aca="false">IF(B2409="","",IF(COUNTIF(Campaigns!$A$7:$A$300,B2409)&gt;0,"✓","⚠ add to Campaigns tab"))</f>
        <v/>
      </c>
      <c r="I2409" s="84" t="str">
        <f aca="false">IF(C2409="","",C2409*IF(Settings!$B$22=Settings!$C$6,1,IF(Settings!$B$22="USD",1/INDEX(Settings!$B$29:$B$40,MONTH(A2409)),INDEX(Settings!$B$29:$B$40,MONTH(A2409)))))</f>
        <v/>
      </c>
    </row>
    <row r="2410" customFormat="false" ht="15" hidden="false" customHeight="false" outlineLevel="0" collapsed="false">
      <c r="H2410" s="0" t="str">
        <f aca="false">IF(B2410="","",IF(COUNTIF(Campaigns!$A$7:$A$300,B2410)&gt;0,"✓","⚠ add to Campaigns tab"))</f>
        <v/>
      </c>
      <c r="I2410" s="84" t="str">
        <f aca="false">IF(C2410="","",C2410*IF(Settings!$B$22=Settings!$C$6,1,IF(Settings!$B$22="USD",1/INDEX(Settings!$B$29:$B$40,MONTH(A2410)),INDEX(Settings!$B$29:$B$40,MONTH(A2410)))))</f>
        <v/>
      </c>
    </row>
    <row r="2411" customFormat="false" ht="15" hidden="false" customHeight="false" outlineLevel="0" collapsed="false">
      <c r="H2411" s="0" t="str">
        <f aca="false">IF(B2411="","",IF(COUNTIF(Campaigns!$A$7:$A$300,B2411)&gt;0,"✓","⚠ add to Campaigns tab"))</f>
        <v/>
      </c>
      <c r="I2411" s="84" t="str">
        <f aca="false">IF(C2411="","",C2411*IF(Settings!$B$22=Settings!$C$6,1,IF(Settings!$B$22="USD",1/INDEX(Settings!$B$29:$B$40,MONTH(A2411)),INDEX(Settings!$B$29:$B$40,MONTH(A2411)))))</f>
        <v/>
      </c>
    </row>
    <row r="2412" customFormat="false" ht="15" hidden="false" customHeight="false" outlineLevel="0" collapsed="false">
      <c r="H2412" s="0" t="str">
        <f aca="false">IF(B2412="","",IF(COUNTIF(Campaigns!$A$7:$A$300,B2412)&gt;0,"✓","⚠ add to Campaigns tab"))</f>
        <v/>
      </c>
      <c r="I2412" s="84" t="str">
        <f aca="false">IF(C2412="","",C2412*IF(Settings!$B$22=Settings!$C$6,1,IF(Settings!$B$22="USD",1/INDEX(Settings!$B$29:$B$40,MONTH(A2412)),INDEX(Settings!$B$29:$B$40,MONTH(A2412)))))</f>
        <v/>
      </c>
    </row>
    <row r="2413" customFormat="false" ht="15" hidden="false" customHeight="false" outlineLevel="0" collapsed="false">
      <c r="H2413" s="0" t="str">
        <f aca="false">IF(B2413="","",IF(COUNTIF(Campaigns!$A$7:$A$300,B2413)&gt;0,"✓","⚠ add to Campaigns tab"))</f>
        <v/>
      </c>
      <c r="I2413" s="84" t="str">
        <f aca="false">IF(C2413="","",C2413*IF(Settings!$B$22=Settings!$C$6,1,IF(Settings!$B$22="USD",1/INDEX(Settings!$B$29:$B$40,MONTH(A2413)),INDEX(Settings!$B$29:$B$40,MONTH(A2413)))))</f>
        <v/>
      </c>
    </row>
    <row r="2414" customFormat="false" ht="15" hidden="false" customHeight="false" outlineLevel="0" collapsed="false">
      <c r="H2414" s="0" t="str">
        <f aca="false">IF(B2414="","",IF(COUNTIF(Campaigns!$A$7:$A$300,B2414)&gt;0,"✓","⚠ add to Campaigns tab"))</f>
        <v/>
      </c>
      <c r="I2414" s="84" t="str">
        <f aca="false">IF(C2414="","",C2414*IF(Settings!$B$22=Settings!$C$6,1,IF(Settings!$B$22="USD",1/INDEX(Settings!$B$29:$B$40,MONTH(A2414)),INDEX(Settings!$B$29:$B$40,MONTH(A2414)))))</f>
        <v/>
      </c>
    </row>
    <row r="2415" customFormat="false" ht="15" hidden="false" customHeight="false" outlineLevel="0" collapsed="false">
      <c r="H2415" s="0" t="str">
        <f aca="false">IF(B2415="","",IF(COUNTIF(Campaigns!$A$7:$A$300,B2415)&gt;0,"✓","⚠ add to Campaigns tab"))</f>
        <v/>
      </c>
      <c r="I2415" s="84" t="str">
        <f aca="false">IF(C2415="","",C2415*IF(Settings!$B$22=Settings!$C$6,1,IF(Settings!$B$22="USD",1/INDEX(Settings!$B$29:$B$40,MONTH(A2415)),INDEX(Settings!$B$29:$B$40,MONTH(A2415)))))</f>
        <v/>
      </c>
    </row>
    <row r="2416" customFormat="false" ht="15" hidden="false" customHeight="false" outlineLevel="0" collapsed="false">
      <c r="H2416" s="0" t="str">
        <f aca="false">IF(B2416="","",IF(COUNTIF(Campaigns!$A$7:$A$300,B2416)&gt;0,"✓","⚠ add to Campaigns tab"))</f>
        <v/>
      </c>
      <c r="I2416" s="84" t="str">
        <f aca="false">IF(C2416="","",C2416*IF(Settings!$B$22=Settings!$C$6,1,IF(Settings!$B$22="USD",1/INDEX(Settings!$B$29:$B$40,MONTH(A2416)),INDEX(Settings!$B$29:$B$40,MONTH(A2416)))))</f>
        <v/>
      </c>
    </row>
    <row r="2417" customFormat="false" ht="15" hidden="false" customHeight="false" outlineLevel="0" collapsed="false">
      <c r="H2417" s="0" t="str">
        <f aca="false">IF(B2417="","",IF(COUNTIF(Campaigns!$A$7:$A$300,B2417)&gt;0,"✓","⚠ add to Campaigns tab"))</f>
        <v/>
      </c>
      <c r="I2417" s="84" t="str">
        <f aca="false">IF(C2417="","",C2417*IF(Settings!$B$22=Settings!$C$6,1,IF(Settings!$B$22="USD",1/INDEX(Settings!$B$29:$B$40,MONTH(A2417)),INDEX(Settings!$B$29:$B$40,MONTH(A2417)))))</f>
        <v/>
      </c>
    </row>
    <row r="2418" customFormat="false" ht="15" hidden="false" customHeight="false" outlineLevel="0" collapsed="false">
      <c r="H2418" s="0" t="str">
        <f aca="false">IF(B2418="","",IF(COUNTIF(Campaigns!$A$7:$A$300,B2418)&gt;0,"✓","⚠ add to Campaigns tab"))</f>
        <v/>
      </c>
      <c r="I2418" s="84" t="str">
        <f aca="false">IF(C2418="","",C2418*IF(Settings!$B$22=Settings!$C$6,1,IF(Settings!$B$22="USD",1/INDEX(Settings!$B$29:$B$40,MONTH(A2418)),INDEX(Settings!$B$29:$B$40,MONTH(A2418)))))</f>
        <v/>
      </c>
    </row>
    <row r="2419" customFormat="false" ht="15" hidden="false" customHeight="false" outlineLevel="0" collapsed="false">
      <c r="H2419" s="0" t="str">
        <f aca="false">IF(B2419="","",IF(COUNTIF(Campaigns!$A$7:$A$300,B2419)&gt;0,"✓","⚠ add to Campaigns tab"))</f>
        <v/>
      </c>
      <c r="I2419" s="84" t="str">
        <f aca="false">IF(C2419="","",C2419*IF(Settings!$B$22=Settings!$C$6,1,IF(Settings!$B$22="USD",1/INDEX(Settings!$B$29:$B$40,MONTH(A2419)),INDEX(Settings!$B$29:$B$40,MONTH(A2419)))))</f>
        <v/>
      </c>
    </row>
    <row r="2420" customFormat="false" ht="15" hidden="false" customHeight="false" outlineLevel="0" collapsed="false">
      <c r="H2420" s="0" t="str">
        <f aca="false">IF(B2420="","",IF(COUNTIF(Campaigns!$A$7:$A$300,B2420)&gt;0,"✓","⚠ add to Campaigns tab"))</f>
        <v/>
      </c>
      <c r="I2420" s="84" t="str">
        <f aca="false">IF(C2420="","",C2420*IF(Settings!$B$22=Settings!$C$6,1,IF(Settings!$B$22="USD",1/INDEX(Settings!$B$29:$B$40,MONTH(A2420)),INDEX(Settings!$B$29:$B$40,MONTH(A2420)))))</f>
        <v/>
      </c>
    </row>
    <row r="2421" customFormat="false" ht="15" hidden="false" customHeight="false" outlineLevel="0" collapsed="false">
      <c r="H2421" s="0" t="str">
        <f aca="false">IF(B2421="","",IF(COUNTIF(Campaigns!$A$7:$A$300,B2421)&gt;0,"✓","⚠ add to Campaigns tab"))</f>
        <v/>
      </c>
      <c r="I2421" s="84" t="str">
        <f aca="false">IF(C2421="","",C2421*IF(Settings!$B$22=Settings!$C$6,1,IF(Settings!$B$22="USD",1/INDEX(Settings!$B$29:$B$40,MONTH(A2421)),INDEX(Settings!$B$29:$B$40,MONTH(A2421)))))</f>
        <v/>
      </c>
    </row>
    <row r="2422" customFormat="false" ht="15" hidden="false" customHeight="false" outlineLevel="0" collapsed="false">
      <c r="H2422" s="0" t="str">
        <f aca="false">IF(B2422="","",IF(COUNTIF(Campaigns!$A$7:$A$300,B2422)&gt;0,"✓","⚠ add to Campaigns tab"))</f>
        <v/>
      </c>
      <c r="I2422" s="84" t="str">
        <f aca="false">IF(C2422="","",C2422*IF(Settings!$B$22=Settings!$C$6,1,IF(Settings!$B$22="USD",1/INDEX(Settings!$B$29:$B$40,MONTH(A2422)),INDEX(Settings!$B$29:$B$40,MONTH(A2422)))))</f>
        <v/>
      </c>
    </row>
    <row r="2423" customFormat="false" ht="15" hidden="false" customHeight="false" outlineLevel="0" collapsed="false">
      <c r="H2423" s="0" t="str">
        <f aca="false">IF(B2423="","",IF(COUNTIF(Campaigns!$A$7:$A$300,B2423)&gt;0,"✓","⚠ add to Campaigns tab"))</f>
        <v/>
      </c>
      <c r="I2423" s="84" t="str">
        <f aca="false">IF(C2423="","",C2423*IF(Settings!$B$22=Settings!$C$6,1,IF(Settings!$B$22="USD",1/INDEX(Settings!$B$29:$B$40,MONTH(A2423)),INDEX(Settings!$B$29:$B$40,MONTH(A2423)))))</f>
        <v/>
      </c>
    </row>
    <row r="2424" customFormat="false" ht="15" hidden="false" customHeight="false" outlineLevel="0" collapsed="false">
      <c r="H2424" s="0" t="str">
        <f aca="false">IF(B2424="","",IF(COUNTIF(Campaigns!$A$7:$A$300,B2424)&gt;0,"✓","⚠ add to Campaigns tab"))</f>
        <v/>
      </c>
      <c r="I2424" s="84" t="str">
        <f aca="false">IF(C2424="","",C2424*IF(Settings!$B$22=Settings!$C$6,1,IF(Settings!$B$22="USD",1/INDEX(Settings!$B$29:$B$40,MONTH(A2424)),INDEX(Settings!$B$29:$B$40,MONTH(A2424)))))</f>
        <v/>
      </c>
    </row>
    <row r="2425" customFormat="false" ht="15" hidden="false" customHeight="false" outlineLevel="0" collapsed="false">
      <c r="H2425" s="0" t="str">
        <f aca="false">IF(B2425="","",IF(COUNTIF(Campaigns!$A$7:$A$300,B2425)&gt;0,"✓","⚠ add to Campaigns tab"))</f>
        <v/>
      </c>
      <c r="I2425" s="84" t="str">
        <f aca="false">IF(C2425="","",C2425*IF(Settings!$B$22=Settings!$C$6,1,IF(Settings!$B$22="USD",1/INDEX(Settings!$B$29:$B$40,MONTH(A2425)),INDEX(Settings!$B$29:$B$40,MONTH(A2425)))))</f>
        <v/>
      </c>
    </row>
    <row r="2426" customFormat="false" ht="15" hidden="false" customHeight="false" outlineLevel="0" collapsed="false">
      <c r="H2426" s="0" t="str">
        <f aca="false">IF(B2426="","",IF(COUNTIF(Campaigns!$A$7:$A$300,B2426)&gt;0,"✓","⚠ add to Campaigns tab"))</f>
        <v/>
      </c>
      <c r="I2426" s="84" t="str">
        <f aca="false">IF(C2426="","",C2426*IF(Settings!$B$22=Settings!$C$6,1,IF(Settings!$B$22="USD",1/INDEX(Settings!$B$29:$B$40,MONTH(A2426)),INDEX(Settings!$B$29:$B$40,MONTH(A2426)))))</f>
        <v/>
      </c>
    </row>
    <row r="2427" customFormat="false" ht="15" hidden="false" customHeight="false" outlineLevel="0" collapsed="false">
      <c r="H2427" s="0" t="str">
        <f aca="false">IF(B2427="","",IF(COUNTIF(Campaigns!$A$7:$A$300,B2427)&gt;0,"✓","⚠ add to Campaigns tab"))</f>
        <v/>
      </c>
      <c r="I2427" s="84" t="str">
        <f aca="false">IF(C2427="","",C2427*IF(Settings!$B$22=Settings!$C$6,1,IF(Settings!$B$22="USD",1/INDEX(Settings!$B$29:$B$40,MONTH(A2427)),INDEX(Settings!$B$29:$B$40,MONTH(A2427)))))</f>
        <v/>
      </c>
    </row>
    <row r="2428" customFormat="false" ht="15" hidden="false" customHeight="false" outlineLevel="0" collapsed="false">
      <c r="H2428" s="0" t="str">
        <f aca="false">IF(B2428="","",IF(COUNTIF(Campaigns!$A$7:$A$300,B2428)&gt;0,"✓","⚠ add to Campaigns tab"))</f>
        <v/>
      </c>
      <c r="I2428" s="84" t="str">
        <f aca="false">IF(C2428="","",C2428*IF(Settings!$B$22=Settings!$C$6,1,IF(Settings!$B$22="USD",1/INDEX(Settings!$B$29:$B$40,MONTH(A2428)),INDEX(Settings!$B$29:$B$40,MONTH(A2428)))))</f>
        <v/>
      </c>
    </row>
    <row r="2429" customFormat="false" ht="15" hidden="false" customHeight="false" outlineLevel="0" collapsed="false">
      <c r="H2429" s="0" t="str">
        <f aca="false">IF(B2429="","",IF(COUNTIF(Campaigns!$A$7:$A$300,B2429)&gt;0,"✓","⚠ add to Campaigns tab"))</f>
        <v/>
      </c>
      <c r="I2429" s="84" t="str">
        <f aca="false">IF(C2429="","",C2429*IF(Settings!$B$22=Settings!$C$6,1,IF(Settings!$B$22="USD",1/INDEX(Settings!$B$29:$B$40,MONTH(A2429)),INDEX(Settings!$B$29:$B$40,MONTH(A2429)))))</f>
        <v/>
      </c>
    </row>
    <row r="2430" customFormat="false" ht="15" hidden="false" customHeight="false" outlineLevel="0" collapsed="false">
      <c r="H2430" s="0" t="str">
        <f aca="false">IF(B2430="","",IF(COUNTIF(Campaigns!$A$7:$A$300,B2430)&gt;0,"✓","⚠ add to Campaigns tab"))</f>
        <v/>
      </c>
      <c r="I2430" s="84" t="str">
        <f aca="false">IF(C2430="","",C2430*IF(Settings!$B$22=Settings!$C$6,1,IF(Settings!$B$22="USD",1/INDEX(Settings!$B$29:$B$40,MONTH(A2430)),INDEX(Settings!$B$29:$B$40,MONTH(A2430)))))</f>
        <v/>
      </c>
    </row>
    <row r="2431" customFormat="false" ht="15" hidden="false" customHeight="false" outlineLevel="0" collapsed="false">
      <c r="H2431" s="0" t="str">
        <f aca="false">IF(B2431="","",IF(COUNTIF(Campaigns!$A$7:$A$300,B2431)&gt;0,"✓","⚠ add to Campaigns tab"))</f>
        <v/>
      </c>
      <c r="I2431" s="84" t="str">
        <f aca="false">IF(C2431="","",C2431*IF(Settings!$B$22=Settings!$C$6,1,IF(Settings!$B$22="USD",1/INDEX(Settings!$B$29:$B$40,MONTH(A2431)),INDEX(Settings!$B$29:$B$40,MONTH(A2431)))))</f>
        <v/>
      </c>
    </row>
    <row r="2432" customFormat="false" ht="15" hidden="false" customHeight="false" outlineLevel="0" collapsed="false">
      <c r="H2432" s="0" t="str">
        <f aca="false">IF(B2432="","",IF(COUNTIF(Campaigns!$A$7:$A$300,B2432)&gt;0,"✓","⚠ add to Campaigns tab"))</f>
        <v/>
      </c>
      <c r="I2432" s="84" t="str">
        <f aca="false">IF(C2432="","",C2432*IF(Settings!$B$22=Settings!$C$6,1,IF(Settings!$B$22="USD",1/INDEX(Settings!$B$29:$B$40,MONTH(A2432)),INDEX(Settings!$B$29:$B$40,MONTH(A2432)))))</f>
        <v/>
      </c>
    </row>
    <row r="2433" customFormat="false" ht="15" hidden="false" customHeight="false" outlineLevel="0" collapsed="false">
      <c r="H2433" s="0" t="str">
        <f aca="false">IF(B2433="","",IF(COUNTIF(Campaigns!$A$7:$A$300,B2433)&gt;0,"✓","⚠ add to Campaigns tab"))</f>
        <v/>
      </c>
      <c r="I2433" s="84" t="str">
        <f aca="false">IF(C2433="","",C2433*IF(Settings!$B$22=Settings!$C$6,1,IF(Settings!$B$22="USD",1/INDEX(Settings!$B$29:$B$40,MONTH(A2433)),INDEX(Settings!$B$29:$B$40,MONTH(A2433)))))</f>
        <v/>
      </c>
    </row>
    <row r="2434" customFormat="false" ht="15" hidden="false" customHeight="false" outlineLevel="0" collapsed="false">
      <c r="H2434" s="0" t="str">
        <f aca="false">IF(B2434="","",IF(COUNTIF(Campaigns!$A$7:$A$300,B2434)&gt;0,"✓","⚠ add to Campaigns tab"))</f>
        <v/>
      </c>
      <c r="I2434" s="84" t="str">
        <f aca="false">IF(C2434="","",C2434*IF(Settings!$B$22=Settings!$C$6,1,IF(Settings!$B$22="USD",1/INDEX(Settings!$B$29:$B$40,MONTH(A2434)),INDEX(Settings!$B$29:$B$40,MONTH(A2434)))))</f>
        <v/>
      </c>
    </row>
    <row r="2435" customFormat="false" ht="15" hidden="false" customHeight="false" outlineLevel="0" collapsed="false">
      <c r="H2435" s="0" t="str">
        <f aca="false">IF(B2435="","",IF(COUNTIF(Campaigns!$A$7:$A$300,B2435)&gt;0,"✓","⚠ add to Campaigns tab"))</f>
        <v/>
      </c>
      <c r="I2435" s="84" t="str">
        <f aca="false">IF(C2435="","",C2435*IF(Settings!$B$22=Settings!$C$6,1,IF(Settings!$B$22="USD",1/INDEX(Settings!$B$29:$B$40,MONTH(A2435)),INDEX(Settings!$B$29:$B$40,MONTH(A2435)))))</f>
        <v/>
      </c>
    </row>
    <row r="2436" customFormat="false" ht="15" hidden="false" customHeight="false" outlineLevel="0" collapsed="false">
      <c r="H2436" s="0" t="str">
        <f aca="false">IF(B2436="","",IF(COUNTIF(Campaigns!$A$7:$A$300,B2436)&gt;0,"✓","⚠ add to Campaigns tab"))</f>
        <v/>
      </c>
      <c r="I2436" s="84" t="str">
        <f aca="false">IF(C2436="","",C2436*IF(Settings!$B$22=Settings!$C$6,1,IF(Settings!$B$22="USD",1/INDEX(Settings!$B$29:$B$40,MONTH(A2436)),INDEX(Settings!$B$29:$B$40,MONTH(A2436)))))</f>
        <v/>
      </c>
    </row>
    <row r="2437" customFormat="false" ht="15" hidden="false" customHeight="false" outlineLevel="0" collapsed="false">
      <c r="H2437" s="0" t="str">
        <f aca="false">IF(B2437="","",IF(COUNTIF(Campaigns!$A$7:$A$300,B2437)&gt;0,"✓","⚠ add to Campaigns tab"))</f>
        <v/>
      </c>
      <c r="I2437" s="84" t="str">
        <f aca="false">IF(C2437="","",C2437*IF(Settings!$B$22=Settings!$C$6,1,IF(Settings!$B$22="USD",1/INDEX(Settings!$B$29:$B$40,MONTH(A2437)),INDEX(Settings!$B$29:$B$40,MONTH(A2437)))))</f>
        <v/>
      </c>
    </row>
    <row r="2438" customFormat="false" ht="15" hidden="false" customHeight="false" outlineLevel="0" collapsed="false">
      <c r="H2438" s="0" t="str">
        <f aca="false">IF(B2438="","",IF(COUNTIF(Campaigns!$A$7:$A$300,B2438)&gt;0,"✓","⚠ add to Campaigns tab"))</f>
        <v/>
      </c>
      <c r="I2438" s="84" t="str">
        <f aca="false">IF(C2438="","",C2438*IF(Settings!$B$22=Settings!$C$6,1,IF(Settings!$B$22="USD",1/INDEX(Settings!$B$29:$B$40,MONTH(A2438)),INDEX(Settings!$B$29:$B$40,MONTH(A2438)))))</f>
        <v/>
      </c>
    </row>
    <row r="2439" customFormat="false" ht="15" hidden="false" customHeight="false" outlineLevel="0" collapsed="false">
      <c r="H2439" s="0" t="str">
        <f aca="false">IF(B2439="","",IF(COUNTIF(Campaigns!$A$7:$A$300,B2439)&gt;0,"✓","⚠ add to Campaigns tab"))</f>
        <v/>
      </c>
      <c r="I2439" s="84" t="str">
        <f aca="false">IF(C2439="","",C2439*IF(Settings!$B$22=Settings!$C$6,1,IF(Settings!$B$22="USD",1/INDEX(Settings!$B$29:$B$40,MONTH(A2439)),INDEX(Settings!$B$29:$B$40,MONTH(A2439)))))</f>
        <v/>
      </c>
    </row>
    <row r="2440" customFormat="false" ht="15" hidden="false" customHeight="false" outlineLevel="0" collapsed="false">
      <c r="H2440" s="0" t="str">
        <f aca="false">IF(B2440="","",IF(COUNTIF(Campaigns!$A$7:$A$300,B2440)&gt;0,"✓","⚠ add to Campaigns tab"))</f>
        <v/>
      </c>
      <c r="I2440" s="84" t="str">
        <f aca="false">IF(C2440="","",C2440*IF(Settings!$B$22=Settings!$C$6,1,IF(Settings!$B$22="USD",1/INDEX(Settings!$B$29:$B$40,MONTH(A2440)),INDEX(Settings!$B$29:$B$40,MONTH(A2440)))))</f>
        <v/>
      </c>
    </row>
    <row r="2441" customFormat="false" ht="15" hidden="false" customHeight="false" outlineLevel="0" collapsed="false">
      <c r="H2441" s="0" t="str">
        <f aca="false">IF(B2441="","",IF(COUNTIF(Campaigns!$A$7:$A$300,B2441)&gt;0,"✓","⚠ add to Campaigns tab"))</f>
        <v/>
      </c>
      <c r="I2441" s="84" t="str">
        <f aca="false">IF(C2441="","",C2441*IF(Settings!$B$22=Settings!$C$6,1,IF(Settings!$B$22="USD",1/INDEX(Settings!$B$29:$B$40,MONTH(A2441)),INDEX(Settings!$B$29:$B$40,MONTH(A2441)))))</f>
        <v/>
      </c>
    </row>
    <row r="2442" customFormat="false" ht="15" hidden="false" customHeight="false" outlineLevel="0" collapsed="false">
      <c r="H2442" s="0" t="str">
        <f aca="false">IF(B2442="","",IF(COUNTIF(Campaigns!$A$7:$A$300,B2442)&gt;0,"✓","⚠ add to Campaigns tab"))</f>
        <v/>
      </c>
      <c r="I2442" s="84" t="str">
        <f aca="false">IF(C2442="","",C2442*IF(Settings!$B$22=Settings!$C$6,1,IF(Settings!$B$22="USD",1/INDEX(Settings!$B$29:$B$40,MONTH(A2442)),INDEX(Settings!$B$29:$B$40,MONTH(A2442)))))</f>
        <v/>
      </c>
    </row>
    <row r="2443" customFormat="false" ht="15" hidden="false" customHeight="false" outlineLevel="0" collapsed="false">
      <c r="H2443" s="0" t="str">
        <f aca="false">IF(B2443="","",IF(COUNTIF(Campaigns!$A$7:$A$300,B2443)&gt;0,"✓","⚠ add to Campaigns tab"))</f>
        <v/>
      </c>
      <c r="I2443" s="84" t="str">
        <f aca="false">IF(C2443="","",C2443*IF(Settings!$B$22=Settings!$C$6,1,IF(Settings!$B$22="USD",1/INDEX(Settings!$B$29:$B$40,MONTH(A2443)),INDEX(Settings!$B$29:$B$40,MONTH(A2443)))))</f>
        <v/>
      </c>
    </row>
    <row r="2444" customFormat="false" ht="15" hidden="false" customHeight="false" outlineLevel="0" collapsed="false">
      <c r="H2444" s="0" t="str">
        <f aca="false">IF(B2444="","",IF(COUNTIF(Campaigns!$A$7:$A$300,B2444)&gt;0,"✓","⚠ add to Campaigns tab"))</f>
        <v/>
      </c>
      <c r="I2444" s="84" t="str">
        <f aca="false">IF(C2444="","",C2444*IF(Settings!$B$22=Settings!$C$6,1,IF(Settings!$B$22="USD",1/INDEX(Settings!$B$29:$B$40,MONTH(A2444)),INDEX(Settings!$B$29:$B$40,MONTH(A2444)))))</f>
        <v/>
      </c>
    </row>
    <row r="2445" customFormat="false" ht="15" hidden="false" customHeight="false" outlineLevel="0" collapsed="false">
      <c r="H2445" s="0" t="str">
        <f aca="false">IF(B2445="","",IF(COUNTIF(Campaigns!$A$7:$A$300,B2445)&gt;0,"✓","⚠ add to Campaigns tab"))</f>
        <v/>
      </c>
      <c r="I2445" s="84" t="str">
        <f aca="false">IF(C2445="","",C2445*IF(Settings!$B$22=Settings!$C$6,1,IF(Settings!$B$22="USD",1/INDEX(Settings!$B$29:$B$40,MONTH(A2445)),INDEX(Settings!$B$29:$B$40,MONTH(A2445)))))</f>
        <v/>
      </c>
    </row>
    <row r="2446" customFormat="false" ht="15" hidden="false" customHeight="false" outlineLevel="0" collapsed="false">
      <c r="H2446" s="0" t="str">
        <f aca="false">IF(B2446="","",IF(COUNTIF(Campaigns!$A$7:$A$300,B2446)&gt;0,"✓","⚠ add to Campaigns tab"))</f>
        <v/>
      </c>
      <c r="I2446" s="84" t="str">
        <f aca="false">IF(C2446="","",C2446*IF(Settings!$B$22=Settings!$C$6,1,IF(Settings!$B$22="USD",1/INDEX(Settings!$B$29:$B$40,MONTH(A2446)),INDEX(Settings!$B$29:$B$40,MONTH(A2446)))))</f>
        <v/>
      </c>
    </row>
    <row r="2447" customFormat="false" ht="15" hidden="false" customHeight="false" outlineLevel="0" collapsed="false">
      <c r="H2447" s="0" t="str">
        <f aca="false">IF(B2447="","",IF(COUNTIF(Campaigns!$A$7:$A$300,B2447)&gt;0,"✓","⚠ add to Campaigns tab"))</f>
        <v/>
      </c>
      <c r="I2447" s="84" t="str">
        <f aca="false">IF(C2447="","",C2447*IF(Settings!$B$22=Settings!$C$6,1,IF(Settings!$B$22="USD",1/INDEX(Settings!$B$29:$B$40,MONTH(A2447)),INDEX(Settings!$B$29:$B$40,MONTH(A2447)))))</f>
        <v/>
      </c>
    </row>
    <row r="2448" customFormat="false" ht="15" hidden="false" customHeight="false" outlineLevel="0" collapsed="false">
      <c r="H2448" s="0" t="str">
        <f aca="false">IF(B2448="","",IF(COUNTIF(Campaigns!$A$7:$A$300,B2448)&gt;0,"✓","⚠ add to Campaigns tab"))</f>
        <v/>
      </c>
      <c r="I2448" s="84" t="str">
        <f aca="false">IF(C2448="","",C2448*IF(Settings!$B$22=Settings!$C$6,1,IF(Settings!$B$22="USD",1/INDEX(Settings!$B$29:$B$40,MONTH(A2448)),INDEX(Settings!$B$29:$B$40,MONTH(A2448)))))</f>
        <v/>
      </c>
    </row>
    <row r="2449" customFormat="false" ht="15" hidden="false" customHeight="false" outlineLevel="0" collapsed="false">
      <c r="H2449" s="0" t="str">
        <f aca="false">IF(B2449="","",IF(COUNTIF(Campaigns!$A$7:$A$300,B2449)&gt;0,"✓","⚠ add to Campaigns tab"))</f>
        <v/>
      </c>
      <c r="I2449" s="84" t="str">
        <f aca="false">IF(C2449="","",C2449*IF(Settings!$B$22=Settings!$C$6,1,IF(Settings!$B$22="USD",1/INDEX(Settings!$B$29:$B$40,MONTH(A2449)),INDEX(Settings!$B$29:$B$40,MONTH(A2449)))))</f>
        <v/>
      </c>
    </row>
    <row r="2450" customFormat="false" ht="15" hidden="false" customHeight="false" outlineLevel="0" collapsed="false">
      <c r="H2450" s="0" t="str">
        <f aca="false">IF(B2450="","",IF(COUNTIF(Campaigns!$A$7:$A$300,B2450)&gt;0,"✓","⚠ add to Campaigns tab"))</f>
        <v/>
      </c>
      <c r="I2450" s="84" t="str">
        <f aca="false">IF(C2450="","",C2450*IF(Settings!$B$22=Settings!$C$6,1,IF(Settings!$B$22="USD",1/INDEX(Settings!$B$29:$B$40,MONTH(A2450)),INDEX(Settings!$B$29:$B$40,MONTH(A2450)))))</f>
        <v/>
      </c>
    </row>
    <row r="2451" customFormat="false" ht="15" hidden="false" customHeight="false" outlineLevel="0" collapsed="false">
      <c r="H2451" s="0" t="str">
        <f aca="false">IF(B2451="","",IF(COUNTIF(Campaigns!$A$7:$A$300,B2451)&gt;0,"✓","⚠ add to Campaigns tab"))</f>
        <v/>
      </c>
      <c r="I2451" s="84" t="str">
        <f aca="false">IF(C2451="","",C2451*IF(Settings!$B$22=Settings!$C$6,1,IF(Settings!$B$22="USD",1/INDEX(Settings!$B$29:$B$40,MONTH(A2451)),INDEX(Settings!$B$29:$B$40,MONTH(A2451)))))</f>
        <v/>
      </c>
    </row>
    <row r="2452" customFormat="false" ht="15" hidden="false" customHeight="false" outlineLevel="0" collapsed="false">
      <c r="H2452" s="0" t="str">
        <f aca="false">IF(B2452="","",IF(COUNTIF(Campaigns!$A$7:$A$300,B2452)&gt;0,"✓","⚠ add to Campaigns tab"))</f>
        <v/>
      </c>
      <c r="I2452" s="84" t="str">
        <f aca="false">IF(C2452="","",C2452*IF(Settings!$B$22=Settings!$C$6,1,IF(Settings!$B$22="USD",1/INDEX(Settings!$B$29:$B$40,MONTH(A2452)),INDEX(Settings!$B$29:$B$40,MONTH(A2452)))))</f>
        <v/>
      </c>
    </row>
    <row r="2453" customFormat="false" ht="15" hidden="false" customHeight="false" outlineLevel="0" collapsed="false">
      <c r="H2453" s="0" t="str">
        <f aca="false">IF(B2453="","",IF(COUNTIF(Campaigns!$A$7:$A$300,B2453)&gt;0,"✓","⚠ add to Campaigns tab"))</f>
        <v/>
      </c>
      <c r="I2453" s="84" t="str">
        <f aca="false">IF(C2453="","",C2453*IF(Settings!$B$22=Settings!$C$6,1,IF(Settings!$B$22="USD",1/INDEX(Settings!$B$29:$B$40,MONTH(A2453)),INDEX(Settings!$B$29:$B$40,MONTH(A2453)))))</f>
        <v/>
      </c>
    </row>
    <row r="2454" customFormat="false" ht="15" hidden="false" customHeight="false" outlineLevel="0" collapsed="false">
      <c r="H2454" s="0" t="str">
        <f aca="false">IF(B2454="","",IF(COUNTIF(Campaigns!$A$7:$A$300,B2454)&gt;0,"✓","⚠ add to Campaigns tab"))</f>
        <v/>
      </c>
      <c r="I2454" s="84" t="str">
        <f aca="false">IF(C2454="","",C2454*IF(Settings!$B$22=Settings!$C$6,1,IF(Settings!$B$22="USD",1/INDEX(Settings!$B$29:$B$40,MONTH(A2454)),INDEX(Settings!$B$29:$B$40,MONTH(A2454)))))</f>
        <v/>
      </c>
    </row>
    <row r="2455" customFormat="false" ht="15" hidden="false" customHeight="false" outlineLevel="0" collapsed="false">
      <c r="H2455" s="0" t="str">
        <f aca="false">IF(B2455="","",IF(COUNTIF(Campaigns!$A$7:$A$300,B2455)&gt;0,"✓","⚠ add to Campaigns tab"))</f>
        <v/>
      </c>
      <c r="I2455" s="84" t="str">
        <f aca="false">IF(C2455="","",C2455*IF(Settings!$B$22=Settings!$C$6,1,IF(Settings!$B$22="USD",1/INDEX(Settings!$B$29:$B$40,MONTH(A2455)),INDEX(Settings!$B$29:$B$40,MONTH(A2455)))))</f>
        <v/>
      </c>
    </row>
    <row r="2456" customFormat="false" ht="15" hidden="false" customHeight="false" outlineLevel="0" collapsed="false">
      <c r="H2456" s="0" t="str">
        <f aca="false">IF(B2456="","",IF(COUNTIF(Campaigns!$A$7:$A$300,B2456)&gt;0,"✓","⚠ add to Campaigns tab"))</f>
        <v/>
      </c>
      <c r="I2456" s="84" t="str">
        <f aca="false">IF(C2456="","",C2456*IF(Settings!$B$22=Settings!$C$6,1,IF(Settings!$B$22="USD",1/INDEX(Settings!$B$29:$B$40,MONTH(A2456)),INDEX(Settings!$B$29:$B$40,MONTH(A2456)))))</f>
        <v/>
      </c>
    </row>
    <row r="2457" customFormat="false" ht="15" hidden="false" customHeight="false" outlineLevel="0" collapsed="false">
      <c r="H2457" s="0" t="str">
        <f aca="false">IF(B2457="","",IF(COUNTIF(Campaigns!$A$7:$A$300,B2457)&gt;0,"✓","⚠ add to Campaigns tab"))</f>
        <v/>
      </c>
      <c r="I2457" s="84" t="str">
        <f aca="false">IF(C2457="","",C2457*IF(Settings!$B$22=Settings!$C$6,1,IF(Settings!$B$22="USD",1/INDEX(Settings!$B$29:$B$40,MONTH(A2457)),INDEX(Settings!$B$29:$B$40,MONTH(A2457)))))</f>
        <v/>
      </c>
    </row>
    <row r="2458" customFormat="false" ht="15" hidden="false" customHeight="false" outlineLevel="0" collapsed="false">
      <c r="H2458" s="0" t="str">
        <f aca="false">IF(B2458="","",IF(COUNTIF(Campaigns!$A$7:$A$300,B2458)&gt;0,"✓","⚠ add to Campaigns tab"))</f>
        <v/>
      </c>
      <c r="I2458" s="84" t="str">
        <f aca="false">IF(C2458="","",C2458*IF(Settings!$B$22=Settings!$C$6,1,IF(Settings!$B$22="USD",1/INDEX(Settings!$B$29:$B$40,MONTH(A2458)),INDEX(Settings!$B$29:$B$40,MONTH(A2458)))))</f>
        <v/>
      </c>
    </row>
    <row r="2459" customFormat="false" ht="15" hidden="false" customHeight="false" outlineLevel="0" collapsed="false">
      <c r="H2459" s="0" t="str">
        <f aca="false">IF(B2459="","",IF(COUNTIF(Campaigns!$A$7:$A$300,B2459)&gt;0,"✓","⚠ add to Campaigns tab"))</f>
        <v/>
      </c>
      <c r="I2459" s="84" t="str">
        <f aca="false">IF(C2459="","",C2459*IF(Settings!$B$22=Settings!$C$6,1,IF(Settings!$B$22="USD",1/INDEX(Settings!$B$29:$B$40,MONTH(A2459)),INDEX(Settings!$B$29:$B$40,MONTH(A2459)))))</f>
        <v/>
      </c>
    </row>
    <row r="2460" customFormat="false" ht="15" hidden="false" customHeight="false" outlineLevel="0" collapsed="false">
      <c r="H2460" s="0" t="str">
        <f aca="false">IF(B2460="","",IF(COUNTIF(Campaigns!$A$7:$A$300,B2460)&gt;0,"✓","⚠ add to Campaigns tab"))</f>
        <v/>
      </c>
      <c r="I2460" s="84" t="str">
        <f aca="false">IF(C2460="","",C2460*IF(Settings!$B$22=Settings!$C$6,1,IF(Settings!$B$22="USD",1/INDEX(Settings!$B$29:$B$40,MONTH(A2460)),INDEX(Settings!$B$29:$B$40,MONTH(A2460)))))</f>
        <v/>
      </c>
    </row>
    <row r="2461" customFormat="false" ht="15" hidden="false" customHeight="false" outlineLevel="0" collapsed="false">
      <c r="H2461" s="0" t="str">
        <f aca="false">IF(B2461="","",IF(COUNTIF(Campaigns!$A$7:$A$300,B2461)&gt;0,"✓","⚠ add to Campaigns tab"))</f>
        <v/>
      </c>
      <c r="I2461" s="84" t="str">
        <f aca="false">IF(C2461="","",C2461*IF(Settings!$B$22=Settings!$C$6,1,IF(Settings!$B$22="USD",1/INDEX(Settings!$B$29:$B$40,MONTH(A2461)),INDEX(Settings!$B$29:$B$40,MONTH(A2461)))))</f>
        <v/>
      </c>
    </row>
    <row r="2462" customFormat="false" ht="15" hidden="false" customHeight="false" outlineLevel="0" collapsed="false">
      <c r="H2462" s="0" t="str">
        <f aca="false">IF(B2462="","",IF(COUNTIF(Campaigns!$A$7:$A$300,B2462)&gt;0,"✓","⚠ add to Campaigns tab"))</f>
        <v/>
      </c>
      <c r="I2462" s="84" t="str">
        <f aca="false">IF(C2462="","",C2462*IF(Settings!$B$22=Settings!$C$6,1,IF(Settings!$B$22="USD",1/INDEX(Settings!$B$29:$B$40,MONTH(A2462)),INDEX(Settings!$B$29:$B$40,MONTH(A2462)))))</f>
        <v/>
      </c>
    </row>
    <row r="2463" customFormat="false" ht="15" hidden="false" customHeight="false" outlineLevel="0" collapsed="false">
      <c r="H2463" s="0" t="str">
        <f aca="false">IF(B2463="","",IF(COUNTIF(Campaigns!$A$7:$A$300,B2463)&gt;0,"✓","⚠ add to Campaigns tab"))</f>
        <v/>
      </c>
      <c r="I2463" s="84" t="str">
        <f aca="false">IF(C2463="","",C2463*IF(Settings!$B$22=Settings!$C$6,1,IF(Settings!$B$22="USD",1/INDEX(Settings!$B$29:$B$40,MONTH(A2463)),INDEX(Settings!$B$29:$B$40,MONTH(A2463)))))</f>
        <v/>
      </c>
    </row>
    <row r="2464" customFormat="false" ht="15" hidden="false" customHeight="false" outlineLevel="0" collapsed="false">
      <c r="H2464" s="0" t="str">
        <f aca="false">IF(B2464="","",IF(COUNTIF(Campaigns!$A$7:$A$300,B2464)&gt;0,"✓","⚠ add to Campaigns tab"))</f>
        <v/>
      </c>
      <c r="I2464" s="84" t="str">
        <f aca="false">IF(C2464="","",C2464*IF(Settings!$B$22=Settings!$C$6,1,IF(Settings!$B$22="USD",1/INDEX(Settings!$B$29:$B$40,MONTH(A2464)),INDEX(Settings!$B$29:$B$40,MONTH(A2464)))))</f>
        <v/>
      </c>
    </row>
    <row r="2465" customFormat="false" ht="15" hidden="false" customHeight="false" outlineLevel="0" collapsed="false">
      <c r="H2465" s="0" t="str">
        <f aca="false">IF(B2465="","",IF(COUNTIF(Campaigns!$A$7:$A$300,B2465)&gt;0,"✓","⚠ add to Campaigns tab"))</f>
        <v/>
      </c>
      <c r="I2465" s="84" t="str">
        <f aca="false">IF(C2465="","",C2465*IF(Settings!$B$22=Settings!$C$6,1,IF(Settings!$B$22="USD",1/INDEX(Settings!$B$29:$B$40,MONTH(A2465)),INDEX(Settings!$B$29:$B$40,MONTH(A2465)))))</f>
        <v/>
      </c>
    </row>
    <row r="2466" customFormat="false" ht="15" hidden="false" customHeight="false" outlineLevel="0" collapsed="false">
      <c r="H2466" s="0" t="str">
        <f aca="false">IF(B2466="","",IF(COUNTIF(Campaigns!$A$7:$A$300,B2466)&gt;0,"✓","⚠ add to Campaigns tab"))</f>
        <v/>
      </c>
      <c r="I2466" s="84" t="str">
        <f aca="false">IF(C2466="","",C2466*IF(Settings!$B$22=Settings!$C$6,1,IF(Settings!$B$22="USD",1/INDEX(Settings!$B$29:$B$40,MONTH(A2466)),INDEX(Settings!$B$29:$B$40,MONTH(A2466)))))</f>
        <v/>
      </c>
    </row>
    <row r="2467" customFormat="false" ht="15" hidden="false" customHeight="false" outlineLevel="0" collapsed="false">
      <c r="H2467" s="0" t="str">
        <f aca="false">IF(B2467="","",IF(COUNTIF(Campaigns!$A$7:$A$300,B2467)&gt;0,"✓","⚠ add to Campaigns tab"))</f>
        <v/>
      </c>
      <c r="I2467" s="84" t="str">
        <f aca="false">IF(C2467="","",C2467*IF(Settings!$B$22=Settings!$C$6,1,IF(Settings!$B$22="USD",1/INDEX(Settings!$B$29:$B$40,MONTH(A2467)),INDEX(Settings!$B$29:$B$40,MONTH(A2467)))))</f>
        <v/>
      </c>
    </row>
    <row r="2468" customFormat="false" ht="15" hidden="false" customHeight="false" outlineLevel="0" collapsed="false">
      <c r="H2468" s="0" t="str">
        <f aca="false">IF(B2468="","",IF(COUNTIF(Campaigns!$A$7:$A$300,B2468)&gt;0,"✓","⚠ add to Campaigns tab"))</f>
        <v/>
      </c>
      <c r="I2468" s="84" t="str">
        <f aca="false">IF(C2468="","",C2468*IF(Settings!$B$22=Settings!$C$6,1,IF(Settings!$B$22="USD",1/INDEX(Settings!$B$29:$B$40,MONTH(A2468)),INDEX(Settings!$B$29:$B$40,MONTH(A2468)))))</f>
        <v/>
      </c>
    </row>
    <row r="2469" customFormat="false" ht="15" hidden="false" customHeight="false" outlineLevel="0" collapsed="false">
      <c r="H2469" s="0" t="str">
        <f aca="false">IF(B2469="","",IF(COUNTIF(Campaigns!$A$7:$A$300,B2469)&gt;0,"✓","⚠ add to Campaigns tab"))</f>
        <v/>
      </c>
      <c r="I2469" s="84" t="str">
        <f aca="false">IF(C2469="","",C2469*IF(Settings!$B$22=Settings!$C$6,1,IF(Settings!$B$22="USD",1/INDEX(Settings!$B$29:$B$40,MONTH(A2469)),INDEX(Settings!$B$29:$B$40,MONTH(A2469)))))</f>
        <v/>
      </c>
    </row>
    <row r="2470" customFormat="false" ht="15" hidden="false" customHeight="false" outlineLevel="0" collapsed="false">
      <c r="H2470" s="0" t="str">
        <f aca="false">IF(B2470="","",IF(COUNTIF(Campaigns!$A$7:$A$300,B2470)&gt;0,"✓","⚠ add to Campaigns tab"))</f>
        <v/>
      </c>
      <c r="I2470" s="84" t="str">
        <f aca="false">IF(C2470="","",C2470*IF(Settings!$B$22=Settings!$C$6,1,IF(Settings!$B$22="USD",1/INDEX(Settings!$B$29:$B$40,MONTH(A2470)),INDEX(Settings!$B$29:$B$40,MONTH(A2470)))))</f>
        <v/>
      </c>
    </row>
    <row r="2471" customFormat="false" ht="15" hidden="false" customHeight="false" outlineLevel="0" collapsed="false">
      <c r="H2471" s="0" t="str">
        <f aca="false">IF(B2471="","",IF(COUNTIF(Campaigns!$A$7:$A$300,B2471)&gt;0,"✓","⚠ add to Campaigns tab"))</f>
        <v/>
      </c>
      <c r="I2471" s="84" t="str">
        <f aca="false">IF(C2471="","",C2471*IF(Settings!$B$22=Settings!$C$6,1,IF(Settings!$B$22="USD",1/INDEX(Settings!$B$29:$B$40,MONTH(A2471)),INDEX(Settings!$B$29:$B$40,MONTH(A2471)))))</f>
        <v/>
      </c>
    </row>
    <row r="2472" customFormat="false" ht="15" hidden="false" customHeight="false" outlineLevel="0" collapsed="false">
      <c r="H2472" s="0" t="str">
        <f aca="false">IF(B2472="","",IF(COUNTIF(Campaigns!$A$7:$A$300,B2472)&gt;0,"✓","⚠ add to Campaigns tab"))</f>
        <v/>
      </c>
      <c r="I2472" s="84" t="str">
        <f aca="false">IF(C2472="","",C2472*IF(Settings!$B$22=Settings!$C$6,1,IF(Settings!$B$22="USD",1/INDEX(Settings!$B$29:$B$40,MONTH(A2472)),INDEX(Settings!$B$29:$B$40,MONTH(A2472)))))</f>
        <v/>
      </c>
    </row>
    <row r="2473" customFormat="false" ht="15" hidden="false" customHeight="false" outlineLevel="0" collapsed="false">
      <c r="H2473" s="0" t="str">
        <f aca="false">IF(B2473="","",IF(COUNTIF(Campaigns!$A$7:$A$300,B2473)&gt;0,"✓","⚠ add to Campaigns tab"))</f>
        <v/>
      </c>
      <c r="I2473" s="84" t="str">
        <f aca="false">IF(C2473="","",C2473*IF(Settings!$B$22=Settings!$C$6,1,IF(Settings!$B$22="USD",1/INDEX(Settings!$B$29:$B$40,MONTH(A2473)),INDEX(Settings!$B$29:$B$40,MONTH(A2473)))))</f>
        <v/>
      </c>
    </row>
    <row r="2474" customFormat="false" ht="15" hidden="false" customHeight="false" outlineLevel="0" collapsed="false">
      <c r="H2474" s="0" t="str">
        <f aca="false">IF(B2474="","",IF(COUNTIF(Campaigns!$A$7:$A$300,B2474)&gt;0,"✓","⚠ add to Campaigns tab"))</f>
        <v/>
      </c>
      <c r="I2474" s="84" t="str">
        <f aca="false">IF(C2474="","",C2474*IF(Settings!$B$22=Settings!$C$6,1,IF(Settings!$B$22="USD",1/INDEX(Settings!$B$29:$B$40,MONTH(A2474)),INDEX(Settings!$B$29:$B$40,MONTH(A2474)))))</f>
        <v/>
      </c>
    </row>
    <row r="2475" customFormat="false" ht="15" hidden="false" customHeight="false" outlineLevel="0" collapsed="false">
      <c r="H2475" s="0" t="str">
        <f aca="false">IF(B2475="","",IF(COUNTIF(Campaigns!$A$7:$A$300,B2475)&gt;0,"✓","⚠ add to Campaigns tab"))</f>
        <v/>
      </c>
      <c r="I2475" s="84" t="str">
        <f aca="false">IF(C2475="","",C2475*IF(Settings!$B$22=Settings!$C$6,1,IF(Settings!$B$22="USD",1/INDEX(Settings!$B$29:$B$40,MONTH(A2475)),INDEX(Settings!$B$29:$B$40,MONTH(A2475)))))</f>
        <v/>
      </c>
    </row>
    <row r="2476" customFormat="false" ht="15" hidden="false" customHeight="false" outlineLevel="0" collapsed="false">
      <c r="H2476" s="0" t="str">
        <f aca="false">IF(B2476="","",IF(COUNTIF(Campaigns!$A$7:$A$300,B2476)&gt;0,"✓","⚠ add to Campaigns tab"))</f>
        <v/>
      </c>
      <c r="I2476" s="84" t="str">
        <f aca="false">IF(C2476="","",C2476*IF(Settings!$B$22=Settings!$C$6,1,IF(Settings!$B$22="USD",1/INDEX(Settings!$B$29:$B$40,MONTH(A2476)),INDEX(Settings!$B$29:$B$40,MONTH(A2476)))))</f>
        <v/>
      </c>
    </row>
    <row r="2477" customFormat="false" ht="15" hidden="false" customHeight="false" outlineLevel="0" collapsed="false">
      <c r="H2477" s="0" t="str">
        <f aca="false">IF(B2477="","",IF(COUNTIF(Campaigns!$A$7:$A$300,B2477)&gt;0,"✓","⚠ add to Campaigns tab"))</f>
        <v/>
      </c>
      <c r="I2477" s="84" t="str">
        <f aca="false">IF(C2477="","",C2477*IF(Settings!$B$22=Settings!$C$6,1,IF(Settings!$B$22="USD",1/INDEX(Settings!$B$29:$B$40,MONTH(A2477)),INDEX(Settings!$B$29:$B$40,MONTH(A2477)))))</f>
        <v/>
      </c>
    </row>
    <row r="2478" customFormat="false" ht="15" hidden="false" customHeight="false" outlineLevel="0" collapsed="false">
      <c r="H2478" s="0" t="str">
        <f aca="false">IF(B2478="","",IF(COUNTIF(Campaigns!$A$7:$A$300,B2478)&gt;0,"✓","⚠ add to Campaigns tab"))</f>
        <v/>
      </c>
      <c r="I2478" s="84" t="str">
        <f aca="false">IF(C2478="","",C2478*IF(Settings!$B$22=Settings!$C$6,1,IF(Settings!$B$22="USD",1/INDEX(Settings!$B$29:$B$40,MONTH(A2478)),INDEX(Settings!$B$29:$B$40,MONTH(A2478)))))</f>
        <v/>
      </c>
    </row>
    <row r="2479" customFormat="false" ht="15" hidden="false" customHeight="false" outlineLevel="0" collapsed="false">
      <c r="H2479" s="0" t="str">
        <f aca="false">IF(B2479="","",IF(COUNTIF(Campaigns!$A$7:$A$300,B2479)&gt;0,"✓","⚠ add to Campaigns tab"))</f>
        <v/>
      </c>
      <c r="I2479" s="84" t="str">
        <f aca="false">IF(C2479="","",C2479*IF(Settings!$B$22=Settings!$C$6,1,IF(Settings!$B$22="USD",1/INDEX(Settings!$B$29:$B$40,MONTH(A2479)),INDEX(Settings!$B$29:$B$40,MONTH(A2479)))))</f>
        <v/>
      </c>
    </row>
    <row r="2480" customFormat="false" ht="15" hidden="false" customHeight="false" outlineLevel="0" collapsed="false">
      <c r="H2480" s="0" t="str">
        <f aca="false">IF(B2480="","",IF(COUNTIF(Campaigns!$A$7:$A$300,B2480)&gt;0,"✓","⚠ add to Campaigns tab"))</f>
        <v/>
      </c>
      <c r="I2480" s="84" t="str">
        <f aca="false">IF(C2480="","",C2480*IF(Settings!$B$22=Settings!$C$6,1,IF(Settings!$B$22="USD",1/INDEX(Settings!$B$29:$B$40,MONTH(A2480)),INDEX(Settings!$B$29:$B$40,MONTH(A2480)))))</f>
        <v/>
      </c>
    </row>
    <row r="2481" customFormat="false" ht="15" hidden="false" customHeight="false" outlineLevel="0" collapsed="false">
      <c r="H2481" s="0" t="str">
        <f aca="false">IF(B2481="","",IF(COUNTIF(Campaigns!$A$7:$A$300,B2481)&gt;0,"✓","⚠ add to Campaigns tab"))</f>
        <v/>
      </c>
      <c r="I2481" s="84" t="str">
        <f aca="false">IF(C2481="","",C2481*IF(Settings!$B$22=Settings!$C$6,1,IF(Settings!$B$22="USD",1/INDEX(Settings!$B$29:$B$40,MONTH(A2481)),INDEX(Settings!$B$29:$B$40,MONTH(A2481)))))</f>
        <v/>
      </c>
    </row>
    <row r="2482" customFormat="false" ht="15" hidden="false" customHeight="false" outlineLevel="0" collapsed="false">
      <c r="H2482" s="0" t="str">
        <f aca="false">IF(B2482="","",IF(COUNTIF(Campaigns!$A$7:$A$300,B2482)&gt;0,"✓","⚠ add to Campaigns tab"))</f>
        <v/>
      </c>
      <c r="I2482" s="84" t="str">
        <f aca="false">IF(C2482="","",C2482*IF(Settings!$B$22=Settings!$C$6,1,IF(Settings!$B$22="USD",1/INDEX(Settings!$B$29:$B$40,MONTH(A2482)),INDEX(Settings!$B$29:$B$40,MONTH(A2482)))))</f>
        <v/>
      </c>
    </row>
    <row r="2483" customFormat="false" ht="15" hidden="false" customHeight="false" outlineLevel="0" collapsed="false">
      <c r="H2483" s="0" t="str">
        <f aca="false">IF(B2483="","",IF(COUNTIF(Campaigns!$A$7:$A$300,B2483)&gt;0,"✓","⚠ add to Campaigns tab"))</f>
        <v/>
      </c>
      <c r="I2483" s="84" t="str">
        <f aca="false">IF(C2483="","",C2483*IF(Settings!$B$22=Settings!$C$6,1,IF(Settings!$B$22="USD",1/INDEX(Settings!$B$29:$B$40,MONTH(A2483)),INDEX(Settings!$B$29:$B$40,MONTH(A2483)))))</f>
        <v/>
      </c>
    </row>
    <row r="2484" customFormat="false" ht="15" hidden="false" customHeight="false" outlineLevel="0" collapsed="false">
      <c r="H2484" s="0" t="str">
        <f aca="false">IF(B2484="","",IF(COUNTIF(Campaigns!$A$7:$A$300,B2484)&gt;0,"✓","⚠ add to Campaigns tab"))</f>
        <v/>
      </c>
      <c r="I2484" s="84" t="str">
        <f aca="false">IF(C2484="","",C2484*IF(Settings!$B$22=Settings!$C$6,1,IF(Settings!$B$22="USD",1/INDEX(Settings!$B$29:$B$40,MONTH(A2484)),INDEX(Settings!$B$29:$B$40,MONTH(A2484)))))</f>
        <v/>
      </c>
    </row>
    <row r="2485" customFormat="false" ht="15" hidden="false" customHeight="false" outlineLevel="0" collapsed="false">
      <c r="H2485" s="0" t="str">
        <f aca="false">IF(B2485="","",IF(COUNTIF(Campaigns!$A$7:$A$300,B2485)&gt;0,"✓","⚠ add to Campaigns tab"))</f>
        <v/>
      </c>
      <c r="I2485" s="84" t="str">
        <f aca="false">IF(C2485="","",C2485*IF(Settings!$B$22=Settings!$C$6,1,IF(Settings!$B$22="USD",1/INDEX(Settings!$B$29:$B$40,MONTH(A2485)),INDEX(Settings!$B$29:$B$40,MONTH(A2485)))))</f>
        <v/>
      </c>
    </row>
    <row r="2486" customFormat="false" ht="15" hidden="false" customHeight="false" outlineLevel="0" collapsed="false">
      <c r="H2486" s="0" t="str">
        <f aca="false">IF(B2486="","",IF(COUNTIF(Campaigns!$A$7:$A$300,B2486)&gt;0,"✓","⚠ add to Campaigns tab"))</f>
        <v/>
      </c>
      <c r="I2486" s="84" t="str">
        <f aca="false">IF(C2486="","",C2486*IF(Settings!$B$22=Settings!$C$6,1,IF(Settings!$B$22="USD",1/INDEX(Settings!$B$29:$B$40,MONTH(A2486)),INDEX(Settings!$B$29:$B$40,MONTH(A2486)))))</f>
        <v/>
      </c>
    </row>
    <row r="2487" customFormat="false" ht="15" hidden="false" customHeight="false" outlineLevel="0" collapsed="false">
      <c r="H2487" s="0" t="str">
        <f aca="false">IF(B2487="","",IF(COUNTIF(Campaigns!$A$7:$A$300,B2487)&gt;0,"✓","⚠ add to Campaigns tab"))</f>
        <v/>
      </c>
      <c r="I2487" s="84" t="str">
        <f aca="false">IF(C2487="","",C2487*IF(Settings!$B$22=Settings!$C$6,1,IF(Settings!$B$22="USD",1/INDEX(Settings!$B$29:$B$40,MONTH(A2487)),INDEX(Settings!$B$29:$B$40,MONTH(A2487)))))</f>
        <v/>
      </c>
    </row>
    <row r="2488" customFormat="false" ht="15" hidden="false" customHeight="false" outlineLevel="0" collapsed="false">
      <c r="H2488" s="0" t="str">
        <f aca="false">IF(B2488="","",IF(COUNTIF(Campaigns!$A$7:$A$300,B2488)&gt;0,"✓","⚠ add to Campaigns tab"))</f>
        <v/>
      </c>
      <c r="I2488" s="84" t="str">
        <f aca="false">IF(C2488="","",C2488*IF(Settings!$B$22=Settings!$C$6,1,IF(Settings!$B$22="USD",1/INDEX(Settings!$B$29:$B$40,MONTH(A2488)),INDEX(Settings!$B$29:$B$40,MONTH(A2488)))))</f>
        <v/>
      </c>
    </row>
    <row r="2489" customFormat="false" ht="15" hidden="false" customHeight="false" outlineLevel="0" collapsed="false">
      <c r="H2489" s="0" t="str">
        <f aca="false">IF(B2489="","",IF(COUNTIF(Campaigns!$A$7:$A$300,B2489)&gt;0,"✓","⚠ add to Campaigns tab"))</f>
        <v/>
      </c>
      <c r="I2489" s="84" t="str">
        <f aca="false">IF(C2489="","",C2489*IF(Settings!$B$22=Settings!$C$6,1,IF(Settings!$B$22="USD",1/INDEX(Settings!$B$29:$B$40,MONTH(A2489)),INDEX(Settings!$B$29:$B$40,MONTH(A2489)))))</f>
        <v/>
      </c>
    </row>
    <row r="2490" customFormat="false" ht="15" hidden="false" customHeight="false" outlineLevel="0" collapsed="false">
      <c r="H2490" s="0" t="str">
        <f aca="false">IF(B2490="","",IF(COUNTIF(Campaigns!$A$7:$A$300,B2490)&gt;0,"✓","⚠ add to Campaigns tab"))</f>
        <v/>
      </c>
      <c r="I2490" s="84" t="str">
        <f aca="false">IF(C2490="","",C2490*IF(Settings!$B$22=Settings!$C$6,1,IF(Settings!$B$22="USD",1/INDEX(Settings!$B$29:$B$40,MONTH(A2490)),INDEX(Settings!$B$29:$B$40,MONTH(A2490)))))</f>
        <v/>
      </c>
    </row>
    <row r="2491" customFormat="false" ht="15" hidden="false" customHeight="false" outlineLevel="0" collapsed="false">
      <c r="H2491" s="0" t="str">
        <f aca="false">IF(B2491="","",IF(COUNTIF(Campaigns!$A$7:$A$300,B2491)&gt;0,"✓","⚠ add to Campaigns tab"))</f>
        <v/>
      </c>
      <c r="I2491" s="84" t="str">
        <f aca="false">IF(C2491="","",C2491*IF(Settings!$B$22=Settings!$C$6,1,IF(Settings!$B$22="USD",1/INDEX(Settings!$B$29:$B$40,MONTH(A2491)),INDEX(Settings!$B$29:$B$40,MONTH(A2491)))))</f>
        <v/>
      </c>
    </row>
    <row r="2492" customFormat="false" ht="15" hidden="false" customHeight="false" outlineLevel="0" collapsed="false">
      <c r="H2492" s="0" t="str">
        <f aca="false">IF(B2492="","",IF(COUNTIF(Campaigns!$A$7:$A$300,B2492)&gt;0,"✓","⚠ add to Campaigns tab"))</f>
        <v/>
      </c>
      <c r="I2492" s="84" t="str">
        <f aca="false">IF(C2492="","",C2492*IF(Settings!$B$22=Settings!$C$6,1,IF(Settings!$B$22="USD",1/INDEX(Settings!$B$29:$B$40,MONTH(A2492)),INDEX(Settings!$B$29:$B$40,MONTH(A2492)))))</f>
        <v/>
      </c>
    </row>
    <row r="2493" customFormat="false" ht="15" hidden="false" customHeight="false" outlineLevel="0" collapsed="false">
      <c r="H2493" s="0" t="str">
        <f aca="false">IF(B2493="","",IF(COUNTIF(Campaigns!$A$7:$A$300,B2493)&gt;0,"✓","⚠ add to Campaigns tab"))</f>
        <v/>
      </c>
      <c r="I2493" s="84" t="str">
        <f aca="false">IF(C2493="","",C2493*IF(Settings!$B$22=Settings!$C$6,1,IF(Settings!$B$22="USD",1/INDEX(Settings!$B$29:$B$40,MONTH(A2493)),INDEX(Settings!$B$29:$B$40,MONTH(A2493)))))</f>
        <v/>
      </c>
    </row>
    <row r="2494" customFormat="false" ht="15" hidden="false" customHeight="false" outlineLevel="0" collapsed="false">
      <c r="H2494" s="0" t="str">
        <f aca="false">IF(B2494="","",IF(COUNTIF(Campaigns!$A$7:$A$300,B2494)&gt;0,"✓","⚠ add to Campaigns tab"))</f>
        <v/>
      </c>
      <c r="I2494" s="84" t="str">
        <f aca="false">IF(C2494="","",C2494*IF(Settings!$B$22=Settings!$C$6,1,IF(Settings!$B$22="USD",1/INDEX(Settings!$B$29:$B$40,MONTH(A2494)),INDEX(Settings!$B$29:$B$40,MONTH(A2494)))))</f>
        <v/>
      </c>
    </row>
    <row r="2495" customFormat="false" ht="15" hidden="false" customHeight="false" outlineLevel="0" collapsed="false">
      <c r="H2495" s="0" t="str">
        <f aca="false">IF(B2495="","",IF(COUNTIF(Campaigns!$A$7:$A$300,B2495)&gt;0,"✓","⚠ add to Campaigns tab"))</f>
        <v/>
      </c>
      <c r="I2495" s="84" t="str">
        <f aca="false">IF(C2495="","",C2495*IF(Settings!$B$22=Settings!$C$6,1,IF(Settings!$B$22="USD",1/INDEX(Settings!$B$29:$B$40,MONTH(A2495)),INDEX(Settings!$B$29:$B$40,MONTH(A2495)))))</f>
        <v/>
      </c>
    </row>
    <row r="2496" customFormat="false" ht="15" hidden="false" customHeight="false" outlineLevel="0" collapsed="false">
      <c r="H2496" s="0" t="str">
        <f aca="false">IF(B2496="","",IF(COUNTIF(Campaigns!$A$7:$A$300,B2496)&gt;0,"✓","⚠ add to Campaigns tab"))</f>
        <v/>
      </c>
      <c r="I2496" s="84" t="str">
        <f aca="false">IF(C2496="","",C2496*IF(Settings!$B$22=Settings!$C$6,1,IF(Settings!$B$22="USD",1/INDEX(Settings!$B$29:$B$40,MONTH(A2496)),INDEX(Settings!$B$29:$B$40,MONTH(A2496)))))</f>
        <v/>
      </c>
    </row>
    <row r="2497" customFormat="false" ht="15" hidden="false" customHeight="false" outlineLevel="0" collapsed="false">
      <c r="H2497" s="0" t="str">
        <f aca="false">IF(B2497="","",IF(COUNTIF(Campaigns!$A$7:$A$300,B2497)&gt;0,"✓","⚠ add to Campaigns tab"))</f>
        <v/>
      </c>
      <c r="I2497" s="84" t="str">
        <f aca="false">IF(C2497="","",C2497*IF(Settings!$B$22=Settings!$C$6,1,IF(Settings!$B$22="USD",1/INDEX(Settings!$B$29:$B$40,MONTH(A2497)),INDEX(Settings!$B$29:$B$40,MONTH(A2497)))))</f>
        <v/>
      </c>
    </row>
    <row r="2498" customFormat="false" ht="15" hidden="false" customHeight="false" outlineLevel="0" collapsed="false">
      <c r="H2498" s="0" t="str">
        <f aca="false">IF(B2498="","",IF(COUNTIF(Campaigns!$A$7:$A$300,B2498)&gt;0,"✓","⚠ add to Campaigns tab"))</f>
        <v/>
      </c>
      <c r="I2498" s="84" t="str">
        <f aca="false">IF(C2498="","",C2498*IF(Settings!$B$22=Settings!$C$6,1,IF(Settings!$B$22="USD",1/INDEX(Settings!$B$29:$B$40,MONTH(A2498)),INDEX(Settings!$B$29:$B$40,MONTH(A2498)))))</f>
        <v/>
      </c>
    </row>
    <row r="2499" customFormat="false" ht="15" hidden="false" customHeight="false" outlineLevel="0" collapsed="false">
      <c r="H2499" s="0" t="str">
        <f aca="false">IF(B2499="","",IF(COUNTIF(Campaigns!$A$7:$A$300,B2499)&gt;0,"✓","⚠ add to Campaigns tab"))</f>
        <v/>
      </c>
      <c r="I2499" s="84" t="str">
        <f aca="false">IF(C2499="","",C2499*IF(Settings!$B$22=Settings!$C$6,1,IF(Settings!$B$22="USD",1/INDEX(Settings!$B$29:$B$40,MONTH(A2499)),INDEX(Settings!$B$29:$B$40,MONTH(A2499)))))</f>
        <v/>
      </c>
    </row>
    <row r="2500" customFormat="false" ht="15" hidden="false" customHeight="false" outlineLevel="0" collapsed="false">
      <c r="H2500" s="0" t="str">
        <f aca="false">IF(B2500="","",IF(COUNTIF(Campaigns!$A$7:$A$300,B2500)&gt;0,"✓","⚠ add to Campaigns tab"))</f>
        <v/>
      </c>
      <c r="I2500" s="84" t="str">
        <f aca="false">IF(C2500="","",C2500*IF(Settings!$B$22=Settings!$C$6,1,IF(Settings!$B$22="USD",1/INDEX(Settings!$B$29:$B$40,MONTH(A2500)),INDEX(Settings!$B$29:$B$40,MONTH(A2500)))))</f>
        <v/>
      </c>
    </row>
    <row r="2501" customFormat="false" ht="15" hidden="false" customHeight="false" outlineLevel="0" collapsed="false">
      <c r="H2501" s="0" t="str">
        <f aca="false">IF(B2501="","",IF(COUNTIF(Campaigns!$A$7:$A$300,B2501)&gt;0,"✓","⚠ add to Campaigns tab"))</f>
        <v/>
      </c>
      <c r="I2501" s="84" t="str">
        <f aca="false">IF(C2501="","",C2501*IF(Settings!$B$22=Settings!$C$6,1,IF(Settings!$B$22="USD",1/INDEX(Settings!$B$29:$B$40,MONTH(A2501)),INDEX(Settings!$B$29:$B$40,MONTH(A2501)))))</f>
        <v/>
      </c>
    </row>
    <row r="2502" customFormat="false" ht="15" hidden="false" customHeight="false" outlineLevel="0" collapsed="false">
      <c r="H2502" s="0" t="str">
        <f aca="false">IF(B2502="","",IF(COUNTIF(Campaigns!$A$7:$A$300,B2502)&gt;0,"✓","⚠ add to Campaigns tab"))</f>
        <v/>
      </c>
      <c r="I2502" s="84" t="str">
        <f aca="false">IF(C2502="","",C2502*IF(Settings!$B$22=Settings!$C$6,1,IF(Settings!$B$22="USD",1/INDEX(Settings!$B$29:$B$40,MONTH(A2502)),INDEX(Settings!$B$29:$B$40,MONTH(A2502)))))</f>
        <v/>
      </c>
    </row>
    <row r="2503" customFormat="false" ht="15" hidden="false" customHeight="false" outlineLevel="0" collapsed="false">
      <c r="H2503" s="0" t="str">
        <f aca="false">IF(B2503="","",IF(COUNTIF(Campaigns!$A$7:$A$300,B2503)&gt;0,"✓","⚠ add to Campaigns tab"))</f>
        <v/>
      </c>
      <c r="I2503" s="84" t="str">
        <f aca="false">IF(C2503="","",C2503*IF(Settings!$B$22=Settings!$C$6,1,IF(Settings!$B$22="USD",1/INDEX(Settings!$B$29:$B$40,MONTH(A2503)),INDEX(Settings!$B$29:$B$40,MONTH(A2503)))))</f>
        <v/>
      </c>
    </row>
    <row r="2504" customFormat="false" ht="15" hidden="false" customHeight="false" outlineLevel="0" collapsed="false">
      <c r="H2504" s="0" t="str">
        <f aca="false">IF(B2504="","",IF(COUNTIF(Campaigns!$A$7:$A$300,B2504)&gt;0,"✓","⚠ add to Campaigns tab"))</f>
        <v/>
      </c>
      <c r="I2504" s="84" t="str">
        <f aca="false">IF(C2504="","",C2504*IF(Settings!$B$22=Settings!$C$6,1,IF(Settings!$B$22="USD",1/INDEX(Settings!$B$29:$B$40,MONTH(A2504)),INDEX(Settings!$B$29:$B$40,MONTH(A2504)))))</f>
        <v/>
      </c>
    </row>
    <row r="2505" customFormat="false" ht="15" hidden="false" customHeight="false" outlineLevel="0" collapsed="false">
      <c r="H2505" s="0" t="str">
        <f aca="false">IF(B2505="","",IF(COUNTIF(Campaigns!$A$7:$A$300,B2505)&gt;0,"✓","⚠ add to Campaigns tab"))</f>
        <v/>
      </c>
      <c r="I2505" s="84" t="str">
        <f aca="false">IF(C2505="","",C2505*IF(Settings!$B$22=Settings!$C$6,1,IF(Settings!$B$22="USD",1/INDEX(Settings!$B$29:$B$40,MONTH(A2505)),INDEX(Settings!$B$29:$B$40,MONTH(A2505)))))</f>
        <v/>
      </c>
    </row>
    <row r="2506" customFormat="false" ht="15" hidden="false" customHeight="false" outlineLevel="0" collapsed="false">
      <c r="H2506" s="0" t="str">
        <f aca="false">IF(B2506="","",IF(COUNTIF(Campaigns!$A$7:$A$300,B2506)&gt;0,"✓","⚠ add to Campaigns tab"))</f>
        <v/>
      </c>
      <c r="I2506" s="84" t="str">
        <f aca="false">IF(C2506="","",C2506*IF(Settings!$B$22=Settings!$C$6,1,IF(Settings!$B$22="USD",1/INDEX(Settings!$B$29:$B$40,MONTH(A2506)),INDEX(Settings!$B$29:$B$40,MONTH(A2506)))))</f>
        <v/>
      </c>
    </row>
    <row r="2507" customFormat="false" ht="15" hidden="false" customHeight="false" outlineLevel="0" collapsed="false">
      <c r="H2507" s="0" t="str">
        <f aca="false">IF(B2507="","",IF(COUNTIF(Campaigns!$A$7:$A$300,B2507)&gt;0,"✓","⚠ add to Campaigns tab"))</f>
        <v/>
      </c>
      <c r="I2507" s="84" t="str">
        <f aca="false">IF(C2507="","",C2507*IF(Settings!$B$22=Settings!$C$6,1,IF(Settings!$B$22="USD",1/INDEX(Settings!$B$29:$B$40,MONTH(A2507)),INDEX(Settings!$B$29:$B$40,MONTH(A2507)))))</f>
        <v/>
      </c>
    </row>
    <row r="2508" customFormat="false" ht="15" hidden="false" customHeight="false" outlineLevel="0" collapsed="false">
      <c r="H2508" s="0" t="str">
        <f aca="false">IF(B2508="","",IF(COUNTIF(Campaigns!$A$7:$A$300,B2508)&gt;0,"✓","⚠ add to Campaigns tab"))</f>
        <v/>
      </c>
      <c r="I2508" s="84" t="str">
        <f aca="false">IF(C2508="","",C2508*IF(Settings!$B$22=Settings!$C$6,1,IF(Settings!$B$22="USD",1/INDEX(Settings!$B$29:$B$40,MONTH(A2508)),INDEX(Settings!$B$29:$B$40,MONTH(A2508)))))</f>
        <v/>
      </c>
    </row>
    <row r="2509" customFormat="false" ht="15" hidden="false" customHeight="false" outlineLevel="0" collapsed="false">
      <c r="H2509" s="0" t="str">
        <f aca="false">IF(B2509="","",IF(COUNTIF(Campaigns!$A$7:$A$300,B2509)&gt;0,"✓","⚠ add to Campaigns tab"))</f>
        <v/>
      </c>
      <c r="I2509" s="84" t="str">
        <f aca="false">IF(C2509="","",C2509*IF(Settings!$B$22=Settings!$C$6,1,IF(Settings!$B$22="USD",1/INDEX(Settings!$B$29:$B$40,MONTH(A2509)),INDEX(Settings!$B$29:$B$40,MONTH(A2509)))))</f>
        <v/>
      </c>
    </row>
    <row r="2510" customFormat="false" ht="15" hidden="false" customHeight="false" outlineLevel="0" collapsed="false">
      <c r="H2510" s="0" t="str">
        <f aca="false">IF(B2510="","",IF(COUNTIF(Campaigns!$A$7:$A$300,B2510)&gt;0,"✓","⚠ add to Campaigns tab"))</f>
        <v/>
      </c>
      <c r="I2510" s="84" t="str">
        <f aca="false">IF(C2510="","",C2510*IF(Settings!$B$22=Settings!$C$6,1,IF(Settings!$B$22="USD",1/INDEX(Settings!$B$29:$B$40,MONTH(A2510)),INDEX(Settings!$B$29:$B$40,MONTH(A2510)))))</f>
        <v/>
      </c>
    </row>
    <row r="2511" customFormat="false" ht="15" hidden="false" customHeight="false" outlineLevel="0" collapsed="false">
      <c r="H2511" s="0" t="str">
        <f aca="false">IF(B2511="","",IF(COUNTIF(Campaigns!$A$7:$A$300,B2511)&gt;0,"✓","⚠ add to Campaigns tab"))</f>
        <v/>
      </c>
      <c r="I2511" s="84" t="str">
        <f aca="false">IF(C2511="","",C2511*IF(Settings!$B$22=Settings!$C$6,1,IF(Settings!$B$22="USD",1/INDEX(Settings!$B$29:$B$40,MONTH(A2511)),INDEX(Settings!$B$29:$B$40,MONTH(A2511)))))</f>
        <v/>
      </c>
    </row>
    <row r="2512" customFormat="false" ht="15" hidden="false" customHeight="false" outlineLevel="0" collapsed="false">
      <c r="H2512" s="0" t="str">
        <f aca="false">IF(B2512="","",IF(COUNTIF(Campaigns!$A$7:$A$300,B2512)&gt;0,"✓","⚠ add to Campaigns tab"))</f>
        <v/>
      </c>
      <c r="I2512" s="84" t="str">
        <f aca="false">IF(C2512="","",C2512*IF(Settings!$B$22=Settings!$C$6,1,IF(Settings!$B$22="USD",1/INDEX(Settings!$B$29:$B$40,MONTH(A2512)),INDEX(Settings!$B$29:$B$40,MONTH(A2512)))))</f>
        <v/>
      </c>
    </row>
    <row r="2513" customFormat="false" ht="15" hidden="false" customHeight="false" outlineLevel="0" collapsed="false">
      <c r="H2513" s="0" t="str">
        <f aca="false">IF(B2513="","",IF(COUNTIF(Campaigns!$A$7:$A$300,B2513)&gt;0,"✓","⚠ add to Campaigns tab"))</f>
        <v/>
      </c>
      <c r="I2513" s="84" t="str">
        <f aca="false">IF(C2513="","",C2513*IF(Settings!$B$22=Settings!$C$6,1,IF(Settings!$B$22="USD",1/INDEX(Settings!$B$29:$B$40,MONTH(A2513)),INDEX(Settings!$B$29:$B$40,MONTH(A2513)))))</f>
        <v/>
      </c>
    </row>
    <row r="2514" customFormat="false" ht="15" hidden="false" customHeight="false" outlineLevel="0" collapsed="false">
      <c r="H2514" s="0" t="str">
        <f aca="false">IF(B2514="","",IF(COUNTIF(Campaigns!$A$7:$A$300,B2514)&gt;0,"✓","⚠ add to Campaigns tab"))</f>
        <v/>
      </c>
      <c r="I2514" s="84" t="str">
        <f aca="false">IF(C2514="","",C2514*IF(Settings!$B$22=Settings!$C$6,1,IF(Settings!$B$22="USD",1/INDEX(Settings!$B$29:$B$40,MONTH(A2514)),INDEX(Settings!$B$29:$B$40,MONTH(A2514)))))</f>
        <v/>
      </c>
    </row>
    <row r="2515" customFormat="false" ht="15" hidden="false" customHeight="false" outlineLevel="0" collapsed="false">
      <c r="H2515" s="0" t="str">
        <f aca="false">IF(B2515="","",IF(COUNTIF(Campaigns!$A$7:$A$300,B2515)&gt;0,"✓","⚠ add to Campaigns tab"))</f>
        <v/>
      </c>
      <c r="I2515" s="84" t="str">
        <f aca="false">IF(C2515="","",C2515*IF(Settings!$B$22=Settings!$C$6,1,IF(Settings!$B$22="USD",1/INDEX(Settings!$B$29:$B$40,MONTH(A2515)),INDEX(Settings!$B$29:$B$40,MONTH(A2515)))))</f>
        <v/>
      </c>
    </row>
    <row r="2516" customFormat="false" ht="15" hidden="false" customHeight="false" outlineLevel="0" collapsed="false">
      <c r="H2516" s="0" t="str">
        <f aca="false">IF(B2516="","",IF(COUNTIF(Campaigns!$A$7:$A$300,B2516)&gt;0,"✓","⚠ add to Campaigns tab"))</f>
        <v/>
      </c>
      <c r="I2516" s="84" t="str">
        <f aca="false">IF(C2516="","",C2516*IF(Settings!$B$22=Settings!$C$6,1,IF(Settings!$B$22="USD",1/INDEX(Settings!$B$29:$B$40,MONTH(A2516)),INDEX(Settings!$B$29:$B$40,MONTH(A2516)))))</f>
        <v/>
      </c>
    </row>
    <row r="2517" customFormat="false" ht="15" hidden="false" customHeight="false" outlineLevel="0" collapsed="false">
      <c r="H2517" s="0" t="str">
        <f aca="false">IF(B2517="","",IF(COUNTIF(Campaigns!$A$7:$A$300,B2517)&gt;0,"✓","⚠ add to Campaigns tab"))</f>
        <v/>
      </c>
      <c r="I2517" s="84" t="str">
        <f aca="false">IF(C2517="","",C2517*IF(Settings!$B$22=Settings!$C$6,1,IF(Settings!$B$22="USD",1/INDEX(Settings!$B$29:$B$40,MONTH(A2517)),INDEX(Settings!$B$29:$B$40,MONTH(A2517)))))</f>
        <v/>
      </c>
    </row>
    <row r="2518" customFormat="false" ht="15" hidden="false" customHeight="false" outlineLevel="0" collapsed="false">
      <c r="H2518" s="0" t="str">
        <f aca="false">IF(B2518="","",IF(COUNTIF(Campaigns!$A$7:$A$300,B2518)&gt;0,"✓","⚠ add to Campaigns tab"))</f>
        <v/>
      </c>
      <c r="I2518" s="84" t="str">
        <f aca="false">IF(C2518="","",C2518*IF(Settings!$B$22=Settings!$C$6,1,IF(Settings!$B$22="USD",1/INDEX(Settings!$B$29:$B$40,MONTH(A2518)),INDEX(Settings!$B$29:$B$40,MONTH(A2518)))))</f>
        <v/>
      </c>
    </row>
    <row r="2519" customFormat="false" ht="15" hidden="false" customHeight="false" outlineLevel="0" collapsed="false">
      <c r="H2519" s="0" t="str">
        <f aca="false">IF(B2519="","",IF(COUNTIF(Campaigns!$A$7:$A$300,B2519)&gt;0,"✓","⚠ add to Campaigns tab"))</f>
        <v/>
      </c>
      <c r="I2519" s="84" t="str">
        <f aca="false">IF(C2519="","",C2519*IF(Settings!$B$22=Settings!$C$6,1,IF(Settings!$B$22="USD",1/INDEX(Settings!$B$29:$B$40,MONTH(A2519)),INDEX(Settings!$B$29:$B$40,MONTH(A2519)))))</f>
        <v/>
      </c>
    </row>
    <row r="2520" customFormat="false" ht="15" hidden="false" customHeight="false" outlineLevel="0" collapsed="false">
      <c r="H2520" s="0" t="str">
        <f aca="false">IF(B2520="","",IF(COUNTIF(Campaigns!$A$7:$A$300,B2520)&gt;0,"✓","⚠ add to Campaigns tab"))</f>
        <v/>
      </c>
      <c r="I2520" s="84" t="str">
        <f aca="false">IF(C2520="","",C2520*IF(Settings!$B$22=Settings!$C$6,1,IF(Settings!$B$22="USD",1/INDEX(Settings!$B$29:$B$40,MONTH(A2520)),INDEX(Settings!$B$29:$B$40,MONTH(A2520)))))</f>
        <v/>
      </c>
    </row>
    <row r="2521" customFormat="false" ht="15" hidden="false" customHeight="false" outlineLevel="0" collapsed="false">
      <c r="H2521" s="0" t="str">
        <f aca="false">IF(B2521="","",IF(COUNTIF(Campaigns!$A$7:$A$300,B2521)&gt;0,"✓","⚠ add to Campaigns tab"))</f>
        <v/>
      </c>
      <c r="I2521" s="84" t="str">
        <f aca="false">IF(C2521="","",C2521*IF(Settings!$B$22=Settings!$C$6,1,IF(Settings!$B$22="USD",1/INDEX(Settings!$B$29:$B$40,MONTH(A2521)),INDEX(Settings!$B$29:$B$40,MONTH(A2521)))))</f>
        <v/>
      </c>
    </row>
    <row r="2522" customFormat="false" ht="15" hidden="false" customHeight="false" outlineLevel="0" collapsed="false">
      <c r="H2522" s="0" t="str">
        <f aca="false">IF(B2522="","",IF(COUNTIF(Campaigns!$A$7:$A$300,B2522)&gt;0,"✓","⚠ add to Campaigns tab"))</f>
        <v/>
      </c>
      <c r="I2522" s="84" t="str">
        <f aca="false">IF(C2522="","",C2522*IF(Settings!$B$22=Settings!$C$6,1,IF(Settings!$B$22="USD",1/INDEX(Settings!$B$29:$B$40,MONTH(A2522)),INDEX(Settings!$B$29:$B$40,MONTH(A2522)))))</f>
        <v/>
      </c>
    </row>
    <row r="2523" customFormat="false" ht="15" hidden="false" customHeight="false" outlineLevel="0" collapsed="false">
      <c r="H2523" s="0" t="str">
        <f aca="false">IF(B2523="","",IF(COUNTIF(Campaigns!$A$7:$A$300,B2523)&gt;0,"✓","⚠ add to Campaigns tab"))</f>
        <v/>
      </c>
      <c r="I2523" s="84" t="str">
        <f aca="false">IF(C2523="","",C2523*IF(Settings!$B$22=Settings!$C$6,1,IF(Settings!$B$22="USD",1/INDEX(Settings!$B$29:$B$40,MONTH(A2523)),INDEX(Settings!$B$29:$B$40,MONTH(A2523)))))</f>
        <v/>
      </c>
    </row>
    <row r="2524" customFormat="false" ht="15" hidden="false" customHeight="false" outlineLevel="0" collapsed="false">
      <c r="H2524" s="0" t="str">
        <f aca="false">IF(B2524="","",IF(COUNTIF(Campaigns!$A$7:$A$300,B2524)&gt;0,"✓","⚠ add to Campaigns tab"))</f>
        <v/>
      </c>
      <c r="I2524" s="84" t="str">
        <f aca="false">IF(C2524="","",C2524*IF(Settings!$B$22=Settings!$C$6,1,IF(Settings!$B$22="USD",1/INDEX(Settings!$B$29:$B$40,MONTH(A2524)),INDEX(Settings!$B$29:$B$40,MONTH(A2524)))))</f>
        <v/>
      </c>
    </row>
    <row r="2525" customFormat="false" ht="15" hidden="false" customHeight="false" outlineLevel="0" collapsed="false">
      <c r="H2525" s="0" t="str">
        <f aca="false">IF(B2525="","",IF(COUNTIF(Campaigns!$A$7:$A$300,B2525)&gt;0,"✓","⚠ add to Campaigns tab"))</f>
        <v/>
      </c>
      <c r="I2525" s="84" t="str">
        <f aca="false">IF(C2525="","",C2525*IF(Settings!$B$22=Settings!$C$6,1,IF(Settings!$B$22="USD",1/INDEX(Settings!$B$29:$B$40,MONTH(A2525)),INDEX(Settings!$B$29:$B$40,MONTH(A2525)))))</f>
        <v/>
      </c>
    </row>
    <row r="2526" customFormat="false" ht="15" hidden="false" customHeight="false" outlineLevel="0" collapsed="false">
      <c r="H2526" s="0" t="str">
        <f aca="false">IF(B2526="","",IF(COUNTIF(Campaigns!$A$7:$A$300,B2526)&gt;0,"✓","⚠ add to Campaigns tab"))</f>
        <v/>
      </c>
      <c r="I2526" s="84" t="str">
        <f aca="false">IF(C2526="","",C2526*IF(Settings!$B$22=Settings!$C$6,1,IF(Settings!$B$22="USD",1/INDEX(Settings!$B$29:$B$40,MONTH(A2526)),INDEX(Settings!$B$29:$B$40,MONTH(A2526)))))</f>
        <v/>
      </c>
    </row>
    <row r="2527" customFormat="false" ht="15" hidden="false" customHeight="false" outlineLevel="0" collapsed="false">
      <c r="H2527" s="0" t="str">
        <f aca="false">IF(B2527="","",IF(COUNTIF(Campaigns!$A$7:$A$300,B2527)&gt;0,"✓","⚠ add to Campaigns tab"))</f>
        <v/>
      </c>
      <c r="I2527" s="84" t="str">
        <f aca="false">IF(C2527="","",C2527*IF(Settings!$B$22=Settings!$C$6,1,IF(Settings!$B$22="USD",1/INDEX(Settings!$B$29:$B$40,MONTH(A2527)),INDEX(Settings!$B$29:$B$40,MONTH(A2527)))))</f>
        <v/>
      </c>
    </row>
    <row r="2528" customFormat="false" ht="15" hidden="false" customHeight="false" outlineLevel="0" collapsed="false">
      <c r="H2528" s="0" t="str">
        <f aca="false">IF(B2528="","",IF(COUNTIF(Campaigns!$A$7:$A$300,B2528)&gt;0,"✓","⚠ add to Campaigns tab"))</f>
        <v/>
      </c>
      <c r="I2528" s="84" t="str">
        <f aca="false">IF(C2528="","",C2528*IF(Settings!$B$22=Settings!$C$6,1,IF(Settings!$B$22="USD",1/INDEX(Settings!$B$29:$B$40,MONTH(A2528)),INDEX(Settings!$B$29:$B$40,MONTH(A2528)))))</f>
        <v/>
      </c>
    </row>
    <row r="2529" customFormat="false" ht="15" hidden="false" customHeight="false" outlineLevel="0" collapsed="false">
      <c r="H2529" s="0" t="str">
        <f aca="false">IF(B2529="","",IF(COUNTIF(Campaigns!$A$7:$A$300,B2529)&gt;0,"✓","⚠ add to Campaigns tab"))</f>
        <v/>
      </c>
      <c r="I2529" s="84" t="str">
        <f aca="false">IF(C2529="","",C2529*IF(Settings!$B$22=Settings!$C$6,1,IF(Settings!$B$22="USD",1/INDEX(Settings!$B$29:$B$40,MONTH(A2529)),INDEX(Settings!$B$29:$B$40,MONTH(A2529)))))</f>
        <v/>
      </c>
    </row>
    <row r="2530" customFormat="false" ht="15" hidden="false" customHeight="false" outlineLevel="0" collapsed="false">
      <c r="H2530" s="0" t="str">
        <f aca="false">IF(B2530="","",IF(COUNTIF(Campaigns!$A$7:$A$300,B2530)&gt;0,"✓","⚠ add to Campaigns tab"))</f>
        <v/>
      </c>
      <c r="I2530" s="84" t="str">
        <f aca="false">IF(C2530="","",C2530*IF(Settings!$B$22=Settings!$C$6,1,IF(Settings!$B$22="USD",1/INDEX(Settings!$B$29:$B$40,MONTH(A2530)),INDEX(Settings!$B$29:$B$40,MONTH(A2530)))))</f>
        <v/>
      </c>
    </row>
    <row r="2531" customFormat="false" ht="15" hidden="false" customHeight="false" outlineLevel="0" collapsed="false">
      <c r="H2531" s="0" t="str">
        <f aca="false">IF(B2531="","",IF(COUNTIF(Campaigns!$A$7:$A$300,B2531)&gt;0,"✓","⚠ add to Campaigns tab"))</f>
        <v/>
      </c>
      <c r="I2531" s="84" t="str">
        <f aca="false">IF(C2531="","",C2531*IF(Settings!$B$22=Settings!$C$6,1,IF(Settings!$B$22="USD",1/INDEX(Settings!$B$29:$B$40,MONTH(A2531)),INDEX(Settings!$B$29:$B$40,MONTH(A2531)))))</f>
        <v/>
      </c>
    </row>
    <row r="2532" customFormat="false" ht="15" hidden="false" customHeight="false" outlineLevel="0" collapsed="false">
      <c r="H2532" s="0" t="str">
        <f aca="false">IF(B2532="","",IF(COUNTIF(Campaigns!$A$7:$A$300,B2532)&gt;0,"✓","⚠ add to Campaigns tab"))</f>
        <v/>
      </c>
      <c r="I2532" s="84" t="str">
        <f aca="false">IF(C2532="","",C2532*IF(Settings!$B$22=Settings!$C$6,1,IF(Settings!$B$22="USD",1/INDEX(Settings!$B$29:$B$40,MONTH(A2532)),INDEX(Settings!$B$29:$B$40,MONTH(A2532)))))</f>
        <v/>
      </c>
    </row>
    <row r="2533" customFormat="false" ht="15" hidden="false" customHeight="false" outlineLevel="0" collapsed="false">
      <c r="H2533" s="0" t="str">
        <f aca="false">IF(B2533="","",IF(COUNTIF(Campaigns!$A$7:$A$300,B2533)&gt;0,"✓","⚠ add to Campaigns tab"))</f>
        <v/>
      </c>
      <c r="I2533" s="84" t="str">
        <f aca="false">IF(C2533="","",C2533*IF(Settings!$B$22=Settings!$C$6,1,IF(Settings!$B$22="USD",1/INDEX(Settings!$B$29:$B$40,MONTH(A2533)),INDEX(Settings!$B$29:$B$40,MONTH(A2533)))))</f>
        <v/>
      </c>
    </row>
    <row r="2534" customFormat="false" ht="15" hidden="false" customHeight="false" outlineLevel="0" collapsed="false">
      <c r="H2534" s="0" t="str">
        <f aca="false">IF(B2534="","",IF(COUNTIF(Campaigns!$A$7:$A$300,B2534)&gt;0,"✓","⚠ add to Campaigns tab"))</f>
        <v/>
      </c>
      <c r="I2534" s="84" t="str">
        <f aca="false">IF(C2534="","",C2534*IF(Settings!$B$22=Settings!$C$6,1,IF(Settings!$B$22="USD",1/INDEX(Settings!$B$29:$B$40,MONTH(A2534)),INDEX(Settings!$B$29:$B$40,MONTH(A2534)))))</f>
        <v/>
      </c>
    </row>
    <row r="2535" customFormat="false" ht="15" hidden="false" customHeight="false" outlineLevel="0" collapsed="false">
      <c r="H2535" s="0" t="str">
        <f aca="false">IF(B2535="","",IF(COUNTIF(Campaigns!$A$7:$A$300,B2535)&gt;0,"✓","⚠ add to Campaigns tab"))</f>
        <v/>
      </c>
      <c r="I2535" s="84" t="str">
        <f aca="false">IF(C2535="","",C2535*IF(Settings!$B$22=Settings!$C$6,1,IF(Settings!$B$22="USD",1/INDEX(Settings!$B$29:$B$40,MONTH(A2535)),INDEX(Settings!$B$29:$B$40,MONTH(A2535)))))</f>
        <v/>
      </c>
    </row>
    <row r="2536" customFormat="false" ht="15" hidden="false" customHeight="false" outlineLevel="0" collapsed="false">
      <c r="H2536" s="0" t="str">
        <f aca="false">IF(B2536="","",IF(COUNTIF(Campaigns!$A$7:$A$300,B2536)&gt;0,"✓","⚠ add to Campaigns tab"))</f>
        <v/>
      </c>
      <c r="I2536" s="84" t="str">
        <f aca="false">IF(C2536="","",C2536*IF(Settings!$B$22=Settings!$C$6,1,IF(Settings!$B$22="USD",1/INDEX(Settings!$B$29:$B$40,MONTH(A2536)),INDEX(Settings!$B$29:$B$40,MONTH(A2536)))))</f>
        <v/>
      </c>
    </row>
    <row r="2537" customFormat="false" ht="15" hidden="false" customHeight="false" outlineLevel="0" collapsed="false">
      <c r="H2537" s="0" t="str">
        <f aca="false">IF(B2537="","",IF(COUNTIF(Campaigns!$A$7:$A$300,B2537)&gt;0,"✓","⚠ add to Campaigns tab"))</f>
        <v/>
      </c>
      <c r="I2537" s="84" t="str">
        <f aca="false">IF(C2537="","",C2537*IF(Settings!$B$22=Settings!$C$6,1,IF(Settings!$B$22="USD",1/INDEX(Settings!$B$29:$B$40,MONTH(A2537)),INDEX(Settings!$B$29:$B$40,MONTH(A2537)))))</f>
        <v/>
      </c>
    </row>
    <row r="2538" customFormat="false" ht="15" hidden="false" customHeight="false" outlineLevel="0" collapsed="false">
      <c r="H2538" s="0" t="str">
        <f aca="false">IF(B2538="","",IF(COUNTIF(Campaigns!$A$7:$A$300,B2538)&gt;0,"✓","⚠ add to Campaigns tab"))</f>
        <v/>
      </c>
      <c r="I2538" s="84" t="str">
        <f aca="false">IF(C2538="","",C2538*IF(Settings!$B$22=Settings!$C$6,1,IF(Settings!$B$22="USD",1/INDEX(Settings!$B$29:$B$40,MONTH(A2538)),INDEX(Settings!$B$29:$B$40,MONTH(A2538)))))</f>
        <v/>
      </c>
    </row>
    <row r="2539" customFormat="false" ht="15" hidden="false" customHeight="false" outlineLevel="0" collapsed="false">
      <c r="H2539" s="0" t="str">
        <f aca="false">IF(B2539="","",IF(COUNTIF(Campaigns!$A$7:$A$300,B2539)&gt;0,"✓","⚠ add to Campaigns tab"))</f>
        <v/>
      </c>
      <c r="I2539" s="84" t="str">
        <f aca="false">IF(C2539="","",C2539*IF(Settings!$B$22=Settings!$C$6,1,IF(Settings!$B$22="USD",1/INDEX(Settings!$B$29:$B$40,MONTH(A2539)),INDEX(Settings!$B$29:$B$40,MONTH(A2539)))))</f>
        <v/>
      </c>
    </row>
    <row r="2540" customFormat="false" ht="15" hidden="false" customHeight="false" outlineLevel="0" collapsed="false">
      <c r="H2540" s="0" t="str">
        <f aca="false">IF(B2540="","",IF(COUNTIF(Campaigns!$A$7:$A$300,B2540)&gt;0,"✓","⚠ add to Campaigns tab"))</f>
        <v/>
      </c>
      <c r="I2540" s="84" t="str">
        <f aca="false">IF(C2540="","",C2540*IF(Settings!$B$22=Settings!$C$6,1,IF(Settings!$B$22="USD",1/INDEX(Settings!$B$29:$B$40,MONTH(A2540)),INDEX(Settings!$B$29:$B$40,MONTH(A2540)))))</f>
        <v/>
      </c>
    </row>
    <row r="2541" customFormat="false" ht="15" hidden="false" customHeight="false" outlineLevel="0" collapsed="false">
      <c r="H2541" s="0" t="str">
        <f aca="false">IF(B2541="","",IF(COUNTIF(Campaigns!$A$7:$A$300,B2541)&gt;0,"✓","⚠ add to Campaigns tab"))</f>
        <v/>
      </c>
      <c r="I2541" s="84" t="str">
        <f aca="false">IF(C2541="","",C2541*IF(Settings!$B$22=Settings!$C$6,1,IF(Settings!$B$22="USD",1/INDEX(Settings!$B$29:$B$40,MONTH(A2541)),INDEX(Settings!$B$29:$B$40,MONTH(A2541)))))</f>
        <v/>
      </c>
    </row>
    <row r="2542" customFormat="false" ht="15" hidden="false" customHeight="false" outlineLevel="0" collapsed="false">
      <c r="H2542" s="0" t="str">
        <f aca="false">IF(B2542="","",IF(COUNTIF(Campaigns!$A$7:$A$300,B2542)&gt;0,"✓","⚠ add to Campaigns tab"))</f>
        <v/>
      </c>
      <c r="I2542" s="84" t="str">
        <f aca="false">IF(C2542="","",C2542*IF(Settings!$B$22=Settings!$C$6,1,IF(Settings!$B$22="USD",1/INDEX(Settings!$B$29:$B$40,MONTH(A2542)),INDEX(Settings!$B$29:$B$40,MONTH(A2542)))))</f>
        <v/>
      </c>
    </row>
    <row r="2543" customFormat="false" ht="15" hidden="false" customHeight="false" outlineLevel="0" collapsed="false">
      <c r="H2543" s="0" t="str">
        <f aca="false">IF(B2543="","",IF(COUNTIF(Campaigns!$A$7:$A$300,B2543)&gt;0,"✓","⚠ add to Campaigns tab"))</f>
        <v/>
      </c>
      <c r="I2543" s="84" t="str">
        <f aca="false">IF(C2543="","",C2543*IF(Settings!$B$22=Settings!$C$6,1,IF(Settings!$B$22="USD",1/INDEX(Settings!$B$29:$B$40,MONTH(A2543)),INDEX(Settings!$B$29:$B$40,MONTH(A2543)))))</f>
        <v/>
      </c>
    </row>
    <row r="2544" customFormat="false" ht="15" hidden="false" customHeight="false" outlineLevel="0" collapsed="false">
      <c r="H2544" s="0" t="str">
        <f aca="false">IF(B2544="","",IF(COUNTIF(Campaigns!$A$7:$A$300,B2544)&gt;0,"✓","⚠ add to Campaigns tab"))</f>
        <v/>
      </c>
      <c r="I2544" s="84" t="str">
        <f aca="false">IF(C2544="","",C2544*IF(Settings!$B$22=Settings!$C$6,1,IF(Settings!$B$22="USD",1/INDEX(Settings!$B$29:$B$40,MONTH(A2544)),INDEX(Settings!$B$29:$B$40,MONTH(A2544)))))</f>
        <v/>
      </c>
    </row>
    <row r="2545" customFormat="false" ht="15" hidden="false" customHeight="false" outlineLevel="0" collapsed="false">
      <c r="H2545" s="0" t="str">
        <f aca="false">IF(B2545="","",IF(COUNTIF(Campaigns!$A$7:$A$300,B2545)&gt;0,"✓","⚠ add to Campaigns tab"))</f>
        <v/>
      </c>
      <c r="I2545" s="84" t="str">
        <f aca="false">IF(C2545="","",C2545*IF(Settings!$B$22=Settings!$C$6,1,IF(Settings!$B$22="USD",1/INDEX(Settings!$B$29:$B$40,MONTH(A2545)),INDEX(Settings!$B$29:$B$40,MONTH(A2545)))))</f>
        <v/>
      </c>
    </row>
    <row r="2546" customFormat="false" ht="15" hidden="false" customHeight="false" outlineLevel="0" collapsed="false">
      <c r="H2546" s="0" t="str">
        <f aca="false">IF(B2546="","",IF(COUNTIF(Campaigns!$A$7:$A$300,B2546)&gt;0,"✓","⚠ add to Campaigns tab"))</f>
        <v/>
      </c>
      <c r="I2546" s="84" t="str">
        <f aca="false">IF(C2546="","",C2546*IF(Settings!$B$22=Settings!$C$6,1,IF(Settings!$B$22="USD",1/INDEX(Settings!$B$29:$B$40,MONTH(A2546)),INDEX(Settings!$B$29:$B$40,MONTH(A2546)))))</f>
        <v/>
      </c>
    </row>
    <row r="2547" customFormat="false" ht="15" hidden="false" customHeight="false" outlineLevel="0" collapsed="false">
      <c r="H2547" s="0" t="str">
        <f aca="false">IF(B2547="","",IF(COUNTIF(Campaigns!$A$7:$A$300,B2547)&gt;0,"✓","⚠ add to Campaigns tab"))</f>
        <v/>
      </c>
      <c r="I2547" s="84" t="str">
        <f aca="false">IF(C2547="","",C2547*IF(Settings!$B$22=Settings!$C$6,1,IF(Settings!$B$22="USD",1/INDEX(Settings!$B$29:$B$40,MONTH(A2547)),INDEX(Settings!$B$29:$B$40,MONTH(A2547)))))</f>
        <v/>
      </c>
    </row>
    <row r="2548" customFormat="false" ht="15" hidden="false" customHeight="false" outlineLevel="0" collapsed="false">
      <c r="H2548" s="0" t="str">
        <f aca="false">IF(B2548="","",IF(COUNTIF(Campaigns!$A$7:$A$300,B2548)&gt;0,"✓","⚠ add to Campaigns tab"))</f>
        <v/>
      </c>
      <c r="I2548" s="84" t="str">
        <f aca="false">IF(C2548="","",C2548*IF(Settings!$B$22=Settings!$C$6,1,IF(Settings!$B$22="USD",1/INDEX(Settings!$B$29:$B$40,MONTH(A2548)),INDEX(Settings!$B$29:$B$40,MONTH(A2548)))))</f>
        <v/>
      </c>
    </row>
    <row r="2549" customFormat="false" ht="15" hidden="false" customHeight="false" outlineLevel="0" collapsed="false">
      <c r="H2549" s="0" t="str">
        <f aca="false">IF(B2549="","",IF(COUNTIF(Campaigns!$A$7:$A$300,B2549)&gt;0,"✓","⚠ add to Campaigns tab"))</f>
        <v/>
      </c>
      <c r="I2549" s="84" t="str">
        <f aca="false">IF(C2549="","",C2549*IF(Settings!$B$22=Settings!$C$6,1,IF(Settings!$B$22="USD",1/INDEX(Settings!$B$29:$B$40,MONTH(A2549)),INDEX(Settings!$B$29:$B$40,MONTH(A2549)))))</f>
        <v/>
      </c>
    </row>
    <row r="2550" customFormat="false" ht="15" hidden="false" customHeight="false" outlineLevel="0" collapsed="false">
      <c r="H2550" s="0" t="str">
        <f aca="false">IF(B2550="","",IF(COUNTIF(Campaigns!$A$7:$A$300,B2550)&gt;0,"✓","⚠ add to Campaigns tab"))</f>
        <v/>
      </c>
      <c r="I2550" s="84" t="str">
        <f aca="false">IF(C2550="","",C2550*IF(Settings!$B$22=Settings!$C$6,1,IF(Settings!$B$22="USD",1/INDEX(Settings!$B$29:$B$40,MONTH(A2550)),INDEX(Settings!$B$29:$B$40,MONTH(A2550)))))</f>
        <v/>
      </c>
    </row>
    <row r="2551" customFormat="false" ht="15" hidden="false" customHeight="false" outlineLevel="0" collapsed="false">
      <c r="H2551" s="0" t="str">
        <f aca="false">IF(B2551="","",IF(COUNTIF(Campaigns!$A$7:$A$300,B2551)&gt;0,"✓","⚠ add to Campaigns tab"))</f>
        <v/>
      </c>
      <c r="I2551" s="84" t="str">
        <f aca="false">IF(C2551="","",C2551*IF(Settings!$B$22=Settings!$C$6,1,IF(Settings!$B$22="USD",1/INDEX(Settings!$B$29:$B$40,MONTH(A2551)),INDEX(Settings!$B$29:$B$40,MONTH(A2551)))))</f>
        <v/>
      </c>
    </row>
    <row r="2552" customFormat="false" ht="15" hidden="false" customHeight="false" outlineLevel="0" collapsed="false">
      <c r="H2552" s="0" t="str">
        <f aca="false">IF(B2552="","",IF(COUNTIF(Campaigns!$A$7:$A$300,B2552)&gt;0,"✓","⚠ add to Campaigns tab"))</f>
        <v/>
      </c>
      <c r="I2552" s="84" t="str">
        <f aca="false">IF(C2552="","",C2552*IF(Settings!$B$22=Settings!$C$6,1,IF(Settings!$B$22="USD",1/INDEX(Settings!$B$29:$B$40,MONTH(A2552)),INDEX(Settings!$B$29:$B$40,MONTH(A2552)))))</f>
        <v/>
      </c>
    </row>
    <row r="2553" customFormat="false" ht="15" hidden="false" customHeight="false" outlineLevel="0" collapsed="false">
      <c r="H2553" s="0" t="str">
        <f aca="false">IF(B2553="","",IF(COUNTIF(Campaigns!$A$7:$A$300,B2553)&gt;0,"✓","⚠ add to Campaigns tab"))</f>
        <v/>
      </c>
      <c r="I2553" s="84" t="str">
        <f aca="false">IF(C2553="","",C2553*IF(Settings!$B$22=Settings!$C$6,1,IF(Settings!$B$22="USD",1/INDEX(Settings!$B$29:$B$40,MONTH(A2553)),INDEX(Settings!$B$29:$B$40,MONTH(A2553)))))</f>
        <v/>
      </c>
    </row>
    <row r="2554" customFormat="false" ht="15" hidden="false" customHeight="false" outlineLevel="0" collapsed="false">
      <c r="H2554" s="0" t="str">
        <f aca="false">IF(B2554="","",IF(COUNTIF(Campaigns!$A$7:$A$300,B2554)&gt;0,"✓","⚠ add to Campaigns tab"))</f>
        <v/>
      </c>
      <c r="I2554" s="84" t="str">
        <f aca="false">IF(C2554="","",C2554*IF(Settings!$B$22=Settings!$C$6,1,IF(Settings!$B$22="USD",1/INDEX(Settings!$B$29:$B$40,MONTH(A2554)),INDEX(Settings!$B$29:$B$40,MONTH(A2554)))))</f>
        <v/>
      </c>
    </row>
    <row r="2555" customFormat="false" ht="15" hidden="false" customHeight="false" outlineLevel="0" collapsed="false">
      <c r="H2555" s="0" t="str">
        <f aca="false">IF(B2555="","",IF(COUNTIF(Campaigns!$A$7:$A$300,B2555)&gt;0,"✓","⚠ add to Campaigns tab"))</f>
        <v/>
      </c>
      <c r="I2555" s="84" t="str">
        <f aca="false">IF(C2555="","",C2555*IF(Settings!$B$22=Settings!$C$6,1,IF(Settings!$B$22="USD",1/INDEX(Settings!$B$29:$B$40,MONTH(A2555)),INDEX(Settings!$B$29:$B$40,MONTH(A2555)))))</f>
        <v/>
      </c>
    </row>
    <row r="2556" customFormat="false" ht="15" hidden="false" customHeight="false" outlineLevel="0" collapsed="false">
      <c r="H2556" s="0" t="str">
        <f aca="false">IF(B2556="","",IF(COUNTIF(Campaigns!$A$7:$A$300,B2556)&gt;0,"✓","⚠ add to Campaigns tab"))</f>
        <v/>
      </c>
      <c r="I2556" s="84" t="str">
        <f aca="false">IF(C2556="","",C2556*IF(Settings!$B$22=Settings!$C$6,1,IF(Settings!$B$22="USD",1/INDEX(Settings!$B$29:$B$40,MONTH(A2556)),INDEX(Settings!$B$29:$B$40,MONTH(A2556)))))</f>
        <v/>
      </c>
    </row>
    <row r="2557" customFormat="false" ht="15" hidden="false" customHeight="false" outlineLevel="0" collapsed="false">
      <c r="H2557" s="0" t="str">
        <f aca="false">IF(B2557="","",IF(COUNTIF(Campaigns!$A$7:$A$300,B2557)&gt;0,"✓","⚠ add to Campaigns tab"))</f>
        <v/>
      </c>
      <c r="I2557" s="84" t="str">
        <f aca="false">IF(C2557="","",C2557*IF(Settings!$B$22=Settings!$C$6,1,IF(Settings!$B$22="USD",1/INDEX(Settings!$B$29:$B$40,MONTH(A2557)),INDEX(Settings!$B$29:$B$40,MONTH(A2557)))))</f>
        <v/>
      </c>
    </row>
    <row r="2558" customFormat="false" ht="15" hidden="false" customHeight="false" outlineLevel="0" collapsed="false">
      <c r="H2558" s="0" t="str">
        <f aca="false">IF(B2558="","",IF(COUNTIF(Campaigns!$A$7:$A$300,B2558)&gt;0,"✓","⚠ add to Campaigns tab"))</f>
        <v/>
      </c>
      <c r="I2558" s="84" t="str">
        <f aca="false">IF(C2558="","",C2558*IF(Settings!$B$22=Settings!$C$6,1,IF(Settings!$B$22="USD",1/INDEX(Settings!$B$29:$B$40,MONTH(A2558)),INDEX(Settings!$B$29:$B$40,MONTH(A2558)))))</f>
        <v/>
      </c>
    </row>
    <row r="2559" customFormat="false" ht="15" hidden="false" customHeight="false" outlineLevel="0" collapsed="false">
      <c r="H2559" s="0" t="str">
        <f aca="false">IF(B2559="","",IF(COUNTIF(Campaigns!$A$7:$A$300,B2559)&gt;0,"✓","⚠ add to Campaigns tab"))</f>
        <v/>
      </c>
      <c r="I2559" s="84" t="str">
        <f aca="false">IF(C2559="","",C2559*IF(Settings!$B$22=Settings!$C$6,1,IF(Settings!$B$22="USD",1/INDEX(Settings!$B$29:$B$40,MONTH(A2559)),INDEX(Settings!$B$29:$B$40,MONTH(A2559)))))</f>
        <v/>
      </c>
    </row>
    <row r="2560" customFormat="false" ht="15" hidden="false" customHeight="false" outlineLevel="0" collapsed="false">
      <c r="H2560" s="0" t="str">
        <f aca="false">IF(B2560="","",IF(COUNTIF(Campaigns!$A$7:$A$300,B2560)&gt;0,"✓","⚠ add to Campaigns tab"))</f>
        <v/>
      </c>
      <c r="I2560" s="84" t="str">
        <f aca="false">IF(C2560="","",C2560*IF(Settings!$B$22=Settings!$C$6,1,IF(Settings!$B$22="USD",1/INDEX(Settings!$B$29:$B$40,MONTH(A2560)),INDEX(Settings!$B$29:$B$40,MONTH(A2560)))))</f>
        <v/>
      </c>
    </row>
    <row r="2561" customFormat="false" ht="15" hidden="false" customHeight="false" outlineLevel="0" collapsed="false">
      <c r="H2561" s="0" t="str">
        <f aca="false">IF(B2561="","",IF(COUNTIF(Campaigns!$A$7:$A$300,B2561)&gt;0,"✓","⚠ add to Campaigns tab"))</f>
        <v/>
      </c>
      <c r="I2561" s="84" t="str">
        <f aca="false">IF(C2561="","",C2561*IF(Settings!$B$22=Settings!$C$6,1,IF(Settings!$B$22="USD",1/INDEX(Settings!$B$29:$B$40,MONTH(A2561)),INDEX(Settings!$B$29:$B$40,MONTH(A2561)))))</f>
        <v/>
      </c>
    </row>
    <row r="2562" customFormat="false" ht="15" hidden="false" customHeight="false" outlineLevel="0" collapsed="false">
      <c r="H2562" s="0" t="str">
        <f aca="false">IF(B2562="","",IF(COUNTIF(Campaigns!$A$7:$A$300,B2562)&gt;0,"✓","⚠ add to Campaigns tab"))</f>
        <v/>
      </c>
      <c r="I2562" s="84" t="str">
        <f aca="false">IF(C2562="","",C2562*IF(Settings!$B$22=Settings!$C$6,1,IF(Settings!$B$22="USD",1/INDEX(Settings!$B$29:$B$40,MONTH(A2562)),INDEX(Settings!$B$29:$B$40,MONTH(A2562)))))</f>
        <v/>
      </c>
    </row>
    <row r="2563" customFormat="false" ht="15" hidden="false" customHeight="false" outlineLevel="0" collapsed="false">
      <c r="H2563" s="0" t="str">
        <f aca="false">IF(B2563="","",IF(COUNTIF(Campaigns!$A$7:$A$300,B2563)&gt;0,"✓","⚠ add to Campaigns tab"))</f>
        <v/>
      </c>
      <c r="I2563" s="84" t="str">
        <f aca="false">IF(C2563="","",C2563*IF(Settings!$B$22=Settings!$C$6,1,IF(Settings!$B$22="USD",1/INDEX(Settings!$B$29:$B$40,MONTH(A2563)),INDEX(Settings!$B$29:$B$40,MONTH(A2563)))))</f>
        <v/>
      </c>
    </row>
    <row r="2564" customFormat="false" ht="15" hidden="false" customHeight="false" outlineLevel="0" collapsed="false">
      <c r="H2564" s="0" t="str">
        <f aca="false">IF(B2564="","",IF(COUNTIF(Campaigns!$A$7:$A$300,B2564)&gt;0,"✓","⚠ add to Campaigns tab"))</f>
        <v/>
      </c>
      <c r="I2564" s="84" t="str">
        <f aca="false">IF(C2564="","",C2564*IF(Settings!$B$22=Settings!$C$6,1,IF(Settings!$B$22="USD",1/INDEX(Settings!$B$29:$B$40,MONTH(A2564)),INDEX(Settings!$B$29:$B$40,MONTH(A2564)))))</f>
        <v/>
      </c>
    </row>
    <row r="2565" customFormat="false" ht="15" hidden="false" customHeight="false" outlineLevel="0" collapsed="false">
      <c r="H2565" s="0" t="str">
        <f aca="false">IF(B2565="","",IF(COUNTIF(Campaigns!$A$7:$A$300,B2565)&gt;0,"✓","⚠ add to Campaigns tab"))</f>
        <v/>
      </c>
      <c r="I2565" s="84" t="str">
        <f aca="false">IF(C2565="","",C2565*IF(Settings!$B$22=Settings!$C$6,1,IF(Settings!$B$22="USD",1/INDEX(Settings!$B$29:$B$40,MONTH(A2565)),INDEX(Settings!$B$29:$B$40,MONTH(A2565)))))</f>
        <v/>
      </c>
    </row>
    <row r="2566" customFormat="false" ht="15" hidden="false" customHeight="false" outlineLevel="0" collapsed="false">
      <c r="H2566" s="0" t="str">
        <f aca="false">IF(B2566="","",IF(COUNTIF(Campaigns!$A$7:$A$300,B2566)&gt;0,"✓","⚠ add to Campaigns tab"))</f>
        <v/>
      </c>
      <c r="I2566" s="84" t="str">
        <f aca="false">IF(C2566="","",C2566*IF(Settings!$B$22=Settings!$C$6,1,IF(Settings!$B$22="USD",1/INDEX(Settings!$B$29:$B$40,MONTH(A2566)),INDEX(Settings!$B$29:$B$40,MONTH(A2566)))))</f>
        <v/>
      </c>
    </row>
    <row r="2567" customFormat="false" ht="15" hidden="false" customHeight="false" outlineLevel="0" collapsed="false">
      <c r="H2567" s="0" t="str">
        <f aca="false">IF(B2567="","",IF(COUNTIF(Campaigns!$A$7:$A$300,B2567)&gt;0,"✓","⚠ add to Campaigns tab"))</f>
        <v/>
      </c>
      <c r="I2567" s="84" t="str">
        <f aca="false">IF(C2567="","",C2567*IF(Settings!$B$22=Settings!$C$6,1,IF(Settings!$B$22="USD",1/INDEX(Settings!$B$29:$B$40,MONTH(A2567)),INDEX(Settings!$B$29:$B$40,MONTH(A2567)))))</f>
        <v/>
      </c>
    </row>
    <row r="2568" customFormat="false" ht="15" hidden="false" customHeight="false" outlineLevel="0" collapsed="false">
      <c r="H2568" s="0" t="str">
        <f aca="false">IF(B2568="","",IF(COUNTIF(Campaigns!$A$7:$A$300,B2568)&gt;0,"✓","⚠ add to Campaigns tab"))</f>
        <v/>
      </c>
      <c r="I2568" s="84" t="str">
        <f aca="false">IF(C2568="","",C2568*IF(Settings!$B$22=Settings!$C$6,1,IF(Settings!$B$22="USD",1/INDEX(Settings!$B$29:$B$40,MONTH(A2568)),INDEX(Settings!$B$29:$B$40,MONTH(A2568)))))</f>
        <v/>
      </c>
    </row>
    <row r="2569" customFormat="false" ht="15" hidden="false" customHeight="false" outlineLevel="0" collapsed="false">
      <c r="H2569" s="0" t="str">
        <f aca="false">IF(B2569="","",IF(COUNTIF(Campaigns!$A$7:$A$300,B2569)&gt;0,"✓","⚠ add to Campaigns tab"))</f>
        <v/>
      </c>
      <c r="I2569" s="84" t="str">
        <f aca="false">IF(C2569="","",C2569*IF(Settings!$B$22=Settings!$C$6,1,IF(Settings!$B$22="USD",1/INDEX(Settings!$B$29:$B$40,MONTH(A2569)),INDEX(Settings!$B$29:$B$40,MONTH(A2569)))))</f>
        <v/>
      </c>
    </row>
    <row r="2570" customFormat="false" ht="15" hidden="false" customHeight="false" outlineLevel="0" collapsed="false">
      <c r="H2570" s="0" t="str">
        <f aca="false">IF(B2570="","",IF(COUNTIF(Campaigns!$A$7:$A$300,B2570)&gt;0,"✓","⚠ add to Campaigns tab"))</f>
        <v/>
      </c>
      <c r="I2570" s="84" t="str">
        <f aca="false">IF(C2570="","",C2570*IF(Settings!$B$22=Settings!$C$6,1,IF(Settings!$B$22="USD",1/INDEX(Settings!$B$29:$B$40,MONTH(A2570)),INDEX(Settings!$B$29:$B$40,MONTH(A2570)))))</f>
        <v/>
      </c>
    </row>
    <row r="2571" customFormat="false" ht="15" hidden="false" customHeight="false" outlineLevel="0" collapsed="false">
      <c r="H2571" s="0" t="str">
        <f aca="false">IF(B2571="","",IF(COUNTIF(Campaigns!$A$7:$A$300,B2571)&gt;0,"✓","⚠ add to Campaigns tab"))</f>
        <v/>
      </c>
      <c r="I2571" s="84" t="str">
        <f aca="false">IF(C2571="","",C2571*IF(Settings!$B$22=Settings!$C$6,1,IF(Settings!$B$22="USD",1/INDEX(Settings!$B$29:$B$40,MONTH(A2571)),INDEX(Settings!$B$29:$B$40,MONTH(A2571)))))</f>
        <v/>
      </c>
    </row>
    <row r="2572" customFormat="false" ht="15" hidden="false" customHeight="false" outlineLevel="0" collapsed="false">
      <c r="H2572" s="0" t="str">
        <f aca="false">IF(B2572="","",IF(COUNTIF(Campaigns!$A$7:$A$300,B2572)&gt;0,"✓","⚠ add to Campaigns tab"))</f>
        <v/>
      </c>
      <c r="I2572" s="84" t="str">
        <f aca="false">IF(C2572="","",C2572*IF(Settings!$B$22=Settings!$C$6,1,IF(Settings!$B$22="USD",1/INDEX(Settings!$B$29:$B$40,MONTH(A2572)),INDEX(Settings!$B$29:$B$40,MONTH(A2572)))))</f>
        <v/>
      </c>
    </row>
    <row r="2573" customFormat="false" ht="15" hidden="false" customHeight="false" outlineLevel="0" collapsed="false">
      <c r="H2573" s="0" t="str">
        <f aca="false">IF(B2573="","",IF(COUNTIF(Campaigns!$A$7:$A$300,B2573)&gt;0,"✓","⚠ add to Campaigns tab"))</f>
        <v/>
      </c>
      <c r="I2573" s="84" t="str">
        <f aca="false">IF(C2573="","",C2573*IF(Settings!$B$22=Settings!$C$6,1,IF(Settings!$B$22="USD",1/INDEX(Settings!$B$29:$B$40,MONTH(A2573)),INDEX(Settings!$B$29:$B$40,MONTH(A2573)))))</f>
        <v/>
      </c>
    </row>
    <row r="2574" customFormat="false" ht="15" hidden="false" customHeight="false" outlineLevel="0" collapsed="false">
      <c r="H2574" s="0" t="str">
        <f aca="false">IF(B2574="","",IF(COUNTIF(Campaigns!$A$7:$A$300,B2574)&gt;0,"✓","⚠ add to Campaigns tab"))</f>
        <v/>
      </c>
      <c r="I2574" s="84" t="str">
        <f aca="false">IF(C2574="","",C2574*IF(Settings!$B$22=Settings!$C$6,1,IF(Settings!$B$22="USD",1/INDEX(Settings!$B$29:$B$40,MONTH(A2574)),INDEX(Settings!$B$29:$B$40,MONTH(A2574)))))</f>
        <v/>
      </c>
    </row>
    <row r="2575" customFormat="false" ht="15" hidden="false" customHeight="false" outlineLevel="0" collapsed="false">
      <c r="H2575" s="0" t="str">
        <f aca="false">IF(B2575="","",IF(COUNTIF(Campaigns!$A$7:$A$300,B2575)&gt;0,"✓","⚠ add to Campaigns tab"))</f>
        <v/>
      </c>
      <c r="I2575" s="84" t="str">
        <f aca="false">IF(C2575="","",C2575*IF(Settings!$B$22=Settings!$C$6,1,IF(Settings!$B$22="USD",1/INDEX(Settings!$B$29:$B$40,MONTH(A2575)),INDEX(Settings!$B$29:$B$40,MONTH(A2575)))))</f>
        <v/>
      </c>
    </row>
    <row r="2576" customFormat="false" ht="15" hidden="false" customHeight="false" outlineLevel="0" collapsed="false">
      <c r="H2576" s="0" t="str">
        <f aca="false">IF(B2576="","",IF(COUNTIF(Campaigns!$A$7:$A$300,B2576)&gt;0,"✓","⚠ add to Campaigns tab"))</f>
        <v/>
      </c>
      <c r="I2576" s="84" t="str">
        <f aca="false">IF(C2576="","",C2576*IF(Settings!$B$22=Settings!$C$6,1,IF(Settings!$B$22="USD",1/INDEX(Settings!$B$29:$B$40,MONTH(A2576)),INDEX(Settings!$B$29:$B$40,MONTH(A2576)))))</f>
        <v/>
      </c>
    </row>
    <row r="2577" customFormat="false" ht="15" hidden="false" customHeight="false" outlineLevel="0" collapsed="false">
      <c r="H2577" s="0" t="str">
        <f aca="false">IF(B2577="","",IF(COUNTIF(Campaigns!$A$7:$A$300,B2577)&gt;0,"✓","⚠ add to Campaigns tab"))</f>
        <v/>
      </c>
      <c r="I2577" s="84" t="str">
        <f aca="false">IF(C2577="","",C2577*IF(Settings!$B$22=Settings!$C$6,1,IF(Settings!$B$22="USD",1/INDEX(Settings!$B$29:$B$40,MONTH(A2577)),INDEX(Settings!$B$29:$B$40,MONTH(A2577)))))</f>
        <v/>
      </c>
    </row>
    <row r="2578" customFormat="false" ht="15" hidden="false" customHeight="false" outlineLevel="0" collapsed="false">
      <c r="H2578" s="0" t="str">
        <f aca="false">IF(B2578="","",IF(COUNTIF(Campaigns!$A$7:$A$300,B2578)&gt;0,"✓","⚠ add to Campaigns tab"))</f>
        <v/>
      </c>
      <c r="I2578" s="84" t="str">
        <f aca="false">IF(C2578="","",C2578*IF(Settings!$B$22=Settings!$C$6,1,IF(Settings!$B$22="USD",1/INDEX(Settings!$B$29:$B$40,MONTH(A2578)),INDEX(Settings!$B$29:$B$40,MONTH(A2578)))))</f>
        <v/>
      </c>
    </row>
    <row r="2579" customFormat="false" ht="15" hidden="false" customHeight="false" outlineLevel="0" collapsed="false">
      <c r="H2579" s="0" t="str">
        <f aca="false">IF(B2579="","",IF(COUNTIF(Campaigns!$A$7:$A$300,B2579)&gt;0,"✓","⚠ add to Campaigns tab"))</f>
        <v/>
      </c>
      <c r="I2579" s="84" t="str">
        <f aca="false">IF(C2579="","",C2579*IF(Settings!$B$22=Settings!$C$6,1,IF(Settings!$B$22="USD",1/INDEX(Settings!$B$29:$B$40,MONTH(A2579)),INDEX(Settings!$B$29:$B$40,MONTH(A2579)))))</f>
        <v/>
      </c>
    </row>
    <row r="2580" customFormat="false" ht="15" hidden="false" customHeight="false" outlineLevel="0" collapsed="false">
      <c r="H2580" s="0" t="str">
        <f aca="false">IF(B2580="","",IF(COUNTIF(Campaigns!$A$7:$A$300,B2580)&gt;0,"✓","⚠ add to Campaigns tab"))</f>
        <v/>
      </c>
      <c r="I2580" s="84" t="str">
        <f aca="false">IF(C2580="","",C2580*IF(Settings!$B$22=Settings!$C$6,1,IF(Settings!$B$22="USD",1/INDEX(Settings!$B$29:$B$40,MONTH(A2580)),INDEX(Settings!$B$29:$B$40,MONTH(A2580)))))</f>
        <v/>
      </c>
    </row>
    <row r="2581" customFormat="false" ht="15" hidden="false" customHeight="false" outlineLevel="0" collapsed="false">
      <c r="H2581" s="0" t="str">
        <f aca="false">IF(B2581="","",IF(COUNTIF(Campaigns!$A$7:$A$300,B2581)&gt;0,"✓","⚠ add to Campaigns tab"))</f>
        <v/>
      </c>
      <c r="I2581" s="84" t="str">
        <f aca="false">IF(C2581="","",C2581*IF(Settings!$B$22=Settings!$C$6,1,IF(Settings!$B$22="USD",1/INDEX(Settings!$B$29:$B$40,MONTH(A2581)),INDEX(Settings!$B$29:$B$40,MONTH(A2581)))))</f>
        <v/>
      </c>
    </row>
    <row r="2582" customFormat="false" ht="15" hidden="false" customHeight="false" outlineLevel="0" collapsed="false">
      <c r="H2582" s="0" t="str">
        <f aca="false">IF(B2582="","",IF(COUNTIF(Campaigns!$A$7:$A$300,B2582)&gt;0,"✓","⚠ add to Campaigns tab"))</f>
        <v/>
      </c>
      <c r="I2582" s="84" t="str">
        <f aca="false">IF(C2582="","",C2582*IF(Settings!$B$22=Settings!$C$6,1,IF(Settings!$B$22="USD",1/INDEX(Settings!$B$29:$B$40,MONTH(A2582)),INDEX(Settings!$B$29:$B$40,MONTH(A2582)))))</f>
        <v/>
      </c>
    </row>
    <row r="2583" customFormat="false" ht="15" hidden="false" customHeight="false" outlineLevel="0" collapsed="false">
      <c r="H2583" s="0" t="str">
        <f aca="false">IF(B2583="","",IF(COUNTIF(Campaigns!$A$7:$A$300,B2583)&gt;0,"✓","⚠ add to Campaigns tab"))</f>
        <v/>
      </c>
      <c r="I2583" s="84" t="str">
        <f aca="false">IF(C2583="","",C2583*IF(Settings!$B$22=Settings!$C$6,1,IF(Settings!$B$22="USD",1/INDEX(Settings!$B$29:$B$40,MONTH(A2583)),INDEX(Settings!$B$29:$B$40,MONTH(A2583)))))</f>
        <v/>
      </c>
    </row>
    <row r="2584" customFormat="false" ht="15" hidden="false" customHeight="false" outlineLevel="0" collapsed="false">
      <c r="H2584" s="0" t="str">
        <f aca="false">IF(B2584="","",IF(COUNTIF(Campaigns!$A$7:$A$300,B2584)&gt;0,"✓","⚠ add to Campaigns tab"))</f>
        <v/>
      </c>
      <c r="I2584" s="84" t="str">
        <f aca="false">IF(C2584="","",C2584*IF(Settings!$B$22=Settings!$C$6,1,IF(Settings!$B$22="USD",1/INDEX(Settings!$B$29:$B$40,MONTH(A2584)),INDEX(Settings!$B$29:$B$40,MONTH(A2584)))))</f>
        <v/>
      </c>
    </row>
    <row r="2585" customFormat="false" ht="15" hidden="false" customHeight="false" outlineLevel="0" collapsed="false">
      <c r="H2585" s="0" t="str">
        <f aca="false">IF(B2585="","",IF(COUNTIF(Campaigns!$A$7:$A$300,B2585)&gt;0,"✓","⚠ add to Campaigns tab"))</f>
        <v/>
      </c>
      <c r="I2585" s="84" t="str">
        <f aca="false">IF(C2585="","",C2585*IF(Settings!$B$22=Settings!$C$6,1,IF(Settings!$B$22="USD",1/INDEX(Settings!$B$29:$B$40,MONTH(A2585)),INDEX(Settings!$B$29:$B$40,MONTH(A2585)))))</f>
        <v/>
      </c>
    </row>
    <row r="2586" customFormat="false" ht="15" hidden="false" customHeight="false" outlineLevel="0" collapsed="false">
      <c r="H2586" s="0" t="str">
        <f aca="false">IF(B2586="","",IF(COUNTIF(Campaigns!$A$7:$A$300,B2586)&gt;0,"✓","⚠ add to Campaigns tab"))</f>
        <v/>
      </c>
      <c r="I2586" s="84" t="str">
        <f aca="false">IF(C2586="","",C2586*IF(Settings!$B$22=Settings!$C$6,1,IF(Settings!$B$22="USD",1/INDEX(Settings!$B$29:$B$40,MONTH(A2586)),INDEX(Settings!$B$29:$B$40,MONTH(A2586)))))</f>
        <v/>
      </c>
    </row>
    <row r="2587" customFormat="false" ht="15" hidden="false" customHeight="false" outlineLevel="0" collapsed="false">
      <c r="H2587" s="0" t="str">
        <f aca="false">IF(B2587="","",IF(COUNTIF(Campaigns!$A$7:$A$300,B2587)&gt;0,"✓","⚠ add to Campaigns tab"))</f>
        <v/>
      </c>
      <c r="I2587" s="84" t="str">
        <f aca="false">IF(C2587="","",C2587*IF(Settings!$B$22=Settings!$C$6,1,IF(Settings!$B$22="USD",1/INDEX(Settings!$B$29:$B$40,MONTH(A2587)),INDEX(Settings!$B$29:$B$40,MONTH(A2587)))))</f>
        <v/>
      </c>
    </row>
    <row r="2588" customFormat="false" ht="15" hidden="false" customHeight="false" outlineLevel="0" collapsed="false">
      <c r="H2588" s="0" t="str">
        <f aca="false">IF(B2588="","",IF(COUNTIF(Campaigns!$A$7:$A$300,B2588)&gt;0,"✓","⚠ add to Campaigns tab"))</f>
        <v/>
      </c>
      <c r="I2588" s="84" t="str">
        <f aca="false">IF(C2588="","",C2588*IF(Settings!$B$22=Settings!$C$6,1,IF(Settings!$B$22="USD",1/INDEX(Settings!$B$29:$B$40,MONTH(A2588)),INDEX(Settings!$B$29:$B$40,MONTH(A2588)))))</f>
        <v/>
      </c>
    </row>
    <row r="2589" customFormat="false" ht="15" hidden="false" customHeight="false" outlineLevel="0" collapsed="false">
      <c r="H2589" s="0" t="str">
        <f aca="false">IF(B2589="","",IF(COUNTIF(Campaigns!$A$7:$A$300,B2589)&gt;0,"✓","⚠ add to Campaigns tab"))</f>
        <v/>
      </c>
      <c r="I2589" s="84" t="str">
        <f aca="false">IF(C2589="","",C2589*IF(Settings!$B$22=Settings!$C$6,1,IF(Settings!$B$22="USD",1/INDEX(Settings!$B$29:$B$40,MONTH(A2589)),INDEX(Settings!$B$29:$B$40,MONTH(A2589)))))</f>
        <v/>
      </c>
    </row>
    <row r="2590" customFormat="false" ht="15" hidden="false" customHeight="false" outlineLevel="0" collapsed="false">
      <c r="H2590" s="0" t="str">
        <f aca="false">IF(B2590="","",IF(COUNTIF(Campaigns!$A$7:$A$300,B2590)&gt;0,"✓","⚠ add to Campaigns tab"))</f>
        <v/>
      </c>
      <c r="I2590" s="84" t="str">
        <f aca="false">IF(C2590="","",C2590*IF(Settings!$B$22=Settings!$C$6,1,IF(Settings!$B$22="USD",1/INDEX(Settings!$B$29:$B$40,MONTH(A2590)),INDEX(Settings!$B$29:$B$40,MONTH(A2590)))))</f>
        <v/>
      </c>
    </row>
    <row r="2591" customFormat="false" ht="15" hidden="false" customHeight="false" outlineLevel="0" collapsed="false">
      <c r="H2591" s="0" t="str">
        <f aca="false">IF(B2591="","",IF(COUNTIF(Campaigns!$A$7:$A$300,B2591)&gt;0,"✓","⚠ add to Campaigns tab"))</f>
        <v/>
      </c>
      <c r="I2591" s="84" t="str">
        <f aca="false">IF(C2591="","",C2591*IF(Settings!$B$22=Settings!$C$6,1,IF(Settings!$B$22="USD",1/INDEX(Settings!$B$29:$B$40,MONTH(A2591)),INDEX(Settings!$B$29:$B$40,MONTH(A2591)))))</f>
        <v/>
      </c>
    </row>
    <row r="2592" customFormat="false" ht="15" hidden="false" customHeight="false" outlineLevel="0" collapsed="false">
      <c r="H2592" s="0" t="str">
        <f aca="false">IF(B2592="","",IF(COUNTIF(Campaigns!$A$7:$A$300,B2592)&gt;0,"✓","⚠ add to Campaigns tab"))</f>
        <v/>
      </c>
      <c r="I2592" s="84" t="str">
        <f aca="false">IF(C2592="","",C2592*IF(Settings!$B$22=Settings!$C$6,1,IF(Settings!$B$22="USD",1/INDEX(Settings!$B$29:$B$40,MONTH(A2592)),INDEX(Settings!$B$29:$B$40,MONTH(A2592)))))</f>
        <v/>
      </c>
    </row>
    <row r="2593" customFormat="false" ht="15" hidden="false" customHeight="false" outlineLevel="0" collapsed="false">
      <c r="H2593" s="0" t="str">
        <f aca="false">IF(B2593="","",IF(COUNTIF(Campaigns!$A$7:$A$300,B2593)&gt;0,"✓","⚠ add to Campaigns tab"))</f>
        <v/>
      </c>
      <c r="I2593" s="84" t="str">
        <f aca="false">IF(C2593="","",C2593*IF(Settings!$B$22=Settings!$C$6,1,IF(Settings!$B$22="USD",1/INDEX(Settings!$B$29:$B$40,MONTH(A2593)),INDEX(Settings!$B$29:$B$40,MONTH(A2593)))))</f>
        <v/>
      </c>
    </row>
    <row r="2594" customFormat="false" ht="15" hidden="false" customHeight="false" outlineLevel="0" collapsed="false">
      <c r="H2594" s="0" t="str">
        <f aca="false">IF(B2594="","",IF(COUNTIF(Campaigns!$A$7:$A$300,B2594)&gt;0,"✓","⚠ add to Campaigns tab"))</f>
        <v/>
      </c>
      <c r="I2594" s="84" t="str">
        <f aca="false">IF(C2594="","",C2594*IF(Settings!$B$22=Settings!$C$6,1,IF(Settings!$B$22="USD",1/INDEX(Settings!$B$29:$B$40,MONTH(A2594)),INDEX(Settings!$B$29:$B$40,MONTH(A2594)))))</f>
        <v/>
      </c>
    </row>
    <row r="2595" customFormat="false" ht="15" hidden="false" customHeight="false" outlineLevel="0" collapsed="false">
      <c r="H2595" s="0" t="str">
        <f aca="false">IF(B2595="","",IF(COUNTIF(Campaigns!$A$7:$A$300,B2595)&gt;0,"✓","⚠ add to Campaigns tab"))</f>
        <v/>
      </c>
      <c r="I2595" s="84" t="str">
        <f aca="false">IF(C2595="","",C2595*IF(Settings!$B$22=Settings!$C$6,1,IF(Settings!$B$22="USD",1/INDEX(Settings!$B$29:$B$40,MONTH(A2595)),INDEX(Settings!$B$29:$B$40,MONTH(A2595)))))</f>
        <v/>
      </c>
    </row>
    <row r="2596" customFormat="false" ht="15" hidden="false" customHeight="false" outlineLevel="0" collapsed="false">
      <c r="H2596" s="0" t="str">
        <f aca="false">IF(B2596="","",IF(COUNTIF(Campaigns!$A$7:$A$300,B2596)&gt;0,"✓","⚠ add to Campaigns tab"))</f>
        <v/>
      </c>
      <c r="I2596" s="84" t="str">
        <f aca="false">IF(C2596="","",C2596*IF(Settings!$B$22=Settings!$C$6,1,IF(Settings!$B$22="USD",1/INDEX(Settings!$B$29:$B$40,MONTH(A2596)),INDEX(Settings!$B$29:$B$40,MONTH(A2596)))))</f>
        <v/>
      </c>
    </row>
    <row r="2597" customFormat="false" ht="15" hidden="false" customHeight="false" outlineLevel="0" collapsed="false">
      <c r="H2597" s="0" t="str">
        <f aca="false">IF(B2597="","",IF(COUNTIF(Campaigns!$A$7:$A$300,B2597)&gt;0,"✓","⚠ add to Campaigns tab"))</f>
        <v/>
      </c>
      <c r="I2597" s="84" t="str">
        <f aca="false">IF(C2597="","",C2597*IF(Settings!$B$22=Settings!$C$6,1,IF(Settings!$B$22="USD",1/INDEX(Settings!$B$29:$B$40,MONTH(A2597)),INDEX(Settings!$B$29:$B$40,MONTH(A2597)))))</f>
        <v/>
      </c>
    </row>
    <row r="2598" customFormat="false" ht="15" hidden="false" customHeight="false" outlineLevel="0" collapsed="false">
      <c r="H2598" s="0" t="str">
        <f aca="false">IF(B2598="","",IF(COUNTIF(Campaigns!$A$7:$A$300,B2598)&gt;0,"✓","⚠ add to Campaigns tab"))</f>
        <v/>
      </c>
      <c r="I2598" s="84" t="str">
        <f aca="false">IF(C2598="","",C2598*IF(Settings!$B$22=Settings!$C$6,1,IF(Settings!$B$22="USD",1/INDEX(Settings!$B$29:$B$40,MONTH(A2598)),INDEX(Settings!$B$29:$B$40,MONTH(A2598)))))</f>
        <v/>
      </c>
    </row>
    <row r="2599" customFormat="false" ht="15" hidden="false" customHeight="false" outlineLevel="0" collapsed="false">
      <c r="H2599" s="0" t="str">
        <f aca="false">IF(B2599="","",IF(COUNTIF(Campaigns!$A$7:$A$300,B2599)&gt;0,"✓","⚠ add to Campaigns tab"))</f>
        <v/>
      </c>
      <c r="I2599" s="84" t="str">
        <f aca="false">IF(C2599="","",C2599*IF(Settings!$B$22=Settings!$C$6,1,IF(Settings!$B$22="USD",1/INDEX(Settings!$B$29:$B$40,MONTH(A2599)),INDEX(Settings!$B$29:$B$40,MONTH(A2599)))))</f>
        <v/>
      </c>
    </row>
    <row r="2600" customFormat="false" ht="15" hidden="false" customHeight="false" outlineLevel="0" collapsed="false">
      <c r="H2600" s="0" t="str">
        <f aca="false">IF(B2600="","",IF(COUNTIF(Campaigns!$A$7:$A$300,B2600)&gt;0,"✓","⚠ add to Campaigns tab"))</f>
        <v/>
      </c>
      <c r="I2600" s="84" t="str">
        <f aca="false">IF(C2600="","",C2600*IF(Settings!$B$22=Settings!$C$6,1,IF(Settings!$B$22="USD",1/INDEX(Settings!$B$29:$B$40,MONTH(A2600)),INDEX(Settings!$B$29:$B$40,MONTH(A2600)))))</f>
        <v/>
      </c>
    </row>
    <row r="2601" customFormat="false" ht="15" hidden="false" customHeight="false" outlineLevel="0" collapsed="false">
      <c r="H2601" s="0" t="str">
        <f aca="false">IF(B2601="","",IF(COUNTIF(Campaigns!$A$7:$A$300,B2601)&gt;0,"✓","⚠ add to Campaigns tab"))</f>
        <v/>
      </c>
      <c r="I2601" s="84" t="str">
        <f aca="false">IF(C2601="","",C2601*IF(Settings!$B$22=Settings!$C$6,1,IF(Settings!$B$22="USD",1/INDEX(Settings!$B$29:$B$40,MONTH(A2601)),INDEX(Settings!$B$29:$B$40,MONTH(A2601)))))</f>
        <v/>
      </c>
    </row>
    <row r="2602" customFormat="false" ht="15" hidden="false" customHeight="false" outlineLevel="0" collapsed="false">
      <c r="H2602" s="0" t="str">
        <f aca="false">IF(B2602="","",IF(COUNTIF(Campaigns!$A$7:$A$300,B2602)&gt;0,"✓","⚠ add to Campaigns tab"))</f>
        <v/>
      </c>
      <c r="I2602" s="84" t="str">
        <f aca="false">IF(C2602="","",C2602*IF(Settings!$B$22=Settings!$C$6,1,IF(Settings!$B$22="USD",1/INDEX(Settings!$B$29:$B$40,MONTH(A2602)),INDEX(Settings!$B$29:$B$40,MONTH(A2602)))))</f>
        <v/>
      </c>
    </row>
    <row r="2603" customFormat="false" ht="15" hidden="false" customHeight="false" outlineLevel="0" collapsed="false">
      <c r="H2603" s="0" t="str">
        <f aca="false">IF(B2603="","",IF(COUNTIF(Campaigns!$A$7:$A$300,B2603)&gt;0,"✓","⚠ add to Campaigns tab"))</f>
        <v/>
      </c>
      <c r="I2603" s="84" t="str">
        <f aca="false">IF(C2603="","",C2603*IF(Settings!$B$22=Settings!$C$6,1,IF(Settings!$B$22="USD",1/INDEX(Settings!$B$29:$B$40,MONTH(A2603)),INDEX(Settings!$B$29:$B$40,MONTH(A2603)))))</f>
        <v/>
      </c>
    </row>
    <row r="2604" customFormat="false" ht="15" hidden="false" customHeight="false" outlineLevel="0" collapsed="false">
      <c r="H2604" s="0" t="str">
        <f aca="false">IF(B2604="","",IF(COUNTIF(Campaigns!$A$7:$A$300,B2604)&gt;0,"✓","⚠ add to Campaigns tab"))</f>
        <v/>
      </c>
      <c r="I2604" s="84" t="str">
        <f aca="false">IF(C2604="","",C2604*IF(Settings!$B$22=Settings!$C$6,1,IF(Settings!$B$22="USD",1/INDEX(Settings!$B$29:$B$40,MONTH(A2604)),INDEX(Settings!$B$29:$B$40,MONTH(A2604)))))</f>
        <v/>
      </c>
    </row>
    <row r="2605" customFormat="false" ht="15" hidden="false" customHeight="false" outlineLevel="0" collapsed="false">
      <c r="H2605" s="0" t="str">
        <f aca="false">IF(B2605="","",IF(COUNTIF(Campaigns!$A$7:$A$300,B2605)&gt;0,"✓","⚠ add to Campaigns tab"))</f>
        <v/>
      </c>
      <c r="I2605" s="84" t="str">
        <f aca="false">IF(C2605="","",C2605*IF(Settings!$B$22=Settings!$C$6,1,IF(Settings!$B$22="USD",1/INDEX(Settings!$B$29:$B$40,MONTH(A2605)),INDEX(Settings!$B$29:$B$40,MONTH(A2605)))))</f>
        <v/>
      </c>
    </row>
    <row r="2606" customFormat="false" ht="15" hidden="false" customHeight="false" outlineLevel="0" collapsed="false">
      <c r="H2606" s="0" t="str">
        <f aca="false">IF(B2606="","",IF(COUNTIF(Campaigns!$A$7:$A$300,B2606)&gt;0,"✓","⚠ add to Campaigns tab"))</f>
        <v/>
      </c>
      <c r="I2606" s="84" t="str">
        <f aca="false">IF(C2606="","",C2606*IF(Settings!$B$22=Settings!$C$6,1,IF(Settings!$B$22="USD",1/INDEX(Settings!$B$29:$B$40,MONTH(A2606)),INDEX(Settings!$B$29:$B$40,MONTH(A2606)))))</f>
        <v/>
      </c>
    </row>
    <row r="2607" customFormat="false" ht="15" hidden="false" customHeight="false" outlineLevel="0" collapsed="false">
      <c r="H2607" s="0" t="str">
        <f aca="false">IF(B2607="","",IF(COUNTIF(Campaigns!$A$7:$A$300,B2607)&gt;0,"✓","⚠ add to Campaigns tab"))</f>
        <v/>
      </c>
      <c r="I2607" s="84" t="str">
        <f aca="false">IF(C2607="","",C2607*IF(Settings!$B$22=Settings!$C$6,1,IF(Settings!$B$22="USD",1/INDEX(Settings!$B$29:$B$40,MONTH(A2607)),INDEX(Settings!$B$29:$B$40,MONTH(A2607)))))</f>
        <v/>
      </c>
    </row>
    <row r="2608" customFormat="false" ht="15" hidden="false" customHeight="false" outlineLevel="0" collapsed="false">
      <c r="H2608" s="0" t="str">
        <f aca="false">IF(B2608="","",IF(COUNTIF(Campaigns!$A$7:$A$300,B2608)&gt;0,"✓","⚠ add to Campaigns tab"))</f>
        <v/>
      </c>
      <c r="I2608" s="84" t="str">
        <f aca="false">IF(C2608="","",C2608*IF(Settings!$B$22=Settings!$C$6,1,IF(Settings!$B$22="USD",1/INDEX(Settings!$B$29:$B$40,MONTH(A2608)),INDEX(Settings!$B$29:$B$40,MONTH(A2608)))))</f>
        <v/>
      </c>
    </row>
    <row r="2609" customFormat="false" ht="15" hidden="false" customHeight="false" outlineLevel="0" collapsed="false">
      <c r="H2609" s="0" t="str">
        <f aca="false">IF(B2609="","",IF(COUNTIF(Campaigns!$A$7:$A$300,B2609)&gt;0,"✓","⚠ add to Campaigns tab"))</f>
        <v/>
      </c>
      <c r="I2609" s="84" t="str">
        <f aca="false">IF(C2609="","",C2609*IF(Settings!$B$22=Settings!$C$6,1,IF(Settings!$B$22="USD",1/INDEX(Settings!$B$29:$B$40,MONTH(A2609)),INDEX(Settings!$B$29:$B$40,MONTH(A2609)))))</f>
        <v/>
      </c>
    </row>
    <row r="2610" customFormat="false" ht="15" hidden="false" customHeight="false" outlineLevel="0" collapsed="false">
      <c r="H2610" s="0" t="str">
        <f aca="false">IF(B2610="","",IF(COUNTIF(Campaigns!$A$7:$A$300,B2610)&gt;0,"✓","⚠ add to Campaigns tab"))</f>
        <v/>
      </c>
      <c r="I2610" s="84" t="str">
        <f aca="false">IF(C2610="","",C2610*IF(Settings!$B$22=Settings!$C$6,1,IF(Settings!$B$22="USD",1/INDEX(Settings!$B$29:$B$40,MONTH(A2610)),INDEX(Settings!$B$29:$B$40,MONTH(A2610)))))</f>
        <v/>
      </c>
    </row>
    <row r="2611" customFormat="false" ht="15" hidden="false" customHeight="false" outlineLevel="0" collapsed="false">
      <c r="H2611" s="0" t="str">
        <f aca="false">IF(B2611="","",IF(COUNTIF(Campaigns!$A$7:$A$300,B2611)&gt;0,"✓","⚠ add to Campaigns tab"))</f>
        <v/>
      </c>
      <c r="I2611" s="84" t="str">
        <f aca="false">IF(C2611="","",C2611*IF(Settings!$B$22=Settings!$C$6,1,IF(Settings!$B$22="USD",1/INDEX(Settings!$B$29:$B$40,MONTH(A2611)),INDEX(Settings!$B$29:$B$40,MONTH(A2611)))))</f>
        <v/>
      </c>
    </row>
    <row r="2612" customFormat="false" ht="15" hidden="false" customHeight="false" outlineLevel="0" collapsed="false">
      <c r="H2612" s="0" t="str">
        <f aca="false">IF(B2612="","",IF(COUNTIF(Campaigns!$A$7:$A$300,B2612)&gt;0,"✓","⚠ add to Campaigns tab"))</f>
        <v/>
      </c>
      <c r="I2612" s="84" t="str">
        <f aca="false">IF(C2612="","",C2612*IF(Settings!$B$22=Settings!$C$6,1,IF(Settings!$B$22="USD",1/INDEX(Settings!$B$29:$B$40,MONTH(A2612)),INDEX(Settings!$B$29:$B$40,MONTH(A2612)))))</f>
        <v/>
      </c>
    </row>
    <row r="2613" customFormat="false" ht="15" hidden="false" customHeight="false" outlineLevel="0" collapsed="false">
      <c r="H2613" s="0" t="str">
        <f aca="false">IF(B2613="","",IF(COUNTIF(Campaigns!$A$7:$A$300,B2613)&gt;0,"✓","⚠ add to Campaigns tab"))</f>
        <v/>
      </c>
      <c r="I2613" s="84" t="str">
        <f aca="false">IF(C2613="","",C2613*IF(Settings!$B$22=Settings!$C$6,1,IF(Settings!$B$22="USD",1/INDEX(Settings!$B$29:$B$40,MONTH(A2613)),INDEX(Settings!$B$29:$B$40,MONTH(A2613)))))</f>
        <v/>
      </c>
    </row>
    <row r="2614" customFormat="false" ht="15" hidden="false" customHeight="false" outlineLevel="0" collapsed="false">
      <c r="H2614" s="0" t="str">
        <f aca="false">IF(B2614="","",IF(COUNTIF(Campaigns!$A$7:$A$300,B2614)&gt;0,"✓","⚠ add to Campaigns tab"))</f>
        <v/>
      </c>
      <c r="I2614" s="84" t="str">
        <f aca="false">IF(C2614="","",C2614*IF(Settings!$B$22=Settings!$C$6,1,IF(Settings!$B$22="USD",1/INDEX(Settings!$B$29:$B$40,MONTH(A2614)),INDEX(Settings!$B$29:$B$40,MONTH(A2614)))))</f>
        <v/>
      </c>
    </row>
    <row r="2615" customFormat="false" ht="15" hidden="false" customHeight="false" outlineLevel="0" collapsed="false">
      <c r="H2615" s="0" t="str">
        <f aca="false">IF(B2615="","",IF(COUNTIF(Campaigns!$A$7:$A$300,B2615)&gt;0,"✓","⚠ add to Campaigns tab"))</f>
        <v/>
      </c>
      <c r="I2615" s="84" t="str">
        <f aca="false">IF(C2615="","",C2615*IF(Settings!$B$22=Settings!$C$6,1,IF(Settings!$B$22="USD",1/INDEX(Settings!$B$29:$B$40,MONTH(A2615)),INDEX(Settings!$B$29:$B$40,MONTH(A2615)))))</f>
        <v/>
      </c>
    </row>
    <row r="2616" customFormat="false" ht="15" hidden="false" customHeight="false" outlineLevel="0" collapsed="false">
      <c r="H2616" s="0" t="str">
        <f aca="false">IF(B2616="","",IF(COUNTIF(Campaigns!$A$7:$A$300,B2616)&gt;0,"✓","⚠ add to Campaigns tab"))</f>
        <v/>
      </c>
      <c r="I2616" s="84" t="str">
        <f aca="false">IF(C2616="","",C2616*IF(Settings!$B$22=Settings!$C$6,1,IF(Settings!$B$22="USD",1/INDEX(Settings!$B$29:$B$40,MONTH(A2616)),INDEX(Settings!$B$29:$B$40,MONTH(A2616)))))</f>
        <v/>
      </c>
    </row>
    <row r="2617" customFormat="false" ht="15" hidden="false" customHeight="false" outlineLevel="0" collapsed="false">
      <c r="H2617" s="0" t="str">
        <f aca="false">IF(B2617="","",IF(COUNTIF(Campaigns!$A$7:$A$300,B2617)&gt;0,"✓","⚠ add to Campaigns tab"))</f>
        <v/>
      </c>
      <c r="I2617" s="84" t="str">
        <f aca="false">IF(C2617="","",C2617*IF(Settings!$B$22=Settings!$C$6,1,IF(Settings!$B$22="USD",1/INDEX(Settings!$B$29:$B$40,MONTH(A2617)),INDEX(Settings!$B$29:$B$40,MONTH(A2617)))))</f>
        <v/>
      </c>
    </row>
    <row r="2618" customFormat="false" ht="15" hidden="false" customHeight="false" outlineLevel="0" collapsed="false">
      <c r="H2618" s="0" t="str">
        <f aca="false">IF(B2618="","",IF(COUNTIF(Campaigns!$A$7:$A$300,B2618)&gt;0,"✓","⚠ add to Campaigns tab"))</f>
        <v/>
      </c>
      <c r="I2618" s="84" t="str">
        <f aca="false">IF(C2618="","",C2618*IF(Settings!$B$22=Settings!$C$6,1,IF(Settings!$B$22="USD",1/INDEX(Settings!$B$29:$B$40,MONTH(A2618)),INDEX(Settings!$B$29:$B$40,MONTH(A2618)))))</f>
        <v/>
      </c>
    </row>
    <row r="2619" customFormat="false" ht="15" hidden="false" customHeight="false" outlineLevel="0" collapsed="false">
      <c r="H2619" s="0" t="str">
        <f aca="false">IF(B2619="","",IF(COUNTIF(Campaigns!$A$7:$A$300,B2619)&gt;0,"✓","⚠ add to Campaigns tab"))</f>
        <v/>
      </c>
      <c r="I2619" s="84" t="str">
        <f aca="false">IF(C2619="","",C2619*IF(Settings!$B$22=Settings!$C$6,1,IF(Settings!$B$22="USD",1/INDEX(Settings!$B$29:$B$40,MONTH(A2619)),INDEX(Settings!$B$29:$B$40,MONTH(A2619)))))</f>
        <v/>
      </c>
    </row>
    <row r="2620" customFormat="false" ht="15" hidden="false" customHeight="false" outlineLevel="0" collapsed="false">
      <c r="H2620" s="0" t="str">
        <f aca="false">IF(B2620="","",IF(COUNTIF(Campaigns!$A$7:$A$300,B2620)&gt;0,"✓","⚠ add to Campaigns tab"))</f>
        <v/>
      </c>
      <c r="I2620" s="84" t="str">
        <f aca="false">IF(C2620="","",C2620*IF(Settings!$B$22=Settings!$C$6,1,IF(Settings!$B$22="USD",1/INDEX(Settings!$B$29:$B$40,MONTH(A2620)),INDEX(Settings!$B$29:$B$40,MONTH(A2620)))))</f>
        <v/>
      </c>
    </row>
    <row r="2621" customFormat="false" ht="15" hidden="false" customHeight="false" outlineLevel="0" collapsed="false">
      <c r="H2621" s="0" t="str">
        <f aca="false">IF(B2621="","",IF(COUNTIF(Campaigns!$A$7:$A$300,B2621)&gt;0,"✓","⚠ add to Campaigns tab"))</f>
        <v/>
      </c>
      <c r="I2621" s="84" t="str">
        <f aca="false">IF(C2621="","",C2621*IF(Settings!$B$22=Settings!$C$6,1,IF(Settings!$B$22="USD",1/INDEX(Settings!$B$29:$B$40,MONTH(A2621)),INDEX(Settings!$B$29:$B$40,MONTH(A2621)))))</f>
        <v/>
      </c>
    </row>
    <row r="2622" customFormat="false" ht="15" hidden="false" customHeight="false" outlineLevel="0" collapsed="false">
      <c r="H2622" s="0" t="str">
        <f aca="false">IF(B2622="","",IF(COUNTIF(Campaigns!$A$7:$A$300,B2622)&gt;0,"✓","⚠ add to Campaigns tab"))</f>
        <v/>
      </c>
      <c r="I2622" s="84" t="str">
        <f aca="false">IF(C2622="","",C2622*IF(Settings!$B$22=Settings!$C$6,1,IF(Settings!$B$22="USD",1/INDEX(Settings!$B$29:$B$40,MONTH(A2622)),INDEX(Settings!$B$29:$B$40,MONTH(A2622)))))</f>
        <v/>
      </c>
    </row>
    <row r="2623" customFormat="false" ht="15" hidden="false" customHeight="false" outlineLevel="0" collapsed="false">
      <c r="H2623" s="0" t="str">
        <f aca="false">IF(B2623="","",IF(COUNTIF(Campaigns!$A$7:$A$300,B2623)&gt;0,"✓","⚠ add to Campaigns tab"))</f>
        <v/>
      </c>
      <c r="I2623" s="84" t="str">
        <f aca="false">IF(C2623="","",C2623*IF(Settings!$B$22=Settings!$C$6,1,IF(Settings!$B$22="USD",1/INDEX(Settings!$B$29:$B$40,MONTH(A2623)),INDEX(Settings!$B$29:$B$40,MONTH(A2623)))))</f>
        <v/>
      </c>
    </row>
    <row r="2624" customFormat="false" ht="15" hidden="false" customHeight="false" outlineLevel="0" collapsed="false">
      <c r="H2624" s="0" t="str">
        <f aca="false">IF(B2624="","",IF(COUNTIF(Campaigns!$A$7:$A$300,B2624)&gt;0,"✓","⚠ add to Campaigns tab"))</f>
        <v/>
      </c>
      <c r="I2624" s="84" t="str">
        <f aca="false">IF(C2624="","",C2624*IF(Settings!$B$22=Settings!$C$6,1,IF(Settings!$B$22="USD",1/INDEX(Settings!$B$29:$B$40,MONTH(A2624)),INDEX(Settings!$B$29:$B$40,MONTH(A2624)))))</f>
        <v/>
      </c>
    </row>
    <row r="2625" customFormat="false" ht="15" hidden="false" customHeight="false" outlineLevel="0" collapsed="false">
      <c r="H2625" s="0" t="str">
        <f aca="false">IF(B2625="","",IF(COUNTIF(Campaigns!$A$7:$A$300,B2625)&gt;0,"✓","⚠ add to Campaigns tab"))</f>
        <v/>
      </c>
      <c r="I2625" s="84" t="str">
        <f aca="false">IF(C2625="","",C2625*IF(Settings!$B$22=Settings!$C$6,1,IF(Settings!$B$22="USD",1/INDEX(Settings!$B$29:$B$40,MONTH(A2625)),INDEX(Settings!$B$29:$B$40,MONTH(A2625)))))</f>
        <v/>
      </c>
    </row>
    <row r="2626" customFormat="false" ht="15" hidden="false" customHeight="false" outlineLevel="0" collapsed="false">
      <c r="H2626" s="0" t="str">
        <f aca="false">IF(B2626="","",IF(COUNTIF(Campaigns!$A$7:$A$300,B2626)&gt;0,"✓","⚠ add to Campaigns tab"))</f>
        <v/>
      </c>
      <c r="I2626" s="84" t="str">
        <f aca="false">IF(C2626="","",C2626*IF(Settings!$B$22=Settings!$C$6,1,IF(Settings!$B$22="USD",1/INDEX(Settings!$B$29:$B$40,MONTH(A2626)),INDEX(Settings!$B$29:$B$40,MONTH(A2626)))))</f>
        <v/>
      </c>
    </row>
    <row r="2627" customFormat="false" ht="15" hidden="false" customHeight="false" outlineLevel="0" collapsed="false">
      <c r="H2627" s="0" t="str">
        <f aca="false">IF(B2627="","",IF(COUNTIF(Campaigns!$A$7:$A$300,B2627)&gt;0,"✓","⚠ add to Campaigns tab"))</f>
        <v/>
      </c>
      <c r="I2627" s="84" t="str">
        <f aca="false">IF(C2627="","",C2627*IF(Settings!$B$22=Settings!$C$6,1,IF(Settings!$B$22="USD",1/INDEX(Settings!$B$29:$B$40,MONTH(A2627)),INDEX(Settings!$B$29:$B$40,MONTH(A2627)))))</f>
        <v/>
      </c>
    </row>
    <row r="2628" customFormat="false" ht="15" hidden="false" customHeight="false" outlineLevel="0" collapsed="false">
      <c r="H2628" s="0" t="str">
        <f aca="false">IF(B2628="","",IF(COUNTIF(Campaigns!$A$7:$A$300,B2628)&gt;0,"✓","⚠ add to Campaigns tab"))</f>
        <v/>
      </c>
      <c r="I2628" s="84" t="str">
        <f aca="false">IF(C2628="","",C2628*IF(Settings!$B$22=Settings!$C$6,1,IF(Settings!$B$22="USD",1/INDEX(Settings!$B$29:$B$40,MONTH(A2628)),INDEX(Settings!$B$29:$B$40,MONTH(A2628)))))</f>
        <v/>
      </c>
    </row>
    <row r="2629" customFormat="false" ht="15" hidden="false" customHeight="false" outlineLevel="0" collapsed="false">
      <c r="H2629" s="0" t="str">
        <f aca="false">IF(B2629="","",IF(COUNTIF(Campaigns!$A$7:$A$300,B2629)&gt;0,"✓","⚠ add to Campaigns tab"))</f>
        <v/>
      </c>
      <c r="I2629" s="84" t="str">
        <f aca="false">IF(C2629="","",C2629*IF(Settings!$B$22=Settings!$C$6,1,IF(Settings!$B$22="USD",1/INDEX(Settings!$B$29:$B$40,MONTH(A2629)),INDEX(Settings!$B$29:$B$40,MONTH(A2629)))))</f>
        <v/>
      </c>
    </row>
    <row r="2630" customFormat="false" ht="15" hidden="false" customHeight="false" outlineLevel="0" collapsed="false">
      <c r="H2630" s="0" t="str">
        <f aca="false">IF(B2630="","",IF(COUNTIF(Campaigns!$A$7:$A$300,B2630)&gt;0,"✓","⚠ add to Campaigns tab"))</f>
        <v/>
      </c>
      <c r="I2630" s="84" t="str">
        <f aca="false">IF(C2630="","",C2630*IF(Settings!$B$22=Settings!$C$6,1,IF(Settings!$B$22="USD",1/INDEX(Settings!$B$29:$B$40,MONTH(A2630)),INDEX(Settings!$B$29:$B$40,MONTH(A2630)))))</f>
        <v/>
      </c>
    </row>
    <row r="2631" customFormat="false" ht="15" hidden="false" customHeight="false" outlineLevel="0" collapsed="false">
      <c r="H2631" s="0" t="str">
        <f aca="false">IF(B2631="","",IF(COUNTIF(Campaigns!$A$7:$A$300,B2631)&gt;0,"✓","⚠ add to Campaigns tab"))</f>
        <v/>
      </c>
      <c r="I2631" s="84" t="str">
        <f aca="false">IF(C2631="","",C2631*IF(Settings!$B$22=Settings!$C$6,1,IF(Settings!$B$22="USD",1/INDEX(Settings!$B$29:$B$40,MONTH(A2631)),INDEX(Settings!$B$29:$B$40,MONTH(A2631)))))</f>
        <v/>
      </c>
    </row>
    <row r="2632" customFormat="false" ht="15" hidden="false" customHeight="false" outlineLevel="0" collapsed="false">
      <c r="H2632" s="0" t="str">
        <f aca="false">IF(B2632="","",IF(COUNTIF(Campaigns!$A$7:$A$300,B2632)&gt;0,"✓","⚠ add to Campaigns tab"))</f>
        <v/>
      </c>
      <c r="I2632" s="84" t="str">
        <f aca="false">IF(C2632="","",C2632*IF(Settings!$B$22=Settings!$C$6,1,IF(Settings!$B$22="USD",1/INDEX(Settings!$B$29:$B$40,MONTH(A2632)),INDEX(Settings!$B$29:$B$40,MONTH(A2632)))))</f>
        <v/>
      </c>
    </row>
    <row r="2633" customFormat="false" ht="15" hidden="false" customHeight="false" outlineLevel="0" collapsed="false">
      <c r="H2633" s="0" t="str">
        <f aca="false">IF(B2633="","",IF(COUNTIF(Campaigns!$A$7:$A$300,B2633)&gt;0,"✓","⚠ add to Campaigns tab"))</f>
        <v/>
      </c>
      <c r="I2633" s="84" t="str">
        <f aca="false">IF(C2633="","",C2633*IF(Settings!$B$22=Settings!$C$6,1,IF(Settings!$B$22="USD",1/INDEX(Settings!$B$29:$B$40,MONTH(A2633)),INDEX(Settings!$B$29:$B$40,MONTH(A2633)))))</f>
        <v/>
      </c>
    </row>
    <row r="2634" customFormat="false" ht="15" hidden="false" customHeight="false" outlineLevel="0" collapsed="false">
      <c r="H2634" s="0" t="str">
        <f aca="false">IF(B2634="","",IF(COUNTIF(Campaigns!$A$7:$A$300,B2634)&gt;0,"✓","⚠ add to Campaigns tab"))</f>
        <v/>
      </c>
      <c r="I2634" s="84" t="str">
        <f aca="false">IF(C2634="","",C2634*IF(Settings!$B$22=Settings!$C$6,1,IF(Settings!$B$22="USD",1/INDEX(Settings!$B$29:$B$40,MONTH(A2634)),INDEX(Settings!$B$29:$B$40,MONTH(A2634)))))</f>
        <v/>
      </c>
    </row>
    <row r="2635" customFormat="false" ht="15" hidden="false" customHeight="false" outlineLevel="0" collapsed="false">
      <c r="H2635" s="0" t="str">
        <f aca="false">IF(B2635="","",IF(COUNTIF(Campaigns!$A$7:$A$300,B2635)&gt;0,"✓","⚠ add to Campaigns tab"))</f>
        <v/>
      </c>
      <c r="I2635" s="84" t="str">
        <f aca="false">IF(C2635="","",C2635*IF(Settings!$B$22=Settings!$C$6,1,IF(Settings!$B$22="USD",1/INDEX(Settings!$B$29:$B$40,MONTH(A2635)),INDEX(Settings!$B$29:$B$40,MONTH(A2635)))))</f>
        <v/>
      </c>
    </row>
    <row r="2636" customFormat="false" ht="15" hidden="false" customHeight="false" outlineLevel="0" collapsed="false">
      <c r="H2636" s="0" t="str">
        <f aca="false">IF(B2636="","",IF(COUNTIF(Campaigns!$A$7:$A$300,B2636)&gt;0,"✓","⚠ add to Campaigns tab"))</f>
        <v/>
      </c>
      <c r="I2636" s="84" t="str">
        <f aca="false">IF(C2636="","",C2636*IF(Settings!$B$22=Settings!$C$6,1,IF(Settings!$B$22="USD",1/INDEX(Settings!$B$29:$B$40,MONTH(A2636)),INDEX(Settings!$B$29:$B$40,MONTH(A2636)))))</f>
        <v/>
      </c>
    </row>
    <row r="2637" customFormat="false" ht="15" hidden="false" customHeight="false" outlineLevel="0" collapsed="false">
      <c r="H2637" s="0" t="str">
        <f aca="false">IF(B2637="","",IF(COUNTIF(Campaigns!$A$7:$A$300,B2637)&gt;0,"✓","⚠ add to Campaigns tab"))</f>
        <v/>
      </c>
      <c r="I2637" s="84" t="str">
        <f aca="false">IF(C2637="","",C2637*IF(Settings!$B$22=Settings!$C$6,1,IF(Settings!$B$22="USD",1/INDEX(Settings!$B$29:$B$40,MONTH(A2637)),INDEX(Settings!$B$29:$B$40,MONTH(A2637)))))</f>
        <v/>
      </c>
    </row>
    <row r="2638" customFormat="false" ht="15" hidden="false" customHeight="false" outlineLevel="0" collapsed="false">
      <c r="H2638" s="0" t="str">
        <f aca="false">IF(B2638="","",IF(COUNTIF(Campaigns!$A$7:$A$300,B2638)&gt;0,"✓","⚠ add to Campaigns tab"))</f>
        <v/>
      </c>
      <c r="I2638" s="84" t="str">
        <f aca="false">IF(C2638="","",C2638*IF(Settings!$B$22=Settings!$C$6,1,IF(Settings!$B$22="USD",1/INDEX(Settings!$B$29:$B$40,MONTH(A2638)),INDEX(Settings!$B$29:$B$40,MONTH(A2638)))))</f>
        <v/>
      </c>
    </row>
    <row r="2639" customFormat="false" ht="15" hidden="false" customHeight="false" outlineLevel="0" collapsed="false">
      <c r="H2639" s="0" t="str">
        <f aca="false">IF(B2639="","",IF(COUNTIF(Campaigns!$A$7:$A$300,B2639)&gt;0,"✓","⚠ add to Campaigns tab"))</f>
        <v/>
      </c>
      <c r="I2639" s="84" t="str">
        <f aca="false">IF(C2639="","",C2639*IF(Settings!$B$22=Settings!$C$6,1,IF(Settings!$B$22="USD",1/INDEX(Settings!$B$29:$B$40,MONTH(A2639)),INDEX(Settings!$B$29:$B$40,MONTH(A2639)))))</f>
        <v/>
      </c>
    </row>
    <row r="2640" customFormat="false" ht="15" hidden="false" customHeight="false" outlineLevel="0" collapsed="false">
      <c r="H2640" s="0" t="str">
        <f aca="false">IF(B2640="","",IF(COUNTIF(Campaigns!$A$7:$A$300,B2640)&gt;0,"✓","⚠ add to Campaigns tab"))</f>
        <v/>
      </c>
      <c r="I2640" s="84" t="str">
        <f aca="false">IF(C2640="","",C2640*IF(Settings!$B$22=Settings!$C$6,1,IF(Settings!$B$22="USD",1/INDEX(Settings!$B$29:$B$40,MONTH(A2640)),INDEX(Settings!$B$29:$B$40,MONTH(A2640)))))</f>
        <v/>
      </c>
    </row>
    <row r="2641" customFormat="false" ht="15" hidden="false" customHeight="false" outlineLevel="0" collapsed="false">
      <c r="H2641" s="0" t="str">
        <f aca="false">IF(B2641="","",IF(COUNTIF(Campaigns!$A$7:$A$300,B2641)&gt;0,"✓","⚠ add to Campaigns tab"))</f>
        <v/>
      </c>
      <c r="I2641" s="84" t="str">
        <f aca="false">IF(C2641="","",C2641*IF(Settings!$B$22=Settings!$C$6,1,IF(Settings!$B$22="USD",1/INDEX(Settings!$B$29:$B$40,MONTH(A2641)),INDEX(Settings!$B$29:$B$40,MONTH(A2641)))))</f>
        <v/>
      </c>
    </row>
    <row r="2642" customFormat="false" ht="15" hidden="false" customHeight="false" outlineLevel="0" collapsed="false">
      <c r="H2642" s="0" t="str">
        <f aca="false">IF(B2642="","",IF(COUNTIF(Campaigns!$A$7:$A$300,B2642)&gt;0,"✓","⚠ add to Campaigns tab"))</f>
        <v/>
      </c>
      <c r="I2642" s="84" t="str">
        <f aca="false">IF(C2642="","",C2642*IF(Settings!$B$22=Settings!$C$6,1,IF(Settings!$B$22="USD",1/INDEX(Settings!$B$29:$B$40,MONTH(A2642)),INDEX(Settings!$B$29:$B$40,MONTH(A2642)))))</f>
        <v/>
      </c>
    </row>
    <row r="2643" customFormat="false" ht="15" hidden="false" customHeight="false" outlineLevel="0" collapsed="false">
      <c r="H2643" s="0" t="str">
        <f aca="false">IF(B2643="","",IF(COUNTIF(Campaigns!$A$7:$A$300,B2643)&gt;0,"✓","⚠ add to Campaigns tab"))</f>
        <v/>
      </c>
      <c r="I2643" s="84" t="str">
        <f aca="false">IF(C2643="","",C2643*IF(Settings!$B$22=Settings!$C$6,1,IF(Settings!$B$22="USD",1/INDEX(Settings!$B$29:$B$40,MONTH(A2643)),INDEX(Settings!$B$29:$B$40,MONTH(A2643)))))</f>
        <v/>
      </c>
    </row>
    <row r="2644" customFormat="false" ht="15" hidden="false" customHeight="false" outlineLevel="0" collapsed="false">
      <c r="H2644" s="0" t="str">
        <f aca="false">IF(B2644="","",IF(COUNTIF(Campaigns!$A$7:$A$300,B2644)&gt;0,"✓","⚠ add to Campaigns tab"))</f>
        <v/>
      </c>
      <c r="I2644" s="84" t="str">
        <f aca="false">IF(C2644="","",C2644*IF(Settings!$B$22=Settings!$C$6,1,IF(Settings!$B$22="USD",1/INDEX(Settings!$B$29:$B$40,MONTH(A2644)),INDEX(Settings!$B$29:$B$40,MONTH(A2644)))))</f>
        <v/>
      </c>
    </row>
    <row r="2645" customFormat="false" ht="15" hidden="false" customHeight="false" outlineLevel="0" collapsed="false">
      <c r="H2645" s="0" t="str">
        <f aca="false">IF(B2645="","",IF(COUNTIF(Campaigns!$A$7:$A$300,B2645)&gt;0,"✓","⚠ add to Campaigns tab"))</f>
        <v/>
      </c>
      <c r="I2645" s="84" t="str">
        <f aca="false">IF(C2645="","",C2645*IF(Settings!$B$22=Settings!$C$6,1,IF(Settings!$B$22="USD",1/INDEX(Settings!$B$29:$B$40,MONTH(A2645)),INDEX(Settings!$B$29:$B$40,MONTH(A2645)))))</f>
        <v/>
      </c>
    </row>
    <row r="2646" customFormat="false" ht="15" hidden="false" customHeight="false" outlineLevel="0" collapsed="false">
      <c r="H2646" s="0" t="str">
        <f aca="false">IF(B2646="","",IF(COUNTIF(Campaigns!$A$7:$A$300,B2646)&gt;0,"✓","⚠ add to Campaigns tab"))</f>
        <v/>
      </c>
      <c r="I2646" s="84" t="str">
        <f aca="false">IF(C2646="","",C2646*IF(Settings!$B$22=Settings!$C$6,1,IF(Settings!$B$22="USD",1/INDEX(Settings!$B$29:$B$40,MONTH(A2646)),INDEX(Settings!$B$29:$B$40,MONTH(A2646)))))</f>
        <v/>
      </c>
    </row>
    <row r="2647" customFormat="false" ht="15" hidden="false" customHeight="false" outlineLevel="0" collapsed="false">
      <c r="H2647" s="0" t="str">
        <f aca="false">IF(B2647="","",IF(COUNTIF(Campaigns!$A$7:$A$300,B2647)&gt;0,"✓","⚠ add to Campaigns tab"))</f>
        <v/>
      </c>
      <c r="I2647" s="84" t="str">
        <f aca="false">IF(C2647="","",C2647*IF(Settings!$B$22=Settings!$C$6,1,IF(Settings!$B$22="USD",1/INDEX(Settings!$B$29:$B$40,MONTH(A2647)),INDEX(Settings!$B$29:$B$40,MONTH(A2647)))))</f>
        <v/>
      </c>
    </row>
    <row r="2648" customFormat="false" ht="15" hidden="false" customHeight="false" outlineLevel="0" collapsed="false">
      <c r="H2648" s="0" t="str">
        <f aca="false">IF(B2648="","",IF(COUNTIF(Campaigns!$A$7:$A$300,B2648)&gt;0,"✓","⚠ add to Campaigns tab"))</f>
        <v/>
      </c>
      <c r="I2648" s="84" t="str">
        <f aca="false">IF(C2648="","",C2648*IF(Settings!$B$22=Settings!$C$6,1,IF(Settings!$B$22="USD",1/INDEX(Settings!$B$29:$B$40,MONTH(A2648)),INDEX(Settings!$B$29:$B$40,MONTH(A2648)))))</f>
        <v/>
      </c>
    </row>
    <row r="2649" customFormat="false" ht="15" hidden="false" customHeight="false" outlineLevel="0" collapsed="false">
      <c r="H2649" s="0" t="str">
        <f aca="false">IF(B2649="","",IF(COUNTIF(Campaigns!$A$7:$A$300,B2649)&gt;0,"✓","⚠ add to Campaigns tab"))</f>
        <v/>
      </c>
      <c r="I2649" s="84" t="str">
        <f aca="false">IF(C2649="","",C2649*IF(Settings!$B$22=Settings!$C$6,1,IF(Settings!$B$22="USD",1/INDEX(Settings!$B$29:$B$40,MONTH(A2649)),INDEX(Settings!$B$29:$B$40,MONTH(A2649)))))</f>
        <v/>
      </c>
    </row>
    <row r="2650" customFormat="false" ht="15" hidden="false" customHeight="false" outlineLevel="0" collapsed="false">
      <c r="H2650" s="0" t="str">
        <f aca="false">IF(B2650="","",IF(COUNTIF(Campaigns!$A$7:$A$300,B2650)&gt;0,"✓","⚠ add to Campaigns tab"))</f>
        <v/>
      </c>
      <c r="I2650" s="84" t="str">
        <f aca="false">IF(C2650="","",C2650*IF(Settings!$B$22=Settings!$C$6,1,IF(Settings!$B$22="USD",1/INDEX(Settings!$B$29:$B$40,MONTH(A2650)),INDEX(Settings!$B$29:$B$40,MONTH(A2650)))))</f>
        <v/>
      </c>
    </row>
    <row r="2651" customFormat="false" ht="15" hidden="false" customHeight="false" outlineLevel="0" collapsed="false">
      <c r="H2651" s="0" t="str">
        <f aca="false">IF(B2651="","",IF(COUNTIF(Campaigns!$A$7:$A$300,B2651)&gt;0,"✓","⚠ add to Campaigns tab"))</f>
        <v/>
      </c>
      <c r="I2651" s="84" t="str">
        <f aca="false">IF(C2651="","",C2651*IF(Settings!$B$22=Settings!$C$6,1,IF(Settings!$B$22="USD",1/INDEX(Settings!$B$29:$B$40,MONTH(A2651)),INDEX(Settings!$B$29:$B$40,MONTH(A2651)))))</f>
        <v/>
      </c>
    </row>
    <row r="2652" customFormat="false" ht="15" hidden="false" customHeight="false" outlineLevel="0" collapsed="false">
      <c r="H2652" s="0" t="str">
        <f aca="false">IF(B2652="","",IF(COUNTIF(Campaigns!$A$7:$A$300,B2652)&gt;0,"✓","⚠ add to Campaigns tab"))</f>
        <v/>
      </c>
      <c r="I2652" s="84" t="str">
        <f aca="false">IF(C2652="","",C2652*IF(Settings!$B$22=Settings!$C$6,1,IF(Settings!$B$22="USD",1/INDEX(Settings!$B$29:$B$40,MONTH(A2652)),INDEX(Settings!$B$29:$B$40,MONTH(A2652)))))</f>
        <v/>
      </c>
    </row>
    <row r="2653" customFormat="false" ht="15" hidden="false" customHeight="false" outlineLevel="0" collapsed="false">
      <c r="H2653" s="0" t="str">
        <f aca="false">IF(B2653="","",IF(COUNTIF(Campaigns!$A$7:$A$300,B2653)&gt;0,"✓","⚠ add to Campaigns tab"))</f>
        <v/>
      </c>
      <c r="I2653" s="84" t="str">
        <f aca="false">IF(C2653="","",C2653*IF(Settings!$B$22=Settings!$C$6,1,IF(Settings!$B$22="USD",1/INDEX(Settings!$B$29:$B$40,MONTH(A2653)),INDEX(Settings!$B$29:$B$40,MONTH(A2653)))))</f>
        <v/>
      </c>
    </row>
    <row r="2654" customFormat="false" ht="15" hidden="false" customHeight="false" outlineLevel="0" collapsed="false">
      <c r="H2654" s="0" t="str">
        <f aca="false">IF(B2654="","",IF(COUNTIF(Campaigns!$A$7:$A$300,B2654)&gt;0,"✓","⚠ add to Campaigns tab"))</f>
        <v/>
      </c>
      <c r="I2654" s="84" t="str">
        <f aca="false">IF(C2654="","",C2654*IF(Settings!$B$22=Settings!$C$6,1,IF(Settings!$B$22="USD",1/INDEX(Settings!$B$29:$B$40,MONTH(A2654)),INDEX(Settings!$B$29:$B$40,MONTH(A2654)))))</f>
        <v/>
      </c>
    </row>
    <row r="2655" customFormat="false" ht="15" hidden="false" customHeight="false" outlineLevel="0" collapsed="false">
      <c r="H2655" s="0" t="str">
        <f aca="false">IF(B2655="","",IF(COUNTIF(Campaigns!$A$7:$A$300,B2655)&gt;0,"✓","⚠ add to Campaigns tab"))</f>
        <v/>
      </c>
      <c r="I2655" s="84" t="str">
        <f aca="false">IF(C2655="","",C2655*IF(Settings!$B$22=Settings!$C$6,1,IF(Settings!$B$22="USD",1/INDEX(Settings!$B$29:$B$40,MONTH(A2655)),INDEX(Settings!$B$29:$B$40,MONTH(A2655)))))</f>
        <v/>
      </c>
    </row>
    <row r="2656" customFormat="false" ht="15" hidden="false" customHeight="false" outlineLevel="0" collapsed="false">
      <c r="H2656" s="0" t="str">
        <f aca="false">IF(B2656="","",IF(COUNTIF(Campaigns!$A$7:$A$300,B2656)&gt;0,"✓","⚠ add to Campaigns tab"))</f>
        <v/>
      </c>
      <c r="I2656" s="84" t="str">
        <f aca="false">IF(C2656="","",C2656*IF(Settings!$B$22=Settings!$C$6,1,IF(Settings!$B$22="USD",1/INDEX(Settings!$B$29:$B$40,MONTH(A2656)),INDEX(Settings!$B$29:$B$40,MONTH(A2656)))))</f>
        <v/>
      </c>
    </row>
    <row r="2657" customFormat="false" ht="15" hidden="false" customHeight="false" outlineLevel="0" collapsed="false">
      <c r="H2657" s="0" t="str">
        <f aca="false">IF(B2657="","",IF(COUNTIF(Campaigns!$A$7:$A$300,B2657)&gt;0,"✓","⚠ add to Campaigns tab"))</f>
        <v/>
      </c>
      <c r="I2657" s="84" t="str">
        <f aca="false">IF(C2657="","",C2657*IF(Settings!$B$22=Settings!$C$6,1,IF(Settings!$B$22="USD",1/INDEX(Settings!$B$29:$B$40,MONTH(A2657)),INDEX(Settings!$B$29:$B$40,MONTH(A2657)))))</f>
        <v/>
      </c>
    </row>
    <row r="2658" customFormat="false" ht="15" hidden="false" customHeight="false" outlineLevel="0" collapsed="false">
      <c r="H2658" s="0" t="str">
        <f aca="false">IF(B2658="","",IF(COUNTIF(Campaigns!$A$7:$A$300,B2658)&gt;0,"✓","⚠ add to Campaigns tab"))</f>
        <v/>
      </c>
      <c r="I2658" s="84" t="str">
        <f aca="false">IF(C2658="","",C2658*IF(Settings!$B$22=Settings!$C$6,1,IF(Settings!$B$22="USD",1/INDEX(Settings!$B$29:$B$40,MONTH(A2658)),INDEX(Settings!$B$29:$B$40,MONTH(A2658)))))</f>
        <v/>
      </c>
    </row>
    <row r="2659" customFormat="false" ht="15" hidden="false" customHeight="false" outlineLevel="0" collapsed="false">
      <c r="H2659" s="0" t="str">
        <f aca="false">IF(B2659="","",IF(COUNTIF(Campaigns!$A$7:$A$300,B2659)&gt;0,"✓","⚠ add to Campaigns tab"))</f>
        <v/>
      </c>
      <c r="I2659" s="84" t="str">
        <f aca="false">IF(C2659="","",C2659*IF(Settings!$B$22=Settings!$C$6,1,IF(Settings!$B$22="USD",1/INDEX(Settings!$B$29:$B$40,MONTH(A2659)),INDEX(Settings!$B$29:$B$40,MONTH(A2659)))))</f>
        <v/>
      </c>
    </row>
    <row r="2660" customFormat="false" ht="15" hidden="false" customHeight="false" outlineLevel="0" collapsed="false">
      <c r="H2660" s="0" t="str">
        <f aca="false">IF(B2660="","",IF(COUNTIF(Campaigns!$A$7:$A$300,B2660)&gt;0,"✓","⚠ add to Campaigns tab"))</f>
        <v/>
      </c>
      <c r="I2660" s="84" t="str">
        <f aca="false">IF(C2660="","",C2660*IF(Settings!$B$22=Settings!$C$6,1,IF(Settings!$B$22="USD",1/INDEX(Settings!$B$29:$B$40,MONTH(A2660)),INDEX(Settings!$B$29:$B$40,MONTH(A2660)))))</f>
        <v/>
      </c>
    </row>
    <row r="2661" customFormat="false" ht="15" hidden="false" customHeight="false" outlineLevel="0" collapsed="false">
      <c r="H2661" s="0" t="str">
        <f aca="false">IF(B2661="","",IF(COUNTIF(Campaigns!$A$7:$A$300,B2661)&gt;0,"✓","⚠ add to Campaigns tab"))</f>
        <v/>
      </c>
      <c r="I2661" s="84" t="str">
        <f aca="false">IF(C2661="","",C2661*IF(Settings!$B$22=Settings!$C$6,1,IF(Settings!$B$22="USD",1/INDEX(Settings!$B$29:$B$40,MONTH(A2661)),INDEX(Settings!$B$29:$B$40,MONTH(A2661)))))</f>
        <v/>
      </c>
    </row>
    <row r="2662" customFormat="false" ht="15" hidden="false" customHeight="false" outlineLevel="0" collapsed="false">
      <c r="H2662" s="0" t="str">
        <f aca="false">IF(B2662="","",IF(COUNTIF(Campaigns!$A$7:$A$300,B2662)&gt;0,"✓","⚠ add to Campaigns tab"))</f>
        <v/>
      </c>
      <c r="I2662" s="84" t="str">
        <f aca="false">IF(C2662="","",C2662*IF(Settings!$B$22=Settings!$C$6,1,IF(Settings!$B$22="USD",1/INDEX(Settings!$B$29:$B$40,MONTH(A2662)),INDEX(Settings!$B$29:$B$40,MONTH(A2662)))))</f>
        <v/>
      </c>
    </row>
    <row r="2663" customFormat="false" ht="15" hidden="false" customHeight="false" outlineLevel="0" collapsed="false">
      <c r="H2663" s="0" t="str">
        <f aca="false">IF(B2663="","",IF(COUNTIF(Campaigns!$A$7:$A$300,B2663)&gt;0,"✓","⚠ add to Campaigns tab"))</f>
        <v/>
      </c>
      <c r="I2663" s="84" t="str">
        <f aca="false">IF(C2663="","",C2663*IF(Settings!$B$22=Settings!$C$6,1,IF(Settings!$B$22="USD",1/INDEX(Settings!$B$29:$B$40,MONTH(A2663)),INDEX(Settings!$B$29:$B$40,MONTH(A2663)))))</f>
        <v/>
      </c>
    </row>
    <row r="2664" customFormat="false" ht="15" hidden="false" customHeight="false" outlineLevel="0" collapsed="false">
      <c r="H2664" s="0" t="str">
        <f aca="false">IF(B2664="","",IF(COUNTIF(Campaigns!$A$7:$A$300,B2664)&gt;0,"✓","⚠ add to Campaigns tab"))</f>
        <v/>
      </c>
      <c r="I2664" s="84" t="str">
        <f aca="false">IF(C2664="","",C2664*IF(Settings!$B$22=Settings!$C$6,1,IF(Settings!$B$22="USD",1/INDEX(Settings!$B$29:$B$40,MONTH(A2664)),INDEX(Settings!$B$29:$B$40,MONTH(A2664)))))</f>
        <v/>
      </c>
    </row>
    <row r="2665" customFormat="false" ht="15" hidden="false" customHeight="false" outlineLevel="0" collapsed="false">
      <c r="H2665" s="0" t="str">
        <f aca="false">IF(B2665="","",IF(COUNTIF(Campaigns!$A$7:$A$300,B2665)&gt;0,"✓","⚠ add to Campaigns tab"))</f>
        <v/>
      </c>
      <c r="I2665" s="84" t="str">
        <f aca="false">IF(C2665="","",C2665*IF(Settings!$B$22=Settings!$C$6,1,IF(Settings!$B$22="USD",1/INDEX(Settings!$B$29:$B$40,MONTH(A2665)),INDEX(Settings!$B$29:$B$40,MONTH(A2665)))))</f>
        <v/>
      </c>
    </row>
    <row r="2666" customFormat="false" ht="15" hidden="false" customHeight="false" outlineLevel="0" collapsed="false">
      <c r="H2666" s="0" t="str">
        <f aca="false">IF(B2666="","",IF(COUNTIF(Campaigns!$A$7:$A$300,B2666)&gt;0,"✓","⚠ add to Campaigns tab"))</f>
        <v/>
      </c>
      <c r="I2666" s="84" t="str">
        <f aca="false">IF(C2666="","",C2666*IF(Settings!$B$22=Settings!$C$6,1,IF(Settings!$B$22="USD",1/INDEX(Settings!$B$29:$B$40,MONTH(A2666)),INDEX(Settings!$B$29:$B$40,MONTH(A2666)))))</f>
        <v/>
      </c>
    </row>
    <row r="2667" customFormat="false" ht="15" hidden="false" customHeight="false" outlineLevel="0" collapsed="false">
      <c r="H2667" s="0" t="str">
        <f aca="false">IF(B2667="","",IF(COUNTIF(Campaigns!$A$7:$A$300,B2667)&gt;0,"✓","⚠ add to Campaigns tab"))</f>
        <v/>
      </c>
      <c r="I2667" s="84" t="str">
        <f aca="false">IF(C2667="","",C2667*IF(Settings!$B$22=Settings!$C$6,1,IF(Settings!$B$22="USD",1/INDEX(Settings!$B$29:$B$40,MONTH(A2667)),INDEX(Settings!$B$29:$B$40,MONTH(A2667)))))</f>
        <v/>
      </c>
    </row>
    <row r="2668" customFormat="false" ht="15" hidden="false" customHeight="false" outlineLevel="0" collapsed="false">
      <c r="H2668" s="0" t="str">
        <f aca="false">IF(B2668="","",IF(COUNTIF(Campaigns!$A$7:$A$300,B2668)&gt;0,"✓","⚠ add to Campaigns tab"))</f>
        <v/>
      </c>
      <c r="I2668" s="84" t="str">
        <f aca="false">IF(C2668="","",C2668*IF(Settings!$B$22=Settings!$C$6,1,IF(Settings!$B$22="USD",1/INDEX(Settings!$B$29:$B$40,MONTH(A2668)),INDEX(Settings!$B$29:$B$40,MONTH(A2668)))))</f>
        <v/>
      </c>
    </row>
    <row r="2669" customFormat="false" ht="15" hidden="false" customHeight="false" outlineLevel="0" collapsed="false">
      <c r="H2669" s="0" t="str">
        <f aca="false">IF(B2669="","",IF(COUNTIF(Campaigns!$A$7:$A$300,B2669)&gt;0,"✓","⚠ add to Campaigns tab"))</f>
        <v/>
      </c>
      <c r="I2669" s="84" t="str">
        <f aca="false">IF(C2669="","",C2669*IF(Settings!$B$22=Settings!$C$6,1,IF(Settings!$B$22="USD",1/INDEX(Settings!$B$29:$B$40,MONTH(A2669)),INDEX(Settings!$B$29:$B$40,MONTH(A2669)))))</f>
        <v/>
      </c>
    </row>
    <row r="2670" customFormat="false" ht="15" hidden="false" customHeight="false" outlineLevel="0" collapsed="false">
      <c r="H2670" s="0" t="str">
        <f aca="false">IF(B2670="","",IF(COUNTIF(Campaigns!$A$7:$A$300,B2670)&gt;0,"✓","⚠ add to Campaigns tab"))</f>
        <v/>
      </c>
      <c r="I2670" s="84" t="str">
        <f aca="false">IF(C2670="","",C2670*IF(Settings!$B$22=Settings!$C$6,1,IF(Settings!$B$22="USD",1/INDEX(Settings!$B$29:$B$40,MONTH(A2670)),INDEX(Settings!$B$29:$B$40,MONTH(A2670)))))</f>
        <v/>
      </c>
    </row>
    <row r="2671" customFormat="false" ht="15" hidden="false" customHeight="false" outlineLevel="0" collapsed="false">
      <c r="H2671" s="0" t="str">
        <f aca="false">IF(B2671="","",IF(COUNTIF(Campaigns!$A$7:$A$300,B2671)&gt;0,"✓","⚠ add to Campaigns tab"))</f>
        <v/>
      </c>
      <c r="I2671" s="84" t="str">
        <f aca="false">IF(C2671="","",C2671*IF(Settings!$B$22=Settings!$C$6,1,IF(Settings!$B$22="USD",1/INDEX(Settings!$B$29:$B$40,MONTH(A2671)),INDEX(Settings!$B$29:$B$40,MONTH(A2671)))))</f>
        <v/>
      </c>
    </row>
    <row r="2672" customFormat="false" ht="15" hidden="false" customHeight="false" outlineLevel="0" collapsed="false">
      <c r="H2672" s="0" t="str">
        <f aca="false">IF(B2672="","",IF(COUNTIF(Campaigns!$A$7:$A$300,B2672)&gt;0,"✓","⚠ add to Campaigns tab"))</f>
        <v/>
      </c>
      <c r="I2672" s="84" t="str">
        <f aca="false">IF(C2672="","",C2672*IF(Settings!$B$22=Settings!$C$6,1,IF(Settings!$B$22="USD",1/INDEX(Settings!$B$29:$B$40,MONTH(A2672)),INDEX(Settings!$B$29:$B$40,MONTH(A2672)))))</f>
        <v/>
      </c>
    </row>
    <row r="2673" customFormat="false" ht="15" hidden="false" customHeight="false" outlineLevel="0" collapsed="false">
      <c r="H2673" s="0" t="str">
        <f aca="false">IF(B2673="","",IF(COUNTIF(Campaigns!$A$7:$A$300,B2673)&gt;0,"✓","⚠ add to Campaigns tab"))</f>
        <v/>
      </c>
      <c r="I2673" s="84" t="str">
        <f aca="false">IF(C2673="","",C2673*IF(Settings!$B$22=Settings!$C$6,1,IF(Settings!$B$22="USD",1/INDEX(Settings!$B$29:$B$40,MONTH(A2673)),INDEX(Settings!$B$29:$B$40,MONTH(A2673)))))</f>
        <v/>
      </c>
    </row>
    <row r="2674" customFormat="false" ht="15" hidden="false" customHeight="false" outlineLevel="0" collapsed="false">
      <c r="H2674" s="0" t="str">
        <f aca="false">IF(B2674="","",IF(COUNTIF(Campaigns!$A$7:$A$300,B2674)&gt;0,"✓","⚠ add to Campaigns tab"))</f>
        <v/>
      </c>
      <c r="I2674" s="84" t="str">
        <f aca="false">IF(C2674="","",C2674*IF(Settings!$B$22=Settings!$C$6,1,IF(Settings!$B$22="USD",1/INDEX(Settings!$B$29:$B$40,MONTH(A2674)),INDEX(Settings!$B$29:$B$40,MONTH(A2674)))))</f>
        <v/>
      </c>
    </row>
    <row r="2675" customFormat="false" ht="15" hidden="false" customHeight="false" outlineLevel="0" collapsed="false">
      <c r="H2675" s="0" t="str">
        <f aca="false">IF(B2675="","",IF(COUNTIF(Campaigns!$A$7:$A$300,B2675)&gt;0,"✓","⚠ add to Campaigns tab"))</f>
        <v/>
      </c>
      <c r="I2675" s="84" t="str">
        <f aca="false">IF(C2675="","",C2675*IF(Settings!$B$22=Settings!$C$6,1,IF(Settings!$B$22="USD",1/INDEX(Settings!$B$29:$B$40,MONTH(A2675)),INDEX(Settings!$B$29:$B$40,MONTH(A2675)))))</f>
        <v/>
      </c>
    </row>
    <row r="2676" customFormat="false" ht="15" hidden="false" customHeight="false" outlineLevel="0" collapsed="false">
      <c r="H2676" s="0" t="str">
        <f aca="false">IF(B2676="","",IF(COUNTIF(Campaigns!$A$7:$A$300,B2676)&gt;0,"✓","⚠ add to Campaigns tab"))</f>
        <v/>
      </c>
      <c r="I2676" s="84" t="str">
        <f aca="false">IF(C2676="","",C2676*IF(Settings!$B$22=Settings!$C$6,1,IF(Settings!$B$22="USD",1/INDEX(Settings!$B$29:$B$40,MONTH(A2676)),INDEX(Settings!$B$29:$B$40,MONTH(A2676)))))</f>
        <v/>
      </c>
    </row>
    <row r="2677" customFormat="false" ht="15" hidden="false" customHeight="false" outlineLevel="0" collapsed="false">
      <c r="H2677" s="0" t="str">
        <f aca="false">IF(B2677="","",IF(COUNTIF(Campaigns!$A$7:$A$300,B2677)&gt;0,"✓","⚠ add to Campaigns tab"))</f>
        <v/>
      </c>
      <c r="I2677" s="84" t="str">
        <f aca="false">IF(C2677="","",C2677*IF(Settings!$B$22=Settings!$C$6,1,IF(Settings!$B$22="USD",1/INDEX(Settings!$B$29:$B$40,MONTH(A2677)),INDEX(Settings!$B$29:$B$40,MONTH(A2677)))))</f>
        <v/>
      </c>
    </row>
    <row r="2678" customFormat="false" ht="15" hidden="false" customHeight="false" outlineLevel="0" collapsed="false">
      <c r="H2678" s="0" t="str">
        <f aca="false">IF(B2678="","",IF(COUNTIF(Campaigns!$A$7:$A$300,B2678)&gt;0,"✓","⚠ add to Campaigns tab"))</f>
        <v/>
      </c>
      <c r="I2678" s="84" t="str">
        <f aca="false">IF(C2678="","",C2678*IF(Settings!$B$22=Settings!$C$6,1,IF(Settings!$B$22="USD",1/INDEX(Settings!$B$29:$B$40,MONTH(A2678)),INDEX(Settings!$B$29:$B$40,MONTH(A2678)))))</f>
        <v/>
      </c>
    </row>
    <row r="2679" customFormat="false" ht="15" hidden="false" customHeight="false" outlineLevel="0" collapsed="false">
      <c r="H2679" s="0" t="str">
        <f aca="false">IF(B2679="","",IF(COUNTIF(Campaigns!$A$7:$A$300,B2679)&gt;0,"✓","⚠ add to Campaigns tab"))</f>
        <v/>
      </c>
      <c r="I2679" s="84" t="str">
        <f aca="false">IF(C2679="","",C2679*IF(Settings!$B$22=Settings!$C$6,1,IF(Settings!$B$22="USD",1/INDEX(Settings!$B$29:$B$40,MONTH(A2679)),INDEX(Settings!$B$29:$B$40,MONTH(A2679)))))</f>
        <v/>
      </c>
    </row>
    <row r="2680" customFormat="false" ht="15" hidden="false" customHeight="false" outlineLevel="0" collapsed="false">
      <c r="H2680" s="0" t="str">
        <f aca="false">IF(B2680="","",IF(COUNTIF(Campaigns!$A$7:$A$300,B2680)&gt;0,"✓","⚠ add to Campaigns tab"))</f>
        <v/>
      </c>
      <c r="I2680" s="84" t="str">
        <f aca="false">IF(C2680="","",C2680*IF(Settings!$B$22=Settings!$C$6,1,IF(Settings!$B$22="USD",1/INDEX(Settings!$B$29:$B$40,MONTH(A2680)),INDEX(Settings!$B$29:$B$40,MONTH(A2680)))))</f>
        <v/>
      </c>
    </row>
    <row r="2681" customFormat="false" ht="15" hidden="false" customHeight="false" outlineLevel="0" collapsed="false">
      <c r="H2681" s="0" t="str">
        <f aca="false">IF(B2681="","",IF(COUNTIF(Campaigns!$A$7:$A$300,B2681)&gt;0,"✓","⚠ add to Campaigns tab"))</f>
        <v/>
      </c>
      <c r="I2681" s="84" t="str">
        <f aca="false">IF(C2681="","",C2681*IF(Settings!$B$22=Settings!$C$6,1,IF(Settings!$B$22="USD",1/INDEX(Settings!$B$29:$B$40,MONTH(A2681)),INDEX(Settings!$B$29:$B$40,MONTH(A2681)))))</f>
        <v/>
      </c>
    </row>
    <row r="2682" customFormat="false" ht="15" hidden="false" customHeight="false" outlineLevel="0" collapsed="false">
      <c r="H2682" s="0" t="str">
        <f aca="false">IF(B2682="","",IF(COUNTIF(Campaigns!$A$7:$A$300,B2682)&gt;0,"✓","⚠ add to Campaigns tab"))</f>
        <v/>
      </c>
      <c r="I2682" s="84" t="str">
        <f aca="false">IF(C2682="","",C2682*IF(Settings!$B$22=Settings!$C$6,1,IF(Settings!$B$22="USD",1/INDEX(Settings!$B$29:$B$40,MONTH(A2682)),INDEX(Settings!$B$29:$B$40,MONTH(A2682)))))</f>
        <v/>
      </c>
    </row>
    <row r="2683" customFormat="false" ht="15" hidden="false" customHeight="false" outlineLevel="0" collapsed="false">
      <c r="H2683" s="0" t="str">
        <f aca="false">IF(B2683="","",IF(COUNTIF(Campaigns!$A$7:$A$300,B2683)&gt;0,"✓","⚠ add to Campaigns tab"))</f>
        <v/>
      </c>
      <c r="I2683" s="84" t="str">
        <f aca="false">IF(C2683="","",C2683*IF(Settings!$B$22=Settings!$C$6,1,IF(Settings!$B$22="USD",1/INDEX(Settings!$B$29:$B$40,MONTH(A2683)),INDEX(Settings!$B$29:$B$40,MONTH(A2683)))))</f>
        <v/>
      </c>
    </row>
    <row r="2684" customFormat="false" ht="15" hidden="false" customHeight="false" outlineLevel="0" collapsed="false">
      <c r="H2684" s="0" t="str">
        <f aca="false">IF(B2684="","",IF(COUNTIF(Campaigns!$A$7:$A$300,B2684)&gt;0,"✓","⚠ add to Campaigns tab"))</f>
        <v/>
      </c>
      <c r="I2684" s="84" t="str">
        <f aca="false">IF(C2684="","",C2684*IF(Settings!$B$22=Settings!$C$6,1,IF(Settings!$B$22="USD",1/INDEX(Settings!$B$29:$B$40,MONTH(A2684)),INDEX(Settings!$B$29:$B$40,MONTH(A2684)))))</f>
        <v/>
      </c>
    </row>
    <row r="2685" customFormat="false" ht="15" hidden="false" customHeight="false" outlineLevel="0" collapsed="false">
      <c r="H2685" s="0" t="str">
        <f aca="false">IF(B2685="","",IF(COUNTIF(Campaigns!$A$7:$A$300,B2685)&gt;0,"✓","⚠ add to Campaigns tab"))</f>
        <v/>
      </c>
      <c r="I2685" s="84" t="str">
        <f aca="false">IF(C2685="","",C2685*IF(Settings!$B$22=Settings!$C$6,1,IF(Settings!$B$22="USD",1/INDEX(Settings!$B$29:$B$40,MONTH(A2685)),INDEX(Settings!$B$29:$B$40,MONTH(A2685)))))</f>
        <v/>
      </c>
    </row>
    <row r="2686" customFormat="false" ht="15" hidden="false" customHeight="false" outlineLevel="0" collapsed="false">
      <c r="H2686" s="0" t="str">
        <f aca="false">IF(B2686="","",IF(COUNTIF(Campaigns!$A$7:$A$300,B2686)&gt;0,"✓","⚠ add to Campaigns tab"))</f>
        <v/>
      </c>
      <c r="I2686" s="84" t="str">
        <f aca="false">IF(C2686="","",C2686*IF(Settings!$B$22=Settings!$C$6,1,IF(Settings!$B$22="USD",1/INDEX(Settings!$B$29:$B$40,MONTH(A2686)),INDEX(Settings!$B$29:$B$40,MONTH(A2686)))))</f>
        <v/>
      </c>
    </row>
    <row r="2687" customFormat="false" ht="15" hidden="false" customHeight="false" outlineLevel="0" collapsed="false">
      <c r="H2687" s="0" t="str">
        <f aca="false">IF(B2687="","",IF(COUNTIF(Campaigns!$A$7:$A$300,B2687)&gt;0,"✓","⚠ add to Campaigns tab"))</f>
        <v/>
      </c>
      <c r="I2687" s="84" t="str">
        <f aca="false">IF(C2687="","",C2687*IF(Settings!$B$22=Settings!$C$6,1,IF(Settings!$B$22="USD",1/INDEX(Settings!$B$29:$B$40,MONTH(A2687)),INDEX(Settings!$B$29:$B$40,MONTH(A2687)))))</f>
        <v/>
      </c>
    </row>
    <row r="2688" customFormat="false" ht="15" hidden="false" customHeight="false" outlineLevel="0" collapsed="false">
      <c r="H2688" s="0" t="str">
        <f aca="false">IF(B2688="","",IF(COUNTIF(Campaigns!$A$7:$A$300,B2688)&gt;0,"✓","⚠ add to Campaigns tab"))</f>
        <v/>
      </c>
      <c r="I2688" s="84" t="str">
        <f aca="false">IF(C2688="","",C2688*IF(Settings!$B$22=Settings!$C$6,1,IF(Settings!$B$22="USD",1/INDEX(Settings!$B$29:$B$40,MONTH(A2688)),INDEX(Settings!$B$29:$B$40,MONTH(A2688)))))</f>
        <v/>
      </c>
    </row>
    <row r="2689" customFormat="false" ht="15" hidden="false" customHeight="false" outlineLevel="0" collapsed="false">
      <c r="H2689" s="0" t="str">
        <f aca="false">IF(B2689="","",IF(COUNTIF(Campaigns!$A$7:$A$300,B2689)&gt;0,"✓","⚠ add to Campaigns tab"))</f>
        <v/>
      </c>
      <c r="I2689" s="84" t="str">
        <f aca="false">IF(C2689="","",C2689*IF(Settings!$B$22=Settings!$C$6,1,IF(Settings!$B$22="USD",1/INDEX(Settings!$B$29:$B$40,MONTH(A2689)),INDEX(Settings!$B$29:$B$40,MONTH(A2689)))))</f>
        <v/>
      </c>
    </row>
    <row r="2690" customFormat="false" ht="15" hidden="false" customHeight="false" outlineLevel="0" collapsed="false">
      <c r="H2690" s="0" t="str">
        <f aca="false">IF(B2690="","",IF(COUNTIF(Campaigns!$A$7:$A$300,B2690)&gt;0,"✓","⚠ add to Campaigns tab"))</f>
        <v/>
      </c>
      <c r="I2690" s="84" t="str">
        <f aca="false">IF(C2690="","",C2690*IF(Settings!$B$22=Settings!$C$6,1,IF(Settings!$B$22="USD",1/INDEX(Settings!$B$29:$B$40,MONTH(A2690)),INDEX(Settings!$B$29:$B$40,MONTH(A2690)))))</f>
        <v/>
      </c>
    </row>
    <row r="2691" customFormat="false" ht="15" hidden="false" customHeight="false" outlineLevel="0" collapsed="false">
      <c r="H2691" s="0" t="str">
        <f aca="false">IF(B2691="","",IF(COUNTIF(Campaigns!$A$7:$A$300,B2691)&gt;0,"✓","⚠ add to Campaigns tab"))</f>
        <v/>
      </c>
      <c r="I2691" s="84" t="str">
        <f aca="false">IF(C2691="","",C2691*IF(Settings!$B$22=Settings!$C$6,1,IF(Settings!$B$22="USD",1/INDEX(Settings!$B$29:$B$40,MONTH(A2691)),INDEX(Settings!$B$29:$B$40,MONTH(A2691)))))</f>
        <v/>
      </c>
    </row>
    <row r="2692" customFormat="false" ht="15" hidden="false" customHeight="false" outlineLevel="0" collapsed="false">
      <c r="H2692" s="0" t="str">
        <f aca="false">IF(B2692="","",IF(COUNTIF(Campaigns!$A$7:$A$300,B2692)&gt;0,"✓","⚠ add to Campaigns tab"))</f>
        <v/>
      </c>
      <c r="I2692" s="84" t="str">
        <f aca="false">IF(C2692="","",C2692*IF(Settings!$B$22=Settings!$C$6,1,IF(Settings!$B$22="USD",1/INDEX(Settings!$B$29:$B$40,MONTH(A2692)),INDEX(Settings!$B$29:$B$40,MONTH(A2692)))))</f>
        <v/>
      </c>
    </row>
    <row r="2693" customFormat="false" ht="15" hidden="false" customHeight="false" outlineLevel="0" collapsed="false">
      <c r="H2693" s="0" t="str">
        <f aca="false">IF(B2693="","",IF(COUNTIF(Campaigns!$A$7:$A$300,B2693)&gt;0,"✓","⚠ add to Campaigns tab"))</f>
        <v/>
      </c>
      <c r="I2693" s="84" t="str">
        <f aca="false">IF(C2693="","",C2693*IF(Settings!$B$22=Settings!$C$6,1,IF(Settings!$B$22="USD",1/INDEX(Settings!$B$29:$B$40,MONTH(A2693)),INDEX(Settings!$B$29:$B$40,MONTH(A2693)))))</f>
        <v/>
      </c>
    </row>
    <row r="2694" customFormat="false" ht="15" hidden="false" customHeight="false" outlineLevel="0" collapsed="false">
      <c r="H2694" s="0" t="str">
        <f aca="false">IF(B2694="","",IF(COUNTIF(Campaigns!$A$7:$A$300,B2694)&gt;0,"✓","⚠ add to Campaigns tab"))</f>
        <v/>
      </c>
      <c r="I2694" s="84" t="str">
        <f aca="false">IF(C2694="","",C2694*IF(Settings!$B$22=Settings!$C$6,1,IF(Settings!$B$22="USD",1/INDEX(Settings!$B$29:$B$40,MONTH(A2694)),INDEX(Settings!$B$29:$B$40,MONTH(A2694)))))</f>
        <v/>
      </c>
    </row>
    <row r="2695" customFormat="false" ht="15" hidden="false" customHeight="false" outlineLevel="0" collapsed="false">
      <c r="H2695" s="0" t="str">
        <f aca="false">IF(B2695="","",IF(COUNTIF(Campaigns!$A$7:$A$300,B2695)&gt;0,"✓","⚠ add to Campaigns tab"))</f>
        <v/>
      </c>
      <c r="I2695" s="84" t="str">
        <f aca="false">IF(C2695="","",C2695*IF(Settings!$B$22=Settings!$C$6,1,IF(Settings!$B$22="USD",1/INDEX(Settings!$B$29:$B$40,MONTH(A2695)),INDEX(Settings!$B$29:$B$40,MONTH(A2695)))))</f>
        <v/>
      </c>
    </row>
    <row r="2696" customFormat="false" ht="15" hidden="false" customHeight="false" outlineLevel="0" collapsed="false">
      <c r="H2696" s="0" t="str">
        <f aca="false">IF(B2696="","",IF(COUNTIF(Campaigns!$A$7:$A$300,B2696)&gt;0,"✓","⚠ add to Campaigns tab"))</f>
        <v/>
      </c>
      <c r="I2696" s="84" t="str">
        <f aca="false">IF(C2696="","",C2696*IF(Settings!$B$22=Settings!$C$6,1,IF(Settings!$B$22="USD",1/INDEX(Settings!$B$29:$B$40,MONTH(A2696)),INDEX(Settings!$B$29:$B$40,MONTH(A2696)))))</f>
        <v/>
      </c>
    </row>
    <row r="2697" customFormat="false" ht="15" hidden="false" customHeight="false" outlineLevel="0" collapsed="false">
      <c r="H2697" s="0" t="str">
        <f aca="false">IF(B2697="","",IF(COUNTIF(Campaigns!$A$7:$A$300,B2697)&gt;0,"✓","⚠ add to Campaigns tab"))</f>
        <v/>
      </c>
      <c r="I2697" s="84" t="str">
        <f aca="false">IF(C2697="","",C2697*IF(Settings!$B$22=Settings!$C$6,1,IF(Settings!$B$22="USD",1/INDEX(Settings!$B$29:$B$40,MONTH(A2697)),INDEX(Settings!$B$29:$B$40,MONTH(A2697)))))</f>
        <v/>
      </c>
    </row>
    <row r="2698" customFormat="false" ht="15" hidden="false" customHeight="false" outlineLevel="0" collapsed="false">
      <c r="H2698" s="0" t="str">
        <f aca="false">IF(B2698="","",IF(COUNTIF(Campaigns!$A$7:$A$300,B2698)&gt;0,"✓","⚠ add to Campaigns tab"))</f>
        <v/>
      </c>
      <c r="I2698" s="84" t="str">
        <f aca="false">IF(C2698="","",C2698*IF(Settings!$B$22=Settings!$C$6,1,IF(Settings!$B$22="USD",1/INDEX(Settings!$B$29:$B$40,MONTH(A2698)),INDEX(Settings!$B$29:$B$40,MONTH(A2698)))))</f>
        <v/>
      </c>
    </row>
    <row r="2699" customFormat="false" ht="15" hidden="false" customHeight="false" outlineLevel="0" collapsed="false">
      <c r="H2699" s="0" t="str">
        <f aca="false">IF(B2699="","",IF(COUNTIF(Campaigns!$A$7:$A$300,B2699)&gt;0,"✓","⚠ add to Campaigns tab"))</f>
        <v/>
      </c>
      <c r="I2699" s="84" t="str">
        <f aca="false">IF(C2699="","",C2699*IF(Settings!$B$22=Settings!$C$6,1,IF(Settings!$B$22="USD",1/INDEX(Settings!$B$29:$B$40,MONTH(A2699)),INDEX(Settings!$B$29:$B$40,MONTH(A2699)))))</f>
        <v/>
      </c>
    </row>
    <row r="2700" customFormat="false" ht="15" hidden="false" customHeight="false" outlineLevel="0" collapsed="false">
      <c r="H2700" s="0" t="str">
        <f aca="false">IF(B2700="","",IF(COUNTIF(Campaigns!$A$7:$A$300,B2700)&gt;0,"✓","⚠ add to Campaigns tab"))</f>
        <v/>
      </c>
      <c r="I2700" s="84" t="str">
        <f aca="false">IF(C2700="","",C2700*IF(Settings!$B$22=Settings!$C$6,1,IF(Settings!$B$22="USD",1/INDEX(Settings!$B$29:$B$40,MONTH(A2700)),INDEX(Settings!$B$29:$B$40,MONTH(A2700)))))</f>
        <v/>
      </c>
    </row>
    <row r="2701" customFormat="false" ht="15" hidden="false" customHeight="false" outlineLevel="0" collapsed="false">
      <c r="H2701" s="0" t="str">
        <f aca="false">IF(B2701="","",IF(COUNTIF(Campaigns!$A$7:$A$300,B2701)&gt;0,"✓","⚠ add to Campaigns tab"))</f>
        <v/>
      </c>
      <c r="I2701" s="84" t="str">
        <f aca="false">IF(C2701="","",C2701*IF(Settings!$B$22=Settings!$C$6,1,IF(Settings!$B$22="USD",1/INDEX(Settings!$B$29:$B$40,MONTH(A2701)),INDEX(Settings!$B$29:$B$40,MONTH(A2701)))))</f>
        <v/>
      </c>
    </row>
    <row r="2702" customFormat="false" ht="15" hidden="false" customHeight="false" outlineLevel="0" collapsed="false">
      <c r="H2702" s="0" t="str">
        <f aca="false">IF(B2702="","",IF(COUNTIF(Campaigns!$A$7:$A$300,B2702)&gt;0,"✓","⚠ add to Campaigns tab"))</f>
        <v/>
      </c>
      <c r="I2702" s="84" t="str">
        <f aca="false">IF(C2702="","",C2702*IF(Settings!$B$22=Settings!$C$6,1,IF(Settings!$B$22="USD",1/INDEX(Settings!$B$29:$B$40,MONTH(A2702)),INDEX(Settings!$B$29:$B$40,MONTH(A2702)))))</f>
        <v/>
      </c>
    </row>
    <row r="2703" customFormat="false" ht="15" hidden="false" customHeight="false" outlineLevel="0" collapsed="false">
      <c r="H2703" s="0" t="str">
        <f aca="false">IF(B2703="","",IF(COUNTIF(Campaigns!$A$7:$A$300,B2703)&gt;0,"✓","⚠ add to Campaigns tab"))</f>
        <v/>
      </c>
      <c r="I2703" s="84" t="str">
        <f aca="false">IF(C2703="","",C2703*IF(Settings!$B$22=Settings!$C$6,1,IF(Settings!$B$22="USD",1/INDEX(Settings!$B$29:$B$40,MONTH(A2703)),INDEX(Settings!$B$29:$B$40,MONTH(A2703)))))</f>
        <v/>
      </c>
    </row>
    <row r="2704" customFormat="false" ht="15" hidden="false" customHeight="false" outlineLevel="0" collapsed="false">
      <c r="H2704" s="0" t="str">
        <f aca="false">IF(B2704="","",IF(COUNTIF(Campaigns!$A$7:$A$300,B2704)&gt;0,"✓","⚠ add to Campaigns tab"))</f>
        <v/>
      </c>
      <c r="I2704" s="84" t="str">
        <f aca="false">IF(C2704="","",C2704*IF(Settings!$B$22=Settings!$C$6,1,IF(Settings!$B$22="USD",1/INDEX(Settings!$B$29:$B$40,MONTH(A2704)),INDEX(Settings!$B$29:$B$40,MONTH(A2704)))))</f>
        <v/>
      </c>
    </row>
    <row r="2705" customFormat="false" ht="15" hidden="false" customHeight="false" outlineLevel="0" collapsed="false">
      <c r="H2705" s="0" t="str">
        <f aca="false">IF(B2705="","",IF(COUNTIF(Campaigns!$A$7:$A$300,B2705)&gt;0,"✓","⚠ add to Campaigns tab"))</f>
        <v/>
      </c>
      <c r="I2705" s="84" t="str">
        <f aca="false">IF(C2705="","",C2705*IF(Settings!$B$22=Settings!$C$6,1,IF(Settings!$B$22="USD",1/INDEX(Settings!$B$29:$B$40,MONTH(A2705)),INDEX(Settings!$B$29:$B$40,MONTH(A2705)))))</f>
        <v/>
      </c>
    </row>
    <row r="2706" customFormat="false" ht="15" hidden="false" customHeight="false" outlineLevel="0" collapsed="false">
      <c r="H2706" s="0" t="str">
        <f aca="false">IF(B2706="","",IF(COUNTIF(Campaigns!$A$7:$A$300,B2706)&gt;0,"✓","⚠ add to Campaigns tab"))</f>
        <v/>
      </c>
      <c r="I2706" s="84" t="str">
        <f aca="false">IF(C2706="","",C2706*IF(Settings!$B$22=Settings!$C$6,1,IF(Settings!$B$22="USD",1/INDEX(Settings!$B$29:$B$40,MONTH(A2706)),INDEX(Settings!$B$29:$B$40,MONTH(A2706)))))</f>
        <v/>
      </c>
    </row>
    <row r="2707" customFormat="false" ht="15" hidden="false" customHeight="false" outlineLevel="0" collapsed="false">
      <c r="H2707" s="0" t="str">
        <f aca="false">IF(B2707="","",IF(COUNTIF(Campaigns!$A$7:$A$300,B2707)&gt;0,"✓","⚠ add to Campaigns tab"))</f>
        <v/>
      </c>
      <c r="I2707" s="84" t="str">
        <f aca="false">IF(C2707="","",C2707*IF(Settings!$B$22=Settings!$C$6,1,IF(Settings!$B$22="USD",1/INDEX(Settings!$B$29:$B$40,MONTH(A2707)),INDEX(Settings!$B$29:$B$40,MONTH(A2707)))))</f>
        <v/>
      </c>
    </row>
    <row r="2708" customFormat="false" ht="15" hidden="false" customHeight="false" outlineLevel="0" collapsed="false">
      <c r="H2708" s="0" t="str">
        <f aca="false">IF(B2708="","",IF(COUNTIF(Campaigns!$A$7:$A$300,B2708)&gt;0,"✓","⚠ add to Campaigns tab"))</f>
        <v/>
      </c>
      <c r="I2708" s="84" t="str">
        <f aca="false">IF(C2708="","",C2708*IF(Settings!$B$22=Settings!$C$6,1,IF(Settings!$B$22="USD",1/INDEX(Settings!$B$29:$B$40,MONTH(A2708)),INDEX(Settings!$B$29:$B$40,MONTH(A2708)))))</f>
        <v/>
      </c>
    </row>
    <row r="2709" customFormat="false" ht="15" hidden="false" customHeight="false" outlineLevel="0" collapsed="false">
      <c r="H2709" s="0" t="str">
        <f aca="false">IF(B2709="","",IF(COUNTIF(Campaigns!$A$7:$A$300,B2709)&gt;0,"✓","⚠ add to Campaigns tab"))</f>
        <v/>
      </c>
      <c r="I2709" s="84" t="str">
        <f aca="false">IF(C2709="","",C2709*IF(Settings!$B$22=Settings!$C$6,1,IF(Settings!$B$22="USD",1/INDEX(Settings!$B$29:$B$40,MONTH(A2709)),INDEX(Settings!$B$29:$B$40,MONTH(A2709)))))</f>
        <v/>
      </c>
    </row>
    <row r="2710" customFormat="false" ht="15" hidden="false" customHeight="false" outlineLevel="0" collapsed="false">
      <c r="H2710" s="0" t="str">
        <f aca="false">IF(B2710="","",IF(COUNTIF(Campaigns!$A$7:$A$300,B2710)&gt;0,"✓","⚠ add to Campaigns tab"))</f>
        <v/>
      </c>
      <c r="I2710" s="84" t="str">
        <f aca="false">IF(C2710="","",C2710*IF(Settings!$B$22=Settings!$C$6,1,IF(Settings!$B$22="USD",1/INDEX(Settings!$B$29:$B$40,MONTH(A2710)),INDEX(Settings!$B$29:$B$40,MONTH(A2710)))))</f>
        <v/>
      </c>
    </row>
    <row r="2711" customFormat="false" ht="15" hidden="false" customHeight="false" outlineLevel="0" collapsed="false">
      <c r="H2711" s="0" t="str">
        <f aca="false">IF(B2711="","",IF(COUNTIF(Campaigns!$A$7:$A$300,B2711)&gt;0,"✓","⚠ add to Campaigns tab"))</f>
        <v/>
      </c>
      <c r="I2711" s="84" t="str">
        <f aca="false">IF(C2711="","",C2711*IF(Settings!$B$22=Settings!$C$6,1,IF(Settings!$B$22="USD",1/INDEX(Settings!$B$29:$B$40,MONTH(A2711)),INDEX(Settings!$B$29:$B$40,MONTH(A2711)))))</f>
        <v/>
      </c>
    </row>
    <row r="2712" customFormat="false" ht="15" hidden="false" customHeight="false" outlineLevel="0" collapsed="false">
      <c r="H2712" s="0" t="str">
        <f aca="false">IF(B2712="","",IF(COUNTIF(Campaigns!$A$7:$A$300,B2712)&gt;0,"✓","⚠ add to Campaigns tab"))</f>
        <v/>
      </c>
      <c r="I2712" s="84" t="str">
        <f aca="false">IF(C2712="","",C2712*IF(Settings!$B$22=Settings!$C$6,1,IF(Settings!$B$22="USD",1/INDEX(Settings!$B$29:$B$40,MONTH(A2712)),INDEX(Settings!$B$29:$B$40,MONTH(A2712)))))</f>
        <v/>
      </c>
    </row>
    <row r="2713" customFormat="false" ht="15" hidden="false" customHeight="false" outlineLevel="0" collapsed="false">
      <c r="H2713" s="0" t="str">
        <f aca="false">IF(B2713="","",IF(COUNTIF(Campaigns!$A$7:$A$300,B2713)&gt;0,"✓","⚠ add to Campaigns tab"))</f>
        <v/>
      </c>
      <c r="I2713" s="84" t="str">
        <f aca="false">IF(C2713="","",C2713*IF(Settings!$B$22=Settings!$C$6,1,IF(Settings!$B$22="USD",1/INDEX(Settings!$B$29:$B$40,MONTH(A2713)),INDEX(Settings!$B$29:$B$40,MONTH(A2713)))))</f>
        <v/>
      </c>
    </row>
    <row r="2714" customFormat="false" ht="15" hidden="false" customHeight="false" outlineLevel="0" collapsed="false">
      <c r="H2714" s="0" t="str">
        <f aca="false">IF(B2714="","",IF(COUNTIF(Campaigns!$A$7:$A$300,B2714)&gt;0,"✓","⚠ add to Campaigns tab"))</f>
        <v/>
      </c>
      <c r="I2714" s="84" t="str">
        <f aca="false">IF(C2714="","",C2714*IF(Settings!$B$22=Settings!$C$6,1,IF(Settings!$B$22="USD",1/INDEX(Settings!$B$29:$B$40,MONTH(A2714)),INDEX(Settings!$B$29:$B$40,MONTH(A2714)))))</f>
        <v/>
      </c>
    </row>
    <row r="2715" customFormat="false" ht="15" hidden="false" customHeight="false" outlineLevel="0" collapsed="false">
      <c r="H2715" s="0" t="str">
        <f aca="false">IF(B2715="","",IF(COUNTIF(Campaigns!$A$7:$A$300,B2715)&gt;0,"✓","⚠ add to Campaigns tab"))</f>
        <v/>
      </c>
      <c r="I2715" s="84" t="str">
        <f aca="false">IF(C2715="","",C2715*IF(Settings!$B$22=Settings!$C$6,1,IF(Settings!$B$22="USD",1/INDEX(Settings!$B$29:$B$40,MONTH(A2715)),INDEX(Settings!$B$29:$B$40,MONTH(A2715)))))</f>
        <v/>
      </c>
    </row>
    <row r="2716" customFormat="false" ht="15" hidden="false" customHeight="false" outlineLevel="0" collapsed="false">
      <c r="H2716" s="0" t="str">
        <f aca="false">IF(B2716="","",IF(COUNTIF(Campaigns!$A$7:$A$300,B2716)&gt;0,"✓","⚠ add to Campaigns tab"))</f>
        <v/>
      </c>
      <c r="I2716" s="84" t="str">
        <f aca="false">IF(C2716="","",C2716*IF(Settings!$B$22=Settings!$C$6,1,IF(Settings!$B$22="USD",1/INDEX(Settings!$B$29:$B$40,MONTH(A2716)),INDEX(Settings!$B$29:$B$40,MONTH(A2716)))))</f>
        <v/>
      </c>
    </row>
    <row r="2717" customFormat="false" ht="15" hidden="false" customHeight="false" outlineLevel="0" collapsed="false">
      <c r="H2717" s="0" t="str">
        <f aca="false">IF(B2717="","",IF(COUNTIF(Campaigns!$A$7:$A$300,B2717)&gt;0,"✓","⚠ add to Campaigns tab"))</f>
        <v/>
      </c>
      <c r="I2717" s="84" t="str">
        <f aca="false">IF(C2717="","",C2717*IF(Settings!$B$22=Settings!$C$6,1,IF(Settings!$B$22="USD",1/INDEX(Settings!$B$29:$B$40,MONTH(A2717)),INDEX(Settings!$B$29:$B$40,MONTH(A2717)))))</f>
        <v/>
      </c>
    </row>
    <row r="2718" customFormat="false" ht="15" hidden="false" customHeight="false" outlineLevel="0" collapsed="false">
      <c r="H2718" s="0" t="str">
        <f aca="false">IF(B2718="","",IF(COUNTIF(Campaigns!$A$7:$A$300,B2718)&gt;0,"✓","⚠ add to Campaigns tab"))</f>
        <v/>
      </c>
      <c r="I2718" s="84" t="str">
        <f aca="false">IF(C2718="","",C2718*IF(Settings!$B$22=Settings!$C$6,1,IF(Settings!$B$22="USD",1/INDEX(Settings!$B$29:$B$40,MONTH(A2718)),INDEX(Settings!$B$29:$B$40,MONTH(A2718)))))</f>
        <v/>
      </c>
    </row>
    <row r="2719" customFormat="false" ht="15" hidden="false" customHeight="false" outlineLevel="0" collapsed="false">
      <c r="H2719" s="0" t="str">
        <f aca="false">IF(B2719="","",IF(COUNTIF(Campaigns!$A$7:$A$300,B2719)&gt;0,"✓","⚠ add to Campaigns tab"))</f>
        <v/>
      </c>
      <c r="I2719" s="84" t="str">
        <f aca="false">IF(C2719="","",C2719*IF(Settings!$B$22=Settings!$C$6,1,IF(Settings!$B$22="USD",1/INDEX(Settings!$B$29:$B$40,MONTH(A2719)),INDEX(Settings!$B$29:$B$40,MONTH(A2719)))))</f>
        <v/>
      </c>
    </row>
    <row r="2720" customFormat="false" ht="15" hidden="false" customHeight="false" outlineLevel="0" collapsed="false">
      <c r="H2720" s="0" t="str">
        <f aca="false">IF(B2720="","",IF(COUNTIF(Campaigns!$A$7:$A$300,B2720)&gt;0,"✓","⚠ add to Campaigns tab"))</f>
        <v/>
      </c>
      <c r="I2720" s="84" t="str">
        <f aca="false">IF(C2720="","",C2720*IF(Settings!$B$22=Settings!$C$6,1,IF(Settings!$B$22="USD",1/INDEX(Settings!$B$29:$B$40,MONTH(A2720)),INDEX(Settings!$B$29:$B$40,MONTH(A2720)))))</f>
        <v/>
      </c>
    </row>
    <row r="2721" customFormat="false" ht="15" hidden="false" customHeight="false" outlineLevel="0" collapsed="false">
      <c r="H2721" s="0" t="str">
        <f aca="false">IF(B2721="","",IF(COUNTIF(Campaigns!$A$7:$A$300,B2721)&gt;0,"✓","⚠ add to Campaigns tab"))</f>
        <v/>
      </c>
      <c r="I2721" s="84" t="str">
        <f aca="false">IF(C2721="","",C2721*IF(Settings!$B$22=Settings!$C$6,1,IF(Settings!$B$22="USD",1/INDEX(Settings!$B$29:$B$40,MONTH(A2721)),INDEX(Settings!$B$29:$B$40,MONTH(A2721)))))</f>
        <v/>
      </c>
    </row>
    <row r="2722" customFormat="false" ht="15" hidden="false" customHeight="false" outlineLevel="0" collapsed="false">
      <c r="H2722" s="0" t="str">
        <f aca="false">IF(B2722="","",IF(COUNTIF(Campaigns!$A$7:$A$300,B2722)&gt;0,"✓","⚠ add to Campaigns tab"))</f>
        <v/>
      </c>
      <c r="I2722" s="84" t="str">
        <f aca="false">IF(C2722="","",C2722*IF(Settings!$B$22=Settings!$C$6,1,IF(Settings!$B$22="USD",1/INDEX(Settings!$B$29:$B$40,MONTH(A2722)),INDEX(Settings!$B$29:$B$40,MONTH(A2722)))))</f>
        <v/>
      </c>
    </row>
    <row r="2723" customFormat="false" ht="15" hidden="false" customHeight="false" outlineLevel="0" collapsed="false">
      <c r="H2723" s="0" t="str">
        <f aca="false">IF(B2723="","",IF(COUNTIF(Campaigns!$A$7:$A$300,B2723)&gt;0,"✓","⚠ add to Campaigns tab"))</f>
        <v/>
      </c>
      <c r="I2723" s="84" t="str">
        <f aca="false">IF(C2723="","",C2723*IF(Settings!$B$22=Settings!$C$6,1,IF(Settings!$B$22="USD",1/INDEX(Settings!$B$29:$B$40,MONTH(A2723)),INDEX(Settings!$B$29:$B$40,MONTH(A2723)))))</f>
        <v/>
      </c>
    </row>
    <row r="2724" customFormat="false" ht="15" hidden="false" customHeight="false" outlineLevel="0" collapsed="false">
      <c r="H2724" s="0" t="str">
        <f aca="false">IF(B2724="","",IF(COUNTIF(Campaigns!$A$7:$A$300,B2724)&gt;0,"✓","⚠ add to Campaigns tab"))</f>
        <v/>
      </c>
      <c r="I2724" s="84" t="str">
        <f aca="false">IF(C2724="","",C2724*IF(Settings!$B$22=Settings!$C$6,1,IF(Settings!$B$22="USD",1/INDEX(Settings!$B$29:$B$40,MONTH(A2724)),INDEX(Settings!$B$29:$B$40,MONTH(A2724)))))</f>
        <v/>
      </c>
    </row>
    <row r="2725" customFormat="false" ht="15" hidden="false" customHeight="false" outlineLevel="0" collapsed="false">
      <c r="H2725" s="0" t="str">
        <f aca="false">IF(B2725="","",IF(COUNTIF(Campaigns!$A$7:$A$300,B2725)&gt;0,"✓","⚠ add to Campaigns tab"))</f>
        <v/>
      </c>
      <c r="I2725" s="84" t="str">
        <f aca="false">IF(C2725="","",C2725*IF(Settings!$B$22=Settings!$C$6,1,IF(Settings!$B$22="USD",1/INDEX(Settings!$B$29:$B$40,MONTH(A2725)),INDEX(Settings!$B$29:$B$40,MONTH(A2725)))))</f>
        <v/>
      </c>
    </row>
    <row r="2726" customFormat="false" ht="15" hidden="false" customHeight="false" outlineLevel="0" collapsed="false">
      <c r="H2726" s="0" t="str">
        <f aca="false">IF(B2726="","",IF(COUNTIF(Campaigns!$A$7:$A$300,B2726)&gt;0,"✓","⚠ add to Campaigns tab"))</f>
        <v/>
      </c>
      <c r="I2726" s="84" t="str">
        <f aca="false">IF(C2726="","",C2726*IF(Settings!$B$22=Settings!$C$6,1,IF(Settings!$B$22="USD",1/INDEX(Settings!$B$29:$B$40,MONTH(A2726)),INDEX(Settings!$B$29:$B$40,MONTH(A2726)))))</f>
        <v/>
      </c>
    </row>
    <row r="2727" customFormat="false" ht="15" hidden="false" customHeight="false" outlineLevel="0" collapsed="false">
      <c r="H2727" s="0" t="str">
        <f aca="false">IF(B2727="","",IF(COUNTIF(Campaigns!$A$7:$A$300,B2727)&gt;0,"✓","⚠ add to Campaigns tab"))</f>
        <v/>
      </c>
      <c r="I2727" s="84" t="str">
        <f aca="false">IF(C2727="","",C2727*IF(Settings!$B$22=Settings!$C$6,1,IF(Settings!$B$22="USD",1/INDEX(Settings!$B$29:$B$40,MONTH(A2727)),INDEX(Settings!$B$29:$B$40,MONTH(A2727)))))</f>
        <v/>
      </c>
    </row>
    <row r="2728" customFormat="false" ht="15" hidden="false" customHeight="false" outlineLevel="0" collapsed="false">
      <c r="H2728" s="0" t="str">
        <f aca="false">IF(B2728="","",IF(COUNTIF(Campaigns!$A$7:$A$300,B2728)&gt;0,"✓","⚠ add to Campaigns tab"))</f>
        <v/>
      </c>
      <c r="I2728" s="84" t="str">
        <f aca="false">IF(C2728="","",C2728*IF(Settings!$B$22=Settings!$C$6,1,IF(Settings!$B$22="USD",1/INDEX(Settings!$B$29:$B$40,MONTH(A2728)),INDEX(Settings!$B$29:$B$40,MONTH(A2728)))))</f>
        <v/>
      </c>
    </row>
    <row r="2729" customFormat="false" ht="15" hidden="false" customHeight="false" outlineLevel="0" collapsed="false">
      <c r="H2729" s="0" t="str">
        <f aca="false">IF(B2729="","",IF(COUNTIF(Campaigns!$A$7:$A$300,B2729)&gt;0,"✓","⚠ add to Campaigns tab"))</f>
        <v/>
      </c>
      <c r="I2729" s="84" t="str">
        <f aca="false">IF(C2729="","",C2729*IF(Settings!$B$22=Settings!$C$6,1,IF(Settings!$B$22="USD",1/INDEX(Settings!$B$29:$B$40,MONTH(A2729)),INDEX(Settings!$B$29:$B$40,MONTH(A2729)))))</f>
        <v/>
      </c>
    </row>
    <row r="2730" customFormat="false" ht="15" hidden="false" customHeight="false" outlineLevel="0" collapsed="false">
      <c r="H2730" s="0" t="str">
        <f aca="false">IF(B2730="","",IF(COUNTIF(Campaigns!$A$7:$A$300,B2730)&gt;0,"✓","⚠ add to Campaigns tab"))</f>
        <v/>
      </c>
      <c r="I2730" s="84" t="str">
        <f aca="false">IF(C2730="","",C2730*IF(Settings!$B$22=Settings!$C$6,1,IF(Settings!$B$22="USD",1/INDEX(Settings!$B$29:$B$40,MONTH(A2730)),INDEX(Settings!$B$29:$B$40,MONTH(A2730)))))</f>
        <v/>
      </c>
    </row>
    <row r="2731" customFormat="false" ht="15" hidden="false" customHeight="false" outlineLevel="0" collapsed="false">
      <c r="H2731" s="0" t="str">
        <f aca="false">IF(B2731="","",IF(COUNTIF(Campaigns!$A$7:$A$300,B2731)&gt;0,"✓","⚠ add to Campaigns tab"))</f>
        <v/>
      </c>
      <c r="I2731" s="84" t="str">
        <f aca="false">IF(C2731="","",C2731*IF(Settings!$B$22=Settings!$C$6,1,IF(Settings!$B$22="USD",1/INDEX(Settings!$B$29:$B$40,MONTH(A2731)),INDEX(Settings!$B$29:$B$40,MONTH(A2731)))))</f>
        <v/>
      </c>
    </row>
    <row r="2732" customFormat="false" ht="15" hidden="false" customHeight="false" outlineLevel="0" collapsed="false">
      <c r="H2732" s="0" t="str">
        <f aca="false">IF(B2732="","",IF(COUNTIF(Campaigns!$A$7:$A$300,B2732)&gt;0,"✓","⚠ add to Campaigns tab"))</f>
        <v/>
      </c>
      <c r="I2732" s="84" t="str">
        <f aca="false">IF(C2732="","",C2732*IF(Settings!$B$22=Settings!$C$6,1,IF(Settings!$B$22="USD",1/INDEX(Settings!$B$29:$B$40,MONTH(A2732)),INDEX(Settings!$B$29:$B$40,MONTH(A2732)))))</f>
        <v/>
      </c>
    </row>
    <row r="2733" customFormat="false" ht="15" hidden="false" customHeight="false" outlineLevel="0" collapsed="false">
      <c r="H2733" s="0" t="str">
        <f aca="false">IF(B2733="","",IF(COUNTIF(Campaigns!$A$7:$A$300,B2733)&gt;0,"✓","⚠ add to Campaigns tab"))</f>
        <v/>
      </c>
      <c r="I2733" s="84" t="str">
        <f aca="false">IF(C2733="","",C2733*IF(Settings!$B$22=Settings!$C$6,1,IF(Settings!$B$22="USD",1/INDEX(Settings!$B$29:$B$40,MONTH(A2733)),INDEX(Settings!$B$29:$B$40,MONTH(A2733)))))</f>
        <v/>
      </c>
    </row>
    <row r="2734" customFormat="false" ht="15" hidden="false" customHeight="false" outlineLevel="0" collapsed="false">
      <c r="H2734" s="0" t="str">
        <f aca="false">IF(B2734="","",IF(COUNTIF(Campaigns!$A$7:$A$300,B2734)&gt;0,"✓","⚠ add to Campaigns tab"))</f>
        <v/>
      </c>
      <c r="I2734" s="84" t="str">
        <f aca="false">IF(C2734="","",C2734*IF(Settings!$B$22=Settings!$C$6,1,IF(Settings!$B$22="USD",1/INDEX(Settings!$B$29:$B$40,MONTH(A2734)),INDEX(Settings!$B$29:$B$40,MONTH(A2734)))))</f>
        <v/>
      </c>
    </row>
    <row r="2735" customFormat="false" ht="15" hidden="false" customHeight="false" outlineLevel="0" collapsed="false">
      <c r="H2735" s="0" t="str">
        <f aca="false">IF(B2735="","",IF(COUNTIF(Campaigns!$A$7:$A$300,B2735)&gt;0,"✓","⚠ add to Campaigns tab"))</f>
        <v/>
      </c>
      <c r="I2735" s="84" t="str">
        <f aca="false">IF(C2735="","",C2735*IF(Settings!$B$22=Settings!$C$6,1,IF(Settings!$B$22="USD",1/INDEX(Settings!$B$29:$B$40,MONTH(A2735)),INDEX(Settings!$B$29:$B$40,MONTH(A2735)))))</f>
        <v/>
      </c>
    </row>
    <row r="2736" customFormat="false" ht="15" hidden="false" customHeight="false" outlineLevel="0" collapsed="false">
      <c r="H2736" s="0" t="str">
        <f aca="false">IF(B2736="","",IF(COUNTIF(Campaigns!$A$7:$A$300,B2736)&gt;0,"✓","⚠ add to Campaigns tab"))</f>
        <v/>
      </c>
      <c r="I2736" s="84" t="str">
        <f aca="false">IF(C2736="","",C2736*IF(Settings!$B$22=Settings!$C$6,1,IF(Settings!$B$22="USD",1/INDEX(Settings!$B$29:$B$40,MONTH(A2736)),INDEX(Settings!$B$29:$B$40,MONTH(A2736)))))</f>
        <v/>
      </c>
    </row>
    <row r="2737" customFormat="false" ht="15" hidden="false" customHeight="false" outlineLevel="0" collapsed="false">
      <c r="H2737" s="0" t="str">
        <f aca="false">IF(B2737="","",IF(COUNTIF(Campaigns!$A$7:$A$300,B2737)&gt;0,"✓","⚠ add to Campaigns tab"))</f>
        <v/>
      </c>
      <c r="I2737" s="84" t="str">
        <f aca="false">IF(C2737="","",C2737*IF(Settings!$B$22=Settings!$C$6,1,IF(Settings!$B$22="USD",1/INDEX(Settings!$B$29:$B$40,MONTH(A2737)),INDEX(Settings!$B$29:$B$40,MONTH(A2737)))))</f>
        <v/>
      </c>
    </row>
    <row r="2738" customFormat="false" ht="15" hidden="false" customHeight="false" outlineLevel="0" collapsed="false">
      <c r="H2738" s="0" t="str">
        <f aca="false">IF(B2738="","",IF(COUNTIF(Campaigns!$A$7:$A$300,B2738)&gt;0,"✓","⚠ add to Campaigns tab"))</f>
        <v/>
      </c>
      <c r="I2738" s="84" t="str">
        <f aca="false">IF(C2738="","",C2738*IF(Settings!$B$22=Settings!$C$6,1,IF(Settings!$B$22="USD",1/INDEX(Settings!$B$29:$B$40,MONTH(A2738)),INDEX(Settings!$B$29:$B$40,MONTH(A2738)))))</f>
        <v/>
      </c>
    </row>
    <row r="2739" customFormat="false" ht="15" hidden="false" customHeight="false" outlineLevel="0" collapsed="false">
      <c r="H2739" s="0" t="str">
        <f aca="false">IF(B2739="","",IF(COUNTIF(Campaigns!$A$7:$A$300,B2739)&gt;0,"✓","⚠ add to Campaigns tab"))</f>
        <v/>
      </c>
      <c r="I2739" s="84" t="str">
        <f aca="false">IF(C2739="","",C2739*IF(Settings!$B$22=Settings!$C$6,1,IF(Settings!$B$22="USD",1/INDEX(Settings!$B$29:$B$40,MONTH(A2739)),INDEX(Settings!$B$29:$B$40,MONTH(A2739)))))</f>
        <v/>
      </c>
    </row>
    <row r="2740" customFormat="false" ht="15" hidden="false" customHeight="false" outlineLevel="0" collapsed="false">
      <c r="H2740" s="0" t="str">
        <f aca="false">IF(B2740="","",IF(COUNTIF(Campaigns!$A$7:$A$300,B2740)&gt;0,"✓","⚠ add to Campaigns tab"))</f>
        <v/>
      </c>
      <c r="I2740" s="84" t="str">
        <f aca="false">IF(C2740="","",C2740*IF(Settings!$B$22=Settings!$C$6,1,IF(Settings!$B$22="USD",1/INDEX(Settings!$B$29:$B$40,MONTH(A2740)),INDEX(Settings!$B$29:$B$40,MONTH(A2740)))))</f>
        <v/>
      </c>
    </row>
    <row r="2741" customFormat="false" ht="15" hidden="false" customHeight="false" outlineLevel="0" collapsed="false">
      <c r="H2741" s="0" t="str">
        <f aca="false">IF(B2741="","",IF(COUNTIF(Campaigns!$A$7:$A$300,B2741)&gt;0,"✓","⚠ add to Campaigns tab"))</f>
        <v/>
      </c>
      <c r="I2741" s="84" t="str">
        <f aca="false">IF(C2741="","",C2741*IF(Settings!$B$22=Settings!$C$6,1,IF(Settings!$B$22="USD",1/INDEX(Settings!$B$29:$B$40,MONTH(A2741)),INDEX(Settings!$B$29:$B$40,MONTH(A2741)))))</f>
        <v/>
      </c>
    </row>
    <row r="2742" customFormat="false" ht="15" hidden="false" customHeight="false" outlineLevel="0" collapsed="false">
      <c r="H2742" s="0" t="str">
        <f aca="false">IF(B2742="","",IF(COUNTIF(Campaigns!$A$7:$A$300,B2742)&gt;0,"✓","⚠ add to Campaigns tab"))</f>
        <v/>
      </c>
      <c r="I2742" s="84" t="str">
        <f aca="false">IF(C2742="","",C2742*IF(Settings!$B$22=Settings!$C$6,1,IF(Settings!$B$22="USD",1/INDEX(Settings!$B$29:$B$40,MONTH(A2742)),INDEX(Settings!$B$29:$B$40,MONTH(A2742)))))</f>
        <v/>
      </c>
    </row>
    <row r="2743" customFormat="false" ht="15" hidden="false" customHeight="false" outlineLevel="0" collapsed="false">
      <c r="H2743" s="0" t="str">
        <f aca="false">IF(B2743="","",IF(COUNTIF(Campaigns!$A$7:$A$300,B2743)&gt;0,"✓","⚠ add to Campaigns tab"))</f>
        <v/>
      </c>
      <c r="I2743" s="84" t="str">
        <f aca="false">IF(C2743="","",C2743*IF(Settings!$B$22=Settings!$C$6,1,IF(Settings!$B$22="USD",1/INDEX(Settings!$B$29:$B$40,MONTH(A2743)),INDEX(Settings!$B$29:$B$40,MONTH(A2743)))))</f>
        <v/>
      </c>
    </row>
    <row r="2744" customFormat="false" ht="15" hidden="false" customHeight="false" outlineLevel="0" collapsed="false">
      <c r="H2744" s="0" t="str">
        <f aca="false">IF(B2744="","",IF(COUNTIF(Campaigns!$A$7:$A$300,B2744)&gt;0,"✓","⚠ add to Campaigns tab"))</f>
        <v/>
      </c>
      <c r="I2744" s="84" t="str">
        <f aca="false">IF(C2744="","",C2744*IF(Settings!$B$22=Settings!$C$6,1,IF(Settings!$B$22="USD",1/INDEX(Settings!$B$29:$B$40,MONTH(A2744)),INDEX(Settings!$B$29:$B$40,MONTH(A2744)))))</f>
        <v/>
      </c>
    </row>
    <row r="2745" customFormat="false" ht="15" hidden="false" customHeight="false" outlineLevel="0" collapsed="false">
      <c r="H2745" s="0" t="str">
        <f aca="false">IF(B2745="","",IF(COUNTIF(Campaigns!$A$7:$A$300,B2745)&gt;0,"✓","⚠ add to Campaigns tab"))</f>
        <v/>
      </c>
      <c r="I2745" s="84" t="str">
        <f aca="false">IF(C2745="","",C2745*IF(Settings!$B$22=Settings!$C$6,1,IF(Settings!$B$22="USD",1/INDEX(Settings!$B$29:$B$40,MONTH(A2745)),INDEX(Settings!$B$29:$B$40,MONTH(A2745)))))</f>
        <v/>
      </c>
    </row>
    <row r="2746" customFormat="false" ht="15" hidden="false" customHeight="false" outlineLevel="0" collapsed="false">
      <c r="H2746" s="0" t="str">
        <f aca="false">IF(B2746="","",IF(COUNTIF(Campaigns!$A$7:$A$300,B2746)&gt;0,"✓","⚠ add to Campaigns tab"))</f>
        <v/>
      </c>
      <c r="I2746" s="84" t="str">
        <f aca="false">IF(C2746="","",C2746*IF(Settings!$B$22=Settings!$C$6,1,IF(Settings!$B$22="USD",1/INDEX(Settings!$B$29:$B$40,MONTH(A2746)),INDEX(Settings!$B$29:$B$40,MONTH(A2746)))))</f>
        <v/>
      </c>
    </row>
    <row r="2747" customFormat="false" ht="15" hidden="false" customHeight="false" outlineLevel="0" collapsed="false">
      <c r="H2747" s="0" t="str">
        <f aca="false">IF(B2747="","",IF(COUNTIF(Campaigns!$A$7:$A$300,B2747)&gt;0,"✓","⚠ add to Campaigns tab"))</f>
        <v/>
      </c>
      <c r="I2747" s="84" t="str">
        <f aca="false">IF(C2747="","",C2747*IF(Settings!$B$22=Settings!$C$6,1,IF(Settings!$B$22="USD",1/INDEX(Settings!$B$29:$B$40,MONTH(A2747)),INDEX(Settings!$B$29:$B$40,MONTH(A2747)))))</f>
        <v/>
      </c>
    </row>
    <row r="2748" customFormat="false" ht="15" hidden="false" customHeight="false" outlineLevel="0" collapsed="false">
      <c r="H2748" s="0" t="str">
        <f aca="false">IF(B2748="","",IF(COUNTIF(Campaigns!$A$7:$A$300,B2748)&gt;0,"✓","⚠ add to Campaigns tab"))</f>
        <v/>
      </c>
      <c r="I2748" s="84" t="str">
        <f aca="false">IF(C2748="","",C2748*IF(Settings!$B$22=Settings!$C$6,1,IF(Settings!$B$22="USD",1/INDEX(Settings!$B$29:$B$40,MONTH(A2748)),INDEX(Settings!$B$29:$B$40,MONTH(A2748)))))</f>
        <v/>
      </c>
    </row>
    <row r="2749" customFormat="false" ht="15" hidden="false" customHeight="false" outlineLevel="0" collapsed="false">
      <c r="H2749" s="0" t="str">
        <f aca="false">IF(B2749="","",IF(COUNTIF(Campaigns!$A$7:$A$300,B2749)&gt;0,"✓","⚠ add to Campaigns tab"))</f>
        <v/>
      </c>
      <c r="I2749" s="84" t="str">
        <f aca="false">IF(C2749="","",C2749*IF(Settings!$B$22=Settings!$C$6,1,IF(Settings!$B$22="USD",1/INDEX(Settings!$B$29:$B$40,MONTH(A2749)),INDEX(Settings!$B$29:$B$40,MONTH(A2749)))))</f>
        <v/>
      </c>
    </row>
    <row r="2750" customFormat="false" ht="15" hidden="false" customHeight="false" outlineLevel="0" collapsed="false">
      <c r="H2750" s="0" t="str">
        <f aca="false">IF(B2750="","",IF(COUNTIF(Campaigns!$A$7:$A$300,B2750)&gt;0,"✓","⚠ add to Campaigns tab"))</f>
        <v/>
      </c>
      <c r="I2750" s="84" t="str">
        <f aca="false">IF(C2750="","",C2750*IF(Settings!$B$22=Settings!$C$6,1,IF(Settings!$B$22="USD",1/INDEX(Settings!$B$29:$B$40,MONTH(A2750)),INDEX(Settings!$B$29:$B$40,MONTH(A2750)))))</f>
        <v/>
      </c>
    </row>
    <row r="2751" customFormat="false" ht="15" hidden="false" customHeight="false" outlineLevel="0" collapsed="false">
      <c r="H2751" s="0" t="str">
        <f aca="false">IF(B2751="","",IF(COUNTIF(Campaigns!$A$7:$A$300,B2751)&gt;0,"✓","⚠ add to Campaigns tab"))</f>
        <v/>
      </c>
      <c r="I2751" s="84" t="str">
        <f aca="false">IF(C2751="","",C2751*IF(Settings!$B$22=Settings!$C$6,1,IF(Settings!$B$22="USD",1/INDEX(Settings!$B$29:$B$40,MONTH(A2751)),INDEX(Settings!$B$29:$B$40,MONTH(A2751)))))</f>
        <v/>
      </c>
    </row>
    <row r="2752" customFormat="false" ht="15" hidden="false" customHeight="false" outlineLevel="0" collapsed="false">
      <c r="H2752" s="0" t="str">
        <f aca="false">IF(B2752="","",IF(COUNTIF(Campaigns!$A$7:$A$300,B2752)&gt;0,"✓","⚠ add to Campaigns tab"))</f>
        <v/>
      </c>
      <c r="I2752" s="84" t="str">
        <f aca="false">IF(C2752="","",C2752*IF(Settings!$B$22=Settings!$C$6,1,IF(Settings!$B$22="USD",1/INDEX(Settings!$B$29:$B$40,MONTH(A2752)),INDEX(Settings!$B$29:$B$40,MONTH(A2752)))))</f>
        <v/>
      </c>
    </row>
    <row r="2753" customFormat="false" ht="15" hidden="false" customHeight="false" outlineLevel="0" collapsed="false">
      <c r="H2753" s="0" t="str">
        <f aca="false">IF(B2753="","",IF(COUNTIF(Campaigns!$A$7:$A$300,B2753)&gt;0,"✓","⚠ add to Campaigns tab"))</f>
        <v/>
      </c>
      <c r="I2753" s="84" t="str">
        <f aca="false">IF(C2753="","",C2753*IF(Settings!$B$22=Settings!$C$6,1,IF(Settings!$B$22="USD",1/INDEX(Settings!$B$29:$B$40,MONTH(A2753)),INDEX(Settings!$B$29:$B$40,MONTH(A2753)))))</f>
        <v/>
      </c>
    </row>
    <row r="2754" customFormat="false" ht="15" hidden="false" customHeight="false" outlineLevel="0" collapsed="false">
      <c r="H2754" s="0" t="str">
        <f aca="false">IF(B2754="","",IF(COUNTIF(Campaigns!$A$7:$A$300,B2754)&gt;0,"✓","⚠ add to Campaigns tab"))</f>
        <v/>
      </c>
      <c r="I2754" s="84" t="str">
        <f aca="false">IF(C2754="","",C2754*IF(Settings!$B$22=Settings!$C$6,1,IF(Settings!$B$22="USD",1/INDEX(Settings!$B$29:$B$40,MONTH(A2754)),INDEX(Settings!$B$29:$B$40,MONTH(A2754)))))</f>
        <v/>
      </c>
    </row>
    <row r="2755" customFormat="false" ht="15" hidden="false" customHeight="false" outlineLevel="0" collapsed="false">
      <c r="H2755" s="0" t="str">
        <f aca="false">IF(B2755="","",IF(COUNTIF(Campaigns!$A$7:$A$300,B2755)&gt;0,"✓","⚠ add to Campaigns tab"))</f>
        <v/>
      </c>
      <c r="I2755" s="84" t="str">
        <f aca="false">IF(C2755="","",C2755*IF(Settings!$B$22=Settings!$C$6,1,IF(Settings!$B$22="USD",1/INDEX(Settings!$B$29:$B$40,MONTH(A2755)),INDEX(Settings!$B$29:$B$40,MONTH(A2755)))))</f>
        <v/>
      </c>
    </row>
    <row r="2756" customFormat="false" ht="15" hidden="false" customHeight="false" outlineLevel="0" collapsed="false">
      <c r="H2756" s="0" t="str">
        <f aca="false">IF(B2756="","",IF(COUNTIF(Campaigns!$A$7:$A$300,B2756)&gt;0,"✓","⚠ add to Campaigns tab"))</f>
        <v/>
      </c>
      <c r="I2756" s="84" t="str">
        <f aca="false">IF(C2756="","",C2756*IF(Settings!$B$22=Settings!$C$6,1,IF(Settings!$B$22="USD",1/INDEX(Settings!$B$29:$B$40,MONTH(A2756)),INDEX(Settings!$B$29:$B$40,MONTH(A2756)))))</f>
        <v/>
      </c>
    </row>
    <row r="2757" customFormat="false" ht="15" hidden="false" customHeight="false" outlineLevel="0" collapsed="false">
      <c r="H2757" s="0" t="str">
        <f aca="false">IF(B2757="","",IF(COUNTIF(Campaigns!$A$7:$A$300,B2757)&gt;0,"✓","⚠ add to Campaigns tab"))</f>
        <v/>
      </c>
      <c r="I2757" s="84" t="str">
        <f aca="false">IF(C2757="","",C2757*IF(Settings!$B$22=Settings!$C$6,1,IF(Settings!$B$22="USD",1/INDEX(Settings!$B$29:$B$40,MONTH(A2757)),INDEX(Settings!$B$29:$B$40,MONTH(A2757)))))</f>
        <v/>
      </c>
    </row>
    <row r="2758" customFormat="false" ht="15" hidden="false" customHeight="false" outlineLevel="0" collapsed="false">
      <c r="H2758" s="0" t="str">
        <f aca="false">IF(B2758="","",IF(COUNTIF(Campaigns!$A$7:$A$300,B2758)&gt;0,"✓","⚠ add to Campaigns tab"))</f>
        <v/>
      </c>
      <c r="I2758" s="84" t="str">
        <f aca="false">IF(C2758="","",C2758*IF(Settings!$B$22=Settings!$C$6,1,IF(Settings!$B$22="USD",1/INDEX(Settings!$B$29:$B$40,MONTH(A2758)),INDEX(Settings!$B$29:$B$40,MONTH(A2758)))))</f>
        <v/>
      </c>
    </row>
    <row r="2759" customFormat="false" ht="15" hidden="false" customHeight="false" outlineLevel="0" collapsed="false">
      <c r="H2759" s="0" t="str">
        <f aca="false">IF(B2759="","",IF(COUNTIF(Campaigns!$A$7:$A$300,B2759)&gt;0,"✓","⚠ add to Campaigns tab"))</f>
        <v/>
      </c>
      <c r="I2759" s="84" t="str">
        <f aca="false">IF(C2759="","",C2759*IF(Settings!$B$22=Settings!$C$6,1,IF(Settings!$B$22="USD",1/INDEX(Settings!$B$29:$B$40,MONTH(A2759)),INDEX(Settings!$B$29:$B$40,MONTH(A2759)))))</f>
        <v/>
      </c>
    </row>
    <row r="2760" customFormat="false" ht="15" hidden="false" customHeight="false" outlineLevel="0" collapsed="false">
      <c r="H2760" s="0" t="str">
        <f aca="false">IF(B2760="","",IF(COUNTIF(Campaigns!$A$7:$A$300,B2760)&gt;0,"✓","⚠ add to Campaigns tab"))</f>
        <v/>
      </c>
      <c r="I2760" s="84" t="str">
        <f aca="false">IF(C2760="","",C2760*IF(Settings!$B$22=Settings!$C$6,1,IF(Settings!$B$22="USD",1/INDEX(Settings!$B$29:$B$40,MONTH(A2760)),INDEX(Settings!$B$29:$B$40,MONTH(A2760)))))</f>
        <v/>
      </c>
    </row>
    <row r="2761" customFormat="false" ht="15" hidden="false" customHeight="false" outlineLevel="0" collapsed="false">
      <c r="H2761" s="0" t="str">
        <f aca="false">IF(B2761="","",IF(COUNTIF(Campaigns!$A$7:$A$300,B2761)&gt;0,"✓","⚠ add to Campaigns tab"))</f>
        <v/>
      </c>
      <c r="I2761" s="84" t="str">
        <f aca="false">IF(C2761="","",C2761*IF(Settings!$B$22=Settings!$C$6,1,IF(Settings!$B$22="USD",1/INDEX(Settings!$B$29:$B$40,MONTH(A2761)),INDEX(Settings!$B$29:$B$40,MONTH(A2761)))))</f>
        <v/>
      </c>
    </row>
    <row r="2762" customFormat="false" ht="15" hidden="false" customHeight="false" outlineLevel="0" collapsed="false">
      <c r="H2762" s="0" t="str">
        <f aca="false">IF(B2762="","",IF(COUNTIF(Campaigns!$A$7:$A$300,B2762)&gt;0,"✓","⚠ add to Campaigns tab"))</f>
        <v/>
      </c>
      <c r="I2762" s="84" t="str">
        <f aca="false">IF(C2762="","",C2762*IF(Settings!$B$22=Settings!$C$6,1,IF(Settings!$B$22="USD",1/INDEX(Settings!$B$29:$B$40,MONTH(A2762)),INDEX(Settings!$B$29:$B$40,MONTH(A2762)))))</f>
        <v/>
      </c>
    </row>
    <row r="2763" customFormat="false" ht="15" hidden="false" customHeight="false" outlineLevel="0" collapsed="false">
      <c r="H2763" s="0" t="str">
        <f aca="false">IF(B2763="","",IF(COUNTIF(Campaigns!$A$7:$A$300,B2763)&gt;0,"✓","⚠ add to Campaigns tab"))</f>
        <v/>
      </c>
      <c r="I2763" s="84" t="str">
        <f aca="false">IF(C2763="","",C2763*IF(Settings!$B$22=Settings!$C$6,1,IF(Settings!$B$22="USD",1/INDEX(Settings!$B$29:$B$40,MONTH(A2763)),INDEX(Settings!$B$29:$B$40,MONTH(A2763)))))</f>
        <v/>
      </c>
    </row>
    <row r="2764" customFormat="false" ht="15" hidden="false" customHeight="false" outlineLevel="0" collapsed="false">
      <c r="H2764" s="0" t="str">
        <f aca="false">IF(B2764="","",IF(COUNTIF(Campaigns!$A$7:$A$300,B2764)&gt;0,"✓","⚠ add to Campaigns tab"))</f>
        <v/>
      </c>
      <c r="I2764" s="84" t="str">
        <f aca="false">IF(C2764="","",C2764*IF(Settings!$B$22=Settings!$C$6,1,IF(Settings!$B$22="USD",1/INDEX(Settings!$B$29:$B$40,MONTH(A2764)),INDEX(Settings!$B$29:$B$40,MONTH(A2764)))))</f>
        <v/>
      </c>
    </row>
    <row r="2765" customFormat="false" ht="15" hidden="false" customHeight="false" outlineLevel="0" collapsed="false">
      <c r="H2765" s="0" t="str">
        <f aca="false">IF(B2765="","",IF(COUNTIF(Campaigns!$A$7:$A$300,B2765)&gt;0,"✓","⚠ add to Campaigns tab"))</f>
        <v/>
      </c>
      <c r="I2765" s="84" t="str">
        <f aca="false">IF(C2765="","",C2765*IF(Settings!$B$22=Settings!$C$6,1,IF(Settings!$B$22="USD",1/INDEX(Settings!$B$29:$B$40,MONTH(A2765)),INDEX(Settings!$B$29:$B$40,MONTH(A2765)))))</f>
        <v/>
      </c>
    </row>
    <row r="2766" customFormat="false" ht="15" hidden="false" customHeight="false" outlineLevel="0" collapsed="false">
      <c r="H2766" s="0" t="str">
        <f aca="false">IF(B2766="","",IF(COUNTIF(Campaigns!$A$7:$A$300,B2766)&gt;0,"✓","⚠ add to Campaigns tab"))</f>
        <v/>
      </c>
      <c r="I2766" s="84" t="str">
        <f aca="false">IF(C2766="","",C2766*IF(Settings!$B$22=Settings!$C$6,1,IF(Settings!$B$22="USD",1/INDEX(Settings!$B$29:$B$40,MONTH(A2766)),INDEX(Settings!$B$29:$B$40,MONTH(A2766)))))</f>
        <v/>
      </c>
    </row>
    <row r="2767" customFormat="false" ht="15" hidden="false" customHeight="false" outlineLevel="0" collapsed="false">
      <c r="H2767" s="0" t="str">
        <f aca="false">IF(B2767="","",IF(COUNTIF(Campaigns!$A$7:$A$300,B2767)&gt;0,"✓","⚠ add to Campaigns tab"))</f>
        <v/>
      </c>
      <c r="I2767" s="84" t="str">
        <f aca="false">IF(C2767="","",C2767*IF(Settings!$B$22=Settings!$C$6,1,IF(Settings!$B$22="USD",1/INDEX(Settings!$B$29:$B$40,MONTH(A2767)),INDEX(Settings!$B$29:$B$40,MONTH(A2767)))))</f>
        <v/>
      </c>
    </row>
    <row r="2768" customFormat="false" ht="15" hidden="false" customHeight="false" outlineLevel="0" collapsed="false">
      <c r="H2768" s="0" t="str">
        <f aca="false">IF(B2768="","",IF(COUNTIF(Campaigns!$A$7:$A$300,B2768)&gt;0,"✓","⚠ add to Campaigns tab"))</f>
        <v/>
      </c>
      <c r="I2768" s="84" t="str">
        <f aca="false">IF(C2768="","",C2768*IF(Settings!$B$22=Settings!$C$6,1,IF(Settings!$B$22="USD",1/INDEX(Settings!$B$29:$B$40,MONTH(A2768)),INDEX(Settings!$B$29:$B$40,MONTH(A2768)))))</f>
        <v/>
      </c>
    </row>
    <row r="2769" customFormat="false" ht="15" hidden="false" customHeight="false" outlineLevel="0" collapsed="false">
      <c r="H2769" s="0" t="str">
        <f aca="false">IF(B2769="","",IF(COUNTIF(Campaigns!$A$7:$A$300,B2769)&gt;0,"✓","⚠ add to Campaigns tab"))</f>
        <v/>
      </c>
      <c r="I2769" s="84" t="str">
        <f aca="false">IF(C2769="","",C2769*IF(Settings!$B$22=Settings!$C$6,1,IF(Settings!$B$22="USD",1/INDEX(Settings!$B$29:$B$40,MONTH(A2769)),INDEX(Settings!$B$29:$B$40,MONTH(A2769)))))</f>
        <v/>
      </c>
    </row>
    <row r="2770" customFormat="false" ht="15" hidden="false" customHeight="false" outlineLevel="0" collapsed="false">
      <c r="H2770" s="0" t="str">
        <f aca="false">IF(B2770="","",IF(COUNTIF(Campaigns!$A$7:$A$300,B2770)&gt;0,"✓","⚠ add to Campaigns tab"))</f>
        <v/>
      </c>
      <c r="I2770" s="84" t="str">
        <f aca="false">IF(C2770="","",C2770*IF(Settings!$B$22=Settings!$C$6,1,IF(Settings!$B$22="USD",1/INDEX(Settings!$B$29:$B$40,MONTH(A2770)),INDEX(Settings!$B$29:$B$40,MONTH(A2770)))))</f>
        <v/>
      </c>
    </row>
    <row r="2771" customFormat="false" ht="15" hidden="false" customHeight="false" outlineLevel="0" collapsed="false">
      <c r="H2771" s="0" t="str">
        <f aca="false">IF(B2771="","",IF(COUNTIF(Campaigns!$A$7:$A$300,B2771)&gt;0,"✓","⚠ add to Campaigns tab"))</f>
        <v/>
      </c>
      <c r="I2771" s="84" t="str">
        <f aca="false">IF(C2771="","",C2771*IF(Settings!$B$22=Settings!$C$6,1,IF(Settings!$B$22="USD",1/INDEX(Settings!$B$29:$B$40,MONTH(A2771)),INDEX(Settings!$B$29:$B$40,MONTH(A2771)))))</f>
        <v/>
      </c>
    </row>
    <row r="2772" customFormat="false" ht="15" hidden="false" customHeight="false" outlineLevel="0" collapsed="false">
      <c r="H2772" s="0" t="str">
        <f aca="false">IF(B2772="","",IF(COUNTIF(Campaigns!$A$7:$A$300,B2772)&gt;0,"✓","⚠ add to Campaigns tab"))</f>
        <v/>
      </c>
      <c r="I2772" s="84" t="str">
        <f aca="false">IF(C2772="","",C2772*IF(Settings!$B$22=Settings!$C$6,1,IF(Settings!$B$22="USD",1/INDEX(Settings!$B$29:$B$40,MONTH(A2772)),INDEX(Settings!$B$29:$B$40,MONTH(A2772)))))</f>
        <v/>
      </c>
    </row>
    <row r="2773" customFormat="false" ht="15" hidden="false" customHeight="false" outlineLevel="0" collapsed="false">
      <c r="H2773" s="0" t="str">
        <f aca="false">IF(B2773="","",IF(COUNTIF(Campaigns!$A$7:$A$300,B2773)&gt;0,"✓","⚠ add to Campaigns tab"))</f>
        <v/>
      </c>
      <c r="I2773" s="84" t="str">
        <f aca="false">IF(C2773="","",C2773*IF(Settings!$B$22=Settings!$C$6,1,IF(Settings!$B$22="USD",1/INDEX(Settings!$B$29:$B$40,MONTH(A2773)),INDEX(Settings!$B$29:$B$40,MONTH(A2773)))))</f>
        <v/>
      </c>
    </row>
    <row r="2774" customFormat="false" ht="15" hidden="false" customHeight="false" outlineLevel="0" collapsed="false">
      <c r="H2774" s="0" t="str">
        <f aca="false">IF(B2774="","",IF(COUNTIF(Campaigns!$A$7:$A$300,B2774)&gt;0,"✓","⚠ add to Campaigns tab"))</f>
        <v/>
      </c>
      <c r="I2774" s="84" t="str">
        <f aca="false">IF(C2774="","",C2774*IF(Settings!$B$22=Settings!$C$6,1,IF(Settings!$B$22="USD",1/INDEX(Settings!$B$29:$B$40,MONTH(A2774)),INDEX(Settings!$B$29:$B$40,MONTH(A2774)))))</f>
        <v/>
      </c>
    </row>
    <row r="2775" customFormat="false" ht="15" hidden="false" customHeight="false" outlineLevel="0" collapsed="false">
      <c r="H2775" s="0" t="str">
        <f aca="false">IF(B2775="","",IF(COUNTIF(Campaigns!$A$7:$A$300,B2775)&gt;0,"✓","⚠ add to Campaigns tab"))</f>
        <v/>
      </c>
      <c r="I2775" s="84" t="str">
        <f aca="false">IF(C2775="","",C2775*IF(Settings!$B$22=Settings!$C$6,1,IF(Settings!$B$22="USD",1/INDEX(Settings!$B$29:$B$40,MONTH(A2775)),INDEX(Settings!$B$29:$B$40,MONTH(A2775)))))</f>
        <v/>
      </c>
    </row>
    <row r="2776" customFormat="false" ht="15" hidden="false" customHeight="false" outlineLevel="0" collapsed="false">
      <c r="H2776" s="0" t="str">
        <f aca="false">IF(B2776="","",IF(COUNTIF(Campaigns!$A$7:$A$300,B2776)&gt;0,"✓","⚠ add to Campaigns tab"))</f>
        <v/>
      </c>
      <c r="I2776" s="84" t="str">
        <f aca="false">IF(C2776="","",C2776*IF(Settings!$B$22=Settings!$C$6,1,IF(Settings!$B$22="USD",1/INDEX(Settings!$B$29:$B$40,MONTH(A2776)),INDEX(Settings!$B$29:$B$40,MONTH(A2776)))))</f>
        <v/>
      </c>
    </row>
    <row r="2777" customFormat="false" ht="15" hidden="false" customHeight="false" outlineLevel="0" collapsed="false">
      <c r="H2777" s="0" t="str">
        <f aca="false">IF(B2777="","",IF(COUNTIF(Campaigns!$A$7:$A$300,B2777)&gt;0,"✓","⚠ add to Campaigns tab"))</f>
        <v/>
      </c>
      <c r="I2777" s="84" t="str">
        <f aca="false">IF(C2777="","",C2777*IF(Settings!$B$22=Settings!$C$6,1,IF(Settings!$B$22="USD",1/INDEX(Settings!$B$29:$B$40,MONTH(A2777)),INDEX(Settings!$B$29:$B$40,MONTH(A2777)))))</f>
        <v/>
      </c>
    </row>
    <row r="2778" customFormat="false" ht="15" hidden="false" customHeight="false" outlineLevel="0" collapsed="false">
      <c r="H2778" s="0" t="str">
        <f aca="false">IF(B2778="","",IF(COUNTIF(Campaigns!$A$7:$A$300,B2778)&gt;0,"✓","⚠ add to Campaigns tab"))</f>
        <v/>
      </c>
      <c r="I2778" s="84" t="str">
        <f aca="false">IF(C2778="","",C2778*IF(Settings!$B$22=Settings!$C$6,1,IF(Settings!$B$22="USD",1/INDEX(Settings!$B$29:$B$40,MONTH(A2778)),INDEX(Settings!$B$29:$B$40,MONTH(A2778)))))</f>
        <v/>
      </c>
    </row>
    <row r="2779" customFormat="false" ht="15" hidden="false" customHeight="false" outlineLevel="0" collapsed="false">
      <c r="H2779" s="0" t="str">
        <f aca="false">IF(B2779="","",IF(COUNTIF(Campaigns!$A$7:$A$300,B2779)&gt;0,"✓","⚠ add to Campaigns tab"))</f>
        <v/>
      </c>
      <c r="I2779" s="84" t="str">
        <f aca="false">IF(C2779="","",C2779*IF(Settings!$B$22=Settings!$C$6,1,IF(Settings!$B$22="USD",1/INDEX(Settings!$B$29:$B$40,MONTH(A2779)),INDEX(Settings!$B$29:$B$40,MONTH(A2779)))))</f>
        <v/>
      </c>
    </row>
    <row r="2780" customFormat="false" ht="15" hidden="false" customHeight="false" outlineLevel="0" collapsed="false">
      <c r="H2780" s="0" t="str">
        <f aca="false">IF(B2780="","",IF(COUNTIF(Campaigns!$A$7:$A$300,B2780)&gt;0,"✓","⚠ add to Campaigns tab"))</f>
        <v/>
      </c>
      <c r="I2780" s="84" t="str">
        <f aca="false">IF(C2780="","",C2780*IF(Settings!$B$22=Settings!$C$6,1,IF(Settings!$B$22="USD",1/INDEX(Settings!$B$29:$B$40,MONTH(A2780)),INDEX(Settings!$B$29:$B$40,MONTH(A2780)))))</f>
        <v/>
      </c>
    </row>
    <row r="2781" customFormat="false" ht="15" hidden="false" customHeight="false" outlineLevel="0" collapsed="false">
      <c r="H2781" s="0" t="str">
        <f aca="false">IF(B2781="","",IF(COUNTIF(Campaigns!$A$7:$A$300,B2781)&gt;0,"✓","⚠ add to Campaigns tab"))</f>
        <v/>
      </c>
      <c r="I2781" s="84" t="str">
        <f aca="false">IF(C2781="","",C2781*IF(Settings!$B$22=Settings!$C$6,1,IF(Settings!$B$22="USD",1/INDEX(Settings!$B$29:$B$40,MONTH(A2781)),INDEX(Settings!$B$29:$B$40,MONTH(A2781)))))</f>
        <v/>
      </c>
    </row>
    <row r="2782" customFormat="false" ht="15" hidden="false" customHeight="false" outlineLevel="0" collapsed="false">
      <c r="H2782" s="0" t="str">
        <f aca="false">IF(B2782="","",IF(COUNTIF(Campaigns!$A$7:$A$300,B2782)&gt;0,"✓","⚠ add to Campaigns tab"))</f>
        <v/>
      </c>
      <c r="I2782" s="84" t="str">
        <f aca="false">IF(C2782="","",C2782*IF(Settings!$B$22=Settings!$C$6,1,IF(Settings!$B$22="USD",1/INDEX(Settings!$B$29:$B$40,MONTH(A2782)),INDEX(Settings!$B$29:$B$40,MONTH(A2782)))))</f>
        <v/>
      </c>
    </row>
    <row r="2783" customFormat="false" ht="15" hidden="false" customHeight="false" outlineLevel="0" collapsed="false">
      <c r="H2783" s="0" t="str">
        <f aca="false">IF(B2783="","",IF(COUNTIF(Campaigns!$A$7:$A$300,B2783)&gt;0,"✓","⚠ add to Campaigns tab"))</f>
        <v/>
      </c>
      <c r="I2783" s="84" t="str">
        <f aca="false">IF(C2783="","",C2783*IF(Settings!$B$22=Settings!$C$6,1,IF(Settings!$B$22="USD",1/INDEX(Settings!$B$29:$B$40,MONTH(A2783)),INDEX(Settings!$B$29:$B$40,MONTH(A2783)))))</f>
        <v/>
      </c>
    </row>
    <row r="2784" customFormat="false" ht="15" hidden="false" customHeight="false" outlineLevel="0" collapsed="false">
      <c r="H2784" s="0" t="str">
        <f aca="false">IF(B2784="","",IF(COUNTIF(Campaigns!$A$7:$A$300,B2784)&gt;0,"✓","⚠ add to Campaigns tab"))</f>
        <v/>
      </c>
      <c r="I2784" s="84" t="str">
        <f aca="false">IF(C2784="","",C2784*IF(Settings!$B$22=Settings!$C$6,1,IF(Settings!$B$22="USD",1/INDEX(Settings!$B$29:$B$40,MONTH(A2784)),INDEX(Settings!$B$29:$B$40,MONTH(A2784)))))</f>
        <v/>
      </c>
    </row>
    <row r="2785" customFormat="false" ht="15" hidden="false" customHeight="false" outlineLevel="0" collapsed="false">
      <c r="H2785" s="0" t="str">
        <f aca="false">IF(B2785="","",IF(COUNTIF(Campaigns!$A$7:$A$300,B2785)&gt;0,"✓","⚠ add to Campaigns tab"))</f>
        <v/>
      </c>
      <c r="I2785" s="84" t="str">
        <f aca="false">IF(C2785="","",C2785*IF(Settings!$B$22=Settings!$C$6,1,IF(Settings!$B$22="USD",1/INDEX(Settings!$B$29:$B$40,MONTH(A2785)),INDEX(Settings!$B$29:$B$40,MONTH(A2785)))))</f>
        <v/>
      </c>
    </row>
    <row r="2786" customFormat="false" ht="15" hidden="false" customHeight="false" outlineLevel="0" collapsed="false">
      <c r="H2786" s="0" t="str">
        <f aca="false">IF(B2786="","",IF(COUNTIF(Campaigns!$A$7:$A$300,B2786)&gt;0,"✓","⚠ add to Campaigns tab"))</f>
        <v/>
      </c>
      <c r="I2786" s="84" t="str">
        <f aca="false">IF(C2786="","",C2786*IF(Settings!$B$22=Settings!$C$6,1,IF(Settings!$B$22="USD",1/INDEX(Settings!$B$29:$B$40,MONTH(A2786)),INDEX(Settings!$B$29:$B$40,MONTH(A2786)))))</f>
        <v/>
      </c>
    </row>
    <row r="2787" customFormat="false" ht="15" hidden="false" customHeight="false" outlineLevel="0" collapsed="false">
      <c r="H2787" s="0" t="str">
        <f aca="false">IF(B2787="","",IF(COUNTIF(Campaigns!$A$7:$A$300,B2787)&gt;0,"✓","⚠ add to Campaigns tab"))</f>
        <v/>
      </c>
      <c r="I2787" s="84" t="str">
        <f aca="false">IF(C2787="","",C2787*IF(Settings!$B$22=Settings!$C$6,1,IF(Settings!$B$22="USD",1/INDEX(Settings!$B$29:$B$40,MONTH(A2787)),INDEX(Settings!$B$29:$B$40,MONTH(A2787)))))</f>
        <v/>
      </c>
    </row>
    <row r="2788" customFormat="false" ht="15" hidden="false" customHeight="false" outlineLevel="0" collapsed="false">
      <c r="H2788" s="0" t="str">
        <f aca="false">IF(B2788="","",IF(COUNTIF(Campaigns!$A$7:$A$300,B2788)&gt;0,"✓","⚠ add to Campaigns tab"))</f>
        <v/>
      </c>
      <c r="I2788" s="84" t="str">
        <f aca="false">IF(C2788="","",C2788*IF(Settings!$B$22=Settings!$C$6,1,IF(Settings!$B$22="USD",1/INDEX(Settings!$B$29:$B$40,MONTH(A2788)),INDEX(Settings!$B$29:$B$40,MONTH(A2788)))))</f>
        <v/>
      </c>
    </row>
    <row r="2789" customFormat="false" ht="15" hidden="false" customHeight="false" outlineLevel="0" collapsed="false">
      <c r="H2789" s="0" t="str">
        <f aca="false">IF(B2789="","",IF(COUNTIF(Campaigns!$A$7:$A$300,B2789)&gt;0,"✓","⚠ add to Campaigns tab"))</f>
        <v/>
      </c>
      <c r="I2789" s="84" t="str">
        <f aca="false">IF(C2789="","",C2789*IF(Settings!$B$22=Settings!$C$6,1,IF(Settings!$B$22="USD",1/INDEX(Settings!$B$29:$B$40,MONTH(A2789)),INDEX(Settings!$B$29:$B$40,MONTH(A2789)))))</f>
        <v/>
      </c>
    </row>
    <row r="2790" customFormat="false" ht="15" hidden="false" customHeight="false" outlineLevel="0" collapsed="false">
      <c r="H2790" s="0" t="str">
        <f aca="false">IF(B2790="","",IF(COUNTIF(Campaigns!$A$7:$A$300,B2790)&gt;0,"✓","⚠ add to Campaigns tab"))</f>
        <v/>
      </c>
      <c r="I2790" s="84" t="str">
        <f aca="false">IF(C2790="","",C2790*IF(Settings!$B$22=Settings!$C$6,1,IF(Settings!$B$22="USD",1/INDEX(Settings!$B$29:$B$40,MONTH(A2790)),INDEX(Settings!$B$29:$B$40,MONTH(A2790)))))</f>
        <v/>
      </c>
    </row>
    <row r="2791" customFormat="false" ht="15" hidden="false" customHeight="false" outlineLevel="0" collapsed="false">
      <c r="H2791" s="0" t="str">
        <f aca="false">IF(B2791="","",IF(COUNTIF(Campaigns!$A$7:$A$300,B2791)&gt;0,"✓","⚠ add to Campaigns tab"))</f>
        <v/>
      </c>
      <c r="I2791" s="84" t="str">
        <f aca="false">IF(C2791="","",C2791*IF(Settings!$B$22=Settings!$C$6,1,IF(Settings!$B$22="USD",1/INDEX(Settings!$B$29:$B$40,MONTH(A2791)),INDEX(Settings!$B$29:$B$40,MONTH(A2791)))))</f>
        <v/>
      </c>
    </row>
    <row r="2792" customFormat="false" ht="15" hidden="false" customHeight="false" outlineLevel="0" collapsed="false">
      <c r="H2792" s="0" t="str">
        <f aca="false">IF(B2792="","",IF(COUNTIF(Campaigns!$A$7:$A$300,B2792)&gt;0,"✓","⚠ add to Campaigns tab"))</f>
        <v/>
      </c>
      <c r="I2792" s="84" t="str">
        <f aca="false">IF(C2792="","",C2792*IF(Settings!$B$22=Settings!$C$6,1,IF(Settings!$B$22="USD",1/INDEX(Settings!$B$29:$B$40,MONTH(A2792)),INDEX(Settings!$B$29:$B$40,MONTH(A2792)))))</f>
        <v/>
      </c>
    </row>
    <row r="2793" customFormat="false" ht="15" hidden="false" customHeight="false" outlineLevel="0" collapsed="false">
      <c r="H2793" s="0" t="str">
        <f aca="false">IF(B2793="","",IF(COUNTIF(Campaigns!$A$7:$A$300,B2793)&gt;0,"✓","⚠ add to Campaigns tab"))</f>
        <v/>
      </c>
      <c r="I2793" s="84" t="str">
        <f aca="false">IF(C2793="","",C2793*IF(Settings!$B$22=Settings!$C$6,1,IF(Settings!$B$22="USD",1/INDEX(Settings!$B$29:$B$40,MONTH(A2793)),INDEX(Settings!$B$29:$B$40,MONTH(A2793)))))</f>
        <v/>
      </c>
    </row>
    <row r="2794" customFormat="false" ht="15" hidden="false" customHeight="false" outlineLevel="0" collapsed="false">
      <c r="H2794" s="0" t="str">
        <f aca="false">IF(B2794="","",IF(COUNTIF(Campaigns!$A$7:$A$300,B2794)&gt;0,"✓","⚠ add to Campaigns tab"))</f>
        <v/>
      </c>
      <c r="I2794" s="84" t="str">
        <f aca="false">IF(C2794="","",C2794*IF(Settings!$B$22=Settings!$C$6,1,IF(Settings!$B$22="USD",1/INDEX(Settings!$B$29:$B$40,MONTH(A2794)),INDEX(Settings!$B$29:$B$40,MONTH(A2794)))))</f>
        <v/>
      </c>
    </row>
    <row r="2795" customFormat="false" ht="15" hidden="false" customHeight="false" outlineLevel="0" collapsed="false">
      <c r="H2795" s="0" t="str">
        <f aca="false">IF(B2795="","",IF(COUNTIF(Campaigns!$A$7:$A$300,B2795)&gt;0,"✓","⚠ add to Campaigns tab"))</f>
        <v/>
      </c>
      <c r="I2795" s="84" t="str">
        <f aca="false">IF(C2795="","",C2795*IF(Settings!$B$22=Settings!$C$6,1,IF(Settings!$B$22="USD",1/INDEX(Settings!$B$29:$B$40,MONTH(A2795)),INDEX(Settings!$B$29:$B$40,MONTH(A2795)))))</f>
        <v/>
      </c>
    </row>
    <row r="2796" customFormat="false" ht="15" hidden="false" customHeight="false" outlineLevel="0" collapsed="false">
      <c r="H2796" s="0" t="str">
        <f aca="false">IF(B2796="","",IF(COUNTIF(Campaigns!$A$7:$A$300,B2796)&gt;0,"✓","⚠ add to Campaigns tab"))</f>
        <v/>
      </c>
      <c r="I2796" s="84" t="str">
        <f aca="false">IF(C2796="","",C2796*IF(Settings!$B$22=Settings!$C$6,1,IF(Settings!$B$22="USD",1/INDEX(Settings!$B$29:$B$40,MONTH(A2796)),INDEX(Settings!$B$29:$B$40,MONTH(A2796)))))</f>
        <v/>
      </c>
    </row>
    <row r="2797" customFormat="false" ht="15" hidden="false" customHeight="false" outlineLevel="0" collapsed="false">
      <c r="H2797" s="0" t="str">
        <f aca="false">IF(B2797="","",IF(COUNTIF(Campaigns!$A$7:$A$300,B2797)&gt;0,"✓","⚠ add to Campaigns tab"))</f>
        <v/>
      </c>
      <c r="I2797" s="84" t="str">
        <f aca="false">IF(C2797="","",C2797*IF(Settings!$B$22=Settings!$C$6,1,IF(Settings!$B$22="USD",1/INDEX(Settings!$B$29:$B$40,MONTH(A2797)),INDEX(Settings!$B$29:$B$40,MONTH(A2797)))))</f>
        <v/>
      </c>
    </row>
    <row r="2798" customFormat="false" ht="15" hidden="false" customHeight="false" outlineLevel="0" collapsed="false">
      <c r="H2798" s="0" t="str">
        <f aca="false">IF(B2798="","",IF(COUNTIF(Campaigns!$A$7:$A$300,B2798)&gt;0,"✓","⚠ add to Campaigns tab"))</f>
        <v/>
      </c>
      <c r="I2798" s="84" t="str">
        <f aca="false">IF(C2798="","",C2798*IF(Settings!$B$22=Settings!$C$6,1,IF(Settings!$B$22="USD",1/INDEX(Settings!$B$29:$B$40,MONTH(A2798)),INDEX(Settings!$B$29:$B$40,MONTH(A2798)))))</f>
        <v/>
      </c>
    </row>
    <row r="2799" customFormat="false" ht="15" hidden="false" customHeight="false" outlineLevel="0" collapsed="false">
      <c r="H2799" s="0" t="str">
        <f aca="false">IF(B2799="","",IF(COUNTIF(Campaigns!$A$7:$A$300,B2799)&gt;0,"✓","⚠ add to Campaigns tab"))</f>
        <v/>
      </c>
      <c r="I2799" s="84" t="str">
        <f aca="false">IF(C2799="","",C2799*IF(Settings!$B$22=Settings!$C$6,1,IF(Settings!$B$22="USD",1/INDEX(Settings!$B$29:$B$40,MONTH(A2799)),INDEX(Settings!$B$29:$B$40,MONTH(A2799)))))</f>
        <v/>
      </c>
    </row>
    <row r="2800" customFormat="false" ht="15" hidden="false" customHeight="false" outlineLevel="0" collapsed="false">
      <c r="H2800" s="0" t="str">
        <f aca="false">IF(B2800="","",IF(COUNTIF(Campaigns!$A$7:$A$300,B2800)&gt;0,"✓","⚠ add to Campaigns tab"))</f>
        <v/>
      </c>
      <c r="I2800" s="84" t="str">
        <f aca="false">IF(C2800="","",C2800*IF(Settings!$B$22=Settings!$C$6,1,IF(Settings!$B$22="USD",1/INDEX(Settings!$B$29:$B$40,MONTH(A2800)),INDEX(Settings!$B$29:$B$40,MONTH(A2800)))))</f>
        <v/>
      </c>
    </row>
    <row r="2801" customFormat="false" ht="15" hidden="false" customHeight="false" outlineLevel="0" collapsed="false">
      <c r="H2801" s="0" t="str">
        <f aca="false">IF(B2801="","",IF(COUNTIF(Campaigns!$A$7:$A$300,B2801)&gt;0,"✓","⚠ add to Campaigns tab"))</f>
        <v/>
      </c>
      <c r="I2801" s="84" t="str">
        <f aca="false">IF(C2801="","",C2801*IF(Settings!$B$22=Settings!$C$6,1,IF(Settings!$B$22="USD",1/INDEX(Settings!$B$29:$B$40,MONTH(A2801)),INDEX(Settings!$B$29:$B$40,MONTH(A2801)))))</f>
        <v/>
      </c>
    </row>
    <row r="2802" customFormat="false" ht="15" hidden="false" customHeight="false" outlineLevel="0" collapsed="false">
      <c r="H2802" s="0" t="str">
        <f aca="false">IF(B2802="","",IF(COUNTIF(Campaigns!$A$7:$A$300,B2802)&gt;0,"✓","⚠ add to Campaigns tab"))</f>
        <v/>
      </c>
      <c r="I2802" s="84" t="str">
        <f aca="false">IF(C2802="","",C2802*IF(Settings!$B$22=Settings!$C$6,1,IF(Settings!$B$22="USD",1/INDEX(Settings!$B$29:$B$40,MONTH(A2802)),INDEX(Settings!$B$29:$B$40,MONTH(A2802)))))</f>
        <v/>
      </c>
    </row>
    <row r="2803" customFormat="false" ht="15" hidden="false" customHeight="false" outlineLevel="0" collapsed="false">
      <c r="H2803" s="0" t="str">
        <f aca="false">IF(B2803="","",IF(COUNTIF(Campaigns!$A$7:$A$300,B2803)&gt;0,"✓","⚠ add to Campaigns tab"))</f>
        <v/>
      </c>
      <c r="I2803" s="84" t="str">
        <f aca="false">IF(C2803="","",C2803*IF(Settings!$B$22=Settings!$C$6,1,IF(Settings!$B$22="USD",1/INDEX(Settings!$B$29:$B$40,MONTH(A2803)),INDEX(Settings!$B$29:$B$40,MONTH(A2803)))))</f>
        <v/>
      </c>
    </row>
    <row r="2804" customFormat="false" ht="15" hidden="false" customHeight="false" outlineLevel="0" collapsed="false">
      <c r="H2804" s="0" t="str">
        <f aca="false">IF(B2804="","",IF(COUNTIF(Campaigns!$A$7:$A$300,B2804)&gt;0,"✓","⚠ add to Campaigns tab"))</f>
        <v/>
      </c>
      <c r="I2804" s="84" t="str">
        <f aca="false">IF(C2804="","",C2804*IF(Settings!$B$22=Settings!$C$6,1,IF(Settings!$B$22="USD",1/INDEX(Settings!$B$29:$B$40,MONTH(A2804)),INDEX(Settings!$B$29:$B$40,MONTH(A2804)))))</f>
        <v/>
      </c>
    </row>
    <row r="2805" customFormat="false" ht="15" hidden="false" customHeight="false" outlineLevel="0" collapsed="false">
      <c r="H2805" s="0" t="str">
        <f aca="false">IF(B2805="","",IF(COUNTIF(Campaigns!$A$7:$A$300,B2805)&gt;0,"✓","⚠ add to Campaigns tab"))</f>
        <v/>
      </c>
      <c r="I2805" s="84" t="str">
        <f aca="false">IF(C2805="","",C2805*IF(Settings!$B$22=Settings!$C$6,1,IF(Settings!$B$22="USD",1/INDEX(Settings!$B$29:$B$40,MONTH(A2805)),INDEX(Settings!$B$29:$B$40,MONTH(A2805)))))</f>
        <v/>
      </c>
    </row>
    <row r="2806" customFormat="false" ht="15" hidden="false" customHeight="false" outlineLevel="0" collapsed="false">
      <c r="H2806" s="0" t="str">
        <f aca="false">IF(B2806="","",IF(COUNTIF(Campaigns!$A$7:$A$300,B2806)&gt;0,"✓","⚠ add to Campaigns tab"))</f>
        <v/>
      </c>
      <c r="I2806" s="84" t="str">
        <f aca="false">IF(C2806="","",C2806*IF(Settings!$B$22=Settings!$C$6,1,IF(Settings!$B$22="USD",1/INDEX(Settings!$B$29:$B$40,MONTH(A2806)),INDEX(Settings!$B$29:$B$40,MONTH(A2806)))))</f>
        <v/>
      </c>
    </row>
    <row r="2807" customFormat="false" ht="15" hidden="false" customHeight="false" outlineLevel="0" collapsed="false">
      <c r="H2807" s="0" t="str">
        <f aca="false">IF(B2807="","",IF(COUNTIF(Campaigns!$A$7:$A$300,B2807)&gt;0,"✓","⚠ add to Campaigns tab"))</f>
        <v/>
      </c>
      <c r="I2807" s="84" t="str">
        <f aca="false">IF(C2807="","",C2807*IF(Settings!$B$22=Settings!$C$6,1,IF(Settings!$B$22="USD",1/INDEX(Settings!$B$29:$B$40,MONTH(A2807)),INDEX(Settings!$B$29:$B$40,MONTH(A2807)))))</f>
        <v/>
      </c>
    </row>
    <row r="2808" customFormat="false" ht="15" hidden="false" customHeight="false" outlineLevel="0" collapsed="false">
      <c r="H2808" s="0" t="str">
        <f aca="false">IF(B2808="","",IF(COUNTIF(Campaigns!$A$7:$A$300,B2808)&gt;0,"✓","⚠ add to Campaigns tab"))</f>
        <v/>
      </c>
      <c r="I2808" s="84" t="str">
        <f aca="false">IF(C2808="","",C2808*IF(Settings!$B$22=Settings!$C$6,1,IF(Settings!$B$22="USD",1/INDEX(Settings!$B$29:$B$40,MONTH(A2808)),INDEX(Settings!$B$29:$B$40,MONTH(A2808)))))</f>
        <v/>
      </c>
    </row>
    <row r="2809" customFormat="false" ht="15" hidden="false" customHeight="false" outlineLevel="0" collapsed="false">
      <c r="H2809" s="0" t="str">
        <f aca="false">IF(B2809="","",IF(COUNTIF(Campaigns!$A$7:$A$300,B2809)&gt;0,"✓","⚠ add to Campaigns tab"))</f>
        <v/>
      </c>
      <c r="I2809" s="84" t="str">
        <f aca="false">IF(C2809="","",C2809*IF(Settings!$B$22=Settings!$C$6,1,IF(Settings!$B$22="USD",1/INDEX(Settings!$B$29:$B$40,MONTH(A2809)),INDEX(Settings!$B$29:$B$40,MONTH(A2809)))))</f>
        <v/>
      </c>
    </row>
    <row r="2810" customFormat="false" ht="15" hidden="false" customHeight="false" outlineLevel="0" collapsed="false">
      <c r="H2810" s="0" t="str">
        <f aca="false">IF(B2810="","",IF(COUNTIF(Campaigns!$A$7:$A$300,B2810)&gt;0,"✓","⚠ add to Campaigns tab"))</f>
        <v/>
      </c>
      <c r="I2810" s="84" t="str">
        <f aca="false">IF(C2810="","",C2810*IF(Settings!$B$22=Settings!$C$6,1,IF(Settings!$B$22="USD",1/INDEX(Settings!$B$29:$B$40,MONTH(A2810)),INDEX(Settings!$B$29:$B$40,MONTH(A2810)))))</f>
        <v/>
      </c>
    </row>
    <row r="2811" customFormat="false" ht="15" hidden="false" customHeight="false" outlineLevel="0" collapsed="false">
      <c r="H2811" s="0" t="str">
        <f aca="false">IF(B2811="","",IF(COUNTIF(Campaigns!$A$7:$A$300,B2811)&gt;0,"✓","⚠ add to Campaigns tab"))</f>
        <v/>
      </c>
      <c r="I2811" s="84" t="str">
        <f aca="false">IF(C2811="","",C2811*IF(Settings!$B$22=Settings!$C$6,1,IF(Settings!$B$22="USD",1/INDEX(Settings!$B$29:$B$40,MONTH(A2811)),INDEX(Settings!$B$29:$B$40,MONTH(A2811)))))</f>
        <v/>
      </c>
    </row>
    <row r="2812" customFormat="false" ht="15" hidden="false" customHeight="false" outlineLevel="0" collapsed="false">
      <c r="H2812" s="0" t="str">
        <f aca="false">IF(B2812="","",IF(COUNTIF(Campaigns!$A$7:$A$300,B2812)&gt;0,"✓","⚠ add to Campaigns tab"))</f>
        <v/>
      </c>
      <c r="I2812" s="84" t="str">
        <f aca="false">IF(C2812="","",C2812*IF(Settings!$B$22=Settings!$C$6,1,IF(Settings!$B$22="USD",1/INDEX(Settings!$B$29:$B$40,MONTH(A2812)),INDEX(Settings!$B$29:$B$40,MONTH(A2812)))))</f>
        <v/>
      </c>
    </row>
    <row r="2813" customFormat="false" ht="15" hidden="false" customHeight="false" outlineLevel="0" collapsed="false">
      <c r="H2813" s="0" t="str">
        <f aca="false">IF(B2813="","",IF(COUNTIF(Campaigns!$A$7:$A$300,B2813)&gt;0,"✓","⚠ add to Campaigns tab"))</f>
        <v/>
      </c>
      <c r="I2813" s="84" t="str">
        <f aca="false">IF(C2813="","",C2813*IF(Settings!$B$22=Settings!$C$6,1,IF(Settings!$B$22="USD",1/INDEX(Settings!$B$29:$B$40,MONTH(A2813)),INDEX(Settings!$B$29:$B$40,MONTH(A2813)))))</f>
        <v/>
      </c>
    </row>
    <row r="2814" customFormat="false" ht="15" hidden="false" customHeight="false" outlineLevel="0" collapsed="false">
      <c r="H2814" s="0" t="str">
        <f aca="false">IF(B2814="","",IF(COUNTIF(Campaigns!$A$7:$A$300,B2814)&gt;0,"✓","⚠ add to Campaigns tab"))</f>
        <v/>
      </c>
      <c r="I2814" s="84" t="str">
        <f aca="false">IF(C2814="","",C2814*IF(Settings!$B$22=Settings!$C$6,1,IF(Settings!$B$22="USD",1/INDEX(Settings!$B$29:$B$40,MONTH(A2814)),INDEX(Settings!$B$29:$B$40,MONTH(A2814)))))</f>
        <v/>
      </c>
    </row>
    <row r="2815" customFormat="false" ht="15" hidden="false" customHeight="false" outlineLevel="0" collapsed="false">
      <c r="H2815" s="0" t="str">
        <f aca="false">IF(B2815="","",IF(COUNTIF(Campaigns!$A$7:$A$300,B2815)&gt;0,"✓","⚠ add to Campaigns tab"))</f>
        <v/>
      </c>
      <c r="I2815" s="84" t="str">
        <f aca="false">IF(C2815="","",C2815*IF(Settings!$B$22=Settings!$C$6,1,IF(Settings!$B$22="USD",1/INDEX(Settings!$B$29:$B$40,MONTH(A2815)),INDEX(Settings!$B$29:$B$40,MONTH(A2815)))))</f>
        <v/>
      </c>
    </row>
    <row r="2816" customFormat="false" ht="15" hidden="false" customHeight="false" outlineLevel="0" collapsed="false">
      <c r="H2816" s="0" t="str">
        <f aca="false">IF(B2816="","",IF(COUNTIF(Campaigns!$A$7:$A$300,B2816)&gt;0,"✓","⚠ add to Campaigns tab"))</f>
        <v/>
      </c>
      <c r="I2816" s="84" t="str">
        <f aca="false">IF(C2816="","",C2816*IF(Settings!$B$22=Settings!$C$6,1,IF(Settings!$B$22="USD",1/INDEX(Settings!$B$29:$B$40,MONTH(A2816)),INDEX(Settings!$B$29:$B$40,MONTH(A2816)))))</f>
        <v/>
      </c>
    </row>
    <row r="2817" customFormat="false" ht="15" hidden="false" customHeight="false" outlineLevel="0" collapsed="false">
      <c r="H2817" s="0" t="str">
        <f aca="false">IF(B2817="","",IF(COUNTIF(Campaigns!$A$7:$A$300,B2817)&gt;0,"✓","⚠ add to Campaigns tab"))</f>
        <v/>
      </c>
      <c r="I2817" s="84" t="str">
        <f aca="false">IF(C2817="","",C2817*IF(Settings!$B$22=Settings!$C$6,1,IF(Settings!$B$22="USD",1/INDEX(Settings!$B$29:$B$40,MONTH(A2817)),INDEX(Settings!$B$29:$B$40,MONTH(A2817)))))</f>
        <v/>
      </c>
    </row>
    <row r="2818" customFormat="false" ht="15" hidden="false" customHeight="false" outlineLevel="0" collapsed="false">
      <c r="H2818" s="0" t="str">
        <f aca="false">IF(B2818="","",IF(COUNTIF(Campaigns!$A$7:$A$300,B2818)&gt;0,"✓","⚠ add to Campaigns tab"))</f>
        <v/>
      </c>
      <c r="I2818" s="84" t="str">
        <f aca="false">IF(C2818="","",C2818*IF(Settings!$B$22=Settings!$C$6,1,IF(Settings!$B$22="USD",1/INDEX(Settings!$B$29:$B$40,MONTH(A2818)),INDEX(Settings!$B$29:$B$40,MONTH(A2818)))))</f>
        <v/>
      </c>
    </row>
    <row r="2819" customFormat="false" ht="15" hidden="false" customHeight="false" outlineLevel="0" collapsed="false">
      <c r="H2819" s="0" t="str">
        <f aca="false">IF(B2819="","",IF(COUNTIF(Campaigns!$A$7:$A$300,B2819)&gt;0,"✓","⚠ add to Campaigns tab"))</f>
        <v/>
      </c>
      <c r="I2819" s="84" t="str">
        <f aca="false">IF(C2819="","",C2819*IF(Settings!$B$22=Settings!$C$6,1,IF(Settings!$B$22="USD",1/INDEX(Settings!$B$29:$B$40,MONTH(A2819)),INDEX(Settings!$B$29:$B$40,MONTH(A2819)))))</f>
        <v/>
      </c>
    </row>
    <row r="2820" customFormat="false" ht="15" hidden="false" customHeight="false" outlineLevel="0" collapsed="false">
      <c r="H2820" s="0" t="str">
        <f aca="false">IF(B2820="","",IF(COUNTIF(Campaigns!$A$7:$A$300,B2820)&gt;0,"✓","⚠ add to Campaigns tab"))</f>
        <v/>
      </c>
      <c r="I2820" s="84" t="str">
        <f aca="false">IF(C2820="","",C2820*IF(Settings!$B$22=Settings!$C$6,1,IF(Settings!$B$22="USD",1/INDEX(Settings!$B$29:$B$40,MONTH(A2820)),INDEX(Settings!$B$29:$B$40,MONTH(A2820)))))</f>
        <v/>
      </c>
    </row>
    <row r="2821" customFormat="false" ht="15" hidden="false" customHeight="false" outlineLevel="0" collapsed="false">
      <c r="H2821" s="0" t="str">
        <f aca="false">IF(B2821="","",IF(COUNTIF(Campaigns!$A$7:$A$300,B2821)&gt;0,"✓","⚠ add to Campaigns tab"))</f>
        <v/>
      </c>
      <c r="I2821" s="84" t="str">
        <f aca="false">IF(C2821="","",C2821*IF(Settings!$B$22=Settings!$C$6,1,IF(Settings!$B$22="USD",1/INDEX(Settings!$B$29:$B$40,MONTH(A2821)),INDEX(Settings!$B$29:$B$40,MONTH(A2821)))))</f>
        <v/>
      </c>
    </row>
    <row r="2822" customFormat="false" ht="15" hidden="false" customHeight="false" outlineLevel="0" collapsed="false">
      <c r="H2822" s="0" t="str">
        <f aca="false">IF(B2822="","",IF(COUNTIF(Campaigns!$A$7:$A$300,B2822)&gt;0,"✓","⚠ add to Campaigns tab"))</f>
        <v/>
      </c>
      <c r="I2822" s="84" t="str">
        <f aca="false">IF(C2822="","",C2822*IF(Settings!$B$22=Settings!$C$6,1,IF(Settings!$B$22="USD",1/INDEX(Settings!$B$29:$B$40,MONTH(A2822)),INDEX(Settings!$B$29:$B$40,MONTH(A2822)))))</f>
        <v/>
      </c>
    </row>
    <row r="2823" customFormat="false" ht="15" hidden="false" customHeight="false" outlineLevel="0" collapsed="false">
      <c r="H2823" s="0" t="str">
        <f aca="false">IF(B2823="","",IF(COUNTIF(Campaigns!$A$7:$A$300,B2823)&gt;0,"✓","⚠ add to Campaigns tab"))</f>
        <v/>
      </c>
      <c r="I2823" s="84" t="str">
        <f aca="false">IF(C2823="","",C2823*IF(Settings!$B$22=Settings!$C$6,1,IF(Settings!$B$22="USD",1/INDEX(Settings!$B$29:$B$40,MONTH(A2823)),INDEX(Settings!$B$29:$B$40,MONTH(A2823)))))</f>
        <v/>
      </c>
    </row>
    <row r="2824" customFormat="false" ht="15" hidden="false" customHeight="false" outlineLevel="0" collapsed="false">
      <c r="H2824" s="0" t="str">
        <f aca="false">IF(B2824="","",IF(COUNTIF(Campaigns!$A$7:$A$300,B2824)&gt;0,"✓","⚠ add to Campaigns tab"))</f>
        <v/>
      </c>
      <c r="I2824" s="84" t="str">
        <f aca="false">IF(C2824="","",C2824*IF(Settings!$B$22=Settings!$C$6,1,IF(Settings!$B$22="USD",1/INDEX(Settings!$B$29:$B$40,MONTH(A2824)),INDEX(Settings!$B$29:$B$40,MONTH(A2824)))))</f>
        <v/>
      </c>
    </row>
    <row r="2825" customFormat="false" ht="15" hidden="false" customHeight="false" outlineLevel="0" collapsed="false">
      <c r="H2825" s="0" t="str">
        <f aca="false">IF(B2825="","",IF(COUNTIF(Campaigns!$A$7:$A$300,B2825)&gt;0,"✓","⚠ add to Campaigns tab"))</f>
        <v/>
      </c>
      <c r="I2825" s="84" t="str">
        <f aca="false">IF(C2825="","",C2825*IF(Settings!$B$22=Settings!$C$6,1,IF(Settings!$B$22="USD",1/INDEX(Settings!$B$29:$B$40,MONTH(A2825)),INDEX(Settings!$B$29:$B$40,MONTH(A2825)))))</f>
        <v/>
      </c>
    </row>
    <row r="2826" customFormat="false" ht="15" hidden="false" customHeight="false" outlineLevel="0" collapsed="false">
      <c r="H2826" s="0" t="str">
        <f aca="false">IF(B2826="","",IF(COUNTIF(Campaigns!$A$7:$A$300,B2826)&gt;0,"✓","⚠ add to Campaigns tab"))</f>
        <v/>
      </c>
      <c r="I2826" s="84" t="str">
        <f aca="false">IF(C2826="","",C2826*IF(Settings!$B$22=Settings!$C$6,1,IF(Settings!$B$22="USD",1/INDEX(Settings!$B$29:$B$40,MONTH(A2826)),INDEX(Settings!$B$29:$B$40,MONTH(A2826)))))</f>
        <v/>
      </c>
    </row>
    <row r="2827" customFormat="false" ht="15" hidden="false" customHeight="false" outlineLevel="0" collapsed="false">
      <c r="H2827" s="0" t="str">
        <f aca="false">IF(B2827="","",IF(COUNTIF(Campaigns!$A$7:$A$300,B2827)&gt;0,"✓","⚠ add to Campaigns tab"))</f>
        <v/>
      </c>
      <c r="I2827" s="84" t="str">
        <f aca="false">IF(C2827="","",C2827*IF(Settings!$B$22=Settings!$C$6,1,IF(Settings!$B$22="USD",1/INDEX(Settings!$B$29:$B$40,MONTH(A2827)),INDEX(Settings!$B$29:$B$40,MONTH(A2827)))))</f>
        <v/>
      </c>
    </row>
    <row r="2828" customFormat="false" ht="15" hidden="false" customHeight="false" outlineLevel="0" collapsed="false">
      <c r="H2828" s="0" t="str">
        <f aca="false">IF(B2828="","",IF(COUNTIF(Campaigns!$A$7:$A$300,B2828)&gt;0,"✓","⚠ add to Campaigns tab"))</f>
        <v/>
      </c>
      <c r="I2828" s="84" t="str">
        <f aca="false">IF(C2828="","",C2828*IF(Settings!$B$22=Settings!$C$6,1,IF(Settings!$B$22="USD",1/INDEX(Settings!$B$29:$B$40,MONTH(A2828)),INDEX(Settings!$B$29:$B$40,MONTH(A2828)))))</f>
        <v/>
      </c>
    </row>
    <row r="2829" customFormat="false" ht="15" hidden="false" customHeight="false" outlineLevel="0" collapsed="false">
      <c r="H2829" s="0" t="str">
        <f aca="false">IF(B2829="","",IF(COUNTIF(Campaigns!$A$7:$A$300,B2829)&gt;0,"✓","⚠ add to Campaigns tab"))</f>
        <v/>
      </c>
      <c r="I2829" s="84" t="str">
        <f aca="false">IF(C2829="","",C2829*IF(Settings!$B$22=Settings!$C$6,1,IF(Settings!$B$22="USD",1/INDEX(Settings!$B$29:$B$40,MONTH(A2829)),INDEX(Settings!$B$29:$B$40,MONTH(A2829)))))</f>
        <v/>
      </c>
    </row>
    <row r="2830" customFormat="false" ht="15" hidden="false" customHeight="false" outlineLevel="0" collapsed="false">
      <c r="H2830" s="0" t="str">
        <f aca="false">IF(B2830="","",IF(COUNTIF(Campaigns!$A$7:$A$300,B2830)&gt;0,"✓","⚠ add to Campaigns tab"))</f>
        <v/>
      </c>
      <c r="I2830" s="84" t="str">
        <f aca="false">IF(C2830="","",C2830*IF(Settings!$B$22=Settings!$C$6,1,IF(Settings!$B$22="USD",1/INDEX(Settings!$B$29:$B$40,MONTH(A2830)),INDEX(Settings!$B$29:$B$40,MONTH(A2830)))))</f>
        <v/>
      </c>
    </row>
    <row r="2831" customFormat="false" ht="15" hidden="false" customHeight="false" outlineLevel="0" collapsed="false">
      <c r="H2831" s="0" t="str">
        <f aca="false">IF(B2831="","",IF(COUNTIF(Campaigns!$A$7:$A$300,B2831)&gt;0,"✓","⚠ add to Campaigns tab"))</f>
        <v/>
      </c>
      <c r="I2831" s="84" t="str">
        <f aca="false">IF(C2831="","",C2831*IF(Settings!$B$22=Settings!$C$6,1,IF(Settings!$B$22="USD",1/INDEX(Settings!$B$29:$B$40,MONTH(A2831)),INDEX(Settings!$B$29:$B$40,MONTH(A2831)))))</f>
        <v/>
      </c>
    </row>
    <row r="2832" customFormat="false" ht="15" hidden="false" customHeight="false" outlineLevel="0" collapsed="false">
      <c r="H2832" s="0" t="str">
        <f aca="false">IF(B2832="","",IF(COUNTIF(Campaigns!$A$7:$A$300,B2832)&gt;0,"✓","⚠ add to Campaigns tab"))</f>
        <v/>
      </c>
      <c r="I2832" s="84" t="str">
        <f aca="false">IF(C2832="","",C2832*IF(Settings!$B$22=Settings!$C$6,1,IF(Settings!$B$22="USD",1/INDEX(Settings!$B$29:$B$40,MONTH(A2832)),INDEX(Settings!$B$29:$B$40,MONTH(A2832)))))</f>
        <v/>
      </c>
    </row>
    <row r="2833" customFormat="false" ht="15" hidden="false" customHeight="false" outlineLevel="0" collapsed="false">
      <c r="H2833" s="0" t="str">
        <f aca="false">IF(B2833="","",IF(COUNTIF(Campaigns!$A$7:$A$300,B2833)&gt;0,"✓","⚠ add to Campaigns tab"))</f>
        <v/>
      </c>
      <c r="I2833" s="84" t="str">
        <f aca="false">IF(C2833="","",C2833*IF(Settings!$B$22=Settings!$C$6,1,IF(Settings!$B$22="USD",1/INDEX(Settings!$B$29:$B$40,MONTH(A2833)),INDEX(Settings!$B$29:$B$40,MONTH(A2833)))))</f>
        <v/>
      </c>
    </row>
    <row r="2834" customFormat="false" ht="15" hidden="false" customHeight="false" outlineLevel="0" collapsed="false">
      <c r="H2834" s="0" t="str">
        <f aca="false">IF(B2834="","",IF(COUNTIF(Campaigns!$A$7:$A$300,B2834)&gt;0,"✓","⚠ add to Campaigns tab"))</f>
        <v/>
      </c>
      <c r="I2834" s="84" t="str">
        <f aca="false">IF(C2834="","",C2834*IF(Settings!$B$22=Settings!$C$6,1,IF(Settings!$B$22="USD",1/INDEX(Settings!$B$29:$B$40,MONTH(A2834)),INDEX(Settings!$B$29:$B$40,MONTH(A2834)))))</f>
        <v/>
      </c>
    </row>
    <row r="2835" customFormat="false" ht="15" hidden="false" customHeight="false" outlineLevel="0" collapsed="false">
      <c r="H2835" s="0" t="str">
        <f aca="false">IF(B2835="","",IF(COUNTIF(Campaigns!$A$7:$A$300,B2835)&gt;0,"✓","⚠ add to Campaigns tab"))</f>
        <v/>
      </c>
      <c r="I2835" s="84" t="str">
        <f aca="false">IF(C2835="","",C2835*IF(Settings!$B$22=Settings!$C$6,1,IF(Settings!$B$22="USD",1/INDEX(Settings!$B$29:$B$40,MONTH(A2835)),INDEX(Settings!$B$29:$B$40,MONTH(A2835)))))</f>
        <v/>
      </c>
    </row>
    <row r="2836" customFormat="false" ht="15" hidden="false" customHeight="false" outlineLevel="0" collapsed="false">
      <c r="H2836" s="0" t="str">
        <f aca="false">IF(B2836="","",IF(COUNTIF(Campaigns!$A$7:$A$300,B2836)&gt;0,"✓","⚠ add to Campaigns tab"))</f>
        <v/>
      </c>
      <c r="I2836" s="84" t="str">
        <f aca="false">IF(C2836="","",C2836*IF(Settings!$B$22=Settings!$C$6,1,IF(Settings!$B$22="USD",1/INDEX(Settings!$B$29:$B$40,MONTH(A2836)),INDEX(Settings!$B$29:$B$40,MONTH(A2836)))))</f>
        <v/>
      </c>
    </row>
    <row r="2837" customFormat="false" ht="15" hidden="false" customHeight="false" outlineLevel="0" collapsed="false">
      <c r="H2837" s="0" t="str">
        <f aca="false">IF(B2837="","",IF(COUNTIF(Campaigns!$A$7:$A$300,B2837)&gt;0,"✓","⚠ add to Campaigns tab"))</f>
        <v/>
      </c>
      <c r="I2837" s="84" t="str">
        <f aca="false">IF(C2837="","",C2837*IF(Settings!$B$22=Settings!$C$6,1,IF(Settings!$B$22="USD",1/INDEX(Settings!$B$29:$B$40,MONTH(A2837)),INDEX(Settings!$B$29:$B$40,MONTH(A2837)))))</f>
        <v/>
      </c>
    </row>
    <row r="2838" customFormat="false" ht="15" hidden="false" customHeight="false" outlineLevel="0" collapsed="false">
      <c r="H2838" s="0" t="str">
        <f aca="false">IF(B2838="","",IF(COUNTIF(Campaigns!$A$7:$A$300,B2838)&gt;0,"✓","⚠ add to Campaigns tab"))</f>
        <v/>
      </c>
      <c r="I2838" s="84" t="str">
        <f aca="false">IF(C2838="","",C2838*IF(Settings!$B$22=Settings!$C$6,1,IF(Settings!$B$22="USD",1/INDEX(Settings!$B$29:$B$40,MONTH(A2838)),INDEX(Settings!$B$29:$B$40,MONTH(A2838)))))</f>
        <v/>
      </c>
    </row>
    <row r="2839" customFormat="false" ht="15" hidden="false" customHeight="false" outlineLevel="0" collapsed="false">
      <c r="H2839" s="0" t="str">
        <f aca="false">IF(B2839="","",IF(COUNTIF(Campaigns!$A$7:$A$300,B2839)&gt;0,"✓","⚠ add to Campaigns tab"))</f>
        <v/>
      </c>
      <c r="I2839" s="84" t="str">
        <f aca="false">IF(C2839="","",C2839*IF(Settings!$B$22=Settings!$C$6,1,IF(Settings!$B$22="USD",1/INDEX(Settings!$B$29:$B$40,MONTH(A2839)),INDEX(Settings!$B$29:$B$40,MONTH(A2839)))))</f>
        <v/>
      </c>
    </row>
    <row r="2840" customFormat="false" ht="15" hidden="false" customHeight="false" outlineLevel="0" collapsed="false">
      <c r="H2840" s="0" t="str">
        <f aca="false">IF(B2840="","",IF(COUNTIF(Campaigns!$A$7:$A$300,B2840)&gt;0,"✓","⚠ add to Campaigns tab"))</f>
        <v/>
      </c>
      <c r="I2840" s="84" t="str">
        <f aca="false">IF(C2840="","",C2840*IF(Settings!$B$22=Settings!$C$6,1,IF(Settings!$B$22="USD",1/INDEX(Settings!$B$29:$B$40,MONTH(A2840)),INDEX(Settings!$B$29:$B$40,MONTH(A2840)))))</f>
        <v/>
      </c>
    </row>
    <row r="2841" customFormat="false" ht="15" hidden="false" customHeight="false" outlineLevel="0" collapsed="false">
      <c r="H2841" s="0" t="str">
        <f aca="false">IF(B2841="","",IF(COUNTIF(Campaigns!$A$7:$A$300,B2841)&gt;0,"✓","⚠ add to Campaigns tab"))</f>
        <v/>
      </c>
      <c r="I2841" s="84" t="str">
        <f aca="false">IF(C2841="","",C2841*IF(Settings!$B$22=Settings!$C$6,1,IF(Settings!$B$22="USD",1/INDEX(Settings!$B$29:$B$40,MONTH(A2841)),INDEX(Settings!$B$29:$B$40,MONTH(A2841)))))</f>
        <v/>
      </c>
    </row>
    <row r="2842" customFormat="false" ht="15" hidden="false" customHeight="false" outlineLevel="0" collapsed="false">
      <c r="H2842" s="0" t="str">
        <f aca="false">IF(B2842="","",IF(COUNTIF(Campaigns!$A$7:$A$300,B2842)&gt;0,"✓","⚠ add to Campaigns tab"))</f>
        <v/>
      </c>
      <c r="I2842" s="84" t="str">
        <f aca="false">IF(C2842="","",C2842*IF(Settings!$B$22=Settings!$C$6,1,IF(Settings!$B$22="USD",1/INDEX(Settings!$B$29:$B$40,MONTH(A2842)),INDEX(Settings!$B$29:$B$40,MONTH(A2842)))))</f>
        <v/>
      </c>
    </row>
    <row r="2843" customFormat="false" ht="15" hidden="false" customHeight="false" outlineLevel="0" collapsed="false">
      <c r="H2843" s="0" t="str">
        <f aca="false">IF(B2843="","",IF(COUNTIF(Campaigns!$A$7:$A$300,B2843)&gt;0,"✓","⚠ add to Campaigns tab"))</f>
        <v/>
      </c>
      <c r="I2843" s="84" t="str">
        <f aca="false">IF(C2843="","",C2843*IF(Settings!$B$22=Settings!$C$6,1,IF(Settings!$B$22="USD",1/INDEX(Settings!$B$29:$B$40,MONTH(A2843)),INDEX(Settings!$B$29:$B$40,MONTH(A2843)))))</f>
        <v/>
      </c>
    </row>
    <row r="2844" customFormat="false" ht="15" hidden="false" customHeight="false" outlineLevel="0" collapsed="false">
      <c r="H2844" s="0" t="str">
        <f aca="false">IF(B2844="","",IF(COUNTIF(Campaigns!$A$7:$A$300,B2844)&gt;0,"✓","⚠ add to Campaigns tab"))</f>
        <v/>
      </c>
      <c r="I2844" s="84" t="str">
        <f aca="false">IF(C2844="","",C2844*IF(Settings!$B$22=Settings!$C$6,1,IF(Settings!$B$22="USD",1/INDEX(Settings!$B$29:$B$40,MONTH(A2844)),INDEX(Settings!$B$29:$B$40,MONTH(A2844)))))</f>
        <v/>
      </c>
    </row>
    <row r="2845" customFormat="false" ht="15" hidden="false" customHeight="false" outlineLevel="0" collapsed="false">
      <c r="H2845" s="0" t="str">
        <f aca="false">IF(B2845="","",IF(COUNTIF(Campaigns!$A$7:$A$300,B2845)&gt;0,"✓","⚠ add to Campaigns tab"))</f>
        <v/>
      </c>
      <c r="I2845" s="84" t="str">
        <f aca="false">IF(C2845="","",C2845*IF(Settings!$B$22=Settings!$C$6,1,IF(Settings!$B$22="USD",1/INDEX(Settings!$B$29:$B$40,MONTH(A2845)),INDEX(Settings!$B$29:$B$40,MONTH(A2845)))))</f>
        <v/>
      </c>
    </row>
    <row r="2846" customFormat="false" ht="15" hidden="false" customHeight="false" outlineLevel="0" collapsed="false">
      <c r="H2846" s="0" t="str">
        <f aca="false">IF(B2846="","",IF(COUNTIF(Campaigns!$A$7:$A$300,B2846)&gt;0,"✓","⚠ add to Campaigns tab"))</f>
        <v/>
      </c>
      <c r="I2846" s="84" t="str">
        <f aca="false">IF(C2846="","",C2846*IF(Settings!$B$22=Settings!$C$6,1,IF(Settings!$B$22="USD",1/INDEX(Settings!$B$29:$B$40,MONTH(A2846)),INDEX(Settings!$B$29:$B$40,MONTH(A2846)))))</f>
        <v/>
      </c>
    </row>
    <row r="2847" customFormat="false" ht="15" hidden="false" customHeight="false" outlineLevel="0" collapsed="false">
      <c r="H2847" s="0" t="str">
        <f aca="false">IF(B2847="","",IF(COUNTIF(Campaigns!$A$7:$A$300,B2847)&gt;0,"✓","⚠ add to Campaigns tab"))</f>
        <v/>
      </c>
      <c r="I2847" s="84" t="str">
        <f aca="false">IF(C2847="","",C2847*IF(Settings!$B$22=Settings!$C$6,1,IF(Settings!$B$22="USD",1/INDEX(Settings!$B$29:$B$40,MONTH(A2847)),INDEX(Settings!$B$29:$B$40,MONTH(A2847)))))</f>
        <v/>
      </c>
    </row>
    <row r="2848" customFormat="false" ht="15" hidden="false" customHeight="false" outlineLevel="0" collapsed="false">
      <c r="H2848" s="0" t="str">
        <f aca="false">IF(B2848="","",IF(COUNTIF(Campaigns!$A$7:$A$300,B2848)&gt;0,"✓","⚠ add to Campaigns tab"))</f>
        <v/>
      </c>
      <c r="I2848" s="84" t="str">
        <f aca="false">IF(C2848="","",C2848*IF(Settings!$B$22=Settings!$C$6,1,IF(Settings!$B$22="USD",1/INDEX(Settings!$B$29:$B$40,MONTH(A2848)),INDEX(Settings!$B$29:$B$40,MONTH(A2848)))))</f>
        <v/>
      </c>
    </row>
    <row r="2849" customFormat="false" ht="15" hidden="false" customHeight="false" outlineLevel="0" collapsed="false">
      <c r="H2849" s="0" t="str">
        <f aca="false">IF(B2849="","",IF(COUNTIF(Campaigns!$A$7:$A$300,B2849)&gt;0,"✓","⚠ add to Campaigns tab"))</f>
        <v/>
      </c>
      <c r="I2849" s="84" t="str">
        <f aca="false">IF(C2849="","",C2849*IF(Settings!$B$22=Settings!$C$6,1,IF(Settings!$B$22="USD",1/INDEX(Settings!$B$29:$B$40,MONTH(A2849)),INDEX(Settings!$B$29:$B$40,MONTH(A2849)))))</f>
        <v/>
      </c>
    </row>
    <row r="2850" customFormat="false" ht="15" hidden="false" customHeight="false" outlineLevel="0" collapsed="false">
      <c r="H2850" s="0" t="str">
        <f aca="false">IF(B2850="","",IF(COUNTIF(Campaigns!$A$7:$A$300,B2850)&gt;0,"✓","⚠ add to Campaigns tab"))</f>
        <v/>
      </c>
      <c r="I2850" s="84" t="str">
        <f aca="false">IF(C2850="","",C2850*IF(Settings!$B$22=Settings!$C$6,1,IF(Settings!$B$22="USD",1/INDEX(Settings!$B$29:$B$40,MONTH(A2850)),INDEX(Settings!$B$29:$B$40,MONTH(A2850)))))</f>
        <v/>
      </c>
    </row>
    <row r="2851" customFormat="false" ht="15" hidden="false" customHeight="false" outlineLevel="0" collapsed="false">
      <c r="H2851" s="0" t="str">
        <f aca="false">IF(B2851="","",IF(COUNTIF(Campaigns!$A$7:$A$300,B2851)&gt;0,"✓","⚠ add to Campaigns tab"))</f>
        <v/>
      </c>
      <c r="I2851" s="84" t="str">
        <f aca="false">IF(C2851="","",C2851*IF(Settings!$B$22=Settings!$C$6,1,IF(Settings!$B$22="USD",1/INDEX(Settings!$B$29:$B$40,MONTH(A2851)),INDEX(Settings!$B$29:$B$40,MONTH(A2851)))))</f>
        <v/>
      </c>
    </row>
    <row r="2852" customFormat="false" ht="15" hidden="false" customHeight="false" outlineLevel="0" collapsed="false">
      <c r="H2852" s="0" t="str">
        <f aca="false">IF(B2852="","",IF(COUNTIF(Campaigns!$A$7:$A$300,B2852)&gt;0,"✓","⚠ add to Campaigns tab"))</f>
        <v/>
      </c>
      <c r="I2852" s="84" t="str">
        <f aca="false">IF(C2852="","",C2852*IF(Settings!$B$22=Settings!$C$6,1,IF(Settings!$B$22="USD",1/INDEX(Settings!$B$29:$B$40,MONTH(A2852)),INDEX(Settings!$B$29:$B$40,MONTH(A2852)))))</f>
        <v/>
      </c>
    </row>
    <row r="2853" customFormat="false" ht="15" hidden="false" customHeight="false" outlineLevel="0" collapsed="false">
      <c r="H2853" s="0" t="str">
        <f aca="false">IF(B2853="","",IF(COUNTIF(Campaigns!$A$7:$A$300,B2853)&gt;0,"✓","⚠ add to Campaigns tab"))</f>
        <v/>
      </c>
      <c r="I2853" s="84" t="str">
        <f aca="false">IF(C2853="","",C2853*IF(Settings!$B$22=Settings!$C$6,1,IF(Settings!$B$22="USD",1/INDEX(Settings!$B$29:$B$40,MONTH(A2853)),INDEX(Settings!$B$29:$B$40,MONTH(A2853)))))</f>
        <v/>
      </c>
    </row>
    <row r="2854" customFormat="false" ht="15" hidden="false" customHeight="false" outlineLevel="0" collapsed="false">
      <c r="H2854" s="0" t="str">
        <f aca="false">IF(B2854="","",IF(COUNTIF(Campaigns!$A$7:$A$300,B2854)&gt;0,"✓","⚠ add to Campaigns tab"))</f>
        <v/>
      </c>
      <c r="I2854" s="84" t="str">
        <f aca="false">IF(C2854="","",C2854*IF(Settings!$B$22=Settings!$C$6,1,IF(Settings!$B$22="USD",1/INDEX(Settings!$B$29:$B$40,MONTH(A2854)),INDEX(Settings!$B$29:$B$40,MONTH(A2854)))))</f>
        <v/>
      </c>
    </row>
    <row r="2855" customFormat="false" ht="15" hidden="false" customHeight="false" outlineLevel="0" collapsed="false">
      <c r="H2855" s="0" t="str">
        <f aca="false">IF(B2855="","",IF(COUNTIF(Campaigns!$A$7:$A$300,B2855)&gt;0,"✓","⚠ add to Campaigns tab"))</f>
        <v/>
      </c>
      <c r="I2855" s="84" t="str">
        <f aca="false">IF(C2855="","",C2855*IF(Settings!$B$22=Settings!$C$6,1,IF(Settings!$B$22="USD",1/INDEX(Settings!$B$29:$B$40,MONTH(A2855)),INDEX(Settings!$B$29:$B$40,MONTH(A2855)))))</f>
        <v/>
      </c>
    </row>
    <row r="2856" customFormat="false" ht="15" hidden="false" customHeight="false" outlineLevel="0" collapsed="false">
      <c r="H2856" s="0" t="str">
        <f aca="false">IF(B2856="","",IF(COUNTIF(Campaigns!$A$7:$A$300,B2856)&gt;0,"✓","⚠ add to Campaigns tab"))</f>
        <v/>
      </c>
      <c r="I2856" s="84" t="str">
        <f aca="false">IF(C2856="","",C2856*IF(Settings!$B$22=Settings!$C$6,1,IF(Settings!$B$22="USD",1/INDEX(Settings!$B$29:$B$40,MONTH(A2856)),INDEX(Settings!$B$29:$B$40,MONTH(A2856)))))</f>
        <v/>
      </c>
    </row>
    <row r="2857" customFormat="false" ht="15" hidden="false" customHeight="false" outlineLevel="0" collapsed="false">
      <c r="H2857" s="0" t="str">
        <f aca="false">IF(B2857="","",IF(COUNTIF(Campaigns!$A$7:$A$300,B2857)&gt;0,"✓","⚠ add to Campaigns tab"))</f>
        <v/>
      </c>
      <c r="I2857" s="84" t="str">
        <f aca="false">IF(C2857="","",C2857*IF(Settings!$B$22=Settings!$C$6,1,IF(Settings!$B$22="USD",1/INDEX(Settings!$B$29:$B$40,MONTH(A2857)),INDEX(Settings!$B$29:$B$40,MONTH(A2857)))))</f>
        <v/>
      </c>
    </row>
    <row r="2858" customFormat="false" ht="15" hidden="false" customHeight="false" outlineLevel="0" collapsed="false">
      <c r="H2858" s="0" t="str">
        <f aca="false">IF(B2858="","",IF(COUNTIF(Campaigns!$A$7:$A$300,B2858)&gt;0,"✓","⚠ add to Campaigns tab"))</f>
        <v/>
      </c>
      <c r="I2858" s="84" t="str">
        <f aca="false">IF(C2858="","",C2858*IF(Settings!$B$22=Settings!$C$6,1,IF(Settings!$B$22="USD",1/INDEX(Settings!$B$29:$B$40,MONTH(A2858)),INDEX(Settings!$B$29:$B$40,MONTH(A2858)))))</f>
        <v/>
      </c>
    </row>
    <row r="2859" customFormat="false" ht="15" hidden="false" customHeight="false" outlineLevel="0" collapsed="false">
      <c r="H2859" s="0" t="str">
        <f aca="false">IF(B2859="","",IF(COUNTIF(Campaigns!$A$7:$A$300,B2859)&gt;0,"✓","⚠ add to Campaigns tab"))</f>
        <v/>
      </c>
      <c r="I2859" s="84" t="str">
        <f aca="false">IF(C2859="","",C2859*IF(Settings!$B$22=Settings!$C$6,1,IF(Settings!$B$22="USD",1/INDEX(Settings!$B$29:$B$40,MONTH(A2859)),INDEX(Settings!$B$29:$B$40,MONTH(A2859)))))</f>
        <v/>
      </c>
    </row>
    <row r="2860" customFormat="false" ht="15" hidden="false" customHeight="false" outlineLevel="0" collapsed="false">
      <c r="H2860" s="0" t="str">
        <f aca="false">IF(B2860="","",IF(COUNTIF(Campaigns!$A$7:$A$300,B2860)&gt;0,"✓","⚠ add to Campaigns tab"))</f>
        <v/>
      </c>
      <c r="I2860" s="84" t="str">
        <f aca="false">IF(C2860="","",C2860*IF(Settings!$B$22=Settings!$C$6,1,IF(Settings!$B$22="USD",1/INDEX(Settings!$B$29:$B$40,MONTH(A2860)),INDEX(Settings!$B$29:$B$40,MONTH(A2860)))))</f>
        <v/>
      </c>
    </row>
    <row r="2861" customFormat="false" ht="15" hidden="false" customHeight="false" outlineLevel="0" collapsed="false">
      <c r="H2861" s="0" t="str">
        <f aca="false">IF(B2861="","",IF(COUNTIF(Campaigns!$A$7:$A$300,B2861)&gt;0,"✓","⚠ add to Campaigns tab"))</f>
        <v/>
      </c>
      <c r="I2861" s="84" t="str">
        <f aca="false">IF(C2861="","",C2861*IF(Settings!$B$22=Settings!$C$6,1,IF(Settings!$B$22="USD",1/INDEX(Settings!$B$29:$B$40,MONTH(A2861)),INDEX(Settings!$B$29:$B$40,MONTH(A2861)))))</f>
        <v/>
      </c>
    </row>
    <row r="2862" customFormat="false" ht="15" hidden="false" customHeight="false" outlineLevel="0" collapsed="false">
      <c r="H2862" s="0" t="str">
        <f aca="false">IF(B2862="","",IF(COUNTIF(Campaigns!$A$7:$A$300,B2862)&gt;0,"✓","⚠ add to Campaigns tab"))</f>
        <v/>
      </c>
      <c r="I2862" s="84" t="str">
        <f aca="false">IF(C2862="","",C2862*IF(Settings!$B$22=Settings!$C$6,1,IF(Settings!$B$22="USD",1/INDEX(Settings!$B$29:$B$40,MONTH(A2862)),INDEX(Settings!$B$29:$B$40,MONTH(A2862)))))</f>
        <v/>
      </c>
    </row>
    <row r="2863" customFormat="false" ht="15" hidden="false" customHeight="false" outlineLevel="0" collapsed="false">
      <c r="H2863" s="0" t="str">
        <f aca="false">IF(B2863="","",IF(COUNTIF(Campaigns!$A$7:$A$300,B2863)&gt;0,"✓","⚠ add to Campaigns tab"))</f>
        <v/>
      </c>
      <c r="I2863" s="84" t="str">
        <f aca="false">IF(C2863="","",C2863*IF(Settings!$B$22=Settings!$C$6,1,IF(Settings!$B$22="USD",1/INDEX(Settings!$B$29:$B$40,MONTH(A2863)),INDEX(Settings!$B$29:$B$40,MONTH(A2863)))))</f>
        <v/>
      </c>
    </row>
    <row r="2864" customFormat="false" ht="15" hidden="false" customHeight="false" outlineLevel="0" collapsed="false">
      <c r="H2864" s="0" t="str">
        <f aca="false">IF(B2864="","",IF(COUNTIF(Campaigns!$A$7:$A$300,B2864)&gt;0,"✓","⚠ add to Campaigns tab"))</f>
        <v/>
      </c>
      <c r="I2864" s="84" t="str">
        <f aca="false">IF(C2864="","",C2864*IF(Settings!$B$22=Settings!$C$6,1,IF(Settings!$B$22="USD",1/INDEX(Settings!$B$29:$B$40,MONTH(A2864)),INDEX(Settings!$B$29:$B$40,MONTH(A2864)))))</f>
        <v/>
      </c>
    </row>
    <row r="2865" customFormat="false" ht="15" hidden="false" customHeight="false" outlineLevel="0" collapsed="false">
      <c r="H2865" s="0" t="str">
        <f aca="false">IF(B2865="","",IF(COUNTIF(Campaigns!$A$7:$A$300,B2865)&gt;0,"✓","⚠ add to Campaigns tab"))</f>
        <v/>
      </c>
      <c r="I2865" s="84" t="str">
        <f aca="false">IF(C2865="","",C2865*IF(Settings!$B$22=Settings!$C$6,1,IF(Settings!$B$22="USD",1/INDEX(Settings!$B$29:$B$40,MONTH(A2865)),INDEX(Settings!$B$29:$B$40,MONTH(A2865)))))</f>
        <v/>
      </c>
    </row>
    <row r="2866" customFormat="false" ht="15" hidden="false" customHeight="false" outlineLevel="0" collapsed="false">
      <c r="H2866" s="0" t="str">
        <f aca="false">IF(B2866="","",IF(COUNTIF(Campaigns!$A$7:$A$300,B2866)&gt;0,"✓","⚠ add to Campaigns tab"))</f>
        <v/>
      </c>
      <c r="I2866" s="84" t="str">
        <f aca="false">IF(C2866="","",C2866*IF(Settings!$B$22=Settings!$C$6,1,IF(Settings!$B$22="USD",1/INDEX(Settings!$B$29:$B$40,MONTH(A2866)),INDEX(Settings!$B$29:$B$40,MONTH(A2866)))))</f>
        <v/>
      </c>
    </row>
    <row r="2867" customFormat="false" ht="15" hidden="false" customHeight="false" outlineLevel="0" collapsed="false">
      <c r="H2867" s="0" t="str">
        <f aca="false">IF(B2867="","",IF(COUNTIF(Campaigns!$A$7:$A$300,B2867)&gt;0,"✓","⚠ add to Campaigns tab"))</f>
        <v/>
      </c>
      <c r="I2867" s="84" t="str">
        <f aca="false">IF(C2867="","",C2867*IF(Settings!$B$22=Settings!$C$6,1,IF(Settings!$B$22="USD",1/INDEX(Settings!$B$29:$B$40,MONTH(A2867)),INDEX(Settings!$B$29:$B$40,MONTH(A2867)))))</f>
        <v/>
      </c>
    </row>
    <row r="2868" customFormat="false" ht="15" hidden="false" customHeight="false" outlineLevel="0" collapsed="false">
      <c r="H2868" s="0" t="str">
        <f aca="false">IF(B2868="","",IF(COUNTIF(Campaigns!$A$7:$A$300,B2868)&gt;0,"✓","⚠ add to Campaigns tab"))</f>
        <v/>
      </c>
      <c r="I2868" s="84" t="str">
        <f aca="false">IF(C2868="","",C2868*IF(Settings!$B$22=Settings!$C$6,1,IF(Settings!$B$22="USD",1/INDEX(Settings!$B$29:$B$40,MONTH(A2868)),INDEX(Settings!$B$29:$B$40,MONTH(A2868)))))</f>
        <v/>
      </c>
    </row>
    <row r="2869" customFormat="false" ht="15" hidden="false" customHeight="false" outlineLevel="0" collapsed="false">
      <c r="H2869" s="0" t="str">
        <f aca="false">IF(B2869="","",IF(COUNTIF(Campaigns!$A$7:$A$300,B2869)&gt;0,"✓","⚠ add to Campaigns tab"))</f>
        <v/>
      </c>
      <c r="I2869" s="84" t="str">
        <f aca="false">IF(C2869="","",C2869*IF(Settings!$B$22=Settings!$C$6,1,IF(Settings!$B$22="USD",1/INDEX(Settings!$B$29:$B$40,MONTH(A2869)),INDEX(Settings!$B$29:$B$40,MONTH(A2869)))))</f>
        <v/>
      </c>
    </row>
    <row r="2870" customFormat="false" ht="15" hidden="false" customHeight="false" outlineLevel="0" collapsed="false">
      <c r="H2870" s="0" t="str">
        <f aca="false">IF(B2870="","",IF(COUNTIF(Campaigns!$A$7:$A$300,B2870)&gt;0,"✓","⚠ add to Campaigns tab"))</f>
        <v/>
      </c>
      <c r="I2870" s="84" t="str">
        <f aca="false">IF(C2870="","",C2870*IF(Settings!$B$22=Settings!$C$6,1,IF(Settings!$B$22="USD",1/INDEX(Settings!$B$29:$B$40,MONTH(A2870)),INDEX(Settings!$B$29:$B$40,MONTH(A2870)))))</f>
        <v/>
      </c>
    </row>
    <row r="2871" customFormat="false" ht="15" hidden="false" customHeight="false" outlineLevel="0" collapsed="false">
      <c r="H2871" s="0" t="str">
        <f aca="false">IF(B2871="","",IF(COUNTIF(Campaigns!$A$7:$A$300,B2871)&gt;0,"✓","⚠ add to Campaigns tab"))</f>
        <v/>
      </c>
      <c r="I2871" s="84" t="str">
        <f aca="false">IF(C2871="","",C2871*IF(Settings!$B$22=Settings!$C$6,1,IF(Settings!$B$22="USD",1/INDEX(Settings!$B$29:$B$40,MONTH(A2871)),INDEX(Settings!$B$29:$B$40,MONTH(A2871)))))</f>
        <v/>
      </c>
    </row>
    <row r="2872" customFormat="false" ht="15" hidden="false" customHeight="false" outlineLevel="0" collapsed="false">
      <c r="H2872" s="0" t="str">
        <f aca="false">IF(B2872="","",IF(COUNTIF(Campaigns!$A$7:$A$300,B2872)&gt;0,"✓","⚠ add to Campaigns tab"))</f>
        <v/>
      </c>
      <c r="I2872" s="84" t="str">
        <f aca="false">IF(C2872="","",C2872*IF(Settings!$B$22=Settings!$C$6,1,IF(Settings!$B$22="USD",1/INDEX(Settings!$B$29:$B$40,MONTH(A2872)),INDEX(Settings!$B$29:$B$40,MONTH(A2872)))))</f>
        <v/>
      </c>
    </row>
    <row r="2873" customFormat="false" ht="15" hidden="false" customHeight="false" outlineLevel="0" collapsed="false">
      <c r="H2873" s="0" t="str">
        <f aca="false">IF(B2873="","",IF(COUNTIF(Campaigns!$A$7:$A$300,B2873)&gt;0,"✓","⚠ add to Campaigns tab"))</f>
        <v/>
      </c>
      <c r="I2873" s="84" t="str">
        <f aca="false">IF(C2873="","",C2873*IF(Settings!$B$22=Settings!$C$6,1,IF(Settings!$B$22="USD",1/INDEX(Settings!$B$29:$B$40,MONTH(A2873)),INDEX(Settings!$B$29:$B$40,MONTH(A2873)))))</f>
        <v/>
      </c>
    </row>
    <row r="2874" customFormat="false" ht="15" hidden="false" customHeight="false" outlineLevel="0" collapsed="false">
      <c r="H2874" s="0" t="str">
        <f aca="false">IF(B2874="","",IF(COUNTIF(Campaigns!$A$7:$A$300,B2874)&gt;0,"✓","⚠ add to Campaigns tab"))</f>
        <v/>
      </c>
      <c r="I2874" s="84" t="str">
        <f aca="false">IF(C2874="","",C2874*IF(Settings!$B$22=Settings!$C$6,1,IF(Settings!$B$22="USD",1/INDEX(Settings!$B$29:$B$40,MONTH(A2874)),INDEX(Settings!$B$29:$B$40,MONTH(A2874)))))</f>
        <v/>
      </c>
    </row>
    <row r="2875" customFormat="false" ht="15" hidden="false" customHeight="false" outlineLevel="0" collapsed="false">
      <c r="H2875" s="0" t="str">
        <f aca="false">IF(B2875="","",IF(COUNTIF(Campaigns!$A$7:$A$300,B2875)&gt;0,"✓","⚠ add to Campaigns tab"))</f>
        <v/>
      </c>
      <c r="I2875" s="84" t="str">
        <f aca="false">IF(C2875="","",C2875*IF(Settings!$B$22=Settings!$C$6,1,IF(Settings!$B$22="USD",1/INDEX(Settings!$B$29:$B$40,MONTH(A2875)),INDEX(Settings!$B$29:$B$40,MONTH(A2875)))))</f>
        <v/>
      </c>
    </row>
    <row r="2876" customFormat="false" ht="15" hidden="false" customHeight="false" outlineLevel="0" collapsed="false">
      <c r="H2876" s="0" t="str">
        <f aca="false">IF(B2876="","",IF(COUNTIF(Campaigns!$A$7:$A$300,B2876)&gt;0,"✓","⚠ add to Campaigns tab"))</f>
        <v/>
      </c>
      <c r="I2876" s="84" t="str">
        <f aca="false">IF(C2876="","",C2876*IF(Settings!$B$22=Settings!$C$6,1,IF(Settings!$B$22="USD",1/INDEX(Settings!$B$29:$B$40,MONTH(A2876)),INDEX(Settings!$B$29:$B$40,MONTH(A2876)))))</f>
        <v/>
      </c>
    </row>
    <row r="2877" customFormat="false" ht="15" hidden="false" customHeight="false" outlineLevel="0" collapsed="false">
      <c r="H2877" s="0" t="str">
        <f aca="false">IF(B2877="","",IF(COUNTIF(Campaigns!$A$7:$A$300,B2877)&gt;0,"✓","⚠ add to Campaigns tab"))</f>
        <v/>
      </c>
      <c r="I2877" s="84" t="str">
        <f aca="false">IF(C2877="","",C2877*IF(Settings!$B$22=Settings!$C$6,1,IF(Settings!$B$22="USD",1/INDEX(Settings!$B$29:$B$40,MONTH(A2877)),INDEX(Settings!$B$29:$B$40,MONTH(A2877)))))</f>
        <v/>
      </c>
    </row>
    <row r="2878" customFormat="false" ht="15" hidden="false" customHeight="false" outlineLevel="0" collapsed="false">
      <c r="H2878" s="0" t="str">
        <f aca="false">IF(B2878="","",IF(COUNTIF(Campaigns!$A$7:$A$300,B2878)&gt;0,"✓","⚠ add to Campaigns tab"))</f>
        <v/>
      </c>
      <c r="I2878" s="84" t="str">
        <f aca="false">IF(C2878="","",C2878*IF(Settings!$B$22=Settings!$C$6,1,IF(Settings!$B$22="USD",1/INDEX(Settings!$B$29:$B$40,MONTH(A2878)),INDEX(Settings!$B$29:$B$40,MONTH(A2878)))))</f>
        <v/>
      </c>
    </row>
    <row r="2879" customFormat="false" ht="15" hidden="false" customHeight="false" outlineLevel="0" collapsed="false">
      <c r="H2879" s="0" t="str">
        <f aca="false">IF(B2879="","",IF(COUNTIF(Campaigns!$A$7:$A$300,B2879)&gt;0,"✓","⚠ add to Campaigns tab"))</f>
        <v/>
      </c>
      <c r="I2879" s="84" t="str">
        <f aca="false">IF(C2879="","",C2879*IF(Settings!$B$22=Settings!$C$6,1,IF(Settings!$B$22="USD",1/INDEX(Settings!$B$29:$B$40,MONTH(A2879)),INDEX(Settings!$B$29:$B$40,MONTH(A2879)))))</f>
        <v/>
      </c>
    </row>
    <row r="2880" customFormat="false" ht="15" hidden="false" customHeight="false" outlineLevel="0" collapsed="false">
      <c r="H2880" s="0" t="str">
        <f aca="false">IF(B2880="","",IF(COUNTIF(Campaigns!$A$7:$A$300,B2880)&gt;0,"✓","⚠ add to Campaigns tab"))</f>
        <v/>
      </c>
      <c r="I2880" s="84" t="str">
        <f aca="false">IF(C2880="","",C2880*IF(Settings!$B$22=Settings!$C$6,1,IF(Settings!$B$22="USD",1/INDEX(Settings!$B$29:$B$40,MONTH(A2880)),INDEX(Settings!$B$29:$B$40,MONTH(A2880)))))</f>
        <v/>
      </c>
    </row>
    <row r="2881" customFormat="false" ht="15" hidden="false" customHeight="false" outlineLevel="0" collapsed="false">
      <c r="H2881" s="0" t="str">
        <f aca="false">IF(B2881="","",IF(COUNTIF(Campaigns!$A$7:$A$300,B2881)&gt;0,"✓","⚠ add to Campaigns tab"))</f>
        <v/>
      </c>
      <c r="I2881" s="84" t="str">
        <f aca="false">IF(C2881="","",C2881*IF(Settings!$B$22=Settings!$C$6,1,IF(Settings!$B$22="USD",1/INDEX(Settings!$B$29:$B$40,MONTH(A2881)),INDEX(Settings!$B$29:$B$40,MONTH(A2881)))))</f>
        <v/>
      </c>
    </row>
    <row r="2882" customFormat="false" ht="15" hidden="false" customHeight="false" outlineLevel="0" collapsed="false">
      <c r="H2882" s="0" t="str">
        <f aca="false">IF(B2882="","",IF(COUNTIF(Campaigns!$A$7:$A$300,B2882)&gt;0,"✓","⚠ add to Campaigns tab"))</f>
        <v/>
      </c>
      <c r="I2882" s="84" t="str">
        <f aca="false">IF(C2882="","",C2882*IF(Settings!$B$22=Settings!$C$6,1,IF(Settings!$B$22="USD",1/INDEX(Settings!$B$29:$B$40,MONTH(A2882)),INDEX(Settings!$B$29:$B$40,MONTH(A2882)))))</f>
        <v/>
      </c>
    </row>
    <row r="2883" customFormat="false" ht="15" hidden="false" customHeight="false" outlineLevel="0" collapsed="false">
      <c r="H2883" s="0" t="str">
        <f aca="false">IF(B2883="","",IF(COUNTIF(Campaigns!$A$7:$A$300,B2883)&gt;0,"✓","⚠ add to Campaigns tab"))</f>
        <v/>
      </c>
      <c r="I2883" s="84" t="str">
        <f aca="false">IF(C2883="","",C2883*IF(Settings!$B$22=Settings!$C$6,1,IF(Settings!$B$22="USD",1/INDEX(Settings!$B$29:$B$40,MONTH(A2883)),INDEX(Settings!$B$29:$B$40,MONTH(A2883)))))</f>
        <v/>
      </c>
    </row>
    <row r="2884" customFormat="false" ht="15" hidden="false" customHeight="false" outlineLevel="0" collapsed="false">
      <c r="H2884" s="0" t="str">
        <f aca="false">IF(B2884="","",IF(COUNTIF(Campaigns!$A$7:$A$300,B2884)&gt;0,"✓","⚠ add to Campaigns tab"))</f>
        <v/>
      </c>
      <c r="I2884" s="84" t="str">
        <f aca="false">IF(C2884="","",C2884*IF(Settings!$B$22=Settings!$C$6,1,IF(Settings!$B$22="USD",1/INDEX(Settings!$B$29:$B$40,MONTH(A2884)),INDEX(Settings!$B$29:$B$40,MONTH(A2884)))))</f>
        <v/>
      </c>
    </row>
    <row r="2885" customFormat="false" ht="15" hidden="false" customHeight="false" outlineLevel="0" collapsed="false">
      <c r="H2885" s="0" t="str">
        <f aca="false">IF(B2885="","",IF(COUNTIF(Campaigns!$A$7:$A$300,B2885)&gt;0,"✓","⚠ add to Campaigns tab"))</f>
        <v/>
      </c>
      <c r="I2885" s="84" t="str">
        <f aca="false">IF(C2885="","",C2885*IF(Settings!$B$22=Settings!$C$6,1,IF(Settings!$B$22="USD",1/INDEX(Settings!$B$29:$B$40,MONTH(A2885)),INDEX(Settings!$B$29:$B$40,MONTH(A2885)))))</f>
        <v/>
      </c>
    </row>
    <row r="2886" customFormat="false" ht="15" hidden="false" customHeight="false" outlineLevel="0" collapsed="false">
      <c r="H2886" s="0" t="str">
        <f aca="false">IF(B2886="","",IF(COUNTIF(Campaigns!$A$7:$A$300,B2886)&gt;0,"✓","⚠ add to Campaigns tab"))</f>
        <v/>
      </c>
      <c r="I2886" s="84" t="str">
        <f aca="false">IF(C2886="","",C2886*IF(Settings!$B$22=Settings!$C$6,1,IF(Settings!$B$22="USD",1/INDEX(Settings!$B$29:$B$40,MONTH(A2886)),INDEX(Settings!$B$29:$B$40,MONTH(A2886)))))</f>
        <v/>
      </c>
    </row>
    <row r="2887" customFormat="false" ht="15" hidden="false" customHeight="false" outlineLevel="0" collapsed="false">
      <c r="H2887" s="0" t="str">
        <f aca="false">IF(B2887="","",IF(COUNTIF(Campaigns!$A$7:$A$300,B2887)&gt;0,"✓","⚠ add to Campaigns tab"))</f>
        <v/>
      </c>
      <c r="I2887" s="84" t="str">
        <f aca="false">IF(C2887="","",C2887*IF(Settings!$B$22=Settings!$C$6,1,IF(Settings!$B$22="USD",1/INDEX(Settings!$B$29:$B$40,MONTH(A2887)),INDEX(Settings!$B$29:$B$40,MONTH(A2887)))))</f>
        <v/>
      </c>
    </row>
    <row r="2888" customFormat="false" ht="15" hidden="false" customHeight="false" outlineLevel="0" collapsed="false">
      <c r="H2888" s="0" t="str">
        <f aca="false">IF(B2888="","",IF(COUNTIF(Campaigns!$A$7:$A$300,B2888)&gt;0,"✓","⚠ add to Campaigns tab"))</f>
        <v/>
      </c>
      <c r="I2888" s="84" t="str">
        <f aca="false">IF(C2888="","",C2888*IF(Settings!$B$22=Settings!$C$6,1,IF(Settings!$B$22="USD",1/INDEX(Settings!$B$29:$B$40,MONTH(A2888)),INDEX(Settings!$B$29:$B$40,MONTH(A2888)))))</f>
        <v/>
      </c>
    </row>
    <row r="2889" customFormat="false" ht="15" hidden="false" customHeight="false" outlineLevel="0" collapsed="false">
      <c r="H2889" s="0" t="str">
        <f aca="false">IF(B2889="","",IF(COUNTIF(Campaigns!$A$7:$A$300,B2889)&gt;0,"✓","⚠ add to Campaigns tab"))</f>
        <v/>
      </c>
      <c r="I2889" s="84" t="str">
        <f aca="false">IF(C2889="","",C2889*IF(Settings!$B$22=Settings!$C$6,1,IF(Settings!$B$22="USD",1/INDEX(Settings!$B$29:$B$40,MONTH(A2889)),INDEX(Settings!$B$29:$B$40,MONTH(A2889)))))</f>
        <v/>
      </c>
    </row>
    <row r="2890" customFormat="false" ht="15" hidden="false" customHeight="false" outlineLevel="0" collapsed="false">
      <c r="H2890" s="0" t="str">
        <f aca="false">IF(B2890="","",IF(COUNTIF(Campaigns!$A$7:$A$300,B2890)&gt;0,"✓","⚠ add to Campaigns tab"))</f>
        <v/>
      </c>
      <c r="I2890" s="84" t="str">
        <f aca="false">IF(C2890="","",C2890*IF(Settings!$B$22=Settings!$C$6,1,IF(Settings!$B$22="USD",1/INDEX(Settings!$B$29:$B$40,MONTH(A2890)),INDEX(Settings!$B$29:$B$40,MONTH(A2890)))))</f>
        <v/>
      </c>
    </row>
    <row r="2891" customFormat="false" ht="15" hidden="false" customHeight="false" outlineLevel="0" collapsed="false">
      <c r="H2891" s="0" t="str">
        <f aca="false">IF(B2891="","",IF(COUNTIF(Campaigns!$A$7:$A$300,B2891)&gt;0,"✓","⚠ add to Campaigns tab"))</f>
        <v/>
      </c>
      <c r="I2891" s="84" t="str">
        <f aca="false">IF(C2891="","",C2891*IF(Settings!$B$22=Settings!$C$6,1,IF(Settings!$B$22="USD",1/INDEX(Settings!$B$29:$B$40,MONTH(A2891)),INDEX(Settings!$B$29:$B$40,MONTH(A2891)))))</f>
        <v/>
      </c>
    </row>
    <row r="2892" customFormat="false" ht="15" hidden="false" customHeight="false" outlineLevel="0" collapsed="false">
      <c r="H2892" s="0" t="str">
        <f aca="false">IF(B2892="","",IF(COUNTIF(Campaigns!$A$7:$A$300,B2892)&gt;0,"✓","⚠ add to Campaigns tab"))</f>
        <v/>
      </c>
      <c r="I2892" s="84" t="str">
        <f aca="false">IF(C2892="","",C2892*IF(Settings!$B$22=Settings!$C$6,1,IF(Settings!$B$22="USD",1/INDEX(Settings!$B$29:$B$40,MONTH(A2892)),INDEX(Settings!$B$29:$B$40,MONTH(A2892)))))</f>
        <v/>
      </c>
    </row>
    <row r="2893" customFormat="false" ht="15" hidden="false" customHeight="false" outlineLevel="0" collapsed="false">
      <c r="H2893" s="0" t="str">
        <f aca="false">IF(B2893="","",IF(COUNTIF(Campaigns!$A$7:$A$300,B2893)&gt;0,"✓","⚠ add to Campaigns tab"))</f>
        <v/>
      </c>
      <c r="I2893" s="84" t="str">
        <f aca="false">IF(C2893="","",C2893*IF(Settings!$B$22=Settings!$C$6,1,IF(Settings!$B$22="USD",1/INDEX(Settings!$B$29:$B$40,MONTH(A2893)),INDEX(Settings!$B$29:$B$40,MONTH(A2893)))))</f>
        <v/>
      </c>
    </row>
    <row r="2894" customFormat="false" ht="15" hidden="false" customHeight="false" outlineLevel="0" collapsed="false">
      <c r="H2894" s="0" t="str">
        <f aca="false">IF(B2894="","",IF(COUNTIF(Campaigns!$A$7:$A$300,B2894)&gt;0,"✓","⚠ add to Campaigns tab"))</f>
        <v/>
      </c>
      <c r="I2894" s="84" t="str">
        <f aca="false">IF(C2894="","",C2894*IF(Settings!$B$22=Settings!$C$6,1,IF(Settings!$B$22="USD",1/INDEX(Settings!$B$29:$B$40,MONTH(A2894)),INDEX(Settings!$B$29:$B$40,MONTH(A2894)))))</f>
        <v/>
      </c>
    </row>
    <row r="2895" customFormat="false" ht="15" hidden="false" customHeight="false" outlineLevel="0" collapsed="false">
      <c r="H2895" s="0" t="str">
        <f aca="false">IF(B2895="","",IF(COUNTIF(Campaigns!$A$7:$A$300,B2895)&gt;0,"✓","⚠ add to Campaigns tab"))</f>
        <v/>
      </c>
      <c r="I2895" s="84" t="str">
        <f aca="false">IF(C2895="","",C2895*IF(Settings!$B$22=Settings!$C$6,1,IF(Settings!$B$22="USD",1/INDEX(Settings!$B$29:$B$40,MONTH(A2895)),INDEX(Settings!$B$29:$B$40,MONTH(A2895)))))</f>
        <v/>
      </c>
    </row>
    <row r="2896" customFormat="false" ht="15" hidden="false" customHeight="false" outlineLevel="0" collapsed="false">
      <c r="H2896" s="0" t="str">
        <f aca="false">IF(B2896="","",IF(COUNTIF(Campaigns!$A$7:$A$300,B2896)&gt;0,"✓","⚠ add to Campaigns tab"))</f>
        <v/>
      </c>
      <c r="I2896" s="84" t="str">
        <f aca="false">IF(C2896="","",C2896*IF(Settings!$B$22=Settings!$C$6,1,IF(Settings!$B$22="USD",1/INDEX(Settings!$B$29:$B$40,MONTH(A2896)),INDEX(Settings!$B$29:$B$40,MONTH(A2896)))))</f>
        <v/>
      </c>
    </row>
    <row r="2897" customFormat="false" ht="15" hidden="false" customHeight="false" outlineLevel="0" collapsed="false">
      <c r="H2897" s="0" t="str">
        <f aca="false">IF(B2897="","",IF(COUNTIF(Campaigns!$A$7:$A$300,B2897)&gt;0,"✓","⚠ add to Campaigns tab"))</f>
        <v/>
      </c>
      <c r="I2897" s="84" t="str">
        <f aca="false">IF(C2897="","",C2897*IF(Settings!$B$22=Settings!$C$6,1,IF(Settings!$B$22="USD",1/INDEX(Settings!$B$29:$B$40,MONTH(A2897)),INDEX(Settings!$B$29:$B$40,MONTH(A2897)))))</f>
        <v/>
      </c>
    </row>
    <row r="2898" customFormat="false" ht="15" hidden="false" customHeight="false" outlineLevel="0" collapsed="false">
      <c r="H2898" s="0" t="str">
        <f aca="false">IF(B2898="","",IF(COUNTIF(Campaigns!$A$7:$A$300,B2898)&gt;0,"✓","⚠ add to Campaigns tab"))</f>
        <v/>
      </c>
      <c r="I2898" s="84" t="str">
        <f aca="false">IF(C2898="","",C2898*IF(Settings!$B$22=Settings!$C$6,1,IF(Settings!$B$22="USD",1/INDEX(Settings!$B$29:$B$40,MONTH(A2898)),INDEX(Settings!$B$29:$B$40,MONTH(A2898)))))</f>
        <v/>
      </c>
    </row>
    <row r="2899" customFormat="false" ht="15" hidden="false" customHeight="false" outlineLevel="0" collapsed="false">
      <c r="H2899" s="0" t="str">
        <f aca="false">IF(B2899="","",IF(COUNTIF(Campaigns!$A$7:$A$300,B2899)&gt;0,"✓","⚠ add to Campaigns tab"))</f>
        <v/>
      </c>
      <c r="I2899" s="84" t="str">
        <f aca="false">IF(C2899="","",C2899*IF(Settings!$B$22=Settings!$C$6,1,IF(Settings!$B$22="USD",1/INDEX(Settings!$B$29:$B$40,MONTH(A2899)),INDEX(Settings!$B$29:$B$40,MONTH(A2899)))))</f>
        <v/>
      </c>
    </row>
    <row r="2900" customFormat="false" ht="15" hidden="false" customHeight="false" outlineLevel="0" collapsed="false">
      <c r="H2900" s="0" t="str">
        <f aca="false">IF(B2900="","",IF(COUNTIF(Campaigns!$A$7:$A$300,B2900)&gt;0,"✓","⚠ add to Campaigns tab"))</f>
        <v/>
      </c>
      <c r="I2900" s="84" t="str">
        <f aca="false">IF(C2900="","",C2900*IF(Settings!$B$22=Settings!$C$6,1,IF(Settings!$B$22="USD",1/INDEX(Settings!$B$29:$B$40,MONTH(A2900)),INDEX(Settings!$B$29:$B$40,MONTH(A2900)))))</f>
        <v/>
      </c>
    </row>
    <row r="2901" customFormat="false" ht="15" hidden="false" customHeight="false" outlineLevel="0" collapsed="false">
      <c r="H2901" s="0" t="str">
        <f aca="false">IF(B2901="","",IF(COUNTIF(Campaigns!$A$7:$A$300,B2901)&gt;0,"✓","⚠ add to Campaigns tab"))</f>
        <v/>
      </c>
      <c r="I2901" s="84" t="str">
        <f aca="false">IF(C2901="","",C2901*IF(Settings!$B$22=Settings!$C$6,1,IF(Settings!$B$22="USD",1/INDEX(Settings!$B$29:$B$40,MONTH(A2901)),INDEX(Settings!$B$29:$B$40,MONTH(A2901)))))</f>
        <v/>
      </c>
    </row>
    <row r="2902" customFormat="false" ht="15" hidden="false" customHeight="false" outlineLevel="0" collapsed="false">
      <c r="H2902" s="0" t="str">
        <f aca="false">IF(B2902="","",IF(COUNTIF(Campaigns!$A$7:$A$300,B2902)&gt;0,"✓","⚠ add to Campaigns tab"))</f>
        <v/>
      </c>
      <c r="I2902" s="84" t="str">
        <f aca="false">IF(C2902="","",C2902*IF(Settings!$B$22=Settings!$C$6,1,IF(Settings!$B$22="USD",1/INDEX(Settings!$B$29:$B$40,MONTH(A2902)),INDEX(Settings!$B$29:$B$40,MONTH(A2902)))))</f>
        <v/>
      </c>
    </row>
    <row r="2903" customFormat="false" ht="15" hidden="false" customHeight="false" outlineLevel="0" collapsed="false">
      <c r="H2903" s="0" t="str">
        <f aca="false">IF(B2903="","",IF(COUNTIF(Campaigns!$A$7:$A$300,B2903)&gt;0,"✓","⚠ add to Campaigns tab"))</f>
        <v/>
      </c>
      <c r="I2903" s="84" t="str">
        <f aca="false">IF(C2903="","",C2903*IF(Settings!$B$22=Settings!$C$6,1,IF(Settings!$B$22="USD",1/INDEX(Settings!$B$29:$B$40,MONTH(A2903)),INDEX(Settings!$B$29:$B$40,MONTH(A2903)))))</f>
        <v/>
      </c>
    </row>
    <row r="2904" customFormat="false" ht="15" hidden="false" customHeight="false" outlineLevel="0" collapsed="false">
      <c r="H2904" s="0" t="str">
        <f aca="false">IF(B2904="","",IF(COUNTIF(Campaigns!$A$7:$A$300,B2904)&gt;0,"✓","⚠ add to Campaigns tab"))</f>
        <v/>
      </c>
      <c r="I2904" s="84" t="str">
        <f aca="false">IF(C2904="","",C2904*IF(Settings!$B$22=Settings!$C$6,1,IF(Settings!$B$22="USD",1/INDEX(Settings!$B$29:$B$40,MONTH(A2904)),INDEX(Settings!$B$29:$B$40,MONTH(A2904)))))</f>
        <v/>
      </c>
    </row>
    <row r="2905" customFormat="false" ht="15" hidden="false" customHeight="false" outlineLevel="0" collapsed="false">
      <c r="H2905" s="0" t="str">
        <f aca="false">IF(B2905="","",IF(COUNTIF(Campaigns!$A$7:$A$300,B2905)&gt;0,"✓","⚠ add to Campaigns tab"))</f>
        <v/>
      </c>
      <c r="I2905" s="84" t="str">
        <f aca="false">IF(C2905="","",C2905*IF(Settings!$B$22=Settings!$C$6,1,IF(Settings!$B$22="USD",1/INDEX(Settings!$B$29:$B$40,MONTH(A2905)),INDEX(Settings!$B$29:$B$40,MONTH(A2905)))))</f>
        <v/>
      </c>
    </row>
    <row r="2906" customFormat="false" ht="15" hidden="false" customHeight="false" outlineLevel="0" collapsed="false">
      <c r="H2906" s="0" t="str">
        <f aca="false">IF(B2906="","",IF(COUNTIF(Campaigns!$A$7:$A$300,B2906)&gt;0,"✓","⚠ add to Campaigns tab"))</f>
        <v/>
      </c>
      <c r="I2906" s="84" t="str">
        <f aca="false">IF(C2906="","",C2906*IF(Settings!$B$22=Settings!$C$6,1,IF(Settings!$B$22="USD",1/INDEX(Settings!$B$29:$B$40,MONTH(A2906)),INDEX(Settings!$B$29:$B$40,MONTH(A2906)))))</f>
        <v/>
      </c>
    </row>
    <row r="2907" customFormat="false" ht="15" hidden="false" customHeight="false" outlineLevel="0" collapsed="false">
      <c r="H2907" s="0" t="str">
        <f aca="false">IF(B2907="","",IF(COUNTIF(Campaigns!$A$7:$A$300,B2907)&gt;0,"✓","⚠ add to Campaigns tab"))</f>
        <v/>
      </c>
      <c r="I2907" s="84" t="str">
        <f aca="false">IF(C2907="","",C2907*IF(Settings!$B$22=Settings!$C$6,1,IF(Settings!$B$22="USD",1/INDEX(Settings!$B$29:$B$40,MONTH(A2907)),INDEX(Settings!$B$29:$B$40,MONTH(A2907)))))</f>
        <v/>
      </c>
    </row>
    <row r="2908" customFormat="false" ht="15" hidden="false" customHeight="false" outlineLevel="0" collapsed="false">
      <c r="H2908" s="0" t="str">
        <f aca="false">IF(B2908="","",IF(COUNTIF(Campaigns!$A$7:$A$300,B2908)&gt;0,"✓","⚠ add to Campaigns tab"))</f>
        <v/>
      </c>
      <c r="I2908" s="84" t="str">
        <f aca="false">IF(C2908="","",C2908*IF(Settings!$B$22=Settings!$C$6,1,IF(Settings!$B$22="USD",1/INDEX(Settings!$B$29:$B$40,MONTH(A2908)),INDEX(Settings!$B$29:$B$40,MONTH(A2908)))))</f>
        <v/>
      </c>
    </row>
    <row r="2909" customFormat="false" ht="15" hidden="false" customHeight="false" outlineLevel="0" collapsed="false">
      <c r="H2909" s="0" t="str">
        <f aca="false">IF(B2909="","",IF(COUNTIF(Campaigns!$A$7:$A$300,B2909)&gt;0,"✓","⚠ add to Campaigns tab"))</f>
        <v/>
      </c>
      <c r="I2909" s="84" t="str">
        <f aca="false">IF(C2909="","",C2909*IF(Settings!$B$22=Settings!$C$6,1,IF(Settings!$B$22="USD",1/INDEX(Settings!$B$29:$B$40,MONTH(A2909)),INDEX(Settings!$B$29:$B$40,MONTH(A2909)))))</f>
        <v/>
      </c>
    </row>
    <row r="2910" customFormat="false" ht="15" hidden="false" customHeight="false" outlineLevel="0" collapsed="false">
      <c r="H2910" s="0" t="str">
        <f aca="false">IF(B2910="","",IF(COUNTIF(Campaigns!$A$7:$A$300,B2910)&gt;0,"✓","⚠ add to Campaigns tab"))</f>
        <v/>
      </c>
      <c r="I2910" s="84" t="str">
        <f aca="false">IF(C2910="","",C2910*IF(Settings!$B$22=Settings!$C$6,1,IF(Settings!$B$22="USD",1/INDEX(Settings!$B$29:$B$40,MONTH(A2910)),INDEX(Settings!$B$29:$B$40,MONTH(A2910)))))</f>
        <v/>
      </c>
    </row>
    <row r="2911" customFormat="false" ht="15" hidden="false" customHeight="false" outlineLevel="0" collapsed="false">
      <c r="H2911" s="0" t="str">
        <f aca="false">IF(B2911="","",IF(COUNTIF(Campaigns!$A$7:$A$300,B2911)&gt;0,"✓","⚠ add to Campaigns tab"))</f>
        <v/>
      </c>
      <c r="I2911" s="84" t="str">
        <f aca="false">IF(C2911="","",C2911*IF(Settings!$B$22=Settings!$C$6,1,IF(Settings!$B$22="USD",1/INDEX(Settings!$B$29:$B$40,MONTH(A2911)),INDEX(Settings!$B$29:$B$40,MONTH(A2911)))))</f>
        <v/>
      </c>
    </row>
    <row r="2912" customFormat="false" ht="15" hidden="false" customHeight="false" outlineLevel="0" collapsed="false">
      <c r="H2912" s="0" t="str">
        <f aca="false">IF(B2912="","",IF(COUNTIF(Campaigns!$A$7:$A$300,B2912)&gt;0,"✓","⚠ add to Campaigns tab"))</f>
        <v/>
      </c>
      <c r="I2912" s="84" t="str">
        <f aca="false">IF(C2912="","",C2912*IF(Settings!$B$22=Settings!$C$6,1,IF(Settings!$B$22="USD",1/INDEX(Settings!$B$29:$B$40,MONTH(A2912)),INDEX(Settings!$B$29:$B$40,MONTH(A2912)))))</f>
        <v/>
      </c>
    </row>
    <row r="2913" customFormat="false" ht="15" hidden="false" customHeight="false" outlineLevel="0" collapsed="false">
      <c r="H2913" s="0" t="str">
        <f aca="false">IF(B2913="","",IF(COUNTIF(Campaigns!$A$7:$A$300,B2913)&gt;0,"✓","⚠ add to Campaigns tab"))</f>
        <v/>
      </c>
      <c r="I2913" s="84" t="str">
        <f aca="false">IF(C2913="","",C2913*IF(Settings!$B$22=Settings!$C$6,1,IF(Settings!$B$22="USD",1/INDEX(Settings!$B$29:$B$40,MONTH(A2913)),INDEX(Settings!$B$29:$B$40,MONTH(A2913)))))</f>
        <v/>
      </c>
    </row>
    <row r="2914" customFormat="false" ht="15" hidden="false" customHeight="false" outlineLevel="0" collapsed="false">
      <c r="H2914" s="0" t="str">
        <f aca="false">IF(B2914="","",IF(COUNTIF(Campaigns!$A$7:$A$300,B2914)&gt;0,"✓","⚠ add to Campaigns tab"))</f>
        <v/>
      </c>
      <c r="I2914" s="84" t="str">
        <f aca="false">IF(C2914="","",C2914*IF(Settings!$B$22=Settings!$C$6,1,IF(Settings!$B$22="USD",1/INDEX(Settings!$B$29:$B$40,MONTH(A2914)),INDEX(Settings!$B$29:$B$40,MONTH(A2914)))))</f>
        <v/>
      </c>
    </row>
    <row r="2915" customFormat="false" ht="15" hidden="false" customHeight="false" outlineLevel="0" collapsed="false">
      <c r="H2915" s="0" t="str">
        <f aca="false">IF(B2915="","",IF(COUNTIF(Campaigns!$A$7:$A$300,B2915)&gt;0,"✓","⚠ add to Campaigns tab"))</f>
        <v/>
      </c>
      <c r="I2915" s="84" t="str">
        <f aca="false">IF(C2915="","",C2915*IF(Settings!$B$22=Settings!$C$6,1,IF(Settings!$B$22="USD",1/INDEX(Settings!$B$29:$B$40,MONTH(A2915)),INDEX(Settings!$B$29:$B$40,MONTH(A2915)))))</f>
        <v/>
      </c>
    </row>
    <row r="2916" customFormat="false" ht="15" hidden="false" customHeight="false" outlineLevel="0" collapsed="false">
      <c r="H2916" s="0" t="str">
        <f aca="false">IF(B2916="","",IF(COUNTIF(Campaigns!$A$7:$A$300,B2916)&gt;0,"✓","⚠ add to Campaigns tab"))</f>
        <v/>
      </c>
      <c r="I2916" s="84" t="str">
        <f aca="false">IF(C2916="","",C2916*IF(Settings!$B$22=Settings!$C$6,1,IF(Settings!$B$22="USD",1/INDEX(Settings!$B$29:$B$40,MONTH(A2916)),INDEX(Settings!$B$29:$B$40,MONTH(A2916)))))</f>
        <v/>
      </c>
    </row>
    <row r="2917" customFormat="false" ht="15" hidden="false" customHeight="false" outlineLevel="0" collapsed="false">
      <c r="H2917" s="0" t="str">
        <f aca="false">IF(B2917="","",IF(COUNTIF(Campaigns!$A$7:$A$300,B2917)&gt;0,"✓","⚠ add to Campaigns tab"))</f>
        <v/>
      </c>
      <c r="I2917" s="84" t="str">
        <f aca="false">IF(C2917="","",C2917*IF(Settings!$B$22=Settings!$C$6,1,IF(Settings!$B$22="USD",1/INDEX(Settings!$B$29:$B$40,MONTH(A2917)),INDEX(Settings!$B$29:$B$40,MONTH(A2917)))))</f>
        <v/>
      </c>
    </row>
    <row r="2918" customFormat="false" ht="15" hidden="false" customHeight="false" outlineLevel="0" collapsed="false">
      <c r="H2918" s="0" t="str">
        <f aca="false">IF(B2918="","",IF(COUNTIF(Campaigns!$A$7:$A$300,B2918)&gt;0,"✓","⚠ add to Campaigns tab"))</f>
        <v/>
      </c>
      <c r="I2918" s="84" t="str">
        <f aca="false">IF(C2918="","",C2918*IF(Settings!$B$22=Settings!$C$6,1,IF(Settings!$B$22="USD",1/INDEX(Settings!$B$29:$B$40,MONTH(A2918)),INDEX(Settings!$B$29:$B$40,MONTH(A2918)))))</f>
        <v/>
      </c>
    </row>
    <row r="2919" customFormat="false" ht="15" hidden="false" customHeight="false" outlineLevel="0" collapsed="false">
      <c r="H2919" s="0" t="str">
        <f aca="false">IF(B2919="","",IF(COUNTIF(Campaigns!$A$7:$A$300,B2919)&gt;0,"✓","⚠ add to Campaigns tab"))</f>
        <v/>
      </c>
      <c r="I2919" s="84" t="str">
        <f aca="false">IF(C2919="","",C2919*IF(Settings!$B$22=Settings!$C$6,1,IF(Settings!$B$22="USD",1/INDEX(Settings!$B$29:$B$40,MONTH(A2919)),INDEX(Settings!$B$29:$B$40,MONTH(A2919)))))</f>
        <v/>
      </c>
    </row>
    <row r="2920" customFormat="false" ht="15" hidden="false" customHeight="false" outlineLevel="0" collapsed="false">
      <c r="H2920" s="0" t="str">
        <f aca="false">IF(B2920="","",IF(COUNTIF(Campaigns!$A$7:$A$300,B2920)&gt;0,"✓","⚠ add to Campaigns tab"))</f>
        <v/>
      </c>
      <c r="I2920" s="84" t="str">
        <f aca="false">IF(C2920="","",C2920*IF(Settings!$B$22=Settings!$C$6,1,IF(Settings!$B$22="USD",1/INDEX(Settings!$B$29:$B$40,MONTH(A2920)),INDEX(Settings!$B$29:$B$40,MONTH(A2920)))))</f>
        <v/>
      </c>
    </row>
    <row r="2921" customFormat="false" ht="15" hidden="false" customHeight="false" outlineLevel="0" collapsed="false">
      <c r="H2921" s="0" t="str">
        <f aca="false">IF(B2921="","",IF(COUNTIF(Campaigns!$A$7:$A$300,B2921)&gt;0,"✓","⚠ add to Campaigns tab"))</f>
        <v/>
      </c>
      <c r="I2921" s="84" t="str">
        <f aca="false">IF(C2921="","",C2921*IF(Settings!$B$22=Settings!$C$6,1,IF(Settings!$B$22="USD",1/INDEX(Settings!$B$29:$B$40,MONTH(A2921)),INDEX(Settings!$B$29:$B$40,MONTH(A2921)))))</f>
        <v/>
      </c>
    </row>
    <row r="2922" customFormat="false" ht="15" hidden="false" customHeight="false" outlineLevel="0" collapsed="false">
      <c r="H2922" s="0" t="str">
        <f aca="false">IF(B2922="","",IF(COUNTIF(Campaigns!$A$7:$A$300,B2922)&gt;0,"✓","⚠ add to Campaigns tab"))</f>
        <v/>
      </c>
      <c r="I2922" s="84" t="str">
        <f aca="false">IF(C2922="","",C2922*IF(Settings!$B$22=Settings!$C$6,1,IF(Settings!$B$22="USD",1/INDEX(Settings!$B$29:$B$40,MONTH(A2922)),INDEX(Settings!$B$29:$B$40,MONTH(A2922)))))</f>
        <v/>
      </c>
    </row>
    <row r="2923" customFormat="false" ht="15" hidden="false" customHeight="false" outlineLevel="0" collapsed="false">
      <c r="H2923" s="0" t="str">
        <f aca="false">IF(B2923="","",IF(COUNTIF(Campaigns!$A$7:$A$300,B2923)&gt;0,"✓","⚠ add to Campaigns tab"))</f>
        <v/>
      </c>
      <c r="I2923" s="84" t="str">
        <f aca="false">IF(C2923="","",C2923*IF(Settings!$B$22=Settings!$C$6,1,IF(Settings!$B$22="USD",1/INDEX(Settings!$B$29:$B$40,MONTH(A2923)),INDEX(Settings!$B$29:$B$40,MONTH(A2923)))))</f>
        <v/>
      </c>
    </row>
    <row r="2924" customFormat="false" ht="15" hidden="false" customHeight="false" outlineLevel="0" collapsed="false">
      <c r="H2924" s="0" t="str">
        <f aca="false">IF(B2924="","",IF(COUNTIF(Campaigns!$A$7:$A$300,B2924)&gt;0,"✓","⚠ add to Campaigns tab"))</f>
        <v/>
      </c>
      <c r="I2924" s="84" t="str">
        <f aca="false">IF(C2924="","",C2924*IF(Settings!$B$22=Settings!$C$6,1,IF(Settings!$B$22="USD",1/INDEX(Settings!$B$29:$B$40,MONTH(A2924)),INDEX(Settings!$B$29:$B$40,MONTH(A2924)))))</f>
        <v/>
      </c>
    </row>
    <row r="2925" customFormat="false" ht="15" hidden="false" customHeight="false" outlineLevel="0" collapsed="false">
      <c r="H2925" s="0" t="str">
        <f aca="false">IF(B2925="","",IF(COUNTIF(Campaigns!$A$7:$A$300,B2925)&gt;0,"✓","⚠ add to Campaigns tab"))</f>
        <v/>
      </c>
      <c r="I2925" s="84" t="str">
        <f aca="false">IF(C2925="","",C2925*IF(Settings!$B$22=Settings!$C$6,1,IF(Settings!$B$22="USD",1/INDEX(Settings!$B$29:$B$40,MONTH(A2925)),INDEX(Settings!$B$29:$B$40,MONTH(A2925)))))</f>
        <v/>
      </c>
    </row>
    <row r="2926" customFormat="false" ht="15" hidden="false" customHeight="false" outlineLevel="0" collapsed="false">
      <c r="H2926" s="0" t="str">
        <f aca="false">IF(B2926="","",IF(COUNTIF(Campaigns!$A$7:$A$300,B2926)&gt;0,"✓","⚠ add to Campaigns tab"))</f>
        <v/>
      </c>
      <c r="I2926" s="84" t="str">
        <f aca="false">IF(C2926="","",C2926*IF(Settings!$B$22=Settings!$C$6,1,IF(Settings!$B$22="USD",1/INDEX(Settings!$B$29:$B$40,MONTH(A2926)),INDEX(Settings!$B$29:$B$40,MONTH(A2926)))))</f>
        <v/>
      </c>
    </row>
    <row r="2927" customFormat="false" ht="15" hidden="false" customHeight="false" outlineLevel="0" collapsed="false">
      <c r="H2927" s="0" t="str">
        <f aca="false">IF(B2927="","",IF(COUNTIF(Campaigns!$A$7:$A$300,B2927)&gt;0,"✓","⚠ add to Campaigns tab"))</f>
        <v/>
      </c>
      <c r="I2927" s="84" t="str">
        <f aca="false">IF(C2927="","",C2927*IF(Settings!$B$22=Settings!$C$6,1,IF(Settings!$B$22="USD",1/INDEX(Settings!$B$29:$B$40,MONTH(A2927)),INDEX(Settings!$B$29:$B$40,MONTH(A2927)))))</f>
        <v/>
      </c>
    </row>
    <row r="2928" customFormat="false" ht="15" hidden="false" customHeight="false" outlineLevel="0" collapsed="false">
      <c r="H2928" s="0" t="str">
        <f aca="false">IF(B2928="","",IF(COUNTIF(Campaigns!$A$7:$A$300,B2928)&gt;0,"✓","⚠ add to Campaigns tab"))</f>
        <v/>
      </c>
      <c r="I2928" s="84" t="str">
        <f aca="false">IF(C2928="","",C2928*IF(Settings!$B$22=Settings!$C$6,1,IF(Settings!$B$22="USD",1/INDEX(Settings!$B$29:$B$40,MONTH(A2928)),INDEX(Settings!$B$29:$B$40,MONTH(A2928)))))</f>
        <v/>
      </c>
    </row>
    <row r="2929" customFormat="false" ht="15" hidden="false" customHeight="false" outlineLevel="0" collapsed="false">
      <c r="H2929" s="0" t="str">
        <f aca="false">IF(B2929="","",IF(COUNTIF(Campaigns!$A$7:$A$300,B2929)&gt;0,"✓","⚠ add to Campaigns tab"))</f>
        <v/>
      </c>
      <c r="I2929" s="84" t="str">
        <f aca="false">IF(C2929="","",C2929*IF(Settings!$B$22=Settings!$C$6,1,IF(Settings!$B$22="USD",1/INDEX(Settings!$B$29:$B$40,MONTH(A2929)),INDEX(Settings!$B$29:$B$40,MONTH(A2929)))))</f>
        <v/>
      </c>
    </row>
    <row r="2930" customFormat="false" ht="15" hidden="false" customHeight="false" outlineLevel="0" collapsed="false">
      <c r="H2930" s="0" t="str">
        <f aca="false">IF(B2930="","",IF(COUNTIF(Campaigns!$A$7:$A$300,B2930)&gt;0,"✓","⚠ add to Campaigns tab"))</f>
        <v/>
      </c>
      <c r="I2930" s="84" t="str">
        <f aca="false">IF(C2930="","",C2930*IF(Settings!$B$22=Settings!$C$6,1,IF(Settings!$B$22="USD",1/INDEX(Settings!$B$29:$B$40,MONTH(A2930)),INDEX(Settings!$B$29:$B$40,MONTH(A2930)))))</f>
        <v/>
      </c>
    </row>
    <row r="2931" customFormat="false" ht="15" hidden="false" customHeight="false" outlineLevel="0" collapsed="false">
      <c r="H2931" s="0" t="str">
        <f aca="false">IF(B2931="","",IF(COUNTIF(Campaigns!$A$7:$A$300,B2931)&gt;0,"✓","⚠ add to Campaigns tab"))</f>
        <v/>
      </c>
      <c r="I2931" s="84" t="str">
        <f aca="false">IF(C2931="","",C2931*IF(Settings!$B$22=Settings!$C$6,1,IF(Settings!$B$22="USD",1/INDEX(Settings!$B$29:$B$40,MONTH(A2931)),INDEX(Settings!$B$29:$B$40,MONTH(A2931)))))</f>
        <v/>
      </c>
    </row>
    <row r="2932" customFormat="false" ht="15" hidden="false" customHeight="false" outlineLevel="0" collapsed="false">
      <c r="H2932" s="0" t="str">
        <f aca="false">IF(B2932="","",IF(COUNTIF(Campaigns!$A$7:$A$300,B2932)&gt;0,"✓","⚠ add to Campaigns tab"))</f>
        <v/>
      </c>
      <c r="I2932" s="84" t="str">
        <f aca="false">IF(C2932="","",C2932*IF(Settings!$B$22=Settings!$C$6,1,IF(Settings!$B$22="USD",1/INDEX(Settings!$B$29:$B$40,MONTH(A2932)),INDEX(Settings!$B$29:$B$40,MONTH(A2932)))))</f>
        <v/>
      </c>
    </row>
    <row r="2933" customFormat="false" ht="15" hidden="false" customHeight="false" outlineLevel="0" collapsed="false">
      <c r="H2933" s="0" t="str">
        <f aca="false">IF(B2933="","",IF(COUNTIF(Campaigns!$A$7:$A$300,B2933)&gt;0,"✓","⚠ add to Campaigns tab"))</f>
        <v/>
      </c>
      <c r="I2933" s="84" t="str">
        <f aca="false">IF(C2933="","",C2933*IF(Settings!$B$22=Settings!$C$6,1,IF(Settings!$B$22="USD",1/INDEX(Settings!$B$29:$B$40,MONTH(A2933)),INDEX(Settings!$B$29:$B$40,MONTH(A2933)))))</f>
        <v/>
      </c>
    </row>
    <row r="2934" customFormat="false" ht="15" hidden="false" customHeight="false" outlineLevel="0" collapsed="false">
      <c r="H2934" s="0" t="str">
        <f aca="false">IF(B2934="","",IF(COUNTIF(Campaigns!$A$7:$A$300,B2934)&gt;0,"✓","⚠ add to Campaigns tab"))</f>
        <v/>
      </c>
      <c r="I2934" s="84" t="str">
        <f aca="false">IF(C2934="","",C2934*IF(Settings!$B$22=Settings!$C$6,1,IF(Settings!$B$22="USD",1/INDEX(Settings!$B$29:$B$40,MONTH(A2934)),INDEX(Settings!$B$29:$B$40,MONTH(A2934)))))</f>
        <v/>
      </c>
    </row>
    <row r="2935" customFormat="false" ht="15" hidden="false" customHeight="false" outlineLevel="0" collapsed="false">
      <c r="H2935" s="0" t="str">
        <f aca="false">IF(B2935="","",IF(COUNTIF(Campaigns!$A$7:$A$300,B2935)&gt;0,"✓","⚠ add to Campaigns tab"))</f>
        <v/>
      </c>
      <c r="I2935" s="84" t="str">
        <f aca="false">IF(C2935="","",C2935*IF(Settings!$B$22=Settings!$C$6,1,IF(Settings!$B$22="USD",1/INDEX(Settings!$B$29:$B$40,MONTH(A2935)),INDEX(Settings!$B$29:$B$40,MONTH(A2935)))))</f>
        <v/>
      </c>
    </row>
    <row r="2936" customFormat="false" ht="15" hidden="false" customHeight="false" outlineLevel="0" collapsed="false">
      <c r="H2936" s="0" t="str">
        <f aca="false">IF(B2936="","",IF(COUNTIF(Campaigns!$A$7:$A$300,B2936)&gt;0,"✓","⚠ add to Campaigns tab"))</f>
        <v/>
      </c>
      <c r="I2936" s="84" t="str">
        <f aca="false">IF(C2936="","",C2936*IF(Settings!$B$22=Settings!$C$6,1,IF(Settings!$B$22="USD",1/INDEX(Settings!$B$29:$B$40,MONTH(A2936)),INDEX(Settings!$B$29:$B$40,MONTH(A2936)))))</f>
        <v/>
      </c>
    </row>
    <row r="2937" customFormat="false" ht="15" hidden="false" customHeight="false" outlineLevel="0" collapsed="false">
      <c r="H2937" s="0" t="str">
        <f aca="false">IF(B2937="","",IF(COUNTIF(Campaigns!$A$7:$A$300,B2937)&gt;0,"✓","⚠ add to Campaigns tab"))</f>
        <v/>
      </c>
      <c r="I2937" s="84" t="str">
        <f aca="false">IF(C2937="","",C2937*IF(Settings!$B$22=Settings!$C$6,1,IF(Settings!$B$22="USD",1/INDEX(Settings!$B$29:$B$40,MONTH(A2937)),INDEX(Settings!$B$29:$B$40,MONTH(A2937)))))</f>
        <v/>
      </c>
    </row>
    <row r="2938" customFormat="false" ht="15" hidden="false" customHeight="false" outlineLevel="0" collapsed="false">
      <c r="H2938" s="0" t="str">
        <f aca="false">IF(B2938="","",IF(COUNTIF(Campaigns!$A$7:$A$300,B2938)&gt;0,"✓","⚠ add to Campaigns tab"))</f>
        <v/>
      </c>
      <c r="I2938" s="84" t="str">
        <f aca="false">IF(C2938="","",C2938*IF(Settings!$B$22=Settings!$C$6,1,IF(Settings!$B$22="USD",1/INDEX(Settings!$B$29:$B$40,MONTH(A2938)),INDEX(Settings!$B$29:$B$40,MONTH(A2938)))))</f>
        <v/>
      </c>
    </row>
    <row r="2939" customFormat="false" ht="15" hidden="false" customHeight="false" outlineLevel="0" collapsed="false">
      <c r="H2939" s="0" t="str">
        <f aca="false">IF(B2939="","",IF(COUNTIF(Campaigns!$A$7:$A$300,B2939)&gt;0,"✓","⚠ add to Campaigns tab"))</f>
        <v/>
      </c>
      <c r="I2939" s="84" t="str">
        <f aca="false">IF(C2939="","",C2939*IF(Settings!$B$22=Settings!$C$6,1,IF(Settings!$B$22="USD",1/INDEX(Settings!$B$29:$B$40,MONTH(A2939)),INDEX(Settings!$B$29:$B$40,MONTH(A2939)))))</f>
        <v/>
      </c>
    </row>
    <row r="2940" customFormat="false" ht="15" hidden="false" customHeight="false" outlineLevel="0" collapsed="false">
      <c r="H2940" s="0" t="str">
        <f aca="false">IF(B2940="","",IF(COUNTIF(Campaigns!$A$7:$A$300,B2940)&gt;0,"✓","⚠ add to Campaigns tab"))</f>
        <v/>
      </c>
      <c r="I2940" s="84" t="str">
        <f aca="false">IF(C2940="","",C2940*IF(Settings!$B$22=Settings!$C$6,1,IF(Settings!$B$22="USD",1/INDEX(Settings!$B$29:$B$40,MONTH(A2940)),INDEX(Settings!$B$29:$B$40,MONTH(A2940)))))</f>
        <v/>
      </c>
    </row>
    <row r="2941" customFormat="false" ht="15" hidden="false" customHeight="false" outlineLevel="0" collapsed="false">
      <c r="H2941" s="0" t="str">
        <f aca="false">IF(B2941="","",IF(COUNTIF(Campaigns!$A$7:$A$300,B2941)&gt;0,"✓","⚠ add to Campaigns tab"))</f>
        <v/>
      </c>
      <c r="I2941" s="84" t="str">
        <f aca="false">IF(C2941="","",C2941*IF(Settings!$B$22=Settings!$C$6,1,IF(Settings!$B$22="USD",1/INDEX(Settings!$B$29:$B$40,MONTH(A2941)),INDEX(Settings!$B$29:$B$40,MONTH(A2941)))))</f>
        <v/>
      </c>
    </row>
    <row r="2942" customFormat="false" ht="15" hidden="false" customHeight="false" outlineLevel="0" collapsed="false">
      <c r="H2942" s="0" t="str">
        <f aca="false">IF(B2942="","",IF(COUNTIF(Campaigns!$A$7:$A$300,B2942)&gt;0,"✓","⚠ add to Campaigns tab"))</f>
        <v/>
      </c>
      <c r="I2942" s="84" t="str">
        <f aca="false">IF(C2942="","",C2942*IF(Settings!$B$22=Settings!$C$6,1,IF(Settings!$B$22="USD",1/INDEX(Settings!$B$29:$B$40,MONTH(A2942)),INDEX(Settings!$B$29:$B$40,MONTH(A2942)))))</f>
        <v/>
      </c>
    </row>
    <row r="2943" customFormat="false" ht="15" hidden="false" customHeight="false" outlineLevel="0" collapsed="false">
      <c r="H2943" s="0" t="str">
        <f aca="false">IF(B2943="","",IF(COUNTIF(Campaigns!$A$7:$A$300,B2943)&gt;0,"✓","⚠ add to Campaigns tab"))</f>
        <v/>
      </c>
      <c r="I2943" s="84" t="str">
        <f aca="false">IF(C2943="","",C2943*IF(Settings!$B$22=Settings!$C$6,1,IF(Settings!$B$22="USD",1/INDEX(Settings!$B$29:$B$40,MONTH(A2943)),INDEX(Settings!$B$29:$B$40,MONTH(A2943)))))</f>
        <v/>
      </c>
    </row>
    <row r="2944" customFormat="false" ht="15" hidden="false" customHeight="false" outlineLevel="0" collapsed="false">
      <c r="H2944" s="0" t="str">
        <f aca="false">IF(B2944="","",IF(COUNTIF(Campaigns!$A$7:$A$300,B2944)&gt;0,"✓","⚠ add to Campaigns tab"))</f>
        <v/>
      </c>
      <c r="I2944" s="84" t="str">
        <f aca="false">IF(C2944="","",C2944*IF(Settings!$B$22=Settings!$C$6,1,IF(Settings!$B$22="USD",1/INDEX(Settings!$B$29:$B$40,MONTH(A2944)),INDEX(Settings!$B$29:$B$40,MONTH(A2944)))))</f>
        <v/>
      </c>
    </row>
    <row r="2945" customFormat="false" ht="15" hidden="false" customHeight="false" outlineLevel="0" collapsed="false">
      <c r="H2945" s="0" t="str">
        <f aca="false">IF(B2945="","",IF(COUNTIF(Campaigns!$A$7:$A$300,B2945)&gt;0,"✓","⚠ add to Campaigns tab"))</f>
        <v/>
      </c>
      <c r="I2945" s="84" t="str">
        <f aca="false">IF(C2945="","",C2945*IF(Settings!$B$22=Settings!$C$6,1,IF(Settings!$B$22="USD",1/INDEX(Settings!$B$29:$B$40,MONTH(A2945)),INDEX(Settings!$B$29:$B$40,MONTH(A2945)))))</f>
        <v/>
      </c>
    </row>
    <row r="2946" customFormat="false" ht="15" hidden="false" customHeight="false" outlineLevel="0" collapsed="false">
      <c r="H2946" s="0" t="str">
        <f aca="false">IF(B2946="","",IF(COUNTIF(Campaigns!$A$7:$A$300,B2946)&gt;0,"✓","⚠ add to Campaigns tab"))</f>
        <v/>
      </c>
      <c r="I2946" s="84" t="str">
        <f aca="false">IF(C2946="","",C2946*IF(Settings!$B$22=Settings!$C$6,1,IF(Settings!$B$22="USD",1/INDEX(Settings!$B$29:$B$40,MONTH(A2946)),INDEX(Settings!$B$29:$B$40,MONTH(A2946)))))</f>
        <v/>
      </c>
    </row>
    <row r="2947" customFormat="false" ht="15" hidden="false" customHeight="false" outlineLevel="0" collapsed="false">
      <c r="H2947" s="0" t="str">
        <f aca="false">IF(B2947="","",IF(COUNTIF(Campaigns!$A$7:$A$300,B2947)&gt;0,"✓","⚠ add to Campaigns tab"))</f>
        <v/>
      </c>
      <c r="I2947" s="84" t="str">
        <f aca="false">IF(C2947="","",C2947*IF(Settings!$B$22=Settings!$C$6,1,IF(Settings!$B$22="USD",1/INDEX(Settings!$B$29:$B$40,MONTH(A2947)),INDEX(Settings!$B$29:$B$40,MONTH(A2947)))))</f>
        <v/>
      </c>
    </row>
    <row r="2948" customFormat="false" ht="15" hidden="false" customHeight="false" outlineLevel="0" collapsed="false">
      <c r="H2948" s="0" t="str">
        <f aca="false">IF(B2948="","",IF(COUNTIF(Campaigns!$A$7:$A$300,B2948)&gt;0,"✓","⚠ add to Campaigns tab"))</f>
        <v/>
      </c>
      <c r="I2948" s="84" t="str">
        <f aca="false">IF(C2948="","",C2948*IF(Settings!$B$22=Settings!$C$6,1,IF(Settings!$B$22="USD",1/INDEX(Settings!$B$29:$B$40,MONTH(A2948)),INDEX(Settings!$B$29:$B$40,MONTH(A2948)))))</f>
        <v/>
      </c>
    </row>
    <row r="2949" customFormat="false" ht="15" hidden="false" customHeight="false" outlineLevel="0" collapsed="false">
      <c r="H2949" s="0" t="str">
        <f aca="false">IF(B2949="","",IF(COUNTIF(Campaigns!$A$7:$A$300,B2949)&gt;0,"✓","⚠ add to Campaigns tab"))</f>
        <v/>
      </c>
      <c r="I2949" s="84" t="str">
        <f aca="false">IF(C2949="","",C2949*IF(Settings!$B$22=Settings!$C$6,1,IF(Settings!$B$22="USD",1/INDEX(Settings!$B$29:$B$40,MONTH(A2949)),INDEX(Settings!$B$29:$B$40,MONTH(A2949)))))</f>
        <v/>
      </c>
    </row>
    <row r="2950" customFormat="false" ht="15" hidden="false" customHeight="false" outlineLevel="0" collapsed="false">
      <c r="H2950" s="0" t="str">
        <f aca="false">IF(B2950="","",IF(COUNTIF(Campaigns!$A$7:$A$300,B2950)&gt;0,"✓","⚠ add to Campaigns tab"))</f>
        <v/>
      </c>
      <c r="I2950" s="84" t="str">
        <f aca="false">IF(C2950="","",C2950*IF(Settings!$B$22=Settings!$C$6,1,IF(Settings!$B$22="USD",1/INDEX(Settings!$B$29:$B$40,MONTH(A2950)),INDEX(Settings!$B$29:$B$40,MONTH(A2950)))))</f>
        <v/>
      </c>
    </row>
    <row r="2951" customFormat="false" ht="15" hidden="false" customHeight="false" outlineLevel="0" collapsed="false">
      <c r="H2951" s="0" t="str">
        <f aca="false">IF(B2951="","",IF(COUNTIF(Campaigns!$A$7:$A$300,B2951)&gt;0,"✓","⚠ add to Campaigns tab"))</f>
        <v/>
      </c>
      <c r="I2951" s="84" t="str">
        <f aca="false">IF(C2951="","",C2951*IF(Settings!$B$22=Settings!$C$6,1,IF(Settings!$B$22="USD",1/INDEX(Settings!$B$29:$B$40,MONTH(A2951)),INDEX(Settings!$B$29:$B$40,MONTH(A2951)))))</f>
        <v/>
      </c>
    </row>
    <row r="2952" customFormat="false" ht="15" hidden="false" customHeight="false" outlineLevel="0" collapsed="false">
      <c r="H2952" s="0" t="str">
        <f aca="false">IF(B2952="","",IF(COUNTIF(Campaigns!$A$7:$A$300,B2952)&gt;0,"✓","⚠ add to Campaigns tab"))</f>
        <v/>
      </c>
      <c r="I2952" s="84" t="str">
        <f aca="false">IF(C2952="","",C2952*IF(Settings!$B$22=Settings!$C$6,1,IF(Settings!$B$22="USD",1/INDEX(Settings!$B$29:$B$40,MONTH(A2952)),INDEX(Settings!$B$29:$B$40,MONTH(A2952)))))</f>
        <v/>
      </c>
    </row>
    <row r="2953" customFormat="false" ht="15" hidden="false" customHeight="false" outlineLevel="0" collapsed="false">
      <c r="H2953" s="0" t="str">
        <f aca="false">IF(B2953="","",IF(COUNTIF(Campaigns!$A$7:$A$300,B2953)&gt;0,"✓","⚠ add to Campaigns tab"))</f>
        <v/>
      </c>
      <c r="I2953" s="84" t="str">
        <f aca="false">IF(C2953="","",C2953*IF(Settings!$B$22=Settings!$C$6,1,IF(Settings!$B$22="USD",1/INDEX(Settings!$B$29:$B$40,MONTH(A2953)),INDEX(Settings!$B$29:$B$40,MONTH(A2953)))))</f>
        <v/>
      </c>
    </row>
    <row r="2954" customFormat="false" ht="15" hidden="false" customHeight="false" outlineLevel="0" collapsed="false">
      <c r="H2954" s="0" t="str">
        <f aca="false">IF(B2954="","",IF(COUNTIF(Campaigns!$A$7:$A$300,B2954)&gt;0,"✓","⚠ add to Campaigns tab"))</f>
        <v/>
      </c>
      <c r="I2954" s="84" t="str">
        <f aca="false">IF(C2954="","",C2954*IF(Settings!$B$22=Settings!$C$6,1,IF(Settings!$B$22="USD",1/INDEX(Settings!$B$29:$B$40,MONTH(A2954)),INDEX(Settings!$B$29:$B$40,MONTH(A2954)))))</f>
        <v/>
      </c>
    </row>
    <row r="2955" customFormat="false" ht="15" hidden="false" customHeight="false" outlineLevel="0" collapsed="false">
      <c r="H2955" s="0" t="str">
        <f aca="false">IF(B2955="","",IF(COUNTIF(Campaigns!$A$7:$A$300,B2955)&gt;0,"✓","⚠ add to Campaigns tab"))</f>
        <v/>
      </c>
      <c r="I2955" s="84" t="str">
        <f aca="false">IF(C2955="","",C2955*IF(Settings!$B$22=Settings!$C$6,1,IF(Settings!$B$22="USD",1/INDEX(Settings!$B$29:$B$40,MONTH(A2955)),INDEX(Settings!$B$29:$B$40,MONTH(A2955)))))</f>
        <v/>
      </c>
    </row>
    <row r="2956" customFormat="false" ht="15" hidden="false" customHeight="false" outlineLevel="0" collapsed="false">
      <c r="H2956" s="0" t="str">
        <f aca="false">IF(B2956="","",IF(COUNTIF(Campaigns!$A$7:$A$300,B2956)&gt;0,"✓","⚠ add to Campaigns tab"))</f>
        <v/>
      </c>
      <c r="I2956" s="84" t="str">
        <f aca="false">IF(C2956="","",C2956*IF(Settings!$B$22=Settings!$C$6,1,IF(Settings!$B$22="USD",1/INDEX(Settings!$B$29:$B$40,MONTH(A2956)),INDEX(Settings!$B$29:$B$40,MONTH(A2956)))))</f>
        <v/>
      </c>
    </row>
    <row r="2957" customFormat="false" ht="15" hidden="false" customHeight="false" outlineLevel="0" collapsed="false">
      <c r="H2957" s="0" t="str">
        <f aca="false">IF(B2957="","",IF(COUNTIF(Campaigns!$A$7:$A$300,B2957)&gt;0,"✓","⚠ add to Campaigns tab"))</f>
        <v/>
      </c>
      <c r="I2957" s="84" t="str">
        <f aca="false">IF(C2957="","",C2957*IF(Settings!$B$22=Settings!$C$6,1,IF(Settings!$B$22="USD",1/INDEX(Settings!$B$29:$B$40,MONTH(A2957)),INDEX(Settings!$B$29:$B$40,MONTH(A2957)))))</f>
        <v/>
      </c>
    </row>
    <row r="2958" customFormat="false" ht="15" hidden="false" customHeight="false" outlineLevel="0" collapsed="false">
      <c r="H2958" s="0" t="str">
        <f aca="false">IF(B2958="","",IF(COUNTIF(Campaigns!$A$7:$A$300,B2958)&gt;0,"✓","⚠ add to Campaigns tab"))</f>
        <v/>
      </c>
      <c r="I2958" s="84" t="str">
        <f aca="false">IF(C2958="","",C2958*IF(Settings!$B$22=Settings!$C$6,1,IF(Settings!$B$22="USD",1/INDEX(Settings!$B$29:$B$40,MONTH(A2958)),INDEX(Settings!$B$29:$B$40,MONTH(A2958)))))</f>
        <v/>
      </c>
    </row>
    <row r="2959" customFormat="false" ht="15" hidden="false" customHeight="false" outlineLevel="0" collapsed="false">
      <c r="H2959" s="0" t="str">
        <f aca="false">IF(B2959="","",IF(COUNTIF(Campaigns!$A$7:$A$300,B2959)&gt;0,"✓","⚠ add to Campaigns tab"))</f>
        <v/>
      </c>
      <c r="I2959" s="84" t="str">
        <f aca="false">IF(C2959="","",C2959*IF(Settings!$B$22=Settings!$C$6,1,IF(Settings!$B$22="USD",1/INDEX(Settings!$B$29:$B$40,MONTH(A2959)),INDEX(Settings!$B$29:$B$40,MONTH(A2959)))))</f>
        <v/>
      </c>
    </row>
    <row r="2960" customFormat="false" ht="15" hidden="false" customHeight="false" outlineLevel="0" collapsed="false">
      <c r="H2960" s="0" t="str">
        <f aca="false">IF(B2960="","",IF(COUNTIF(Campaigns!$A$7:$A$300,B2960)&gt;0,"✓","⚠ add to Campaigns tab"))</f>
        <v/>
      </c>
      <c r="I2960" s="84" t="str">
        <f aca="false">IF(C2960="","",C2960*IF(Settings!$B$22=Settings!$C$6,1,IF(Settings!$B$22="USD",1/INDEX(Settings!$B$29:$B$40,MONTH(A2960)),INDEX(Settings!$B$29:$B$40,MONTH(A2960)))))</f>
        <v/>
      </c>
    </row>
    <row r="2961" customFormat="false" ht="15" hidden="false" customHeight="false" outlineLevel="0" collapsed="false">
      <c r="H2961" s="0" t="str">
        <f aca="false">IF(B2961="","",IF(COUNTIF(Campaigns!$A$7:$A$300,B2961)&gt;0,"✓","⚠ add to Campaigns tab"))</f>
        <v/>
      </c>
      <c r="I2961" s="84" t="str">
        <f aca="false">IF(C2961="","",C2961*IF(Settings!$B$22=Settings!$C$6,1,IF(Settings!$B$22="USD",1/INDEX(Settings!$B$29:$B$40,MONTH(A2961)),INDEX(Settings!$B$29:$B$40,MONTH(A2961)))))</f>
        <v/>
      </c>
    </row>
    <row r="2962" customFormat="false" ht="15" hidden="false" customHeight="false" outlineLevel="0" collapsed="false">
      <c r="H2962" s="0" t="str">
        <f aca="false">IF(B2962="","",IF(COUNTIF(Campaigns!$A$7:$A$300,B2962)&gt;0,"✓","⚠ add to Campaigns tab"))</f>
        <v/>
      </c>
      <c r="I2962" s="84" t="str">
        <f aca="false">IF(C2962="","",C2962*IF(Settings!$B$22=Settings!$C$6,1,IF(Settings!$B$22="USD",1/INDEX(Settings!$B$29:$B$40,MONTH(A2962)),INDEX(Settings!$B$29:$B$40,MONTH(A2962)))))</f>
        <v/>
      </c>
    </row>
    <row r="2963" customFormat="false" ht="15" hidden="false" customHeight="false" outlineLevel="0" collapsed="false">
      <c r="H2963" s="0" t="str">
        <f aca="false">IF(B2963="","",IF(COUNTIF(Campaigns!$A$7:$A$300,B2963)&gt;0,"✓","⚠ add to Campaigns tab"))</f>
        <v/>
      </c>
      <c r="I2963" s="84" t="str">
        <f aca="false">IF(C2963="","",C2963*IF(Settings!$B$22=Settings!$C$6,1,IF(Settings!$B$22="USD",1/INDEX(Settings!$B$29:$B$40,MONTH(A2963)),INDEX(Settings!$B$29:$B$40,MONTH(A2963)))))</f>
        <v/>
      </c>
    </row>
    <row r="2964" customFormat="false" ht="15" hidden="false" customHeight="false" outlineLevel="0" collapsed="false">
      <c r="H2964" s="0" t="str">
        <f aca="false">IF(B2964="","",IF(COUNTIF(Campaigns!$A$7:$A$300,B2964)&gt;0,"✓","⚠ add to Campaigns tab"))</f>
        <v/>
      </c>
      <c r="I2964" s="84" t="str">
        <f aca="false">IF(C2964="","",C2964*IF(Settings!$B$22=Settings!$C$6,1,IF(Settings!$B$22="USD",1/INDEX(Settings!$B$29:$B$40,MONTH(A2964)),INDEX(Settings!$B$29:$B$40,MONTH(A2964)))))</f>
        <v/>
      </c>
    </row>
    <row r="2965" customFormat="false" ht="15" hidden="false" customHeight="false" outlineLevel="0" collapsed="false">
      <c r="H2965" s="0" t="str">
        <f aca="false">IF(B2965="","",IF(COUNTIF(Campaigns!$A$7:$A$300,B2965)&gt;0,"✓","⚠ add to Campaigns tab"))</f>
        <v/>
      </c>
      <c r="I2965" s="84" t="str">
        <f aca="false">IF(C2965="","",C2965*IF(Settings!$B$22=Settings!$C$6,1,IF(Settings!$B$22="USD",1/INDEX(Settings!$B$29:$B$40,MONTH(A2965)),INDEX(Settings!$B$29:$B$40,MONTH(A2965)))))</f>
        <v/>
      </c>
    </row>
    <row r="2966" customFormat="false" ht="15" hidden="false" customHeight="false" outlineLevel="0" collapsed="false">
      <c r="H2966" s="0" t="str">
        <f aca="false">IF(B2966="","",IF(COUNTIF(Campaigns!$A$7:$A$300,B2966)&gt;0,"✓","⚠ add to Campaigns tab"))</f>
        <v/>
      </c>
      <c r="I2966" s="84" t="str">
        <f aca="false">IF(C2966="","",C2966*IF(Settings!$B$22=Settings!$C$6,1,IF(Settings!$B$22="USD",1/INDEX(Settings!$B$29:$B$40,MONTH(A2966)),INDEX(Settings!$B$29:$B$40,MONTH(A2966)))))</f>
        <v/>
      </c>
    </row>
    <row r="2967" customFormat="false" ht="15" hidden="false" customHeight="false" outlineLevel="0" collapsed="false">
      <c r="H2967" s="0" t="str">
        <f aca="false">IF(B2967="","",IF(COUNTIF(Campaigns!$A$7:$A$300,B2967)&gt;0,"✓","⚠ add to Campaigns tab"))</f>
        <v/>
      </c>
      <c r="I2967" s="84" t="str">
        <f aca="false">IF(C2967="","",C2967*IF(Settings!$B$22=Settings!$C$6,1,IF(Settings!$B$22="USD",1/INDEX(Settings!$B$29:$B$40,MONTH(A2967)),INDEX(Settings!$B$29:$B$40,MONTH(A2967)))))</f>
        <v/>
      </c>
    </row>
    <row r="2968" customFormat="false" ht="15" hidden="false" customHeight="false" outlineLevel="0" collapsed="false">
      <c r="H2968" s="0" t="str">
        <f aca="false">IF(B2968="","",IF(COUNTIF(Campaigns!$A$7:$A$300,B2968)&gt;0,"✓","⚠ add to Campaigns tab"))</f>
        <v/>
      </c>
      <c r="I2968" s="84" t="str">
        <f aca="false">IF(C2968="","",C2968*IF(Settings!$B$22=Settings!$C$6,1,IF(Settings!$B$22="USD",1/INDEX(Settings!$B$29:$B$40,MONTH(A2968)),INDEX(Settings!$B$29:$B$40,MONTH(A2968)))))</f>
        <v/>
      </c>
    </row>
    <row r="2969" customFormat="false" ht="15" hidden="false" customHeight="false" outlineLevel="0" collapsed="false">
      <c r="H2969" s="0" t="str">
        <f aca="false">IF(B2969="","",IF(COUNTIF(Campaigns!$A$7:$A$300,B2969)&gt;0,"✓","⚠ add to Campaigns tab"))</f>
        <v/>
      </c>
      <c r="I2969" s="84" t="str">
        <f aca="false">IF(C2969="","",C2969*IF(Settings!$B$22=Settings!$C$6,1,IF(Settings!$B$22="USD",1/INDEX(Settings!$B$29:$B$40,MONTH(A2969)),INDEX(Settings!$B$29:$B$40,MONTH(A2969)))))</f>
        <v/>
      </c>
    </row>
    <row r="2970" customFormat="false" ht="15" hidden="false" customHeight="false" outlineLevel="0" collapsed="false">
      <c r="H2970" s="0" t="str">
        <f aca="false">IF(B2970="","",IF(COUNTIF(Campaigns!$A$7:$A$300,B2970)&gt;0,"✓","⚠ add to Campaigns tab"))</f>
        <v/>
      </c>
      <c r="I2970" s="84" t="str">
        <f aca="false">IF(C2970="","",C2970*IF(Settings!$B$22=Settings!$C$6,1,IF(Settings!$B$22="USD",1/INDEX(Settings!$B$29:$B$40,MONTH(A2970)),INDEX(Settings!$B$29:$B$40,MONTH(A2970)))))</f>
        <v/>
      </c>
    </row>
    <row r="2971" customFormat="false" ht="15" hidden="false" customHeight="false" outlineLevel="0" collapsed="false">
      <c r="H2971" s="0" t="str">
        <f aca="false">IF(B2971="","",IF(COUNTIF(Campaigns!$A$7:$A$300,B2971)&gt;0,"✓","⚠ add to Campaigns tab"))</f>
        <v/>
      </c>
      <c r="I2971" s="84" t="str">
        <f aca="false">IF(C2971="","",C2971*IF(Settings!$B$22=Settings!$C$6,1,IF(Settings!$B$22="USD",1/INDEX(Settings!$B$29:$B$40,MONTH(A2971)),INDEX(Settings!$B$29:$B$40,MONTH(A2971)))))</f>
        <v/>
      </c>
    </row>
    <row r="2972" customFormat="false" ht="15" hidden="false" customHeight="false" outlineLevel="0" collapsed="false">
      <c r="H2972" s="0" t="str">
        <f aca="false">IF(B2972="","",IF(COUNTIF(Campaigns!$A$7:$A$300,B2972)&gt;0,"✓","⚠ add to Campaigns tab"))</f>
        <v/>
      </c>
      <c r="I2972" s="84" t="str">
        <f aca="false">IF(C2972="","",C2972*IF(Settings!$B$22=Settings!$C$6,1,IF(Settings!$B$22="USD",1/INDEX(Settings!$B$29:$B$40,MONTH(A2972)),INDEX(Settings!$B$29:$B$40,MONTH(A2972)))))</f>
        <v/>
      </c>
    </row>
    <row r="2973" customFormat="false" ht="15" hidden="false" customHeight="false" outlineLevel="0" collapsed="false">
      <c r="H2973" s="0" t="str">
        <f aca="false">IF(B2973="","",IF(COUNTIF(Campaigns!$A$7:$A$300,B2973)&gt;0,"✓","⚠ add to Campaigns tab"))</f>
        <v/>
      </c>
      <c r="I2973" s="84" t="str">
        <f aca="false">IF(C2973="","",C2973*IF(Settings!$B$22=Settings!$C$6,1,IF(Settings!$B$22="USD",1/INDEX(Settings!$B$29:$B$40,MONTH(A2973)),INDEX(Settings!$B$29:$B$40,MONTH(A2973)))))</f>
        <v/>
      </c>
    </row>
    <row r="2974" customFormat="false" ht="15" hidden="false" customHeight="false" outlineLevel="0" collapsed="false">
      <c r="H2974" s="0" t="str">
        <f aca="false">IF(B2974="","",IF(COUNTIF(Campaigns!$A$7:$A$300,B2974)&gt;0,"✓","⚠ add to Campaigns tab"))</f>
        <v/>
      </c>
      <c r="I2974" s="84" t="str">
        <f aca="false">IF(C2974="","",C2974*IF(Settings!$B$22=Settings!$C$6,1,IF(Settings!$B$22="USD",1/INDEX(Settings!$B$29:$B$40,MONTH(A2974)),INDEX(Settings!$B$29:$B$40,MONTH(A2974)))))</f>
        <v/>
      </c>
    </row>
    <row r="2975" customFormat="false" ht="15" hidden="false" customHeight="false" outlineLevel="0" collapsed="false">
      <c r="H2975" s="0" t="str">
        <f aca="false">IF(B2975="","",IF(COUNTIF(Campaigns!$A$7:$A$300,B2975)&gt;0,"✓","⚠ add to Campaigns tab"))</f>
        <v/>
      </c>
      <c r="I2975" s="84" t="str">
        <f aca="false">IF(C2975="","",C2975*IF(Settings!$B$22=Settings!$C$6,1,IF(Settings!$B$22="USD",1/INDEX(Settings!$B$29:$B$40,MONTH(A2975)),INDEX(Settings!$B$29:$B$40,MONTH(A2975)))))</f>
        <v/>
      </c>
    </row>
    <row r="2976" customFormat="false" ht="15" hidden="false" customHeight="false" outlineLevel="0" collapsed="false">
      <c r="H2976" s="0" t="str">
        <f aca="false">IF(B2976="","",IF(COUNTIF(Campaigns!$A$7:$A$300,B2976)&gt;0,"✓","⚠ add to Campaigns tab"))</f>
        <v/>
      </c>
      <c r="I2976" s="84" t="str">
        <f aca="false">IF(C2976="","",C2976*IF(Settings!$B$22=Settings!$C$6,1,IF(Settings!$B$22="USD",1/INDEX(Settings!$B$29:$B$40,MONTH(A2976)),INDEX(Settings!$B$29:$B$40,MONTH(A2976)))))</f>
        <v/>
      </c>
    </row>
    <row r="2977" customFormat="false" ht="15" hidden="false" customHeight="false" outlineLevel="0" collapsed="false">
      <c r="H2977" s="0" t="str">
        <f aca="false">IF(B2977="","",IF(COUNTIF(Campaigns!$A$7:$A$300,B2977)&gt;0,"✓","⚠ add to Campaigns tab"))</f>
        <v/>
      </c>
      <c r="I2977" s="84" t="str">
        <f aca="false">IF(C2977="","",C2977*IF(Settings!$B$22=Settings!$C$6,1,IF(Settings!$B$22="USD",1/INDEX(Settings!$B$29:$B$40,MONTH(A2977)),INDEX(Settings!$B$29:$B$40,MONTH(A2977)))))</f>
        <v/>
      </c>
    </row>
    <row r="2978" customFormat="false" ht="15" hidden="false" customHeight="false" outlineLevel="0" collapsed="false">
      <c r="H2978" s="0" t="str">
        <f aca="false">IF(B2978="","",IF(COUNTIF(Campaigns!$A$7:$A$300,B2978)&gt;0,"✓","⚠ add to Campaigns tab"))</f>
        <v/>
      </c>
      <c r="I2978" s="84" t="str">
        <f aca="false">IF(C2978="","",C2978*IF(Settings!$B$22=Settings!$C$6,1,IF(Settings!$B$22="USD",1/INDEX(Settings!$B$29:$B$40,MONTH(A2978)),INDEX(Settings!$B$29:$B$40,MONTH(A2978)))))</f>
        <v/>
      </c>
    </row>
    <row r="2979" customFormat="false" ht="15" hidden="false" customHeight="false" outlineLevel="0" collapsed="false">
      <c r="H2979" s="0" t="str">
        <f aca="false">IF(B2979="","",IF(COUNTIF(Campaigns!$A$7:$A$300,B2979)&gt;0,"✓","⚠ add to Campaigns tab"))</f>
        <v/>
      </c>
      <c r="I2979" s="84" t="str">
        <f aca="false">IF(C2979="","",C2979*IF(Settings!$B$22=Settings!$C$6,1,IF(Settings!$B$22="USD",1/INDEX(Settings!$B$29:$B$40,MONTH(A2979)),INDEX(Settings!$B$29:$B$40,MONTH(A2979)))))</f>
        <v/>
      </c>
    </row>
    <row r="2980" customFormat="false" ht="15" hidden="false" customHeight="false" outlineLevel="0" collapsed="false">
      <c r="H2980" s="0" t="str">
        <f aca="false">IF(B2980="","",IF(COUNTIF(Campaigns!$A$7:$A$300,B2980)&gt;0,"✓","⚠ add to Campaigns tab"))</f>
        <v/>
      </c>
      <c r="I2980" s="84" t="str">
        <f aca="false">IF(C2980="","",C2980*IF(Settings!$B$22=Settings!$C$6,1,IF(Settings!$B$22="USD",1/INDEX(Settings!$B$29:$B$40,MONTH(A2980)),INDEX(Settings!$B$29:$B$40,MONTH(A2980)))))</f>
        <v/>
      </c>
    </row>
    <row r="2981" customFormat="false" ht="15" hidden="false" customHeight="false" outlineLevel="0" collapsed="false">
      <c r="H2981" s="0" t="str">
        <f aca="false">IF(B2981="","",IF(COUNTIF(Campaigns!$A$7:$A$300,B2981)&gt;0,"✓","⚠ add to Campaigns tab"))</f>
        <v/>
      </c>
      <c r="I2981" s="84" t="str">
        <f aca="false">IF(C2981="","",C2981*IF(Settings!$B$22=Settings!$C$6,1,IF(Settings!$B$22="USD",1/INDEX(Settings!$B$29:$B$40,MONTH(A2981)),INDEX(Settings!$B$29:$B$40,MONTH(A2981)))))</f>
        <v/>
      </c>
    </row>
    <row r="2982" customFormat="false" ht="15" hidden="false" customHeight="false" outlineLevel="0" collapsed="false">
      <c r="H2982" s="0" t="str">
        <f aca="false">IF(B2982="","",IF(COUNTIF(Campaigns!$A$7:$A$300,B2982)&gt;0,"✓","⚠ add to Campaigns tab"))</f>
        <v/>
      </c>
      <c r="I2982" s="84" t="str">
        <f aca="false">IF(C2982="","",C2982*IF(Settings!$B$22=Settings!$C$6,1,IF(Settings!$B$22="USD",1/INDEX(Settings!$B$29:$B$40,MONTH(A2982)),INDEX(Settings!$B$29:$B$40,MONTH(A2982)))))</f>
        <v/>
      </c>
    </row>
    <row r="2983" customFormat="false" ht="15" hidden="false" customHeight="false" outlineLevel="0" collapsed="false">
      <c r="H2983" s="0" t="str">
        <f aca="false">IF(B2983="","",IF(COUNTIF(Campaigns!$A$7:$A$300,B2983)&gt;0,"✓","⚠ add to Campaigns tab"))</f>
        <v/>
      </c>
      <c r="I2983" s="84" t="str">
        <f aca="false">IF(C2983="","",C2983*IF(Settings!$B$22=Settings!$C$6,1,IF(Settings!$B$22="USD",1/INDEX(Settings!$B$29:$B$40,MONTH(A2983)),INDEX(Settings!$B$29:$B$40,MONTH(A2983)))))</f>
        <v/>
      </c>
    </row>
    <row r="2984" customFormat="false" ht="15" hidden="false" customHeight="false" outlineLevel="0" collapsed="false">
      <c r="H2984" s="0" t="str">
        <f aca="false">IF(B2984="","",IF(COUNTIF(Campaigns!$A$7:$A$300,B2984)&gt;0,"✓","⚠ add to Campaigns tab"))</f>
        <v/>
      </c>
      <c r="I2984" s="84" t="str">
        <f aca="false">IF(C2984="","",C2984*IF(Settings!$B$22=Settings!$C$6,1,IF(Settings!$B$22="USD",1/INDEX(Settings!$B$29:$B$40,MONTH(A2984)),INDEX(Settings!$B$29:$B$40,MONTH(A2984)))))</f>
        <v/>
      </c>
    </row>
    <row r="2985" customFormat="false" ht="15" hidden="false" customHeight="false" outlineLevel="0" collapsed="false">
      <c r="H2985" s="0" t="str">
        <f aca="false">IF(B2985="","",IF(COUNTIF(Campaigns!$A$7:$A$300,B2985)&gt;0,"✓","⚠ add to Campaigns tab"))</f>
        <v/>
      </c>
      <c r="I2985" s="84" t="str">
        <f aca="false">IF(C2985="","",C2985*IF(Settings!$B$22=Settings!$C$6,1,IF(Settings!$B$22="USD",1/INDEX(Settings!$B$29:$B$40,MONTH(A2985)),INDEX(Settings!$B$29:$B$40,MONTH(A2985)))))</f>
        <v/>
      </c>
    </row>
    <row r="2986" customFormat="false" ht="15" hidden="false" customHeight="false" outlineLevel="0" collapsed="false">
      <c r="H2986" s="0" t="str">
        <f aca="false">IF(B2986="","",IF(COUNTIF(Campaigns!$A$7:$A$300,B2986)&gt;0,"✓","⚠ add to Campaigns tab"))</f>
        <v/>
      </c>
      <c r="I2986" s="84" t="str">
        <f aca="false">IF(C2986="","",C2986*IF(Settings!$B$22=Settings!$C$6,1,IF(Settings!$B$22="USD",1/INDEX(Settings!$B$29:$B$40,MONTH(A2986)),INDEX(Settings!$B$29:$B$40,MONTH(A2986)))))</f>
        <v/>
      </c>
    </row>
    <row r="2987" customFormat="false" ht="15" hidden="false" customHeight="false" outlineLevel="0" collapsed="false">
      <c r="H2987" s="0" t="str">
        <f aca="false">IF(B2987="","",IF(COUNTIF(Campaigns!$A$7:$A$300,B2987)&gt;0,"✓","⚠ add to Campaigns tab"))</f>
        <v/>
      </c>
      <c r="I2987" s="84" t="str">
        <f aca="false">IF(C2987="","",C2987*IF(Settings!$B$22=Settings!$C$6,1,IF(Settings!$B$22="USD",1/INDEX(Settings!$B$29:$B$40,MONTH(A2987)),INDEX(Settings!$B$29:$B$40,MONTH(A2987)))))</f>
        <v/>
      </c>
    </row>
    <row r="2988" customFormat="false" ht="15" hidden="false" customHeight="false" outlineLevel="0" collapsed="false">
      <c r="H2988" s="0" t="str">
        <f aca="false">IF(B2988="","",IF(COUNTIF(Campaigns!$A$7:$A$300,B2988)&gt;0,"✓","⚠ add to Campaigns tab"))</f>
        <v/>
      </c>
      <c r="I2988" s="84" t="str">
        <f aca="false">IF(C2988="","",C2988*IF(Settings!$B$22=Settings!$C$6,1,IF(Settings!$B$22="USD",1/INDEX(Settings!$B$29:$B$40,MONTH(A2988)),INDEX(Settings!$B$29:$B$40,MONTH(A2988)))))</f>
        <v/>
      </c>
    </row>
    <row r="2989" customFormat="false" ht="15" hidden="false" customHeight="false" outlineLevel="0" collapsed="false">
      <c r="H2989" s="0" t="str">
        <f aca="false">IF(B2989="","",IF(COUNTIF(Campaigns!$A$7:$A$300,B2989)&gt;0,"✓","⚠ add to Campaigns tab"))</f>
        <v/>
      </c>
      <c r="I2989" s="84" t="str">
        <f aca="false">IF(C2989="","",C2989*IF(Settings!$B$22=Settings!$C$6,1,IF(Settings!$B$22="USD",1/INDEX(Settings!$B$29:$B$40,MONTH(A2989)),INDEX(Settings!$B$29:$B$40,MONTH(A2989)))))</f>
        <v/>
      </c>
    </row>
    <row r="2990" customFormat="false" ht="15" hidden="false" customHeight="false" outlineLevel="0" collapsed="false">
      <c r="H2990" s="0" t="str">
        <f aca="false">IF(B2990="","",IF(COUNTIF(Campaigns!$A$7:$A$300,B2990)&gt;0,"✓","⚠ add to Campaigns tab"))</f>
        <v/>
      </c>
      <c r="I2990" s="84" t="str">
        <f aca="false">IF(C2990="","",C2990*IF(Settings!$B$22=Settings!$C$6,1,IF(Settings!$B$22="USD",1/INDEX(Settings!$B$29:$B$40,MONTH(A2990)),INDEX(Settings!$B$29:$B$40,MONTH(A2990)))))</f>
        <v/>
      </c>
    </row>
    <row r="2991" customFormat="false" ht="15" hidden="false" customHeight="false" outlineLevel="0" collapsed="false">
      <c r="H2991" s="0" t="str">
        <f aca="false">IF(B2991="","",IF(COUNTIF(Campaigns!$A$7:$A$300,B2991)&gt;0,"✓","⚠ add to Campaigns tab"))</f>
        <v/>
      </c>
      <c r="I2991" s="84" t="str">
        <f aca="false">IF(C2991="","",C2991*IF(Settings!$B$22=Settings!$C$6,1,IF(Settings!$B$22="USD",1/INDEX(Settings!$B$29:$B$40,MONTH(A2991)),INDEX(Settings!$B$29:$B$40,MONTH(A2991)))))</f>
        <v/>
      </c>
    </row>
    <row r="2992" customFormat="false" ht="15" hidden="false" customHeight="false" outlineLevel="0" collapsed="false">
      <c r="H2992" s="0" t="str">
        <f aca="false">IF(B2992="","",IF(COUNTIF(Campaigns!$A$7:$A$300,B2992)&gt;0,"✓","⚠ add to Campaigns tab"))</f>
        <v/>
      </c>
      <c r="I2992" s="84" t="str">
        <f aca="false">IF(C2992="","",C2992*IF(Settings!$B$22=Settings!$C$6,1,IF(Settings!$B$22="USD",1/INDEX(Settings!$B$29:$B$40,MONTH(A2992)),INDEX(Settings!$B$29:$B$40,MONTH(A2992)))))</f>
        <v/>
      </c>
    </row>
    <row r="2993" customFormat="false" ht="15" hidden="false" customHeight="false" outlineLevel="0" collapsed="false">
      <c r="H2993" s="0" t="str">
        <f aca="false">IF(B2993="","",IF(COUNTIF(Campaigns!$A$7:$A$300,B2993)&gt;0,"✓","⚠ add to Campaigns tab"))</f>
        <v/>
      </c>
      <c r="I2993" s="84" t="str">
        <f aca="false">IF(C2993="","",C2993*IF(Settings!$B$22=Settings!$C$6,1,IF(Settings!$B$22="USD",1/INDEX(Settings!$B$29:$B$40,MONTH(A2993)),INDEX(Settings!$B$29:$B$40,MONTH(A2993)))))</f>
        <v/>
      </c>
    </row>
    <row r="2994" customFormat="false" ht="15" hidden="false" customHeight="false" outlineLevel="0" collapsed="false">
      <c r="H2994" s="0" t="str">
        <f aca="false">IF(B2994="","",IF(COUNTIF(Campaigns!$A$7:$A$300,B2994)&gt;0,"✓","⚠ add to Campaigns tab"))</f>
        <v/>
      </c>
      <c r="I2994" s="84" t="str">
        <f aca="false">IF(C2994="","",C2994*IF(Settings!$B$22=Settings!$C$6,1,IF(Settings!$B$22="USD",1/INDEX(Settings!$B$29:$B$40,MONTH(A2994)),INDEX(Settings!$B$29:$B$40,MONTH(A2994)))))</f>
        <v/>
      </c>
    </row>
    <row r="2995" customFormat="false" ht="15" hidden="false" customHeight="false" outlineLevel="0" collapsed="false">
      <c r="H2995" s="0" t="str">
        <f aca="false">IF(B2995="","",IF(COUNTIF(Campaigns!$A$7:$A$300,B2995)&gt;0,"✓","⚠ add to Campaigns tab"))</f>
        <v/>
      </c>
      <c r="I2995" s="84" t="str">
        <f aca="false">IF(C2995="","",C2995*IF(Settings!$B$22=Settings!$C$6,1,IF(Settings!$B$22="USD",1/INDEX(Settings!$B$29:$B$40,MONTH(A2995)),INDEX(Settings!$B$29:$B$40,MONTH(A2995)))))</f>
        <v/>
      </c>
    </row>
    <row r="2996" customFormat="false" ht="15" hidden="false" customHeight="false" outlineLevel="0" collapsed="false">
      <c r="H2996" s="0" t="str">
        <f aca="false">IF(B2996="","",IF(COUNTIF(Campaigns!$A$7:$A$300,B2996)&gt;0,"✓","⚠ add to Campaigns tab"))</f>
        <v/>
      </c>
      <c r="I2996" s="84" t="str">
        <f aca="false">IF(C2996="","",C2996*IF(Settings!$B$22=Settings!$C$6,1,IF(Settings!$B$22="USD",1/INDEX(Settings!$B$29:$B$40,MONTH(A2996)),INDEX(Settings!$B$29:$B$40,MONTH(A2996)))))</f>
        <v/>
      </c>
    </row>
    <row r="2997" customFormat="false" ht="15" hidden="false" customHeight="false" outlineLevel="0" collapsed="false">
      <c r="H2997" s="0" t="str">
        <f aca="false">IF(B2997="","",IF(COUNTIF(Campaigns!$A$7:$A$300,B2997)&gt;0,"✓","⚠ add to Campaigns tab"))</f>
        <v/>
      </c>
      <c r="I2997" s="84" t="str">
        <f aca="false">IF(C2997="","",C2997*IF(Settings!$B$22=Settings!$C$6,1,IF(Settings!$B$22="USD",1/INDEX(Settings!$B$29:$B$40,MONTH(A2997)),INDEX(Settings!$B$29:$B$40,MONTH(A2997)))))</f>
        <v/>
      </c>
    </row>
    <row r="2998" customFormat="false" ht="15" hidden="false" customHeight="false" outlineLevel="0" collapsed="false">
      <c r="H2998" s="0" t="str">
        <f aca="false">IF(B2998="","",IF(COUNTIF(Campaigns!$A$7:$A$300,B2998)&gt;0,"✓","⚠ add to Campaigns tab"))</f>
        <v/>
      </c>
      <c r="I2998" s="84" t="str">
        <f aca="false">IF(C2998="","",C2998*IF(Settings!$B$22=Settings!$C$6,1,IF(Settings!$B$22="USD",1/INDEX(Settings!$B$29:$B$40,MONTH(A2998)),INDEX(Settings!$B$29:$B$40,MONTH(A2998)))))</f>
        <v/>
      </c>
    </row>
    <row r="2999" customFormat="false" ht="15" hidden="false" customHeight="false" outlineLevel="0" collapsed="false">
      <c r="H2999" s="0" t="str">
        <f aca="false">IF(B2999="","",IF(COUNTIF(Campaigns!$A$7:$A$300,B2999)&gt;0,"✓","⚠ add to Campaigns tab"))</f>
        <v/>
      </c>
      <c r="I2999" s="84" t="str">
        <f aca="false">IF(C2999="","",C2999*IF(Settings!$B$22=Settings!$C$6,1,IF(Settings!$B$22="USD",1/INDEX(Settings!$B$29:$B$40,MONTH(A2999)),INDEX(Settings!$B$29:$B$40,MONTH(A2999)))))</f>
        <v/>
      </c>
    </row>
    <row r="3000" customFormat="false" ht="15" hidden="false" customHeight="false" outlineLevel="0" collapsed="false">
      <c r="H3000" s="0" t="str">
        <f aca="false">IF(B3000="","",IF(COUNTIF(Campaigns!$A$7:$A$300,B3000)&gt;0,"✓","⚠ add to Campaigns tab"))</f>
        <v/>
      </c>
      <c r="I3000" s="84" t="str">
        <f aca="false">IF(C3000="","",C3000*IF(Settings!$B$22=Settings!$C$6,1,IF(Settings!$B$22="USD",1/INDEX(Settings!$B$29:$B$40,MONTH(A3000)),INDEX(Settings!$B$29:$B$40,MONTH(A3000)))))</f>
        <v/>
      </c>
    </row>
    <row r="3001" customFormat="false" ht="15" hidden="false" customHeight="false" outlineLevel="0" collapsed="false">
      <c r="H3001" s="0" t="str">
        <f aca="false">IF(B3001="","",IF(COUNTIF(Campaigns!$A$7:$A$300,B3001)&gt;0,"✓","⚠ add to Campaigns tab"))</f>
        <v/>
      </c>
      <c r="I3001" s="84" t="str">
        <f aca="false">IF(C3001="","",C3001*IF(Settings!$B$22=Settings!$C$6,1,IF(Settings!$B$22="USD",1/INDEX(Settings!$B$29:$B$40,MONTH(A3001)),INDEX(Settings!$B$29:$B$40,MONTH(A3001)))))</f>
        <v/>
      </c>
    </row>
    <row r="3002" customFormat="false" ht="15" hidden="false" customHeight="false" outlineLevel="0" collapsed="false">
      <c r="H3002" s="0" t="str">
        <f aca="false">IF(B3002="","",IF(COUNTIF(Campaigns!$A$7:$A$300,B3002)&gt;0,"✓","⚠ add to Campaigns tab"))</f>
        <v/>
      </c>
      <c r="I3002" s="84" t="str">
        <f aca="false">IF(C3002="","",C3002*IF(Settings!$B$22=Settings!$C$6,1,IF(Settings!$B$22="USD",1/INDEX(Settings!$B$29:$B$40,MONTH(A3002)),INDEX(Settings!$B$29:$B$40,MONTH(A3002)))))</f>
        <v/>
      </c>
    </row>
    <row r="3003" customFormat="false" ht="15" hidden="false" customHeight="false" outlineLevel="0" collapsed="false">
      <c r="H3003" s="0" t="str">
        <f aca="false">IF(B3003="","",IF(COUNTIF(Campaigns!$A$7:$A$300,B3003)&gt;0,"✓","⚠ add to Campaigns tab"))</f>
        <v/>
      </c>
      <c r="I3003" s="84" t="str">
        <f aca="false">IF(C3003="","",C3003*IF(Settings!$B$22=Settings!$C$6,1,IF(Settings!$B$22="USD",1/INDEX(Settings!$B$29:$B$40,MONTH(A3003)),INDEX(Settings!$B$29:$B$40,MONTH(A3003)))))</f>
        <v/>
      </c>
    </row>
    <row r="3004" customFormat="false" ht="15" hidden="false" customHeight="false" outlineLevel="0" collapsed="false">
      <c r="H3004" s="0" t="str">
        <f aca="false">IF(B3004="","",IF(COUNTIF(Campaigns!$A$7:$A$300,B3004)&gt;0,"✓","⚠ add to Campaigns tab"))</f>
        <v/>
      </c>
      <c r="I3004" s="84" t="str">
        <f aca="false">IF(C3004="","",C3004*IF(Settings!$B$22=Settings!$C$6,1,IF(Settings!$B$22="USD",1/INDEX(Settings!$B$29:$B$40,MONTH(A3004)),INDEX(Settings!$B$29:$B$40,MONTH(A3004)))))</f>
        <v/>
      </c>
    </row>
    <row r="3005" customFormat="false" ht="15" hidden="false" customHeight="false" outlineLevel="0" collapsed="false">
      <c r="H3005" s="0" t="str">
        <f aca="false">IF(B3005="","",IF(COUNTIF(Campaigns!$A$7:$A$300,B3005)&gt;0,"✓","⚠ add to Campaigns tab"))</f>
        <v/>
      </c>
      <c r="I3005" s="84" t="str">
        <f aca="false">IF(C3005="","",C3005*IF(Settings!$B$22=Settings!$C$6,1,IF(Settings!$B$22="USD",1/INDEX(Settings!$B$29:$B$40,MONTH(A3005)),INDEX(Settings!$B$29:$B$40,MONTH(A3005)))))</f>
        <v/>
      </c>
    </row>
    <row r="3006" customFormat="false" ht="15" hidden="false" customHeight="false" outlineLevel="0" collapsed="false">
      <c r="H3006" s="0" t="str">
        <f aca="false">IF(B3006="","",IF(COUNTIF(Campaigns!$A$7:$A$300,B3006)&gt;0,"✓","⚠ add to Campaigns tab"))</f>
        <v/>
      </c>
      <c r="I3006" s="84" t="str">
        <f aca="false">IF(C3006="","",C3006*IF(Settings!$B$22=Settings!$C$6,1,IF(Settings!$B$22="USD",1/INDEX(Settings!$B$29:$B$40,MONTH(A3006)),INDEX(Settings!$B$29:$B$40,MONTH(A3006)))))</f>
        <v/>
      </c>
    </row>
    <row r="3007" customFormat="false" ht="15" hidden="false" customHeight="false" outlineLevel="0" collapsed="false">
      <c r="H3007" s="0" t="str">
        <f aca="false">IF(B3007="","",IF(COUNTIF(Campaigns!$A$7:$A$300,B3007)&gt;0,"✓","⚠ add to Campaigns tab"))</f>
        <v/>
      </c>
      <c r="I3007" s="84" t="str">
        <f aca="false">IF(C3007="","",C3007*IF(Settings!$B$22=Settings!$C$6,1,IF(Settings!$B$22="USD",1/INDEX(Settings!$B$29:$B$40,MONTH(A3007)),INDEX(Settings!$B$29:$B$40,MONTH(A3007)))))</f>
        <v/>
      </c>
    </row>
    <row r="3008" customFormat="false" ht="15" hidden="false" customHeight="false" outlineLevel="0" collapsed="false">
      <c r="H3008" s="0" t="str">
        <f aca="false">IF(B3008="","",IF(COUNTIF(Campaigns!$A$7:$A$300,B3008)&gt;0,"✓","⚠ add to Campaigns tab"))</f>
        <v/>
      </c>
      <c r="I3008" s="84" t="str">
        <f aca="false">IF(C3008="","",C3008*IF(Settings!$B$22=Settings!$C$6,1,IF(Settings!$B$22="USD",1/INDEX(Settings!$B$29:$B$40,MONTH(A3008)),INDEX(Settings!$B$29:$B$40,MONTH(A3008)))))</f>
        <v/>
      </c>
    </row>
    <row r="3009" customFormat="false" ht="15" hidden="false" customHeight="false" outlineLevel="0" collapsed="false">
      <c r="H3009" s="0" t="str">
        <f aca="false">IF(B3009="","",IF(COUNTIF(Campaigns!$A$7:$A$300,B3009)&gt;0,"✓","⚠ add to Campaigns tab"))</f>
        <v/>
      </c>
      <c r="I3009" s="84" t="str">
        <f aca="false">IF(C3009="","",C3009*IF(Settings!$B$22=Settings!$C$6,1,IF(Settings!$B$22="USD",1/INDEX(Settings!$B$29:$B$40,MONTH(A3009)),INDEX(Settings!$B$29:$B$40,MONTH(A3009)))))</f>
        <v/>
      </c>
    </row>
    <row r="3010" customFormat="false" ht="15" hidden="false" customHeight="false" outlineLevel="0" collapsed="false">
      <c r="H3010" s="0" t="str">
        <f aca="false">IF(B3010="","",IF(COUNTIF(Campaigns!$A$7:$A$300,B3010)&gt;0,"✓","⚠ add to Campaigns tab"))</f>
        <v/>
      </c>
      <c r="I3010" s="84" t="str">
        <f aca="false">IF(C3010="","",C3010*IF(Settings!$B$22=Settings!$C$6,1,IF(Settings!$B$22="USD",1/INDEX(Settings!$B$29:$B$40,MONTH(A3010)),INDEX(Settings!$B$29:$B$40,MONTH(A3010)))))</f>
        <v/>
      </c>
    </row>
    <row r="3011" customFormat="false" ht="15" hidden="false" customHeight="false" outlineLevel="0" collapsed="false">
      <c r="H3011" s="0" t="str">
        <f aca="false">IF(B3011="","",IF(COUNTIF(Campaigns!$A$7:$A$300,B3011)&gt;0,"✓","⚠ add to Campaigns tab"))</f>
        <v/>
      </c>
      <c r="I3011" s="84" t="str">
        <f aca="false">IF(C3011="","",C3011*IF(Settings!$B$22=Settings!$C$6,1,IF(Settings!$B$22="USD",1/INDEX(Settings!$B$29:$B$40,MONTH(A3011)),INDEX(Settings!$B$29:$B$40,MONTH(A3011)))))</f>
        <v/>
      </c>
    </row>
    <row r="3012" customFormat="false" ht="15" hidden="false" customHeight="false" outlineLevel="0" collapsed="false">
      <c r="H3012" s="0" t="str">
        <f aca="false">IF(B3012="","",IF(COUNTIF(Campaigns!$A$7:$A$300,B3012)&gt;0,"✓","⚠ add to Campaigns tab"))</f>
        <v/>
      </c>
      <c r="I3012" s="84" t="str">
        <f aca="false">IF(C3012="","",C3012*IF(Settings!$B$22=Settings!$C$6,1,IF(Settings!$B$22="USD",1/INDEX(Settings!$B$29:$B$40,MONTH(A3012)),INDEX(Settings!$B$29:$B$40,MONTH(A3012)))))</f>
        <v/>
      </c>
    </row>
    <row r="3013" customFormat="false" ht="15" hidden="false" customHeight="false" outlineLevel="0" collapsed="false">
      <c r="H3013" s="0" t="str">
        <f aca="false">IF(B3013="","",IF(COUNTIF(Campaigns!$A$7:$A$300,B3013)&gt;0,"✓","⚠ add to Campaigns tab"))</f>
        <v/>
      </c>
      <c r="I3013" s="84" t="str">
        <f aca="false">IF(C3013="","",C3013*IF(Settings!$B$22=Settings!$C$6,1,IF(Settings!$B$22="USD",1/INDEX(Settings!$B$29:$B$40,MONTH(A3013)),INDEX(Settings!$B$29:$B$40,MONTH(A3013)))))</f>
        <v/>
      </c>
    </row>
    <row r="3014" customFormat="false" ht="15" hidden="false" customHeight="false" outlineLevel="0" collapsed="false">
      <c r="H3014" s="0" t="str">
        <f aca="false">IF(B3014="","",IF(COUNTIF(Campaigns!$A$7:$A$300,B3014)&gt;0,"✓","⚠ add to Campaigns tab"))</f>
        <v/>
      </c>
      <c r="I3014" s="84" t="str">
        <f aca="false">IF(C3014="","",C3014*IF(Settings!$B$22=Settings!$C$6,1,IF(Settings!$B$22="USD",1/INDEX(Settings!$B$29:$B$40,MONTH(A3014)),INDEX(Settings!$B$29:$B$40,MONTH(A3014)))))</f>
        <v/>
      </c>
    </row>
    <row r="3015" customFormat="false" ht="15" hidden="false" customHeight="false" outlineLevel="0" collapsed="false">
      <c r="H3015" s="0" t="str">
        <f aca="false">IF(B3015="","",IF(COUNTIF(Campaigns!$A$7:$A$300,B3015)&gt;0,"✓","⚠ add to Campaigns tab"))</f>
        <v/>
      </c>
      <c r="I3015" s="84" t="str">
        <f aca="false">IF(C3015="","",C3015*IF(Settings!$B$22=Settings!$C$6,1,IF(Settings!$B$22="USD",1/INDEX(Settings!$B$29:$B$40,MONTH(A3015)),INDEX(Settings!$B$29:$B$40,MONTH(A3015)))))</f>
        <v/>
      </c>
    </row>
    <row r="3016" customFormat="false" ht="15" hidden="false" customHeight="false" outlineLevel="0" collapsed="false">
      <c r="H3016" s="0" t="str">
        <f aca="false">IF(B3016="","",IF(COUNTIF(Campaigns!$A$7:$A$300,B3016)&gt;0,"✓","⚠ add to Campaigns tab"))</f>
        <v/>
      </c>
      <c r="I3016" s="84" t="str">
        <f aca="false">IF(C3016="","",C3016*IF(Settings!$B$22=Settings!$C$6,1,IF(Settings!$B$22="USD",1/INDEX(Settings!$B$29:$B$40,MONTH(A3016)),INDEX(Settings!$B$29:$B$40,MONTH(A3016)))))</f>
        <v/>
      </c>
    </row>
    <row r="3017" customFormat="false" ht="15" hidden="false" customHeight="false" outlineLevel="0" collapsed="false">
      <c r="H3017" s="0" t="str">
        <f aca="false">IF(B3017="","",IF(COUNTIF(Campaigns!$A$7:$A$300,B3017)&gt;0,"✓","⚠ add to Campaigns tab"))</f>
        <v/>
      </c>
      <c r="I3017" s="84" t="str">
        <f aca="false">IF(C3017="","",C3017*IF(Settings!$B$22=Settings!$C$6,1,IF(Settings!$B$22="USD",1/INDEX(Settings!$B$29:$B$40,MONTH(A3017)),INDEX(Settings!$B$29:$B$40,MONTH(A3017)))))</f>
        <v/>
      </c>
    </row>
    <row r="3018" customFormat="false" ht="15" hidden="false" customHeight="false" outlineLevel="0" collapsed="false">
      <c r="H3018" s="0" t="str">
        <f aca="false">IF(B3018="","",IF(COUNTIF(Campaigns!$A$7:$A$300,B3018)&gt;0,"✓","⚠ add to Campaigns tab"))</f>
        <v/>
      </c>
      <c r="I3018" s="84" t="str">
        <f aca="false">IF(C3018="","",C3018*IF(Settings!$B$22=Settings!$C$6,1,IF(Settings!$B$22="USD",1/INDEX(Settings!$B$29:$B$40,MONTH(A3018)),INDEX(Settings!$B$29:$B$40,MONTH(A3018)))))</f>
        <v/>
      </c>
    </row>
    <row r="3019" customFormat="false" ht="15" hidden="false" customHeight="false" outlineLevel="0" collapsed="false">
      <c r="H3019" s="0" t="str">
        <f aca="false">IF(B3019="","",IF(COUNTIF(Campaigns!$A$7:$A$300,B3019)&gt;0,"✓","⚠ add to Campaigns tab"))</f>
        <v/>
      </c>
      <c r="I3019" s="84" t="str">
        <f aca="false">IF(C3019="","",C3019*IF(Settings!$B$22=Settings!$C$6,1,IF(Settings!$B$22="USD",1/INDEX(Settings!$B$29:$B$40,MONTH(A3019)),INDEX(Settings!$B$29:$B$40,MONTH(A3019)))))</f>
        <v/>
      </c>
    </row>
    <row r="3020" customFormat="false" ht="15" hidden="false" customHeight="false" outlineLevel="0" collapsed="false">
      <c r="H3020" s="0" t="str">
        <f aca="false">IF(B3020="","",IF(COUNTIF(Campaigns!$A$7:$A$300,B3020)&gt;0,"✓","⚠ add to Campaigns tab"))</f>
        <v/>
      </c>
      <c r="I3020" s="84" t="str">
        <f aca="false">IF(C3020="","",C3020*IF(Settings!$B$22=Settings!$C$6,1,IF(Settings!$B$22="USD",1/INDEX(Settings!$B$29:$B$40,MONTH(A3020)),INDEX(Settings!$B$29:$B$40,MONTH(A3020)))))</f>
        <v/>
      </c>
    </row>
    <row r="3021" customFormat="false" ht="15" hidden="false" customHeight="false" outlineLevel="0" collapsed="false">
      <c r="H3021" s="0" t="str">
        <f aca="false">IF(B3021="","",IF(COUNTIF(Campaigns!$A$7:$A$300,B3021)&gt;0,"✓","⚠ add to Campaigns tab"))</f>
        <v/>
      </c>
      <c r="I3021" s="84" t="str">
        <f aca="false">IF(C3021="","",C3021*IF(Settings!$B$22=Settings!$C$6,1,IF(Settings!$B$22="USD",1/INDEX(Settings!$B$29:$B$40,MONTH(A3021)),INDEX(Settings!$B$29:$B$40,MONTH(A3021)))))</f>
        <v/>
      </c>
    </row>
    <row r="3022" customFormat="false" ht="15" hidden="false" customHeight="false" outlineLevel="0" collapsed="false">
      <c r="H3022" s="0" t="str">
        <f aca="false">IF(B3022="","",IF(COUNTIF(Campaigns!$A$7:$A$300,B3022)&gt;0,"✓","⚠ add to Campaigns tab"))</f>
        <v/>
      </c>
      <c r="I3022" s="84" t="str">
        <f aca="false">IF(C3022="","",C3022*IF(Settings!$B$22=Settings!$C$6,1,IF(Settings!$B$22="USD",1/INDEX(Settings!$B$29:$B$40,MONTH(A3022)),INDEX(Settings!$B$29:$B$40,MONTH(A3022)))))</f>
        <v/>
      </c>
    </row>
    <row r="3023" customFormat="false" ht="15" hidden="false" customHeight="false" outlineLevel="0" collapsed="false">
      <c r="H3023" s="0" t="str">
        <f aca="false">IF(B3023="","",IF(COUNTIF(Campaigns!$A$7:$A$300,B3023)&gt;0,"✓","⚠ add to Campaigns tab"))</f>
        <v/>
      </c>
      <c r="I3023" s="84" t="str">
        <f aca="false">IF(C3023="","",C3023*IF(Settings!$B$22=Settings!$C$6,1,IF(Settings!$B$22="USD",1/INDEX(Settings!$B$29:$B$40,MONTH(A3023)),INDEX(Settings!$B$29:$B$40,MONTH(A3023)))))</f>
        <v/>
      </c>
    </row>
    <row r="3024" customFormat="false" ht="15" hidden="false" customHeight="false" outlineLevel="0" collapsed="false">
      <c r="H3024" s="0" t="str">
        <f aca="false">IF(B3024="","",IF(COUNTIF(Campaigns!$A$7:$A$300,B3024)&gt;0,"✓","⚠ add to Campaigns tab"))</f>
        <v/>
      </c>
      <c r="I3024" s="84" t="str">
        <f aca="false">IF(C3024="","",C3024*IF(Settings!$B$22=Settings!$C$6,1,IF(Settings!$B$22="USD",1/INDEX(Settings!$B$29:$B$40,MONTH(A3024)),INDEX(Settings!$B$29:$B$40,MONTH(A3024)))))</f>
        <v/>
      </c>
    </row>
    <row r="3025" customFormat="false" ht="15" hidden="false" customHeight="false" outlineLevel="0" collapsed="false">
      <c r="H3025" s="0" t="str">
        <f aca="false">IF(B3025="","",IF(COUNTIF(Campaigns!$A$7:$A$300,B3025)&gt;0,"✓","⚠ add to Campaigns tab"))</f>
        <v/>
      </c>
      <c r="I3025" s="84" t="str">
        <f aca="false">IF(C3025="","",C3025*IF(Settings!$B$22=Settings!$C$6,1,IF(Settings!$B$22="USD",1/INDEX(Settings!$B$29:$B$40,MONTH(A3025)),INDEX(Settings!$B$29:$B$40,MONTH(A3025)))))</f>
        <v/>
      </c>
    </row>
    <row r="3026" customFormat="false" ht="15" hidden="false" customHeight="false" outlineLevel="0" collapsed="false">
      <c r="H3026" s="0" t="str">
        <f aca="false">IF(B3026="","",IF(COUNTIF(Campaigns!$A$7:$A$300,B3026)&gt;0,"✓","⚠ add to Campaigns tab"))</f>
        <v/>
      </c>
      <c r="I3026" s="84" t="str">
        <f aca="false">IF(C3026="","",C3026*IF(Settings!$B$22=Settings!$C$6,1,IF(Settings!$B$22="USD",1/INDEX(Settings!$B$29:$B$40,MONTH(A3026)),INDEX(Settings!$B$29:$B$40,MONTH(A3026)))))</f>
        <v/>
      </c>
    </row>
    <row r="3027" customFormat="false" ht="15" hidden="false" customHeight="false" outlineLevel="0" collapsed="false">
      <c r="H3027" s="0" t="str">
        <f aca="false">IF(B3027="","",IF(COUNTIF(Campaigns!$A$7:$A$300,B3027)&gt;0,"✓","⚠ add to Campaigns tab"))</f>
        <v/>
      </c>
      <c r="I3027" s="84" t="str">
        <f aca="false">IF(C3027="","",C3027*IF(Settings!$B$22=Settings!$C$6,1,IF(Settings!$B$22="USD",1/INDEX(Settings!$B$29:$B$40,MONTH(A3027)),INDEX(Settings!$B$29:$B$40,MONTH(A3027)))))</f>
        <v/>
      </c>
    </row>
    <row r="3028" customFormat="false" ht="15" hidden="false" customHeight="false" outlineLevel="0" collapsed="false">
      <c r="H3028" s="0" t="str">
        <f aca="false">IF(B3028="","",IF(COUNTIF(Campaigns!$A$7:$A$300,B3028)&gt;0,"✓","⚠ add to Campaigns tab"))</f>
        <v/>
      </c>
      <c r="I3028" s="84" t="str">
        <f aca="false">IF(C3028="","",C3028*IF(Settings!$B$22=Settings!$C$6,1,IF(Settings!$B$22="USD",1/INDEX(Settings!$B$29:$B$40,MONTH(A3028)),INDEX(Settings!$B$29:$B$40,MONTH(A3028)))))</f>
        <v/>
      </c>
    </row>
    <row r="3029" customFormat="false" ht="15" hidden="false" customHeight="false" outlineLevel="0" collapsed="false">
      <c r="H3029" s="0" t="str">
        <f aca="false">IF(B3029="","",IF(COUNTIF(Campaigns!$A$7:$A$300,B3029)&gt;0,"✓","⚠ add to Campaigns tab"))</f>
        <v/>
      </c>
      <c r="I3029" s="84" t="str">
        <f aca="false">IF(C3029="","",C3029*IF(Settings!$B$22=Settings!$C$6,1,IF(Settings!$B$22="USD",1/INDEX(Settings!$B$29:$B$40,MONTH(A3029)),INDEX(Settings!$B$29:$B$40,MONTH(A3029)))))</f>
        <v/>
      </c>
    </row>
    <row r="3030" customFormat="false" ht="15" hidden="false" customHeight="false" outlineLevel="0" collapsed="false">
      <c r="H3030" s="0" t="str">
        <f aca="false">IF(B3030="","",IF(COUNTIF(Campaigns!$A$7:$A$300,B3030)&gt;0,"✓","⚠ add to Campaigns tab"))</f>
        <v/>
      </c>
      <c r="I3030" s="84" t="str">
        <f aca="false">IF(C3030="","",C3030*IF(Settings!$B$22=Settings!$C$6,1,IF(Settings!$B$22="USD",1/INDEX(Settings!$B$29:$B$40,MONTH(A3030)),INDEX(Settings!$B$29:$B$40,MONTH(A3030)))))</f>
        <v/>
      </c>
    </row>
    <row r="3031" customFormat="false" ht="15" hidden="false" customHeight="false" outlineLevel="0" collapsed="false">
      <c r="H3031" s="0" t="str">
        <f aca="false">IF(B3031="","",IF(COUNTIF(Campaigns!$A$7:$A$300,B3031)&gt;0,"✓","⚠ add to Campaigns tab"))</f>
        <v/>
      </c>
      <c r="I3031" s="84" t="str">
        <f aca="false">IF(C3031="","",C3031*IF(Settings!$B$22=Settings!$C$6,1,IF(Settings!$B$22="USD",1/INDEX(Settings!$B$29:$B$40,MONTH(A3031)),INDEX(Settings!$B$29:$B$40,MONTH(A3031)))))</f>
        <v/>
      </c>
    </row>
    <row r="3032" customFormat="false" ht="15" hidden="false" customHeight="false" outlineLevel="0" collapsed="false">
      <c r="H3032" s="0" t="str">
        <f aca="false">IF(B3032="","",IF(COUNTIF(Campaigns!$A$7:$A$300,B3032)&gt;0,"✓","⚠ add to Campaigns tab"))</f>
        <v/>
      </c>
      <c r="I3032" s="84" t="str">
        <f aca="false">IF(C3032="","",C3032*IF(Settings!$B$22=Settings!$C$6,1,IF(Settings!$B$22="USD",1/INDEX(Settings!$B$29:$B$40,MONTH(A3032)),INDEX(Settings!$B$29:$B$40,MONTH(A3032)))))</f>
        <v/>
      </c>
    </row>
    <row r="3033" customFormat="false" ht="15" hidden="false" customHeight="false" outlineLevel="0" collapsed="false">
      <c r="H3033" s="0" t="str">
        <f aca="false">IF(B3033="","",IF(COUNTIF(Campaigns!$A$7:$A$300,B3033)&gt;0,"✓","⚠ add to Campaigns tab"))</f>
        <v/>
      </c>
      <c r="I3033" s="84" t="str">
        <f aca="false">IF(C3033="","",C3033*IF(Settings!$B$22=Settings!$C$6,1,IF(Settings!$B$22="USD",1/INDEX(Settings!$B$29:$B$40,MONTH(A3033)),INDEX(Settings!$B$29:$B$40,MONTH(A3033)))))</f>
        <v/>
      </c>
    </row>
    <row r="3034" customFormat="false" ht="15" hidden="false" customHeight="false" outlineLevel="0" collapsed="false">
      <c r="H3034" s="0" t="str">
        <f aca="false">IF(B3034="","",IF(COUNTIF(Campaigns!$A$7:$A$300,B3034)&gt;0,"✓","⚠ add to Campaigns tab"))</f>
        <v/>
      </c>
      <c r="I3034" s="84" t="str">
        <f aca="false">IF(C3034="","",C3034*IF(Settings!$B$22=Settings!$C$6,1,IF(Settings!$B$22="USD",1/INDEX(Settings!$B$29:$B$40,MONTH(A3034)),INDEX(Settings!$B$29:$B$40,MONTH(A3034)))))</f>
        <v/>
      </c>
    </row>
    <row r="3035" customFormat="false" ht="15" hidden="false" customHeight="false" outlineLevel="0" collapsed="false">
      <c r="H3035" s="0" t="str">
        <f aca="false">IF(B3035="","",IF(COUNTIF(Campaigns!$A$7:$A$300,B3035)&gt;0,"✓","⚠ add to Campaigns tab"))</f>
        <v/>
      </c>
      <c r="I3035" s="84" t="str">
        <f aca="false">IF(C3035="","",C3035*IF(Settings!$B$22=Settings!$C$6,1,IF(Settings!$B$22="USD",1/INDEX(Settings!$B$29:$B$40,MONTH(A3035)),INDEX(Settings!$B$29:$B$40,MONTH(A3035)))))</f>
        <v/>
      </c>
    </row>
    <row r="3036" customFormat="false" ht="15" hidden="false" customHeight="false" outlineLevel="0" collapsed="false">
      <c r="H3036" s="0" t="str">
        <f aca="false">IF(B3036="","",IF(COUNTIF(Campaigns!$A$7:$A$300,B3036)&gt;0,"✓","⚠ add to Campaigns tab"))</f>
        <v/>
      </c>
      <c r="I3036" s="84" t="str">
        <f aca="false">IF(C3036="","",C3036*IF(Settings!$B$22=Settings!$C$6,1,IF(Settings!$B$22="USD",1/INDEX(Settings!$B$29:$B$40,MONTH(A3036)),INDEX(Settings!$B$29:$B$40,MONTH(A3036)))))</f>
        <v/>
      </c>
    </row>
    <row r="3037" customFormat="false" ht="15" hidden="false" customHeight="false" outlineLevel="0" collapsed="false">
      <c r="H3037" s="0" t="str">
        <f aca="false">IF(B3037="","",IF(COUNTIF(Campaigns!$A$7:$A$300,B3037)&gt;0,"✓","⚠ add to Campaigns tab"))</f>
        <v/>
      </c>
      <c r="I3037" s="84" t="str">
        <f aca="false">IF(C3037="","",C3037*IF(Settings!$B$22=Settings!$C$6,1,IF(Settings!$B$22="USD",1/INDEX(Settings!$B$29:$B$40,MONTH(A3037)),INDEX(Settings!$B$29:$B$40,MONTH(A3037)))))</f>
        <v/>
      </c>
    </row>
    <row r="3038" customFormat="false" ht="15" hidden="false" customHeight="false" outlineLevel="0" collapsed="false">
      <c r="H3038" s="0" t="str">
        <f aca="false">IF(B3038="","",IF(COUNTIF(Campaigns!$A$7:$A$300,B3038)&gt;0,"✓","⚠ add to Campaigns tab"))</f>
        <v/>
      </c>
      <c r="I3038" s="84" t="str">
        <f aca="false">IF(C3038="","",C3038*IF(Settings!$B$22=Settings!$C$6,1,IF(Settings!$B$22="USD",1/INDEX(Settings!$B$29:$B$40,MONTH(A3038)),INDEX(Settings!$B$29:$B$40,MONTH(A3038)))))</f>
        <v/>
      </c>
    </row>
    <row r="3039" customFormat="false" ht="15" hidden="false" customHeight="false" outlineLevel="0" collapsed="false">
      <c r="H3039" s="0" t="str">
        <f aca="false">IF(B3039="","",IF(COUNTIF(Campaigns!$A$7:$A$300,B3039)&gt;0,"✓","⚠ add to Campaigns tab"))</f>
        <v/>
      </c>
      <c r="I3039" s="84" t="str">
        <f aca="false">IF(C3039="","",C3039*IF(Settings!$B$22=Settings!$C$6,1,IF(Settings!$B$22="USD",1/INDEX(Settings!$B$29:$B$40,MONTH(A3039)),INDEX(Settings!$B$29:$B$40,MONTH(A3039)))))</f>
        <v/>
      </c>
    </row>
    <row r="3040" customFormat="false" ht="15" hidden="false" customHeight="false" outlineLevel="0" collapsed="false">
      <c r="H3040" s="0" t="str">
        <f aca="false">IF(B3040="","",IF(COUNTIF(Campaigns!$A$7:$A$300,B3040)&gt;0,"✓","⚠ add to Campaigns tab"))</f>
        <v/>
      </c>
      <c r="I3040" s="84" t="str">
        <f aca="false">IF(C3040="","",C3040*IF(Settings!$B$22=Settings!$C$6,1,IF(Settings!$B$22="USD",1/INDEX(Settings!$B$29:$B$40,MONTH(A3040)),INDEX(Settings!$B$29:$B$40,MONTH(A3040)))))</f>
        <v/>
      </c>
    </row>
    <row r="3041" customFormat="false" ht="15" hidden="false" customHeight="false" outlineLevel="0" collapsed="false">
      <c r="H3041" s="0" t="str">
        <f aca="false">IF(B3041="","",IF(COUNTIF(Campaigns!$A$7:$A$300,B3041)&gt;0,"✓","⚠ add to Campaigns tab"))</f>
        <v/>
      </c>
      <c r="I3041" s="84" t="str">
        <f aca="false">IF(C3041="","",C3041*IF(Settings!$B$22=Settings!$C$6,1,IF(Settings!$B$22="USD",1/INDEX(Settings!$B$29:$B$40,MONTH(A3041)),INDEX(Settings!$B$29:$B$40,MONTH(A3041)))))</f>
        <v/>
      </c>
    </row>
    <row r="3042" customFormat="false" ht="15" hidden="false" customHeight="false" outlineLevel="0" collapsed="false">
      <c r="H3042" s="0" t="str">
        <f aca="false">IF(B3042="","",IF(COUNTIF(Campaigns!$A$7:$A$300,B3042)&gt;0,"✓","⚠ add to Campaigns tab"))</f>
        <v/>
      </c>
      <c r="I3042" s="84" t="str">
        <f aca="false">IF(C3042="","",C3042*IF(Settings!$B$22=Settings!$C$6,1,IF(Settings!$B$22="USD",1/INDEX(Settings!$B$29:$B$40,MONTH(A3042)),INDEX(Settings!$B$29:$B$40,MONTH(A3042)))))</f>
        <v/>
      </c>
    </row>
    <row r="3043" customFormat="false" ht="15" hidden="false" customHeight="false" outlineLevel="0" collapsed="false">
      <c r="H3043" s="0" t="str">
        <f aca="false">IF(B3043="","",IF(COUNTIF(Campaigns!$A$7:$A$300,B3043)&gt;0,"✓","⚠ add to Campaigns tab"))</f>
        <v/>
      </c>
      <c r="I3043" s="84" t="str">
        <f aca="false">IF(C3043="","",C3043*IF(Settings!$B$22=Settings!$C$6,1,IF(Settings!$B$22="USD",1/INDEX(Settings!$B$29:$B$40,MONTH(A3043)),INDEX(Settings!$B$29:$B$40,MONTH(A3043)))))</f>
        <v/>
      </c>
    </row>
    <row r="3044" customFormat="false" ht="15" hidden="false" customHeight="false" outlineLevel="0" collapsed="false">
      <c r="H3044" s="0" t="str">
        <f aca="false">IF(B3044="","",IF(COUNTIF(Campaigns!$A$7:$A$300,B3044)&gt;0,"✓","⚠ add to Campaigns tab"))</f>
        <v/>
      </c>
      <c r="I3044" s="84" t="str">
        <f aca="false">IF(C3044="","",C3044*IF(Settings!$B$22=Settings!$C$6,1,IF(Settings!$B$22="USD",1/INDEX(Settings!$B$29:$B$40,MONTH(A3044)),INDEX(Settings!$B$29:$B$40,MONTH(A3044)))))</f>
        <v/>
      </c>
    </row>
    <row r="3045" customFormat="false" ht="15" hidden="false" customHeight="false" outlineLevel="0" collapsed="false">
      <c r="H3045" s="0" t="str">
        <f aca="false">IF(B3045="","",IF(COUNTIF(Campaigns!$A$7:$A$300,B3045)&gt;0,"✓","⚠ add to Campaigns tab"))</f>
        <v/>
      </c>
      <c r="I3045" s="84" t="str">
        <f aca="false">IF(C3045="","",C3045*IF(Settings!$B$22=Settings!$C$6,1,IF(Settings!$B$22="USD",1/INDEX(Settings!$B$29:$B$40,MONTH(A3045)),INDEX(Settings!$B$29:$B$40,MONTH(A3045)))))</f>
        <v/>
      </c>
    </row>
    <row r="3046" customFormat="false" ht="15" hidden="false" customHeight="false" outlineLevel="0" collapsed="false">
      <c r="H3046" s="0" t="str">
        <f aca="false">IF(B3046="","",IF(COUNTIF(Campaigns!$A$7:$A$300,B3046)&gt;0,"✓","⚠ add to Campaigns tab"))</f>
        <v/>
      </c>
      <c r="I3046" s="84" t="str">
        <f aca="false">IF(C3046="","",C3046*IF(Settings!$B$22=Settings!$C$6,1,IF(Settings!$B$22="USD",1/INDEX(Settings!$B$29:$B$40,MONTH(A3046)),INDEX(Settings!$B$29:$B$40,MONTH(A3046)))))</f>
        <v/>
      </c>
    </row>
    <row r="3047" customFormat="false" ht="15" hidden="false" customHeight="false" outlineLevel="0" collapsed="false">
      <c r="H3047" s="0" t="str">
        <f aca="false">IF(B3047="","",IF(COUNTIF(Campaigns!$A$7:$A$300,B3047)&gt;0,"✓","⚠ add to Campaigns tab"))</f>
        <v/>
      </c>
      <c r="I3047" s="84" t="str">
        <f aca="false">IF(C3047="","",C3047*IF(Settings!$B$22=Settings!$C$6,1,IF(Settings!$B$22="USD",1/INDEX(Settings!$B$29:$B$40,MONTH(A3047)),INDEX(Settings!$B$29:$B$40,MONTH(A3047)))))</f>
        <v/>
      </c>
    </row>
    <row r="3048" customFormat="false" ht="15" hidden="false" customHeight="false" outlineLevel="0" collapsed="false">
      <c r="H3048" s="0" t="str">
        <f aca="false">IF(B3048="","",IF(COUNTIF(Campaigns!$A$7:$A$300,B3048)&gt;0,"✓","⚠ add to Campaigns tab"))</f>
        <v/>
      </c>
      <c r="I3048" s="84" t="str">
        <f aca="false">IF(C3048="","",C3048*IF(Settings!$B$22=Settings!$C$6,1,IF(Settings!$B$22="USD",1/INDEX(Settings!$B$29:$B$40,MONTH(A3048)),INDEX(Settings!$B$29:$B$40,MONTH(A3048)))))</f>
        <v/>
      </c>
    </row>
    <row r="3049" customFormat="false" ht="15" hidden="false" customHeight="false" outlineLevel="0" collapsed="false">
      <c r="H3049" s="0" t="str">
        <f aca="false">IF(B3049="","",IF(COUNTIF(Campaigns!$A$7:$A$300,B3049)&gt;0,"✓","⚠ add to Campaigns tab"))</f>
        <v/>
      </c>
      <c r="I3049" s="84" t="str">
        <f aca="false">IF(C3049="","",C3049*IF(Settings!$B$22=Settings!$C$6,1,IF(Settings!$B$22="USD",1/INDEX(Settings!$B$29:$B$40,MONTH(A3049)),INDEX(Settings!$B$29:$B$40,MONTH(A3049)))))</f>
        <v/>
      </c>
    </row>
    <row r="3050" customFormat="false" ht="15" hidden="false" customHeight="false" outlineLevel="0" collapsed="false">
      <c r="H3050" s="0" t="str">
        <f aca="false">IF(B3050="","",IF(COUNTIF(Campaigns!$A$7:$A$300,B3050)&gt;0,"✓","⚠ add to Campaigns tab"))</f>
        <v/>
      </c>
      <c r="I3050" s="84" t="str">
        <f aca="false">IF(C3050="","",C3050*IF(Settings!$B$22=Settings!$C$6,1,IF(Settings!$B$22="USD",1/INDEX(Settings!$B$29:$B$40,MONTH(A3050)),INDEX(Settings!$B$29:$B$40,MONTH(A3050)))))</f>
        <v/>
      </c>
    </row>
    <row r="3051" customFormat="false" ht="15" hidden="false" customHeight="false" outlineLevel="0" collapsed="false">
      <c r="H3051" s="0" t="str">
        <f aca="false">IF(B3051="","",IF(COUNTIF(Campaigns!$A$7:$A$300,B3051)&gt;0,"✓","⚠ add to Campaigns tab"))</f>
        <v/>
      </c>
      <c r="I3051" s="84" t="str">
        <f aca="false">IF(C3051="","",C3051*IF(Settings!$B$22=Settings!$C$6,1,IF(Settings!$B$22="USD",1/INDEX(Settings!$B$29:$B$40,MONTH(A3051)),INDEX(Settings!$B$29:$B$40,MONTH(A3051)))))</f>
        <v/>
      </c>
    </row>
    <row r="3052" customFormat="false" ht="15" hidden="false" customHeight="false" outlineLevel="0" collapsed="false">
      <c r="H3052" s="0" t="str">
        <f aca="false">IF(B3052="","",IF(COUNTIF(Campaigns!$A$7:$A$300,B3052)&gt;0,"✓","⚠ add to Campaigns tab"))</f>
        <v/>
      </c>
      <c r="I3052" s="84" t="str">
        <f aca="false">IF(C3052="","",C3052*IF(Settings!$B$22=Settings!$C$6,1,IF(Settings!$B$22="USD",1/INDEX(Settings!$B$29:$B$40,MONTH(A3052)),INDEX(Settings!$B$29:$B$40,MONTH(A3052)))))</f>
        <v/>
      </c>
    </row>
    <row r="3053" customFormat="false" ht="15" hidden="false" customHeight="false" outlineLevel="0" collapsed="false">
      <c r="H3053" s="0" t="str">
        <f aca="false">IF(B3053="","",IF(COUNTIF(Campaigns!$A$7:$A$300,B3053)&gt;0,"✓","⚠ add to Campaigns tab"))</f>
        <v/>
      </c>
      <c r="I3053" s="84" t="str">
        <f aca="false">IF(C3053="","",C3053*IF(Settings!$B$22=Settings!$C$6,1,IF(Settings!$B$22="USD",1/INDEX(Settings!$B$29:$B$40,MONTH(A3053)),INDEX(Settings!$B$29:$B$40,MONTH(A3053)))))</f>
        <v/>
      </c>
    </row>
    <row r="3054" customFormat="false" ht="15" hidden="false" customHeight="false" outlineLevel="0" collapsed="false">
      <c r="H3054" s="0" t="str">
        <f aca="false">IF(B3054="","",IF(COUNTIF(Campaigns!$A$7:$A$300,B3054)&gt;0,"✓","⚠ add to Campaigns tab"))</f>
        <v/>
      </c>
      <c r="I3054" s="84" t="str">
        <f aca="false">IF(C3054="","",C3054*IF(Settings!$B$22=Settings!$C$6,1,IF(Settings!$B$22="USD",1/INDEX(Settings!$B$29:$B$40,MONTH(A3054)),INDEX(Settings!$B$29:$B$40,MONTH(A3054)))))</f>
        <v/>
      </c>
    </row>
    <row r="3055" customFormat="false" ht="15" hidden="false" customHeight="false" outlineLevel="0" collapsed="false">
      <c r="H3055" s="0" t="str">
        <f aca="false">IF(B3055="","",IF(COUNTIF(Campaigns!$A$7:$A$300,B3055)&gt;0,"✓","⚠ add to Campaigns tab"))</f>
        <v/>
      </c>
      <c r="I3055" s="84" t="str">
        <f aca="false">IF(C3055="","",C3055*IF(Settings!$B$22=Settings!$C$6,1,IF(Settings!$B$22="USD",1/INDEX(Settings!$B$29:$B$40,MONTH(A3055)),INDEX(Settings!$B$29:$B$40,MONTH(A3055)))))</f>
        <v/>
      </c>
    </row>
    <row r="3056" customFormat="false" ht="15" hidden="false" customHeight="false" outlineLevel="0" collapsed="false">
      <c r="H3056" s="0" t="str">
        <f aca="false">IF(B3056="","",IF(COUNTIF(Campaigns!$A$7:$A$300,B3056)&gt;0,"✓","⚠ add to Campaigns tab"))</f>
        <v/>
      </c>
      <c r="I3056" s="84" t="str">
        <f aca="false">IF(C3056="","",C3056*IF(Settings!$B$22=Settings!$C$6,1,IF(Settings!$B$22="USD",1/INDEX(Settings!$B$29:$B$40,MONTH(A3056)),INDEX(Settings!$B$29:$B$40,MONTH(A3056)))))</f>
        <v/>
      </c>
    </row>
    <row r="3057" customFormat="false" ht="15" hidden="false" customHeight="false" outlineLevel="0" collapsed="false">
      <c r="H3057" s="0" t="str">
        <f aca="false">IF(B3057="","",IF(COUNTIF(Campaigns!$A$7:$A$300,B3057)&gt;0,"✓","⚠ add to Campaigns tab"))</f>
        <v/>
      </c>
      <c r="I3057" s="84" t="str">
        <f aca="false">IF(C3057="","",C3057*IF(Settings!$B$22=Settings!$C$6,1,IF(Settings!$B$22="USD",1/INDEX(Settings!$B$29:$B$40,MONTH(A3057)),INDEX(Settings!$B$29:$B$40,MONTH(A3057)))))</f>
        <v/>
      </c>
    </row>
    <row r="3058" customFormat="false" ht="15" hidden="false" customHeight="false" outlineLevel="0" collapsed="false">
      <c r="H3058" s="0" t="str">
        <f aca="false">IF(B3058="","",IF(COUNTIF(Campaigns!$A$7:$A$300,B3058)&gt;0,"✓","⚠ add to Campaigns tab"))</f>
        <v/>
      </c>
      <c r="I3058" s="84" t="str">
        <f aca="false">IF(C3058="","",C3058*IF(Settings!$B$22=Settings!$C$6,1,IF(Settings!$B$22="USD",1/INDEX(Settings!$B$29:$B$40,MONTH(A3058)),INDEX(Settings!$B$29:$B$40,MONTH(A3058)))))</f>
        <v/>
      </c>
    </row>
    <row r="3059" customFormat="false" ht="15" hidden="false" customHeight="false" outlineLevel="0" collapsed="false">
      <c r="H3059" s="0" t="str">
        <f aca="false">IF(B3059="","",IF(COUNTIF(Campaigns!$A$7:$A$300,B3059)&gt;0,"✓","⚠ add to Campaigns tab"))</f>
        <v/>
      </c>
      <c r="I3059" s="84" t="str">
        <f aca="false">IF(C3059="","",C3059*IF(Settings!$B$22=Settings!$C$6,1,IF(Settings!$B$22="USD",1/INDEX(Settings!$B$29:$B$40,MONTH(A3059)),INDEX(Settings!$B$29:$B$40,MONTH(A3059)))))</f>
        <v/>
      </c>
    </row>
    <row r="3060" customFormat="false" ht="15" hidden="false" customHeight="false" outlineLevel="0" collapsed="false">
      <c r="H3060" s="0" t="str">
        <f aca="false">IF(B3060="","",IF(COUNTIF(Campaigns!$A$7:$A$300,B3060)&gt;0,"✓","⚠ add to Campaigns tab"))</f>
        <v/>
      </c>
      <c r="I3060" s="84" t="str">
        <f aca="false">IF(C3060="","",C3060*IF(Settings!$B$22=Settings!$C$6,1,IF(Settings!$B$22="USD",1/INDEX(Settings!$B$29:$B$40,MONTH(A3060)),INDEX(Settings!$B$29:$B$40,MONTH(A3060)))))</f>
        <v/>
      </c>
    </row>
    <row r="3061" customFormat="false" ht="15" hidden="false" customHeight="false" outlineLevel="0" collapsed="false">
      <c r="H3061" s="0" t="str">
        <f aca="false">IF(B3061="","",IF(COUNTIF(Campaigns!$A$7:$A$300,B3061)&gt;0,"✓","⚠ add to Campaigns tab"))</f>
        <v/>
      </c>
      <c r="I3061" s="84" t="str">
        <f aca="false">IF(C3061="","",C3061*IF(Settings!$B$22=Settings!$C$6,1,IF(Settings!$B$22="USD",1/INDEX(Settings!$B$29:$B$40,MONTH(A3061)),INDEX(Settings!$B$29:$B$40,MONTH(A3061)))))</f>
        <v/>
      </c>
    </row>
    <row r="3062" customFormat="false" ht="15" hidden="false" customHeight="false" outlineLevel="0" collapsed="false">
      <c r="H3062" s="0" t="str">
        <f aca="false">IF(B3062="","",IF(COUNTIF(Campaigns!$A$7:$A$300,B3062)&gt;0,"✓","⚠ add to Campaigns tab"))</f>
        <v/>
      </c>
      <c r="I3062" s="84" t="str">
        <f aca="false">IF(C3062="","",C3062*IF(Settings!$B$22=Settings!$C$6,1,IF(Settings!$B$22="USD",1/INDEX(Settings!$B$29:$B$40,MONTH(A3062)),INDEX(Settings!$B$29:$B$40,MONTH(A3062)))))</f>
        <v/>
      </c>
    </row>
    <row r="3063" customFormat="false" ht="15" hidden="false" customHeight="false" outlineLevel="0" collapsed="false">
      <c r="H3063" s="0" t="str">
        <f aca="false">IF(B3063="","",IF(COUNTIF(Campaigns!$A$7:$A$300,B3063)&gt;0,"✓","⚠ add to Campaigns tab"))</f>
        <v/>
      </c>
      <c r="I3063" s="84" t="str">
        <f aca="false">IF(C3063="","",C3063*IF(Settings!$B$22=Settings!$C$6,1,IF(Settings!$B$22="USD",1/INDEX(Settings!$B$29:$B$40,MONTH(A3063)),INDEX(Settings!$B$29:$B$40,MONTH(A3063)))))</f>
        <v/>
      </c>
    </row>
    <row r="3064" customFormat="false" ht="15" hidden="false" customHeight="false" outlineLevel="0" collapsed="false">
      <c r="H3064" s="0" t="str">
        <f aca="false">IF(B3064="","",IF(COUNTIF(Campaigns!$A$7:$A$300,B3064)&gt;0,"✓","⚠ add to Campaigns tab"))</f>
        <v/>
      </c>
      <c r="I3064" s="84" t="str">
        <f aca="false">IF(C3064="","",C3064*IF(Settings!$B$22=Settings!$C$6,1,IF(Settings!$B$22="USD",1/INDEX(Settings!$B$29:$B$40,MONTH(A3064)),INDEX(Settings!$B$29:$B$40,MONTH(A3064)))))</f>
        <v/>
      </c>
    </row>
    <row r="3065" customFormat="false" ht="15" hidden="false" customHeight="false" outlineLevel="0" collapsed="false">
      <c r="H3065" s="0" t="str">
        <f aca="false">IF(B3065="","",IF(COUNTIF(Campaigns!$A$7:$A$300,B3065)&gt;0,"✓","⚠ add to Campaigns tab"))</f>
        <v/>
      </c>
      <c r="I3065" s="84" t="str">
        <f aca="false">IF(C3065="","",C3065*IF(Settings!$B$22=Settings!$C$6,1,IF(Settings!$B$22="USD",1/INDEX(Settings!$B$29:$B$40,MONTH(A3065)),INDEX(Settings!$B$29:$B$40,MONTH(A3065)))))</f>
        <v/>
      </c>
    </row>
    <row r="3066" customFormat="false" ht="15" hidden="false" customHeight="false" outlineLevel="0" collapsed="false">
      <c r="H3066" s="0" t="str">
        <f aca="false">IF(B3066="","",IF(COUNTIF(Campaigns!$A$7:$A$300,B3066)&gt;0,"✓","⚠ add to Campaigns tab"))</f>
        <v/>
      </c>
      <c r="I3066" s="84" t="str">
        <f aca="false">IF(C3066="","",C3066*IF(Settings!$B$22=Settings!$C$6,1,IF(Settings!$B$22="USD",1/INDEX(Settings!$B$29:$B$40,MONTH(A3066)),INDEX(Settings!$B$29:$B$40,MONTH(A3066)))))</f>
        <v/>
      </c>
    </row>
    <row r="3067" customFormat="false" ht="15" hidden="false" customHeight="false" outlineLevel="0" collapsed="false">
      <c r="H3067" s="0" t="str">
        <f aca="false">IF(B3067="","",IF(COUNTIF(Campaigns!$A$7:$A$300,B3067)&gt;0,"✓","⚠ add to Campaigns tab"))</f>
        <v/>
      </c>
      <c r="I3067" s="84" t="str">
        <f aca="false">IF(C3067="","",C3067*IF(Settings!$B$22=Settings!$C$6,1,IF(Settings!$B$22="USD",1/INDEX(Settings!$B$29:$B$40,MONTH(A3067)),INDEX(Settings!$B$29:$B$40,MONTH(A3067)))))</f>
        <v/>
      </c>
    </row>
    <row r="3068" customFormat="false" ht="15" hidden="false" customHeight="false" outlineLevel="0" collapsed="false">
      <c r="H3068" s="0" t="str">
        <f aca="false">IF(B3068="","",IF(COUNTIF(Campaigns!$A$7:$A$300,B3068)&gt;0,"✓","⚠ add to Campaigns tab"))</f>
        <v/>
      </c>
      <c r="I3068" s="84" t="str">
        <f aca="false">IF(C3068="","",C3068*IF(Settings!$B$22=Settings!$C$6,1,IF(Settings!$B$22="USD",1/INDEX(Settings!$B$29:$B$40,MONTH(A3068)),INDEX(Settings!$B$29:$B$40,MONTH(A3068)))))</f>
        <v/>
      </c>
    </row>
    <row r="3069" customFormat="false" ht="15" hidden="false" customHeight="false" outlineLevel="0" collapsed="false">
      <c r="H3069" s="0" t="str">
        <f aca="false">IF(B3069="","",IF(COUNTIF(Campaigns!$A$7:$A$300,B3069)&gt;0,"✓","⚠ add to Campaigns tab"))</f>
        <v/>
      </c>
      <c r="I3069" s="84" t="str">
        <f aca="false">IF(C3069="","",C3069*IF(Settings!$B$22=Settings!$C$6,1,IF(Settings!$B$22="USD",1/INDEX(Settings!$B$29:$B$40,MONTH(A3069)),INDEX(Settings!$B$29:$B$40,MONTH(A3069)))))</f>
        <v/>
      </c>
    </row>
    <row r="3070" customFormat="false" ht="15" hidden="false" customHeight="false" outlineLevel="0" collapsed="false">
      <c r="H3070" s="0" t="str">
        <f aca="false">IF(B3070="","",IF(COUNTIF(Campaigns!$A$7:$A$300,B3070)&gt;0,"✓","⚠ add to Campaigns tab"))</f>
        <v/>
      </c>
      <c r="I3070" s="84" t="str">
        <f aca="false">IF(C3070="","",C3070*IF(Settings!$B$22=Settings!$C$6,1,IF(Settings!$B$22="USD",1/INDEX(Settings!$B$29:$B$40,MONTH(A3070)),INDEX(Settings!$B$29:$B$40,MONTH(A3070)))))</f>
        <v/>
      </c>
    </row>
    <row r="3071" customFormat="false" ht="15" hidden="false" customHeight="false" outlineLevel="0" collapsed="false">
      <c r="H3071" s="0" t="str">
        <f aca="false">IF(B3071="","",IF(COUNTIF(Campaigns!$A$7:$A$300,B3071)&gt;0,"✓","⚠ add to Campaigns tab"))</f>
        <v/>
      </c>
      <c r="I3071" s="84" t="str">
        <f aca="false">IF(C3071="","",C3071*IF(Settings!$B$22=Settings!$C$6,1,IF(Settings!$B$22="USD",1/INDEX(Settings!$B$29:$B$40,MONTH(A3071)),INDEX(Settings!$B$29:$B$40,MONTH(A3071)))))</f>
        <v/>
      </c>
    </row>
    <row r="3072" customFormat="false" ht="15" hidden="false" customHeight="false" outlineLevel="0" collapsed="false">
      <c r="H3072" s="0" t="str">
        <f aca="false">IF(B3072="","",IF(COUNTIF(Campaigns!$A$7:$A$300,B3072)&gt;0,"✓","⚠ add to Campaigns tab"))</f>
        <v/>
      </c>
      <c r="I3072" s="84" t="str">
        <f aca="false">IF(C3072="","",C3072*IF(Settings!$B$22=Settings!$C$6,1,IF(Settings!$B$22="USD",1/INDEX(Settings!$B$29:$B$40,MONTH(A3072)),INDEX(Settings!$B$29:$B$40,MONTH(A3072)))))</f>
        <v/>
      </c>
    </row>
    <row r="3073" customFormat="false" ht="15" hidden="false" customHeight="false" outlineLevel="0" collapsed="false">
      <c r="H3073" s="0" t="str">
        <f aca="false">IF(B3073="","",IF(COUNTIF(Campaigns!$A$7:$A$300,B3073)&gt;0,"✓","⚠ add to Campaigns tab"))</f>
        <v/>
      </c>
      <c r="I3073" s="84" t="str">
        <f aca="false">IF(C3073="","",C3073*IF(Settings!$B$22=Settings!$C$6,1,IF(Settings!$B$22="USD",1/INDEX(Settings!$B$29:$B$40,MONTH(A3073)),INDEX(Settings!$B$29:$B$40,MONTH(A3073)))))</f>
        <v/>
      </c>
    </row>
    <row r="3074" customFormat="false" ht="15" hidden="false" customHeight="false" outlineLevel="0" collapsed="false">
      <c r="H3074" s="0" t="str">
        <f aca="false">IF(B3074="","",IF(COUNTIF(Campaigns!$A$7:$A$300,B3074)&gt;0,"✓","⚠ add to Campaigns tab"))</f>
        <v/>
      </c>
      <c r="I3074" s="84" t="str">
        <f aca="false">IF(C3074="","",C3074*IF(Settings!$B$22=Settings!$C$6,1,IF(Settings!$B$22="USD",1/INDEX(Settings!$B$29:$B$40,MONTH(A3074)),INDEX(Settings!$B$29:$B$40,MONTH(A3074)))))</f>
        <v/>
      </c>
    </row>
    <row r="3075" customFormat="false" ht="15" hidden="false" customHeight="false" outlineLevel="0" collapsed="false">
      <c r="H3075" s="0" t="str">
        <f aca="false">IF(B3075="","",IF(COUNTIF(Campaigns!$A$7:$A$300,B3075)&gt;0,"✓","⚠ add to Campaigns tab"))</f>
        <v/>
      </c>
      <c r="I3075" s="84" t="str">
        <f aca="false">IF(C3075="","",C3075*IF(Settings!$B$22=Settings!$C$6,1,IF(Settings!$B$22="USD",1/INDEX(Settings!$B$29:$B$40,MONTH(A3075)),INDEX(Settings!$B$29:$B$40,MONTH(A3075)))))</f>
        <v/>
      </c>
    </row>
    <row r="3076" customFormat="false" ht="15" hidden="false" customHeight="false" outlineLevel="0" collapsed="false">
      <c r="H3076" s="0" t="str">
        <f aca="false">IF(B3076="","",IF(COUNTIF(Campaigns!$A$7:$A$300,B3076)&gt;0,"✓","⚠ add to Campaigns tab"))</f>
        <v/>
      </c>
      <c r="I3076" s="84" t="str">
        <f aca="false">IF(C3076="","",C3076*IF(Settings!$B$22=Settings!$C$6,1,IF(Settings!$B$22="USD",1/INDEX(Settings!$B$29:$B$40,MONTH(A3076)),INDEX(Settings!$B$29:$B$40,MONTH(A3076)))))</f>
        <v/>
      </c>
    </row>
    <row r="3077" customFormat="false" ht="15" hidden="false" customHeight="false" outlineLevel="0" collapsed="false">
      <c r="H3077" s="0" t="str">
        <f aca="false">IF(B3077="","",IF(COUNTIF(Campaigns!$A$7:$A$300,B3077)&gt;0,"✓","⚠ add to Campaigns tab"))</f>
        <v/>
      </c>
      <c r="I3077" s="84" t="str">
        <f aca="false">IF(C3077="","",C3077*IF(Settings!$B$22=Settings!$C$6,1,IF(Settings!$B$22="USD",1/INDEX(Settings!$B$29:$B$40,MONTH(A3077)),INDEX(Settings!$B$29:$B$40,MONTH(A3077)))))</f>
        <v/>
      </c>
    </row>
    <row r="3078" customFormat="false" ht="15" hidden="false" customHeight="false" outlineLevel="0" collapsed="false">
      <c r="H3078" s="0" t="str">
        <f aca="false">IF(B3078="","",IF(COUNTIF(Campaigns!$A$7:$A$300,B3078)&gt;0,"✓","⚠ add to Campaigns tab"))</f>
        <v/>
      </c>
      <c r="I3078" s="84" t="str">
        <f aca="false">IF(C3078="","",C3078*IF(Settings!$B$22=Settings!$C$6,1,IF(Settings!$B$22="USD",1/INDEX(Settings!$B$29:$B$40,MONTH(A3078)),INDEX(Settings!$B$29:$B$40,MONTH(A3078)))))</f>
        <v/>
      </c>
    </row>
    <row r="3079" customFormat="false" ht="15" hidden="false" customHeight="false" outlineLevel="0" collapsed="false">
      <c r="H3079" s="0" t="str">
        <f aca="false">IF(B3079="","",IF(COUNTIF(Campaigns!$A$7:$A$300,B3079)&gt;0,"✓","⚠ add to Campaigns tab"))</f>
        <v/>
      </c>
      <c r="I3079" s="84" t="str">
        <f aca="false">IF(C3079="","",C3079*IF(Settings!$B$22=Settings!$C$6,1,IF(Settings!$B$22="USD",1/INDEX(Settings!$B$29:$B$40,MONTH(A3079)),INDEX(Settings!$B$29:$B$40,MONTH(A3079)))))</f>
        <v/>
      </c>
    </row>
    <row r="3080" customFormat="false" ht="15" hidden="false" customHeight="false" outlineLevel="0" collapsed="false">
      <c r="H3080" s="0" t="str">
        <f aca="false">IF(B3080="","",IF(COUNTIF(Campaigns!$A$7:$A$300,B3080)&gt;0,"✓","⚠ add to Campaigns tab"))</f>
        <v/>
      </c>
      <c r="I3080" s="84" t="str">
        <f aca="false">IF(C3080="","",C3080*IF(Settings!$B$22=Settings!$C$6,1,IF(Settings!$B$22="USD",1/INDEX(Settings!$B$29:$B$40,MONTH(A3080)),INDEX(Settings!$B$29:$B$40,MONTH(A3080)))))</f>
        <v/>
      </c>
    </row>
    <row r="3081" customFormat="false" ht="15" hidden="false" customHeight="false" outlineLevel="0" collapsed="false">
      <c r="H3081" s="0" t="str">
        <f aca="false">IF(B3081="","",IF(COUNTIF(Campaigns!$A$7:$A$300,B3081)&gt;0,"✓","⚠ add to Campaigns tab"))</f>
        <v/>
      </c>
      <c r="I3081" s="84" t="str">
        <f aca="false">IF(C3081="","",C3081*IF(Settings!$B$22=Settings!$C$6,1,IF(Settings!$B$22="USD",1/INDEX(Settings!$B$29:$B$40,MONTH(A3081)),INDEX(Settings!$B$29:$B$40,MONTH(A3081)))))</f>
        <v/>
      </c>
    </row>
    <row r="3082" customFormat="false" ht="15" hidden="false" customHeight="false" outlineLevel="0" collapsed="false">
      <c r="H3082" s="0" t="str">
        <f aca="false">IF(B3082="","",IF(COUNTIF(Campaigns!$A$7:$A$300,B3082)&gt;0,"✓","⚠ add to Campaigns tab"))</f>
        <v/>
      </c>
      <c r="I3082" s="84" t="str">
        <f aca="false">IF(C3082="","",C3082*IF(Settings!$B$22=Settings!$C$6,1,IF(Settings!$B$22="USD",1/INDEX(Settings!$B$29:$B$40,MONTH(A3082)),INDEX(Settings!$B$29:$B$40,MONTH(A3082)))))</f>
        <v/>
      </c>
    </row>
    <row r="3083" customFormat="false" ht="15" hidden="false" customHeight="false" outlineLevel="0" collapsed="false">
      <c r="H3083" s="0" t="str">
        <f aca="false">IF(B3083="","",IF(COUNTIF(Campaigns!$A$7:$A$300,B3083)&gt;0,"✓","⚠ add to Campaigns tab"))</f>
        <v/>
      </c>
      <c r="I3083" s="84" t="str">
        <f aca="false">IF(C3083="","",C3083*IF(Settings!$B$22=Settings!$C$6,1,IF(Settings!$B$22="USD",1/INDEX(Settings!$B$29:$B$40,MONTH(A3083)),INDEX(Settings!$B$29:$B$40,MONTH(A3083)))))</f>
        <v/>
      </c>
    </row>
    <row r="3084" customFormat="false" ht="15" hidden="false" customHeight="false" outlineLevel="0" collapsed="false">
      <c r="H3084" s="0" t="str">
        <f aca="false">IF(B3084="","",IF(COUNTIF(Campaigns!$A$7:$A$300,B3084)&gt;0,"✓","⚠ add to Campaigns tab"))</f>
        <v/>
      </c>
      <c r="I3084" s="84" t="str">
        <f aca="false">IF(C3084="","",C3084*IF(Settings!$B$22=Settings!$C$6,1,IF(Settings!$B$22="USD",1/INDEX(Settings!$B$29:$B$40,MONTH(A3084)),INDEX(Settings!$B$29:$B$40,MONTH(A3084)))))</f>
        <v/>
      </c>
    </row>
    <row r="3085" customFormat="false" ht="15" hidden="false" customHeight="false" outlineLevel="0" collapsed="false">
      <c r="H3085" s="0" t="str">
        <f aca="false">IF(B3085="","",IF(COUNTIF(Campaigns!$A$7:$A$300,B3085)&gt;0,"✓","⚠ add to Campaigns tab"))</f>
        <v/>
      </c>
      <c r="I3085" s="84" t="str">
        <f aca="false">IF(C3085="","",C3085*IF(Settings!$B$22=Settings!$C$6,1,IF(Settings!$B$22="USD",1/INDEX(Settings!$B$29:$B$40,MONTH(A3085)),INDEX(Settings!$B$29:$B$40,MONTH(A3085)))))</f>
        <v/>
      </c>
    </row>
    <row r="3086" customFormat="false" ht="15" hidden="false" customHeight="false" outlineLevel="0" collapsed="false">
      <c r="H3086" s="0" t="str">
        <f aca="false">IF(B3086="","",IF(COUNTIF(Campaigns!$A$7:$A$300,B3086)&gt;0,"✓","⚠ add to Campaigns tab"))</f>
        <v/>
      </c>
      <c r="I3086" s="84" t="str">
        <f aca="false">IF(C3086="","",C3086*IF(Settings!$B$22=Settings!$C$6,1,IF(Settings!$B$22="USD",1/INDEX(Settings!$B$29:$B$40,MONTH(A3086)),INDEX(Settings!$B$29:$B$40,MONTH(A3086)))))</f>
        <v/>
      </c>
    </row>
    <row r="3087" customFormat="false" ht="15" hidden="false" customHeight="false" outlineLevel="0" collapsed="false">
      <c r="H3087" s="0" t="str">
        <f aca="false">IF(B3087="","",IF(COUNTIF(Campaigns!$A$7:$A$300,B3087)&gt;0,"✓","⚠ add to Campaigns tab"))</f>
        <v/>
      </c>
      <c r="I3087" s="84" t="str">
        <f aca="false">IF(C3087="","",C3087*IF(Settings!$B$22=Settings!$C$6,1,IF(Settings!$B$22="USD",1/INDEX(Settings!$B$29:$B$40,MONTH(A3087)),INDEX(Settings!$B$29:$B$40,MONTH(A3087)))))</f>
        <v/>
      </c>
    </row>
    <row r="3088" customFormat="false" ht="15" hidden="false" customHeight="false" outlineLevel="0" collapsed="false">
      <c r="H3088" s="0" t="str">
        <f aca="false">IF(B3088="","",IF(COUNTIF(Campaigns!$A$7:$A$300,B3088)&gt;0,"✓","⚠ add to Campaigns tab"))</f>
        <v/>
      </c>
      <c r="I3088" s="84" t="str">
        <f aca="false">IF(C3088="","",C3088*IF(Settings!$B$22=Settings!$C$6,1,IF(Settings!$B$22="USD",1/INDEX(Settings!$B$29:$B$40,MONTH(A3088)),INDEX(Settings!$B$29:$B$40,MONTH(A3088)))))</f>
        <v/>
      </c>
    </row>
    <row r="3089" customFormat="false" ht="15" hidden="false" customHeight="false" outlineLevel="0" collapsed="false">
      <c r="H3089" s="0" t="str">
        <f aca="false">IF(B3089="","",IF(COUNTIF(Campaigns!$A$7:$A$300,B3089)&gt;0,"✓","⚠ add to Campaigns tab"))</f>
        <v/>
      </c>
      <c r="I3089" s="84" t="str">
        <f aca="false">IF(C3089="","",C3089*IF(Settings!$B$22=Settings!$C$6,1,IF(Settings!$B$22="USD",1/INDEX(Settings!$B$29:$B$40,MONTH(A3089)),INDEX(Settings!$B$29:$B$40,MONTH(A3089)))))</f>
        <v/>
      </c>
    </row>
    <row r="3090" customFormat="false" ht="15" hidden="false" customHeight="false" outlineLevel="0" collapsed="false">
      <c r="H3090" s="0" t="str">
        <f aca="false">IF(B3090="","",IF(COUNTIF(Campaigns!$A$7:$A$300,B3090)&gt;0,"✓","⚠ add to Campaigns tab"))</f>
        <v/>
      </c>
      <c r="I3090" s="84" t="str">
        <f aca="false">IF(C3090="","",C3090*IF(Settings!$B$22=Settings!$C$6,1,IF(Settings!$B$22="USD",1/INDEX(Settings!$B$29:$B$40,MONTH(A3090)),INDEX(Settings!$B$29:$B$40,MONTH(A3090)))))</f>
        <v/>
      </c>
    </row>
    <row r="3091" customFormat="false" ht="15" hidden="false" customHeight="false" outlineLevel="0" collapsed="false">
      <c r="H3091" s="0" t="str">
        <f aca="false">IF(B3091="","",IF(COUNTIF(Campaigns!$A$7:$A$300,B3091)&gt;0,"✓","⚠ add to Campaigns tab"))</f>
        <v/>
      </c>
      <c r="I3091" s="84" t="str">
        <f aca="false">IF(C3091="","",C3091*IF(Settings!$B$22=Settings!$C$6,1,IF(Settings!$B$22="USD",1/INDEX(Settings!$B$29:$B$40,MONTH(A3091)),INDEX(Settings!$B$29:$B$40,MONTH(A3091)))))</f>
        <v/>
      </c>
    </row>
    <row r="3092" customFormat="false" ht="15" hidden="false" customHeight="false" outlineLevel="0" collapsed="false">
      <c r="H3092" s="0" t="str">
        <f aca="false">IF(B3092="","",IF(COUNTIF(Campaigns!$A$7:$A$300,B3092)&gt;0,"✓","⚠ add to Campaigns tab"))</f>
        <v/>
      </c>
      <c r="I3092" s="84" t="str">
        <f aca="false">IF(C3092="","",C3092*IF(Settings!$B$22=Settings!$C$6,1,IF(Settings!$B$22="USD",1/INDEX(Settings!$B$29:$B$40,MONTH(A3092)),INDEX(Settings!$B$29:$B$40,MONTH(A3092)))))</f>
        <v/>
      </c>
    </row>
    <row r="3093" customFormat="false" ht="15" hidden="false" customHeight="false" outlineLevel="0" collapsed="false">
      <c r="H3093" s="0" t="str">
        <f aca="false">IF(B3093="","",IF(COUNTIF(Campaigns!$A$7:$A$300,B3093)&gt;0,"✓","⚠ add to Campaigns tab"))</f>
        <v/>
      </c>
      <c r="I3093" s="84" t="str">
        <f aca="false">IF(C3093="","",C3093*IF(Settings!$B$22=Settings!$C$6,1,IF(Settings!$B$22="USD",1/INDEX(Settings!$B$29:$B$40,MONTH(A3093)),INDEX(Settings!$B$29:$B$40,MONTH(A3093)))))</f>
        <v/>
      </c>
    </row>
    <row r="3094" customFormat="false" ht="15" hidden="false" customHeight="false" outlineLevel="0" collapsed="false">
      <c r="H3094" s="0" t="str">
        <f aca="false">IF(B3094="","",IF(COUNTIF(Campaigns!$A$7:$A$300,B3094)&gt;0,"✓","⚠ add to Campaigns tab"))</f>
        <v/>
      </c>
      <c r="I3094" s="84" t="str">
        <f aca="false">IF(C3094="","",C3094*IF(Settings!$B$22=Settings!$C$6,1,IF(Settings!$B$22="USD",1/INDEX(Settings!$B$29:$B$40,MONTH(A3094)),INDEX(Settings!$B$29:$B$40,MONTH(A3094)))))</f>
        <v/>
      </c>
    </row>
    <row r="3095" customFormat="false" ht="15" hidden="false" customHeight="false" outlineLevel="0" collapsed="false">
      <c r="H3095" s="0" t="str">
        <f aca="false">IF(B3095="","",IF(COUNTIF(Campaigns!$A$7:$A$300,B3095)&gt;0,"✓","⚠ add to Campaigns tab"))</f>
        <v/>
      </c>
      <c r="I3095" s="84" t="str">
        <f aca="false">IF(C3095="","",C3095*IF(Settings!$B$22=Settings!$C$6,1,IF(Settings!$B$22="USD",1/INDEX(Settings!$B$29:$B$40,MONTH(A3095)),INDEX(Settings!$B$29:$B$40,MONTH(A3095)))))</f>
        <v/>
      </c>
    </row>
    <row r="3096" customFormat="false" ht="15" hidden="false" customHeight="false" outlineLevel="0" collapsed="false">
      <c r="H3096" s="0" t="str">
        <f aca="false">IF(B3096="","",IF(COUNTIF(Campaigns!$A$7:$A$300,B3096)&gt;0,"✓","⚠ add to Campaigns tab"))</f>
        <v/>
      </c>
      <c r="I3096" s="84" t="str">
        <f aca="false">IF(C3096="","",C3096*IF(Settings!$B$22=Settings!$C$6,1,IF(Settings!$B$22="USD",1/INDEX(Settings!$B$29:$B$40,MONTH(A3096)),INDEX(Settings!$B$29:$B$40,MONTH(A3096)))))</f>
        <v/>
      </c>
    </row>
    <row r="3097" customFormat="false" ht="15" hidden="false" customHeight="false" outlineLevel="0" collapsed="false">
      <c r="H3097" s="0" t="str">
        <f aca="false">IF(B3097="","",IF(COUNTIF(Campaigns!$A$7:$A$300,B3097)&gt;0,"✓","⚠ add to Campaigns tab"))</f>
        <v/>
      </c>
      <c r="I3097" s="84" t="str">
        <f aca="false">IF(C3097="","",C3097*IF(Settings!$B$22=Settings!$C$6,1,IF(Settings!$B$22="USD",1/INDEX(Settings!$B$29:$B$40,MONTH(A3097)),INDEX(Settings!$B$29:$B$40,MONTH(A3097)))))</f>
        <v/>
      </c>
    </row>
    <row r="3098" customFormat="false" ht="15" hidden="false" customHeight="false" outlineLevel="0" collapsed="false">
      <c r="H3098" s="0" t="str">
        <f aca="false">IF(B3098="","",IF(COUNTIF(Campaigns!$A$7:$A$300,B3098)&gt;0,"✓","⚠ add to Campaigns tab"))</f>
        <v/>
      </c>
      <c r="I3098" s="84" t="str">
        <f aca="false">IF(C3098="","",C3098*IF(Settings!$B$22=Settings!$C$6,1,IF(Settings!$B$22="USD",1/INDEX(Settings!$B$29:$B$40,MONTH(A3098)),INDEX(Settings!$B$29:$B$40,MONTH(A3098)))))</f>
        <v/>
      </c>
    </row>
    <row r="3099" customFormat="false" ht="15" hidden="false" customHeight="false" outlineLevel="0" collapsed="false">
      <c r="H3099" s="0" t="str">
        <f aca="false">IF(B3099="","",IF(COUNTIF(Campaigns!$A$7:$A$300,B3099)&gt;0,"✓","⚠ add to Campaigns tab"))</f>
        <v/>
      </c>
      <c r="I3099" s="84" t="str">
        <f aca="false">IF(C3099="","",C3099*IF(Settings!$B$22=Settings!$C$6,1,IF(Settings!$B$22="USD",1/INDEX(Settings!$B$29:$B$40,MONTH(A3099)),INDEX(Settings!$B$29:$B$40,MONTH(A3099)))))</f>
        <v/>
      </c>
    </row>
    <row r="3100" customFormat="false" ht="15" hidden="false" customHeight="false" outlineLevel="0" collapsed="false">
      <c r="H3100" s="0" t="str">
        <f aca="false">IF(B3100="","",IF(COUNTIF(Campaigns!$A$7:$A$300,B3100)&gt;0,"✓","⚠ add to Campaigns tab"))</f>
        <v/>
      </c>
      <c r="I3100" s="84" t="str">
        <f aca="false">IF(C3100="","",C3100*IF(Settings!$B$22=Settings!$C$6,1,IF(Settings!$B$22="USD",1/INDEX(Settings!$B$29:$B$40,MONTH(A3100)),INDEX(Settings!$B$29:$B$40,MONTH(A3100)))))</f>
        <v/>
      </c>
    </row>
    <row r="3101" customFormat="false" ht="15" hidden="false" customHeight="false" outlineLevel="0" collapsed="false">
      <c r="H3101" s="0" t="str">
        <f aca="false">IF(B3101="","",IF(COUNTIF(Campaigns!$A$7:$A$300,B3101)&gt;0,"✓","⚠ add to Campaigns tab"))</f>
        <v/>
      </c>
      <c r="I3101" s="84" t="str">
        <f aca="false">IF(C3101="","",C3101*IF(Settings!$B$22=Settings!$C$6,1,IF(Settings!$B$22="USD",1/INDEX(Settings!$B$29:$B$40,MONTH(A3101)),INDEX(Settings!$B$29:$B$40,MONTH(A3101)))))</f>
        <v/>
      </c>
    </row>
    <row r="3102" customFormat="false" ht="15" hidden="false" customHeight="false" outlineLevel="0" collapsed="false">
      <c r="H3102" s="0" t="str">
        <f aca="false">IF(B3102="","",IF(COUNTIF(Campaigns!$A$7:$A$300,B3102)&gt;0,"✓","⚠ add to Campaigns tab"))</f>
        <v/>
      </c>
      <c r="I3102" s="84" t="str">
        <f aca="false">IF(C3102="","",C3102*IF(Settings!$B$22=Settings!$C$6,1,IF(Settings!$B$22="USD",1/INDEX(Settings!$B$29:$B$40,MONTH(A3102)),INDEX(Settings!$B$29:$B$40,MONTH(A3102)))))</f>
        <v/>
      </c>
    </row>
    <row r="3103" customFormat="false" ht="15" hidden="false" customHeight="false" outlineLevel="0" collapsed="false">
      <c r="H3103" s="0" t="str">
        <f aca="false">IF(B3103="","",IF(COUNTIF(Campaigns!$A$7:$A$300,B3103)&gt;0,"✓","⚠ add to Campaigns tab"))</f>
        <v/>
      </c>
      <c r="I3103" s="84" t="str">
        <f aca="false">IF(C3103="","",C3103*IF(Settings!$B$22=Settings!$C$6,1,IF(Settings!$B$22="USD",1/INDEX(Settings!$B$29:$B$40,MONTH(A3103)),INDEX(Settings!$B$29:$B$40,MONTH(A3103)))))</f>
        <v/>
      </c>
    </row>
    <row r="3104" customFormat="false" ht="15" hidden="false" customHeight="false" outlineLevel="0" collapsed="false">
      <c r="H3104" s="0" t="str">
        <f aca="false">IF(B3104="","",IF(COUNTIF(Campaigns!$A$7:$A$300,B3104)&gt;0,"✓","⚠ add to Campaigns tab"))</f>
        <v/>
      </c>
      <c r="I3104" s="84" t="str">
        <f aca="false">IF(C3104="","",C3104*IF(Settings!$B$22=Settings!$C$6,1,IF(Settings!$B$22="USD",1/INDEX(Settings!$B$29:$B$40,MONTH(A3104)),INDEX(Settings!$B$29:$B$40,MONTH(A3104)))))</f>
        <v/>
      </c>
    </row>
    <row r="3105" customFormat="false" ht="15" hidden="false" customHeight="false" outlineLevel="0" collapsed="false">
      <c r="H3105" s="0" t="str">
        <f aca="false">IF(B3105="","",IF(COUNTIF(Campaigns!$A$7:$A$300,B3105)&gt;0,"✓","⚠ add to Campaigns tab"))</f>
        <v/>
      </c>
      <c r="I3105" s="84" t="str">
        <f aca="false">IF(C3105="","",C3105*IF(Settings!$B$22=Settings!$C$6,1,IF(Settings!$B$22="USD",1/INDEX(Settings!$B$29:$B$40,MONTH(A3105)),INDEX(Settings!$B$29:$B$40,MONTH(A3105)))))</f>
        <v/>
      </c>
    </row>
    <row r="3106" customFormat="false" ht="15" hidden="false" customHeight="false" outlineLevel="0" collapsed="false">
      <c r="H3106" s="0" t="str">
        <f aca="false">IF(B3106="","",IF(COUNTIF(Campaigns!$A$7:$A$300,B3106)&gt;0,"✓","⚠ add to Campaigns tab"))</f>
        <v/>
      </c>
      <c r="I3106" s="84" t="str">
        <f aca="false">IF(C3106="","",C3106*IF(Settings!$B$22=Settings!$C$6,1,IF(Settings!$B$22="USD",1/INDEX(Settings!$B$29:$B$40,MONTH(A3106)),INDEX(Settings!$B$29:$B$40,MONTH(A3106)))))</f>
        <v/>
      </c>
    </row>
    <row r="3107" customFormat="false" ht="15" hidden="false" customHeight="false" outlineLevel="0" collapsed="false">
      <c r="H3107" s="0" t="str">
        <f aca="false">IF(B3107="","",IF(COUNTIF(Campaigns!$A$7:$A$300,B3107)&gt;0,"✓","⚠ add to Campaigns tab"))</f>
        <v/>
      </c>
      <c r="I3107" s="84" t="str">
        <f aca="false">IF(C3107="","",C3107*IF(Settings!$B$22=Settings!$C$6,1,IF(Settings!$B$22="USD",1/INDEX(Settings!$B$29:$B$40,MONTH(A3107)),INDEX(Settings!$B$29:$B$40,MONTH(A3107)))))</f>
        <v/>
      </c>
    </row>
    <row r="3108" customFormat="false" ht="15" hidden="false" customHeight="false" outlineLevel="0" collapsed="false">
      <c r="H3108" s="0" t="str">
        <f aca="false">IF(B3108="","",IF(COUNTIF(Campaigns!$A$7:$A$300,B3108)&gt;0,"✓","⚠ add to Campaigns tab"))</f>
        <v/>
      </c>
      <c r="I3108" s="84" t="str">
        <f aca="false">IF(C3108="","",C3108*IF(Settings!$B$22=Settings!$C$6,1,IF(Settings!$B$22="USD",1/INDEX(Settings!$B$29:$B$40,MONTH(A3108)),INDEX(Settings!$B$29:$B$40,MONTH(A3108)))))</f>
        <v/>
      </c>
    </row>
    <row r="3109" customFormat="false" ht="15" hidden="false" customHeight="false" outlineLevel="0" collapsed="false">
      <c r="H3109" s="0" t="str">
        <f aca="false">IF(B3109="","",IF(COUNTIF(Campaigns!$A$7:$A$300,B3109)&gt;0,"✓","⚠ add to Campaigns tab"))</f>
        <v/>
      </c>
      <c r="I3109" s="84" t="str">
        <f aca="false">IF(C3109="","",C3109*IF(Settings!$B$22=Settings!$C$6,1,IF(Settings!$B$22="USD",1/INDEX(Settings!$B$29:$B$40,MONTH(A3109)),INDEX(Settings!$B$29:$B$40,MONTH(A3109)))))</f>
        <v/>
      </c>
    </row>
    <row r="3110" customFormat="false" ht="15" hidden="false" customHeight="false" outlineLevel="0" collapsed="false">
      <c r="H3110" s="0" t="str">
        <f aca="false">IF(B3110="","",IF(COUNTIF(Campaigns!$A$7:$A$300,B3110)&gt;0,"✓","⚠ add to Campaigns tab"))</f>
        <v/>
      </c>
      <c r="I3110" s="84" t="str">
        <f aca="false">IF(C3110="","",C3110*IF(Settings!$B$22=Settings!$C$6,1,IF(Settings!$B$22="USD",1/INDEX(Settings!$B$29:$B$40,MONTH(A3110)),INDEX(Settings!$B$29:$B$40,MONTH(A3110)))))</f>
        <v/>
      </c>
    </row>
    <row r="3111" customFormat="false" ht="15" hidden="false" customHeight="false" outlineLevel="0" collapsed="false">
      <c r="H3111" s="0" t="str">
        <f aca="false">IF(B3111="","",IF(COUNTIF(Campaigns!$A$7:$A$300,B3111)&gt;0,"✓","⚠ add to Campaigns tab"))</f>
        <v/>
      </c>
      <c r="I3111" s="84" t="str">
        <f aca="false">IF(C3111="","",C3111*IF(Settings!$B$22=Settings!$C$6,1,IF(Settings!$B$22="USD",1/INDEX(Settings!$B$29:$B$40,MONTH(A3111)),INDEX(Settings!$B$29:$B$40,MONTH(A3111)))))</f>
        <v/>
      </c>
    </row>
    <row r="3112" customFormat="false" ht="15" hidden="false" customHeight="false" outlineLevel="0" collapsed="false">
      <c r="H3112" s="0" t="str">
        <f aca="false">IF(B3112="","",IF(COUNTIF(Campaigns!$A$7:$A$300,B3112)&gt;0,"✓","⚠ add to Campaigns tab"))</f>
        <v/>
      </c>
      <c r="I3112" s="84" t="str">
        <f aca="false">IF(C3112="","",C3112*IF(Settings!$B$22=Settings!$C$6,1,IF(Settings!$B$22="USD",1/INDEX(Settings!$B$29:$B$40,MONTH(A3112)),INDEX(Settings!$B$29:$B$40,MONTH(A3112)))))</f>
        <v/>
      </c>
    </row>
    <row r="3113" customFormat="false" ht="15" hidden="false" customHeight="false" outlineLevel="0" collapsed="false">
      <c r="H3113" s="0" t="str">
        <f aca="false">IF(B3113="","",IF(COUNTIF(Campaigns!$A$7:$A$300,B3113)&gt;0,"✓","⚠ add to Campaigns tab"))</f>
        <v/>
      </c>
      <c r="I3113" s="84" t="str">
        <f aca="false">IF(C3113="","",C3113*IF(Settings!$B$22=Settings!$C$6,1,IF(Settings!$B$22="USD",1/INDEX(Settings!$B$29:$B$40,MONTH(A3113)),INDEX(Settings!$B$29:$B$40,MONTH(A3113)))))</f>
        <v/>
      </c>
    </row>
    <row r="3114" customFormat="false" ht="15" hidden="false" customHeight="false" outlineLevel="0" collapsed="false">
      <c r="H3114" s="0" t="str">
        <f aca="false">IF(B3114="","",IF(COUNTIF(Campaigns!$A$7:$A$300,B3114)&gt;0,"✓","⚠ add to Campaigns tab"))</f>
        <v/>
      </c>
      <c r="I3114" s="84" t="str">
        <f aca="false">IF(C3114="","",C3114*IF(Settings!$B$22=Settings!$C$6,1,IF(Settings!$B$22="USD",1/INDEX(Settings!$B$29:$B$40,MONTH(A3114)),INDEX(Settings!$B$29:$B$40,MONTH(A3114)))))</f>
        <v/>
      </c>
    </row>
    <row r="3115" customFormat="false" ht="15" hidden="false" customHeight="false" outlineLevel="0" collapsed="false">
      <c r="H3115" s="0" t="str">
        <f aca="false">IF(B3115="","",IF(COUNTIF(Campaigns!$A$7:$A$300,B3115)&gt;0,"✓","⚠ add to Campaigns tab"))</f>
        <v/>
      </c>
      <c r="I3115" s="84" t="str">
        <f aca="false">IF(C3115="","",C3115*IF(Settings!$B$22=Settings!$C$6,1,IF(Settings!$B$22="USD",1/INDEX(Settings!$B$29:$B$40,MONTH(A3115)),INDEX(Settings!$B$29:$B$40,MONTH(A3115)))))</f>
        <v/>
      </c>
    </row>
    <row r="3116" customFormat="false" ht="15" hidden="false" customHeight="false" outlineLevel="0" collapsed="false">
      <c r="H3116" s="0" t="str">
        <f aca="false">IF(B3116="","",IF(COUNTIF(Campaigns!$A$7:$A$300,B3116)&gt;0,"✓","⚠ add to Campaigns tab"))</f>
        <v/>
      </c>
      <c r="I3116" s="84" t="str">
        <f aca="false">IF(C3116="","",C3116*IF(Settings!$B$22=Settings!$C$6,1,IF(Settings!$B$22="USD",1/INDEX(Settings!$B$29:$B$40,MONTH(A3116)),INDEX(Settings!$B$29:$B$40,MONTH(A3116)))))</f>
        <v/>
      </c>
    </row>
    <row r="3117" customFormat="false" ht="15" hidden="false" customHeight="false" outlineLevel="0" collapsed="false">
      <c r="H3117" s="0" t="str">
        <f aca="false">IF(B3117="","",IF(COUNTIF(Campaigns!$A$7:$A$300,B3117)&gt;0,"✓","⚠ add to Campaigns tab"))</f>
        <v/>
      </c>
      <c r="I3117" s="84" t="str">
        <f aca="false">IF(C3117="","",C3117*IF(Settings!$B$22=Settings!$C$6,1,IF(Settings!$B$22="USD",1/INDEX(Settings!$B$29:$B$40,MONTH(A3117)),INDEX(Settings!$B$29:$B$40,MONTH(A3117)))))</f>
        <v/>
      </c>
    </row>
    <row r="3118" customFormat="false" ht="15" hidden="false" customHeight="false" outlineLevel="0" collapsed="false">
      <c r="H3118" s="0" t="str">
        <f aca="false">IF(B3118="","",IF(COUNTIF(Campaigns!$A$7:$A$300,B3118)&gt;0,"✓","⚠ add to Campaigns tab"))</f>
        <v/>
      </c>
      <c r="I3118" s="84" t="str">
        <f aca="false">IF(C3118="","",C3118*IF(Settings!$B$22=Settings!$C$6,1,IF(Settings!$B$22="USD",1/INDEX(Settings!$B$29:$B$40,MONTH(A3118)),INDEX(Settings!$B$29:$B$40,MONTH(A3118)))))</f>
        <v/>
      </c>
    </row>
    <row r="3119" customFormat="false" ht="15" hidden="false" customHeight="false" outlineLevel="0" collapsed="false">
      <c r="H3119" s="0" t="str">
        <f aca="false">IF(B3119="","",IF(COUNTIF(Campaigns!$A$7:$A$300,B3119)&gt;0,"✓","⚠ add to Campaigns tab"))</f>
        <v/>
      </c>
      <c r="I3119" s="84" t="str">
        <f aca="false">IF(C3119="","",C3119*IF(Settings!$B$22=Settings!$C$6,1,IF(Settings!$B$22="USD",1/INDEX(Settings!$B$29:$B$40,MONTH(A3119)),INDEX(Settings!$B$29:$B$40,MONTH(A3119)))))</f>
        <v/>
      </c>
    </row>
    <row r="3120" customFormat="false" ht="15" hidden="false" customHeight="false" outlineLevel="0" collapsed="false">
      <c r="H3120" s="0" t="str">
        <f aca="false">IF(B3120="","",IF(COUNTIF(Campaigns!$A$7:$A$300,B3120)&gt;0,"✓","⚠ add to Campaigns tab"))</f>
        <v/>
      </c>
      <c r="I3120" s="84" t="str">
        <f aca="false">IF(C3120="","",C3120*IF(Settings!$B$22=Settings!$C$6,1,IF(Settings!$B$22="USD",1/INDEX(Settings!$B$29:$B$40,MONTH(A3120)),INDEX(Settings!$B$29:$B$40,MONTH(A3120)))))</f>
        <v/>
      </c>
    </row>
    <row r="3121" customFormat="false" ht="15" hidden="false" customHeight="false" outlineLevel="0" collapsed="false">
      <c r="H3121" s="0" t="str">
        <f aca="false">IF(B3121="","",IF(COUNTIF(Campaigns!$A$7:$A$300,B3121)&gt;0,"✓","⚠ add to Campaigns tab"))</f>
        <v/>
      </c>
      <c r="I3121" s="84" t="str">
        <f aca="false">IF(C3121="","",C3121*IF(Settings!$B$22=Settings!$C$6,1,IF(Settings!$B$22="USD",1/INDEX(Settings!$B$29:$B$40,MONTH(A3121)),INDEX(Settings!$B$29:$B$40,MONTH(A3121)))))</f>
        <v/>
      </c>
    </row>
    <row r="3122" customFormat="false" ht="15" hidden="false" customHeight="false" outlineLevel="0" collapsed="false">
      <c r="H3122" s="0" t="str">
        <f aca="false">IF(B3122="","",IF(COUNTIF(Campaigns!$A$7:$A$300,B3122)&gt;0,"✓","⚠ add to Campaigns tab"))</f>
        <v/>
      </c>
      <c r="I3122" s="84" t="str">
        <f aca="false">IF(C3122="","",C3122*IF(Settings!$B$22=Settings!$C$6,1,IF(Settings!$B$22="USD",1/INDEX(Settings!$B$29:$B$40,MONTH(A3122)),INDEX(Settings!$B$29:$B$40,MONTH(A3122)))))</f>
        <v/>
      </c>
    </row>
    <row r="3123" customFormat="false" ht="15" hidden="false" customHeight="false" outlineLevel="0" collapsed="false">
      <c r="H3123" s="0" t="str">
        <f aca="false">IF(B3123="","",IF(COUNTIF(Campaigns!$A$7:$A$300,B3123)&gt;0,"✓","⚠ add to Campaigns tab"))</f>
        <v/>
      </c>
      <c r="I3123" s="84" t="str">
        <f aca="false">IF(C3123="","",C3123*IF(Settings!$B$22=Settings!$C$6,1,IF(Settings!$B$22="USD",1/INDEX(Settings!$B$29:$B$40,MONTH(A3123)),INDEX(Settings!$B$29:$B$40,MONTH(A3123)))))</f>
        <v/>
      </c>
    </row>
    <row r="3124" customFormat="false" ht="15" hidden="false" customHeight="false" outlineLevel="0" collapsed="false">
      <c r="H3124" s="0" t="str">
        <f aca="false">IF(B3124="","",IF(COUNTIF(Campaigns!$A$7:$A$300,B3124)&gt;0,"✓","⚠ add to Campaigns tab"))</f>
        <v/>
      </c>
      <c r="I3124" s="84" t="str">
        <f aca="false">IF(C3124="","",C3124*IF(Settings!$B$22=Settings!$C$6,1,IF(Settings!$B$22="USD",1/INDEX(Settings!$B$29:$B$40,MONTH(A3124)),INDEX(Settings!$B$29:$B$40,MONTH(A3124)))))</f>
        <v/>
      </c>
    </row>
    <row r="3125" customFormat="false" ht="15" hidden="false" customHeight="false" outlineLevel="0" collapsed="false">
      <c r="H3125" s="0" t="str">
        <f aca="false">IF(B3125="","",IF(COUNTIF(Campaigns!$A$7:$A$300,B3125)&gt;0,"✓","⚠ add to Campaigns tab"))</f>
        <v/>
      </c>
      <c r="I3125" s="84" t="str">
        <f aca="false">IF(C3125="","",C3125*IF(Settings!$B$22=Settings!$C$6,1,IF(Settings!$B$22="USD",1/INDEX(Settings!$B$29:$B$40,MONTH(A3125)),INDEX(Settings!$B$29:$B$40,MONTH(A3125)))))</f>
        <v/>
      </c>
    </row>
    <row r="3126" customFormat="false" ht="15" hidden="false" customHeight="false" outlineLevel="0" collapsed="false">
      <c r="H3126" s="0" t="str">
        <f aca="false">IF(B3126="","",IF(COUNTIF(Campaigns!$A$7:$A$300,B3126)&gt;0,"✓","⚠ add to Campaigns tab"))</f>
        <v/>
      </c>
      <c r="I3126" s="84" t="str">
        <f aca="false">IF(C3126="","",C3126*IF(Settings!$B$22=Settings!$C$6,1,IF(Settings!$B$22="USD",1/INDEX(Settings!$B$29:$B$40,MONTH(A3126)),INDEX(Settings!$B$29:$B$40,MONTH(A3126)))))</f>
        <v/>
      </c>
    </row>
    <row r="3127" customFormat="false" ht="15" hidden="false" customHeight="false" outlineLevel="0" collapsed="false">
      <c r="H3127" s="0" t="str">
        <f aca="false">IF(B3127="","",IF(COUNTIF(Campaigns!$A$7:$A$300,B3127)&gt;0,"✓","⚠ add to Campaigns tab"))</f>
        <v/>
      </c>
      <c r="I3127" s="84" t="str">
        <f aca="false">IF(C3127="","",C3127*IF(Settings!$B$22=Settings!$C$6,1,IF(Settings!$B$22="USD",1/INDEX(Settings!$B$29:$B$40,MONTH(A3127)),INDEX(Settings!$B$29:$B$40,MONTH(A3127)))))</f>
        <v/>
      </c>
    </row>
    <row r="3128" customFormat="false" ht="15" hidden="false" customHeight="false" outlineLevel="0" collapsed="false">
      <c r="H3128" s="0" t="str">
        <f aca="false">IF(B3128="","",IF(COUNTIF(Campaigns!$A$7:$A$300,B3128)&gt;0,"✓","⚠ add to Campaigns tab"))</f>
        <v/>
      </c>
      <c r="I3128" s="84" t="str">
        <f aca="false">IF(C3128="","",C3128*IF(Settings!$B$22=Settings!$C$6,1,IF(Settings!$B$22="USD",1/INDEX(Settings!$B$29:$B$40,MONTH(A3128)),INDEX(Settings!$B$29:$B$40,MONTH(A3128)))))</f>
        <v/>
      </c>
    </row>
    <row r="3129" customFormat="false" ht="15" hidden="false" customHeight="false" outlineLevel="0" collapsed="false">
      <c r="H3129" s="0" t="str">
        <f aca="false">IF(B3129="","",IF(COUNTIF(Campaigns!$A$7:$A$300,B3129)&gt;0,"✓","⚠ add to Campaigns tab"))</f>
        <v/>
      </c>
      <c r="I3129" s="84" t="str">
        <f aca="false">IF(C3129="","",C3129*IF(Settings!$B$22=Settings!$C$6,1,IF(Settings!$B$22="USD",1/INDEX(Settings!$B$29:$B$40,MONTH(A3129)),INDEX(Settings!$B$29:$B$40,MONTH(A3129)))))</f>
        <v/>
      </c>
    </row>
    <row r="3130" customFormat="false" ht="15" hidden="false" customHeight="false" outlineLevel="0" collapsed="false">
      <c r="H3130" s="0" t="str">
        <f aca="false">IF(B3130="","",IF(COUNTIF(Campaigns!$A$7:$A$300,B3130)&gt;0,"✓","⚠ add to Campaigns tab"))</f>
        <v/>
      </c>
      <c r="I3130" s="84" t="str">
        <f aca="false">IF(C3130="","",C3130*IF(Settings!$B$22=Settings!$C$6,1,IF(Settings!$B$22="USD",1/INDEX(Settings!$B$29:$B$40,MONTH(A3130)),INDEX(Settings!$B$29:$B$40,MONTH(A3130)))))</f>
        <v/>
      </c>
    </row>
    <row r="3131" customFormat="false" ht="15" hidden="false" customHeight="false" outlineLevel="0" collapsed="false">
      <c r="H3131" s="0" t="str">
        <f aca="false">IF(B3131="","",IF(COUNTIF(Campaigns!$A$7:$A$300,B3131)&gt;0,"✓","⚠ add to Campaigns tab"))</f>
        <v/>
      </c>
      <c r="I3131" s="84" t="str">
        <f aca="false">IF(C3131="","",C3131*IF(Settings!$B$22=Settings!$C$6,1,IF(Settings!$B$22="USD",1/INDEX(Settings!$B$29:$B$40,MONTH(A3131)),INDEX(Settings!$B$29:$B$40,MONTH(A3131)))))</f>
        <v/>
      </c>
    </row>
    <row r="3132" customFormat="false" ht="15" hidden="false" customHeight="false" outlineLevel="0" collapsed="false">
      <c r="H3132" s="0" t="str">
        <f aca="false">IF(B3132="","",IF(COUNTIF(Campaigns!$A$7:$A$300,B3132)&gt;0,"✓","⚠ add to Campaigns tab"))</f>
        <v/>
      </c>
      <c r="I3132" s="84" t="str">
        <f aca="false">IF(C3132="","",C3132*IF(Settings!$B$22=Settings!$C$6,1,IF(Settings!$B$22="USD",1/INDEX(Settings!$B$29:$B$40,MONTH(A3132)),INDEX(Settings!$B$29:$B$40,MONTH(A3132)))))</f>
        <v/>
      </c>
    </row>
    <row r="3133" customFormat="false" ht="15" hidden="false" customHeight="false" outlineLevel="0" collapsed="false">
      <c r="H3133" s="0" t="str">
        <f aca="false">IF(B3133="","",IF(COUNTIF(Campaigns!$A$7:$A$300,B3133)&gt;0,"✓","⚠ add to Campaigns tab"))</f>
        <v/>
      </c>
      <c r="I3133" s="84" t="str">
        <f aca="false">IF(C3133="","",C3133*IF(Settings!$B$22=Settings!$C$6,1,IF(Settings!$B$22="USD",1/INDEX(Settings!$B$29:$B$40,MONTH(A3133)),INDEX(Settings!$B$29:$B$40,MONTH(A3133)))))</f>
        <v/>
      </c>
    </row>
    <row r="3134" customFormat="false" ht="15" hidden="false" customHeight="false" outlineLevel="0" collapsed="false">
      <c r="H3134" s="0" t="str">
        <f aca="false">IF(B3134="","",IF(COUNTIF(Campaigns!$A$7:$A$300,B3134)&gt;0,"✓","⚠ add to Campaigns tab"))</f>
        <v/>
      </c>
      <c r="I3134" s="84" t="str">
        <f aca="false">IF(C3134="","",C3134*IF(Settings!$B$22=Settings!$C$6,1,IF(Settings!$B$22="USD",1/INDEX(Settings!$B$29:$B$40,MONTH(A3134)),INDEX(Settings!$B$29:$B$40,MONTH(A3134)))))</f>
        <v/>
      </c>
    </row>
    <row r="3135" customFormat="false" ht="15" hidden="false" customHeight="false" outlineLevel="0" collapsed="false">
      <c r="H3135" s="0" t="str">
        <f aca="false">IF(B3135="","",IF(COUNTIF(Campaigns!$A$7:$A$300,B3135)&gt;0,"✓","⚠ add to Campaigns tab"))</f>
        <v/>
      </c>
      <c r="I3135" s="84" t="str">
        <f aca="false">IF(C3135="","",C3135*IF(Settings!$B$22=Settings!$C$6,1,IF(Settings!$B$22="USD",1/INDEX(Settings!$B$29:$B$40,MONTH(A3135)),INDEX(Settings!$B$29:$B$40,MONTH(A3135)))))</f>
        <v/>
      </c>
    </row>
    <row r="3136" customFormat="false" ht="15" hidden="false" customHeight="false" outlineLevel="0" collapsed="false">
      <c r="H3136" s="0" t="str">
        <f aca="false">IF(B3136="","",IF(COUNTIF(Campaigns!$A$7:$A$300,B3136)&gt;0,"✓","⚠ add to Campaigns tab"))</f>
        <v/>
      </c>
      <c r="I3136" s="84" t="str">
        <f aca="false">IF(C3136="","",C3136*IF(Settings!$B$22=Settings!$C$6,1,IF(Settings!$B$22="USD",1/INDEX(Settings!$B$29:$B$40,MONTH(A3136)),INDEX(Settings!$B$29:$B$40,MONTH(A3136)))))</f>
        <v/>
      </c>
    </row>
    <row r="3137" customFormat="false" ht="15" hidden="false" customHeight="false" outlineLevel="0" collapsed="false">
      <c r="H3137" s="0" t="str">
        <f aca="false">IF(B3137="","",IF(COUNTIF(Campaigns!$A$7:$A$300,B3137)&gt;0,"✓","⚠ add to Campaigns tab"))</f>
        <v/>
      </c>
      <c r="I3137" s="84" t="str">
        <f aca="false">IF(C3137="","",C3137*IF(Settings!$B$22=Settings!$C$6,1,IF(Settings!$B$22="USD",1/INDEX(Settings!$B$29:$B$40,MONTH(A3137)),INDEX(Settings!$B$29:$B$40,MONTH(A3137)))))</f>
        <v/>
      </c>
    </row>
    <row r="3138" customFormat="false" ht="15" hidden="false" customHeight="false" outlineLevel="0" collapsed="false">
      <c r="H3138" s="0" t="str">
        <f aca="false">IF(B3138="","",IF(COUNTIF(Campaigns!$A$7:$A$300,B3138)&gt;0,"✓","⚠ add to Campaigns tab"))</f>
        <v/>
      </c>
      <c r="I3138" s="84" t="str">
        <f aca="false">IF(C3138="","",C3138*IF(Settings!$B$22=Settings!$C$6,1,IF(Settings!$B$22="USD",1/INDEX(Settings!$B$29:$B$40,MONTH(A3138)),INDEX(Settings!$B$29:$B$40,MONTH(A3138)))))</f>
        <v/>
      </c>
    </row>
    <row r="3139" customFormat="false" ht="15" hidden="false" customHeight="false" outlineLevel="0" collapsed="false">
      <c r="H3139" s="0" t="str">
        <f aca="false">IF(B3139="","",IF(COUNTIF(Campaigns!$A$7:$A$300,B3139)&gt;0,"✓","⚠ add to Campaigns tab"))</f>
        <v/>
      </c>
      <c r="I3139" s="84" t="str">
        <f aca="false">IF(C3139="","",C3139*IF(Settings!$B$22=Settings!$C$6,1,IF(Settings!$B$22="USD",1/INDEX(Settings!$B$29:$B$40,MONTH(A3139)),INDEX(Settings!$B$29:$B$40,MONTH(A3139)))))</f>
        <v/>
      </c>
    </row>
    <row r="3140" customFormat="false" ht="15" hidden="false" customHeight="false" outlineLevel="0" collapsed="false">
      <c r="H3140" s="0" t="str">
        <f aca="false">IF(B3140="","",IF(COUNTIF(Campaigns!$A$7:$A$300,B3140)&gt;0,"✓","⚠ add to Campaigns tab"))</f>
        <v/>
      </c>
      <c r="I3140" s="84" t="str">
        <f aca="false">IF(C3140="","",C3140*IF(Settings!$B$22=Settings!$C$6,1,IF(Settings!$B$22="USD",1/INDEX(Settings!$B$29:$B$40,MONTH(A3140)),INDEX(Settings!$B$29:$B$40,MONTH(A3140)))))</f>
        <v/>
      </c>
    </row>
    <row r="3141" customFormat="false" ht="15" hidden="false" customHeight="false" outlineLevel="0" collapsed="false">
      <c r="H3141" s="0" t="str">
        <f aca="false">IF(B3141="","",IF(COUNTIF(Campaigns!$A$7:$A$300,B3141)&gt;0,"✓","⚠ add to Campaigns tab"))</f>
        <v/>
      </c>
      <c r="I3141" s="84" t="str">
        <f aca="false">IF(C3141="","",C3141*IF(Settings!$B$22=Settings!$C$6,1,IF(Settings!$B$22="USD",1/INDEX(Settings!$B$29:$B$40,MONTH(A3141)),INDEX(Settings!$B$29:$B$40,MONTH(A3141)))))</f>
        <v/>
      </c>
    </row>
    <row r="3142" customFormat="false" ht="15" hidden="false" customHeight="false" outlineLevel="0" collapsed="false">
      <c r="H3142" s="0" t="str">
        <f aca="false">IF(B3142="","",IF(COUNTIF(Campaigns!$A$7:$A$300,B3142)&gt;0,"✓","⚠ add to Campaigns tab"))</f>
        <v/>
      </c>
      <c r="I3142" s="84" t="str">
        <f aca="false">IF(C3142="","",C3142*IF(Settings!$B$22=Settings!$C$6,1,IF(Settings!$B$22="USD",1/INDEX(Settings!$B$29:$B$40,MONTH(A3142)),INDEX(Settings!$B$29:$B$40,MONTH(A3142)))))</f>
        <v/>
      </c>
    </row>
    <row r="3143" customFormat="false" ht="15" hidden="false" customHeight="false" outlineLevel="0" collapsed="false">
      <c r="H3143" s="0" t="str">
        <f aca="false">IF(B3143="","",IF(COUNTIF(Campaigns!$A$7:$A$300,B3143)&gt;0,"✓","⚠ add to Campaigns tab"))</f>
        <v/>
      </c>
      <c r="I3143" s="84" t="str">
        <f aca="false">IF(C3143="","",C3143*IF(Settings!$B$22=Settings!$C$6,1,IF(Settings!$B$22="USD",1/INDEX(Settings!$B$29:$B$40,MONTH(A3143)),INDEX(Settings!$B$29:$B$40,MONTH(A3143)))))</f>
        <v/>
      </c>
    </row>
    <row r="3144" customFormat="false" ht="15" hidden="false" customHeight="false" outlineLevel="0" collapsed="false">
      <c r="H3144" s="0" t="str">
        <f aca="false">IF(B3144="","",IF(COUNTIF(Campaigns!$A$7:$A$300,B3144)&gt;0,"✓","⚠ add to Campaigns tab"))</f>
        <v/>
      </c>
      <c r="I3144" s="84" t="str">
        <f aca="false">IF(C3144="","",C3144*IF(Settings!$B$22=Settings!$C$6,1,IF(Settings!$B$22="USD",1/INDEX(Settings!$B$29:$B$40,MONTH(A3144)),INDEX(Settings!$B$29:$B$40,MONTH(A3144)))))</f>
        <v/>
      </c>
    </row>
    <row r="3145" customFormat="false" ht="15" hidden="false" customHeight="false" outlineLevel="0" collapsed="false">
      <c r="H3145" s="0" t="str">
        <f aca="false">IF(B3145="","",IF(COUNTIF(Campaigns!$A$7:$A$300,B3145)&gt;0,"✓","⚠ add to Campaigns tab"))</f>
        <v/>
      </c>
      <c r="I3145" s="84" t="str">
        <f aca="false">IF(C3145="","",C3145*IF(Settings!$B$22=Settings!$C$6,1,IF(Settings!$B$22="USD",1/INDEX(Settings!$B$29:$B$40,MONTH(A3145)),INDEX(Settings!$B$29:$B$40,MONTH(A3145)))))</f>
        <v/>
      </c>
    </row>
    <row r="3146" customFormat="false" ht="15" hidden="false" customHeight="false" outlineLevel="0" collapsed="false">
      <c r="H3146" s="0" t="str">
        <f aca="false">IF(B3146="","",IF(COUNTIF(Campaigns!$A$7:$A$300,B3146)&gt;0,"✓","⚠ add to Campaigns tab"))</f>
        <v/>
      </c>
      <c r="I3146" s="84" t="str">
        <f aca="false">IF(C3146="","",C3146*IF(Settings!$B$22=Settings!$C$6,1,IF(Settings!$B$22="USD",1/INDEX(Settings!$B$29:$B$40,MONTH(A3146)),INDEX(Settings!$B$29:$B$40,MONTH(A3146)))))</f>
        <v/>
      </c>
    </row>
    <row r="3147" customFormat="false" ht="15" hidden="false" customHeight="false" outlineLevel="0" collapsed="false">
      <c r="H3147" s="0" t="str">
        <f aca="false">IF(B3147="","",IF(COUNTIF(Campaigns!$A$7:$A$300,B3147)&gt;0,"✓","⚠ add to Campaigns tab"))</f>
        <v/>
      </c>
      <c r="I3147" s="84" t="str">
        <f aca="false">IF(C3147="","",C3147*IF(Settings!$B$22=Settings!$C$6,1,IF(Settings!$B$22="USD",1/INDEX(Settings!$B$29:$B$40,MONTH(A3147)),INDEX(Settings!$B$29:$B$40,MONTH(A3147)))))</f>
        <v/>
      </c>
    </row>
    <row r="3148" customFormat="false" ht="15" hidden="false" customHeight="false" outlineLevel="0" collapsed="false">
      <c r="H3148" s="0" t="str">
        <f aca="false">IF(B3148="","",IF(COUNTIF(Campaigns!$A$7:$A$300,B3148)&gt;0,"✓","⚠ add to Campaigns tab"))</f>
        <v/>
      </c>
      <c r="I3148" s="84" t="str">
        <f aca="false">IF(C3148="","",C3148*IF(Settings!$B$22=Settings!$C$6,1,IF(Settings!$B$22="USD",1/INDEX(Settings!$B$29:$B$40,MONTH(A3148)),INDEX(Settings!$B$29:$B$40,MONTH(A3148)))))</f>
        <v/>
      </c>
    </row>
    <row r="3149" customFormat="false" ht="15" hidden="false" customHeight="false" outlineLevel="0" collapsed="false">
      <c r="H3149" s="0" t="str">
        <f aca="false">IF(B3149="","",IF(COUNTIF(Campaigns!$A$7:$A$300,B3149)&gt;0,"✓","⚠ add to Campaigns tab"))</f>
        <v/>
      </c>
      <c r="I3149" s="84" t="str">
        <f aca="false">IF(C3149="","",C3149*IF(Settings!$B$22=Settings!$C$6,1,IF(Settings!$B$22="USD",1/INDEX(Settings!$B$29:$B$40,MONTH(A3149)),INDEX(Settings!$B$29:$B$40,MONTH(A3149)))))</f>
        <v/>
      </c>
    </row>
    <row r="3150" customFormat="false" ht="15" hidden="false" customHeight="false" outlineLevel="0" collapsed="false">
      <c r="H3150" s="0" t="str">
        <f aca="false">IF(B3150="","",IF(COUNTIF(Campaigns!$A$7:$A$300,B3150)&gt;0,"✓","⚠ add to Campaigns tab"))</f>
        <v/>
      </c>
      <c r="I3150" s="84" t="str">
        <f aca="false">IF(C3150="","",C3150*IF(Settings!$B$22=Settings!$C$6,1,IF(Settings!$B$22="USD",1/INDEX(Settings!$B$29:$B$40,MONTH(A3150)),INDEX(Settings!$B$29:$B$40,MONTH(A3150)))))</f>
        <v/>
      </c>
    </row>
    <row r="3151" customFormat="false" ht="15" hidden="false" customHeight="false" outlineLevel="0" collapsed="false">
      <c r="H3151" s="0" t="str">
        <f aca="false">IF(B3151="","",IF(COUNTIF(Campaigns!$A$7:$A$300,B3151)&gt;0,"✓","⚠ add to Campaigns tab"))</f>
        <v/>
      </c>
      <c r="I3151" s="84" t="str">
        <f aca="false">IF(C3151="","",C3151*IF(Settings!$B$22=Settings!$C$6,1,IF(Settings!$B$22="USD",1/INDEX(Settings!$B$29:$B$40,MONTH(A3151)),INDEX(Settings!$B$29:$B$40,MONTH(A3151)))))</f>
        <v/>
      </c>
    </row>
    <row r="3152" customFormat="false" ht="15" hidden="false" customHeight="false" outlineLevel="0" collapsed="false">
      <c r="H3152" s="0" t="str">
        <f aca="false">IF(B3152="","",IF(COUNTIF(Campaigns!$A$7:$A$300,B3152)&gt;0,"✓","⚠ add to Campaigns tab"))</f>
        <v/>
      </c>
      <c r="I3152" s="84" t="str">
        <f aca="false">IF(C3152="","",C3152*IF(Settings!$B$22=Settings!$C$6,1,IF(Settings!$B$22="USD",1/INDEX(Settings!$B$29:$B$40,MONTH(A3152)),INDEX(Settings!$B$29:$B$40,MONTH(A3152)))))</f>
        <v/>
      </c>
    </row>
    <row r="3153" customFormat="false" ht="15" hidden="false" customHeight="false" outlineLevel="0" collapsed="false">
      <c r="H3153" s="0" t="str">
        <f aca="false">IF(B3153="","",IF(COUNTIF(Campaigns!$A$7:$A$300,B3153)&gt;0,"✓","⚠ add to Campaigns tab"))</f>
        <v/>
      </c>
      <c r="I3153" s="84" t="str">
        <f aca="false">IF(C3153="","",C3153*IF(Settings!$B$22=Settings!$C$6,1,IF(Settings!$B$22="USD",1/INDEX(Settings!$B$29:$B$40,MONTH(A3153)),INDEX(Settings!$B$29:$B$40,MONTH(A3153)))))</f>
        <v/>
      </c>
    </row>
    <row r="3154" customFormat="false" ht="15" hidden="false" customHeight="false" outlineLevel="0" collapsed="false">
      <c r="H3154" s="0" t="str">
        <f aca="false">IF(B3154="","",IF(COUNTIF(Campaigns!$A$7:$A$300,B3154)&gt;0,"✓","⚠ add to Campaigns tab"))</f>
        <v/>
      </c>
      <c r="I3154" s="84" t="str">
        <f aca="false">IF(C3154="","",C3154*IF(Settings!$B$22=Settings!$C$6,1,IF(Settings!$B$22="USD",1/INDEX(Settings!$B$29:$B$40,MONTH(A3154)),INDEX(Settings!$B$29:$B$40,MONTH(A3154)))))</f>
        <v/>
      </c>
    </row>
    <row r="3155" customFormat="false" ht="15" hidden="false" customHeight="false" outlineLevel="0" collapsed="false">
      <c r="H3155" s="0" t="str">
        <f aca="false">IF(B3155="","",IF(COUNTIF(Campaigns!$A$7:$A$300,B3155)&gt;0,"✓","⚠ add to Campaigns tab"))</f>
        <v/>
      </c>
      <c r="I3155" s="84" t="str">
        <f aca="false">IF(C3155="","",C3155*IF(Settings!$B$22=Settings!$C$6,1,IF(Settings!$B$22="USD",1/INDEX(Settings!$B$29:$B$40,MONTH(A3155)),INDEX(Settings!$B$29:$B$40,MONTH(A3155)))))</f>
        <v/>
      </c>
    </row>
    <row r="3156" customFormat="false" ht="15" hidden="false" customHeight="false" outlineLevel="0" collapsed="false">
      <c r="H3156" s="0" t="str">
        <f aca="false">IF(B3156="","",IF(COUNTIF(Campaigns!$A$7:$A$300,B3156)&gt;0,"✓","⚠ add to Campaigns tab"))</f>
        <v/>
      </c>
      <c r="I3156" s="84" t="str">
        <f aca="false">IF(C3156="","",C3156*IF(Settings!$B$22=Settings!$C$6,1,IF(Settings!$B$22="USD",1/INDEX(Settings!$B$29:$B$40,MONTH(A3156)),INDEX(Settings!$B$29:$B$40,MONTH(A3156)))))</f>
        <v/>
      </c>
    </row>
    <row r="3157" customFormat="false" ht="15" hidden="false" customHeight="false" outlineLevel="0" collapsed="false">
      <c r="H3157" s="0" t="str">
        <f aca="false">IF(B3157="","",IF(COUNTIF(Campaigns!$A$7:$A$300,B3157)&gt;0,"✓","⚠ add to Campaigns tab"))</f>
        <v/>
      </c>
      <c r="I3157" s="84" t="str">
        <f aca="false">IF(C3157="","",C3157*IF(Settings!$B$22=Settings!$C$6,1,IF(Settings!$B$22="USD",1/INDEX(Settings!$B$29:$B$40,MONTH(A3157)),INDEX(Settings!$B$29:$B$40,MONTH(A3157)))))</f>
        <v/>
      </c>
    </row>
    <row r="3158" customFormat="false" ht="15" hidden="false" customHeight="false" outlineLevel="0" collapsed="false">
      <c r="H3158" s="0" t="str">
        <f aca="false">IF(B3158="","",IF(COUNTIF(Campaigns!$A$7:$A$300,B3158)&gt;0,"✓","⚠ add to Campaigns tab"))</f>
        <v/>
      </c>
      <c r="I3158" s="84" t="str">
        <f aca="false">IF(C3158="","",C3158*IF(Settings!$B$22=Settings!$C$6,1,IF(Settings!$B$22="USD",1/INDEX(Settings!$B$29:$B$40,MONTH(A3158)),INDEX(Settings!$B$29:$B$40,MONTH(A3158)))))</f>
        <v/>
      </c>
    </row>
    <row r="3159" customFormat="false" ht="15" hidden="false" customHeight="false" outlineLevel="0" collapsed="false">
      <c r="H3159" s="0" t="str">
        <f aca="false">IF(B3159="","",IF(COUNTIF(Campaigns!$A$7:$A$300,B3159)&gt;0,"✓","⚠ add to Campaigns tab"))</f>
        <v/>
      </c>
      <c r="I3159" s="84" t="str">
        <f aca="false">IF(C3159="","",C3159*IF(Settings!$B$22=Settings!$C$6,1,IF(Settings!$B$22="USD",1/INDEX(Settings!$B$29:$B$40,MONTH(A3159)),INDEX(Settings!$B$29:$B$40,MONTH(A3159)))))</f>
        <v/>
      </c>
    </row>
    <row r="3160" customFormat="false" ht="15" hidden="false" customHeight="false" outlineLevel="0" collapsed="false">
      <c r="H3160" s="0" t="str">
        <f aca="false">IF(B3160="","",IF(COUNTIF(Campaigns!$A$7:$A$300,B3160)&gt;0,"✓","⚠ add to Campaigns tab"))</f>
        <v/>
      </c>
      <c r="I3160" s="84" t="str">
        <f aca="false">IF(C3160="","",C3160*IF(Settings!$B$22=Settings!$C$6,1,IF(Settings!$B$22="USD",1/INDEX(Settings!$B$29:$B$40,MONTH(A3160)),INDEX(Settings!$B$29:$B$40,MONTH(A3160)))))</f>
        <v/>
      </c>
    </row>
    <row r="3161" customFormat="false" ht="15" hidden="false" customHeight="false" outlineLevel="0" collapsed="false">
      <c r="H3161" s="0" t="str">
        <f aca="false">IF(B3161="","",IF(COUNTIF(Campaigns!$A$7:$A$300,B3161)&gt;0,"✓","⚠ add to Campaigns tab"))</f>
        <v/>
      </c>
      <c r="I3161" s="84" t="str">
        <f aca="false">IF(C3161="","",C3161*IF(Settings!$B$22=Settings!$C$6,1,IF(Settings!$B$22="USD",1/INDEX(Settings!$B$29:$B$40,MONTH(A3161)),INDEX(Settings!$B$29:$B$40,MONTH(A3161)))))</f>
        <v/>
      </c>
    </row>
    <row r="3162" customFormat="false" ht="15" hidden="false" customHeight="false" outlineLevel="0" collapsed="false">
      <c r="H3162" s="0" t="str">
        <f aca="false">IF(B3162="","",IF(COUNTIF(Campaigns!$A$7:$A$300,B3162)&gt;0,"✓","⚠ add to Campaigns tab"))</f>
        <v/>
      </c>
      <c r="I3162" s="84" t="str">
        <f aca="false">IF(C3162="","",C3162*IF(Settings!$B$22=Settings!$C$6,1,IF(Settings!$B$22="USD",1/INDEX(Settings!$B$29:$B$40,MONTH(A3162)),INDEX(Settings!$B$29:$B$40,MONTH(A3162)))))</f>
        <v/>
      </c>
    </row>
    <row r="3163" customFormat="false" ht="15" hidden="false" customHeight="false" outlineLevel="0" collapsed="false">
      <c r="H3163" s="0" t="str">
        <f aca="false">IF(B3163="","",IF(COUNTIF(Campaigns!$A$7:$A$300,B3163)&gt;0,"✓","⚠ add to Campaigns tab"))</f>
        <v/>
      </c>
      <c r="I3163" s="84" t="str">
        <f aca="false">IF(C3163="","",C3163*IF(Settings!$B$22=Settings!$C$6,1,IF(Settings!$B$22="USD",1/INDEX(Settings!$B$29:$B$40,MONTH(A3163)),INDEX(Settings!$B$29:$B$40,MONTH(A3163)))))</f>
        <v/>
      </c>
    </row>
    <row r="3164" customFormat="false" ht="15" hidden="false" customHeight="false" outlineLevel="0" collapsed="false">
      <c r="H3164" s="0" t="str">
        <f aca="false">IF(B3164="","",IF(COUNTIF(Campaigns!$A$7:$A$300,B3164)&gt;0,"✓","⚠ add to Campaigns tab"))</f>
        <v/>
      </c>
      <c r="I3164" s="84" t="str">
        <f aca="false">IF(C3164="","",C3164*IF(Settings!$B$22=Settings!$C$6,1,IF(Settings!$B$22="USD",1/INDEX(Settings!$B$29:$B$40,MONTH(A3164)),INDEX(Settings!$B$29:$B$40,MONTH(A3164)))))</f>
        <v/>
      </c>
    </row>
    <row r="3165" customFormat="false" ht="15" hidden="false" customHeight="false" outlineLevel="0" collapsed="false">
      <c r="H3165" s="0" t="str">
        <f aca="false">IF(B3165="","",IF(COUNTIF(Campaigns!$A$7:$A$300,B3165)&gt;0,"✓","⚠ add to Campaigns tab"))</f>
        <v/>
      </c>
      <c r="I3165" s="84" t="str">
        <f aca="false">IF(C3165="","",C3165*IF(Settings!$B$22=Settings!$C$6,1,IF(Settings!$B$22="USD",1/INDEX(Settings!$B$29:$B$40,MONTH(A3165)),INDEX(Settings!$B$29:$B$40,MONTH(A3165)))))</f>
        <v/>
      </c>
    </row>
    <row r="3166" customFormat="false" ht="15" hidden="false" customHeight="false" outlineLevel="0" collapsed="false">
      <c r="H3166" s="0" t="str">
        <f aca="false">IF(B3166="","",IF(COUNTIF(Campaigns!$A$7:$A$300,B3166)&gt;0,"✓","⚠ add to Campaigns tab"))</f>
        <v/>
      </c>
      <c r="I3166" s="84" t="str">
        <f aca="false">IF(C3166="","",C3166*IF(Settings!$B$22=Settings!$C$6,1,IF(Settings!$B$22="USD",1/INDEX(Settings!$B$29:$B$40,MONTH(A3166)),INDEX(Settings!$B$29:$B$40,MONTH(A3166)))))</f>
        <v/>
      </c>
    </row>
    <row r="3167" customFormat="false" ht="15" hidden="false" customHeight="false" outlineLevel="0" collapsed="false">
      <c r="H3167" s="0" t="str">
        <f aca="false">IF(B3167="","",IF(COUNTIF(Campaigns!$A$7:$A$300,B3167)&gt;0,"✓","⚠ add to Campaigns tab"))</f>
        <v/>
      </c>
      <c r="I3167" s="84" t="str">
        <f aca="false">IF(C3167="","",C3167*IF(Settings!$B$22=Settings!$C$6,1,IF(Settings!$B$22="USD",1/INDEX(Settings!$B$29:$B$40,MONTH(A3167)),INDEX(Settings!$B$29:$B$40,MONTH(A3167)))))</f>
        <v/>
      </c>
    </row>
    <row r="3168" customFormat="false" ht="15" hidden="false" customHeight="false" outlineLevel="0" collapsed="false">
      <c r="H3168" s="0" t="str">
        <f aca="false">IF(B3168="","",IF(COUNTIF(Campaigns!$A$7:$A$300,B3168)&gt;0,"✓","⚠ add to Campaigns tab"))</f>
        <v/>
      </c>
      <c r="I3168" s="84" t="str">
        <f aca="false">IF(C3168="","",C3168*IF(Settings!$B$22=Settings!$C$6,1,IF(Settings!$B$22="USD",1/INDEX(Settings!$B$29:$B$40,MONTH(A3168)),INDEX(Settings!$B$29:$B$40,MONTH(A3168)))))</f>
        <v/>
      </c>
    </row>
    <row r="3169" customFormat="false" ht="15" hidden="false" customHeight="false" outlineLevel="0" collapsed="false">
      <c r="H3169" s="0" t="str">
        <f aca="false">IF(B3169="","",IF(COUNTIF(Campaigns!$A$7:$A$300,B3169)&gt;0,"✓","⚠ add to Campaigns tab"))</f>
        <v/>
      </c>
      <c r="I3169" s="84" t="str">
        <f aca="false">IF(C3169="","",C3169*IF(Settings!$B$22=Settings!$C$6,1,IF(Settings!$B$22="USD",1/INDEX(Settings!$B$29:$B$40,MONTH(A3169)),INDEX(Settings!$B$29:$B$40,MONTH(A3169)))))</f>
        <v/>
      </c>
    </row>
    <row r="3170" customFormat="false" ht="15" hidden="false" customHeight="false" outlineLevel="0" collapsed="false">
      <c r="H3170" s="0" t="str">
        <f aca="false">IF(B3170="","",IF(COUNTIF(Campaigns!$A$7:$A$300,B3170)&gt;0,"✓","⚠ add to Campaigns tab"))</f>
        <v/>
      </c>
      <c r="I3170" s="84" t="str">
        <f aca="false">IF(C3170="","",C3170*IF(Settings!$B$22=Settings!$C$6,1,IF(Settings!$B$22="USD",1/INDEX(Settings!$B$29:$B$40,MONTH(A3170)),INDEX(Settings!$B$29:$B$40,MONTH(A3170)))))</f>
        <v/>
      </c>
    </row>
    <row r="3171" customFormat="false" ht="15" hidden="false" customHeight="false" outlineLevel="0" collapsed="false">
      <c r="H3171" s="0" t="str">
        <f aca="false">IF(B3171="","",IF(COUNTIF(Campaigns!$A$7:$A$300,B3171)&gt;0,"✓","⚠ add to Campaigns tab"))</f>
        <v/>
      </c>
      <c r="I3171" s="84" t="str">
        <f aca="false">IF(C3171="","",C3171*IF(Settings!$B$22=Settings!$C$6,1,IF(Settings!$B$22="USD",1/INDEX(Settings!$B$29:$B$40,MONTH(A3171)),INDEX(Settings!$B$29:$B$40,MONTH(A3171)))))</f>
        <v/>
      </c>
    </row>
    <row r="3172" customFormat="false" ht="15" hidden="false" customHeight="false" outlineLevel="0" collapsed="false">
      <c r="H3172" s="0" t="str">
        <f aca="false">IF(B3172="","",IF(COUNTIF(Campaigns!$A$7:$A$300,B3172)&gt;0,"✓","⚠ add to Campaigns tab"))</f>
        <v/>
      </c>
      <c r="I3172" s="84" t="str">
        <f aca="false">IF(C3172="","",C3172*IF(Settings!$B$22=Settings!$C$6,1,IF(Settings!$B$22="USD",1/INDEX(Settings!$B$29:$B$40,MONTH(A3172)),INDEX(Settings!$B$29:$B$40,MONTH(A3172)))))</f>
        <v/>
      </c>
    </row>
    <row r="3173" customFormat="false" ht="15" hidden="false" customHeight="false" outlineLevel="0" collapsed="false">
      <c r="H3173" s="0" t="str">
        <f aca="false">IF(B3173="","",IF(COUNTIF(Campaigns!$A$7:$A$300,B3173)&gt;0,"✓","⚠ add to Campaigns tab"))</f>
        <v/>
      </c>
      <c r="I3173" s="84" t="str">
        <f aca="false">IF(C3173="","",C3173*IF(Settings!$B$22=Settings!$C$6,1,IF(Settings!$B$22="USD",1/INDEX(Settings!$B$29:$B$40,MONTH(A3173)),INDEX(Settings!$B$29:$B$40,MONTH(A3173)))))</f>
        <v/>
      </c>
    </row>
    <row r="3174" customFormat="false" ht="15" hidden="false" customHeight="false" outlineLevel="0" collapsed="false">
      <c r="H3174" s="0" t="str">
        <f aca="false">IF(B3174="","",IF(COUNTIF(Campaigns!$A$7:$A$300,B3174)&gt;0,"✓","⚠ add to Campaigns tab"))</f>
        <v/>
      </c>
      <c r="I3174" s="84" t="str">
        <f aca="false">IF(C3174="","",C3174*IF(Settings!$B$22=Settings!$C$6,1,IF(Settings!$B$22="USD",1/INDEX(Settings!$B$29:$B$40,MONTH(A3174)),INDEX(Settings!$B$29:$B$40,MONTH(A3174)))))</f>
        <v/>
      </c>
    </row>
    <row r="3175" customFormat="false" ht="15" hidden="false" customHeight="false" outlineLevel="0" collapsed="false">
      <c r="H3175" s="0" t="str">
        <f aca="false">IF(B3175="","",IF(COUNTIF(Campaigns!$A$7:$A$300,B3175)&gt;0,"✓","⚠ add to Campaigns tab"))</f>
        <v/>
      </c>
      <c r="I3175" s="84" t="str">
        <f aca="false">IF(C3175="","",C3175*IF(Settings!$B$22=Settings!$C$6,1,IF(Settings!$B$22="USD",1/INDEX(Settings!$B$29:$B$40,MONTH(A3175)),INDEX(Settings!$B$29:$B$40,MONTH(A3175)))))</f>
        <v/>
      </c>
    </row>
    <row r="3176" customFormat="false" ht="15" hidden="false" customHeight="false" outlineLevel="0" collapsed="false">
      <c r="H3176" s="0" t="str">
        <f aca="false">IF(B3176="","",IF(COUNTIF(Campaigns!$A$7:$A$300,B3176)&gt;0,"✓","⚠ add to Campaigns tab"))</f>
        <v/>
      </c>
      <c r="I3176" s="84" t="str">
        <f aca="false">IF(C3176="","",C3176*IF(Settings!$B$22=Settings!$C$6,1,IF(Settings!$B$22="USD",1/INDEX(Settings!$B$29:$B$40,MONTH(A3176)),INDEX(Settings!$B$29:$B$40,MONTH(A3176)))))</f>
        <v/>
      </c>
    </row>
    <row r="3177" customFormat="false" ht="15" hidden="false" customHeight="false" outlineLevel="0" collapsed="false">
      <c r="H3177" s="0" t="str">
        <f aca="false">IF(B3177="","",IF(COUNTIF(Campaigns!$A$7:$A$300,B3177)&gt;0,"✓","⚠ add to Campaigns tab"))</f>
        <v/>
      </c>
      <c r="I3177" s="84" t="str">
        <f aca="false">IF(C3177="","",C3177*IF(Settings!$B$22=Settings!$C$6,1,IF(Settings!$B$22="USD",1/INDEX(Settings!$B$29:$B$40,MONTH(A3177)),INDEX(Settings!$B$29:$B$40,MONTH(A3177)))))</f>
        <v/>
      </c>
    </row>
    <row r="3178" customFormat="false" ht="15" hidden="false" customHeight="false" outlineLevel="0" collapsed="false">
      <c r="H3178" s="0" t="str">
        <f aca="false">IF(B3178="","",IF(COUNTIF(Campaigns!$A$7:$A$300,B3178)&gt;0,"✓","⚠ add to Campaigns tab"))</f>
        <v/>
      </c>
      <c r="I3178" s="84" t="str">
        <f aca="false">IF(C3178="","",C3178*IF(Settings!$B$22=Settings!$C$6,1,IF(Settings!$B$22="USD",1/INDEX(Settings!$B$29:$B$40,MONTH(A3178)),INDEX(Settings!$B$29:$B$40,MONTH(A3178)))))</f>
        <v/>
      </c>
    </row>
    <row r="3179" customFormat="false" ht="15" hidden="false" customHeight="false" outlineLevel="0" collapsed="false">
      <c r="H3179" s="0" t="str">
        <f aca="false">IF(B3179="","",IF(COUNTIF(Campaigns!$A$7:$A$300,B3179)&gt;0,"✓","⚠ add to Campaigns tab"))</f>
        <v/>
      </c>
      <c r="I3179" s="84" t="str">
        <f aca="false">IF(C3179="","",C3179*IF(Settings!$B$22=Settings!$C$6,1,IF(Settings!$B$22="USD",1/INDEX(Settings!$B$29:$B$40,MONTH(A3179)),INDEX(Settings!$B$29:$B$40,MONTH(A3179)))))</f>
        <v/>
      </c>
    </row>
    <row r="3180" customFormat="false" ht="15" hidden="false" customHeight="false" outlineLevel="0" collapsed="false">
      <c r="H3180" s="0" t="str">
        <f aca="false">IF(B3180="","",IF(COUNTIF(Campaigns!$A$7:$A$300,B3180)&gt;0,"✓","⚠ add to Campaigns tab"))</f>
        <v/>
      </c>
      <c r="I3180" s="84" t="str">
        <f aca="false">IF(C3180="","",C3180*IF(Settings!$B$22=Settings!$C$6,1,IF(Settings!$B$22="USD",1/INDEX(Settings!$B$29:$B$40,MONTH(A3180)),INDEX(Settings!$B$29:$B$40,MONTH(A3180)))))</f>
        <v/>
      </c>
    </row>
    <row r="3181" customFormat="false" ht="15" hidden="false" customHeight="false" outlineLevel="0" collapsed="false">
      <c r="H3181" s="0" t="str">
        <f aca="false">IF(B3181="","",IF(COUNTIF(Campaigns!$A$7:$A$300,B3181)&gt;0,"✓","⚠ add to Campaigns tab"))</f>
        <v/>
      </c>
      <c r="I3181" s="84" t="str">
        <f aca="false">IF(C3181="","",C3181*IF(Settings!$B$22=Settings!$C$6,1,IF(Settings!$B$22="USD",1/INDEX(Settings!$B$29:$B$40,MONTH(A3181)),INDEX(Settings!$B$29:$B$40,MONTH(A3181)))))</f>
        <v/>
      </c>
    </row>
    <row r="3182" customFormat="false" ht="15" hidden="false" customHeight="false" outlineLevel="0" collapsed="false">
      <c r="H3182" s="0" t="str">
        <f aca="false">IF(B3182="","",IF(COUNTIF(Campaigns!$A$7:$A$300,B3182)&gt;0,"✓","⚠ add to Campaigns tab"))</f>
        <v/>
      </c>
      <c r="I3182" s="84" t="str">
        <f aca="false">IF(C3182="","",C3182*IF(Settings!$B$22=Settings!$C$6,1,IF(Settings!$B$22="USD",1/INDEX(Settings!$B$29:$B$40,MONTH(A3182)),INDEX(Settings!$B$29:$B$40,MONTH(A3182)))))</f>
        <v/>
      </c>
    </row>
    <row r="3183" customFormat="false" ht="15" hidden="false" customHeight="false" outlineLevel="0" collapsed="false">
      <c r="H3183" s="0" t="str">
        <f aca="false">IF(B3183="","",IF(COUNTIF(Campaigns!$A$7:$A$300,B3183)&gt;0,"✓","⚠ add to Campaigns tab"))</f>
        <v/>
      </c>
      <c r="I3183" s="84" t="str">
        <f aca="false">IF(C3183="","",C3183*IF(Settings!$B$22=Settings!$C$6,1,IF(Settings!$B$22="USD",1/INDEX(Settings!$B$29:$B$40,MONTH(A3183)),INDEX(Settings!$B$29:$B$40,MONTH(A3183)))))</f>
        <v/>
      </c>
    </row>
    <row r="3184" customFormat="false" ht="15" hidden="false" customHeight="false" outlineLevel="0" collapsed="false">
      <c r="H3184" s="0" t="str">
        <f aca="false">IF(B3184="","",IF(COUNTIF(Campaigns!$A$7:$A$300,B3184)&gt;0,"✓","⚠ add to Campaigns tab"))</f>
        <v/>
      </c>
      <c r="I3184" s="84" t="str">
        <f aca="false">IF(C3184="","",C3184*IF(Settings!$B$22=Settings!$C$6,1,IF(Settings!$B$22="USD",1/INDEX(Settings!$B$29:$B$40,MONTH(A3184)),INDEX(Settings!$B$29:$B$40,MONTH(A3184)))))</f>
        <v/>
      </c>
    </row>
    <row r="3185" customFormat="false" ht="15" hidden="false" customHeight="false" outlineLevel="0" collapsed="false">
      <c r="H3185" s="0" t="str">
        <f aca="false">IF(B3185="","",IF(COUNTIF(Campaigns!$A$7:$A$300,B3185)&gt;0,"✓","⚠ add to Campaigns tab"))</f>
        <v/>
      </c>
      <c r="I3185" s="84" t="str">
        <f aca="false">IF(C3185="","",C3185*IF(Settings!$B$22=Settings!$C$6,1,IF(Settings!$B$22="USD",1/INDEX(Settings!$B$29:$B$40,MONTH(A3185)),INDEX(Settings!$B$29:$B$40,MONTH(A3185)))))</f>
        <v/>
      </c>
    </row>
    <row r="3186" customFormat="false" ht="15" hidden="false" customHeight="false" outlineLevel="0" collapsed="false">
      <c r="H3186" s="0" t="str">
        <f aca="false">IF(B3186="","",IF(COUNTIF(Campaigns!$A$7:$A$300,B3186)&gt;0,"✓","⚠ add to Campaigns tab"))</f>
        <v/>
      </c>
      <c r="I3186" s="84" t="str">
        <f aca="false">IF(C3186="","",C3186*IF(Settings!$B$22=Settings!$C$6,1,IF(Settings!$B$22="USD",1/INDEX(Settings!$B$29:$B$40,MONTH(A3186)),INDEX(Settings!$B$29:$B$40,MONTH(A3186)))))</f>
        <v/>
      </c>
    </row>
    <row r="3187" customFormat="false" ht="15" hidden="false" customHeight="false" outlineLevel="0" collapsed="false">
      <c r="H3187" s="0" t="str">
        <f aca="false">IF(B3187="","",IF(COUNTIF(Campaigns!$A$7:$A$300,B3187)&gt;0,"✓","⚠ add to Campaigns tab"))</f>
        <v/>
      </c>
      <c r="I3187" s="84" t="str">
        <f aca="false">IF(C3187="","",C3187*IF(Settings!$B$22=Settings!$C$6,1,IF(Settings!$B$22="USD",1/INDEX(Settings!$B$29:$B$40,MONTH(A3187)),INDEX(Settings!$B$29:$B$40,MONTH(A3187)))))</f>
        <v/>
      </c>
    </row>
    <row r="3188" customFormat="false" ht="15" hidden="false" customHeight="false" outlineLevel="0" collapsed="false">
      <c r="H3188" s="0" t="str">
        <f aca="false">IF(B3188="","",IF(COUNTIF(Campaigns!$A$7:$A$300,B3188)&gt;0,"✓","⚠ add to Campaigns tab"))</f>
        <v/>
      </c>
      <c r="I3188" s="84" t="str">
        <f aca="false">IF(C3188="","",C3188*IF(Settings!$B$22=Settings!$C$6,1,IF(Settings!$B$22="USD",1/INDEX(Settings!$B$29:$B$40,MONTH(A3188)),INDEX(Settings!$B$29:$B$40,MONTH(A3188)))))</f>
        <v/>
      </c>
    </row>
    <row r="3189" customFormat="false" ht="15" hidden="false" customHeight="false" outlineLevel="0" collapsed="false">
      <c r="H3189" s="0" t="str">
        <f aca="false">IF(B3189="","",IF(COUNTIF(Campaigns!$A$7:$A$300,B3189)&gt;0,"✓","⚠ add to Campaigns tab"))</f>
        <v/>
      </c>
      <c r="I3189" s="84" t="str">
        <f aca="false">IF(C3189="","",C3189*IF(Settings!$B$22=Settings!$C$6,1,IF(Settings!$B$22="USD",1/INDEX(Settings!$B$29:$B$40,MONTH(A3189)),INDEX(Settings!$B$29:$B$40,MONTH(A3189)))))</f>
        <v/>
      </c>
    </row>
    <row r="3190" customFormat="false" ht="15" hidden="false" customHeight="false" outlineLevel="0" collapsed="false">
      <c r="H3190" s="0" t="str">
        <f aca="false">IF(B3190="","",IF(COUNTIF(Campaigns!$A$7:$A$300,B3190)&gt;0,"✓","⚠ add to Campaigns tab"))</f>
        <v/>
      </c>
      <c r="I3190" s="84" t="str">
        <f aca="false">IF(C3190="","",C3190*IF(Settings!$B$22=Settings!$C$6,1,IF(Settings!$B$22="USD",1/INDEX(Settings!$B$29:$B$40,MONTH(A3190)),INDEX(Settings!$B$29:$B$40,MONTH(A3190)))))</f>
        <v/>
      </c>
    </row>
    <row r="3191" customFormat="false" ht="15" hidden="false" customHeight="false" outlineLevel="0" collapsed="false">
      <c r="H3191" s="0" t="str">
        <f aca="false">IF(B3191="","",IF(COUNTIF(Campaigns!$A$7:$A$300,B3191)&gt;0,"✓","⚠ add to Campaigns tab"))</f>
        <v/>
      </c>
      <c r="I3191" s="84" t="str">
        <f aca="false">IF(C3191="","",C3191*IF(Settings!$B$22=Settings!$C$6,1,IF(Settings!$B$22="USD",1/INDEX(Settings!$B$29:$B$40,MONTH(A3191)),INDEX(Settings!$B$29:$B$40,MONTH(A3191)))))</f>
        <v/>
      </c>
    </row>
    <row r="3192" customFormat="false" ht="15" hidden="false" customHeight="false" outlineLevel="0" collapsed="false">
      <c r="H3192" s="0" t="str">
        <f aca="false">IF(B3192="","",IF(COUNTIF(Campaigns!$A$7:$A$300,B3192)&gt;0,"✓","⚠ add to Campaigns tab"))</f>
        <v/>
      </c>
      <c r="I3192" s="84" t="str">
        <f aca="false">IF(C3192="","",C3192*IF(Settings!$B$22=Settings!$C$6,1,IF(Settings!$B$22="USD",1/INDEX(Settings!$B$29:$B$40,MONTH(A3192)),INDEX(Settings!$B$29:$B$40,MONTH(A3192)))))</f>
        <v/>
      </c>
    </row>
    <row r="3193" customFormat="false" ht="15" hidden="false" customHeight="false" outlineLevel="0" collapsed="false">
      <c r="H3193" s="0" t="str">
        <f aca="false">IF(B3193="","",IF(COUNTIF(Campaigns!$A$7:$A$300,B3193)&gt;0,"✓","⚠ add to Campaigns tab"))</f>
        <v/>
      </c>
      <c r="I3193" s="84" t="str">
        <f aca="false">IF(C3193="","",C3193*IF(Settings!$B$22=Settings!$C$6,1,IF(Settings!$B$22="USD",1/INDEX(Settings!$B$29:$B$40,MONTH(A3193)),INDEX(Settings!$B$29:$B$40,MONTH(A3193)))))</f>
        <v/>
      </c>
    </row>
    <row r="3194" customFormat="false" ht="15" hidden="false" customHeight="false" outlineLevel="0" collapsed="false">
      <c r="H3194" s="0" t="str">
        <f aca="false">IF(B3194="","",IF(COUNTIF(Campaigns!$A$7:$A$300,B3194)&gt;0,"✓","⚠ add to Campaigns tab"))</f>
        <v/>
      </c>
      <c r="I3194" s="84" t="str">
        <f aca="false">IF(C3194="","",C3194*IF(Settings!$B$22=Settings!$C$6,1,IF(Settings!$B$22="USD",1/INDEX(Settings!$B$29:$B$40,MONTH(A3194)),INDEX(Settings!$B$29:$B$40,MONTH(A3194)))))</f>
        <v/>
      </c>
    </row>
    <row r="3195" customFormat="false" ht="15" hidden="false" customHeight="false" outlineLevel="0" collapsed="false">
      <c r="H3195" s="0" t="str">
        <f aca="false">IF(B3195="","",IF(COUNTIF(Campaigns!$A$7:$A$300,B3195)&gt;0,"✓","⚠ add to Campaigns tab"))</f>
        <v/>
      </c>
      <c r="I3195" s="84" t="str">
        <f aca="false">IF(C3195="","",C3195*IF(Settings!$B$22=Settings!$C$6,1,IF(Settings!$B$22="USD",1/INDEX(Settings!$B$29:$B$40,MONTH(A3195)),INDEX(Settings!$B$29:$B$40,MONTH(A3195)))))</f>
        <v/>
      </c>
    </row>
    <row r="3196" customFormat="false" ht="15" hidden="false" customHeight="false" outlineLevel="0" collapsed="false">
      <c r="H3196" s="0" t="str">
        <f aca="false">IF(B3196="","",IF(COUNTIF(Campaigns!$A$7:$A$300,B3196)&gt;0,"✓","⚠ add to Campaigns tab"))</f>
        <v/>
      </c>
      <c r="I3196" s="84" t="str">
        <f aca="false">IF(C3196="","",C3196*IF(Settings!$B$22=Settings!$C$6,1,IF(Settings!$B$22="USD",1/INDEX(Settings!$B$29:$B$40,MONTH(A3196)),INDEX(Settings!$B$29:$B$40,MONTH(A3196)))))</f>
        <v/>
      </c>
    </row>
    <row r="3197" customFormat="false" ht="15" hidden="false" customHeight="false" outlineLevel="0" collapsed="false">
      <c r="H3197" s="0" t="str">
        <f aca="false">IF(B3197="","",IF(COUNTIF(Campaigns!$A$7:$A$300,B3197)&gt;0,"✓","⚠ add to Campaigns tab"))</f>
        <v/>
      </c>
      <c r="I3197" s="84" t="str">
        <f aca="false">IF(C3197="","",C3197*IF(Settings!$B$22=Settings!$C$6,1,IF(Settings!$B$22="USD",1/INDEX(Settings!$B$29:$B$40,MONTH(A3197)),INDEX(Settings!$B$29:$B$40,MONTH(A3197)))))</f>
        <v/>
      </c>
    </row>
    <row r="3198" customFormat="false" ht="15" hidden="false" customHeight="false" outlineLevel="0" collapsed="false">
      <c r="H3198" s="0" t="str">
        <f aca="false">IF(B3198="","",IF(COUNTIF(Campaigns!$A$7:$A$300,B3198)&gt;0,"✓","⚠ add to Campaigns tab"))</f>
        <v/>
      </c>
      <c r="I3198" s="84" t="str">
        <f aca="false">IF(C3198="","",C3198*IF(Settings!$B$22=Settings!$C$6,1,IF(Settings!$B$22="USD",1/INDEX(Settings!$B$29:$B$40,MONTH(A3198)),INDEX(Settings!$B$29:$B$40,MONTH(A3198)))))</f>
        <v/>
      </c>
    </row>
    <row r="3199" customFormat="false" ht="15" hidden="false" customHeight="false" outlineLevel="0" collapsed="false">
      <c r="H3199" s="0" t="str">
        <f aca="false">IF(B3199="","",IF(COUNTIF(Campaigns!$A$7:$A$300,B3199)&gt;0,"✓","⚠ add to Campaigns tab"))</f>
        <v/>
      </c>
      <c r="I3199" s="84" t="str">
        <f aca="false">IF(C3199="","",C3199*IF(Settings!$B$22=Settings!$C$6,1,IF(Settings!$B$22="USD",1/INDEX(Settings!$B$29:$B$40,MONTH(A3199)),INDEX(Settings!$B$29:$B$40,MONTH(A3199)))))</f>
        <v/>
      </c>
    </row>
    <row r="3200" customFormat="false" ht="15" hidden="false" customHeight="false" outlineLevel="0" collapsed="false">
      <c r="H3200" s="0" t="str">
        <f aca="false">IF(B3200="","",IF(COUNTIF(Campaigns!$A$7:$A$300,B3200)&gt;0,"✓","⚠ add to Campaigns tab"))</f>
        <v/>
      </c>
      <c r="I3200" s="84" t="str">
        <f aca="false">IF(C3200="","",C3200*IF(Settings!$B$22=Settings!$C$6,1,IF(Settings!$B$22="USD",1/INDEX(Settings!$B$29:$B$40,MONTH(A3200)),INDEX(Settings!$B$29:$B$40,MONTH(A3200)))))</f>
        <v/>
      </c>
    </row>
    <row r="3201" customFormat="false" ht="15" hidden="false" customHeight="false" outlineLevel="0" collapsed="false">
      <c r="H3201" s="0" t="str">
        <f aca="false">IF(B3201="","",IF(COUNTIF(Campaigns!$A$7:$A$300,B3201)&gt;0,"✓","⚠ add to Campaigns tab"))</f>
        <v/>
      </c>
      <c r="I3201" s="84" t="str">
        <f aca="false">IF(C3201="","",C3201*IF(Settings!$B$22=Settings!$C$6,1,IF(Settings!$B$22="USD",1/INDEX(Settings!$B$29:$B$40,MONTH(A3201)),INDEX(Settings!$B$29:$B$40,MONTH(A3201)))))</f>
        <v/>
      </c>
    </row>
    <row r="3202" customFormat="false" ht="15" hidden="false" customHeight="false" outlineLevel="0" collapsed="false">
      <c r="H3202" s="0" t="str">
        <f aca="false">IF(B3202="","",IF(COUNTIF(Campaigns!$A$7:$A$300,B3202)&gt;0,"✓","⚠ add to Campaigns tab"))</f>
        <v/>
      </c>
      <c r="I3202" s="84" t="str">
        <f aca="false">IF(C3202="","",C3202*IF(Settings!$B$22=Settings!$C$6,1,IF(Settings!$B$22="USD",1/INDEX(Settings!$B$29:$B$40,MONTH(A3202)),INDEX(Settings!$B$29:$B$40,MONTH(A3202)))))</f>
        <v/>
      </c>
    </row>
    <row r="3203" customFormat="false" ht="15" hidden="false" customHeight="false" outlineLevel="0" collapsed="false">
      <c r="H3203" s="0" t="str">
        <f aca="false">IF(B3203="","",IF(COUNTIF(Campaigns!$A$7:$A$300,B3203)&gt;0,"✓","⚠ add to Campaigns tab"))</f>
        <v/>
      </c>
      <c r="I3203" s="84" t="str">
        <f aca="false">IF(C3203="","",C3203*IF(Settings!$B$22=Settings!$C$6,1,IF(Settings!$B$22="USD",1/INDEX(Settings!$B$29:$B$40,MONTH(A3203)),INDEX(Settings!$B$29:$B$40,MONTH(A3203)))))</f>
        <v/>
      </c>
    </row>
    <row r="3204" customFormat="false" ht="15" hidden="false" customHeight="false" outlineLevel="0" collapsed="false">
      <c r="H3204" s="0" t="str">
        <f aca="false">IF(B3204="","",IF(COUNTIF(Campaigns!$A$7:$A$300,B3204)&gt;0,"✓","⚠ add to Campaigns tab"))</f>
        <v/>
      </c>
      <c r="I3204" s="84" t="str">
        <f aca="false">IF(C3204="","",C3204*IF(Settings!$B$22=Settings!$C$6,1,IF(Settings!$B$22="USD",1/INDEX(Settings!$B$29:$B$40,MONTH(A3204)),INDEX(Settings!$B$29:$B$40,MONTH(A3204)))))</f>
        <v/>
      </c>
    </row>
    <row r="3205" customFormat="false" ht="15" hidden="false" customHeight="false" outlineLevel="0" collapsed="false">
      <c r="H3205" s="0" t="str">
        <f aca="false">IF(B3205="","",IF(COUNTIF(Campaigns!$A$7:$A$300,B3205)&gt;0,"✓","⚠ add to Campaigns tab"))</f>
        <v/>
      </c>
      <c r="I3205" s="84" t="str">
        <f aca="false">IF(C3205="","",C3205*IF(Settings!$B$22=Settings!$C$6,1,IF(Settings!$B$22="USD",1/INDEX(Settings!$B$29:$B$40,MONTH(A3205)),INDEX(Settings!$B$29:$B$40,MONTH(A3205)))))</f>
        <v/>
      </c>
    </row>
    <row r="3206" customFormat="false" ht="15" hidden="false" customHeight="false" outlineLevel="0" collapsed="false">
      <c r="H3206" s="0" t="str">
        <f aca="false">IF(B3206="","",IF(COUNTIF(Campaigns!$A$7:$A$300,B3206)&gt;0,"✓","⚠ add to Campaigns tab"))</f>
        <v/>
      </c>
      <c r="I3206" s="84" t="str">
        <f aca="false">IF(C3206="","",C3206*IF(Settings!$B$22=Settings!$C$6,1,IF(Settings!$B$22="USD",1/INDEX(Settings!$B$29:$B$40,MONTH(A3206)),INDEX(Settings!$B$29:$B$40,MONTH(A3206)))))</f>
        <v/>
      </c>
    </row>
    <row r="3207" customFormat="false" ht="15" hidden="false" customHeight="false" outlineLevel="0" collapsed="false">
      <c r="H3207" s="0" t="str">
        <f aca="false">IF(B3207="","",IF(COUNTIF(Campaigns!$A$7:$A$300,B3207)&gt;0,"✓","⚠ add to Campaigns tab"))</f>
        <v/>
      </c>
      <c r="I3207" s="84" t="str">
        <f aca="false">IF(C3207="","",C3207*IF(Settings!$B$22=Settings!$C$6,1,IF(Settings!$B$22="USD",1/INDEX(Settings!$B$29:$B$40,MONTH(A3207)),INDEX(Settings!$B$29:$B$40,MONTH(A3207)))))</f>
        <v/>
      </c>
    </row>
    <row r="3208" customFormat="false" ht="15" hidden="false" customHeight="false" outlineLevel="0" collapsed="false">
      <c r="H3208" s="0" t="str">
        <f aca="false">IF(B3208="","",IF(COUNTIF(Campaigns!$A$7:$A$300,B3208)&gt;0,"✓","⚠ add to Campaigns tab"))</f>
        <v/>
      </c>
      <c r="I3208" s="84" t="str">
        <f aca="false">IF(C3208="","",C3208*IF(Settings!$B$22=Settings!$C$6,1,IF(Settings!$B$22="USD",1/INDEX(Settings!$B$29:$B$40,MONTH(A3208)),INDEX(Settings!$B$29:$B$40,MONTH(A3208)))))</f>
        <v/>
      </c>
    </row>
    <row r="3209" customFormat="false" ht="15" hidden="false" customHeight="false" outlineLevel="0" collapsed="false">
      <c r="H3209" s="0" t="str">
        <f aca="false">IF(B3209="","",IF(COUNTIF(Campaigns!$A$7:$A$300,B3209)&gt;0,"✓","⚠ add to Campaigns tab"))</f>
        <v/>
      </c>
      <c r="I3209" s="84" t="str">
        <f aca="false">IF(C3209="","",C3209*IF(Settings!$B$22=Settings!$C$6,1,IF(Settings!$B$22="USD",1/INDEX(Settings!$B$29:$B$40,MONTH(A3209)),INDEX(Settings!$B$29:$B$40,MONTH(A3209)))))</f>
        <v/>
      </c>
    </row>
    <row r="3210" customFormat="false" ht="15" hidden="false" customHeight="false" outlineLevel="0" collapsed="false">
      <c r="H3210" s="0" t="str">
        <f aca="false">IF(B3210="","",IF(COUNTIF(Campaigns!$A$7:$A$300,B3210)&gt;0,"✓","⚠ add to Campaigns tab"))</f>
        <v/>
      </c>
      <c r="I3210" s="84" t="str">
        <f aca="false">IF(C3210="","",C3210*IF(Settings!$B$22=Settings!$C$6,1,IF(Settings!$B$22="USD",1/INDEX(Settings!$B$29:$B$40,MONTH(A3210)),INDEX(Settings!$B$29:$B$40,MONTH(A3210)))))</f>
        <v/>
      </c>
    </row>
    <row r="3211" customFormat="false" ht="15" hidden="false" customHeight="false" outlineLevel="0" collapsed="false">
      <c r="H3211" s="0" t="str">
        <f aca="false">IF(B3211="","",IF(COUNTIF(Campaigns!$A$7:$A$300,B3211)&gt;0,"✓","⚠ add to Campaigns tab"))</f>
        <v/>
      </c>
      <c r="I3211" s="84" t="str">
        <f aca="false">IF(C3211="","",C3211*IF(Settings!$B$22=Settings!$C$6,1,IF(Settings!$B$22="USD",1/INDEX(Settings!$B$29:$B$40,MONTH(A3211)),INDEX(Settings!$B$29:$B$40,MONTH(A3211)))))</f>
        <v/>
      </c>
    </row>
    <row r="3212" customFormat="false" ht="15" hidden="false" customHeight="false" outlineLevel="0" collapsed="false">
      <c r="H3212" s="0" t="str">
        <f aca="false">IF(B3212="","",IF(COUNTIF(Campaigns!$A$7:$A$300,B3212)&gt;0,"✓","⚠ add to Campaigns tab"))</f>
        <v/>
      </c>
      <c r="I3212" s="84" t="str">
        <f aca="false">IF(C3212="","",C3212*IF(Settings!$B$22=Settings!$C$6,1,IF(Settings!$B$22="USD",1/INDEX(Settings!$B$29:$B$40,MONTH(A3212)),INDEX(Settings!$B$29:$B$40,MONTH(A3212)))))</f>
        <v/>
      </c>
    </row>
    <row r="3213" customFormat="false" ht="15" hidden="false" customHeight="false" outlineLevel="0" collapsed="false">
      <c r="H3213" s="0" t="str">
        <f aca="false">IF(B3213="","",IF(COUNTIF(Campaigns!$A$7:$A$300,B3213)&gt;0,"✓","⚠ add to Campaigns tab"))</f>
        <v/>
      </c>
      <c r="I3213" s="84" t="str">
        <f aca="false">IF(C3213="","",C3213*IF(Settings!$B$22=Settings!$C$6,1,IF(Settings!$B$22="USD",1/INDEX(Settings!$B$29:$B$40,MONTH(A3213)),INDEX(Settings!$B$29:$B$40,MONTH(A3213)))))</f>
        <v/>
      </c>
    </row>
    <row r="3214" customFormat="false" ht="15" hidden="false" customHeight="false" outlineLevel="0" collapsed="false">
      <c r="H3214" s="0" t="str">
        <f aca="false">IF(B3214="","",IF(COUNTIF(Campaigns!$A$7:$A$300,B3214)&gt;0,"✓","⚠ add to Campaigns tab"))</f>
        <v/>
      </c>
      <c r="I3214" s="84" t="str">
        <f aca="false">IF(C3214="","",C3214*IF(Settings!$B$22=Settings!$C$6,1,IF(Settings!$B$22="USD",1/INDEX(Settings!$B$29:$B$40,MONTH(A3214)),INDEX(Settings!$B$29:$B$40,MONTH(A3214)))))</f>
        <v/>
      </c>
    </row>
    <row r="3215" customFormat="false" ht="15" hidden="false" customHeight="false" outlineLevel="0" collapsed="false">
      <c r="H3215" s="0" t="str">
        <f aca="false">IF(B3215="","",IF(COUNTIF(Campaigns!$A$7:$A$300,B3215)&gt;0,"✓","⚠ add to Campaigns tab"))</f>
        <v/>
      </c>
      <c r="I3215" s="84" t="str">
        <f aca="false">IF(C3215="","",C3215*IF(Settings!$B$22=Settings!$C$6,1,IF(Settings!$B$22="USD",1/INDEX(Settings!$B$29:$B$40,MONTH(A3215)),INDEX(Settings!$B$29:$B$40,MONTH(A3215)))))</f>
        <v/>
      </c>
    </row>
    <row r="3216" customFormat="false" ht="15" hidden="false" customHeight="false" outlineLevel="0" collapsed="false">
      <c r="H3216" s="0" t="str">
        <f aca="false">IF(B3216="","",IF(COUNTIF(Campaigns!$A$7:$A$300,B3216)&gt;0,"✓","⚠ add to Campaigns tab"))</f>
        <v/>
      </c>
      <c r="I3216" s="84" t="str">
        <f aca="false">IF(C3216="","",C3216*IF(Settings!$B$22=Settings!$C$6,1,IF(Settings!$B$22="USD",1/INDEX(Settings!$B$29:$B$40,MONTH(A3216)),INDEX(Settings!$B$29:$B$40,MONTH(A3216)))))</f>
        <v/>
      </c>
    </row>
    <row r="3217" customFormat="false" ht="15" hidden="false" customHeight="false" outlineLevel="0" collapsed="false">
      <c r="H3217" s="0" t="str">
        <f aca="false">IF(B3217="","",IF(COUNTIF(Campaigns!$A$7:$A$300,B3217)&gt;0,"✓","⚠ add to Campaigns tab"))</f>
        <v/>
      </c>
      <c r="I3217" s="84" t="str">
        <f aca="false">IF(C3217="","",C3217*IF(Settings!$B$22=Settings!$C$6,1,IF(Settings!$B$22="USD",1/INDEX(Settings!$B$29:$B$40,MONTH(A3217)),INDEX(Settings!$B$29:$B$40,MONTH(A3217)))))</f>
        <v/>
      </c>
    </row>
    <row r="3218" customFormat="false" ht="15" hidden="false" customHeight="false" outlineLevel="0" collapsed="false">
      <c r="H3218" s="0" t="str">
        <f aca="false">IF(B3218="","",IF(COUNTIF(Campaigns!$A$7:$A$300,B3218)&gt;0,"✓","⚠ add to Campaigns tab"))</f>
        <v/>
      </c>
      <c r="I3218" s="84" t="str">
        <f aca="false">IF(C3218="","",C3218*IF(Settings!$B$22=Settings!$C$6,1,IF(Settings!$B$22="USD",1/INDEX(Settings!$B$29:$B$40,MONTH(A3218)),INDEX(Settings!$B$29:$B$40,MONTH(A3218)))))</f>
        <v/>
      </c>
    </row>
    <row r="3219" customFormat="false" ht="15" hidden="false" customHeight="false" outlineLevel="0" collapsed="false">
      <c r="H3219" s="0" t="str">
        <f aca="false">IF(B3219="","",IF(COUNTIF(Campaigns!$A$7:$A$300,B3219)&gt;0,"✓","⚠ add to Campaigns tab"))</f>
        <v/>
      </c>
      <c r="I3219" s="84" t="str">
        <f aca="false">IF(C3219="","",C3219*IF(Settings!$B$22=Settings!$C$6,1,IF(Settings!$B$22="USD",1/INDEX(Settings!$B$29:$B$40,MONTH(A3219)),INDEX(Settings!$B$29:$B$40,MONTH(A3219)))))</f>
        <v/>
      </c>
    </row>
    <row r="3220" customFormat="false" ht="15" hidden="false" customHeight="false" outlineLevel="0" collapsed="false">
      <c r="H3220" s="0" t="str">
        <f aca="false">IF(B3220="","",IF(COUNTIF(Campaigns!$A$7:$A$300,B3220)&gt;0,"✓","⚠ add to Campaigns tab"))</f>
        <v/>
      </c>
      <c r="I3220" s="84" t="str">
        <f aca="false">IF(C3220="","",C3220*IF(Settings!$B$22=Settings!$C$6,1,IF(Settings!$B$22="USD",1/INDEX(Settings!$B$29:$B$40,MONTH(A3220)),INDEX(Settings!$B$29:$B$40,MONTH(A3220)))))</f>
        <v/>
      </c>
    </row>
    <row r="3221" customFormat="false" ht="15" hidden="false" customHeight="false" outlineLevel="0" collapsed="false">
      <c r="H3221" s="0" t="str">
        <f aca="false">IF(B3221="","",IF(COUNTIF(Campaigns!$A$7:$A$300,B3221)&gt;0,"✓","⚠ add to Campaigns tab"))</f>
        <v/>
      </c>
      <c r="I3221" s="84" t="str">
        <f aca="false">IF(C3221="","",C3221*IF(Settings!$B$22=Settings!$C$6,1,IF(Settings!$B$22="USD",1/INDEX(Settings!$B$29:$B$40,MONTH(A3221)),INDEX(Settings!$B$29:$B$40,MONTH(A3221)))))</f>
        <v/>
      </c>
    </row>
    <row r="3222" customFormat="false" ht="15" hidden="false" customHeight="false" outlineLevel="0" collapsed="false">
      <c r="H3222" s="0" t="str">
        <f aca="false">IF(B3222="","",IF(COUNTIF(Campaigns!$A$7:$A$300,B3222)&gt;0,"✓","⚠ add to Campaigns tab"))</f>
        <v/>
      </c>
      <c r="I3222" s="84" t="str">
        <f aca="false">IF(C3222="","",C3222*IF(Settings!$B$22=Settings!$C$6,1,IF(Settings!$B$22="USD",1/INDEX(Settings!$B$29:$B$40,MONTH(A3222)),INDEX(Settings!$B$29:$B$40,MONTH(A3222)))))</f>
        <v/>
      </c>
    </row>
    <row r="3223" customFormat="false" ht="15" hidden="false" customHeight="false" outlineLevel="0" collapsed="false">
      <c r="H3223" s="0" t="str">
        <f aca="false">IF(B3223="","",IF(COUNTIF(Campaigns!$A$7:$A$300,B3223)&gt;0,"✓","⚠ add to Campaigns tab"))</f>
        <v/>
      </c>
      <c r="I3223" s="84" t="str">
        <f aca="false">IF(C3223="","",C3223*IF(Settings!$B$22=Settings!$C$6,1,IF(Settings!$B$22="USD",1/INDEX(Settings!$B$29:$B$40,MONTH(A3223)),INDEX(Settings!$B$29:$B$40,MONTH(A3223)))))</f>
        <v/>
      </c>
    </row>
    <row r="3224" customFormat="false" ht="15" hidden="false" customHeight="false" outlineLevel="0" collapsed="false">
      <c r="H3224" s="0" t="str">
        <f aca="false">IF(B3224="","",IF(COUNTIF(Campaigns!$A$7:$A$300,B3224)&gt;0,"✓","⚠ add to Campaigns tab"))</f>
        <v/>
      </c>
      <c r="I3224" s="84" t="str">
        <f aca="false">IF(C3224="","",C3224*IF(Settings!$B$22=Settings!$C$6,1,IF(Settings!$B$22="USD",1/INDEX(Settings!$B$29:$B$40,MONTH(A3224)),INDEX(Settings!$B$29:$B$40,MONTH(A3224)))))</f>
        <v/>
      </c>
    </row>
    <row r="3225" customFormat="false" ht="15" hidden="false" customHeight="false" outlineLevel="0" collapsed="false">
      <c r="H3225" s="0" t="str">
        <f aca="false">IF(B3225="","",IF(COUNTIF(Campaigns!$A$7:$A$300,B3225)&gt;0,"✓","⚠ add to Campaigns tab"))</f>
        <v/>
      </c>
      <c r="I3225" s="84" t="str">
        <f aca="false">IF(C3225="","",C3225*IF(Settings!$B$22=Settings!$C$6,1,IF(Settings!$B$22="USD",1/INDEX(Settings!$B$29:$B$40,MONTH(A3225)),INDEX(Settings!$B$29:$B$40,MONTH(A3225)))))</f>
        <v/>
      </c>
    </row>
    <row r="3226" customFormat="false" ht="15" hidden="false" customHeight="false" outlineLevel="0" collapsed="false">
      <c r="H3226" s="0" t="str">
        <f aca="false">IF(B3226="","",IF(COUNTIF(Campaigns!$A$7:$A$300,B3226)&gt;0,"✓","⚠ add to Campaigns tab"))</f>
        <v/>
      </c>
      <c r="I3226" s="84" t="str">
        <f aca="false">IF(C3226="","",C3226*IF(Settings!$B$22=Settings!$C$6,1,IF(Settings!$B$22="USD",1/INDEX(Settings!$B$29:$B$40,MONTH(A3226)),INDEX(Settings!$B$29:$B$40,MONTH(A3226)))))</f>
        <v/>
      </c>
    </row>
    <row r="3227" customFormat="false" ht="15" hidden="false" customHeight="false" outlineLevel="0" collapsed="false">
      <c r="H3227" s="0" t="str">
        <f aca="false">IF(B3227="","",IF(COUNTIF(Campaigns!$A$7:$A$300,B3227)&gt;0,"✓","⚠ add to Campaigns tab"))</f>
        <v/>
      </c>
      <c r="I3227" s="84" t="str">
        <f aca="false">IF(C3227="","",C3227*IF(Settings!$B$22=Settings!$C$6,1,IF(Settings!$B$22="USD",1/INDEX(Settings!$B$29:$B$40,MONTH(A3227)),INDEX(Settings!$B$29:$B$40,MONTH(A3227)))))</f>
        <v/>
      </c>
    </row>
    <row r="3228" customFormat="false" ht="15" hidden="false" customHeight="false" outlineLevel="0" collapsed="false">
      <c r="H3228" s="0" t="str">
        <f aca="false">IF(B3228="","",IF(COUNTIF(Campaigns!$A$7:$A$300,B3228)&gt;0,"✓","⚠ add to Campaigns tab"))</f>
        <v/>
      </c>
      <c r="I3228" s="84" t="str">
        <f aca="false">IF(C3228="","",C3228*IF(Settings!$B$22=Settings!$C$6,1,IF(Settings!$B$22="USD",1/INDEX(Settings!$B$29:$B$40,MONTH(A3228)),INDEX(Settings!$B$29:$B$40,MONTH(A3228)))))</f>
        <v/>
      </c>
    </row>
    <row r="3229" customFormat="false" ht="15" hidden="false" customHeight="false" outlineLevel="0" collapsed="false">
      <c r="H3229" s="0" t="str">
        <f aca="false">IF(B3229="","",IF(COUNTIF(Campaigns!$A$7:$A$300,B3229)&gt;0,"✓","⚠ add to Campaigns tab"))</f>
        <v/>
      </c>
      <c r="I3229" s="84" t="str">
        <f aca="false">IF(C3229="","",C3229*IF(Settings!$B$22=Settings!$C$6,1,IF(Settings!$B$22="USD",1/INDEX(Settings!$B$29:$B$40,MONTH(A3229)),INDEX(Settings!$B$29:$B$40,MONTH(A3229)))))</f>
        <v/>
      </c>
    </row>
    <row r="3230" customFormat="false" ht="15" hidden="false" customHeight="false" outlineLevel="0" collapsed="false">
      <c r="H3230" s="0" t="str">
        <f aca="false">IF(B3230="","",IF(COUNTIF(Campaigns!$A$7:$A$300,B3230)&gt;0,"✓","⚠ add to Campaigns tab"))</f>
        <v/>
      </c>
      <c r="I3230" s="84" t="str">
        <f aca="false">IF(C3230="","",C3230*IF(Settings!$B$22=Settings!$C$6,1,IF(Settings!$B$22="USD",1/INDEX(Settings!$B$29:$B$40,MONTH(A3230)),INDEX(Settings!$B$29:$B$40,MONTH(A3230)))))</f>
        <v/>
      </c>
    </row>
    <row r="3231" customFormat="false" ht="15" hidden="false" customHeight="false" outlineLevel="0" collapsed="false">
      <c r="H3231" s="0" t="str">
        <f aca="false">IF(B3231="","",IF(COUNTIF(Campaigns!$A$7:$A$300,B3231)&gt;0,"✓","⚠ add to Campaigns tab"))</f>
        <v/>
      </c>
      <c r="I3231" s="84" t="str">
        <f aca="false">IF(C3231="","",C3231*IF(Settings!$B$22=Settings!$C$6,1,IF(Settings!$B$22="USD",1/INDEX(Settings!$B$29:$B$40,MONTH(A3231)),INDEX(Settings!$B$29:$B$40,MONTH(A3231)))))</f>
        <v/>
      </c>
    </row>
    <row r="3232" customFormat="false" ht="15" hidden="false" customHeight="false" outlineLevel="0" collapsed="false">
      <c r="H3232" s="0" t="str">
        <f aca="false">IF(B3232="","",IF(COUNTIF(Campaigns!$A$7:$A$300,B3232)&gt;0,"✓","⚠ add to Campaigns tab"))</f>
        <v/>
      </c>
      <c r="I3232" s="84" t="str">
        <f aca="false">IF(C3232="","",C3232*IF(Settings!$B$22=Settings!$C$6,1,IF(Settings!$B$22="USD",1/INDEX(Settings!$B$29:$B$40,MONTH(A3232)),INDEX(Settings!$B$29:$B$40,MONTH(A3232)))))</f>
        <v/>
      </c>
    </row>
    <row r="3233" customFormat="false" ht="15" hidden="false" customHeight="false" outlineLevel="0" collapsed="false">
      <c r="H3233" s="0" t="str">
        <f aca="false">IF(B3233="","",IF(COUNTIF(Campaigns!$A$7:$A$300,B3233)&gt;0,"✓","⚠ add to Campaigns tab"))</f>
        <v/>
      </c>
      <c r="I3233" s="84" t="str">
        <f aca="false">IF(C3233="","",C3233*IF(Settings!$B$22=Settings!$C$6,1,IF(Settings!$B$22="USD",1/INDEX(Settings!$B$29:$B$40,MONTH(A3233)),INDEX(Settings!$B$29:$B$40,MONTH(A3233)))))</f>
        <v/>
      </c>
    </row>
    <row r="3234" customFormat="false" ht="15" hidden="false" customHeight="false" outlineLevel="0" collapsed="false">
      <c r="H3234" s="0" t="str">
        <f aca="false">IF(B3234="","",IF(COUNTIF(Campaigns!$A$7:$A$300,B3234)&gt;0,"✓","⚠ add to Campaigns tab"))</f>
        <v/>
      </c>
      <c r="I3234" s="84" t="str">
        <f aca="false">IF(C3234="","",C3234*IF(Settings!$B$22=Settings!$C$6,1,IF(Settings!$B$22="USD",1/INDEX(Settings!$B$29:$B$40,MONTH(A3234)),INDEX(Settings!$B$29:$B$40,MONTH(A3234)))))</f>
        <v/>
      </c>
    </row>
    <row r="3235" customFormat="false" ht="15" hidden="false" customHeight="false" outlineLevel="0" collapsed="false">
      <c r="H3235" s="0" t="str">
        <f aca="false">IF(B3235="","",IF(COUNTIF(Campaigns!$A$7:$A$300,B3235)&gt;0,"✓","⚠ add to Campaigns tab"))</f>
        <v/>
      </c>
      <c r="I3235" s="84" t="str">
        <f aca="false">IF(C3235="","",C3235*IF(Settings!$B$22=Settings!$C$6,1,IF(Settings!$B$22="USD",1/INDEX(Settings!$B$29:$B$40,MONTH(A3235)),INDEX(Settings!$B$29:$B$40,MONTH(A3235)))))</f>
        <v/>
      </c>
    </row>
    <row r="3236" customFormat="false" ht="15" hidden="false" customHeight="false" outlineLevel="0" collapsed="false">
      <c r="H3236" s="0" t="str">
        <f aca="false">IF(B3236="","",IF(COUNTIF(Campaigns!$A$7:$A$300,B3236)&gt;0,"✓","⚠ add to Campaigns tab"))</f>
        <v/>
      </c>
      <c r="I3236" s="84" t="str">
        <f aca="false">IF(C3236="","",C3236*IF(Settings!$B$22=Settings!$C$6,1,IF(Settings!$B$22="USD",1/INDEX(Settings!$B$29:$B$40,MONTH(A3236)),INDEX(Settings!$B$29:$B$40,MONTH(A3236)))))</f>
        <v/>
      </c>
    </row>
    <row r="3237" customFormat="false" ht="15" hidden="false" customHeight="false" outlineLevel="0" collapsed="false">
      <c r="H3237" s="0" t="str">
        <f aca="false">IF(B3237="","",IF(COUNTIF(Campaigns!$A$7:$A$300,B3237)&gt;0,"✓","⚠ add to Campaigns tab"))</f>
        <v/>
      </c>
      <c r="I3237" s="84" t="str">
        <f aca="false">IF(C3237="","",C3237*IF(Settings!$B$22=Settings!$C$6,1,IF(Settings!$B$22="USD",1/INDEX(Settings!$B$29:$B$40,MONTH(A3237)),INDEX(Settings!$B$29:$B$40,MONTH(A3237)))))</f>
        <v/>
      </c>
    </row>
    <row r="3238" customFormat="false" ht="15" hidden="false" customHeight="false" outlineLevel="0" collapsed="false">
      <c r="H3238" s="0" t="str">
        <f aca="false">IF(B3238="","",IF(COUNTIF(Campaigns!$A$7:$A$300,B3238)&gt;0,"✓","⚠ add to Campaigns tab"))</f>
        <v/>
      </c>
      <c r="I3238" s="84" t="str">
        <f aca="false">IF(C3238="","",C3238*IF(Settings!$B$22=Settings!$C$6,1,IF(Settings!$B$22="USD",1/INDEX(Settings!$B$29:$B$40,MONTH(A3238)),INDEX(Settings!$B$29:$B$40,MONTH(A3238)))))</f>
        <v/>
      </c>
    </row>
    <row r="3239" customFormat="false" ht="15" hidden="false" customHeight="false" outlineLevel="0" collapsed="false">
      <c r="H3239" s="0" t="str">
        <f aca="false">IF(B3239="","",IF(COUNTIF(Campaigns!$A$7:$A$300,B3239)&gt;0,"✓","⚠ add to Campaigns tab"))</f>
        <v/>
      </c>
      <c r="I3239" s="84" t="str">
        <f aca="false">IF(C3239="","",C3239*IF(Settings!$B$22=Settings!$C$6,1,IF(Settings!$B$22="USD",1/INDEX(Settings!$B$29:$B$40,MONTH(A3239)),INDEX(Settings!$B$29:$B$40,MONTH(A3239)))))</f>
        <v/>
      </c>
    </row>
    <row r="3240" customFormat="false" ht="15" hidden="false" customHeight="false" outlineLevel="0" collapsed="false">
      <c r="H3240" s="0" t="str">
        <f aca="false">IF(B3240="","",IF(COUNTIF(Campaigns!$A$7:$A$300,B3240)&gt;0,"✓","⚠ add to Campaigns tab"))</f>
        <v/>
      </c>
      <c r="I3240" s="84" t="str">
        <f aca="false">IF(C3240="","",C3240*IF(Settings!$B$22=Settings!$C$6,1,IF(Settings!$B$22="USD",1/INDEX(Settings!$B$29:$B$40,MONTH(A3240)),INDEX(Settings!$B$29:$B$40,MONTH(A3240)))))</f>
        <v/>
      </c>
    </row>
    <row r="3241" customFormat="false" ht="15" hidden="false" customHeight="false" outlineLevel="0" collapsed="false">
      <c r="H3241" s="0" t="str">
        <f aca="false">IF(B3241="","",IF(COUNTIF(Campaigns!$A$7:$A$300,B3241)&gt;0,"✓","⚠ add to Campaigns tab"))</f>
        <v/>
      </c>
      <c r="I3241" s="84" t="str">
        <f aca="false">IF(C3241="","",C3241*IF(Settings!$B$22=Settings!$C$6,1,IF(Settings!$B$22="USD",1/INDEX(Settings!$B$29:$B$40,MONTH(A3241)),INDEX(Settings!$B$29:$B$40,MONTH(A3241)))))</f>
        <v/>
      </c>
    </row>
    <row r="3242" customFormat="false" ht="15" hidden="false" customHeight="false" outlineLevel="0" collapsed="false">
      <c r="H3242" s="0" t="str">
        <f aca="false">IF(B3242="","",IF(COUNTIF(Campaigns!$A$7:$A$300,B3242)&gt;0,"✓","⚠ add to Campaigns tab"))</f>
        <v/>
      </c>
      <c r="I3242" s="84" t="str">
        <f aca="false">IF(C3242="","",C3242*IF(Settings!$B$22=Settings!$C$6,1,IF(Settings!$B$22="USD",1/INDEX(Settings!$B$29:$B$40,MONTH(A3242)),INDEX(Settings!$B$29:$B$40,MONTH(A3242)))))</f>
        <v/>
      </c>
    </row>
    <row r="3243" customFormat="false" ht="15" hidden="false" customHeight="false" outlineLevel="0" collapsed="false">
      <c r="H3243" s="0" t="str">
        <f aca="false">IF(B3243="","",IF(COUNTIF(Campaigns!$A$7:$A$300,B3243)&gt;0,"✓","⚠ add to Campaigns tab"))</f>
        <v/>
      </c>
      <c r="I3243" s="84" t="str">
        <f aca="false">IF(C3243="","",C3243*IF(Settings!$B$22=Settings!$C$6,1,IF(Settings!$B$22="USD",1/INDEX(Settings!$B$29:$B$40,MONTH(A3243)),INDEX(Settings!$B$29:$B$40,MONTH(A3243)))))</f>
        <v/>
      </c>
    </row>
    <row r="3244" customFormat="false" ht="15" hidden="false" customHeight="false" outlineLevel="0" collapsed="false">
      <c r="H3244" s="0" t="str">
        <f aca="false">IF(B3244="","",IF(COUNTIF(Campaigns!$A$7:$A$300,B3244)&gt;0,"✓","⚠ add to Campaigns tab"))</f>
        <v/>
      </c>
      <c r="I3244" s="84" t="str">
        <f aca="false">IF(C3244="","",C3244*IF(Settings!$B$22=Settings!$C$6,1,IF(Settings!$B$22="USD",1/INDEX(Settings!$B$29:$B$40,MONTH(A3244)),INDEX(Settings!$B$29:$B$40,MONTH(A3244)))))</f>
        <v/>
      </c>
    </row>
    <row r="3245" customFormat="false" ht="15" hidden="false" customHeight="false" outlineLevel="0" collapsed="false">
      <c r="H3245" s="0" t="str">
        <f aca="false">IF(B3245="","",IF(COUNTIF(Campaigns!$A$7:$A$300,B3245)&gt;0,"✓","⚠ add to Campaigns tab"))</f>
        <v/>
      </c>
      <c r="I3245" s="84" t="str">
        <f aca="false">IF(C3245="","",C3245*IF(Settings!$B$22=Settings!$C$6,1,IF(Settings!$B$22="USD",1/INDEX(Settings!$B$29:$B$40,MONTH(A3245)),INDEX(Settings!$B$29:$B$40,MONTH(A3245)))))</f>
        <v/>
      </c>
    </row>
    <row r="3246" customFormat="false" ht="15" hidden="false" customHeight="false" outlineLevel="0" collapsed="false">
      <c r="H3246" s="0" t="str">
        <f aca="false">IF(B3246="","",IF(COUNTIF(Campaigns!$A$7:$A$300,B3246)&gt;0,"✓","⚠ add to Campaigns tab"))</f>
        <v/>
      </c>
      <c r="I3246" s="84" t="str">
        <f aca="false">IF(C3246="","",C3246*IF(Settings!$B$22=Settings!$C$6,1,IF(Settings!$B$22="USD",1/INDEX(Settings!$B$29:$B$40,MONTH(A3246)),INDEX(Settings!$B$29:$B$40,MONTH(A3246)))))</f>
        <v/>
      </c>
    </row>
    <row r="3247" customFormat="false" ht="15" hidden="false" customHeight="false" outlineLevel="0" collapsed="false">
      <c r="H3247" s="0" t="str">
        <f aca="false">IF(B3247="","",IF(COUNTIF(Campaigns!$A$7:$A$300,B3247)&gt;0,"✓","⚠ add to Campaigns tab"))</f>
        <v/>
      </c>
      <c r="I3247" s="84" t="str">
        <f aca="false">IF(C3247="","",C3247*IF(Settings!$B$22=Settings!$C$6,1,IF(Settings!$B$22="USD",1/INDEX(Settings!$B$29:$B$40,MONTH(A3247)),INDEX(Settings!$B$29:$B$40,MONTH(A3247)))))</f>
        <v/>
      </c>
    </row>
    <row r="3248" customFormat="false" ht="15" hidden="false" customHeight="false" outlineLevel="0" collapsed="false">
      <c r="H3248" s="0" t="str">
        <f aca="false">IF(B3248="","",IF(COUNTIF(Campaigns!$A$7:$A$300,B3248)&gt;0,"✓","⚠ add to Campaigns tab"))</f>
        <v/>
      </c>
      <c r="I3248" s="84" t="str">
        <f aca="false">IF(C3248="","",C3248*IF(Settings!$B$22=Settings!$C$6,1,IF(Settings!$B$22="USD",1/INDEX(Settings!$B$29:$B$40,MONTH(A3248)),INDEX(Settings!$B$29:$B$40,MONTH(A3248)))))</f>
        <v/>
      </c>
    </row>
    <row r="3249" customFormat="false" ht="15" hidden="false" customHeight="false" outlineLevel="0" collapsed="false">
      <c r="H3249" s="0" t="str">
        <f aca="false">IF(B3249="","",IF(COUNTIF(Campaigns!$A$7:$A$300,B3249)&gt;0,"✓","⚠ add to Campaigns tab"))</f>
        <v/>
      </c>
      <c r="I3249" s="84" t="str">
        <f aca="false">IF(C3249="","",C3249*IF(Settings!$B$22=Settings!$C$6,1,IF(Settings!$B$22="USD",1/INDEX(Settings!$B$29:$B$40,MONTH(A3249)),INDEX(Settings!$B$29:$B$40,MONTH(A3249)))))</f>
        <v/>
      </c>
    </row>
    <row r="3250" customFormat="false" ht="15" hidden="false" customHeight="false" outlineLevel="0" collapsed="false">
      <c r="H3250" s="0" t="str">
        <f aca="false">IF(B3250="","",IF(COUNTIF(Campaigns!$A$7:$A$300,B3250)&gt;0,"✓","⚠ add to Campaigns tab"))</f>
        <v/>
      </c>
      <c r="I3250" s="84" t="str">
        <f aca="false">IF(C3250="","",C3250*IF(Settings!$B$22=Settings!$C$6,1,IF(Settings!$B$22="USD",1/INDEX(Settings!$B$29:$B$40,MONTH(A3250)),INDEX(Settings!$B$29:$B$40,MONTH(A3250)))))</f>
        <v/>
      </c>
    </row>
    <row r="3251" customFormat="false" ht="15" hidden="false" customHeight="false" outlineLevel="0" collapsed="false">
      <c r="H3251" s="0" t="str">
        <f aca="false">IF(B3251="","",IF(COUNTIF(Campaigns!$A$7:$A$300,B3251)&gt;0,"✓","⚠ add to Campaigns tab"))</f>
        <v/>
      </c>
      <c r="I3251" s="84" t="str">
        <f aca="false">IF(C3251="","",C3251*IF(Settings!$B$22=Settings!$C$6,1,IF(Settings!$B$22="USD",1/INDEX(Settings!$B$29:$B$40,MONTH(A3251)),INDEX(Settings!$B$29:$B$40,MONTH(A3251)))))</f>
        <v/>
      </c>
    </row>
    <row r="3252" customFormat="false" ht="15" hidden="false" customHeight="false" outlineLevel="0" collapsed="false">
      <c r="H3252" s="0" t="str">
        <f aca="false">IF(B3252="","",IF(COUNTIF(Campaigns!$A$7:$A$300,B3252)&gt;0,"✓","⚠ add to Campaigns tab"))</f>
        <v/>
      </c>
      <c r="I3252" s="84" t="str">
        <f aca="false">IF(C3252="","",C3252*IF(Settings!$B$22=Settings!$C$6,1,IF(Settings!$B$22="USD",1/INDEX(Settings!$B$29:$B$40,MONTH(A3252)),INDEX(Settings!$B$29:$B$40,MONTH(A3252)))))</f>
        <v/>
      </c>
    </row>
    <row r="3253" customFormat="false" ht="15" hidden="false" customHeight="false" outlineLevel="0" collapsed="false">
      <c r="H3253" s="0" t="str">
        <f aca="false">IF(B3253="","",IF(COUNTIF(Campaigns!$A$7:$A$300,B3253)&gt;0,"✓","⚠ add to Campaigns tab"))</f>
        <v/>
      </c>
      <c r="I3253" s="84" t="str">
        <f aca="false">IF(C3253="","",C3253*IF(Settings!$B$22=Settings!$C$6,1,IF(Settings!$B$22="USD",1/INDEX(Settings!$B$29:$B$40,MONTH(A3253)),INDEX(Settings!$B$29:$B$40,MONTH(A3253)))))</f>
        <v/>
      </c>
    </row>
    <row r="3254" customFormat="false" ht="15" hidden="false" customHeight="false" outlineLevel="0" collapsed="false">
      <c r="H3254" s="0" t="str">
        <f aca="false">IF(B3254="","",IF(COUNTIF(Campaigns!$A$7:$A$300,B3254)&gt;0,"✓","⚠ add to Campaigns tab"))</f>
        <v/>
      </c>
      <c r="I3254" s="84" t="str">
        <f aca="false">IF(C3254="","",C3254*IF(Settings!$B$22=Settings!$C$6,1,IF(Settings!$B$22="USD",1/INDEX(Settings!$B$29:$B$40,MONTH(A3254)),INDEX(Settings!$B$29:$B$40,MONTH(A3254)))))</f>
        <v/>
      </c>
    </row>
    <row r="3255" customFormat="false" ht="15" hidden="false" customHeight="false" outlineLevel="0" collapsed="false">
      <c r="H3255" s="0" t="str">
        <f aca="false">IF(B3255="","",IF(COUNTIF(Campaigns!$A$7:$A$300,B3255)&gt;0,"✓","⚠ add to Campaigns tab"))</f>
        <v/>
      </c>
      <c r="I3255" s="84" t="str">
        <f aca="false">IF(C3255="","",C3255*IF(Settings!$B$22=Settings!$C$6,1,IF(Settings!$B$22="USD",1/INDEX(Settings!$B$29:$B$40,MONTH(A3255)),INDEX(Settings!$B$29:$B$40,MONTH(A3255)))))</f>
        <v/>
      </c>
    </row>
    <row r="3256" customFormat="false" ht="15" hidden="false" customHeight="false" outlineLevel="0" collapsed="false">
      <c r="H3256" s="0" t="str">
        <f aca="false">IF(B3256="","",IF(COUNTIF(Campaigns!$A$7:$A$300,B3256)&gt;0,"✓","⚠ add to Campaigns tab"))</f>
        <v/>
      </c>
      <c r="I3256" s="84" t="str">
        <f aca="false">IF(C3256="","",C3256*IF(Settings!$B$22=Settings!$C$6,1,IF(Settings!$B$22="USD",1/INDEX(Settings!$B$29:$B$40,MONTH(A3256)),INDEX(Settings!$B$29:$B$40,MONTH(A3256)))))</f>
        <v/>
      </c>
    </row>
    <row r="3257" customFormat="false" ht="15" hidden="false" customHeight="false" outlineLevel="0" collapsed="false">
      <c r="H3257" s="0" t="str">
        <f aca="false">IF(B3257="","",IF(COUNTIF(Campaigns!$A$7:$A$300,B3257)&gt;0,"✓","⚠ add to Campaigns tab"))</f>
        <v/>
      </c>
      <c r="I3257" s="84" t="str">
        <f aca="false">IF(C3257="","",C3257*IF(Settings!$B$22=Settings!$C$6,1,IF(Settings!$B$22="USD",1/INDEX(Settings!$B$29:$B$40,MONTH(A3257)),INDEX(Settings!$B$29:$B$40,MONTH(A3257)))))</f>
        <v/>
      </c>
    </row>
    <row r="3258" customFormat="false" ht="15" hidden="false" customHeight="false" outlineLevel="0" collapsed="false">
      <c r="H3258" s="0" t="str">
        <f aca="false">IF(B3258="","",IF(COUNTIF(Campaigns!$A$7:$A$300,B3258)&gt;0,"✓","⚠ add to Campaigns tab"))</f>
        <v/>
      </c>
      <c r="I3258" s="84" t="str">
        <f aca="false">IF(C3258="","",C3258*IF(Settings!$B$22=Settings!$C$6,1,IF(Settings!$B$22="USD",1/INDEX(Settings!$B$29:$B$40,MONTH(A3258)),INDEX(Settings!$B$29:$B$40,MONTH(A3258)))))</f>
        <v/>
      </c>
    </row>
    <row r="3259" customFormat="false" ht="15" hidden="false" customHeight="false" outlineLevel="0" collapsed="false">
      <c r="H3259" s="0" t="str">
        <f aca="false">IF(B3259="","",IF(COUNTIF(Campaigns!$A$7:$A$300,B3259)&gt;0,"✓","⚠ add to Campaigns tab"))</f>
        <v/>
      </c>
      <c r="I3259" s="84" t="str">
        <f aca="false">IF(C3259="","",C3259*IF(Settings!$B$22=Settings!$C$6,1,IF(Settings!$B$22="USD",1/INDEX(Settings!$B$29:$B$40,MONTH(A3259)),INDEX(Settings!$B$29:$B$40,MONTH(A3259)))))</f>
        <v/>
      </c>
    </row>
    <row r="3260" customFormat="false" ht="15" hidden="false" customHeight="false" outlineLevel="0" collapsed="false">
      <c r="H3260" s="0" t="str">
        <f aca="false">IF(B3260="","",IF(COUNTIF(Campaigns!$A$7:$A$300,B3260)&gt;0,"✓","⚠ add to Campaigns tab"))</f>
        <v/>
      </c>
      <c r="I3260" s="84" t="str">
        <f aca="false">IF(C3260="","",C3260*IF(Settings!$B$22=Settings!$C$6,1,IF(Settings!$B$22="USD",1/INDEX(Settings!$B$29:$B$40,MONTH(A3260)),INDEX(Settings!$B$29:$B$40,MONTH(A3260)))))</f>
        <v/>
      </c>
    </row>
    <row r="3261" customFormat="false" ht="15" hidden="false" customHeight="false" outlineLevel="0" collapsed="false">
      <c r="H3261" s="0" t="str">
        <f aca="false">IF(B3261="","",IF(COUNTIF(Campaigns!$A$7:$A$300,B3261)&gt;0,"✓","⚠ add to Campaigns tab"))</f>
        <v/>
      </c>
      <c r="I3261" s="84" t="str">
        <f aca="false">IF(C3261="","",C3261*IF(Settings!$B$22=Settings!$C$6,1,IF(Settings!$B$22="USD",1/INDEX(Settings!$B$29:$B$40,MONTH(A3261)),INDEX(Settings!$B$29:$B$40,MONTH(A3261)))))</f>
        <v/>
      </c>
    </row>
    <row r="3262" customFormat="false" ht="15" hidden="false" customHeight="false" outlineLevel="0" collapsed="false">
      <c r="H3262" s="0" t="str">
        <f aca="false">IF(B3262="","",IF(COUNTIF(Campaigns!$A$7:$A$300,B3262)&gt;0,"✓","⚠ add to Campaigns tab"))</f>
        <v/>
      </c>
      <c r="I3262" s="84" t="str">
        <f aca="false">IF(C3262="","",C3262*IF(Settings!$B$22=Settings!$C$6,1,IF(Settings!$B$22="USD",1/INDEX(Settings!$B$29:$B$40,MONTH(A3262)),INDEX(Settings!$B$29:$B$40,MONTH(A3262)))))</f>
        <v/>
      </c>
    </row>
    <row r="3263" customFormat="false" ht="15" hidden="false" customHeight="false" outlineLevel="0" collapsed="false">
      <c r="H3263" s="0" t="str">
        <f aca="false">IF(B3263="","",IF(COUNTIF(Campaigns!$A$7:$A$300,B3263)&gt;0,"✓","⚠ add to Campaigns tab"))</f>
        <v/>
      </c>
      <c r="I3263" s="84" t="str">
        <f aca="false">IF(C3263="","",C3263*IF(Settings!$B$22=Settings!$C$6,1,IF(Settings!$B$22="USD",1/INDEX(Settings!$B$29:$B$40,MONTH(A3263)),INDEX(Settings!$B$29:$B$40,MONTH(A3263)))))</f>
        <v/>
      </c>
    </row>
    <row r="3264" customFormat="false" ht="15" hidden="false" customHeight="false" outlineLevel="0" collapsed="false">
      <c r="H3264" s="0" t="str">
        <f aca="false">IF(B3264="","",IF(COUNTIF(Campaigns!$A$7:$A$300,B3264)&gt;0,"✓","⚠ add to Campaigns tab"))</f>
        <v/>
      </c>
      <c r="I3264" s="84" t="str">
        <f aca="false">IF(C3264="","",C3264*IF(Settings!$B$22=Settings!$C$6,1,IF(Settings!$B$22="USD",1/INDEX(Settings!$B$29:$B$40,MONTH(A3264)),INDEX(Settings!$B$29:$B$40,MONTH(A3264)))))</f>
        <v/>
      </c>
    </row>
    <row r="3265" customFormat="false" ht="15" hidden="false" customHeight="false" outlineLevel="0" collapsed="false">
      <c r="H3265" s="0" t="str">
        <f aca="false">IF(B3265="","",IF(COUNTIF(Campaigns!$A$7:$A$300,B3265)&gt;0,"✓","⚠ add to Campaigns tab"))</f>
        <v/>
      </c>
      <c r="I3265" s="84" t="str">
        <f aca="false">IF(C3265="","",C3265*IF(Settings!$B$22=Settings!$C$6,1,IF(Settings!$B$22="USD",1/INDEX(Settings!$B$29:$B$40,MONTH(A3265)),INDEX(Settings!$B$29:$B$40,MONTH(A3265)))))</f>
        <v/>
      </c>
    </row>
    <row r="3266" customFormat="false" ht="15" hidden="false" customHeight="false" outlineLevel="0" collapsed="false">
      <c r="H3266" s="0" t="str">
        <f aca="false">IF(B3266="","",IF(COUNTIF(Campaigns!$A$7:$A$300,B3266)&gt;0,"✓","⚠ add to Campaigns tab"))</f>
        <v/>
      </c>
      <c r="I3266" s="84" t="str">
        <f aca="false">IF(C3266="","",C3266*IF(Settings!$B$22=Settings!$C$6,1,IF(Settings!$B$22="USD",1/INDEX(Settings!$B$29:$B$40,MONTH(A3266)),INDEX(Settings!$B$29:$B$40,MONTH(A3266)))))</f>
        <v/>
      </c>
    </row>
    <row r="3267" customFormat="false" ht="15" hidden="false" customHeight="false" outlineLevel="0" collapsed="false">
      <c r="H3267" s="0" t="str">
        <f aca="false">IF(B3267="","",IF(COUNTIF(Campaigns!$A$7:$A$300,B3267)&gt;0,"✓","⚠ add to Campaigns tab"))</f>
        <v/>
      </c>
      <c r="I3267" s="84" t="str">
        <f aca="false">IF(C3267="","",C3267*IF(Settings!$B$22=Settings!$C$6,1,IF(Settings!$B$22="USD",1/INDEX(Settings!$B$29:$B$40,MONTH(A3267)),INDEX(Settings!$B$29:$B$40,MONTH(A3267)))))</f>
        <v/>
      </c>
    </row>
    <row r="3268" customFormat="false" ht="15" hidden="false" customHeight="false" outlineLevel="0" collapsed="false">
      <c r="H3268" s="0" t="str">
        <f aca="false">IF(B3268="","",IF(COUNTIF(Campaigns!$A$7:$A$300,B3268)&gt;0,"✓","⚠ add to Campaigns tab"))</f>
        <v/>
      </c>
      <c r="I3268" s="84" t="str">
        <f aca="false">IF(C3268="","",C3268*IF(Settings!$B$22=Settings!$C$6,1,IF(Settings!$B$22="USD",1/INDEX(Settings!$B$29:$B$40,MONTH(A3268)),INDEX(Settings!$B$29:$B$40,MONTH(A3268)))))</f>
        <v/>
      </c>
    </row>
    <row r="3269" customFormat="false" ht="15" hidden="false" customHeight="false" outlineLevel="0" collapsed="false">
      <c r="H3269" s="0" t="str">
        <f aca="false">IF(B3269="","",IF(COUNTIF(Campaigns!$A$7:$A$300,B3269)&gt;0,"✓","⚠ add to Campaigns tab"))</f>
        <v/>
      </c>
      <c r="I3269" s="84" t="str">
        <f aca="false">IF(C3269="","",C3269*IF(Settings!$B$22=Settings!$C$6,1,IF(Settings!$B$22="USD",1/INDEX(Settings!$B$29:$B$40,MONTH(A3269)),INDEX(Settings!$B$29:$B$40,MONTH(A3269)))))</f>
        <v/>
      </c>
    </row>
    <row r="3270" customFormat="false" ht="15" hidden="false" customHeight="false" outlineLevel="0" collapsed="false">
      <c r="H3270" s="0" t="str">
        <f aca="false">IF(B3270="","",IF(COUNTIF(Campaigns!$A$7:$A$300,B3270)&gt;0,"✓","⚠ add to Campaigns tab"))</f>
        <v/>
      </c>
      <c r="I3270" s="84" t="str">
        <f aca="false">IF(C3270="","",C3270*IF(Settings!$B$22=Settings!$C$6,1,IF(Settings!$B$22="USD",1/INDEX(Settings!$B$29:$B$40,MONTH(A3270)),INDEX(Settings!$B$29:$B$40,MONTH(A3270)))))</f>
        <v/>
      </c>
    </row>
    <row r="3271" customFormat="false" ht="15" hidden="false" customHeight="false" outlineLevel="0" collapsed="false">
      <c r="H3271" s="0" t="str">
        <f aca="false">IF(B3271="","",IF(COUNTIF(Campaigns!$A$7:$A$300,B3271)&gt;0,"✓","⚠ add to Campaigns tab"))</f>
        <v/>
      </c>
      <c r="I3271" s="84" t="str">
        <f aca="false">IF(C3271="","",C3271*IF(Settings!$B$22=Settings!$C$6,1,IF(Settings!$B$22="USD",1/INDEX(Settings!$B$29:$B$40,MONTH(A3271)),INDEX(Settings!$B$29:$B$40,MONTH(A3271)))))</f>
        <v/>
      </c>
    </row>
    <row r="3272" customFormat="false" ht="15" hidden="false" customHeight="false" outlineLevel="0" collapsed="false">
      <c r="H3272" s="0" t="str">
        <f aca="false">IF(B3272="","",IF(COUNTIF(Campaigns!$A$7:$A$300,B3272)&gt;0,"✓","⚠ add to Campaigns tab"))</f>
        <v/>
      </c>
      <c r="I3272" s="84" t="str">
        <f aca="false">IF(C3272="","",C3272*IF(Settings!$B$22=Settings!$C$6,1,IF(Settings!$B$22="USD",1/INDEX(Settings!$B$29:$B$40,MONTH(A3272)),INDEX(Settings!$B$29:$B$40,MONTH(A3272)))))</f>
        <v/>
      </c>
    </row>
    <row r="3273" customFormat="false" ht="15" hidden="false" customHeight="false" outlineLevel="0" collapsed="false">
      <c r="H3273" s="0" t="str">
        <f aca="false">IF(B3273="","",IF(COUNTIF(Campaigns!$A$7:$A$300,B3273)&gt;0,"✓","⚠ add to Campaigns tab"))</f>
        <v/>
      </c>
      <c r="I3273" s="84" t="str">
        <f aca="false">IF(C3273="","",C3273*IF(Settings!$B$22=Settings!$C$6,1,IF(Settings!$B$22="USD",1/INDEX(Settings!$B$29:$B$40,MONTH(A3273)),INDEX(Settings!$B$29:$B$40,MONTH(A3273)))))</f>
        <v/>
      </c>
    </row>
    <row r="3274" customFormat="false" ht="15" hidden="false" customHeight="false" outlineLevel="0" collapsed="false">
      <c r="H3274" s="0" t="str">
        <f aca="false">IF(B3274="","",IF(COUNTIF(Campaigns!$A$7:$A$300,B3274)&gt;0,"✓","⚠ add to Campaigns tab"))</f>
        <v/>
      </c>
      <c r="I3274" s="84" t="str">
        <f aca="false">IF(C3274="","",C3274*IF(Settings!$B$22=Settings!$C$6,1,IF(Settings!$B$22="USD",1/INDEX(Settings!$B$29:$B$40,MONTH(A3274)),INDEX(Settings!$B$29:$B$40,MONTH(A3274)))))</f>
        <v/>
      </c>
    </row>
    <row r="3275" customFormat="false" ht="15" hidden="false" customHeight="false" outlineLevel="0" collapsed="false">
      <c r="H3275" s="0" t="str">
        <f aca="false">IF(B3275="","",IF(COUNTIF(Campaigns!$A$7:$A$300,B3275)&gt;0,"✓","⚠ add to Campaigns tab"))</f>
        <v/>
      </c>
      <c r="I3275" s="84" t="str">
        <f aca="false">IF(C3275="","",C3275*IF(Settings!$B$22=Settings!$C$6,1,IF(Settings!$B$22="USD",1/INDEX(Settings!$B$29:$B$40,MONTH(A3275)),INDEX(Settings!$B$29:$B$40,MONTH(A3275)))))</f>
        <v/>
      </c>
    </row>
    <row r="3276" customFormat="false" ht="15" hidden="false" customHeight="false" outlineLevel="0" collapsed="false">
      <c r="H3276" s="0" t="str">
        <f aca="false">IF(B3276="","",IF(COUNTIF(Campaigns!$A$7:$A$300,B3276)&gt;0,"✓","⚠ add to Campaigns tab"))</f>
        <v/>
      </c>
      <c r="I3276" s="84" t="str">
        <f aca="false">IF(C3276="","",C3276*IF(Settings!$B$22=Settings!$C$6,1,IF(Settings!$B$22="USD",1/INDEX(Settings!$B$29:$B$40,MONTH(A3276)),INDEX(Settings!$B$29:$B$40,MONTH(A3276)))))</f>
        <v/>
      </c>
    </row>
    <row r="3277" customFormat="false" ht="15" hidden="false" customHeight="false" outlineLevel="0" collapsed="false">
      <c r="H3277" s="0" t="str">
        <f aca="false">IF(B3277="","",IF(COUNTIF(Campaigns!$A$7:$A$300,B3277)&gt;0,"✓","⚠ add to Campaigns tab"))</f>
        <v/>
      </c>
      <c r="I3277" s="84" t="str">
        <f aca="false">IF(C3277="","",C3277*IF(Settings!$B$22=Settings!$C$6,1,IF(Settings!$B$22="USD",1/INDEX(Settings!$B$29:$B$40,MONTH(A3277)),INDEX(Settings!$B$29:$B$40,MONTH(A3277)))))</f>
        <v/>
      </c>
    </row>
    <row r="3278" customFormat="false" ht="15" hidden="false" customHeight="false" outlineLevel="0" collapsed="false">
      <c r="H3278" s="0" t="str">
        <f aca="false">IF(B3278="","",IF(COUNTIF(Campaigns!$A$7:$A$300,B3278)&gt;0,"✓","⚠ add to Campaigns tab"))</f>
        <v/>
      </c>
      <c r="I3278" s="84" t="str">
        <f aca="false">IF(C3278="","",C3278*IF(Settings!$B$22=Settings!$C$6,1,IF(Settings!$B$22="USD",1/INDEX(Settings!$B$29:$B$40,MONTH(A3278)),INDEX(Settings!$B$29:$B$40,MONTH(A3278)))))</f>
        <v/>
      </c>
    </row>
    <row r="3279" customFormat="false" ht="15" hidden="false" customHeight="false" outlineLevel="0" collapsed="false">
      <c r="H3279" s="0" t="str">
        <f aca="false">IF(B3279="","",IF(COUNTIF(Campaigns!$A$7:$A$300,B3279)&gt;0,"✓","⚠ add to Campaigns tab"))</f>
        <v/>
      </c>
      <c r="I3279" s="84" t="str">
        <f aca="false">IF(C3279="","",C3279*IF(Settings!$B$22=Settings!$C$6,1,IF(Settings!$B$22="USD",1/INDEX(Settings!$B$29:$B$40,MONTH(A3279)),INDEX(Settings!$B$29:$B$40,MONTH(A3279)))))</f>
        <v/>
      </c>
    </row>
    <row r="3280" customFormat="false" ht="15" hidden="false" customHeight="false" outlineLevel="0" collapsed="false">
      <c r="H3280" s="0" t="str">
        <f aca="false">IF(B3280="","",IF(COUNTIF(Campaigns!$A$7:$A$300,B3280)&gt;0,"✓","⚠ add to Campaigns tab"))</f>
        <v/>
      </c>
      <c r="I3280" s="84" t="str">
        <f aca="false">IF(C3280="","",C3280*IF(Settings!$B$22=Settings!$C$6,1,IF(Settings!$B$22="USD",1/INDEX(Settings!$B$29:$B$40,MONTH(A3280)),INDEX(Settings!$B$29:$B$40,MONTH(A3280)))))</f>
        <v/>
      </c>
    </row>
    <row r="3281" customFormat="false" ht="15" hidden="false" customHeight="false" outlineLevel="0" collapsed="false">
      <c r="H3281" s="0" t="str">
        <f aca="false">IF(B3281="","",IF(COUNTIF(Campaigns!$A$7:$A$300,B3281)&gt;0,"✓","⚠ add to Campaigns tab"))</f>
        <v/>
      </c>
      <c r="I3281" s="84" t="str">
        <f aca="false">IF(C3281="","",C3281*IF(Settings!$B$22=Settings!$C$6,1,IF(Settings!$B$22="USD",1/INDEX(Settings!$B$29:$B$40,MONTH(A3281)),INDEX(Settings!$B$29:$B$40,MONTH(A3281)))))</f>
        <v/>
      </c>
    </row>
    <row r="3282" customFormat="false" ht="15" hidden="false" customHeight="false" outlineLevel="0" collapsed="false">
      <c r="H3282" s="0" t="str">
        <f aca="false">IF(B3282="","",IF(COUNTIF(Campaigns!$A$7:$A$300,B3282)&gt;0,"✓","⚠ add to Campaigns tab"))</f>
        <v/>
      </c>
      <c r="I3282" s="84" t="str">
        <f aca="false">IF(C3282="","",C3282*IF(Settings!$B$22=Settings!$C$6,1,IF(Settings!$B$22="USD",1/INDEX(Settings!$B$29:$B$40,MONTH(A3282)),INDEX(Settings!$B$29:$B$40,MONTH(A3282)))))</f>
        <v/>
      </c>
    </row>
    <row r="3283" customFormat="false" ht="15" hidden="false" customHeight="false" outlineLevel="0" collapsed="false">
      <c r="H3283" s="0" t="str">
        <f aca="false">IF(B3283="","",IF(COUNTIF(Campaigns!$A$7:$A$300,B3283)&gt;0,"✓","⚠ add to Campaigns tab"))</f>
        <v/>
      </c>
      <c r="I3283" s="84" t="str">
        <f aca="false">IF(C3283="","",C3283*IF(Settings!$B$22=Settings!$C$6,1,IF(Settings!$B$22="USD",1/INDEX(Settings!$B$29:$B$40,MONTH(A3283)),INDEX(Settings!$B$29:$B$40,MONTH(A3283)))))</f>
        <v/>
      </c>
    </row>
    <row r="3284" customFormat="false" ht="15" hidden="false" customHeight="false" outlineLevel="0" collapsed="false">
      <c r="H3284" s="0" t="str">
        <f aca="false">IF(B3284="","",IF(COUNTIF(Campaigns!$A$7:$A$300,B3284)&gt;0,"✓","⚠ add to Campaigns tab"))</f>
        <v/>
      </c>
      <c r="I3284" s="84" t="str">
        <f aca="false">IF(C3284="","",C3284*IF(Settings!$B$22=Settings!$C$6,1,IF(Settings!$B$22="USD",1/INDEX(Settings!$B$29:$B$40,MONTH(A3284)),INDEX(Settings!$B$29:$B$40,MONTH(A3284)))))</f>
        <v/>
      </c>
    </row>
    <row r="3285" customFormat="false" ht="15" hidden="false" customHeight="false" outlineLevel="0" collapsed="false">
      <c r="H3285" s="0" t="str">
        <f aca="false">IF(B3285="","",IF(COUNTIF(Campaigns!$A$7:$A$300,B3285)&gt;0,"✓","⚠ add to Campaigns tab"))</f>
        <v/>
      </c>
      <c r="I3285" s="84" t="str">
        <f aca="false">IF(C3285="","",C3285*IF(Settings!$B$22=Settings!$C$6,1,IF(Settings!$B$22="USD",1/INDEX(Settings!$B$29:$B$40,MONTH(A3285)),INDEX(Settings!$B$29:$B$40,MONTH(A3285)))))</f>
        <v/>
      </c>
    </row>
    <row r="3286" customFormat="false" ht="15" hidden="false" customHeight="false" outlineLevel="0" collapsed="false">
      <c r="H3286" s="0" t="str">
        <f aca="false">IF(B3286="","",IF(COUNTIF(Campaigns!$A$7:$A$300,B3286)&gt;0,"✓","⚠ add to Campaigns tab"))</f>
        <v/>
      </c>
      <c r="I3286" s="84" t="str">
        <f aca="false">IF(C3286="","",C3286*IF(Settings!$B$22=Settings!$C$6,1,IF(Settings!$B$22="USD",1/INDEX(Settings!$B$29:$B$40,MONTH(A3286)),INDEX(Settings!$B$29:$B$40,MONTH(A3286)))))</f>
        <v/>
      </c>
    </row>
    <row r="3287" customFormat="false" ht="15" hidden="false" customHeight="false" outlineLevel="0" collapsed="false">
      <c r="H3287" s="0" t="str">
        <f aca="false">IF(B3287="","",IF(COUNTIF(Campaigns!$A$7:$A$300,B3287)&gt;0,"✓","⚠ add to Campaigns tab"))</f>
        <v/>
      </c>
      <c r="I3287" s="84" t="str">
        <f aca="false">IF(C3287="","",C3287*IF(Settings!$B$22=Settings!$C$6,1,IF(Settings!$B$22="USD",1/INDEX(Settings!$B$29:$B$40,MONTH(A3287)),INDEX(Settings!$B$29:$B$40,MONTH(A3287)))))</f>
        <v/>
      </c>
    </row>
    <row r="3288" customFormat="false" ht="15" hidden="false" customHeight="false" outlineLevel="0" collapsed="false">
      <c r="H3288" s="0" t="str">
        <f aca="false">IF(B3288="","",IF(COUNTIF(Campaigns!$A$7:$A$300,B3288)&gt;0,"✓","⚠ add to Campaigns tab"))</f>
        <v/>
      </c>
      <c r="I3288" s="84" t="str">
        <f aca="false">IF(C3288="","",C3288*IF(Settings!$B$22=Settings!$C$6,1,IF(Settings!$B$22="USD",1/INDEX(Settings!$B$29:$B$40,MONTH(A3288)),INDEX(Settings!$B$29:$B$40,MONTH(A3288)))))</f>
        <v/>
      </c>
    </row>
    <row r="3289" customFormat="false" ht="15" hidden="false" customHeight="false" outlineLevel="0" collapsed="false">
      <c r="H3289" s="0" t="str">
        <f aca="false">IF(B3289="","",IF(COUNTIF(Campaigns!$A$7:$A$300,B3289)&gt;0,"✓","⚠ add to Campaigns tab"))</f>
        <v/>
      </c>
      <c r="I3289" s="84" t="str">
        <f aca="false">IF(C3289="","",C3289*IF(Settings!$B$22=Settings!$C$6,1,IF(Settings!$B$22="USD",1/INDEX(Settings!$B$29:$B$40,MONTH(A3289)),INDEX(Settings!$B$29:$B$40,MONTH(A3289)))))</f>
        <v/>
      </c>
    </row>
    <row r="3290" customFormat="false" ht="15" hidden="false" customHeight="false" outlineLevel="0" collapsed="false">
      <c r="H3290" s="0" t="str">
        <f aca="false">IF(B3290="","",IF(COUNTIF(Campaigns!$A$7:$A$300,B3290)&gt;0,"✓","⚠ add to Campaigns tab"))</f>
        <v/>
      </c>
      <c r="I3290" s="84" t="str">
        <f aca="false">IF(C3290="","",C3290*IF(Settings!$B$22=Settings!$C$6,1,IF(Settings!$B$22="USD",1/INDEX(Settings!$B$29:$B$40,MONTH(A3290)),INDEX(Settings!$B$29:$B$40,MONTH(A3290)))))</f>
        <v/>
      </c>
    </row>
    <row r="3291" customFormat="false" ht="15" hidden="false" customHeight="false" outlineLevel="0" collapsed="false">
      <c r="H3291" s="0" t="str">
        <f aca="false">IF(B3291="","",IF(COUNTIF(Campaigns!$A$7:$A$300,B3291)&gt;0,"✓","⚠ add to Campaigns tab"))</f>
        <v/>
      </c>
      <c r="I3291" s="84" t="str">
        <f aca="false">IF(C3291="","",C3291*IF(Settings!$B$22=Settings!$C$6,1,IF(Settings!$B$22="USD",1/INDEX(Settings!$B$29:$B$40,MONTH(A3291)),INDEX(Settings!$B$29:$B$40,MONTH(A3291)))))</f>
        <v/>
      </c>
    </row>
    <row r="3292" customFormat="false" ht="15" hidden="false" customHeight="false" outlineLevel="0" collapsed="false">
      <c r="H3292" s="0" t="str">
        <f aca="false">IF(B3292="","",IF(COUNTIF(Campaigns!$A$7:$A$300,B3292)&gt;0,"✓","⚠ add to Campaigns tab"))</f>
        <v/>
      </c>
      <c r="I3292" s="84" t="str">
        <f aca="false">IF(C3292="","",C3292*IF(Settings!$B$22=Settings!$C$6,1,IF(Settings!$B$22="USD",1/INDEX(Settings!$B$29:$B$40,MONTH(A3292)),INDEX(Settings!$B$29:$B$40,MONTH(A3292)))))</f>
        <v/>
      </c>
    </row>
    <row r="3293" customFormat="false" ht="15" hidden="false" customHeight="false" outlineLevel="0" collapsed="false">
      <c r="H3293" s="0" t="str">
        <f aca="false">IF(B3293="","",IF(COUNTIF(Campaigns!$A$7:$A$300,B3293)&gt;0,"✓","⚠ add to Campaigns tab"))</f>
        <v/>
      </c>
      <c r="I3293" s="84" t="str">
        <f aca="false">IF(C3293="","",C3293*IF(Settings!$B$22=Settings!$C$6,1,IF(Settings!$B$22="USD",1/INDEX(Settings!$B$29:$B$40,MONTH(A3293)),INDEX(Settings!$B$29:$B$40,MONTH(A3293)))))</f>
        <v/>
      </c>
    </row>
    <row r="3294" customFormat="false" ht="15" hidden="false" customHeight="false" outlineLevel="0" collapsed="false">
      <c r="H3294" s="0" t="str">
        <f aca="false">IF(B3294="","",IF(COUNTIF(Campaigns!$A$7:$A$300,B3294)&gt;0,"✓","⚠ add to Campaigns tab"))</f>
        <v/>
      </c>
      <c r="I3294" s="84" t="str">
        <f aca="false">IF(C3294="","",C3294*IF(Settings!$B$22=Settings!$C$6,1,IF(Settings!$B$22="USD",1/INDEX(Settings!$B$29:$B$40,MONTH(A3294)),INDEX(Settings!$B$29:$B$40,MONTH(A3294)))))</f>
        <v/>
      </c>
    </row>
    <row r="3295" customFormat="false" ht="15" hidden="false" customHeight="false" outlineLevel="0" collapsed="false">
      <c r="H3295" s="0" t="str">
        <f aca="false">IF(B3295="","",IF(COUNTIF(Campaigns!$A$7:$A$300,B3295)&gt;0,"✓","⚠ add to Campaigns tab"))</f>
        <v/>
      </c>
      <c r="I3295" s="84" t="str">
        <f aca="false">IF(C3295="","",C3295*IF(Settings!$B$22=Settings!$C$6,1,IF(Settings!$B$22="USD",1/INDEX(Settings!$B$29:$B$40,MONTH(A3295)),INDEX(Settings!$B$29:$B$40,MONTH(A3295)))))</f>
        <v/>
      </c>
    </row>
    <row r="3296" customFormat="false" ht="15" hidden="false" customHeight="false" outlineLevel="0" collapsed="false">
      <c r="H3296" s="0" t="str">
        <f aca="false">IF(B3296="","",IF(COUNTIF(Campaigns!$A$7:$A$300,B3296)&gt;0,"✓","⚠ add to Campaigns tab"))</f>
        <v/>
      </c>
      <c r="I3296" s="84" t="str">
        <f aca="false">IF(C3296="","",C3296*IF(Settings!$B$22=Settings!$C$6,1,IF(Settings!$B$22="USD",1/INDEX(Settings!$B$29:$B$40,MONTH(A3296)),INDEX(Settings!$B$29:$B$40,MONTH(A3296)))))</f>
        <v/>
      </c>
    </row>
    <row r="3297" customFormat="false" ht="15" hidden="false" customHeight="false" outlineLevel="0" collapsed="false">
      <c r="H3297" s="0" t="str">
        <f aca="false">IF(B3297="","",IF(COUNTIF(Campaigns!$A$7:$A$300,B3297)&gt;0,"✓","⚠ add to Campaigns tab"))</f>
        <v/>
      </c>
      <c r="I3297" s="84" t="str">
        <f aca="false">IF(C3297="","",C3297*IF(Settings!$B$22=Settings!$C$6,1,IF(Settings!$B$22="USD",1/INDEX(Settings!$B$29:$B$40,MONTH(A3297)),INDEX(Settings!$B$29:$B$40,MONTH(A3297)))))</f>
        <v/>
      </c>
    </row>
    <row r="3298" customFormat="false" ht="15" hidden="false" customHeight="false" outlineLevel="0" collapsed="false">
      <c r="H3298" s="0" t="str">
        <f aca="false">IF(B3298="","",IF(COUNTIF(Campaigns!$A$7:$A$300,B3298)&gt;0,"✓","⚠ add to Campaigns tab"))</f>
        <v/>
      </c>
      <c r="I3298" s="84" t="str">
        <f aca="false">IF(C3298="","",C3298*IF(Settings!$B$22=Settings!$C$6,1,IF(Settings!$B$22="USD",1/INDEX(Settings!$B$29:$B$40,MONTH(A3298)),INDEX(Settings!$B$29:$B$40,MONTH(A3298)))))</f>
        <v/>
      </c>
    </row>
    <row r="3299" customFormat="false" ht="15" hidden="false" customHeight="false" outlineLevel="0" collapsed="false">
      <c r="H3299" s="0" t="str">
        <f aca="false">IF(B3299="","",IF(COUNTIF(Campaigns!$A$7:$A$300,B3299)&gt;0,"✓","⚠ add to Campaigns tab"))</f>
        <v/>
      </c>
      <c r="I3299" s="84" t="str">
        <f aca="false">IF(C3299="","",C3299*IF(Settings!$B$22=Settings!$C$6,1,IF(Settings!$B$22="USD",1/INDEX(Settings!$B$29:$B$40,MONTH(A3299)),INDEX(Settings!$B$29:$B$40,MONTH(A3299)))))</f>
        <v/>
      </c>
    </row>
    <row r="3300" customFormat="false" ht="15" hidden="false" customHeight="false" outlineLevel="0" collapsed="false">
      <c r="H3300" s="0" t="str">
        <f aca="false">IF(B3300="","",IF(COUNTIF(Campaigns!$A$7:$A$300,B3300)&gt;0,"✓","⚠ add to Campaigns tab"))</f>
        <v/>
      </c>
      <c r="I3300" s="84" t="str">
        <f aca="false">IF(C3300="","",C3300*IF(Settings!$B$22=Settings!$C$6,1,IF(Settings!$B$22="USD",1/INDEX(Settings!$B$29:$B$40,MONTH(A3300)),INDEX(Settings!$B$29:$B$40,MONTH(A3300)))))</f>
        <v/>
      </c>
    </row>
    <row r="3301" customFormat="false" ht="15" hidden="false" customHeight="false" outlineLevel="0" collapsed="false">
      <c r="H3301" s="0" t="str">
        <f aca="false">IF(B3301="","",IF(COUNTIF(Campaigns!$A$7:$A$300,B3301)&gt;0,"✓","⚠ add to Campaigns tab"))</f>
        <v/>
      </c>
      <c r="I3301" s="84" t="str">
        <f aca="false">IF(C3301="","",C3301*IF(Settings!$B$22=Settings!$C$6,1,IF(Settings!$B$22="USD",1/INDEX(Settings!$B$29:$B$40,MONTH(A3301)),INDEX(Settings!$B$29:$B$40,MONTH(A3301)))))</f>
        <v/>
      </c>
    </row>
    <row r="3302" customFormat="false" ht="15" hidden="false" customHeight="false" outlineLevel="0" collapsed="false">
      <c r="H3302" s="0" t="str">
        <f aca="false">IF(B3302="","",IF(COUNTIF(Campaigns!$A$7:$A$300,B3302)&gt;0,"✓","⚠ add to Campaigns tab"))</f>
        <v/>
      </c>
      <c r="I3302" s="84" t="str">
        <f aca="false">IF(C3302="","",C3302*IF(Settings!$B$22=Settings!$C$6,1,IF(Settings!$B$22="USD",1/INDEX(Settings!$B$29:$B$40,MONTH(A3302)),INDEX(Settings!$B$29:$B$40,MONTH(A3302)))))</f>
        <v/>
      </c>
    </row>
    <row r="3303" customFormat="false" ht="15" hidden="false" customHeight="false" outlineLevel="0" collapsed="false">
      <c r="H3303" s="0" t="str">
        <f aca="false">IF(B3303="","",IF(COUNTIF(Campaigns!$A$7:$A$300,B3303)&gt;0,"✓","⚠ add to Campaigns tab"))</f>
        <v/>
      </c>
      <c r="I3303" s="84" t="str">
        <f aca="false">IF(C3303="","",C3303*IF(Settings!$B$22=Settings!$C$6,1,IF(Settings!$B$22="USD",1/INDEX(Settings!$B$29:$B$40,MONTH(A3303)),INDEX(Settings!$B$29:$B$40,MONTH(A3303)))))</f>
        <v/>
      </c>
    </row>
    <row r="3304" customFormat="false" ht="15" hidden="false" customHeight="false" outlineLevel="0" collapsed="false">
      <c r="H3304" s="0" t="str">
        <f aca="false">IF(B3304="","",IF(COUNTIF(Campaigns!$A$7:$A$300,B3304)&gt;0,"✓","⚠ add to Campaigns tab"))</f>
        <v/>
      </c>
      <c r="I3304" s="84" t="str">
        <f aca="false">IF(C3304="","",C3304*IF(Settings!$B$22=Settings!$C$6,1,IF(Settings!$B$22="USD",1/INDEX(Settings!$B$29:$B$40,MONTH(A3304)),INDEX(Settings!$B$29:$B$40,MONTH(A3304)))))</f>
        <v/>
      </c>
    </row>
    <row r="3305" customFormat="false" ht="15" hidden="false" customHeight="false" outlineLevel="0" collapsed="false">
      <c r="H3305" s="0" t="str">
        <f aca="false">IF(B3305="","",IF(COUNTIF(Campaigns!$A$7:$A$300,B3305)&gt;0,"✓","⚠ add to Campaigns tab"))</f>
        <v/>
      </c>
      <c r="I3305" s="84" t="str">
        <f aca="false">IF(C3305="","",C3305*IF(Settings!$B$22=Settings!$C$6,1,IF(Settings!$B$22="USD",1/INDEX(Settings!$B$29:$B$40,MONTH(A3305)),INDEX(Settings!$B$29:$B$40,MONTH(A3305)))))</f>
        <v/>
      </c>
    </row>
    <row r="3306" customFormat="false" ht="15" hidden="false" customHeight="false" outlineLevel="0" collapsed="false">
      <c r="H3306" s="0" t="str">
        <f aca="false">IF(B3306="","",IF(COUNTIF(Campaigns!$A$7:$A$300,B3306)&gt;0,"✓","⚠ add to Campaigns tab"))</f>
        <v/>
      </c>
      <c r="I3306" s="84" t="str">
        <f aca="false">IF(C3306="","",C3306*IF(Settings!$B$22=Settings!$C$6,1,IF(Settings!$B$22="USD",1/INDEX(Settings!$B$29:$B$40,MONTH(A3306)),INDEX(Settings!$B$29:$B$40,MONTH(A3306)))))</f>
        <v/>
      </c>
    </row>
    <row r="3307" customFormat="false" ht="15" hidden="false" customHeight="false" outlineLevel="0" collapsed="false">
      <c r="H3307" s="0" t="str">
        <f aca="false">IF(B3307="","",IF(COUNTIF(Campaigns!$A$7:$A$300,B3307)&gt;0,"✓","⚠ add to Campaigns tab"))</f>
        <v/>
      </c>
      <c r="I3307" s="84" t="str">
        <f aca="false">IF(C3307="","",C3307*IF(Settings!$B$22=Settings!$C$6,1,IF(Settings!$B$22="USD",1/INDEX(Settings!$B$29:$B$40,MONTH(A3307)),INDEX(Settings!$B$29:$B$40,MONTH(A3307)))))</f>
        <v/>
      </c>
    </row>
    <row r="3308" customFormat="false" ht="15" hidden="false" customHeight="false" outlineLevel="0" collapsed="false">
      <c r="H3308" s="0" t="str">
        <f aca="false">IF(B3308="","",IF(COUNTIF(Campaigns!$A$7:$A$300,B3308)&gt;0,"✓","⚠ add to Campaigns tab"))</f>
        <v/>
      </c>
      <c r="I3308" s="84" t="str">
        <f aca="false">IF(C3308="","",C3308*IF(Settings!$B$22=Settings!$C$6,1,IF(Settings!$B$22="USD",1/INDEX(Settings!$B$29:$B$40,MONTH(A3308)),INDEX(Settings!$B$29:$B$40,MONTH(A3308)))))</f>
        <v/>
      </c>
    </row>
    <row r="3309" customFormat="false" ht="15" hidden="false" customHeight="false" outlineLevel="0" collapsed="false">
      <c r="H3309" s="0" t="str">
        <f aca="false">IF(B3309="","",IF(COUNTIF(Campaigns!$A$7:$A$300,B3309)&gt;0,"✓","⚠ add to Campaigns tab"))</f>
        <v/>
      </c>
      <c r="I3309" s="84" t="str">
        <f aca="false">IF(C3309="","",C3309*IF(Settings!$B$22=Settings!$C$6,1,IF(Settings!$B$22="USD",1/INDEX(Settings!$B$29:$B$40,MONTH(A3309)),INDEX(Settings!$B$29:$B$40,MONTH(A3309)))))</f>
        <v/>
      </c>
    </row>
    <row r="3310" customFormat="false" ht="15" hidden="false" customHeight="false" outlineLevel="0" collapsed="false">
      <c r="H3310" s="0" t="str">
        <f aca="false">IF(B3310="","",IF(COUNTIF(Campaigns!$A$7:$A$300,B3310)&gt;0,"✓","⚠ add to Campaigns tab"))</f>
        <v/>
      </c>
      <c r="I3310" s="84" t="str">
        <f aca="false">IF(C3310="","",C3310*IF(Settings!$B$22=Settings!$C$6,1,IF(Settings!$B$22="USD",1/INDEX(Settings!$B$29:$B$40,MONTH(A3310)),INDEX(Settings!$B$29:$B$40,MONTH(A3310)))))</f>
        <v/>
      </c>
    </row>
    <row r="3311" customFormat="false" ht="15" hidden="false" customHeight="false" outlineLevel="0" collapsed="false">
      <c r="H3311" s="0" t="str">
        <f aca="false">IF(B3311="","",IF(COUNTIF(Campaigns!$A$7:$A$300,B3311)&gt;0,"✓","⚠ add to Campaigns tab"))</f>
        <v/>
      </c>
      <c r="I3311" s="84" t="str">
        <f aca="false">IF(C3311="","",C3311*IF(Settings!$B$22=Settings!$C$6,1,IF(Settings!$B$22="USD",1/INDEX(Settings!$B$29:$B$40,MONTH(A3311)),INDEX(Settings!$B$29:$B$40,MONTH(A3311)))))</f>
        <v/>
      </c>
    </row>
    <row r="3312" customFormat="false" ht="15" hidden="false" customHeight="false" outlineLevel="0" collapsed="false">
      <c r="H3312" s="0" t="str">
        <f aca="false">IF(B3312="","",IF(COUNTIF(Campaigns!$A$7:$A$300,B3312)&gt;0,"✓","⚠ add to Campaigns tab"))</f>
        <v/>
      </c>
      <c r="I3312" s="84" t="str">
        <f aca="false">IF(C3312="","",C3312*IF(Settings!$B$22=Settings!$C$6,1,IF(Settings!$B$22="USD",1/INDEX(Settings!$B$29:$B$40,MONTH(A3312)),INDEX(Settings!$B$29:$B$40,MONTH(A3312)))))</f>
        <v/>
      </c>
    </row>
    <row r="3313" customFormat="false" ht="15" hidden="false" customHeight="false" outlineLevel="0" collapsed="false">
      <c r="H3313" s="0" t="str">
        <f aca="false">IF(B3313="","",IF(COUNTIF(Campaigns!$A$7:$A$300,B3313)&gt;0,"✓","⚠ add to Campaigns tab"))</f>
        <v/>
      </c>
      <c r="I3313" s="84" t="str">
        <f aca="false">IF(C3313="","",C3313*IF(Settings!$B$22=Settings!$C$6,1,IF(Settings!$B$22="USD",1/INDEX(Settings!$B$29:$B$40,MONTH(A3313)),INDEX(Settings!$B$29:$B$40,MONTH(A3313)))))</f>
        <v/>
      </c>
    </row>
    <row r="3314" customFormat="false" ht="15" hidden="false" customHeight="false" outlineLevel="0" collapsed="false">
      <c r="H3314" s="0" t="str">
        <f aca="false">IF(B3314="","",IF(COUNTIF(Campaigns!$A$7:$A$300,B3314)&gt;0,"✓","⚠ add to Campaigns tab"))</f>
        <v/>
      </c>
      <c r="I3314" s="84" t="str">
        <f aca="false">IF(C3314="","",C3314*IF(Settings!$B$22=Settings!$C$6,1,IF(Settings!$B$22="USD",1/INDEX(Settings!$B$29:$B$40,MONTH(A3314)),INDEX(Settings!$B$29:$B$40,MONTH(A3314)))))</f>
        <v/>
      </c>
    </row>
    <row r="3315" customFormat="false" ht="15" hidden="false" customHeight="false" outlineLevel="0" collapsed="false">
      <c r="H3315" s="0" t="str">
        <f aca="false">IF(B3315="","",IF(COUNTIF(Campaigns!$A$7:$A$300,B3315)&gt;0,"✓","⚠ add to Campaigns tab"))</f>
        <v/>
      </c>
      <c r="I3315" s="84" t="str">
        <f aca="false">IF(C3315="","",C3315*IF(Settings!$B$22=Settings!$C$6,1,IF(Settings!$B$22="USD",1/INDEX(Settings!$B$29:$B$40,MONTH(A3315)),INDEX(Settings!$B$29:$B$40,MONTH(A3315)))))</f>
        <v/>
      </c>
    </row>
    <row r="3316" customFormat="false" ht="15" hidden="false" customHeight="false" outlineLevel="0" collapsed="false">
      <c r="H3316" s="0" t="str">
        <f aca="false">IF(B3316="","",IF(COUNTIF(Campaigns!$A$7:$A$300,B3316)&gt;0,"✓","⚠ add to Campaigns tab"))</f>
        <v/>
      </c>
      <c r="I3316" s="84" t="str">
        <f aca="false">IF(C3316="","",C3316*IF(Settings!$B$22=Settings!$C$6,1,IF(Settings!$B$22="USD",1/INDEX(Settings!$B$29:$B$40,MONTH(A3316)),INDEX(Settings!$B$29:$B$40,MONTH(A3316)))))</f>
        <v/>
      </c>
    </row>
    <row r="3317" customFormat="false" ht="15" hidden="false" customHeight="false" outlineLevel="0" collapsed="false">
      <c r="H3317" s="0" t="str">
        <f aca="false">IF(B3317="","",IF(COUNTIF(Campaigns!$A$7:$A$300,B3317)&gt;0,"✓","⚠ add to Campaigns tab"))</f>
        <v/>
      </c>
      <c r="I3317" s="84" t="str">
        <f aca="false">IF(C3317="","",C3317*IF(Settings!$B$22=Settings!$C$6,1,IF(Settings!$B$22="USD",1/INDEX(Settings!$B$29:$B$40,MONTH(A3317)),INDEX(Settings!$B$29:$B$40,MONTH(A3317)))))</f>
        <v/>
      </c>
    </row>
    <row r="3318" customFormat="false" ht="15" hidden="false" customHeight="false" outlineLevel="0" collapsed="false">
      <c r="H3318" s="0" t="str">
        <f aca="false">IF(B3318="","",IF(COUNTIF(Campaigns!$A$7:$A$300,B3318)&gt;0,"✓","⚠ add to Campaigns tab"))</f>
        <v/>
      </c>
      <c r="I3318" s="84" t="str">
        <f aca="false">IF(C3318="","",C3318*IF(Settings!$B$22=Settings!$C$6,1,IF(Settings!$B$22="USD",1/INDEX(Settings!$B$29:$B$40,MONTH(A3318)),INDEX(Settings!$B$29:$B$40,MONTH(A3318)))))</f>
        <v/>
      </c>
    </row>
    <row r="3319" customFormat="false" ht="15" hidden="false" customHeight="false" outlineLevel="0" collapsed="false">
      <c r="H3319" s="0" t="str">
        <f aca="false">IF(B3319="","",IF(COUNTIF(Campaigns!$A$7:$A$300,B3319)&gt;0,"✓","⚠ add to Campaigns tab"))</f>
        <v/>
      </c>
      <c r="I3319" s="84" t="str">
        <f aca="false">IF(C3319="","",C3319*IF(Settings!$B$22=Settings!$C$6,1,IF(Settings!$B$22="USD",1/INDEX(Settings!$B$29:$B$40,MONTH(A3319)),INDEX(Settings!$B$29:$B$40,MONTH(A3319)))))</f>
        <v/>
      </c>
    </row>
    <row r="3320" customFormat="false" ht="15" hidden="false" customHeight="false" outlineLevel="0" collapsed="false">
      <c r="H3320" s="0" t="str">
        <f aca="false">IF(B3320="","",IF(COUNTIF(Campaigns!$A$7:$A$300,B3320)&gt;0,"✓","⚠ add to Campaigns tab"))</f>
        <v/>
      </c>
      <c r="I3320" s="84" t="str">
        <f aca="false">IF(C3320="","",C3320*IF(Settings!$B$22=Settings!$C$6,1,IF(Settings!$B$22="USD",1/INDEX(Settings!$B$29:$B$40,MONTH(A3320)),INDEX(Settings!$B$29:$B$40,MONTH(A3320)))))</f>
        <v/>
      </c>
    </row>
    <row r="3321" customFormat="false" ht="15" hidden="false" customHeight="false" outlineLevel="0" collapsed="false">
      <c r="H3321" s="0" t="str">
        <f aca="false">IF(B3321="","",IF(COUNTIF(Campaigns!$A$7:$A$300,B3321)&gt;0,"✓","⚠ add to Campaigns tab"))</f>
        <v/>
      </c>
      <c r="I3321" s="84" t="str">
        <f aca="false">IF(C3321="","",C3321*IF(Settings!$B$22=Settings!$C$6,1,IF(Settings!$B$22="USD",1/INDEX(Settings!$B$29:$B$40,MONTH(A3321)),INDEX(Settings!$B$29:$B$40,MONTH(A3321)))))</f>
        <v/>
      </c>
    </row>
    <row r="3322" customFormat="false" ht="15" hidden="false" customHeight="false" outlineLevel="0" collapsed="false">
      <c r="H3322" s="0" t="str">
        <f aca="false">IF(B3322="","",IF(COUNTIF(Campaigns!$A$7:$A$300,B3322)&gt;0,"✓","⚠ add to Campaigns tab"))</f>
        <v/>
      </c>
      <c r="I3322" s="84" t="str">
        <f aca="false">IF(C3322="","",C3322*IF(Settings!$B$22=Settings!$C$6,1,IF(Settings!$B$22="USD",1/INDEX(Settings!$B$29:$B$40,MONTH(A3322)),INDEX(Settings!$B$29:$B$40,MONTH(A3322)))))</f>
        <v/>
      </c>
    </row>
    <row r="3323" customFormat="false" ht="15" hidden="false" customHeight="false" outlineLevel="0" collapsed="false">
      <c r="H3323" s="0" t="str">
        <f aca="false">IF(B3323="","",IF(COUNTIF(Campaigns!$A$7:$A$300,B3323)&gt;0,"✓","⚠ add to Campaigns tab"))</f>
        <v/>
      </c>
      <c r="I3323" s="84" t="str">
        <f aca="false">IF(C3323="","",C3323*IF(Settings!$B$22=Settings!$C$6,1,IF(Settings!$B$22="USD",1/INDEX(Settings!$B$29:$B$40,MONTH(A3323)),INDEX(Settings!$B$29:$B$40,MONTH(A3323)))))</f>
        <v/>
      </c>
    </row>
    <row r="3324" customFormat="false" ht="15" hidden="false" customHeight="false" outlineLevel="0" collapsed="false">
      <c r="H3324" s="0" t="str">
        <f aca="false">IF(B3324="","",IF(COUNTIF(Campaigns!$A$7:$A$300,B3324)&gt;0,"✓","⚠ add to Campaigns tab"))</f>
        <v/>
      </c>
      <c r="I3324" s="84" t="str">
        <f aca="false">IF(C3324="","",C3324*IF(Settings!$B$22=Settings!$C$6,1,IF(Settings!$B$22="USD",1/INDEX(Settings!$B$29:$B$40,MONTH(A3324)),INDEX(Settings!$B$29:$B$40,MONTH(A3324)))))</f>
        <v/>
      </c>
    </row>
    <row r="3325" customFormat="false" ht="15" hidden="false" customHeight="false" outlineLevel="0" collapsed="false">
      <c r="H3325" s="0" t="str">
        <f aca="false">IF(B3325="","",IF(COUNTIF(Campaigns!$A$7:$A$300,B3325)&gt;0,"✓","⚠ add to Campaigns tab"))</f>
        <v/>
      </c>
      <c r="I3325" s="84" t="str">
        <f aca="false">IF(C3325="","",C3325*IF(Settings!$B$22=Settings!$C$6,1,IF(Settings!$B$22="USD",1/INDEX(Settings!$B$29:$B$40,MONTH(A3325)),INDEX(Settings!$B$29:$B$40,MONTH(A3325)))))</f>
        <v/>
      </c>
    </row>
    <row r="3326" customFormat="false" ht="15" hidden="false" customHeight="false" outlineLevel="0" collapsed="false">
      <c r="H3326" s="0" t="str">
        <f aca="false">IF(B3326="","",IF(COUNTIF(Campaigns!$A$7:$A$300,B3326)&gt;0,"✓","⚠ add to Campaigns tab"))</f>
        <v/>
      </c>
      <c r="I3326" s="84" t="str">
        <f aca="false">IF(C3326="","",C3326*IF(Settings!$B$22=Settings!$C$6,1,IF(Settings!$B$22="USD",1/INDEX(Settings!$B$29:$B$40,MONTH(A3326)),INDEX(Settings!$B$29:$B$40,MONTH(A3326)))))</f>
        <v/>
      </c>
    </row>
    <row r="3327" customFormat="false" ht="15" hidden="false" customHeight="false" outlineLevel="0" collapsed="false">
      <c r="H3327" s="0" t="str">
        <f aca="false">IF(B3327="","",IF(COUNTIF(Campaigns!$A$7:$A$300,B3327)&gt;0,"✓","⚠ add to Campaigns tab"))</f>
        <v/>
      </c>
      <c r="I3327" s="84" t="str">
        <f aca="false">IF(C3327="","",C3327*IF(Settings!$B$22=Settings!$C$6,1,IF(Settings!$B$22="USD",1/INDEX(Settings!$B$29:$B$40,MONTH(A3327)),INDEX(Settings!$B$29:$B$40,MONTH(A3327)))))</f>
        <v/>
      </c>
    </row>
    <row r="3328" customFormat="false" ht="15" hidden="false" customHeight="false" outlineLevel="0" collapsed="false">
      <c r="H3328" s="0" t="str">
        <f aca="false">IF(B3328="","",IF(COUNTIF(Campaigns!$A$7:$A$300,B3328)&gt;0,"✓","⚠ add to Campaigns tab"))</f>
        <v/>
      </c>
      <c r="I3328" s="84" t="str">
        <f aca="false">IF(C3328="","",C3328*IF(Settings!$B$22=Settings!$C$6,1,IF(Settings!$B$22="USD",1/INDEX(Settings!$B$29:$B$40,MONTH(A3328)),INDEX(Settings!$B$29:$B$40,MONTH(A3328)))))</f>
        <v/>
      </c>
    </row>
    <row r="3329" customFormat="false" ht="15" hidden="false" customHeight="false" outlineLevel="0" collapsed="false">
      <c r="H3329" s="0" t="str">
        <f aca="false">IF(B3329="","",IF(COUNTIF(Campaigns!$A$7:$A$300,B3329)&gt;0,"✓","⚠ add to Campaigns tab"))</f>
        <v/>
      </c>
      <c r="I3329" s="84" t="str">
        <f aca="false">IF(C3329="","",C3329*IF(Settings!$B$22=Settings!$C$6,1,IF(Settings!$B$22="USD",1/INDEX(Settings!$B$29:$B$40,MONTH(A3329)),INDEX(Settings!$B$29:$B$40,MONTH(A3329)))))</f>
        <v/>
      </c>
    </row>
    <row r="3330" customFormat="false" ht="15" hidden="false" customHeight="false" outlineLevel="0" collapsed="false">
      <c r="H3330" s="0" t="str">
        <f aca="false">IF(B3330="","",IF(COUNTIF(Campaigns!$A$7:$A$300,B3330)&gt;0,"✓","⚠ add to Campaigns tab"))</f>
        <v/>
      </c>
      <c r="I3330" s="84" t="str">
        <f aca="false">IF(C3330="","",C3330*IF(Settings!$B$22=Settings!$C$6,1,IF(Settings!$B$22="USD",1/INDEX(Settings!$B$29:$B$40,MONTH(A3330)),INDEX(Settings!$B$29:$B$40,MONTH(A3330)))))</f>
        <v/>
      </c>
    </row>
    <row r="3331" customFormat="false" ht="15" hidden="false" customHeight="false" outlineLevel="0" collapsed="false">
      <c r="H3331" s="0" t="str">
        <f aca="false">IF(B3331="","",IF(COUNTIF(Campaigns!$A$7:$A$300,B3331)&gt;0,"✓","⚠ add to Campaigns tab"))</f>
        <v/>
      </c>
      <c r="I3331" s="84" t="str">
        <f aca="false">IF(C3331="","",C3331*IF(Settings!$B$22=Settings!$C$6,1,IF(Settings!$B$22="USD",1/INDEX(Settings!$B$29:$B$40,MONTH(A3331)),INDEX(Settings!$B$29:$B$40,MONTH(A3331)))))</f>
        <v/>
      </c>
    </row>
    <row r="3332" customFormat="false" ht="15" hidden="false" customHeight="false" outlineLevel="0" collapsed="false">
      <c r="H3332" s="0" t="str">
        <f aca="false">IF(B3332="","",IF(COUNTIF(Campaigns!$A$7:$A$300,B3332)&gt;0,"✓","⚠ add to Campaigns tab"))</f>
        <v/>
      </c>
      <c r="I3332" s="84" t="str">
        <f aca="false">IF(C3332="","",C3332*IF(Settings!$B$22=Settings!$C$6,1,IF(Settings!$B$22="USD",1/INDEX(Settings!$B$29:$B$40,MONTH(A3332)),INDEX(Settings!$B$29:$B$40,MONTH(A3332)))))</f>
        <v/>
      </c>
    </row>
    <row r="3333" customFormat="false" ht="15" hidden="false" customHeight="false" outlineLevel="0" collapsed="false">
      <c r="H3333" s="0" t="str">
        <f aca="false">IF(B3333="","",IF(COUNTIF(Campaigns!$A$7:$A$300,B3333)&gt;0,"✓","⚠ add to Campaigns tab"))</f>
        <v/>
      </c>
      <c r="I3333" s="84" t="str">
        <f aca="false">IF(C3333="","",C3333*IF(Settings!$B$22=Settings!$C$6,1,IF(Settings!$B$22="USD",1/INDEX(Settings!$B$29:$B$40,MONTH(A3333)),INDEX(Settings!$B$29:$B$40,MONTH(A3333)))))</f>
        <v/>
      </c>
    </row>
    <row r="3334" customFormat="false" ht="15" hidden="false" customHeight="false" outlineLevel="0" collapsed="false">
      <c r="H3334" s="0" t="str">
        <f aca="false">IF(B3334="","",IF(COUNTIF(Campaigns!$A$7:$A$300,B3334)&gt;0,"✓","⚠ add to Campaigns tab"))</f>
        <v/>
      </c>
      <c r="I3334" s="84" t="str">
        <f aca="false">IF(C3334="","",C3334*IF(Settings!$B$22=Settings!$C$6,1,IF(Settings!$B$22="USD",1/INDEX(Settings!$B$29:$B$40,MONTH(A3334)),INDEX(Settings!$B$29:$B$40,MONTH(A3334)))))</f>
        <v/>
      </c>
    </row>
    <row r="3335" customFormat="false" ht="15" hidden="false" customHeight="false" outlineLevel="0" collapsed="false">
      <c r="H3335" s="0" t="str">
        <f aca="false">IF(B3335="","",IF(COUNTIF(Campaigns!$A$7:$A$300,B3335)&gt;0,"✓","⚠ add to Campaigns tab"))</f>
        <v/>
      </c>
      <c r="I3335" s="84" t="str">
        <f aca="false">IF(C3335="","",C3335*IF(Settings!$B$22=Settings!$C$6,1,IF(Settings!$B$22="USD",1/INDEX(Settings!$B$29:$B$40,MONTH(A3335)),INDEX(Settings!$B$29:$B$40,MONTH(A3335)))))</f>
        <v/>
      </c>
    </row>
    <row r="3336" customFormat="false" ht="15" hidden="false" customHeight="false" outlineLevel="0" collapsed="false">
      <c r="H3336" s="0" t="str">
        <f aca="false">IF(B3336="","",IF(COUNTIF(Campaigns!$A$7:$A$300,B3336)&gt;0,"✓","⚠ add to Campaigns tab"))</f>
        <v/>
      </c>
      <c r="I3336" s="84" t="str">
        <f aca="false">IF(C3336="","",C3336*IF(Settings!$B$22=Settings!$C$6,1,IF(Settings!$B$22="USD",1/INDEX(Settings!$B$29:$B$40,MONTH(A3336)),INDEX(Settings!$B$29:$B$40,MONTH(A3336)))))</f>
        <v/>
      </c>
    </row>
    <row r="3337" customFormat="false" ht="15" hidden="false" customHeight="false" outlineLevel="0" collapsed="false">
      <c r="H3337" s="0" t="str">
        <f aca="false">IF(B3337="","",IF(COUNTIF(Campaigns!$A$7:$A$300,B3337)&gt;0,"✓","⚠ add to Campaigns tab"))</f>
        <v/>
      </c>
      <c r="I3337" s="84" t="str">
        <f aca="false">IF(C3337="","",C3337*IF(Settings!$B$22=Settings!$C$6,1,IF(Settings!$B$22="USD",1/INDEX(Settings!$B$29:$B$40,MONTH(A3337)),INDEX(Settings!$B$29:$B$40,MONTH(A3337)))))</f>
        <v/>
      </c>
    </row>
    <row r="3338" customFormat="false" ht="15" hidden="false" customHeight="false" outlineLevel="0" collapsed="false">
      <c r="H3338" s="0" t="str">
        <f aca="false">IF(B3338="","",IF(COUNTIF(Campaigns!$A$7:$A$300,B3338)&gt;0,"✓","⚠ add to Campaigns tab"))</f>
        <v/>
      </c>
      <c r="I3338" s="84" t="str">
        <f aca="false">IF(C3338="","",C3338*IF(Settings!$B$22=Settings!$C$6,1,IF(Settings!$B$22="USD",1/INDEX(Settings!$B$29:$B$40,MONTH(A3338)),INDEX(Settings!$B$29:$B$40,MONTH(A3338)))))</f>
        <v/>
      </c>
    </row>
    <row r="3339" customFormat="false" ht="15" hidden="false" customHeight="false" outlineLevel="0" collapsed="false">
      <c r="H3339" s="0" t="str">
        <f aca="false">IF(B3339="","",IF(COUNTIF(Campaigns!$A$7:$A$300,B3339)&gt;0,"✓","⚠ add to Campaigns tab"))</f>
        <v/>
      </c>
      <c r="I3339" s="84" t="str">
        <f aca="false">IF(C3339="","",C3339*IF(Settings!$B$22=Settings!$C$6,1,IF(Settings!$B$22="USD",1/INDEX(Settings!$B$29:$B$40,MONTH(A3339)),INDEX(Settings!$B$29:$B$40,MONTH(A3339)))))</f>
        <v/>
      </c>
    </row>
    <row r="3340" customFormat="false" ht="15" hidden="false" customHeight="false" outlineLevel="0" collapsed="false">
      <c r="H3340" s="0" t="str">
        <f aca="false">IF(B3340="","",IF(COUNTIF(Campaigns!$A$7:$A$300,B3340)&gt;0,"✓","⚠ add to Campaigns tab"))</f>
        <v/>
      </c>
      <c r="I3340" s="84" t="str">
        <f aca="false">IF(C3340="","",C3340*IF(Settings!$B$22=Settings!$C$6,1,IF(Settings!$B$22="USD",1/INDEX(Settings!$B$29:$B$40,MONTH(A3340)),INDEX(Settings!$B$29:$B$40,MONTH(A3340)))))</f>
        <v/>
      </c>
    </row>
    <row r="3341" customFormat="false" ht="15" hidden="false" customHeight="false" outlineLevel="0" collapsed="false">
      <c r="H3341" s="0" t="str">
        <f aca="false">IF(B3341="","",IF(COUNTIF(Campaigns!$A$7:$A$300,B3341)&gt;0,"✓","⚠ add to Campaigns tab"))</f>
        <v/>
      </c>
      <c r="I3341" s="84" t="str">
        <f aca="false">IF(C3341="","",C3341*IF(Settings!$B$22=Settings!$C$6,1,IF(Settings!$B$22="USD",1/INDEX(Settings!$B$29:$B$40,MONTH(A3341)),INDEX(Settings!$B$29:$B$40,MONTH(A3341)))))</f>
        <v/>
      </c>
    </row>
    <row r="3342" customFormat="false" ht="15" hidden="false" customHeight="false" outlineLevel="0" collapsed="false">
      <c r="H3342" s="0" t="str">
        <f aca="false">IF(B3342="","",IF(COUNTIF(Campaigns!$A$7:$A$300,B3342)&gt;0,"✓","⚠ add to Campaigns tab"))</f>
        <v/>
      </c>
      <c r="I3342" s="84" t="str">
        <f aca="false">IF(C3342="","",C3342*IF(Settings!$B$22=Settings!$C$6,1,IF(Settings!$B$22="USD",1/INDEX(Settings!$B$29:$B$40,MONTH(A3342)),INDEX(Settings!$B$29:$B$40,MONTH(A3342)))))</f>
        <v/>
      </c>
    </row>
    <row r="3343" customFormat="false" ht="15" hidden="false" customHeight="false" outlineLevel="0" collapsed="false">
      <c r="H3343" s="0" t="str">
        <f aca="false">IF(B3343="","",IF(COUNTIF(Campaigns!$A$7:$A$300,B3343)&gt;0,"✓","⚠ add to Campaigns tab"))</f>
        <v/>
      </c>
      <c r="I3343" s="84" t="str">
        <f aca="false">IF(C3343="","",C3343*IF(Settings!$B$22=Settings!$C$6,1,IF(Settings!$B$22="USD",1/INDEX(Settings!$B$29:$B$40,MONTH(A3343)),INDEX(Settings!$B$29:$B$40,MONTH(A3343)))))</f>
        <v/>
      </c>
    </row>
    <row r="3344" customFormat="false" ht="15" hidden="false" customHeight="false" outlineLevel="0" collapsed="false">
      <c r="H3344" s="0" t="str">
        <f aca="false">IF(B3344="","",IF(COUNTIF(Campaigns!$A$7:$A$300,B3344)&gt;0,"✓","⚠ add to Campaigns tab"))</f>
        <v/>
      </c>
      <c r="I3344" s="84" t="str">
        <f aca="false">IF(C3344="","",C3344*IF(Settings!$B$22=Settings!$C$6,1,IF(Settings!$B$22="USD",1/INDEX(Settings!$B$29:$B$40,MONTH(A3344)),INDEX(Settings!$B$29:$B$40,MONTH(A3344)))))</f>
        <v/>
      </c>
    </row>
    <row r="3345" customFormat="false" ht="15" hidden="false" customHeight="false" outlineLevel="0" collapsed="false">
      <c r="H3345" s="0" t="str">
        <f aca="false">IF(B3345="","",IF(COUNTIF(Campaigns!$A$7:$A$300,B3345)&gt;0,"✓","⚠ add to Campaigns tab"))</f>
        <v/>
      </c>
      <c r="I3345" s="84" t="str">
        <f aca="false">IF(C3345="","",C3345*IF(Settings!$B$22=Settings!$C$6,1,IF(Settings!$B$22="USD",1/INDEX(Settings!$B$29:$B$40,MONTH(A3345)),INDEX(Settings!$B$29:$B$40,MONTH(A3345)))))</f>
        <v/>
      </c>
    </row>
    <row r="3346" customFormat="false" ht="15" hidden="false" customHeight="false" outlineLevel="0" collapsed="false">
      <c r="H3346" s="0" t="str">
        <f aca="false">IF(B3346="","",IF(COUNTIF(Campaigns!$A$7:$A$300,B3346)&gt;0,"✓","⚠ add to Campaigns tab"))</f>
        <v/>
      </c>
      <c r="I3346" s="84" t="str">
        <f aca="false">IF(C3346="","",C3346*IF(Settings!$B$22=Settings!$C$6,1,IF(Settings!$B$22="USD",1/INDEX(Settings!$B$29:$B$40,MONTH(A3346)),INDEX(Settings!$B$29:$B$40,MONTH(A3346)))))</f>
        <v/>
      </c>
    </row>
    <row r="3347" customFormat="false" ht="15" hidden="false" customHeight="false" outlineLevel="0" collapsed="false">
      <c r="H3347" s="0" t="str">
        <f aca="false">IF(B3347="","",IF(COUNTIF(Campaigns!$A$7:$A$300,B3347)&gt;0,"✓","⚠ add to Campaigns tab"))</f>
        <v/>
      </c>
      <c r="I3347" s="84" t="str">
        <f aca="false">IF(C3347="","",C3347*IF(Settings!$B$22=Settings!$C$6,1,IF(Settings!$B$22="USD",1/INDEX(Settings!$B$29:$B$40,MONTH(A3347)),INDEX(Settings!$B$29:$B$40,MONTH(A3347)))))</f>
        <v/>
      </c>
    </row>
    <row r="3348" customFormat="false" ht="15" hidden="false" customHeight="false" outlineLevel="0" collapsed="false">
      <c r="H3348" s="0" t="str">
        <f aca="false">IF(B3348="","",IF(COUNTIF(Campaigns!$A$7:$A$300,B3348)&gt;0,"✓","⚠ add to Campaigns tab"))</f>
        <v/>
      </c>
      <c r="I3348" s="84" t="str">
        <f aca="false">IF(C3348="","",C3348*IF(Settings!$B$22=Settings!$C$6,1,IF(Settings!$B$22="USD",1/INDEX(Settings!$B$29:$B$40,MONTH(A3348)),INDEX(Settings!$B$29:$B$40,MONTH(A3348)))))</f>
        <v/>
      </c>
    </row>
    <row r="3349" customFormat="false" ht="15" hidden="false" customHeight="false" outlineLevel="0" collapsed="false">
      <c r="H3349" s="0" t="str">
        <f aca="false">IF(B3349="","",IF(COUNTIF(Campaigns!$A$7:$A$300,B3349)&gt;0,"✓","⚠ add to Campaigns tab"))</f>
        <v/>
      </c>
      <c r="I3349" s="84" t="str">
        <f aca="false">IF(C3349="","",C3349*IF(Settings!$B$22=Settings!$C$6,1,IF(Settings!$B$22="USD",1/INDEX(Settings!$B$29:$B$40,MONTH(A3349)),INDEX(Settings!$B$29:$B$40,MONTH(A3349)))))</f>
        <v/>
      </c>
    </row>
    <row r="3350" customFormat="false" ht="15" hidden="false" customHeight="false" outlineLevel="0" collapsed="false">
      <c r="H3350" s="0" t="str">
        <f aca="false">IF(B3350="","",IF(COUNTIF(Campaigns!$A$7:$A$300,B3350)&gt;0,"✓","⚠ add to Campaigns tab"))</f>
        <v/>
      </c>
      <c r="I3350" s="84" t="str">
        <f aca="false">IF(C3350="","",C3350*IF(Settings!$B$22=Settings!$C$6,1,IF(Settings!$B$22="USD",1/INDEX(Settings!$B$29:$B$40,MONTH(A3350)),INDEX(Settings!$B$29:$B$40,MONTH(A3350)))))</f>
        <v/>
      </c>
    </row>
    <row r="3351" customFormat="false" ht="15" hidden="false" customHeight="false" outlineLevel="0" collapsed="false">
      <c r="H3351" s="0" t="str">
        <f aca="false">IF(B3351="","",IF(COUNTIF(Campaigns!$A$7:$A$300,B3351)&gt;0,"✓","⚠ add to Campaigns tab"))</f>
        <v/>
      </c>
      <c r="I3351" s="84" t="str">
        <f aca="false">IF(C3351="","",C3351*IF(Settings!$B$22=Settings!$C$6,1,IF(Settings!$B$22="USD",1/INDEX(Settings!$B$29:$B$40,MONTH(A3351)),INDEX(Settings!$B$29:$B$40,MONTH(A3351)))))</f>
        <v/>
      </c>
    </row>
    <row r="3352" customFormat="false" ht="15" hidden="false" customHeight="false" outlineLevel="0" collapsed="false">
      <c r="H3352" s="0" t="str">
        <f aca="false">IF(B3352="","",IF(COUNTIF(Campaigns!$A$7:$A$300,B3352)&gt;0,"✓","⚠ add to Campaigns tab"))</f>
        <v/>
      </c>
      <c r="I3352" s="84" t="str">
        <f aca="false">IF(C3352="","",C3352*IF(Settings!$B$22=Settings!$C$6,1,IF(Settings!$B$22="USD",1/INDEX(Settings!$B$29:$B$40,MONTH(A3352)),INDEX(Settings!$B$29:$B$40,MONTH(A3352)))))</f>
        <v/>
      </c>
    </row>
    <row r="3353" customFormat="false" ht="15" hidden="false" customHeight="false" outlineLevel="0" collapsed="false">
      <c r="H3353" s="0" t="str">
        <f aca="false">IF(B3353="","",IF(COUNTIF(Campaigns!$A$7:$A$300,B3353)&gt;0,"✓","⚠ add to Campaigns tab"))</f>
        <v/>
      </c>
      <c r="I3353" s="84" t="str">
        <f aca="false">IF(C3353="","",C3353*IF(Settings!$B$22=Settings!$C$6,1,IF(Settings!$B$22="USD",1/INDEX(Settings!$B$29:$B$40,MONTH(A3353)),INDEX(Settings!$B$29:$B$40,MONTH(A3353)))))</f>
        <v/>
      </c>
    </row>
    <row r="3354" customFormat="false" ht="15" hidden="false" customHeight="false" outlineLevel="0" collapsed="false">
      <c r="H3354" s="0" t="str">
        <f aca="false">IF(B3354="","",IF(COUNTIF(Campaigns!$A$7:$A$300,B3354)&gt;0,"✓","⚠ add to Campaigns tab"))</f>
        <v/>
      </c>
      <c r="I3354" s="84" t="str">
        <f aca="false">IF(C3354="","",C3354*IF(Settings!$B$22=Settings!$C$6,1,IF(Settings!$B$22="USD",1/INDEX(Settings!$B$29:$B$40,MONTH(A3354)),INDEX(Settings!$B$29:$B$40,MONTH(A3354)))))</f>
        <v/>
      </c>
    </row>
    <row r="3355" customFormat="false" ht="15" hidden="false" customHeight="false" outlineLevel="0" collapsed="false">
      <c r="H3355" s="0" t="str">
        <f aca="false">IF(B3355="","",IF(COUNTIF(Campaigns!$A$7:$A$300,B3355)&gt;0,"✓","⚠ add to Campaigns tab"))</f>
        <v/>
      </c>
      <c r="I3355" s="84" t="str">
        <f aca="false">IF(C3355="","",C3355*IF(Settings!$B$22=Settings!$C$6,1,IF(Settings!$B$22="USD",1/INDEX(Settings!$B$29:$B$40,MONTH(A3355)),INDEX(Settings!$B$29:$B$40,MONTH(A3355)))))</f>
        <v/>
      </c>
    </row>
    <row r="3356" customFormat="false" ht="15" hidden="false" customHeight="false" outlineLevel="0" collapsed="false">
      <c r="H3356" s="0" t="str">
        <f aca="false">IF(B3356="","",IF(COUNTIF(Campaigns!$A$7:$A$300,B3356)&gt;0,"✓","⚠ add to Campaigns tab"))</f>
        <v/>
      </c>
      <c r="I3356" s="84" t="str">
        <f aca="false">IF(C3356="","",C3356*IF(Settings!$B$22=Settings!$C$6,1,IF(Settings!$B$22="USD",1/INDEX(Settings!$B$29:$B$40,MONTH(A3356)),INDEX(Settings!$B$29:$B$40,MONTH(A3356)))))</f>
        <v/>
      </c>
    </row>
    <row r="3357" customFormat="false" ht="15" hidden="false" customHeight="false" outlineLevel="0" collapsed="false">
      <c r="H3357" s="0" t="str">
        <f aca="false">IF(B3357="","",IF(COUNTIF(Campaigns!$A$7:$A$300,B3357)&gt;0,"✓","⚠ add to Campaigns tab"))</f>
        <v/>
      </c>
      <c r="I3357" s="84" t="str">
        <f aca="false">IF(C3357="","",C3357*IF(Settings!$B$22=Settings!$C$6,1,IF(Settings!$B$22="USD",1/INDEX(Settings!$B$29:$B$40,MONTH(A3357)),INDEX(Settings!$B$29:$B$40,MONTH(A3357)))))</f>
        <v/>
      </c>
    </row>
    <row r="3358" customFormat="false" ht="15" hidden="false" customHeight="false" outlineLevel="0" collapsed="false">
      <c r="H3358" s="0" t="str">
        <f aca="false">IF(B3358="","",IF(COUNTIF(Campaigns!$A$7:$A$300,B3358)&gt;0,"✓","⚠ add to Campaigns tab"))</f>
        <v/>
      </c>
      <c r="I3358" s="84" t="str">
        <f aca="false">IF(C3358="","",C3358*IF(Settings!$B$22=Settings!$C$6,1,IF(Settings!$B$22="USD",1/INDEX(Settings!$B$29:$B$40,MONTH(A3358)),INDEX(Settings!$B$29:$B$40,MONTH(A3358)))))</f>
        <v/>
      </c>
    </row>
    <row r="3359" customFormat="false" ht="15" hidden="false" customHeight="false" outlineLevel="0" collapsed="false">
      <c r="H3359" s="0" t="str">
        <f aca="false">IF(B3359="","",IF(COUNTIF(Campaigns!$A$7:$A$300,B3359)&gt;0,"✓","⚠ add to Campaigns tab"))</f>
        <v/>
      </c>
      <c r="I3359" s="84" t="str">
        <f aca="false">IF(C3359="","",C3359*IF(Settings!$B$22=Settings!$C$6,1,IF(Settings!$B$22="USD",1/INDEX(Settings!$B$29:$B$40,MONTH(A3359)),INDEX(Settings!$B$29:$B$40,MONTH(A3359)))))</f>
        <v/>
      </c>
    </row>
    <row r="3360" customFormat="false" ht="15" hidden="false" customHeight="false" outlineLevel="0" collapsed="false">
      <c r="H3360" s="0" t="str">
        <f aca="false">IF(B3360="","",IF(COUNTIF(Campaigns!$A$7:$A$300,B3360)&gt;0,"✓","⚠ add to Campaigns tab"))</f>
        <v/>
      </c>
      <c r="I3360" s="84" t="str">
        <f aca="false">IF(C3360="","",C3360*IF(Settings!$B$22=Settings!$C$6,1,IF(Settings!$B$22="USD",1/INDEX(Settings!$B$29:$B$40,MONTH(A3360)),INDEX(Settings!$B$29:$B$40,MONTH(A3360)))))</f>
        <v/>
      </c>
    </row>
    <row r="3361" customFormat="false" ht="15" hidden="false" customHeight="false" outlineLevel="0" collapsed="false">
      <c r="H3361" s="0" t="str">
        <f aca="false">IF(B3361="","",IF(COUNTIF(Campaigns!$A$7:$A$300,B3361)&gt;0,"✓","⚠ add to Campaigns tab"))</f>
        <v/>
      </c>
      <c r="I3361" s="84" t="str">
        <f aca="false">IF(C3361="","",C3361*IF(Settings!$B$22=Settings!$C$6,1,IF(Settings!$B$22="USD",1/INDEX(Settings!$B$29:$B$40,MONTH(A3361)),INDEX(Settings!$B$29:$B$40,MONTH(A3361)))))</f>
        <v/>
      </c>
    </row>
    <row r="3362" customFormat="false" ht="15" hidden="false" customHeight="false" outlineLevel="0" collapsed="false">
      <c r="H3362" s="0" t="str">
        <f aca="false">IF(B3362="","",IF(COUNTIF(Campaigns!$A$7:$A$300,B3362)&gt;0,"✓","⚠ add to Campaigns tab"))</f>
        <v/>
      </c>
      <c r="I3362" s="84" t="str">
        <f aca="false">IF(C3362="","",C3362*IF(Settings!$B$22=Settings!$C$6,1,IF(Settings!$B$22="USD",1/INDEX(Settings!$B$29:$B$40,MONTH(A3362)),INDEX(Settings!$B$29:$B$40,MONTH(A3362)))))</f>
        <v/>
      </c>
    </row>
    <row r="3363" customFormat="false" ht="15" hidden="false" customHeight="false" outlineLevel="0" collapsed="false">
      <c r="H3363" s="0" t="str">
        <f aca="false">IF(B3363="","",IF(COUNTIF(Campaigns!$A$7:$A$300,B3363)&gt;0,"✓","⚠ add to Campaigns tab"))</f>
        <v/>
      </c>
      <c r="I3363" s="84" t="str">
        <f aca="false">IF(C3363="","",C3363*IF(Settings!$B$22=Settings!$C$6,1,IF(Settings!$B$22="USD",1/INDEX(Settings!$B$29:$B$40,MONTH(A3363)),INDEX(Settings!$B$29:$B$40,MONTH(A3363)))))</f>
        <v/>
      </c>
    </row>
    <row r="3364" customFormat="false" ht="15" hidden="false" customHeight="false" outlineLevel="0" collapsed="false">
      <c r="H3364" s="0" t="str">
        <f aca="false">IF(B3364="","",IF(COUNTIF(Campaigns!$A$7:$A$300,B3364)&gt;0,"✓","⚠ add to Campaigns tab"))</f>
        <v/>
      </c>
      <c r="I3364" s="84" t="str">
        <f aca="false">IF(C3364="","",C3364*IF(Settings!$B$22=Settings!$C$6,1,IF(Settings!$B$22="USD",1/INDEX(Settings!$B$29:$B$40,MONTH(A3364)),INDEX(Settings!$B$29:$B$40,MONTH(A3364)))))</f>
        <v/>
      </c>
    </row>
    <row r="3365" customFormat="false" ht="15" hidden="false" customHeight="false" outlineLevel="0" collapsed="false">
      <c r="H3365" s="0" t="str">
        <f aca="false">IF(B3365="","",IF(COUNTIF(Campaigns!$A$7:$A$300,B3365)&gt;0,"✓","⚠ add to Campaigns tab"))</f>
        <v/>
      </c>
      <c r="I3365" s="84" t="str">
        <f aca="false">IF(C3365="","",C3365*IF(Settings!$B$22=Settings!$C$6,1,IF(Settings!$B$22="USD",1/INDEX(Settings!$B$29:$B$40,MONTH(A3365)),INDEX(Settings!$B$29:$B$40,MONTH(A3365)))))</f>
        <v/>
      </c>
    </row>
    <row r="3366" customFormat="false" ht="15" hidden="false" customHeight="false" outlineLevel="0" collapsed="false">
      <c r="H3366" s="0" t="str">
        <f aca="false">IF(B3366="","",IF(COUNTIF(Campaigns!$A$7:$A$300,B3366)&gt;0,"✓","⚠ add to Campaigns tab"))</f>
        <v/>
      </c>
      <c r="I3366" s="84" t="str">
        <f aca="false">IF(C3366="","",C3366*IF(Settings!$B$22=Settings!$C$6,1,IF(Settings!$B$22="USD",1/INDEX(Settings!$B$29:$B$40,MONTH(A3366)),INDEX(Settings!$B$29:$B$40,MONTH(A3366)))))</f>
        <v/>
      </c>
    </row>
    <row r="3367" customFormat="false" ht="15" hidden="false" customHeight="false" outlineLevel="0" collapsed="false">
      <c r="H3367" s="0" t="str">
        <f aca="false">IF(B3367="","",IF(COUNTIF(Campaigns!$A$7:$A$300,B3367)&gt;0,"✓","⚠ add to Campaigns tab"))</f>
        <v/>
      </c>
      <c r="I3367" s="84" t="str">
        <f aca="false">IF(C3367="","",C3367*IF(Settings!$B$22=Settings!$C$6,1,IF(Settings!$B$22="USD",1/INDEX(Settings!$B$29:$B$40,MONTH(A3367)),INDEX(Settings!$B$29:$B$40,MONTH(A3367)))))</f>
        <v/>
      </c>
    </row>
    <row r="3368" customFormat="false" ht="15" hidden="false" customHeight="false" outlineLevel="0" collapsed="false">
      <c r="H3368" s="0" t="str">
        <f aca="false">IF(B3368="","",IF(COUNTIF(Campaigns!$A$7:$A$300,B3368)&gt;0,"✓","⚠ add to Campaigns tab"))</f>
        <v/>
      </c>
      <c r="I3368" s="84" t="str">
        <f aca="false">IF(C3368="","",C3368*IF(Settings!$B$22=Settings!$C$6,1,IF(Settings!$B$22="USD",1/INDEX(Settings!$B$29:$B$40,MONTH(A3368)),INDEX(Settings!$B$29:$B$40,MONTH(A3368)))))</f>
        <v/>
      </c>
    </row>
    <row r="3369" customFormat="false" ht="15" hidden="false" customHeight="false" outlineLevel="0" collapsed="false">
      <c r="H3369" s="0" t="str">
        <f aca="false">IF(B3369="","",IF(COUNTIF(Campaigns!$A$7:$A$300,B3369)&gt;0,"✓","⚠ add to Campaigns tab"))</f>
        <v/>
      </c>
      <c r="I3369" s="84" t="str">
        <f aca="false">IF(C3369="","",C3369*IF(Settings!$B$22=Settings!$C$6,1,IF(Settings!$B$22="USD",1/INDEX(Settings!$B$29:$B$40,MONTH(A3369)),INDEX(Settings!$B$29:$B$40,MONTH(A3369)))))</f>
        <v/>
      </c>
    </row>
    <row r="3370" customFormat="false" ht="15" hidden="false" customHeight="false" outlineLevel="0" collapsed="false">
      <c r="H3370" s="0" t="str">
        <f aca="false">IF(B3370="","",IF(COUNTIF(Campaigns!$A$7:$A$300,B3370)&gt;0,"✓","⚠ add to Campaigns tab"))</f>
        <v/>
      </c>
      <c r="I3370" s="84" t="str">
        <f aca="false">IF(C3370="","",C3370*IF(Settings!$B$22=Settings!$C$6,1,IF(Settings!$B$22="USD",1/INDEX(Settings!$B$29:$B$40,MONTH(A3370)),INDEX(Settings!$B$29:$B$40,MONTH(A3370)))))</f>
        <v/>
      </c>
    </row>
    <row r="3371" customFormat="false" ht="15" hidden="false" customHeight="false" outlineLevel="0" collapsed="false">
      <c r="H3371" s="0" t="str">
        <f aca="false">IF(B3371="","",IF(COUNTIF(Campaigns!$A$7:$A$300,B3371)&gt;0,"✓","⚠ add to Campaigns tab"))</f>
        <v/>
      </c>
      <c r="I3371" s="84" t="str">
        <f aca="false">IF(C3371="","",C3371*IF(Settings!$B$22=Settings!$C$6,1,IF(Settings!$B$22="USD",1/INDEX(Settings!$B$29:$B$40,MONTH(A3371)),INDEX(Settings!$B$29:$B$40,MONTH(A3371)))))</f>
        <v/>
      </c>
    </row>
    <row r="3372" customFormat="false" ht="15" hidden="false" customHeight="false" outlineLevel="0" collapsed="false">
      <c r="H3372" s="0" t="str">
        <f aca="false">IF(B3372="","",IF(COUNTIF(Campaigns!$A$7:$A$300,B3372)&gt;0,"✓","⚠ add to Campaigns tab"))</f>
        <v/>
      </c>
      <c r="I3372" s="84" t="str">
        <f aca="false">IF(C3372="","",C3372*IF(Settings!$B$22=Settings!$C$6,1,IF(Settings!$B$22="USD",1/INDEX(Settings!$B$29:$B$40,MONTH(A3372)),INDEX(Settings!$B$29:$B$40,MONTH(A3372)))))</f>
        <v/>
      </c>
    </row>
    <row r="3373" customFormat="false" ht="15" hidden="false" customHeight="false" outlineLevel="0" collapsed="false">
      <c r="H3373" s="0" t="str">
        <f aca="false">IF(B3373="","",IF(COUNTIF(Campaigns!$A$7:$A$300,B3373)&gt;0,"✓","⚠ add to Campaigns tab"))</f>
        <v/>
      </c>
      <c r="I3373" s="84" t="str">
        <f aca="false">IF(C3373="","",C3373*IF(Settings!$B$22=Settings!$C$6,1,IF(Settings!$B$22="USD",1/INDEX(Settings!$B$29:$B$40,MONTH(A3373)),INDEX(Settings!$B$29:$B$40,MONTH(A3373)))))</f>
        <v/>
      </c>
    </row>
    <row r="3374" customFormat="false" ht="15" hidden="false" customHeight="false" outlineLevel="0" collapsed="false">
      <c r="H3374" s="0" t="str">
        <f aca="false">IF(B3374="","",IF(COUNTIF(Campaigns!$A$7:$A$300,B3374)&gt;0,"✓","⚠ add to Campaigns tab"))</f>
        <v/>
      </c>
      <c r="I3374" s="84" t="str">
        <f aca="false">IF(C3374="","",C3374*IF(Settings!$B$22=Settings!$C$6,1,IF(Settings!$B$22="USD",1/INDEX(Settings!$B$29:$B$40,MONTH(A3374)),INDEX(Settings!$B$29:$B$40,MONTH(A3374)))))</f>
        <v/>
      </c>
    </row>
    <row r="3375" customFormat="false" ht="15" hidden="false" customHeight="false" outlineLevel="0" collapsed="false">
      <c r="H3375" s="0" t="str">
        <f aca="false">IF(B3375="","",IF(COUNTIF(Campaigns!$A$7:$A$300,B3375)&gt;0,"✓","⚠ add to Campaigns tab"))</f>
        <v/>
      </c>
      <c r="I3375" s="84" t="str">
        <f aca="false">IF(C3375="","",C3375*IF(Settings!$B$22=Settings!$C$6,1,IF(Settings!$B$22="USD",1/INDEX(Settings!$B$29:$B$40,MONTH(A3375)),INDEX(Settings!$B$29:$B$40,MONTH(A3375)))))</f>
        <v/>
      </c>
    </row>
    <row r="3376" customFormat="false" ht="15" hidden="false" customHeight="false" outlineLevel="0" collapsed="false">
      <c r="H3376" s="0" t="str">
        <f aca="false">IF(B3376="","",IF(COUNTIF(Campaigns!$A$7:$A$300,B3376)&gt;0,"✓","⚠ add to Campaigns tab"))</f>
        <v/>
      </c>
      <c r="I3376" s="84" t="str">
        <f aca="false">IF(C3376="","",C3376*IF(Settings!$B$22=Settings!$C$6,1,IF(Settings!$B$22="USD",1/INDEX(Settings!$B$29:$B$40,MONTH(A3376)),INDEX(Settings!$B$29:$B$40,MONTH(A3376)))))</f>
        <v/>
      </c>
    </row>
    <row r="3377" customFormat="false" ht="15" hidden="false" customHeight="false" outlineLevel="0" collapsed="false">
      <c r="H3377" s="0" t="str">
        <f aca="false">IF(B3377="","",IF(COUNTIF(Campaigns!$A$7:$A$300,B3377)&gt;0,"✓","⚠ add to Campaigns tab"))</f>
        <v/>
      </c>
      <c r="I3377" s="84" t="str">
        <f aca="false">IF(C3377="","",C3377*IF(Settings!$B$22=Settings!$C$6,1,IF(Settings!$B$22="USD",1/INDEX(Settings!$B$29:$B$40,MONTH(A3377)),INDEX(Settings!$B$29:$B$40,MONTH(A3377)))))</f>
        <v/>
      </c>
    </row>
    <row r="3378" customFormat="false" ht="15" hidden="false" customHeight="false" outlineLevel="0" collapsed="false">
      <c r="H3378" s="0" t="str">
        <f aca="false">IF(B3378="","",IF(COUNTIF(Campaigns!$A$7:$A$300,B3378)&gt;0,"✓","⚠ add to Campaigns tab"))</f>
        <v/>
      </c>
      <c r="I3378" s="84" t="str">
        <f aca="false">IF(C3378="","",C3378*IF(Settings!$B$22=Settings!$C$6,1,IF(Settings!$B$22="USD",1/INDEX(Settings!$B$29:$B$40,MONTH(A3378)),INDEX(Settings!$B$29:$B$40,MONTH(A3378)))))</f>
        <v/>
      </c>
    </row>
    <row r="3379" customFormat="false" ht="15" hidden="false" customHeight="false" outlineLevel="0" collapsed="false">
      <c r="H3379" s="0" t="str">
        <f aca="false">IF(B3379="","",IF(COUNTIF(Campaigns!$A$7:$A$300,B3379)&gt;0,"✓","⚠ add to Campaigns tab"))</f>
        <v/>
      </c>
      <c r="I3379" s="84" t="str">
        <f aca="false">IF(C3379="","",C3379*IF(Settings!$B$22=Settings!$C$6,1,IF(Settings!$B$22="USD",1/INDEX(Settings!$B$29:$B$40,MONTH(A3379)),INDEX(Settings!$B$29:$B$40,MONTH(A3379)))))</f>
        <v/>
      </c>
    </row>
    <row r="3380" customFormat="false" ht="15" hidden="false" customHeight="false" outlineLevel="0" collapsed="false">
      <c r="H3380" s="0" t="str">
        <f aca="false">IF(B3380="","",IF(COUNTIF(Campaigns!$A$7:$A$300,B3380)&gt;0,"✓","⚠ add to Campaigns tab"))</f>
        <v/>
      </c>
      <c r="I3380" s="84" t="str">
        <f aca="false">IF(C3380="","",C3380*IF(Settings!$B$22=Settings!$C$6,1,IF(Settings!$B$22="USD",1/INDEX(Settings!$B$29:$B$40,MONTH(A3380)),INDEX(Settings!$B$29:$B$40,MONTH(A3380)))))</f>
        <v/>
      </c>
    </row>
    <row r="3381" customFormat="false" ht="15" hidden="false" customHeight="false" outlineLevel="0" collapsed="false">
      <c r="H3381" s="0" t="str">
        <f aca="false">IF(B3381="","",IF(COUNTIF(Campaigns!$A$7:$A$300,B3381)&gt;0,"✓","⚠ add to Campaigns tab"))</f>
        <v/>
      </c>
      <c r="I3381" s="84" t="str">
        <f aca="false">IF(C3381="","",C3381*IF(Settings!$B$22=Settings!$C$6,1,IF(Settings!$B$22="USD",1/INDEX(Settings!$B$29:$B$40,MONTH(A3381)),INDEX(Settings!$B$29:$B$40,MONTH(A3381)))))</f>
        <v/>
      </c>
    </row>
    <row r="3382" customFormat="false" ht="15" hidden="false" customHeight="false" outlineLevel="0" collapsed="false">
      <c r="H3382" s="0" t="str">
        <f aca="false">IF(B3382="","",IF(COUNTIF(Campaigns!$A$7:$A$300,B3382)&gt;0,"✓","⚠ add to Campaigns tab"))</f>
        <v/>
      </c>
      <c r="I3382" s="84" t="str">
        <f aca="false">IF(C3382="","",C3382*IF(Settings!$B$22=Settings!$C$6,1,IF(Settings!$B$22="USD",1/INDEX(Settings!$B$29:$B$40,MONTH(A3382)),INDEX(Settings!$B$29:$B$40,MONTH(A3382)))))</f>
        <v/>
      </c>
    </row>
    <row r="3383" customFormat="false" ht="15" hidden="false" customHeight="false" outlineLevel="0" collapsed="false">
      <c r="H3383" s="0" t="str">
        <f aca="false">IF(B3383="","",IF(COUNTIF(Campaigns!$A$7:$A$300,B3383)&gt;0,"✓","⚠ add to Campaigns tab"))</f>
        <v/>
      </c>
      <c r="I3383" s="84" t="str">
        <f aca="false">IF(C3383="","",C3383*IF(Settings!$B$22=Settings!$C$6,1,IF(Settings!$B$22="USD",1/INDEX(Settings!$B$29:$B$40,MONTH(A3383)),INDEX(Settings!$B$29:$B$40,MONTH(A3383)))))</f>
        <v/>
      </c>
    </row>
    <row r="3384" customFormat="false" ht="15" hidden="false" customHeight="false" outlineLevel="0" collapsed="false">
      <c r="H3384" s="0" t="str">
        <f aca="false">IF(B3384="","",IF(COUNTIF(Campaigns!$A$7:$A$300,B3384)&gt;0,"✓","⚠ add to Campaigns tab"))</f>
        <v/>
      </c>
      <c r="I3384" s="84" t="str">
        <f aca="false">IF(C3384="","",C3384*IF(Settings!$B$22=Settings!$C$6,1,IF(Settings!$B$22="USD",1/INDEX(Settings!$B$29:$B$40,MONTH(A3384)),INDEX(Settings!$B$29:$B$40,MONTH(A3384)))))</f>
        <v/>
      </c>
    </row>
    <row r="3385" customFormat="false" ht="15" hidden="false" customHeight="false" outlineLevel="0" collapsed="false">
      <c r="H3385" s="0" t="str">
        <f aca="false">IF(B3385="","",IF(COUNTIF(Campaigns!$A$7:$A$300,B3385)&gt;0,"✓","⚠ add to Campaigns tab"))</f>
        <v/>
      </c>
      <c r="I3385" s="84" t="str">
        <f aca="false">IF(C3385="","",C3385*IF(Settings!$B$22=Settings!$C$6,1,IF(Settings!$B$22="USD",1/INDEX(Settings!$B$29:$B$40,MONTH(A3385)),INDEX(Settings!$B$29:$B$40,MONTH(A3385)))))</f>
        <v/>
      </c>
    </row>
    <row r="3386" customFormat="false" ht="15" hidden="false" customHeight="false" outlineLevel="0" collapsed="false">
      <c r="H3386" s="0" t="str">
        <f aca="false">IF(B3386="","",IF(COUNTIF(Campaigns!$A$7:$A$300,B3386)&gt;0,"✓","⚠ add to Campaigns tab"))</f>
        <v/>
      </c>
      <c r="I3386" s="84" t="str">
        <f aca="false">IF(C3386="","",C3386*IF(Settings!$B$22=Settings!$C$6,1,IF(Settings!$B$22="USD",1/INDEX(Settings!$B$29:$B$40,MONTH(A3386)),INDEX(Settings!$B$29:$B$40,MONTH(A3386)))))</f>
        <v/>
      </c>
    </row>
    <row r="3387" customFormat="false" ht="15" hidden="false" customHeight="false" outlineLevel="0" collapsed="false">
      <c r="H3387" s="0" t="str">
        <f aca="false">IF(B3387="","",IF(COUNTIF(Campaigns!$A$7:$A$300,B3387)&gt;0,"✓","⚠ add to Campaigns tab"))</f>
        <v/>
      </c>
      <c r="I3387" s="84" t="str">
        <f aca="false">IF(C3387="","",C3387*IF(Settings!$B$22=Settings!$C$6,1,IF(Settings!$B$22="USD",1/INDEX(Settings!$B$29:$B$40,MONTH(A3387)),INDEX(Settings!$B$29:$B$40,MONTH(A3387)))))</f>
        <v/>
      </c>
    </row>
    <row r="3388" customFormat="false" ht="15" hidden="false" customHeight="false" outlineLevel="0" collapsed="false">
      <c r="H3388" s="0" t="str">
        <f aca="false">IF(B3388="","",IF(COUNTIF(Campaigns!$A$7:$A$300,B3388)&gt;0,"✓","⚠ add to Campaigns tab"))</f>
        <v/>
      </c>
      <c r="I3388" s="84" t="str">
        <f aca="false">IF(C3388="","",C3388*IF(Settings!$B$22=Settings!$C$6,1,IF(Settings!$B$22="USD",1/INDEX(Settings!$B$29:$B$40,MONTH(A3388)),INDEX(Settings!$B$29:$B$40,MONTH(A3388)))))</f>
        <v/>
      </c>
    </row>
    <row r="3389" customFormat="false" ht="15" hidden="false" customHeight="false" outlineLevel="0" collapsed="false">
      <c r="H3389" s="0" t="str">
        <f aca="false">IF(B3389="","",IF(COUNTIF(Campaigns!$A$7:$A$300,B3389)&gt;0,"✓","⚠ add to Campaigns tab"))</f>
        <v/>
      </c>
      <c r="I3389" s="84" t="str">
        <f aca="false">IF(C3389="","",C3389*IF(Settings!$B$22=Settings!$C$6,1,IF(Settings!$B$22="USD",1/INDEX(Settings!$B$29:$B$40,MONTH(A3389)),INDEX(Settings!$B$29:$B$40,MONTH(A3389)))))</f>
        <v/>
      </c>
    </row>
    <row r="3390" customFormat="false" ht="15" hidden="false" customHeight="false" outlineLevel="0" collapsed="false">
      <c r="H3390" s="0" t="str">
        <f aca="false">IF(B3390="","",IF(COUNTIF(Campaigns!$A$7:$A$300,B3390)&gt;0,"✓","⚠ add to Campaigns tab"))</f>
        <v/>
      </c>
      <c r="I3390" s="84" t="str">
        <f aca="false">IF(C3390="","",C3390*IF(Settings!$B$22=Settings!$C$6,1,IF(Settings!$B$22="USD",1/INDEX(Settings!$B$29:$B$40,MONTH(A3390)),INDEX(Settings!$B$29:$B$40,MONTH(A3390)))))</f>
        <v/>
      </c>
    </row>
    <row r="3391" customFormat="false" ht="15" hidden="false" customHeight="false" outlineLevel="0" collapsed="false">
      <c r="H3391" s="0" t="str">
        <f aca="false">IF(B3391="","",IF(COUNTIF(Campaigns!$A$7:$A$300,B3391)&gt;0,"✓","⚠ add to Campaigns tab"))</f>
        <v/>
      </c>
      <c r="I3391" s="84" t="str">
        <f aca="false">IF(C3391="","",C3391*IF(Settings!$B$22=Settings!$C$6,1,IF(Settings!$B$22="USD",1/INDEX(Settings!$B$29:$B$40,MONTH(A3391)),INDEX(Settings!$B$29:$B$40,MONTH(A3391)))))</f>
        <v/>
      </c>
    </row>
    <row r="3392" customFormat="false" ht="15" hidden="false" customHeight="false" outlineLevel="0" collapsed="false">
      <c r="H3392" s="0" t="str">
        <f aca="false">IF(B3392="","",IF(COUNTIF(Campaigns!$A$7:$A$300,B3392)&gt;0,"✓","⚠ add to Campaigns tab"))</f>
        <v/>
      </c>
      <c r="I3392" s="84" t="str">
        <f aca="false">IF(C3392="","",C3392*IF(Settings!$B$22=Settings!$C$6,1,IF(Settings!$B$22="USD",1/INDEX(Settings!$B$29:$B$40,MONTH(A3392)),INDEX(Settings!$B$29:$B$40,MONTH(A3392)))))</f>
        <v/>
      </c>
    </row>
    <row r="3393" customFormat="false" ht="15" hidden="false" customHeight="false" outlineLevel="0" collapsed="false">
      <c r="H3393" s="0" t="str">
        <f aca="false">IF(B3393="","",IF(COUNTIF(Campaigns!$A$7:$A$300,B3393)&gt;0,"✓","⚠ add to Campaigns tab"))</f>
        <v/>
      </c>
      <c r="I3393" s="84" t="str">
        <f aca="false">IF(C3393="","",C3393*IF(Settings!$B$22=Settings!$C$6,1,IF(Settings!$B$22="USD",1/INDEX(Settings!$B$29:$B$40,MONTH(A3393)),INDEX(Settings!$B$29:$B$40,MONTH(A3393)))))</f>
        <v/>
      </c>
    </row>
    <row r="3394" customFormat="false" ht="15" hidden="false" customHeight="false" outlineLevel="0" collapsed="false">
      <c r="H3394" s="0" t="str">
        <f aca="false">IF(B3394="","",IF(COUNTIF(Campaigns!$A$7:$A$300,B3394)&gt;0,"✓","⚠ add to Campaigns tab"))</f>
        <v/>
      </c>
      <c r="I3394" s="84" t="str">
        <f aca="false">IF(C3394="","",C3394*IF(Settings!$B$22=Settings!$C$6,1,IF(Settings!$B$22="USD",1/INDEX(Settings!$B$29:$B$40,MONTH(A3394)),INDEX(Settings!$B$29:$B$40,MONTH(A3394)))))</f>
        <v/>
      </c>
    </row>
    <row r="3395" customFormat="false" ht="15" hidden="false" customHeight="false" outlineLevel="0" collapsed="false">
      <c r="H3395" s="0" t="str">
        <f aca="false">IF(B3395="","",IF(COUNTIF(Campaigns!$A$7:$A$300,B3395)&gt;0,"✓","⚠ add to Campaigns tab"))</f>
        <v/>
      </c>
      <c r="I3395" s="84" t="str">
        <f aca="false">IF(C3395="","",C3395*IF(Settings!$B$22=Settings!$C$6,1,IF(Settings!$B$22="USD",1/INDEX(Settings!$B$29:$B$40,MONTH(A3395)),INDEX(Settings!$B$29:$B$40,MONTH(A3395)))))</f>
        <v/>
      </c>
    </row>
    <row r="3396" customFormat="false" ht="15" hidden="false" customHeight="false" outlineLevel="0" collapsed="false">
      <c r="H3396" s="0" t="str">
        <f aca="false">IF(B3396="","",IF(COUNTIF(Campaigns!$A$7:$A$300,B3396)&gt;0,"✓","⚠ add to Campaigns tab"))</f>
        <v/>
      </c>
      <c r="I3396" s="84" t="str">
        <f aca="false">IF(C3396="","",C3396*IF(Settings!$B$22=Settings!$C$6,1,IF(Settings!$B$22="USD",1/INDEX(Settings!$B$29:$B$40,MONTH(A3396)),INDEX(Settings!$B$29:$B$40,MONTH(A3396)))))</f>
        <v/>
      </c>
    </row>
    <row r="3397" customFormat="false" ht="15" hidden="false" customHeight="false" outlineLevel="0" collapsed="false">
      <c r="H3397" s="0" t="str">
        <f aca="false">IF(B3397="","",IF(COUNTIF(Campaigns!$A$7:$A$300,B3397)&gt;0,"✓","⚠ add to Campaigns tab"))</f>
        <v/>
      </c>
      <c r="I3397" s="84" t="str">
        <f aca="false">IF(C3397="","",C3397*IF(Settings!$B$22=Settings!$C$6,1,IF(Settings!$B$22="USD",1/INDEX(Settings!$B$29:$B$40,MONTH(A3397)),INDEX(Settings!$B$29:$B$40,MONTH(A3397)))))</f>
        <v/>
      </c>
    </row>
    <row r="3398" customFormat="false" ht="15" hidden="false" customHeight="false" outlineLevel="0" collapsed="false">
      <c r="H3398" s="0" t="str">
        <f aca="false">IF(B3398="","",IF(COUNTIF(Campaigns!$A$7:$A$300,B3398)&gt;0,"✓","⚠ add to Campaigns tab"))</f>
        <v/>
      </c>
      <c r="I3398" s="84" t="str">
        <f aca="false">IF(C3398="","",C3398*IF(Settings!$B$22=Settings!$C$6,1,IF(Settings!$B$22="USD",1/INDEX(Settings!$B$29:$B$40,MONTH(A3398)),INDEX(Settings!$B$29:$B$40,MONTH(A3398)))))</f>
        <v/>
      </c>
    </row>
    <row r="3399" customFormat="false" ht="15" hidden="false" customHeight="false" outlineLevel="0" collapsed="false">
      <c r="H3399" s="0" t="str">
        <f aca="false">IF(B3399="","",IF(COUNTIF(Campaigns!$A$7:$A$300,B3399)&gt;0,"✓","⚠ add to Campaigns tab"))</f>
        <v/>
      </c>
      <c r="I3399" s="84" t="str">
        <f aca="false">IF(C3399="","",C3399*IF(Settings!$B$22=Settings!$C$6,1,IF(Settings!$B$22="USD",1/INDEX(Settings!$B$29:$B$40,MONTH(A3399)),INDEX(Settings!$B$29:$B$40,MONTH(A3399)))))</f>
        <v/>
      </c>
    </row>
    <row r="3400" customFormat="false" ht="15" hidden="false" customHeight="false" outlineLevel="0" collapsed="false">
      <c r="H3400" s="0" t="str">
        <f aca="false">IF(B3400="","",IF(COUNTIF(Campaigns!$A$7:$A$300,B3400)&gt;0,"✓","⚠ add to Campaigns tab"))</f>
        <v/>
      </c>
      <c r="I3400" s="84" t="str">
        <f aca="false">IF(C3400="","",C3400*IF(Settings!$B$22=Settings!$C$6,1,IF(Settings!$B$22="USD",1/INDEX(Settings!$B$29:$B$40,MONTH(A3400)),INDEX(Settings!$B$29:$B$40,MONTH(A3400)))))</f>
        <v/>
      </c>
    </row>
    <row r="3401" customFormat="false" ht="15" hidden="false" customHeight="false" outlineLevel="0" collapsed="false">
      <c r="H3401" s="0" t="str">
        <f aca="false">IF(B3401="","",IF(COUNTIF(Campaigns!$A$7:$A$300,B3401)&gt;0,"✓","⚠ add to Campaigns tab"))</f>
        <v/>
      </c>
      <c r="I3401" s="84" t="str">
        <f aca="false">IF(C3401="","",C3401*IF(Settings!$B$22=Settings!$C$6,1,IF(Settings!$B$22="USD",1/INDEX(Settings!$B$29:$B$40,MONTH(A3401)),INDEX(Settings!$B$29:$B$40,MONTH(A3401)))))</f>
        <v/>
      </c>
    </row>
    <row r="3402" customFormat="false" ht="15" hidden="false" customHeight="false" outlineLevel="0" collapsed="false">
      <c r="H3402" s="0" t="str">
        <f aca="false">IF(B3402="","",IF(COUNTIF(Campaigns!$A$7:$A$300,B3402)&gt;0,"✓","⚠ add to Campaigns tab"))</f>
        <v/>
      </c>
      <c r="I3402" s="84" t="str">
        <f aca="false">IF(C3402="","",C3402*IF(Settings!$B$22=Settings!$C$6,1,IF(Settings!$B$22="USD",1/INDEX(Settings!$B$29:$B$40,MONTH(A3402)),INDEX(Settings!$B$29:$B$40,MONTH(A3402)))))</f>
        <v/>
      </c>
    </row>
    <row r="3403" customFormat="false" ht="15" hidden="false" customHeight="false" outlineLevel="0" collapsed="false">
      <c r="H3403" s="0" t="str">
        <f aca="false">IF(B3403="","",IF(COUNTIF(Campaigns!$A$7:$A$300,B3403)&gt;0,"✓","⚠ add to Campaigns tab"))</f>
        <v/>
      </c>
      <c r="I3403" s="84" t="str">
        <f aca="false">IF(C3403="","",C3403*IF(Settings!$B$22=Settings!$C$6,1,IF(Settings!$B$22="USD",1/INDEX(Settings!$B$29:$B$40,MONTH(A3403)),INDEX(Settings!$B$29:$B$40,MONTH(A3403)))))</f>
        <v/>
      </c>
    </row>
    <row r="3404" customFormat="false" ht="15" hidden="false" customHeight="false" outlineLevel="0" collapsed="false">
      <c r="H3404" s="0" t="str">
        <f aca="false">IF(B3404="","",IF(COUNTIF(Campaigns!$A$7:$A$300,B3404)&gt;0,"✓","⚠ add to Campaigns tab"))</f>
        <v/>
      </c>
      <c r="I3404" s="84" t="str">
        <f aca="false">IF(C3404="","",C3404*IF(Settings!$B$22=Settings!$C$6,1,IF(Settings!$B$22="USD",1/INDEX(Settings!$B$29:$B$40,MONTH(A3404)),INDEX(Settings!$B$29:$B$40,MONTH(A3404)))))</f>
        <v/>
      </c>
    </row>
    <row r="3405" customFormat="false" ht="15" hidden="false" customHeight="false" outlineLevel="0" collapsed="false">
      <c r="H3405" s="0" t="str">
        <f aca="false">IF(B3405="","",IF(COUNTIF(Campaigns!$A$7:$A$300,B3405)&gt;0,"✓","⚠ add to Campaigns tab"))</f>
        <v/>
      </c>
      <c r="I3405" s="84" t="str">
        <f aca="false">IF(C3405="","",C3405*IF(Settings!$B$22=Settings!$C$6,1,IF(Settings!$B$22="USD",1/INDEX(Settings!$B$29:$B$40,MONTH(A3405)),INDEX(Settings!$B$29:$B$40,MONTH(A3405)))))</f>
        <v/>
      </c>
    </row>
    <row r="3406" customFormat="false" ht="15" hidden="false" customHeight="false" outlineLevel="0" collapsed="false">
      <c r="H3406" s="0" t="str">
        <f aca="false">IF(B3406="","",IF(COUNTIF(Campaigns!$A$7:$A$300,B3406)&gt;0,"✓","⚠ add to Campaigns tab"))</f>
        <v/>
      </c>
      <c r="I3406" s="84" t="str">
        <f aca="false">IF(C3406="","",C3406*IF(Settings!$B$22=Settings!$C$6,1,IF(Settings!$B$22="USD",1/INDEX(Settings!$B$29:$B$40,MONTH(A3406)),INDEX(Settings!$B$29:$B$40,MONTH(A3406)))))</f>
        <v/>
      </c>
    </row>
    <row r="3407" customFormat="false" ht="15" hidden="false" customHeight="false" outlineLevel="0" collapsed="false">
      <c r="H3407" s="0" t="str">
        <f aca="false">IF(B3407="","",IF(COUNTIF(Campaigns!$A$7:$A$300,B3407)&gt;0,"✓","⚠ add to Campaigns tab"))</f>
        <v/>
      </c>
      <c r="I3407" s="84" t="str">
        <f aca="false">IF(C3407="","",C3407*IF(Settings!$B$22=Settings!$C$6,1,IF(Settings!$B$22="USD",1/INDEX(Settings!$B$29:$B$40,MONTH(A3407)),INDEX(Settings!$B$29:$B$40,MONTH(A3407)))))</f>
        <v/>
      </c>
    </row>
    <row r="3408" customFormat="false" ht="15" hidden="false" customHeight="false" outlineLevel="0" collapsed="false">
      <c r="H3408" s="0" t="str">
        <f aca="false">IF(B3408="","",IF(COUNTIF(Campaigns!$A$7:$A$300,B3408)&gt;0,"✓","⚠ add to Campaigns tab"))</f>
        <v/>
      </c>
      <c r="I3408" s="84" t="str">
        <f aca="false">IF(C3408="","",C3408*IF(Settings!$B$22=Settings!$C$6,1,IF(Settings!$B$22="USD",1/INDEX(Settings!$B$29:$B$40,MONTH(A3408)),INDEX(Settings!$B$29:$B$40,MONTH(A3408)))))</f>
        <v/>
      </c>
    </row>
    <row r="3409" customFormat="false" ht="15" hidden="false" customHeight="false" outlineLevel="0" collapsed="false">
      <c r="H3409" s="0" t="str">
        <f aca="false">IF(B3409="","",IF(COUNTIF(Campaigns!$A$7:$A$300,B3409)&gt;0,"✓","⚠ add to Campaigns tab"))</f>
        <v/>
      </c>
      <c r="I3409" s="84" t="str">
        <f aca="false">IF(C3409="","",C3409*IF(Settings!$B$22=Settings!$C$6,1,IF(Settings!$B$22="USD",1/INDEX(Settings!$B$29:$B$40,MONTH(A3409)),INDEX(Settings!$B$29:$B$40,MONTH(A3409)))))</f>
        <v/>
      </c>
    </row>
    <row r="3410" customFormat="false" ht="15" hidden="false" customHeight="false" outlineLevel="0" collapsed="false">
      <c r="H3410" s="0" t="str">
        <f aca="false">IF(B3410="","",IF(COUNTIF(Campaigns!$A$7:$A$300,B3410)&gt;0,"✓","⚠ add to Campaigns tab"))</f>
        <v/>
      </c>
      <c r="I3410" s="84" t="str">
        <f aca="false">IF(C3410="","",C3410*IF(Settings!$B$22=Settings!$C$6,1,IF(Settings!$B$22="USD",1/INDEX(Settings!$B$29:$B$40,MONTH(A3410)),INDEX(Settings!$B$29:$B$40,MONTH(A3410)))))</f>
        <v/>
      </c>
    </row>
    <row r="3411" customFormat="false" ht="15" hidden="false" customHeight="false" outlineLevel="0" collapsed="false">
      <c r="H3411" s="0" t="str">
        <f aca="false">IF(B3411="","",IF(COUNTIF(Campaigns!$A$7:$A$300,B3411)&gt;0,"✓","⚠ add to Campaigns tab"))</f>
        <v/>
      </c>
      <c r="I3411" s="84" t="str">
        <f aca="false">IF(C3411="","",C3411*IF(Settings!$B$22=Settings!$C$6,1,IF(Settings!$B$22="USD",1/INDEX(Settings!$B$29:$B$40,MONTH(A3411)),INDEX(Settings!$B$29:$B$40,MONTH(A3411)))))</f>
        <v/>
      </c>
    </row>
    <row r="3412" customFormat="false" ht="15" hidden="false" customHeight="false" outlineLevel="0" collapsed="false">
      <c r="H3412" s="0" t="str">
        <f aca="false">IF(B3412="","",IF(COUNTIF(Campaigns!$A$7:$A$300,B3412)&gt;0,"✓","⚠ add to Campaigns tab"))</f>
        <v/>
      </c>
      <c r="I3412" s="84" t="str">
        <f aca="false">IF(C3412="","",C3412*IF(Settings!$B$22=Settings!$C$6,1,IF(Settings!$B$22="USD",1/INDEX(Settings!$B$29:$B$40,MONTH(A3412)),INDEX(Settings!$B$29:$B$40,MONTH(A3412)))))</f>
        <v/>
      </c>
    </row>
    <row r="3413" customFormat="false" ht="15" hidden="false" customHeight="false" outlineLevel="0" collapsed="false">
      <c r="H3413" s="0" t="str">
        <f aca="false">IF(B3413="","",IF(COUNTIF(Campaigns!$A$7:$A$300,B3413)&gt;0,"✓","⚠ add to Campaigns tab"))</f>
        <v/>
      </c>
      <c r="I3413" s="84" t="str">
        <f aca="false">IF(C3413="","",C3413*IF(Settings!$B$22=Settings!$C$6,1,IF(Settings!$B$22="USD",1/INDEX(Settings!$B$29:$B$40,MONTH(A3413)),INDEX(Settings!$B$29:$B$40,MONTH(A3413)))))</f>
        <v/>
      </c>
    </row>
    <row r="3414" customFormat="false" ht="15" hidden="false" customHeight="false" outlineLevel="0" collapsed="false">
      <c r="H3414" s="0" t="str">
        <f aca="false">IF(B3414="","",IF(COUNTIF(Campaigns!$A$7:$A$300,B3414)&gt;0,"✓","⚠ add to Campaigns tab"))</f>
        <v/>
      </c>
      <c r="I3414" s="84" t="str">
        <f aca="false">IF(C3414="","",C3414*IF(Settings!$B$22=Settings!$C$6,1,IF(Settings!$B$22="USD",1/INDEX(Settings!$B$29:$B$40,MONTH(A3414)),INDEX(Settings!$B$29:$B$40,MONTH(A3414)))))</f>
        <v/>
      </c>
    </row>
    <row r="3415" customFormat="false" ht="15" hidden="false" customHeight="false" outlineLevel="0" collapsed="false">
      <c r="H3415" s="0" t="str">
        <f aca="false">IF(B3415="","",IF(COUNTIF(Campaigns!$A$7:$A$300,B3415)&gt;0,"✓","⚠ add to Campaigns tab"))</f>
        <v/>
      </c>
      <c r="I3415" s="84" t="str">
        <f aca="false">IF(C3415="","",C3415*IF(Settings!$B$22=Settings!$C$6,1,IF(Settings!$B$22="USD",1/INDEX(Settings!$B$29:$B$40,MONTH(A3415)),INDEX(Settings!$B$29:$B$40,MONTH(A3415)))))</f>
        <v/>
      </c>
    </row>
    <row r="3416" customFormat="false" ht="15" hidden="false" customHeight="false" outlineLevel="0" collapsed="false">
      <c r="H3416" s="0" t="str">
        <f aca="false">IF(B3416="","",IF(COUNTIF(Campaigns!$A$7:$A$300,B3416)&gt;0,"✓","⚠ add to Campaigns tab"))</f>
        <v/>
      </c>
      <c r="I3416" s="84" t="str">
        <f aca="false">IF(C3416="","",C3416*IF(Settings!$B$22=Settings!$C$6,1,IF(Settings!$B$22="USD",1/INDEX(Settings!$B$29:$B$40,MONTH(A3416)),INDEX(Settings!$B$29:$B$40,MONTH(A3416)))))</f>
        <v/>
      </c>
    </row>
    <row r="3417" customFormat="false" ht="15" hidden="false" customHeight="false" outlineLevel="0" collapsed="false">
      <c r="H3417" s="0" t="str">
        <f aca="false">IF(B3417="","",IF(COUNTIF(Campaigns!$A$7:$A$300,B3417)&gt;0,"✓","⚠ add to Campaigns tab"))</f>
        <v/>
      </c>
      <c r="I3417" s="84" t="str">
        <f aca="false">IF(C3417="","",C3417*IF(Settings!$B$22=Settings!$C$6,1,IF(Settings!$B$22="USD",1/INDEX(Settings!$B$29:$B$40,MONTH(A3417)),INDEX(Settings!$B$29:$B$40,MONTH(A3417)))))</f>
        <v/>
      </c>
    </row>
    <row r="3418" customFormat="false" ht="15" hidden="false" customHeight="false" outlineLevel="0" collapsed="false">
      <c r="H3418" s="0" t="str">
        <f aca="false">IF(B3418="","",IF(COUNTIF(Campaigns!$A$7:$A$300,B3418)&gt;0,"✓","⚠ add to Campaigns tab"))</f>
        <v/>
      </c>
      <c r="I3418" s="84" t="str">
        <f aca="false">IF(C3418="","",C3418*IF(Settings!$B$22=Settings!$C$6,1,IF(Settings!$B$22="USD",1/INDEX(Settings!$B$29:$B$40,MONTH(A3418)),INDEX(Settings!$B$29:$B$40,MONTH(A3418)))))</f>
        <v/>
      </c>
    </row>
    <row r="3419" customFormat="false" ht="15" hidden="false" customHeight="false" outlineLevel="0" collapsed="false">
      <c r="H3419" s="0" t="str">
        <f aca="false">IF(B3419="","",IF(COUNTIF(Campaigns!$A$7:$A$300,B3419)&gt;0,"✓","⚠ add to Campaigns tab"))</f>
        <v/>
      </c>
      <c r="I3419" s="84" t="str">
        <f aca="false">IF(C3419="","",C3419*IF(Settings!$B$22=Settings!$C$6,1,IF(Settings!$B$22="USD",1/INDEX(Settings!$B$29:$B$40,MONTH(A3419)),INDEX(Settings!$B$29:$B$40,MONTH(A3419)))))</f>
        <v/>
      </c>
    </row>
    <row r="3420" customFormat="false" ht="15" hidden="false" customHeight="false" outlineLevel="0" collapsed="false">
      <c r="H3420" s="0" t="str">
        <f aca="false">IF(B3420="","",IF(COUNTIF(Campaigns!$A$7:$A$300,B3420)&gt;0,"✓","⚠ add to Campaigns tab"))</f>
        <v/>
      </c>
      <c r="I3420" s="84" t="str">
        <f aca="false">IF(C3420="","",C3420*IF(Settings!$B$22=Settings!$C$6,1,IF(Settings!$B$22="USD",1/INDEX(Settings!$B$29:$B$40,MONTH(A3420)),INDEX(Settings!$B$29:$B$40,MONTH(A3420)))))</f>
        <v/>
      </c>
    </row>
    <row r="3421" customFormat="false" ht="15" hidden="false" customHeight="false" outlineLevel="0" collapsed="false">
      <c r="H3421" s="0" t="str">
        <f aca="false">IF(B3421="","",IF(COUNTIF(Campaigns!$A$7:$A$300,B3421)&gt;0,"✓","⚠ add to Campaigns tab"))</f>
        <v/>
      </c>
      <c r="I3421" s="84" t="str">
        <f aca="false">IF(C3421="","",C3421*IF(Settings!$B$22=Settings!$C$6,1,IF(Settings!$B$22="USD",1/INDEX(Settings!$B$29:$B$40,MONTH(A3421)),INDEX(Settings!$B$29:$B$40,MONTH(A3421)))))</f>
        <v/>
      </c>
    </row>
    <row r="3422" customFormat="false" ht="15" hidden="false" customHeight="false" outlineLevel="0" collapsed="false">
      <c r="H3422" s="0" t="str">
        <f aca="false">IF(B3422="","",IF(COUNTIF(Campaigns!$A$7:$A$300,B3422)&gt;0,"✓","⚠ add to Campaigns tab"))</f>
        <v/>
      </c>
      <c r="I3422" s="84" t="str">
        <f aca="false">IF(C3422="","",C3422*IF(Settings!$B$22=Settings!$C$6,1,IF(Settings!$B$22="USD",1/INDEX(Settings!$B$29:$B$40,MONTH(A3422)),INDEX(Settings!$B$29:$B$40,MONTH(A3422)))))</f>
        <v/>
      </c>
    </row>
    <row r="3423" customFormat="false" ht="15" hidden="false" customHeight="false" outlineLevel="0" collapsed="false">
      <c r="H3423" s="0" t="str">
        <f aca="false">IF(B3423="","",IF(COUNTIF(Campaigns!$A$7:$A$300,B3423)&gt;0,"✓","⚠ add to Campaigns tab"))</f>
        <v/>
      </c>
      <c r="I3423" s="84" t="str">
        <f aca="false">IF(C3423="","",C3423*IF(Settings!$B$22=Settings!$C$6,1,IF(Settings!$B$22="USD",1/INDEX(Settings!$B$29:$B$40,MONTH(A3423)),INDEX(Settings!$B$29:$B$40,MONTH(A3423)))))</f>
        <v/>
      </c>
    </row>
    <row r="3424" customFormat="false" ht="15" hidden="false" customHeight="false" outlineLevel="0" collapsed="false">
      <c r="H3424" s="0" t="str">
        <f aca="false">IF(B3424="","",IF(COUNTIF(Campaigns!$A$7:$A$300,B3424)&gt;0,"✓","⚠ add to Campaigns tab"))</f>
        <v/>
      </c>
      <c r="I3424" s="84" t="str">
        <f aca="false">IF(C3424="","",C3424*IF(Settings!$B$22=Settings!$C$6,1,IF(Settings!$B$22="USD",1/INDEX(Settings!$B$29:$B$40,MONTH(A3424)),INDEX(Settings!$B$29:$B$40,MONTH(A3424)))))</f>
        <v/>
      </c>
    </row>
    <row r="3425" customFormat="false" ht="15" hidden="false" customHeight="false" outlineLevel="0" collapsed="false">
      <c r="H3425" s="0" t="str">
        <f aca="false">IF(B3425="","",IF(COUNTIF(Campaigns!$A$7:$A$300,B3425)&gt;0,"✓","⚠ add to Campaigns tab"))</f>
        <v/>
      </c>
      <c r="I3425" s="84" t="str">
        <f aca="false">IF(C3425="","",C3425*IF(Settings!$B$22=Settings!$C$6,1,IF(Settings!$B$22="USD",1/INDEX(Settings!$B$29:$B$40,MONTH(A3425)),INDEX(Settings!$B$29:$B$40,MONTH(A3425)))))</f>
        <v/>
      </c>
    </row>
    <row r="3426" customFormat="false" ht="15" hidden="false" customHeight="false" outlineLevel="0" collapsed="false">
      <c r="H3426" s="0" t="str">
        <f aca="false">IF(B3426="","",IF(COUNTIF(Campaigns!$A$7:$A$300,B3426)&gt;0,"✓","⚠ add to Campaigns tab"))</f>
        <v/>
      </c>
      <c r="I3426" s="84" t="str">
        <f aca="false">IF(C3426="","",C3426*IF(Settings!$B$22=Settings!$C$6,1,IF(Settings!$B$22="USD",1/INDEX(Settings!$B$29:$B$40,MONTH(A3426)),INDEX(Settings!$B$29:$B$40,MONTH(A3426)))))</f>
        <v/>
      </c>
    </row>
    <row r="3427" customFormat="false" ht="15" hidden="false" customHeight="false" outlineLevel="0" collapsed="false">
      <c r="H3427" s="0" t="str">
        <f aca="false">IF(B3427="","",IF(COUNTIF(Campaigns!$A$7:$A$300,B3427)&gt;0,"✓","⚠ add to Campaigns tab"))</f>
        <v/>
      </c>
      <c r="I3427" s="84" t="str">
        <f aca="false">IF(C3427="","",C3427*IF(Settings!$B$22=Settings!$C$6,1,IF(Settings!$B$22="USD",1/INDEX(Settings!$B$29:$B$40,MONTH(A3427)),INDEX(Settings!$B$29:$B$40,MONTH(A3427)))))</f>
        <v/>
      </c>
    </row>
    <row r="3428" customFormat="false" ht="15" hidden="false" customHeight="false" outlineLevel="0" collapsed="false">
      <c r="H3428" s="0" t="str">
        <f aca="false">IF(B3428="","",IF(COUNTIF(Campaigns!$A$7:$A$300,B3428)&gt;0,"✓","⚠ add to Campaigns tab"))</f>
        <v/>
      </c>
      <c r="I3428" s="84" t="str">
        <f aca="false">IF(C3428="","",C3428*IF(Settings!$B$22=Settings!$C$6,1,IF(Settings!$B$22="USD",1/INDEX(Settings!$B$29:$B$40,MONTH(A3428)),INDEX(Settings!$B$29:$B$40,MONTH(A3428)))))</f>
        <v/>
      </c>
    </row>
    <row r="3429" customFormat="false" ht="15" hidden="false" customHeight="false" outlineLevel="0" collapsed="false">
      <c r="H3429" s="0" t="str">
        <f aca="false">IF(B3429="","",IF(COUNTIF(Campaigns!$A$7:$A$300,B3429)&gt;0,"✓","⚠ add to Campaigns tab"))</f>
        <v/>
      </c>
      <c r="I3429" s="84" t="str">
        <f aca="false">IF(C3429="","",C3429*IF(Settings!$B$22=Settings!$C$6,1,IF(Settings!$B$22="USD",1/INDEX(Settings!$B$29:$B$40,MONTH(A3429)),INDEX(Settings!$B$29:$B$40,MONTH(A3429)))))</f>
        <v/>
      </c>
    </row>
    <row r="3430" customFormat="false" ht="15" hidden="false" customHeight="false" outlineLevel="0" collapsed="false">
      <c r="H3430" s="0" t="str">
        <f aca="false">IF(B3430="","",IF(COUNTIF(Campaigns!$A$7:$A$300,B3430)&gt;0,"✓","⚠ add to Campaigns tab"))</f>
        <v/>
      </c>
      <c r="I3430" s="84" t="str">
        <f aca="false">IF(C3430="","",C3430*IF(Settings!$B$22=Settings!$C$6,1,IF(Settings!$B$22="USD",1/INDEX(Settings!$B$29:$B$40,MONTH(A3430)),INDEX(Settings!$B$29:$B$40,MONTH(A3430)))))</f>
        <v/>
      </c>
    </row>
    <row r="3431" customFormat="false" ht="15" hidden="false" customHeight="false" outlineLevel="0" collapsed="false">
      <c r="H3431" s="0" t="str">
        <f aca="false">IF(B3431="","",IF(COUNTIF(Campaigns!$A$7:$A$300,B3431)&gt;0,"✓","⚠ add to Campaigns tab"))</f>
        <v/>
      </c>
      <c r="I3431" s="84" t="str">
        <f aca="false">IF(C3431="","",C3431*IF(Settings!$B$22=Settings!$C$6,1,IF(Settings!$B$22="USD",1/INDEX(Settings!$B$29:$B$40,MONTH(A3431)),INDEX(Settings!$B$29:$B$40,MONTH(A3431)))))</f>
        <v/>
      </c>
    </row>
    <row r="3432" customFormat="false" ht="15" hidden="false" customHeight="false" outlineLevel="0" collapsed="false">
      <c r="H3432" s="0" t="str">
        <f aca="false">IF(B3432="","",IF(COUNTIF(Campaigns!$A$7:$A$300,B3432)&gt;0,"✓","⚠ add to Campaigns tab"))</f>
        <v/>
      </c>
      <c r="I3432" s="84" t="str">
        <f aca="false">IF(C3432="","",C3432*IF(Settings!$B$22=Settings!$C$6,1,IF(Settings!$B$22="USD",1/INDEX(Settings!$B$29:$B$40,MONTH(A3432)),INDEX(Settings!$B$29:$B$40,MONTH(A3432)))))</f>
        <v/>
      </c>
    </row>
    <row r="3433" customFormat="false" ht="15" hidden="false" customHeight="false" outlineLevel="0" collapsed="false">
      <c r="H3433" s="0" t="str">
        <f aca="false">IF(B3433="","",IF(COUNTIF(Campaigns!$A$7:$A$300,B3433)&gt;0,"✓","⚠ add to Campaigns tab"))</f>
        <v/>
      </c>
      <c r="I3433" s="84" t="str">
        <f aca="false">IF(C3433="","",C3433*IF(Settings!$B$22=Settings!$C$6,1,IF(Settings!$B$22="USD",1/INDEX(Settings!$B$29:$B$40,MONTH(A3433)),INDEX(Settings!$B$29:$B$40,MONTH(A3433)))))</f>
        <v/>
      </c>
    </row>
    <row r="3434" customFormat="false" ht="15" hidden="false" customHeight="false" outlineLevel="0" collapsed="false">
      <c r="H3434" s="0" t="str">
        <f aca="false">IF(B3434="","",IF(COUNTIF(Campaigns!$A$7:$A$300,B3434)&gt;0,"✓","⚠ add to Campaigns tab"))</f>
        <v/>
      </c>
      <c r="I3434" s="84" t="str">
        <f aca="false">IF(C3434="","",C3434*IF(Settings!$B$22=Settings!$C$6,1,IF(Settings!$B$22="USD",1/INDEX(Settings!$B$29:$B$40,MONTH(A3434)),INDEX(Settings!$B$29:$B$40,MONTH(A3434)))))</f>
        <v/>
      </c>
    </row>
    <row r="3435" customFormat="false" ht="15" hidden="false" customHeight="false" outlineLevel="0" collapsed="false">
      <c r="H3435" s="0" t="str">
        <f aca="false">IF(B3435="","",IF(COUNTIF(Campaigns!$A$7:$A$300,B3435)&gt;0,"✓","⚠ add to Campaigns tab"))</f>
        <v/>
      </c>
      <c r="I3435" s="84" t="str">
        <f aca="false">IF(C3435="","",C3435*IF(Settings!$B$22=Settings!$C$6,1,IF(Settings!$B$22="USD",1/INDEX(Settings!$B$29:$B$40,MONTH(A3435)),INDEX(Settings!$B$29:$B$40,MONTH(A3435)))))</f>
        <v/>
      </c>
    </row>
    <row r="3436" customFormat="false" ht="15" hidden="false" customHeight="false" outlineLevel="0" collapsed="false">
      <c r="H3436" s="0" t="str">
        <f aca="false">IF(B3436="","",IF(COUNTIF(Campaigns!$A$7:$A$300,B3436)&gt;0,"✓","⚠ add to Campaigns tab"))</f>
        <v/>
      </c>
      <c r="I3436" s="84" t="str">
        <f aca="false">IF(C3436="","",C3436*IF(Settings!$B$22=Settings!$C$6,1,IF(Settings!$B$22="USD",1/INDEX(Settings!$B$29:$B$40,MONTH(A3436)),INDEX(Settings!$B$29:$B$40,MONTH(A3436)))))</f>
        <v/>
      </c>
    </row>
    <row r="3437" customFormat="false" ht="15" hidden="false" customHeight="false" outlineLevel="0" collapsed="false">
      <c r="H3437" s="0" t="str">
        <f aca="false">IF(B3437="","",IF(COUNTIF(Campaigns!$A$7:$A$300,B3437)&gt;0,"✓","⚠ add to Campaigns tab"))</f>
        <v/>
      </c>
      <c r="I3437" s="84" t="str">
        <f aca="false">IF(C3437="","",C3437*IF(Settings!$B$22=Settings!$C$6,1,IF(Settings!$B$22="USD",1/INDEX(Settings!$B$29:$B$40,MONTH(A3437)),INDEX(Settings!$B$29:$B$40,MONTH(A3437)))))</f>
        <v/>
      </c>
    </row>
    <row r="3438" customFormat="false" ht="15" hidden="false" customHeight="false" outlineLevel="0" collapsed="false">
      <c r="H3438" s="0" t="str">
        <f aca="false">IF(B3438="","",IF(COUNTIF(Campaigns!$A$7:$A$300,B3438)&gt;0,"✓","⚠ add to Campaigns tab"))</f>
        <v/>
      </c>
      <c r="I3438" s="84" t="str">
        <f aca="false">IF(C3438="","",C3438*IF(Settings!$B$22=Settings!$C$6,1,IF(Settings!$B$22="USD",1/INDEX(Settings!$B$29:$B$40,MONTH(A3438)),INDEX(Settings!$B$29:$B$40,MONTH(A3438)))))</f>
        <v/>
      </c>
    </row>
    <row r="3439" customFormat="false" ht="15" hidden="false" customHeight="false" outlineLevel="0" collapsed="false">
      <c r="H3439" s="0" t="str">
        <f aca="false">IF(B3439="","",IF(COUNTIF(Campaigns!$A$7:$A$300,B3439)&gt;0,"✓","⚠ add to Campaigns tab"))</f>
        <v/>
      </c>
      <c r="I3439" s="84" t="str">
        <f aca="false">IF(C3439="","",C3439*IF(Settings!$B$22=Settings!$C$6,1,IF(Settings!$B$22="USD",1/INDEX(Settings!$B$29:$B$40,MONTH(A3439)),INDEX(Settings!$B$29:$B$40,MONTH(A3439)))))</f>
        <v/>
      </c>
    </row>
    <row r="3440" customFormat="false" ht="15" hidden="false" customHeight="false" outlineLevel="0" collapsed="false">
      <c r="H3440" s="0" t="str">
        <f aca="false">IF(B3440="","",IF(COUNTIF(Campaigns!$A$7:$A$300,B3440)&gt;0,"✓","⚠ add to Campaigns tab"))</f>
        <v/>
      </c>
      <c r="I3440" s="84" t="str">
        <f aca="false">IF(C3440="","",C3440*IF(Settings!$B$22=Settings!$C$6,1,IF(Settings!$B$22="USD",1/INDEX(Settings!$B$29:$B$40,MONTH(A3440)),INDEX(Settings!$B$29:$B$40,MONTH(A3440)))))</f>
        <v/>
      </c>
    </row>
    <row r="3441" customFormat="false" ht="15" hidden="false" customHeight="false" outlineLevel="0" collapsed="false">
      <c r="H3441" s="0" t="str">
        <f aca="false">IF(B3441="","",IF(COUNTIF(Campaigns!$A$7:$A$300,B3441)&gt;0,"✓","⚠ add to Campaigns tab"))</f>
        <v/>
      </c>
      <c r="I3441" s="84" t="str">
        <f aca="false">IF(C3441="","",C3441*IF(Settings!$B$22=Settings!$C$6,1,IF(Settings!$B$22="USD",1/INDEX(Settings!$B$29:$B$40,MONTH(A3441)),INDEX(Settings!$B$29:$B$40,MONTH(A3441)))))</f>
        <v/>
      </c>
    </row>
    <row r="3442" customFormat="false" ht="15" hidden="false" customHeight="false" outlineLevel="0" collapsed="false">
      <c r="H3442" s="0" t="str">
        <f aca="false">IF(B3442="","",IF(COUNTIF(Campaigns!$A$7:$A$300,B3442)&gt;0,"✓","⚠ add to Campaigns tab"))</f>
        <v/>
      </c>
      <c r="I3442" s="84" t="str">
        <f aca="false">IF(C3442="","",C3442*IF(Settings!$B$22=Settings!$C$6,1,IF(Settings!$B$22="USD",1/INDEX(Settings!$B$29:$B$40,MONTH(A3442)),INDEX(Settings!$B$29:$B$40,MONTH(A3442)))))</f>
        <v/>
      </c>
    </row>
    <row r="3443" customFormat="false" ht="15" hidden="false" customHeight="false" outlineLevel="0" collapsed="false">
      <c r="H3443" s="0" t="str">
        <f aca="false">IF(B3443="","",IF(COUNTIF(Campaigns!$A$7:$A$300,B3443)&gt;0,"✓","⚠ add to Campaigns tab"))</f>
        <v/>
      </c>
      <c r="I3443" s="84" t="str">
        <f aca="false">IF(C3443="","",C3443*IF(Settings!$B$22=Settings!$C$6,1,IF(Settings!$B$22="USD",1/INDEX(Settings!$B$29:$B$40,MONTH(A3443)),INDEX(Settings!$B$29:$B$40,MONTH(A3443)))))</f>
        <v/>
      </c>
    </row>
    <row r="3444" customFormat="false" ht="15" hidden="false" customHeight="false" outlineLevel="0" collapsed="false">
      <c r="H3444" s="0" t="str">
        <f aca="false">IF(B3444="","",IF(COUNTIF(Campaigns!$A$7:$A$300,B3444)&gt;0,"✓","⚠ add to Campaigns tab"))</f>
        <v/>
      </c>
      <c r="I3444" s="84" t="str">
        <f aca="false">IF(C3444="","",C3444*IF(Settings!$B$22=Settings!$C$6,1,IF(Settings!$B$22="USD",1/INDEX(Settings!$B$29:$B$40,MONTH(A3444)),INDEX(Settings!$B$29:$B$40,MONTH(A3444)))))</f>
        <v/>
      </c>
    </row>
    <row r="3445" customFormat="false" ht="15" hidden="false" customHeight="false" outlineLevel="0" collapsed="false">
      <c r="H3445" s="0" t="str">
        <f aca="false">IF(B3445="","",IF(COUNTIF(Campaigns!$A$7:$A$300,B3445)&gt;0,"✓","⚠ add to Campaigns tab"))</f>
        <v/>
      </c>
      <c r="I3445" s="84" t="str">
        <f aca="false">IF(C3445="","",C3445*IF(Settings!$B$22=Settings!$C$6,1,IF(Settings!$B$22="USD",1/INDEX(Settings!$B$29:$B$40,MONTH(A3445)),INDEX(Settings!$B$29:$B$40,MONTH(A3445)))))</f>
        <v/>
      </c>
    </row>
    <row r="3446" customFormat="false" ht="15" hidden="false" customHeight="false" outlineLevel="0" collapsed="false">
      <c r="H3446" s="0" t="str">
        <f aca="false">IF(B3446="","",IF(COUNTIF(Campaigns!$A$7:$A$300,B3446)&gt;0,"✓","⚠ add to Campaigns tab"))</f>
        <v/>
      </c>
      <c r="I3446" s="84" t="str">
        <f aca="false">IF(C3446="","",C3446*IF(Settings!$B$22=Settings!$C$6,1,IF(Settings!$B$22="USD",1/INDEX(Settings!$B$29:$B$40,MONTH(A3446)),INDEX(Settings!$B$29:$B$40,MONTH(A3446)))))</f>
        <v/>
      </c>
    </row>
    <row r="3447" customFormat="false" ht="15" hidden="false" customHeight="false" outlineLevel="0" collapsed="false">
      <c r="H3447" s="0" t="str">
        <f aca="false">IF(B3447="","",IF(COUNTIF(Campaigns!$A$7:$A$300,B3447)&gt;0,"✓","⚠ add to Campaigns tab"))</f>
        <v/>
      </c>
      <c r="I3447" s="84" t="str">
        <f aca="false">IF(C3447="","",C3447*IF(Settings!$B$22=Settings!$C$6,1,IF(Settings!$B$22="USD",1/INDEX(Settings!$B$29:$B$40,MONTH(A3447)),INDEX(Settings!$B$29:$B$40,MONTH(A3447)))))</f>
        <v/>
      </c>
    </row>
    <row r="3448" customFormat="false" ht="15" hidden="false" customHeight="false" outlineLevel="0" collapsed="false">
      <c r="H3448" s="0" t="str">
        <f aca="false">IF(B3448="","",IF(COUNTIF(Campaigns!$A$7:$A$300,B3448)&gt;0,"✓","⚠ add to Campaigns tab"))</f>
        <v/>
      </c>
      <c r="I3448" s="84" t="str">
        <f aca="false">IF(C3448="","",C3448*IF(Settings!$B$22=Settings!$C$6,1,IF(Settings!$B$22="USD",1/INDEX(Settings!$B$29:$B$40,MONTH(A3448)),INDEX(Settings!$B$29:$B$40,MONTH(A3448)))))</f>
        <v/>
      </c>
    </row>
    <row r="3449" customFormat="false" ht="15" hidden="false" customHeight="false" outlineLevel="0" collapsed="false">
      <c r="H3449" s="0" t="str">
        <f aca="false">IF(B3449="","",IF(COUNTIF(Campaigns!$A$7:$A$300,B3449)&gt;0,"✓","⚠ add to Campaigns tab"))</f>
        <v/>
      </c>
      <c r="I3449" s="84" t="str">
        <f aca="false">IF(C3449="","",C3449*IF(Settings!$B$22=Settings!$C$6,1,IF(Settings!$B$22="USD",1/INDEX(Settings!$B$29:$B$40,MONTH(A3449)),INDEX(Settings!$B$29:$B$40,MONTH(A3449)))))</f>
        <v/>
      </c>
    </row>
    <row r="3450" customFormat="false" ht="15" hidden="false" customHeight="false" outlineLevel="0" collapsed="false">
      <c r="H3450" s="0" t="str">
        <f aca="false">IF(B3450="","",IF(COUNTIF(Campaigns!$A$7:$A$300,B3450)&gt;0,"✓","⚠ add to Campaigns tab"))</f>
        <v/>
      </c>
      <c r="I3450" s="84" t="str">
        <f aca="false">IF(C3450="","",C3450*IF(Settings!$B$22=Settings!$C$6,1,IF(Settings!$B$22="USD",1/INDEX(Settings!$B$29:$B$40,MONTH(A3450)),INDEX(Settings!$B$29:$B$40,MONTH(A3450)))))</f>
        <v/>
      </c>
    </row>
    <row r="3451" customFormat="false" ht="15" hidden="false" customHeight="false" outlineLevel="0" collapsed="false">
      <c r="H3451" s="0" t="str">
        <f aca="false">IF(B3451="","",IF(COUNTIF(Campaigns!$A$7:$A$300,B3451)&gt;0,"✓","⚠ add to Campaigns tab"))</f>
        <v/>
      </c>
      <c r="I3451" s="84" t="str">
        <f aca="false">IF(C3451="","",C3451*IF(Settings!$B$22=Settings!$C$6,1,IF(Settings!$B$22="USD",1/INDEX(Settings!$B$29:$B$40,MONTH(A3451)),INDEX(Settings!$B$29:$B$40,MONTH(A3451)))))</f>
        <v/>
      </c>
    </row>
    <row r="3452" customFormat="false" ht="15" hidden="false" customHeight="false" outlineLevel="0" collapsed="false">
      <c r="H3452" s="0" t="str">
        <f aca="false">IF(B3452="","",IF(COUNTIF(Campaigns!$A$7:$A$300,B3452)&gt;0,"✓","⚠ add to Campaigns tab"))</f>
        <v/>
      </c>
      <c r="I3452" s="84" t="str">
        <f aca="false">IF(C3452="","",C3452*IF(Settings!$B$22=Settings!$C$6,1,IF(Settings!$B$22="USD",1/INDEX(Settings!$B$29:$B$40,MONTH(A3452)),INDEX(Settings!$B$29:$B$40,MONTH(A3452)))))</f>
        <v/>
      </c>
    </row>
    <row r="3453" customFormat="false" ht="15" hidden="false" customHeight="false" outlineLevel="0" collapsed="false">
      <c r="H3453" s="0" t="str">
        <f aca="false">IF(B3453="","",IF(COUNTIF(Campaigns!$A$7:$A$300,B3453)&gt;0,"✓","⚠ add to Campaigns tab"))</f>
        <v/>
      </c>
      <c r="I3453" s="84" t="str">
        <f aca="false">IF(C3453="","",C3453*IF(Settings!$B$22=Settings!$C$6,1,IF(Settings!$B$22="USD",1/INDEX(Settings!$B$29:$B$40,MONTH(A3453)),INDEX(Settings!$B$29:$B$40,MONTH(A3453)))))</f>
        <v/>
      </c>
    </row>
    <row r="3454" customFormat="false" ht="15" hidden="false" customHeight="false" outlineLevel="0" collapsed="false">
      <c r="H3454" s="0" t="str">
        <f aca="false">IF(B3454="","",IF(COUNTIF(Campaigns!$A$7:$A$300,B3454)&gt;0,"✓","⚠ add to Campaigns tab"))</f>
        <v/>
      </c>
      <c r="I3454" s="84" t="str">
        <f aca="false">IF(C3454="","",C3454*IF(Settings!$B$22=Settings!$C$6,1,IF(Settings!$B$22="USD",1/INDEX(Settings!$B$29:$B$40,MONTH(A3454)),INDEX(Settings!$B$29:$B$40,MONTH(A3454)))))</f>
        <v/>
      </c>
    </row>
    <row r="3455" customFormat="false" ht="15" hidden="false" customHeight="false" outlineLevel="0" collapsed="false">
      <c r="H3455" s="0" t="str">
        <f aca="false">IF(B3455="","",IF(COUNTIF(Campaigns!$A$7:$A$300,B3455)&gt;0,"✓","⚠ add to Campaigns tab"))</f>
        <v/>
      </c>
      <c r="I3455" s="84" t="str">
        <f aca="false">IF(C3455="","",C3455*IF(Settings!$B$22=Settings!$C$6,1,IF(Settings!$B$22="USD",1/INDEX(Settings!$B$29:$B$40,MONTH(A3455)),INDEX(Settings!$B$29:$B$40,MONTH(A3455)))))</f>
        <v/>
      </c>
    </row>
    <row r="3456" customFormat="false" ht="15" hidden="false" customHeight="false" outlineLevel="0" collapsed="false">
      <c r="H3456" s="0" t="str">
        <f aca="false">IF(B3456="","",IF(COUNTIF(Campaigns!$A$7:$A$300,B3456)&gt;0,"✓","⚠ add to Campaigns tab"))</f>
        <v/>
      </c>
      <c r="I3456" s="84" t="str">
        <f aca="false">IF(C3456="","",C3456*IF(Settings!$B$22=Settings!$C$6,1,IF(Settings!$B$22="USD",1/INDEX(Settings!$B$29:$B$40,MONTH(A3456)),INDEX(Settings!$B$29:$B$40,MONTH(A3456)))))</f>
        <v/>
      </c>
    </row>
    <row r="3457" customFormat="false" ht="15" hidden="false" customHeight="false" outlineLevel="0" collapsed="false">
      <c r="H3457" s="0" t="str">
        <f aca="false">IF(B3457="","",IF(COUNTIF(Campaigns!$A$7:$A$300,B3457)&gt;0,"✓","⚠ add to Campaigns tab"))</f>
        <v/>
      </c>
      <c r="I3457" s="84" t="str">
        <f aca="false">IF(C3457="","",C3457*IF(Settings!$B$22=Settings!$C$6,1,IF(Settings!$B$22="USD",1/INDEX(Settings!$B$29:$B$40,MONTH(A3457)),INDEX(Settings!$B$29:$B$40,MONTH(A3457)))))</f>
        <v/>
      </c>
    </row>
    <row r="3458" customFormat="false" ht="15" hidden="false" customHeight="false" outlineLevel="0" collapsed="false">
      <c r="H3458" s="0" t="str">
        <f aca="false">IF(B3458="","",IF(COUNTIF(Campaigns!$A$7:$A$300,B3458)&gt;0,"✓","⚠ add to Campaigns tab"))</f>
        <v/>
      </c>
      <c r="I3458" s="84" t="str">
        <f aca="false">IF(C3458="","",C3458*IF(Settings!$B$22=Settings!$C$6,1,IF(Settings!$B$22="USD",1/INDEX(Settings!$B$29:$B$40,MONTH(A3458)),INDEX(Settings!$B$29:$B$40,MONTH(A3458)))))</f>
        <v/>
      </c>
    </row>
    <row r="3459" customFormat="false" ht="15" hidden="false" customHeight="false" outlineLevel="0" collapsed="false">
      <c r="H3459" s="0" t="str">
        <f aca="false">IF(B3459="","",IF(COUNTIF(Campaigns!$A$7:$A$300,B3459)&gt;0,"✓","⚠ add to Campaigns tab"))</f>
        <v/>
      </c>
      <c r="I3459" s="84" t="str">
        <f aca="false">IF(C3459="","",C3459*IF(Settings!$B$22=Settings!$C$6,1,IF(Settings!$B$22="USD",1/INDEX(Settings!$B$29:$B$40,MONTH(A3459)),INDEX(Settings!$B$29:$B$40,MONTH(A3459)))))</f>
        <v/>
      </c>
    </row>
    <row r="3460" customFormat="false" ht="15" hidden="false" customHeight="false" outlineLevel="0" collapsed="false">
      <c r="H3460" s="0" t="str">
        <f aca="false">IF(B3460="","",IF(COUNTIF(Campaigns!$A$7:$A$300,B3460)&gt;0,"✓","⚠ add to Campaigns tab"))</f>
        <v/>
      </c>
      <c r="I3460" s="84" t="str">
        <f aca="false">IF(C3460="","",C3460*IF(Settings!$B$22=Settings!$C$6,1,IF(Settings!$B$22="USD",1/INDEX(Settings!$B$29:$B$40,MONTH(A3460)),INDEX(Settings!$B$29:$B$40,MONTH(A3460)))))</f>
        <v/>
      </c>
    </row>
    <row r="3461" customFormat="false" ht="15" hidden="false" customHeight="false" outlineLevel="0" collapsed="false">
      <c r="H3461" s="0" t="str">
        <f aca="false">IF(B3461="","",IF(COUNTIF(Campaigns!$A$7:$A$300,B3461)&gt;0,"✓","⚠ add to Campaigns tab"))</f>
        <v/>
      </c>
      <c r="I3461" s="84" t="str">
        <f aca="false">IF(C3461="","",C3461*IF(Settings!$B$22=Settings!$C$6,1,IF(Settings!$B$22="USD",1/INDEX(Settings!$B$29:$B$40,MONTH(A3461)),INDEX(Settings!$B$29:$B$40,MONTH(A3461)))))</f>
        <v/>
      </c>
    </row>
    <row r="3462" customFormat="false" ht="15" hidden="false" customHeight="false" outlineLevel="0" collapsed="false">
      <c r="H3462" s="0" t="str">
        <f aca="false">IF(B3462="","",IF(COUNTIF(Campaigns!$A$7:$A$300,B3462)&gt;0,"✓","⚠ add to Campaigns tab"))</f>
        <v/>
      </c>
      <c r="I3462" s="84" t="str">
        <f aca="false">IF(C3462="","",C3462*IF(Settings!$B$22=Settings!$C$6,1,IF(Settings!$B$22="USD",1/INDEX(Settings!$B$29:$B$40,MONTH(A3462)),INDEX(Settings!$B$29:$B$40,MONTH(A3462)))))</f>
        <v/>
      </c>
    </row>
    <row r="3463" customFormat="false" ht="15" hidden="false" customHeight="false" outlineLevel="0" collapsed="false">
      <c r="H3463" s="0" t="str">
        <f aca="false">IF(B3463="","",IF(COUNTIF(Campaigns!$A$7:$A$300,B3463)&gt;0,"✓","⚠ add to Campaigns tab"))</f>
        <v/>
      </c>
      <c r="I3463" s="84" t="str">
        <f aca="false">IF(C3463="","",C3463*IF(Settings!$B$22=Settings!$C$6,1,IF(Settings!$B$22="USD",1/INDEX(Settings!$B$29:$B$40,MONTH(A3463)),INDEX(Settings!$B$29:$B$40,MONTH(A3463)))))</f>
        <v/>
      </c>
    </row>
    <row r="3464" customFormat="false" ht="15" hidden="false" customHeight="false" outlineLevel="0" collapsed="false">
      <c r="H3464" s="0" t="str">
        <f aca="false">IF(B3464="","",IF(COUNTIF(Campaigns!$A$7:$A$300,B3464)&gt;0,"✓","⚠ add to Campaigns tab"))</f>
        <v/>
      </c>
      <c r="I3464" s="84" t="str">
        <f aca="false">IF(C3464="","",C3464*IF(Settings!$B$22=Settings!$C$6,1,IF(Settings!$B$22="USD",1/INDEX(Settings!$B$29:$B$40,MONTH(A3464)),INDEX(Settings!$B$29:$B$40,MONTH(A3464)))))</f>
        <v/>
      </c>
    </row>
    <row r="3465" customFormat="false" ht="15" hidden="false" customHeight="false" outlineLevel="0" collapsed="false">
      <c r="H3465" s="0" t="str">
        <f aca="false">IF(B3465="","",IF(COUNTIF(Campaigns!$A$7:$A$300,B3465)&gt;0,"✓","⚠ add to Campaigns tab"))</f>
        <v/>
      </c>
      <c r="I3465" s="84" t="str">
        <f aca="false">IF(C3465="","",C3465*IF(Settings!$B$22=Settings!$C$6,1,IF(Settings!$B$22="USD",1/INDEX(Settings!$B$29:$B$40,MONTH(A3465)),INDEX(Settings!$B$29:$B$40,MONTH(A3465)))))</f>
        <v/>
      </c>
    </row>
    <row r="3466" customFormat="false" ht="15" hidden="false" customHeight="false" outlineLevel="0" collapsed="false">
      <c r="H3466" s="0" t="str">
        <f aca="false">IF(B3466="","",IF(COUNTIF(Campaigns!$A$7:$A$300,B3466)&gt;0,"✓","⚠ add to Campaigns tab"))</f>
        <v/>
      </c>
      <c r="I3466" s="84" t="str">
        <f aca="false">IF(C3466="","",C3466*IF(Settings!$B$22=Settings!$C$6,1,IF(Settings!$B$22="USD",1/INDEX(Settings!$B$29:$B$40,MONTH(A3466)),INDEX(Settings!$B$29:$B$40,MONTH(A3466)))))</f>
        <v/>
      </c>
    </row>
    <row r="3467" customFormat="false" ht="15" hidden="false" customHeight="false" outlineLevel="0" collapsed="false">
      <c r="H3467" s="0" t="str">
        <f aca="false">IF(B3467="","",IF(COUNTIF(Campaigns!$A$7:$A$300,B3467)&gt;0,"✓","⚠ add to Campaigns tab"))</f>
        <v/>
      </c>
      <c r="I3467" s="84" t="str">
        <f aca="false">IF(C3467="","",C3467*IF(Settings!$B$22=Settings!$C$6,1,IF(Settings!$B$22="USD",1/INDEX(Settings!$B$29:$B$40,MONTH(A3467)),INDEX(Settings!$B$29:$B$40,MONTH(A3467)))))</f>
        <v/>
      </c>
    </row>
    <row r="3468" customFormat="false" ht="15" hidden="false" customHeight="false" outlineLevel="0" collapsed="false">
      <c r="H3468" s="0" t="str">
        <f aca="false">IF(B3468="","",IF(COUNTIF(Campaigns!$A$7:$A$300,B3468)&gt;0,"✓","⚠ add to Campaigns tab"))</f>
        <v/>
      </c>
      <c r="I3468" s="84" t="str">
        <f aca="false">IF(C3468="","",C3468*IF(Settings!$B$22=Settings!$C$6,1,IF(Settings!$B$22="USD",1/INDEX(Settings!$B$29:$B$40,MONTH(A3468)),INDEX(Settings!$B$29:$B$40,MONTH(A3468)))))</f>
        <v/>
      </c>
    </row>
    <row r="3469" customFormat="false" ht="15" hidden="false" customHeight="false" outlineLevel="0" collapsed="false">
      <c r="H3469" s="0" t="str">
        <f aca="false">IF(B3469="","",IF(COUNTIF(Campaigns!$A$7:$A$300,B3469)&gt;0,"✓","⚠ add to Campaigns tab"))</f>
        <v/>
      </c>
      <c r="I3469" s="84" t="str">
        <f aca="false">IF(C3469="","",C3469*IF(Settings!$B$22=Settings!$C$6,1,IF(Settings!$B$22="USD",1/INDEX(Settings!$B$29:$B$40,MONTH(A3469)),INDEX(Settings!$B$29:$B$40,MONTH(A3469)))))</f>
        <v/>
      </c>
    </row>
    <row r="3470" customFormat="false" ht="15" hidden="false" customHeight="false" outlineLevel="0" collapsed="false">
      <c r="H3470" s="0" t="str">
        <f aca="false">IF(B3470="","",IF(COUNTIF(Campaigns!$A$7:$A$300,B3470)&gt;0,"✓","⚠ add to Campaigns tab"))</f>
        <v/>
      </c>
      <c r="I3470" s="84" t="str">
        <f aca="false">IF(C3470="","",C3470*IF(Settings!$B$22=Settings!$C$6,1,IF(Settings!$B$22="USD",1/INDEX(Settings!$B$29:$B$40,MONTH(A3470)),INDEX(Settings!$B$29:$B$40,MONTH(A3470)))))</f>
        <v/>
      </c>
    </row>
    <row r="3471" customFormat="false" ht="15" hidden="false" customHeight="false" outlineLevel="0" collapsed="false">
      <c r="H3471" s="0" t="str">
        <f aca="false">IF(B3471="","",IF(COUNTIF(Campaigns!$A$7:$A$300,B3471)&gt;0,"✓","⚠ add to Campaigns tab"))</f>
        <v/>
      </c>
      <c r="I3471" s="84" t="str">
        <f aca="false">IF(C3471="","",C3471*IF(Settings!$B$22=Settings!$C$6,1,IF(Settings!$B$22="USD",1/INDEX(Settings!$B$29:$B$40,MONTH(A3471)),INDEX(Settings!$B$29:$B$40,MONTH(A3471)))))</f>
        <v/>
      </c>
    </row>
    <row r="3472" customFormat="false" ht="15" hidden="false" customHeight="false" outlineLevel="0" collapsed="false">
      <c r="H3472" s="0" t="str">
        <f aca="false">IF(B3472="","",IF(COUNTIF(Campaigns!$A$7:$A$300,B3472)&gt;0,"✓","⚠ add to Campaigns tab"))</f>
        <v/>
      </c>
      <c r="I3472" s="84" t="str">
        <f aca="false">IF(C3472="","",C3472*IF(Settings!$B$22=Settings!$C$6,1,IF(Settings!$B$22="USD",1/INDEX(Settings!$B$29:$B$40,MONTH(A3472)),INDEX(Settings!$B$29:$B$40,MONTH(A3472)))))</f>
        <v/>
      </c>
    </row>
    <row r="3473" customFormat="false" ht="15" hidden="false" customHeight="false" outlineLevel="0" collapsed="false">
      <c r="H3473" s="0" t="str">
        <f aca="false">IF(B3473="","",IF(COUNTIF(Campaigns!$A$7:$A$300,B3473)&gt;0,"✓","⚠ add to Campaigns tab"))</f>
        <v/>
      </c>
      <c r="I3473" s="84" t="str">
        <f aca="false">IF(C3473="","",C3473*IF(Settings!$B$22=Settings!$C$6,1,IF(Settings!$B$22="USD",1/INDEX(Settings!$B$29:$B$40,MONTH(A3473)),INDEX(Settings!$B$29:$B$40,MONTH(A3473)))))</f>
        <v/>
      </c>
    </row>
    <row r="3474" customFormat="false" ht="15" hidden="false" customHeight="false" outlineLevel="0" collapsed="false">
      <c r="H3474" s="0" t="str">
        <f aca="false">IF(B3474="","",IF(COUNTIF(Campaigns!$A$7:$A$300,B3474)&gt;0,"✓","⚠ add to Campaigns tab"))</f>
        <v/>
      </c>
      <c r="I3474" s="84" t="str">
        <f aca="false">IF(C3474="","",C3474*IF(Settings!$B$22=Settings!$C$6,1,IF(Settings!$B$22="USD",1/INDEX(Settings!$B$29:$B$40,MONTH(A3474)),INDEX(Settings!$B$29:$B$40,MONTH(A3474)))))</f>
        <v/>
      </c>
    </row>
    <row r="3475" customFormat="false" ht="15" hidden="false" customHeight="false" outlineLevel="0" collapsed="false">
      <c r="H3475" s="0" t="str">
        <f aca="false">IF(B3475="","",IF(COUNTIF(Campaigns!$A$7:$A$300,B3475)&gt;0,"✓","⚠ add to Campaigns tab"))</f>
        <v/>
      </c>
      <c r="I3475" s="84" t="str">
        <f aca="false">IF(C3475="","",C3475*IF(Settings!$B$22=Settings!$C$6,1,IF(Settings!$B$22="USD",1/INDEX(Settings!$B$29:$B$40,MONTH(A3475)),INDEX(Settings!$B$29:$B$40,MONTH(A3475)))))</f>
        <v/>
      </c>
    </row>
    <row r="3476" customFormat="false" ht="15" hidden="false" customHeight="false" outlineLevel="0" collapsed="false">
      <c r="H3476" s="0" t="str">
        <f aca="false">IF(B3476="","",IF(COUNTIF(Campaigns!$A$7:$A$300,B3476)&gt;0,"✓","⚠ add to Campaigns tab"))</f>
        <v/>
      </c>
      <c r="I3476" s="84" t="str">
        <f aca="false">IF(C3476="","",C3476*IF(Settings!$B$22=Settings!$C$6,1,IF(Settings!$B$22="USD",1/INDEX(Settings!$B$29:$B$40,MONTH(A3476)),INDEX(Settings!$B$29:$B$40,MONTH(A3476)))))</f>
        <v/>
      </c>
    </row>
    <row r="3477" customFormat="false" ht="15" hidden="false" customHeight="false" outlineLevel="0" collapsed="false">
      <c r="H3477" s="0" t="str">
        <f aca="false">IF(B3477="","",IF(COUNTIF(Campaigns!$A$7:$A$300,B3477)&gt;0,"✓","⚠ add to Campaigns tab"))</f>
        <v/>
      </c>
      <c r="I3477" s="84" t="str">
        <f aca="false">IF(C3477="","",C3477*IF(Settings!$B$22=Settings!$C$6,1,IF(Settings!$B$22="USD",1/INDEX(Settings!$B$29:$B$40,MONTH(A3477)),INDEX(Settings!$B$29:$B$40,MONTH(A3477)))))</f>
        <v/>
      </c>
    </row>
    <row r="3478" customFormat="false" ht="15" hidden="false" customHeight="false" outlineLevel="0" collapsed="false">
      <c r="H3478" s="0" t="str">
        <f aca="false">IF(B3478="","",IF(COUNTIF(Campaigns!$A$7:$A$300,B3478)&gt;0,"✓","⚠ add to Campaigns tab"))</f>
        <v/>
      </c>
      <c r="I3478" s="84" t="str">
        <f aca="false">IF(C3478="","",C3478*IF(Settings!$B$22=Settings!$C$6,1,IF(Settings!$B$22="USD",1/INDEX(Settings!$B$29:$B$40,MONTH(A3478)),INDEX(Settings!$B$29:$B$40,MONTH(A3478)))))</f>
        <v/>
      </c>
    </row>
    <row r="3479" customFormat="false" ht="15" hidden="false" customHeight="false" outlineLevel="0" collapsed="false">
      <c r="H3479" s="0" t="str">
        <f aca="false">IF(B3479="","",IF(COUNTIF(Campaigns!$A$7:$A$300,B3479)&gt;0,"✓","⚠ add to Campaigns tab"))</f>
        <v/>
      </c>
      <c r="I3479" s="84" t="str">
        <f aca="false">IF(C3479="","",C3479*IF(Settings!$B$22=Settings!$C$6,1,IF(Settings!$B$22="USD",1/INDEX(Settings!$B$29:$B$40,MONTH(A3479)),INDEX(Settings!$B$29:$B$40,MONTH(A3479)))))</f>
        <v/>
      </c>
    </row>
    <row r="3480" customFormat="false" ht="15" hidden="false" customHeight="false" outlineLevel="0" collapsed="false">
      <c r="H3480" s="0" t="str">
        <f aca="false">IF(B3480="","",IF(COUNTIF(Campaigns!$A$7:$A$300,B3480)&gt;0,"✓","⚠ add to Campaigns tab"))</f>
        <v/>
      </c>
      <c r="I3480" s="84" t="str">
        <f aca="false">IF(C3480="","",C3480*IF(Settings!$B$22=Settings!$C$6,1,IF(Settings!$B$22="USD",1/INDEX(Settings!$B$29:$B$40,MONTH(A3480)),INDEX(Settings!$B$29:$B$40,MONTH(A3480)))))</f>
        <v/>
      </c>
    </row>
    <row r="3481" customFormat="false" ht="15" hidden="false" customHeight="false" outlineLevel="0" collapsed="false">
      <c r="H3481" s="0" t="str">
        <f aca="false">IF(B3481="","",IF(COUNTIF(Campaigns!$A$7:$A$300,B3481)&gt;0,"✓","⚠ add to Campaigns tab"))</f>
        <v/>
      </c>
      <c r="I3481" s="84" t="str">
        <f aca="false">IF(C3481="","",C3481*IF(Settings!$B$22=Settings!$C$6,1,IF(Settings!$B$22="USD",1/INDEX(Settings!$B$29:$B$40,MONTH(A3481)),INDEX(Settings!$B$29:$B$40,MONTH(A3481)))))</f>
        <v/>
      </c>
    </row>
    <row r="3482" customFormat="false" ht="15" hidden="false" customHeight="false" outlineLevel="0" collapsed="false">
      <c r="H3482" s="0" t="str">
        <f aca="false">IF(B3482="","",IF(COUNTIF(Campaigns!$A$7:$A$300,B3482)&gt;0,"✓","⚠ add to Campaigns tab"))</f>
        <v/>
      </c>
      <c r="I3482" s="84" t="str">
        <f aca="false">IF(C3482="","",C3482*IF(Settings!$B$22=Settings!$C$6,1,IF(Settings!$B$22="USD",1/INDEX(Settings!$B$29:$B$40,MONTH(A3482)),INDEX(Settings!$B$29:$B$40,MONTH(A3482)))))</f>
        <v/>
      </c>
    </row>
    <row r="3483" customFormat="false" ht="15" hidden="false" customHeight="false" outlineLevel="0" collapsed="false">
      <c r="H3483" s="0" t="str">
        <f aca="false">IF(B3483="","",IF(COUNTIF(Campaigns!$A$7:$A$300,B3483)&gt;0,"✓","⚠ add to Campaigns tab"))</f>
        <v/>
      </c>
      <c r="I3483" s="84" t="str">
        <f aca="false">IF(C3483="","",C3483*IF(Settings!$B$22=Settings!$C$6,1,IF(Settings!$B$22="USD",1/INDEX(Settings!$B$29:$B$40,MONTH(A3483)),INDEX(Settings!$B$29:$B$40,MONTH(A3483)))))</f>
        <v/>
      </c>
    </row>
    <row r="3484" customFormat="false" ht="15" hidden="false" customHeight="false" outlineLevel="0" collapsed="false">
      <c r="H3484" s="0" t="str">
        <f aca="false">IF(B3484="","",IF(COUNTIF(Campaigns!$A$7:$A$300,B3484)&gt;0,"✓","⚠ add to Campaigns tab"))</f>
        <v/>
      </c>
      <c r="I3484" s="84" t="str">
        <f aca="false">IF(C3484="","",C3484*IF(Settings!$B$22=Settings!$C$6,1,IF(Settings!$B$22="USD",1/INDEX(Settings!$B$29:$B$40,MONTH(A3484)),INDEX(Settings!$B$29:$B$40,MONTH(A3484)))))</f>
        <v/>
      </c>
    </row>
    <row r="3485" customFormat="false" ht="15" hidden="false" customHeight="false" outlineLevel="0" collapsed="false">
      <c r="H3485" s="0" t="str">
        <f aca="false">IF(B3485="","",IF(COUNTIF(Campaigns!$A$7:$A$300,B3485)&gt;0,"✓","⚠ add to Campaigns tab"))</f>
        <v/>
      </c>
      <c r="I3485" s="84" t="str">
        <f aca="false">IF(C3485="","",C3485*IF(Settings!$B$22=Settings!$C$6,1,IF(Settings!$B$22="USD",1/INDEX(Settings!$B$29:$B$40,MONTH(A3485)),INDEX(Settings!$B$29:$B$40,MONTH(A3485)))))</f>
        <v/>
      </c>
    </row>
    <row r="3486" customFormat="false" ht="15" hidden="false" customHeight="false" outlineLevel="0" collapsed="false">
      <c r="H3486" s="0" t="str">
        <f aca="false">IF(B3486="","",IF(COUNTIF(Campaigns!$A$7:$A$300,B3486)&gt;0,"✓","⚠ add to Campaigns tab"))</f>
        <v/>
      </c>
      <c r="I3486" s="84" t="str">
        <f aca="false">IF(C3486="","",C3486*IF(Settings!$B$22=Settings!$C$6,1,IF(Settings!$B$22="USD",1/INDEX(Settings!$B$29:$B$40,MONTH(A3486)),INDEX(Settings!$B$29:$B$40,MONTH(A3486)))))</f>
        <v/>
      </c>
    </row>
    <row r="3487" customFormat="false" ht="15" hidden="false" customHeight="false" outlineLevel="0" collapsed="false">
      <c r="H3487" s="0" t="str">
        <f aca="false">IF(B3487="","",IF(COUNTIF(Campaigns!$A$7:$A$300,B3487)&gt;0,"✓","⚠ add to Campaigns tab"))</f>
        <v/>
      </c>
      <c r="I3487" s="84" t="str">
        <f aca="false">IF(C3487="","",C3487*IF(Settings!$B$22=Settings!$C$6,1,IF(Settings!$B$22="USD",1/INDEX(Settings!$B$29:$B$40,MONTH(A3487)),INDEX(Settings!$B$29:$B$40,MONTH(A3487)))))</f>
        <v/>
      </c>
    </row>
    <row r="3488" customFormat="false" ht="15" hidden="false" customHeight="false" outlineLevel="0" collapsed="false">
      <c r="H3488" s="0" t="str">
        <f aca="false">IF(B3488="","",IF(COUNTIF(Campaigns!$A$7:$A$300,B3488)&gt;0,"✓","⚠ add to Campaigns tab"))</f>
        <v/>
      </c>
      <c r="I3488" s="84" t="str">
        <f aca="false">IF(C3488="","",C3488*IF(Settings!$B$22=Settings!$C$6,1,IF(Settings!$B$22="USD",1/INDEX(Settings!$B$29:$B$40,MONTH(A3488)),INDEX(Settings!$B$29:$B$40,MONTH(A3488)))))</f>
        <v/>
      </c>
    </row>
    <row r="3489" customFormat="false" ht="15" hidden="false" customHeight="false" outlineLevel="0" collapsed="false">
      <c r="H3489" s="0" t="str">
        <f aca="false">IF(B3489="","",IF(COUNTIF(Campaigns!$A$7:$A$300,B3489)&gt;0,"✓","⚠ add to Campaigns tab"))</f>
        <v/>
      </c>
      <c r="I3489" s="84" t="str">
        <f aca="false">IF(C3489="","",C3489*IF(Settings!$B$22=Settings!$C$6,1,IF(Settings!$B$22="USD",1/INDEX(Settings!$B$29:$B$40,MONTH(A3489)),INDEX(Settings!$B$29:$B$40,MONTH(A3489)))))</f>
        <v/>
      </c>
    </row>
    <row r="3490" customFormat="false" ht="15" hidden="false" customHeight="false" outlineLevel="0" collapsed="false">
      <c r="H3490" s="0" t="str">
        <f aca="false">IF(B3490="","",IF(COUNTIF(Campaigns!$A$7:$A$300,B3490)&gt;0,"✓","⚠ add to Campaigns tab"))</f>
        <v/>
      </c>
      <c r="I3490" s="84" t="str">
        <f aca="false">IF(C3490="","",C3490*IF(Settings!$B$22=Settings!$C$6,1,IF(Settings!$B$22="USD",1/INDEX(Settings!$B$29:$B$40,MONTH(A3490)),INDEX(Settings!$B$29:$B$40,MONTH(A3490)))))</f>
        <v/>
      </c>
    </row>
    <row r="3491" customFormat="false" ht="15" hidden="false" customHeight="false" outlineLevel="0" collapsed="false">
      <c r="H3491" s="0" t="str">
        <f aca="false">IF(B3491="","",IF(COUNTIF(Campaigns!$A$7:$A$300,B3491)&gt;0,"✓","⚠ add to Campaigns tab"))</f>
        <v/>
      </c>
      <c r="I3491" s="84" t="str">
        <f aca="false">IF(C3491="","",C3491*IF(Settings!$B$22=Settings!$C$6,1,IF(Settings!$B$22="USD",1/INDEX(Settings!$B$29:$B$40,MONTH(A3491)),INDEX(Settings!$B$29:$B$40,MONTH(A3491)))))</f>
        <v/>
      </c>
    </row>
    <row r="3492" customFormat="false" ht="15" hidden="false" customHeight="false" outlineLevel="0" collapsed="false">
      <c r="H3492" s="0" t="str">
        <f aca="false">IF(B3492="","",IF(COUNTIF(Campaigns!$A$7:$A$300,B3492)&gt;0,"✓","⚠ add to Campaigns tab"))</f>
        <v/>
      </c>
      <c r="I3492" s="84" t="str">
        <f aca="false">IF(C3492="","",C3492*IF(Settings!$B$22=Settings!$C$6,1,IF(Settings!$B$22="USD",1/INDEX(Settings!$B$29:$B$40,MONTH(A3492)),INDEX(Settings!$B$29:$B$40,MONTH(A3492)))))</f>
        <v/>
      </c>
    </row>
    <row r="3493" customFormat="false" ht="15" hidden="false" customHeight="false" outlineLevel="0" collapsed="false">
      <c r="H3493" s="0" t="str">
        <f aca="false">IF(B3493="","",IF(COUNTIF(Campaigns!$A$7:$A$300,B3493)&gt;0,"✓","⚠ add to Campaigns tab"))</f>
        <v/>
      </c>
      <c r="I3493" s="84" t="str">
        <f aca="false">IF(C3493="","",C3493*IF(Settings!$B$22=Settings!$C$6,1,IF(Settings!$B$22="USD",1/INDEX(Settings!$B$29:$B$40,MONTH(A3493)),INDEX(Settings!$B$29:$B$40,MONTH(A3493)))))</f>
        <v/>
      </c>
    </row>
    <row r="3494" customFormat="false" ht="15" hidden="false" customHeight="false" outlineLevel="0" collapsed="false">
      <c r="H3494" s="0" t="str">
        <f aca="false">IF(B3494="","",IF(COUNTIF(Campaigns!$A$7:$A$300,B3494)&gt;0,"✓","⚠ add to Campaigns tab"))</f>
        <v/>
      </c>
      <c r="I3494" s="84" t="str">
        <f aca="false">IF(C3494="","",C3494*IF(Settings!$B$22=Settings!$C$6,1,IF(Settings!$B$22="USD",1/INDEX(Settings!$B$29:$B$40,MONTH(A3494)),INDEX(Settings!$B$29:$B$40,MONTH(A3494)))))</f>
        <v/>
      </c>
    </row>
    <row r="3495" customFormat="false" ht="15" hidden="false" customHeight="false" outlineLevel="0" collapsed="false">
      <c r="H3495" s="0" t="str">
        <f aca="false">IF(B3495="","",IF(COUNTIF(Campaigns!$A$7:$A$300,B3495)&gt;0,"✓","⚠ add to Campaigns tab"))</f>
        <v/>
      </c>
      <c r="I3495" s="84" t="str">
        <f aca="false">IF(C3495="","",C3495*IF(Settings!$B$22=Settings!$C$6,1,IF(Settings!$B$22="USD",1/INDEX(Settings!$B$29:$B$40,MONTH(A3495)),INDEX(Settings!$B$29:$B$40,MONTH(A3495)))))</f>
        <v/>
      </c>
    </row>
    <row r="3496" customFormat="false" ht="15" hidden="false" customHeight="false" outlineLevel="0" collapsed="false">
      <c r="H3496" s="0" t="str">
        <f aca="false">IF(B3496="","",IF(COUNTIF(Campaigns!$A$7:$A$300,B3496)&gt;0,"✓","⚠ add to Campaigns tab"))</f>
        <v/>
      </c>
      <c r="I3496" s="84" t="str">
        <f aca="false">IF(C3496="","",C3496*IF(Settings!$B$22=Settings!$C$6,1,IF(Settings!$B$22="USD",1/INDEX(Settings!$B$29:$B$40,MONTH(A3496)),INDEX(Settings!$B$29:$B$40,MONTH(A3496)))))</f>
        <v/>
      </c>
    </row>
    <row r="3497" customFormat="false" ht="15" hidden="false" customHeight="false" outlineLevel="0" collapsed="false">
      <c r="H3497" s="0" t="str">
        <f aca="false">IF(B3497="","",IF(COUNTIF(Campaigns!$A$7:$A$300,B3497)&gt;0,"✓","⚠ add to Campaigns tab"))</f>
        <v/>
      </c>
      <c r="I3497" s="84" t="str">
        <f aca="false">IF(C3497="","",C3497*IF(Settings!$B$22=Settings!$C$6,1,IF(Settings!$B$22="USD",1/INDEX(Settings!$B$29:$B$40,MONTH(A3497)),INDEX(Settings!$B$29:$B$40,MONTH(A3497)))))</f>
        <v/>
      </c>
    </row>
    <row r="3498" customFormat="false" ht="15" hidden="false" customHeight="false" outlineLevel="0" collapsed="false">
      <c r="H3498" s="0" t="str">
        <f aca="false">IF(B3498="","",IF(COUNTIF(Campaigns!$A$7:$A$300,B3498)&gt;0,"✓","⚠ add to Campaigns tab"))</f>
        <v/>
      </c>
      <c r="I3498" s="84" t="str">
        <f aca="false">IF(C3498="","",C3498*IF(Settings!$B$22=Settings!$C$6,1,IF(Settings!$B$22="USD",1/INDEX(Settings!$B$29:$B$40,MONTH(A3498)),INDEX(Settings!$B$29:$B$40,MONTH(A3498)))))</f>
        <v/>
      </c>
    </row>
    <row r="3499" customFormat="false" ht="15" hidden="false" customHeight="false" outlineLevel="0" collapsed="false">
      <c r="H3499" s="0" t="str">
        <f aca="false">IF(B3499="","",IF(COUNTIF(Campaigns!$A$7:$A$300,B3499)&gt;0,"✓","⚠ add to Campaigns tab"))</f>
        <v/>
      </c>
      <c r="I3499" s="84" t="str">
        <f aca="false">IF(C3499="","",C3499*IF(Settings!$B$22=Settings!$C$6,1,IF(Settings!$B$22="USD",1/INDEX(Settings!$B$29:$B$40,MONTH(A3499)),INDEX(Settings!$B$29:$B$40,MONTH(A3499)))))</f>
        <v/>
      </c>
    </row>
    <row r="3500" customFormat="false" ht="15" hidden="false" customHeight="false" outlineLevel="0" collapsed="false">
      <c r="H3500" s="0" t="str">
        <f aca="false">IF(B3500="","",IF(COUNTIF(Campaigns!$A$7:$A$300,B3500)&gt;0,"✓","⚠ add to Campaigns tab"))</f>
        <v/>
      </c>
      <c r="I3500" s="84" t="str">
        <f aca="false">IF(C3500="","",C3500*IF(Settings!$B$22=Settings!$C$6,1,IF(Settings!$B$22="USD",1/INDEX(Settings!$B$29:$B$40,MONTH(A3500)),INDEX(Settings!$B$29:$B$40,MONTH(A3500)))))</f>
        <v/>
      </c>
    </row>
    <row r="3501" customFormat="false" ht="15" hidden="false" customHeight="false" outlineLevel="0" collapsed="false">
      <c r="H3501" s="0" t="str">
        <f aca="false">IF(B3501="","",IF(COUNTIF(Campaigns!$A$7:$A$300,B3501)&gt;0,"✓","⚠ add to Campaigns tab"))</f>
        <v/>
      </c>
      <c r="I3501" s="84" t="str">
        <f aca="false">IF(C3501="","",C3501*IF(Settings!$B$22=Settings!$C$6,1,IF(Settings!$B$22="USD",1/INDEX(Settings!$B$29:$B$40,MONTH(A3501)),INDEX(Settings!$B$29:$B$40,MONTH(A3501)))))</f>
        <v/>
      </c>
    </row>
    <row r="3502" customFormat="false" ht="15" hidden="false" customHeight="false" outlineLevel="0" collapsed="false">
      <c r="H3502" s="0" t="str">
        <f aca="false">IF(B3502="","",IF(COUNTIF(Campaigns!$A$7:$A$300,B3502)&gt;0,"✓","⚠ add to Campaigns tab"))</f>
        <v/>
      </c>
      <c r="I3502" s="84" t="str">
        <f aca="false">IF(C3502="","",C3502*IF(Settings!$B$22=Settings!$C$6,1,IF(Settings!$B$22="USD",1/INDEX(Settings!$B$29:$B$40,MONTH(A3502)),INDEX(Settings!$B$29:$B$40,MONTH(A3502)))))</f>
        <v/>
      </c>
    </row>
    <row r="3503" customFormat="false" ht="15" hidden="false" customHeight="false" outlineLevel="0" collapsed="false">
      <c r="H3503" s="0" t="str">
        <f aca="false">IF(B3503="","",IF(COUNTIF(Campaigns!$A$7:$A$300,B3503)&gt;0,"✓","⚠ add to Campaigns tab"))</f>
        <v/>
      </c>
      <c r="I3503" s="84" t="str">
        <f aca="false">IF(C3503="","",C3503*IF(Settings!$B$22=Settings!$C$6,1,IF(Settings!$B$22="USD",1/INDEX(Settings!$B$29:$B$40,MONTH(A3503)),INDEX(Settings!$B$29:$B$40,MONTH(A3503)))))</f>
        <v/>
      </c>
    </row>
    <row r="3504" customFormat="false" ht="15" hidden="false" customHeight="false" outlineLevel="0" collapsed="false">
      <c r="H3504" s="0" t="str">
        <f aca="false">IF(B3504="","",IF(COUNTIF(Campaigns!$A$7:$A$300,B3504)&gt;0,"✓","⚠ add to Campaigns tab"))</f>
        <v/>
      </c>
      <c r="I3504" s="84" t="str">
        <f aca="false">IF(C3504="","",C3504*IF(Settings!$B$22=Settings!$C$6,1,IF(Settings!$B$22="USD",1/INDEX(Settings!$B$29:$B$40,MONTH(A3504)),INDEX(Settings!$B$29:$B$40,MONTH(A3504)))))</f>
        <v/>
      </c>
    </row>
    <row r="3505" customFormat="false" ht="15" hidden="false" customHeight="false" outlineLevel="0" collapsed="false">
      <c r="H3505" s="0" t="str">
        <f aca="false">IF(B3505="","",IF(COUNTIF(Campaigns!$A$7:$A$300,B3505)&gt;0,"✓","⚠ add to Campaigns tab"))</f>
        <v/>
      </c>
      <c r="I3505" s="84" t="str">
        <f aca="false">IF(C3505="","",C3505*IF(Settings!$B$22=Settings!$C$6,1,IF(Settings!$B$22="USD",1/INDEX(Settings!$B$29:$B$40,MONTH(A3505)),INDEX(Settings!$B$29:$B$40,MONTH(A3505)))))</f>
        <v/>
      </c>
    </row>
    <row r="3506" customFormat="false" ht="15" hidden="false" customHeight="false" outlineLevel="0" collapsed="false">
      <c r="H3506" s="0" t="str">
        <f aca="false">IF(B3506="","",IF(COUNTIF(Campaigns!$A$7:$A$300,B3506)&gt;0,"✓","⚠ add to Campaigns tab"))</f>
        <v/>
      </c>
      <c r="I3506" s="84" t="str">
        <f aca="false">IF(C3506="","",C3506*IF(Settings!$B$22=Settings!$C$6,1,IF(Settings!$B$22="USD",1/INDEX(Settings!$B$29:$B$40,MONTH(A3506)),INDEX(Settings!$B$29:$B$40,MONTH(A3506)))))</f>
        <v/>
      </c>
    </row>
    <row r="3507" customFormat="false" ht="15" hidden="false" customHeight="false" outlineLevel="0" collapsed="false">
      <c r="H3507" s="0" t="str">
        <f aca="false">IF(B3507="","",IF(COUNTIF(Campaigns!$A$7:$A$300,B3507)&gt;0,"✓","⚠ add to Campaigns tab"))</f>
        <v/>
      </c>
      <c r="I3507" s="84" t="str">
        <f aca="false">IF(C3507="","",C3507*IF(Settings!$B$22=Settings!$C$6,1,IF(Settings!$B$22="USD",1/INDEX(Settings!$B$29:$B$40,MONTH(A3507)),INDEX(Settings!$B$29:$B$40,MONTH(A3507)))))</f>
        <v/>
      </c>
    </row>
    <row r="3508" customFormat="false" ht="15" hidden="false" customHeight="false" outlineLevel="0" collapsed="false">
      <c r="H3508" s="0" t="str">
        <f aca="false">IF(B3508="","",IF(COUNTIF(Campaigns!$A$7:$A$300,B3508)&gt;0,"✓","⚠ add to Campaigns tab"))</f>
        <v/>
      </c>
      <c r="I3508" s="84" t="str">
        <f aca="false">IF(C3508="","",C3508*IF(Settings!$B$22=Settings!$C$6,1,IF(Settings!$B$22="USD",1/INDEX(Settings!$B$29:$B$40,MONTH(A3508)),INDEX(Settings!$B$29:$B$40,MONTH(A3508)))))</f>
        <v/>
      </c>
    </row>
    <row r="3509" customFormat="false" ht="15" hidden="false" customHeight="false" outlineLevel="0" collapsed="false">
      <c r="H3509" s="0" t="str">
        <f aca="false">IF(B3509="","",IF(COUNTIF(Campaigns!$A$7:$A$300,B3509)&gt;0,"✓","⚠ add to Campaigns tab"))</f>
        <v/>
      </c>
      <c r="I3509" s="84" t="str">
        <f aca="false">IF(C3509="","",C3509*IF(Settings!$B$22=Settings!$C$6,1,IF(Settings!$B$22="USD",1/INDEX(Settings!$B$29:$B$40,MONTH(A3509)),INDEX(Settings!$B$29:$B$40,MONTH(A3509)))))</f>
        <v/>
      </c>
    </row>
    <row r="3510" customFormat="false" ht="15" hidden="false" customHeight="false" outlineLevel="0" collapsed="false">
      <c r="H3510" s="0" t="str">
        <f aca="false">IF(B3510="","",IF(COUNTIF(Campaigns!$A$7:$A$300,B3510)&gt;0,"✓","⚠ add to Campaigns tab"))</f>
        <v/>
      </c>
      <c r="I3510" s="84" t="str">
        <f aca="false">IF(C3510="","",C3510*IF(Settings!$B$22=Settings!$C$6,1,IF(Settings!$B$22="USD",1/INDEX(Settings!$B$29:$B$40,MONTH(A3510)),INDEX(Settings!$B$29:$B$40,MONTH(A3510)))))</f>
        <v/>
      </c>
    </row>
    <row r="3511" customFormat="false" ht="15" hidden="false" customHeight="false" outlineLevel="0" collapsed="false">
      <c r="H3511" s="0" t="str">
        <f aca="false">IF(B3511="","",IF(COUNTIF(Campaigns!$A$7:$A$300,B3511)&gt;0,"✓","⚠ add to Campaigns tab"))</f>
        <v/>
      </c>
      <c r="I3511" s="84" t="str">
        <f aca="false">IF(C3511="","",C3511*IF(Settings!$B$22=Settings!$C$6,1,IF(Settings!$B$22="USD",1/INDEX(Settings!$B$29:$B$40,MONTH(A3511)),INDEX(Settings!$B$29:$B$40,MONTH(A3511)))))</f>
        <v/>
      </c>
    </row>
    <row r="3512" customFormat="false" ht="15" hidden="false" customHeight="false" outlineLevel="0" collapsed="false">
      <c r="H3512" s="0" t="str">
        <f aca="false">IF(B3512="","",IF(COUNTIF(Campaigns!$A$7:$A$300,B3512)&gt;0,"✓","⚠ add to Campaigns tab"))</f>
        <v/>
      </c>
      <c r="I3512" s="84" t="str">
        <f aca="false">IF(C3512="","",C3512*IF(Settings!$B$22=Settings!$C$6,1,IF(Settings!$B$22="USD",1/INDEX(Settings!$B$29:$B$40,MONTH(A3512)),INDEX(Settings!$B$29:$B$40,MONTH(A3512)))))</f>
        <v/>
      </c>
    </row>
    <row r="3513" customFormat="false" ht="15" hidden="false" customHeight="false" outlineLevel="0" collapsed="false">
      <c r="H3513" s="0" t="str">
        <f aca="false">IF(B3513="","",IF(COUNTIF(Campaigns!$A$7:$A$300,B3513)&gt;0,"✓","⚠ add to Campaigns tab"))</f>
        <v/>
      </c>
      <c r="I3513" s="84" t="str">
        <f aca="false">IF(C3513="","",C3513*IF(Settings!$B$22=Settings!$C$6,1,IF(Settings!$B$22="USD",1/INDEX(Settings!$B$29:$B$40,MONTH(A3513)),INDEX(Settings!$B$29:$B$40,MONTH(A3513)))))</f>
        <v/>
      </c>
    </row>
    <row r="3514" customFormat="false" ht="15" hidden="false" customHeight="false" outlineLevel="0" collapsed="false">
      <c r="H3514" s="0" t="str">
        <f aca="false">IF(B3514="","",IF(COUNTIF(Campaigns!$A$7:$A$300,B3514)&gt;0,"✓","⚠ add to Campaigns tab"))</f>
        <v/>
      </c>
      <c r="I3514" s="84" t="str">
        <f aca="false">IF(C3514="","",C3514*IF(Settings!$B$22=Settings!$C$6,1,IF(Settings!$B$22="USD",1/INDEX(Settings!$B$29:$B$40,MONTH(A3514)),INDEX(Settings!$B$29:$B$40,MONTH(A3514)))))</f>
        <v/>
      </c>
    </row>
    <row r="3515" customFormat="false" ht="15" hidden="false" customHeight="false" outlineLevel="0" collapsed="false">
      <c r="H3515" s="0" t="str">
        <f aca="false">IF(B3515="","",IF(COUNTIF(Campaigns!$A$7:$A$300,B3515)&gt;0,"✓","⚠ add to Campaigns tab"))</f>
        <v/>
      </c>
      <c r="I3515" s="84" t="str">
        <f aca="false">IF(C3515="","",C3515*IF(Settings!$B$22=Settings!$C$6,1,IF(Settings!$B$22="USD",1/INDEX(Settings!$B$29:$B$40,MONTH(A3515)),INDEX(Settings!$B$29:$B$40,MONTH(A3515)))))</f>
        <v/>
      </c>
    </row>
    <row r="3516" customFormat="false" ht="15" hidden="false" customHeight="false" outlineLevel="0" collapsed="false">
      <c r="H3516" s="0" t="str">
        <f aca="false">IF(B3516="","",IF(COUNTIF(Campaigns!$A$7:$A$300,B3516)&gt;0,"✓","⚠ add to Campaigns tab"))</f>
        <v/>
      </c>
      <c r="I3516" s="84" t="str">
        <f aca="false">IF(C3516="","",C3516*IF(Settings!$B$22=Settings!$C$6,1,IF(Settings!$B$22="USD",1/INDEX(Settings!$B$29:$B$40,MONTH(A3516)),INDEX(Settings!$B$29:$B$40,MONTH(A3516)))))</f>
        <v/>
      </c>
    </row>
    <row r="3517" customFormat="false" ht="15" hidden="false" customHeight="false" outlineLevel="0" collapsed="false">
      <c r="H3517" s="0" t="str">
        <f aca="false">IF(B3517="","",IF(COUNTIF(Campaigns!$A$7:$A$300,B3517)&gt;0,"✓","⚠ add to Campaigns tab"))</f>
        <v/>
      </c>
      <c r="I3517" s="84" t="str">
        <f aca="false">IF(C3517="","",C3517*IF(Settings!$B$22=Settings!$C$6,1,IF(Settings!$B$22="USD",1/INDEX(Settings!$B$29:$B$40,MONTH(A3517)),INDEX(Settings!$B$29:$B$40,MONTH(A3517)))))</f>
        <v/>
      </c>
    </row>
    <row r="3518" customFormat="false" ht="15" hidden="false" customHeight="false" outlineLevel="0" collapsed="false">
      <c r="H3518" s="0" t="str">
        <f aca="false">IF(B3518="","",IF(COUNTIF(Campaigns!$A$7:$A$300,B3518)&gt;0,"✓","⚠ add to Campaigns tab"))</f>
        <v/>
      </c>
      <c r="I3518" s="84" t="str">
        <f aca="false">IF(C3518="","",C3518*IF(Settings!$B$22=Settings!$C$6,1,IF(Settings!$B$22="USD",1/INDEX(Settings!$B$29:$B$40,MONTH(A3518)),INDEX(Settings!$B$29:$B$40,MONTH(A3518)))))</f>
        <v/>
      </c>
    </row>
    <row r="3519" customFormat="false" ht="15" hidden="false" customHeight="false" outlineLevel="0" collapsed="false">
      <c r="H3519" s="0" t="str">
        <f aca="false">IF(B3519="","",IF(COUNTIF(Campaigns!$A$7:$A$300,B3519)&gt;0,"✓","⚠ add to Campaigns tab"))</f>
        <v/>
      </c>
      <c r="I3519" s="84" t="str">
        <f aca="false">IF(C3519="","",C3519*IF(Settings!$B$22=Settings!$C$6,1,IF(Settings!$B$22="USD",1/INDEX(Settings!$B$29:$B$40,MONTH(A3519)),INDEX(Settings!$B$29:$B$40,MONTH(A3519)))))</f>
        <v/>
      </c>
    </row>
    <row r="3520" customFormat="false" ht="15" hidden="false" customHeight="false" outlineLevel="0" collapsed="false">
      <c r="H3520" s="0" t="str">
        <f aca="false">IF(B3520="","",IF(COUNTIF(Campaigns!$A$7:$A$300,B3520)&gt;0,"✓","⚠ add to Campaigns tab"))</f>
        <v/>
      </c>
      <c r="I3520" s="84" t="str">
        <f aca="false">IF(C3520="","",C3520*IF(Settings!$B$22=Settings!$C$6,1,IF(Settings!$B$22="USD",1/INDEX(Settings!$B$29:$B$40,MONTH(A3520)),INDEX(Settings!$B$29:$B$40,MONTH(A3520)))))</f>
        <v/>
      </c>
    </row>
    <row r="3521" customFormat="false" ht="15" hidden="false" customHeight="false" outlineLevel="0" collapsed="false">
      <c r="H3521" s="0" t="str">
        <f aca="false">IF(B3521="","",IF(COUNTIF(Campaigns!$A$7:$A$300,B3521)&gt;0,"✓","⚠ add to Campaigns tab"))</f>
        <v/>
      </c>
      <c r="I3521" s="84" t="str">
        <f aca="false">IF(C3521="","",C3521*IF(Settings!$B$22=Settings!$C$6,1,IF(Settings!$B$22="USD",1/INDEX(Settings!$B$29:$B$40,MONTH(A3521)),INDEX(Settings!$B$29:$B$40,MONTH(A3521)))))</f>
        <v/>
      </c>
    </row>
    <row r="3522" customFormat="false" ht="15" hidden="false" customHeight="false" outlineLevel="0" collapsed="false">
      <c r="H3522" s="0" t="str">
        <f aca="false">IF(B3522="","",IF(COUNTIF(Campaigns!$A$7:$A$300,B3522)&gt;0,"✓","⚠ add to Campaigns tab"))</f>
        <v/>
      </c>
      <c r="I3522" s="84" t="str">
        <f aca="false">IF(C3522="","",C3522*IF(Settings!$B$22=Settings!$C$6,1,IF(Settings!$B$22="USD",1/INDEX(Settings!$B$29:$B$40,MONTH(A3522)),INDEX(Settings!$B$29:$B$40,MONTH(A3522)))))</f>
        <v/>
      </c>
    </row>
    <row r="3523" customFormat="false" ht="15" hidden="false" customHeight="false" outlineLevel="0" collapsed="false">
      <c r="H3523" s="0" t="str">
        <f aca="false">IF(B3523="","",IF(COUNTIF(Campaigns!$A$7:$A$300,B3523)&gt;0,"✓","⚠ add to Campaigns tab"))</f>
        <v/>
      </c>
      <c r="I3523" s="84" t="str">
        <f aca="false">IF(C3523="","",C3523*IF(Settings!$B$22=Settings!$C$6,1,IF(Settings!$B$22="USD",1/INDEX(Settings!$B$29:$B$40,MONTH(A3523)),INDEX(Settings!$B$29:$B$40,MONTH(A3523)))))</f>
        <v/>
      </c>
    </row>
    <row r="3524" customFormat="false" ht="15" hidden="false" customHeight="false" outlineLevel="0" collapsed="false">
      <c r="H3524" s="0" t="str">
        <f aca="false">IF(B3524="","",IF(COUNTIF(Campaigns!$A$7:$A$300,B3524)&gt;0,"✓","⚠ add to Campaigns tab"))</f>
        <v/>
      </c>
      <c r="I3524" s="84" t="str">
        <f aca="false">IF(C3524="","",C3524*IF(Settings!$B$22=Settings!$C$6,1,IF(Settings!$B$22="USD",1/INDEX(Settings!$B$29:$B$40,MONTH(A3524)),INDEX(Settings!$B$29:$B$40,MONTH(A3524)))))</f>
        <v/>
      </c>
    </row>
    <row r="3525" customFormat="false" ht="15" hidden="false" customHeight="false" outlineLevel="0" collapsed="false">
      <c r="H3525" s="0" t="str">
        <f aca="false">IF(B3525="","",IF(COUNTIF(Campaigns!$A$7:$A$300,B3525)&gt;0,"✓","⚠ add to Campaigns tab"))</f>
        <v/>
      </c>
      <c r="I3525" s="84" t="str">
        <f aca="false">IF(C3525="","",C3525*IF(Settings!$B$22=Settings!$C$6,1,IF(Settings!$B$22="USD",1/INDEX(Settings!$B$29:$B$40,MONTH(A3525)),INDEX(Settings!$B$29:$B$40,MONTH(A3525)))))</f>
        <v/>
      </c>
    </row>
    <row r="3526" customFormat="false" ht="15" hidden="false" customHeight="false" outlineLevel="0" collapsed="false">
      <c r="H3526" s="0" t="str">
        <f aca="false">IF(B3526="","",IF(COUNTIF(Campaigns!$A$7:$A$300,B3526)&gt;0,"✓","⚠ add to Campaigns tab"))</f>
        <v/>
      </c>
      <c r="I3526" s="84" t="str">
        <f aca="false">IF(C3526="","",C3526*IF(Settings!$B$22=Settings!$C$6,1,IF(Settings!$B$22="USD",1/INDEX(Settings!$B$29:$B$40,MONTH(A3526)),INDEX(Settings!$B$29:$B$40,MONTH(A3526)))))</f>
        <v/>
      </c>
    </row>
    <row r="3527" customFormat="false" ht="15" hidden="false" customHeight="false" outlineLevel="0" collapsed="false">
      <c r="H3527" s="0" t="str">
        <f aca="false">IF(B3527="","",IF(COUNTIF(Campaigns!$A$7:$A$300,B3527)&gt;0,"✓","⚠ add to Campaigns tab"))</f>
        <v/>
      </c>
      <c r="I3527" s="84" t="str">
        <f aca="false">IF(C3527="","",C3527*IF(Settings!$B$22=Settings!$C$6,1,IF(Settings!$B$22="USD",1/INDEX(Settings!$B$29:$B$40,MONTH(A3527)),INDEX(Settings!$B$29:$B$40,MONTH(A3527)))))</f>
        <v/>
      </c>
    </row>
    <row r="3528" customFormat="false" ht="15" hidden="false" customHeight="false" outlineLevel="0" collapsed="false">
      <c r="H3528" s="0" t="str">
        <f aca="false">IF(B3528="","",IF(COUNTIF(Campaigns!$A$7:$A$300,B3528)&gt;0,"✓","⚠ add to Campaigns tab"))</f>
        <v/>
      </c>
      <c r="I3528" s="84" t="str">
        <f aca="false">IF(C3528="","",C3528*IF(Settings!$B$22=Settings!$C$6,1,IF(Settings!$B$22="USD",1/INDEX(Settings!$B$29:$B$40,MONTH(A3528)),INDEX(Settings!$B$29:$B$40,MONTH(A3528)))))</f>
        <v/>
      </c>
    </row>
    <row r="3529" customFormat="false" ht="15" hidden="false" customHeight="false" outlineLevel="0" collapsed="false">
      <c r="H3529" s="0" t="str">
        <f aca="false">IF(B3529="","",IF(COUNTIF(Campaigns!$A$7:$A$300,B3529)&gt;0,"✓","⚠ add to Campaigns tab"))</f>
        <v/>
      </c>
      <c r="I3529" s="84" t="str">
        <f aca="false">IF(C3529="","",C3529*IF(Settings!$B$22=Settings!$C$6,1,IF(Settings!$B$22="USD",1/INDEX(Settings!$B$29:$B$40,MONTH(A3529)),INDEX(Settings!$B$29:$B$40,MONTH(A3529)))))</f>
        <v/>
      </c>
    </row>
    <row r="3530" customFormat="false" ht="15" hidden="false" customHeight="false" outlineLevel="0" collapsed="false">
      <c r="H3530" s="0" t="str">
        <f aca="false">IF(B3530="","",IF(COUNTIF(Campaigns!$A$7:$A$300,B3530)&gt;0,"✓","⚠ add to Campaigns tab"))</f>
        <v/>
      </c>
      <c r="I3530" s="84" t="str">
        <f aca="false">IF(C3530="","",C3530*IF(Settings!$B$22=Settings!$C$6,1,IF(Settings!$B$22="USD",1/INDEX(Settings!$B$29:$B$40,MONTH(A3530)),INDEX(Settings!$B$29:$B$40,MONTH(A3530)))))</f>
        <v/>
      </c>
    </row>
    <row r="3531" customFormat="false" ht="15" hidden="false" customHeight="false" outlineLevel="0" collapsed="false">
      <c r="H3531" s="0" t="str">
        <f aca="false">IF(B3531="","",IF(COUNTIF(Campaigns!$A$7:$A$300,B3531)&gt;0,"✓","⚠ add to Campaigns tab"))</f>
        <v/>
      </c>
      <c r="I3531" s="84" t="str">
        <f aca="false">IF(C3531="","",C3531*IF(Settings!$B$22=Settings!$C$6,1,IF(Settings!$B$22="USD",1/INDEX(Settings!$B$29:$B$40,MONTH(A3531)),INDEX(Settings!$B$29:$B$40,MONTH(A3531)))))</f>
        <v/>
      </c>
    </row>
    <row r="3532" customFormat="false" ht="15" hidden="false" customHeight="false" outlineLevel="0" collapsed="false">
      <c r="H3532" s="0" t="str">
        <f aca="false">IF(B3532="","",IF(COUNTIF(Campaigns!$A$7:$A$300,B3532)&gt;0,"✓","⚠ add to Campaigns tab"))</f>
        <v/>
      </c>
      <c r="I3532" s="84" t="str">
        <f aca="false">IF(C3532="","",C3532*IF(Settings!$B$22=Settings!$C$6,1,IF(Settings!$B$22="USD",1/INDEX(Settings!$B$29:$B$40,MONTH(A3532)),INDEX(Settings!$B$29:$B$40,MONTH(A3532)))))</f>
        <v/>
      </c>
    </row>
    <row r="3533" customFormat="false" ht="15" hidden="false" customHeight="false" outlineLevel="0" collapsed="false">
      <c r="H3533" s="0" t="str">
        <f aca="false">IF(B3533="","",IF(COUNTIF(Campaigns!$A$7:$A$300,B3533)&gt;0,"✓","⚠ add to Campaigns tab"))</f>
        <v/>
      </c>
      <c r="I3533" s="84" t="str">
        <f aca="false">IF(C3533="","",C3533*IF(Settings!$B$22=Settings!$C$6,1,IF(Settings!$B$22="USD",1/INDEX(Settings!$B$29:$B$40,MONTH(A3533)),INDEX(Settings!$B$29:$B$40,MONTH(A3533)))))</f>
        <v/>
      </c>
    </row>
    <row r="3534" customFormat="false" ht="15" hidden="false" customHeight="false" outlineLevel="0" collapsed="false">
      <c r="H3534" s="0" t="str">
        <f aca="false">IF(B3534="","",IF(COUNTIF(Campaigns!$A$7:$A$300,B3534)&gt;0,"✓","⚠ add to Campaigns tab"))</f>
        <v/>
      </c>
      <c r="I3534" s="84" t="str">
        <f aca="false">IF(C3534="","",C3534*IF(Settings!$B$22=Settings!$C$6,1,IF(Settings!$B$22="USD",1/INDEX(Settings!$B$29:$B$40,MONTH(A3534)),INDEX(Settings!$B$29:$B$40,MONTH(A3534)))))</f>
        <v/>
      </c>
    </row>
    <row r="3535" customFormat="false" ht="15" hidden="false" customHeight="false" outlineLevel="0" collapsed="false">
      <c r="H3535" s="0" t="str">
        <f aca="false">IF(B3535="","",IF(COUNTIF(Campaigns!$A$7:$A$300,B3535)&gt;0,"✓","⚠ add to Campaigns tab"))</f>
        <v/>
      </c>
      <c r="I3535" s="84" t="str">
        <f aca="false">IF(C3535="","",C3535*IF(Settings!$B$22=Settings!$C$6,1,IF(Settings!$B$22="USD",1/INDEX(Settings!$B$29:$B$40,MONTH(A3535)),INDEX(Settings!$B$29:$B$40,MONTH(A3535)))))</f>
        <v/>
      </c>
    </row>
    <row r="3536" customFormat="false" ht="15" hidden="false" customHeight="false" outlineLevel="0" collapsed="false">
      <c r="H3536" s="0" t="str">
        <f aca="false">IF(B3536="","",IF(COUNTIF(Campaigns!$A$7:$A$300,B3536)&gt;0,"✓","⚠ add to Campaigns tab"))</f>
        <v/>
      </c>
      <c r="I3536" s="84" t="str">
        <f aca="false">IF(C3536="","",C3536*IF(Settings!$B$22=Settings!$C$6,1,IF(Settings!$B$22="USD",1/INDEX(Settings!$B$29:$B$40,MONTH(A3536)),INDEX(Settings!$B$29:$B$40,MONTH(A3536)))))</f>
        <v/>
      </c>
    </row>
    <row r="3537" customFormat="false" ht="15" hidden="false" customHeight="false" outlineLevel="0" collapsed="false">
      <c r="H3537" s="0" t="str">
        <f aca="false">IF(B3537="","",IF(COUNTIF(Campaigns!$A$7:$A$300,B3537)&gt;0,"✓","⚠ add to Campaigns tab"))</f>
        <v/>
      </c>
      <c r="I3537" s="84" t="str">
        <f aca="false">IF(C3537="","",C3537*IF(Settings!$B$22=Settings!$C$6,1,IF(Settings!$B$22="USD",1/INDEX(Settings!$B$29:$B$40,MONTH(A3537)),INDEX(Settings!$B$29:$B$40,MONTH(A3537)))))</f>
        <v/>
      </c>
    </row>
    <row r="3538" customFormat="false" ht="15" hidden="false" customHeight="false" outlineLevel="0" collapsed="false">
      <c r="H3538" s="0" t="str">
        <f aca="false">IF(B3538="","",IF(COUNTIF(Campaigns!$A$7:$A$300,B3538)&gt;0,"✓","⚠ add to Campaigns tab"))</f>
        <v/>
      </c>
      <c r="I3538" s="84" t="str">
        <f aca="false">IF(C3538="","",C3538*IF(Settings!$B$22=Settings!$C$6,1,IF(Settings!$B$22="USD",1/INDEX(Settings!$B$29:$B$40,MONTH(A3538)),INDEX(Settings!$B$29:$B$40,MONTH(A3538)))))</f>
        <v/>
      </c>
    </row>
    <row r="3539" customFormat="false" ht="15" hidden="false" customHeight="false" outlineLevel="0" collapsed="false">
      <c r="H3539" s="0" t="str">
        <f aca="false">IF(B3539="","",IF(COUNTIF(Campaigns!$A$7:$A$300,B3539)&gt;0,"✓","⚠ add to Campaigns tab"))</f>
        <v/>
      </c>
      <c r="I3539" s="84" t="str">
        <f aca="false">IF(C3539="","",C3539*IF(Settings!$B$22=Settings!$C$6,1,IF(Settings!$B$22="USD",1/INDEX(Settings!$B$29:$B$40,MONTH(A3539)),INDEX(Settings!$B$29:$B$40,MONTH(A3539)))))</f>
        <v/>
      </c>
    </row>
    <row r="3540" customFormat="false" ht="15" hidden="false" customHeight="false" outlineLevel="0" collapsed="false">
      <c r="H3540" s="0" t="str">
        <f aca="false">IF(B3540="","",IF(COUNTIF(Campaigns!$A$7:$A$300,B3540)&gt;0,"✓","⚠ add to Campaigns tab"))</f>
        <v/>
      </c>
      <c r="I3540" s="84" t="str">
        <f aca="false">IF(C3540="","",C3540*IF(Settings!$B$22=Settings!$C$6,1,IF(Settings!$B$22="USD",1/INDEX(Settings!$B$29:$B$40,MONTH(A3540)),INDEX(Settings!$B$29:$B$40,MONTH(A3540)))))</f>
        <v/>
      </c>
    </row>
    <row r="3541" customFormat="false" ht="15" hidden="false" customHeight="false" outlineLevel="0" collapsed="false">
      <c r="H3541" s="0" t="str">
        <f aca="false">IF(B3541="","",IF(COUNTIF(Campaigns!$A$7:$A$300,B3541)&gt;0,"✓","⚠ add to Campaigns tab"))</f>
        <v/>
      </c>
      <c r="I3541" s="84" t="str">
        <f aca="false">IF(C3541="","",C3541*IF(Settings!$B$22=Settings!$C$6,1,IF(Settings!$B$22="USD",1/INDEX(Settings!$B$29:$B$40,MONTH(A3541)),INDEX(Settings!$B$29:$B$40,MONTH(A3541)))))</f>
        <v/>
      </c>
    </row>
    <row r="3542" customFormat="false" ht="15" hidden="false" customHeight="false" outlineLevel="0" collapsed="false">
      <c r="H3542" s="0" t="str">
        <f aca="false">IF(B3542="","",IF(COUNTIF(Campaigns!$A$7:$A$300,B3542)&gt;0,"✓","⚠ add to Campaigns tab"))</f>
        <v/>
      </c>
      <c r="I3542" s="84" t="str">
        <f aca="false">IF(C3542="","",C3542*IF(Settings!$B$22=Settings!$C$6,1,IF(Settings!$B$22="USD",1/INDEX(Settings!$B$29:$B$40,MONTH(A3542)),INDEX(Settings!$B$29:$B$40,MONTH(A3542)))))</f>
        <v/>
      </c>
    </row>
    <row r="3543" customFormat="false" ht="15" hidden="false" customHeight="false" outlineLevel="0" collapsed="false">
      <c r="H3543" s="0" t="str">
        <f aca="false">IF(B3543="","",IF(COUNTIF(Campaigns!$A$7:$A$300,B3543)&gt;0,"✓","⚠ add to Campaigns tab"))</f>
        <v/>
      </c>
      <c r="I3543" s="84" t="str">
        <f aca="false">IF(C3543="","",C3543*IF(Settings!$B$22=Settings!$C$6,1,IF(Settings!$B$22="USD",1/INDEX(Settings!$B$29:$B$40,MONTH(A3543)),INDEX(Settings!$B$29:$B$40,MONTH(A3543)))))</f>
        <v/>
      </c>
    </row>
    <row r="3544" customFormat="false" ht="15" hidden="false" customHeight="false" outlineLevel="0" collapsed="false">
      <c r="H3544" s="0" t="str">
        <f aca="false">IF(B3544="","",IF(COUNTIF(Campaigns!$A$7:$A$300,B3544)&gt;0,"✓","⚠ add to Campaigns tab"))</f>
        <v/>
      </c>
      <c r="I3544" s="84" t="str">
        <f aca="false">IF(C3544="","",C3544*IF(Settings!$B$22=Settings!$C$6,1,IF(Settings!$B$22="USD",1/INDEX(Settings!$B$29:$B$40,MONTH(A3544)),INDEX(Settings!$B$29:$B$40,MONTH(A3544)))))</f>
        <v/>
      </c>
    </row>
    <row r="3545" customFormat="false" ht="15" hidden="false" customHeight="false" outlineLevel="0" collapsed="false">
      <c r="H3545" s="0" t="str">
        <f aca="false">IF(B3545="","",IF(COUNTIF(Campaigns!$A$7:$A$300,B3545)&gt;0,"✓","⚠ add to Campaigns tab"))</f>
        <v/>
      </c>
      <c r="I3545" s="84" t="str">
        <f aca="false">IF(C3545="","",C3545*IF(Settings!$B$22=Settings!$C$6,1,IF(Settings!$B$22="USD",1/INDEX(Settings!$B$29:$B$40,MONTH(A3545)),INDEX(Settings!$B$29:$B$40,MONTH(A3545)))))</f>
        <v/>
      </c>
    </row>
    <row r="3546" customFormat="false" ht="15" hidden="false" customHeight="false" outlineLevel="0" collapsed="false">
      <c r="H3546" s="0" t="str">
        <f aca="false">IF(B3546="","",IF(COUNTIF(Campaigns!$A$7:$A$300,B3546)&gt;0,"✓","⚠ add to Campaigns tab"))</f>
        <v/>
      </c>
      <c r="I3546" s="84" t="str">
        <f aca="false">IF(C3546="","",C3546*IF(Settings!$B$22=Settings!$C$6,1,IF(Settings!$B$22="USD",1/INDEX(Settings!$B$29:$B$40,MONTH(A3546)),INDEX(Settings!$B$29:$B$40,MONTH(A3546)))))</f>
        <v/>
      </c>
    </row>
    <row r="3547" customFormat="false" ht="15" hidden="false" customHeight="false" outlineLevel="0" collapsed="false">
      <c r="H3547" s="0" t="str">
        <f aca="false">IF(B3547="","",IF(COUNTIF(Campaigns!$A$7:$A$300,B3547)&gt;0,"✓","⚠ add to Campaigns tab"))</f>
        <v/>
      </c>
      <c r="I3547" s="84" t="str">
        <f aca="false">IF(C3547="","",C3547*IF(Settings!$B$22=Settings!$C$6,1,IF(Settings!$B$22="USD",1/INDEX(Settings!$B$29:$B$40,MONTH(A3547)),INDEX(Settings!$B$29:$B$40,MONTH(A3547)))))</f>
        <v/>
      </c>
    </row>
    <row r="3548" customFormat="false" ht="15" hidden="false" customHeight="false" outlineLevel="0" collapsed="false">
      <c r="H3548" s="0" t="str">
        <f aca="false">IF(B3548="","",IF(COUNTIF(Campaigns!$A$7:$A$300,B3548)&gt;0,"✓","⚠ add to Campaigns tab"))</f>
        <v/>
      </c>
      <c r="I3548" s="84" t="str">
        <f aca="false">IF(C3548="","",C3548*IF(Settings!$B$22=Settings!$C$6,1,IF(Settings!$B$22="USD",1/INDEX(Settings!$B$29:$B$40,MONTH(A3548)),INDEX(Settings!$B$29:$B$40,MONTH(A3548)))))</f>
        <v/>
      </c>
    </row>
    <row r="3549" customFormat="false" ht="15" hidden="false" customHeight="false" outlineLevel="0" collapsed="false">
      <c r="H3549" s="0" t="str">
        <f aca="false">IF(B3549="","",IF(COUNTIF(Campaigns!$A$7:$A$300,B3549)&gt;0,"✓","⚠ add to Campaigns tab"))</f>
        <v/>
      </c>
      <c r="I3549" s="84" t="str">
        <f aca="false">IF(C3549="","",C3549*IF(Settings!$B$22=Settings!$C$6,1,IF(Settings!$B$22="USD",1/INDEX(Settings!$B$29:$B$40,MONTH(A3549)),INDEX(Settings!$B$29:$B$40,MONTH(A3549)))))</f>
        <v/>
      </c>
    </row>
    <row r="3550" customFormat="false" ht="15" hidden="false" customHeight="false" outlineLevel="0" collapsed="false">
      <c r="H3550" s="0" t="str">
        <f aca="false">IF(B3550="","",IF(COUNTIF(Campaigns!$A$7:$A$300,B3550)&gt;0,"✓","⚠ add to Campaigns tab"))</f>
        <v/>
      </c>
      <c r="I3550" s="84" t="str">
        <f aca="false">IF(C3550="","",C3550*IF(Settings!$B$22=Settings!$C$6,1,IF(Settings!$B$22="USD",1/INDEX(Settings!$B$29:$B$40,MONTH(A3550)),INDEX(Settings!$B$29:$B$40,MONTH(A3550)))))</f>
        <v/>
      </c>
    </row>
    <row r="3551" customFormat="false" ht="15" hidden="false" customHeight="false" outlineLevel="0" collapsed="false">
      <c r="H3551" s="0" t="str">
        <f aca="false">IF(B3551="","",IF(COUNTIF(Campaigns!$A$7:$A$300,B3551)&gt;0,"✓","⚠ add to Campaigns tab"))</f>
        <v/>
      </c>
      <c r="I3551" s="84" t="str">
        <f aca="false">IF(C3551="","",C3551*IF(Settings!$B$22=Settings!$C$6,1,IF(Settings!$B$22="USD",1/INDEX(Settings!$B$29:$B$40,MONTH(A3551)),INDEX(Settings!$B$29:$B$40,MONTH(A3551)))))</f>
        <v/>
      </c>
    </row>
    <row r="3552" customFormat="false" ht="15" hidden="false" customHeight="false" outlineLevel="0" collapsed="false">
      <c r="H3552" s="0" t="str">
        <f aca="false">IF(B3552="","",IF(COUNTIF(Campaigns!$A$7:$A$300,B3552)&gt;0,"✓","⚠ add to Campaigns tab"))</f>
        <v/>
      </c>
      <c r="I3552" s="84" t="str">
        <f aca="false">IF(C3552="","",C3552*IF(Settings!$B$22=Settings!$C$6,1,IF(Settings!$B$22="USD",1/INDEX(Settings!$B$29:$B$40,MONTH(A3552)),INDEX(Settings!$B$29:$B$40,MONTH(A3552)))))</f>
        <v/>
      </c>
    </row>
    <row r="3553" customFormat="false" ht="15" hidden="false" customHeight="false" outlineLevel="0" collapsed="false">
      <c r="H3553" s="0" t="str">
        <f aca="false">IF(B3553="","",IF(COUNTIF(Campaigns!$A$7:$A$300,B3553)&gt;0,"✓","⚠ add to Campaigns tab"))</f>
        <v/>
      </c>
      <c r="I3553" s="84" t="str">
        <f aca="false">IF(C3553="","",C3553*IF(Settings!$B$22=Settings!$C$6,1,IF(Settings!$B$22="USD",1/INDEX(Settings!$B$29:$B$40,MONTH(A3553)),INDEX(Settings!$B$29:$B$40,MONTH(A3553)))))</f>
        <v/>
      </c>
    </row>
    <row r="3554" customFormat="false" ht="15" hidden="false" customHeight="false" outlineLevel="0" collapsed="false">
      <c r="H3554" s="0" t="str">
        <f aca="false">IF(B3554="","",IF(COUNTIF(Campaigns!$A$7:$A$300,B3554)&gt;0,"✓","⚠ add to Campaigns tab"))</f>
        <v/>
      </c>
      <c r="I3554" s="84" t="str">
        <f aca="false">IF(C3554="","",C3554*IF(Settings!$B$22=Settings!$C$6,1,IF(Settings!$B$22="USD",1/INDEX(Settings!$B$29:$B$40,MONTH(A3554)),INDEX(Settings!$B$29:$B$40,MONTH(A3554)))))</f>
        <v/>
      </c>
    </row>
    <row r="3555" customFormat="false" ht="15" hidden="false" customHeight="false" outlineLevel="0" collapsed="false">
      <c r="H3555" s="0" t="str">
        <f aca="false">IF(B3555="","",IF(COUNTIF(Campaigns!$A$7:$A$300,B3555)&gt;0,"✓","⚠ add to Campaigns tab"))</f>
        <v/>
      </c>
      <c r="I3555" s="84" t="str">
        <f aca="false">IF(C3555="","",C3555*IF(Settings!$B$22=Settings!$C$6,1,IF(Settings!$B$22="USD",1/INDEX(Settings!$B$29:$B$40,MONTH(A3555)),INDEX(Settings!$B$29:$B$40,MONTH(A3555)))))</f>
        <v/>
      </c>
    </row>
    <row r="3556" customFormat="false" ht="15" hidden="false" customHeight="false" outlineLevel="0" collapsed="false">
      <c r="H3556" s="0" t="str">
        <f aca="false">IF(B3556="","",IF(COUNTIF(Campaigns!$A$7:$A$300,B3556)&gt;0,"✓","⚠ add to Campaigns tab"))</f>
        <v/>
      </c>
      <c r="I3556" s="84" t="str">
        <f aca="false">IF(C3556="","",C3556*IF(Settings!$B$22=Settings!$C$6,1,IF(Settings!$B$22="USD",1/INDEX(Settings!$B$29:$B$40,MONTH(A3556)),INDEX(Settings!$B$29:$B$40,MONTH(A3556)))))</f>
        <v/>
      </c>
    </row>
    <row r="3557" customFormat="false" ht="15" hidden="false" customHeight="false" outlineLevel="0" collapsed="false">
      <c r="H3557" s="0" t="str">
        <f aca="false">IF(B3557="","",IF(COUNTIF(Campaigns!$A$7:$A$300,B3557)&gt;0,"✓","⚠ add to Campaigns tab"))</f>
        <v/>
      </c>
      <c r="I3557" s="84" t="str">
        <f aca="false">IF(C3557="","",C3557*IF(Settings!$B$22=Settings!$C$6,1,IF(Settings!$B$22="USD",1/INDEX(Settings!$B$29:$B$40,MONTH(A3557)),INDEX(Settings!$B$29:$B$40,MONTH(A3557)))))</f>
        <v/>
      </c>
    </row>
    <row r="3558" customFormat="false" ht="15" hidden="false" customHeight="false" outlineLevel="0" collapsed="false">
      <c r="H3558" s="0" t="str">
        <f aca="false">IF(B3558="","",IF(COUNTIF(Campaigns!$A$7:$A$300,B3558)&gt;0,"✓","⚠ add to Campaigns tab"))</f>
        <v/>
      </c>
      <c r="I3558" s="84" t="str">
        <f aca="false">IF(C3558="","",C3558*IF(Settings!$B$22=Settings!$C$6,1,IF(Settings!$B$22="USD",1/INDEX(Settings!$B$29:$B$40,MONTH(A3558)),INDEX(Settings!$B$29:$B$40,MONTH(A3558)))))</f>
        <v/>
      </c>
    </row>
    <row r="3559" customFormat="false" ht="15" hidden="false" customHeight="false" outlineLevel="0" collapsed="false">
      <c r="H3559" s="0" t="str">
        <f aca="false">IF(B3559="","",IF(COUNTIF(Campaigns!$A$7:$A$300,B3559)&gt;0,"✓","⚠ add to Campaigns tab"))</f>
        <v/>
      </c>
      <c r="I3559" s="84" t="str">
        <f aca="false">IF(C3559="","",C3559*IF(Settings!$B$22=Settings!$C$6,1,IF(Settings!$B$22="USD",1/INDEX(Settings!$B$29:$B$40,MONTH(A3559)),INDEX(Settings!$B$29:$B$40,MONTH(A3559)))))</f>
        <v/>
      </c>
    </row>
    <row r="3560" customFormat="false" ht="15" hidden="false" customHeight="false" outlineLevel="0" collapsed="false">
      <c r="H3560" s="0" t="str">
        <f aca="false">IF(B3560="","",IF(COUNTIF(Campaigns!$A$7:$A$300,B3560)&gt;0,"✓","⚠ add to Campaigns tab"))</f>
        <v/>
      </c>
      <c r="I3560" s="84" t="str">
        <f aca="false">IF(C3560="","",C3560*IF(Settings!$B$22=Settings!$C$6,1,IF(Settings!$B$22="USD",1/INDEX(Settings!$B$29:$B$40,MONTH(A3560)),INDEX(Settings!$B$29:$B$40,MONTH(A3560)))))</f>
        <v/>
      </c>
    </row>
    <row r="3561" customFormat="false" ht="15" hidden="false" customHeight="false" outlineLevel="0" collapsed="false">
      <c r="H3561" s="0" t="str">
        <f aca="false">IF(B3561="","",IF(COUNTIF(Campaigns!$A$7:$A$300,B3561)&gt;0,"✓","⚠ add to Campaigns tab"))</f>
        <v/>
      </c>
      <c r="I3561" s="84" t="str">
        <f aca="false">IF(C3561="","",C3561*IF(Settings!$B$22=Settings!$C$6,1,IF(Settings!$B$22="USD",1/INDEX(Settings!$B$29:$B$40,MONTH(A3561)),INDEX(Settings!$B$29:$B$40,MONTH(A3561)))))</f>
        <v/>
      </c>
    </row>
    <row r="3562" customFormat="false" ht="15" hidden="false" customHeight="false" outlineLevel="0" collapsed="false">
      <c r="H3562" s="0" t="str">
        <f aca="false">IF(B3562="","",IF(COUNTIF(Campaigns!$A$7:$A$300,B3562)&gt;0,"✓","⚠ add to Campaigns tab"))</f>
        <v/>
      </c>
      <c r="I3562" s="84" t="str">
        <f aca="false">IF(C3562="","",C3562*IF(Settings!$B$22=Settings!$C$6,1,IF(Settings!$B$22="USD",1/INDEX(Settings!$B$29:$B$40,MONTH(A3562)),INDEX(Settings!$B$29:$B$40,MONTH(A3562)))))</f>
        <v/>
      </c>
    </row>
    <row r="3563" customFormat="false" ht="15" hidden="false" customHeight="false" outlineLevel="0" collapsed="false">
      <c r="H3563" s="0" t="str">
        <f aca="false">IF(B3563="","",IF(COUNTIF(Campaigns!$A$7:$A$300,B3563)&gt;0,"✓","⚠ add to Campaigns tab"))</f>
        <v/>
      </c>
      <c r="I3563" s="84" t="str">
        <f aca="false">IF(C3563="","",C3563*IF(Settings!$B$22=Settings!$C$6,1,IF(Settings!$B$22="USD",1/INDEX(Settings!$B$29:$B$40,MONTH(A3563)),INDEX(Settings!$B$29:$B$40,MONTH(A3563)))))</f>
        <v/>
      </c>
    </row>
    <row r="3564" customFormat="false" ht="15" hidden="false" customHeight="false" outlineLevel="0" collapsed="false">
      <c r="H3564" s="0" t="str">
        <f aca="false">IF(B3564="","",IF(COUNTIF(Campaigns!$A$7:$A$300,B3564)&gt;0,"✓","⚠ add to Campaigns tab"))</f>
        <v/>
      </c>
      <c r="I3564" s="84" t="str">
        <f aca="false">IF(C3564="","",C3564*IF(Settings!$B$22=Settings!$C$6,1,IF(Settings!$B$22="USD",1/INDEX(Settings!$B$29:$B$40,MONTH(A3564)),INDEX(Settings!$B$29:$B$40,MONTH(A3564)))))</f>
        <v/>
      </c>
    </row>
    <row r="3565" customFormat="false" ht="15" hidden="false" customHeight="false" outlineLevel="0" collapsed="false">
      <c r="H3565" s="0" t="str">
        <f aca="false">IF(B3565="","",IF(COUNTIF(Campaigns!$A$7:$A$300,B3565)&gt;0,"✓","⚠ add to Campaigns tab"))</f>
        <v/>
      </c>
      <c r="I3565" s="84" t="str">
        <f aca="false">IF(C3565="","",C3565*IF(Settings!$B$22=Settings!$C$6,1,IF(Settings!$B$22="USD",1/INDEX(Settings!$B$29:$B$40,MONTH(A3565)),INDEX(Settings!$B$29:$B$40,MONTH(A3565)))))</f>
        <v/>
      </c>
    </row>
    <row r="3566" customFormat="false" ht="15" hidden="false" customHeight="false" outlineLevel="0" collapsed="false">
      <c r="H3566" s="0" t="str">
        <f aca="false">IF(B3566="","",IF(COUNTIF(Campaigns!$A$7:$A$300,B3566)&gt;0,"✓","⚠ add to Campaigns tab"))</f>
        <v/>
      </c>
      <c r="I3566" s="84" t="str">
        <f aca="false">IF(C3566="","",C3566*IF(Settings!$B$22=Settings!$C$6,1,IF(Settings!$B$22="USD",1/INDEX(Settings!$B$29:$B$40,MONTH(A3566)),INDEX(Settings!$B$29:$B$40,MONTH(A3566)))))</f>
        <v/>
      </c>
    </row>
    <row r="3567" customFormat="false" ht="15" hidden="false" customHeight="false" outlineLevel="0" collapsed="false">
      <c r="H3567" s="0" t="str">
        <f aca="false">IF(B3567="","",IF(COUNTIF(Campaigns!$A$7:$A$300,B3567)&gt;0,"✓","⚠ add to Campaigns tab"))</f>
        <v/>
      </c>
      <c r="I3567" s="84" t="str">
        <f aca="false">IF(C3567="","",C3567*IF(Settings!$B$22=Settings!$C$6,1,IF(Settings!$B$22="USD",1/INDEX(Settings!$B$29:$B$40,MONTH(A3567)),INDEX(Settings!$B$29:$B$40,MONTH(A3567)))))</f>
        <v/>
      </c>
    </row>
    <row r="3568" customFormat="false" ht="15" hidden="false" customHeight="false" outlineLevel="0" collapsed="false">
      <c r="H3568" s="0" t="str">
        <f aca="false">IF(B3568="","",IF(COUNTIF(Campaigns!$A$7:$A$300,B3568)&gt;0,"✓","⚠ add to Campaigns tab"))</f>
        <v/>
      </c>
      <c r="I3568" s="84" t="str">
        <f aca="false">IF(C3568="","",C3568*IF(Settings!$B$22=Settings!$C$6,1,IF(Settings!$B$22="USD",1/INDEX(Settings!$B$29:$B$40,MONTH(A3568)),INDEX(Settings!$B$29:$B$40,MONTH(A3568)))))</f>
        <v/>
      </c>
    </row>
    <row r="3569" customFormat="false" ht="15" hidden="false" customHeight="false" outlineLevel="0" collapsed="false">
      <c r="H3569" s="0" t="str">
        <f aca="false">IF(B3569="","",IF(COUNTIF(Campaigns!$A$7:$A$300,B3569)&gt;0,"✓","⚠ add to Campaigns tab"))</f>
        <v/>
      </c>
      <c r="I3569" s="84" t="str">
        <f aca="false">IF(C3569="","",C3569*IF(Settings!$B$22=Settings!$C$6,1,IF(Settings!$B$22="USD",1/INDEX(Settings!$B$29:$B$40,MONTH(A3569)),INDEX(Settings!$B$29:$B$40,MONTH(A3569)))))</f>
        <v/>
      </c>
    </row>
    <row r="3570" customFormat="false" ht="15" hidden="false" customHeight="false" outlineLevel="0" collapsed="false">
      <c r="H3570" s="0" t="str">
        <f aca="false">IF(B3570="","",IF(COUNTIF(Campaigns!$A$7:$A$300,B3570)&gt;0,"✓","⚠ add to Campaigns tab"))</f>
        <v/>
      </c>
      <c r="I3570" s="84" t="str">
        <f aca="false">IF(C3570="","",C3570*IF(Settings!$B$22=Settings!$C$6,1,IF(Settings!$B$22="USD",1/INDEX(Settings!$B$29:$B$40,MONTH(A3570)),INDEX(Settings!$B$29:$B$40,MONTH(A3570)))))</f>
        <v/>
      </c>
    </row>
    <row r="3571" customFormat="false" ht="15" hidden="false" customHeight="false" outlineLevel="0" collapsed="false">
      <c r="H3571" s="0" t="str">
        <f aca="false">IF(B3571="","",IF(COUNTIF(Campaigns!$A$7:$A$300,B3571)&gt;0,"✓","⚠ add to Campaigns tab"))</f>
        <v/>
      </c>
      <c r="I3571" s="84" t="str">
        <f aca="false">IF(C3571="","",C3571*IF(Settings!$B$22=Settings!$C$6,1,IF(Settings!$B$22="USD",1/INDEX(Settings!$B$29:$B$40,MONTH(A3571)),INDEX(Settings!$B$29:$B$40,MONTH(A3571)))))</f>
        <v/>
      </c>
    </row>
    <row r="3572" customFormat="false" ht="15" hidden="false" customHeight="false" outlineLevel="0" collapsed="false">
      <c r="H3572" s="0" t="str">
        <f aca="false">IF(B3572="","",IF(COUNTIF(Campaigns!$A$7:$A$300,B3572)&gt;0,"✓","⚠ add to Campaigns tab"))</f>
        <v/>
      </c>
      <c r="I3572" s="84" t="str">
        <f aca="false">IF(C3572="","",C3572*IF(Settings!$B$22=Settings!$C$6,1,IF(Settings!$B$22="USD",1/INDEX(Settings!$B$29:$B$40,MONTH(A3572)),INDEX(Settings!$B$29:$B$40,MONTH(A3572)))))</f>
        <v/>
      </c>
    </row>
    <row r="3573" customFormat="false" ht="15" hidden="false" customHeight="false" outlineLevel="0" collapsed="false">
      <c r="H3573" s="0" t="str">
        <f aca="false">IF(B3573="","",IF(COUNTIF(Campaigns!$A$7:$A$300,B3573)&gt;0,"✓","⚠ add to Campaigns tab"))</f>
        <v/>
      </c>
      <c r="I3573" s="84" t="str">
        <f aca="false">IF(C3573="","",C3573*IF(Settings!$B$22=Settings!$C$6,1,IF(Settings!$B$22="USD",1/INDEX(Settings!$B$29:$B$40,MONTH(A3573)),INDEX(Settings!$B$29:$B$40,MONTH(A3573)))))</f>
        <v/>
      </c>
    </row>
    <row r="3574" customFormat="false" ht="15" hidden="false" customHeight="false" outlineLevel="0" collapsed="false">
      <c r="H3574" s="0" t="str">
        <f aca="false">IF(B3574="","",IF(COUNTIF(Campaigns!$A$7:$A$300,B3574)&gt;0,"✓","⚠ add to Campaigns tab"))</f>
        <v/>
      </c>
      <c r="I3574" s="84" t="str">
        <f aca="false">IF(C3574="","",C3574*IF(Settings!$B$22=Settings!$C$6,1,IF(Settings!$B$22="USD",1/INDEX(Settings!$B$29:$B$40,MONTH(A3574)),INDEX(Settings!$B$29:$B$40,MONTH(A3574)))))</f>
        <v/>
      </c>
    </row>
    <row r="3575" customFormat="false" ht="15" hidden="false" customHeight="false" outlineLevel="0" collapsed="false">
      <c r="H3575" s="0" t="str">
        <f aca="false">IF(B3575="","",IF(COUNTIF(Campaigns!$A$7:$A$300,B3575)&gt;0,"✓","⚠ add to Campaigns tab"))</f>
        <v/>
      </c>
      <c r="I3575" s="84" t="str">
        <f aca="false">IF(C3575="","",C3575*IF(Settings!$B$22=Settings!$C$6,1,IF(Settings!$B$22="USD",1/INDEX(Settings!$B$29:$B$40,MONTH(A3575)),INDEX(Settings!$B$29:$B$40,MONTH(A3575)))))</f>
        <v/>
      </c>
    </row>
    <row r="3576" customFormat="false" ht="15" hidden="false" customHeight="false" outlineLevel="0" collapsed="false">
      <c r="H3576" s="0" t="str">
        <f aca="false">IF(B3576="","",IF(COUNTIF(Campaigns!$A$7:$A$300,B3576)&gt;0,"✓","⚠ add to Campaigns tab"))</f>
        <v/>
      </c>
      <c r="I3576" s="84" t="str">
        <f aca="false">IF(C3576="","",C3576*IF(Settings!$B$22=Settings!$C$6,1,IF(Settings!$B$22="USD",1/INDEX(Settings!$B$29:$B$40,MONTH(A3576)),INDEX(Settings!$B$29:$B$40,MONTH(A3576)))))</f>
        <v/>
      </c>
    </row>
    <row r="3577" customFormat="false" ht="15" hidden="false" customHeight="false" outlineLevel="0" collapsed="false">
      <c r="H3577" s="0" t="str">
        <f aca="false">IF(B3577="","",IF(COUNTIF(Campaigns!$A$7:$A$300,B3577)&gt;0,"✓","⚠ add to Campaigns tab"))</f>
        <v/>
      </c>
      <c r="I3577" s="84" t="str">
        <f aca="false">IF(C3577="","",C3577*IF(Settings!$B$22=Settings!$C$6,1,IF(Settings!$B$22="USD",1/INDEX(Settings!$B$29:$B$40,MONTH(A3577)),INDEX(Settings!$B$29:$B$40,MONTH(A3577)))))</f>
        <v/>
      </c>
    </row>
    <row r="3578" customFormat="false" ht="15" hidden="false" customHeight="false" outlineLevel="0" collapsed="false">
      <c r="H3578" s="0" t="str">
        <f aca="false">IF(B3578="","",IF(COUNTIF(Campaigns!$A$7:$A$300,B3578)&gt;0,"✓","⚠ add to Campaigns tab"))</f>
        <v/>
      </c>
      <c r="I3578" s="84" t="str">
        <f aca="false">IF(C3578="","",C3578*IF(Settings!$B$22=Settings!$C$6,1,IF(Settings!$B$22="USD",1/INDEX(Settings!$B$29:$B$40,MONTH(A3578)),INDEX(Settings!$B$29:$B$40,MONTH(A3578)))))</f>
        <v/>
      </c>
    </row>
    <row r="3579" customFormat="false" ht="15" hidden="false" customHeight="false" outlineLevel="0" collapsed="false">
      <c r="H3579" s="0" t="str">
        <f aca="false">IF(B3579="","",IF(COUNTIF(Campaigns!$A$7:$A$300,B3579)&gt;0,"✓","⚠ add to Campaigns tab"))</f>
        <v/>
      </c>
      <c r="I3579" s="84" t="str">
        <f aca="false">IF(C3579="","",C3579*IF(Settings!$B$22=Settings!$C$6,1,IF(Settings!$B$22="USD",1/INDEX(Settings!$B$29:$B$40,MONTH(A3579)),INDEX(Settings!$B$29:$B$40,MONTH(A3579)))))</f>
        <v/>
      </c>
    </row>
    <row r="3580" customFormat="false" ht="15" hidden="false" customHeight="false" outlineLevel="0" collapsed="false">
      <c r="H3580" s="0" t="str">
        <f aca="false">IF(B3580="","",IF(COUNTIF(Campaigns!$A$7:$A$300,B3580)&gt;0,"✓","⚠ add to Campaigns tab"))</f>
        <v/>
      </c>
      <c r="I3580" s="84" t="str">
        <f aca="false">IF(C3580="","",C3580*IF(Settings!$B$22=Settings!$C$6,1,IF(Settings!$B$22="USD",1/INDEX(Settings!$B$29:$B$40,MONTH(A3580)),INDEX(Settings!$B$29:$B$40,MONTH(A3580)))))</f>
        <v/>
      </c>
    </row>
    <row r="3581" customFormat="false" ht="15" hidden="false" customHeight="false" outlineLevel="0" collapsed="false">
      <c r="H3581" s="0" t="str">
        <f aca="false">IF(B3581="","",IF(COUNTIF(Campaigns!$A$7:$A$300,B3581)&gt;0,"✓","⚠ add to Campaigns tab"))</f>
        <v/>
      </c>
      <c r="I3581" s="84" t="str">
        <f aca="false">IF(C3581="","",C3581*IF(Settings!$B$22=Settings!$C$6,1,IF(Settings!$B$22="USD",1/INDEX(Settings!$B$29:$B$40,MONTH(A3581)),INDEX(Settings!$B$29:$B$40,MONTH(A3581)))))</f>
        <v/>
      </c>
    </row>
    <row r="3582" customFormat="false" ht="15" hidden="false" customHeight="false" outlineLevel="0" collapsed="false">
      <c r="H3582" s="0" t="str">
        <f aca="false">IF(B3582="","",IF(COUNTIF(Campaigns!$A$7:$A$300,B3582)&gt;0,"✓","⚠ add to Campaigns tab"))</f>
        <v/>
      </c>
      <c r="I3582" s="84" t="str">
        <f aca="false">IF(C3582="","",C3582*IF(Settings!$B$22=Settings!$C$6,1,IF(Settings!$B$22="USD",1/INDEX(Settings!$B$29:$B$40,MONTH(A3582)),INDEX(Settings!$B$29:$B$40,MONTH(A3582)))))</f>
        <v/>
      </c>
    </row>
    <row r="3583" customFormat="false" ht="15" hidden="false" customHeight="false" outlineLevel="0" collapsed="false">
      <c r="H3583" s="0" t="str">
        <f aca="false">IF(B3583="","",IF(COUNTIF(Campaigns!$A$7:$A$300,B3583)&gt;0,"✓","⚠ add to Campaigns tab"))</f>
        <v/>
      </c>
      <c r="I3583" s="84" t="str">
        <f aca="false">IF(C3583="","",C3583*IF(Settings!$B$22=Settings!$C$6,1,IF(Settings!$B$22="USD",1/INDEX(Settings!$B$29:$B$40,MONTH(A3583)),INDEX(Settings!$B$29:$B$40,MONTH(A3583)))))</f>
        <v/>
      </c>
    </row>
    <row r="3584" customFormat="false" ht="15" hidden="false" customHeight="false" outlineLevel="0" collapsed="false">
      <c r="H3584" s="0" t="str">
        <f aca="false">IF(B3584="","",IF(COUNTIF(Campaigns!$A$7:$A$300,B3584)&gt;0,"✓","⚠ add to Campaigns tab"))</f>
        <v/>
      </c>
      <c r="I3584" s="84" t="str">
        <f aca="false">IF(C3584="","",C3584*IF(Settings!$B$22=Settings!$C$6,1,IF(Settings!$B$22="USD",1/INDEX(Settings!$B$29:$B$40,MONTH(A3584)),INDEX(Settings!$B$29:$B$40,MONTH(A3584)))))</f>
        <v/>
      </c>
    </row>
    <row r="3585" customFormat="false" ht="15" hidden="false" customHeight="false" outlineLevel="0" collapsed="false">
      <c r="H3585" s="0" t="str">
        <f aca="false">IF(B3585="","",IF(COUNTIF(Campaigns!$A$7:$A$300,B3585)&gt;0,"✓","⚠ add to Campaigns tab"))</f>
        <v/>
      </c>
      <c r="I3585" s="84" t="str">
        <f aca="false">IF(C3585="","",C3585*IF(Settings!$B$22=Settings!$C$6,1,IF(Settings!$B$22="USD",1/INDEX(Settings!$B$29:$B$40,MONTH(A3585)),INDEX(Settings!$B$29:$B$40,MONTH(A3585)))))</f>
        <v/>
      </c>
    </row>
    <row r="3586" customFormat="false" ht="15" hidden="false" customHeight="false" outlineLevel="0" collapsed="false">
      <c r="H3586" s="0" t="str">
        <f aca="false">IF(B3586="","",IF(COUNTIF(Campaigns!$A$7:$A$300,B3586)&gt;0,"✓","⚠ add to Campaigns tab"))</f>
        <v/>
      </c>
      <c r="I3586" s="84" t="str">
        <f aca="false">IF(C3586="","",C3586*IF(Settings!$B$22=Settings!$C$6,1,IF(Settings!$B$22="USD",1/INDEX(Settings!$B$29:$B$40,MONTH(A3586)),INDEX(Settings!$B$29:$B$40,MONTH(A3586)))))</f>
        <v/>
      </c>
    </row>
    <row r="3587" customFormat="false" ht="15" hidden="false" customHeight="false" outlineLevel="0" collapsed="false">
      <c r="H3587" s="0" t="str">
        <f aca="false">IF(B3587="","",IF(COUNTIF(Campaigns!$A$7:$A$300,B3587)&gt;0,"✓","⚠ add to Campaigns tab"))</f>
        <v/>
      </c>
      <c r="I3587" s="84" t="str">
        <f aca="false">IF(C3587="","",C3587*IF(Settings!$B$22=Settings!$C$6,1,IF(Settings!$B$22="USD",1/INDEX(Settings!$B$29:$B$40,MONTH(A3587)),INDEX(Settings!$B$29:$B$40,MONTH(A3587)))))</f>
        <v/>
      </c>
    </row>
    <row r="3588" customFormat="false" ht="15" hidden="false" customHeight="false" outlineLevel="0" collapsed="false">
      <c r="H3588" s="0" t="str">
        <f aca="false">IF(B3588="","",IF(COUNTIF(Campaigns!$A$7:$A$300,B3588)&gt;0,"✓","⚠ add to Campaigns tab"))</f>
        <v/>
      </c>
      <c r="I3588" s="84" t="str">
        <f aca="false">IF(C3588="","",C3588*IF(Settings!$B$22=Settings!$C$6,1,IF(Settings!$B$22="USD",1/INDEX(Settings!$B$29:$B$40,MONTH(A3588)),INDEX(Settings!$B$29:$B$40,MONTH(A3588)))))</f>
        <v/>
      </c>
    </row>
    <row r="3589" customFormat="false" ht="15" hidden="false" customHeight="false" outlineLevel="0" collapsed="false">
      <c r="H3589" s="0" t="str">
        <f aca="false">IF(B3589="","",IF(COUNTIF(Campaigns!$A$7:$A$300,B3589)&gt;0,"✓","⚠ add to Campaigns tab"))</f>
        <v/>
      </c>
      <c r="I3589" s="84" t="str">
        <f aca="false">IF(C3589="","",C3589*IF(Settings!$B$22=Settings!$C$6,1,IF(Settings!$B$22="USD",1/INDEX(Settings!$B$29:$B$40,MONTH(A3589)),INDEX(Settings!$B$29:$B$40,MONTH(A3589)))))</f>
        <v/>
      </c>
    </row>
    <row r="3590" customFormat="false" ht="15" hidden="false" customHeight="false" outlineLevel="0" collapsed="false">
      <c r="H3590" s="0" t="str">
        <f aca="false">IF(B3590="","",IF(COUNTIF(Campaigns!$A$7:$A$300,B3590)&gt;0,"✓","⚠ add to Campaigns tab"))</f>
        <v/>
      </c>
      <c r="I3590" s="84" t="str">
        <f aca="false">IF(C3590="","",C3590*IF(Settings!$B$22=Settings!$C$6,1,IF(Settings!$B$22="USD",1/INDEX(Settings!$B$29:$B$40,MONTH(A3590)),INDEX(Settings!$B$29:$B$40,MONTH(A3590)))))</f>
        <v/>
      </c>
    </row>
    <row r="3591" customFormat="false" ht="15" hidden="false" customHeight="false" outlineLevel="0" collapsed="false">
      <c r="H3591" s="0" t="str">
        <f aca="false">IF(B3591="","",IF(COUNTIF(Campaigns!$A$7:$A$300,B3591)&gt;0,"✓","⚠ add to Campaigns tab"))</f>
        <v/>
      </c>
      <c r="I3591" s="84" t="str">
        <f aca="false">IF(C3591="","",C3591*IF(Settings!$B$22=Settings!$C$6,1,IF(Settings!$B$22="USD",1/INDEX(Settings!$B$29:$B$40,MONTH(A3591)),INDEX(Settings!$B$29:$B$40,MONTH(A3591)))))</f>
        <v/>
      </c>
    </row>
    <row r="3592" customFormat="false" ht="15" hidden="false" customHeight="false" outlineLevel="0" collapsed="false">
      <c r="H3592" s="0" t="str">
        <f aca="false">IF(B3592="","",IF(COUNTIF(Campaigns!$A$7:$A$300,B3592)&gt;0,"✓","⚠ add to Campaigns tab"))</f>
        <v/>
      </c>
      <c r="I3592" s="84" t="str">
        <f aca="false">IF(C3592="","",C3592*IF(Settings!$B$22=Settings!$C$6,1,IF(Settings!$B$22="USD",1/INDEX(Settings!$B$29:$B$40,MONTH(A3592)),INDEX(Settings!$B$29:$B$40,MONTH(A3592)))))</f>
        <v/>
      </c>
    </row>
    <row r="3593" customFormat="false" ht="15" hidden="false" customHeight="false" outlineLevel="0" collapsed="false">
      <c r="H3593" s="0" t="str">
        <f aca="false">IF(B3593="","",IF(COUNTIF(Campaigns!$A$7:$A$300,B3593)&gt;0,"✓","⚠ add to Campaigns tab"))</f>
        <v/>
      </c>
      <c r="I3593" s="84" t="str">
        <f aca="false">IF(C3593="","",C3593*IF(Settings!$B$22=Settings!$C$6,1,IF(Settings!$B$22="USD",1/INDEX(Settings!$B$29:$B$40,MONTH(A3593)),INDEX(Settings!$B$29:$B$40,MONTH(A3593)))))</f>
        <v/>
      </c>
    </row>
    <row r="3594" customFormat="false" ht="15" hidden="false" customHeight="false" outlineLevel="0" collapsed="false">
      <c r="H3594" s="0" t="str">
        <f aca="false">IF(B3594="","",IF(COUNTIF(Campaigns!$A$7:$A$300,B3594)&gt;0,"✓","⚠ add to Campaigns tab"))</f>
        <v/>
      </c>
      <c r="I3594" s="84" t="str">
        <f aca="false">IF(C3594="","",C3594*IF(Settings!$B$22=Settings!$C$6,1,IF(Settings!$B$22="USD",1/INDEX(Settings!$B$29:$B$40,MONTH(A3594)),INDEX(Settings!$B$29:$B$40,MONTH(A3594)))))</f>
        <v/>
      </c>
    </row>
    <row r="3595" customFormat="false" ht="15" hidden="false" customHeight="false" outlineLevel="0" collapsed="false">
      <c r="H3595" s="0" t="str">
        <f aca="false">IF(B3595="","",IF(COUNTIF(Campaigns!$A$7:$A$300,B3595)&gt;0,"✓","⚠ add to Campaigns tab"))</f>
        <v/>
      </c>
      <c r="I3595" s="84" t="str">
        <f aca="false">IF(C3595="","",C3595*IF(Settings!$B$22=Settings!$C$6,1,IF(Settings!$B$22="USD",1/INDEX(Settings!$B$29:$B$40,MONTH(A3595)),INDEX(Settings!$B$29:$B$40,MONTH(A3595)))))</f>
        <v/>
      </c>
    </row>
    <row r="3596" customFormat="false" ht="15" hidden="false" customHeight="false" outlineLevel="0" collapsed="false">
      <c r="H3596" s="0" t="str">
        <f aca="false">IF(B3596="","",IF(COUNTIF(Campaigns!$A$7:$A$300,B3596)&gt;0,"✓","⚠ add to Campaigns tab"))</f>
        <v/>
      </c>
      <c r="I3596" s="84" t="str">
        <f aca="false">IF(C3596="","",C3596*IF(Settings!$B$22=Settings!$C$6,1,IF(Settings!$B$22="USD",1/INDEX(Settings!$B$29:$B$40,MONTH(A3596)),INDEX(Settings!$B$29:$B$40,MONTH(A3596)))))</f>
        <v/>
      </c>
    </row>
    <row r="3597" customFormat="false" ht="15" hidden="false" customHeight="false" outlineLevel="0" collapsed="false">
      <c r="H3597" s="0" t="str">
        <f aca="false">IF(B3597="","",IF(COUNTIF(Campaigns!$A$7:$A$300,B3597)&gt;0,"✓","⚠ add to Campaigns tab"))</f>
        <v/>
      </c>
      <c r="I3597" s="84" t="str">
        <f aca="false">IF(C3597="","",C3597*IF(Settings!$B$22=Settings!$C$6,1,IF(Settings!$B$22="USD",1/INDEX(Settings!$B$29:$B$40,MONTH(A3597)),INDEX(Settings!$B$29:$B$40,MONTH(A3597)))))</f>
        <v/>
      </c>
    </row>
    <row r="3598" customFormat="false" ht="15" hidden="false" customHeight="false" outlineLevel="0" collapsed="false">
      <c r="H3598" s="0" t="str">
        <f aca="false">IF(B3598="","",IF(COUNTIF(Campaigns!$A$7:$A$300,B3598)&gt;0,"✓","⚠ add to Campaigns tab"))</f>
        <v/>
      </c>
      <c r="I3598" s="84" t="str">
        <f aca="false">IF(C3598="","",C3598*IF(Settings!$B$22=Settings!$C$6,1,IF(Settings!$B$22="USD",1/INDEX(Settings!$B$29:$B$40,MONTH(A3598)),INDEX(Settings!$B$29:$B$40,MONTH(A3598)))))</f>
        <v/>
      </c>
    </row>
    <row r="3599" customFormat="false" ht="15" hidden="false" customHeight="false" outlineLevel="0" collapsed="false">
      <c r="H3599" s="0" t="str">
        <f aca="false">IF(B3599="","",IF(COUNTIF(Campaigns!$A$7:$A$300,B3599)&gt;0,"✓","⚠ add to Campaigns tab"))</f>
        <v/>
      </c>
      <c r="I3599" s="84" t="str">
        <f aca="false">IF(C3599="","",C3599*IF(Settings!$B$22=Settings!$C$6,1,IF(Settings!$B$22="USD",1/INDEX(Settings!$B$29:$B$40,MONTH(A3599)),INDEX(Settings!$B$29:$B$40,MONTH(A3599)))))</f>
        <v/>
      </c>
    </row>
    <row r="3600" customFormat="false" ht="15" hidden="false" customHeight="false" outlineLevel="0" collapsed="false">
      <c r="H3600" s="0" t="str">
        <f aca="false">IF(B3600="","",IF(COUNTIF(Campaigns!$A$7:$A$300,B3600)&gt;0,"✓","⚠ add to Campaigns tab"))</f>
        <v/>
      </c>
      <c r="I3600" s="84" t="str">
        <f aca="false">IF(C3600="","",C3600*IF(Settings!$B$22=Settings!$C$6,1,IF(Settings!$B$22="USD",1/INDEX(Settings!$B$29:$B$40,MONTH(A3600)),INDEX(Settings!$B$29:$B$40,MONTH(A3600)))))</f>
        <v/>
      </c>
    </row>
    <row r="3601" customFormat="false" ht="15" hidden="false" customHeight="false" outlineLevel="0" collapsed="false">
      <c r="H3601" s="0" t="str">
        <f aca="false">IF(B3601="","",IF(COUNTIF(Campaigns!$A$7:$A$300,B3601)&gt;0,"✓","⚠ add to Campaigns tab"))</f>
        <v/>
      </c>
      <c r="I3601" s="84" t="str">
        <f aca="false">IF(C3601="","",C3601*IF(Settings!$B$22=Settings!$C$6,1,IF(Settings!$B$22="USD",1/INDEX(Settings!$B$29:$B$40,MONTH(A3601)),INDEX(Settings!$B$29:$B$40,MONTH(A3601)))))</f>
        <v/>
      </c>
    </row>
    <row r="3602" customFormat="false" ht="15" hidden="false" customHeight="false" outlineLevel="0" collapsed="false">
      <c r="H3602" s="0" t="str">
        <f aca="false">IF(B3602="","",IF(COUNTIF(Campaigns!$A$7:$A$300,B3602)&gt;0,"✓","⚠ add to Campaigns tab"))</f>
        <v/>
      </c>
      <c r="I3602" s="84" t="str">
        <f aca="false">IF(C3602="","",C3602*IF(Settings!$B$22=Settings!$C$6,1,IF(Settings!$B$22="USD",1/INDEX(Settings!$B$29:$B$40,MONTH(A3602)),INDEX(Settings!$B$29:$B$40,MONTH(A3602)))))</f>
        <v/>
      </c>
    </row>
    <row r="3603" customFormat="false" ht="15" hidden="false" customHeight="false" outlineLevel="0" collapsed="false">
      <c r="H3603" s="0" t="str">
        <f aca="false">IF(B3603="","",IF(COUNTIF(Campaigns!$A$7:$A$300,B3603)&gt;0,"✓","⚠ add to Campaigns tab"))</f>
        <v/>
      </c>
      <c r="I3603" s="84" t="str">
        <f aca="false">IF(C3603="","",C3603*IF(Settings!$B$22=Settings!$C$6,1,IF(Settings!$B$22="USD",1/INDEX(Settings!$B$29:$B$40,MONTH(A3603)),INDEX(Settings!$B$29:$B$40,MONTH(A3603)))))</f>
        <v/>
      </c>
    </row>
    <row r="3604" customFormat="false" ht="15" hidden="false" customHeight="false" outlineLevel="0" collapsed="false">
      <c r="H3604" s="0" t="str">
        <f aca="false">IF(B3604="","",IF(COUNTIF(Campaigns!$A$7:$A$300,B3604)&gt;0,"✓","⚠ add to Campaigns tab"))</f>
        <v/>
      </c>
      <c r="I3604" s="84" t="str">
        <f aca="false">IF(C3604="","",C3604*IF(Settings!$B$22=Settings!$C$6,1,IF(Settings!$B$22="USD",1/INDEX(Settings!$B$29:$B$40,MONTH(A3604)),INDEX(Settings!$B$29:$B$40,MONTH(A3604)))))</f>
        <v/>
      </c>
    </row>
    <row r="3605" customFormat="false" ht="15" hidden="false" customHeight="false" outlineLevel="0" collapsed="false">
      <c r="H3605" s="0" t="str">
        <f aca="false">IF(B3605="","",IF(COUNTIF(Campaigns!$A$7:$A$300,B3605)&gt;0,"✓","⚠ add to Campaigns tab"))</f>
        <v/>
      </c>
      <c r="I3605" s="84" t="str">
        <f aca="false">IF(C3605="","",C3605*IF(Settings!$B$22=Settings!$C$6,1,IF(Settings!$B$22="USD",1/INDEX(Settings!$B$29:$B$40,MONTH(A3605)),INDEX(Settings!$B$29:$B$40,MONTH(A3605)))))</f>
        <v/>
      </c>
    </row>
    <row r="3606" customFormat="false" ht="15" hidden="false" customHeight="false" outlineLevel="0" collapsed="false">
      <c r="H3606" s="0" t="str">
        <f aca="false">IF(B3606="","",IF(COUNTIF(Campaigns!$A$7:$A$300,B3606)&gt;0,"✓","⚠ add to Campaigns tab"))</f>
        <v/>
      </c>
      <c r="I3606" s="84" t="str">
        <f aca="false">IF(C3606="","",C3606*IF(Settings!$B$22=Settings!$C$6,1,IF(Settings!$B$22="USD",1/INDEX(Settings!$B$29:$B$40,MONTH(A3606)),INDEX(Settings!$B$29:$B$40,MONTH(A3606)))))</f>
        <v/>
      </c>
    </row>
    <row r="3607" customFormat="false" ht="15" hidden="false" customHeight="false" outlineLevel="0" collapsed="false">
      <c r="H3607" s="0" t="str">
        <f aca="false">IF(B3607="","",IF(COUNTIF(Campaigns!$A$7:$A$300,B3607)&gt;0,"✓","⚠ add to Campaigns tab"))</f>
        <v/>
      </c>
      <c r="I3607" s="84" t="str">
        <f aca="false">IF(C3607="","",C3607*IF(Settings!$B$22=Settings!$C$6,1,IF(Settings!$B$22="USD",1/INDEX(Settings!$B$29:$B$40,MONTH(A3607)),INDEX(Settings!$B$29:$B$40,MONTH(A3607)))))</f>
        <v/>
      </c>
    </row>
    <row r="3608" customFormat="false" ht="15" hidden="false" customHeight="false" outlineLevel="0" collapsed="false">
      <c r="H3608" s="0" t="str">
        <f aca="false">IF(B3608="","",IF(COUNTIF(Campaigns!$A$7:$A$300,B3608)&gt;0,"✓","⚠ add to Campaigns tab"))</f>
        <v/>
      </c>
      <c r="I3608" s="84" t="str">
        <f aca="false">IF(C3608="","",C3608*IF(Settings!$B$22=Settings!$C$6,1,IF(Settings!$B$22="USD",1/INDEX(Settings!$B$29:$B$40,MONTH(A3608)),INDEX(Settings!$B$29:$B$40,MONTH(A3608)))))</f>
        <v/>
      </c>
    </row>
    <row r="3609" customFormat="false" ht="15" hidden="false" customHeight="false" outlineLevel="0" collapsed="false">
      <c r="H3609" s="0" t="str">
        <f aca="false">IF(B3609="","",IF(COUNTIF(Campaigns!$A$7:$A$300,B3609)&gt;0,"✓","⚠ add to Campaigns tab"))</f>
        <v/>
      </c>
      <c r="I3609" s="84" t="str">
        <f aca="false">IF(C3609="","",C3609*IF(Settings!$B$22=Settings!$C$6,1,IF(Settings!$B$22="USD",1/INDEX(Settings!$B$29:$B$40,MONTH(A3609)),INDEX(Settings!$B$29:$B$40,MONTH(A3609)))))</f>
        <v/>
      </c>
    </row>
    <row r="3610" customFormat="false" ht="15" hidden="false" customHeight="false" outlineLevel="0" collapsed="false">
      <c r="H3610" s="0" t="str">
        <f aca="false">IF(B3610="","",IF(COUNTIF(Campaigns!$A$7:$A$300,B3610)&gt;0,"✓","⚠ add to Campaigns tab"))</f>
        <v/>
      </c>
      <c r="I3610" s="84" t="str">
        <f aca="false">IF(C3610="","",C3610*IF(Settings!$B$22=Settings!$C$6,1,IF(Settings!$B$22="USD",1/INDEX(Settings!$B$29:$B$40,MONTH(A3610)),INDEX(Settings!$B$29:$B$40,MONTH(A3610)))))</f>
        <v/>
      </c>
    </row>
    <row r="3611" customFormat="false" ht="15" hidden="false" customHeight="false" outlineLevel="0" collapsed="false">
      <c r="H3611" s="0" t="str">
        <f aca="false">IF(B3611="","",IF(COUNTIF(Campaigns!$A$7:$A$300,B3611)&gt;0,"✓","⚠ add to Campaigns tab"))</f>
        <v/>
      </c>
      <c r="I3611" s="84" t="str">
        <f aca="false">IF(C3611="","",C3611*IF(Settings!$B$22=Settings!$C$6,1,IF(Settings!$B$22="USD",1/INDEX(Settings!$B$29:$B$40,MONTH(A3611)),INDEX(Settings!$B$29:$B$40,MONTH(A3611)))))</f>
        <v/>
      </c>
    </row>
    <row r="3612" customFormat="false" ht="15" hidden="false" customHeight="false" outlineLevel="0" collapsed="false">
      <c r="H3612" s="0" t="str">
        <f aca="false">IF(B3612="","",IF(COUNTIF(Campaigns!$A$7:$A$300,B3612)&gt;0,"✓","⚠ add to Campaigns tab"))</f>
        <v/>
      </c>
      <c r="I3612" s="84" t="str">
        <f aca="false">IF(C3612="","",C3612*IF(Settings!$B$22=Settings!$C$6,1,IF(Settings!$B$22="USD",1/INDEX(Settings!$B$29:$B$40,MONTH(A3612)),INDEX(Settings!$B$29:$B$40,MONTH(A3612)))))</f>
        <v/>
      </c>
    </row>
    <row r="3613" customFormat="false" ht="15" hidden="false" customHeight="false" outlineLevel="0" collapsed="false">
      <c r="H3613" s="0" t="str">
        <f aca="false">IF(B3613="","",IF(COUNTIF(Campaigns!$A$7:$A$300,B3613)&gt;0,"✓","⚠ add to Campaigns tab"))</f>
        <v/>
      </c>
      <c r="I3613" s="84" t="str">
        <f aca="false">IF(C3613="","",C3613*IF(Settings!$B$22=Settings!$C$6,1,IF(Settings!$B$22="USD",1/INDEX(Settings!$B$29:$B$40,MONTH(A3613)),INDEX(Settings!$B$29:$B$40,MONTH(A3613)))))</f>
        <v/>
      </c>
    </row>
    <row r="3614" customFormat="false" ht="15" hidden="false" customHeight="false" outlineLevel="0" collapsed="false">
      <c r="H3614" s="0" t="str">
        <f aca="false">IF(B3614="","",IF(COUNTIF(Campaigns!$A$7:$A$300,B3614)&gt;0,"✓","⚠ add to Campaigns tab"))</f>
        <v/>
      </c>
      <c r="I3614" s="84" t="str">
        <f aca="false">IF(C3614="","",C3614*IF(Settings!$B$22=Settings!$C$6,1,IF(Settings!$B$22="USD",1/INDEX(Settings!$B$29:$B$40,MONTH(A3614)),INDEX(Settings!$B$29:$B$40,MONTH(A3614)))))</f>
        <v/>
      </c>
    </row>
    <row r="3615" customFormat="false" ht="15" hidden="false" customHeight="false" outlineLevel="0" collapsed="false">
      <c r="H3615" s="0" t="str">
        <f aca="false">IF(B3615="","",IF(COUNTIF(Campaigns!$A$7:$A$300,B3615)&gt;0,"✓","⚠ add to Campaigns tab"))</f>
        <v/>
      </c>
      <c r="I3615" s="84" t="str">
        <f aca="false">IF(C3615="","",C3615*IF(Settings!$B$22=Settings!$C$6,1,IF(Settings!$B$22="USD",1/INDEX(Settings!$B$29:$B$40,MONTH(A3615)),INDEX(Settings!$B$29:$B$40,MONTH(A3615)))))</f>
        <v/>
      </c>
    </row>
    <row r="3616" customFormat="false" ht="15" hidden="false" customHeight="false" outlineLevel="0" collapsed="false">
      <c r="H3616" s="0" t="str">
        <f aca="false">IF(B3616="","",IF(COUNTIF(Campaigns!$A$7:$A$300,B3616)&gt;0,"✓","⚠ add to Campaigns tab"))</f>
        <v/>
      </c>
      <c r="I3616" s="84" t="str">
        <f aca="false">IF(C3616="","",C3616*IF(Settings!$B$22=Settings!$C$6,1,IF(Settings!$B$22="USD",1/INDEX(Settings!$B$29:$B$40,MONTH(A3616)),INDEX(Settings!$B$29:$B$40,MONTH(A3616)))))</f>
        <v/>
      </c>
    </row>
    <row r="3617" customFormat="false" ht="15" hidden="false" customHeight="false" outlineLevel="0" collapsed="false">
      <c r="H3617" s="0" t="str">
        <f aca="false">IF(B3617="","",IF(COUNTIF(Campaigns!$A$7:$A$300,B3617)&gt;0,"✓","⚠ add to Campaigns tab"))</f>
        <v/>
      </c>
      <c r="I3617" s="84" t="str">
        <f aca="false">IF(C3617="","",C3617*IF(Settings!$B$22=Settings!$C$6,1,IF(Settings!$B$22="USD",1/INDEX(Settings!$B$29:$B$40,MONTH(A3617)),INDEX(Settings!$B$29:$B$40,MONTH(A3617)))))</f>
        <v/>
      </c>
    </row>
    <row r="3618" customFormat="false" ht="15" hidden="false" customHeight="false" outlineLevel="0" collapsed="false">
      <c r="H3618" s="0" t="str">
        <f aca="false">IF(B3618="","",IF(COUNTIF(Campaigns!$A$7:$A$300,B3618)&gt;0,"✓","⚠ add to Campaigns tab"))</f>
        <v/>
      </c>
      <c r="I3618" s="84" t="str">
        <f aca="false">IF(C3618="","",C3618*IF(Settings!$B$22=Settings!$C$6,1,IF(Settings!$B$22="USD",1/INDEX(Settings!$B$29:$B$40,MONTH(A3618)),INDEX(Settings!$B$29:$B$40,MONTH(A3618)))))</f>
        <v/>
      </c>
    </row>
    <row r="3619" customFormat="false" ht="15" hidden="false" customHeight="false" outlineLevel="0" collapsed="false">
      <c r="H3619" s="0" t="str">
        <f aca="false">IF(B3619="","",IF(COUNTIF(Campaigns!$A$7:$A$300,B3619)&gt;0,"✓","⚠ add to Campaigns tab"))</f>
        <v/>
      </c>
      <c r="I3619" s="84" t="str">
        <f aca="false">IF(C3619="","",C3619*IF(Settings!$B$22=Settings!$C$6,1,IF(Settings!$B$22="USD",1/INDEX(Settings!$B$29:$B$40,MONTH(A3619)),INDEX(Settings!$B$29:$B$40,MONTH(A3619)))))</f>
        <v/>
      </c>
    </row>
    <row r="3620" customFormat="false" ht="15" hidden="false" customHeight="false" outlineLevel="0" collapsed="false">
      <c r="H3620" s="0" t="str">
        <f aca="false">IF(B3620="","",IF(COUNTIF(Campaigns!$A$7:$A$300,B3620)&gt;0,"✓","⚠ add to Campaigns tab"))</f>
        <v/>
      </c>
      <c r="I3620" s="84" t="str">
        <f aca="false">IF(C3620="","",C3620*IF(Settings!$B$22=Settings!$C$6,1,IF(Settings!$B$22="USD",1/INDEX(Settings!$B$29:$B$40,MONTH(A3620)),INDEX(Settings!$B$29:$B$40,MONTH(A3620)))))</f>
        <v/>
      </c>
    </row>
    <row r="3621" customFormat="false" ht="15" hidden="false" customHeight="false" outlineLevel="0" collapsed="false">
      <c r="H3621" s="0" t="str">
        <f aca="false">IF(B3621="","",IF(COUNTIF(Campaigns!$A$7:$A$300,B3621)&gt;0,"✓","⚠ add to Campaigns tab"))</f>
        <v/>
      </c>
      <c r="I3621" s="84" t="str">
        <f aca="false">IF(C3621="","",C3621*IF(Settings!$B$22=Settings!$C$6,1,IF(Settings!$B$22="USD",1/INDEX(Settings!$B$29:$B$40,MONTH(A3621)),INDEX(Settings!$B$29:$B$40,MONTH(A3621)))))</f>
        <v/>
      </c>
    </row>
    <row r="3622" customFormat="false" ht="15" hidden="false" customHeight="false" outlineLevel="0" collapsed="false">
      <c r="H3622" s="0" t="str">
        <f aca="false">IF(B3622="","",IF(COUNTIF(Campaigns!$A$7:$A$300,B3622)&gt;0,"✓","⚠ add to Campaigns tab"))</f>
        <v/>
      </c>
      <c r="I3622" s="84" t="str">
        <f aca="false">IF(C3622="","",C3622*IF(Settings!$B$22=Settings!$C$6,1,IF(Settings!$B$22="USD",1/INDEX(Settings!$B$29:$B$40,MONTH(A3622)),INDEX(Settings!$B$29:$B$40,MONTH(A3622)))))</f>
        <v/>
      </c>
    </row>
    <row r="3623" customFormat="false" ht="15" hidden="false" customHeight="false" outlineLevel="0" collapsed="false">
      <c r="H3623" s="0" t="str">
        <f aca="false">IF(B3623="","",IF(COUNTIF(Campaigns!$A$7:$A$300,B3623)&gt;0,"✓","⚠ add to Campaigns tab"))</f>
        <v/>
      </c>
      <c r="I3623" s="84" t="str">
        <f aca="false">IF(C3623="","",C3623*IF(Settings!$B$22=Settings!$C$6,1,IF(Settings!$B$22="USD",1/INDEX(Settings!$B$29:$B$40,MONTH(A3623)),INDEX(Settings!$B$29:$B$40,MONTH(A3623)))))</f>
        <v/>
      </c>
    </row>
    <row r="3624" customFormat="false" ht="15" hidden="false" customHeight="false" outlineLevel="0" collapsed="false">
      <c r="H3624" s="0" t="str">
        <f aca="false">IF(B3624="","",IF(COUNTIF(Campaigns!$A$7:$A$300,B3624)&gt;0,"✓","⚠ add to Campaigns tab"))</f>
        <v/>
      </c>
      <c r="I3624" s="84" t="str">
        <f aca="false">IF(C3624="","",C3624*IF(Settings!$B$22=Settings!$C$6,1,IF(Settings!$B$22="USD",1/INDEX(Settings!$B$29:$B$40,MONTH(A3624)),INDEX(Settings!$B$29:$B$40,MONTH(A3624)))))</f>
        <v/>
      </c>
    </row>
    <row r="3625" customFormat="false" ht="15" hidden="false" customHeight="false" outlineLevel="0" collapsed="false">
      <c r="H3625" s="0" t="str">
        <f aca="false">IF(B3625="","",IF(COUNTIF(Campaigns!$A$7:$A$300,B3625)&gt;0,"✓","⚠ add to Campaigns tab"))</f>
        <v/>
      </c>
      <c r="I3625" s="84" t="str">
        <f aca="false">IF(C3625="","",C3625*IF(Settings!$B$22=Settings!$C$6,1,IF(Settings!$B$22="USD",1/INDEX(Settings!$B$29:$B$40,MONTH(A3625)),INDEX(Settings!$B$29:$B$40,MONTH(A3625)))))</f>
        <v/>
      </c>
    </row>
    <row r="3626" customFormat="false" ht="15" hidden="false" customHeight="false" outlineLevel="0" collapsed="false">
      <c r="H3626" s="0" t="str">
        <f aca="false">IF(B3626="","",IF(COUNTIF(Campaigns!$A$7:$A$300,B3626)&gt;0,"✓","⚠ add to Campaigns tab"))</f>
        <v/>
      </c>
      <c r="I3626" s="84" t="str">
        <f aca="false">IF(C3626="","",C3626*IF(Settings!$B$22=Settings!$C$6,1,IF(Settings!$B$22="USD",1/INDEX(Settings!$B$29:$B$40,MONTH(A3626)),INDEX(Settings!$B$29:$B$40,MONTH(A3626)))))</f>
        <v/>
      </c>
    </row>
    <row r="3627" customFormat="false" ht="15" hidden="false" customHeight="false" outlineLevel="0" collapsed="false">
      <c r="H3627" s="0" t="str">
        <f aca="false">IF(B3627="","",IF(COUNTIF(Campaigns!$A$7:$A$300,B3627)&gt;0,"✓","⚠ add to Campaigns tab"))</f>
        <v/>
      </c>
      <c r="I3627" s="84" t="str">
        <f aca="false">IF(C3627="","",C3627*IF(Settings!$B$22=Settings!$C$6,1,IF(Settings!$B$22="USD",1/INDEX(Settings!$B$29:$B$40,MONTH(A3627)),INDEX(Settings!$B$29:$B$40,MONTH(A3627)))))</f>
        <v/>
      </c>
    </row>
    <row r="3628" customFormat="false" ht="15" hidden="false" customHeight="false" outlineLevel="0" collapsed="false">
      <c r="H3628" s="0" t="str">
        <f aca="false">IF(B3628="","",IF(COUNTIF(Campaigns!$A$7:$A$300,B3628)&gt;0,"✓","⚠ add to Campaigns tab"))</f>
        <v/>
      </c>
      <c r="I3628" s="84" t="str">
        <f aca="false">IF(C3628="","",C3628*IF(Settings!$B$22=Settings!$C$6,1,IF(Settings!$B$22="USD",1/INDEX(Settings!$B$29:$B$40,MONTH(A3628)),INDEX(Settings!$B$29:$B$40,MONTH(A3628)))))</f>
        <v/>
      </c>
    </row>
    <row r="3629" customFormat="false" ht="15" hidden="false" customHeight="false" outlineLevel="0" collapsed="false">
      <c r="H3629" s="0" t="str">
        <f aca="false">IF(B3629="","",IF(COUNTIF(Campaigns!$A$7:$A$300,B3629)&gt;0,"✓","⚠ add to Campaigns tab"))</f>
        <v/>
      </c>
      <c r="I3629" s="84" t="str">
        <f aca="false">IF(C3629="","",C3629*IF(Settings!$B$22=Settings!$C$6,1,IF(Settings!$B$22="USD",1/INDEX(Settings!$B$29:$B$40,MONTH(A3629)),INDEX(Settings!$B$29:$B$40,MONTH(A3629)))))</f>
        <v/>
      </c>
    </row>
    <row r="3630" customFormat="false" ht="15" hidden="false" customHeight="false" outlineLevel="0" collapsed="false">
      <c r="H3630" s="0" t="str">
        <f aca="false">IF(B3630="","",IF(COUNTIF(Campaigns!$A$7:$A$300,B3630)&gt;0,"✓","⚠ add to Campaigns tab"))</f>
        <v/>
      </c>
      <c r="I3630" s="84" t="str">
        <f aca="false">IF(C3630="","",C3630*IF(Settings!$B$22=Settings!$C$6,1,IF(Settings!$B$22="USD",1/INDEX(Settings!$B$29:$B$40,MONTH(A3630)),INDEX(Settings!$B$29:$B$40,MONTH(A3630)))))</f>
        <v/>
      </c>
    </row>
    <row r="3631" customFormat="false" ht="15" hidden="false" customHeight="false" outlineLevel="0" collapsed="false">
      <c r="H3631" s="0" t="str">
        <f aca="false">IF(B3631="","",IF(COUNTIF(Campaigns!$A$7:$A$300,B3631)&gt;0,"✓","⚠ add to Campaigns tab"))</f>
        <v/>
      </c>
      <c r="I3631" s="84" t="str">
        <f aca="false">IF(C3631="","",C3631*IF(Settings!$B$22=Settings!$C$6,1,IF(Settings!$B$22="USD",1/INDEX(Settings!$B$29:$B$40,MONTH(A3631)),INDEX(Settings!$B$29:$B$40,MONTH(A3631)))))</f>
        <v/>
      </c>
    </row>
    <row r="3632" customFormat="false" ht="15" hidden="false" customHeight="false" outlineLevel="0" collapsed="false">
      <c r="H3632" s="0" t="str">
        <f aca="false">IF(B3632="","",IF(COUNTIF(Campaigns!$A$7:$A$300,B3632)&gt;0,"✓","⚠ add to Campaigns tab"))</f>
        <v/>
      </c>
      <c r="I3632" s="84" t="str">
        <f aca="false">IF(C3632="","",C3632*IF(Settings!$B$22=Settings!$C$6,1,IF(Settings!$B$22="USD",1/INDEX(Settings!$B$29:$B$40,MONTH(A3632)),INDEX(Settings!$B$29:$B$40,MONTH(A3632)))))</f>
        <v/>
      </c>
    </row>
    <row r="3633" customFormat="false" ht="15" hidden="false" customHeight="false" outlineLevel="0" collapsed="false">
      <c r="H3633" s="0" t="str">
        <f aca="false">IF(B3633="","",IF(COUNTIF(Campaigns!$A$7:$A$300,B3633)&gt;0,"✓","⚠ add to Campaigns tab"))</f>
        <v/>
      </c>
      <c r="I3633" s="84" t="str">
        <f aca="false">IF(C3633="","",C3633*IF(Settings!$B$22=Settings!$C$6,1,IF(Settings!$B$22="USD",1/INDEX(Settings!$B$29:$B$40,MONTH(A3633)),INDEX(Settings!$B$29:$B$40,MONTH(A3633)))))</f>
        <v/>
      </c>
    </row>
    <row r="3634" customFormat="false" ht="15" hidden="false" customHeight="false" outlineLevel="0" collapsed="false">
      <c r="H3634" s="0" t="str">
        <f aca="false">IF(B3634="","",IF(COUNTIF(Campaigns!$A$7:$A$300,B3634)&gt;0,"✓","⚠ add to Campaigns tab"))</f>
        <v/>
      </c>
      <c r="I3634" s="84" t="str">
        <f aca="false">IF(C3634="","",C3634*IF(Settings!$B$22=Settings!$C$6,1,IF(Settings!$B$22="USD",1/INDEX(Settings!$B$29:$B$40,MONTH(A3634)),INDEX(Settings!$B$29:$B$40,MONTH(A3634)))))</f>
        <v/>
      </c>
    </row>
    <row r="3635" customFormat="false" ht="15" hidden="false" customHeight="false" outlineLevel="0" collapsed="false">
      <c r="H3635" s="0" t="str">
        <f aca="false">IF(B3635="","",IF(COUNTIF(Campaigns!$A$7:$A$300,B3635)&gt;0,"✓","⚠ add to Campaigns tab"))</f>
        <v/>
      </c>
      <c r="I3635" s="84" t="str">
        <f aca="false">IF(C3635="","",C3635*IF(Settings!$B$22=Settings!$C$6,1,IF(Settings!$B$22="USD",1/INDEX(Settings!$B$29:$B$40,MONTH(A3635)),INDEX(Settings!$B$29:$B$40,MONTH(A3635)))))</f>
        <v/>
      </c>
    </row>
    <row r="3636" customFormat="false" ht="15" hidden="false" customHeight="false" outlineLevel="0" collapsed="false">
      <c r="H3636" s="0" t="str">
        <f aca="false">IF(B3636="","",IF(COUNTIF(Campaigns!$A$7:$A$300,B3636)&gt;0,"✓","⚠ add to Campaigns tab"))</f>
        <v/>
      </c>
      <c r="I3636" s="84" t="str">
        <f aca="false">IF(C3636="","",C3636*IF(Settings!$B$22=Settings!$C$6,1,IF(Settings!$B$22="USD",1/INDEX(Settings!$B$29:$B$40,MONTH(A3636)),INDEX(Settings!$B$29:$B$40,MONTH(A3636)))))</f>
        <v/>
      </c>
    </row>
    <row r="3637" customFormat="false" ht="15" hidden="false" customHeight="false" outlineLevel="0" collapsed="false">
      <c r="H3637" s="0" t="str">
        <f aca="false">IF(B3637="","",IF(COUNTIF(Campaigns!$A$7:$A$300,B3637)&gt;0,"✓","⚠ add to Campaigns tab"))</f>
        <v/>
      </c>
      <c r="I3637" s="84" t="str">
        <f aca="false">IF(C3637="","",C3637*IF(Settings!$B$22=Settings!$C$6,1,IF(Settings!$B$22="USD",1/INDEX(Settings!$B$29:$B$40,MONTH(A3637)),INDEX(Settings!$B$29:$B$40,MONTH(A3637)))))</f>
        <v/>
      </c>
    </row>
    <row r="3638" customFormat="false" ht="15" hidden="false" customHeight="false" outlineLevel="0" collapsed="false">
      <c r="H3638" s="0" t="str">
        <f aca="false">IF(B3638="","",IF(COUNTIF(Campaigns!$A$7:$A$300,B3638)&gt;0,"✓","⚠ add to Campaigns tab"))</f>
        <v/>
      </c>
      <c r="I3638" s="84" t="str">
        <f aca="false">IF(C3638="","",C3638*IF(Settings!$B$22=Settings!$C$6,1,IF(Settings!$B$22="USD",1/INDEX(Settings!$B$29:$B$40,MONTH(A3638)),INDEX(Settings!$B$29:$B$40,MONTH(A3638)))))</f>
        <v/>
      </c>
    </row>
    <row r="3639" customFormat="false" ht="15" hidden="false" customHeight="false" outlineLevel="0" collapsed="false">
      <c r="H3639" s="0" t="str">
        <f aca="false">IF(B3639="","",IF(COUNTIF(Campaigns!$A$7:$A$300,B3639)&gt;0,"✓","⚠ add to Campaigns tab"))</f>
        <v/>
      </c>
      <c r="I3639" s="84" t="str">
        <f aca="false">IF(C3639="","",C3639*IF(Settings!$B$22=Settings!$C$6,1,IF(Settings!$B$22="USD",1/INDEX(Settings!$B$29:$B$40,MONTH(A3639)),INDEX(Settings!$B$29:$B$40,MONTH(A3639)))))</f>
        <v/>
      </c>
    </row>
    <row r="3640" customFormat="false" ht="15" hidden="false" customHeight="false" outlineLevel="0" collapsed="false">
      <c r="H3640" s="0" t="str">
        <f aca="false">IF(B3640="","",IF(COUNTIF(Campaigns!$A$7:$A$300,B3640)&gt;0,"✓","⚠ add to Campaigns tab"))</f>
        <v/>
      </c>
      <c r="I3640" s="84" t="str">
        <f aca="false">IF(C3640="","",C3640*IF(Settings!$B$22=Settings!$C$6,1,IF(Settings!$B$22="USD",1/INDEX(Settings!$B$29:$B$40,MONTH(A3640)),INDEX(Settings!$B$29:$B$40,MONTH(A3640)))))</f>
        <v/>
      </c>
    </row>
    <row r="3641" customFormat="false" ht="15" hidden="false" customHeight="false" outlineLevel="0" collapsed="false">
      <c r="H3641" s="0" t="str">
        <f aca="false">IF(B3641="","",IF(COUNTIF(Campaigns!$A$7:$A$300,B3641)&gt;0,"✓","⚠ add to Campaigns tab"))</f>
        <v/>
      </c>
      <c r="I3641" s="84" t="str">
        <f aca="false">IF(C3641="","",C3641*IF(Settings!$B$22=Settings!$C$6,1,IF(Settings!$B$22="USD",1/INDEX(Settings!$B$29:$B$40,MONTH(A3641)),INDEX(Settings!$B$29:$B$40,MONTH(A3641)))))</f>
        <v/>
      </c>
    </row>
    <row r="3642" customFormat="false" ht="15" hidden="false" customHeight="false" outlineLevel="0" collapsed="false">
      <c r="H3642" s="0" t="str">
        <f aca="false">IF(B3642="","",IF(COUNTIF(Campaigns!$A$7:$A$300,B3642)&gt;0,"✓","⚠ add to Campaigns tab"))</f>
        <v/>
      </c>
      <c r="I3642" s="84" t="str">
        <f aca="false">IF(C3642="","",C3642*IF(Settings!$B$22=Settings!$C$6,1,IF(Settings!$B$22="USD",1/INDEX(Settings!$B$29:$B$40,MONTH(A3642)),INDEX(Settings!$B$29:$B$40,MONTH(A3642)))))</f>
        <v/>
      </c>
    </row>
    <row r="3643" customFormat="false" ht="15" hidden="false" customHeight="false" outlineLevel="0" collapsed="false">
      <c r="H3643" s="0" t="str">
        <f aca="false">IF(B3643="","",IF(COUNTIF(Campaigns!$A$7:$A$300,B3643)&gt;0,"✓","⚠ add to Campaigns tab"))</f>
        <v/>
      </c>
      <c r="I3643" s="84" t="str">
        <f aca="false">IF(C3643="","",C3643*IF(Settings!$B$22=Settings!$C$6,1,IF(Settings!$B$22="USD",1/INDEX(Settings!$B$29:$B$40,MONTH(A3643)),INDEX(Settings!$B$29:$B$40,MONTH(A3643)))))</f>
        <v/>
      </c>
    </row>
    <row r="3644" customFormat="false" ht="15" hidden="false" customHeight="false" outlineLevel="0" collapsed="false">
      <c r="H3644" s="0" t="str">
        <f aca="false">IF(B3644="","",IF(COUNTIF(Campaigns!$A$7:$A$300,B3644)&gt;0,"✓","⚠ add to Campaigns tab"))</f>
        <v/>
      </c>
      <c r="I3644" s="84" t="str">
        <f aca="false">IF(C3644="","",C3644*IF(Settings!$B$22=Settings!$C$6,1,IF(Settings!$B$22="USD",1/INDEX(Settings!$B$29:$B$40,MONTH(A3644)),INDEX(Settings!$B$29:$B$40,MONTH(A3644)))))</f>
        <v/>
      </c>
    </row>
    <row r="3645" customFormat="false" ht="15" hidden="false" customHeight="false" outlineLevel="0" collapsed="false">
      <c r="H3645" s="0" t="str">
        <f aca="false">IF(B3645="","",IF(COUNTIF(Campaigns!$A$7:$A$300,B3645)&gt;0,"✓","⚠ add to Campaigns tab"))</f>
        <v/>
      </c>
      <c r="I3645" s="84" t="str">
        <f aca="false">IF(C3645="","",C3645*IF(Settings!$B$22=Settings!$C$6,1,IF(Settings!$B$22="USD",1/INDEX(Settings!$B$29:$B$40,MONTH(A3645)),INDEX(Settings!$B$29:$B$40,MONTH(A3645)))))</f>
        <v/>
      </c>
    </row>
    <row r="3646" customFormat="false" ht="15" hidden="false" customHeight="false" outlineLevel="0" collapsed="false">
      <c r="H3646" s="0" t="str">
        <f aca="false">IF(B3646="","",IF(COUNTIF(Campaigns!$A$7:$A$300,B3646)&gt;0,"✓","⚠ add to Campaigns tab"))</f>
        <v/>
      </c>
      <c r="I3646" s="84" t="str">
        <f aca="false">IF(C3646="","",C3646*IF(Settings!$B$22=Settings!$C$6,1,IF(Settings!$B$22="USD",1/INDEX(Settings!$B$29:$B$40,MONTH(A3646)),INDEX(Settings!$B$29:$B$40,MONTH(A3646)))))</f>
        <v/>
      </c>
    </row>
    <row r="3647" customFormat="false" ht="15" hidden="false" customHeight="false" outlineLevel="0" collapsed="false">
      <c r="H3647" s="0" t="str">
        <f aca="false">IF(B3647="","",IF(COUNTIF(Campaigns!$A$7:$A$300,B3647)&gt;0,"✓","⚠ add to Campaigns tab"))</f>
        <v/>
      </c>
      <c r="I3647" s="84" t="str">
        <f aca="false">IF(C3647="","",C3647*IF(Settings!$B$22=Settings!$C$6,1,IF(Settings!$B$22="USD",1/INDEX(Settings!$B$29:$B$40,MONTH(A3647)),INDEX(Settings!$B$29:$B$40,MONTH(A3647)))))</f>
        <v/>
      </c>
    </row>
    <row r="3648" customFormat="false" ht="15" hidden="false" customHeight="false" outlineLevel="0" collapsed="false">
      <c r="H3648" s="0" t="str">
        <f aca="false">IF(B3648="","",IF(COUNTIF(Campaigns!$A$7:$A$300,B3648)&gt;0,"✓","⚠ add to Campaigns tab"))</f>
        <v/>
      </c>
      <c r="I3648" s="84" t="str">
        <f aca="false">IF(C3648="","",C3648*IF(Settings!$B$22=Settings!$C$6,1,IF(Settings!$B$22="USD",1/INDEX(Settings!$B$29:$B$40,MONTH(A3648)),INDEX(Settings!$B$29:$B$40,MONTH(A3648)))))</f>
        <v/>
      </c>
    </row>
    <row r="3649" customFormat="false" ht="15" hidden="false" customHeight="false" outlineLevel="0" collapsed="false">
      <c r="H3649" s="0" t="str">
        <f aca="false">IF(B3649="","",IF(COUNTIF(Campaigns!$A$7:$A$300,B3649)&gt;0,"✓","⚠ add to Campaigns tab"))</f>
        <v/>
      </c>
      <c r="I3649" s="84" t="str">
        <f aca="false">IF(C3649="","",C3649*IF(Settings!$B$22=Settings!$C$6,1,IF(Settings!$B$22="USD",1/INDEX(Settings!$B$29:$B$40,MONTH(A3649)),INDEX(Settings!$B$29:$B$40,MONTH(A3649)))))</f>
        <v/>
      </c>
    </row>
    <row r="3650" customFormat="false" ht="15" hidden="false" customHeight="false" outlineLevel="0" collapsed="false">
      <c r="H3650" s="0" t="str">
        <f aca="false">IF(B3650="","",IF(COUNTIF(Campaigns!$A$7:$A$300,B3650)&gt;0,"✓","⚠ add to Campaigns tab"))</f>
        <v/>
      </c>
      <c r="I3650" s="84" t="str">
        <f aca="false">IF(C3650="","",C3650*IF(Settings!$B$22=Settings!$C$6,1,IF(Settings!$B$22="USD",1/INDEX(Settings!$B$29:$B$40,MONTH(A3650)),INDEX(Settings!$B$29:$B$40,MONTH(A3650)))))</f>
        <v/>
      </c>
    </row>
    <row r="3651" customFormat="false" ht="15" hidden="false" customHeight="false" outlineLevel="0" collapsed="false">
      <c r="H3651" s="0" t="str">
        <f aca="false">IF(B3651="","",IF(COUNTIF(Campaigns!$A$7:$A$300,B3651)&gt;0,"✓","⚠ add to Campaigns tab"))</f>
        <v/>
      </c>
      <c r="I3651" s="84" t="str">
        <f aca="false">IF(C3651="","",C3651*IF(Settings!$B$22=Settings!$C$6,1,IF(Settings!$B$22="USD",1/INDEX(Settings!$B$29:$B$40,MONTH(A3651)),INDEX(Settings!$B$29:$B$40,MONTH(A3651)))))</f>
        <v/>
      </c>
    </row>
    <row r="3652" customFormat="false" ht="15" hidden="false" customHeight="false" outlineLevel="0" collapsed="false">
      <c r="H3652" s="0" t="str">
        <f aca="false">IF(B3652="","",IF(COUNTIF(Campaigns!$A$7:$A$300,B3652)&gt;0,"✓","⚠ add to Campaigns tab"))</f>
        <v/>
      </c>
      <c r="I3652" s="84" t="str">
        <f aca="false">IF(C3652="","",C3652*IF(Settings!$B$22=Settings!$C$6,1,IF(Settings!$B$22="USD",1/INDEX(Settings!$B$29:$B$40,MONTH(A3652)),INDEX(Settings!$B$29:$B$40,MONTH(A3652)))))</f>
        <v/>
      </c>
    </row>
    <row r="3653" customFormat="false" ht="15" hidden="false" customHeight="false" outlineLevel="0" collapsed="false">
      <c r="H3653" s="0" t="str">
        <f aca="false">IF(B3653="","",IF(COUNTIF(Campaigns!$A$7:$A$300,B3653)&gt;0,"✓","⚠ add to Campaigns tab"))</f>
        <v/>
      </c>
      <c r="I3653" s="84" t="str">
        <f aca="false">IF(C3653="","",C3653*IF(Settings!$B$22=Settings!$C$6,1,IF(Settings!$B$22="USD",1/INDEX(Settings!$B$29:$B$40,MONTH(A3653)),INDEX(Settings!$B$29:$B$40,MONTH(A3653)))))</f>
        <v/>
      </c>
    </row>
    <row r="3654" customFormat="false" ht="15" hidden="false" customHeight="false" outlineLevel="0" collapsed="false">
      <c r="H3654" s="0" t="str">
        <f aca="false">IF(B3654="","",IF(COUNTIF(Campaigns!$A$7:$A$300,B3654)&gt;0,"✓","⚠ add to Campaigns tab"))</f>
        <v/>
      </c>
      <c r="I3654" s="84" t="str">
        <f aca="false">IF(C3654="","",C3654*IF(Settings!$B$22=Settings!$C$6,1,IF(Settings!$B$22="USD",1/INDEX(Settings!$B$29:$B$40,MONTH(A3654)),INDEX(Settings!$B$29:$B$40,MONTH(A3654)))))</f>
        <v/>
      </c>
    </row>
    <row r="3655" customFormat="false" ht="15" hidden="false" customHeight="false" outlineLevel="0" collapsed="false">
      <c r="H3655" s="0" t="str">
        <f aca="false">IF(B3655="","",IF(COUNTIF(Campaigns!$A$7:$A$300,B3655)&gt;0,"✓","⚠ add to Campaigns tab"))</f>
        <v/>
      </c>
      <c r="I3655" s="84" t="str">
        <f aca="false">IF(C3655="","",C3655*IF(Settings!$B$22=Settings!$C$6,1,IF(Settings!$B$22="USD",1/INDEX(Settings!$B$29:$B$40,MONTH(A3655)),INDEX(Settings!$B$29:$B$40,MONTH(A3655)))))</f>
        <v/>
      </c>
    </row>
    <row r="3656" customFormat="false" ht="15" hidden="false" customHeight="false" outlineLevel="0" collapsed="false">
      <c r="H3656" s="0" t="str">
        <f aca="false">IF(B3656="","",IF(COUNTIF(Campaigns!$A$7:$A$300,B3656)&gt;0,"✓","⚠ add to Campaigns tab"))</f>
        <v/>
      </c>
      <c r="I3656" s="84" t="str">
        <f aca="false">IF(C3656="","",C3656*IF(Settings!$B$22=Settings!$C$6,1,IF(Settings!$B$22="USD",1/INDEX(Settings!$B$29:$B$40,MONTH(A3656)),INDEX(Settings!$B$29:$B$40,MONTH(A3656)))))</f>
        <v/>
      </c>
    </row>
    <row r="3657" customFormat="false" ht="15" hidden="false" customHeight="false" outlineLevel="0" collapsed="false">
      <c r="H3657" s="0" t="str">
        <f aca="false">IF(B3657="","",IF(COUNTIF(Campaigns!$A$7:$A$300,B3657)&gt;0,"✓","⚠ add to Campaigns tab"))</f>
        <v/>
      </c>
      <c r="I3657" s="84" t="str">
        <f aca="false">IF(C3657="","",C3657*IF(Settings!$B$22=Settings!$C$6,1,IF(Settings!$B$22="USD",1/INDEX(Settings!$B$29:$B$40,MONTH(A3657)),INDEX(Settings!$B$29:$B$40,MONTH(A3657)))))</f>
        <v/>
      </c>
    </row>
    <row r="3658" customFormat="false" ht="15" hidden="false" customHeight="false" outlineLevel="0" collapsed="false">
      <c r="H3658" s="0" t="str">
        <f aca="false">IF(B3658="","",IF(COUNTIF(Campaigns!$A$7:$A$300,B3658)&gt;0,"✓","⚠ add to Campaigns tab"))</f>
        <v/>
      </c>
      <c r="I3658" s="84" t="str">
        <f aca="false">IF(C3658="","",C3658*IF(Settings!$B$22=Settings!$C$6,1,IF(Settings!$B$22="USD",1/INDEX(Settings!$B$29:$B$40,MONTH(A3658)),INDEX(Settings!$B$29:$B$40,MONTH(A3658)))))</f>
        <v/>
      </c>
    </row>
    <row r="3659" customFormat="false" ht="15" hidden="false" customHeight="false" outlineLevel="0" collapsed="false">
      <c r="H3659" s="0" t="str">
        <f aca="false">IF(B3659="","",IF(COUNTIF(Campaigns!$A$7:$A$300,B3659)&gt;0,"✓","⚠ add to Campaigns tab"))</f>
        <v/>
      </c>
      <c r="I3659" s="84" t="str">
        <f aca="false">IF(C3659="","",C3659*IF(Settings!$B$22=Settings!$C$6,1,IF(Settings!$B$22="USD",1/INDEX(Settings!$B$29:$B$40,MONTH(A3659)),INDEX(Settings!$B$29:$B$40,MONTH(A3659)))))</f>
        <v/>
      </c>
    </row>
    <row r="3660" customFormat="false" ht="15" hidden="false" customHeight="false" outlineLevel="0" collapsed="false">
      <c r="H3660" s="0" t="str">
        <f aca="false">IF(B3660="","",IF(COUNTIF(Campaigns!$A$7:$A$300,B3660)&gt;0,"✓","⚠ add to Campaigns tab"))</f>
        <v/>
      </c>
      <c r="I3660" s="84" t="str">
        <f aca="false">IF(C3660="","",C3660*IF(Settings!$B$22=Settings!$C$6,1,IF(Settings!$B$22="USD",1/INDEX(Settings!$B$29:$B$40,MONTH(A3660)),INDEX(Settings!$B$29:$B$40,MONTH(A3660)))))</f>
        <v/>
      </c>
    </row>
    <row r="3661" customFormat="false" ht="15" hidden="false" customHeight="false" outlineLevel="0" collapsed="false">
      <c r="H3661" s="0" t="str">
        <f aca="false">IF(B3661="","",IF(COUNTIF(Campaigns!$A$7:$A$300,B3661)&gt;0,"✓","⚠ add to Campaigns tab"))</f>
        <v/>
      </c>
      <c r="I3661" s="84" t="str">
        <f aca="false">IF(C3661="","",C3661*IF(Settings!$B$22=Settings!$C$6,1,IF(Settings!$B$22="USD",1/INDEX(Settings!$B$29:$B$40,MONTH(A3661)),INDEX(Settings!$B$29:$B$40,MONTH(A3661)))))</f>
        <v/>
      </c>
    </row>
    <row r="3662" customFormat="false" ht="15" hidden="false" customHeight="false" outlineLevel="0" collapsed="false">
      <c r="H3662" s="0" t="str">
        <f aca="false">IF(B3662="","",IF(COUNTIF(Campaigns!$A$7:$A$300,B3662)&gt;0,"✓","⚠ add to Campaigns tab"))</f>
        <v/>
      </c>
      <c r="I3662" s="84" t="str">
        <f aca="false">IF(C3662="","",C3662*IF(Settings!$B$22=Settings!$C$6,1,IF(Settings!$B$22="USD",1/INDEX(Settings!$B$29:$B$40,MONTH(A3662)),INDEX(Settings!$B$29:$B$40,MONTH(A3662)))))</f>
        <v/>
      </c>
    </row>
    <row r="3663" customFormat="false" ht="15" hidden="false" customHeight="false" outlineLevel="0" collapsed="false">
      <c r="H3663" s="0" t="str">
        <f aca="false">IF(B3663="","",IF(COUNTIF(Campaigns!$A$7:$A$300,B3663)&gt;0,"✓","⚠ add to Campaigns tab"))</f>
        <v/>
      </c>
      <c r="I3663" s="84" t="str">
        <f aca="false">IF(C3663="","",C3663*IF(Settings!$B$22=Settings!$C$6,1,IF(Settings!$B$22="USD",1/INDEX(Settings!$B$29:$B$40,MONTH(A3663)),INDEX(Settings!$B$29:$B$40,MONTH(A3663)))))</f>
        <v/>
      </c>
    </row>
    <row r="3664" customFormat="false" ht="15" hidden="false" customHeight="false" outlineLevel="0" collapsed="false">
      <c r="H3664" s="0" t="str">
        <f aca="false">IF(B3664="","",IF(COUNTIF(Campaigns!$A$7:$A$300,B3664)&gt;0,"✓","⚠ add to Campaigns tab"))</f>
        <v/>
      </c>
      <c r="I3664" s="84" t="str">
        <f aca="false">IF(C3664="","",C3664*IF(Settings!$B$22=Settings!$C$6,1,IF(Settings!$B$22="USD",1/INDEX(Settings!$B$29:$B$40,MONTH(A3664)),INDEX(Settings!$B$29:$B$40,MONTH(A3664)))))</f>
        <v/>
      </c>
    </row>
    <row r="3665" customFormat="false" ht="15" hidden="false" customHeight="false" outlineLevel="0" collapsed="false">
      <c r="H3665" s="0" t="str">
        <f aca="false">IF(B3665="","",IF(COUNTIF(Campaigns!$A$7:$A$300,B3665)&gt;0,"✓","⚠ add to Campaigns tab"))</f>
        <v/>
      </c>
      <c r="I3665" s="84" t="str">
        <f aca="false">IF(C3665="","",C3665*IF(Settings!$B$22=Settings!$C$6,1,IF(Settings!$B$22="USD",1/INDEX(Settings!$B$29:$B$40,MONTH(A3665)),INDEX(Settings!$B$29:$B$40,MONTH(A3665)))))</f>
        <v/>
      </c>
    </row>
    <row r="3666" customFormat="false" ht="15" hidden="false" customHeight="false" outlineLevel="0" collapsed="false">
      <c r="H3666" s="0" t="str">
        <f aca="false">IF(B3666="","",IF(COUNTIF(Campaigns!$A$7:$A$300,B3666)&gt;0,"✓","⚠ add to Campaigns tab"))</f>
        <v/>
      </c>
      <c r="I3666" s="84" t="str">
        <f aca="false">IF(C3666="","",C3666*IF(Settings!$B$22=Settings!$C$6,1,IF(Settings!$B$22="USD",1/INDEX(Settings!$B$29:$B$40,MONTH(A3666)),INDEX(Settings!$B$29:$B$40,MONTH(A3666)))))</f>
        <v/>
      </c>
    </row>
    <row r="3667" customFormat="false" ht="15" hidden="false" customHeight="false" outlineLevel="0" collapsed="false">
      <c r="H3667" s="0" t="str">
        <f aca="false">IF(B3667="","",IF(COUNTIF(Campaigns!$A$7:$A$300,B3667)&gt;0,"✓","⚠ add to Campaigns tab"))</f>
        <v/>
      </c>
      <c r="I3667" s="84" t="str">
        <f aca="false">IF(C3667="","",C3667*IF(Settings!$B$22=Settings!$C$6,1,IF(Settings!$B$22="USD",1/INDEX(Settings!$B$29:$B$40,MONTH(A3667)),INDEX(Settings!$B$29:$B$40,MONTH(A3667)))))</f>
        <v/>
      </c>
    </row>
    <row r="3668" customFormat="false" ht="15" hidden="false" customHeight="false" outlineLevel="0" collapsed="false">
      <c r="H3668" s="0" t="str">
        <f aca="false">IF(B3668="","",IF(COUNTIF(Campaigns!$A$7:$A$300,B3668)&gt;0,"✓","⚠ add to Campaigns tab"))</f>
        <v/>
      </c>
      <c r="I3668" s="84" t="str">
        <f aca="false">IF(C3668="","",C3668*IF(Settings!$B$22=Settings!$C$6,1,IF(Settings!$B$22="USD",1/INDEX(Settings!$B$29:$B$40,MONTH(A3668)),INDEX(Settings!$B$29:$B$40,MONTH(A3668)))))</f>
        <v/>
      </c>
    </row>
    <row r="3669" customFormat="false" ht="15" hidden="false" customHeight="false" outlineLevel="0" collapsed="false">
      <c r="H3669" s="0" t="str">
        <f aca="false">IF(B3669="","",IF(COUNTIF(Campaigns!$A$7:$A$300,B3669)&gt;0,"✓","⚠ add to Campaigns tab"))</f>
        <v/>
      </c>
      <c r="I3669" s="84" t="str">
        <f aca="false">IF(C3669="","",C3669*IF(Settings!$B$22=Settings!$C$6,1,IF(Settings!$B$22="USD",1/INDEX(Settings!$B$29:$B$40,MONTH(A3669)),INDEX(Settings!$B$29:$B$40,MONTH(A3669)))))</f>
        <v/>
      </c>
    </row>
    <row r="3670" customFormat="false" ht="15" hidden="false" customHeight="false" outlineLevel="0" collapsed="false">
      <c r="H3670" s="0" t="str">
        <f aca="false">IF(B3670="","",IF(COUNTIF(Campaigns!$A$7:$A$300,B3670)&gt;0,"✓","⚠ add to Campaigns tab"))</f>
        <v/>
      </c>
      <c r="I3670" s="84" t="str">
        <f aca="false">IF(C3670="","",C3670*IF(Settings!$B$22=Settings!$C$6,1,IF(Settings!$B$22="USD",1/INDEX(Settings!$B$29:$B$40,MONTH(A3670)),INDEX(Settings!$B$29:$B$40,MONTH(A3670)))))</f>
        <v/>
      </c>
    </row>
    <row r="3671" customFormat="false" ht="15" hidden="false" customHeight="false" outlineLevel="0" collapsed="false">
      <c r="H3671" s="0" t="str">
        <f aca="false">IF(B3671="","",IF(COUNTIF(Campaigns!$A$7:$A$300,B3671)&gt;0,"✓","⚠ add to Campaigns tab"))</f>
        <v/>
      </c>
      <c r="I3671" s="84" t="str">
        <f aca="false">IF(C3671="","",C3671*IF(Settings!$B$22=Settings!$C$6,1,IF(Settings!$B$22="USD",1/INDEX(Settings!$B$29:$B$40,MONTH(A3671)),INDEX(Settings!$B$29:$B$40,MONTH(A3671)))))</f>
        <v/>
      </c>
    </row>
    <row r="3672" customFormat="false" ht="15" hidden="false" customHeight="false" outlineLevel="0" collapsed="false">
      <c r="H3672" s="0" t="str">
        <f aca="false">IF(B3672="","",IF(COUNTIF(Campaigns!$A$7:$A$300,B3672)&gt;0,"✓","⚠ add to Campaigns tab"))</f>
        <v/>
      </c>
      <c r="I3672" s="84" t="str">
        <f aca="false">IF(C3672="","",C3672*IF(Settings!$B$22=Settings!$C$6,1,IF(Settings!$B$22="USD",1/INDEX(Settings!$B$29:$B$40,MONTH(A3672)),INDEX(Settings!$B$29:$B$40,MONTH(A3672)))))</f>
        <v/>
      </c>
    </row>
    <row r="3673" customFormat="false" ht="15" hidden="false" customHeight="false" outlineLevel="0" collapsed="false">
      <c r="H3673" s="0" t="str">
        <f aca="false">IF(B3673="","",IF(COUNTIF(Campaigns!$A$7:$A$300,B3673)&gt;0,"✓","⚠ add to Campaigns tab"))</f>
        <v/>
      </c>
      <c r="I3673" s="84" t="str">
        <f aca="false">IF(C3673="","",C3673*IF(Settings!$B$22=Settings!$C$6,1,IF(Settings!$B$22="USD",1/INDEX(Settings!$B$29:$B$40,MONTH(A3673)),INDEX(Settings!$B$29:$B$40,MONTH(A3673)))))</f>
        <v/>
      </c>
    </row>
    <row r="3674" customFormat="false" ht="15" hidden="false" customHeight="false" outlineLevel="0" collapsed="false">
      <c r="H3674" s="0" t="str">
        <f aca="false">IF(B3674="","",IF(COUNTIF(Campaigns!$A$7:$A$300,B3674)&gt;0,"✓","⚠ add to Campaigns tab"))</f>
        <v/>
      </c>
      <c r="I3674" s="84" t="str">
        <f aca="false">IF(C3674="","",C3674*IF(Settings!$B$22=Settings!$C$6,1,IF(Settings!$B$22="USD",1/INDEX(Settings!$B$29:$B$40,MONTH(A3674)),INDEX(Settings!$B$29:$B$40,MONTH(A3674)))))</f>
        <v/>
      </c>
    </row>
    <row r="3675" customFormat="false" ht="15" hidden="false" customHeight="false" outlineLevel="0" collapsed="false">
      <c r="H3675" s="0" t="str">
        <f aca="false">IF(B3675="","",IF(COUNTIF(Campaigns!$A$7:$A$300,B3675)&gt;0,"✓","⚠ add to Campaigns tab"))</f>
        <v/>
      </c>
      <c r="I3675" s="84" t="str">
        <f aca="false">IF(C3675="","",C3675*IF(Settings!$B$22=Settings!$C$6,1,IF(Settings!$B$22="USD",1/INDEX(Settings!$B$29:$B$40,MONTH(A3675)),INDEX(Settings!$B$29:$B$40,MONTH(A3675)))))</f>
        <v/>
      </c>
    </row>
    <row r="3676" customFormat="false" ht="15" hidden="false" customHeight="false" outlineLevel="0" collapsed="false">
      <c r="H3676" s="0" t="str">
        <f aca="false">IF(B3676="","",IF(COUNTIF(Campaigns!$A$7:$A$300,B3676)&gt;0,"✓","⚠ add to Campaigns tab"))</f>
        <v/>
      </c>
      <c r="I3676" s="84" t="str">
        <f aca="false">IF(C3676="","",C3676*IF(Settings!$B$22=Settings!$C$6,1,IF(Settings!$B$22="USD",1/INDEX(Settings!$B$29:$B$40,MONTH(A3676)),INDEX(Settings!$B$29:$B$40,MONTH(A3676)))))</f>
        <v/>
      </c>
    </row>
    <row r="3677" customFormat="false" ht="15" hidden="false" customHeight="false" outlineLevel="0" collapsed="false">
      <c r="H3677" s="0" t="str">
        <f aca="false">IF(B3677="","",IF(COUNTIF(Campaigns!$A$7:$A$300,B3677)&gt;0,"✓","⚠ add to Campaigns tab"))</f>
        <v/>
      </c>
      <c r="I3677" s="84" t="str">
        <f aca="false">IF(C3677="","",C3677*IF(Settings!$B$22=Settings!$C$6,1,IF(Settings!$B$22="USD",1/INDEX(Settings!$B$29:$B$40,MONTH(A3677)),INDEX(Settings!$B$29:$B$40,MONTH(A3677)))))</f>
        <v/>
      </c>
    </row>
    <row r="3678" customFormat="false" ht="15" hidden="false" customHeight="false" outlineLevel="0" collapsed="false">
      <c r="H3678" s="0" t="str">
        <f aca="false">IF(B3678="","",IF(COUNTIF(Campaigns!$A$7:$A$300,B3678)&gt;0,"✓","⚠ add to Campaigns tab"))</f>
        <v/>
      </c>
      <c r="I3678" s="84" t="str">
        <f aca="false">IF(C3678="","",C3678*IF(Settings!$B$22=Settings!$C$6,1,IF(Settings!$B$22="USD",1/INDEX(Settings!$B$29:$B$40,MONTH(A3678)),INDEX(Settings!$B$29:$B$40,MONTH(A3678)))))</f>
        <v/>
      </c>
    </row>
    <row r="3679" customFormat="false" ht="15" hidden="false" customHeight="false" outlineLevel="0" collapsed="false">
      <c r="H3679" s="0" t="str">
        <f aca="false">IF(B3679="","",IF(COUNTIF(Campaigns!$A$7:$A$300,B3679)&gt;0,"✓","⚠ add to Campaigns tab"))</f>
        <v/>
      </c>
      <c r="I3679" s="84" t="str">
        <f aca="false">IF(C3679="","",C3679*IF(Settings!$B$22=Settings!$C$6,1,IF(Settings!$B$22="USD",1/INDEX(Settings!$B$29:$B$40,MONTH(A3679)),INDEX(Settings!$B$29:$B$40,MONTH(A3679)))))</f>
        <v/>
      </c>
    </row>
    <row r="3680" customFormat="false" ht="15" hidden="false" customHeight="false" outlineLevel="0" collapsed="false">
      <c r="H3680" s="0" t="str">
        <f aca="false">IF(B3680="","",IF(COUNTIF(Campaigns!$A$7:$A$300,B3680)&gt;0,"✓","⚠ add to Campaigns tab"))</f>
        <v/>
      </c>
      <c r="I3680" s="84" t="str">
        <f aca="false">IF(C3680="","",C3680*IF(Settings!$B$22=Settings!$C$6,1,IF(Settings!$B$22="USD",1/INDEX(Settings!$B$29:$B$40,MONTH(A3680)),INDEX(Settings!$B$29:$B$40,MONTH(A3680)))))</f>
        <v/>
      </c>
    </row>
    <row r="3681" customFormat="false" ht="15" hidden="false" customHeight="false" outlineLevel="0" collapsed="false">
      <c r="H3681" s="0" t="str">
        <f aca="false">IF(B3681="","",IF(COUNTIF(Campaigns!$A$7:$A$300,B3681)&gt;0,"✓","⚠ add to Campaigns tab"))</f>
        <v/>
      </c>
      <c r="I3681" s="84" t="str">
        <f aca="false">IF(C3681="","",C3681*IF(Settings!$B$22=Settings!$C$6,1,IF(Settings!$B$22="USD",1/INDEX(Settings!$B$29:$B$40,MONTH(A3681)),INDEX(Settings!$B$29:$B$40,MONTH(A3681)))))</f>
        <v/>
      </c>
    </row>
    <row r="3682" customFormat="false" ht="15" hidden="false" customHeight="false" outlineLevel="0" collapsed="false">
      <c r="H3682" s="0" t="str">
        <f aca="false">IF(B3682="","",IF(COUNTIF(Campaigns!$A$7:$A$300,B3682)&gt;0,"✓","⚠ add to Campaigns tab"))</f>
        <v/>
      </c>
      <c r="I3682" s="84" t="str">
        <f aca="false">IF(C3682="","",C3682*IF(Settings!$B$22=Settings!$C$6,1,IF(Settings!$B$22="USD",1/INDEX(Settings!$B$29:$B$40,MONTH(A3682)),INDEX(Settings!$B$29:$B$40,MONTH(A3682)))))</f>
        <v/>
      </c>
    </row>
    <row r="3683" customFormat="false" ht="15" hidden="false" customHeight="false" outlineLevel="0" collapsed="false">
      <c r="H3683" s="0" t="str">
        <f aca="false">IF(B3683="","",IF(COUNTIF(Campaigns!$A$7:$A$300,B3683)&gt;0,"✓","⚠ add to Campaigns tab"))</f>
        <v/>
      </c>
      <c r="I3683" s="84" t="str">
        <f aca="false">IF(C3683="","",C3683*IF(Settings!$B$22=Settings!$C$6,1,IF(Settings!$B$22="USD",1/INDEX(Settings!$B$29:$B$40,MONTH(A3683)),INDEX(Settings!$B$29:$B$40,MONTH(A3683)))))</f>
        <v/>
      </c>
    </row>
    <row r="3684" customFormat="false" ht="15" hidden="false" customHeight="false" outlineLevel="0" collapsed="false">
      <c r="H3684" s="0" t="str">
        <f aca="false">IF(B3684="","",IF(COUNTIF(Campaigns!$A$7:$A$300,B3684)&gt;0,"✓","⚠ add to Campaigns tab"))</f>
        <v/>
      </c>
      <c r="I3684" s="84" t="str">
        <f aca="false">IF(C3684="","",C3684*IF(Settings!$B$22=Settings!$C$6,1,IF(Settings!$B$22="USD",1/INDEX(Settings!$B$29:$B$40,MONTH(A3684)),INDEX(Settings!$B$29:$B$40,MONTH(A3684)))))</f>
        <v/>
      </c>
    </row>
    <row r="3685" customFormat="false" ht="15" hidden="false" customHeight="false" outlineLevel="0" collapsed="false">
      <c r="H3685" s="0" t="str">
        <f aca="false">IF(B3685="","",IF(COUNTIF(Campaigns!$A$7:$A$300,B3685)&gt;0,"✓","⚠ add to Campaigns tab"))</f>
        <v/>
      </c>
      <c r="I3685" s="84" t="str">
        <f aca="false">IF(C3685="","",C3685*IF(Settings!$B$22=Settings!$C$6,1,IF(Settings!$B$22="USD",1/INDEX(Settings!$B$29:$B$40,MONTH(A3685)),INDEX(Settings!$B$29:$B$40,MONTH(A3685)))))</f>
        <v/>
      </c>
    </row>
    <row r="3686" customFormat="false" ht="15" hidden="false" customHeight="false" outlineLevel="0" collapsed="false">
      <c r="H3686" s="0" t="str">
        <f aca="false">IF(B3686="","",IF(COUNTIF(Campaigns!$A$7:$A$300,B3686)&gt;0,"✓","⚠ add to Campaigns tab"))</f>
        <v/>
      </c>
      <c r="I3686" s="84" t="str">
        <f aca="false">IF(C3686="","",C3686*IF(Settings!$B$22=Settings!$C$6,1,IF(Settings!$B$22="USD",1/INDEX(Settings!$B$29:$B$40,MONTH(A3686)),INDEX(Settings!$B$29:$B$40,MONTH(A3686)))))</f>
        <v/>
      </c>
    </row>
    <row r="3687" customFormat="false" ht="15" hidden="false" customHeight="false" outlineLevel="0" collapsed="false">
      <c r="H3687" s="0" t="str">
        <f aca="false">IF(B3687="","",IF(COUNTIF(Campaigns!$A$7:$A$300,B3687)&gt;0,"✓","⚠ add to Campaigns tab"))</f>
        <v/>
      </c>
      <c r="I3687" s="84" t="str">
        <f aca="false">IF(C3687="","",C3687*IF(Settings!$B$22=Settings!$C$6,1,IF(Settings!$B$22="USD",1/INDEX(Settings!$B$29:$B$40,MONTH(A3687)),INDEX(Settings!$B$29:$B$40,MONTH(A3687)))))</f>
        <v/>
      </c>
    </row>
    <row r="3688" customFormat="false" ht="15" hidden="false" customHeight="false" outlineLevel="0" collapsed="false">
      <c r="H3688" s="0" t="str">
        <f aca="false">IF(B3688="","",IF(COUNTIF(Campaigns!$A$7:$A$300,B3688)&gt;0,"✓","⚠ add to Campaigns tab"))</f>
        <v/>
      </c>
      <c r="I3688" s="84" t="str">
        <f aca="false">IF(C3688="","",C3688*IF(Settings!$B$22=Settings!$C$6,1,IF(Settings!$B$22="USD",1/INDEX(Settings!$B$29:$B$40,MONTH(A3688)),INDEX(Settings!$B$29:$B$40,MONTH(A3688)))))</f>
        <v/>
      </c>
    </row>
    <row r="3689" customFormat="false" ht="15" hidden="false" customHeight="false" outlineLevel="0" collapsed="false">
      <c r="H3689" s="0" t="str">
        <f aca="false">IF(B3689="","",IF(COUNTIF(Campaigns!$A$7:$A$300,B3689)&gt;0,"✓","⚠ add to Campaigns tab"))</f>
        <v/>
      </c>
      <c r="I3689" s="84" t="str">
        <f aca="false">IF(C3689="","",C3689*IF(Settings!$B$22=Settings!$C$6,1,IF(Settings!$B$22="USD",1/INDEX(Settings!$B$29:$B$40,MONTH(A3689)),INDEX(Settings!$B$29:$B$40,MONTH(A3689)))))</f>
        <v/>
      </c>
    </row>
    <row r="3690" customFormat="false" ht="15" hidden="false" customHeight="false" outlineLevel="0" collapsed="false">
      <c r="H3690" s="0" t="str">
        <f aca="false">IF(B3690="","",IF(COUNTIF(Campaigns!$A$7:$A$300,B3690)&gt;0,"✓","⚠ add to Campaigns tab"))</f>
        <v/>
      </c>
      <c r="I3690" s="84" t="str">
        <f aca="false">IF(C3690="","",C3690*IF(Settings!$B$22=Settings!$C$6,1,IF(Settings!$B$22="USD",1/INDEX(Settings!$B$29:$B$40,MONTH(A3690)),INDEX(Settings!$B$29:$B$40,MONTH(A3690)))))</f>
        <v/>
      </c>
    </row>
    <row r="3691" customFormat="false" ht="15" hidden="false" customHeight="false" outlineLevel="0" collapsed="false">
      <c r="H3691" s="0" t="str">
        <f aca="false">IF(B3691="","",IF(COUNTIF(Campaigns!$A$7:$A$300,B3691)&gt;0,"✓","⚠ add to Campaigns tab"))</f>
        <v/>
      </c>
      <c r="I3691" s="84" t="str">
        <f aca="false">IF(C3691="","",C3691*IF(Settings!$B$22=Settings!$C$6,1,IF(Settings!$B$22="USD",1/INDEX(Settings!$B$29:$B$40,MONTH(A3691)),INDEX(Settings!$B$29:$B$40,MONTH(A3691)))))</f>
        <v/>
      </c>
    </row>
    <row r="3692" customFormat="false" ht="15" hidden="false" customHeight="false" outlineLevel="0" collapsed="false">
      <c r="H3692" s="0" t="str">
        <f aca="false">IF(B3692="","",IF(COUNTIF(Campaigns!$A$7:$A$300,B3692)&gt;0,"✓","⚠ add to Campaigns tab"))</f>
        <v/>
      </c>
      <c r="I3692" s="84" t="str">
        <f aca="false">IF(C3692="","",C3692*IF(Settings!$B$22=Settings!$C$6,1,IF(Settings!$B$22="USD",1/INDEX(Settings!$B$29:$B$40,MONTH(A3692)),INDEX(Settings!$B$29:$B$40,MONTH(A3692)))))</f>
        <v/>
      </c>
    </row>
    <row r="3693" customFormat="false" ht="15" hidden="false" customHeight="false" outlineLevel="0" collapsed="false">
      <c r="H3693" s="0" t="str">
        <f aca="false">IF(B3693="","",IF(COUNTIF(Campaigns!$A$7:$A$300,B3693)&gt;0,"✓","⚠ add to Campaigns tab"))</f>
        <v/>
      </c>
      <c r="I3693" s="84" t="str">
        <f aca="false">IF(C3693="","",C3693*IF(Settings!$B$22=Settings!$C$6,1,IF(Settings!$B$22="USD",1/INDEX(Settings!$B$29:$B$40,MONTH(A3693)),INDEX(Settings!$B$29:$B$40,MONTH(A3693)))))</f>
        <v/>
      </c>
    </row>
    <row r="3694" customFormat="false" ht="15" hidden="false" customHeight="false" outlineLevel="0" collapsed="false">
      <c r="H3694" s="0" t="str">
        <f aca="false">IF(B3694="","",IF(COUNTIF(Campaigns!$A$7:$A$300,B3694)&gt;0,"✓","⚠ add to Campaigns tab"))</f>
        <v/>
      </c>
      <c r="I3694" s="84" t="str">
        <f aca="false">IF(C3694="","",C3694*IF(Settings!$B$22=Settings!$C$6,1,IF(Settings!$B$22="USD",1/INDEX(Settings!$B$29:$B$40,MONTH(A3694)),INDEX(Settings!$B$29:$B$40,MONTH(A3694)))))</f>
        <v/>
      </c>
    </row>
    <row r="3695" customFormat="false" ht="15" hidden="false" customHeight="false" outlineLevel="0" collapsed="false">
      <c r="H3695" s="0" t="str">
        <f aca="false">IF(B3695="","",IF(COUNTIF(Campaigns!$A$7:$A$300,B3695)&gt;0,"✓","⚠ add to Campaigns tab"))</f>
        <v/>
      </c>
      <c r="I3695" s="84" t="str">
        <f aca="false">IF(C3695="","",C3695*IF(Settings!$B$22=Settings!$C$6,1,IF(Settings!$B$22="USD",1/INDEX(Settings!$B$29:$B$40,MONTH(A3695)),INDEX(Settings!$B$29:$B$40,MONTH(A3695)))))</f>
        <v/>
      </c>
    </row>
    <row r="3696" customFormat="false" ht="15" hidden="false" customHeight="false" outlineLevel="0" collapsed="false">
      <c r="H3696" s="0" t="str">
        <f aca="false">IF(B3696="","",IF(COUNTIF(Campaigns!$A$7:$A$300,B3696)&gt;0,"✓","⚠ add to Campaigns tab"))</f>
        <v/>
      </c>
      <c r="I3696" s="84" t="str">
        <f aca="false">IF(C3696="","",C3696*IF(Settings!$B$22=Settings!$C$6,1,IF(Settings!$B$22="USD",1/INDEX(Settings!$B$29:$B$40,MONTH(A3696)),INDEX(Settings!$B$29:$B$40,MONTH(A3696)))))</f>
        <v/>
      </c>
    </row>
    <row r="3697" customFormat="false" ht="15" hidden="false" customHeight="false" outlineLevel="0" collapsed="false">
      <c r="H3697" s="0" t="str">
        <f aca="false">IF(B3697="","",IF(COUNTIF(Campaigns!$A$7:$A$300,B3697)&gt;0,"✓","⚠ add to Campaigns tab"))</f>
        <v/>
      </c>
      <c r="I3697" s="84" t="str">
        <f aca="false">IF(C3697="","",C3697*IF(Settings!$B$22=Settings!$C$6,1,IF(Settings!$B$22="USD",1/INDEX(Settings!$B$29:$B$40,MONTH(A3697)),INDEX(Settings!$B$29:$B$40,MONTH(A3697)))))</f>
        <v/>
      </c>
    </row>
    <row r="3698" customFormat="false" ht="15" hidden="false" customHeight="false" outlineLevel="0" collapsed="false">
      <c r="H3698" s="0" t="str">
        <f aca="false">IF(B3698="","",IF(COUNTIF(Campaigns!$A$7:$A$300,B3698)&gt;0,"✓","⚠ add to Campaigns tab"))</f>
        <v/>
      </c>
      <c r="I3698" s="84" t="str">
        <f aca="false">IF(C3698="","",C3698*IF(Settings!$B$22=Settings!$C$6,1,IF(Settings!$B$22="USD",1/INDEX(Settings!$B$29:$B$40,MONTH(A3698)),INDEX(Settings!$B$29:$B$40,MONTH(A3698)))))</f>
        <v/>
      </c>
    </row>
    <row r="3699" customFormat="false" ht="15" hidden="false" customHeight="false" outlineLevel="0" collapsed="false">
      <c r="H3699" s="0" t="str">
        <f aca="false">IF(B3699="","",IF(COUNTIF(Campaigns!$A$7:$A$300,B3699)&gt;0,"✓","⚠ add to Campaigns tab"))</f>
        <v/>
      </c>
      <c r="I3699" s="84" t="str">
        <f aca="false">IF(C3699="","",C3699*IF(Settings!$B$22=Settings!$C$6,1,IF(Settings!$B$22="USD",1/INDEX(Settings!$B$29:$B$40,MONTH(A3699)),INDEX(Settings!$B$29:$B$40,MONTH(A3699)))))</f>
        <v/>
      </c>
    </row>
    <row r="3700" customFormat="false" ht="15" hidden="false" customHeight="false" outlineLevel="0" collapsed="false">
      <c r="H3700" s="0" t="str">
        <f aca="false">IF(B3700="","",IF(COUNTIF(Campaigns!$A$7:$A$300,B3700)&gt;0,"✓","⚠ add to Campaigns tab"))</f>
        <v/>
      </c>
      <c r="I3700" s="84" t="str">
        <f aca="false">IF(C3700="","",C3700*IF(Settings!$B$22=Settings!$C$6,1,IF(Settings!$B$22="USD",1/INDEX(Settings!$B$29:$B$40,MONTH(A3700)),INDEX(Settings!$B$29:$B$40,MONTH(A3700)))))</f>
        <v/>
      </c>
    </row>
    <row r="3701" customFormat="false" ht="15" hidden="false" customHeight="false" outlineLevel="0" collapsed="false">
      <c r="H3701" s="0" t="str">
        <f aca="false">IF(B3701="","",IF(COUNTIF(Campaigns!$A$7:$A$300,B3701)&gt;0,"✓","⚠ add to Campaigns tab"))</f>
        <v/>
      </c>
      <c r="I3701" s="84" t="str">
        <f aca="false">IF(C3701="","",C3701*IF(Settings!$B$22=Settings!$C$6,1,IF(Settings!$B$22="USD",1/INDEX(Settings!$B$29:$B$40,MONTH(A3701)),INDEX(Settings!$B$29:$B$40,MONTH(A3701)))))</f>
        <v/>
      </c>
    </row>
    <row r="3702" customFormat="false" ht="15" hidden="false" customHeight="false" outlineLevel="0" collapsed="false">
      <c r="H3702" s="0" t="str">
        <f aca="false">IF(B3702="","",IF(COUNTIF(Campaigns!$A$7:$A$300,B3702)&gt;0,"✓","⚠ add to Campaigns tab"))</f>
        <v/>
      </c>
      <c r="I3702" s="84" t="str">
        <f aca="false">IF(C3702="","",C3702*IF(Settings!$B$22=Settings!$C$6,1,IF(Settings!$B$22="USD",1/INDEX(Settings!$B$29:$B$40,MONTH(A3702)),INDEX(Settings!$B$29:$B$40,MONTH(A3702)))))</f>
        <v/>
      </c>
    </row>
    <row r="3703" customFormat="false" ht="15" hidden="false" customHeight="false" outlineLevel="0" collapsed="false">
      <c r="H3703" s="0" t="str">
        <f aca="false">IF(B3703="","",IF(COUNTIF(Campaigns!$A$7:$A$300,B3703)&gt;0,"✓","⚠ add to Campaigns tab"))</f>
        <v/>
      </c>
      <c r="I3703" s="84" t="str">
        <f aca="false">IF(C3703="","",C3703*IF(Settings!$B$22=Settings!$C$6,1,IF(Settings!$B$22="USD",1/INDEX(Settings!$B$29:$B$40,MONTH(A3703)),INDEX(Settings!$B$29:$B$40,MONTH(A3703)))))</f>
        <v/>
      </c>
    </row>
    <row r="3704" customFormat="false" ht="15" hidden="false" customHeight="false" outlineLevel="0" collapsed="false">
      <c r="H3704" s="0" t="str">
        <f aca="false">IF(B3704="","",IF(COUNTIF(Campaigns!$A$7:$A$300,B3704)&gt;0,"✓","⚠ add to Campaigns tab"))</f>
        <v/>
      </c>
      <c r="I3704" s="84" t="str">
        <f aca="false">IF(C3704="","",C3704*IF(Settings!$B$22=Settings!$C$6,1,IF(Settings!$B$22="USD",1/INDEX(Settings!$B$29:$B$40,MONTH(A3704)),INDEX(Settings!$B$29:$B$40,MONTH(A3704)))))</f>
        <v/>
      </c>
    </row>
    <row r="3705" customFormat="false" ht="15" hidden="false" customHeight="false" outlineLevel="0" collapsed="false">
      <c r="H3705" s="0" t="str">
        <f aca="false">IF(B3705="","",IF(COUNTIF(Campaigns!$A$7:$A$300,B3705)&gt;0,"✓","⚠ add to Campaigns tab"))</f>
        <v/>
      </c>
      <c r="I3705" s="84" t="str">
        <f aca="false">IF(C3705="","",C3705*IF(Settings!$B$22=Settings!$C$6,1,IF(Settings!$B$22="USD",1/INDEX(Settings!$B$29:$B$40,MONTH(A3705)),INDEX(Settings!$B$29:$B$40,MONTH(A3705)))))</f>
        <v/>
      </c>
    </row>
    <row r="3706" customFormat="false" ht="15" hidden="false" customHeight="false" outlineLevel="0" collapsed="false">
      <c r="H3706" s="0" t="str">
        <f aca="false">IF(B3706="","",IF(COUNTIF(Campaigns!$A$7:$A$300,B3706)&gt;0,"✓","⚠ add to Campaigns tab"))</f>
        <v/>
      </c>
      <c r="I3706" s="84" t="str">
        <f aca="false">IF(C3706="","",C3706*IF(Settings!$B$22=Settings!$C$6,1,IF(Settings!$B$22="USD",1/INDEX(Settings!$B$29:$B$40,MONTH(A3706)),INDEX(Settings!$B$29:$B$40,MONTH(A3706)))))</f>
        <v/>
      </c>
    </row>
    <row r="3707" customFormat="false" ht="15" hidden="false" customHeight="false" outlineLevel="0" collapsed="false">
      <c r="H3707" s="0" t="str">
        <f aca="false">IF(B3707="","",IF(COUNTIF(Campaigns!$A$7:$A$300,B3707)&gt;0,"✓","⚠ add to Campaigns tab"))</f>
        <v/>
      </c>
      <c r="I3707" s="84" t="str">
        <f aca="false">IF(C3707="","",C3707*IF(Settings!$B$22=Settings!$C$6,1,IF(Settings!$B$22="USD",1/INDEX(Settings!$B$29:$B$40,MONTH(A3707)),INDEX(Settings!$B$29:$B$40,MONTH(A3707)))))</f>
        <v/>
      </c>
    </row>
    <row r="3708" customFormat="false" ht="15" hidden="false" customHeight="false" outlineLevel="0" collapsed="false">
      <c r="H3708" s="0" t="str">
        <f aca="false">IF(B3708="","",IF(COUNTIF(Campaigns!$A$7:$A$300,B3708)&gt;0,"✓","⚠ add to Campaigns tab"))</f>
        <v/>
      </c>
      <c r="I3708" s="84" t="str">
        <f aca="false">IF(C3708="","",C3708*IF(Settings!$B$22=Settings!$C$6,1,IF(Settings!$B$22="USD",1/INDEX(Settings!$B$29:$B$40,MONTH(A3708)),INDEX(Settings!$B$29:$B$40,MONTH(A3708)))))</f>
        <v/>
      </c>
    </row>
    <row r="3709" customFormat="false" ht="15" hidden="false" customHeight="false" outlineLevel="0" collapsed="false">
      <c r="H3709" s="0" t="str">
        <f aca="false">IF(B3709="","",IF(COUNTIF(Campaigns!$A$7:$A$300,B3709)&gt;0,"✓","⚠ add to Campaigns tab"))</f>
        <v/>
      </c>
      <c r="I3709" s="84" t="str">
        <f aca="false">IF(C3709="","",C3709*IF(Settings!$B$22=Settings!$C$6,1,IF(Settings!$B$22="USD",1/INDEX(Settings!$B$29:$B$40,MONTH(A3709)),INDEX(Settings!$B$29:$B$40,MONTH(A3709)))))</f>
        <v/>
      </c>
    </row>
    <row r="3710" customFormat="false" ht="15" hidden="false" customHeight="false" outlineLevel="0" collapsed="false">
      <c r="H3710" s="0" t="str">
        <f aca="false">IF(B3710="","",IF(COUNTIF(Campaigns!$A$7:$A$300,B3710)&gt;0,"✓","⚠ add to Campaigns tab"))</f>
        <v/>
      </c>
      <c r="I3710" s="84" t="str">
        <f aca="false">IF(C3710="","",C3710*IF(Settings!$B$22=Settings!$C$6,1,IF(Settings!$B$22="USD",1/INDEX(Settings!$B$29:$B$40,MONTH(A3710)),INDEX(Settings!$B$29:$B$40,MONTH(A3710)))))</f>
        <v/>
      </c>
    </row>
    <row r="3711" customFormat="false" ht="15" hidden="false" customHeight="false" outlineLevel="0" collapsed="false">
      <c r="H3711" s="0" t="str">
        <f aca="false">IF(B3711="","",IF(COUNTIF(Campaigns!$A$7:$A$300,B3711)&gt;0,"✓","⚠ add to Campaigns tab"))</f>
        <v/>
      </c>
      <c r="I3711" s="84" t="str">
        <f aca="false">IF(C3711="","",C3711*IF(Settings!$B$22=Settings!$C$6,1,IF(Settings!$B$22="USD",1/INDEX(Settings!$B$29:$B$40,MONTH(A3711)),INDEX(Settings!$B$29:$B$40,MONTH(A3711)))))</f>
        <v/>
      </c>
    </row>
    <row r="3712" customFormat="false" ht="15" hidden="false" customHeight="false" outlineLevel="0" collapsed="false">
      <c r="H3712" s="0" t="str">
        <f aca="false">IF(B3712="","",IF(COUNTIF(Campaigns!$A$7:$A$300,B3712)&gt;0,"✓","⚠ add to Campaigns tab"))</f>
        <v/>
      </c>
      <c r="I3712" s="84" t="str">
        <f aca="false">IF(C3712="","",C3712*IF(Settings!$B$22=Settings!$C$6,1,IF(Settings!$B$22="USD",1/INDEX(Settings!$B$29:$B$40,MONTH(A3712)),INDEX(Settings!$B$29:$B$40,MONTH(A3712)))))</f>
        <v/>
      </c>
    </row>
    <row r="3713" customFormat="false" ht="15" hidden="false" customHeight="false" outlineLevel="0" collapsed="false">
      <c r="H3713" s="0" t="str">
        <f aca="false">IF(B3713="","",IF(COUNTIF(Campaigns!$A$7:$A$300,B3713)&gt;0,"✓","⚠ add to Campaigns tab"))</f>
        <v/>
      </c>
      <c r="I3713" s="84" t="str">
        <f aca="false">IF(C3713="","",C3713*IF(Settings!$B$22=Settings!$C$6,1,IF(Settings!$B$22="USD",1/INDEX(Settings!$B$29:$B$40,MONTH(A3713)),INDEX(Settings!$B$29:$B$40,MONTH(A3713)))))</f>
        <v/>
      </c>
    </row>
    <row r="3714" customFormat="false" ht="15" hidden="false" customHeight="false" outlineLevel="0" collapsed="false">
      <c r="H3714" s="0" t="str">
        <f aca="false">IF(B3714="","",IF(COUNTIF(Campaigns!$A$7:$A$300,B3714)&gt;0,"✓","⚠ add to Campaigns tab"))</f>
        <v/>
      </c>
      <c r="I3714" s="84" t="str">
        <f aca="false">IF(C3714="","",C3714*IF(Settings!$B$22=Settings!$C$6,1,IF(Settings!$B$22="USD",1/INDEX(Settings!$B$29:$B$40,MONTH(A3714)),INDEX(Settings!$B$29:$B$40,MONTH(A3714)))))</f>
        <v/>
      </c>
    </row>
    <row r="3715" customFormat="false" ht="15" hidden="false" customHeight="false" outlineLevel="0" collapsed="false">
      <c r="H3715" s="0" t="str">
        <f aca="false">IF(B3715="","",IF(COUNTIF(Campaigns!$A$7:$A$300,B3715)&gt;0,"✓","⚠ add to Campaigns tab"))</f>
        <v/>
      </c>
      <c r="I3715" s="84" t="str">
        <f aca="false">IF(C3715="","",C3715*IF(Settings!$B$22=Settings!$C$6,1,IF(Settings!$B$22="USD",1/INDEX(Settings!$B$29:$B$40,MONTH(A3715)),INDEX(Settings!$B$29:$B$40,MONTH(A3715)))))</f>
        <v/>
      </c>
    </row>
    <row r="3716" customFormat="false" ht="15" hidden="false" customHeight="false" outlineLevel="0" collapsed="false">
      <c r="H3716" s="0" t="str">
        <f aca="false">IF(B3716="","",IF(COUNTIF(Campaigns!$A$7:$A$300,B3716)&gt;0,"✓","⚠ add to Campaigns tab"))</f>
        <v/>
      </c>
      <c r="I3716" s="84" t="str">
        <f aca="false">IF(C3716="","",C3716*IF(Settings!$B$22=Settings!$C$6,1,IF(Settings!$B$22="USD",1/INDEX(Settings!$B$29:$B$40,MONTH(A3716)),INDEX(Settings!$B$29:$B$40,MONTH(A3716)))))</f>
        <v/>
      </c>
    </row>
    <row r="3717" customFormat="false" ht="15" hidden="false" customHeight="false" outlineLevel="0" collapsed="false">
      <c r="H3717" s="0" t="str">
        <f aca="false">IF(B3717="","",IF(COUNTIF(Campaigns!$A$7:$A$300,B3717)&gt;0,"✓","⚠ add to Campaigns tab"))</f>
        <v/>
      </c>
      <c r="I3717" s="84" t="str">
        <f aca="false">IF(C3717="","",C3717*IF(Settings!$B$22=Settings!$C$6,1,IF(Settings!$B$22="USD",1/INDEX(Settings!$B$29:$B$40,MONTH(A3717)),INDEX(Settings!$B$29:$B$40,MONTH(A3717)))))</f>
        <v/>
      </c>
    </row>
    <row r="3718" customFormat="false" ht="15" hidden="false" customHeight="false" outlineLevel="0" collapsed="false">
      <c r="H3718" s="0" t="str">
        <f aca="false">IF(B3718="","",IF(COUNTIF(Campaigns!$A$7:$A$300,B3718)&gt;0,"✓","⚠ add to Campaigns tab"))</f>
        <v/>
      </c>
      <c r="I3718" s="84" t="str">
        <f aca="false">IF(C3718="","",C3718*IF(Settings!$B$22=Settings!$C$6,1,IF(Settings!$B$22="USD",1/INDEX(Settings!$B$29:$B$40,MONTH(A3718)),INDEX(Settings!$B$29:$B$40,MONTH(A3718)))))</f>
        <v/>
      </c>
    </row>
    <row r="3719" customFormat="false" ht="15" hidden="false" customHeight="false" outlineLevel="0" collapsed="false">
      <c r="H3719" s="0" t="str">
        <f aca="false">IF(B3719="","",IF(COUNTIF(Campaigns!$A$7:$A$300,B3719)&gt;0,"✓","⚠ add to Campaigns tab"))</f>
        <v/>
      </c>
      <c r="I3719" s="84" t="str">
        <f aca="false">IF(C3719="","",C3719*IF(Settings!$B$22=Settings!$C$6,1,IF(Settings!$B$22="USD",1/INDEX(Settings!$B$29:$B$40,MONTH(A3719)),INDEX(Settings!$B$29:$B$40,MONTH(A3719)))))</f>
        <v/>
      </c>
    </row>
    <row r="3720" customFormat="false" ht="15" hidden="false" customHeight="false" outlineLevel="0" collapsed="false">
      <c r="H3720" s="0" t="str">
        <f aca="false">IF(B3720="","",IF(COUNTIF(Campaigns!$A$7:$A$300,B3720)&gt;0,"✓","⚠ add to Campaigns tab"))</f>
        <v/>
      </c>
      <c r="I3720" s="84" t="str">
        <f aca="false">IF(C3720="","",C3720*IF(Settings!$B$22=Settings!$C$6,1,IF(Settings!$B$22="USD",1/INDEX(Settings!$B$29:$B$40,MONTH(A3720)),INDEX(Settings!$B$29:$B$40,MONTH(A3720)))))</f>
        <v/>
      </c>
    </row>
    <row r="3721" customFormat="false" ht="15" hidden="false" customHeight="false" outlineLevel="0" collapsed="false">
      <c r="H3721" s="0" t="str">
        <f aca="false">IF(B3721="","",IF(COUNTIF(Campaigns!$A$7:$A$300,B3721)&gt;0,"✓","⚠ add to Campaigns tab"))</f>
        <v/>
      </c>
      <c r="I3721" s="84" t="str">
        <f aca="false">IF(C3721="","",C3721*IF(Settings!$B$22=Settings!$C$6,1,IF(Settings!$B$22="USD",1/INDEX(Settings!$B$29:$B$40,MONTH(A3721)),INDEX(Settings!$B$29:$B$40,MONTH(A3721)))))</f>
        <v/>
      </c>
    </row>
    <row r="3722" customFormat="false" ht="15" hidden="false" customHeight="false" outlineLevel="0" collapsed="false">
      <c r="H3722" s="0" t="str">
        <f aca="false">IF(B3722="","",IF(COUNTIF(Campaigns!$A$7:$A$300,B3722)&gt;0,"✓","⚠ add to Campaigns tab"))</f>
        <v/>
      </c>
      <c r="I3722" s="84" t="str">
        <f aca="false">IF(C3722="","",C3722*IF(Settings!$B$22=Settings!$C$6,1,IF(Settings!$B$22="USD",1/INDEX(Settings!$B$29:$B$40,MONTH(A3722)),INDEX(Settings!$B$29:$B$40,MONTH(A3722)))))</f>
        <v/>
      </c>
    </row>
    <row r="3723" customFormat="false" ht="15" hidden="false" customHeight="false" outlineLevel="0" collapsed="false">
      <c r="H3723" s="0" t="str">
        <f aca="false">IF(B3723="","",IF(COUNTIF(Campaigns!$A$7:$A$300,B3723)&gt;0,"✓","⚠ add to Campaigns tab"))</f>
        <v/>
      </c>
      <c r="I3723" s="84" t="str">
        <f aca="false">IF(C3723="","",C3723*IF(Settings!$B$22=Settings!$C$6,1,IF(Settings!$B$22="USD",1/INDEX(Settings!$B$29:$B$40,MONTH(A3723)),INDEX(Settings!$B$29:$B$40,MONTH(A3723)))))</f>
        <v/>
      </c>
    </row>
    <row r="3724" customFormat="false" ht="15" hidden="false" customHeight="false" outlineLevel="0" collapsed="false">
      <c r="H3724" s="0" t="str">
        <f aca="false">IF(B3724="","",IF(COUNTIF(Campaigns!$A$7:$A$300,B3724)&gt;0,"✓","⚠ add to Campaigns tab"))</f>
        <v/>
      </c>
      <c r="I3724" s="84" t="str">
        <f aca="false">IF(C3724="","",C3724*IF(Settings!$B$22=Settings!$C$6,1,IF(Settings!$B$22="USD",1/INDEX(Settings!$B$29:$B$40,MONTH(A3724)),INDEX(Settings!$B$29:$B$40,MONTH(A3724)))))</f>
        <v/>
      </c>
    </row>
    <row r="3725" customFormat="false" ht="15" hidden="false" customHeight="false" outlineLevel="0" collapsed="false">
      <c r="H3725" s="0" t="str">
        <f aca="false">IF(B3725="","",IF(COUNTIF(Campaigns!$A$7:$A$300,B3725)&gt;0,"✓","⚠ add to Campaigns tab"))</f>
        <v/>
      </c>
      <c r="I3725" s="84" t="str">
        <f aca="false">IF(C3725="","",C3725*IF(Settings!$B$22=Settings!$C$6,1,IF(Settings!$B$22="USD",1/INDEX(Settings!$B$29:$B$40,MONTH(A3725)),INDEX(Settings!$B$29:$B$40,MONTH(A3725)))))</f>
        <v/>
      </c>
    </row>
    <row r="3726" customFormat="false" ht="15" hidden="false" customHeight="false" outlineLevel="0" collapsed="false">
      <c r="H3726" s="0" t="str">
        <f aca="false">IF(B3726="","",IF(COUNTIF(Campaigns!$A$7:$A$300,B3726)&gt;0,"✓","⚠ add to Campaigns tab"))</f>
        <v/>
      </c>
      <c r="I3726" s="84" t="str">
        <f aca="false">IF(C3726="","",C3726*IF(Settings!$B$22=Settings!$C$6,1,IF(Settings!$B$22="USD",1/INDEX(Settings!$B$29:$B$40,MONTH(A3726)),INDEX(Settings!$B$29:$B$40,MONTH(A3726)))))</f>
        <v/>
      </c>
    </row>
    <row r="3727" customFormat="false" ht="15" hidden="false" customHeight="false" outlineLevel="0" collapsed="false">
      <c r="H3727" s="0" t="str">
        <f aca="false">IF(B3727="","",IF(COUNTIF(Campaigns!$A$7:$A$300,B3727)&gt;0,"✓","⚠ add to Campaigns tab"))</f>
        <v/>
      </c>
      <c r="I3727" s="84" t="str">
        <f aca="false">IF(C3727="","",C3727*IF(Settings!$B$22=Settings!$C$6,1,IF(Settings!$B$22="USD",1/INDEX(Settings!$B$29:$B$40,MONTH(A3727)),INDEX(Settings!$B$29:$B$40,MONTH(A3727)))))</f>
        <v/>
      </c>
    </row>
    <row r="3728" customFormat="false" ht="15" hidden="false" customHeight="false" outlineLevel="0" collapsed="false">
      <c r="H3728" s="0" t="str">
        <f aca="false">IF(B3728="","",IF(COUNTIF(Campaigns!$A$7:$A$300,B3728)&gt;0,"✓","⚠ add to Campaigns tab"))</f>
        <v/>
      </c>
      <c r="I3728" s="84" t="str">
        <f aca="false">IF(C3728="","",C3728*IF(Settings!$B$22=Settings!$C$6,1,IF(Settings!$B$22="USD",1/INDEX(Settings!$B$29:$B$40,MONTH(A3728)),INDEX(Settings!$B$29:$B$40,MONTH(A3728)))))</f>
        <v/>
      </c>
    </row>
    <row r="3729" customFormat="false" ht="15" hidden="false" customHeight="false" outlineLevel="0" collapsed="false">
      <c r="H3729" s="0" t="str">
        <f aca="false">IF(B3729="","",IF(COUNTIF(Campaigns!$A$7:$A$300,B3729)&gt;0,"✓","⚠ add to Campaigns tab"))</f>
        <v/>
      </c>
      <c r="I3729" s="84" t="str">
        <f aca="false">IF(C3729="","",C3729*IF(Settings!$B$22=Settings!$C$6,1,IF(Settings!$B$22="USD",1/INDEX(Settings!$B$29:$B$40,MONTH(A3729)),INDEX(Settings!$B$29:$B$40,MONTH(A3729)))))</f>
        <v/>
      </c>
    </row>
    <row r="3730" customFormat="false" ht="15" hidden="false" customHeight="false" outlineLevel="0" collapsed="false">
      <c r="H3730" s="0" t="str">
        <f aca="false">IF(B3730="","",IF(COUNTIF(Campaigns!$A$7:$A$300,B3730)&gt;0,"✓","⚠ add to Campaigns tab"))</f>
        <v/>
      </c>
      <c r="I3730" s="84" t="str">
        <f aca="false">IF(C3730="","",C3730*IF(Settings!$B$22=Settings!$C$6,1,IF(Settings!$B$22="USD",1/INDEX(Settings!$B$29:$B$40,MONTH(A3730)),INDEX(Settings!$B$29:$B$40,MONTH(A3730)))))</f>
        <v/>
      </c>
    </row>
    <row r="3731" customFormat="false" ht="15" hidden="false" customHeight="false" outlineLevel="0" collapsed="false">
      <c r="H3731" s="0" t="str">
        <f aca="false">IF(B3731="","",IF(COUNTIF(Campaigns!$A$7:$A$300,B3731)&gt;0,"✓","⚠ add to Campaigns tab"))</f>
        <v/>
      </c>
      <c r="I3731" s="84" t="str">
        <f aca="false">IF(C3731="","",C3731*IF(Settings!$B$22=Settings!$C$6,1,IF(Settings!$B$22="USD",1/INDEX(Settings!$B$29:$B$40,MONTH(A3731)),INDEX(Settings!$B$29:$B$40,MONTH(A3731)))))</f>
        <v/>
      </c>
    </row>
    <row r="3732" customFormat="false" ht="15" hidden="false" customHeight="false" outlineLevel="0" collapsed="false">
      <c r="H3732" s="0" t="str">
        <f aca="false">IF(B3732="","",IF(COUNTIF(Campaigns!$A$7:$A$300,B3732)&gt;0,"✓","⚠ add to Campaigns tab"))</f>
        <v/>
      </c>
      <c r="I3732" s="84" t="str">
        <f aca="false">IF(C3732="","",C3732*IF(Settings!$B$22=Settings!$C$6,1,IF(Settings!$B$22="USD",1/INDEX(Settings!$B$29:$B$40,MONTH(A3732)),INDEX(Settings!$B$29:$B$40,MONTH(A3732)))))</f>
        <v/>
      </c>
    </row>
    <row r="3733" customFormat="false" ht="15" hidden="false" customHeight="false" outlineLevel="0" collapsed="false">
      <c r="H3733" s="0" t="str">
        <f aca="false">IF(B3733="","",IF(COUNTIF(Campaigns!$A$7:$A$300,B3733)&gt;0,"✓","⚠ add to Campaigns tab"))</f>
        <v/>
      </c>
      <c r="I3733" s="84" t="str">
        <f aca="false">IF(C3733="","",C3733*IF(Settings!$B$22=Settings!$C$6,1,IF(Settings!$B$22="USD",1/INDEX(Settings!$B$29:$B$40,MONTH(A3733)),INDEX(Settings!$B$29:$B$40,MONTH(A3733)))))</f>
        <v/>
      </c>
    </row>
    <row r="3734" customFormat="false" ht="15" hidden="false" customHeight="false" outlineLevel="0" collapsed="false">
      <c r="H3734" s="0" t="str">
        <f aca="false">IF(B3734="","",IF(COUNTIF(Campaigns!$A$7:$A$300,B3734)&gt;0,"✓","⚠ add to Campaigns tab"))</f>
        <v/>
      </c>
      <c r="I3734" s="84" t="str">
        <f aca="false">IF(C3734="","",C3734*IF(Settings!$B$22=Settings!$C$6,1,IF(Settings!$B$22="USD",1/INDEX(Settings!$B$29:$B$40,MONTH(A3734)),INDEX(Settings!$B$29:$B$40,MONTH(A3734)))))</f>
        <v/>
      </c>
    </row>
    <row r="3735" customFormat="false" ht="15" hidden="false" customHeight="false" outlineLevel="0" collapsed="false">
      <c r="H3735" s="0" t="str">
        <f aca="false">IF(B3735="","",IF(COUNTIF(Campaigns!$A$7:$A$300,B3735)&gt;0,"✓","⚠ add to Campaigns tab"))</f>
        <v/>
      </c>
      <c r="I3735" s="84" t="str">
        <f aca="false">IF(C3735="","",C3735*IF(Settings!$B$22=Settings!$C$6,1,IF(Settings!$B$22="USD",1/INDEX(Settings!$B$29:$B$40,MONTH(A3735)),INDEX(Settings!$B$29:$B$40,MONTH(A3735)))))</f>
        <v/>
      </c>
    </row>
    <row r="3736" customFormat="false" ht="15" hidden="false" customHeight="false" outlineLevel="0" collapsed="false">
      <c r="H3736" s="0" t="str">
        <f aca="false">IF(B3736="","",IF(COUNTIF(Campaigns!$A$7:$A$300,B3736)&gt;0,"✓","⚠ add to Campaigns tab"))</f>
        <v/>
      </c>
      <c r="I3736" s="84" t="str">
        <f aca="false">IF(C3736="","",C3736*IF(Settings!$B$22=Settings!$C$6,1,IF(Settings!$B$22="USD",1/INDEX(Settings!$B$29:$B$40,MONTH(A3736)),INDEX(Settings!$B$29:$B$40,MONTH(A3736)))))</f>
        <v/>
      </c>
    </row>
    <row r="3737" customFormat="false" ht="15" hidden="false" customHeight="false" outlineLevel="0" collapsed="false">
      <c r="H3737" s="0" t="str">
        <f aca="false">IF(B3737="","",IF(COUNTIF(Campaigns!$A$7:$A$300,B3737)&gt;0,"✓","⚠ add to Campaigns tab"))</f>
        <v/>
      </c>
      <c r="I3737" s="84" t="str">
        <f aca="false">IF(C3737="","",C3737*IF(Settings!$B$22=Settings!$C$6,1,IF(Settings!$B$22="USD",1/INDEX(Settings!$B$29:$B$40,MONTH(A3737)),INDEX(Settings!$B$29:$B$40,MONTH(A3737)))))</f>
        <v/>
      </c>
    </row>
    <row r="3738" customFormat="false" ht="15" hidden="false" customHeight="false" outlineLevel="0" collapsed="false">
      <c r="H3738" s="0" t="str">
        <f aca="false">IF(B3738="","",IF(COUNTIF(Campaigns!$A$7:$A$300,B3738)&gt;0,"✓","⚠ add to Campaigns tab"))</f>
        <v/>
      </c>
      <c r="I3738" s="84" t="str">
        <f aca="false">IF(C3738="","",C3738*IF(Settings!$B$22=Settings!$C$6,1,IF(Settings!$B$22="USD",1/INDEX(Settings!$B$29:$B$40,MONTH(A3738)),INDEX(Settings!$B$29:$B$40,MONTH(A3738)))))</f>
        <v/>
      </c>
    </row>
    <row r="3739" customFormat="false" ht="15" hidden="false" customHeight="false" outlineLevel="0" collapsed="false">
      <c r="H3739" s="0" t="str">
        <f aca="false">IF(B3739="","",IF(COUNTIF(Campaigns!$A$7:$A$300,B3739)&gt;0,"✓","⚠ add to Campaigns tab"))</f>
        <v/>
      </c>
      <c r="I3739" s="84" t="str">
        <f aca="false">IF(C3739="","",C3739*IF(Settings!$B$22=Settings!$C$6,1,IF(Settings!$B$22="USD",1/INDEX(Settings!$B$29:$B$40,MONTH(A3739)),INDEX(Settings!$B$29:$B$40,MONTH(A3739)))))</f>
        <v/>
      </c>
    </row>
    <row r="3740" customFormat="false" ht="15" hidden="false" customHeight="false" outlineLevel="0" collapsed="false">
      <c r="H3740" s="0" t="str">
        <f aca="false">IF(B3740="","",IF(COUNTIF(Campaigns!$A$7:$A$300,B3740)&gt;0,"✓","⚠ add to Campaigns tab"))</f>
        <v/>
      </c>
      <c r="I3740" s="84" t="str">
        <f aca="false">IF(C3740="","",C3740*IF(Settings!$B$22=Settings!$C$6,1,IF(Settings!$B$22="USD",1/INDEX(Settings!$B$29:$B$40,MONTH(A3740)),INDEX(Settings!$B$29:$B$40,MONTH(A3740)))))</f>
        <v/>
      </c>
    </row>
    <row r="3741" customFormat="false" ht="15" hidden="false" customHeight="false" outlineLevel="0" collapsed="false">
      <c r="H3741" s="0" t="str">
        <f aca="false">IF(B3741="","",IF(COUNTIF(Campaigns!$A$7:$A$300,B3741)&gt;0,"✓","⚠ add to Campaigns tab"))</f>
        <v/>
      </c>
      <c r="I3741" s="84" t="str">
        <f aca="false">IF(C3741="","",C3741*IF(Settings!$B$22=Settings!$C$6,1,IF(Settings!$B$22="USD",1/INDEX(Settings!$B$29:$B$40,MONTH(A3741)),INDEX(Settings!$B$29:$B$40,MONTH(A3741)))))</f>
        <v/>
      </c>
    </row>
    <row r="3742" customFormat="false" ht="15" hidden="false" customHeight="false" outlineLevel="0" collapsed="false">
      <c r="H3742" s="0" t="str">
        <f aca="false">IF(B3742="","",IF(COUNTIF(Campaigns!$A$7:$A$300,B3742)&gt;0,"✓","⚠ add to Campaigns tab"))</f>
        <v/>
      </c>
      <c r="I3742" s="84" t="str">
        <f aca="false">IF(C3742="","",C3742*IF(Settings!$B$22=Settings!$C$6,1,IF(Settings!$B$22="USD",1/INDEX(Settings!$B$29:$B$40,MONTH(A3742)),INDEX(Settings!$B$29:$B$40,MONTH(A3742)))))</f>
        <v/>
      </c>
    </row>
    <row r="3743" customFormat="false" ht="15" hidden="false" customHeight="false" outlineLevel="0" collapsed="false">
      <c r="H3743" s="0" t="str">
        <f aca="false">IF(B3743="","",IF(COUNTIF(Campaigns!$A$7:$A$300,B3743)&gt;0,"✓","⚠ add to Campaigns tab"))</f>
        <v/>
      </c>
      <c r="I3743" s="84" t="str">
        <f aca="false">IF(C3743="","",C3743*IF(Settings!$B$22=Settings!$C$6,1,IF(Settings!$B$22="USD",1/INDEX(Settings!$B$29:$B$40,MONTH(A3743)),INDEX(Settings!$B$29:$B$40,MONTH(A3743)))))</f>
        <v/>
      </c>
    </row>
    <row r="3744" customFormat="false" ht="15" hidden="false" customHeight="false" outlineLevel="0" collapsed="false">
      <c r="H3744" s="0" t="str">
        <f aca="false">IF(B3744="","",IF(COUNTIF(Campaigns!$A$7:$A$300,B3744)&gt;0,"✓","⚠ add to Campaigns tab"))</f>
        <v/>
      </c>
      <c r="I3744" s="84" t="str">
        <f aca="false">IF(C3744="","",C3744*IF(Settings!$B$22=Settings!$C$6,1,IF(Settings!$B$22="USD",1/INDEX(Settings!$B$29:$B$40,MONTH(A3744)),INDEX(Settings!$B$29:$B$40,MONTH(A3744)))))</f>
        <v/>
      </c>
    </row>
    <row r="3745" customFormat="false" ht="15" hidden="false" customHeight="false" outlineLevel="0" collapsed="false">
      <c r="H3745" s="0" t="str">
        <f aca="false">IF(B3745="","",IF(COUNTIF(Campaigns!$A$7:$A$300,B3745)&gt;0,"✓","⚠ add to Campaigns tab"))</f>
        <v/>
      </c>
      <c r="I3745" s="84" t="str">
        <f aca="false">IF(C3745="","",C3745*IF(Settings!$B$22=Settings!$C$6,1,IF(Settings!$B$22="USD",1/INDEX(Settings!$B$29:$B$40,MONTH(A3745)),INDEX(Settings!$B$29:$B$40,MONTH(A3745)))))</f>
        <v/>
      </c>
    </row>
    <row r="3746" customFormat="false" ht="15" hidden="false" customHeight="false" outlineLevel="0" collapsed="false">
      <c r="H3746" s="0" t="str">
        <f aca="false">IF(B3746="","",IF(COUNTIF(Campaigns!$A$7:$A$300,B3746)&gt;0,"✓","⚠ add to Campaigns tab"))</f>
        <v/>
      </c>
      <c r="I3746" s="84" t="str">
        <f aca="false">IF(C3746="","",C3746*IF(Settings!$B$22=Settings!$C$6,1,IF(Settings!$B$22="USD",1/INDEX(Settings!$B$29:$B$40,MONTH(A3746)),INDEX(Settings!$B$29:$B$40,MONTH(A3746)))))</f>
        <v/>
      </c>
    </row>
    <row r="3747" customFormat="false" ht="15" hidden="false" customHeight="false" outlineLevel="0" collapsed="false">
      <c r="H3747" s="0" t="str">
        <f aca="false">IF(B3747="","",IF(COUNTIF(Campaigns!$A$7:$A$300,B3747)&gt;0,"✓","⚠ add to Campaigns tab"))</f>
        <v/>
      </c>
      <c r="I3747" s="84" t="str">
        <f aca="false">IF(C3747="","",C3747*IF(Settings!$B$22=Settings!$C$6,1,IF(Settings!$B$22="USD",1/INDEX(Settings!$B$29:$B$40,MONTH(A3747)),INDEX(Settings!$B$29:$B$40,MONTH(A3747)))))</f>
        <v/>
      </c>
    </row>
    <row r="3748" customFormat="false" ht="15" hidden="false" customHeight="false" outlineLevel="0" collapsed="false">
      <c r="H3748" s="0" t="str">
        <f aca="false">IF(B3748="","",IF(COUNTIF(Campaigns!$A$7:$A$300,B3748)&gt;0,"✓","⚠ add to Campaigns tab"))</f>
        <v/>
      </c>
      <c r="I3748" s="84" t="str">
        <f aca="false">IF(C3748="","",C3748*IF(Settings!$B$22=Settings!$C$6,1,IF(Settings!$B$22="USD",1/INDEX(Settings!$B$29:$B$40,MONTH(A3748)),INDEX(Settings!$B$29:$B$40,MONTH(A3748)))))</f>
        <v/>
      </c>
    </row>
    <row r="3749" customFormat="false" ht="15" hidden="false" customHeight="false" outlineLevel="0" collapsed="false">
      <c r="H3749" s="0" t="str">
        <f aca="false">IF(B3749="","",IF(COUNTIF(Campaigns!$A$7:$A$300,B3749)&gt;0,"✓","⚠ add to Campaigns tab"))</f>
        <v/>
      </c>
      <c r="I3749" s="84" t="str">
        <f aca="false">IF(C3749="","",C3749*IF(Settings!$B$22=Settings!$C$6,1,IF(Settings!$B$22="USD",1/INDEX(Settings!$B$29:$B$40,MONTH(A3749)),INDEX(Settings!$B$29:$B$40,MONTH(A3749)))))</f>
        <v/>
      </c>
    </row>
    <row r="3750" customFormat="false" ht="15" hidden="false" customHeight="false" outlineLevel="0" collapsed="false">
      <c r="H3750" s="0" t="str">
        <f aca="false">IF(B3750="","",IF(COUNTIF(Campaigns!$A$7:$A$300,B3750)&gt;0,"✓","⚠ add to Campaigns tab"))</f>
        <v/>
      </c>
      <c r="I3750" s="84" t="str">
        <f aca="false">IF(C3750="","",C3750*IF(Settings!$B$22=Settings!$C$6,1,IF(Settings!$B$22="USD",1/INDEX(Settings!$B$29:$B$40,MONTH(A3750)),INDEX(Settings!$B$29:$B$40,MONTH(A3750)))))</f>
        <v/>
      </c>
    </row>
    <row r="3751" customFormat="false" ht="15" hidden="false" customHeight="false" outlineLevel="0" collapsed="false">
      <c r="H3751" s="0" t="str">
        <f aca="false">IF(B3751="","",IF(COUNTIF(Campaigns!$A$7:$A$300,B3751)&gt;0,"✓","⚠ add to Campaigns tab"))</f>
        <v/>
      </c>
      <c r="I3751" s="84" t="str">
        <f aca="false">IF(C3751="","",C3751*IF(Settings!$B$22=Settings!$C$6,1,IF(Settings!$B$22="USD",1/INDEX(Settings!$B$29:$B$40,MONTH(A3751)),INDEX(Settings!$B$29:$B$40,MONTH(A3751)))))</f>
        <v/>
      </c>
    </row>
    <row r="3752" customFormat="false" ht="15" hidden="false" customHeight="false" outlineLevel="0" collapsed="false">
      <c r="H3752" s="0" t="str">
        <f aca="false">IF(B3752="","",IF(COUNTIF(Campaigns!$A$7:$A$300,B3752)&gt;0,"✓","⚠ add to Campaigns tab"))</f>
        <v/>
      </c>
      <c r="I3752" s="84" t="str">
        <f aca="false">IF(C3752="","",C3752*IF(Settings!$B$22=Settings!$C$6,1,IF(Settings!$B$22="USD",1/INDEX(Settings!$B$29:$B$40,MONTH(A3752)),INDEX(Settings!$B$29:$B$40,MONTH(A3752)))))</f>
        <v/>
      </c>
    </row>
    <row r="3753" customFormat="false" ht="15" hidden="false" customHeight="false" outlineLevel="0" collapsed="false">
      <c r="H3753" s="0" t="str">
        <f aca="false">IF(B3753="","",IF(COUNTIF(Campaigns!$A$7:$A$300,B3753)&gt;0,"✓","⚠ add to Campaigns tab"))</f>
        <v/>
      </c>
      <c r="I3753" s="84" t="str">
        <f aca="false">IF(C3753="","",C3753*IF(Settings!$B$22=Settings!$C$6,1,IF(Settings!$B$22="USD",1/INDEX(Settings!$B$29:$B$40,MONTH(A3753)),INDEX(Settings!$B$29:$B$40,MONTH(A3753)))))</f>
        <v/>
      </c>
    </row>
    <row r="3754" customFormat="false" ht="15" hidden="false" customHeight="false" outlineLevel="0" collapsed="false">
      <c r="H3754" s="0" t="str">
        <f aca="false">IF(B3754="","",IF(COUNTIF(Campaigns!$A$7:$A$300,B3754)&gt;0,"✓","⚠ add to Campaigns tab"))</f>
        <v/>
      </c>
      <c r="I3754" s="84" t="str">
        <f aca="false">IF(C3754="","",C3754*IF(Settings!$B$22=Settings!$C$6,1,IF(Settings!$B$22="USD",1/INDEX(Settings!$B$29:$B$40,MONTH(A3754)),INDEX(Settings!$B$29:$B$40,MONTH(A3754)))))</f>
        <v/>
      </c>
    </row>
    <row r="3755" customFormat="false" ht="15" hidden="false" customHeight="false" outlineLevel="0" collapsed="false">
      <c r="H3755" s="0" t="str">
        <f aca="false">IF(B3755="","",IF(COUNTIF(Campaigns!$A$7:$A$300,B3755)&gt;0,"✓","⚠ add to Campaigns tab"))</f>
        <v/>
      </c>
      <c r="I3755" s="84" t="str">
        <f aca="false">IF(C3755="","",C3755*IF(Settings!$B$22=Settings!$C$6,1,IF(Settings!$B$22="USD",1/INDEX(Settings!$B$29:$B$40,MONTH(A3755)),INDEX(Settings!$B$29:$B$40,MONTH(A3755)))))</f>
        <v/>
      </c>
    </row>
    <row r="3756" customFormat="false" ht="15" hidden="false" customHeight="false" outlineLevel="0" collapsed="false">
      <c r="H3756" s="0" t="str">
        <f aca="false">IF(B3756="","",IF(COUNTIF(Campaigns!$A$7:$A$300,B3756)&gt;0,"✓","⚠ add to Campaigns tab"))</f>
        <v/>
      </c>
      <c r="I3756" s="84" t="str">
        <f aca="false">IF(C3756="","",C3756*IF(Settings!$B$22=Settings!$C$6,1,IF(Settings!$B$22="USD",1/INDEX(Settings!$B$29:$B$40,MONTH(A3756)),INDEX(Settings!$B$29:$B$40,MONTH(A3756)))))</f>
        <v/>
      </c>
    </row>
    <row r="3757" customFormat="false" ht="15" hidden="false" customHeight="false" outlineLevel="0" collapsed="false">
      <c r="H3757" s="0" t="str">
        <f aca="false">IF(B3757="","",IF(COUNTIF(Campaigns!$A$7:$A$300,B3757)&gt;0,"✓","⚠ add to Campaigns tab"))</f>
        <v/>
      </c>
      <c r="I3757" s="84" t="str">
        <f aca="false">IF(C3757="","",C3757*IF(Settings!$B$22=Settings!$C$6,1,IF(Settings!$B$22="USD",1/INDEX(Settings!$B$29:$B$40,MONTH(A3757)),INDEX(Settings!$B$29:$B$40,MONTH(A3757)))))</f>
        <v/>
      </c>
    </row>
    <row r="3758" customFormat="false" ht="15" hidden="false" customHeight="false" outlineLevel="0" collapsed="false">
      <c r="H3758" s="0" t="str">
        <f aca="false">IF(B3758="","",IF(COUNTIF(Campaigns!$A$7:$A$300,B3758)&gt;0,"✓","⚠ add to Campaigns tab"))</f>
        <v/>
      </c>
      <c r="I3758" s="84" t="str">
        <f aca="false">IF(C3758="","",C3758*IF(Settings!$B$22=Settings!$C$6,1,IF(Settings!$B$22="USD",1/INDEX(Settings!$B$29:$B$40,MONTH(A3758)),INDEX(Settings!$B$29:$B$40,MONTH(A3758)))))</f>
        <v/>
      </c>
    </row>
    <row r="3759" customFormat="false" ht="15" hidden="false" customHeight="false" outlineLevel="0" collapsed="false">
      <c r="H3759" s="0" t="str">
        <f aca="false">IF(B3759="","",IF(COUNTIF(Campaigns!$A$7:$A$300,B3759)&gt;0,"✓","⚠ add to Campaigns tab"))</f>
        <v/>
      </c>
      <c r="I3759" s="84" t="str">
        <f aca="false">IF(C3759="","",C3759*IF(Settings!$B$22=Settings!$C$6,1,IF(Settings!$B$22="USD",1/INDEX(Settings!$B$29:$B$40,MONTH(A3759)),INDEX(Settings!$B$29:$B$40,MONTH(A3759)))))</f>
        <v/>
      </c>
    </row>
    <row r="3760" customFormat="false" ht="15" hidden="false" customHeight="false" outlineLevel="0" collapsed="false">
      <c r="H3760" s="0" t="str">
        <f aca="false">IF(B3760="","",IF(COUNTIF(Campaigns!$A$7:$A$300,B3760)&gt;0,"✓","⚠ add to Campaigns tab"))</f>
        <v/>
      </c>
      <c r="I3760" s="84" t="str">
        <f aca="false">IF(C3760="","",C3760*IF(Settings!$B$22=Settings!$C$6,1,IF(Settings!$B$22="USD",1/INDEX(Settings!$B$29:$B$40,MONTH(A3760)),INDEX(Settings!$B$29:$B$40,MONTH(A3760)))))</f>
        <v/>
      </c>
    </row>
    <row r="3761" customFormat="false" ht="15" hidden="false" customHeight="false" outlineLevel="0" collapsed="false">
      <c r="H3761" s="0" t="str">
        <f aca="false">IF(B3761="","",IF(COUNTIF(Campaigns!$A$7:$A$300,B3761)&gt;0,"✓","⚠ add to Campaigns tab"))</f>
        <v/>
      </c>
      <c r="I3761" s="84" t="str">
        <f aca="false">IF(C3761="","",C3761*IF(Settings!$B$22=Settings!$C$6,1,IF(Settings!$B$22="USD",1/INDEX(Settings!$B$29:$B$40,MONTH(A3761)),INDEX(Settings!$B$29:$B$40,MONTH(A3761)))))</f>
        <v/>
      </c>
    </row>
    <row r="3762" customFormat="false" ht="15" hidden="false" customHeight="false" outlineLevel="0" collapsed="false">
      <c r="H3762" s="0" t="str">
        <f aca="false">IF(B3762="","",IF(COUNTIF(Campaigns!$A$7:$A$300,B3762)&gt;0,"✓","⚠ add to Campaigns tab"))</f>
        <v/>
      </c>
      <c r="I3762" s="84" t="str">
        <f aca="false">IF(C3762="","",C3762*IF(Settings!$B$22=Settings!$C$6,1,IF(Settings!$B$22="USD",1/INDEX(Settings!$B$29:$B$40,MONTH(A3762)),INDEX(Settings!$B$29:$B$40,MONTH(A3762)))))</f>
        <v/>
      </c>
    </row>
    <row r="3763" customFormat="false" ht="15" hidden="false" customHeight="false" outlineLevel="0" collapsed="false">
      <c r="H3763" s="0" t="str">
        <f aca="false">IF(B3763="","",IF(COUNTIF(Campaigns!$A$7:$A$300,B3763)&gt;0,"✓","⚠ add to Campaigns tab"))</f>
        <v/>
      </c>
      <c r="I3763" s="84" t="str">
        <f aca="false">IF(C3763="","",C3763*IF(Settings!$B$22=Settings!$C$6,1,IF(Settings!$B$22="USD",1/INDEX(Settings!$B$29:$B$40,MONTH(A3763)),INDEX(Settings!$B$29:$B$40,MONTH(A3763)))))</f>
        <v/>
      </c>
    </row>
    <row r="3764" customFormat="false" ht="15" hidden="false" customHeight="false" outlineLevel="0" collapsed="false">
      <c r="H3764" s="0" t="str">
        <f aca="false">IF(B3764="","",IF(COUNTIF(Campaigns!$A$7:$A$300,B3764)&gt;0,"✓","⚠ add to Campaigns tab"))</f>
        <v/>
      </c>
      <c r="I3764" s="84" t="str">
        <f aca="false">IF(C3764="","",C3764*IF(Settings!$B$22=Settings!$C$6,1,IF(Settings!$B$22="USD",1/INDEX(Settings!$B$29:$B$40,MONTH(A3764)),INDEX(Settings!$B$29:$B$40,MONTH(A3764)))))</f>
        <v/>
      </c>
    </row>
    <row r="3765" customFormat="false" ht="15" hidden="false" customHeight="false" outlineLevel="0" collapsed="false">
      <c r="H3765" s="0" t="str">
        <f aca="false">IF(B3765="","",IF(COUNTIF(Campaigns!$A$7:$A$300,B3765)&gt;0,"✓","⚠ add to Campaigns tab"))</f>
        <v/>
      </c>
      <c r="I3765" s="84" t="str">
        <f aca="false">IF(C3765="","",C3765*IF(Settings!$B$22=Settings!$C$6,1,IF(Settings!$B$22="USD",1/INDEX(Settings!$B$29:$B$40,MONTH(A3765)),INDEX(Settings!$B$29:$B$40,MONTH(A3765)))))</f>
        <v/>
      </c>
    </row>
    <row r="3766" customFormat="false" ht="15" hidden="false" customHeight="false" outlineLevel="0" collapsed="false">
      <c r="H3766" s="0" t="str">
        <f aca="false">IF(B3766="","",IF(COUNTIF(Campaigns!$A$7:$A$300,B3766)&gt;0,"✓","⚠ add to Campaigns tab"))</f>
        <v/>
      </c>
      <c r="I3766" s="84" t="str">
        <f aca="false">IF(C3766="","",C3766*IF(Settings!$B$22=Settings!$C$6,1,IF(Settings!$B$22="USD",1/INDEX(Settings!$B$29:$B$40,MONTH(A3766)),INDEX(Settings!$B$29:$B$40,MONTH(A3766)))))</f>
        <v/>
      </c>
    </row>
    <row r="3767" customFormat="false" ht="15" hidden="false" customHeight="false" outlineLevel="0" collapsed="false">
      <c r="H3767" s="0" t="str">
        <f aca="false">IF(B3767="","",IF(COUNTIF(Campaigns!$A$7:$A$300,B3767)&gt;0,"✓","⚠ add to Campaigns tab"))</f>
        <v/>
      </c>
      <c r="I3767" s="84" t="str">
        <f aca="false">IF(C3767="","",C3767*IF(Settings!$B$22=Settings!$C$6,1,IF(Settings!$B$22="USD",1/INDEX(Settings!$B$29:$B$40,MONTH(A3767)),INDEX(Settings!$B$29:$B$40,MONTH(A3767)))))</f>
        <v/>
      </c>
    </row>
    <row r="3768" customFormat="false" ht="15" hidden="false" customHeight="false" outlineLevel="0" collapsed="false">
      <c r="H3768" s="0" t="str">
        <f aca="false">IF(B3768="","",IF(COUNTIF(Campaigns!$A$7:$A$300,B3768)&gt;0,"✓","⚠ add to Campaigns tab"))</f>
        <v/>
      </c>
      <c r="I3768" s="84" t="str">
        <f aca="false">IF(C3768="","",C3768*IF(Settings!$B$22=Settings!$C$6,1,IF(Settings!$B$22="USD",1/INDEX(Settings!$B$29:$B$40,MONTH(A3768)),INDEX(Settings!$B$29:$B$40,MONTH(A3768)))))</f>
        <v/>
      </c>
    </row>
    <row r="3769" customFormat="false" ht="15" hidden="false" customHeight="false" outlineLevel="0" collapsed="false">
      <c r="H3769" s="0" t="str">
        <f aca="false">IF(B3769="","",IF(COUNTIF(Campaigns!$A$7:$A$300,B3769)&gt;0,"✓","⚠ add to Campaigns tab"))</f>
        <v/>
      </c>
      <c r="I3769" s="84" t="str">
        <f aca="false">IF(C3769="","",C3769*IF(Settings!$B$22=Settings!$C$6,1,IF(Settings!$B$22="USD",1/INDEX(Settings!$B$29:$B$40,MONTH(A3769)),INDEX(Settings!$B$29:$B$40,MONTH(A3769)))))</f>
        <v/>
      </c>
    </row>
    <row r="3770" customFormat="false" ht="15" hidden="false" customHeight="false" outlineLevel="0" collapsed="false">
      <c r="H3770" s="0" t="str">
        <f aca="false">IF(B3770="","",IF(COUNTIF(Campaigns!$A$7:$A$300,B3770)&gt;0,"✓","⚠ add to Campaigns tab"))</f>
        <v/>
      </c>
      <c r="I3770" s="84" t="str">
        <f aca="false">IF(C3770="","",C3770*IF(Settings!$B$22=Settings!$C$6,1,IF(Settings!$B$22="USD",1/INDEX(Settings!$B$29:$B$40,MONTH(A3770)),INDEX(Settings!$B$29:$B$40,MONTH(A3770)))))</f>
        <v/>
      </c>
    </row>
    <row r="3771" customFormat="false" ht="15" hidden="false" customHeight="false" outlineLevel="0" collapsed="false">
      <c r="H3771" s="0" t="str">
        <f aca="false">IF(B3771="","",IF(COUNTIF(Campaigns!$A$7:$A$300,B3771)&gt;0,"✓","⚠ add to Campaigns tab"))</f>
        <v/>
      </c>
      <c r="I3771" s="84" t="str">
        <f aca="false">IF(C3771="","",C3771*IF(Settings!$B$22=Settings!$C$6,1,IF(Settings!$B$22="USD",1/INDEX(Settings!$B$29:$B$40,MONTH(A3771)),INDEX(Settings!$B$29:$B$40,MONTH(A3771)))))</f>
        <v/>
      </c>
    </row>
    <row r="3772" customFormat="false" ht="15" hidden="false" customHeight="false" outlineLevel="0" collapsed="false">
      <c r="H3772" s="0" t="str">
        <f aca="false">IF(B3772="","",IF(COUNTIF(Campaigns!$A$7:$A$300,B3772)&gt;0,"✓","⚠ add to Campaigns tab"))</f>
        <v/>
      </c>
      <c r="I3772" s="84" t="str">
        <f aca="false">IF(C3772="","",C3772*IF(Settings!$B$22=Settings!$C$6,1,IF(Settings!$B$22="USD",1/INDEX(Settings!$B$29:$B$40,MONTH(A3772)),INDEX(Settings!$B$29:$B$40,MONTH(A3772)))))</f>
        <v/>
      </c>
    </row>
    <row r="3773" customFormat="false" ht="15" hidden="false" customHeight="false" outlineLevel="0" collapsed="false">
      <c r="H3773" s="0" t="str">
        <f aca="false">IF(B3773="","",IF(COUNTIF(Campaigns!$A$7:$A$300,B3773)&gt;0,"✓","⚠ add to Campaigns tab"))</f>
        <v/>
      </c>
      <c r="I3773" s="84" t="str">
        <f aca="false">IF(C3773="","",C3773*IF(Settings!$B$22=Settings!$C$6,1,IF(Settings!$B$22="USD",1/INDEX(Settings!$B$29:$B$40,MONTH(A3773)),INDEX(Settings!$B$29:$B$40,MONTH(A3773)))))</f>
        <v/>
      </c>
    </row>
    <row r="3774" customFormat="false" ht="15" hidden="false" customHeight="false" outlineLevel="0" collapsed="false">
      <c r="H3774" s="0" t="str">
        <f aca="false">IF(B3774="","",IF(COUNTIF(Campaigns!$A$7:$A$300,B3774)&gt;0,"✓","⚠ add to Campaigns tab"))</f>
        <v/>
      </c>
      <c r="I3774" s="84" t="str">
        <f aca="false">IF(C3774="","",C3774*IF(Settings!$B$22=Settings!$C$6,1,IF(Settings!$B$22="USD",1/INDEX(Settings!$B$29:$B$40,MONTH(A3774)),INDEX(Settings!$B$29:$B$40,MONTH(A3774)))))</f>
        <v/>
      </c>
    </row>
    <row r="3775" customFormat="false" ht="15" hidden="false" customHeight="false" outlineLevel="0" collapsed="false">
      <c r="H3775" s="0" t="str">
        <f aca="false">IF(B3775="","",IF(COUNTIF(Campaigns!$A$7:$A$300,B3775)&gt;0,"✓","⚠ add to Campaigns tab"))</f>
        <v/>
      </c>
      <c r="I3775" s="84" t="str">
        <f aca="false">IF(C3775="","",C3775*IF(Settings!$B$22=Settings!$C$6,1,IF(Settings!$B$22="USD",1/INDEX(Settings!$B$29:$B$40,MONTH(A3775)),INDEX(Settings!$B$29:$B$40,MONTH(A3775)))))</f>
        <v/>
      </c>
    </row>
    <row r="3776" customFormat="false" ht="15" hidden="false" customHeight="false" outlineLevel="0" collapsed="false">
      <c r="H3776" s="0" t="str">
        <f aca="false">IF(B3776="","",IF(COUNTIF(Campaigns!$A$7:$A$300,B3776)&gt;0,"✓","⚠ add to Campaigns tab"))</f>
        <v/>
      </c>
      <c r="I3776" s="84" t="str">
        <f aca="false">IF(C3776="","",C3776*IF(Settings!$B$22=Settings!$C$6,1,IF(Settings!$B$22="USD",1/INDEX(Settings!$B$29:$B$40,MONTH(A3776)),INDEX(Settings!$B$29:$B$40,MONTH(A3776)))))</f>
        <v/>
      </c>
    </row>
    <row r="3777" customFormat="false" ht="15" hidden="false" customHeight="false" outlineLevel="0" collapsed="false">
      <c r="H3777" s="0" t="str">
        <f aca="false">IF(B3777="","",IF(COUNTIF(Campaigns!$A$7:$A$300,B3777)&gt;0,"✓","⚠ add to Campaigns tab"))</f>
        <v/>
      </c>
      <c r="I3777" s="84" t="str">
        <f aca="false">IF(C3777="","",C3777*IF(Settings!$B$22=Settings!$C$6,1,IF(Settings!$B$22="USD",1/INDEX(Settings!$B$29:$B$40,MONTH(A3777)),INDEX(Settings!$B$29:$B$40,MONTH(A3777)))))</f>
        <v/>
      </c>
    </row>
    <row r="3778" customFormat="false" ht="15" hidden="false" customHeight="false" outlineLevel="0" collapsed="false">
      <c r="H3778" s="0" t="str">
        <f aca="false">IF(B3778="","",IF(COUNTIF(Campaigns!$A$7:$A$300,B3778)&gt;0,"✓","⚠ add to Campaigns tab"))</f>
        <v/>
      </c>
      <c r="I3778" s="84" t="str">
        <f aca="false">IF(C3778="","",C3778*IF(Settings!$B$22=Settings!$C$6,1,IF(Settings!$B$22="USD",1/INDEX(Settings!$B$29:$B$40,MONTH(A3778)),INDEX(Settings!$B$29:$B$40,MONTH(A3778)))))</f>
        <v/>
      </c>
    </row>
    <row r="3779" customFormat="false" ht="15" hidden="false" customHeight="false" outlineLevel="0" collapsed="false">
      <c r="H3779" s="0" t="str">
        <f aca="false">IF(B3779="","",IF(COUNTIF(Campaigns!$A$7:$A$300,B3779)&gt;0,"✓","⚠ add to Campaigns tab"))</f>
        <v/>
      </c>
      <c r="I3779" s="84" t="str">
        <f aca="false">IF(C3779="","",C3779*IF(Settings!$B$22=Settings!$C$6,1,IF(Settings!$B$22="USD",1/INDEX(Settings!$B$29:$B$40,MONTH(A3779)),INDEX(Settings!$B$29:$B$40,MONTH(A3779)))))</f>
        <v/>
      </c>
    </row>
    <row r="3780" customFormat="false" ht="15" hidden="false" customHeight="false" outlineLevel="0" collapsed="false">
      <c r="H3780" s="0" t="str">
        <f aca="false">IF(B3780="","",IF(COUNTIF(Campaigns!$A$7:$A$300,B3780)&gt;0,"✓","⚠ add to Campaigns tab"))</f>
        <v/>
      </c>
      <c r="I3780" s="84" t="str">
        <f aca="false">IF(C3780="","",C3780*IF(Settings!$B$22=Settings!$C$6,1,IF(Settings!$B$22="USD",1/INDEX(Settings!$B$29:$B$40,MONTH(A3780)),INDEX(Settings!$B$29:$B$40,MONTH(A3780)))))</f>
        <v/>
      </c>
    </row>
    <row r="3781" customFormat="false" ht="15" hidden="false" customHeight="false" outlineLevel="0" collapsed="false">
      <c r="H3781" s="0" t="str">
        <f aca="false">IF(B3781="","",IF(COUNTIF(Campaigns!$A$7:$A$300,B3781)&gt;0,"✓","⚠ add to Campaigns tab"))</f>
        <v/>
      </c>
      <c r="I3781" s="84" t="str">
        <f aca="false">IF(C3781="","",C3781*IF(Settings!$B$22=Settings!$C$6,1,IF(Settings!$B$22="USD",1/INDEX(Settings!$B$29:$B$40,MONTH(A3781)),INDEX(Settings!$B$29:$B$40,MONTH(A3781)))))</f>
        <v/>
      </c>
    </row>
    <row r="3782" customFormat="false" ht="15" hidden="false" customHeight="false" outlineLevel="0" collapsed="false">
      <c r="H3782" s="0" t="str">
        <f aca="false">IF(B3782="","",IF(COUNTIF(Campaigns!$A$7:$A$300,B3782)&gt;0,"✓","⚠ add to Campaigns tab"))</f>
        <v/>
      </c>
      <c r="I3782" s="84" t="str">
        <f aca="false">IF(C3782="","",C3782*IF(Settings!$B$22=Settings!$C$6,1,IF(Settings!$B$22="USD",1/INDEX(Settings!$B$29:$B$40,MONTH(A3782)),INDEX(Settings!$B$29:$B$40,MONTH(A3782)))))</f>
        <v/>
      </c>
    </row>
    <row r="3783" customFormat="false" ht="15" hidden="false" customHeight="false" outlineLevel="0" collapsed="false">
      <c r="H3783" s="0" t="str">
        <f aca="false">IF(B3783="","",IF(COUNTIF(Campaigns!$A$7:$A$300,B3783)&gt;0,"✓","⚠ add to Campaigns tab"))</f>
        <v/>
      </c>
      <c r="I3783" s="84" t="str">
        <f aca="false">IF(C3783="","",C3783*IF(Settings!$B$22=Settings!$C$6,1,IF(Settings!$B$22="USD",1/INDEX(Settings!$B$29:$B$40,MONTH(A3783)),INDEX(Settings!$B$29:$B$40,MONTH(A3783)))))</f>
        <v/>
      </c>
    </row>
    <row r="3784" customFormat="false" ht="15" hidden="false" customHeight="false" outlineLevel="0" collapsed="false">
      <c r="H3784" s="0" t="str">
        <f aca="false">IF(B3784="","",IF(COUNTIF(Campaigns!$A$7:$A$300,B3784)&gt;0,"✓","⚠ add to Campaigns tab"))</f>
        <v/>
      </c>
      <c r="I3784" s="84" t="str">
        <f aca="false">IF(C3784="","",C3784*IF(Settings!$B$22=Settings!$C$6,1,IF(Settings!$B$22="USD",1/INDEX(Settings!$B$29:$B$40,MONTH(A3784)),INDEX(Settings!$B$29:$B$40,MONTH(A3784)))))</f>
        <v/>
      </c>
    </row>
    <row r="3785" customFormat="false" ht="15" hidden="false" customHeight="false" outlineLevel="0" collapsed="false">
      <c r="H3785" s="0" t="str">
        <f aca="false">IF(B3785="","",IF(COUNTIF(Campaigns!$A$7:$A$300,B3785)&gt;0,"✓","⚠ add to Campaigns tab"))</f>
        <v/>
      </c>
      <c r="I3785" s="84" t="str">
        <f aca="false">IF(C3785="","",C3785*IF(Settings!$B$22=Settings!$C$6,1,IF(Settings!$B$22="USD",1/INDEX(Settings!$B$29:$B$40,MONTH(A3785)),INDEX(Settings!$B$29:$B$40,MONTH(A3785)))))</f>
        <v/>
      </c>
    </row>
    <row r="3786" customFormat="false" ht="15" hidden="false" customHeight="false" outlineLevel="0" collapsed="false">
      <c r="H3786" s="0" t="str">
        <f aca="false">IF(B3786="","",IF(COUNTIF(Campaigns!$A$7:$A$300,B3786)&gt;0,"✓","⚠ add to Campaigns tab"))</f>
        <v/>
      </c>
      <c r="I3786" s="84" t="str">
        <f aca="false">IF(C3786="","",C3786*IF(Settings!$B$22=Settings!$C$6,1,IF(Settings!$B$22="USD",1/INDEX(Settings!$B$29:$B$40,MONTH(A3786)),INDEX(Settings!$B$29:$B$40,MONTH(A3786)))))</f>
        <v/>
      </c>
    </row>
    <row r="3787" customFormat="false" ht="15" hidden="false" customHeight="false" outlineLevel="0" collapsed="false">
      <c r="H3787" s="0" t="str">
        <f aca="false">IF(B3787="","",IF(COUNTIF(Campaigns!$A$7:$A$300,B3787)&gt;0,"✓","⚠ add to Campaigns tab"))</f>
        <v/>
      </c>
      <c r="I3787" s="84" t="str">
        <f aca="false">IF(C3787="","",C3787*IF(Settings!$B$22=Settings!$C$6,1,IF(Settings!$B$22="USD",1/INDEX(Settings!$B$29:$B$40,MONTH(A3787)),INDEX(Settings!$B$29:$B$40,MONTH(A3787)))))</f>
        <v/>
      </c>
    </row>
    <row r="3788" customFormat="false" ht="15" hidden="false" customHeight="false" outlineLevel="0" collapsed="false">
      <c r="H3788" s="0" t="str">
        <f aca="false">IF(B3788="","",IF(COUNTIF(Campaigns!$A$7:$A$300,B3788)&gt;0,"✓","⚠ add to Campaigns tab"))</f>
        <v/>
      </c>
      <c r="I3788" s="84" t="str">
        <f aca="false">IF(C3788="","",C3788*IF(Settings!$B$22=Settings!$C$6,1,IF(Settings!$B$22="USD",1/INDEX(Settings!$B$29:$B$40,MONTH(A3788)),INDEX(Settings!$B$29:$B$40,MONTH(A3788)))))</f>
        <v/>
      </c>
    </row>
    <row r="3789" customFormat="false" ht="15" hidden="false" customHeight="false" outlineLevel="0" collapsed="false">
      <c r="H3789" s="0" t="str">
        <f aca="false">IF(B3789="","",IF(COUNTIF(Campaigns!$A$7:$A$300,B3789)&gt;0,"✓","⚠ add to Campaigns tab"))</f>
        <v/>
      </c>
      <c r="I3789" s="84" t="str">
        <f aca="false">IF(C3789="","",C3789*IF(Settings!$B$22=Settings!$C$6,1,IF(Settings!$B$22="USD",1/INDEX(Settings!$B$29:$B$40,MONTH(A3789)),INDEX(Settings!$B$29:$B$40,MONTH(A3789)))))</f>
        <v/>
      </c>
    </row>
    <row r="3790" customFormat="false" ht="15" hidden="false" customHeight="false" outlineLevel="0" collapsed="false">
      <c r="H3790" s="0" t="str">
        <f aca="false">IF(B3790="","",IF(COUNTIF(Campaigns!$A$7:$A$300,B3790)&gt;0,"✓","⚠ add to Campaigns tab"))</f>
        <v/>
      </c>
      <c r="I3790" s="84" t="str">
        <f aca="false">IF(C3790="","",C3790*IF(Settings!$B$22=Settings!$C$6,1,IF(Settings!$B$22="USD",1/INDEX(Settings!$B$29:$B$40,MONTH(A3790)),INDEX(Settings!$B$29:$B$40,MONTH(A3790)))))</f>
        <v/>
      </c>
    </row>
    <row r="3791" customFormat="false" ht="15" hidden="false" customHeight="false" outlineLevel="0" collapsed="false">
      <c r="H3791" s="0" t="str">
        <f aca="false">IF(B3791="","",IF(COUNTIF(Campaigns!$A$7:$A$300,B3791)&gt;0,"✓","⚠ add to Campaigns tab"))</f>
        <v/>
      </c>
      <c r="I3791" s="84" t="str">
        <f aca="false">IF(C3791="","",C3791*IF(Settings!$B$22=Settings!$C$6,1,IF(Settings!$B$22="USD",1/INDEX(Settings!$B$29:$B$40,MONTH(A3791)),INDEX(Settings!$B$29:$B$40,MONTH(A3791)))))</f>
        <v/>
      </c>
    </row>
    <row r="3792" customFormat="false" ht="15" hidden="false" customHeight="false" outlineLevel="0" collapsed="false">
      <c r="H3792" s="0" t="str">
        <f aca="false">IF(B3792="","",IF(COUNTIF(Campaigns!$A$7:$A$300,B3792)&gt;0,"✓","⚠ add to Campaigns tab"))</f>
        <v/>
      </c>
      <c r="I3792" s="84" t="str">
        <f aca="false">IF(C3792="","",C3792*IF(Settings!$B$22=Settings!$C$6,1,IF(Settings!$B$22="USD",1/INDEX(Settings!$B$29:$B$40,MONTH(A3792)),INDEX(Settings!$B$29:$B$40,MONTH(A3792)))))</f>
        <v/>
      </c>
    </row>
    <row r="3793" customFormat="false" ht="15" hidden="false" customHeight="false" outlineLevel="0" collapsed="false">
      <c r="H3793" s="0" t="str">
        <f aca="false">IF(B3793="","",IF(COUNTIF(Campaigns!$A$7:$A$300,B3793)&gt;0,"✓","⚠ add to Campaigns tab"))</f>
        <v/>
      </c>
      <c r="I3793" s="84" t="str">
        <f aca="false">IF(C3793="","",C3793*IF(Settings!$B$22=Settings!$C$6,1,IF(Settings!$B$22="USD",1/INDEX(Settings!$B$29:$B$40,MONTH(A3793)),INDEX(Settings!$B$29:$B$40,MONTH(A3793)))))</f>
        <v/>
      </c>
    </row>
    <row r="3794" customFormat="false" ht="15" hidden="false" customHeight="false" outlineLevel="0" collapsed="false">
      <c r="H3794" s="0" t="str">
        <f aca="false">IF(B3794="","",IF(COUNTIF(Campaigns!$A$7:$A$300,B3794)&gt;0,"✓","⚠ add to Campaigns tab"))</f>
        <v/>
      </c>
      <c r="I3794" s="84" t="str">
        <f aca="false">IF(C3794="","",C3794*IF(Settings!$B$22=Settings!$C$6,1,IF(Settings!$B$22="USD",1/INDEX(Settings!$B$29:$B$40,MONTH(A3794)),INDEX(Settings!$B$29:$B$40,MONTH(A3794)))))</f>
        <v/>
      </c>
    </row>
    <row r="3795" customFormat="false" ht="15" hidden="false" customHeight="false" outlineLevel="0" collapsed="false">
      <c r="H3795" s="0" t="str">
        <f aca="false">IF(B3795="","",IF(COUNTIF(Campaigns!$A$7:$A$300,B3795)&gt;0,"✓","⚠ add to Campaigns tab"))</f>
        <v/>
      </c>
      <c r="I3795" s="84" t="str">
        <f aca="false">IF(C3795="","",C3795*IF(Settings!$B$22=Settings!$C$6,1,IF(Settings!$B$22="USD",1/INDEX(Settings!$B$29:$B$40,MONTH(A3795)),INDEX(Settings!$B$29:$B$40,MONTH(A3795)))))</f>
        <v/>
      </c>
    </row>
    <row r="3796" customFormat="false" ht="15" hidden="false" customHeight="false" outlineLevel="0" collapsed="false">
      <c r="H3796" s="0" t="str">
        <f aca="false">IF(B3796="","",IF(COUNTIF(Campaigns!$A$7:$A$300,B3796)&gt;0,"✓","⚠ add to Campaigns tab"))</f>
        <v/>
      </c>
      <c r="I3796" s="84" t="str">
        <f aca="false">IF(C3796="","",C3796*IF(Settings!$B$22=Settings!$C$6,1,IF(Settings!$B$22="USD",1/INDEX(Settings!$B$29:$B$40,MONTH(A3796)),INDEX(Settings!$B$29:$B$40,MONTH(A3796)))))</f>
        <v/>
      </c>
    </row>
    <row r="3797" customFormat="false" ht="15" hidden="false" customHeight="false" outlineLevel="0" collapsed="false">
      <c r="H3797" s="0" t="str">
        <f aca="false">IF(B3797="","",IF(COUNTIF(Campaigns!$A$7:$A$300,B3797)&gt;0,"✓","⚠ add to Campaigns tab"))</f>
        <v/>
      </c>
      <c r="I3797" s="84" t="str">
        <f aca="false">IF(C3797="","",C3797*IF(Settings!$B$22=Settings!$C$6,1,IF(Settings!$B$22="USD",1/INDEX(Settings!$B$29:$B$40,MONTH(A3797)),INDEX(Settings!$B$29:$B$40,MONTH(A3797)))))</f>
        <v/>
      </c>
    </row>
    <row r="3798" customFormat="false" ht="15" hidden="false" customHeight="false" outlineLevel="0" collapsed="false">
      <c r="H3798" s="0" t="str">
        <f aca="false">IF(B3798="","",IF(COUNTIF(Campaigns!$A$7:$A$300,B3798)&gt;0,"✓","⚠ add to Campaigns tab"))</f>
        <v/>
      </c>
      <c r="I3798" s="84" t="str">
        <f aca="false">IF(C3798="","",C3798*IF(Settings!$B$22=Settings!$C$6,1,IF(Settings!$B$22="USD",1/INDEX(Settings!$B$29:$B$40,MONTH(A3798)),INDEX(Settings!$B$29:$B$40,MONTH(A3798)))))</f>
        <v/>
      </c>
    </row>
    <row r="3799" customFormat="false" ht="15" hidden="false" customHeight="false" outlineLevel="0" collapsed="false">
      <c r="H3799" s="0" t="str">
        <f aca="false">IF(B3799="","",IF(COUNTIF(Campaigns!$A$7:$A$300,B3799)&gt;0,"✓","⚠ add to Campaigns tab"))</f>
        <v/>
      </c>
      <c r="I3799" s="84" t="str">
        <f aca="false">IF(C3799="","",C3799*IF(Settings!$B$22=Settings!$C$6,1,IF(Settings!$B$22="USD",1/INDEX(Settings!$B$29:$B$40,MONTH(A3799)),INDEX(Settings!$B$29:$B$40,MONTH(A3799)))))</f>
        <v/>
      </c>
    </row>
    <row r="3800" customFormat="false" ht="15" hidden="false" customHeight="false" outlineLevel="0" collapsed="false">
      <c r="H3800" s="0" t="str">
        <f aca="false">IF(B3800="","",IF(COUNTIF(Campaigns!$A$7:$A$300,B3800)&gt;0,"✓","⚠ add to Campaigns tab"))</f>
        <v/>
      </c>
      <c r="I3800" s="84" t="str">
        <f aca="false">IF(C3800="","",C3800*IF(Settings!$B$22=Settings!$C$6,1,IF(Settings!$B$22="USD",1/INDEX(Settings!$B$29:$B$40,MONTH(A3800)),INDEX(Settings!$B$29:$B$40,MONTH(A3800)))))</f>
        <v/>
      </c>
    </row>
    <row r="3801" customFormat="false" ht="15" hidden="false" customHeight="false" outlineLevel="0" collapsed="false">
      <c r="H3801" s="0" t="str">
        <f aca="false">IF(B3801="","",IF(COUNTIF(Campaigns!$A$7:$A$300,B3801)&gt;0,"✓","⚠ add to Campaigns tab"))</f>
        <v/>
      </c>
      <c r="I3801" s="84" t="str">
        <f aca="false">IF(C3801="","",C3801*IF(Settings!$B$22=Settings!$C$6,1,IF(Settings!$B$22="USD",1/INDEX(Settings!$B$29:$B$40,MONTH(A3801)),INDEX(Settings!$B$29:$B$40,MONTH(A3801)))))</f>
        <v/>
      </c>
    </row>
    <row r="3802" customFormat="false" ht="15" hidden="false" customHeight="false" outlineLevel="0" collapsed="false">
      <c r="H3802" s="0" t="str">
        <f aca="false">IF(B3802="","",IF(COUNTIF(Campaigns!$A$7:$A$300,B3802)&gt;0,"✓","⚠ add to Campaigns tab"))</f>
        <v/>
      </c>
      <c r="I3802" s="84" t="str">
        <f aca="false">IF(C3802="","",C3802*IF(Settings!$B$22=Settings!$C$6,1,IF(Settings!$B$22="USD",1/INDEX(Settings!$B$29:$B$40,MONTH(A3802)),INDEX(Settings!$B$29:$B$40,MONTH(A3802)))))</f>
        <v/>
      </c>
    </row>
    <row r="3803" customFormat="false" ht="15" hidden="false" customHeight="false" outlineLevel="0" collapsed="false">
      <c r="H3803" s="0" t="str">
        <f aca="false">IF(B3803="","",IF(COUNTIF(Campaigns!$A$7:$A$300,B3803)&gt;0,"✓","⚠ add to Campaigns tab"))</f>
        <v/>
      </c>
      <c r="I3803" s="84" t="str">
        <f aca="false">IF(C3803="","",C3803*IF(Settings!$B$22=Settings!$C$6,1,IF(Settings!$B$22="USD",1/INDEX(Settings!$B$29:$B$40,MONTH(A3803)),INDEX(Settings!$B$29:$B$40,MONTH(A3803)))))</f>
        <v/>
      </c>
    </row>
    <row r="3804" customFormat="false" ht="15" hidden="false" customHeight="false" outlineLevel="0" collapsed="false">
      <c r="H3804" s="0" t="str">
        <f aca="false">IF(B3804="","",IF(COUNTIF(Campaigns!$A$7:$A$300,B3804)&gt;0,"✓","⚠ add to Campaigns tab"))</f>
        <v/>
      </c>
      <c r="I3804" s="84" t="str">
        <f aca="false">IF(C3804="","",C3804*IF(Settings!$B$22=Settings!$C$6,1,IF(Settings!$B$22="USD",1/INDEX(Settings!$B$29:$B$40,MONTH(A3804)),INDEX(Settings!$B$29:$B$40,MONTH(A3804)))))</f>
        <v/>
      </c>
    </row>
    <row r="3805" customFormat="false" ht="15" hidden="false" customHeight="false" outlineLevel="0" collapsed="false">
      <c r="H3805" s="0" t="str">
        <f aca="false">IF(B3805="","",IF(COUNTIF(Campaigns!$A$7:$A$300,B3805)&gt;0,"✓","⚠ add to Campaigns tab"))</f>
        <v/>
      </c>
      <c r="I3805" s="84" t="str">
        <f aca="false">IF(C3805="","",C3805*IF(Settings!$B$22=Settings!$C$6,1,IF(Settings!$B$22="USD",1/INDEX(Settings!$B$29:$B$40,MONTH(A3805)),INDEX(Settings!$B$29:$B$40,MONTH(A3805)))))</f>
        <v/>
      </c>
    </row>
    <row r="3806" customFormat="false" ht="15" hidden="false" customHeight="false" outlineLevel="0" collapsed="false">
      <c r="H3806" s="0" t="str">
        <f aca="false">IF(B3806="","",IF(COUNTIF(Campaigns!$A$7:$A$300,B3806)&gt;0,"✓","⚠ add to Campaigns tab"))</f>
        <v/>
      </c>
      <c r="I3806" s="84" t="str">
        <f aca="false">IF(C3806="","",C3806*IF(Settings!$B$22=Settings!$C$6,1,IF(Settings!$B$22="USD",1/INDEX(Settings!$B$29:$B$40,MONTH(A3806)),INDEX(Settings!$B$29:$B$40,MONTH(A3806)))))</f>
        <v/>
      </c>
    </row>
    <row r="3807" customFormat="false" ht="15" hidden="false" customHeight="false" outlineLevel="0" collapsed="false">
      <c r="H3807" s="0" t="str">
        <f aca="false">IF(B3807="","",IF(COUNTIF(Campaigns!$A$7:$A$300,B3807)&gt;0,"✓","⚠ add to Campaigns tab"))</f>
        <v/>
      </c>
      <c r="I3807" s="84" t="str">
        <f aca="false">IF(C3807="","",C3807*IF(Settings!$B$22=Settings!$C$6,1,IF(Settings!$B$22="USD",1/INDEX(Settings!$B$29:$B$40,MONTH(A3807)),INDEX(Settings!$B$29:$B$40,MONTH(A3807)))))</f>
        <v/>
      </c>
    </row>
    <row r="3808" customFormat="false" ht="15" hidden="false" customHeight="false" outlineLevel="0" collapsed="false">
      <c r="H3808" s="0" t="str">
        <f aca="false">IF(B3808="","",IF(COUNTIF(Campaigns!$A$7:$A$300,B3808)&gt;0,"✓","⚠ add to Campaigns tab"))</f>
        <v/>
      </c>
      <c r="I3808" s="84" t="str">
        <f aca="false">IF(C3808="","",C3808*IF(Settings!$B$22=Settings!$C$6,1,IF(Settings!$B$22="USD",1/INDEX(Settings!$B$29:$B$40,MONTH(A3808)),INDEX(Settings!$B$29:$B$40,MONTH(A3808)))))</f>
        <v/>
      </c>
    </row>
    <row r="3809" customFormat="false" ht="15" hidden="false" customHeight="false" outlineLevel="0" collapsed="false">
      <c r="H3809" s="0" t="str">
        <f aca="false">IF(B3809="","",IF(COUNTIF(Campaigns!$A$7:$A$300,B3809)&gt;0,"✓","⚠ add to Campaigns tab"))</f>
        <v/>
      </c>
      <c r="I3809" s="84" t="str">
        <f aca="false">IF(C3809="","",C3809*IF(Settings!$B$22=Settings!$C$6,1,IF(Settings!$B$22="USD",1/INDEX(Settings!$B$29:$B$40,MONTH(A3809)),INDEX(Settings!$B$29:$B$40,MONTH(A3809)))))</f>
        <v/>
      </c>
    </row>
    <row r="3810" customFormat="false" ht="15" hidden="false" customHeight="false" outlineLevel="0" collapsed="false">
      <c r="H3810" s="0" t="str">
        <f aca="false">IF(B3810="","",IF(COUNTIF(Campaigns!$A$7:$A$300,B3810)&gt;0,"✓","⚠ add to Campaigns tab"))</f>
        <v/>
      </c>
      <c r="I3810" s="84" t="str">
        <f aca="false">IF(C3810="","",C3810*IF(Settings!$B$22=Settings!$C$6,1,IF(Settings!$B$22="USD",1/INDEX(Settings!$B$29:$B$40,MONTH(A3810)),INDEX(Settings!$B$29:$B$40,MONTH(A3810)))))</f>
        <v/>
      </c>
    </row>
    <row r="3811" customFormat="false" ht="15" hidden="false" customHeight="false" outlineLevel="0" collapsed="false">
      <c r="H3811" s="0" t="str">
        <f aca="false">IF(B3811="","",IF(COUNTIF(Campaigns!$A$7:$A$300,B3811)&gt;0,"✓","⚠ add to Campaigns tab"))</f>
        <v/>
      </c>
      <c r="I3811" s="84" t="str">
        <f aca="false">IF(C3811="","",C3811*IF(Settings!$B$22=Settings!$C$6,1,IF(Settings!$B$22="USD",1/INDEX(Settings!$B$29:$B$40,MONTH(A3811)),INDEX(Settings!$B$29:$B$40,MONTH(A3811)))))</f>
        <v/>
      </c>
    </row>
    <row r="3812" customFormat="false" ht="15" hidden="false" customHeight="false" outlineLevel="0" collapsed="false">
      <c r="H3812" s="0" t="str">
        <f aca="false">IF(B3812="","",IF(COUNTIF(Campaigns!$A$7:$A$300,B3812)&gt;0,"✓","⚠ add to Campaigns tab"))</f>
        <v/>
      </c>
      <c r="I3812" s="84" t="str">
        <f aca="false">IF(C3812="","",C3812*IF(Settings!$B$22=Settings!$C$6,1,IF(Settings!$B$22="USD",1/INDEX(Settings!$B$29:$B$40,MONTH(A3812)),INDEX(Settings!$B$29:$B$40,MONTH(A3812)))))</f>
        <v/>
      </c>
    </row>
    <row r="3813" customFormat="false" ht="15" hidden="false" customHeight="false" outlineLevel="0" collapsed="false">
      <c r="H3813" s="0" t="str">
        <f aca="false">IF(B3813="","",IF(COUNTIF(Campaigns!$A$7:$A$300,B3813)&gt;0,"✓","⚠ add to Campaigns tab"))</f>
        <v/>
      </c>
      <c r="I3813" s="84" t="str">
        <f aca="false">IF(C3813="","",C3813*IF(Settings!$B$22=Settings!$C$6,1,IF(Settings!$B$22="USD",1/INDEX(Settings!$B$29:$B$40,MONTH(A3813)),INDEX(Settings!$B$29:$B$40,MONTH(A3813)))))</f>
        <v/>
      </c>
    </row>
    <row r="3814" customFormat="false" ht="15" hidden="false" customHeight="false" outlineLevel="0" collapsed="false">
      <c r="H3814" s="0" t="str">
        <f aca="false">IF(B3814="","",IF(COUNTIF(Campaigns!$A$7:$A$300,B3814)&gt;0,"✓","⚠ add to Campaigns tab"))</f>
        <v/>
      </c>
      <c r="I3814" s="84" t="str">
        <f aca="false">IF(C3814="","",C3814*IF(Settings!$B$22=Settings!$C$6,1,IF(Settings!$B$22="USD",1/INDEX(Settings!$B$29:$B$40,MONTH(A3814)),INDEX(Settings!$B$29:$B$40,MONTH(A3814)))))</f>
        <v/>
      </c>
    </row>
    <row r="3815" customFormat="false" ht="15" hidden="false" customHeight="false" outlineLevel="0" collapsed="false">
      <c r="H3815" s="0" t="str">
        <f aca="false">IF(B3815="","",IF(COUNTIF(Campaigns!$A$7:$A$300,B3815)&gt;0,"✓","⚠ add to Campaigns tab"))</f>
        <v/>
      </c>
      <c r="I3815" s="84" t="str">
        <f aca="false">IF(C3815="","",C3815*IF(Settings!$B$22=Settings!$C$6,1,IF(Settings!$B$22="USD",1/INDEX(Settings!$B$29:$B$40,MONTH(A3815)),INDEX(Settings!$B$29:$B$40,MONTH(A3815)))))</f>
        <v/>
      </c>
    </row>
    <row r="3816" customFormat="false" ht="15" hidden="false" customHeight="false" outlineLevel="0" collapsed="false">
      <c r="H3816" s="0" t="str">
        <f aca="false">IF(B3816="","",IF(COUNTIF(Campaigns!$A$7:$A$300,B3816)&gt;0,"✓","⚠ add to Campaigns tab"))</f>
        <v/>
      </c>
      <c r="I3816" s="84" t="str">
        <f aca="false">IF(C3816="","",C3816*IF(Settings!$B$22=Settings!$C$6,1,IF(Settings!$B$22="USD",1/INDEX(Settings!$B$29:$B$40,MONTH(A3816)),INDEX(Settings!$B$29:$B$40,MONTH(A3816)))))</f>
        <v/>
      </c>
    </row>
    <row r="3817" customFormat="false" ht="15" hidden="false" customHeight="false" outlineLevel="0" collapsed="false">
      <c r="H3817" s="0" t="str">
        <f aca="false">IF(B3817="","",IF(COUNTIF(Campaigns!$A$7:$A$300,B3817)&gt;0,"✓","⚠ add to Campaigns tab"))</f>
        <v/>
      </c>
      <c r="I3817" s="84" t="str">
        <f aca="false">IF(C3817="","",C3817*IF(Settings!$B$22=Settings!$C$6,1,IF(Settings!$B$22="USD",1/INDEX(Settings!$B$29:$B$40,MONTH(A3817)),INDEX(Settings!$B$29:$B$40,MONTH(A3817)))))</f>
        <v/>
      </c>
    </row>
    <row r="3818" customFormat="false" ht="15" hidden="false" customHeight="false" outlineLevel="0" collapsed="false">
      <c r="H3818" s="0" t="str">
        <f aca="false">IF(B3818="","",IF(COUNTIF(Campaigns!$A$7:$A$300,B3818)&gt;0,"✓","⚠ add to Campaigns tab"))</f>
        <v/>
      </c>
      <c r="I3818" s="84" t="str">
        <f aca="false">IF(C3818="","",C3818*IF(Settings!$B$22=Settings!$C$6,1,IF(Settings!$B$22="USD",1/INDEX(Settings!$B$29:$B$40,MONTH(A3818)),INDEX(Settings!$B$29:$B$40,MONTH(A3818)))))</f>
        <v/>
      </c>
    </row>
    <row r="3819" customFormat="false" ht="15" hidden="false" customHeight="false" outlineLevel="0" collapsed="false">
      <c r="H3819" s="0" t="str">
        <f aca="false">IF(B3819="","",IF(COUNTIF(Campaigns!$A$7:$A$300,B3819)&gt;0,"✓","⚠ add to Campaigns tab"))</f>
        <v/>
      </c>
      <c r="I3819" s="84" t="str">
        <f aca="false">IF(C3819="","",C3819*IF(Settings!$B$22=Settings!$C$6,1,IF(Settings!$B$22="USD",1/INDEX(Settings!$B$29:$B$40,MONTH(A3819)),INDEX(Settings!$B$29:$B$40,MONTH(A3819)))))</f>
        <v/>
      </c>
    </row>
    <row r="3820" customFormat="false" ht="15" hidden="false" customHeight="false" outlineLevel="0" collapsed="false">
      <c r="H3820" s="0" t="str">
        <f aca="false">IF(B3820="","",IF(COUNTIF(Campaigns!$A$7:$A$300,B3820)&gt;0,"✓","⚠ add to Campaigns tab"))</f>
        <v/>
      </c>
      <c r="I3820" s="84" t="str">
        <f aca="false">IF(C3820="","",C3820*IF(Settings!$B$22=Settings!$C$6,1,IF(Settings!$B$22="USD",1/INDEX(Settings!$B$29:$B$40,MONTH(A3820)),INDEX(Settings!$B$29:$B$40,MONTH(A3820)))))</f>
        <v/>
      </c>
    </row>
    <row r="3821" customFormat="false" ht="15" hidden="false" customHeight="false" outlineLevel="0" collapsed="false">
      <c r="H3821" s="0" t="str">
        <f aca="false">IF(B3821="","",IF(COUNTIF(Campaigns!$A$7:$A$300,B3821)&gt;0,"✓","⚠ add to Campaigns tab"))</f>
        <v/>
      </c>
      <c r="I3821" s="84" t="str">
        <f aca="false">IF(C3821="","",C3821*IF(Settings!$B$22=Settings!$C$6,1,IF(Settings!$B$22="USD",1/INDEX(Settings!$B$29:$B$40,MONTH(A3821)),INDEX(Settings!$B$29:$B$40,MONTH(A3821)))))</f>
        <v/>
      </c>
    </row>
    <row r="3822" customFormat="false" ht="15" hidden="false" customHeight="false" outlineLevel="0" collapsed="false">
      <c r="H3822" s="0" t="str">
        <f aca="false">IF(B3822="","",IF(COUNTIF(Campaigns!$A$7:$A$300,B3822)&gt;0,"✓","⚠ add to Campaigns tab"))</f>
        <v/>
      </c>
      <c r="I3822" s="84" t="str">
        <f aca="false">IF(C3822="","",C3822*IF(Settings!$B$22=Settings!$C$6,1,IF(Settings!$B$22="USD",1/INDEX(Settings!$B$29:$B$40,MONTH(A3822)),INDEX(Settings!$B$29:$B$40,MONTH(A3822)))))</f>
        <v/>
      </c>
    </row>
    <row r="3823" customFormat="false" ht="15" hidden="false" customHeight="false" outlineLevel="0" collapsed="false">
      <c r="H3823" s="0" t="str">
        <f aca="false">IF(B3823="","",IF(COUNTIF(Campaigns!$A$7:$A$300,B3823)&gt;0,"✓","⚠ add to Campaigns tab"))</f>
        <v/>
      </c>
      <c r="I3823" s="84" t="str">
        <f aca="false">IF(C3823="","",C3823*IF(Settings!$B$22=Settings!$C$6,1,IF(Settings!$B$22="USD",1/INDEX(Settings!$B$29:$B$40,MONTH(A3823)),INDEX(Settings!$B$29:$B$40,MONTH(A3823)))))</f>
        <v/>
      </c>
    </row>
    <row r="3824" customFormat="false" ht="15" hidden="false" customHeight="false" outlineLevel="0" collapsed="false">
      <c r="H3824" s="0" t="str">
        <f aca="false">IF(B3824="","",IF(COUNTIF(Campaigns!$A$7:$A$300,B3824)&gt;0,"✓","⚠ add to Campaigns tab"))</f>
        <v/>
      </c>
      <c r="I3824" s="84" t="str">
        <f aca="false">IF(C3824="","",C3824*IF(Settings!$B$22=Settings!$C$6,1,IF(Settings!$B$22="USD",1/INDEX(Settings!$B$29:$B$40,MONTH(A3824)),INDEX(Settings!$B$29:$B$40,MONTH(A3824)))))</f>
        <v/>
      </c>
    </row>
    <row r="3825" customFormat="false" ht="15" hidden="false" customHeight="false" outlineLevel="0" collapsed="false">
      <c r="H3825" s="0" t="str">
        <f aca="false">IF(B3825="","",IF(COUNTIF(Campaigns!$A$7:$A$300,B3825)&gt;0,"✓","⚠ add to Campaigns tab"))</f>
        <v/>
      </c>
      <c r="I3825" s="84" t="str">
        <f aca="false">IF(C3825="","",C3825*IF(Settings!$B$22=Settings!$C$6,1,IF(Settings!$B$22="USD",1/INDEX(Settings!$B$29:$B$40,MONTH(A3825)),INDEX(Settings!$B$29:$B$40,MONTH(A3825)))))</f>
        <v/>
      </c>
    </row>
    <row r="3826" customFormat="false" ht="15" hidden="false" customHeight="false" outlineLevel="0" collapsed="false">
      <c r="H3826" s="0" t="str">
        <f aca="false">IF(B3826="","",IF(COUNTIF(Campaigns!$A$7:$A$300,B3826)&gt;0,"✓","⚠ add to Campaigns tab"))</f>
        <v/>
      </c>
      <c r="I3826" s="84" t="str">
        <f aca="false">IF(C3826="","",C3826*IF(Settings!$B$22=Settings!$C$6,1,IF(Settings!$B$22="USD",1/INDEX(Settings!$B$29:$B$40,MONTH(A3826)),INDEX(Settings!$B$29:$B$40,MONTH(A3826)))))</f>
        <v/>
      </c>
    </row>
    <row r="3827" customFormat="false" ht="15" hidden="false" customHeight="false" outlineLevel="0" collapsed="false">
      <c r="H3827" s="0" t="str">
        <f aca="false">IF(B3827="","",IF(COUNTIF(Campaigns!$A$7:$A$300,B3827)&gt;0,"✓","⚠ add to Campaigns tab"))</f>
        <v/>
      </c>
      <c r="I3827" s="84" t="str">
        <f aca="false">IF(C3827="","",C3827*IF(Settings!$B$22=Settings!$C$6,1,IF(Settings!$B$22="USD",1/INDEX(Settings!$B$29:$B$40,MONTH(A3827)),INDEX(Settings!$B$29:$B$40,MONTH(A3827)))))</f>
        <v/>
      </c>
    </row>
    <row r="3828" customFormat="false" ht="15" hidden="false" customHeight="false" outlineLevel="0" collapsed="false">
      <c r="H3828" s="0" t="str">
        <f aca="false">IF(B3828="","",IF(COUNTIF(Campaigns!$A$7:$A$300,B3828)&gt;0,"✓","⚠ add to Campaigns tab"))</f>
        <v/>
      </c>
      <c r="I3828" s="84" t="str">
        <f aca="false">IF(C3828="","",C3828*IF(Settings!$B$22=Settings!$C$6,1,IF(Settings!$B$22="USD",1/INDEX(Settings!$B$29:$B$40,MONTH(A3828)),INDEX(Settings!$B$29:$B$40,MONTH(A3828)))))</f>
        <v/>
      </c>
    </row>
    <row r="3829" customFormat="false" ht="15" hidden="false" customHeight="false" outlineLevel="0" collapsed="false">
      <c r="H3829" s="0" t="str">
        <f aca="false">IF(B3829="","",IF(COUNTIF(Campaigns!$A$7:$A$300,B3829)&gt;0,"✓","⚠ add to Campaigns tab"))</f>
        <v/>
      </c>
      <c r="I3829" s="84" t="str">
        <f aca="false">IF(C3829="","",C3829*IF(Settings!$B$22=Settings!$C$6,1,IF(Settings!$B$22="USD",1/INDEX(Settings!$B$29:$B$40,MONTH(A3829)),INDEX(Settings!$B$29:$B$40,MONTH(A3829)))))</f>
        <v/>
      </c>
    </row>
    <row r="3830" customFormat="false" ht="15" hidden="false" customHeight="false" outlineLevel="0" collapsed="false">
      <c r="H3830" s="0" t="str">
        <f aca="false">IF(B3830="","",IF(COUNTIF(Campaigns!$A$7:$A$300,B3830)&gt;0,"✓","⚠ add to Campaigns tab"))</f>
        <v/>
      </c>
      <c r="I3830" s="84" t="str">
        <f aca="false">IF(C3830="","",C3830*IF(Settings!$B$22=Settings!$C$6,1,IF(Settings!$B$22="USD",1/INDEX(Settings!$B$29:$B$40,MONTH(A3830)),INDEX(Settings!$B$29:$B$40,MONTH(A3830)))))</f>
        <v/>
      </c>
    </row>
    <row r="3831" customFormat="false" ht="15" hidden="false" customHeight="false" outlineLevel="0" collapsed="false">
      <c r="H3831" s="0" t="str">
        <f aca="false">IF(B3831="","",IF(COUNTIF(Campaigns!$A$7:$A$300,B3831)&gt;0,"✓","⚠ add to Campaigns tab"))</f>
        <v/>
      </c>
      <c r="I3831" s="84" t="str">
        <f aca="false">IF(C3831="","",C3831*IF(Settings!$B$22=Settings!$C$6,1,IF(Settings!$B$22="USD",1/INDEX(Settings!$B$29:$B$40,MONTH(A3831)),INDEX(Settings!$B$29:$B$40,MONTH(A3831)))))</f>
        <v/>
      </c>
    </row>
    <row r="3832" customFormat="false" ht="15" hidden="false" customHeight="false" outlineLevel="0" collapsed="false">
      <c r="H3832" s="0" t="str">
        <f aca="false">IF(B3832="","",IF(COUNTIF(Campaigns!$A$7:$A$300,B3832)&gt;0,"✓","⚠ add to Campaigns tab"))</f>
        <v/>
      </c>
      <c r="I3832" s="84" t="str">
        <f aca="false">IF(C3832="","",C3832*IF(Settings!$B$22=Settings!$C$6,1,IF(Settings!$B$22="USD",1/INDEX(Settings!$B$29:$B$40,MONTH(A3832)),INDEX(Settings!$B$29:$B$40,MONTH(A3832)))))</f>
        <v/>
      </c>
    </row>
    <row r="3833" customFormat="false" ht="15" hidden="false" customHeight="false" outlineLevel="0" collapsed="false">
      <c r="H3833" s="0" t="str">
        <f aca="false">IF(B3833="","",IF(COUNTIF(Campaigns!$A$7:$A$300,B3833)&gt;0,"✓","⚠ add to Campaigns tab"))</f>
        <v/>
      </c>
      <c r="I3833" s="84" t="str">
        <f aca="false">IF(C3833="","",C3833*IF(Settings!$B$22=Settings!$C$6,1,IF(Settings!$B$22="USD",1/INDEX(Settings!$B$29:$B$40,MONTH(A3833)),INDEX(Settings!$B$29:$B$40,MONTH(A3833)))))</f>
        <v/>
      </c>
    </row>
    <row r="3834" customFormat="false" ht="15" hidden="false" customHeight="false" outlineLevel="0" collapsed="false">
      <c r="H3834" s="0" t="str">
        <f aca="false">IF(B3834="","",IF(COUNTIF(Campaigns!$A$7:$A$300,B3834)&gt;0,"✓","⚠ add to Campaigns tab"))</f>
        <v/>
      </c>
      <c r="I3834" s="84" t="str">
        <f aca="false">IF(C3834="","",C3834*IF(Settings!$B$22=Settings!$C$6,1,IF(Settings!$B$22="USD",1/INDEX(Settings!$B$29:$B$40,MONTH(A3834)),INDEX(Settings!$B$29:$B$40,MONTH(A3834)))))</f>
        <v/>
      </c>
    </row>
    <row r="3835" customFormat="false" ht="15" hidden="false" customHeight="false" outlineLevel="0" collapsed="false">
      <c r="H3835" s="0" t="str">
        <f aca="false">IF(B3835="","",IF(COUNTIF(Campaigns!$A$7:$A$300,B3835)&gt;0,"✓","⚠ add to Campaigns tab"))</f>
        <v/>
      </c>
      <c r="I3835" s="84" t="str">
        <f aca="false">IF(C3835="","",C3835*IF(Settings!$B$22=Settings!$C$6,1,IF(Settings!$B$22="USD",1/INDEX(Settings!$B$29:$B$40,MONTH(A3835)),INDEX(Settings!$B$29:$B$40,MONTH(A3835)))))</f>
        <v/>
      </c>
    </row>
    <row r="3836" customFormat="false" ht="15" hidden="false" customHeight="false" outlineLevel="0" collapsed="false">
      <c r="H3836" s="0" t="str">
        <f aca="false">IF(B3836="","",IF(COUNTIF(Campaigns!$A$7:$A$300,B3836)&gt;0,"✓","⚠ add to Campaigns tab"))</f>
        <v/>
      </c>
      <c r="I3836" s="84" t="str">
        <f aca="false">IF(C3836="","",C3836*IF(Settings!$B$22=Settings!$C$6,1,IF(Settings!$B$22="USD",1/INDEX(Settings!$B$29:$B$40,MONTH(A3836)),INDEX(Settings!$B$29:$B$40,MONTH(A3836)))))</f>
        <v/>
      </c>
    </row>
    <row r="3837" customFormat="false" ht="15" hidden="false" customHeight="false" outlineLevel="0" collapsed="false">
      <c r="H3837" s="0" t="str">
        <f aca="false">IF(B3837="","",IF(COUNTIF(Campaigns!$A$7:$A$300,B3837)&gt;0,"✓","⚠ add to Campaigns tab"))</f>
        <v/>
      </c>
      <c r="I3837" s="84" t="str">
        <f aca="false">IF(C3837="","",C3837*IF(Settings!$B$22=Settings!$C$6,1,IF(Settings!$B$22="USD",1/INDEX(Settings!$B$29:$B$40,MONTH(A3837)),INDEX(Settings!$B$29:$B$40,MONTH(A3837)))))</f>
        <v/>
      </c>
    </row>
    <row r="3838" customFormat="false" ht="15" hidden="false" customHeight="false" outlineLevel="0" collapsed="false">
      <c r="H3838" s="0" t="str">
        <f aca="false">IF(B3838="","",IF(COUNTIF(Campaigns!$A$7:$A$300,B3838)&gt;0,"✓","⚠ add to Campaigns tab"))</f>
        <v/>
      </c>
      <c r="I3838" s="84" t="str">
        <f aca="false">IF(C3838="","",C3838*IF(Settings!$B$22=Settings!$C$6,1,IF(Settings!$B$22="USD",1/INDEX(Settings!$B$29:$B$40,MONTH(A3838)),INDEX(Settings!$B$29:$B$40,MONTH(A3838)))))</f>
        <v/>
      </c>
    </row>
    <row r="3839" customFormat="false" ht="15" hidden="false" customHeight="false" outlineLevel="0" collapsed="false">
      <c r="H3839" s="0" t="str">
        <f aca="false">IF(B3839="","",IF(COUNTIF(Campaigns!$A$7:$A$300,B3839)&gt;0,"✓","⚠ add to Campaigns tab"))</f>
        <v/>
      </c>
      <c r="I3839" s="84" t="str">
        <f aca="false">IF(C3839="","",C3839*IF(Settings!$B$22=Settings!$C$6,1,IF(Settings!$B$22="USD",1/INDEX(Settings!$B$29:$B$40,MONTH(A3839)),INDEX(Settings!$B$29:$B$40,MONTH(A3839)))))</f>
        <v/>
      </c>
    </row>
    <row r="3840" customFormat="false" ht="15" hidden="false" customHeight="false" outlineLevel="0" collapsed="false">
      <c r="H3840" s="0" t="str">
        <f aca="false">IF(B3840="","",IF(COUNTIF(Campaigns!$A$7:$A$300,B3840)&gt;0,"✓","⚠ add to Campaigns tab"))</f>
        <v/>
      </c>
      <c r="I3840" s="84" t="str">
        <f aca="false">IF(C3840="","",C3840*IF(Settings!$B$22=Settings!$C$6,1,IF(Settings!$B$22="USD",1/INDEX(Settings!$B$29:$B$40,MONTH(A3840)),INDEX(Settings!$B$29:$B$40,MONTH(A3840)))))</f>
        <v/>
      </c>
    </row>
    <row r="3841" customFormat="false" ht="15" hidden="false" customHeight="false" outlineLevel="0" collapsed="false">
      <c r="H3841" s="0" t="str">
        <f aca="false">IF(B3841="","",IF(COUNTIF(Campaigns!$A$7:$A$300,B3841)&gt;0,"✓","⚠ add to Campaigns tab"))</f>
        <v/>
      </c>
      <c r="I3841" s="84" t="str">
        <f aca="false">IF(C3841="","",C3841*IF(Settings!$B$22=Settings!$C$6,1,IF(Settings!$B$22="USD",1/INDEX(Settings!$B$29:$B$40,MONTH(A3841)),INDEX(Settings!$B$29:$B$40,MONTH(A3841)))))</f>
        <v/>
      </c>
    </row>
    <row r="3842" customFormat="false" ht="15" hidden="false" customHeight="false" outlineLevel="0" collapsed="false">
      <c r="H3842" s="0" t="str">
        <f aca="false">IF(B3842="","",IF(COUNTIF(Campaigns!$A$7:$A$300,B3842)&gt;0,"✓","⚠ add to Campaigns tab"))</f>
        <v/>
      </c>
      <c r="I3842" s="84" t="str">
        <f aca="false">IF(C3842="","",C3842*IF(Settings!$B$22=Settings!$C$6,1,IF(Settings!$B$22="USD",1/INDEX(Settings!$B$29:$B$40,MONTH(A3842)),INDEX(Settings!$B$29:$B$40,MONTH(A3842)))))</f>
        <v/>
      </c>
    </row>
    <row r="3843" customFormat="false" ht="15" hidden="false" customHeight="false" outlineLevel="0" collapsed="false">
      <c r="H3843" s="0" t="str">
        <f aca="false">IF(B3843="","",IF(COUNTIF(Campaigns!$A$7:$A$300,B3843)&gt;0,"✓","⚠ add to Campaigns tab"))</f>
        <v/>
      </c>
      <c r="I3843" s="84" t="str">
        <f aca="false">IF(C3843="","",C3843*IF(Settings!$B$22=Settings!$C$6,1,IF(Settings!$B$22="USD",1/INDEX(Settings!$B$29:$B$40,MONTH(A3843)),INDEX(Settings!$B$29:$B$40,MONTH(A3843)))))</f>
        <v/>
      </c>
    </row>
    <row r="3844" customFormat="false" ht="15" hidden="false" customHeight="false" outlineLevel="0" collapsed="false">
      <c r="H3844" s="0" t="str">
        <f aca="false">IF(B3844="","",IF(COUNTIF(Campaigns!$A$7:$A$300,B3844)&gt;0,"✓","⚠ add to Campaigns tab"))</f>
        <v/>
      </c>
      <c r="I3844" s="84" t="str">
        <f aca="false">IF(C3844="","",C3844*IF(Settings!$B$22=Settings!$C$6,1,IF(Settings!$B$22="USD",1/INDEX(Settings!$B$29:$B$40,MONTH(A3844)),INDEX(Settings!$B$29:$B$40,MONTH(A3844)))))</f>
        <v/>
      </c>
    </row>
    <row r="3845" customFormat="false" ht="15" hidden="false" customHeight="false" outlineLevel="0" collapsed="false">
      <c r="H3845" s="0" t="str">
        <f aca="false">IF(B3845="","",IF(COUNTIF(Campaigns!$A$7:$A$300,B3845)&gt;0,"✓","⚠ add to Campaigns tab"))</f>
        <v/>
      </c>
      <c r="I3845" s="84" t="str">
        <f aca="false">IF(C3845="","",C3845*IF(Settings!$B$22=Settings!$C$6,1,IF(Settings!$B$22="USD",1/INDEX(Settings!$B$29:$B$40,MONTH(A3845)),INDEX(Settings!$B$29:$B$40,MONTH(A3845)))))</f>
        <v/>
      </c>
    </row>
    <row r="3846" customFormat="false" ht="15" hidden="false" customHeight="false" outlineLevel="0" collapsed="false">
      <c r="H3846" s="0" t="str">
        <f aca="false">IF(B3846="","",IF(COUNTIF(Campaigns!$A$7:$A$300,B3846)&gt;0,"✓","⚠ add to Campaigns tab"))</f>
        <v/>
      </c>
      <c r="I3846" s="84" t="str">
        <f aca="false">IF(C3846="","",C3846*IF(Settings!$B$22=Settings!$C$6,1,IF(Settings!$B$22="USD",1/INDEX(Settings!$B$29:$B$40,MONTH(A3846)),INDEX(Settings!$B$29:$B$40,MONTH(A3846)))))</f>
        <v/>
      </c>
    </row>
    <row r="3847" customFormat="false" ht="15" hidden="false" customHeight="false" outlineLevel="0" collapsed="false">
      <c r="H3847" s="0" t="str">
        <f aca="false">IF(B3847="","",IF(COUNTIF(Campaigns!$A$7:$A$300,B3847)&gt;0,"✓","⚠ add to Campaigns tab"))</f>
        <v/>
      </c>
      <c r="I3847" s="84" t="str">
        <f aca="false">IF(C3847="","",C3847*IF(Settings!$B$22=Settings!$C$6,1,IF(Settings!$B$22="USD",1/INDEX(Settings!$B$29:$B$40,MONTH(A3847)),INDEX(Settings!$B$29:$B$40,MONTH(A3847)))))</f>
        <v/>
      </c>
    </row>
    <row r="3848" customFormat="false" ht="15" hidden="false" customHeight="false" outlineLevel="0" collapsed="false">
      <c r="H3848" s="0" t="str">
        <f aca="false">IF(B3848="","",IF(COUNTIF(Campaigns!$A$7:$A$300,B3848)&gt;0,"✓","⚠ add to Campaigns tab"))</f>
        <v/>
      </c>
      <c r="I3848" s="84" t="str">
        <f aca="false">IF(C3848="","",C3848*IF(Settings!$B$22=Settings!$C$6,1,IF(Settings!$B$22="USD",1/INDEX(Settings!$B$29:$B$40,MONTH(A3848)),INDEX(Settings!$B$29:$B$40,MONTH(A3848)))))</f>
        <v/>
      </c>
    </row>
    <row r="3849" customFormat="false" ht="15" hidden="false" customHeight="false" outlineLevel="0" collapsed="false">
      <c r="H3849" s="0" t="str">
        <f aca="false">IF(B3849="","",IF(COUNTIF(Campaigns!$A$7:$A$300,B3849)&gt;0,"✓","⚠ add to Campaigns tab"))</f>
        <v/>
      </c>
      <c r="I3849" s="84" t="str">
        <f aca="false">IF(C3849="","",C3849*IF(Settings!$B$22=Settings!$C$6,1,IF(Settings!$B$22="USD",1/INDEX(Settings!$B$29:$B$40,MONTH(A3849)),INDEX(Settings!$B$29:$B$40,MONTH(A3849)))))</f>
        <v/>
      </c>
    </row>
    <row r="3850" customFormat="false" ht="15" hidden="false" customHeight="false" outlineLevel="0" collapsed="false">
      <c r="H3850" s="0" t="str">
        <f aca="false">IF(B3850="","",IF(COUNTIF(Campaigns!$A$7:$A$300,B3850)&gt;0,"✓","⚠ add to Campaigns tab"))</f>
        <v/>
      </c>
      <c r="I3850" s="84" t="str">
        <f aca="false">IF(C3850="","",C3850*IF(Settings!$B$22=Settings!$C$6,1,IF(Settings!$B$22="USD",1/INDEX(Settings!$B$29:$B$40,MONTH(A3850)),INDEX(Settings!$B$29:$B$40,MONTH(A3850)))))</f>
        <v/>
      </c>
    </row>
    <row r="3851" customFormat="false" ht="15" hidden="false" customHeight="false" outlineLevel="0" collapsed="false">
      <c r="H3851" s="0" t="str">
        <f aca="false">IF(B3851="","",IF(COUNTIF(Campaigns!$A$7:$A$300,B3851)&gt;0,"✓","⚠ add to Campaigns tab"))</f>
        <v/>
      </c>
      <c r="I3851" s="84" t="str">
        <f aca="false">IF(C3851="","",C3851*IF(Settings!$B$22=Settings!$C$6,1,IF(Settings!$B$22="USD",1/INDEX(Settings!$B$29:$B$40,MONTH(A3851)),INDEX(Settings!$B$29:$B$40,MONTH(A3851)))))</f>
        <v/>
      </c>
    </row>
    <row r="3852" customFormat="false" ht="15" hidden="false" customHeight="false" outlineLevel="0" collapsed="false">
      <c r="H3852" s="0" t="str">
        <f aca="false">IF(B3852="","",IF(COUNTIF(Campaigns!$A$7:$A$300,B3852)&gt;0,"✓","⚠ add to Campaigns tab"))</f>
        <v/>
      </c>
      <c r="I3852" s="84" t="str">
        <f aca="false">IF(C3852="","",C3852*IF(Settings!$B$22=Settings!$C$6,1,IF(Settings!$B$22="USD",1/INDEX(Settings!$B$29:$B$40,MONTH(A3852)),INDEX(Settings!$B$29:$B$40,MONTH(A3852)))))</f>
        <v/>
      </c>
    </row>
    <row r="3853" customFormat="false" ht="15" hidden="false" customHeight="false" outlineLevel="0" collapsed="false">
      <c r="H3853" s="0" t="str">
        <f aca="false">IF(B3853="","",IF(COUNTIF(Campaigns!$A$7:$A$300,B3853)&gt;0,"✓","⚠ add to Campaigns tab"))</f>
        <v/>
      </c>
      <c r="I3853" s="84" t="str">
        <f aca="false">IF(C3853="","",C3853*IF(Settings!$B$22=Settings!$C$6,1,IF(Settings!$B$22="USD",1/INDEX(Settings!$B$29:$B$40,MONTH(A3853)),INDEX(Settings!$B$29:$B$40,MONTH(A3853)))))</f>
        <v/>
      </c>
    </row>
    <row r="3854" customFormat="false" ht="15" hidden="false" customHeight="false" outlineLevel="0" collapsed="false">
      <c r="H3854" s="0" t="str">
        <f aca="false">IF(B3854="","",IF(COUNTIF(Campaigns!$A$7:$A$300,B3854)&gt;0,"✓","⚠ add to Campaigns tab"))</f>
        <v/>
      </c>
      <c r="I3854" s="84" t="str">
        <f aca="false">IF(C3854="","",C3854*IF(Settings!$B$22=Settings!$C$6,1,IF(Settings!$B$22="USD",1/INDEX(Settings!$B$29:$B$40,MONTH(A3854)),INDEX(Settings!$B$29:$B$40,MONTH(A3854)))))</f>
        <v/>
      </c>
    </row>
    <row r="3855" customFormat="false" ht="15" hidden="false" customHeight="false" outlineLevel="0" collapsed="false">
      <c r="H3855" s="0" t="str">
        <f aca="false">IF(B3855="","",IF(COUNTIF(Campaigns!$A$7:$A$300,B3855)&gt;0,"✓","⚠ add to Campaigns tab"))</f>
        <v/>
      </c>
      <c r="I3855" s="84" t="str">
        <f aca="false">IF(C3855="","",C3855*IF(Settings!$B$22=Settings!$C$6,1,IF(Settings!$B$22="USD",1/INDEX(Settings!$B$29:$B$40,MONTH(A3855)),INDEX(Settings!$B$29:$B$40,MONTH(A3855)))))</f>
        <v/>
      </c>
    </row>
    <row r="3856" customFormat="false" ht="15" hidden="false" customHeight="false" outlineLevel="0" collapsed="false">
      <c r="H3856" s="0" t="str">
        <f aca="false">IF(B3856="","",IF(COUNTIF(Campaigns!$A$7:$A$300,B3856)&gt;0,"✓","⚠ add to Campaigns tab"))</f>
        <v/>
      </c>
      <c r="I3856" s="84" t="str">
        <f aca="false">IF(C3856="","",C3856*IF(Settings!$B$22=Settings!$C$6,1,IF(Settings!$B$22="USD",1/INDEX(Settings!$B$29:$B$40,MONTH(A3856)),INDEX(Settings!$B$29:$B$40,MONTH(A3856)))))</f>
        <v/>
      </c>
    </row>
    <row r="3857" customFormat="false" ht="15" hidden="false" customHeight="false" outlineLevel="0" collapsed="false">
      <c r="H3857" s="0" t="str">
        <f aca="false">IF(B3857="","",IF(COUNTIF(Campaigns!$A$7:$A$300,B3857)&gt;0,"✓","⚠ add to Campaigns tab"))</f>
        <v/>
      </c>
      <c r="I3857" s="84" t="str">
        <f aca="false">IF(C3857="","",C3857*IF(Settings!$B$22=Settings!$C$6,1,IF(Settings!$B$22="USD",1/INDEX(Settings!$B$29:$B$40,MONTH(A3857)),INDEX(Settings!$B$29:$B$40,MONTH(A3857)))))</f>
        <v/>
      </c>
    </row>
    <row r="3858" customFormat="false" ht="15" hidden="false" customHeight="false" outlineLevel="0" collapsed="false">
      <c r="H3858" s="0" t="str">
        <f aca="false">IF(B3858="","",IF(COUNTIF(Campaigns!$A$7:$A$300,B3858)&gt;0,"✓","⚠ add to Campaigns tab"))</f>
        <v/>
      </c>
      <c r="I3858" s="84" t="str">
        <f aca="false">IF(C3858="","",C3858*IF(Settings!$B$22=Settings!$C$6,1,IF(Settings!$B$22="USD",1/INDEX(Settings!$B$29:$B$40,MONTH(A3858)),INDEX(Settings!$B$29:$B$40,MONTH(A3858)))))</f>
        <v/>
      </c>
    </row>
    <row r="3859" customFormat="false" ht="15" hidden="false" customHeight="false" outlineLevel="0" collapsed="false">
      <c r="H3859" s="0" t="str">
        <f aca="false">IF(B3859="","",IF(COUNTIF(Campaigns!$A$7:$A$300,B3859)&gt;0,"✓","⚠ add to Campaigns tab"))</f>
        <v/>
      </c>
      <c r="I3859" s="84" t="str">
        <f aca="false">IF(C3859="","",C3859*IF(Settings!$B$22=Settings!$C$6,1,IF(Settings!$B$22="USD",1/INDEX(Settings!$B$29:$B$40,MONTH(A3859)),INDEX(Settings!$B$29:$B$40,MONTH(A3859)))))</f>
        <v/>
      </c>
    </row>
    <row r="3860" customFormat="false" ht="15" hidden="false" customHeight="false" outlineLevel="0" collapsed="false">
      <c r="H3860" s="0" t="str">
        <f aca="false">IF(B3860="","",IF(COUNTIF(Campaigns!$A$7:$A$300,B3860)&gt;0,"✓","⚠ add to Campaigns tab"))</f>
        <v/>
      </c>
      <c r="I3860" s="84" t="str">
        <f aca="false">IF(C3860="","",C3860*IF(Settings!$B$22=Settings!$C$6,1,IF(Settings!$B$22="USD",1/INDEX(Settings!$B$29:$B$40,MONTH(A3860)),INDEX(Settings!$B$29:$B$40,MONTH(A3860)))))</f>
        <v/>
      </c>
    </row>
    <row r="3861" customFormat="false" ht="15" hidden="false" customHeight="false" outlineLevel="0" collapsed="false">
      <c r="H3861" s="0" t="str">
        <f aca="false">IF(B3861="","",IF(COUNTIF(Campaigns!$A$7:$A$300,B3861)&gt;0,"✓","⚠ add to Campaigns tab"))</f>
        <v/>
      </c>
      <c r="I3861" s="84" t="str">
        <f aca="false">IF(C3861="","",C3861*IF(Settings!$B$22=Settings!$C$6,1,IF(Settings!$B$22="USD",1/INDEX(Settings!$B$29:$B$40,MONTH(A3861)),INDEX(Settings!$B$29:$B$40,MONTH(A3861)))))</f>
        <v/>
      </c>
    </row>
    <row r="3862" customFormat="false" ht="15" hidden="false" customHeight="false" outlineLevel="0" collapsed="false">
      <c r="H3862" s="0" t="str">
        <f aca="false">IF(B3862="","",IF(COUNTIF(Campaigns!$A$7:$A$300,B3862)&gt;0,"✓","⚠ add to Campaigns tab"))</f>
        <v/>
      </c>
      <c r="I3862" s="84" t="str">
        <f aca="false">IF(C3862="","",C3862*IF(Settings!$B$22=Settings!$C$6,1,IF(Settings!$B$22="USD",1/INDEX(Settings!$B$29:$B$40,MONTH(A3862)),INDEX(Settings!$B$29:$B$40,MONTH(A3862)))))</f>
        <v/>
      </c>
    </row>
    <row r="3863" customFormat="false" ht="15" hidden="false" customHeight="false" outlineLevel="0" collapsed="false">
      <c r="H3863" s="0" t="str">
        <f aca="false">IF(B3863="","",IF(COUNTIF(Campaigns!$A$7:$A$300,B3863)&gt;0,"✓","⚠ add to Campaigns tab"))</f>
        <v/>
      </c>
      <c r="I3863" s="84" t="str">
        <f aca="false">IF(C3863="","",C3863*IF(Settings!$B$22=Settings!$C$6,1,IF(Settings!$B$22="USD",1/INDEX(Settings!$B$29:$B$40,MONTH(A3863)),INDEX(Settings!$B$29:$B$40,MONTH(A3863)))))</f>
        <v/>
      </c>
    </row>
    <row r="3864" customFormat="false" ht="15" hidden="false" customHeight="false" outlineLevel="0" collapsed="false">
      <c r="H3864" s="0" t="str">
        <f aca="false">IF(B3864="","",IF(COUNTIF(Campaigns!$A$7:$A$300,B3864)&gt;0,"✓","⚠ add to Campaigns tab"))</f>
        <v/>
      </c>
      <c r="I3864" s="84" t="str">
        <f aca="false">IF(C3864="","",C3864*IF(Settings!$B$22=Settings!$C$6,1,IF(Settings!$B$22="USD",1/INDEX(Settings!$B$29:$B$40,MONTH(A3864)),INDEX(Settings!$B$29:$B$40,MONTH(A3864)))))</f>
        <v/>
      </c>
    </row>
    <row r="3865" customFormat="false" ht="15" hidden="false" customHeight="false" outlineLevel="0" collapsed="false">
      <c r="H3865" s="0" t="str">
        <f aca="false">IF(B3865="","",IF(COUNTIF(Campaigns!$A$7:$A$300,B3865)&gt;0,"✓","⚠ add to Campaigns tab"))</f>
        <v/>
      </c>
      <c r="I3865" s="84" t="str">
        <f aca="false">IF(C3865="","",C3865*IF(Settings!$B$22=Settings!$C$6,1,IF(Settings!$B$22="USD",1/INDEX(Settings!$B$29:$B$40,MONTH(A3865)),INDEX(Settings!$B$29:$B$40,MONTH(A3865)))))</f>
        <v/>
      </c>
    </row>
    <row r="3866" customFormat="false" ht="15" hidden="false" customHeight="false" outlineLevel="0" collapsed="false">
      <c r="H3866" s="0" t="str">
        <f aca="false">IF(B3866="","",IF(COUNTIF(Campaigns!$A$7:$A$300,B3866)&gt;0,"✓","⚠ add to Campaigns tab"))</f>
        <v/>
      </c>
      <c r="I3866" s="84" t="str">
        <f aca="false">IF(C3866="","",C3866*IF(Settings!$B$22=Settings!$C$6,1,IF(Settings!$B$22="USD",1/INDEX(Settings!$B$29:$B$40,MONTH(A3866)),INDEX(Settings!$B$29:$B$40,MONTH(A3866)))))</f>
        <v/>
      </c>
    </row>
    <row r="3867" customFormat="false" ht="15" hidden="false" customHeight="false" outlineLevel="0" collapsed="false">
      <c r="H3867" s="0" t="str">
        <f aca="false">IF(B3867="","",IF(COUNTIF(Campaigns!$A$7:$A$300,B3867)&gt;0,"✓","⚠ add to Campaigns tab"))</f>
        <v/>
      </c>
      <c r="I3867" s="84" t="str">
        <f aca="false">IF(C3867="","",C3867*IF(Settings!$B$22=Settings!$C$6,1,IF(Settings!$B$22="USD",1/INDEX(Settings!$B$29:$B$40,MONTH(A3867)),INDEX(Settings!$B$29:$B$40,MONTH(A3867)))))</f>
        <v/>
      </c>
    </row>
    <row r="3868" customFormat="false" ht="15" hidden="false" customHeight="false" outlineLevel="0" collapsed="false">
      <c r="H3868" s="0" t="str">
        <f aca="false">IF(B3868="","",IF(COUNTIF(Campaigns!$A$7:$A$300,B3868)&gt;0,"✓","⚠ add to Campaigns tab"))</f>
        <v/>
      </c>
      <c r="I3868" s="84" t="str">
        <f aca="false">IF(C3868="","",C3868*IF(Settings!$B$22=Settings!$C$6,1,IF(Settings!$B$22="USD",1/INDEX(Settings!$B$29:$B$40,MONTH(A3868)),INDEX(Settings!$B$29:$B$40,MONTH(A3868)))))</f>
        <v/>
      </c>
    </row>
    <row r="3869" customFormat="false" ht="15" hidden="false" customHeight="false" outlineLevel="0" collapsed="false">
      <c r="H3869" s="0" t="str">
        <f aca="false">IF(B3869="","",IF(COUNTIF(Campaigns!$A$7:$A$300,B3869)&gt;0,"✓","⚠ add to Campaigns tab"))</f>
        <v/>
      </c>
      <c r="I3869" s="84" t="str">
        <f aca="false">IF(C3869="","",C3869*IF(Settings!$B$22=Settings!$C$6,1,IF(Settings!$B$22="USD",1/INDEX(Settings!$B$29:$B$40,MONTH(A3869)),INDEX(Settings!$B$29:$B$40,MONTH(A3869)))))</f>
        <v/>
      </c>
    </row>
    <row r="3870" customFormat="false" ht="15" hidden="false" customHeight="false" outlineLevel="0" collapsed="false">
      <c r="H3870" s="0" t="str">
        <f aca="false">IF(B3870="","",IF(COUNTIF(Campaigns!$A$7:$A$300,B3870)&gt;0,"✓","⚠ add to Campaigns tab"))</f>
        <v/>
      </c>
      <c r="I3870" s="84" t="str">
        <f aca="false">IF(C3870="","",C3870*IF(Settings!$B$22=Settings!$C$6,1,IF(Settings!$B$22="USD",1/INDEX(Settings!$B$29:$B$40,MONTH(A3870)),INDEX(Settings!$B$29:$B$40,MONTH(A3870)))))</f>
        <v/>
      </c>
    </row>
    <row r="3871" customFormat="false" ht="15" hidden="false" customHeight="false" outlineLevel="0" collapsed="false">
      <c r="H3871" s="0" t="str">
        <f aca="false">IF(B3871="","",IF(COUNTIF(Campaigns!$A$7:$A$300,B3871)&gt;0,"✓","⚠ add to Campaigns tab"))</f>
        <v/>
      </c>
      <c r="I3871" s="84" t="str">
        <f aca="false">IF(C3871="","",C3871*IF(Settings!$B$22=Settings!$C$6,1,IF(Settings!$B$22="USD",1/INDEX(Settings!$B$29:$B$40,MONTH(A3871)),INDEX(Settings!$B$29:$B$40,MONTH(A3871)))))</f>
        <v/>
      </c>
    </row>
    <row r="3872" customFormat="false" ht="15" hidden="false" customHeight="false" outlineLevel="0" collapsed="false">
      <c r="H3872" s="0" t="str">
        <f aca="false">IF(B3872="","",IF(COUNTIF(Campaigns!$A$7:$A$300,B3872)&gt;0,"✓","⚠ add to Campaigns tab"))</f>
        <v/>
      </c>
      <c r="I3872" s="84" t="str">
        <f aca="false">IF(C3872="","",C3872*IF(Settings!$B$22=Settings!$C$6,1,IF(Settings!$B$22="USD",1/INDEX(Settings!$B$29:$B$40,MONTH(A3872)),INDEX(Settings!$B$29:$B$40,MONTH(A3872)))))</f>
        <v/>
      </c>
    </row>
    <row r="3873" customFormat="false" ht="15" hidden="false" customHeight="false" outlineLevel="0" collapsed="false">
      <c r="H3873" s="0" t="str">
        <f aca="false">IF(B3873="","",IF(COUNTIF(Campaigns!$A$7:$A$300,B3873)&gt;0,"✓","⚠ add to Campaigns tab"))</f>
        <v/>
      </c>
      <c r="I3873" s="84" t="str">
        <f aca="false">IF(C3873="","",C3873*IF(Settings!$B$22=Settings!$C$6,1,IF(Settings!$B$22="USD",1/INDEX(Settings!$B$29:$B$40,MONTH(A3873)),INDEX(Settings!$B$29:$B$40,MONTH(A3873)))))</f>
        <v/>
      </c>
    </row>
    <row r="3874" customFormat="false" ht="15" hidden="false" customHeight="false" outlineLevel="0" collapsed="false">
      <c r="H3874" s="0" t="str">
        <f aca="false">IF(B3874="","",IF(COUNTIF(Campaigns!$A$7:$A$300,B3874)&gt;0,"✓","⚠ add to Campaigns tab"))</f>
        <v/>
      </c>
      <c r="I3874" s="84" t="str">
        <f aca="false">IF(C3874="","",C3874*IF(Settings!$B$22=Settings!$C$6,1,IF(Settings!$B$22="USD",1/INDEX(Settings!$B$29:$B$40,MONTH(A3874)),INDEX(Settings!$B$29:$B$40,MONTH(A3874)))))</f>
        <v/>
      </c>
    </row>
    <row r="3875" customFormat="false" ht="15" hidden="false" customHeight="false" outlineLevel="0" collapsed="false">
      <c r="H3875" s="0" t="str">
        <f aca="false">IF(B3875="","",IF(COUNTIF(Campaigns!$A$7:$A$300,B3875)&gt;0,"✓","⚠ add to Campaigns tab"))</f>
        <v/>
      </c>
      <c r="I3875" s="84" t="str">
        <f aca="false">IF(C3875="","",C3875*IF(Settings!$B$22=Settings!$C$6,1,IF(Settings!$B$22="USD",1/INDEX(Settings!$B$29:$B$40,MONTH(A3875)),INDEX(Settings!$B$29:$B$40,MONTH(A3875)))))</f>
        <v/>
      </c>
    </row>
    <row r="3876" customFormat="false" ht="15" hidden="false" customHeight="false" outlineLevel="0" collapsed="false">
      <c r="H3876" s="0" t="str">
        <f aca="false">IF(B3876="","",IF(COUNTIF(Campaigns!$A$7:$A$300,B3876)&gt;0,"✓","⚠ add to Campaigns tab"))</f>
        <v/>
      </c>
      <c r="I3876" s="84" t="str">
        <f aca="false">IF(C3876="","",C3876*IF(Settings!$B$22=Settings!$C$6,1,IF(Settings!$B$22="USD",1/INDEX(Settings!$B$29:$B$40,MONTH(A3876)),INDEX(Settings!$B$29:$B$40,MONTH(A3876)))))</f>
        <v/>
      </c>
    </row>
    <row r="3877" customFormat="false" ht="15" hidden="false" customHeight="false" outlineLevel="0" collapsed="false">
      <c r="H3877" s="0" t="str">
        <f aca="false">IF(B3877="","",IF(COUNTIF(Campaigns!$A$7:$A$300,B3877)&gt;0,"✓","⚠ add to Campaigns tab"))</f>
        <v/>
      </c>
      <c r="I3877" s="84" t="str">
        <f aca="false">IF(C3877="","",C3877*IF(Settings!$B$22=Settings!$C$6,1,IF(Settings!$B$22="USD",1/INDEX(Settings!$B$29:$B$40,MONTH(A3877)),INDEX(Settings!$B$29:$B$40,MONTH(A3877)))))</f>
        <v/>
      </c>
    </row>
    <row r="3878" customFormat="false" ht="15" hidden="false" customHeight="false" outlineLevel="0" collapsed="false">
      <c r="H3878" s="0" t="str">
        <f aca="false">IF(B3878="","",IF(COUNTIF(Campaigns!$A$7:$A$300,B3878)&gt;0,"✓","⚠ add to Campaigns tab"))</f>
        <v/>
      </c>
      <c r="I3878" s="84" t="str">
        <f aca="false">IF(C3878="","",C3878*IF(Settings!$B$22=Settings!$C$6,1,IF(Settings!$B$22="USD",1/INDEX(Settings!$B$29:$B$40,MONTH(A3878)),INDEX(Settings!$B$29:$B$40,MONTH(A3878)))))</f>
        <v/>
      </c>
    </row>
    <row r="3879" customFormat="false" ht="15" hidden="false" customHeight="false" outlineLevel="0" collapsed="false">
      <c r="H3879" s="0" t="str">
        <f aca="false">IF(B3879="","",IF(COUNTIF(Campaigns!$A$7:$A$300,B3879)&gt;0,"✓","⚠ add to Campaigns tab"))</f>
        <v/>
      </c>
      <c r="I3879" s="84" t="str">
        <f aca="false">IF(C3879="","",C3879*IF(Settings!$B$22=Settings!$C$6,1,IF(Settings!$B$22="USD",1/INDEX(Settings!$B$29:$B$40,MONTH(A3879)),INDEX(Settings!$B$29:$B$40,MONTH(A3879)))))</f>
        <v/>
      </c>
    </row>
    <row r="3880" customFormat="false" ht="15" hidden="false" customHeight="false" outlineLevel="0" collapsed="false">
      <c r="H3880" s="0" t="str">
        <f aca="false">IF(B3880="","",IF(COUNTIF(Campaigns!$A$7:$A$300,B3880)&gt;0,"✓","⚠ add to Campaigns tab"))</f>
        <v/>
      </c>
      <c r="I3880" s="84" t="str">
        <f aca="false">IF(C3880="","",C3880*IF(Settings!$B$22=Settings!$C$6,1,IF(Settings!$B$22="USD",1/INDEX(Settings!$B$29:$B$40,MONTH(A3880)),INDEX(Settings!$B$29:$B$40,MONTH(A3880)))))</f>
        <v/>
      </c>
    </row>
    <row r="3881" customFormat="false" ht="15" hidden="false" customHeight="false" outlineLevel="0" collapsed="false">
      <c r="H3881" s="0" t="str">
        <f aca="false">IF(B3881="","",IF(COUNTIF(Campaigns!$A$7:$A$300,B3881)&gt;0,"✓","⚠ add to Campaigns tab"))</f>
        <v/>
      </c>
      <c r="I3881" s="84" t="str">
        <f aca="false">IF(C3881="","",C3881*IF(Settings!$B$22=Settings!$C$6,1,IF(Settings!$B$22="USD",1/INDEX(Settings!$B$29:$B$40,MONTH(A3881)),INDEX(Settings!$B$29:$B$40,MONTH(A3881)))))</f>
        <v/>
      </c>
    </row>
    <row r="3882" customFormat="false" ht="15" hidden="false" customHeight="false" outlineLevel="0" collapsed="false">
      <c r="H3882" s="0" t="str">
        <f aca="false">IF(B3882="","",IF(COUNTIF(Campaigns!$A$7:$A$300,B3882)&gt;0,"✓","⚠ add to Campaigns tab"))</f>
        <v/>
      </c>
      <c r="I3882" s="84" t="str">
        <f aca="false">IF(C3882="","",C3882*IF(Settings!$B$22=Settings!$C$6,1,IF(Settings!$B$22="USD",1/INDEX(Settings!$B$29:$B$40,MONTH(A3882)),INDEX(Settings!$B$29:$B$40,MONTH(A3882)))))</f>
        <v/>
      </c>
    </row>
    <row r="3883" customFormat="false" ht="15" hidden="false" customHeight="false" outlineLevel="0" collapsed="false">
      <c r="H3883" s="0" t="str">
        <f aca="false">IF(B3883="","",IF(COUNTIF(Campaigns!$A$7:$A$300,B3883)&gt;0,"✓","⚠ add to Campaigns tab"))</f>
        <v/>
      </c>
      <c r="I3883" s="84" t="str">
        <f aca="false">IF(C3883="","",C3883*IF(Settings!$B$22=Settings!$C$6,1,IF(Settings!$B$22="USD",1/INDEX(Settings!$B$29:$B$40,MONTH(A3883)),INDEX(Settings!$B$29:$B$40,MONTH(A3883)))))</f>
        <v/>
      </c>
    </row>
    <row r="3884" customFormat="false" ht="15" hidden="false" customHeight="false" outlineLevel="0" collapsed="false">
      <c r="H3884" s="0" t="str">
        <f aca="false">IF(B3884="","",IF(COUNTIF(Campaigns!$A$7:$A$300,B3884)&gt;0,"✓","⚠ add to Campaigns tab"))</f>
        <v/>
      </c>
      <c r="I3884" s="84" t="str">
        <f aca="false">IF(C3884="","",C3884*IF(Settings!$B$22=Settings!$C$6,1,IF(Settings!$B$22="USD",1/INDEX(Settings!$B$29:$B$40,MONTH(A3884)),INDEX(Settings!$B$29:$B$40,MONTH(A3884)))))</f>
        <v/>
      </c>
    </row>
    <row r="3885" customFormat="false" ht="15" hidden="false" customHeight="false" outlineLevel="0" collapsed="false">
      <c r="H3885" s="0" t="str">
        <f aca="false">IF(B3885="","",IF(COUNTIF(Campaigns!$A$7:$A$300,B3885)&gt;0,"✓","⚠ add to Campaigns tab"))</f>
        <v/>
      </c>
      <c r="I3885" s="84" t="str">
        <f aca="false">IF(C3885="","",C3885*IF(Settings!$B$22=Settings!$C$6,1,IF(Settings!$B$22="USD",1/INDEX(Settings!$B$29:$B$40,MONTH(A3885)),INDEX(Settings!$B$29:$B$40,MONTH(A3885)))))</f>
        <v/>
      </c>
    </row>
    <row r="3886" customFormat="false" ht="15" hidden="false" customHeight="false" outlineLevel="0" collapsed="false">
      <c r="H3886" s="0" t="str">
        <f aca="false">IF(B3886="","",IF(COUNTIF(Campaigns!$A$7:$A$300,B3886)&gt;0,"✓","⚠ add to Campaigns tab"))</f>
        <v/>
      </c>
      <c r="I3886" s="84" t="str">
        <f aca="false">IF(C3886="","",C3886*IF(Settings!$B$22=Settings!$C$6,1,IF(Settings!$B$22="USD",1/INDEX(Settings!$B$29:$B$40,MONTH(A3886)),INDEX(Settings!$B$29:$B$40,MONTH(A3886)))))</f>
        <v/>
      </c>
    </row>
    <row r="3887" customFormat="false" ht="15" hidden="false" customHeight="false" outlineLevel="0" collapsed="false">
      <c r="H3887" s="0" t="str">
        <f aca="false">IF(B3887="","",IF(COUNTIF(Campaigns!$A$7:$A$300,B3887)&gt;0,"✓","⚠ add to Campaigns tab"))</f>
        <v/>
      </c>
      <c r="I3887" s="84" t="str">
        <f aca="false">IF(C3887="","",C3887*IF(Settings!$B$22=Settings!$C$6,1,IF(Settings!$B$22="USD",1/INDEX(Settings!$B$29:$B$40,MONTH(A3887)),INDEX(Settings!$B$29:$B$40,MONTH(A3887)))))</f>
        <v/>
      </c>
    </row>
    <row r="3888" customFormat="false" ht="15" hidden="false" customHeight="false" outlineLevel="0" collapsed="false">
      <c r="H3888" s="0" t="str">
        <f aca="false">IF(B3888="","",IF(COUNTIF(Campaigns!$A$7:$A$300,B3888)&gt;0,"✓","⚠ add to Campaigns tab"))</f>
        <v/>
      </c>
      <c r="I3888" s="84" t="str">
        <f aca="false">IF(C3888="","",C3888*IF(Settings!$B$22=Settings!$C$6,1,IF(Settings!$B$22="USD",1/INDEX(Settings!$B$29:$B$40,MONTH(A3888)),INDEX(Settings!$B$29:$B$40,MONTH(A3888)))))</f>
        <v/>
      </c>
    </row>
    <row r="3889" customFormat="false" ht="15" hidden="false" customHeight="false" outlineLevel="0" collapsed="false">
      <c r="H3889" s="0" t="str">
        <f aca="false">IF(B3889="","",IF(COUNTIF(Campaigns!$A$7:$A$300,B3889)&gt;0,"✓","⚠ add to Campaigns tab"))</f>
        <v/>
      </c>
      <c r="I3889" s="84" t="str">
        <f aca="false">IF(C3889="","",C3889*IF(Settings!$B$22=Settings!$C$6,1,IF(Settings!$B$22="USD",1/INDEX(Settings!$B$29:$B$40,MONTH(A3889)),INDEX(Settings!$B$29:$B$40,MONTH(A3889)))))</f>
        <v/>
      </c>
    </row>
    <row r="3890" customFormat="false" ht="15" hidden="false" customHeight="false" outlineLevel="0" collapsed="false">
      <c r="H3890" s="0" t="str">
        <f aca="false">IF(B3890="","",IF(COUNTIF(Campaigns!$A$7:$A$300,B3890)&gt;0,"✓","⚠ add to Campaigns tab"))</f>
        <v/>
      </c>
      <c r="I3890" s="84" t="str">
        <f aca="false">IF(C3890="","",C3890*IF(Settings!$B$22=Settings!$C$6,1,IF(Settings!$B$22="USD",1/INDEX(Settings!$B$29:$B$40,MONTH(A3890)),INDEX(Settings!$B$29:$B$40,MONTH(A3890)))))</f>
        <v/>
      </c>
    </row>
    <row r="3891" customFormat="false" ht="15" hidden="false" customHeight="false" outlineLevel="0" collapsed="false">
      <c r="H3891" s="0" t="str">
        <f aca="false">IF(B3891="","",IF(COUNTIF(Campaigns!$A$7:$A$300,B3891)&gt;0,"✓","⚠ add to Campaigns tab"))</f>
        <v/>
      </c>
      <c r="I3891" s="84" t="str">
        <f aca="false">IF(C3891="","",C3891*IF(Settings!$B$22=Settings!$C$6,1,IF(Settings!$B$22="USD",1/INDEX(Settings!$B$29:$B$40,MONTH(A3891)),INDEX(Settings!$B$29:$B$40,MONTH(A3891)))))</f>
        <v/>
      </c>
    </row>
    <row r="3892" customFormat="false" ht="15" hidden="false" customHeight="false" outlineLevel="0" collapsed="false">
      <c r="H3892" s="0" t="str">
        <f aca="false">IF(B3892="","",IF(COUNTIF(Campaigns!$A$7:$A$300,B3892)&gt;0,"✓","⚠ add to Campaigns tab"))</f>
        <v/>
      </c>
      <c r="I3892" s="84" t="str">
        <f aca="false">IF(C3892="","",C3892*IF(Settings!$B$22=Settings!$C$6,1,IF(Settings!$B$22="USD",1/INDEX(Settings!$B$29:$B$40,MONTH(A3892)),INDEX(Settings!$B$29:$B$40,MONTH(A3892)))))</f>
        <v/>
      </c>
    </row>
    <row r="3893" customFormat="false" ht="15" hidden="false" customHeight="false" outlineLevel="0" collapsed="false">
      <c r="H3893" s="0" t="str">
        <f aca="false">IF(B3893="","",IF(COUNTIF(Campaigns!$A$7:$A$300,B3893)&gt;0,"✓","⚠ add to Campaigns tab"))</f>
        <v/>
      </c>
      <c r="I3893" s="84" t="str">
        <f aca="false">IF(C3893="","",C3893*IF(Settings!$B$22=Settings!$C$6,1,IF(Settings!$B$22="USD",1/INDEX(Settings!$B$29:$B$40,MONTH(A3893)),INDEX(Settings!$B$29:$B$40,MONTH(A3893)))))</f>
        <v/>
      </c>
    </row>
    <row r="3894" customFormat="false" ht="15" hidden="false" customHeight="false" outlineLevel="0" collapsed="false">
      <c r="H3894" s="0" t="str">
        <f aca="false">IF(B3894="","",IF(COUNTIF(Campaigns!$A$7:$A$300,B3894)&gt;0,"✓","⚠ add to Campaigns tab"))</f>
        <v/>
      </c>
      <c r="I3894" s="84" t="str">
        <f aca="false">IF(C3894="","",C3894*IF(Settings!$B$22=Settings!$C$6,1,IF(Settings!$B$22="USD",1/INDEX(Settings!$B$29:$B$40,MONTH(A3894)),INDEX(Settings!$B$29:$B$40,MONTH(A3894)))))</f>
        <v/>
      </c>
    </row>
    <row r="3895" customFormat="false" ht="15" hidden="false" customHeight="false" outlineLevel="0" collapsed="false">
      <c r="H3895" s="0" t="str">
        <f aca="false">IF(B3895="","",IF(COUNTIF(Campaigns!$A$7:$A$300,B3895)&gt;0,"✓","⚠ add to Campaigns tab"))</f>
        <v/>
      </c>
      <c r="I3895" s="84" t="str">
        <f aca="false">IF(C3895="","",C3895*IF(Settings!$B$22=Settings!$C$6,1,IF(Settings!$B$22="USD",1/INDEX(Settings!$B$29:$B$40,MONTH(A3895)),INDEX(Settings!$B$29:$B$40,MONTH(A3895)))))</f>
        <v/>
      </c>
    </row>
    <row r="3896" customFormat="false" ht="15" hidden="false" customHeight="false" outlineLevel="0" collapsed="false">
      <c r="H3896" s="0" t="str">
        <f aca="false">IF(B3896="","",IF(COUNTIF(Campaigns!$A$7:$A$300,B3896)&gt;0,"✓","⚠ add to Campaigns tab"))</f>
        <v/>
      </c>
      <c r="I3896" s="84" t="str">
        <f aca="false">IF(C3896="","",C3896*IF(Settings!$B$22=Settings!$C$6,1,IF(Settings!$B$22="USD",1/INDEX(Settings!$B$29:$B$40,MONTH(A3896)),INDEX(Settings!$B$29:$B$40,MONTH(A3896)))))</f>
        <v/>
      </c>
    </row>
    <row r="3897" customFormat="false" ht="15" hidden="false" customHeight="false" outlineLevel="0" collapsed="false">
      <c r="H3897" s="0" t="str">
        <f aca="false">IF(B3897="","",IF(COUNTIF(Campaigns!$A$7:$A$300,B3897)&gt;0,"✓","⚠ add to Campaigns tab"))</f>
        <v/>
      </c>
      <c r="I3897" s="84" t="str">
        <f aca="false">IF(C3897="","",C3897*IF(Settings!$B$22=Settings!$C$6,1,IF(Settings!$B$22="USD",1/INDEX(Settings!$B$29:$B$40,MONTH(A3897)),INDEX(Settings!$B$29:$B$40,MONTH(A3897)))))</f>
        <v/>
      </c>
    </row>
    <row r="3898" customFormat="false" ht="15" hidden="false" customHeight="false" outlineLevel="0" collapsed="false">
      <c r="H3898" s="0" t="str">
        <f aca="false">IF(B3898="","",IF(COUNTIF(Campaigns!$A$7:$A$300,B3898)&gt;0,"✓","⚠ add to Campaigns tab"))</f>
        <v/>
      </c>
      <c r="I3898" s="84" t="str">
        <f aca="false">IF(C3898="","",C3898*IF(Settings!$B$22=Settings!$C$6,1,IF(Settings!$B$22="USD",1/INDEX(Settings!$B$29:$B$40,MONTH(A3898)),INDEX(Settings!$B$29:$B$40,MONTH(A3898)))))</f>
        <v/>
      </c>
    </row>
    <row r="3899" customFormat="false" ht="15" hidden="false" customHeight="false" outlineLevel="0" collapsed="false">
      <c r="H3899" s="0" t="str">
        <f aca="false">IF(B3899="","",IF(COUNTIF(Campaigns!$A$7:$A$300,B3899)&gt;0,"✓","⚠ add to Campaigns tab"))</f>
        <v/>
      </c>
      <c r="I3899" s="84" t="str">
        <f aca="false">IF(C3899="","",C3899*IF(Settings!$B$22=Settings!$C$6,1,IF(Settings!$B$22="USD",1/INDEX(Settings!$B$29:$B$40,MONTH(A3899)),INDEX(Settings!$B$29:$B$40,MONTH(A3899)))))</f>
        <v/>
      </c>
    </row>
    <row r="3900" customFormat="false" ht="15" hidden="false" customHeight="false" outlineLevel="0" collapsed="false">
      <c r="H3900" s="0" t="str">
        <f aca="false">IF(B3900="","",IF(COUNTIF(Campaigns!$A$7:$A$300,B3900)&gt;0,"✓","⚠ add to Campaigns tab"))</f>
        <v/>
      </c>
      <c r="I3900" s="84" t="str">
        <f aca="false">IF(C3900="","",C3900*IF(Settings!$B$22=Settings!$C$6,1,IF(Settings!$B$22="USD",1/INDEX(Settings!$B$29:$B$40,MONTH(A3900)),INDEX(Settings!$B$29:$B$40,MONTH(A3900)))))</f>
        <v/>
      </c>
    </row>
    <row r="3901" customFormat="false" ht="15" hidden="false" customHeight="false" outlineLevel="0" collapsed="false">
      <c r="H3901" s="0" t="str">
        <f aca="false">IF(B3901="","",IF(COUNTIF(Campaigns!$A$7:$A$300,B3901)&gt;0,"✓","⚠ add to Campaigns tab"))</f>
        <v/>
      </c>
      <c r="I3901" s="84" t="str">
        <f aca="false">IF(C3901="","",C3901*IF(Settings!$B$22=Settings!$C$6,1,IF(Settings!$B$22="USD",1/INDEX(Settings!$B$29:$B$40,MONTH(A3901)),INDEX(Settings!$B$29:$B$40,MONTH(A3901)))))</f>
        <v/>
      </c>
    </row>
    <row r="3902" customFormat="false" ht="15" hidden="false" customHeight="false" outlineLevel="0" collapsed="false">
      <c r="H3902" s="0" t="str">
        <f aca="false">IF(B3902="","",IF(COUNTIF(Campaigns!$A$7:$A$300,B3902)&gt;0,"✓","⚠ add to Campaigns tab"))</f>
        <v/>
      </c>
      <c r="I3902" s="84" t="str">
        <f aca="false">IF(C3902="","",C3902*IF(Settings!$B$22=Settings!$C$6,1,IF(Settings!$B$22="USD",1/INDEX(Settings!$B$29:$B$40,MONTH(A3902)),INDEX(Settings!$B$29:$B$40,MONTH(A3902)))))</f>
        <v/>
      </c>
    </row>
    <row r="3903" customFormat="false" ht="15" hidden="false" customHeight="false" outlineLevel="0" collapsed="false">
      <c r="H3903" s="0" t="str">
        <f aca="false">IF(B3903="","",IF(COUNTIF(Campaigns!$A$7:$A$300,B3903)&gt;0,"✓","⚠ add to Campaigns tab"))</f>
        <v/>
      </c>
      <c r="I3903" s="84" t="str">
        <f aca="false">IF(C3903="","",C3903*IF(Settings!$B$22=Settings!$C$6,1,IF(Settings!$B$22="USD",1/INDEX(Settings!$B$29:$B$40,MONTH(A3903)),INDEX(Settings!$B$29:$B$40,MONTH(A3903)))))</f>
        <v/>
      </c>
    </row>
    <row r="3904" customFormat="false" ht="15" hidden="false" customHeight="false" outlineLevel="0" collapsed="false">
      <c r="H3904" s="0" t="str">
        <f aca="false">IF(B3904="","",IF(COUNTIF(Campaigns!$A$7:$A$300,B3904)&gt;0,"✓","⚠ add to Campaigns tab"))</f>
        <v/>
      </c>
      <c r="I3904" s="84" t="str">
        <f aca="false">IF(C3904="","",C3904*IF(Settings!$B$22=Settings!$C$6,1,IF(Settings!$B$22="USD",1/INDEX(Settings!$B$29:$B$40,MONTH(A3904)),INDEX(Settings!$B$29:$B$40,MONTH(A3904)))))</f>
        <v/>
      </c>
    </row>
    <row r="3905" customFormat="false" ht="15" hidden="false" customHeight="false" outlineLevel="0" collapsed="false">
      <c r="H3905" s="0" t="str">
        <f aca="false">IF(B3905="","",IF(COUNTIF(Campaigns!$A$7:$A$300,B3905)&gt;0,"✓","⚠ add to Campaigns tab"))</f>
        <v/>
      </c>
      <c r="I3905" s="84" t="str">
        <f aca="false">IF(C3905="","",C3905*IF(Settings!$B$22=Settings!$C$6,1,IF(Settings!$B$22="USD",1/INDEX(Settings!$B$29:$B$40,MONTH(A3905)),INDEX(Settings!$B$29:$B$40,MONTH(A3905)))))</f>
        <v/>
      </c>
    </row>
    <row r="3906" customFormat="false" ht="15" hidden="false" customHeight="false" outlineLevel="0" collapsed="false">
      <c r="H3906" s="0" t="str">
        <f aca="false">IF(B3906="","",IF(COUNTIF(Campaigns!$A$7:$A$300,B3906)&gt;0,"✓","⚠ add to Campaigns tab"))</f>
        <v/>
      </c>
      <c r="I3906" s="84" t="str">
        <f aca="false">IF(C3906="","",C3906*IF(Settings!$B$22=Settings!$C$6,1,IF(Settings!$B$22="USD",1/INDEX(Settings!$B$29:$B$40,MONTH(A3906)),INDEX(Settings!$B$29:$B$40,MONTH(A3906)))))</f>
        <v/>
      </c>
    </row>
    <row r="3907" customFormat="false" ht="15" hidden="false" customHeight="false" outlineLevel="0" collapsed="false">
      <c r="H3907" s="0" t="str">
        <f aca="false">IF(B3907="","",IF(COUNTIF(Campaigns!$A$7:$A$300,B3907)&gt;0,"✓","⚠ add to Campaigns tab"))</f>
        <v/>
      </c>
      <c r="I3907" s="84" t="str">
        <f aca="false">IF(C3907="","",C3907*IF(Settings!$B$22=Settings!$C$6,1,IF(Settings!$B$22="USD",1/INDEX(Settings!$B$29:$B$40,MONTH(A3907)),INDEX(Settings!$B$29:$B$40,MONTH(A3907)))))</f>
        <v/>
      </c>
    </row>
    <row r="3908" customFormat="false" ht="15" hidden="false" customHeight="false" outlineLevel="0" collapsed="false">
      <c r="H3908" s="0" t="str">
        <f aca="false">IF(B3908="","",IF(COUNTIF(Campaigns!$A$7:$A$300,B3908)&gt;0,"✓","⚠ add to Campaigns tab"))</f>
        <v/>
      </c>
      <c r="I3908" s="84" t="str">
        <f aca="false">IF(C3908="","",C3908*IF(Settings!$B$22=Settings!$C$6,1,IF(Settings!$B$22="USD",1/INDEX(Settings!$B$29:$B$40,MONTH(A3908)),INDEX(Settings!$B$29:$B$40,MONTH(A3908)))))</f>
        <v/>
      </c>
    </row>
    <row r="3909" customFormat="false" ht="15" hidden="false" customHeight="false" outlineLevel="0" collapsed="false">
      <c r="H3909" s="0" t="str">
        <f aca="false">IF(B3909="","",IF(COUNTIF(Campaigns!$A$7:$A$300,B3909)&gt;0,"✓","⚠ add to Campaigns tab"))</f>
        <v/>
      </c>
      <c r="I3909" s="84" t="str">
        <f aca="false">IF(C3909="","",C3909*IF(Settings!$B$22=Settings!$C$6,1,IF(Settings!$B$22="USD",1/INDEX(Settings!$B$29:$B$40,MONTH(A3909)),INDEX(Settings!$B$29:$B$40,MONTH(A3909)))))</f>
        <v/>
      </c>
    </row>
    <row r="3910" customFormat="false" ht="15" hidden="false" customHeight="false" outlineLevel="0" collapsed="false">
      <c r="H3910" s="0" t="str">
        <f aca="false">IF(B3910="","",IF(COUNTIF(Campaigns!$A$7:$A$300,B3910)&gt;0,"✓","⚠ add to Campaigns tab"))</f>
        <v/>
      </c>
      <c r="I3910" s="84" t="str">
        <f aca="false">IF(C3910="","",C3910*IF(Settings!$B$22=Settings!$C$6,1,IF(Settings!$B$22="USD",1/INDEX(Settings!$B$29:$B$40,MONTH(A3910)),INDEX(Settings!$B$29:$B$40,MONTH(A3910)))))</f>
        <v/>
      </c>
    </row>
    <row r="3911" customFormat="false" ht="15" hidden="false" customHeight="false" outlineLevel="0" collapsed="false">
      <c r="H3911" s="0" t="str">
        <f aca="false">IF(B3911="","",IF(COUNTIF(Campaigns!$A$7:$A$300,B3911)&gt;0,"✓","⚠ add to Campaigns tab"))</f>
        <v/>
      </c>
      <c r="I3911" s="84" t="str">
        <f aca="false">IF(C3911="","",C3911*IF(Settings!$B$22=Settings!$C$6,1,IF(Settings!$B$22="USD",1/INDEX(Settings!$B$29:$B$40,MONTH(A3911)),INDEX(Settings!$B$29:$B$40,MONTH(A3911)))))</f>
        <v/>
      </c>
    </row>
    <row r="3912" customFormat="false" ht="15" hidden="false" customHeight="false" outlineLevel="0" collapsed="false">
      <c r="H3912" s="0" t="str">
        <f aca="false">IF(B3912="","",IF(COUNTIF(Campaigns!$A$7:$A$300,B3912)&gt;0,"✓","⚠ add to Campaigns tab"))</f>
        <v/>
      </c>
      <c r="I3912" s="84" t="str">
        <f aca="false">IF(C3912="","",C3912*IF(Settings!$B$22=Settings!$C$6,1,IF(Settings!$B$22="USD",1/INDEX(Settings!$B$29:$B$40,MONTH(A3912)),INDEX(Settings!$B$29:$B$40,MONTH(A3912)))))</f>
        <v/>
      </c>
    </row>
    <row r="3913" customFormat="false" ht="15" hidden="false" customHeight="false" outlineLevel="0" collapsed="false">
      <c r="H3913" s="0" t="str">
        <f aca="false">IF(B3913="","",IF(COUNTIF(Campaigns!$A$7:$A$300,B3913)&gt;0,"✓","⚠ add to Campaigns tab"))</f>
        <v/>
      </c>
      <c r="I3913" s="84" t="str">
        <f aca="false">IF(C3913="","",C3913*IF(Settings!$B$22=Settings!$C$6,1,IF(Settings!$B$22="USD",1/INDEX(Settings!$B$29:$B$40,MONTH(A3913)),INDEX(Settings!$B$29:$B$40,MONTH(A3913)))))</f>
        <v/>
      </c>
    </row>
    <row r="3914" customFormat="false" ht="15" hidden="false" customHeight="false" outlineLevel="0" collapsed="false">
      <c r="H3914" s="0" t="str">
        <f aca="false">IF(B3914="","",IF(COUNTIF(Campaigns!$A$7:$A$300,B3914)&gt;0,"✓","⚠ add to Campaigns tab"))</f>
        <v/>
      </c>
      <c r="I3914" s="84" t="str">
        <f aca="false">IF(C3914="","",C3914*IF(Settings!$B$22=Settings!$C$6,1,IF(Settings!$B$22="USD",1/INDEX(Settings!$B$29:$B$40,MONTH(A3914)),INDEX(Settings!$B$29:$B$40,MONTH(A3914)))))</f>
        <v/>
      </c>
    </row>
    <row r="3915" customFormat="false" ht="15" hidden="false" customHeight="false" outlineLevel="0" collapsed="false">
      <c r="H3915" s="0" t="str">
        <f aca="false">IF(B3915="","",IF(COUNTIF(Campaigns!$A$7:$A$300,B3915)&gt;0,"✓","⚠ add to Campaigns tab"))</f>
        <v/>
      </c>
      <c r="I3915" s="84" t="str">
        <f aca="false">IF(C3915="","",C3915*IF(Settings!$B$22=Settings!$C$6,1,IF(Settings!$B$22="USD",1/INDEX(Settings!$B$29:$B$40,MONTH(A3915)),INDEX(Settings!$B$29:$B$40,MONTH(A3915)))))</f>
        <v/>
      </c>
    </row>
    <row r="3916" customFormat="false" ht="15" hidden="false" customHeight="false" outlineLevel="0" collapsed="false">
      <c r="H3916" s="0" t="str">
        <f aca="false">IF(B3916="","",IF(COUNTIF(Campaigns!$A$7:$A$300,B3916)&gt;0,"✓","⚠ add to Campaigns tab"))</f>
        <v/>
      </c>
      <c r="I3916" s="84" t="str">
        <f aca="false">IF(C3916="","",C3916*IF(Settings!$B$22=Settings!$C$6,1,IF(Settings!$B$22="USD",1/INDEX(Settings!$B$29:$B$40,MONTH(A3916)),INDEX(Settings!$B$29:$B$40,MONTH(A3916)))))</f>
        <v/>
      </c>
    </row>
    <row r="3917" customFormat="false" ht="15" hidden="false" customHeight="false" outlineLevel="0" collapsed="false">
      <c r="H3917" s="0" t="str">
        <f aca="false">IF(B3917="","",IF(COUNTIF(Campaigns!$A$7:$A$300,B3917)&gt;0,"✓","⚠ add to Campaigns tab"))</f>
        <v/>
      </c>
      <c r="I3917" s="84" t="str">
        <f aca="false">IF(C3917="","",C3917*IF(Settings!$B$22=Settings!$C$6,1,IF(Settings!$B$22="USD",1/INDEX(Settings!$B$29:$B$40,MONTH(A3917)),INDEX(Settings!$B$29:$B$40,MONTH(A3917)))))</f>
        <v/>
      </c>
    </row>
    <row r="3918" customFormat="false" ht="15" hidden="false" customHeight="false" outlineLevel="0" collapsed="false">
      <c r="H3918" s="0" t="str">
        <f aca="false">IF(B3918="","",IF(COUNTIF(Campaigns!$A$7:$A$300,B3918)&gt;0,"✓","⚠ add to Campaigns tab"))</f>
        <v/>
      </c>
      <c r="I3918" s="84" t="str">
        <f aca="false">IF(C3918="","",C3918*IF(Settings!$B$22=Settings!$C$6,1,IF(Settings!$B$22="USD",1/INDEX(Settings!$B$29:$B$40,MONTH(A3918)),INDEX(Settings!$B$29:$B$40,MONTH(A3918)))))</f>
        <v/>
      </c>
    </row>
    <row r="3919" customFormat="false" ht="15" hidden="false" customHeight="false" outlineLevel="0" collapsed="false">
      <c r="H3919" s="0" t="str">
        <f aca="false">IF(B3919="","",IF(COUNTIF(Campaigns!$A$7:$A$300,B3919)&gt;0,"✓","⚠ add to Campaigns tab"))</f>
        <v/>
      </c>
      <c r="I3919" s="84" t="str">
        <f aca="false">IF(C3919="","",C3919*IF(Settings!$B$22=Settings!$C$6,1,IF(Settings!$B$22="USD",1/INDEX(Settings!$B$29:$B$40,MONTH(A3919)),INDEX(Settings!$B$29:$B$40,MONTH(A3919)))))</f>
        <v/>
      </c>
    </row>
    <row r="3920" customFormat="false" ht="15" hidden="false" customHeight="false" outlineLevel="0" collapsed="false">
      <c r="H3920" s="0" t="str">
        <f aca="false">IF(B3920="","",IF(COUNTIF(Campaigns!$A$7:$A$300,B3920)&gt;0,"✓","⚠ add to Campaigns tab"))</f>
        <v/>
      </c>
      <c r="I3920" s="84" t="str">
        <f aca="false">IF(C3920="","",C3920*IF(Settings!$B$22=Settings!$C$6,1,IF(Settings!$B$22="USD",1/INDEX(Settings!$B$29:$B$40,MONTH(A3920)),INDEX(Settings!$B$29:$B$40,MONTH(A3920)))))</f>
        <v/>
      </c>
    </row>
    <row r="3921" customFormat="false" ht="15" hidden="false" customHeight="false" outlineLevel="0" collapsed="false">
      <c r="H3921" s="0" t="str">
        <f aca="false">IF(B3921="","",IF(COUNTIF(Campaigns!$A$7:$A$300,B3921)&gt;0,"✓","⚠ add to Campaigns tab"))</f>
        <v/>
      </c>
      <c r="I3921" s="84" t="str">
        <f aca="false">IF(C3921="","",C3921*IF(Settings!$B$22=Settings!$C$6,1,IF(Settings!$B$22="USD",1/INDEX(Settings!$B$29:$B$40,MONTH(A3921)),INDEX(Settings!$B$29:$B$40,MONTH(A3921)))))</f>
        <v/>
      </c>
    </row>
    <row r="3922" customFormat="false" ht="15" hidden="false" customHeight="false" outlineLevel="0" collapsed="false">
      <c r="H3922" s="0" t="str">
        <f aca="false">IF(B3922="","",IF(COUNTIF(Campaigns!$A$7:$A$300,B3922)&gt;0,"✓","⚠ add to Campaigns tab"))</f>
        <v/>
      </c>
      <c r="I3922" s="84" t="str">
        <f aca="false">IF(C3922="","",C3922*IF(Settings!$B$22=Settings!$C$6,1,IF(Settings!$B$22="USD",1/INDEX(Settings!$B$29:$B$40,MONTH(A3922)),INDEX(Settings!$B$29:$B$40,MONTH(A3922)))))</f>
        <v/>
      </c>
    </row>
    <row r="3923" customFormat="false" ht="15" hidden="false" customHeight="false" outlineLevel="0" collapsed="false">
      <c r="H3923" s="0" t="str">
        <f aca="false">IF(B3923="","",IF(COUNTIF(Campaigns!$A$7:$A$300,B3923)&gt;0,"✓","⚠ add to Campaigns tab"))</f>
        <v/>
      </c>
      <c r="I3923" s="84" t="str">
        <f aca="false">IF(C3923="","",C3923*IF(Settings!$B$22=Settings!$C$6,1,IF(Settings!$B$22="USD",1/INDEX(Settings!$B$29:$B$40,MONTH(A3923)),INDEX(Settings!$B$29:$B$40,MONTH(A3923)))))</f>
        <v/>
      </c>
    </row>
    <row r="3924" customFormat="false" ht="15" hidden="false" customHeight="false" outlineLevel="0" collapsed="false">
      <c r="H3924" s="0" t="str">
        <f aca="false">IF(B3924="","",IF(COUNTIF(Campaigns!$A$7:$A$300,B3924)&gt;0,"✓","⚠ add to Campaigns tab"))</f>
        <v/>
      </c>
      <c r="I3924" s="84" t="str">
        <f aca="false">IF(C3924="","",C3924*IF(Settings!$B$22=Settings!$C$6,1,IF(Settings!$B$22="USD",1/INDEX(Settings!$B$29:$B$40,MONTH(A3924)),INDEX(Settings!$B$29:$B$40,MONTH(A3924)))))</f>
        <v/>
      </c>
    </row>
    <row r="3925" customFormat="false" ht="15" hidden="false" customHeight="false" outlineLevel="0" collapsed="false">
      <c r="H3925" s="0" t="str">
        <f aca="false">IF(B3925="","",IF(COUNTIF(Campaigns!$A$7:$A$300,B3925)&gt;0,"✓","⚠ add to Campaigns tab"))</f>
        <v/>
      </c>
      <c r="I3925" s="84" t="str">
        <f aca="false">IF(C3925="","",C3925*IF(Settings!$B$22=Settings!$C$6,1,IF(Settings!$B$22="USD",1/INDEX(Settings!$B$29:$B$40,MONTH(A3925)),INDEX(Settings!$B$29:$B$40,MONTH(A3925)))))</f>
        <v/>
      </c>
    </row>
    <row r="3926" customFormat="false" ht="15" hidden="false" customHeight="false" outlineLevel="0" collapsed="false">
      <c r="H3926" s="0" t="str">
        <f aca="false">IF(B3926="","",IF(COUNTIF(Campaigns!$A$7:$A$300,B3926)&gt;0,"✓","⚠ add to Campaigns tab"))</f>
        <v/>
      </c>
      <c r="I3926" s="84" t="str">
        <f aca="false">IF(C3926="","",C3926*IF(Settings!$B$22=Settings!$C$6,1,IF(Settings!$B$22="USD",1/INDEX(Settings!$B$29:$B$40,MONTH(A3926)),INDEX(Settings!$B$29:$B$40,MONTH(A3926)))))</f>
        <v/>
      </c>
    </row>
    <row r="3927" customFormat="false" ht="15" hidden="false" customHeight="false" outlineLevel="0" collapsed="false">
      <c r="H3927" s="0" t="str">
        <f aca="false">IF(B3927="","",IF(COUNTIF(Campaigns!$A$7:$A$300,B3927)&gt;0,"✓","⚠ add to Campaigns tab"))</f>
        <v/>
      </c>
      <c r="I3927" s="84" t="str">
        <f aca="false">IF(C3927="","",C3927*IF(Settings!$B$22=Settings!$C$6,1,IF(Settings!$B$22="USD",1/INDEX(Settings!$B$29:$B$40,MONTH(A3927)),INDEX(Settings!$B$29:$B$40,MONTH(A3927)))))</f>
        <v/>
      </c>
    </row>
    <row r="3928" customFormat="false" ht="15" hidden="false" customHeight="false" outlineLevel="0" collapsed="false">
      <c r="H3928" s="0" t="str">
        <f aca="false">IF(B3928="","",IF(COUNTIF(Campaigns!$A$7:$A$300,B3928)&gt;0,"✓","⚠ add to Campaigns tab"))</f>
        <v/>
      </c>
      <c r="I3928" s="84" t="str">
        <f aca="false">IF(C3928="","",C3928*IF(Settings!$B$22=Settings!$C$6,1,IF(Settings!$B$22="USD",1/INDEX(Settings!$B$29:$B$40,MONTH(A3928)),INDEX(Settings!$B$29:$B$40,MONTH(A3928)))))</f>
        <v/>
      </c>
    </row>
    <row r="3929" customFormat="false" ht="15" hidden="false" customHeight="false" outlineLevel="0" collapsed="false">
      <c r="H3929" s="0" t="str">
        <f aca="false">IF(B3929="","",IF(COUNTIF(Campaigns!$A$7:$A$300,B3929)&gt;0,"✓","⚠ add to Campaigns tab"))</f>
        <v/>
      </c>
      <c r="I3929" s="84" t="str">
        <f aca="false">IF(C3929="","",C3929*IF(Settings!$B$22=Settings!$C$6,1,IF(Settings!$B$22="USD",1/INDEX(Settings!$B$29:$B$40,MONTH(A3929)),INDEX(Settings!$B$29:$B$40,MONTH(A3929)))))</f>
        <v/>
      </c>
    </row>
    <row r="3930" customFormat="false" ht="15" hidden="false" customHeight="false" outlineLevel="0" collapsed="false">
      <c r="H3930" s="0" t="str">
        <f aca="false">IF(B3930="","",IF(COUNTIF(Campaigns!$A$7:$A$300,B3930)&gt;0,"✓","⚠ add to Campaigns tab"))</f>
        <v/>
      </c>
      <c r="I3930" s="84" t="str">
        <f aca="false">IF(C3930="","",C3930*IF(Settings!$B$22=Settings!$C$6,1,IF(Settings!$B$22="USD",1/INDEX(Settings!$B$29:$B$40,MONTH(A3930)),INDEX(Settings!$B$29:$B$40,MONTH(A3930)))))</f>
        <v/>
      </c>
    </row>
    <row r="3931" customFormat="false" ht="15" hidden="false" customHeight="false" outlineLevel="0" collapsed="false">
      <c r="H3931" s="0" t="str">
        <f aca="false">IF(B3931="","",IF(COUNTIF(Campaigns!$A$7:$A$300,B3931)&gt;0,"✓","⚠ add to Campaigns tab"))</f>
        <v/>
      </c>
      <c r="I3931" s="84" t="str">
        <f aca="false">IF(C3931="","",C3931*IF(Settings!$B$22=Settings!$C$6,1,IF(Settings!$B$22="USD",1/INDEX(Settings!$B$29:$B$40,MONTH(A3931)),INDEX(Settings!$B$29:$B$40,MONTH(A3931)))))</f>
        <v/>
      </c>
    </row>
    <row r="3932" customFormat="false" ht="15" hidden="false" customHeight="false" outlineLevel="0" collapsed="false">
      <c r="H3932" s="0" t="str">
        <f aca="false">IF(B3932="","",IF(COUNTIF(Campaigns!$A$7:$A$300,B3932)&gt;0,"✓","⚠ add to Campaigns tab"))</f>
        <v/>
      </c>
      <c r="I3932" s="84" t="str">
        <f aca="false">IF(C3932="","",C3932*IF(Settings!$B$22=Settings!$C$6,1,IF(Settings!$B$22="USD",1/INDEX(Settings!$B$29:$B$40,MONTH(A3932)),INDEX(Settings!$B$29:$B$40,MONTH(A3932)))))</f>
        <v/>
      </c>
    </row>
    <row r="3933" customFormat="false" ht="15" hidden="false" customHeight="false" outlineLevel="0" collapsed="false">
      <c r="H3933" s="0" t="str">
        <f aca="false">IF(B3933="","",IF(COUNTIF(Campaigns!$A$7:$A$300,B3933)&gt;0,"✓","⚠ add to Campaigns tab"))</f>
        <v/>
      </c>
      <c r="I3933" s="84" t="str">
        <f aca="false">IF(C3933="","",C3933*IF(Settings!$B$22=Settings!$C$6,1,IF(Settings!$B$22="USD",1/INDEX(Settings!$B$29:$B$40,MONTH(A3933)),INDEX(Settings!$B$29:$B$40,MONTH(A3933)))))</f>
        <v/>
      </c>
    </row>
    <row r="3934" customFormat="false" ht="15" hidden="false" customHeight="false" outlineLevel="0" collapsed="false">
      <c r="H3934" s="0" t="str">
        <f aca="false">IF(B3934="","",IF(COUNTIF(Campaigns!$A$7:$A$300,B3934)&gt;0,"✓","⚠ add to Campaigns tab"))</f>
        <v/>
      </c>
      <c r="I3934" s="84" t="str">
        <f aca="false">IF(C3934="","",C3934*IF(Settings!$B$22=Settings!$C$6,1,IF(Settings!$B$22="USD",1/INDEX(Settings!$B$29:$B$40,MONTH(A3934)),INDEX(Settings!$B$29:$B$40,MONTH(A3934)))))</f>
        <v/>
      </c>
    </row>
    <row r="3935" customFormat="false" ht="15" hidden="false" customHeight="false" outlineLevel="0" collapsed="false">
      <c r="H3935" s="0" t="str">
        <f aca="false">IF(B3935="","",IF(COUNTIF(Campaigns!$A$7:$A$300,B3935)&gt;0,"✓","⚠ add to Campaigns tab"))</f>
        <v/>
      </c>
      <c r="I3935" s="84" t="str">
        <f aca="false">IF(C3935="","",C3935*IF(Settings!$B$22=Settings!$C$6,1,IF(Settings!$B$22="USD",1/INDEX(Settings!$B$29:$B$40,MONTH(A3935)),INDEX(Settings!$B$29:$B$40,MONTH(A3935)))))</f>
        <v/>
      </c>
    </row>
    <row r="3936" customFormat="false" ht="15" hidden="false" customHeight="false" outlineLevel="0" collapsed="false">
      <c r="H3936" s="0" t="str">
        <f aca="false">IF(B3936="","",IF(COUNTIF(Campaigns!$A$7:$A$300,B3936)&gt;0,"✓","⚠ add to Campaigns tab"))</f>
        <v/>
      </c>
      <c r="I3936" s="84" t="str">
        <f aca="false">IF(C3936="","",C3936*IF(Settings!$B$22=Settings!$C$6,1,IF(Settings!$B$22="USD",1/INDEX(Settings!$B$29:$B$40,MONTH(A3936)),INDEX(Settings!$B$29:$B$40,MONTH(A3936)))))</f>
        <v/>
      </c>
    </row>
    <row r="3937" customFormat="false" ht="15" hidden="false" customHeight="false" outlineLevel="0" collapsed="false">
      <c r="H3937" s="0" t="str">
        <f aca="false">IF(B3937="","",IF(COUNTIF(Campaigns!$A$7:$A$300,B3937)&gt;0,"✓","⚠ add to Campaigns tab"))</f>
        <v/>
      </c>
      <c r="I3937" s="84" t="str">
        <f aca="false">IF(C3937="","",C3937*IF(Settings!$B$22=Settings!$C$6,1,IF(Settings!$B$22="USD",1/INDEX(Settings!$B$29:$B$40,MONTH(A3937)),INDEX(Settings!$B$29:$B$40,MONTH(A3937)))))</f>
        <v/>
      </c>
    </row>
    <row r="3938" customFormat="false" ht="15" hidden="false" customHeight="false" outlineLevel="0" collapsed="false">
      <c r="H3938" s="0" t="str">
        <f aca="false">IF(B3938="","",IF(COUNTIF(Campaigns!$A$7:$A$300,B3938)&gt;0,"✓","⚠ add to Campaigns tab"))</f>
        <v/>
      </c>
      <c r="I3938" s="84" t="str">
        <f aca="false">IF(C3938="","",C3938*IF(Settings!$B$22=Settings!$C$6,1,IF(Settings!$B$22="USD",1/INDEX(Settings!$B$29:$B$40,MONTH(A3938)),INDEX(Settings!$B$29:$B$40,MONTH(A3938)))))</f>
        <v/>
      </c>
    </row>
    <row r="3939" customFormat="false" ht="15" hidden="false" customHeight="false" outlineLevel="0" collapsed="false">
      <c r="H3939" s="0" t="str">
        <f aca="false">IF(B3939="","",IF(COUNTIF(Campaigns!$A$7:$A$300,B3939)&gt;0,"✓","⚠ add to Campaigns tab"))</f>
        <v/>
      </c>
      <c r="I3939" s="84" t="str">
        <f aca="false">IF(C3939="","",C3939*IF(Settings!$B$22=Settings!$C$6,1,IF(Settings!$B$22="USD",1/INDEX(Settings!$B$29:$B$40,MONTH(A3939)),INDEX(Settings!$B$29:$B$40,MONTH(A3939)))))</f>
        <v/>
      </c>
    </row>
    <row r="3940" customFormat="false" ht="15" hidden="false" customHeight="false" outlineLevel="0" collapsed="false">
      <c r="H3940" s="0" t="str">
        <f aca="false">IF(B3940="","",IF(COUNTIF(Campaigns!$A$7:$A$300,B3940)&gt;0,"✓","⚠ add to Campaigns tab"))</f>
        <v/>
      </c>
      <c r="I3940" s="84" t="str">
        <f aca="false">IF(C3940="","",C3940*IF(Settings!$B$22=Settings!$C$6,1,IF(Settings!$B$22="USD",1/INDEX(Settings!$B$29:$B$40,MONTH(A3940)),INDEX(Settings!$B$29:$B$40,MONTH(A3940)))))</f>
        <v/>
      </c>
    </row>
    <row r="3941" customFormat="false" ht="15" hidden="false" customHeight="false" outlineLevel="0" collapsed="false">
      <c r="H3941" s="0" t="str">
        <f aca="false">IF(B3941="","",IF(COUNTIF(Campaigns!$A$7:$A$300,B3941)&gt;0,"✓","⚠ add to Campaigns tab"))</f>
        <v/>
      </c>
      <c r="I3941" s="84" t="str">
        <f aca="false">IF(C3941="","",C3941*IF(Settings!$B$22=Settings!$C$6,1,IF(Settings!$B$22="USD",1/INDEX(Settings!$B$29:$B$40,MONTH(A3941)),INDEX(Settings!$B$29:$B$40,MONTH(A3941)))))</f>
        <v/>
      </c>
    </row>
    <row r="3942" customFormat="false" ht="15" hidden="false" customHeight="false" outlineLevel="0" collapsed="false">
      <c r="H3942" s="0" t="str">
        <f aca="false">IF(B3942="","",IF(COUNTIF(Campaigns!$A$7:$A$300,B3942)&gt;0,"✓","⚠ add to Campaigns tab"))</f>
        <v/>
      </c>
      <c r="I3942" s="84" t="str">
        <f aca="false">IF(C3942="","",C3942*IF(Settings!$B$22=Settings!$C$6,1,IF(Settings!$B$22="USD",1/INDEX(Settings!$B$29:$B$40,MONTH(A3942)),INDEX(Settings!$B$29:$B$40,MONTH(A3942)))))</f>
        <v/>
      </c>
    </row>
    <row r="3943" customFormat="false" ht="15" hidden="false" customHeight="false" outlineLevel="0" collapsed="false">
      <c r="H3943" s="0" t="str">
        <f aca="false">IF(B3943="","",IF(COUNTIF(Campaigns!$A$7:$A$300,B3943)&gt;0,"✓","⚠ add to Campaigns tab"))</f>
        <v/>
      </c>
      <c r="I3943" s="84" t="str">
        <f aca="false">IF(C3943="","",C3943*IF(Settings!$B$22=Settings!$C$6,1,IF(Settings!$B$22="USD",1/INDEX(Settings!$B$29:$B$40,MONTH(A3943)),INDEX(Settings!$B$29:$B$40,MONTH(A3943)))))</f>
        <v/>
      </c>
    </row>
    <row r="3944" customFormat="false" ht="15" hidden="false" customHeight="false" outlineLevel="0" collapsed="false">
      <c r="H3944" s="0" t="str">
        <f aca="false">IF(B3944="","",IF(COUNTIF(Campaigns!$A$7:$A$300,B3944)&gt;0,"✓","⚠ add to Campaigns tab"))</f>
        <v/>
      </c>
      <c r="I3944" s="84" t="str">
        <f aca="false">IF(C3944="","",C3944*IF(Settings!$B$22=Settings!$C$6,1,IF(Settings!$B$22="USD",1/INDEX(Settings!$B$29:$B$40,MONTH(A3944)),INDEX(Settings!$B$29:$B$40,MONTH(A3944)))))</f>
        <v/>
      </c>
    </row>
    <row r="3945" customFormat="false" ht="15" hidden="false" customHeight="false" outlineLevel="0" collapsed="false">
      <c r="H3945" s="0" t="str">
        <f aca="false">IF(B3945="","",IF(COUNTIF(Campaigns!$A$7:$A$300,B3945)&gt;0,"✓","⚠ add to Campaigns tab"))</f>
        <v/>
      </c>
      <c r="I3945" s="84" t="str">
        <f aca="false">IF(C3945="","",C3945*IF(Settings!$B$22=Settings!$C$6,1,IF(Settings!$B$22="USD",1/INDEX(Settings!$B$29:$B$40,MONTH(A3945)),INDEX(Settings!$B$29:$B$40,MONTH(A3945)))))</f>
        <v/>
      </c>
    </row>
    <row r="3946" customFormat="false" ht="15" hidden="false" customHeight="false" outlineLevel="0" collapsed="false">
      <c r="H3946" s="0" t="str">
        <f aca="false">IF(B3946="","",IF(COUNTIF(Campaigns!$A$7:$A$300,B3946)&gt;0,"✓","⚠ add to Campaigns tab"))</f>
        <v/>
      </c>
      <c r="I3946" s="84" t="str">
        <f aca="false">IF(C3946="","",C3946*IF(Settings!$B$22=Settings!$C$6,1,IF(Settings!$B$22="USD",1/INDEX(Settings!$B$29:$B$40,MONTH(A3946)),INDEX(Settings!$B$29:$B$40,MONTH(A3946)))))</f>
        <v/>
      </c>
    </row>
    <row r="3947" customFormat="false" ht="15" hidden="false" customHeight="false" outlineLevel="0" collapsed="false">
      <c r="H3947" s="0" t="str">
        <f aca="false">IF(B3947="","",IF(COUNTIF(Campaigns!$A$7:$A$300,B3947)&gt;0,"✓","⚠ add to Campaigns tab"))</f>
        <v/>
      </c>
      <c r="I3947" s="84" t="str">
        <f aca="false">IF(C3947="","",C3947*IF(Settings!$B$22=Settings!$C$6,1,IF(Settings!$B$22="USD",1/INDEX(Settings!$B$29:$B$40,MONTH(A3947)),INDEX(Settings!$B$29:$B$40,MONTH(A3947)))))</f>
        <v/>
      </c>
    </row>
    <row r="3948" customFormat="false" ht="15" hidden="false" customHeight="false" outlineLevel="0" collapsed="false">
      <c r="H3948" s="0" t="str">
        <f aca="false">IF(B3948="","",IF(COUNTIF(Campaigns!$A$7:$A$300,B3948)&gt;0,"✓","⚠ add to Campaigns tab"))</f>
        <v/>
      </c>
      <c r="I3948" s="84" t="str">
        <f aca="false">IF(C3948="","",C3948*IF(Settings!$B$22=Settings!$C$6,1,IF(Settings!$B$22="USD",1/INDEX(Settings!$B$29:$B$40,MONTH(A3948)),INDEX(Settings!$B$29:$B$40,MONTH(A3948)))))</f>
        <v/>
      </c>
    </row>
    <row r="3949" customFormat="false" ht="15" hidden="false" customHeight="false" outlineLevel="0" collapsed="false">
      <c r="H3949" s="0" t="str">
        <f aca="false">IF(B3949="","",IF(COUNTIF(Campaigns!$A$7:$A$300,B3949)&gt;0,"✓","⚠ add to Campaigns tab"))</f>
        <v/>
      </c>
      <c r="I3949" s="84" t="str">
        <f aca="false">IF(C3949="","",C3949*IF(Settings!$B$22=Settings!$C$6,1,IF(Settings!$B$22="USD",1/INDEX(Settings!$B$29:$B$40,MONTH(A3949)),INDEX(Settings!$B$29:$B$40,MONTH(A3949)))))</f>
        <v/>
      </c>
    </row>
    <row r="3950" customFormat="false" ht="15" hidden="false" customHeight="false" outlineLevel="0" collapsed="false">
      <c r="H3950" s="0" t="str">
        <f aca="false">IF(B3950="","",IF(COUNTIF(Campaigns!$A$7:$A$300,B3950)&gt;0,"✓","⚠ add to Campaigns tab"))</f>
        <v/>
      </c>
      <c r="I3950" s="84" t="str">
        <f aca="false">IF(C3950="","",C3950*IF(Settings!$B$22=Settings!$C$6,1,IF(Settings!$B$22="USD",1/INDEX(Settings!$B$29:$B$40,MONTH(A3950)),INDEX(Settings!$B$29:$B$40,MONTH(A3950)))))</f>
        <v/>
      </c>
    </row>
    <row r="3951" customFormat="false" ht="15" hidden="false" customHeight="false" outlineLevel="0" collapsed="false">
      <c r="H3951" s="0" t="str">
        <f aca="false">IF(B3951="","",IF(COUNTIF(Campaigns!$A$7:$A$300,B3951)&gt;0,"✓","⚠ add to Campaigns tab"))</f>
        <v/>
      </c>
      <c r="I3951" s="84" t="str">
        <f aca="false">IF(C3951="","",C3951*IF(Settings!$B$22=Settings!$C$6,1,IF(Settings!$B$22="USD",1/INDEX(Settings!$B$29:$B$40,MONTH(A3951)),INDEX(Settings!$B$29:$B$40,MONTH(A3951)))))</f>
        <v/>
      </c>
    </row>
    <row r="3952" customFormat="false" ht="15" hidden="false" customHeight="false" outlineLevel="0" collapsed="false">
      <c r="H3952" s="0" t="str">
        <f aca="false">IF(B3952="","",IF(COUNTIF(Campaigns!$A$7:$A$300,B3952)&gt;0,"✓","⚠ add to Campaigns tab"))</f>
        <v/>
      </c>
      <c r="I3952" s="84" t="str">
        <f aca="false">IF(C3952="","",C3952*IF(Settings!$B$22=Settings!$C$6,1,IF(Settings!$B$22="USD",1/INDEX(Settings!$B$29:$B$40,MONTH(A3952)),INDEX(Settings!$B$29:$B$40,MONTH(A3952)))))</f>
        <v/>
      </c>
    </row>
    <row r="3953" customFormat="false" ht="15" hidden="false" customHeight="false" outlineLevel="0" collapsed="false">
      <c r="H3953" s="0" t="str">
        <f aca="false">IF(B3953="","",IF(COUNTIF(Campaigns!$A$7:$A$300,B3953)&gt;0,"✓","⚠ add to Campaigns tab"))</f>
        <v/>
      </c>
      <c r="I3953" s="84" t="str">
        <f aca="false">IF(C3953="","",C3953*IF(Settings!$B$22=Settings!$C$6,1,IF(Settings!$B$22="USD",1/INDEX(Settings!$B$29:$B$40,MONTH(A3953)),INDEX(Settings!$B$29:$B$40,MONTH(A3953)))))</f>
        <v/>
      </c>
    </row>
    <row r="3954" customFormat="false" ht="15" hidden="false" customHeight="false" outlineLevel="0" collapsed="false">
      <c r="H3954" s="0" t="str">
        <f aca="false">IF(B3954="","",IF(COUNTIF(Campaigns!$A$7:$A$300,B3954)&gt;0,"✓","⚠ add to Campaigns tab"))</f>
        <v/>
      </c>
      <c r="I3954" s="84" t="str">
        <f aca="false">IF(C3954="","",C3954*IF(Settings!$B$22=Settings!$C$6,1,IF(Settings!$B$22="USD",1/INDEX(Settings!$B$29:$B$40,MONTH(A3954)),INDEX(Settings!$B$29:$B$40,MONTH(A3954)))))</f>
        <v/>
      </c>
    </row>
    <row r="3955" customFormat="false" ht="15" hidden="false" customHeight="false" outlineLevel="0" collapsed="false">
      <c r="H3955" s="0" t="str">
        <f aca="false">IF(B3955="","",IF(COUNTIF(Campaigns!$A$7:$A$300,B3955)&gt;0,"✓","⚠ add to Campaigns tab"))</f>
        <v/>
      </c>
      <c r="I3955" s="84" t="str">
        <f aca="false">IF(C3955="","",C3955*IF(Settings!$B$22=Settings!$C$6,1,IF(Settings!$B$22="USD",1/INDEX(Settings!$B$29:$B$40,MONTH(A3955)),INDEX(Settings!$B$29:$B$40,MONTH(A3955)))))</f>
        <v/>
      </c>
    </row>
    <row r="3956" customFormat="false" ht="15" hidden="false" customHeight="false" outlineLevel="0" collapsed="false">
      <c r="H3956" s="0" t="str">
        <f aca="false">IF(B3956="","",IF(COUNTIF(Campaigns!$A$7:$A$300,B3956)&gt;0,"✓","⚠ add to Campaigns tab"))</f>
        <v/>
      </c>
      <c r="I3956" s="84" t="str">
        <f aca="false">IF(C3956="","",C3956*IF(Settings!$B$22=Settings!$C$6,1,IF(Settings!$B$22="USD",1/INDEX(Settings!$B$29:$B$40,MONTH(A3956)),INDEX(Settings!$B$29:$B$40,MONTH(A3956)))))</f>
        <v/>
      </c>
    </row>
    <row r="3957" customFormat="false" ht="15" hidden="false" customHeight="false" outlineLevel="0" collapsed="false">
      <c r="H3957" s="0" t="str">
        <f aca="false">IF(B3957="","",IF(COUNTIF(Campaigns!$A$7:$A$300,B3957)&gt;0,"✓","⚠ add to Campaigns tab"))</f>
        <v/>
      </c>
      <c r="I3957" s="84" t="str">
        <f aca="false">IF(C3957="","",C3957*IF(Settings!$B$22=Settings!$C$6,1,IF(Settings!$B$22="USD",1/INDEX(Settings!$B$29:$B$40,MONTH(A3957)),INDEX(Settings!$B$29:$B$40,MONTH(A3957)))))</f>
        <v/>
      </c>
    </row>
    <row r="3958" customFormat="false" ht="15" hidden="false" customHeight="false" outlineLevel="0" collapsed="false">
      <c r="H3958" s="0" t="str">
        <f aca="false">IF(B3958="","",IF(COUNTIF(Campaigns!$A$7:$A$300,B3958)&gt;0,"✓","⚠ add to Campaigns tab"))</f>
        <v/>
      </c>
      <c r="I3958" s="84" t="str">
        <f aca="false">IF(C3958="","",C3958*IF(Settings!$B$22=Settings!$C$6,1,IF(Settings!$B$22="USD",1/INDEX(Settings!$B$29:$B$40,MONTH(A3958)),INDEX(Settings!$B$29:$B$40,MONTH(A3958)))))</f>
        <v/>
      </c>
    </row>
    <row r="3959" customFormat="false" ht="15" hidden="false" customHeight="false" outlineLevel="0" collapsed="false">
      <c r="H3959" s="0" t="str">
        <f aca="false">IF(B3959="","",IF(COUNTIF(Campaigns!$A$7:$A$300,B3959)&gt;0,"✓","⚠ add to Campaigns tab"))</f>
        <v/>
      </c>
      <c r="I3959" s="84" t="str">
        <f aca="false">IF(C3959="","",C3959*IF(Settings!$B$22=Settings!$C$6,1,IF(Settings!$B$22="USD",1/INDEX(Settings!$B$29:$B$40,MONTH(A3959)),INDEX(Settings!$B$29:$B$40,MONTH(A3959)))))</f>
        <v/>
      </c>
    </row>
    <row r="3960" customFormat="false" ht="15" hidden="false" customHeight="false" outlineLevel="0" collapsed="false">
      <c r="H3960" s="0" t="str">
        <f aca="false">IF(B3960="","",IF(COUNTIF(Campaigns!$A$7:$A$300,B3960)&gt;0,"✓","⚠ add to Campaigns tab"))</f>
        <v/>
      </c>
      <c r="I3960" s="84" t="str">
        <f aca="false">IF(C3960="","",C3960*IF(Settings!$B$22=Settings!$C$6,1,IF(Settings!$B$22="USD",1/INDEX(Settings!$B$29:$B$40,MONTH(A3960)),INDEX(Settings!$B$29:$B$40,MONTH(A3960)))))</f>
        <v/>
      </c>
    </row>
    <row r="3961" customFormat="false" ht="15" hidden="false" customHeight="false" outlineLevel="0" collapsed="false">
      <c r="H3961" s="0" t="str">
        <f aca="false">IF(B3961="","",IF(COUNTIF(Campaigns!$A$7:$A$300,B3961)&gt;0,"✓","⚠ add to Campaigns tab"))</f>
        <v/>
      </c>
      <c r="I3961" s="84" t="str">
        <f aca="false">IF(C3961="","",C3961*IF(Settings!$B$22=Settings!$C$6,1,IF(Settings!$B$22="USD",1/INDEX(Settings!$B$29:$B$40,MONTH(A3961)),INDEX(Settings!$B$29:$B$40,MONTH(A3961)))))</f>
        <v/>
      </c>
    </row>
    <row r="3962" customFormat="false" ht="15" hidden="false" customHeight="false" outlineLevel="0" collapsed="false">
      <c r="H3962" s="0" t="str">
        <f aca="false">IF(B3962="","",IF(COUNTIF(Campaigns!$A$7:$A$300,B3962)&gt;0,"✓","⚠ add to Campaigns tab"))</f>
        <v/>
      </c>
      <c r="I3962" s="84" t="str">
        <f aca="false">IF(C3962="","",C3962*IF(Settings!$B$22=Settings!$C$6,1,IF(Settings!$B$22="USD",1/INDEX(Settings!$B$29:$B$40,MONTH(A3962)),INDEX(Settings!$B$29:$B$40,MONTH(A3962)))))</f>
        <v/>
      </c>
    </row>
    <row r="3963" customFormat="false" ht="15" hidden="false" customHeight="false" outlineLevel="0" collapsed="false">
      <c r="H3963" s="0" t="str">
        <f aca="false">IF(B3963="","",IF(COUNTIF(Campaigns!$A$7:$A$300,B3963)&gt;0,"✓","⚠ add to Campaigns tab"))</f>
        <v/>
      </c>
      <c r="I3963" s="84" t="str">
        <f aca="false">IF(C3963="","",C3963*IF(Settings!$B$22=Settings!$C$6,1,IF(Settings!$B$22="USD",1/INDEX(Settings!$B$29:$B$40,MONTH(A3963)),INDEX(Settings!$B$29:$B$40,MONTH(A3963)))))</f>
        <v/>
      </c>
    </row>
    <row r="3964" customFormat="false" ht="15" hidden="false" customHeight="false" outlineLevel="0" collapsed="false">
      <c r="H3964" s="0" t="str">
        <f aca="false">IF(B3964="","",IF(COUNTIF(Campaigns!$A$7:$A$300,B3964)&gt;0,"✓","⚠ add to Campaigns tab"))</f>
        <v/>
      </c>
      <c r="I3964" s="84" t="str">
        <f aca="false">IF(C3964="","",C3964*IF(Settings!$B$22=Settings!$C$6,1,IF(Settings!$B$22="USD",1/INDEX(Settings!$B$29:$B$40,MONTH(A3964)),INDEX(Settings!$B$29:$B$40,MONTH(A3964)))))</f>
        <v/>
      </c>
    </row>
    <row r="3965" customFormat="false" ht="15" hidden="false" customHeight="false" outlineLevel="0" collapsed="false">
      <c r="H3965" s="0" t="str">
        <f aca="false">IF(B3965="","",IF(COUNTIF(Campaigns!$A$7:$A$300,B3965)&gt;0,"✓","⚠ add to Campaigns tab"))</f>
        <v/>
      </c>
      <c r="I3965" s="84" t="str">
        <f aca="false">IF(C3965="","",C3965*IF(Settings!$B$22=Settings!$C$6,1,IF(Settings!$B$22="USD",1/INDEX(Settings!$B$29:$B$40,MONTH(A3965)),INDEX(Settings!$B$29:$B$40,MONTH(A3965)))))</f>
        <v/>
      </c>
    </row>
    <row r="3966" customFormat="false" ht="15" hidden="false" customHeight="false" outlineLevel="0" collapsed="false">
      <c r="H3966" s="0" t="str">
        <f aca="false">IF(B3966="","",IF(COUNTIF(Campaigns!$A$7:$A$300,B3966)&gt;0,"✓","⚠ add to Campaigns tab"))</f>
        <v/>
      </c>
      <c r="I3966" s="84" t="str">
        <f aca="false">IF(C3966="","",C3966*IF(Settings!$B$22=Settings!$C$6,1,IF(Settings!$B$22="USD",1/INDEX(Settings!$B$29:$B$40,MONTH(A3966)),INDEX(Settings!$B$29:$B$40,MONTH(A3966)))))</f>
        <v/>
      </c>
    </row>
    <row r="3967" customFormat="false" ht="15" hidden="false" customHeight="false" outlineLevel="0" collapsed="false">
      <c r="H3967" s="0" t="str">
        <f aca="false">IF(B3967="","",IF(COUNTIF(Campaigns!$A$7:$A$300,B3967)&gt;0,"✓","⚠ add to Campaigns tab"))</f>
        <v/>
      </c>
      <c r="I3967" s="84" t="str">
        <f aca="false">IF(C3967="","",C3967*IF(Settings!$B$22=Settings!$C$6,1,IF(Settings!$B$22="USD",1/INDEX(Settings!$B$29:$B$40,MONTH(A3967)),INDEX(Settings!$B$29:$B$40,MONTH(A3967)))))</f>
        <v/>
      </c>
    </row>
    <row r="3968" customFormat="false" ht="15" hidden="false" customHeight="false" outlineLevel="0" collapsed="false">
      <c r="H3968" s="0" t="str">
        <f aca="false">IF(B3968="","",IF(COUNTIF(Campaigns!$A$7:$A$300,B3968)&gt;0,"✓","⚠ add to Campaigns tab"))</f>
        <v/>
      </c>
      <c r="I3968" s="84" t="str">
        <f aca="false">IF(C3968="","",C3968*IF(Settings!$B$22=Settings!$C$6,1,IF(Settings!$B$22="USD",1/INDEX(Settings!$B$29:$B$40,MONTH(A3968)),INDEX(Settings!$B$29:$B$40,MONTH(A3968)))))</f>
        <v/>
      </c>
    </row>
    <row r="3969" customFormat="false" ht="15" hidden="false" customHeight="false" outlineLevel="0" collapsed="false">
      <c r="H3969" s="0" t="str">
        <f aca="false">IF(B3969="","",IF(COUNTIF(Campaigns!$A$7:$A$300,B3969)&gt;0,"✓","⚠ add to Campaigns tab"))</f>
        <v/>
      </c>
      <c r="I3969" s="84" t="str">
        <f aca="false">IF(C3969="","",C3969*IF(Settings!$B$22=Settings!$C$6,1,IF(Settings!$B$22="USD",1/INDEX(Settings!$B$29:$B$40,MONTH(A3969)),INDEX(Settings!$B$29:$B$40,MONTH(A3969)))))</f>
        <v/>
      </c>
    </row>
    <row r="3970" customFormat="false" ht="15" hidden="false" customHeight="false" outlineLevel="0" collapsed="false">
      <c r="H3970" s="0" t="str">
        <f aca="false">IF(B3970="","",IF(COUNTIF(Campaigns!$A$7:$A$300,B3970)&gt;0,"✓","⚠ add to Campaigns tab"))</f>
        <v/>
      </c>
      <c r="I3970" s="84" t="str">
        <f aca="false">IF(C3970="","",C3970*IF(Settings!$B$22=Settings!$C$6,1,IF(Settings!$B$22="USD",1/INDEX(Settings!$B$29:$B$40,MONTH(A3970)),INDEX(Settings!$B$29:$B$40,MONTH(A3970)))))</f>
        <v/>
      </c>
    </row>
    <row r="3971" customFormat="false" ht="15" hidden="false" customHeight="false" outlineLevel="0" collapsed="false">
      <c r="H3971" s="0" t="str">
        <f aca="false">IF(B3971="","",IF(COUNTIF(Campaigns!$A$7:$A$300,B3971)&gt;0,"✓","⚠ add to Campaigns tab"))</f>
        <v/>
      </c>
      <c r="I3971" s="84" t="str">
        <f aca="false">IF(C3971="","",C3971*IF(Settings!$B$22=Settings!$C$6,1,IF(Settings!$B$22="USD",1/INDEX(Settings!$B$29:$B$40,MONTH(A3971)),INDEX(Settings!$B$29:$B$40,MONTH(A3971)))))</f>
        <v/>
      </c>
    </row>
    <row r="3972" customFormat="false" ht="15" hidden="false" customHeight="false" outlineLevel="0" collapsed="false">
      <c r="H3972" s="0" t="str">
        <f aca="false">IF(B3972="","",IF(COUNTIF(Campaigns!$A$7:$A$300,B3972)&gt;0,"✓","⚠ add to Campaigns tab"))</f>
        <v/>
      </c>
      <c r="I3972" s="84" t="str">
        <f aca="false">IF(C3972="","",C3972*IF(Settings!$B$22=Settings!$C$6,1,IF(Settings!$B$22="USD",1/INDEX(Settings!$B$29:$B$40,MONTH(A3972)),INDEX(Settings!$B$29:$B$40,MONTH(A3972)))))</f>
        <v/>
      </c>
    </row>
    <row r="3973" customFormat="false" ht="15" hidden="false" customHeight="false" outlineLevel="0" collapsed="false">
      <c r="H3973" s="0" t="str">
        <f aca="false">IF(B3973="","",IF(COUNTIF(Campaigns!$A$7:$A$300,B3973)&gt;0,"✓","⚠ add to Campaigns tab"))</f>
        <v/>
      </c>
      <c r="I3973" s="84" t="str">
        <f aca="false">IF(C3973="","",C3973*IF(Settings!$B$22=Settings!$C$6,1,IF(Settings!$B$22="USD",1/INDEX(Settings!$B$29:$B$40,MONTH(A3973)),INDEX(Settings!$B$29:$B$40,MONTH(A3973)))))</f>
        <v/>
      </c>
    </row>
    <row r="3974" customFormat="false" ht="15" hidden="false" customHeight="false" outlineLevel="0" collapsed="false">
      <c r="H3974" s="0" t="str">
        <f aca="false">IF(B3974="","",IF(COUNTIF(Campaigns!$A$7:$A$300,B3974)&gt;0,"✓","⚠ add to Campaigns tab"))</f>
        <v/>
      </c>
      <c r="I3974" s="84" t="str">
        <f aca="false">IF(C3974="","",C3974*IF(Settings!$B$22=Settings!$C$6,1,IF(Settings!$B$22="USD",1/INDEX(Settings!$B$29:$B$40,MONTH(A3974)),INDEX(Settings!$B$29:$B$40,MONTH(A3974)))))</f>
        <v/>
      </c>
    </row>
    <row r="3975" customFormat="false" ht="15" hidden="false" customHeight="false" outlineLevel="0" collapsed="false">
      <c r="H3975" s="0" t="str">
        <f aca="false">IF(B3975="","",IF(COUNTIF(Campaigns!$A$7:$A$300,B3975)&gt;0,"✓","⚠ add to Campaigns tab"))</f>
        <v/>
      </c>
      <c r="I3975" s="84" t="str">
        <f aca="false">IF(C3975="","",C3975*IF(Settings!$B$22=Settings!$C$6,1,IF(Settings!$B$22="USD",1/INDEX(Settings!$B$29:$B$40,MONTH(A3975)),INDEX(Settings!$B$29:$B$40,MONTH(A3975)))))</f>
        <v/>
      </c>
    </row>
    <row r="3976" customFormat="false" ht="15" hidden="false" customHeight="false" outlineLevel="0" collapsed="false">
      <c r="H3976" s="0" t="str">
        <f aca="false">IF(B3976="","",IF(COUNTIF(Campaigns!$A$7:$A$300,B3976)&gt;0,"✓","⚠ add to Campaigns tab"))</f>
        <v/>
      </c>
      <c r="I3976" s="84" t="str">
        <f aca="false">IF(C3976="","",C3976*IF(Settings!$B$22=Settings!$C$6,1,IF(Settings!$B$22="USD",1/INDEX(Settings!$B$29:$B$40,MONTH(A3976)),INDEX(Settings!$B$29:$B$40,MONTH(A3976)))))</f>
        <v/>
      </c>
    </row>
    <row r="3977" customFormat="false" ht="15" hidden="false" customHeight="false" outlineLevel="0" collapsed="false">
      <c r="H3977" s="0" t="str">
        <f aca="false">IF(B3977="","",IF(COUNTIF(Campaigns!$A$7:$A$300,B3977)&gt;0,"✓","⚠ add to Campaigns tab"))</f>
        <v/>
      </c>
      <c r="I3977" s="84" t="str">
        <f aca="false">IF(C3977="","",C3977*IF(Settings!$B$22=Settings!$C$6,1,IF(Settings!$B$22="USD",1/INDEX(Settings!$B$29:$B$40,MONTH(A3977)),INDEX(Settings!$B$29:$B$40,MONTH(A3977)))))</f>
        <v/>
      </c>
    </row>
    <row r="3978" customFormat="false" ht="15" hidden="false" customHeight="false" outlineLevel="0" collapsed="false">
      <c r="H3978" s="0" t="str">
        <f aca="false">IF(B3978="","",IF(COUNTIF(Campaigns!$A$7:$A$300,B3978)&gt;0,"✓","⚠ add to Campaigns tab"))</f>
        <v/>
      </c>
      <c r="I3978" s="84" t="str">
        <f aca="false">IF(C3978="","",C3978*IF(Settings!$B$22=Settings!$C$6,1,IF(Settings!$B$22="USD",1/INDEX(Settings!$B$29:$B$40,MONTH(A3978)),INDEX(Settings!$B$29:$B$40,MONTH(A3978)))))</f>
        <v/>
      </c>
    </row>
    <row r="3979" customFormat="false" ht="15" hidden="false" customHeight="false" outlineLevel="0" collapsed="false">
      <c r="H3979" s="0" t="str">
        <f aca="false">IF(B3979="","",IF(COUNTIF(Campaigns!$A$7:$A$300,B3979)&gt;0,"✓","⚠ add to Campaigns tab"))</f>
        <v/>
      </c>
      <c r="I3979" s="84" t="str">
        <f aca="false">IF(C3979="","",C3979*IF(Settings!$B$22=Settings!$C$6,1,IF(Settings!$B$22="USD",1/INDEX(Settings!$B$29:$B$40,MONTH(A3979)),INDEX(Settings!$B$29:$B$40,MONTH(A3979)))))</f>
        <v/>
      </c>
    </row>
    <row r="3980" customFormat="false" ht="15" hidden="false" customHeight="false" outlineLevel="0" collapsed="false">
      <c r="H3980" s="0" t="str">
        <f aca="false">IF(B3980="","",IF(COUNTIF(Campaigns!$A$7:$A$300,B3980)&gt;0,"✓","⚠ add to Campaigns tab"))</f>
        <v/>
      </c>
      <c r="I3980" s="84" t="str">
        <f aca="false">IF(C3980="","",C3980*IF(Settings!$B$22=Settings!$C$6,1,IF(Settings!$B$22="USD",1/INDEX(Settings!$B$29:$B$40,MONTH(A3980)),INDEX(Settings!$B$29:$B$40,MONTH(A3980)))))</f>
        <v/>
      </c>
    </row>
    <row r="3981" customFormat="false" ht="15" hidden="false" customHeight="false" outlineLevel="0" collapsed="false">
      <c r="H3981" s="0" t="str">
        <f aca="false">IF(B3981="","",IF(COUNTIF(Campaigns!$A$7:$A$300,B3981)&gt;0,"✓","⚠ add to Campaigns tab"))</f>
        <v/>
      </c>
      <c r="I3981" s="84" t="str">
        <f aca="false">IF(C3981="","",C3981*IF(Settings!$B$22=Settings!$C$6,1,IF(Settings!$B$22="USD",1/INDEX(Settings!$B$29:$B$40,MONTH(A3981)),INDEX(Settings!$B$29:$B$40,MONTH(A3981)))))</f>
        <v/>
      </c>
    </row>
    <row r="3982" customFormat="false" ht="15" hidden="false" customHeight="false" outlineLevel="0" collapsed="false">
      <c r="H3982" s="0" t="str">
        <f aca="false">IF(B3982="","",IF(COUNTIF(Campaigns!$A$7:$A$300,B3982)&gt;0,"✓","⚠ add to Campaigns tab"))</f>
        <v/>
      </c>
      <c r="I3982" s="84" t="str">
        <f aca="false">IF(C3982="","",C3982*IF(Settings!$B$22=Settings!$C$6,1,IF(Settings!$B$22="USD",1/INDEX(Settings!$B$29:$B$40,MONTH(A3982)),INDEX(Settings!$B$29:$B$40,MONTH(A3982)))))</f>
        <v/>
      </c>
    </row>
    <row r="3983" customFormat="false" ht="15" hidden="false" customHeight="false" outlineLevel="0" collapsed="false">
      <c r="H3983" s="0" t="str">
        <f aca="false">IF(B3983="","",IF(COUNTIF(Campaigns!$A$7:$A$300,B3983)&gt;0,"✓","⚠ add to Campaigns tab"))</f>
        <v/>
      </c>
      <c r="I3983" s="84" t="str">
        <f aca="false">IF(C3983="","",C3983*IF(Settings!$B$22=Settings!$C$6,1,IF(Settings!$B$22="USD",1/INDEX(Settings!$B$29:$B$40,MONTH(A3983)),INDEX(Settings!$B$29:$B$40,MONTH(A3983)))))</f>
        <v/>
      </c>
    </row>
    <row r="3984" customFormat="false" ht="15" hidden="false" customHeight="false" outlineLevel="0" collapsed="false">
      <c r="H3984" s="0" t="str">
        <f aca="false">IF(B3984="","",IF(COUNTIF(Campaigns!$A$7:$A$300,B3984)&gt;0,"✓","⚠ add to Campaigns tab"))</f>
        <v/>
      </c>
      <c r="I3984" s="84" t="str">
        <f aca="false">IF(C3984="","",C3984*IF(Settings!$B$22=Settings!$C$6,1,IF(Settings!$B$22="USD",1/INDEX(Settings!$B$29:$B$40,MONTH(A3984)),INDEX(Settings!$B$29:$B$40,MONTH(A3984)))))</f>
        <v/>
      </c>
    </row>
    <row r="3985" customFormat="false" ht="15" hidden="false" customHeight="false" outlineLevel="0" collapsed="false">
      <c r="H3985" s="0" t="str">
        <f aca="false">IF(B3985="","",IF(COUNTIF(Campaigns!$A$7:$A$300,B3985)&gt;0,"✓","⚠ add to Campaigns tab"))</f>
        <v/>
      </c>
      <c r="I3985" s="84" t="str">
        <f aca="false">IF(C3985="","",C3985*IF(Settings!$B$22=Settings!$C$6,1,IF(Settings!$B$22="USD",1/INDEX(Settings!$B$29:$B$40,MONTH(A3985)),INDEX(Settings!$B$29:$B$40,MONTH(A3985)))))</f>
        <v/>
      </c>
    </row>
    <row r="3986" customFormat="false" ht="15" hidden="false" customHeight="false" outlineLevel="0" collapsed="false">
      <c r="H3986" s="0" t="str">
        <f aca="false">IF(B3986="","",IF(COUNTIF(Campaigns!$A$7:$A$300,B3986)&gt;0,"✓","⚠ add to Campaigns tab"))</f>
        <v/>
      </c>
      <c r="I3986" s="84" t="str">
        <f aca="false">IF(C3986="","",C3986*IF(Settings!$B$22=Settings!$C$6,1,IF(Settings!$B$22="USD",1/INDEX(Settings!$B$29:$B$40,MONTH(A3986)),INDEX(Settings!$B$29:$B$40,MONTH(A3986)))))</f>
        <v/>
      </c>
    </row>
    <row r="3987" customFormat="false" ht="15" hidden="false" customHeight="false" outlineLevel="0" collapsed="false">
      <c r="H3987" s="0" t="str">
        <f aca="false">IF(B3987="","",IF(COUNTIF(Campaigns!$A$7:$A$300,B3987)&gt;0,"✓","⚠ add to Campaigns tab"))</f>
        <v/>
      </c>
      <c r="I3987" s="84" t="str">
        <f aca="false">IF(C3987="","",C3987*IF(Settings!$B$22=Settings!$C$6,1,IF(Settings!$B$22="USD",1/INDEX(Settings!$B$29:$B$40,MONTH(A3987)),INDEX(Settings!$B$29:$B$40,MONTH(A3987)))))</f>
        <v/>
      </c>
    </row>
    <row r="3988" customFormat="false" ht="15" hidden="false" customHeight="false" outlineLevel="0" collapsed="false">
      <c r="H3988" s="0" t="str">
        <f aca="false">IF(B3988="","",IF(COUNTIF(Campaigns!$A$7:$A$300,B3988)&gt;0,"✓","⚠ add to Campaigns tab"))</f>
        <v/>
      </c>
      <c r="I3988" s="84" t="str">
        <f aca="false">IF(C3988="","",C3988*IF(Settings!$B$22=Settings!$C$6,1,IF(Settings!$B$22="USD",1/INDEX(Settings!$B$29:$B$40,MONTH(A3988)),INDEX(Settings!$B$29:$B$40,MONTH(A3988)))))</f>
        <v/>
      </c>
    </row>
    <row r="3989" customFormat="false" ht="15" hidden="false" customHeight="false" outlineLevel="0" collapsed="false">
      <c r="H3989" s="0" t="str">
        <f aca="false">IF(B3989="","",IF(COUNTIF(Campaigns!$A$7:$A$300,B3989)&gt;0,"✓","⚠ add to Campaigns tab"))</f>
        <v/>
      </c>
      <c r="I3989" s="84" t="str">
        <f aca="false">IF(C3989="","",C3989*IF(Settings!$B$22=Settings!$C$6,1,IF(Settings!$B$22="USD",1/INDEX(Settings!$B$29:$B$40,MONTH(A3989)),INDEX(Settings!$B$29:$B$40,MONTH(A3989)))))</f>
        <v/>
      </c>
    </row>
    <row r="3990" customFormat="false" ht="15" hidden="false" customHeight="false" outlineLevel="0" collapsed="false">
      <c r="H3990" s="0" t="str">
        <f aca="false">IF(B3990="","",IF(COUNTIF(Campaigns!$A$7:$A$300,B3990)&gt;0,"✓","⚠ add to Campaigns tab"))</f>
        <v/>
      </c>
      <c r="I3990" s="84" t="str">
        <f aca="false">IF(C3990="","",C3990*IF(Settings!$B$22=Settings!$C$6,1,IF(Settings!$B$22="USD",1/INDEX(Settings!$B$29:$B$40,MONTH(A3990)),INDEX(Settings!$B$29:$B$40,MONTH(A3990)))))</f>
        <v/>
      </c>
    </row>
    <row r="3991" customFormat="false" ht="15" hidden="false" customHeight="false" outlineLevel="0" collapsed="false">
      <c r="H3991" s="0" t="str">
        <f aca="false">IF(B3991="","",IF(COUNTIF(Campaigns!$A$7:$A$300,B3991)&gt;0,"✓","⚠ add to Campaigns tab"))</f>
        <v/>
      </c>
      <c r="I3991" s="84" t="str">
        <f aca="false">IF(C3991="","",C3991*IF(Settings!$B$22=Settings!$C$6,1,IF(Settings!$B$22="USD",1/INDEX(Settings!$B$29:$B$40,MONTH(A3991)),INDEX(Settings!$B$29:$B$40,MONTH(A3991)))))</f>
        <v/>
      </c>
    </row>
    <row r="3992" customFormat="false" ht="15" hidden="false" customHeight="false" outlineLevel="0" collapsed="false">
      <c r="H3992" s="0" t="str">
        <f aca="false">IF(B3992="","",IF(COUNTIF(Campaigns!$A$7:$A$300,B3992)&gt;0,"✓","⚠ add to Campaigns tab"))</f>
        <v/>
      </c>
      <c r="I3992" s="84" t="str">
        <f aca="false">IF(C3992="","",C3992*IF(Settings!$B$22=Settings!$C$6,1,IF(Settings!$B$22="USD",1/INDEX(Settings!$B$29:$B$40,MONTH(A3992)),INDEX(Settings!$B$29:$B$40,MONTH(A3992)))))</f>
        <v/>
      </c>
    </row>
    <row r="3993" customFormat="false" ht="15" hidden="false" customHeight="false" outlineLevel="0" collapsed="false">
      <c r="H3993" s="0" t="str">
        <f aca="false">IF(B3993="","",IF(COUNTIF(Campaigns!$A$7:$A$300,B3993)&gt;0,"✓","⚠ add to Campaigns tab"))</f>
        <v/>
      </c>
      <c r="I3993" s="84" t="str">
        <f aca="false">IF(C3993="","",C3993*IF(Settings!$B$22=Settings!$C$6,1,IF(Settings!$B$22="USD",1/INDEX(Settings!$B$29:$B$40,MONTH(A3993)),INDEX(Settings!$B$29:$B$40,MONTH(A3993)))))</f>
        <v/>
      </c>
    </row>
    <row r="3994" customFormat="false" ht="15" hidden="false" customHeight="false" outlineLevel="0" collapsed="false">
      <c r="H3994" s="0" t="str">
        <f aca="false">IF(B3994="","",IF(COUNTIF(Campaigns!$A$7:$A$300,B3994)&gt;0,"✓","⚠ add to Campaigns tab"))</f>
        <v/>
      </c>
      <c r="I3994" s="84" t="str">
        <f aca="false">IF(C3994="","",C3994*IF(Settings!$B$22=Settings!$C$6,1,IF(Settings!$B$22="USD",1/INDEX(Settings!$B$29:$B$40,MONTH(A3994)),INDEX(Settings!$B$29:$B$40,MONTH(A3994)))))</f>
        <v/>
      </c>
    </row>
    <row r="3995" customFormat="false" ht="15" hidden="false" customHeight="false" outlineLevel="0" collapsed="false">
      <c r="H3995" s="0" t="str">
        <f aca="false">IF(B3995="","",IF(COUNTIF(Campaigns!$A$7:$A$300,B3995)&gt;0,"✓","⚠ add to Campaigns tab"))</f>
        <v/>
      </c>
      <c r="I3995" s="84" t="str">
        <f aca="false">IF(C3995="","",C3995*IF(Settings!$B$22=Settings!$C$6,1,IF(Settings!$B$22="USD",1/INDEX(Settings!$B$29:$B$40,MONTH(A3995)),INDEX(Settings!$B$29:$B$40,MONTH(A3995)))))</f>
        <v/>
      </c>
    </row>
    <row r="3996" customFormat="false" ht="15" hidden="false" customHeight="false" outlineLevel="0" collapsed="false">
      <c r="H3996" s="0" t="str">
        <f aca="false">IF(B3996="","",IF(COUNTIF(Campaigns!$A$7:$A$300,B3996)&gt;0,"✓","⚠ add to Campaigns tab"))</f>
        <v/>
      </c>
      <c r="I3996" s="84" t="str">
        <f aca="false">IF(C3996="","",C3996*IF(Settings!$B$22=Settings!$C$6,1,IF(Settings!$B$22="USD",1/INDEX(Settings!$B$29:$B$40,MONTH(A3996)),INDEX(Settings!$B$29:$B$40,MONTH(A3996)))))</f>
        <v/>
      </c>
    </row>
    <row r="3997" customFormat="false" ht="15" hidden="false" customHeight="false" outlineLevel="0" collapsed="false">
      <c r="H3997" s="0" t="str">
        <f aca="false">IF(B3997="","",IF(COUNTIF(Campaigns!$A$7:$A$300,B3997)&gt;0,"✓","⚠ add to Campaigns tab"))</f>
        <v/>
      </c>
      <c r="I3997" s="84" t="str">
        <f aca="false">IF(C3997="","",C3997*IF(Settings!$B$22=Settings!$C$6,1,IF(Settings!$B$22="USD",1/INDEX(Settings!$B$29:$B$40,MONTH(A3997)),INDEX(Settings!$B$29:$B$40,MONTH(A3997)))))</f>
        <v/>
      </c>
    </row>
    <row r="3998" customFormat="false" ht="15" hidden="false" customHeight="false" outlineLevel="0" collapsed="false">
      <c r="H3998" s="0" t="str">
        <f aca="false">IF(B3998="","",IF(COUNTIF(Campaigns!$A$7:$A$300,B3998)&gt;0,"✓","⚠ add to Campaigns tab"))</f>
        <v/>
      </c>
      <c r="I3998" s="84" t="str">
        <f aca="false">IF(C3998="","",C3998*IF(Settings!$B$22=Settings!$C$6,1,IF(Settings!$B$22="USD",1/INDEX(Settings!$B$29:$B$40,MONTH(A3998)),INDEX(Settings!$B$29:$B$40,MONTH(A3998)))))</f>
        <v/>
      </c>
    </row>
    <row r="3999" customFormat="false" ht="15" hidden="false" customHeight="false" outlineLevel="0" collapsed="false">
      <c r="H3999" s="0" t="str">
        <f aca="false">IF(B3999="","",IF(COUNTIF(Campaigns!$A$7:$A$300,B3999)&gt;0,"✓","⚠ add to Campaigns tab"))</f>
        <v/>
      </c>
      <c r="I3999" s="84" t="str">
        <f aca="false">IF(C3999="","",C3999*IF(Settings!$B$22=Settings!$C$6,1,IF(Settings!$B$22="USD",1/INDEX(Settings!$B$29:$B$40,MONTH(A3999)),INDEX(Settings!$B$29:$B$40,MONTH(A3999)))))</f>
        <v/>
      </c>
    </row>
    <row r="4000" customFormat="false" ht="15" hidden="false" customHeight="false" outlineLevel="0" collapsed="false">
      <c r="H4000" s="0" t="str">
        <f aca="false">IF(B4000="","",IF(COUNTIF(Campaigns!$A$7:$A$300,B4000)&gt;0,"✓","⚠ add to Campaigns tab"))</f>
        <v/>
      </c>
      <c r="I4000" s="84" t="str">
        <f aca="false">IF(C4000="","",C4000*IF(Settings!$B$22=Settings!$C$6,1,IF(Settings!$B$22="USD",1/INDEX(Settings!$B$29:$B$40,MONTH(A4000)),INDEX(Settings!$B$29:$B$40,MONTH(A4000)))))</f>
        <v/>
      </c>
    </row>
    <row r="4001" customFormat="false" ht="15" hidden="false" customHeight="false" outlineLevel="0" collapsed="false">
      <c r="H4001" s="0" t="str">
        <f aca="false">IF(B4001="","",IF(COUNTIF(Campaigns!$A$7:$A$300,B4001)&gt;0,"✓","⚠ add to Campaigns tab"))</f>
        <v/>
      </c>
      <c r="I4001" s="84" t="str">
        <f aca="false">IF(C4001="","",C4001*IF(Settings!$B$22=Settings!$C$6,1,IF(Settings!$B$22="USD",1/INDEX(Settings!$B$29:$B$40,MONTH(A4001)),INDEX(Settings!$B$29:$B$40,MONTH(A4001)))))</f>
        <v/>
      </c>
    </row>
    <row r="4002" customFormat="false" ht="15" hidden="false" customHeight="false" outlineLevel="0" collapsed="false">
      <c r="H4002" s="0" t="str">
        <f aca="false">IF(B4002="","",IF(COUNTIF(Campaigns!$A$7:$A$300,B4002)&gt;0,"✓","⚠ add to Campaigns tab"))</f>
        <v/>
      </c>
      <c r="I4002" s="84" t="str">
        <f aca="false">IF(C4002="","",C4002*IF(Settings!$B$22=Settings!$C$6,1,IF(Settings!$B$22="USD",1/INDEX(Settings!$B$29:$B$40,MONTH(A4002)),INDEX(Settings!$B$29:$B$40,MONTH(A4002)))))</f>
        <v/>
      </c>
    </row>
    <row r="4003" customFormat="false" ht="15" hidden="false" customHeight="false" outlineLevel="0" collapsed="false">
      <c r="H4003" s="0" t="str">
        <f aca="false">IF(B4003="","",IF(COUNTIF(Campaigns!$A$7:$A$300,B4003)&gt;0,"✓","⚠ add to Campaigns tab"))</f>
        <v/>
      </c>
      <c r="I4003" s="84" t="str">
        <f aca="false">IF(C4003="","",C4003*IF(Settings!$B$22=Settings!$C$6,1,IF(Settings!$B$22="USD",1/INDEX(Settings!$B$29:$B$40,MONTH(A4003)),INDEX(Settings!$B$29:$B$40,MONTH(A4003)))))</f>
        <v/>
      </c>
    </row>
    <row r="4004" customFormat="false" ht="15" hidden="false" customHeight="false" outlineLevel="0" collapsed="false">
      <c r="H4004" s="0" t="str">
        <f aca="false">IF(B4004="","",IF(COUNTIF(Campaigns!$A$7:$A$300,B4004)&gt;0,"✓","⚠ add to Campaigns tab"))</f>
        <v/>
      </c>
      <c r="I4004" s="84" t="str">
        <f aca="false">IF(C4004="","",C4004*IF(Settings!$B$22=Settings!$C$6,1,IF(Settings!$B$22="USD",1/INDEX(Settings!$B$29:$B$40,MONTH(A4004)),INDEX(Settings!$B$29:$B$40,MONTH(A4004)))))</f>
        <v/>
      </c>
    </row>
    <row r="4005" customFormat="false" ht="15" hidden="false" customHeight="false" outlineLevel="0" collapsed="false">
      <c r="H4005" s="0" t="str">
        <f aca="false">IF(B4005="","",IF(COUNTIF(Campaigns!$A$7:$A$300,B4005)&gt;0,"✓","⚠ add to Campaigns tab"))</f>
        <v/>
      </c>
      <c r="I4005" s="84" t="str">
        <f aca="false">IF(C4005="","",C4005*IF(Settings!$B$22=Settings!$C$6,1,IF(Settings!$B$22="USD",1/INDEX(Settings!$B$29:$B$40,MONTH(A4005)),INDEX(Settings!$B$29:$B$40,MONTH(A4005)))))</f>
        <v/>
      </c>
    </row>
    <row r="4006" customFormat="false" ht="15" hidden="false" customHeight="false" outlineLevel="0" collapsed="false">
      <c r="H4006" s="0" t="str">
        <f aca="false">IF(B4006="","",IF(COUNTIF(Campaigns!$A$7:$A$300,B4006)&gt;0,"✓","⚠ add to Campaigns tab"))</f>
        <v/>
      </c>
      <c r="I4006" s="84" t="str">
        <f aca="false">IF(C4006="","",C4006*IF(Settings!$B$22=Settings!$C$6,1,IF(Settings!$B$22="USD",1/INDEX(Settings!$B$29:$B$40,MONTH(A4006)),INDEX(Settings!$B$29:$B$40,MONTH(A4006)))))</f>
        <v/>
      </c>
    </row>
    <row r="4007" customFormat="false" ht="15" hidden="false" customHeight="false" outlineLevel="0" collapsed="false">
      <c r="H4007" s="0" t="str">
        <f aca="false">IF(B4007="","",IF(COUNTIF(Campaigns!$A$7:$A$300,B4007)&gt;0,"✓","⚠ add to Campaigns tab"))</f>
        <v/>
      </c>
      <c r="I4007" s="84" t="str">
        <f aca="false">IF(C4007="","",C4007*IF(Settings!$B$22=Settings!$C$6,1,IF(Settings!$B$22="USD",1/INDEX(Settings!$B$29:$B$40,MONTH(A4007)),INDEX(Settings!$B$29:$B$40,MONTH(A4007)))))</f>
        <v/>
      </c>
    </row>
    <row r="4008" customFormat="false" ht="15" hidden="false" customHeight="false" outlineLevel="0" collapsed="false">
      <c r="H4008" s="0" t="str">
        <f aca="false">IF(B4008="","",IF(COUNTIF(Campaigns!$A$7:$A$300,B4008)&gt;0,"✓","⚠ add to Campaigns tab"))</f>
        <v/>
      </c>
      <c r="I4008" s="84" t="str">
        <f aca="false">IF(C4008="","",C4008*IF(Settings!$B$22=Settings!$C$6,1,IF(Settings!$B$22="USD",1/INDEX(Settings!$B$29:$B$40,MONTH(A4008)),INDEX(Settings!$B$29:$B$40,MONTH(A4008)))))</f>
        <v/>
      </c>
    </row>
    <row r="4009" customFormat="false" ht="15" hidden="false" customHeight="false" outlineLevel="0" collapsed="false">
      <c r="H4009" s="0" t="str">
        <f aca="false">IF(B4009="","",IF(COUNTIF(Campaigns!$A$7:$A$300,B4009)&gt;0,"✓","⚠ add to Campaigns tab"))</f>
        <v/>
      </c>
      <c r="I4009" s="84" t="str">
        <f aca="false">IF(C4009="","",C4009*IF(Settings!$B$22=Settings!$C$6,1,IF(Settings!$B$22="USD",1/INDEX(Settings!$B$29:$B$40,MONTH(A4009)),INDEX(Settings!$B$29:$B$40,MONTH(A4009)))))</f>
        <v/>
      </c>
    </row>
    <row r="4010" customFormat="false" ht="15" hidden="false" customHeight="false" outlineLevel="0" collapsed="false">
      <c r="H4010" s="0" t="str">
        <f aca="false">IF(B4010="","",IF(COUNTIF(Campaigns!$A$7:$A$300,B4010)&gt;0,"✓","⚠ add to Campaigns tab"))</f>
        <v/>
      </c>
      <c r="I4010" s="84" t="str">
        <f aca="false">IF(C4010="","",C4010*IF(Settings!$B$22=Settings!$C$6,1,IF(Settings!$B$22="USD",1/INDEX(Settings!$B$29:$B$40,MONTH(A4010)),INDEX(Settings!$B$29:$B$40,MONTH(A4010)))))</f>
        <v/>
      </c>
    </row>
    <row r="4011" customFormat="false" ht="15" hidden="false" customHeight="false" outlineLevel="0" collapsed="false">
      <c r="H4011" s="0" t="str">
        <f aca="false">IF(B4011="","",IF(COUNTIF(Campaigns!$A$7:$A$300,B4011)&gt;0,"✓","⚠ add to Campaigns tab"))</f>
        <v/>
      </c>
      <c r="I4011" s="84" t="str">
        <f aca="false">IF(C4011="","",C4011*IF(Settings!$B$22=Settings!$C$6,1,IF(Settings!$B$22="USD",1/INDEX(Settings!$B$29:$B$40,MONTH(A4011)),INDEX(Settings!$B$29:$B$40,MONTH(A4011)))))</f>
        <v/>
      </c>
    </row>
    <row r="4012" customFormat="false" ht="15" hidden="false" customHeight="false" outlineLevel="0" collapsed="false">
      <c r="H4012" s="0" t="str">
        <f aca="false">IF(B4012="","",IF(COUNTIF(Campaigns!$A$7:$A$300,B4012)&gt;0,"✓","⚠ add to Campaigns tab"))</f>
        <v/>
      </c>
      <c r="I4012" s="84" t="str">
        <f aca="false">IF(C4012="","",C4012*IF(Settings!$B$22=Settings!$C$6,1,IF(Settings!$B$22="USD",1/INDEX(Settings!$B$29:$B$40,MONTH(A4012)),INDEX(Settings!$B$29:$B$40,MONTH(A4012)))))</f>
        <v/>
      </c>
    </row>
    <row r="4013" customFormat="false" ht="15" hidden="false" customHeight="false" outlineLevel="0" collapsed="false">
      <c r="H4013" s="0" t="str">
        <f aca="false">IF(B4013="","",IF(COUNTIF(Campaigns!$A$7:$A$300,B4013)&gt;0,"✓","⚠ add to Campaigns tab"))</f>
        <v/>
      </c>
      <c r="I4013" s="84" t="str">
        <f aca="false">IF(C4013="","",C4013*IF(Settings!$B$22=Settings!$C$6,1,IF(Settings!$B$22="USD",1/INDEX(Settings!$B$29:$B$40,MONTH(A4013)),INDEX(Settings!$B$29:$B$40,MONTH(A4013)))))</f>
        <v/>
      </c>
    </row>
    <row r="4014" customFormat="false" ht="15" hidden="false" customHeight="false" outlineLevel="0" collapsed="false">
      <c r="H4014" s="0" t="str">
        <f aca="false">IF(B4014="","",IF(COUNTIF(Campaigns!$A$7:$A$300,B4014)&gt;0,"✓","⚠ add to Campaigns tab"))</f>
        <v/>
      </c>
      <c r="I4014" s="84" t="str">
        <f aca="false">IF(C4014="","",C4014*IF(Settings!$B$22=Settings!$C$6,1,IF(Settings!$B$22="USD",1/INDEX(Settings!$B$29:$B$40,MONTH(A4014)),INDEX(Settings!$B$29:$B$40,MONTH(A4014)))))</f>
        <v/>
      </c>
    </row>
    <row r="4015" customFormat="false" ht="15" hidden="false" customHeight="false" outlineLevel="0" collapsed="false">
      <c r="H4015" s="0" t="str">
        <f aca="false">IF(B4015="","",IF(COUNTIF(Campaigns!$A$7:$A$300,B4015)&gt;0,"✓","⚠ add to Campaigns tab"))</f>
        <v/>
      </c>
      <c r="I4015" s="84" t="str">
        <f aca="false">IF(C4015="","",C4015*IF(Settings!$B$22=Settings!$C$6,1,IF(Settings!$B$22="USD",1/INDEX(Settings!$B$29:$B$40,MONTH(A4015)),INDEX(Settings!$B$29:$B$40,MONTH(A4015)))))</f>
        <v/>
      </c>
    </row>
    <row r="4016" customFormat="false" ht="15" hidden="false" customHeight="false" outlineLevel="0" collapsed="false">
      <c r="H4016" s="0" t="str">
        <f aca="false">IF(B4016="","",IF(COUNTIF(Campaigns!$A$7:$A$300,B4016)&gt;0,"✓","⚠ add to Campaigns tab"))</f>
        <v/>
      </c>
      <c r="I4016" s="84" t="str">
        <f aca="false">IF(C4016="","",C4016*IF(Settings!$B$22=Settings!$C$6,1,IF(Settings!$B$22="USD",1/INDEX(Settings!$B$29:$B$40,MONTH(A4016)),INDEX(Settings!$B$29:$B$40,MONTH(A4016)))))</f>
        <v/>
      </c>
    </row>
    <row r="4017" customFormat="false" ht="15" hidden="false" customHeight="false" outlineLevel="0" collapsed="false">
      <c r="H4017" s="0" t="str">
        <f aca="false">IF(B4017="","",IF(COUNTIF(Campaigns!$A$7:$A$300,B4017)&gt;0,"✓","⚠ add to Campaigns tab"))</f>
        <v/>
      </c>
      <c r="I4017" s="84" t="str">
        <f aca="false">IF(C4017="","",C4017*IF(Settings!$B$22=Settings!$C$6,1,IF(Settings!$B$22="USD",1/INDEX(Settings!$B$29:$B$40,MONTH(A4017)),INDEX(Settings!$B$29:$B$40,MONTH(A4017)))))</f>
        <v/>
      </c>
    </row>
    <row r="4018" customFormat="false" ht="15" hidden="false" customHeight="false" outlineLevel="0" collapsed="false">
      <c r="H4018" s="0" t="str">
        <f aca="false">IF(B4018="","",IF(COUNTIF(Campaigns!$A$7:$A$300,B4018)&gt;0,"✓","⚠ add to Campaigns tab"))</f>
        <v/>
      </c>
      <c r="I4018" s="84" t="str">
        <f aca="false">IF(C4018="","",C4018*IF(Settings!$B$22=Settings!$C$6,1,IF(Settings!$B$22="USD",1/INDEX(Settings!$B$29:$B$40,MONTH(A4018)),INDEX(Settings!$B$29:$B$40,MONTH(A4018)))))</f>
        <v/>
      </c>
    </row>
    <row r="4019" customFormat="false" ht="15" hidden="false" customHeight="false" outlineLevel="0" collapsed="false">
      <c r="H4019" s="0" t="str">
        <f aca="false">IF(B4019="","",IF(COUNTIF(Campaigns!$A$7:$A$300,B4019)&gt;0,"✓","⚠ add to Campaigns tab"))</f>
        <v/>
      </c>
      <c r="I4019" s="84" t="str">
        <f aca="false">IF(C4019="","",C4019*IF(Settings!$B$22=Settings!$C$6,1,IF(Settings!$B$22="USD",1/INDEX(Settings!$B$29:$B$40,MONTH(A4019)),INDEX(Settings!$B$29:$B$40,MONTH(A4019)))))</f>
        <v/>
      </c>
    </row>
    <row r="4020" customFormat="false" ht="15" hidden="false" customHeight="false" outlineLevel="0" collapsed="false">
      <c r="H4020" s="0" t="str">
        <f aca="false">IF(B4020="","",IF(COUNTIF(Campaigns!$A$7:$A$300,B4020)&gt;0,"✓","⚠ add to Campaigns tab"))</f>
        <v/>
      </c>
      <c r="I4020" s="84" t="str">
        <f aca="false">IF(C4020="","",C4020*IF(Settings!$B$22=Settings!$C$6,1,IF(Settings!$B$22="USD",1/INDEX(Settings!$B$29:$B$40,MONTH(A4020)),INDEX(Settings!$B$29:$B$40,MONTH(A4020)))))</f>
        <v/>
      </c>
    </row>
    <row r="4021" customFormat="false" ht="15" hidden="false" customHeight="false" outlineLevel="0" collapsed="false">
      <c r="H4021" s="0" t="str">
        <f aca="false">IF(B4021="","",IF(COUNTIF(Campaigns!$A$7:$A$300,B4021)&gt;0,"✓","⚠ add to Campaigns tab"))</f>
        <v/>
      </c>
      <c r="I4021" s="84" t="str">
        <f aca="false">IF(C4021="","",C4021*IF(Settings!$B$22=Settings!$C$6,1,IF(Settings!$B$22="USD",1/INDEX(Settings!$B$29:$B$40,MONTH(A4021)),INDEX(Settings!$B$29:$B$40,MONTH(A4021)))))</f>
        <v/>
      </c>
    </row>
    <row r="4022" customFormat="false" ht="15" hidden="false" customHeight="false" outlineLevel="0" collapsed="false">
      <c r="H4022" s="0" t="str">
        <f aca="false">IF(B4022="","",IF(COUNTIF(Campaigns!$A$7:$A$300,B4022)&gt;0,"✓","⚠ add to Campaigns tab"))</f>
        <v/>
      </c>
      <c r="I4022" s="84" t="str">
        <f aca="false">IF(C4022="","",C4022*IF(Settings!$B$22=Settings!$C$6,1,IF(Settings!$B$22="USD",1/INDEX(Settings!$B$29:$B$40,MONTH(A4022)),INDEX(Settings!$B$29:$B$40,MONTH(A4022)))))</f>
        <v/>
      </c>
    </row>
    <row r="4023" customFormat="false" ht="15" hidden="false" customHeight="false" outlineLevel="0" collapsed="false">
      <c r="H4023" s="0" t="str">
        <f aca="false">IF(B4023="","",IF(COUNTIF(Campaigns!$A$7:$A$300,B4023)&gt;0,"✓","⚠ add to Campaigns tab"))</f>
        <v/>
      </c>
      <c r="I4023" s="84" t="str">
        <f aca="false">IF(C4023="","",C4023*IF(Settings!$B$22=Settings!$C$6,1,IF(Settings!$B$22="USD",1/INDEX(Settings!$B$29:$B$40,MONTH(A4023)),INDEX(Settings!$B$29:$B$40,MONTH(A4023)))))</f>
        <v/>
      </c>
    </row>
    <row r="4024" customFormat="false" ht="15" hidden="false" customHeight="false" outlineLevel="0" collapsed="false">
      <c r="H4024" s="0" t="str">
        <f aca="false">IF(B4024="","",IF(COUNTIF(Campaigns!$A$7:$A$300,B4024)&gt;0,"✓","⚠ add to Campaigns tab"))</f>
        <v/>
      </c>
      <c r="I4024" s="84" t="str">
        <f aca="false">IF(C4024="","",C4024*IF(Settings!$B$22=Settings!$C$6,1,IF(Settings!$B$22="USD",1/INDEX(Settings!$B$29:$B$40,MONTH(A4024)),INDEX(Settings!$B$29:$B$40,MONTH(A4024)))))</f>
        <v/>
      </c>
    </row>
    <row r="4025" customFormat="false" ht="15" hidden="false" customHeight="false" outlineLevel="0" collapsed="false">
      <c r="H4025" s="0" t="str">
        <f aca="false">IF(B4025="","",IF(COUNTIF(Campaigns!$A$7:$A$300,B4025)&gt;0,"✓","⚠ add to Campaigns tab"))</f>
        <v/>
      </c>
      <c r="I4025" s="84" t="str">
        <f aca="false">IF(C4025="","",C4025*IF(Settings!$B$22=Settings!$C$6,1,IF(Settings!$B$22="USD",1/INDEX(Settings!$B$29:$B$40,MONTH(A4025)),INDEX(Settings!$B$29:$B$40,MONTH(A4025)))))</f>
        <v/>
      </c>
    </row>
    <row r="4026" customFormat="false" ht="15" hidden="false" customHeight="false" outlineLevel="0" collapsed="false">
      <c r="H4026" s="0" t="str">
        <f aca="false">IF(B4026="","",IF(COUNTIF(Campaigns!$A$7:$A$300,B4026)&gt;0,"✓","⚠ add to Campaigns tab"))</f>
        <v/>
      </c>
      <c r="I4026" s="84" t="str">
        <f aca="false">IF(C4026="","",C4026*IF(Settings!$B$22=Settings!$C$6,1,IF(Settings!$B$22="USD",1/INDEX(Settings!$B$29:$B$40,MONTH(A4026)),INDEX(Settings!$B$29:$B$40,MONTH(A4026)))))</f>
        <v/>
      </c>
    </row>
    <row r="4027" customFormat="false" ht="15" hidden="false" customHeight="false" outlineLevel="0" collapsed="false">
      <c r="H4027" s="0" t="str">
        <f aca="false">IF(B4027="","",IF(COUNTIF(Campaigns!$A$7:$A$300,B4027)&gt;0,"✓","⚠ add to Campaigns tab"))</f>
        <v/>
      </c>
      <c r="I4027" s="84" t="str">
        <f aca="false">IF(C4027="","",C4027*IF(Settings!$B$22=Settings!$C$6,1,IF(Settings!$B$22="USD",1/INDEX(Settings!$B$29:$B$40,MONTH(A4027)),INDEX(Settings!$B$29:$B$40,MONTH(A4027)))))</f>
        <v/>
      </c>
    </row>
    <row r="4028" customFormat="false" ht="15" hidden="false" customHeight="false" outlineLevel="0" collapsed="false">
      <c r="H4028" s="0" t="str">
        <f aca="false">IF(B4028="","",IF(COUNTIF(Campaigns!$A$7:$A$300,B4028)&gt;0,"✓","⚠ add to Campaigns tab"))</f>
        <v/>
      </c>
      <c r="I4028" s="84" t="str">
        <f aca="false">IF(C4028="","",C4028*IF(Settings!$B$22=Settings!$C$6,1,IF(Settings!$B$22="USD",1/INDEX(Settings!$B$29:$B$40,MONTH(A4028)),INDEX(Settings!$B$29:$B$40,MONTH(A4028)))))</f>
        <v/>
      </c>
    </row>
    <row r="4029" customFormat="false" ht="15" hidden="false" customHeight="false" outlineLevel="0" collapsed="false">
      <c r="H4029" s="0" t="str">
        <f aca="false">IF(B4029="","",IF(COUNTIF(Campaigns!$A$7:$A$300,B4029)&gt;0,"✓","⚠ add to Campaigns tab"))</f>
        <v/>
      </c>
      <c r="I4029" s="84" t="str">
        <f aca="false">IF(C4029="","",C4029*IF(Settings!$B$22=Settings!$C$6,1,IF(Settings!$B$22="USD",1/INDEX(Settings!$B$29:$B$40,MONTH(A4029)),INDEX(Settings!$B$29:$B$40,MONTH(A4029)))))</f>
        <v/>
      </c>
    </row>
    <row r="4030" customFormat="false" ht="15" hidden="false" customHeight="false" outlineLevel="0" collapsed="false">
      <c r="H4030" s="0" t="str">
        <f aca="false">IF(B4030="","",IF(COUNTIF(Campaigns!$A$7:$A$300,B4030)&gt;0,"✓","⚠ add to Campaigns tab"))</f>
        <v/>
      </c>
      <c r="I4030" s="84" t="str">
        <f aca="false">IF(C4030="","",C4030*IF(Settings!$B$22=Settings!$C$6,1,IF(Settings!$B$22="USD",1/INDEX(Settings!$B$29:$B$40,MONTH(A4030)),INDEX(Settings!$B$29:$B$40,MONTH(A4030)))))</f>
        <v/>
      </c>
    </row>
    <row r="4031" customFormat="false" ht="15" hidden="false" customHeight="false" outlineLevel="0" collapsed="false">
      <c r="H4031" s="0" t="str">
        <f aca="false">IF(B4031="","",IF(COUNTIF(Campaigns!$A$7:$A$300,B4031)&gt;0,"✓","⚠ add to Campaigns tab"))</f>
        <v/>
      </c>
      <c r="I4031" s="84" t="str">
        <f aca="false">IF(C4031="","",C4031*IF(Settings!$B$22=Settings!$C$6,1,IF(Settings!$B$22="USD",1/INDEX(Settings!$B$29:$B$40,MONTH(A4031)),INDEX(Settings!$B$29:$B$40,MONTH(A4031)))))</f>
        <v/>
      </c>
    </row>
    <row r="4032" customFormat="false" ht="15" hidden="false" customHeight="false" outlineLevel="0" collapsed="false">
      <c r="H4032" s="0" t="str">
        <f aca="false">IF(B4032="","",IF(COUNTIF(Campaigns!$A$7:$A$300,B4032)&gt;0,"✓","⚠ add to Campaigns tab"))</f>
        <v/>
      </c>
      <c r="I4032" s="84" t="str">
        <f aca="false">IF(C4032="","",C4032*IF(Settings!$B$22=Settings!$C$6,1,IF(Settings!$B$22="USD",1/INDEX(Settings!$B$29:$B$40,MONTH(A4032)),INDEX(Settings!$B$29:$B$40,MONTH(A4032)))))</f>
        <v/>
      </c>
    </row>
    <row r="4033" customFormat="false" ht="15" hidden="false" customHeight="false" outlineLevel="0" collapsed="false">
      <c r="H4033" s="0" t="str">
        <f aca="false">IF(B4033="","",IF(COUNTIF(Campaigns!$A$7:$A$300,B4033)&gt;0,"✓","⚠ add to Campaigns tab"))</f>
        <v/>
      </c>
      <c r="I4033" s="84" t="str">
        <f aca="false">IF(C4033="","",C4033*IF(Settings!$B$22=Settings!$C$6,1,IF(Settings!$B$22="USD",1/INDEX(Settings!$B$29:$B$40,MONTH(A4033)),INDEX(Settings!$B$29:$B$40,MONTH(A4033)))))</f>
        <v/>
      </c>
    </row>
    <row r="4034" customFormat="false" ht="15" hidden="false" customHeight="false" outlineLevel="0" collapsed="false">
      <c r="H4034" s="0" t="str">
        <f aca="false">IF(B4034="","",IF(COUNTIF(Campaigns!$A$7:$A$300,B4034)&gt;0,"✓","⚠ add to Campaigns tab"))</f>
        <v/>
      </c>
      <c r="I4034" s="84" t="str">
        <f aca="false">IF(C4034="","",C4034*IF(Settings!$B$22=Settings!$C$6,1,IF(Settings!$B$22="USD",1/INDEX(Settings!$B$29:$B$40,MONTH(A4034)),INDEX(Settings!$B$29:$B$40,MONTH(A4034)))))</f>
        <v/>
      </c>
    </row>
    <row r="4035" customFormat="false" ht="15" hidden="false" customHeight="false" outlineLevel="0" collapsed="false">
      <c r="H4035" s="0" t="str">
        <f aca="false">IF(B4035="","",IF(COUNTIF(Campaigns!$A$7:$A$300,B4035)&gt;0,"✓","⚠ add to Campaigns tab"))</f>
        <v/>
      </c>
      <c r="I4035" s="84" t="str">
        <f aca="false">IF(C4035="","",C4035*IF(Settings!$B$22=Settings!$C$6,1,IF(Settings!$B$22="USD",1/INDEX(Settings!$B$29:$B$40,MONTH(A4035)),INDEX(Settings!$B$29:$B$40,MONTH(A4035)))))</f>
        <v/>
      </c>
    </row>
    <row r="4036" customFormat="false" ht="15" hidden="false" customHeight="false" outlineLevel="0" collapsed="false">
      <c r="H4036" s="0" t="str">
        <f aca="false">IF(B4036="","",IF(COUNTIF(Campaigns!$A$7:$A$300,B4036)&gt;0,"✓","⚠ add to Campaigns tab"))</f>
        <v/>
      </c>
      <c r="I4036" s="84" t="str">
        <f aca="false">IF(C4036="","",C4036*IF(Settings!$B$22=Settings!$C$6,1,IF(Settings!$B$22="USD",1/INDEX(Settings!$B$29:$B$40,MONTH(A4036)),INDEX(Settings!$B$29:$B$40,MONTH(A4036)))))</f>
        <v/>
      </c>
    </row>
    <row r="4037" customFormat="false" ht="15" hidden="false" customHeight="false" outlineLevel="0" collapsed="false">
      <c r="H4037" s="0" t="str">
        <f aca="false">IF(B4037="","",IF(COUNTIF(Campaigns!$A$7:$A$300,B4037)&gt;0,"✓","⚠ add to Campaigns tab"))</f>
        <v/>
      </c>
      <c r="I4037" s="84" t="str">
        <f aca="false">IF(C4037="","",C4037*IF(Settings!$B$22=Settings!$C$6,1,IF(Settings!$B$22="USD",1/INDEX(Settings!$B$29:$B$40,MONTH(A4037)),INDEX(Settings!$B$29:$B$40,MONTH(A4037)))))</f>
        <v/>
      </c>
    </row>
    <row r="4038" customFormat="false" ht="15" hidden="false" customHeight="false" outlineLevel="0" collapsed="false">
      <c r="H4038" s="0" t="str">
        <f aca="false">IF(B4038="","",IF(COUNTIF(Campaigns!$A$7:$A$300,B4038)&gt;0,"✓","⚠ add to Campaigns tab"))</f>
        <v/>
      </c>
      <c r="I4038" s="84" t="str">
        <f aca="false">IF(C4038="","",C4038*IF(Settings!$B$22=Settings!$C$6,1,IF(Settings!$B$22="USD",1/INDEX(Settings!$B$29:$B$40,MONTH(A4038)),INDEX(Settings!$B$29:$B$40,MONTH(A4038)))))</f>
        <v/>
      </c>
    </row>
    <row r="4039" customFormat="false" ht="15" hidden="false" customHeight="false" outlineLevel="0" collapsed="false">
      <c r="H4039" s="0" t="str">
        <f aca="false">IF(B4039="","",IF(COUNTIF(Campaigns!$A$7:$A$300,B4039)&gt;0,"✓","⚠ add to Campaigns tab"))</f>
        <v/>
      </c>
      <c r="I4039" s="84" t="str">
        <f aca="false">IF(C4039="","",C4039*IF(Settings!$B$22=Settings!$C$6,1,IF(Settings!$B$22="USD",1/INDEX(Settings!$B$29:$B$40,MONTH(A4039)),INDEX(Settings!$B$29:$B$40,MONTH(A4039)))))</f>
        <v/>
      </c>
    </row>
    <row r="4040" customFormat="false" ht="15" hidden="false" customHeight="false" outlineLevel="0" collapsed="false">
      <c r="H4040" s="0" t="str">
        <f aca="false">IF(B4040="","",IF(COUNTIF(Campaigns!$A$7:$A$300,B4040)&gt;0,"✓","⚠ add to Campaigns tab"))</f>
        <v/>
      </c>
      <c r="I4040" s="84" t="str">
        <f aca="false">IF(C4040="","",C4040*IF(Settings!$B$22=Settings!$C$6,1,IF(Settings!$B$22="USD",1/INDEX(Settings!$B$29:$B$40,MONTH(A4040)),INDEX(Settings!$B$29:$B$40,MONTH(A4040)))))</f>
        <v/>
      </c>
    </row>
    <row r="4041" customFormat="false" ht="15" hidden="false" customHeight="false" outlineLevel="0" collapsed="false">
      <c r="H4041" s="0" t="str">
        <f aca="false">IF(B4041="","",IF(COUNTIF(Campaigns!$A$7:$A$300,B4041)&gt;0,"✓","⚠ add to Campaigns tab"))</f>
        <v/>
      </c>
      <c r="I4041" s="84" t="str">
        <f aca="false">IF(C4041="","",C4041*IF(Settings!$B$22=Settings!$C$6,1,IF(Settings!$B$22="USD",1/INDEX(Settings!$B$29:$B$40,MONTH(A4041)),INDEX(Settings!$B$29:$B$40,MONTH(A4041)))))</f>
        <v/>
      </c>
    </row>
    <row r="4042" customFormat="false" ht="15" hidden="false" customHeight="false" outlineLevel="0" collapsed="false">
      <c r="H4042" s="0" t="str">
        <f aca="false">IF(B4042="","",IF(COUNTIF(Campaigns!$A$7:$A$300,B4042)&gt;0,"✓","⚠ add to Campaigns tab"))</f>
        <v/>
      </c>
      <c r="I4042" s="84" t="str">
        <f aca="false">IF(C4042="","",C4042*IF(Settings!$B$22=Settings!$C$6,1,IF(Settings!$B$22="USD",1/INDEX(Settings!$B$29:$B$40,MONTH(A4042)),INDEX(Settings!$B$29:$B$40,MONTH(A4042)))))</f>
        <v/>
      </c>
    </row>
    <row r="4043" customFormat="false" ht="15" hidden="false" customHeight="false" outlineLevel="0" collapsed="false">
      <c r="H4043" s="0" t="str">
        <f aca="false">IF(B4043="","",IF(COUNTIF(Campaigns!$A$7:$A$300,B4043)&gt;0,"✓","⚠ add to Campaigns tab"))</f>
        <v/>
      </c>
      <c r="I4043" s="84" t="str">
        <f aca="false">IF(C4043="","",C4043*IF(Settings!$B$22=Settings!$C$6,1,IF(Settings!$B$22="USD",1/INDEX(Settings!$B$29:$B$40,MONTH(A4043)),INDEX(Settings!$B$29:$B$40,MONTH(A4043)))))</f>
        <v/>
      </c>
    </row>
    <row r="4044" customFormat="false" ht="15" hidden="false" customHeight="false" outlineLevel="0" collapsed="false">
      <c r="H4044" s="0" t="str">
        <f aca="false">IF(B4044="","",IF(COUNTIF(Campaigns!$A$7:$A$300,B4044)&gt;0,"✓","⚠ add to Campaigns tab"))</f>
        <v/>
      </c>
      <c r="I4044" s="84" t="str">
        <f aca="false">IF(C4044="","",C4044*IF(Settings!$B$22=Settings!$C$6,1,IF(Settings!$B$22="USD",1/INDEX(Settings!$B$29:$B$40,MONTH(A4044)),INDEX(Settings!$B$29:$B$40,MONTH(A4044)))))</f>
        <v/>
      </c>
    </row>
    <row r="4045" customFormat="false" ht="15" hidden="false" customHeight="false" outlineLevel="0" collapsed="false">
      <c r="H4045" s="0" t="str">
        <f aca="false">IF(B4045="","",IF(COUNTIF(Campaigns!$A$7:$A$300,B4045)&gt;0,"✓","⚠ add to Campaigns tab"))</f>
        <v/>
      </c>
      <c r="I4045" s="84" t="str">
        <f aca="false">IF(C4045="","",C4045*IF(Settings!$B$22=Settings!$C$6,1,IF(Settings!$B$22="USD",1/INDEX(Settings!$B$29:$B$40,MONTH(A4045)),INDEX(Settings!$B$29:$B$40,MONTH(A4045)))))</f>
        <v/>
      </c>
    </row>
    <row r="4046" customFormat="false" ht="15" hidden="false" customHeight="false" outlineLevel="0" collapsed="false">
      <c r="H4046" s="0" t="str">
        <f aca="false">IF(B4046="","",IF(COUNTIF(Campaigns!$A$7:$A$300,B4046)&gt;0,"✓","⚠ add to Campaigns tab"))</f>
        <v/>
      </c>
      <c r="I4046" s="84" t="str">
        <f aca="false">IF(C4046="","",C4046*IF(Settings!$B$22=Settings!$C$6,1,IF(Settings!$B$22="USD",1/INDEX(Settings!$B$29:$B$40,MONTH(A4046)),INDEX(Settings!$B$29:$B$40,MONTH(A4046)))))</f>
        <v/>
      </c>
    </row>
    <row r="4047" customFormat="false" ht="15" hidden="false" customHeight="false" outlineLevel="0" collapsed="false">
      <c r="H4047" s="0" t="str">
        <f aca="false">IF(B4047="","",IF(COUNTIF(Campaigns!$A$7:$A$300,B4047)&gt;0,"✓","⚠ add to Campaigns tab"))</f>
        <v/>
      </c>
      <c r="I4047" s="84" t="str">
        <f aca="false">IF(C4047="","",C4047*IF(Settings!$B$22=Settings!$C$6,1,IF(Settings!$B$22="USD",1/INDEX(Settings!$B$29:$B$40,MONTH(A4047)),INDEX(Settings!$B$29:$B$40,MONTH(A4047)))))</f>
        <v/>
      </c>
    </row>
    <row r="4048" customFormat="false" ht="15" hidden="false" customHeight="false" outlineLevel="0" collapsed="false">
      <c r="H4048" s="0" t="str">
        <f aca="false">IF(B4048="","",IF(COUNTIF(Campaigns!$A$7:$A$300,B4048)&gt;0,"✓","⚠ add to Campaigns tab"))</f>
        <v/>
      </c>
      <c r="I4048" s="84" t="str">
        <f aca="false">IF(C4048="","",C4048*IF(Settings!$B$22=Settings!$C$6,1,IF(Settings!$B$22="USD",1/INDEX(Settings!$B$29:$B$40,MONTH(A4048)),INDEX(Settings!$B$29:$B$40,MONTH(A4048)))))</f>
        <v/>
      </c>
    </row>
    <row r="4049" customFormat="false" ht="15" hidden="false" customHeight="false" outlineLevel="0" collapsed="false">
      <c r="H4049" s="0" t="str">
        <f aca="false">IF(B4049="","",IF(COUNTIF(Campaigns!$A$7:$A$300,B4049)&gt;0,"✓","⚠ add to Campaigns tab"))</f>
        <v/>
      </c>
      <c r="I4049" s="84" t="str">
        <f aca="false">IF(C4049="","",C4049*IF(Settings!$B$22=Settings!$C$6,1,IF(Settings!$B$22="USD",1/INDEX(Settings!$B$29:$B$40,MONTH(A4049)),INDEX(Settings!$B$29:$B$40,MONTH(A4049)))))</f>
        <v/>
      </c>
    </row>
    <row r="4050" customFormat="false" ht="15" hidden="false" customHeight="false" outlineLevel="0" collapsed="false">
      <c r="H4050" s="0" t="str">
        <f aca="false">IF(B4050="","",IF(COUNTIF(Campaigns!$A$7:$A$300,B4050)&gt;0,"✓","⚠ add to Campaigns tab"))</f>
        <v/>
      </c>
      <c r="I4050" s="84" t="str">
        <f aca="false">IF(C4050="","",C4050*IF(Settings!$B$22=Settings!$C$6,1,IF(Settings!$B$22="USD",1/INDEX(Settings!$B$29:$B$40,MONTH(A4050)),INDEX(Settings!$B$29:$B$40,MONTH(A4050)))))</f>
        <v/>
      </c>
    </row>
    <row r="4051" customFormat="false" ht="15" hidden="false" customHeight="false" outlineLevel="0" collapsed="false">
      <c r="H4051" s="0" t="str">
        <f aca="false">IF(B4051="","",IF(COUNTIF(Campaigns!$A$7:$A$300,B4051)&gt;0,"✓","⚠ add to Campaigns tab"))</f>
        <v/>
      </c>
      <c r="I4051" s="84" t="str">
        <f aca="false">IF(C4051="","",C4051*IF(Settings!$B$22=Settings!$C$6,1,IF(Settings!$B$22="USD",1/INDEX(Settings!$B$29:$B$40,MONTH(A4051)),INDEX(Settings!$B$29:$B$40,MONTH(A4051)))))</f>
        <v/>
      </c>
    </row>
    <row r="4052" customFormat="false" ht="15" hidden="false" customHeight="false" outlineLevel="0" collapsed="false">
      <c r="H4052" s="0" t="str">
        <f aca="false">IF(B4052="","",IF(COUNTIF(Campaigns!$A$7:$A$300,B4052)&gt;0,"✓","⚠ add to Campaigns tab"))</f>
        <v/>
      </c>
      <c r="I4052" s="84" t="str">
        <f aca="false">IF(C4052="","",C4052*IF(Settings!$B$22=Settings!$C$6,1,IF(Settings!$B$22="USD",1/INDEX(Settings!$B$29:$B$40,MONTH(A4052)),INDEX(Settings!$B$29:$B$40,MONTH(A4052)))))</f>
        <v/>
      </c>
    </row>
    <row r="4053" customFormat="false" ht="15" hidden="false" customHeight="false" outlineLevel="0" collapsed="false">
      <c r="H4053" s="0" t="str">
        <f aca="false">IF(B4053="","",IF(COUNTIF(Campaigns!$A$7:$A$300,B4053)&gt;0,"✓","⚠ add to Campaigns tab"))</f>
        <v/>
      </c>
      <c r="I4053" s="84" t="str">
        <f aca="false">IF(C4053="","",C4053*IF(Settings!$B$22=Settings!$C$6,1,IF(Settings!$B$22="USD",1/INDEX(Settings!$B$29:$B$40,MONTH(A4053)),INDEX(Settings!$B$29:$B$40,MONTH(A4053)))))</f>
        <v/>
      </c>
    </row>
    <row r="4054" customFormat="false" ht="15" hidden="false" customHeight="false" outlineLevel="0" collapsed="false">
      <c r="H4054" s="0" t="str">
        <f aca="false">IF(B4054="","",IF(COUNTIF(Campaigns!$A$7:$A$300,B4054)&gt;0,"✓","⚠ add to Campaigns tab"))</f>
        <v/>
      </c>
      <c r="I4054" s="84" t="str">
        <f aca="false">IF(C4054="","",C4054*IF(Settings!$B$22=Settings!$C$6,1,IF(Settings!$B$22="USD",1/INDEX(Settings!$B$29:$B$40,MONTH(A4054)),INDEX(Settings!$B$29:$B$40,MONTH(A4054)))))</f>
        <v/>
      </c>
    </row>
    <row r="4055" customFormat="false" ht="15" hidden="false" customHeight="false" outlineLevel="0" collapsed="false">
      <c r="H4055" s="0" t="str">
        <f aca="false">IF(B4055="","",IF(COUNTIF(Campaigns!$A$7:$A$300,B4055)&gt;0,"✓","⚠ add to Campaigns tab"))</f>
        <v/>
      </c>
      <c r="I4055" s="84" t="str">
        <f aca="false">IF(C4055="","",C4055*IF(Settings!$B$22=Settings!$C$6,1,IF(Settings!$B$22="USD",1/INDEX(Settings!$B$29:$B$40,MONTH(A4055)),INDEX(Settings!$B$29:$B$40,MONTH(A4055)))))</f>
        <v/>
      </c>
    </row>
    <row r="4056" customFormat="false" ht="15" hidden="false" customHeight="false" outlineLevel="0" collapsed="false">
      <c r="H4056" s="0" t="str">
        <f aca="false">IF(B4056="","",IF(COUNTIF(Campaigns!$A$7:$A$300,B4056)&gt;0,"✓","⚠ add to Campaigns tab"))</f>
        <v/>
      </c>
      <c r="I4056" s="84" t="str">
        <f aca="false">IF(C4056="","",C4056*IF(Settings!$B$22=Settings!$C$6,1,IF(Settings!$B$22="USD",1/INDEX(Settings!$B$29:$B$40,MONTH(A4056)),INDEX(Settings!$B$29:$B$40,MONTH(A4056)))))</f>
        <v/>
      </c>
    </row>
    <row r="4057" customFormat="false" ht="15" hidden="false" customHeight="false" outlineLevel="0" collapsed="false">
      <c r="H4057" s="0" t="str">
        <f aca="false">IF(B4057="","",IF(COUNTIF(Campaigns!$A$7:$A$300,B4057)&gt;0,"✓","⚠ add to Campaigns tab"))</f>
        <v/>
      </c>
      <c r="I4057" s="84" t="str">
        <f aca="false">IF(C4057="","",C4057*IF(Settings!$B$22=Settings!$C$6,1,IF(Settings!$B$22="USD",1/INDEX(Settings!$B$29:$B$40,MONTH(A4057)),INDEX(Settings!$B$29:$B$40,MONTH(A4057)))))</f>
        <v/>
      </c>
    </row>
    <row r="4058" customFormat="false" ht="15" hidden="false" customHeight="false" outlineLevel="0" collapsed="false">
      <c r="H4058" s="0" t="str">
        <f aca="false">IF(B4058="","",IF(COUNTIF(Campaigns!$A$7:$A$300,B4058)&gt;0,"✓","⚠ add to Campaigns tab"))</f>
        <v/>
      </c>
      <c r="I4058" s="84" t="str">
        <f aca="false">IF(C4058="","",C4058*IF(Settings!$B$22=Settings!$C$6,1,IF(Settings!$B$22="USD",1/INDEX(Settings!$B$29:$B$40,MONTH(A4058)),INDEX(Settings!$B$29:$B$40,MONTH(A4058)))))</f>
        <v/>
      </c>
    </row>
    <row r="4059" customFormat="false" ht="15" hidden="false" customHeight="false" outlineLevel="0" collapsed="false">
      <c r="H4059" s="0" t="str">
        <f aca="false">IF(B4059="","",IF(COUNTIF(Campaigns!$A$7:$A$300,B4059)&gt;0,"✓","⚠ add to Campaigns tab"))</f>
        <v/>
      </c>
      <c r="I4059" s="84" t="str">
        <f aca="false">IF(C4059="","",C4059*IF(Settings!$B$22=Settings!$C$6,1,IF(Settings!$B$22="USD",1/INDEX(Settings!$B$29:$B$40,MONTH(A4059)),INDEX(Settings!$B$29:$B$40,MONTH(A4059)))))</f>
        <v/>
      </c>
    </row>
    <row r="4060" customFormat="false" ht="15" hidden="false" customHeight="false" outlineLevel="0" collapsed="false">
      <c r="H4060" s="0" t="str">
        <f aca="false">IF(B4060="","",IF(COUNTIF(Campaigns!$A$7:$A$300,B4060)&gt;0,"✓","⚠ add to Campaigns tab"))</f>
        <v/>
      </c>
      <c r="I4060" s="84" t="str">
        <f aca="false">IF(C4060="","",C4060*IF(Settings!$B$22=Settings!$C$6,1,IF(Settings!$B$22="USD",1/INDEX(Settings!$B$29:$B$40,MONTH(A4060)),INDEX(Settings!$B$29:$B$40,MONTH(A4060)))))</f>
        <v/>
      </c>
    </row>
    <row r="4061" customFormat="false" ht="15" hidden="false" customHeight="false" outlineLevel="0" collapsed="false">
      <c r="H4061" s="0" t="str">
        <f aca="false">IF(B4061="","",IF(COUNTIF(Campaigns!$A$7:$A$300,B4061)&gt;0,"✓","⚠ add to Campaigns tab"))</f>
        <v/>
      </c>
      <c r="I4061" s="84" t="str">
        <f aca="false">IF(C4061="","",C4061*IF(Settings!$B$22=Settings!$C$6,1,IF(Settings!$B$22="USD",1/INDEX(Settings!$B$29:$B$40,MONTH(A4061)),INDEX(Settings!$B$29:$B$40,MONTH(A4061)))))</f>
        <v/>
      </c>
    </row>
    <row r="4062" customFormat="false" ht="15" hidden="false" customHeight="false" outlineLevel="0" collapsed="false">
      <c r="H4062" s="0" t="str">
        <f aca="false">IF(B4062="","",IF(COUNTIF(Campaigns!$A$7:$A$300,B4062)&gt;0,"✓","⚠ add to Campaigns tab"))</f>
        <v/>
      </c>
      <c r="I4062" s="84" t="str">
        <f aca="false">IF(C4062="","",C4062*IF(Settings!$B$22=Settings!$C$6,1,IF(Settings!$B$22="USD",1/INDEX(Settings!$B$29:$B$40,MONTH(A4062)),INDEX(Settings!$B$29:$B$40,MONTH(A4062)))))</f>
        <v/>
      </c>
    </row>
    <row r="4063" customFormat="false" ht="15" hidden="false" customHeight="false" outlineLevel="0" collapsed="false">
      <c r="H4063" s="0" t="str">
        <f aca="false">IF(B4063="","",IF(COUNTIF(Campaigns!$A$7:$A$300,B4063)&gt;0,"✓","⚠ add to Campaigns tab"))</f>
        <v/>
      </c>
      <c r="I4063" s="84" t="str">
        <f aca="false">IF(C4063="","",C4063*IF(Settings!$B$22=Settings!$C$6,1,IF(Settings!$B$22="USD",1/INDEX(Settings!$B$29:$B$40,MONTH(A4063)),INDEX(Settings!$B$29:$B$40,MONTH(A4063)))))</f>
        <v/>
      </c>
    </row>
    <row r="4064" customFormat="false" ht="15" hidden="false" customHeight="false" outlineLevel="0" collapsed="false">
      <c r="H4064" s="0" t="str">
        <f aca="false">IF(B4064="","",IF(COUNTIF(Campaigns!$A$7:$A$300,B4064)&gt;0,"✓","⚠ add to Campaigns tab"))</f>
        <v/>
      </c>
      <c r="I4064" s="84" t="str">
        <f aca="false">IF(C4064="","",C4064*IF(Settings!$B$22=Settings!$C$6,1,IF(Settings!$B$22="USD",1/INDEX(Settings!$B$29:$B$40,MONTH(A4064)),INDEX(Settings!$B$29:$B$40,MONTH(A4064)))))</f>
        <v/>
      </c>
    </row>
    <row r="4065" customFormat="false" ht="15" hidden="false" customHeight="false" outlineLevel="0" collapsed="false">
      <c r="H4065" s="0" t="str">
        <f aca="false">IF(B4065="","",IF(COUNTIF(Campaigns!$A$7:$A$300,B4065)&gt;0,"✓","⚠ add to Campaigns tab"))</f>
        <v/>
      </c>
      <c r="I4065" s="84" t="str">
        <f aca="false">IF(C4065="","",C4065*IF(Settings!$B$22=Settings!$C$6,1,IF(Settings!$B$22="USD",1/INDEX(Settings!$B$29:$B$40,MONTH(A4065)),INDEX(Settings!$B$29:$B$40,MONTH(A4065)))))</f>
        <v/>
      </c>
    </row>
    <row r="4066" customFormat="false" ht="15" hidden="false" customHeight="false" outlineLevel="0" collapsed="false">
      <c r="H4066" s="0" t="str">
        <f aca="false">IF(B4066="","",IF(COUNTIF(Campaigns!$A$7:$A$300,B4066)&gt;0,"✓","⚠ add to Campaigns tab"))</f>
        <v/>
      </c>
      <c r="I4066" s="84" t="str">
        <f aca="false">IF(C4066="","",C4066*IF(Settings!$B$22=Settings!$C$6,1,IF(Settings!$B$22="USD",1/INDEX(Settings!$B$29:$B$40,MONTH(A4066)),INDEX(Settings!$B$29:$B$40,MONTH(A4066)))))</f>
        <v/>
      </c>
    </row>
    <row r="4067" customFormat="false" ht="15" hidden="false" customHeight="false" outlineLevel="0" collapsed="false">
      <c r="H4067" s="0" t="str">
        <f aca="false">IF(B4067="","",IF(COUNTIF(Campaigns!$A$7:$A$300,B4067)&gt;0,"✓","⚠ add to Campaigns tab"))</f>
        <v/>
      </c>
      <c r="I4067" s="84" t="str">
        <f aca="false">IF(C4067="","",C4067*IF(Settings!$B$22=Settings!$C$6,1,IF(Settings!$B$22="USD",1/INDEX(Settings!$B$29:$B$40,MONTH(A4067)),INDEX(Settings!$B$29:$B$40,MONTH(A4067)))))</f>
        <v/>
      </c>
    </row>
    <row r="4068" customFormat="false" ht="15" hidden="false" customHeight="false" outlineLevel="0" collapsed="false">
      <c r="H4068" s="0" t="str">
        <f aca="false">IF(B4068="","",IF(COUNTIF(Campaigns!$A$7:$A$300,B4068)&gt;0,"✓","⚠ add to Campaigns tab"))</f>
        <v/>
      </c>
      <c r="I4068" s="84" t="str">
        <f aca="false">IF(C4068="","",C4068*IF(Settings!$B$22=Settings!$C$6,1,IF(Settings!$B$22="USD",1/INDEX(Settings!$B$29:$B$40,MONTH(A4068)),INDEX(Settings!$B$29:$B$40,MONTH(A4068)))))</f>
        <v/>
      </c>
    </row>
    <row r="4069" customFormat="false" ht="15" hidden="false" customHeight="false" outlineLevel="0" collapsed="false">
      <c r="H4069" s="0" t="str">
        <f aca="false">IF(B4069="","",IF(COUNTIF(Campaigns!$A$7:$A$300,B4069)&gt;0,"✓","⚠ add to Campaigns tab"))</f>
        <v/>
      </c>
      <c r="I4069" s="84" t="str">
        <f aca="false">IF(C4069="","",C4069*IF(Settings!$B$22=Settings!$C$6,1,IF(Settings!$B$22="USD",1/INDEX(Settings!$B$29:$B$40,MONTH(A4069)),INDEX(Settings!$B$29:$B$40,MONTH(A4069)))))</f>
        <v/>
      </c>
    </row>
    <row r="4070" customFormat="false" ht="15" hidden="false" customHeight="false" outlineLevel="0" collapsed="false">
      <c r="H4070" s="0" t="str">
        <f aca="false">IF(B4070="","",IF(COUNTIF(Campaigns!$A$7:$A$300,B4070)&gt;0,"✓","⚠ add to Campaigns tab"))</f>
        <v/>
      </c>
      <c r="I4070" s="84" t="str">
        <f aca="false">IF(C4070="","",C4070*IF(Settings!$B$22=Settings!$C$6,1,IF(Settings!$B$22="USD",1/INDEX(Settings!$B$29:$B$40,MONTH(A4070)),INDEX(Settings!$B$29:$B$40,MONTH(A4070)))))</f>
        <v/>
      </c>
    </row>
    <row r="4071" customFormat="false" ht="15" hidden="false" customHeight="false" outlineLevel="0" collapsed="false">
      <c r="H4071" s="0" t="str">
        <f aca="false">IF(B4071="","",IF(COUNTIF(Campaigns!$A$7:$A$300,B4071)&gt;0,"✓","⚠ add to Campaigns tab"))</f>
        <v/>
      </c>
      <c r="I4071" s="84" t="str">
        <f aca="false">IF(C4071="","",C4071*IF(Settings!$B$22=Settings!$C$6,1,IF(Settings!$B$22="USD",1/INDEX(Settings!$B$29:$B$40,MONTH(A4071)),INDEX(Settings!$B$29:$B$40,MONTH(A4071)))))</f>
        <v/>
      </c>
    </row>
    <row r="4072" customFormat="false" ht="15" hidden="false" customHeight="false" outlineLevel="0" collapsed="false">
      <c r="H4072" s="0" t="str">
        <f aca="false">IF(B4072="","",IF(COUNTIF(Campaigns!$A$7:$A$300,B4072)&gt;0,"✓","⚠ add to Campaigns tab"))</f>
        <v/>
      </c>
      <c r="I4072" s="84" t="str">
        <f aca="false">IF(C4072="","",C4072*IF(Settings!$B$22=Settings!$C$6,1,IF(Settings!$B$22="USD",1/INDEX(Settings!$B$29:$B$40,MONTH(A4072)),INDEX(Settings!$B$29:$B$40,MONTH(A4072)))))</f>
        <v/>
      </c>
    </row>
    <row r="4073" customFormat="false" ht="15" hidden="false" customHeight="false" outlineLevel="0" collapsed="false">
      <c r="H4073" s="0" t="str">
        <f aca="false">IF(B4073="","",IF(COUNTIF(Campaigns!$A$7:$A$300,B4073)&gt;0,"✓","⚠ add to Campaigns tab"))</f>
        <v/>
      </c>
      <c r="I4073" s="84" t="str">
        <f aca="false">IF(C4073="","",C4073*IF(Settings!$B$22=Settings!$C$6,1,IF(Settings!$B$22="USD",1/INDEX(Settings!$B$29:$B$40,MONTH(A4073)),INDEX(Settings!$B$29:$B$40,MONTH(A4073)))))</f>
        <v/>
      </c>
    </row>
    <row r="4074" customFormat="false" ht="15" hidden="false" customHeight="false" outlineLevel="0" collapsed="false">
      <c r="H4074" s="0" t="str">
        <f aca="false">IF(B4074="","",IF(COUNTIF(Campaigns!$A$7:$A$300,B4074)&gt;0,"✓","⚠ add to Campaigns tab"))</f>
        <v/>
      </c>
      <c r="I4074" s="84" t="str">
        <f aca="false">IF(C4074="","",C4074*IF(Settings!$B$22=Settings!$C$6,1,IF(Settings!$B$22="USD",1/INDEX(Settings!$B$29:$B$40,MONTH(A4074)),INDEX(Settings!$B$29:$B$40,MONTH(A4074)))))</f>
        <v/>
      </c>
    </row>
    <row r="4075" customFormat="false" ht="15" hidden="false" customHeight="false" outlineLevel="0" collapsed="false">
      <c r="H4075" s="0" t="str">
        <f aca="false">IF(B4075="","",IF(COUNTIF(Campaigns!$A$7:$A$300,B4075)&gt;0,"✓","⚠ add to Campaigns tab"))</f>
        <v/>
      </c>
      <c r="I4075" s="84" t="str">
        <f aca="false">IF(C4075="","",C4075*IF(Settings!$B$22=Settings!$C$6,1,IF(Settings!$B$22="USD",1/INDEX(Settings!$B$29:$B$40,MONTH(A4075)),INDEX(Settings!$B$29:$B$40,MONTH(A4075)))))</f>
        <v/>
      </c>
    </row>
    <row r="4076" customFormat="false" ht="15" hidden="false" customHeight="false" outlineLevel="0" collapsed="false">
      <c r="H4076" s="0" t="str">
        <f aca="false">IF(B4076="","",IF(COUNTIF(Campaigns!$A$7:$A$300,B4076)&gt;0,"✓","⚠ add to Campaigns tab"))</f>
        <v/>
      </c>
      <c r="I4076" s="84" t="str">
        <f aca="false">IF(C4076="","",C4076*IF(Settings!$B$22=Settings!$C$6,1,IF(Settings!$B$22="USD",1/INDEX(Settings!$B$29:$B$40,MONTH(A4076)),INDEX(Settings!$B$29:$B$40,MONTH(A4076)))))</f>
        <v/>
      </c>
    </row>
    <row r="4077" customFormat="false" ht="15" hidden="false" customHeight="false" outlineLevel="0" collapsed="false">
      <c r="H4077" s="0" t="str">
        <f aca="false">IF(B4077="","",IF(COUNTIF(Campaigns!$A$7:$A$300,B4077)&gt;0,"✓","⚠ add to Campaigns tab"))</f>
        <v/>
      </c>
      <c r="I4077" s="84" t="str">
        <f aca="false">IF(C4077="","",C4077*IF(Settings!$B$22=Settings!$C$6,1,IF(Settings!$B$22="USD",1/INDEX(Settings!$B$29:$B$40,MONTH(A4077)),INDEX(Settings!$B$29:$B$40,MONTH(A4077)))))</f>
        <v/>
      </c>
    </row>
    <row r="4078" customFormat="false" ht="15" hidden="false" customHeight="false" outlineLevel="0" collapsed="false">
      <c r="H4078" s="0" t="str">
        <f aca="false">IF(B4078="","",IF(COUNTIF(Campaigns!$A$7:$A$300,B4078)&gt;0,"✓","⚠ add to Campaigns tab"))</f>
        <v/>
      </c>
      <c r="I4078" s="84" t="str">
        <f aca="false">IF(C4078="","",C4078*IF(Settings!$B$22=Settings!$C$6,1,IF(Settings!$B$22="USD",1/INDEX(Settings!$B$29:$B$40,MONTH(A4078)),INDEX(Settings!$B$29:$B$40,MONTH(A4078)))))</f>
        <v/>
      </c>
    </row>
    <row r="4079" customFormat="false" ht="15" hidden="false" customHeight="false" outlineLevel="0" collapsed="false">
      <c r="H4079" s="0" t="str">
        <f aca="false">IF(B4079="","",IF(COUNTIF(Campaigns!$A$7:$A$300,B4079)&gt;0,"✓","⚠ add to Campaigns tab"))</f>
        <v/>
      </c>
      <c r="I4079" s="84" t="str">
        <f aca="false">IF(C4079="","",C4079*IF(Settings!$B$22=Settings!$C$6,1,IF(Settings!$B$22="USD",1/INDEX(Settings!$B$29:$B$40,MONTH(A4079)),INDEX(Settings!$B$29:$B$40,MONTH(A4079)))))</f>
        <v/>
      </c>
    </row>
    <row r="4080" customFormat="false" ht="15" hidden="false" customHeight="false" outlineLevel="0" collapsed="false">
      <c r="H4080" s="0" t="str">
        <f aca="false">IF(B4080="","",IF(COUNTIF(Campaigns!$A$7:$A$300,B4080)&gt;0,"✓","⚠ add to Campaigns tab"))</f>
        <v/>
      </c>
      <c r="I4080" s="84" t="str">
        <f aca="false">IF(C4080="","",C4080*IF(Settings!$B$22=Settings!$C$6,1,IF(Settings!$B$22="USD",1/INDEX(Settings!$B$29:$B$40,MONTH(A4080)),INDEX(Settings!$B$29:$B$40,MONTH(A4080)))))</f>
        <v/>
      </c>
    </row>
    <row r="4081" customFormat="false" ht="15" hidden="false" customHeight="false" outlineLevel="0" collapsed="false">
      <c r="H4081" s="0" t="str">
        <f aca="false">IF(B4081="","",IF(COUNTIF(Campaigns!$A$7:$A$300,B4081)&gt;0,"✓","⚠ add to Campaigns tab"))</f>
        <v/>
      </c>
      <c r="I4081" s="84" t="str">
        <f aca="false">IF(C4081="","",C4081*IF(Settings!$B$22=Settings!$C$6,1,IF(Settings!$B$22="USD",1/INDEX(Settings!$B$29:$B$40,MONTH(A4081)),INDEX(Settings!$B$29:$B$40,MONTH(A4081)))))</f>
        <v/>
      </c>
    </row>
    <row r="4082" customFormat="false" ht="15" hidden="false" customHeight="false" outlineLevel="0" collapsed="false">
      <c r="H4082" s="0" t="str">
        <f aca="false">IF(B4082="","",IF(COUNTIF(Campaigns!$A$7:$A$300,B4082)&gt;0,"✓","⚠ add to Campaigns tab"))</f>
        <v/>
      </c>
      <c r="I4082" s="84" t="str">
        <f aca="false">IF(C4082="","",C4082*IF(Settings!$B$22=Settings!$C$6,1,IF(Settings!$B$22="USD",1/INDEX(Settings!$B$29:$B$40,MONTH(A4082)),INDEX(Settings!$B$29:$B$40,MONTH(A4082)))))</f>
        <v/>
      </c>
    </row>
    <row r="4083" customFormat="false" ht="15" hidden="false" customHeight="false" outlineLevel="0" collapsed="false">
      <c r="H4083" s="0" t="str">
        <f aca="false">IF(B4083="","",IF(COUNTIF(Campaigns!$A$7:$A$300,B4083)&gt;0,"✓","⚠ add to Campaigns tab"))</f>
        <v/>
      </c>
      <c r="I4083" s="84" t="str">
        <f aca="false">IF(C4083="","",C4083*IF(Settings!$B$22=Settings!$C$6,1,IF(Settings!$B$22="USD",1/INDEX(Settings!$B$29:$B$40,MONTH(A4083)),INDEX(Settings!$B$29:$B$40,MONTH(A4083)))))</f>
        <v/>
      </c>
    </row>
    <row r="4084" customFormat="false" ht="15" hidden="false" customHeight="false" outlineLevel="0" collapsed="false">
      <c r="H4084" s="0" t="str">
        <f aca="false">IF(B4084="","",IF(COUNTIF(Campaigns!$A$7:$A$300,B4084)&gt;0,"✓","⚠ add to Campaigns tab"))</f>
        <v/>
      </c>
      <c r="I4084" s="84" t="str">
        <f aca="false">IF(C4084="","",C4084*IF(Settings!$B$22=Settings!$C$6,1,IF(Settings!$B$22="USD",1/INDEX(Settings!$B$29:$B$40,MONTH(A4084)),INDEX(Settings!$B$29:$B$40,MONTH(A4084)))))</f>
        <v/>
      </c>
    </row>
    <row r="4085" customFormat="false" ht="15" hidden="false" customHeight="false" outlineLevel="0" collapsed="false">
      <c r="H4085" s="0" t="str">
        <f aca="false">IF(B4085="","",IF(COUNTIF(Campaigns!$A$7:$A$300,B4085)&gt;0,"✓","⚠ add to Campaigns tab"))</f>
        <v/>
      </c>
      <c r="I4085" s="84" t="str">
        <f aca="false">IF(C4085="","",C4085*IF(Settings!$B$22=Settings!$C$6,1,IF(Settings!$B$22="USD",1/INDEX(Settings!$B$29:$B$40,MONTH(A4085)),INDEX(Settings!$B$29:$B$40,MONTH(A4085)))))</f>
        <v/>
      </c>
    </row>
    <row r="4086" customFormat="false" ht="15" hidden="false" customHeight="false" outlineLevel="0" collapsed="false">
      <c r="H4086" s="0" t="str">
        <f aca="false">IF(B4086="","",IF(COUNTIF(Campaigns!$A$7:$A$300,B4086)&gt;0,"✓","⚠ add to Campaigns tab"))</f>
        <v/>
      </c>
      <c r="I4086" s="84" t="str">
        <f aca="false">IF(C4086="","",C4086*IF(Settings!$B$22=Settings!$C$6,1,IF(Settings!$B$22="USD",1/INDEX(Settings!$B$29:$B$40,MONTH(A4086)),INDEX(Settings!$B$29:$B$40,MONTH(A4086)))))</f>
        <v/>
      </c>
    </row>
    <row r="4087" customFormat="false" ht="15" hidden="false" customHeight="false" outlineLevel="0" collapsed="false">
      <c r="H4087" s="0" t="str">
        <f aca="false">IF(B4087="","",IF(COUNTIF(Campaigns!$A$7:$A$300,B4087)&gt;0,"✓","⚠ add to Campaigns tab"))</f>
        <v/>
      </c>
      <c r="I4087" s="84" t="str">
        <f aca="false">IF(C4087="","",C4087*IF(Settings!$B$22=Settings!$C$6,1,IF(Settings!$B$22="USD",1/INDEX(Settings!$B$29:$B$40,MONTH(A4087)),INDEX(Settings!$B$29:$B$40,MONTH(A4087)))))</f>
        <v/>
      </c>
    </row>
    <row r="4088" customFormat="false" ht="15" hidden="false" customHeight="false" outlineLevel="0" collapsed="false">
      <c r="H4088" s="0" t="str">
        <f aca="false">IF(B4088="","",IF(COUNTIF(Campaigns!$A$7:$A$300,B4088)&gt;0,"✓","⚠ add to Campaigns tab"))</f>
        <v/>
      </c>
      <c r="I4088" s="84" t="str">
        <f aca="false">IF(C4088="","",C4088*IF(Settings!$B$22=Settings!$C$6,1,IF(Settings!$B$22="USD",1/INDEX(Settings!$B$29:$B$40,MONTH(A4088)),INDEX(Settings!$B$29:$B$40,MONTH(A4088)))))</f>
        <v/>
      </c>
    </row>
    <row r="4089" customFormat="false" ht="15" hidden="false" customHeight="false" outlineLevel="0" collapsed="false">
      <c r="H4089" s="0" t="str">
        <f aca="false">IF(B4089="","",IF(COUNTIF(Campaigns!$A$7:$A$300,B4089)&gt;0,"✓","⚠ add to Campaigns tab"))</f>
        <v/>
      </c>
      <c r="I4089" s="84" t="str">
        <f aca="false">IF(C4089="","",C4089*IF(Settings!$B$22=Settings!$C$6,1,IF(Settings!$B$22="USD",1/INDEX(Settings!$B$29:$B$40,MONTH(A4089)),INDEX(Settings!$B$29:$B$40,MONTH(A4089)))))</f>
        <v/>
      </c>
    </row>
    <row r="4090" customFormat="false" ht="15" hidden="false" customHeight="false" outlineLevel="0" collapsed="false">
      <c r="H4090" s="0" t="str">
        <f aca="false">IF(B4090="","",IF(COUNTIF(Campaigns!$A$7:$A$300,B4090)&gt;0,"✓","⚠ add to Campaigns tab"))</f>
        <v/>
      </c>
      <c r="I4090" s="84" t="str">
        <f aca="false">IF(C4090="","",C4090*IF(Settings!$B$22=Settings!$C$6,1,IF(Settings!$B$22="USD",1/INDEX(Settings!$B$29:$B$40,MONTH(A4090)),INDEX(Settings!$B$29:$B$40,MONTH(A4090)))))</f>
        <v/>
      </c>
    </row>
    <row r="4091" customFormat="false" ht="15" hidden="false" customHeight="false" outlineLevel="0" collapsed="false">
      <c r="H4091" s="0" t="str">
        <f aca="false">IF(B4091="","",IF(COUNTIF(Campaigns!$A$7:$A$300,B4091)&gt;0,"✓","⚠ add to Campaigns tab"))</f>
        <v/>
      </c>
      <c r="I4091" s="84" t="str">
        <f aca="false">IF(C4091="","",C4091*IF(Settings!$B$22=Settings!$C$6,1,IF(Settings!$B$22="USD",1/INDEX(Settings!$B$29:$B$40,MONTH(A4091)),INDEX(Settings!$B$29:$B$40,MONTH(A4091)))))</f>
        <v/>
      </c>
    </row>
    <row r="4092" customFormat="false" ht="15" hidden="false" customHeight="false" outlineLevel="0" collapsed="false">
      <c r="H4092" s="0" t="str">
        <f aca="false">IF(B4092="","",IF(COUNTIF(Campaigns!$A$7:$A$300,B4092)&gt;0,"✓","⚠ add to Campaigns tab"))</f>
        <v/>
      </c>
      <c r="I4092" s="84" t="str">
        <f aca="false">IF(C4092="","",C4092*IF(Settings!$B$22=Settings!$C$6,1,IF(Settings!$B$22="USD",1/INDEX(Settings!$B$29:$B$40,MONTH(A4092)),INDEX(Settings!$B$29:$B$40,MONTH(A4092)))))</f>
        <v/>
      </c>
    </row>
    <row r="4093" customFormat="false" ht="15" hidden="false" customHeight="false" outlineLevel="0" collapsed="false">
      <c r="H4093" s="0" t="str">
        <f aca="false">IF(B4093="","",IF(COUNTIF(Campaigns!$A$7:$A$300,B4093)&gt;0,"✓","⚠ add to Campaigns tab"))</f>
        <v/>
      </c>
      <c r="I4093" s="84" t="str">
        <f aca="false">IF(C4093="","",C4093*IF(Settings!$B$22=Settings!$C$6,1,IF(Settings!$B$22="USD",1/INDEX(Settings!$B$29:$B$40,MONTH(A4093)),INDEX(Settings!$B$29:$B$40,MONTH(A4093)))))</f>
        <v/>
      </c>
    </row>
    <row r="4094" customFormat="false" ht="15" hidden="false" customHeight="false" outlineLevel="0" collapsed="false">
      <c r="H4094" s="0" t="str">
        <f aca="false">IF(B4094="","",IF(COUNTIF(Campaigns!$A$7:$A$300,B4094)&gt;0,"✓","⚠ add to Campaigns tab"))</f>
        <v/>
      </c>
      <c r="I4094" s="84" t="str">
        <f aca="false">IF(C4094="","",C4094*IF(Settings!$B$22=Settings!$C$6,1,IF(Settings!$B$22="USD",1/INDEX(Settings!$B$29:$B$40,MONTH(A4094)),INDEX(Settings!$B$29:$B$40,MONTH(A4094)))))</f>
        <v/>
      </c>
    </row>
    <row r="4095" customFormat="false" ht="15" hidden="false" customHeight="false" outlineLevel="0" collapsed="false">
      <c r="H4095" s="0" t="str">
        <f aca="false">IF(B4095="","",IF(COUNTIF(Campaigns!$A$7:$A$300,B4095)&gt;0,"✓","⚠ add to Campaigns tab"))</f>
        <v/>
      </c>
      <c r="I4095" s="84" t="str">
        <f aca="false">IF(C4095="","",C4095*IF(Settings!$B$22=Settings!$C$6,1,IF(Settings!$B$22="USD",1/INDEX(Settings!$B$29:$B$40,MONTH(A4095)),INDEX(Settings!$B$29:$B$40,MONTH(A4095)))))</f>
        <v/>
      </c>
    </row>
    <row r="4096" customFormat="false" ht="15" hidden="false" customHeight="false" outlineLevel="0" collapsed="false">
      <c r="H4096" s="0" t="str">
        <f aca="false">IF(B4096="","",IF(COUNTIF(Campaigns!$A$7:$A$300,B4096)&gt;0,"✓","⚠ add to Campaigns tab"))</f>
        <v/>
      </c>
      <c r="I4096" s="84" t="str">
        <f aca="false">IF(C4096="","",C4096*IF(Settings!$B$22=Settings!$C$6,1,IF(Settings!$B$22="USD",1/INDEX(Settings!$B$29:$B$40,MONTH(A4096)),INDEX(Settings!$B$29:$B$40,MONTH(A4096)))))</f>
        <v/>
      </c>
    </row>
    <row r="4097" customFormat="false" ht="15" hidden="false" customHeight="false" outlineLevel="0" collapsed="false">
      <c r="H4097" s="0" t="str">
        <f aca="false">IF(B4097="","",IF(COUNTIF(Campaigns!$A$7:$A$300,B4097)&gt;0,"✓","⚠ add to Campaigns tab"))</f>
        <v/>
      </c>
      <c r="I4097" s="84" t="str">
        <f aca="false">IF(C4097="","",C4097*IF(Settings!$B$22=Settings!$C$6,1,IF(Settings!$B$22="USD",1/INDEX(Settings!$B$29:$B$40,MONTH(A4097)),INDEX(Settings!$B$29:$B$40,MONTH(A4097)))))</f>
        <v/>
      </c>
    </row>
    <row r="4098" customFormat="false" ht="15" hidden="false" customHeight="false" outlineLevel="0" collapsed="false">
      <c r="H4098" s="0" t="str">
        <f aca="false">IF(B4098="","",IF(COUNTIF(Campaigns!$A$7:$A$300,B4098)&gt;0,"✓","⚠ add to Campaigns tab"))</f>
        <v/>
      </c>
      <c r="I4098" s="84" t="str">
        <f aca="false">IF(C4098="","",C4098*IF(Settings!$B$22=Settings!$C$6,1,IF(Settings!$B$22="USD",1/INDEX(Settings!$B$29:$B$40,MONTH(A4098)),INDEX(Settings!$B$29:$B$40,MONTH(A4098)))))</f>
        <v/>
      </c>
    </row>
    <row r="4099" customFormat="false" ht="15" hidden="false" customHeight="false" outlineLevel="0" collapsed="false">
      <c r="H4099" s="0" t="str">
        <f aca="false">IF(B4099="","",IF(COUNTIF(Campaigns!$A$7:$A$300,B4099)&gt;0,"✓","⚠ add to Campaigns tab"))</f>
        <v/>
      </c>
      <c r="I4099" s="84" t="str">
        <f aca="false">IF(C4099="","",C4099*IF(Settings!$B$22=Settings!$C$6,1,IF(Settings!$B$22="USD",1/INDEX(Settings!$B$29:$B$40,MONTH(A4099)),INDEX(Settings!$B$29:$B$40,MONTH(A4099)))))</f>
        <v/>
      </c>
    </row>
    <row r="4100" customFormat="false" ht="15" hidden="false" customHeight="false" outlineLevel="0" collapsed="false">
      <c r="H4100" s="0" t="str">
        <f aca="false">IF(B4100="","",IF(COUNTIF(Campaigns!$A$7:$A$300,B4100)&gt;0,"✓","⚠ add to Campaigns tab"))</f>
        <v/>
      </c>
      <c r="I4100" s="84" t="str">
        <f aca="false">IF(C4100="","",C4100*IF(Settings!$B$22=Settings!$C$6,1,IF(Settings!$B$22="USD",1/INDEX(Settings!$B$29:$B$40,MONTH(A4100)),INDEX(Settings!$B$29:$B$40,MONTH(A4100)))))</f>
        <v/>
      </c>
    </row>
    <row r="4101" customFormat="false" ht="15" hidden="false" customHeight="false" outlineLevel="0" collapsed="false">
      <c r="H4101" s="0" t="str">
        <f aca="false">IF(B4101="","",IF(COUNTIF(Campaigns!$A$7:$A$300,B4101)&gt;0,"✓","⚠ add to Campaigns tab"))</f>
        <v/>
      </c>
      <c r="I4101" s="84" t="str">
        <f aca="false">IF(C4101="","",C4101*IF(Settings!$B$22=Settings!$C$6,1,IF(Settings!$B$22="USD",1/INDEX(Settings!$B$29:$B$40,MONTH(A4101)),INDEX(Settings!$B$29:$B$40,MONTH(A4101)))))</f>
        <v/>
      </c>
    </row>
    <row r="4102" customFormat="false" ht="15" hidden="false" customHeight="false" outlineLevel="0" collapsed="false">
      <c r="H4102" s="0" t="str">
        <f aca="false">IF(B4102="","",IF(COUNTIF(Campaigns!$A$7:$A$300,B4102)&gt;0,"✓","⚠ add to Campaigns tab"))</f>
        <v/>
      </c>
      <c r="I4102" s="84" t="str">
        <f aca="false">IF(C4102="","",C4102*IF(Settings!$B$22=Settings!$C$6,1,IF(Settings!$B$22="USD",1/INDEX(Settings!$B$29:$B$40,MONTH(A4102)),INDEX(Settings!$B$29:$B$40,MONTH(A4102)))))</f>
        <v/>
      </c>
    </row>
    <row r="4103" customFormat="false" ht="15" hidden="false" customHeight="false" outlineLevel="0" collapsed="false">
      <c r="H4103" s="0" t="str">
        <f aca="false">IF(B4103="","",IF(COUNTIF(Campaigns!$A$7:$A$300,B4103)&gt;0,"✓","⚠ add to Campaigns tab"))</f>
        <v/>
      </c>
      <c r="I4103" s="84" t="str">
        <f aca="false">IF(C4103="","",C4103*IF(Settings!$B$22=Settings!$C$6,1,IF(Settings!$B$22="USD",1/INDEX(Settings!$B$29:$B$40,MONTH(A4103)),INDEX(Settings!$B$29:$B$40,MONTH(A4103)))))</f>
        <v/>
      </c>
    </row>
    <row r="4104" customFormat="false" ht="15" hidden="false" customHeight="false" outlineLevel="0" collapsed="false">
      <c r="H4104" s="0" t="str">
        <f aca="false">IF(B4104="","",IF(COUNTIF(Campaigns!$A$7:$A$300,B4104)&gt;0,"✓","⚠ add to Campaigns tab"))</f>
        <v/>
      </c>
      <c r="I4104" s="84" t="str">
        <f aca="false">IF(C4104="","",C4104*IF(Settings!$B$22=Settings!$C$6,1,IF(Settings!$B$22="USD",1/INDEX(Settings!$B$29:$B$40,MONTH(A4104)),INDEX(Settings!$B$29:$B$40,MONTH(A4104)))))</f>
        <v/>
      </c>
    </row>
    <row r="4105" customFormat="false" ht="15" hidden="false" customHeight="false" outlineLevel="0" collapsed="false">
      <c r="H4105" s="0" t="str">
        <f aca="false">IF(B4105="","",IF(COUNTIF(Campaigns!$A$7:$A$300,B4105)&gt;0,"✓","⚠ add to Campaigns tab"))</f>
        <v/>
      </c>
      <c r="I4105" s="84" t="str">
        <f aca="false">IF(C4105="","",C4105*IF(Settings!$B$22=Settings!$C$6,1,IF(Settings!$B$22="USD",1/INDEX(Settings!$B$29:$B$40,MONTH(A4105)),INDEX(Settings!$B$29:$B$40,MONTH(A4105)))))</f>
        <v/>
      </c>
    </row>
    <row r="4106" customFormat="false" ht="15" hidden="false" customHeight="false" outlineLevel="0" collapsed="false">
      <c r="H4106" s="0" t="str">
        <f aca="false">IF(B4106="","",IF(COUNTIF(Campaigns!$A$7:$A$300,B4106)&gt;0,"✓","⚠ add to Campaigns tab"))</f>
        <v/>
      </c>
      <c r="I4106" s="84" t="str">
        <f aca="false">IF(C4106="","",C4106*IF(Settings!$B$22=Settings!$C$6,1,IF(Settings!$B$22="USD",1/INDEX(Settings!$B$29:$B$40,MONTH(A4106)),INDEX(Settings!$B$29:$B$40,MONTH(A4106)))))</f>
        <v/>
      </c>
    </row>
    <row r="4107" customFormat="false" ht="15" hidden="false" customHeight="false" outlineLevel="0" collapsed="false">
      <c r="H4107" s="0" t="str">
        <f aca="false">IF(B4107="","",IF(COUNTIF(Campaigns!$A$7:$A$300,B4107)&gt;0,"✓","⚠ add to Campaigns tab"))</f>
        <v/>
      </c>
      <c r="I4107" s="84" t="str">
        <f aca="false">IF(C4107="","",C4107*IF(Settings!$B$22=Settings!$C$6,1,IF(Settings!$B$22="USD",1/INDEX(Settings!$B$29:$B$40,MONTH(A4107)),INDEX(Settings!$B$29:$B$40,MONTH(A4107)))))</f>
        <v/>
      </c>
    </row>
    <row r="4108" customFormat="false" ht="15" hidden="false" customHeight="false" outlineLevel="0" collapsed="false">
      <c r="H4108" s="0" t="str">
        <f aca="false">IF(B4108="","",IF(COUNTIF(Campaigns!$A$7:$A$300,B4108)&gt;0,"✓","⚠ add to Campaigns tab"))</f>
        <v/>
      </c>
      <c r="I4108" s="84" t="str">
        <f aca="false">IF(C4108="","",C4108*IF(Settings!$B$22=Settings!$C$6,1,IF(Settings!$B$22="USD",1/INDEX(Settings!$B$29:$B$40,MONTH(A4108)),INDEX(Settings!$B$29:$B$40,MONTH(A4108)))))</f>
        <v/>
      </c>
    </row>
    <row r="4109" customFormat="false" ht="15" hidden="false" customHeight="false" outlineLevel="0" collapsed="false">
      <c r="H4109" s="0" t="str">
        <f aca="false">IF(B4109="","",IF(COUNTIF(Campaigns!$A$7:$A$300,B4109)&gt;0,"✓","⚠ add to Campaigns tab"))</f>
        <v/>
      </c>
      <c r="I4109" s="84" t="str">
        <f aca="false">IF(C4109="","",C4109*IF(Settings!$B$22=Settings!$C$6,1,IF(Settings!$B$22="USD",1/INDEX(Settings!$B$29:$B$40,MONTH(A4109)),INDEX(Settings!$B$29:$B$40,MONTH(A4109)))))</f>
        <v/>
      </c>
    </row>
    <row r="4110" customFormat="false" ht="15" hidden="false" customHeight="false" outlineLevel="0" collapsed="false">
      <c r="H4110" s="0" t="str">
        <f aca="false">IF(B4110="","",IF(COUNTIF(Campaigns!$A$7:$A$300,B4110)&gt;0,"✓","⚠ add to Campaigns tab"))</f>
        <v/>
      </c>
      <c r="I4110" s="84" t="str">
        <f aca="false">IF(C4110="","",C4110*IF(Settings!$B$22=Settings!$C$6,1,IF(Settings!$B$22="USD",1/INDEX(Settings!$B$29:$B$40,MONTH(A4110)),INDEX(Settings!$B$29:$B$40,MONTH(A4110)))))</f>
        <v/>
      </c>
    </row>
    <row r="4111" customFormat="false" ht="15" hidden="false" customHeight="false" outlineLevel="0" collapsed="false">
      <c r="H4111" s="0" t="str">
        <f aca="false">IF(B4111="","",IF(COUNTIF(Campaigns!$A$7:$A$300,B4111)&gt;0,"✓","⚠ add to Campaigns tab"))</f>
        <v/>
      </c>
      <c r="I4111" s="84" t="str">
        <f aca="false">IF(C4111="","",C4111*IF(Settings!$B$22=Settings!$C$6,1,IF(Settings!$B$22="USD",1/INDEX(Settings!$B$29:$B$40,MONTH(A4111)),INDEX(Settings!$B$29:$B$40,MONTH(A4111)))))</f>
        <v/>
      </c>
    </row>
    <row r="4112" customFormat="false" ht="15" hidden="false" customHeight="false" outlineLevel="0" collapsed="false">
      <c r="H4112" s="0" t="str">
        <f aca="false">IF(B4112="","",IF(COUNTIF(Campaigns!$A$7:$A$300,B4112)&gt;0,"✓","⚠ add to Campaigns tab"))</f>
        <v/>
      </c>
      <c r="I4112" s="84" t="str">
        <f aca="false">IF(C4112="","",C4112*IF(Settings!$B$22=Settings!$C$6,1,IF(Settings!$B$22="USD",1/INDEX(Settings!$B$29:$B$40,MONTH(A4112)),INDEX(Settings!$B$29:$B$40,MONTH(A4112)))))</f>
        <v/>
      </c>
    </row>
    <row r="4113" customFormat="false" ht="15" hidden="false" customHeight="false" outlineLevel="0" collapsed="false">
      <c r="H4113" s="0" t="str">
        <f aca="false">IF(B4113="","",IF(COUNTIF(Campaigns!$A$7:$A$300,B4113)&gt;0,"✓","⚠ add to Campaigns tab"))</f>
        <v/>
      </c>
      <c r="I4113" s="84" t="str">
        <f aca="false">IF(C4113="","",C4113*IF(Settings!$B$22=Settings!$C$6,1,IF(Settings!$B$22="USD",1/INDEX(Settings!$B$29:$B$40,MONTH(A4113)),INDEX(Settings!$B$29:$B$40,MONTH(A4113)))))</f>
        <v/>
      </c>
    </row>
    <row r="4114" customFormat="false" ht="15" hidden="false" customHeight="false" outlineLevel="0" collapsed="false">
      <c r="H4114" s="0" t="str">
        <f aca="false">IF(B4114="","",IF(COUNTIF(Campaigns!$A$7:$A$300,B4114)&gt;0,"✓","⚠ add to Campaigns tab"))</f>
        <v/>
      </c>
      <c r="I4114" s="84" t="str">
        <f aca="false">IF(C4114="","",C4114*IF(Settings!$B$22=Settings!$C$6,1,IF(Settings!$B$22="USD",1/INDEX(Settings!$B$29:$B$40,MONTH(A4114)),INDEX(Settings!$B$29:$B$40,MONTH(A4114)))))</f>
        <v/>
      </c>
    </row>
    <row r="4115" customFormat="false" ht="15" hidden="false" customHeight="false" outlineLevel="0" collapsed="false">
      <c r="H4115" s="0" t="str">
        <f aca="false">IF(B4115="","",IF(COUNTIF(Campaigns!$A$7:$A$300,B4115)&gt;0,"✓","⚠ add to Campaigns tab"))</f>
        <v/>
      </c>
      <c r="I4115" s="84" t="str">
        <f aca="false">IF(C4115="","",C4115*IF(Settings!$B$22=Settings!$C$6,1,IF(Settings!$B$22="USD",1/INDEX(Settings!$B$29:$B$40,MONTH(A4115)),INDEX(Settings!$B$29:$B$40,MONTH(A4115)))))</f>
        <v/>
      </c>
    </row>
    <row r="4116" customFormat="false" ht="15" hidden="false" customHeight="false" outlineLevel="0" collapsed="false">
      <c r="H4116" s="0" t="str">
        <f aca="false">IF(B4116="","",IF(COUNTIF(Campaigns!$A$7:$A$300,B4116)&gt;0,"✓","⚠ add to Campaigns tab"))</f>
        <v/>
      </c>
      <c r="I4116" s="84" t="str">
        <f aca="false">IF(C4116="","",C4116*IF(Settings!$B$22=Settings!$C$6,1,IF(Settings!$B$22="USD",1/INDEX(Settings!$B$29:$B$40,MONTH(A4116)),INDEX(Settings!$B$29:$B$40,MONTH(A4116)))))</f>
        <v/>
      </c>
    </row>
    <row r="4117" customFormat="false" ht="15" hidden="false" customHeight="false" outlineLevel="0" collapsed="false">
      <c r="H4117" s="0" t="str">
        <f aca="false">IF(B4117="","",IF(COUNTIF(Campaigns!$A$7:$A$300,B4117)&gt;0,"✓","⚠ add to Campaigns tab"))</f>
        <v/>
      </c>
      <c r="I4117" s="84" t="str">
        <f aca="false">IF(C4117="","",C4117*IF(Settings!$B$22=Settings!$C$6,1,IF(Settings!$B$22="USD",1/INDEX(Settings!$B$29:$B$40,MONTH(A4117)),INDEX(Settings!$B$29:$B$40,MONTH(A4117)))))</f>
        <v/>
      </c>
    </row>
    <row r="4118" customFormat="false" ht="15" hidden="false" customHeight="false" outlineLevel="0" collapsed="false">
      <c r="H4118" s="0" t="str">
        <f aca="false">IF(B4118="","",IF(COUNTIF(Campaigns!$A$7:$A$300,B4118)&gt;0,"✓","⚠ add to Campaigns tab"))</f>
        <v/>
      </c>
      <c r="I4118" s="84" t="str">
        <f aca="false">IF(C4118="","",C4118*IF(Settings!$B$22=Settings!$C$6,1,IF(Settings!$B$22="USD",1/INDEX(Settings!$B$29:$B$40,MONTH(A4118)),INDEX(Settings!$B$29:$B$40,MONTH(A4118)))))</f>
        <v/>
      </c>
    </row>
    <row r="4119" customFormat="false" ht="15" hidden="false" customHeight="false" outlineLevel="0" collapsed="false">
      <c r="H4119" s="0" t="str">
        <f aca="false">IF(B4119="","",IF(COUNTIF(Campaigns!$A$7:$A$300,B4119)&gt;0,"✓","⚠ add to Campaigns tab"))</f>
        <v/>
      </c>
      <c r="I4119" s="84" t="str">
        <f aca="false">IF(C4119="","",C4119*IF(Settings!$B$22=Settings!$C$6,1,IF(Settings!$B$22="USD",1/INDEX(Settings!$B$29:$B$40,MONTH(A4119)),INDEX(Settings!$B$29:$B$40,MONTH(A4119)))))</f>
        <v/>
      </c>
    </row>
    <row r="4120" customFormat="false" ht="15" hidden="false" customHeight="false" outlineLevel="0" collapsed="false">
      <c r="H4120" s="0" t="str">
        <f aca="false">IF(B4120="","",IF(COUNTIF(Campaigns!$A$7:$A$300,B4120)&gt;0,"✓","⚠ add to Campaigns tab"))</f>
        <v/>
      </c>
      <c r="I4120" s="84" t="str">
        <f aca="false">IF(C4120="","",C4120*IF(Settings!$B$22=Settings!$C$6,1,IF(Settings!$B$22="USD",1/INDEX(Settings!$B$29:$B$40,MONTH(A4120)),INDEX(Settings!$B$29:$B$40,MONTH(A4120)))))</f>
        <v/>
      </c>
    </row>
    <row r="4121" customFormat="false" ht="15" hidden="false" customHeight="false" outlineLevel="0" collapsed="false">
      <c r="H4121" s="0" t="str">
        <f aca="false">IF(B4121="","",IF(COUNTIF(Campaigns!$A$7:$A$300,B4121)&gt;0,"✓","⚠ add to Campaigns tab"))</f>
        <v/>
      </c>
      <c r="I4121" s="84" t="str">
        <f aca="false">IF(C4121="","",C4121*IF(Settings!$B$22=Settings!$C$6,1,IF(Settings!$B$22="USD",1/INDEX(Settings!$B$29:$B$40,MONTH(A4121)),INDEX(Settings!$B$29:$B$40,MONTH(A4121)))))</f>
        <v/>
      </c>
    </row>
    <row r="4122" customFormat="false" ht="15" hidden="false" customHeight="false" outlineLevel="0" collapsed="false">
      <c r="H4122" s="0" t="str">
        <f aca="false">IF(B4122="","",IF(COUNTIF(Campaigns!$A$7:$A$300,B4122)&gt;0,"✓","⚠ add to Campaigns tab"))</f>
        <v/>
      </c>
      <c r="I4122" s="84" t="str">
        <f aca="false">IF(C4122="","",C4122*IF(Settings!$B$22=Settings!$C$6,1,IF(Settings!$B$22="USD",1/INDEX(Settings!$B$29:$B$40,MONTH(A4122)),INDEX(Settings!$B$29:$B$40,MONTH(A4122)))))</f>
        <v/>
      </c>
    </row>
    <row r="4123" customFormat="false" ht="15" hidden="false" customHeight="false" outlineLevel="0" collapsed="false">
      <c r="H4123" s="0" t="str">
        <f aca="false">IF(B4123="","",IF(COUNTIF(Campaigns!$A$7:$A$300,B4123)&gt;0,"✓","⚠ add to Campaigns tab"))</f>
        <v/>
      </c>
      <c r="I4123" s="84" t="str">
        <f aca="false">IF(C4123="","",C4123*IF(Settings!$B$22=Settings!$C$6,1,IF(Settings!$B$22="USD",1/INDEX(Settings!$B$29:$B$40,MONTH(A4123)),INDEX(Settings!$B$29:$B$40,MONTH(A4123)))))</f>
        <v/>
      </c>
    </row>
    <row r="4124" customFormat="false" ht="15" hidden="false" customHeight="false" outlineLevel="0" collapsed="false">
      <c r="H4124" s="0" t="str">
        <f aca="false">IF(B4124="","",IF(COUNTIF(Campaigns!$A$7:$A$300,B4124)&gt;0,"✓","⚠ add to Campaigns tab"))</f>
        <v/>
      </c>
      <c r="I4124" s="84" t="str">
        <f aca="false">IF(C4124="","",C4124*IF(Settings!$B$22=Settings!$C$6,1,IF(Settings!$B$22="USD",1/INDEX(Settings!$B$29:$B$40,MONTH(A4124)),INDEX(Settings!$B$29:$B$40,MONTH(A4124)))))</f>
        <v/>
      </c>
    </row>
    <row r="4125" customFormat="false" ht="15" hidden="false" customHeight="false" outlineLevel="0" collapsed="false">
      <c r="H4125" s="0" t="str">
        <f aca="false">IF(B4125="","",IF(COUNTIF(Campaigns!$A$7:$A$300,B4125)&gt;0,"✓","⚠ add to Campaigns tab"))</f>
        <v/>
      </c>
      <c r="I4125" s="84" t="str">
        <f aca="false">IF(C4125="","",C4125*IF(Settings!$B$22=Settings!$C$6,1,IF(Settings!$B$22="USD",1/INDEX(Settings!$B$29:$B$40,MONTH(A4125)),INDEX(Settings!$B$29:$B$40,MONTH(A4125)))))</f>
        <v/>
      </c>
    </row>
    <row r="4126" customFormat="false" ht="15" hidden="false" customHeight="false" outlineLevel="0" collapsed="false">
      <c r="H4126" s="0" t="str">
        <f aca="false">IF(B4126="","",IF(COUNTIF(Campaigns!$A$7:$A$300,B4126)&gt;0,"✓","⚠ add to Campaigns tab"))</f>
        <v/>
      </c>
      <c r="I4126" s="84" t="str">
        <f aca="false">IF(C4126="","",C4126*IF(Settings!$B$22=Settings!$C$6,1,IF(Settings!$B$22="USD",1/INDEX(Settings!$B$29:$B$40,MONTH(A4126)),INDEX(Settings!$B$29:$B$40,MONTH(A4126)))))</f>
        <v/>
      </c>
    </row>
    <row r="4127" customFormat="false" ht="15" hidden="false" customHeight="false" outlineLevel="0" collapsed="false">
      <c r="H4127" s="0" t="str">
        <f aca="false">IF(B4127="","",IF(COUNTIF(Campaigns!$A$7:$A$300,B4127)&gt;0,"✓","⚠ add to Campaigns tab"))</f>
        <v/>
      </c>
      <c r="I4127" s="84" t="str">
        <f aca="false">IF(C4127="","",C4127*IF(Settings!$B$22=Settings!$C$6,1,IF(Settings!$B$22="USD",1/INDEX(Settings!$B$29:$B$40,MONTH(A4127)),INDEX(Settings!$B$29:$B$40,MONTH(A4127)))))</f>
        <v/>
      </c>
    </row>
    <row r="4128" customFormat="false" ht="15" hidden="false" customHeight="false" outlineLevel="0" collapsed="false">
      <c r="H4128" s="0" t="str">
        <f aca="false">IF(B4128="","",IF(COUNTIF(Campaigns!$A$7:$A$300,B4128)&gt;0,"✓","⚠ add to Campaigns tab"))</f>
        <v/>
      </c>
      <c r="I4128" s="84" t="str">
        <f aca="false">IF(C4128="","",C4128*IF(Settings!$B$22=Settings!$C$6,1,IF(Settings!$B$22="USD",1/INDEX(Settings!$B$29:$B$40,MONTH(A4128)),INDEX(Settings!$B$29:$B$40,MONTH(A4128)))))</f>
        <v/>
      </c>
    </row>
    <row r="4129" customFormat="false" ht="15" hidden="false" customHeight="false" outlineLevel="0" collapsed="false">
      <c r="H4129" s="0" t="str">
        <f aca="false">IF(B4129="","",IF(COUNTIF(Campaigns!$A$7:$A$300,B4129)&gt;0,"✓","⚠ add to Campaigns tab"))</f>
        <v/>
      </c>
      <c r="I4129" s="84" t="str">
        <f aca="false">IF(C4129="","",C4129*IF(Settings!$B$22=Settings!$C$6,1,IF(Settings!$B$22="USD",1/INDEX(Settings!$B$29:$B$40,MONTH(A4129)),INDEX(Settings!$B$29:$B$40,MONTH(A4129)))))</f>
        <v/>
      </c>
    </row>
    <row r="4130" customFormat="false" ht="15" hidden="false" customHeight="false" outlineLevel="0" collapsed="false">
      <c r="H4130" s="0" t="str">
        <f aca="false">IF(B4130="","",IF(COUNTIF(Campaigns!$A$7:$A$300,B4130)&gt;0,"✓","⚠ add to Campaigns tab"))</f>
        <v/>
      </c>
      <c r="I4130" s="84" t="str">
        <f aca="false">IF(C4130="","",C4130*IF(Settings!$B$22=Settings!$C$6,1,IF(Settings!$B$22="USD",1/INDEX(Settings!$B$29:$B$40,MONTH(A4130)),INDEX(Settings!$B$29:$B$40,MONTH(A4130)))))</f>
        <v/>
      </c>
    </row>
    <row r="4131" customFormat="false" ht="15" hidden="false" customHeight="false" outlineLevel="0" collapsed="false">
      <c r="H4131" s="0" t="str">
        <f aca="false">IF(B4131="","",IF(COUNTIF(Campaigns!$A$7:$A$300,B4131)&gt;0,"✓","⚠ add to Campaigns tab"))</f>
        <v/>
      </c>
      <c r="I4131" s="84" t="str">
        <f aca="false">IF(C4131="","",C4131*IF(Settings!$B$22=Settings!$C$6,1,IF(Settings!$B$22="USD",1/INDEX(Settings!$B$29:$B$40,MONTH(A4131)),INDEX(Settings!$B$29:$B$40,MONTH(A4131)))))</f>
        <v/>
      </c>
    </row>
    <row r="4132" customFormat="false" ht="15" hidden="false" customHeight="false" outlineLevel="0" collapsed="false">
      <c r="H4132" s="0" t="str">
        <f aca="false">IF(B4132="","",IF(COUNTIF(Campaigns!$A$7:$A$300,B4132)&gt;0,"✓","⚠ add to Campaigns tab"))</f>
        <v/>
      </c>
      <c r="I4132" s="84" t="str">
        <f aca="false">IF(C4132="","",C4132*IF(Settings!$B$22=Settings!$C$6,1,IF(Settings!$B$22="USD",1/INDEX(Settings!$B$29:$B$40,MONTH(A4132)),INDEX(Settings!$B$29:$B$40,MONTH(A4132)))))</f>
        <v/>
      </c>
    </row>
    <row r="4133" customFormat="false" ht="15" hidden="false" customHeight="false" outlineLevel="0" collapsed="false">
      <c r="H4133" s="0" t="str">
        <f aca="false">IF(B4133="","",IF(COUNTIF(Campaigns!$A$7:$A$300,B4133)&gt;0,"✓","⚠ add to Campaigns tab"))</f>
        <v/>
      </c>
      <c r="I4133" s="84" t="str">
        <f aca="false">IF(C4133="","",C4133*IF(Settings!$B$22=Settings!$C$6,1,IF(Settings!$B$22="USD",1/INDEX(Settings!$B$29:$B$40,MONTH(A4133)),INDEX(Settings!$B$29:$B$40,MONTH(A4133)))))</f>
        <v/>
      </c>
    </row>
    <row r="4134" customFormat="false" ht="15" hidden="false" customHeight="false" outlineLevel="0" collapsed="false">
      <c r="H4134" s="0" t="str">
        <f aca="false">IF(B4134="","",IF(COUNTIF(Campaigns!$A$7:$A$300,B4134)&gt;0,"✓","⚠ add to Campaigns tab"))</f>
        <v/>
      </c>
      <c r="I4134" s="84" t="str">
        <f aca="false">IF(C4134="","",C4134*IF(Settings!$B$22=Settings!$C$6,1,IF(Settings!$B$22="USD",1/INDEX(Settings!$B$29:$B$40,MONTH(A4134)),INDEX(Settings!$B$29:$B$40,MONTH(A4134)))))</f>
        <v/>
      </c>
    </row>
    <row r="4135" customFormat="false" ht="15" hidden="false" customHeight="false" outlineLevel="0" collapsed="false">
      <c r="H4135" s="0" t="str">
        <f aca="false">IF(B4135="","",IF(COUNTIF(Campaigns!$A$7:$A$300,B4135)&gt;0,"✓","⚠ add to Campaigns tab"))</f>
        <v/>
      </c>
      <c r="I4135" s="84" t="str">
        <f aca="false">IF(C4135="","",C4135*IF(Settings!$B$22=Settings!$C$6,1,IF(Settings!$B$22="USD",1/INDEX(Settings!$B$29:$B$40,MONTH(A4135)),INDEX(Settings!$B$29:$B$40,MONTH(A4135)))))</f>
        <v/>
      </c>
    </row>
    <row r="4136" customFormat="false" ht="15" hidden="false" customHeight="false" outlineLevel="0" collapsed="false">
      <c r="H4136" s="0" t="str">
        <f aca="false">IF(B4136="","",IF(COUNTIF(Campaigns!$A$7:$A$300,B4136)&gt;0,"✓","⚠ add to Campaigns tab"))</f>
        <v/>
      </c>
      <c r="I4136" s="84" t="str">
        <f aca="false">IF(C4136="","",C4136*IF(Settings!$B$22=Settings!$C$6,1,IF(Settings!$B$22="USD",1/INDEX(Settings!$B$29:$B$40,MONTH(A4136)),INDEX(Settings!$B$29:$B$40,MONTH(A4136)))))</f>
        <v/>
      </c>
    </row>
    <row r="4137" customFormat="false" ht="15" hidden="false" customHeight="false" outlineLevel="0" collapsed="false">
      <c r="H4137" s="0" t="str">
        <f aca="false">IF(B4137="","",IF(COUNTIF(Campaigns!$A$7:$A$300,B4137)&gt;0,"✓","⚠ add to Campaigns tab"))</f>
        <v/>
      </c>
      <c r="I4137" s="84" t="str">
        <f aca="false">IF(C4137="","",C4137*IF(Settings!$B$22=Settings!$C$6,1,IF(Settings!$B$22="USD",1/INDEX(Settings!$B$29:$B$40,MONTH(A4137)),INDEX(Settings!$B$29:$B$40,MONTH(A4137)))))</f>
        <v/>
      </c>
    </row>
    <row r="4138" customFormat="false" ht="15" hidden="false" customHeight="false" outlineLevel="0" collapsed="false">
      <c r="H4138" s="0" t="str">
        <f aca="false">IF(B4138="","",IF(COUNTIF(Campaigns!$A$7:$A$300,B4138)&gt;0,"✓","⚠ add to Campaigns tab"))</f>
        <v/>
      </c>
      <c r="I4138" s="84" t="str">
        <f aca="false">IF(C4138="","",C4138*IF(Settings!$B$22=Settings!$C$6,1,IF(Settings!$B$22="USD",1/INDEX(Settings!$B$29:$B$40,MONTH(A4138)),INDEX(Settings!$B$29:$B$40,MONTH(A4138)))))</f>
        <v/>
      </c>
    </row>
    <row r="4139" customFormat="false" ht="15" hidden="false" customHeight="false" outlineLevel="0" collapsed="false">
      <c r="H4139" s="0" t="str">
        <f aca="false">IF(B4139="","",IF(COUNTIF(Campaigns!$A$7:$A$300,B4139)&gt;0,"✓","⚠ add to Campaigns tab"))</f>
        <v/>
      </c>
      <c r="I4139" s="84" t="str">
        <f aca="false">IF(C4139="","",C4139*IF(Settings!$B$22=Settings!$C$6,1,IF(Settings!$B$22="USD",1/INDEX(Settings!$B$29:$B$40,MONTH(A4139)),INDEX(Settings!$B$29:$B$40,MONTH(A4139)))))</f>
        <v/>
      </c>
    </row>
    <row r="4140" customFormat="false" ht="15" hidden="false" customHeight="false" outlineLevel="0" collapsed="false">
      <c r="H4140" s="0" t="str">
        <f aca="false">IF(B4140="","",IF(COUNTIF(Campaigns!$A$7:$A$300,B4140)&gt;0,"✓","⚠ add to Campaigns tab"))</f>
        <v/>
      </c>
      <c r="I4140" s="84" t="str">
        <f aca="false">IF(C4140="","",C4140*IF(Settings!$B$22=Settings!$C$6,1,IF(Settings!$B$22="USD",1/INDEX(Settings!$B$29:$B$40,MONTH(A4140)),INDEX(Settings!$B$29:$B$40,MONTH(A4140)))))</f>
        <v/>
      </c>
    </row>
    <row r="4141" customFormat="false" ht="15" hidden="false" customHeight="false" outlineLevel="0" collapsed="false">
      <c r="H4141" s="0" t="str">
        <f aca="false">IF(B4141="","",IF(COUNTIF(Campaigns!$A$7:$A$300,B4141)&gt;0,"✓","⚠ add to Campaigns tab"))</f>
        <v/>
      </c>
      <c r="I4141" s="84" t="str">
        <f aca="false">IF(C4141="","",C4141*IF(Settings!$B$22=Settings!$C$6,1,IF(Settings!$B$22="USD",1/INDEX(Settings!$B$29:$B$40,MONTH(A4141)),INDEX(Settings!$B$29:$B$40,MONTH(A4141)))))</f>
        <v/>
      </c>
    </row>
    <row r="4142" customFormat="false" ht="15" hidden="false" customHeight="false" outlineLevel="0" collapsed="false">
      <c r="H4142" s="0" t="str">
        <f aca="false">IF(B4142="","",IF(COUNTIF(Campaigns!$A$7:$A$300,B4142)&gt;0,"✓","⚠ add to Campaigns tab"))</f>
        <v/>
      </c>
      <c r="I4142" s="84" t="str">
        <f aca="false">IF(C4142="","",C4142*IF(Settings!$B$22=Settings!$C$6,1,IF(Settings!$B$22="USD",1/INDEX(Settings!$B$29:$B$40,MONTH(A4142)),INDEX(Settings!$B$29:$B$40,MONTH(A4142)))))</f>
        <v/>
      </c>
    </row>
    <row r="4143" customFormat="false" ht="15" hidden="false" customHeight="false" outlineLevel="0" collapsed="false">
      <c r="H4143" s="0" t="str">
        <f aca="false">IF(B4143="","",IF(COUNTIF(Campaigns!$A$7:$A$300,B4143)&gt;0,"✓","⚠ add to Campaigns tab"))</f>
        <v/>
      </c>
      <c r="I4143" s="84" t="str">
        <f aca="false">IF(C4143="","",C4143*IF(Settings!$B$22=Settings!$C$6,1,IF(Settings!$B$22="USD",1/INDEX(Settings!$B$29:$B$40,MONTH(A4143)),INDEX(Settings!$B$29:$B$40,MONTH(A4143)))))</f>
        <v/>
      </c>
    </row>
    <row r="4144" customFormat="false" ht="15" hidden="false" customHeight="false" outlineLevel="0" collapsed="false">
      <c r="H4144" s="0" t="str">
        <f aca="false">IF(B4144="","",IF(COUNTIF(Campaigns!$A$7:$A$300,B4144)&gt;0,"✓","⚠ add to Campaigns tab"))</f>
        <v/>
      </c>
      <c r="I4144" s="84" t="str">
        <f aca="false">IF(C4144="","",C4144*IF(Settings!$B$22=Settings!$C$6,1,IF(Settings!$B$22="USD",1/INDEX(Settings!$B$29:$B$40,MONTH(A4144)),INDEX(Settings!$B$29:$B$40,MONTH(A4144)))))</f>
        <v/>
      </c>
    </row>
    <row r="4145" customFormat="false" ht="15" hidden="false" customHeight="false" outlineLevel="0" collapsed="false">
      <c r="H4145" s="0" t="str">
        <f aca="false">IF(B4145="","",IF(COUNTIF(Campaigns!$A$7:$A$300,B4145)&gt;0,"✓","⚠ add to Campaigns tab"))</f>
        <v/>
      </c>
      <c r="I4145" s="84" t="str">
        <f aca="false">IF(C4145="","",C4145*IF(Settings!$B$22=Settings!$C$6,1,IF(Settings!$B$22="USD",1/INDEX(Settings!$B$29:$B$40,MONTH(A4145)),INDEX(Settings!$B$29:$B$40,MONTH(A4145)))))</f>
        <v/>
      </c>
    </row>
    <row r="4146" customFormat="false" ht="15" hidden="false" customHeight="false" outlineLevel="0" collapsed="false">
      <c r="H4146" s="0" t="str">
        <f aca="false">IF(B4146="","",IF(COUNTIF(Campaigns!$A$7:$A$300,B4146)&gt;0,"✓","⚠ add to Campaigns tab"))</f>
        <v/>
      </c>
      <c r="I4146" s="84" t="str">
        <f aca="false">IF(C4146="","",C4146*IF(Settings!$B$22=Settings!$C$6,1,IF(Settings!$B$22="USD",1/INDEX(Settings!$B$29:$B$40,MONTH(A4146)),INDEX(Settings!$B$29:$B$40,MONTH(A4146)))))</f>
        <v/>
      </c>
    </row>
    <row r="4147" customFormat="false" ht="15" hidden="false" customHeight="false" outlineLevel="0" collapsed="false">
      <c r="H4147" s="0" t="str">
        <f aca="false">IF(B4147="","",IF(COUNTIF(Campaigns!$A$7:$A$300,B4147)&gt;0,"✓","⚠ add to Campaigns tab"))</f>
        <v/>
      </c>
      <c r="I4147" s="84" t="str">
        <f aca="false">IF(C4147="","",C4147*IF(Settings!$B$22=Settings!$C$6,1,IF(Settings!$B$22="USD",1/INDEX(Settings!$B$29:$B$40,MONTH(A4147)),INDEX(Settings!$B$29:$B$40,MONTH(A4147)))))</f>
        <v/>
      </c>
    </row>
    <row r="4148" customFormat="false" ht="15" hidden="false" customHeight="false" outlineLevel="0" collapsed="false">
      <c r="H4148" s="0" t="str">
        <f aca="false">IF(B4148="","",IF(COUNTIF(Campaigns!$A$7:$A$300,B4148)&gt;0,"✓","⚠ add to Campaigns tab"))</f>
        <v/>
      </c>
      <c r="I4148" s="84" t="str">
        <f aca="false">IF(C4148="","",C4148*IF(Settings!$B$22=Settings!$C$6,1,IF(Settings!$B$22="USD",1/INDEX(Settings!$B$29:$B$40,MONTH(A4148)),INDEX(Settings!$B$29:$B$40,MONTH(A4148)))))</f>
        <v/>
      </c>
    </row>
    <row r="4149" customFormat="false" ht="15" hidden="false" customHeight="false" outlineLevel="0" collapsed="false">
      <c r="H4149" s="0" t="str">
        <f aca="false">IF(B4149="","",IF(COUNTIF(Campaigns!$A$7:$A$300,B4149)&gt;0,"✓","⚠ add to Campaigns tab"))</f>
        <v/>
      </c>
      <c r="I4149" s="84" t="str">
        <f aca="false">IF(C4149="","",C4149*IF(Settings!$B$22=Settings!$C$6,1,IF(Settings!$B$22="USD",1/INDEX(Settings!$B$29:$B$40,MONTH(A4149)),INDEX(Settings!$B$29:$B$40,MONTH(A4149)))))</f>
        <v/>
      </c>
    </row>
    <row r="4150" customFormat="false" ht="15" hidden="false" customHeight="false" outlineLevel="0" collapsed="false">
      <c r="H4150" s="0" t="str">
        <f aca="false">IF(B4150="","",IF(COUNTIF(Campaigns!$A$7:$A$300,B4150)&gt;0,"✓","⚠ add to Campaigns tab"))</f>
        <v/>
      </c>
      <c r="I4150" s="84" t="str">
        <f aca="false">IF(C4150="","",C4150*IF(Settings!$B$22=Settings!$C$6,1,IF(Settings!$B$22="USD",1/INDEX(Settings!$B$29:$B$40,MONTH(A4150)),INDEX(Settings!$B$29:$B$40,MONTH(A4150)))))</f>
        <v/>
      </c>
    </row>
    <row r="4151" customFormat="false" ht="15" hidden="false" customHeight="false" outlineLevel="0" collapsed="false">
      <c r="H4151" s="0" t="str">
        <f aca="false">IF(B4151="","",IF(COUNTIF(Campaigns!$A$7:$A$300,B4151)&gt;0,"✓","⚠ add to Campaigns tab"))</f>
        <v/>
      </c>
      <c r="I4151" s="84" t="str">
        <f aca="false">IF(C4151="","",C4151*IF(Settings!$B$22=Settings!$C$6,1,IF(Settings!$B$22="USD",1/INDEX(Settings!$B$29:$B$40,MONTH(A4151)),INDEX(Settings!$B$29:$B$40,MONTH(A4151)))))</f>
        <v/>
      </c>
    </row>
    <row r="4152" customFormat="false" ht="15" hidden="false" customHeight="false" outlineLevel="0" collapsed="false">
      <c r="H4152" s="0" t="str">
        <f aca="false">IF(B4152="","",IF(COUNTIF(Campaigns!$A$7:$A$300,B4152)&gt;0,"✓","⚠ add to Campaigns tab"))</f>
        <v/>
      </c>
      <c r="I4152" s="84" t="str">
        <f aca="false">IF(C4152="","",C4152*IF(Settings!$B$22=Settings!$C$6,1,IF(Settings!$B$22="USD",1/INDEX(Settings!$B$29:$B$40,MONTH(A4152)),INDEX(Settings!$B$29:$B$40,MONTH(A4152)))))</f>
        <v/>
      </c>
    </row>
    <row r="4153" customFormat="false" ht="15" hidden="false" customHeight="false" outlineLevel="0" collapsed="false">
      <c r="H4153" s="0" t="str">
        <f aca="false">IF(B4153="","",IF(COUNTIF(Campaigns!$A$7:$A$300,B4153)&gt;0,"✓","⚠ add to Campaigns tab"))</f>
        <v/>
      </c>
      <c r="I4153" s="84" t="str">
        <f aca="false">IF(C4153="","",C4153*IF(Settings!$B$22=Settings!$C$6,1,IF(Settings!$B$22="USD",1/INDEX(Settings!$B$29:$B$40,MONTH(A4153)),INDEX(Settings!$B$29:$B$40,MONTH(A4153)))))</f>
        <v/>
      </c>
    </row>
    <row r="4154" customFormat="false" ht="15" hidden="false" customHeight="false" outlineLevel="0" collapsed="false">
      <c r="H4154" s="0" t="str">
        <f aca="false">IF(B4154="","",IF(COUNTIF(Campaigns!$A$7:$A$300,B4154)&gt;0,"✓","⚠ add to Campaigns tab"))</f>
        <v/>
      </c>
      <c r="I4154" s="84" t="str">
        <f aca="false">IF(C4154="","",C4154*IF(Settings!$B$22=Settings!$C$6,1,IF(Settings!$B$22="USD",1/INDEX(Settings!$B$29:$B$40,MONTH(A4154)),INDEX(Settings!$B$29:$B$40,MONTH(A4154)))))</f>
        <v/>
      </c>
    </row>
    <row r="4155" customFormat="false" ht="15" hidden="false" customHeight="false" outlineLevel="0" collapsed="false">
      <c r="H4155" s="0" t="str">
        <f aca="false">IF(B4155="","",IF(COUNTIF(Campaigns!$A$7:$A$300,B4155)&gt;0,"✓","⚠ add to Campaigns tab"))</f>
        <v/>
      </c>
      <c r="I4155" s="84" t="str">
        <f aca="false">IF(C4155="","",C4155*IF(Settings!$B$22=Settings!$C$6,1,IF(Settings!$B$22="USD",1/INDEX(Settings!$B$29:$B$40,MONTH(A4155)),INDEX(Settings!$B$29:$B$40,MONTH(A4155)))))</f>
        <v/>
      </c>
    </row>
    <row r="4156" customFormat="false" ht="15" hidden="false" customHeight="false" outlineLevel="0" collapsed="false">
      <c r="H4156" s="0" t="str">
        <f aca="false">IF(B4156="","",IF(COUNTIF(Campaigns!$A$7:$A$300,B4156)&gt;0,"✓","⚠ add to Campaigns tab"))</f>
        <v/>
      </c>
      <c r="I4156" s="84" t="str">
        <f aca="false">IF(C4156="","",C4156*IF(Settings!$B$22=Settings!$C$6,1,IF(Settings!$B$22="USD",1/INDEX(Settings!$B$29:$B$40,MONTH(A4156)),INDEX(Settings!$B$29:$B$40,MONTH(A4156)))))</f>
        <v/>
      </c>
    </row>
    <row r="4157" customFormat="false" ht="15" hidden="false" customHeight="false" outlineLevel="0" collapsed="false">
      <c r="H4157" s="0" t="str">
        <f aca="false">IF(B4157="","",IF(COUNTIF(Campaigns!$A$7:$A$300,B4157)&gt;0,"✓","⚠ add to Campaigns tab"))</f>
        <v/>
      </c>
      <c r="I4157" s="84" t="str">
        <f aca="false">IF(C4157="","",C4157*IF(Settings!$B$22=Settings!$C$6,1,IF(Settings!$B$22="USD",1/INDEX(Settings!$B$29:$B$40,MONTH(A4157)),INDEX(Settings!$B$29:$B$40,MONTH(A4157)))))</f>
        <v/>
      </c>
    </row>
    <row r="4158" customFormat="false" ht="15" hidden="false" customHeight="false" outlineLevel="0" collapsed="false">
      <c r="H4158" s="0" t="str">
        <f aca="false">IF(B4158="","",IF(COUNTIF(Campaigns!$A$7:$A$300,B4158)&gt;0,"✓","⚠ add to Campaigns tab"))</f>
        <v/>
      </c>
      <c r="I4158" s="84" t="str">
        <f aca="false">IF(C4158="","",C4158*IF(Settings!$B$22=Settings!$C$6,1,IF(Settings!$B$22="USD",1/INDEX(Settings!$B$29:$B$40,MONTH(A4158)),INDEX(Settings!$B$29:$B$40,MONTH(A4158)))))</f>
        <v/>
      </c>
    </row>
    <row r="4159" customFormat="false" ht="15" hidden="false" customHeight="false" outlineLevel="0" collapsed="false">
      <c r="H4159" s="0" t="str">
        <f aca="false">IF(B4159="","",IF(COUNTIF(Campaigns!$A$7:$A$300,B4159)&gt;0,"✓","⚠ add to Campaigns tab"))</f>
        <v/>
      </c>
      <c r="I4159" s="84" t="str">
        <f aca="false">IF(C4159="","",C4159*IF(Settings!$B$22=Settings!$C$6,1,IF(Settings!$B$22="USD",1/INDEX(Settings!$B$29:$B$40,MONTH(A4159)),INDEX(Settings!$B$29:$B$40,MONTH(A4159)))))</f>
        <v/>
      </c>
    </row>
    <row r="4160" customFormat="false" ht="15" hidden="false" customHeight="false" outlineLevel="0" collapsed="false">
      <c r="H4160" s="0" t="str">
        <f aca="false">IF(B4160="","",IF(COUNTIF(Campaigns!$A$7:$A$300,B4160)&gt;0,"✓","⚠ add to Campaigns tab"))</f>
        <v/>
      </c>
      <c r="I4160" s="84" t="str">
        <f aca="false">IF(C4160="","",C4160*IF(Settings!$B$22=Settings!$C$6,1,IF(Settings!$B$22="USD",1/INDEX(Settings!$B$29:$B$40,MONTH(A4160)),INDEX(Settings!$B$29:$B$40,MONTH(A4160)))))</f>
        <v/>
      </c>
    </row>
    <row r="4161" customFormat="false" ht="15" hidden="false" customHeight="false" outlineLevel="0" collapsed="false">
      <c r="H4161" s="0" t="str">
        <f aca="false">IF(B4161="","",IF(COUNTIF(Campaigns!$A$7:$A$300,B4161)&gt;0,"✓","⚠ add to Campaigns tab"))</f>
        <v/>
      </c>
      <c r="I4161" s="84" t="str">
        <f aca="false">IF(C4161="","",C4161*IF(Settings!$B$22=Settings!$C$6,1,IF(Settings!$B$22="USD",1/INDEX(Settings!$B$29:$B$40,MONTH(A4161)),INDEX(Settings!$B$29:$B$40,MONTH(A4161)))))</f>
        <v/>
      </c>
    </row>
    <row r="4162" customFormat="false" ht="15" hidden="false" customHeight="false" outlineLevel="0" collapsed="false">
      <c r="H4162" s="0" t="str">
        <f aca="false">IF(B4162="","",IF(COUNTIF(Campaigns!$A$7:$A$300,B4162)&gt;0,"✓","⚠ add to Campaigns tab"))</f>
        <v/>
      </c>
      <c r="I4162" s="84" t="str">
        <f aca="false">IF(C4162="","",C4162*IF(Settings!$B$22=Settings!$C$6,1,IF(Settings!$B$22="USD",1/INDEX(Settings!$B$29:$B$40,MONTH(A4162)),INDEX(Settings!$B$29:$B$40,MONTH(A4162)))))</f>
        <v/>
      </c>
    </row>
    <row r="4163" customFormat="false" ht="15" hidden="false" customHeight="false" outlineLevel="0" collapsed="false">
      <c r="H4163" s="0" t="str">
        <f aca="false">IF(B4163="","",IF(COUNTIF(Campaigns!$A$7:$A$300,B4163)&gt;0,"✓","⚠ add to Campaigns tab"))</f>
        <v/>
      </c>
      <c r="I4163" s="84" t="str">
        <f aca="false">IF(C4163="","",C4163*IF(Settings!$B$22=Settings!$C$6,1,IF(Settings!$B$22="USD",1/INDEX(Settings!$B$29:$B$40,MONTH(A4163)),INDEX(Settings!$B$29:$B$40,MONTH(A4163)))))</f>
        <v/>
      </c>
    </row>
    <row r="4164" customFormat="false" ht="15" hidden="false" customHeight="false" outlineLevel="0" collapsed="false">
      <c r="H4164" s="0" t="str">
        <f aca="false">IF(B4164="","",IF(COUNTIF(Campaigns!$A$7:$A$300,B4164)&gt;0,"✓","⚠ add to Campaigns tab"))</f>
        <v/>
      </c>
      <c r="I4164" s="84" t="str">
        <f aca="false">IF(C4164="","",C4164*IF(Settings!$B$22=Settings!$C$6,1,IF(Settings!$B$22="USD",1/INDEX(Settings!$B$29:$B$40,MONTH(A4164)),INDEX(Settings!$B$29:$B$40,MONTH(A4164)))))</f>
        <v/>
      </c>
    </row>
    <row r="4165" customFormat="false" ht="15" hidden="false" customHeight="false" outlineLevel="0" collapsed="false">
      <c r="H4165" s="0" t="str">
        <f aca="false">IF(B4165="","",IF(COUNTIF(Campaigns!$A$7:$A$300,B4165)&gt;0,"✓","⚠ add to Campaigns tab"))</f>
        <v/>
      </c>
      <c r="I4165" s="84" t="str">
        <f aca="false">IF(C4165="","",C4165*IF(Settings!$B$22=Settings!$C$6,1,IF(Settings!$B$22="USD",1/INDEX(Settings!$B$29:$B$40,MONTH(A4165)),INDEX(Settings!$B$29:$B$40,MONTH(A4165)))))</f>
        <v/>
      </c>
    </row>
    <row r="4166" customFormat="false" ht="15" hidden="false" customHeight="false" outlineLevel="0" collapsed="false">
      <c r="H4166" s="0" t="str">
        <f aca="false">IF(B4166="","",IF(COUNTIF(Campaigns!$A$7:$A$300,B4166)&gt;0,"✓","⚠ add to Campaigns tab"))</f>
        <v/>
      </c>
      <c r="I4166" s="84" t="str">
        <f aca="false">IF(C4166="","",C4166*IF(Settings!$B$22=Settings!$C$6,1,IF(Settings!$B$22="USD",1/INDEX(Settings!$B$29:$B$40,MONTH(A4166)),INDEX(Settings!$B$29:$B$40,MONTH(A4166)))))</f>
        <v/>
      </c>
    </row>
    <row r="4167" customFormat="false" ht="15" hidden="false" customHeight="false" outlineLevel="0" collapsed="false">
      <c r="H4167" s="0" t="str">
        <f aca="false">IF(B4167="","",IF(COUNTIF(Campaigns!$A$7:$A$300,B4167)&gt;0,"✓","⚠ add to Campaigns tab"))</f>
        <v/>
      </c>
      <c r="I4167" s="84" t="str">
        <f aca="false">IF(C4167="","",C4167*IF(Settings!$B$22=Settings!$C$6,1,IF(Settings!$B$22="USD",1/INDEX(Settings!$B$29:$B$40,MONTH(A4167)),INDEX(Settings!$B$29:$B$40,MONTH(A4167)))))</f>
        <v/>
      </c>
    </row>
    <row r="4168" customFormat="false" ht="15" hidden="false" customHeight="false" outlineLevel="0" collapsed="false">
      <c r="H4168" s="0" t="str">
        <f aca="false">IF(B4168="","",IF(COUNTIF(Campaigns!$A$7:$A$300,B4168)&gt;0,"✓","⚠ add to Campaigns tab"))</f>
        <v/>
      </c>
      <c r="I4168" s="84" t="str">
        <f aca="false">IF(C4168="","",C4168*IF(Settings!$B$22=Settings!$C$6,1,IF(Settings!$B$22="USD",1/INDEX(Settings!$B$29:$B$40,MONTH(A4168)),INDEX(Settings!$B$29:$B$40,MONTH(A4168)))))</f>
        <v/>
      </c>
    </row>
    <row r="4169" customFormat="false" ht="15" hidden="false" customHeight="false" outlineLevel="0" collapsed="false">
      <c r="H4169" s="0" t="str">
        <f aca="false">IF(B4169="","",IF(COUNTIF(Campaigns!$A$7:$A$300,B4169)&gt;0,"✓","⚠ add to Campaigns tab"))</f>
        <v/>
      </c>
      <c r="I4169" s="84" t="str">
        <f aca="false">IF(C4169="","",C4169*IF(Settings!$B$22=Settings!$C$6,1,IF(Settings!$B$22="USD",1/INDEX(Settings!$B$29:$B$40,MONTH(A4169)),INDEX(Settings!$B$29:$B$40,MONTH(A4169)))))</f>
        <v/>
      </c>
    </row>
    <row r="4170" customFormat="false" ht="15" hidden="false" customHeight="false" outlineLevel="0" collapsed="false">
      <c r="H4170" s="0" t="str">
        <f aca="false">IF(B4170="","",IF(COUNTIF(Campaigns!$A$7:$A$300,B4170)&gt;0,"✓","⚠ add to Campaigns tab"))</f>
        <v/>
      </c>
      <c r="I4170" s="84" t="str">
        <f aca="false">IF(C4170="","",C4170*IF(Settings!$B$22=Settings!$C$6,1,IF(Settings!$B$22="USD",1/INDEX(Settings!$B$29:$B$40,MONTH(A4170)),INDEX(Settings!$B$29:$B$40,MONTH(A4170)))))</f>
        <v/>
      </c>
    </row>
    <row r="4171" customFormat="false" ht="15" hidden="false" customHeight="false" outlineLevel="0" collapsed="false">
      <c r="H4171" s="0" t="str">
        <f aca="false">IF(B4171="","",IF(COUNTIF(Campaigns!$A$7:$A$300,B4171)&gt;0,"✓","⚠ add to Campaigns tab"))</f>
        <v/>
      </c>
      <c r="I4171" s="84" t="str">
        <f aca="false">IF(C4171="","",C4171*IF(Settings!$B$22=Settings!$C$6,1,IF(Settings!$B$22="USD",1/INDEX(Settings!$B$29:$B$40,MONTH(A4171)),INDEX(Settings!$B$29:$B$40,MONTH(A4171)))))</f>
        <v/>
      </c>
    </row>
    <row r="4172" customFormat="false" ht="15" hidden="false" customHeight="false" outlineLevel="0" collapsed="false">
      <c r="H4172" s="0" t="str">
        <f aca="false">IF(B4172="","",IF(COUNTIF(Campaigns!$A$7:$A$300,B4172)&gt;0,"✓","⚠ add to Campaigns tab"))</f>
        <v/>
      </c>
      <c r="I4172" s="84" t="str">
        <f aca="false">IF(C4172="","",C4172*IF(Settings!$B$22=Settings!$C$6,1,IF(Settings!$B$22="USD",1/INDEX(Settings!$B$29:$B$40,MONTH(A4172)),INDEX(Settings!$B$29:$B$40,MONTH(A4172)))))</f>
        <v/>
      </c>
    </row>
    <row r="4173" customFormat="false" ht="15" hidden="false" customHeight="false" outlineLevel="0" collapsed="false">
      <c r="H4173" s="0" t="str">
        <f aca="false">IF(B4173="","",IF(COUNTIF(Campaigns!$A$7:$A$300,B4173)&gt;0,"✓","⚠ add to Campaigns tab"))</f>
        <v/>
      </c>
      <c r="I4173" s="84" t="str">
        <f aca="false">IF(C4173="","",C4173*IF(Settings!$B$22=Settings!$C$6,1,IF(Settings!$B$22="USD",1/INDEX(Settings!$B$29:$B$40,MONTH(A4173)),INDEX(Settings!$B$29:$B$40,MONTH(A4173)))))</f>
        <v/>
      </c>
    </row>
    <row r="4174" customFormat="false" ht="15" hidden="false" customHeight="false" outlineLevel="0" collapsed="false">
      <c r="H4174" s="0" t="str">
        <f aca="false">IF(B4174="","",IF(COUNTIF(Campaigns!$A$7:$A$300,B4174)&gt;0,"✓","⚠ add to Campaigns tab"))</f>
        <v/>
      </c>
      <c r="I4174" s="84" t="str">
        <f aca="false">IF(C4174="","",C4174*IF(Settings!$B$22=Settings!$C$6,1,IF(Settings!$B$22="USD",1/INDEX(Settings!$B$29:$B$40,MONTH(A4174)),INDEX(Settings!$B$29:$B$40,MONTH(A4174)))))</f>
        <v/>
      </c>
    </row>
    <row r="4175" customFormat="false" ht="15" hidden="false" customHeight="false" outlineLevel="0" collapsed="false">
      <c r="H4175" s="0" t="str">
        <f aca="false">IF(B4175="","",IF(COUNTIF(Campaigns!$A$7:$A$300,B4175)&gt;0,"✓","⚠ add to Campaigns tab"))</f>
        <v/>
      </c>
      <c r="I4175" s="84" t="str">
        <f aca="false">IF(C4175="","",C4175*IF(Settings!$B$22=Settings!$C$6,1,IF(Settings!$B$22="USD",1/INDEX(Settings!$B$29:$B$40,MONTH(A4175)),INDEX(Settings!$B$29:$B$40,MONTH(A4175)))))</f>
        <v/>
      </c>
    </row>
    <row r="4176" customFormat="false" ht="15" hidden="false" customHeight="false" outlineLevel="0" collapsed="false">
      <c r="H4176" s="0" t="str">
        <f aca="false">IF(B4176="","",IF(COUNTIF(Campaigns!$A$7:$A$300,B4176)&gt;0,"✓","⚠ add to Campaigns tab"))</f>
        <v/>
      </c>
      <c r="I4176" s="84" t="str">
        <f aca="false">IF(C4176="","",C4176*IF(Settings!$B$22=Settings!$C$6,1,IF(Settings!$B$22="USD",1/INDEX(Settings!$B$29:$B$40,MONTH(A4176)),INDEX(Settings!$B$29:$B$40,MONTH(A4176)))))</f>
        <v/>
      </c>
    </row>
    <row r="4177" customFormat="false" ht="15" hidden="false" customHeight="false" outlineLevel="0" collapsed="false">
      <c r="H4177" s="0" t="str">
        <f aca="false">IF(B4177="","",IF(COUNTIF(Campaigns!$A$7:$A$300,B4177)&gt;0,"✓","⚠ add to Campaigns tab"))</f>
        <v/>
      </c>
      <c r="I4177" s="84" t="str">
        <f aca="false">IF(C4177="","",C4177*IF(Settings!$B$22=Settings!$C$6,1,IF(Settings!$B$22="USD",1/INDEX(Settings!$B$29:$B$40,MONTH(A4177)),INDEX(Settings!$B$29:$B$40,MONTH(A4177)))))</f>
        <v/>
      </c>
    </row>
    <row r="4178" customFormat="false" ht="15" hidden="false" customHeight="false" outlineLevel="0" collapsed="false">
      <c r="H4178" s="0" t="str">
        <f aca="false">IF(B4178="","",IF(COUNTIF(Campaigns!$A$7:$A$300,B4178)&gt;0,"✓","⚠ add to Campaigns tab"))</f>
        <v/>
      </c>
      <c r="I4178" s="84" t="str">
        <f aca="false">IF(C4178="","",C4178*IF(Settings!$B$22=Settings!$C$6,1,IF(Settings!$B$22="USD",1/INDEX(Settings!$B$29:$B$40,MONTH(A4178)),INDEX(Settings!$B$29:$B$40,MONTH(A4178)))))</f>
        <v/>
      </c>
    </row>
    <row r="4179" customFormat="false" ht="15" hidden="false" customHeight="false" outlineLevel="0" collapsed="false">
      <c r="H4179" s="0" t="str">
        <f aca="false">IF(B4179="","",IF(COUNTIF(Campaigns!$A$7:$A$300,B4179)&gt;0,"✓","⚠ add to Campaigns tab"))</f>
        <v/>
      </c>
      <c r="I4179" s="84" t="str">
        <f aca="false">IF(C4179="","",C4179*IF(Settings!$B$22=Settings!$C$6,1,IF(Settings!$B$22="USD",1/INDEX(Settings!$B$29:$B$40,MONTH(A4179)),INDEX(Settings!$B$29:$B$40,MONTH(A4179)))))</f>
        <v/>
      </c>
    </row>
    <row r="4180" customFormat="false" ht="15" hidden="false" customHeight="false" outlineLevel="0" collapsed="false">
      <c r="H4180" s="0" t="str">
        <f aca="false">IF(B4180="","",IF(COUNTIF(Campaigns!$A$7:$A$300,B4180)&gt;0,"✓","⚠ add to Campaigns tab"))</f>
        <v/>
      </c>
      <c r="I4180" s="84" t="str">
        <f aca="false">IF(C4180="","",C4180*IF(Settings!$B$22=Settings!$C$6,1,IF(Settings!$B$22="USD",1/INDEX(Settings!$B$29:$B$40,MONTH(A4180)),INDEX(Settings!$B$29:$B$40,MONTH(A4180)))))</f>
        <v/>
      </c>
    </row>
    <row r="4181" customFormat="false" ht="15" hidden="false" customHeight="false" outlineLevel="0" collapsed="false">
      <c r="H4181" s="0" t="str">
        <f aca="false">IF(B4181="","",IF(COUNTIF(Campaigns!$A$7:$A$300,B4181)&gt;0,"✓","⚠ add to Campaigns tab"))</f>
        <v/>
      </c>
      <c r="I4181" s="84" t="str">
        <f aca="false">IF(C4181="","",C4181*IF(Settings!$B$22=Settings!$C$6,1,IF(Settings!$B$22="USD",1/INDEX(Settings!$B$29:$B$40,MONTH(A4181)),INDEX(Settings!$B$29:$B$40,MONTH(A4181)))))</f>
        <v/>
      </c>
    </row>
    <row r="4182" customFormat="false" ht="15" hidden="false" customHeight="false" outlineLevel="0" collapsed="false">
      <c r="H4182" s="0" t="str">
        <f aca="false">IF(B4182="","",IF(COUNTIF(Campaigns!$A$7:$A$300,B4182)&gt;0,"✓","⚠ add to Campaigns tab"))</f>
        <v/>
      </c>
      <c r="I4182" s="84" t="str">
        <f aca="false">IF(C4182="","",C4182*IF(Settings!$B$22=Settings!$C$6,1,IF(Settings!$B$22="USD",1/INDEX(Settings!$B$29:$B$40,MONTH(A4182)),INDEX(Settings!$B$29:$B$40,MONTH(A4182)))))</f>
        <v/>
      </c>
    </row>
    <row r="4183" customFormat="false" ht="15" hidden="false" customHeight="false" outlineLevel="0" collapsed="false">
      <c r="H4183" s="0" t="str">
        <f aca="false">IF(B4183="","",IF(COUNTIF(Campaigns!$A$7:$A$300,B4183)&gt;0,"✓","⚠ add to Campaigns tab"))</f>
        <v/>
      </c>
      <c r="I4183" s="84" t="str">
        <f aca="false">IF(C4183="","",C4183*IF(Settings!$B$22=Settings!$C$6,1,IF(Settings!$B$22="USD",1/INDEX(Settings!$B$29:$B$40,MONTH(A4183)),INDEX(Settings!$B$29:$B$40,MONTH(A4183)))))</f>
        <v/>
      </c>
    </row>
    <row r="4184" customFormat="false" ht="15" hidden="false" customHeight="false" outlineLevel="0" collapsed="false">
      <c r="H4184" s="0" t="str">
        <f aca="false">IF(B4184="","",IF(COUNTIF(Campaigns!$A$7:$A$300,B4184)&gt;0,"✓","⚠ add to Campaigns tab"))</f>
        <v/>
      </c>
      <c r="I4184" s="84" t="str">
        <f aca="false">IF(C4184="","",C4184*IF(Settings!$B$22=Settings!$C$6,1,IF(Settings!$B$22="USD",1/INDEX(Settings!$B$29:$B$40,MONTH(A4184)),INDEX(Settings!$B$29:$B$40,MONTH(A4184)))))</f>
        <v/>
      </c>
    </row>
    <row r="4185" customFormat="false" ht="15" hidden="false" customHeight="false" outlineLevel="0" collapsed="false">
      <c r="H4185" s="0" t="str">
        <f aca="false">IF(B4185="","",IF(COUNTIF(Campaigns!$A$7:$A$300,B4185)&gt;0,"✓","⚠ add to Campaigns tab"))</f>
        <v/>
      </c>
      <c r="I4185" s="84" t="str">
        <f aca="false">IF(C4185="","",C4185*IF(Settings!$B$22=Settings!$C$6,1,IF(Settings!$B$22="USD",1/INDEX(Settings!$B$29:$B$40,MONTH(A4185)),INDEX(Settings!$B$29:$B$40,MONTH(A4185)))))</f>
        <v/>
      </c>
    </row>
    <row r="4186" customFormat="false" ht="15" hidden="false" customHeight="false" outlineLevel="0" collapsed="false">
      <c r="H4186" s="0" t="str">
        <f aca="false">IF(B4186="","",IF(COUNTIF(Campaigns!$A$7:$A$300,B4186)&gt;0,"✓","⚠ add to Campaigns tab"))</f>
        <v/>
      </c>
      <c r="I4186" s="84" t="str">
        <f aca="false">IF(C4186="","",C4186*IF(Settings!$B$22=Settings!$C$6,1,IF(Settings!$B$22="USD",1/INDEX(Settings!$B$29:$B$40,MONTH(A4186)),INDEX(Settings!$B$29:$B$40,MONTH(A4186)))))</f>
        <v/>
      </c>
    </row>
    <row r="4187" customFormat="false" ht="15" hidden="false" customHeight="false" outlineLevel="0" collapsed="false">
      <c r="H4187" s="0" t="str">
        <f aca="false">IF(B4187="","",IF(COUNTIF(Campaigns!$A$7:$A$300,B4187)&gt;0,"✓","⚠ add to Campaigns tab"))</f>
        <v/>
      </c>
      <c r="I4187" s="84" t="str">
        <f aca="false">IF(C4187="","",C4187*IF(Settings!$B$22=Settings!$C$6,1,IF(Settings!$B$22="USD",1/INDEX(Settings!$B$29:$B$40,MONTH(A4187)),INDEX(Settings!$B$29:$B$40,MONTH(A4187)))))</f>
        <v/>
      </c>
    </row>
    <row r="4188" customFormat="false" ht="15" hidden="false" customHeight="false" outlineLevel="0" collapsed="false">
      <c r="H4188" s="0" t="str">
        <f aca="false">IF(B4188="","",IF(COUNTIF(Campaigns!$A$7:$A$300,B4188)&gt;0,"✓","⚠ add to Campaigns tab"))</f>
        <v/>
      </c>
      <c r="I4188" s="84" t="str">
        <f aca="false">IF(C4188="","",C4188*IF(Settings!$B$22=Settings!$C$6,1,IF(Settings!$B$22="USD",1/INDEX(Settings!$B$29:$B$40,MONTH(A4188)),INDEX(Settings!$B$29:$B$40,MONTH(A4188)))))</f>
        <v/>
      </c>
    </row>
    <row r="4189" customFormat="false" ht="15" hidden="false" customHeight="false" outlineLevel="0" collapsed="false">
      <c r="H4189" s="0" t="str">
        <f aca="false">IF(B4189="","",IF(COUNTIF(Campaigns!$A$7:$A$300,B4189)&gt;0,"✓","⚠ add to Campaigns tab"))</f>
        <v/>
      </c>
      <c r="I4189" s="84" t="str">
        <f aca="false">IF(C4189="","",C4189*IF(Settings!$B$22=Settings!$C$6,1,IF(Settings!$B$22="USD",1/INDEX(Settings!$B$29:$B$40,MONTH(A4189)),INDEX(Settings!$B$29:$B$40,MONTH(A4189)))))</f>
        <v/>
      </c>
    </row>
    <row r="4190" customFormat="false" ht="15" hidden="false" customHeight="false" outlineLevel="0" collapsed="false">
      <c r="H4190" s="0" t="str">
        <f aca="false">IF(B4190="","",IF(COUNTIF(Campaigns!$A$7:$A$300,B4190)&gt;0,"✓","⚠ add to Campaigns tab"))</f>
        <v/>
      </c>
      <c r="I4190" s="84" t="str">
        <f aca="false">IF(C4190="","",C4190*IF(Settings!$B$22=Settings!$C$6,1,IF(Settings!$B$22="USD",1/INDEX(Settings!$B$29:$B$40,MONTH(A4190)),INDEX(Settings!$B$29:$B$40,MONTH(A4190)))))</f>
        <v/>
      </c>
    </row>
    <row r="4191" customFormat="false" ht="15" hidden="false" customHeight="false" outlineLevel="0" collapsed="false">
      <c r="H4191" s="0" t="str">
        <f aca="false">IF(B4191="","",IF(COUNTIF(Campaigns!$A$7:$A$300,B4191)&gt;0,"✓","⚠ add to Campaigns tab"))</f>
        <v/>
      </c>
      <c r="I4191" s="84" t="str">
        <f aca="false">IF(C4191="","",C4191*IF(Settings!$B$22=Settings!$C$6,1,IF(Settings!$B$22="USD",1/INDEX(Settings!$B$29:$B$40,MONTH(A4191)),INDEX(Settings!$B$29:$B$40,MONTH(A4191)))))</f>
        <v/>
      </c>
    </row>
    <row r="4192" customFormat="false" ht="15" hidden="false" customHeight="false" outlineLevel="0" collapsed="false">
      <c r="H4192" s="0" t="str">
        <f aca="false">IF(B4192="","",IF(COUNTIF(Campaigns!$A$7:$A$300,B4192)&gt;0,"✓","⚠ add to Campaigns tab"))</f>
        <v/>
      </c>
      <c r="I4192" s="84" t="str">
        <f aca="false">IF(C4192="","",C4192*IF(Settings!$B$22=Settings!$C$6,1,IF(Settings!$B$22="USD",1/INDEX(Settings!$B$29:$B$40,MONTH(A4192)),INDEX(Settings!$B$29:$B$40,MONTH(A4192)))))</f>
        <v/>
      </c>
    </row>
    <row r="4193" customFormat="false" ht="15" hidden="false" customHeight="false" outlineLevel="0" collapsed="false">
      <c r="H4193" s="0" t="str">
        <f aca="false">IF(B4193="","",IF(COUNTIF(Campaigns!$A$7:$A$300,B4193)&gt;0,"✓","⚠ add to Campaigns tab"))</f>
        <v/>
      </c>
      <c r="I4193" s="84" t="str">
        <f aca="false">IF(C4193="","",C4193*IF(Settings!$B$22=Settings!$C$6,1,IF(Settings!$B$22="USD",1/INDEX(Settings!$B$29:$B$40,MONTH(A4193)),INDEX(Settings!$B$29:$B$40,MONTH(A4193)))))</f>
        <v/>
      </c>
    </row>
    <row r="4194" customFormat="false" ht="15" hidden="false" customHeight="false" outlineLevel="0" collapsed="false">
      <c r="H4194" s="0" t="str">
        <f aca="false">IF(B4194="","",IF(COUNTIF(Campaigns!$A$7:$A$300,B4194)&gt;0,"✓","⚠ add to Campaigns tab"))</f>
        <v/>
      </c>
      <c r="I4194" s="84" t="str">
        <f aca="false">IF(C4194="","",C4194*IF(Settings!$B$22=Settings!$C$6,1,IF(Settings!$B$22="USD",1/INDEX(Settings!$B$29:$B$40,MONTH(A4194)),INDEX(Settings!$B$29:$B$40,MONTH(A4194)))))</f>
        <v/>
      </c>
    </row>
    <row r="4195" customFormat="false" ht="15" hidden="false" customHeight="false" outlineLevel="0" collapsed="false">
      <c r="H4195" s="0" t="str">
        <f aca="false">IF(B4195="","",IF(COUNTIF(Campaigns!$A$7:$A$300,B4195)&gt;0,"✓","⚠ add to Campaigns tab"))</f>
        <v/>
      </c>
      <c r="I4195" s="84" t="str">
        <f aca="false">IF(C4195="","",C4195*IF(Settings!$B$22=Settings!$C$6,1,IF(Settings!$B$22="USD",1/INDEX(Settings!$B$29:$B$40,MONTH(A4195)),INDEX(Settings!$B$29:$B$40,MONTH(A4195)))))</f>
        <v/>
      </c>
    </row>
    <row r="4196" customFormat="false" ht="15" hidden="false" customHeight="false" outlineLevel="0" collapsed="false">
      <c r="H4196" s="0" t="str">
        <f aca="false">IF(B4196="","",IF(COUNTIF(Campaigns!$A$7:$A$300,B4196)&gt;0,"✓","⚠ add to Campaigns tab"))</f>
        <v/>
      </c>
      <c r="I4196" s="84" t="str">
        <f aca="false">IF(C4196="","",C4196*IF(Settings!$B$22=Settings!$C$6,1,IF(Settings!$B$22="USD",1/INDEX(Settings!$B$29:$B$40,MONTH(A4196)),INDEX(Settings!$B$29:$B$40,MONTH(A4196)))))</f>
        <v/>
      </c>
    </row>
    <row r="4197" customFormat="false" ht="15" hidden="false" customHeight="false" outlineLevel="0" collapsed="false">
      <c r="H4197" s="0" t="str">
        <f aca="false">IF(B4197="","",IF(COUNTIF(Campaigns!$A$7:$A$300,B4197)&gt;0,"✓","⚠ add to Campaigns tab"))</f>
        <v/>
      </c>
      <c r="I4197" s="84" t="str">
        <f aca="false">IF(C4197="","",C4197*IF(Settings!$B$22=Settings!$C$6,1,IF(Settings!$B$22="USD",1/INDEX(Settings!$B$29:$B$40,MONTH(A4197)),INDEX(Settings!$B$29:$B$40,MONTH(A4197)))))</f>
        <v/>
      </c>
    </row>
    <row r="4198" customFormat="false" ht="15" hidden="false" customHeight="false" outlineLevel="0" collapsed="false">
      <c r="H4198" s="0" t="str">
        <f aca="false">IF(B4198="","",IF(COUNTIF(Campaigns!$A$7:$A$300,B4198)&gt;0,"✓","⚠ add to Campaigns tab"))</f>
        <v/>
      </c>
      <c r="I4198" s="84" t="str">
        <f aca="false">IF(C4198="","",C4198*IF(Settings!$B$22=Settings!$C$6,1,IF(Settings!$B$22="USD",1/INDEX(Settings!$B$29:$B$40,MONTH(A4198)),INDEX(Settings!$B$29:$B$40,MONTH(A4198)))))</f>
        <v/>
      </c>
    </row>
    <row r="4199" customFormat="false" ht="15" hidden="false" customHeight="false" outlineLevel="0" collapsed="false">
      <c r="H4199" s="0" t="str">
        <f aca="false">IF(B4199="","",IF(COUNTIF(Campaigns!$A$7:$A$300,B4199)&gt;0,"✓","⚠ add to Campaigns tab"))</f>
        <v/>
      </c>
      <c r="I4199" s="84" t="str">
        <f aca="false">IF(C4199="","",C4199*IF(Settings!$B$22=Settings!$C$6,1,IF(Settings!$B$22="USD",1/INDEX(Settings!$B$29:$B$40,MONTH(A4199)),INDEX(Settings!$B$29:$B$40,MONTH(A4199)))))</f>
        <v/>
      </c>
    </row>
    <row r="4200" customFormat="false" ht="15" hidden="false" customHeight="false" outlineLevel="0" collapsed="false">
      <c r="H4200" s="0" t="str">
        <f aca="false">IF(B4200="","",IF(COUNTIF(Campaigns!$A$7:$A$300,B4200)&gt;0,"✓","⚠ add to Campaigns tab"))</f>
        <v/>
      </c>
      <c r="I4200" s="84" t="str">
        <f aca="false">IF(C4200="","",C4200*IF(Settings!$B$22=Settings!$C$6,1,IF(Settings!$B$22="USD",1/INDEX(Settings!$B$29:$B$40,MONTH(A4200)),INDEX(Settings!$B$29:$B$40,MONTH(A4200)))))</f>
        <v/>
      </c>
    </row>
    <row r="4201" customFormat="false" ht="15" hidden="false" customHeight="false" outlineLevel="0" collapsed="false">
      <c r="H4201" s="0" t="str">
        <f aca="false">IF(B4201="","",IF(COUNTIF(Campaigns!$A$7:$A$300,B4201)&gt;0,"✓","⚠ add to Campaigns tab"))</f>
        <v/>
      </c>
      <c r="I4201" s="84" t="str">
        <f aca="false">IF(C4201="","",C4201*IF(Settings!$B$22=Settings!$C$6,1,IF(Settings!$B$22="USD",1/INDEX(Settings!$B$29:$B$40,MONTH(A4201)),INDEX(Settings!$B$29:$B$40,MONTH(A4201)))))</f>
        <v/>
      </c>
    </row>
    <row r="4202" customFormat="false" ht="15" hidden="false" customHeight="false" outlineLevel="0" collapsed="false">
      <c r="H4202" s="0" t="str">
        <f aca="false">IF(B4202="","",IF(COUNTIF(Campaigns!$A$7:$A$300,B4202)&gt;0,"✓","⚠ add to Campaigns tab"))</f>
        <v/>
      </c>
      <c r="I4202" s="84" t="str">
        <f aca="false">IF(C4202="","",C4202*IF(Settings!$B$22=Settings!$C$6,1,IF(Settings!$B$22="USD",1/INDEX(Settings!$B$29:$B$40,MONTH(A4202)),INDEX(Settings!$B$29:$B$40,MONTH(A4202)))))</f>
        <v/>
      </c>
    </row>
    <row r="4203" customFormat="false" ht="15" hidden="false" customHeight="false" outlineLevel="0" collapsed="false">
      <c r="H4203" s="0" t="str">
        <f aca="false">IF(B4203="","",IF(COUNTIF(Campaigns!$A$7:$A$300,B4203)&gt;0,"✓","⚠ add to Campaigns tab"))</f>
        <v/>
      </c>
      <c r="I4203" s="84" t="str">
        <f aca="false">IF(C4203="","",C4203*IF(Settings!$B$22=Settings!$C$6,1,IF(Settings!$B$22="USD",1/INDEX(Settings!$B$29:$B$40,MONTH(A4203)),INDEX(Settings!$B$29:$B$40,MONTH(A4203)))))</f>
        <v/>
      </c>
    </row>
    <row r="4204" customFormat="false" ht="15" hidden="false" customHeight="false" outlineLevel="0" collapsed="false">
      <c r="H4204" s="0" t="str">
        <f aca="false">IF(B4204="","",IF(COUNTIF(Campaigns!$A$7:$A$300,B4204)&gt;0,"✓","⚠ add to Campaigns tab"))</f>
        <v/>
      </c>
      <c r="I4204" s="84" t="str">
        <f aca="false">IF(C4204="","",C4204*IF(Settings!$B$22=Settings!$C$6,1,IF(Settings!$B$22="USD",1/INDEX(Settings!$B$29:$B$40,MONTH(A4204)),INDEX(Settings!$B$29:$B$40,MONTH(A4204)))))</f>
        <v/>
      </c>
    </row>
    <row r="4205" customFormat="false" ht="15" hidden="false" customHeight="false" outlineLevel="0" collapsed="false">
      <c r="H4205" s="0" t="str">
        <f aca="false">IF(B4205="","",IF(COUNTIF(Campaigns!$A$7:$A$300,B4205)&gt;0,"✓","⚠ add to Campaigns tab"))</f>
        <v/>
      </c>
      <c r="I4205" s="84" t="str">
        <f aca="false">IF(C4205="","",C4205*IF(Settings!$B$22=Settings!$C$6,1,IF(Settings!$B$22="USD",1/INDEX(Settings!$B$29:$B$40,MONTH(A4205)),INDEX(Settings!$B$29:$B$40,MONTH(A4205)))))</f>
        <v/>
      </c>
    </row>
    <row r="4206" customFormat="false" ht="15" hidden="false" customHeight="false" outlineLevel="0" collapsed="false">
      <c r="H4206" s="0" t="str">
        <f aca="false">IF(B4206="","",IF(COUNTIF(Campaigns!$A$7:$A$300,B4206)&gt;0,"✓","⚠ add to Campaigns tab"))</f>
        <v/>
      </c>
      <c r="I4206" s="84" t="str">
        <f aca="false">IF(C4206="","",C4206*IF(Settings!$B$22=Settings!$C$6,1,IF(Settings!$B$22="USD",1/INDEX(Settings!$B$29:$B$40,MONTH(A4206)),INDEX(Settings!$B$29:$B$40,MONTH(A4206)))))</f>
        <v/>
      </c>
    </row>
    <row r="4207" customFormat="false" ht="15" hidden="false" customHeight="false" outlineLevel="0" collapsed="false">
      <c r="H4207" s="0" t="str">
        <f aca="false">IF(B4207="","",IF(COUNTIF(Campaigns!$A$7:$A$300,B4207)&gt;0,"✓","⚠ add to Campaigns tab"))</f>
        <v/>
      </c>
      <c r="I4207" s="84" t="str">
        <f aca="false">IF(C4207="","",C4207*IF(Settings!$B$22=Settings!$C$6,1,IF(Settings!$B$22="USD",1/INDEX(Settings!$B$29:$B$40,MONTH(A4207)),INDEX(Settings!$B$29:$B$40,MONTH(A4207)))))</f>
        <v/>
      </c>
    </row>
    <row r="4208" customFormat="false" ht="15" hidden="false" customHeight="false" outlineLevel="0" collapsed="false">
      <c r="H4208" s="0" t="str">
        <f aca="false">IF(B4208="","",IF(COUNTIF(Campaigns!$A$7:$A$300,B4208)&gt;0,"✓","⚠ add to Campaigns tab"))</f>
        <v/>
      </c>
      <c r="I4208" s="84" t="str">
        <f aca="false">IF(C4208="","",C4208*IF(Settings!$B$22=Settings!$C$6,1,IF(Settings!$B$22="USD",1/INDEX(Settings!$B$29:$B$40,MONTH(A4208)),INDEX(Settings!$B$29:$B$40,MONTH(A4208)))))</f>
        <v/>
      </c>
    </row>
    <row r="4209" customFormat="false" ht="15" hidden="false" customHeight="false" outlineLevel="0" collapsed="false">
      <c r="H4209" s="0" t="str">
        <f aca="false">IF(B4209="","",IF(COUNTIF(Campaigns!$A$7:$A$300,B4209)&gt;0,"✓","⚠ add to Campaigns tab"))</f>
        <v/>
      </c>
      <c r="I4209" s="84" t="str">
        <f aca="false">IF(C4209="","",C4209*IF(Settings!$B$22=Settings!$C$6,1,IF(Settings!$B$22="USD",1/INDEX(Settings!$B$29:$B$40,MONTH(A4209)),INDEX(Settings!$B$29:$B$40,MONTH(A4209)))))</f>
        <v/>
      </c>
    </row>
    <row r="4210" customFormat="false" ht="15" hidden="false" customHeight="false" outlineLevel="0" collapsed="false">
      <c r="H4210" s="0" t="str">
        <f aca="false">IF(B4210="","",IF(COUNTIF(Campaigns!$A$7:$A$300,B4210)&gt;0,"✓","⚠ add to Campaigns tab"))</f>
        <v/>
      </c>
      <c r="I4210" s="84" t="str">
        <f aca="false">IF(C4210="","",C4210*IF(Settings!$B$22=Settings!$C$6,1,IF(Settings!$B$22="USD",1/INDEX(Settings!$B$29:$B$40,MONTH(A4210)),INDEX(Settings!$B$29:$B$40,MONTH(A4210)))))</f>
        <v/>
      </c>
    </row>
    <row r="4211" customFormat="false" ht="15" hidden="false" customHeight="false" outlineLevel="0" collapsed="false">
      <c r="H4211" s="0" t="str">
        <f aca="false">IF(B4211="","",IF(COUNTIF(Campaigns!$A$7:$A$300,B4211)&gt;0,"✓","⚠ add to Campaigns tab"))</f>
        <v/>
      </c>
      <c r="I4211" s="84" t="str">
        <f aca="false">IF(C4211="","",C4211*IF(Settings!$B$22=Settings!$C$6,1,IF(Settings!$B$22="USD",1/INDEX(Settings!$B$29:$B$40,MONTH(A4211)),INDEX(Settings!$B$29:$B$40,MONTH(A4211)))))</f>
        <v/>
      </c>
    </row>
    <row r="4212" customFormat="false" ht="15" hidden="false" customHeight="false" outlineLevel="0" collapsed="false">
      <c r="H4212" s="0" t="str">
        <f aca="false">IF(B4212="","",IF(COUNTIF(Campaigns!$A$7:$A$300,B4212)&gt;0,"✓","⚠ add to Campaigns tab"))</f>
        <v/>
      </c>
      <c r="I4212" s="84" t="str">
        <f aca="false">IF(C4212="","",C4212*IF(Settings!$B$22=Settings!$C$6,1,IF(Settings!$B$22="USD",1/INDEX(Settings!$B$29:$B$40,MONTH(A4212)),INDEX(Settings!$B$29:$B$40,MONTH(A4212)))))</f>
        <v/>
      </c>
    </row>
    <row r="4213" customFormat="false" ht="15" hidden="false" customHeight="false" outlineLevel="0" collapsed="false">
      <c r="H4213" s="0" t="str">
        <f aca="false">IF(B4213="","",IF(COUNTIF(Campaigns!$A$7:$A$300,B4213)&gt;0,"✓","⚠ add to Campaigns tab"))</f>
        <v/>
      </c>
      <c r="I4213" s="84" t="str">
        <f aca="false">IF(C4213="","",C4213*IF(Settings!$B$22=Settings!$C$6,1,IF(Settings!$B$22="USD",1/INDEX(Settings!$B$29:$B$40,MONTH(A4213)),INDEX(Settings!$B$29:$B$40,MONTH(A4213)))))</f>
        <v/>
      </c>
    </row>
    <row r="4214" customFormat="false" ht="15" hidden="false" customHeight="false" outlineLevel="0" collapsed="false">
      <c r="H4214" s="0" t="str">
        <f aca="false">IF(B4214="","",IF(COUNTIF(Campaigns!$A$7:$A$300,B4214)&gt;0,"✓","⚠ add to Campaigns tab"))</f>
        <v/>
      </c>
      <c r="I4214" s="84" t="str">
        <f aca="false">IF(C4214="","",C4214*IF(Settings!$B$22=Settings!$C$6,1,IF(Settings!$B$22="USD",1/INDEX(Settings!$B$29:$B$40,MONTH(A4214)),INDEX(Settings!$B$29:$B$40,MONTH(A4214)))))</f>
        <v/>
      </c>
    </row>
    <row r="4215" customFormat="false" ht="15" hidden="false" customHeight="false" outlineLevel="0" collapsed="false">
      <c r="H4215" s="0" t="str">
        <f aca="false">IF(B4215="","",IF(COUNTIF(Campaigns!$A$7:$A$300,B4215)&gt;0,"✓","⚠ add to Campaigns tab"))</f>
        <v/>
      </c>
      <c r="I4215" s="84" t="str">
        <f aca="false">IF(C4215="","",C4215*IF(Settings!$B$22=Settings!$C$6,1,IF(Settings!$B$22="USD",1/INDEX(Settings!$B$29:$B$40,MONTH(A4215)),INDEX(Settings!$B$29:$B$40,MONTH(A4215)))))</f>
        <v/>
      </c>
    </row>
    <row r="4216" customFormat="false" ht="15" hidden="false" customHeight="false" outlineLevel="0" collapsed="false">
      <c r="H4216" s="0" t="str">
        <f aca="false">IF(B4216="","",IF(COUNTIF(Campaigns!$A$7:$A$300,B4216)&gt;0,"✓","⚠ add to Campaigns tab"))</f>
        <v/>
      </c>
      <c r="I4216" s="84" t="str">
        <f aca="false">IF(C4216="","",C4216*IF(Settings!$B$22=Settings!$C$6,1,IF(Settings!$B$22="USD",1/INDEX(Settings!$B$29:$B$40,MONTH(A4216)),INDEX(Settings!$B$29:$B$40,MONTH(A4216)))))</f>
        <v/>
      </c>
    </row>
    <row r="4217" customFormat="false" ht="15" hidden="false" customHeight="false" outlineLevel="0" collapsed="false">
      <c r="H4217" s="0" t="str">
        <f aca="false">IF(B4217="","",IF(COUNTIF(Campaigns!$A$7:$A$300,B4217)&gt;0,"✓","⚠ add to Campaigns tab"))</f>
        <v/>
      </c>
      <c r="I4217" s="84" t="str">
        <f aca="false">IF(C4217="","",C4217*IF(Settings!$B$22=Settings!$C$6,1,IF(Settings!$B$22="USD",1/INDEX(Settings!$B$29:$B$40,MONTH(A4217)),INDEX(Settings!$B$29:$B$40,MONTH(A4217)))))</f>
        <v/>
      </c>
    </row>
    <row r="4218" customFormat="false" ht="15" hidden="false" customHeight="false" outlineLevel="0" collapsed="false">
      <c r="H4218" s="0" t="str">
        <f aca="false">IF(B4218="","",IF(COUNTIF(Campaigns!$A$7:$A$300,B4218)&gt;0,"✓","⚠ add to Campaigns tab"))</f>
        <v/>
      </c>
      <c r="I4218" s="84" t="str">
        <f aca="false">IF(C4218="","",C4218*IF(Settings!$B$22=Settings!$C$6,1,IF(Settings!$B$22="USD",1/INDEX(Settings!$B$29:$B$40,MONTH(A4218)),INDEX(Settings!$B$29:$B$40,MONTH(A4218)))))</f>
        <v/>
      </c>
    </row>
    <row r="4219" customFormat="false" ht="15" hidden="false" customHeight="false" outlineLevel="0" collapsed="false">
      <c r="H4219" s="0" t="str">
        <f aca="false">IF(B4219="","",IF(COUNTIF(Campaigns!$A$7:$A$300,B4219)&gt;0,"✓","⚠ add to Campaigns tab"))</f>
        <v/>
      </c>
      <c r="I4219" s="84" t="str">
        <f aca="false">IF(C4219="","",C4219*IF(Settings!$B$22=Settings!$C$6,1,IF(Settings!$B$22="USD",1/INDEX(Settings!$B$29:$B$40,MONTH(A4219)),INDEX(Settings!$B$29:$B$40,MONTH(A4219)))))</f>
        <v/>
      </c>
    </row>
    <row r="4220" customFormat="false" ht="15" hidden="false" customHeight="false" outlineLevel="0" collapsed="false">
      <c r="H4220" s="0" t="str">
        <f aca="false">IF(B4220="","",IF(COUNTIF(Campaigns!$A$7:$A$300,B4220)&gt;0,"✓","⚠ add to Campaigns tab"))</f>
        <v/>
      </c>
      <c r="I4220" s="84" t="str">
        <f aca="false">IF(C4220="","",C4220*IF(Settings!$B$22=Settings!$C$6,1,IF(Settings!$B$22="USD",1/INDEX(Settings!$B$29:$B$40,MONTH(A4220)),INDEX(Settings!$B$29:$B$40,MONTH(A4220)))))</f>
        <v/>
      </c>
    </row>
    <row r="4221" customFormat="false" ht="15" hidden="false" customHeight="false" outlineLevel="0" collapsed="false">
      <c r="H4221" s="0" t="str">
        <f aca="false">IF(B4221="","",IF(COUNTIF(Campaigns!$A$7:$A$300,B4221)&gt;0,"✓","⚠ add to Campaigns tab"))</f>
        <v/>
      </c>
      <c r="I4221" s="84" t="str">
        <f aca="false">IF(C4221="","",C4221*IF(Settings!$B$22=Settings!$C$6,1,IF(Settings!$B$22="USD",1/INDEX(Settings!$B$29:$B$40,MONTH(A4221)),INDEX(Settings!$B$29:$B$40,MONTH(A4221)))))</f>
        <v/>
      </c>
    </row>
    <row r="4222" customFormat="false" ht="15" hidden="false" customHeight="false" outlineLevel="0" collapsed="false">
      <c r="H4222" s="0" t="str">
        <f aca="false">IF(B4222="","",IF(COUNTIF(Campaigns!$A$7:$A$300,B4222)&gt;0,"✓","⚠ add to Campaigns tab"))</f>
        <v/>
      </c>
      <c r="I4222" s="84" t="str">
        <f aca="false">IF(C4222="","",C4222*IF(Settings!$B$22=Settings!$C$6,1,IF(Settings!$B$22="USD",1/INDEX(Settings!$B$29:$B$40,MONTH(A4222)),INDEX(Settings!$B$29:$B$40,MONTH(A4222)))))</f>
        <v/>
      </c>
    </row>
    <row r="4223" customFormat="false" ht="15" hidden="false" customHeight="false" outlineLevel="0" collapsed="false">
      <c r="H4223" s="0" t="str">
        <f aca="false">IF(B4223="","",IF(COUNTIF(Campaigns!$A$7:$A$300,B4223)&gt;0,"✓","⚠ add to Campaigns tab"))</f>
        <v/>
      </c>
      <c r="I4223" s="84" t="str">
        <f aca="false">IF(C4223="","",C4223*IF(Settings!$B$22=Settings!$C$6,1,IF(Settings!$B$22="USD",1/INDEX(Settings!$B$29:$B$40,MONTH(A4223)),INDEX(Settings!$B$29:$B$40,MONTH(A4223)))))</f>
        <v/>
      </c>
    </row>
    <row r="4224" customFormat="false" ht="15" hidden="false" customHeight="false" outlineLevel="0" collapsed="false">
      <c r="H4224" s="0" t="str">
        <f aca="false">IF(B4224="","",IF(COUNTIF(Campaigns!$A$7:$A$300,B4224)&gt;0,"✓","⚠ add to Campaigns tab"))</f>
        <v/>
      </c>
      <c r="I4224" s="84" t="str">
        <f aca="false">IF(C4224="","",C4224*IF(Settings!$B$22=Settings!$C$6,1,IF(Settings!$B$22="USD",1/INDEX(Settings!$B$29:$B$40,MONTH(A4224)),INDEX(Settings!$B$29:$B$40,MONTH(A4224)))))</f>
        <v/>
      </c>
    </row>
    <row r="4225" customFormat="false" ht="15" hidden="false" customHeight="false" outlineLevel="0" collapsed="false">
      <c r="H4225" s="0" t="str">
        <f aca="false">IF(B4225="","",IF(COUNTIF(Campaigns!$A$7:$A$300,B4225)&gt;0,"✓","⚠ add to Campaigns tab"))</f>
        <v/>
      </c>
      <c r="I4225" s="84" t="str">
        <f aca="false">IF(C4225="","",C4225*IF(Settings!$B$22=Settings!$C$6,1,IF(Settings!$B$22="USD",1/INDEX(Settings!$B$29:$B$40,MONTH(A4225)),INDEX(Settings!$B$29:$B$40,MONTH(A4225)))))</f>
        <v/>
      </c>
    </row>
    <row r="4226" customFormat="false" ht="15" hidden="false" customHeight="false" outlineLevel="0" collapsed="false">
      <c r="H4226" s="0" t="str">
        <f aca="false">IF(B4226="","",IF(COUNTIF(Campaigns!$A$7:$A$300,B4226)&gt;0,"✓","⚠ add to Campaigns tab"))</f>
        <v/>
      </c>
      <c r="I4226" s="84" t="str">
        <f aca="false">IF(C4226="","",C4226*IF(Settings!$B$22=Settings!$C$6,1,IF(Settings!$B$22="USD",1/INDEX(Settings!$B$29:$B$40,MONTH(A4226)),INDEX(Settings!$B$29:$B$40,MONTH(A4226)))))</f>
        <v/>
      </c>
    </row>
    <row r="4227" customFormat="false" ht="15" hidden="false" customHeight="false" outlineLevel="0" collapsed="false">
      <c r="H4227" s="0" t="str">
        <f aca="false">IF(B4227="","",IF(COUNTIF(Campaigns!$A$7:$A$300,B4227)&gt;0,"✓","⚠ add to Campaigns tab"))</f>
        <v/>
      </c>
      <c r="I4227" s="84" t="str">
        <f aca="false">IF(C4227="","",C4227*IF(Settings!$B$22=Settings!$C$6,1,IF(Settings!$B$22="USD",1/INDEX(Settings!$B$29:$B$40,MONTH(A4227)),INDEX(Settings!$B$29:$B$40,MONTH(A4227)))))</f>
        <v/>
      </c>
    </row>
    <row r="4228" customFormat="false" ht="15" hidden="false" customHeight="false" outlineLevel="0" collapsed="false">
      <c r="H4228" s="0" t="str">
        <f aca="false">IF(B4228="","",IF(COUNTIF(Campaigns!$A$7:$A$300,B4228)&gt;0,"✓","⚠ add to Campaigns tab"))</f>
        <v/>
      </c>
      <c r="I4228" s="84" t="str">
        <f aca="false">IF(C4228="","",C4228*IF(Settings!$B$22=Settings!$C$6,1,IF(Settings!$B$22="USD",1/INDEX(Settings!$B$29:$B$40,MONTH(A4228)),INDEX(Settings!$B$29:$B$40,MONTH(A4228)))))</f>
        <v/>
      </c>
    </row>
    <row r="4229" customFormat="false" ht="15" hidden="false" customHeight="false" outlineLevel="0" collapsed="false">
      <c r="H4229" s="0" t="str">
        <f aca="false">IF(B4229="","",IF(COUNTIF(Campaigns!$A$7:$A$300,B4229)&gt;0,"✓","⚠ add to Campaigns tab"))</f>
        <v/>
      </c>
      <c r="I4229" s="84" t="str">
        <f aca="false">IF(C4229="","",C4229*IF(Settings!$B$22=Settings!$C$6,1,IF(Settings!$B$22="USD",1/INDEX(Settings!$B$29:$B$40,MONTH(A4229)),INDEX(Settings!$B$29:$B$40,MONTH(A4229)))))</f>
        <v/>
      </c>
    </row>
    <row r="4230" customFormat="false" ht="15" hidden="false" customHeight="false" outlineLevel="0" collapsed="false">
      <c r="H4230" s="0" t="str">
        <f aca="false">IF(B4230="","",IF(COUNTIF(Campaigns!$A$7:$A$300,B4230)&gt;0,"✓","⚠ add to Campaigns tab"))</f>
        <v/>
      </c>
      <c r="I4230" s="84" t="str">
        <f aca="false">IF(C4230="","",C4230*IF(Settings!$B$22=Settings!$C$6,1,IF(Settings!$B$22="USD",1/INDEX(Settings!$B$29:$B$40,MONTH(A4230)),INDEX(Settings!$B$29:$B$40,MONTH(A4230)))))</f>
        <v/>
      </c>
    </row>
    <row r="4231" customFormat="false" ht="15" hidden="false" customHeight="false" outlineLevel="0" collapsed="false">
      <c r="H4231" s="0" t="str">
        <f aca="false">IF(B4231="","",IF(COUNTIF(Campaigns!$A$7:$A$300,B4231)&gt;0,"✓","⚠ add to Campaigns tab"))</f>
        <v/>
      </c>
      <c r="I4231" s="84" t="str">
        <f aca="false">IF(C4231="","",C4231*IF(Settings!$B$22=Settings!$C$6,1,IF(Settings!$B$22="USD",1/INDEX(Settings!$B$29:$B$40,MONTH(A4231)),INDEX(Settings!$B$29:$B$40,MONTH(A4231)))))</f>
        <v/>
      </c>
    </row>
    <row r="4232" customFormat="false" ht="15" hidden="false" customHeight="false" outlineLevel="0" collapsed="false">
      <c r="H4232" s="0" t="str">
        <f aca="false">IF(B4232="","",IF(COUNTIF(Campaigns!$A$7:$A$300,B4232)&gt;0,"✓","⚠ add to Campaigns tab"))</f>
        <v/>
      </c>
      <c r="I4232" s="84" t="str">
        <f aca="false">IF(C4232="","",C4232*IF(Settings!$B$22=Settings!$C$6,1,IF(Settings!$B$22="USD",1/INDEX(Settings!$B$29:$B$40,MONTH(A4232)),INDEX(Settings!$B$29:$B$40,MONTH(A4232)))))</f>
        <v/>
      </c>
    </row>
    <row r="4233" customFormat="false" ht="15" hidden="false" customHeight="false" outlineLevel="0" collapsed="false">
      <c r="H4233" s="0" t="str">
        <f aca="false">IF(B4233="","",IF(COUNTIF(Campaigns!$A$7:$A$300,B4233)&gt;0,"✓","⚠ add to Campaigns tab"))</f>
        <v/>
      </c>
      <c r="I4233" s="84" t="str">
        <f aca="false">IF(C4233="","",C4233*IF(Settings!$B$22=Settings!$C$6,1,IF(Settings!$B$22="USD",1/INDEX(Settings!$B$29:$B$40,MONTH(A4233)),INDEX(Settings!$B$29:$B$40,MONTH(A4233)))))</f>
        <v/>
      </c>
    </row>
    <row r="4234" customFormat="false" ht="15" hidden="false" customHeight="false" outlineLevel="0" collapsed="false">
      <c r="H4234" s="0" t="str">
        <f aca="false">IF(B4234="","",IF(COUNTIF(Campaigns!$A$7:$A$300,B4234)&gt;0,"✓","⚠ add to Campaigns tab"))</f>
        <v/>
      </c>
      <c r="I4234" s="84" t="str">
        <f aca="false">IF(C4234="","",C4234*IF(Settings!$B$22=Settings!$C$6,1,IF(Settings!$B$22="USD",1/INDEX(Settings!$B$29:$B$40,MONTH(A4234)),INDEX(Settings!$B$29:$B$40,MONTH(A4234)))))</f>
        <v/>
      </c>
    </row>
    <row r="4235" customFormat="false" ht="15" hidden="false" customHeight="false" outlineLevel="0" collapsed="false">
      <c r="H4235" s="0" t="str">
        <f aca="false">IF(B4235="","",IF(COUNTIF(Campaigns!$A$7:$A$300,B4235)&gt;0,"✓","⚠ add to Campaigns tab"))</f>
        <v/>
      </c>
      <c r="I4235" s="84" t="str">
        <f aca="false">IF(C4235="","",C4235*IF(Settings!$B$22=Settings!$C$6,1,IF(Settings!$B$22="USD",1/INDEX(Settings!$B$29:$B$40,MONTH(A4235)),INDEX(Settings!$B$29:$B$40,MONTH(A4235)))))</f>
        <v/>
      </c>
    </row>
    <row r="4236" customFormat="false" ht="15" hidden="false" customHeight="false" outlineLevel="0" collapsed="false">
      <c r="H4236" s="0" t="str">
        <f aca="false">IF(B4236="","",IF(COUNTIF(Campaigns!$A$7:$A$300,B4236)&gt;0,"✓","⚠ add to Campaigns tab"))</f>
        <v/>
      </c>
      <c r="I4236" s="84" t="str">
        <f aca="false">IF(C4236="","",C4236*IF(Settings!$B$22=Settings!$C$6,1,IF(Settings!$B$22="USD",1/INDEX(Settings!$B$29:$B$40,MONTH(A4236)),INDEX(Settings!$B$29:$B$40,MONTH(A4236)))))</f>
        <v/>
      </c>
    </row>
    <row r="4237" customFormat="false" ht="15" hidden="false" customHeight="false" outlineLevel="0" collapsed="false">
      <c r="H4237" s="0" t="str">
        <f aca="false">IF(B4237="","",IF(COUNTIF(Campaigns!$A$7:$A$300,B4237)&gt;0,"✓","⚠ add to Campaigns tab"))</f>
        <v/>
      </c>
      <c r="I4237" s="84" t="str">
        <f aca="false">IF(C4237="","",C4237*IF(Settings!$B$22=Settings!$C$6,1,IF(Settings!$B$22="USD",1/INDEX(Settings!$B$29:$B$40,MONTH(A4237)),INDEX(Settings!$B$29:$B$40,MONTH(A4237)))))</f>
        <v/>
      </c>
    </row>
    <row r="4238" customFormat="false" ht="15" hidden="false" customHeight="false" outlineLevel="0" collapsed="false">
      <c r="H4238" s="0" t="str">
        <f aca="false">IF(B4238="","",IF(COUNTIF(Campaigns!$A$7:$A$300,B4238)&gt;0,"✓","⚠ add to Campaigns tab"))</f>
        <v/>
      </c>
      <c r="I4238" s="84" t="str">
        <f aca="false">IF(C4238="","",C4238*IF(Settings!$B$22=Settings!$C$6,1,IF(Settings!$B$22="USD",1/INDEX(Settings!$B$29:$B$40,MONTH(A4238)),INDEX(Settings!$B$29:$B$40,MONTH(A4238)))))</f>
        <v/>
      </c>
    </row>
    <row r="4239" customFormat="false" ht="15" hidden="false" customHeight="false" outlineLevel="0" collapsed="false">
      <c r="H4239" s="0" t="str">
        <f aca="false">IF(B4239="","",IF(COUNTIF(Campaigns!$A$7:$A$300,B4239)&gt;0,"✓","⚠ add to Campaigns tab"))</f>
        <v/>
      </c>
      <c r="I4239" s="84" t="str">
        <f aca="false">IF(C4239="","",C4239*IF(Settings!$B$22=Settings!$C$6,1,IF(Settings!$B$22="USD",1/INDEX(Settings!$B$29:$B$40,MONTH(A4239)),INDEX(Settings!$B$29:$B$40,MONTH(A4239)))))</f>
        <v/>
      </c>
    </row>
    <row r="4240" customFormat="false" ht="15" hidden="false" customHeight="false" outlineLevel="0" collapsed="false">
      <c r="H4240" s="0" t="str">
        <f aca="false">IF(B4240="","",IF(COUNTIF(Campaigns!$A$7:$A$300,B4240)&gt;0,"✓","⚠ add to Campaigns tab"))</f>
        <v/>
      </c>
      <c r="I4240" s="84" t="str">
        <f aca="false">IF(C4240="","",C4240*IF(Settings!$B$22=Settings!$C$6,1,IF(Settings!$B$22="USD",1/INDEX(Settings!$B$29:$B$40,MONTH(A4240)),INDEX(Settings!$B$29:$B$40,MONTH(A4240)))))</f>
        <v/>
      </c>
    </row>
    <row r="4241" customFormat="false" ht="15" hidden="false" customHeight="false" outlineLevel="0" collapsed="false">
      <c r="H4241" s="0" t="str">
        <f aca="false">IF(B4241="","",IF(COUNTIF(Campaigns!$A$7:$A$300,B4241)&gt;0,"✓","⚠ add to Campaigns tab"))</f>
        <v/>
      </c>
      <c r="I4241" s="84" t="str">
        <f aca="false">IF(C4241="","",C4241*IF(Settings!$B$22=Settings!$C$6,1,IF(Settings!$B$22="USD",1/INDEX(Settings!$B$29:$B$40,MONTH(A4241)),INDEX(Settings!$B$29:$B$40,MONTH(A4241)))))</f>
        <v/>
      </c>
    </row>
    <row r="4242" customFormat="false" ht="15" hidden="false" customHeight="false" outlineLevel="0" collapsed="false">
      <c r="H4242" s="0" t="str">
        <f aca="false">IF(B4242="","",IF(COUNTIF(Campaigns!$A$7:$A$300,B4242)&gt;0,"✓","⚠ add to Campaigns tab"))</f>
        <v/>
      </c>
      <c r="I4242" s="84" t="str">
        <f aca="false">IF(C4242="","",C4242*IF(Settings!$B$22=Settings!$C$6,1,IF(Settings!$B$22="USD",1/INDEX(Settings!$B$29:$B$40,MONTH(A4242)),INDEX(Settings!$B$29:$B$40,MONTH(A4242)))))</f>
        <v/>
      </c>
    </row>
    <row r="4243" customFormat="false" ht="15" hidden="false" customHeight="false" outlineLevel="0" collapsed="false">
      <c r="H4243" s="0" t="str">
        <f aca="false">IF(B4243="","",IF(COUNTIF(Campaigns!$A$7:$A$300,B4243)&gt;0,"✓","⚠ add to Campaigns tab"))</f>
        <v/>
      </c>
      <c r="I4243" s="84" t="str">
        <f aca="false">IF(C4243="","",C4243*IF(Settings!$B$22=Settings!$C$6,1,IF(Settings!$B$22="USD",1/INDEX(Settings!$B$29:$B$40,MONTH(A4243)),INDEX(Settings!$B$29:$B$40,MONTH(A4243)))))</f>
        <v/>
      </c>
    </row>
    <row r="4244" customFormat="false" ht="15" hidden="false" customHeight="false" outlineLevel="0" collapsed="false">
      <c r="H4244" s="0" t="str">
        <f aca="false">IF(B4244="","",IF(COUNTIF(Campaigns!$A$7:$A$300,B4244)&gt;0,"✓","⚠ add to Campaigns tab"))</f>
        <v/>
      </c>
      <c r="I4244" s="84" t="str">
        <f aca="false">IF(C4244="","",C4244*IF(Settings!$B$22=Settings!$C$6,1,IF(Settings!$B$22="USD",1/INDEX(Settings!$B$29:$B$40,MONTH(A4244)),INDEX(Settings!$B$29:$B$40,MONTH(A4244)))))</f>
        <v/>
      </c>
    </row>
    <row r="4245" customFormat="false" ht="15" hidden="false" customHeight="false" outlineLevel="0" collapsed="false">
      <c r="H4245" s="0" t="str">
        <f aca="false">IF(B4245="","",IF(COUNTIF(Campaigns!$A$7:$A$300,B4245)&gt;0,"✓","⚠ add to Campaigns tab"))</f>
        <v/>
      </c>
      <c r="I4245" s="84" t="str">
        <f aca="false">IF(C4245="","",C4245*IF(Settings!$B$22=Settings!$C$6,1,IF(Settings!$B$22="USD",1/INDEX(Settings!$B$29:$B$40,MONTH(A4245)),INDEX(Settings!$B$29:$B$40,MONTH(A4245)))))</f>
        <v/>
      </c>
    </row>
    <row r="4246" customFormat="false" ht="15" hidden="false" customHeight="false" outlineLevel="0" collapsed="false">
      <c r="H4246" s="0" t="str">
        <f aca="false">IF(B4246="","",IF(COUNTIF(Campaigns!$A$7:$A$300,B4246)&gt;0,"✓","⚠ add to Campaigns tab"))</f>
        <v/>
      </c>
      <c r="I4246" s="84" t="str">
        <f aca="false">IF(C4246="","",C4246*IF(Settings!$B$22=Settings!$C$6,1,IF(Settings!$B$22="USD",1/INDEX(Settings!$B$29:$B$40,MONTH(A4246)),INDEX(Settings!$B$29:$B$40,MONTH(A4246)))))</f>
        <v/>
      </c>
    </row>
    <row r="4247" customFormat="false" ht="15" hidden="false" customHeight="false" outlineLevel="0" collapsed="false">
      <c r="H4247" s="0" t="str">
        <f aca="false">IF(B4247="","",IF(COUNTIF(Campaigns!$A$7:$A$300,B4247)&gt;0,"✓","⚠ add to Campaigns tab"))</f>
        <v/>
      </c>
      <c r="I4247" s="84" t="str">
        <f aca="false">IF(C4247="","",C4247*IF(Settings!$B$22=Settings!$C$6,1,IF(Settings!$B$22="USD",1/INDEX(Settings!$B$29:$B$40,MONTH(A4247)),INDEX(Settings!$B$29:$B$40,MONTH(A4247)))))</f>
        <v/>
      </c>
    </row>
    <row r="4248" customFormat="false" ht="15" hidden="false" customHeight="false" outlineLevel="0" collapsed="false">
      <c r="H4248" s="0" t="str">
        <f aca="false">IF(B4248="","",IF(COUNTIF(Campaigns!$A$7:$A$300,B4248)&gt;0,"✓","⚠ add to Campaigns tab"))</f>
        <v/>
      </c>
      <c r="I4248" s="84" t="str">
        <f aca="false">IF(C4248="","",C4248*IF(Settings!$B$22=Settings!$C$6,1,IF(Settings!$B$22="USD",1/INDEX(Settings!$B$29:$B$40,MONTH(A4248)),INDEX(Settings!$B$29:$B$40,MONTH(A4248)))))</f>
        <v/>
      </c>
    </row>
    <row r="4249" customFormat="false" ht="15" hidden="false" customHeight="false" outlineLevel="0" collapsed="false">
      <c r="H4249" s="0" t="str">
        <f aca="false">IF(B4249="","",IF(COUNTIF(Campaigns!$A$7:$A$300,B4249)&gt;0,"✓","⚠ add to Campaigns tab"))</f>
        <v/>
      </c>
      <c r="I4249" s="84" t="str">
        <f aca="false">IF(C4249="","",C4249*IF(Settings!$B$22=Settings!$C$6,1,IF(Settings!$B$22="USD",1/INDEX(Settings!$B$29:$B$40,MONTH(A4249)),INDEX(Settings!$B$29:$B$40,MONTH(A4249)))))</f>
        <v/>
      </c>
    </row>
    <row r="4250" customFormat="false" ht="15" hidden="false" customHeight="false" outlineLevel="0" collapsed="false">
      <c r="H4250" s="0" t="str">
        <f aca="false">IF(B4250="","",IF(COUNTIF(Campaigns!$A$7:$A$300,B4250)&gt;0,"✓","⚠ add to Campaigns tab"))</f>
        <v/>
      </c>
      <c r="I4250" s="84" t="str">
        <f aca="false">IF(C4250="","",C4250*IF(Settings!$B$22=Settings!$C$6,1,IF(Settings!$B$22="USD",1/INDEX(Settings!$B$29:$B$40,MONTH(A4250)),INDEX(Settings!$B$29:$B$40,MONTH(A4250)))))</f>
        <v/>
      </c>
    </row>
    <row r="4251" customFormat="false" ht="15" hidden="false" customHeight="false" outlineLevel="0" collapsed="false">
      <c r="H4251" s="0" t="str">
        <f aca="false">IF(B4251="","",IF(COUNTIF(Campaigns!$A$7:$A$300,B4251)&gt;0,"✓","⚠ add to Campaigns tab"))</f>
        <v/>
      </c>
      <c r="I4251" s="84" t="str">
        <f aca="false">IF(C4251="","",C4251*IF(Settings!$B$22=Settings!$C$6,1,IF(Settings!$B$22="USD",1/INDEX(Settings!$B$29:$B$40,MONTH(A4251)),INDEX(Settings!$B$29:$B$40,MONTH(A4251)))))</f>
        <v/>
      </c>
    </row>
    <row r="4252" customFormat="false" ht="15" hidden="false" customHeight="false" outlineLevel="0" collapsed="false">
      <c r="H4252" s="0" t="str">
        <f aca="false">IF(B4252="","",IF(COUNTIF(Campaigns!$A$7:$A$300,B4252)&gt;0,"✓","⚠ add to Campaigns tab"))</f>
        <v/>
      </c>
      <c r="I4252" s="84" t="str">
        <f aca="false">IF(C4252="","",C4252*IF(Settings!$B$22=Settings!$C$6,1,IF(Settings!$B$22="USD",1/INDEX(Settings!$B$29:$B$40,MONTH(A4252)),INDEX(Settings!$B$29:$B$40,MONTH(A4252)))))</f>
        <v/>
      </c>
    </row>
    <row r="4253" customFormat="false" ht="15" hidden="false" customHeight="false" outlineLevel="0" collapsed="false">
      <c r="H4253" s="0" t="str">
        <f aca="false">IF(B4253="","",IF(COUNTIF(Campaigns!$A$7:$A$300,B4253)&gt;0,"✓","⚠ add to Campaigns tab"))</f>
        <v/>
      </c>
      <c r="I4253" s="84" t="str">
        <f aca="false">IF(C4253="","",C4253*IF(Settings!$B$22=Settings!$C$6,1,IF(Settings!$B$22="USD",1/INDEX(Settings!$B$29:$B$40,MONTH(A4253)),INDEX(Settings!$B$29:$B$40,MONTH(A4253)))))</f>
        <v/>
      </c>
    </row>
    <row r="4254" customFormat="false" ht="15" hidden="false" customHeight="false" outlineLevel="0" collapsed="false">
      <c r="H4254" s="0" t="str">
        <f aca="false">IF(B4254="","",IF(COUNTIF(Campaigns!$A$7:$A$300,B4254)&gt;0,"✓","⚠ add to Campaigns tab"))</f>
        <v/>
      </c>
      <c r="I4254" s="84" t="str">
        <f aca="false">IF(C4254="","",C4254*IF(Settings!$B$22=Settings!$C$6,1,IF(Settings!$B$22="USD",1/INDEX(Settings!$B$29:$B$40,MONTH(A4254)),INDEX(Settings!$B$29:$B$40,MONTH(A4254)))))</f>
        <v/>
      </c>
    </row>
    <row r="4255" customFormat="false" ht="15" hidden="false" customHeight="false" outlineLevel="0" collapsed="false">
      <c r="H4255" s="0" t="str">
        <f aca="false">IF(B4255="","",IF(COUNTIF(Campaigns!$A$7:$A$300,B4255)&gt;0,"✓","⚠ add to Campaigns tab"))</f>
        <v/>
      </c>
      <c r="I4255" s="84" t="str">
        <f aca="false">IF(C4255="","",C4255*IF(Settings!$B$22=Settings!$C$6,1,IF(Settings!$B$22="USD",1/INDEX(Settings!$B$29:$B$40,MONTH(A4255)),INDEX(Settings!$B$29:$B$40,MONTH(A4255)))))</f>
        <v/>
      </c>
    </row>
    <row r="4256" customFormat="false" ht="15" hidden="false" customHeight="false" outlineLevel="0" collapsed="false">
      <c r="H4256" s="0" t="str">
        <f aca="false">IF(B4256="","",IF(COUNTIF(Campaigns!$A$7:$A$300,B4256)&gt;0,"✓","⚠ add to Campaigns tab"))</f>
        <v/>
      </c>
      <c r="I4256" s="84" t="str">
        <f aca="false">IF(C4256="","",C4256*IF(Settings!$B$22=Settings!$C$6,1,IF(Settings!$B$22="USD",1/INDEX(Settings!$B$29:$B$40,MONTH(A4256)),INDEX(Settings!$B$29:$B$40,MONTH(A4256)))))</f>
        <v/>
      </c>
    </row>
    <row r="4257" customFormat="false" ht="15" hidden="false" customHeight="false" outlineLevel="0" collapsed="false">
      <c r="H4257" s="0" t="str">
        <f aca="false">IF(B4257="","",IF(COUNTIF(Campaigns!$A$7:$A$300,B4257)&gt;0,"✓","⚠ add to Campaigns tab"))</f>
        <v/>
      </c>
      <c r="I4257" s="84" t="str">
        <f aca="false">IF(C4257="","",C4257*IF(Settings!$B$22=Settings!$C$6,1,IF(Settings!$B$22="USD",1/INDEX(Settings!$B$29:$B$40,MONTH(A4257)),INDEX(Settings!$B$29:$B$40,MONTH(A4257)))))</f>
        <v/>
      </c>
    </row>
    <row r="4258" customFormat="false" ht="15" hidden="false" customHeight="false" outlineLevel="0" collapsed="false">
      <c r="H4258" s="0" t="str">
        <f aca="false">IF(B4258="","",IF(COUNTIF(Campaigns!$A$7:$A$300,B4258)&gt;0,"✓","⚠ add to Campaigns tab"))</f>
        <v/>
      </c>
      <c r="I4258" s="84" t="str">
        <f aca="false">IF(C4258="","",C4258*IF(Settings!$B$22=Settings!$C$6,1,IF(Settings!$B$22="USD",1/INDEX(Settings!$B$29:$B$40,MONTH(A4258)),INDEX(Settings!$B$29:$B$40,MONTH(A4258)))))</f>
        <v/>
      </c>
    </row>
    <row r="4259" customFormat="false" ht="15" hidden="false" customHeight="false" outlineLevel="0" collapsed="false">
      <c r="H4259" s="0" t="str">
        <f aca="false">IF(B4259="","",IF(COUNTIF(Campaigns!$A$7:$A$300,B4259)&gt;0,"✓","⚠ add to Campaigns tab"))</f>
        <v/>
      </c>
      <c r="I4259" s="84" t="str">
        <f aca="false">IF(C4259="","",C4259*IF(Settings!$B$22=Settings!$C$6,1,IF(Settings!$B$22="USD",1/INDEX(Settings!$B$29:$B$40,MONTH(A4259)),INDEX(Settings!$B$29:$B$40,MONTH(A4259)))))</f>
        <v/>
      </c>
    </row>
    <row r="4260" customFormat="false" ht="15" hidden="false" customHeight="false" outlineLevel="0" collapsed="false">
      <c r="H4260" s="0" t="str">
        <f aca="false">IF(B4260="","",IF(COUNTIF(Campaigns!$A$7:$A$300,B4260)&gt;0,"✓","⚠ add to Campaigns tab"))</f>
        <v/>
      </c>
      <c r="I4260" s="84" t="str">
        <f aca="false">IF(C4260="","",C4260*IF(Settings!$B$22=Settings!$C$6,1,IF(Settings!$B$22="USD",1/INDEX(Settings!$B$29:$B$40,MONTH(A4260)),INDEX(Settings!$B$29:$B$40,MONTH(A4260)))))</f>
        <v/>
      </c>
    </row>
    <row r="4261" customFormat="false" ht="15" hidden="false" customHeight="false" outlineLevel="0" collapsed="false">
      <c r="H4261" s="0" t="str">
        <f aca="false">IF(B4261="","",IF(COUNTIF(Campaigns!$A$7:$A$300,B4261)&gt;0,"✓","⚠ add to Campaigns tab"))</f>
        <v/>
      </c>
      <c r="I4261" s="84" t="str">
        <f aca="false">IF(C4261="","",C4261*IF(Settings!$B$22=Settings!$C$6,1,IF(Settings!$B$22="USD",1/INDEX(Settings!$B$29:$B$40,MONTH(A4261)),INDEX(Settings!$B$29:$B$40,MONTH(A4261)))))</f>
        <v/>
      </c>
    </row>
    <row r="4262" customFormat="false" ht="15" hidden="false" customHeight="false" outlineLevel="0" collapsed="false">
      <c r="H4262" s="0" t="str">
        <f aca="false">IF(B4262="","",IF(COUNTIF(Campaigns!$A$7:$A$300,B4262)&gt;0,"✓","⚠ add to Campaigns tab"))</f>
        <v/>
      </c>
      <c r="I4262" s="84" t="str">
        <f aca="false">IF(C4262="","",C4262*IF(Settings!$B$22=Settings!$C$6,1,IF(Settings!$B$22="USD",1/INDEX(Settings!$B$29:$B$40,MONTH(A4262)),INDEX(Settings!$B$29:$B$40,MONTH(A4262)))))</f>
        <v/>
      </c>
    </row>
    <row r="4263" customFormat="false" ht="15" hidden="false" customHeight="false" outlineLevel="0" collapsed="false">
      <c r="H4263" s="0" t="str">
        <f aca="false">IF(B4263="","",IF(COUNTIF(Campaigns!$A$7:$A$300,B4263)&gt;0,"✓","⚠ add to Campaigns tab"))</f>
        <v/>
      </c>
      <c r="I4263" s="84" t="str">
        <f aca="false">IF(C4263="","",C4263*IF(Settings!$B$22=Settings!$C$6,1,IF(Settings!$B$22="USD",1/INDEX(Settings!$B$29:$B$40,MONTH(A4263)),INDEX(Settings!$B$29:$B$40,MONTH(A4263)))))</f>
        <v/>
      </c>
    </row>
    <row r="4264" customFormat="false" ht="15" hidden="false" customHeight="false" outlineLevel="0" collapsed="false">
      <c r="H4264" s="0" t="str">
        <f aca="false">IF(B4264="","",IF(COUNTIF(Campaigns!$A$7:$A$300,B4264)&gt;0,"✓","⚠ add to Campaigns tab"))</f>
        <v/>
      </c>
      <c r="I4264" s="84" t="str">
        <f aca="false">IF(C4264="","",C4264*IF(Settings!$B$22=Settings!$C$6,1,IF(Settings!$B$22="USD",1/INDEX(Settings!$B$29:$B$40,MONTH(A4264)),INDEX(Settings!$B$29:$B$40,MONTH(A4264)))))</f>
        <v/>
      </c>
    </row>
    <row r="4265" customFormat="false" ht="15" hidden="false" customHeight="false" outlineLevel="0" collapsed="false">
      <c r="H4265" s="0" t="str">
        <f aca="false">IF(B4265="","",IF(COUNTIF(Campaigns!$A$7:$A$300,B4265)&gt;0,"✓","⚠ add to Campaigns tab"))</f>
        <v/>
      </c>
      <c r="I4265" s="84" t="str">
        <f aca="false">IF(C4265="","",C4265*IF(Settings!$B$22=Settings!$C$6,1,IF(Settings!$B$22="USD",1/INDEX(Settings!$B$29:$B$40,MONTH(A4265)),INDEX(Settings!$B$29:$B$40,MONTH(A4265)))))</f>
        <v/>
      </c>
    </row>
    <row r="4266" customFormat="false" ht="15" hidden="false" customHeight="false" outlineLevel="0" collapsed="false">
      <c r="H4266" s="0" t="str">
        <f aca="false">IF(B4266="","",IF(COUNTIF(Campaigns!$A$7:$A$300,B4266)&gt;0,"✓","⚠ add to Campaigns tab"))</f>
        <v/>
      </c>
      <c r="I4266" s="84" t="str">
        <f aca="false">IF(C4266="","",C4266*IF(Settings!$B$22=Settings!$C$6,1,IF(Settings!$B$22="USD",1/INDEX(Settings!$B$29:$B$40,MONTH(A4266)),INDEX(Settings!$B$29:$B$40,MONTH(A4266)))))</f>
        <v/>
      </c>
    </row>
    <row r="4267" customFormat="false" ht="15" hidden="false" customHeight="false" outlineLevel="0" collapsed="false">
      <c r="H4267" s="0" t="str">
        <f aca="false">IF(B4267="","",IF(COUNTIF(Campaigns!$A$7:$A$300,B4267)&gt;0,"✓","⚠ add to Campaigns tab"))</f>
        <v/>
      </c>
      <c r="I4267" s="84" t="str">
        <f aca="false">IF(C4267="","",C4267*IF(Settings!$B$22=Settings!$C$6,1,IF(Settings!$B$22="USD",1/INDEX(Settings!$B$29:$B$40,MONTH(A4267)),INDEX(Settings!$B$29:$B$40,MONTH(A4267)))))</f>
        <v/>
      </c>
    </row>
    <row r="4268" customFormat="false" ht="15" hidden="false" customHeight="false" outlineLevel="0" collapsed="false">
      <c r="H4268" s="0" t="str">
        <f aca="false">IF(B4268="","",IF(COUNTIF(Campaigns!$A$7:$A$300,B4268)&gt;0,"✓","⚠ add to Campaigns tab"))</f>
        <v/>
      </c>
      <c r="I4268" s="84" t="str">
        <f aca="false">IF(C4268="","",C4268*IF(Settings!$B$22=Settings!$C$6,1,IF(Settings!$B$22="USD",1/INDEX(Settings!$B$29:$B$40,MONTH(A4268)),INDEX(Settings!$B$29:$B$40,MONTH(A4268)))))</f>
        <v/>
      </c>
    </row>
    <row r="4269" customFormat="false" ht="15" hidden="false" customHeight="false" outlineLevel="0" collapsed="false">
      <c r="H4269" s="0" t="str">
        <f aca="false">IF(B4269="","",IF(COUNTIF(Campaigns!$A$7:$A$300,B4269)&gt;0,"✓","⚠ add to Campaigns tab"))</f>
        <v/>
      </c>
      <c r="I4269" s="84" t="str">
        <f aca="false">IF(C4269="","",C4269*IF(Settings!$B$22=Settings!$C$6,1,IF(Settings!$B$22="USD",1/INDEX(Settings!$B$29:$B$40,MONTH(A4269)),INDEX(Settings!$B$29:$B$40,MONTH(A4269)))))</f>
        <v/>
      </c>
    </row>
    <row r="4270" customFormat="false" ht="15" hidden="false" customHeight="false" outlineLevel="0" collapsed="false">
      <c r="H4270" s="0" t="str">
        <f aca="false">IF(B4270="","",IF(COUNTIF(Campaigns!$A$7:$A$300,B4270)&gt;0,"✓","⚠ add to Campaigns tab"))</f>
        <v/>
      </c>
      <c r="I4270" s="84" t="str">
        <f aca="false">IF(C4270="","",C4270*IF(Settings!$B$22=Settings!$C$6,1,IF(Settings!$B$22="USD",1/INDEX(Settings!$B$29:$B$40,MONTH(A4270)),INDEX(Settings!$B$29:$B$40,MONTH(A4270)))))</f>
        <v/>
      </c>
    </row>
    <row r="4271" customFormat="false" ht="15" hidden="false" customHeight="false" outlineLevel="0" collapsed="false">
      <c r="H4271" s="0" t="str">
        <f aca="false">IF(B4271="","",IF(COUNTIF(Campaigns!$A$7:$A$300,B4271)&gt;0,"✓","⚠ add to Campaigns tab"))</f>
        <v/>
      </c>
      <c r="I4271" s="84" t="str">
        <f aca="false">IF(C4271="","",C4271*IF(Settings!$B$22=Settings!$C$6,1,IF(Settings!$B$22="USD",1/INDEX(Settings!$B$29:$B$40,MONTH(A4271)),INDEX(Settings!$B$29:$B$40,MONTH(A4271)))))</f>
        <v/>
      </c>
    </row>
    <row r="4272" customFormat="false" ht="15" hidden="false" customHeight="false" outlineLevel="0" collapsed="false">
      <c r="H4272" s="0" t="str">
        <f aca="false">IF(B4272="","",IF(COUNTIF(Campaigns!$A$7:$A$300,B4272)&gt;0,"✓","⚠ add to Campaigns tab"))</f>
        <v/>
      </c>
      <c r="I4272" s="84" t="str">
        <f aca="false">IF(C4272="","",C4272*IF(Settings!$B$22=Settings!$C$6,1,IF(Settings!$B$22="USD",1/INDEX(Settings!$B$29:$B$40,MONTH(A4272)),INDEX(Settings!$B$29:$B$40,MONTH(A4272)))))</f>
        <v/>
      </c>
    </row>
    <row r="4273" customFormat="false" ht="15" hidden="false" customHeight="false" outlineLevel="0" collapsed="false">
      <c r="H4273" s="0" t="str">
        <f aca="false">IF(B4273="","",IF(COUNTIF(Campaigns!$A$7:$A$300,B4273)&gt;0,"✓","⚠ add to Campaigns tab"))</f>
        <v/>
      </c>
      <c r="I4273" s="84" t="str">
        <f aca="false">IF(C4273="","",C4273*IF(Settings!$B$22=Settings!$C$6,1,IF(Settings!$B$22="USD",1/INDEX(Settings!$B$29:$B$40,MONTH(A4273)),INDEX(Settings!$B$29:$B$40,MONTH(A4273)))))</f>
        <v/>
      </c>
    </row>
    <row r="4274" customFormat="false" ht="15" hidden="false" customHeight="false" outlineLevel="0" collapsed="false">
      <c r="H4274" s="0" t="str">
        <f aca="false">IF(B4274="","",IF(COUNTIF(Campaigns!$A$7:$A$300,B4274)&gt;0,"✓","⚠ add to Campaigns tab"))</f>
        <v/>
      </c>
      <c r="I4274" s="84" t="str">
        <f aca="false">IF(C4274="","",C4274*IF(Settings!$B$22=Settings!$C$6,1,IF(Settings!$B$22="USD",1/INDEX(Settings!$B$29:$B$40,MONTH(A4274)),INDEX(Settings!$B$29:$B$40,MONTH(A4274)))))</f>
        <v/>
      </c>
    </row>
    <row r="4275" customFormat="false" ht="15" hidden="false" customHeight="false" outlineLevel="0" collapsed="false">
      <c r="H4275" s="0" t="str">
        <f aca="false">IF(B4275="","",IF(COUNTIF(Campaigns!$A$7:$A$300,B4275)&gt;0,"✓","⚠ add to Campaigns tab"))</f>
        <v/>
      </c>
      <c r="I4275" s="84" t="str">
        <f aca="false">IF(C4275="","",C4275*IF(Settings!$B$22=Settings!$C$6,1,IF(Settings!$B$22="USD",1/INDEX(Settings!$B$29:$B$40,MONTH(A4275)),INDEX(Settings!$B$29:$B$40,MONTH(A4275)))))</f>
        <v/>
      </c>
    </row>
    <row r="4276" customFormat="false" ht="15" hidden="false" customHeight="false" outlineLevel="0" collapsed="false">
      <c r="H4276" s="0" t="str">
        <f aca="false">IF(B4276="","",IF(COUNTIF(Campaigns!$A$7:$A$300,B4276)&gt;0,"✓","⚠ add to Campaigns tab"))</f>
        <v/>
      </c>
      <c r="I4276" s="84" t="str">
        <f aca="false">IF(C4276="","",C4276*IF(Settings!$B$22=Settings!$C$6,1,IF(Settings!$B$22="USD",1/INDEX(Settings!$B$29:$B$40,MONTH(A4276)),INDEX(Settings!$B$29:$B$40,MONTH(A4276)))))</f>
        <v/>
      </c>
    </row>
    <row r="4277" customFormat="false" ht="15" hidden="false" customHeight="false" outlineLevel="0" collapsed="false">
      <c r="H4277" s="0" t="str">
        <f aca="false">IF(B4277="","",IF(COUNTIF(Campaigns!$A$7:$A$300,B4277)&gt;0,"✓","⚠ add to Campaigns tab"))</f>
        <v/>
      </c>
      <c r="I4277" s="84" t="str">
        <f aca="false">IF(C4277="","",C4277*IF(Settings!$B$22=Settings!$C$6,1,IF(Settings!$B$22="USD",1/INDEX(Settings!$B$29:$B$40,MONTH(A4277)),INDEX(Settings!$B$29:$B$40,MONTH(A4277)))))</f>
        <v/>
      </c>
    </row>
    <row r="4278" customFormat="false" ht="15" hidden="false" customHeight="false" outlineLevel="0" collapsed="false">
      <c r="H4278" s="0" t="str">
        <f aca="false">IF(B4278="","",IF(COUNTIF(Campaigns!$A$7:$A$300,B4278)&gt;0,"✓","⚠ add to Campaigns tab"))</f>
        <v/>
      </c>
      <c r="I4278" s="84" t="str">
        <f aca="false">IF(C4278="","",C4278*IF(Settings!$B$22=Settings!$C$6,1,IF(Settings!$B$22="USD",1/INDEX(Settings!$B$29:$B$40,MONTH(A4278)),INDEX(Settings!$B$29:$B$40,MONTH(A4278)))))</f>
        <v/>
      </c>
    </row>
    <row r="4279" customFormat="false" ht="15" hidden="false" customHeight="false" outlineLevel="0" collapsed="false">
      <c r="H4279" s="0" t="str">
        <f aca="false">IF(B4279="","",IF(COUNTIF(Campaigns!$A$7:$A$300,B4279)&gt;0,"✓","⚠ add to Campaigns tab"))</f>
        <v/>
      </c>
      <c r="I4279" s="84" t="str">
        <f aca="false">IF(C4279="","",C4279*IF(Settings!$B$22=Settings!$C$6,1,IF(Settings!$B$22="USD",1/INDEX(Settings!$B$29:$B$40,MONTH(A4279)),INDEX(Settings!$B$29:$B$40,MONTH(A4279)))))</f>
        <v/>
      </c>
    </row>
    <row r="4280" customFormat="false" ht="15" hidden="false" customHeight="false" outlineLevel="0" collapsed="false">
      <c r="H4280" s="0" t="str">
        <f aca="false">IF(B4280="","",IF(COUNTIF(Campaigns!$A$7:$A$300,B4280)&gt;0,"✓","⚠ add to Campaigns tab"))</f>
        <v/>
      </c>
      <c r="I4280" s="84" t="str">
        <f aca="false">IF(C4280="","",C4280*IF(Settings!$B$22=Settings!$C$6,1,IF(Settings!$B$22="USD",1/INDEX(Settings!$B$29:$B$40,MONTH(A4280)),INDEX(Settings!$B$29:$B$40,MONTH(A4280)))))</f>
        <v/>
      </c>
    </row>
    <row r="4281" customFormat="false" ht="15" hidden="false" customHeight="false" outlineLevel="0" collapsed="false">
      <c r="H4281" s="0" t="str">
        <f aca="false">IF(B4281="","",IF(COUNTIF(Campaigns!$A$7:$A$300,B4281)&gt;0,"✓","⚠ add to Campaigns tab"))</f>
        <v/>
      </c>
      <c r="I4281" s="84" t="str">
        <f aca="false">IF(C4281="","",C4281*IF(Settings!$B$22=Settings!$C$6,1,IF(Settings!$B$22="USD",1/INDEX(Settings!$B$29:$B$40,MONTH(A4281)),INDEX(Settings!$B$29:$B$40,MONTH(A4281)))))</f>
        <v/>
      </c>
    </row>
    <row r="4282" customFormat="false" ht="15" hidden="false" customHeight="false" outlineLevel="0" collapsed="false">
      <c r="H4282" s="0" t="str">
        <f aca="false">IF(B4282="","",IF(COUNTIF(Campaigns!$A$7:$A$300,B4282)&gt;0,"✓","⚠ add to Campaigns tab"))</f>
        <v/>
      </c>
      <c r="I4282" s="84" t="str">
        <f aca="false">IF(C4282="","",C4282*IF(Settings!$B$22=Settings!$C$6,1,IF(Settings!$B$22="USD",1/INDEX(Settings!$B$29:$B$40,MONTH(A4282)),INDEX(Settings!$B$29:$B$40,MONTH(A4282)))))</f>
        <v/>
      </c>
    </row>
    <row r="4283" customFormat="false" ht="15" hidden="false" customHeight="false" outlineLevel="0" collapsed="false">
      <c r="H4283" s="0" t="str">
        <f aca="false">IF(B4283="","",IF(COUNTIF(Campaigns!$A$7:$A$300,B4283)&gt;0,"✓","⚠ add to Campaigns tab"))</f>
        <v/>
      </c>
      <c r="I4283" s="84" t="str">
        <f aca="false">IF(C4283="","",C4283*IF(Settings!$B$22=Settings!$C$6,1,IF(Settings!$B$22="USD",1/INDEX(Settings!$B$29:$B$40,MONTH(A4283)),INDEX(Settings!$B$29:$B$40,MONTH(A4283)))))</f>
        <v/>
      </c>
    </row>
    <row r="4284" customFormat="false" ht="15" hidden="false" customHeight="false" outlineLevel="0" collapsed="false">
      <c r="H4284" s="0" t="str">
        <f aca="false">IF(B4284="","",IF(COUNTIF(Campaigns!$A$7:$A$300,B4284)&gt;0,"✓","⚠ add to Campaigns tab"))</f>
        <v/>
      </c>
      <c r="I4284" s="84" t="str">
        <f aca="false">IF(C4284="","",C4284*IF(Settings!$B$22=Settings!$C$6,1,IF(Settings!$B$22="USD",1/INDEX(Settings!$B$29:$B$40,MONTH(A4284)),INDEX(Settings!$B$29:$B$40,MONTH(A4284)))))</f>
        <v/>
      </c>
    </row>
    <row r="4285" customFormat="false" ht="15" hidden="false" customHeight="false" outlineLevel="0" collapsed="false">
      <c r="H4285" s="0" t="str">
        <f aca="false">IF(B4285="","",IF(COUNTIF(Campaigns!$A$7:$A$300,B4285)&gt;0,"✓","⚠ add to Campaigns tab"))</f>
        <v/>
      </c>
      <c r="I4285" s="84" t="str">
        <f aca="false">IF(C4285="","",C4285*IF(Settings!$B$22=Settings!$C$6,1,IF(Settings!$B$22="USD",1/INDEX(Settings!$B$29:$B$40,MONTH(A4285)),INDEX(Settings!$B$29:$B$40,MONTH(A4285)))))</f>
        <v/>
      </c>
    </row>
    <row r="4286" customFormat="false" ht="15" hidden="false" customHeight="false" outlineLevel="0" collapsed="false">
      <c r="H4286" s="0" t="str">
        <f aca="false">IF(B4286="","",IF(COUNTIF(Campaigns!$A$7:$A$300,B4286)&gt;0,"✓","⚠ add to Campaigns tab"))</f>
        <v/>
      </c>
      <c r="I4286" s="84" t="str">
        <f aca="false">IF(C4286="","",C4286*IF(Settings!$B$22=Settings!$C$6,1,IF(Settings!$B$22="USD",1/INDEX(Settings!$B$29:$B$40,MONTH(A4286)),INDEX(Settings!$B$29:$B$40,MONTH(A4286)))))</f>
        <v/>
      </c>
    </row>
    <row r="4287" customFormat="false" ht="15" hidden="false" customHeight="false" outlineLevel="0" collapsed="false">
      <c r="H4287" s="0" t="str">
        <f aca="false">IF(B4287="","",IF(COUNTIF(Campaigns!$A$7:$A$300,B4287)&gt;0,"✓","⚠ add to Campaigns tab"))</f>
        <v/>
      </c>
      <c r="I4287" s="84" t="str">
        <f aca="false">IF(C4287="","",C4287*IF(Settings!$B$22=Settings!$C$6,1,IF(Settings!$B$22="USD",1/INDEX(Settings!$B$29:$B$40,MONTH(A4287)),INDEX(Settings!$B$29:$B$40,MONTH(A4287)))))</f>
        <v/>
      </c>
    </row>
    <row r="4288" customFormat="false" ht="15" hidden="false" customHeight="false" outlineLevel="0" collapsed="false">
      <c r="H4288" s="0" t="str">
        <f aca="false">IF(B4288="","",IF(COUNTIF(Campaigns!$A$7:$A$300,B4288)&gt;0,"✓","⚠ add to Campaigns tab"))</f>
        <v/>
      </c>
      <c r="I4288" s="84" t="str">
        <f aca="false">IF(C4288="","",C4288*IF(Settings!$B$22=Settings!$C$6,1,IF(Settings!$B$22="USD",1/INDEX(Settings!$B$29:$B$40,MONTH(A4288)),INDEX(Settings!$B$29:$B$40,MONTH(A4288)))))</f>
        <v/>
      </c>
    </row>
    <row r="4289" customFormat="false" ht="15" hidden="false" customHeight="false" outlineLevel="0" collapsed="false">
      <c r="H4289" s="0" t="str">
        <f aca="false">IF(B4289="","",IF(COUNTIF(Campaigns!$A$7:$A$300,B4289)&gt;0,"✓","⚠ add to Campaigns tab"))</f>
        <v/>
      </c>
      <c r="I4289" s="84" t="str">
        <f aca="false">IF(C4289="","",C4289*IF(Settings!$B$22=Settings!$C$6,1,IF(Settings!$B$22="USD",1/INDEX(Settings!$B$29:$B$40,MONTH(A4289)),INDEX(Settings!$B$29:$B$40,MONTH(A4289)))))</f>
        <v/>
      </c>
    </row>
    <row r="4290" customFormat="false" ht="15" hidden="false" customHeight="false" outlineLevel="0" collapsed="false">
      <c r="H4290" s="0" t="str">
        <f aca="false">IF(B4290="","",IF(COUNTIF(Campaigns!$A$7:$A$300,B4290)&gt;0,"✓","⚠ add to Campaigns tab"))</f>
        <v/>
      </c>
      <c r="I4290" s="84" t="str">
        <f aca="false">IF(C4290="","",C4290*IF(Settings!$B$22=Settings!$C$6,1,IF(Settings!$B$22="USD",1/INDEX(Settings!$B$29:$B$40,MONTH(A4290)),INDEX(Settings!$B$29:$B$40,MONTH(A4290)))))</f>
        <v/>
      </c>
    </row>
    <row r="4291" customFormat="false" ht="15" hidden="false" customHeight="false" outlineLevel="0" collapsed="false">
      <c r="H4291" s="0" t="str">
        <f aca="false">IF(B4291="","",IF(COUNTIF(Campaigns!$A$7:$A$300,B4291)&gt;0,"✓","⚠ add to Campaigns tab"))</f>
        <v/>
      </c>
      <c r="I4291" s="84" t="str">
        <f aca="false">IF(C4291="","",C4291*IF(Settings!$B$22=Settings!$C$6,1,IF(Settings!$B$22="USD",1/INDEX(Settings!$B$29:$B$40,MONTH(A4291)),INDEX(Settings!$B$29:$B$40,MONTH(A4291)))))</f>
        <v/>
      </c>
    </row>
    <row r="4292" customFormat="false" ht="15" hidden="false" customHeight="false" outlineLevel="0" collapsed="false">
      <c r="H4292" s="0" t="str">
        <f aca="false">IF(B4292="","",IF(COUNTIF(Campaigns!$A$7:$A$300,B4292)&gt;0,"✓","⚠ add to Campaigns tab"))</f>
        <v/>
      </c>
      <c r="I4292" s="84" t="str">
        <f aca="false">IF(C4292="","",C4292*IF(Settings!$B$22=Settings!$C$6,1,IF(Settings!$B$22="USD",1/INDEX(Settings!$B$29:$B$40,MONTH(A4292)),INDEX(Settings!$B$29:$B$40,MONTH(A4292)))))</f>
        <v/>
      </c>
    </row>
    <row r="4293" customFormat="false" ht="15" hidden="false" customHeight="false" outlineLevel="0" collapsed="false">
      <c r="H4293" s="0" t="str">
        <f aca="false">IF(B4293="","",IF(COUNTIF(Campaigns!$A$7:$A$300,B4293)&gt;0,"✓","⚠ add to Campaigns tab"))</f>
        <v/>
      </c>
      <c r="I4293" s="84" t="str">
        <f aca="false">IF(C4293="","",C4293*IF(Settings!$B$22=Settings!$C$6,1,IF(Settings!$B$22="USD",1/INDEX(Settings!$B$29:$B$40,MONTH(A4293)),INDEX(Settings!$B$29:$B$40,MONTH(A4293)))))</f>
        <v/>
      </c>
    </row>
    <row r="4294" customFormat="false" ht="15" hidden="false" customHeight="false" outlineLevel="0" collapsed="false">
      <c r="H4294" s="0" t="str">
        <f aca="false">IF(B4294="","",IF(COUNTIF(Campaigns!$A$7:$A$300,B4294)&gt;0,"✓","⚠ add to Campaigns tab"))</f>
        <v/>
      </c>
      <c r="I4294" s="84" t="str">
        <f aca="false">IF(C4294="","",C4294*IF(Settings!$B$22=Settings!$C$6,1,IF(Settings!$B$22="USD",1/INDEX(Settings!$B$29:$B$40,MONTH(A4294)),INDEX(Settings!$B$29:$B$40,MONTH(A4294)))))</f>
        <v/>
      </c>
    </row>
    <row r="4295" customFormat="false" ht="15" hidden="false" customHeight="false" outlineLevel="0" collapsed="false">
      <c r="H4295" s="0" t="str">
        <f aca="false">IF(B4295="","",IF(COUNTIF(Campaigns!$A$7:$A$300,B4295)&gt;0,"✓","⚠ add to Campaigns tab"))</f>
        <v/>
      </c>
      <c r="I4295" s="84" t="str">
        <f aca="false">IF(C4295="","",C4295*IF(Settings!$B$22=Settings!$C$6,1,IF(Settings!$B$22="USD",1/INDEX(Settings!$B$29:$B$40,MONTH(A4295)),INDEX(Settings!$B$29:$B$40,MONTH(A4295)))))</f>
        <v/>
      </c>
    </row>
    <row r="4296" customFormat="false" ht="15" hidden="false" customHeight="false" outlineLevel="0" collapsed="false">
      <c r="H4296" s="0" t="str">
        <f aca="false">IF(B4296="","",IF(COUNTIF(Campaigns!$A$7:$A$300,B4296)&gt;0,"✓","⚠ add to Campaigns tab"))</f>
        <v/>
      </c>
      <c r="I4296" s="84" t="str">
        <f aca="false">IF(C4296="","",C4296*IF(Settings!$B$22=Settings!$C$6,1,IF(Settings!$B$22="USD",1/INDEX(Settings!$B$29:$B$40,MONTH(A4296)),INDEX(Settings!$B$29:$B$40,MONTH(A4296)))))</f>
        <v/>
      </c>
    </row>
    <row r="4297" customFormat="false" ht="15" hidden="false" customHeight="false" outlineLevel="0" collapsed="false">
      <c r="H4297" s="0" t="str">
        <f aca="false">IF(B4297="","",IF(COUNTIF(Campaigns!$A$7:$A$300,B4297)&gt;0,"✓","⚠ add to Campaigns tab"))</f>
        <v/>
      </c>
      <c r="I4297" s="84" t="str">
        <f aca="false">IF(C4297="","",C4297*IF(Settings!$B$22=Settings!$C$6,1,IF(Settings!$B$22="USD",1/INDEX(Settings!$B$29:$B$40,MONTH(A4297)),INDEX(Settings!$B$29:$B$40,MONTH(A4297)))))</f>
        <v/>
      </c>
    </row>
    <row r="4298" customFormat="false" ht="15" hidden="false" customHeight="false" outlineLevel="0" collapsed="false">
      <c r="H4298" s="0" t="str">
        <f aca="false">IF(B4298="","",IF(COUNTIF(Campaigns!$A$7:$A$300,B4298)&gt;0,"✓","⚠ add to Campaigns tab"))</f>
        <v/>
      </c>
      <c r="I4298" s="84" t="str">
        <f aca="false">IF(C4298="","",C4298*IF(Settings!$B$22=Settings!$C$6,1,IF(Settings!$B$22="USD",1/INDEX(Settings!$B$29:$B$40,MONTH(A4298)),INDEX(Settings!$B$29:$B$40,MONTH(A4298)))))</f>
        <v/>
      </c>
    </row>
    <row r="4299" customFormat="false" ht="15" hidden="false" customHeight="false" outlineLevel="0" collapsed="false">
      <c r="H4299" s="0" t="str">
        <f aca="false">IF(B4299="","",IF(COUNTIF(Campaigns!$A$7:$A$300,B4299)&gt;0,"✓","⚠ add to Campaigns tab"))</f>
        <v/>
      </c>
      <c r="I4299" s="84" t="str">
        <f aca="false">IF(C4299="","",C4299*IF(Settings!$B$22=Settings!$C$6,1,IF(Settings!$B$22="USD",1/INDEX(Settings!$B$29:$B$40,MONTH(A4299)),INDEX(Settings!$B$29:$B$40,MONTH(A4299)))))</f>
        <v/>
      </c>
    </row>
    <row r="4300" customFormat="false" ht="15" hidden="false" customHeight="false" outlineLevel="0" collapsed="false">
      <c r="H4300" s="0" t="str">
        <f aca="false">IF(B4300="","",IF(COUNTIF(Campaigns!$A$7:$A$300,B4300)&gt;0,"✓","⚠ add to Campaigns tab"))</f>
        <v/>
      </c>
      <c r="I4300" s="84" t="str">
        <f aca="false">IF(C4300="","",C4300*IF(Settings!$B$22=Settings!$C$6,1,IF(Settings!$B$22="USD",1/INDEX(Settings!$B$29:$B$40,MONTH(A4300)),INDEX(Settings!$B$29:$B$40,MONTH(A4300)))))</f>
        <v/>
      </c>
    </row>
    <row r="4301" customFormat="false" ht="15" hidden="false" customHeight="false" outlineLevel="0" collapsed="false">
      <c r="H4301" s="0" t="str">
        <f aca="false">IF(B4301="","",IF(COUNTIF(Campaigns!$A$7:$A$300,B4301)&gt;0,"✓","⚠ add to Campaigns tab"))</f>
        <v/>
      </c>
      <c r="I4301" s="84" t="str">
        <f aca="false">IF(C4301="","",C4301*IF(Settings!$B$22=Settings!$C$6,1,IF(Settings!$B$22="USD",1/INDEX(Settings!$B$29:$B$40,MONTH(A4301)),INDEX(Settings!$B$29:$B$40,MONTH(A4301)))))</f>
        <v/>
      </c>
    </row>
    <row r="4302" customFormat="false" ht="15" hidden="false" customHeight="false" outlineLevel="0" collapsed="false">
      <c r="H4302" s="0" t="str">
        <f aca="false">IF(B4302="","",IF(COUNTIF(Campaigns!$A$7:$A$300,B4302)&gt;0,"✓","⚠ add to Campaigns tab"))</f>
        <v/>
      </c>
      <c r="I4302" s="84" t="str">
        <f aca="false">IF(C4302="","",C4302*IF(Settings!$B$22=Settings!$C$6,1,IF(Settings!$B$22="USD",1/INDEX(Settings!$B$29:$B$40,MONTH(A4302)),INDEX(Settings!$B$29:$B$40,MONTH(A4302)))))</f>
        <v/>
      </c>
    </row>
    <row r="4303" customFormat="false" ht="15" hidden="false" customHeight="false" outlineLevel="0" collapsed="false">
      <c r="H4303" s="0" t="str">
        <f aca="false">IF(B4303="","",IF(COUNTIF(Campaigns!$A$7:$A$300,B4303)&gt;0,"✓","⚠ add to Campaigns tab"))</f>
        <v/>
      </c>
      <c r="I4303" s="84" t="str">
        <f aca="false">IF(C4303="","",C4303*IF(Settings!$B$22=Settings!$C$6,1,IF(Settings!$B$22="USD",1/INDEX(Settings!$B$29:$B$40,MONTH(A4303)),INDEX(Settings!$B$29:$B$40,MONTH(A4303)))))</f>
        <v/>
      </c>
    </row>
    <row r="4304" customFormat="false" ht="15" hidden="false" customHeight="false" outlineLevel="0" collapsed="false">
      <c r="H4304" s="0" t="str">
        <f aca="false">IF(B4304="","",IF(COUNTIF(Campaigns!$A$7:$A$300,B4304)&gt;0,"✓","⚠ add to Campaigns tab"))</f>
        <v/>
      </c>
      <c r="I4304" s="84" t="str">
        <f aca="false">IF(C4304="","",C4304*IF(Settings!$B$22=Settings!$C$6,1,IF(Settings!$B$22="USD",1/INDEX(Settings!$B$29:$B$40,MONTH(A4304)),INDEX(Settings!$B$29:$B$40,MONTH(A4304)))))</f>
        <v/>
      </c>
    </row>
    <row r="4305" customFormat="false" ht="15" hidden="false" customHeight="false" outlineLevel="0" collapsed="false">
      <c r="H4305" s="0" t="str">
        <f aca="false">IF(B4305="","",IF(COUNTIF(Campaigns!$A$7:$A$300,B4305)&gt;0,"✓","⚠ add to Campaigns tab"))</f>
        <v/>
      </c>
      <c r="I4305" s="84" t="str">
        <f aca="false">IF(C4305="","",C4305*IF(Settings!$B$22=Settings!$C$6,1,IF(Settings!$B$22="USD",1/INDEX(Settings!$B$29:$B$40,MONTH(A4305)),INDEX(Settings!$B$29:$B$40,MONTH(A4305)))))</f>
        <v/>
      </c>
    </row>
    <row r="4306" customFormat="false" ht="15" hidden="false" customHeight="false" outlineLevel="0" collapsed="false">
      <c r="H4306" s="0" t="str">
        <f aca="false">IF(B4306="","",IF(COUNTIF(Campaigns!$A$7:$A$300,B4306)&gt;0,"✓","⚠ add to Campaigns tab"))</f>
        <v/>
      </c>
      <c r="I4306" s="84" t="str">
        <f aca="false">IF(C4306="","",C4306*IF(Settings!$B$22=Settings!$C$6,1,IF(Settings!$B$22="USD",1/INDEX(Settings!$B$29:$B$40,MONTH(A4306)),INDEX(Settings!$B$29:$B$40,MONTH(A4306)))))</f>
        <v/>
      </c>
    </row>
    <row r="4307" customFormat="false" ht="15" hidden="false" customHeight="false" outlineLevel="0" collapsed="false">
      <c r="H4307" s="0" t="str">
        <f aca="false">IF(B4307="","",IF(COUNTIF(Campaigns!$A$7:$A$300,B4307)&gt;0,"✓","⚠ add to Campaigns tab"))</f>
        <v/>
      </c>
      <c r="I4307" s="84" t="str">
        <f aca="false">IF(C4307="","",C4307*IF(Settings!$B$22=Settings!$C$6,1,IF(Settings!$B$22="USD",1/INDEX(Settings!$B$29:$B$40,MONTH(A4307)),INDEX(Settings!$B$29:$B$40,MONTH(A4307)))))</f>
        <v/>
      </c>
    </row>
    <row r="4308" customFormat="false" ht="15" hidden="false" customHeight="false" outlineLevel="0" collapsed="false">
      <c r="H4308" s="0" t="str">
        <f aca="false">IF(B4308="","",IF(COUNTIF(Campaigns!$A$7:$A$300,B4308)&gt;0,"✓","⚠ add to Campaigns tab"))</f>
        <v/>
      </c>
      <c r="I4308" s="84" t="str">
        <f aca="false">IF(C4308="","",C4308*IF(Settings!$B$22=Settings!$C$6,1,IF(Settings!$B$22="USD",1/INDEX(Settings!$B$29:$B$40,MONTH(A4308)),INDEX(Settings!$B$29:$B$40,MONTH(A4308)))))</f>
        <v/>
      </c>
    </row>
    <row r="4309" customFormat="false" ht="15" hidden="false" customHeight="false" outlineLevel="0" collapsed="false">
      <c r="H4309" s="0" t="str">
        <f aca="false">IF(B4309="","",IF(COUNTIF(Campaigns!$A$7:$A$300,B4309)&gt;0,"✓","⚠ add to Campaigns tab"))</f>
        <v/>
      </c>
      <c r="I4309" s="84" t="str">
        <f aca="false">IF(C4309="","",C4309*IF(Settings!$B$22=Settings!$C$6,1,IF(Settings!$B$22="USD",1/INDEX(Settings!$B$29:$B$40,MONTH(A4309)),INDEX(Settings!$B$29:$B$40,MONTH(A4309)))))</f>
        <v/>
      </c>
    </row>
    <row r="4310" customFormat="false" ht="15" hidden="false" customHeight="false" outlineLevel="0" collapsed="false">
      <c r="H4310" s="0" t="str">
        <f aca="false">IF(B4310="","",IF(COUNTIF(Campaigns!$A$7:$A$300,B4310)&gt;0,"✓","⚠ add to Campaigns tab"))</f>
        <v/>
      </c>
      <c r="I4310" s="84" t="str">
        <f aca="false">IF(C4310="","",C4310*IF(Settings!$B$22=Settings!$C$6,1,IF(Settings!$B$22="USD",1/INDEX(Settings!$B$29:$B$40,MONTH(A4310)),INDEX(Settings!$B$29:$B$40,MONTH(A4310)))))</f>
        <v/>
      </c>
    </row>
    <row r="4311" customFormat="false" ht="15" hidden="false" customHeight="false" outlineLevel="0" collapsed="false">
      <c r="H4311" s="0" t="str">
        <f aca="false">IF(B4311="","",IF(COUNTIF(Campaigns!$A$7:$A$300,B4311)&gt;0,"✓","⚠ add to Campaigns tab"))</f>
        <v/>
      </c>
      <c r="I4311" s="84" t="str">
        <f aca="false">IF(C4311="","",C4311*IF(Settings!$B$22=Settings!$C$6,1,IF(Settings!$B$22="USD",1/INDEX(Settings!$B$29:$B$40,MONTH(A4311)),INDEX(Settings!$B$29:$B$40,MONTH(A4311)))))</f>
        <v/>
      </c>
    </row>
    <row r="4312" customFormat="false" ht="15" hidden="false" customHeight="false" outlineLevel="0" collapsed="false">
      <c r="H4312" s="0" t="str">
        <f aca="false">IF(B4312="","",IF(COUNTIF(Campaigns!$A$7:$A$300,B4312)&gt;0,"✓","⚠ add to Campaigns tab"))</f>
        <v/>
      </c>
      <c r="I4312" s="84" t="str">
        <f aca="false">IF(C4312="","",C4312*IF(Settings!$B$22=Settings!$C$6,1,IF(Settings!$B$22="USD",1/INDEX(Settings!$B$29:$B$40,MONTH(A4312)),INDEX(Settings!$B$29:$B$40,MONTH(A4312)))))</f>
        <v/>
      </c>
    </row>
    <row r="4313" customFormat="false" ht="15" hidden="false" customHeight="false" outlineLevel="0" collapsed="false">
      <c r="H4313" s="0" t="str">
        <f aca="false">IF(B4313="","",IF(COUNTIF(Campaigns!$A$7:$A$300,B4313)&gt;0,"✓","⚠ add to Campaigns tab"))</f>
        <v/>
      </c>
      <c r="I4313" s="84" t="str">
        <f aca="false">IF(C4313="","",C4313*IF(Settings!$B$22=Settings!$C$6,1,IF(Settings!$B$22="USD",1/INDEX(Settings!$B$29:$B$40,MONTH(A4313)),INDEX(Settings!$B$29:$B$40,MONTH(A4313)))))</f>
        <v/>
      </c>
    </row>
    <row r="4314" customFormat="false" ht="15" hidden="false" customHeight="false" outlineLevel="0" collapsed="false">
      <c r="H4314" s="0" t="str">
        <f aca="false">IF(B4314="","",IF(COUNTIF(Campaigns!$A$7:$A$300,B4314)&gt;0,"✓","⚠ add to Campaigns tab"))</f>
        <v/>
      </c>
      <c r="I4314" s="84" t="str">
        <f aca="false">IF(C4314="","",C4314*IF(Settings!$B$22=Settings!$C$6,1,IF(Settings!$B$22="USD",1/INDEX(Settings!$B$29:$B$40,MONTH(A4314)),INDEX(Settings!$B$29:$B$40,MONTH(A4314)))))</f>
        <v/>
      </c>
    </row>
    <row r="4315" customFormat="false" ht="15" hidden="false" customHeight="false" outlineLevel="0" collapsed="false">
      <c r="H4315" s="0" t="str">
        <f aca="false">IF(B4315="","",IF(COUNTIF(Campaigns!$A$7:$A$300,B4315)&gt;0,"✓","⚠ add to Campaigns tab"))</f>
        <v/>
      </c>
      <c r="I4315" s="84" t="str">
        <f aca="false">IF(C4315="","",C4315*IF(Settings!$B$22=Settings!$C$6,1,IF(Settings!$B$22="USD",1/INDEX(Settings!$B$29:$B$40,MONTH(A4315)),INDEX(Settings!$B$29:$B$40,MONTH(A4315)))))</f>
        <v/>
      </c>
    </row>
    <row r="4316" customFormat="false" ht="15" hidden="false" customHeight="false" outlineLevel="0" collapsed="false">
      <c r="H4316" s="0" t="str">
        <f aca="false">IF(B4316="","",IF(COUNTIF(Campaigns!$A$7:$A$300,B4316)&gt;0,"✓","⚠ add to Campaigns tab"))</f>
        <v/>
      </c>
      <c r="I4316" s="84" t="str">
        <f aca="false">IF(C4316="","",C4316*IF(Settings!$B$22=Settings!$C$6,1,IF(Settings!$B$22="USD",1/INDEX(Settings!$B$29:$B$40,MONTH(A4316)),INDEX(Settings!$B$29:$B$40,MONTH(A4316)))))</f>
        <v/>
      </c>
    </row>
    <row r="4317" customFormat="false" ht="15" hidden="false" customHeight="false" outlineLevel="0" collapsed="false">
      <c r="H4317" s="0" t="str">
        <f aca="false">IF(B4317="","",IF(COUNTIF(Campaigns!$A$7:$A$300,B4317)&gt;0,"✓","⚠ add to Campaigns tab"))</f>
        <v/>
      </c>
      <c r="I4317" s="84" t="str">
        <f aca="false">IF(C4317="","",C4317*IF(Settings!$B$22=Settings!$C$6,1,IF(Settings!$B$22="USD",1/INDEX(Settings!$B$29:$B$40,MONTH(A4317)),INDEX(Settings!$B$29:$B$40,MONTH(A4317)))))</f>
        <v/>
      </c>
    </row>
    <row r="4318" customFormat="false" ht="15" hidden="false" customHeight="false" outlineLevel="0" collapsed="false">
      <c r="H4318" s="0" t="str">
        <f aca="false">IF(B4318="","",IF(COUNTIF(Campaigns!$A$7:$A$300,B4318)&gt;0,"✓","⚠ add to Campaigns tab"))</f>
        <v/>
      </c>
      <c r="I4318" s="84" t="str">
        <f aca="false">IF(C4318="","",C4318*IF(Settings!$B$22=Settings!$C$6,1,IF(Settings!$B$22="USD",1/INDEX(Settings!$B$29:$B$40,MONTH(A4318)),INDEX(Settings!$B$29:$B$40,MONTH(A4318)))))</f>
        <v/>
      </c>
    </row>
    <row r="4319" customFormat="false" ht="15" hidden="false" customHeight="false" outlineLevel="0" collapsed="false">
      <c r="H4319" s="0" t="str">
        <f aca="false">IF(B4319="","",IF(COUNTIF(Campaigns!$A$7:$A$300,B4319)&gt;0,"✓","⚠ add to Campaigns tab"))</f>
        <v/>
      </c>
      <c r="I4319" s="84" t="str">
        <f aca="false">IF(C4319="","",C4319*IF(Settings!$B$22=Settings!$C$6,1,IF(Settings!$B$22="USD",1/INDEX(Settings!$B$29:$B$40,MONTH(A4319)),INDEX(Settings!$B$29:$B$40,MONTH(A4319)))))</f>
        <v/>
      </c>
    </row>
    <row r="4320" customFormat="false" ht="15" hidden="false" customHeight="false" outlineLevel="0" collapsed="false">
      <c r="H4320" s="0" t="str">
        <f aca="false">IF(B4320="","",IF(COUNTIF(Campaigns!$A$7:$A$300,B4320)&gt;0,"✓","⚠ add to Campaigns tab"))</f>
        <v/>
      </c>
      <c r="I4320" s="84" t="str">
        <f aca="false">IF(C4320="","",C4320*IF(Settings!$B$22=Settings!$C$6,1,IF(Settings!$B$22="USD",1/INDEX(Settings!$B$29:$B$40,MONTH(A4320)),INDEX(Settings!$B$29:$B$40,MONTH(A4320)))))</f>
        <v/>
      </c>
    </row>
    <row r="4321" customFormat="false" ht="15" hidden="false" customHeight="false" outlineLevel="0" collapsed="false">
      <c r="H4321" s="0" t="str">
        <f aca="false">IF(B4321="","",IF(COUNTIF(Campaigns!$A$7:$A$300,B4321)&gt;0,"✓","⚠ add to Campaigns tab"))</f>
        <v/>
      </c>
      <c r="I4321" s="84" t="str">
        <f aca="false">IF(C4321="","",C4321*IF(Settings!$B$22=Settings!$C$6,1,IF(Settings!$B$22="USD",1/INDEX(Settings!$B$29:$B$40,MONTH(A4321)),INDEX(Settings!$B$29:$B$40,MONTH(A4321)))))</f>
        <v/>
      </c>
    </row>
    <row r="4322" customFormat="false" ht="15" hidden="false" customHeight="false" outlineLevel="0" collapsed="false">
      <c r="H4322" s="0" t="str">
        <f aca="false">IF(B4322="","",IF(COUNTIF(Campaigns!$A$7:$A$300,B4322)&gt;0,"✓","⚠ add to Campaigns tab"))</f>
        <v/>
      </c>
      <c r="I4322" s="84" t="str">
        <f aca="false">IF(C4322="","",C4322*IF(Settings!$B$22=Settings!$C$6,1,IF(Settings!$B$22="USD",1/INDEX(Settings!$B$29:$B$40,MONTH(A4322)),INDEX(Settings!$B$29:$B$40,MONTH(A4322)))))</f>
        <v/>
      </c>
    </row>
    <row r="4323" customFormat="false" ht="15" hidden="false" customHeight="false" outlineLevel="0" collapsed="false">
      <c r="H4323" s="0" t="str">
        <f aca="false">IF(B4323="","",IF(COUNTIF(Campaigns!$A$7:$A$300,B4323)&gt;0,"✓","⚠ add to Campaigns tab"))</f>
        <v/>
      </c>
      <c r="I4323" s="84" t="str">
        <f aca="false">IF(C4323="","",C4323*IF(Settings!$B$22=Settings!$C$6,1,IF(Settings!$B$22="USD",1/INDEX(Settings!$B$29:$B$40,MONTH(A4323)),INDEX(Settings!$B$29:$B$40,MONTH(A4323)))))</f>
        <v/>
      </c>
    </row>
    <row r="4324" customFormat="false" ht="15" hidden="false" customHeight="false" outlineLevel="0" collapsed="false">
      <c r="H4324" s="0" t="str">
        <f aca="false">IF(B4324="","",IF(COUNTIF(Campaigns!$A$7:$A$300,B4324)&gt;0,"✓","⚠ add to Campaigns tab"))</f>
        <v/>
      </c>
      <c r="I4324" s="84" t="str">
        <f aca="false">IF(C4324="","",C4324*IF(Settings!$B$22=Settings!$C$6,1,IF(Settings!$B$22="USD",1/INDEX(Settings!$B$29:$B$40,MONTH(A4324)),INDEX(Settings!$B$29:$B$40,MONTH(A4324)))))</f>
        <v/>
      </c>
    </row>
    <row r="4325" customFormat="false" ht="15" hidden="false" customHeight="false" outlineLevel="0" collapsed="false">
      <c r="H4325" s="0" t="str">
        <f aca="false">IF(B4325="","",IF(COUNTIF(Campaigns!$A$7:$A$300,B4325)&gt;0,"✓","⚠ add to Campaigns tab"))</f>
        <v/>
      </c>
      <c r="I4325" s="84" t="str">
        <f aca="false">IF(C4325="","",C4325*IF(Settings!$B$22=Settings!$C$6,1,IF(Settings!$B$22="USD",1/INDEX(Settings!$B$29:$B$40,MONTH(A4325)),INDEX(Settings!$B$29:$B$40,MONTH(A4325)))))</f>
        <v/>
      </c>
    </row>
    <row r="4326" customFormat="false" ht="15" hidden="false" customHeight="false" outlineLevel="0" collapsed="false">
      <c r="H4326" s="0" t="str">
        <f aca="false">IF(B4326="","",IF(COUNTIF(Campaigns!$A$7:$A$300,B4326)&gt;0,"✓","⚠ add to Campaigns tab"))</f>
        <v/>
      </c>
      <c r="I4326" s="84" t="str">
        <f aca="false">IF(C4326="","",C4326*IF(Settings!$B$22=Settings!$C$6,1,IF(Settings!$B$22="USD",1/INDEX(Settings!$B$29:$B$40,MONTH(A4326)),INDEX(Settings!$B$29:$B$40,MONTH(A4326)))))</f>
        <v/>
      </c>
    </row>
    <row r="4327" customFormat="false" ht="15" hidden="false" customHeight="false" outlineLevel="0" collapsed="false">
      <c r="H4327" s="0" t="str">
        <f aca="false">IF(B4327="","",IF(COUNTIF(Campaigns!$A$7:$A$300,B4327)&gt;0,"✓","⚠ add to Campaigns tab"))</f>
        <v/>
      </c>
      <c r="I4327" s="84" t="str">
        <f aca="false">IF(C4327="","",C4327*IF(Settings!$B$22=Settings!$C$6,1,IF(Settings!$B$22="USD",1/INDEX(Settings!$B$29:$B$40,MONTH(A4327)),INDEX(Settings!$B$29:$B$40,MONTH(A4327)))))</f>
        <v/>
      </c>
    </row>
    <row r="4328" customFormat="false" ht="15" hidden="false" customHeight="false" outlineLevel="0" collapsed="false">
      <c r="H4328" s="0" t="str">
        <f aca="false">IF(B4328="","",IF(COUNTIF(Campaigns!$A$7:$A$300,B4328)&gt;0,"✓","⚠ add to Campaigns tab"))</f>
        <v/>
      </c>
      <c r="I4328" s="84" t="str">
        <f aca="false">IF(C4328="","",C4328*IF(Settings!$B$22=Settings!$C$6,1,IF(Settings!$B$22="USD",1/INDEX(Settings!$B$29:$B$40,MONTH(A4328)),INDEX(Settings!$B$29:$B$40,MONTH(A4328)))))</f>
        <v/>
      </c>
    </row>
    <row r="4329" customFormat="false" ht="15" hidden="false" customHeight="false" outlineLevel="0" collapsed="false">
      <c r="H4329" s="0" t="str">
        <f aca="false">IF(B4329="","",IF(COUNTIF(Campaigns!$A$7:$A$300,B4329)&gt;0,"✓","⚠ add to Campaigns tab"))</f>
        <v/>
      </c>
      <c r="I4329" s="84" t="str">
        <f aca="false">IF(C4329="","",C4329*IF(Settings!$B$22=Settings!$C$6,1,IF(Settings!$B$22="USD",1/INDEX(Settings!$B$29:$B$40,MONTH(A4329)),INDEX(Settings!$B$29:$B$40,MONTH(A4329)))))</f>
        <v/>
      </c>
    </row>
    <row r="4330" customFormat="false" ht="15" hidden="false" customHeight="false" outlineLevel="0" collapsed="false">
      <c r="H4330" s="0" t="str">
        <f aca="false">IF(B4330="","",IF(COUNTIF(Campaigns!$A$7:$A$300,B4330)&gt;0,"✓","⚠ add to Campaigns tab"))</f>
        <v/>
      </c>
      <c r="I4330" s="84" t="str">
        <f aca="false">IF(C4330="","",C4330*IF(Settings!$B$22=Settings!$C$6,1,IF(Settings!$B$22="USD",1/INDEX(Settings!$B$29:$B$40,MONTH(A4330)),INDEX(Settings!$B$29:$B$40,MONTH(A4330)))))</f>
        <v/>
      </c>
    </row>
    <row r="4331" customFormat="false" ht="15" hidden="false" customHeight="false" outlineLevel="0" collapsed="false">
      <c r="H4331" s="0" t="str">
        <f aca="false">IF(B4331="","",IF(COUNTIF(Campaigns!$A$7:$A$300,B4331)&gt;0,"✓","⚠ add to Campaigns tab"))</f>
        <v/>
      </c>
      <c r="I4331" s="84" t="str">
        <f aca="false">IF(C4331="","",C4331*IF(Settings!$B$22=Settings!$C$6,1,IF(Settings!$B$22="USD",1/INDEX(Settings!$B$29:$B$40,MONTH(A4331)),INDEX(Settings!$B$29:$B$40,MONTH(A4331)))))</f>
        <v/>
      </c>
    </row>
    <row r="4332" customFormat="false" ht="15" hidden="false" customHeight="false" outlineLevel="0" collapsed="false">
      <c r="H4332" s="0" t="str">
        <f aca="false">IF(B4332="","",IF(COUNTIF(Campaigns!$A$7:$A$300,B4332)&gt;0,"✓","⚠ add to Campaigns tab"))</f>
        <v/>
      </c>
      <c r="I4332" s="84" t="str">
        <f aca="false">IF(C4332="","",C4332*IF(Settings!$B$22=Settings!$C$6,1,IF(Settings!$B$22="USD",1/INDEX(Settings!$B$29:$B$40,MONTH(A4332)),INDEX(Settings!$B$29:$B$40,MONTH(A4332)))))</f>
        <v/>
      </c>
    </row>
    <row r="4333" customFormat="false" ht="15" hidden="false" customHeight="false" outlineLevel="0" collapsed="false">
      <c r="H4333" s="0" t="str">
        <f aca="false">IF(B4333="","",IF(COUNTIF(Campaigns!$A$7:$A$300,B4333)&gt;0,"✓","⚠ add to Campaigns tab"))</f>
        <v/>
      </c>
      <c r="I4333" s="84" t="str">
        <f aca="false">IF(C4333="","",C4333*IF(Settings!$B$22=Settings!$C$6,1,IF(Settings!$B$22="USD",1/INDEX(Settings!$B$29:$B$40,MONTH(A4333)),INDEX(Settings!$B$29:$B$40,MONTH(A4333)))))</f>
        <v/>
      </c>
    </row>
    <row r="4334" customFormat="false" ht="15" hidden="false" customHeight="false" outlineLevel="0" collapsed="false">
      <c r="H4334" s="0" t="str">
        <f aca="false">IF(B4334="","",IF(COUNTIF(Campaigns!$A$7:$A$300,B4334)&gt;0,"✓","⚠ add to Campaigns tab"))</f>
        <v/>
      </c>
      <c r="I4334" s="84" t="str">
        <f aca="false">IF(C4334="","",C4334*IF(Settings!$B$22=Settings!$C$6,1,IF(Settings!$B$22="USD",1/INDEX(Settings!$B$29:$B$40,MONTH(A4334)),INDEX(Settings!$B$29:$B$40,MONTH(A4334)))))</f>
        <v/>
      </c>
    </row>
    <row r="4335" customFormat="false" ht="15" hidden="false" customHeight="false" outlineLevel="0" collapsed="false">
      <c r="H4335" s="0" t="str">
        <f aca="false">IF(B4335="","",IF(COUNTIF(Campaigns!$A$7:$A$300,B4335)&gt;0,"✓","⚠ add to Campaigns tab"))</f>
        <v/>
      </c>
      <c r="I4335" s="84" t="str">
        <f aca="false">IF(C4335="","",C4335*IF(Settings!$B$22=Settings!$C$6,1,IF(Settings!$B$22="USD",1/INDEX(Settings!$B$29:$B$40,MONTH(A4335)),INDEX(Settings!$B$29:$B$40,MONTH(A4335)))))</f>
        <v/>
      </c>
    </row>
    <row r="4336" customFormat="false" ht="15" hidden="false" customHeight="false" outlineLevel="0" collapsed="false">
      <c r="H4336" s="0" t="str">
        <f aca="false">IF(B4336="","",IF(COUNTIF(Campaigns!$A$7:$A$300,B4336)&gt;0,"✓","⚠ add to Campaigns tab"))</f>
        <v/>
      </c>
      <c r="I4336" s="84" t="str">
        <f aca="false">IF(C4336="","",C4336*IF(Settings!$B$22=Settings!$C$6,1,IF(Settings!$B$22="USD",1/INDEX(Settings!$B$29:$B$40,MONTH(A4336)),INDEX(Settings!$B$29:$B$40,MONTH(A4336)))))</f>
        <v/>
      </c>
    </row>
    <row r="4337" customFormat="false" ht="15" hidden="false" customHeight="false" outlineLevel="0" collapsed="false">
      <c r="H4337" s="0" t="str">
        <f aca="false">IF(B4337="","",IF(COUNTIF(Campaigns!$A$7:$A$300,B4337)&gt;0,"✓","⚠ add to Campaigns tab"))</f>
        <v/>
      </c>
      <c r="I4337" s="84" t="str">
        <f aca="false">IF(C4337="","",C4337*IF(Settings!$B$22=Settings!$C$6,1,IF(Settings!$B$22="USD",1/INDEX(Settings!$B$29:$B$40,MONTH(A4337)),INDEX(Settings!$B$29:$B$40,MONTH(A4337)))))</f>
        <v/>
      </c>
    </row>
    <row r="4338" customFormat="false" ht="15" hidden="false" customHeight="false" outlineLevel="0" collapsed="false">
      <c r="H4338" s="0" t="str">
        <f aca="false">IF(B4338="","",IF(COUNTIF(Campaigns!$A$7:$A$300,B4338)&gt;0,"✓","⚠ add to Campaigns tab"))</f>
        <v/>
      </c>
      <c r="I4338" s="84" t="str">
        <f aca="false">IF(C4338="","",C4338*IF(Settings!$B$22=Settings!$C$6,1,IF(Settings!$B$22="USD",1/INDEX(Settings!$B$29:$B$40,MONTH(A4338)),INDEX(Settings!$B$29:$B$40,MONTH(A4338)))))</f>
        <v/>
      </c>
    </row>
    <row r="4339" customFormat="false" ht="15" hidden="false" customHeight="false" outlineLevel="0" collapsed="false">
      <c r="H4339" s="0" t="str">
        <f aca="false">IF(B4339="","",IF(COUNTIF(Campaigns!$A$7:$A$300,B4339)&gt;0,"✓","⚠ add to Campaigns tab"))</f>
        <v/>
      </c>
      <c r="I4339" s="84" t="str">
        <f aca="false">IF(C4339="","",C4339*IF(Settings!$B$22=Settings!$C$6,1,IF(Settings!$B$22="USD",1/INDEX(Settings!$B$29:$B$40,MONTH(A4339)),INDEX(Settings!$B$29:$B$40,MONTH(A4339)))))</f>
        <v/>
      </c>
    </row>
    <row r="4340" customFormat="false" ht="15" hidden="false" customHeight="false" outlineLevel="0" collapsed="false">
      <c r="H4340" s="0" t="str">
        <f aca="false">IF(B4340="","",IF(COUNTIF(Campaigns!$A$7:$A$300,B4340)&gt;0,"✓","⚠ add to Campaigns tab"))</f>
        <v/>
      </c>
      <c r="I4340" s="84" t="str">
        <f aca="false">IF(C4340="","",C4340*IF(Settings!$B$22=Settings!$C$6,1,IF(Settings!$B$22="USD",1/INDEX(Settings!$B$29:$B$40,MONTH(A4340)),INDEX(Settings!$B$29:$B$40,MONTH(A4340)))))</f>
        <v/>
      </c>
    </row>
    <row r="4341" customFormat="false" ht="15" hidden="false" customHeight="false" outlineLevel="0" collapsed="false">
      <c r="H4341" s="0" t="str">
        <f aca="false">IF(B4341="","",IF(COUNTIF(Campaigns!$A$7:$A$300,B4341)&gt;0,"✓","⚠ add to Campaigns tab"))</f>
        <v/>
      </c>
      <c r="I4341" s="84" t="str">
        <f aca="false">IF(C4341="","",C4341*IF(Settings!$B$22=Settings!$C$6,1,IF(Settings!$B$22="USD",1/INDEX(Settings!$B$29:$B$40,MONTH(A4341)),INDEX(Settings!$B$29:$B$40,MONTH(A4341)))))</f>
        <v/>
      </c>
    </row>
    <row r="4342" customFormat="false" ht="15" hidden="false" customHeight="false" outlineLevel="0" collapsed="false">
      <c r="H4342" s="0" t="str">
        <f aca="false">IF(B4342="","",IF(COUNTIF(Campaigns!$A$7:$A$300,B4342)&gt;0,"✓","⚠ add to Campaigns tab"))</f>
        <v/>
      </c>
      <c r="I4342" s="84" t="str">
        <f aca="false">IF(C4342="","",C4342*IF(Settings!$B$22=Settings!$C$6,1,IF(Settings!$B$22="USD",1/INDEX(Settings!$B$29:$B$40,MONTH(A4342)),INDEX(Settings!$B$29:$B$40,MONTH(A4342)))))</f>
        <v/>
      </c>
    </row>
    <row r="4343" customFormat="false" ht="15" hidden="false" customHeight="false" outlineLevel="0" collapsed="false">
      <c r="H4343" s="0" t="str">
        <f aca="false">IF(B4343="","",IF(COUNTIF(Campaigns!$A$7:$A$300,B4343)&gt;0,"✓","⚠ add to Campaigns tab"))</f>
        <v/>
      </c>
      <c r="I4343" s="84" t="str">
        <f aca="false">IF(C4343="","",C4343*IF(Settings!$B$22=Settings!$C$6,1,IF(Settings!$B$22="USD",1/INDEX(Settings!$B$29:$B$40,MONTH(A4343)),INDEX(Settings!$B$29:$B$40,MONTH(A4343)))))</f>
        <v/>
      </c>
    </row>
    <row r="4344" customFormat="false" ht="15" hidden="false" customHeight="false" outlineLevel="0" collapsed="false">
      <c r="H4344" s="0" t="str">
        <f aca="false">IF(B4344="","",IF(COUNTIF(Campaigns!$A$7:$A$300,B4344)&gt;0,"✓","⚠ add to Campaigns tab"))</f>
        <v/>
      </c>
      <c r="I4344" s="84" t="str">
        <f aca="false">IF(C4344="","",C4344*IF(Settings!$B$22=Settings!$C$6,1,IF(Settings!$B$22="USD",1/INDEX(Settings!$B$29:$B$40,MONTH(A4344)),INDEX(Settings!$B$29:$B$40,MONTH(A4344)))))</f>
        <v/>
      </c>
    </row>
    <row r="4345" customFormat="false" ht="15" hidden="false" customHeight="false" outlineLevel="0" collapsed="false">
      <c r="H4345" s="0" t="str">
        <f aca="false">IF(B4345="","",IF(COUNTIF(Campaigns!$A$7:$A$300,B4345)&gt;0,"✓","⚠ add to Campaigns tab"))</f>
        <v/>
      </c>
      <c r="I4345" s="84" t="str">
        <f aca="false">IF(C4345="","",C4345*IF(Settings!$B$22=Settings!$C$6,1,IF(Settings!$B$22="USD",1/INDEX(Settings!$B$29:$B$40,MONTH(A4345)),INDEX(Settings!$B$29:$B$40,MONTH(A4345)))))</f>
        <v/>
      </c>
    </row>
    <row r="4346" customFormat="false" ht="15" hidden="false" customHeight="false" outlineLevel="0" collapsed="false">
      <c r="H4346" s="0" t="str">
        <f aca="false">IF(B4346="","",IF(COUNTIF(Campaigns!$A$7:$A$300,B4346)&gt;0,"✓","⚠ add to Campaigns tab"))</f>
        <v/>
      </c>
      <c r="I4346" s="84" t="str">
        <f aca="false">IF(C4346="","",C4346*IF(Settings!$B$22=Settings!$C$6,1,IF(Settings!$B$22="USD",1/INDEX(Settings!$B$29:$B$40,MONTH(A4346)),INDEX(Settings!$B$29:$B$40,MONTH(A4346)))))</f>
        <v/>
      </c>
    </row>
    <row r="4347" customFormat="false" ht="15" hidden="false" customHeight="false" outlineLevel="0" collapsed="false">
      <c r="H4347" s="0" t="str">
        <f aca="false">IF(B4347="","",IF(COUNTIF(Campaigns!$A$7:$A$300,B4347)&gt;0,"✓","⚠ add to Campaigns tab"))</f>
        <v/>
      </c>
      <c r="I4347" s="84" t="str">
        <f aca="false">IF(C4347="","",C4347*IF(Settings!$B$22=Settings!$C$6,1,IF(Settings!$B$22="USD",1/INDEX(Settings!$B$29:$B$40,MONTH(A4347)),INDEX(Settings!$B$29:$B$40,MONTH(A4347)))))</f>
        <v/>
      </c>
    </row>
    <row r="4348" customFormat="false" ht="15" hidden="false" customHeight="false" outlineLevel="0" collapsed="false">
      <c r="H4348" s="0" t="str">
        <f aca="false">IF(B4348="","",IF(COUNTIF(Campaigns!$A$7:$A$300,B4348)&gt;0,"✓","⚠ add to Campaigns tab"))</f>
        <v/>
      </c>
      <c r="I4348" s="84" t="str">
        <f aca="false">IF(C4348="","",C4348*IF(Settings!$B$22=Settings!$C$6,1,IF(Settings!$B$22="USD",1/INDEX(Settings!$B$29:$B$40,MONTH(A4348)),INDEX(Settings!$B$29:$B$40,MONTH(A4348)))))</f>
        <v/>
      </c>
    </row>
    <row r="4349" customFormat="false" ht="15" hidden="false" customHeight="false" outlineLevel="0" collapsed="false">
      <c r="H4349" s="0" t="str">
        <f aca="false">IF(B4349="","",IF(COUNTIF(Campaigns!$A$7:$A$300,B4349)&gt;0,"✓","⚠ add to Campaigns tab"))</f>
        <v/>
      </c>
      <c r="I4349" s="84" t="str">
        <f aca="false">IF(C4349="","",C4349*IF(Settings!$B$22=Settings!$C$6,1,IF(Settings!$B$22="USD",1/INDEX(Settings!$B$29:$B$40,MONTH(A4349)),INDEX(Settings!$B$29:$B$40,MONTH(A4349)))))</f>
        <v/>
      </c>
    </row>
    <row r="4350" customFormat="false" ht="15" hidden="false" customHeight="false" outlineLevel="0" collapsed="false">
      <c r="H4350" s="0" t="str">
        <f aca="false">IF(B4350="","",IF(COUNTIF(Campaigns!$A$7:$A$300,B4350)&gt;0,"✓","⚠ add to Campaigns tab"))</f>
        <v/>
      </c>
      <c r="I4350" s="84" t="str">
        <f aca="false">IF(C4350="","",C4350*IF(Settings!$B$22=Settings!$C$6,1,IF(Settings!$B$22="USD",1/INDEX(Settings!$B$29:$B$40,MONTH(A4350)),INDEX(Settings!$B$29:$B$40,MONTH(A4350)))))</f>
        <v/>
      </c>
    </row>
    <row r="4351" customFormat="false" ht="15" hidden="false" customHeight="false" outlineLevel="0" collapsed="false">
      <c r="H4351" s="0" t="str">
        <f aca="false">IF(B4351="","",IF(COUNTIF(Campaigns!$A$7:$A$300,B4351)&gt;0,"✓","⚠ add to Campaigns tab"))</f>
        <v/>
      </c>
      <c r="I4351" s="84" t="str">
        <f aca="false">IF(C4351="","",C4351*IF(Settings!$B$22=Settings!$C$6,1,IF(Settings!$B$22="USD",1/INDEX(Settings!$B$29:$B$40,MONTH(A4351)),INDEX(Settings!$B$29:$B$40,MONTH(A4351)))))</f>
        <v/>
      </c>
    </row>
    <row r="4352" customFormat="false" ht="15" hidden="false" customHeight="false" outlineLevel="0" collapsed="false">
      <c r="H4352" s="0" t="str">
        <f aca="false">IF(B4352="","",IF(COUNTIF(Campaigns!$A$7:$A$300,B4352)&gt;0,"✓","⚠ add to Campaigns tab"))</f>
        <v/>
      </c>
      <c r="I4352" s="84" t="str">
        <f aca="false">IF(C4352="","",C4352*IF(Settings!$B$22=Settings!$C$6,1,IF(Settings!$B$22="USD",1/INDEX(Settings!$B$29:$B$40,MONTH(A4352)),INDEX(Settings!$B$29:$B$40,MONTH(A4352)))))</f>
        <v/>
      </c>
    </row>
    <row r="4353" customFormat="false" ht="15" hidden="false" customHeight="false" outlineLevel="0" collapsed="false">
      <c r="H4353" s="0" t="str">
        <f aca="false">IF(B4353="","",IF(COUNTIF(Campaigns!$A$7:$A$300,B4353)&gt;0,"✓","⚠ add to Campaigns tab"))</f>
        <v/>
      </c>
      <c r="I4353" s="84" t="str">
        <f aca="false">IF(C4353="","",C4353*IF(Settings!$B$22=Settings!$C$6,1,IF(Settings!$B$22="USD",1/INDEX(Settings!$B$29:$B$40,MONTH(A4353)),INDEX(Settings!$B$29:$B$40,MONTH(A4353)))))</f>
        <v/>
      </c>
    </row>
    <row r="4354" customFormat="false" ht="15" hidden="false" customHeight="false" outlineLevel="0" collapsed="false">
      <c r="H4354" s="0" t="str">
        <f aca="false">IF(B4354="","",IF(COUNTIF(Campaigns!$A$7:$A$300,B4354)&gt;0,"✓","⚠ add to Campaigns tab"))</f>
        <v/>
      </c>
      <c r="I4354" s="84" t="str">
        <f aca="false">IF(C4354="","",C4354*IF(Settings!$B$22=Settings!$C$6,1,IF(Settings!$B$22="USD",1/INDEX(Settings!$B$29:$B$40,MONTH(A4354)),INDEX(Settings!$B$29:$B$40,MONTH(A4354)))))</f>
        <v/>
      </c>
    </row>
    <row r="4355" customFormat="false" ht="15" hidden="false" customHeight="false" outlineLevel="0" collapsed="false">
      <c r="H4355" s="0" t="str">
        <f aca="false">IF(B4355="","",IF(COUNTIF(Campaigns!$A$7:$A$300,B4355)&gt;0,"✓","⚠ add to Campaigns tab"))</f>
        <v/>
      </c>
      <c r="I4355" s="84" t="str">
        <f aca="false">IF(C4355="","",C4355*IF(Settings!$B$22=Settings!$C$6,1,IF(Settings!$B$22="USD",1/INDEX(Settings!$B$29:$B$40,MONTH(A4355)),INDEX(Settings!$B$29:$B$40,MONTH(A4355)))))</f>
        <v/>
      </c>
    </row>
    <row r="4356" customFormat="false" ht="15" hidden="false" customHeight="false" outlineLevel="0" collapsed="false">
      <c r="H4356" s="0" t="str">
        <f aca="false">IF(B4356="","",IF(COUNTIF(Campaigns!$A$7:$A$300,B4356)&gt;0,"✓","⚠ add to Campaigns tab"))</f>
        <v/>
      </c>
      <c r="I4356" s="84" t="str">
        <f aca="false">IF(C4356="","",C4356*IF(Settings!$B$22=Settings!$C$6,1,IF(Settings!$B$22="USD",1/INDEX(Settings!$B$29:$B$40,MONTH(A4356)),INDEX(Settings!$B$29:$B$40,MONTH(A4356)))))</f>
        <v/>
      </c>
    </row>
    <row r="4357" customFormat="false" ht="15" hidden="false" customHeight="false" outlineLevel="0" collapsed="false">
      <c r="H4357" s="0" t="str">
        <f aca="false">IF(B4357="","",IF(COUNTIF(Campaigns!$A$7:$A$300,B4357)&gt;0,"✓","⚠ add to Campaigns tab"))</f>
        <v/>
      </c>
      <c r="I4357" s="84" t="str">
        <f aca="false">IF(C4357="","",C4357*IF(Settings!$B$22=Settings!$C$6,1,IF(Settings!$B$22="USD",1/INDEX(Settings!$B$29:$B$40,MONTH(A4357)),INDEX(Settings!$B$29:$B$40,MONTH(A4357)))))</f>
        <v/>
      </c>
    </row>
    <row r="4358" customFormat="false" ht="15" hidden="false" customHeight="false" outlineLevel="0" collapsed="false">
      <c r="H4358" s="0" t="str">
        <f aca="false">IF(B4358="","",IF(COUNTIF(Campaigns!$A$7:$A$300,B4358)&gt;0,"✓","⚠ add to Campaigns tab"))</f>
        <v/>
      </c>
      <c r="I4358" s="84" t="str">
        <f aca="false">IF(C4358="","",C4358*IF(Settings!$B$22=Settings!$C$6,1,IF(Settings!$B$22="USD",1/INDEX(Settings!$B$29:$B$40,MONTH(A4358)),INDEX(Settings!$B$29:$B$40,MONTH(A4358)))))</f>
        <v/>
      </c>
    </row>
    <row r="4359" customFormat="false" ht="15" hidden="false" customHeight="false" outlineLevel="0" collapsed="false">
      <c r="H4359" s="0" t="str">
        <f aca="false">IF(B4359="","",IF(COUNTIF(Campaigns!$A$7:$A$300,B4359)&gt;0,"✓","⚠ add to Campaigns tab"))</f>
        <v/>
      </c>
      <c r="I4359" s="84" t="str">
        <f aca="false">IF(C4359="","",C4359*IF(Settings!$B$22=Settings!$C$6,1,IF(Settings!$B$22="USD",1/INDEX(Settings!$B$29:$B$40,MONTH(A4359)),INDEX(Settings!$B$29:$B$40,MONTH(A4359)))))</f>
        <v/>
      </c>
    </row>
    <row r="4360" customFormat="false" ht="15" hidden="false" customHeight="false" outlineLevel="0" collapsed="false">
      <c r="H4360" s="0" t="str">
        <f aca="false">IF(B4360="","",IF(COUNTIF(Campaigns!$A$7:$A$300,B4360)&gt;0,"✓","⚠ add to Campaigns tab"))</f>
        <v/>
      </c>
      <c r="I4360" s="84" t="str">
        <f aca="false">IF(C4360="","",C4360*IF(Settings!$B$22=Settings!$C$6,1,IF(Settings!$B$22="USD",1/INDEX(Settings!$B$29:$B$40,MONTH(A4360)),INDEX(Settings!$B$29:$B$40,MONTH(A4360)))))</f>
        <v/>
      </c>
    </row>
    <row r="4361" customFormat="false" ht="15" hidden="false" customHeight="false" outlineLevel="0" collapsed="false">
      <c r="H4361" s="0" t="str">
        <f aca="false">IF(B4361="","",IF(COUNTIF(Campaigns!$A$7:$A$300,B4361)&gt;0,"✓","⚠ add to Campaigns tab"))</f>
        <v/>
      </c>
      <c r="I4361" s="84" t="str">
        <f aca="false">IF(C4361="","",C4361*IF(Settings!$B$22=Settings!$C$6,1,IF(Settings!$B$22="USD",1/INDEX(Settings!$B$29:$B$40,MONTH(A4361)),INDEX(Settings!$B$29:$B$40,MONTH(A4361)))))</f>
        <v/>
      </c>
    </row>
    <row r="4362" customFormat="false" ht="15" hidden="false" customHeight="false" outlineLevel="0" collapsed="false">
      <c r="H4362" s="0" t="str">
        <f aca="false">IF(B4362="","",IF(COUNTIF(Campaigns!$A$7:$A$300,B4362)&gt;0,"✓","⚠ add to Campaigns tab"))</f>
        <v/>
      </c>
      <c r="I4362" s="84" t="str">
        <f aca="false">IF(C4362="","",C4362*IF(Settings!$B$22=Settings!$C$6,1,IF(Settings!$B$22="USD",1/INDEX(Settings!$B$29:$B$40,MONTH(A4362)),INDEX(Settings!$B$29:$B$40,MONTH(A4362)))))</f>
        <v/>
      </c>
    </row>
    <row r="4363" customFormat="false" ht="15" hidden="false" customHeight="false" outlineLevel="0" collapsed="false">
      <c r="H4363" s="0" t="str">
        <f aca="false">IF(B4363="","",IF(COUNTIF(Campaigns!$A$7:$A$300,B4363)&gt;0,"✓","⚠ add to Campaigns tab"))</f>
        <v/>
      </c>
      <c r="I4363" s="84" t="str">
        <f aca="false">IF(C4363="","",C4363*IF(Settings!$B$22=Settings!$C$6,1,IF(Settings!$B$22="USD",1/INDEX(Settings!$B$29:$B$40,MONTH(A4363)),INDEX(Settings!$B$29:$B$40,MONTH(A4363)))))</f>
        <v/>
      </c>
    </row>
    <row r="4364" customFormat="false" ht="15" hidden="false" customHeight="false" outlineLevel="0" collapsed="false">
      <c r="H4364" s="0" t="str">
        <f aca="false">IF(B4364="","",IF(COUNTIF(Campaigns!$A$7:$A$300,B4364)&gt;0,"✓","⚠ add to Campaigns tab"))</f>
        <v/>
      </c>
      <c r="I4364" s="84" t="str">
        <f aca="false">IF(C4364="","",C4364*IF(Settings!$B$22=Settings!$C$6,1,IF(Settings!$B$22="USD",1/INDEX(Settings!$B$29:$B$40,MONTH(A4364)),INDEX(Settings!$B$29:$B$40,MONTH(A4364)))))</f>
        <v/>
      </c>
    </row>
    <row r="4365" customFormat="false" ht="15" hidden="false" customHeight="false" outlineLevel="0" collapsed="false">
      <c r="H4365" s="0" t="str">
        <f aca="false">IF(B4365="","",IF(COUNTIF(Campaigns!$A$7:$A$300,B4365)&gt;0,"✓","⚠ add to Campaigns tab"))</f>
        <v/>
      </c>
      <c r="I4365" s="84" t="str">
        <f aca="false">IF(C4365="","",C4365*IF(Settings!$B$22=Settings!$C$6,1,IF(Settings!$B$22="USD",1/INDEX(Settings!$B$29:$B$40,MONTH(A4365)),INDEX(Settings!$B$29:$B$40,MONTH(A4365)))))</f>
        <v/>
      </c>
    </row>
    <row r="4366" customFormat="false" ht="15" hidden="false" customHeight="false" outlineLevel="0" collapsed="false">
      <c r="H4366" s="0" t="str">
        <f aca="false">IF(B4366="","",IF(COUNTIF(Campaigns!$A$7:$A$300,B4366)&gt;0,"✓","⚠ add to Campaigns tab"))</f>
        <v/>
      </c>
      <c r="I4366" s="84" t="str">
        <f aca="false">IF(C4366="","",C4366*IF(Settings!$B$22=Settings!$C$6,1,IF(Settings!$B$22="USD",1/INDEX(Settings!$B$29:$B$40,MONTH(A4366)),INDEX(Settings!$B$29:$B$40,MONTH(A4366)))))</f>
        <v/>
      </c>
    </row>
    <row r="4367" customFormat="false" ht="15" hidden="false" customHeight="false" outlineLevel="0" collapsed="false">
      <c r="H4367" s="0" t="str">
        <f aca="false">IF(B4367="","",IF(COUNTIF(Campaigns!$A$7:$A$300,B4367)&gt;0,"✓","⚠ add to Campaigns tab"))</f>
        <v/>
      </c>
      <c r="I4367" s="84" t="str">
        <f aca="false">IF(C4367="","",C4367*IF(Settings!$B$22=Settings!$C$6,1,IF(Settings!$B$22="USD",1/INDEX(Settings!$B$29:$B$40,MONTH(A4367)),INDEX(Settings!$B$29:$B$40,MONTH(A4367)))))</f>
        <v/>
      </c>
    </row>
    <row r="4368" customFormat="false" ht="15" hidden="false" customHeight="false" outlineLevel="0" collapsed="false">
      <c r="H4368" s="0" t="str">
        <f aca="false">IF(B4368="","",IF(COUNTIF(Campaigns!$A$7:$A$300,B4368)&gt;0,"✓","⚠ add to Campaigns tab"))</f>
        <v/>
      </c>
      <c r="I4368" s="84" t="str">
        <f aca="false">IF(C4368="","",C4368*IF(Settings!$B$22=Settings!$C$6,1,IF(Settings!$B$22="USD",1/INDEX(Settings!$B$29:$B$40,MONTH(A4368)),INDEX(Settings!$B$29:$B$40,MONTH(A4368)))))</f>
        <v/>
      </c>
    </row>
    <row r="4369" customFormat="false" ht="15" hidden="false" customHeight="false" outlineLevel="0" collapsed="false">
      <c r="H4369" s="0" t="str">
        <f aca="false">IF(B4369="","",IF(COUNTIF(Campaigns!$A$7:$A$300,B4369)&gt;0,"✓","⚠ add to Campaigns tab"))</f>
        <v/>
      </c>
      <c r="I4369" s="84" t="str">
        <f aca="false">IF(C4369="","",C4369*IF(Settings!$B$22=Settings!$C$6,1,IF(Settings!$B$22="USD",1/INDEX(Settings!$B$29:$B$40,MONTH(A4369)),INDEX(Settings!$B$29:$B$40,MONTH(A4369)))))</f>
        <v/>
      </c>
    </row>
    <row r="4370" customFormat="false" ht="15" hidden="false" customHeight="false" outlineLevel="0" collapsed="false">
      <c r="H4370" s="0" t="str">
        <f aca="false">IF(B4370="","",IF(COUNTIF(Campaigns!$A$7:$A$300,B4370)&gt;0,"✓","⚠ add to Campaigns tab"))</f>
        <v/>
      </c>
      <c r="I4370" s="84" t="str">
        <f aca="false">IF(C4370="","",C4370*IF(Settings!$B$22=Settings!$C$6,1,IF(Settings!$B$22="USD",1/INDEX(Settings!$B$29:$B$40,MONTH(A4370)),INDEX(Settings!$B$29:$B$40,MONTH(A4370)))))</f>
        <v/>
      </c>
    </row>
    <row r="4371" customFormat="false" ht="15" hidden="false" customHeight="false" outlineLevel="0" collapsed="false">
      <c r="H4371" s="0" t="str">
        <f aca="false">IF(B4371="","",IF(COUNTIF(Campaigns!$A$7:$A$300,B4371)&gt;0,"✓","⚠ add to Campaigns tab"))</f>
        <v/>
      </c>
      <c r="I4371" s="84" t="str">
        <f aca="false">IF(C4371="","",C4371*IF(Settings!$B$22=Settings!$C$6,1,IF(Settings!$B$22="USD",1/INDEX(Settings!$B$29:$B$40,MONTH(A4371)),INDEX(Settings!$B$29:$B$40,MONTH(A4371)))))</f>
        <v/>
      </c>
    </row>
    <row r="4372" customFormat="false" ht="15" hidden="false" customHeight="false" outlineLevel="0" collapsed="false">
      <c r="H4372" s="0" t="str">
        <f aca="false">IF(B4372="","",IF(COUNTIF(Campaigns!$A$7:$A$300,B4372)&gt;0,"✓","⚠ add to Campaigns tab"))</f>
        <v/>
      </c>
      <c r="I4372" s="84" t="str">
        <f aca="false">IF(C4372="","",C4372*IF(Settings!$B$22=Settings!$C$6,1,IF(Settings!$B$22="USD",1/INDEX(Settings!$B$29:$B$40,MONTH(A4372)),INDEX(Settings!$B$29:$B$40,MONTH(A4372)))))</f>
        <v/>
      </c>
    </row>
    <row r="4373" customFormat="false" ht="15" hidden="false" customHeight="false" outlineLevel="0" collapsed="false">
      <c r="H4373" s="0" t="str">
        <f aca="false">IF(B4373="","",IF(COUNTIF(Campaigns!$A$7:$A$300,B4373)&gt;0,"✓","⚠ add to Campaigns tab"))</f>
        <v/>
      </c>
      <c r="I4373" s="84" t="str">
        <f aca="false">IF(C4373="","",C4373*IF(Settings!$B$22=Settings!$C$6,1,IF(Settings!$B$22="USD",1/INDEX(Settings!$B$29:$B$40,MONTH(A4373)),INDEX(Settings!$B$29:$B$40,MONTH(A4373)))))</f>
        <v/>
      </c>
    </row>
    <row r="4374" customFormat="false" ht="15" hidden="false" customHeight="false" outlineLevel="0" collapsed="false">
      <c r="H4374" s="0" t="str">
        <f aca="false">IF(B4374="","",IF(COUNTIF(Campaigns!$A$7:$A$300,B4374)&gt;0,"✓","⚠ add to Campaigns tab"))</f>
        <v/>
      </c>
      <c r="I4374" s="84" t="str">
        <f aca="false">IF(C4374="","",C4374*IF(Settings!$B$22=Settings!$C$6,1,IF(Settings!$B$22="USD",1/INDEX(Settings!$B$29:$B$40,MONTH(A4374)),INDEX(Settings!$B$29:$B$40,MONTH(A4374)))))</f>
        <v/>
      </c>
    </row>
    <row r="4375" customFormat="false" ht="15" hidden="false" customHeight="false" outlineLevel="0" collapsed="false">
      <c r="H4375" s="0" t="str">
        <f aca="false">IF(B4375="","",IF(COUNTIF(Campaigns!$A$7:$A$300,B4375)&gt;0,"✓","⚠ add to Campaigns tab"))</f>
        <v/>
      </c>
      <c r="I4375" s="84" t="str">
        <f aca="false">IF(C4375="","",C4375*IF(Settings!$B$22=Settings!$C$6,1,IF(Settings!$B$22="USD",1/INDEX(Settings!$B$29:$B$40,MONTH(A4375)),INDEX(Settings!$B$29:$B$40,MONTH(A4375)))))</f>
        <v/>
      </c>
    </row>
    <row r="4376" customFormat="false" ht="15" hidden="false" customHeight="false" outlineLevel="0" collapsed="false">
      <c r="H4376" s="0" t="str">
        <f aca="false">IF(B4376="","",IF(COUNTIF(Campaigns!$A$7:$A$300,B4376)&gt;0,"✓","⚠ add to Campaigns tab"))</f>
        <v/>
      </c>
      <c r="I4376" s="84" t="str">
        <f aca="false">IF(C4376="","",C4376*IF(Settings!$B$22=Settings!$C$6,1,IF(Settings!$B$22="USD",1/INDEX(Settings!$B$29:$B$40,MONTH(A4376)),INDEX(Settings!$B$29:$B$40,MONTH(A4376)))))</f>
        <v/>
      </c>
    </row>
    <row r="4377" customFormat="false" ht="15" hidden="false" customHeight="false" outlineLevel="0" collapsed="false">
      <c r="H4377" s="0" t="str">
        <f aca="false">IF(B4377="","",IF(COUNTIF(Campaigns!$A$7:$A$300,B4377)&gt;0,"✓","⚠ add to Campaigns tab"))</f>
        <v/>
      </c>
      <c r="I4377" s="84" t="str">
        <f aca="false">IF(C4377="","",C4377*IF(Settings!$B$22=Settings!$C$6,1,IF(Settings!$B$22="USD",1/INDEX(Settings!$B$29:$B$40,MONTH(A4377)),INDEX(Settings!$B$29:$B$40,MONTH(A4377)))))</f>
        <v/>
      </c>
    </row>
    <row r="4378" customFormat="false" ht="15" hidden="false" customHeight="false" outlineLevel="0" collapsed="false">
      <c r="H4378" s="0" t="str">
        <f aca="false">IF(B4378="","",IF(COUNTIF(Campaigns!$A$7:$A$300,B4378)&gt;0,"✓","⚠ add to Campaigns tab"))</f>
        <v/>
      </c>
      <c r="I4378" s="84" t="str">
        <f aca="false">IF(C4378="","",C4378*IF(Settings!$B$22=Settings!$C$6,1,IF(Settings!$B$22="USD",1/INDEX(Settings!$B$29:$B$40,MONTH(A4378)),INDEX(Settings!$B$29:$B$40,MONTH(A4378)))))</f>
        <v/>
      </c>
    </row>
    <row r="4379" customFormat="false" ht="15" hidden="false" customHeight="false" outlineLevel="0" collapsed="false">
      <c r="H4379" s="0" t="str">
        <f aca="false">IF(B4379="","",IF(COUNTIF(Campaigns!$A$7:$A$300,B4379)&gt;0,"✓","⚠ add to Campaigns tab"))</f>
        <v/>
      </c>
      <c r="I4379" s="84" t="str">
        <f aca="false">IF(C4379="","",C4379*IF(Settings!$B$22=Settings!$C$6,1,IF(Settings!$B$22="USD",1/INDEX(Settings!$B$29:$B$40,MONTH(A4379)),INDEX(Settings!$B$29:$B$40,MONTH(A4379)))))</f>
        <v/>
      </c>
    </row>
    <row r="4380" customFormat="false" ht="15" hidden="false" customHeight="false" outlineLevel="0" collapsed="false">
      <c r="H4380" s="0" t="str">
        <f aca="false">IF(B4380="","",IF(COUNTIF(Campaigns!$A$7:$A$300,B4380)&gt;0,"✓","⚠ add to Campaigns tab"))</f>
        <v/>
      </c>
      <c r="I4380" s="84" t="str">
        <f aca="false">IF(C4380="","",C4380*IF(Settings!$B$22=Settings!$C$6,1,IF(Settings!$B$22="USD",1/INDEX(Settings!$B$29:$B$40,MONTH(A4380)),INDEX(Settings!$B$29:$B$40,MONTH(A4380)))))</f>
        <v/>
      </c>
    </row>
    <row r="4381" customFormat="false" ht="15" hidden="false" customHeight="false" outlineLevel="0" collapsed="false">
      <c r="H4381" s="0" t="str">
        <f aca="false">IF(B4381="","",IF(COUNTIF(Campaigns!$A$7:$A$300,B4381)&gt;0,"✓","⚠ add to Campaigns tab"))</f>
        <v/>
      </c>
      <c r="I4381" s="84" t="str">
        <f aca="false">IF(C4381="","",C4381*IF(Settings!$B$22=Settings!$C$6,1,IF(Settings!$B$22="USD",1/INDEX(Settings!$B$29:$B$40,MONTH(A4381)),INDEX(Settings!$B$29:$B$40,MONTH(A4381)))))</f>
        <v/>
      </c>
    </row>
    <row r="4382" customFormat="false" ht="15" hidden="false" customHeight="false" outlineLevel="0" collapsed="false">
      <c r="H4382" s="0" t="str">
        <f aca="false">IF(B4382="","",IF(COUNTIF(Campaigns!$A$7:$A$300,B4382)&gt;0,"✓","⚠ add to Campaigns tab"))</f>
        <v/>
      </c>
      <c r="I4382" s="84" t="str">
        <f aca="false">IF(C4382="","",C4382*IF(Settings!$B$22=Settings!$C$6,1,IF(Settings!$B$22="USD",1/INDEX(Settings!$B$29:$B$40,MONTH(A4382)),INDEX(Settings!$B$29:$B$40,MONTH(A4382)))))</f>
        <v/>
      </c>
    </row>
    <row r="4383" customFormat="false" ht="15" hidden="false" customHeight="false" outlineLevel="0" collapsed="false">
      <c r="H4383" s="0" t="str">
        <f aca="false">IF(B4383="","",IF(COUNTIF(Campaigns!$A$7:$A$300,B4383)&gt;0,"✓","⚠ add to Campaigns tab"))</f>
        <v/>
      </c>
      <c r="I4383" s="84" t="str">
        <f aca="false">IF(C4383="","",C4383*IF(Settings!$B$22=Settings!$C$6,1,IF(Settings!$B$22="USD",1/INDEX(Settings!$B$29:$B$40,MONTH(A4383)),INDEX(Settings!$B$29:$B$40,MONTH(A4383)))))</f>
        <v/>
      </c>
    </row>
    <row r="4384" customFormat="false" ht="15" hidden="false" customHeight="false" outlineLevel="0" collapsed="false">
      <c r="H4384" s="0" t="str">
        <f aca="false">IF(B4384="","",IF(COUNTIF(Campaigns!$A$7:$A$300,B4384)&gt;0,"✓","⚠ add to Campaigns tab"))</f>
        <v/>
      </c>
      <c r="I4384" s="84" t="str">
        <f aca="false">IF(C4384="","",C4384*IF(Settings!$B$22=Settings!$C$6,1,IF(Settings!$B$22="USD",1/INDEX(Settings!$B$29:$B$40,MONTH(A4384)),INDEX(Settings!$B$29:$B$40,MONTH(A4384)))))</f>
        <v/>
      </c>
    </row>
    <row r="4385" customFormat="false" ht="15" hidden="false" customHeight="false" outlineLevel="0" collapsed="false">
      <c r="H4385" s="0" t="str">
        <f aca="false">IF(B4385="","",IF(COUNTIF(Campaigns!$A$7:$A$300,B4385)&gt;0,"✓","⚠ add to Campaigns tab"))</f>
        <v/>
      </c>
      <c r="I4385" s="84" t="str">
        <f aca="false">IF(C4385="","",C4385*IF(Settings!$B$22=Settings!$C$6,1,IF(Settings!$B$22="USD",1/INDEX(Settings!$B$29:$B$40,MONTH(A4385)),INDEX(Settings!$B$29:$B$40,MONTH(A4385)))))</f>
        <v/>
      </c>
    </row>
    <row r="4386" customFormat="false" ht="15" hidden="false" customHeight="false" outlineLevel="0" collapsed="false">
      <c r="H4386" s="0" t="str">
        <f aca="false">IF(B4386="","",IF(COUNTIF(Campaigns!$A$7:$A$300,B4386)&gt;0,"✓","⚠ add to Campaigns tab"))</f>
        <v/>
      </c>
      <c r="I4386" s="84" t="str">
        <f aca="false">IF(C4386="","",C4386*IF(Settings!$B$22=Settings!$C$6,1,IF(Settings!$B$22="USD",1/INDEX(Settings!$B$29:$B$40,MONTH(A4386)),INDEX(Settings!$B$29:$B$40,MONTH(A4386)))))</f>
        <v/>
      </c>
    </row>
    <row r="4387" customFormat="false" ht="15" hidden="false" customHeight="false" outlineLevel="0" collapsed="false">
      <c r="H4387" s="0" t="str">
        <f aca="false">IF(B4387="","",IF(COUNTIF(Campaigns!$A$7:$A$300,B4387)&gt;0,"✓","⚠ add to Campaigns tab"))</f>
        <v/>
      </c>
      <c r="I4387" s="84" t="str">
        <f aca="false">IF(C4387="","",C4387*IF(Settings!$B$22=Settings!$C$6,1,IF(Settings!$B$22="USD",1/INDEX(Settings!$B$29:$B$40,MONTH(A4387)),INDEX(Settings!$B$29:$B$40,MONTH(A4387)))))</f>
        <v/>
      </c>
    </row>
    <row r="4388" customFormat="false" ht="15" hidden="false" customHeight="false" outlineLevel="0" collapsed="false">
      <c r="H4388" s="0" t="str">
        <f aca="false">IF(B4388="","",IF(COUNTIF(Campaigns!$A$7:$A$300,B4388)&gt;0,"✓","⚠ add to Campaigns tab"))</f>
        <v/>
      </c>
      <c r="I4388" s="84" t="str">
        <f aca="false">IF(C4388="","",C4388*IF(Settings!$B$22=Settings!$C$6,1,IF(Settings!$B$22="USD",1/INDEX(Settings!$B$29:$B$40,MONTH(A4388)),INDEX(Settings!$B$29:$B$40,MONTH(A4388)))))</f>
        <v/>
      </c>
    </row>
    <row r="4389" customFormat="false" ht="15" hidden="false" customHeight="false" outlineLevel="0" collapsed="false">
      <c r="H4389" s="0" t="str">
        <f aca="false">IF(B4389="","",IF(COUNTIF(Campaigns!$A$7:$A$300,B4389)&gt;0,"✓","⚠ add to Campaigns tab"))</f>
        <v/>
      </c>
      <c r="I4389" s="84" t="str">
        <f aca="false">IF(C4389="","",C4389*IF(Settings!$B$22=Settings!$C$6,1,IF(Settings!$B$22="USD",1/INDEX(Settings!$B$29:$B$40,MONTH(A4389)),INDEX(Settings!$B$29:$B$40,MONTH(A4389)))))</f>
        <v/>
      </c>
    </row>
    <row r="4390" customFormat="false" ht="15" hidden="false" customHeight="false" outlineLevel="0" collapsed="false">
      <c r="H4390" s="0" t="str">
        <f aca="false">IF(B4390="","",IF(COUNTIF(Campaigns!$A$7:$A$300,B4390)&gt;0,"✓","⚠ add to Campaigns tab"))</f>
        <v/>
      </c>
      <c r="I4390" s="84" t="str">
        <f aca="false">IF(C4390="","",C4390*IF(Settings!$B$22=Settings!$C$6,1,IF(Settings!$B$22="USD",1/INDEX(Settings!$B$29:$B$40,MONTH(A4390)),INDEX(Settings!$B$29:$B$40,MONTH(A4390)))))</f>
        <v/>
      </c>
    </row>
    <row r="4391" customFormat="false" ht="15" hidden="false" customHeight="false" outlineLevel="0" collapsed="false">
      <c r="H4391" s="0" t="str">
        <f aca="false">IF(B4391="","",IF(COUNTIF(Campaigns!$A$7:$A$300,B4391)&gt;0,"✓","⚠ add to Campaigns tab"))</f>
        <v/>
      </c>
      <c r="I4391" s="84" t="str">
        <f aca="false">IF(C4391="","",C4391*IF(Settings!$B$22=Settings!$C$6,1,IF(Settings!$B$22="USD",1/INDEX(Settings!$B$29:$B$40,MONTH(A4391)),INDEX(Settings!$B$29:$B$40,MONTH(A4391)))))</f>
        <v/>
      </c>
    </row>
    <row r="4392" customFormat="false" ht="15" hidden="false" customHeight="false" outlineLevel="0" collapsed="false">
      <c r="H4392" s="0" t="str">
        <f aca="false">IF(B4392="","",IF(COUNTIF(Campaigns!$A$7:$A$300,B4392)&gt;0,"✓","⚠ add to Campaigns tab"))</f>
        <v/>
      </c>
      <c r="I4392" s="84" t="str">
        <f aca="false">IF(C4392="","",C4392*IF(Settings!$B$22=Settings!$C$6,1,IF(Settings!$B$22="USD",1/INDEX(Settings!$B$29:$B$40,MONTH(A4392)),INDEX(Settings!$B$29:$B$40,MONTH(A4392)))))</f>
        <v/>
      </c>
    </row>
    <row r="4393" customFormat="false" ht="15" hidden="false" customHeight="false" outlineLevel="0" collapsed="false">
      <c r="H4393" s="0" t="str">
        <f aca="false">IF(B4393="","",IF(COUNTIF(Campaigns!$A$7:$A$300,B4393)&gt;0,"✓","⚠ add to Campaigns tab"))</f>
        <v/>
      </c>
      <c r="I4393" s="84" t="str">
        <f aca="false">IF(C4393="","",C4393*IF(Settings!$B$22=Settings!$C$6,1,IF(Settings!$B$22="USD",1/INDEX(Settings!$B$29:$B$40,MONTH(A4393)),INDEX(Settings!$B$29:$B$40,MONTH(A4393)))))</f>
        <v/>
      </c>
    </row>
    <row r="4394" customFormat="false" ht="15" hidden="false" customHeight="false" outlineLevel="0" collapsed="false">
      <c r="H4394" s="0" t="str">
        <f aca="false">IF(B4394="","",IF(COUNTIF(Campaigns!$A$7:$A$300,B4394)&gt;0,"✓","⚠ add to Campaigns tab"))</f>
        <v/>
      </c>
      <c r="I4394" s="84" t="str">
        <f aca="false">IF(C4394="","",C4394*IF(Settings!$B$22=Settings!$C$6,1,IF(Settings!$B$22="USD",1/INDEX(Settings!$B$29:$B$40,MONTH(A4394)),INDEX(Settings!$B$29:$B$40,MONTH(A4394)))))</f>
        <v/>
      </c>
    </row>
    <row r="4395" customFormat="false" ht="15" hidden="false" customHeight="false" outlineLevel="0" collapsed="false">
      <c r="H4395" s="0" t="str">
        <f aca="false">IF(B4395="","",IF(COUNTIF(Campaigns!$A$7:$A$300,B4395)&gt;0,"✓","⚠ add to Campaigns tab"))</f>
        <v/>
      </c>
      <c r="I4395" s="84" t="str">
        <f aca="false">IF(C4395="","",C4395*IF(Settings!$B$22=Settings!$C$6,1,IF(Settings!$B$22="USD",1/INDEX(Settings!$B$29:$B$40,MONTH(A4395)),INDEX(Settings!$B$29:$B$40,MONTH(A4395)))))</f>
        <v/>
      </c>
    </row>
    <row r="4396" customFormat="false" ht="15" hidden="false" customHeight="false" outlineLevel="0" collapsed="false">
      <c r="H4396" s="0" t="str">
        <f aca="false">IF(B4396="","",IF(COUNTIF(Campaigns!$A$7:$A$300,B4396)&gt;0,"✓","⚠ add to Campaigns tab"))</f>
        <v/>
      </c>
      <c r="I4396" s="84" t="str">
        <f aca="false">IF(C4396="","",C4396*IF(Settings!$B$22=Settings!$C$6,1,IF(Settings!$B$22="USD",1/INDEX(Settings!$B$29:$B$40,MONTH(A4396)),INDEX(Settings!$B$29:$B$40,MONTH(A4396)))))</f>
        <v/>
      </c>
    </row>
    <row r="4397" customFormat="false" ht="15" hidden="false" customHeight="false" outlineLevel="0" collapsed="false">
      <c r="H4397" s="0" t="str">
        <f aca="false">IF(B4397="","",IF(COUNTIF(Campaigns!$A$7:$A$300,B4397)&gt;0,"✓","⚠ add to Campaigns tab"))</f>
        <v/>
      </c>
      <c r="I4397" s="84" t="str">
        <f aca="false">IF(C4397="","",C4397*IF(Settings!$B$22=Settings!$C$6,1,IF(Settings!$B$22="USD",1/INDEX(Settings!$B$29:$B$40,MONTH(A4397)),INDEX(Settings!$B$29:$B$40,MONTH(A4397)))))</f>
        <v/>
      </c>
    </row>
    <row r="4398" customFormat="false" ht="15" hidden="false" customHeight="false" outlineLevel="0" collapsed="false">
      <c r="H4398" s="0" t="str">
        <f aca="false">IF(B4398="","",IF(COUNTIF(Campaigns!$A$7:$A$300,B4398)&gt;0,"✓","⚠ add to Campaigns tab"))</f>
        <v/>
      </c>
      <c r="I4398" s="84" t="str">
        <f aca="false">IF(C4398="","",C4398*IF(Settings!$B$22=Settings!$C$6,1,IF(Settings!$B$22="USD",1/INDEX(Settings!$B$29:$B$40,MONTH(A4398)),INDEX(Settings!$B$29:$B$40,MONTH(A4398)))))</f>
        <v/>
      </c>
    </row>
    <row r="4399" customFormat="false" ht="15" hidden="false" customHeight="false" outlineLevel="0" collapsed="false">
      <c r="H4399" s="0" t="str">
        <f aca="false">IF(B4399="","",IF(COUNTIF(Campaigns!$A$7:$A$300,B4399)&gt;0,"✓","⚠ add to Campaigns tab"))</f>
        <v/>
      </c>
      <c r="I4399" s="84" t="str">
        <f aca="false">IF(C4399="","",C4399*IF(Settings!$B$22=Settings!$C$6,1,IF(Settings!$B$22="USD",1/INDEX(Settings!$B$29:$B$40,MONTH(A4399)),INDEX(Settings!$B$29:$B$40,MONTH(A4399)))))</f>
        <v/>
      </c>
    </row>
    <row r="4400" customFormat="false" ht="15" hidden="false" customHeight="false" outlineLevel="0" collapsed="false">
      <c r="H4400" s="0" t="str">
        <f aca="false">IF(B4400="","",IF(COUNTIF(Campaigns!$A$7:$A$300,B4400)&gt;0,"✓","⚠ add to Campaigns tab"))</f>
        <v/>
      </c>
      <c r="I4400" s="84" t="str">
        <f aca="false">IF(C4400="","",C4400*IF(Settings!$B$22=Settings!$C$6,1,IF(Settings!$B$22="USD",1/INDEX(Settings!$B$29:$B$40,MONTH(A4400)),INDEX(Settings!$B$29:$B$40,MONTH(A4400)))))</f>
        <v/>
      </c>
    </row>
    <row r="4401" customFormat="false" ht="15" hidden="false" customHeight="false" outlineLevel="0" collapsed="false">
      <c r="H4401" s="0" t="str">
        <f aca="false">IF(B4401="","",IF(COUNTIF(Campaigns!$A$7:$A$300,B4401)&gt;0,"✓","⚠ add to Campaigns tab"))</f>
        <v/>
      </c>
      <c r="I4401" s="84" t="str">
        <f aca="false">IF(C4401="","",C4401*IF(Settings!$B$22=Settings!$C$6,1,IF(Settings!$B$22="USD",1/INDEX(Settings!$B$29:$B$40,MONTH(A4401)),INDEX(Settings!$B$29:$B$40,MONTH(A4401)))))</f>
        <v/>
      </c>
    </row>
    <row r="4402" customFormat="false" ht="15" hidden="false" customHeight="false" outlineLevel="0" collapsed="false">
      <c r="H4402" s="0" t="str">
        <f aca="false">IF(B4402="","",IF(COUNTIF(Campaigns!$A$7:$A$300,B4402)&gt;0,"✓","⚠ add to Campaigns tab"))</f>
        <v/>
      </c>
      <c r="I4402" s="84" t="str">
        <f aca="false">IF(C4402="","",C4402*IF(Settings!$B$22=Settings!$C$6,1,IF(Settings!$B$22="USD",1/INDEX(Settings!$B$29:$B$40,MONTH(A4402)),INDEX(Settings!$B$29:$B$40,MONTH(A4402)))))</f>
        <v/>
      </c>
    </row>
    <row r="4403" customFormat="false" ht="15" hidden="false" customHeight="false" outlineLevel="0" collapsed="false">
      <c r="H4403" s="0" t="str">
        <f aca="false">IF(B4403="","",IF(COUNTIF(Campaigns!$A$7:$A$300,B4403)&gt;0,"✓","⚠ add to Campaigns tab"))</f>
        <v/>
      </c>
      <c r="I4403" s="84" t="str">
        <f aca="false">IF(C4403="","",C4403*IF(Settings!$B$22=Settings!$C$6,1,IF(Settings!$B$22="USD",1/INDEX(Settings!$B$29:$B$40,MONTH(A4403)),INDEX(Settings!$B$29:$B$40,MONTH(A4403)))))</f>
        <v/>
      </c>
    </row>
    <row r="4404" customFormat="false" ht="15" hidden="false" customHeight="false" outlineLevel="0" collapsed="false">
      <c r="H4404" s="0" t="str">
        <f aca="false">IF(B4404="","",IF(COUNTIF(Campaigns!$A$7:$A$300,B4404)&gt;0,"✓","⚠ add to Campaigns tab"))</f>
        <v/>
      </c>
      <c r="I4404" s="84" t="str">
        <f aca="false">IF(C4404="","",C4404*IF(Settings!$B$22=Settings!$C$6,1,IF(Settings!$B$22="USD",1/INDEX(Settings!$B$29:$B$40,MONTH(A4404)),INDEX(Settings!$B$29:$B$40,MONTH(A4404)))))</f>
        <v/>
      </c>
    </row>
    <row r="4405" customFormat="false" ht="15" hidden="false" customHeight="false" outlineLevel="0" collapsed="false">
      <c r="H4405" s="0" t="str">
        <f aca="false">IF(B4405="","",IF(COUNTIF(Campaigns!$A$7:$A$300,B4405)&gt;0,"✓","⚠ add to Campaigns tab"))</f>
        <v/>
      </c>
      <c r="I4405" s="84" t="str">
        <f aca="false">IF(C4405="","",C4405*IF(Settings!$B$22=Settings!$C$6,1,IF(Settings!$B$22="USD",1/INDEX(Settings!$B$29:$B$40,MONTH(A4405)),INDEX(Settings!$B$29:$B$40,MONTH(A4405)))))</f>
        <v/>
      </c>
    </row>
    <row r="4406" customFormat="false" ht="15" hidden="false" customHeight="false" outlineLevel="0" collapsed="false">
      <c r="H4406" s="0" t="str">
        <f aca="false">IF(B4406="","",IF(COUNTIF(Campaigns!$A$7:$A$300,B4406)&gt;0,"✓","⚠ add to Campaigns tab"))</f>
        <v/>
      </c>
      <c r="I4406" s="84" t="str">
        <f aca="false">IF(C4406="","",C4406*IF(Settings!$B$22=Settings!$C$6,1,IF(Settings!$B$22="USD",1/INDEX(Settings!$B$29:$B$40,MONTH(A4406)),INDEX(Settings!$B$29:$B$40,MONTH(A4406)))))</f>
        <v/>
      </c>
    </row>
    <row r="4407" customFormat="false" ht="15" hidden="false" customHeight="false" outlineLevel="0" collapsed="false">
      <c r="H4407" s="0" t="str">
        <f aca="false">IF(B4407="","",IF(COUNTIF(Campaigns!$A$7:$A$300,B4407)&gt;0,"✓","⚠ add to Campaigns tab"))</f>
        <v/>
      </c>
      <c r="I4407" s="84" t="str">
        <f aca="false">IF(C4407="","",C4407*IF(Settings!$B$22=Settings!$C$6,1,IF(Settings!$B$22="USD",1/INDEX(Settings!$B$29:$B$40,MONTH(A4407)),INDEX(Settings!$B$29:$B$40,MONTH(A4407)))))</f>
        <v/>
      </c>
    </row>
    <row r="4408" customFormat="false" ht="15" hidden="false" customHeight="false" outlineLevel="0" collapsed="false">
      <c r="H4408" s="0" t="str">
        <f aca="false">IF(B4408="","",IF(COUNTIF(Campaigns!$A$7:$A$300,B4408)&gt;0,"✓","⚠ add to Campaigns tab"))</f>
        <v/>
      </c>
      <c r="I4408" s="84" t="str">
        <f aca="false">IF(C4408="","",C4408*IF(Settings!$B$22=Settings!$C$6,1,IF(Settings!$B$22="USD",1/INDEX(Settings!$B$29:$B$40,MONTH(A4408)),INDEX(Settings!$B$29:$B$40,MONTH(A4408)))))</f>
        <v/>
      </c>
    </row>
    <row r="4409" customFormat="false" ht="15" hidden="false" customHeight="false" outlineLevel="0" collapsed="false">
      <c r="H4409" s="0" t="str">
        <f aca="false">IF(B4409="","",IF(COUNTIF(Campaigns!$A$7:$A$300,B4409)&gt;0,"✓","⚠ add to Campaigns tab"))</f>
        <v/>
      </c>
      <c r="I4409" s="84" t="str">
        <f aca="false">IF(C4409="","",C4409*IF(Settings!$B$22=Settings!$C$6,1,IF(Settings!$B$22="USD",1/INDEX(Settings!$B$29:$B$40,MONTH(A4409)),INDEX(Settings!$B$29:$B$40,MONTH(A4409)))))</f>
        <v/>
      </c>
    </row>
    <row r="4410" customFormat="false" ht="15" hidden="false" customHeight="false" outlineLevel="0" collapsed="false">
      <c r="H4410" s="0" t="str">
        <f aca="false">IF(B4410="","",IF(COUNTIF(Campaigns!$A$7:$A$300,B4410)&gt;0,"✓","⚠ add to Campaigns tab"))</f>
        <v/>
      </c>
      <c r="I4410" s="84" t="str">
        <f aca="false">IF(C4410="","",C4410*IF(Settings!$B$22=Settings!$C$6,1,IF(Settings!$B$22="USD",1/INDEX(Settings!$B$29:$B$40,MONTH(A4410)),INDEX(Settings!$B$29:$B$40,MONTH(A4410)))))</f>
        <v/>
      </c>
    </row>
    <row r="4411" customFormat="false" ht="15" hidden="false" customHeight="false" outlineLevel="0" collapsed="false">
      <c r="H4411" s="0" t="str">
        <f aca="false">IF(B4411="","",IF(COUNTIF(Campaigns!$A$7:$A$300,B4411)&gt;0,"✓","⚠ add to Campaigns tab"))</f>
        <v/>
      </c>
      <c r="I4411" s="84" t="str">
        <f aca="false">IF(C4411="","",C4411*IF(Settings!$B$22=Settings!$C$6,1,IF(Settings!$B$22="USD",1/INDEX(Settings!$B$29:$B$40,MONTH(A4411)),INDEX(Settings!$B$29:$B$40,MONTH(A4411)))))</f>
        <v/>
      </c>
    </row>
    <row r="4412" customFormat="false" ht="15" hidden="false" customHeight="false" outlineLevel="0" collapsed="false">
      <c r="H4412" s="0" t="str">
        <f aca="false">IF(B4412="","",IF(COUNTIF(Campaigns!$A$7:$A$300,B4412)&gt;0,"✓","⚠ add to Campaigns tab"))</f>
        <v/>
      </c>
      <c r="I4412" s="84" t="str">
        <f aca="false">IF(C4412="","",C4412*IF(Settings!$B$22=Settings!$C$6,1,IF(Settings!$B$22="USD",1/INDEX(Settings!$B$29:$B$40,MONTH(A4412)),INDEX(Settings!$B$29:$B$40,MONTH(A4412)))))</f>
        <v/>
      </c>
    </row>
    <row r="4413" customFormat="false" ht="15" hidden="false" customHeight="false" outlineLevel="0" collapsed="false">
      <c r="H4413" s="0" t="str">
        <f aca="false">IF(B4413="","",IF(COUNTIF(Campaigns!$A$7:$A$300,B4413)&gt;0,"✓","⚠ add to Campaigns tab"))</f>
        <v/>
      </c>
      <c r="I4413" s="84" t="str">
        <f aca="false">IF(C4413="","",C4413*IF(Settings!$B$22=Settings!$C$6,1,IF(Settings!$B$22="USD",1/INDEX(Settings!$B$29:$B$40,MONTH(A4413)),INDEX(Settings!$B$29:$B$40,MONTH(A4413)))))</f>
        <v/>
      </c>
    </row>
    <row r="4414" customFormat="false" ht="15" hidden="false" customHeight="false" outlineLevel="0" collapsed="false">
      <c r="H4414" s="0" t="str">
        <f aca="false">IF(B4414="","",IF(COUNTIF(Campaigns!$A$7:$A$300,B4414)&gt;0,"✓","⚠ add to Campaigns tab"))</f>
        <v/>
      </c>
      <c r="I4414" s="84" t="str">
        <f aca="false">IF(C4414="","",C4414*IF(Settings!$B$22=Settings!$C$6,1,IF(Settings!$B$22="USD",1/INDEX(Settings!$B$29:$B$40,MONTH(A4414)),INDEX(Settings!$B$29:$B$40,MONTH(A4414)))))</f>
        <v/>
      </c>
    </row>
    <row r="4415" customFormat="false" ht="15" hidden="false" customHeight="false" outlineLevel="0" collapsed="false">
      <c r="H4415" s="0" t="str">
        <f aca="false">IF(B4415="","",IF(COUNTIF(Campaigns!$A$7:$A$300,B4415)&gt;0,"✓","⚠ add to Campaigns tab"))</f>
        <v/>
      </c>
      <c r="I4415" s="84" t="str">
        <f aca="false">IF(C4415="","",C4415*IF(Settings!$B$22=Settings!$C$6,1,IF(Settings!$B$22="USD",1/INDEX(Settings!$B$29:$B$40,MONTH(A4415)),INDEX(Settings!$B$29:$B$40,MONTH(A4415)))))</f>
        <v/>
      </c>
    </row>
    <row r="4416" customFormat="false" ht="15" hidden="false" customHeight="false" outlineLevel="0" collapsed="false">
      <c r="H4416" s="0" t="str">
        <f aca="false">IF(B4416="","",IF(COUNTIF(Campaigns!$A$7:$A$300,B4416)&gt;0,"✓","⚠ add to Campaigns tab"))</f>
        <v/>
      </c>
      <c r="I4416" s="84" t="str">
        <f aca="false">IF(C4416="","",C4416*IF(Settings!$B$22=Settings!$C$6,1,IF(Settings!$B$22="USD",1/INDEX(Settings!$B$29:$B$40,MONTH(A4416)),INDEX(Settings!$B$29:$B$40,MONTH(A4416)))))</f>
        <v/>
      </c>
    </row>
    <row r="4417" customFormat="false" ht="15" hidden="false" customHeight="false" outlineLevel="0" collapsed="false">
      <c r="H4417" s="0" t="str">
        <f aca="false">IF(B4417="","",IF(COUNTIF(Campaigns!$A$7:$A$300,B4417)&gt;0,"✓","⚠ add to Campaigns tab"))</f>
        <v/>
      </c>
      <c r="I4417" s="84" t="str">
        <f aca="false">IF(C4417="","",C4417*IF(Settings!$B$22=Settings!$C$6,1,IF(Settings!$B$22="USD",1/INDEX(Settings!$B$29:$B$40,MONTH(A4417)),INDEX(Settings!$B$29:$B$40,MONTH(A4417)))))</f>
        <v/>
      </c>
    </row>
    <row r="4418" customFormat="false" ht="15" hidden="false" customHeight="false" outlineLevel="0" collapsed="false">
      <c r="H4418" s="0" t="str">
        <f aca="false">IF(B4418="","",IF(COUNTIF(Campaigns!$A$7:$A$300,B4418)&gt;0,"✓","⚠ add to Campaigns tab"))</f>
        <v/>
      </c>
      <c r="I4418" s="84" t="str">
        <f aca="false">IF(C4418="","",C4418*IF(Settings!$B$22=Settings!$C$6,1,IF(Settings!$B$22="USD",1/INDEX(Settings!$B$29:$B$40,MONTH(A4418)),INDEX(Settings!$B$29:$B$40,MONTH(A4418)))))</f>
        <v/>
      </c>
    </row>
    <row r="4419" customFormat="false" ht="15" hidden="false" customHeight="false" outlineLevel="0" collapsed="false">
      <c r="H4419" s="0" t="str">
        <f aca="false">IF(B4419="","",IF(COUNTIF(Campaigns!$A$7:$A$300,B4419)&gt;0,"✓","⚠ add to Campaigns tab"))</f>
        <v/>
      </c>
      <c r="I4419" s="84" t="str">
        <f aca="false">IF(C4419="","",C4419*IF(Settings!$B$22=Settings!$C$6,1,IF(Settings!$B$22="USD",1/INDEX(Settings!$B$29:$B$40,MONTH(A4419)),INDEX(Settings!$B$29:$B$40,MONTH(A4419)))))</f>
        <v/>
      </c>
    </row>
    <row r="4420" customFormat="false" ht="15" hidden="false" customHeight="false" outlineLevel="0" collapsed="false">
      <c r="H4420" s="0" t="str">
        <f aca="false">IF(B4420="","",IF(COUNTIF(Campaigns!$A$7:$A$300,B4420)&gt;0,"✓","⚠ add to Campaigns tab"))</f>
        <v/>
      </c>
      <c r="I4420" s="84" t="str">
        <f aca="false">IF(C4420="","",C4420*IF(Settings!$B$22=Settings!$C$6,1,IF(Settings!$B$22="USD",1/INDEX(Settings!$B$29:$B$40,MONTH(A4420)),INDEX(Settings!$B$29:$B$40,MONTH(A4420)))))</f>
        <v/>
      </c>
    </row>
    <row r="4421" customFormat="false" ht="15" hidden="false" customHeight="false" outlineLevel="0" collapsed="false">
      <c r="H4421" s="0" t="str">
        <f aca="false">IF(B4421="","",IF(COUNTIF(Campaigns!$A$7:$A$300,B4421)&gt;0,"✓","⚠ add to Campaigns tab"))</f>
        <v/>
      </c>
      <c r="I4421" s="84" t="str">
        <f aca="false">IF(C4421="","",C4421*IF(Settings!$B$22=Settings!$C$6,1,IF(Settings!$B$22="USD",1/INDEX(Settings!$B$29:$B$40,MONTH(A4421)),INDEX(Settings!$B$29:$B$40,MONTH(A4421)))))</f>
        <v/>
      </c>
    </row>
    <row r="4422" customFormat="false" ht="15" hidden="false" customHeight="false" outlineLevel="0" collapsed="false">
      <c r="H4422" s="0" t="str">
        <f aca="false">IF(B4422="","",IF(COUNTIF(Campaigns!$A$7:$A$300,B4422)&gt;0,"✓","⚠ add to Campaigns tab"))</f>
        <v/>
      </c>
      <c r="I4422" s="84" t="str">
        <f aca="false">IF(C4422="","",C4422*IF(Settings!$B$22=Settings!$C$6,1,IF(Settings!$B$22="USD",1/INDEX(Settings!$B$29:$B$40,MONTH(A4422)),INDEX(Settings!$B$29:$B$40,MONTH(A4422)))))</f>
        <v/>
      </c>
    </row>
    <row r="4423" customFormat="false" ht="15" hidden="false" customHeight="false" outlineLevel="0" collapsed="false">
      <c r="H4423" s="0" t="str">
        <f aca="false">IF(B4423="","",IF(COUNTIF(Campaigns!$A$7:$A$300,B4423)&gt;0,"✓","⚠ add to Campaigns tab"))</f>
        <v/>
      </c>
      <c r="I4423" s="84" t="str">
        <f aca="false">IF(C4423="","",C4423*IF(Settings!$B$22=Settings!$C$6,1,IF(Settings!$B$22="USD",1/INDEX(Settings!$B$29:$B$40,MONTH(A4423)),INDEX(Settings!$B$29:$B$40,MONTH(A4423)))))</f>
        <v/>
      </c>
    </row>
    <row r="4424" customFormat="false" ht="15" hidden="false" customHeight="false" outlineLevel="0" collapsed="false">
      <c r="H4424" s="0" t="str">
        <f aca="false">IF(B4424="","",IF(COUNTIF(Campaigns!$A$7:$A$300,B4424)&gt;0,"✓","⚠ add to Campaigns tab"))</f>
        <v/>
      </c>
      <c r="I4424" s="84" t="str">
        <f aca="false">IF(C4424="","",C4424*IF(Settings!$B$22=Settings!$C$6,1,IF(Settings!$B$22="USD",1/INDEX(Settings!$B$29:$B$40,MONTH(A4424)),INDEX(Settings!$B$29:$B$40,MONTH(A4424)))))</f>
        <v/>
      </c>
    </row>
    <row r="4425" customFormat="false" ht="15" hidden="false" customHeight="false" outlineLevel="0" collapsed="false">
      <c r="H4425" s="0" t="str">
        <f aca="false">IF(B4425="","",IF(COUNTIF(Campaigns!$A$7:$A$300,B4425)&gt;0,"✓","⚠ add to Campaigns tab"))</f>
        <v/>
      </c>
      <c r="I4425" s="84" t="str">
        <f aca="false">IF(C4425="","",C4425*IF(Settings!$B$22=Settings!$C$6,1,IF(Settings!$B$22="USD",1/INDEX(Settings!$B$29:$B$40,MONTH(A4425)),INDEX(Settings!$B$29:$B$40,MONTH(A4425)))))</f>
        <v/>
      </c>
    </row>
    <row r="4426" customFormat="false" ht="15" hidden="false" customHeight="false" outlineLevel="0" collapsed="false">
      <c r="H4426" s="0" t="str">
        <f aca="false">IF(B4426="","",IF(COUNTIF(Campaigns!$A$7:$A$300,B4426)&gt;0,"✓","⚠ add to Campaigns tab"))</f>
        <v/>
      </c>
      <c r="I4426" s="84" t="str">
        <f aca="false">IF(C4426="","",C4426*IF(Settings!$B$22=Settings!$C$6,1,IF(Settings!$B$22="USD",1/INDEX(Settings!$B$29:$B$40,MONTH(A4426)),INDEX(Settings!$B$29:$B$40,MONTH(A4426)))))</f>
        <v/>
      </c>
    </row>
    <row r="4427" customFormat="false" ht="15" hidden="false" customHeight="false" outlineLevel="0" collapsed="false">
      <c r="H4427" s="0" t="str">
        <f aca="false">IF(B4427="","",IF(COUNTIF(Campaigns!$A$7:$A$300,B4427)&gt;0,"✓","⚠ add to Campaigns tab"))</f>
        <v/>
      </c>
      <c r="I4427" s="84" t="str">
        <f aca="false">IF(C4427="","",C4427*IF(Settings!$B$22=Settings!$C$6,1,IF(Settings!$B$22="USD",1/INDEX(Settings!$B$29:$B$40,MONTH(A4427)),INDEX(Settings!$B$29:$B$40,MONTH(A4427)))))</f>
        <v/>
      </c>
    </row>
    <row r="4428" customFormat="false" ht="15" hidden="false" customHeight="false" outlineLevel="0" collapsed="false">
      <c r="H4428" s="0" t="str">
        <f aca="false">IF(B4428="","",IF(COUNTIF(Campaigns!$A$7:$A$300,B4428)&gt;0,"✓","⚠ add to Campaigns tab"))</f>
        <v/>
      </c>
      <c r="I4428" s="84" t="str">
        <f aca="false">IF(C4428="","",C4428*IF(Settings!$B$22=Settings!$C$6,1,IF(Settings!$B$22="USD",1/INDEX(Settings!$B$29:$B$40,MONTH(A4428)),INDEX(Settings!$B$29:$B$40,MONTH(A4428)))))</f>
        <v/>
      </c>
    </row>
    <row r="4429" customFormat="false" ht="15" hidden="false" customHeight="false" outlineLevel="0" collapsed="false">
      <c r="H4429" s="0" t="str">
        <f aca="false">IF(B4429="","",IF(COUNTIF(Campaigns!$A$7:$A$300,B4429)&gt;0,"✓","⚠ add to Campaigns tab"))</f>
        <v/>
      </c>
      <c r="I4429" s="84" t="str">
        <f aca="false">IF(C4429="","",C4429*IF(Settings!$B$22=Settings!$C$6,1,IF(Settings!$B$22="USD",1/INDEX(Settings!$B$29:$B$40,MONTH(A4429)),INDEX(Settings!$B$29:$B$40,MONTH(A4429)))))</f>
        <v/>
      </c>
    </row>
    <row r="4430" customFormat="false" ht="15" hidden="false" customHeight="false" outlineLevel="0" collapsed="false">
      <c r="H4430" s="0" t="str">
        <f aca="false">IF(B4430="","",IF(COUNTIF(Campaigns!$A$7:$A$300,B4430)&gt;0,"✓","⚠ add to Campaigns tab"))</f>
        <v/>
      </c>
      <c r="I4430" s="84" t="str">
        <f aca="false">IF(C4430="","",C4430*IF(Settings!$B$22=Settings!$C$6,1,IF(Settings!$B$22="USD",1/INDEX(Settings!$B$29:$B$40,MONTH(A4430)),INDEX(Settings!$B$29:$B$40,MONTH(A4430)))))</f>
        <v/>
      </c>
    </row>
    <row r="4431" customFormat="false" ht="15" hidden="false" customHeight="false" outlineLevel="0" collapsed="false">
      <c r="H4431" s="0" t="str">
        <f aca="false">IF(B4431="","",IF(COUNTIF(Campaigns!$A$7:$A$300,B4431)&gt;0,"✓","⚠ add to Campaigns tab"))</f>
        <v/>
      </c>
      <c r="I4431" s="84" t="str">
        <f aca="false">IF(C4431="","",C4431*IF(Settings!$B$22=Settings!$C$6,1,IF(Settings!$B$22="USD",1/INDEX(Settings!$B$29:$B$40,MONTH(A4431)),INDEX(Settings!$B$29:$B$40,MONTH(A4431)))))</f>
        <v/>
      </c>
    </row>
    <row r="4432" customFormat="false" ht="15" hidden="false" customHeight="false" outlineLevel="0" collapsed="false">
      <c r="H4432" s="0" t="str">
        <f aca="false">IF(B4432="","",IF(COUNTIF(Campaigns!$A$7:$A$300,B4432)&gt;0,"✓","⚠ add to Campaigns tab"))</f>
        <v/>
      </c>
      <c r="I4432" s="84" t="str">
        <f aca="false">IF(C4432="","",C4432*IF(Settings!$B$22=Settings!$C$6,1,IF(Settings!$B$22="USD",1/INDEX(Settings!$B$29:$B$40,MONTH(A4432)),INDEX(Settings!$B$29:$B$40,MONTH(A4432)))))</f>
        <v/>
      </c>
    </row>
    <row r="4433" customFormat="false" ht="15" hidden="false" customHeight="false" outlineLevel="0" collapsed="false">
      <c r="H4433" s="0" t="str">
        <f aca="false">IF(B4433="","",IF(COUNTIF(Campaigns!$A$7:$A$300,B4433)&gt;0,"✓","⚠ add to Campaigns tab"))</f>
        <v/>
      </c>
      <c r="I4433" s="84" t="str">
        <f aca="false">IF(C4433="","",C4433*IF(Settings!$B$22=Settings!$C$6,1,IF(Settings!$B$22="USD",1/INDEX(Settings!$B$29:$B$40,MONTH(A4433)),INDEX(Settings!$B$29:$B$40,MONTH(A4433)))))</f>
        <v/>
      </c>
    </row>
    <row r="4434" customFormat="false" ht="15" hidden="false" customHeight="false" outlineLevel="0" collapsed="false">
      <c r="H4434" s="0" t="str">
        <f aca="false">IF(B4434="","",IF(COUNTIF(Campaigns!$A$7:$A$300,B4434)&gt;0,"✓","⚠ add to Campaigns tab"))</f>
        <v/>
      </c>
      <c r="I4434" s="84" t="str">
        <f aca="false">IF(C4434="","",C4434*IF(Settings!$B$22=Settings!$C$6,1,IF(Settings!$B$22="USD",1/INDEX(Settings!$B$29:$B$40,MONTH(A4434)),INDEX(Settings!$B$29:$B$40,MONTH(A4434)))))</f>
        <v/>
      </c>
    </row>
    <row r="4435" customFormat="false" ht="15" hidden="false" customHeight="false" outlineLevel="0" collapsed="false">
      <c r="H4435" s="0" t="str">
        <f aca="false">IF(B4435="","",IF(COUNTIF(Campaigns!$A$7:$A$300,B4435)&gt;0,"✓","⚠ add to Campaigns tab"))</f>
        <v/>
      </c>
      <c r="I4435" s="84" t="str">
        <f aca="false">IF(C4435="","",C4435*IF(Settings!$B$22=Settings!$C$6,1,IF(Settings!$B$22="USD",1/INDEX(Settings!$B$29:$B$40,MONTH(A4435)),INDEX(Settings!$B$29:$B$40,MONTH(A4435)))))</f>
        <v/>
      </c>
    </row>
    <row r="4436" customFormat="false" ht="15" hidden="false" customHeight="false" outlineLevel="0" collapsed="false">
      <c r="H4436" s="0" t="str">
        <f aca="false">IF(B4436="","",IF(COUNTIF(Campaigns!$A$7:$A$300,B4436)&gt;0,"✓","⚠ add to Campaigns tab"))</f>
        <v/>
      </c>
      <c r="I4436" s="84" t="str">
        <f aca="false">IF(C4436="","",C4436*IF(Settings!$B$22=Settings!$C$6,1,IF(Settings!$B$22="USD",1/INDEX(Settings!$B$29:$B$40,MONTH(A4436)),INDEX(Settings!$B$29:$B$40,MONTH(A4436)))))</f>
        <v/>
      </c>
    </row>
    <row r="4437" customFormat="false" ht="15" hidden="false" customHeight="false" outlineLevel="0" collapsed="false">
      <c r="H4437" s="0" t="str">
        <f aca="false">IF(B4437="","",IF(COUNTIF(Campaigns!$A$7:$A$300,B4437)&gt;0,"✓","⚠ add to Campaigns tab"))</f>
        <v/>
      </c>
      <c r="I4437" s="84" t="str">
        <f aca="false">IF(C4437="","",C4437*IF(Settings!$B$22=Settings!$C$6,1,IF(Settings!$B$22="USD",1/INDEX(Settings!$B$29:$B$40,MONTH(A4437)),INDEX(Settings!$B$29:$B$40,MONTH(A4437)))))</f>
        <v/>
      </c>
    </row>
    <row r="4438" customFormat="false" ht="15" hidden="false" customHeight="false" outlineLevel="0" collapsed="false">
      <c r="H4438" s="0" t="str">
        <f aca="false">IF(B4438="","",IF(COUNTIF(Campaigns!$A$7:$A$300,B4438)&gt;0,"✓","⚠ add to Campaigns tab"))</f>
        <v/>
      </c>
      <c r="I4438" s="84" t="str">
        <f aca="false">IF(C4438="","",C4438*IF(Settings!$B$22=Settings!$C$6,1,IF(Settings!$B$22="USD",1/INDEX(Settings!$B$29:$B$40,MONTH(A4438)),INDEX(Settings!$B$29:$B$40,MONTH(A4438)))))</f>
        <v/>
      </c>
    </row>
    <row r="4439" customFormat="false" ht="15" hidden="false" customHeight="false" outlineLevel="0" collapsed="false">
      <c r="H4439" s="0" t="str">
        <f aca="false">IF(B4439="","",IF(COUNTIF(Campaigns!$A$7:$A$300,B4439)&gt;0,"✓","⚠ add to Campaigns tab"))</f>
        <v/>
      </c>
      <c r="I4439" s="84" t="str">
        <f aca="false">IF(C4439="","",C4439*IF(Settings!$B$22=Settings!$C$6,1,IF(Settings!$B$22="USD",1/INDEX(Settings!$B$29:$B$40,MONTH(A4439)),INDEX(Settings!$B$29:$B$40,MONTH(A4439)))))</f>
        <v/>
      </c>
    </row>
    <row r="4440" customFormat="false" ht="15" hidden="false" customHeight="false" outlineLevel="0" collapsed="false">
      <c r="H4440" s="0" t="str">
        <f aca="false">IF(B4440="","",IF(COUNTIF(Campaigns!$A$7:$A$300,B4440)&gt;0,"✓","⚠ add to Campaigns tab"))</f>
        <v/>
      </c>
      <c r="I4440" s="84" t="str">
        <f aca="false">IF(C4440="","",C4440*IF(Settings!$B$22=Settings!$C$6,1,IF(Settings!$B$22="USD",1/INDEX(Settings!$B$29:$B$40,MONTH(A4440)),INDEX(Settings!$B$29:$B$40,MONTH(A4440)))))</f>
        <v/>
      </c>
    </row>
    <row r="4441" customFormat="false" ht="15" hidden="false" customHeight="false" outlineLevel="0" collapsed="false">
      <c r="H4441" s="0" t="str">
        <f aca="false">IF(B4441="","",IF(COUNTIF(Campaigns!$A$7:$A$300,B4441)&gt;0,"✓","⚠ add to Campaigns tab"))</f>
        <v/>
      </c>
      <c r="I4441" s="84" t="str">
        <f aca="false">IF(C4441="","",C4441*IF(Settings!$B$22=Settings!$C$6,1,IF(Settings!$B$22="USD",1/INDEX(Settings!$B$29:$B$40,MONTH(A4441)),INDEX(Settings!$B$29:$B$40,MONTH(A4441)))))</f>
        <v/>
      </c>
    </row>
    <row r="4442" customFormat="false" ht="15" hidden="false" customHeight="false" outlineLevel="0" collapsed="false">
      <c r="H4442" s="0" t="str">
        <f aca="false">IF(B4442="","",IF(COUNTIF(Campaigns!$A$7:$A$300,B4442)&gt;0,"✓","⚠ add to Campaigns tab"))</f>
        <v/>
      </c>
      <c r="I4442" s="84" t="str">
        <f aca="false">IF(C4442="","",C4442*IF(Settings!$B$22=Settings!$C$6,1,IF(Settings!$B$22="USD",1/INDEX(Settings!$B$29:$B$40,MONTH(A4442)),INDEX(Settings!$B$29:$B$40,MONTH(A4442)))))</f>
        <v/>
      </c>
    </row>
    <row r="4443" customFormat="false" ht="15" hidden="false" customHeight="false" outlineLevel="0" collapsed="false">
      <c r="H4443" s="0" t="str">
        <f aca="false">IF(B4443="","",IF(COUNTIF(Campaigns!$A$7:$A$300,B4443)&gt;0,"✓","⚠ add to Campaigns tab"))</f>
        <v/>
      </c>
      <c r="I4443" s="84" t="str">
        <f aca="false">IF(C4443="","",C4443*IF(Settings!$B$22=Settings!$C$6,1,IF(Settings!$B$22="USD",1/INDEX(Settings!$B$29:$B$40,MONTH(A4443)),INDEX(Settings!$B$29:$B$40,MONTH(A4443)))))</f>
        <v/>
      </c>
    </row>
    <row r="4444" customFormat="false" ht="15" hidden="false" customHeight="false" outlineLevel="0" collapsed="false">
      <c r="H4444" s="0" t="str">
        <f aca="false">IF(B4444="","",IF(COUNTIF(Campaigns!$A$7:$A$300,B4444)&gt;0,"✓","⚠ add to Campaigns tab"))</f>
        <v/>
      </c>
      <c r="I4444" s="84" t="str">
        <f aca="false">IF(C4444="","",C4444*IF(Settings!$B$22=Settings!$C$6,1,IF(Settings!$B$22="USD",1/INDEX(Settings!$B$29:$B$40,MONTH(A4444)),INDEX(Settings!$B$29:$B$40,MONTH(A4444)))))</f>
        <v/>
      </c>
    </row>
    <row r="4445" customFormat="false" ht="15" hidden="false" customHeight="false" outlineLevel="0" collapsed="false">
      <c r="H4445" s="0" t="str">
        <f aca="false">IF(B4445="","",IF(COUNTIF(Campaigns!$A$7:$A$300,B4445)&gt;0,"✓","⚠ add to Campaigns tab"))</f>
        <v/>
      </c>
      <c r="I4445" s="84" t="str">
        <f aca="false">IF(C4445="","",C4445*IF(Settings!$B$22=Settings!$C$6,1,IF(Settings!$B$22="USD",1/INDEX(Settings!$B$29:$B$40,MONTH(A4445)),INDEX(Settings!$B$29:$B$40,MONTH(A4445)))))</f>
        <v/>
      </c>
    </row>
    <row r="4446" customFormat="false" ht="15" hidden="false" customHeight="false" outlineLevel="0" collapsed="false">
      <c r="H4446" s="0" t="str">
        <f aca="false">IF(B4446="","",IF(COUNTIF(Campaigns!$A$7:$A$300,B4446)&gt;0,"✓","⚠ add to Campaigns tab"))</f>
        <v/>
      </c>
      <c r="I4446" s="84" t="str">
        <f aca="false">IF(C4446="","",C4446*IF(Settings!$B$22=Settings!$C$6,1,IF(Settings!$B$22="USD",1/INDEX(Settings!$B$29:$B$40,MONTH(A4446)),INDEX(Settings!$B$29:$B$40,MONTH(A4446)))))</f>
        <v/>
      </c>
    </row>
    <row r="4447" customFormat="false" ht="15" hidden="false" customHeight="false" outlineLevel="0" collapsed="false">
      <c r="H4447" s="0" t="str">
        <f aca="false">IF(B4447="","",IF(COUNTIF(Campaigns!$A$7:$A$300,B4447)&gt;0,"✓","⚠ add to Campaigns tab"))</f>
        <v/>
      </c>
      <c r="I4447" s="84" t="str">
        <f aca="false">IF(C4447="","",C4447*IF(Settings!$B$22=Settings!$C$6,1,IF(Settings!$B$22="USD",1/INDEX(Settings!$B$29:$B$40,MONTH(A4447)),INDEX(Settings!$B$29:$B$40,MONTH(A4447)))))</f>
        <v/>
      </c>
    </row>
    <row r="4448" customFormat="false" ht="15" hidden="false" customHeight="false" outlineLevel="0" collapsed="false">
      <c r="H4448" s="0" t="str">
        <f aca="false">IF(B4448="","",IF(COUNTIF(Campaigns!$A$7:$A$300,B4448)&gt;0,"✓","⚠ add to Campaigns tab"))</f>
        <v/>
      </c>
      <c r="I4448" s="84" t="str">
        <f aca="false">IF(C4448="","",C4448*IF(Settings!$B$22=Settings!$C$6,1,IF(Settings!$B$22="USD",1/INDEX(Settings!$B$29:$B$40,MONTH(A4448)),INDEX(Settings!$B$29:$B$40,MONTH(A4448)))))</f>
        <v/>
      </c>
    </row>
    <row r="4449" customFormat="false" ht="15" hidden="false" customHeight="false" outlineLevel="0" collapsed="false">
      <c r="H4449" s="0" t="str">
        <f aca="false">IF(B4449="","",IF(COUNTIF(Campaigns!$A$7:$A$300,B4449)&gt;0,"✓","⚠ add to Campaigns tab"))</f>
        <v/>
      </c>
      <c r="I4449" s="84" t="str">
        <f aca="false">IF(C4449="","",C4449*IF(Settings!$B$22=Settings!$C$6,1,IF(Settings!$B$22="USD",1/INDEX(Settings!$B$29:$B$40,MONTH(A4449)),INDEX(Settings!$B$29:$B$40,MONTH(A4449)))))</f>
        <v/>
      </c>
    </row>
    <row r="4450" customFormat="false" ht="15" hidden="false" customHeight="false" outlineLevel="0" collapsed="false">
      <c r="H4450" s="0" t="str">
        <f aca="false">IF(B4450="","",IF(COUNTIF(Campaigns!$A$7:$A$300,B4450)&gt;0,"✓","⚠ add to Campaigns tab"))</f>
        <v/>
      </c>
      <c r="I4450" s="84" t="str">
        <f aca="false">IF(C4450="","",C4450*IF(Settings!$B$22=Settings!$C$6,1,IF(Settings!$B$22="USD",1/INDEX(Settings!$B$29:$B$40,MONTH(A4450)),INDEX(Settings!$B$29:$B$40,MONTH(A4450)))))</f>
        <v/>
      </c>
    </row>
    <row r="4451" customFormat="false" ht="15" hidden="false" customHeight="false" outlineLevel="0" collapsed="false">
      <c r="H4451" s="0" t="str">
        <f aca="false">IF(B4451="","",IF(COUNTIF(Campaigns!$A$7:$A$300,B4451)&gt;0,"✓","⚠ add to Campaigns tab"))</f>
        <v/>
      </c>
      <c r="I4451" s="84" t="str">
        <f aca="false">IF(C4451="","",C4451*IF(Settings!$B$22=Settings!$C$6,1,IF(Settings!$B$22="USD",1/INDEX(Settings!$B$29:$B$40,MONTH(A4451)),INDEX(Settings!$B$29:$B$40,MONTH(A4451)))))</f>
        <v/>
      </c>
    </row>
    <row r="4452" customFormat="false" ht="15" hidden="false" customHeight="false" outlineLevel="0" collapsed="false">
      <c r="H4452" s="0" t="str">
        <f aca="false">IF(B4452="","",IF(COUNTIF(Campaigns!$A$7:$A$300,B4452)&gt;0,"✓","⚠ add to Campaigns tab"))</f>
        <v/>
      </c>
      <c r="I4452" s="84" t="str">
        <f aca="false">IF(C4452="","",C4452*IF(Settings!$B$22=Settings!$C$6,1,IF(Settings!$B$22="USD",1/INDEX(Settings!$B$29:$B$40,MONTH(A4452)),INDEX(Settings!$B$29:$B$40,MONTH(A4452)))))</f>
        <v/>
      </c>
    </row>
    <row r="4453" customFormat="false" ht="15" hidden="false" customHeight="false" outlineLevel="0" collapsed="false">
      <c r="H4453" s="0" t="str">
        <f aca="false">IF(B4453="","",IF(COUNTIF(Campaigns!$A$7:$A$300,B4453)&gt;0,"✓","⚠ add to Campaigns tab"))</f>
        <v/>
      </c>
      <c r="I4453" s="84" t="str">
        <f aca="false">IF(C4453="","",C4453*IF(Settings!$B$22=Settings!$C$6,1,IF(Settings!$B$22="USD",1/INDEX(Settings!$B$29:$B$40,MONTH(A4453)),INDEX(Settings!$B$29:$B$40,MONTH(A4453)))))</f>
        <v/>
      </c>
    </row>
    <row r="4454" customFormat="false" ht="15" hidden="false" customHeight="false" outlineLevel="0" collapsed="false">
      <c r="H4454" s="0" t="str">
        <f aca="false">IF(B4454="","",IF(COUNTIF(Campaigns!$A$7:$A$300,B4454)&gt;0,"✓","⚠ add to Campaigns tab"))</f>
        <v/>
      </c>
      <c r="I4454" s="84" t="str">
        <f aca="false">IF(C4454="","",C4454*IF(Settings!$B$22=Settings!$C$6,1,IF(Settings!$B$22="USD",1/INDEX(Settings!$B$29:$B$40,MONTH(A4454)),INDEX(Settings!$B$29:$B$40,MONTH(A4454)))))</f>
        <v/>
      </c>
    </row>
    <row r="4455" customFormat="false" ht="15" hidden="false" customHeight="false" outlineLevel="0" collapsed="false">
      <c r="H4455" s="0" t="str">
        <f aca="false">IF(B4455="","",IF(COUNTIF(Campaigns!$A$7:$A$300,B4455)&gt;0,"✓","⚠ add to Campaigns tab"))</f>
        <v/>
      </c>
      <c r="I4455" s="84" t="str">
        <f aca="false">IF(C4455="","",C4455*IF(Settings!$B$22=Settings!$C$6,1,IF(Settings!$B$22="USD",1/INDEX(Settings!$B$29:$B$40,MONTH(A4455)),INDEX(Settings!$B$29:$B$40,MONTH(A4455)))))</f>
        <v/>
      </c>
    </row>
    <row r="4456" customFormat="false" ht="15" hidden="false" customHeight="false" outlineLevel="0" collapsed="false">
      <c r="H4456" s="0" t="str">
        <f aca="false">IF(B4456="","",IF(COUNTIF(Campaigns!$A$7:$A$300,B4456)&gt;0,"✓","⚠ add to Campaigns tab"))</f>
        <v/>
      </c>
      <c r="I4456" s="84" t="str">
        <f aca="false">IF(C4456="","",C4456*IF(Settings!$B$22=Settings!$C$6,1,IF(Settings!$B$22="USD",1/INDEX(Settings!$B$29:$B$40,MONTH(A4456)),INDEX(Settings!$B$29:$B$40,MONTH(A4456)))))</f>
        <v/>
      </c>
    </row>
    <row r="4457" customFormat="false" ht="15" hidden="false" customHeight="false" outlineLevel="0" collapsed="false">
      <c r="H4457" s="0" t="str">
        <f aca="false">IF(B4457="","",IF(COUNTIF(Campaigns!$A$7:$A$300,B4457)&gt;0,"✓","⚠ add to Campaigns tab"))</f>
        <v/>
      </c>
      <c r="I4457" s="84" t="str">
        <f aca="false">IF(C4457="","",C4457*IF(Settings!$B$22=Settings!$C$6,1,IF(Settings!$B$22="USD",1/INDEX(Settings!$B$29:$B$40,MONTH(A4457)),INDEX(Settings!$B$29:$B$40,MONTH(A4457)))))</f>
        <v/>
      </c>
    </row>
    <row r="4458" customFormat="false" ht="15" hidden="false" customHeight="false" outlineLevel="0" collapsed="false">
      <c r="H4458" s="0" t="str">
        <f aca="false">IF(B4458="","",IF(COUNTIF(Campaigns!$A$7:$A$300,B4458)&gt;0,"✓","⚠ add to Campaigns tab"))</f>
        <v/>
      </c>
      <c r="I4458" s="84" t="str">
        <f aca="false">IF(C4458="","",C4458*IF(Settings!$B$22=Settings!$C$6,1,IF(Settings!$B$22="USD",1/INDEX(Settings!$B$29:$B$40,MONTH(A4458)),INDEX(Settings!$B$29:$B$40,MONTH(A4458)))))</f>
        <v/>
      </c>
    </row>
    <row r="4459" customFormat="false" ht="15" hidden="false" customHeight="false" outlineLevel="0" collapsed="false">
      <c r="H4459" s="0" t="str">
        <f aca="false">IF(B4459="","",IF(COUNTIF(Campaigns!$A$7:$A$300,B4459)&gt;0,"✓","⚠ add to Campaigns tab"))</f>
        <v/>
      </c>
      <c r="I4459" s="84" t="str">
        <f aca="false">IF(C4459="","",C4459*IF(Settings!$B$22=Settings!$C$6,1,IF(Settings!$B$22="USD",1/INDEX(Settings!$B$29:$B$40,MONTH(A4459)),INDEX(Settings!$B$29:$B$40,MONTH(A4459)))))</f>
        <v/>
      </c>
    </row>
    <row r="4460" customFormat="false" ht="15" hidden="false" customHeight="false" outlineLevel="0" collapsed="false">
      <c r="H4460" s="0" t="str">
        <f aca="false">IF(B4460="","",IF(COUNTIF(Campaigns!$A$7:$A$300,B4460)&gt;0,"✓","⚠ add to Campaigns tab"))</f>
        <v/>
      </c>
      <c r="I4460" s="84" t="str">
        <f aca="false">IF(C4460="","",C4460*IF(Settings!$B$22=Settings!$C$6,1,IF(Settings!$B$22="USD",1/INDEX(Settings!$B$29:$B$40,MONTH(A4460)),INDEX(Settings!$B$29:$B$40,MONTH(A4460)))))</f>
        <v/>
      </c>
    </row>
    <row r="4461" customFormat="false" ht="15" hidden="false" customHeight="false" outlineLevel="0" collapsed="false">
      <c r="H4461" s="0" t="str">
        <f aca="false">IF(B4461="","",IF(COUNTIF(Campaigns!$A$7:$A$300,B4461)&gt;0,"✓","⚠ add to Campaigns tab"))</f>
        <v/>
      </c>
      <c r="I4461" s="84" t="str">
        <f aca="false">IF(C4461="","",C4461*IF(Settings!$B$22=Settings!$C$6,1,IF(Settings!$B$22="USD",1/INDEX(Settings!$B$29:$B$40,MONTH(A4461)),INDEX(Settings!$B$29:$B$40,MONTH(A4461)))))</f>
        <v/>
      </c>
    </row>
    <row r="4462" customFormat="false" ht="15" hidden="false" customHeight="false" outlineLevel="0" collapsed="false">
      <c r="H4462" s="0" t="str">
        <f aca="false">IF(B4462="","",IF(COUNTIF(Campaigns!$A$7:$A$300,B4462)&gt;0,"✓","⚠ add to Campaigns tab"))</f>
        <v/>
      </c>
      <c r="I4462" s="84" t="str">
        <f aca="false">IF(C4462="","",C4462*IF(Settings!$B$22=Settings!$C$6,1,IF(Settings!$B$22="USD",1/INDEX(Settings!$B$29:$B$40,MONTH(A4462)),INDEX(Settings!$B$29:$B$40,MONTH(A4462)))))</f>
        <v/>
      </c>
    </row>
    <row r="4463" customFormat="false" ht="15" hidden="false" customHeight="false" outlineLevel="0" collapsed="false">
      <c r="H4463" s="0" t="str">
        <f aca="false">IF(B4463="","",IF(COUNTIF(Campaigns!$A$7:$A$300,B4463)&gt;0,"✓","⚠ add to Campaigns tab"))</f>
        <v/>
      </c>
      <c r="I4463" s="84" t="str">
        <f aca="false">IF(C4463="","",C4463*IF(Settings!$B$22=Settings!$C$6,1,IF(Settings!$B$22="USD",1/INDEX(Settings!$B$29:$B$40,MONTH(A4463)),INDEX(Settings!$B$29:$B$40,MONTH(A4463)))))</f>
        <v/>
      </c>
    </row>
    <row r="4464" customFormat="false" ht="15" hidden="false" customHeight="false" outlineLevel="0" collapsed="false">
      <c r="H4464" s="0" t="str">
        <f aca="false">IF(B4464="","",IF(COUNTIF(Campaigns!$A$7:$A$300,B4464)&gt;0,"✓","⚠ add to Campaigns tab"))</f>
        <v/>
      </c>
      <c r="I4464" s="84" t="str">
        <f aca="false">IF(C4464="","",C4464*IF(Settings!$B$22=Settings!$C$6,1,IF(Settings!$B$22="USD",1/INDEX(Settings!$B$29:$B$40,MONTH(A4464)),INDEX(Settings!$B$29:$B$40,MONTH(A4464)))))</f>
        <v/>
      </c>
    </row>
    <row r="4465" customFormat="false" ht="15" hidden="false" customHeight="false" outlineLevel="0" collapsed="false">
      <c r="H4465" s="0" t="str">
        <f aca="false">IF(B4465="","",IF(COUNTIF(Campaigns!$A$7:$A$300,B4465)&gt;0,"✓","⚠ add to Campaigns tab"))</f>
        <v/>
      </c>
      <c r="I4465" s="84" t="str">
        <f aca="false">IF(C4465="","",C4465*IF(Settings!$B$22=Settings!$C$6,1,IF(Settings!$B$22="USD",1/INDEX(Settings!$B$29:$B$40,MONTH(A4465)),INDEX(Settings!$B$29:$B$40,MONTH(A4465)))))</f>
        <v/>
      </c>
    </row>
    <row r="4466" customFormat="false" ht="15" hidden="false" customHeight="false" outlineLevel="0" collapsed="false">
      <c r="H4466" s="0" t="str">
        <f aca="false">IF(B4466="","",IF(COUNTIF(Campaigns!$A$7:$A$300,B4466)&gt;0,"✓","⚠ add to Campaigns tab"))</f>
        <v/>
      </c>
      <c r="I4466" s="84" t="str">
        <f aca="false">IF(C4466="","",C4466*IF(Settings!$B$22=Settings!$C$6,1,IF(Settings!$B$22="USD",1/INDEX(Settings!$B$29:$B$40,MONTH(A4466)),INDEX(Settings!$B$29:$B$40,MONTH(A4466)))))</f>
        <v/>
      </c>
    </row>
    <row r="4467" customFormat="false" ht="15" hidden="false" customHeight="false" outlineLevel="0" collapsed="false">
      <c r="H4467" s="0" t="str">
        <f aca="false">IF(B4467="","",IF(COUNTIF(Campaigns!$A$7:$A$300,B4467)&gt;0,"✓","⚠ add to Campaigns tab"))</f>
        <v/>
      </c>
      <c r="I4467" s="84" t="str">
        <f aca="false">IF(C4467="","",C4467*IF(Settings!$B$22=Settings!$C$6,1,IF(Settings!$B$22="USD",1/INDEX(Settings!$B$29:$B$40,MONTH(A4467)),INDEX(Settings!$B$29:$B$40,MONTH(A4467)))))</f>
        <v/>
      </c>
    </row>
    <row r="4468" customFormat="false" ht="15" hidden="false" customHeight="false" outlineLevel="0" collapsed="false">
      <c r="H4468" s="0" t="str">
        <f aca="false">IF(B4468="","",IF(COUNTIF(Campaigns!$A$7:$A$300,B4468)&gt;0,"✓","⚠ add to Campaigns tab"))</f>
        <v/>
      </c>
      <c r="I4468" s="84" t="str">
        <f aca="false">IF(C4468="","",C4468*IF(Settings!$B$22=Settings!$C$6,1,IF(Settings!$B$22="USD",1/INDEX(Settings!$B$29:$B$40,MONTH(A4468)),INDEX(Settings!$B$29:$B$40,MONTH(A4468)))))</f>
        <v/>
      </c>
    </row>
    <row r="4469" customFormat="false" ht="15" hidden="false" customHeight="false" outlineLevel="0" collapsed="false">
      <c r="H4469" s="0" t="str">
        <f aca="false">IF(B4469="","",IF(COUNTIF(Campaigns!$A$7:$A$300,B4469)&gt;0,"✓","⚠ add to Campaigns tab"))</f>
        <v/>
      </c>
      <c r="I4469" s="84" t="str">
        <f aca="false">IF(C4469="","",C4469*IF(Settings!$B$22=Settings!$C$6,1,IF(Settings!$B$22="USD",1/INDEX(Settings!$B$29:$B$40,MONTH(A4469)),INDEX(Settings!$B$29:$B$40,MONTH(A4469)))))</f>
        <v/>
      </c>
    </row>
    <row r="4470" customFormat="false" ht="15" hidden="false" customHeight="false" outlineLevel="0" collapsed="false">
      <c r="H4470" s="0" t="str">
        <f aca="false">IF(B4470="","",IF(COUNTIF(Campaigns!$A$7:$A$300,B4470)&gt;0,"✓","⚠ add to Campaigns tab"))</f>
        <v/>
      </c>
      <c r="I4470" s="84" t="str">
        <f aca="false">IF(C4470="","",C4470*IF(Settings!$B$22=Settings!$C$6,1,IF(Settings!$B$22="USD",1/INDEX(Settings!$B$29:$B$40,MONTH(A4470)),INDEX(Settings!$B$29:$B$40,MONTH(A4470)))))</f>
        <v/>
      </c>
    </row>
    <row r="4471" customFormat="false" ht="15" hidden="false" customHeight="false" outlineLevel="0" collapsed="false">
      <c r="H4471" s="0" t="str">
        <f aca="false">IF(B4471="","",IF(COUNTIF(Campaigns!$A$7:$A$300,B4471)&gt;0,"✓","⚠ add to Campaigns tab"))</f>
        <v/>
      </c>
      <c r="I4471" s="84" t="str">
        <f aca="false">IF(C4471="","",C4471*IF(Settings!$B$22=Settings!$C$6,1,IF(Settings!$B$22="USD",1/INDEX(Settings!$B$29:$B$40,MONTH(A4471)),INDEX(Settings!$B$29:$B$40,MONTH(A4471)))))</f>
        <v/>
      </c>
    </row>
    <row r="4472" customFormat="false" ht="15" hidden="false" customHeight="false" outlineLevel="0" collapsed="false">
      <c r="H4472" s="0" t="str">
        <f aca="false">IF(B4472="","",IF(COUNTIF(Campaigns!$A$7:$A$300,B4472)&gt;0,"✓","⚠ add to Campaigns tab"))</f>
        <v/>
      </c>
      <c r="I4472" s="84" t="str">
        <f aca="false">IF(C4472="","",C4472*IF(Settings!$B$22=Settings!$C$6,1,IF(Settings!$B$22="USD",1/INDEX(Settings!$B$29:$B$40,MONTH(A4472)),INDEX(Settings!$B$29:$B$40,MONTH(A4472)))))</f>
        <v/>
      </c>
    </row>
    <row r="4473" customFormat="false" ht="15" hidden="false" customHeight="false" outlineLevel="0" collapsed="false">
      <c r="H4473" s="0" t="str">
        <f aca="false">IF(B4473="","",IF(COUNTIF(Campaigns!$A$7:$A$300,B4473)&gt;0,"✓","⚠ add to Campaigns tab"))</f>
        <v/>
      </c>
      <c r="I4473" s="84" t="str">
        <f aca="false">IF(C4473="","",C4473*IF(Settings!$B$22=Settings!$C$6,1,IF(Settings!$B$22="USD",1/INDEX(Settings!$B$29:$B$40,MONTH(A4473)),INDEX(Settings!$B$29:$B$40,MONTH(A4473)))))</f>
        <v/>
      </c>
    </row>
    <row r="4474" customFormat="false" ht="15" hidden="false" customHeight="false" outlineLevel="0" collapsed="false">
      <c r="H4474" s="0" t="str">
        <f aca="false">IF(B4474="","",IF(COUNTIF(Campaigns!$A$7:$A$300,B4474)&gt;0,"✓","⚠ add to Campaigns tab"))</f>
        <v/>
      </c>
      <c r="I4474" s="84" t="str">
        <f aca="false">IF(C4474="","",C4474*IF(Settings!$B$22=Settings!$C$6,1,IF(Settings!$B$22="USD",1/INDEX(Settings!$B$29:$B$40,MONTH(A4474)),INDEX(Settings!$B$29:$B$40,MONTH(A4474)))))</f>
        <v/>
      </c>
    </row>
    <row r="4475" customFormat="false" ht="15" hidden="false" customHeight="false" outlineLevel="0" collapsed="false">
      <c r="H4475" s="0" t="str">
        <f aca="false">IF(B4475="","",IF(COUNTIF(Campaigns!$A$7:$A$300,B4475)&gt;0,"✓","⚠ add to Campaigns tab"))</f>
        <v/>
      </c>
      <c r="I4475" s="84" t="str">
        <f aca="false">IF(C4475="","",C4475*IF(Settings!$B$22=Settings!$C$6,1,IF(Settings!$B$22="USD",1/INDEX(Settings!$B$29:$B$40,MONTH(A4475)),INDEX(Settings!$B$29:$B$40,MONTH(A4475)))))</f>
        <v/>
      </c>
    </row>
    <row r="4476" customFormat="false" ht="15" hidden="false" customHeight="false" outlineLevel="0" collapsed="false">
      <c r="H4476" s="0" t="str">
        <f aca="false">IF(B4476="","",IF(COUNTIF(Campaigns!$A$7:$A$300,B4476)&gt;0,"✓","⚠ add to Campaigns tab"))</f>
        <v/>
      </c>
      <c r="I4476" s="84" t="str">
        <f aca="false">IF(C4476="","",C4476*IF(Settings!$B$22=Settings!$C$6,1,IF(Settings!$B$22="USD",1/INDEX(Settings!$B$29:$B$40,MONTH(A4476)),INDEX(Settings!$B$29:$B$40,MONTH(A4476)))))</f>
        <v/>
      </c>
    </row>
    <row r="4477" customFormat="false" ht="15" hidden="false" customHeight="false" outlineLevel="0" collapsed="false">
      <c r="H4477" s="0" t="str">
        <f aca="false">IF(B4477="","",IF(COUNTIF(Campaigns!$A$7:$A$300,B4477)&gt;0,"✓","⚠ add to Campaigns tab"))</f>
        <v/>
      </c>
      <c r="I4477" s="84" t="str">
        <f aca="false">IF(C4477="","",C4477*IF(Settings!$B$22=Settings!$C$6,1,IF(Settings!$B$22="USD",1/INDEX(Settings!$B$29:$B$40,MONTH(A4477)),INDEX(Settings!$B$29:$B$40,MONTH(A4477)))))</f>
        <v/>
      </c>
    </row>
    <row r="4478" customFormat="false" ht="15" hidden="false" customHeight="false" outlineLevel="0" collapsed="false">
      <c r="H4478" s="0" t="str">
        <f aca="false">IF(B4478="","",IF(COUNTIF(Campaigns!$A$7:$A$300,B4478)&gt;0,"✓","⚠ add to Campaigns tab"))</f>
        <v/>
      </c>
      <c r="I4478" s="84" t="str">
        <f aca="false">IF(C4478="","",C4478*IF(Settings!$B$22=Settings!$C$6,1,IF(Settings!$B$22="USD",1/INDEX(Settings!$B$29:$B$40,MONTH(A4478)),INDEX(Settings!$B$29:$B$40,MONTH(A4478)))))</f>
        <v/>
      </c>
    </row>
    <row r="4479" customFormat="false" ht="15" hidden="false" customHeight="false" outlineLevel="0" collapsed="false">
      <c r="H4479" s="0" t="str">
        <f aca="false">IF(B4479="","",IF(COUNTIF(Campaigns!$A$7:$A$300,B4479)&gt;0,"✓","⚠ add to Campaigns tab"))</f>
        <v/>
      </c>
      <c r="I4479" s="84" t="str">
        <f aca="false">IF(C4479="","",C4479*IF(Settings!$B$22=Settings!$C$6,1,IF(Settings!$B$22="USD",1/INDEX(Settings!$B$29:$B$40,MONTH(A4479)),INDEX(Settings!$B$29:$B$40,MONTH(A4479)))))</f>
        <v/>
      </c>
    </row>
    <row r="4480" customFormat="false" ht="15" hidden="false" customHeight="false" outlineLevel="0" collapsed="false">
      <c r="H4480" s="0" t="str">
        <f aca="false">IF(B4480="","",IF(COUNTIF(Campaigns!$A$7:$A$300,B4480)&gt;0,"✓","⚠ add to Campaigns tab"))</f>
        <v/>
      </c>
      <c r="I4480" s="84" t="str">
        <f aca="false">IF(C4480="","",C4480*IF(Settings!$B$22=Settings!$C$6,1,IF(Settings!$B$22="USD",1/INDEX(Settings!$B$29:$B$40,MONTH(A4480)),INDEX(Settings!$B$29:$B$40,MONTH(A4480)))))</f>
        <v/>
      </c>
    </row>
    <row r="4481" customFormat="false" ht="15" hidden="false" customHeight="false" outlineLevel="0" collapsed="false">
      <c r="H4481" s="0" t="str">
        <f aca="false">IF(B4481="","",IF(COUNTIF(Campaigns!$A$7:$A$300,B4481)&gt;0,"✓","⚠ add to Campaigns tab"))</f>
        <v/>
      </c>
      <c r="I4481" s="84" t="str">
        <f aca="false">IF(C4481="","",C4481*IF(Settings!$B$22=Settings!$C$6,1,IF(Settings!$B$22="USD",1/INDEX(Settings!$B$29:$B$40,MONTH(A4481)),INDEX(Settings!$B$29:$B$40,MONTH(A4481)))))</f>
        <v/>
      </c>
    </row>
    <row r="4482" customFormat="false" ht="15" hidden="false" customHeight="false" outlineLevel="0" collapsed="false">
      <c r="H4482" s="0" t="str">
        <f aca="false">IF(B4482="","",IF(COUNTIF(Campaigns!$A$7:$A$300,B4482)&gt;0,"✓","⚠ add to Campaigns tab"))</f>
        <v/>
      </c>
      <c r="I4482" s="84" t="str">
        <f aca="false">IF(C4482="","",C4482*IF(Settings!$B$22=Settings!$C$6,1,IF(Settings!$B$22="USD",1/INDEX(Settings!$B$29:$B$40,MONTH(A4482)),INDEX(Settings!$B$29:$B$40,MONTH(A4482)))))</f>
        <v/>
      </c>
    </row>
    <row r="4483" customFormat="false" ht="15" hidden="false" customHeight="false" outlineLevel="0" collapsed="false">
      <c r="H4483" s="0" t="str">
        <f aca="false">IF(B4483="","",IF(COUNTIF(Campaigns!$A$7:$A$300,B4483)&gt;0,"✓","⚠ add to Campaigns tab"))</f>
        <v/>
      </c>
      <c r="I4483" s="84" t="str">
        <f aca="false">IF(C4483="","",C4483*IF(Settings!$B$22=Settings!$C$6,1,IF(Settings!$B$22="USD",1/INDEX(Settings!$B$29:$B$40,MONTH(A4483)),INDEX(Settings!$B$29:$B$40,MONTH(A4483)))))</f>
        <v/>
      </c>
    </row>
    <row r="4484" customFormat="false" ht="15" hidden="false" customHeight="false" outlineLevel="0" collapsed="false">
      <c r="H4484" s="0" t="str">
        <f aca="false">IF(B4484="","",IF(COUNTIF(Campaigns!$A$7:$A$300,B4484)&gt;0,"✓","⚠ add to Campaigns tab"))</f>
        <v/>
      </c>
      <c r="I4484" s="84" t="str">
        <f aca="false">IF(C4484="","",C4484*IF(Settings!$B$22=Settings!$C$6,1,IF(Settings!$B$22="USD",1/INDEX(Settings!$B$29:$B$40,MONTH(A4484)),INDEX(Settings!$B$29:$B$40,MONTH(A4484)))))</f>
        <v/>
      </c>
    </row>
    <row r="4485" customFormat="false" ht="15" hidden="false" customHeight="false" outlineLevel="0" collapsed="false">
      <c r="H4485" s="0" t="str">
        <f aca="false">IF(B4485="","",IF(COUNTIF(Campaigns!$A$7:$A$300,B4485)&gt;0,"✓","⚠ add to Campaigns tab"))</f>
        <v/>
      </c>
      <c r="I4485" s="84" t="str">
        <f aca="false">IF(C4485="","",C4485*IF(Settings!$B$22=Settings!$C$6,1,IF(Settings!$B$22="USD",1/INDEX(Settings!$B$29:$B$40,MONTH(A4485)),INDEX(Settings!$B$29:$B$40,MONTH(A4485)))))</f>
        <v/>
      </c>
    </row>
    <row r="4486" customFormat="false" ht="15" hidden="false" customHeight="false" outlineLevel="0" collapsed="false">
      <c r="H4486" s="0" t="str">
        <f aca="false">IF(B4486="","",IF(COUNTIF(Campaigns!$A$7:$A$300,B4486)&gt;0,"✓","⚠ add to Campaigns tab"))</f>
        <v/>
      </c>
      <c r="I4486" s="84" t="str">
        <f aca="false">IF(C4486="","",C4486*IF(Settings!$B$22=Settings!$C$6,1,IF(Settings!$B$22="USD",1/INDEX(Settings!$B$29:$B$40,MONTH(A4486)),INDEX(Settings!$B$29:$B$40,MONTH(A4486)))))</f>
        <v/>
      </c>
    </row>
    <row r="4487" customFormat="false" ht="15" hidden="false" customHeight="false" outlineLevel="0" collapsed="false">
      <c r="H4487" s="0" t="str">
        <f aca="false">IF(B4487="","",IF(COUNTIF(Campaigns!$A$7:$A$300,B4487)&gt;0,"✓","⚠ add to Campaigns tab"))</f>
        <v/>
      </c>
      <c r="I4487" s="84" t="str">
        <f aca="false">IF(C4487="","",C4487*IF(Settings!$B$22=Settings!$C$6,1,IF(Settings!$B$22="USD",1/INDEX(Settings!$B$29:$B$40,MONTH(A4487)),INDEX(Settings!$B$29:$B$40,MONTH(A4487)))))</f>
        <v/>
      </c>
    </row>
    <row r="4488" customFormat="false" ht="15" hidden="false" customHeight="false" outlineLevel="0" collapsed="false">
      <c r="H4488" s="0" t="str">
        <f aca="false">IF(B4488="","",IF(COUNTIF(Campaigns!$A$7:$A$300,B4488)&gt;0,"✓","⚠ add to Campaigns tab"))</f>
        <v/>
      </c>
      <c r="I4488" s="84" t="str">
        <f aca="false">IF(C4488="","",C4488*IF(Settings!$B$22=Settings!$C$6,1,IF(Settings!$B$22="USD",1/INDEX(Settings!$B$29:$B$40,MONTH(A4488)),INDEX(Settings!$B$29:$B$40,MONTH(A4488)))))</f>
        <v/>
      </c>
    </row>
    <row r="4489" customFormat="false" ht="15" hidden="false" customHeight="false" outlineLevel="0" collapsed="false">
      <c r="H4489" s="0" t="str">
        <f aca="false">IF(B4489="","",IF(COUNTIF(Campaigns!$A$7:$A$300,B4489)&gt;0,"✓","⚠ add to Campaigns tab"))</f>
        <v/>
      </c>
      <c r="I4489" s="84" t="str">
        <f aca="false">IF(C4489="","",C4489*IF(Settings!$B$22=Settings!$C$6,1,IF(Settings!$B$22="USD",1/INDEX(Settings!$B$29:$B$40,MONTH(A4489)),INDEX(Settings!$B$29:$B$40,MONTH(A4489)))))</f>
        <v/>
      </c>
    </row>
    <row r="4490" customFormat="false" ht="15" hidden="false" customHeight="false" outlineLevel="0" collapsed="false">
      <c r="H4490" s="0" t="str">
        <f aca="false">IF(B4490="","",IF(COUNTIF(Campaigns!$A$7:$A$300,B4490)&gt;0,"✓","⚠ add to Campaigns tab"))</f>
        <v/>
      </c>
      <c r="I4490" s="84" t="str">
        <f aca="false">IF(C4490="","",C4490*IF(Settings!$B$22=Settings!$C$6,1,IF(Settings!$B$22="USD",1/INDEX(Settings!$B$29:$B$40,MONTH(A4490)),INDEX(Settings!$B$29:$B$40,MONTH(A4490)))))</f>
        <v/>
      </c>
    </row>
    <row r="4491" customFormat="false" ht="15" hidden="false" customHeight="false" outlineLevel="0" collapsed="false">
      <c r="H4491" s="0" t="str">
        <f aca="false">IF(B4491="","",IF(COUNTIF(Campaigns!$A$7:$A$300,B4491)&gt;0,"✓","⚠ add to Campaigns tab"))</f>
        <v/>
      </c>
      <c r="I4491" s="84" t="str">
        <f aca="false">IF(C4491="","",C4491*IF(Settings!$B$22=Settings!$C$6,1,IF(Settings!$B$22="USD",1/INDEX(Settings!$B$29:$B$40,MONTH(A4491)),INDEX(Settings!$B$29:$B$40,MONTH(A4491)))))</f>
        <v/>
      </c>
    </row>
    <row r="4492" customFormat="false" ht="15" hidden="false" customHeight="false" outlineLevel="0" collapsed="false">
      <c r="H4492" s="0" t="str">
        <f aca="false">IF(B4492="","",IF(COUNTIF(Campaigns!$A$7:$A$300,B4492)&gt;0,"✓","⚠ add to Campaigns tab"))</f>
        <v/>
      </c>
      <c r="I4492" s="84" t="str">
        <f aca="false">IF(C4492="","",C4492*IF(Settings!$B$22=Settings!$C$6,1,IF(Settings!$B$22="USD",1/INDEX(Settings!$B$29:$B$40,MONTH(A4492)),INDEX(Settings!$B$29:$B$40,MONTH(A4492)))))</f>
        <v/>
      </c>
    </row>
    <row r="4493" customFormat="false" ht="15" hidden="false" customHeight="false" outlineLevel="0" collapsed="false">
      <c r="H4493" s="0" t="str">
        <f aca="false">IF(B4493="","",IF(COUNTIF(Campaigns!$A$7:$A$300,B4493)&gt;0,"✓","⚠ add to Campaigns tab"))</f>
        <v/>
      </c>
      <c r="I4493" s="84" t="str">
        <f aca="false">IF(C4493="","",C4493*IF(Settings!$B$22=Settings!$C$6,1,IF(Settings!$B$22="USD",1/INDEX(Settings!$B$29:$B$40,MONTH(A4493)),INDEX(Settings!$B$29:$B$40,MONTH(A4493)))))</f>
        <v/>
      </c>
    </row>
    <row r="4494" customFormat="false" ht="15" hidden="false" customHeight="false" outlineLevel="0" collapsed="false">
      <c r="H4494" s="0" t="str">
        <f aca="false">IF(B4494="","",IF(COUNTIF(Campaigns!$A$7:$A$300,B4494)&gt;0,"✓","⚠ add to Campaigns tab"))</f>
        <v/>
      </c>
      <c r="I4494" s="84" t="str">
        <f aca="false">IF(C4494="","",C4494*IF(Settings!$B$22=Settings!$C$6,1,IF(Settings!$B$22="USD",1/INDEX(Settings!$B$29:$B$40,MONTH(A4494)),INDEX(Settings!$B$29:$B$40,MONTH(A4494)))))</f>
        <v/>
      </c>
    </row>
    <row r="4495" customFormat="false" ht="15" hidden="false" customHeight="false" outlineLevel="0" collapsed="false">
      <c r="H4495" s="0" t="str">
        <f aca="false">IF(B4495="","",IF(COUNTIF(Campaigns!$A$7:$A$300,B4495)&gt;0,"✓","⚠ add to Campaigns tab"))</f>
        <v/>
      </c>
      <c r="I4495" s="84" t="str">
        <f aca="false">IF(C4495="","",C4495*IF(Settings!$B$22=Settings!$C$6,1,IF(Settings!$B$22="USD",1/INDEX(Settings!$B$29:$B$40,MONTH(A4495)),INDEX(Settings!$B$29:$B$40,MONTH(A4495)))))</f>
        <v/>
      </c>
    </row>
    <row r="4496" customFormat="false" ht="15" hidden="false" customHeight="false" outlineLevel="0" collapsed="false">
      <c r="H4496" s="0" t="str">
        <f aca="false">IF(B4496="","",IF(COUNTIF(Campaigns!$A$7:$A$300,B4496)&gt;0,"✓","⚠ add to Campaigns tab"))</f>
        <v/>
      </c>
      <c r="I4496" s="84" t="str">
        <f aca="false">IF(C4496="","",C4496*IF(Settings!$B$22=Settings!$C$6,1,IF(Settings!$B$22="USD",1/INDEX(Settings!$B$29:$B$40,MONTH(A4496)),INDEX(Settings!$B$29:$B$40,MONTH(A4496)))))</f>
        <v/>
      </c>
    </row>
    <row r="4497" customFormat="false" ht="15" hidden="false" customHeight="false" outlineLevel="0" collapsed="false">
      <c r="H4497" s="0" t="str">
        <f aca="false">IF(B4497="","",IF(COUNTIF(Campaigns!$A$7:$A$300,B4497)&gt;0,"✓","⚠ add to Campaigns tab"))</f>
        <v/>
      </c>
      <c r="I4497" s="84" t="str">
        <f aca="false">IF(C4497="","",C4497*IF(Settings!$B$22=Settings!$C$6,1,IF(Settings!$B$22="USD",1/INDEX(Settings!$B$29:$B$40,MONTH(A4497)),INDEX(Settings!$B$29:$B$40,MONTH(A4497)))))</f>
        <v/>
      </c>
    </row>
    <row r="4498" customFormat="false" ht="15" hidden="false" customHeight="false" outlineLevel="0" collapsed="false">
      <c r="H4498" s="0" t="str">
        <f aca="false">IF(B4498="","",IF(COUNTIF(Campaigns!$A$7:$A$300,B4498)&gt;0,"✓","⚠ add to Campaigns tab"))</f>
        <v/>
      </c>
      <c r="I4498" s="84" t="str">
        <f aca="false">IF(C4498="","",C4498*IF(Settings!$B$22=Settings!$C$6,1,IF(Settings!$B$22="USD",1/INDEX(Settings!$B$29:$B$40,MONTH(A4498)),INDEX(Settings!$B$29:$B$40,MONTH(A4498)))))</f>
        <v/>
      </c>
    </row>
    <row r="4499" customFormat="false" ht="15" hidden="false" customHeight="false" outlineLevel="0" collapsed="false">
      <c r="H4499" s="0" t="str">
        <f aca="false">IF(B4499="","",IF(COUNTIF(Campaigns!$A$7:$A$300,B4499)&gt;0,"✓","⚠ add to Campaigns tab"))</f>
        <v/>
      </c>
      <c r="I4499" s="84" t="str">
        <f aca="false">IF(C4499="","",C4499*IF(Settings!$B$22=Settings!$C$6,1,IF(Settings!$B$22="USD",1/INDEX(Settings!$B$29:$B$40,MONTH(A4499)),INDEX(Settings!$B$29:$B$40,MONTH(A4499)))))</f>
        <v/>
      </c>
    </row>
    <row r="4500" customFormat="false" ht="15" hidden="false" customHeight="false" outlineLevel="0" collapsed="false">
      <c r="H4500" s="0" t="str">
        <f aca="false">IF(B4500="","",IF(COUNTIF(Campaigns!$A$7:$A$300,B4500)&gt;0,"✓","⚠ add to Campaigns tab"))</f>
        <v/>
      </c>
      <c r="I4500" s="84" t="str">
        <f aca="false">IF(C4500="","",C4500*IF(Settings!$B$22=Settings!$C$6,1,IF(Settings!$B$22="USD",1/INDEX(Settings!$B$29:$B$40,MONTH(A4500)),INDEX(Settings!$B$29:$B$40,MONTH(A4500)))))</f>
        <v/>
      </c>
    </row>
    <row r="4501" customFormat="false" ht="15" hidden="false" customHeight="false" outlineLevel="0" collapsed="false">
      <c r="H4501" s="0" t="str">
        <f aca="false">IF(B4501="","",IF(COUNTIF(Campaigns!$A$7:$A$300,B4501)&gt;0,"✓","⚠ add to Campaigns tab"))</f>
        <v/>
      </c>
      <c r="I4501" s="84" t="str">
        <f aca="false">IF(C4501="","",C4501*IF(Settings!$B$22=Settings!$C$6,1,IF(Settings!$B$22="USD",1/INDEX(Settings!$B$29:$B$40,MONTH(A4501)),INDEX(Settings!$B$29:$B$40,MONTH(A4501)))))</f>
        <v/>
      </c>
    </row>
    <row r="4502" customFormat="false" ht="15" hidden="false" customHeight="false" outlineLevel="0" collapsed="false">
      <c r="H4502" s="0" t="str">
        <f aca="false">IF(B4502="","",IF(COUNTIF(Campaigns!$A$7:$A$300,B4502)&gt;0,"✓","⚠ add to Campaigns tab"))</f>
        <v/>
      </c>
      <c r="I4502" s="84" t="str">
        <f aca="false">IF(C4502="","",C4502*IF(Settings!$B$22=Settings!$C$6,1,IF(Settings!$B$22="USD",1/INDEX(Settings!$B$29:$B$40,MONTH(A4502)),INDEX(Settings!$B$29:$B$40,MONTH(A4502)))))</f>
        <v/>
      </c>
    </row>
    <row r="4503" customFormat="false" ht="15" hidden="false" customHeight="false" outlineLevel="0" collapsed="false">
      <c r="H4503" s="0" t="str">
        <f aca="false">IF(B4503="","",IF(COUNTIF(Campaigns!$A$7:$A$300,B4503)&gt;0,"✓","⚠ add to Campaigns tab"))</f>
        <v/>
      </c>
      <c r="I4503" s="84" t="str">
        <f aca="false">IF(C4503="","",C4503*IF(Settings!$B$22=Settings!$C$6,1,IF(Settings!$B$22="USD",1/INDEX(Settings!$B$29:$B$40,MONTH(A4503)),INDEX(Settings!$B$29:$B$40,MONTH(A4503)))))</f>
        <v/>
      </c>
    </row>
    <row r="4504" customFormat="false" ht="15" hidden="false" customHeight="false" outlineLevel="0" collapsed="false">
      <c r="H4504" s="0" t="str">
        <f aca="false">IF(B4504="","",IF(COUNTIF(Campaigns!$A$7:$A$300,B4504)&gt;0,"✓","⚠ add to Campaigns tab"))</f>
        <v/>
      </c>
      <c r="I4504" s="84" t="str">
        <f aca="false">IF(C4504="","",C4504*IF(Settings!$B$22=Settings!$C$6,1,IF(Settings!$B$22="USD",1/INDEX(Settings!$B$29:$B$40,MONTH(A4504)),INDEX(Settings!$B$29:$B$40,MONTH(A4504)))))</f>
        <v/>
      </c>
    </row>
    <row r="4505" customFormat="false" ht="15" hidden="false" customHeight="false" outlineLevel="0" collapsed="false">
      <c r="H4505" s="0" t="str">
        <f aca="false">IF(B4505="","",IF(COUNTIF(Campaigns!$A$7:$A$300,B4505)&gt;0,"✓","⚠ add to Campaigns tab"))</f>
        <v/>
      </c>
      <c r="I4505" s="84" t="str">
        <f aca="false">IF(C4505="","",C4505*IF(Settings!$B$22=Settings!$C$6,1,IF(Settings!$B$22="USD",1/INDEX(Settings!$B$29:$B$40,MONTH(A4505)),INDEX(Settings!$B$29:$B$40,MONTH(A4505)))))</f>
        <v/>
      </c>
    </row>
    <row r="4506" customFormat="false" ht="15" hidden="false" customHeight="false" outlineLevel="0" collapsed="false">
      <c r="H4506" s="0" t="str">
        <f aca="false">IF(B4506="","",IF(COUNTIF(Campaigns!$A$7:$A$300,B4506)&gt;0,"✓","⚠ add to Campaigns tab"))</f>
        <v/>
      </c>
      <c r="I4506" s="84" t="str">
        <f aca="false">IF(C4506="","",C4506*IF(Settings!$B$22=Settings!$C$6,1,IF(Settings!$B$22="USD",1/INDEX(Settings!$B$29:$B$40,MONTH(A4506)),INDEX(Settings!$B$29:$B$40,MONTH(A4506)))))</f>
        <v/>
      </c>
    </row>
    <row r="4507" customFormat="false" ht="15" hidden="false" customHeight="false" outlineLevel="0" collapsed="false">
      <c r="H4507" s="0" t="str">
        <f aca="false">IF(B4507="","",IF(COUNTIF(Campaigns!$A$7:$A$300,B4507)&gt;0,"✓","⚠ add to Campaigns tab"))</f>
        <v/>
      </c>
      <c r="I4507" s="84" t="str">
        <f aca="false">IF(C4507="","",C4507*IF(Settings!$B$22=Settings!$C$6,1,IF(Settings!$B$22="USD",1/INDEX(Settings!$B$29:$B$40,MONTH(A4507)),INDEX(Settings!$B$29:$B$40,MONTH(A4507)))))</f>
        <v/>
      </c>
    </row>
    <row r="4508" customFormat="false" ht="15" hidden="false" customHeight="false" outlineLevel="0" collapsed="false">
      <c r="H4508" s="0" t="str">
        <f aca="false">IF(B4508="","",IF(COUNTIF(Campaigns!$A$7:$A$300,B4508)&gt;0,"✓","⚠ add to Campaigns tab"))</f>
        <v/>
      </c>
      <c r="I4508" s="84" t="str">
        <f aca="false">IF(C4508="","",C4508*IF(Settings!$B$22=Settings!$C$6,1,IF(Settings!$B$22="USD",1/INDEX(Settings!$B$29:$B$40,MONTH(A4508)),INDEX(Settings!$B$29:$B$40,MONTH(A4508)))))</f>
        <v/>
      </c>
    </row>
    <row r="4509" customFormat="false" ht="15" hidden="false" customHeight="false" outlineLevel="0" collapsed="false">
      <c r="H4509" s="0" t="str">
        <f aca="false">IF(B4509="","",IF(COUNTIF(Campaigns!$A$7:$A$300,B4509)&gt;0,"✓","⚠ add to Campaigns tab"))</f>
        <v/>
      </c>
      <c r="I4509" s="84" t="str">
        <f aca="false">IF(C4509="","",C4509*IF(Settings!$B$22=Settings!$C$6,1,IF(Settings!$B$22="USD",1/INDEX(Settings!$B$29:$B$40,MONTH(A4509)),INDEX(Settings!$B$29:$B$40,MONTH(A4509)))))</f>
        <v/>
      </c>
    </row>
    <row r="4510" customFormat="false" ht="15" hidden="false" customHeight="false" outlineLevel="0" collapsed="false">
      <c r="H4510" s="0" t="str">
        <f aca="false">IF(B4510="","",IF(COUNTIF(Campaigns!$A$7:$A$300,B4510)&gt;0,"✓","⚠ add to Campaigns tab"))</f>
        <v/>
      </c>
      <c r="I4510" s="84" t="str">
        <f aca="false">IF(C4510="","",C4510*IF(Settings!$B$22=Settings!$C$6,1,IF(Settings!$B$22="USD",1/INDEX(Settings!$B$29:$B$40,MONTH(A4510)),INDEX(Settings!$B$29:$B$40,MONTH(A4510)))))</f>
        <v/>
      </c>
    </row>
    <row r="4511" customFormat="false" ht="15" hidden="false" customHeight="false" outlineLevel="0" collapsed="false">
      <c r="H4511" s="0" t="str">
        <f aca="false">IF(B4511="","",IF(COUNTIF(Campaigns!$A$7:$A$300,B4511)&gt;0,"✓","⚠ add to Campaigns tab"))</f>
        <v/>
      </c>
      <c r="I4511" s="84" t="str">
        <f aca="false">IF(C4511="","",C4511*IF(Settings!$B$22=Settings!$C$6,1,IF(Settings!$B$22="USD",1/INDEX(Settings!$B$29:$B$40,MONTH(A4511)),INDEX(Settings!$B$29:$B$40,MONTH(A4511)))))</f>
        <v/>
      </c>
    </row>
    <row r="4512" customFormat="false" ht="15" hidden="false" customHeight="false" outlineLevel="0" collapsed="false">
      <c r="H4512" s="0" t="str">
        <f aca="false">IF(B4512="","",IF(COUNTIF(Campaigns!$A$7:$A$300,B4512)&gt;0,"✓","⚠ add to Campaigns tab"))</f>
        <v/>
      </c>
      <c r="I4512" s="84" t="str">
        <f aca="false">IF(C4512="","",C4512*IF(Settings!$B$22=Settings!$C$6,1,IF(Settings!$B$22="USD",1/INDEX(Settings!$B$29:$B$40,MONTH(A4512)),INDEX(Settings!$B$29:$B$40,MONTH(A4512)))))</f>
        <v/>
      </c>
    </row>
    <row r="4513" customFormat="false" ht="15" hidden="false" customHeight="false" outlineLevel="0" collapsed="false">
      <c r="H4513" s="0" t="str">
        <f aca="false">IF(B4513="","",IF(COUNTIF(Campaigns!$A$7:$A$300,B4513)&gt;0,"✓","⚠ add to Campaigns tab"))</f>
        <v/>
      </c>
      <c r="I4513" s="84" t="str">
        <f aca="false">IF(C4513="","",C4513*IF(Settings!$B$22=Settings!$C$6,1,IF(Settings!$B$22="USD",1/INDEX(Settings!$B$29:$B$40,MONTH(A4513)),INDEX(Settings!$B$29:$B$40,MONTH(A4513)))))</f>
        <v/>
      </c>
    </row>
    <row r="4514" customFormat="false" ht="15" hidden="false" customHeight="false" outlineLevel="0" collapsed="false">
      <c r="H4514" s="0" t="str">
        <f aca="false">IF(B4514="","",IF(COUNTIF(Campaigns!$A$7:$A$300,B4514)&gt;0,"✓","⚠ add to Campaigns tab"))</f>
        <v/>
      </c>
      <c r="I4514" s="84" t="str">
        <f aca="false">IF(C4514="","",C4514*IF(Settings!$B$22=Settings!$C$6,1,IF(Settings!$B$22="USD",1/INDEX(Settings!$B$29:$B$40,MONTH(A4514)),INDEX(Settings!$B$29:$B$40,MONTH(A4514)))))</f>
        <v/>
      </c>
    </row>
    <row r="4515" customFormat="false" ht="15" hidden="false" customHeight="false" outlineLevel="0" collapsed="false">
      <c r="H4515" s="0" t="str">
        <f aca="false">IF(B4515="","",IF(COUNTIF(Campaigns!$A$7:$A$300,B4515)&gt;0,"✓","⚠ add to Campaigns tab"))</f>
        <v/>
      </c>
      <c r="I4515" s="84" t="str">
        <f aca="false">IF(C4515="","",C4515*IF(Settings!$B$22=Settings!$C$6,1,IF(Settings!$B$22="USD",1/INDEX(Settings!$B$29:$B$40,MONTH(A4515)),INDEX(Settings!$B$29:$B$40,MONTH(A4515)))))</f>
        <v/>
      </c>
    </row>
    <row r="4516" customFormat="false" ht="15" hidden="false" customHeight="false" outlineLevel="0" collapsed="false">
      <c r="H4516" s="0" t="str">
        <f aca="false">IF(B4516="","",IF(COUNTIF(Campaigns!$A$7:$A$300,B4516)&gt;0,"✓","⚠ add to Campaigns tab"))</f>
        <v/>
      </c>
      <c r="I4516" s="84" t="str">
        <f aca="false">IF(C4516="","",C4516*IF(Settings!$B$22=Settings!$C$6,1,IF(Settings!$B$22="USD",1/INDEX(Settings!$B$29:$B$40,MONTH(A4516)),INDEX(Settings!$B$29:$B$40,MONTH(A4516)))))</f>
        <v/>
      </c>
    </row>
    <row r="4517" customFormat="false" ht="15" hidden="false" customHeight="false" outlineLevel="0" collapsed="false">
      <c r="H4517" s="0" t="str">
        <f aca="false">IF(B4517="","",IF(COUNTIF(Campaigns!$A$7:$A$300,B4517)&gt;0,"✓","⚠ add to Campaigns tab"))</f>
        <v/>
      </c>
      <c r="I4517" s="84" t="str">
        <f aca="false">IF(C4517="","",C4517*IF(Settings!$B$22=Settings!$C$6,1,IF(Settings!$B$22="USD",1/INDEX(Settings!$B$29:$B$40,MONTH(A4517)),INDEX(Settings!$B$29:$B$40,MONTH(A4517)))))</f>
        <v/>
      </c>
    </row>
    <row r="4518" customFormat="false" ht="15" hidden="false" customHeight="false" outlineLevel="0" collapsed="false">
      <c r="H4518" s="0" t="str">
        <f aca="false">IF(B4518="","",IF(COUNTIF(Campaigns!$A$7:$A$300,B4518)&gt;0,"✓","⚠ add to Campaigns tab"))</f>
        <v/>
      </c>
      <c r="I4518" s="84" t="str">
        <f aca="false">IF(C4518="","",C4518*IF(Settings!$B$22=Settings!$C$6,1,IF(Settings!$B$22="USD",1/INDEX(Settings!$B$29:$B$40,MONTH(A4518)),INDEX(Settings!$B$29:$B$40,MONTH(A4518)))))</f>
        <v/>
      </c>
    </row>
    <row r="4519" customFormat="false" ht="15" hidden="false" customHeight="false" outlineLevel="0" collapsed="false">
      <c r="H4519" s="0" t="str">
        <f aca="false">IF(B4519="","",IF(COUNTIF(Campaigns!$A$7:$A$300,B4519)&gt;0,"✓","⚠ add to Campaigns tab"))</f>
        <v/>
      </c>
      <c r="I4519" s="84" t="str">
        <f aca="false">IF(C4519="","",C4519*IF(Settings!$B$22=Settings!$C$6,1,IF(Settings!$B$22="USD",1/INDEX(Settings!$B$29:$B$40,MONTH(A4519)),INDEX(Settings!$B$29:$B$40,MONTH(A4519)))))</f>
        <v/>
      </c>
    </row>
    <row r="4520" customFormat="false" ht="15" hidden="false" customHeight="false" outlineLevel="0" collapsed="false">
      <c r="H4520" s="0" t="str">
        <f aca="false">IF(B4520="","",IF(COUNTIF(Campaigns!$A$7:$A$300,B4520)&gt;0,"✓","⚠ add to Campaigns tab"))</f>
        <v/>
      </c>
      <c r="I4520" s="84" t="str">
        <f aca="false">IF(C4520="","",C4520*IF(Settings!$B$22=Settings!$C$6,1,IF(Settings!$B$22="USD",1/INDEX(Settings!$B$29:$B$40,MONTH(A4520)),INDEX(Settings!$B$29:$B$40,MONTH(A4520)))))</f>
        <v/>
      </c>
    </row>
    <row r="4521" customFormat="false" ht="15" hidden="false" customHeight="false" outlineLevel="0" collapsed="false">
      <c r="H4521" s="0" t="str">
        <f aca="false">IF(B4521="","",IF(COUNTIF(Campaigns!$A$7:$A$300,B4521)&gt;0,"✓","⚠ add to Campaigns tab"))</f>
        <v/>
      </c>
      <c r="I4521" s="84" t="str">
        <f aca="false">IF(C4521="","",C4521*IF(Settings!$B$22=Settings!$C$6,1,IF(Settings!$B$22="USD",1/INDEX(Settings!$B$29:$B$40,MONTH(A4521)),INDEX(Settings!$B$29:$B$40,MONTH(A4521)))))</f>
        <v/>
      </c>
    </row>
    <row r="4522" customFormat="false" ht="15" hidden="false" customHeight="false" outlineLevel="0" collapsed="false">
      <c r="H4522" s="0" t="str">
        <f aca="false">IF(B4522="","",IF(COUNTIF(Campaigns!$A$7:$A$300,B4522)&gt;0,"✓","⚠ add to Campaigns tab"))</f>
        <v/>
      </c>
      <c r="I4522" s="84" t="str">
        <f aca="false">IF(C4522="","",C4522*IF(Settings!$B$22=Settings!$C$6,1,IF(Settings!$B$22="USD",1/INDEX(Settings!$B$29:$B$40,MONTH(A4522)),INDEX(Settings!$B$29:$B$40,MONTH(A4522)))))</f>
        <v/>
      </c>
    </row>
    <row r="4523" customFormat="false" ht="15" hidden="false" customHeight="false" outlineLevel="0" collapsed="false">
      <c r="H4523" s="0" t="str">
        <f aca="false">IF(B4523="","",IF(COUNTIF(Campaigns!$A$7:$A$300,B4523)&gt;0,"✓","⚠ add to Campaigns tab"))</f>
        <v/>
      </c>
      <c r="I4523" s="84" t="str">
        <f aca="false">IF(C4523="","",C4523*IF(Settings!$B$22=Settings!$C$6,1,IF(Settings!$B$22="USD",1/INDEX(Settings!$B$29:$B$40,MONTH(A4523)),INDEX(Settings!$B$29:$B$40,MONTH(A4523)))))</f>
        <v/>
      </c>
    </row>
    <row r="4524" customFormat="false" ht="15" hidden="false" customHeight="false" outlineLevel="0" collapsed="false">
      <c r="H4524" s="0" t="str">
        <f aca="false">IF(B4524="","",IF(COUNTIF(Campaigns!$A$7:$A$300,B4524)&gt;0,"✓","⚠ add to Campaigns tab"))</f>
        <v/>
      </c>
      <c r="I4524" s="84" t="str">
        <f aca="false">IF(C4524="","",C4524*IF(Settings!$B$22=Settings!$C$6,1,IF(Settings!$B$22="USD",1/INDEX(Settings!$B$29:$B$40,MONTH(A4524)),INDEX(Settings!$B$29:$B$40,MONTH(A4524)))))</f>
        <v/>
      </c>
    </row>
    <row r="4525" customFormat="false" ht="15" hidden="false" customHeight="false" outlineLevel="0" collapsed="false">
      <c r="H4525" s="0" t="str">
        <f aca="false">IF(B4525="","",IF(COUNTIF(Campaigns!$A$7:$A$300,B4525)&gt;0,"✓","⚠ add to Campaigns tab"))</f>
        <v/>
      </c>
      <c r="I4525" s="84" t="str">
        <f aca="false">IF(C4525="","",C4525*IF(Settings!$B$22=Settings!$C$6,1,IF(Settings!$B$22="USD",1/INDEX(Settings!$B$29:$B$40,MONTH(A4525)),INDEX(Settings!$B$29:$B$40,MONTH(A4525)))))</f>
        <v/>
      </c>
    </row>
    <row r="4526" customFormat="false" ht="15" hidden="false" customHeight="false" outlineLevel="0" collapsed="false">
      <c r="H4526" s="0" t="str">
        <f aca="false">IF(B4526="","",IF(COUNTIF(Campaigns!$A$7:$A$300,B4526)&gt;0,"✓","⚠ add to Campaigns tab"))</f>
        <v/>
      </c>
      <c r="I4526" s="84" t="str">
        <f aca="false">IF(C4526="","",C4526*IF(Settings!$B$22=Settings!$C$6,1,IF(Settings!$B$22="USD",1/INDEX(Settings!$B$29:$B$40,MONTH(A4526)),INDEX(Settings!$B$29:$B$40,MONTH(A4526)))))</f>
        <v/>
      </c>
    </row>
    <row r="4527" customFormat="false" ht="15" hidden="false" customHeight="false" outlineLevel="0" collapsed="false">
      <c r="H4527" s="0" t="str">
        <f aca="false">IF(B4527="","",IF(COUNTIF(Campaigns!$A$7:$A$300,B4527)&gt;0,"✓","⚠ add to Campaigns tab"))</f>
        <v/>
      </c>
      <c r="I4527" s="84" t="str">
        <f aca="false">IF(C4527="","",C4527*IF(Settings!$B$22=Settings!$C$6,1,IF(Settings!$B$22="USD",1/INDEX(Settings!$B$29:$B$40,MONTH(A4527)),INDEX(Settings!$B$29:$B$40,MONTH(A4527)))))</f>
        <v/>
      </c>
    </row>
    <row r="4528" customFormat="false" ht="15" hidden="false" customHeight="false" outlineLevel="0" collapsed="false">
      <c r="H4528" s="0" t="str">
        <f aca="false">IF(B4528="","",IF(COUNTIF(Campaigns!$A$7:$A$300,B4528)&gt;0,"✓","⚠ add to Campaigns tab"))</f>
        <v/>
      </c>
      <c r="I4528" s="84" t="str">
        <f aca="false">IF(C4528="","",C4528*IF(Settings!$B$22=Settings!$C$6,1,IF(Settings!$B$22="USD",1/INDEX(Settings!$B$29:$B$40,MONTH(A4528)),INDEX(Settings!$B$29:$B$40,MONTH(A4528)))))</f>
        <v/>
      </c>
    </row>
    <row r="4529" customFormat="false" ht="15" hidden="false" customHeight="false" outlineLevel="0" collapsed="false">
      <c r="H4529" s="0" t="str">
        <f aca="false">IF(B4529="","",IF(COUNTIF(Campaigns!$A$7:$A$300,B4529)&gt;0,"✓","⚠ add to Campaigns tab"))</f>
        <v/>
      </c>
      <c r="I4529" s="84" t="str">
        <f aca="false">IF(C4529="","",C4529*IF(Settings!$B$22=Settings!$C$6,1,IF(Settings!$B$22="USD",1/INDEX(Settings!$B$29:$B$40,MONTH(A4529)),INDEX(Settings!$B$29:$B$40,MONTH(A4529)))))</f>
        <v/>
      </c>
    </row>
    <row r="4530" customFormat="false" ht="15" hidden="false" customHeight="false" outlineLevel="0" collapsed="false">
      <c r="H4530" s="0" t="str">
        <f aca="false">IF(B4530="","",IF(COUNTIF(Campaigns!$A$7:$A$300,B4530)&gt;0,"✓","⚠ add to Campaigns tab"))</f>
        <v/>
      </c>
      <c r="I4530" s="84" t="str">
        <f aca="false">IF(C4530="","",C4530*IF(Settings!$B$22=Settings!$C$6,1,IF(Settings!$B$22="USD",1/INDEX(Settings!$B$29:$B$40,MONTH(A4530)),INDEX(Settings!$B$29:$B$40,MONTH(A4530)))))</f>
        <v/>
      </c>
    </row>
    <row r="4531" customFormat="false" ht="15" hidden="false" customHeight="false" outlineLevel="0" collapsed="false">
      <c r="H4531" s="0" t="str">
        <f aca="false">IF(B4531="","",IF(COUNTIF(Campaigns!$A$7:$A$300,B4531)&gt;0,"✓","⚠ add to Campaigns tab"))</f>
        <v/>
      </c>
      <c r="I4531" s="84" t="str">
        <f aca="false">IF(C4531="","",C4531*IF(Settings!$B$22=Settings!$C$6,1,IF(Settings!$B$22="USD",1/INDEX(Settings!$B$29:$B$40,MONTH(A4531)),INDEX(Settings!$B$29:$B$40,MONTH(A4531)))))</f>
        <v/>
      </c>
    </row>
    <row r="4532" customFormat="false" ht="15" hidden="false" customHeight="false" outlineLevel="0" collapsed="false">
      <c r="H4532" s="0" t="str">
        <f aca="false">IF(B4532="","",IF(COUNTIF(Campaigns!$A$7:$A$300,B4532)&gt;0,"✓","⚠ add to Campaigns tab"))</f>
        <v/>
      </c>
      <c r="I4532" s="84" t="str">
        <f aca="false">IF(C4532="","",C4532*IF(Settings!$B$22=Settings!$C$6,1,IF(Settings!$B$22="USD",1/INDEX(Settings!$B$29:$B$40,MONTH(A4532)),INDEX(Settings!$B$29:$B$40,MONTH(A4532)))))</f>
        <v/>
      </c>
    </row>
    <row r="4533" customFormat="false" ht="15" hidden="false" customHeight="false" outlineLevel="0" collapsed="false">
      <c r="H4533" s="0" t="str">
        <f aca="false">IF(B4533="","",IF(COUNTIF(Campaigns!$A$7:$A$300,B4533)&gt;0,"✓","⚠ add to Campaigns tab"))</f>
        <v/>
      </c>
      <c r="I4533" s="84" t="str">
        <f aca="false">IF(C4533="","",C4533*IF(Settings!$B$22=Settings!$C$6,1,IF(Settings!$B$22="USD",1/INDEX(Settings!$B$29:$B$40,MONTH(A4533)),INDEX(Settings!$B$29:$B$40,MONTH(A4533)))))</f>
        <v/>
      </c>
    </row>
    <row r="4534" customFormat="false" ht="15" hidden="false" customHeight="false" outlineLevel="0" collapsed="false">
      <c r="H4534" s="0" t="str">
        <f aca="false">IF(B4534="","",IF(COUNTIF(Campaigns!$A$7:$A$300,B4534)&gt;0,"✓","⚠ add to Campaigns tab"))</f>
        <v/>
      </c>
      <c r="I4534" s="84" t="str">
        <f aca="false">IF(C4534="","",C4534*IF(Settings!$B$22=Settings!$C$6,1,IF(Settings!$B$22="USD",1/INDEX(Settings!$B$29:$B$40,MONTH(A4534)),INDEX(Settings!$B$29:$B$40,MONTH(A4534)))))</f>
        <v/>
      </c>
    </row>
    <row r="4535" customFormat="false" ht="15" hidden="false" customHeight="false" outlineLevel="0" collapsed="false">
      <c r="H4535" s="0" t="str">
        <f aca="false">IF(B4535="","",IF(COUNTIF(Campaigns!$A$7:$A$300,B4535)&gt;0,"✓","⚠ add to Campaigns tab"))</f>
        <v/>
      </c>
      <c r="I4535" s="84" t="str">
        <f aca="false">IF(C4535="","",C4535*IF(Settings!$B$22=Settings!$C$6,1,IF(Settings!$B$22="USD",1/INDEX(Settings!$B$29:$B$40,MONTH(A4535)),INDEX(Settings!$B$29:$B$40,MONTH(A4535)))))</f>
        <v/>
      </c>
    </row>
    <row r="4536" customFormat="false" ht="15" hidden="false" customHeight="false" outlineLevel="0" collapsed="false">
      <c r="H4536" s="0" t="str">
        <f aca="false">IF(B4536="","",IF(COUNTIF(Campaigns!$A$7:$A$300,B4536)&gt;0,"✓","⚠ add to Campaigns tab"))</f>
        <v/>
      </c>
      <c r="I4536" s="84" t="str">
        <f aca="false">IF(C4536="","",C4536*IF(Settings!$B$22=Settings!$C$6,1,IF(Settings!$B$22="USD",1/INDEX(Settings!$B$29:$B$40,MONTH(A4536)),INDEX(Settings!$B$29:$B$40,MONTH(A4536)))))</f>
        <v/>
      </c>
    </row>
    <row r="4537" customFormat="false" ht="15" hidden="false" customHeight="false" outlineLevel="0" collapsed="false">
      <c r="H4537" s="0" t="str">
        <f aca="false">IF(B4537="","",IF(COUNTIF(Campaigns!$A$7:$A$300,B4537)&gt;0,"✓","⚠ add to Campaigns tab"))</f>
        <v/>
      </c>
      <c r="I4537" s="84" t="str">
        <f aca="false">IF(C4537="","",C4537*IF(Settings!$B$22=Settings!$C$6,1,IF(Settings!$B$22="USD",1/INDEX(Settings!$B$29:$B$40,MONTH(A4537)),INDEX(Settings!$B$29:$B$40,MONTH(A4537)))))</f>
        <v/>
      </c>
    </row>
    <row r="4538" customFormat="false" ht="15" hidden="false" customHeight="false" outlineLevel="0" collapsed="false">
      <c r="H4538" s="0" t="str">
        <f aca="false">IF(B4538="","",IF(COUNTIF(Campaigns!$A$7:$A$300,B4538)&gt;0,"✓","⚠ add to Campaigns tab"))</f>
        <v/>
      </c>
      <c r="I4538" s="84" t="str">
        <f aca="false">IF(C4538="","",C4538*IF(Settings!$B$22=Settings!$C$6,1,IF(Settings!$B$22="USD",1/INDEX(Settings!$B$29:$B$40,MONTH(A4538)),INDEX(Settings!$B$29:$B$40,MONTH(A4538)))))</f>
        <v/>
      </c>
    </row>
    <row r="4539" customFormat="false" ht="15" hidden="false" customHeight="false" outlineLevel="0" collapsed="false">
      <c r="H4539" s="0" t="str">
        <f aca="false">IF(B4539="","",IF(COUNTIF(Campaigns!$A$7:$A$300,B4539)&gt;0,"✓","⚠ add to Campaigns tab"))</f>
        <v/>
      </c>
      <c r="I4539" s="84" t="str">
        <f aca="false">IF(C4539="","",C4539*IF(Settings!$B$22=Settings!$C$6,1,IF(Settings!$B$22="USD",1/INDEX(Settings!$B$29:$B$40,MONTH(A4539)),INDEX(Settings!$B$29:$B$40,MONTH(A4539)))))</f>
        <v/>
      </c>
    </row>
    <row r="4540" customFormat="false" ht="15" hidden="false" customHeight="false" outlineLevel="0" collapsed="false">
      <c r="H4540" s="0" t="str">
        <f aca="false">IF(B4540="","",IF(COUNTIF(Campaigns!$A$7:$A$300,B4540)&gt;0,"✓","⚠ add to Campaigns tab"))</f>
        <v/>
      </c>
      <c r="I4540" s="84" t="str">
        <f aca="false">IF(C4540="","",C4540*IF(Settings!$B$22=Settings!$C$6,1,IF(Settings!$B$22="USD",1/INDEX(Settings!$B$29:$B$40,MONTH(A4540)),INDEX(Settings!$B$29:$B$40,MONTH(A4540)))))</f>
        <v/>
      </c>
    </row>
    <row r="4541" customFormat="false" ht="15" hidden="false" customHeight="false" outlineLevel="0" collapsed="false">
      <c r="H4541" s="0" t="str">
        <f aca="false">IF(B4541="","",IF(COUNTIF(Campaigns!$A$7:$A$300,B4541)&gt;0,"✓","⚠ add to Campaigns tab"))</f>
        <v/>
      </c>
      <c r="I4541" s="84" t="str">
        <f aca="false">IF(C4541="","",C4541*IF(Settings!$B$22=Settings!$C$6,1,IF(Settings!$B$22="USD",1/INDEX(Settings!$B$29:$B$40,MONTH(A4541)),INDEX(Settings!$B$29:$B$40,MONTH(A4541)))))</f>
        <v/>
      </c>
    </row>
    <row r="4542" customFormat="false" ht="15" hidden="false" customHeight="false" outlineLevel="0" collapsed="false">
      <c r="H4542" s="0" t="str">
        <f aca="false">IF(B4542="","",IF(COUNTIF(Campaigns!$A$7:$A$300,B4542)&gt;0,"✓","⚠ add to Campaigns tab"))</f>
        <v/>
      </c>
      <c r="I4542" s="84" t="str">
        <f aca="false">IF(C4542="","",C4542*IF(Settings!$B$22=Settings!$C$6,1,IF(Settings!$B$22="USD",1/INDEX(Settings!$B$29:$B$40,MONTH(A4542)),INDEX(Settings!$B$29:$B$40,MONTH(A4542)))))</f>
        <v/>
      </c>
    </row>
    <row r="4543" customFormat="false" ht="15" hidden="false" customHeight="false" outlineLevel="0" collapsed="false">
      <c r="H4543" s="0" t="str">
        <f aca="false">IF(B4543="","",IF(COUNTIF(Campaigns!$A$7:$A$300,B4543)&gt;0,"✓","⚠ add to Campaigns tab"))</f>
        <v/>
      </c>
      <c r="I4543" s="84" t="str">
        <f aca="false">IF(C4543="","",C4543*IF(Settings!$B$22=Settings!$C$6,1,IF(Settings!$B$22="USD",1/INDEX(Settings!$B$29:$B$40,MONTH(A4543)),INDEX(Settings!$B$29:$B$40,MONTH(A4543)))))</f>
        <v/>
      </c>
    </row>
    <row r="4544" customFormat="false" ht="15" hidden="false" customHeight="false" outlineLevel="0" collapsed="false">
      <c r="H4544" s="0" t="str">
        <f aca="false">IF(B4544="","",IF(COUNTIF(Campaigns!$A$7:$A$300,B4544)&gt;0,"✓","⚠ add to Campaigns tab"))</f>
        <v/>
      </c>
      <c r="I4544" s="84" t="str">
        <f aca="false">IF(C4544="","",C4544*IF(Settings!$B$22=Settings!$C$6,1,IF(Settings!$B$22="USD",1/INDEX(Settings!$B$29:$B$40,MONTH(A4544)),INDEX(Settings!$B$29:$B$40,MONTH(A4544)))))</f>
        <v/>
      </c>
    </row>
    <row r="4545" customFormat="false" ht="15" hidden="false" customHeight="false" outlineLevel="0" collapsed="false">
      <c r="H4545" s="0" t="str">
        <f aca="false">IF(B4545="","",IF(COUNTIF(Campaigns!$A$7:$A$300,B4545)&gt;0,"✓","⚠ add to Campaigns tab"))</f>
        <v/>
      </c>
      <c r="I4545" s="84" t="str">
        <f aca="false">IF(C4545="","",C4545*IF(Settings!$B$22=Settings!$C$6,1,IF(Settings!$B$22="USD",1/INDEX(Settings!$B$29:$B$40,MONTH(A4545)),INDEX(Settings!$B$29:$B$40,MONTH(A4545)))))</f>
        <v/>
      </c>
    </row>
    <row r="4546" customFormat="false" ht="15" hidden="false" customHeight="false" outlineLevel="0" collapsed="false">
      <c r="H4546" s="0" t="str">
        <f aca="false">IF(B4546="","",IF(COUNTIF(Campaigns!$A$7:$A$300,B4546)&gt;0,"✓","⚠ add to Campaigns tab"))</f>
        <v/>
      </c>
      <c r="I4546" s="84" t="str">
        <f aca="false">IF(C4546="","",C4546*IF(Settings!$B$22=Settings!$C$6,1,IF(Settings!$B$22="USD",1/INDEX(Settings!$B$29:$B$40,MONTH(A4546)),INDEX(Settings!$B$29:$B$40,MONTH(A4546)))))</f>
        <v/>
      </c>
    </row>
    <row r="4547" customFormat="false" ht="15" hidden="false" customHeight="false" outlineLevel="0" collapsed="false">
      <c r="H4547" s="0" t="str">
        <f aca="false">IF(B4547="","",IF(COUNTIF(Campaigns!$A$7:$A$300,B4547)&gt;0,"✓","⚠ add to Campaigns tab"))</f>
        <v/>
      </c>
      <c r="I4547" s="84" t="str">
        <f aca="false">IF(C4547="","",C4547*IF(Settings!$B$22=Settings!$C$6,1,IF(Settings!$B$22="USD",1/INDEX(Settings!$B$29:$B$40,MONTH(A4547)),INDEX(Settings!$B$29:$B$40,MONTH(A4547)))))</f>
        <v/>
      </c>
    </row>
    <row r="4548" customFormat="false" ht="15" hidden="false" customHeight="false" outlineLevel="0" collapsed="false">
      <c r="H4548" s="0" t="str">
        <f aca="false">IF(B4548="","",IF(COUNTIF(Campaigns!$A$7:$A$300,B4548)&gt;0,"✓","⚠ add to Campaigns tab"))</f>
        <v/>
      </c>
      <c r="I4548" s="84" t="str">
        <f aca="false">IF(C4548="","",C4548*IF(Settings!$B$22=Settings!$C$6,1,IF(Settings!$B$22="USD",1/INDEX(Settings!$B$29:$B$40,MONTH(A4548)),INDEX(Settings!$B$29:$B$40,MONTH(A4548)))))</f>
        <v/>
      </c>
    </row>
    <row r="4549" customFormat="false" ht="15" hidden="false" customHeight="false" outlineLevel="0" collapsed="false">
      <c r="H4549" s="0" t="str">
        <f aca="false">IF(B4549="","",IF(COUNTIF(Campaigns!$A$7:$A$300,B4549)&gt;0,"✓","⚠ add to Campaigns tab"))</f>
        <v/>
      </c>
      <c r="I4549" s="84" t="str">
        <f aca="false">IF(C4549="","",C4549*IF(Settings!$B$22=Settings!$C$6,1,IF(Settings!$B$22="USD",1/INDEX(Settings!$B$29:$B$40,MONTH(A4549)),INDEX(Settings!$B$29:$B$40,MONTH(A4549)))))</f>
        <v/>
      </c>
    </row>
    <row r="4550" customFormat="false" ht="15" hidden="false" customHeight="false" outlineLevel="0" collapsed="false">
      <c r="H4550" s="0" t="str">
        <f aca="false">IF(B4550="","",IF(COUNTIF(Campaigns!$A$7:$A$300,B4550)&gt;0,"✓","⚠ add to Campaigns tab"))</f>
        <v/>
      </c>
      <c r="I4550" s="84" t="str">
        <f aca="false">IF(C4550="","",C4550*IF(Settings!$B$22=Settings!$C$6,1,IF(Settings!$B$22="USD",1/INDEX(Settings!$B$29:$B$40,MONTH(A4550)),INDEX(Settings!$B$29:$B$40,MONTH(A4550)))))</f>
        <v/>
      </c>
    </row>
    <row r="4551" customFormat="false" ht="15" hidden="false" customHeight="false" outlineLevel="0" collapsed="false">
      <c r="H4551" s="0" t="str">
        <f aca="false">IF(B4551="","",IF(COUNTIF(Campaigns!$A$7:$A$300,B4551)&gt;0,"✓","⚠ add to Campaigns tab"))</f>
        <v/>
      </c>
      <c r="I4551" s="84" t="str">
        <f aca="false">IF(C4551="","",C4551*IF(Settings!$B$22=Settings!$C$6,1,IF(Settings!$B$22="USD",1/INDEX(Settings!$B$29:$B$40,MONTH(A4551)),INDEX(Settings!$B$29:$B$40,MONTH(A4551)))))</f>
        <v/>
      </c>
    </row>
    <row r="4552" customFormat="false" ht="15" hidden="false" customHeight="false" outlineLevel="0" collapsed="false">
      <c r="H4552" s="0" t="str">
        <f aca="false">IF(B4552="","",IF(COUNTIF(Campaigns!$A$7:$A$300,B4552)&gt;0,"✓","⚠ add to Campaigns tab"))</f>
        <v/>
      </c>
      <c r="I4552" s="84" t="str">
        <f aca="false">IF(C4552="","",C4552*IF(Settings!$B$22=Settings!$C$6,1,IF(Settings!$B$22="USD",1/INDEX(Settings!$B$29:$B$40,MONTH(A4552)),INDEX(Settings!$B$29:$B$40,MONTH(A4552)))))</f>
        <v/>
      </c>
    </row>
    <row r="4553" customFormat="false" ht="15" hidden="false" customHeight="false" outlineLevel="0" collapsed="false">
      <c r="H4553" s="0" t="str">
        <f aca="false">IF(B4553="","",IF(COUNTIF(Campaigns!$A$7:$A$300,B4553)&gt;0,"✓","⚠ add to Campaigns tab"))</f>
        <v/>
      </c>
      <c r="I4553" s="84" t="str">
        <f aca="false">IF(C4553="","",C4553*IF(Settings!$B$22=Settings!$C$6,1,IF(Settings!$B$22="USD",1/INDEX(Settings!$B$29:$B$40,MONTH(A4553)),INDEX(Settings!$B$29:$B$40,MONTH(A4553)))))</f>
        <v/>
      </c>
    </row>
    <row r="4554" customFormat="false" ht="15" hidden="false" customHeight="false" outlineLevel="0" collapsed="false">
      <c r="H4554" s="0" t="str">
        <f aca="false">IF(B4554="","",IF(COUNTIF(Campaigns!$A$7:$A$300,B4554)&gt;0,"✓","⚠ add to Campaigns tab"))</f>
        <v/>
      </c>
      <c r="I4554" s="84" t="str">
        <f aca="false">IF(C4554="","",C4554*IF(Settings!$B$22=Settings!$C$6,1,IF(Settings!$B$22="USD",1/INDEX(Settings!$B$29:$B$40,MONTH(A4554)),INDEX(Settings!$B$29:$B$40,MONTH(A4554)))))</f>
        <v/>
      </c>
    </row>
    <row r="4555" customFormat="false" ht="15" hidden="false" customHeight="false" outlineLevel="0" collapsed="false">
      <c r="H4555" s="0" t="str">
        <f aca="false">IF(B4555="","",IF(COUNTIF(Campaigns!$A$7:$A$300,B4555)&gt;0,"✓","⚠ add to Campaigns tab"))</f>
        <v/>
      </c>
      <c r="I4555" s="84" t="str">
        <f aca="false">IF(C4555="","",C4555*IF(Settings!$B$22=Settings!$C$6,1,IF(Settings!$B$22="USD",1/INDEX(Settings!$B$29:$B$40,MONTH(A4555)),INDEX(Settings!$B$29:$B$40,MONTH(A4555)))))</f>
        <v/>
      </c>
    </row>
    <row r="4556" customFormat="false" ht="15" hidden="false" customHeight="false" outlineLevel="0" collapsed="false">
      <c r="H4556" s="0" t="str">
        <f aca="false">IF(B4556="","",IF(COUNTIF(Campaigns!$A$7:$A$300,B4556)&gt;0,"✓","⚠ add to Campaigns tab"))</f>
        <v/>
      </c>
      <c r="I4556" s="84" t="str">
        <f aca="false">IF(C4556="","",C4556*IF(Settings!$B$22=Settings!$C$6,1,IF(Settings!$B$22="USD",1/INDEX(Settings!$B$29:$B$40,MONTH(A4556)),INDEX(Settings!$B$29:$B$40,MONTH(A4556)))))</f>
        <v/>
      </c>
    </row>
    <row r="4557" customFormat="false" ht="15" hidden="false" customHeight="false" outlineLevel="0" collapsed="false">
      <c r="H4557" s="0" t="str">
        <f aca="false">IF(B4557="","",IF(COUNTIF(Campaigns!$A$7:$A$300,B4557)&gt;0,"✓","⚠ add to Campaigns tab"))</f>
        <v/>
      </c>
      <c r="I4557" s="84" t="str">
        <f aca="false">IF(C4557="","",C4557*IF(Settings!$B$22=Settings!$C$6,1,IF(Settings!$B$22="USD",1/INDEX(Settings!$B$29:$B$40,MONTH(A4557)),INDEX(Settings!$B$29:$B$40,MONTH(A4557)))))</f>
        <v/>
      </c>
    </row>
    <row r="4558" customFormat="false" ht="15" hidden="false" customHeight="false" outlineLevel="0" collapsed="false">
      <c r="H4558" s="0" t="str">
        <f aca="false">IF(B4558="","",IF(COUNTIF(Campaigns!$A$7:$A$300,B4558)&gt;0,"✓","⚠ add to Campaigns tab"))</f>
        <v/>
      </c>
      <c r="I4558" s="84" t="str">
        <f aca="false">IF(C4558="","",C4558*IF(Settings!$B$22=Settings!$C$6,1,IF(Settings!$B$22="USD",1/INDEX(Settings!$B$29:$B$40,MONTH(A4558)),INDEX(Settings!$B$29:$B$40,MONTH(A4558)))))</f>
        <v/>
      </c>
    </row>
    <row r="4559" customFormat="false" ht="15" hidden="false" customHeight="false" outlineLevel="0" collapsed="false">
      <c r="H4559" s="0" t="str">
        <f aca="false">IF(B4559="","",IF(COUNTIF(Campaigns!$A$7:$A$300,B4559)&gt;0,"✓","⚠ add to Campaigns tab"))</f>
        <v/>
      </c>
      <c r="I4559" s="84" t="str">
        <f aca="false">IF(C4559="","",C4559*IF(Settings!$B$22=Settings!$C$6,1,IF(Settings!$B$22="USD",1/INDEX(Settings!$B$29:$B$40,MONTH(A4559)),INDEX(Settings!$B$29:$B$40,MONTH(A4559)))))</f>
        <v/>
      </c>
    </row>
    <row r="4560" customFormat="false" ht="15" hidden="false" customHeight="false" outlineLevel="0" collapsed="false">
      <c r="H4560" s="0" t="str">
        <f aca="false">IF(B4560="","",IF(COUNTIF(Campaigns!$A$7:$A$300,B4560)&gt;0,"✓","⚠ add to Campaigns tab"))</f>
        <v/>
      </c>
      <c r="I4560" s="84" t="str">
        <f aca="false">IF(C4560="","",C4560*IF(Settings!$B$22=Settings!$C$6,1,IF(Settings!$B$22="USD",1/INDEX(Settings!$B$29:$B$40,MONTH(A4560)),INDEX(Settings!$B$29:$B$40,MONTH(A4560)))))</f>
        <v/>
      </c>
    </row>
    <row r="4561" customFormat="false" ht="15" hidden="false" customHeight="false" outlineLevel="0" collapsed="false">
      <c r="H4561" s="0" t="str">
        <f aca="false">IF(B4561="","",IF(COUNTIF(Campaigns!$A$7:$A$300,B4561)&gt;0,"✓","⚠ add to Campaigns tab"))</f>
        <v/>
      </c>
      <c r="I4561" s="84" t="str">
        <f aca="false">IF(C4561="","",C4561*IF(Settings!$B$22=Settings!$C$6,1,IF(Settings!$B$22="USD",1/INDEX(Settings!$B$29:$B$40,MONTH(A4561)),INDEX(Settings!$B$29:$B$40,MONTH(A4561)))))</f>
        <v/>
      </c>
    </row>
    <row r="4562" customFormat="false" ht="15" hidden="false" customHeight="false" outlineLevel="0" collapsed="false">
      <c r="H4562" s="0" t="str">
        <f aca="false">IF(B4562="","",IF(COUNTIF(Campaigns!$A$7:$A$300,B4562)&gt;0,"✓","⚠ add to Campaigns tab"))</f>
        <v/>
      </c>
      <c r="I4562" s="84" t="str">
        <f aca="false">IF(C4562="","",C4562*IF(Settings!$B$22=Settings!$C$6,1,IF(Settings!$B$22="USD",1/INDEX(Settings!$B$29:$B$40,MONTH(A4562)),INDEX(Settings!$B$29:$B$40,MONTH(A4562)))))</f>
        <v/>
      </c>
    </row>
    <row r="4563" customFormat="false" ht="15" hidden="false" customHeight="false" outlineLevel="0" collapsed="false">
      <c r="H4563" s="0" t="str">
        <f aca="false">IF(B4563="","",IF(COUNTIF(Campaigns!$A$7:$A$300,B4563)&gt;0,"✓","⚠ add to Campaigns tab"))</f>
        <v/>
      </c>
      <c r="I4563" s="84" t="str">
        <f aca="false">IF(C4563="","",C4563*IF(Settings!$B$22=Settings!$C$6,1,IF(Settings!$B$22="USD",1/INDEX(Settings!$B$29:$B$40,MONTH(A4563)),INDEX(Settings!$B$29:$B$40,MONTH(A4563)))))</f>
        <v/>
      </c>
    </row>
    <row r="4564" customFormat="false" ht="15" hidden="false" customHeight="false" outlineLevel="0" collapsed="false">
      <c r="H4564" s="0" t="str">
        <f aca="false">IF(B4564="","",IF(COUNTIF(Campaigns!$A$7:$A$300,B4564)&gt;0,"✓","⚠ add to Campaigns tab"))</f>
        <v/>
      </c>
      <c r="I4564" s="84" t="str">
        <f aca="false">IF(C4564="","",C4564*IF(Settings!$B$22=Settings!$C$6,1,IF(Settings!$B$22="USD",1/INDEX(Settings!$B$29:$B$40,MONTH(A4564)),INDEX(Settings!$B$29:$B$40,MONTH(A4564)))))</f>
        <v/>
      </c>
    </row>
    <row r="4565" customFormat="false" ht="15" hidden="false" customHeight="false" outlineLevel="0" collapsed="false">
      <c r="H4565" s="0" t="str">
        <f aca="false">IF(B4565="","",IF(COUNTIF(Campaigns!$A$7:$A$300,B4565)&gt;0,"✓","⚠ add to Campaigns tab"))</f>
        <v/>
      </c>
      <c r="I4565" s="84" t="str">
        <f aca="false">IF(C4565="","",C4565*IF(Settings!$B$22=Settings!$C$6,1,IF(Settings!$B$22="USD",1/INDEX(Settings!$B$29:$B$40,MONTH(A4565)),INDEX(Settings!$B$29:$B$40,MONTH(A4565)))))</f>
        <v/>
      </c>
    </row>
    <row r="4566" customFormat="false" ht="15" hidden="false" customHeight="false" outlineLevel="0" collapsed="false">
      <c r="H4566" s="0" t="str">
        <f aca="false">IF(B4566="","",IF(COUNTIF(Campaigns!$A$7:$A$300,B4566)&gt;0,"✓","⚠ add to Campaigns tab"))</f>
        <v/>
      </c>
      <c r="I4566" s="84" t="str">
        <f aca="false">IF(C4566="","",C4566*IF(Settings!$B$22=Settings!$C$6,1,IF(Settings!$B$22="USD",1/INDEX(Settings!$B$29:$B$40,MONTH(A4566)),INDEX(Settings!$B$29:$B$40,MONTH(A4566)))))</f>
        <v/>
      </c>
    </row>
    <row r="4567" customFormat="false" ht="15" hidden="false" customHeight="false" outlineLevel="0" collapsed="false">
      <c r="H4567" s="0" t="str">
        <f aca="false">IF(B4567="","",IF(COUNTIF(Campaigns!$A$7:$A$300,B4567)&gt;0,"✓","⚠ add to Campaigns tab"))</f>
        <v/>
      </c>
      <c r="I4567" s="84" t="str">
        <f aca="false">IF(C4567="","",C4567*IF(Settings!$B$22=Settings!$C$6,1,IF(Settings!$B$22="USD",1/INDEX(Settings!$B$29:$B$40,MONTH(A4567)),INDEX(Settings!$B$29:$B$40,MONTH(A4567)))))</f>
        <v/>
      </c>
    </row>
    <row r="4568" customFormat="false" ht="15" hidden="false" customHeight="false" outlineLevel="0" collapsed="false">
      <c r="H4568" s="0" t="str">
        <f aca="false">IF(B4568="","",IF(COUNTIF(Campaigns!$A$7:$A$300,B4568)&gt;0,"✓","⚠ add to Campaigns tab"))</f>
        <v/>
      </c>
      <c r="I4568" s="84" t="str">
        <f aca="false">IF(C4568="","",C4568*IF(Settings!$B$22=Settings!$C$6,1,IF(Settings!$B$22="USD",1/INDEX(Settings!$B$29:$B$40,MONTH(A4568)),INDEX(Settings!$B$29:$B$40,MONTH(A4568)))))</f>
        <v/>
      </c>
    </row>
    <row r="4569" customFormat="false" ht="15" hidden="false" customHeight="false" outlineLevel="0" collapsed="false">
      <c r="H4569" s="0" t="str">
        <f aca="false">IF(B4569="","",IF(COUNTIF(Campaigns!$A$7:$A$300,B4569)&gt;0,"✓","⚠ add to Campaigns tab"))</f>
        <v/>
      </c>
      <c r="I4569" s="84" t="str">
        <f aca="false">IF(C4569="","",C4569*IF(Settings!$B$22=Settings!$C$6,1,IF(Settings!$B$22="USD",1/INDEX(Settings!$B$29:$B$40,MONTH(A4569)),INDEX(Settings!$B$29:$B$40,MONTH(A4569)))))</f>
        <v/>
      </c>
    </row>
    <row r="4570" customFormat="false" ht="15" hidden="false" customHeight="false" outlineLevel="0" collapsed="false">
      <c r="H4570" s="0" t="str">
        <f aca="false">IF(B4570="","",IF(COUNTIF(Campaigns!$A$7:$A$300,B4570)&gt;0,"✓","⚠ add to Campaigns tab"))</f>
        <v/>
      </c>
      <c r="I4570" s="84" t="str">
        <f aca="false">IF(C4570="","",C4570*IF(Settings!$B$22=Settings!$C$6,1,IF(Settings!$B$22="USD",1/INDEX(Settings!$B$29:$B$40,MONTH(A4570)),INDEX(Settings!$B$29:$B$40,MONTH(A4570)))))</f>
        <v/>
      </c>
    </row>
    <row r="4571" customFormat="false" ht="15" hidden="false" customHeight="false" outlineLevel="0" collapsed="false">
      <c r="H4571" s="0" t="str">
        <f aca="false">IF(B4571="","",IF(COUNTIF(Campaigns!$A$7:$A$300,B4571)&gt;0,"✓","⚠ add to Campaigns tab"))</f>
        <v/>
      </c>
      <c r="I4571" s="84" t="str">
        <f aca="false">IF(C4571="","",C4571*IF(Settings!$B$22=Settings!$C$6,1,IF(Settings!$B$22="USD",1/INDEX(Settings!$B$29:$B$40,MONTH(A4571)),INDEX(Settings!$B$29:$B$40,MONTH(A4571)))))</f>
        <v/>
      </c>
    </row>
    <row r="4572" customFormat="false" ht="15" hidden="false" customHeight="false" outlineLevel="0" collapsed="false">
      <c r="H4572" s="0" t="str">
        <f aca="false">IF(B4572="","",IF(COUNTIF(Campaigns!$A$7:$A$300,B4572)&gt;0,"✓","⚠ add to Campaigns tab"))</f>
        <v/>
      </c>
      <c r="I4572" s="84" t="str">
        <f aca="false">IF(C4572="","",C4572*IF(Settings!$B$22=Settings!$C$6,1,IF(Settings!$B$22="USD",1/INDEX(Settings!$B$29:$B$40,MONTH(A4572)),INDEX(Settings!$B$29:$B$40,MONTH(A4572)))))</f>
        <v/>
      </c>
    </row>
    <row r="4573" customFormat="false" ht="15" hidden="false" customHeight="false" outlineLevel="0" collapsed="false">
      <c r="H4573" s="0" t="str">
        <f aca="false">IF(B4573="","",IF(COUNTIF(Campaigns!$A$7:$A$300,B4573)&gt;0,"✓","⚠ add to Campaigns tab"))</f>
        <v/>
      </c>
      <c r="I4573" s="84" t="str">
        <f aca="false">IF(C4573="","",C4573*IF(Settings!$B$22=Settings!$C$6,1,IF(Settings!$B$22="USD",1/INDEX(Settings!$B$29:$B$40,MONTH(A4573)),INDEX(Settings!$B$29:$B$40,MONTH(A4573)))))</f>
        <v/>
      </c>
    </row>
    <row r="4574" customFormat="false" ht="15" hidden="false" customHeight="false" outlineLevel="0" collapsed="false">
      <c r="H4574" s="0" t="str">
        <f aca="false">IF(B4574="","",IF(COUNTIF(Campaigns!$A$7:$A$300,B4574)&gt;0,"✓","⚠ add to Campaigns tab"))</f>
        <v/>
      </c>
      <c r="I4574" s="84" t="str">
        <f aca="false">IF(C4574="","",C4574*IF(Settings!$B$22=Settings!$C$6,1,IF(Settings!$B$22="USD",1/INDEX(Settings!$B$29:$B$40,MONTH(A4574)),INDEX(Settings!$B$29:$B$40,MONTH(A4574)))))</f>
        <v/>
      </c>
    </row>
    <row r="4575" customFormat="false" ht="15" hidden="false" customHeight="false" outlineLevel="0" collapsed="false">
      <c r="H4575" s="0" t="str">
        <f aca="false">IF(B4575="","",IF(COUNTIF(Campaigns!$A$7:$A$300,B4575)&gt;0,"✓","⚠ add to Campaigns tab"))</f>
        <v/>
      </c>
      <c r="I4575" s="84" t="str">
        <f aca="false">IF(C4575="","",C4575*IF(Settings!$B$22=Settings!$C$6,1,IF(Settings!$B$22="USD",1/INDEX(Settings!$B$29:$B$40,MONTH(A4575)),INDEX(Settings!$B$29:$B$40,MONTH(A4575)))))</f>
        <v/>
      </c>
    </row>
    <row r="4576" customFormat="false" ht="15" hidden="false" customHeight="false" outlineLevel="0" collapsed="false">
      <c r="H4576" s="0" t="str">
        <f aca="false">IF(B4576="","",IF(COUNTIF(Campaigns!$A$7:$A$300,B4576)&gt;0,"✓","⚠ add to Campaigns tab"))</f>
        <v/>
      </c>
      <c r="I4576" s="84" t="str">
        <f aca="false">IF(C4576="","",C4576*IF(Settings!$B$22=Settings!$C$6,1,IF(Settings!$B$22="USD",1/INDEX(Settings!$B$29:$B$40,MONTH(A4576)),INDEX(Settings!$B$29:$B$40,MONTH(A4576)))))</f>
        <v/>
      </c>
    </row>
    <row r="4577" customFormat="false" ht="15" hidden="false" customHeight="false" outlineLevel="0" collapsed="false">
      <c r="H4577" s="0" t="str">
        <f aca="false">IF(B4577="","",IF(COUNTIF(Campaigns!$A$7:$A$300,B4577)&gt;0,"✓","⚠ add to Campaigns tab"))</f>
        <v/>
      </c>
      <c r="I4577" s="84" t="str">
        <f aca="false">IF(C4577="","",C4577*IF(Settings!$B$22=Settings!$C$6,1,IF(Settings!$B$22="USD",1/INDEX(Settings!$B$29:$B$40,MONTH(A4577)),INDEX(Settings!$B$29:$B$40,MONTH(A4577)))))</f>
        <v/>
      </c>
    </row>
    <row r="4578" customFormat="false" ht="15" hidden="false" customHeight="false" outlineLevel="0" collapsed="false">
      <c r="H4578" s="0" t="str">
        <f aca="false">IF(B4578="","",IF(COUNTIF(Campaigns!$A$7:$A$300,B4578)&gt;0,"✓","⚠ add to Campaigns tab"))</f>
        <v/>
      </c>
      <c r="I4578" s="84" t="str">
        <f aca="false">IF(C4578="","",C4578*IF(Settings!$B$22=Settings!$C$6,1,IF(Settings!$B$22="USD",1/INDEX(Settings!$B$29:$B$40,MONTH(A4578)),INDEX(Settings!$B$29:$B$40,MONTH(A4578)))))</f>
        <v/>
      </c>
    </row>
    <row r="4579" customFormat="false" ht="15" hidden="false" customHeight="false" outlineLevel="0" collapsed="false">
      <c r="H4579" s="0" t="str">
        <f aca="false">IF(B4579="","",IF(COUNTIF(Campaigns!$A$7:$A$300,B4579)&gt;0,"✓","⚠ add to Campaigns tab"))</f>
        <v/>
      </c>
      <c r="I4579" s="84" t="str">
        <f aca="false">IF(C4579="","",C4579*IF(Settings!$B$22=Settings!$C$6,1,IF(Settings!$B$22="USD",1/INDEX(Settings!$B$29:$B$40,MONTH(A4579)),INDEX(Settings!$B$29:$B$40,MONTH(A4579)))))</f>
        <v/>
      </c>
    </row>
    <row r="4580" customFormat="false" ht="15" hidden="false" customHeight="false" outlineLevel="0" collapsed="false">
      <c r="H4580" s="0" t="str">
        <f aca="false">IF(B4580="","",IF(COUNTIF(Campaigns!$A$7:$A$300,B4580)&gt;0,"✓","⚠ add to Campaigns tab"))</f>
        <v/>
      </c>
      <c r="I4580" s="84" t="str">
        <f aca="false">IF(C4580="","",C4580*IF(Settings!$B$22=Settings!$C$6,1,IF(Settings!$B$22="USD",1/INDEX(Settings!$B$29:$B$40,MONTH(A4580)),INDEX(Settings!$B$29:$B$40,MONTH(A4580)))))</f>
        <v/>
      </c>
    </row>
    <row r="4581" customFormat="false" ht="15" hidden="false" customHeight="false" outlineLevel="0" collapsed="false">
      <c r="H4581" s="0" t="str">
        <f aca="false">IF(B4581="","",IF(COUNTIF(Campaigns!$A$7:$A$300,B4581)&gt;0,"✓","⚠ add to Campaigns tab"))</f>
        <v/>
      </c>
      <c r="I4581" s="84" t="str">
        <f aca="false">IF(C4581="","",C4581*IF(Settings!$B$22=Settings!$C$6,1,IF(Settings!$B$22="USD",1/INDEX(Settings!$B$29:$B$40,MONTH(A4581)),INDEX(Settings!$B$29:$B$40,MONTH(A4581)))))</f>
        <v/>
      </c>
    </row>
    <row r="4582" customFormat="false" ht="15" hidden="false" customHeight="false" outlineLevel="0" collapsed="false">
      <c r="H4582" s="0" t="str">
        <f aca="false">IF(B4582="","",IF(COUNTIF(Campaigns!$A$7:$A$300,B4582)&gt;0,"✓","⚠ add to Campaigns tab"))</f>
        <v/>
      </c>
      <c r="I4582" s="84" t="str">
        <f aca="false">IF(C4582="","",C4582*IF(Settings!$B$22=Settings!$C$6,1,IF(Settings!$B$22="USD",1/INDEX(Settings!$B$29:$B$40,MONTH(A4582)),INDEX(Settings!$B$29:$B$40,MONTH(A4582)))))</f>
        <v/>
      </c>
    </row>
    <row r="4583" customFormat="false" ht="15" hidden="false" customHeight="false" outlineLevel="0" collapsed="false">
      <c r="H4583" s="0" t="str">
        <f aca="false">IF(B4583="","",IF(COUNTIF(Campaigns!$A$7:$A$300,B4583)&gt;0,"✓","⚠ add to Campaigns tab"))</f>
        <v/>
      </c>
      <c r="I4583" s="84" t="str">
        <f aca="false">IF(C4583="","",C4583*IF(Settings!$B$22=Settings!$C$6,1,IF(Settings!$B$22="USD",1/INDEX(Settings!$B$29:$B$40,MONTH(A4583)),INDEX(Settings!$B$29:$B$40,MONTH(A4583)))))</f>
        <v/>
      </c>
    </row>
    <row r="4584" customFormat="false" ht="15" hidden="false" customHeight="false" outlineLevel="0" collapsed="false">
      <c r="H4584" s="0" t="str">
        <f aca="false">IF(B4584="","",IF(COUNTIF(Campaigns!$A$7:$A$300,B4584)&gt;0,"✓","⚠ add to Campaigns tab"))</f>
        <v/>
      </c>
      <c r="I4584" s="84" t="str">
        <f aca="false">IF(C4584="","",C4584*IF(Settings!$B$22=Settings!$C$6,1,IF(Settings!$B$22="USD",1/INDEX(Settings!$B$29:$B$40,MONTH(A4584)),INDEX(Settings!$B$29:$B$40,MONTH(A4584)))))</f>
        <v/>
      </c>
    </row>
    <row r="4585" customFormat="false" ht="15" hidden="false" customHeight="false" outlineLevel="0" collapsed="false">
      <c r="H4585" s="0" t="str">
        <f aca="false">IF(B4585="","",IF(COUNTIF(Campaigns!$A$7:$A$300,B4585)&gt;0,"✓","⚠ add to Campaigns tab"))</f>
        <v/>
      </c>
      <c r="I4585" s="84" t="str">
        <f aca="false">IF(C4585="","",C4585*IF(Settings!$B$22=Settings!$C$6,1,IF(Settings!$B$22="USD",1/INDEX(Settings!$B$29:$B$40,MONTH(A4585)),INDEX(Settings!$B$29:$B$40,MONTH(A4585)))))</f>
        <v/>
      </c>
    </row>
    <row r="4586" customFormat="false" ht="15" hidden="false" customHeight="false" outlineLevel="0" collapsed="false">
      <c r="H4586" s="0" t="str">
        <f aca="false">IF(B4586="","",IF(COUNTIF(Campaigns!$A$7:$A$300,B4586)&gt;0,"✓","⚠ add to Campaigns tab"))</f>
        <v/>
      </c>
      <c r="I4586" s="84" t="str">
        <f aca="false">IF(C4586="","",C4586*IF(Settings!$B$22=Settings!$C$6,1,IF(Settings!$B$22="USD",1/INDEX(Settings!$B$29:$B$40,MONTH(A4586)),INDEX(Settings!$B$29:$B$40,MONTH(A4586)))))</f>
        <v/>
      </c>
    </row>
    <row r="4587" customFormat="false" ht="15" hidden="false" customHeight="false" outlineLevel="0" collapsed="false">
      <c r="H4587" s="0" t="str">
        <f aca="false">IF(B4587="","",IF(COUNTIF(Campaigns!$A$7:$A$300,B4587)&gt;0,"✓","⚠ add to Campaigns tab"))</f>
        <v/>
      </c>
      <c r="I4587" s="84" t="str">
        <f aca="false">IF(C4587="","",C4587*IF(Settings!$B$22=Settings!$C$6,1,IF(Settings!$B$22="USD",1/INDEX(Settings!$B$29:$B$40,MONTH(A4587)),INDEX(Settings!$B$29:$B$40,MONTH(A4587)))))</f>
        <v/>
      </c>
    </row>
    <row r="4588" customFormat="false" ht="15" hidden="false" customHeight="false" outlineLevel="0" collapsed="false">
      <c r="H4588" s="0" t="str">
        <f aca="false">IF(B4588="","",IF(COUNTIF(Campaigns!$A$7:$A$300,B4588)&gt;0,"✓","⚠ add to Campaigns tab"))</f>
        <v/>
      </c>
      <c r="I4588" s="84" t="str">
        <f aca="false">IF(C4588="","",C4588*IF(Settings!$B$22=Settings!$C$6,1,IF(Settings!$B$22="USD",1/INDEX(Settings!$B$29:$B$40,MONTH(A4588)),INDEX(Settings!$B$29:$B$40,MONTH(A4588)))))</f>
        <v/>
      </c>
    </row>
    <row r="4589" customFormat="false" ht="15" hidden="false" customHeight="false" outlineLevel="0" collapsed="false">
      <c r="H4589" s="0" t="str">
        <f aca="false">IF(B4589="","",IF(COUNTIF(Campaigns!$A$7:$A$300,B4589)&gt;0,"✓","⚠ add to Campaigns tab"))</f>
        <v/>
      </c>
      <c r="I4589" s="84" t="str">
        <f aca="false">IF(C4589="","",C4589*IF(Settings!$B$22=Settings!$C$6,1,IF(Settings!$B$22="USD",1/INDEX(Settings!$B$29:$B$40,MONTH(A4589)),INDEX(Settings!$B$29:$B$40,MONTH(A4589)))))</f>
        <v/>
      </c>
    </row>
    <row r="4590" customFormat="false" ht="15" hidden="false" customHeight="false" outlineLevel="0" collapsed="false">
      <c r="H4590" s="0" t="str">
        <f aca="false">IF(B4590="","",IF(COUNTIF(Campaigns!$A$7:$A$300,B4590)&gt;0,"✓","⚠ add to Campaigns tab"))</f>
        <v/>
      </c>
      <c r="I4590" s="84" t="str">
        <f aca="false">IF(C4590="","",C4590*IF(Settings!$B$22=Settings!$C$6,1,IF(Settings!$B$22="USD",1/INDEX(Settings!$B$29:$B$40,MONTH(A4590)),INDEX(Settings!$B$29:$B$40,MONTH(A4590)))))</f>
        <v/>
      </c>
    </row>
    <row r="4591" customFormat="false" ht="15" hidden="false" customHeight="false" outlineLevel="0" collapsed="false">
      <c r="H4591" s="0" t="str">
        <f aca="false">IF(B4591="","",IF(COUNTIF(Campaigns!$A$7:$A$300,B4591)&gt;0,"✓","⚠ add to Campaigns tab"))</f>
        <v/>
      </c>
      <c r="I4591" s="84" t="str">
        <f aca="false">IF(C4591="","",C4591*IF(Settings!$B$22=Settings!$C$6,1,IF(Settings!$B$22="USD",1/INDEX(Settings!$B$29:$B$40,MONTH(A4591)),INDEX(Settings!$B$29:$B$40,MONTH(A4591)))))</f>
        <v/>
      </c>
    </row>
    <row r="4592" customFormat="false" ht="15" hidden="false" customHeight="false" outlineLevel="0" collapsed="false">
      <c r="H4592" s="0" t="str">
        <f aca="false">IF(B4592="","",IF(COUNTIF(Campaigns!$A$7:$A$300,B4592)&gt;0,"✓","⚠ add to Campaigns tab"))</f>
        <v/>
      </c>
      <c r="I4592" s="84" t="str">
        <f aca="false">IF(C4592="","",C4592*IF(Settings!$B$22=Settings!$C$6,1,IF(Settings!$B$22="USD",1/INDEX(Settings!$B$29:$B$40,MONTH(A4592)),INDEX(Settings!$B$29:$B$40,MONTH(A4592)))))</f>
        <v/>
      </c>
    </row>
    <row r="4593" customFormat="false" ht="15" hidden="false" customHeight="false" outlineLevel="0" collapsed="false">
      <c r="H4593" s="0" t="str">
        <f aca="false">IF(B4593="","",IF(COUNTIF(Campaigns!$A$7:$A$300,B4593)&gt;0,"✓","⚠ add to Campaigns tab"))</f>
        <v/>
      </c>
      <c r="I4593" s="84" t="str">
        <f aca="false">IF(C4593="","",C4593*IF(Settings!$B$22=Settings!$C$6,1,IF(Settings!$B$22="USD",1/INDEX(Settings!$B$29:$B$40,MONTH(A4593)),INDEX(Settings!$B$29:$B$40,MONTH(A4593)))))</f>
        <v/>
      </c>
    </row>
    <row r="4594" customFormat="false" ht="15" hidden="false" customHeight="false" outlineLevel="0" collapsed="false">
      <c r="H4594" s="0" t="str">
        <f aca="false">IF(B4594="","",IF(COUNTIF(Campaigns!$A$7:$A$300,B4594)&gt;0,"✓","⚠ add to Campaigns tab"))</f>
        <v/>
      </c>
      <c r="I4594" s="84" t="str">
        <f aca="false">IF(C4594="","",C4594*IF(Settings!$B$22=Settings!$C$6,1,IF(Settings!$B$22="USD",1/INDEX(Settings!$B$29:$B$40,MONTH(A4594)),INDEX(Settings!$B$29:$B$40,MONTH(A4594)))))</f>
        <v/>
      </c>
    </row>
    <row r="4595" customFormat="false" ht="15" hidden="false" customHeight="false" outlineLevel="0" collapsed="false">
      <c r="H4595" s="0" t="str">
        <f aca="false">IF(B4595="","",IF(COUNTIF(Campaigns!$A$7:$A$300,B4595)&gt;0,"✓","⚠ add to Campaigns tab"))</f>
        <v/>
      </c>
      <c r="I4595" s="84" t="str">
        <f aca="false">IF(C4595="","",C4595*IF(Settings!$B$22=Settings!$C$6,1,IF(Settings!$B$22="USD",1/INDEX(Settings!$B$29:$B$40,MONTH(A4595)),INDEX(Settings!$B$29:$B$40,MONTH(A4595)))))</f>
        <v/>
      </c>
    </row>
    <row r="4596" customFormat="false" ht="15" hidden="false" customHeight="false" outlineLevel="0" collapsed="false">
      <c r="H4596" s="0" t="str">
        <f aca="false">IF(B4596="","",IF(COUNTIF(Campaigns!$A$7:$A$300,B4596)&gt;0,"✓","⚠ add to Campaigns tab"))</f>
        <v/>
      </c>
      <c r="I4596" s="84" t="str">
        <f aca="false">IF(C4596="","",C4596*IF(Settings!$B$22=Settings!$C$6,1,IF(Settings!$B$22="USD",1/INDEX(Settings!$B$29:$B$40,MONTH(A4596)),INDEX(Settings!$B$29:$B$40,MONTH(A4596)))))</f>
        <v/>
      </c>
    </row>
    <row r="4597" customFormat="false" ht="15" hidden="false" customHeight="false" outlineLevel="0" collapsed="false">
      <c r="H4597" s="0" t="str">
        <f aca="false">IF(B4597="","",IF(COUNTIF(Campaigns!$A$7:$A$300,B4597)&gt;0,"✓","⚠ add to Campaigns tab"))</f>
        <v/>
      </c>
      <c r="I4597" s="84" t="str">
        <f aca="false">IF(C4597="","",C4597*IF(Settings!$B$22=Settings!$C$6,1,IF(Settings!$B$22="USD",1/INDEX(Settings!$B$29:$B$40,MONTH(A4597)),INDEX(Settings!$B$29:$B$40,MONTH(A4597)))))</f>
        <v/>
      </c>
    </row>
    <row r="4598" customFormat="false" ht="15" hidden="false" customHeight="false" outlineLevel="0" collapsed="false">
      <c r="H4598" s="0" t="str">
        <f aca="false">IF(B4598="","",IF(COUNTIF(Campaigns!$A$7:$A$300,B4598)&gt;0,"✓","⚠ add to Campaigns tab"))</f>
        <v/>
      </c>
      <c r="I4598" s="84" t="str">
        <f aca="false">IF(C4598="","",C4598*IF(Settings!$B$22=Settings!$C$6,1,IF(Settings!$B$22="USD",1/INDEX(Settings!$B$29:$B$40,MONTH(A4598)),INDEX(Settings!$B$29:$B$40,MONTH(A4598)))))</f>
        <v/>
      </c>
    </row>
    <row r="4599" customFormat="false" ht="15" hidden="false" customHeight="false" outlineLevel="0" collapsed="false">
      <c r="H4599" s="0" t="str">
        <f aca="false">IF(B4599="","",IF(COUNTIF(Campaigns!$A$7:$A$300,B4599)&gt;0,"✓","⚠ add to Campaigns tab"))</f>
        <v/>
      </c>
      <c r="I4599" s="84" t="str">
        <f aca="false">IF(C4599="","",C4599*IF(Settings!$B$22=Settings!$C$6,1,IF(Settings!$B$22="USD",1/INDEX(Settings!$B$29:$B$40,MONTH(A4599)),INDEX(Settings!$B$29:$B$40,MONTH(A4599)))))</f>
        <v/>
      </c>
    </row>
    <row r="4600" customFormat="false" ht="15" hidden="false" customHeight="false" outlineLevel="0" collapsed="false">
      <c r="H4600" s="0" t="str">
        <f aca="false">IF(B4600="","",IF(COUNTIF(Campaigns!$A$7:$A$300,B4600)&gt;0,"✓","⚠ add to Campaigns tab"))</f>
        <v/>
      </c>
      <c r="I4600" s="84" t="str">
        <f aca="false">IF(C4600="","",C4600*IF(Settings!$B$22=Settings!$C$6,1,IF(Settings!$B$22="USD",1/INDEX(Settings!$B$29:$B$40,MONTH(A4600)),INDEX(Settings!$B$29:$B$40,MONTH(A4600)))))</f>
        <v/>
      </c>
    </row>
    <row r="4601" customFormat="false" ht="15" hidden="false" customHeight="false" outlineLevel="0" collapsed="false">
      <c r="H4601" s="0" t="str">
        <f aca="false">IF(B4601="","",IF(COUNTIF(Campaigns!$A$7:$A$300,B4601)&gt;0,"✓","⚠ add to Campaigns tab"))</f>
        <v/>
      </c>
      <c r="I4601" s="84" t="str">
        <f aca="false">IF(C4601="","",C4601*IF(Settings!$B$22=Settings!$C$6,1,IF(Settings!$B$22="USD",1/INDEX(Settings!$B$29:$B$40,MONTH(A4601)),INDEX(Settings!$B$29:$B$40,MONTH(A4601)))))</f>
        <v/>
      </c>
    </row>
    <row r="4602" customFormat="false" ht="15" hidden="false" customHeight="false" outlineLevel="0" collapsed="false">
      <c r="H4602" s="0" t="str">
        <f aca="false">IF(B4602="","",IF(COUNTIF(Campaigns!$A$7:$A$300,B4602)&gt;0,"✓","⚠ add to Campaigns tab"))</f>
        <v/>
      </c>
      <c r="I4602" s="84" t="str">
        <f aca="false">IF(C4602="","",C4602*IF(Settings!$B$22=Settings!$C$6,1,IF(Settings!$B$22="USD",1/INDEX(Settings!$B$29:$B$40,MONTH(A4602)),INDEX(Settings!$B$29:$B$40,MONTH(A4602)))))</f>
        <v/>
      </c>
    </row>
    <row r="4603" customFormat="false" ht="15" hidden="false" customHeight="false" outlineLevel="0" collapsed="false">
      <c r="H4603" s="0" t="str">
        <f aca="false">IF(B4603="","",IF(COUNTIF(Campaigns!$A$7:$A$300,B4603)&gt;0,"✓","⚠ add to Campaigns tab"))</f>
        <v/>
      </c>
      <c r="I4603" s="84" t="str">
        <f aca="false">IF(C4603="","",C4603*IF(Settings!$B$22=Settings!$C$6,1,IF(Settings!$B$22="USD",1/INDEX(Settings!$B$29:$B$40,MONTH(A4603)),INDEX(Settings!$B$29:$B$40,MONTH(A4603)))))</f>
        <v/>
      </c>
    </row>
    <row r="4604" customFormat="false" ht="15" hidden="false" customHeight="false" outlineLevel="0" collapsed="false">
      <c r="H4604" s="0" t="str">
        <f aca="false">IF(B4604="","",IF(COUNTIF(Campaigns!$A$7:$A$300,B4604)&gt;0,"✓","⚠ add to Campaigns tab"))</f>
        <v/>
      </c>
      <c r="I4604" s="84" t="str">
        <f aca="false">IF(C4604="","",C4604*IF(Settings!$B$22=Settings!$C$6,1,IF(Settings!$B$22="USD",1/INDEX(Settings!$B$29:$B$40,MONTH(A4604)),INDEX(Settings!$B$29:$B$40,MONTH(A4604)))))</f>
        <v/>
      </c>
    </row>
    <row r="4605" customFormat="false" ht="15" hidden="false" customHeight="false" outlineLevel="0" collapsed="false">
      <c r="H4605" s="0" t="str">
        <f aca="false">IF(B4605="","",IF(COUNTIF(Campaigns!$A$7:$A$300,B4605)&gt;0,"✓","⚠ add to Campaigns tab"))</f>
        <v/>
      </c>
      <c r="I4605" s="84" t="str">
        <f aca="false">IF(C4605="","",C4605*IF(Settings!$B$22=Settings!$C$6,1,IF(Settings!$B$22="USD",1/INDEX(Settings!$B$29:$B$40,MONTH(A4605)),INDEX(Settings!$B$29:$B$40,MONTH(A4605)))))</f>
        <v/>
      </c>
    </row>
    <row r="4606" customFormat="false" ht="15" hidden="false" customHeight="false" outlineLevel="0" collapsed="false">
      <c r="H4606" s="0" t="str">
        <f aca="false">IF(B4606="","",IF(COUNTIF(Campaigns!$A$7:$A$300,B4606)&gt;0,"✓","⚠ add to Campaigns tab"))</f>
        <v/>
      </c>
      <c r="I4606" s="84" t="str">
        <f aca="false">IF(C4606="","",C4606*IF(Settings!$B$22=Settings!$C$6,1,IF(Settings!$B$22="USD",1/INDEX(Settings!$B$29:$B$40,MONTH(A4606)),INDEX(Settings!$B$29:$B$40,MONTH(A4606)))))</f>
        <v/>
      </c>
    </row>
    <row r="4607" customFormat="false" ht="15" hidden="false" customHeight="false" outlineLevel="0" collapsed="false">
      <c r="H4607" s="0" t="str">
        <f aca="false">IF(B4607="","",IF(COUNTIF(Campaigns!$A$7:$A$300,B4607)&gt;0,"✓","⚠ add to Campaigns tab"))</f>
        <v/>
      </c>
      <c r="I4607" s="84" t="str">
        <f aca="false">IF(C4607="","",C4607*IF(Settings!$B$22=Settings!$C$6,1,IF(Settings!$B$22="USD",1/INDEX(Settings!$B$29:$B$40,MONTH(A4607)),INDEX(Settings!$B$29:$B$40,MONTH(A4607)))))</f>
        <v/>
      </c>
    </row>
    <row r="4608" customFormat="false" ht="15" hidden="false" customHeight="false" outlineLevel="0" collapsed="false">
      <c r="H4608" s="0" t="str">
        <f aca="false">IF(B4608="","",IF(COUNTIF(Campaigns!$A$7:$A$300,B4608)&gt;0,"✓","⚠ add to Campaigns tab"))</f>
        <v/>
      </c>
      <c r="I4608" s="84" t="str">
        <f aca="false">IF(C4608="","",C4608*IF(Settings!$B$22=Settings!$C$6,1,IF(Settings!$B$22="USD",1/INDEX(Settings!$B$29:$B$40,MONTH(A4608)),INDEX(Settings!$B$29:$B$40,MONTH(A4608)))))</f>
        <v/>
      </c>
    </row>
    <row r="4609" customFormat="false" ht="15" hidden="false" customHeight="false" outlineLevel="0" collapsed="false">
      <c r="H4609" s="0" t="str">
        <f aca="false">IF(B4609="","",IF(COUNTIF(Campaigns!$A$7:$A$300,B4609)&gt;0,"✓","⚠ add to Campaigns tab"))</f>
        <v/>
      </c>
      <c r="I4609" s="84" t="str">
        <f aca="false">IF(C4609="","",C4609*IF(Settings!$B$22=Settings!$C$6,1,IF(Settings!$B$22="USD",1/INDEX(Settings!$B$29:$B$40,MONTH(A4609)),INDEX(Settings!$B$29:$B$40,MONTH(A4609)))))</f>
        <v/>
      </c>
    </row>
    <row r="4610" customFormat="false" ht="15" hidden="false" customHeight="false" outlineLevel="0" collapsed="false">
      <c r="H4610" s="0" t="str">
        <f aca="false">IF(B4610="","",IF(COUNTIF(Campaigns!$A$7:$A$300,B4610)&gt;0,"✓","⚠ add to Campaigns tab"))</f>
        <v/>
      </c>
      <c r="I4610" s="84" t="str">
        <f aca="false">IF(C4610="","",C4610*IF(Settings!$B$22=Settings!$C$6,1,IF(Settings!$B$22="USD",1/INDEX(Settings!$B$29:$B$40,MONTH(A4610)),INDEX(Settings!$B$29:$B$40,MONTH(A4610)))))</f>
        <v/>
      </c>
    </row>
    <row r="4611" customFormat="false" ht="15" hidden="false" customHeight="false" outlineLevel="0" collapsed="false">
      <c r="H4611" s="0" t="str">
        <f aca="false">IF(B4611="","",IF(COUNTIF(Campaigns!$A$7:$A$300,B4611)&gt;0,"✓","⚠ add to Campaigns tab"))</f>
        <v/>
      </c>
      <c r="I4611" s="84" t="str">
        <f aca="false">IF(C4611="","",C4611*IF(Settings!$B$22=Settings!$C$6,1,IF(Settings!$B$22="USD",1/INDEX(Settings!$B$29:$B$40,MONTH(A4611)),INDEX(Settings!$B$29:$B$40,MONTH(A4611)))))</f>
        <v/>
      </c>
    </row>
    <row r="4612" customFormat="false" ht="15" hidden="false" customHeight="false" outlineLevel="0" collapsed="false">
      <c r="H4612" s="0" t="str">
        <f aca="false">IF(B4612="","",IF(COUNTIF(Campaigns!$A$7:$A$300,B4612)&gt;0,"✓","⚠ add to Campaigns tab"))</f>
        <v/>
      </c>
      <c r="I4612" s="84" t="str">
        <f aca="false">IF(C4612="","",C4612*IF(Settings!$B$22=Settings!$C$6,1,IF(Settings!$B$22="USD",1/INDEX(Settings!$B$29:$B$40,MONTH(A4612)),INDEX(Settings!$B$29:$B$40,MONTH(A4612)))))</f>
        <v/>
      </c>
    </row>
    <row r="4613" customFormat="false" ht="15" hidden="false" customHeight="false" outlineLevel="0" collapsed="false">
      <c r="H4613" s="0" t="str">
        <f aca="false">IF(B4613="","",IF(COUNTIF(Campaigns!$A$7:$A$300,B4613)&gt;0,"✓","⚠ add to Campaigns tab"))</f>
        <v/>
      </c>
      <c r="I4613" s="84" t="str">
        <f aca="false">IF(C4613="","",C4613*IF(Settings!$B$22=Settings!$C$6,1,IF(Settings!$B$22="USD",1/INDEX(Settings!$B$29:$B$40,MONTH(A4613)),INDEX(Settings!$B$29:$B$40,MONTH(A4613)))))</f>
        <v/>
      </c>
    </row>
    <row r="4614" customFormat="false" ht="15" hidden="false" customHeight="false" outlineLevel="0" collapsed="false">
      <c r="H4614" s="0" t="str">
        <f aca="false">IF(B4614="","",IF(COUNTIF(Campaigns!$A$7:$A$300,B4614)&gt;0,"✓","⚠ add to Campaigns tab"))</f>
        <v/>
      </c>
      <c r="I4614" s="84" t="str">
        <f aca="false">IF(C4614="","",C4614*IF(Settings!$B$22=Settings!$C$6,1,IF(Settings!$B$22="USD",1/INDEX(Settings!$B$29:$B$40,MONTH(A4614)),INDEX(Settings!$B$29:$B$40,MONTH(A4614)))))</f>
        <v/>
      </c>
    </row>
    <row r="4615" customFormat="false" ht="15" hidden="false" customHeight="false" outlineLevel="0" collapsed="false">
      <c r="H4615" s="0" t="str">
        <f aca="false">IF(B4615="","",IF(COUNTIF(Campaigns!$A$7:$A$300,B4615)&gt;0,"✓","⚠ add to Campaigns tab"))</f>
        <v/>
      </c>
      <c r="I4615" s="84" t="str">
        <f aca="false">IF(C4615="","",C4615*IF(Settings!$B$22=Settings!$C$6,1,IF(Settings!$B$22="USD",1/INDEX(Settings!$B$29:$B$40,MONTH(A4615)),INDEX(Settings!$B$29:$B$40,MONTH(A4615)))))</f>
        <v/>
      </c>
    </row>
    <row r="4616" customFormat="false" ht="15" hidden="false" customHeight="false" outlineLevel="0" collapsed="false">
      <c r="H4616" s="0" t="str">
        <f aca="false">IF(B4616="","",IF(COUNTIF(Campaigns!$A$7:$A$300,B4616)&gt;0,"✓","⚠ add to Campaigns tab"))</f>
        <v/>
      </c>
      <c r="I4616" s="84" t="str">
        <f aca="false">IF(C4616="","",C4616*IF(Settings!$B$22=Settings!$C$6,1,IF(Settings!$B$22="USD",1/INDEX(Settings!$B$29:$B$40,MONTH(A4616)),INDEX(Settings!$B$29:$B$40,MONTH(A4616)))))</f>
        <v/>
      </c>
    </row>
    <row r="4617" customFormat="false" ht="15" hidden="false" customHeight="false" outlineLevel="0" collapsed="false">
      <c r="H4617" s="0" t="str">
        <f aca="false">IF(B4617="","",IF(COUNTIF(Campaigns!$A$7:$A$300,B4617)&gt;0,"✓","⚠ add to Campaigns tab"))</f>
        <v/>
      </c>
      <c r="I4617" s="84" t="str">
        <f aca="false">IF(C4617="","",C4617*IF(Settings!$B$22=Settings!$C$6,1,IF(Settings!$B$22="USD",1/INDEX(Settings!$B$29:$B$40,MONTH(A4617)),INDEX(Settings!$B$29:$B$40,MONTH(A4617)))))</f>
        <v/>
      </c>
    </row>
    <row r="4618" customFormat="false" ht="15" hidden="false" customHeight="false" outlineLevel="0" collapsed="false">
      <c r="H4618" s="0" t="str">
        <f aca="false">IF(B4618="","",IF(COUNTIF(Campaigns!$A$7:$A$300,B4618)&gt;0,"✓","⚠ add to Campaigns tab"))</f>
        <v/>
      </c>
      <c r="I4618" s="84" t="str">
        <f aca="false">IF(C4618="","",C4618*IF(Settings!$B$22=Settings!$C$6,1,IF(Settings!$B$22="USD",1/INDEX(Settings!$B$29:$B$40,MONTH(A4618)),INDEX(Settings!$B$29:$B$40,MONTH(A4618)))))</f>
        <v/>
      </c>
    </row>
    <row r="4619" customFormat="false" ht="15" hidden="false" customHeight="false" outlineLevel="0" collapsed="false">
      <c r="H4619" s="0" t="str">
        <f aca="false">IF(B4619="","",IF(COUNTIF(Campaigns!$A$7:$A$300,B4619)&gt;0,"✓","⚠ add to Campaigns tab"))</f>
        <v/>
      </c>
      <c r="I4619" s="84" t="str">
        <f aca="false">IF(C4619="","",C4619*IF(Settings!$B$22=Settings!$C$6,1,IF(Settings!$B$22="USD",1/INDEX(Settings!$B$29:$B$40,MONTH(A4619)),INDEX(Settings!$B$29:$B$40,MONTH(A4619)))))</f>
        <v/>
      </c>
    </row>
    <row r="4620" customFormat="false" ht="15" hidden="false" customHeight="false" outlineLevel="0" collapsed="false">
      <c r="H4620" s="0" t="str">
        <f aca="false">IF(B4620="","",IF(COUNTIF(Campaigns!$A$7:$A$300,B4620)&gt;0,"✓","⚠ add to Campaigns tab"))</f>
        <v/>
      </c>
      <c r="I4620" s="84" t="str">
        <f aca="false">IF(C4620="","",C4620*IF(Settings!$B$22=Settings!$C$6,1,IF(Settings!$B$22="USD",1/INDEX(Settings!$B$29:$B$40,MONTH(A4620)),INDEX(Settings!$B$29:$B$40,MONTH(A4620)))))</f>
        <v/>
      </c>
    </row>
    <row r="4621" customFormat="false" ht="15" hidden="false" customHeight="false" outlineLevel="0" collapsed="false">
      <c r="H4621" s="0" t="str">
        <f aca="false">IF(B4621="","",IF(COUNTIF(Campaigns!$A$7:$A$300,B4621)&gt;0,"✓","⚠ add to Campaigns tab"))</f>
        <v/>
      </c>
      <c r="I4621" s="84" t="str">
        <f aca="false">IF(C4621="","",C4621*IF(Settings!$B$22=Settings!$C$6,1,IF(Settings!$B$22="USD",1/INDEX(Settings!$B$29:$B$40,MONTH(A4621)),INDEX(Settings!$B$29:$B$40,MONTH(A4621)))))</f>
        <v/>
      </c>
    </row>
    <row r="4622" customFormat="false" ht="15" hidden="false" customHeight="false" outlineLevel="0" collapsed="false">
      <c r="H4622" s="0" t="str">
        <f aca="false">IF(B4622="","",IF(COUNTIF(Campaigns!$A$7:$A$300,B4622)&gt;0,"✓","⚠ add to Campaigns tab"))</f>
        <v/>
      </c>
      <c r="I4622" s="84" t="str">
        <f aca="false">IF(C4622="","",C4622*IF(Settings!$B$22=Settings!$C$6,1,IF(Settings!$B$22="USD",1/INDEX(Settings!$B$29:$B$40,MONTH(A4622)),INDEX(Settings!$B$29:$B$40,MONTH(A4622)))))</f>
        <v/>
      </c>
    </row>
    <row r="4623" customFormat="false" ht="15" hidden="false" customHeight="false" outlineLevel="0" collapsed="false">
      <c r="H4623" s="0" t="str">
        <f aca="false">IF(B4623="","",IF(COUNTIF(Campaigns!$A$7:$A$300,B4623)&gt;0,"✓","⚠ add to Campaigns tab"))</f>
        <v/>
      </c>
      <c r="I4623" s="84" t="str">
        <f aca="false">IF(C4623="","",C4623*IF(Settings!$B$22=Settings!$C$6,1,IF(Settings!$B$22="USD",1/INDEX(Settings!$B$29:$B$40,MONTH(A4623)),INDEX(Settings!$B$29:$B$40,MONTH(A4623)))))</f>
        <v/>
      </c>
    </row>
    <row r="4624" customFormat="false" ht="15" hidden="false" customHeight="false" outlineLevel="0" collapsed="false">
      <c r="H4624" s="0" t="str">
        <f aca="false">IF(B4624="","",IF(COUNTIF(Campaigns!$A$7:$A$300,B4624)&gt;0,"✓","⚠ add to Campaigns tab"))</f>
        <v/>
      </c>
      <c r="I4624" s="84" t="str">
        <f aca="false">IF(C4624="","",C4624*IF(Settings!$B$22=Settings!$C$6,1,IF(Settings!$B$22="USD",1/INDEX(Settings!$B$29:$B$40,MONTH(A4624)),INDEX(Settings!$B$29:$B$40,MONTH(A4624)))))</f>
        <v/>
      </c>
    </row>
    <row r="4625" customFormat="false" ht="15" hidden="false" customHeight="false" outlineLevel="0" collapsed="false">
      <c r="H4625" s="0" t="str">
        <f aca="false">IF(B4625="","",IF(COUNTIF(Campaigns!$A$7:$A$300,B4625)&gt;0,"✓","⚠ add to Campaigns tab"))</f>
        <v/>
      </c>
      <c r="I4625" s="84" t="str">
        <f aca="false">IF(C4625="","",C4625*IF(Settings!$B$22=Settings!$C$6,1,IF(Settings!$B$22="USD",1/INDEX(Settings!$B$29:$B$40,MONTH(A4625)),INDEX(Settings!$B$29:$B$40,MONTH(A4625)))))</f>
        <v/>
      </c>
    </row>
    <row r="4626" customFormat="false" ht="15" hidden="false" customHeight="false" outlineLevel="0" collapsed="false">
      <c r="H4626" s="0" t="str">
        <f aca="false">IF(B4626="","",IF(COUNTIF(Campaigns!$A$7:$A$300,B4626)&gt;0,"✓","⚠ add to Campaigns tab"))</f>
        <v/>
      </c>
      <c r="I4626" s="84" t="str">
        <f aca="false">IF(C4626="","",C4626*IF(Settings!$B$22=Settings!$C$6,1,IF(Settings!$B$22="USD",1/INDEX(Settings!$B$29:$B$40,MONTH(A4626)),INDEX(Settings!$B$29:$B$40,MONTH(A4626)))))</f>
        <v/>
      </c>
    </row>
    <row r="4627" customFormat="false" ht="15" hidden="false" customHeight="false" outlineLevel="0" collapsed="false">
      <c r="H4627" s="0" t="str">
        <f aca="false">IF(B4627="","",IF(COUNTIF(Campaigns!$A$7:$A$300,B4627)&gt;0,"✓","⚠ add to Campaigns tab"))</f>
        <v/>
      </c>
      <c r="I4627" s="84" t="str">
        <f aca="false">IF(C4627="","",C4627*IF(Settings!$B$22=Settings!$C$6,1,IF(Settings!$B$22="USD",1/INDEX(Settings!$B$29:$B$40,MONTH(A4627)),INDEX(Settings!$B$29:$B$40,MONTH(A4627)))))</f>
        <v/>
      </c>
    </row>
    <row r="4628" customFormat="false" ht="15" hidden="false" customHeight="false" outlineLevel="0" collapsed="false">
      <c r="H4628" s="0" t="str">
        <f aca="false">IF(B4628="","",IF(COUNTIF(Campaigns!$A$7:$A$300,B4628)&gt;0,"✓","⚠ add to Campaigns tab"))</f>
        <v/>
      </c>
      <c r="I4628" s="84" t="str">
        <f aca="false">IF(C4628="","",C4628*IF(Settings!$B$22=Settings!$C$6,1,IF(Settings!$B$22="USD",1/INDEX(Settings!$B$29:$B$40,MONTH(A4628)),INDEX(Settings!$B$29:$B$40,MONTH(A4628)))))</f>
        <v/>
      </c>
    </row>
    <row r="4629" customFormat="false" ht="15" hidden="false" customHeight="false" outlineLevel="0" collapsed="false">
      <c r="H4629" s="0" t="str">
        <f aca="false">IF(B4629="","",IF(COUNTIF(Campaigns!$A$7:$A$300,B4629)&gt;0,"✓","⚠ add to Campaigns tab"))</f>
        <v/>
      </c>
      <c r="I4629" s="84" t="str">
        <f aca="false">IF(C4629="","",C4629*IF(Settings!$B$22=Settings!$C$6,1,IF(Settings!$B$22="USD",1/INDEX(Settings!$B$29:$B$40,MONTH(A4629)),INDEX(Settings!$B$29:$B$40,MONTH(A4629)))))</f>
        <v/>
      </c>
    </row>
    <row r="4630" customFormat="false" ht="15" hidden="false" customHeight="false" outlineLevel="0" collapsed="false">
      <c r="H4630" s="0" t="str">
        <f aca="false">IF(B4630="","",IF(COUNTIF(Campaigns!$A$7:$A$300,B4630)&gt;0,"✓","⚠ add to Campaigns tab"))</f>
        <v/>
      </c>
      <c r="I4630" s="84" t="str">
        <f aca="false">IF(C4630="","",C4630*IF(Settings!$B$22=Settings!$C$6,1,IF(Settings!$B$22="USD",1/INDEX(Settings!$B$29:$B$40,MONTH(A4630)),INDEX(Settings!$B$29:$B$40,MONTH(A4630)))))</f>
        <v/>
      </c>
    </row>
    <row r="4631" customFormat="false" ht="15" hidden="false" customHeight="false" outlineLevel="0" collapsed="false">
      <c r="H4631" s="0" t="str">
        <f aca="false">IF(B4631="","",IF(COUNTIF(Campaigns!$A$7:$A$300,B4631)&gt;0,"✓","⚠ add to Campaigns tab"))</f>
        <v/>
      </c>
      <c r="I4631" s="84" t="str">
        <f aca="false">IF(C4631="","",C4631*IF(Settings!$B$22=Settings!$C$6,1,IF(Settings!$B$22="USD",1/INDEX(Settings!$B$29:$B$40,MONTH(A4631)),INDEX(Settings!$B$29:$B$40,MONTH(A4631)))))</f>
        <v/>
      </c>
    </row>
    <row r="4632" customFormat="false" ht="15" hidden="false" customHeight="false" outlineLevel="0" collapsed="false">
      <c r="H4632" s="0" t="str">
        <f aca="false">IF(B4632="","",IF(COUNTIF(Campaigns!$A$7:$A$300,B4632)&gt;0,"✓","⚠ add to Campaigns tab"))</f>
        <v/>
      </c>
      <c r="I4632" s="84" t="str">
        <f aca="false">IF(C4632="","",C4632*IF(Settings!$B$22=Settings!$C$6,1,IF(Settings!$B$22="USD",1/INDEX(Settings!$B$29:$B$40,MONTH(A4632)),INDEX(Settings!$B$29:$B$40,MONTH(A4632)))))</f>
        <v/>
      </c>
    </row>
    <row r="4633" customFormat="false" ht="15" hidden="false" customHeight="false" outlineLevel="0" collapsed="false">
      <c r="H4633" s="0" t="str">
        <f aca="false">IF(B4633="","",IF(COUNTIF(Campaigns!$A$7:$A$300,B4633)&gt;0,"✓","⚠ add to Campaigns tab"))</f>
        <v/>
      </c>
      <c r="I4633" s="84" t="str">
        <f aca="false">IF(C4633="","",C4633*IF(Settings!$B$22=Settings!$C$6,1,IF(Settings!$B$22="USD",1/INDEX(Settings!$B$29:$B$40,MONTH(A4633)),INDEX(Settings!$B$29:$B$40,MONTH(A4633)))))</f>
        <v/>
      </c>
    </row>
    <row r="4634" customFormat="false" ht="15" hidden="false" customHeight="false" outlineLevel="0" collapsed="false">
      <c r="H4634" s="0" t="str">
        <f aca="false">IF(B4634="","",IF(COUNTIF(Campaigns!$A$7:$A$300,B4634)&gt;0,"✓","⚠ add to Campaigns tab"))</f>
        <v/>
      </c>
      <c r="I4634" s="84" t="str">
        <f aca="false">IF(C4634="","",C4634*IF(Settings!$B$22=Settings!$C$6,1,IF(Settings!$B$22="USD",1/INDEX(Settings!$B$29:$B$40,MONTH(A4634)),INDEX(Settings!$B$29:$B$40,MONTH(A4634)))))</f>
        <v/>
      </c>
    </row>
    <row r="4635" customFormat="false" ht="15" hidden="false" customHeight="false" outlineLevel="0" collapsed="false">
      <c r="H4635" s="0" t="str">
        <f aca="false">IF(B4635="","",IF(COUNTIF(Campaigns!$A$7:$A$300,B4635)&gt;0,"✓","⚠ add to Campaigns tab"))</f>
        <v/>
      </c>
      <c r="I4635" s="84" t="str">
        <f aca="false">IF(C4635="","",C4635*IF(Settings!$B$22=Settings!$C$6,1,IF(Settings!$B$22="USD",1/INDEX(Settings!$B$29:$B$40,MONTH(A4635)),INDEX(Settings!$B$29:$B$40,MONTH(A4635)))))</f>
        <v/>
      </c>
    </row>
    <row r="4636" customFormat="false" ht="15" hidden="false" customHeight="false" outlineLevel="0" collapsed="false">
      <c r="H4636" s="0" t="str">
        <f aca="false">IF(B4636="","",IF(COUNTIF(Campaigns!$A$7:$A$300,B4636)&gt;0,"✓","⚠ add to Campaigns tab"))</f>
        <v/>
      </c>
      <c r="I4636" s="84" t="str">
        <f aca="false">IF(C4636="","",C4636*IF(Settings!$B$22=Settings!$C$6,1,IF(Settings!$B$22="USD",1/INDEX(Settings!$B$29:$B$40,MONTH(A4636)),INDEX(Settings!$B$29:$B$40,MONTH(A4636)))))</f>
        <v/>
      </c>
    </row>
    <row r="4637" customFormat="false" ht="15" hidden="false" customHeight="false" outlineLevel="0" collapsed="false">
      <c r="H4637" s="0" t="str">
        <f aca="false">IF(B4637="","",IF(COUNTIF(Campaigns!$A$7:$A$300,B4637)&gt;0,"✓","⚠ add to Campaigns tab"))</f>
        <v/>
      </c>
      <c r="I4637" s="84" t="str">
        <f aca="false">IF(C4637="","",C4637*IF(Settings!$B$22=Settings!$C$6,1,IF(Settings!$B$22="USD",1/INDEX(Settings!$B$29:$B$40,MONTH(A4637)),INDEX(Settings!$B$29:$B$40,MONTH(A4637)))))</f>
        <v/>
      </c>
    </row>
    <row r="4638" customFormat="false" ht="15" hidden="false" customHeight="false" outlineLevel="0" collapsed="false">
      <c r="H4638" s="0" t="str">
        <f aca="false">IF(B4638="","",IF(COUNTIF(Campaigns!$A$7:$A$300,B4638)&gt;0,"✓","⚠ add to Campaigns tab"))</f>
        <v/>
      </c>
      <c r="I4638" s="84" t="str">
        <f aca="false">IF(C4638="","",C4638*IF(Settings!$B$22=Settings!$C$6,1,IF(Settings!$B$22="USD",1/INDEX(Settings!$B$29:$B$40,MONTH(A4638)),INDEX(Settings!$B$29:$B$40,MONTH(A4638)))))</f>
        <v/>
      </c>
    </row>
    <row r="4639" customFormat="false" ht="15" hidden="false" customHeight="false" outlineLevel="0" collapsed="false">
      <c r="H4639" s="0" t="str">
        <f aca="false">IF(B4639="","",IF(COUNTIF(Campaigns!$A$7:$A$300,B4639)&gt;0,"✓","⚠ add to Campaigns tab"))</f>
        <v/>
      </c>
      <c r="I4639" s="84" t="str">
        <f aca="false">IF(C4639="","",C4639*IF(Settings!$B$22=Settings!$C$6,1,IF(Settings!$B$22="USD",1/INDEX(Settings!$B$29:$B$40,MONTH(A4639)),INDEX(Settings!$B$29:$B$40,MONTH(A4639)))))</f>
        <v/>
      </c>
    </row>
    <row r="4640" customFormat="false" ht="15" hidden="false" customHeight="false" outlineLevel="0" collapsed="false">
      <c r="H4640" s="0" t="str">
        <f aca="false">IF(B4640="","",IF(COUNTIF(Campaigns!$A$7:$A$300,B4640)&gt;0,"✓","⚠ add to Campaigns tab"))</f>
        <v/>
      </c>
      <c r="I4640" s="84" t="str">
        <f aca="false">IF(C4640="","",C4640*IF(Settings!$B$22=Settings!$C$6,1,IF(Settings!$B$22="USD",1/INDEX(Settings!$B$29:$B$40,MONTH(A4640)),INDEX(Settings!$B$29:$B$40,MONTH(A4640)))))</f>
        <v/>
      </c>
    </row>
    <row r="4641" customFormat="false" ht="15" hidden="false" customHeight="false" outlineLevel="0" collapsed="false">
      <c r="H4641" s="0" t="str">
        <f aca="false">IF(B4641="","",IF(COUNTIF(Campaigns!$A$7:$A$300,B4641)&gt;0,"✓","⚠ add to Campaigns tab"))</f>
        <v/>
      </c>
      <c r="I4641" s="84" t="str">
        <f aca="false">IF(C4641="","",C4641*IF(Settings!$B$22=Settings!$C$6,1,IF(Settings!$B$22="USD",1/INDEX(Settings!$B$29:$B$40,MONTH(A4641)),INDEX(Settings!$B$29:$B$40,MONTH(A4641)))))</f>
        <v/>
      </c>
    </row>
    <row r="4642" customFormat="false" ht="15" hidden="false" customHeight="false" outlineLevel="0" collapsed="false">
      <c r="H4642" s="0" t="str">
        <f aca="false">IF(B4642="","",IF(COUNTIF(Campaigns!$A$7:$A$300,B4642)&gt;0,"✓","⚠ add to Campaigns tab"))</f>
        <v/>
      </c>
      <c r="I4642" s="84" t="str">
        <f aca="false">IF(C4642="","",C4642*IF(Settings!$B$22=Settings!$C$6,1,IF(Settings!$B$22="USD",1/INDEX(Settings!$B$29:$B$40,MONTH(A4642)),INDEX(Settings!$B$29:$B$40,MONTH(A4642)))))</f>
        <v/>
      </c>
    </row>
    <row r="4643" customFormat="false" ht="15" hidden="false" customHeight="false" outlineLevel="0" collapsed="false">
      <c r="H4643" s="0" t="str">
        <f aca="false">IF(B4643="","",IF(COUNTIF(Campaigns!$A$7:$A$300,B4643)&gt;0,"✓","⚠ add to Campaigns tab"))</f>
        <v/>
      </c>
      <c r="I4643" s="84" t="str">
        <f aca="false">IF(C4643="","",C4643*IF(Settings!$B$22=Settings!$C$6,1,IF(Settings!$B$22="USD",1/INDEX(Settings!$B$29:$B$40,MONTH(A4643)),INDEX(Settings!$B$29:$B$40,MONTH(A4643)))))</f>
        <v/>
      </c>
    </row>
    <row r="4644" customFormat="false" ht="15" hidden="false" customHeight="false" outlineLevel="0" collapsed="false">
      <c r="H4644" s="0" t="str">
        <f aca="false">IF(B4644="","",IF(COUNTIF(Campaigns!$A$7:$A$300,B4644)&gt;0,"✓","⚠ add to Campaigns tab"))</f>
        <v/>
      </c>
      <c r="I4644" s="84" t="str">
        <f aca="false">IF(C4644="","",C4644*IF(Settings!$B$22=Settings!$C$6,1,IF(Settings!$B$22="USD",1/INDEX(Settings!$B$29:$B$40,MONTH(A4644)),INDEX(Settings!$B$29:$B$40,MONTH(A4644)))))</f>
        <v/>
      </c>
    </row>
    <row r="4645" customFormat="false" ht="15" hidden="false" customHeight="false" outlineLevel="0" collapsed="false">
      <c r="H4645" s="0" t="str">
        <f aca="false">IF(B4645="","",IF(COUNTIF(Campaigns!$A$7:$A$300,B4645)&gt;0,"✓","⚠ add to Campaigns tab"))</f>
        <v/>
      </c>
      <c r="I4645" s="84" t="str">
        <f aca="false">IF(C4645="","",C4645*IF(Settings!$B$22=Settings!$C$6,1,IF(Settings!$B$22="USD",1/INDEX(Settings!$B$29:$B$40,MONTH(A4645)),INDEX(Settings!$B$29:$B$40,MONTH(A4645)))))</f>
        <v/>
      </c>
    </row>
    <row r="4646" customFormat="false" ht="15" hidden="false" customHeight="false" outlineLevel="0" collapsed="false">
      <c r="H4646" s="0" t="str">
        <f aca="false">IF(B4646="","",IF(COUNTIF(Campaigns!$A$7:$A$300,B4646)&gt;0,"✓","⚠ add to Campaigns tab"))</f>
        <v/>
      </c>
      <c r="I4646" s="84" t="str">
        <f aca="false">IF(C4646="","",C4646*IF(Settings!$B$22=Settings!$C$6,1,IF(Settings!$B$22="USD",1/INDEX(Settings!$B$29:$B$40,MONTH(A4646)),INDEX(Settings!$B$29:$B$40,MONTH(A4646)))))</f>
        <v/>
      </c>
    </row>
    <row r="4647" customFormat="false" ht="15" hidden="false" customHeight="false" outlineLevel="0" collapsed="false">
      <c r="H4647" s="0" t="str">
        <f aca="false">IF(B4647="","",IF(COUNTIF(Campaigns!$A$7:$A$300,B4647)&gt;0,"✓","⚠ add to Campaigns tab"))</f>
        <v/>
      </c>
      <c r="I4647" s="84" t="str">
        <f aca="false">IF(C4647="","",C4647*IF(Settings!$B$22=Settings!$C$6,1,IF(Settings!$B$22="USD",1/INDEX(Settings!$B$29:$B$40,MONTH(A4647)),INDEX(Settings!$B$29:$B$40,MONTH(A4647)))))</f>
        <v/>
      </c>
    </row>
    <row r="4648" customFormat="false" ht="15" hidden="false" customHeight="false" outlineLevel="0" collapsed="false">
      <c r="H4648" s="0" t="str">
        <f aca="false">IF(B4648="","",IF(COUNTIF(Campaigns!$A$7:$A$300,B4648)&gt;0,"✓","⚠ add to Campaigns tab"))</f>
        <v/>
      </c>
      <c r="I4648" s="84" t="str">
        <f aca="false">IF(C4648="","",C4648*IF(Settings!$B$22=Settings!$C$6,1,IF(Settings!$B$22="USD",1/INDEX(Settings!$B$29:$B$40,MONTH(A4648)),INDEX(Settings!$B$29:$B$40,MONTH(A4648)))))</f>
        <v/>
      </c>
    </row>
    <row r="4649" customFormat="false" ht="15" hidden="false" customHeight="false" outlineLevel="0" collapsed="false">
      <c r="H4649" s="0" t="str">
        <f aca="false">IF(B4649="","",IF(COUNTIF(Campaigns!$A$7:$A$300,B4649)&gt;0,"✓","⚠ add to Campaigns tab"))</f>
        <v/>
      </c>
      <c r="I4649" s="84" t="str">
        <f aca="false">IF(C4649="","",C4649*IF(Settings!$B$22=Settings!$C$6,1,IF(Settings!$B$22="USD",1/INDEX(Settings!$B$29:$B$40,MONTH(A4649)),INDEX(Settings!$B$29:$B$40,MONTH(A4649)))))</f>
        <v/>
      </c>
    </row>
    <row r="4650" customFormat="false" ht="15" hidden="false" customHeight="false" outlineLevel="0" collapsed="false">
      <c r="H4650" s="0" t="str">
        <f aca="false">IF(B4650="","",IF(COUNTIF(Campaigns!$A$7:$A$300,B4650)&gt;0,"✓","⚠ add to Campaigns tab"))</f>
        <v/>
      </c>
      <c r="I4650" s="84" t="str">
        <f aca="false">IF(C4650="","",C4650*IF(Settings!$B$22=Settings!$C$6,1,IF(Settings!$B$22="USD",1/INDEX(Settings!$B$29:$B$40,MONTH(A4650)),INDEX(Settings!$B$29:$B$40,MONTH(A4650)))))</f>
        <v/>
      </c>
    </row>
    <row r="4651" customFormat="false" ht="15" hidden="false" customHeight="false" outlineLevel="0" collapsed="false">
      <c r="H4651" s="0" t="str">
        <f aca="false">IF(B4651="","",IF(COUNTIF(Campaigns!$A$7:$A$300,B4651)&gt;0,"✓","⚠ add to Campaigns tab"))</f>
        <v/>
      </c>
      <c r="I4651" s="84" t="str">
        <f aca="false">IF(C4651="","",C4651*IF(Settings!$B$22=Settings!$C$6,1,IF(Settings!$B$22="USD",1/INDEX(Settings!$B$29:$B$40,MONTH(A4651)),INDEX(Settings!$B$29:$B$40,MONTH(A4651)))))</f>
        <v/>
      </c>
    </row>
    <row r="4652" customFormat="false" ht="15" hidden="false" customHeight="false" outlineLevel="0" collapsed="false">
      <c r="H4652" s="0" t="str">
        <f aca="false">IF(B4652="","",IF(COUNTIF(Campaigns!$A$7:$A$300,B4652)&gt;0,"✓","⚠ add to Campaigns tab"))</f>
        <v/>
      </c>
      <c r="I4652" s="84" t="str">
        <f aca="false">IF(C4652="","",C4652*IF(Settings!$B$22=Settings!$C$6,1,IF(Settings!$B$22="USD",1/INDEX(Settings!$B$29:$B$40,MONTH(A4652)),INDEX(Settings!$B$29:$B$40,MONTH(A4652)))))</f>
        <v/>
      </c>
    </row>
    <row r="4653" customFormat="false" ht="15" hidden="false" customHeight="false" outlineLevel="0" collapsed="false">
      <c r="H4653" s="0" t="str">
        <f aca="false">IF(B4653="","",IF(COUNTIF(Campaigns!$A$7:$A$300,B4653)&gt;0,"✓","⚠ add to Campaigns tab"))</f>
        <v/>
      </c>
      <c r="I4653" s="84" t="str">
        <f aca="false">IF(C4653="","",C4653*IF(Settings!$B$22=Settings!$C$6,1,IF(Settings!$B$22="USD",1/INDEX(Settings!$B$29:$B$40,MONTH(A4653)),INDEX(Settings!$B$29:$B$40,MONTH(A4653)))))</f>
        <v/>
      </c>
    </row>
    <row r="4654" customFormat="false" ht="15" hidden="false" customHeight="false" outlineLevel="0" collapsed="false">
      <c r="H4654" s="0" t="str">
        <f aca="false">IF(B4654="","",IF(COUNTIF(Campaigns!$A$7:$A$300,B4654)&gt;0,"✓","⚠ add to Campaigns tab"))</f>
        <v/>
      </c>
      <c r="I4654" s="84" t="str">
        <f aca="false">IF(C4654="","",C4654*IF(Settings!$B$22=Settings!$C$6,1,IF(Settings!$B$22="USD",1/INDEX(Settings!$B$29:$B$40,MONTH(A4654)),INDEX(Settings!$B$29:$B$40,MONTH(A4654)))))</f>
        <v/>
      </c>
    </row>
    <row r="4655" customFormat="false" ht="15" hidden="false" customHeight="false" outlineLevel="0" collapsed="false">
      <c r="H4655" s="0" t="str">
        <f aca="false">IF(B4655="","",IF(COUNTIF(Campaigns!$A$7:$A$300,B4655)&gt;0,"✓","⚠ add to Campaigns tab"))</f>
        <v/>
      </c>
      <c r="I4655" s="84" t="str">
        <f aca="false">IF(C4655="","",C4655*IF(Settings!$B$22=Settings!$C$6,1,IF(Settings!$B$22="USD",1/INDEX(Settings!$B$29:$B$40,MONTH(A4655)),INDEX(Settings!$B$29:$B$40,MONTH(A4655)))))</f>
        <v/>
      </c>
    </row>
    <row r="4656" customFormat="false" ht="15" hidden="false" customHeight="false" outlineLevel="0" collapsed="false">
      <c r="H4656" s="0" t="str">
        <f aca="false">IF(B4656="","",IF(COUNTIF(Campaigns!$A$7:$A$300,B4656)&gt;0,"✓","⚠ add to Campaigns tab"))</f>
        <v/>
      </c>
      <c r="I4656" s="84" t="str">
        <f aca="false">IF(C4656="","",C4656*IF(Settings!$B$22=Settings!$C$6,1,IF(Settings!$B$22="USD",1/INDEX(Settings!$B$29:$B$40,MONTH(A4656)),INDEX(Settings!$B$29:$B$40,MONTH(A4656)))))</f>
        <v/>
      </c>
    </row>
    <row r="4657" customFormat="false" ht="15" hidden="false" customHeight="false" outlineLevel="0" collapsed="false">
      <c r="H4657" s="0" t="str">
        <f aca="false">IF(B4657="","",IF(COUNTIF(Campaigns!$A$7:$A$300,B4657)&gt;0,"✓","⚠ add to Campaigns tab"))</f>
        <v/>
      </c>
      <c r="I4657" s="84" t="str">
        <f aca="false">IF(C4657="","",C4657*IF(Settings!$B$22=Settings!$C$6,1,IF(Settings!$B$22="USD",1/INDEX(Settings!$B$29:$B$40,MONTH(A4657)),INDEX(Settings!$B$29:$B$40,MONTH(A4657)))))</f>
        <v/>
      </c>
    </row>
    <row r="4658" customFormat="false" ht="15" hidden="false" customHeight="false" outlineLevel="0" collapsed="false">
      <c r="H4658" s="0" t="str">
        <f aca="false">IF(B4658="","",IF(COUNTIF(Campaigns!$A$7:$A$300,B4658)&gt;0,"✓","⚠ add to Campaigns tab"))</f>
        <v/>
      </c>
      <c r="I4658" s="84" t="str">
        <f aca="false">IF(C4658="","",C4658*IF(Settings!$B$22=Settings!$C$6,1,IF(Settings!$B$22="USD",1/INDEX(Settings!$B$29:$B$40,MONTH(A4658)),INDEX(Settings!$B$29:$B$40,MONTH(A4658)))))</f>
        <v/>
      </c>
    </row>
    <row r="4659" customFormat="false" ht="15" hidden="false" customHeight="false" outlineLevel="0" collapsed="false">
      <c r="H4659" s="0" t="str">
        <f aca="false">IF(B4659="","",IF(COUNTIF(Campaigns!$A$7:$A$300,B4659)&gt;0,"✓","⚠ add to Campaigns tab"))</f>
        <v/>
      </c>
      <c r="I4659" s="84" t="str">
        <f aca="false">IF(C4659="","",C4659*IF(Settings!$B$22=Settings!$C$6,1,IF(Settings!$B$22="USD",1/INDEX(Settings!$B$29:$B$40,MONTH(A4659)),INDEX(Settings!$B$29:$B$40,MONTH(A4659)))))</f>
        <v/>
      </c>
    </row>
    <row r="4660" customFormat="false" ht="15" hidden="false" customHeight="false" outlineLevel="0" collapsed="false">
      <c r="H4660" s="0" t="str">
        <f aca="false">IF(B4660="","",IF(COUNTIF(Campaigns!$A$7:$A$300,B4660)&gt;0,"✓","⚠ add to Campaigns tab"))</f>
        <v/>
      </c>
      <c r="I4660" s="84" t="str">
        <f aca="false">IF(C4660="","",C4660*IF(Settings!$B$22=Settings!$C$6,1,IF(Settings!$B$22="USD",1/INDEX(Settings!$B$29:$B$40,MONTH(A4660)),INDEX(Settings!$B$29:$B$40,MONTH(A4660)))))</f>
        <v/>
      </c>
    </row>
    <row r="4661" customFormat="false" ht="15" hidden="false" customHeight="false" outlineLevel="0" collapsed="false">
      <c r="H4661" s="0" t="str">
        <f aca="false">IF(B4661="","",IF(COUNTIF(Campaigns!$A$7:$A$300,B4661)&gt;0,"✓","⚠ add to Campaigns tab"))</f>
        <v/>
      </c>
      <c r="I4661" s="84" t="str">
        <f aca="false">IF(C4661="","",C4661*IF(Settings!$B$22=Settings!$C$6,1,IF(Settings!$B$22="USD",1/INDEX(Settings!$B$29:$B$40,MONTH(A4661)),INDEX(Settings!$B$29:$B$40,MONTH(A4661)))))</f>
        <v/>
      </c>
    </row>
    <row r="4662" customFormat="false" ht="15" hidden="false" customHeight="false" outlineLevel="0" collapsed="false">
      <c r="H4662" s="0" t="str">
        <f aca="false">IF(B4662="","",IF(COUNTIF(Campaigns!$A$7:$A$300,B4662)&gt;0,"✓","⚠ add to Campaigns tab"))</f>
        <v/>
      </c>
      <c r="I4662" s="84" t="str">
        <f aca="false">IF(C4662="","",C4662*IF(Settings!$B$22=Settings!$C$6,1,IF(Settings!$B$22="USD",1/INDEX(Settings!$B$29:$B$40,MONTH(A4662)),INDEX(Settings!$B$29:$B$40,MONTH(A4662)))))</f>
        <v/>
      </c>
    </row>
    <row r="4663" customFormat="false" ht="15" hidden="false" customHeight="false" outlineLevel="0" collapsed="false">
      <c r="H4663" s="0" t="str">
        <f aca="false">IF(B4663="","",IF(COUNTIF(Campaigns!$A$7:$A$300,B4663)&gt;0,"✓","⚠ add to Campaigns tab"))</f>
        <v/>
      </c>
      <c r="I4663" s="84" t="str">
        <f aca="false">IF(C4663="","",C4663*IF(Settings!$B$22=Settings!$C$6,1,IF(Settings!$B$22="USD",1/INDEX(Settings!$B$29:$B$40,MONTH(A4663)),INDEX(Settings!$B$29:$B$40,MONTH(A4663)))))</f>
        <v/>
      </c>
    </row>
    <row r="4664" customFormat="false" ht="15" hidden="false" customHeight="false" outlineLevel="0" collapsed="false">
      <c r="H4664" s="0" t="str">
        <f aca="false">IF(B4664="","",IF(COUNTIF(Campaigns!$A$7:$A$300,B4664)&gt;0,"✓","⚠ add to Campaigns tab"))</f>
        <v/>
      </c>
      <c r="I4664" s="84" t="str">
        <f aca="false">IF(C4664="","",C4664*IF(Settings!$B$22=Settings!$C$6,1,IF(Settings!$B$22="USD",1/INDEX(Settings!$B$29:$B$40,MONTH(A4664)),INDEX(Settings!$B$29:$B$40,MONTH(A4664)))))</f>
        <v/>
      </c>
    </row>
    <row r="4665" customFormat="false" ht="15" hidden="false" customHeight="false" outlineLevel="0" collapsed="false">
      <c r="H4665" s="0" t="str">
        <f aca="false">IF(B4665="","",IF(COUNTIF(Campaigns!$A$7:$A$300,B4665)&gt;0,"✓","⚠ add to Campaigns tab"))</f>
        <v/>
      </c>
      <c r="I4665" s="84" t="str">
        <f aca="false">IF(C4665="","",C4665*IF(Settings!$B$22=Settings!$C$6,1,IF(Settings!$B$22="USD",1/INDEX(Settings!$B$29:$B$40,MONTH(A4665)),INDEX(Settings!$B$29:$B$40,MONTH(A4665)))))</f>
        <v/>
      </c>
    </row>
    <row r="4666" customFormat="false" ht="15" hidden="false" customHeight="false" outlineLevel="0" collapsed="false">
      <c r="H4666" s="0" t="str">
        <f aca="false">IF(B4666="","",IF(COUNTIF(Campaigns!$A$7:$A$300,B4666)&gt;0,"✓","⚠ add to Campaigns tab"))</f>
        <v/>
      </c>
      <c r="I4666" s="84" t="str">
        <f aca="false">IF(C4666="","",C4666*IF(Settings!$B$22=Settings!$C$6,1,IF(Settings!$B$22="USD",1/INDEX(Settings!$B$29:$B$40,MONTH(A4666)),INDEX(Settings!$B$29:$B$40,MONTH(A4666)))))</f>
        <v/>
      </c>
    </row>
    <row r="4667" customFormat="false" ht="15" hidden="false" customHeight="false" outlineLevel="0" collapsed="false">
      <c r="H4667" s="0" t="str">
        <f aca="false">IF(B4667="","",IF(COUNTIF(Campaigns!$A$7:$A$300,B4667)&gt;0,"✓","⚠ add to Campaigns tab"))</f>
        <v/>
      </c>
      <c r="I4667" s="84" t="str">
        <f aca="false">IF(C4667="","",C4667*IF(Settings!$B$22=Settings!$C$6,1,IF(Settings!$B$22="USD",1/INDEX(Settings!$B$29:$B$40,MONTH(A4667)),INDEX(Settings!$B$29:$B$40,MONTH(A4667)))))</f>
        <v/>
      </c>
    </row>
    <row r="4668" customFormat="false" ht="15" hidden="false" customHeight="false" outlineLevel="0" collapsed="false">
      <c r="H4668" s="0" t="str">
        <f aca="false">IF(B4668="","",IF(COUNTIF(Campaigns!$A$7:$A$300,B4668)&gt;0,"✓","⚠ add to Campaigns tab"))</f>
        <v/>
      </c>
      <c r="I4668" s="84" t="str">
        <f aca="false">IF(C4668="","",C4668*IF(Settings!$B$22=Settings!$C$6,1,IF(Settings!$B$22="USD",1/INDEX(Settings!$B$29:$B$40,MONTH(A4668)),INDEX(Settings!$B$29:$B$40,MONTH(A4668)))))</f>
        <v/>
      </c>
    </row>
    <row r="4669" customFormat="false" ht="15" hidden="false" customHeight="false" outlineLevel="0" collapsed="false">
      <c r="H4669" s="0" t="str">
        <f aca="false">IF(B4669="","",IF(COUNTIF(Campaigns!$A$7:$A$300,B4669)&gt;0,"✓","⚠ add to Campaigns tab"))</f>
        <v/>
      </c>
      <c r="I4669" s="84" t="str">
        <f aca="false">IF(C4669="","",C4669*IF(Settings!$B$22=Settings!$C$6,1,IF(Settings!$B$22="USD",1/INDEX(Settings!$B$29:$B$40,MONTH(A4669)),INDEX(Settings!$B$29:$B$40,MONTH(A4669)))))</f>
        <v/>
      </c>
    </row>
    <row r="4670" customFormat="false" ht="15" hidden="false" customHeight="false" outlineLevel="0" collapsed="false">
      <c r="H4670" s="0" t="str">
        <f aca="false">IF(B4670="","",IF(COUNTIF(Campaigns!$A$7:$A$300,B4670)&gt;0,"✓","⚠ add to Campaigns tab"))</f>
        <v/>
      </c>
      <c r="I4670" s="84" t="str">
        <f aca="false">IF(C4670="","",C4670*IF(Settings!$B$22=Settings!$C$6,1,IF(Settings!$B$22="USD",1/INDEX(Settings!$B$29:$B$40,MONTH(A4670)),INDEX(Settings!$B$29:$B$40,MONTH(A4670)))))</f>
        <v/>
      </c>
    </row>
    <row r="4671" customFormat="false" ht="15" hidden="false" customHeight="false" outlineLevel="0" collapsed="false">
      <c r="H4671" s="0" t="str">
        <f aca="false">IF(B4671="","",IF(COUNTIF(Campaigns!$A$7:$A$300,B4671)&gt;0,"✓","⚠ add to Campaigns tab"))</f>
        <v/>
      </c>
      <c r="I4671" s="84" t="str">
        <f aca="false">IF(C4671="","",C4671*IF(Settings!$B$22=Settings!$C$6,1,IF(Settings!$B$22="USD",1/INDEX(Settings!$B$29:$B$40,MONTH(A4671)),INDEX(Settings!$B$29:$B$40,MONTH(A4671)))))</f>
        <v/>
      </c>
    </row>
    <row r="4672" customFormat="false" ht="15" hidden="false" customHeight="false" outlineLevel="0" collapsed="false">
      <c r="H4672" s="0" t="str">
        <f aca="false">IF(B4672="","",IF(COUNTIF(Campaigns!$A$7:$A$300,B4672)&gt;0,"✓","⚠ add to Campaigns tab"))</f>
        <v/>
      </c>
      <c r="I4672" s="84" t="str">
        <f aca="false">IF(C4672="","",C4672*IF(Settings!$B$22=Settings!$C$6,1,IF(Settings!$B$22="USD",1/INDEX(Settings!$B$29:$B$40,MONTH(A4672)),INDEX(Settings!$B$29:$B$40,MONTH(A4672)))))</f>
        <v/>
      </c>
    </row>
    <row r="4673" customFormat="false" ht="15" hidden="false" customHeight="false" outlineLevel="0" collapsed="false">
      <c r="H4673" s="0" t="str">
        <f aca="false">IF(B4673="","",IF(COUNTIF(Campaigns!$A$7:$A$300,B4673)&gt;0,"✓","⚠ add to Campaigns tab"))</f>
        <v/>
      </c>
      <c r="I4673" s="84" t="str">
        <f aca="false">IF(C4673="","",C4673*IF(Settings!$B$22=Settings!$C$6,1,IF(Settings!$B$22="USD",1/INDEX(Settings!$B$29:$B$40,MONTH(A4673)),INDEX(Settings!$B$29:$B$40,MONTH(A4673)))))</f>
        <v/>
      </c>
    </row>
    <row r="4674" customFormat="false" ht="15" hidden="false" customHeight="false" outlineLevel="0" collapsed="false">
      <c r="H4674" s="0" t="str">
        <f aca="false">IF(B4674="","",IF(COUNTIF(Campaigns!$A$7:$A$300,B4674)&gt;0,"✓","⚠ add to Campaigns tab"))</f>
        <v/>
      </c>
      <c r="I4674" s="84" t="str">
        <f aca="false">IF(C4674="","",C4674*IF(Settings!$B$22=Settings!$C$6,1,IF(Settings!$B$22="USD",1/INDEX(Settings!$B$29:$B$40,MONTH(A4674)),INDEX(Settings!$B$29:$B$40,MONTH(A4674)))))</f>
        <v/>
      </c>
    </row>
    <row r="4675" customFormat="false" ht="15" hidden="false" customHeight="false" outlineLevel="0" collapsed="false">
      <c r="H4675" s="0" t="str">
        <f aca="false">IF(B4675="","",IF(COUNTIF(Campaigns!$A$7:$A$300,B4675)&gt;0,"✓","⚠ add to Campaigns tab"))</f>
        <v/>
      </c>
      <c r="I4675" s="84" t="str">
        <f aca="false">IF(C4675="","",C4675*IF(Settings!$B$22=Settings!$C$6,1,IF(Settings!$B$22="USD",1/INDEX(Settings!$B$29:$B$40,MONTH(A4675)),INDEX(Settings!$B$29:$B$40,MONTH(A4675)))))</f>
        <v/>
      </c>
    </row>
    <row r="4676" customFormat="false" ht="15" hidden="false" customHeight="false" outlineLevel="0" collapsed="false">
      <c r="H4676" s="0" t="str">
        <f aca="false">IF(B4676="","",IF(COUNTIF(Campaigns!$A$7:$A$300,B4676)&gt;0,"✓","⚠ add to Campaigns tab"))</f>
        <v/>
      </c>
      <c r="I4676" s="84" t="str">
        <f aca="false">IF(C4676="","",C4676*IF(Settings!$B$22=Settings!$C$6,1,IF(Settings!$B$22="USD",1/INDEX(Settings!$B$29:$B$40,MONTH(A4676)),INDEX(Settings!$B$29:$B$40,MONTH(A4676)))))</f>
        <v/>
      </c>
    </row>
    <row r="4677" customFormat="false" ht="15" hidden="false" customHeight="false" outlineLevel="0" collapsed="false">
      <c r="H4677" s="0" t="str">
        <f aca="false">IF(B4677="","",IF(COUNTIF(Campaigns!$A$7:$A$300,B4677)&gt;0,"✓","⚠ add to Campaigns tab"))</f>
        <v/>
      </c>
      <c r="I4677" s="84" t="str">
        <f aca="false">IF(C4677="","",C4677*IF(Settings!$B$22=Settings!$C$6,1,IF(Settings!$B$22="USD",1/INDEX(Settings!$B$29:$B$40,MONTH(A4677)),INDEX(Settings!$B$29:$B$40,MONTH(A4677)))))</f>
        <v/>
      </c>
    </row>
    <row r="4678" customFormat="false" ht="15" hidden="false" customHeight="false" outlineLevel="0" collapsed="false">
      <c r="H4678" s="0" t="str">
        <f aca="false">IF(B4678="","",IF(COUNTIF(Campaigns!$A$7:$A$300,B4678)&gt;0,"✓","⚠ add to Campaigns tab"))</f>
        <v/>
      </c>
      <c r="I4678" s="84" t="str">
        <f aca="false">IF(C4678="","",C4678*IF(Settings!$B$22=Settings!$C$6,1,IF(Settings!$B$22="USD",1/INDEX(Settings!$B$29:$B$40,MONTH(A4678)),INDEX(Settings!$B$29:$B$40,MONTH(A4678)))))</f>
        <v/>
      </c>
    </row>
    <row r="4679" customFormat="false" ht="15" hidden="false" customHeight="false" outlineLevel="0" collapsed="false">
      <c r="H4679" s="0" t="str">
        <f aca="false">IF(B4679="","",IF(COUNTIF(Campaigns!$A$7:$A$300,B4679)&gt;0,"✓","⚠ add to Campaigns tab"))</f>
        <v/>
      </c>
      <c r="I4679" s="84" t="str">
        <f aca="false">IF(C4679="","",C4679*IF(Settings!$B$22=Settings!$C$6,1,IF(Settings!$B$22="USD",1/INDEX(Settings!$B$29:$B$40,MONTH(A4679)),INDEX(Settings!$B$29:$B$40,MONTH(A4679)))))</f>
        <v/>
      </c>
    </row>
    <row r="4680" customFormat="false" ht="15" hidden="false" customHeight="false" outlineLevel="0" collapsed="false">
      <c r="H4680" s="0" t="str">
        <f aca="false">IF(B4680="","",IF(COUNTIF(Campaigns!$A$7:$A$300,B4680)&gt;0,"✓","⚠ add to Campaigns tab"))</f>
        <v/>
      </c>
      <c r="I4680" s="84" t="str">
        <f aca="false">IF(C4680="","",C4680*IF(Settings!$B$22=Settings!$C$6,1,IF(Settings!$B$22="USD",1/INDEX(Settings!$B$29:$B$40,MONTH(A4680)),INDEX(Settings!$B$29:$B$40,MONTH(A4680)))))</f>
        <v/>
      </c>
    </row>
    <row r="4681" customFormat="false" ht="15" hidden="false" customHeight="false" outlineLevel="0" collapsed="false">
      <c r="H4681" s="0" t="str">
        <f aca="false">IF(B4681="","",IF(COUNTIF(Campaigns!$A$7:$A$300,B4681)&gt;0,"✓","⚠ add to Campaigns tab"))</f>
        <v/>
      </c>
      <c r="I4681" s="84" t="str">
        <f aca="false">IF(C4681="","",C4681*IF(Settings!$B$22=Settings!$C$6,1,IF(Settings!$B$22="USD",1/INDEX(Settings!$B$29:$B$40,MONTH(A4681)),INDEX(Settings!$B$29:$B$40,MONTH(A4681)))))</f>
        <v/>
      </c>
    </row>
    <row r="4682" customFormat="false" ht="15" hidden="false" customHeight="false" outlineLevel="0" collapsed="false">
      <c r="H4682" s="0" t="str">
        <f aca="false">IF(B4682="","",IF(COUNTIF(Campaigns!$A$7:$A$300,B4682)&gt;0,"✓","⚠ add to Campaigns tab"))</f>
        <v/>
      </c>
      <c r="I4682" s="84" t="str">
        <f aca="false">IF(C4682="","",C4682*IF(Settings!$B$22=Settings!$C$6,1,IF(Settings!$B$22="USD",1/INDEX(Settings!$B$29:$B$40,MONTH(A4682)),INDEX(Settings!$B$29:$B$40,MONTH(A4682)))))</f>
        <v/>
      </c>
    </row>
    <row r="4683" customFormat="false" ht="15" hidden="false" customHeight="false" outlineLevel="0" collapsed="false">
      <c r="H4683" s="0" t="str">
        <f aca="false">IF(B4683="","",IF(COUNTIF(Campaigns!$A$7:$A$300,B4683)&gt;0,"✓","⚠ add to Campaigns tab"))</f>
        <v/>
      </c>
      <c r="I4683" s="84" t="str">
        <f aca="false">IF(C4683="","",C4683*IF(Settings!$B$22=Settings!$C$6,1,IF(Settings!$B$22="USD",1/INDEX(Settings!$B$29:$B$40,MONTH(A4683)),INDEX(Settings!$B$29:$B$40,MONTH(A4683)))))</f>
        <v/>
      </c>
    </row>
    <row r="4684" customFormat="false" ht="15" hidden="false" customHeight="false" outlineLevel="0" collapsed="false">
      <c r="H4684" s="0" t="str">
        <f aca="false">IF(B4684="","",IF(COUNTIF(Campaigns!$A$7:$A$300,B4684)&gt;0,"✓","⚠ add to Campaigns tab"))</f>
        <v/>
      </c>
      <c r="I4684" s="84" t="str">
        <f aca="false">IF(C4684="","",C4684*IF(Settings!$B$22=Settings!$C$6,1,IF(Settings!$B$22="USD",1/INDEX(Settings!$B$29:$B$40,MONTH(A4684)),INDEX(Settings!$B$29:$B$40,MONTH(A4684)))))</f>
        <v/>
      </c>
    </row>
    <row r="4685" customFormat="false" ht="15" hidden="false" customHeight="false" outlineLevel="0" collapsed="false">
      <c r="H4685" s="0" t="str">
        <f aca="false">IF(B4685="","",IF(COUNTIF(Campaigns!$A$7:$A$300,B4685)&gt;0,"✓","⚠ add to Campaigns tab"))</f>
        <v/>
      </c>
      <c r="I4685" s="84" t="str">
        <f aca="false">IF(C4685="","",C4685*IF(Settings!$B$22=Settings!$C$6,1,IF(Settings!$B$22="USD",1/INDEX(Settings!$B$29:$B$40,MONTH(A4685)),INDEX(Settings!$B$29:$B$40,MONTH(A4685)))))</f>
        <v/>
      </c>
    </row>
    <row r="4686" customFormat="false" ht="15" hidden="false" customHeight="false" outlineLevel="0" collapsed="false">
      <c r="H4686" s="0" t="str">
        <f aca="false">IF(B4686="","",IF(COUNTIF(Campaigns!$A$7:$A$300,B4686)&gt;0,"✓","⚠ add to Campaigns tab"))</f>
        <v/>
      </c>
      <c r="I4686" s="84" t="str">
        <f aca="false">IF(C4686="","",C4686*IF(Settings!$B$22=Settings!$C$6,1,IF(Settings!$B$22="USD",1/INDEX(Settings!$B$29:$B$40,MONTH(A4686)),INDEX(Settings!$B$29:$B$40,MONTH(A4686)))))</f>
        <v/>
      </c>
    </row>
    <row r="4687" customFormat="false" ht="15" hidden="false" customHeight="false" outlineLevel="0" collapsed="false">
      <c r="H4687" s="0" t="str">
        <f aca="false">IF(B4687="","",IF(COUNTIF(Campaigns!$A$7:$A$300,B4687)&gt;0,"✓","⚠ add to Campaigns tab"))</f>
        <v/>
      </c>
      <c r="I4687" s="84" t="str">
        <f aca="false">IF(C4687="","",C4687*IF(Settings!$B$22=Settings!$C$6,1,IF(Settings!$B$22="USD",1/INDEX(Settings!$B$29:$B$40,MONTH(A4687)),INDEX(Settings!$B$29:$B$40,MONTH(A4687)))))</f>
        <v/>
      </c>
    </row>
    <row r="4688" customFormat="false" ht="15" hidden="false" customHeight="false" outlineLevel="0" collapsed="false">
      <c r="H4688" s="0" t="str">
        <f aca="false">IF(B4688="","",IF(COUNTIF(Campaigns!$A$7:$A$300,B4688)&gt;0,"✓","⚠ add to Campaigns tab"))</f>
        <v/>
      </c>
      <c r="I4688" s="84" t="str">
        <f aca="false">IF(C4688="","",C4688*IF(Settings!$B$22=Settings!$C$6,1,IF(Settings!$B$22="USD",1/INDEX(Settings!$B$29:$B$40,MONTH(A4688)),INDEX(Settings!$B$29:$B$40,MONTH(A4688)))))</f>
        <v/>
      </c>
    </row>
    <row r="4689" customFormat="false" ht="15" hidden="false" customHeight="false" outlineLevel="0" collapsed="false">
      <c r="H4689" s="0" t="str">
        <f aca="false">IF(B4689="","",IF(COUNTIF(Campaigns!$A$7:$A$300,B4689)&gt;0,"✓","⚠ add to Campaigns tab"))</f>
        <v/>
      </c>
      <c r="I4689" s="84" t="str">
        <f aca="false">IF(C4689="","",C4689*IF(Settings!$B$22=Settings!$C$6,1,IF(Settings!$B$22="USD",1/INDEX(Settings!$B$29:$B$40,MONTH(A4689)),INDEX(Settings!$B$29:$B$40,MONTH(A4689)))))</f>
        <v/>
      </c>
    </row>
    <row r="4690" customFormat="false" ht="15" hidden="false" customHeight="false" outlineLevel="0" collapsed="false">
      <c r="H4690" s="0" t="str">
        <f aca="false">IF(B4690="","",IF(COUNTIF(Campaigns!$A$7:$A$300,B4690)&gt;0,"✓","⚠ add to Campaigns tab"))</f>
        <v/>
      </c>
      <c r="I4690" s="84" t="str">
        <f aca="false">IF(C4690="","",C4690*IF(Settings!$B$22=Settings!$C$6,1,IF(Settings!$B$22="USD",1/INDEX(Settings!$B$29:$B$40,MONTH(A4690)),INDEX(Settings!$B$29:$B$40,MONTH(A4690)))))</f>
        <v/>
      </c>
    </row>
    <row r="4691" customFormat="false" ht="15" hidden="false" customHeight="false" outlineLevel="0" collapsed="false">
      <c r="H4691" s="0" t="str">
        <f aca="false">IF(B4691="","",IF(COUNTIF(Campaigns!$A$7:$A$300,B4691)&gt;0,"✓","⚠ add to Campaigns tab"))</f>
        <v/>
      </c>
      <c r="I4691" s="84" t="str">
        <f aca="false">IF(C4691="","",C4691*IF(Settings!$B$22=Settings!$C$6,1,IF(Settings!$B$22="USD",1/INDEX(Settings!$B$29:$B$40,MONTH(A4691)),INDEX(Settings!$B$29:$B$40,MONTH(A4691)))))</f>
        <v/>
      </c>
    </row>
    <row r="4692" customFormat="false" ht="15" hidden="false" customHeight="false" outlineLevel="0" collapsed="false">
      <c r="H4692" s="0" t="str">
        <f aca="false">IF(B4692="","",IF(COUNTIF(Campaigns!$A$7:$A$300,B4692)&gt;0,"✓","⚠ add to Campaigns tab"))</f>
        <v/>
      </c>
      <c r="I4692" s="84" t="str">
        <f aca="false">IF(C4692="","",C4692*IF(Settings!$B$22=Settings!$C$6,1,IF(Settings!$B$22="USD",1/INDEX(Settings!$B$29:$B$40,MONTH(A4692)),INDEX(Settings!$B$29:$B$40,MONTH(A4692)))))</f>
        <v/>
      </c>
    </row>
    <row r="4693" customFormat="false" ht="15" hidden="false" customHeight="false" outlineLevel="0" collapsed="false">
      <c r="H4693" s="0" t="str">
        <f aca="false">IF(B4693="","",IF(COUNTIF(Campaigns!$A$7:$A$300,B4693)&gt;0,"✓","⚠ add to Campaigns tab"))</f>
        <v/>
      </c>
      <c r="I4693" s="84" t="str">
        <f aca="false">IF(C4693="","",C4693*IF(Settings!$B$22=Settings!$C$6,1,IF(Settings!$B$22="USD",1/INDEX(Settings!$B$29:$B$40,MONTH(A4693)),INDEX(Settings!$B$29:$B$40,MONTH(A4693)))))</f>
        <v/>
      </c>
    </row>
    <row r="4694" customFormat="false" ht="15" hidden="false" customHeight="false" outlineLevel="0" collapsed="false">
      <c r="H4694" s="0" t="str">
        <f aca="false">IF(B4694="","",IF(COUNTIF(Campaigns!$A$7:$A$300,B4694)&gt;0,"✓","⚠ add to Campaigns tab"))</f>
        <v/>
      </c>
      <c r="I4694" s="84" t="str">
        <f aca="false">IF(C4694="","",C4694*IF(Settings!$B$22=Settings!$C$6,1,IF(Settings!$B$22="USD",1/INDEX(Settings!$B$29:$B$40,MONTH(A4694)),INDEX(Settings!$B$29:$B$40,MONTH(A4694)))))</f>
        <v/>
      </c>
    </row>
    <row r="4695" customFormat="false" ht="15" hidden="false" customHeight="false" outlineLevel="0" collapsed="false">
      <c r="H4695" s="0" t="str">
        <f aca="false">IF(B4695="","",IF(COUNTIF(Campaigns!$A$7:$A$300,B4695)&gt;0,"✓","⚠ add to Campaigns tab"))</f>
        <v/>
      </c>
      <c r="I4695" s="84" t="str">
        <f aca="false">IF(C4695="","",C4695*IF(Settings!$B$22=Settings!$C$6,1,IF(Settings!$B$22="USD",1/INDEX(Settings!$B$29:$B$40,MONTH(A4695)),INDEX(Settings!$B$29:$B$40,MONTH(A4695)))))</f>
        <v/>
      </c>
    </row>
    <row r="4696" customFormat="false" ht="15" hidden="false" customHeight="false" outlineLevel="0" collapsed="false">
      <c r="H4696" s="0" t="str">
        <f aca="false">IF(B4696="","",IF(COUNTIF(Campaigns!$A$7:$A$300,B4696)&gt;0,"✓","⚠ add to Campaigns tab"))</f>
        <v/>
      </c>
      <c r="I4696" s="84" t="str">
        <f aca="false">IF(C4696="","",C4696*IF(Settings!$B$22=Settings!$C$6,1,IF(Settings!$B$22="USD",1/INDEX(Settings!$B$29:$B$40,MONTH(A4696)),INDEX(Settings!$B$29:$B$40,MONTH(A4696)))))</f>
        <v/>
      </c>
    </row>
    <row r="4697" customFormat="false" ht="15" hidden="false" customHeight="false" outlineLevel="0" collapsed="false">
      <c r="H4697" s="0" t="str">
        <f aca="false">IF(B4697="","",IF(COUNTIF(Campaigns!$A$7:$A$300,B4697)&gt;0,"✓","⚠ add to Campaigns tab"))</f>
        <v/>
      </c>
      <c r="I4697" s="84" t="str">
        <f aca="false">IF(C4697="","",C4697*IF(Settings!$B$22=Settings!$C$6,1,IF(Settings!$B$22="USD",1/INDEX(Settings!$B$29:$B$40,MONTH(A4697)),INDEX(Settings!$B$29:$B$40,MONTH(A4697)))))</f>
        <v/>
      </c>
    </row>
    <row r="4698" customFormat="false" ht="15" hidden="false" customHeight="false" outlineLevel="0" collapsed="false">
      <c r="H4698" s="0" t="str">
        <f aca="false">IF(B4698="","",IF(COUNTIF(Campaigns!$A$7:$A$300,B4698)&gt;0,"✓","⚠ add to Campaigns tab"))</f>
        <v/>
      </c>
      <c r="I4698" s="84" t="str">
        <f aca="false">IF(C4698="","",C4698*IF(Settings!$B$22=Settings!$C$6,1,IF(Settings!$B$22="USD",1/INDEX(Settings!$B$29:$B$40,MONTH(A4698)),INDEX(Settings!$B$29:$B$40,MONTH(A4698)))))</f>
        <v/>
      </c>
    </row>
    <row r="4699" customFormat="false" ht="15" hidden="false" customHeight="false" outlineLevel="0" collapsed="false">
      <c r="H4699" s="0" t="str">
        <f aca="false">IF(B4699="","",IF(COUNTIF(Campaigns!$A$7:$A$300,B4699)&gt;0,"✓","⚠ add to Campaigns tab"))</f>
        <v/>
      </c>
      <c r="I4699" s="84" t="str">
        <f aca="false">IF(C4699="","",C4699*IF(Settings!$B$22=Settings!$C$6,1,IF(Settings!$B$22="USD",1/INDEX(Settings!$B$29:$B$40,MONTH(A4699)),INDEX(Settings!$B$29:$B$40,MONTH(A4699)))))</f>
        <v/>
      </c>
    </row>
    <row r="4700" customFormat="false" ht="15" hidden="false" customHeight="false" outlineLevel="0" collapsed="false">
      <c r="H4700" s="0" t="str">
        <f aca="false">IF(B4700="","",IF(COUNTIF(Campaigns!$A$7:$A$300,B4700)&gt;0,"✓","⚠ add to Campaigns tab"))</f>
        <v/>
      </c>
      <c r="I4700" s="84" t="str">
        <f aca="false">IF(C4700="","",C4700*IF(Settings!$B$22=Settings!$C$6,1,IF(Settings!$B$22="USD",1/INDEX(Settings!$B$29:$B$40,MONTH(A4700)),INDEX(Settings!$B$29:$B$40,MONTH(A4700)))))</f>
        <v/>
      </c>
    </row>
    <row r="4701" customFormat="false" ht="15" hidden="false" customHeight="false" outlineLevel="0" collapsed="false">
      <c r="H4701" s="0" t="str">
        <f aca="false">IF(B4701="","",IF(COUNTIF(Campaigns!$A$7:$A$300,B4701)&gt;0,"✓","⚠ add to Campaigns tab"))</f>
        <v/>
      </c>
      <c r="I4701" s="84" t="str">
        <f aca="false">IF(C4701="","",C4701*IF(Settings!$B$22=Settings!$C$6,1,IF(Settings!$B$22="USD",1/INDEX(Settings!$B$29:$B$40,MONTH(A4701)),INDEX(Settings!$B$29:$B$40,MONTH(A4701)))))</f>
        <v/>
      </c>
    </row>
    <row r="4702" customFormat="false" ht="15" hidden="false" customHeight="false" outlineLevel="0" collapsed="false">
      <c r="H4702" s="0" t="str">
        <f aca="false">IF(B4702="","",IF(COUNTIF(Campaigns!$A$7:$A$300,B4702)&gt;0,"✓","⚠ add to Campaigns tab"))</f>
        <v/>
      </c>
      <c r="I4702" s="84" t="str">
        <f aca="false">IF(C4702="","",C4702*IF(Settings!$B$22=Settings!$C$6,1,IF(Settings!$B$22="USD",1/INDEX(Settings!$B$29:$B$40,MONTH(A4702)),INDEX(Settings!$B$29:$B$40,MONTH(A4702)))))</f>
        <v/>
      </c>
    </row>
    <row r="4703" customFormat="false" ht="15" hidden="false" customHeight="false" outlineLevel="0" collapsed="false">
      <c r="H4703" s="0" t="str">
        <f aca="false">IF(B4703="","",IF(COUNTIF(Campaigns!$A$7:$A$300,B4703)&gt;0,"✓","⚠ add to Campaigns tab"))</f>
        <v/>
      </c>
      <c r="I4703" s="84" t="str">
        <f aca="false">IF(C4703="","",C4703*IF(Settings!$B$22=Settings!$C$6,1,IF(Settings!$B$22="USD",1/INDEX(Settings!$B$29:$B$40,MONTH(A4703)),INDEX(Settings!$B$29:$B$40,MONTH(A4703)))))</f>
        <v/>
      </c>
    </row>
    <row r="4704" customFormat="false" ht="15" hidden="false" customHeight="false" outlineLevel="0" collapsed="false">
      <c r="H4704" s="0" t="str">
        <f aca="false">IF(B4704="","",IF(COUNTIF(Campaigns!$A$7:$A$300,B4704)&gt;0,"✓","⚠ add to Campaigns tab"))</f>
        <v/>
      </c>
      <c r="I4704" s="84" t="str">
        <f aca="false">IF(C4704="","",C4704*IF(Settings!$B$22=Settings!$C$6,1,IF(Settings!$B$22="USD",1/INDEX(Settings!$B$29:$B$40,MONTH(A4704)),INDEX(Settings!$B$29:$B$40,MONTH(A4704)))))</f>
        <v/>
      </c>
    </row>
    <row r="4705" customFormat="false" ht="15" hidden="false" customHeight="false" outlineLevel="0" collapsed="false">
      <c r="H4705" s="0" t="str">
        <f aca="false">IF(B4705="","",IF(COUNTIF(Campaigns!$A$7:$A$300,B4705)&gt;0,"✓","⚠ add to Campaigns tab"))</f>
        <v/>
      </c>
      <c r="I4705" s="84" t="str">
        <f aca="false">IF(C4705="","",C4705*IF(Settings!$B$22=Settings!$C$6,1,IF(Settings!$B$22="USD",1/INDEX(Settings!$B$29:$B$40,MONTH(A4705)),INDEX(Settings!$B$29:$B$40,MONTH(A4705)))))</f>
        <v/>
      </c>
    </row>
    <row r="4706" customFormat="false" ht="15" hidden="false" customHeight="false" outlineLevel="0" collapsed="false">
      <c r="H4706" s="0" t="str">
        <f aca="false">IF(B4706="","",IF(COUNTIF(Campaigns!$A$7:$A$300,B4706)&gt;0,"✓","⚠ add to Campaigns tab"))</f>
        <v/>
      </c>
      <c r="I4706" s="84" t="str">
        <f aca="false">IF(C4706="","",C4706*IF(Settings!$B$22=Settings!$C$6,1,IF(Settings!$B$22="USD",1/INDEX(Settings!$B$29:$B$40,MONTH(A4706)),INDEX(Settings!$B$29:$B$40,MONTH(A4706)))))</f>
        <v/>
      </c>
    </row>
    <row r="4707" customFormat="false" ht="15" hidden="false" customHeight="false" outlineLevel="0" collapsed="false">
      <c r="H4707" s="0" t="str">
        <f aca="false">IF(B4707="","",IF(COUNTIF(Campaigns!$A$7:$A$300,B4707)&gt;0,"✓","⚠ add to Campaigns tab"))</f>
        <v/>
      </c>
      <c r="I4707" s="84" t="str">
        <f aca="false">IF(C4707="","",C4707*IF(Settings!$B$22=Settings!$C$6,1,IF(Settings!$B$22="USD",1/INDEX(Settings!$B$29:$B$40,MONTH(A4707)),INDEX(Settings!$B$29:$B$40,MONTH(A4707)))))</f>
        <v/>
      </c>
    </row>
    <row r="4708" customFormat="false" ht="15" hidden="false" customHeight="false" outlineLevel="0" collapsed="false">
      <c r="H4708" s="0" t="str">
        <f aca="false">IF(B4708="","",IF(COUNTIF(Campaigns!$A$7:$A$300,B4708)&gt;0,"✓","⚠ add to Campaigns tab"))</f>
        <v/>
      </c>
      <c r="I4708" s="84" t="str">
        <f aca="false">IF(C4708="","",C4708*IF(Settings!$B$22=Settings!$C$6,1,IF(Settings!$B$22="USD",1/INDEX(Settings!$B$29:$B$40,MONTH(A4708)),INDEX(Settings!$B$29:$B$40,MONTH(A4708)))))</f>
        <v/>
      </c>
    </row>
    <row r="4709" customFormat="false" ht="15" hidden="false" customHeight="false" outlineLevel="0" collapsed="false">
      <c r="H4709" s="0" t="str">
        <f aca="false">IF(B4709="","",IF(COUNTIF(Campaigns!$A$7:$A$300,B4709)&gt;0,"✓","⚠ add to Campaigns tab"))</f>
        <v/>
      </c>
      <c r="I4709" s="84" t="str">
        <f aca="false">IF(C4709="","",C4709*IF(Settings!$B$22=Settings!$C$6,1,IF(Settings!$B$22="USD",1/INDEX(Settings!$B$29:$B$40,MONTH(A4709)),INDEX(Settings!$B$29:$B$40,MONTH(A4709)))))</f>
        <v/>
      </c>
    </row>
    <row r="4710" customFormat="false" ht="15" hidden="false" customHeight="false" outlineLevel="0" collapsed="false">
      <c r="H4710" s="0" t="str">
        <f aca="false">IF(B4710="","",IF(COUNTIF(Campaigns!$A$7:$A$300,B4710)&gt;0,"✓","⚠ add to Campaigns tab"))</f>
        <v/>
      </c>
      <c r="I4710" s="84" t="str">
        <f aca="false">IF(C4710="","",C4710*IF(Settings!$B$22=Settings!$C$6,1,IF(Settings!$B$22="USD",1/INDEX(Settings!$B$29:$B$40,MONTH(A4710)),INDEX(Settings!$B$29:$B$40,MONTH(A4710)))))</f>
        <v/>
      </c>
    </row>
    <row r="4711" customFormat="false" ht="15" hidden="false" customHeight="false" outlineLevel="0" collapsed="false">
      <c r="H4711" s="0" t="str">
        <f aca="false">IF(B4711="","",IF(COUNTIF(Campaigns!$A$7:$A$300,B4711)&gt;0,"✓","⚠ add to Campaigns tab"))</f>
        <v/>
      </c>
      <c r="I4711" s="84" t="str">
        <f aca="false">IF(C4711="","",C4711*IF(Settings!$B$22=Settings!$C$6,1,IF(Settings!$B$22="USD",1/INDEX(Settings!$B$29:$B$40,MONTH(A4711)),INDEX(Settings!$B$29:$B$40,MONTH(A4711)))))</f>
        <v/>
      </c>
    </row>
    <row r="4712" customFormat="false" ht="15" hidden="false" customHeight="false" outlineLevel="0" collapsed="false">
      <c r="H4712" s="0" t="str">
        <f aca="false">IF(B4712="","",IF(COUNTIF(Campaigns!$A$7:$A$300,B4712)&gt;0,"✓","⚠ add to Campaigns tab"))</f>
        <v/>
      </c>
      <c r="I4712" s="84" t="str">
        <f aca="false">IF(C4712="","",C4712*IF(Settings!$B$22=Settings!$C$6,1,IF(Settings!$B$22="USD",1/INDEX(Settings!$B$29:$B$40,MONTH(A4712)),INDEX(Settings!$B$29:$B$40,MONTH(A4712)))))</f>
        <v/>
      </c>
    </row>
    <row r="4713" customFormat="false" ht="15" hidden="false" customHeight="false" outlineLevel="0" collapsed="false">
      <c r="H4713" s="0" t="str">
        <f aca="false">IF(B4713="","",IF(COUNTIF(Campaigns!$A$7:$A$300,B4713)&gt;0,"✓","⚠ add to Campaigns tab"))</f>
        <v/>
      </c>
      <c r="I4713" s="84" t="str">
        <f aca="false">IF(C4713="","",C4713*IF(Settings!$B$22=Settings!$C$6,1,IF(Settings!$B$22="USD",1/INDEX(Settings!$B$29:$B$40,MONTH(A4713)),INDEX(Settings!$B$29:$B$40,MONTH(A4713)))))</f>
        <v/>
      </c>
    </row>
    <row r="4714" customFormat="false" ht="15" hidden="false" customHeight="false" outlineLevel="0" collapsed="false">
      <c r="H4714" s="0" t="str">
        <f aca="false">IF(B4714="","",IF(COUNTIF(Campaigns!$A$7:$A$300,B4714)&gt;0,"✓","⚠ add to Campaigns tab"))</f>
        <v/>
      </c>
      <c r="I4714" s="84" t="str">
        <f aca="false">IF(C4714="","",C4714*IF(Settings!$B$22=Settings!$C$6,1,IF(Settings!$B$22="USD",1/INDEX(Settings!$B$29:$B$40,MONTH(A4714)),INDEX(Settings!$B$29:$B$40,MONTH(A4714)))))</f>
        <v/>
      </c>
    </row>
    <row r="4715" customFormat="false" ht="15" hidden="false" customHeight="false" outlineLevel="0" collapsed="false">
      <c r="H4715" s="0" t="str">
        <f aca="false">IF(B4715="","",IF(COUNTIF(Campaigns!$A$7:$A$300,B4715)&gt;0,"✓","⚠ add to Campaigns tab"))</f>
        <v/>
      </c>
      <c r="I4715" s="84" t="str">
        <f aca="false">IF(C4715="","",C4715*IF(Settings!$B$22=Settings!$C$6,1,IF(Settings!$B$22="USD",1/INDEX(Settings!$B$29:$B$40,MONTH(A4715)),INDEX(Settings!$B$29:$B$40,MONTH(A4715)))))</f>
        <v/>
      </c>
    </row>
    <row r="4716" customFormat="false" ht="15" hidden="false" customHeight="false" outlineLevel="0" collapsed="false">
      <c r="H4716" s="0" t="str">
        <f aca="false">IF(B4716="","",IF(COUNTIF(Campaigns!$A$7:$A$300,B4716)&gt;0,"✓","⚠ add to Campaigns tab"))</f>
        <v/>
      </c>
      <c r="I4716" s="84" t="str">
        <f aca="false">IF(C4716="","",C4716*IF(Settings!$B$22=Settings!$C$6,1,IF(Settings!$B$22="USD",1/INDEX(Settings!$B$29:$B$40,MONTH(A4716)),INDEX(Settings!$B$29:$B$40,MONTH(A4716)))))</f>
        <v/>
      </c>
    </row>
    <row r="4717" customFormat="false" ht="15" hidden="false" customHeight="false" outlineLevel="0" collapsed="false">
      <c r="H4717" s="0" t="str">
        <f aca="false">IF(B4717="","",IF(COUNTIF(Campaigns!$A$7:$A$300,B4717)&gt;0,"✓","⚠ add to Campaigns tab"))</f>
        <v/>
      </c>
      <c r="I4717" s="84" t="str">
        <f aca="false">IF(C4717="","",C4717*IF(Settings!$B$22=Settings!$C$6,1,IF(Settings!$B$22="USD",1/INDEX(Settings!$B$29:$B$40,MONTH(A4717)),INDEX(Settings!$B$29:$B$40,MONTH(A4717)))))</f>
        <v/>
      </c>
    </row>
    <row r="4718" customFormat="false" ht="15" hidden="false" customHeight="false" outlineLevel="0" collapsed="false">
      <c r="H4718" s="0" t="str">
        <f aca="false">IF(B4718="","",IF(COUNTIF(Campaigns!$A$7:$A$300,B4718)&gt;0,"✓","⚠ add to Campaigns tab"))</f>
        <v/>
      </c>
      <c r="I4718" s="84" t="str">
        <f aca="false">IF(C4718="","",C4718*IF(Settings!$B$22=Settings!$C$6,1,IF(Settings!$B$22="USD",1/INDEX(Settings!$B$29:$B$40,MONTH(A4718)),INDEX(Settings!$B$29:$B$40,MONTH(A4718)))))</f>
        <v/>
      </c>
    </row>
    <row r="4719" customFormat="false" ht="15" hidden="false" customHeight="false" outlineLevel="0" collapsed="false">
      <c r="H4719" s="0" t="str">
        <f aca="false">IF(B4719="","",IF(COUNTIF(Campaigns!$A$7:$A$300,B4719)&gt;0,"✓","⚠ add to Campaigns tab"))</f>
        <v/>
      </c>
      <c r="I4719" s="84" t="str">
        <f aca="false">IF(C4719="","",C4719*IF(Settings!$B$22=Settings!$C$6,1,IF(Settings!$B$22="USD",1/INDEX(Settings!$B$29:$B$40,MONTH(A4719)),INDEX(Settings!$B$29:$B$40,MONTH(A4719)))))</f>
        <v/>
      </c>
    </row>
    <row r="4720" customFormat="false" ht="15" hidden="false" customHeight="false" outlineLevel="0" collapsed="false">
      <c r="H4720" s="0" t="str">
        <f aca="false">IF(B4720="","",IF(COUNTIF(Campaigns!$A$7:$A$300,B4720)&gt;0,"✓","⚠ add to Campaigns tab"))</f>
        <v/>
      </c>
      <c r="I4720" s="84" t="str">
        <f aca="false">IF(C4720="","",C4720*IF(Settings!$B$22=Settings!$C$6,1,IF(Settings!$B$22="USD",1/INDEX(Settings!$B$29:$B$40,MONTH(A4720)),INDEX(Settings!$B$29:$B$40,MONTH(A4720)))))</f>
        <v/>
      </c>
    </row>
    <row r="4721" customFormat="false" ht="15" hidden="false" customHeight="false" outlineLevel="0" collapsed="false">
      <c r="H4721" s="0" t="str">
        <f aca="false">IF(B4721="","",IF(COUNTIF(Campaigns!$A$7:$A$300,B4721)&gt;0,"✓","⚠ add to Campaigns tab"))</f>
        <v/>
      </c>
      <c r="I4721" s="84" t="str">
        <f aca="false">IF(C4721="","",C4721*IF(Settings!$B$22=Settings!$C$6,1,IF(Settings!$B$22="USD",1/INDEX(Settings!$B$29:$B$40,MONTH(A4721)),INDEX(Settings!$B$29:$B$40,MONTH(A4721)))))</f>
        <v/>
      </c>
    </row>
    <row r="4722" customFormat="false" ht="15" hidden="false" customHeight="false" outlineLevel="0" collapsed="false">
      <c r="H4722" s="0" t="str">
        <f aca="false">IF(B4722="","",IF(COUNTIF(Campaigns!$A$7:$A$300,B4722)&gt;0,"✓","⚠ add to Campaigns tab"))</f>
        <v/>
      </c>
      <c r="I4722" s="84" t="str">
        <f aca="false">IF(C4722="","",C4722*IF(Settings!$B$22=Settings!$C$6,1,IF(Settings!$B$22="USD",1/INDEX(Settings!$B$29:$B$40,MONTH(A4722)),INDEX(Settings!$B$29:$B$40,MONTH(A4722)))))</f>
        <v/>
      </c>
    </row>
    <row r="4723" customFormat="false" ht="15" hidden="false" customHeight="false" outlineLevel="0" collapsed="false">
      <c r="H4723" s="0" t="str">
        <f aca="false">IF(B4723="","",IF(COUNTIF(Campaigns!$A$7:$A$300,B4723)&gt;0,"✓","⚠ add to Campaigns tab"))</f>
        <v/>
      </c>
      <c r="I4723" s="84" t="str">
        <f aca="false">IF(C4723="","",C4723*IF(Settings!$B$22=Settings!$C$6,1,IF(Settings!$B$22="USD",1/INDEX(Settings!$B$29:$B$40,MONTH(A4723)),INDEX(Settings!$B$29:$B$40,MONTH(A4723)))))</f>
        <v/>
      </c>
    </row>
    <row r="4724" customFormat="false" ht="15" hidden="false" customHeight="false" outlineLevel="0" collapsed="false">
      <c r="H4724" s="0" t="str">
        <f aca="false">IF(B4724="","",IF(COUNTIF(Campaigns!$A$7:$A$300,B4724)&gt;0,"✓","⚠ add to Campaigns tab"))</f>
        <v/>
      </c>
      <c r="I4724" s="84" t="str">
        <f aca="false">IF(C4724="","",C4724*IF(Settings!$B$22=Settings!$C$6,1,IF(Settings!$B$22="USD",1/INDEX(Settings!$B$29:$B$40,MONTH(A4724)),INDEX(Settings!$B$29:$B$40,MONTH(A4724)))))</f>
        <v/>
      </c>
    </row>
    <row r="4725" customFormat="false" ht="15" hidden="false" customHeight="false" outlineLevel="0" collapsed="false">
      <c r="H4725" s="0" t="str">
        <f aca="false">IF(B4725="","",IF(COUNTIF(Campaigns!$A$7:$A$300,B4725)&gt;0,"✓","⚠ add to Campaigns tab"))</f>
        <v/>
      </c>
      <c r="I4725" s="84" t="str">
        <f aca="false">IF(C4725="","",C4725*IF(Settings!$B$22=Settings!$C$6,1,IF(Settings!$B$22="USD",1/INDEX(Settings!$B$29:$B$40,MONTH(A4725)),INDEX(Settings!$B$29:$B$40,MONTH(A4725)))))</f>
        <v/>
      </c>
    </row>
    <row r="4726" customFormat="false" ht="15" hidden="false" customHeight="false" outlineLevel="0" collapsed="false">
      <c r="H4726" s="0" t="str">
        <f aca="false">IF(B4726="","",IF(COUNTIF(Campaigns!$A$7:$A$300,B4726)&gt;0,"✓","⚠ add to Campaigns tab"))</f>
        <v/>
      </c>
      <c r="I4726" s="84" t="str">
        <f aca="false">IF(C4726="","",C4726*IF(Settings!$B$22=Settings!$C$6,1,IF(Settings!$B$22="USD",1/INDEX(Settings!$B$29:$B$40,MONTH(A4726)),INDEX(Settings!$B$29:$B$40,MONTH(A4726)))))</f>
        <v/>
      </c>
    </row>
    <row r="4727" customFormat="false" ht="15" hidden="false" customHeight="false" outlineLevel="0" collapsed="false">
      <c r="H4727" s="0" t="str">
        <f aca="false">IF(B4727="","",IF(COUNTIF(Campaigns!$A$7:$A$300,B4727)&gt;0,"✓","⚠ add to Campaigns tab"))</f>
        <v/>
      </c>
      <c r="I4727" s="84" t="str">
        <f aca="false">IF(C4727="","",C4727*IF(Settings!$B$22=Settings!$C$6,1,IF(Settings!$B$22="USD",1/INDEX(Settings!$B$29:$B$40,MONTH(A4727)),INDEX(Settings!$B$29:$B$40,MONTH(A4727)))))</f>
        <v/>
      </c>
    </row>
    <row r="4728" customFormat="false" ht="15" hidden="false" customHeight="false" outlineLevel="0" collapsed="false">
      <c r="H4728" s="0" t="str">
        <f aca="false">IF(B4728="","",IF(COUNTIF(Campaigns!$A$7:$A$300,B4728)&gt;0,"✓","⚠ add to Campaigns tab"))</f>
        <v/>
      </c>
      <c r="I4728" s="84" t="str">
        <f aca="false">IF(C4728="","",C4728*IF(Settings!$B$22=Settings!$C$6,1,IF(Settings!$B$22="USD",1/INDEX(Settings!$B$29:$B$40,MONTH(A4728)),INDEX(Settings!$B$29:$B$40,MONTH(A4728)))))</f>
        <v/>
      </c>
    </row>
    <row r="4729" customFormat="false" ht="15" hidden="false" customHeight="false" outlineLevel="0" collapsed="false">
      <c r="H4729" s="0" t="str">
        <f aca="false">IF(B4729="","",IF(COUNTIF(Campaigns!$A$7:$A$300,B4729)&gt;0,"✓","⚠ add to Campaigns tab"))</f>
        <v/>
      </c>
      <c r="I4729" s="84" t="str">
        <f aca="false">IF(C4729="","",C4729*IF(Settings!$B$22=Settings!$C$6,1,IF(Settings!$B$22="USD",1/INDEX(Settings!$B$29:$B$40,MONTH(A4729)),INDEX(Settings!$B$29:$B$40,MONTH(A4729)))))</f>
        <v/>
      </c>
    </row>
    <row r="4730" customFormat="false" ht="15" hidden="false" customHeight="false" outlineLevel="0" collapsed="false">
      <c r="H4730" s="0" t="str">
        <f aca="false">IF(B4730="","",IF(COUNTIF(Campaigns!$A$7:$A$300,B4730)&gt;0,"✓","⚠ add to Campaigns tab"))</f>
        <v/>
      </c>
      <c r="I4730" s="84" t="str">
        <f aca="false">IF(C4730="","",C4730*IF(Settings!$B$22=Settings!$C$6,1,IF(Settings!$B$22="USD",1/INDEX(Settings!$B$29:$B$40,MONTH(A4730)),INDEX(Settings!$B$29:$B$40,MONTH(A4730)))))</f>
        <v/>
      </c>
    </row>
    <row r="4731" customFormat="false" ht="15" hidden="false" customHeight="false" outlineLevel="0" collapsed="false">
      <c r="H4731" s="0" t="str">
        <f aca="false">IF(B4731="","",IF(COUNTIF(Campaigns!$A$7:$A$300,B4731)&gt;0,"✓","⚠ add to Campaigns tab"))</f>
        <v/>
      </c>
      <c r="I4731" s="84" t="str">
        <f aca="false">IF(C4731="","",C4731*IF(Settings!$B$22=Settings!$C$6,1,IF(Settings!$B$22="USD",1/INDEX(Settings!$B$29:$B$40,MONTH(A4731)),INDEX(Settings!$B$29:$B$40,MONTH(A4731)))))</f>
        <v/>
      </c>
    </row>
    <row r="4732" customFormat="false" ht="15" hidden="false" customHeight="false" outlineLevel="0" collapsed="false">
      <c r="H4732" s="0" t="str">
        <f aca="false">IF(B4732="","",IF(COUNTIF(Campaigns!$A$7:$A$300,B4732)&gt;0,"✓","⚠ add to Campaigns tab"))</f>
        <v/>
      </c>
      <c r="I4732" s="84" t="str">
        <f aca="false">IF(C4732="","",C4732*IF(Settings!$B$22=Settings!$C$6,1,IF(Settings!$B$22="USD",1/INDEX(Settings!$B$29:$B$40,MONTH(A4732)),INDEX(Settings!$B$29:$B$40,MONTH(A4732)))))</f>
        <v/>
      </c>
    </row>
    <row r="4733" customFormat="false" ht="15" hidden="false" customHeight="false" outlineLevel="0" collapsed="false">
      <c r="H4733" s="0" t="str">
        <f aca="false">IF(B4733="","",IF(COUNTIF(Campaigns!$A$7:$A$300,B4733)&gt;0,"✓","⚠ add to Campaigns tab"))</f>
        <v/>
      </c>
      <c r="I4733" s="84" t="str">
        <f aca="false">IF(C4733="","",C4733*IF(Settings!$B$22=Settings!$C$6,1,IF(Settings!$B$22="USD",1/INDEX(Settings!$B$29:$B$40,MONTH(A4733)),INDEX(Settings!$B$29:$B$40,MONTH(A4733)))))</f>
        <v/>
      </c>
    </row>
    <row r="4734" customFormat="false" ht="15" hidden="false" customHeight="false" outlineLevel="0" collapsed="false">
      <c r="H4734" s="0" t="str">
        <f aca="false">IF(B4734="","",IF(COUNTIF(Campaigns!$A$7:$A$300,B4734)&gt;0,"✓","⚠ add to Campaigns tab"))</f>
        <v/>
      </c>
      <c r="I4734" s="84" t="str">
        <f aca="false">IF(C4734="","",C4734*IF(Settings!$B$22=Settings!$C$6,1,IF(Settings!$B$22="USD",1/INDEX(Settings!$B$29:$B$40,MONTH(A4734)),INDEX(Settings!$B$29:$B$40,MONTH(A4734)))))</f>
        <v/>
      </c>
    </row>
    <row r="4735" customFormat="false" ht="15" hidden="false" customHeight="false" outlineLevel="0" collapsed="false">
      <c r="H4735" s="0" t="str">
        <f aca="false">IF(B4735="","",IF(COUNTIF(Campaigns!$A$7:$A$300,B4735)&gt;0,"✓","⚠ add to Campaigns tab"))</f>
        <v/>
      </c>
      <c r="I4735" s="84" t="str">
        <f aca="false">IF(C4735="","",C4735*IF(Settings!$B$22=Settings!$C$6,1,IF(Settings!$B$22="USD",1/INDEX(Settings!$B$29:$B$40,MONTH(A4735)),INDEX(Settings!$B$29:$B$40,MONTH(A4735)))))</f>
        <v/>
      </c>
    </row>
    <row r="4736" customFormat="false" ht="15" hidden="false" customHeight="false" outlineLevel="0" collapsed="false">
      <c r="H4736" s="0" t="str">
        <f aca="false">IF(B4736="","",IF(COUNTIF(Campaigns!$A$7:$A$300,B4736)&gt;0,"✓","⚠ add to Campaigns tab"))</f>
        <v/>
      </c>
      <c r="I4736" s="84" t="str">
        <f aca="false">IF(C4736="","",C4736*IF(Settings!$B$22=Settings!$C$6,1,IF(Settings!$B$22="USD",1/INDEX(Settings!$B$29:$B$40,MONTH(A4736)),INDEX(Settings!$B$29:$B$40,MONTH(A4736)))))</f>
        <v/>
      </c>
    </row>
    <row r="4737" customFormat="false" ht="15" hidden="false" customHeight="false" outlineLevel="0" collapsed="false">
      <c r="H4737" s="0" t="str">
        <f aca="false">IF(B4737="","",IF(COUNTIF(Campaigns!$A$7:$A$300,B4737)&gt;0,"✓","⚠ add to Campaigns tab"))</f>
        <v/>
      </c>
      <c r="I4737" s="84" t="str">
        <f aca="false">IF(C4737="","",C4737*IF(Settings!$B$22=Settings!$C$6,1,IF(Settings!$B$22="USD",1/INDEX(Settings!$B$29:$B$40,MONTH(A4737)),INDEX(Settings!$B$29:$B$40,MONTH(A4737)))))</f>
        <v/>
      </c>
    </row>
    <row r="4738" customFormat="false" ht="15" hidden="false" customHeight="false" outlineLevel="0" collapsed="false">
      <c r="H4738" s="0" t="str">
        <f aca="false">IF(B4738="","",IF(COUNTIF(Campaigns!$A$7:$A$300,B4738)&gt;0,"✓","⚠ add to Campaigns tab"))</f>
        <v/>
      </c>
      <c r="I4738" s="84" t="str">
        <f aca="false">IF(C4738="","",C4738*IF(Settings!$B$22=Settings!$C$6,1,IF(Settings!$B$22="USD",1/INDEX(Settings!$B$29:$B$40,MONTH(A4738)),INDEX(Settings!$B$29:$B$40,MONTH(A4738)))))</f>
        <v/>
      </c>
    </row>
    <row r="4739" customFormat="false" ht="15" hidden="false" customHeight="false" outlineLevel="0" collapsed="false">
      <c r="H4739" s="0" t="str">
        <f aca="false">IF(B4739="","",IF(COUNTIF(Campaigns!$A$7:$A$300,B4739)&gt;0,"✓","⚠ add to Campaigns tab"))</f>
        <v/>
      </c>
      <c r="I4739" s="84" t="str">
        <f aca="false">IF(C4739="","",C4739*IF(Settings!$B$22=Settings!$C$6,1,IF(Settings!$B$22="USD",1/INDEX(Settings!$B$29:$B$40,MONTH(A4739)),INDEX(Settings!$B$29:$B$40,MONTH(A4739)))))</f>
        <v/>
      </c>
    </row>
    <row r="4740" customFormat="false" ht="15" hidden="false" customHeight="false" outlineLevel="0" collapsed="false">
      <c r="H4740" s="0" t="str">
        <f aca="false">IF(B4740="","",IF(COUNTIF(Campaigns!$A$7:$A$300,B4740)&gt;0,"✓","⚠ add to Campaigns tab"))</f>
        <v/>
      </c>
      <c r="I4740" s="84" t="str">
        <f aca="false">IF(C4740="","",C4740*IF(Settings!$B$22=Settings!$C$6,1,IF(Settings!$B$22="USD",1/INDEX(Settings!$B$29:$B$40,MONTH(A4740)),INDEX(Settings!$B$29:$B$40,MONTH(A4740)))))</f>
        <v/>
      </c>
    </row>
    <row r="4741" customFormat="false" ht="15" hidden="false" customHeight="false" outlineLevel="0" collapsed="false">
      <c r="H4741" s="0" t="str">
        <f aca="false">IF(B4741="","",IF(COUNTIF(Campaigns!$A$7:$A$300,B4741)&gt;0,"✓","⚠ add to Campaigns tab"))</f>
        <v/>
      </c>
      <c r="I4741" s="84" t="str">
        <f aca="false">IF(C4741="","",C4741*IF(Settings!$B$22=Settings!$C$6,1,IF(Settings!$B$22="USD",1/INDEX(Settings!$B$29:$B$40,MONTH(A4741)),INDEX(Settings!$B$29:$B$40,MONTH(A4741)))))</f>
        <v/>
      </c>
    </row>
    <row r="4742" customFormat="false" ht="15" hidden="false" customHeight="false" outlineLevel="0" collapsed="false">
      <c r="H4742" s="0" t="str">
        <f aca="false">IF(B4742="","",IF(COUNTIF(Campaigns!$A$7:$A$300,B4742)&gt;0,"✓","⚠ add to Campaigns tab"))</f>
        <v/>
      </c>
      <c r="I4742" s="84" t="str">
        <f aca="false">IF(C4742="","",C4742*IF(Settings!$B$22=Settings!$C$6,1,IF(Settings!$B$22="USD",1/INDEX(Settings!$B$29:$B$40,MONTH(A4742)),INDEX(Settings!$B$29:$B$40,MONTH(A4742)))))</f>
        <v/>
      </c>
    </row>
    <row r="4743" customFormat="false" ht="15" hidden="false" customHeight="false" outlineLevel="0" collapsed="false">
      <c r="H4743" s="0" t="str">
        <f aca="false">IF(B4743="","",IF(COUNTIF(Campaigns!$A$7:$A$300,B4743)&gt;0,"✓","⚠ add to Campaigns tab"))</f>
        <v/>
      </c>
      <c r="I4743" s="84" t="str">
        <f aca="false">IF(C4743="","",C4743*IF(Settings!$B$22=Settings!$C$6,1,IF(Settings!$B$22="USD",1/INDEX(Settings!$B$29:$B$40,MONTH(A4743)),INDEX(Settings!$B$29:$B$40,MONTH(A4743)))))</f>
        <v/>
      </c>
    </row>
    <row r="4744" customFormat="false" ht="15" hidden="false" customHeight="false" outlineLevel="0" collapsed="false">
      <c r="H4744" s="0" t="str">
        <f aca="false">IF(B4744="","",IF(COUNTIF(Campaigns!$A$7:$A$300,B4744)&gt;0,"✓","⚠ add to Campaigns tab"))</f>
        <v/>
      </c>
      <c r="I4744" s="84" t="str">
        <f aca="false">IF(C4744="","",C4744*IF(Settings!$B$22=Settings!$C$6,1,IF(Settings!$B$22="USD",1/INDEX(Settings!$B$29:$B$40,MONTH(A4744)),INDEX(Settings!$B$29:$B$40,MONTH(A4744)))))</f>
        <v/>
      </c>
    </row>
    <row r="4745" customFormat="false" ht="15" hidden="false" customHeight="false" outlineLevel="0" collapsed="false">
      <c r="H4745" s="0" t="str">
        <f aca="false">IF(B4745="","",IF(COUNTIF(Campaigns!$A$7:$A$300,B4745)&gt;0,"✓","⚠ add to Campaigns tab"))</f>
        <v/>
      </c>
      <c r="I4745" s="84" t="str">
        <f aca="false">IF(C4745="","",C4745*IF(Settings!$B$22=Settings!$C$6,1,IF(Settings!$B$22="USD",1/INDEX(Settings!$B$29:$B$40,MONTH(A4745)),INDEX(Settings!$B$29:$B$40,MONTH(A4745)))))</f>
        <v/>
      </c>
    </row>
    <row r="4746" customFormat="false" ht="15" hidden="false" customHeight="false" outlineLevel="0" collapsed="false">
      <c r="H4746" s="0" t="str">
        <f aca="false">IF(B4746="","",IF(COUNTIF(Campaigns!$A$7:$A$300,B4746)&gt;0,"✓","⚠ add to Campaigns tab"))</f>
        <v/>
      </c>
      <c r="I4746" s="84" t="str">
        <f aca="false">IF(C4746="","",C4746*IF(Settings!$B$22=Settings!$C$6,1,IF(Settings!$B$22="USD",1/INDEX(Settings!$B$29:$B$40,MONTH(A4746)),INDEX(Settings!$B$29:$B$40,MONTH(A4746)))))</f>
        <v/>
      </c>
    </row>
    <row r="4747" customFormat="false" ht="15" hidden="false" customHeight="false" outlineLevel="0" collapsed="false">
      <c r="H4747" s="0" t="str">
        <f aca="false">IF(B4747="","",IF(COUNTIF(Campaigns!$A$7:$A$300,B4747)&gt;0,"✓","⚠ add to Campaigns tab"))</f>
        <v/>
      </c>
      <c r="I4747" s="84" t="str">
        <f aca="false">IF(C4747="","",C4747*IF(Settings!$B$22=Settings!$C$6,1,IF(Settings!$B$22="USD",1/INDEX(Settings!$B$29:$B$40,MONTH(A4747)),INDEX(Settings!$B$29:$B$40,MONTH(A4747)))))</f>
        <v/>
      </c>
    </row>
    <row r="4748" customFormat="false" ht="15" hidden="false" customHeight="false" outlineLevel="0" collapsed="false">
      <c r="H4748" s="0" t="str">
        <f aca="false">IF(B4748="","",IF(COUNTIF(Campaigns!$A$7:$A$300,B4748)&gt;0,"✓","⚠ add to Campaigns tab"))</f>
        <v/>
      </c>
      <c r="I4748" s="84" t="str">
        <f aca="false">IF(C4748="","",C4748*IF(Settings!$B$22=Settings!$C$6,1,IF(Settings!$B$22="USD",1/INDEX(Settings!$B$29:$B$40,MONTH(A4748)),INDEX(Settings!$B$29:$B$40,MONTH(A4748)))))</f>
        <v/>
      </c>
    </row>
    <row r="4749" customFormat="false" ht="15" hidden="false" customHeight="false" outlineLevel="0" collapsed="false">
      <c r="H4749" s="0" t="str">
        <f aca="false">IF(B4749="","",IF(COUNTIF(Campaigns!$A$7:$A$300,B4749)&gt;0,"✓","⚠ add to Campaigns tab"))</f>
        <v/>
      </c>
      <c r="I4749" s="84" t="str">
        <f aca="false">IF(C4749="","",C4749*IF(Settings!$B$22=Settings!$C$6,1,IF(Settings!$B$22="USD",1/INDEX(Settings!$B$29:$B$40,MONTH(A4749)),INDEX(Settings!$B$29:$B$40,MONTH(A4749)))))</f>
        <v/>
      </c>
    </row>
    <row r="4750" customFormat="false" ht="15" hidden="false" customHeight="false" outlineLevel="0" collapsed="false">
      <c r="H4750" s="0" t="str">
        <f aca="false">IF(B4750="","",IF(COUNTIF(Campaigns!$A$7:$A$300,B4750)&gt;0,"✓","⚠ add to Campaigns tab"))</f>
        <v/>
      </c>
      <c r="I4750" s="84" t="str">
        <f aca="false">IF(C4750="","",C4750*IF(Settings!$B$22=Settings!$C$6,1,IF(Settings!$B$22="USD",1/INDEX(Settings!$B$29:$B$40,MONTH(A4750)),INDEX(Settings!$B$29:$B$40,MONTH(A4750)))))</f>
        <v/>
      </c>
    </row>
    <row r="4751" customFormat="false" ht="15" hidden="false" customHeight="false" outlineLevel="0" collapsed="false">
      <c r="H4751" s="0" t="str">
        <f aca="false">IF(B4751="","",IF(COUNTIF(Campaigns!$A$7:$A$300,B4751)&gt;0,"✓","⚠ add to Campaigns tab"))</f>
        <v/>
      </c>
      <c r="I4751" s="84" t="str">
        <f aca="false">IF(C4751="","",C4751*IF(Settings!$B$22=Settings!$C$6,1,IF(Settings!$B$22="USD",1/INDEX(Settings!$B$29:$B$40,MONTH(A4751)),INDEX(Settings!$B$29:$B$40,MONTH(A4751)))))</f>
        <v/>
      </c>
    </row>
    <row r="4752" customFormat="false" ht="15" hidden="false" customHeight="false" outlineLevel="0" collapsed="false">
      <c r="H4752" s="0" t="str">
        <f aca="false">IF(B4752="","",IF(COUNTIF(Campaigns!$A$7:$A$300,B4752)&gt;0,"✓","⚠ add to Campaigns tab"))</f>
        <v/>
      </c>
      <c r="I4752" s="84" t="str">
        <f aca="false">IF(C4752="","",C4752*IF(Settings!$B$22=Settings!$C$6,1,IF(Settings!$B$22="USD",1/INDEX(Settings!$B$29:$B$40,MONTH(A4752)),INDEX(Settings!$B$29:$B$40,MONTH(A4752)))))</f>
        <v/>
      </c>
    </row>
    <row r="4753" customFormat="false" ht="15" hidden="false" customHeight="false" outlineLevel="0" collapsed="false">
      <c r="H4753" s="0" t="str">
        <f aca="false">IF(B4753="","",IF(COUNTIF(Campaigns!$A$7:$A$300,B4753)&gt;0,"✓","⚠ add to Campaigns tab"))</f>
        <v/>
      </c>
      <c r="I4753" s="84" t="str">
        <f aca="false">IF(C4753="","",C4753*IF(Settings!$B$22=Settings!$C$6,1,IF(Settings!$B$22="USD",1/INDEX(Settings!$B$29:$B$40,MONTH(A4753)),INDEX(Settings!$B$29:$B$40,MONTH(A4753)))))</f>
        <v/>
      </c>
    </row>
    <row r="4754" customFormat="false" ht="15" hidden="false" customHeight="false" outlineLevel="0" collapsed="false">
      <c r="H4754" s="0" t="str">
        <f aca="false">IF(B4754="","",IF(COUNTIF(Campaigns!$A$7:$A$300,B4754)&gt;0,"✓","⚠ add to Campaigns tab"))</f>
        <v/>
      </c>
      <c r="I4754" s="84" t="str">
        <f aca="false">IF(C4754="","",C4754*IF(Settings!$B$22=Settings!$C$6,1,IF(Settings!$B$22="USD",1/INDEX(Settings!$B$29:$B$40,MONTH(A4754)),INDEX(Settings!$B$29:$B$40,MONTH(A4754)))))</f>
        <v/>
      </c>
    </row>
    <row r="4755" customFormat="false" ht="15" hidden="false" customHeight="false" outlineLevel="0" collapsed="false">
      <c r="H4755" s="0" t="str">
        <f aca="false">IF(B4755="","",IF(COUNTIF(Campaigns!$A$7:$A$300,B4755)&gt;0,"✓","⚠ add to Campaigns tab"))</f>
        <v/>
      </c>
      <c r="I4755" s="84" t="str">
        <f aca="false">IF(C4755="","",C4755*IF(Settings!$B$22=Settings!$C$6,1,IF(Settings!$B$22="USD",1/INDEX(Settings!$B$29:$B$40,MONTH(A4755)),INDEX(Settings!$B$29:$B$40,MONTH(A4755)))))</f>
        <v/>
      </c>
    </row>
    <row r="4756" customFormat="false" ht="15" hidden="false" customHeight="false" outlineLevel="0" collapsed="false">
      <c r="H4756" s="0" t="str">
        <f aca="false">IF(B4756="","",IF(COUNTIF(Campaigns!$A$7:$A$300,B4756)&gt;0,"✓","⚠ add to Campaigns tab"))</f>
        <v/>
      </c>
      <c r="I4756" s="84" t="str">
        <f aca="false">IF(C4756="","",C4756*IF(Settings!$B$22=Settings!$C$6,1,IF(Settings!$B$22="USD",1/INDEX(Settings!$B$29:$B$40,MONTH(A4756)),INDEX(Settings!$B$29:$B$40,MONTH(A4756)))))</f>
        <v/>
      </c>
    </row>
    <row r="4757" customFormat="false" ht="15" hidden="false" customHeight="false" outlineLevel="0" collapsed="false">
      <c r="H4757" s="0" t="str">
        <f aca="false">IF(B4757="","",IF(COUNTIF(Campaigns!$A$7:$A$300,B4757)&gt;0,"✓","⚠ add to Campaigns tab"))</f>
        <v/>
      </c>
      <c r="I4757" s="84" t="str">
        <f aca="false">IF(C4757="","",C4757*IF(Settings!$B$22=Settings!$C$6,1,IF(Settings!$B$22="USD",1/INDEX(Settings!$B$29:$B$40,MONTH(A4757)),INDEX(Settings!$B$29:$B$40,MONTH(A4757)))))</f>
        <v/>
      </c>
    </row>
    <row r="4758" customFormat="false" ht="15" hidden="false" customHeight="false" outlineLevel="0" collapsed="false">
      <c r="H4758" s="0" t="str">
        <f aca="false">IF(B4758="","",IF(COUNTIF(Campaigns!$A$7:$A$300,B4758)&gt;0,"✓","⚠ add to Campaigns tab"))</f>
        <v/>
      </c>
      <c r="I4758" s="84" t="str">
        <f aca="false">IF(C4758="","",C4758*IF(Settings!$B$22=Settings!$C$6,1,IF(Settings!$B$22="USD",1/INDEX(Settings!$B$29:$B$40,MONTH(A4758)),INDEX(Settings!$B$29:$B$40,MONTH(A4758)))))</f>
        <v/>
      </c>
    </row>
    <row r="4759" customFormat="false" ht="15" hidden="false" customHeight="false" outlineLevel="0" collapsed="false">
      <c r="H4759" s="0" t="str">
        <f aca="false">IF(B4759="","",IF(COUNTIF(Campaigns!$A$7:$A$300,B4759)&gt;0,"✓","⚠ add to Campaigns tab"))</f>
        <v/>
      </c>
      <c r="I4759" s="84" t="str">
        <f aca="false">IF(C4759="","",C4759*IF(Settings!$B$22=Settings!$C$6,1,IF(Settings!$B$22="USD",1/INDEX(Settings!$B$29:$B$40,MONTH(A4759)),INDEX(Settings!$B$29:$B$40,MONTH(A4759)))))</f>
        <v/>
      </c>
    </row>
    <row r="4760" customFormat="false" ht="15" hidden="false" customHeight="false" outlineLevel="0" collapsed="false">
      <c r="H4760" s="0" t="str">
        <f aca="false">IF(B4760="","",IF(COUNTIF(Campaigns!$A$7:$A$300,B4760)&gt;0,"✓","⚠ add to Campaigns tab"))</f>
        <v/>
      </c>
      <c r="I4760" s="84" t="str">
        <f aca="false">IF(C4760="","",C4760*IF(Settings!$B$22=Settings!$C$6,1,IF(Settings!$B$22="USD",1/INDEX(Settings!$B$29:$B$40,MONTH(A4760)),INDEX(Settings!$B$29:$B$40,MONTH(A4760)))))</f>
        <v/>
      </c>
    </row>
    <row r="4761" customFormat="false" ht="15" hidden="false" customHeight="false" outlineLevel="0" collapsed="false">
      <c r="H4761" s="0" t="str">
        <f aca="false">IF(B4761="","",IF(COUNTIF(Campaigns!$A$7:$A$300,B4761)&gt;0,"✓","⚠ add to Campaigns tab"))</f>
        <v/>
      </c>
      <c r="I4761" s="84" t="str">
        <f aca="false">IF(C4761="","",C4761*IF(Settings!$B$22=Settings!$C$6,1,IF(Settings!$B$22="USD",1/INDEX(Settings!$B$29:$B$40,MONTH(A4761)),INDEX(Settings!$B$29:$B$40,MONTH(A4761)))))</f>
        <v/>
      </c>
    </row>
    <row r="4762" customFormat="false" ht="15" hidden="false" customHeight="false" outlineLevel="0" collapsed="false">
      <c r="H4762" s="0" t="str">
        <f aca="false">IF(B4762="","",IF(COUNTIF(Campaigns!$A$7:$A$300,B4762)&gt;0,"✓","⚠ add to Campaigns tab"))</f>
        <v/>
      </c>
      <c r="I4762" s="84" t="str">
        <f aca="false">IF(C4762="","",C4762*IF(Settings!$B$22=Settings!$C$6,1,IF(Settings!$B$22="USD",1/INDEX(Settings!$B$29:$B$40,MONTH(A4762)),INDEX(Settings!$B$29:$B$40,MONTH(A4762)))))</f>
        <v/>
      </c>
    </row>
    <row r="4763" customFormat="false" ht="15" hidden="false" customHeight="false" outlineLevel="0" collapsed="false">
      <c r="H4763" s="0" t="str">
        <f aca="false">IF(B4763="","",IF(COUNTIF(Campaigns!$A$7:$A$300,B4763)&gt;0,"✓","⚠ add to Campaigns tab"))</f>
        <v/>
      </c>
      <c r="I4763" s="84" t="str">
        <f aca="false">IF(C4763="","",C4763*IF(Settings!$B$22=Settings!$C$6,1,IF(Settings!$B$22="USD",1/INDEX(Settings!$B$29:$B$40,MONTH(A4763)),INDEX(Settings!$B$29:$B$40,MONTH(A4763)))))</f>
        <v/>
      </c>
    </row>
    <row r="4764" customFormat="false" ht="15" hidden="false" customHeight="false" outlineLevel="0" collapsed="false">
      <c r="H4764" s="0" t="str">
        <f aca="false">IF(B4764="","",IF(COUNTIF(Campaigns!$A$7:$A$300,B4764)&gt;0,"✓","⚠ add to Campaigns tab"))</f>
        <v/>
      </c>
      <c r="I4764" s="84" t="str">
        <f aca="false">IF(C4764="","",C4764*IF(Settings!$B$22=Settings!$C$6,1,IF(Settings!$B$22="USD",1/INDEX(Settings!$B$29:$B$40,MONTH(A4764)),INDEX(Settings!$B$29:$B$40,MONTH(A4764)))))</f>
        <v/>
      </c>
    </row>
    <row r="4765" customFormat="false" ht="15" hidden="false" customHeight="false" outlineLevel="0" collapsed="false">
      <c r="H4765" s="0" t="str">
        <f aca="false">IF(B4765="","",IF(COUNTIF(Campaigns!$A$7:$A$300,B4765)&gt;0,"✓","⚠ add to Campaigns tab"))</f>
        <v/>
      </c>
      <c r="I4765" s="84" t="str">
        <f aca="false">IF(C4765="","",C4765*IF(Settings!$B$22=Settings!$C$6,1,IF(Settings!$B$22="USD",1/INDEX(Settings!$B$29:$B$40,MONTH(A4765)),INDEX(Settings!$B$29:$B$40,MONTH(A4765)))))</f>
        <v/>
      </c>
    </row>
    <row r="4766" customFormat="false" ht="15" hidden="false" customHeight="false" outlineLevel="0" collapsed="false">
      <c r="H4766" s="0" t="str">
        <f aca="false">IF(B4766="","",IF(COUNTIF(Campaigns!$A$7:$A$300,B4766)&gt;0,"✓","⚠ add to Campaigns tab"))</f>
        <v/>
      </c>
      <c r="I4766" s="84" t="str">
        <f aca="false">IF(C4766="","",C4766*IF(Settings!$B$22=Settings!$C$6,1,IF(Settings!$B$22="USD",1/INDEX(Settings!$B$29:$B$40,MONTH(A4766)),INDEX(Settings!$B$29:$B$40,MONTH(A4766)))))</f>
        <v/>
      </c>
    </row>
    <row r="4767" customFormat="false" ht="15" hidden="false" customHeight="false" outlineLevel="0" collapsed="false">
      <c r="H4767" s="0" t="str">
        <f aca="false">IF(B4767="","",IF(COUNTIF(Campaigns!$A$7:$A$300,B4767)&gt;0,"✓","⚠ add to Campaigns tab"))</f>
        <v/>
      </c>
      <c r="I4767" s="84" t="str">
        <f aca="false">IF(C4767="","",C4767*IF(Settings!$B$22=Settings!$C$6,1,IF(Settings!$B$22="USD",1/INDEX(Settings!$B$29:$B$40,MONTH(A4767)),INDEX(Settings!$B$29:$B$40,MONTH(A4767)))))</f>
        <v/>
      </c>
    </row>
    <row r="4768" customFormat="false" ht="15" hidden="false" customHeight="false" outlineLevel="0" collapsed="false">
      <c r="H4768" s="0" t="str">
        <f aca="false">IF(B4768="","",IF(COUNTIF(Campaigns!$A$7:$A$300,B4768)&gt;0,"✓","⚠ add to Campaigns tab"))</f>
        <v/>
      </c>
      <c r="I4768" s="84" t="str">
        <f aca="false">IF(C4768="","",C4768*IF(Settings!$B$22=Settings!$C$6,1,IF(Settings!$B$22="USD",1/INDEX(Settings!$B$29:$B$40,MONTH(A4768)),INDEX(Settings!$B$29:$B$40,MONTH(A4768)))))</f>
        <v/>
      </c>
    </row>
    <row r="4769" customFormat="false" ht="15" hidden="false" customHeight="false" outlineLevel="0" collapsed="false">
      <c r="H4769" s="0" t="str">
        <f aca="false">IF(B4769="","",IF(COUNTIF(Campaigns!$A$7:$A$300,B4769)&gt;0,"✓","⚠ add to Campaigns tab"))</f>
        <v/>
      </c>
      <c r="I4769" s="84" t="str">
        <f aca="false">IF(C4769="","",C4769*IF(Settings!$B$22=Settings!$C$6,1,IF(Settings!$B$22="USD",1/INDEX(Settings!$B$29:$B$40,MONTH(A4769)),INDEX(Settings!$B$29:$B$40,MONTH(A4769)))))</f>
        <v/>
      </c>
    </row>
    <row r="4770" customFormat="false" ht="15" hidden="false" customHeight="false" outlineLevel="0" collapsed="false">
      <c r="H4770" s="0" t="str">
        <f aca="false">IF(B4770="","",IF(COUNTIF(Campaigns!$A$7:$A$300,B4770)&gt;0,"✓","⚠ add to Campaigns tab"))</f>
        <v/>
      </c>
      <c r="I4770" s="84" t="str">
        <f aca="false">IF(C4770="","",C4770*IF(Settings!$B$22=Settings!$C$6,1,IF(Settings!$B$22="USD",1/INDEX(Settings!$B$29:$B$40,MONTH(A4770)),INDEX(Settings!$B$29:$B$40,MONTH(A4770)))))</f>
        <v/>
      </c>
    </row>
    <row r="4771" customFormat="false" ht="15" hidden="false" customHeight="false" outlineLevel="0" collapsed="false">
      <c r="H4771" s="0" t="str">
        <f aca="false">IF(B4771="","",IF(COUNTIF(Campaigns!$A$7:$A$300,B4771)&gt;0,"✓","⚠ add to Campaigns tab"))</f>
        <v/>
      </c>
      <c r="I4771" s="84" t="str">
        <f aca="false">IF(C4771="","",C4771*IF(Settings!$B$22=Settings!$C$6,1,IF(Settings!$B$22="USD",1/INDEX(Settings!$B$29:$B$40,MONTH(A4771)),INDEX(Settings!$B$29:$B$40,MONTH(A4771)))))</f>
        <v/>
      </c>
    </row>
    <row r="4772" customFormat="false" ht="15" hidden="false" customHeight="false" outlineLevel="0" collapsed="false">
      <c r="H4772" s="0" t="str">
        <f aca="false">IF(B4772="","",IF(COUNTIF(Campaigns!$A$7:$A$300,B4772)&gt;0,"✓","⚠ add to Campaigns tab"))</f>
        <v/>
      </c>
      <c r="I4772" s="84" t="str">
        <f aca="false">IF(C4772="","",C4772*IF(Settings!$B$22=Settings!$C$6,1,IF(Settings!$B$22="USD",1/INDEX(Settings!$B$29:$B$40,MONTH(A4772)),INDEX(Settings!$B$29:$B$40,MONTH(A4772)))))</f>
        <v/>
      </c>
    </row>
    <row r="4773" customFormat="false" ht="15" hidden="false" customHeight="false" outlineLevel="0" collapsed="false">
      <c r="H4773" s="0" t="str">
        <f aca="false">IF(B4773="","",IF(COUNTIF(Campaigns!$A$7:$A$300,B4773)&gt;0,"✓","⚠ add to Campaigns tab"))</f>
        <v/>
      </c>
      <c r="I4773" s="84" t="str">
        <f aca="false">IF(C4773="","",C4773*IF(Settings!$B$22=Settings!$C$6,1,IF(Settings!$B$22="USD",1/INDEX(Settings!$B$29:$B$40,MONTH(A4773)),INDEX(Settings!$B$29:$B$40,MONTH(A4773)))))</f>
        <v/>
      </c>
    </row>
    <row r="4774" customFormat="false" ht="15" hidden="false" customHeight="false" outlineLevel="0" collapsed="false">
      <c r="H4774" s="0" t="str">
        <f aca="false">IF(B4774="","",IF(COUNTIF(Campaigns!$A$7:$A$300,B4774)&gt;0,"✓","⚠ add to Campaigns tab"))</f>
        <v/>
      </c>
      <c r="I4774" s="84" t="str">
        <f aca="false">IF(C4774="","",C4774*IF(Settings!$B$22=Settings!$C$6,1,IF(Settings!$B$22="USD",1/INDEX(Settings!$B$29:$B$40,MONTH(A4774)),INDEX(Settings!$B$29:$B$40,MONTH(A4774)))))</f>
        <v/>
      </c>
    </row>
    <row r="4775" customFormat="false" ht="15" hidden="false" customHeight="false" outlineLevel="0" collapsed="false">
      <c r="H4775" s="0" t="str">
        <f aca="false">IF(B4775="","",IF(COUNTIF(Campaigns!$A$7:$A$300,B4775)&gt;0,"✓","⚠ add to Campaigns tab"))</f>
        <v/>
      </c>
      <c r="I4775" s="84" t="str">
        <f aca="false">IF(C4775="","",C4775*IF(Settings!$B$22=Settings!$C$6,1,IF(Settings!$B$22="USD",1/INDEX(Settings!$B$29:$B$40,MONTH(A4775)),INDEX(Settings!$B$29:$B$40,MONTH(A4775)))))</f>
        <v/>
      </c>
    </row>
    <row r="4776" customFormat="false" ht="15" hidden="false" customHeight="false" outlineLevel="0" collapsed="false">
      <c r="H4776" s="0" t="str">
        <f aca="false">IF(B4776="","",IF(COUNTIF(Campaigns!$A$7:$A$300,B4776)&gt;0,"✓","⚠ add to Campaigns tab"))</f>
        <v/>
      </c>
      <c r="I4776" s="84" t="str">
        <f aca="false">IF(C4776="","",C4776*IF(Settings!$B$22=Settings!$C$6,1,IF(Settings!$B$22="USD",1/INDEX(Settings!$B$29:$B$40,MONTH(A4776)),INDEX(Settings!$B$29:$B$40,MONTH(A4776)))))</f>
        <v/>
      </c>
    </row>
    <row r="4777" customFormat="false" ht="15" hidden="false" customHeight="false" outlineLevel="0" collapsed="false">
      <c r="H4777" s="0" t="str">
        <f aca="false">IF(B4777="","",IF(COUNTIF(Campaigns!$A$7:$A$300,B4777)&gt;0,"✓","⚠ add to Campaigns tab"))</f>
        <v/>
      </c>
      <c r="I4777" s="84" t="str">
        <f aca="false">IF(C4777="","",C4777*IF(Settings!$B$22=Settings!$C$6,1,IF(Settings!$B$22="USD",1/INDEX(Settings!$B$29:$B$40,MONTH(A4777)),INDEX(Settings!$B$29:$B$40,MONTH(A4777)))))</f>
        <v/>
      </c>
    </row>
    <row r="4778" customFormat="false" ht="15" hidden="false" customHeight="false" outlineLevel="0" collapsed="false">
      <c r="H4778" s="0" t="str">
        <f aca="false">IF(B4778="","",IF(COUNTIF(Campaigns!$A$7:$A$300,B4778)&gt;0,"✓","⚠ add to Campaigns tab"))</f>
        <v/>
      </c>
      <c r="I4778" s="84" t="str">
        <f aca="false">IF(C4778="","",C4778*IF(Settings!$B$22=Settings!$C$6,1,IF(Settings!$B$22="USD",1/INDEX(Settings!$B$29:$B$40,MONTH(A4778)),INDEX(Settings!$B$29:$B$40,MONTH(A4778)))))</f>
        <v/>
      </c>
    </row>
    <row r="4779" customFormat="false" ht="15" hidden="false" customHeight="false" outlineLevel="0" collapsed="false">
      <c r="H4779" s="0" t="str">
        <f aca="false">IF(B4779="","",IF(COUNTIF(Campaigns!$A$7:$A$300,B4779)&gt;0,"✓","⚠ add to Campaigns tab"))</f>
        <v/>
      </c>
      <c r="I4779" s="84" t="str">
        <f aca="false">IF(C4779="","",C4779*IF(Settings!$B$22=Settings!$C$6,1,IF(Settings!$B$22="USD",1/INDEX(Settings!$B$29:$B$40,MONTH(A4779)),INDEX(Settings!$B$29:$B$40,MONTH(A4779)))))</f>
        <v/>
      </c>
    </row>
    <row r="4780" customFormat="false" ht="15" hidden="false" customHeight="false" outlineLevel="0" collapsed="false">
      <c r="H4780" s="0" t="str">
        <f aca="false">IF(B4780="","",IF(COUNTIF(Campaigns!$A$7:$A$300,B4780)&gt;0,"✓","⚠ add to Campaigns tab"))</f>
        <v/>
      </c>
      <c r="I4780" s="84" t="str">
        <f aca="false">IF(C4780="","",C4780*IF(Settings!$B$22=Settings!$C$6,1,IF(Settings!$B$22="USD",1/INDEX(Settings!$B$29:$B$40,MONTH(A4780)),INDEX(Settings!$B$29:$B$40,MONTH(A4780)))))</f>
        <v/>
      </c>
    </row>
    <row r="4781" customFormat="false" ht="15" hidden="false" customHeight="false" outlineLevel="0" collapsed="false">
      <c r="H4781" s="0" t="str">
        <f aca="false">IF(B4781="","",IF(COUNTIF(Campaigns!$A$7:$A$300,B4781)&gt;0,"✓","⚠ add to Campaigns tab"))</f>
        <v/>
      </c>
      <c r="I4781" s="84" t="str">
        <f aca="false">IF(C4781="","",C4781*IF(Settings!$B$22=Settings!$C$6,1,IF(Settings!$B$22="USD",1/INDEX(Settings!$B$29:$B$40,MONTH(A4781)),INDEX(Settings!$B$29:$B$40,MONTH(A4781)))))</f>
        <v/>
      </c>
    </row>
    <row r="4782" customFormat="false" ht="15" hidden="false" customHeight="false" outlineLevel="0" collapsed="false">
      <c r="H4782" s="0" t="str">
        <f aca="false">IF(B4782="","",IF(COUNTIF(Campaigns!$A$7:$A$300,B4782)&gt;0,"✓","⚠ add to Campaigns tab"))</f>
        <v/>
      </c>
      <c r="I4782" s="84" t="str">
        <f aca="false">IF(C4782="","",C4782*IF(Settings!$B$22=Settings!$C$6,1,IF(Settings!$B$22="USD",1/INDEX(Settings!$B$29:$B$40,MONTH(A4782)),INDEX(Settings!$B$29:$B$40,MONTH(A4782)))))</f>
        <v/>
      </c>
    </row>
    <row r="4783" customFormat="false" ht="15" hidden="false" customHeight="false" outlineLevel="0" collapsed="false">
      <c r="H4783" s="0" t="str">
        <f aca="false">IF(B4783="","",IF(COUNTIF(Campaigns!$A$7:$A$300,B4783)&gt;0,"✓","⚠ add to Campaigns tab"))</f>
        <v/>
      </c>
      <c r="I4783" s="84" t="str">
        <f aca="false">IF(C4783="","",C4783*IF(Settings!$B$22=Settings!$C$6,1,IF(Settings!$B$22="USD",1/INDEX(Settings!$B$29:$B$40,MONTH(A4783)),INDEX(Settings!$B$29:$B$40,MONTH(A4783)))))</f>
        <v/>
      </c>
    </row>
    <row r="4784" customFormat="false" ht="15" hidden="false" customHeight="false" outlineLevel="0" collapsed="false">
      <c r="H4784" s="0" t="str">
        <f aca="false">IF(B4784="","",IF(COUNTIF(Campaigns!$A$7:$A$300,B4784)&gt;0,"✓","⚠ add to Campaigns tab"))</f>
        <v/>
      </c>
      <c r="I4784" s="84" t="str">
        <f aca="false">IF(C4784="","",C4784*IF(Settings!$B$22=Settings!$C$6,1,IF(Settings!$B$22="USD",1/INDEX(Settings!$B$29:$B$40,MONTH(A4784)),INDEX(Settings!$B$29:$B$40,MONTH(A4784)))))</f>
        <v/>
      </c>
    </row>
    <row r="4785" customFormat="false" ht="15" hidden="false" customHeight="false" outlineLevel="0" collapsed="false">
      <c r="H4785" s="0" t="str">
        <f aca="false">IF(B4785="","",IF(COUNTIF(Campaigns!$A$7:$A$300,B4785)&gt;0,"✓","⚠ add to Campaigns tab"))</f>
        <v/>
      </c>
      <c r="I4785" s="84" t="str">
        <f aca="false">IF(C4785="","",C4785*IF(Settings!$B$22=Settings!$C$6,1,IF(Settings!$B$22="USD",1/INDEX(Settings!$B$29:$B$40,MONTH(A4785)),INDEX(Settings!$B$29:$B$40,MONTH(A4785)))))</f>
        <v/>
      </c>
    </row>
    <row r="4786" customFormat="false" ht="15" hidden="false" customHeight="false" outlineLevel="0" collapsed="false">
      <c r="H4786" s="0" t="str">
        <f aca="false">IF(B4786="","",IF(COUNTIF(Campaigns!$A$7:$A$300,B4786)&gt;0,"✓","⚠ add to Campaigns tab"))</f>
        <v/>
      </c>
      <c r="I4786" s="84" t="str">
        <f aca="false">IF(C4786="","",C4786*IF(Settings!$B$22=Settings!$C$6,1,IF(Settings!$B$22="USD",1/INDEX(Settings!$B$29:$B$40,MONTH(A4786)),INDEX(Settings!$B$29:$B$40,MONTH(A4786)))))</f>
        <v/>
      </c>
    </row>
    <row r="4787" customFormat="false" ht="15" hidden="false" customHeight="false" outlineLevel="0" collapsed="false">
      <c r="H4787" s="0" t="str">
        <f aca="false">IF(B4787="","",IF(COUNTIF(Campaigns!$A$7:$A$300,B4787)&gt;0,"✓","⚠ add to Campaigns tab"))</f>
        <v/>
      </c>
      <c r="I4787" s="84" t="str">
        <f aca="false">IF(C4787="","",C4787*IF(Settings!$B$22=Settings!$C$6,1,IF(Settings!$B$22="USD",1/INDEX(Settings!$B$29:$B$40,MONTH(A4787)),INDEX(Settings!$B$29:$B$40,MONTH(A4787)))))</f>
        <v/>
      </c>
    </row>
    <row r="4788" customFormat="false" ht="15" hidden="false" customHeight="false" outlineLevel="0" collapsed="false">
      <c r="H4788" s="0" t="str">
        <f aca="false">IF(B4788="","",IF(COUNTIF(Campaigns!$A$7:$A$300,B4788)&gt;0,"✓","⚠ add to Campaigns tab"))</f>
        <v/>
      </c>
      <c r="I4788" s="84" t="str">
        <f aca="false">IF(C4788="","",C4788*IF(Settings!$B$22=Settings!$C$6,1,IF(Settings!$B$22="USD",1/INDEX(Settings!$B$29:$B$40,MONTH(A4788)),INDEX(Settings!$B$29:$B$40,MONTH(A4788)))))</f>
        <v/>
      </c>
    </row>
    <row r="4789" customFormat="false" ht="15" hidden="false" customHeight="false" outlineLevel="0" collapsed="false">
      <c r="H4789" s="0" t="str">
        <f aca="false">IF(B4789="","",IF(COUNTIF(Campaigns!$A$7:$A$300,B4789)&gt;0,"✓","⚠ add to Campaigns tab"))</f>
        <v/>
      </c>
      <c r="I4789" s="84" t="str">
        <f aca="false">IF(C4789="","",C4789*IF(Settings!$B$22=Settings!$C$6,1,IF(Settings!$B$22="USD",1/INDEX(Settings!$B$29:$B$40,MONTH(A4789)),INDEX(Settings!$B$29:$B$40,MONTH(A4789)))))</f>
        <v/>
      </c>
    </row>
    <row r="4790" customFormat="false" ht="15" hidden="false" customHeight="false" outlineLevel="0" collapsed="false">
      <c r="H4790" s="0" t="str">
        <f aca="false">IF(B4790="","",IF(COUNTIF(Campaigns!$A$7:$A$300,B4790)&gt;0,"✓","⚠ add to Campaigns tab"))</f>
        <v/>
      </c>
      <c r="I4790" s="84" t="str">
        <f aca="false">IF(C4790="","",C4790*IF(Settings!$B$22=Settings!$C$6,1,IF(Settings!$B$22="USD",1/INDEX(Settings!$B$29:$B$40,MONTH(A4790)),INDEX(Settings!$B$29:$B$40,MONTH(A4790)))))</f>
        <v/>
      </c>
    </row>
    <row r="4791" customFormat="false" ht="15" hidden="false" customHeight="false" outlineLevel="0" collapsed="false">
      <c r="H4791" s="0" t="str">
        <f aca="false">IF(B4791="","",IF(COUNTIF(Campaigns!$A$7:$A$300,B4791)&gt;0,"✓","⚠ add to Campaigns tab"))</f>
        <v/>
      </c>
      <c r="I4791" s="84" t="str">
        <f aca="false">IF(C4791="","",C4791*IF(Settings!$B$22=Settings!$C$6,1,IF(Settings!$B$22="USD",1/INDEX(Settings!$B$29:$B$40,MONTH(A4791)),INDEX(Settings!$B$29:$B$40,MONTH(A4791)))))</f>
        <v/>
      </c>
    </row>
    <row r="4792" customFormat="false" ht="15" hidden="false" customHeight="false" outlineLevel="0" collapsed="false">
      <c r="H4792" s="0" t="str">
        <f aca="false">IF(B4792="","",IF(COUNTIF(Campaigns!$A$7:$A$300,B4792)&gt;0,"✓","⚠ add to Campaigns tab"))</f>
        <v/>
      </c>
      <c r="I4792" s="84" t="str">
        <f aca="false">IF(C4792="","",C4792*IF(Settings!$B$22=Settings!$C$6,1,IF(Settings!$B$22="USD",1/INDEX(Settings!$B$29:$B$40,MONTH(A4792)),INDEX(Settings!$B$29:$B$40,MONTH(A4792)))))</f>
        <v/>
      </c>
    </row>
    <row r="4793" customFormat="false" ht="15" hidden="false" customHeight="false" outlineLevel="0" collapsed="false">
      <c r="H4793" s="0" t="str">
        <f aca="false">IF(B4793="","",IF(COUNTIF(Campaigns!$A$7:$A$300,B4793)&gt;0,"✓","⚠ add to Campaigns tab"))</f>
        <v/>
      </c>
      <c r="I4793" s="84" t="str">
        <f aca="false">IF(C4793="","",C4793*IF(Settings!$B$22=Settings!$C$6,1,IF(Settings!$B$22="USD",1/INDEX(Settings!$B$29:$B$40,MONTH(A4793)),INDEX(Settings!$B$29:$B$40,MONTH(A4793)))))</f>
        <v/>
      </c>
    </row>
    <row r="4794" customFormat="false" ht="15" hidden="false" customHeight="false" outlineLevel="0" collapsed="false">
      <c r="H4794" s="0" t="str">
        <f aca="false">IF(B4794="","",IF(COUNTIF(Campaigns!$A$7:$A$300,B4794)&gt;0,"✓","⚠ add to Campaigns tab"))</f>
        <v/>
      </c>
      <c r="I4794" s="84" t="str">
        <f aca="false">IF(C4794="","",C4794*IF(Settings!$B$22=Settings!$C$6,1,IF(Settings!$B$22="USD",1/INDEX(Settings!$B$29:$B$40,MONTH(A4794)),INDEX(Settings!$B$29:$B$40,MONTH(A4794)))))</f>
        <v/>
      </c>
    </row>
    <row r="4795" customFormat="false" ht="15" hidden="false" customHeight="false" outlineLevel="0" collapsed="false">
      <c r="H4795" s="0" t="str">
        <f aca="false">IF(B4795="","",IF(COUNTIF(Campaigns!$A$7:$A$300,B4795)&gt;0,"✓","⚠ add to Campaigns tab"))</f>
        <v/>
      </c>
      <c r="I4795" s="84" t="str">
        <f aca="false">IF(C4795="","",C4795*IF(Settings!$B$22=Settings!$C$6,1,IF(Settings!$B$22="USD",1/INDEX(Settings!$B$29:$B$40,MONTH(A4795)),INDEX(Settings!$B$29:$B$40,MONTH(A4795)))))</f>
        <v/>
      </c>
    </row>
    <row r="4796" customFormat="false" ht="15" hidden="false" customHeight="false" outlineLevel="0" collapsed="false">
      <c r="H4796" s="0" t="str">
        <f aca="false">IF(B4796="","",IF(COUNTIF(Campaigns!$A$7:$A$300,B4796)&gt;0,"✓","⚠ add to Campaigns tab"))</f>
        <v/>
      </c>
      <c r="I4796" s="84" t="str">
        <f aca="false">IF(C4796="","",C4796*IF(Settings!$B$22=Settings!$C$6,1,IF(Settings!$B$22="USD",1/INDEX(Settings!$B$29:$B$40,MONTH(A4796)),INDEX(Settings!$B$29:$B$40,MONTH(A4796)))))</f>
        <v/>
      </c>
    </row>
    <row r="4797" customFormat="false" ht="15" hidden="false" customHeight="false" outlineLevel="0" collapsed="false">
      <c r="H4797" s="0" t="str">
        <f aca="false">IF(B4797="","",IF(COUNTIF(Campaigns!$A$7:$A$300,B4797)&gt;0,"✓","⚠ add to Campaigns tab"))</f>
        <v/>
      </c>
      <c r="I4797" s="84" t="str">
        <f aca="false">IF(C4797="","",C4797*IF(Settings!$B$22=Settings!$C$6,1,IF(Settings!$B$22="USD",1/INDEX(Settings!$B$29:$B$40,MONTH(A4797)),INDEX(Settings!$B$29:$B$40,MONTH(A4797)))))</f>
        <v/>
      </c>
    </row>
    <row r="4798" customFormat="false" ht="15" hidden="false" customHeight="false" outlineLevel="0" collapsed="false">
      <c r="H4798" s="0" t="str">
        <f aca="false">IF(B4798="","",IF(COUNTIF(Campaigns!$A$7:$A$300,B4798)&gt;0,"✓","⚠ add to Campaigns tab"))</f>
        <v/>
      </c>
      <c r="I4798" s="84" t="str">
        <f aca="false">IF(C4798="","",C4798*IF(Settings!$B$22=Settings!$C$6,1,IF(Settings!$B$22="USD",1/INDEX(Settings!$B$29:$B$40,MONTH(A4798)),INDEX(Settings!$B$29:$B$40,MONTH(A4798)))))</f>
        <v/>
      </c>
    </row>
    <row r="4799" customFormat="false" ht="15" hidden="false" customHeight="false" outlineLevel="0" collapsed="false">
      <c r="H4799" s="0" t="str">
        <f aca="false">IF(B4799="","",IF(COUNTIF(Campaigns!$A$7:$A$300,B4799)&gt;0,"✓","⚠ add to Campaigns tab"))</f>
        <v/>
      </c>
      <c r="I4799" s="84" t="str">
        <f aca="false">IF(C4799="","",C4799*IF(Settings!$B$22=Settings!$C$6,1,IF(Settings!$B$22="USD",1/INDEX(Settings!$B$29:$B$40,MONTH(A4799)),INDEX(Settings!$B$29:$B$40,MONTH(A4799)))))</f>
        <v/>
      </c>
    </row>
    <row r="4800" customFormat="false" ht="15" hidden="false" customHeight="false" outlineLevel="0" collapsed="false">
      <c r="H4800" s="0" t="str">
        <f aca="false">IF(B4800="","",IF(COUNTIF(Campaigns!$A$7:$A$300,B4800)&gt;0,"✓","⚠ add to Campaigns tab"))</f>
        <v/>
      </c>
      <c r="I4800" s="84" t="str">
        <f aca="false">IF(C4800="","",C4800*IF(Settings!$B$22=Settings!$C$6,1,IF(Settings!$B$22="USD",1/INDEX(Settings!$B$29:$B$40,MONTH(A4800)),INDEX(Settings!$B$29:$B$40,MONTH(A4800)))))</f>
        <v/>
      </c>
    </row>
    <row r="4801" customFormat="false" ht="15" hidden="false" customHeight="false" outlineLevel="0" collapsed="false">
      <c r="H4801" s="0" t="str">
        <f aca="false">IF(B4801="","",IF(COUNTIF(Campaigns!$A$7:$A$300,B4801)&gt;0,"✓","⚠ add to Campaigns tab"))</f>
        <v/>
      </c>
      <c r="I4801" s="84" t="str">
        <f aca="false">IF(C4801="","",C4801*IF(Settings!$B$22=Settings!$C$6,1,IF(Settings!$B$22="USD",1/INDEX(Settings!$B$29:$B$40,MONTH(A4801)),INDEX(Settings!$B$29:$B$40,MONTH(A4801)))))</f>
        <v/>
      </c>
    </row>
    <row r="4802" customFormat="false" ht="15" hidden="false" customHeight="false" outlineLevel="0" collapsed="false">
      <c r="H4802" s="0" t="str">
        <f aca="false">IF(B4802="","",IF(COUNTIF(Campaigns!$A$7:$A$300,B4802)&gt;0,"✓","⚠ add to Campaigns tab"))</f>
        <v/>
      </c>
      <c r="I4802" s="84" t="str">
        <f aca="false">IF(C4802="","",C4802*IF(Settings!$B$22=Settings!$C$6,1,IF(Settings!$B$22="USD",1/INDEX(Settings!$B$29:$B$40,MONTH(A4802)),INDEX(Settings!$B$29:$B$40,MONTH(A4802)))))</f>
        <v/>
      </c>
    </row>
    <row r="4803" customFormat="false" ht="15" hidden="false" customHeight="false" outlineLevel="0" collapsed="false">
      <c r="H4803" s="0" t="str">
        <f aca="false">IF(B4803="","",IF(COUNTIF(Campaigns!$A$7:$A$300,B4803)&gt;0,"✓","⚠ add to Campaigns tab"))</f>
        <v/>
      </c>
      <c r="I4803" s="84" t="str">
        <f aca="false">IF(C4803="","",C4803*IF(Settings!$B$22=Settings!$C$6,1,IF(Settings!$B$22="USD",1/INDEX(Settings!$B$29:$B$40,MONTH(A4803)),INDEX(Settings!$B$29:$B$40,MONTH(A4803)))))</f>
        <v/>
      </c>
    </row>
    <row r="4804" customFormat="false" ht="15" hidden="false" customHeight="false" outlineLevel="0" collapsed="false">
      <c r="H4804" s="0" t="str">
        <f aca="false">IF(B4804="","",IF(COUNTIF(Campaigns!$A$7:$A$300,B4804)&gt;0,"✓","⚠ add to Campaigns tab"))</f>
        <v/>
      </c>
      <c r="I4804" s="84" t="str">
        <f aca="false">IF(C4804="","",C4804*IF(Settings!$B$22=Settings!$C$6,1,IF(Settings!$B$22="USD",1/INDEX(Settings!$B$29:$B$40,MONTH(A4804)),INDEX(Settings!$B$29:$B$40,MONTH(A4804)))))</f>
        <v/>
      </c>
    </row>
    <row r="4805" customFormat="false" ht="15" hidden="false" customHeight="false" outlineLevel="0" collapsed="false">
      <c r="H4805" s="0" t="str">
        <f aca="false">IF(B4805="","",IF(COUNTIF(Campaigns!$A$7:$A$300,B4805)&gt;0,"✓","⚠ add to Campaigns tab"))</f>
        <v/>
      </c>
      <c r="I4805" s="84" t="str">
        <f aca="false">IF(C4805="","",C4805*IF(Settings!$B$22=Settings!$C$6,1,IF(Settings!$B$22="USD",1/INDEX(Settings!$B$29:$B$40,MONTH(A4805)),INDEX(Settings!$B$29:$B$40,MONTH(A4805)))))</f>
        <v/>
      </c>
    </row>
    <row r="4806" customFormat="false" ht="15" hidden="false" customHeight="false" outlineLevel="0" collapsed="false">
      <c r="H4806" s="0" t="str">
        <f aca="false">IF(B4806="","",IF(COUNTIF(Campaigns!$A$7:$A$300,B4806)&gt;0,"✓","⚠ add to Campaigns tab"))</f>
        <v/>
      </c>
      <c r="I4806" s="84" t="str">
        <f aca="false">IF(C4806="","",C4806*IF(Settings!$B$22=Settings!$C$6,1,IF(Settings!$B$22="USD",1/INDEX(Settings!$B$29:$B$40,MONTH(A4806)),INDEX(Settings!$B$29:$B$40,MONTH(A4806)))))</f>
        <v/>
      </c>
    </row>
    <row r="4807" customFormat="false" ht="15" hidden="false" customHeight="false" outlineLevel="0" collapsed="false">
      <c r="H4807" s="0" t="str">
        <f aca="false">IF(B4807="","",IF(COUNTIF(Campaigns!$A$7:$A$300,B4807)&gt;0,"✓","⚠ add to Campaigns tab"))</f>
        <v/>
      </c>
      <c r="I4807" s="84" t="str">
        <f aca="false">IF(C4807="","",C4807*IF(Settings!$B$22=Settings!$C$6,1,IF(Settings!$B$22="USD",1/INDEX(Settings!$B$29:$B$40,MONTH(A4807)),INDEX(Settings!$B$29:$B$40,MONTH(A4807)))))</f>
        <v/>
      </c>
    </row>
    <row r="4808" customFormat="false" ht="15" hidden="false" customHeight="false" outlineLevel="0" collapsed="false">
      <c r="H4808" s="0" t="str">
        <f aca="false">IF(B4808="","",IF(COUNTIF(Campaigns!$A$7:$A$300,B4808)&gt;0,"✓","⚠ add to Campaigns tab"))</f>
        <v/>
      </c>
      <c r="I4808" s="84" t="str">
        <f aca="false">IF(C4808="","",C4808*IF(Settings!$B$22=Settings!$C$6,1,IF(Settings!$B$22="USD",1/INDEX(Settings!$B$29:$B$40,MONTH(A4808)),INDEX(Settings!$B$29:$B$40,MONTH(A4808)))))</f>
        <v/>
      </c>
    </row>
    <row r="4809" customFormat="false" ht="15" hidden="false" customHeight="false" outlineLevel="0" collapsed="false">
      <c r="H4809" s="0" t="str">
        <f aca="false">IF(B4809="","",IF(COUNTIF(Campaigns!$A$7:$A$300,B4809)&gt;0,"✓","⚠ add to Campaigns tab"))</f>
        <v/>
      </c>
      <c r="I4809" s="84" t="str">
        <f aca="false">IF(C4809="","",C4809*IF(Settings!$B$22=Settings!$C$6,1,IF(Settings!$B$22="USD",1/INDEX(Settings!$B$29:$B$40,MONTH(A4809)),INDEX(Settings!$B$29:$B$40,MONTH(A4809)))))</f>
        <v/>
      </c>
    </row>
    <row r="4810" customFormat="false" ht="15" hidden="false" customHeight="false" outlineLevel="0" collapsed="false">
      <c r="H4810" s="0" t="str">
        <f aca="false">IF(B4810="","",IF(COUNTIF(Campaigns!$A$7:$A$300,B4810)&gt;0,"✓","⚠ add to Campaigns tab"))</f>
        <v/>
      </c>
      <c r="I4810" s="84" t="str">
        <f aca="false">IF(C4810="","",C4810*IF(Settings!$B$22=Settings!$C$6,1,IF(Settings!$B$22="USD",1/INDEX(Settings!$B$29:$B$40,MONTH(A4810)),INDEX(Settings!$B$29:$B$40,MONTH(A4810)))))</f>
        <v/>
      </c>
    </row>
    <row r="4811" customFormat="false" ht="15" hidden="false" customHeight="false" outlineLevel="0" collapsed="false">
      <c r="H4811" s="0" t="str">
        <f aca="false">IF(B4811="","",IF(COUNTIF(Campaigns!$A$7:$A$300,B4811)&gt;0,"✓","⚠ add to Campaigns tab"))</f>
        <v/>
      </c>
      <c r="I4811" s="84" t="str">
        <f aca="false">IF(C4811="","",C4811*IF(Settings!$B$22=Settings!$C$6,1,IF(Settings!$B$22="USD",1/INDEX(Settings!$B$29:$B$40,MONTH(A4811)),INDEX(Settings!$B$29:$B$40,MONTH(A4811)))))</f>
        <v/>
      </c>
    </row>
    <row r="4812" customFormat="false" ht="15" hidden="false" customHeight="false" outlineLevel="0" collapsed="false">
      <c r="H4812" s="0" t="str">
        <f aca="false">IF(B4812="","",IF(COUNTIF(Campaigns!$A$7:$A$300,B4812)&gt;0,"✓","⚠ add to Campaigns tab"))</f>
        <v/>
      </c>
      <c r="I4812" s="84" t="str">
        <f aca="false">IF(C4812="","",C4812*IF(Settings!$B$22=Settings!$C$6,1,IF(Settings!$B$22="USD",1/INDEX(Settings!$B$29:$B$40,MONTH(A4812)),INDEX(Settings!$B$29:$B$40,MONTH(A4812)))))</f>
        <v/>
      </c>
    </row>
    <row r="4813" customFormat="false" ht="15" hidden="false" customHeight="false" outlineLevel="0" collapsed="false">
      <c r="H4813" s="0" t="str">
        <f aca="false">IF(B4813="","",IF(COUNTIF(Campaigns!$A$7:$A$300,B4813)&gt;0,"✓","⚠ add to Campaigns tab"))</f>
        <v/>
      </c>
      <c r="I4813" s="84" t="str">
        <f aca="false">IF(C4813="","",C4813*IF(Settings!$B$22=Settings!$C$6,1,IF(Settings!$B$22="USD",1/INDEX(Settings!$B$29:$B$40,MONTH(A4813)),INDEX(Settings!$B$29:$B$40,MONTH(A4813)))))</f>
        <v/>
      </c>
    </row>
    <row r="4814" customFormat="false" ht="15" hidden="false" customHeight="false" outlineLevel="0" collapsed="false">
      <c r="H4814" s="0" t="str">
        <f aca="false">IF(B4814="","",IF(COUNTIF(Campaigns!$A$7:$A$300,B4814)&gt;0,"✓","⚠ add to Campaigns tab"))</f>
        <v/>
      </c>
      <c r="I4814" s="84" t="str">
        <f aca="false">IF(C4814="","",C4814*IF(Settings!$B$22=Settings!$C$6,1,IF(Settings!$B$22="USD",1/INDEX(Settings!$B$29:$B$40,MONTH(A4814)),INDEX(Settings!$B$29:$B$40,MONTH(A4814)))))</f>
        <v/>
      </c>
    </row>
    <row r="4815" customFormat="false" ht="15" hidden="false" customHeight="false" outlineLevel="0" collapsed="false">
      <c r="H4815" s="0" t="str">
        <f aca="false">IF(B4815="","",IF(COUNTIF(Campaigns!$A$7:$A$300,B4815)&gt;0,"✓","⚠ add to Campaigns tab"))</f>
        <v/>
      </c>
      <c r="I4815" s="84" t="str">
        <f aca="false">IF(C4815="","",C4815*IF(Settings!$B$22=Settings!$C$6,1,IF(Settings!$B$22="USD",1/INDEX(Settings!$B$29:$B$40,MONTH(A4815)),INDEX(Settings!$B$29:$B$40,MONTH(A4815)))))</f>
        <v/>
      </c>
    </row>
    <row r="4816" customFormat="false" ht="15" hidden="false" customHeight="false" outlineLevel="0" collapsed="false">
      <c r="H4816" s="0" t="str">
        <f aca="false">IF(B4816="","",IF(COUNTIF(Campaigns!$A$7:$A$300,B4816)&gt;0,"✓","⚠ add to Campaigns tab"))</f>
        <v/>
      </c>
      <c r="I4816" s="84" t="str">
        <f aca="false">IF(C4816="","",C4816*IF(Settings!$B$22=Settings!$C$6,1,IF(Settings!$B$22="USD",1/INDEX(Settings!$B$29:$B$40,MONTH(A4816)),INDEX(Settings!$B$29:$B$40,MONTH(A4816)))))</f>
        <v/>
      </c>
    </row>
    <row r="4817" customFormat="false" ht="15" hidden="false" customHeight="false" outlineLevel="0" collapsed="false">
      <c r="H4817" s="0" t="str">
        <f aca="false">IF(B4817="","",IF(COUNTIF(Campaigns!$A$7:$A$300,B4817)&gt;0,"✓","⚠ add to Campaigns tab"))</f>
        <v/>
      </c>
      <c r="I4817" s="84" t="str">
        <f aca="false">IF(C4817="","",C4817*IF(Settings!$B$22=Settings!$C$6,1,IF(Settings!$B$22="USD",1/INDEX(Settings!$B$29:$B$40,MONTH(A4817)),INDEX(Settings!$B$29:$B$40,MONTH(A4817)))))</f>
        <v/>
      </c>
    </row>
    <row r="4818" customFormat="false" ht="15" hidden="false" customHeight="false" outlineLevel="0" collapsed="false">
      <c r="H4818" s="0" t="str">
        <f aca="false">IF(B4818="","",IF(COUNTIF(Campaigns!$A$7:$A$300,B4818)&gt;0,"✓","⚠ add to Campaigns tab"))</f>
        <v/>
      </c>
      <c r="I4818" s="84" t="str">
        <f aca="false">IF(C4818="","",C4818*IF(Settings!$B$22=Settings!$C$6,1,IF(Settings!$B$22="USD",1/INDEX(Settings!$B$29:$B$40,MONTH(A4818)),INDEX(Settings!$B$29:$B$40,MONTH(A4818)))))</f>
        <v/>
      </c>
    </row>
    <row r="4819" customFormat="false" ht="15" hidden="false" customHeight="false" outlineLevel="0" collapsed="false">
      <c r="H4819" s="0" t="str">
        <f aca="false">IF(B4819="","",IF(COUNTIF(Campaigns!$A$7:$A$300,B4819)&gt;0,"✓","⚠ add to Campaigns tab"))</f>
        <v/>
      </c>
      <c r="I4819" s="84" t="str">
        <f aca="false">IF(C4819="","",C4819*IF(Settings!$B$22=Settings!$C$6,1,IF(Settings!$B$22="USD",1/INDEX(Settings!$B$29:$B$40,MONTH(A4819)),INDEX(Settings!$B$29:$B$40,MONTH(A4819)))))</f>
        <v/>
      </c>
    </row>
    <row r="4820" customFormat="false" ht="15" hidden="false" customHeight="false" outlineLevel="0" collapsed="false">
      <c r="H4820" s="0" t="str">
        <f aca="false">IF(B4820="","",IF(COUNTIF(Campaigns!$A$7:$A$300,B4820)&gt;0,"✓","⚠ add to Campaigns tab"))</f>
        <v/>
      </c>
      <c r="I4820" s="84" t="str">
        <f aca="false">IF(C4820="","",C4820*IF(Settings!$B$22=Settings!$C$6,1,IF(Settings!$B$22="USD",1/INDEX(Settings!$B$29:$B$40,MONTH(A4820)),INDEX(Settings!$B$29:$B$40,MONTH(A4820)))))</f>
        <v/>
      </c>
    </row>
    <row r="4821" customFormat="false" ht="15" hidden="false" customHeight="false" outlineLevel="0" collapsed="false">
      <c r="H4821" s="0" t="str">
        <f aca="false">IF(B4821="","",IF(COUNTIF(Campaigns!$A$7:$A$300,B4821)&gt;0,"✓","⚠ add to Campaigns tab"))</f>
        <v/>
      </c>
      <c r="I4821" s="84" t="str">
        <f aca="false">IF(C4821="","",C4821*IF(Settings!$B$22=Settings!$C$6,1,IF(Settings!$B$22="USD",1/INDEX(Settings!$B$29:$B$40,MONTH(A4821)),INDEX(Settings!$B$29:$B$40,MONTH(A4821)))))</f>
        <v/>
      </c>
    </row>
    <row r="4822" customFormat="false" ht="15" hidden="false" customHeight="false" outlineLevel="0" collapsed="false">
      <c r="H4822" s="0" t="str">
        <f aca="false">IF(B4822="","",IF(COUNTIF(Campaigns!$A$7:$A$300,B4822)&gt;0,"✓","⚠ add to Campaigns tab"))</f>
        <v/>
      </c>
      <c r="I4822" s="84" t="str">
        <f aca="false">IF(C4822="","",C4822*IF(Settings!$B$22=Settings!$C$6,1,IF(Settings!$B$22="USD",1/INDEX(Settings!$B$29:$B$40,MONTH(A4822)),INDEX(Settings!$B$29:$B$40,MONTH(A4822)))))</f>
        <v/>
      </c>
    </row>
    <row r="4823" customFormat="false" ht="15" hidden="false" customHeight="false" outlineLevel="0" collapsed="false">
      <c r="H4823" s="0" t="str">
        <f aca="false">IF(B4823="","",IF(COUNTIF(Campaigns!$A$7:$A$300,B4823)&gt;0,"✓","⚠ add to Campaigns tab"))</f>
        <v/>
      </c>
      <c r="I4823" s="84" t="str">
        <f aca="false">IF(C4823="","",C4823*IF(Settings!$B$22=Settings!$C$6,1,IF(Settings!$B$22="USD",1/INDEX(Settings!$B$29:$B$40,MONTH(A4823)),INDEX(Settings!$B$29:$B$40,MONTH(A4823)))))</f>
        <v/>
      </c>
    </row>
    <row r="4824" customFormat="false" ht="15" hidden="false" customHeight="false" outlineLevel="0" collapsed="false">
      <c r="H4824" s="0" t="str">
        <f aca="false">IF(B4824="","",IF(COUNTIF(Campaigns!$A$7:$A$300,B4824)&gt;0,"✓","⚠ add to Campaigns tab"))</f>
        <v/>
      </c>
      <c r="I4824" s="84" t="str">
        <f aca="false">IF(C4824="","",C4824*IF(Settings!$B$22=Settings!$C$6,1,IF(Settings!$B$22="USD",1/INDEX(Settings!$B$29:$B$40,MONTH(A4824)),INDEX(Settings!$B$29:$B$40,MONTH(A4824)))))</f>
        <v/>
      </c>
    </row>
    <row r="4825" customFormat="false" ht="15" hidden="false" customHeight="false" outlineLevel="0" collapsed="false">
      <c r="H4825" s="0" t="str">
        <f aca="false">IF(B4825="","",IF(COUNTIF(Campaigns!$A$7:$A$300,B4825)&gt;0,"✓","⚠ add to Campaigns tab"))</f>
        <v/>
      </c>
      <c r="I4825" s="84" t="str">
        <f aca="false">IF(C4825="","",C4825*IF(Settings!$B$22=Settings!$C$6,1,IF(Settings!$B$22="USD",1/INDEX(Settings!$B$29:$B$40,MONTH(A4825)),INDEX(Settings!$B$29:$B$40,MONTH(A4825)))))</f>
        <v/>
      </c>
    </row>
    <row r="4826" customFormat="false" ht="15" hidden="false" customHeight="false" outlineLevel="0" collapsed="false">
      <c r="H4826" s="0" t="str">
        <f aca="false">IF(B4826="","",IF(COUNTIF(Campaigns!$A$7:$A$300,B4826)&gt;0,"✓","⚠ add to Campaigns tab"))</f>
        <v/>
      </c>
      <c r="I4826" s="84" t="str">
        <f aca="false">IF(C4826="","",C4826*IF(Settings!$B$22=Settings!$C$6,1,IF(Settings!$B$22="USD",1/INDEX(Settings!$B$29:$B$40,MONTH(A4826)),INDEX(Settings!$B$29:$B$40,MONTH(A4826)))))</f>
        <v/>
      </c>
    </row>
    <row r="4827" customFormat="false" ht="15" hidden="false" customHeight="false" outlineLevel="0" collapsed="false">
      <c r="H4827" s="0" t="str">
        <f aca="false">IF(B4827="","",IF(COUNTIF(Campaigns!$A$7:$A$300,B4827)&gt;0,"✓","⚠ add to Campaigns tab"))</f>
        <v/>
      </c>
      <c r="I4827" s="84" t="str">
        <f aca="false">IF(C4827="","",C4827*IF(Settings!$B$22=Settings!$C$6,1,IF(Settings!$B$22="USD",1/INDEX(Settings!$B$29:$B$40,MONTH(A4827)),INDEX(Settings!$B$29:$B$40,MONTH(A4827)))))</f>
        <v/>
      </c>
    </row>
    <row r="4828" customFormat="false" ht="15" hidden="false" customHeight="false" outlineLevel="0" collapsed="false">
      <c r="H4828" s="0" t="str">
        <f aca="false">IF(B4828="","",IF(COUNTIF(Campaigns!$A$7:$A$300,B4828)&gt;0,"✓","⚠ add to Campaigns tab"))</f>
        <v/>
      </c>
      <c r="I4828" s="84" t="str">
        <f aca="false">IF(C4828="","",C4828*IF(Settings!$B$22=Settings!$C$6,1,IF(Settings!$B$22="USD",1/INDEX(Settings!$B$29:$B$40,MONTH(A4828)),INDEX(Settings!$B$29:$B$40,MONTH(A4828)))))</f>
        <v/>
      </c>
    </row>
    <row r="4829" customFormat="false" ht="15" hidden="false" customHeight="false" outlineLevel="0" collapsed="false">
      <c r="H4829" s="0" t="str">
        <f aca="false">IF(B4829="","",IF(COUNTIF(Campaigns!$A$7:$A$300,B4829)&gt;0,"✓","⚠ add to Campaigns tab"))</f>
        <v/>
      </c>
      <c r="I4829" s="84" t="str">
        <f aca="false">IF(C4829="","",C4829*IF(Settings!$B$22=Settings!$C$6,1,IF(Settings!$B$22="USD",1/INDEX(Settings!$B$29:$B$40,MONTH(A4829)),INDEX(Settings!$B$29:$B$40,MONTH(A4829)))))</f>
        <v/>
      </c>
    </row>
    <row r="4830" customFormat="false" ht="15" hidden="false" customHeight="false" outlineLevel="0" collapsed="false">
      <c r="H4830" s="0" t="str">
        <f aca="false">IF(B4830="","",IF(COUNTIF(Campaigns!$A$7:$A$300,B4830)&gt;0,"✓","⚠ add to Campaigns tab"))</f>
        <v/>
      </c>
      <c r="I4830" s="84" t="str">
        <f aca="false">IF(C4830="","",C4830*IF(Settings!$B$22=Settings!$C$6,1,IF(Settings!$B$22="USD",1/INDEX(Settings!$B$29:$B$40,MONTH(A4830)),INDEX(Settings!$B$29:$B$40,MONTH(A4830)))))</f>
        <v/>
      </c>
    </row>
    <row r="4831" customFormat="false" ht="15" hidden="false" customHeight="false" outlineLevel="0" collapsed="false">
      <c r="H4831" s="0" t="str">
        <f aca="false">IF(B4831="","",IF(COUNTIF(Campaigns!$A$7:$A$300,B4831)&gt;0,"✓","⚠ add to Campaigns tab"))</f>
        <v/>
      </c>
      <c r="I4831" s="84" t="str">
        <f aca="false">IF(C4831="","",C4831*IF(Settings!$B$22=Settings!$C$6,1,IF(Settings!$B$22="USD",1/INDEX(Settings!$B$29:$B$40,MONTH(A4831)),INDEX(Settings!$B$29:$B$40,MONTH(A4831)))))</f>
        <v/>
      </c>
    </row>
    <row r="4832" customFormat="false" ht="15" hidden="false" customHeight="false" outlineLevel="0" collapsed="false">
      <c r="H4832" s="0" t="str">
        <f aca="false">IF(B4832="","",IF(COUNTIF(Campaigns!$A$7:$A$300,B4832)&gt;0,"✓","⚠ add to Campaigns tab"))</f>
        <v/>
      </c>
      <c r="I4832" s="84" t="str">
        <f aca="false">IF(C4832="","",C4832*IF(Settings!$B$22=Settings!$C$6,1,IF(Settings!$B$22="USD",1/INDEX(Settings!$B$29:$B$40,MONTH(A4832)),INDEX(Settings!$B$29:$B$40,MONTH(A4832)))))</f>
        <v/>
      </c>
    </row>
    <row r="4833" customFormat="false" ht="15" hidden="false" customHeight="false" outlineLevel="0" collapsed="false">
      <c r="H4833" s="0" t="str">
        <f aca="false">IF(B4833="","",IF(COUNTIF(Campaigns!$A$7:$A$300,B4833)&gt;0,"✓","⚠ add to Campaigns tab"))</f>
        <v/>
      </c>
      <c r="I4833" s="84" t="str">
        <f aca="false">IF(C4833="","",C4833*IF(Settings!$B$22=Settings!$C$6,1,IF(Settings!$B$22="USD",1/INDEX(Settings!$B$29:$B$40,MONTH(A4833)),INDEX(Settings!$B$29:$B$40,MONTH(A4833)))))</f>
        <v/>
      </c>
    </row>
    <row r="4834" customFormat="false" ht="15" hidden="false" customHeight="false" outlineLevel="0" collapsed="false">
      <c r="H4834" s="0" t="str">
        <f aca="false">IF(B4834="","",IF(COUNTIF(Campaigns!$A$7:$A$300,B4834)&gt;0,"✓","⚠ add to Campaigns tab"))</f>
        <v/>
      </c>
      <c r="I4834" s="84" t="str">
        <f aca="false">IF(C4834="","",C4834*IF(Settings!$B$22=Settings!$C$6,1,IF(Settings!$B$22="USD",1/INDEX(Settings!$B$29:$B$40,MONTH(A4834)),INDEX(Settings!$B$29:$B$40,MONTH(A4834)))))</f>
        <v/>
      </c>
    </row>
    <row r="4835" customFormat="false" ht="15" hidden="false" customHeight="false" outlineLevel="0" collapsed="false">
      <c r="H4835" s="0" t="str">
        <f aca="false">IF(B4835="","",IF(COUNTIF(Campaigns!$A$7:$A$300,B4835)&gt;0,"✓","⚠ add to Campaigns tab"))</f>
        <v/>
      </c>
      <c r="I4835" s="84" t="str">
        <f aca="false">IF(C4835="","",C4835*IF(Settings!$B$22=Settings!$C$6,1,IF(Settings!$B$22="USD",1/INDEX(Settings!$B$29:$B$40,MONTH(A4835)),INDEX(Settings!$B$29:$B$40,MONTH(A4835)))))</f>
        <v/>
      </c>
    </row>
    <row r="4836" customFormat="false" ht="15" hidden="false" customHeight="false" outlineLevel="0" collapsed="false">
      <c r="H4836" s="0" t="str">
        <f aca="false">IF(B4836="","",IF(COUNTIF(Campaigns!$A$7:$A$300,B4836)&gt;0,"✓","⚠ add to Campaigns tab"))</f>
        <v/>
      </c>
      <c r="I4836" s="84" t="str">
        <f aca="false">IF(C4836="","",C4836*IF(Settings!$B$22=Settings!$C$6,1,IF(Settings!$B$22="USD",1/INDEX(Settings!$B$29:$B$40,MONTH(A4836)),INDEX(Settings!$B$29:$B$40,MONTH(A4836)))))</f>
        <v/>
      </c>
    </row>
    <row r="4837" customFormat="false" ht="15" hidden="false" customHeight="false" outlineLevel="0" collapsed="false">
      <c r="H4837" s="0" t="str">
        <f aca="false">IF(B4837="","",IF(COUNTIF(Campaigns!$A$7:$A$300,B4837)&gt;0,"✓","⚠ add to Campaigns tab"))</f>
        <v/>
      </c>
      <c r="I4837" s="84" t="str">
        <f aca="false">IF(C4837="","",C4837*IF(Settings!$B$22=Settings!$C$6,1,IF(Settings!$B$22="USD",1/INDEX(Settings!$B$29:$B$40,MONTH(A4837)),INDEX(Settings!$B$29:$B$40,MONTH(A4837)))))</f>
        <v/>
      </c>
    </row>
    <row r="4838" customFormat="false" ht="15" hidden="false" customHeight="false" outlineLevel="0" collapsed="false">
      <c r="H4838" s="0" t="str">
        <f aca="false">IF(B4838="","",IF(COUNTIF(Campaigns!$A$7:$A$300,B4838)&gt;0,"✓","⚠ add to Campaigns tab"))</f>
        <v/>
      </c>
      <c r="I4838" s="84" t="str">
        <f aca="false">IF(C4838="","",C4838*IF(Settings!$B$22=Settings!$C$6,1,IF(Settings!$B$22="USD",1/INDEX(Settings!$B$29:$B$40,MONTH(A4838)),INDEX(Settings!$B$29:$B$40,MONTH(A4838)))))</f>
        <v/>
      </c>
    </row>
    <row r="4839" customFormat="false" ht="15" hidden="false" customHeight="false" outlineLevel="0" collapsed="false">
      <c r="H4839" s="0" t="str">
        <f aca="false">IF(B4839="","",IF(COUNTIF(Campaigns!$A$7:$A$300,B4839)&gt;0,"✓","⚠ add to Campaigns tab"))</f>
        <v/>
      </c>
      <c r="I4839" s="84" t="str">
        <f aca="false">IF(C4839="","",C4839*IF(Settings!$B$22=Settings!$C$6,1,IF(Settings!$B$22="USD",1/INDEX(Settings!$B$29:$B$40,MONTH(A4839)),INDEX(Settings!$B$29:$B$40,MONTH(A4839)))))</f>
        <v/>
      </c>
    </row>
    <row r="4840" customFormat="false" ht="15" hidden="false" customHeight="false" outlineLevel="0" collapsed="false">
      <c r="H4840" s="0" t="str">
        <f aca="false">IF(B4840="","",IF(COUNTIF(Campaigns!$A$7:$A$300,B4840)&gt;0,"✓","⚠ add to Campaigns tab"))</f>
        <v/>
      </c>
      <c r="I4840" s="84" t="str">
        <f aca="false">IF(C4840="","",C4840*IF(Settings!$B$22=Settings!$C$6,1,IF(Settings!$B$22="USD",1/INDEX(Settings!$B$29:$B$40,MONTH(A4840)),INDEX(Settings!$B$29:$B$40,MONTH(A4840)))))</f>
        <v/>
      </c>
    </row>
    <row r="4841" customFormat="false" ht="15" hidden="false" customHeight="false" outlineLevel="0" collapsed="false">
      <c r="H4841" s="0" t="str">
        <f aca="false">IF(B4841="","",IF(COUNTIF(Campaigns!$A$7:$A$300,B4841)&gt;0,"✓","⚠ add to Campaigns tab"))</f>
        <v/>
      </c>
      <c r="I4841" s="84" t="str">
        <f aca="false">IF(C4841="","",C4841*IF(Settings!$B$22=Settings!$C$6,1,IF(Settings!$B$22="USD",1/INDEX(Settings!$B$29:$B$40,MONTH(A4841)),INDEX(Settings!$B$29:$B$40,MONTH(A4841)))))</f>
        <v/>
      </c>
    </row>
    <row r="4842" customFormat="false" ht="15" hidden="false" customHeight="false" outlineLevel="0" collapsed="false">
      <c r="H4842" s="0" t="str">
        <f aca="false">IF(B4842="","",IF(COUNTIF(Campaigns!$A$7:$A$300,B4842)&gt;0,"✓","⚠ add to Campaigns tab"))</f>
        <v/>
      </c>
      <c r="I4842" s="84" t="str">
        <f aca="false">IF(C4842="","",C4842*IF(Settings!$B$22=Settings!$C$6,1,IF(Settings!$B$22="USD",1/INDEX(Settings!$B$29:$B$40,MONTH(A4842)),INDEX(Settings!$B$29:$B$40,MONTH(A4842)))))</f>
        <v/>
      </c>
    </row>
    <row r="4843" customFormat="false" ht="15" hidden="false" customHeight="false" outlineLevel="0" collapsed="false">
      <c r="H4843" s="0" t="str">
        <f aca="false">IF(B4843="","",IF(COUNTIF(Campaigns!$A$7:$A$300,B4843)&gt;0,"✓","⚠ add to Campaigns tab"))</f>
        <v/>
      </c>
      <c r="I4843" s="84" t="str">
        <f aca="false">IF(C4843="","",C4843*IF(Settings!$B$22=Settings!$C$6,1,IF(Settings!$B$22="USD",1/INDEX(Settings!$B$29:$B$40,MONTH(A4843)),INDEX(Settings!$B$29:$B$40,MONTH(A4843)))))</f>
        <v/>
      </c>
    </row>
    <row r="4844" customFormat="false" ht="15" hidden="false" customHeight="false" outlineLevel="0" collapsed="false">
      <c r="H4844" s="0" t="str">
        <f aca="false">IF(B4844="","",IF(COUNTIF(Campaigns!$A$7:$A$300,B4844)&gt;0,"✓","⚠ add to Campaigns tab"))</f>
        <v/>
      </c>
      <c r="I4844" s="84" t="str">
        <f aca="false">IF(C4844="","",C4844*IF(Settings!$B$22=Settings!$C$6,1,IF(Settings!$B$22="USD",1/INDEX(Settings!$B$29:$B$40,MONTH(A4844)),INDEX(Settings!$B$29:$B$40,MONTH(A4844)))))</f>
        <v/>
      </c>
    </row>
    <row r="4845" customFormat="false" ht="15" hidden="false" customHeight="false" outlineLevel="0" collapsed="false">
      <c r="H4845" s="0" t="str">
        <f aca="false">IF(B4845="","",IF(COUNTIF(Campaigns!$A$7:$A$300,B4845)&gt;0,"✓","⚠ add to Campaigns tab"))</f>
        <v/>
      </c>
      <c r="I4845" s="84" t="str">
        <f aca="false">IF(C4845="","",C4845*IF(Settings!$B$22=Settings!$C$6,1,IF(Settings!$B$22="USD",1/INDEX(Settings!$B$29:$B$40,MONTH(A4845)),INDEX(Settings!$B$29:$B$40,MONTH(A4845)))))</f>
        <v/>
      </c>
    </row>
    <row r="4846" customFormat="false" ht="15" hidden="false" customHeight="false" outlineLevel="0" collapsed="false">
      <c r="H4846" s="0" t="str">
        <f aca="false">IF(B4846="","",IF(COUNTIF(Campaigns!$A$7:$A$300,B4846)&gt;0,"✓","⚠ add to Campaigns tab"))</f>
        <v/>
      </c>
      <c r="I4846" s="84" t="str">
        <f aca="false">IF(C4846="","",C4846*IF(Settings!$B$22=Settings!$C$6,1,IF(Settings!$B$22="USD",1/INDEX(Settings!$B$29:$B$40,MONTH(A4846)),INDEX(Settings!$B$29:$B$40,MONTH(A4846)))))</f>
        <v/>
      </c>
    </row>
    <row r="4847" customFormat="false" ht="15" hidden="false" customHeight="false" outlineLevel="0" collapsed="false">
      <c r="H4847" s="0" t="str">
        <f aca="false">IF(B4847="","",IF(COUNTIF(Campaigns!$A$7:$A$300,B4847)&gt;0,"✓","⚠ add to Campaigns tab"))</f>
        <v/>
      </c>
      <c r="I4847" s="84" t="str">
        <f aca="false">IF(C4847="","",C4847*IF(Settings!$B$22=Settings!$C$6,1,IF(Settings!$B$22="USD",1/INDEX(Settings!$B$29:$B$40,MONTH(A4847)),INDEX(Settings!$B$29:$B$40,MONTH(A4847)))))</f>
        <v/>
      </c>
    </row>
    <row r="4848" customFormat="false" ht="15" hidden="false" customHeight="false" outlineLevel="0" collapsed="false">
      <c r="H4848" s="0" t="str">
        <f aca="false">IF(B4848="","",IF(COUNTIF(Campaigns!$A$7:$A$300,B4848)&gt;0,"✓","⚠ add to Campaigns tab"))</f>
        <v/>
      </c>
      <c r="I4848" s="84" t="str">
        <f aca="false">IF(C4848="","",C4848*IF(Settings!$B$22=Settings!$C$6,1,IF(Settings!$B$22="USD",1/INDEX(Settings!$B$29:$B$40,MONTH(A4848)),INDEX(Settings!$B$29:$B$40,MONTH(A4848)))))</f>
        <v/>
      </c>
    </row>
    <row r="4849" customFormat="false" ht="15" hidden="false" customHeight="false" outlineLevel="0" collapsed="false">
      <c r="H4849" s="0" t="str">
        <f aca="false">IF(B4849="","",IF(COUNTIF(Campaigns!$A$7:$A$300,B4849)&gt;0,"✓","⚠ add to Campaigns tab"))</f>
        <v/>
      </c>
      <c r="I4849" s="84" t="str">
        <f aca="false">IF(C4849="","",C4849*IF(Settings!$B$22=Settings!$C$6,1,IF(Settings!$B$22="USD",1/INDEX(Settings!$B$29:$B$40,MONTH(A4849)),INDEX(Settings!$B$29:$B$40,MONTH(A4849)))))</f>
        <v/>
      </c>
    </row>
    <row r="4850" customFormat="false" ht="15" hidden="false" customHeight="false" outlineLevel="0" collapsed="false">
      <c r="H4850" s="0" t="str">
        <f aca="false">IF(B4850="","",IF(COUNTIF(Campaigns!$A$7:$A$300,B4850)&gt;0,"✓","⚠ add to Campaigns tab"))</f>
        <v/>
      </c>
      <c r="I4850" s="84" t="str">
        <f aca="false">IF(C4850="","",C4850*IF(Settings!$B$22=Settings!$C$6,1,IF(Settings!$B$22="USD",1/INDEX(Settings!$B$29:$B$40,MONTH(A4850)),INDEX(Settings!$B$29:$B$40,MONTH(A4850)))))</f>
        <v/>
      </c>
    </row>
    <row r="4851" customFormat="false" ht="15" hidden="false" customHeight="false" outlineLevel="0" collapsed="false">
      <c r="H4851" s="0" t="str">
        <f aca="false">IF(B4851="","",IF(COUNTIF(Campaigns!$A$7:$A$300,B4851)&gt;0,"✓","⚠ add to Campaigns tab"))</f>
        <v/>
      </c>
      <c r="I4851" s="84" t="str">
        <f aca="false">IF(C4851="","",C4851*IF(Settings!$B$22=Settings!$C$6,1,IF(Settings!$B$22="USD",1/INDEX(Settings!$B$29:$B$40,MONTH(A4851)),INDEX(Settings!$B$29:$B$40,MONTH(A4851)))))</f>
        <v/>
      </c>
    </row>
    <row r="4852" customFormat="false" ht="15" hidden="false" customHeight="false" outlineLevel="0" collapsed="false">
      <c r="H4852" s="0" t="str">
        <f aca="false">IF(B4852="","",IF(COUNTIF(Campaigns!$A$7:$A$300,B4852)&gt;0,"✓","⚠ add to Campaigns tab"))</f>
        <v/>
      </c>
      <c r="I4852" s="84" t="str">
        <f aca="false">IF(C4852="","",C4852*IF(Settings!$B$22=Settings!$C$6,1,IF(Settings!$B$22="USD",1/INDEX(Settings!$B$29:$B$40,MONTH(A4852)),INDEX(Settings!$B$29:$B$40,MONTH(A4852)))))</f>
        <v/>
      </c>
    </row>
    <row r="4853" customFormat="false" ht="15" hidden="false" customHeight="false" outlineLevel="0" collapsed="false">
      <c r="H4853" s="0" t="str">
        <f aca="false">IF(B4853="","",IF(COUNTIF(Campaigns!$A$7:$A$300,B4853)&gt;0,"✓","⚠ add to Campaigns tab"))</f>
        <v/>
      </c>
      <c r="I4853" s="84" t="str">
        <f aca="false">IF(C4853="","",C4853*IF(Settings!$B$22=Settings!$C$6,1,IF(Settings!$B$22="USD",1/INDEX(Settings!$B$29:$B$40,MONTH(A4853)),INDEX(Settings!$B$29:$B$40,MONTH(A4853)))))</f>
        <v/>
      </c>
    </row>
    <row r="4854" customFormat="false" ht="15" hidden="false" customHeight="false" outlineLevel="0" collapsed="false">
      <c r="H4854" s="0" t="str">
        <f aca="false">IF(B4854="","",IF(COUNTIF(Campaigns!$A$7:$A$300,B4854)&gt;0,"✓","⚠ add to Campaigns tab"))</f>
        <v/>
      </c>
      <c r="I4854" s="84" t="str">
        <f aca="false">IF(C4854="","",C4854*IF(Settings!$B$22=Settings!$C$6,1,IF(Settings!$B$22="USD",1/INDEX(Settings!$B$29:$B$40,MONTH(A4854)),INDEX(Settings!$B$29:$B$40,MONTH(A4854)))))</f>
        <v/>
      </c>
    </row>
    <row r="4855" customFormat="false" ht="15" hidden="false" customHeight="false" outlineLevel="0" collapsed="false">
      <c r="H4855" s="0" t="str">
        <f aca="false">IF(B4855="","",IF(COUNTIF(Campaigns!$A$7:$A$300,B4855)&gt;0,"✓","⚠ add to Campaigns tab"))</f>
        <v/>
      </c>
      <c r="I4855" s="84" t="str">
        <f aca="false">IF(C4855="","",C4855*IF(Settings!$B$22=Settings!$C$6,1,IF(Settings!$B$22="USD",1/INDEX(Settings!$B$29:$B$40,MONTH(A4855)),INDEX(Settings!$B$29:$B$40,MONTH(A4855)))))</f>
        <v/>
      </c>
    </row>
    <row r="4856" customFormat="false" ht="15" hidden="false" customHeight="false" outlineLevel="0" collapsed="false">
      <c r="H4856" s="0" t="str">
        <f aca="false">IF(B4856="","",IF(COUNTIF(Campaigns!$A$7:$A$300,B4856)&gt;0,"✓","⚠ add to Campaigns tab"))</f>
        <v/>
      </c>
      <c r="I4856" s="84" t="str">
        <f aca="false">IF(C4856="","",C4856*IF(Settings!$B$22=Settings!$C$6,1,IF(Settings!$B$22="USD",1/INDEX(Settings!$B$29:$B$40,MONTH(A4856)),INDEX(Settings!$B$29:$B$40,MONTH(A4856)))))</f>
        <v/>
      </c>
    </row>
    <row r="4857" customFormat="false" ht="15" hidden="false" customHeight="false" outlineLevel="0" collapsed="false">
      <c r="H4857" s="0" t="str">
        <f aca="false">IF(B4857="","",IF(COUNTIF(Campaigns!$A$7:$A$300,B4857)&gt;0,"✓","⚠ add to Campaigns tab"))</f>
        <v/>
      </c>
      <c r="I4857" s="84" t="str">
        <f aca="false">IF(C4857="","",C4857*IF(Settings!$B$22=Settings!$C$6,1,IF(Settings!$B$22="USD",1/INDEX(Settings!$B$29:$B$40,MONTH(A4857)),INDEX(Settings!$B$29:$B$40,MONTH(A4857)))))</f>
        <v/>
      </c>
    </row>
    <row r="4858" customFormat="false" ht="15" hidden="false" customHeight="false" outlineLevel="0" collapsed="false">
      <c r="H4858" s="0" t="str">
        <f aca="false">IF(B4858="","",IF(COUNTIF(Campaigns!$A$7:$A$300,B4858)&gt;0,"✓","⚠ add to Campaigns tab"))</f>
        <v/>
      </c>
      <c r="I4858" s="84" t="str">
        <f aca="false">IF(C4858="","",C4858*IF(Settings!$B$22=Settings!$C$6,1,IF(Settings!$B$22="USD",1/INDEX(Settings!$B$29:$B$40,MONTH(A4858)),INDEX(Settings!$B$29:$B$40,MONTH(A4858)))))</f>
        <v/>
      </c>
    </row>
    <row r="4859" customFormat="false" ht="15" hidden="false" customHeight="false" outlineLevel="0" collapsed="false">
      <c r="H4859" s="0" t="str">
        <f aca="false">IF(B4859="","",IF(COUNTIF(Campaigns!$A$7:$A$300,B4859)&gt;0,"✓","⚠ add to Campaigns tab"))</f>
        <v/>
      </c>
      <c r="I4859" s="84" t="str">
        <f aca="false">IF(C4859="","",C4859*IF(Settings!$B$22=Settings!$C$6,1,IF(Settings!$B$22="USD",1/INDEX(Settings!$B$29:$B$40,MONTH(A4859)),INDEX(Settings!$B$29:$B$40,MONTH(A4859)))))</f>
        <v/>
      </c>
    </row>
    <row r="4860" customFormat="false" ht="15" hidden="false" customHeight="false" outlineLevel="0" collapsed="false">
      <c r="H4860" s="0" t="str">
        <f aca="false">IF(B4860="","",IF(COUNTIF(Campaigns!$A$7:$A$300,B4860)&gt;0,"✓","⚠ add to Campaigns tab"))</f>
        <v/>
      </c>
      <c r="I4860" s="84" t="str">
        <f aca="false">IF(C4860="","",C4860*IF(Settings!$B$22=Settings!$C$6,1,IF(Settings!$B$22="USD",1/INDEX(Settings!$B$29:$B$40,MONTH(A4860)),INDEX(Settings!$B$29:$B$40,MONTH(A4860)))))</f>
        <v/>
      </c>
    </row>
    <row r="4861" customFormat="false" ht="15" hidden="false" customHeight="false" outlineLevel="0" collapsed="false">
      <c r="H4861" s="0" t="str">
        <f aca="false">IF(B4861="","",IF(COUNTIF(Campaigns!$A$7:$A$300,B4861)&gt;0,"✓","⚠ add to Campaigns tab"))</f>
        <v/>
      </c>
      <c r="I4861" s="84" t="str">
        <f aca="false">IF(C4861="","",C4861*IF(Settings!$B$22=Settings!$C$6,1,IF(Settings!$B$22="USD",1/INDEX(Settings!$B$29:$B$40,MONTH(A4861)),INDEX(Settings!$B$29:$B$40,MONTH(A4861)))))</f>
        <v/>
      </c>
    </row>
    <row r="4862" customFormat="false" ht="15" hidden="false" customHeight="false" outlineLevel="0" collapsed="false">
      <c r="H4862" s="0" t="str">
        <f aca="false">IF(B4862="","",IF(COUNTIF(Campaigns!$A$7:$A$300,B4862)&gt;0,"✓","⚠ add to Campaigns tab"))</f>
        <v/>
      </c>
      <c r="I4862" s="84" t="str">
        <f aca="false">IF(C4862="","",C4862*IF(Settings!$B$22=Settings!$C$6,1,IF(Settings!$B$22="USD",1/INDEX(Settings!$B$29:$B$40,MONTH(A4862)),INDEX(Settings!$B$29:$B$40,MONTH(A4862)))))</f>
        <v/>
      </c>
    </row>
    <row r="4863" customFormat="false" ht="15" hidden="false" customHeight="false" outlineLevel="0" collapsed="false">
      <c r="H4863" s="0" t="str">
        <f aca="false">IF(B4863="","",IF(COUNTIF(Campaigns!$A$7:$A$300,B4863)&gt;0,"✓","⚠ add to Campaigns tab"))</f>
        <v/>
      </c>
      <c r="I4863" s="84" t="str">
        <f aca="false">IF(C4863="","",C4863*IF(Settings!$B$22=Settings!$C$6,1,IF(Settings!$B$22="USD",1/INDEX(Settings!$B$29:$B$40,MONTH(A4863)),INDEX(Settings!$B$29:$B$40,MONTH(A4863)))))</f>
        <v/>
      </c>
    </row>
    <row r="4864" customFormat="false" ht="15" hidden="false" customHeight="false" outlineLevel="0" collapsed="false">
      <c r="H4864" s="0" t="str">
        <f aca="false">IF(B4864="","",IF(COUNTIF(Campaigns!$A$7:$A$300,B4864)&gt;0,"✓","⚠ add to Campaigns tab"))</f>
        <v/>
      </c>
      <c r="I4864" s="84" t="str">
        <f aca="false">IF(C4864="","",C4864*IF(Settings!$B$22=Settings!$C$6,1,IF(Settings!$B$22="USD",1/INDEX(Settings!$B$29:$B$40,MONTH(A4864)),INDEX(Settings!$B$29:$B$40,MONTH(A4864)))))</f>
        <v/>
      </c>
    </row>
    <row r="4865" customFormat="false" ht="15" hidden="false" customHeight="false" outlineLevel="0" collapsed="false">
      <c r="H4865" s="0" t="str">
        <f aca="false">IF(B4865="","",IF(COUNTIF(Campaigns!$A$7:$A$300,B4865)&gt;0,"✓","⚠ add to Campaigns tab"))</f>
        <v/>
      </c>
      <c r="I4865" s="84" t="str">
        <f aca="false">IF(C4865="","",C4865*IF(Settings!$B$22=Settings!$C$6,1,IF(Settings!$B$22="USD",1/INDEX(Settings!$B$29:$B$40,MONTH(A4865)),INDEX(Settings!$B$29:$B$40,MONTH(A4865)))))</f>
        <v/>
      </c>
    </row>
    <row r="4866" customFormat="false" ht="15" hidden="false" customHeight="false" outlineLevel="0" collapsed="false">
      <c r="H4866" s="0" t="str">
        <f aca="false">IF(B4866="","",IF(COUNTIF(Campaigns!$A$7:$A$300,B4866)&gt;0,"✓","⚠ add to Campaigns tab"))</f>
        <v/>
      </c>
      <c r="I4866" s="84" t="str">
        <f aca="false">IF(C4866="","",C4866*IF(Settings!$B$22=Settings!$C$6,1,IF(Settings!$B$22="USD",1/INDEX(Settings!$B$29:$B$40,MONTH(A4866)),INDEX(Settings!$B$29:$B$40,MONTH(A4866)))))</f>
        <v/>
      </c>
    </row>
    <row r="4867" customFormat="false" ht="15" hidden="false" customHeight="false" outlineLevel="0" collapsed="false">
      <c r="H4867" s="0" t="str">
        <f aca="false">IF(B4867="","",IF(COUNTIF(Campaigns!$A$7:$A$300,B4867)&gt;0,"✓","⚠ add to Campaigns tab"))</f>
        <v/>
      </c>
      <c r="I4867" s="84" t="str">
        <f aca="false">IF(C4867="","",C4867*IF(Settings!$B$22=Settings!$C$6,1,IF(Settings!$B$22="USD",1/INDEX(Settings!$B$29:$B$40,MONTH(A4867)),INDEX(Settings!$B$29:$B$40,MONTH(A4867)))))</f>
        <v/>
      </c>
    </row>
    <row r="4868" customFormat="false" ht="15" hidden="false" customHeight="false" outlineLevel="0" collapsed="false">
      <c r="H4868" s="0" t="str">
        <f aca="false">IF(B4868="","",IF(COUNTIF(Campaigns!$A$7:$A$300,B4868)&gt;0,"✓","⚠ add to Campaigns tab"))</f>
        <v/>
      </c>
      <c r="I4868" s="84" t="str">
        <f aca="false">IF(C4868="","",C4868*IF(Settings!$B$22=Settings!$C$6,1,IF(Settings!$B$22="USD",1/INDEX(Settings!$B$29:$B$40,MONTH(A4868)),INDEX(Settings!$B$29:$B$40,MONTH(A4868)))))</f>
        <v/>
      </c>
    </row>
    <row r="4869" customFormat="false" ht="15" hidden="false" customHeight="false" outlineLevel="0" collapsed="false">
      <c r="H4869" s="0" t="str">
        <f aca="false">IF(B4869="","",IF(COUNTIF(Campaigns!$A$7:$A$300,B4869)&gt;0,"✓","⚠ add to Campaigns tab"))</f>
        <v/>
      </c>
      <c r="I4869" s="84" t="str">
        <f aca="false">IF(C4869="","",C4869*IF(Settings!$B$22=Settings!$C$6,1,IF(Settings!$B$22="USD",1/INDEX(Settings!$B$29:$B$40,MONTH(A4869)),INDEX(Settings!$B$29:$B$40,MONTH(A4869)))))</f>
        <v/>
      </c>
    </row>
    <row r="4870" customFormat="false" ht="15" hidden="false" customHeight="false" outlineLevel="0" collapsed="false">
      <c r="H4870" s="0" t="str">
        <f aca="false">IF(B4870="","",IF(COUNTIF(Campaigns!$A$7:$A$300,B4870)&gt;0,"✓","⚠ add to Campaigns tab"))</f>
        <v/>
      </c>
      <c r="I4870" s="84" t="str">
        <f aca="false">IF(C4870="","",C4870*IF(Settings!$B$22=Settings!$C$6,1,IF(Settings!$B$22="USD",1/INDEX(Settings!$B$29:$B$40,MONTH(A4870)),INDEX(Settings!$B$29:$B$40,MONTH(A4870)))))</f>
        <v/>
      </c>
    </row>
    <row r="4871" customFormat="false" ht="15" hidden="false" customHeight="false" outlineLevel="0" collapsed="false">
      <c r="H4871" s="0" t="str">
        <f aca="false">IF(B4871="","",IF(COUNTIF(Campaigns!$A$7:$A$300,B4871)&gt;0,"✓","⚠ add to Campaigns tab"))</f>
        <v/>
      </c>
      <c r="I4871" s="84" t="str">
        <f aca="false">IF(C4871="","",C4871*IF(Settings!$B$22=Settings!$C$6,1,IF(Settings!$B$22="USD",1/INDEX(Settings!$B$29:$B$40,MONTH(A4871)),INDEX(Settings!$B$29:$B$40,MONTH(A4871)))))</f>
        <v/>
      </c>
    </row>
    <row r="4872" customFormat="false" ht="15" hidden="false" customHeight="false" outlineLevel="0" collapsed="false">
      <c r="H4872" s="0" t="str">
        <f aca="false">IF(B4872="","",IF(COUNTIF(Campaigns!$A$7:$A$300,B4872)&gt;0,"✓","⚠ add to Campaigns tab"))</f>
        <v/>
      </c>
      <c r="I4872" s="84" t="str">
        <f aca="false">IF(C4872="","",C4872*IF(Settings!$B$22=Settings!$C$6,1,IF(Settings!$B$22="USD",1/INDEX(Settings!$B$29:$B$40,MONTH(A4872)),INDEX(Settings!$B$29:$B$40,MONTH(A4872)))))</f>
        <v/>
      </c>
    </row>
    <row r="4873" customFormat="false" ht="15" hidden="false" customHeight="false" outlineLevel="0" collapsed="false">
      <c r="H4873" s="0" t="str">
        <f aca="false">IF(B4873="","",IF(COUNTIF(Campaigns!$A$7:$A$300,B4873)&gt;0,"✓","⚠ add to Campaigns tab"))</f>
        <v/>
      </c>
      <c r="I4873" s="84" t="str">
        <f aca="false">IF(C4873="","",C4873*IF(Settings!$B$22=Settings!$C$6,1,IF(Settings!$B$22="USD",1/INDEX(Settings!$B$29:$B$40,MONTH(A4873)),INDEX(Settings!$B$29:$B$40,MONTH(A4873)))))</f>
        <v/>
      </c>
    </row>
    <row r="4874" customFormat="false" ht="15" hidden="false" customHeight="false" outlineLevel="0" collapsed="false">
      <c r="H4874" s="0" t="str">
        <f aca="false">IF(B4874="","",IF(COUNTIF(Campaigns!$A$7:$A$300,B4874)&gt;0,"✓","⚠ add to Campaigns tab"))</f>
        <v/>
      </c>
      <c r="I4874" s="84" t="str">
        <f aca="false">IF(C4874="","",C4874*IF(Settings!$B$22=Settings!$C$6,1,IF(Settings!$B$22="USD",1/INDEX(Settings!$B$29:$B$40,MONTH(A4874)),INDEX(Settings!$B$29:$B$40,MONTH(A4874)))))</f>
        <v/>
      </c>
    </row>
    <row r="4875" customFormat="false" ht="15" hidden="false" customHeight="false" outlineLevel="0" collapsed="false">
      <c r="H4875" s="0" t="str">
        <f aca="false">IF(B4875="","",IF(COUNTIF(Campaigns!$A$7:$A$300,B4875)&gt;0,"✓","⚠ add to Campaigns tab"))</f>
        <v/>
      </c>
      <c r="I4875" s="84" t="str">
        <f aca="false">IF(C4875="","",C4875*IF(Settings!$B$22=Settings!$C$6,1,IF(Settings!$B$22="USD",1/INDEX(Settings!$B$29:$B$40,MONTH(A4875)),INDEX(Settings!$B$29:$B$40,MONTH(A4875)))))</f>
        <v/>
      </c>
    </row>
    <row r="4876" customFormat="false" ht="15" hidden="false" customHeight="false" outlineLevel="0" collapsed="false">
      <c r="H4876" s="0" t="str">
        <f aca="false">IF(B4876="","",IF(COUNTIF(Campaigns!$A$7:$A$300,B4876)&gt;0,"✓","⚠ add to Campaigns tab"))</f>
        <v/>
      </c>
      <c r="I4876" s="84" t="str">
        <f aca="false">IF(C4876="","",C4876*IF(Settings!$B$22=Settings!$C$6,1,IF(Settings!$B$22="USD",1/INDEX(Settings!$B$29:$B$40,MONTH(A4876)),INDEX(Settings!$B$29:$B$40,MONTH(A4876)))))</f>
        <v/>
      </c>
    </row>
    <row r="4877" customFormat="false" ht="15" hidden="false" customHeight="false" outlineLevel="0" collapsed="false">
      <c r="H4877" s="0" t="str">
        <f aca="false">IF(B4877="","",IF(COUNTIF(Campaigns!$A$7:$A$300,B4877)&gt;0,"✓","⚠ add to Campaigns tab"))</f>
        <v/>
      </c>
      <c r="I4877" s="84" t="str">
        <f aca="false">IF(C4877="","",C4877*IF(Settings!$B$22=Settings!$C$6,1,IF(Settings!$B$22="USD",1/INDEX(Settings!$B$29:$B$40,MONTH(A4877)),INDEX(Settings!$B$29:$B$40,MONTH(A4877)))))</f>
        <v/>
      </c>
    </row>
    <row r="4878" customFormat="false" ht="15" hidden="false" customHeight="false" outlineLevel="0" collapsed="false">
      <c r="H4878" s="0" t="str">
        <f aca="false">IF(B4878="","",IF(COUNTIF(Campaigns!$A$7:$A$300,B4878)&gt;0,"✓","⚠ add to Campaigns tab"))</f>
        <v/>
      </c>
      <c r="I4878" s="84" t="str">
        <f aca="false">IF(C4878="","",C4878*IF(Settings!$B$22=Settings!$C$6,1,IF(Settings!$B$22="USD",1/INDEX(Settings!$B$29:$B$40,MONTH(A4878)),INDEX(Settings!$B$29:$B$40,MONTH(A4878)))))</f>
        <v/>
      </c>
    </row>
    <row r="4879" customFormat="false" ht="15" hidden="false" customHeight="false" outlineLevel="0" collapsed="false">
      <c r="H4879" s="0" t="str">
        <f aca="false">IF(B4879="","",IF(COUNTIF(Campaigns!$A$7:$A$300,B4879)&gt;0,"✓","⚠ add to Campaigns tab"))</f>
        <v/>
      </c>
      <c r="I4879" s="84" t="str">
        <f aca="false">IF(C4879="","",C4879*IF(Settings!$B$22=Settings!$C$6,1,IF(Settings!$B$22="USD",1/INDEX(Settings!$B$29:$B$40,MONTH(A4879)),INDEX(Settings!$B$29:$B$40,MONTH(A4879)))))</f>
        <v/>
      </c>
    </row>
    <row r="4880" customFormat="false" ht="15" hidden="false" customHeight="false" outlineLevel="0" collapsed="false">
      <c r="H4880" s="0" t="str">
        <f aca="false">IF(B4880="","",IF(COUNTIF(Campaigns!$A$7:$A$300,B4880)&gt;0,"✓","⚠ add to Campaigns tab"))</f>
        <v/>
      </c>
      <c r="I4880" s="84" t="str">
        <f aca="false">IF(C4880="","",C4880*IF(Settings!$B$22=Settings!$C$6,1,IF(Settings!$B$22="USD",1/INDEX(Settings!$B$29:$B$40,MONTH(A4880)),INDEX(Settings!$B$29:$B$40,MONTH(A4880)))))</f>
        <v/>
      </c>
    </row>
    <row r="4881" customFormat="false" ht="15" hidden="false" customHeight="false" outlineLevel="0" collapsed="false">
      <c r="H4881" s="0" t="str">
        <f aca="false">IF(B4881="","",IF(COUNTIF(Campaigns!$A$7:$A$300,B4881)&gt;0,"✓","⚠ add to Campaigns tab"))</f>
        <v/>
      </c>
      <c r="I4881" s="84" t="str">
        <f aca="false">IF(C4881="","",C4881*IF(Settings!$B$22=Settings!$C$6,1,IF(Settings!$B$22="USD",1/INDEX(Settings!$B$29:$B$40,MONTH(A4881)),INDEX(Settings!$B$29:$B$40,MONTH(A4881)))))</f>
        <v/>
      </c>
    </row>
    <row r="4882" customFormat="false" ht="15" hidden="false" customHeight="false" outlineLevel="0" collapsed="false">
      <c r="H4882" s="0" t="str">
        <f aca="false">IF(B4882="","",IF(COUNTIF(Campaigns!$A$7:$A$300,B4882)&gt;0,"✓","⚠ add to Campaigns tab"))</f>
        <v/>
      </c>
      <c r="I4882" s="84" t="str">
        <f aca="false">IF(C4882="","",C4882*IF(Settings!$B$22=Settings!$C$6,1,IF(Settings!$B$22="USD",1/INDEX(Settings!$B$29:$B$40,MONTH(A4882)),INDEX(Settings!$B$29:$B$40,MONTH(A4882)))))</f>
        <v/>
      </c>
    </row>
    <row r="4883" customFormat="false" ht="15" hidden="false" customHeight="false" outlineLevel="0" collapsed="false">
      <c r="H4883" s="0" t="str">
        <f aca="false">IF(B4883="","",IF(COUNTIF(Campaigns!$A$7:$A$300,B4883)&gt;0,"✓","⚠ add to Campaigns tab"))</f>
        <v/>
      </c>
      <c r="I4883" s="84" t="str">
        <f aca="false">IF(C4883="","",C4883*IF(Settings!$B$22=Settings!$C$6,1,IF(Settings!$B$22="USD",1/INDEX(Settings!$B$29:$B$40,MONTH(A4883)),INDEX(Settings!$B$29:$B$40,MONTH(A4883)))))</f>
        <v/>
      </c>
    </row>
    <row r="4884" customFormat="false" ht="15" hidden="false" customHeight="false" outlineLevel="0" collapsed="false">
      <c r="H4884" s="0" t="str">
        <f aca="false">IF(B4884="","",IF(COUNTIF(Campaigns!$A$7:$A$300,B4884)&gt;0,"✓","⚠ add to Campaigns tab"))</f>
        <v/>
      </c>
      <c r="I4884" s="84" t="str">
        <f aca="false">IF(C4884="","",C4884*IF(Settings!$B$22=Settings!$C$6,1,IF(Settings!$B$22="USD",1/INDEX(Settings!$B$29:$B$40,MONTH(A4884)),INDEX(Settings!$B$29:$B$40,MONTH(A4884)))))</f>
        <v/>
      </c>
    </row>
    <row r="4885" customFormat="false" ht="15" hidden="false" customHeight="false" outlineLevel="0" collapsed="false">
      <c r="H4885" s="0" t="str">
        <f aca="false">IF(B4885="","",IF(COUNTIF(Campaigns!$A$7:$A$300,B4885)&gt;0,"✓","⚠ add to Campaigns tab"))</f>
        <v/>
      </c>
      <c r="I4885" s="84" t="str">
        <f aca="false">IF(C4885="","",C4885*IF(Settings!$B$22=Settings!$C$6,1,IF(Settings!$B$22="USD",1/INDEX(Settings!$B$29:$B$40,MONTH(A4885)),INDEX(Settings!$B$29:$B$40,MONTH(A4885)))))</f>
        <v/>
      </c>
    </row>
    <row r="4886" customFormat="false" ht="15" hidden="false" customHeight="false" outlineLevel="0" collapsed="false">
      <c r="H4886" s="0" t="str">
        <f aca="false">IF(B4886="","",IF(COUNTIF(Campaigns!$A$7:$A$300,B4886)&gt;0,"✓","⚠ add to Campaigns tab"))</f>
        <v/>
      </c>
      <c r="I4886" s="84" t="str">
        <f aca="false">IF(C4886="","",C4886*IF(Settings!$B$22=Settings!$C$6,1,IF(Settings!$B$22="USD",1/INDEX(Settings!$B$29:$B$40,MONTH(A4886)),INDEX(Settings!$B$29:$B$40,MONTH(A4886)))))</f>
        <v/>
      </c>
    </row>
    <row r="4887" customFormat="false" ht="15" hidden="false" customHeight="false" outlineLevel="0" collapsed="false">
      <c r="H4887" s="0" t="str">
        <f aca="false">IF(B4887="","",IF(COUNTIF(Campaigns!$A$7:$A$300,B4887)&gt;0,"✓","⚠ add to Campaigns tab"))</f>
        <v/>
      </c>
      <c r="I4887" s="84" t="str">
        <f aca="false">IF(C4887="","",C4887*IF(Settings!$B$22=Settings!$C$6,1,IF(Settings!$B$22="USD",1/INDEX(Settings!$B$29:$B$40,MONTH(A4887)),INDEX(Settings!$B$29:$B$40,MONTH(A4887)))))</f>
        <v/>
      </c>
    </row>
    <row r="4888" customFormat="false" ht="15" hidden="false" customHeight="false" outlineLevel="0" collapsed="false">
      <c r="H4888" s="0" t="str">
        <f aca="false">IF(B4888="","",IF(COUNTIF(Campaigns!$A$7:$A$300,B4888)&gt;0,"✓","⚠ add to Campaigns tab"))</f>
        <v/>
      </c>
      <c r="I4888" s="84" t="str">
        <f aca="false">IF(C4888="","",C4888*IF(Settings!$B$22=Settings!$C$6,1,IF(Settings!$B$22="USD",1/INDEX(Settings!$B$29:$B$40,MONTH(A4888)),INDEX(Settings!$B$29:$B$40,MONTH(A4888)))))</f>
        <v/>
      </c>
    </row>
    <row r="4889" customFormat="false" ht="15" hidden="false" customHeight="false" outlineLevel="0" collapsed="false">
      <c r="H4889" s="0" t="str">
        <f aca="false">IF(B4889="","",IF(COUNTIF(Campaigns!$A$7:$A$300,B4889)&gt;0,"✓","⚠ add to Campaigns tab"))</f>
        <v/>
      </c>
      <c r="I4889" s="84" t="str">
        <f aca="false">IF(C4889="","",C4889*IF(Settings!$B$22=Settings!$C$6,1,IF(Settings!$B$22="USD",1/INDEX(Settings!$B$29:$B$40,MONTH(A4889)),INDEX(Settings!$B$29:$B$40,MONTH(A4889)))))</f>
        <v/>
      </c>
    </row>
    <row r="4890" customFormat="false" ht="15" hidden="false" customHeight="false" outlineLevel="0" collapsed="false">
      <c r="H4890" s="0" t="str">
        <f aca="false">IF(B4890="","",IF(COUNTIF(Campaigns!$A$7:$A$300,B4890)&gt;0,"✓","⚠ add to Campaigns tab"))</f>
        <v/>
      </c>
      <c r="I4890" s="84" t="str">
        <f aca="false">IF(C4890="","",C4890*IF(Settings!$B$22=Settings!$C$6,1,IF(Settings!$B$22="USD",1/INDEX(Settings!$B$29:$B$40,MONTH(A4890)),INDEX(Settings!$B$29:$B$40,MONTH(A4890)))))</f>
        <v/>
      </c>
    </row>
    <row r="4891" customFormat="false" ht="15" hidden="false" customHeight="false" outlineLevel="0" collapsed="false">
      <c r="H4891" s="0" t="str">
        <f aca="false">IF(B4891="","",IF(COUNTIF(Campaigns!$A$7:$A$300,B4891)&gt;0,"✓","⚠ add to Campaigns tab"))</f>
        <v/>
      </c>
      <c r="I4891" s="84" t="str">
        <f aca="false">IF(C4891="","",C4891*IF(Settings!$B$22=Settings!$C$6,1,IF(Settings!$B$22="USD",1/INDEX(Settings!$B$29:$B$40,MONTH(A4891)),INDEX(Settings!$B$29:$B$40,MONTH(A4891)))))</f>
        <v/>
      </c>
    </row>
    <row r="4892" customFormat="false" ht="15" hidden="false" customHeight="false" outlineLevel="0" collapsed="false">
      <c r="H4892" s="0" t="str">
        <f aca="false">IF(B4892="","",IF(COUNTIF(Campaigns!$A$7:$A$300,B4892)&gt;0,"✓","⚠ add to Campaigns tab"))</f>
        <v/>
      </c>
      <c r="I4892" s="84" t="str">
        <f aca="false">IF(C4892="","",C4892*IF(Settings!$B$22=Settings!$C$6,1,IF(Settings!$B$22="USD",1/INDEX(Settings!$B$29:$B$40,MONTH(A4892)),INDEX(Settings!$B$29:$B$40,MONTH(A4892)))))</f>
        <v/>
      </c>
    </row>
    <row r="4893" customFormat="false" ht="15" hidden="false" customHeight="false" outlineLevel="0" collapsed="false">
      <c r="H4893" s="0" t="str">
        <f aca="false">IF(B4893="","",IF(COUNTIF(Campaigns!$A$7:$A$300,B4893)&gt;0,"✓","⚠ add to Campaigns tab"))</f>
        <v/>
      </c>
      <c r="I4893" s="84" t="str">
        <f aca="false">IF(C4893="","",C4893*IF(Settings!$B$22=Settings!$C$6,1,IF(Settings!$B$22="USD",1/INDEX(Settings!$B$29:$B$40,MONTH(A4893)),INDEX(Settings!$B$29:$B$40,MONTH(A4893)))))</f>
        <v/>
      </c>
    </row>
    <row r="4894" customFormat="false" ht="15" hidden="false" customHeight="false" outlineLevel="0" collapsed="false">
      <c r="H4894" s="0" t="str">
        <f aca="false">IF(B4894="","",IF(COUNTIF(Campaigns!$A$7:$A$300,B4894)&gt;0,"✓","⚠ add to Campaigns tab"))</f>
        <v/>
      </c>
      <c r="I4894" s="84" t="str">
        <f aca="false">IF(C4894="","",C4894*IF(Settings!$B$22=Settings!$C$6,1,IF(Settings!$B$22="USD",1/INDEX(Settings!$B$29:$B$40,MONTH(A4894)),INDEX(Settings!$B$29:$B$40,MONTH(A4894)))))</f>
        <v/>
      </c>
    </row>
    <row r="4895" customFormat="false" ht="15" hidden="false" customHeight="false" outlineLevel="0" collapsed="false">
      <c r="H4895" s="0" t="str">
        <f aca="false">IF(B4895="","",IF(COUNTIF(Campaigns!$A$7:$A$300,B4895)&gt;0,"✓","⚠ add to Campaigns tab"))</f>
        <v/>
      </c>
      <c r="I4895" s="84" t="str">
        <f aca="false">IF(C4895="","",C4895*IF(Settings!$B$22=Settings!$C$6,1,IF(Settings!$B$22="USD",1/INDEX(Settings!$B$29:$B$40,MONTH(A4895)),INDEX(Settings!$B$29:$B$40,MONTH(A4895)))))</f>
        <v/>
      </c>
    </row>
    <row r="4896" customFormat="false" ht="15" hidden="false" customHeight="false" outlineLevel="0" collapsed="false">
      <c r="H4896" s="0" t="str">
        <f aca="false">IF(B4896="","",IF(COUNTIF(Campaigns!$A$7:$A$300,B4896)&gt;0,"✓","⚠ add to Campaigns tab"))</f>
        <v/>
      </c>
      <c r="I4896" s="84" t="str">
        <f aca="false">IF(C4896="","",C4896*IF(Settings!$B$22=Settings!$C$6,1,IF(Settings!$B$22="USD",1/INDEX(Settings!$B$29:$B$40,MONTH(A4896)),INDEX(Settings!$B$29:$B$40,MONTH(A4896)))))</f>
        <v/>
      </c>
    </row>
    <row r="4897" customFormat="false" ht="15" hidden="false" customHeight="false" outlineLevel="0" collapsed="false">
      <c r="H4897" s="0" t="str">
        <f aca="false">IF(B4897="","",IF(COUNTIF(Campaigns!$A$7:$A$300,B4897)&gt;0,"✓","⚠ add to Campaigns tab"))</f>
        <v/>
      </c>
      <c r="I4897" s="84" t="str">
        <f aca="false">IF(C4897="","",C4897*IF(Settings!$B$22=Settings!$C$6,1,IF(Settings!$B$22="USD",1/INDEX(Settings!$B$29:$B$40,MONTH(A4897)),INDEX(Settings!$B$29:$B$40,MONTH(A4897)))))</f>
        <v/>
      </c>
    </row>
    <row r="4898" customFormat="false" ht="15" hidden="false" customHeight="false" outlineLevel="0" collapsed="false">
      <c r="H4898" s="0" t="str">
        <f aca="false">IF(B4898="","",IF(COUNTIF(Campaigns!$A$7:$A$300,B4898)&gt;0,"✓","⚠ add to Campaigns tab"))</f>
        <v/>
      </c>
      <c r="I4898" s="84" t="str">
        <f aca="false">IF(C4898="","",C4898*IF(Settings!$B$22=Settings!$C$6,1,IF(Settings!$B$22="USD",1/INDEX(Settings!$B$29:$B$40,MONTH(A4898)),INDEX(Settings!$B$29:$B$40,MONTH(A4898)))))</f>
        <v/>
      </c>
    </row>
    <row r="4899" customFormat="false" ht="15" hidden="false" customHeight="false" outlineLevel="0" collapsed="false">
      <c r="H4899" s="0" t="str">
        <f aca="false">IF(B4899="","",IF(COUNTIF(Campaigns!$A$7:$A$300,B4899)&gt;0,"✓","⚠ add to Campaigns tab"))</f>
        <v/>
      </c>
      <c r="I4899" s="84" t="str">
        <f aca="false">IF(C4899="","",C4899*IF(Settings!$B$22=Settings!$C$6,1,IF(Settings!$B$22="USD",1/INDEX(Settings!$B$29:$B$40,MONTH(A4899)),INDEX(Settings!$B$29:$B$40,MONTH(A4899)))))</f>
        <v/>
      </c>
    </row>
    <row r="4900" customFormat="false" ht="15" hidden="false" customHeight="false" outlineLevel="0" collapsed="false">
      <c r="H4900" s="0" t="str">
        <f aca="false">IF(B4900="","",IF(COUNTIF(Campaigns!$A$7:$A$300,B4900)&gt;0,"✓","⚠ add to Campaigns tab"))</f>
        <v/>
      </c>
      <c r="I4900" s="84" t="str">
        <f aca="false">IF(C4900="","",C4900*IF(Settings!$B$22=Settings!$C$6,1,IF(Settings!$B$22="USD",1/INDEX(Settings!$B$29:$B$40,MONTH(A4900)),INDEX(Settings!$B$29:$B$40,MONTH(A4900)))))</f>
        <v/>
      </c>
    </row>
    <row r="4901" customFormat="false" ht="15" hidden="false" customHeight="false" outlineLevel="0" collapsed="false">
      <c r="H4901" s="0" t="str">
        <f aca="false">IF(B4901="","",IF(COUNTIF(Campaigns!$A$7:$A$300,B4901)&gt;0,"✓","⚠ add to Campaigns tab"))</f>
        <v/>
      </c>
      <c r="I4901" s="84" t="str">
        <f aca="false">IF(C4901="","",C4901*IF(Settings!$B$22=Settings!$C$6,1,IF(Settings!$B$22="USD",1/INDEX(Settings!$B$29:$B$40,MONTH(A4901)),INDEX(Settings!$B$29:$B$40,MONTH(A4901)))))</f>
        <v/>
      </c>
    </row>
    <row r="4902" customFormat="false" ht="15" hidden="false" customHeight="false" outlineLevel="0" collapsed="false">
      <c r="H4902" s="0" t="str">
        <f aca="false">IF(B4902="","",IF(COUNTIF(Campaigns!$A$7:$A$300,B4902)&gt;0,"✓","⚠ add to Campaigns tab"))</f>
        <v/>
      </c>
      <c r="I4902" s="84" t="str">
        <f aca="false">IF(C4902="","",C4902*IF(Settings!$B$22=Settings!$C$6,1,IF(Settings!$B$22="USD",1/INDEX(Settings!$B$29:$B$40,MONTH(A4902)),INDEX(Settings!$B$29:$B$40,MONTH(A4902)))))</f>
        <v/>
      </c>
    </row>
    <row r="4903" customFormat="false" ht="15" hidden="false" customHeight="false" outlineLevel="0" collapsed="false">
      <c r="H4903" s="0" t="str">
        <f aca="false">IF(B4903="","",IF(COUNTIF(Campaigns!$A$7:$A$300,B4903)&gt;0,"✓","⚠ add to Campaigns tab"))</f>
        <v/>
      </c>
      <c r="I4903" s="84" t="str">
        <f aca="false">IF(C4903="","",C4903*IF(Settings!$B$22=Settings!$C$6,1,IF(Settings!$B$22="USD",1/INDEX(Settings!$B$29:$B$40,MONTH(A4903)),INDEX(Settings!$B$29:$B$40,MONTH(A4903)))))</f>
        <v/>
      </c>
    </row>
    <row r="4904" customFormat="false" ht="15" hidden="false" customHeight="false" outlineLevel="0" collapsed="false">
      <c r="H4904" s="0" t="str">
        <f aca="false">IF(B4904="","",IF(COUNTIF(Campaigns!$A$7:$A$300,B4904)&gt;0,"✓","⚠ add to Campaigns tab"))</f>
        <v/>
      </c>
      <c r="I4904" s="84" t="str">
        <f aca="false">IF(C4904="","",C4904*IF(Settings!$B$22=Settings!$C$6,1,IF(Settings!$B$22="USD",1/INDEX(Settings!$B$29:$B$40,MONTH(A4904)),INDEX(Settings!$B$29:$B$40,MONTH(A4904)))))</f>
        <v/>
      </c>
    </row>
    <row r="4905" customFormat="false" ht="15" hidden="false" customHeight="false" outlineLevel="0" collapsed="false">
      <c r="H4905" s="0" t="str">
        <f aca="false">IF(B4905="","",IF(COUNTIF(Campaigns!$A$7:$A$300,B4905)&gt;0,"✓","⚠ add to Campaigns tab"))</f>
        <v/>
      </c>
      <c r="I4905" s="84" t="str">
        <f aca="false">IF(C4905="","",C4905*IF(Settings!$B$22=Settings!$C$6,1,IF(Settings!$B$22="USD",1/INDEX(Settings!$B$29:$B$40,MONTH(A4905)),INDEX(Settings!$B$29:$B$40,MONTH(A4905)))))</f>
        <v/>
      </c>
    </row>
    <row r="4906" customFormat="false" ht="15" hidden="false" customHeight="false" outlineLevel="0" collapsed="false">
      <c r="H4906" s="0" t="str">
        <f aca="false">IF(B4906="","",IF(COUNTIF(Campaigns!$A$7:$A$300,B4906)&gt;0,"✓","⚠ add to Campaigns tab"))</f>
        <v/>
      </c>
      <c r="I4906" s="84" t="str">
        <f aca="false">IF(C4906="","",C4906*IF(Settings!$B$22=Settings!$C$6,1,IF(Settings!$B$22="USD",1/INDEX(Settings!$B$29:$B$40,MONTH(A4906)),INDEX(Settings!$B$29:$B$40,MONTH(A4906)))))</f>
        <v/>
      </c>
    </row>
    <row r="4907" customFormat="false" ht="15" hidden="false" customHeight="false" outlineLevel="0" collapsed="false">
      <c r="H4907" s="0" t="str">
        <f aca="false">IF(B4907="","",IF(COUNTIF(Campaigns!$A$7:$A$300,B4907)&gt;0,"✓","⚠ add to Campaigns tab"))</f>
        <v/>
      </c>
      <c r="I4907" s="84" t="str">
        <f aca="false">IF(C4907="","",C4907*IF(Settings!$B$22=Settings!$C$6,1,IF(Settings!$B$22="USD",1/INDEX(Settings!$B$29:$B$40,MONTH(A4907)),INDEX(Settings!$B$29:$B$40,MONTH(A4907)))))</f>
        <v/>
      </c>
    </row>
    <row r="4908" customFormat="false" ht="15" hidden="false" customHeight="false" outlineLevel="0" collapsed="false">
      <c r="H4908" s="0" t="str">
        <f aca="false">IF(B4908="","",IF(COUNTIF(Campaigns!$A$7:$A$300,B4908)&gt;0,"✓","⚠ add to Campaigns tab"))</f>
        <v/>
      </c>
      <c r="I4908" s="84" t="str">
        <f aca="false">IF(C4908="","",C4908*IF(Settings!$B$22=Settings!$C$6,1,IF(Settings!$B$22="USD",1/INDEX(Settings!$B$29:$B$40,MONTH(A4908)),INDEX(Settings!$B$29:$B$40,MONTH(A4908)))))</f>
        <v/>
      </c>
    </row>
    <row r="4909" customFormat="false" ht="15" hidden="false" customHeight="false" outlineLevel="0" collapsed="false">
      <c r="H4909" s="0" t="str">
        <f aca="false">IF(B4909="","",IF(COUNTIF(Campaigns!$A$7:$A$300,B4909)&gt;0,"✓","⚠ add to Campaigns tab"))</f>
        <v/>
      </c>
      <c r="I4909" s="84" t="str">
        <f aca="false">IF(C4909="","",C4909*IF(Settings!$B$22=Settings!$C$6,1,IF(Settings!$B$22="USD",1/INDEX(Settings!$B$29:$B$40,MONTH(A4909)),INDEX(Settings!$B$29:$B$40,MONTH(A4909)))))</f>
        <v/>
      </c>
    </row>
    <row r="4910" customFormat="false" ht="15" hidden="false" customHeight="false" outlineLevel="0" collapsed="false">
      <c r="H4910" s="0" t="str">
        <f aca="false">IF(B4910="","",IF(COUNTIF(Campaigns!$A$7:$A$300,B4910)&gt;0,"✓","⚠ add to Campaigns tab"))</f>
        <v/>
      </c>
      <c r="I4910" s="84" t="str">
        <f aca="false">IF(C4910="","",C4910*IF(Settings!$B$22=Settings!$C$6,1,IF(Settings!$B$22="USD",1/INDEX(Settings!$B$29:$B$40,MONTH(A4910)),INDEX(Settings!$B$29:$B$40,MONTH(A4910)))))</f>
        <v/>
      </c>
    </row>
    <row r="4911" customFormat="false" ht="15" hidden="false" customHeight="false" outlineLevel="0" collapsed="false">
      <c r="H4911" s="0" t="str">
        <f aca="false">IF(B4911="","",IF(COUNTIF(Campaigns!$A$7:$A$300,B4911)&gt;0,"✓","⚠ add to Campaigns tab"))</f>
        <v/>
      </c>
      <c r="I4911" s="84" t="str">
        <f aca="false">IF(C4911="","",C4911*IF(Settings!$B$22=Settings!$C$6,1,IF(Settings!$B$22="USD",1/INDEX(Settings!$B$29:$B$40,MONTH(A4911)),INDEX(Settings!$B$29:$B$40,MONTH(A4911)))))</f>
        <v/>
      </c>
    </row>
    <row r="4912" customFormat="false" ht="15" hidden="false" customHeight="false" outlineLevel="0" collapsed="false">
      <c r="H4912" s="0" t="str">
        <f aca="false">IF(B4912="","",IF(COUNTIF(Campaigns!$A$7:$A$300,B4912)&gt;0,"✓","⚠ add to Campaigns tab"))</f>
        <v/>
      </c>
      <c r="I4912" s="84" t="str">
        <f aca="false">IF(C4912="","",C4912*IF(Settings!$B$22=Settings!$C$6,1,IF(Settings!$B$22="USD",1/INDEX(Settings!$B$29:$B$40,MONTH(A4912)),INDEX(Settings!$B$29:$B$40,MONTH(A4912)))))</f>
        <v/>
      </c>
    </row>
    <row r="4913" customFormat="false" ht="15" hidden="false" customHeight="false" outlineLevel="0" collapsed="false">
      <c r="H4913" s="0" t="str">
        <f aca="false">IF(B4913="","",IF(COUNTIF(Campaigns!$A$7:$A$300,B4913)&gt;0,"✓","⚠ add to Campaigns tab"))</f>
        <v/>
      </c>
      <c r="I4913" s="84" t="str">
        <f aca="false">IF(C4913="","",C4913*IF(Settings!$B$22=Settings!$C$6,1,IF(Settings!$B$22="USD",1/INDEX(Settings!$B$29:$B$40,MONTH(A4913)),INDEX(Settings!$B$29:$B$40,MONTH(A4913)))))</f>
        <v/>
      </c>
    </row>
    <row r="4914" customFormat="false" ht="15" hidden="false" customHeight="false" outlineLevel="0" collapsed="false">
      <c r="H4914" s="0" t="str">
        <f aca="false">IF(B4914="","",IF(COUNTIF(Campaigns!$A$7:$A$300,B4914)&gt;0,"✓","⚠ add to Campaigns tab"))</f>
        <v/>
      </c>
      <c r="I4914" s="84" t="str">
        <f aca="false">IF(C4914="","",C4914*IF(Settings!$B$22=Settings!$C$6,1,IF(Settings!$B$22="USD",1/INDEX(Settings!$B$29:$B$40,MONTH(A4914)),INDEX(Settings!$B$29:$B$40,MONTH(A4914)))))</f>
        <v/>
      </c>
    </row>
    <row r="4915" customFormat="false" ht="15" hidden="false" customHeight="false" outlineLevel="0" collapsed="false">
      <c r="H4915" s="0" t="str">
        <f aca="false">IF(B4915="","",IF(COUNTIF(Campaigns!$A$7:$A$300,B4915)&gt;0,"✓","⚠ add to Campaigns tab"))</f>
        <v/>
      </c>
      <c r="I4915" s="84" t="str">
        <f aca="false">IF(C4915="","",C4915*IF(Settings!$B$22=Settings!$C$6,1,IF(Settings!$B$22="USD",1/INDEX(Settings!$B$29:$B$40,MONTH(A4915)),INDEX(Settings!$B$29:$B$40,MONTH(A4915)))))</f>
        <v/>
      </c>
    </row>
    <row r="4916" customFormat="false" ht="15" hidden="false" customHeight="false" outlineLevel="0" collapsed="false">
      <c r="H4916" s="0" t="str">
        <f aca="false">IF(B4916="","",IF(COUNTIF(Campaigns!$A$7:$A$300,B4916)&gt;0,"✓","⚠ add to Campaigns tab"))</f>
        <v/>
      </c>
      <c r="I4916" s="84" t="str">
        <f aca="false">IF(C4916="","",C4916*IF(Settings!$B$22=Settings!$C$6,1,IF(Settings!$B$22="USD",1/INDEX(Settings!$B$29:$B$40,MONTH(A4916)),INDEX(Settings!$B$29:$B$40,MONTH(A4916)))))</f>
        <v/>
      </c>
    </row>
    <row r="4917" customFormat="false" ht="15" hidden="false" customHeight="false" outlineLevel="0" collapsed="false">
      <c r="H4917" s="0" t="str">
        <f aca="false">IF(B4917="","",IF(COUNTIF(Campaigns!$A$7:$A$300,B4917)&gt;0,"✓","⚠ add to Campaigns tab"))</f>
        <v/>
      </c>
      <c r="I4917" s="84" t="str">
        <f aca="false">IF(C4917="","",C4917*IF(Settings!$B$22=Settings!$C$6,1,IF(Settings!$B$22="USD",1/INDEX(Settings!$B$29:$B$40,MONTH(A4917)),INDEX(Settings!$B$29:$B$40,MONTH(A4917)))))</f>
        <v/>
      </c>
    </row>
    <row r="4918" customFormat="false" ht="15" hidden="false" customHeight="false" outlineLevel="0" collapsed="false">
      <c r="H4918" s="0" t="str">
        <f aca="false">IF(B4918="","",IF(COUNTIF(Campaigns!$A$7:$A$300,B4918)&gt;0,"✓","⚠ add to Campaigns tab"))</f>
        <v/>
      </c>
      <c r="I4918" s="84" t="str">
        <f aca="false">IF(C4918="","",C4918*IF(Settings!$B$22=Settings!$C$6,1,IF(Settings!$B$22="USD",1/INDEX(Settings!$B$29:$B$40,MONTH(A4918)),INDEX(Settings!$B$29:$B$40,MONTH(A4918)))))</f>
        <v/>
      </c>
    </row>
    <row r="4919" customFormat="false" ht="15" hidden="false" customHeight="false" outlineLevel="0" collapsed="false">
      <c r="H4919" s="0" t="str">
        <f aca="false">IF(B4919="","",IF(COUNTIF(Campaigns!$A$7:$A$300,B4919)&gt;0,"✓","⚠ add to Campaigns tab"))</f>
        <v/>
      </c>
      <c r="I4919" s="84" t="str">
        <f aca="false">IF(C4919="","",C4919*IF(Settings!$B$22=Settings!$C$6,1,IF(Settings!$B$22="USD",1/INDEX(Settings!$B$29:$B$40,MONTH(A4919)),INDEX(Settings!$B$29:$B$40,MONTH(A4919)))))</f>
        <v/>
      </c>
    </row>
    <row r="4920" customFormat="false" ht="15" hidden="false" customHeight="false" outlineLevel="0" collapsed="false">
      <c r="H4920" s="0" t="str">
        <f aca="false">IF(B4920="","",IF(COUNTIF(Campaigns!$A$7:$A$300,B4920)&gt;0,"✓","⚠ add to Campaigns tab"))</f>
        <v/>
      </c>
      <c r="I4920" s="84" t="str">
        <f aca="false">IF(C4920="","",C4920*IF(Settings!$B$22=Settings!$C$6,1,IF(Settings!$B$22="USD",1/INDEX(Settings!$B$29:$B$40,MONTH(A4920)),INDEX(Settings!$B$29:$B$40,MONTH(A4920)))))</f>
        <v/>
      </c>
    </row>
    <row r="4921" customFormat="false" ht="15" hidden="false" customHeight="false" outlineLevel="0" collapsed="false">
      <c r="H4921" s="0" t="str">
        <f aca="false">IF(B4921="","",IF(COUNTIF(Campaigns!$A$7:$A$300,B4921)&gt;0,"✓","⚠ add to Campaigns tab"))</f>
        <v/>
      </c>
      <c r="I4921" s="84" t="str">
        <f aca="false">IF(C4921="","",C4921*IF(Settings!$B$22=Settings!$C$6,1,IF(Settings!$B$22="USD",1/INDEX(Settings!$B$29:$B$40,MONTH(A4921)),INDEX(Settings!$B$29:$B$40,MONTH(A4921)))))</f>
        <v/>
      </c>
    </row>
    <row r="4922" customFormat="false" ht="15" hidden="false" customHeight="false" outlineLevel="0" collapsed="false">
      <c r="H4922" s="0" t="str">
        <f aca="false">IF(B4922="","",IF(COUNTIF(Campaigns!$A$7:$A$300,B4922)&gt;0,"✓","⚠ add to Campaigns tab"))</f>
        <v/>
      </c>
      <c r="I4922" s="84" t="str">
        <f aca="false">IF(C4922="","",C4922*IF(Settings!$B$22=Settings!$C$6,1,IF(Settings!$B$22="USD",1/INDEX(Settings!$B$29:$B$40,MONTH(A4922)),INDEX(Settings!$B$29:$B$40,MONTH(A4922)))))</f>
        <v/>
      </c>
    </row>
    <row r="4923" customFormat="false" ht="15" hidden="false" customHeight="false" outlineLevel="0" collapsed="false">
      <c r="H4923" s="0" t="str">
        <f aca="false">IF(B4923="","",IF(COUNTIF(Campaigns!$A$7:$A$300,B4923)&gt;0,"✓","⚠ add to Campaigns tab"))</f>
        <v/>
      </c>
      <c r="I4923" s="84" t="str">
        <f aca="false">IF(C4923="","",C4923*IF(Settings!$B$22=Settings!$C$6,1,IF(Settings!$B$22="USD",1/INDEX(Settings!$B$29:$B$40,MONTH(A4923)),INDEX(Settings!$B$29:$B$40,MONTH(A4923)))))</f>
        <v/>
      </c>
    </row>
    <row r="4924" customFormat="false" ht="15" hidden="false" customHeight="false" outlineLevel="0" collapsed="false">
      <c r="H4924" s="0" t="str">
        <f aca="false">IF(B4924="","",IF(COUNTIF(Campaigns!$A$7:$A$300,B4924)&gt;0,"✓","⚠ add to Campaigns tab"))</f>
        <v/>
      </c>
      <c r="I4924" s="84" t="str">
        <f aca="false">IF(C4924="","",C4924*IF(Settings!$B$22=Settings!$C$6,1,IF(Settings!$B$22="USD",1/INDEX(Settings!$B$29:$B$40,MONTH(A4924)),INDEX(Settings!$B$29:$B$40,MONTH(A4924)))))</f>
        <v/>
      </c>
    </row>
    <row r="4925" customFormat="false" ht="15" hidden="false" customHeight="false" outlineLevel="0" collapsed="false">
      <c r="H4925" s="0" t="str">
        <f aca="false">IF(B4925="","",IF(COUNTIF(Campaigns!$A$7:$A$300,B4925)&gt;0,"✓","⚠ add to Campaigns tab"))</f>
        <v/>
      </c>
      <c r="I4925" s="84" t="str">
        <f aca="false">IF(C4925="","",C4925*IF(Settings!$B$22=Settings!$C$6,1,IF(Settings!$B$22="USD",1/INDEX(Settings!$B$29:$B$40,MONTH(A4925)),INDEX(Settings!$B$29:$B$40,MONTH(A4925)))))</f>
        <v/>
      </c>
    </row>
    <row r="4926" customFormat="false" ht="15" hidden="false" customHeight="false" outlineLevel="0" collapsed="false">
      <c r="H4926" s="0" t="str">
        <f aca="false">IF(B4926="","",IF(COUNTIF(Campaigns!$A$7:$A$300,B4926)&gt;0,"✓","⚠ add to Campaigns tab"))</f>
        <v/>
      </c>
      <c r="I4926" s="84" t="str">
        <f aca="false">IF(C4926="","",C4926*IF(Settings!$B$22=Settings!$C$6,1,IF(Settings!$B$22="USD",1/INDEX(Settings!$B$29:$B$40,MONTH(A4926)),INDEX(Settings!$B$29:$B$40,MONTH(A4926)))))</f>
        <v/>
      </c>
    </row>
    <row r="4927" customFormat="false" ht="15" hidden="false" customHeight="false" outlineLevel="0" collapsed="false">
      <c r="H4927" s="0" t="str">
        <f aca="false">IF(B4927="","",IF(COUNTIF(Campaigns!$A$7:$A$300,B4927)&gt;0,"✓","⚠ add to Campaigns tab"))</f>
        <v/>
      </c>
      <c r="I4927" s="84" t="str">
        <f aca="false">IF(C4927="","",C4927*IF(Settings!$B$22=Settings!$C$6,1,IF(Settings!$B$22="USD",1/INDEX(Settings!$B$29:$B$40,MONTH(A4927)),INDEX(Settings!$B$29:$B$40,MONTH(A4927)))))</f>
        <v/>
      </c>
    </row>
    <row r="4928" customFormat="false" ht="15" hidden="false" customHeight="false" outlineLevel="0" collapsed="false">
      <c r="H4928" s="0" t="str">
        <f aca="false">IF(B4928="","",IF(COUNTIF(Campaigns!$A$7:$A$300,B4928)&gt;0,"✓","⚠ add to Campaigns tab"))</f>
        <v/>
      </c>
      <c r="I4928" s="84" t="str">
        <f aca="false">IF(C4928="","",C4928*IF(Settings!$B$22=Settings!$C$6,1,IF(Settings!$B$22="USD",1/INDEX(Settings!$B$29:$B$40,MONTH(A4928)),INDEX(Settings!$B$29:$B$40,MONTH(A4928)))))</f>
        <v/>
      </c>
    </row>
    <row r="4929" customFormat="false" ht="15" hidden="false" customHeight="false" outlineLevel="0" collapsed="false">
      <c r="H4929" s="0" t="str">
        <f aca="false">IF(B4929="","",IF(COUNTIF(Campaigns!$A$7:$A$300,B4929)&gt;0,"✓","⚠ add to Campaigns tab"))</f>
        <v/>
      </c>
      <c r="I4929" s="84" t="str">
        <f aca="false">IF(C4929="","",C4929*IF(Settings!$B$22=Settings!$C$6,1,IF(Settings!$B$22="USD",1/INDEX(Settings!$B$29:$B$40,MONTH(A4929)),INDEX(Settings!$B$29:$B$40,MONTH(A4929)))))</f>
        <v/>
      </c>
    </row>
    <row r="4930" customFormat="false" ht="15" hidden="false" customHeight="false" outlineLevel="0" collapsed="false">
      <c r="H4930" s="0" t="str">
        <f aca="false">IF(B4930="","",IF(COUNTIF(Campaigns!$A$7:$A$300,B4930)&gt;0,"✓","⚠ add to Campaigns tab"))</f>
        <v/>
      </c>
      <c r="I4930" s="84" t="str">
        <f aca="false">IF(C4930="","",C4930*IF(Settings!$B$22=Settings!$C$6,1,IF(Settings!$B$22="USD",1/INDEX(Settings!$B$29:$B$40,MONTH(A4930)),INDEX(Settings!$B$29:$B$40,MONTH(A4930)))))</f>
        <v/>
      </c>
    </row>
    <row r="4931" customFormat="false" ht="15" hidden="false" customHeight="false" outlineLevel="0" collapsed="false">
      <c r="H4931" s="0" t="str">
        <f aca="false">IF(B4931="","",IF(COUNTIF(Campaigns!$A$7:$A$300,B4931)&gt;0,"✓","⚠ add to Campaigns tab"))</f>
        <v/>
      </c>
      <c r="I4931" s="84" t="str">
        <f aca="false">IF(C4931="","",C4931*IF(Settings!$B$22=Settings!$C$6,1,IF(Settings!$B$22="USD",1/INDEX(Settings!$B$29:$B$40,MONTH(A4931)),INDEX(Settings!$B$29:$B$40,MONTH(A4931)))))</f>
        <v/>
      </c>
    </row>
    <row r="4932" customFormat="false" ht="15" hidden="false" customHeight="false" outlineLevel="0" collapsed="false">
      <c r="H4932" s="0" t="str">
        <f aca="false">IF(B4932="","",IF(COUNTIF(Campaigns!$A$7:$A$300,B4932)&gt;0,"✓","⚠ add to Campaigns tab"))</f>
        <v/>
      </c>
      <c r="I4932" s="84" t="str">
        <f aca="false">IF(C4932="","",C4932*IF(Settings!$B$22=Settings!$C$6,1,IF(Settings!$B$22="USD",1/INDEX(Settings!$B$29:$B$40,MONTH(A4932)),INDEX(Settings!$B$29:$B$40,MONTH(A4932)))))</f>
        <v/>
      </c>
    </row>
    <row r="4933" customFormat="false" ht="15" hidden="false" customHeight="false" outlineLevel="0" collapsed="false">
      <c r="H4933" s="0" t="str">
        <f aca="false">IF(B4933="","",IF(COUNTIF(Campaigns!$A$7:$A$300,B4933)&gt;0,"✓","⚠ add to Campaigns tab"))</f>
        <v/>
      </c>
      <c r="I4933" s="84" t="str">
        <f aca="false">IF(C4933="","",C4933*IF(Settings!$B$22=Settings!$C$6,1,IF(Settings!$B$22="USD",1/INDEX(Settings!$B$29:$B$40,MONTH(A4933)),INDEX(Settings!$B$29:$B$40,MONTH(A4933)))))</f>
        <v/>
      </c>
    </row>
    <row r="4934" customFormat="false" ht="15" hidden="false" customHeight="false" outlineLevel="0" collapsed="false">
      <c r="H4934" s="0" t="str">
        <f aca="false">IF(B4934="","",IF(COUNTIF(Campaigns!$A$7:$A$300,B4934)&gt;0,"✓","⚠ add to Campaigns tab"))</f>
        <v/>
      </c>
      <c r="I4934" s="84" t="str">
        <f aca="false">IF(C4934="","",C4934*IF(Settings!$B$22=Settings!$C$6,1,IF(Settings!$B$22="USD",1/INDEX(Settings!$B$29:$B$40,MONTH(A4934)),INDEX(Settings!$B$29:$B$40,MONTH(A4934)))))</f>
        <v/>
      </c>
    </row>
    <row r="4935" customFormat="false" ht="15" hidden="false" customHeight="false" outlineLevel="0" collapsed="false">
      <c r="H4935" s="0" t="str">
        <f aca="false">IF(B4935="","",IF(COUNTIF(Campaigns!$A$7:$A$300,B4935)&gt;0,"✓","⚠ add to Campaigns tab"))</f>
        <v/>
      </c>
      <c r="I4935" s="84" t="str">
        <f aca="false">IF(C4935="","",C4935*IF(Settings!$B$22=Settings!$C$6,1,IF(Settings!$B$22="USD",1/INDEX(Settings!$B$29:$B$40,MONTH(A4935)),INDEX(Settings!$B$29:$B$40,MONTH(A4935)))))</f>
        <v/>
      </c>
    </row>
    <row r="4936" customFormat="false" ht="15" hidden="false" customHeight="false" outlineLevel="0" collapsed="false">
      <c r="H4936" s="0" t="str">
        <f aca="false">IF(B4936="","",IF(COUNTIF(Campaigns!$A$7:$A$300,B4936)&gt;0,"✓","⚠ add to Campaigns tab"))</f>
        <v/>
      </c>
      <c r="I4936" s="84" t="str">
        <f aca="false">IF(C4936="","",C4936*IF(Settings!$B$22=Settings!$C$6,1,IF(Settings!$B$22="USD",1/INDEX(Settings!$B$29:$B$40,MONTH(A4936)),INDEX(Settings!$B$29:$B$40,MONTH(A4936)))))</f>
        <v/>
      </c>
    </row>
    <row r="4937" customFormat="false" ht="15" hidden="false" customHeight="false" outlineLevel="0" collapsed="false">
      <c r="H4937" s="0" t="str">
        <f aca="false">IF(B4937="","",IF(COUNTIF(Campaigns!$A$7:$A$300,B4937)&gt;0,"✓","⚠ add to Campaigns tab"))</f>
        <v/>
      </c>
      <c r="I4937" s="84" t="str">
        <f aca="false">IF(C4937="","",C4937*IF(Settings!$B$22=Settings!$C$6,1,IF(Settings!$B$22="USD",1/INDEX(Settings!$B$29:$B$40,MONTH(A4937)),INDEX(Settings!$B$29:$B$40,MONTH(A4937)))))</f>
        <v/>
      </c>
    </row>
    <row r="4938" customFormat="false" ht="15" hidden="false" customHeight="false" outlineLevel="0" collapsed="false">
      <c r="H4938" s="0" t="str">
        <f aca="false">IF(B4938="","",IF(COUNTIF(Campaigns!$A$7:$A$300,B4938)&gt;0,"✓","⚠ add to Campaigns tab"))</f>
        <v/>
      </c>
      <c r="I4938" s="84" t="str">
        <f aca="false">IF(C4938="","",C4938*IF(Settings!$B$22=Settings!$C$6,1,IF(Settings!$B$22="USD",1/INDEX(Settings!$B$29:$B$40,MONTH(A4938)),INDEX(Settings!$B$29:$B$40,MONTH(A4938)))))</f>
        <v/>
      </c>
    </row>
    <row r="4939" customFormat="false" ht="15" hidden="false" customHeight="false" outlineLevel="0" collapsed="false">
      <c r="H4939" s="0" t="str">
        <f aca="false">IF(B4939="","",IF(COUNTIF(Campaigns!$A$7:$A$300,B4939)&gt;0,"✓","⚠ add to Campaigns tab"))</f>
        <v/>
      </c>
      <c r="I4939" s="84" t="str">
        <f aca="false">IF(C4939="","",C4939*IF(Settings!$B$22=Settings!$C$6,1,IF(Settings!$B$22="USD",1/INDEX(Settings!$B$29:$B$40,MONTH(A4939)),INDEX(Settings!$B$29:$B$40,MONTH(A4939)))))</f>
        <v/>
      </c>
    </row>
    <row r="4940" customFormat="false" ht="15" hidden="false" customHeight="false" outlineLevel="0" collapsed="false">
      <c r="H4940" s="0" t="str">
        <f aca="false">IF(B4940="","",IF(COUNTIF(Campaigns!$A$7:$A$300,B4940)&gt;0,"✓","⚠ add to Campaigns tab"))</f>
        <v/>
      </c>
      <c r="I4940" s="84" t="str">
        <f aca="false">IF(C4940="","",C4940*IF(Settings!$B$22=Settings!$C$6,1,IF(Settings!$B$22="USD",1/INDEX(Settings!$B$29:$B$40,MONTH(A4940)),INDEX(Settings!$B$29:$B$40,MONTH(A4940)))))</f>
        <v/>
      </c>
    </row>
    <row r="4941" customFormat="false" ht="15" hidden="false" customHeight="false" outlineLevel="0" collapsed="false">
      <c r="H4941" s="0" t="str">
        <f aca="false">IF(B4941="","",IF(COUNTIF(Campaigns!$A$7:$A$300,B4941)&gt;0,"✓","⚠ add to Campaigns tab"))</f>
        <v/>
      </c>
      <c r="I4941" s="84" t="str">
        <f aca="false">IF(C4941="","",C4941*IF(Settings!$B$22=Settings!$C$6,1,IF(Settings!$B$22="USD",1/INDEX(Settings!$B$29:$B$40,MONTH(A4941)),INDEX(Settings!$B$29:$B$40,MONTH(A4941)))))</f>
        <v/>
      </c>
    </row>
    <row r="4942" customFormat="false" ht="15" hidden="false" customHeight="false" outlineLevel="0" collapsed="false">
      <c r="H4942" s="0" t="str">
        <f aca="false">IF(B4942="","",IF(COUNTIF(Campaigns!$A$7:$A$300,B4942)&gt;0,"✓","⚠ add to Campaigns tab"))</f>
        <v/>
      </c>
      <c r="I4942" s="84" t="str">
        <f aca="false">IF(C4942="","",C4942*IF(Settings!$B$22=Settings!$C$6,1,IF(Settings!$B$22="USD",1/INDEX(Settings!$B$29:$B$40,MONTH(A4942)),INDEX(Settings!$B$29:$B$40,MONTH(A4942)))))</f>
        <v/>
      </c>
    </row>
    <row r="4943" customFormat="false" ht="15" hidden="false" customHeight="false" outlineLevel="0" collapsed="false">
      <c r="H4943" s="0" t="str">
        <f aca="false">IF(B4943="","",IF(COUNTIF(Campaigns!$A$7:$A$300,B4943)&gt;0,"✓","⚠ add to Campaigns tab"))</f>
        <v/>
      </c>
      <c r="I4943" s="84" t="str">
        <f aca="false">IF(C4943="","",C4943*IF(Settings!$B$22=Settings!$C$6,1,IF(Settings!$B$22="USD",1/INDEX(Settings!$B$29:$B$40,MONTH(A4943)),INDEX(Settings!$B$29:$B$40,MONTH(A4943)))))</f>
        <v/>
      </c>
    </row>
    <row r="4944" customFormat="false" ht="15" hidden="false" customHeight="false" outlineLevel="0" collapsed="false">
      <c r="H4944" s="0" t="str">
        <f aca="false">IF(B4944="","",IF(COUNTIF(Campaigns!$A$7:$A$300,B4944)&gt;0,"✓","⚠ add to Campaigns tab"))</f>
        <v/>
      </c>
      <c r="I4944" s="84" t="str">
        <f aca="false">IF(C4944="","",C4944*IF(Settings!$B$22=Settings!$C$6,1,IF(Settings!$B$22="USD",1/INDEX(Settings!$B$29:$B$40,MONTH(A4944)),INDEX(Settings!$B$29:$B$40,MONTH(A4944)))))</f>
        <v/>
      </c>
    </row>
    <row r="4945" customFormat="false" ht="15" hidden="false" customHeight="false" outlineLevel="0" collapsed="false">
      <c r="H4945" s="0" t="str">
        <f aca="false">IF(B4945="","",IF(COUNTIF(Campaigns!$A$7:$A$300,B4945)&gt;0,"✓","⚠ add to Campaigns tab"))</f>
        <v/>
      </c>
      <c r="I4945" s="84" t="str">
        <f aca="false">IF(C4945="","",C4945*IF(Settings!$B$22=Settings!$C$6,1,IF(Settings!$B$22="USD",1/INDEX(Settings!$B$29:$B$40,MONTH(A4945)),INDEX(Settings!$B$29:$B$40,MONTH(A4945)))))</f>
        <v/>
      </c>
    </row>
    <row r="4946" customFormat="false" ht="15" hidden="false" customHeight="false" outlineLevel="0" collapsed="false">
      <c r="H4946" s="0" t="str">
        <f aca="false">IF(B4946="","",IF(COUNTIF(Campaigns!$A$7:$A$300,B4946)&gt;0,"✓","⚠ add to Campaigns tab"))</f>
        <v/>
      </c>
      <c r="I4946" s="84" t="str">
        <f aca="false">IF(C4946="","",C4946*IF(Settings!$B$22=Settings!$C$6,1,IF(Settings!$B$22="USD",1/INDEX(Settings!$B$29:$B$40,MONTH(A4946)),INDEX(Settings!$B$29:$B$40,MONTH(A4946)))))</f>
        <v/>
      </c>
    </row>
    <row r="4947" customFormat="false" ht="15" hidden="false" customHeight="false" outlineLevel="0" collapsed="false">
      <c r="H4947" s="0" t="str">
        <f aca="false">IF(B4947="","",IF(COUNTIF(Campaigns!$A$7:$A$300,B4947)&gt;0,"✓","⚠ add to Campaigns tab"))</f>
        <v/>
      </c>
      <c r="I4947" s="84" t="str">
        <f aca="false">IF(C4947="","",C4947*IF(Settings!$B$22=Settings!$C$6,1,IF(Settings!$B$22="USD",1/INDEX(Settings!$B$29:$B$40,MONTH(A4947)),INDEX(Settings!$B$29:$B$40,MONTH(A4947)))))</f>
        <v/>
      </c>
    </row>
    <row r="4948" customFormat="false" ht="15" hidden="false" customHeight="false" outlineLevel="0" collapsed="false">
      <c r="H4948" s="0" t="str">
        <f aca="false">IF(B4948="","",IF(COUNTIF(Campaigns!$A$7:$A$300,B4948)&gt;0,"✓","⚠ add to Campaigns tab"))</f>
        <v/>
      </c>
      <c r="I4948" s="84" t="str">
        <f aca="false">IF(C4948="","",C4948*IF(Settings!$B$22=Settings!$C$6,1,IF(Settings!$B$22="USD",1/INDEX(Settings!$B$29:$B$40,MONTH(A4948)),INDEX(Settings!$B$29:$B$40,MONTH(A4948)))))</f>
        <v/>
      </c>
    </row>
    <row r="4949" customFormat="false" ht="15" hidden="false" customHeight="false" outlineLevel="0" collapsed="false">
      <c r="H4949" s="0" t="str">
        <f aca="false">IF(B4949="","",IF(COUNTIF(Campaigns!$A$7:$A$300,B4949)&gt;0,"✓","⚠ add to Campaigns tab"))</f>
        <v/>
      </c>
      <c r="I4949" s="84" t="str">
        <f aca="false">IF(C4949="","",C4949*IF(Settings!$B$22=Settings!$C$6,1,IF(Settings!$B$22="USD",1/INDEX(Settings!$B$29:$B$40,MONTH(A4949)),INDEX(Settings!$B$29:$B$40,MONTH(A4949)))))</f>
        <v/>
      </c>
    </row>
    <row r="4950" customFormat="false" ht="15" hidden="false" customHeight="false" outlineLevel="0" collapsed="false">
      <c r="H4950" s="0" t="str">
        <f aca="false">IF(B4950="","",IF(COUNTIF(Campaigns!$A$7:$A$300,B4950)&gt;0,"✓","⚠ add to Campaigns tab"))</f>
        <v/>
      </c>
      <c r="I4950" s="84" t="str">
        <f aca="false">IF(C4950="","",C4950*IF(Settings!$B$22=Settings!$C$6,1,IF(Settings!$B$22="USD",1/INDEX(Settings!$B$29:$B$40,MONTH(A4950)),INDEX(Settings!$B$29:$B$40,MONTH(A4950)))))</f>
        <v/>
      </c>
    </row>
    <row r="4951" customFormat="false" ht="15" hidden="false" customHeight="false" outlineLevel="0" collapsed="false">
      <c r="H4951" s="0" t="str">
        <f aca="false">IF(B4951="","",IF(COUNTIF(Campaigns!$A$7:$A$300,B4951)&gt;0,"✓","⚠ add to Campaigns tab"))</f>
        <v/>
      </c>
      <c r="I4951" s="84" t="str">
        <f aca="false">IF(C4951="","",C4951*IF(Settings!$B$22=Settings!$C$6,1,IF(Settings!$B$22="USD",1/INDEX(Settings!$B$29:$B$40,MONTH(A4951)),INDEX(Settings!$B$29:$B$40,MONTH(A4951)))))</f>
        <v/>
      </c>
    </row>
    <row r="4952" customFormat="false" ht="15" hidden="false" customHeight="false" outlineLevel="0" collapsed="false">
      <c r="H4952" s="0" t="str">
        <f aca="false">IF(B4952="","",IF(COUNTIF(Campaigns!$A$7:$A$300,B4952)&gt;0,"✓","⚠ add to Campaigns tab"))</f>
        <v/>
      </c>
      <c r="I4952" s="84" t="str">
        <f aca="false">IF(C4952="","",C4952*IF(Settings!$B$22=Settings!$C$6,1,IF(Settings!$B$22="USD",1/INDEX(Settings!$B$29:$B$40,MONTH(A4952)),INDEX(Settings!$B$29:$B$40,MONTH(A4952)))))</f>
        <v/>
      </c>
    </row>
    <row r="4953" customFormat="false" ht="15" hidden="false" customHeight="false" outlineLevel="0" collapsed="false">
      <c r="H4953" s="0" t="str">
        <f aca="false">IF(B4953="","",IF(COUNTIF(Campaigns!$A$7:$A$300,B4953)&gt;0,"✓","⚠ add to Campaigns tab"))</f>
        <v/>
      </c>
      <c r="I4953" s="84" t="str">
        <f aca="false">IF(C4953="","",C4953*IF(Settings!$B$22=Settings!$C$6,1,IF(Settings!$B$22="USD",1/INDEX(Settings!$B$29:$B$40,MONTH(A4953)),INDEX(Settings!$B$29:$B$40,MONTH(A4953)))))</f>
        <v/>
      </c>
    </row>
    <row r="4954" customFormat="false" ht="15" hidden="false" customHeight="false" outlineLevel="0" collapsed="false">
      <c r="H4954" s="0" t="str">
        <f aca="false">IF(B4954="","",IF(COUNTIF(Campaigns!$A$7:$A$300,B4954)&gt;0,"✓","⚠ add to Campaigns tab"))</f>
        <v/>
      </c>
      <c r="I4954" s="84" t="str">
        <f aca="false">IF(C4954="","",C4954*IF(Settings!$B$22=Settings!$C$6,1,IF(Settings!$B$22="USD",1/INDEX(Settings!$B$29:$B$40,MONTH(A4954)),INDEX(Settings!$B$29:$B$40,MONTH(A4954)))))</f>
        <v/>
      </c>
    </row>
    <row r="4955" customFormat="false" ht="15" hidden="false" customHeight="false" outlineLevel="0" collapsed="false">
      <c r="H4955" s="0" t="str">
        <f aca="false">IF(B4955="","",IF(COUNTIF(Campaigns!$A$7:$A$300,B4955)&gt;0,"✓","⚠ add to Campaigns tab"))</f>
        <v/>
      </c>
      <c r="I4955" s="84" t="str">
        <f aca="false">IF(C4955="","",C4955*IF(Settings!$B$22=Settings!$C$6,1,IF(Settings!$B$22="USD",1/INDEX(Settings!$B$29:$B$40,MONTH(A4955)),INDEX(Settings!$B$29:$B$40,MONTH(A4955)))))</f>
        <v/>
      </c>
    </row>
    <row r="4956" customFormat="false" ht="15" hidden="false" customHeight="false" outlineLevel="0" collapsed="false">
      <c r="H4956" s="0" t="str">
        <f aca="false">IF(B4956="","",IF(COUNTIF(Campaigns!$A$7:$A$300,B4956)&gt;0,"✓","⚠ add to Campaigns tab"))</f>
        <v/>
      </c>
      <c r="I4956" s="84" t="str">
        <f aca="false">IF(C4956="","",C4956*IF(Settings!$B$22=Settings!$C$6,1,IF(Settings!$B$22="USD",1/INDEX(Settings!$B$29:$B$40,MONTH(A4956)),INDEX(Settings!$B$29:$B$40,MONTH(A4956)))))</f>
        <v/>
      </c>
    </row>
    <row r="4957" customFormat="false" ht="15" hidden="false" customHeight="false" outlineLevel="0" collapsed="false">
      <c r="H4957" s="0" t="str">
        <f aca="false">IF(B4957="","",IF(COUNTIF(Campaigns!$A$7:$A$300,B4957)&gt;0,"✓","⚠ add to Campaigns tab"))</f>
        <v/>
      </c>
      <c r="I4957" s="84" t="str">
        <f aca="false">IF(C4957="","",C4957*IF(Settings!$B$22=Settings!$C$6,1,IF(Settings!$B$22="USD",1/INDEX(Settings!$B$29:$B$40,MONTH(A4957)),INDEX(Settings!$B$29:$B$40,MONTH(A4957)))))</f>
        <v/>
      </c>
    </row>
    <row r="4958" customFormat="false" ht="15" hidden="false" customHeight="false" outlineLevel="0" collapsed="false">
      <c r="H4958" s="0" t="str">
        <f aca="false">IF(B4958="","",IF(COUNTIF(Campaigns!$A$7:$A$300,B4958)&gt;0,"✓","⚠ add to Campaigns tab"))</f>
        <v/>
      </c>
      <c r="I4958" s="84" t="str">
        <f aca="false">IF(C4958="","",C4958*IF(Settings!$B$22=Settings!$C$6,1,IF(Settings!$B$22="USD",1/INDEX(Settings!$B$29:$B$40,MONTH(A4958)),INDEX(Settings!$B$29:$B$40,MONTH(A4958)))))</f>
        <v/>
      </c>
    </row>
    <row r="4959" customFormat="false" ht="15" hidden="false" customHeight="false" outlineLevel="0" collapsed="false">
      <c r="H4959" s="0" t="str">
        <f aca="false">IF(B4959="","",IF(COUNTIF(Campaigns!$A$7:$A$300,B4959)&gt;0,"✓","⚠ add to Campaigns tab"))</f>
        <v/>
      </c>
      <c r="I4959" s="84" t="str">
        <f aca="false">IF(C4959="","",C4959*IF(Settings!$B$22=Settings!$C$6,1,IF(Settings!$B$22="USD",1/INDEX(Settings!$B$29:$B$40,MONTH(A4959)),INDEX(Settings!$B$29:$B$40,MONTH(A4959)))))</f>
        <v/>
      </c>
    </row>
    <row r="4960" customFormat="false" ht="15" hidden="false" customHeight="false" outlineLevel="0" collapsed="false">
      <c r="H4960" s="0" t="str">
        <f aca="false">IF(B4960="","",IF(COUNTIF(Campaigns!$A$7:$A$300,B4960)&gt;0,"✓","⚠ add to Campaigns tab"))</f>
        <v/>
      </c>
      <c r="I4960" s="84" t="str">
        <f aca="false">IF(C4960="","",C4960*IF(Settings!$B$22=Settings!$C$6,1,IF(Settings!$B$22="USD",1/INDEX(Settings!$B$29:$B$40,MONTH(A4960)),INDEX(Settings!$B$29:$B$40,MONTH(A4960)))))</f>
        <v/>
      </c>
    </row>
    <row r="4961" customFormat="false" ht="15" hidden="false" customHeight="false" outlineLevel="0" collapsed="false">
      <c r="H4961" s="0" t="str">
        <f aca="false">IF(B4961="","",IF(COUNTIF(Campaigns!$A$7:$A$300,B4961)&gt;0,"✓","⚠ add to Campaigns tab"))</f>
        <v/>
      </c>
      <c r="I4961" s="84" t="str">
        <f aca="false">IF(C4961="","",C4961*IF(Settings!$B$22=Settings!$C$6,1,IF(Settings!$B$22="USD",1/INDEX(Settings!$B$29:$B$40,MONTH(A4961)),INDEX(Settings!$B$29:$B$40,MONTH(A4961)))))</f>
        <v/>
      </c>
    </row>
    <row r="4962" customFormat="false" ht="15" hidden="false" customHeight="false" outlineLevel="0" collapsed="false">
      <c r="H4962" s="0" t="str">
        <f aca="false">IF(B4962="","",IF(COUNTIF(Campaigns!$A$7:$A$300,B4962)&gt;0,"✓","⚠ add to Campaigns tab"))</f>
        <v/>
      </c>
      <c r="I4962" s="84" t="str">
        <f aca="false">IF(C4962="","",C4962*IF(Settings!$B$22=Settings!$C$6,1,IF(Settings!$B$22="USD",1/INDEX(Settings!$B$29:$B$40,MONTH(A4962)),INDEX(Settings!$B$29:$B$40,MONTH(A4962)))))</f>
        <v/>
      </c>
    </row>
    <row r="4963" customFormat="false" ht="15" hidden="false" customHeight="false" outlineLevel="0" collapsed="false">
      <c r="H4963" s="0" t="str">
        <f aca="false">IF(B4963="","",IF(COUNTIF(Campaigns!$A$7:$A$300,B4963)&gt;0,"✓","⚠ add to Campaigns tab"))</f>
        <v/>
      </c>
      <c r="I4963" s="84" t="str">
        <f aca="false">IF(C4963="","",C4963*IF(Settings!$B$22=Settings!$C$6,1,IF(Settings!$B$22="USD",1/INDEX(Settings!$B$29:$B$40,MONTH(A4963)),INDEX(Settings!$B$29:$B$40,MONTH(A4963)))))</f>
        <v/>
      </c>
    </row>
    <row r="4964" customFormat="false" ht="15" hidden="false" customHeight="false" outlineLevel="0" collapsed="false">
      <c r="H4964" s="0" t="str">
        <f aca="false">IF(B4964="","",IF(COUNTIF(Campaigns!$A$7:$A$300,B4964)&gt;0,"✓","⚠ add to Campaigns tab"))</f>
        <v/>
      </c>
      <c r="I4964" s="84" t="str">
        <f aca="false">IF(C4964="","",C4964*IF(Settings!$B$22=Settings!$C$6,1,IF(Settings!$B$22="USD",1/INDEX(Settings!$B$29:$B$40,MONTH(A4964)),INDEX(Settings!$B$29:$B$40,MONTH(A4964)))))</f>
        <v/>
      </c>
    </row>
    <row r="4965" customFormat="false" ht="15" hidden="false" customHeight="false" outlineLevel="0" collapsed="false">
      <c r="H4965" s="0" t="str">
        <f aca="false">IF(B4965="","",IF(COUNTIF(Campaigns!$A$7:$A$300,B4965)&gt;0,"✓","⚠ add to Campaigns tab"))</f>
        <v/>
      </c>
      <c r="I4965" s="84" t="str">
        <f aca="false">IF(C4965="","",C4965*IF(Settings!$B$22=Settings!$C$6,1,IF(Settings!$B$22="USD",1/INDEX(Settings!$B$29:$B$40,MONTH(A4965)),INDEX(Settings!$B$29:$B$40,MONTH(A4965)))))</f>
        <v/>
      </c>
    </row>
    <row r="4966" customFormat="false" ht="15" hidden="false" customHeight="false" outlineLevel="0" collapsed="false">
      <c r="H4966" s="0" t="str">
        <f aca="false">IF(B4966="","",IF(COUNTIF(Campaigns!$A$7:$A$300,B4966)&gt;0,"✓","⚠ add to Campaigns tab"))</f>
        <v/>
      </c>
      <c r="I4966" s="84" t="str">
        <f aca="false">IF(C4966="","",C4966*IF(Settings!$B$22=Settings!$C$6,1,IF(Settings!$B$22="USD",1/INDEX(Settings!$B$29:$B$40,MONTH(A4966)),INDEX(Settings!$B$29:$B$40,MONTH(A4966)))))</f>
        <v/>
      </c>
    </row>
    <row r="4967" customFormat="false" ht="15" hidden="false" customHeight="false" outlineLevel="0" collapsed="false">
      <c r="H4967" s="0" t="str">
        <f aca="false">IF(B4967="","",IF(COUNTIF(Campaigns!$A$7:$A$300,B4967)&gt;0,"✓","⚠ add to Campaigns tab"))</f>
        <v/>
      </c>
      <c r="I4967" s="84" t="str">
        <f aca="false">IF(C4967="","",C4967*IF(Settings!$B$22=Settings!$C$6,1,IF(Settings!$B$22="USD",1/INDEX(Settings!$B$29:$B$40,MONTH(A4967)),INDEX(Settings!$B$29:$B$40,MONTH(A4967)))))</f>
        <v/>
      </c>
    </row>
    <row r="4968" customFormat="false" ht="15" hidden="false" customHeight="false" outlineLevel="0" collapsed="false">
      <c r="H4968" s="0" t="str">
        <f aca="false">IF(B4968="","",IF(COUNTIF(Campaigns!$A$7:$A$300,B4968)&gt;0,"✓","⚠ add to Campaigns tab"))</f>
        <v/>
      </c>
      <c r="I4968" s="84" t="str">
        <f aca="false">IF(C4968="","",C4968*IF(Settings!$B$22=Settings!$C$6,1,IF(Settings!$B$22="USD",1/INDEX(Settings!$B$29:$B$40,MONTH(A4968)),INDEX(Settings!$B$29:$B$40,MONTH(A4968)))))</f>
        <v/>
      </c>
    </row>
    <row r="4969" customFormat="false" ht="15" hidden="false" customHeight="false" outlineLevel="0" collapsed="false">
      <c r="H4969" s="0" t="str">
        <f aca="false">IF(B4969="","",IF(COUNTIF(Campaigns!$A$7:$A$300,B4969)&gt;0,"✓","⚠ add to Campaigns tab"))</f>
        <v/>
      </c>
      <c r="I4969" s="84" t="str">
        <f aca="false">IF(C4969="","",C4969*IF(Settings!$B$22=Settings!$C$6,1,IF(Settings!$B$22="USD",1/INDEX(Settings!$B$29:$B$40,MONTH(A4969)),INDEX(Settings!$B$29:$B$40,MONTH(A4969)))))</f>
        <v/>
      </c>
    </row>
    <row r="4970" customFormat="false" ht="15" hidden="false" customHeight="false" outlineLevel="0" collapsed="false">
      <c r="H4970" s="0" t="str">
        <f aca="false">IF(B4970="","",IF(COUNTIF(Campaigns!$A$7:$A$300,B4970)&gt;0,"✓","⚠ add to Campaigns tab"))</f>
        <v/>
      </c>
      <c r="I4970" s="84" t="str">
        <f aca="false">IF(C4970="","",C4970*IF(Settings!$B$22=Settings!$C$6,1,IF(Settings!$B$22="USD",1/INDEX(Settings!$B$29:$B$40,MONTH(A4970)),INDEX(Settings!$B$29:$B$40,MONTH(A4970)))))</f>
        <v/>
      </c>
    </row>
    <row r="4971" customFormat="false" ht="15" hidden="false" customHeight="false" outlineLevel="0" collapsed="false">
      <c r="H4971" s="0" t="str">
        <f aca="false">IF(B4971="","",IF(COUNTIF(Campaigns!$A$7:$A$300,B4971)&gt;0,"✓","⚠ add to Campaigns tab"))</f>
        <v/>
      </c>
      <c r="I4971" s="84" t="str">
        <f aca="false">IF(C4971="","",C4971*IF(Settings!$B$22=Settings!$C$6,1,IF(Settings!$B$22="USD",1/INDEX(Settings!$B$29:$B$40,MONTH(A4971)),INDEX(Settings!$B$29:$B$40,MONTH(A4971)))))</f>
        <v/>
      </c>
    </row>
    <row r="4972" customFormat="false" ht="15" hidden="false" customHeight="false" outlineLevel="0" collapsed="false">
      <c r="H4972" s="0" t="str">
        <f aca="false">IF(B4972="","",IF(COUNTIF(Campaigns!$A$7:$A$300,B4972)&gt;0,"✓","⚠ add to Campaigns tab"))</f>
        <v/>
      </c>
      <c r="I4972" s="84" t="str">
        <f aca="false">IF(C4972="","",C4972*IF(Settings!$B$22=Settings!$C$6,1,IF(Settings!$B$22="USD",1/INDEX(Settings!$B$29:$B$40,MONTH(A4972)),INDEX(Settings!$B$29:$B$40,MONTH(A4972)))))</f>
        <v/>
      </c>
    </row>
    <row r="4973" customFormat="false" ht="15" hidden="false" customHeight="false" outlineLevel="0" collapsed="false">
      <c r="H4973" s="0" t="str">
        <f aca="false">IF(B4973="","",IF(COUNTIF(Campaigns!$A$7:$A$300,B4973)&gt;0,"✓","⚠ add to Campaigns tab"))</f>
        <v/>
      </c>
      <c r="I4973" s="84" t="str">
        <f aca="false">IF(C4973="","",C4973*IF(Settings!$B$22=Settings!$C$6,1,IF(Settings!$B$22="USD",1/INDEX(Settings!$B$29:$B$40,MONTH(A4973)),INDEX(Settings!$B$29:$B$40,MONTH(A4973)))))</f>
        <v/>
      </c>
    </row>
    <row r="4974" customFormat="false" ht="15" hidden="false" customHeight="false" outlineLevel="0" collapsed="false">
      <c r="H4974" s="0" t="str">
        <f aca="false">IF(B4974="","",IF(COUNTIF(Campaigns!$A$7:$A$300,B4974)&gt;0,"✓","⚠ add to Campaigns tab"))</f>
        <v/>
      </c>
      <c r="I4974" s="84" t="str">
        <f aca="false">IF(C4974="","",C4974*IF(Settings!$B$22=Settings!$C$6,1,IF(Settings!$B$22="USD",1/INDEX(Settings!$B$29:$B$40,MONTH(A4974)),INDEX(Settings!$B$29:$B$40,MONTH(A4974)))))</f>
        <v/>
      </c>
    </row>
    <row r="4975" customFormat="false" ht="15" hidden="false" customHeight="false" outlineLevel="0" collapsed="false">
      <c r="H4975" s="0" t="str">
        <f aca="false">IF(B4975="","",IF(COUNTIF(Campaigns!$A$7:$A$300,B4975)&gt;0,"✓","⚠ add to Campaigns tab"))</f>
        <v/>
      </c>
      <c r="I4975" s="84" t="str">
        <f aca="false">IF(C4975="","",C4975*IF(Settings!$B$22=Settings!$C$6,1,IF(Settings!$B$22="USD",1/INDEX(Settings!$B$29:$B$40,MONTH(A4975)),INDEX(Settings!$B$29:$B$40,MONTH(A4975)))))</f>
        <v/>
      </c>
    </row>
    <row r="4976" customFormat="false" ht="15" hidden="false" customHeight="false" outlineLevel="0" collapsed="false">
      <c r="H4976" s="0" t="str">
        <f aca="false">IF(B4976="","",IF(COUNTIF(Campaigns!$A$7:$A$300,B4976)&gt;0,"✓","⚠ add to Campaigns tab"))</f>
        <v/>
      </c>
      <c r="I4976" s="84" t="str">
        <f aca="false">IF(C4976="","",C4976*IF(Settings!$B$22=Settings!$C$6,1,IF(Settings!$B$22="USD",1/INDEX(Settings!$B$29:$B$40,MONTH(A4976)),INDEX(Settings!$B$29:$B$40,MONTH(A4976)))))</f>
        <v/>
      </c>
    </row>
    <row r="4977" customFormat="false" ht="15" hidden="false" customHeight="false" outlineLevel="0" collapsed="false">
      <c r="H4977" s="0" t="str">
        <f aca="false">IF(B4977="","",IF(COUNTIF(Campaigns!$A$7:$A$300,B4977)&gt;0,"✓","⚠ add to Campaigns tab"))</f>
        <v/>
      </c>
      <c r="I4977" s="84" t="str">
        <f aca="false">IF(C4977="","",C4977*IF(Settings!$B$22=Settings!$C$6,1,IF(Settings!$B$22="USD",1/INDEX(Settings!$B$29:$B$40,MONTH(A4977)),INDEX(Settings!$B$29:$B$40,MONTH(A4977)))))</f>
        <v/>
      </c>
    </row>
    <row r="4978" customFormat="false" ht="15" hidden="false" customHeight="false" outlineLevel="0" collapsed="false">
      <c r="H4978" s="0" t="str">
        <f aca="false">IF(B4978="","",IF(COUNTIF(Campaigns!$A$7:$A$300,B4978)&gt;0,"✓","⚠ add to Campaigns tab"))</f>
        <v/>
      </c>
      <c r="I4978" s="84" t="str">
        <f aca="false">IF(C4978="","",C4978*IF(Settings!$B$22=Settings!$C$6,1,IF(Settings!$B$22="USD",1/INDEX(Settings!$B$29:$B$40,MONTH(A4978)),INDEX(Settings!$B$29:$B$40,MONTH(A4978)))))</f>
        <v/>
      </c>
    </row>
    <row r="4979" customFormat="false" ht="15" hidden="false" customHeight="false" outlineLevel="0" collapsed="false">
      <c r="H4979" s="0" t="str">
        <f aca="false">IF(B4979="","",IF(COUNTIF(Campaigns!$A$7:$A$300,B4979)&gt;0,"✓","⚠ add to Campaigns tab"))</f>
        <v/>
      </c>
      <c r="I4979" s="84" t="str">
        <f aca="false">IF(C4979="","",C4979*IF(Settings!$B$22=Settings!$C$6,1,IF(Settings!$B$22="USD",1/INDEX(Settings!$B$29:$B$40,MONTH(A4979)),INDEX(Settings!$B$29:$B$40,MONTH(A4979)))))</f>
        <v/>
      </c>
    </row>
    <row r="4980" customFormat="false" ht="15" hidden="false" customHeight="false" outlineLevel="0" collapsed="false">
      <c r="H4980" s="0" t="str">
        <f aca="false">IF(B4980="","",IF(COUNTIF(Campaigns!$A$7:$A$300,B4980)&gt;0,"✓","⚠ add to Campaigns tab"))</f>
        <v/>
      </c>
      <c r="I4980" s="84" t="str">
        <f aca="false">IF(C4980="","",C4980*IF(Settings!$B$22=Settings!$C$6,1,IF(Settings!$B$22="USD",1/INDEX(Settings!$B$29:$B$40,MONTH(A4980)),INDEX(Settings!$B$29:$B$40,MONTH(A4980)))))</f>
        <v/>
      </c>
    </row>
    <row r="4981" customFormat="false" ht="15" hidden="false" customHeight="false" outlineLevel="0" collapsed="false">
      <c r="H4981" s="0" t="str">
        <f aca="false">IF(B4981="","",IF(COUNTIF(Campaigns!$A$7:$A$300,B4981)&gt;0,"✓","⚠ add to Campaigns tab"))</f>
        <v/>
      </c>
      <c r="I4981" s="84" t="str">
        <f aca="false">IF(C4981="","",C4981*IF(Settings!$B$22=Settings!$C$6,1,IF(Settings!$B$22="USD",1/INDEX(Settings!$B$29:$B$40,MONTH(A4981)),INDEX(Settings!$B$29:$B$40,MONTH(A4981)))))</f>
        <v/>
      </c>
    </row>
    <row r="4982" customFormat="false" ht="15" hidden="false" customHeight="false" outlineLevel="0" collapsed="false">
      <c r="H4982" s="0" t="str">
        <f aca="false">IF(B4982="","",IF(COUNTIF(Campaigns!$A$7:$A$300,B4982)&gt;0,"✓","⚠ add to Campaigns tab"))</f>
        <v/>
      </c>
      <c r="I4982" s="84" t="str">
        <f aca="false">IF(C4982="","",C4982*IF(Settings!$B$22=Settings!$C$6,1,IF(Settings!$B$22="USD",1/INDEX(Settings!$B$29:$B$40,MONTH(A4982)),INDEX(Settings!$B$29:$B$40,MONTH(A4982)))))</f>
        <v/>
      </c>
    </row>
    <row r="4983" customFormat="false" ht="15" hidden="false" customHeight="false" outlineLevel="0" collapsed="false">
      <c r="H4983" s="0" t="str">
        <f aca="false">IF(B4983="","",IF(COUNTIF(Campaigns!$A$7:$A$300,B4983)&gt;0,"✓","⚠ add to Campaigns tab"))</f>
        <v/>
      </c>
      <c r="I4983" s="84" t="str">
        <f aca="false">IF(C4983="","",C4983*IF(Settings!$B$22=Settings!$C$6,1,IF(Settings!$B$22="USD",1/INDEX(Settings!$B$29:$B$40,MONTH(A4983)),INDEX(Settings!$B$29:$B$40,MONTH(A4983)))))</f>
        <v/>
      </c>
    </row>
    <row r="4984" customFormat="false" ht="15" hidden="false" customHeight="false" outlineLevel="0" collapsed="false">
      <c r="H4984" s="0" t="str">
        <f aca="false">IF(B4984="","",IF(COUNTIF(Campaigns!$A$7:$A$300,B4984)&gt;0,"✓","⚠ add to Campaigns tab"))</f>
        <v/>
      </c>
      <c r="I4984" s="84" t="str">
        <f aca="false">IF(C4984="","",C4984*IF(Settings!$B$22=Settings!$C$6,1,IF(Settings!$B$22="USD",1/INDEX(Settings!$B$29:$B$40,MONTH(A4984)),INDEX(Settings!$B$29:$B$40,MONTH(A4984)))))</f>
        <v/>
      </c>
    </row>
    <row r="4985" customFormat="false" ht="15" hidden="false" customHeight="false" outlineLevel="0" collapsed="false">
      <c r="H4985" s="0" t="str">
        <f aca="false">IF(B4985="","",IF(COUNTIF(Campaigns!$A$7:$A$300,B4985)&gt;0,"✓","⚠ add to Campaigns tab"))</f>
        <v/>
      </c>
      <c r="I4985" s="84" t="str">
        <f aca="false">IF(C4985="","",C4985*IF(Settings!$B$22=Settings!$C$6,1,IF(Settings!$B$22="USD",1/INDEX(Settings!$B$29:$B$40,MONTH(A4985)),INDEX(Settings!$B$29:$B$40,MONTH(A4985)))))</f>
        <v/>
      </c>
    </row>
    <row r="4986" customFormat="false" ht="15" hidden="false" customHeight="false" outlineLevel="0" collapsed="false">
      <c r="H4986" s="0" t="str">
        <f aca="false">IF(B4986="","",IF(COUNTIF(Campaigns!$A$7:$A$300,B4986)&gt;0,"✓","⚠ add to Campaigns tab"))</f>
        <v/>
      </c>
      <c r="I4986" s="84" t="str">
        <f aca="false">IF(C4986="","",C4986*IF(Settings!$B$22=Settings!$C$6,1,IF(Settings!$B$22="USD",1/INDEX(Settings!$B$29:$B$40,MONTH(A4986)),INDEX(Settings!$B$29:$B$40,MONTH(A4986)))))</f>
        <v/>
      </c>
    </row>
    <row r="4987" customFormat="false" ht="15" hidden="false" customHeight="false" outlineLevel="0" collapsed="false">
      <c r="H4987" s="0" t="str">
        <f aca="false">IF(B4987="","",IF(COUNTIF(Campaigns!$A$7:$A$300,B4987)&gt;0,"✓","⚠ add to Campaigns tab"))</f>
        <v/>
      </c>
      <c r="I4987" s="84" t="str">
        <f aca="false">IF(C4987="","",C4987*IF(Settings!$B$22=Settings!$C$6,1,IF(Settings!$B$22="USD",1/INDEX(Settings!$B$29:$B$40,MONTH(A4987)),INDEX(Settings!$B$29:$B$40,MONTH(A4987)))))</f>
        <v/>
      </c>
    </row>
    <row r="4988" customFormat="false" ht="15" hidden="false" customHeight="false" outlineLevel="0" collapsed="false">
      <c r="H4988" s="0" t="str">
        <f aca="false">IF(B4988="","",IF(COUNTIF(Campaigns!$A$7:$A$300,B4988)&gt;0,"✓","⚠ add to Campaigns tab"))</f>
        <v/>
      </c>
      <c r="I4988" s="84" t="str">
        <f aca="false">IF(C4988="","",C4988*IF(Settings!$B$22=Settings!$C$6,1,IF(Settings!$B$22="USD",1/INDEX(Settings!$B$29:$B$40,MONTH(A4988)),INDEX(Settings!$B$29:$B$40,MONTH(A4988)))))</f>
        <v/>
      </c>
    </row>
    <row r="4989" customFormat="false" ht="15" hidden="false" customHeight="false" outlineLevel="0" collapsed="false">
      <c r="H4989" s="0" t="str">
        <f aca="false">IF(B4989="","",IF(COUNTIF(Campaigns!$A$7:$A$300,B4989)&gt;0,"✓","⚠ add to Campaigns tab"))</f>
        <v/>
      </c>
      <c r="I4989" s="84" t="str">
        <f aca="false">IF(C4989="","",C4989*IF(Settings!$B$22=Settings!$C$6,1,IF(Settings!$B$22="USD",1/INDEX(Settings!$B$29:$B$40,MONTH(A4989)),INDEX(Settings!$B$29:$B$40,MONTH(A4989)))))</f>
        <v/>
      </c>
    </row>
    <row r="4990" customFormat="false" ht="15" hidden="false" customHeight="false" outlineLevel="0" collapsed="false">
      <c r="H4990" s="0" t="str">
        <f aca="false">IF(B4990="","",IF(COUNTIF(Campaigns!$A$7:$A$300,B4990)&gt;0,"✓","⚠ add to Campaigns tab"))</f>
        <v/>
      </c>
      <c r="I4990" s="84" t="str">
        <f aca="false">IF(C4990="","",C4990*IF(Settings!$B$22=Settings!$C$6,1,IF(Settings!$B$22="USD",1/INDEX(Settings!$B$29:$B$40,MONTH(A4990)),INDEX(Settings!$B$29:$B$40,MONTH(A4990)))))</f>
        <v/>
      </c>
    </row>
    <row r="4991" customFormat="false" ht="15" hidden="false" customHeight="false" outlineLevel="0" collapsed="false">
      <c r="H4991" s="0" t="str">
        <f aca="false">IF(B4991="","",IF(COUNTIF(Campaigns!$A$7:$A$300,B4991)&gt;0,"✓","⚠ add to Campaigns tab"))</f>
        <v/>
      </c>
      <c r="I4991" s="84" t="str">
        <f aca="false">IF(C4991="","",C4991*IF(Settings!$B$22=Settings!$C$6,1,IF(Settings!$B$22="USD",1/INDEX(Settings!$B$29:$B$40,MONTH(A4991)),INDEX(Settings!$B$29:$B$40,MONTH(A4991)))))</f>
        <v/>
      </c>
    </row>
    <row r="4992" customFormat="false" ht="15" hidden="false" customHeight="false" outlineLevel="0" collapsed="false">
      <c r="H4992" s="0" t="str">
        <f aca="false">IF(B4992="","",IF(COUNTIF(Campaigns!$A$7:$A$300,B4992)&gt;0,"✓","⚠ add to Campaigns tab"))</f>
        <v/>
      </c>
      <c r="I4992" s="84" t="str">
        <f aca="false">IF(C4992="","",C4992*IF(Settings!$B$22=Settings!$C$6,1,IF(Settings!$B$22="USD",1/INDEX(Settings!$B$29:$B$40,MONTH(A4992)),INDEX(Settings!$B$29:$B$40,MONTH(A4992)))))</f>
        <v/>
      </c>
    </row>
    <row r="4993" customFormat="false" ht="15" hidden="false" customHeight="false" outlineLevel="0" collapsed="false">
      <c r="H4993" s="0" t="str">
        <f aca="false">IF(B4993="","",IF(COUNTIF(Campaigns!$A$7:$A$300,B4993)&gt;0,"✓","⚠ add to Campaigns tab"))</f>
        <v/>
      </c>
      <c r="I4993" s="84" t="str">
        <f aca="false">IF(C4993="","",C4993*IF(Settings!$B$22=Settings!$C$6,1,IF(Settings!$B$22="USD",1/INDEX(Settings!$B$29:$B$40,MONTH(A4993)),INDEX(Settings!$B$29:$B$40,MONTH(A4993)))))</f>
        <v/>
      </c>
    </row>
    <row r="4994" customFormat="false" ht="15" hidden="false" customHeight="false" outlineLevel="0" collapsed="false">
      <c r="H4994" s="0" t="str">
        <f aca="false">IF(B4994="","",IF(COUNTIF(Campaigns!$A$7:$A$300,B4994)&gt;0,"✓","⚠ add to Campaigns tab"))</f>
        <v/>
      </c>
      <c r="I4994" s="84" t="str">
        <f aca="false">IF(C4994="","",C4994*IF(Settings!$B$22=Settings!$C$6,1,IF(Settings!$B$22="USD",1/INDEX(Settings!$B$29:$B$40,MONTH(A4994)),INDEX(Settings!$B$29:$B$40,MONTH(A4994)))))</f>
        <v/>
      </c>
    </row>
    <row r="4995" customFormat="false" ht="15" hidden="false" customHeight="false" outlineLevel="0" collapsed="false">
      <c r="H4995" s="0" t="str">
        <f aca="false">IF(B4995="","",IF(COUNTIF(Campaigns!$A$7:$A$300,B4995)&gt;0,"✓","⚠ add to Campaigns tab"))</f>
        <v/>
      </c>
      <c r="I4995" s="84" t="str">
        <f aca="false">IF(C4995="","",C4995*IF(Settings!$B$22=Settings!$C$6,1,IF(Settings!$B$22="USD",1/INDEX(Settings!$B$29:$B$40,MONTH(A4995)),INDEX(Settings!$B$29:$B$40,MONTH(A4995)))))</f>
        <v/>
      </c>
    </row>
    <row r="4996" customFormat="false" ht="15" hidden="false" customHeight="false" outlineLevel="0" collapsed="false">
      <c r="H4996" s="0" t="str">
        <f aca="false">IF(B4996="","",IF(COUNTIF(Campaigns!$A$7:$A$300,B4996)&gt;0,"✓","⚠ add to Campaigns tab"))</f>
        <v/>
      </c>
      <c r="I4996" s="84" t="str">
        <f aca="false">IF(C4996="","",C4996*IF(Settings!$B$22=Settings!$C$6,1,IF(Settings!$B$22="USD",1/INDEX(Settings!$B$29:$B$40,MONTH(A4996)),INDEX(Settings!$B$29:$B$40,MONTH(A4996)))))</f>
        <v/>
      </c>
    </row>
    <row r="4997" customFormat="false" ht="15" hidden="false" customHeight="false" outlineLevel="0" collapsed="false">
      <c r="H4997" s="0" t="str">
        <f aca="false">IF(B4997="","",IF(COUNTIF(Campaigns!$A$7:$A$300,B4997)&gt;0,"✓","⚠ add to Campaigns tab"))</f>
        <v/>
      </c>
      <c r="I4997" s="84" t="str">
        <f aca="false">IF(C4997="","",C4997*IF(Settings!$B$22=Settings!$C$6,1,IF(Settings!$B$22="USD",1/INDEX(Settings!$B$29:$B$40,MONTH(A4997)),INDEX(Settings!$B$29:$B$40,MONTH(A4997)))))</f>
        <v/>
      </c>
    </row>
    <row r="4998" customFormat="false" ht="15" hidden="false" customHeight="false" outlineLevel="0" collapsed="false">
      <c r="H4998" s="0" t="str">
        <f aca="false">IF(B4998="","",IF(COUNTIF(Campaigns!$A$7:$A$300,B4998)&gt;0,"✓","⚠ add to Campaigns tab"))</f>
        <v/>
      </c>
      <c r="I4998" s="84" t="str">
        <f aca="false">IF(C4998="","",C4998*IF(Settings!$B$22=Settings!$C$6,1,IF(Settings!$B$22="USD",1/INDEX(Settings!$B$29:$B$40,MONTH(A4998)),INDEX(Settings!$B$29:$B$40,MONTH(A4998)))))</f>
        <v/>
      </c>
    </row>
    <row r="4999" customFormat="false" ht="15" hidden="false" customHeight="false" outlineLevel="0" collapsed="false">
      <c r="H4999" s="0" t="str">
        <f aca="false">IF(B4999="","",IF(COUNTIF(Campaigns!$A$7:$A$300,B4999)&gt;0,"✓","⚠ add to Campaigns tab"))</f>
        <v/>
      </c>
      <c r="I4999" s="84" t="str">
        <f aca="false">IF(C4999="","",C4999*IF(Settings!$B$22=Settings!$C$6,1,IF(Settings!$B$22="USD",1/INDEX(Settings!$B$29:$B$40,MONTH(A4999)),INDEX(Settings!$B$29:$B$40,MONTH(A4999)))))</f>
        <v/>
      </c>
    </row>
    <row r="5000" customFormat="false" ht="15" hidden="false" customHeight="false" outlineLevel="0" collapsed="false">
      <c r="H5000" s="0" t="str">
        <f aca="false">IF(B5000="","",IF(COUNTIF(Campaigns!$A$7:$A$300,B5000)&gt;0,"✓","⚠ add to Campaigns tab"))</f>
        <v/>
      </c>
      <c r="I5000" s="84" t="str">
        <f aca="false">IF(C5000="","",C5000*IF(Settings!$B$22=Settings!$C$6,1,IF(Settings!$B$22="USD",1/INDEX(Settings!$B$29:$B$40,MONTH(A5000)),INDEX(Settings!$B$29:$B$40,MONTH(A5000)))))</f>
        <v/>
      </c>
    </row>
    <row r="5001" customFormat="false" ht="15" hidden="false" customHeight="false" outlineLevel="0" collapsed="false">
      <c r="H5001" s="0" t="str">
        <f aca="false">IF(B5001="","",IF(COUNTIF(Campaigns!$A$7:$A$300,B5001)&gt;0,"✓","⚠ add to Campaigns tab"))</f>
        <v/>
      </c>
      <c r="I5001" s="84" t="str">
        <f aca="false">IF(C5001="","",C5001*IF(Settings!$B$22=Settings!$C$6,1,IF(Settings!$B$22="USD",1/INDEX(Settings!$B$29:$B$40,MONTH(A5001)),INDEX(Settings!$B$29:$B$40,MONTH(A5001)))))</f>
        <v/>
      </c>
    </row>
    <row r="5002" customFormat="false" ht="15" hidden="false" customHeight="false" outlineLevel="0" collapsed="false">
      <c r="H5002" s="0" t="str">
        <f aca="false">IF(B5002="","",IF(COUNTIF(Campaigns!$A$7:$A$300,B5002)&gt;0,"✓","⚠ add to Campaigns tab"))</f>
        <v/>
      </c>
      <c r="I5002" s="84" t="str">
        <f aca="false">IF(C5002="","",C5002*IF(Settings!$B$22=Settings!$C$6,1,IF(Settings!$B$22="USD",1/INDEX(Settings!$B$29:$B$40,MONTH(A5002)),INDEX(Settings!$B$29:$B$40,MONTH(A5002)))))</f>
        <v/>
      </c>
    </row>
    <row r="5003" customFormat="false" ht="15" hidden="false" customHeight="false" outlineLevel="0" collapsed="false">
      <c r="H5003" s="0" t="str">
        <f aca="false">IF(B5003="","",IF(COUNTIF(Campaigns!$A$7:$A$300,B5003)&gt;0,"✓","⚠ add to Campaigns tab"))</f>
        <v/>
      </c>
      <c r="I5003" s="84" t="str">
        <f aca="false">IF(C5003="","",C5003*IF(Settings!$B$22=Settings!$C$6,1,IF(Settings!$B$22="USD",1/INDEX(Settings!$B$29:$B$40,MONTH(A5003)),INDEX(Settings!$B$29:$B$40,MONTH(A5003)))))</f>
        <v/>
      </c>
    </row>
    <row r="5004" customFormat="false" ht="15" hidden="false" customHeight="false" outlineLevel="0" collapsed="false">
      <c r="H5004" s="0" t="str">
        <f aca="false">IF(B5004="","",IF(COUNTIF(Campaigns!$A$7:$A$300,B5004)&gt;0,"✓","⚠ add to Campaigns tab"))</f>
        <v/>
      </c>
      <c r="I5004" s="84" t="str">
        <f aca="false">IF(C5004="","",C5004*IF(Settings!$B$22=Settings!$C$6,1,IF(Settings!$B$22="USD",1/INDEX(Settings!$B$29:$B$40,MONTH(A5004)),INDEX(Settings!$B$29:$B$40,MONTH(A5004)))))</f>
        <v/>
      </c>
    </row>
    <row r="5005" customFormat="false" ht="15" hidden="false" customHeight="false" outlineLevel="0" collapsed="false">
      <c r="H5005" s="0" t="str">
        <f aca="false">IF(B5005="","",IF(COUNTIF(Campaigns!$A$7:$A$300,B5005)&gt;0,"✓","⚠ add to Campaigns tab"))</f>
        <v/>
      </c>
      <c r="I5005" s="84" t="str">
        <f aca="false">IF(C5005="","",C5005*IF(Settings!$B$22=Settings!$C$6,1,IF(Settings!$B$22="USD",1/INDEX(Settings!$B$29:$B$40,MONTH(A5005)),INDEX(Settings!$B$29:$B$40,MONTH(A5005)))))</f>
        <v/>
      </c>
    </row>
    <row r="5006" customFormat="false" ht="15" hidden="false" customHeight="false" outlineLevel="0" collapsed="false">
      <c r="H5006" s="0" t="str">
        <f aca="false">IF(B5006="","",IF(COUNTIF(Campaigns!$A$7:$A$300,B5006)&gt;0,"✓","⚠ add to Campaigns tab"))</f>
        <v/>
      </c>
      <c r="I5006" s="84" t="str">
        <f aca="false">IF(C5006="","",C5006*IF(Settings!$B$22=Settings!$C$6,1,IF(Settings!$B$22="USD",1/INDEX(Settings!$B$29:$B$40,MONTH(A5006)),INDEX(Settings!$B$29:$B$40,MONTH(A5006)))))</f>
        <v/>
      </c>
    </row>
    <row r="5007" customFormat="false" ht="15" hidden="false" customHeight="false" outlineLevel="0" collapsed="false">
      <c r="H5007" s="0" t="str">
        <f aca="false">IF(B5007="","",IF(COUNTIF(Campaigns!$A$7:$A$300,B5007)&gt;0,"✓","⚠ add to Campaigns tab"))</f>
        <v/>
      </c>
      <c r="I5007" s="84" t="str">
        <f aca="false">IF(C5007="","",C5007*IF(Settings!$B$22=Settings!$C$6,1,IF(Settings!$B$22="USD",1/INDEX(Settings!$B$29:$B$40,MONTH(A5007)),INDEX(Settings!$B$29:$B$40,MONTH(A5007)))))</f>
        <v/>
      </c>
    </row>
    <row r="5008" customFormat="false" ht="15" hidden="false" customHeight="false" outlineLevel="0" collapsed="false">
      <c r="H5008" s="0" t="str">
        <f aca="false">IF(B5008="","",IF(COUNTIF(Campaigns!$A$7:$A$300,B5008)&gt;0,"✓","⚠ add to Campaigns tab"))</f>
        <v/>
      </c>
      <c r="I5008" s="84" t="str">
        <f aca="false">IF(C5008="","",C5008*IF(Settings!$B$22=Settings!$C$6,1,IF(Settings!$B$22="USD",1/INDEX(Settings!$B$29:$B$40,MONTH(A5008)),INDEX(Settings!$B$29:$B$40,MONTH(A5008)))))</f>
        <v/>
      </c>
    </row>
    <row r="5009" customFormat="false" ht="15" hidden="false" customHeight="false" outlineLevel="0" collapsed="false">
      <c r="H5009" s="0" t="str">
        <f aca="false">IF(B5009="","",IF(COUNTIF(Campaigns!$A$7:$A$300,B5009)&gt;0,"✓","⚠ add to Campaigns tab"))</f>
        <v/>
      </c>
      <c r="I5009" s="84" t="str">
        <f aca="false">IF(C5009="","",C5009*IF(Settings!$B$22=Settings!$C$6,1,IF(Settings!$B$22="USD",1/INDEX(Settings!$B$29:$B$40,MONTH(A5009)),INDEX(Settings!$B$29:$B$40,MONTH(A5009)))))</f>
        <v/>
      </c>
    </row>
    <row r="5010" customFormat="false" ht="15" hidden="false" customHeight="false" outlineLevel="0" collapsed="false">
      <c r="H5010" s="0" t="str">
        <f aca="false">IF(B5010="","",IF(COUNTIF(Campaigns!$A$7:$A$300,B5010)&gt;0,"✓","⚠ add to Campaigns tab"))</f>
        <v/>
      </c>
      <c r="I5010" s="84" t="str">
        <f aca="false">IF(C5010="","",C5010*IF(Settings!$B$22=Settings!$C$6,1,IF(Settings!$B$22="USD",1/INDEX(Settings!$B$29:$B$40,MONTH(A5010)),INDEX(Settings!$B$29:$B$40,MONTH(A5010)))))</f>
        <v/>
      </c>
    </row>
    <row r="5011" customFormat="false" ht="15" hidden="false" customHeight="false" outlineLevel="0" collapsed="false">
      <c r="H5011" s="0" t="str">
        <f aca="false">IF(B5011="","",IF(COUNTIF(Campaigns!$A$7:$A$300,B5011)&gt;0,"✓","⚠ add to Campaigns tab"))</f>
        <v/>
      </c>
      <c r="I5011" s="84" t="str">
        <f aca="false">IF(C5011="","",C5011*IF(Settings!$B$22=Settings!$C$6,1,IF(Settings!$B$22="USD",1/INDEX(Settings!$B$29:$B$40,MONTH(A5011)),INDEX(Settings!$B$29:$B$40,MONTH(A5011)))))</f>
        <v/>
      </c>
    </row>
    <row r="5012" customFormat="false" ht="15" hidden="false" customHeight="false" outlineLevel="0" collapsed="false">
      <c r="H5012" s="0" t="str">
        <f aca="false">IF(B5012="","",IF(COUNTIF(Campaigns!$A$7:$A$300,B5012)&gt;0,"✓","⚠ add to Campaigns tab"))</f>
        <v/>
      </c>
      <c r="I5012" s="84" t="str">
        <f aca="false">IF(C5012="","",C5012*IF(Settings!$B$22=Settings!$C$6,1,IF(Settings!$B$22="USD",1/INDEX(Settings!$B$29:$B$40,MONTH(A5012)),INDEX(Settings!$B$29:$B$40,MONTH(A5012)))))</f>
        <v/>
      </c>
    </row>
    <row r="5013" customFormat="false" ht="15" hidden="false" customHeight="false" outlineLevel="0" collapsed="false">
      <c r="H5013" s="0" t="str">
        <f aca="false">IF(B5013="","",IF(COUNTIF(Campaigns!$A$7:$A$300,B5013)&gt;0,"✓","⚠ add to Campaigns tab"))</f>
        <v/>
      </c>
      <c r="I5013" s="84" t="str">
        <f aca="false">IF(C5013="","",C5013*IF(Settings!$B$22=Settings!$C$6,1,IF(Settings!$B$22="USD",1/INDEX(Settings!$B$29:$B$40,MONTH(A5013)),INDEX(Settings!$B$29:$B$40,MONTH(A5013)))))</f>
        <v/>
      </c>
    </row>
    <row r="5014" customFormat="false" ht="15" hidden="false" customHeight="false" outlineLevel="0" collapsed="false">
      <c r="H5014" s="0" t="str">
        <f aca="false">IF(B5014="","",IF(COUNTIF(Campaigns!$A$7:$A$300,B5014)&gt;0,"✓","⚠ add to Campaigns tab"))</f>
        <v/>
      </c>
      <c r="I5014" s="84" t="str">
        <f aca="false">IF(C5014="","",C5014*IF(Settings!$B$22=Settings!$C$6,1,IF(Settings!$B$22="USD",1/INDEX(Settings!$B$29:$B$40,MONTH(A5014)),INDEX(Settings!$B$29:$B$40,MONTH(A5014)))))</f>
        <v/>
      </c>
    </row>
    <row r="5015" customFormat="false" ht="15" hidden="false" customHeight="false" outlineLevel="0" collapsed="false">
      <c r="H5015" s="0" t="str">
        <f aca="false">IF(B5015="","",IF(COUNTIF(Campaigns!$A$7:$A$300,B5015)&gt;0,"✓","⚠ add to Campaigns tab"))</f>
        <v/>
      </c>
      <c r="I5015" s="84" t="str">
        <f aca="false">IF(C5015="","",C5015*IF(Settings!$B$22=Settings!$C$6,1,IF(Settings!$B$22="USD",1/INDEX(Settings!$B$29:$B$40,MONTH(A5015)),INDEX(Settings!$B$29:$B$40,MONTH(A5015)))))</f>
        <v/>
      </c>
    </row>
    <row r="5016" customFormat="false" ht="15" hidden="false" customHeight="false" outlineLevel="0" collapsed="false">
      <c r="H5016" s="0" t="str">
        <f aca="false">IF(B5016="","",IF(COUNTIF(Campaigns!$A$7:$A$300,B5016)&gt;0,"✓","⚠ add to Campaigns tab"))</f>
        <v/>
      </c>
      <c r="I5016" s="84" t="str">
        <f aca="false">IF(C5016="","",C5016*IF(Settings!$B$22=Settings!$C$6,1,IF(Settings!$B$22="USD",1/INDEX(Settings!$B$29:$B$40,MONTH(A5016)),INDEX(Settings!$B$29:$B$40,MONTH(A5016)))))</f>
        <v/>
      </c>
    </row>
    <row r="5017" customFormat="false" ht="15" hidden="false" customHeight="false" outlineLevel="0" collapsed="false">
      <c r="H5017" s="0" t="str">
        <f aca="false">IF(B5017="","",IF(COUNTIF(Campaigns!$A$7:$A$300,B5017)&gt;0,"✓","⚠ add to Campaigns tab"))</f>
        <v/>
      </c>
      <c r="I5017" s="84" t="str">
        <f aca="false">IF(C5017="","",C5017*IF(Settings!$B$22=Settings!$C$6,1,IF(Settings!$B$22="USD",1/INDEX(Settings!$B$29:$B$40,MONTH(A5017)),INDEX(Settings!$B$29:$B$40,MONTH(A5017)))))</f>
        <v/>
      </c>
    </row>
    <row r="5018" customFormat="false" ht="15" hidden="false" customHeight="false" outlineLevel="0" collapsed="false">
      <c r="H5018" s="0" t="str">
        <f aca="false">IF(B5018="","",IF(COUNTIF(Campaigns!$A$7:$A$300,B5018)&gt;0,"✓","⚠ add to Campaigns tab"))</f>
        <v/>
      </c>
      <c r="I5018" s="84" t="str">
        <f aca="false">IF(C5018="","",C5018*IF(Settings!$B$22=Settings!$C$6,1,IF(Settings!$B$22="USD",1/INDEX(Settings!$B$29:$B$40,MONTH(A5018)),INDEX(Settings!$B$29:$B$40,MONTH(A5018)))))</f>
        <v/>
      </c>
    </row>
    <row r="5019" customFormat="false" ht="15" hidden="false" customHeight="false" outlineLevel="0" collapsed="false">
      <c r="H5019" s="0" t="str">
        <f aca="false">IF(B5019="","",IF(COUNTIF(Campaigns!$A$7:$A$300,B5019)&gt;0,"✓","⚠ add to Campaigns tab"))</f>
        <v/>
      </c>
      <c r="I5019" s="84" t="str">
        <f aca="false">IF(C5019="","",C5019*IF(Settings!$B$22=Settings!$C$6,1,IF(Settings!$B$22="USD",1/INDEX(Settings!$B$29:$B$40,MONTH(A5019)),INDEX(Settings!$B$29:$B$40,MONTH(A5019)))))</f>
        <v/>
      </c>
    </row>
    <row r="5020" customFormat="false" ht="15" hidden="false" customHeight="false" outlineLevel="0" collapsed="false">
      <c r="H5020" s="0" t="str">
        <f aca="false">IF(B5020="","",IF(COUNTIF(Campaigns!$A$7:$A$300,B5020)&gt;0,"✓","⚠ add to Campaigns tab"))</f>
        <v/>
      </c>
      <c r="I5020" s="84" t="str">
        <f aca="false">IF(C5020="","",C5020*IF(Settings!$B$22=Settings!$C$6,1,IF(Settings!$B$22="USD",1/INDEX(Settings!$B$29:$B$40,MONTH(A5020)),INDEX(Settings!$B$29:$B$40,MONTH(A5020)))))</f>
        <v/>
      </c>
    </row>
    <row r="5021" customFormat="false" ht="15" hidden="false" customHeight="false" outlineLevel="0" collapsed="false">
      <c r="H5021" s="0" t="str">
        <f aca="false">IF(B5021="","",IF(COUNTIF(Campaigns!$A$7:$A$300,B5021)&gt;0,"✓","⚠ add to Campaigns tab"))</f>
        <v/>
      </c>
      <c r="I5021" s="84" t="str">
        <f aca="false">IF(C5021="","",C5021*IF(Settings!$B$22=Settings!$C$6,1,IF(Settings!$B$22="USD",1/INDEX(Settings!$B$29:$B$40,MONTH(A5021)),INDEX(Settings!$B$29:$B$40,MONTH(A5021)))))</f>
        <v/>
      </c>
    </row>
    <row r="5022" customFormat="false" ht="15" hidden="false" customHeight="false" outlineLevel="0" collapsed="false">
      <c r="H5022" s="0" t="str">
        <f aca="false">IF(B5022="","",IF(COUNTIF(Campaigns!$A$7:$A$300,B5022)&gt;0,"✓","⚠ add to Campaigns tab"))</f>
        <v/>
      </c>
      <c r="I5022" s="84" t="str">
        <f aca="false">IF(C5022="","",C5022*IF(Settings!$B$22=Settings!$C$6,1,IF(Settings!$B$22="USD",1/INDEX(Settings!$B$29:$B$40,MONTH(A5022)),INDEX(Settings!$B$29:$B$40,MONTH(A5022)))))</f>
        <v/>
      </c>
    </row>
    <row r="5023" customFormat="false" ht="15" hidden="false" customHeight="false" outlineLevel="0" collapsed="false">
      <c r="H5023" s="0" t="str">
        <f aca="false">IF(B5023="","",IF(COUNTIF(Campaigns!$A$7:$A$300,B5023)&gt;0,"✓","⚠ add to Campaigns tab"))</f>
        <v/>
      </c>
      <c r="I5023" s="84" t="str">
        <f aca="false">IF(C5023="","",C5023*IF(Settings!$B$22=Settings!$C$6,1,IF(Settings!$B$22="USD",1/INDEX(Settings!$B$29:$B$40,MONTH(A5023)),INDEX(Settings!$B$29:$B$40,MONTH(A5023)))))</f>
        <v/>
      </c>
    </row>
    <row r="5024" customFormat="false" ht="15" hidden="false" customHeight="false" outlineLevel="0" collapsed="false">
      <c r="H5024" s="0" t="str">
        <f aca="false">IF(B5024="","",IF(COUNTIF(Campaigns!$A$7:$A$300,B5024)&gt;0,"✓","⚠ add to Campaigns tab"))</f>
        <v/>
      </c>
      <c r="I5024" s="84" t="str">
        <f aca="false">IF(C5024="","",C5024*IF(Settings!$B$22=Settings!$C$6,1,IF(Settings!$B$22="USD",1/INDEX(Settings!$B$29:$B$40,MONTH(A5024)),INDEX(Settings!$B$29:$B$40,MONTH(A5024)))))</f>
        <v/>
      </c>
    </row>
    <row r="5025" customFormat="false" ht="15" hidden="false" customHeight="false" outlineLevel="0" collapsed="false">
      <c r="H5025" s="0" t="str">
        <f aca="false">IF(B5025="","",IF(COUNTIF(Campaigns!$A$7:$A$300,B5025)&gt;0,"✓","⚠ add to Campaigns tab"))</f>
        <v/>
      </c>
      <c r="I5025" s="84" t="str">
        <f aca="false">IF(C5025="","",C5025*IF(Settings!$B$22=Settings!$C$6,1,IF(Settings!$B$22="USD",1/INDEX(Settings!$B$29:$B$40,MONTH(A5025)),INDEX(Settings!$B$29:$B$40,MONTH(A5025)))))</f>
        <v/>
      </c>
    </row>
    <row r="5026" customFormat="false" ht="15" hidden="false" customHeight="false" outlineLevel="0" collapsed="false">
      <c r="H5026" s="0" t="str">
        <f aca="false">IF(B5026="","",IF(COUNTIF(Campaigns!$A$7:$A$300,B5026)&gt;0,"✓","⚠ add to Campaigns tab"))</f>
        <v/>
      </c>
      <c r="I5026" s="84" t="str">
        <f aca="false">IF(C5026="","",C5026*IF(Settings!$B$22=Settings!$C$6,1,IF(Settings!$B$22="USD",1/INDEX(Settings!$B$29:$B$40,MONTH(A5026)),INDEX(Settings!$B$29:$B$40,MONTH(A5026)))))</f>
        <v/>
      </c>
    </row>
    <row r="5027" customFormat="false" ht="15" hidden="false" customHeight="false" outlineLevel="0" collapsed="false">
      <c r="H5027" s="0" t="str">
        <f aca="false">IF(B5027="","",IF(COUNTIF(Campaigns!$A$7:$A$300,B5027)&gt;0,"✓","⚠ add to Campaigns tab"))</f>
        <v/>
      </c>
      <c r="I5027" s="84" t="str">
        <f aca="false">IF(C5027="","",C5027*IF(Settings!$B$22=Settings!$C$6,1,IF(Settings!$B$22="USD",1/INDEX(Settings!$B$29:$B$40,MONTH(A5027)),INDEX(Settings!$B$29:$B$40,MONTH(A5027)))))</f>
        <v/>
      </c>
    </row>
    <row r="5028" customFormat="false" ht="15" hidden="false" customHeight="false" outlineLevel="0" collapsed="false">
      <c r="H5028" s="0" t="str">
        <f aca="false">IF(B5028="","",IF(COUNTIF(Campaigns!$A$7:$A$300,B5028)&gt;0,"✓","⚠ add to Campaigns tab"))</f>
        <v/>
      </c>
      <c r="I5028" s="84" t="str">
        <f aca="false">IF(C5028="","",C5028*IF(Settings!$B$22=Settings!$C$6,1,IF(Settings!$B$22="USD",1/INDEX(Settings!$B$29:$B$40,MONTH(A5028)),INDEX(Settings!$B$29:$B$40,MONTH(A5028)))))</f>
        <v/>
      </c>
    </row>
    <row r="5029" customFormat="false" ht="15" hidden="false" customHeight="false" outlineLevel="0" collapsed="false">
      <c r="H5029" s="0" t="str">
        <f aca="false">IF(B5029="","",IF(COUNTIF(Campaigns!$A$7:$A$300,B5029)&gt;0,"✓","⚠ add to Campaigns tab"))</f>
        <v/>
      </c>
      <c r="I5029" s="84" t="str">
        <f aca="false">IF(C5029="","",C5029*IF(Settings!$B$22=Settings!$C$6,1,IF(Settings!$B$22="USD",1/INDEX(Settings!$B$29:$B$40,MONTH(A5029)),INDEX(Settings!$B$29:$B$40,MONTH(A5029)))))</f>
        <v/>
      </c>
    </row>
    <row r="5030" customFormat="false" ht="15" hidden="false" customHeight="false" outlineLevel="0" collapsed="false">
      <c r="H5030" s="0" t="str">
        <f aca="false">IF(B5030="","",IF(COUNTIF(Campaigns!$A$7:$A$300,B5030)&gt;0,"✓","⚠ add to Campaigns tab"))</f>
        <v/>
      </c>
      <c r="I5030" s="84" t="str">
        <f aca="false">IF(C5030="","",C5030*IF(Settings!$B$22=Settings!$C$6,1,IF(Settings!$B$22="USD",1/INDEX(Settings!$B$29:$B$40,MONTH(A5030)),INDEX(Settings!$B$29:$B$40,MONTH(A5030)))))</f>
        <v/>
      </c>
    </row>
    <row r="5031" customFormat="false" ht="15" hidden="false" customHeight="false" outlineLevel="0" collapsed="false">
      <c r="H5031" s="0" t="str">
        <f aca="false">IF(B5031="","",IF(COUNTIF(Campaigns!$A$7:$A$300,B5031)&gt;0,"✓","⚠ add to Campaigns tab"))</f>
        <v/>
      </c>
      <c r="I5031" s="84" t="str">
        <f aca="false">IF(C5031="","",C5031*IF(Settings!$B$22=Settings!$C$6,1,IF(Settings!$B$22="USD",1/INDEX(Settings!$B$29:$B$40,MONTH(A5031)),INDEX(Settings!$B$29:$B$40,MONTH(A5031)))))</f>
        <v/>
      </c>
    </row>
    <row r="5032" customFormat="false" ht="15" hidden="false" customHeight="false" outlineLevel="0" collapsed="false">
      <c r="H5032" s="0" t="str">
        <f aca="false">IF(B5032="","",IF(COUNTIF(Campaigns!$A$7:$A$300,B5032)&gt;0,"✓","⚠ add to Campaigns tab"))</f>
        <v/>
      </c>
      <c r="I5032" s="84" t="str">
        <f aca="false">IF(C5032="","",C5032*IF(Settings!$B$22=Settings!$C$6,1,IF(Settings!$B$22="USD",1/INDEX(Settings!$B$29:$B$40,MONTH(A5032)),INDEX(Settings!$B$29:$B$40,MONTH(A5032)))))</f>
        <v/>
      </c>
    </row>
    <row r="5033" customFormat="false" ht="15" hidden="false" customHeight="false" outlineLevel="0" collapsed="false">
      <c r="H5033" s="0" t="str">
        <f aca="false">IF(B5033="","",IF(COUNTIF(Campaigns!$A$7:$A$300,B5033)&gt;0,"✓","⚠ add to Campaigns tab"))</f>
        <v/>
      </c>
      <c r="I5033" s="84" t="str">
        <f aca="false">IF(C5033="","",C5033*IF(Settings!$B$22=Settings!$C$6,1,IF(Settings!$B$22="USD",1/INDEX(Settings!$B$29:$B$40,MONTH(A5033)),INDEX(Settings!$B$29:$B$40,MONTH(A5033)))))</f>
        <v/>
      </c>
    </row>
    <row r="5034" customFormat="false" ht="15" hidden="false" customHeight="false" outlineLevel="0" collapsed="false">
      <c r="H5034" s="0" t="str">
        <f aca="false">IF(B5034="","",IF(COUNTIF(Campaigns!$A$7:$A$300,B5034)&gt;0,"✓","⚠ add to Campaigns tab"))</f>
        <v/>
      </c>
      <c r="I5034" s="84" t="str">
        <f aca="false">IF(C5034="","",C5034*IF(Settings!$B$22=Settings!$C$6,1,IF(Settings!$B$22="USD",1/INDEX(Settings!$B$29:$B$40,MONTH(A5034)),INDEX(Settings!$B$29:$B$40,MONTH(A5034)))))</f>
        <v/>
      </c>
    </row>
    <row r="5035" customFormat="false" ht="15" hidden="false" customHeight="false" outlineLevel="0" collapsed="false">
      <c r="H5035" s="0" t="str">
        <f aca="false">IF(B5035="","",IF(COUNTIF(Campaigns!$A$7:$A$300,B5035)&gt;0,"✓","⚠ add to Campaigns tab"))</f>
        <v/>
      </c>
      <c r="I5035" s="84" t="str">
        <f aca="false">IF(C5035="","",C5035*IF(Settings!$B$22=Settings!$C$6,1,IF(Settings!$B$22="USD",1/INDEX(Settings!$B$29:$B$40,MONTH(A5035)),INDEX(Settings!$B$29:$B$40,MONTH(A5035)))))</f>
        <v/>
      </c>
    </row>
    <row r="5036" customFormat="false" ht="15" hidden="false" customHeight="false" outlineLevel="0" collapsed="false">
      <c r="H5036" s="0" t="str">
        <f aca="false">IF(B5036="","",IF(COUNTIF(Campaigns!$A$7:$A$300,B5036)&gt;0,"✓","⚠ add to Campaigns tab"))</f>
        <v/>
      </c>
      <c r="I5036" s="84" t="str">
        <f aca="false">IF(C5036="","",C5036*IF(Settings!$B$22=Settings!$C$6,1,IF(Settings!$B$22="USD",1/INDEX(Settings!$B$29:$B$40,MONTH(A5036)),INDEX(Settings!$B$29:$B$40,MONTH(A5036)))))</f>
        <v/>
      </c>
    </row>
    <row r="5037" customFormat="false" ht="15" hidden="false" customHeight="false" outlineLevel="0" collapsed="false">
      <c r="H5037" s="0" t="str">
        <f aca="false">IF(B5037="","",IF(COUNTIF(Campaigns!$A$7:$A$300,B5037)&gt;0,"✓","⚠ add to Campaigns tab"))</f>
        <v/>
      </c>
      <c r="I5037" s="84" t="str">
        <f aca="false">IF(C5037="","",C5037*IF(Settings!$B$22=Settings!$C$6,1,IF(Settings!$B$22="USD",1/INDEX(Settings!$B$29:$B$40,MONTH(A5037)),INDEX(Settings!$B$29:$B$40,MONTH(A5037)))))</f>
        <v/>
      </c>
    </row>
    <row r="5038" customFormat="false" ht="15" hidden="false" customHeight="false" outlineLevel="0" collapsed="false">
      <c r="H5038" s="0" t="str">
        <f aca="false">IF(B5038="","",IF(COUNTIF(Campaigns!$A$7:$A$300,B5038)&gt;0,"✓","⚠ add to Campaigns tab"))</f>
        <v/>
      </c>
      <c r="I5038" s="84" t="str">
        <f aca="false">IF(C5038="","",C5038*IF(Settings!$B$22=Settings!$C$6,1,IF(Settings!$B$22="USD",1/INDEX(Settings!$B$29:$B$40,MONTH(A5038)),INDEX(Settings!$B$29:$B$40,MONTH(A5038)))))</f>
        <v/>
      </c>
    </row>
    <row r="5039" customFormat="false" ht="15" hidden="false" customHeight="false" outlineLevel="0" collapsed="false">
      <c r="H5039" s="0" t="str">
        <f aca="false">IF(B5039="","",IF(COUNTIF(Campaigns!$A$7:$A$300,B5039)&gt;0,"✓","⚠ add to Campaigns tab"))</f>
        <v/>
      </c>
      <c r="I5039" s="84" t="str">
        <f aca="false">IF(C5039="","",C5039*IF(Settings!$B$22=Settings!$C$6,1,IF(Settings!$B$22="USD",1/INDEX(Settings!$B$29:$B$40,MONTH(A5039)),INDEX(Settings!$B$29:$B$40,MONTH(A5039)))))</f>
        <v/>
      </c>
    </row>
    <row r="5040" customFormat="false" ht="15" hidden="false" customHeight="false" outlineLevel="0" collapsed="false">
      <c r="H5040" s="0" t="str">
        <f aca="false">IF(B5040="","",IF(COUNTIF(Campaigns!$A$7:$A$300,B5040)&gt;0,"✓","⚠ add to Campaigns tab"))</f>
        <v/>
      </c>
      <c r="I5040" s="84" t="str">
        <f aca="false">IF(C5040="","",C5040*IF(Settings!$B$22=Settings!$C$6,1,IF(Settings!$B$22="USD",1/INDEX(Settings!$B$29:$B$40,MONTH(A5040)),INDEX(Settings!$B$29:$B$40,MONTH(A5040)))))</f>
        <v/>
      </c>
    </row>
    <row r="5041" customFormat="false" ht="15" hidden="false" customHeight="false" outlineLevel="0" collapsed="false">
      <c r="H5041" s="0" t="str">
        <f aca="false">IF(B5041="","",IF(COUNTIF(Campaigns!$A$7:$A$300,B5041)&gt;0,"✓","⚠ add to Campaigns tab"))</f>
        <v/>
      </c>
      <c r="I5041" s="84" t="str">
        <f aca="false">IF(C5041="","",C5041*IF(Settings!$B$22=Settings!$C$6,1,IF(Settings!$B$22="USD",1/INDEX(Settings!$B$29:$B$40,MONTH(A5041)),INDEX(Settings!$B$29:$B$40,MONTH(A5041)))))</f>
        <v/>
      </c>
    </row>
    <row r="5042" customFormat="false" ht="15" hidden="false" customHeight="false" outlineLevel="0" collapsed="false">
      <c r="H5042" s="0" t="str">
        <f aca="false">IF(B5042="","",IF(COUNTIF(Campaigns!$A$7:$A$300,B5042)&gt;0,"✓","⚠ add to Campaigns tab"))</f>
        <v/>
      </c>
      <c r="I5042" s="84" t="str">
        <f aca="false">IF(C5042="","",C5042*IF(Settings!$B$22=Settings!$C$6,1,IF(Settings!$B$22="USD",1/INDEX(Settings!$B$29:$B$40,MONTH(A5042)),INDEX(Settings!$B$29:$B$40,MONTH(A5042)))))</f>
        <v/>
      </c>
    </row>
    <row r="5043" customFormat="false" ht="15" hidden="false" customHeight="false" outlineLevel="0" collapsed="false">
      <c r="H5043" s="0" t="str">
        <f aca="false">IF(B5043="","",IF(COUNTIF(Campaigns!$A$7:$A$300,B5043)&gt;0,"✓","⚠ add to Campaigns tab"))</f>
        <v/>
      </c>
      <c r="I5043" s="84" t="str">
        <f aca="false">IF(C5043="","",C5043*IF(Settings!$B$22=Settings!$C$6,1,IF(Settings!$B$22="USD",1/INDEX(Settings!$B$29:$B$40,MONTH(A5043)),INDEX(Settings!$B$29:$B$40,MONTH(A5043)))))</f>
        <v/>
      </c>
    </row>
    <row r="5044" customFormat="false" ht="15" hidden="false" customHeight="false" outlineLevel="0" collapsed="false">
      <c r="H5044" s="0" t="str">
        <f aca="false">IF(B5044="","",IF(COUNTIF(Campaigns!$A$7:$A$300,B5044)&gt;0,"✓","⚠ add to Campaigns tab"))</f>
        <v/>
      </c>
      <c r="I5044" s="84" t="str">
        <f aca="false">IF(C5044="","",C5044*IF(Settings!$B$22=Settings!$C$6,1,IF(Settings!$B$22="USD",1/INDEX(Settings!$B$29:$B$40,MONTH(A5044)),INDEX(Settings!$B$29:$B$40,MONTH(A5044)))))</f>
        <v/>
      </c>
    </row>
    <row r="5045" customFormat="false" ht="15" hidden="false" customHeight="false" outlineLevel="0" collapsed="false">
      <c r="H5045" s="0" t="str">
        <f aca="false">IF(B5045="","",IF(COUNTIF(Campaigns!$A$7:$A$300,B5045)&gt;0,"✓","⚠ add to Campaigns tab"))</f>
        <v/>
      </c>
      <c r="I5045" s="84" t="str">
        <f aca="false">IF(C5045="","",C5045*IF(Settings!$B$22=Settings!$C$6,1,IF(Settings!$B$22="USD",1/INDEX(Settings!$B$29:$B$40,MONTH(A5045)),INDEX(Settings!$B$29:$B$40,MONTH(A5045)))))</f>
        <v/>
      </c>
    </row>
    <row r="5046" customFormat="false" ht="15" hidden="false" customHeight="false" outlineLevel="0" collapsed="false">
      <c r="H5046" s="0" t="str">
        <f aca="false">IF(B5046="","",IF(COUNTIF(Campaigns!$A$7:$A$300,B5046)&gt;0,"✓","⚠ add to Campaigns tab"))</f>
        <v/>
      </c>
      <c r="I5046" s="84" t="str">
        <f aca="false">IF(C5046="","",C5046*IF(Settings!$B$22=Settings!$C$6,1,IF(Settings!$B$22="USD",1/INDEX(Settings!$B$29:$B$40,MONTH(A5046)),INDEX(Settings!$B$29:$B$40,MONTH(A5046)))))</f>
        <v/>
      </c>
    </row>
    <row r="5047" customFormat="false" ht="15" hidden="false" customHeight="false" outlineLevel="0" collapsed="false">
      <c r="H5047" s="0" t="str">
        <f aca="false">IF(B5047="","",IF(COUNTIF(Campaigns!$A$7:$A$300,B5047)&gt;0,"✓","⚠ add to Campaigns tab"))</f>
        <v/>
      </c>
      <c r="I5047" s="84" t="str">
        <f aca="false">IF(C5047="","",C5047*IF(Settings!$B$22=Settings!$C$6,1,IF(Settings!$B$22="USD",1/INDEX(Settings!$B$29:$B$40,MONTH(A5047)),INDEX(Settings!$B$29:$B$40,MONTH(A5047)))))</f>
        <v/>
      </c>
    </row>
    <row r="5048" customFormat="false" ht="15" hidden="false" customHeight="false" outlineLevel="0" collapsed="false">
      <c r="H5048" s="0" t="str">
        <f aca="false">IF(B5048="","",IF(COUNTIF(Campaigns!$A$7:$A$300,B5048)&gt;0,"✓","⚠ add to Campaigns tab"))</f>
        <v/>
      </c>
      <c r="I5048" s="84" t="str">
        <f aca="false">IF(C5048="","",C5048*IF(Settings!$B$22=Settings!$C$6,1,IF(Settings!$B$22="USD",1/INDEX(Settings!$B$29:$B$40,MONTH(A5048)),INDEX(Settings!$B$29:$B$40,MONTH(A5048)))))</f>
        <v/>
      </c>
    </row>
    <row r="5049" customFormat="false" ht="15" hidden="false" customHeight="false" outlineLevel="0" collapsed="false">
      <c r="H5049" s="0" t="str">
        <f aca="false">IF(B5049="","",IF(COUNTIF(Campaigns!$A$7:$A$300,B5049)&gt;0,"✓","⚠ add to Campaigns tab"))</f>
        <v/>
      </c>
      <c r="I5049" s="84" t="str">
        <f aca="false">IF(C5049="","",C5049*IF(Settings!$B$22=Settings!$C$6,1,IF(Settings!$B$22="USD",1/INDEX(Settings!$B$29:$B$40,MONTH(A5049)),INDEX(Settings!$B$29:$B$40,MONTH(A5049)))))</f>
        <v/>
      </c>
    </row>
    <row r="5050" customFormat="false" ht="15" hidden="false" customHeight="false" outlineLevel="0" collapsed="false">
      <c r="H5050" s="0" t="str">
        <f aca="false">IF(B5050="","",IF(COUNTIF(Campaigns!$A$7:$A$300,B5050)&gt;0,"✓","⚠ add to Campaigns tab"))</f>
        <v/>
      </c>
      <c r="I5050" s="84" t="str">
        <f aca="false">IF(C5050="","",C5050*IF(Settings!$B$22=Settings!$C$6,1,IF(Settings!$B$22="USD",1/INDEX(Settings!$B$29:$B$40,MONTH(A5050)),INDEX(Settings!$B$29:$B$40,MONTH(A5050)))))</f>
        <v/>
      </c>
    </row>
    <row r="5051" customFormat="false" ht="15" hidden="false" customHeight="false" outlineLevel="0" collapsed="false">
      <c r="H5051" s="0" t="str">
        <f aca="false">IF(B5051="","",IF(COUNTIF(Campaigns!$A$7:$A$300,B5051)&gt;0,"✓","⚠ add to Campaigns tab"))</f>
        <v/>
      </c>
      <c r="I5051" s="84" t="str">
        <f aca="false">IF(C5051="","",C5051*IF(Settings!$B$22=Settings!$C$6,1,IF(Settings!$B$22="USD",1/INDEX(Settings!$B$29:$B$40,MONTH(A5051)),INDEX(Settings!$B$29:$B$40,MONTH(A5051)))))</f>
        <v/>
      </c>
    </row>
    <row r="5052" customFormat="false" ht="15" hidden="false" customHeight="false" outlineLevel="0" collapsed="false">
      <c r="H5052" s="0" t="str">
        <f aca="false">IF(B5052="","",IF(COUNTIF(Campaigns!$A$7:$A$300,B5052)&gt;0,"✓","⚠ add to Campaigns tab"))</f>
        <v/>
      </c>
      <c r="I5052" s="84" t="str">
        <f aca="false">IF(C5052="","",C5052*IF(Settings!$B$22=Settings!$C$6,1,IF(Settings!$B$22="USD",1/INDEX(Settings!$B$29:$B$40,MONTH(A5052)),INDEX(Settings!$B$29:$B$40,MONTH(A5052)))))</f>
        <v/>
      </c>
    </row>
    <row r="5053" customFormat="false" ht="15" hidden="false" customHeight="false" outlineLevel="0" collapsed="false">
      <c r="H5053" s="0" t="str">
        <f aca="false">IF(B5053="","",IF(COUNTIF(Campaigns!$A$7:$A$300,B5053)&gt;0,"✓","⚠ add to Campaigns tab"))</f>
        <v/>
      </c>
      <c r="I5053" s="84" t="str">
        <f aca="false">IF(C5053="","",C5053*IF(Settings!$B$22=Settings!$C$6,1,IF(Settings!$B$22="USD",1/INDEX(Settings!$B$29:$B$40,MONTH(A5053)),INDEX(Settings!$B$29:$B$40,MONTH(A5053)))))</f>
        <v/>
      </c>
    </row>
    <row r="5054" customFormat="false" ht="15" hidden="false" customHeight="false" outlineLevel="0" collapsed="false">
      <c r="H5054" s="0" t="str">
        <f aca="false">IF(B5054="","",IF(COUNTIF(Campaigns!$A$7:$A$300,B5054)&gt;0,"✓","⚠ add to Campaigns tab"))</f>
        <v/>
      </c>
      <c r="I5054" s="84" t="str">
        <f aca="false">IF(C5054="","",C5054*IF(Settings!$B$22=Settings!$C$6,1,IF(Settings!$B$22="USD",1/INDEX(Settings!$B$29:$B$40,MONTH(A5054)),INDEX(Settings!$B$29:$B$40,MONTH(A5054)))))</f>
        <v/>
      </c>
    </row>
    <row r="5055" customFormat="false" ht="15" hidden="false" customHeight="false" outlineLevel="0" collapsed="false">
      <c r="H5055" s="0" t="str">
        <f aca="false">IF(B5055="","",IF(COUNTIF(Campaigns!$A$7:$A$300,B5055)&gt;0,"✓","⚠ add to Campaigns tab"))</f>
        <v/>
      </c>
      <c r="I5055" s="84" t="str">
        <f aca="false">IF(C5055="","",C5055*IF(Settings!$B$22=Settings!$C$6,1,IF(Settings!$B$22="USD",1/INDEX(Settings!$B$29:$B$40,MONTH(A5055)),INDEX(Settings!$B$29:$B$40,MONTH(A5055)))))</f>
        <v/>
      </c>
    </row>
    <row r="5056" customFormat="false" ht="15" hidden="false" customHeight="false" outlineLevel="0" collapsed="false">
      <c r="H5056" s="0" t="str">
        <f aca="false">IF(B5056="","",IF(COUNTIF(Campaigns!$A$7:$A$300,B5056)&gt;0,"✓","⚠ add to Campaigns tab"))</f>
        <v/>
      </c>
      <c r="I5056" s="84" t="str">
        <f aca="false">IF(C5056="","",C5056*IF(Settings!$B$22=Settings!$C$6,1,IF(Settings!$B$22="USD",1/INDEX(Settings!$B$29:$B$40,MONTH(A5056)),INDEX(Settings!$B$29:$B$40,MONTH(A5056)))))</f>
        <v/>
      </c>
    </row>
    <row r="5057" customFormat="false" ht="15" hidden="false" customHeight="false" outlineLevel="0" collapsed="false">
      <c r="H5057" s="0" t="str">
        <f aca="false">IF(B5057="","",IF(COUNTIF(Campaigns!$A$7:$A$300,B5057)&gt;0,"✓","⚠ add to Campaigns tab"))</f>
        <v/>
      </c>
      <c r="I5057" s="84" t="str">
        <f aca="false">IF(C5057="","",C5057*IF(Settings!$B$22=Settings!$C$6,1,IF(Settings!$B$22="USD",1/INDEX(Settings!$B$29:$B$40,MONTH(A5057)),INDEX(Settings!$B$29:$B$40,MONTH(A5057)))))</f>
        <v/>
      </c>
    </row>
    <row r="5058" customFormat="false" ht="15" hidden="false" customHeight="false" outlineLevel="0" collapsed="false">
      <c r="H5058" s="0" t="str">
        <f aca="false">IF(B5058="","",IF(COUNTIF(Campaigns!$A$7:$A$300,B5058)&gt;0,"✓","⚠ add to Campaigns tab"))</f>
        <v/>
      </c>
      <c r="I5058" s="84" t="str">
        <f aca="false">IF(C5058="","",C5058*IF(Settings!$B$22=Settings!$C$6,1,IF(Settings!$B$22="USD",1/INDEX(Settings!$B$29:$B$40,MONTH(A5058)),INDEX(Settings!$B$29:$B$40,MONTH(A5058)))))</f>
        <v/>
      </c>
    </row>
    <row r="5059" customFormat="false" ht="15" hidden="false" customHeight="false" outlineLevel="0" collapsed="false">
      <c r="H5059" s="0" t="str">
        <f aca="false">IF(B5059="","",IF(COUNTIF(Campaigns!$A$7:$A$300,B5059)&gt;0,"✓","⚠ add to Campaigns tab"))</f>
        <v/>
      </c>
      <c r="I5059" s="84" t="str">
        <f aca="false">IF(C5059="","",C5059*IF(Settings!$B$22=Settings!$C$6,1,IF(Settings!$B$22="USD",1/INDEX(Settings!$B$29:$B$40,MONTH(A5059)),INDEX(Settings!$B$29:$B$40,MONTH(A5059)))))</f>
        <v/>
      </c>
    </row>
    <row r="5060" customFormat="false" ht="15" hidden="false" customHeight="false" outlineLevel="0" collapsed="false">
      <c r="H5060" s="0" t="str">
        <f aca="false">IF(B5060="","",IF(COUNTIF(Campaigns!$A$7:$A$300,B5060)&gt;0,"✓","⚠ add to Campaigns tab"))</f>
        <v/>
      </c>
      <c r="I5060" s="84" t="str">
        <f aca="false">IF(C5060="","",C5060*IF(Settings!$B$22=Settings!$C$6,1,IF(Settings!$B$22="USD",1/INDEX(Settings!$B$29:$B$40,MONTH(A5060)),INDEX(Settings!$B$29:$B$40,MONTH(A5060)))))</f>
        <v/>
      </c>
    </row>
    <row r="5061" customFormat="false" ht="15" hidden="false" customHeight="false" outlineLevel="0" collapsed="false">
      <c r="H5061" s="0" t="str">
        <f aca="false">IF(B5061="","",IF(COUNTIF(Campaigns!$A$7:$A$300,B5061)&gt;0,"✓","⚠ add to Campaigns tab"))</f>
        <v/>
      </c>
      <c r="I5061" s="84" t="str">
        <f aca="false">IF(C5061="","",C5061*IF(Settings!$B$22=Settings!$C$6,1,IF(Settings!$B$22="USD",1/INDEX(Settings!$B$29:$B$40,MONTH(A5061)),INDEX(Settings!$B$29:$B$40,MONTH(A5061)))))</f>
        <v/>
      </c>
    </row>
    <row r="5062" customFormat="false" ht="15" hidden="false" customHeight="false" outlineLevel="0" collapsed="false">
      <c r="H5062" s="0" t="str">
        <f aca="false">IF(B5062="","",IF(COUNTIF(Campaigns!$A$7:$A$300,B5062)&gt;0,"✓","⚠ add to Campaigns tab"))</f>
        <v/>
      </c>
      <c r="I5062" s="84" t="str">
        <f aca="false">IF(C5062="","",C5062*IF(Settings!$B$22=Settings!$C$6,1,IF(Settings!$B$22="USD",1/INDEX(Settings!$B$29:$B$40,MONTH(A5062)),INDEX(Settings!$B$29:$B$40,MONTH(A5062)))))</f>
        <v/>
      </c>
    </row>
    <row r="5063" customFormat="false" ht="15" hidden="false" customHeight="false" outlineLevel="0" collapsed="false">
      <c r="H5063" s="0" t="str">
        <f aca="false">IF(B5063="","",IF(COUNTIF(Campaigns!$A$7:$A$300,B5063)&gt;0,"✓","⚠ add to Campaigns tab"))</f>
        <v/>
      </c>
      <c r="I5063" s="84" t="str">
        <f aca="false">IF(C5063="","",C5063*IF(Settings!$B$22=Settings!$C$6,1,IF(Settings!$B$22="USD",1/INDEX(Settings!$B$29:$B$40,MONTH(A5063)),INDEX(Settings!$B$29:$B$40,MONTH(A5063)))))</f>
        <v/>
      </c>
    </row>
    <row r="5064" customFormat="false" ht="15" hidden="false" customHeight="false" outlineLevel="0" collapsed="false">
      <c r="H5064" s="0" t="str">
        <f aca="false">IF(B5064="","",IF(COUNTIF(Campaigns!$A$7:$A$300,B5064)&gt;0,"✓","⚠ add to Campaigns tab"))</f>
        <v/>
      </c>
      <c r="I5064" s="84" t="str">
        <f aca="false">IF(C5064="","",C5064*IF(Settings!$B$22=Settings!$C$6,1,IF(Settings!$B$22="USD",1/INDEX(Settings!$B$29:$B$40,MONTH(A5064)),INDEX(Settings!$B$29:$B$40,MONTH(A5064)))))</f>
        <v/>
      </c>
    </row>
    <row r="5065" customFormat="false" ht="15" hidden="false" customHeight="false" outlineLevel="0" collapsed="false">
      <c r="H5065" s="0" t="str">
        <f aca="false">IF(B5065="","",IF(COUNTIF(Campaigns!$A$7:$A$300,B5065)&gt;0,"✓","⚠ add to Campaigns tab"))</f>
        <v/>
      </c>
      <c r="I5065" s="84" t="str">
        <f aca="false">IF(C5065="","",C5065*IF(Settings!$B$22=Settings!$C$6,1,IF(Settings!$B$22="USD",1/INDEX(Settings!$B$29:$B$40,MONTH(A5065)),INDEX(Settings!$B$29:$B$40,MONTH(A5065)))))</f>
        <v/>
      </c>
    </row>
    <row r="5066" customFormat="false" ht="15" hidden="false" customHeight="false" outlineLevel="0" collapsed="false">
      <c r="H5066" s="0" t="str">
        <f aca="false">IF(B5066="","",IF(COUNTIF(Campaigns!$A$7:$A$300,B5066)&gt;0,"✓","⚠ add to Campaigns tab"))</f>
        <v/>
      </c>
      <c r="I5066" s="84" t="str">
        <f aca="false">IF(C5066="","",C5066*IF(Settings!$B$22=Settings!$C$6,1,IF(Settings!$B$22="USD",1/INDEX(Settings!$B$29:$B$40,MONTH(A5066)),INDEX(Settings!$B$29:$B$40,MONTH(A5066)))))</f>
        <v/>
      </c>
    </row>
    <row r="5067" customFormat="false" ht="15" hidden="false" customHeight="false" outlineLevel="0" collapsed="false">
      <c r="H5067" s="0" t="str">
        <f aca="false">IF(B5067="","",IF(COUNTIF(Campaigns!$A$7:$A$300,B5067)&gt;0,"✓","⚠ add to Campaigns tab"))</f>
        <v/>
      </c>
      <c r="I5067" s="84" t="str">
        <f aca="false">IF(C5067="","",C5067*IF(Settings!$B$22=Settings!$C$6,1,IF(Settings!$B$22="USD",1/INDEX(Settings!$B$29:$B$40,MONTH(A5067)),INDEX(Settings!$B$29:$B$40,MONTH(A5067)))))</f>
        <v/>
      </c>
    </row>
    <row r="5068" customFormat="false" ht="15" hidden="false" customHeight="false" outlineLevel="0" collapsed="false">
      <c r="H5068" s="0" t="str">
        <f aca="false">IF(B5068="","",IF(COUNTIF(Campaigns!$A$7:$A$300,B5068)&gt;0,"✓","⚠ add to Campaigns tab"))</f>
        <v/>
      </c>
      <c r="I5068" s="84" t="str">
        <f aca="false">IF(C5068="","",C5068*IF(Settings!$B$22=Settings!$C$6,1,IF(Settings!$B$22="USD",1/INDEX(Settings!$B$29:$B$40,MONTH(A5068)),INDEX(Settings!$B$29:$B$40,MONTH(A5068)))))</f>
        <v/>
      </c>
    </row>
    <row r="5069" customFormat="false" ht="15" hidden="false" customHeight="false" outlineLevel="0" collapsed="false">
      <c r="H5069" s="0" t="str">
        <f aca="false">IF(B5069="","",IF(COUNTIF(Campaigns!$A$7:$A$300,B5069)&gt;0,"✓","⚠ add to Campaigns tab"))</f>
        <v/>
      </c>
      <c r="I5069" s="84" t="str">
        <f aca="false">IF(C5069="","",C5069*IF(Settings!$B$22=Settings!$C$6,1,IF(Settings!$B$22="USD",1/INDEX(Settings!$B$29:$B$40,MONTH(A5069)),INDEX(Settings!$B$29:$B$40,MONTH(A5069)))))</f>
        <v/>
      </c>
    </row>
    <row r="5070" customFormat="false" ht="15" hidden="false" customHeight="false" outlineLevel="0" collapsed="false">
      <c r="H5070" s="0" t="str">
        <f aca="false">IF(B5070="","",IF(COUNTIF(Campaigns!$A$7:$A$300,B5070)&gt;0,"✓","⚠ add to Campaigns tab"))</f>
        <v/>
      </c>
      <c r="I5070" s="84" t="str">
        <f aca="false">IF(C5070="","",C5070*IF(Settings!$B$22=Settings!$C$6,1,IF(Settings!$B$22="USD",1/INDEX(Settings!$B$29:$B$40,MONTH(A5070)),INDEX(Settings!$B$29:$B$40,MONTH(A5070)))))</f>
        <v/>
      </c>
    </row>
    <row r="5071" customFormat="false" ht="15" hidden="false" customHeight="false" outlineLevel="0" collapsed="false">
      <c r="H5071" s="0" t="str">
        <f aca="false">IF(B5071="","",IF(COUNTIF(Campaigns!$A$7:$A$300,B5071)&gt;0,"✓","⚠ add to Campaigns tab"))</f>
        <v/>
      </c>
      <c r="I5071" s="84" t="str">
        <f aca="false">IF(C5071="","",C5071*IF(Settings!$B$22=Settings!$C$6,1,IF(Settings!$B$22="USD",1/INDEX(Settings!$B$29:$B$40,MONTH(A5071)),INDEX(Settings!$B$29:$B$40,MONTH(A5071)))))</f>
        <v/>
      </c>
    </row>
    <row r="5072" customFormat="false" ht="15" hidden="false" customHeight="false" outlineLevel="0" collapsed="false">
      <c r="H5072" s="0" t="str">
        <f aca="false">IF(B5072="","",IF(COUNTIF(Campaigns!$A$7:$A$300,B5072)&gt;0,"✓","⚠ add to Campaigns tab"))</f>
        <v/>
      </c>
      <c r="I5072" s="84" t="str">
        <f aca="false">IF(C5072="","",C5072*IF(Settings!$B$22=Settings!$C$6,1,IF(Settings!$B$22="USD",1/INDEX(Settings!$B$29:$B$40,MONTH(A5072)),INDEX(Settings!$B$29:$B$40,MONTH(A5072)))))</f>
        <v/>
      </c>
    </row>
    <row r="5073" customFormat="false" ht="15" hidden="false" customHeight="false" outlineLevel="0" collapsed="false">
      <c r="H5073" s="0" t="str">
        <f aca="false">IF(B5073="","",IF(COUNTIF(Campaigns!$A$7:$A$300,B5073)&gt;0,"✓","⚠ add to Campaigns tab"))</f>
        <v/>
      </c>
      <c r="I5073" s="84" t="str">
        <f aca="false">IF(C5073="","",C5073*IF(Settings!$B$22=Settings!$C$6,1,IF(Settings!$B$22="USD",1/INDEX(Settings!$B$29:$B$40,MONTH(A5073)),INDEX(Settings!$B$29:$B$40,MONTH(A5073)))))</f>
        <v/>
      </c>
    </row>
    <row r="5074" customFormat="false" ht="15" hidden="false" customHeight="false" outlineLevel="0" collapsed="false">
      <c r="H5074" s="0" t="str">
        <f aca="false">IF(B5074="","",IF(COUNTIF(Campaigns!$A$7:$A$300,B5074)&gt;0,"✓","⚠ add to Campaigns tab"))</f>
        <v/>
      </c>
      <c r="I5074" s="84" t="str">
        <f aca="false">IF(C5074="","",C5074*IF(Settings!$B$22=Settings!$C$6,1,IF(Settings!$B$22="USD",1/INDEX(Settings!$B$29:$B$40,MONTH(A5074)),INDEX(Settings!$B$29:$B$40,MONTH(A5074)))))</f>
        <v/>
      </c>
    </row>
    <row r="5075" customFormat="false" ht="15" hidden="false" customHeight="false" outlineLevel="0" collapsed="false">
      <c r="H5075" s="0" t="str">
        <f aca="false">IF(B5075="","",IF(COUNTIF(Campaigns!$A$7:$A$300,B5075)&gt;0,"✓","⚠ add to Campaigns tab"))</f>
        <v/>
      </c>
      <c r="I5075" s="84" t="str">
        <f aca="false">IF(C5075="","",C5075*IF(Settings!$B$22=Settings!$C$6,1,IF(Settings!$B$22="USD",1/INDEX(Settings!$B$29:$B$40,MONTH(A5075)),INDEX(Settings!$B$29:$B$40,MONTH(A5075)))))</f>
        <v/>
      </c>
    </row>
    <row r="5076" customFormat="false" ht="15" hidden="false" customHeight="false" outlineLevel="0" collapsed="false">
      <c r="H5076" s="0" t="str">
        <f aca="false">IF(B5076="","",IF(COUNTIF(Campaigns!$A$7:$A$300,B5076)&gt;0,"✓","⚠ add to Campaigns tab"))</f>
        <v/>
      </c>
      <c r="I5076" s="84" t="str">
        <f aca="false">IF(C5076="","",C5076*IF(Settings!$B$22=Settings!$C$6,1,IF(Settings!$B$22="USD",1/INDEX(Settings!$B$29:$B$40,MONTH(A5076)),INDEX(Settings!$B$29:$B$40,MONTH(A5076)))))</f>
        <v/>
      </c>
    </row>
    <row r="5077" customFormat="false" ht="15" hidden="false" customHeight="false" outlineLevel="0" collapsed="false">
      <c r="H5077" s="0" t="str">
        <f aca="false">IF(B5077="","",IF(COUNTIF(Campaigns!$A$7:$A$300,B5077)&gt;0,"✓","⚠ add to Campaigns tab"))</f>
        <v/>
      </c>
      <c r="I5077" s="84" t="str">
        <f aca="false">IF(C5077="","",C5077*IF(Settings!$B$22=Settings!$C$6,1,IF(Settings!$B$22="USD",1/INDEX(Settings!$B$29:$B$40,MONTH(A5077)),INDEX(Settings!$B$29:$B$40,MONTH(A5077)))))</f>
        <v/>
      </c>
    </row>
    <row r="5078" customFormat="false" ht="15" hidden="false" customHeight="false" outlineLevel="0" collapsed="false">
      <c r="H5078" s="0" t="str">
        <f aca="false">IF(B5078="","",IF(COUNTIF(Campaigns!$A$7:$A$300,B5078)&gt;0,"✓","⚠ add to Campaigns tab"))</f>
        <v/>
      </c>
      <c r="I5078" s="84" t="str">
        <f aca="false">IF(C5078="","",C5078*IF(Settings!$B$22=Settings!$C$6,1,IF(Settings!$B$22="USD",1/INDEX(Settings!$B$29:$B$40,MONTH(A5078)),INDEX(Settings!$B$29:$B$40,MONTH(A5078)))))</f>
        <v/>
      </c>
    </row>
    <row r="5079" customFormat="false" ht="15" hidden="false" customHeight="false" outlineLevel="0" collapsed="false">
      <c r="H5079" s="0" t="str">
        <f aca="false">IF(B5079="","",IF(COUNTIF(Campaigns!$A$7:$A$300,B5079)&gt;0,"✓","⚠ add to Campaigns tab"))</f>
        <v/>
      </c>
      <c r="I5079" s="84" t="str">
        <f aca="false">IF(C5079="","",C5079*IF(Settings!$B$22=Settings!$C$6,1,IF(Settings!$B$22="USD",1/INDEX(Settings!$B$29:$B$40,MONTH(A5079)),INDEX(Settings!$B$29:$B$40,MONTH(A5079)))))</f>
        <v/>
      </c>
    </row>
    <row r="5080" customFormat="false" ht="15" hidden="false" customHeight="false" outlineLevel="0" collapsed="false">
      <c r="H5080" s="0" t="str">
        <f aca="false">IF(B5080="","",IF(COUNTIF(Campaigns!$A$7:$A$300,B5080)&gt;0,"✓","⚠ add to Campaigns tab"))</f>
        <v/>
      </c>
      <c r="I5080" s="84" t="str">
        <f aca="false">IF(C5080="","",C5080*IF(Settings!$B$22=Settings!$C$6,1,IF(Settings!$B$22="USD",1/INDEX(Settings!$B$29:$B$40,MONTH(A5080)),INDEX(Settings!$B$29:$B$40,MONTH(A5080)))))</f>
        <v/>
      </c>
    </row>
    <row r="5081" customFormat="false" ht="15" hidden="false" customHeight="false" outlineLevel="0" collapsed="false">
      <c r="H5081" s="0" t="str">
        <f aca="false">IF(B5081="","",IF(COUNTIF(Campaigns!$A$7:$A$300,B5081)&gt;0,"✓","⚠ add to Campaigns tab"))</f>
        <v/>
      </c>
      <c r="I5081" s="84" t="str">
        <f aca="false">IF(C5081="","",C5081*IF(Settings!$B$22=Settings!$C$6,1,IF(Settings!$B$22="USD",1/INDEX(Settings!$B$29:$B$40,MONTH(A5081)),INDEX(Settings!$B$29:$B$40,MONTH(A5081)))))</f>
        <v/>
      </c>
    </row>
    <row r="5082" customFormat="false" ht="15" hidden="false" customHeight="false" outlineLevel="0" collapsed="false">
      <c r="H5082" s="0" t="str">
        <f aca="false">IF(B5082="","",IF(COUNTIF(Campaigns!$A$7:$A$300,B5082)&gt;0,"✓","⚠ add to Campaigns tab"))</f>
        <v/>
      </c>
      <c r="I5082" s="84" t="str">
        <f aca="false">IF(C5082="","",C5082*IF(Settings!$B$22=Settings!$C$6,1,IF(Settings!$B$22="USD",1/INDEX(Settings!$B$29:$B$40,MONTH(A5082)),INDEX(Settings!$B$29:$B$40,MONTH(A5082)))))</f>
        <v/>
      </c>
    </row>
    <row r="5083" customFormat="false" ht="15" hidden="false" customHeight="false" outlineLevel="0" collapsed="false">
      <c r="H5083" s="0" t="str">
        <f aca="false">IF(B5083="","",IF(COUNTIF(Campaigns!$A$7:$A$300,B5083)&gt;0,"✓","⚠ add to Campaigns tab"))</f>
        <v/>
      </c>
      <c r="I5083" s="84" t="str">
        <f aca="false">IF(C5083="","",C5083*IF(Settings!$B$22=Settings!$C$6,1,IF(Settings!$B$22="USD",1/INDEX(Settings!$B$29:$B$40,MONTH(A5083)),INDEX(Settings!$B$29:$B$40,MONTH(A5083)))))</f>
        <v/>
      </c>
    </row>
    <row r="5084" customFormat="false" ht="15" hidden="false" customHeight="false" outlineLevel="0" collapsed="false">
      <c r="H5084" s="0" t="str">
        <f aca="false">IF(B5084="","",IF(COUNTIF(Campaigns!$A$7:$A$300,B5084)&gt;0,"✓","⚠ add to Campaigns tab"))</f>
        <v/>
      </c>
      <c r="I5084" s="84" t="str">
        <f aca="false">IF(C5084="","",C5084*IF(Settings!$B$22=Settings!$C$6,1,IF(Settings!$B$22="USD",1/INDEX(Settings!$B$29:$B$40,MONTH(A5084)),INDEX(Settings!$B$29:$B$40,MONTH(A5084)))))</f>
        <v/>
      </c>
    </row>
    <row r="5085" customFormat="false" ht="15" hidden="false" customHeight="false" outlineLevel="0" collapsed="false">
      <c r="H5085" s="0" t="str">
        <f aca="false">IF(B5085="","",IF(COUNTIF(Campaigns!$A$7:$A$300,B5085)&gt;0,"✓","⚠ add to Campaigns tab"))</f>
        <v/>
      </c>
      <c r="I5085" s="84" t="str">
        <f aca="false">IF(C5085="","",C5085*IF(Settings!$B$22=Settings!$C$6,1,IF(Settings!$B$22="USD",1/INDEX(Settings!$B$29:$B$40,MONTH(A5085)),INDEX(Settings!$B$29:$B$40,MONTH(A5085)))))</f>
        <v/>
      </c>
    </row>
    <row r="5086" customFormat="false" ht="15" hidden="false" customHeight="false" outlineLevel="0" collapsed="false">
      <c r="H5086" s="0" t="str">
        <f aca="false">IF(B5086="","",IF(COUNTIF(Campaigns!$A$7:$A$300,B5086)&gt;0,"✓","⚠ add to Campaigns tab"))</f>
        <v/>
      </c>
      <c r="I5086" s="84" t="str">
        <f aca="false">IF(C5086="","",C5086*IF(Settings!$B$22=Settings!$C$6,1,IF(Settings!$B$22="USD",1/INDEX(Settings!$B$29:$B$40,MONTH(A5086)),INDEX(Settings!$B$29:$B$40,MONTH(A5086)))))</f>
        <v/>
      </c>
    </row>
    <row r="5087" customFormat="false" ht="15" hidden="false" customHeight="false" outlineLevel="0" collapsed="false">
      <c r="H5087" s="0" t="str">
        <f aca="false">IF(B5087="","",IF(COUNTIF(Campaigns!$A$7:$A$300,B5087)&gt;0,"✓","⚠ add to Campaigns tab"))</f>
        <v/>
      </c>
      <c r="I5087" s="84" t="str">
        <f aca="false">IF(C5087="","",C5087*IF(Settings!$B$22=Settings!$C$6,1,IF(Settings!$B$22="USD",1/INDEX(Settings!$B$29:$B$40,MONTH(A5087)),INDEX(Settings!$B$29:$B$40,MONTH(A5087)))))</f>
        <v/>
      </c>
    </row>
    <row r="5088" customFormat="false" ht="15" hidden="false" customHeight="false" outlineLevel="0" collapsed="false">
      <c r="H5088" s="0" t="str">
        <f aca="false">IF(B5088="","",IF(COUNTIF(Campaigns!$A$7:$A$300,B5088)&gt;0,"✓","⚠ add to Campaigns tab"))</f>
        <v/>
      </c>
      <c r="I5088" s="84" t="str">
        <f aca="false">IF(C5088="","",C5088*IF(Settings!$B$22=Settings!$C$6,1,IF(Settings!$B$22="USD",1/INDEX(Settings!$B$29:$B$40,MONTH(A5088)),INDEX(Settings!$B$29:$B$40,MONTH(A5088)))))</f>
        <v/>
      </c>
    </row>
    <row r="5089" customFormat="false" ht="15" hidden="false" customHeight="false" outlineLevel="0" collapsed="false">
      <c r="H5089" s="0" t="str">
        <f aca="false">IF(B5089="","",IF(COUNTIF(Campaigns!$A$7:$A$300,B5089)&gt;0,"✓","⚠ add to Campaigns tab"))</f>
        <v/>
      </c>
      <c r="I5089" s="84" t="str">
        <f aca="false">IF(C5089="","",C5089*IF(Settings!$B$22=Settings!$C$6,1,IF(Settings!$B$22="USD",1/INDEX(Settings!$B$29:$B$40,MONTH(A5089)),INDEX(Settings!$B$29:$B$40,MONTH(A5089)))))</f>
        <v/>
      </c>
    </row>
    <row r="5090" customFormat="false" ht="15" hidden="false" customHeight="false" outlineLevel="0" collapsed="false">
      <c r="H5090" s="0" t="str">
        <f aca="false">IF(B5090="","",IF(COUNTIF(Campaigns!$A$7:$A$300,B5090)&gt;0,"✓","⚠ add to Campaigns tab"))</f>
        <v/>
      </c>
      <c r="I5090" s="84" t="str">
        <f aca="false">IF(C5090="","",C5090*IF(Settings!$B$22=Settings!$C$6,1,IF(Settings!$B$22="USD",1/INDEX(Settings!$B$29:$B$40,MONTH(A5090)),INDEX(Settings!$B$29:$B$40,MONTH(A5090)))))</f>
        <v/>
      </c>
    </row>
    <row r="5091" customFormat="false" ht="15" hidden="false" customHeight="false" outlineLevel="0" collapsed="false">
      <c r="H5091" s="0" t="str">
        <f aca="false">IF(B5091="","",IF(COUNTIF(Campaigns!$A$7:$A$300,B5091)&gt;0,"✓","⚠ add to Campaigns tab"))</f>
        <v/>
      </c>
      <c r="I5091" s="84" t="str">
        <f aca="false">IF(C5091="","",C5091*IF(Settings!$B$22=Settings!$C$6,1,IF(Settings!$B$22="USD",1/INDEX(Settings!$B$29:$B$40,MONTH(A5091)),INDEX(Settings!$B$29:$B$40,MONTH(A5091)))))</f>
        <v/>
      </c>
    </row>
    <row r="5092" customFormat="false" ht="15" hidden="false" customHeight="false" outlineLevel="0" collapsed="false">
      <c r="H5092" s="0" t="str">
        <f aca="false">IF(B5092="","",IF(COUNTIF(Campaigns!$A$7:$A$300,B5092)&gt;0,"✓","⚠ add to Campaigns tab"))</f>
        <v/>
      </c>
      <c r="I5092" s="84" t="str">
        <f aca="false">IF(C5092="","",C5092*IF(Settings!$B$22=Settings!$C$6,1,IF(Settings!$B$22="USD",1/INDEX(Settings!$B$29:$B$40,MONTH(A5092)),INDEX(Settings!$B$29:$B$40,MONTH(A5092)))))</f>
        <v/>
      </c>
    </row>
    <row r="5093" customFormat="false" ht="15" hidden="false" customHeight="false" outlineLevel="0" collapsed="false">
      <c r="H5093" s="0" t="str">
        <f aca="false">IF(B5093="","",IF(COUNTIF(Campaigns!$A$7:$A$300,B5093)&gt;0,"✓","⚠ add to Campaigns tab"))</f>
        <v/>
      </c>
      <c r="I5093" s="84" t="str">
        <f aca="false">IF(C5093="","",C5093*IF(Settings!$B$22=Settings!$C$6,1,IF(Settings!$B$22="USD",1/INDEX(Settings!$B$29:$B$40,MONTH(A5093)),INDEX(Settings!$B$29:$B$40,MONTH(A5093)))))</f>
        <v/>
      </c>
    </row>
    <row r="5094" customFormat="false" ht="15" hidden="false" customHeight="false" outlineLevel="0" collapsed="false">
      <c r="H5094" s="0" t="str">
        <f aca="false">IF(B5094="","",IF(COUNTIF(Campaigns!$A$7:$A$300,B5094)&gt;0,"✓","⚠ add to Campaigns tab"))</f>
        <v/>
      </c>
      <c r="I5094" s="84" t="str">
        <f aca="false">IF(C5094="","",C5094*IF(Settings!$B$22=Settings!$C$6,1,IF(Settings!$B$22="USD",1/INDEX(Settings!$B$29:$B$40,MONTH(A5094)),INDEX(Settings!$B$29:$B$40,MONTH(A5094)))))</f>
        <v/>
      </c>
    </row>
    <row r="5095" customFormat="false" ht="15" hidden="false" customHeight="false" outlineLevel="0" collapsed="false">
      <c r="H5095" s="0" t="str">
        <f aca="false">IF(B5095="","",IF(COUNTIF(Campaigns!$A$7:$A$300,B5095)&gt;0,"✓","⚠ add to Campaigns tab"))</f>
        <v/>
      </c>
      <c r="I5095" s="84" t="str">
        <f aca="false">IF(C5095="","",C5095*IF(Settings!$B$22=Settings!$C$6,1,IF(Settings!$B$22="USD",1/INDEX(Settings!$B$29:$B$40,MONTH(A5095)),INDEX(Settings!$B$29:$B$40,MONTH(A5095)))))</f>
        <v/>
      </c>
    </row>
    <row r="5096" customFormat="false" ht="15" hidden="false" customHeight="false" outlineLevel="0" collapsed="false">
      <c r="H5096" s="0" t="str">
        <f aca="false">IF(B5096="","",IF(COUNTIF(Campaigns!$A$7:$A$300,B5096)&gt;0,"✓","⚠ add to Campaigns tab"))</f>
        <v/>
      </c>
      <c r="I5096" s="84" t="str">
        <f aca="false">IF(C5096="","",C5096*IF(Settings!$B$22=Settings!$C$6,1,IF(Settings!$B$22="USD",1/INDEX(Settings!$B$29:$B$40,MONTH(A5096)),INDEX(Settings!$B$29:$B$40,MONTH(A5096)))))</f>
        <v/>
      </c>
    </row>
    <row r="5097" customFormat="false" ht="15" hidden="false" customHeight="false" outlineLevel="0" collapsed="false">
      <c r="H5097" s="0" t="str">
        <f aca="false">IF(B5097="","",IF(COUNTIF(Campaigns!$A$7:$A$300,B5097)&gt;0,"✓","⚠ add to Campaigns tab"))</f>
        <v/>
      </c>
      <c r="I5097" s="84" t="str">
        <f aca="false">IF(C5097="","",C5097*IF(Settings!$B$22=Settings!$C$6,1,IF(Settings!$B$22="USD",1/INDEX(Settings!$B$29:$B$40,MONTH(A5097)),INDEX(Settings!$B$29:$B$40,MONTH(A5097)))))</f>
        <v/>
      </c>
    </row>
    <row r="5098" customFormat="false" ht="15" hidden="false" customHeight="false" outlineLevel="0" collapsed="false">
      <c r="H5098" s="0" t="str">
        <f aca="false">IF(B5098="","",IF(COUNTIF(Campaigns!$A$7:$A$300,B5098)&gt;0,"✓","⚠ add to Campaigns tab"))</f>
        <v/>
      </c>
      <c r="I5098" s="84" t="str">
        <f aca="false">IF(C5098="","",C5098*IF(Settings!$B$22=Settings!$C$6,1,IF(Settings!$B$22="USD",1/INDEX(Settings!$B$29:$B$40,MONTH(A5098)),INDEX(Settings!$B$29:$B$40,MONTH(A5098)))))</f>
        <v/>
      </c>
    </row>
    <row r="5099" customFormat="false" ht="15" hidden="false" customHeight="false" outlineLevel="0" collapsed="false">
      <c r="H5099" s="0" t="str">
        <f aca="false">IF(B5099="","",IF(COUNTIF(Campaigns!$A$7:$A$300,B5099)&gt;0,"✓","⚠ add to Campaigns tab"))</f>
        <v/>
      </c>
      <c r="I5099" s="84" t="str">
        <f aca="false">IF(C5099="","",C5099*IF(Settings!$B$22=Settings!$C$6,1,IF(Settings!$B$22="USD",1/INDEX(Settings!$B$29:$B$40,MONTH(A5099)),INDEX(Settings!$B$29:$B$40,MONTH(A5099)))))</f>
        <v/>
      </c>
    </row>
    <row r="5100" customFormat="false" ht="15" hidden="false" customHeight="false" outlineLevel="0" collapsed="false">
      <c r="H5100" s="0" t="str">
        <f aca="false">IF(B5100="","",IF(COUNTIF(Campaigns!$A$7:$A$300,B5100)&gt;0,"✓","⚠ add to Campaigns tab"))</f>
        <v/>
      </c>
      <c r="I5100" s="84" t="str">
        <f aca="false">IF(C5100="","",C5100*IF(Settings!$B$22=Settings!$C$6,1,IF(Settings!$B$22="USD",1/INDEX(Settings!$B$29:$B$40,MONTH(A5100)),INDEX(Settings!$B$29:$B$40,MONTH(A5100)))))</f>
        <v/>
      </c>
    </row>
    <row r="5101" customFormat="false" ht="15" hidden="false" customHeight="false" outlineLevel="0" collapsed="false">
      <c r="H5101" s="0" t="str">
        <f aca="false">IF(B5101="","",IF(COUNTIF(Campaigns!$A$7:$A$300,B5101)&gt;0,"✓","⚠ add to Campaigns tab"))</f>
        <v/>
      </c>
      <c r="I5101" s="84" t="str">
        <f aca="false">IF(C5101="","",C5101*IF(Settings!$B$22=Settings!$C$6,1,IF(Settings!$B$22="USD",1/INDEX(Settings!$B$29:$B$40,MONTH(A5101)),INDEX(Settings!$B$29:$B$40,MONTH(A5101)))))</f>
        <v/>
      </c>
    </row>
    <row r="5102" customFormat="false" ht="15" hidden="false" customHeight="false" outlineLevel="0" collapsed="false">
      <c r="H5102" s="0" t="str">
        <f aca="false">IF(B5102="","",IF(COUNTIF(Campaigns!$A$7:$A$300,B5102)&gt;0,"✓","⚠ add to Campaigns tab"))</f>
        <v/>
      </c>
      <c r="I5102" s="84" t="str">
        <f aca="false">IF(C5102="","",C5102*IF(Settings!$B$22=Settings!$C$6,1,IF(Settings!$B$22="USD",1/INDEX(Settings!$B$29:$B$40,MONTH(A5102)),INDEX(Settings!$B$29:$B$40,MONTH(A5102)))))</f>
        <v/>
      </c>
    </row>
    <row r="5103" customFormat="false" ht="15" hidden="false" customHeight="false" outlineLevel="0" collapsed="false">
      <c r="H5103" s="0" t="str">
        <f aca="false">IF(B5103="","",IF(COUNTIF(Campaigns!$A$7:$A$300,B5103)&gt;0,"✓","⚠ add to Campaigns tab"))</f>
        <v/>
      </c>
      <c r="I5103" s="84" t="str">
        <f aca="false">IF(C5103="","",C5103*IF(Settings!$B$22=Settings!$C$6,1,IF(Settings!$B$22="USD",1/INDEX(Settings!$B$29:$B$40,MONTH(A5103)),INDEX(Settings!$B$29:$B$40,MONTH(A5103)))))</f>
        <v/>
      </c>
    </row>
    <row r="5104" customFormat="false" ht="15" hidden="false" customHeight="false" outlineLevel="0" collapsed="false">
      <c r="H5104" s="0" t="str">
        <f aca="false">IF(B5104="","",IF(COUNTIF(Campaigns!$A$7:$A$300,B5104)&gt;0,"✓","⚠ add to Campaigns tab"))</f>
        <v/>
      </c>
      <c r="I5104" s="84" t="str">
        <f aca="false">IF(C5104="","",C5104*IF(Settings!$B$22=Settings!$C$6,1,IF(Settings!$B$22="USD",1/INDEX(Settings!$B$29:$B$40,MONTH(A5104)),INDEX(Settings!$B$29:$B$40,MONTH(A5104)))))</f>
        <v/>
      </c>
    </row>
    <row r="5105" customFormat="false" ht="15" hidden="false" customHeight="false" outlineLevel="0" collapsed="false">
      <c r="H5105" s="0" t="str">
        <f aca="false">IF(B5105="","",IF(COUNTIF(Campaigns!$A$7:$A$300,B5105)&gt;0,"✓","⚠ add to Campaigns tab"))</f>
        <v/>
      </c>
      <c r="I5105" s="84" t="str">
        <f aca="false">IF(C5105="","",C5105*IF(Settings!$B$22=Settings!$C$6,1,IF(Settings!$B$22="USD",1/INDEX(Settings!$B$29:$B$40,MONTH(A5105)),INDEX(Settings!$B$29:$B$40,MONTH(A5105)))))</f>
        <v/>
      </c>
    </row>
    <row r="5106" customFormat="false" ht="15" hidden="false" customHeight="false" outlineLevel="0" collapsed="false">
      <c r="H5106" s="0" t="str">
        <f aca="false">IF(B5106="","",IF(COUNTIF(Campaigns!$A$7:$A$300,B5106)&gt;0,"✓","⚠ add to Campaigns tab"))</f>
        <v/>
      </c>
      <c r="I5106" s="84" t="str">
        <f aca="false">IF(C5106="","",C5106*IF(Settings!$B$22=Settings!$C$6,1,IF(Settings!$B$22="USD",1/INDEX(Settings!$B$29:$B$40,MONTH(A5106)),INDEX(Settings!$B$29:$B$40,MONTH(A5106)))))</f>
        <v/>
      </c>
    </row>
    <row r="5107" customFormat="false" ht="15" hidden="false" customHeight="false" outlineLevel="0" collapsed="false">
      <c r="H5107" s="0" t="str">
        <f aca="false">IF(B5107="","",IF(COUNTIF(Campaigns!$A$7:$A$300,B5107)&gt;0,"✓","⚠ add to Campaigns tab"))</f>
        <v/>
      </c>
      <c r="I5107" s="84" t="str">
        <f aca="false">IF(C5107="","",C5107*IF(Settings!$B$22=Settings!$C$6,1,IF(Settings!$B$22="USD",1/INDEX(Settings!$B$29:$B$40,MONTH(A5107)),INDEX(Settings!$B$29:$B$40,MONTH(A5107)))))</f>
        <v/>
      </c>
    </row>
    <row r="5108" customFormat="false" ht="15" hidden="false" customHeight="false" outlineLevel="0" collapsed="false">
      <c r="H5108" s="0" t="str">
        <f aca="false">IF(B5108="","",IF(COUNTIF(Campaigns!$A$7:$A$300,B5108)&gt;0,"✓","⚠ add to Campaigns tab"))</f>
        <v/>
      </c>
      <c r="I5108" s="84" t="str">
        <f aca="false">IF(C5108="","",C5108*IF(Settings!$B$22=Settings!$C$6,1,IF(Settings!$B$22="USD",1/INDEX(Settings!$B$29:$B$40,MONTH(A5108)),INDEX(Settings!$B$29:$B$40,MONTH(A5108)))))</f>
        <v/>
      </c>
    </row>
    <row r="5109" customFormat="false" ht="15" hidden="false" customHeight="false" outlineLevel="0" collapsed="false">
      <c r="H5109" s="0" t="str">
        <f aca="false">IF(B5109="","",IF(COUNTIF(Campaigns!$A$7:$A$300,B5109)&gt;0,"✓","⚠ add to Campaigns tab"))</f>
        <v/>
      </c>
      <c r="I5109" s="84" t="str">
        <f aca="false">IF(C5109="","",C5109*IF(Settings!$B$22=Settings!$C$6,1,IF(Settings!$B$22="USD",1/INDEX(Settings!$B$29:$B$40,MONTH(A5109)),INDEX(Settings!$B$29:$B$40,MONTH(A5109)))))</f>
        <v/>
      </c>
    </row>
    <row r="5110" customFormat="false" ht="15" hidden="false" customHeight="false" outlineLevel="0" collapsed="false">
      <c r="H5110" s="0" t="str">
        <f aca="false">IF(B5110="","",IF(COUNTIF(Campaigns!$A$7:$A$300,B5110)&gt;0,"✓","⚠ add to Campaigns tab"))</f>
        <v/>
      </c>
      <c r="I5110" s="84" t="str">
        <f aca="false">IF(C5110="","",C5110*IF(Settings!$B$22=Settings!$C$6,1,IF(Settings!$B$22="USD",1/INDEX(Settings!$B$29:$B$40,MONTH(A5110)),INDEX(Settings!$B$29:$B$40,MONTH(A5110)))))</f>
        <v/>
      </c>
    </row>
    <row r="5111" customFormat="false" ht="15" hidden="false" customHeight="false" outlineLevel="0" collapsed="false">
      <c r="H5111" s="0" t="str">
        <f aca="false">IF(B5111="","",IF(COUNTIF(Campaigns!$A$7:$A$300,B5111)&gt;0,"✓","⚠ add to Campaigns tab"))</f>
        <v/>
      </c>
      <c r="I5111" s="84" t="str">
        <f aca="false">IF(C5111="","",C5111*IF(Settings!$B$22=Settings!$C$6,1,IF(Settings!$B$22="USD",1/INDEX(Settings!$B$29:$B$40,MONTH(A5111)),INDEX(Settings!$B$29:$B$40,MONTH(A5111)))))</f>
        <v/>
      </c>
    </row>
    <row r="5112" customFormat="false" ht="15" hidden="false" customHeight="false" outlineLevel="0" collapsed="false">
      <c r="H5112" s="0" t="str">
        <f aca="false">IF(B5112="","",IF(COUNTIF(Campaigns!$A$7:$A$300,B5112)&gt;0,"✓","⚠ add to Campaigns tab"))</f>
        <v/>
      </c>
      <c r="I5112" s="84" t="str">
        <f aca="false">IF(C5112="","",C5112*IF(Settings!$B$22=Settings!$C$6,1,IF(Settings!$B$22="USD",1/INDEX(Settings!$B$29:$B$40,MONTH(A5112)),INDEX(Settings!$B$29:$B$40,MONTH(A5112)))))</f>
        <v/>
      </c>
    </row>
    <row r="5113" customFormat="false" ht="15" hidden="false" customHeight="false" outlineLevel="0" collapsed="false">
      <c r="H5113" s="0" t="str">
        <f aca="false">IF(B5113="","",IF(COUNTIF(Campaigns!$A$7:$A$300,B5113)&gt;0,"✓","⚠ add to Campaigns tab"))</f>
        <v/>
      </c>
      <c r="I5113" s="84" t="str">
        <f aca="false">IF(C5113="","",C5113*IF(Settings!$B$22=Settings!$C$6,1,IF(Settings!$B$22="USD",1/INDEX(Settings!$B$29:$B$40,MONTH(A5113)),INDEX(Settings!$B$29:$B$40,MONTH(A5113)))))</f>
        <v/>
      </c>
    </row>
    <row r="5114" customFormat="false" ht="15" hidden="false" customHeight="false" outlineLevel="0" collapsed="false">
      <c r="H5114" s="0" t="str">
        <f aca="false">IF(B5114="","",IF(COUNTIF(Campaigns!$A$7:$A$300,B5114)&gt;0,"✓","⚠ add to Campaigns tab"))</f>
        <v/>
      </c>
      <c r="I5114" s="84" t="str">
        <f aca="false">IF(C5114="","",C5114*IF(Settings!$B$22=Settings!$C$6,1,IF(Settings!$B$22="USD",1/INDEX(Settings!$B$29:$B$40,MONTH(A5114)),INDEX(Settings!$B$29:$B$40,MONTH(A5114)))))</f>
        <v/>
      </c>
    </row>
    <row r="5115" customFormat="false" ht="15" hidden="false" customHeight="false" outlineLevel="0" collapsed="false">
      <c r="H5115" s="0" t="str">
        <f aca="false">IF(B5115="","",IF(COUNTIF(Campaigns!$A$7:$A$300,B5115)&gt;0,"✓","⚠ add to Campaigns tab"))</f>
        <v/>
      </c>
      <c r="I5115" s="84" t="str">
        <f aca="false">IF(C5115="","",C5115*IF(Settings!$B$22=Settings!$C$6,1,IF(Settings!$B$22="USD",1/INDEX(Settings!$B$29:$B$40,MONTH(A5115)),INDEX(Settings!$B$29:$B$40,MONTH(A5115)))))</f>
        <v/>
      </c>
    </row>
    <row r="5116" customFormat="false" ht="15" hidden="false" customHeight="false" outlineLevel="0" collapsed="false">
      <c r="H5116" s="0" t="str">
        <f aca="false">IF(B5116="","",IF(COUNTIF(Campaigns!$A$7:$A$300,B5116)&gt;0,"✓","⚠ add to Campaigns tab"))</f>
        <v/>
      </c>
      <c r="I5116" s="84" t="str">
        <f aca="false">IF(C5116="","",C5116*IF(Settings!$B$22=Settings!$C$6,1,IF(Settings!$B$22="USD",1/INDEX(Settings!$B$29:$B$40,MONTH(A5116)),INDEX(Settings!$B$29:$B$40,MONTH(A5116)))))</f>
        <v/>
      </c>
    </row>
    <row r="5117" customFormat="false" ht="15" hidden="false" customHeight="false" outlineLevel="0" collapsed="false">
      <c r="H5117" s="0" t="str">
        <f aca="false">IF(B5117="","",IF(COUNTIF(Campaigns!$A$7:$A$300,B5117)&gt;0,"✓","⚠ add to Campaigns tab"))</f>
        <v/>
      </c>
      <c r="I5117" s="84" t="str">
        <f aca="false">IF(C5117="","",C5117*IF(Settings!$B$22=Settings!$C$6,1,IF(Settings!$B$22="USD",1/INDEX(Settings!$B$29:$B$40,MONTH(A5117)),INDEX(Settings!$B$29:$B$40,MONTH(A5117)))))</f>
        <v/>
      </c>
    </row>
    <row r="5118" customFormat="false" ht="15" hidden="false" customHeight="false" outlineLevel="0" collapsed="false">
      <c r="H5118" s="0" t="str">
        <f aca="false">IF(B5118="","",IF(COUNTIF(Campaigns!$A$7:$A$300,B5118)&gt;0,"✓","⚠ add to Campaigns tab"))</f>
        <v/>
      </c>
      <c r="I5118" s="84" t="str">
        <f aca="false">IF(C5118="","",C5118*IF(Settings!$B$22=Settings!$C$6,1,IF(Settings!$B$22="USD",1/INDEX(Settings!$B$29:$B$40,MONTH(A5118)),INDEX(Settings!$B$29:$B$40,MONTH(A5118)))))</f>
        <v/>
      </c>
    </row>
    <row r="5119" customFormat="false" ht="15" hidden="false" customHeight="false" outlineLevel="0" collapsed="false">
      <c r="H5119" s="0" t="str">
        <f aca="false">IF(B5119="","",IF(COUNTIF(Campaigns!$A$7:$A$300,B5119)&gt;0,"✓","⚠ add to Campaigns tab"))</f>
        <v/>
      </c>
      <c r="I5119" s="84" t="str">
        <f aca="false">IF(C5119="","",C5119*IF(Settings!$B$22=Settings!$C$6,1,IF(Settings!$B$22="USD",1/INDEX(Settings!$B$29:$B$40,MONTH(A5119)),INDEX(Settings!$B$29:$B$40,MONTH(A5119)))))</f>
        <v/>
      </c>
    </row>
    <row r="5120" customFormat="false" ht="15" hidden="false" customHeight="false" outlineLevel="0" collapsed="false">
      <c r="H5120" s="0" t="str">
        <f aca="false">IF(B5120="","",IF(COUNTIF(Campaigns!$A$7:$A$300,B5120)&gt;0,"✓","⚠ add to Campaigns tab"))</f>
        <v/>
      </c>
      <c r="I5120" s="84" t="str">
        <f aca="false">IF(C5120="","",C5120*IF(Settings!$B$22=Settings!$C$6,1,IF(Settings!$B$22="USD",1/INDEX(Settings!$B$29:$B$40,MONTH(A5120)),INDEX(Settings!$B$29:$B$40,MONTH(A5120)))))</f>
        <v/>
      </c>
    </row>
    <row r="5121" customFormat="false" ht="15" hidden="false" customHeight="false" outlineLevel="0" collapsed="false">
      <c r="H5121" s="0" t="str">
        <f aca="false">IF(B5121="","",IF(COUNTIF(Campaigns!$A$7:$A$300,B5121)&gt;0,"✓","⚠ add to Campaigns tab"))</f>
        <v/>
      </c>
      <c r="I5121" s="84" t="str">
        <f aca="false">IF(C5121="","",C5121*IF(Settings!$B$22=Settings!$C$6,1,IF(Settings!$B$22="USD",1/INDEX(Settings!$B$29:$B$40,MONTH(A5121)),INDEX(Settings!$B$29:$B$40,MONTH(A5121)))))</f>
        <v/>
      </c>
    </row>
    <row r="5122" customFormat="false" ht="15" hidden="false" customHeight="false" outlineLevel="0" collapsed="false">
      <c r="H5122" s="0" t="str">
        <f aca="false">IF(B5122="","",IF(COUNTIF(Campaigns!$A$7:$A$300,B5122)&gt;0,"✓","⚠ add to Campaigns tab"))</f>
        <v/>
      </c>
      <c r="I5122" s="84" t="str">
        <f aca="false">IF(C5122="","",C5122*IF(Settings!$B$22=Settings!$C$6,1,IF(Settings!$B$22="USD",1/INDEX(Settings!$B$29:$B$40,MONTH(A5122)),INDEX(Settings!$B$29:$B$40,MONTH(A5122)))))</f>
        <v/>
      </c>
    </row>
    <row r="5123" customFormat="false" ht="15" hidden="false" customHeight="false" outlineLevel="0" collapsed="false">
      <c r="H5123" s="0" t="str">
        <f aca="false">IF(B5123="","",IF(COUNTIF(Campaigns!$A$7:$A$300,B5123)&gt;0,"✓","⚠ add to Campaigns tab"))</f>
        <v/>
      </c>
      <c r="I5123" s="84" t="str">
        <f aca="false">IF(C5123="","",C5123*IF(Settings!$B$22=Settings!$C$6,1,IF(Settings!$B$22="USD",1/INDEX(Settings!$B$29:$B$40,MONTH(A5123)),INDEX(Settings!$B$29:$B$40,MONTH(A5123)))))</f>
        <v/>
      </c>
    </row>
    <row r="5124" customFormat="false" ht="15" hidden="false" customHeight="false" outlineLevel="0" collapsed="false">
      <c r="H5124" s="0" t="str">
        <f aca="false">IF(B5124="","",IF(COUNTIF(Campaigns!$A$7:$A$300,B5124)&gt;0,"✓","⚠ add to Campaigns tab"))</f>
        <v/>
      </c>
      <c r="I5124" s="84" t="str">
        <f aca="false">IF(C5124="","",C5124*IF(Settings!$B$22=Settings!$C$6,1,IF(Settings!$B$22="USD",1/INDEX(Settings!$B$29:$B$40,MONTH(A5124)),INDEX(Settings!$B$29:$B$40,MONTH(A5124)))))</f>
        <v/>
      </c>
    </row>
    <row r="5125" customFormat="false" ht="15" hidden="false" customHeight="false" outlineLevel="0" collapsed="false">
      <c r="H5125" s="0" t="str">
        <f aca="false">IF(B5125="","",IF(COUNTIF(Campaigns!$A$7:$A$300,B5125)&gt;0,"✓","⚠ add to Campaigns tab"))</f>
        <v/>
      </c>
      <c r="I5125" s="84" t="str">
        <f aca="false">IF(C5125="","",C5125*IF(Settings!$B$22=Settings!$C$6,1,IF(Settings!$B$22="USD",1/INDEX(Settings!$B$29:$B$40,MONTH(A5125)),INDEX(Settings!$B$29:$B$40,MONTH(A5125)))))</f>
        <v/>
      </c>
    </row>
    <row r="5126" customFormat="false" ht="15" hidden="false" customHeight="false" outlineLevel="0" collapsed="false">
      <c r="H5126" s="0" t="str">
        <f aca="false">IF(B5126="","",IF(COUNTIF(Campaigns!$A$7:$A$300,B5126)&gt;0,"✓","⚠ add to Campaigns tab"))</f>
        <v/>
      </c>
      <c r="I5126" s="84" t="str">
        <f aca="false">IF(C5126="","",C5126*IF(Settings!$B$22=Settings!$C$6,1,IF(Settings!$B$22="USD",1/INDEX(Settings!$B$29:$B$40,MONTH(A5126)),INDEX(Settings!$B$29:$B$40,MONTH(A5126)))))</f>
        <v/>
      </c>
    </row>
    <row r="5127" customFormat="false" ht="15" hidden="false" customHeight="false" outlineLevel="0" collapsed="false">
      <c r="H5127" s="0" t="str">
        <f aca="false">IF(B5127="","",IF(COUNTIF(Campaigns!$A$7:$A$300,B5127)&gt;0,"✓","⚠ add to Campaigns tab"))</f>
        <v/>
      </c>
      <c r="I5127" s="84" t="str">
        <f aca="false">IF(C5127="","",C5127*IF(Settings!$B$22=Settings!$C$6,1,IF(Settings!$B$22="USD",1/INDEX(Settings!$B$29:$B$40,MONTH(A5127)),INDEX(Settings!$B$29:$B$40,MONTH(A5127)))))</f>
        <v/>
      </c>
    </row>
    <row r="5128" customFormat="false" ht="15" hidden="false" customHeight="false" outlineLevel="0" collapsed="false">
      <c r="H5128" s="0" t="str">
        <f aca="false">IF(B5128="","",IF(COUNTIF(Campaigns!$A$7:$A$300,B5128)&gt;0,"✓","⚠ add to Campaigns tab"))</f>
        <v/>
      </c>
      <c r="I5128" s="84" t="str">
        <f aca="false">IF(C5128="","",C5128*IF(Settings!$B$22=Settings!$C$6,1,IF(Settings!$B$22="USD",1/INDEX(Settings!$B$29:$B$40,MONTH(A5128)),INDEX(Settings!$B$29:$B$40,MONTH(A5128)))))</f>
        <v/>
      </c>
    </row>
    <row r="5129" customFormat="false" ht="15" hidden="false" customHeight="false" outlineLevel="0" collapsed="false">
      <c r="H5129" s="0" t="str">
        <f aca="false">IF(B5129="","",IF(COUNTIF(Campaigns!$A$7:$A$300,B5129)&gt;0,"✓","⚠ add to Campaigns tab"))</f>
        <v/>
      </c>
      <c r="I5129" s="84" t="str">
        <f aca="false">IF(C5129="","",C5129*IF(Settings!$B$22=Settings!$C$6,1,IF(Settings!$B$22="USD",1/INDEX(Settings!$B$29:$B$40,MONTH(A5129)),INDEX(Settings!$B$29:$B$40,MONTH(A5129)))))</f>
        <v/>
      </c>
    </row>
    <row r="5130" customFormat="false" ht="15" hidden="false" customHeight="false" outlineLevel="0" collapsed="false">
      <c r="H5130" s="0" t="str">
        <f aca="false">IF(B5130="","",IF(COUNTIF(Campaigns!$A$7:$A$300,B5130)&gt;0,"✓","⚠ add to Campaigns tab"))</f>
        <v/>
      </c>
      <c r="I5130" s="84" t="str">
        <f aca="false">IF(C5130="","",C5130*IF(Settings!$B$22=Settings!$C$6,1,IF(Settings!$B$22="USD",1/INDEX(Settings!$B$29:$B$40,MONTH(A5130)),INDEX(Settings!$B$29:$B$40,MONTH(A5130)))))</f>
        <v/>
      </c>
    </row>
    <row r="5131" customFormat="false" ht="15" hidden="false" customHeight="false" outlineLevel="0" collapsed="false">
      <c r="H5131" s="0" t="str">
        <f aca="false">IF(B5131="","",IF(COUNTIF(Campaigns!$A$7:$A$300,B5131)&gt;0,"✓","⚠ add to Campaigns tab"))</f>
        <v/>
      </c>
      <c r="I5131" s="84" t="str">
        <f aca="false">IF(C5131="","",C5131*IF(Settings!$B$22=Settings!$C$6,1,IF(Settings!$B$22="USD",1/INDEX(Settings!$B$29:$B$40,MONTH(A5131)),INDEX(Settings!$B$29:$B$40,MONTH(A5131)))))</f>
        <v/>
      </c>
    </row>
    <row r="5132" customFormat="false" ht="15" hidden="false" customHeight="false" outlineLevel="0" collapsed="false">
      <c r="H5132" s="0" t="str">
        <f aca="false">IF(B5132="","",IF(COUNTIF(Campaigns!$A$7:$A$300,B5132)&gt;0,"✓","⚠ add to Campaigns tab"))</f>
        <v/>
      </c>
      <c r="I5132" s="84" t="str">
        <f aca="false">IF(C5132="","",C5132*IF(Settings!$B$22=Settings!$C$6,1,IF(Settings!$B$22="USD",1/INDEX(Settings!$B$29:$B$40,MONTH(A5132)),INDEX(Settings!$B$29:$B$40,MONTH(A5132)))))</f>
        <v/>
      </c>
    </row>
    <row r="5133" customFormat="false" ht="15" hidden="false" customHeight="false" outlineLevel="0" collapsed="false">
      <c r="H5133" s="0" t="str">
        <f aca="false">IF(B5133="","",IF(COUNTIF(Campaigns!$A$7:$A$300,B5133)&gt;0,"✓","⚠ add to Campaigns tab"))</f>
        <v/>
      </c>
      <c r="I5133" s="84" t="str">
        <f aca="false">IF(C5133="","",C5133*IF(Settings!$B$22=Settings!$C$6,1,IF(Settings!$B$22="USD",1/INDEX(Settings!$B$29:$B$40,MONTH(A5133)),INDEX(Settings!$B$29:$B$40,MONTH(A5133)))))</f>
        <v/>
      </c>
    </row>
    <row r="5134" customFormat="false" ht="15" hidden="false" customHeight="false" outlineLevel="0" collapsed="false">
      <c r="H5134" s="0" t="str">
        <f aca="false">IF(B5134="","",IF(COUNTIF(Campaigns!$A$7:$A$300,B5134)&gt;0,"✓","⚠ add to Campaigns tab"))</f>
        <v/>
      </c>
      <c r="I5134" s="84" t="str">
        <f aca="false">IF(C5134="","",C5134*IF(Settings!$B$22=Settings!$C$6,1,IF(Settings!$B$22="USD",1/INDEX(Settings!$B$29:$B$40,MONTH(A5134)),INDEX(Settings!$B$29:$B$40,MONTH(A5134)))))</f>
        <v/>
      </c>
    </row>
    <row r="5135" customFormat="false" ht="15" hidden="false" customHeight="false" outlineLevel="0" collapsed="false">
      <c r="H5135" s="0" t="str">
        <f aca="false">IF(B5135="","",IF(COUNTIF(Campaigns!$A$7:$A$300,B5135)&gt;0,"✓","⚠ add to Campaigns tab"))</f>
        <v/>
      </c>
      <c r="I5135" s="84" t="str">
        <f aca="false">IF(C5135="","",C5135*IF(Settings!$B$22=Settings!$C$6,1,IF(Settings!$B$22="USD",1/INDEX(Settings!$B$29:$B$40,MONTH(A5135)),INDEX(Settings!$B$29:$B$40,MONTH(A5135)))))</f>
        <v/>
      </c>
    </row>
    <row r="5136" customFormat="false" ht="15" hidden="false" customHeight="false" outlineLevel="0" collapsed="false">
      <c r="H5136" s="0" t="str">
        <f aca="false">IF(B5136="","",IF(COUNTIF(Campaigns!$A$7:$A$300,B5136)&gt;0,"✓","⚠ add to Campaigns tab"))</f>
        <v/>
      </c>
      <c r="I5136" s="84" t="str">
        <f aca="false">IF(C5136="","",C5136*IF(Settings!$B$22=Settings!$C$6,1,IF(Settings!$B$22="USD",1/INDEX(Settings!$B$29:$B$40,MONTH(A5136)),INDEX(Settings!$B$29:$B$40,MONTH(A5136)))))</f>
        <v/>
      </c>
    </row>
    <row r="5137" customFormat="false" ht="15" hidden="false" customHeight="false" outlineLevel="0" collapsed="false">
      <c r="H5137" s="0" t="str">
        <f aca="false">IF(B5137="","",IF(COUNTIF(Campaigns!$A$7:$A$300,B5137)&gt;0,"✓","⚠ add to Campaigns tab"))</f>
        <v/>
      </c>
      <c r="I5137" s="84" t="str">
        <f aca="false">IF(C5137="","",C5137*IF(Settings!$B$22=Settings!$C$6,1,IF(Settings!$B$22="USD",1/INDEX(Settings!$B$29:$B$40,MONTH(A5137)),INDEX(Settings!$B$29:$B$40,MONTH(A5137)))))</f>
        <v/>
      </c>
    </row>
    <row r="5138" customFormat="false" ht="15" hidden="false" customHeight="false" outlineLevel="0" collapsed="false">
      <c r="H5138" s="0" t="str">
        <f aca="false">IF(B5138="","",IF(COUNTIF(Campaigns!$A$7:$A$300,B5138)&gt;0,"✓","⚠ add to Campaigns tab"))</f>
        <v/>
      </c>
      <c r="I5138" s="84" t="str">
        <f aca="false">IF(C5138="","",C5138*IF(Settings!$B$22=Settings!$C$6,1,IF(Settings!$B$22="USD",1/INDEX(Settings!$B$29:$B$40,MONTH(A5138)),INDEX(Settings!$B$29:$B$40,MONTH(A5138)))))</f>
        <v/>
      </c>
    </row>
    <row r="5139" customFormat="false" ht="15" hidden="false" customHeight="false" outlineLevel="0" collapsed="false">
      <c r="H5139" s="0" t="str">
        <f aca="false">IF(B5139="","",IF(COUNTIF(Campaigns!$A$7:$A$300,B5139)&gt;0,"✓","⚠ add to Campaigns tab"))</f>
        <v/>
      </c>
      <c r="I5139" s="84" t="str">
        <f aca="false">IF(C5139="","",C5139*IF(Settings!$B$22=Settings!$C$6,1,IF(Settings!$B$22="USD",1/INDEX(Settings!$B$29:$B$40,MONTH(A5139)),INDEX(Settings!$B$29:$B$40,MONTH(A5139)))))</f>
        <v/>
      </c>
    </row>
    <row r="5140" customFormat="false" ht="15" hidden="false" customHeight="false" outlineLevel="0" collapsed="false">
      <c r="H5140" s="0" t="str">
        <f aca="false">IF(B5140="","",IF(COUNTIF(Campaigns!$A$7:$A$300,B5140)&gt;0,"✓","⚠ add to Campaigns tab"))</f>
        <v/>
      </c>
      <c r="I5140" s="84" t="str">
        <f aca="false">IF(C5140="","",C5140*IF(Settings!$B$22=Settings!$C$6,1,IF(Settings!$B$22="USD",1/INDEX(Settings!$B$29:$B$40,MONTH(A5140)),INDEX(Settings!$B$29:$B$40,MONTH(A5140)))))</f>
        <v/>
      </c>
    </row>
    <row r="5141" customFormat="false" ht="15" hidden="false" customHeight="false" outlineLevel="0" collapsed="false">
      <c r="H5141" s="0" t="str">
        <f aca="false">IF(B5141="","",IF(COUNTIF(Campaigns!$A$7:$A$300,B5141)&gt;0,"✓","⚠ add to Campaigns tab"))</f>
        <v/>
      </c>
      <c r="I5141" s="84" t="str">
        <f aca="false">IF(C5141="","",C5141*IF(Settings!$B$22=Settings!$C$6,1,IF(Settings!$B$22="USD",1/INDEX(Settings!$B$29:$B$40,MONTH(A5141)),INDEX(Settings!$B$29:$B$40,MONTH(A5141)))))</f>
        <v/>
      </c>
    </row>
    <row r="5142" customFormat="false" ht="15" hidden="false" customHeight="false" outlineLevel="0" collapsed="false">
      <c r="H5142" s="0" t="str">
        <f aca="false">IF(B5142="","",IF(COUNTIF(Campaigns!$A$7:$A$300,B5142)&gt;0,"✓","⚠ add to Campaigns tab"))</f>
        <v/>
      </c>
      <c r="I5142" s="84" t="str">
        <f aca="false">IF(C5142="","",C5142*IF(Settings!$B$22=Settings!$C$6,1,IF(Settings!$B$22="USD",1/INDEX(Settings!$B$29:$B$40,MONTH(A5142)),INDEX(Settings!$B$29:$B$40,MONTH(A5142)))))</f>
        <v/>
      </c>
    </row>
    <row r="5143" customFormat="false" ht="15" hidden="false" customHeight="false" outlineLevel="0" collapsed="false">
      <c r="H5143" s="0" t="str">
        <f aca="false">IF(B5143="","",IF(COUNTIF(Campaigns!$A$7:$A$300,B5143)&gt;0,"✓","⚠ add to Campaigns tab"))</f>
        <v/>
      </c>
      <c r="I5143" s="84" t="str">
        <f aca="false">IF(C5143="","",C5143*IF(Settings!$B$22=Settings!$C$6,1,IF(Settings!$B$22="USD",1/INDEX(Settings!$B$29:$B$40,MONTH(A5143)),INDEX(Settings!$B$29:$B$40,MONTH(A5143)))))</f>
        <v/>
      </c>
    </row>
    <row r="5144" customFormat="false" ht="15" hidden="false" customHeight="false" outlineLevel="0" collapsed="false">
      <c r="H5144" s="0" t="str">
        <f aca="false">IF(B5144="","",IF(COUNTIF(Campaigns!$A$7:$A$300,B5144)&gt;0,"✓","⚠ add to Campaigns tab"))</f>
        <v/>
      </c>
      <c r="I5144" s="84" t="str">
        <f aca="false">IF(C5144="","",C5144*IF(Settings!$B$22=Settings!$C$6,1,IF(Settings!$B$22="USD",1/INDEX(Settings!$B$29:$B$40,MONTH(A5144)),INDEX(Settings!$B$29:$B$40,MONTH(A5144)))))</f>
        <v/>
      </c>
    </row>
    <row r="5145" customFormat="false" ht="15" hidden="false" customHeight="false" outlineLevel="0" collapsed="false">
      <c r="H5145" s="0" t="str">
        <f aca="false">IF(B5145="","",IF(COUNTIF(Campaigns!$A$7:$A$300,B5145)&gt;0,"✓","⚠ add to Campaigns tab"))</f>
        <v/>
      </c>
      <c r="I5145" s="84" t="str">
        <f aca="false">IF(C5145="","",C5145*IF(Settings!$B$22=Settings!$C$6,1,IF(Settings!$B$22="USD",1/INDEX(Settings!$B$29:$B$40,MONTH(A5145)),INDEX(Settings!$B$29:$B$40,MONTH(A5145)))))</f>
        <v/>
      </c>
    </row>
    <row r="5146" customFormat="false" ht="15" hidden="false" customHeight="false" outlineLevel="0" collapsed="false">
      <c r="H5146" s="0" t="str">
        <f aca="false">IF(B5146="","",IF(COUNTIF(Campaigns!$A$7:$A$300,B5146)&gt;0,"✓","⚠ add to Campaigns tab"))</f>
        <v/>
      </c>
      <c r="I5146" s="84" t="str">
        <f aca="false">IF(C5146="","",C5146*IF(Settings!$B$22=Settings!$C$6,1,IF(Settings!$B$22="USD",1/INDEX(Settings!$B$29:$B$40,MONTH(A5146)),INDEX(Settings!$B$29:$B$40,MONTH(A5146)))))</f>
        <v/>
      </c>
    </row>
    <row r="5147" customFormat="false" ht="15" hidden="false" customHeight="false" outlineLevel="0" collapsed="false">
      <c r="H5147" s="0" t="str">
        <f aca="false">IF(B5147="","",IF(COUNTIF(Campaigns!$A$7:$A$300,B5147)&gt;0,"✓","⚠ add to Campaigns tab"))</f>
        <v/>
      </c>
      <c r="I5147" s="84" t="str">
        <f aca="false">IF(C5147="","",C5147*IF(Settings!$B$22=Settings!$C$6,1,IF(Settings!$B$22="USD",1/INDEX(Settings!$B$29:$B$40,MONTH(A5147)),INDEX(Settings!$B$29:$B$40,MONTH(A5147)))))</f>
        <v/>
      </c>
    </row>
    <row r="5148" customFormat="false" ht="15" hidden="false" customHeight="false" outlineLevel="0" collapsed="false">
      <c r="H5148" s="0" t="str">
        <f aca="false">IF(B5148="","",IF(COUNTIF(Campaigns!$A$7:$A$300,B5148)&gt;0,"✓","⚠ add to Campaigns tab"))</f>
        <v/>
      </c>
      <c r="I5148" s="84" t="str">
        <f aca="false">IF(C5148="","",C5148*IF(Settings!$B$22=Settings!$C$6,1,IF(Settings!$B$22="USD",1/INDEX(Settings!$B$29:$B$40,MONTH(A5148)),INDEX(Settings!$B$29:$B$40,MONTH(A5148)))))</f>
        <v/>
      </c>
    </row>
    <row r="5149" customFormat="false" ht="15" hidden="false" customHeight="false" outlineLevel="0" collapsed="false">
      <c r="H5149" s="0" t="str">
        <f aca="false">IF(B5149="","",IF(COUNTIF(Campaigns!$A$7:$A$300,B5149)&gt;0,"✓","⚠ add to Campaigns tab"))</f>
        <v/>
      </c>
      <c r="I5149" s="84" t="str">
        <f aca="false">IF(C5149="","",C5149*IF(Settings!$B$22=Settings!$C$6,1,IF(Settings!$B$22="USD",1/INDEX(Settings!$B$29:$B$40,MONTH(A5149)),INDEX(Settings!$B$29:$B$40,MONTH(A5149)))))</f>
        <v/>
      </c>
    </row>
    <row r="5150" customFormat="false" ht="15" hidden="false" customHeight="false" outlineLevel="0" collapsed="false">
      <c r="H5150" s="0" t="str">
        <f aca="false">IF(B5150="","",IF(COUNTIF(Campaigns!$A$7:$A$300,B5150)&gt;0,"✓","⚠ add to Campaigns tab"))</f>
        <v/>
      </c>
      <c r="I5150" s="84" t="str">
        <f aca="false">IF(C5150="","",C5150*IF(Settings!$B$22=Settings!$C$6,1,IF(Settings!$B$22="USD",1/INDEX(Settings!$B$29:$B$40,MONTH(A5150)),INDEX(Settings!$B$29:$B$40,MONTH(A5150)))))</f>
        <v/>
      </c>
    </row>
    <row r="5151" customFormat="false" ht="15" hidden="false" customHeight="false" outlineLevel="0" collapsed="false">
      <c r="H5151" s="0" t="str">
        <f aca="false">IF(B5151="","",IF(COUNTIF(Campaigns!$A$7:$A$300,B5151)&gt;0,"✓","⚠ add to Campaigns tab"))</f>
        <v/>
      </c>
      <c r="I5151" s="84" t="str">
        <f aca="false">IF(C5151="","",C5151*IF(Settings!$B$22=Settings!$C$6,1,IF(Settings!$B$22="USD",1/INDEX(Settings!$B$29:$B$40,MONTH(A5151)),INDEX(Settings!$B$29:$B$40,MONTH(A5151)))))</f>
        <v/>
      </c>
    </row>
    <row r="5152" customFormat="false" ht="15" hidden="false" customHeight="false" outlineLevel="0" collapsed="false">
      <c r="H5152" s="0" t="str">
        <f aca="false">IF(B5152="","",IF(COUNTIF(Campaigns!$A$7:$A$300,B5152)&gt;0,"✓","⚠ add to Campaigns tab"))</f>
        <v/>
      </c>
      <c r="I5152" s="84" t="str">
        <f aca="false">IF(C5152="","",C5152*IF(Settings!$B$22=Settings!$C$6,1,IF(Settings!$B$22="USD",1/INDEX(Settings!$B$29:$B$40,MONTH(A5152)),INDEX(Settings!$B$29:$B$40,MONTH(A5152)))))</f>
        <v/>
      </c>
    </row>
    <row r="5153" customFormat="false" ht="15" hidden="false" customHeight="false" outlineLevel="0" collapsed="false">
      <c r="H5153" s="0" t="str">
        <f aca="false">IF(B5153="","",IF(COUNTIF(Campaigns!$A$7:$A$300,B5153)&gt;0,"✓","⚠ add to Campaigns tab"))</f>
        <v/>
      </c>
      <c r="I5153" s="84" t="str">
        <f aca="false">IF(C5153="","",C5153*IF(Settings!$B$22=Settings!$C$6,1,IF(Settings!$B$22="USD",1/INDEX(Settings!$B$29:$B$40,MONTH(A5153)),INDEX(Settings!$B$29:$B$40,MONTH(A5153)))))</f>
        <v/>
      </c>
    </row>
    <row r="5154" customFormat="false" ht="15" hidden="false" customHeight="false" outlineLevel="0" collapsed="false">
      <c r="H5154" s="0" t="str">
        <f aca="false">IF(B5154="","",IF(COUNTIF(Campaigns!$A$7:$A$300,B5154)&gt;0,"✓","⚠ add to Campaigns tab"))</f>
        <v/>
      </c>
      <c r="I5154" s="84" t="str">
        <f aca="false">IF(C5154="","",C5154*IF(Settings!$B$22=Settings!$C$6,1,IF(Settings!$B$22="USD",1/INDEX(Settings!$B$29:$B$40,MONTH(A5154)),INDEX(Settings!$B$29:$B$40,MONTH(A5154)))))</f>
        <v/>
      </c>
    </row>
    <row r="5155" customFormat="false" ht="15" hidden="false" customHeight="false" outlineLevel="0" collapsed="false">
      <c r="H5155" s="0" t="str">
        <f aca="false">IF(B5155="","",IF(COUNTIF(Campaigns!$A$7:$A$300,B5155)&gt;0,"✓","⚠ add to Campaigns tab"))</f>
        <v/>
      </c>
      <c r="I5155" s="84" t="str">
        <f aca="false">IF(C5155="","",C5155*IF(Settings!$B$22=Settings!$C$6,1,IF(Settings!$B$22="USD",1/INDEX(Settings!$B$29:$B$40,MONTH(A5155)),INDEX(Settings!$B$29:$B$40,MONTH(A5155)))))</f>
        <v/>
      </c>
    </row>
    <row r="5156" customFormat="false" ht="15" hidden="false" customHeight="false" outlineLevel="0" collapsed="false">
      <c r="H5156" s="0" t="str">
        <f aca="false">IF(B5156="","",IF(COUNTIF(Campaigns!$A$7:$A$300,B5156)&gt;0,"✓","⚠ add to Campaigns tab"))</f>
        <v/>
      </c>
      <c r="I5156" s="84" t="str">
        <f aca="false">IF(C5156="","",C5156*IF(Settings!$B$22=Settings!$C$6,1,IF(Settings!$B$22="USD",1/INDEX(Settings!$B$29:$B$40,MONTH(A5156)),INDEX(Settings!$B$29:$B$40,MONTH(A5156)))))</f>
        <v/>
      </c>
    </row>
    <row r="5157" customFormat="false" ht="15" hidden="false" customHeight="false" outlineLevel="0" collapsed="false">
      <c r="H5157" s="0" t="str">
        <f aca="false">IF(B5157="","",IF(COUNTIF(Campaigns!$A$7:$A$300,B5157)&gt;0,"✓","⚠ add to Campaigns tab"))</f>
        <v/>
      </c>
      <c r="I5157" s="84" t="str">
        <f aca="false">IF(C5157="","",C5157*IF(Settings!$B$22=Settings!$C$6,1,IF(Settings!$B$22="USD",1/INDEX(Settings!$B$29:$B$40,MONTH(A5157)),INDEX(Settings!$B$29:$B$40,MONTH(A5157)))))</f>
        <v/>
      </c>
    </row>
    <row r="5158" customFormat="false" ht="15" hidden="false" customHeight="false" outlineLevel="0" collapsed="false">
      <c r="H5158" s="0" t="str">
        <f aca="false">IF(B5158="","",IF(COUNTIF(Campaigns!$A$7:$A$300,B5158)&gt;0,"✓","⚠ add to Campaigns tab"))</f>
        <v/>
      </c>
      <c r="I5158" s="84" t="str">
        <f aca="false">IF(C5158="","",C5158*IF(Settings!$B$22=Settings!$C$6,1,IF(Settings!$B$22="USD",1/INDEX(Settings!$B$29:$B$40,MONTH(A5158)),INDEX(Settings!$B$29:$B$40,MONTH(A5158)))))</f>
        <v/>
      </c>
    </row>
    <row r="5159" customFormat="false" ht="15" hidden="false" customHeight="false" outlineLevel="0" collapsed="false">
      <c r="H5159" s="0" t="str">
        <f aca="false">IF(B5159="","",IF(COUNTIF(Campaigns!$A$7:$A$300,B5159)&gt;0,"✓","⚠ add to Campaigns tab"))</f>
        <v/>
      </c>
      <c r="I5159" s="84" t="str">
        <f aca="false">IF(C5159="","",C5159*IF(Settings!$B$22=Settings!$C$6,1,IF(Settings!$B$22="USD",1/INDEX(Settings!$B$29:$B$40,MONTH(A5159)),INDEX(Settings!$B$29:$B$40,MONTH(A5159)))))</f>
        <v/>
      </c>
    </row>
    <row r="5160" customFormat="false" ht="15" hidden="false" customHeight="false" outlineLevel="0" collapsed="false">
      <c r="H5160" s="0" t="str">
        <f aca="false">IF(B5160="","",IF(COUNTIF(Campaigns!$A$7:$A$300,B5160)&gt;0,"✓","⚠ add to Campaigns tab"))</f>
        <v/>
      </c>
      <c r="I5160" s="84" t="str">
        <f aca="false">IF(C5160="","",C5160*IF(Settings!$B$22=Settings!$C$6,1,IF(Settings!$B$22="USD",1/INDEX(Settings!$B$29:$B$40,MONTH(A5160)),INDEX(Settings!$B$29:$B$40,MONTH(A5160)))))</f>
        <v/>
      </c>
    </row>
    <row r="5161" customFormat="false" ht="15" hidden="false" customHeight="false" outlineLevel="0" collapsed="false">
      <c r="H5161" s="0" t="str">
        <f aca="false">IF(B5161="","",IF(COUNTIF(Campaigns!$A$7:$A$300,B5161)&gt;0,"✓","⚠ add to Campaigns tab"))</f>
        <v/>
      </c>
      <c r="I5161" s="84" t="str">
        <f aca="false">IF(C5161="","",C5161*IF(Settings!$B$22=Settings!$C$6,1,IF(Settings!$B$22="USD",1/INDEX(Settings!$B$29:$B$40,MONTH(A5161)),INDEX(Settings!$B$29:$B$40,MONTH(A5161)))))</f>
        <v/>
      </c>
    </row>
    <row r="5162" customFormat="false" ht="15" hidden="false" customHeight="false" outlineLevel="0" collapsed="false">
      <c r="H5162" s="0" t="str">
        <f aca="false">IF(B5162="","",IF(COUNTIF(Campaigns!$A$7:$A$300,B5162)&gt;0,"✓","⚠ add to Campaigns tab"))</f>
        <v/>
      </c>
      <c r="I5162" s="84" t="str">
        <f aca="false">IF(C5162="","",C5162*IF(Settings!$B$22=Settings!$C$6,1,IF(Settings!$B$22="USD",1/INDEX(Settings!$B$29:$B$40,MONTH(A5162)),INDEX(Settings!$B$29:$B$40,MONTH(A5162)))))</f>
        <v/>
      </c>
    </row>
    <row r="5163" customFormat="false" ht="15" hidden="false" customHeight="false" outlineLevel="0" collapsed="false">
      <c r="H5163" s="0" t="str">
        <f aca="false">IF(B5163="","",IF(COUNTIF(Campaigns!$A$7:$A$300,B5163)&gt;0,"✓","⚠ add to Campaigns tab"))</f>
        <v/>
      </c>
      <c r="I5163" s="84" t="str">
        <f aca="false">IF(C5163="","",C5163*IF(Settings!$B$22=Settings!$C$6,1,IF(Settings!$B$22="USD",1/INDEX(Settings!$B$29:$B$40,MONTH(A5163)),INDEX(Settings!$B$29:$B$40,MONTH(A5163)))))</f>
        <v/>
      </c>
    </row>
    <row r="5164" customFormat="false" ht="15" hidden="false" customHeight="false" outlineLevel="0" collapsed="false">
      <c r="H5164" s="0" t="str">
        <f aca="false">IF(B5164="","",IF(COUNTIF(Campaigns!$A$7:$A$300,B5164)&gt;0,"✓","⚠ add to Campaigns tab"))</f>
        <v/>
      </c>
      <c r="I5164" s="84" t="str">
        <f aca="false">IF(C5164="","",C5164*IF(Settings!$B$22=Settings!$C$6,1,IF(Settings!$B$22="USD",1/INDEX(Settings!$B$29:$B$40,MONTH(A5164)),INDEX(Settings!$B$29:$B$40,MONTH(A5164)))))</f>
        <v/>
      </c>
    </row>
    <row r="5165" customFormat="false" ht="15" hidden="false" customHeight="false" outlineLevel="0" collapsed="false">
      <c r="H5165" s="0" t="str">
        <f aca="false">IF(B5165="","",IF(COUNTIF(Campaigns!$A$7:$A$300,B5165)&gt;0,"✓","⚠ add to Campaigns tab"))</f>
        <v/>
      </c>
      <c r="I5165" s="84" t="str">
        <f aca="false">IF(C5165="","",C5165*IF(Settings!$B$22=Settings!$C$6,1,IF(Settings!$B$22="USD",1/INDEX(Settings!$B$29:$B$40,MONTH(A5165)),INDEX(Settings!$B$29:$B$40,MONTH(A5165)))))</f>
        <v/>
      </c>
    </row>
    <row r="5166" customFormat="false" ht="15" hidden="false" customHeight="false" outlineLevel="0" collapsed="false">
      <c r="H5166" s="0" t="str">
        <f aca="false">IF(B5166="","",IF(COUNTIF(Campaigns!$A$7:$A$300,B5166)&gt;0,"✓","⚠ add to Campaigns tab"))</f>
        <v/>
      </c>
      <c r="I5166" s="84" t="str">
        <f aca="false">IF(C5166="","",C5166*IF(Settings!$B$22=Settings!$C$6,1,IF(Settings!$B$22="USD",1/INDEX(Settings!$B$29:$B$40,MONTH(A5166)),INDEX(Settings!$B$29:$B$40,MONTH(A5166)))))</f>
        <v/>
      </c>
    </row>
    <row r="5167" customFormat="false" ht="15" hidden="false" customHeight="false" outlineLevel="0" collapsed="false">
      <c r="H5167" s="0" t="str">
        <f aca="false">IF(B5167="","",IF(COUNTIF(Campaigns!$A$7:$A$300,B5167)&gt;0,"✓","⚠ add to Campaigns tab"))</f>
        <v/>
      </c>
      <c r="I5167" s="84" t="str">
        <f aca="false">IF(C5167="","",C5167*IF(Settings!$B$22=Settings!$C$6,1,IF(Settings!$B$22="USD",1/INDEX(Settings!$B$29:$B$40,MONTH(A5167)),INDEX(Settings!$B$29:$B$40,MONTH(A5167)))))</f>
        <v/>
      </c>
    </row>
    <row r="5168" customFormat="false" ht="15" hidden="false" customHeight="false" outlineLevel="0" collapsed="false">
      <c r="H5168" s="0" t="str">
        <f aca="false">IF(B5168="","",IF(COUNTIF(Campaigns!$A$7:$A$300,B5168)&gt;0,"✓","⚠ add to Campaigns tab"))</f>
        <v/>
      </c>
      <c r="I5168" s="84" t="str">
        <f aca="false">IF(C5168="","",C5168*IF(Settings!$B$22=Settings!$C$6,1,IF(Settings!$B$22="USD",1/INDEX(Settings!$B$29:$B$40,MONTH(A5168)),INDEX(Settings!$B$29:$B$40,MONTH(A5168)))))</f>
        <v/>
      </c>
    </row>
    <row r="5169" customFormat="false" ht="15" hidden="false" customHeight="false" outlineLevel="0" collapsed="false">
      <c r="H5169" s="0" t="str">
        <f aca="false">IF(B5169="","",IF(COUNTIF(Campaigns!$A$7:$A$300,B5169)&gt;0,"✓","⚠ add to Campaigns tab"))</f>
        <v/>
      </c>
      <c r="I5169" s="84" t="str">
        <f aca="false">IF(C5169="","",C5169*IF(Settings!$B$22=Settings!$C$6,1,IF(Settings!$B$22="USD",1/INDEX(Settings!$B$29:$B$40,MONTH(A5169)),INDEX(Settings!$B$29:$B$40,MONTH(A5169)))))</f>
        <v/>
      </c>
    </row>
    <row r="5170" customFormat="false" ht="15" hidden="false" customHeight="false" outlineLevel="0" collapsed="false">
      <c r="H5170" s="0" t="str">
        <f aca="false">IF(B5170="","",IF(COUNTIF(Campaigns!$A$7:$A$300,B5170)&gt;0,"✓","⚠ add to Campaigns tab"))</f>
        <v/>
      </c>
      <c r="I5170" s="84" t="str">
        <f aca="false">IF(C5170="","",C5170*IF(Settings!$B$22=Settings!$C$6,1,IF(Settings!$B$22="USD",1/INDEX(Settings!$B$29:$B$40,MONTH(A5170)),INDEX(Settings!$B$29:$B$40,MONTH(A5170)))))</f>
        <v/>
      </c>
    </row>
    <row r="5171" customFormat="false" ht="15" hidden="false" customHeight="false" outlineLevel="0" collapsed="false">
      <c r="H5171" s="0" t="str">
        <f aca="false">IF(B5171="","",IF(COUNTIF(Campaigns!$A$7:$A$300,B5171)&gt;0,"✓","⚠ add to Campaigns tab"))</f>
        <v/>
      </c>
      <c r="I5171" s="84" t="str">
        <f aca="false">IF(C5171="","",C5171*IF(Settings!$B$22=Settings!$C$6,1,IF(Settings!$B$22="USD",1/INDEX(Settings!$B$29:$B$40,MONTH(A5171)),INDEX(Settings!$B$29:$B$40,MONTH(A5171)))))</f>
        <v/>
      </c>
    </row>
    <row r="5172" customFormat="false" ht="15" hidden="false" customHeight="false" outlineLevel="0" collapsed="false">
      <c r="H5172" s="0" t="str">
        <f aca="false">IF(B5172="","",IF(COUNTIF(Campaigns!$A$7:$A$300,B5172)&gt;0,"✓","⚠ add to Campaigns tab"))</f>
        <v/>
      </c>
      <c r="I5172" s="84" t="str">
        <f aca="false">IF(C5172="","",C5172*IF(Settings!$B$22=Settings!$C$6,1,IF(Settings!$B$22="USD",1/INDEX(Settings!$B$29:$B$40,MONTH(A5172)),INDEX(Settings!$B$29:$B$40,MONTH(A5172)))))</f>
        <v/>
      </c>
    </row>
    <row r="5173" customFormat="false" ht="15" hidden="false" customHeight="false" outlineLevel="0" collapsed="false">
      <c r="H5173" s="0" t="str">
        <f aca="false">IF(B5173="","",IF(COUNTIF(Campaigns!$A$7:$A$300,B5173)&gt;0,"✓","⚠ add to Campaigns tab"))</f>
        <v/>
      </c>
      <c r="I5173" s="84" t="str">
        <f aca="false">IF(C5173="","",C5173*IF(Settings!$B$22=Settings!$C$6,1,IF(Settings!$B$22="USD",1/INDEX(Settings!$B$29:$B$40,MONTH(A5173)),INDEX(Settings!$B$29:$B$40,MONTH(A5173)))))</f>
        <v/>
      </c>
    </row>
    <row r="5174" customFormat="false" ht="15" hidden="false" customHeight="false" outlineLevel="0" collapsed="false">
      <c r="H5174" s="0" t="str">
        <f aca="false">IF(B5174="","",IF(COUNTIF(Campaigns!$A$7:$A$300,B5174)&gt;0,"✓","⚠ add to Campaigns tab"))</f>
        <v/>
      </c>
      <c r="I5174" s="84" t="str">
        <f aca="false">IF(C5174="","",C5174*IF(Settings!$B$22=Settings!$C$6,1,IF(Settings!$B$22="USD",1/INDEX(Settings!$B$29:$B$40,MONTH(A5174)),INDEX(Settings!$B$29:$B$40,MONTH(A5174)))))</f>
        <v/>
      </c>
    </row>
    <row r="5175" customFormat="false" ht="15" hidden="false" customHeight="false" outlineLevel="0" collapsed="false">
      <c r="H5175" s="0" t="str">
        <f aca="false">IF(B5175="","",IF(COUNTIF(Campaigns!$A$7:$A$300,B5175)&gt;0,"✓","⚠ add to Campaigns tab"))</f>
        <v/>
      </c>
      <c r="I5175" s="84" t="str">
        <f aca="false">IF(C5175="","",C5175*IF(Settings!$B$22=Settings!$C$6,1,IF(Settings!$B$22="USD",1/INDEX(Settings!$B$29:$B$40,MONTH(A5175)),INDEX(Settings!$B$29:$B$40,MONTH(A5175)))))</f>
        <v/>
      </c>
    </row>
    <row r="5176" customFormat="false" ht="15" hidden="false" customHeight="false" outlineLevel="0" collapsed="false">
      <c r="H5176" s="0" t="str">
        <f aca="false">IF(B5176="","",IF(COUNTIF(Campaigns!$A$7:$A$300,B5176)&gt;0,"✓","⚠ add to Campaigns tab"))</f>
        <v/>
      </c>
      <c r="I5176" s="84" t="str">
        <f aca="false">IF(C5176="","",C5176*IF(Settings!$B$22=Settings!$C$6,1,IF(Settings!$B$22="USD",1/INDEX(Settings!$B$29:$B$40,MONTH(A5176)),INDEX(Settings!$B$29:$B$40,MONTH(A5176)))))</f>
        <v/>
      </c>
    </row>
    <row r="5177" customFormat="false" ht="15" hidden="false" customHeight="false" outlineLevel="0" collapsed="false">
      <c r="H5177" s="0" t="str">
        <f aca="false">IF(B5177="","",IF(COUNTIF(Campaigns!$A$7:$A$300,B5177)&gt;0,"✓","⚠ add to Campaigns tab"))</f>
        <v/>
      </c>
      <c r="I5177" s="84" t="str">
        <f aca="false">IF(C5177="","",C5177*IF(Settings!$B$22=Settings!$C$6,1,IF(Settings!$B$22="USD",1/INDEX(Settings!$B$29:$B$40,MONTH(A5177)),INDEX(Settings!$B$29:$B$40,MONTH(A5177)))))</f>
        <v/>
      </c>
    </row>
    <row r="5178" customFormat="false" ht="15" hidden="false" customHeight="false" outlineLevel="0" collapsed="false">
      <c r="H5178" s="0" t="str">
        <f aca="false">IF(B5178="","",IF(COUNTIF(Campaigns!$A$7:$A$300,B5178)&gt;0,"✓","⚠ add to Campaigns tab"))</f>
        <v/>
      </c>
      <c r="I5178" s="84" t="str">
        <f aca="false">IF(C5178="","",C5178*IF(Settings!$B$22=Settings!$C$6,1,IF(Settings!$B$22="USD",1/INDEX(Settings!$B$29:$B$40,MONTH(A5178)),INDEX(Settings!$B$29:$B$40,MONTH(A5178)))))</f>
        <v/>
      </c>
    </row>
    <row r="5179" customFormat="false" ht="15" hidden="false" customHeight="false" outlineLevel="0" collapsed="false">
      <c r="H5179" s="0" t="str">
        <f aca="false">IF(B5179="","",IF(COUNTIF(Campaigns!$A$7:$A$300,B5179)&gt;0,"✓","⚠ add to Campaigns tab"))</f>
        <v/>
      </c>
      <c r="I5179" s="84" t="str">
        <f aca="false">IF(C5179="","",C5179*IF(Settings!$B$22=Settings!$C$6,1,IF(Settings!$B$22="USD",1/INDEX(Settings!$B$29:$B$40,MONTH(A5179)),INDEX(Settings!$B$29:$B$40,MONTH(A5179)))))</f>
        <v/>
      </c>
    </row>
    <row r="5180" customFormat="false" ht="15" hidden="false" customHeight="false" outlineLevel="0" collapsed="false">
      <c r="H5180" s="0" t="str">
        <f aca="false">IF(B5180="","",IF(COUNTIF(Campaigns!$A$7:$A$300,B5180)&gt;0,"✓","⚠ add to Campaigns tab"))</f>
        <v/>
      </c>
      <c r="I5180" s="84" t="str">
        <f aca="false">IF(C5180="","",C5180*IF(Settings!$B$22=Settings!$C$6,1,IF(Settings!$B$22="USD",1/INDEX(Settings!$B$29:$B$40,MONTH(A5180)),INDEX(Settings!$B$29:$B$40,MONTH(A5180)))))</f>
        <v/>
      </c>
    </row>
    <row r="5181" customFormat="false" ht="15" hidden="false" customHeight="false" outlineLevel="0" collapsed="false">
      <c r="H5181" s="0" t="str">
        <f aca="false">IF(B5181="","",IF(COUNTIF(Campaigns!$A$7:$A$300,B5181)&gt;0,"✓","⚠ add to Campaigns tab"))</f>
        <v/>
      </c>
      <c r="I5181" s="84" t="str">
        <f aca="false">IF(C5181="","",C5181*IF(Settings!$B$22=Settings!$C$6,1,IF(Settings!$B$22="USD",1/INDEX(Settings!$B$29:$B$40,MONTH(A5181)),INDEX(Settings!$B$29:$B$40,MONTH(A5181)))))</f>
        <v/>
      </c>
    </row>
    <row r="5182" customFormat="false" ht="15" hidden="false" customHeight="false" outlineLevel="0" collapsed="false">
      <c r="H5182" s="0" t="str">
        <f aca="false">IF(B5182="","",IF(COUNTIF(Campaigns!$A$7:$A$300,B5182)&gt;0,"✓","⚠ add to Campaigns tab"))</f>
        <v/>
      </c>
      <c r="I5182" s="84" t="str">
        <f aca="false">IF(C5182="","",C5182*IF(Settings!$B$22=Settings!$C$6,1,IF(Settings!$B$22="USD",1/INDEX(Settings!$B$29:$B$40,MONTH(A5182)),INDEX(Settings!$B$29:$B$40,MONTH(A5182)))))</f>
        <v/>
      </c>
    </row>
    <row r="5183" customFormat="false" ht="15" hidden="false" customHeight="false" outlineLevel="0" collapsed="false">
      <c r="H5183" s="0" t="str">
        <f aca="false">IF(B5183="","",IF(COUNTIF(Campaigns!$A$7:$A$300,B5183)&gt;0,"✓","⚠ add to Campaigns tab"))</f>
        <v/>
      </c>
      <c r="I5183" s="84" t="str">
        <f aca="false">IF(C5183="","",C5183*IF(Settings!$B$22=Settings!$C$6,1,IF(Settings!$B$22="USD",1/INDEX(Settings!$B$29:$B$40,MONTH(A5183)),INDEX(Settings!$B$29:$B$40,MONTH(A5183)))))</f>
        <v/>
      </c>
    </row>
    <row r="5184" customFormat="false" ht="15" hidden="false" customHeight="false" outlineLevel="0" collapsed="false">
      <c r="H5184" s="0" t="str">
        <f aca="false">IF(B5184="","",IF(COUNTIF(Campaigns!$A$7:$A$300,B5184)&gt;0,"✓","⚠ add to Campaigns tab"))</f>
        <v/>
      </c>
      <c r="I5184" s="84" t="str">
        <f aca="false">IF(C5184="","",C5184*IF(Settings!$B$22=Settings!$C$6,1,IF(Settings!$B$22="USD",1/INDEX(Settings!$B$29:$B$40,MONTH(A5184)),INDEX(Settings!$B$29:$B$40,MONTH(A5184)))))</f>
        <v/>
      </c>
    </row>
    <row r="5185" customFormat="false" ht="15" hidden="false" customHeight="false" outlineLevel="0" collapsed="false">
      <c r="H5185" s="0" t="str">
        <f aca="false">IF(B5185="","",IF(COUNTIF(Campaigns!$A$7:$A$300,B5185)&gt;0,"✓","⚠ add to Campaigns tab"))</f>
        <v/>
      </c>
      <c r="I5185" s="84" t="str">
        <f aca="false">IF(C5185="","",C5185*IF(Settings!$B$22=Settings!$C$6,1,IF(Settings!$B$22="USD",1/INDEX(Settings!$B$29:$B$40,MONTH(A5185)),INDEX(Settings!$B$29:$B$40,MONTH(A5185)))))</f>
        <v/>
      </c>
    </row>
    <row r="5186" customFormat="false" ht="15" hidden="false" customHeight="false" outlineLevel="0" collapsed="false">
      <c r="H5186" s="0" t="str">
        <f aca="false">IF(B5186="","",IF(COUNTIF(Campaigns!$A$7:$A$300,B5186)&gt;0,"✓","⚠ add to Campaigns tab"))</f>
        <v/>
      </c>
      <c r="I5186" s="84" t="str">
        <f aca="false">IF(C5186="","",C5186*IF(Settings!$B$22=Settings!$C$6,1,IF(Settings!$B$22="USD",1/INDEX(Settings!$B$29:$B$40,MONTH(A5186)),INDEX(Settings!$B$29:$B$40,MONTH(A5186)))))</f>
        <v/>
      </c>
    </row>
    <row r="5187" customFormat="false" ht="15" hidden="false" customHeight="false" outlineLevel="0" collapsed="false">
      <c r="H5187" s="0" t="str">
        <f aca="false">IF(B5187="","",IF(COUNTIF(Campaigns!$A$7:$A$300,B5187)&gt;0,"✓","⚠ add to Campaigns tab"))</f>
        <v/>
      </c>
      <c r="I5187" s="84" t="str">
        <f aca="false">IF(C5187="","",C5187*IF(Settings!$B$22=Settings!$C$6,1,IF(Settings!$B$22="USD",1/INDEX(Settings!$B$29:$B$40,MONTH(A5187)),INDEX(Settings!$B$29:$B$40,MONTH(A5187)))))</f>
        <v/>
      </c>
    </row>
    <row r="5188" customFormat="false" ht="15" hidden="false" customHeight="false" outlineLevel="0" collapsed="false">
      <c r="H5188" s="0" t="str">
        <f aca="false">IF(B5188="","",IF(COUNTIF(Campaigns!$A$7:$A$300,B5188)&gt;0,"✓","⚠ add to Campaigns tab"))</f>
        <v/>
      </c>
      <c r="I5188" s="84" t="str">
        <f aca="false">IF(C5188="","",C5188*IF(Settings!$B$22=Settings!$C$6,1,IF(Settings!$B$22="USD",1/INDEX(Settings!$B$29:$B$40,MONTH(A5188)),INDEX(Settings!$B$29:$B$40,MONTH(A5188)))))</f>
        <v/>
      </c>
    </row>
    <row r="5189" customFormat="false" ht="15" hidden="false" customHeight="false" outlineLevel="0" collapsed="false">
      <c r="H5189" s="0" t="str">
        <f aca="false">IF(B5189="","",IF(COUNTIF(Campaigns!$A$7:$A$300,B5189)&gt;0,"✓","⚠ add to Campaigns tab"))</f>
        <v/>
      </c>
      <c r="I5189" s="84" t="str">
        <f aca="false">IF(C5189="","",C5189*IF(Settings!$B$22=Settings!$C$6,1,IF(Settings!$B$22="USD",1/INDEX(Settings!$B$29:$B$40,MONTH(A5189)),INDEX(Settings!$B$29:$B$40,MONTH(A5189)))))</f>
        <v/>
      </c>
    </row>
    <row r="5190" customFormat="false" ht="15" hidden="false" customHeight="false" outlineLevel="0" collapsed="false">
      <c r="H5190" s="0" t="str">
        <f aca="false">IF(B5190="","",IF(COUNTIF(Campaigns!$A$7:$A$300,B5190)&gt;0,"✓","⚠ add to Campaigns tab"))</f>
        <v/>
      </c>
      <c r="I5190" s="84" t="str">
        <f aca="false">IF(C5190="","",C5190*IF(Settings!$B$22=Settings!$C$6,1,IF(Settings!$B$22="USD",1/INDEX(Settings!$B$29:$B$40,MONTH(A5190)),INDEX(Settings!$B$29:$B$40,MONTH(A5190)))))</f>
        <v/>
      </c>
    </row>
    <row r="5191" customFormat="false" ht="15" hidden="false" customHeight="false" outlineLevel="0" collapsed="false">
      <c r="H5191" s="0" t="str">
        <f aca="false">IF(B5191="","",IF(COUNTIF(Campaigns!$A$7:$A$300,B5191)&gt;0,"✓","⚠ add to Campaigns tab"))</f>
        <v/>
      </c>
      <c r="I5191" s="84" t="str">
        <f aca="false">IF(C5191="","",C5191*IF(Settings!$B$22=Settings!$C$6,1,IF(Settings!$B$22="USD",1/INDEX(Settings!$B$29:$B$40,MONTH(A5191)),INDEX(Settings!$B$29:$B$40,MONTH(A5191)))))</f>
        <v/>
      </c>
    </row>
    <row r="5192" customFormat="false" ht="15" hidden="false" customHeight="false" outlineLevel="0" collapsed="false">
      <c r="H5192" s="0" t="str">
        <f aca="false">IF(B5192="","",IF(COUNTIF(Campaigns!$A$7:$A$300,B5192)&gt;0,"✓","⚠ add to Campaigns tab"))</f>
        <v/>
      </c>
      <c r="I5192" s="84" t="str">
        <f aca="false">IF(C5192="","",C5192*IF(Settings!$B$22=Settings!$C$6,1,IF(Settings!$B$22="USD",1/INDEX(Settings!$B$29:$B$40,MONTH(A5192)),INDEX(Settings!$B$29:$B$40,MONTH(A5192)))))</f>
        <v/>
      </c>
    </row>
    <row r="5193" customFormat="false" ht="15" hidden="false" customHeight="false" outlineLevel="0" collapsed="false">
      <c r="H5193" s="0" t="str">
        <f aca="false">IF(B5193="","",IF(COUNTIF(Campaigns!$A$7:$A$300,B5193)&gt;0,"✓","⚠ add to Campaigns tab"))</f>
        <v/>
      </c>
      <c r="I5193" s="84" t="str">
        <f aca="false">IF(C5193="","",C5193*IF(Settings!$B$22=Settings!$C$6,1,IF(Settings!$B$22="USD",1/INDEX(Settings!$B$29:$B$40,MONTH(A5193)),INDEX(Settings!$B$29:$B$40,MONTH(A5193)))))</f>
        <v/>
      </c>
    </row>
    <row r="5194" customFormat="false" ht="15" hidden="false" customHeight="false" outlineLevel="0" collapsed="false">
      <c r="H5194" s="0" t="str">
        <f aca="false">IF(B5194="","",IF(COUNTIF(Campaigns!$A$7:$A$300,B5194)&gt;0,"✓","⚠ add to Campaigns tab"))</f>
        <v/>
      </c>
      <c r="I5194" s="84" t="str">
        <f aca="false">IF(C5194="","",C5194*IF(Settings!$B$22=Settings!$C$6,1,IF(Settings!$B$22="USD",1/INDEX(Settings!$B$29:$B$40,MONTH(A5194)),INDEX(Settings!$B$29:$B$40,MONTH(A5194)))))</f>
        <v/>
      </c>
    </row>
    <row r="5195" customFormat="false" ht="15" hidden="false" customHeight="false" outlineLevel="0" collapsed="false">
      <c r="H5195" s="0" t="str">
        <f aca="false">IF(B5195="","",IF(COUNTIF(Campaigns!$A$7:$A$300,B5195)&gt;0,"✓","⚠ add to Campaigns tab"))</f>
        <v/>
      </c>
      <c r="I5195" s="84" t="str">
        <f aca="false">IF(C5195="","",C5195*IF(Settings!$B$22=Settings!$C$6,1,IF(Settings!$B$22="USD",1/INDEX(Settings!$B$29:$B$40,MONTH(A5195)),INDEX(Settings!$B$29:$B$40,MONTH(A5195)))))</f>
        <v/>
      </c>
    </row>
    <row r="5196" customFormat="false" ht="15" hidden="false" customHeight="false" outlineLevel="0" collapsed="false">
      <c r="H5196" s="0" t="str">
        <f aca="false">IF(B5196="","",IF(COUNTIF(Campaigns!$A$7:$A$300,B5196)&gt;0,"✓","⚠ add to Campaigns tab"))</f>
        <v/>
      </c>
      <c r="I5196" s="84" t="str">
        <f aca="false">IF(C5196="","",C5196*IF(Settings!$B$22=Settings!$C$6,1,IF(Settings!$B$22="USD",1/INDEX(Settings!$B$29:$B$40,MONTH(A5196)),INDEX(Settings!$B$29:$B$40,MONTH(A5196)))))</f>
        <v/>
      </c>
    </row>
    <row r="5197" customFormat="false" ht="15" hidden="false" customHeight="false" outlineLevel="0" collapsed="false">
      <c r="H5197" s="0" t="str">
        <f aca="false">IF(B5197="","",IF(COUNTIF(Campaigns!$A$7:$A$300,B5197)&gt;0,"✓","⚠ add to Campaigns tab"))</f>
        <v/>
      </c>
      <c r="I5197" s="84" t="str">
        <f aca="false">IF(C5197="","",C5197*IF(Settings!$B$22=Settings!$C$6,1,IF(Settings!$B$22="USD",1/INDEX(Settings!$B$29:$B$40,MONTH(A5197)),INDEX(Settings!$B$29:$B$40,MONTH(A5197)))))</f>
        <v/>
      </c>
    </row>
    <row r="5198" customFormat="false" ht="15" hidden="false" customHeight="false" outlineLevel="0" collapsed="false">
      <c r="H5198" s="0" t="str">
        <f aca="false">IF(B5198="","",IF(COUNTIF(Campaigns!$A$7:$A$300,B5198)&gt;0,"✓","⚠ add to Campaigns tab"))</f>
        <v/>
      </c>
      <c r="I5198" s="84" t="str">
        <f aca="false">IF(C5198="","",C5198*IF(Settings!$B$22=Settings!$C$6,1,IF(Settings!$B$22="USD",1/INDEX(Settings!$B$29:$B$40,MONTH(A5198)),INDEX(Settings!$B$29:$B$40,MONTH(A5198)))))</f>
        <v/>
      </c>
    </row>
    <row r="5199" customFormat="false" ht="15" hidden="false" customHeight="false" outlineLevel="0" collapsed="false">
      <c r="H5199" s="0" t="str">
        <f aca="false">IF(B5199="","",IF(COUNTIF(Campaigns!$A$7:$A$300,B5199)&gt;0,"✓","⚠ add to Campaigns tab"))</f>
        <v/>
      </c>
      <c r="I5199" s="84" t="str">
        <f aca="false">IF(C5199="","",C5199*IF(Settings!$B$22=Settings!$C$6,1,IF(Settings!$B$22="USD",1/INDEX(Settings!$B$29:$B$40,MONTH(A5199)),INDEX(Settings!$B$29:$B$40,MONTH(A5199)))))</f>
        <v/>
      </c>
    </row>
    <row r="5200" customFormat="false" ht="15" hidden="false" customHeight="false" outlineLevel="0" collapsed="false">
      <c r="H5200" s="0" t="str">
        <f aca="false">IF(B5200="","",IF(COUNTIF(Campaigns!$A$7:$A$300,B5200)&gt;0,"✓","⚠ add to Campaigns tab"))</f>
        <v/>
      </c>
      <c r="I5200" s="84" t="str">
        <f aca="false">IF(C5200="","",C5200*IF(Settings!$B$22=Settings!$C$6,1,IF(Settings!$B$22="USD",1/INDEX(Settings!$B$29:$B$40,MONTH(A5200)),INDEX(Settings!$B$29:$B$40,MONTH(A5200)))))</f>
        <v/>
      </c>
    </row>
    <row r="5201" customFormat="false" ht="15" hidden="false" customHeight="false" outlineLevel="0" collapsed="false">
      <c r="H5201" s="0" t="str">
        <f aca="false">IF(B5201="","",IF(COUNTIF(Campaigns!$A$7:$A$300,B5201)&gt;0,"✓","⚠ add to Campaigns tab"))</f>
        <v/>
      </c>
      <c r="I5201" s="84" t="str">
        <f aca="false">IF(C5201="","",C5201*IF(Settings!$B$22=Settings!$C$6,1,IF(Settings!$B$22="USD",1/INDEX(Settings!$B$29:$B$40,MONTH(A5201)),INDEX(Settings!$B$29:$B$40,MONTH(A5201)))))</f>
        <v/>
      </c>
    </row>
    <row r="5202" customFormat="false" ht="15" hidden="false" customHeight="false" outlineLevel="0" collapsed="false">
      <c r="H5202" s="0" t="str">
        <f aca="false">IF(B5202="","",IF(COUNTIF(Campaigns!$A$7:$A$300,B5202)&gt;0,"✓","⚠ add to Campaigns tab"))</f>
        <v/>
      </c>
      <c r="I5202" s="84" t="str">
        <f aca="false">IF(C5202="","",C5202*IF(Settings!$B$22=Settings!$C$6,1,IF(Settings!$B$22="USD",1/INDEX(Settings!$B$29:$B$40,MONTH(A5202)),INDEX(Settings!$B$29:$B$40,MONTH(A5202)))))</f>
        <v/>
      </c>
    </row>
    <row r="5203" customFormat="false" ht="15" hidden="false" customHeight="false" outlineLevel="0" collapsed="false">
      <c r="H5203" s="0" t="str">
        <f aca="false">IF(B5203="","",IF(COUNTIF(Campaigns!$A$7:$A$300,B5203)&gt;0,"✓","⚠ add to Campaigns tab"))</f>
        <v/>
      </c>
      <c r="I5203" s="84" t="str">
        <f aca="false">IF(C5203="","",C5203*IF(Settings!$B$22=Settings!$C$6,1,IF(Settings!$B$22="USD",1/INDEX(Settings!$B$29:$B$40,MONTH(A5203)),INDEX(Settings!$B$29:$B$40,MONTH(A5203)))))</f>
        <v/>
      </c>
    </row>
    <row r="5204" customFormat="false" ht="15" hidden="false" customHeight="false" outlineLevel="0" collapsed="false">
      <c r="H5204" s="0" t="str">
        <f aca="false">IF(B5204="","",IF(COUNTIF(Campaigns!$A$7:$A$300,B5204)&gt;0,"✓","⚠ add to Campaigns tab"))</f>
        <v/>
      </c>
      <c r="I5204" s="84" t="str">
        <f aca="false">IF(C5204="","",C5204*IF(Settings!$B$22=Settings!$C$6,1,IF(Settings!$B$22="USD",1/INDEX(Settings!$B$29:$B$40,MONTH(A5204)),INDEX(Settings!$B$29:$B$40,MONTH(A5204)))))</f>
        <v/>
      </c>
    </row>
    <row r="5205" customFormat="false" ht="15" hidden="false" customHeight="false" outlineLevel="0" collapsed="false">
      <c r="H5205" s="0" t="str">
        <f aca="false">IF(B5205="","",IF(COUNTIF(Campaigns!$A$7:$A$300,B5205)&gt;0,"✓","⚠ add to Campaigns tab"))</f>
        <v/>
      </c>
      <c r="I5205" s="84" t="str">
        <f aca="false">IF(C5205="","",C5205*IF(Settings!$B$22=Settings!$C$6,1,IF(Settings!$B$22="USD",1/INDEX(Settings!$B$29:$B$40,MONTH(A5205)),INDEX(Settings!$B$29:$B$40,MONTH(A5205)))))</f>
        <v/>
      </c>
    </row>
    <row r="5206" customFormat="false" ht="15" hidden="false" customHeight="false" outlineLevel="0" collapsed="false">
      <c r="H5206" s="0" t="str">
        <f aca="false">IF(B5206="","",IF(COUNTIF(Campaigns!$A$7:$A$300,B5206)&gt;0,"✓","⚠ add to Campaigns tab"))</f>
        <v/>
      </c>
      <c r="I5206" s="84" t="str">
        <f aca="false">IF(C5206="","",C5206*IF(Settings!$B$22=Settings!$C$6,1,IF(Settings!$B$22="USD",1/INDEX(Settings!$B$29:$B$40,MONTH(A5206)),INDEX(Settings!$B$29:$B$40,MONTH(A5206)))))</f>
        <v/>
      </c>
    </row>
    <row r="5207" customFormat="false" ht="15" hidden="false" customHeight="false" outlineLevel="0" collapsed="false">
      <c r="H5207" s="0" t="str">
        <f aca="false">IF(B5207="","",IF(COUNTIF(Campaigns!$A$7:$A$300,B5207)&gt;0,"✓","⚠ add to Campaigns tab"))</f>
        <v/>
      </c>
      <c r="I5207" s="84" t="str">
        <f aca="false">IF(C5207="","",C5207*IF(Settings!$B$22=Settings!$C$6,1,IF(Settings!$B$22="USD",1/INDEX(Settings!$B$29:$B$40,MONTH(A5207)),INDEX(Settings!$B$29:$B$40,MONTH(A5207)))))</f>
        <v/>
      </c>
    </row>
    <row r="5208" customFormat="false" ht="15" hidden="false" customHeight="false" outlineLevel="0" collapsed="false">
      <c r="H5208" s="0" t="str">
        <f aca="false">IF(B5208="","",IF(COUNTIF(Campaigns!$A$7:$A$300,B5208)&gt;0,"✓","⚠ add to Campaigns tab"))</f>
        <v/>
      </c>
      <c r="I5208" s="84" t="str">
        <f aca="false">IF(C5208="","",C5208*IF(Settings!$B$22=Settings!$C$6,1,IF(Settings!$B$22="USD",1/INDEX(Settings!$B$29:$B$40,MONTH(A5208)),INDEX(Settings!$B$29:$B$40,MONTH(A5208)))))</f>
        <v/>
      </c>
    </row>
    <row r="5209" customFormat="false" ht="15" hidden="false" customHeight="false" outlineLevel="0" collapsed="false">
      <c r="H5209" s="0" t="str">
        <f aca="false">IF(B5209="","",IF(COUNTIF(Campaigns!$A$7:$A$300,B5209)&gt;0,"✓","⚠ add to Campaigns tab"))</f>
        <v/>
      </c>
      <c r="I5209" s="84" t="str">
        <f aca="false">IF(C5209="","",C5209*IF(Settings!$B$22=Settings!$C$6,1,IF(Settings!$B$22="USD",1/INDEX(Settings!$B$29:$B$40,MONTH(A5209)),INDEX(Settings!$B$29:$B$40,MONTH(A5209)))))</f>
        <v/>
      </c>
    </row>
    <row r="5210" customFormat="false" ht="15" hidden="false" customHeight="false" outlineLevel="0" collapsed="false">
      <c r="H5210" s="0" t="str">
        <f aca="false">IF(B5210="","",IF(COUNTIF(Campaigns!$A$7:$A$300,B5210)&gt;0,"✓","⚠ add to Campaigns tab"))</f>
        <v/>
      </c>
      <c r="I5210" s="84" t="str">
        <f aca="false">IF(C5210="","",C5210*IF(Settings!$B$22=Settings!$C$6,1,IF(Settings!$B$22="USD",1/INDEX(Settings!$B$29:$B$40,MONTH(A5210)),INDEX(Settings!$B$29:$B$40,MONTH(A5210)))))</f>
        <v/>
      </c>
    </row>
    <row r="5211" customFormat="false" ht="15" hidden="false" customHeight="false" outlineLevel="0" collapsed="false">
      <c r="H5211" s="0" t="str">
        <f aca="false">IF(B5211="","",IF(COUNTIF(Campaigns!$A$7:$A$300,B5211)&gt;0,"✓","⚠ add to Campaigns tab"))</f>
        <v/>
      </c>
      <c r="I5211" s="84" t="str">
        <f aca="false">IF(C5211="","",C5211*IF(Settings!$B$22=Settings!$C$6,1,IF(Settings!$B$22="USD",1/INDEX(Settings!$B$29:$B$40,MONTH(A5211)),INDEX(Settings!$B$29:$B$40,MONTH(A5211)))))</f>
        <v/>
      </c>
    </row>
    <row r="5212" customFormat="false" ht="15" hidden="false" customHeight="false" outlineLevel="0" collapsed="false">
      <c r="H5212" s="0" t="str">
        <f aca="false">IF(B5212="","",IF(COUNTIF(Campaigns!$A$7:$A$300,B5212)&gt;0,"✓","⚠ add to Campaigns tab"))</f>
        <v/>
      </c>
      <c r="I5212" s="84" t="str">
        <f aca="false">IF(C5212="","",C5212*IF(Settings!$B$22=Settings!$C$6,1,IF(Settings!$B$22="USD",1/INDEX(Settings!$B$29:$B$40,MONTH(A5212)),INDEX(Settings!$B$29:$B$40,MONTH(A5212)))))</f>
        <v/>
      </c>
    </row>
    <row r="5213" customFormat="false" ht="15" hidden="false" customHeight="false" outlineLevel="0" collapsed="false">
      <c r="H5213" s="0" t="str">
        <f aca="false">IF(B5213="","",IF(COUNTIF(Campaigns!$A$7:$A$300,B5213)&gt;0,"✓","⚠ add to Campaigns tab"))</f>
        <v/>
      </c>
      <c r="I5213" s="84" t="str">
        <f aca="false">IF(C5213="","",C5213*IF(Settings!$B$22=Settings!$C$6,1,IF(Settings!$B$22="USD",1/INDEX(Settings!$B$29:$B$40,MONTH(A5213)),INDEX(Settings!$B$29:$B$40,MONTH(A5213)))))</f>
        <v/>
      </c>
    </row>
    <row r="5214" customFormat="false" ht="15" hidden="false" customHeight="false" outlineLevel="0" collapsed="false">
      <c r="H5214" s="0" t="str">
        <f aca="false">IF(B5214="","",IF(COUNTIF(Campaigns!$A$7:$A$300,B5214)&gt;0,"✓","⚠ add to Campaigns tab"))</f>
        <v/>
      </c>
      <c r="I5214" s="84" t="str">
        <f aca="false">IF(C5214="","",C5214*IF(Settings!$B$22=Settings!$C$6,1,IF(Settings!$B$22="USD",1/INDEX(Settings!$B$29:$B$40,MONTH(A5214)),INDEX(Settings!$B$29:$B$40,MONTH(A5214)))))</f>
        <v/>
      </c>
    </row>
    <row r="5215" customFormat="false" ht="15" hidden="false" customHeight="false" outlineLevel="0" collapsed="false">
      <c r="H5215" s="0" t="str">
        <f aca="false">IF(B5215="","",IF(COUNTIF(Campaigns!$A$7:$A$300,B5215)&gt;0,"✓","⚠ add to Campaigns tab"))</f>
        <v/>
      </c>
      <c r="I5215" s="84" t="str">
        <f aca="false">IF(C5215="","",C5215*IF(Settings!$B$22=Settings!$C$6,1,IF(Settings!$B$22="USD",1/INDEX(Settings!$B$29:$B$40,MONTH(A5215)),INDEX(Settings!$B$29:$B$40,MONTH(A5215)))))</f>
        <v/>
      </c>
    </row>
    <row r="5216" customFormat="false" ht="15" hidden="false" customHeight="false" outlineLevel="0" collapsed="false">
      <c r="H5216" s="0" t="str">
        <f aca="false">IF(B5216="","",IF(COUNTIF(Campaigns!$A$7:$A$300,B5216)&gt;0,"✓","⚠ add to Campaigns tab"))</f>
        <v/>
      </c>
      <c r="I5216" s="84" t="str">
        <f aca="false">IF(C5216="","",C5216*IF(Settings!$B$22=Settings!$C$6,1,IF(Settings!$B$22="USD",1/INDEX(Settings!$B$29:$B$40,MONTH(A5216)),INDEX(Settings!$B$29:$B$40,MONTH(A5216)))))</f>
        <v/>
      </c>
    </row>
    <row r="5217" customFormat="false" ht="15" hidden="false" customHeight="false" outlineLevel="0" collapsed="false">
      <c r="H5217" s="0" t="str">
        <f aca="false">IF(B5217="","",IF(COUNTIF(Campaigns!$A$7:$A$300,B5217)&gt;0,"✓","⚠ add to Campaigns tab"))</f>
        <v/>
      </c>
      <c r="I5217" s="84" t="str">
        <f aca="false">IF(C5217="","",C5217*IF(Settings!$B$22=Settings!$C$6,1,IF(Settings!$B$22="USD",1/INDEX(Settings!$B$29:$B$40,MONTH(A5217)),INDEX(Settings!$B$29:$B$40,MONTH(A5217)))))</f>
        <v/>
      </c>
    </row>
    <row r="5218" customFormat="false" ht="15" hidden="false" customHeight="false" outlineLevel="0" collapsed="false">
      <c r="H5218" s="0" t="str">
        <f aca="false">IF(B5218="","",IF(COUNTIF(Campaigns!$A$7:$A$300,B5218)&gt;0,"✓","⚠ add to Campaigns tab"))</f>
        <v/>
      </c>
      <c r="I5218" s="84" t="str">
        <f aca="false">IF(C5218="","",C5218*IF(Settings!$B$22=Settings!$C$6,1,IF(Settings!$B$22="USD",1/INDEX(Settings!$B$29:$B$40,MONTH(A5218)),INDEX(Settings!$B$29:$B$40,MONTH(A5218)))))</f>
        <v/>
      </c>
    </row>
    <row r="5219" customFormat="false" ht="15" hidden="false" customHeight="false" outlineLevel="0" collapsed="false">
      <c r="H5219" s="0" t="str">
        <f aca="false">IF(B5219="","",IF(COUNTIF(Campaigns!$A$7:$A$300,B5219)&gt;0,"✓","⚠ add to Campaigns tab"))</f>
        <v/>
      </c>
      <c r="I5219" s="84" t="str">
        <f aca="false">IF(C5219="","",C5219*IF(Settings!$B$22=Settings!$C$6,1,IF(Settings!$B$22="USD",1/INDEX(Settings!$B$29:$B$40,MONTH(A5219)),INDEX(Settings!$B$29:$B$40,MONTH(A5219)))))</f>
        <v/>
      </c>
    </row>
    <row r="5220" customFormat="false" ht="15" hidden="false" customHeight="false" outlineLevel="0" collapsed="false">
      <c r="H5220" s="0" t="str">
        <f aca="false">IF(B5220="","",IF(COUNTIF(Campaigns!$A$7:$A$300,B5220)&gt;0,"✓","⚠ add to Campaigns tab"))</f>
        <v/>
      </c>
      <c r="I5220" s="84" t="str">
        <f aca="false">IF(C5220="","",C5220*IF(Settings!$B$22=Settings!$C$6,1,IF(Settings!$B$22="USD",1/INDEX(Settings!$B$29:$B$40,MONTH(A5220)),INDEX(Settings!$B$29:$B$40,MONTH(A5220)))))</f>
        <v/>
      </c>
    </row>
    <row r="5221" customFormat="false" ht="15" hidden="false" customHeight="false" outlineLevel="0" collapsed="false">
      <c r="H5221" s="0" t="str">
        <f aca="false">IF(B5221="","",IF(COUNTIF(Campaigns!$A$7:$A$300,B5221)&gt;0,"✓","⚠ add to Campaigns tab"))</f>
        <v/>
      </c>
      <c r="I5221" s="84" t="str">
        <f aca="false">IF(C5221="","",C5221*IF(Settings!$B$22=Settings!$C$6,1,IF(Settings!$B$22="USD",1/INDEX(Settings!$B$29:$B$40,MONTH(A5221)),INDEX(Settings!$B$29:$B$40,MONTH(A5221)))))</f>
        <v/>
      </c>
    </row>
    <row r="5222" customFormat="false" ht="15" hidden="false" customHeight="false" outlineLevel="0" collapsed="false">
      <c r="H5222" s="0" t="str">
        <f aca="false">IF(B5222="","",IF(COUNTIF(Campaigns!$A$7:$A$300,B5222)&gt;0,"✓","⚠ add to Campaigns tab"))</f>
        <v/>
      </c>
      <c r="I5222" s="84" t="str">
        <f aca="false">IF(C5222="","",C5222*IF(Settings!$B$22=Settings!$C$6,1,IF(Settings!$B$22="USD",1/INDEX(Settings!$B$29:$B$40,MONTH(A5222)),INDEX(Settings!$B$29:$B$40,MONTH(A5222)))))</f>
        <v/>
      </c>
    </row>
    <row r="5223" customFormat="false" ht="15" hidden="false" customHeight="false" outlineLevel="0" collapsed="false">
      <c r="H5223" s="0" t="str">
        <f aca="false">IF(B5223="","",IF(COUNTIF(Campaigns!$A$7:$A$300,B5223)&gt;0,"✓","⚠ add to Campaigns tab"))</f>
        <v/>
      </c>
      <c r="I5223" s="84" t="str">
        <f aca="false">IF(C5223="","",C5223*IF(Settings!$B$22=Settings!$C$6,1,IF(Settings!$B$22="USD",1/INDEX(Settings!$B$29:$B$40,MONTH(A5223)),INDEX(Settings!$B$29:$B$40,MONTH(A5223)))))</f>
        <v/>
      </c>
    </row>
    <row r="5224" customFormat="false" ht="15" hidden="false" customHeight="false" outlineLevel="0" collapsed="false">
      <c r="H5224" s="0" t="str">
        <f aca="false">IF(B5224="","",IF(COUNTIF(Campaigns!$A$7:$A$300,B5224)&gt;0,"✓","⚠ add to Campaigns tab"))</f>
        <v/>
      </c>
      <c r="I5224" s="84" t="str">
        <f aca="false">IF(C5224="","",C5224*IF(Settings!$B$22=Settings!$C$6,1,IF(Settings!$B$22="USD",1/INDEX(Settings!$B$29:$B$40,MONTH(A5224)),INDEX(Settings!$B$29:$B$40,MONTH(A5224)))))</f>
        <v/>
      </c>
    </row>
    <row r="5225" customFormat="false" ht="15" hidden="false" customHeight="false" outlineLevel="0" collapsed="false">
      <c r="H5225" s="0" t="str">
        <f aca="false">IF(B5225="","",IF(COUNTIF(Campaigns!$A$7:$A$300,B5225)&gt;0,"✓","⚠ add to Campaigns tab"))</f>
        <v/>
      </c>
      <c r="I5225" s="84" t="str">
        <f aca="false">IF(C5225="","",C5225*IF(Settings!$B$22=Settings!$C$6,1,IF(Settings!$B$22="USD",1/INDEX(Settings!$B$29:$B$40,MONTH(A5225)),INDEX(Settings!$B$29:$B$40,MONTH(A5225)))))</f>
        <v/>
      </c>
    </row>
    <row r="5226" customFormat="false" ht="15" hidden="false" customHeight="false" outlineLevel="0" collapsed="false">
      <c r="H5226" s="0" t="str">
        <f aca="false">IF(B5226="","",IF(COUNTIF(Campaigns!$A$7:$A$300,B5226)&gt;0,"✓","⚠ add to Campaigns tab"))</f>
        <v/>
      </c>
      <c r="I5226" s="84" t="str">
        <f aca="false">IF(C5226="","",C5226*IF(Settings!$B$22=Settings!$C$6,1,IF(Settings!$B$22="USD",1/INDEX(Settings!$B$29:$B$40,MONTH(A5226)),INDEX(Settings!$B$29:$B$40,MONTH(A5226)))))</f>
        <v/>
      </c>
    </row>
    <row r="5227" customFormat="false" ht="15" hidden="false" customHeight="false" outlineLevel="0" collapsed="false">
      <c r="H5227" s="0" t="str">
        <f aca="false">IF(B5227="","",IF(COUNTIF(Campaigns!$A$7:$A$300,B5227)&gt;0,"✓","⚠ add to Campaigns tab"))</f>
        <v/>
      </c>
      <c r="I5227" s="84" t="str">
        <f aca="false">IF(C5227="","",C5227*IF(Settings!$B$22=Settings!$C$6,1,IF(Settings!$B$22="USD",1/INDEX(Settings!$B$29:$B$40,MONTH(A5227)),INDEX(Settings!$B$29:$B$40,MONTH(A5227)))))</f>
        <v/>
      </c>
    </row>
    <row r="5228" customFormat="false" ht="15" hidden="false" customHeight="false" outlineLevel="0" collapsed="false">
      <c r="H5228" s="0" t="str">
        <f aca="false">IF(B5228="","",IF(COUNTIF(Campaigns!$A$7:$A$300,B5228)&gt;0,"✓","⚠ add to Campaigns tab"))</f>
        <v/>
      </c>
      <c r="I5228" s="84" t="str">
        <f aca="false">IF(C5228="","",C5228*IF(Settings!$B$22=Settings!$C$6,1,IF(Settings!$B$22="USD",1/INDEX(Settings!$B$29:$B$40,MONTH(A5228)),INDEX(Settings!$B$29:$B$40,MONTH(A5228)))))</f>
        <v/>
      </c>
    </row>
    <row r="5229" customFormat="false" ht="15" hidden="false" customHeight="false" outlineLevel="0" collapsed="false">
      <c r="H5229" s="0" t="str">
        <f aca="false">IF(B5229="","",IF(COUNTIF(Campaigns!$A$7:$A$300,B5229)&gt;0,"✓","⚠ add to Campaigns tab"))</f>
        <v/>
      </c>
      <c r="I5229" s="84" t="str">
        <f aca="false">IF(C5229="","",C5229*IF(Settings!$B$22=Settings!$C$6,1,IF(Settings!$B$22="USD",1/INDEX(Settings!$B$29:$B$40,MONTH(A5229)),INDEX(Settings!$B$29:$B$40,MONTH(A5229)))))</f>
        <v/>
      </c>
    </row>
    <row r="5230" customFormat="false" ht="15" hidden="false" customHeight="false" outlineLevel="0" collapsed="false">
      <c r="H5230" s="0" t="str">
        <f aca="false">IF(B5230="","",IF(COUNTIF(Campaigns!$A$7:$A$300,B5230)&gt;0,"✓","⚠ add to Campaigns tab"))</f>
        <v/>
      </c>
      <c r="I5230" s="84" t="str">
        <f aca="false">IF(C5230="","",C5230*IF(Settings!$B$22=Settings!$C$6,1,IF(Settings!$B$22="USD",1/INDEX(Settings!$B$29:$B$40,MONTH(A5230)),INDEX(Settings!$B$29:$B$40,MONTH(A5230)))))</f>
        <v/>
      </c>
    </row>
    <row r="5231" customFormat="false" ht="15" hidden="false" customHeight="false" outlineLevel="0" collapsed="false">
      <c r="H5231" s="0" t="str">
        <f aca="false">IF(B5231="","",IF(COUNTIF(Campaigns!$A$7:$A$300,B5231)&gt;0,"✓","⚠ add to Campaigns tab"))</f>
        <v/>
      </c>
      <c r="I5231" s="84" t="str">
        <f aca="false">IF(C5231="","",C5231*IF(Settings!$B$22=Settings!$C$6,1,IF(Settings!$B$22="USD",1/INDEX(Settings!$B$29:$B$40,MONTH(A5231)),INDEX(Settings!$B$29:$B$40,MONTH(A5231)))))</f>
        <v/>
      </c>
    </row>
    <row r="5232" customFormat="false" ht="15" hidden="false" customHeight="false" outlineLevel="0" collapsed="false">
      <c r="H5232" s="0" t="str">
        <f aca="false">IF(B5232="","",IF(COUNTIF(Campaigns!$A$7:$A$300,B5232)&gt;0,"✓","⚠ add to Campaigns tab"))</f>
        <v/>
      </c>
      <c r="I5232" s="84" t="str">
        <f aca="false">IF(C5232="","",C5232*IF(Settings!$B$22=Settings!$C$6,1,IF(Settings!$B$22="USD",1/INDEX(Settings!$B$29:$B$40,MONTH(A5232)),INDEX(Settings!$B$29:$B$40,MONTH(A5232)))))</f>
        <v/>
      </c>
    </row>
    <row r="5233" customFormat="false" ht="15" hidden="false" customHeight="false" outlineLevel="0" collapsed="false">
      <c r="H5233" s="0" t="str">
        <f aca="false">IF(B5233="","",IF(COUNTIF(Campaigns!$A$7:$A$300,B5233)&gt;0,"✓","⚠ add to Campaigns tab"))</f>
        <v/>
      </c>
      <c r="I5233" s="84" t="str">
        <f aca="false">IF(C5233="","",C5233*IF(Settings!$B$22=Settings!$C$6,1,IF(Settings!$B$22="USD",1/INDEX(Settings!$B$29:$B$40,MONTH(A5233)),INDEX(Settings!$B$29:$B$40,MONTH(A5233)))))</f>
        <v/>
      </c>
    </row>
    <row r="5234" customFormat="false" ht="15" hidden="false" customHeight="false" outlineLevel="0" collapsed="false">
      <c r="H5234" s="0" t="str">
        <f aca="false">IF(B5234="","",IF(COUNTIF(Campaigns!$A$7:$A$300,B5234)&gt;0,"✓","⚠ add to Campaigns tab"))</f>
        <v/>
      </c>
      <c r="I5234" s="84" t="str">
        <f aca="false">IF(C5234="","",C5234*IF(Settings!$B$22=Settings!$C$6,1,IF(Settings!$B$22="USD",1/INDEX(Settings!$B$29:$B$40,MONTH(A5234)),INDEX(Settings!$B$29:$B$40,MONTH(A5234)))))</f>
        <v/>
      </c>
    </row>
    <row r="5235" customFormat="false" ht="15" hidden="false" customHeight="false" outlineLevel="0" collapsed="false">
      <c r="H5235" s="0" t="str">
        <f aca="false">IF(B5235="","",IF(COUNTIF(Campaigns!$A$7:$A$300,B5235)&gt;0,"✓","⚠ add to Campaigns tab"))</f>
        <v/>
      </c>
      <c r="I5235" s="84" t="str">
        <f aca="false">IF(C5235="","",C5235*IF(Settings!$B$22=Settings!$C$6,1,IF(Settings!$B$22="USD",1/INDEX(Settings!$B$29:$B$40,MONTH(A5235)),INDEX(Settings!$B$29:$B$40,MONTH(A5235)))))</f>
        <v/>
      </c>
    </row>
    <row r="5236" customFormat="false" ht="15" hidden="false" customHeight="false" outlineLevel="0" collapsed="false">
      <c r="H5236" s="0" t="str">
        <f aca="false">IF(B5236="","",IF(COUNTIF(Campaigns!$A$7:$A$300,B5236)&gt;0,"✓","⚠ add to Campaigns tab"))</f>
        <v/>
      </c>
      <c r="I5236" s="84" t="str">
        <f aca="false">IF(C5236="","",C5236*IF(Settings!$B$22=Settings!$C$6,1,IF(Settings!$B$22="USD",1/INDEX(Settings!$B$29:$B$40,MONTH(A5236)),INDEX(Settings!$B$29:$B$40,MONTH(A5236)))))</f>
        <v/>
      </c>
    </row>
    <row r="5237" customFormat="false" ht="15" hidden="false" customHeight="false" outlineLevel="0" collapsed="false">
      <c r="H5237" s="0" t="str">
        <f aca="false">IF(B5237="","",IF(COUNTIF(Campaigns!$A$7:$A$300,B5237)&gt;0,"✓","⚠ add to Campaigns tab"))</f>
        <v/>
      </c>
      <c r="I5237" s="84" t="str">
        <f aca="false">IF(C5237="","",C5237*IF(Settings!$B$22=Settings!$C$6,1,IF(Settings!$B$22="USD",1/INDEX(Settings!$B$29:$B$40,MONTH(A5237)),INDEX(Settings!$B$29:$B$40,MONTH(A5237)))))</f>
        <v/>
      </c>
    </row>
    <row r="5238" customFormat="false" ht="15" hidden="false" customHeight="false" outlineLevel="0" collapsed="false">
      <c r="H5238" s="0" t="str">
        <f aca="false">IF(B5238="","",IF(COUNTIF(Campaigns!$A$7:$A$300,B5238)&gt;0,"✓","⚠ add to Campaigns tab"))</f>
        <v/>
      </c>
      <c r="I5238" s="84" t="str">
        <f aca="false">IF(C5238="","",C5238*IF(Settings!$B$22=Settings!$C$6,1,IF(Settings!$B$22="USD",1/INDEX(Settings!$B$29:$B$40,MONTH(A5238)),INDEX(Settings!$B$29:$B$40,MONTH(A5238)))))</f>
        <v/>
      </c>
    </row>
    <row r="5239" customFormat="false" ht="15" hidden="false" customHeight="false" outlineLevel="0" collapsed="false">
      <c r="H5239" s="0" t="str">
        <f aca="false">IF(B5239="","",IF(COUNTIF(Campaigns!$A$7:$A$300,B5239)&gt;0,"✓","⚠ add to Campaigns tab"))</f>
        <v/>
      </c>
      <c r="I5239" s="84" t="str">
        <f aca="false">IF(C5239="","",C5239*IF(Settings!$B$22=Settings!$C$6,1,IF(Settings!$B$22="USD",1/INDEX(Settings!$B$29:$B$40,MONTH(A5239)),INDEX(Settings!$B$29:$B$40,MONTH(A5239)))))</f>
        <v/>
      </c>
    </row>
    <row r="5240" customFormat="false" ht="15" hidden="false" customHeight="false" outlineLevel="0" collapsed="false">
      <c r="H5240" s="0" t="str">
        <f aca="false">IF(B5240="","",IF(COUNTIF(Campaigns!$A$7:$A$300,B5240)&gt;0,"✓","⚠ add to Campaigns tab"))</f>
        <v/>
      </c>
      <c r="I5240" s="84" t="str">
        <f aca="false">IF(C5240="","",C5240*IF(Settings!$B$22=Settings!$C$6,1,IF(Settings!$B$22="USD",1/INDEX(Settings!$B$29:$B$40,MONTH(A5240)),INDEX(Settings!$B$29:$B$40,MONTH(A5240)))))</f>
        <v/>
      </c>
    </row>
    <row r="5241" customFormat="false" ht="15" hidden="false" customHeight="false" outlineLevel="0" collapsed="false">
      <c r="H5241" s="0" t="str">
        <f aca="false">IF(B5241="","",IF(COUNTIF(Campaigns!$A$7:$A$300,B5241)&gt;0,"✓","⚠ add to Campaigns tab"))</f>
        <v/>
      </c>
      <c r="I5241" s="84" t="str">
        <f aca="false">IF(C5241="","",C5241*IF(Settings!$B$22=Settings!$C$6,1,IF(Settings!$B$22="USD",1/INDEX(Settings!$B$29:$B$40,MONTH(A5241)),INDEX(Settings!$B$29:$B$40,MONTH(A5241)))))</f>
        <v/>
      </c>
    </row>
    <row r="5242" customFormat="false" ht="15" hidden="false" customHeight="false" outlineLevel="0" collapsed="false">
      <c r="H5242" s="0" t="str">
        <f aca="false">IF(B5242="","",IF(COUNTIF(Campaigns!$A$7:$A$300,B5242)&gt;0,"✓","⚠ add to Campaigns tab"))</f>
        <v/>
      </c>
      <c r="I5242" s="84" t="str">
        <f aca="false">IF(C5242="","",C5242*IF(Settings!$B$22=Settings!$C$6,1,IF(Settings!$B$22="USD",1/INDEX(Settings!$B$29:$B$40,MONTH(A5242)),INDEX(Settings!$B$29:$B$40,MONTH(A5242)))))</f>
        <v/>
      </c>
    </row>
    <row r="5243" customFormat="false" ht="15" hidden="false" customHeight="false" outlineLevel="0" collapsed="false">
      <c r="H5243" s="0" t="str">
        <f aca="false">IF(B5243="","",IF(COUNTIF(Campaigns!$A$7:$A$300,B5243)&gt;0,"✓","⚠ add to Campaigns tab"))</f>
        <v/>
      </c>
      <c r="I5243" s="84" t="str">
        <f aca="false">IF(C5243="","",C5243*IF(Settings!$B$22=Settings!$C$6,1,IF(Settings!$B$22="USD",1/INDEX(Settings!$B$29:$B$40,MONTH(A5243)),INDEX(Settings!$B$29:$B$40,MONTH(A5243)))))</f>
        <v/>
      </c>
    </row>
    <row r="5244" customFormat="false" ht="15" hidden="false" customHeight="false" outlineLevel="0" collapsed="false">
      <c r="H5244" s="0" t="str">
        <f aca="false">IF(B5244="","",IF(COUNTIF(Campaigns!$A$7:$A$300,B5244)&gt;0,"✓","⚠ add to Campaigns tab"))</f>
        <v/>
      </c>
      <c r="I5244" s="84" t="str">
        <f aca="false">IF(C5244="","",C5244*IF(Settings!$B$22=Settings!$C$6,1,IF(Settings!$B$22="USD",1/INDEX(Settings!$B$29:$B$40,MONTH(A5244)),INDEX(Settings!$B$29:$B$40,MONTH(A5244)))))</f>
        <v/>
      </c>
    </row>
    <row r="5245" customFormat="false" ht="15" hidden="false" customHeight="false" outlineLevel="0" collapsed="false">
      <c r="H5245" s="0" t="str">
        <f aca="false">IF(B5245="","",IF(COUNTIF(Campaigns!$A$7:$A$300,B5245)&gt;0,"✓","⚠ add to Campaigns tab"))</f>
        <v/>
      </c>
      <c r="I5245" s="84" t="str">
        <f aca="false">IF(C5245="","",C5245*IF(Settings!$B$22=Settings!$C$6,1,IF(Settings!$B$22="USD",1/INDEX(Settings!$B$29:$B$40,MONTH(A5245)),INDEX(Settings!$B$29:$B$40,MONTH(A5245)))))</f>
        <v/>
      </c>
    </row>
    <row r="5246" customFormat="false" ht="15" hidden="false" customHeight="false" outlineLevel="0" collapsed="false">
      <c r="H5246" s="0" t="str">
        <f aca="false">IF(B5246="","",IF(COUNTIF(Campaigns!$A$7:$A$300,B5246)&gt;0,"✓","⚠ add to Campaigns tab"))</f>
        <v/>
      </c>
      <c r="I5246" s="84" t="str">
        <f aca="false">IF(C5246="","",C5246*IF(Settings!$B$22=Settings!$C$6,1,IF(Settings!$B$22="USD",1/INDEX(Settings!$B$29:$B$40,MONTH(A5246)),INDEX(Settings!$B$29:$B$40,MONTH(A5246)))))</f>
        <v/>
      </c>
    </row>
    <row r="5247" customFormat="false" ht="15" hidden="false" customHeight="false" outlineLevel="0" collapsed="false">
      <c r="H5247" s="0" t="str">
        <f aca="false">IF(B5247="","",IF(COUNTIF(Campaigns!$A$7:$A$300,B5247)&gt;0,"✓","⚠ add to Campaigns tab"))</f>
        <v/>
      </c>
      <c r="I5247" s="84" t="str">
        <f aca="false">IF(C5247="","",C5247*IF(Settings!$B$22=Settings!$C$6,1,IF(Settings!$B$22="USD",1/INDEX(Settings!$B$29:$B$40,MONTH(A5247)),INDEX(Settings!$B$29:$B$40,MONTH(A5247)))))</f>
        <v/>
      </c>
    </row>
    <row r="5248" customFormat="false" ht="15" hidden="false" customHeight="false" outlineLevel="0" collapsed="false">
      <c r="H5248" s="0" t="str">
        <f aca="false">IF(B5248="","",IF(COUNTIF(Campaigns!$A$7:$A$300,B5248)&gt;0,"✓","⚠ add to Campaigns tab"))</f>
        <v/>
      </c>
      <c r="I5248" s="84" t="str">
        <f aca="false">IF(C5248="","",C5248*IF(Settings!$B$22=Settings!$C$6,1,IF(Settings!$B$22="USD",1/INDEX(Settings!$B$29:$B$40,MONTH(A5248)),INDEX(Settings!$B$29:$B$40,MONTH(A5248)))))</f>
        <v/>
      </c>
    </row>
    <row r="5249" customFormat="false" ht="15" hidden="false" customHeight="false" outlineLevel="0" collapsed="false">
      <c r="H5249" s="0" t="str">
        <f aca="false">IF(B5249="","",IF(COUNTIF(Campaigns!$A$7:$A$300,B5249)&gt;0,"✓","⚠ add to Campaigns tab"))</f>
        <v/>
      </c>
      <c r="I5249" s="84" t="str">
        <f aca="false">IF(C5249="","",C5249*IF(Settings!$B$22=Settings!$C$6,1,IF(Settings!$B$22="USD",1/INDEX(Settings!$B$29:$B$40,MONTH(A5249)),INDEX(Settings!$B$29:$B$40,MONTH(A5249)))))</f>
        <v/>
      </c>
    </row>
    <row r="5250" customFormat="false" ht="15" hidden="false" customHeight="false" outlineLevel="0" collapsed="false">
      <c r="H5250" s="0" t="str">
        <f aca="false">IF(B5250="","",IF(COUNTIF(Campaigns!$A$7:$A$300,B5250)&gt;0,"✓","⚠ add to Campaigns tab"))</f>
        <v/>
      </c>
      <c r="I5250" s="84" t="str">
        <f aca="false">IF(C5250="","",C5250*IF(Settings!$B$22=Settings!$C$6,1,IF(Settings!$B$22="USD",1/INDEX(Settings!$B$29:$B$40,MONTH(A5250)),INDEX(Settings!$B$29:$B$40,MONTH(A5250)))))</f>
        <v/>
      </c>
    </row>
    <row r="5251" customFormat="false" ht="15" hidden="false" customHeight="false" outlineLevel="0" collapsed="false">
      <c r="H5251" s="0" t="str">
        <f aca="false">IF(B5251="","",IF(COUNTIF(Campaigns!$A$7:$A$300,B5251)&gt;0,"✓","⚠ add to Campaigns tab"))</f>
        <v/>
      </c>
      <c r="I5251" s="84" t="str">
        <f aca="false">IF(C5251="","",C5251*IF(Settings!$B$22=Settings!$C$6,1,IF(Settings!$B$22="USD",1/INDEX(Settings!$B$29:$B$40,MONTH(A5251)),INDEX(Settings!$B$29:$B$40,MONTH(A5251)))))</f>
        <v/>
      </c>
    </row>
    <row r="5252" customFormat="false" ht="15" hidden="false" customHeight="false" outlineLevel="0" collapsed="false">
      <c r="H5252" s="0" t="str">
        <f aca="false">IF(B5252="","",IF(COUNTIF(Campaigns!$A$7:$A$300,B5252)&gt;0,"✓","⚠ add to Campaigns tab"))</f>
        <v/>
      </c>
      <c r="I5252" s="84" t="str">
        <f aca="false">IF(C5252="","",C5252*IF(Settings!$B$22=Settings!$C$6,1,IF(Settings!$B$22="USD",1/INDEX(Settings!$B$29:$B$40,MONTH(A5252)),INDEX(Settings!$B$29:$B$40,MONTH(A5252)))))</f>
        <v/>
      </c>
    </row>
    <row r="5253" customFormat="false" ht="15" hidden="false" customHeight="false" outlineLevel="0" collapsed="false">
      <c r="H5253" s="0" t="str">
        <f aca="false">IF(B5253="","",IF(COUNTIF(Campaigns!$A$7:$A$300,B5253)&gt;0,"✓","⚠ add to Campaigns tab"))</f>
        <v/>
      </c>
      <c r="I5253" s="84" t="str">
        <f aca="false">IF(C5253="","",C5253*IF(Settings!$B$22=Settings!$C$6,1,IF(Settings!$B$22="USD",1/INDEX(Settings!$B$29:$B$40,MONTH(A5253)),INDEX(Settings!$B$29:$B$40,MONTH(A5253)))))</f>
        <v/>
      </c>
    </row>
    <row r="5254" customFormat="false" ht="15" hidden="false" customHeight="false" outlineLevel="0" collapsed="false">
      <c r="H5254" s="0" t="str">
        <f aca="false">IF(B5254="","",IF(COUNTIF(Campaigns!$A$7:$A$300,B5254)&gt;0,"✓","⚠ add to Campaigns tab"))</f>
        <v/>
      </c>
      <c r="I5254" s="84" t="str">
        <f aca="false">IF(C5254="","",C5254*IF(Settings!$B$22=Settings!$C$6,1,IF(Settings!$B$22="USD",1/INDEX(Settings!$B$29:$B$40,MONTH(A5254)),INDEX(Settings!$B$29:$B$40,MONTH(A5254)))))</f>
        <v/>
      </c>
    </row>
    <row r="5255" customFormat="false" ht="15" hidden="false" customHeight="false" outlineLevel="0" collapsed="false">
      <c r="H5255" s="0" t="str">
        <f aca="false">IF(B5255="","",IF(COUNTIF(Campaigns!$A$7:$A$300,B5255)&gt;0,"✓","⚠ add to Campaigns tab"))</f>
        <v/>
      </c>
      <c r="I5255" s="84" t="str">
        <f aca="false">IF(C5255="","",C5255*IF(Settings!$B$22=Settings!$C$6,1,IF(Settings!$B$22="USD",1/INDEX(Settings!$B$29:$B$40,MONTH(A5255)),INDEX(Settings!$B$29:$B$40,MONTH(A5255)))))</f>
        <v/>
      </c>
    </row>
    <row r="5256" customFormat="false" ht="15" hidden="false" customHeight="false" outlineLevel="0" collapsed="false">
      <c r="H5256" s="0" t="str">
        <f aca="false">IF(B5256="","",IF(COUNTIF(Campaigns!$A$7:$A$300,B5256)&gt;0,"✓","⚠ add to Campaigns tab"))</f>
        <v/>
      </c>
      <c r="I5256" s="84" t="str">
        <f aca="false">IF(C5256="","",C5256*IF(Settings!$B$22=Settings!$C$6,1,IF(Settings!$B$22="USD",1/INDEX(Settings!$B$29:$B$40,MONTH(A5256)),INDEX(Settings!$B$29:$B$40,MONTH(A5256)))))</f>
        <v/>
      </c>
    </row>
    <row r="5257" customFormat="false" ht="15" hidden="false" customHeight="false" outlineLevel="0" collapsed="false">
      <c r="H5257" s="0" t="str">
        <f aca="false">IF(B5257="","",IF(COUNTIF(Campaigns!$A$7:$A$300,B5257)&gt;0,"✓","⚠ add to Campaigns tab"))</f>
        <v/>
      </c>
      <c r="I5257" s="84" t="str">
        <f aca="false">IF(C5257="","",C5257*IF(Settings!$B$22=Settings!$C$6,1,IF(Settings!$B$22="USD",1/INDEX(Settings!$B$29:$B$40,MONTH(A5257)),INDEX(Settings!$B$29:$B$40,MONTH(A5257)))))</f>
        <v/>
      </c>
    </row>
    <row r="5258" customFormat="false" ht="15" hidden="false" customHeight="false" outlineLevel="0" collapsed="false">
      <c r="H5258" s="0" t="str">
        <f aca="false">IF(B5258="","",IF(COUNTIF(Campaigns!$A$7:$A$300,B5258)&gt;0,"✓","⚠ add to Campaigns tab"))</f>
        <v/>
      </c>
      <c r="I5258" s="84" t="str">
        <f aca="false">IF(C5258="","",C5258*IF(Settings!$B$22=Settings!$C$6,1,IF(Settings!$B$22="USD",1/INDEX(Settings!$B$29:$B$40,MONTH(A5258)),INDEX(Settings!$B$29:$B$40,MONTH(A5258)))))</f>
        <v/>
      </c>
    </row>
    <row r="5259" customFormat="false" ht="15" hidden="false" customHeight="false" outlineLevel="0" collapsed="false">
      <c r="H5259" s="0" t="str">
        <f aca="false">IF(B5259="","",IF(COUNTIF(Campaigns!$A$7:$A$300,B5259)&gt;0,"✓","⚠ add to Campaigns tab"))</f>
        <v/>
      </c>
      <c r="I5259" s="84" t="str">
        <f aca="false">IF(C5259="","",C5259*IF(Settings!$B$22=Settings!$C$6,1,IF(Settings!$B$22="USD",1/INDEX(Settings!$B$29:$B$40,MONTH(A5259)),INDEX(Settings!$B$29:$B$40,MONTH(A5259)))))</f>
        <v/>
      </c>
    </row>
    <row r="5260" customFormat="false" ht="15" hidden="false" customHeight="false" outlineLevel="0" collapsed="false">
      <c r="H5260" s="0" t="str">
        <f aca="false">IF(B5260="","",IF(COUNTIF(Campaigns!$A$7:$A$300,B5260)&gt;0,"✓","⚠ add to Campaigns tab"))</f>
        <v/>
      </c>
      <c r="I5260" s="84" t="str">
        <f aca="false">IF(C5260="","",C5260*IF(Settings!$B$22=Settings!$C$6,1,IF(Settings!$B$22="USD",1/INDEX(Settings!$B$29:$B$40,MONTH(A5260)),INDEX(Settings!$B$29:$B$40,MONTH(A5260)))))</f>
        <v/>
      </c>
    </row>
    <row r="5261" customFormat="false" ht="15" hidden="false" customHeight="false" outlineLevel="0" collapsed="false">
      <c r="H5261" s="0" t="str">
        <f aca="false">IF(B5261="","",IF(COUNTIF(Campaigns!$A$7:$A$300,B5261)&gt;0,"✓","⚠ add to Campaigns tab"))</f>
        <v/>
      </c>
      <c r="I5261" s="84" t="str">
        <f aca="false">IF(C5261="","",C5261*IF(Settings!$B$22=Settings!$C$6,1,IF(Settings!$B$22="USD",1/INDEX(Settings!$B$29:$B$40,MONTH(A5261)),INDEX(Settings!$B$29:$B$40,MONTH(A5261)))))</f>
        <v/>
      </c>
    </row>
    <row r="5262" customFormat="false" ht="15" hidden="false" customHeight="false" outlineLevel="0" collapsed="false">
      <c r="H5262" s="0" t="str">
        <f aca="false">IF(B5262="","",IF(COUNTIF(Campaigns!$A$7:$A$300,B5262)&gt;0,"✓","⚠ add to Campaigns tab"))</f>
        <v/>
      </c>
      <c r="I5262" s="84" t="str">
        <f aca="false">IF(C5262="","",C5262*IF(Settings!$B$22=Settings!$C$6,1,IF(Settings!$B$22="USD",1/INDEX(Settings!$B$29:$B$40,MONTH(A5262)),INDEX(Settings!$B$29:$B$40,MONTH(A5262)))))</f>
        <v/>
      </c>
    </row>
    <row r="5263" customFormat="false" ht="15" hidden="false" customHeight="false" outlineLevel="0" collapsed="false">
      <c r="H5263" s="0" t="str">
        <f aca="false">IF(B5263="","",IF(COUNTIF(Campaigns!$A$7:$A$300,B5263)&gt;0,"✓","⚠ add to Campaigns tab"))</f>
        <v/>
      </c>
      <c r="I5263" s="84" t="str">
        <f aca="false">IF(C5263="","",C5263*IF(Settings!$B$22=Settings!$C$6,1,IF(Settings!$B$22="USD",1/INDEX(Settings!$B$29:$B$40,MONTH(A5263)),INDEX(Settings!$B$29:$B$40,MONTH(A5263)))))</f>
        <v/>
      </c>
    </row>
    <row r="5264" customFormat="false" ht="15" hidden="false" customHeight="false" outlineLevel="0" collapsed="false">
      <c r="H5264" s="0" t="str">
        <f aca="false">IF(B5264="","",IF(COUNTIF(Campaigns!$A$7:$A$300,B5264)&gt;0,"✓","⚠ add to Campaigns tab"))</f>
        <v/>
      </c>
      <c r="I5264" s="84" t="str">
        <f aca="false">IF(C5264="","",C5264*IF(Settings!$B$22=Settings!$C$6,1,IF(Settings!$B$22="USD",1/INDEX(Settings!$B$29:$B$40,MONTH(A5264)),INDEX(Settings!$B$29:$B$40,MONTH(A5264)))))</f>
        <v/>
      </c>
    </row>
    <row r="5265" customFormat="false" ht="15" hidden="false" customHeight="false" outlineLevel="0" collapsed="false">
      <c r="H5265" s="0" t="str">
        <f aca="false">IF(B5265="","",IF(COUNTIF(Campaigns!$A$7:$A$300,B5265)&gt;0,"✓","⚠ add to Campaigns tab"))</f>
        <v/>
      </c>
      <c r="I5265" s="84" t="str">
        <f aca="false">IF(C5265="","",C5265*IF(Settings!$B$22=Settings!$C$6,1,IF(Settings!$B$22="USD",1/INDEX(Settings!$B$29:$B$40,MONTH(A5265)),INDEX(Settings!$B$29:$B$40,MONTH(A5265)))))</f>
        <v/>
      </c>
    </row>
    <row r="5266" customFormat="false" ht="15" hidden="false" customHeight="false" outlineLevel="0" collapsed="false">
      <c r="H5266" s="0" t="str">
        <f aca="false">IF(B5266="","",IF(COUNTIF(Campaigns!$A$7:$A$300,B5266)&gt;0,"✓","⚠ add to Campaigns tab"))</f>
        <v/>
      </c>
      <c r="I5266" s="84" t="str">
        <f aca="false">IF(C5266="","",C5266*IF(Settings!$B$22=Settings!$C$6,1,IF(Settings!$B$22="USD",1/INDEX(Settings!$B$29:$B$40,MONTH(A5266)),INDEX(Settings!$B$29:$B$40,MONTH(A5266)))))</f>
        <v/>
      </c>
    </row>
    <row r="5267" customFormat="false" ht="15" hidden="false" customHeight="false" outlineLevel="0" collapsed="false">
      <c r="H5267" s="0" t="str">
        <f aca="false">IF(B5267="","",IF(COUNTIF(Campaigns!$A$7:$A$300,B5267)&gt;0,"✓","⚠ add to Campaigns tab"))</f>
        <v/>
      </c>
      <c r="I5267" s="84" t="str">
        <f aca="false">IF(C5267="","",C5267*IF(Settings!$B$22=Settings!$C$6,1,IF(Settings!$B$22="USD",1/INDEX(Settings!$B$29:$B$40,MONTH(A5267)),INDEX(Settings!$B$29:$B$40,MONTH(A5267)))))</f>
        <v/>
      </c>
    </row>
    <row r="5268" customFormat="false" ht="15" hidden="false" customHeight="false" outlineLevel="0" collapsed="false">
      <c r="H5268" s="0" t="str">
        <f aca="false">IF(B5268="","",IF(COUNTIF(Campaigns!$A$7:$A$300,B5268)&gt;0,"✓","⚠ add to Campaigns tab"))</f>
        <v/>
      </c>
      <c r="I5268" s="84" t="str">
        <f aca="false">IF(C5268="","",C5268*IF(Settings!$B$22=Settings!$C$6,1,IF(Settings!$B$22="USD",1/INDEX(Settings!$B$29:$B$40,MONTH(A5268)),INDEX(Settings!$B$29:$B$40,MONTH(A5268)))))</f>
        <v/>
      </c>
    </row>
    <row r="5269" customFormat="false" ht="15" hidden="false" customHeight="false" outlineLevel="0" collapsed="false">
      <c r="H5269" s="0" t="str">
        <f aca="false">IF(B5269="","",IF(COUNTIF(Campaigns!$A$7:$A$300,B5269)&gt;0,"✓","⚠ add to Campaigns tab"))</f>
        <v/>
      </c>
      <c r="I5269" s="84" t="str">
        <f aca="false">IF(C5269="","",C5269*IF(Settings!$B$22=Settings!$C$6,1,IF(Settings!$B$22="USD",1/INDEX(Settings!$B$29:$B$40,MONTH(A5269)),INDEX(Settings!$B$29:$B$40,MONTH(A5269)))))</f>
        <v/>
      </c>
    </row>
    <row r="5270" customFormat="false" ht="15" hidden="false" customHeight="false" outlineLevel="0" collapsed="false">
      <c r="H5270" s="0" t="str">
        <f aca="false">IF(B5270="","",IF(COUNTIF(Campaigns!$A$7:$A$300,B5270)&gt;0,"✓","⚠ add to Campaigns tab"))</f>
        <v/>
      </c>
      <c r="I5270" s="84" t="str">
        <f aca="false">IF(C5270="","",C5270*IF(Settings!$B$22=Settings!$C$6,1,IF(Settings!$B$22="USD",1/INDEX(Settings!$B$29:$B$40,MONTH(A5270)),INDEX(Settings!$B$29:$B$40,MONTH(A5270)))))</f>
        <v/>
      </c>
    </row>
    <row r="5271" customFormat="false" ht="15" hidden="false" customHeight="false" outlineLevel="0" collapsed="false">
      <c r="H5271" s="0" t="str">
        <f aca="false">IF(B5271="","",IF(COUNTIF(Campaigns!$A$7:$A$300,B5271)&gt;0,"✓","⚠ add to Campaigns tab"))</f>
        <v/>
      </c>
      <c r="I5271" s="84" t="str">
        <f aca="false">IF(C5271="","",C5271*IF(Settings!$B$22=Settings!$C$6,1,IF(Settings!$B$22="USD",1/INDEX(Settings!$B$29:$B$40,MONTH(A5271)),INDEX(Settings!$B$29:$B$40,MONTH(A5271)))))</f>
        <v/>
      </c>
    </row>
    <row r="5272" customFormat="false" ht="15" hidden="false" customHeight="false" outlineLevel="0" collapsed="false">
      <c r="H5272" s="0" t="str">
        <f aca="false">IF(B5272="","",IF(COUNTIF(Campaigns!$A$7:$A$300,B5272)&gt;0,"✓","⚠ add to Campaigns tab"))</f>
        <v/>
      </c>
      <c r="I5272" s="84" t="str">
        <f aca="false">IF(C5272="","",C5272*IF(Settings!$B$22=Settings!$C$6,1,IF(Settings!$B$22="USD",1/INDEX(Settings!$B$29:$B$40,MONTH(A5272)),INDEX(Settings!$B$29:$B$40,MONTH(A5272)))))</f>
        <v/>
      </c>
    </row>
    <row r="5273" customFormat="false" ht="15" hidden="false" customHeight="false" outlineLevel="0" collapsed="false">
      <c r="H5273" s="0" t="str">
        <f aca="false">IF(B5273="","",IF(COUNTIF(Campaigns!$A$7:$A$300,B5273)&gt;0,"✓","⚠ add to Campaigns tab"))</f>
        <v/>
      </c>
      <c r="I5273" s="84" t="str">
        <f aca="false">IF(C5273="","",C5273*IF(Settings!$B$22=Settings!$C$6,1,IF(Settings!$B$22="USD",1/INDEX(Settings!$B$29:$B$40,MONTH(A5273)),INDEX(Settings!$B$29:$B$40,MONTH(A5273)))))</f>
        <v/>
      </c>
    </row>
    <row r="5274" customFormat="false" ht="15" hidden="false" customHeight="false" outlineLevel="0" collapsed="false">
      <c r="H5274" s="0" t="str">
        <f aca="false">IF(B5274="","",IF(COUNTIF(Campaigns!$A$7:$A$300,B5274)&gt;0,"✓","⚠ add to Campaigns tab"))</f>
        <v/>
      </c>
      <c r="I5274" s="84" t="str">
        <f aca="false">IF(C5274="","",C5274*IF(Settings!$B$22=Settings!$C$6,1,IF(Settings!$B$22="USD",1/INDEX(Settings!$B$29:$B$40,MONTH(A5274)),INDEX(Settings!$B$29:$B$40,MONTH(A5274)))))</f>
        <v/>
      </c>
    </row>
    <row r="5275" customFormat="false" ht="15" hidden="false" customHeight="false" outlineLevel="0" collapsed="false">
      <c r="H5275" s="0" t="str">
        <f aca="false">IF(B5275="","",IF(COUNTIF(Campaigns!$A$7:$A$300,B5275)&gt;0,"✓","⚠ add to Campaigns tab"))</f>
        <v/>
      </c>
      <c r="I5275" s="84" t="str">
        <f aca="false">IF(C5275="","",C5275*IF(Settings!$B$22=Settings!$C$6,1,IF(Settings!$B$22="USD",1/INDEX(Settings!$B$29:$B$40,MONTH(A5275)),INDEX(Settings!$B$29:$B$40,MONTH(A5275)))))</f>
        <v/>
      </c>
    </row>
    <row r="5276" customFormat="false" ht="15" hidden="false" customHeight="false" outlineLevel="0" collapsed="false">
      <c r="H5276" s="0" t="str">
        <f aca="false">IF(B5276="","",IF(COUNTIF(Campaigns!$A$7:$A$300,B5276)&gt;0,"✓","⚠ add to Campaigns tab"))</f>
        <v/>
      </c>
      <c r="I5276" s="84" t="str">
        <f aca="false">IF(C5276="","",C5276*IF(Settings!$B$22=Settings!$C$6,1,IF(Settings!$B$22="USD",1/INDEX(Settings!$B$29:$B$40,MONTH(A5276)),INDEX(Settings!$B$29:$B$40,MONTH(A5276)))))</f>
        <v/>
      </c>
    </row>
    <row r="5277" customFormat="false" ht="15" hidden="false" customHeight="false" outlineLevel="0" collapsed="false">
      <c r="H5277" s="0" t="str">
        <f aca="false">IF(B5277="","",IF(COUNTIF(Campaigns!$A$7:$A$300,B5277)&gt;0,"✓","⚠ add to Campaigns tab"))</f>
        <v/>
      </c>
      <c r="I5277" s="84" t="str">
        <f aca="false">IF(C5277="","",C5277*IF(Settings!$B$22=Settings!$C$6,1,IF(Settings!$B$22="USD",1/INDEX(Settings!$B$29:$B$40,MONTH(A5277)),INDEX(Settings!$B$29:$B$40,MONTH(A5277)))))</f>
        <v/>
      </c>
    </row>
    <row r="5278" customFormat="false" ht="15" hidden="false" customHeight="false" outlineLevel="0" collapsed="false">
      <c r="H5278" s="0" t="str">
        <f aca="false">IF(B5278="","",IF(COUNTIF(Campaigns!$A$7:$A$300,B5278)&gt;0,"✓","⚠ add to Campaigns tab"))</f>
        <v/>
      </c>
      <c r="I5278" s="84" t="str">
        <f aca="false">IF(C5278="","",C5278*IF(Settings!$B$22=Settings!$C$6,1,IF(Settings!$B$22="USD",1/INDEX(Settings!$B$29:$B$40,MONTH(A5278)),INDEX(Settings!$B$29:$B$40,MONTH(A5278)))))</f>
        <v/>
      </c>
    </row>
    <row r="5279" customFormat="false" ht="15" hidden="false" customHeight="false" outlineLevel="0" collapsed="false">
      <c r="H5279" s="0" t="str">
        <f aca="false">IF(B5279="","",IF(COUNTIF(Campaigns!$A$7:$A$300,B5279)&gt;0,"✓","⚠ add to Campaigns tab"))</f>
        <v/>
      </c>
      <c r="I5279" s="84" t="str">
        <f aca="false">IF(C5279="","",C5279*IF(Settings!$B$22=Settings!$C$6,1,IF(Settings!$B$22="USD",1/INDEX(Settings!$B$29:$B$40,MONTH(A5279)),INDEX(Settings!$B$29:$B$40,MONTH(A5279)))))</f>
        <v/>
      </c>
    </row>
    <row r="5280" customFormat="false" ht="15" hidden="false" customHeight="false" outlineLevel="0" collapsed="false">
      <c r="H5280" s="0" t="str">
        <f aca="false">IF(B5280="","",IF(COUNTIF(Campaigns!$A$7:$A$300,B5280)&gt;0,"✓","⚠ add to Campaigns tab"))</f>
        <v/>
      </c>
      <c r="I5280" s="84" t="str">
        <f aca="false">IF(C5280="","",C5280*IF(Settings!$B$22=Settings!$C$6,1,IF(Settings!$B$22="USD",1/INDEX(Settings!$B$29:$B$40,MONTH(A5280)),INDEX(Settings!$B$29:$B$40,MONTH(A5280)))))</f>
        <v/>
      </c>
    </row>
    <row r="5281" customFormat="false" ht="15" hidden="false" customHeight="false" outlineLevel="0" collapsed="false">
      <c r="H5281" s="0" t="str">
        <f aca="false">IF(B5281="","",IF(COUNTIF(Campaigns!$A$7:$A$300,B5281)&gt;0,"✓","⚠ add to Campaigns tab"))</f>
        <v/>
      </c>
      <c r="I5281" s="84" t="str">
        <f aca="false">IF(C5281="","",C5281*IF(Settings!$B$22=Settings!$C$6,1,IF(Settings!$B$22="USD",1/INDEX(Settings!$B$29:$B$40,MONTH(A5281)),INDEX(Settings!$B$29:$B$40,MONTH(A5281)))))</f>
        <v/>
      </c>
    </row>
    <row r="5282" customFormat="false" ht="15" hidden="false" customHeight="false" outlineLevel="0" collapsed="false">
      <c r="H5282" s="0" t="str">
        <f aca="false">IF(B5282="","",IF(COUNTIF(Campaigns!$A$7:$A$300,B5282)&gt;0,"✓","⚠ add to Campaigns tab"))</f>
        <v/>
      </c>
      <c r="I5282" s="84" t="str">
        <f aca="false">IF(C5282="","",C5282*IF(Settings!$B$22=Settings!$C$6,1,IF(Settings!$B$22="USD",1/INDEX(Settings!$B$29:$B$40,MONTH(A5282)),INDEX(Settings!$B$29:$B$40,MONTH(A5282)))))</f>
        <v/>
      </c>
    </row>
    <row r="5283" customFormat="false" ht="15" hidden="false" customHeight="false" outlineLevel="0" collapsed="false">
      <c r="H5283" s="0" t="str">
        <f aca="false">IF(B5283="","",IF(COUNTIF(Campaigns!$A$7:$A$300,B5283)&gt;0,"✓","⚠ add to Campaigns tab"))</f>
        <v/>
      </c>
      <c r="I5283" s="84" t="str">
        <f aca="false">IF(C5283="","",C5283*IF(Settings!$B$22=Settings!$C$6,1,IF(Settings!$B$22="USD",1/INDEX(Settings!$B$29:$B$40,MONTH(A5283)),INDEX(Settings!$B$29:$B$40,MONTH(A5283)))))</f>
        <v/>
      </c>
    </row>
    <row r="5284" customFormat="false" ht="15" hidden="false" customHeight="false" outlineLevel="0" collapsed="false">
      <c r="H5284" s="0" t="str">
        <f aca="false">IF(B5284="","",IF(COUNTIF(Campaigns!$A$7:$A$300,B5284)&gt;0,"✓","⚠ add to Campaigns tab"))</f>
        <v/>
      </c>
      <c r="I5284" s="84" t="str">
        <f aca="false">IF(C5284="","",C5284*IF(Settings!$B$22=Settings!$C$6,1,IF(Settings!$B$22="USD",1/INDEX(Settings!$B$29:$B$40,MONTH(A5284)),INDEX(Settings!$B$29:$B$40,MONTH(A5284)))))</f>
        <v/>
      </c>
    </row>
    <row r="5285" customFormat="false" ht="15" hidden="false" customHeight="false" outlineLevel="0" collapsed="false">
      <c r="H5285" s="0" t="str">
        <f aca="false">IF(B5285="","",IF(COUNTIF(Campaigns!$A$7:$A$300,B5285)&gt;0,"✓","⚠ add to Campaigns tab"))</f>
        <v/>
      </c>
      <c r="I5285" s="84" t="str">
        <f aca="false">IF(C5285="","",C5285*IF(Settings!$B$22=Settings!$C$6,1,IF(Settings!$B$22="USD",1/INDEX(Settings!$B$29:$B$40,MONTH(A5285)),INDEX(Settings!$B$29:$B$40,MONTH(A5285)))))</f>
        <v/>
      </c>
    </row>
    <row r="5286" customFormat="false" ht="15" hidden="false" customHeight="false" outlineLevel="0" collapsed="false">
      <c r="H5286" s="0" t="str">
        <f aca="false">IF(B5286="","",IF(COUNTIF(Campaigns!$A$7:$A$300,B5286)&gt;0,"✓","⚠ add to Campaigns tab"))</f>
        <v/>
      </c>
      <c r="I5286" s="84" t="str">
        <f aca="false">IF(C5286="","",C5286*IF(Settings!$B$22=Settings!$C$6,1,IF(Settings!$B$22="USD",1/INDEX(Settings!$B$29:$B$40,MONTH(A5286)),INDEX(Settings!$B$29:$B$40,MONTH(A5286)))))</f>
        <v/>
      </c>
    </row>
    <row r="5287" customFormat="false" ht="15" hidden="false" customHeight="false" outlineLevel="0" collapsed="false">
      <c r="H5287" s="0" t="str">
        <f aca="false">IF(B5287="","",IF(COUNTIF(Campaigns!$A$7:$A$300,B5287)&gt;0,"✓","⚠ add to Campaigns tab"))</f>
        <v/>
      </c>
      <c r="I5287" s="84" t="str">
        <f aca="false">IF(C5287="","",C5287*IF(Settings!$B$22=Settings!$C$6,1,IF(Settings!$B$22="USD",1/INDEX(Settings!$B$29:$B$40,MONTH(A5287)),INDEX(Settings!$B$29:$B$40,MONTH(A5287)))))</f>
        <v/>
      </c>
    </row>
    <row r="5288" customFormat="false" ht="15" hidden="false" customHeight="false" outlineLevel="0" collapsed="false">
      <c r="H5288" s="0" t="str">
        <f aca="false">IF(B5288="","",IF(COUNTIF(Campaigns!$A$7:$A$300,B5288)&gt;0,"✓","⚠ add to Campaigns tab"))</f>
        <v/>
      </c>
      <c r="I5288" s="84" t="str">
        <f aca="false">IF(C5288="","",C5288*IF(Settings!$B$22=Settings!$C$6,1,IF(Settings!$B$22="USD",1/INDEX(Settings!$B$29:$B$40,MONTH(A5288)),INDEX(Settings!$B$29:$B$40,MONTH(A5288)))))</f>
        <v/>
      </c>
    </row>
    <row r="5289" customFormat="false" ht="15" hidden="false" customHeight="false" outlineLevel="0" collapsed="false">
      <c r="H5289" s="0" t="str">
        <f aca="false">IF(B5289="","",IF(COUNTIF(Campaigns!$A$7:$A$300,B5289)&gt;0,"✓","⚠ add to Campaigns tab"))</f>
        <v/>
      </c>
      <c r="I5289" s="84" t="str">
        <f aca="false">IF(C5289="","",C5289*IF(Settings!$B$22=Settings!$C$6,1,IF(Settings!$B$22="USD",1/INDEX(Settings!$B$29:$B$40,MONTH(A5289)),INDEX(Settings!$B$29:$B$40,MONTH(A5289)))))</f>
        <v/>
      </c>
    </row>
    <row r="5290" customFormat="false" ht="15" hidden="false" customHeight="false" outlineLevel="0" collapsed="false">
      <c r="H5290" s="0" t="str">
        <f aca="false">IF(B5290="","",IF(COUNTIF(Campaigns!$A$7:$A$300,B5290)&gt;0,"✓","⚠ add to Campaigns tab"))</f>
        <v/>
      </c>
      <c r="I5290" s="84" t="str">
        <f aca="false">IF(C5290="","",C5290*IF(Settings!$B$22=Settings!$C$6,1,IF(Settings!$B$22="USD",1/INDEX(Settings!$B$29:$B$40,MONTH(A5290)),INDEX(Settings!$B$29:$B$40,MONTH(A5290)))))</f>
        <v/>
      </c>
    </row>
    <row r="5291" customFormat="false" ht="15" hidden="false" customHeight="false" outlineLevel="0" collapsed="false">
      <c r="H5291" s="0" t="str">
        <f aca="false">IF(B5291="","",IF(COUNTIF(Campaigns!$A$7:$A$300,B5291)&gt;0,"✓","⚠ add to Campaigns tab"))</f>
        <v/>
      </c>
      <c r="I5291" s="84" t="str">
        <f aca="false">IF(C5291="","",C5291*IF(Settings!$B$22=Settings!$C$6,1,IF(Settings!$B$22="USD",1/INDEX(Settings!$B$29:$B$40,MONTH(A5291)),INDEX(Settings!$B$29:$B$40,MONTH(A5291)))))</f>
        <v/>
      </c>
    </row>
    <row r="5292" customFormat="false" ht="15" hidden="false" customHeight="false" outlineLevel="0" collapsed="false">
      <c r="H5292" s="0" t="str">
        <f aca="false">IF(B5292="","",IF(COUNTIF(Campaigns!$A$7:$A$300,B5292)&gt;0,"✓","⚠ add to Campaigns tab"))</f>
        <v/>
      </c>
      <c r="I5292" s="84" t="str">
        <f aca="false">IF(C5292="","",C5292*IF(Settings!$B$22=Settings!$C$6,1,IF(Settings!$B$22="USD",1/INDEX(Settings!$B$29:$B$40,MONTH(A5292)),INDEX(Settings!$B$29:$B$40,MONTH(A5292)))))</f>
        <v/>
      </c>
    </row>
    <row r="5293" customFormat="false" ht="15" hidden="false" customHeight="false" outlineLevel="0" collapsed="false">
      <c r="H5293" s="0" t="str">
        <f aca="false">IF(B5293="","",IF(COUNTIF(Campaigns!$A$7:$A$300,B5293)&gt;0,"✓","⚠ add to Campaigns tab"))</f>
        <v/>
      </c>
      <c r="I5293" s="84" t="str">
        <f aca="false">IF(C5293="","",C5293*IF(Settings!$B$22=Settings!$C$6,1,IF(Settings!$B$22="USD",1/INDEX(Settings!$B$29:$B$40,MONTH(A5293)),INDEX(Settings!$B$29:$B$40,MONTH(A5293)))))</f>
        <v/>
      </c>
    </row>
    <row r="5294" customFormat="false" ht="15" hidden="false" customHeight="false" outlineLevel="0" collapsed="false">
      <c r="H5294" s="0" t="str">
        <f aca="false">IF(B5294="","",IF(COUNTIF(Campaigns!$A$7:$A$300,B5294)&gt;0,"✓","⚠ add to Campaigns tab"))</f>
        <v/>
      </c>
      <c r="I5294" s="84" t="str">
        <f aca="false">IF(C5294="","",C5294*IF(Settings!$B$22=Settings!$C$6,1,IF(Settings!$B$22="USD",1/INDEX(Settings!$B$29:$B$40,MONTH(A5294)),INDEX(Settings!$B$29:$B$40,MONTH(A5294)))))</f>
        <v/>
      </c>
    </row>
    <row r="5295" customFormat="false" ht="15" hidden="false" customHeight="false" outlineLevel="0" collapsed="false">
      <c r="H5295" s="0" t="str">
        <f aca="false">IF(B5295="","",IF(COUNTIF(Campaigns!$A$7:$A$300,B5295)&gt;0,"✓","⚠ add to Campaigns tab"))</f>
        <v/>
      </c>
      <c r="I5295" s="84" t="str">
        <f aca="false">IF(C5295="","",C5295*IF(Settings!$B$22=Settings!$C$6,1,IF(Settings!$B$22="USD",1/INDEX(Settings!$B$29:$B$40,MONTH(A5295)),INDEX(Settings!$B$29:$B$40,MONTH(A5295)))))</f>
        <v/>
      </c>
    </row>
    <row r="5296" customFormat="false" ht="15" hidden="false" customHeight="false" outlineLevel="0" collapsed="false">
      <c r="H5296" s="0" t="str">
        <f aca="false">IF(B5296="","",IF(COUNTIF(Campaigns!$A$7:$A$300,B5296)&gt;0,"✓","⚠ add to Campaigns tab"))</f>
        <v/>
      </c>
      <c r="I5296" s="84" t="str">
        <f aca="false">IF(C5296="","",C5296*IF(Settings!$B$22=Settings!$C$6,1,IF(Settings!$B$22="USD",1/INDEX(Settings!$B$29:$B$40,MONTH(A5296)),INDEX(Settings!$B$29:$B$40,MONTH(A5296)))))</f>
        <v/>
      </c>
    </row>
    <row r="5297" customFormat="false" ht="15" hidden="false" customHeight="false" outlineLevel="0" collapsed="false">
      <c r="H5297" s="0" t="str">
        <f aca="false">IF(B5297="","",IF(COUNTIF(Campaigns!$A$7:$A$300,B5297)&gt;0,"✓","⚠ add to Campaigns tab"))</f>
        <v/>
      </c>
      <c r="I5297" s="84" t="str">
        <f aca="false">IF(C5297="","",C5297*IF(Settings!$B$22=Settings!$C$6,1,IF(Settings!$B$22="USD",1/INDEX(Settings!$B$29:$B$40,MONTH(A5297)),INDEX(Settings!$B$29:$B$40,MONTH(A5297)))))</f>
        <v/>
      </c>
    </row>
    <row r="5298" customFormat="false" ht="15" hidden="false" customHeight="false" outlineLevel="0" collapsed="false">
      <c r="H5298" s="0" t="str">
        <f aca="false">IF(B5298="","",IF(COUNTIF(Campaigns!$A$7:$A$300,B5298)&gt;0,"✓","⚠ add to Campaigns tab"))</f>
        <v/>
      </c>
      <c r="I5298" s="84" t="str">
        <f aca="false">IF(C5298="","",C5298*IF(Settings!$B$22=Settings!$C$6,1,IF(Settings!$B$22="USD",1/INDEX(Settings!$B$29:$B$40,MONTH(A5298)),INDEX(Settings!$B$29:$B$40,MONTH(A5298)))))</f>
        <v/>
      </c>
    </row>
    <row r="5299" customFormat="false" ht="15" hidden="false" customHeight="false" outlineLevel="0" collapsed="false">
      <c r="H5299" s="0" t="str">
        <f aca="false">IF(B5299="","",IF(COUNTIF(Campaigns!$A$7:$A$300,B5299)&gt;0,"✓","⚠ add to Campaigns tab"))</f>
        <v/>
      </c>
      <c r="I5299" s="84" t="str">
        <f aca="false">IF(C5299="","",C5299*IF(Settings!$B$22=Settings!$C$6,1,IF(Settings!$B$22="USD",1/INDEX(Settings!$B$29:$B$40,MONTH(A5299)),INDEX(Settings!$B$29:$B$40,MONTH(A5299)))))</f>
        <v/>
      </c>
    </row>
    <row r="5300" customFormat="false" ht="15" hidden="false" customHeight="false" outlineLevel="0" collapsed="false">
      <c r="H5300" s="0" t="str">
        <f aca="false">IF(B5300="","",IF(COUNTIF(Campaigns!$A$7:$A$300,B5300)&gt;0,"✓","⚠ add to Campaigns tab"))</f>
        <v/>
      </c>
      <c r="I5300" s="84" t="str">
        <f aca="false">IF(C5300="","",C5300*IF(Settings!$B$22=Settings!$C$6,1,IF(Settings!$B$22="USD",1/INDEX(Settings!$B$29:$B$40,MONTH(A5300)),INDEX(Settings!$B$29:$B$40,MONTH(A5300)))))</f>
        <v/>
      </c>
    </row>
    <row r="5301" customFormat="false" ht="15" hidden="false" customHeight="false" outlineLevel="0" collapsed="false">
      <c r="H5301" s="0" t="str">
        <f aca="false">IF(B5301="","",IF(COUNTIF(Campaigns!$A$7:$A$300,B5301)&gt;0,"✓","⚠ add to Campaigns tab"))</f>
        <v/>
      </c>
      <c r="I5301" s="84" t="str">
        <f aca="false">IF(C5301="","",C5301*IF(Settings!$B$22=Settings!$C$6,1,IF(Settings!$B$22="USD",1/INDEX(Settings!$B$29:$B$40,MONTH(A5301)),INDEX(Settings!$B$29:$B$40,MONTH(A5301)))))</f>
        <v/>
      </c>
    </row>
    <row r="5302" customFormat="false" ht="15" hidden="false" customHeight="false" outlineLevel="0" collapsed="false">
      <c r="H5302" s="0" t="str">
        <f aca="false">IF(B5302="","",IF(COUNTIF(Campaigns!$A$7:$A$300,B5302)&gt;0,"✓","⚠ add to Campaigns tab"))</f>
        <v/>
      </c>
      <c r="I5302" s="84" t="str">
        <f aca="false">IF(C5302="","",C5302*IF(Settings!$B$22=Settings!$C$6,1,IF(Settings!$B$22="USD",1/INDEX(Settings!$B$29:$B$40,MONTH(A5302)),INDEX(Settings!$B$29:$B$40,MONTH(A5302)))))</f>
        <v/>
      </c>
    </row>
    <row r="5303" customFormat="false" ht="15" hidden="false" customHeight="false" outlineLevel="0" collapsed="false">
      <c r="H5303" s="0" t="str">
        <f aca="false">IF(B5303="","",IF(COUNTIF(Campaigns!$A$7:$A$300,B5303)&gt;0,"✓","⚠ add to Campaigns tab"))</f>
        <v/>
      </c>
      <c r="I5303" s="84" t="str">
        <f aca="false">IF(C5303="","",C5303*IF(Settings!$B$22=Settings!$C$6,1,IF(Settings!$B$22="USD",1/INDEX(Settings!$B$29:$B$40,MONTH(A5303)),INDEX(Settings!$B$29:$B$40,MONTH(A5303)))))</f>
        <v/>
      </c>
    </row>
    <row r="5304" customFormat="false" ht="15" hidden="false" customHeight="false" outlineLevel="0" collapsed="false">
      <c r="H5304" s="0" t="str">
        <f aca="false">IF(B5304="","",IF(COUNTIF(Campaigns!$A$7:$A$300,B5304)&gt;0,"✓","⚠ add to Campaigns tab"))</f>
        <v/>
      </c>
      <c r="I5304" s="84" t="str">
        <f aca="false">IF(C5304="","",C5304*IF(Settings!$B$22=Settings!$C$6,1,IF(Settings!$B$22="USD",1/INDEX(Settings!$B$29:$B$40,MONTH(A5304)),INDEX(Settings!$B$29:$B$40,MONTH(A5304)))))</f>
        <v/>
      </c>
    </row>
    <row r="5305" customFormat="false" ht="15" hidden="false" customHeight="false" outlineLevel="0" collapsed="false">
      <c r="H5305" s="0" t="str">
        <f aca="false">IF(B5305="","",IF(COUNTIF(Campaigns!$A$7:$A$300,B5305)&gt;0,"✓","⚠ add to Campaigns tab"))</f>
        <v/>
      </c>
      <c r="I5305" s="84" t="str">
        <f aca="false">IF(C5305="","",C5305*IF(Settings!$B$22=Settings!$C$6,1,IF(Settings!$B$22="USD",1/INDEX(Settings!$B$29:$B$40,MONTH(A5305)),INDEX(Settings!$B$29:$B$40,MONTH(A5305)))))</f>
        <v/>
      </c>
    </row>
    <row r="5306" customFormat="false" ht="15" hidden="false" customHeight="false" outlineLevel="0" collapsed="false">
      <c r="H5306" s="0" t="str">
        <f aca="false">IF(B5306="","",IF(COUNTIF(Campaigns!$A$7:$A$300,B5306)&gt;0,"✓","⚠ add to Campaigns tab"))</f>
        <v/>
      </c>
      <c r="I5306" s="84" t="str">
        <f aca="false">IF(C5306="","",C5306*IF(Settings!$B$22=Settings!$C$6,1,IF(Settings!$B$22="USD",1/INDEX(Settings!$B$29:$B$40,MONTH(A5306)),INDEX(Settings!$B$29:$B$40,MONTH(A5306)))))</f>
        <v/>
      </c>
    </row>
    <row r="5307" customFormat="false" ht="15" hidden="false" customHeight="false" outlineLevel="0" collapsed="false">
      <c r="H5307" s="0" t="str">
        <f aca="false">IF(B5307="","",IF(COUNTIF(Campaigns!$A$7:$A$300,B5307)&gt;0,"✓","⚠ add to Campaigns tab"))</f>
        <v/>
      </c>
      <c r="I5307" s="84" t="str">
        <f aca="false">IF(C5307="","",C5307*IF(Settings!$B$22=Settings!$C$6,1,IF(Settings!$B$22="USD",1/INDEX(Settings!$B$29:$B$40,MONTH(A5307)),INDEX(Settings!$B$29:$B$40,MONTH(A5307)))))</f>
        <v/>
      </c>
    </row>
    <row r="5308" customFormat="false" ht="15" hidden="false" customHeight="false" outlineLevel="0" collapsed="false">
      <c r="H5308" s="0" t="str">
        <f aca="false">IF(B5308="","",IF(COUNTIF(Campaigns!$A$7:$A$300,B5308)&gt;0,"✓","⚠ add to Campaigns tab"))</f>
        <v/>
      </c>
      <c r="I5308" s="84" t="str">
        <f aca="false">IF(C5308="","",C5308*IF(Settings!$B$22=Settings!$C$6,1,IF(Settings!$B$22="USD",1/INDEX(Settings!$B$29:$B$40,MONTH(A5308)),INDEX(Settings!$B$29:$B$40,MONTH(A5308)))))</f>
        <v/>
      </c>
    </row>
    <row r="5309" customFormat="false" ht="15" hidden="false" customHeight="false" outlineLevel="0" collapsed="false">
      <c r="H5309" s="0" t="str">
        <f aca="false">IF(B5309="","",IF(COUNTIF(Campaigns!$A$7:$A$300,B5309)&gt;0,"✓","⚠ add to Campaigns tab"))</f>
        <v/>
      </c>
      <c r="I5309" s="84" t="str">
        <f aca="false">IF(C5309="","",C5309*IF(Settings!$B$22=Settings!$C$6,1,IF(Settings!$B$22="USD",1/INDEX(Settings!$B$29:$B$40,MONTH(A5309)),INDEX(Settings!$B$29:$B$40,MONTH(A5309)))))</f>
        <v/>
      </c>
    </row>
    <row r="5310" customFormat="false" ht="15" hidden="false" customHeight="false" outlineLevel="0" collapsed="false">
      <c r="H5310" s="0" t="str">
        <f aca="false">IF(B5310="","",IF(COUNTIF(Campaigns!$A$7:$A$300,B5310)&gt;0,"✓","⚠ add to Campaigns tab"))</f>
        <v/>
      </c>
      <c r="I5310" s="84" t="str">
        <f aca="false">IF(C5310="","",C5310*IF(Settings!$B$22=Settings!$C$6,1,IF(Settings!$B$22="USD",1/INDEX(Settings!$B$29:$B$40,MONTH(A5310)),INDEX(Settings!$B$29:$B$40,MONTH(A5310)))))</f>
        <v/>
      </c>
    </row>
    <row r="5311" customFormat="false" ht="15" hidden="false" customHeight="false" outlineLevel="0" collapsed="false">
      <c r="H5311" s="0" t="str">
        <f aca="false">IF(B5311="","",IF(COUNTIF(Campaigns!$A$7:$A$300,B5311)&gt;0,"✓","⚠ add to Campaigns tab"))</f>
        <v/>
      </c>
      <c r="I5311" s="84" t="str">
        <f aca="false">IF(C5311="","",C5311*IF(Settings!$B$22=Settings!$C$6,1,IF(Settings!$B$22="USD",1/INDEX(Settings!$B$29:$B$40,MONTH(A5311)),INDEX(Settings!$B$29:$B$40,MONTH(A5311)))))</f>
        <v/>
      </c>
    </row>
    <row r="5312" customFormat="false" ht="15" hidden="false" customHeight="false" outlineLevel="0" collapsed="false">
      <c r="H5312" s="0" t="str">
        <f aca="false">IF(B5312="","",IF(COUNTIF(Campaigns!$A$7:$A$300,B5312)&gt;0,"✓","⚠ add to Campaigns tab"))</f>
        <v/>
      </c>
      <c r="I5312" s="84" t="str">
        <f aca="false">IF(C5312="","",C5312*IF(Settings!$B$22=Settings!$C$6,1,IF(Settings!$B$22="USD",1/INDEX(Settings!$B$29:$B$40,MONTH(A5312)),INDEX(Settings!$B$29:$B$40,MONTH(A5312)))))</f>
        <v/>
      </c>
    </row>
    <row r="5313" customFormat="false" ht="15" hidden="false" customHeight="false" outlineLevel="0" collapsed="false">
      <c r="H5313" s="0" t="str">
        <f aca="false">IF(B5313="","",IF(COUNTIF(Campaigns!$A$7:$A$300,B5313)&gt;0,"✓","⚠ add to Campaigns tab"))</f>
        <v/>
      </c>
      <c r="I5313" s="84" t="str">
        <f aca="false">IF(C5313="","",C5313*IF(Settings!$B$22=Settings!$C$6,1,IF(Settings!$B$22="USD",1/INDEX(Settings!$B$29:$B$40,MONTH(A5313)),INDEX(Settings!$B$29:$B$40,MONTH(A5313)))))</f>
        <v/>
      </c>
    </row>
    <row r="5314" customFormat="false" ht="15" hidden="false" customHeight="false" outlineLevel="0" collapsed="false">
      <c r="H5314" s="0" t="str">
        <f aca="false">IF(B5314="","",IF(COUNTIF(Campaigns!$A$7:$A$300,B5314)&gt;0,"✓","⚠ add to Campaigns tab"))</f>
        <v/>
      </c>
      <c r="I5314" s="84" t="str">
        <f aca="false">IF(C5314="","",C5314*IF(Settings!$B$22=Settings!$C$6,1,IF(Settings!$B$22="USD",1/INDEX(Settings!$B$29:$B$40,MONTH(A5314)),INDEX(Settings!$B$29:$B$40,MONTH(A5314)))))</f>
        <v/>
      </c>
    </row>
    <row r="5315" customFormat="false" ht="15" hidden="false" customHeight="false" outlineLevel="0" collapsed="false">
      <c r="H5315" s="0" t="str">
        <f aca="false">IF(B5315="","",IF(COUNTIF(Campaigns!$A$7:$A$300,B5315)&gt;0,"✓","⚠ add to Campaigns tab"))</f>
        <v/>
      </c>
      <c r="I5315" s="84" t="str">
        <f aca="false">IF(C5315="","",C5315*IF(Settings!$B$22=Settings!$C$6,1,IF(Settings!$B$22="USD",1/INDEX(Settings!$B$29:$B$40,MONTH(A5315)),INDEX(Settings!$B$29:$B$40,MONTH(A5315)))))</f>
        <v/>
      </c>
    </row>
    <row r="5316" customFormat="false" ht="15" hidden="false" customHeight="false" outlineLevel="0" collapsed="false">
      <c r="H5316" s="0" t="str">
        <f aca="false">IF(B5316="","",IF(COUNTIF(Campaigns!$A$7:$A$300,B5316)&gt;0,"✓","⚠ add to Campaigns tab"))</f>
        <v/>
      </c>
      <c r="I5316" s="84" t="str">
        <f aca="false">IF(C5316="","",C5316*IF(Settings!$B$22=Settings!$C$6,1,IF(Settings!$B$22="USD",1/INDEX(Settings!$B$29:$B$40,MONTH(A5316)),INDEX(Settings!$B$29:$B$40,MONTH(A5316)))))</f>
        <v/>
      </c>
    </row>
    <row r="5317" customFormat="false" ht="15" hidden="false" customHeight="false" outlineLevel="0" collapsed="false">
      <c r="H5317" s="0" t="str">
        <f aca="false">IF(B5317="","",IF(COUNTIF(Campaigns!$A$7:$A$300,B5317)&gt;0,"✓","⚠ add to Campaigns tab"))</f>
        <v/>
      </c>
      <c r="I5317" s="84" t="str">
        <f aca="false">IF(C5317="","",C5317*IF(Settings!$B$22=Settings!$C$6,1,IF(Settings!$B$22="USD",1/INDEX(Settings!$B$29:$B$40,MONTH(A5317)),INDEX(Settings!$B$29:$B$40,MONTH(A5317)))))</f>
        <v/>
      </c>
    </row>
    <row r="5318" customFormat="false" ht="15" hidden="false" customHeight="false" outlineLevel="0" collapsed="false">
      <c r="H5318" s="0" t="str">
        <f aca="false">IF(B5318="","",IF(COUNTIF(Campaigns!$A$7:$A$300,B5318)&gt;0,"✓","⚠ add to Campaigns tab"))</f>
        <v/>
      </c>
      <c r="I5318" s="84" t="str">
        <f aca="false">IF(C5318="","",C5318*IF(Settings!$B$22=Settings!$C$6,1,IF(Settings!$B$22="USD",1/INDEX(Settings!$B$29:$B$40,MONTH(A5318)),INDEX(Settings!$B$29:$B$40,MONTH(A5318)))))</f>
        <v/>
      </c>
    </row>
    <row r="5319" customFormat="false" ht="15" hidden="false" customHeight="false" outlineLevel="0" collapsed="false">
      <c r="H5319" s="0" t="str">
        <f aca="false">IF(B5319="","",IF(COUNTIF(Campaigns!$A$7:$A$300,B5319)&gt;0,"✓","⚠ add to Campaigns tab"))</f>
        <v/>
      </c>
      <c r="I5319" s="84" t="str">
        <f aca="false">IF(C5319="","",C5319*IF(Settings!$B$22=Settings!$C$6,1,IF(Settings!$B$22="USD",1/INDEX(Settings!$B$29:$B$40,MONTH(A5319)),INDEX(Settings!$B$29:$B$40,MONTH(A5319)))))</f>
        <v/>
      </c>
    </row>
    <row r="5320" customFormat="false" ht="15" hidden="false" customHeight="false" outlineLevel="0" collapsed="false">
      <c r="H5320" s="0" t="str">
        <f aca="false">IF(B5320="","",IF(COUNTIF(Campaigns!$A$7:$A$300,B5320)&gt;0,"✓","⚠ add to Campaigns tab"))</f>
        <v/>
      </c>
      <c r="I5320" s="84" t="str">
        <f aca="false">IF(C5320="","",C5320*IF(Settings!$B$22=Settings!$C$6,1,IF(Settings!$B$22="USD",1/INDEX(Settings!$B$29:$B$40,MONTH(A5320)),INDEX(Settings!$B$29:$B$40,MONTH(A5320)))))</f>
        <v/>
      </c>
    </row>
    <row r="5321" customFormat="false" ht="15" hidden="false" customHeight="false" outlineLevel="0" collapsed="false">
      <c r="H5321" s="0" t="str">
        <f aca="false">IF(B5321="","",IF(COUNTIF(Campaigns!$A$7:$A$300,B5321)&gt;0,"✓","⚠ add to Campaigns tab"))</f>
        <v/>
      </c>
      <c r="I5321" s="84" t="str">
        <f aca="false">IF(C5321="","",C5321*IF(Settings!$B$22=Settings!$C$6,1,IF(Settings!$B$22="USD",1/INDEX(Settings!$B$29:$B$40,MONTH(A5321)),INDEX(Settings!$B$29:$B$40,MONTH(A5321)))))</f>
        <v/>
      </c>
    </row>
    <row r="5322" customFormat="false" ht="15" hidden="false" customHeight="false" outlineLevel="0" collapsed="false">
      <c r="H5322" s="0" t="str">
        <f aca="false">IF(B5322="","",IF(COUNTIF(Campaigns!$A$7:$A$300,B5322)&gt;0,"✓","⚠ add to Campaigns tab"))</f>
        <v/>
      </c>
      <c r="I5322" s="84" t="str">
        <f aca="false">IF(C5322="","",C5322*IF(Settings!$B$22=Settings!$C$6,1,IF(Settings!$B$22="USD",1/INDEX(Settings!$B$29:$B$40,MONTH(A5322)),INDEX(Settings!$B$29:$B$40,MONTH(A5322)))))</f>
        <v/>
      </c>
    </row>
    <row r="5323" customFormat="false" ht="15" hidden="false" customHeight="false" outlineLevel="0" collapsed="false">
      <c r="H5323" s="0" t="str">
        <f aca="false">IF(B5323="","",IF(COUNTIF(Campaigns!$A$7:$A$300,B5323)&gt;0,"✓","⚠ add to Campaigns tab"))</f>
        <v/>
      </c>
      <c r="I5323" s="84" t="str">
        <f aca="false">IF(C5323="","",C5323*IF(Settings!$B$22=Settings!$C$6,1,IF(Settings!$B$22="USD",1/INDEX(Settings!$B$29:$B$40,MONTH(A5323)),INDEX(Settings!$B$29:$B$40,MONTH(A5323)))))</f>
        <v/>
      </c>
    </row>
    <row r="5324" customFormat="false" ht="15" hidden="false" customHeight="false" outlineLevel="0" collapsed="false">
      <c r="H5324" s="0" t="str">
        <f aca="false">IF(B5324="","",IF(COUNTIF(Campaigns!$A$7:$A$300,B5324)&gt;0,"✓","⚠ add to Campaigns tab"))</f>
        <v/>
      </c>
      <c r="I5324" s="84" t="str">
        <f aca="false">IF(C5324="","",C5324*IF(Settings!$B$22=Settings!$C$6,1,IF(Settings!$B$22="USD",1/INDEX(Settings!$B$29:$B$40,MONTH(A5324)),INDEX(Settings!$B$29:$B$40,MONTH(A5324)))))</f>
        <v/>
      </c>
    </row>
    <row r="5325" customFormat="false" ht="15" hidden="false" customHeight="false" outlineLevel="0" collapsed="false">
      <c r="H5325" s="0" t="str">
        <f aca="false">IF(B5325="","",IF(COUNTIF(Campaigns!$A$7:$A$300,B5325)&gt;0,"✓","⚠ add to Campaigns tab"))</f>
        <v/>
      </c>
      <c r="I5325" s="84" t="str">
        <f aca="false">IF(C5325="","",C5325*IF(Settings!$B$22=Settings!$C$6,1,IF(Settings!$B$22="USD",1/INDEX(Settings!$B$29:$B$40,MONTH(A5325)),INDEX(Settings!$B$29:$B$40,MONTH(A5325)))))</f>
        <v/>
      </c>
    </row>
    <row r="5326" customFormat="false" ht="15" hidden="false" customHeight="false" outlineLevel="0" collapsed="false">
      <c r="H5326" s="0" t="str">
        <f aca="false">IF(B5326="","",IF(COUNTIF(Campaigns!$A$7:$A$300,B5326)&gt;0,"✓","⚠ add to Campaigns tab"))</f>
        <v/>
      </c>
      <c r="I5326" s="84" t="str">
        <f aca="false">IF(C5326="","",C5326*IF(Settings!$B$22=Settings!$C$6,1,IF(Settings!$B$22="USD",1/INDEX(Settings!$B$29:$B$40,MONTH(A5326)),INDEX(Settings!$B$29:$B$40,MONTH(A5326)))))</f>
        <v/>
      </c>
    </row>
    <row r="5327" customFormat="false" ht="15" hidden="false" customHeight="false" outlineLevel="0" collapsed="false">
      <c r="H5327" s="0" t="str">
        <f aca="false">IF(B5327="","",IF(COUNTIF(Campaigns!$A$7:$A$300,B5327)&gt;0,"✓","⚠ add to Campaigns tab"))</f>
        <v/>
      </c>
      <c r="I5327" s="84" t="str">
        <f aca="false">IF(C5327="","",C5327*IF(Settings!$B$22=Settings!$C$6,1,IF(Settings!$B$22="USD",1/INDEX(Settings!$B$29:$B$40,MONTH(A5327)),INDEX(Settings!$B$29:$B$40,MONTH(A5327)))))</f>
        <v/>
      </c>
    </row>
    <row r="5328" customFormat="false" ht="15" hidden="false" customHeight="false" outlineLevel="0" collapsed="false">
      <c r="H5328" s="0" t="str">
        <f aca="false">IF(B5328="","",IF(COUNTIF(Campaigns!$A$7:$A$300,B5328)&gt;0,"✓","⚠ add to Campaigns tab"))</f>
        <v/>
      </c>
      <c r="I5328" s="84" t="str">
        <f aca="false">IF(C5328="","",C5328*IF(Settings!$B$22=Settings!$C$6,1,IF(Settings!$B$22="USD",1/INDEX(Settings!$B$29:$B$40,MONTH(A5328)),INDEX(Settings!$B$29:$B$40,MONTH(A5328)))))</f>
        <v/>
      </c>
    </row>
    <row r="5329" customFormat="false" ht="15" hidden="false" customHeight="false" outlineLevel="0" collapsed="false">
      <c r="H5329" s="0" t="str">
        <f aca="false">IF(B5329="","",IF(COUNTIF(Campaigns!$A$7:$A$300,B5329)&gt;0,"✓","⚠ add to Campaigns tab"))</f>
        <v/>
      </c>
      <c r="I5329" s="84" t="str">
        <f aca="false">IF(C5329="","",C5329*IF(Settings!$B$22=Settings!$C$6,1,IF(Settings!$B$22="USD",1/INDEX(Settings!$B$29:$B$40,MONTH(A5329)),INDEX(Settings!$B$29:$B$40,MONTH(A5329)))))</f>
        <v/>
      </c>
    </row>
    <row r="5330" customFormat="false" ht="15" hidden="false" customHeight="false" outlineLevel="0" collapsed="false">
      <c r="H5330" s="0" t="str">
        <f aca="false">IF(B5330="","",IF(COUNTIF(Campaigns!$A$7:$A$300,B5330)&gt;0,"✓","⚠ add to Campaigns tab"))</f>
        <v/>
      </c>
      <c r="I5330" s="84" t="str">
        <f aca="false">IF(C5330="","",C5330*IF(Settings!$B$22=Settings!$C$6,1,IF(Settings!$B$22="USD",1/INDEX(Settings!$B$29:$B$40,MONTH(A5330)),INDEX(Settings!$B$29:$B$40,MONTH(A5330)))))</f>
        <v/>
      </c>
    </row>
    <row r="5331" customFormat="false" ht="15" hidden="false" customHeight="false" outlineLevel="0" collapsed="false">
      <c r="H5331" s="0" t="str">
        <f aca="false">IF(B5331="","",IF(COUNTIF(Campaigns!$A$7:$A$300,B5331)&gt;0,"✓","⚠ add to Campaigns tab"))</f>
        <v/>
      </c>
      <c r="I5331" s="84" t="str">
        <f aca="false">IF(C5331="","",C5331*IF(Settings!$B$22=Settings!$C$6,1,IF(Settings!$B$22="USD",1/INDEX(Settings!$B$29:$B$40,MONTH(A5331)),INDEX(Settings!$B$29:$B$40,MONTH(A5331)))))</f>
        <v/>
      </c>
    </row>
    <row r="5332" customFormat="false" ht="15" hidden="false" customHeight="false" outlineLevel="0" collapsed="false">
      <c r="H5332" s="0" t="str">
        <f aca="false">IF(B5332="","",IF(COUNTIF(Campaigns!$A$7:$A$300,B5332)&gt;0,"✓","⚠ add to Campaigns tab"))</f>
        <v/>
      </c>
      <c r="I5332" s="84" t="str">
        <f aca="false">IF(C5332="","",C5332*IF(Settings!$B$22=Settings!$C$6,1,IF(Settings!$B$22="USD",1/INDEX(Settings!$B$29:$B$40,MONTH(A5332)),INDEX(Settings!$B$29:$B$40,MONTH(A5332)))))</f>
        <v/>
      </c>
    </row>
    <row r="5333" customFormat="false" ht="15" hidden="false" customHeight="false" outlineLevel="0" collapsed="false">
      <c r="H5333" s="0" t="str">
        <f aca="false">IF(B5333="","",IF(COUNTIF(Campaigns!$A$7:$A$300,B5333)&gt;0,"✓","⚠ add to Campaigns tab"))</f>
        <v/>
      </c>
      <c r="I5333" s="84" t="str">
        <f aca="false">IF(C5333="","",C5333*IF(Settings!$B$22=Settings!$C$6,1,IF(Settings!$B$22="USD",1/INDEX(Settings!$B$29:$B$40,MONTH(A5333)),INDEX(Settings!$B$29:$B$40,MONTH(A5333)))))</f>
        <v/>
      </c>
    </row>
    <row r="5334" customFormat="false" ht="15" hidden="false" customHeight="false" outlineLevel="0" collapsed="false">
      <c r="H5334" s="0" t="str">
        <f aca="false">IF(B5334="","",IF(COUNTIF(Campaigns!$A$7:$A$300,B5334)&gt;0,"✓","⚠ add to Campaigns tab"))</f>
        <v/>
      </c>
      <c r="I5334" s="84" t="str">
        <f aca="false">IF(C5334="","",C5334*IF(Settings!$B$22=Settings!$C$6,1,IF(Settings!$B$22="USD",1/INDEX(Settings!$B$29:$B$40,MONTH(A5334)),INDEX(Settings!$B$29:$B$40,MONTH(A5334)))))</f>
        <v/>
      </c>
    </row>
    <row r="5335" customFormat="false" ht="15" hidden="false" customHeight="false" outlineLevel="0" collapsed="false">
      <c r="H5335" s="0" t="str">
        <f aca="false">IF(B5335="","",IF(COUNTIF(Campaigns!$A$7:$A$300,B5335)&gt;0,"✓","⚠ add to Campaigns tab"))</f>
        <v/>
      </c>
      <c r="I5335" s="84" t="str">
        <f aca="false">IF(C5335="","",C5335*IF(Settings!$B$22=Settings!$C$6,1,IF(Settings!$B$22="USD",1/INDEX(Settings!$B$29:$B$40,MONTH(A5335)),INDEX(Settings!$B$29:$B$40,MONTH(A5335)))))</f>
        <v/>
      </c>
    </row>
    <row r="5336" customFormat="false" ht="15" hidden="false" customHeight="false" outlineLevel="0" collapsed="false">
      <c r="H5336" s="0" t="str">
        <f aca="false">IF(B5336="","",IF(COUNTIF(Campaigns!$A$7:$A$300,B5336)&gt;0,"✓","⚠ add to Campaigns tab"))</f>
        <v/>
      </c>
      <c r="I5336" s="84" t="str">
        <f aca="false">IF(C5336="","",C5336*IF(Settings!$B$22=Settings!$C$6,1,IF(Settings!$B$22="USD",1/INDEX(Settings!$B$29:$B$40,MONTH(A5336)),INDEX(Settings!$B$29:$B$40,MONTH(A5336)))))</f>
        <v/>
      </c>
    </row>
    <row r="5337" customFormat="false" ht="15" hidden="false" customHeight="false" outlineLevel="0" collapsed="false">
      <c r="H5337" s="0" t="str">
        <f aca="false">IF(B5337="","",IF(COUNTIF(Campaigns!$A$7:$A$300,B5337)&gt;0,"✓","⚠ add to Campaigns tab"))</f>
        <v/>
      </c>
      <c r="I5337" s="84" t="str">
        <f aca="false">IF(C5337="","",C5337*IF(Settings!$B$22=Settings!$C$6,1,IF(Settings!$B$22="USD",1/INDEX(Settings!$B$29:$B$40,MONTH(A5337)),INDEX(Settings!$B$29:$B$40,MONTH(A5337)))))</f>
        <v/>
      </c>
    </row>
    <row r="5338" customFormat="false" ht="15" hidden="false" customHeight="false" outlineLevel="0" collapsed="false">
      <c r="H5338" s="0" t="str">
        <f aca="false">IF(B5338="","",IF(COUNTIF(Campaigns!$A$7:$A$300,B5338)&gt;0,"✓","⚠ add to Campaigns tab"))</f>
        <v/>
      </c>
      <c r="I5338" s="84" t="str">
        <f aca="false">IF(C5338="","",C5338*IF(Settings!$B$22=Settings!$C$6,1,IF(Settings!$B$22="USD",1/INDEX(Settings!$B$29:$B$40,MONTH(A5338)),INDEX(Settings!$B$29:$B$40,MONTH(A5338)))))</f>
        <v/>
      </c>
    </row>
    <row r="5339" customFormat="false" ht="15" hidden="false" customHeight="false" outlineLevel="0" collapsed="false">
      <c r="H5339" s="0" t="str">
        <f aca="false">IF(B5339="","",IF(COUNTIF(Campaigns!$A$7:$A$300,B5339)&gt;0,"✓","⚠ add to Campaigns tab"))</f>
        <v/>
      </c>
      <c r="I5339" s="84" t="str">
        <f aca="false">IF(C5339="","",C5339*IF(Settings!$B$22=Settings!$C$6,1,IF(Settings!$B$22="USD",1/INDEX(Settings!$B$29:$B$40,MONTH(A5339)),INDEX(Settings!$B$29:$B$40,MONTH(A5339)))))</f>
        <v/>
      </c>
    </row>
    <row r="5340" customFormat="false" ht="15" hidden="false" customHeight="false" outlineLevel="0" collapsed="false">
      <c r="H5340" s="0" t="str">
        <f aca="false">IF(B5340="","",IF(COUNTIF(Campaigns!$A$7:$A$300,B5340)&gt;0,"✓","⚠ add to Campaigns tab"))</f>
        <v/>
      </c>
      <c r="I5340" s="84" t="str">
        <f aca="false">IF(C5340="","",C5340*IF(Settings!$B$22=Settings!$C$6,1,IF(Settings!$B$22="USD",1/INDEX(Settings!$B$29:$B$40,MONTH(A5340)),INDEX(Settings!$B$29:$B$40,MONTH(A5340)))))</f>
        <v/>
      </c>
    </row>
    <row r="5341" customFormat="false" ht="15" hidden="false" customHeight="false" outlineLevel="0" collapsed="false">
      <c r="H5341" s="0" t="str">
        <f aca="false">IF(B5341="","",IF(COUNTIF(Campaigns!$A$7:$A$300,B5341)&gt;0,"✓","⚠ add to Campaigns tab"))</f>
        <v/>
      </c>
      <c r="I5341" s="84" t="str">
        <f aca="false">IF(C5341="","",C5341*IF(Settings!$B$22=Settings!$C$6,1,IF(Settings!$B$22="USD",1/INDEX(Settings!$B$29:$B$40,MONTH(A5341)),INDEX(Settings!$B$29:$B$40,MONTH(A5341)))))</f>
        <v/>
      </c>
    </row>
    <row r="5342" customFormat="false" ht="15" hidden="false" customHeight="false" outlineLevel="0" collapsed="false">
      <c r="H5342" s="0" t="str">
        <f aca="false">IF(B5342="","",IF(COUNTIF(Campaigns!$A$7:$A$300,B5342)&gt;0,"✓","⚠ add to Campaigns tab"))</f>
        <v/>
      </c>
      <c r="I5342" s="84" t="str">
        <f aca="false">IF(C5342="","",C5342*IF(Settings!$B$22=Settings!$C$6,1,IF(Settings!$B$22="USD",1/INDEX(Settings!$B$29:$B$40,MONTH(A5342)),INDEX(Settings!$B$29:$B$40,MONTH(A5342)))))</f>
        <v/>
      </c>
    </row>
    <row r="5343" customFormat="false" ht="15" hidden="false" customHeight="false" outlineLevel="0" collapsed="false">
      <c r="H5343" s="0" t="str">
        <f aca="false">IF(B5343="","",IF(COUNTIF(Campaigns!$A$7:$A$300,B5343)&gt;0,"✓","⚠ add to Campaigns tab"))</f>
        <v/>
      </c>
      <c r="I5343" s="84" t="str">
        <f aca="false">IF(C5343="","",C5343*IF(Settings!$B$22=Settings!$C$6,1,IF(Settings!$B$22="USD",1/INDEX(Settings!$B$29:$B$40,MONTH(A5343)),INDEX(Settings!$B$29:$B$40,MONTH(A5343)))))</f>
        <v/>
      </c>
    </row>
    <row r="5344" customFormat="false" ht="15" hidden="false" customHeight="false" outlineLevel="0" collapsed="false">
      <c r="H5344" s="0" t="str">
        <f aca="false">IF(B5344="","",IF(COUNTIF(Campaigns!$A$7:$A$300,B5344)&gt;0,"✓","⚠ add to Campaigns tab"))</f>
        <v/>
      </c>
      <c r="I5344" s="84" t="str">
        <f aca="false">IF(C5344="","",C5344*IF(Settings!$B$22=Settings!$C$6,1,IF(Settings!$B$22="USD",1/INDEX(Settings!$B$29:$B$40,MONTH(A5344)),INDEX(Settings!$B$29:$B$40,MONTH(A5344)))))</f>
        <v/>
      </c>
    </row>
    <row r="5345" customFormat="false" ht="15" hidden="false" customHeight="false" outlineLevel="0" collapsed="false">
      <c r="H5345" s="0" t="str">
        <f aca="false">IF(B5345="","",IF(COUNTIF(Campaigns!$A$7:$A$300,B5345)&gt;0,"✓","⚠ add to Campaigns tab"))</f>
        <v/>
      </c>
      <c r="I5345" s="84" t="str">
        <f aca="false">IF(C5345="","",C5345*IF(Settings!$B$22=Settings!$C$6,1,IF(Settings!$B$22="USD",1/INDEX(Settings!$B$29:$B$40,MONTH(A5345)),INDEX(Settings!$B$29:$B$40,MONTH(A5345)))))</f>
        <v/>
      </c>
    </row>
    <row r="5346" customFormat="false" ht="15" hidden="false" customHeight="false" outlineLevel="0" collapsed="false">
      <c r="H5346" s="0" t="str">
        <f aca="false">IF(B5346="","",IF(COUNTIF(Campaigns!$A$7:$A$300,B5346)&gt;0,"✓","⚠ add to Campaigns tab"))</f>
        <v/>
      </c>
      <c r="I5346" s="84" t="str">
        <f aca="false">IF(C5346="","",C5346*IF(Settings!$B$22=Settings!$C$6,1,IF(Settings!$B$22="USD",1/INDEX(Settings!$B$29:$B$40,MONTH(A5346)),INDEX(Settings!$B$29:$B$40,MONTH(A5346)))))</f>
        <v/>
      </c>
    </row>
    <row r="5347" customFormat="false" ht="15" hidden="false" customHeight="false" outlineLevel="0" collapsed="false">
      <c r="H5347" s="0" t="str">
        <f aca="false">IF(B5347="","",IF(COUNTIF(Campaigns!$A$7:$A$300,B5347)&gt;0,"✓","⚠ add to Campaigns tab"))</f>
        <v/>
      </c>
      <c r="I5347" s="84" t="str">
        <f aca="false">IF(C5347="","",C5347*IF(Settings!$B$22=Settings!$C$6,1,IF(Settings!$B$22="USD",1/INDEX(Settings!$B$29:$B$40,MONTH(A5347)),INDEX(Settings!$B$29:$B$40,MONTH(A5347)))))</f>
        <v/>
      </c>
    </row>
    <row r="5348" customFormat="false" ht="15" hidden="false" customHeight="false" outlineLevel="0" collapsed="false">
      <c r="H5348" s="0" t="str">
        <f aca="false">IF(B5348="","",IF(COUNTIF(Campaigns!$A$7:$A$300,B5348)&gt;0,"✓","⚠ add to Campaigns tab"))</f>
        <v/>
      </c>
      <c r="I5348" s="84" t="str">
        <f aca="false">IF(C5348="","",C5348*IF(Settings!$B$22=Settings!$C$6,1,IF(Settings!$B$22="USD",1/INDEX(Settings!$B$29:$B$40,MONTH(A5348)),INDEX(Settings!$B$29:$B$40,MONTH(A5348)))))</f>
        <v/>
      </c>
    </row>
    <row r="5349" customFormat="false" ht="15" hidden="false" customHeight="false" outlineLevel="0" collapsed="false">
      <c r="H5349" s="0" t="str">
        <f aca="false">IF(B5349="","",IF(COUNTIF(Campaigns!$A$7:$A$300,B5349)&gt;0,"✓","⚠ add to Campaigns tab"))</f>
        <v/>
      </c>
      <c r="I5349" s="84" t="str">
        <f aca="false">IF(C5349="","",C5349*IF(Settings!$B$22=Settings!$C$6,1,IF(Settings!$B$22="USD",1/INDEX(Settings!$B$29:$B$40,MONTH(A5349)),INDEX(Settings!$B$29:$B$40,MONTH(A5349)))))</f>
        <v/>
      </c>
    </row>
    <row r="5350" customFormat="false" ht="15" hidden="false" customHeight="false" outlineLevel="0" collapsed="false">
      <c r="H5350" s="0" t="str">
        <f aca="false">IF(B5350="","",IF(COUNTIF(Campaigns!$A$7:$A$300,B5350)&gt;0,"✓","⚠ add to Campaigns tab"))</f>
        <v/>
      </c>
      <c r="I5350" s="84" t="str">
        <f aca="false">IF(C5350="","",C5350*IF(Settings!$B$22=Settings!$C$6,1,IF(Settings!$B$22="USD",1/INDEX(Settings!$B$29:$B$40,MONTH(A5350)),INDEX(Settings!$B$29:$B$40,MONTH(A5350)))))</f>
        <v/>
      </c>
    </row>
    <row r="5351" customFormat="false" ht="15" hidden="false" customHeight="false" outlineLevel="0" collapsed="false">
      <c r="H5351" s="0" t="str">
        <f aca="false">IF(B5351="","",IF(COUNTIF(Campaigns!$A$7:$A$300,B5351)&gt;0,"✓","⚠ add to Campaigns tab"))</f>
        <v/>
      </c>
      <c r="I5351" s="84" t="str">
        <f aca="false">IF(C5351="","",C5351*IF(Settings!$B$22=Settings!$C$6,1,IF(Settings!$B$22="USD",1/INDEX(Settings!$B$29:$B$40,MONTH(A5351)),INDEX(Settings!$B$29:$B$40,MONTH(A5351)))))</f>
        <v/>
      </c>
    </row>
    <row r="5352" customFormat="false" ht="15" hidden="false" customHeight="false" outlineLevel="0" collapsed="false">
      <c r="H5352" s="0" t="str">
        <f aca="false">IF(B5352="","",IF(COUNTIF(Campaigns!$A$7:$A$300,B5352)&gt;0,"✓","⚠ add to Campaigns tab"))</f>
        <v/>
      </c>
      <c r="I5352" s="84" t="str">
        <f aca="false">IF(C5352="","",C5352*IF(Settings!$B$22=Settings!$C$6,1,IF(Settings!$B$22="USD",1/INDEX(Settings!$B$29:$B$40,MONTH(A5352)),INDEX(Settings!$B$29:$B$40,MONTH(A5352)))))</f>
        <v/>
      </c>
    </row>
    <row r="5353" customFormat="false" ht="15" hidden="false" customHeight="false" outlineLevel="0" collapsed="false">
      <c r="H5353" s="0" t="str">
        <f aca="false">IF(B5353="","",IF(COUNTIF(Campaigns!$A$7:$A$300,B5353)&gt;0,"✓","⚠ add to Campaigns tab"))</f>
        <v/>
      </c>
      <c r="I5353" s="84" t="str">
        <f aca="false">IF(C5353="","",C5353*IF(Settings!$B$22=Settings!$C$6,1,IF(Settings!$B$22="USD",1/INDEX(Settings!$B$29:$B$40,MONTH(A5353)),INDEX(Settings!$B$29:$B$40,MONTH(A5353)))))</f>
        <v/>
      </c>
    </row>
    <row r="5354" customFormat="false" ht="15" hidden="false" customHeight="false" outlineLevel="0" collapsed="false">
      <c r="H5354" s="0" t="str">
        <f aca="false">IF(B5354="","",IF(COUNTIF(Campaigns!$A$7:$A$300,B5354)&gt;0,"✓","⚠ add to Campaigns tab"))</f>
        <v/>
      </c>
      <c r="I5354" s="84" t="str">
        <f aca="false">IF(C5354="","",C5354*IF(Settings!$B$22=Settings!$C$6,1,IF(Settings!$B$22="USD",1/INDEX(Settings!$B$29:$B$40,MONTH(A5354)),INDEX(Settings!$B$29:$B$40,MONTH(A5354)))))</f>
        <v/>
      </c>
    </row>
    <row r="5355" customFormat="false" ht="15" hidden="false" customHeight="false" outlineLevel="0" collapsed="false">
      <c r="H5355" s="0" t="str">
        <f aca="false">IF(B5355="","",IF(COUNTIF(Campaigns!$A$7:$A$300,B5355)&gt;0,"✓","⚠ add to Campaigns tab"))</f>
        <v/>
      </c>
      <c r="I5355" s="84" t="str">
        <f aca="false">IF(C5355="","",C5355*IF(Settings!$B$22=Settings!$C$6,1,IF(Settings!$B$22="USD",1/INDEX(Settings!$B$29:$B$40,MONTH(A5355)),INDEX(Settings!$B$29:$B$40,MONTH(A5355)))))</f>
        <v/>
      </c>
    </row>
    <row r="5356" customFormat="false" ht="15" hidden="false" customHeight="false" outlineLevel="0" collapsed="false">
      <c r="H5356" s="0" t="str">
        <f aca="false">IF(B5356="","",IF(COUNTIF(Campaigns!$A$7:$A$300,B5356)&gt;0,"✓","⚠ add to Campaigns tab"))</f>
        <v/>
      </c>
      <c r="I5356" s="84" t="str">
        <f aca="false">IF(C5356="","",C5356*IF(Settings!$B$22=Settings!$C$6,1,IF(Settings!$B$22="USD",1/INDEX(Settings!$B$29:$B$40,MONTH(A5356)),INDEX(Settings!$B$29:$B$40,MONTH(A5356)))))</f>
        <v/>
      </c>
    </row>
    <row r="5357" customFormat="false" ht="15" hidden="false" customHeight="false" outlineLevel="0" collapsed="false">
      <c r="H5357" s="0" t="str">
        <f aca="false">IF(B5357="","",IF(COUNTIF(Campaigns!$A$7:$A$300,B5357)&gt;0,"✓","⚠ add to Campaigns tab"))</f>
        <v/>
      </c>
      <c r="I5357" s="84" t="str">
        <f aca="false">IF(C5357="","",C5357*IF(Settings!$B$22=Settings!$C$6,1,IF(Settings!$B$22="USD",1/INDEX(Settings!$B$29:$B$40,MONTH(A5357)),INDEX(Settings!$B$29:$B$40,MONTH(A5357)))))</f>
        <v/>
      </c>
    </row>
    <row r="5358" customFormat="false" ht="15" hidden="false" customHeight="false" outlineLevel="0" collapsed="false">
      <c r="H5358" s="0" t="str">
        <f aca="false">IF(B5358="","",IF(COUNTIF(Campaigns!$A$7:$A$300,B5358)&gt;0,"✓","⚠ add to Campaigns tab"))</f>
        <v/>
      </c>
      <c r="I5358" s="84" t="str">
        <f aca="false">IF(C5358="","",C5358*IF(Settings!$B$22=Settings!$C$6,1,IF(Settings!$B$22="USD",1/INDEX(Settings!$B$29:$B$40,MONTH(A5358)),INDEX(Settings!$B$29:$B$40,MONTH(A5358)))))</f>
        <v/>
      </c>
    </row>
    <row r="5359" customFormat="false" ht="15" hidden="false" customHeight="false" outlineLevel="0" collapsed="false">
      <c r="H5359" s="0" t="str">
        <f aca="false">IF(B5359="","",IF(COUNTIF(Campaigns!$A$7:$A$300,B5359)&gt;0,"✓","⚠ add to Campaigns tab"))</f>
        <v/>
      </c>
      <c r="I5359" s="84" t="str">
        <f aca="false">IF(C5359="","",C5359*IF(Settings!$B$22=Settings!$C$6,1,IF(Settings!$B$22="USD",1/INDEX(Settings!$B$29:$B$40,MONTH(A5359)),INDEX(Settings!$B$29:$B$40,MONTH(A5359)))))</f>
        <v/>
      </c>
    </row>
    <row r="5360" customFormat="false" ht="15" hidden="false" customHeight="false" outlineLevel="0" collapsed="false">
      <c r="H5360" s="0" t="str">
        <f aca="false">IF(B5360="","",IF(COUNTIF(Campaigns!$A$7:$A$300,B5360)&gt;0,"✓","⚠ add to Campaigns tab"))</f>
        <v/>
      </c>
      <c r="I5360" s="84" t="str">
        <f aca="false">IF(C5360="","",C5360*IF(Settings!$B$22=Settings!$C$6,1,IF(Settings!$B$22="USD",1/INDEX(Settings!$B$29:$B$40,MONTH(A5360)),INDEX(Settings!$B$29:$B$40,MONTH(A5360)))))</f>
        <v/>
      </c>
    </row>
    <row r="5361" customFormat="false" ht="15" hidden="false" customHeight="false" outlineLevel="0" collapsed="false">
      <c r="H5361" s="0" t="str">
        <f aca="false">IF(B5361="","",IF(COUNTIF(Campaigns!$A$7:$A$300,B5361)&gt;0,"✓","⚠ add to Campaigns tab"))</f>
        <v/>
      </c>
      <c r="I5361" s="84" t="str">
        <f aca="false">IF(C5361="","",C5361*IF(Settings!$B$22=Settings!$C$6,1,IF(Settings!$B$22="USD",1/INDEX(Settings!$B$29:$B$40,MONTH(A5361)),INDEX(Settings!$B$29:$B$40,MONTH(A5361)))))</f>
        <v/>
      </c>
    </row>
    <row r="5362" customFormat="false" ht="15" hidden="false" customHeight="false" outlineLevel="0" collapsed="false">
      <c r="H5362" s="0" t="str">
        <f aca="false">IF(B5362="","",IF(COUNTIF(Campaigns!$A$7:$A$300,B5362)&gt;0,"✓","⚠ add to Campaigns tab"))</f>
        <v/>
      </c>
      <c r="I5362" s="84" t="str">
        <f aca="false">IF(C5362="","",C5362*IF(Settings!$B$22=Settings!$C$6,1,IF(Settings!$B$22="USD",1/INDEX(Settings!$B$29:$B$40,MONTH(A5362)),INDEX(Settings!$B$29:$B$40,MONTH(A5362)))))</f>
        <v/>
      </c>
    </row>
    <row r="5363" customFormat="false" ht="15" hidden="false" customHeight="false" outlineLevel="0" collapsed="false">
      <c r="H5363" s="0" t="str">
        <f aca="false">IF(B5363="","",IF(COUNTIF(Campaigns!$A$7:$A$300,B5363)&gt;0,"✓","⚠ add to Campaigns tab"))</f>
        <v/>
      </c>
      <c r="I5363" s="84" t="str">
        <f aca="false">IF(C5363="","",C5363*IF(Settings!$B$22=Settings!$C$6,1,IF(Settings!$B$22="USD",1/INDEX(Settings!$B$29:$B$40,MONTH(A5363)),INDEX(Settings!$B$29:$B$40,MONTH(A5363)))))</f>
        <v/>
      </c>
    </row>
    <row r="5364" customFormat="false" ht="15" hidden="false" customHeight="false" outlineLevel="0" collapsed="false">
      <c r="H5364" s="0" t="str">
        <f aca="false">IF(B5364="","",IF(COUNTIF(Campaigns!$A$7:$A$300,B5364)&gt;0,"✓","⚠ add to Campaigns tab"))</f>
        <v/>
      </c>
      <c r="I5364" s="84" t="str">
        <f aca="false">IF(C5364="","",C5364*IF(Settings!$B$22=Settings!$C$6,1,IF(Settings!$B$22="USD",1/INDEX(Settings!$B$29:$B$40,MONTH(A5364)),INDEX(Settings!$B$29:$B$40,MONTH(A5364)))))</f>
        <v/>
      </c>
    </row>
    <row r="5365" customFormat="false" ht="15" hidden="false" customHeight="false" outlineLevel="0" collapsed="false">
      <c r="H5365" s="0" t="str">
        <f aca="false">IF(B5365="","",IF(COUNTIF(Campaigns!$A$7:$A$300,B5365)&gt;0,"✓","⚠ add to Campaigns tab"))</f>
        <v/>
      </c>
      <c r="I5365" s="84" t="str">
        <f aca="false">IF(C5365="","",C5365*IF(Settings!$B$22=Settings!$C$6,1,IF(Settings!$B$22="USD",1/INDEX(Settings!$B$29:$B$40,MONTH(A5365)),INDEX(Settings!$B$29:$B$40,MONTH(A5365)))))</f>
        <v/>
      </c>
    </row>
    <row r="5366" customFormat="false" ht="15" hidden="false" customHeight="false" outlineLevel="0" collapsed="false">
      <c r="H5366" s="0" t="str">
        <f aca="false">IF(B5366="","",IF(COUNTIF(Campaigns!$A$7:$A$300,B5366)&gt;0,"✓","⚠ add to Campaigns tab"))</f>
        <v/>
      </c>
      <c r="I5366" s="84" t="str">
        <f aca="false">IF(C5366="","",C5366*IF(Settings!$B$22=Settings!$C$6,1,IF(Settings!$B$22="USD",1/INDEX(Settings!$B$29:$B$40,MONTH(A5366)),INDEX(Settings!$B$29:$B$40,MONTH(A5366)))))</f>
        <v/>
      </c>
    </row>
    <row r="5367" customFormat="false" ht="15" hidden="false" customHeight="false" outlineLevel="0" collapsed="false">
      <c r="H5367" s="0" t="str">
        <f aca="false">IF(B5367="","",IF(COUNTIF(Campaigns!$A$7:$A$300,B5367)&gt;0,"✓","⚠ add to Campaigns tab"))</f>
        <v/>
      </c>
      <c r="I5367" s="84" t="str">
        <f aca="false">IF(C5367="","",C5367*IF(Settings!$B$22=Settings!$C$6,1,IF(Settings!$B$22="USD",1/INDEX(Settings!$B$29:$B$40,MONTH(A5367)),INDEX(Settings!$B$29:$B$40,MONTH(A5367)))))</f>
        <v/>
      </c>
    </row>
    <row r="5368" customFormat="false" ht="15" hidden="false" customHeight="false" outlineLevel="0" collapsed="false">
      <c r="H5368" s="0" t="str">
        <f aca="false">IF(B5368="","",IF(COUNTIF(Campaigns!$A$7:$A$300,B5368)&gt;0,"✓","⚠ add to Campaigns tab"))</f>
        <v/>
      </c>
      <c r="I5368" s="84" t="str">
        <f aca="false">IF(C5368="","",C5368*IF(Settings!$B$22=Settings!$C$6,1,IF(Settings!$B$22="USD",1/INDEX(Settings!$B$29:$B$40,MONTH(A5368)),INDEX(Settings!$B$29:$B$40,MONTH(A5368)))))</f>
        <v/>
      </c>
    </row>
    <row r="5369" customFormat="false" ht="15" hidden="false" customHeight="false" outlineLevel="0" collapsed="false">
      <c r="H5369" s="0" t="str">
        <f aca="false">IF(B5369="","",IF(COUNTIF(Campaigns!$A$7:$A$300,B5369)&gt;0,"✓","⚠ add to Campaigns tab"))</f>
        <v/>
      </c>
      <c r="I5369" s="84" t="str">
        <f aca="false">IF(C5369="","",C5369*IF(Settings!$B$22=Settings!$C$6,1,IF(Settings!$B$22="USD",1/INDEX(Settings!$B$29:$B$40,MONTH(A5369)),INDEX(Settings!$B$29:$B$40,MONTH(A5369)))))</f>
        <v/>
      </c>
    </row>
    <row r="5370" customFormat="false" ht="15" hidden="false" customHeight="false" outlineLevel="0" collapsed="false">
      <c r="H5370" s="0" t="str">
        <f aca="false">IF(B5370="","",IF(COUNTIF(Campaigns!$A$7:$A$300,B5370)&gt;0,"✓","⚠ add to Campaigns tab"))</f>
        <v/>
      </c>
      <c r="I5370" s="84" t="str">
        <f aca="false">IF(C5370="","",C5370*IF(Settings!$B$22=Settings!$C$6,1,IF(Settings!$B$22="USD",1/INDEX(Settings!$B$29:$B$40,MONTH(A5370)),INDEX(Settings!$B$29:$B$40,MONTH(A5370)))))</f>
        <v/>
      </c>
    </row>
    <row r="5371" customFormat="false" ht="15" hidden="false" customHeight="false" outlineLevel="0" collapsed="false">
      <c r="H5371" s="0" t="str">
        <f aca="false">IF(B5371="","",IF(COUNTIF(Campaigns!$A$7:$A$300,B5371)&gt;0,"✓","⚠ add to Campaigns tab"))</f>
        <v/>
      </c>
      <c r="I5371" s="84" t="str">
        <f aca="false">IF(C5371="","",C5371*IF(Settings!$B$22=Settings!$C$6,1,IF(Settings!$B$22="USD",1/INDEX(Settings!$B$29:$B$40,MONTH(A5371)),INDEX(Settings!$B$29:$B$40,MONTH(A5371)))))</f>
        <v/>
      </c>
    </row>
    <row r="5372" customFormat="false" ht="15" hidden="false" customHeight="false" outlineLevel="0" collapsed="false">
      <c r="H5372" s="0" t="str">
        <f aca="false">IF(B5372="","",IF(COUNTIF(Campaigns!$A$7:$A$300,B5372)&gt;0,"✓","⚠ add to Campaigns tab"))</f>
        <v/>
      </c>
      <c r="I5372" s="84" t="str">
        <f aca="false">IF(C5372="","",C5372*IF(Settings!$B$22=Settings!$C$6,1,IF(Settings!$B$22="USD",1/INDEX(Settings!$B$29:$B$40,MONTH(A5372)),INDEX(Settings!$B$29:$B$40,MONTH(A5372)))))</f>
        <v/>
      </c>
    </row>
    <row r="5373" customFormat="false" ht="15" hidden="false" customHeight="false" outlineLevel="0" collapsed="false">
      <c r="H5373" s="0" t="str">
        <f aca="false">IF(B5373="","",IF(COUNTIF(Campaigns!$A$7:$A$300,B5373)&gt;0,"✓","⚠ add to Campaigns tab"))</f>
        <v/>
      </c>
      <c r="I5373" s="84" t="str">
        <f aca="false">IF(C5373="","",C5373*IF(Settings!$B$22=Settings!$C$6,1,IF(Settings!$B$22="USD",1/INDEX(Settings!$B$29:$B$40,MONTH(A5373)),INDEX(Settings!$B$29:$B$40,MONTH(A5373)))))</f>
        <v/>
      </c>
    </row>
    <row r="5374" customFormat="false" ht="15" hidden="false" customHeight="false" outlineLevel="0" collapsed="false">
      <c r="H5374" s="0" t="str">
        <f aca="false">IF(B5374="","",IF(COUNTIF(Campaigns!$A$7:$A$300,B5374)&gt;0,"✓","⚠ add to Campaigns tab"))</f>
        <v/>
      </c>
      <c r="I5374" s="84" t="str">
        <f aca="false">IF(C5374="","",C5374*IF(Settings!$B$22=Settings!$C$6,1,IF(Settings!$B$22="USD",1/INDEX(Settings!$B$29:$B$40,MONTH(A5374)),INDEX(Settings!$B$29:$B$40,MONTH(A5374)))))</f>
        <v/>
      </c>
    </row>
    <row r="5375" customFormat="false" ht="15" hidden="false" customHeight="false" outlineLevel="0" collapsed="false">
      <c r="H5375" s="0" t="str">
        <f aca="false">IF(B5375="","",IF(COUNTIF(Campaigns!$A$7:$A$300,B5375)&gt;0,"✓","⚠ add to Campaigns tab"))</f>
        <v/>
      </c>
      <c r="I5375" s="84" t="str">
        <f aca="false">IF(C5375="","",C5375*IF(Settings!$B$22=Settings!$C$6,1,IF(Settings!$B$22="USD",1/INDEX(Settings!$B$29:$B$40,MONTH(A5375)),INDEX(Settings!$B$29:$B$40,MONTH(A5375)))))</f>
        <v/>
      </c>
    </row>
    <row r="5376" customFormat="false" ht="15" hidden="false" customHeight="false" outlineLevel="0" collapsed="false">
      <c r="H5376" s="0" t="str">
        <f aca="false">IF(B5376="","",IF(COUNTIF(Campaigns!$A$7:$A$300,B5376)&gt;0,"✓","⚠ add to Campaigns tab"))</f>
        <v/>
      </c>
      <c r="I5376" s="84" t="str">
        <f aca="false">IF(C5376="","",C5376*IF(Settings!$B$22=Settings!$C$6,1,IF(Settings!$B$22="USD",1/INDEX(Settings!$B$29:$B$40,MONTH(A5376)),INDEX(Settings!$B$29:$B$40,MONTH(A5376)))))</f>
        <v/>
      </c>
    </row>
    <row r="5377" customFormat="false" ht="15" hidden="false" customHeight="false" outlineLevel="0" collapsed="false">
      <c r="H5377" s="0" t="str">
        <f aca="false">IF(B5377="","",IF(COUNTIF(Campaigns!$A$7:$A$300,B5377)&gt;0,"✓","⚠ add to Campaigns tab"))</f>
        <v/>
      </c>
      <c r="I5377" s="84" t="str">
        <f aca="false">IF(C5377="","",C5377*IF(Settings!$B$22=Settings!$C$6,1,IF(Settings!$B$22="USD",1/INDEX(Settings!$B$29:$B$40,MONTH(A5377)),INDEX(Settings!$B$29:$B$40,MONTH(A5377)))))</f>
        <v/>
      </c>
    </row>
    <row r="5378" customFormat="false" ht="15" hidden="false" customHeight="false" outlineLevel="0" collapsed="false">
      <c r="H5378" s="0" t="str">
        <f aca="false">IF(B5378="","",IF(COUNTIF(Campaigns!$A$7:$A$300,B5378)&gt;0,"✓","⚠ add to Campaigns tab"))</f>
        <v/>
      </c>
      <c r="I5378" s="84" t="str">
        <f aca="false">IF(C5378="","",C5378*IF(Settings!$B$22=Settings!$C$6,1,IF(Settings!$B$22="USD",1/INDEX(Settings!$B$29:$B$40,MONTH(A5378)),INDEX(Settings!$B$29:$B$40,MONTH(A5378)))))</f>
        <v/>
      </c>
    </row>
    <row r="5379" customFormat="false" ht="15" hidden="false" customHeight="false" outlineLevel="0" collapsed="false">
      <c r="H5379" s="0" t="str">
        <f aca="false">IF(B5379="","",IF(COUNTIF(Campaigns!$A$7:$A$300,B5379)&gt;0,"✓","⚠ add to Campaigns tab"))</f>
        <v/>
      </c>
      <c r="I5379" s="84" t="str">
        <f aca="false">IF(C5379="","",C5379*IF(Settings!$B$22=Settings!$C$6,1,IF(Settings!$B$22="USD",1/INDEX(Settings!$B$29:$B$40,MONTH(A5379)),INDEX(Settings!$B$29:$B$40,MONTH(A5379)))))</f>
        <v/>
      </c>
    </row>
    <row r="5380" customFormat="false" ht="15" hidden="false" customHeight="false" outlineLevel="0" collapsed="false">
      <c r="H5380" s="0" t="str">
        <f aca="false">IF(B5380="","",IF(COUNTIF(Campaigns!$A$7:$A$300,B5380)&gt;0,"✓","⚠ add to Campaigns tab"))</f>
        <v/>
      </c>
      <c r="I5380" s="84" t="str">
        <f aca="false">IF(C5380="","",C5380*IF(Settings!$B$22=Settings!$C$6,1,IF(Settings!$B$22="USD",1/INDEX(Settings!$B$29:$B$40,MONTH(A5380)),INDEX(Settings!$B$29:$B$40,MONTH(A5380)))))</f>
        <v/>
      </c>
    </row>
    <row r="5381" customFormat="false" ht="15" hidden="false" customHeight="false" outlineLevel="0" collapsed="false">
      <c r="H5381" s="0" t="str">
        <f aca="false">IF(B5381="","",IF(COUNTIF(Campaigns!$A$7:$A$300,B5381)&gt;0,"✓","⚠ add to Campaigns tab"))</f>
        <v/>
      </c>
      <c r="I5381" s="84" t="str">
        <f aca="false">IF(C5381="","",C5381*IF(Settings!$B$22=Settings!$C$6,1,IF(Settings!$B$22="USD",1/INDEX(Settings!$B$29:$B$40,MONTH(A5381)),INDEX(Settings!$B$29:$B$40,MONTH(A5381)))))</f>
        <v/>
      </c>
    </row>
    <row r="5382" customFormat="false" ht="15" hidden="false" customHeight="false" outlineLevel="0" collapsed="false">
      <c r="H5382" s="0" t="str">
        <f aca="false">IF(B5382="","",IF(COUNTIF(Campaigns!$A$7:$A$300,B5382)&gt;0,"✓","⚠ add to Campaigns tab"))</f>
        <v/>
      </c>
      <c r="I5382" s="84" t="str">
        <f aca="false">IF(C5382="","",C5382*IF(Settings!$B$22=Settings!$C$6,1,IF(Settings!$B$22="USD",1/INDEX(Settings!$B$29:$B$40,MONTH(A5382)),INDEX(Settings!$B$29:$B$40,MONTH(A5382)))))</f>
        <v/>
      </c>
    </row>
    <row r="5383" customFormat="false" ht="15" hidden="false" customHeight="false" outlineLevel="0" collapsed="false">
      <c r="H5383" s="0" t="str">
        <f aca="false">IF(B5383="","",IF(COUNTIF(Campaigns!$A$7:$A$300,B5383)&gt;0,"✓","⚠ add to Campaigns tab"))</f>
        <v/>
      </c>
      <c r="I5383" s="84" t="str">
        <f aca="false">IF(C5383="","",C5383*IF(Settings!$B$22=Settings!$C$6,1,IF(Settings!$B$22="USD",1/INDEX(Settings!$B$29:$B$40,MONTH(A5383)),INDEX(Settings!$B$29:$B$40,MONTH(A5383)))))</f>
        <v/>
      </c>
    </row>
    <row r="5384" customFormat="false" ht="15" hidden="false" customHeight="false" outlineLevel="0" collapsed="false">
      <c r="H5384" s="0" t="str">
        <f aca="false">IF(B5384="","",IF(COUNTIF(Campaigns!$A$7:$A$300,B5384)&gt;0,"✓","⚠ add to Campaigns tab"))</f>
        <v/>
      </c>
      <c r="I5384" s="84" t="str">
        <f aca="false">IF(C5384="","",C5384*IF(Settings!$B$22=Settings!$C$6,1,IF(Settings!$B$22="USD",1/INDEX(Settings!$B$29:$B$40,MONTH(A5384)),INDEX(Settings!$B$29:$B$40,MONTH(A5384)))))</f>
        <v/>
      </c>
    </row>
    <row r="5385" customFormat="false" ht="15" hidden="false" customHeight="false" outlineLevel="0" collapsed="false">
      <c r="H5385" s="0" t="str">
        <f aca="false">IF(B5385="","",IF(COUNTIF(Campaigns!$A$7:$A$300,B5385)&gt;0,"✓","⚠ add to Campaigns tab"))</f>
        <v/>
      </c>
      <c r="I5385" s="84" t="str">
        <f aca="false">IF(C5385="","",C5385*IF(Settings!$B$22=Settings!$C$6,1,IF(Settings!$B$22="USD",1/INDEX(Settings!$B$29:$B$40,MONTH(A5385)),INDEX(Settings!$B$29:$B$40,MONTH(A5385)))))</f>
        <v/>
      </c>
    </row>
    <row r="5386" customFormat="false" ht="15" hidden="false" customHeight="false" outlineLevel="0" collapsed="false">
      <c r="H5386" s="0" t="str">
        <f aca="false">IF(B5386="","",IF(COUNTIF(Campaigns!$A$7:$A$300,B5386)&gt;0,"✓","⚠ add to Campaigns tab"))</f>
        <v/>
      </c>
      <c r="I5386" s="84" t="str">
        <f aca="false">IF(C5386="","",C5386*IF(Settings!$B$22=Settings!$C$6,1,IF(Settings!$B$22="USD",1/INDEX(Settings!$B$29:$B$40,MONTH(A5386)),INDEX(Settings!$B$29:$B$40,MONTH(A5386)))))</f>
        <v/>
      </c>
    </row>
    <row r="5387" customFormat="false" ht="15" hidden="false" customHeight="false" outlineLevel="0" collapsed="false">
      <c r="H5387" s="0" t="str">
        <f aca="false">IF(B5387="","",IF(COUNTIF(Campaigns!$A$7:$A$300,B5387)&gt;0,"✓","⚠ add to Campaigns tab"))</f>
        <v/>
      </c>
      <c r="I5387" s="84" t="str">
        <f aca="false">IF(C5387="","",C5387*IF(Settings!$B$22=Settings!$C$6,1,IF(Settings!$B$22="USD",1/INDEX(Settings!$B$29:$B$40,MONTH(A5387)),INDEX(Settings!$B$29:$B$40,MONTH(A5387)))))</f>
        <v/>
      </c>
    </row>
    <row r="5388" customFormat="false" ht="15" hidden="false" customHeight="false" outlineLevel="0" collapsed="false">
      <c r="H5388" s="0" t="str">
        <f aca="false">IF(B5388="","",IF(COUNTIF(Campaigns!$A$7:$A$300,B5388)&gt;0,"✓","⚠ add to Campaigns tab"))</f>
        <v/>
      </c>
      <c r="I5388" s="84" t="str">
        <f aca="false">IF(C5388="","",C5388*IF(Settings!$B$22=Settings!$C$6,1,IF(Settings!$B$22="USD",1/INDEX(Settings!$B$29:$B$40,MONTH(A5388)),INDEX(Settings!$B$29:$B$40,MONTH(A5388)))))</f>
        <v/>
      </c>
    </row>
    <row r="5389" customFormat="false" ht="15" hidden="false" customHeight="false" outlineLevel="0" collapsed="false">
      <c r="H5389" s="0" t="str">
        <f aca="false">IF(B5389="","",IF(COUNTIF(Campaigns!$A$7:$A$300,B5389)&gt;0,"✓","⚠ add to Campaigns tab"))</f>
        <v/>
      </c>
      <c r="I5389" s="84" t="str">
        <f aca="false">IF(C5389="","",C5389*IF(Settings!$B$22=Settings!$C$6,1,IF(Settings!$B$22="USD",1/INDEX(Settings!$B$29:$B$40,MONTH(A5389)),INDEX(Settings!$B$29:$B$40,MONTH(A5389)))))</f>
        <v/>
      </c>
    </row>
    <row r="5390" customFormat="false" ht="15" hidden="false" customHeight="false" outlineLevel="0" collapsed="false">
      <c r="H5390" s="0" t="str">
        <f aca="false">IF(B5390="","",IF(COUNTIF(Campaigns!$A$7:$A$300,B5390)&gt;0,"✓","⚠ add to Campaigns tab"))</f>
        <v/>
      </c>
      <c r="I5390" s="84" t="str">
        <f aca="false">IF(C5390="","",C5390*IF(Settings!$B$22=Settings!$C$6,1,IF(Settings!$B$22="USD",1/INDEX(Settings!$B$29:$B$40,MONTH(A5390)),INDEX(Settings!$B$29:$B$40,MONTH(A5390)))))</f>
        <v/>
      </c>
    </row>
    <row r="5391" customFormat="false" ht="15" hidden="false" customHeight="false" outlineLevel="0" collapsed="false">
      <c r="H5391" s="0" t="str">
        <f aca="false">IF(B5391="","",IF(COUNTIF(Campaigns!$A$7:$A$300,B5391)&gt;0,"✓","⚠ add to Campaigns tab"))</f>
        <v/>
      </c>
      <c r="I5391" s="84" t="str">
        <f aca="false">IF(C5391="","",C5391*IF(Settings!$B$22=Settings!$C$6,1,IF(Settings!$B$22="USD",1/INDEX(Settings!$B$29:$B$40,MONTH(A5391)),INDEX(Settings!$B$29:$B$40,MONTH(A5391)))))</f>
        <v/>
      </c>
    </row>
    <row r="5392" customFormat="false" ht="15" hidden="false" customHeight="false" outlineLevel="0" collapsed="false">
      <c r="H5392" s="0" t="str">
        <f aca="false">IF(B5392="","",IF(COUNTIF(Campaigns!$A$7:$A$300,B5392)&gt;0,"✓","⚠ add to Campaigns tab"))</f>
        <v/>
      </c>
      <c r="I5392" s="84" t="str">
        <f aca="false">IF(C5392="","",C5392*IF(Settings!$B$22=Settings!$C$6,1,IF(Settings!$B$22="USD",1/INDEX(Settings!$B$29:$B$40,MONTH(A5392)),INDEX(Settings!$B$29:$B$40,MONTH(A5392)))))</f>
        <v/>
      </c>
    </row>
    <row r="5393" customFormat="false" ht="15" hidden="false" customHeight="false" outlineLevel="0" collapsed="false">
      <c r="H5393" s="0" t="str">
        <f aca="false">IF(B5393="","",IF(COUNTIF(Campaigns!$A$7:$A$300,B5393)&gt;0,"✓","⚠ add to Campaigns tab"))</f>
        <v/>
      </c>
      <c r="I5393" s="84" t="str">
        <f aca="false">IF(C5393="","",C5393*IF(Settings!$B$22=Settings!$C$6,1,IF(Settings!$B$22="USD",1/INDEX(Settings!$B$29:$B$40,MONTH(A5393)),INDEX(Settings!$B$29:$B$40,MONTH(A5393)))))</f>
        <v/>
      </c>
    </row>
    <row r="5394" customFormat="false" ht="15" hidden="false" customHeight="false" outlineLevel="0" collapsed="false">
      <c r="H5394" s="0" t="str">
        <f aca="false">IF(B5394="","",IF(COUNTIF(Campaigns!$A$7:$A$300,B5394)&gt;0,"✓","⚠ add to Campaigns tab"))</f>
        <v/>
      </c>
      <c r="I5394" s="84" t="str">
        <f aca="false">IF(C5394="","",C5394*IF(Settings!$B$22=Settings!$C$6,1,IF(Settings!$B$22="USD",1/INDEX(Settings!$B$29:$B$40,MONTH(A5394)),INDEX(Settings!$B$29:$B$40,MONTH(A5394)))))</f>
        <v/>
      </c>
    </row>
    <row r="5395" customFormat="false" ht="15" hidden="false" customHeight="false" outlineLevel="0" collapsed="false">
      <c r="H5395" s="0" t="str">
        <f aca="false">IF(B5395="","",IF(COUNTIF(Campaigns!$A$7:$A$300,B5395)&gt;0,"✓","⚠ add to Campaigns tab"))</f>
        <v/>
      </c>
      <c r="I5395" s="84" t="str">
        <f aca="false">IF(C5395="","",C5395*IF(Settings!$B$22=Settings!$C$6,1,IF(Settings!$B$22="USD",1/INDEX(Settings!$B$29:$B$40,MONTH(A5395)),INDEX(Settings!$B$29:$B$40,MONTH(A5395)))))</f>
        <v/>
      </c>
    </row>
    <row r="5396" customFormat="false" ht="15" hidden="false" customHeight="false" outlineLevel="0" collapsed="false">
      <c r="H5396" s="0" t="str">
        <f aca="false">IF(B5396="","",IF(COUNTIF(Campaigns!$A$7:$A$300,B5396)&gt;0,"✓","⚠ add to Campaigns tab"))</f>
        <v/>
      </c>
      <c r="I5396" s="84" t="str">
        <f aca="false">IF(C5396="","",C5396*IF(Settings!$B$22=Settings!$C$6,1,IF(Settings!$B$22="USD",1/INDEX(Settings!$B$29:$B$40,MONTH(A5396)),INDEX(Settings!$B$29:$B$40,MONTH(A5396)))))</f>
        <v/>
      </c>
    </row>
    <row r="5397" customFormat="false" ht="15" hidden="false" customHeight="false" outlineLevel="0" collapsed="false">
      <c r="H5397" s="0" t="str">
        <f aca="false">IF(B5397="","",IF(COUNTIF(Campaigns!$A$7:$A$300,B5397)&gt;0,"✓","⚠ add to Campaigns tab"))</f>
        <v/>
      </c>
      <c r="I5397" s="84" t="str">
        <f aca="false">IF(C5397="","",C5397*IF(Settings!$B$22=Settings!$C$6,1,IF(Settings!$B$22="USD",1/INDEX(Settings!$B$29:$B$40,MONTH(A5397)),INDEX(Settings!$B$29:$B$40,MONTH(A5397)))))</f>
        <v/>
      </c>
    </row>
    <row r="5398" customFormat="false" ht="15" hidden="false" customHeight="false" outlineLevel="0" collapsed="false">
      <c r="H5398" s="0" t="str">
        <f aca="false">IF(B5398="","",IF(COUNTIF(Campaigns!$A$7:$A$300,B5398)&gt;0,"✓","⚠ add to Campaigns tab"))</f>
        <v/>
      </c>
      <c r="I5398" s="84" t="str">
        <f aca="false">IF(C5398="","",C5398*IF(Settings!$B$22=Settings!$C$6,1,IF(Settings!$B$22="USD",1/INDEX(Settings!$B$29:$B$40,MONTH(A5398)),INDEX(Settings!$B$29:$B$40,MONTH(A5398)))))</f>
        <v/>
      </c>
    </row>
    <row r="5399" customFormat="false" ht="15" hidden="false" customHeight="false" outlineLevel="0" collapsed="false">
      <c r="H5399" s="0" t="str">
        <f aca="false">IF(B5399="","",IF(COUNTIF(Campaigns!$A$7:$A$300,B5399)&gt;0,"✓","⚠ add to Campaigns tab"))</f>
        <v/>
      </c>
      <c r="I5399" s="84" t="str">
        <f aca="false">IF(C5399="","",C5399*IF(Settings!$B$22=Settings!$C$6,1,IF(Settings!$B$22="USD",1/INDEX(Settings!$B$29:$B$40,MONTH(A5399)),INDEX(Settings!$B$29:$B$40,MONTH(A5399)))))</f>
        <v/>
      </c>
    </row>
    <row r="5400" customFormat="false" ht="15" hidden="false" customHeight="false" outlineLevel="0" collapsed="false">
      <c r="H5400" s="0" t="str">
        <f aca="false">IF(B5400="","",IF(COUNTIF(Campaigns!$A$7:$A$300,B5400)&gt;0,"✓","⚠ add to Campaigns tab"))</f>
        <v/>
      </c>
      <c r="I5400" s="84" t="str">
        <f aca="false">IF(C5400="","",C5400*IF(Settings!$B$22=Settings!$C$6,1,IF(Settings!$B$22="USD",1/INDEX(Settings!$B$29:$B$40,MONTH(A5400)),INDEX(Settings!$B$29:$B$40,MONTH(A5400)))))</f>
        <v/>
      </c>
    </row>
    <row r="5401" customFormat="false" ht="15" hidden="false" customHeight="false" outlineLevel="0" collapsed="false">
      <c r="H5401" s="0" t="str">
        <f aca="false">IF(B5401="","",IF(COUNTIF(Campaigns!$A$7:$A$300,B5401)&gt;0,"✓","⚠ add to Campaigns tab"))</f>
        <v/>
      </c>
      <c r="I5401" s="84" t="str">
        <f aca="false">IF(C5401="","",C5401*IF(Settings!$B$22=Settings!$C$6,1,IF(Settings!$B$22="USD",1/INDEX(Settings!$B$29:$B$40,MONTH(A5401)),INDEX(Settings!$B$29:$B$40,MONTH(A5401)))))</f>
        <v/>
      </c>
    </row>
    <row r="5402" customFormat="false" ht="15" hidden="false" customHeight="false" outlineLevel="0" collapsed="false">
      <c r="H5402" s="0" t="str">
        <f aca="false">IF(B5402="","",IF(COUNTIF(Campaigns!$A$7:$A$300,B5402)&gt;0,"✓","⚠ add to Campaigns tab"))</f>
        <v/>
      </c>
      <c r="I5402" s="84" t="str">
        <f aca="false">IF(C5402="","",C5402*IF(Settings!$B$22=Settings!$C$6,1,IF(Settings!$B$22="USD",1/INDEX(Settings!$B$29:$B$40,MONTH(A5402)),INDEX(Settings!$B$29:$B$40,MONTH(A5402)))))</f>
        <v/>
      </c>
    </row>
    <row r="5403" customFormat="false" ht="15" hidden="false" customHeight="false" outlineLevel="0" collapsed="false">
      <c r="H5403" s="0" t="str">
        <f aca="false">IF(B5403="","",IF(COUNTIF(Campaigns!$A$7:$A$300,B5403)&gt;0,"✓","⚠ add to Campaigns tab"))</f>
        <v/>
      </c>
      <c r="I5403" s="84" t="str">
        <f aca="false">IF(C5403="","",C5403*IF(Settings!$B$22=Settings!$C$6,1,IF(Settings!$B$22="USD",1/INDEX(Settings!$B$29:$B$40,MONTH(A5403)),INDEX(Settings!$B$29:$B$40,MONTH(A5403)))))</f>
        <v/>
      </c>
    </row>
    <row r="5404" customFormat="false" ht="15" hidden="false" customHeight="false" outlineLevel="0" collapsed="false">
      <c r="H5404" s="0" t="str">
        <f aca="false">IF(B5404="","",IF(COUNTIF(Campaigns!$A$7:$A$300,B5404)&gt;0,"✓","⚠ add to Campaigns tab"))</f>
        <v/>
      </c>
      <c r="I5404" s="84" t="str">
        <f aca="false">IF(C5404="","",C5404*IF(Settings!$B$22=Settings!$C$6,1,IF(Settings!$B$22="USD",1/INDEX(Settings!$B$29:$B$40,MONTH(A5404)),INDEX(Settings!$B$29:$B$40,MONTH(A5404)))))</f>
        <v/>
      </c>
    </row>
    <row r="5405" customFormat="false" ht="15" hidden="false" customHeight="false" outlineLevel="0" collapsed="false">
      <c r="H5405" s="0" t="str">
        <f aca="false">IF(B5405="","",IF(COUNTIF(Campaigns!$A$7:$A$300,B5405)&gt;0,"✓","⚠ add to Campaigns tab"))</f>
        <v/>
      </c>
      <c r="I5405" s="84" t="str">
        <f aca="false">IF(C5405="","",C5405*IF(Settings!$B$22=Settings!$C$6,1,IF(Settings!$B$22="USD",1/INDEX(Settings!$B$29:$B$40,MONTH(A5405)),INDEX(Settings!$B$29:$B$40,MONTH(A5405)))))</f>
        <v/>
      </c>
    </row>
    <row r="5406" customFormat="false" ht="15" hidden="false" customHeight="false" outlineLevel="0" collapsed="false">
      <c r="H5406" s="0" t="str">
        <f aca="false">IF(B5406="","",IF(COUNTIF(Campaigns!$A$7:$A$300,B5406)&gt;0,"✓","⚠ add to Campaigns tab"))</f>
        <v/>
      </c>
      <c r="I5406" s="84" t="str">
        <f aca="false">IF(C5406="","",C5406*IF(Settings!$B$22=Settings!$C$6,1,IF(Settings!$B$22="USD",1/INDEX(Settings!$B$29:$B$40,MONTH(A5406)),INDEX(Settings!$B$29:$B$40,MONTH(A5406)))))</f>
        <v/>
      </c>
    </row>
    <row r="5407" customFormat="false" ht="15" hidden="false" customHeight="false" outlineLevel="0" collapsed="false">
      <c r="H5407" s="0" t="str">
        <f aca="false">IF(B5407="","",IF(COUNTIF(Campaigns!$A$7:$A$300,B5407)&gt;0,"✓","⚠ add to Campaigns tab"))</f>
        <v/>
      </c>
      <c r="I5407" s="84" t="str">
        <f aca="false">IF(C5407="","",C5407*IF(Settings!$B$22=Settings!$C$6,1,IF(Settings!$B$22="USD",1/INDEX(Settings!$B$29:$B$40,MONTH(A5407)),INDEX(Settings!$B$29:$B$40,MONTH(A5407)))))</f>
        <v/>
      </c>
    </row>
    <row r="5408" customFormat="false" ht="15" hidden="false" customHeight="false" outlineLevel="0" collapsed="false">
      <c r="H5408" s="0" t="str">
        <f aca="false">IF(B5408="","",IF(COUNTIF(Campaigns!$A$7:$A$300,B5408)&gt;0,"✓","⚠ add to Campaigns tab"))</f>
        <v/>
      </c>
      <c r="I5408" s="84" t="str">
        <f aca="false">IF(C5408="","",C5408*IF(Settings!$B$22=Settings!$C$6,1,IF(Settings!$B$22="USD",1/INDEX(Settings!$B$29:$B$40,MONTH(A5408)),INDEX(Settings!$B$29:$B$40,MONTH(A5408)))))</f>
        <v/>
      </c>
    </row>
    <row r="5409" customFormat="false" ht="15" hidden="false" customHeight="false" outlineLevel="0" collapsed="false">
      <c r="H5409" s="0" t="str">
        <f aca="false">IF(B5409="","",IF(COUNTIF(Campaigns!$A$7:$A$300,B5409)&gt;0,"✓","⚠ add to Campaigns tab"))</f>
        <v/>
      </c>
      <c r="I5409" s="84" t="str">
        <f aca="false">IF(C5409="","",C5409*IF(Settings!$B$22=Settings!$C$6,1,IF(Settings!$B$22="USD",1/INDEX(Settings!$B$29:$B$40,MONTH(A5409)),INDEX(Settings!$B$29:$B$40,MONTH(A5409)))))</f>
        <v/>
      </c>
    </row>
    <row r="5410" customFormat="false" ht="15" hidden="false" customHeight="false" outlineLevel="0" collapsed="false">
      <c r="H5410" s="0" t="str">
        <f aca="false">IF(B5410="","",IF(COUNTIF(Campaigns!$A$7:$A$300,B5410)&gt;0,"✓","⚠ add to Campaigns tab"))</f>
        <v/>
      </c>
      <c r="I5410" s="84" t="str">
        <f aca="false">IF(C5410="","",C5410*IF(Settings!$B$22=Settings!$C$6,1,IF(Settings!$B$22="USD",1/INDEX(Settings!$B$29:$B$40,MONTH(A5410)),INDEX(Settings!$B$29:$B$40,MONTH(A5410)))))</f>
        <v/>
      </c>
    </row>
    <row r="5411" customFormat="false" ht="15" hidden="false" customHeight="false" outlineLevel="0" collapsed="false">
      <c r="H5411" s="0" t="str">
        <f aca="false">IF(B5411="","",IF(COUNTIF(Campaigns!$A$7:$A$300,B5411)&gt;0,"✓","⚠ add to Campaigns tab"))</f>
        <v/>
      </c>
      <c r="I5411" s="84" t="str">
        <f aca="false">IF(C5411="","",C5411*IF(Settings!$B$22=Settings!$C$6,1,IF(Settings!$B$22="USD",1/INDEX(Settings!$B$29:$B$40,MONTH(A5411)),INDEX(Settings!$B$29:$B$40,MONTH(A5411)))))</f>
        <v/>
      </c>
    </row>
    <row r="5412" customFormat="false" ht="15" hidden="false" customHeight="false" outlineLevel="0" collapsed="false">
      <c r="H5412" s="0" t="str">
        <f aca="false">IF(B5412="","",IF(COUNTIF(Campaigns!$A$7:$A$300,B5412)&gt;0,"✓","⚠ add to Campaigns tab"))</f>
        <v/>
      </c>
      <c r="I5412" s="84" t="str">
        <f aca="false">IF(C5412="","",C5412*IF(Settings!$B$22=Settings!$C$6,1,IF(Settings!$B$22="USD",1/INDEX(Settings!$B$29:$B$40,MONTH(A5412)),INDEX(Settings!$B$29:$B$40,MONTH(A5412)))))</f>
        <v/>
      </c>
    </row>
    <row r="5413" customFormat="false" ht="15" hidden="false" customHeight="false" outlineLevel="0" collapsed="false">
      <c r="H5413" s="0" t="str">
        <f aca="false">IF(B5413="","",IF(COUNTIF(Campaigns!$A$7:$A$300,B5413)&gt;0,"✓","⚠ add to Campaigns tab"))</f>
        <v/>
      </c>
      <c r="I5413" s="84" t="str">
        <f aca="false">IF(C5413="","",C5413*IF(Settings!$B$22=Settings!$C$6,1,IF(Settings!$B$22="USD",1/INDEX(Settings!$B$29:$B$40,MONTH(A5413)),INDEX(Settings!$B$29:$B$40,MONTH(A5413)))))</f>
        <v/>
      </c>
    </row>
    <row r="5414" customFormat="false" ht="15" hidden="false" customHeight="false" outlineLevel="0" collapsed="false">
      <c r="H5414" s="0" t="str">
        <f aca="false">IF(B5414="","",IF(COUNTIF(Campaigns!$A$7:$A$300,B5414)&gt;0,"✓","⚠ add to Campaigns tab"))</f>
        <v/>
      </c>
      <c r="I5414" s="84" t="str">
        <f aca="false">IF(C5414="","",C5414*IF(Settings!$B$22=Settings!$C$6,1,IF(Settings!$B$22="USD",1/INDEX(Settings!$B$29:$B$40,MONTH(A5414)),INDEX(Settings!$B$29:$B$40,MONTH(A5414)))))</f>
        <v/>
      </c>
    </row>
    <row r="5415" customFormat="false" ht="15" hidden="false" customHeight="false" outlineLevel="0" collapsed="false">
      <c r="H5415" s="0" t="str">
        <f aca="false">IF(B5415="","",IF(COUNTIF(Campaigns!$A$7:$A$300,B5415)&gt;0,"✓","⚠ add to Campaigns tab"))</f>
        <v/>
      </c>
      <c r="I5415" s="84" t="str">
        <f aca="false">IF(C5415="","",C5415*IF(Settings!$B$22=Settings!$C$6,1,IF(Settings!$B$22="USD",1/INDEX(Settings!$B$29:$B$40,MONTH(A5415)),INDEX(Settings!$B$29:$B$40,MONTH(A5415)))))</f>
        <v/>
      </c>
    </row>
    <row r="5416" customFormat="false" ht="15" hidden="false" customHeight="false" outlineLevel="0" collapsed="false">
      <c r="H5416" s="0" t="str">
        <f aca="false">IF(B5416="","",IF(COUNTIF(Campaigns!$A$7:$A$300,B5416)&gt;0,"✓","⚠ add to Campaigns tab"))</f>
        <v/>
      </c>
      <c r="I5416" s="84" t="str">
        <f aca="false">IF(C5416="","",C5416*IF(Settings!$B$22=Settings!$C$6,1,IF(Settings!$B$22="USD",1/INDEX(Settings!$B$29:$B$40,MONTH(A5416)),INDEX(Settings!$B$29:$B$40,MONTH(A5416)))))</f>
        <v/>
      </c>
    </row>
    <row r="5417" customFormat="false" ht="15" hidden="false" customHeight="false" outlineLevel="0" collapsed="false">
      <c r="H5417" s="0" t="str">
        <f aca="false">IF(B5417="","",IF(COUNTIF(Campaigns!$A$7:$A$300,B5417)&gt;0,"✓","⚠ add to Campaigns tab"))</f>
        <v/>
      </c>
      <c r="I5417" s="84" t="str">
        <f aca="false">IF(C5417="","",C5417*IF(Settings!$B$22=Settings!$C$6,1,IF(Settings!$B$22="USD",1/INDEX(Settings!$B$29:$B$40,MONTH(A5417)),INDEX(Settings!$B$29:$B$40,MONTH(A5417)))))</f>
        <v/>
      </c>
    </row>
    <row r="5418" customFormat="false" ht="15" hidden="false" customHeight="false" outlineLevel="0" collapsed="false">
      <c r="H5418" s="0" t="str">
        <f aca="false">IF(B5418="","",IF(COUNTIF(Campaigns!$A$7:$A$300,B5418)&gt;0,"✓","⚠ add to Campaigns tab"))</f>
        <v/>
      </c>
      <c r="I5418" s="84" t="str">
        <f aca="false">IF(C5418="","",C5418*IF(Settings!$B$22=Settings!$C$6,1,IF(Settings!$B$22="USD",1/INDEX(Settings!$B$29:$B$40,MONTH(A5418)),INDEX(Settings!$B$29:$B$40,MONTH(A5418)))))</f>
        <v/>
      </c>
    </row>
    <row r="5419" customFormat="false" ht="15" hidden="false" customHeight="false" outlineLevel="0" collapsed="false">
      <c r="H5419" s="0" t="str">
        <f aca="false">IF(B5419="","",IF(COUNTIF(Campaigns!$A$7:$A$300,B5419)&gt;0,"✓","⚠ add to Campaigns tab"))</f>
        <v/>
      </c>
      <c r="I5419" s="84" t="str">
        <f aca="false">IF(C5419="","",C5419*IF(Settings!$B$22=Settings!$C$6,1,IF(Settings!$B$22="USD",1/INDEX(Settings!$B$29:$B$40,MONTH(A5419)),INDEX(Settings!$B$29:$B$40,MONTH(A5419)))))</f>
        <v/>
      </c>
    </row>
    <row r="5420" customFormat="false" ht="15" hidden="false" customHeight="false" outlineLevel="0" collapsed="false">
      <c r="H5420" s="0" t="str">
        <f aca="false">IF(B5420="","",IF(COUNTIF(Campaigns!$A$7:$A$300,B5420)&gt;0,"✓","⚠ add to Campaigns tab"))</f>
        <v/>
      </c>
      <c r="I5420" s="84" t="str">
        <f aca="false">IF(C5420="","",C5420*IF(Settings!$B$22=Settings!$C$6,1,IF(Settings!$B$22="USD",1/INDEX(Settings!$B$29:$B$40,MONTH(A5420)),INDEX(Settings!$B$29:$B$40,MONTH(A5420)))))</f>
        <v/>
      </c>
    </row>
    <row r="5421" customFormat="false" ht="15" hidden="false" customHeight="false" outlineLevel="0" collapsed="false">
      <c r="H5421" s="0" t="str">
        <f aca="false">IF(B5421="","",IF(COUNTIF(Campaigns!$A$7:$A$300,B5421)&gt;0,"✓","⚠ add to Campaigns tab"))</f>
        <v/>
      </c>
      <c r="I5421" s="84" t="str">
        <f aca="false">IF(C5421="","",C5421*IF(Settings!$B$22=Settings!$C$6,1,IF(Settings!$B$22="USD",1/INDEX(Settings!$B$29:$B$40,MONTH(A5421)),INDEX(Settings!$B$29:$B$40,MONTH(A5421)))))</f>
        <v/>
      </c>
    </row>
    <row r="5422" customFormat="false" ht="15" hidden="false" customHeight="false" outlineLevel="0" collapsed="false">
      <c r="H5422" s="0" t="str">
        <f aca="false">IF(B5422="","",IF(COUNTIF(Campaigns!$A$7:$A$300,B5422)&gt;0,"✓","⚠ add to Campaigns tab"))</f>
        <v/>
      </c>
      <c r="I5422" s="84" t="str">
        <f aca="false">IF(C5422="","",C5422*IF(Settings!$B$22=Settings!$C$6,1,IF(Settings!$B$22="USD",1/INDEX(Settings!$B$29:$B$40,MONTH(A5422)),INDEX(Settings!$B$29:$B$40,MONTH(A5422)))))</f>
        <v/>
      </c>
    </row>
    <row r="5423" customFormat="false" ht="15" hidden="false" customHeight="false" outlineLevel="0" collapsed="false">
      <c r="H5423" s="0" t="str">
        <f aca="false">IF(B5423="","",IF(COUNTIF(Campaigns!$A$7:$A$300,B5423)&gt;0,"✓","⚠ add to Campaigns tab"))</f>
        <v/>
      </c>
      <c r="I5423" s="84" t="str">
        <f aca="false">IF(C5423="","",C5423*IF(Settings!$B$22=Settings!$C$6,1,IF(Settings!$B$22="USD",1/INDEX(Settings!$B$29:$B$40,MONTH(A5423)),INDEX(Settings!$B$29:$B$40,MONTH(A5423)))))</f>
        <v/>
      </c>
    </row>
    <row r="5424" customFormat="false" ht="15" hidden="false" customHeight="false" outlineLevel="0" collapsed="false">
      <c r="H5424" s="0" t="str">
        <f aca="false">IF(B5424="","",IF(COUNTIF(Campaigns!$A$7:$A$300,B5424)&gt;0,"✓","⚠ add to Campaigns tab"))</f>
        <v/>
      </c>
      <c r="I5424" s="84" t="str">
        <f aca="false">IF(C5424="","",C5424*IF(Settings!$B$22=Settings!$C$6,1,IF(Settings!$B$22="USD",1/INDEX(Settings!$B$29:$B$40,MONTH(A5424)),INDEX(Settings!$B$29:$B$40,MONTH(A5424)))))</f>
        <v/>
      </c>
    </row>
    <row r="5425" customFormat="false" ht="15" hidden="false" customHeight="false" outlineLevel="0" collapsed="false">
      <c r="H5425" s="0" t="str">
        <f aca="false">IF(B5425="","",IF(COUNTIF(Campaigns!$A$7:$A$300,B5425)&gt;0,"✓","⚠ add to Campaigns tab"))</f>
        <v/>
      </c>
      <c r="I5425" s="84" t="str">
        <f aca="false">IF(C5425="","",C5425*IF(Settings!$B$22=Settings!$C$6,1,IF(Settings!$B$22="USD",1/INDEX(Settings!$B$29:$B$40,MONTH(A5425)),INDEX(Settings!$B$29:$B$40,MONTH(A5425)))))</f>
        <v/>
      </c>
    </row>
    <row r="5426" customFormat="false" ht="15" hidden="false" customHeight="false" outlineLevel="0" collapsed="false">
      <c r="H5426" s="0" t="str">
        <f aca="false">IF(B5426="","",IF(COUNTIF(Campaigns!$A$7:$A$300,B5426)&gt;0,"✓","⚠ add to Campaigns tab"))</f>
        <v/>
      </c>
      <c r="I5426" s="84" t="str">
        <f aca="false">IF(C5426="","",C5426*IF(Settings!$B$22=Settings!$C$6,1,IF(Settings!$B$22="USD",1/INDEX(Settings!$B$29:$B$40,MONTH(A5426)),INDEX(Settings!$B$29:$B$40,MONTH(A5426)))))</f>
        <v/>
      </c>
    </row>
    <row r="5427" customFormat="false" ht="15" hidden="false" customHeight="false" outlineLevel="0" collapsed="false">
      <c r="H5427" s="0" t="str">
        <f aca="false">IF(B5427="","",IF(COUNTIF(Campaigns!$A$7:$A$300,B5427)&gt;0,"✓","⚠ add to Campaigns tab"))</f>
        <v/>
      </c>
      <c r="I5427" s="84" t="str">
        <f aca="false">IF(C5427="","",C5427*IF(Settings!$B$22=Settings!$C$6,1,IF(Settings!$B$22="USD",1/INDEX(Settings!$B$29:$B$40,MONTH(A5427)),INDEX(Settings!$B$29:$B$40,MONTH(A5427)))))</f>
        <v/>
      </c>
    </row>
    <row r="5428" customFormat="false" ht="15" hidden="false" customHeight="false" outlineLevel="0" collapsed="false">
      <c r="H5428" s="0" t="str">
        <f aca="false">IF(B5428="","",IF(COUNTIF(Campaigns!$A$7:$A$300,B5428)&gt;0,"✓","⚠ add to Campaigns tab"))</f>
        <v/>
      </c>
      <c r="I5428" s="84" t="str">
        <f aca="false">IF(C5428="","",C5428*IF(Settings!$B$22=Settings!$C$6,1,IF(Settings!$B$22="USD",1/INDEX(Settings!$B$29:$B$40,MONTH(A5428)),INDEX(Settings!$B$29:$B$40,MONTH(A5428)))))</f>
        <v/>
      </c>
    </row>
    <row r="5429" customFormat="false" ht="15" hidden="false" customHeight="false" outlineLevel="0" collapsed="false">
      <c r="H5429" s="0" t="str">
        <f aca="false">IF(B5429="","",IF(COUNTIF(Campaigns!$A$7:$A$300,B5429)&gt;0,"✓","⚠ add to Campaigns tab"))</f>
        <v/>
      </c>
      <c r="I5429" s="84" t="str">
        <f aca="false">IF(C5429="","",C5429*IF(Settings!$B$22=Settings!$C$6,1,IF(Settings!$B$22="USD",1/INDEX(Settings!$B$29:$B$40,MONTH(A5429)),INDEX(Settings!$B$29:$B$40,MONTH(A5429)))))</f>
        <v/>
      </c>
    </row>
    <row r="5430" customFormat="false" ht="15" hidden="false" customHeight="false" outlineLevel="0" collapsed="false">
      <c r="H5430" s="0" t="str">
        <f aca="false">IF(B5430="","",IF(COUNTIF(Campaigns!$A$7:$A$300,B5430)&gt;0,"✓","⚠ add to Campaigns tab"))</f>
        <v/>
      </c>
      <c r="I5430" s="84" t="str">
        <f aca="false">IF(C5430="","",C5430*IF(Settings!$B$22=Settings!$C$6,1,IF(Settings!$B$22="USD",1/INDEX(Settings!$B$29:$B$40,MONTH(A5430)),INDEX(Settings!$B$29:$B$40,MONTH(A5430)))))</f>
        <v/>
      </c>
    </row>
    <row r="5431" customFormat="false" ht="15" hidden="false" customHeight="false" outlineLevel="0" collapsed="false">
      <c r="H5431" s="0" t="str">
        <f aca="false">IF(B5431="","",IF(COUNTIF(Campaigns!$A$7:$A$300,B5431)&gt;0,"✓","⚠ add to Campaigns tab"))</f>
        <v/>
      </c>
      <c r="I5431" s="84" t="str">
        <f aca="false">IF(C5431="","",C5431*IF(Settings!$B$22=Settings!$C$6,1,IF(Settings!$B$22="USD",1/INDEX(Settings!$B$29:$B$40,MONTH(A5431)),INDEX(Settings!$B$29:$B$40,MONTH(A5431)))))</f>
        <v/>
      </c>
    </row>
    <row r="5432" customFormat="false" ht="15" hidden="false" customHeight="false" outlineLevel="0" collapsed="false">
      <c r="H5432" s="0" t="str">
        <f aca="false">IF(B5432="","",IF(COUNTIF(Campaigns!$A$7:$A$300,B5432)&gt;0,"✓","⚠ add to Campaigns tab"))</f>
        <v/>
      </c>
      <c r="I5432" s="84" t="str">
        <f aca="false">IF(C5432="","",C5432*IF(Settings!$B$22=Settings!$C$6,1,IF(Settings!$B$22="USD",1/INDEX(Settings!$B$29:$B$40,MONTH(A5432)),INDEX(Settings!$B$29:$B$40,MONTH(A5432)))))</f>
        <v/>
      </c>
    </row>
    <row r="5433" customFormat="false" ht="15" hidden="false" customHeight="false" outlineLevel="0" collapsed="false">
      <c r="H5433" s="0" t="str">
        <f aca="false">IF(B5433="","",IF(COUNTIF(Campaigns!$A$7:$A$300,B5433)&gt;0,"✓","⚠ add to Campaigns tab"))</f>
        <v/>
      </c>
      <c r="I5433" s="84" t="str">
        <f aca="false">IF(C5433="","",C5433*IF(Settings!$B$22=Settings!$C$6,1,IF(Settings!$B$22="USD",1/INDEX(Settings!$B$29:$B$40,MONTH(A5433)),INDEX(Settings!$B$29:$B$40,MONTH(A5433)))))</f>
        <v/>
      </c>
    </row>
    <row r="5434" customFormat="false" ht="15" hidden="false" customHeight="false" outlineLevel="0" collapsed="false">
      <c r="H5434" s="0" t="str">
        <f aca="false">IF(B5434="","",IF(COUNTIF(Campaigns!$A$7:$A$300,B5434)&gt;0,"✓","⚠ add to Campaigns tab"))</f>
        <v/>
      </c>
      <c r="I5434" s="84" t="str">
        <f aca="false">IF(C5434="","",C5434*IF(Settings!$B$22=Settings!$C$6,1,IF(Settings!$B$22="USD",1/INDEX(Settings!$B$29:$B$40,MONTH(A5434)),INDEX(Settings!$B$29:$B$40,MONTH(A5434)))))</f>
        <v/>
      </c>
    </row>
    <row r="5435" customFormat="false" ht="15" hidden="false" customHeight="false" outlineLevel="0" collapsed="false">
      <c r="H5435" s="0" t="str">
        <f aca="false">IF(B5435="","",IF(COUNTIF(Campaigns!$A$7:$A$300,B5435)&gt;0,"✓","⚠ add to Campaigns tab"))</f>
        <v/>
      </c>
      <c r="I5435" s="84" t="str">
        <f aca="false">IF(C5435="","",C5435*IF(Settings!$B$22=Settings!$C$6,1,IF(Settings!$B$22="USD",1/INDEX(Settings!$B$29:$B$40,MONTH(A5435)),INDEX(Settings!$B$29:$B$40,MONTH(A5435)))))</f>
        <v/>
      </c>
    </row>
    <row r="5436" customFormat="false" ht="15" hidden="false" customHeight="false" outlineLevel="0" collapsed="false">
      <c r="H5436" s="0" t="str">
        <f aca="false">IF(B5436="","",IF(COUNTIF(Campaigns!$A$7:$A$300,B5436)&gt;0,"✓","⚠ add to Campaigns tab"))</f>
        <v/>
      </c>
      <c r="I5436" s="84" t="str">
        <f aca="false">IF(C5436="","",C5436*IF(Settings!$B$22=Settings!$C$6,1,IF(Settings!$B$22="USD",1/INDEX(Settings!$B$29:$B$40,MONTH(A5436)),INDEX(Settings!$B$29:$B$40,MONTH(A5436)))))</f>
        <v/>
      </c>
    </row>
    <row r="5437" customFormat="false" ht="15" hidden="false" customHeight="false" outlineLevel="0" collapsed="false">
      <c r="H5437" s="0" t="str">
        <f aca="false">IF(B5437="","",IF(COUNTIF(Campaigns!$A$7:$A$300,B5437)&gt;0,"✓","⚠ add to Campaigns tab"))</f>
        <v/>
      </c>
      <c r="I5437" s="84" t="str">
        <f aca="false">IF(C5437="","",C5437*IF(Settings!$B$22=Settings!$C$6,1,IF(Settings!$B$22="USD",1/INDEX(Settings!$B$29:$B$40,MONTH(A5437)),INDEX(Settings!$B$29:$B$40,MONTH(A5437)))))</f>
        <v/>
      </c>
    </row>
    <row r="5438" customFormat="false" ht="15" hidden="false" customHeight="false" outlineLevel="0" collapsed="false">
      <c r="H5438" s="0" t="str">
        <f aca="false">IF(B5438="","",IF(COUNTIF(Campaigns!$A$7:$A$300,B5438)&gt;0,"✓","⚠ add to Campaigns tab"))</f>
        <v/>
      </c>
      <c r="I5438" s="84" t="str">
        <f aca="false">IF(C5438="","",C5438*IF(Settings!$B$22=Settings!$C$6,1,IF(Settings!$B$22="USD",1/INDEX(Settings!$B$29:$B$40,MONTH(A5438)),INDEX(Settings!$B$29:$B$40,MONTH(A5438)))))</f>
        <v/>
      </c>
    </row>
    <row r="5439" customFormat="false" ht="15" hidden="false" customHeight="false" outlineLevel="0" collapsed="false">
      <c r="H5439" s="0" t="str">
        <f aca="false">IF(B5439="","",IF(COUNTIF(Campaigns!$A$7:$A$300,B5439)&gt;0,"✓","⚠ add to Campaigns tab"))</f>
        <v/>
      </c>
      <c r="I5439" s="84" t="str">
        <f aca="false">IF(C5439="","",C5439*IF(Settings!$B$22=Settings!$C$6,1,IF(Settings!$B$22="USD",1/INDEX(Settings!$B$29:$B$40,MONTH(A5439)),INDEX(Settings!$B$29:$B$40,MONTH(A5439)))))</f>
        <v/>
      </c>
    </row>
    <row r="5440" customFormat="false" ht="15" hidden="false" customHeight="false" outlineLevel="0" collapsed="false">
      <c r="H5440" s="0" t="str">
        <f aca="false">IF(B5440="","",IF(COUNTIF(Campaigns!$A$7:$A$300,B5440)&gt;0,"✓","⚠ add to Campaigns tab"))</f>
        <v/>
      </c>
      <c r="I5440" s="84" t="str">
        <f aca="false">IF(C5440="","",C5440*IF(Settings!$B$22=Settings!$C$6,1,IF(Settings!$B$22="USD",1/INDEX(Settings!$B$29:$B$40,MONTH(A5440)),INDEX(Settings!$B$29:$B$40,MONTH(A5440)))))</f>
        <v/>
      </c>
    </row>
    <row r="5441" customFormat="false" ht="15" hidden="false" customHeight="false" outlineLevel="0" collapsed="false">
      <c r="H5441" s="0" t="str">
        <f aca="false">IF(B5441="","",IF(COUNTIF(Campaigns!$A$7:$A$300,B5441)&gt;0,"✓","⚠ add to Campaigns tab"))</f>
        <v/>
      </c>
      <c r="I5441" s="84" t="str">
        <f aca="false">IF(C5441="","",C5441*IF(Settings!$B$22=Settings!$C$6,1,IF(Settings!$B$22="USD",1/INDEX(Settings!$B$29:$B$40,MONTH(A5441)),INDEX(Settings!$B$29:$B$40,MONTH(A5441)))))</f>
        <v/>
      </c>
    </row>
    <row r="5442" customFormat="false" ht="15" hidden="false" customHeight="false" outlineLevel="0" collapsed="false">
      <c r="H5442" s="0" t="str">
        <f aca="false">IF(B5442="","",IF(COUNTIF(Campaigns!$A$7:$A$300,B5442)&gt;0,"✓","⚠ add to Campaigns tab"))</f>
        <v/>
      </c>
      <c r="I5442" s="84" t="str">
        <f aca="false">IF(C5442="","",C5442*IF(Settings!$B$22=Settings!$C$6,1,IF(Settings!$B$22="USD",1/INDEX(Settings!$B$29:$B$40,MONTH(A5442)),INDEX(Settings!$B$29:$B$40,MONTH(A5442)))))</f>
        <v/>
      </c>
    </row>
    <row r="5443" customFormat="false" ht="15" hidden="false" customHeight="false" outlineLevel="0" collapsed="false">
      <c r="H5443" s="0" t="str">
        <f aca="false">IF(B5443="","",IF(COUNTIF(Campaigns!$A$7:$A$300,B5443)&gt;0,"✓","⚠ add to Campaigns tab"))</f>
        <v/>
      </c>
      <c r="I5443" s="84" t="str">
        <f aca="false">IF(C5443="","",C5443*IF(Settings!$B$22=Settings!$C$6,1,IF(Settings!$B$22="USD",1/INDEX(Settings!$B$29:$B$40,MONTH(A5443)),INDEX(Settings!$B$29:$B$40,MONTH(A5443)))))</f>
        <v/>
      </c>
    </row>
    <row r="5444" customFormat="false" ht="15" hidden="false" customHeight="false" outlineLevel="0" collapsed="false">
      <c r="H5444" s="0" t="str">
        <f aca="false">IF(B5444="","",IF(COUNTIF(Campaigns!$A$7:$A$300,B5444)&gt;0,"✓","⚠ add to Campaigns tab"))</f>
        <v/>
      </c>
      <c r="I5444" s="84" t="str">
        <f aca="false">IF(C5444="","",C5444*IF(Settings!$B$22=Settings!$C$6,1,IF(Settings!$B$22="USD",1/INDEX(Settings!$B$29:$B$40,MONTH(A5444)),INDEX(Settings!$B$29:$B$40,MONTH(A5444)))))</f>
        <v/>
      </c>
    </row>
    <row r="5445" customFormat="false" ht="15" hidden="false" customHeight="false" outlineLevel="0" collapsed="false">
      <c r="H5445" s="0" t="str">
        <f aca="false">IF(B5445="","",IF(COUNTIF(Campaigns!$A$7:$A$300,B5445)&gt;0,"✓","⚠ add to Campaigns tab"))</f>
        <v/>
      </c>
      <c r="I5445" s="84" t="str">
        <f aca="false">IF(C5445="","",C5445*IF(Settings!$B$22=Settings!$C$6,1,IF(Settings!$B$22="USD",1/INDEX(Settings!$B$29:$B$40,MONTH(A5445)),INDEX(Settings!$B$29:$B$40,MONTH(A5445)))))</f>
        <v/>
      </c>
    </row>
    <row r="5446" customFormat="false" ht="15" hidden="false" customHeight="false" outlineLevel="0" collapsed="false">
      <c r="H5446" s="0" t="str">
        <f aca="false">IF(B5446="","",IF(COUNTIF(Campaigns!$A$7:$A$300,B5446)&gt;0,"✓","⚠ add to Campaigns tab"))</f>
        <v/>
      </c>
      <c r="I5446" s="84" t="str">
        <f aca="false">IF(C5446="","",C5446*IF(Settings!$B$22=Settings!$C$6,1,IF(Settings!$B$22="USD",1/INDEX(Settings!$B$29:$B$40,MONTH(A5446)),INDEX(Settings!$B$29:$B$40,MONTH(A5446)))))</f>
        <v/>
      </c>
    </row>
    <row r="5447" customFormat="false" ht="15" hidden="false" customHeight="false" outlineLevel="0" collapsed="false">
      <c r="H5447" s="0" t="str">
        <f aca="false">IF(B5447="","",IF(COUNTIF(Campaigns!$A$7:$A$300,B5447)&gt;0,"✓","⚠ add to Campaigns tab"))</f>
        <v/>
      </c>
      <c r="I5447" s="84" t="str">
        <f aca="false">IF(C5447="","",C5447*IF(Settings!$B$22=Settings!$C$6,1,IF(Settings!$B$22="USD",1/INDEX(Settings!$B$29:$B$40,MONTH(A5447)),INDEX(Settings!$B$29:$B$40,MONTH(A5447)))))</f>
        <v/>
      </c>
    </row>
    <row r="5448" customFormat="false" ht="15" hidden="false" customHeight="false" outlineLevel="0" collapsed="false">
      <c r="H5448" s="0" t="str">
        <f aca="false">IF(B5448="","",IF(COUNTIF(Campaigns!$A$7:$A$300,B5448)&gt;0,"✓","⚠ add to Campaigns tab"))</f>
        <v/>
      </c>
      <c r="I5448" s="84" t="str">
        <f aca="false">IF(C5448="","",C5448*IF(Settings!$B$22=Settings!$C$6,1,IF(Settings!$B$22="USD",1/INDEX(Settings!$B$29:$B$40,MONTH(A5448)),INDEX(Settings!$B$29:$B$40,MONTH(A5448)))))</f>
        <v/>
      </c>
    </row>
    <row r="5449" customFormat="false" ht="15" hidden="false" customHeight="false" outlineLevel="0" collapsed="false">
      <c r="H5449" s="0" t="str">
        <f aca="false">IF(B5449="","",IF(COUNTIF(Campaigns!$A$7:$A$300,B5449)&gt;0,"✓","⚠ add to Campaigns tab"))</f>
        <v/>
      </c>
      <c r="I5449" s="84" t="str">
        <f aca="false">IF(C5449="","",C5449*IF(Settings!$B$22=Settings!$C$6,1,IF(Settings!$B$22="USD",1/INDEX(Settings!$B$29:$B$40,MONTH(A5449)),INDEX(Settings!$B$29:$B$40,MONTH(A5449)))))</f>
        <v/>
      </c>
    </row>
    <row r="5450" customFormat="false" ht="15" hidden="false" customHeight="false" outlineLevel="0" collapsed="false">
      <c r="H5450" s="0" t="str">
        <f aca="false">IF(B5450="","",IF(COUNTIF(Campaigns!$A$7:$A$300,B5450)&gt;0,"✓","⚠ add to Campaigns tab"))</f>
        <v/>
      </c>
      <c r="I5450" s="84" t="str">
        <f aca="false">IF(C5450="","",C5450*IF(Settings!$B$22=Settings!$C$6,1,IF(Settings!$B$22="USD",1/INDEX(Settings!$B$29:$B$40,MONTH(A5450)),INDEX(Settings!$B$29:$B$40,MONTH(A5450)))))</f>
        <v/>
      </c>
    </row>
    <row r="5451" customFormat="false" ht="15" hidden="false" customHeight="false" outlineLevel="0" collapsed="false">
      <c r="H5451" s="0" t="str">
        <f aca="false">IF(B5451="","",IF(COUNTIF(Campaigns!$A$7:$A$300,B5451)&gt;0,"✓","⚠ add to Campaigns tab"))</f>
        <v/>
      </c>
      <c r="I5451" s="84" t="str">
        <f aca="false">IF(C5451="","",C5451*IF(Settings!$B$22=Settings!$C$6,1,IF(Settings!$B$22="USD",1/INDEX(Settings!$B$29:$B$40,MONTH(A5451)),INDEX(Settings!$B$29:$B$40,MONTH(A5451)))))</f>
        <v/>
      </c>
    </row>
    <row r="5452" customFormat="false" ht="15" hidden="false" customHeight="false" outlineLevel="0" collapsed="false">
      <c r="H5452" s="0" t="str">
        <f aca="false">IF(B5452="","",IF(COUNTIF(Campaigns!$A$7:$A$300,B5452)&gt;0,"✓","⚠ add to Campaigns tab"))</f>
        <v/>
      </c>
      <c r="I5452" s="84" t="str">
        <f aca="false">IF(C5452="","",C5452*IF(Settings!$B$22=Settings!$C$6,1,IF(Settings!$B$22="USD",1/INDEX(Settings!$B$29:$B$40,MONTH(A5452)),INDEX(Settings!$B$29:$B$40,MONTH(A5452)))))</f>
        <v/>
      </c>
    </row>
    <row r="5453" customFormat="false" ht="15" hidden="false" customHeight="false" outlineLevel="0" collapsed="false">
      <c r="H5453" s="0" t="str">
        <f aca="false">IF(B5453="","",IF(COUNTIF(Campaigns!$A$7:$A$300,B5453)&gt;0,"✓","⚠ add to Campaigns tab"))</f>
        <v/>
      </c>
      <c r="I5453" s="84" t="str">
        <f aca="false">IF(C5453="","",C5453*IF(Settings!$B$22=Settings!$C$6,1,IF(Settings!$B$22="USD",1/INDEX(Settings!$B$29:$B$40,MONTH(A5453)),INDEX(Settings!$B$29:$B$40,MONTH(A5453)))))</f>
        <v/>
      </c>
    </row>
    <row r="5454" customFormat="false" ht="15" hidden="false" customHeight="false" outlineLevel="0" collapsed="false">
      <c r="H5454" s="0" t="str">
        <f aca="false">IF(B5454="","",IF(COUNTIF(Campaigns!$A$7:$A$300,B5454)&gt;0,"✓","⚠ add to Campaigns tab"))</f>
        <v/>
      </c>
      <c r="I5454" s="84" t="str">
        <f aca="false">IF(C5454="","",C5454*IF(Settings!$B$22=Settings!$C$6,1,IF(Settings!$B$22="USD",1/INDEX(Settings!$B$29:$B$40,MONTH(A5454)),INDEX(Settings!$B$29:$B$40,MONTH(A5454)))))</f>
        <v/>
      </c>
    </row>
    <row r="5455" customFormat="false" ht="15" hidden="false" customHeight="false" outlineLevel="0" collapsed="false">
      <c r="H5455" s="0" t="str">
        <f aca="false">IF(B5455="","",IF(COUNTIF(Campaigns!$A$7:$A$300,B5455)&gt;0,"✓","⚠ add to Campaigns tab"))</f>
        <v/>
      </c>
      <c r="I5455" s="84" t="str">
        <f aca="false">IF(C5455="","",C5455*IF(Settings!$B$22=Settings!$C$6,1,IF(Settings!$B$22="USD",1/INDEX(Settings!$B$29:$B$40,MONTH(A5455)),INDEX(Settings!$B$29:$B$40,MONTH(A5455)))))</f>
        <v/>
      </c>
    </row>
    <row r="5456" customFormat="false" ht="15" hidden="false" customHeight="false" outlineLevel="0" collapsed="false">
      <c r="H5456" s="0" t="str">
        <f aca="false">IF(B5456="","",IF(COUNTIF(Campaigns!$A$7:$A$300,B5456)&gt;0,"✓","⚠ add to Campaigns tab"))</f>
        <v/>
      </c>
      <c r="I5456" s="84" t="str">
        <f aca="false">IF(C5456="","",C5456*IF(Settings!$B$22=Settings!$C$6,1,IF(Settings!$B$22="USD",1/INDEX(Settings!$B$29:$B$40,MONTH(A5456)),INDEX(Settings!$B$29:$B$40,MONTH(A5456)))))</f>
        <v/>
      </c>
    </row>
    <row r="5457" customFormat="false" ht="15" hidden="false" customHeight="false" outlineLevel="0" collapsed="false">
      <c r="H5457" s="0" t="str">
        <f aca="false">IF(B5457="","",IF(COUNTIF(Campaigns!$A$7:$A$300,B5457)&gt;0,"✓","⚠ add to Campaigns tab"))</f>
        <v/>
      </c>
      <c r="I5457" s="84" t="str">
        <f aca="false">IF(C5457="","",C5457*IF(Settings!$B$22=Settings!$C$6,1,IF(Settings!$B$22="USD",1/INDEX(Settings!$B$29:$B$40,MONTH(A5457)),INDEX(Settings!$B$29:$B$40,MONTH(A5457)))))</f>
        <v/>
      </c>
    </row>
    <row r="5458" customFormat="false" ht="15" hidden="false" customHeight="false" outlineLevel="0" collapsed="false">
      <c r="H5458" s="0" t="str">
        <f aca="false">IF(B5458="","",IF(COUNTIF(Campaigns!$A$7:$A$300,B5458)&gt;0,"✓","⚠ add to Campaigns tab"))</f>
        <v/>
      </c>
      <c r="I5458" s="84" t="str">
        <f aca="false">IF(C5458="","",C5458*IF(Settings!$B$22=Settings!$C$6,1,IF(Settings!$B$22="USD",1/INDEX(Settings!$B$29:$B$40,MONTH(A5458)),INDEX(Settings!$B$29:$B$40,MONTH(A5458)))))</f>
        <v/>
      </c>
    </row>
    <row r="5459" customFormat="false" ht="15" hidden="false" customHeight="false" outlineLevel="0" collapsed="false">
      <c r="H5459" s="0" t="str">
        <f aca="false">IF(B5459="","",IF(COUNTIF(Campaigns!$A$7:$A$300,B5459)&gt;0,"✓","⚠ add to Campaigns tab"))</f>
        <v/>
      </c>
      <c r="I5459" s="84" t="str">
        <f aca="false">IF(C5459="","",C5459*IF(Settings!$B$22=Settings!$C$6,1,IF(Settings!$B$22="USD",1/INDEX(Settings!$B$29:$B$40,MONTH(A5459)),INDEX(Settings!$B$29:$B$40,MONTH(A5459)))))</f>
        <v/>
      </c>
    </row>
    <row r="5460" customFormat="false" ht="15" hidden="false" customHeight="false" outlineLevel="0" collapsed="false">
      <c r="H5460" s="0" t="str">
        <f aca="false">IF(B5460="","",IF(COUNTIF(Campaigns!$A$7:$A$300,B5460)&gt;0,"✓","⚠ add to Campaigns tab"))</f>
        <v/>
      </c>
      <c r="I5460" s="84" t="str">
        <f aca="false">IF(C5460="","",C5460*IF(Settings!$B$22=Settings!$C$6,1,IF(Settings!$B$22="USD",1/INDEX(Settings!$B$29:$B$40,MONTH(A5460)),INDEX(Settings!$B$29:$B$40,MONTH(A5460)))))</f>
        <v/>
      </c>
    </row>
    <row r="5461" customFormat="false" ht="15" hidden="false" customHeight="false" outlineLevel="0" collapsed="false">
      <c r="H5461" s="0" t="str">
        <f aca="false">IF(B5461="","",IF(COUNTIF(Campaigns!$A$7:$A$300,B5461)&gt;0,"✓","⚠ add to Campaigns tab"))</f>
        <v/>
      </c>
      <c r="I5461" s="84" t="str">
        <f aca="false">IF(C5461="","",C5461*IF(Settings!$B$22=Settings!$C$6,1,IF(Settings!$B$22="USD",1/INDEX(Settings!$B$29:$B$40,MONTH(A5461)),INDEX(Settings!$B$29:$B$40,MONTH(A5461)))))</f>
        <v/>
      </c>
    </row>
    <row r="5462" customFormat="false" ht="15" hidden="false" customHeight="false" outlineLevel="0" collapsed="false">
      <c r="H5462" s="0" t="str">
        <f aca="false">IF(B5462="","",IF(COUNTIF(Campaigns!$A$7:$A$300,B5462)&gt;0,"✓","⚠ add to Campaigns tab"))</f>
        <v/>
      </c>
      <c r="I5462" s="84" t="str">
        <f aca="false">IF(C5462="","",C5462*IF(Settings!$B$22=Settings!$C$6,1,IF(Settings!$B$22="USD",1/INDEX(Settings!$B$29:$B$40,MONTH(A5462)),INDEX(Settings!$B$29:$B$40,MONTH(A5462)))))</f>
        <v/>
      </c>
    </row>
    <row r="5463" customFormat="false" ht="15" hidden="false" customHeight="false" outlineLevel="0" collapsed="false">
      <c r="H5463" s="0" t="str">
        <f aca="false">IF(B5463="","",IF(COUNTIF(Campaigns!$A$7:$A$300,B5463)&gt;0,"✓","⚠ add to Campaigns tab"))</f>
        <v/>
      </c>
      <c r="I5463" s="84" t="str">
        <f aca="false">IF(C5463="","",C5463*IF(Settings!$B$22=Settings!$C$6,1,IF(Settings!$B$22="USD",1/INDEX(Settings!$B$29:$B$40,MONTH(A5463)),INDEX(Settings!$B$29:$B$40,MONTH(A5463)))))</f>
        <v/>
      </c>
    </row>
    <row r="5464" customFormat="false" ht="15" hidden="false" customHeight="false" outlineLevel="0" collapsed="false">
      <c r="H5464" s="0" t="str">
        <f aca="false">IF(B5464="","",IF(COUNTIF(Campaigns!$A$7:$A$300,B5464)&gt;0,"✓","⚠ add to Campaigns tab"))</f>
        <v/>
      </c>
      <c r="I5464" s="84" t="str">
        <f aca="false">IF(C5464="","",C5464*IF(Settings!$B$22=Settings!$C$6,1,IF(Settings!$B$22="USD",1/INDEX(Settings!$B$29:$B$40,MONTH(A5464)),INDEX(Settings!$B$29:$B$40,MONTH(A5464)))))</f>
        <v/>
      </c>
    </row>
    <row r="5465" customFormat="false" ht="15" hidden="false" customHeight="false" outlineLevel="0" collapsed="false">
      <c r="H5465" s="0" t="str">
        <f aca="false">IF(B5465="","",IF(COUNTIF(Campaigns!$A$7:$A$300,B5465)&gt;0,"✓","⚠ add to Campaigns tab"))</f>
        <v/>
      </c>
      <c r="I5465" s="84" t="str">
        <f aca="false">IF(C5465="","",C5465*IF(Settings!$B$22=Settings!$C$6,1,IF(Settings!$B$22="USD",1/INDEX(Settings!$B$29:$B$40,MONTH(A5465)),INDEX(Settings!$B$29:$B$40,MONTH(A5465)))))</f>
        <v/>
      </c>
    </row>
    <row r="5466" customFormat="false" ht="15" hidden="false" customHeight="false" outlineLevel="0" collapsed="false">
      <c r="H5466" s="0" t="str">
        <f aca="false">IF(B5466="","",IF(COUNTIF(Campaigns!$A$7:$A$300,B5466)&gt;0,"✓","⚠ add to Campaigns tab"))</f>
        <v/>
      </c>
      <c r="I5466" s="84" t="str">
        <f aca="false">IF(C5466="","",C5466*IF(Settings!$B$22=Settings!$C$6,1,IF(Settings!$B$22="USD",1/INDEX(Settings!$B$29:$B$40,MONTH(A5466)),INDEX(Settings!$B$29:$B$40,MONTH(A5466)))))</f>
        <v/>
      </c>
    </row>
    <row r="5467" customFormat="false" ht="15" hidden="false" customHeight="false" outlineLevel="0" collapsed="false">
      <c r="H5467" s="0" t="str">
        <f aca="false">IF(B5467="","",IF(COUNTIF(Campaigns!$A$7:$A$300,B5467)&gt;0,"✓","⚠ add to Campaigns tab"))</f>
        <v/>
      </c>
      <c r="I5467" s="84" t="str">
        <f aca="false">IF(C5467="","",C5467*IF(Settings!$B$22=Settings!$C$6,1,IF(Settings!$B$22="USD",1/INDEX(Settings!$B$29:$B$40,MONTH(A5467)),INDEX(Settings!$B$29:$B$40,MONTH(A5467)))))</f>
        <v/>
      </c>
    </row>
    <row r="5468" customFormat="false" ht="15" hidden="false" customHeight="false" outlineLevel="0" collapsed="false">
      <c r="H5468" s="0" t="str">
        <f aca="false">IF(B5468="","",IF(COUNTIF(Campaigns!$A$7:$A$300,B5468)&gt;0,"✓","⚠ add to Campaigns tab"))</f>
        <v/>
      </c>
      <c r="I5468" s="84" t="str">
        <f aca="false">IF(C5468="","",C5468*IF(Settings!$B$22=Settings!$C$6,1,IF(Settings!$B$22="USD",1/INDEX(Settings!$B$29:$B$40,MONTH(A5468)),INDEX(Settings!$B$29:$B$40,MONTH(A5468)))))</f>
        <v/>
      </c>
    </row>
    <row r="5469" customFormat="false" ht="15" hidden="false" customHeight="false" outlineLevel="0" collapsed="false">
      <c r="H5469" s="0" t="str">
        <f aca="false">IF(B5469="","",IF(COUNTIF(Campaigns!$A$7:$A$300,B5469)&gt;0,"✓","⚠ add to Campaigns tab"))</f>
        <v/>
      </c>
      <c r="I5469" s="84" t="str">
        <f aca="false">IF(C5469="","",C5469*IF(Settings!$B$22=Settings!$C$6,1,IF(Settings!$B$22="USD",1/INDEX(Settings!$B$29:$B$40,MONTH(A5469)),INDEX(Settings!$B$29:$B$40,MONTH(A5469)))))</f>
        <v/>
      </c>
    </row>
    <row r="5470" customFormat="false" ht="15" hidden="false" customHeight="false" outlineLevel="0" collapsed="false">
      <c r="H5470" s="0" t="str">
        <f aca="false">IF(B5470="","",IF(COUNTIF(Campaigns!$A$7:$A$300,B5470)&gt;0,"✓","⚠ add to Campaigns tab"))</f>
        <v/>
      </c>
      <c r="I5470" s="84" t="str">
        <f aca="false">IF(C5470="","",C5470*IF(Settings!$B$22=Settings!$C$6,1,IF(Settings!$B$22="USD",1/INDEX(Settings!$B$29:$B$40,MONTH(A5470)),INDEX(Settings!$B$29:$B$40,MONTH(A5470)))))</f>
        <v/>
      </c>
    </row>
    <row r="5471" customFormat="false" ht="15" hidden="false" customHeight="false" outlineLevel="0" collapsed="false">
      <c r="H5471" s="0" t="str">
        <f aca="false">IF(B5471="","",IF(COUNTIF(Campaigns!$A$7:$A$300,B5471)&gt;0,"✓","⚠ add to Campaigns tab"))</f>
        <v/>
      </c>
      <c r="I5471" s="84" t="str">
        <f aca="false">IF(C5471="","",C5471*IF(Settings!$B$22=Settings!$C$6,1,IF(Settings!$B$22="USD",1/INDEX(Settings!$B$29:$B$40,MONTH(A5471)),INDEX(Settings!$B$29:$B$40,MONTH(A5471)))))</f>
        <v/>
      </c>
    </row>
    <row r="5472" customFormat="false" ht="15" hidden="false" customHeight="false" outlineLevel="0" collapsed="false">
      <c r="H5472" s="0" t="str">
        <f aca="false">IF(B5472="","",IF(COUNTIF(Campaigns!$A$7:$A$300,B5472)&gt;0,"✓","⚠ add to Campaigns tab"))</f>
        <v/>
      </c>
      <c r="I5472" s="84" t="str">
        <f aca="false">IF(C5472="","",C5472*IF(Settings!$B$22=Settings!$C$6,1,IF(Settings!$B$22="USD",1/INDEX(Settings!$B$29:$B$40,MONTH(A5472)),INDEX(Settings!$B$29:$B$40,MONTH(A5472)))))</f>
        <v/>
      </c>
    </row>
    <row r="5473" customFormat="false" ht="15" hidden="false" customHeight="false" outlineLevel="0" collapsed="false">
      <c r="H5473" s="0" t="str">
        <f aca="false">IF(B5473="","",IF(COUNTIF(Campaigns!$A$7:$A$300,B5473)&gt;0,"✓","⚠ add to Campaigns tab"))</f>
        <v/>
      </c>
      <c r="I5473" s="84" t="str">
        <f aca="false">IF(C5473="","",C5473*IF(Settings!$B$22=Settings!$C$6,1,IF(Settings!$B$22="USD",1/INDEX(Settings!$B$29:$B$40,MONTH(A5473)),INDEX(Settings!$B$29:$B$40,MONTH(A5473)))))</f>
        <v/>
      </c>
    </row>
    <row r="5474" customFormat="false" ht="15" hidden="false" customHeight="false" outlineLevel="0" collapsed="false">
      <c r="H5474" s="0" t="str">
        <f aca="false">IF(B5474="","",IF(COUNTIF(Campaigns!$A$7:$A$300,B5474)&gt;0,"✓","⚠ add to Campaigns tab"))</f>
        <v/>
      </c>
      <c r="I5474" s="84" t="str">
        <f aca="false">IF(C5474="","",C5474*IF(Settings!$B$22=Settings!$C$6,1,IF(Settings!$B$22="USD",1/INDEX(Settings!$B$29:$B$40,MONTH(A5474)),INDEX(Settings!$B$29:$B$40,MONTH(A5474)))))</f>
        <v/>
      </c>
    </row>
    <row r="5475" customFormat="false" ht="15" hidden="false" customHeight="false" outlineLevel="0" collapsed="false">
      <c r="H5475" s="0" t="str">
        <f aca="false">IF(B5475="","",IF(COUNTIF(Campaigns!$A$7:$A$300,B5475)&gt;0,"✓","⚠ add to Campaigns tab"))</f>
        <v/>
      </c>
      <c r="I5475" s="84" t="str">
        <f aca="false">IF(C5475="","",C5475*IF(Settings!$B$22=Settings!$C$6,1,IF(Settings!$B$22="USD",1/INDEX(Settings!$B$29:$B$40,MONTH(A5475)),INDEX(Settings!$B$29:$B$40,MONTH(A5475)))))</f>
        <v/>
      </c>
    </row>
    <row r="5476" customFormat="false" ht="15" hidden="false" customHeight="false" outlineLevel="0" collapsed="false">
      <c r="H5476" s="0" t="str">
        <f aca="false">IF(B5476="","",IF(COUNTIF(Campaigns!$A$7:$A$300,B5476)&gt;0,"✓","⚠ add to Campaigns tab"))</f>
        <v/>
      </c>
      <c r="I5476" s="84" t="str">
        <f aca="false">IF(C5476="","",C5476*IF(Settings!$B$22=Settings!$C$6,1,IF(Settings!$B$22="USD",1/INDEX(Settings!$B$29:$B$40,MONTH(A5476)),INDEX(Settings!$B$29:$B$40,MONTH(A5476)))))</f>
        <v/>
      </c>
    </row>
    <row r="5477" customFormat="false" ht="15" hidden="false" customHeight="false" outlineLevel="0" collapsed="false">
      <c r="H5477" s="0" t="str">
        <f aca="false">IF(B5477="","",IF(COUNTIF(Campaigns!$A$7:$A$300,B5477)&gt;0,"✓","⚠ add to Campaigns tab"))</f>
        <v/>
      </c>
      <c r="I5477" s="84" t="str">
        <f aca="false">IF(C5477="","",C5477*IF(Settings!$B$22=Settings!$C$6,1,IF(Settings!$B$22="USD",1/INDEX(Settings!$B$29:$B$40,MONTH(A5477)),INDEX(Settings!$B$29:$B$40,MONTH(A5477)))))</f>
        <v/>
      </c>
    </row>
    <row r="5478" customFormat="false" ht="15" hidden="false" customHeight="false" outlineLevel="0" collapsed="false">
      <c r="H5478" s="0" t="str">
        <f aca="false">IF(B5478="","",IF(COUNTIF(Campaigns!$A$7:$A$300,B5478)&gt;0,"✓","⚠ add to Campaigns tab"))</f>
        <v/>
      </c>
      <c r="I5478" s="84" t="str">
        <f aca="false">IF(C5478="","",C5478*IF(Settings!$B$22=Settings!$C$6,1,IF(Settings!$B$22="USD",1/INDEX(Settings!$B$29:$B$40,MONTH(A5478)),INDEX(Settings!$B$29:$B$40,MONTH(A5478)))))</f>
        <v/>
      </c>
    </row>
    <row r="5479" customFormat="false" ht="15" hidden="false" customHeight="false" outlineLevel="0" collapsed="false">
      <c r="H5479" s="0" t="str">
        <f aca="false">IF(B5479="","",IF(COUNTIF(Campaigns!$A$7:$A$300,B5479)&gt;0,"✓","⚠ add to Campaigns tab"))</f>
        <v/>
      </c>
      <c r="I5479" s="84" t="str">
        <f aca="false">IF(C5479="","",C5479*IF(Settings!$B$22=Settings!$C$6,1,IF(Settings!$B$22="USD",1/INDEX(Settings!$B$29:$B$40,MONTH(A5479)),INDEX(Settings!$B$29:$B$40,MONTH(A5479)))))</f>
        <v/>
      </c>
    </row>
    <row r="5480" customFormat="false" ht="15" hidden="false" customHeight="false" outlineLevel="0" collapsed="false">
      <c r="H5480" s="0" t="str">
        <f aca="false">IF(B5480="","",IF(COUNTIF(Campaigns!$A$7:$A$300,B5480)&gt;0,"✓","⚠ add to Campaigns tab"))</f>
        <v/>
      </c>
      <c r="I5480" s="84" t="str">
        <f aca="false">IF(C5480="","",C5480*IF(Settings!$B$22=Settings!$C$6,1,IF(Settings!$B$22="USD",1/INDEX(Settings!$B$29:$B$40,MONTH(A5480)),INDEX(Settings!$B$29:$B$40,MONTH(A5480)))))</f>
        <v/>
      </c>
    </row>
    <row r="5481" customFormat="false" ht="15" hidden="false" customHeight="false" outlineLevel="0" collapsed="false">
      <c r="H5481" s="0" t="str">
        <f aca="false">IF(B5481="","",IF(COUNTIF(Campaigns!$A$7:$A$300,B5481)&gt;0,"✓","⚠ add to Campaigns tab"))</f>
        <v/>
      </c>
      <c r="I5481" s="84" t="str">
        <f aca="false">IF(C5481="","",C5481*IF(Settings!$B$22=Settings!$C$6,1,IF(Settings!$B$22="USD",1/INDEX(Settings!$B$29:$B$40,MONTH(A5481)),INDEX(Settings!$B$29:$B$40,MONTH(A5481)))))</f>
        <v/>
      </c>
    </row>
    <row r="5482" customFormat="false" ht="15" hidden="false" customHeight="false" outlineLevel="0" collapsed="false">
      <c r="H5482" s="0" t="str">
        <f aca="false">IF(B5482="","",IF(COUNTIF(Campaigns!$A$7:$A$300,B5482)&gt;0,"✓","⚠ add to Campaigns tab"))</f>
        <v/>
      </c>
      <c r="I5482" s="84" t="str">
        <f aca="false">IF(C5482="","",C5482*IF(Settings!$B$22=Settings!$C$6,1,IF(Settings!$B$22="USD",1/INDEX(Settings!$B$29:$B$40,MONTH(A5482)),INDEX(Settings!$B$29:$B$40,MONTH(A5482)))))</f>
        <v/>
      </c>
    </row>
    <row r="5483" customFormat="false" ht="15" hidden="false" customHeight="false" outlineLevel="0" collapsed="false">
      <c r="H5483" s="0" t="str">
        <f aca="false">IF(B5483="","",IF(COUNTIF(Campaigns!$A$7:$A$300,B5483)&gt;0,"✓","⚠ add to Campaigns tab"))</f>
        <v/>
      </c>
      <c r="I5483" s="84" t="str">
        <f aca="false">IF(C5483="","",C5483*IF(Settings!$B$22=Settings!$C$6,1,IF(Settings!$B$22="USD",1/INDEX(Settings!$B$29:$B$40,MONTH(A5483)),INDEX(Settings!$B$29:$B$40,MONTH(A5483)))))</f>
        <v/>
      </c>
    </row>
    <row r="5484" customFormat="false" ht="15" hidden="false" customHeight="false" outlineLevel="0" collapsed="false">
      <c r="H5484" s="0" t="str">
        <f aca="false">IF(B5484="","",IF(COUNTIF(Campaigns!$A$7:$A$300,B5484)&gt;0,"✓","⚠ add to Campaigns tab"))</f>
        <v/>
      </c>
      <c r="I5484" s="84" t="str">
        <f aca="false">IF(C5484="","",C5484*IF(Settings!$B$22=Settings!$C$6,1,IF(Settings!$B$22="USD",1/INDEX(Settings!$B$29:$B$40,MONTH(A5484)),INDEX(Settings!$B$29:$B$40,MONTH(A5484)))))</f>
        <v/>
      </c>
    </row>
    <row r="5485" customFormat="false" ht="15" hidden="false" customHeight="false" outlineLevel="0" collapsed="false">
      <c r="H5485" s="0" t="str">
        <f aca="false">IF(B5485="","",IF(COUNTIF(Campaigns!$A$7:$A$300,B5485)&gt;0,"✓","⚠ add to Campaigns tab"))</f>
        <v/>
      </c>
      <c r="I5485" s="84" t="str">
        <f aca="false">IF(C5485="","",C5485*IF(Settings!$B$22=Settings!$C$6,1,IF(Settings!$B$22="USD",1/INDEX(Settings!$B$29:$B$40,MONTH(A5485)),INDEX(Settings!$B$29:$B$40,MONTH(A5485)))))</f>
        <v/>
      </c>
    </row>
    <row r="5486" customFormat="false" ht="15" hidden="false" customHeight="false" outlineLevel="0" collapsed="false">
      <c r="H5486" s="0" t="str">
        <f aca="false">IF(B5486="","",IF(COUNTIF(Campaigns!$A$7:$A$300,B5486)&gt;0,"✓","⚠ add to Campaigns tab"))</f>
        <v/>
      </c>
      <c r="I5486" s="84" t="str">
        <f aca="false">IF(C5486="","",C5486*IF(Settings!$B$22=Settings!$C$6,1,IF(Settings!$B$22="USD",1/INDEX(Settings!$B$29:$B$40,MONTH(A5486)),INDEX(Settings!$B$29:$B$40,MONTH(A5486)))))</f>
        <v/>
      </c>
    </row>
    <row r="5487" customFormat="false" ht="15" hidden="false" customHeight="false" outlineLevel="0" collapsed="false">
      <c r="H5487" s="0" t="str">
        <f aca="false">IF(B5487="","",IF(COUNTIF(Campaigns!$A$7:$A$300,B5487)&gt;0,"✓","⚠ add to Campaigns tab"))</f>
        <v/>
      </c>
      <c r="I5487" s="84" t="str">
        <f aca="false">IF(C5487="","",C5487*IF(Settings!$B$22=Settings!$C$6,1,IF(Settings!$B$22="USD",1/INDEX(Settings!$B$29:$B$40,MONTH(A5487)),INDEX(Settings!$B$29:$B$40,MONTH(A5487)))))</f>
        <v/>
      </c>
    </row>
    <row r="5488" customFormat="false" ht="15" hidden="false" customHeight="false" outlineLevel="0" collapsed="false">
      <c r="H5488" s="0" t="str">
        <f aca="false">IF(B5488="","",IF(COUNTIF(Campaigns!$A$7:$A$300,B5488)&gt;0,"✓","⚠ add to Campaigns tab"))</f>
        <v/>
      </c>
      <c r="I5488" s="84" t="str">
        <f aca="false">IF(C5488="","",C5488*IF(Settings!$B$22=Settings!$C$6,1,IF(Settings!$B$22="USD",1/INDEX(Settings!$B$29:$B$40,MONTH(A5488)),INDEX(Settings!$B$29:$B$40,MONTH(A5488)))))</f>
        <v/>
      </c>
    </row>
    <row r="5489" customFormat="false" ht="15" hidden="false" customHeight="false" outlineLevel="0" collapsed="false">
      <c r="H5489" s="0" t="str">
        <f aca="false">IF(B5489="","",IF(COUNTIF(Campaigns!$A$7:$A$300,B5489)&gt;0,"✓","⚠ add to Campaigns tab"))</f>
        <v/>
      </c>
      <c r="I5489" s="84" t="str">
        <f aca="false">IF(C5489="","",C5489*IF(Settings!$B$22=Settings!$C$6,1,IF(Settings!$B$22="USD",1/INDEX(Settings!$B$29:$B$40,MONTH(A5489)),INDEX(Settings!$B$29:$B$40,MONTH(A5489)))))</f>
        <v/>
      </c>
    </row>
    <row r="5490" customFormat="false" ht="15" hidden="false" customHeight="false" outlineLevel="0" collapsed="false">
      <c r="H5490" s="0" t="str">
        <f aca="false">IF(B5490="","",IF(COUNTIF(Campaigns!$A$7:$A$300,B5490)&gt;0,"✓","⚠ add to Campaigns tab"))</f>
        <v/>
      </c>
      <c r="I5490" s="84" t="str">
        <f aca="false">IF(C5490="","",C5490*IF(Settings!$B$22=Settings!$C$6,1,IF(Settings!$B$22="USD",1/INDEX(Settings!$B$29:$B$40,MONTH(A5490)),INDEX(Settings!$B$29:$B$40,MONTH(A5490)))))</f>
        <v/>
      </c>
    </row>
    <row r="5491" customFormat="false" ht="15" hidden="false" customHeight="false" outlineLevel="0" collapsed="false">
      <c r="H5491" s="0" t="str">
        <f aca="false">IF(B5491="","",IF(COUNTIF(Campaigns!$A$7:$A$300,B5491)&gt;0,"✓","⚠ add to Campaigns tab"))</f>
        <v/>
      </c>
      <c r="I5491" s="84" t="str">
        <f aca="false">IF(C5491="","",C5491*IF(Settings!$B$22=Settings!$C$6,1,IF(Settings!$B$22="USD",1/INDEX(Settings!$B$29:$B$40,MONTH(A5491)),INDEX(Settings!$B$29:$B$40,MONTH(A5491)))))</f>
        <v/>
      </c>
    </row>
    <row r="5492" customFormat="false" ht="15" hidden="false" customHeight="false" outlineLevel="0" collapsed="false">
      <c r="H5492" s="0" t="str">
        <f aca="false">IF(B5492="","",IF(COUNTIF(Campaigns!$A$7:$A$300,B5492)&gt;0,"✓","⚠ add to Campaigns tab"))</f>
        <v/>
      </c>
      <c r="I5492" s="84" t="str">
        <f aca="false">IF(C5492="","",C5492*IF(Settings!$B$22=Settings!$C$6,1,IF(Settings!$B$22="USD",1/INDEX(Settings!$B$29:$B$40,MONTH(A5492)),INDEX(Settings!$B$29:$B$40,MONTH(A5492)))))</f>
        <v/>
      </c>
    </row>
    <row r="5493" customFormat="false" ht="15" hidden="false" customHeight="false" outlineLevel="0" collapsed="false">
      <c r="H5493" s="0" t="str">
        <f aca="false">IF(B5493="","",IF(COUNTIF(Campaigns!$A$7:$A$300,B5493)&gt;0,"✓","⚠ add to Campaigns tab"))</f>
        <v/>
      </c>
      <c r="I5493" s="84" t="str">
        <f aca="false">IF(C5493="","",C5493*IF(Settings!$B$22=Settings!$C$6,1,IF(Settings!$B$22="USD",1/INDEX(Settings!$B$29:$B$40,MONTH(A5493)),INDEX(Settings!$B$29:$B$40,MONTH(A5493)))))</f>
        <v/>
      </c>
    </row>
    <row r="5494" customFormat="false" ht="15" hidden="false" customHeight="false" outlineLevel="0" collapsed="false">
      <c r="H5494" s="0" t="str">
        <f aca="false">IF(B5494="","",IF(COUNTIF(Campaigns!$A$7:$A$300,B5494)&gt;0,"✓","⚠ add to Campaigns tab"))</f>
        <v/>
      </c>
      <c r="I5494" s="84" t="str">
        <f aca="false">IF(C5494="","",C5494*IF(Settings!$B$22=Settings!$C$6,1,IF(Settings!$B$22="USD",1/INDEX(Settings!$B$29:$B$40,MONTH(A5494)),INDEX(Settings!$B$29:$B$40,MONTH(A5494)))))</f>
        <v/>
      </c>
    </row>
    <row r="5495" customFormat="false" ht="15" hidden="false" customHeight="false" outlineLevel="0" collapsed="false">
      <c r="H5495" s="0" t="str">
        <f aca="false">IF(B5495="","",IF(COUNTIF(Campaigns!$A$7:$A$300,B5495)&gt;0,"✓","⚠ add to Campaigns tab"))</f>
        <v/>
      </c>
      <c r="I5495" s="84" t="str">
        <f aca="false">IF(C5495="","",C5495*IF(Settings!$B$22=Settings!$C$6,1,IF(Settings!$B$22="USD",1/INDEX(Settings!$B$29:$B$40,MONTH(A5495)),INDEX(Settings!$B$29:$B$40,MONTH(A5495)))))</f>
        <v/>
      </c>
    </row>
    <row r="5496" customFormat="false" ht="15" hidden="false" customHeight="false" outlineLevel="0" collapsed="false">
      <c r="H5496" s="0" t="str">
        <f aca="false">IF(B5496="","",IF(COUNTIF(Campaigns!$A$7:$A$300,B5496)&gt;0,"✓","⚠ add to Campaigns tab"))</f>
        <v/>
      </c>
      <c r="I5496" s="84" t="str">
        <f aca="false">IF(C5496="","",C5496*IF(Settings!$B$22=Settings!$C$6,1,IF(Settings!$B$22="USD",1/INDEX(Settings!$B$29:$B$40,MONTH(A5496)),INDEX(Settings!$B$29:$B$40,MONTH(A5496)))))</f>
        <v/>
      </c>
    </row>
    <row r="5497" customFormat="false" ht="15" hidden="false" customHeight="false" outlineLevel="0" collapsed="false">
      <c r="H5497" s="0" t="str">
        <f aca="false">IF(B5497="","",IF(COUNTIF(Campaigns!$A$7:$A$300,B5497)&gt;0,"✓","⚠ add to Campaigns tab"))</f>
        <v/>
      </c>
      <c r="I5497" s="84" t="str">
        <f aca="false">IF(C5497="","",C5497*IF(Settings!$B$22=Settings!$C$6,1,IF(Settings!$B$22="USD",1/INDEX(Settings!$B$29:$B$40,MONTH(A5497)),INDEX(Settings!$B$29:$B$40,MONTH(A5497)))))</f>
        <v/>
      </c>
    </row>
    <row r="5498" customFormat="false" ht="15" hidden="false" customHeight="false" outlineLevel="0" collapsed="false">
      <c r="H5498" s="0" t="str">
        <f aca="false">IF(B5498="","",IF(COUNTIF(Campaigns!$A$7:$A$300,B5498)&gt;0,"✓","⚠ add to Campaigns tab"))</f>
        <v/>
      </c>
      <c r="I5498" s="84" t="str">
        <f aca="false">IF(C5498="","",C5498*IF(Settings!$B$22=Settings!$C$6,1,IF(Settings!$B$22="USD",1/INDEX(Settings!$B$29:$B$40,MONTH(A5498)),INDEX(Settings!$B$29:$B$40,MONTH(A5498)))))</f>
        <v/>
      </c>
    </row>
    <row r="5499" customFormat="false" ht="15" hidden="false" customHeight="false" outlineLevel="0" collapsed="false">
      <c r="H5499" s="0" t="str">
        <f aca="false">IF(B5499="","",IF(COUNTIF(Campaigns!$A$7:$A$300,B5499)&gt;0,"✓","⚠ add to Campaigns tab"))</f>
        <v/>
      </c>
      <c r="I5499" s="84" t="str">
        <f aca="false">IF(C5499="","",C5499*IF(Settings!$B$22=Settings!$C$6,1,IF(Settings!$B$22="USD",1/INDEX(Settings!$B$29:$B$40,MONTH(A5499)),INDEX(Settings!$B$29:$B$40,MONTH(A5499)))))</f>
        <v/>
      </c>
    </row>
    <row r="5500" customFormat="false" ht="15" hidden="false" customHeight="false" outlineLevel="0" collapsed="false">
      <c r="H5500" s="0" t="str">
        <f aca="false">IF(B5500="","",IF(COUNTIF(Campaigns!$A$7:$A$300,B5500)&gt;0,"✓","⚠ add to Campaigns tab"))</f>
        <v/>
      </c>
      <c r="I5500" s="84" t="str">
        <f aca="false">IF(C5500="","",C5500*IF(Settings!$B$22=Settings!$C$6,1,IF(Settings!$B$22="USD",1/INDEX(Settings!$B$29:$B$40,MONTH(A5500)),INDEX(Settings!$B$29:$B$40,MONTH(A5500)))))</f>
        <v/>
      </c>
    </row>
    <row r="5501" customFormat="false" ht="15" hidden="false" customHeight="false" outlineLevel="0" collapsed="false">
      <c r="H5501" s="0" t="str">
        <f aca="false">IF(B5501="","",IF(COUNTIF(Campaigns!$A$7:$A$300,B5501)&gt;0,"✓","⚠ add to Campaigns tab"))</f>
        <v/>
      </c>
      <c r="I5501" s="84" t="str">
        <f aca="false">IF(C5501="","",C5501*IF(Settings!$B$22=Settings!$C$6,1,IF(Settings!$B$22="USD",1/INDEX(Settings!$B$29:$B$40,MONTH(A5501)),INDEX(Settings!$B$29:$B$40,MONTH(A5501)))))</f>
        <v/>
      </c>
    </row>
    <row r="5502" customFormat="false" ht="15" hidden="false" customHeight="false" outlineLevel="0" collapsed="false">
      <c r="H5502" s="0" t="str">
        <f aca="false">IF(B5502="","",IF(COUNTIF(Campaigns!$A$7:$A$300,B5502)&gt;0,"✓","⚠ add to Campaigns tab"))</f>
        <v/>
      </c>
      <c r="I5502" s="84" t="str">
        <f aca="false">IF(C5502="","",C5502*IF(Settings!$B$22=Settings!$C$6,1,IF(Settings!$B$22="USD",1/INDEX(Settings!$B$29:$B$40,MONTH(A5502)),INDEX(Settings!$B$29:$B$40,MONTH(A5502)))))</f>
        <v/>
      </c>
    </row>
    <row r="5503" customFormat="false" ht="15" hidden="false" customHeight="false" outlineLevel="0" collapsed="false">
      <c r="H5503" s="0" t="str">
        <f aca="false">IF(B5503="","",IF(COUNTIF(Campaigns!$A$7:$A$300,B5503)&gt;0,"✓","⚠ add to Campaigns tab"))</f>
        <v/>
      </c>
      <c r="I5503" s="84" t="str">
        <f aca="false">IF(C5503="","",C5503*IF(Settings!$B$22=Settings!$C$6,1,IF(Settings!$B$22="USD",1/INDEX(Settings!$B$29:$B$40,MONTH(A5503)),INDEX(Settings!$B$29:$B$40,MONTH(A5503)))))</f>
        <v/>
      </c>
    </row>
    <row r="5504" customFormat="false" ht="15" hidden="false" customHeight="false" outlineLevel="0" collapsed="false">
      <c r="H5504" s="0" t="str">
        <f aca="false">IF(B5504="","",IF(COUNTIF(Campaigns!$A$7:$A$300,B5504)&gt;0,"✓","⚠ add to Campaigns tab"))</f>
        <v/>
      </c>
      <c r="I5504" s="84" t="str">
        <f aca="false">IF(C5504="","",C5504*IF(Settings!$B$22=Settings!$C$6,1,IF(Settings!$B$22="USD",1/INDEX(Settings!$B$29:$B$40,MONTH(A5504)),INDEX(Settings!$B$29:$B$40,MONTH(A5504)))))</f>
        <v/>
      </c>
    </row>
    <row r="5505" customFormat="false" ht="15" hidden="false" customHeight="false" outlineLevel="0" collapsed="false">
      <c r="H5505" s="0" t="str">
        <f aca="false">IF(B5505="","",IF(COUNTIF(Campaigns!$A$7:$A$300,B5505)&gt;0,"✓","⚠ add to Campaigns tab"))</f>
        <v/>
      </c>
      <c r="I5505" s="84" t="str">
        <f aca="false">IF(C5505="","",C5505*IF(Settings!$B$22=Settings!$C$6,1,IF(Settings!$B$22="USD",1/INDEX(Settings!$B$29:$B$40,MONTH(A5505)),INDEX(Settings!$B$29:$B$40,MONTH(A5505)))))</f>
        <v/>
      </c>
    </row>
    <row r="5506" customFormat="false" ht="15" hidden="false" customHeight="false" outlineLevel="0" collapsed="false">
      <c r="H5506" s="0" t="str">
        <f aca="false">IF(B5506="","",IF(COUNTIF(Campaigns!$A$7:$A$300,B5506)&gt;0,"✓","⚠ add to Campaigns tab"))</f>
        <v/>
      </c>
      <c r="I5506" s="84" t="str">
        <f aca="false">IF(C5506="","",C5506*IF(Settings!$B$22=Settings!$C$6,1,IF(Settings!$B$22="USD",1/INDEX(Settings!$B$29:$B$40,MONTH(A5506)),INDEX(Settings!$B$29:$B$40,MONTH(A5506)))))</f>
        <v/>
      </c>
    </row>
    <row r="5507" customFormat="false" ht="15" hidden="false" customHeight="false" outlineLevel="0" collapsed="false">
      <c r="H5507" s="0" t="str">
        <f aca="false">IF(B5507="","",IF(COUNTIF(Campaigns!$A$7:$A$300,B5507)&gt;0,"✓","⚠ add to Campaigns tab"))</f>
        <v/>
      </c>
      <c r="I5507" s="84" t="str">
        <f aca="false">IF(C5507="","",C5507*IF(Settings!$B$22=Settings!$C$6,1,IF(Settings!$B$22="USD",1/INDEX(Settings!$B$29:$B$40,MONTH(A5507)),INDEX(Settings!$B$29:$B$40,MONTH(A5507)))))</f>
        <v/>
      </c>
    </row>
    <row r="5508" customFormat="false" ht="15" hidden="false" customHeight="false" outlineLevel="0" collapsed="false">
      <c r="H5508" s="0" t="str">
        <f aca="false">IF(B5508="","",IF(COUNTIF(Campaigns!$A$7:$A$300,B5508)&gt;0,"✓","⚠ add to Campaigns tab"))</f>
        <v/>
      </c>
      <c r="I5508" s="84" t="str">
        <f aca="false">IF(C5508="","",C5508*IF(Settings!$B$22=Settings!$C$6,1,IF(Settings!$B$22="USD",1/INDEX(Settings!$B$29:$B$40,MONTH(A5508)),INDEX(Settings!$B$29:$B$40,MONTH(A5508)))))</f>
        <v/>
      </c>
    </row>
    <row r="5509" customFormat="false" ht="15" hidden="false" customHeight="false" outlineLevel="0" collapsed="false">
      <c r="H5509" s="0" t="str">
        <f aca="false">IF(B5509="","",IF(COUNTIF(Campaigns!$A$7:$A$300,B5509)&gt;0,"✓","⚠ add to Campaigns tab"))</f>
        <v/>
      </c>
      <c r="I5509" s="84" t="str">
        <f aca="false">IF(C5509="","",C5509*IF(Settings!$B$22=Settings!$C$6,1,IF(Settings!$B$22="USD",1/INDEX(Settings!$B$29:$B$40,MONTH(A5509)),INDEX(Settings!$B$29:$B$40,MONTH(A5509)))))</f>
        <v/>
      </c>
    </row>
    <row r="5510" customFormat="false" ht="15" hidden="false" customHeight="false" outlineLevel="0" collapsed="false">
      <c r="H5510" s="0" t="str">
        <f aca="false">IF(B5510="","",IF(COUNTIF(Campaigns!$A$7:$A$300,B5510)&gt;0,"✓","⚠ add to Campaigns tab"))</f>
        <v/>
      </c>
      <c r="I5510" s="84" t="str">
        <f aca="false">IF(C5510="","",C5510*IF(Settings!$B$22=Settings!$C$6,1,IF(Settings!$B$22="USD",1/INDEX(Settings!$B$29:$B$40,MONTH(A5510)),INDEX(Settings!$B$29:$B$40,MONTH(A5510)))))</f>
        <v/>
      </c>
    </row>
    <row r="5511" customFormat="false" ht="15" hidden="false" customHeight="false" outlineLevel="0" collapsed="false">
      <c r="H5511" s="0" t="str">
        <f aca="false">IF(B5511="","",IF(COUNTIF(Campaigns!$A$7:$A$300,B5511)&gt;0,"✓","⚠ add to Campaigns tab"))</f>
        <v/>
      </c>
      <c r="I5511" s="84" t="str">
        <f aca="false">IF(C5511="","",C5511*IF(Settings!$B$22=Settings!$C$6,1,IF(Settings!$B$22="USD",1/INDEX(Settings!$B$29:$B$40,MONTH(A5511)),INDEX(Settings!$B$29:$B$40,MONTH(A5511)))))</f>
        <v/>
      </c>
    </row>
    <row r="5512" customFormat="false" ht="15" hidden="false" customHeight="false" outlineLevel="0" collapsed="false">
      <c r="H5512" s="0" t="str">
        <f aca="false">IF(B5512="","",IF(COUNTIF(Campaigns!$A$7:$A$300,B5512)&gt;0,"✓","⚠ add to Campaigns tab"))</f>
        <v/>
      </c>
      <c r="I5512" s="84" t="str">
        <f aca="false">IF(C5512="","",C5512*IF(Settings!$B$22=Settings!$C$6,1,IF(Settings!$B$22="USD",1/INDEX(Settings!$B$29:$B$40,MONTH(A5512)),INDEX(Settings!$B$29:$B$40,MONTH(A5512)))))</f>
        <v/>
      </c>
    </row>
    <row r="5513" customFormat="false" ht="15" hidden="false" customHeight="false" outlineLevel="0" collapsed="false">
      <c r="H5513" s="0" t="str">
        <f aca="false">IF(B5513="","",IF(COUNTIF(Campaigns!$A$7:$A$300,B5513)&gt;0,"✓","⚠ add to Campaigns tab"))</f>
        <v/>
      </c>
      <c r="I5513" s="84" t="str">
        <f aca="false">IF(C5513="","",C5513*IF(Settings!$B$22=Settings!$C$6,1,IF(Settings!$B$22="USD",1/INDEX(Settings!$B$29:$B$40,MONTH(A5513)),INDEX(Settings!$B$29:$B$40,MONTH(A5513)))))</f>
        <v/>
      </c>
    </row>
    <row r="5514" customFormat="false" ht="15" hidden="false" customHeight="false" outlineLevel="0" collapsed="false">
      <c r="H5514" s="0" t="str">
        <f aca="false">IF(B5514="","",IF(COUNTIF(Campaigns!$A$7:$A$300,B5514)&gt;0,"✓","⚠ add to Campaigns tab"))</f>
        <v/>
      </c>
      <c r="I5514" s="84" t="str">
        <f aca="false">IF(C5514="","",C5514*IF(Settings!$B$22=Settings!$C$6,1,IF(Settings!$B$22="USD",1/INDEX(Settings!$B$29:$B$40,MONTH(A5514)),INDEX(Settings!$B$29:$B$40,MONTH(A5514)))))</f>
        <v/>
      </c>
    </row>
    <row r="5515" customFormat="false" ht="15" hidden="false" customHeight="false" outlineLevel="0" collapsed="false">
      <c r="H5515" s="0" t="str">
        <f aca="false">IF(B5515="","",IF(COUNTIF(Campaigns!$A$7:$A$300,B5515)&gt;0,"✓","⚠ add to Campaigns tab"))</f>
        <v/>
      </c>
      <c r="I5515" s="84" t="str">
        <f aca="false">IF(C5515="","",C5515*IF(Settings!$B$22=Settings!$C$6,1,IF(Settings!$B$22="USD",1/INDEX(Settings!$B$29:$B$40,MONTH(A5515)),INDEX(Settings!$B$29:$B$40,MONTH(A5515)))))</f>
        <v/>
      </c>
    </row>
    <row r="5516" customFormat="false" ht="15" hidden="false" customHeight="false" outlineLevel="0" collapsed="false">
      <c r="H5516" s="0" t="str">
        <f aca="false">IF(B5516="","",IF(COUNTIF(Campaigns!$A$7:$A$300,B5516)&gt;0,"✓","⚠ add to Campaigns tab"))</f>
        <v/>
      </c>
      <c r="I5516" s="84" t="str">
        <f aca="false">IF(C5516="","",C5516*IF(Settings!$B$22=Settings!$C$6,1,IF(Settings!$B$22="USD",1/INDEX(Settings!$B$29:$B$40,MONTH(A5516)),INDEX(Settings!$B$29:$B$40,MONTH(A5516)))))</f>
        <v/>
      </c>
    </row>
    <row r="5517" customFormat="false" ht="15" hidden="false" customHeight="false" outlineLevel="0" collapsed="false">
      <c r="H5517" s="0" t="str">
        <f aca="false">IF(B5517="","",IF(COUNTIF(Campaigns!$A$7:$A$300,B5517)&gt;0,"✓","⚠ add to Campaigns tab"))</f>
        <v/>
      </c>
      <c r="I5517" s="84" t="str">
        <f aca="false">IF(C5517="","",C5517*IF(Settings!$B$22=Settings!$C$6,1,IF(Settings!$B$22="USD",1/INDEX(Settings!$B$29:$B$40,MONTH(A5517)),INDEX(Settings!$B$29:$B$40,MONTH(A5517)))))</f>
        <v/>
      </c>
    </row>
    <row r="5518" customFormat="false" ht="15" hidden="false" customHeight="false" outlineLevel="0" collapsed="false">
      <c r="H5518" s="0" t="str">
        <f aca="false">IF(B5518="","",IF(COUNTIF(Campaigns!$A$7:$A$300,B5518)&gt;0,"✓","⚠ add to Campaigns tab"))</f>
        <v/>
      </c>
      <c r="I5518" s="84" t="str">
        <f aca="false">IF(C5518="","",C5518*IF(Settings!$B$22=Settings!$C$6,1,IF(Settings!$B$22="USD",1/INDEX(Settings!$B$29:$B$40,MONTH(A5518)),INDEX(Settings!$B$29:$B$40,MONTH(A5518)))))</f>
        <v/>
      </c>
    </row>
    <row r="5519" customFormat="false" ht="15" hidden="false" customHeight="false" outlineLevel="0" collapsed="false">
      <c r="H5519" s="0" t="str">
        <f aca="false">IF(B5519="","",IF(COUNTIF(Campaigns!$A$7:$A$300,B5519)&gt;0,"✓","⚠ add to Campaigns tab"))</f>
        <v/>
      </c>
      <c r="I5519" s="84" t="str">
        <f aca="false">IF(C5519="","",C5519*IF(Settings!$B$22=Settings!$C$6,1,IF(Settings!$B$22="USD",1/INDEX(Settings!$B$29:$B$40,MONTH(A5519)),INDEX(Settings!$B$29:$B$40,MONTH(A5519)))))</f>
        <v/>
      </c>
    </row>
    <row r="5520" customFormat="false" ht="15" hidden="false" customHeight="false" outlineLevel="0" collapsed="false">
      <c r="H5520" s="0" t="str">
        <f aca="false">IF(B5520="","",IF(COUNTIF(Campaigns!$A$7:$A$300,B5520)&gt;0,"✓","⚠ add to Campaigns tab"))</f>
        <v/>
      </c>
      <c r="I5520" s="84" t="str">
        <f aca="false">IF(C5520="","",C5520*IF(Settings!$B$22=Settings!$C$6,1,IF(Settings!$B$22="USD",1/INDEX(Settings!$B$29:$B$40,MONTH(A5520)),INDEX(Settings!$B$29:$B$40,MONTH(A5520)))))</f>
        <v/>
      </c>
    </row>
    <row r="5521" customFormat="false" ht="15" hidden="false" customHeight="false" outlineLevel="0" collapsed="false">
      <c r="H5521" s="0" t="str">
        <f aca="false">IF(B5521="","",IF(COUNTIF(Campaigns!$A$7:$A$300,B5521)&gt;0,"✓","⚠ add to Campaigns tab"))</f>
        <v/>
      </c>
      <c r="I5521" s="84" t="str">
        <f aca="false">IF(C5521="","",C5521*IF(Settings!$B$22=Settings!$C$6,1,IF(Settings!$B$22="USD",1/INDEX(Settings!$B$29:$B$40,MONTH(A5521)),INDEX(Settings!$B$29:$B$40,MONTH(A5521)))))</f>
        <v/>
      </c>
    </row>
    <row r="5522" customFormat="false" ht="15" hidden="false" customHeight="false" outlineLevel="0" collapsed="false">
      <c r="H5522" s="0" t="str">
        <f aca="false">IF(B5522="","",IF(COUNTIF(Campaigns!$A$7:$A$300,B5522)&gt;0,"✓","⚠ add to Campaigns tab"))</f>
        <v/>
      </c>
      <c r="I5522" s="84" t="str">
        <f aca="false">IF(C5522="","",C5522*IF(Settings!$B$22=Settings!$C$6,1,IF(Settings!$B$22="USD",1/INDEX(Settings!$B$29:$B$40,MONTH(A5522)),INDEX(Settings!$B$29:$B$40,MONTH(A5522)))))</f>
        <v/>
      </c>
    </row>
    <row r="5523" customFormat="false" ht="15" hidden="false" customHeight="false" outlineLevel="0" collapsed="false">
      <c r="H5523" s="0" t="str">
        <f aca="false">IF(B5523="","",IF(COUNTIF(Campaigns!$A$7:$A$300,B5523)&gt;0,"✓","⚠ add to Campaigns tab"))</f>
        <v/>
      </c>
      <c r="I5523" s="84" t="str">
        <f aca="false">IF(C5523="","",C5523*IF(Settings!$B$22=Settings!$C$6,1,IF(Settings!$B$22="USD",1/INDEX(Settings!$B$29:$B$40,MONTH(A5523)),INDEX(Settings!$B$29:$B$40,MONTH(A5523)))))</f>
        <v/>
      </c>
    </row>
    <row r="5524" customFormat="false" ht="15" hidden="false" customHeight="false" outlineLevel="0" collapsed="false">
      <c r="H5524" s="0" t="str">
        <f aca="false">IF(B5524="","",IF(COUNTIF(Campaigns!$A$7:$A$300,B5524)&gt;0,"✓","⚠ add to Campaigns tab"))</f>
        <v/>
      </c>
      <c r="I5524" s="84" t="str">
        <f aca="false">IF(C5524="","",C5524*IF(Settings!$B$22=Settings!$C$6,1,IF(Settings!$B$22="USD",1/INDEX(Settings!$B$29:$B$40,MONTH(A5524)),INDEX(Settings!$B$29:$B$40,MONTH(A5524)))))</f>
        <v/>
      </c>
    </row>
    <row r="5525" customFormat="false" ht="15" hidden="false" customHeight="false" outlineLevel="0" collapsed="false">
      <c r="H5525" s="0" t="str">
        <f aca="false">IF(B5525="","",IF(COUNTIF(Campaigns!$A$7:$A$300,B5525)&gt;0,"✓","⚠ add to Campaigns tab"))</f>
        <v/>
      </c>
      <c r="I5525" s="84" t="str">
        <f aca="false">IF(C5525="","",C5525*IF(Settings!$B$22=Settings!$C$6,1,IF(Settings!$B$22="USD",1/INDEX(Settings!$B$29:$B$40,MONTH(A5525)),INDEX(Settings!$B$29:$B$40,MONTH(A5525)))))</f>
        <v/>
      </c>
    </row>
    <row r="5526" customFormat="false" ht="15" hidden="false" customHeight="false" outlineLevel="0" collapsed="false">
      <c r="H5526" s="0" t="str">
        <f aca="false">IF(B5526="","",IF(COUNTIF(Campaigns!$A$7:$A$300,B5526)&gt;0,"✓","⚠ add to Campaigns tab"))</f>
        <v/>
      </c>
      <c r="I5526" s="84" t="str">
        <f aca="false">IF(C5526="","",C5526*IF(Settings!$B$22=Settings!$C$6,1,IF(Settings!$B$22="USD",1/INDEX(Settings!$B$29:$B$40,MONTH(A5526)),INDEX(Settings!$B$29:$B$40,MONTH(A5526)))))</f>
        <v/>
      </c>
    </row>
    <row r="5527" customFormat="false" ht="15" hidden="false" customHeight="false" outlineLevel="0" collapsed="false">
      <c r="H5527" s="0" t="str">
        <f aca="false">IF(B5527="","",IF(COUNTIF(Campaigns!$A$7:$A$300,B5527)&gt;0,"✓","⚠ add to Campaigns tab"))</f>
        <v/>
      </c>
      <c r="I5527" s="84" t="str">
        <f aca="false">IF(C5527="","",C5527*IF(Settings!$B$22=Settings!$C$6,1,IF(Settings!$B$22="USD",1/INDEX(Settings!$B$29:$B$40,MONTH(A5527)),INDEX(Settings!$B$29:$B$40,MONTH(A5527)))))</f>
        <v/>
      </c>
    </row>
    <row r="5528" customFormat="false" ht="15" hidden="false" customHeight="false" outlineLevel="0" collapsed="false">
      <c r="H5528" s="0" t="str">
        <f aca="false">IF(B5528="","",IF(COUNTIF(Campaigns!$A$7:$A$300,B5528)&gt;0,"✓","⚠ add to Campaigns tab"))</f>
        <v/>
      </c>
      <c r="I5528" s="84" t="str">
        <f aca="false">IF(C5528="","",C5528*IF(Settings!$B$22=Settings!$C$6,1,IF(Settings!$B$22="USD",1/INDEX(Settings!$B$29:$B$40,MONTH(A5528)),INDEX(Settings!$B$29:$B$40,MONTH(A5528)))))</f>
        <v/>
      </c>
    </row>
    <row r="5529" customFormat="false" ht="15" hidden="false" customHeight="false" outlineLevel="0" collapsed="false">
      <c r="H5529" s="0" t="str">
        <f aca="false">IF(B5529="","",IF(COUNTIF(Campaigns!$A$7:$A$300,B5529)&gt;0,"✓","⚠ add to Campaigns tab"))</f>
        <v/>
      </c>
      <c r="I5529" s="84" t="str">
        <f aca="false">IF(C5529="","",C5529*IF(Settings!$B$22=Settings!$C$6,1,IF(Settings!$B$22="USD",1/INDEX(Settings!$B$29:$B$40,MONTH(A5529)),INDEX(Settings!$B$29:$B$40,MONTH(A5529)))))</f>
        <v/>
      </c>
    </row>
    <row r="5530" customFormat="false" ht="15" hidden="false" customHeight="false" outlineLevel="0" collapsed="false">
      <c r="H5530" s="0" t="str">
        <f aca="false">IF(B5530="","",IF(COUNTIF(Campaigns!$A$7:$A$300,B5530)&gt;0,"✓","⚠ add to Campaigns tab"))</f>
        <v/>
      </c>
      <c r="I5530" s="84" t="str">
        <f aca="false">IF(C5530="","",C5530*IF(Settings!$B$22=Settings!$C$6,1,IF(Settings!$B$22="USD",1/INDEX(Settings!$B$29:$B$40,MONTH(A5530)),INDEX(Settings!$B$29:$B$40,MONTH(A5530)))))</f>
        <v/>
      </c>
    </row>
    <row r="5531" customFormat="false" ht="15" hidden="false" customHeight="false" outlineLevel="0" collapsed="false">
      <c r="H5531" s="0" t="str">
        <f aca="false">IF(B5531="","",IF(COUNTIF(Campaigns!$A$7:$A$300,B5531)&gt;0,"✓","⚠ add to Campaigns tab"))</f>
        <v/>
      </c>
      <c r="I5531" s="84" t="str">
        <f aca="false">IF(C5531="","",C5531*IF(Settings!$B$22=Settings!$C$6,1,IF(Settings!$B$22="USD",1/INDEX(Settings!$B$29:$B$40,MONTH(A5531)),INDEX(Settings!$B$29:$B$40,MONTH(A5531)))))</f>
        <v/>
      </c>
    </row>
    <row r="5532" customFormat="false" ht="15" hidden="false" customHeight="false" outlineLevel="0" collapsed="false">
      <c r="H5532" s="0" t="str">
        <f aca="false">IF(B5532="","",IF(COUNTIF(Campaigns!$A$7:$A$300,B5532)&gt;0,"✓","⚠ add to Campaigns tab"))</f>
        <v/>
      </c>
      <c r="I5532" s="84" t="str">
        <f aca="false">IF(C5532="","",C5532*IF(Settings!$B$22=Settings!$C$6,1,IF(Settings!$B$22="USD",1/INDEX(Settings!$B$29:$B$40,MONTH(A5532)),INDEX(Settings!$B$29:$B$40,MONTH(A5532)))))</f>
        <v/>
      </c>
    </row>
    <row r="5533" customFormat="false" ht="15" hidden="false" customHeight="false" outlineLevel="0" collapsed="false">
      <c r="H5533" s="0" t="str">
        <f aca="false">IF(B5533="","",IF(COUNTIF(Campaigns!$A$7:$A$300,B5533)&gt;0,"✓","⚠ add to Campaigns tab"))</f>
        <v/>
      </c>
      <c r="I5533" s="84" t="str">
        <f aca="false">IF(C5533="","",C5533*IF(Settings!$B$22=Settings!$C$6,1,IF(Settings!$B$22="USD",1/INDEX(Settings!$B$29:$B$40,MONTH(A5533)),INDEX(Settings!$B$29:$B$40,MONTH(A5533)))))</f>
        <v/>
      </c>
    </row>
    <row r="5534" customFormat="false" ht="15" hidden="false" customHeight="false" outlineLevel="0" collapsed="false">
      <c r="H5534" s="0" t="str">
        <f aca="false">IF(B5534="","",IF(COUNTIF(Campaigns!$A$7:$A$300,B5534)&gt;0,"✓","⚠ add to Campaigns tab"))</f>
        <v/>
      </c>
      <c r="I5534" s="84" t="str">
        <f aca="false">IF(C5534="","",C5534*IF(Settings!$B$22=Settings!$C$6,1,IF(Settings!$B$22="USD",1/INDEX(Settings!$B$29:$B$40,MONTH(A5534)),INDEX(Settings!$B$29:$B$40,MONTH(A5534)))))</f>
        <v/>
      </c>
    </row>
    <row r="5535" customFormat="false" ht="15" hidden="false" customHeight="false" outlineLevel="0" collapsed="false">
      <c r="H5535" s="0" t="str">
        <f aca="false">IF(B5535="","",IF(COUNTIF(Campaigns!$A$7:$A$300,B5535)&gt;0,"✓","⚠ add to Campaigns tab"))</f>
        <v/>
      </c>
      <c r="I5535" s="84" t="str">
        <f aca="false">IF(C5535="","",C5535*IF(Settings!$B$22=Settings!$C$6,1,IF(Settings!$B$22="USD",1/INDEX(Settings!$B$29:$B$40,MONTH(A5535)),INDEX(Settings!$B$29:$B$40,MONTH(A5535)))))</f>
        <v/>
      </c>
    </row>
    <row r="5536" customFormat="false" ht="15" hidden="false" customHeight="false" outlineLevel="0" collapsed="false">
      <c r="H5536" s="0" t="str">
        <f aca="false">IF(B5536="","",IF(COUNTIF(Campaigns!$A$7:$A$300,B5536)&gt;0,"✓","⚠ add to Campaigns tab"))</f>
        <v/>
      </c>
      <c r="I5536" s="84" t="str">
        <f aca="false">IF(C5536="","",C5536*IF(Settings!$B$22=Settings!$C$6,1,IF(Settings!$B$22="USD",1/INDEX(Settings!$B$29:$B$40,MONTH(A5536)),INDEX(Settings!$B$29:$B$40,MONTH(A5536)))))</f>
        <v/>
      </c>
    </row>
    <row r="5537" customFormat="false" ht="15" hidden="false" customHeight="false" outlineLevel="0" collapsed="false">
      <c r="H5537" s="0" t="str">
        <f aca="false">IF(B5537="","",IF(COUNTIF(Campaigns!$A$7:$A$300,B5537)&gt;0,"✓","⚠ add to Campaigns tab"))</f>
        <v/>
      </c>
      <c r="I5537" s="84" t="str">
        <f aca="false">IF(C5537="","",C5537*IF(Settings!$B$22=Settings!$C$6,1,IF(Settings!$B$22="USD",1/INDEX(Settings!$B$29:$B$40,MONTH(A5537)),INDEX(Settings!$B$29:$B$40,MONTH(A5537)))))</f>
        <v/>
      </c>
    </row>
    <row r="5538" customFormat="false" ht="15" hidden="false" customHeight="false" outlineLevel="0" collapsed="false">
      <c r="H5538" s="0" t="str">
        <f aca="false">IF(B5538="","",IF(COUNTIF(Campaigns!$A$7:$A$300,B5538)&gt;0,"✓","⚠ add to Campaigns tab"))</f>
        <v/>
      </c>
      <c r="I5538" s="84" t="str">
        <f aca="false">IF(C5538="","",C5538*IF(Settings!$B$22=Settings!$C$6,1,IF(Settings!$B$22="USD",1/INDEX(Settings!$B$29:$B$40,MONTH(A5538)),INDEX(Settings!$B$29:$B$40,MONTH(A5538)))))</f>
        <v/>
      </c>
    </row>
    <row r="5539" customFormat="false" ht="15" hidden="false" customHeight="false" outlineLevel="0" collapsed="false">
      <c r="H5539" s="0" t="str">
        <f aca="false">IF(B5539="","",IF(COUNTIF(Campaigns!$A$7:$A$300,B5539)&gt;0,"✓","⚠ add to Campaigns tab"))</f>
        <v/>
      </c>
      <c r="I5539" s="84" t="str">
        <f aca="false">IF(C5539="","",C5539*IF(Settings!$B$22=Settings!$C$6,1,IF(Settings!$B$22="USD",1/INDEX(Settings!$B$29:$B$40,MONTH(A5539)),INDEX(Settings!$B$29:$B$40,MONTH(A5539)))))</f>
        <v/>
      </c>
    </row>
    <row r="5540" customFormat="false" ht="15" hidden="false" customHeight="false" outlineLevel="0" collapsed="false">
      <c r="H5540" s="0" t="str">
        <f aca="false">IF(B5540="","",IF(COUNTIF(Campaigns!$A$7:$A$300,B5540)&gt;0,"✓","⚠ add to Campaigns tab"))</f>
        <v/>
      </c>
      <c r="I5540" s="84" t="str">
        <f aca="false">IF(C5540="","",C5540*IF(Settings!$B$22=Settings!$C$6,1,IF(Settings!$B$22="USD",1/INDEX(Settings!$B$29:$B$40,MONTH(A5540)),INDEX(Settings!$B$29:$B$40,MONTH(A5540)))))</f>
        <v/>
      </c>
    </row>
    <row r="5541" customFormat="false" ht="15" hidden="false" customHeight="false" outlineLevel="0" collapsed="false">
      <c r="H5541" s="0" t="str">
        <f aca="false">IF(B5541="","",IF(COUNTIF(Campaigns!$A$7:$A$300,B5541)&gt;0,"✓","⚠ add to Campaigns tab"))</f>
        <v/>
      </c>
      <c r="I5541" s="84" t="str">
        <f aca="false">IF(C5541="","",C5541*IF(Settings!$B$22=Settings!$C$6,1,IF(Settings!$B$22="USD",1/INDEX(Settings!$B$29:$B$40,MONTH(A5541)),INDEX(Settings!$B$29:$B$40,MONTH(A5541)))))</f>
        <v/>
      </c>
    </row>
    <row r="5542" customFormat="false" ht="15" hidden="false" customHeight="false" outlineLevel="0" collapsed="false">
      <c r="H5542" s="0" t="str">
        <f aca="false">IF(B5542="","",IF(COUNTIF(Campaigns!$A$7:$A$300,B5542)&gt;0,"✓","⚠ add to Campaigns tab"))</f>
        <v/>
      </c>
      <c r="I5542" s="84" t="str">
        <f aca="false">IF(C5542="","",C5542*IF(Settings!$B$22=Settings!$C$6,1,IF(Settings!$B$22="USD",1/INDEX(Settings!$B$29:$B$40,MONTH(A5542)),INDEX(Settings!$B$29:$B$40,MONTH(A5542)))))</f>
        <v/>
      </c>
    </row>
    <row r="5543" customFormat="false" ht="15" hidden="false" customHeight="false" outlineLevel="0" collapsed="false">
      <c r="H5543" s="0" t="str">
        <f aca="false">IF(B5543="","",IF(COUNTIF(Campaigns!$A$7:$A$300,B5543)&gt;0,"✓","⚠ add to Campaigns tab"))</f>
        <v/>
      </c>
      <c r="I5543" s="84" t="str">
        <f aca="false">IF(C5543="","",C5543*IF(Settings!$B$22=Settings!$C$6,1,IF(Settings!$B$22="USD",1/INDEX(Settings!$B$29:$B$40,MONTH(A5543)),INDEX(Settings!$B$29:$B$40,MONTH(A5543)))))</f>
        <v/>
      </c>
    </row>
    <row r="5544" customFormat="false" ht="15" hidden="false" customHeight="false" outlineLevel="0" collapsed="false">
      <c r="H5544" s="0" t="str">
        <f aca="false">IF(B5544="","",IF(COUNTIF(Campaigns!$A$7:$A$300,B5544)&gt;0,"✓","⚠ add to Campaigns tab"))</f>
        <v/>
      </c>
      <c r="I5544" s="84" t="str">
        <f aca="false">IF(C5544="","",C5544*IF(Settings!$B$22=Settings!$C$6,1,IF(Settings!$B$22="USD",1/INDEX(Settings!$B$29:$B$40,MONTH(A5544)),INDEX(Settings!$B$29:$B$40,MONTH(A5544)))))</f>
        <v/>
      </c>
    </row>
    <row r="5545" customFormat="false" ht="15" hidden="false" customHeight="false" outlineLevel="0" collapsed="false">
      <c r="H5545" s="0" t="str">
        <f aca="false">IF(B5545="","",IF(COUNTIF(Campaigns!$A$7:$A$300,B5545)&gt;0,"✓","⚠ add to Campaigns tab"))</f>
        <v/>
      </c>
      <c r="I5545" s="84" t="str">
        <f aca="false">IF(C5545="","",C5545*IF(Settings!$B$22=Settings!$C$6,1,IF(Settings!$B$22="USD",1/INDEX(Settings!$B$29:$B$40,MONTH(A5545)),INDEX(Settings!$B$29:$B$40,MONTH(A5545)))))</f>
        <v/>
      </c>
    </row>
    <row r="5546" customFormat="false" ht="15" hidden="false" customHeight="false" outlineLevel="0" collapsed="false">
      <c r="H5546" s="0" t="str">
        <f aca="false">IF(B5546="","",IF(COUNTIF(Campaigns!$A$7:$A$300,B5546)&gt;0,"✓","⚠ add to Campaigns tab"))</f>
        <v/>
      </c>
      <c r="I5546" s="84" t="str">
        <f aca="false">IF(C5546="","",C5546*IF(Settings!$B$22=Settings!$C$6,1,IF(Settings!$B$22="USD",1/INDEX(Settings!$B$29:$B$40,MONTH(A5546)),INDEX(Settings!$B$29:$B$40,MONTH(A5546)))))</f>
        <v/>
      </c>
    </row>
    <row r="5547" customFormat="false" ht="15" hidden="false" customHeight="false" outlineLevel="0" collapsed="false">
      <c r="H5547" s="0" t="str">
        <f aca="false">IF(B5547="","",IF(COUNTIF(Campaigns!$A$7:$A$300,B5547)&gt;0,"✓","⚠ add to Campaigns tab"))</f>
        <v/>
      </c>
      <c r="I5547" s="84" t="str">
        <f aca="false">IF(C5547="","",C5547*IF(Settings!$B$22=Settings!$C$6,1,IF(Settings!$B$22="USD",1/INDEX(Settings!$B$29:$B$40,MONTH(A5547)),INDEX(Settings!$B$29:$B$40,MONTH(A5547)))))</f>
        <v/>
      </c>
    </row>
    <row r="5548" customFormat="false" ht="15" hidden="false" customHeight="false" outlineLevel="0" collapsed="false">
      <c r="H5548" s="0" t="str">
        <f aca="false">IF(B5548="","",IF(COUNTIF(Campaigns!$A$7:$A$300,B5548)&gt;0,"✓","⚠ add to Campaigns tab"))</f>
        <v/>
      </c>
      <c r="I5548" s="84" t="str">
        <f aca="false">IF(C5548="","",C5548*IF(Settings!$B$22=Settings!$C$6,1,IF(Settings!$B$22="USD",1/INDEX(Settings!$B$29:$B$40,MONTH(A5548)),INDEX(Settings!$B$29:$B$40,MONTH(A5548)))))</f>
        <v/>
      </c>
    </row>
    <row r="5549" customFormat="false" ht="15" hidden="false" customHeight="false" outlineLevel="0" collapsed="false">
      <c r="H5549" s="0" t="str">
        <f aca="false">IF(B5549="","",IF(COUNTIF(Campaigns!$A$7:$A$300,B5549)&gt;0,"✓","⚠ add to Campaigns tab"))</f>
        <v/>
      </c>
      <c r="I5549" s="84" t="str">
        <f aca="false">IF(C5549="","",C5549*IF(Settings!$B$22=Settings!$C$6,1,IF(Settings!$B$22="USD",1/INDEX(Settings!$B$29:$B$40,MONTH(A5549)),INDEX(Settings!$B$29:$B$40,MONTH(A5549)))))</f>
        <v/>
      </c>
    </row>
    <row r="5550" customFormat="false" ht="15" hidden="false" customHeight="false" outlineLevel="0" collapsed="false">
      <c r="H5550" s="0" t="str">
        <f aca="false">IF(B5550="","",IF(COUNTIF(Campaigns!$A$7:$A$300,B5550)&gt;0,"✓","⚠ add to Campaigns tab"))</f>
        <v/>
      </c>
      <c r="I5550" s="84" t="str">
        <f aca="false">IF(C5550="","",C5550*IF(Settings!$B$22=Settings!$C$6,1,IF(Settings!$B$22="USD",1/INDEX(Settings!$B$29:$B$40,MONTH(A5550)),INDEX(Settings!$B$29:$B$40,MONTH(A5550)))))</f>
        <v/>
      </c>
    </row>
    <row r="5551" customFormat="false" ht="15" hidden="false" customHeight="false" outlineLevel="0" collapsed="false">
      <c r="H5551" s="0" t="str">
        <f aca="false">IF(B5551="","",IF(COUNTIF(Campaigns!$A$7:$A$300,B5551)&gt;0,"✓","⚠ add to Campaigns tab"))</f>
        <v/>
      </c>
      <c r="I5551" s="84" t="str">
        <f aca="false">IF(C5551="","",C5551*IF(Settings!$B$22=Settings!$C$6,1,IF(Settings!$B$22="USD",1/INDEX(Settings!$B$29:$B$40,MONTH(A5551)),INDEX(Settings!$B$29:$B$40,MONTH(A5551)))))</f>
        <v/>
      </c>
    </row>
    <row r="5552" customFormat="false" ht="15" hidden="false" customHeight="false" outlineLevel="0" collapsed="false">
      <c r="H5552" s="0" t="str">
        <f aca="false">IF(B5552="","",IF(COUNTIF(Campaigns!$A$7:$A$300,B5552)&gt;0,"✓","⚠ add to Campaigns tab"))</f>
        <v/>
      </c>
      <c r="I5552" s="84" t="str">
        <f aca="false">IF(C5552="","",C5552*IF(Settings!$B$22=Settings!$C$6,1,IF(Settings!$B$22="USD",1/INDEX(Settings!$B$29:$B$40,MONTH(A5552)),INDEX(Settings!$B$29:$B$40,MONTH(A5552)))))</f>
        <v/>
      </c>
    </row>
    <row r="5553" customFormat="false" ht="15" hidden="false" customHeight="false" outlineLevel="0" collapsed="false">
      <c r="H5553" s="0" t="str">
        <f aca="false">IF(B5553="","",IF(COUNTIF(Campaigns!$A$7:$A$300,B5553)&gt;0,"✓","⚠ add to Campaigns tab"))</f>
        <v/>
      </c>
      <c r="I5553" s="84" t="str">
        <f aca="false">IF(C5553="","",C5553*IF(Settings!$B$22=Settings!$C$6,1,IF(Settings!$B$22="USD",1/INDEX(Settings!$B$29:$B$40,MONTH(A5553)),INDEX(Settings!$B$29:$B$40,MONTH(A5553)))))</f>
        <v/>
      </c>
    </row>
    <row r="5554" customFormat="false" ht="15" hidden="false" customHeight="false" outlineLevel="0" collapsed="false">
      <c r="H5554" s="0" t="str">
        <f aca="false">IF(B5554="","",IF(COUNTIF(Campaigns!$A$7:$A$300,B5554)&gt;0,"✓","⚠ add to Campaigns tab"))</f>
        <v/>
      </c>
      <c r="I5554" s="84" t="str">
        <f aca="false">IF(C5554="","",C5554*IF(Settings!$B$22=Settings!$C$6,1,IF(Settings!$B$22="USD",1/INDEX(Settings!$B$29:$B$40,MONTH(A5554)),INDEX(Settings!$B$29:$B$40,MONTH(A5554)))))</f>
        <v/>
      </c>
    </row>
    <row r="5555" customFormat="false" ht="15" hidden="false" customHeight="false" outlineLevel="0" collapsed="false">
      <c r="H5555" s="0" t="str">
        <f aca="false">IF(B5555="","",IF(COUNTIF(Campaigns!$A$7:$A$300,B5555)&gt;0,"✓","⚠ add to Campaigns tab"))</f>
        <v/>
      </c>
      <c r="I5555" s="84" t="str">
        <f aca="false">IF(C5555="","",C5555*IF(Settings!$B$22=Settings!$C$6,1,IF(Settings!$B$22="USD",1/INDEX(Settings!$B$29:$B$40,MONTH(A5555)),INDEX(Settings!$B$29:$B$40,MONTH(A5555)))))</f>
        <v/>
      </c>
    </row>
    <row r="5556" customFormat="false" ht="15" hidden="false" customHeight="false" outlineLevel="0" collapsed="false">
      <c r="H5556" s="0" t="str">
        <f aca="false">IF(B5556="","",IF(COUNTIF(Campaigns!$A$7:$A$300,B5556)&gt;0,"✓","⚠ add to Campaigns tab"))</f>
        <v/>
      </c>
      <c r="I5556" s="84" t="str">
        <f aca="false">IF(C5556="","",C5556*IF(Settings!$B$22=Settings!$C$6,1,IF(Settings!$B$22="USD",1/INDEX(Settings!$B$29:$B$40,MONTH(A5556)),INDEX(Settings!$B$29:$B$40,MONTH(A5556)))))</f>
        <v/>
      </c>
    </row>
    <row r="5557" customFormat="false" ht="15" hidden="false" customHeight="false" outlineLevel="0" collapsed="false">
      <c r="H5557" s="0" t="str">
        <f aca="false">IF(B5557="","",IF(COUNTIF(Campaigns!$A$7:$A$300,B5557)&gt;0,"✓","⚠ add to Campaigns tab"))</f>
        <v/>
      </c>
      <c r="I5557" s="84" t="str">
        <f aca="false">IF(C5557="","",C5557*IF(Settings!$B$22=Settings!$C$6,1,IF(Settings!$B$22="USD",1/INDEX(Settings!$B$29:$B$40,MONTH(A5557)),INDEX(Settings!$B$29:$B$40,MONTH(A5557)))))</f>
        <v/>
      </c>
    </row>
    <row r="5558" customFormat="false" ht="15" hidden="false" customHeight="false" outlineLevel="0" collapsed="false">
      <c r="H5558" s="0" t="str">
        <f aca="false">IF(B5558="","",IF(COUNTIF(Campaigns!$A$7:$A$300,B5558)&gt;0,"✓","⚠ add to Campaigns tab"))</f>
        <v/>
      </c>
      <c r="I5558" s="84" t="str">
        <f aca="false">IF(C5558="","",C5558*IF(Settings!$B$22=Settings!$C$6,1,IF(Settings!$B$22="USD",1/INDEX(Settings!$B$29:$B$40,MONTH(A5558)),INDEX(Settings!$B$29:$B$40,MONTH(A5558)))))</f>
        <v/>
      </c>
    </row>
    <row r="5559" customFormat="false" ht="15" hidden="false" customHeight="false" outlineLevel="0" collapsed="false">
      <c r="H5559" s="0" t="str">
        <f aca="false">IF(B5559="","",IF(COUNTIF(Campaigns!$A$7:$A$300,B5559)&gt;0,"✓","⚠ add to Campaigns tab"))</f>
        <v/>
      </c>
      <c r="I5559" s="84" t="str">
        <f aca="false">IF(C5559="","",C5559*IF(Settings!$B$22=Settings!$C$6,1,IF(Settings!$B$22="USD",1/INDEX(Settings!$B$29:$B$40,MONTH(A5559)),INDEX(Settings!$B$29:$B$40,MONTH(A5559)))))</f>
        <v/>
      </c>
    </row>
    <row r="5560" customFormat="false" ht="15" hidden="false" customHeight="false" outlineLevel="0" collapsed="false">
      <c r="H5560" s="0" t="str">
        <f aca="false">IF(B5560="","",IF(COUNTIF(Campaigns!$A$7:$A$300,B5560)&gt;0,"✓","⚠ add to Campaigns tab"))</f>
        <v/>
      </c>
      <c r="I5560" s="84" t="str">
        <f aca="false">IF(C5560="","",C5560*IF(Settings!$B$22=Settings!$C$6,1,IF(Settings!$B$22="USD",1/INDEX(Settings!$B$29:$B$40,MONTH(A5560)),INDEX(Settings!$B$29:$B$40,MONTH(A5560)))))</f>
        <v/>
      </c>
    </row>
    <row r="5561" customFormat="false" ht="15" hidden="false" customHeight="false" outlineLevel="0" collapsed="false">
      <c r="H5561" s="0" t="str">
        <f aca="false">IF(B5561="","",IF(COUNTIF(Campaigns!$A$7:$A$300,B5561)&gt;0,"✓","⚠ add to Campaigns tab"))</f>
        <v/>
      </c>
      <c r="I5561" s="84" t="str">
        <f aca="false">IF(C5561="","",C5561*IF(Settings!$B$22=Settings!$C$6,1,IF(Settings!$B$22="USD",1/INDEX(Settings!$B$29:$B$40,MONTH(A5561)),INDEX(Settings!$B$29:$B$40,MONTH(A5561)))))</f>
        <v/>
      </c>
    </row>
    <row r="5562" customFormat="false" ht="15" hidden="false" customHeight="false" outlineLevel="0" collapsed="false">
      <c r="H5562" s="0" t="str">
        <f aca="false">IF(B5562="","",IF(COUNTIF(Campaigns!$A$7:$A$300,B5562)&gt;0,"✓","⚠ add to Campaigns tab"))</f>
        <v/>
      </c>
      <c r="I5562" s="84" t="str">
        <f aca="false">IF(C5562="","",C5562*IF(Settings!$B$22=Settings!$C$6,1,IF(Settings!$B$22="USD",1/INDEX(Settings!$B$29:$B$40,MONTH(A5562)),INDEX(Settings!$B$29:$B$40,MONTH(A5562)))))</f>
        <v/>
      </c>
    </row>
    <row r="5563" customFormat="false" ht="15" hidden="false" customHeight="false" outlineLevel="0" collapsed="false">
      <c r="H5563" s="0" t="str">
        <f aca="false">IF(B5563="","",IF(COUNTIF(Campaigns!$A$7:$A$300,B5563)&gt;0,"✓","⚠ add to Campaigns tab"))</f>
        <v/>
      </c>
      <c r="I5563" s="84" t="str">
        <f aca="false">IF(C5563="","",C5563*IF(Settings!$B$22=Settings!$C$6,1,IF(Settings!$B$22="USD",1/INDEX(Settings!$B$29:$B$40,MONTH(A5563)),INDEX(Settings!$B$29:$B$40,MONTH(A5563)))))</f>
        <v/>
      </c>
    </row>
    <row r="5564" customFormat="false" ht="15" hidden="false" customHeight="false" outlineLevel="0" collapsed="false">
      <c r="H5564" s="0" t="str">
        <f aca="false">IF(B5564="","",IF(COUNTIF(Campaigns!$A$7:$A$300,B5564)&gt;0,"✓","⚠ add to Campaigns tab"))</f>
        <v/>
      </c>
      <c r="I5564" s="84" t="str">
        <f aca="false">IF(C5564="","",C5564*IF(Settings!$B$22=Settings!$C$6,1,IF(Settings!$B$22="USD",1/INDEX(Settings!$B$29:$B$40,MONTH(A5564)),INDEX(Settings!$B$29:$B$40,MONTH(A5564)))))</f>
        <v/>
      </c>
    </row>
    <row r="5565" customFormat="false" ht="15" hidden="false" customHeight="false" outlineLevel="0" collapsed="false">
      <c r="H5565" s="0" t="str">
        <f aca="false">IF(B5565="","",IF(COUNTIF(Campaigns!$A$7:$A$300,B5565)&gt;0,"✓","⚠ add to Campaigns tab"))</f>
        <v/>
      </c>
      <c r="I5565" s="84" t="str">
        <f aca="false">IF(C5565="","",C5565*IF(Settings!$B$22=Settings!$C$6,1,IF(Settings!$B$22="USD",1/INDEX(Settings!$B$29:$B$40,MONTH(A5565)),INDEX(Settings!$B$29:$B$40,MONTH(A5565)))))</f>
        <v/>
      </c>
    </row>
    <row r="5566" customFormat="false" ht="15" hidden="false" customHeight="false" outlineLevel="0" collapsed="false">
      <c r="H5566" s="0" t="str">
        <f aca="false">IF(B5566="","",IF(COUNTIF(Campaigns!$A$7:$A$300,B5566)&gt;0,"✓","⚠ add to Campaigns tab"))</f>
        <v/>
      </c>
      <c r="I5566" s="84" t="str">
        <f aca="false">IF(C5566="","",C5566*IF(Settings!$B$22=Settings!$C$6,1,IF(Settings!$B$22="USD",1/INDEX(Settings!$B$29:$B$40,MONTH(A5566)),INDEX(Settings!$B$29:$B$40,MONTH(A5566)))))</f>
        <v/>
      </c>
    </row>
    <row r="5567" customFormat="false" ht="15" hidden="false" customHeight="false" outlineLevel="0" collapsed="false">
      <c r="H5567" s="0" t="str">
        <f aca="false">IF(B5567="","",IF(COUNTIF(Campaigns!$A$7:$A$300,B5567)&gt;0,"✓","⚠ add to Campaigns tab"))</f>
        <v/>
      </c>
      <c r="I5567" s="84" t="str">
        <f aca="false">IF(C5567="","",C5567*IF(Settings!$B$22=Settings!$C$6,1,IF(Settings!$B$22="USD",1/INDEX(Settings!$B$29:$B$40,MONTH(A5567)),INDEX(Settings!$B$29:$B$40,MONTH(A5567)))))</f>
        <v/>
      </c>
    </row>
    <row r="5568" customFormat="false" ht="15" hidden="false" customHeight="false" outlineLevel="0" collapsed="false">
      <c r="H5568" s="0" t="str">
        <f aca="false">IF(B5568="","",IF(COUNTIF(Campaigns!$A$7:$A$300,B5568)&gt;0,"✓","⚠ add to Campaigns tab"))</f>
        <v/>
      </c>
      <c r="I5568" s="84" t="str">
        <f aca="false">IF(C5568="","",C5568*IF(Settings!$B$22=Settings!$C$6,1,IF(Settings!$B$22="USD",1/INDEX(Settings!$B$29:$B$40,MONTH(A5568)),INDEX(Settings!$B$29:$B$40,MONTH(A5568)))))</f>
        <v/>
      </c>
    </row>
    <row r="5569" customFormat="false" ht="15" hidden="false" customHeight="false" outlineLevel="0" collapsed="false">
      <c r="H5569" s="0" t="str">
        <f aca="false">IF(B5569="","",IF(COUNTIF(Campaigns!$A$7:$A$300,B5569)&gt;0,"✓","⚠ add to Campaigns tab"))</f>
        <v/>
      </c>
      <c r="I5569" s="84" t="str">
        <f aca="false">IF(C5569="","",C5569*IF(Settings!$B$22=Settings!$C$6,1,IF(Settings!$B$22="USD",1/INDEX(Settings!$B$29:$B$40,MONTH(A5569)),INDEX(Settings!$B$29:$B$40,MONTH(A5569)))))</f>
        <v/>
      </c>
    </row>
    <row r="5570" customFormat="false" ht="15" hidden="false" customHeight="false" outlineLevel="0" collapsed="false">
      <c r="H5570" s="0" t="str">
        <f aca="false">IF(B5570="","",IF(COUNTIF(Campaigns!$A$7:$A$300,B5570)&gt;0,"✓","⚠ add to Campaigns tab"))</f>
        <v/>
      </c>
      <c r="I5570" s="84" t="str">
        <f aca="false">IF(C5570="","",C5570*IF(Settings!$B$22=Settings!$C$6,1,IF(Settings!$B$22="USD",1/INDEX(Settings!$B$29:$B$40,MONTH(A5570)),INDEX(Settings!$B$29:$B$40,MONTH(A5570)))))</f>
        <v/>
      </c>
    </row>
    <row r="5571" customFormat="false" ht="15" hidden="false" customHeight="false" outlineLevel="0" collapsed="false">
      <c r="H5571" s="0" t="str">
        <f aca="false">IF(B5571="","",IF(COUNTIF(Campaigns!$A$7:$A$300,B5571)&gt;0,"✓","⚠ add to Campaigns tab"))</f>
        <v/>
      </c>
      <c r="I5571" s="84" t="str">
        <f aca="false">IF(C5571="","",C5571*IF(Settings!$B$22=Settings!$C$6,1,IF(Settings!$B$22="USD",1/INDEX(Settings!$B$29:$B$40,MONTH(A5571)),INDEX(Settings!$B$29:$B$40,MONTH(A5571)))))</f>
        <v/>
      </c>
    </row>
    <row r="5572" customFormat="false" ht="15" hidden="false" customHeight="false" outlineLevel="0" collapsed="false">
      <c r="H5572" s="0" t="str">
        <f aca="false">IF(B5572="","",IF(COUNTIF(Campaigns!$A$7:$A$300,B5572)&gt;0,"✓","⚠ add to Campaigns tab"))</f>
        <v/>
      </c>
      <c r="I5572" s="84" t="str">
        <f aca="false">IF(C5572="","",C5572*IF(Settings!$B$22=Settings!$C$6,1,IF(Settings!$B$22="USD",1/INDEX(Settings!$B$29:$B$40,MONTH(A5572)),INDEX(Settings!$B$29:$B$40,MONTH(A5572)))))</f>
        <v/>
      </c>
    </row>
    <row r="5573" customFormat="false" ht="15" hidden="false" customHeight="false" outlineLevel="0" collapsed="false">
      <c r="H5573" s="0" t="str">
        <f aca="false">IF(B5573="","",IF(COUNTIF(Campaigns!$A$7:$A$300,B5573)&gt;0,"✓","⚠ add to Campaigns tab"))</f>
        <v/>
      </c>
      <c r="I5573" s="84" t="str">
        <f aca="false">IF(C5573="","",C5573*IF(Settings!$B$22=Settings!$C$6,1,IF(Settings!$B$22="USD",1/INDEX(Settings!$B$29:$B$40,MONTH(A5573)),INDEX(Settings!$B$29:$B$40,MONTH(A5573)))))</f>
        <v/>
      </c>
    </row>
    <row r="5574" customFormat="false" ht="15" hidden="false" customHeight="false" outlineLevel="0" collapsed="false">
      <c r="H5574" s="0" t="str">
        <f aca="false">IF(B5574="","",IF(COUNTIF(Campaigns!$A$7:$A$300,B5574)&gt;0,"✓","⚠ add to Campaigns tab"))</f>
        <v/>
      </c>
      <c r="I5574" s="84" t="str">
        <f aca="false">IF(C5574="","",C5574*IF(Settings!$B$22=Settings!$C$6,1,IF(Settings!$B$22="USD",1/INDEX(Settings!$B$29:$B$40,MONTH(A5574)),INDEX(Settings!$B$29:$B$40,MONTH(A5574)))))</f>
        <v/>
      </c>
    </row>
    <row r="5575" customFormat="false" ht="15" hidden="false" customHeight="false" outlineLevel="0" collapsed="false">
      <c r="H5575" s="0" t="str">
        <f aca="false">IF(B5575="","",IF(COUNTIF(Campaigns!$A$7:$A$300,B5575)&gt;0,"✓","⚠ add to Campaigns tab"))</f>
        <v/>
      </c>
      <c r="I5575" s="84" t="str">
        <f aca="false">IF(C5575="","",C5575*IF(Settings!$B$22=Settings!$C$6,1,IF(Settings!$B$22="USD",1/INDEX(Settings!$B$29:$B$40,MONTH(A5575)),INDEX(Settings!$B$29:$B$40,MONTH(A5575)))))</f>
        <v/>
      </c>
    </row>
    <row r="5576" customFormat="false" ht="15" hidden="false" customHeight="false" outlineLevel="0" collapsed="false">
      <c r="H5576" s="0" t="str">
        <f aca="false">IF(B5576="","",IF(COUNTIF(Campaigns!$A$7:$A$300,B5576)&gt;0,"✓","⚠ add to Campaigns tab"))</f>
        <v/>
      </c>
      <c r="I5576" s="84" t="str">
        <f aca="false">IF(C5576="","",C5576*IF(Settings!$B$22=Settings!$C$6,1,IF(Settings!$B$22="USD",1/INDEX(Settings!$B$29:$B$40,MONTH(A5576)),INDEX(Settings!$B$29:$B$40,MONTH(A5576)))))</f>
        <v/>
      </c>
    </row>
    <row r="5577" customFormat="false" ht="15" hidden="false" customHeight="false" outlineLevel="0" collapsed="false">
      <c r="H5577" s="0" t="str">
        <f aca="false">IF(B5577="","",IF(COUNTIF(Campaigns!$A$7:$A$300,B5577)&gt;0,"✓","⚠ add to Campaigns tab"))</f>
        <v/>
      </c>
      <c r="I5577" s="84" t="str">
        <f aca="false">IF(C5577="","",C5577*IF(Settings!$B$22=Settings!$C$6,1,IF(Settings!$B$22="USD",1/INDEX(Settings!$B$29:$B$40,MONTH(A5577)),INDEX(Settings!$B$29:$B$40,MONTH(A5577)))))</f>
        <v/>
      </c>
    </row>
    <row r="5578" customFormat="false" ht="15" hidden="false" customHeight="false" outlineLevel="0" collapsed="false">
      <c r="H5578" s="0" t="str">
        <f aca="false">IF(B5578="","",IF(COUNTIF(Campaigns!$A$7:$A$300,B5578)&gt;0,"✓","⚠ add to Campaigns tab"))</f>
        <v/>
      </c>
      <c r="I5578" s="84" t="str">
        <f aca="false">IF(C5578="","",C5578*IF(Settings!$B$22=Settings!$C$6,1,IF(Settings!$B$22="USD",1/INDEX(Settings!$B$29:$B$40,MONTH(A5578)),INDEX(Settings!$B$29:$B$40,MONTH(A5578)))))</f>
        <v/>
      </c>
    </row>
    <row r="5579" customFormat="false" ht="15" hidden="false" customHeight="false" outlineLevel="0" collapsed="false">
      <c r="H5579" s="0" t="str">
        <f aca="false">IF(B5579="","",IF(COUNTIF(Campaigns!$A$7:$A$300,B5579)&gt;0,"✓","⚠ add to Campaigns tab"))</f>
        <v/>
      </c>
      <c r="I5579" s="84" t="str">
        <f aca="false">IF(C5579="","",C5579*IF(Settings!$B$22=Settings!$C$6,1,IF(Settings!$B$22="USD",1/INDEX(Settings!$B$29:$B$40,MONTH(A5579)),INDEX(Settings!$B$29:$B$40,MONTH(A5579)))))</f>
        <v/>
      </c>
    </row>
    <row r="5580" customFormat="false" ht="15" hidden="false" customHeight="false" outlineLevel="0" collapsed="false">
      <c r="H5580" s="0" t="str">
        <f aca="false">IF(B5580="","",IF(COUNTIF(Campaigns!$A$7:$A$300,B5580)&gt;0,"✓","⚠ add to Campaigns tab"))</f>
        <v/>
      </c>
      <c r="I5580" s="84" t="str">
        <f aca="false">IF(C5580="","",C5580*IF(Settings!$B$22=Settings!$C$6,1,IF(Settings!$B$22="USD",1/INDEX(Settings!$B$29:$B$40,MONTH(A5580)),INDEX(Settings!$B$29:$B$40,MONTH(A5580)))))</f>
        <v/>
      </c>
    </row>
    <row r="5581" customFormat="false" ht="15" hidden="false" customHeight="false" outlineLevel="0" collapsed="false">
      <c r="H5581" s="0" t="str">
        <f aca="false">IF(B5581="","",IF(COUNTIF(Campaigns!$A$7:$A$300,B5581)&gt;0,"✓","⚠ add to Campaigns tab"))</f>
        <v/>
      </c>
      <c r="I5581" s="84" t="str">
        <f aca="false">IF(C5581="","",C5581*IF(Settings!$B$22=Settings!$C$6,1,IF(Settings!$B$22="USD",1/INDEX(Settings!$B$29:$B$40,MONTH(A5581)),INDEX(Settings!$B$29:$B$40,MONTH(A5581)))))</f>
        <v/>
      </c>
    </row>
    <row r="5582" customFormat="false" ht="15" hidden="false" customHeight="false" outlineLevel="0" collapsed="false">
      <c r="H5582" s="0" t="str">
        <f aca="false">IF(B5582="","",IF(COUNTIF(Campaigns!$A$7:$A$300,B5582)&gt;0,"✓","⚠ add to Campaigns tab"))</f>
        <v/>
      </c>
      <c r="I5582" s="84" t="str">
        <f aca="false">IF(C5582="","",C5582*IF(Settings!$B$22=Settings!$C$6,1,IF(Settings!$B$22="USD",1/INDEX(Settings!$B$29:$B$40,MONTH(A5582)),INDEX(Settings!$B$29:$B$40,MONTH(A5582)))))</f>
        <v/>
      </c>
    </row>
    <row r="5583" customFormat="false" ht="15" hidden="false" customHeight="false" outlineLevel="0" collapsed="false">
      <c r="H5583" s="0" t="str">
        <f aca="false">IF(B5583="","",IF(COUNTIF(Campaigns!$A$7:$A$300,B5583)&gt;0,"✓","⚠ add to Campaigns tab"))</f>
        <v/>
      </c>
      <c r="I5583" s="84" t="str">
        <f aca="false">IF(C5583="","",C5583*IF(Settings!$B$22=Settings!$C$6,1,IF(Settings!$B$22="USD",1/INDEX(Settings!$B$29:$B$40,MONTH(A5583)),INDEX(Settings!$B$29:$B$40,MONTH(A5583)))))</f>
        <v/>
      </c>
    </row>
    <row r="5584" customFormat="false" ht="15" hidden="false" customHeight="false" outlineLevel="0" collapsed="false">
      <c r="H5584" s="0" t="str">
        <f aca="false">IF(B5584="","",IF(COUNTIF(Campaigns!$A$7:$A$300,B5584)&gt;0,"✓","⚠ add to Campaigns tab"))</f>
        <v/>
      </c>
      <c r="I5584" s="84" t="str">
        <f aca="false">IF(C5584="","",C5584*IF(Settings!$B$22=Settings!$C$6,1,IF(Settings!$B$22="USD",1/INDEX(Settings!$B$29:$B$40,MONTH(A5584)),INDEX(Settings!$B$29:$B$40,MONTH(A5584)))))</f>
        <v/>
      </c>
    </row>
    <row r="5585" customFormat="false" ht="15" hidden="false" customHeight="false" outlineLevel="0" collapsed="false">
      <c r="H5585" s="0" t="str">
        <f aca="false">IF(B5585="","",IF(COUNTIF(Campaigns!$A$7:$A$300,B5585)&gt;0,"✓","⚠ add to Campaigns tab"))</f>
        <v/>
      </c>
      <c r="I5585" s="84" t="str">
        <f aca="false">IF(C5585="","",C5585*IF(Settings!$B$22=Settings!$C$6,1,IF(Settings!$B$22="USD",1/INDEX(Settings!$B$29:$B$40,MONTH(A5585)),INDEX(Settings!$B$29:$B$40,MONTH(A5585)))))</f>
        <v/>
      </c>
    </row>
    <row r="5586" customFormat="false" ht="15" hidden="false" customHeight="false" outlineLevel="0" collapsed="false">
      <c r="H5586" s="0" t="str">
        <f aca="false">IF(B5586="","",IF(COUNTIF(Campaigns!$A$7:$A$300,B5586)&gt;0,"✓","⚠ add to Campaigns tab"))</f>
        <v/>
      </c>
      <c r="I5586" s="84" t="str">
        <f aca="false">IF(C5586="","",C5586*IF(Settings!$B$22=Settings!$C$6,1,IF(Settings!$B$22="USD",1/INDEX(Settings!$B$29:$B$40,MONTH(A5586)),INDEX(Settings!$B$29:$B$40,MONTH(A5586)))))</f>
        <v/>
      </c>
    </row>
    <row r="5587" customFormat="false" ht="15" hidden="false" customHeight="false" outlineLevel="0" collapsed="false">
      <c r="H5587" s="0" t="str">
        <f aca="false">IF(B5587="","",IF(COUNTIF(Campaigns!$A$7:$A$300,B5587)&gt;0,"✓","⚠ add to Campaigns tab"))</f>
        <v/>
      </c>
      <c r="I5587" s="84" t="str">
        <f aca="false">IF(C5587="","",C5587*IF(Settings!$B$22=Settings!$C$6,1,IF(Settings!$B$22="USD",1/INDEX(Settings!$B$29:$B$40,MONTH(A5587)),INDEX(Settings!$B$29:$B$40,MONTH(A5587)))))</f>
        <v/>
      </c>
    </row>
    <row r="5588" customFormat="false" ht="15" hidden="false" customHeight="false" outlineLevel="0" collapsed="false">
      <c r="H5588" s="0" t="str">
        <f aca="false">IF(B5588="","",IF(COUNTIF(Campaigns!$A$7:$A$300,B5588)&gt;0,"✓","⚠ add to Campaigns tab"))</f>
        <v/>
      </c>
      <c r="I5588" s="84" t="str">
        <f aca="false">IF(C5588="","",C5588*IF(Settings!$B$22=Settings!$C$6,1,IF(Settings!$B$22="USD",1/INDEX(Settings!$B$29:$B$40,MONTH(A5588)),INDEX(Settings!$B$29:$B$40,MONTH(A5588)))))</f>
        <v/>
      </c>
    </row>
    <row r="5589" customFormat="false" ht="15" hidden="false" customHeight="false" outlineLevel="0" collapsed="false">
      <c r="H5589" s="0" t="str">
        <f aca="false">IF(B5589="","",IF(COUNTIF(Campaigns!$A$7:$A$300,B5589)&gt;0,"✓","⚠ add to Campaigns tab"))</f>
        <v/>
      </c>
      <c r="I5589" s="84" t="str">
        <f aca="false">IF(C5589="","",C5589*IF(Settings!$B$22=Settings!$C$6,1,IF(Settings!$B$22="USD",1/INDEX(Settings!$B$29:$B$40,MONTH(A5589)),INDEX(Settings!$B$29:$B$40,MONTH(A5589)))))</f>
        <v/>
      </c>
    </row>
    <row r="5590" customFormat="false" ht="15" hidden="false" customHeight="false" outlineLevel="0" collapsed="false">
      <c r="H5590" s="0" t="str">
        <f aca="false">IF(B5590="","",IF(COUNTIF(Campaigns!$A$7:$A$300,B5590)&gt;0,"✓","⚠ add to Campaigns tab"))</f>
        <v/>
      </c>
      <c r="I5590" s="84" t="str">
        <f aca="false">IF(C5590="","",C5590*IF(Settings!$B$22=Settings!$C$6,1,IF(Settings!$B$22="USD",1/INDEX(Settings!$B$29:$B$40,MONTH(A5590)),INDEX(Settings!$B$29:$B$40,MONTH(A5590)))))</f>
        <v/>
      </c>
    </row>
    <row r="5591" customFormat="false" ht="15" hidden="false" customHeight="false" outlineLevel="0" collapsed="false">
      <c r="H5591" s="0" t="str">
        <f aca="false">IF(B5591="","",IF(COUNTIF(Campaigns!$A$7:$A$300,B5591)&gt;0,"✓","⚠ add to Campaigns tab"))</f>
        <v/>
      </c>
      <c r="I5591" s="84" t="str">
        <f aca="false">IF(C5591="","",C5591*IF(Settings!$B$22=Settings!$C$6,1,IF(Settings!$B$22="USD",1/INDEX(Settings!$B$29:$B$40,MONTH(A5591)),INDEX(Settings!$B$29:$B$40,MONTH(A5591)))))</f>
        <v/>
      </c>
    </row>
    <row r="5592" customFormat="false" ht="15" hidden="false" customHeight="false" outlineLevel="0" collapsed="false">
      <c r="H5592" s="0" t="str">
        <f aca="false">IF(B5592="","",IF(COUNTIF(Campaigns!$A$7:$A$300,B5592)&gt;0,"✓","⚠ add to Campaigns tab"))</f>
        <v/>
      </c>
      <c r="I5592" s="84" t="str">
        <f aca="false">IF(C5592="","",C5592*IF(Settings!$B$22=Settings!$C$6,1,IF(Settings!$B$22="USD",1/INDEX(Settings!$B$29:$B$40,MONTH(A5592)),INDEX(Settings!$B$29:$B$40,MONTH(A5592)))))</f>
        <v/>
      </c>
    </row>
    <row r="5593" customFormat="false" ht="15" hidden="false" customHeight="false" outlineLevel="0" collapsed="false">
      <c r="H5593" s="0" t="str">
        <f aca="false">IF(B5593="","",IF(COUNTIF(Campaigns!$A$7:$A$300,B5593)&gt;0,"✓","⚠ add to Campaigns tab"))</f>
        <v/>
      </c>
      <c r="I5593" s="84" t="str">
        <f aca="false">IF(C5593="","",C5593*IF(Settings!$B$22=Settings!$C$6,1,IF(Settings!$B$22="USD",1/INDEX(Settings!$B$29:$B$40,MONTH(A5593)),INDEX(Settings!$B$29:$B$40,MONTH(A5593)))))</f>
        <v/>
      </c>
    </row>
    <row r="5594" customFormat="false" ht="15" hidden="false" customHeight="false" outlineLevel="0" collapsed="false">
      <c r="H5594" s="0" t="str">
        <f aca="false">IF(B5594="","",IF(COUNTIF(Campaigns!$A$7:$A$300,B5594)&gt;0,"✓","⚠ add to Campaigns tab"))</f>
        <v/>
      </c>
      <c r="I5594" s="84" t="str">
        <f aca="false">IF(C5594="","",C5594*IF(Settings!$B$22=Settings!$C$6,1,IF(Settings!$B$22="USD",1/INDEX(Settings!$B$29:$B$40,MONTH(A5594)),INDEX(Settings!$B$29:$B$40,MONTH(A5594)))))</f>
        <v/>
      </c>
    </row>
    <row r="5595" customFormat="false" ht="15" hidden="false" customHeight="false" outlineLevel="0" collapsed="false">
      <c r="H5595" s="0" t="str">
        <f aca="false">IF(B5595="","",IF(COUNTIF(Campaigns!$A$7:$A$300,B5595)&gt;0,"✓","⚠ add to Campaigns tab"))</f>
        <v/>
      </c>
      <c r="I5595" s="84" t="str">
        <f aca="false">IF(C5595="","",C5595*IF(Settings!$B$22=Settings!$C$6,1,IF(Settings!$B$22="USD",1/INDEX(Settings!$B$29:$B$40,MONTH(A5595)),INDEX(Settings!$B$29:$B$40,MONTH(A5595)))))</f>
        <v/>
      </c>
    </row>
    <row r="5596" customFormat="false" ht="15" hidden="false" customHeight="false" outlineLevel="0" collapsed="false">
      <c r="H5596" s="0" t="str">
        <f aca="false">IF(B5596="","",IF(COUNTIF(Campaigns!$A$7:$A$300,B5596)&gt;0,"✓","⚠ add to Campaigns tab"))</f>
        <v/>
      </c>
      <c r="I5596" s="84" t="str">
        <f aca="false">IF(C5596="","",C5596*IF(Settings!$B$22=Settings!$C$6,1,IF(Settings!$B$22="USD",1/INDEX(Settings!$B$29:$B$40,MONTH(A5596)),INDEX(Settings!$B$29:$B$40,MONTH(A5596)))))</f>
        <v/>
      </c>
    </row>
    <row r="5597" customFormat="false" ht="15" hidden="false" customHeight="false" outlineLevel="0" collapsed="false">
      <c r="H5597" s="0" t="str">
        <f aca="false">IF(B5597="","",IF(COUNTIF(Campaigns!$A$7:$A$300,B5597)&gt;0,"✓","⚠ add to Campaigns tab"))</f>
        <v/>
      </c>
      <c r="I5597" s="84" t="str">
        <f aca="false">IF(C5597="","",C5597*IF(Settings!$B$22=Settings!$C$6,1,IF(Settings!$B$22="USD",1/INDEX(Settings!$B$29:$B$40,MONTH(A5597)),INDEX(Settings!$B$29:$B$40,MONTH(A5597)))))</f>
        <v/>
      </c>
    </row>
    <row r="5598" customFormat="false" ht="15" hidden="false" customHeight="false" outlineLevel="0" collapsed="false">
      <c r="H5598" s="0" t="str">
        <f aca="false">IF(B5598="","",IF(COUNTIF(Campaigns!$A$7:$A$300,B5598)&gt;0,"✓","⚠ add to Campaigns tab"))</f>
        <v/>
      </c>
      <c r="I5598" s="84" t="str">
        <f aca="false">IF(C5598="","",C5598*IF(Settings!$B$22=Settings!$C$6,1,IF(Settings!$B$22="USD",1/INDEX(Settings!$B$29:$B$40,MONTH(A5598)),INDEX(Settings!$B$29:$B$40,MONTH(A5598)))))</f>
        <v/>
      </c>
    </row>
    <row r="5599" customFormat="false" ht="15" hidden="false" customHeight="false" outlineLevel="0" collapsed="false">
      <c r="H5599" s="0" t="str">
        <f aca="false">IF(B5599="","",IF(COUNTIF(Campaigns!$A$7:$A$300,B5599)&gt;0,"✓","⚠ add to Campaigns tab"))</f>
        <v/>
      </c>
      <c r="I5599" s="84" t="str">
        <f aca="false">IF(C5599="","",C5599*IF(Settings!$B$22=Settings!$C$6,1,IF(Settings!$B$22="USD",1/INDEX(Settings!$B$29:$B$40,MONTH(A5599)),INDEX(Settings!$B$29:$B$40,MONTH(A5599)))))</f>
        <v/>
      </c>
    </row>
    <row r="5600" customFormat="false" ht="15" hidden="false" customHeight="false" outlineLevel="0" collapsed="false">
      <c r="H5600" s="0" t="str">
        <f aca="false">IF(B5600="","",IF(COUNTIF(Campaigns!$A$7:$A$300,B5600)&gt;0,"✓","⚠ add to Campaigns tab"))</f>
        <v/>
      </c>
      <c r="I5600" s="84" t="str">
        <f aca="false">IF(C5600="","",C5600*IF(Settings!$B$22=Settings!$C$6,1,IF(Settings!$B$22="USD",1/INDEX(Settings!$B$29:$B$40,MONTH(A5600)),INDEX(Settings!$B$29:$B$40,MONTH(A5600)))))</f>
        <v/>
      </c>
    </row>
    <row r="5601" customFormat="false" ht="15" hidden="false" customHeight="false" outlineLevel="0" collapsed="false">
      <c r="H5601" s="0" t="str">
        <f aca="false">IF(B5601="","",IF(COUNTIF(Campaigns!$A$7:$A$300,B5601)&gt;0,"✓","⚠ add to Campaigns tab"))</f>
        <v/>
      </c>
      <c r="I5601" s="84" t="str">
        <f aca="false">IF(C5601="","",C5601*IF(Settings!$B$22=Settings!$C$6,1,IF(Settings!$B$22="USD",1/INDEX(Settings!$B$29:$B$40,MONTH(A5601)),INDEX(Settings!$B$29:$B$40,MONTH(A5601)))))</f>
        <v/>
      </c>
    </row>
    <row r="5602" customFormat="false" ht="15" hidden="false" customHeight="false" outlineLevel="0" collapsed="false">
      <c r="H5602" s="0" t="str">
        <f aca="false">IF(B5602="","",IF(COUNTIF(Campaigns!$A$7:$A$300,B5602)&gt;0,"✓","⚠ add to Campaigns tab"))</f>
        <v/>
      </c>
      <c r="I5602" s="84" t="str">
        <f aca="false">IF(C5602="","",C5602*IF(Settings!$B$22=Settings!$C$6,1,IF(Settings!$B$22="USD",1/INDEX(Settings!$B$29:$B$40,MONTH(A5602)),INDEX(Settings!$B$29:$B$40,MONTH(A5602)))))</f>
        <v/>
      </c>
    </row>
    <row r="5603" customFormat="false" ht="15" hidden="false" customHeight="false" outlineLevel="0" collapsed="false">
      <c r="H5603" s="0" t="str">
        <f aca="false">IF(B5603="","",IF(COUNTIF(Campaigns!$A$7:$A$300,B5603)&gt;0,"✓","⚠ add to Campaigns tab"))</f>
        <v/>
      </c>
      <c r="I5603" s="84" t="str">
        <f aca="false">IF(C5603="","",C5603*IF(Settings!$B$22=Settings!$C$6,1,IF(Settings!$B$22="USD",1/INDEX(Settings!$B$29:$B$40,MONTH(A5603)),INDEX(Settings!$B$29:$B$40,MONTH(A5603)))))</f>
        <v/>
      </c>
    </row>
    <row r="5604" customFormat="false" ht="15" hidden="false" customHeight="false" outlineLevel="0" collapsed="false">
      <c r="H5604" s="0" t="str">
        <f aca="false">IF(B5604="","",IF(COUNTIF(Campaigns!$A$7:$A$300,B5604)&gt;0,"✓","⚠ add to Campaigns tab"))</f>
        <v/>
      </c>
      <c r="I5604" s="84" t="str">
        <f aca="false">IF(C5604="","",C5604*IF(Settings!$B$22=Settings!$C$6,1,IF(Settings!$B$22="USD",1/INDEX(Settings!$B$29:$B$40,MONTH(A5604)),INDEX(Settings!$B$29:$B$40,MONTH(A5604)))))</f>
        <v/>
      </c>
    </row>
    <row r="5605" customFormat="false" ht="15" hidden="false" customHeight="false" outlineLevel="0" collapsed="false">
      <c r="H5605" s="0" t="str">
        <f aca="false">IF(B5605="","",IF(COUNTIF(Campaigns!$A$7:$A$300,B5605)&gt;0,"✓","⚠ add to Campaigns tab"))</f>
        <v/>
      </c>
      <c r="I5605" s="84" t="str">
        <f aca="false">IF(C5605="","",C5605*IF(Settings!$B$22=Settings!$C$6,1,IF(Settings!$B$22="USD",1/INDEX(Settings!$B$29:$B$40,MONTH(A5605)),INDEX(Settings!$B$29:$B$40,MONTH(A5605)))))</f>
        <v/>
      </c>
    </row>
    <row r="5606" customFormat="false" ht="15" hidden="false" customHeight="false" outlineLevel="0" collapsed="false">
      <c r="H5606" s="0" t="str">
        <f aca="false">IF(B5606="","",IF(COUNTIF(Campaigns!$A$7:$A$300,B5606)&gt;0,"✓","⚠ add to Campaigns tab"))</f>
        <v/>
      </c>
      <c r="I5606" s="84" t="str">
        <f aca="false">IF(C5606="","",C5606*IF(Settings!$B$22=Settings!$C$6,1,IF(Settings!$B$22="USD",1/INDEX(Settings!$B$29:$B$40,MONTH(A5606)),INDEX(Settings!$B$29:$B$40,MONTH(A5606)))))</f>
        <v/>
      </c>
    </row>
    <row r="5607" customFormat="false" ht="15" hidden="false" customHeight="false" outlineLevel="0" collapsed="false">
      <c r="H5607" s="0" t="str">
        <f aca="false">IF(B5607="","",IF(COUNTIF(Campaigns!$A$7:$A$300,B5607)&gt;0,"✓","⚠ add to Campaigns tab"))</f>
        <v/>
      </c>
      <c r="I5607" s="84" t="str">
        <f aca="false">IF(C5607="","",C5607*IF(Settings!$B$22=Settings!$C$6,1,IF(Settings!$B$22="USD",1/INDEX(Settings!$B$29:$B$40,MONTH(A5607)),INDEX(Settings!$B$29:$B$40,MONTH(A5607)))))</f>
        <v/>
      </c>
    </row>
    <row r="5608" customFormat="false" ht="15" hidden="false" customHeight="false" outlineLevel="0" collapsed="false">
      <c r="H5608" s="0" t="str">
        <f aca="false">IF(B5608="","",IF(COUNTIF(Campaigns!$A$7:$A$300,B5608)&gt;0,"✓","⚠ add to Campaigns tab"))</f>
        <v/>
      </c>
      <c r="I5608" s="84" t="str">
        <f aca="false">IF(C5608="","",C5608*IF(Settings!$B$22=Settings!$C$6,1,IF(Settings!$B$22="USD",1/INDEX(Settings!$B$29:$B$40,MONTH(A5608)),INDEX(Settings!$B$29:$B$40,MONTH(A5608)))))</f>
        <v/>
      </c>
    </row>
    <row r="5609" customFormat="false" ht="15" hidden="false" customHeight="false" outlineLevel="0" collapsed="false">
      <c r="H5609" s="0" t="str">
        <f aca="false">IF(B5609="","",IF(COUNTIF(Campaigns!$A$7:$A$300,B5609)&gt;0,"✓","⚠ add to Campaigns tab"))</f>
        <v/>
      </c>
      <c r="I5609" s="84" t="str">
        <f aca="false">IF(C5609="","",C5609*IF(Settings!$B$22=Settings!$C$6,1,IF(Settings!$B$22="USD",1/INDEX(Settings!$B$29:$B$40,MONTH(A5609)),INDEX(Settings!$B$29:$B$40,MONTH(A5609)))))</f>
        <v/>
      </c>
    </row>
    <row r="5610" customFormat="false" ht="15" hidden="false" customHeight="false" outlineLevel="0" collapsed="false">
      <c r="H5610" s="0" t="str">
        <f aca="false">IF(B5610="","",IF(COUNTIF(Campaigns!$A$7:$A$300,B5610)&gt;0,"✓","⚠ add to Campaigns tab"))</f>
        <v/>
      </c>
      <c r="I5610" s="84" t="str">
        <f aca="false">IF(C5610="","",C5610*IF(Settings!$B$22=Settings!$C$6,1,IF(Settings!$B$22="USD",1/INDEX(Settings!$B$29:$B$40,MONTH(A5610)),INDEX(Settings!$B$29:$B$40,MONTH(A5610)))))</f>
        <v/>
      </c>
    </row>
    <row r="5611" customFormat="false" ht="15" hidden="false" customHeight="false" outlineLevel="0" collapsed="false">
      <c r="H5611" s="0" t="str">
        <f aca="false">IF(B5611="","",IF(COUNTIF(Campaigns!$A$7:$A$300,B5611)&gt;0,"✓","⚠ add to Campaigns tab"))</f>
        <v/>
      </c>
      <c r="I5611" s="84" t="str">
        <f aca="false">IF(C5611="","",C5611*IF(Settings!$B$22=Settings!$C$6,1,IF(Settings!$B$22="USD",1/INDEX(Settings!$B$29:$B$40,MONTH(A5611)),INDEX(Settings!$B$29:$B$40,MONTH(A5611)))))</f>
        <v/>
      </c>
    </row>
    <row r="5612" customFormat="false" ht="15" hidden="false" customHeight="false" outlineLevel="0" collapsed="false">
      <c r="H5612" s="0" t="str">
        <f aca="false">IF(B5612="","",IF(COUNTIF(Campaigns!$A$7:$A$300,B5612)&gt;0,"✓","⚠ add to Campaigns tab"))</f>
        <v/>
      </c>
      <c r="I5612" s="84" t="str">
        <f aca="false">IF(C5612="","",C5612*IF(Settings!$B$22=Settings!$C$6,1,IF(Settings!$B$22="USD",1/INDEX(Settings!$B$29:$B$40,MONTH(A5612)),INDEX(Settings!$B$29:$B$40,MONTH(A5612)))))</f>
        <v/>
      </c>
    </row>
    <row r="5613" customFormat="false" ht="15" hidden="false" customHeight="false" outlineLevel="0" collapsed="false">
      <c r="H5613" s="0" t="str">
        <f aca="false">IF(B5613="","",IF(COUNTIF(Campaigns!$A$7:$A$300,B5613)&gt;0,"✓","⚠ add to Campaigns tab"))</f>
        <v/>
      </c>
      <c r="I5613" s="84" t="str">
        <f aca="false">IF(C5613="","",C5613*IF(Settings!$B$22=Settings!$C$6,1,IF(Settings!$B$22="USD",1/INDEX(Settings!$B$29:$B$40,MONTH(A5613)),INDEX(Settings!$B$29:$B$40,MONTH(A5613)))))</f>
        <v/>
      </c>
    </row>
    <row r="5614" customFormat="false" ht="15" hidden="false" customHeight="false" outlineLevel="0" collapsed="false">
      <c r="H5614" s="0" t="str">
        <f aca="false">IF(B5614="","",IF(COUNTIF(Campaigns!$A$7:$A$300,B5614)&gt;0,"✓","⚠ add to Campaigns tab"))</f>
        <v/>
      </c>
      <c r="I5614" s="84" t="str">
        <f aca="false">IF(C5614="","",C5614*IF(Settings!$B$22=Settings!$C$6,1,IF(Settings!$B$22="USD",1/INDEX(Settings!$B$29:$B$40,MONTH(A5614)),INDEX(Settings!$B$29:$B$40,MONTH(A5614)))))</f>
        <v/>
      </c>
    </row>
    <row r="5615" customFormat="false" ht="15" hidden="false" customHeight="false" outlineLevel="0" collapsed="false">
      <c r="H5615" s="0" t="str">
        <f aca="false">IF(B5615="","",IF(COUNTIF(Campaigns!$A$7:$A$300,B5615)&gt;0,"✓","⚠ add to Campaigns tab"))</f>
        <v/>
      </c>
      <c r="I5615" s="84" t="str">
        <f aca="false">IF(C5615="","",C5615*IF(Settings!$B$22=Settings!$C$6,1,IF(Settings!$B$22="USD",1/INDEX(Settings!$B$29:$B$40,MONTH(A5615)),INDEX(Settings!$B$29:$B$40,MONTH(A5615)))))</f>
        <v/>
      </c>
    </row>
    <row r="5616" customFormat="false" ht="15" hidden="false" customHeight="false" outlineLevel="0" collapsed="false">
      <c r="H5616" s="0" t="str">
        <f aca="false">IF(B5616="","",IF(COUNTIF(Campaigns!$A$7:$A$300,B5616)&gt;0,"✓","⚠ add to Campaigns tab"))</f>
        <v/>
      </c>
      <c r="I5616" s="84" t="str">
        <f aca="false">IF(C5616="","",C5616*IF(Settings!$B$22=Settings!$C$6,1,IF(Settings!$B$22="USD",1/INDEX(Settings!$B$29:$B$40,MONTH(A5616)),INDEX(Settings!$B$29:$B$40,MONTH(A5616)))))</f>
        <v/>
      </c>
    </row>
    <row r="5617" customFormat="false" ht="15" hidden="false" customHeight="false" outlineLevel="0" collapsed="false">
      <c r="H5617" s="0" t="str">
        <f aca="false">IF(B5617="","",IF(COUNTIF(Campaigns!$A$7:$A$300,B5617)&gt;0,"✓","⚠ add to Campaigns tab"))</f>
        <v/>
      </c>
      <c r="I5617" s="84" t="str">
        <f aca="false">IF(C5617="","",C5617*IF(Settings!$B$22=Settings!$C$6,1,IF(Settings!$B$22="USD",1/INDEX(Settings!$B$29:$B$40,MONTH(A5617)),INDEX(Settings!$B$29:$B$40,MONTH(A5617)))))</f>
        <v/>
      </c>
    </row>
    <row r="5618" customFormat="false" ht="15" hidden="false" customHeight="false" outlineLevel="0" collapsed="false">
      <c r="H5618" s="0" t="str">
        <f aca="false">IF(B5618="","",IF(COUNTIF(Campaigns!$A$7:$A$300,B5618)&gt;0,"✓","⚠ add to Campaigns tab"))</f>
        <v/>
      </c>
      <c r="I5618" s="84" t="str">
        <f aca="false">IF(C5618="","",C5618*IF(Settings!$B$22=Settings!$C$6,1,IF(Settings!$B$22="USD",1/INDEX(Settings!$B$29:$B$40,MONTH(A5618)),INDEX(Settings!$B$29:$B$40,MONTH(A5618)))))</f>
        <v/>
      </c>
    </row>
    <row r="5619" customFormat="false" ht="15" hidden="false" customHeight="false" outlineLevel="0" collapsed="false">
      <c r="H5619" s="0" t="str">
        <f aca="false">IF(B5619="","",IF(COUNTIF(Campaigns!$A$7:$A$300,B5619)&gt;0,"✓","⚠ add to Campaigns tab"))</f>
        <v/>
      </c>
      <c r="I5619" s="84" t="str">
        <f aca="false">IF(C5619="","",C5619*IF(Settings!$B$22=Settings!$C$6,1,IF(Settings!$B$22="USD",1/INDEX(Settings!$B$29:$B$40,MONTH(A5619)),INDEX(Settings!$B$29:$B$40,MONTH(A5619)))))</f>
        <v/>
      </c>
    </row>
    <row r="5620" customFormat="false" ht="15" hidden="false" customHeight="false" outlineLevel="0" collapsed="false">
      <c r="H5620" s="0" t="str">
        <f aca="false">IF(B5620="","",IF(COUNTIF(Campaigns!$A$7:$A$300,B5620)&gt;0,"✓","⚠ add to Campaigns tab"))</f>
        <v/>
      </c>
      <c r="I5620" s="84" t="str">
        <f aca="false">IF(C5620="","",C5620*IF(Settings!$B$22=Settings!$C$6,1,IF(Settings!$B$22="USD",1/INDEX(Settings!$B$29:$B$40,MONTH(A5620)),INDEX(Settings!$B$29:$B$40,MONTH(A5620)))))</f>
        <v/>
      </c>
    </row>
    <row r="5621" customFormat="false" ht="15" hidden="false" customHeight="false" outlineLevel="0" collapsed="false">
      <c r="H5621" s="0" t="str">
        <f aca="false">IF(B5621="","",IF(COUNTIF(Campaigns!$A$7:$A$300,B5621)&gt;0,"✓","⚠ add to Campaigns tab"))</f>
        <v/>
      </c>
      <c r="I5621" s="84" t="str">
        <f aca="false">IF(C5621="","",C5621*IF(Settings!$B$22=Settings!$C$6,1,IF(Settings!$B$22="USD",1/INDEX(Settings!$B$29:$B$40,MONTH(A5621)),INDEX(Settings!$B$29:$B$40,MONTH(A5621)))))</f>
        <v/>
      </c>
    </row>
    <row r="5622" customFormat="false" ht="15" hidden="false" customHeight="false" outlineLevel="0" collapsed="false">
      <c r="H5622" s="0" t="str">
        <f aca="false">IF(B5622="","",IF(COUNTIF(Campaigns!$A$7:$A$300,B5622)&gt;0,"✓","⚠ add to Campaigns tab"))</f>
        <v/>
      </c>
      <c r="I5622" s="84" t="str">
        <f aca="false">IF(C5622="","",C5622*IF(Settings!$B$22=Settings!$C$6,1,IF(Settings!$B$22="USD",1/INDEX(Settings!$B$29:$B$40,MONTH(A5622)),INDEX(Settings!$B$29:$B$40,MONTH(A5622)))))</f>
        <v/>
      </c>
    </row>
    <row r="5623" customFormat="false" ht="15" hidden="false" customHeight="false" outlineLevel="0" collapsed="false">
      <c r="H5623" s="0" t="str">
        <f aca="false">IF(B5623="","",IF(COUNTIF(Campaigns!$A$7:$A$300,B5623)&gt;0,"✓","⚠ add to Campaigns tab"))</f>
        <v/>
      </c>
      <c r="I5623" s="84" t="str">
        <f aca="false">IF(C5623="","",C5623*IF(Settings!$B$22=Settings!$C$6,1,IF(Settings!$B$22="USD",1/INDEX(Settings!$B$29:$B$40,MONTH(A5623)),INDEX(Settings!$B$29:$B$40,MONTH(A5623)))))</f>
        <v/>
      </c>
    </row>
    <row r="5624" customFormat="false" ht="15" hidden="false" customHeight="false" outlineLevel="0" collapsed="false">
      <c r="H5624" s="0" t="str">
        <f aca="false">IF(B5624="","",IF(COUNTIF(Campaigns!$A$7:$A$300,B5624)&gt;0,"✓","⚠ add to Campaigns tab"))</f>
        <v/>
      </c>
      <c r="I5624" s="84" t="str">
        <f aca="false">IF(C5624="","",C5624*IF(Settings!$B$22=Settings!$C$6,1,IF(Settings!$B$22="USD",1/INDEX(Settings!$B$29:$B$40,MONTH(A5624)),INDEX(Settings!$B$29:$B$40,MONTH(A5624)))))</f>
        <v/>
      </c>
    </row>
    <row r="5625" customFormat="false" ht="15" hidden="false" customHeight="false" outlineLevel="0" collapsed="false">
      <c r="H5625" s="0" t="str">
        <f aca="false">IF(B5625="","",IF(COUNTIF(Campaigns!$A$7:$A$300,B5625)&gt;0,"✓","⚠ add to Campaigns tab"))</f>
        <v/>
      </c>
      <c r="I5625" s="84" t="str">
        <f aca="false">IF(C5625="","",C5625*IF(Settings!$B$22=Settings!$C$6,1,IF(Settings!$B$22="USD",1/INDEX(Settings!$B$29:$B$40,MONTH(A5625)),INDEX(Settings!$B$29:$B$40,MONTH(A5625)))))</f>
        <v/>
      </c>
    </row>
    <row r="5626" customFormat="false" ht="15" hidden="false" customHeight="false" outlineLevel="0" collapsed="false">
      <c r="H5626" s="0" t="str">
        <f aca="false">IF(B5626="","",IF(COUNTIF(Campaigns!$A$7:$A$300,B5626)&gt;0,"✓","⚠ add to Campaigns tab"))</f>
        <v/>
      </c>
      <c r="I5626" s="84" t="str">
        <f aca="false">IF(C5626="","",C5626*IF(Settings!$B$22=Settings!$C$6,1,IF(Settings!$B$22="USD",1/INDEX(Settings!$B$29:$B$40,MONTH(A5626)),INDEX(Settings!$B$29:$B$40,MONTH(A5626)))))</f>
        <v/>
      </c>
    </row>
    <row r="5627" customFormat="false" ht="15" hidden="false" customHeight="false" outlineLevel="0" collapsed="false">
      <c r="H5627" s="0" t="str">
        <f aca="false">IF(B5627="","",IF(COUNTIF(Campaigns!$A$7:$A$300,B5627)&gt;0,"✓","⚠ add to Campaigns tab"))</f>
        <v/>
      </c>
      <c r="I5627" s="84" t="str">
        <f aca="false">IF(C5627="","",C5627*IF(Settings!$B$22=Settings!$C$6,1,IF(Settings!$B$22="USD",1/INDEX(Settings!$B$29:$B$40,MONTH(A5627)),INDEX(Settings!$B$29:$B$40,MONTH(A5627)))))</f>
        <v/>
      </c>
    </row>
    <row r="5628" customFormat="false" ht="15" hidden="false" customHeight="false" outlineLevel="0" collapsed="false">
      <c r="H5628" s="0" t="str">
        <f aca="false">IF(B5628="","",IF(COUNTIF(Campaigns!$A$7:$A$300,B5628)&gt;0,"✓","⚠ add to Campaigns tab"))</f>
        <v/>
      </c>
      <c r="I5628" s="84" t="str">
        <f aca="false">IF(C5628="","",C5628*IF(Settings!$B$22=Settings!$C$6,1,IF(Settings!$B$22="USD",1/INDEX(Settings!$B$29:$B$40,MONTH(A5628)),INDEX(Settings!$B$29:$B$40,MONTH(A5628)))))</f>
        <v/>
      </c>
    </row>
    <row r="5629" customFormat="false" ht="15" hidden="false" customHeight="false" outlineLevel="0" collapsed="false">
      <c r="H5629" s="0" t="str">
        <f aca="false">IF(B5629="","",IF(COUNTIF(Campaigns!$A$7:$A$300,B5629)&gt;0,"✓","⚠ add to Campaigns tab"))</f>
        <v/>
      </c>
      <c r="I5629" s="84" t="str">
        <f aca="false">IF(C5629="","",C5629*IF(Settings!$B$22=Settings!$C$6,1,IF(Settings!$B$22="USD",1/INDEX(Settings!$B$29:$B$40,MONTH(A5629)),INDEX(Settings!$B$29:$B$40,MONTH(A5629)))))</f>
        <v/>
      </c>
    </row>
    <row r="5630" customFormat="false" ht="15" hidden="false" customHeight="false" outlineLevel="0" collapsed="false">
      <c r="H5630" s="0" t="str">
        <f aca="false">IF(B5630="","",IF(COUNTIF(Campaigns!$A$7:$A$300,B5630)&gt;0,"✓","⚠ add to Campaigns tab"))</f>
        <v/>
      </c>
      <c r="I5630" s="84" t="str">
        <f aca="false">IF(C5630="","",C5630*IF(Settings!$B$22=Settings!$C$6,1,IF(Settings!$B$22="USD",1/INDEX(Settings!$B$29:$B$40,MONTH(A5630)),INDEX(Settings!$B$29:$B$40,MONTH(A5630)))))</f>
        <v/>
      </c>
    </row>
    <row r="5631" customFormat="false" ht="15" hidden="false" customHeight="false" outlineLevel="0" collapsed="false">
      <c r="H5631" s="0" t="str">
        <f aca="false">IF(B5631="","",IF(COUNTIF(Campaigns!$A$7:$A$300,B5631)&gt;0,"✓","⚠ add to Campaigns tab"))</f>
        <v/>
      </c>
      <c r="I5631" s="84" t="str">
        <f aca="false">IF(C5631="","",C5631*IF(Settings!$B$22=Settings!$C$6,1,IF(Settings!$B$22="USD",1/INDEX(Settings!$B$29:$B$40,MONTH(A5631)),INDEX(Settings!$B$29:$B$40,MONTH(A5631)))))</f>
        <v/>
      </c>
    </row>
    <row r="5632" customFormat="false" ht="15" hidden="false" customHeight="false" outlineLevel="0" collapsed="false">
      <c r="H5632" s="0" t="str">
        <f aca="false">IF(B5632="","",IF(COUNTIF(Campaigns!$A$7:$A$300,B5632)&gt;0,"✓","⚠ add to Campaigns tab"))</f>
        <v/>
      </c>
      <c r="I5632" s="84" t="str">
        <f aca="false">IF(C5632="","",C5632*IF(Settings!$B$22=Settings!$C$6,1,IF(Settings!$B$22="USD",1/INDEX(Settings!$B$29:$B$40,MONTH(A5632)),INDEX(Settings!$B$29:$B$40,MONTH(A5632)))))</f>
        <v/>
      </c>
    </row>
    <row r="5633" customFormat="false" ht="15" hidden="false" customHeight="false" outlineLevel="0" collapsed="false">
      <c r="H5633" s="0" t="str">
        <f aca="false">IF(B5633="","",IF(COUNTIF(Campaigns!$A$7:$A$300,B5633)&gt;0,"✓","⚠ add to Campaigns tab"))</f>
        <v/>
      </c>
      <c r="I5633" s="84" t="str">
        <f aca="false">IF(C5633="","",C5633*IF(Settings!$B$22=Settings!$C$6,1,IF(Settings!$B$22="USD",1/INDEX(Settings!$B$29:$B$40,MONTH(A5633)),INDEX(Settings!$B$29:$B$40,MONTH(A5633)))))</f>
        <v/>
      </c>
    </row>
    <row r="5634" customFormat="false" ht="15" hidden="false" customHeight="false" outlineLevel="0" collapsed="false">
      <c r="H5634" s="0" t="str">
        <f aca="false">IF(B5634="","",IF(COUNTIF(Campaigns!$A$7:$A$300,B5634)&gt;0,"✓","⚠ add to Campaigns tab"))</f>
        <v/>
      </c>
      <c r="I5634" s="84" t="str">
        <f aca="false">IF(C5634="","",C5634*IF(Settings!$B$22=Settings!$C$6,1,IF(Settings!$B$22="USD",1/INDEX(Settings!$B$29:$B$40,MONTH(A5634)),INDEX(Settings!$B$29:$B$40,MONTH(A5634)))))</f>
        <v/>
      </c>
    </row>
    <row r="5635" customFormat="false" ht="15" hidden="false" customHeight="false" outlineLevel="0" collapsed="false">
      <c r="H5635" s="0" t="str">
        <f aca="false">IF(B5635="","",IF(COUNTIF(Campaigns!$A$7:$A$300,B5635)&gt;0,"✓","⚠ add to Campaigns tab"))</f>
        <v/>
      </c>
      <c r="I5635" s="84" t="str">
        <f aca="false">IF(C5635="","",C5635*IF(Settings!$B$22=Settings!$C$6,1,IF(Settings!$B$22="USD",1/INDEX(Settings!$B$29:$B$40,MONTH(A5635)),INDEX(Settings!$B$29:$B$40,MONTH(A5635)))))</f>
        <v/>
      </c>
    </row>
    <row r="5636" customFormat="false" ht="15" hidden="false" customHeight="false" outlineLevel="0" collapsed="false">
      <c r="H5636" s="0" t="str">
        <f aca="false">IF(B5636="","",IF(COUNTIF(Campaigns!$A$7:$A$300,B5636)&gt;0,"✓","⚠ add to Campaigns tab"))</f>
        <v/>
      </c>
      <c r="I5636" s="84" t="str">
        <f aca="false">IF(C5636="","",C5636*IF(Settings!$B$22=Settings!$C$6,1,IF(Settings!$B$22="USD",1/INDEX(Settings!$B$29:$B$40,MONTH(A5636)),INDEX(Settings!$B$29:$B$40,MONTH(A5636)))))</f>
        <v/>
      </c>
    </row>
    <row r="5637" customFormat="false" ht="15" hidden="false" customHeight="false" outlineLevel="0" collapsed="false">
      <c r="H5637" s="0" t="str">
        <f aca="false">IF(B5637="","",IF(COUNTIF(Campaigns!$A$7:$A$300,B5637)&gt;0,"✓","⚠ add to Campaigns tab"))</f>
        <v/>
      </c>
      <c r="I5637" s="84" t="str">
        <f aca="false">IF(C5637="","",C5637*IF(Settings!$B$22=Settings!$C$6,1,IF(Settings!$B$22="USD",1/INDEX(Settings!$B$29:$B$40,MONTH(A5637)),INDEX(Settings!$B$29:$B$40,MONTH(A5637)))))</f>
        <v/>
      </c>
    </row>
    <row r="5638" customFormat="false" ht="15" hidden="false" customHeight="false" outlineLevel="0" collapsed="false">
      <c r="H5638" s="0" t="str">
        <f aca="false">IF(B5638="","",IF(COUNTIF(Campaigns!$A$7:$A$300,B5638)&gt;0,"✓","⚠ add to Campaigns tab"))</f>
        <v/>
      </c>
      <c r="I5638" s="84" t="str">
        <f aca="false">IF(C5638="","",C5638*IF(Settings!$B$22=Settings!$C$6,1,IF(Settings!$B$22="USD",1/INDEX(Settings!$B$29:$B$40,MONTH(A5638)),INDEX(Settings!$B$29:$B$40,MONTH(A5638)))))</f>
        <v/>
      </c>
    </row>
    <row r="5639" customFormat="false" ht="15" hidden="false" customHeight="false" outlineLevel="0" collapsed="false">
      <c r="H5639" s="0" t="str">
        <f aca="false">IF(B5639="","",IF(COUNTIF(Campaigns!$A$7:$A$300,B5639)&gt;0,"✓","⚠ add to Campaigns tab"))</f>
        <v/>
      </c>
      <c r="I5639" s="84" t="str">
        <f aca="false">IF(C5639="","",C5639*IF(Settings!$B$22=Settings!$C$6,1,IF(Settings!$B$22="USD",1/INDEX(Settings!$B$29:$B$40,MONTH(A5639)),INDEX(Settings!$B$29:$B$40,MONTH(A5639)))))</f>
        <v/>
      </c>
    </row>
    <row r="5640" customFormat="false" ht="15" hidden="false" customHeight="false" outlineLevel="0" collapsed="false">
      <c r="H5640" s="0" t="str">
        <f aca="false">IF(B5640="","",IF(COUNTIF(Campaigns!$A$7:$A$300,B5640)&gt;0,"✓","⚠ add to Campaigns tab"))</f>
        <v/>
      </c>
      <c r="I5640" s="84" t="str">
        <f aca="false">IF(C5640="","",C5640*IF(Settings!$B$22=Settings!$C$6,1,IF(Settings!$B$22="USD",1/INDEX(Settings!$B$29:$B$40,MONTH(A5640)),INDEX(Settings!$B$29:$B$40,MONTH(A5640)))))</f>
        <v/>
      </c>
    </row>
    <row r="5641" customFormat="false" ht="15" hidden="false" customHeight="false" outlineLevel="0" collapsed="false">
      <c r="H5641" s="0" t="str">
        <f aca="false">IF(B5641="","",IF(COUNTIF(Campaigns!$A$7:$A$300,B5641)&gt;0,"✓","⚠ add to Campaigns tab"))</f>
        <v/>
      </c>
      <c r="I5641" s="84" t="str">
        <f aca="false">IF(C5641="","",C5641*IF(Settings!$B$22=Settings!$C$6,1,IF(Settings!$B$22="USD",1/INDEX(Settings!$B$29:$B$40,MONTH(A5641)),INDEX(Settings!$B$29:$B$40,MONTH(A5641)))))</f>
        <v/>
      </c>
    </row>
    <row r="5642" customFormat="false" ht="15" hidden="false" customHeight="false" outlineLevel="0" collapsed="false">
      <c r="H5642" s="0" t="str">
        <f aca="false">IF(B5642="","",IF(COUNTIF(Campaigns!$A$7:$A$300,B5642)&gt;0,"✓","⚠ add to Campaigns tab"))</f>
        <v/>
      </c>
      <c r="I5642" s="84" t="str">
        <f aca="false">IF(C5642="","",C5642*IF(Settings!$B$22=Settings!$C$6,1,IF(Settings!$B$22="USD",1/INDEX(Settings!$B$29:$B$40,MONTH(A5642)),INDEX(Settings!$B$29:$B$40,MONTH(A5642)))))</f>
        <v/>
      </c>
    </row>
    <row r="5643" customFormat="false" ht="15" hidden="false" customHeight="false" outlineLevel="0" collapsed="false">
      <c r="H5643" s="0" t="str">
        <f aca="false">IF(B5643="","",IF(COUNTIF(Campaigns!$A$7:$A$300,B5643)&gt;0,"✓","⚠ add to Campaigns tab"))</f>
        <v/>
      </c>
      <c r="I5643" s="84" t="str">
        <f aca="false">IF(C5643="","",C5643*IF(Settings!$B$22=Settings!$C$6,1,IF(Settings!$B$22="USD",1/INDEX(Settings!$B$29:$B$40,MONTH(A5643)),INDEX(Settings!$B$29:$B$40,MONTH(A5643)))))</f>
        <v/>
      </c>
    </row>
    <row r="5644" customFormat="false" ht="15" hidden="false" customHeight="false" outlineLevel="0" collapsed="false">
      <c r="H5644" s="0" t="str">
        <f aca="false">IF(B5644="","",IF(COUNTIF(Campaigns!$A$7:$A$300,B5644)&gt;0,"✓","⚠ add to Campaigns tab"))</f>
        <v/>
      </c>
      <c r="I5644" s="84" t="str">
        <f aca="false">IF(C5644="","",C5644*IF(Settings!$B$22=Settings!$C$6,1,IF(Settings!$B$22="USD",1/INDEX(Settings!$B$29:$B$40,MONTH(A5644)),INDEX(Settings!$B$29:$B$40,MONTH(A5644)))))</f>
        <v/>
      </c>
    </row>
    <row r="5645" customFormat="false" ht="15" hidden="false" customHeight="false" outlineLevel="0" collapsed="false">
      <c r="H5645" s="0" t="str">
        <f aca="false">IF(B5645="","",IF(COUNTIF(Campaigns!$A$7:$A$300,B5645)&gt;0,"✓","⚠ add to Campaigns tab"))</f>
        <v/>
      </c>
      <c r="I5645" s="84" t="str">
        <f aca="false">IF(C5645="","",C5645*IF(Settings!$B$22=Settings!$C$6,1,IF(Settings!$B$22="USD",1/INDEX(Settings!$B$29:$B$40,MONTH(A5645)),INDEX(Settings!$B$29:$B$40,MONTH(A5645)))))</f>
        <v/>
      </c>
    </row>
    <row r="5646" customFormat="false" ht="15" hidden="false" customHeight="false" outlineLevel="0" collapsed="false">
      <c r="H5646" s="0" t="str">
        <f aca="false">IF(B5646="","",IF(COUNTIF(Campaigns!$A$7:$A$300,B5646)&gt;0,"✓","⚠ add to Campaigns tab"))</f>
        <v/>
      </c>
      <c r="I5646" s="84" t="str">
        <f aca="false">IF(C5646="","",C5646*IF(Settings!$B$22=Settings!$C$6,1,IF(Settings!$B$22="USD",1/INDEX(Settings!$B$29:$B$40,MONTH(A5646)),INDEX(Settings!$B$29:$B$40,MONTH(A5646)))))</f>
        <v/>
      </c>
    </row>
    <row r="5647" customFormat="false" ht="15" hidden="false" customHeight="false" outlineLevel="0" collapsed="false">
      <c r="H5647" s="0" t="str">
        <f aca="false">IF(B5647="","",IF(COUNTIF(Campaigns!$A$7:$A$300,B5647)&gt;0,"✓","⚠ add to Campaigns tab"))</f>
        <v/>
      </c>
      <c r="I5647" s="84" t="str">
        <f aca="false">IF(C5647="","",C5647*IF(Settings!$B$22=Settings!$C$6,1,IF(Settings!$B$22="USD",1/INDEX(Settings!$B$29:$B$40,MONTH(A5647)),INDEX(Settings!$B$29:$B$40,MONTH(A5647)))))</f>
        <v/>
      </c>
    </row>
    <row r="5648" customFormat="false" ht="15" hidden="false" customHeight="false" outlineLevel="0" collapsed="false">
      <c r="H5648" s="0" t="str">
        <f aca="false">IF(B5648="","",IF(COUNTIF(Campaigns!$A$7:$A$300,B5648)&gt;0,"✓","⚠ add to Campaigns tab"))</f>
        <v/>
      </c>
      <c r="I5648" s="84" t="str">
        <f aca="false">IF(C5648="","",C5648*IF(Settings!$B$22=Settings!$C$6,1,IF(Settings!$B$22="USD",1/INDEX(Settings!$B$29:$B$40,MONTH(A5648)),INDEX(Settings!$B$29:$B$40,MONTH(A5648)))))</f>
        <v/>
      </c>
    </row>
    <row r="5649" customFormat="false" ht="15" hidden="false" customHeight="false" outlineLevel="0" collapsed="false">
      <c r="H5649" s="0" t="str">
        <f aca="false">IF(B5649="","",IF(COUNTIF(Campaigns!$A$7:$A$300,B5649)&gt;0,"✓","⚠ add to Campaigns tab"))</f>
        <v/>
      </c>
      <c r="I5649" s="84" t="str">
        <f aca="false">IF(C5649="","",C5649*IF(Settings!$B$22=Settings!$C$6,1,IF(Settings!$B$22="USD",1/INDEX(Settings!$B$29:$B$40,MONTH(A5649)),INDEX(Settings!$B$29:$B$40,MONTH(A5649)))))</f>
        <v/>
      </c>
    </row>
    <row r="5650" customFormat="false" ht="15" hidden="false" customHeight="false" outlineLevel="0" collapsed="false">
      <c r="H5650" s="0" t="str">
        <f aca="false">IF(B5650="","",IF(COUNTIF(Campaigns!$A$7:$A$300,B5650)&gt;0,"✓","⚠ add to Campaigns tab"))</f>
        <v/>
      </c>
      <c r="I5650" s="84" t="str">
        <f aca="false">IF(C5650="","",C5650*IF(Settings!$B$22=Settings!$C$6,1,IF(Settings!$B$22="USD",1/INDEX(Settings!$B$29:$B$40,MONTH(A5650)),INDEX(Settings!$B$29:$B$40,MONTH(A5650)))))</f>
        <v/>
      </c>
    </row>
    <row r="5651" customFormat="false" ht="15" hidden="false" customHeight="false" outlineLevel="0" collapsed="false">
      <c r="H5651" s="0" t="str">
        <f aca="false">IF(B5651="","",IF(COUNTIF(Campaigns!$A$7:$A$300,B5651)&gt;0,"✓","⚠ add to Campaigns tab"))</f>
        <v/>
      </c>
      <c r="I5651" s="84" t="str">
        <f aca="false">IF(C5651="","",C5651*IF(Settings!$B$22=Settings!$C$6,1,IF(Settings!$B$22="USD",1/INDEX(Settings!$B$29:$B$40,MONTH(A5651)),INDEX(Settings!$B$29:$B$40,MONTH(A5651)))))</f>
        <v/>
      </c>
    </row>
    <row r="5652" customFormat="false" ht="15" hidden="false" customHeight="false" outlineLevel="0" collapsed="false">
      <c r="H5652" s="0" t="str">
        <f aca="false">IF(B5652="","",IF(COUNTIF(Campaigns!$A$7:$A$300,B5652)&gt;0,"✓","⚠ add to Campaigns tab"))</f>
        <v/>
      </c>
      <c r="I5652" s="84" t="str">
        <f aca="false">IF(C5652="","",C5652*IF(Settings!$B$22=Settings!$C$6,1,IF(Settings!$B$22="USD",1/INDEX(Settings!$B$29:$B$40,MONTH(A5652)),INDEX(Settings!$B$29:$B$40,MONTH(A5652)))))</f>
        <v/>
      </c>
    </row>
    <row r="5653" customFormat="false" ht="15" hidden="false" customHeight="false" outlineLevel="0" collapsed="false">
      <c r="H5653" s="0" t="str">
        <f aca="false">IF(B5653="","",IF(COUNTIF(Campaigns!$A$7:$A$300,B5653)&gt;0,"✓","⚠ add to Campaigns tab"))</f>
        <v/>
      </c>
      <c r="I5653" s="84" t="str">
        <f aca="false">IF(C5653="","",C5653*IF(Settings!$B$22=Settings!$C$6,1,IF(Settings!$B$22="USD",1/INDEX(Settings!$B$29:$B$40,MONTH(A5653)),INDEX(Settings!$B$29:$B$40,MONTH(A5653)))))</f>
        <v/>
      </c>
    </row>
    <row r="5654" customFormat="false" ht="15" hidden="false" customHeight="false" outlineLevel="0" collapsed="false">
      <c r="H5654" s="0" t="str">
        <f aca="false">IF(B5654="","",IF(COUNTIF(Campaigns!$A$7:$A$300,B5654)&gt;0,"✓","⚠ add to Campaigns tab"))</f>
        <v/>
      </c>
      <c r="I5654" s="84" t="str">
        <f aca="false">IF(C5654="","",C5654*IF(Settings!$B$22=Settings!$C$6,1,IF(Settings!$B$22="USD",1/INDEX(Settings!$B$29:$B$40,MONTH(A5654)),INDEX(Settings!$B$29:$B$40,MONTH(A5654)))))</f>
        <v/>
      </c>
    </row>
    <row r="5655" customFormat="false" ht="15" hidden="false" customHeight="false" outlineLevel="0" collapsed="false">
      <c r="H5655" s="0" t="str">
        <f aca="false">IF(B5655="","",IF(COUNTIF(Campaigns!$A$7:$A$300,B5655)&gt;0,"✓","⚠ add to Campaigns tab"))</f>
        <v/>
      </c>
      <c r="I5655" s="84" t="str">
        <f aca="false">IF(C5655="","",C5655*IF(Settings!$B$22=Settings!$C$6,1,IF(Settings!$B$22="USD",1/INDEX(Settings!$B$29:$B$40,MONTH(A5655)),INDEX(Settings!$B$29:$B$40,MONTH(A5655)))))</f>
        <v/>
      </c>
    </row>
    <row r="5656" customFormat="false" ht="15" hidden="false" customHeight="false" outlineLevel="0" collapsed="false">
      <c r="H5656" s="0" t="str">
        <f aca="false">IF(B5656="","",IF(COUNTIF(Campaigns!$A$7:$A$300,B5656)&gt;0,"✓","⚠ add to Campaigns tab"))</f>
        <v/>
      </c>
      <c r="I5656" s="84" t="str">
        <f aca="false">IF(C5656="","",C5656*IF(Settings!$B$22=Settings!$C$6,1,IF(Settings!$B$22="USD",1/INDEX(Settings!$B$29:$B$40,MONTH(A5656)),INDEX(Settings!$B$29:$B$40,MONTH(A5656)))))</f>
        <v/>
      </c>
    </row>
    <row r="5657" customFormat="false" ht="15" hidden="false" customHeight="false" outlineLevel="0" collapsed="false">
      <c r="H5657" s="0" t="str">
        <f aca="false">IF(B5657="","",IF(COUNTIF(Campaigns!$A$7:$A$300,B5657)&gt;0,"✓","⚠ add to Campaigns tab"))</f>
        <v/>
      </c>
      <c r="I5657" s="84" t="str">
        <f aca="false">IF(C5657="","",C5657*IF(Settings!$B$22=Settings!$C$6,1,IF(Settings!$B$22="USD",1/INDEX(Settings!$B$29:$B$40,MONTH(A5657)),INDEX(Settings!$B$29:$B$40,MONTH(A5657)))))</f>
        <v/>
      </c>
    </row>
    <row r="5658" customFormat="false" ht="15" hidden="false" customHeight="false" outlineLevel="0" collapsed="false">
      <c r="H5658" s="0" t="str">
        <f aca="false">IF(B5658="","",IF(COUNTIF(Campaigns!$A$7:$A$300,B5658)&gt;0,"✓","⚠ add to Campaigns tab"))</f>
        <v/>
      </c>
      <c r="I5658" s="84" t="str">
        <f aca="false">IF(C5658="","",C5658*IF(Settings!$B$22=Settings!$C$6,1,IF(Settings!$B$22="USD",1/INDEX(Settings!$B$29:$B$40,MONTH(A5658)),INDEX(Settings!$B$29:$B$40,MONTH(A5658)))))</f>
        <v/>
      </c>
    </row>
    <row r="5659" customFormat="false" ht="15" hidden="false" customHeight="false" outlineLevel="0" collapsed="false">
      <c r="H5659" s="0" t="str">
        <f aca="false">IF(B5659="","",IF(COUNTIF(Campaigns!$A$7:$A$300,B5659)&gt;0,"✓","⚠ add to Campaigns tab"))</f>
        <v/>
      </c>
      <c r="I5659" s="84" t="str">
        <f aca="false">IF(C5659="","",C5659*IF(Settings!$B$22=Settings!$C$6,1,IF(Settings!$B$22="USD",1/INDEX(Settings!$B$29:$B$40,MONTH(A5659)),INDEX(Settings!$B$29:$B$40,MONTH(A5659)))))</f>
        <v/>
      </c>
    </row>
    <row r="5660" customFormat="false" ht="15" hidden="false" customHeight="false" outlineLevel="0" collapsed="false">
      <c r="H5660" s="0" t="str">
        <f aca="false">IF(B5660="","",IF(COUNTIF(Campaigns!$A$7:$A$300,B5660)&gt;0,"✓","⚠ add to Campaigns tab"))</f>
        <v/>
      </c>
      <c r="I5660" s="84" t="str">
        <f aca="false">IF(C5660="","",C5660*IF(Settings!$B$22=Settings!$C$6,1,IF(Settings!$B$22="USD",1/INDEX(Settings!$B$29:$B$40,MONTH(A5660)),INDEX(Settings!$B$29:$B$40,MONTH(A5660)))))</f>
        <v/>
      </c>
    </row>
    <row r="5661" customFormat="false" ht="15" hidden="false" customHeight="false" outlineLevel="0" collapsed="false">
      <c r="H5661" s="0" t="str">
        <f aca="false">IF(B5661="","",IF(COUNTIF(Campaigns!$A$7:$A$300,B5661)&gt;0,"✓","⚠ add to Campaigns tab"))</f>
        <v/>
      </c>
      <c r="I5661" s="84" t="str">
        <f aca="false">IF(C5661="","",C5661*IF(Settings!$B$22=Settings!$C$6,1,IF(Settings!$B$22="USD",1/INDEX(Settings!$B$29:$B$40,MONTH(A5661)),INDEX(Settings!$B$29:$B$40,MONTH(A5661)))))</f>
        <v/>
      </c>
    </row>
    <row r="5662" customFormat="false" ht="15" hidden="false" customHeight="false" outlineLevel="0" collapsed="false">
      <c r="H5662" s="0" t="str">
        <f aca="false">IF(B5662="","",IF(COUNTIF(Campaigns!$A$7:$A$300,B5662)&gt;0,"✓","⚠ add to Campaigns tab"))</f>
        <v/>
      </c>
      <c r="I5662" s="84" t="str">
        <f aca="false">IF(C5662="","",C5662*IF(Settings!$B$22=Settings!$C$6,1,IF(Settings!$B$22="USD",1/INDEX(Settings!$B$29:$B$40,MONTH(A5662)),INDEX(Settings!$B$29:$B$40,MONTH(A5662)))))</f>
        <v/>
      </c>
    </row>
    <row r="5663" customFormat="false" ht="15" hidden="false" customHeight="false" outlineLevel="0" collapsed="false">
      <c r="H5663" s="0" t="str">
        <f aca="false">IF(B5663="","",IF(COUNTIF(Campaigns!$A$7:$A$300,B5663)&gt;0,"✓","⚠ add to Campaigns tab"))</f>
        <v/>
      </c>
      <c r="I5663" s="84" t="str">
        <f aca="false">IF(C5663="","",C5663*IF(Settings!$B$22=Settings!$C$6,1,IF(Settings!$B$22="USD",1/INDEX(Settings!$B$29:$B$40,MONTH(A5663)),INDEX(Settings!$B$29:$B$40,MONTH(A5663)))))</f>
        <v/>
      </c>
    </row>
    <row r="5664" customFormat="false" ht="15" hidden="false" customHeight="false" outlineLevel="0" collapsed="false">
      <c r="H5664" s="0" t="str">
        <f aca="false">IF(B5664="","",IF(COUNTIF(Campaigns!$A$7:$A$300,B5664)&gt;0,"✓","⚠ add to Campaigns tab"))</f>
        <v/>
      </c>
      <c r="I5664" s="84" t="str">
        <f aca="false">IF(C5664="","",C5664*IF(Settings!$B$22=Settings!$C$6,1,IF(Settings!$B$22="USD",1/INDEX(Settings!$B$29:$B$40,MONTH(A5664)),INDEX(Settings!$B$29:$B$40,MONTH(A5664)))))</f>
        <v/>
      </c>
    </row>
    <row r="5665" customFormat="false" ht="15" hidden="false" customHeight="false" outlineLevel="0" collapsed="false">
      <c r="H5665" s="0" t="str">
        <f aca="false">IF(B5665="","",IF(COUNTIF(Campaigns!$A$7:$A$300,B5665)&gt;0,"✓","⚠ add to Campaigns tab"))</f>
        <v/>
      </c>
      <c r="I5665" s="84" t="str">
        <f aca="false">IF(C5665="","",C5665*IF(Settings!$B$22=Settings!$C$6,1,IF(Settings!$B$22="USD",1/INDEX(Settings!$B$29:$B$40,MONTH(A5665)),INDEX(Settings!$B$29:$B$40,MONTH(A5665)))))</f>
        <v/>
      </c>
    </row>
    <row r="5666" customFormat="false" ht="15" hidden="false" customHeight="false" outlineLevel="0" collapsed="false">
      <c r="H5666" s="0" t="str">
        <f aca="false">IF(B5666="","",IF(COUNTIF(Campaigns!$A$7:$A$300,B5666)&gt;0,"✓","⚠ add to Campaigns tab"))</f>
        <v/>
      </c>
      <c r="I5666" s="84" t="str">
        <f aca="false">IF(C5666="","",C5666*IF(Settings!$B$22=Settings!$C$6,1,IF(Settings!$B$22="USD",1/INDEX(Settings!$B$29:$B$40,MONTH(A5666)),INDEX(Settings!$B$29:$B$40,MONTH(A5666)))))</f>
        <v/>
      </c>
    </row>
    <row r="5667" customFormat="false" ht="15" hidden="false" customHeight="false" outlineLevel="0" collapsed="false">
      <c r="H5667" s="0" t="str">
        <f aca="false">IF(B5667="","",IF(COUNTIF(Campaigns!$A$7:$A$300,B5667)&gt;0,"✓","⚠ add to Campaigns tab"))</f>
        <v/>
      </c>
      <c r="I5667" s="84" t="str">
        <f aca="false">IF(C5667="","",C5667*IF(Settings!$B$22=Settings!$C$6,1,IF(Settings!$B$22="USD",1/INDEX(Settings!$B$29:$B$40,MONTH(A5667)),INDEX(Settings!$B$29:$B$40,MONTH(A5667)))))</f>
        <v/>
      </c>
    </row>
    <row r="5668" customFormat="false" ht="15" hidden="false" customHeight="false" outlineLevel="0" collapsed="false">
      <c r="H5668" s="0" t="str">
        <f aca="false">IF(B5668="","",IF(COUNTIF(Campaigns!$A$7:$A$300,B5668)&gt;0,"✓","⚠ add to Campaigns tab"))</f>
        <v/>
      </c>
      <c r="I5668" s="84" t="str">
        <f aca="false">IF(C5668="","",C5668*IF(Settings!$B$22=Settings!$C$6,1,IF(Settings!$B$22="USD",1/INDEX(Settings!$B$29:$B$40,MONTH(A5668)),INDEX(Settings!$B$29:$B$40,MONTH(A5668)))))</f>
        <v/>
      </c>
    </row>
    <row r="5669" customFormat="false" ht="15" hidden="false" customHeight="false" outlineLevel="0" collapsed="false">
      <c r="H5669" s="0" t="str">
        <f aca="false">IF(B5669="","",IF(COUNTIF(Campaigns!$A$7:$A$300,B5669)&gt;0,"✓","⚠ add to Campaigns tab"))</f>
        <v/>
      </c>
      <c r="I5669" s="84" t="str">
        <f aca="false">IF(C5669="","",C5669*IF(Settings!$B$22=Settings!$C$6,1,IF(Settings!$B$22="USD",1/INDEX(Settings!$B$29:$B$40,MONTH(A5669)),INDEX(Settings!$B$29:$B$40,MONTH(A5669)))))</f>
        <v/>
      </c>
    </row>
    <row r="5670" customFormat="false" ht="15" hidden="false" customHeight="false" outlineLevel="0" collapsed="false">
      <c r="H5670" s="0" t="str">
        <f aca="false">IF(B5670="","",IF(COUNTIF(Campaigns!$A$7:$A$300,B5670)&gt;0,"✓","⚠ add to Campaigns tab"))</f>
        <v/>
      </c>
      <c r="I5670" s="84" t="str">
        <f aca="false">IF(C5670="","",C5670*IF(Settings!$B$22=Settings!$C$6,1,IF(Settings!$B$22="USD",1/INDEX(Settings!$B$29:$B$40,MONTH(A5670)),INDEX(Settings!$B$29:$B$40,MONTH(A5670)))))</f>
        <v/>
      </c>
    </row>
    <row r="5671" customFormat="false" ht="15" hidden="false" customHeight="false" outlineLevel="0" collapsed="false">
      <c r="H5671" s="0" t="str">
        <f aca="false">IF(B5671="","",IF(COUNTIF(Campaigns!$A$7:$A$300,B5671)&gt;0,"✓","⚠ add to Campaigns tab"))</f>
        <v/>
      </c>
      <c r="I5671" s="84" t="str">
        <f aca="false">IF(C5671="","",C5671*IF(Settings!$B$22=Settings!$C$6,1,IF(Settings!$B$22="USD",1/INDEX(Settings!$B$29:$B$40,MONTH(A5671)),INDEX(Settings!$B$29:$B$40,MONTH(A5671)))))</f>
        <v/>
      </c>
    </row>
    <row r="5672" customFormat="false" ht="15" hidden="false" customHeight="false" outlineLevel="0" collapsed="false">
      <c r="H5672" s="0" t="str">
        <f aca="false">IF(B5672="","",IF(COUNTIF(Campaigns!$A$7:$A$300,B5672)&gt;0,"✓","⚠ add to Campaigns tab"))</f>
        <v/>
      </c>
      <c r="I5672" s="84" t="str">
        <f aca="false">IF(C5672="","",C5672*IF(Settings!$B$22=Settings!$C$6,1,IF(Settings!$B$22="USD",1/INDEX(Settings!$B$29:$B$40,MONTH(A5672)),INDEX(Settings!$B$29:$B$40,MONTH(A5672)))))</f>
        <v/>
      </c>
    </row>
    <row r="5673" customFormat="false" ht="15" hidden="false" customHeight="false" outlineLevel="0" collapsed="false">
      <c r="H5673" s="0" t="str">
        <f aca="false">IF(B5673="","",IF(COUNTIF(Campaigns!$A$7:$A$300,B5673)&gt;0,"✓","⚠ add to Campaigns tab"))</f>
        <v/>
      </c>
      <c r="I5673" s="84" t="str">
        <f aca="false">IF(C5673="","",C5673*IF(Settings!$B$22=Settings!$C$6,1,IF(Settings!$B$22="USD",1/INDEX(Settings!$B$29:$B$40,MONTH(A5673)),INDEX(Settings!$B$29:$B$40,MONTH(A5673)))))</f>
        <v/>
      </c>
    </row>
    <row r="5674" customFormat="false" ht="15" hidden="false" customHeight="false" outlineLevel="0" collapsed="false">
      <c r="H5674" s="0" t="str">
        <f aca="false">IF(B5674="","",IF(COUNTIF(Campaigns!$A$7:$A$300,B5674)&gt;0,"✓","⚠ add to Campaigns tab"))</f>
        <v/>
      </c>
      <c r="I5674" s="84" t="str">
        <f aca="false">IF(C5674="","",C5674*IF(Settings!$B$22=Settings!$C$6,1,IF(Settings!$B$22="USD",1/INDEX(Settings!$B$29:$B$40,MONTH(A5674)),INDEX(Settings!$B$29:$B$40,MONTH(A5674)))))</f>
        <v/>
      </c>
    </row>
    <row r="5675" customFormat="false" ht="15" hidden="false" customHeight="false" outlineLevel="0" collapsed="false">
      <c r="H5675" s="0" t="str">
        <f aca="false">IF(B5675="","",IF(COUNTIF(Campaigns!$A$7:$A$300,B5675)&gt;0,"✓","⚠ add to Campaigns tab"))</f>
        <v/>
      </c>
      <c r="I5675" s="84" t="str">
        <f aca="false">IF(C5675="","",C5675*IF(Settings!$B$22=Settings!$C$6,1,IF(Settings!$B$22="USD",1/INDEX(Settings!$B$29:$B$40,MONTH(A5675)),INDEX(Settings!$B$29:$B$40,MONTH(A5675)))))</f>
        <v/>
      </c>
    </row>
    <row r="5676" customFormat="false" ht="15" hidden="false" customHeight="false" outlineLevel="0" collapsed="false">
      <c r="H5676" s="0" t="str">
        <f aca="false">IF(B5676="","",IF(COUNTIF(Campaigns!$A$7:$A$300,B5676)&gt;0,"✓","⚠ add to Campaigns tab"))</f>
        <v/>
      </c>
      <c r="I5676" s="84" t="str">
        <f aca="false">IF(C5676="","",C5676*IF(Settings!$B$22=Settings!$C$6,1,IF(Settings!$B$22="USD",1/INDEX(Settings!$B$29:$B$40,MONTH(A5676)),INDEX(Settings!$B$29:$B$40,MONTH(A5676)))))</f>
        <v/>
      </c>
    </row>
    <row r="5677" customFormat="false" ht="15" hidden="false" customHeight="false" outlineLevel="0" collapsed="false">
      <c r="H5677" s="0" t="str">
        <f aca="false">IF(B5677="","",IF(COUNTIF(Campaigns!$A$7:$A$300,B5677)&gt;0,"✓","⚠ add to Campaigns tab"))</f>
        <v/>
      </c>
      <c r="I5677" s="84" t="str">
        <f aca="false">IF(C5677="","",C5677*IF(Settings!$B$22=Settings!$C$6,1,IF(Settings!$B$22="USD",1/INDEX(Settings!$B$29:$B$40,MONTH(A5677)),INDEX(Settings!$B$29:$B$40,MONTH(A5677)))))</f>
        <v/>
      </c>
    </row>
    <row r="5678" customFormat="false" ht="15" hidden="false" customHeight="false" outlineLevel="0" collapsed="false">
      <c r="H5678" s="0" t="str">
        <f aca="false">IF(B5678="","",IF(COUNTIF(Campaigns!$A$7:$A$300,B5678)&gt;0,"✓","⚠ add to Campaigns tab"))</f>
        <v/>
      </c>
      <c r="I5678" s="84" t="str">
        <f aca="false">IF(C5678="","",C5678*IF(Settings!$B$22=Settings!$C$6,1,IF(Settings!$B$22="USD",1/INDEX(Settings!$B$29:$B$40,MONTH(A5678)),INDEX(Settings!$B$29:$B$40,MONTH(A5678)))))</f>
        <v/>
      </c>
    </row>
    <row r="5679" customFormat="false" ht="15" hidden="false" customHeight="false" outlineLevel="0" collapsed="false">
      <c r="H5679" s="0" t="str">
        <f aca="false">IF(B5679="","",IF(COUNTIF(Campaigns!$A$7:$A$300,B5679)&gt;0,"✓","⚠ add to Campaigns tab"))</f>
        <v/>
      </c>
      <c r="I5679" s="84" t="str">
        <f aca="false">IF(C5679="","",C5679*IF(Settings!$B$22=Settings!$C$6,1,IF(Settings!$B$22="USD",1/INDEX(Settings!$B$29:$B$40,MONTH(A5679)),INDEX(Settings!$B$29:$B$40,MONTH(A5679)))))</f>
        <v/>
      </c>
    </row>
    <row r="5680" customFormat="false" ht="15" hidden="false" customHeight="false" outlineLevel="0" collapsed="false">
      <c r="H5680" s="0" t="str">
        <f aca="false">IF(B5680="","",IF(COUNTIF(Campaigns!$A$7:$A$300,B5680)&gt;0,"✓","⚠ add to Campaigns tab"))</f>
        <v/>
      </c>
      <c r="I5680" s="84" t="str">
        <f aca="false">IF(C5680="","",C5680*IF(Settings!$B$22=Settings!$C$6,1,IF(Settings!$B$22="USD",1/INDEX(Settings!$B$29:$B$40,MONTH(A5680)),INDEX(Settings!$B$29:$B$40,MONTH(A5680)))))</f>
        <v/>
      </c>
    </row>
    <row r="5681" customFormat="false" ht="15" hidden="false" customHeight="false" outlineLevel="0" collapsed="false">
      <c r="H5681" s="0" t="str">
        <f aca="false">IF(B5681="","",IF(COUNTIF(Campaigns!$A$7:$A$300,B5681)&gt;0,"✓","⚠ add to Campaigns tab"))</f>
        <v/>
      </c>
      <c r="I5681" s="84" t="str">
        <f aca="false">IF(C5681="","",C5681*IF(Settings!$B$22=Settings!$C$6,1,IF(Settings!$B$22="USD",1/INDEX(Settings!$B$29:$B$40,MONTH(A5681)),INDEX(Settings!$B$29:$B$40,MONTH(A5681)))))</f>
        <v/>
      </c>
    </row>
    <row r="5682" customFormat="false" ht="15" hidden="false" customHeight="false" outlineLevel="0" collapsed="false">
      <c r="H5682" s="0" t="str">
        <f aca="false">IF(B5682="","",IF(COUNTIF(Campaigns!$A$7:$A$300,B5682)&gt;0,"✓","⚠ add to Campaigns tab"))</f>
        <v/>
      </c>
      <c r="I5682" s="84" t="str">
        <f aca="false">IF(C5682="","",C5682*IF(Settings!$B$22=Settings!$C$6,1,IF(Settings!$B$22="USD",1/INDEX(Settings!$B$29:$B$40,MONTH(A5682)),INDEX(Settings!$B$29:$B$40,MONTH(A5682)))))</f>
        <v/>
      </c>
    </row>
    <row r="5683" customFormat="false" ht="15" hidden="false" customHeight="false" outlineLevel="0" collapsed="false">
      <c r="H5683" s="0" t="str">
        <f aca="false">IF(B5683="","",IF(COUNTIF(Campaigns!$A$7:$A$300,B5683)&gt;0,"✓","⚠ add to Campaigns tab"))</f>
        <v/>
      </c>
      <c r="I5683" s="84" t="str">
        <f aca="false">IF(C5683="","",C5683*IF(Settings!$B$22=Settings!$C$6,1,IF(Settings!$B$22="USD",1/INDEX(Settings!$B$29:$B$40,MONTH(A5683)),INDEX(Settings!$B$29:$B$40,MONTH(A5683)))))</f>
        <v/>
      </c>
    </row>
    <row r="5684" customFormat="false" ht="15" hidden="false" customHeight="false" outlineLevel="0" collapsed="false">
      <c r="H5684" s="0" t="str">
        <f aca="false">IF(B5684="","",IF(COUNTIF(Campaigns!$A$7:$A$300,B5684)&gt;0,"✓","⚠ add to Campaigns tab"))</f>
        <v/>
      </c>
      <c r="I5684" s="84" t="str">
        <f aca="false">IF(C5684="","",C5684*IF(Settings!$B$22=Settings!$C$6,1,IF(Settings!$B$22="USD",1/INDEX(Settings!$B$29:$B$40,MONTH(A5684)),INDEX(Settings!$B$29:$B$40,MONTH(A5684)))))</f>
        <v/>
      </c>
    </row>
    <row r="5685" customFormat="false" ht="15" hidden="false" customHeight="false" outlineLevel="0" collapsed="false">
      <c r="H5685" s="0" t="str">
        <f aca="false">IF(B5685="","",IF(COUNTIF(Campaigns!$A$7:$A$300,B5685)&gt;0,"✓","⚠ add to Campaigns tab"))</f>
        <v/>
      </c>
      <c r="I5685" s="84" t="str">
        <f aca="false">IF(C5685="","",C5685*IF(Settings!$B$22=Settings!$C$6,1,IF(Settings!$B$22="USD",1/INDEX(Settings!$B$29:$B$40,MONTH(A5685)),INDEX(Settings!$B$29:$B$40,MONTH(A5685)))))</f>
        <v/>
      </c>
    </row>
    <row r="5686" customFormat="false" ht="15" hidden="false" customHeight="false" outlineLevel="0" collapsed="false">
      <c r="H5686" s="0" t="str">
        <f aca="false">IF(B5686="","",IF(COUNTIF(Campaigns!$A$7:$A$300,B5686)&gt;0,"✓","⚠ add to Campaigns tab"))</f>
        <v/>
      </c>
      <c r="I5686" s="84" t="str">
        <f aca="false">IF(C5686="","",C5686*IF(Settings!$B$22=Settings!$C$6,1,IF(Settings!$B$22="USD",1/INDEX(Settings!$B$29:$B$40,MONTH(A5686)),INDEX(Settings!$B$29:$B$40,MONTH(A5686)))))</f>
        <v/>
      </c>
    </row>
    <row r="5687" customFormat="false" ht="15" hidden="false" customHeight="false" outlineLevel="0" collapsed="false">
      <c r="H5687" s="0" t="str">
        <f aca="false">IF(B5687="","",IF(COUNTIF(Campaigns!$A$7:$A$300,B5687)&gt;0,"✓","⚠ add to Campaigns tab"))</f>
        <v/>
      </c>
      <c r="I5687" s="84" t="str">
        <f aca="false">IF(C5687="","",C5687*IF(Settings!$B$22=Settings!$C$6,1,IF(Settings!$B$22="USD",1/INDEX(Settings!$B$29:$B$40,MONTH(A5687)),INDEX(Settings!$B$29:$B$40,MONTH(A5687)))))</f>
        <v/>
      </c>
    </row>
    <row r="5688" customFormat="false" ht="15" hidden="false" customHeight="false" outlineLevel="0" collapsed="false">
      <c r="H5688" s="0" t="str">
        <f aca="false">IF(B5688="","",IF(COUNTIF(Campaigns!$A$7:$A$300,B5688)&gt;0,"✓","⚠ add to Campaigns tab"))</f>
        <v/>
      </c>
      <c r="I5688" s="84" t="str">
        <f aca="false">IF(C5688="","",C5688*IF(Settings!$B$22=Settings!$C$6,1,IF(Settings!$B$22="USD",1/INDEX(Settings!$B$29:$B$40,MONTH(A5688)),INDEX(Settings!$B$29:$B$40,MONTH(A5688)))))</f>
        <v/>
      </c>
    </row>
    <row r="5689" customFormat="false" ht="15" hidden="false" customHeight="false" outlineLevel="0" collapsed="false">
      <c r="H5689" s="0" t="str">
        <f aca="false">IF(B5689="","",IF(COUNTIF(Campaigns!$A$7:$A$300,B5689)&gt;0,"✓","⚠ add to Campaigns tab"))</f>
        <v/>
      </c>
      <c r="I5689" s="84" t="str">
        <f aca="false">IF(C5689="","",C5689*IF(Settings!$B$22=Settings!$C$6,1,IF(Settings!$B$22="USD",1/INDEX(Settings!$B$29:$B$40,MONTH(A5689)),INDEX(Settings!$B$29:$B$40,MONTH(A5689)))))</f>
        <v/>
      </c>
    </row>
    <row r="5690" customFormat="false" ht="15" hidden="false" customHeight="false" outlineLevel="0" collapsed="false">
      <c r="H5690" s="0" t="str">
        <f aca="false">IF(B5690="","",IF(COUNTIF(Campaigns!$A$7:$A$300,B5690)&gt;0,"✓","⚠ add to Campaigns tab"))</f>
        <v/>
      </c>
      <c r="I5690" s="84" t="str">
        <f aca="false">IF(C5690="","",C5690*IF(Settings!$B$22=Settings!$C$6,1,IF(Settings!$B$22="USD",1/INDEX(Settings!$B$29:$B$40,MONTH(A5690)),INDEX(Settings!$B$29:$B$40,MONTH(A5690)))))</f>
        <v/>
      </c>
    </row>
    <row r="5691" customFormat="false" ht="15" hidden="false" customHeight="false" outlineLevel="0" collapsed="false">
      <c r="H5691" s="0" t="str">
        <f aca="false">IF(B5691="","",IF(COUNTIF(Campaigns!$A$7:$A$300,B5691)&gt;0,"✓","⚠ add to Campaigns tab"))</f>
        <v/>
      </c>
      <c r="I5691" s="84" t="str">
        <f aca="false">IF(C5691="","",C5691*IF(Settings!$B$22=Settings!$C$6,1,IF(Settings!$B$22="USD",1/INDEX(Settings!$B$29:$B$40,MONTH(A5691)),INDEX(Settings!$B$29:$B$40,MONTH(A5691)))))</f>
        <v/>
      </c>
    </row>
    <row r="5692" customFormat="false" ht="15" hidden="false" customHeight="false" outlineLevel="0" collapsed="false">
      <c r="H5692" s="0" t="str">
        <f aca="false">IF(B5692="","",IF(COUNTIF(Campaigns!$A$7:$A$300,B5692)&gt;0,"✓","⚠ add to Campaigns tab"))</f>
        <v/>
      </c>
      <c r="I5692" s="84" t="str">
        <f aca="false">IF(C5692="","",C5692*IF(Settings!$B$22=Settings!$C$6,1,IF(Settings!$B$22="USD",1/INDEX(Settings!$B$29:$B$40,MONTH(A5692)),INDEX(Settings!$B$29:$B$40,MONTH(A5692)))))</f>
        <v/>
      </c>
    </row>
    <row r="5693" customFormat="false" ht="15" hidden="false" customHeight="false" outlineLevel="0" collapsed="false">
      <c r="H5693" s="0" t="str">
        <f aca="false">IF(B5693="","",IF(COUNTIF(Campaigns!$A$7:$A$300,B5693)&gt;0,"✓","⚠ add to Campaigns tab"))</f>
        <v/>
      </c>
      <c r="I5693" s="84" t="str">
        <f aca="false">IF(C5693="","",C5693*IF(Settings!$B$22=Settings!$C$6,1,IF(Settings!$B$22="USD",1/INDEX(Settings!$B$29:$B$40,MONTH(A5693)),INDEX(Settings!$B$29:$B$40,MONTH(A5693)))))</f>
        <v/>
      </c>
    </row>
    <row r="5694" customFormat="false" ht="15" hidden="false" customHeight="false" outlineLevel="0" collapsed="false">
      <c r="H5694" s="0" t="str">
        <f aca="false">IF(B5694="","",IF(COUNTIF(Campaigns!$A$7:$A$300,B5694)&gt;0,"✓","⚠ add to Campaigns tab"))</f>
        <v/>
      </c>
      <c r="I5694" s="84" t="str">
        <f aca="false">IF(C5694="","",C5694*IF(Settings!$B$22=Settings!$C$6,1,IF(Settings!$B$22="USD",1/INDEX(Settings!$B$29:$B$40,MONTH(A5694)),INDEX(Settings!$B$29:$B$40,MONTH(A5694)))))</f>
        <v/>
      </c>
    </row>
    <row r="5695" customFormat="false" ht="15" hidden="false" customHeight="false" outlineLevel="0" collapsed="false">
      <c r="H5695" s="0" t="str">
        <f aca="false">IF(B5695="","",IF(COUNTIF(Campaigns!$A$7:$A$300,B5695)&gt;0,"✓","⚠ add to Campaigns tab"))</f>
        <v/>
      </c>
      <c r="I5695" s="84" t="str">
        <f aca="false">IF(C5695="","",C5695*IF(Settings!$B$22=Settings!$C$6,1,IF(Settings!$B$22="USD",1/INDEX(Settings!$B$29:$B$40,MONTH(A5695)),INDEX(Settings!$B$29:$B$40,MONTH(A5695)))))</f>
        <v/>
      </c>
    </row>
    <row r="5696" customFormat="false" ht="15" hidden="false" customHeight="false" outlineLevel="0" collapsed="false">
      <c r="H5696" s="0" t="str">
        <f aca="false">IF(B5696="","",IF(COUNTIF(Campaigns!$A$7:$A$300,B5696)&gt;0,"✓","⚠ add to Campaigns tab"))</f>
        <v/>
      </c>
      <c r="I5696" s="84" t="str">
        <f aca="false">IF(C5696="","",C5696*IF(Settings!$B$22=Settings!$C$6,1,IF(Settings!$B$22="USD",1/INDEX(Settings!$B$29:$B$40,MONTH(A5696)),INDEX(Settings!$B$29:$B$40,MONTH(A5696)))))</f>
        <v/>
      </c>
    </row>
    <row r="5697" customFormat="false" ht="15" hidden="false" customHeight="false" outlineLevel="0" collapsed="false">
      <c r="H5697" s="0" t="str">
        <f aca="false">IF(B5697="","",IF(COUNTIF(Campaigns!$A$7:$A$300,B5697)&gt;0,"✓","⚠ add to Campaigns tab"))</f>
        <v/>
      </c>
      <c r="I5697" s="84" t="str">
        <f aca="false">IF(C5697="","",C5697*IF(Settings!$B$22=Settings!$C$6,1,IF(Settings!$B$22="USD",1/INDEX(Settings!$B$29:$B$40,MONTH(A5697)),INDEX(Settings!$B$29:$B$40,MONTH(A5697)))))</f>
        <v/>
      </c>
    </row>
    <row r="5698" customFormat="false" ht="15" hidden="false" customHeight="false" outlineLevel="0" collapsed="false">
      <c r="H5698" s="0" t="str">
        <f aca="false">IF(B5698="","",IF(COUNTIF(Campaigns!$A$7:$A$300,B5698)&gt;0,"✓","⚠ add to Campaigns tab"))</f>
        <v/>
      </c>
      <c r="I5698" s="84" t="str">
        <f aca="false">IF(C5698="","",C5698*IF(Settings!$B$22=Settings!$C$6,1,IF(Settings!$B$22="USD",1/INDEX(Settings!$B$29:$B$40,MONTH(A5698)),INDEX(Settings!$B$29:$B$40,MONTH(A5698)))))</f>
        <v/>
      </c>
    </row>
    <row r="5699" customFormat="false" ht="15" hidden="false" customHeight="false" outlineLevel="0" collapsed="false">
      <c r="H5699" s="0" t="str">
        <f aca="false">IF(B5699="","",IF(COUNTIF(Campaigns!$A$7:$A$300,B5699)&gt;0,"✓","⚠ add to Campaigns tab"))</f>
        <v/>
      </c>
      <c r="I5699" s="84" t="str">
        <f aca="false">IF(C5699="","",C5699*IF(Settings!$B$22=Settings!$C$6,1,IF(Settings!$B$22="USD",1/INDEX(Settings!$B$29:$B$40,MONTH(A5699)),INDEX(Settings!$B$29:$B$40,MONTH(A5699)))))</f>
        <v/>
      </c>
    </row>
    <row r="5700" customFormat="false" ht="15" hidden="false" customHeight="false" outlineLevel="0" collapsed="false">
      <c r="H5700" s="0" t="str">
        <f aca="false">IF(B5700="","",IF(COUNTIF(Campaigns!$A$7:$A$300,B5700)&gt;0,"✓","⚠ add to Campaigns tab"))</f>
        <v/>
      </c>
      <c r="I5700" s="84" t="str">
        <f aca="false">IF(C5700="","",C5700*IF(Settings!$B$22=Settings!$C$6,1,IF(Settings!$B$22="USD",1/INDEX(Settings!$B$29:$B$40,MONTH(A5700)),INDEX(Settings!$B$29:$B$40,MONTH(A5700)))))</f>
        <v/>
      </c>
    </row>
    <row r="5701" customFormat="false" ht="15" hidden="false" customHeight="false" outlineLevel="0" collapsed="false">
      <c r="H5701" s="0" t="str">
        <f aca="false">IF(B5701="","",IF(COUNTIF(Campaigns!$A$7:$A$300,B5701)&gt;0,"✓","⚠ add to Campaigns tab"))</f>
        <v/>
      </c>
      <c r="I5701" s="84" t="str">
        <f aca="false">IF(C5701="","",C5701*IF(Settings!$B$22=Settings!$C$6,1,IF(Settings!$B$22="USD",1/INDEX(Settings!$B$29:$B$40,MONTH(A5701)),INDEX(Settings!$B$29:$B$40,MONTH(A5701)))))</f>
        <v/>
      </c>
    </row>
    <row r="5702" customFormat="false" ht="15" hidden="false" customHeight="false" outlineLevel="0" collapsed="false">
      <c r="H5702" s="0" t="str">
        <f aca="false">IF(B5702="","",IF(COUNTIF(Campaigns!$A$7:$A$300,B5702)&gt;0,"✓","⚠ add to Campaigns tab"))</f>
        <v/>
      </c>
      <c r="I5702" s="84" t="str">
        <f aca="false">IF(C5702="","",C5702*IF(Settings!$B$22=Settings!$C$6,1,IF(Settings!$B$22="USD",1/INDEX(Settings!$B$29:$B$40,MONTH(A5702)),INDEX(Settings!$B$29:$B$40,MONTH(A5702)))))</f>
        <v/>
      </c>
    </row>
    <row r="5703" customFormat="false" ht="15" hidden="false" customHeight="false" outlineLevel="0" collapsed="false">
      <c r="H5703" s="0" t="str">
        <f aca="false">IF(B5703="","",IF(COUNTIF(Campaigns!$A$7:$A$300,B5703)&gt;0,"✓","⚠ add to Campaigns tab"))</f>
        <v/>
      </c>
      <c r="I5703" s="84" t="str">
        <f aca="false">IF(C5703="","",C5703*IF(Settings!$B$22=Settings!$C$6,1,IF(Settings!$B$22="USD",1/INDEX(Settings!$B$29:$B$40,MONTH(A5703)),INDEX(Settings!$B$29:$B$40,MONTH(A5703)))))</f>
        <v/>
      </c>
    </row>
    <row r="5704" customFormat="false" ht="15" hidden="false" customHeight="false" outlineLevel="0" collapsed="false">
      <c r="H5704" s="0" t="str">
        <f aca="false">IF(B5704="","",IF(COUNTIF(Campaigns!$A$7:$A$300,B5704)&gt;0,"✓","⚠ add to Campaigns tab"))</f>
        <v/>
      </c>
      <c r="I5704" s="84" t="str">
        <f aca="false">IF(C5704="","",C5704*IF(Settings!$B$22=Settings!$C$6,1,IF(Settings!$B$22="USD",1/INDEX(Settings!$B$29:$B$40,MONTH(A5704)),INDEX(Settings!$B$29:$B$40,MONTH(A5704)))))</f>
        <v/>
      </c>
    </row>
    <row r="5705" customFormat="false" ht="15" hidden="false" customHeight="false" outlineLevel="0" collapsed="false">
      <c r="H5705" s="0" t="str">
        <f aca="false">IF(B5705="","",IF(COUNTIF(Campaigns!$A$7:$A$300,B5705)&gt;0,"✓","⚠ add to Campaigns tab"))</f>
        <v/>
      </c>
      <c r="I5705" s="84" t="str">
        <f aca="false">IF(C5705="","",C5705*IF(Settings!$B$22=Settings!$C$6,1,IF(Settings!$B$22="USD",1/INDEX(Settings!$B$29:$B$40,MONTH(A5705)),INDEX(Settings!$B$29:$B$40,MONTH(A5705)))))</f>
        <v/>
      </c>
    </row>
    <row r="5706" customFormat="false" ht="15" hidden="false" customHeight="false" outlineLevel="0" collapsed="false">
      <c r="H5706" s="0" t="str">
        <f aca="false">IF(B5706="","",IF(COUNTIF(Campaigns!$A$7:$A$300,B5706)&gt;0,"✓","⚠ add to Campaigns tab"))</f>
        <v/>
      </c>
      <c r="I5706" s="84" t="str">
        <f aca="false">IF(C5706="","",C5706*IF(Settings!$B$22=Settings!$C$6,1,IF(Settings!$B$22="USD",1/INDEX(Settings!$B$29:$B$40,MONTH(A5706)),INDEX(Settings!$B$29:$B$40,MONTH(A5706)))))</f>
        <v/>
      </c>
    </row>
    <row r="5707" customFormat="false" ht="15" hidden="false" customHeight="false" outlineLevel="0" collapsed="false">
      <c r="H5707" s="0" t="str">
        <f aca="false">IF(B5707="","",IF(COUNTIF(Campaigns!$A$7:$A$300,B5707)&gt;0,"✓","⚠ add to Campaigns tab"))</f>
        <v/>
      </c>
      <c r="I5707" s="84" t="str">
        <f aca="false">IF(C5707="","",C5707*IF(Settings!$B$22=Settings!$C$6,1,IF(Settings!$B$22="USD",1/INDEX(Settings!$B$29:$B$40,MONTH(A5707)),INDEX(Settings!$B$29:$B$40,MONTH(A5707)))))</f>
        <v/>
      </c>
    </row>
    <row r="5708" customFormat="false" ht="15" hidden="false" customHeight="false" outlineLevel="0" collapsed="false">
      <c r="H5708" s="0" t="str">
        <f aca="false">IF(B5708="","",IF(COUNTIF(Campaigns!$A$7:$A$300,B5708)&gt;0,"✓","⚠ add to Campaigns tab"))</f>
        <v/>
      </c>
      <c r="I5708" s="84" t="str">
        <f aca="false">IF(C5708="","",C5708*IF(Settings!$B$22=Settings!$C$6,1,IF(Settings!$B$22="USD",1/INDEX(Settings!$B$29:$B$40,MONTH(A5708)),INDEX(Settings!$B$29:$B$40,MONTH(A5708)))))</f>
        <v/>
      </c>
    </row>
    <row r="5709" customFormat="false" ht="15" hidden="false" customHeight="false" outlineLevel="0" collapsed="false">
      <c r="H5709" s="0" t="str">
        <f aca="false">IF(B5709="","",IF(COUNTIF(Campaigns!$A$7:$A$300,B5709)&gt;0,"✓","⚠ add to Campaigns tab"))</f>
        <v/>
      </c>
      <c r="I5709" s="84" t="str">
        <f aca="false">IF(C5709="","",C5709*IF(Settings!$B$22=Settings!$C$6,1,IF(Settings!$B$22="USD",1/INDEX(Settings!$B$29:$B$40,MONTH(A5709)),INDEX(Settings!$B$29:$B$40,MONTH(A5709)))))</f>
        <v/>
      </c>
    </row>
    <row r="5710" customFormat="false" ht="15" hidden="false" customHeight="false" outlineLevel="0" collapsed="false">
      <c r="H5710" s="0" t="str">
        <f aca="false">IF(B5710="","",IF(COUNTIF(Campaigns!$A$7:$A$300,B5710)&gt;0,"✓","⚠ add to Campaigns tab"))</f>
        <v/>
      </c>
      <c r="I5710" s="84" t="str">
        <f aca="false">IF(C5710="","",C5710*IF(Settings!$B$22=Settings!$C$6,1,IF(Settings!$B$22="USD",1/INDEX(Settings!$B$29:$B$40,MONTH(A5710)),INDEX(Settings!$B$29:$B$40,MONTH(A5710)))))</f>
        <v/>
      </c>
    </row>
    <row r="5711" customFormat="false" ht="15" hidden="false" customHeight="false" outlineLevel="0" collapsed="false">
      <c r="H5711" s="0" t="str">
        <f aca="false">IF(B5711="","",IF(COUNTIF(Campaigns!$A$7:$A$300,B5711)&gt;0,"✓","⚠ add to Campaigns tab"))</f>
        <v/>
      </c>
      <c r="I5711" s="84" t="str">
        <f aca="false">IF(C5711="","",C5711*IF(Settings!$B$22=Settings!$C$6,1,IF(Settings!$B$22="USD",1/INDEX(Settings!$B$29:$B$40,MONTH(A5711)),INDEX(Settings!$B$29:$B$40,MONTH(A5711)))))</f>
        <v/>
      </c>
    </row>
    <row r="5712" customFormat="false" ht="15" hidden="false" customHeight="false" outlineLevel="0" collapsed="false">
      <c r="H5712" s="0" t="str">
        <f aca="false">IF(B5712="","",IF(COUNTIF(Campaigns!$A$7:$A$300,B5712)&gt;0,"✓","⚠ add to Campaigns tab"))</f>
        <v/>
      </c>
      <c r="I5712" s="84" t="str">
        <f aca="false">IF(C5712="","",C5712*IF(Settings!$B$22=Settings!$C$6,1,IF(Settings!$B$22="USD",1/INDEX(Settings!$B$29:$B$40,MONTH(A5712)),INDEX(Settings!$B$29:$B$40,MONTH(A5712)))))</f>
        <v/>
      </c>
    </row>
    <row r="5713" customFormat="false" ht="15" hidden="false" customHeight="false" outlineLevel="0" collapsed="false">
      <c r="H5713" s="0" t="str">
        <f aca="false">IF(B5713="","",IF(COUNTIF(Campaigns!$A$7:$A$300,B5713)&gt;0,"✓","⚠ add to Campaigns tab"))</f>
        <v/>
      </c>
      <c r="I5713" s="84" t="str">
        <f aca="false">IF(C5713="","",C5713*IF(Settings!$B$22=Settings!$C$6,1,IF(Settings!$B$22="USD",1/INDEX(Settings!$B$29:$B$40,MONTH(A5713)),INDEX(Settings!$B$29:$B$40,MONTH(A5713)))))</f>
        <v/>
      </c>
    </row>
    <row r="5714" customFormat="false" ht="15" hidden="false" customHeight="false" outlineLevel="0" collapsed="false">
      <c r="H5714" s="0" t="str">
        <f aca="false">IF(B5714="","",IF(COUNTIF(Campaigns!$A$7:$A$300,B5714)&gt;0,"✓","⚠ add to Campaigns tab"))</f>
        <v/>
      </c>
      <c r="I5714" s="84" t="str">
        <f aca="false">IF(C5714="","",C5714*IF(Settings!$B$22=Settings!$C$6,1,IF(Settings!$B$22="USD",1/INDEX(Settings!$B$29:$B$40,MONTH(A5714)),INDEX(Settings!$B$29:$B$40,MONTH(A5714)))))</f>
        <v/>
      </c>
    </row>
    <row r="5715" customFormat="false" ht="15" hidden="false" customHeight="false" outlineLevel="0" collapsed="false">
      <c r="H5715" s="0" t="str">
        <f aca="false">IF(B5715="","",IF(COUNTIF(Campaigns!$A$7:$A$300,B5715)&gt;0,"✓","⚠ add to Campaigns tab"))</f>
        <v/>
      </c>
      <c r="I5715" s="84" t="str">
        <f aca="false">IF(C5715="","",C5715*IF(Settings!$B$22=Settings!$C$6,1,IF(Settings!$B$22="USD",1/INDEX(Settings!$B$29:$B$40,MONTH(A5715)),INDEX(Settings!$B$29:$B$40,MONTH(A5715)))))</f>
        <v/>
      </c>
    </row>
    <row r="5716" customFormat="false" ht="15" hidden="false" customHeight="false" outlineLevel="0" collapsed="false">
      <c r="H5716" s="0" t="str">
        <f aca="false">IF(B5716="","",IF(COUNTIF(Campaigns!$A$7:$A$300,B5716)&gt;0,"✓","⚠ add to Campaigns tab"))</f>
        <v/>
      </c>
      <c r="I5716" s="84" t="str">
        <f aca="false">IF(C5716="","",C5716*IF(Settings!$B$22=Settings!$C$6,1,IF(Settings!$B$22="USD",1/INDEX(Settings!$B$29:$B$40,MONTH(A5716)),INDEX(Settings!$B$29:$B$40,MONTH(A5716)))))</f>
        <v/>
      </c>
    </row>
    <row r="5717" customFormat="false" ht="15" hidden="false" customHeight="false" outlineLevel="0" collapsed="false">
      <c r="H5717" s="0" t="str">
        <f aca="false">IF(B5717="","",IF(COUNTIF(Campaigns!$A$7:$A$300,B5717)&gt;0,"✓","⚠ add to Campaigns tab"))</f>
        <v/>
      </c>
      <c r="I5717" s="84" t="str">
        <f aca="false">IF(C5717="","",C5717*IF(Settings!$B$22=Settings!$C$6,1,IF(Settings!$B$22="USD",1/INDEX(Settings!$B$29:$B$40,MONTH(A5717)),INDEX(Settings!$B$29:$B$40,MONTH(A5717)))))</f>
        <v/>
      </c>
    </row>
    <row r="5718" customFormat="false" ht="15" hidden="false" customHeight="false" outlineLevel="0" collapsed="false">
      <c r="H5718" s="0" t="str">
        <f aca="false">IF(B5718="","",IF(COUNTIF(Campaigns!$A$7:$A$300,B5718)&gt;0,"✓","⚠ add to Campaigns tab"))</f>
        <v/>
      </c>
      <c r="I5718" s="84" t="str">
        <f aca="false">IF(C5718="","",C5718*IF(Settings!$B$22=Settings!$C$6,1,IF(Settings!$B$22="USD",1/INDEX(Settings!$B$29:$B$40,MONTH(A5718)),INDEX(Settings!$B$29:$B$40,MONTH(A5718)))))</f>
        <v/>
      </c>
    </row>
    <row r="5719" customFormat="false" ht="15" hidden="false" customHeight="false" outlineLevel="0" collapsed="false">
      <c r="H5719" s="0" t="str">
        <f aca="false">IF(B5719="","",IF(COUNTIF(Campaigns!$A$7:$A$300,B5719)&gt;0,"✓","⚠ add to Campaigns tab"))</f>
        <v/>
      </c>
      <c r="I5719" s="84" t="str">
        <f aca="false">IF(C5719="","",C5719*IF(Settings!$B$22=Settings!$C$6,1,IF(Settings!$B$22="USD",1/INDEX(Settings!$B$29:$B$40,MONTH(A5719)),INDEX(Settings!$B$29:$B$40,MONTH(A5719)))))</f>
        <v/>
      </c>
    </row>
    <row r="5720" customFormat="false" ht="15" hidden="false" customHeight="false" outlineLevel="0" collapsed="false">
      <c r="H5720" s="0" t="str">
        <f aca="false">IF(B5720="","",IF(COUNTIF(Campaigns!$A$7:$A$300,B5720)&gt;0,"✓","⚠ add to Campaigns tab"))</f>
        <v/>
      </c>
      <c r="I5720" s="84" t="str">
        <f aca="false">IF(C5720="","",C5720*IF(Settings!$B$22=Settings!$C$6,1,IF(Settings!$B$22="USD",1/INDEX(Settings!$B$29:$B$40,MONTH(A5720)),INDEX(Settings!$B$29:$B$40,MONTH(A5720)))))</f>
        <v/>
      </c>
    </row>
    <row r="5721" customFormat="false" ht="15" hidden="false" customHeight="false" outlineLevel="0" collapsed="false">
      <c r="H5721" s="0" t="str">
        <f aca="false">IF(B5721="","",IF(COUNTIF(Campaigns!$A$7:$A$300,B5721)&gt;0,"✓","⚠ add to Campaigns tab"))</f>
        <v/>
      </c>
      <c r="I5721" s="84" t="str">
        <f aca="false">IF(C5721="","",C5721*IF(Settings!$B$22=Settings!$C$6,1,IF(Settings!$B$22="USD",1/INDEX(Settings!$B$29:$B$40,MONTH(A5721)),INDEX(Settings!$B$29:$B$40,MONTH(A5721)))))</f>
        <v/>
      </c>
    </row>
    <row r="5722" customFormat="false" ht="15" hidden="false" customHeight="false" outlineLevel="0" collapsed="false">
      <c r="H5722" s="0" t="str">
        <f aca="false">IF(B5722="","",IF(COUNTIF(Campaigns!$A$7:$A$300,B5722)&gt;0,"✓","⚠ add to Campaigns tab"))</f>
        <v/>
      </c>
      <c r="I5722" s="84" t="str">
        <f aca="false">IF(C5722="","",C5722*IF(Settings!$B$22=Settings!$C$6,1,IF(Settings!$B$22="USD",1/INDEX(Settings!$B$29:$B$40,MONTH(A5722)),INDEX(Settings!$B$29:$B$40,MONTH(A5722)))))</f>
        <v/>
      </c>
    </row>
    <row r="5723" customFormat="false" ht="15" hidden="false" customHeight="false" outlineLevel="0" collapsed="false">
      <c r="H5723" s="0" t="str">
        <f aca="false">IF(B5723="","",IF(COUNTIF(Campaigns!$A$7:$A$300,B5723)&gt;0,"✓","⚠ add to Campaigns tab"))</f>
        <v/>
      </c>
      <c r="I5723" s="84" t="str">
        <f aca="false">IF(C5723="","",C5723*IF(Settings!$B$22=Settings!$C$6,1,IF(Settings!$B$22="USD",1/INDEX(Settings!$B$29:$B$40,MONTH(A5723)),INDEX(Settings!$B$29:$B$40,MONTH(A5723)))))</f>
        <v/>
      </c>
    </row>
    <row r="5724" customFormat="false" ht="15" hidden="false" customHeight="false" outlineLevel="0" collapsed="false">
      <c r="H5724" s="0" t="str">
        <f aca="false">IF(B5724="","",IF(COUNTIF(Campaigns!$A$7:$A$300,B5724)&gt;0,"✓","⚠ add to Campaigns tab"))</f>
        <v/>
      </c>
      <c r="I5724" s="84" t="str">
        <f aca="false">IF(C5724="","",C5724*IF(Settings!$B$22=Settings!$C$6,1,IF(Settings!$B$22="USD",1/INDEX(Settings!$B$29:$B$40,MONTH(A5724)),INDEX(Settings!$B$29:$B$40,MONTH(A5724)))))</f>
        <v/>
      </c>
    </row>
    <row r="5725" customFormat="false" ht="15" hidden="false" customHeight="false" outlineLevel="0" collapsed="false">
      <c r="H5725" s="0" t="str">
        <f aca="false">IF(B5725="","",IF(COUNTIF(Campaigns!$A$7:$A$300,B5725)&gt;0,"✓","⚠ add to Campaigns tab"))</f>
        <v/>
      </c>
      <c r="I5725" s="84" t="str">
        <f aca="false">IF(C5725="","",C5725*IF(Settings!$B$22=Settings!$C$6,1,IF(Settings!$B$22="USD",1/INDEX(Settings!$B$29:$B$40,MONTH(A5725)),INDEX(Settings!$B$29:$B$40,MONTH(A5725)))))</f>
        <v/>
      </c>
    </row>
    <row r="5726" customFormat="false" ht="15" hidden="false" customHeight="false" outlineLevel="0" collapsed="false">
      <c r="H5726" s="0" t="str">
        <f aca="false">IF(B5726="","",IF(COUNTIF(Campaigns!$A$7:$A$300,B5726)&gt;0,"✓","⚠ add to Campaigns tab"))</f>
        <v/>
      </c>
      <c r="I5726" s="84" t="str">
        <f aca="false">IF(C5726="","",C5726*IF(Settings!$B$22=Settings!$C$6,1,IF(Settings!$B$22="USD",1/INDEX(Settings!$B$29:$B$40,MONTH(A5726)),INDEX(Settings!$B$29:$B$40,MONTH(A5726)))))</f>
        <v/>
      </c>
    </row>
    <row r="5727" customFormat="false" ht="15" hidden="false" customHeight="false" outlineLevel="0" collapsed="false">
      <c r="H5727" s="0" t="str">
        <f aca="false">IF(B5727="","",IF(COUNTIF(Campaigns!$A$7:$A$300,B5727)&gt;0,"✓","⚠ add to Campaigns tab"))</f>
        <v/>
      </c>
      <c r="I5727" s="84" t="str">
        <f aca="false">IF(C5727="","",C5727*IF(Settings!$B$22=Settings!$C$6,1,IF(Settings!$B$22="USD",1/INDEX(Settings!$B$29:$B$40,MONTH(A5727)),INDEX(Settings!$B$29:$B$40,MONTH(A5727)))))</f>
        <v/>
      </c>
    </row>
    <row r="5728" customFormat="false" ht="15" hidden="false" customHeight="false" outlineLevel="0" collapsed="false">
      <c r="H5728" s="0" t="str">
        <f aca="false">IF(B5728="","",IF(COUNTIF(Campaigns!$A$7:$A$300,B5728)&gt;0,"✓","⚠ add to Campaigns tab"))</f>
        <v/>
      </c>
      <c r="I5728" s="84" t="str">
        <f aca="false">IF(C5728="","",C5728*IF(Settings!$B$22=Settings!$C$6,1,IF(Settings!$B$22="USD",1/INDEX(Settings!$B$29:$B$40,MONTH(A5728)),INDEX(Settings!$B$29:$B$40,MONTH(A5728)))))</f>
        <v/>
      </c>
    </row>
    <row r="5729" customFormat="false" ht="15" hidden="false" customHeight="false" outlineLevel="0" collapsed="false">
      <c r="H5729" s="0" t="str">
        <f aca="false">IF(B5729="","",IF(COUNTIF(Campaigns!$A$7:$A$300,B5729)&gt;0,"✓","⚠ add to Campaigns tab"))</f>
        <v/>
      </c>
      <c r="I5729" s="84" t="str">
        <f aca="false">IF(C5729="","",C5729*IF(Settings!$B$22=Settings!$C$6,1,IF(Settings!$B$22="USD",1/INDEX(Settings!$B$29:$B$40,MONTH(A5729)),INDEX(Settings!$B$29:$B$40,MONTH(A5729)))))</f>
        <v/>
      </c>
    </row>
    <row r="5730" customFormat="false" ht="15" hidden="false" customHeight="false" outlineLevel="0" collapsed="false">
      <c r="H5730" s="0" t="str">
        <f aca="false">IF(B5730="","",IF(COUNTIF(Campaigns!$A$7:$A$300,B5730)&gt;0,"✓","⚠ add to Campaigns tab"))</f>
        <v/>
      </c>
      <c r="I5730" s="84" t="str">
        <f aca="false">IF(C5730="","",C5730*IF(Settings!$B$22=Settings!$C$6,1,IF(Settings!$B$22="USD",1/INDEX(Settings!$B$29:$B$40,MONTH(A5730)),INDEX(Settings!$B$29:$B$40,MONTH(A5730)))))</f>
        <v/>
      </c>
    </row>
    <row r="5731" customFormat="false" ht="15" hidden="false" customHeight="false" outlineLevel="0" collapsed="false">
      <c r="H5731" s="0" t="str">
        <f aca="false">IF(B5731="","",IF(COUNTIF(Campaigns!$A$7:$A$300,B5731)&gt;0,"✓","⚠ add to Campaigns tab"))</f>
        <v/>
      </c>
      <c r="I5731" s="84" t="str">
        <f aca="false">IF(C5731="","",C5731*IF(Settings!$B$22=Settings!$C$6,1,IF(Settings!$B$22="USD",1/INDEX(Settings!$B$29:$B$40,MONTH(A5731)),INDEX(Settings!$B$29:$B$40,MONTH(A5731)))))</f>
        <v/>
      </c>
    </row>
    <row r="5732" customFormat="false" ht="15" hidden="false" customHeight="false" outlineLevel="0" collapsed="false">
      <c r="H5732" s="0" t="str">
        <f aca="false">IF(B5732="","",IF(COUNTIF(Campaigns!$A$7:$A$300,B5732)&gt;0,"✓","⚠ add to Campaigns tab"))</f>
        <v/>
      </c>
      <c r="I5732" s="84" t="str">
        <f aca="false">IF(C5732="","",C5732*IF(Settings!$B$22=Settings!$C$6,1,IF(Settings!$B$22="USD",1/INDEX(Settings!$B$29:$B$40,MONTH(A5732)),INDEX(Settings!$B$29:$B$40,MONTH(A5732)))))</f>
        <v/>
      </c>
    </row>
    <row r="5733" customFormat="false" ht="15" hidden="false" customHeight="false" outlineLevel="0" collapsed="false">
      <c r="H5733" s="0" t="str">
        <f aca="false">IF(B5733="","",IF(COUNTIF(Campaigns!$A$7:$A$300,B5733)&gt;0,"✓","⚠ add to Campaigns tab"))</f>
        <v/>
      </c>
      <c r="I5733" s="84" t="str">
        <f aca="false">IF(C5733="","",C5733*IF(Settings!$B$22=Settings!$C$6,1,IF(Settings!$B$22="USD",1/INDEX(Settings!$B$29:$B$40,MONTH(A5733)),INDEX(Settings!$B$29:$B$40,MONTH(A5733)))))</f>
        <v/>
      </c>
    </row>
    <row r="5734" customFormat="false" ht="15" hidden="false" customHeight="false" outlineLevel="0" collapsed="false">
      <c r="H5734" s="0" t="str">
        <f aca="false">IF(B5734="","",IF(COUNTIF(Campaigns!$A$7:$A$300,B5734)&gt;0,"✓","⚠ add to Campaigns tab"))</f>
        <v/>
      </c>
      <c r="I5734" s="84" t="str">
        <f aca="false">IF(C5734="","",C5734*IF(Settings!$B$22=Settings!$C$6,1,IF(Settings!$B$22="USD",1/INDEX(Settings!$B$29:$B$40,MONTH(A5734)),INDEX(Settings!$B$29:$B$40,MONTH(A5734)))))</f>
        <v/>
      </c>
    </row>
    <row r="5735" customFormat="false" ht="15" hidden="false" customHeight="false" outlineLevel="0" collapsed="false">
      <c r="H5735" s="0" t="str">
        <f aca="false">IF(B5735="","",IF(COUNTIF(Campaigns!$A$7:$A$300,B5735)&gt;0,"✓","⚠ add to Campaigns tab"))</f>
        <v/>
      </c>
      <c r="I5735" s="84" t="str">
        <f aca="false">IF(C5735="","",C5735*IF(Settings!$B$22=Settings!$C$6,1,IF(Settings!$B$22="USD",1/INDEX(Settings!$B$29:$B$40,MONTH(A5735)),INDEX(Settings!$B$29:$B$40,MONTH(A5735)))))</f>
        <v/>
      </c>
    </row>
    <row r="5736" customFormat="false" ht="15" hidden="false" customHeight="false" outlineLevel="0" collapsed="false">
      <c r="H5736" s="0" t="str">
        <f aca="false">IF(B5736="","",IF(COUNTIF(Campaigns!$A$7:$A$300,B5736)&gt;0,"✓","⚠ add to Campaigns tab"))</f>
        <v/>
      </c>
      <c r="I5736" s="84" t="str">
        <f aca="false">IF(C5736="","",C5736*IF(Settings!$B$22=Settings!$C$6,1,IF(Settings!$B$22="USD",1/INDEX(Settings!$B$29:$B$40,MONTH(A5736)),INDEX(Settings!$B$29:$B$40,MONTH(A5736)))))</f>
        <v/>
      </c>
    </row>
    <row r="5737" customFormat="false" ht="15" hidden="false" customHeight="false" outlineLevel="0" collapsed="false">
      <c r="H5737" s="0" t="str">
        <f aca="false">IF(B5737="","",IF(COUNTIF(Campaigns!$A$7:$A$300,B5737)&gt;0,"✓","⚠ add to Campaigns tab"))</f>
        <v/>
      </c>
      <c r="I5737" s="84" t="str">
        <f aca="false">IF(C5737="","",C5737*IF(Settings!$B$22=Settings!$C$6,1,IF(Settings!$B$22="USD",1/INDEX(Settings!$B$29:$B$40,MONTH(A5737)),INDEX(Settings!$B$29:$B$40,MONTH(A5737)))))</f>
        <v/>
      </c>
    </row>
    <row r="5738" customFormat="false" ht="15" hidden="false" customHeight="false" outlineLevel="0" collapsed="false">
      <c r="H5738" s="0" t="str">
        <f aca="false">IF(B5738="","",IF(COUNTIF(Campaigns!$A$7:$A$300,B5738)&gt;0,"✓","⚠ add to Campaigns tab"))</f>
        <v/>
      </c>
      <c r="I5738" s="84" t="str">
        <f aca="false">IF(C5738="","",C5738*IF(Settings!$B$22=Settings!$C$6,1,IF(Settings!$B$22="USD",1/INDEX(Settings!$B$29:$B$40,MONTH(A5738)),INDEX(Settings!$B$29:$B$40,MONTH(A5738)))))</f>
        <v/>
      </c>
    </row>
    <row r="5739" customFormat="false" ht="15" hidden="false" customHeight="false" outlineLevel="0" collapsed="false">
      <c r="H5739" s="0" t="str">
        <f aca="false">IF(B5739="","",IF(COUNTIF(Campaigns!$A$7:$A$300,B5739)&gt;0,"✓","⚠ add to Campaigns tab"))</f>
        <v/>
      </c>
      <c r="I5739" s="84" t="str">
        <f aca="false">IF(C5739="","",C5739*IF(Settings!$B$22=Settings!$C$6,1,IF(Settings!$B$22="USD",1/INDEX(Settings!$B$29:$B$40,MONTH(A5739)),INDEX(Settings!$B$29:$B$40,MONTH(A5739)))))</f>
        <v/>
      </c>
    </row>
    <row r="5740" customFormat="false" ht="15" hidden="false" customHeight="false" outlineLevel="0" collapsed="false">
      <c r="H5740" s="0" t="str">
        <f aca="false">IF(B5740="","",IF(COUNTIF(Campaigns!$A$7:$A$300,B5740)&gt;0,"✓","⚠ add to Campaigns tab"))</f>
        <v/>
      </c>
      <c r="I5740" s="84" t="str">
        <f aca="false">IF(C5740="","",C5740*IF(Settings!$B$22=Settings!$C$6,1,IF(Settings!$B$22="USD",1/INDEX(Settings!$B$29:$B$40,MONTH(A5740)),INDEX(Settings!$B$29:$B$40,MONTH(A5740)))))</f>
        <v/>
      </c>
    </row>
    <row r="5741" customFormat="false" ht="15" hidden="false" customHeight="false" outlineLevel="0" collapsed="false">
      <c r="H5741" s="0" t="str">
        <f aca="false">IF(B5741="","",IF(COUNTIF(Campaigns!$A$7:$A$300,B5741)&gt;0,"✓","⚠ add to Campaigns tab"))</f>
        <v/>
      </c>
      <c r="I5741" s="84" t="str">
        <f aca="false">IF(C5741="","",C5741*IF(Settings!$B$22=Settings!$C$6,1,IF(Settings!$B$22="USD",1/INDEX(Settings!$B$29:$B$40,MONTH(A5741)),INDEX(Settings!$B$29:$B$40,MONTH(A5741)))))</f>
        <v/>
      </c>
    </row>
    <row r="5742" customFormat="false" ht="15" hidden="false" customHeight="false" outlineLevel="0" collapsed="false">
      <c r="H5742" s="0" t="str">
        <f aca="false">IF(B5742="","",IF(COUNTIF(Campaigns!$A$7:$A$300,B5742)&gt;0,"✓","⚠ add to Campaigns tab"))</f>
        <v/>
      </c>
      <c r="I5742" s="84" t="str">
        <f aca="false">IF(C5742="","",C5742*IF(Settings!$B$22=Settings!$C$6,1,IF(Settings!$B$22="USD",1/INDEX(Settings!$B$29:$B$40,MONTH(A5742)),INDEX(Settings!$B$29:$B$40,MONTH(A5742)))))</f>
        <v/>
      </c>
    </row>
    <row r="5743" customFormat="false" ht="15" hidden="false" customHeight="false" outlineLevel="0" collapsed="false">
      <c r="H5743" s="0" t="str">
        <f aca="false">IF(B5743="","",IF(COUNTIF(Campaigns!$A$7:$A$300,B5743)&gt;0,"✓","⚠ add to Campaigns tab"))</f>
        <v/>
      </c>
      <c r="I5743" s="84" t="str">
        <f aca="false">IF(C5743="","",C5743*IF(Settings!$B$22=Settings!$C$6,1,IF(Settings!$B$22="USD",1/INDEX(Settings!$B$29:$B$40,MONTH(A5743)),INDEX(Settings!$B$29:$B$40,MONTH(A5743)))))</f>
        <v/>
      </c>
    </row>
    <row r="5744" customFormat="false" ht="15" hidden="false" customHeight="false" outlineLevel="0" collapsed="false">
      <c r="H5744" s="0" t="str">
        <f aca="false">IF(B5744="","",IF(COUNTIF(Campaigns!$A$7:$A$300,B5744)&gt;0,"✓","⚠ add to Campaigns tab"))</f>
        <v/>
      </c>
      <c r="I5744" s="84" t="str">
        <f aca="false">IF(C5744="","",C5744*IF(Settings!$B$22=Settings!$C$6,1,IF(Settings!$B$22="USD",1/INDEX(Settings!$B$29:$B$40,MONTH(A5744)),INDEX(Settings!$B$29:$B$40,MONTH(A5744)))))</f>
        <v/>
      </c>
    </row>
    <row r="5745" customFormat="false" ht="15" hidden="false" customHeight="false" outlineLevel="0" collapsed="false">
      <c r="H5745" s="0" t="str">
        <f aca="false">IF(B5745="","",IF(COUNTIF(Campaigns!$A$7:$A$300,B5745)&gt;0,"✓","⚠ add to Campaigns tab"))</f>
        <v/>
      </c>
      <c r="I5745" s="84" t="str">
        <f aca="false">IF(C5745="","",C5745*IF(Settings!$B$22=Settings!$C$6,1,IF(Settings!$B$22="USD",1/INDEX(Settings!$B$29:$B$40,MONTH(A5745)),INDEX(Settings!$B$29:$B$40,MONTH(A5745)))))</f>
        <v/>
      </c>
    </row>
    <row r="5746" customFormat="false" ht="15" hidden="false" customHeight="false" outlineLevel="0" collapsed="false">
      <c r="H5746" s="0" t="str">
        <f aca="false">IF(B5746="","",IF(COUNTIF(Campaigns!$A$7:$A$300,B5746)&gt;0,"✓","⚠ add to Campaigns tab"))</f>
        <v/>
      </c>
      <c r="I5746" s="84" t="str">
        <f aca="false">IF(C5746="","",C5746*IF(Settings!$B$22=Settings!$C$6,1,IF(Settings!$B$22="USD",1/INDEX(Settings!$B$29:$B$40,MONTH(A5746)),INDEX(Settings!$B$29:$B$40,MONTH(A5746)))))</f>
        <v/>
      </c>
    </row>
    <row r="5747" customFormat="false" ht="15" hidden="false" customHeight="false" outlineLevel="0" collapsed="false">
      <c r="H5747" s="0" t="str">
        <f aca="false">IF(B5747="","",IF(COUNTIF(Campaigns!$A$7:$A$300,B5747)&gt;0,"✓","⚠ add to Campaigns tab"))</f>
        <v/>
      </c>
      <c r="I5747" s="84" t="str">
        <f aca="false">IF(C5747="","",C5747*IF(Settings!$B$22=Settings!$C$6,1,IF(Settings!$B$22="USD",1/INDEX(Settings!$B$29:$B$40,MONTH(A5747)),INDEX(Settings!$B$29:$B$40,MONTH(A5747)))))</f>
        <v/>
      </c>
    </row>
    <row r="5748" customFormat="false" ht="15" hidden="false" customHeight="false" outlineLevel="0" collapsed="false">
      <c r="H5748" s="0" t="str">
        <f aca="false">IF(B5748="","",IF(COUNTIF(Campaigns!$A$7:$A$300,B5748)&gt;0,"✓","⚠ add to Campaigns tab"))</f>
        <v/>
      </c>
      <c r="I5748" s="84" t="str">
        <f aca="false">IF(C5748="","",C5748*IF(Settings!$B$22=Settings!$C$6,1,IF(Settings!$B$22="USD",1/INDEX(Settings!$B$29:$B$40,MONTH(A5748)),INDEX(Settings!$B$29:$B$40,MONTH(A5748)))))</f>
        <v/>
      </c>
    </row>
    <row r="5749" customFormat="false" ht="15" hidden="false" customHeight="false" outlineLevel="0" collapsed="false">
      <c r="H5749" s="0" t="str">
        <f aca="false">IF(B5749="","",IF(COUNTIF(Campaigns!$A$7:$A$300,B5749)&gt;0,"✓","⚠ add to Campaigns tab"))</f>
        <v/>
      </c>
      <c r="I5749" s="84" t="str">
        <f aca="false">IF(C5749="","",C5749*IF(Settings!$B$22=Settings!$C$6,1,IF(Settings!$B$22="USD",1/INDEX(Settings!$B$29:$B$40,MONTH(A5749)),INDEX(Settings!$B$29:$B$40,MONTH(A5749)))))</f>
        <v/>
      </c>
    </row>
    <row r="5750" customFormat="false" ht="15" hidden="false" customHeight="false" outlineLevel="0" collapsed="false">
      <c r="H5750" s="0" t="str">
        <f aca="false">IF(B5750="","",IF(COUNTIF(Campaigns!$A$7:$A$300,B5750)&gt;0,"✓","⚠ add to Campaigns tab"))</f>
        <v/>
      </c>
      <c r="I5750" s="84" t="str">
        <f aca="false">IF(C5750="","",C5750*IF(Settings!$B$22=Settings!$C$6,1,IF(Settings!$B$22="USD",1/INDEX(Settings!$B$29:$B$40,MONTH(A5750)),INDEX(Settings!$B$29:$B$40,MONTH(A5750)))))</f>
        <v/>
      </c>
    </row>
    <row r="5751" customFormat="false" ht="15" hidden="false" customHeight="false" outlineLevel="0" collapsed="false">
      <c r="H5751" s="0" t="str">
        <f aca="false">IF(B5751="","",IF(COUNTIF(Campaigns!$A$7:$A$300,B5751)&gt;0,"✓","⚠ add to Campaigns tab"))</f>
        <v/>
      </c>
      <c r="I5751" s="84" t="str">
        <f aca="false">IF(C5751="","",C5751*IF(Settings!$B$22=Settings!$C$6,1,IF(Settings!$B$22="USD",1/INDEX(Settings!$B$29:$B$40,MONTH(A5751)),INDEX(Settings!$B$29:$B$40,MONTH(A5751)))))</f>
        <v/>
      </c>
    </row>
    <row r="5752" customFormat="false" ht="15" hidden="false" customHeight="false" outlineLevel="0" collapsed="false">
      <c r="H5752" s="0" t="str">
        <f aca="false">IF(B5752="","",IF(COUNTIF(Campaigns!$A$7:$A$300,B5752)&gt;0,"✓","⚠ add to Campaigns tab"))</f>
        <v/>
      </c>
      <c r="I5752" s="84" t="str">
        <f aca="false">IF(C5752="","",C5752*IF(Settings!$B$22=Settings!$C$6,1,IF(Settings!$B$22="USD",1/INDEX(Settings!$B$29:$B$40,MONTH(A5752)),INDEX(Settings!$B$29:$B$40,MONTH(A5752)))))</f>
        <v/>
      </c>
    </row>
    <row r="5753" customFormat="false" ht="15" hidden="false" customHeight="false" outlineLevel="0" collapsed="false">
      <c r="H5753" s="0" t="str">
        <f aca="false">IF(B5753="","",IF(COUNTIF(Campaigns!$A$7:$A$300,B5753)&gt;0,"✓","⚠ add to Campaigns tab"))</f>
        <v/>
      </c>
      <c r="I5753" s="84" t="str">
        <f aca="false">IF(C5753="","",C5753*IF(Settings!$B$22=Settings!$C$6,1,IF(Settings!$B$22="USD",1/INDEX(Settings!$B$29:$B$40,MONTH(A5753)),INDEX(Settings!$B$29:$B$40,MONTH(A5753)))))</f>
        <v/>
      </c>
    </row>
    <row r="5754" customFormat="false" ht="15" hidden="false" customHeight="false" outlineLevel="0" collapsed="false">
      <c r="H5754" s="0" t="str">
        <f aca="false">IF(B5754="","",IF(COUNTIF(Campaigns!$A$7:$A$300,B5754)&gt;0,"✓","⚠ add to Campaigns tab"))</f>
        <v/>
      </c>
      <c r="I5754" s="84" t="str">
        <f aca="false">IF(C5754="","",C5754*IF(Settings!$B$22=Settings!$C$6,1,IF(Settings!$B$22="USD",1/INDEX(Settings!$B$29:$B$40,MONTH(A5754)),INDEX(Settings!$B$29:$B$40,MONTH(A5754)))))</f>
        <v/>
      </c>
    </row>
    <row r="5755" customFormat="false" ht="15" hidden="false" customHeight="false" outlineLevel="0" collapsed="false">
      <c r="H5755" s="0" t="str">
        <f aca="false">IF(B5755="","",IF(COUNTIF(Campaigns!$A$7:$A$300,B5755)&gt;0,"✓","⚠ add to Campaigns tab"))</f>
        <v/>
      </c>
      <c r="I5755" s="84" t="str">
        <f aca="false">IF(C5755="","",C5755*IF(Settings!$B$22=Settings!$C$6,1,IF(Settings!$B$22="USD",1/INDEX(Settings!$B$29:$B$40,MONTH(A5755)),INDEX(Settings!$B$29:$B$40,MONTH(A5755)))))</f>
        <v/>
      </c>
    </row>
    <row r="5756" customFormat="false" ht="15" hidden="false" customHeight="false" outlineLevel="0" collapsed="false">
      <c r="H5756" s="0" t="str">
        <f aca="false">IF(B5756="","",IF(COUNTIF(Campaigns!$A$7:$A$300,B5756)&gt;0,"✓","⚠ add to Campaigns tab"))</f>
        <v/>
      </c>
      <c r="I5756" s="84" t="str">
        <f aca="false">IF(C5756="","",C5756*IF(Settings!$B$22=Settings!$C$6,1,IF(Settings!$B$22="USD",1/INDEX(Settings!$B$29:$B$40,MONTH(A5756)),INDEX(Settings!$B$29:$B$40,MONTH(A5756)))))</f>
        <v/>
      </c>
    </row>
    <row r="5757" customFormat="false" ht="15" hidden="false" customHeight="false" outlineLevel="0" collapsed="false">
      <c r="H5757" s="0" t="str">
        <f aca="false">IF(B5757="","",IF(COUNTIF(Campaigns!$A$7:$A$300,B5757)&gt;0,"✓","⚠ add to Campaigns tab"))</f>
        <v/>
      </c>
      <c r="I5757" s="84" t="str">
        <f aca="false">IF(C5757="","",C5757*IF(Settings!$B$22=Settings!$C$6,1,IF(Settings!$B$22="USD",1/INDEX(Settings!$B$29:$B$40,MONTH(A5757)),INDEX(Settings!$B$29:$B$40,MONTH(A5757)))))</f>
        <v/>
      </c>
    </row>
    <row r="5758" customFormat="false" ht="15" hidden="false" customHeight="false" outlineLevel="0" collapsed="false">
      <c r="H5758" s="0" t="str">
        <f aca="false">IF(B5758="","",IF(COUNTIF(Campaigns!$A$7:$A$300,B5758)&gt;0,"✓","⚠ add to Campaigns tab"))</f>
        <v/>
      </c>
      <c r="I5758" s="84" t="str">
        <f aca="false">IF(C5758="","",C5758*IF(Settings!$B$22=Settings!$C$6,1,IF(Settings!$B$22="USD",1/INDEX(Settings!$B$29:$B$40,MONTH(A5758)),INDEX(Settings!$B$29:$B$40,MONTH(A5758)))))</f>
        <v/>
      </c>
    </row>
    <row r="5759" customFormat="false" ht="15" hidden="false" customHeight="false" outlineLevel="0" collapsed="false">
      <c r="H5759" s="0" t="str">
        <f aca="false">IF(B5759="","",IF(COUNTIF(Campaigns!$A$7:$A$300,B5759)&gt;0,"✓","⚠ add to Campaigns tab"))</f>
        <v/>
      </c>
      <c r="I5759" s="84" t="str">
        <f aca="false">IF(C5759="","",C5759*IF(Settings!$B$22=Settings!$C$6,1,IF(Settings!$B$22="USD",1/INDEX(Settings!$B$29:$B$40,MONTH(A5759)),INDEX(Settings!$B$29:$B$40,MONTH(A5759)))))</f>
        <v/>
      </c>
    </row>
    <row r="5760" customFormat="false" ht="15" hidden="false" customHeight="false" outlineLevel="0" collapsed="false">
      <c r="H5760" s="0" t="str">
        <f aca="false">IF(B5760="","",IF(COUNTIF(Campaigns!$A$7:$A$300,B5760)&gt;0,"✓","⚠ add to Campaigns tab"))</f>
        <v/>
      </c>
      <c r="I5760" s="84" t="str">
        <f aca="false">IF(C5760="","",C5760*IF(Settings!$B$22=Settings!$C$6,1,IF(Settings!$B$22="USD",1/INDEX(Settings!$B$29:$B$40,MONTH(A5760)),INDEX(Settings!$B$29:$B$40,MONTH(A5760)))))</f>
        <v/>
      </c>
    </row>
    <row r="5761" customFormat="false" ht="15" hidden="false" customHeight="false" outlineLevel="0" collapsed="false">
      <c r="H5761" s="0" t="str">
        <f aca="false">IF(B5761="","",IF(COUNTIF(Campaigns!$A$7:$A$300,B5761)&gt;0,"✓","⚠ add to Campaigns tab"))</f>
        <v/>
      </c>
      <c r="I5761" s="84" t="str">
        <f aca="false">IF(C5761="","",C5761*IF(Settings!$B$22=Settings!$C$6,1,IF(Settings!$B$22="USD",1/INDEX(Settings!$B$29:$B$40,MONTH(A5761)),INDEX(Settings!$B$29:$B$40,MONTH(A5761)))))</f>
        <v/>
      </c>
    </row>
    <row r="5762" customFormat="false" ht="15" hidden="false" customHeight="false" outlineLevel="0" collapsed="false">
      <c r="H5762" s="0" t="str">
        <f aca="false">IF(B5762="","",IF(COUNTIF(Campaigns!$A$7:$A$300,B5762)&gt;0,"✓","⚠ add to Campaigns tab"))</f>
        <v/>
      </c>
      <c r="I5762" s="84" t="str">
        <f aca="false">IF(C5762="","",C5762*IF(Settings!$B$22=Settings!$C$6,1,IF(Settings!$B$22="USD",1/INDEX(Settings!$B$29:$B$40,MONTH(A5762)),INDEX(Settings!$B$29:$B$40,MONTH(A5762)))))</f>
        <v/>
      </c>
    </row>
    <row r="5763" customFormat="false" ht="15" hidden="false" customHeight="false" outlineLevel="0" collapsed="false">
      <c r="H5763" s="0" t="str">
        <f aca="false">IF(B5763="","",IF(COUNTIF(Campaigns!$A$7:$A$300,B5763)&gt;0,"✓","⚠ add to Campaigns tab"))</f>
        <v/>
      </c>
      <c r="I5763" s="84" t="str">
        <f aca="false">IF(C5763="","",C5763*IF(Settings!$B$22=Settings!$C$6,1,IF(Settings!$B$22="USD",1/INDEX(Settings!$B$29:$B$40,MONTH(A5763)),INDEX(Settings!$B$29:$B$40,MONTH(A5763)))))</f>
        <v/>
      </c>
    </row>
    <row r="5764" customFormat="false" ht="15" hidden="false" customHeight="false" outlineLevel="0" collapsed="false">
      <c r="H5764" s="0" t="str">
        <f aca="false">IF(B5764="","",IF(COUNTIF(Campaigns!$A$7:$A$300,B5764)&gt;0,"✓","⚠ add to Campaigns tab"))</f>
        <v/>
      </c>
      <c r="I5764" s="84" t="str">
        <f aca="false">IF(C5764="","",C5764*IF(Settings!$B$22=Settings!$C$6,1,IF(Settings!$B$22="USD",1/INDEX(Settings!$B$29:$B$40,MONTH(A5764)),INDEX(Settings!$B$29:$B$40,MONTH(A5764)))))</f>
        <v/>
      </c>
    </row>
    <row r="5765" customFormat="false" ht="15" hidden="false" customHeight="false" outlineLevel="0" collapsed="false">
      <c r="H5765" s="0" t="str">
        <f aca="false">IF(B5765="","",IF(COUNTIF(Campaigns!$A$7:$A$300,B5765)&gt;0,"✓","⚠ add to Campaigns tab"))</f>
        <v/>
      </c>
      <c r="I5765" s="84" t="str">
        <f aca="false">IF(C5765="","",C5765*IF(Settings!$B$22=Settings!$C$6,1,IF(Settings!$B$22="USD",1/INDEX(Settings!$B$29:$B$40,MONTH(A5765)),INDEX(Settings!$B$29:$B$40,MONTH(A5765)))))</f>
        <v/>
      </c>
    </row>
    <row r="5766" customFormat="false" ht="15" hidden="false" customHeight="false" outlineLevel="0" collapsed="false">
      <c r="H5766" s="0" t="str">
        <f aca="false">IF(B5766="","",IF(COUNTIF(Campaigns!$A$7:$A$300,B5766)&gt;0,"✓","⚠ add to Campaigns tab"))</f>
        <v/>
      </c>
      <c r="I5766" s="84" t="str">
        <f aca="false">IF(C5766="","",C5766*IF(Settings!$B$22=Settings!$C$6,1,IF(Settings!$B$22="USD",1/INDEX(Settings!$B$29:$B$40,MONTH(A5766)),INDEX(Settings!$B$29:$B$40,MONTH(A5766)))))</f>
        <v/>
      </c>
    </row>
    <row r="5767" customFormat="false" ht="15" hidden="false" customHeight="false" outlineLevel="0" collapsed="false">
      <c r="H5767" s="0" t="str">
        <f aca="false">IF(B5767="","",IF(COUNTIF(Campaigns!$A$7:$A$300,B5767)&gt;0,"✓","⚠ add to Campaigns tab"))</f>
        <v/>
      </c>
      <c r="I5767" s="84" t="str">
        <f aca="false">IF(C5767="","",C5767*IF(Settings!$B$22=Settings!$C$6,1,IF(Settings!$B$22="USD",1/INDEX(Settings!$B$29:$B$40,MONTH(A5767)),INDEX(Settings!$B$29:$B$40,MONTH(A5767)))))</f>
        <v/>
      </c>
    </row>
    <row r="5768" customFormat="false" ht="15" hidden="false" customHeight="false" outlineLevel="0" collapsed="false">
      <c r="H5768" s="0" t="str">
        <f aca="false">IF(B5768="","",IF(COUNTIF(Campaigns!$A$7:$A$300,B5768)&gt;0,"✓","⚠ add to Campaigns tab"))</f>
        <v/>
      </c>
      <c r="I5768" s="84" t="str">
        <f aca="false">IF(C5768="","",C5768*IF(Settings!$B$22=Settings!$C$6,1,IF(Settings!$B$22="USD",1/INDEX(Settings!$B$29:$B$40,MONTH(A5768)),INDEX(Settings!$B$29:$B$40,MONTH(A5768)))))</f>
        <v/>
      </c>
    </row>
    <row r="5769" customFormat="false" ht="15" hidden="false" customHeight="false" outlineLevel="0" collapsed="false">
      <c r="H5769" s="0" t="str">
        <f aca="false">IF(B5769="","",IF(COUNTIF(Campaigns!$A$7:$A$300,B5769)&gt;0,"✓","⚠ add to Campaigns tab"))</f>
        <v/>
      </c>
      <c r="I5769" s="84" t="str">
        <f aca="false">IF(C5769="","",C5769*IF(Settings!$B$22=Settings!$C$6,1,IF(Settings!$B$22="USD",1/INDEX(Settings!$B$29:$B$40,MONTH(A5769)),INDEX(Settings!$B$29:$B$40,MONTH(A5769)))))</f>
        <v/>
      </c>
    </row>
    <row r="5770" customFormat="false" ht="15" hidden="false" customHeight="false" outlineLevel="0" collapsed="false">
      <c r="H5770" s="0" t="str">
        <f aca="false">IF(B5770="","",IF(COUNTIF(Campaigns!$A$7:$A$300,B5770)&gt;0,"✓","⚠ add to Campaigns tab"))</f>
        <v/>
      </c>
      <c r="I5770" s="84" t="str">
        <f aca="false">IF(C5770="","",C5770*IF(Settings!$B$22=Settings!$C$6,1,IF(Settings!$B$22="USD",1/INDEX(Settings!$B$29:$B$40,MONTH(A5770)),INDEX(Settings!$B$29:$B$40,MONTH(A5770)))))</f>
        <v/>
      </c>
    </row>
    <row r="5771" customFormat="false" ht="15" hidden="false" customHeight="false" outlineLevel="0" collapsed="false">
      <c r="H5771" s="0" t="str">
        <f aca="false">IF(B5771="","",IF(COUNTIF(Campaigns!$A$7:$A$300,B5771)&gt;0,"✓","⚠ add to Campaigns tab"))</f>
        <v/>
      </c>
      <c r="I5771" s="84" t="str">
        <f aca="false">IF(C5771="","",C5771*IF(Settings!$B$22=Settings!$C$6,1,IF(Settings!$B$22="USD",1/INDEX(Settings!$B$29:$B$40,MONTH(A5771)),INDEX(Settings!$B$29:$B$40,MONTH(A5771)))))</f>
        <v/>
      </c>
    </row>
    <row r="5772" customFormat="false" ht="15" hidden="false" customHeight="false" outlineLevel="0" collapsed="false">
      <c r="H5772" s="0" t="str">
        <f aca="false">IF(B5772="","",IF(COUNTIF(Campaigns!$A$7:$A$300,B5772)&gt;0,"✓","⚠ add to Campaigns tab"))</f>
        <v/>
      </c>
      <c r="I5772" s="84" t="str">
        <f aca="false">IF(C5772="","",C5772*IF(Settings!$B$22=Settings!$C$6,1,IF(Settings!$B$22="USD",1/INDEX(Settings!$B$29:$B$40,MONTH(A5772)),INDEX(Settings!$B$29:$B$40,MONTH(A5772)))))</f>
        <v/>
      </c>
    </row>
    <row r="5773" customFormat="false" ht="15" hidden="false" customHeight="false" outlineLevel="0" collapsed="false">
      <c r="H5773" s="0" t="str">
        <f aca="false">IF(B5773="","",IF(COUNTIF(Campaigns!$A$7:$A$300,B5773)&gt;0,"✓","⚠ add to Campaigns tab"))</f>
        <v/>
      </c>
      <c r="I5773" s="84" t="str">
        <f aca="false">IF(C5773="","",C5773*IF(Settings!$B$22=Settings!$C$6,1,IF(Settings!$B$22="USD",1/INDEX(Settings!$B$29:$B$40,MONTH(A5773)),INDEX(Settings!$B$29:$B$40,MONTH(A5773)))))</f>
        <v/>
      </c>
    </row>
    <row r="5774" customFormat="false" ht="15" hidden="false" customHeight="false" outlineLevel="0" collapsed="false">
      <c r="H5774" s="0" t="str">
        <f aca="false">IF(B5774="","",IF(COUNTIF(Campaigns!$A$7:$A$300,B5774)&gt;0,"✓","⚠ add to Campaigns tab"))</f>
        <v/>
      </c>
      <c r="I5774" s="84" t="str">
        <f aca="false">IF(C5774="","",C5774*IF(Settings!$B$22=Settings!$C$6,1,IF(Settings!$B$22="USD",1/INDEX(Settings!$B$29:$B$40,MONTH(A5774)),INDEX(Settings!$B$29:$B$40,MONTH(A5774)))))</f>
        <v/>
      </c>
    </row>
    <row r="5775" customFormat="false" ht="15" hidden="false" customHeight="false" outlineLevel="0" collapsed="false">
      <c r="H5775" s="0" t="str">
        <f aca="false">IF(B5775="","",IF(COUNTIF(Campaigns!$A$7:$A$300,B5775)&gt;0,"✓","⚠ add to Campaigns tab"))</f>
        <v/>
      </c>
      <c r="I5775" s="84" t="str">
        <f aca="false">IF(C5775="","",C5775*IF(Settings!$B$22=Settings!$C$6,1,IF(Settings!$B$22="USD",1/INDEX(Settings!$B$29:$B$40,MONTH(A5775)),INDEX(Settings!$B$29:$B$40,MONTH(A5775)))))</f>
        <v/>
      </c>
    </row>
    <row r="5776" customFormat="false" ht="15" hidden="false" customHeight="false" outlineLevel="0" collapsed="false">
      <c r="H5776" s="0" t="str">
        <f aca="false">IF(B5776="","",IF(COUNTIF(Campaigns!$A$7:$A$300,B5776)&gt;0,"✓","⚠ add to Campaigns tab"))</f>
        <v/>
      </c>
      <c r="I5776" s="84" t="str">
        <f aca="false">IF(C5776="","",C5776*IF(Settings!$B$22=Settings!$C$6,1,IF(Settings!$B$22="USD",1/INDEX(Settings!$B$29:$B$40,MONTH(A5776)),INDEX(Settings!$B$29:$B$40,MONTH(A5776)))))</f>
        <v/>
      </c>
    </row>
    <row r="5777" customFormat="false" ht="15" hidden="false" customHeight="false" outlineLevel="0" collapsed="false">
      <c r="H5777" s="0" t="str">
        <f aca="false">IF(B5777="","",IF(COUNTIF(Campaigns!$A$7:$A$300,B5777)&gt;0,"✓","⚠ add to Campaigns tab"))</f>
        <v/>
      </c>
      <c r="I5777" s="84" t="str">
        <f aca="false">IF(C5777="","",C5777*IF(Settings!$B$22=Settings!$C$6,1,IF(Settings!$B$22="USD",1/INDEX(Settings!$B$29:$B$40,MONTH(A5777)),INDEX(Settings!$B$29:$B$40,MONTH(A5777)))))</f>
        <v/>
      </c>
    </row>
    <row r="5778" customFormat="false" ht="15" hidden="false" customHeight="false" outlineLevel="0" collapsed="false">
      <c r="H5778" s="0" t="str">
        <f aca="false">IF(B5778="","",IF(COUNTIF(Campaigns!$A$7:$A$300,B5778)&gt;0,"✓","⚠ add to Campaigns tab"))</f>
        <v/>
      </c>
      <c r="I5778" s="84" t="str">
        <f aca="false">IF(C5778="","",C5778*IF(Settings!$B$22=Settings!$C$6,1,IF(Settings!$B$22="USD",1/INDEX(Settings!$B$29:$B$40,MONTH(A5778)),INDEX(Settings!$B$29:$B$40,MONTH(A5778)))))</f>
        <v/>
      </c>
    </row>
    <row r="5779" customFormat="false" ht="15" hidden="false" customHeight="false" outlineLevel="0" collapsed="false">
      <c r="H5779" s="0" t="str">
        <f aca="false">IF(B5779="","",IF(COUNTIF(Campaigns!$A$7:$A$300,B5779)&gt;0,"✓","⚠ add to Campaigns tab"))</f>
        <v/>
      </c>
      <c r="I5779" s="84" t="str">
        <f aca="false">IF(C5779="","",C5779*IF(Settings!$B$22=Settings!$C$6,1,IF(Settings!$B$22="USD",1/INDEX(Settings!$B$29:$B$40,MONTH(A5779)),INDEX(Settings!$B$29:$B$40,MONTH(A5779)))))</f>
        <v/>
      </c>
    </row>
    <row r="5780" customFormat="false" ht="15" hidden="false" customHeight="false" outlineLevel="0" collapsed="false">
      <c r="H5780" s="0" t="str">
        <f aca="false">IF(B5780="","",IF(COUNTIF(Campaigns!$A$7:$A$300,B5780)&gt;0,"✓","⚠ add to Campaigns tab"))</f>
        <v/>
      </c>
      <c r="I5780" s="84" t="str">
        <f aca="false">IF(C5780="","",C5780*IF(Settings!$B$22=Settings!$C$6,1,IF(Settings!$B$22="USD",1/INDEX(Settings!$B$29:$B$40,MONTH(A5780)),INDEX(Settings!$B$29:$B$40,MONTH(A5780)))))</f>
        <v/>
      </c>
    </row>
    <row r="5781" customFormat="false" ht="15" hidden="false" customHeight="false" outlineLevel="0" collapsed="false">
      <c r="H5781" s="0" t="str">
        <f aca="false">IF(B5781="","",IF(COUNTIF(Campaigns!$A$7:$A$300,B5781)&gt;0,"✓","⚠ add to Campaigns tab"))</f>
        <v/>
      </c>
      <c r="I5781" s="84" t="str">
        <f aca="false">IF(C5781="","",C5781*IF(Settings!$B$22=Settings!$C$6,1,IF(Settings!$B$22="USD",1/INDEX(Settings!$B$29:$B$40,MONTH(A5781)),INDEX(Settings!$B$29:$B$40,MONTH(A5781)))))</f>
        <v/>
      </c>
    </row>
    <row r="5782" customFormat="false" ht="15" hidden="false" customHeight="false" outlineLevel="0" collapsed="false">
      <c r="H5782" s="0" t="str">
        <f aca="false">IF(B5782="","",IF(COUNTIF(Campaigns!$A$7:$A$300,B5782)&gt;0,"✓","⚠ add to Campaigns tab"))</f>
        <v/>
      </c>
      <c r="I5782" s="84" t="str">
        <f aca="false">IF(C5782="","",C5782*IF(Settings!$B$22=Settings!$C$6,1,IF(Settings!$B$22="USD",1/INDEX(Settings!$B$29:$B$40,MONTH(A5782)),INDEX(Settings!$B$29:$B$40,MONTH(A5782)))))</f>
        <v/>
      </c>
    </row>
    <row r="5783" customFormat="false" ht="15" hidden="false" customHeight="false" outlineLevel="0" collapsed="false">
      <c r="H5783" s="0" t="str">
        <f aca="false">IF(B5783="","",IF(COUNTIF(Campaigns!$A$7:$A$300,B5783)&gt;0,"✓","⚠ add to Campaigns tab"))</f>
        <v/>
      </c>
      <c r="I5783" s="84" t="str">
        <f aca="false">IF(C5783="","",C5783*IF(Settings!$B$22=Settings!$C$6,1,IF(Settings!$B$22="USD",1/INDEX(Settings!$B$29:$B$40,MONTH(A5783)),INDEX(Settings!$B$29:$B$40,MONTH(A5783)))))</f>
        <v/>
      </c>
    </row>
    <row r="5784" customFormat="false" ht="15" hidden="false" customHeight="false" outlineLevel="0" collapsed="false">
      <c r="H5784" s="0" t="str">
        <f aca="false">IF(B5784="","",IF(COUNTIF(Campaigns!$A$7:$A$300,B5784)&gt;0,"✓","⚠ add to Campaigns tab"))</f>
        <v/>
      </c>
      <c r="I5784" s="84" t="str">
        <f aca="false">IF(C5784="","",C5784*IF(Settings!$B$22=Settings!$C$6,1,IF(Settings!$B$22="USD",1/INDEX(Settings!$B$29:$B$40,MONTH(A5784)),INDEX(Settings!$B$29:$B$40,MONTH(A5784)))))</f>
        <v/>
      </c>
    </row>
    <row r="5785" customFormat="false" ht="15" hidden="false" customHeight="false" outlineLevel="0" collapsed="false">
      <c r="H5785" s="0" t="str">
        <f aca="false">IF(B5785="","",IF(COUNTIF(Campaigns!$A$7:$A$300,B5785)&gt;0,"✓","⚠ add to Campaigns tab"))</f>
        <v/>
      </c>
      <c r="I5785" s="84" t="str">
        <f aca="false">IF(C5785="","",C5785*IF(Settings!$B$22=Settings!$C$6,1,IF(Settings!$B$22="USD",1/INDEX(Settings!$B$29:$B$40,MONTH(A5785)),INDEX(Settings!$B$29:$B$40,MONTH(A5785)))))</f>
        <v/>
      </c>
    </row>
    <row r="5786" customFormat="false" ht="15" hidden="false" customHeight="false" outlineLevel="0" collapsed="false">
      <c r="H5786" s="0" t="str">
        <f aca="false">IF(B5786="","",IF(COUNTIF(Campaigns!$A$7:$A$300,B5786)&gt;0,"✓","⚠ add to Campaigns tab"))</f>
        <v/>
      </c>
      <c r="I5786" s="84" t="str">
        <f aca="false">IF(C5786="","",C5786*IF(Settings!$B$22=Settings!$C$6,1,IF(Settings!$B$22="USD",1/INDEX(Settings!$B$29:$B$40,MONTH(A5786)),INDEX(Settings!$B$29:$B$40,MONTH(A5786)))))</f>
        <v/>
      </c>
    </row>
    <row r="5787" customFormat="false" ht="15" hidden="false" customHeight="false" outlineLevel="0" collapsed="false">
      <c r="H5787" s="0" t="str">
        <f aca="false">IF(B5787="","",IF(COUNTIF(Campaigns!$A$7:$A$300,B5787)&gt;0,"✓","⚠ add to Campaigns tab"))</f>
        <v/>
      </c>
      <c r="I5787" s="84" t="str">
        <f aca="false">IF(C5787="","",C5787*IF(Settings!$B$22=Settings!$C$6,1,IF(Settings!$B$22="USD",1/INDEX(Settings!$B$29:$B$40,MONTH(A5787)),INDEX(Settings!$B$29:$B$40,MONTH(A5787)))))</f>
        <v/>
      </c>
    </row>
    <row r="5788" customFormat="false" ht="15" hidden="false" customHeight="false" outlineLevel="0" collapsed="false">
      <c r="H5788" s="0" t="str">
        <f aca="false">IF(B5788="","",IF(COUNTIF(Campaigns!$A$7:$A$300,B5788)&gt;0,"✓","⚠ add to Campaigns tab"))</f>
        <v/>
      </c>
      <c r="I5788" s="84" t="str">
        <f aca="false">IF(C5788="","",C5788*IF(Settings!$B$22=Settings!$C$6,1,IF(Settings!$B$22="USD",1/INDEX(Settings!$B$29:$B$40,MONTH(A5788)),INDEX(Settings!$B$29:$B$40,MONTH(A5788)))))</f>
        <v/>
      </c>
    </row>
    <row r="5789" customFormat="false" ht="15" hidden="false" customHeight="false" outlineLevel="0" collapsed="false">
      <c r="H5789" s="0" t="str">
        <f aca="false">IF(B5789="","",IF(COUNTIF(Campaigns!$A$7:$A$300,B5789)&gt;0,"✓","⚠ add to Campaigns tab"))</f>
        <v/>
      </c>
      <c r="I5789" s="84" t="str">
        <f aca="false">IF(C5789="","",C5789*IF(Settings!$B$22=Settings!$C$6,1,IF(Settings!$B$22="USD",1/INDEX(Settings!$B$29:$B$40,MONTH(A5789)),INDEX(Settings!$B$29:$B$40,MONTH(A5789)))))</f>
        <v/>
      </c>
    </row>
    <row r="5790" customFormat="false" ht="15" hidden="false" customHeight="false" outlineLevel="0" collapsed="false">
      <c r="H5790" s="0" t="str">
        <f aca="false">IF(B5790="","",IF(COUNTIF(Campaigns!$A$7:$A$300,B5790)&gt;0,"✓","⚠ add to Campaigns tab"))</f>
        <v/>
      </c>
      <c r="I5790" s="84" t="str">
        <f aca="false">IF(C5790="","",C5790*IF(Settings!$B$22=Settings!$C$6,1,IF(Settings!$B$22="USD",1/INDEX(Settings!$B$29:$B$40,MONTH(A5790)),INDEX(Settings!$B$29:$B$40,MONTH(A5790)))))</f>
        <v/>
      </c>
    </row>
    <row r="5791" customFormat="false" ht="15" hidden="false" customHeight="false" outlineLevel="0" collapsed="false">
      <c r="H5791" s="0" t="str">
        <f aca="false">IF(B5791="","",IF(COUNTIF(Campaigns!$A$7:$A$300,B5791)&gt;0,"✓","⚠ add to Campaigns tab"))</f>
        <v/>
      </c>
      <c r="I5791" s="84" t="str">
        <f aca="false">IF(C5791="","",C5791*IF(Settings!$B$22=Settings!$C$6,1,IF(Settings!$B$22="USD",1/INDEX(Settings!$B$29:$B$40,MONTH(A5791)),INDEX(Settings!$B$29:$B$40,MONTH(A5791)))))</f>
        <v/>
      </c>
    </row>
    <row r="5792" customFormat="false" ht="15" hidden="false" customHeight="false" outlineLevel="0" collapsed="false">
      <c r="H5792" s="0" t="str">
        <f aca="false">IF(B5792="","",IF(COUNTIF(Campaigns!$A$7:$A$300,B5792)&gt;0,"✓","⚠ add to Campaigns tab"))</f>
        <v/>
      </c>
      <c r="I5792" s="84" t="str">
        <f aca="false">IF(C5792="","",C5792*IF(Settings!$B$22=Settings!$C$6,1,IF(Settings!$B$22="USD",1/INDEX(Settings!$B$29:$B$40,MONTH(A5792)),INDEX(Settings!$B$29:$B$40,MONTH(A5792)))))</f>
        <v/>
      </c>
    </row>
    <row r="5793" customFormat="false" ht="15" hidden="false" customHeight="false" outlineLevel="0" collapsed="false">
      <c r="H5793" s="0" t="str">
        <f aca="false">IF(B5793="","",IF(COUNTIF(Campaigns!$A$7:$A$300,B5793)&gt;0,"✓","⚠ add to Campaigns tab"))</f>
        <v/>
      </c>
      <c r="I5793" s="84" t="str">
        <f aca="false">IF(C5793="","",C5793*IF(Settings!$B$22=Settings!$C$6,1,IF(Settings!$B$22="USD",1/INDEX(Settings!$B$29:$B$40,MONTH(A5793)),INDEX(Settings!$B$29:$B$40,MONTH(A5793)))))</f>
        <v/>
      </c>
    </row>
    <row r="5794" customFormat="false" ht="15" hidden="false" customHeight="false" outlineLevel="0" collapsed="false">
      <c r="H5794" s="0" t="str">
        <f aca="false">IF(B5794="","",IF(COUNTIF(Campaigns!$A$7:$A$300,B5794)&gt;0,"✓","⚠ add to Campaigns tab"))</f>
        <v/>
      </c>
      <c r="I5794" s="84" t="str">
        <f aca="false">IF(C5794="","",C5794*IF(Settings!$B$22=Settings!$C$6,1,IF(Settings!$B$22="USD",1/INDEX(Settings!$B$29:$B$40,MONTH(A5794)),INDEX(Settings!$B$29:$B$40,MONTH(A5794)))))</f>
        <v/>
      </c>
    </row>
    <row r="5795" customFormat="false" ht="15" hidden="false" customHeight="false" outlineLevel="0" collapsed="false">
      <c r="H5795" s="0" t="str">
        <f aca="false">IF(B5795="","",IF(COUNTIF(Campaigns!$A$7:$A$300,B5795)&gt;0,"✓","⚠ add to Campaigns tab"))</f>
        <v/>
      </c>
      <c r="I5795" s="84" t="str">
        <f aca="false">IF(C5795="","",C5795*IF(Settings!$B$22=Settings!$C$6,1,IF(Settings!$B$22="USD",1/INDEX(Settings!$B$29:$B$40,MONTH(A5795)),INDEX(Settings!$B$29:$B$40,MONTH(A5795)))))</f>
        <v/>
      </c>
    </row>
    <row r="5796" customFormat="false" ht="15" hidden="false" customHeight="false" outlineLevel="0" collapsed="false">
      <c r="H5796" s="0" t="str">
        <f aca="false">IF(B5796="","",IF(COUNTIF(Campaigns!$A$7:$A$300,B5796)&gt;0,"✓","⚠ add to Campaigns tab"))</f>
        <v/>
      </c>
      <c r="I5796" s="84" t="str">
        <f aca="false">IF(C5796="","",C5796*IF(Settings!$B$22=Settings!$C$6,1,IF(Settings!$B$22="USD",1/INDEX(Settings!$B$29:$B$40,MONTH(A5796)),INDEX(Settings!$B$29:$B$40,MONTH(A5796)))))</f>
        <v/>
      </c>
    </row>
    <row r="5797" customFormat="false" ht="15" hidden="false" customHeight="false" outlineLevel="0" collapsed="false">
      <c r="H5797" s="0" t="str">
        <f aca="false">IF(B5797="","",IF(COUNTIF(Campaigns!$A$7:$A$300,B5797)&gt;0,"✓","⚠ add to Campaigns tab"))</f>
        <v/>
      </c>
      <c r="I5797" s="84" t="str">
        <f aca="false">IF(C5797="","",C5797*IF(Settings!$B$22=Settings!$C$6,1,IF(Settings!$B$22="USD",1/INDEX(Settings!$B$29:$B$40,MONTH(A5797)),INDEX(Settings!$B$29:$B$40,MONTH(A5797)))))</f>
        <v/>
      </c>
    </row>
    <row r="5798" customFormat="false" ht="15" hidden="false" customHeight="false" outlineLevel="0" collapsed="false">
      <c r="H5798" s="0" t="str">
        <f aca="false">IF(B5798="","",IF(COUNTIF(Campaigns!$A$7:$A$300,B5798)&gt;0,"✓","⚠ add to Campaigns tab"))</f>
        <v/>
      </c>
      <c r="I5798" s="84" t="str">
        <f aca="false">IF(C5798="","",C5798*IF(Settings!$B$22=Settings!$C$6,1,IF(Settings!$B$22="USD",1/INDEX(Settings!$B$29:$B$40,MONTH(A5798)),INDEX(Settings!$B$29:$B$40,MONTH(A5798)))))</f>
        <v/>
      </c>
    </row>
    <row r="5799" customFormat="false" ht="15" hidden="false" customHeight="false" outlineLevel="0" collapsed="false">
      <c r="H5799" s="0" t="str">
        <f aca="false">IF(B5799="","",IF(COUNTIF(Campaigns!$A$7:$A$300,B5799)&gt;0,"✓","⚠ add to Campaigns tab"))</f>
        <v/>
      </c>
      <c r="I5799" s="84" t="str">
        <f aca="false">IF(C5799="","",C5799*IF(Settings!$B$22=Settings!$C$6,1,IF(Settings!$B$22="USD",1/INDEX(Settings!$B$29:$B$40,MONTH(A5799)),INDEX(Settings!$B$29:$B$40,MONTH(A5799)))))</f>
        <v/>
      </c>
    </row>
    <row r="5800" customFormat="false" ht="15" hidden="false" customHeight="false" outlineLevel="0" collapsed="false">
      <c r="H5800" s="0" t="str">
        <f aca="false">IF(B5800="","",IF(COUNTIF(Campaigns!$A$7:$A$300,B5800)&gt;0,"✓","⚠ add to Campaigns tab"))</f>
        <v/>
      </c>
      <c r="I5800" s="84" t="str">
        <f aca="false">IF(C5800="","",C5800*IF(Settings!$B$22=Settings!$C$6,1,IF(Settings!$B$22="USD",1/INDEX(Settings!$B$29:$B$40,MONTH(A5800)),INDEX(Settings!$B$29:$B$40,MONTH(A5800)))))</f>
        <v/>
      </c>
    </row>
    <row r="5801" customFormat="false" ht="15" hidden="false" customHeight="false" outlineLevel="0" collapsed="false">
      <c r="H5801" s="0" t="str">
        <f aca="false">IF(B5801="","",IF(COUNTIF(Campaigns!$A$7:$A$300,B5801)&gt;0,"✓","⚠ add to Campaigns tab"))</f>
        <v/>
      </c>
      <c r="I5801" s="84" t="str">
        <f aca="false">IF(C5801="","",C5801*IF(Settings!$B$22=Settings!$C$6,1,IF(Settings!$B$22="USD",1/INDEX(Settings!$B$29:$B$40,MONTH(A5801)),INDEX(Settings!$B$29:$B$40,MONTH(A5801)))))</f>
        <v/>
      </c>
    </row>
    <row r="5802" customFormat="false" ht="15" hidden="false" customHeight="false" outlineLevel="0" collapsed="false">
      <c r="H5802" s="0" t="str">
        <f aca="false">IF(B5802="","",IF(COUNTIF(Campaigns!$A$7:$A$300,B5802)&gt;0,"✓","⚠ add to Campaigns tab"))</f>
        <v/>
      </c>
      <c r="I5802" s="84" t="str">
        <f aca="false">IF(C5802="","",C5802*IF(Settings!$B$22=Settings!$C$6,1,IF(Settings!$B$22="USD",1/INDEX(Settings!$B$29:$B$40,MONTH(A5802)),INDEX(Settings!$B$29:$B$40,MONTH(A5802)))))</f>
        <v/>
      </c>
    </row>
    <row r="5803" customFormat="false" ht="15" hidden="false" customHeight="false" outlineLevel="0" collapsed="false">
      <c r="H5803" s="0" t="str">
        <f aca="false">IF(B5803="","",IF(COUNTIF(Campaigns!$A$7:$A$300,B5803)&gt;0,"✓","⚠ add to Campaigns tab"))</f>
        <v/>
      </c>
      <c r="I5803" s="84" t="str">
        <f aca="false">IF(C5803="","",C5803*IF(Settings!$B$22=Settings!$C$6,1,IF(Settings!$B$22="USD",1/INDEX(Settings!$B$29:$B$40,MONTH(A5803)),INDEX(Settings!$B$29:$B$40,MONTH(A5803)))))</f>
        <v/>
      </c>
    </row>
    <row r="5804" customFormat="false" ht="15" hidden="false" customHeight="false" outlineLevel="0" collapsed="false">
      <c r="H5804" s="0" t="str">
        <f aca="false">IF(B5804="","",IF(COUNTIF(Campaigns!$A$7:$A$300,B5804)&gt;0,"✓","⚠ add to Campaigns tab"))</f>
        <v/>
      </c>
      <c r="I5804" s="84" t="str">
        <f aca="false">IF(C5804="","",C5804*IF(Settings!$B$22=Settings!$C$6,1,IF(Settings!$B$22="USD",1/INDEX(Settings!$B$29:$B$40,MONTH(A5804)),INDEX(Settings!$B$29:$B$40,MONTH(A5804)))))</f>
        <v/>
      </c>
    </row>
    <row r="5805" customFormat="false" ht="15" hidden="false" customHeight="false" outlineLevel="0" collapsed="false">
      <c r="H5805" s="0" t="str">
        <f aca="false">IF(B5805="","",IF(COUNTIF(Campaigns!$A$7:$A$300,B5805)&gt;0,"✓","⚠ add to Campaigns tab"))</f>
        <v/>
      </c>
      <c r="I5805" s="84" t="str">
        <f aca="false">IF(C5805="","",C5805*IF(Settings!$B$22=Settings!$C$6,1,IF(Settings!$B$22="USD",1/INDEX(Settings!$B$29:$B$40,MONTH(A5805)),INDEX(Settings!$B$29:$B$40,MONTH(A5805)))))</f>
        <v/>
      </c>
    </row>
    <row r="5806" customFormat="false" ht="15" hidden="false" customHeight="false" outlineLevel="0" collapsed="false">
      <c r="H5806" s="0" t="str">
        <f aca="false">IF(B5806="","",IF(COUNTIF(Campaigns!$A$7:$A$300,B5806)&gt;0,"✓","⚠ add to Campaigns tab"))</f>
        <v/>
      </c>
      <c r="I5806" s="84" t="str">
        <f aca="false">IF(C5806="","",C5806*IF(Settings!$B$22=Settings!$C$6,1,IF(Settings!$B$22="USD",1/INDEX(Settings!$B$29:$B$40,MONTH(A5806)),INDEX(Settings!$B$29:$B$40,MONTH(A5806)))))</f>
        <v/>
      </c>
    </row>
    <row r="5807" customFormat="false" ht="15" hidden="false" customHeight="false" outlineLevel="0" collapsed="false">
      <c r="H5807" s="0" t="str">
        <f aca="false">IF(B5807="","",IF(COUNTIF(Campaigns!$A$7:$A$300,B5807)&gt;0,"✓","⚠ add to Campaigns tab"))</f>
        <v/>
      </c>
      <c r="I5807" s="84" t="str">
        <f aca="false">IF(C5807="","",C5807*IF(Settings!$B$22=Settings!$C$6,1,IF(Settings!$B$22="USD",1/INDEX(Settings!$B$29:$B$40,MONTH(A5807)),INDEX(Settings!$B$29:$B$40,MONTH(A5807)))))</f>
        <v/>
      </c>
    </row>
    <row r="5808" customFormat="false" ht="15" hidden="false" customHeight="false" outlineLevel="0" collapsed="false">
      <c r="H5808" s="0" t="str">
        <f aca="false">IF(B5808="","",IF(COUNTIF(Campaigns!$A$7:$A$300,B5808)&gt;0,"✓","⚠ add to Campaigns tab"))</f>
        <v/>
      </c>
      <c r="I5808" s="84" t="str">
        <f aca="false">IF(C5808="","",C5808*IF(Settings!$B$22=Settings!$C$6,1,IF(Settings!$B$22="USD",1/INDEX(Settings!$B$29:$B$40,MONTH(A5808)),INDEX(Settings!$B$29:$B$40,MONTH(A5808)))))</f>
        <v/>
      </c>
    </row>
    <row r="5809" customFormat="false" ht="15" hidden="false" customHeight="false" outlineLevel="0" collapsed="false">
      <c r="H5809" s="0" t="str">
        <f aca="false">IF(B5809="","",IF(COUNTIF(Campaigns!$A$7:$A$300,B5809)&gt;0,"✓","⚠ add to Campaigns tab"))</f>
        <v/>
      </c>
      <c r="I5809" s="84" t="str">
        <f aca="false">IF(C5809="","",C5809*IF(Settings!$B$22=Settings!$C$6,1,IF(Settings!$B$22="USD",1/INDEX(Settings!$B$29:$B$40,MONTH(A5809)),INDEX(Settings!$B$29:$B$40,MONTH(A5809)))))</f>
        <v/>
      </c>
    </row>
    <row r="5810" customFormat="false" ht="15" hidden="false" customHeight="false" outlineLevel="0" collapsed="false">
      <c r="H5810" s="0" t="str">
        <f aca="false">IF(B5810="","",IF(COUNTIF(Campaigns!$A$7:$A$300,B5810)&gt;0,"✓","⚠ add to Campaigns tab"))</f>
        <v/>
      </c>
      <c r="I5810" s="84" t="str">
        <f aca="false">IF(C5810="","",C5810*IF(Settings!$B$22=Settings!$C$6,1,IF(Settings!$B$22="USD",1/INDEX(Settings!$B$29:$B$40,MONTH(A5810)),INDEX(Settings!$B$29:$B$40,MONTH(A5810)))))</f>
        <v/>
      </c>
    </row>
    <row r="5811" customFormat="false" ht="15" hidden="false" customHeight="false" outlineLevel="0" collapsed="false">
      <c r="H5811" s="0" t="str">
        <f aca="false">IF(B5811="","",IF(COUNTIF(Campaigns!$A$7:$A$300,B5811)&gt;0,"✓","⚠ add to Campaigns tab"))</f>
        <v/>
      </c>
      <c r="I5811" s="84" t="str">
        <f aca="false">IF(C5811="","",C5811*IF(Settings!$B$22=Settings!$C$6,1,IF(Settings!$B$22="USD",1/INDEX(Settings!$B$29:$B$40,MONTH(A5811)),INDEX(Settings!$B$29:$B$40,MONTH(A5811)))))</f>
        <v/>
      </c>
    </row>
    <row r="5812" customFormat="false" ht="15" hidden="false" customHeight="false" outlineLevel="0" collapsed="false">
      <c r="H5812" s="0" t="str">
        <f aca="false">IF(B5812="","",IF(COUNTIF(Campaigns!$A$7:$A$300,B5812)&gt;0,"✓","⚠ add to Campaigns tab"))</f>
        <v/>
      </c>
      <c r="I5812" s="84" t="str">
        <f aca="false">IF(C5812="","",C5812*IF(Settings!$B$22=Settings!$C$6,1,IF(Settings!$B$22="USD",1/INDEX(Settings!$B$29:$B$40,MONTH(A5812)),INDEX(Settings!$B$29:$B$40,MONTH(A5812)))))</f>
        <v/>
      </c>
    </row>
    <row r="5813" customFormat="false" ht="15" hidden="false" customHeight="false" outlineLevel="0" collapsed="false">
      <c r="H5813" s="0" t="str">
        <f aca="false">IF(B5813="","",IF(COUNTIF(Campaigns!$A$7:$A$300,B5813)&gt;0,"✓","⚠ add to Campaigns tab"))</f>
        <v/>
      </c>
      <c r="I5813" s="84" t="str">
        <f aca="false">IF(C5813="","",C5813*IF(Settings!$B$22=Settings!$C$6,1,IF(Settings!$B$22="USD",1/INDEX(Settings!$B$29:$B$40,MONTH(A5813)),INDEX(Settings!$B$29:$B$40,MONTH(A5813)))))</f>
        <v/>
      </c>
    </row>
    <row r="5814" customFormat="false" ht="15" hidden="false" customHeight="false" outlineLevel="0" collapsed="false">
      <c r="H5814" s="0" t="str">
        <f aca="false">IF(B5814="","",IF(COUNTIF(Campaigns!$A$7:$A$300,B5814)&gt;0,"✓","⚠ add to Campaigns tab"))</f>
        <v/>
      </c>
      <c r="I5814" s="84" t="str">
        <f aca="false">IF(C5814="","",C5814*IF(Settings!$B$22=Settings!$C$6,1,IF(Settings!$B$22="USD",1/INDEX(Settings!$B$29:$B$40,MONTH(A5814)),INDEX(Settings!$B$29:$B$40,MONTH(A5814)))))</f>
        <v/>
      </c>
    </row>
    <row r="5815" customFormat="false" ht="15" hidden="false" customHeight="false" outlineLevel="0" collapsed="false">
      <c r="H5815" s="0" t="str">
        <f aca="false">IF(B5815="","",IF(COUNTIF(Campaigns!$A$7:$A$300,B5815)&gt;0,"✓","⚠ add to Campaigns tab"))</f>
        <v/>
      </c>
      <c r="I5815" s="84" t="str">
        <f aca="false">IF(C5815="","",C5815*IF(Settings!$B$22=Settings!$C$6,1,IF(Settings!$B$22="USD",1/INDEX(Settings!$B$29:$B$40,MONTH(A5815)),INDEX(Settings!$B$29:$B$40,MONTH(A5815)))))</f>
        <v/>
      </c>
    </row>
    <row r="5816" customFormat="false" ht="15" hidden="false" customHeight="false" outlineLevel="0" collapsed="false">
      <c r="H5816" s="0" t="str">
        <f aca="false">IF(B5816="","",IF(COUNTIF(Campaigns!$A$7:$A$300,B5816)&gt;0,"✓","⚠ add to Campaigns tab"))</f>
        <v/>
      </c>
      <c r="I5816" s="84" t="str">
        <f aca="false">IF(C5816="","",C5816*IF(Settings!$B$22=Settings!$C$6,1,IF(Settings!$B$22="USD",1/INDEX(Settings!$B$29:$B$40,MONTH(A5816)),INDEX(Settings!$B$29:$B$40,MONTH(A5816)))))</f>
        <v/>
      </c>
    </row>
    <row r="5817" customFormat="false" ht="15" hidden="false" customHeight="false" outlineLevel="0" collapsed="false">
      <c r="H5817" s="0" t="str">
        <f aca="false">IF(B5817="","",IF(COUNTIF(Campaigns!$A$7:$A$300,B5817)&gt;0,"✓","⚠ add to Campaigns tab"))</f>
        <v/>
      </c>
      <c r="I5817" s="84" t="str">
        <f aca="false">IF(C5817="","",C5817*IF(Settings!$B$22=Settings!$C$6,1,IF(Settings!$B$22="USD",1/INDEX(Settings!$B$29:$B$40,MONTH(A5817)),INDEX(Settings!$B$29:$B$40,MONTH(A5817)))))</f>
        <v/>
      </c>
    </row>
    <row r="5818" customFormat="false" ht="15" hidden="false" customHeight="false" outlineLevel="0" collapsed="false">
      <c r="H5818" s="0" t="str">
        <f aca="false">IF(B5818="","",IF(COUNTIF(Campaigns!$A$7:$A$300,B5818)&gt;0,"✓","⚠ add to Campaigns tab"))</f>
        <v/>
      </c>
      <c r="I5818" s="84" t="str">
        <f aca="false">IF(C5818="","",C5818*IF(Settings!$B$22=Settings!$C$6,1,IF(Settings!$B$22="USD",1/INDEX(Settings!$B$29:$B$40,MONTH(A5818)),INDEX(Settings!$B$29:$B$40,MONTH(A5818)))))</f>
        <v/>
      </c>
    </row>
    <row r="5819" customFormat="false" ht="15" hidden="false" customHeight="false" outlineLevel="0" collapsed="false">
      <c r="H5819" s="0" t="str">
        <f aca="false">IF(B5819="","",IF(COUNTIF(Campaigns!$A$7:$A$300,B5819)&gt;0,"✓","⚠ add to Campaigns tab"))</f>
        <v/>
      </c>
      <c r="I5819" s="84" t="str">
        <f aca="false">IF(C5819="","",C5819*IF(Settings!$B$22=Settings!$C$6,1,IF(Settings!$B$22="USD",1/INDEX(Settings!$B$29:$B$40,MONTH(A5819)),INDEX(Settings!$B$29:$B$40,MONTH(A5819)))))</f>
        <v/>
      </c>
    </row>
    <row r="5820" customFormat="false" ht="15" hidden="false" customHeight="false" outlineLevel="0" collapsed="false">
      <c r="H5820" s="0" t="str">
        <f aca="false">IF(B5820="","",IF(COUNTIF(Campaigns!$A$7:$A$300,B5820)&gt;0,"✓","⚠ add to Campaigns tab"))</f>
        <v/>
      </c>
      <c r="I5820" s="84" t="str">
        <f aca="false">IF(C5820="","",C5820*IF(Settings!$B$22=Settings!$C$6,1,IF(Settings!$B$22="USD",1/INDEX(Settings!$B$29:$B$40,MONTH(A5820)),INDEX(Settings!$B$29:$B$40,MONTH(A5820)))))</f>
        <v/>
      </c>
    </row>
    <row r="5821" customFormat="false" ht="15" hidden="false" customHeight="false" outlineLevel="0" collapsed="false">
      <c r="H5821" s="0" t="str">
        <f aca="false">IF(B5821="","",IF(COUNTIF(Campaigns!$A$7:$A$300,B5821)&gt;0,"✓","⚠ add to Campaigns tab"))</f>
        <v/>
      </c>
      <c r="I5821" s="84" t="str">
        <f aca="false">IF(C5821="","",C5821*IF(Settings!$B$22=Settings!$C$6,1,IF(Settings!$B$22="USD",1/INDEX(Settings!$B$29:$B$40,MONTH(A5821)),INDEX(Settings!$B$29:$B$40,MONTH(A5821)))))</f>
        <v/>
      </c>
    </row>
    <row r="5822" customFormat="false" ht="15" hidden="false" customHeight="false" outlineLevel="0" collapsed="false">
      <c r="H5822" s="0" t="str">
        <f aca="false">IF(B5822="","",IF(COUNTIF(Campaigns!$A$7:$A$300,B5822)&gt;0,"✓","⚠ add to Campaigns tab"))</f>
        <v/>
      </c>
      <c r="I5822" s="84" t="str">
        <f aca="false">IF(C5822="","",C5822*IF(Settings!$B$22=Settings!$C$6,1,IF(Settings!$B$22="USD",1/INDEX(Settings!$B$29:$B$40,MONTH(A5822)),INDEX(Settings!$B$29:$B$40,MONTH(A5822)))))</f>
        <v/>
      </c>
    </row>
    <row r="5823" customFormat="false" ht="15" hidden="false" customHeight="false" outlineLevel="0" collapsed="false">
      <c r="H5823" s="0" t="str">
        <f aca="false">IF(B5823="","",IF(COUNTIF(Campaigns!$A$7:$A$300,B5823)&gt;0,"✓","⚠ add to Campaigns tab"))</f>
        <v/>
      </c>
      <c r="I5823" s="84" t="str">
        <f aca="false">IF(C5823="","",C5823*IF(Settings!$B$22=Settings!$C$6,1,IF(Settings!$B$22="USD",1/INDEX(Settings!$B$29:$B$40,MONTH(A5823)),INDEX(Settings!$B$29:$B$40,MONTH(A5823)))))</f>
        <v/>
      </c>
    </row>
    <row r="5824" customFormat="false" ht="15" hidden="false" customHeight="false" outlineLevel="0" collapsed="false">
      <c r="H5824" s="0" t="str">
        <f aca="false">IF(B5824="","",IF(COUNTIF(Campaigns!$A$7:$A$300,B5824)&gt;0,"✓","⚠ add to Campaigns tab"))</f>
        <v/>
      </c>
      <c r="I5824" s="84" t="str">
        <f aca="false">IF(C5824="","",C5824*IF(Settings!$B$22=Settings!$C$6,1,IF(Settings!$B$22="USD",1/INDEX(Settings!$B$29:$B$40,MONTH(A5824)),INDEX(Settings!$B$29:$B$40,MONTH(A5824)))))</f>
        <v/>
      </c>
    </row>
    <row r="5825" customFormat="false" ht="15" hidden="false" customHeight="false" outlineLevel="0" collapsed="false">
      <c r="H5825" s="0" t="str">
        <f aca="false">IF(B5825="","",IF(COUNTIF(Campaigns!$A$7:$A$300,B5825)&gt;0,"✓","⚠ add to Campaigns tab"))</f>
        <v/>
      </c>
      <c r="I5825" s="84" t="str">
        <f aca="false">IF(C5825="","",C5825*IF(Settings!$B$22=Settings!$C$6,1,IF(Settings!$B$22="USD",1/INDEX(Settings!$B$29:$B$40,MONTH(A5825)),INDEX(Settings!$B$29:$B$40,MONTH(A5825)))))</f>
        <v/>
      </c>
    </row>
    <row r="5826" customFormat="false" ht="15" hidden="false" customHeight="false" outlineLevel="0" collapsed="false">
      <c r="H5826" s="0" t="str">
        <f aca="false">IF(B5826="","",IF(COUNTIF(Campaigns!$A$7:$A$300,B5826)&gt;0,"✓","⚠ add to Campaigns tab"))</f>
        <v/>
      </c>
      <c r="I5826" s="84" t="str">
        <f aca="false">IF(C5826="","",C5826*IF(Settings!$B$22=Settings!$C$6,1,IF(Settings!$B$22="USD",1/INDEX(Settings!$B$29:$B$40,MONTH(A5826)),INDEX(Settings!$B$29:$B$40,MONTH(A5826)))))</f>
        <v/>
      </c>
    </row>
    <row r="5827" customFormat="false" ht="15" hidden="false" customHeight="false" outlineLevel="0" collapsed="false">
      <c r="H5827" s="0" t="str">
        <f aca="false">IF(B5827="","",IF(COUNTIF(Campaigns!$A$7:$A$300,B5827)&gt;0,"✓","⚠ add to Campaigns tab"))</f>
        <v/>
      </c>
      <c r="I5827" s="84" t="str">
        <f aca="false">IF(C5827="","",C5827*IF(Settings!$B$22=Settings!$C$6,1,IF(Settings!$B$22="USD",1/INDEX(Settings!$B$29:$B$40,MONTH(A5827)),INDEX(Settings!$B$29:$B$40,MONTH(A5827)))))</f>
        <v/>
      </c>
    </row>
    <row r="5828" customFormat="false" ht="15" hidden="false" customHeight="false" outlineLevel="0" collapsed="false">
      <c r="H5828" s="0" t="str">
        <f aca="false">IF(B5828="","",IF(COUNTIF(Campaigns!$A$7:$A$300,B5828)&gt;0,"✓","⚠ add to Campaigns tab"))</f>
        <v/>
      </c>
      <c r="I5828" s="84" t="str">
        <f aca="false">IF(C5828="","",C5828*IF(Settings!$B$22=Settings!$C$6,1,IF(Settings!$B$22="USD",1/INDEX(Settings!$B$29:$B$40,MONTH(A5828)),INDEX(Settings!$B$29:$B$40,MONTH(A5828)))))</f>
        <v/>
      </c>
    </row>
    <row r="5829" customFormat="false" ht="15" hidden="false" customHeight="false" outlineLevel="0" collapsed="false">
      <c r="H5829" s="0" t="str">
        <f aca="false">IF(B5829="","",IF(COUNTIF(Campaigns!$A$7:$A$300,B5829)&gt;0,"✓","⚠ add to Campaigns tab"))</f>
        <v/>
      </c>
      <c r="I5829" s="84" t="str">
        <f aca="false">IF(C5829="","",C5829*IF(Settings!$B$22=Settings!$C$6,1,IF(Settings!$B$22="USD",1/INDEX(Settings!$B$29:$B$40,MONTH(A5829)),INDEX(Settings!$B$29:$B$40,MONTH(A5829)))))</f>
        <v/>
      </c>
    </row>
    <row r="5830" customFormat="false" ht="15" hidden="false" customHeight="false" outlineLevel="0" collapsed="false">
      <c r="H5830" s="0" t="str">
        <f aca="false">IF(B5830="","",IF(COUNTIF(Campaigns!$A$7:$A$300,B5830)&gt;0,"✓","⚠ add to Campaigns tab"))</f>
        <v/>
      </c>
      <c r="I5830" s="84" t="str">
        <f aca="false">IF(C5830="","",C5830*IF(Settings!$B$22=Settings!$C$6,1,IF(Settings!$B$22="USD",1/INDEX(Settings!$B$29:$B$40,MONTH(A5830)),INDEX(Settings!$B$29:$B$40,MONTH(A5830)))))</f>
        <v/>
      </c>
    </row>
    <row r="5831" customFormat="false" ht="15" hidden="false" customHeight="false" outlineLevel="0" collapsed="false">
      <c r="H5831" s="0" t="str">
        <f aca="false">IF(B5831="","",IF(COUNTIF(Campaigns!$A$7:$A$300,B5831)&gt;0,"✓","⚠ add to Campaigns tab"))</f>
        <v/>
      </c>
      <c r="I5831" s="84" t="str">
        <f aca="false">IF(C5831="","",C5831*IF(Settings!$B$22=Settings!$C$6,1,IF(Settings!$B$22="USD",1/INDEX(Settings!$B$29:$B$40,MONTH(A5831)),INDEX(Settings!$B$29:$B$40,MONTH(A5831)))))</f>
        <v/>
      </c>
    </row>
    <row r="5832" customFormat="false" ht="15" hidden="false" customHeight="false" outlineLevel="0" collapsed="false">
      <c r="H5832" s="0" t="str">
        <f aca="false">IF(B5832="","",IF(COUNTIF(Campaigns!$A$7:$A$300,B5832)&gt;0,"✓","⚠ add to Campaigns tab"))</f>
        <v/>
      </c>
      <c r="I5832" s="84" t="str">
        <f aca="false">IF(C5832="","",C5832*IF(Settings!$B$22=Settings!$C$6,1,IF(Settings!$B$22="USD",1/INDEX(Settings!$B$29:$B$40,MONTH(A5832)),INDEX(Settings!$B$29:$B$40,MONTH(A5832)))))</f>
        <v/>
      </c>
    </row>
    <row r="5833" customFormat="false" ht="15" hidden="false" customHeight="false" outlineLevel="0" collapsed="false">
      <c r="H5833" s="0" t="str">
        <f aca="false">IF(B5833="","",IF(COUNTIF(Campaigns!$A$7:$A$300,B5833)&gt;0,"✓","⚠ add to Campaigns tab"))</f>
        <v/>
      </c>
      <c r="I5833" s="84" t="str">
        <f aca="false">IF(C5833="","",C5833*IF(Settings!$B$22=Settings!$C$6,1,IF(Settings!$B$22="USD",1/INDEX(Settings!$B$29:$B$40,MONTH(A5833)),INDEX(Settings!$B$29:$B$40,MONTH(A5833)))))</f>
        <v/>
      </c>
    </row>
    <row r="5834" customFormat="false" ht="15" hidden="false" customHeight="false" outlineLevel="0" collapsed="false">
      <c r="H5834" s="0" t="str">
        <f aca="false">IF(B5834="","",IF(COUNTIF(Campaigns!$A$7:$A$300,B5834)&gt;0,"✓","⚠ add to Campaigns tab"))</f>
        <v/>
      </c>
      <c r="I5834" s="84" t="str">
        <f aca="false">IF(C5834="","",C5834*IF(Settings!$B$22=Settings!$C$6,1,IF(Settings!$B$22="USD",1/INDEX(Settings!$B$29:$B$40,MONTH(A5834)),INDEX(Settings!$B$29:$B$40,MONTH(A5834)))))</f>
        <v/>
      </c>
    </row>
    <row r="5835" customFormat="false" ht="15" hidden="false" customHeight="false" outlineLevel="0" collapsed="false">
      <c r="H5835" s="0" t="str">
        <f aca="false">IF(B5835="","",IF(COUNTIF(Campaigns!$A$7:$A$300,B5835)&gt;0,"✓","⚠ add to Campaigns tab"))</f>
        <v/>
      </c>
      <c r="I5835" s="84" t="str">
        <f aca="false">IF(C5835="","",C5835*IF(Settings!$B$22=Settings!$C$6,1,IF(Settings!$B$22="USD",1/INDEX(Settings!$B$29:$B$40,MONTH(A5835)),INDEX(Settings!$B$29:$B$40,MONTH(A5835)))))</f>
        <v/>
      </c>
    </row>
    <row r="5836" customFormat="false" ht="15" hidden="false" customHeight="false" outlineLevel="0" collapsed="false">
      <c r="H5836" s="0" t="str">
        <f aca="false">IF(B5836="","",IF(COUNTIF(Campaigns!$A$7:$A$300,B5836)&gt;0,"✓","⚠ add to Campaigns tab"))</f>
        <v/>
      </c>
      <c r="I5836" s="84" t="str">
        <f aca="false">IF(C5836="","",C5836*IF(Settings!$B$22=Settings!$C$6,1,IF(Settings!$B$22="USD",1/INDEX(Settings!$B$29:$B$40,MONTH(A5836)),INDEX(Settings!$B$29:$B$40,MONTH(A5836)))))</f>
        <v/>
      </c>
    </row>
    <row r="5837" customFormat="false" ht="15" hidden="false" customHeight="false" outlineLevel="0" collapsed="false">
      <c r="H5837" s="0" t="str">
        <f aca="false">IF(B5837="","",IF(COUNTIF(Campaigns!$A$7:$A$300,B5837)&gt;0,"✓","⚠ add to Campaigns tab"))</f>
        <v/>
      </c>
      <c r="I5837" s="84" t="str">
        <f aca="false">IF(C5837="","",C5837*IF(Settings!$B$22=Settings!$C$6,1,IF(Settings!$B$22="USD",1/INDEX(Settings!$B$29:$B$40,MONTH(A5837)),INDEX(Settings!$B$29:$B$40,MONTH(A5837)))))</f>
        <v/>
      </c>
    </row>
    <row r="5838" customFormat="false" ht="15" hidden="false" customHeight="false" outlineLevel="0" collapsed="false">
      <c r="H5838" s="0" t="str">
        <f aca="false">IF(B5838="","",IF(COUNTIF(Campaigns!$A$7:$A$300,B5838)&gt;0,"✓","⚠ add to Campaigns tab"))</f>
        <v/>
      </c>
      <c r="I5838" s="84" t="str">
        <f aca="false">IF(C5838="","",C5838*IF(Settings!$B$22=Settings!$C$6,1,IF(Settings!$B$22="USD",1/INDEX(Settings!$B$29:$B$40,MONTH(A5838)),INDEX(Settings!$B$29:$B$40,MONTH(A5838)))))</f>
        <v/>
      </c>
    </row>
    <row r="5839" customFormat="false" ht="15" hidden="false" customHeight="false" outlineLevel="0" collapsed="false">
      <c r="H5839" s="0" t="str">
        <f aca="false">IF(B5839="","",IF(COUNTIF(Campaigns!$A$7:$A$300,B5839)&gt;0,"✓","⚠ add to Campaigns tab"))</f>
        <v/>
      </c>
      <c r="I5839" s="84" t="str">
        <f aca="false">IF(C5839="","",C5839*IF(Settings!$B$22=Settings!$C$6,1,IF(Settings!$B$22="USD",1/INDEX(Settings!$B$29:$B$40,MONTH(A5839)),INDEX(Settings!$B$29:$B$40,MONTH(A5839)))))</f>
        <v/>
      </c>
    </row>
    <row r="5840" customFormat="false" ht="15" hidden="false" customHeight="false" outlineLevel="0" collapsed="false">
      <c r="H5840" s="0" t="str">
        <f aca="false">IF(B5840="","",IF(COUNTIF(Campaigns!$A$7:$A$300,B5840)&gt;0,"✓","⚠ add to Campaigns tab"))</f>
        <v/>
      </c>
      <c r="I5840" s="84" t="str">
        <f aca="false">IF(C5840="","",C5840*IF(Settings!$B$22=Settings!$C$6,1,IF(Settings!$B$22="USD",1/INDEX(Settings!$B$29:$B$40,MONTH(A5840)),INDEX(Settings!$B$29:$B$40,MONTH(A5840)))))</f>
        <v/>
      </c>
    </row>
    <row r="5841" customFormat="false" ht="15" hidden="false" customHeight="false" outlineLevel="0" collapsed="false">
      <c r="H5841" s="0" t="str">
        <f aca="false">IF(B5841="","",IF(COUNTIF(Campaigns!$A$7:$A$300,B5841)&gt;0,"✓","⚠ add to Campaigns tab"))</f>
        <v/>
      </c>
      <c r="I5841" s="84" t="str">
        <f aca="false">IF(C5841="","",C5841*IF(Settings!$B$22=Settings!$C$6,1,IF(Settings!$B$22="USD",1/INDEX(Settings!$B$29:$B$40,MONTH(A5841)),INDEX(Settings!$B$29:$B$40,MONTH(A5841)))))</f>
        <v/>
      </c>
    </row>
    <row r="5842" customFormat="false" ht="15" hidden="false" customHeight="false" outlineLevel="0" collapsed="false">
      <c r="H5842" s="0" t="str">
        <f aca="false">IF(B5842="","",IF(COUNTIF(Campaigns!$A$7:$A$300,B5842)&gt;0,"✓","⚠ add to Campaigns tab"))</f>
        <v/>
      </c>
      <c r="I5842" s="84" t="str">
        <f aca="false">IF(C5842="","",C5842*IF(Settings!$B$22=Settings!$C$6,1,IF(Settings!$B$22="USD",1/INDEX(Settings!$B$29:$B$40,MONTH(A5842)),INDEX(Settings!$B$29:$B$40,MONTH(A5842)))))</f>
        <v/>
      </c>
    </row>
    <row r="5843" customFormat="false" ht="15" hidden="false" customHeight="false" outlineLevel="0" collapsed="false">
      <c r="H5843" s="0" t="str">
        <f aca="false">IF(B5843="","",IF(COUNTIF(Campaigns!$A$7:$A$300,B5843)&gt;0,"✓","⚠ add to Campaigns tab"))</f>
        <v/>
      </c>
      <c r="I5843" s="84" t="str">
        <f aca="false">IF(C5843="","",C5843*IF(Settings!$B$22=Settings!$C$6,1,IF(Settings!$B$22="USD",1/INDEX(Settings!$B$29:$B$40,MONTH(A5843)),INDEX(Settings!$B$29:$B$40,MONTH(A5843)))))</f>
        <v/>
      </c>
    </row>
    <row r="5844" customFormat="false" ht="15" hidden="false" customHeight="false" outlineLevel="0" collapsed="false">
      <c r="H5844" s="0" t="str">
        <f aca="false">IF(B5844="","",IF(COUNTIF(Campaigns!$A$7:$A$300,B5844)&gt;0,"✓","⚠ add to Campaigns tab"))</f>
        <v/>
      </c>
      <c r="I5844" s="84" t="str">
        <f aca="false">IF(C5844="","",C5844*IF(Settings!$B$22=Settings!$C$6,1,IF(Settings!$B$22="USD",1/INDEX(Settings!$B$29:$B$40,MONTH(A5844)),INDEX(Settings!$B$29:$B$40,MONTH(A5844)))))</f>
        <v/>
      </c>
    </row>
    <row r="5845" customFormat="false" ht="15" hidden="false" customHeight="false" outlineLevel="0" collapsed="false">
      <c r="H5845" s="0" t="str">
        <f aca="false">IF(B5845="","",IF(COUNTIF(Campaigns!$A$7:$A$300,B5845)&gt;0,"✓","⚠ add to Campaigns tab"))</f>
        <v/>
      </c>
      <c r="I5845" s="84" t="str">
        <f aca="false">IF(C5845="","",C5845*IF(Settings!$B$22=Settings!$C$6,1,IF(Settings!$B$22="USD",1/INDEX(Settings!$B$29:$B$40,MONTH(A5845)),INDEX(Settings!$B$29:$B$40,MONTH(A5845)))))</f>
        <v/>
      </c>
    </row>
    <row r="5846" customFormat="false" ht="15" hidden="false" customHeight="false" outlineLevel="0" collapsed="false">
      <c r="H5846" s="0" t="str">
        <f aca="false">IF(B5846="","",IF(COUNTIF(Campaigns!$A$7:$A$300,B5846)&gt;0,"✓","⚠ add to Campaigns tab"))</f>
        <v/>
      </c>
      <c r="I5846" s="84" t="str">
        <f aca="false">IF(C5846="","",C5846*IF(Settings!$B$22=Settings!$C$6,1,IF(Settings!$B$22="USD",1/INDEX(Settings!$B$29:$B$40,MONTH(A5846)),INDEX(Settings!$B$29:$B$40,MONTH(A5846)))))</f>
        <v/>
      </c>
    </row>
    <row r="5847" customFormat="false" ht="15" hidden="false" customHeight="false" outlineLevel="0" collapsed="false">
      <c r="H5847" s="0" t="str">
        <f aca="false">IF(B5847="","",IF(COUNTIF(Campaigns!$A$7:$A$300,B5847)&gt;0,"✓","⚠ add to Campaigns tab"))</f>
        <v/>
      </c>
      <c r="I5847" s="84" t="str">
        <f aca="false">IF(C5847="","",C5847*IF(Settings!$B$22=Settings!$C$6,1,IF(Settings!$B$22="USD",1/INDEX(Settings!$B$29:$B$40,MONTH(A5847)),INDEX(Settings!$B$29:$B$40,MONTH(A5847)))))</f>
        <v/>
      </c>
    </row>
    <row r="5848" customFormat="false" ht="15" hidden="false" customHeight="false" outlineLevel="0" collapsed="false">
      <c r="H5848" s="0" t="str">
        <f aca="false">IF(B5848="","",IF(COUNTIF(Campaigns!$A$7:$A$300,B5848)&gt;0,"✓","⚠ add to Campaigns tab"))</f>
        <v/>
      </c>
      <c r="I5848" s="84" t="str">
        <f aca="false">IF(C5848="","",C5848*IF(Settings!$B$22=Settings!$C$6,1,IF(Settings!$B$22="USD",1/INDEX(Settings!$B$29:$B$40,MONTH(A5848)),INDEX(Settings!$B$29:$B$40,MONTH(A5848)))))</f>
        <v/>
      </c>
    </row>
    <row r="5849" customFormat="false" ht="15" hidden="false" customHeight="false" outlineLevel="0" collapsed="false">
      <c r="H5849" s="0" t="str">
        <f aca="false">IF(B5849="","",IF(COUNTIF(Campaigns!$A$7:$A$300,B5849)&gt;0,"✓","⚠ add to Campaigns tab"))</f>
        <v/>
      </c>
      <c r="I5849" s="84" t="str">
        <f aca="false">IF(C5849="","",C5849*IF(Settings!$B$22=Settings!$C$6,1,IF(Settings!$B$22="USD",1/INDEX(Settings!$B$29:$B$40,MONTH(A5849)),INDEX(Settings!$B$29:$B$40,MONTH(A5849)))))</f>
        <v/>
      </c>
    </row>
    <row r="5850" customFormat="false" ht="15" hidden="false" customHeight="false" outlineLevel="0" collapsed="false">
      <c r="H5850" s="0" t="str">
        <f aca="false">IF(B5850="","",IF(COUNTIF(Campaigns!$A$7:$A$300,B5850)&gt;0,"✓","⚠ add to Campaigns tab"))</f>
        <v/>
      </c>
      <c r="I5850" s="84" t="str">
        <f aca="false">IF(C5850="","",C5850*IF(Settings!$B$22=Settings!$C$6,1,IF(Settings!$B$22="USD",1/INDEX(Settings!$B$29:$B$40,MONTH(A5850)),INDEX(Settings!$B$29:$B$40,MONTH(A5850)))))</f>
        <v/>
      </c>
    </row>
    <row r="5851" customFormat="false" ht="15" hidden="false" customHeight="false" outlineLevel="0" collapsed="false">
      <c r="H5851" s="0" t="str">
        <f aca="false">IF(B5851="","",IF(COUNTIF(Campaigns!$A$7:$A$300,B5851)&gt;0,"✓","⚠ add to Campaigns tab"))</f>
        <v/>
      </c>
      <c r="I5851" s="84" t="str">
        <f aca="false">IF(C5851="","",C5851*IF(Settings!$B$22=Settings!$C$6,1,IF(Settings!$B$22="USD",1/INDEX(Settings!$B$29:$B$40,MONTH(A5851)),INDEX(Settings!$B$29:$B$40,MONTH(A5851)))))</f>
        <v/>
      </c>
    </row>
    <row r="5852" customFormat="false" ht="15" hidden="false" customHeight="false" outlineLevel="0" collapsed="false">
      <c r="H5852" s="0" t="str">
        <f aca="false">IF(B5852="","",IF(COUNTIF(Campaigns!$A$7:$A$300,B5852)&gt;0,"✓","⚠ add to Campaigns tab"))</f>
        <v/>
      </c>
      <c r="I5852" s="84" t="str">
        <f aca="false">IF(C5852="","",C5852*IF(Settings!$B$22=Settings!$C$6,1,IF(Settings!$B$22="USD",1/INDEX(Settings!$B$29:$B$40,MONTH(A5852)),INDEX(Settings!$B$29:$B$40,MONTH(A5852)))))</f>
        <v/>
      </c>
    </row>
    <row r="5853" customFormat="false" ht="15" hidden="false" customHeight="false" outlineLevel="0" collapsed="false">
      <c r="H5853" s="0" t="str">
        <f aca="false">IF(B5853="","",IF(COUNTIF(Campaigns!$A$7:$A$300,B5853)&gt;0,"✓","⚠ add to Campaigns tab"))</f>
        <v/>
      </c>
      <c r="I5853" s="84" t="str">
        <f aca="false">IF(C5853="","",C5853*IF(Settings!$B$22=Settings!$C$6,1,IF(Settings!$B$22="USD",1/INDEX(Settings!$B$29:$B$40,MONTH(A5853)),INDEX(Settings!$B$29:$B$40,MONTH(A5853)))))</f>
        <v/>
      </c>
    </row>
    <row r="5854" customFormat="false" ht="15" hidden="false" customHeight="false" outlineLevel="0" collapsed="false">
      <c r="H5854" s="0" t="str">
        <f aca="false">IF(B5854="","",IF(COUNTIF(Campaigns!$A$7:$A$300,B5854)&gt;0,"✓","⚠ add to Campaigns tab"))</f>
        <v/>
      </c>
      <c r="I5854" s="84" t="str">
        <f aca="false">IF(C5854="","",C5854*IF(Settings!$B$22=Settings!$C$6,1,IF(Settings!$B$22="USD",1/INDEX(Settings!$B$29:$B$40,MONTH(A5854)),INDEX(Settings!$B$29:$B$40,MONTH(A5854)))))</f>
        <v/>
      </c>
    </row>
    <row r="5855" customFormat="false" ht="15" hidden="false" customHeight="false" outlineLevel="0" collapsed="false">
      <c r="H5855" s="0" t="str">
        <f aca="false">IF(B5855="","",IF(COUNTIF(Campaigns!$A$7:$A$300,B5855)&gt;0,"✓","⚠ add to Campaigns tab"))</f>
        <v/>
      </c>
      <c r="I5855" s="84" t="str">
        <f aca="false">IF(C5855="","",C5855*IF(Settings!$B$22=Settings!$C$6,1,IF(Settings!$B$22="USD",1/INDEX(Settings!$B$29:$B$40,MONTH(A5855)),INDEX(Settings!$B$29:$B$40,MONTH(A5855)))))</f>
        <v/>
      </c>
    </row>
    <row r="5856" customFormat="false" ht="15" hidden="false" customHeight="false" outlineLevel="0" collapsed="false">
      <c r="H5856" s="0" t="str">
        <f aca="false">IF(B5856="","",IF(COUNTIF(Campaigns!$A$7:$A$300,B5856)&gt;0,"✓","⚠ add to Campaigns tab"))</f>
        <v/>
      </c>
      <c r="I5856" s="84" t="str">
        <f aca="false">IF(C5856="","",C5856*IF(Settings!$B$22=Settings!$C$6,1,IF(Settings!$B$22="USD",1/INDEX(Settings!$B$29:$B$40,MONTH(A5856)),INDEX(Settings!$B$29:$B$40,MONTH(A5856)))))</f>
        <v/>
      </c>
    </row>
    <row r="5857" customFormat="false" ht="15" hidden="false" customHeight="false" outlineLevel="0" collapsed="false">
      <c r="H5857" s="0" t="str">
        <f aca="false">IF(B5857="","",IF(COUNTIF(Campaigns!$A$7:$A$300,B5857)&gt;0,"✓","⚠ add to Campaigns tab"))</f>
        <v/>
      </c>
      <c r="I5857" s="84" t="str">
        <f aca="false">IF(C5857="","",C5857*IF(Settings!$B$22=Settings!$C$6,1,IF(Settings!$B$22="USD",1/INDEX(Settings!$B$29:$B$40,MONTH(A5857)),INDEX(Settings!$B$29:$B$40,MONTH(A5857)))))</f>
        <v/>
      </c>
    </row>
    <row r="5858" customFormat="false" ht="15" hidden="false" customHeight="false" outlineLevel="0" collapsed="false">
      <c r="H5858" s="0" t="str">
        <f aca="false">IF(B5858="","",IF(COUNTIF(Campaigns!$A$7:$A$300,B5858)&gt;0,"✓","⚠ add to Campaigns tab"))</f>
        <v/>
      </c>
      <c r="I5858" s="84" t="str">
        <f aca="false">IF(C5858="","",C5858*IF(Settings!$B$22=Settings!$C$6,1,IF(Settings!$B$22="USD",1/INDEX(Settings!$B$29:$B$40,MONTH(A5858)),INDEX(Settings!$B$29:$B$40,MONTH(A5858)))))</f>
        <v/>
      </c>
    </row>
    <row r="5859" customFormat="false" ht="15" hidden="false" customHeight="false" outlineLevel="0" collapsed="false">
      <c r="H5859" s="0" t="str">
        <f aca="false">IF(B5859="","",IF(COUNTIF(Campaigns!$A$7:$A$300,B5859)&gt;0,"✓","⚠ add to Campaigns tab"))</f>
        <v/>
      </c>
      <c r="I5859" s="84" t="str">
        <f aca="false">IF(C5859="","",C5859*IF(Settings!$B$22=Settings!$C$6,1,IF(Settings!$B$22="USD",1/INDEX(Settings!$B$29:$B$40,MONTH(A5859)),INDEX(Settings!$B$29:$B$40,MONTH(A5859)))))</f>
        <v/>
      </c>
    </row>
    <row r="5860" customFormat="false" ht="15" hidden="false" customHeight="false" outlineLevel="0" collapsed="false">
      <c r="H5860" s="0" t="str">
        <f aca="false">IF(B5860="","",IF(COUNTIF(Campaigns!$A$7:$A$300,B5860)&gt;0,"✓","⚠ add to Campaigns tab"))</f>
        <v/>
      </c>
      <c r="I5860" s="84" t="str">
        <f aca="false">IF(C5860="","",C5860*IF(Settings!$B$22=Settings!$C$6,1,IF(Settings!$B$22="USD",1/INDEX(Settings!$B$29:$B$40,MONTH(A5860)),INDEX(Settings!$B$29:$B$40,MONTH(A5860)))))</f>
        <v/>
      </c>
    </row>
    <row r="5861" customFormat="false" ht="15" hidden="false" customHeight="false" outlineLevel="0" collapsed="false">
      <c r="H5861" s="0" t="str">
        <f aca="false">IF(B5861="","",IF(COUNTIF(Campaigns!$A$7:$A$300,B5861)&gt;0,"✓","⚠ add to Campaigns tab"))</f>
        <v/>
      </c>
      <c r="I5861" s="84" t="str">
        <f aca="false">IF(C5861="","",C5861*IF(Settings!$B$22=Settings!$C$6,1,IF(Settings!$B$22="USD",1/INDEX(Settings!$B$29:$B$40,MONTH(A5861)),INDEX(Settings!$B$29:$B$40,MONTH(A5861)))))</f>
        <v/>
      </c>
    </row>
    <row r="5862" customFormat="false" ht="15" hidden="false" customHeight="false" outlineLevel="0" collapsed="false">
      <c r="H5862" s="0" t="str">
        <f aca="false">IF(B5862="","",IF(COUNTIF(Campaigns!$A$7:$A$300,B5862)&gt;0,"✓","⚠ add to Campaigns tab"))</f>
        <v/>
      </c>
      <c r="I5862" s="84" t="str">
        <f aca="false">IF(C5862="","",C5862*IF(Settings!$B$22=Settings!$C$6,1,IF(Settings!$B$22="USD",1/INDEX(Settings!$B$29:$B$40,MONTH(A5862)),INDEX(Settings!$B$29:$B$40,MONTH(A5862)))))</f>
        <v/>
      </c>
    </row>
    <row r="5863" customFormat="false" ht="15" hidden="false" customHeight="false" outlineLevel="0" collapsed="false">
      <c r="H5863" s="0" t="str">
        <f aca="false">IF(B5863="","",IF(COUNTIF(Campaigns!$A$7:$A$300,B5863)&gt;0,"✓","⚠ add to Campaigns tab"))</f>
        <v/>
      </c>
      <c r="I5863" s="84" t="str">
        <f aca="false">IF(C5863="","",C5863*IF(Settings!$B$22=Settings!$C$6,1,IF(Settings!$B$22="USD",1/INDEX(Settings!$B$29:$B$40,MONTH(A5863)),INDEX(Settings!$B$29:$B$40,MONTH(A5863)))))</f>
        <v/>
      </c>
    </row>
    <row r="5864" customFormat="false" ht="15" hidden="false" customHeight="false" outlineLevel="0" collapsed="false">
      <c r="H5864" s="0" t="str">
        <f aca="false">IF(B5864="","",IF(COUNTIF(Campaigns!$A$7:$A$300,B5864)&gt;0,"✓","⚠ add to Campaigns tab"))</f>
        <v/>
      </c>
      <c r="I5864" s="84" t="str">
        <f aca="false">IF(C5864="","",C5864*IF(Settings!$B$22=Settings!$C$6,1,IF(Settings!$B$22="USD",1/INDEX(Settings!$B$29:$B$40,MONTH(A5864)),INDEX(Settings!$B$29:$B$40,MONTH(A5864)))))</f>
        <v/>
      </c>
    </row>
    <row r="5865" customFormat="false" ht="15" hidden="false" customHeight="false" outlineLevel="0" collapsed="false">
      <c r="H5865" s="0" t="str">
        <f aca="false">IF(B5865="","",IF(COUNTIF(Campaigns!$A$7:$A$300,B5865)&gt;0,"✓","⚠ add to Campaigns tab"))</f>
        <v/>
      </c>
      <c r="I5865" s="84" t="str">
        <f aca="false">IF(C5865="","",C5865*IF(Settings!$B$22=Settings!$C$6,1,IF(Settings!$B$22="USD",1/INDEX(Settings!$B$29:$B$40,MONTH(A5865)),INDEX(Settings!$B$29:$B$40,MONTH(A5865)))))</f>
        <v/>
      </c>
    </row>
    <row r="5866" customFormat="false" ht="15" hidden="false" customHeight="false" outlineLevel="0" collapsed="false">
      <c r="H5866" s="0" t="str">
        <f aca="false">IF(B5866="","",IF(COUNTIF(Campaigns!$A$7:$A$300,B5866)&gt;0,"✓","⚠ add to Campaigns tab"))</f>
        <v/>
      </c>
      <c r="I5866" s="84" t="str">
        <f aca="false">IF(C5866="","",C5866*IF(Settings!$B$22=Settings!$C$6,1,IF(Settings!$B$22="USD",1/INDEX(Settings!$B$29:$B$40,MONTH(A5866)),INDEX(Settings!$B$29:$B$40,MONTH(A5866)))))</f>
        <v/>
      </c>
    </row>
    <row r="5867" customFormat="false" ht="15" hidden="false" customHeight="false" outlineLevel="0" collapsed="false">
      <c r="H5867" s="0" t="str">
        <f aca="false">IF(B5867="","",IF(COUNTIF(Campaigns!$A$7:$A$300,B5867)&gt;0,"✓","⚠ add to Campaigns tab"))</f>
        <v/>
      </c>
      <c r="I5867" s="84" t="str">
        <f aca="false">IF(C5867="","",C5867*IF(Settings!$B$22=Settings!$C$6,1,IF(Settings!$B$22="USD",1/INDEX(Settings!$B$29:$B$40,MONTH(A5867)),INDEX(Settings!$B$29:$B$40,MONTH(A5867)))))</f>
        <v/>
      </c>
    </row>
    <row r="5868" customFormat="false" ht="15" hidden="false" customHeight="false" outlineLevel="0" collapsed="false">
      <c r="H5868" s="0" t="str">
        <f aca="false">IF(B5868="","",IF(COUNTIF(Campaigns!$A$7:$A$300,B5868)&gt;0,"✓","⚠ add to Campaigns tab"))</f>
        <v/>
      </c>
      <c r="I5868" s="84" t="str">
        <f aca="false">IF(C5868="","",C5868*IF(Settings!$B$22=Settings!$C$6,1,IF(Settings!$B$22="USD",1/INDEX(Settings!$B$29:$B$40,MONTH(A5868)),INDEX(Settings!$B$29:$B$40,MONTH(A5868)))))</f>
        <v/>
      </c>
    </row>
    <row r="5869" customFormat="false" ht="15" hidden="false" customHeight="false" outlineLevel="0" collapsed="false">
      <c r="H5869" s="0" t="str">
        <f aca="false">IF(B5869="","",IF(COUNTIF(Campaigns!$A$7:$A$300,B5869)&gt;0,"✓","⚠ add to Campaigns tab"))</f>
        <v/>
      </c>
      <c r="I5869" s="84" t="str">
        <f aca="false">IF(C5869="","",C5869*IF(Settings!$B$22=Settings!$C$6,1,IF(Settings!$B$22="USD",1/INDEX(Settings!$B$29:$B$40,MONTH(A5869)),INDEX(Settings!$B$29:$B$40,MONTH(A5869)))))</f>
        <v/>
      </c>
    </row>
    <row r="5870" customFormat="false" ht="15" hidden="false" customHeight="false" outlineLevel="0" collapsed="false">
      <c r="H5870" s="0" t="str">
        <f aca="false">IF(B5870="","",IF(COUNTIF(Campaigns!$A$7:$A$300,B5870)&gt;0,"✓","⚠ add to Campaigns tab"))</f>
        <v/>
      </c>
      <c r="I5870" s="84" t="str">
        <f aca="false">IF(C5870="","",C5870*IF(Settings!$B$22=Settings!$C$6,1,IF(Settings!$B$22="USD",1/INDEX(Settings!$B$29:$B$40,MONTH(A5870)),INDEX(Settings!$B$29:$B$40,MONTH(A5870)))))</f>
        <v/>
      </c>
    </row>
    <row r="5871" customFormat="false" ht="15" hidden="false" customHeight="false" outlineLevel="0" collapsed="false">
      <c r="H5871" s="0" t="str">
        <f aca="false">IF(B5871="","",IF(COUNTIF(Campaigns!$A$7:$A$300,B5871)&gt;0,"✓","⚠ add to Campaigns tab"))</f>
        <v/>
      </c>
      <c r="I5871" s="84" t="str">
        <f aca="false">IF(C5871="","",C5871*IF(Settings!$B$22=Settings!$C$6,1,IF(Settings!$B$22="USD",1/INDEX(Settings!$B$29:$B$40,MONTH(A5871)),INDEX(Settings!$B$29:$B$40,MONTH(A5871)))))</f>
        <v/>
      </c>
    </row>
    <row r="5872" customFormat="false" ht="15" hidden="false" customHeight="false" outlineLevel="0" collapsed="false">
      <c r="H5872" s="0" t="str">
        <f aca="false">IF(B5872="","",IF(COUNTIF(Campaigns!$A$7:$A$300,B5872)&gt;0,"✓","⚠ add to Campaigns tab"))</f>
        <v/>
      </c>
      <c r="I5872" s="84" t="str">
        <f aca="false">IF(C5872="","",C5872*IF(Settings!$B$22=Settings!$C$6,1,IF(Settings!$B$22="USD",1/INDEX(Settings!$B$29:$B$40,MONTH(A5872)),INDEX(Settings!$B$29:$B$40,MONTH(A5872)))))</f>
        <v/>
      </c>
    </row>
    <row r="5873" customFormat="false" ht="15" hidden="false" customHeight="false" outlineLevel="0" collapsed="false">
      <c r="H5873" s="0" t="str">
        <f aca="false">IF(B5873="","",IF(COUNTIF(Campaigns!$A$7:$A$300,B5873)&gt;0,"✓","⚠ add to Campaigns tab"))</f>
        <v/>
      </c>
      <c r="I5873" s="84" t="str">
        <f aca="false">IF(C5873="","",C5873*IF(Settings!$B$22=Settings!$C$6,1,IF(Settings!$B$22="USD",1/INDEX(Settings!$B$29:$B$40,MONTH(A5873)),INDEX(Settings!$B$29:$B$40,MONTH(A5873)))))</f>
        <v/>
      </c>
    </row>
    <row r="5874" customFormat="false" ht="15" hidden="false" customHeight="false" outlineLevel="0" collapsed="false">
      <c r="H5874" s="0" t="str">
        <f aca="false">IF(B5874="","",IF(COUNTIF(Campaigns!$A$7:$A$300,B5874)&gt;0,"✓","⚠ add to Campaigns tab"))</f>
        <v/>
      </c>
      <c r="I5874" s="84" t="str">
        <f aca="false">IF(C5874="","",C5874*IF(Settings!$B$22=Settings!$C$6,1,IF(Settings!$B$22="USD",1/INDEX(Settings!$B$29:$B$40,MONTH(A5874)),INDEX(Settings!$B$29:$B$40,MONTH(A5874)))))</f>
        <v/>
      </c>
    </row>
    <row r="5875" customFormat="false" ht="15" hidden="false" customHeight="false" outlineLevel="0" collapsed="false">
      <c r="H5875" s="0" t="str">
        <f aca="false">IF(B5875="","",IF(COUNTIF(Campaigns!$A$7:$A$300,B5875)&gt;0,"✓","⚠ add to Campaigns tab"))</f>
        <v/>
      </c>
      <c r="I5875" s="84" t="str">
        <f aca="false">IF(C5875="","",C5875*IF(Settings!$B$22=Settings!$C$6,1,IF(Settings!$B$22="USD",1/INDEX(Settings!$B$29:$B$40,MONTH(A5875)),INDEX(Settings!$B$29:$B$40,MONTH(A5875)))))</f>
        <v/>
      </c>
    </row>
    <row r="5876" customFormat="false" ht="15" hidden="false" customHeight="false" outlineLevel="0" collapsed="false">
      <c r="H5876" s="0" t="str">
        <f aca="false">IF(B5876="","",IF(COUNTIF(Campaigns!$A$7:$A$300,B5876)&gt;0,"✓","⚠ add to Campaigns tab"))</f>
        <v/>
      </c>
      <c r="I5876" s="84" t="str">
        <f aca="false">IF(C5876="","",C5876*IF(Settings!$B$22=Settings!$C$6,1,IF(Settings!$B$22="USD",1/INDEX(Settings!$B$29:$B$40,MONTH(A5876)),INDEX(Settings!$B$29:$B$40,MONTH(A5876)))))</f>
        <v/>
      </c>
    </row>
    <row r="5877" customFormat="false" ht="15" hidden="false" customHeight="false" outlineLevel="0" collapsed="false">
      <c r="H5877" s="0" t="str">
        <f aca="false">IF(B5877="","",IF(COUNTIF(Campaigns!$A$7:$A$300,B5877)&gt;0,"✓","⚠ add to Campaigns tab"))</f>
        <v/>
      </c>
      <c r="I5877" s="84" t="str">
        <f aca="false">IF(C5877="","",C5877*IF(Settings!$B$22=Settings!$C$6,1,IF(Settings!$B$22="USD",1/INDEX(Settings!$B$29:$B$40,MONTH(A5877)),INDEX(Settings!$B$29:$B$40,MONTH(A5877)))))</f>
        <v/>
      </c>
    </row>
    <row r="5878" customFormat="false" ht="15" hidden="false" customHeight="false" outlineLevel="0" collapsed="false">
      <c r="H5878" s="0" t="str">
        <f aca="false">IF(B5878="","",IF(COUNTIF(Campaigns!$A$7:$A$300,B5878)&gt;0,"✓","⚠ add to Campaigns tab"))</f>
        <v/>
      </c>
      <c r="I5878" s="84" t="str">
        <f aca="false">IF(C5878="","",C5878*IF(Settings!$B$22=Settings!$C$6,1,IF(Settings!$B$22="USD",1/INDEX(Settings!$B$29:$B$40,MONTH(A5878)),INDEX(Settings!$B$29:$B$40,MONTH(A5878)))))</f>
        <v/>
      </c>
    </row>
    <row r="5879" customFormat="false" ht="15" hidden="false" customHeight="false" outlineLevel="0" collapsed="false">
      <c r="H5879" s="0" t="str">
        <f aca="false">IF(B5879="","",IF(COUNTIF(Campaigns!$A$7:$A$300,B5879)&gt;0,"✓","⚠ add to Campaigns tab"))</f>
        <v/>
      </c>
      <c r="I5879" s="84" t="str">
        <f aca="false">IF(C5879="","",C5879*IF(Settings!$B$22=Settings!$C$6,1,IF(Settings!$B$22="USD",1/INDEX(Settings!$B$29:$B$40,MONTH(A5879)),INDEX(Settings!$B$29:$B$40,MONTH(A5879)))))</f>
        <v/>
      </c>
    </row>
    <row r="5880" customFormat="false" ht="15" hidden="false" customHeight="false" outlineLevel="0" collapsed="false">
      <c r="H5880" s="0" t="str">
        <f aca="false">IF(B5880="","",IF(COUNTIF(Campaigns!$A$7:$A$300,B5880)&gt;0,"✓","⚠ add to Campaigns tab"))</f>
        <v/>
      </c>
      <c r="I5880" s="84" t="str">
        <f aca="false">IF(C5880="","",C5880*IF(Settings!$B$22=Settings!$C$6,1,IF(Settings!$B$22="USD",1/INDEX(Settings!$B$29:$B$40,MONTH(A5880)),INDEX(Settings!$B$29:$B$40,MONTH(A5880)))))</f>
        <v/>
      </c>
    </row>
    <row r="5881" customFormat="false" ht="15" hidden="false" customHeight="false" outlineLevel="0" collapsed="false">
      <c r="H5881" s="0" t="str">
        <f aca="false">IF(B5881="","",IF(COUNTIF(Campaigns!$A$7:$A$300,B5881)&gt;0,"✓","⚠ add to Campaigns tab"))</f>
        <v/>
      </c>
      <c r="I5881" s="84" t="str">
        <f aca="false">IF(C5881="","",C5881*IF(Settings!$B$22=Settings!$C$6,1,IF(Settings!$B$22="USD",1/INDEX(Settings!$B$29:$B$40,MONTH(A5881)),INDEX(Settings!$B$29:$B$40,MONTH(A5881)))))</f>
        <v/>
      </c>
    </row>
    <row r="5882" customFormat="false" ht="15" hidden="false" customHeight="false" outlineLevel="0" collapsed="false">
      <c r="H5882" s="0" t="str">
        <f aca="false">IF(B5882="","",IF(COUNTIF(Campaigns!$A$7:$A$300,B5882)&gt;0,"✓","⚠ add to Campaigns tab"))</f>
        <v/>
      </c>
      <c r="I5882" s="84" t="str">
        <f aca="false">IF(C5882="","",C5882*IF(Settings!$B$22=Settings!$C$6,1,IF(Settings!$B$22="USD",1/INDEX(Settings!$B$29:$B$40,MONTH(A5882)),INDEX(Settings!$B$29:$B$40,MONTH(A5882)))))</f>
        <v/>
      </c>
    </row>
    <row r="5883" customFormat="false" ht="15" hidden="false" customHeight="false" outlineLevel="0" collapsed="false">
      <c r="H5883" s="0" t="str">
        <f aca="false">IF(B5883="","",IF(COUNTIF(Campaigns!$A$7:$A$300,B5883)&gt;0,"✓","⚠ add to Campaigns tab"))</f>
        <v/>
      </c>
      <c r="I5883" s="84" t="str">
        <f aca="false">IF(C5883="","",C5883*IF(Settings!$B$22=Settings!$C$6,1,IF(Settings!$B$22="USD",1/INDEX(Settings!$B$29:$B$40,MONTH(A5883)),INDEX(Settings!$B$29:$B$40,MONTH(A5883)))))</f>
        <v/>
      </c>
    </row>
    <row r="5884" customFormat="false" ht="15" hidden="false" customHeight="false" outlineLevel="0" collapsed="false">
      <c r="H5884" s="0" t="str">
        <f aca="false">IF(B5884="","",IF(COUNTIF(Campaigns!$A$7:$A$300,B5884)&gt;0,"✓","⚠ add to Campaigns tab"))</f>
        <v/>
      </c>
      <c r="I5884" s="84" t="str">
        <f aca="false">IF(C5884="","",C5884*IF(Settings!$B$22=Settings!$C$6,1,IF(Settings!$B$22="USD",1/INDEX(Settings!$B$29:$B$40,MONTH(A5884)),INDEX(Settings!$B$29:$B$40,MONTH(A5884)))))</f>
        <v/>
      </c>
    </row>
    <row r="5885" customFormat="false" ht="15" hidden="false" customHeight="false" outlineLevel="0" collapsed="false">
      <c r="H5885" s="0" t="str">
        <f aca="false">IF(B5885="","",IF(COUNTIF(Campaigns!$A$7:$A$300,B5885)&gt;0,"✓","⚠ add to Campaigns tab"))</f>
        <v/>
      </c>
      <c r="I5885" s="84" t="str">
        <f aca="false">IF(C5885="","",C5885*IF(Settings!$B$22=Settings!$C$6,1,IF(Settings!$B$22="USD",1/INDEX(Settings!$B$29:$B$40,MONTH(A5885)),INDEX(Settings!$B$29:$B$40,MONTH(A5885)))))</f>
        <v/>
      </c>
    </row>
    <row r="5886" customFormat="false" ht="15" hidden="false" customHeight="false" outlineLevel="0" collapsed="false">
      <c r="H5886" s="0" t="str">
        <f aca="false">IF(B5886="","",IF(COUNTIF(Campaigns!$A$7:$A$300,B5886)&gt;0,"✓","⚠ add to Campaigns tab"))</f>
        <v/>
      </c>
      <c r="I5886" s="84" t="str">
        <f aca="false">IF(C5886="","",C5886*IF(Settings!$B$22=Settings!$C$6,1,IF(Settings!$B$22="USD",1/INDEX(Settings!$B$29:$B$40,MONTH(A5886)),INDEX(Settings!$B$29:$B$40,MONTH(A5886)))))</f>
        <v/>
      </c>
    </row>
    <row r="5887" customFormat="false" ht="15" hidden="false" customHeight="false" outlineLevel="0" collapsed="false">
      <c r="H5887" s="0" t="str">
        <f aca="false">IF(B5887="","",IF(COUNTIF(Campaigns!$A$7:$A$300,B5887)&gt;0,"✓","⚠ add to Campaigns tab"))</f>
        <v/>
      </c>
      <c r="I5887" s="84" t="str">
        <f aca="false">IF(C5887="","",C5887*IF(Settings!$B$22=Settings!$C$6,1,IF(Settings!$B$22="USD",1/INDEX(Settings!$B$29:$B$40,MONTH(A5887)),INDEX(Settings!$B$29:$B$40,MONTH(A5887)))))</f>
        <v/>
      </c>
    </row>
    <row r="5888" customFormat="false" ht="15" hidden="false" customHeight="false" outlineLevel="0" collapsed="false">
      <c r="H5888" s="0" t="str">
        <f aca="false">IF(B5888="","",IF(COUNTIF(Campaigns!$A$7:$A$300,B5888)&gt;0,"✓","⚠ add to Campaigns tab"))</f>
        <v/>
      </c>
      <c r="I5888" s="84" t="str">
        <f aca="false">IF(C5888="","",C5888*IF(Settings!$B$22=Settings!$C$6,1,IF(Settings!$B$22="USD",1/INDEX(Settings!$B$29:$B$40,MONTH(A5888)),INDEX(Settings!$B$29:$B$40,MONTH(A5888)))))</f>
        <v/>
      </c>
    </row>
    <row r="5889" customFormat="false" ht="15" hidden="false" customHeight="false" outlineLevel="0" collapsed="false">
      <c r="H5889" s="0" t="str">
        <f aca="false">IF(B5889="","",IF(COUNTIF(Campaigns!$A$7:$A$300,B5889)&gt;0,"✓","⚠ add to Campaigns tab"))</f>
        <v/>
      </c>
      <c r="I5889" s="84" t="str">
        <f aca="false">IF(C5889="","",C5889*IF(Settings!$B$22=Settings!$C$6,1,IF(Settings!$B$22="USD",1/INDEX(Settings!$B$29:$B$40,MONTH(A5889)),INDEX(Settings!$B$29:$B$40,MONTH(A5889)))))</f>
        <v/>
      </c>
    </row>
    <row r="5890" customFormat="false" ht="15" hidden="false" customHeight="false" outlineLevel="0" collapsed="false">
      <c r="H5890" s="0" t="str">
        <f aca="false">IF(B5890="","",IF(COUNTIF(Campaigns!$A$7:$A$300,B5890)&gt;0,"✓","⚠ add to Campaigns tab"))</f>
        <v/>
      </c>
      <c r="I5890" s="84" t="str">
        <f aca="false">IF(C5890="","",C5890*IF(Settings!$B$22=Settings!$C$6,1,IF(Settings!$B$22="USD",1/INDEX(Settings!$B$29:$B$40,MONTH(A5890)),INDEX(Settings!$B$29:$B$40,MONTH(A5890)))))</f>
        <v/>
      </c>
    </row>
    <row r="5891" customFormat="false" ht="15" hidden="false" customHeight="false" outlineLevel="0" collapsed="false">
      <c r="H5891" s="0" t="str">
        <f aca="false">IF(B5891="","",IF(COUNTIF(Campaigns!$A$7:$A$300,B5891)&gt;0,"✓","⚠ add to Campaigns tab"))</f>
        <v/>
      </c>
      <c r="I5891" s="84" t="str">
        <f aca="false">IF(C5891="","",C5891*IF(Settings!$B$22=Settings!$C$6,1,IF(Settings!$B$22="USD",1/INDEX(Settings!$B$29:$B$40,MONTH(A5891)),INDEX(Settings!$B$29:$B$40,MONTH(A5891)))))</f>
        <v/>
      </c>
    </row>
    <row r="5892" customFormat="false" ht="15" hidden="false" customHeight="false" outlineLevel="0" collapsed="false">
      <c r="H5892" s="0" t="str">
        <f aca="false">IF(B5892="","",IF(COUNTIF(Campaigns!$A$7:$A$300,B5892)&gt;0,"✓","⚠ add to Campaigns tab"))</f>
        <v/>
      </c>
      <c r="I5892" s="84" t="str">
        <f aca="false">IF(C5892="","",C5892*IF(Settings!$B$22=Settings!$C$6,1,IF(Settings!$B$22="USD",1/INDEX(Settings!$B$29:$B$40,MONTH(A5892)),INDEX(Settings!$B$29:$B$40,MONTH(A5892)))))</f>
        <v/>
      </c>
    </row>
    <row r="5893" customFormat="false" ht="15" hidden="false" customHeight="false" outlineLevel="0" collapsed="false">
      <c r="H5893" s="0" t="str">
        <f aca="false">IF(B5893="","",IF(COUNTIF(Campaigns!$A$7:$A$300,B5893)&gt;0,"✓","⚠ add to Campaigns tab"))</f>
        <v/>
      </c>
      <c r="I5893" s="84" t="str">
        <f aca="false">IF(C5893="","",C5893*IF(Settings!$B$22=Settings!$C$6,1,IF(Settings!$B$22="USD",1/INDEX(Settings!$B$29:$B$40,MONTH(A5893)),INDEX(Settings!$B$29:$B$40,MONTH(A5893)))))</f>
        <v/>
      </c>
    </row>
    <row r="5894" customFormat="false" ht="15" hidden="false" customHeight="false" outlineLevel="0" collapsed="false">
      <c r="H5894" s="0" t="str">
        <f aca="false">IF(B5894="","",IF(COUNTIF(Campaigns!$A$7:$A$300,B5894)&gt;0,"✓","⚠ add to Campaigns tab"))</f>
        <v/>
      </c>
      <c r="I5894" s="84" t="str">
        <f aca="false">IF(C5894="","",C5894*IF(Settings!$B$22=Settings!$C$6,1,IF(Settings!$B$22="USD",1/INDEX(Settings!$B$29:$B$40,MONTH(A5894)),INDEX(Settings!$B$29:$B$40,MONTH(A5894)))))</f>
        <v/>
      </c>
    </row>
    <row r="5895" customFormat="false" ht="15" hidden="false" customHeight="false" outlineLevel="0" collapsed="false">
      <c r="H5895" s="0" t="str">
        <f aca="false">IF(B5895="","",IF(COUNTIF(Campaigns!$A$7:$A$300,B5895)&gt;0,"✓","⚠ add to Campaigns tab"))</f>
        <v/>
      </c>
      <c r="I5895" s="84" t="str">
        <f aca="false">IF(C5895="","",C5895*IF(Settings!$B$22=Settings!$C$6,1,IF(Settings!$B$22="USD",1/INDEX(Settings!$B$29:$B$40,MONTH(A5895)),INDEX(Settings!$B$29:$B$40,MONTH(A5895)))))</f>
        <v/>
      </c>
    </row>
    <row r="5896" customFormat="false" ht="15" hidden="false" customHeight="false" outlineLevel="0" collapsed="false">
      <c r="H5896" s="0" t="str">
        <f aca="false">IF(B5896="","",IF(COUNTIF(Campaigns!$A$7:$A$300,B5896)&gt;0,"✓","⚠ add to Campaigns tab"))</f>
        <v/>
      </c>
      <c r="I5896" s="84" t="str">
        <f aca="false">IF(C5896="","",C5896*IF(Settings!$B$22=Settings!$C$6,1,IF(Settings!$B$22="USD",1/INDEX(Settings!$B$29:$B$40,MONTH(A5896)),INDEX(Settings!$B$29:$B$40,MONTH(A5896)))))</f>
        <v/>
      </c>
    </row>
    <row r="5897" customFormat="false" ht="15" hidden="false" customHeight="false" outlineLevel="0" collapsed="false">
      <c r="H5897" s="0" t="str">
        <f aca="false">IF(B5897="","",IF(COUNTIF(Campaigns!$A$7:$A$300,B5897)&gt;0,"✓","⚠ add to Campaigns tab"))</f>
        <v/>
      </c>
      <c r="I5897" s="84" t="str">
        <f aca="false">IF(C5897="","",C5897*IF(Settings!$B$22=Settings!$C$6,1,IF(Settings!$B$22="USD",1/INDEX(Settings!$B$29:$B$40,MONTH(A5897)),INDEX(Settings!$B$29:$B$40,MONTH(A5897)))))</f>
        <v/>
      </c>
    </row>
    <row r="5898" customFormat="false" ht="15" hidden="false" customHeight="false" outlineLevel="0" collapsed="false">
      <c r="H5898" s="0" t="str">
        <f aca="false">IF(B5898="","",IF(COUNTIF(Campaigns!$A$7:$A$300,B5898)&gt;0,"✓","⚠ add to Campaigns tab"))</f>
        <v/>
      </c>
      <c r="I5898" s="84" t="str">
        <f aca="false">IF(C5898="","",C5898*IF(Settings!$B$22=Settings!$C$6,1,IF(Settings!$B$22="USD",1/INDEX(Settings!$B$29:$B$40,MONTH(A5898)),INDEX(Settings!$B$29:$B$40,MONTH(A5898)))))</f>
        <v/>
      </c>
    </row>
    <row r="5899" customFormat="false" ht="15" hidden="false" customHeight="false" outlineLevel="0" collapsed="false">
      <c r="H5899" s="0" t="str">
        <f aca="false">IF(B5899="","",IF(COUNTIF(Campaigns!$A$7:$A$300,B5899)&gt;0,"✓","⚠ add to Campaigns tab"))</f>
        <v/>
      </c>
      <c r="I5899" s="84" t="str">
        <f aca="false">IF(C5899="","",C5899*IF(Settings!$B$22=Settings!$C$6,1,IF(Settings!$B$22="USD",1/INDEX(Settings!$B$29:$B$40,MONTH(A5899)),INDEX(Settings!$B$29:$B$40,MONTH(A5899)))))</f>
        <v/>
      </c>
    </row>
    <row r="5900" customFormat="false" ht="15" hidden="false" customHeight="false" outlineLevel="0" collapsed="false">
      <c r="H5900" s="0" t="str">
        <f aca="false">IF(B5900="","",IF(COUNTIF(Campaigns!$A$7:$A$300,B5900)&gt;0,"✓","⚠ add to Campaigns tab"))</f>
        <v/>
      </c>
      <c r="I5900" s="84" t="str">
        <f aca="false">IF(C5900="","",C5900*IF(Settings!$B$22=Settings!$C$6,1,IF(Settings!$B$22="USD",1/INDEX(Settings!$B$29:$B$40,MONTH(A5900)),INDEX(Settings!$B$29:$B$40,MONTH(A5900)))))</f>
        <v/>
      </c>
    </row>
    <row r="5901" customFormat="false" ht="15" hidden="false" customHeight="false" outlineLevel="0" collapsed="false">
      <c r="H5901" s="0" t="str">
        <f aca="false">IF(B5901="","",IF(COUNTIF(Campaigns!$A$7:$A$300,B5901)&gt;0,"✓","⚠ add to Campaigns tab"))</f>
        <v/>
      </c>
      <c r="I5901" s="84" t="str">
        <f aca="false">IF(C5901="","",C5901*IF(Settings!$B$22=Settings!$C$6,1,IF(Settings!$B$22="USD",1/INDEX(Settings!$B$29:$B$40,MONTH(A5901)),INDEX(Settings!$B$29:$B$40,MONTH(A5901)))))</f>
        <v/>
      </c>
    </row>
    <row r="5902" customFormat="false" ht="15" hidden="false" customHeight="false" outlineLevel="0" collapsed="false">
      <c r="H5902" s="0" t="str">
        <f aca="false">IF(B5902="","",IF(COUNTIF(Campaigns!$A$7:$A$300,B5902)&gt;0,"✓","⚠ add to Campaigns tab"))</f>
        <v/>
      </c>
      <c r="I5902" s="84" t="str">
        <f aca="false">IF(C5902="","",C5902*IF(Settings!$B$22=Settings!$C$6,1,IF(Settings!$B$22="USD",1/INDEX(Settings!$B$29:$B$40,MONTH(A5902)),INDEX(Settings!$B$29:$B$40,MONTH(A5902)))))</f>
        <v/>
      </c>
    </row>
    <row r="5903" customFormat="false" ht="15" hidden="false" customHeight="false" outlineLevel="0" collapsed="false">
      <c r="H5903" s="0" t="str">
        <f aca="false">IF(B5903="","",IF(COUNTIF(Campaigns!$A$7:$A$300,B5903)&gt;0,"✓","⚠ add to Campaigns tab"))</f>
        <v/>
      </c>
      <c r="I5903" s="84" t="str">
        <f aca="false">IF(C5903="","",C5903*IF(Settings!$B$22=Settings!$C$6,1,IF(Settings!$B$22="USD",1/INDEX(Settings!$B$29:$B$40,MONTH(A5903)),INDEX(Settings!$B$29:$B$40,MONTH(A5903)))))</f>
        <v/>
      </c>
    </row>
    <row r="5904" customFormat="false" ht="15" hidden="false" customHeight="false" outlineLevel="0" collapsed="false">
      <c r="H5904" s="0" t="str">
        <f aca="false">IF(B5904="","",IF(COUNTIF(Campaigns!$A$7:$A$300,B5904)&gt;0,"✓","⚠ add to Campaigns tab"))</f>
        <v/>
      </c>
      <c r="I5904" s="84" t="str">
        <f aca="false">IF(C5904="","",C5904*IF(Settings!$B$22=Settings!$C$6,1,IF(Settings!$B$22="USD",1/INDEX(Settings!$B$29:$B$40,MONTH(A5904)),INDEX(Settings!$B$29:$B$40,MONTH(A5904)))))</f>
        <v/>
      </c>
    </row>
    <row r="5905" customFormat="false" ht="15" hidden="false" customHeight="false" outlineLevel="0" collapsed="false">
      <c r="H5905" s="0" t="str">
        <f aca="false">IF(B5905="","",IF(COUNTIF(Campaigns!$A$7:$A$300,B5905)&gt;0,"✓","⚠ add to Campaigns tab"))</f>
        <v/>
      </c>
      <c r="I5905" s="84" t="str">
        <f aca="false">IF(C5905="","",C5905*IF(Settings!$B$22=Settings!$C$6,1,IF(Settings!$B$22="USD",1/INDEX(Settings!$B$29:$B$40,MONTH(A5905)),INDEX(Settings!$B$29:$B$40,MONTH(A5905)))))</f>
        <v/>
      </c>
    </row>
    <row r="5906" customFormat="false" ht="15" hidden="false" customHeight="false" outlineLevel="0" collapsed="false">
      <c r="H5906" s="0" t="str">
        <f aca="false">IF(B5906="","",IF(COUNTIF(Campaigns!$A$7:$A$300,B5906)&gt;0,"✓","⚠ add to Campaigns tab"))</f>
        <v/>
      </c>
      <c r="I5906" s="84" t="str">
        <f aca="false">IF(C5906="","",C5906*IF(Settings!$B$22=Settings!$C$6,1,IF(Settings!$B$22="USD",1/INDEX(Settings!$B$29:$B$40,MONTH(A5906)),INDEX(Settings!$B$29:$B$40,MONTH(A5906)))))</f>
        <v/>
      </c>
    </row>
    <row r="5907" customFormat="false" ht="15" hidden="false" customHeight="false" outlineLevel="0" collapsed="false">
      <c r="H5907" s="0" t="str">
        <f aca="false">IF(B5907="","",IF(COUNTIF(Campaigns!$A$7:$A$300,B5907)&gt;0,"✓","⚠ add to Campaigns tab"))</f>
        <v/>
      </c>
      <c r="I5907" s="84" t="str">
        <f aca="false">IF(C5907="","",C5907*IF(Settings!$B$22=Settings!$C$6,1,IF(Settings!$B$22="USD",1/INDEX(Settings!$B$29:$B$40,MONTH(A5907)),INDEX(Settings!$B$29:$B$40,MONTH(A5907)))))</f>
        <v/>
      </c>
    </row>
    <row r="5908" customFormat="false" ht="15" hidden="false" customHeight="false" outlineLevel="0" collapsed="false">
      <c r="H5908" s="0" t="str">
        <f aca="false">IF(B5908="","",IF(COUNTIF(Campaigns!$A$7:$A$300,B5908)&gt;0,"✓","⚠ add to Campaigns tab"))</f>
        <v/>
      </c>
      <c r="I5908" s="84" t="str">
        <f aca="false">IF(C5908="","",C5908*IF(Settings!$B$22=Settings!$C$6,1,IF(Settings!$B$22="USD",1/INDEX(Settings!$B$29:$B$40,MONTH(A5908)),INDEX(Settings!$B$29:$B$40,MONTH(A5908)))))</f>
        <v/>
      </c>
    </row>
    <row r="5909" customFormat="false" ht="15" hidden="false" customHeight="false" outlineLevel="0" collapsed="false">
      <c r="H5909" s="0" t="str">
        <f aca="false">IF(B5909="","",IF(COUNTIF(Campaigns!$A$7:$A$300,B5909)&gt;0,"✓","⚠ add to Campaigns tab"))</f>
        <v/>
      </c>
      <c r="I5909" s="84" t="str">
        <f aca="false">IF(C5909="","",C5909*IF(Settings!$B$22=Settings!$C$6,1,IF(Settings!$B$22="USD",1/INDEX(Settings!$B$29:$B$40,MONTH(A5909)),INDEX(Settings!$B$29:$B$40,MONTH(A5909)))))</f>
        <v/>
      </c>
    </row>
    <row r="5910" customFormat="false" ht="15" hidden="false" customHeight="false" outlineLevel="0" collapsed="false">
      <c r="H5910" s="0" t="str">
        <f aca="false">IF(B5910="","",IF(COUNTIF(Campaigns!$A$7:$A$300,B5910)&gt;0,"✓","⚠ add to Campaigns tab"))</f>
        <v/>
      </c>
      <c r="I5910" s="84" t="str">
        <f aca="false">IF(C5910="","",C5910*IF(Settings!$B$22=Settings!$C$6,1,IF(Settings!$B$22="USD",1/INDEX(Settings!$B$29:$B$40,MONTH(A5910)),INDEX(Settings!$B$29:$B$40,MONTH(A5910)))))</f>
        <v/>
      </c>
    </row>
    <row r="5911" customFormat="false" ht="15" hidden="false" customHeight="false" outlineLevel="0" collapsed="false">
      <c r="H5911" s="0" t="str">
        <f aca="false">IF(B5911="","",IF(COUNTIF(Campaigns!$A$7:$A$300,B5911)&gt;0,"✓","⚠ add to Campaigns tab"))</f>
        <v/>
      </c>
      <c r="I5911" s="84" t="str">
        <f aca="false">IF(C5911="","",C5911*IF(Settings!$B$22=Settings!$C$6,1,IF(Settings!$B$22="USD",1/INDEX(Settings!$B$29:$B$40,MONTH(A5911)),INDEX(Settings!$B$29:$B$40,MONTH(A5911)))))</f>
        <v/>
      </c>
    </row>
    <row r="5912" customFormat="false" ht="15" hidden="false" customHeight="false" outlineLevel="0" collapsed="false">
      <c r="H5912" s="0" t="str">
        <f aca="false">IF(B5912="","",IF(COUNTIF(Campaigns!$A$7:$A$300,B5912)&gt;0,"✓","⚠ add to Campaigns tab"))</f>
        <v/>
      </c>
      <c r="I5912" s="84" t="str">
        <f aca="false">IF(C5912="","",C5912*IF(Settings!$B$22=Settings!$C$6,1,IF(Settings!$B$22="USD",1/INDEX(Settings!$B$29:$B$40,MONTH(A5912)),INDEX(Settings!$B$29:$B$40,MONTH(A5912)))))</f>
        <v/>
      </c>
    </row>
    <row r="5913" customFormat="false" ht="15" hidden="false" customHeight="false" outlineLevel="0" collapsed="false">
      <c r="H5913" s="0" t="str">
        <f aca="false">IF(B5913="","",IF(COUNTIF(Campaigns!$A$7:$A$300,B5913)&gt;0,"✓","⚠ add to Campaigns tab"))</f>
        <v/>
      </c>
      <c r="I5913" s="84" t="str">
        <f aca="false">IF(C5913="","",C5913*IF(Settings!$B$22=Settings!$C$6,1,IF(Settings!$B$22="USD",1/INDEX(Settings!$B$29:$B$40,MONTH(A5913)),INDEX(Settings!$B$29:$B$40,MONTH(A5913)))))</f>
        <v/>
      </c>
    </row>
    <row r="5914" customFormat="false" ht="15" hidden="false" customHeight="false" outlineLevel="0" collapsed="false">
      <c r="H5914" s="0" t="str">
        <f aca="false">IF(B5914="","",IF(COUNTIF(Campaigns!$A$7:$A$300,B5914)&gt;0,"✓","⚠ add to Campaigns tab"))</f>
        <v/>
      </c>
      <c r="I5914" s="84" t="str">
        <f aca="false">IF(C5914="","",C5914*IF(Settings!$B$22=Settings!$C$6,1,IF(Settings!$B$22="USD",1/INDEX(Settings!$B$29:$B$40,MONTH(A5914)),INDEX(Settings!$B$29:$B$40,MONTH(A5914)))))</f>
        <v/>
      </c>
    </row>
    <row r="5915" customFormat="false" ht="15" hidden="false" customHeight="false" outlineLevel="0" collapsed="false">
      <c r="H5915" s="0" t="str">
        <f aca="false">IF(B5915="","",IF(COUNTIF(Campaigns!$A$7:$A$300,B5915)&gt;0,"✓","⚠ add to Campaigns tab"))</f>
        <v/>
      </c>
      <c r="I5915" s="84" t="str">
        <f aca="false">IF(C5915="","",C5915*IF(Settings!$B$22=Settings!$C$6,1,IF(Settings!$B$22="USD",1/INDEX(Settings!$B$29:$B$40,MONTH(A5915)),INDEX(Settings!$B$29:$B$40,MONTH(A5915)))))</f>
        <v/>
      </c>
    </row>
    <row r="5916" customFormat="false" ht="15" hidden="false" customHeight="false" outlineLevel="0" collapsed="false">
      <c r="H5916" s="0" t="str">
        <f aca="false">IF(B5916="","",IF(COUNTIF(Campaigns!$A$7:$A$300,B5916)&gt;0,"✓","⚠ add to Campaigns tab"))</f>
        <v/>
      </c>
      <c r="I5916" s="84" t="str">
        <f aca="false">IF(C5916="","",C5916*IF(Settings!$B$22=Settings!$C$6,1,IF(Settings!$B$22="USD",1/INDEX(Settings!$B$29:$B$40,MONTH(A5916)),INDEX(Settings!$B$29:$B$40,MONTH(A5916)))))</f>
        <v/>
      </c>
    </row>
    <row r="5917" customFormat="false" ht="15" hidden="false" customHeight="false" outlineLevel="0" collapsed="false">
      <c r="H5917" s="0" t="str">
        <f aca="false">IF(B5917="","",IF(COUNTIF(Campaigns!$A$7:$A$300,B5917)&gt;0,"✓","⚠ add to Campaigns tab"))</f>
        <v/>
      </c>
      <c r="I5917" s="84" t="str">
        <f aca="false">IF(C5917="","",C5917*IF(Settings!$B$22=Settings!$C$6,1,IF(Settings!$B$22="USD",1/INDEX(Settings!$B$29:$B$40,MONTH(A5917)),INDEX(Settings!$B$29:$B$40,MONTH(A5917)))))</f>
        <v/>
      </c>
    </row>
    <row r="5918" customFormat="false" ht="15" hidden="false" customHeight="false" outlineLevel="0" collapsed="false">
      <c r="H5918" s="0" t="str">
        <f aca="false">IF(B5918="","",IF(COUNTIF(Campaigns!$A$7:$A$300,B5918)&gt;0,"✓","⚠ add to Campaigns tab"))</f>
        <v/>
      </c>
      <c r="I5918" s="84" t="str">
        <f aca="false">IF(C5918="","",C5918*IF(Settings!$B$22=Settings!$C$6,1,IF(Settings!$B$22="USD",1/INDEX(Settings!$B$29:$B$40,MONTH(A5918)),INDEX(Settings!$B$29:$B$40,MONTH(A5918)))))</f>
        <v/>
      </c>
    </row>
    <row r="5919" customFormat="false" ht="15" hidden="false" customHeight="false" outlineLevel="0" collapsed="false">
      <c r="H5919" s="0" t="str">
        <f aca="false">IF(B5919="","",IF(COUNTIF(Campaigns!$A$7:$A$300,B5919)&gt;0,"✓","⚠ add to Campaigns tab"))</f>
        <v/>
      </c>
      <c r="I5919" s="84" t="str">
        <f aca="false">IF(C5919="","",C5919*IF(Settings!$B$22=Settings!$C$6,1,IF(Settings!$B$22="USD",1/INDEX(Settings!$B$29:$B$40,MONTH(A5919)),INDEX(Settings!$B$29:$B$40,MONTH(A5919)))))</f>
        <v/>
      </c>
    </row>
    <row r="5920" customFormat="false" ht="15" hidden="false" customHeight="false" outlineLevel="0" collapsed="false">
      <c r="H5920" s="0" t="str">
        <f aca="false">IF(B5920="","",IF(COUNTIF(Campaigns!$A$7:$A$300,B5920)&gt;0,"✓","⚠ add to Campaigns tab"))</f>
        <v/>
      </c>
      <c r="I5920" s="84" t="str">
        <f aca="false">IF(C5920="","",C5920*IF(Settings!$B$22=Settings!$C$6,1,IF(Settings!$B$22="USD",1/INDEX(Settings!$B$29:$B$40,MONTH(A5920)),INDEX(Settings!$B$29:$B$40,MONTH(A5920)))))</f>
        <v/>
      </c>
    </row>
    <row r="5921" customFormat="false" ht="15" hidden="false" customHeight="false" outlineLevel="0" collapsed="false">
      <c r="H5921" s="0" t="str">
        <f aca="false">IF(B5921="","",IF(COUNTIF(Campaigns!$A$7:$A$300,B5921)&gt;0,"✓","⚠ add to Campaigns tab"))</f>
        <v/>
      </c>
      <c r="I5921" s="84" t="str">
        <f aca="false">IF(C5921="","",C5921*IF(Settings!$B$22=Settings!$C$6,1,IF(Settings!$B$22="USD",1/INDEX(Settings!$B$29:$B$40,MONTH(A5921)),INDEX(Settings!$B$29:$B$40,MONTH(A5921)))))</f>
        <v/>
      </c>
    </row>
    <row r="5922" customFormat="false" ht="15" hidden="false" customHeight="false" outlineLevel="0" collapsed="false">
      <c r="H5922" s="0" t="str">
        <f aca="false">IF(B5922="","",IF(COUNTIF(Campaigns!$A$7:$A$300,B5922)&gt;0,"✓","⚠ add to Campaigns tab"))</f>
        <v/>
      </c>
      <c r="I5922" s="84" t="str">
        <f aca="false">IF(C5922="","",C5922*IF(Settings!$B$22=Settings!$C$6,1,IF(Settings!$B$22="USD",1/INDEX(Settings!$B$29:$B$40,MONTH(A5922)),INDEX(Settings!$B$29:$B$40,MONTH(A5922)))))</f>
        <v/>
      </c>
    </row>
    <row r="5923" customFormat="false" ht="15" hidden="false" customHeight="false" outlineLevel="0" collapsed="false">
      <c r="H5923" s="0" t="str">
        <f aca="false">IF(B5923="","",IF(COUNTIF(Campaigns!$A$7:$A$300,B5923)&gt;0,"✓","⚠ add to Campaigns tab"))</f>
        <v/>
      </c>
      <c r="I5923" s="84" t="str">
        <f aca="false">IF(C5923="","",C5923*IF(Settings!$B$22=Settings!$C$6,1,IF(Settings!$B$22="USD",1/INDEX(Settings!$B$29:$B$40,MONTH(A5923)),INDEX(Settings!$B$29:$B$40,MONTH(A5923)))))</f>
        <v/>
      </c>
    </row>
    <row r="5924" customFormat="false" ht="15" hidden="false" customHeight="false" outlineLevel="0" collapsed="false">
      <c r="H5924" s="0" t="str">
        <f aca="false">IF(B5924="","",IF(COUNTIF(Campaigns!$A$7:$A$300,B5924)&gt;0,"✓","⚠ add to Campaigns tab"))</f>
        <v/>
      </c>
      <c r="I5924" s="84" t="str">
        <f aca="false">IF(C5924="","",C5924*IF(Settings!$B$22=Settings!$C$6,1,IF(Settings!$B$22="USD",1/INDEX(Settings!$B$29:$B$40,MONTH(A5924)),INDEX(Settings!$B$29:$B$40,MONTH(A5924)))))</f>
        <v/>
      </c>
    </row>
    <row r="5925" customFormat="false" ht="15" hidden="false" customHeight="false" outlineLevel="0" collapsed="false">
      <c r="H5925" s="0" t="str">
        <f aca="false">IF(B5925="","",IF(COUNTIF(Campaigns!$A$7:$A$300,B5925)&gt;0,"✓","⚠ add to Campaigns tab"))</f>
        <v/>
      </c>
      <c r="I5925" s="84" t="str">
        <f aca="false">IF(C5925="","",C5925*IF(Settings!$B$22=Settings!$C$6,1,IF(Settings!$B$22="USD",1/INDEX(Settings!$B$29:$B$40,MONTH(A5925)),INDEX(Settings!$B$29:$B$40,MONTH(A5925)))))</f>
        <v/>
      </c>
    </row>
    <row r="5926" customFormat="false" ht="15" hidden="false" customHeight="false" outlineLevel="0" collapsed="false">
      <c r="H5926" s="0" t="str">
        <f aca="false">IF(B5926="","",IF(COUNTIF(Campaigns!$A$7:$A$300,B5926)&gt;0,"✓","⚠ add to Campaigns tab"))</f>
        <v/>
      </c>
      <c r="I5926" s="84" t="str">
        <f aca="false">IF(C5926="","",C5926*IF(Settings!$B$22=Settings!$C$6,1,IF(Settings!$B$22="USD",1/INDEX(Settings!$B$29:$B$40,MONTH(A5926)),INDEX(Settings!$B$29:$B$40,MONTH(A5926)))))</f>
        <v/>
      </c>
    </row>
    <row r="5927" customFormat="false" ht="15" hidden="false" customHeight="false" outlineLevel="0" collapsed="false">
      <c r="H5927" s="0" t="str">
        <f aca="false">IF(B5927="","",IF(COUNTIF(Campaigns!$A$7:$A$300,B5927)&gt;0,"✓","⚠ add to Campaigns tab"))</f>
        <v/>
      </c>
      <c r="I5927" s="84" t="str">
        <f aca="false">IF(C5927="","",C5927*IF(Settings!$B$22=Settings!$C$6,1,IF(Settings!$B$22="USD",1/INDEX(Settings!$B$29:$B$40,MONTH(A5927)),INDEX(Settings!$B$29:$B$40,MONTH(A5927)))))</f>
        <v/>
      </c>
    </row>
    <row r="5928" customFormat="false" ht="15" hidden="false" customHeight="false" outlineLevel="0" collapsed="false">
      <c r="H5928" s="0" t="str">
        <f aca="false">IF(B5928="","",IF(COUNTIF(Campaigns!$A$7:$A$300,B5928)&gt;0,"✓","⚠ add to Campaigns tab"))</f>
        <v/>
      </c>
      <c r="I5928" s="84" t="str">
        <f aca="false">IF(C5928="","",C5928*IF(Settings!$B$22=Settings!$C$6,1,IF(Settings!$B$22="USD",1/INDEX(Settings!$B$29:$B$40,MONTH(A5928)),INDEX(Settings!$B$29:$B$40,MONTH(A5928)))))</f>
        <v/>
      </c>
    </row>
    <row r="5929" customFormat="false" ht="15" hidden="false" customHeight="false" outlineLevel="0" collapsed="false">
      <c r="H5929" s="0" t="str">
        <f aca="false">IF(B5929="","",IF(COUNTIF(Campaigns!$A$7:$A$300,B5929)&gt;0,"✓","⚠ add to Campaigns tab"))</f>
        <v/>
      </c>
      <c r="I5929" s="84" t="str">
        <f aca="false">IF(C5929="","",C5929*IF(Settings!$B$22=Settings!$C$6,1,IF(Settings!$B$22="USD",1/INDEX(Settings!$B$29:$B$40,MONTH(A5929)),INDEX(Settings!$B$29:$B$40,MONTH(A5929)))))</f>
        <v/>
      </c>
    </row>
    <row r="5930" customFormat="false" ht="15" hidden="false" customHeight="false" outlineLevel="0" collapsed="false">
      <c r="H5930" s="0" t="str">
        <f aca="false">IF(B5930="","",IF(COUNTIF(Campaigns!$A$7:$A$300,B5930)&gt;0,"✓","⚠ add to Campaigns tab"))</f>
        <v/>
      </c>
      <c r="I5930" s="84" t="str">
        <f aca="false">IF(C5930="","",C5930*IF(Settings!$B$22=Settings!$C$6,1,IF(Settings!$B$22="USD",1/INDEX(Settings!$B$29:$B$40,MONTH(A5930)),INDEX(Settings!$B$29:$B$40,MONTH(A5930)))))</f>
        <v/>
      </c>
    </row>
    <row r="5931" customFormat="false" ht="15" hidden="false" customHeight="false" outlineLevel="0" collapsed="false">
      <c r="H5931" s="0" t="str">
        <f aca="false">IF(B5931="","",IF(COUNTIF(Campaigns!$A$7:$A$300,B5931)&gt;0,"✓","⚠ add to Campaigns tab"))</f>
        <v/>
      </c>
      <c r="I5931" s="84" t="str">
        <f aca="false">IF(C5931="","",C5931*IF(Settings!$B$22=Settings!$C$6,1,IF(Settings!$B$22="USD",1/INDEX(Settings!$B$29:$B$40,MONTH(A5931)),INDEX(Settings!$B$29:$B$40,MONTH(A5931)))))</f>
        <v/>
      </c>
    </row>
    <row r="5932" customFormat="false" ht="15" hidden="false" customHeight="false" outlineLevel="0" collapsed="false">
      <c r="H5932" s="0" t="str">
        <f aca="false">IF(B5932="","",IF(COUNTIF(Campaigns!$A$7:$A$300,B5932)&gt;0,"✓","⚠ add to Campaigns tab"))</f>
        <v/>
      </c>
      <c r="I5932" s="84" t="str">
        <f aca="false">IF(C5932="","",C5932*IF(Settings!$B$22=Settings!$C$6,1,IF(Settings!$B$22="USD",1/INDEX(Settings!$B$29:$B$40,MONTH(A5932)),INDEX(Settings!$B$29:$B$40,MONTH(A5932)))))</f>
        <v/>
      </c>
    </row>
    <row r="5933" customFormat="false" ht="15" hidden="false" customHeight="false" outlineLevel="0" collapsed="false">
      <c r="H5933" s="0" t="str">
        <f aca="false">IF(B5933="","",IF(COUNTIF(Campaigns!$A$7:$A$300,B5933)&gt;0,"✓","⚠ add to Campaigns tab"))</f>
        <v/>
      </c>
      <c r="I5933" s="84" t="str">
        <f aca="false">IF(C5933="","",C5933*IF(Settings!$B$22=Settings!$C$6,1,IF(Settings!$B$22="USD",1/INDEX(Settings!$B$29:$B$40,MONTH(A5933)),INDEX(Settings!$B$29:$B$40,MONTH(A5933)))))</f>
        <v/>
      </c>
    </row>
    <row r="5934" customFormat="false" ht="15" hidden="false" customHeight="false" outlineLevel="0" collapsed="false">
      <c r="H5934" s="0" t="str">
        <f aca="false">IF(B5934="","",IF(COUNTIF(Campaigns!$A$7:$A$300,B5934)&gt;0,"✓","⚠ add to Campaigns tab"))</f>
        <v/>
      </c>
      <c r="I5934" s="84" t="str">
        <f aca="false">IF(C5934="","",C5934*IF(Settings!$B$22=Settings!$C$6,1,IF(Settings!$B$22="USD",1/INDEX(Settings!$B$29:$B$40,MONTH(A5934)),INDEX(Settings!$B$29:$B$40,MONTH(A5934)))))</f>
        <v/>
      </c>
    </row>
    <row r="5935" customFormat="false" ht="15" hidden="false" customHeight="false" outlineLevel="0" collapsed="false">
      <c r="H5935" s="0" t="str">
        <f aca="false">IF(B5935="","",IF(COUNTIF(Campaigns!$A$7:$A$300,B5935)&gt;0,"✓","⚠ add to Campaigns tab"))</f>
        <v/>
      </c>
      <c r="I5935" s="84" t="str">
        <f aca="false">IF(C5935="","",C5935*IF(Settings!$B$22=Settings!$C$6,1,IF(Settings!$B$22="USD",1/INDEX(Settings!$B$29:$B$40,MONTH(A5935)),INDEX(Settings!$B$29:$B$40,MONTH(A5935)))))</f>
        <v/>
      </c>
    </row>
    <row r="5936" customFormat="false" ht="15" hidden="false" customHeight="false" outlineLevel="0" collapsed="false">
      <c r="H5936" s="0" t="str">
        <f aca="false">IF(B5936="","",IF(COUNTIF(Campaigns!$A$7:$A$300,B5936)&gt;0,"✓","⚠ add to Campaigns tab"))</f>
        <v/>
      </c>
      <c r="I5936" s="84" t="str">
        <f aca="false">IF(C5936="","",C5936*IF(Settings!$B$22=Settings!$C$6,1,IF(Settings!$B$22="USD",1/INDEX(Settings!$B$29:$B$40,MONTH(A5936)),INDEX(Settings!$B$29:$B$40,MONTH(A5936)))))</f>
        <v/>
      </c>
    </row>
    <row r="5937" customFormat="false" ht="15" hidden="false" customHeight="false" outlineLevel="0" collapsed="false">
      <c r="H5937" s="0" t="str">
        <f aca="false">IF(B5937="","",IF(COUNTIF(Campaigns!$A$7:$A$300,B5937)&gt;0,"✓","⚠ add to Campaigns tab"))</f>
        <v/>
      </c>
      <c r="I5937" s="84" t="str">
        <f aca="false">IF(C5937="","",C5937*IF(Settings!$B$22=Settings!$C$6,1,IF(Settings!$B$22="USD",1/INDEX(Settings!$B$29:$B$40,MONTH(A5937)),INDEX(Settings!$B$29:$B$40,MONTH(A5937)))))</f>
        <v/>
      </c>
    </row>
    <row r="5938" customFormat="false" ht="15" hidden="false" customHeight="false" outlineLevel="0" collapsed="false">
      <c r="H5938" s="0" t="str">
        <f aca="false">IF(B5938="","",IF(COUNTIF(Campaigns!$A$7:$A$300,B5938)&gt;0,"✓","⚠ add to Campaigns tab"))</f>
        <v/>
      </c>
      <c r="I5938" s="84" t="str">
        <f aca="false">IF(C5938="","",C5938*IF(Settings!$B$22=Settings!$C$6,1,IF(Settings!$B$22="USD",1/INDEX(Settings!$B$29:$B$40,MONTH(A5938)),INDEX(Settings!$B$29:$B$40,MONTH(A5938)))))</f>
        <v/>
      </c>
    </row>
    <row r="5939" customFormat="false" ht="15" hidden="false" customHeight="false" outlineLevel="0" collapsed="false">
      <c r="H5939" s="0" t="str">
        <f aca="false">IF(B5939="","",IF(COUNTIF(Campaigns!$A$7:$A$300,B5939)&gt;0,"✓","⚠ add to Campaigns tab"))</f>
        <v/>
      </c>
      <c r="I5939" s="84" t="str">
        <f aca="false">IF(C5939="","",C5939*IF(Settings!$B$22=Settings!$C$6,1,IF(Settings!$B$22="USD",1/INDEX(Settings!$B$29:$B$40,MONTH(A5939)),INDEX(Settings!$B$29:$B$40,MONTH(A5939)))))</f>
        <v/>
      </c>
    </row>
    <row r="5940" customFormat="false" ht="15" hidden="false" customHeight="false" outlineLevel="0" collapsed="false">
      <c r="H5940" s="0" t="str">
        <f aca="false">IF(B5940="","",IF(COUNTIF(Campaigns!$A$7:$A$300,B5940)&gt;0,"✓","⚠ add to Campaigns tab"))</f>
        <v/>
      </c>
      <c r="I5940" s="84" t="str">
        <f aca="false">IF(C5940="","",C5940*IF(Settings!$B$22=Settings!$C$6,1,IF(Settings!$B$22="USD",1/INDEX(Settings!$B$29:$B$40,MONTH(A5940)),INDEX(Settings!$B$29:$B$40,MONTH(A5940)))))</f>
        <v/>
      </c>
    </row>
    <row r="5941" customFormat="false" ht="15" hidden="false" customHeight="false" outlineLevel="0" collapsed="false">
      <c r="H5941" s="0" t="str">
        <f aca="false">IF(B5941="","",IF(COUNTIF(Campaigns!$A$7:$A$300,B5941)&gt;0,"✓","⚠ add to Campaigns tab"))</f>
        <v/>
      </c>
      <c r="I5941" s="84" t="str">
        <f aca="false">IF(C5941="","",C5941*IF(Settings!$B$22=Settings!$C$6,1,IF(Settings!$B$22="USD",1/INDEX(Settings!$B$29:$B$40,MONTH(A5941)),INDEX(Settings!$B$29:$B$40,MONTH(A5941)))))</f>
        <v/>
      </c>
    </row>
    <row r="5942" customFormat="false" ht="15" hidden="false" customHeight="false" outlineLevel="0" collapsed="false">
      <c r="H5942" s="0" t="str">
        <f aca="false">IF(B5942="","",IF(COUNTIF(Campaigns!$A$7:$A$300,B5942)&gt;0,"✓","⚠ add to Campaigns tab"))</f>
        <v/>
      </c>
      <c r="I5942" s="84" t="str">
        <f aca="false">IF(C5942="","",C5942*IF(Settings!$B$22=Settings!$C$6,1,IF(Settings!$B$22="USD",1/INDEX(Settings!$B$29:$B$40,MONTH(A5942)),INDEX(Settings!$B$29:$B$40,MONTH(A5942)))))</f>
        <v/>
      </c>
    </row>
    <row r="5943" customFormat="false" ht="15" hidden="false" customHeight="false" outlineLevel="0" collapsed="false">
      <c r="H5943" s="0" t="str">
        <f aca="false">IF(B5943="","",IF(COUNTIF(Campaigns!$A$7:$A$300,B5943)&gt;0,"✓","⚠ add to Campaigns tab"))</f>
        <v/>
      </c>
      <c r="I5943" s="84" t="str">
        <f aca="false">IF(C5943="","",C5943*IF(Settings!$B$22=Settings!$C$6,1,IF(Settings!$B$22="USD",1/INDEX(Settings!$B$29:$B$40,MONTH(A5943)),INDEX(Settings!$B$29:$B$40,MONTH(A5943)))))</f>
        <v/>
      </c>
    </row>
    <row r="5944" customFormat="false" ht="15" hidden="false" customHeight="false" outlineLevel="0" collapsed="false">
      <c r="H5944" s="0" t="str">
        <f aca="false">IF(B5944="","",IF(COUNTIF(Campaigns!$A$7:$A$300,B5944)&gt;0,"✓","⚠ add to Campaigns tab"))</f>
        <v/>
      </c>
      <c r="I5944" s="84" t="str">
        <f aca="false">IF(C5944="","",C5944*IF(Settings!$B$22=Settings!$C$6,1,IF(Settings!$B$22="USD",1/INDEX(Settings!$B$29:$B$40,MONTH(A5944)),INDEX(Settings!$B$29:$B$40,MONTH(A5944)))))</f>
        <v/>
      </c>
    </row>
    <row r="5945" customFormat="false" ht="15" hidden="false" customHeight="false" outlineLevel="0" collapsed="false">
      <c r="H5945" s="0" t="str">
        <f aca="false">IF(B5945="","",IF(COUNTIF(Campaigns!$A$7:$A$300,B5945)&gt;0,"✓","⚠ add to Campaigns tab"))</f>
        <v/>
      </c>
      <c r="I5945" s="84" t="str">
        <f aca="false">IF(C5945="","",C5945*IF(Settings!$B$22=Settings!$C$6,1,IF(Settings!$B$22="USD",1/INDEX(Settings!$B$29:$B$40,MONTH(A5945)),INDEX(Settings!$B$29:$B$40,MONTH(A5945)))))</f>
        <v/>
      </c>
    </row>
    <row r="5946" customFormat="false" ht="15" hidden="false" customHeight="false" outlineLevel="0" collapsed="false">
      <c r="H5946" s="0" t="str">
        <f aca="false">IF(B5946="","",IF(COUNTIF(Campaigns!$A$7:$A$300,B5946)&gt;0,"✓","⚠ add to Campaigns tab"))</f>
        <v/>
      </c>
      <c r="I5946" s="84" t="str">
        <f aca="false">IF(C5946="","",C5946*IF(Settings!$B$22=Settings!$C$6,1,IF(Settings!$B$22="USD",1/INDEX(Settings!$B$29:$B$40,MONTH(A5946)),INDEX(Settings!$B$29:$B$40,MONTH(A5946)))))</f>
        <v/>
      </c>
    </row>
    <row r="5947" customFormat="false" ht="15" hidden="false" customHeight="false" outlineLevel="0" collapsed="false">
      <c r="H5947" s="0" t="str">
        <f aca="false">IF(B5947="","",IF(COUNTIF(Campaigns!$A$7:$A$300,B5947)&gt;0,"✓","⚠ add to Campaigns tab"))</f>
        <v/>
      </c>
      <c r="I5947" s="84" t="str">
        <f aca="false">IF(C5947="","",C5947*IF(Settings!$B$22=Settings!$C$6,1,IF(Settings!$B$22="USD",1/INDEX(Settings!$B$29:$B$40,MONTH(A5947)),INDEX(Settings!$B$29:$B$40,MONTH(A5947)))))</f>
        <v/>
      </c>
    </row>
    <row r="5948" customFormat="false" ht="15" hidden="false" customHeight="false" outlineLevel="0" collapsed="false">
      <c r="H5948" s="0" t="str">
        <f aca="false">IF(B5948="","",IF(COUNTIF(Campaigns!$A$7:$A$300,B5948)&gt;0,"✓","⚠ add to Campaigns tab"))</f>
        <v/>
      </c>
      <c r="I5948" s="84" t="str">
        <f aca="false">IF(C5948="","",C5948*IF(Settings!$B$22=Settings!$C$6,1,IF(Settings!$B$22="USD",1/INDEX(Settings!$B$29:$B$40,MONTH(A5948)),INDEX(Settings!$B$29:$B$40,MONTH(A5948)))))</f>
        <v/>
      </c>
    </row>
    <row r="5949" customFormat="false" ht="15" hidden="false" customHeight="false" outlineLevel="0" collapsed="false">
      <c r="H5949" s="0" t="str">
        <f aca="false">IF(B5949="","",IF(COUNTIF(Campaigns!$A$7:$A$300,B5949)&gt;0,"✓","⚠ add to Campaigns tab"))</f>
        <v/>
      </c>
      <c r="I5949" s="84" t="str">
        <f aca="false">IF(C5949="","",C5949*IF(Settings!$B$22=Settings!$C$6,1,IF(Settings!$B$22="USD",1/INDEX(Settings!$B$29:$B$40,MONTH(A5949)),INDEX(Settings!$B$29:$B$40,MONTH(A5949)))))</f>
        <v/>
      </c>
    </row>
    <row r="5950" customFormat="false" ht="15" hidden="false" customHeight="false" outlineLevel="0" collapsed="false">
      <c r="H5950" s="0" t="str">
        <f aca="false">IF(B5950="","",IF(COUNTIF(Campaigns!$A$7:$A$300,B5950)&gt;0,"✓","⚠ add to Campaigns tab"))</f>
        <v/>
      </c>
      <c r="I5950" s="84" t="str">
        <f aca="false">IF(C5950="","",C5950*IF(Settings!$B$22=Settings!$C$6,1,IF(Settings!$B$22="USD",1/INDEX(Settings!$B$29:$B$40,MONTH(A5950)),INDEX(Settings!$B$29:$B$40,MONTH(A5950)))))</f>
        <v/>
      </c>
    </row>
    <row r="5951" customFormat="false" ht="15" hidden="false" customHeight="false" outlineLevel="0" collapsed="false">
      <c r="H5951" s="0" t="str">
        <f aca="false">IF(B5951="","",IF(COUNTIF(Campaigns!$A$7:$A$300,B5951)&gt;0,"✓","⚠ add to Campaigns tab"))</f>
        <v/>
      </c>
      <c r="I5951" s="84" t="str">
        <f aca="false">IF(C5951="","",C5951*IF(Settings!$B$22=Settings!$C$6,1,IF(Settings!$B$22="USD",1/INDEX(Settings!$B$29:$B$40,MONTH(A5951)),INDEX(Settings!$B$29:$B$40,MONTH(A5951)))))</f>
        <v/>
      </c>
    </row>
    <row r="5952" customFormat="false" ht="15" hidden="false" customHeight="false" outlineLevel="0" collapsed="false">
      <c r="H5952" s="0" t="str">
        <f aca="false">IF(B5952="","",IF(COUNTIF(Campaigns!$A$7:$A$300,B5952)&gt;0,"✓","⚠ add to Campaigns tab"))</f>
        <v/>
      </c>
      <c r="I5952" s="84" t="str">
        <f aca="false">IF(C5952="","",C5952*IF(Settings!$B$22=Settings!$C$6,1,IF(Settings!$B$22="USD",1/INDEX(Settings!$B$29:$B$40,MONTH(A5952)),INDEX(Settings!$B$29:$B$40,MONTH(A5952)))))</f>
        <v/>
      </c>
    </row>
    <row r="5953" customFormat="false" ht="15" hidden="false" customHeight="false" outlineLevel="0" collapsed="false">
      <c r="H5953" s="0" t="str">
        <f aca="false">IF(B5953="","",IF(COUNTIF(Campaigns!$A$7:$A$300,B5953)&gt;0,"✓","⚠ add to Campaigns tab"))</f>
        <v/>
      </c>
      <c r="I5953" s="84" t="str">
        <f aca="false">IF(C5953="","",C5953*IF(Settings!$B$22=Settings!$C$6,1,IF(Settings!$B$22="USD",1/INDEX(Settings!$B$29:$B$40,MONTH(A5953)),INDEX(Settings!$B$29:$B$40,MONTH(A5953)))))</f>
        <v/>
      </c>
    </row>
    <row r="5954" customFormat="false" ht="15" hidden="false" customHeight="false" outlineLevel="0" collapsed="false">
      <c r="H5954" s="0" t="str">
        <f aca="false">IF(B5954="","",IF(COUNTIF(Campaigns!$A$7:$A$300,B5954)&gt;0,"✓","⚠ add to Campaigns tab"))</f>
        <v/>
      </c>
      <c r="I5954" s="84" t="str">
        <f aca="false">IF(C5954="","",C5954*IF(Settings!$B$22=Settings!$C$6,1,IF(Settings!$B$22="USD",1/INDEX(Settings!$B$29:$B$40,MONTH(A5954)),INDEX(Settings!$B$29:$B$40,MONTH(A5954)))))</f>
        <v/>
      </c>
    </row>
    <row r="5955" customFormat="false" ht="15" hidden="false" customHeight="false" outlineLevel="0" collapsed="false">
      <c r="H5955" s="0" t="str">
        <f aca="false">IF(B5955="","",IF(COUNTIF(Campaigns!$A$7:$A$300,B5955)&gt;0,"✓","⚠ add to Campaigns tab"))</f>
        <v/>
      </c>
      <c r="I5955" s="84" t="str">
        <f aca="false">IF(C5955="","",C5955*IF(Settings!$B$22=Settings!$C$6,1,IF(Settings!$B$22="USD",1/INDEX(Settings!$B$29:$B$40,MONTH(A5955)),INDEX(Settings!$B$29:$B$40,MONTH(A5955)))))</f>
        <v/>
      </c>
    </row>
    <row r="5956" customFormat="false" ht="15" hidden="false" customHeight="false" outlineLevel="0" collapsed="false">
      <c r="H5956" s="0" t="str">
        <f aca="false">IF(B5956="","",IF(COUNTIF(Campaigns!$A$7:$A$300,B5956)&gt;0,"✓","⚠ add to Campaigns tab"))</f>
        <v/>
      </c>
      <c r="I5956" s="84" t="str">
        <f aca="false">IF(C5956="","",C5956*IF(Settings!$B$22=Settings!$C$6,1,IF(Settings!$B$22="USD",1/INDEX(Settings!$B$29:$B$40,MONTH(A5956)),INDEX(Settings!$B$29:$B$40,MONTH(A5956)))))</f>
        <v/>
      </c>
    </row>
    <row r="5957" customFormat="false" ht="15" hidden="false" customHeight="false" outlineLevel="0" collapsed="false">
      <c r="H5957" s="0" t="str">
        <f aca="false">IF(B5957="","",IF(COUNTIF(Campaigns!$A$7:$A$300,B5957)&gt;0,"✓","⚠ add to Campaigns tab"))</f>
        <v/>
      </c>
      <c r="I5957" s="84" t="str">
        <f aca="false">IF(C5957="","",C5957*IF(Settings!$B$22=Settings!$C$6,1,IF(Settings!$B$22="USD",1/INDEX(Settings!$B$29:$B$40,MONTH(A5957)),INDEX(Settings!$B$29:$B$40,MONTH(A5957)))))</f>
        <v/>
      </c>
    </row>
    <row r="5958" customFormat="false" ht="15" hidden="false" customHeight="false" outlineLevel="0" collapsed="false">
      <c r="H5958" s="0" t="str">
        <f aca="false">IF(B5958="","",IF(COUNTIF(Campaigns!$A$7:$A$300,B5958)&gt;0,"✓","⚠ add to Campaigns tab"))</f>
        <v/>
      </c>
      <c r="I5958" s="84" t="str">
        <f aca="false">IF(C5958="","",C5958*IF(Settings!$B$22=Settings!$C$6,1,IF(Settings!$B$22="USD",1/INDEX(Settings!$B$29:$B$40,MONTH(A5958)),INDEX(Settings!$B$29:$B$40,MONTH(A5958)))))</f>
        <v/>
      </c>
    </row>
    <row r="5959" customFormat="false" ht="15" hidden="false" customHeight="false" outlineLevel="0" collapsed="false">
      <c r="H5959" s="0" t="str">
        <f aca="false">IF(B5959="","",IF(COUNTIF(Campaigns!$A$7:$A$300,B5959)&gt;0,"✓","⚠ add to Campaigns tab"))</f>
        <v/>
      </c>
      <c r="I5959" s="84" t="str">
        <f aca="false">IF(C5959="","",C5959*IF(Settings!$B$22=Settings!$C$6,1,IF(Settings!$B$22="USD",1/INDEX(Settings!$B$29:$B$40,MONTH(A5959)),INDEX(Settings!$B$29:$B$40,MONTH(A5959)))))</f>
        <v/>
      </c>
    </row>
    <row r="5960" customFormat="false" ht="15" hidden="false" customHeight="false" outlineLevel="0" collapsed="false">
      <c r="H5960" s="0" t="str">
        <f aca="false">IF(B5960="","",IF(COUNTIF(Campaigns!$A$7:$A$300,B5960)&gt;0,"✓","⚠ add to Campaigns tab"))</f>
        <v/>
      </c>
      <c r="I5960" s="84" t="str">
        <f aca="false">IF(C5960="","",C5960*IF(Settings!$B$22=Settings!$C$6,1,IF(Settings!$B$22="USD",1/INDEX(Settings!$B$29:$B$40,MONTH(A5960)),INDEX(Settings!$B$29:$B$40,MONTH(A5960)))))</f>
        <v/>
      </c>
    </row>
    <row r="5961" customFormat="false" ht="15" hidden="false" customHeight="false" outlineLevel="0" collapsed="false">
      <c r="H5961" s="0" t="str">
        <f aca="false">IF(B5961="","",IF(COUNTIF(Campaigns!$A$7:$A$300,B5961)&gt;0,"✓","⚠ add to Campaigns tab"))</f>
        <v/>
      </c>
      <c r="I5961" s="84" t="str">
        <f aca="false">IF(C5961="","",C5961*IF(Settings!$B$22=Settings!$C$6,1,IF(Settings!$B$22="USD",1/INDEX(Settings!$B$29:$B$40,MONTH(A5961)),INDEX(Settings!$B$29:$B$40,MONTH(A5961)))))</f>
        <v/>
      </c>
    </row>
    <row r="5962" customFormat="false" ht="15" hidden="false" customHeight="false" outlineLevel="0" collapsed="false">
      <c r="H5962" s="0" t="str">
        <f aca="false">IF(B5962="","",IF(COUNTIF(Campaigns!$A$7:$A$300,B5962)&gt;0,"✓","⚠ add to Campaigns tab"))</f>
        <v/>
      </c>
      <c r="I5962" s="84" t="str">
        <f aca="false">IF(C5962="","",C5962*IF(Settings!$B$22=Settings!$C$6,1,IF(Settings!$B$22="USD",1/INDEX(Settings!$B$29:$B$40,MONTH(A5962)),INDEX(Settings!$B$29:$B$40,MONTH(A5962)))))</f>
        <v/>
      </c>
    </row>
    <row r="5963" customFormat="false" ht="15" hidden="false" customHeight="false" outlineLevel="0" collapsed="false">
      <c r="H5963" s="0" t="str">
        <f aca="false">IF(B5963="","",IF(COUNTIF(Campaigns!$A$7:$A$300,B5963)&gt;0,"✓","⚠ add to Campaigns tab"))</f>
        <v/>
      </c>
      <c r="I5963" s="84" t="str">
        <f aca="false">IF(C5963="","",C5963*IF(Settings!$B$22=Settings!$C$6,1,IF(Settings!$B$22="USD",1/INDEX(Settings!$B$29:$B$40,MONTH(A5963)),INDEX(Settings!$B$29:$B$40,MONTH(A5963)))))</f>
        <v/>
      </c>
    </row>
    <row r="5964" customFormat="false" ht="15" hidden="false" customHeight="false" outlineLevel="0" collapsed="false">
      <c r="H5964" s="0" t="str">
        <f aca="false">IF(B5964="","",IF(COUNTIF(Campaigns!$A$7:$A$300,B5964)&gt;0,"✓","⚠ add to Campaigns tab"))</f>
        <v/>
      </c>
      <c r="I5964" s="84" t="str">
        <f aca="false">IF(C5964="","",C5964*IF(Settings!$B$22=Settings!$C$6,1,IF(Settings!$B$22="USD",1/INDEX(Settings!$B$29:$B$40,MONTH(A5964)),INDEX(Settings!$B$29:$B$40,MONTH(A5964)))))</f>
        <v/>
      </c>
    </row>
    <row r="5965" customFormat="false" ht="15" hidden="false" customHeight="false" outlineLevel="0" collapsed="false">
      <c r="H5965" s="0" t="str">
        <f aca="false">IF(B5965="","",IF(COUNTIF(Campaigns!$A$7:$A$300,B5965)&gt;0,"✓","⚠ add to Campaigns tab"))</f>
        <v/>
      </c>
      <c r="I5965" s="84" t="str">
        <f aca="false">IF(C5965="","",C5965*IF(Settings!$B$22=Settings!$C$6,1,IF(Settings!$B$22="USD",1/INDEX(Settings!$B$29:$B$40,MONTH(A5965)),INDEX(Settings!$B$29:$B$40,MONTH(A5965)))))</f>
        <v/>
      </c>
    </row>
    <row r="5966" customFormat="false" ht="15" hidden="false" customHeight="false" outlineLevel="0" collapsed="false">
      <c r="H5966" s="0" t="str">
        <f aca="false">IF(B5966="","",IF(COUNTIF(Campaigns!$A$7:$A$300,B5966)&gt;0,"✓","⚠ add to Campaigns tab"))</f>
        <v/>
      </c>
      <c r="I5966" s="84" t="str">
        <f aca="false">IF(C5966="","",C5966*IF(Settings!$B$22=Settings!$C$6,1,IF(Settings!$B$22="USD",1/INDEX(Settings!$B$29:$B$40,MONTH(A5966)),INDEX(Settings!$B$29:$B$40,MONTH(A5966)))))</f>
        <v/>
      </c>
    </row>
    <row r="5967" customFormat="false" ht="15" hidden="false" customHeight="false" outlineLevel="0" collapsed="false">
      <c r="H5967" s="0" t="str">
        <f aca="false">IF(B5967="","",IF(COUNTIF(Campaigns!$A$7:$A$300,B5967)&gt;0,"✓","⚠ add to Campaigns tab"))</f>
        <v/>
      </c>
      <c r="I5967" s="84" t="str">
        <f aca="false">IF(C5967="","",C5967*IF(Settings!$B$22=Settings!$C$6,1,IF(Settings!$B$22="USD",1/INDEX(Settings!$B$29:$B$40,MONTH(A5967)),INDEX(Settings!$B$29:$B$40,MONTH(A5967)))))</f>
        <v/>
      </c>
    </row>
    <row r="5968" customFormat="false" ht="15" hidden="false" customHeight="false" outlineLevel="0" collapsed="false">
      <c r="H5968" s="0" t="str">
        <f aca="false">IF(B5968="","",IF(COUNTIF(Campaigns!$A$7:$A$300,B5968)&gt;0,"✓","⚠ add to Campaigns tab"))</f>
        <v/>
      </c>
      <c r="I5968" s="84" t="str">
        <f aca="false">IF(C5968="","",C5968*IF(Settings!$B$22=Settings!$C$6,1,IF(Settings!$B$22="USD",1/INDEX(Settings!$B$29:$B$40,MONTH(A5968)),INDEX(Settings!$B$29:$B$40,MONTH(A5968)))))</f>
        <v/>
      </c>
    </row>
    <row r="5969" customFormat="false" ht="15" hidden="false" customHeight="false" outlineLevel="0" collapsed="false">
      <c r="H5969" s="0" t="str">
        <f aca="false">IF(B5969="","",IF(COUNTIF(Campaigns!$A$7:$A$300,B5969)&gt;0,"✓","⚠ add to Campaigns tab"))</f>
        <v/>
      </c>
      <c r="I5969" s="84" t="str">
        <f aca="false">IF(C5969="","",C5969*IF(Settings!$B$22=Settings!$C$6,1,IF(Settings!$B$22="USD",1/INDEX(Settings!$B$29:$B$40,MONTH(A5969)),INDEX(Settings!$B$29:$B$40,MONTH(A5969)))))</f>
        <v/>
      </c>
    </row>
    <row r="5970" customFormat="false" ht="15" hidden="false" customHeight="false" outlineLevel="0" collapsed="false">
      <c r="H5970" s="0" t="str">
        <f aca="false">IF(B5970="","",IF(COUNTIF(Campaigns!$A$7:$A$300,B5970)&gt;0,"✓","⚠ add to Campaigns tab"))</f>
        <v/>
      </c>
      <c r="I5970" s="84" t="str">
        <f aca="false">IF(C5970="","",C5970*IF(Settings!$B$22=Settings!$C$6,1,IF(Settings!$B$22="USD",1/INDEX(Settings!$B$29:$B$40,MONTH(A5970)),INDEX(Settings!$B$29:$B$40,MONTH(A5970)))))</f>
        <v/>
      </c>
    </row>
    <row r="5971" customFormat="false" ht="15" hidden="false" customHeight="false" outlineLevel="0" collapsed="false">
      <c r="H5971" s="0" t="str">
        <f aca="false">IF(B5971="","",IF(COUNTIF(Campaigns!$A$7:$A$300,B5971)&gt;0,"✓","⚠ add to Campaigns tab"))</f>
        <v/>
      </c>
      <c r="I5971" s="84" t="str">
        <f aca="false">IF(C5971="","",C5971*IF(Settings!$B$22=Settings!$C$6,1,IF(Settings!$B$22="USD",1/INDEX(Settings!$B$29:$B$40,MONTH(A5971)),INDEX(Settings!$B$29:$B$40,MONTH(A5971)))))</f>
        <v/>
      </c>
    </row>
    <row r="5972" customFormat="false" ht="15" hidden="false" customHeight="false" outlineLevel="0" collapsed="false">
      <c r="H5972" s="0" t="str">
        <f aca="false">IF(B5972="","",IF(COUNTIF(Campaigns!$A$7:$A$300,B5972)&gt;0,"✓","⚠ add to Campaigns tab"))</f>
        <v/>
      </c>
      <c r="I5972" s="84" t="str">
        <f aca="false">IF(C5972="","",C5972*IF(Settings!$B$22=Settings!$C$6,1,IF(Settings!$B$22="USD",1/INDEX(Settings!$B$29:$B$40,MONTH(A5972)),INDEX(Settings!$B$29:$B$40,MONTH(A5972)))))</f>
        <v/>
      </c>
    </row>
    <row r="5973" customFormat="false" ht="15" hidden="false" customHeight="false" outlineLevel="0" collapsed="false">
      <c r="H5973" s="0" t="str">
        <f aca="false">IF(B5973="","",IF(COUNTIF(Campaigns!$A$7:$A$300,B5973)&gt;0,"✓","⚠ add to Campaigns tab"))</f>
        <v/>
      </c>
      <c r="I5973" s="84" t="str">
        <f aca="false">IF(C5973="","",C5973*IF(Settings!$B$22=Settings!$C$6,1,IF(Settings!$B$22="USD",1/INDEX(Settings!$B$29:$B$40,MONTH(A5973)),INDEX(Settings!$B$29:$B$40,MONTH(A5973)))))</f>
        <v/>
      </c>
    </row>
    <row r="5974" customFormat="false" ht="15" hidden="false" customHeight="false" outlineLevel="0" collapsed="false">
      <c r="H5974" s="0" t="str">
        <f aca="false">IF(B5974="","",IF(COUNTIF(Campaigns!$A$7:$A$300,B5974)&gt;0,"✓","⚠ add to Campaigns tab"))</f>
        <v/>
      </c>
      <c r="I5974" s="84" t="str">
        <f aca="false">IF(C5974="","",C5974*IF(Settings!$B$22=Settings!$C$6,1,IF(Settings!$B$22="USD",1/INDEX(Settings!$B$29:$B$40,MONTH(A5974)),INDEX(Settings!$B$29:$B$40,MONTH(A5974)))))</f>
        <v/>
      </c>
    </row>
    <row r="5975" customFormat="false" ht="15" hidden="false" customHeight="false" outlineLevel="0" collapsed="false">
      <c r="H5975" s="0" t="str">
        <f aca="false">IF(B5975="","",IF(COUNTIF(Campaigns!$A$7:$A$300,B5975)&gt;0,"✓","⚠ add to Campaigns tab"))</f>
        <v/>
      </c>
      <c r="I5975" s="84" t="str">
        <f aca="false">IF(C5975="","",C5975*IF(Settings!$B$22=Settings!$C$6,1,IF(Settings!$B$22="USD",1/INDEX(Settings!$B$29:$B$40,MONTH(A5975)),INDEX(Settings!$B$29:$B$40,MONTH(A5975)))))</f>
        <v/>
      </c>
    </row>
    <row r="5976" customFormat="false" ht="15" hidden="false" customHeight="false" outlineLevel="0" collapsed="false">
      <c r="H5976" s="0" t="str">
        <f aca="false">IF(B5976="","",IF(COUNTIF(Campaigns!$A$7:$A$300,B5976)&gt;0,"✓","⚠ add to Campaigns tab"))</f>
        <v/>
      </c>
      <c r="I5976" s="84" t="str">
        <f aca="false">IF(C5976="","",C5976*IF(Settings!$B$22=Settings!$C$6,1,IF(Settings!$B$22="USD",1/INDEX(Settings!$B$29:$B$40,MONTH(A5976)),INDEX(Settings!$B$29:$B$40,MONTH(A5976)))))</f>
        <v/>
      </c>
    </row>
    <row r="5977" customFormat="false" ht="15" hidden="false" customHeight="false" outlineLevel="0" collapsed="false">
      <c r="H5977" s="0" t="str">
        <f aca="false">IF(B5977="","",IF(COUNTIF(Campaigns!$A$7:$A$300,B5977)&gt;0,"✓","⚠ add to Campaigns tab"))</f>
        <v/>
      </c>
      <c r="I5977" s="84" t="str">
        <f aca="false">IF(C5977="","",C5977*IF(Settings!$B$22=Settings!$C$6,1,IF(Settings!$B$22="USD",1/INDEX(Settings!$B$29:$B$40,MONTH(A5977)),INDEX(Settings!$B$29:$B$40,MONTH(A5977)))))</f>
        <v/>
      </c>
    </row>
    <row r="5978" customFormat="false" ht="15" hidden="false" customHeight="false" outlineLevel="0" collapsed="false">
      <c r="H5978" s="0" t="str">
        <f aca="false">IF(B5978="","",IF(COUNTIF(Campaigns!$A$7:$A$300,B5978)&gt;0,"✓","⚠ add to Campaigns tab"))</f>
        <v/>
      </c>
      <c r="I5978" s="84" t="str">
        <f aca="false">IF(C5978="","",C5978*IF(Settings!$B$22=Settings!$C$6,1,IF(Settings!$B$22="USD",1/INDEX(Settings!$B$29:$B$40,MONTH(A5978)),INDEX(Settings!$B$29:$B$40,MONTH(A5978)))))</f>
        <v/>
      </c>
    </row>
    <row r="5979" customFormat="false" ht="15" hidden="false" customHeight="false" outlineLevel="0" collapsed="false">
      <c r="H5979" s="0" t="str">
        <f aca="false">IF(B5979="","",IF(COUNTIF(Campaigns!$A$7:$A$300,B5979)&gt;0,"✓","⚠ add to Campaigns tab"))</f>
        <v/>
      </c>
      <c r="I5979" s="84" t="str">
        <f aca="false">IF(C5979="","",C5979*IF(Settings!$B$22=Settings!$C$6,1,IF(Settings!$B$22="USD",1/INDEX(Settings!$B$29:$B$40,MONTH(A5979)),INDEX(Settings!$B$29:$B$40,MONTH(A5979)))))</f>
        <v/>
      </c>
    </row>
    <row r="5980" customFormat="false" ht="15" hidden="false" customHeight="false" outlineLevel="0" collapsed="false">
      <c r="H5980" s="0" t="str">
        <f aca="false">IF(B5980="","",IF(COUNTIF(Campaigns!$A$7:$A$300,B5980)&gt;0,"✓","⚠ add to Campaigns tab"))</f>
        <v/>
      </c>
      <c r="I5980" s="84" t="str">
        <f aca="false">IF(C5980="","",C5980*IF(Settings!$B$22=Settings!$C$6,1,IF(Settings!$B$22="USD",1/INDEX(Settings!$B$29:$B$40,MONTH(A5980)),INDEX(Settings!$B$29:$B$40,MONTH(A5980)))))</f>
        <v/>
      </c>
    </row>
    <row r="5981" customFormat="false" ht="15" hidden="false" customHeight="false" outlineLevel="0" collapsed="false">
      <c r="H5981" s="0" t="str">
        <f aca="false">IF(B5981="","",IF(COUNTIF(Campaigns!$A$7:$A$300,B5981)&gt;0,"✓","⚠ add to Campaigns tab"))</f>
        <v/>
      </c>
      <c r="I5981" s="84" t="str">
        <f aca="false">IF(C5981="","",C5981*IF(Settings!$B$22=Settings!$C$6,1,IF(Settings!$B$22="USD",1/INDEX(Settings!$B$29:$B$40,MONTH(A5981)),INDEX(Settings!$B$29:$B$40,MONTH(A5981)))))</f>
        <v/>
      </c>
    </row>
    <row r="5982" customFormat="false" ht="15" hidden="false" customHeight="false" outlineLevel="0" collapsed="false">
      <c r="H5982" s="0" t="str">
        <f aca="false">IF(B5982="","",IF(COUNTIF(Campaigns!$A$7:$A$300,B5982)&gt;0,"✓","⚠ add to Campaigns tab"))</f>
        <v/>
      </c>
      <c r="I5982" s="84" t="str">
        <f aca="false">IF(C5982="","",C5982*IF(Settings!$B$22=Settings!$C$6,1,IF(Settings!$B$22="USD",1/INDEX(Settings!$B$29:$B$40,MONTH(A5982)),INDEX(Settings!$B$29:$B$40,MONTH(A5982)))))</f>
        <v/>
      </c>
    </row>
    <row r="5983" customFormat="false" ht="15" hidden="false" customHeight="false" outlineLevel="0" collapsed="false">
      <c r="H5983" s="0" t="str">
        <f aca="false">IF(B5983="","",IF(COUNTIF(Campaigns!$A$7:$A$300,B5983)&gt;0,"✓","⚠ add to Campaigns tab"))</f>
        <v/>
      </c>
      <c r="I5983" s="84" t="str">
        <f aca="false">IF(C5983="","",C5983*IF(Settings!$B$22=Settings!$C$6,1,IF(Settings!$B$22="USD",1/INDEX(Settings!$B$29:$B$40,MONTH(A5983)),INDEX(Settings!$B$29:$B$40,MONTH(A5983)))))</f>
        <v/>
      </c>
    </row>
    <row r="5984" customFormat="false" ht="15" hidden="false" customHeight="false" outlineLevel="0" collapsed="false">
      <c r="H5984" s="0" t="str">
        <f aca="false">IF(B5984="","",IF(COUNTIF(Campaigns!$A$7:$A$300,B5984)&gt;0,"✓","⚠ add to Campaigns tab"))</f>
        <v/>
      </c>
      <c r="I5984" s="84" t="str">
        <f aca="false">IF(C5984="","",C5984*IF(Settings!$B$22=Settings!$C$6,1,IF(Settings!$B$22="USD",1/INDEX(Settings!$B$29:$B$40,MONTH(A5984)),INDEX(Settings!$B$29:$B$40,MONTH(A5984)))))</f>
        <v/>
      </c>
    </row>
    <row r="5985" customFormat="false" ht="15" hidden="false" customHeight="false" outlineLevel="0" collapsed="false">
      <c r="H5985" s="0" t="str">
        <f aca="false">IF(B5985="","",IF(COUNTIF(Campaigns!$A$7:$A$300,B5985)&gt;0,"✓","⚠ add to Campaigns tab"))</f>
        <v/>
      </c>
      <c r="I5985" s="84" t="str">
        <f aca="false">IF(C5985="","",C5985*IF(Settings!$B$22=Settings!$C$6,1,IF(Settings!$B$22="USD",1/INDEX(Settings!$B$29:$B$40,MONTH(A5985)),INDEX(Settings!$B$29:$B$40,MONTH(A5985)))))</f>
        <v/>
      </c>
    </row>
    <row r="5986" customFormat="false" ht="15" hidden="false" customHeight="false" outlineLevel="0" collapsed="false">
      <c r="H5986" s="0" t="str">
        <f aca="false">IF(B5986="","",IF(COUNTIF(Campaigns!$A$7:$A$300,B5986)&gt;0,"✓","⚠ add to Campaigns tab"))</f>
        <v/>
      </c>
      <c r="I5986" s="84" t="str">
        <f aca="false">IF(C5986="","",C5986*IF(Settings!$B$22=Settings!$C$6,1,IF(Settings!$B$22="USD",1/INDEX(Settings!$B$29:$B$40,MONTH(A5986)),INDEX(Settings!$B$29:$B$40,MONTH(A5986)))))</f>
        <v/>
      </c>
    </row>
    <row r="5987" customFormat="false" ht="15" hidden="false" customHeight="false" outlineLevel="0" collapsed="false">
      <c r="H5987" s="0" t="str">
        <f aca="false">IF(B5987="","",IF(COUNTIF(Campaigns!$A$7:$A$300,B5987)&gt;0,"✓","⚠ add to Campaigns tab"))</f>
        <v/>
      </c>
      <c r="I5987" s="84" t="str">
        <f aca="false">IF(C5987="","",C5987*IF(Settings!$B$22=Settings!$C$6,1,IF(Settings!$B$22="USD",1/INDEX(Settings!$B$29:$B$40,MONTH(A5987)),INDEX(Settings!$B$29:$B$40,MONTH(A5987)))))</f>
        <v/>
      </c>
    </row>
    <row r="5988" customFormat="false" ht="15" hidden="false" customHeight="false" outlineLevel="0" collapsed="false">
      <c r="H5988" s="0" t="str">
        <f aca="false">IF(B5988="","",IF(COUNTIF(Campaigns!$A$7:$A$300,B5988)&gt;0,"✓","⚠ add to Campaigns tab"))</f>
        <v/>
      </c>
      <c r="I5988" s="84" t="str">
        <f aca="false">IF(C5988="","",C5988*IF(Settings!$B$22=Settings!$C$6,1,IF(Settings!$B$22="USD",1/INDEX(Settings!$B$29:$B$40,MONTH(A5988)),INDEX(Settings!$B$29:$B$40,MONTH(A5988)))))</f>
        <v/>
      </c>
    </row>
    <row r="5989" customFormat="false" ht="15" hidden="false" customHeight="false" outlineLevel="0" collapsed="false">
      <c r="H5989" s="0" t="str">
        <f aca="false">IF(B5989="","",IF(COUNTIF(Campaigns!$A$7:$A$300,B5989)&gt;0,"✓","⚠ add to Campaigns tab"))</f>
        <v/>
      </c>
      <c r="I5989" s="84" t="str">
        <f aca="false">IF(C5989="","",C5989*IF(Settings!$B$22=Settings!$C$6,1,IF(Settings!$B$22="USD",1/INDEX(Settings!$B$29:$B$40,MONTH(A5989)),INDEX(Settings!$B$29:$B$40,MONTH(A5989)))))</f>
        <v/>
      </c>
    </row>
    <row r="5990" customFormat="false" ht="15" hidden="false" customHeight="false" outlineLevel="0" collapsed="false">
      <c r="H5990" s="0" t="str">
        <f aca="false">IF(B5990="","",IF(COUNTIF(Campaigns!$A$7:$A$300,B5990)&gt;0,"✓","⚠ add to Campaigns tab"))</f>
        <v/>
      </c>
      <c r="I5990" s="84" t="str">
        <f aca="false">IF(C5990="","",C5990*IF(Settings!$B$22=Settings!$C$6,1,IF(Settings!$B$22="USD",1/INDEX(Settings!$B$29:$B$40,MONTH(A5990)),INDEX(Settings!$B$29:$B$40,MONTH(A5990)))))</f>
        <v/>
      </c>
    </row>
    <row r="5991" customFormat="false" ht="15" hidden="false" customHeight="false" outlineLevel="0" collapsed="false">
      <c r="H5991" s="0" t="str">
        <f aca="false">IF(B5991="","",IF(COUNTIF(Campaigns!$A$7:$A$300,B5991)&gt;0,"✓","⚠ add to Campaigns tab"))</f>
        <v/>
      </c>
      <c r="I5991" s="84" t="str">
        <f aca="false">IF(C5991="","",C5991*IF(Settings!$B$22=Settings!$C$6,1,IF(Settings!$B$22="USD",1/INDEX(Settings!$B$29:$B$40,MONTH(A5991)),INDEX(Settings!$B$29:$B$40,MONTH(A5991)))))</f>
        <v/>
      </c>
    </row>
    <row r="5992" customFormat="false" ht="15" hidden="false" customHeight="false" outlineLevel="0" collapsed="false">
      <c r="H5992" s="0" t="str">
        <f aca="false">IF(B5992="","",IF(COUNTIF(Campaigns!$A$7:$A$300,B5992)&gt;0,"✓","⚠ add to Campaigns tab"))</f>
        <v/>
      </c>
      <c r="I5992" s="84" t="str">
        <f aca="false">IF(C5992="","",C5992*IF(Settings!$B$22=Settings!$C$6,1,IF(Settings!$B$22="USD",1/INDEX(Settings!$B$29:$B$40,MONTH(A5992)),INDEX(Settings!$B$29:$B$40,MONTH(A5992)))))</f>
        <v/>
      </c>
    </row>
    <row r="5993" customFormat="false" ht="15" hidden="false" customHeight="false" outlineLevel="0" collapsed="false">
      <c r="H5993" s="0" t="str">
        <f aca="false">IF(B5993="","",IF(COUNTIF(Campaigns!$A$7:$A$300,B5993)&gt;0,"✓","⚠ add to Campaigns tab"))</f>
        <v/>
      </c>
      <c r="I5993" s="84" t="str">
        <f aca="false">IF(C5993="","",C5993*IF(Settings!$B$22=Settings!$C$6,1,IF(Settings!$B$22="USD",1/INDEX(Settings!$B$29:$B$40,MONTH(A5993)),INDEX(Settings!$B$29:$B$40,MONTH(A5993)))))</f>
        <v/>
      </c>
    </row>
    <row r="5994" customFormat="false" ht="15" hidden="false" customHeight="false" outlineLevel="0" collapsed="false">
      <c r="H5994" s="0" t="str">
        <f aca="false">IF(B5994="","",IF(COUNTIF(Campaigns!$A$7:$A$300,B5994)&gt;0,"✓","⚠ add to Campaigns tab"))</f>
        <v/>
      </c>
      <c r="I5994" s="84" t="str">
        <f aca="false">IF(C5994="","",C5994*IF(Settings!$B$22=Settings!$C$6,1,IF(Settings!$B$22="USD",1/INDEX(Settings!$B$29:$B$40,MONTH(A5994)),INDEX(Settings!$B$29:$B$40,MONTH(A5994)))))</f>
        <v/>
      </c>
    </row>
    <row r="5995" customFormat="false" ht="15" hidden="false" customHeight="false" outlineLevel="0" collapsed="false">
      <c r="H5995" s="0" t="str">
        <f aca="false">IF(B5995="","",IF(COUNTIF(Campaigns!$A$7:$A$300,B5995)&gt;0,"✓","⚠ add to Campaigns tab"))</f>
        <v/>
      </c>
      <c r="I5995" s="84" t="str">
        <f aca="false">IF(C5995="","",C5995*IF(Settings!$B$22=Settings!$C$6,1,IF(Settings!$B$22="USD",1/INDEX(Settings!$B$29:$B$40,MONTH(A5995)),INDEX(Settings!$B$29:$B$40,MONTH(A5995)))))</f>
        <v/>
      </c>
    </row>
    <row r="5996" customFormat="false" ht="15" hidden="false" customHeight="false" outlineLevel="0" collapsed="false">
      <c r="H5996" s="0" t="str">
        <f aca="false">IF(B5996="","",IF(COUNTIF(Campaigns!$A$7:$A$300,B5996)&gt;0,"✓","⚠ add to Campaigns tab"))</f>
        <v/>
      </c>
      <c r="I5996" s="84" t="str">
        <f aca="false">IF(C5996="","",C5996*IF(Settings!$B$22=Settings!$C$6,1,IF(Settings!$B$22="USD",1/INDEX(Settings!$B$29:$B$40,MONTH(A5996)),INDEX(Settings!$B$29:$B$40,MONTH(A5996)))))</f>
        <v/>
      </c>
    </row>
    <row r="5997" customFormat="false" ht="15" hidden="false" customHeight="false" outlineLevel="0" collapsed="false">
      <c r="H5997" s="0" t="str">
        <f aca="false">IF(B5997="","",IF(COUNTIF(Campaigns!$A$7:$A$300,B5997)&gt;0,"✓","⚠ add to Campaigns tab"))</f>
        <v/>
      </c>
      <c r="I5997" s="84" t="str">
        <f aca="false">IF(C5997="","",C5997*IF(Settings!$B$22=Settings!$C$6,1,IF(Settings!$B$22="USD",1/INDEX(Settings!$B$29:$B$40,MONTH(A5997)),INDEX(Settings!$B$29:$B$40,MONTH(A5997)))))</f>
        <v/>
      </c>
    </row>
    <row r="5998" customFormat="false" ht="15" hidden="false" customHeight="false" outlineLevel="0" collapsed="false">
      <c r="H5998" s="0" t="str">
        <f aca="false">IF(B5998="","",IF(COUNTIF(Campaigns!$A$7:$A$300,B5998)&gt;0,"✓","⚠ add to Campaigns tab"))</f>
        <v/>
      </c>
      <c r="I5998" s="84" t="str">
        <f aca="false">IF(C5998="","",C5998*IF(Settings!$B$22=Settings!$C$6,1,IF(Settings!$B$22="USD",1/INDEX(Settings!$B$29:$B$40,MONTH(A5998)),INDEX(Settings!$B$29:$B$40,MONTH(A5998)))))</f>
        <v/>
      </c>
    </row>
    <row r="5999" customFormat="false" ht="15" hidden="false" customHeight="false" outlineLevel="0" collapsed="false">
      <c r="H5999" s="0" t="str">
        <f aca="false">IF(B5999="","",IF(COUNTIF(Campaigns!$A$7:$A$300,B5999)&gt;0,"✓","⚠ add to Campaigns tab"))</f>
        <v/>
      </c>
      <c r="I5999" s="84" t="str">
        <f aca="false">IF(C5999="","",C5999*IF(Settings!$B$22=Settings!$C$6,1,IF(Settings!$B$22="USD",1/INDEX(Settings!$B$29:$B$40,MONTH(A5999)),INDEX(Settings!$B$29:$B$40,MONTH(A5999)))))</f>
        <v/>
      </c>
    </row>
    <row r="6000" customFormat="false" ht="15" hidden="false" customHeight="false" outlineLevel="0" collapsed="false">
      <c r="H6000" s="0" t="str">
        <f aca="false">IF(B6000="","",IF(COUNTIF(Campaigns!$A$7:$A$300,B6000)&gt;0,"✓","⚠ add to Campaigns tab"))</f>
        <v/>
      </c>
      <c r="I6000" s="84" t="str">
        <f aca="false">IF(C6000="","",C6000*IF(Settings!$B$22=Settings!$C$6,1,IF(Settings!$B$22="USD",1/INDEX(Settings!$B$29:$B$40,MONTH(A6000)),INDEX(Settings!$B$29:$B$40,MONTH(A6000)))))</f>
        <v/>
      </c>
    </row>
    <row r="6001" customFormat="false" ht="15" hidden="false" customHeight="false" outlineLevel="0" collapsed="false">
      <c r="H6001" s="0" t="str">
        <f aca="false">IF(B6001="","",IF(COUNTIF(Campaigns!$A$7:$A$300,B6001)&gt;0,"✓","⚠ add to Campaigns tab"))</f>
        <v/>
      </c>
      <c r="I6001" s="84" t="str">
        <f aca="false">IF(C6001="","",C6001*IF(Settings!$B$22=Settings!$C$6,1,IF(Settings!$B$22="USD",1/INDEX(Settings!$B$29:$B$40,MONTH(A6001)),INDEX(Settings!$B$29:$B$40,MONTH(A6001)))))</f>
        <v/>
      </c>
    </row>
    <row r="6002" customFormat="false" ht="15" hidden="false" customHeight="false" outlineLevel="0" collapsed="false">
      <c r="H6002" s="0" t="str">
        <f aca="false">IF(B6002="","",IF(COUNTIF(Campaigns!$A$7:$A$300,B6002)&gt;0,"✓","⚠ add to Campaigns tab"))</f>
        <v/>
      </c>
      <c r="I6002" s="84" t="str">
        <f aca="false">IF(C6002="","",C6002*IF(Settings!$B$22=Settings!$C$6,1,IF(Settings!$B$22="USD",1/INDEX(Settings!$B$29:$B$40,MONTH(A6002)),INDEX(Settings!$B$29:$B$40,MONTH(A6002)))))</f>
        <v/>
      </c>
    </row>
    <row r="6003" customFormat="false" ht="15" hidden="false" customHeight="false" outlineLevel="0" collapsed="false">
      <c r="H6003" s="0" t="str">
        <f aca="false">IF(B6003="","",IF(COUNTIF(Campaigns!$A$7:$A$300,B6003)&gt;0,"✓","⚠ add to Campaigns tab"))</f>
        <v/>
      </c>
      <c r="I6003" s="84" t="str">
        <f aca="false">IF(C6003="","",C6003*IF(Settings!$B$22=Settings!$C$6,1,IF(Settings!$B$22="USD",1/INDEX(Settings!$B$29:$B$40,MONTH(A6003)),INDEX(Settings!$B$29:$B$40,MONTH(A6003)))))</f>
        <v/>
      </c>
    </row>
    <row r="6004" customFormat="false" ht="15" hidden="false" customHeight="false" outlineLevel="0" collapsed="false">
      <c r="H6004" s="0" t="str">
        <f aca="false">IF(B6004="","",IF(COUNTIF(Campaigns!$A$7:$A$300,B6004)&gt;0,"✓","⚠ add to Campaigns tab"))</f>
        <v/>
      </c>
      <c r="I6004" s="84" t="str">
        <f aca="false">IF(C6004="","",C6004*IF(Settings!$B$22=Settings!$C$6,1,IF(Settings!$B$22="USD",1/INDEX(Settings!$B$29:$B$40,MONTH(A6004)),INDEX(Settings!$B$29:$B$40,MONTH(A6004)))))</f>
        <v/>
      </c>
    </row>
    <row r="6005" customFormat="false" ht="15" hidden="false" customHeight="false" outlineLevel="0" collapsed="false">
      <c r="H6005" s="0" t="str">
        <f aca="false">IF(B6005="","",IF(COUNTIF(Campaigns!$A$7:$A$300,B6005)&gt;0,"✓","⚠ add to Campaigns tab"))</f>
        <v/>
      </c>
      <c r="I6005" s="84" t="str">
        <f aca="false">IF(C6005="","",C6005*IF(Settings!$B$22=Settings!$C$6,1,IF(Settings!$B$22="USD",1/INDEX(Settings!$B$29:$B$40,MONTH(A6005)),INDEX(Settings!$B$29:$B$40,MONTH(A6005)))))</f>
        <v/>
      </c>
    </row>
    <row r="6006" customFormat="false" ht="15" hidden="false" customHeight="false" outlineLevel="0" collapsed="false">
      <c r="H6006" s="0" t="str">
        <f aca="false">IF(B6006="","",IF(COUNTIF(Campaigns!$A$7:$A$300,B6006)&gt;0,"✓","⚠ add to Campaigns tab"))</f>
        <v/>
      </c>
      <c r="I6006" s="84" t="str">
        <f aca="false">IF(C6006="","",C6006*IF(Settings!$B$22=Settings!$C$6,1,IF(Settings!$B$22="USD",1/INDEX(Settings!$B$29:$B$40,MONTH(A6006)),INDEX(Settings!$B$29:$B$40,MONTH(A6006)))))</f>
        <v/>
      </c>
    </row>
    <row r="6007" customFormat="false" ht="15" hidden="false" customHeight="false" outlineLevel="0" collapsed="false">
      <c r="H6007" s="0" t="str">
        <f aca="false">IF(B6007="","",IF(COUNTIF(Campaigns!$A$7:$A$300,B6007)&gt;0,"✓","⚠ add to Campaigns tab"))</f>
        <v/>
      </c>
      <c r="I6007" s="84" t="str">
        <f aca="false">IF(C6007="","",C6007*IF(Settings!$B$22=Settings!$C$6,1,IF(Settings!$B$22="USD",1/INDEX(Settings!$B$29:$B$40,MONTH(A6007)),INDEX(Settings!$B$29:$B$40,MONTH(A6007)))))</f>
        <v/>
      </c>
    </row>
    <row r="6008" customFormat="false" ht="15" hidden="false" customHeight="false" outlineLevel="0" collapsed="false">
      <c r="H6008" s="0" t="str">
        <f aca="false">IF(B6008="","",IF(COUNTIF(Campaigns!$A$7:$A$300,B6008)&gt;0,"✓","⚠ add to Campaigns tab"))</f>
        <v/>
      </c>
      <c r="I6008" s="84" t="str">
        <f aca="false">IF(C6008="","",C6008*IF(Settings!$B$22=Settings!$C$6,1,IF(Settings!$B$22="USD",1/INDEX(Settings!$B$29:$B$40,MONTH(A6008)),INDEX(Settings!$B$29:$B$40,MONTH(A6008)))))</f>
        <v/>
      </c>
    </row>
    <row r="6009" customFormat="false" ht="15" hidden="false" customHeight="false" outlineLevel="0" collapsed="false">
      <c r="H6009" s="0" t="str">
        <f aca="false">IF(B6009="","",IF(COUNTIF(Campaigns!$A$7:$A$300,B6009)&gt;0,"✓","⚠ add to Campaigns tab"))</f>
        <v/>
      </c>
      <c r="I6009" s="84" t="str">
        <f aca="false">IF(C6009="","",C6009*IF(Settings!$B$22=Settings!$C$6,1,IF(Settings!$B$22="USD",1/INDEX(Settings!$B$29:$B$40,MONTH(A6009)),INDEX(Settings!$B$29:$B$40,MONTH(A6009)))))</f>
        <v/>
      </c>
    </row>
    <row r="6010" customFormat="false" ht="15" hidden="false" customHeight="false" outlineLevel="0" collapsed="false">
      <c r="H6010" s="0" t="str">
        <f aca="false">IF(B6010="","",IF(COUNTIF(Campaigns!$A$7:$A$300,B6010)&gt;0,"✓","⚠ add to Campaigns tab"))</f>
        <v/>
      </c>
      <c r="I6010" s="84" t="str">
        <f aca="false">IF(C6010="","",C6010*IF(Settings!$B$22=Settings!$C$6,1,IF(Settings!$B$22="USD",1/INDEX(Settings!$B$29:$B$40,MONTH(A6010)),INDEX(Settings!$B$29:$B$40,MONTH(A6010)))))</f>
        <v/>
      </c>
    </row>
    <row r="6011" customFormat="false" ht="15" hidden="false" customHeight="false" outlineLevel="0" collapsed="false">
      <c r="H6011" s="0" t="str">
        <f aca="false">IF(B6011="","",IF(COUNTIF(Campaigns!$A$7:$A$300,B6011)&gt;0,"✓","⚠ add to Campaigns tab"))</f>
        <v/>
      </c>
      <c r="I6011" s="84" t="str">
        <f aca="false">IF(C6011="","",C6011*IF(Settings!$B$22=Settings!$C$6,1,IF(Settings!$B$22="USD",1/INDEX(Settings!$B$29:$B$40,MONTH(A6011)),INDEX(Settings!$B$29:$B$40,MONTH(A6011)))))</f>
        <v/>
      </c>
    </row>
    <row r="6012" customFormat="false" ht="15" hidden="false" customHeight="false" outlineLevel="0" collapsed="false">
      <c r="H6012" s="0" t="str">
        <f aca="false">IF(B6012="","",IF(COUNTIF(Campaigns!$A$7:$A$300,B6012)&gt;0,"✓","⚠ add to Campaigns tab"))</f>
        <v/>
      </c>
      <c r="I6012" s="84" t="str">
        <f aca="false">IF(C6012="","",C6012*IF(Settings!$B$22=Settings!$C$6,1,IF(Settings!$B$22="USD",1/INDEX(Settings!$B$29:$B$40,MONTH(A6012)),INDEX(Settings!$B$29:$B$40,MONTH(A6012)))))</f>
        <v/>
      </c>
    </row>
    <row r="6013" customFormat="false" ht="15" hidden="false" customHeight="false" outlineLevel="0" collapsed="false">
      <c r="H6013" s="0" t="str">
        <f aca="false">IF(B6013="","",IF(COUNTIF(Campaigns!$A$7:$A$300,B6013)&gt;0,"✓","⚠ add to Campaigns tab"))</f>
        <v/>
      </c>
      <c r="I6013" s="84" t="str">
        <f aca="false">IF(C6013="","",C6013*IF(Settings!$B$22=Settings!$C$6,1,IF(Settings!$B$22="USD",1/INDEX(Settings!$B$29:$B$40,MONTH(A6013)),INDEX(Settings!$B$29:$B$40,MONTH(A6013)))))</f>
        <v/>
      </c>
    </row>
    <row r="6014" customFormat="false" ht="15" hidden="false" customHeight="false" outlineLevel="0" collapsed="false">
      <c r="H6014" s="0" t="str">
        <f aca="false">IF(B6014="","",IF(COUNTIF(Campaigns!$A$7:$A$300,B6014)&gt;0,"✓","⚠ add to Campaigns tab"))</f>
        <v/>
      </c>
      <c r="I6014" s="84" t="str">
        <f aca="false">IF(C6014="","",C6014*IF(Settings!$B$22=Settings!$C$6,1,IF(Settings!$B$22="USD",1/INDEX(Settings!$B$29:$B$40,MONTH(A6014)),INDEX(Settings!$B$29:$B$40,MONTH(A6014)))))</f>
        <v/>
      </c>
    </row>
    <row r="6015" customFormat="false" ht="15" hidden="false" customHeight="false" outlineLevel="0" collapsed="false">
      <c r="H6015" s="0" t="str">
        <f aca="false">IF(B6015="","",IF(COUNTIF(Campaigns!$A$7:$A$300,B6015)&gt;0,"✓","⚠ add to Campaigns tab"))</f>
        <v/>
      </c>
      <c r="I6015" s="84" t="str">
        <f aca="false">IF(C6015="","",C6015*IF(Settings!$B$22=Settings!$C$6,1,IF(Settings!$B$22="USD",1/INDEX(Settings!$B$29:$B$40,MONTH(A6015)),INDEX(Settings!$B$29:$B$40,MONTH(A6015)))))</f>
        <v/>
      </c>
    </row>
    <row r="6016" customFormat="false" ht="15" hidden="false" customHeight="false" outlineLevel="0" collapsed="false">
      <c r="H6016" s="0" t="str">
        <f aca="false">IF(B6016="","",IF(COUNTIF(Campaigns!$A$7:$A$300,B6016)&gt;0,"✓","⚠ add to Campaigns tab"))</f>
        <v/>
      </c>
      <c r="I6016" s="84" t="str">
        <f aca="false">IF(C6016="","",C6016*IF(Settings!$B$22=Settings!$C$6,1,IF(Settings!$B$22="USD",1/INDEX(Settings!$B$29:$B$40,MONTH(A6016)),INDEX(Settings!$B$29:$B$40,MONTH(A6016)))))</f>
        <v/>
      </c>
    </row>
    <row r="6017" customFormat="false" ht="15" hidden="false" customHeight="false" outlineLevel="0" collapsed="false">
      <c r="H6017" s="0" t="str">
        <f aca="false">IF(B6017="","",IF(COUNTIF(Campaigns!$A$7:$A$300,B6017)&gt;0,"✓","⚠ add to Campaigns tab"))</f>
        <v/>
      </c>
      <c r="I6017" s="84" t="str">
        <f aca="false">IF(C6017="","",C6017*IF(Settings!$B$22=Settings!$C$6,1,IF(Settings!$B$22="USD",1/INDEX(Settings!$B$29:$B$40,MONTH(A6017)),INDEX(Settings!$B$29:$B$40,MONTH(A6017)))))</f>
        <v/>
      </c>
    </row>
    <row r="6018" customFormat="false" ht="15" hidden="false" customHeight="false" outlineLevel="0" collapsed="false">
      <c r="H6018" s="0" t="str">
        <f aca="false">IF(B6018="","",IF(COUNTIF(Campaigns!$A$7:$A$300,B6018)&gt;0,"✓","⚠ add to Campaigns tab"))</f>
        <v/>
      </c>
      <c r="I6018" s="84" t="str">
        <f aca="false">IF(C6018="","",C6018*IF(Settings!$B$22=Settings!$C$6,1,IF(Settings!$B$22="USD",1/INDEX(Settings!$B$29:$B$40,MONTH(A6018)),INDEX(Settings!$B$29:$B$40,MONTH(A6018)))))</f>
        <v/>
      </c>
    </row>
    <row r="6019" customFormat="false" ht="15" hidden="false" customHeight="false" outlineLevel="0" collapsed="false">
      <c r="H6019" s="0" t="str">
        <f aca="false">IF(B6019="","",IF(COUNTIF(Campaigns!$A$7:$A$300,B6019)&gt;0,"✓","⚠ add to Campaigns tab"))</f>
        <v/>
      </c>
      <c r="I6019" s="84" t="str">
        <f aca="false">IF(C6019="","",C6019*IF(Settings!$B$22=Settings!$C$6,1,IF(Settings!$B$22="USD",1/INDEX(Settings!$B$29:$B$40,MONTH(A6019)),INDEX(Settings!$B$29:$B$40,MONTH(A6019)))))</f>
        <v/>
      </c>
    </row>
    <row r="6020" customFormat="false" ht="15" hidden="false" customHeight="false" outlineLevel="0" collapsed="false">
      <c r="H6020" s="0" t="str">
        <f aca="false">IF(B6020="","",IF(COUNTIF(Campaigns!$A$7:$A$300,B6020)&gt;0,"✓","⚠ add to Campaigns tab"))</f>
        <v/>
      </c>
      <c r="I6020" s="84" t="str">
        <f aca="false">IF(C6020="","",C6020*IF(Settings!$B$22=Settings!$C$6,1,IF(Settings!$B$22="USD",1/INDEX(Settings!$B$29:$B$40,MONTH(A6020)),INDEX(Settings!$B$29:$B$40,MONTH(A6020)))))</f>
        <v/>
      </c>
    </row>
    <row r="6021" customFormat="false" ht="15" hidden="false" customHeight="false" outlineLevel="0" collapsed="false">
      <c r="H6021" s="0" t="str">
        <f aca="false">IF(B6021="","",IF(COUNTIF(Campaigns!$A$7:$A$300,B6021)&gt;0,"✓","⚠ add to Campaigns tab"))</f>
        <v/>
      </c>
      <c r="I6021" s="84" t="str">
        <f aca="false">IF(C6021="","",C6021*IF(Settings!$B$22=Settings!$C$6,1,IF(Settings!$B$22="USD",1/INDEX(Settings!$B$29:$B$40,MONTH(A6021)),INDEX(Settings!$B$29:$B$40,MONTH(A6021)))))</f>
        <v/>
      </c>
    </row>
    <row r="6022" customFormat="false" ht="15" hidden="false" customHeight="false" outlineLevel="0" collapsed="false">
      <c r="H6022" s="0" t="str">
        <f aca="false">IF(B6022="","",IF(COUNTIF(Campaigns!$A$7:$A$300,B6022)&gt;0,"✓","⚠ add to Campaigns tab"))</f>
        <v/>
      </c>
      <c r="I6022" s="84" t="str">
        <f aca="false">IF(C6022="","",C6022*IF(Settings!$B$22=Settings!$C$6,1,IF(Settings!$B$22="USD",1/INDEX(Settings!$B$29:$B$40,MONTH(A6022)),INDEX(Settings!$B$29:$B$40,MONTH(A6022)))))</f>
        <v/>
      </c>
    </row>
    <row r="6023" customFormat="false" ht="15" hidden="false" customHeight="false" outlineLevel="0" collapsed="false">
      <c r="H6023" s="0" t="str">
        <f aca="false">IF(B6023="","",IF(COUNTIF(Campaigns!$A$7:$A$300,B6023)&gt;0,"✓","⚠ add to Campaigns tab"))</f>
        <v/>
      </c>
      <c r="I6023" s="84" t="str">
        <f aca="false">IF(C6023="","",C6023*IF(Settings!$B$22=Settings!$C$6,1,IF(Settings!$B$22="USD",1/INDEX(Settings!$B$29:$B$40,MONTH(A6023)),INDEX(Settings!$B$29:$B$40,MONTH(A6023)))))</f>
        <v/>
      </c>
    </row>
    <row r="6024" customFormat="false" ht="15" hidden="false" customHeight="false" outlineLevel="0" collapsed="false">
      <c r="H6024" s="0" t="str">
        <f aca="false">IF(B6024="","",IF(COUNTIF(Campaigns!$A$7:$A$300,B6024)&gt;0,"✓","⚠ add to Campaigns tab"))</f>
        <v/>
      </c>
      <c r="I6024" s="84" t="str">
        <f aca="false">IF(C6024="","",C6024*IF(Settings!$B$22=Settings!$C$6,1,IF(Settings!$B$22="USD",1/INDEX(Settings!$B$29:$B$40,MONTH(A6024)),INDEX(Settings!$B$29:$B$40,MONTH(A6024)))))</f>
        <v/>
      </c>
    </row>
    <row r="6025" customFormat="false" ht="15" hidden="false" customHeight="false" outlineLevel="0" collapsed="false">
      <c r="H6025" s="0" t="str">
        <f aca="false">IF(B6025="","",IF(COUNTIF(Campaigns!$A$7:$A$300,B6025)&gt;0,"✓","⚠ add to Campaigns tab"))</f>
        <v/>
      </c>
      <c r="I6025" s="84" t="str">
        <f aca="false">IF(C6025="","",C6025*IF(Settings!$B$22=Settings!$C$6,1,IF(Settings!$B$22="USD",1/INDEX(Settings!$B$29:$B$40,MONTH(A6025)),INDEX(Settings!$B$29:$B$40,MONTH(A6025)))))</f>
        <v/>
      </c>
    </row>
    <row r="6026" customFormat="false" ht="15" hidden="false" customHeight="false" outlineLevel="0" collapsed="false">
      <c r="H6026" s="0" t="str">
        <f aca="false">IF(B6026="","",IF(COUNTIF(Campaigns!$A$7:$A$300,B6026)&gt;0,"✓","⚠ add to Campaigns tab"))</f>
        <v/>
      </c>
      <c r="I6026" s="84" t="str">
        <f aca="false">IF(C6026="","",C6026*IF(Settings!$B$22=Settings!$C$6,1,IF(Settings!$B$22="USD",1/INDEX(Settings!$B$29:$B$40,MONTH(A6026)),INDEX(Settings!$B$29:$B$40,MONTH(A6026)))))</f>
        <v/>
      </c>
    </row>
    <row r="6027" customFormat="false" ht="15" hidden="false" customHeight="false" outlineLevel="0" collapsed="false">
      <c r="H6027" s="0" t="str">
        <f aca="false">IF(B6027="","",IF(COUNTIF(Campaigns!$A$7:$A$300,B6027)&gt;0,"✓","⚠ add to Campaigns tab"))</f>
        <v/>
      </c>
      <c r="I6027" s="84" t="str">
        <f aca="false">IF(C6027="","",C6027*IF(Settings!$B$22=Settings!$C$6,1,IF(Settings!$B$22="USD",1/INDEX(Settings!$B$29:$B$40,MONTH(A6027)),INDEX(Settings!$B$29:$B$40,MONTH(A6027)))))</f>
        <v/>
      </c>
    </row>
    <row r="6028" customFormat="false" ht="15" hidden="false" customHeight="false" outlineLevel="0" collapsed="false">
      <c r="H6028" s="0" t="str">
        <f aca="false">IF(B6028="","",IF(COUNTIF(Campaigns!$A$7:$A$300,B6028)&gt;0,"✓","⚠ add to Campaigns tab"))</f>
        <v/>
      </c>
      <c r="I6028" s="84" t="str">
        <f aca="false">IF(C6028="","",C6028*IF(Settings!$B$22=Settings!$C$6,1,IF(Settings!$B$22="USD",1/INDEX(Settings!$B$29:$B$40,MONTH(A6028)),INDEX(Settings!$B$29:$B$40,MONTH(A6028)))))</f>
        <v/>
      </c>
    </row>
    <row r="6029" customFormat="false" ht="15" hidden="false" customHeight="false" outlineLevel="0" collapsed="false">
      <c r="H6029" s="0" t="str">
        <f aca="false">IF(B6029="","",IF(COUNTIF(Campaigns!$A$7:$A$300,B6029)&gt;0,"✓","⚠ add to Campaigns tab"))</f>
        <v/>
      </c>
      <c r="I6029" s="84" t="str">
        <f aca="false">IF(C6029="","",C6029*IF(Settings!$B$22=Settings!$C$6,1,IF(Settings!$B$22="USD",1/INDEX(Settings!$B$29:$B$40,MONTH(A6029)),INDEX(Settings!$B$29:$B$40,MONTH(A6029)))))</f>
        <v/>
      </c>
    </row>
    <row r="6030" customFormat="false" ht="15" hidden="false" customHeight="false" outlineLevel="0" collapsed="false">
      <c r="H6030" s="0" t="str">
        <f aca="false">IF(B6030="","",IF(COUNTIF(Campaigns!$A$7:$A$300,B6030)&gt;0,"✓","⚠ add to Campaigns tab"))</f>
        <v/>
      </c>
      <c r="I6030" s="84" t="str">
        <f aca="false">IF(C6030="","",C6030*IF(Settings!$B$22=Settings!$C$6,1,IF(Settings!$B$22="USD",1/INDEX(Settings!$B$29:$B$40,MONTH(A6030)),INDEX(Settings!$B$29:$B$40,MONTH(A6030)))))</f>
        <v/>
      </c>
    </row>
    <row r="6031" customFormat="false" ht="15" hidden="false" customHeight="false" outlineLevel="0" collapsed="false">
      <c r="H6031" s="0" t="str">
        <f aca="false">IF(B6031="","",IF(COUNTIF(Campaigns!$A$7:$A$300,B6031)&gt;0,"✓","⚠ add to Campaigns tab"))</f>
        <v/>
      </c>
      <c r="I6031" s="84" t="str">
        <f aca="false">IF(C6031="","",C6031*IF(Settings!$B$22=Settings!$C$6,1,IF(Settings!$B$22="USD",1/INDEX(Settings!$B$29:$B$40,MONTH(A6031)),INDEX(Settings!$B$29:$B$40,MONTH(A6031)))))</f>
        <v/>
      </c>
    </row>
    <row r="6032" customFormat="false" ht="15" hidden="false" customHeight="false" outlineLevel="0" collapsed="false">
      <c r="H6032" s="0" t="str">
        <f aca="false">IF(B6032="","",IF(COUNTIF(Campaigns!$A$7:$A$300,B6032)&gt;0,"✓","⚠ add to Campaigns tab"))</f>
        <v/>
      </c>
      <c r="I6032" s="84" t="str">
        <f aca="false">IF(C6032="","",C6032*IF(Settings!$B$22=Settings!$C$6,1,IF(Settings!$B$22="USD",1/INDEX(Settings!$B$29:$B$40,MONTH(A6032)),INDEX(Settings!$B$29:$B$40,MONTH(A6032)))))</f>
        <v/>
      </c>
    </row>
    <row r="6033" customFormat="false" ht="15" hidden="false" customHeight="false" outlineLevel="0" collapsed="false">
      <c r="H6033" s="0" t="str">
        <f aca="false">IF(B6033="","",IF(COUNTIF(Campaigns!$A$7:$A$300,B6033)&gt;0,"✓","⚠ add to Campaigns tab"))</f>
        <v/>
      </c>
      <c r="I6033" s="84" t="str">
        <f aca="false">IF(C6033="","",C6033*IF(Settings!$B$22=Settings!$C$6,1,IF(Settings!$B$22="USD",1/INDEX(Settings!$B$29:$B$40,MONTH(A6033)),INDEX(Settings!$B$29:$B$40,MONTH(A6033)))))</f>
        <v/>
      </c>
    </row>
    <row r="6034" customFormat="false" ht="15" hidden="false" customHeight="false" outlineLevel="0" collapsed="false">
      <c r="H6034" s="0" t="str">
        <f aca="false">IF(B6034="","",IF(COUNTIF(Campaigns!$A$7:$A$300,B6034)&gt;0,"✓","⚠ add to Campaigns tab"))</f>
        <v/>
      </c>
      <c r="I6034" s="84" t="str">
        <f aca="false">IF(C6034="","",C6034*IF(Settings!$B$22=Settings!$C$6,1,IF(Settings!$B$22="USD",1/INDEX(Settings!$B$29:$B$40,MONTH(A6034)),INDEX(Settings!$B$29:$B$40,MONTH(A6034)))))</f>
        <v/>
      </c>
    </row>
    <row r="6035" customFormat="false" ht="15" hidden="false" customHeight="false" outlineLevel="0" collapsed="false">
      <c r="H6035" s="0" t="str">
        <f aca="false">IF(B6035="","",IF(COUNTIF(Campaigns!$A$7:$A$300,B6035)&gt;0,"✓","⚠ add to Campaigns tab"))</f>
        <v/>
      </c>
      <c r="I6035" s="84" t="str">
        <f aca="false">IF(C6035="","",C6035*IF(Settings!$B$22=Settings!$C$6,1,IF(Settings!$B$22="USD",1/INDEX(Settings!$B$29:$B$40,MONTH(A6035)),INDEX(Settings!$B$29:$B$40,MONTH(A6035)))))</f>
        <v/>
      </c>
    </row>
    <row r="6036" customFormat="false" ht="15" hidden="false" customHeight="false" outlineLevel="0" collapsed="false">
      <c r="H6036" s="0" t="str">
        <f aca="false">IF(B6036="","",IF(COUNTIF(Campaigns!$A$7:$A$300,B6036)&gt;0,"✓","⚠ add to Campaigns tab"))</f>
        <v/>
      </c>
      <c r="I6036" s="84" t="str">
        <f aca="false">IF(C6036="","",C6036*IF(Settings!$B$22=Settings!$C$6,1,IF(Settings!$B$22="USD",1/INDEX(Settings!$B$29:$B$40,MONTH(A6036)),INDEX(Settings!$B$29:$B$40,MONTH(A6036)))))</f>
        <v/>
      </c>
    </row>
    <row r="6037" customFormat="false" ht="15" hidden="false" customHeight="false" outlineLevel="0" collapsed="false">
      <c r="H6037" s="0" t="str">
        <f aca="false">IF(B6037="","",IF(COUNTIF(Campaigns!$A$7:$A$300,B6037)&gt;0,"✓","⚠ add to Campaigns tab"))</f>
        <v/>
      </c>
      <c r="I6037" s="84" t="str">
        <f aca="false">IF(C6037="","",C6037*IF(Settings!$B$22=Settings!$C$6,1,IF(Settings!$B$22="USD",1/INDEX(Settings!$B$29:$B$40,MONTH(A6037)),INDEX(Settings!$B$29:$B$40,MONTH(A6037)))))</f>
        <v/>
      </c>
    </row>
    <row r="6038" customFormat="false" ht="15" hidden="false" customHeight="false" outlineLevel="0" collapsed="false">
      <c r="H6038" s="0" t="str">
        <f aca="false">IF(B6038="","",IF(COUNTIF(Campaigns!$A$7:$A$300,B6038)&gt;0,"✓","⚠ add to Campaigns tab"))</f>
        <v/>
      </c>
      <c r="I6038" s="84" t="str">
        <f aca="false">IF(C6038="","",C6038*IF(Settings!$B$22=Settings!$C$6,1,IF(Settings!$B$22="USD",1/INDEX(Settings!$B$29:$B$40,MONTH(A6038)),INDEX(Settings!$B$29:$B$40,MONTH(A6038)))))</f>
        <v/>
      </c>
    </row>
    <row r="6039" customFormat="false" ht="15" hidden="false" customHeight="false" outlineLevel="0" collapsed="false">
      <c r="H6039" s="0" t="str">
        <f aca="false">IF(B6039="","",IF(COUNTIF(Campaigns!$A$7:$A$300,B6039)&gt;0,"✓","⚠ add to Campaigns tab"))</f>
        <v/>
      </c>
      <c r="I6039" s="84" t="str">
        <f aca="false">IF(C6039="","",C6039*IF(Settings!$B$22=Settings!$C$6,1,IF(Settings!$B$22="USD",1/INDEX(Settings!$B$29:$B$40,MONTH(A6039)),INDEX(Settings!$B$29:$B$40,MONTH(A6039)))))</f>
        <v/>
      </c>
    </row>
    <row r="6040" customFormat="false" ht="15" hidden="false" customHeight="false" outlineLevel="0" collapsed="false">
      <c r="H6040" s="0" t="str">
        <f aca="false">IF(B6040="","",IF(COUNTIF(Campaigns!$A$7:$A$300,B6040)&gt;0,"✓","⚠ add to Campaigns tab"))</f>
        <v/>
      </c>
      <c r="I6040" s="84" t="str">
        <f aca="false">IF(C6040="","",C6040*IF(Settings!$B$22=Settings!$C$6,1,IF(Settings!$B$22="USD",1/INDEX(Settings!$B$29:$B$40,MONTH(A6040)),INDEX(Settings!$B$29:$B$40,MONTH(A6040)))))</f>
        <v/>
      </c>
    </row>
    <row r="6041" customFormat="false" ht="15" hidden="false" customHeight="false" outlineLevel="0" collapsed="false">
      <c r="H6041" s="0" t="str">
        <f aca="false">IF(B6041="","",IF(COUNTIF(Campaigns!$A$7:$A$300,B6041)&gt;0,"✓","⚠ add to Campaigns tab"))</f>
        <v/>
      </c>
      <c r="I6041" s="84" t="str">
        <f aca="false">IF(C6041="","",C6041*IF(Settings!$B$22=Settings!$C$6,1,IF(Settings!$B$22="USD",1/INDEX(Settings!$B$29:$B$40,MONTH(A6041)),INDEX(Settings!$B$29:$B$40,MONTH(A6041)))))</f>
        <v/>
      </c>
    </row>
    <row r="6042" customFormat="false" ht="15" hidden="false" customHeight="false" outlineLevel="0" collapsed="false">
      <c r="H6042" s="0" t="str">
        <f aca="false">IF(B6042="","",IF(COUNTIF(Campaigns!$A$7:$A$300,B6042)&gt;0,"✓","⚠ add to Campaigns tab"))</f>
        <v/>
      </c>
      <c r="I6042" s="84" t="str">
        <f aca="false">IF(C6042="","",C6042*IF(Settings!$B$22=Settings!$C$6,1,IF(Settings!$B$22="USD",1/INDEX(Settings!$B$29:$B$40,MONTH(A6042)),INDEX(Settings!$B$29:$B$40,MONTH(A6042)))))</f>
        <v/>
      </c>
    </row>
    <row r="6043" customFormat="false" ht="15" hidden="false" customHeight="false" outlineLevel="0" collapsed="false">
      <c r="H6043" s="0" t="str">
        <f aca="false">IF(B6043="","",IF(COUNTIF(Campaigns!$A$7:$A$300,B6043)&gt;0,"✓","⚠ add to Campaigns tab"))</f>
        <v/>
      </c>
      <c r="I6043" s="84" t="str">
        <f aca="false">IF(C6043="","",C6043*IF(Settings!$B$22=Settings!$C$6,1,IF(Settings!$B$22="USD",1/INDEX(Settings!$B$29:$B$40,MONTH(A6043)),INDEX(Settings!$B$29:$B$40,MONTH(A6043)))))</f>
        <v/>
      </c>
    </row>
    <row r="6044" customFormat="false" ht="15" hidden="false" customHeight="false" outlineLevel="0" collapsed="false">
      <c r="H6044" s="0" t="str">
        <f aca="false">IF(B6044="","",IF(COUNTIF(Campaigns!$A$7:$A$300,B6044)&gt;0,"✓","⚠ add to Campaigns tab"))</f>
        <v/>
      </c>
      <c r="I6044" s="84" t="str">
        <f aca="false">IF(C6044="","",C6044*IF(Settings!$B$22=Settings!$C$6,1,IF(Settings!$B$22="USD",1/INDEX(Settings!$B$29:$B$40,MONTH(A6044)),INDEX(Settings!$B$29:$B$40,MONTH(A6044)))))</f>
        <v/>
      </c>
    </row>
    <row r="6045" customFormat="false" ht="15" hidden="false" customHeight="false" outlineLevel="0" collapsed="false">
      <c r="H6045" s="0" t="str">
        <f aca="false">IF(B6045="","",IF(COUNTIF(Campaigns!$A$7:$A$300,B6045)&gt;0,"✓","⚠ add to Campaigns tab"))</f>
        <v/>
      </c>
      <c r="I6045" s="84" t="str">
        <f aca="false">IF(C6045="","",C6045*IF(Settings!$B$22=Settings!$C$6,1,IF(Settings!$B$22="USD",1/INDEX(Settings!$B$29:$B$40,MONTH(A6045)),INDEX(Settings!$B$29:$B$40,MONTH(A6045)))))</f>
        <v/>
      </c>
    </row>
    <row r="6046" customFormat="false" ht="15" hidden="false" customHeight="false" outlineLevel="0" collapsed="false">
      <c r="H6046" s="0" t="str">
        <f aca="false">IF(B6046="","",IF(COUNTIF(Campaigns!$A$7:$A$300,B6046)&gt;0,"✓","⚠ add to Campaigns tab"))</f>
        <v/>
      </c>
      <c r="I6046" s="84" t="str">
        <f aca="false">IF(C6046="","",C6046*IF(Settings!$B$22=Settings!$C$6,1,IF(Settings!$B$22="USD",1/INDEX(Settings!$B$29:$B$40,MONTH(A6046)),INDEX(Settings!$B$29:$B$40,MONTH(A6046)))))</f>
        <v/>
      </c>
    </row>
    <row r="6047" customFormat="false" ht="15" hidden="false" customHeight="false" outlineLevel="0" collapsed="false">
      <c r="H6047" s="0" t="str">
        <f aca="false">IF(B6047="","",IF(COUNTIF(Campaigns!$A$7:$A$300,B6047)&gt;0,"✓","⚠ add to Campaigns tab"))</f>
        <v/>
      </c>
      <c r="I6047" s="84" t="str">
        <f aca="false">IF(C6047="","",C6047*IF(Settings!$B$22=Settings!$C$6,1,IF(Settings!$B$22="USD",1/INDEX(Settings!$B$29:$B$40,MONTH(A6047)),INDEX(Settings!$B$29:$B$40,MONTH(A6047)))))</f>
        <v/>
      </c>
    </row>
    <row r="6048" customFormat="false" ht="15" hidden="false" customHeight="false" outlineLevel="0" collapsed="false">
      <c r="H6048" s="0" t="str">
        <f aca="false">IF(B6048="","",IF(COUNTIF(Campaigns!$A$7:$A$300,B6048)&gt;0,"✓","⚠ add to Campaigns tab"))</f>
        <v/>
      </c>
      <c r="I6048" s="84" t="str">
        <f aca="false">IF(C6048="","",C6048*IF(Settings!$B$22=Settings!$C$6,1,IF(Settings!$B$22="USD",1/INDEX(Settings!$B$29:$B$40,MONTH(A6048)),INDEX(Settings!$B$29:$B$40,MONTH(A6048)))))</f>
        <v/>
      </c>
    </row>
    <row r="6049" customFormat="false" ht="15" hidden="false" customHeight="false" outlineLevel="0" collapsed="false">
      <c r="H6049" s="0" t="str">
        <f aca="false">IF(B6049="","",IF(COUNTIF(Campaigns!$A$7:$A$300,B6049)&gt;0,"✓","⚠ add to Campaigns tab"))</f>
        <v/>
      </c>
      <c r="I6049" s="84" t="str">
        <f aca="false">IF(C6049="","",C6049*IF(Settings!$B$22=Settings!$C$6,1,IF(Settings!$B$22="USD",1/INDEX(Settings!$B$29:$B$40,MONTH(A6049)),INDEX(Settings!$B$29:$B$40,MONTH(A6049)))))</f>
        <v/>
      </c>
    </row>
    <row r="6050" customFormat="false" ht="15" hidden="false" customHeight="false" outlineLevel="0" collapsed="false">
      <c r="H6050" s="0" t="str">
        <f aca="false">IF(B6050="","",IF(COUNTIF(Campaigns!$A$7:$A$300,B6050)&gt;0,"✓","⚠ add to Campaigns tab"))</f>
        <v/>
      </c>
      <c r="I6050" s="84" t="str">
        <f aca="false">IF(C6050="","",C6050*IF(Settings!$B$22=Settings!$C$6,1,IF(Settings!$B$22="USD",1/INDEX(Settings!$B$29:$B$40,MONTH(A6050)),INDEX(Settings!$B$29:$B$40,MONTH(A6050)))))</f>
        <v/>
      </c>
    </row>
    <row r="6051" customFormat="false" ht="15" hidden="false" customHeight="false" outlineLevel="0" collapsed="false">
      <c r="H6051" s="0" t="str">
        <f aca="false">IF(B6051="","",IF(COUNTIF(Campaigns!$A$7:$A$300,B6051)&gt;0,"✓","⚠ add to Campaigns tab"))</f>
        <v/>
      </c>
      <c r="I6051" s="84" t="str">
        <f aca="false">IF(C6051="","",C6051*IF(Settings!$B$22=Settings!$C$6,1,IF(Settings!$B$22="USD",1/INDEX(Settings!$B$29:$B$40,MONTH(A6051)),INDEX(Settings!$B$29:$B$40,MONTH(A6051)))))</f>
        <v/>
      </c>
    </row>
    <row r="6052" customFormat="false" ht="15" hidden="false" customHeight="false" outlineLevel="0" collapsed="false">
      <c r="H6052" s="0" t="str">
        <f aca="false">IF(B6052="","",IF(COUNTIF(Campaigns!$A$7:$A$300,B6052)&gt;0,"✓","⚠ add to Campaigns tab"))</f>
        <v/>
      </c>
      <c r="I6052" s="84" t="str">
        <f aca="false">IF(C6052="","",C6052*IF(Settings!$B$22=Settings!$C$6,1,IF(Settings!$B$22="USD",1/INDEX(Settings!$B$29:$B$40,MONTH(A6052)),INDEX(Settings!$B$29:$B$40,MONTH(A6052)))))</f>
        <v/>
      </c>
    </row>
    <row r="6053" customFormat="false" ht="15" hidden="false" customHeight="false" outlineLevel="0" collapsed="false">
      <c r="H6053" s="0" t="str">
        <f aca="false">IF(B6053="","",IF(COUNTIF(Campaigns!$A$7:$A$300,B6053)&gt;0,"✓","⚠ add to Campaigns tab"))</f>
        <v/>
      </c>
      <c r="I6053" s="84" t="str">
        <f aca="false">IF(C6053="","",C6053*IF(Settings!$B$22=Settings!$C$6,1,IF(Settings!$B$22="USD",1/INDEX(Settings!$B$29:$B$40,MONTH(A6053)),INDEX(Settings!$B$29:$B$40,MONTH(A6053)))))</f>
        <v/>
      </c>
    </row>
    <row r="6054" customFormat="false" ht="15" hidden="false" customHeight="false" outlineLevel="0" collapsed="false">
      <c r="H6054" s="0" t="str">
        <f aca="false">IF(B6054="","",IF(COUNTIF(Campaigns!$A$7:$A$300,B6054)&gt;0,"✓","⚠ add to Campaigns tab"))</f>
        <v/>
      </c>
      <c r="I6054" s="84" t="str">
        <f aca="false">IF(C6054="","",C6054*IF(Settings!$B$22=Settings!$C$6,1,IF(Settings!$B$22="USD",1/INDEX(Settings!$B$29:$B$40,MONTH(A6054)),INDEX(Settings!$B$29:$B$40,MONTH(A6054)))))</f>
        <v/>
      </c>
    </row>
    <row r="6055" customFormat="false" ht="15" hidden="false" customHeight="false" outlineLevel="0" collapsed="false">
      <c r="H6055" s="0" t="str">
        <f aca="false">IF(B6055="","",IF(COUNTIF(Campaigns!$A$7:$A$300,B6055)&gt;0,"✓","⚠ add to Campaigns tab"))</f>
        <v/>
      </c>
      <c r="I6055" s="84" t="str">
        <f aca="false">IF(C6055="","",C6055*IF(Settings!$B$22=Settings!$C$6,1,IF(Settings!$B$22="USD",1/INDEX(Settings!$B$29:$B$40,MONTH(A6055)),INDEX(Settings!$B$29:$B$40,MONTH(A6055)))))</f>
        <v/>
      </c>
    </row>
    <row r="6056" customFormat="false" ht="15" hidden="false" customHeight="false" outlineLevel="0" collapsed="false">
      <c r="H6056" s="0" t="str">
        <f aca="false">IF(B6056="","",IF(COUNTIF(Campaigns!$A$7:$A$300,B6056)&gt;0,"✓","⚠ add to Campaigns tab"))</f>
        <v/>
      </c>
      <c r="I6056" s="84" t="str">
        <f aca="false">IF(C6056="","",C6056*IF(Settings!$B$22=Settings!$C$6,1,IF(Settings!$B$22="USD",1/INDEX(Settings!$B$29:$B$40,MONTH(A6056)),INDEX(Settings!$B$29:$B$40,MONTH(A6056)))))</f>
        <v/>
      </c>
    </row>
    <row r="6057" customFormat="false" ht="15" hidden="false" customHeight="false" outlineLevel="0" collapsed="false">
      <c r="H6057" s="0" t="str">
        <f aca="false">IF(B6057="","",IF(COUNTIF(Campaigns!$A$7:$A$300,B6057)&gt;0,"✓","⚠ add to Campaigns tab"))</f>
        <v/>
      </c>
      <c r="I6057" s="84" t="str">
        <f aca="false">IF(C6057="","",C6057*IF(Settings!$B$22=Settings!$C$6,1,IF(Settings!$B$22="USD",1/INDEX(Settings!$B$29:$B$40,MONTH(A6057)),INDEX(Settings!$B$29:$B$40,MONTH(A6057)))))</f>
        <v/>
      </c>
    </row>
    <row r="6058" customFormat="false" ht="15" hidden="false" customHeight="false" outlineLevel="0" collapsed="false">
      <c r="H6058" s="0" t="str">
        <f aca="false">IF(B6058="","",IF(COUNTIF(Campaigns!$A$7:$A$300,B6058)&gt;0,"✓","⚠ add to Campaigns tab"))</f>
        <v/>
      </c>
      <c r="I6058" s="84" t="str">
        <f aca="false">IF(C6058="","",C6058*IF(Settings!$B$22=Settings!$C$6,1,IF(Settings!$B$22="USD",1/INDEX(Settings!$B$29:$B$40,MONTH(A6058)),INDEX(Settings!$B$29:$B$40,MONTH(A6058)))))</f>
        <v/>
      </c>
    </row>
    <row r="6059" customFormat="false" ht="15" hidden="false" customHeight="false" outlineLevel="0" collapsed="false">
      <c r="H6059" s="0" t="str">
        <f aca="false">IF(B6059="","",IF(COUNTIF(Campaigns!$A$7:$A$300,B6059)&gt;0,"✓","⚠ add to Campaigns tab"))</f>
        <v/>
      </c>
      <c r="I6059" s="84" t="str">
        <f aca="false">IF(C6059="","",C6059*IF(Settings!$B$22=Settings!$C$6,1,IF(Settings!$B$22="USD",1/INDEX(Settings!$B$29:$B$40,MONTH(A6059)),INDEX(Settings!$B$29:$B$40,MONTH(A6059)))))</f>
        <v/>
      </c>
    </row>
    <row r="6060" customFormat="false" ht="15" hidden="false" customHeight="false" outlineLevel="0" collapsed="false">
      <c r="H6060" s="0" t="str">
        <f aca="false">IF(B6060="","",IF(COUNTIF(Campaigns!$A$7:$A$300,B6060)&gt;0,"✓","⚠ add to Campaigns tab"))</f>
        <v/>
      </c>
      <c r="I6060" s="84" t="str">
        <f aca="false">IF(C6060="","",C6060*IF(Settings!$B$22=Settings!$C$6,1,IF(Settings!$B$22="USD",1/INDEX(Settings!$B$29:$B$40,MONTH(A6060)),INDEX(Settings!$B$29:$B$40,MONTH(A6060)))))</f>
        <v/>
      </c>
    </row>
    <row r="6061" customFormat="false" ht="15" hidden="false" customHeight="false" outlineLevel="0" collapsed="false">
      <c r="H6061" s="0" t="str">
        <f aca="false">IF(B6061="","",IF(COUNTIF(Campaigns!$A$7:$A$300,B6061)&gt;0,"✓","⚠ add to Campaigns tab"))</f>
        <v/>
      </c>
      <c r="I6061" s="84" t="str">
        <f aca="false">IF(C6061="","",C6061*IF(Settings!$B$22=Settings!$C$6,1,IF(Settings!$B$22="USD",1/INDEX(Settings!$B$29:$B$40,MONTH(A6061)),INDEX(Settings!$B$29:$B$40,MONTH(A6061)))))</f>
        <v/>
      </c>
    </row>
    <row r="6062" customFormat="false" ht="15" hidden="false" customHeight="false" outlineLevel="0" collapsed="false">
      <c r="H6062" s="0" t="str">
        <f aca="false">IF(B6062="","",IF(COUNTIF(Campaigns!$A$7:$A$300,B6062)&gt;0,"✓","⚠ add to Campaigns tab"))</f>
        <v/>
      </c>
      <c r="I6062" s="84" t="str">
        <f aca="false">IF(C6062="","",C6062*IF(Settings!$B$22=Settings!$C$6,1,IF(Settings!$B$22="USD",1/INDEX(Settings!$B$29:$B$40,MONTH(A6062)),INDEX(Settings!$B$29:$B$40,MONTH(A6062)))))</f>
        <v/>
      </c>
    </row>
    <row r="6063" customFormat="false" ht="15" hidden="false" customHeight="false" outlineLevel="0" collapsed="false">
      <c r="H6063" s="0" t="str">
        <f aca="false">IF(B6063="","",IF(COUNTIF(Campaigns!$A$7:$A$300,B6063)&gt;0,"✓","⚠ add to Campaigns tab"))</f>
        <v/>
      </c>
      <c r="I6063" s="84" t="str">
        <f aca="false">IF(C6063="","",C6063*IF(Settings!$B$22=Settings!$C$6,1,IF(Settings!$B$22="USD",1/INDEX(Settings!$B$29:$B$40,MONTH(A6063)),INDEX(Settings!$B$29:$B$40,MONTH(A6063)))))</f>
        <v/>
      </c>
    </row>
    <row r="6064" customFormat="false" ht="15" hidden="false" customHeight="false" outlineLevel="0" collapsed="false">
      <c r="H6064" s="0" t="str">
        <f aca="false">IF(B6064="","",IF(COUNTIF(Campaigns!$A$7:$A$300,B6064)&gt;0,"✓","⚠ add to Campaigns tab"))</f>
        <v/>
      </c>
      <c r="I6064" s="84" t="str">
        <f aca="false">IF(C6064="","",C6064*IF(Settings!$B$22=Settings!$C$6,1,IF(Settings!$B$22="USD",1/INDEX(Settings!$B$29:$B$40,MONTH(A6064)),INDEX(Settings!$B$29:$B$40,MONTH(A6064)))))</f>
        <v/>
      </c>
    </row>
    <row r="6065" customFormat="false" ht="15" hidden="false" customHeight="false" outlineLevel="0" collapsed="false">
      <c r="H6065" s="0" t="str">
        <f aca="false">IF(B6065="","",IF(COUNTIF(Campaigns!$A$7:$A$300,B6065)&gt;0,"✓","⚠ add to Campaigns tab"))</f>
        <v/>
      </c>
      <c r="I6065" s="84" t="str">
        <f aca="false">IF(C6065="","",C6065*IF(Settings!$B$22=Settings!$C$6,1,IF(Settings!$B$22="USD",1/INDEX(Settings!$B$29:$B$40,MONTH(A6065)),INDEX(Settings!$B$29:$B$40,MONTH(A6065)))))</f>
        <v/>
      </c>
    </row>
    <row r="6066" customFormat="false" ht="15" hidden="false" customHeight="false" outlineLevel="0" collapsed="false">
      <c r="H6066" s="0" t="str">
        <f aca="false">IF(B6066="","",IF(COUNTIF(Campaigns!$A$7:$A$300,B6066)&gt;0,"✓","⚠ add to Campaigns tab"))</f>
        <v/>
      </c>
      <c r="I6066" s="84" t="str">
        <f aca="false">IF(C6066="","",C6066*IF(Settings!$B$22=Settings!$C$6,1,IF(Settings!$B$22="USD",1/INDEX(Settings!$B$29:$B$40,MONTH(A6066)),INDEX(Settings!$B$29:$B$40,MONTH(A6066)))))</f>
        <v/>
      </c>
    </row>
    <row r="6067" customFormat="false" ht="15" hidden="false" customHeight="false" outlineLevel="0" collapsed="false">
      <c r="H6067" s="0" t="str">
        <f aca="false">IF(B6067="","",IF(COUNTIF(Campaigns!$A$7:$A$300,B6067)&gt;0,"✓","⚠ add to Campaigns tab"))</f>
        <v/>
      </c>
      <c r="I6067" s="84" t="str">
        <f aca="false">IF(C6067="","",C6067*IF(Settings!$B$22=Settings!$C$6,1,IF(Settings!$B$22="USD",1/INDEX(Settings!$B$29:$B$40,MONTH(A6067)),INDEX(Settings!$B$29:$B$40,MONTH(A6067)))))</f>
        <v/>
      </c>
    </row>
    <row r="6068" customFormat="false" ht="15" hidden="false" customHeight="false" outlineLevel="0" collapsed="false">
      <c r="H6068" s="0" t="str">
        <f aca="false">IF(B6068="","",IF(COUNTIF(Campaigns!$A$7:$A$300,B6068)&gt;0,"✓","⚠ add to Campaigns tab"))</f>
        <v/>
      </c>
      <c r="I6068" s="84" t="str">
        <f aca="false">IF(C6068="","",C6068*IF(Settings!$B$22=Settings!$C$6,1,IF(Settings!$B$22="USD",1/INDEX(Settings!$B$29:$B$40,MONTH(A6068)),INDEX(Settings!$B$29:$B$40,MONTH(A6068)))))</f>
        <v/>
      </c>
    </row>
    <row r="6069" customFormat="false" ht="15" hidden="false" customHeight="false" outlineLevel="0" collapsed="false">
      <c r="H6069" s="0" t="str">
        <f aca="false">IF(B6069="","",IF(COUNTIF(Campaigns!$A$7:$A$300,B6069)&gt;0,"✓","⚠ add to Campaigns tab"))</f>
        <v/>
      </c>
      <c r="I6069" s="84" t="str">
        <f aca="false">IF(C6069="","",C6069*IF(Settings!$B$22=Settings!$C$6,1,IF(Settings!$B$22="USD",1/INDEX(Settings!$B$29:$B$40,MONTH(A6069)),INDEX(Settings!$B$29:$B$40,MONTH(A6069)))))</f>
        <v/>
      </c>
    </row>
    <row r="6070" customFormat="false" ht="15" hidden="false" customHeight="false" outlineLevel="0" collapsed="false">
      <c r="H6070" s="0" t="str">
        <f aca="false">IF(B6070="","",IF(COUNTIF(Campaigns!$A$7:$A$300,B6070)&gt;0,"✓","⚠ add to Campaigns tab"))</f>
        <v/>
      </c>
      <c r="I6070" s="84" t="str">
        <f aca="false">IF(C6070="","",C6070*IF(Settings!$B$22=Settings!$C$6,1,IF(Settings!$B$22="USD",1/INDEX(Settings!$B$29:$B$40,MONTH(A6070)),INDEX(Settings!$B$29:$B$40,MONTH(A6070)))))</f>
        <v/>
      </c>
    </row>
    <row r="6071" customFormat="false" ht="15" hidden="false" customHeight="false" outlineLevel="0" collapsed="false">
      <c r="H6071" s="0" t="str">
        <f aca="false">IF(B6071="","",IF(COUNTIF(Campaigns!$A$7:$A$300,B6071)&gt;0,"✓","⚠ add to Campaigns tab"))</f>
        <v/>
      </c>
      <c r="I6071" s="84" t="str">
        <f aca="false">IF(C6071="","",C6071*IF(Settings!$B$22=Settings!$C$6,1,IF(Settings!$B$22="USD",1/INDEX(Settings!$B$29:$B$40,MONTH(A6071)),INDEX(Settings!$B$29:$B$40,MONTH(A6071)))))</f>
        <v/>
      </c>
    </row>
    <row r="6072" customFormat="false" ht="15" hidden="false" customHeight="false" outlineLevel="0" collapsed="false">
      <c r="H6072" s="0" t="str">
        <f aca="false">IF(B6072="","",IF(COUNTIF(Campaigns!$A$7:$A$300,B6072)&gt;0,"✓","⚠ add to Campaigns tab"))</f>
        <v/>
      </c>
      <c r="I6072" s="84" t="str">
        <f aca="false">IF(C6072="","",C6072*IF(Settings!$B$22=Settings!$C$6,1,IF(Settings!$B$22="USD",1/INDEX(Settings!$B$29:$B$40,MONTH(A6072)),INDEX(Settings!$B$29:$B$40,MONTH(A6072)))))</f>
        <v/>
      </c>
    </row>
    <row r="6073" customFormat="false" ht="15" hidden="false" customHeight="false" outlineLevel="0" collapsed="false">
      <c r="H6073" s="0" t="str">
        <f aca="false">IF(B6073="","",IF(COUNTIF(Campaigns!$A$7:$A$300,B6073)&gt;0,"✓","⚠ add to Campaigns tab"))</f>
        <v/>
      </c>
      <c r="I6073" s="84" t="str">
        <f aca="false">IF(C6073="","",C6073*IF(Settings!$B$22=Settings!$C$6,1,IF(Settings!$B$22="USD",1/INDEX(Settings!$B$29:$B$40,MONTH(A6073)),INDEX(Settings!$B$29:$B$40,MONTH(A6073)))))</f>
        <v/>
      </c>
    </row>
    <row r="6074" customFormat="false" ht="15" hidden="false" customHeight="false" outlineLevel="0" collapsed="false">
      <c r="H6074" s="0" t="str">
        <f aca="false">IF(B6074="","",IF(COUNTIF(Campaigns!$A$7:$A$300,B6074)&gt;0,"✓","⚠ add to Campaigns tab"))</f>
        <v/>
      </c>
      <c r="I6074" s="84" t="str">
        <f aca="false">IF(C6074="","",C6074*IF(Settings!$B$22=Settings!$C$6,1,IF(Settings!$B$22="USD",1/INDEX(Settings!$B$29:$B$40,MONTH(A6074)),INDEX(Settings!$B$29:$B$40,MONTH(A6074)))))</f>
        <v/>
      </c>
    </row>
    <row r="6075" customFormat="false" ht="15" hidden="false" customHeight="false" outlineLevel="0" collapsed="false">
      <c r="H6075" s="0" t="str">
        <f aca="false">IF(B6075="","",IF(COUNTIF(Campaigns!$A$7:$A$300,B6075)&gt;0,"✓","⚠ add to Campaigns tab"))</f>
        <v/>
      </c>
      <c r="I6075" s="84" t="str">
        <f aca="false">IF(C6075="","",C6075*IF(Settings!$B$22=Settings!$C$6,1,IF(Settings!$B$22="USD",1/INDEX(Settings!$B$29:$B$40,MONTH(A6075)),INDEX(Settings!$B$29:$B$40,MONTH(A6075)))))</f>
        <v/>
      </c>
    </row>
    <row r="6076" customFormat="false" ht="15" hidden="false" customHeight="false" outlineLevel="0" collapsed="false">
      <c r="H6076" s="0" t="str">
        <f aca="false">IF(B6076="","",IF(COUNTIF(Campaigns!$A$7:$A$300,B6076)&gt;0,"✓","⚠ add to Campaigns tab"))</f>
        <v/>
      </c>
      <c r="I6076" s="84" t="str">
        <f aca="false">IF(C6076="","",C6076*IF(Settings!$B$22=Settings!$C$6,1,IF(Settings!$B$22="USD",1/INDEX(Settings!$B$29:$B$40,MONTH(A6076)),INDEX(Settings!$B$29:$B$40,MONTH(A6076)))))</f>
        <v/>
      </c>
    </row>
    <row r="6077" customFormat="false" ht="15" hidden="false" customHeight="false" outlineLevel="0" collapsed="false">
      <c r="H6077" s="0" t="str">
        <f aca="false">IF(B6077="","",IF(COUNTIF(Campaigns!$A$7:$A$300,B6077)&gt;0,"✓","⚠ add to Campaigns tab"))</f>
        <v/>
      </c>
      <c r="I6077" s="84" t="str">
        <f aca="false">IF(C6077="","",C6077*IF(Settings!$B$22=Settings!$C$6,1,IF(Settings!$B$22="USD",1/INDEX(Settings!$B$29:$B$40,MONTH(A6077)),INDEX(Settings!$B$29:$B$40,MONTH(A6077)))))</f>
        <v/>
      </c>
    </row>
    <row r="6078" customFormat="false" ht="15" hidden="false" customHeight="false" outlineLevel="0" collapsed="false">
      <c r="H6078" s="0" t="str">
        <f aca="false">IF(B6078="","",IF(COUNTIF(Campaigns!$A$7:$A$300,B6078)&gt;0,"✓","⚠ add to Campaigns tab"))</f>
        <v/>
      </c>
      <c r="I6078" s="84" t="str">
        <f aca="false">IF(C6078="","",C6078*IF(Settings!$B$22=Settings!$C$6,1,IF(Settings!$B$22="USD",1/INDEX(Settings!$B$29:$B$40,MONTH(A6078)),INDEX(Settings!$B$29:$B$40,MONTH(A6078)))))</f>
        <v/>
      </c>
    </row>
    <row r="6079" customFormat="false" ht="15" hidden="false" customHeight="false" outlineLevel="0" collapsed="false">
      <c r="H6079" s="0" t="str">
        <f aca="false">IF(B6079="","",IF(COUNTIF(Campaigns!$A$7:$A$300,B6079)&gt;0,"✓","⚠ add to Campaigns tab"))</f>
        <v/>
      </c>
      <c r="I6079" s="84" t="str">
        <f aca="false">IF(C6079="","",C6079*IF(Settings!$B$22=Settings!$C$6,1,IF(Settings!$B$22="USD",1/INDEX(Settings!$B$29:$B$40,MONTH(A6079)),INDEX(Settings!$B$29:$B$40,MONTH(A6079)))))</f>
        <v/>
      </c>
    </row>
    <row r="6080" customFormat="false" ht="15" hidden="false" customHeight="false" outlineLevel="0" collapsed="false">
      <c r="H6080" s="0" t="str">
        <f aca="false">IF(B6080="","",IF(COUNTIF(Campaigns!$A$7:$A$300,B6080)&gt;0,"✓","⚠ add to Campaigns tab"))</f>
        <v/>
      </c>
      <c r="I6080" s="84" t="str">
        <f aca="false">IF(C6080="","",C6080*IF(Settings!$B$22=Settings!$C$6,1,IF(Settings!$B$22="USD",1/INDEX(Settings!$B$29:$B$40,MONTH(A6080)),INDEX(Settings!$B$29:$B$40,MONTH(A6080)))))</f>
        <v/>
      </c>
    </row>
    <row r="6081" customFormat="false" ht="15" hidden="false" customHeight="false" outlineLevel="0" collapsed="false">
      <c r="H6081" s="0" t="str">
        <f aca="false">IF(B6081="","",IF(COUNTIF(Campaigns!$A$7:$A$300,B6081)&gt;0,"✓","⚠ add to Campaigns tab"))</f>
        <v/>
      </c>
      <c r="I6081" s="84" t="str">
        <f aca="false">IF(C6081="","",C6081*IF(Settings!$B$22=Settings!$C$6,1,IF(Settings!$B$22="USD",1/INDEX(Settings!$B$29:$B$40,MONTH(A6081)),INDEX(Settings!$B$29:$B$40,MONTH(A6081)))))</f>
        <v/>
      </c>
    </row>
    <row r="6082" customFormat="false" ht="15" hidden="false" customHeight="false" outlineLevel="0" collapsed="false">
      <c r="H6082" s="0" t="str">
        <f aca="false">IF(B6082="","",IF(COUNTIF(Campaigns!$A$7:$A$300,B6082)&gt;0,"✓","⚠ add to Campaigns tab"))</f>
        <v/>
      </c>
      <c r="I6082" s="84" t="str">
        <f aca="false">IF(C6082="","",C6082*IF(Settings!$B$22=Settings!$C$6,1,IF(Settings!$B$22="USD",1/INDEX(Settings!$B$29:$B$40,MONTH(A6082)),INDEX(Settings!$B$29:$B$40,MONTH(A6082)))))</f>
        <v/>
      </c>
    </row>
    <row r="6083" customFormat="false" ht="15" hidden="false" customHeight="false" outlineLevel="0" collapsed="false">
      <c r="H6083" s="0" t="str">
        <f aca="false">IF(B6083="","",IF(COUNTIF(Campaigns!$A$7:$A$300,B6083)&gt;0,"✓","⚠ add to Campaigns tab"))</f>
        <v/>
      </c>
      <c r="I6083" s="84" t="str">
        <f aca="false">IF(C6083="","",C6083*IF(Settings!$B$22=Settings!$C$6,1,IF(Settings!$B$22="USD",1/INDEX(Settings!$B$29:$B$40,MONTH(A6083)),INDEX(Settings!$B$29:$B$40,MONTH(A6083)))))</f>
        <v/>
      </c>
    </row>
    <row r="6084" customFormat="false" ht="15" hidden="false" customHeight="false" outlineLevel="0" collapsed="false">
      <c r="H6084" s="0" t="str">
        <f aca="false">IF(B6084="","",IF(COUNTIF(Campaigns!$A$7:$A$300,B6084)&gt;0,"✓","⚠ add to Campaigns tab"))</f>
        <v/>
      </c>
      <c r="I6084" s="84" t="str">
        <f aca="false">IF(C6084="","",C6084*IF(Settings!$B$22=Settings!$C$6,1,IF(Settings!$B$22="USD",1/INDEX(Settings!$B$29:$B$40,MONTH(A6084)),INDEX(Settings!$B$29:$B$40,MONTH(A6084)))))</f>
        <v/>
      </c>
    </row>
    <row r="6085" customFormat="false" ht="15" hidden="false" customHeight="false" outlineLevel="0" collapsed="false">
      <c r="H6085" s="0" t="str">
        <f aca="false">IF(B6085="","",IF(COUNTIF(Campaigns!$A$7:$A$300,B6085)&gt;0,"✓","⚠ add to Campaigns tab"))</f>
        <v/>
      </c>
      <c r="I6085" s="84" t="str">
        <f aca="false">IF(C6085="","",C6085*IF(Settings!$B$22=Settings!$C$6,1,IF(Settings!$B$22="USD",1/INDEX(Settings!$B$29:$B$40,MONTH(A6085)),INDEX(Settings!$B$29:$B$40,MONTH(A6085)))))</f>
        <v/>
      </c>
    </row>
    <row r="6086" customFormat="false" ht="15" hidden="false" customHeight="false" outlineLevel="0" collapsed="false">
      <c r="H6086" s="0" t="str">
        <f aca="false">IF(B6086="","",IF(COUNTIF(Campaigns!$A$7:$A$300,B6086)&gt;0,"✓","⚠ add to Campaigns tab"))</f>
        <v/>
      </c>
      <c r="I6086" s="84" t="str">
        <f aca="false">IF(C6086="","",C6086*IF(Settings!$B$22=Settings!$C$6,1,IF(Settings!$B$22="USD",1/INDEX(Settings!$B$29:$B$40,MONTH(A6086)),INDEX(Settings!$B$29:$B$40,MONTH(A6086)))))</f>
        <v/>
      </c>
    </row>
    <row r="6087" customFormat="false" ht="15" hidden="false" customHeight="false" outlineLevel="0" collapsed="false">
      <c r="H6087" s="0" t="str">
        <f aca="false">IF(B6087="","",IF(COUNTIF(Campaigns!$A$7:$A$300,B6087)&gt;0,"✓","⚠ add to Campaigns tab"))</f>
        <v/>
      </c>
      <c r="I6087" s="84" t="str">
        <f aca="false">IF(C6087="","",C6087*IF(Settings!$B$22=Settings!$C$6,1,IF(Settings!$B$22="USD",1/INDEX(Settings!$B$29:$B$40,MONTH(A6087)),INDEX(Settings!$B$29:$B$40,MONTH(A6087)))))</f>
        <v/>
      </c>
    </row>
    <row r="6088" customFormat="false" ht="15" hidden="false" customHeight="false" outlineLevel="0" collapsed="false">
      <c r="H6088" s="0" t="str">
        <f aca="false">IF(B6088="","",IF(COUNTIF(Campaigns!$A$7:$A$300,B6088)&gt;0,"✓","⚠ add to Campaigns tab"))</f>
        <v/>
      </c>
      <c r="I6088" s="84" t="str">
        <f aca="false">IF(C6088="","",C6088*IF(Settings!$B$22=Settings!$C$6,1,IF(Settings!$B$22="USD",1/INDEX(Settings!$B$29:$B$40,MONTH(A6088)),INDEX(Settings!$B$29:$B$40,MONTH(A6088)))))</f>
        <v/>
      </c>
    </row>
    <row r="6089" customFormat="false" ht="15" hidden="false" customHeight="false" outlineLevel="0" collapsed="false">
      <c r="H6089" s="0" t="str">
        <f aca="false">IF(B6089="","",IF(COUNTIF(Campaigns!$A$7:$A$300,B6089)&gt;0,"✓","⚠ add to Campaigns tab"))</f>
        <v/>
      </c>
      <c r="I6089" s="84" t="str">
        <f aca="false">IF(C6089="","",C6089*IF(Settings!$B$22=Settings!$C$6,1,IF(Settings!$B$22="USD",1/INDEX(Settings!$B$29:$B$40,MONTH(A6089)),INDEX(Settings!$B$29:$B$40,MONTH(A6089)))))</f>
        <v/>
      </c>
    </row>
    <row r="6090" customFormat="false" ht="15" hidden="false" customHeight="false" outlineLevel="0" collapsed="false">
      <c r="H6090" s="0" t="str">
        <f aca="false">IF(B6090="","",IF(COUNTIF(Campaigns!$A$7:$A$300,B6090)&gt;0,"✓","⚠ add to Campaigns tab"))</f>
        <v/>
      </c>
      <c r="I6090" s="84" t="str">
        <f aca="false">IF(C6090="","",C6090*IF(Settings!$B$22=Settings!$C$6,1,IF(Settings!$B$22="USD",1/INDEX(Settings!$B$29:$B$40,MONTH(A6090)),INDEX(Settings!$B$29:$B$40,MONTH(A6090)))))</f>
        <v/>
      </c>
    </row>
    <row r="6091" customFormat="false" ht="15" hidden="false" customHeight="false" outlineLevel="0" collapsed="false">
      <c r="H6091" s="0" t="str">
        <f aca="false">IF(B6091="","",IF(COUNTIF(Campaigns!$A$7:$A$300,B6091)&gt;0,"✓","⚠ add to Campaigns tab"))</f>
        <v/>
      </c>
      <c r="I6091" s="84" t="str">
        <f aca="false">IF(C6091="","",C6091*IF(Settings!$B$22=Settings!$C$6,1,IF(Settings!$B$22="USD",1/INDEX(Settings!$B$29:$B$40,MONTH(A6091)),INDEX(Settings!$B$29:$B$40,MONTH(A6091)))))</f>
        <v/>
      </c>
    </row>
    <row r="6092" customFormat="false" ht="15" hidden="false" customHeight="false" outlineLevel="0" collapsed="false">
      <c r="H6092" s="0" t="str">
        <f aca="false">IF(B6092="","",IF(COUNTIF(Campaigns!$A$7:$A$300,B6092)&gt;0,"✓","⚠ add to Campaigns tab"))</f>
        <v/>
      </c>
      <c r="I6092" s="84" t="str">
        <f aca="false">IF(C6092="","",C6092*IF(Settings!$B$22=Settings!$C$6,1,IF(Settings!$B$22="USD",1/INDEX(Settings!$B$29:$B$40,MONTH(A6092)),INDEX(Settings!$B$29:$B$40,MONTH(A6092)))))</f>
        <v/>
      </c>
    </row>
    <row r="6093" customFormat="false" ht="15" hidden="false" customHeight="false" outlineLevel="0" collapsed="false">
      <c r="H6093" s="0" t="str">
        <f aca="false">IF(B6093="","",IF(COUNTIF(Campaigns!$A$7:$A$300,B6093)&gt;0,"✓","⚠ add to Campaigns tab"))</f>
        <v/>
      </c>
      <c r="I6093" s="84" t="str">
        <f aca="false">IF(C6093="","",C6093*IF(Settings!$B$22=Settings!$C$6,1,IF(Settings!$B$22="USD",1/INDEX(Settings!$B$29:$B$40,MONTH(A6093)),INDEX(Settings!$B$29:$B$40,MONTH(A6093)))))</f>
        <v/>
      </c>
    </row>
    <row r="6094" customFormat="false" ht="15" hidden="false" customHeight="false" outlineLevel="0" collapsed="false">
      <c r="H6094" s="0" t="str">
        <f aca="false">IF(B6094="","",IF(COUNTIF(Campaigns!$A$7:$A$300,B6094)&gt;0,"✓","⚠ add to Campaigns tab"))</f>
        <v/>
      </c>
      <c r="I6094" s="84" t="str">
        <f aca="false">IF(C6094="","",C6094*IF(Settings!$B$22=Settings!$C$6,1,IF(Settings!$B$22="USD",1/INDEX(Settings!$B$29:$B$40,MONTH(A6094)),INDEX(Settings!$B$29:$B$40,MONTH(A6094)))))</f>
        <v/>
      </c>
    </row>
    <row r="6095" customFormat="false" ht="15" hidden="false" customHeight="false" outlineLevel="0" collapsed="false">
      <c r="H6095" s="0" t="str">
        <f aca="false">IF(B6095="","",IF(COUNTIF(Campaigns!$A$7:$A$300,B6095)&gt;0,"✓","⚠ add to Campaigns tab"))</f>
        <v/>
      </c>
      <c r="I6095" s="84" t="str">
        <f aca="false">IF(C6095="","",C6095*IF(Settings!$B$22=Settings!$C$6,1,IF(Settings!$B$22="USD",1/INDEX(Settings!$B$29:$B$40,MONTH(A6095)),INDEX(Settings!$B$29:$B$40,MONTH(A6095)))))</f>
        <v/>
      </c>
    </row>
    <row r="6096" customFormat="false" ht="15" hidden="false" customHeight="false" outlineLevel="0" collapsed="false">
      <c r="H6096" s="0" t="str">
        <f aca="false">IF(B6096="","",IF(COUNTIF(Campaigns!$A$7:$A$300,B6096)&gt;0,"✓","⚠ add to Campaigns tab"))</f>
        <v/>
      </c>
      <c r="I6096" s="84" t="str">
        <f aca="false">IF(C6096="","",C6096*IF(Settings!$B$22=Settings!$C$6,1,IF(Settings!$B$22="USD",1/INDEX(Settings!$B$29:$B$40,MONTH(A6096)),INDEX(Settings!$B$29:$B$40,MONTH(A6096)))))</f>
        <v/>
      </c>
    </row>
    <row r="6097" customFormat="false" ht="15" hidden="false" customHeight="false" outlineLevel="0" collapsed="false">
      <c r="H6097" s="0" t="str">
        <f aca="false">IF(B6097="","",IF(COUNTIF(Campaigns!$A$7:$A$300,B6097)&gt;0,"✓","⚠ add to Campaigns tab"))</f>
        <v/>
      </c>
      <c r="I6097" s="84" t="str">
        <f aca="false">IF(C6097="","",C6097*IF(Settings!$B$22=Settings!$C$6,1,IF(Settings!$B$22="USD",1/INDEX(Settings!$B$29:$B$40,MONTH(A6097)),INDEX(Settings!$B$29:$B$40,MONTH(A6097)))))</f>
        <v/>
      </c>
    </row>
    <row r="6098" customFormat="false" ht="15" hidden="false" customHeight="false" outlineLevel="0" collapsed="false">
      <c r="H6098" s="0" t="str">
        <f aca="false">IF(B6098="","",IF(COUNTIF(Campaigns!$A$7:$A$300,B6098)&gt;0,"✓","⚠ add to Campaigns tab"))</f>
        <v/>
      </c>
      <c r="I6098" s="84" t="str">
        <f aca="false">IF(C6098="","",C6098*IF(Settings!$B$22=Settings!$C$6,1,IF(Settings!$B$22="USD",1/INDEX(Settings!$B$29:$B$40,MONTH(A6098)),INDEX(Settings!$B$29:$B$40,MONTH(A6098)))))</f>
        <v/>
      </c>
    </row>
    <row r="6099" customFormat="false" ht="15" hidden="false" customHeight="false" outlineLevel="0" collapsed="false">
      <c r="H6099" s="0" t="str">
        <f aca="false">IF(B6099="","",IF(COUNTIF(Campaigns!$A$7:$A$300,B6099)&gt;0,"✓","⚠ add to Campaigns tab"))</f>
        <v/>
      </c>
      <c r="I6099" s="84" t="str">
        <f aca="false">IF(C6099="","",C6099*IF(Settings!$B$22=Settings!$C$6,1,IF(Settings!$B$22="USD",1/INDEX(Settings!$B$29:$B$40,MONTH(A6099)),INDEX(Settings!$B$29:$B$40,MONTH(A6099)))))</f>
        <v/>
      </c>
    </row>
    <row r="6100" customFormat="false" ht="15" hidden="false" customHeight="false" outlineLevel="0" collapsed="false">
      <c r="H6100" s="0" t="str">
        <f aca="false">IF(B6100="","",IF(COUNTIF(Campaigns!$A$7:$A$300,B6100)&gt;0,"✓","⚠ add to Campaigns tab"))</f>
        <v/>
      </c>
      <c r="I6100" s="84" t="str">
        <f aca="false">IF(C6100="","",C6100*IF(Settings!$B$22=Settings!$C$6,1,IF(Settings!$B$22="USD",1/INDEX(Settings!$B$29:$B$40,MONTH(A6100)),INDEX(Settings!$B$29:$B$40,MONTH(A6100)))))</f>
        <v/>
      </c>
    </row>
    <row r="6101" customFormat="false" ht="15" hidden="false" customHeight="false" outlineLevel="0" collapsed="false">
      <c r="H6101" s="0" t="str">
        <f aca="false">IF(B6101="","",IF(COUNTIF(Campaigns!$A$7:$A$300,B6101)&gt;0,"✓","⚠ add to Campaigns tab"))</f>
        <v/>
      </c>
      <c r="I6101" s="84" t="str">
        <f aca="false">IF(C6101="","",C6101*IF(Settings!$B$22=Settings!$C$6,1,IF(Settings!$B$22="USD",1/INDEX(Settings!$B$29:$B$40,MONTH(A6101)),INDEX(Settings!$B$29:$B$40,MONTH(A6101)))))</f>
        <v/>
      </c>
    </row>
    <row r="6102" customFormat="false" ht="15" hidden="false" customHeight="false" outlineLevel="0" collapsed="false">
      <c r="H6102" s="0" t="str">
        <f aca="false">IF(B6102="","",IF(COUNTIF(Campaigns!$A$7:$A$300,B6102)&gt;0,"✓","⚠ add to Campaigns tab"))</f>
        <v/>
      </c>
      <c r="I6102" s="84" t="str">
        <f aca="false">IF(C6102="","",C6102*IF(Settings!$B$22=Settings!$C$6,1,IF(Settings!$B$22="USD",1/INDEX(Settings!$B$29:$B$40,MONTH(A6102)),INDEX(Settings!$B$29:$B$40,MONTH(A6102)))))</f>
        <v/>
      </c>
    </row>
    <row r="6103" customFormat="false" ht="15" hidden="false" customHeight="false" outlineLevel="0" collapsed="false">
      <c r="H6103" s="0" t="str">
        <f aca="false">IF(B6103="","",IF(COUNTIF(Campaigns!$A$7:$A$300,B6103)&gt;0,"✓","⚠ add to Campaigns tab"))</f>
        <v/>
      </c>
      <c r="I6103" s="84" t="str">
        <f aca="false">IF(C6103="","",C6103*IF(Settings!$B$22=Settings!$C$6,1,IF(Settings!$B$22="USD",1/INDEX(Settings!$B$29:$B$40,MONTH(A6103)),INDEX(Settings!$B$29:$B$40,MONTH(A6103)))))</f>
        <v/>
      </c>
    </row>
    <row r="6104" customFormat="false" ht="15" hidden="false" customHeight="false" outlineLevel="0" collapsed="false">
      <c r="H6104" s="0" t="str">
        <f aca="false">IF(B6104="","",IF(COUNTIF(Campaigns!$A$7:$A$300,B6104)&gt;0,"✓","⚠ add to Campaigns tab"))</f>
        <v/>
      </c>
      <c r="I6104" s="84" t="str">
        <f aca="false">IF(C6104="","",C6104*IF(Settings!$B$22=Settings!$C$6,1,IF(Settings!$B$22="USD",1/INDEX(Settings!$B$29:$B$40,MONTH(A6104)),INDEX(Settings!$B$29:$B$40,MONTH(A6104)))))</f>
        <v/>
      </c>
    </row>
    <row r="6105" customFormat="false" ht="15" hidden="false" customHeight="false" outlineLevel="0" collapsed="false">
      <c r="H6105" s="0" t="str">
        <f aca="false">IF(B6105="","",IF(COUNTIF(Campaigns!$A$7:$A$300,B6105)&gt;0,"✓","⚠ add to Campaigns tab"))</f>
        <v/>
      </c>
      <c r="I6105" s="84" t="str">
        <f aca="false">IF(C6105="","",C6105*IF(Settings!$B$22=Settings!$C$6,1,IF(Settings!$B$22="USD",1/INDEX(Settings!$B$29:$B$40,MONTH(A6105)),INDEX(Settings!$B$29:$B$40,MONTH(A6105)))))</f>
        <v/>
      </c>
    </row>
    <row r="6106" customFormat="false" ht="15" hidden="false" customHeight="false" outlineLevel="0" collapsed="false">
      <c r="H6106" s="0" t="str">
        <f aca="false">IF(B6106="","",IF(COUNTIF(Campaigns!$A$7:$A$300,B6106)&gt;0,"✓","⚠ add to Campaigns tab"))</f>
        <v/>
      </c>
      <c r="I6106" s="84" t="str">
        <f aca="false">IF(C6106="","",C6106*IF(Settings!$B$22=Settings!$C$6,1,IF(Settings!$B$22="USD",1/INDEX(Settings!$B$29:$B$40,MONTH(A6106)),INDEX(Settings!$B$29:$B$40,MONTH(A6106)))))</f>
        <v/>
      </c>
    </row>
    <row r="6107" customFormat="false" ht="15" hidden="false" customHeight="false" outlineLevel="0" collapsed="false">
      <c r="H6107" s="0" t="str">
        <f aca="false">IF(B6107="","",IF(COUNTIF(Campaigns!$A$7:$A$300,B6107)&gt;0,"✓","⚠ add to Campaigns tab"))</f>
        <v/>
      </c>
      <c r="I6107" s="84" t="str">
        <f aca="false">IF(C6107="","",C6107*IF(Settings!$B$22=Settings!$C$6,1,IF(Settings!$B$22="USD",1/INDEX(Settings!$B$29:$B$40,MONTH(A6107)),INDEX(Settings!$B$29:$B$40,MONTH(A6107)))))</f>
        <v/>
      </c>
    </row>
    <row r="6108" customFormat="false" ht="15" hidden="false" customHeight="false" outlineLevel="0" collapsed="false">
      <c r="H6108" s="0" t="str">
        <f aca="false">IF(B6108="","",IF(COUNTIF(Campaigns!$A$7:$A$300,B6108)&gt;0,"✓","⚠ add to Campaigns tab"))</f>
        <v/>
      </c>
      <c r="I6108" s="84" t="str">
        <f aca="false">IF(C6108="","",C6108*IF(Settings!$B$22=Settings!$C$6,1,IF(Settings!$B$22="USD",1/INDEX(Settings!$B$29:$B$40,MONTH(A6108)),INDEX(Settings!$B$29:$B$40,MONTH(A6108)))))</f>
        <v/>
      </c>
    </row>
    <row r="6109" customFormat="false" ht="15" hidden="false" customHeight="false" outlineLevel="0" collapsed="false">
      <c r="H6109" s="0" t="str">
        <f aca="false">IF(B6109="","",IF(COUNTIF(Campaigns!$A$7:$A$300,B6109)&gt;0,"✓","⚠ add to Campaigns tab"))</f>
        <v/>
      </c>
      <c r="I6109" s="84" t="str">
        <f aca="false">IF(C6109="","",C6109*IF(Settings!$B$22=Settings!$C$6,1,IF(Settings!$B$22="USD",1/INDEX(Settings!$B$29:$B$40,MONTH(A6109)),INDEX(Settings!$B$29:$B$40,MONTH(A6109)))))</f>
        <v/>
      </c>
    </row>
    <row r="6110" customFormat="false" ht="15" hidden="false" customHeight="false" outlineLevel="0" collapsed="false">
      <c r="H6110" s="0" t="str">
        <f aca="false">IF(B6110="","",IF(COUNTIF(Campaigns!$A$7:$A$300,B6110)&gt;0,"✓","⚠ add to Campaigns tab"))</f>
        <v/>
      </c>
      <c r="I6110" s="84" t="str">
        <f aca="false">IF(C6110="","",C6110*IF(Settings!$B$22=Settings!$C$6,1,IF(Settings!$B$22="USD",1/INDEX(Settings!$B$29:$B$40,MONTH(A6110)),INDEX(Settings!$B$29:$B$40,MONTH(A6110)))))</f>
        <v/>
      </c>
    </row>
    <row r="6111" customFormat="false" ht="15" hidden="false" customHeight="false" outlineLevel="0" collapsed="false">
      <c r="H6111" s="0" t="str">
        <f aca="false">IF(B6111="","",IF(COUNTIF(Campaigns!$A$7:$A$300,B6111)&gt;0,"✓","⚠ add to Campaigns tab"))</f>
        <v/>
      </c>
      <c r="I6111" s="84" t="str">
        <f aca="false">IF(C6111="","",C6111*IF(Settings!$B$22=Settings!$C$6,1,IF(Settings!$B$22="USD",1/INDEX(Settings!$B$29:$B$40,MONTH(A6111)),INDEX(Settings!$B$29:$B$40,MONTH(A6111)))))</f>
        <v/>
      </c>
    </row>
    <row r="6112" customFormat="false" ht="15" hidden="false" customHeight="false" outlineLevel="0" collapsed="false">
      <c r="H6112" s="0" t="str">
        <f aca="false">IF(B6112="","",IF(COUNTIF(Campaigns!$A$7:$A$300,B6112)&gt;0,"✓","⚠ add to Campaigns tab"))</f>
        <v/>
      </c>
      <c r="I6112" s="84" t="str">
        <f aca="false">IF(C6112="","",C6112*IF(Settings!$B$22=Settings!$C$6,1,IF(Settings!$B$22="USD",1/INDEX(Settings!$B$29:$B$40,MONTH(A6112)),INDEX(Settings!$B$29:$B$40,MONTH(A6112)))))</f>
        <v/>
      </c>
    </row>
    <row r="6113" customFormat="false" ht="15" hidden="false" customHeight="false" outlineLevel="0" collapsed="false">
      <c r="H6113" s="0" t="str">
        <f aca="false">IF(B6113="","",IF(COUNTIF(Campaigns!$A$7:$A$300,B6113)&gt;0,"✓","⚠ add to Campaigns tab"))</f>
        <v/>
      </c>
      <c r="I6113" s="84" t="str">
        <f aca="false">IF(C6113="","",C6113*IF(Settings!$B$22=Settings!$C$6,1,IF(Settings!$B$22="USD",1/INDEX(Settings!$B$29:$B$40,MONTH(A6113)),INDEX(Settings!$B$29:$B$40,MONTH(A6113)))))</f>
        <v/>
      </c>
    </row>
    <row r="6114" customFormat="false" ht="15" hidden="false" customHeight="false" outlineLevel="0" collapsed="false">
      <c r="H6114" s="0" t="str">
        <f aca="false">IF(B6114="","",IF(COUNTIF(Campaigns!$A$7:$A$300,B6114)&gt;0,"✓","⚠ add to Campaigns tab"))</f>
        <v/>
      </c>
      <c r="I6114" s="84" t="str">
        <f aca="false">IF(C6114="","",C6114*IF(Settings!$B$22=Settings!$C$6,1,IF(Settings!$B$22="USD",1/INDEX(Settings!$B$29:$B$40,MONTH(A6114)),INDEX(Settings!$B$29:$B$40,MONTH(A6114)))))</f>
        <v/>
      </c>
    </row>
    <row r="6115" customFormat="false" ht="15" hidden="false" customHeight="false" outlineLevel="0" collapsed="false">
      <c r="H6115" s="0" t="str">
        <f aca="false">IF(B6115="","",IF(COUNTIF(Campaigns!$A$7:$A$300,B6115)&gt;0,"✓","⚠ add to Campaigns tab"))</f>
        <v/>
      </c>
      <c r="I6115" s="84" t="str">
        <f aca="false">IF(C6115="","",C6115*IF(Settings!$B$22=Settings!$C$6,1,IF(Settings!$B$22="USD",1/INDEX(Settings!$B$29:$B$40,MONTH(A6115)),INDEX(Settings!$B$29:$B$40,MONTH(A6115)))))</f>
        <v/>
      </c>
    </row>
    <row r="6116" customFormat="false" ht="15" hidden="false" customHeight="false" outlineLevel="0" collapsed="false">
      <c r="H6116" s="0" t="str">
        <f aca="false">IF(B6116="","",IF(COUNTIF(Campaigns!$A$7:$A$300,B6116)&gt;0,"✓","⚠ add to Campaigns tab"))</f>
        <v/>
      </c>
      <c r="I6116" s="84" t="str">
        <f aca="false">IF(C6116="","",C6116*IF(Settings!$B$22=Settings!$C$6,1,IF(Settings!$B$22="USD",1/INDEX(Settings!$B$29:$B$40,MONTH(A6116)),INDEX(Settings!$B$29:$B$40,MONTH(A6116)))))</f>
        <v/>
      </c>
    </row>
    <row r="6117" customFormat="false" ht="15" hidden="false" customHeight="false" outlineLevel="0" collapsed="false">
      <c r="H6117" s="0" t="str">
        <f aca="false">IF(B6117="","",IF(COUNTIF(Campaigns!$A$7:$A$300,B6117)&gt;0,"✓","⚠ add to Campaigns tab"))</f>
        <v/>
      </c>
      <c r="I6117" s="84" t="str">
        <f aca="false">IF(C6117="","",C6117*IF(Settings!$B$22=Settings!$C$6,1,IF(Settings!$B$22="USD",1/INDEX(Settings!$B$29:$B$40,MONTH(A6117)),INDEX(Settings!$B$29:$B$40,MONTH(A6117)))))</f>
        <v/>
      </c>
    </row>
    <row r="6118" customFormat="false" ht="15" hidden="false" customHeight="false" outlineLevel="0" collapsed="false">
      <c r="H6118" s="0" t="str">
        <f aca="false">IF(B6118="","",IF(COUNTIF(Campaigns!$A$7:$A$300,B6118)&gt;0,"✓","⚠ add to Campaigns tab"))</f>
        <v/>
      </c>
      <c r="I6118" s="84" t="str">
        <f aca="false">IF(C6118="","",C6118*IF(Settings!$B$22=Settings!$C$6,1,IF(Settings!$B$22="USD",1/INDEX(Settings!$B$29:$B$40,MONTH(A6118)),INDEX(Settings!$B$29:$B$40,MONTH(A6118)))))</f>
        <v/>
      </c>
    </row>
    <row r="6119" customFormat="false" ht="15" hidden="false" customHeight="false" outlineLevel="0" collapsed="false">
      <c r="H6119" s="0" t="str">
        <f aca="false">IF(B6119="","",IF(COUNTIF(Campaigns!$A$7:$A$300,B6119)&gt;0,"✓","⚠ add to Campaigns tab"))</f>
        <v/>
      </c>
      <c r="I6119" s="84" t="str">
        <f aca="false">IF(C6119="","",C6119*IF(Settings!$B$22=Settings!$C$6,1,IF(Settings!$B$22="USD",1/INDEX(Settings!$B$29:$B$40,MONTH(A6119)),INDEX(Settings!$B$29:$B$40,MONTH(A6119)))))</f>
        <v/>
      </c>
    </row>
    <row r="6120" customFormat="false" ht="15" hidden="false" customHeight="false" outlineLevel="0" collapsed="false">
      <c r="H6120" s="0" t="str">
        <f aca="false">IF(B6120="","",IF(COUNTIF(Campaigns!$A$7:$A$300,B6120)&gt;0,"✓","⚠ add to Campaigns tab"))</f>
        <v/>
      </c>
      <c r="I6120" s="84" t="str">
        <f aca="false">IF(C6120="","",C6120*IF(Settings!$B$22=Settings!$C$6,1,IF(Settings!$B$22="USD",1/INDEX(Settings!$B$29:$B$40,MONTH(A6120)),INDEX(Settings!$B$29:$B$40,MONTH(A6120)))))</f>
        <v/>
      </c>
    </row>
    <row r="6121" customFormat="false" ht="15" hidden="false" customHeight="false" outlineLevel="0" collapsed="false">
      <c r="H6121" s="0" t="str">
        <f aca="false">IF(B6121="","",IF(COUNTIF(Campaigns!$A$7:$A$300,B6121)&gt;0,"✓","⚠ add to Campaigns tab"))</f>
        <v/>
      </c>
      <c r="I6121" s="84" t="str">
        <f aca="false">IF(C6121="","",C6121*IF(Settings!$B$22=Settings!$C$6,1,IF(Settings!$B$22="USD",1/INDEX(Settings!$B$29:$B$40,MONTH(A6121)),INDEX(Settings!$B$29:$B$40,MONTH(A6121)))))</f>
        <v/>
      </c>
    </row>
    <row r="6122" customFormat="false" ht="15" hidden="false" customHeight="false" outlineLevel="0" collapsed="false">
      <c r="H6122" s="0" t="str">
        <f aca="false">IF(B6122="","",IF(COUNTIF(Campaigns!$A$7:$A$300,B6122)&gt;0,"✓","⚠ add to Campaigns tab"))</f>
        <v/>
      </c>
      <c r="I6122" s="84" t="str">
        <f aca="false">IF(C6122="","",C6122*IF(Settings!$B$22=Settings!$C$6,1,IF(Settings!$B$22="USD",1/INDEX(Settings!$B$29:$B$40,MONTH(A6122)),INDEX(Settings!$B$29:$B$40,MONTH(A6122)))))</f>
        <v/>
      </c>
    </row>
    <row r="6123" customFormat="false" ht="15" hidden="false" customHeight="false" outlineLevel="0" collapsed="false">
      <c r="H6123" s="0" t="str">
        <f aca="false">IF(B6123="","",IF(COUNTIF(Campaigns!$A$7:$A$300,B6123)&gt;0,"✓","⚠ add to Campaigns tab"))</f>
        <v/>
      </c>
      <c r="I6123" s="84" t="str">
        <f aca="false">IF(C6123="","",C6123*IF(Settings!$B$22=Settings!$C$6,1,IF(Settings!$B$22="USD",1/INDEX(Settings!$B$29:$B$40,MONTH(A6123)),INDEX(Settings!$B$29:$B$40,MONTH(A6123)))))</f>
        <v/>
      </c>
    </row>
    <row r="6124" customFormat="false" ht="15" hidden="false" customHeight="false" outlineLevel="0" collapsed="false">
      <c r="H6124" s="0" t="str">
        <f aca="false">IF(B6124="","",IF(COUNTIF(Campaigns!$A$7:$A$300,B6124)&gt;0,"✓","⚠ add to Campaigns tab"))</f>
        <v/>
      </c>
      <c r="I6124" s="84" t="str">
        <f aca="false">IF(C6124="","",C6124*IF(Settings!$B$22=Settings!$C$6,1,IF(Settings!$B$22="USD",1/INDEX(Settings!$B$29:$B$40,MONTH(A6124)),INDEX(Settings!$B$29:$B$40,MONTH(A6124)))))</f>
        <v/>
      </c>
    </row>
    <row r="6125" customFormat="false" ht="15" hidden="false" customHeight="false" outlineLevel="0" collapsed="false">
      <c r="H6125" s="0" t="str">
        <f aca="false">IF(B6125="","",IF(COUNTIF(Campaigns!$A$7:$A$300,B6125)&gt;0,"✓","⚠ add to Campaigns tab"))</f>
        <v/>
      </c>
      <c r="I6125" s="84" t="str">
        <f aca="false">IF(C6125="","",C6125*IF(Settings!$B$22=Settings!$C$6,1,IF(Settings!$B$22="USD",1/INDEX(Settings!$B$29:$B$40,MONTH(A6125)),INDEX(Settings!$B$29:$B$40,MONTH(A6125)))))</f>
        <v/>
      </c>
    </row>
    <row r="6126" customFormat="false" ht="15" hidden="false" customHeight="false" outlineLevel="0" collapsed="false">
      <c r="H6126" s="0" t="str">
        <f aca="false">IF(B6126="","",IF(COUNTIF(Campaigns!$A$7:$A$300,B6126)&gt;0,"✓","⚠ add to Campaigns tab"))</f>
        <v/>
      </c>
      <c r="I6126" s="84" t="str">
        <f aca="false">IF(C6126="","",C6126*IF(Settings!$B$22=Settings!$C$6,1,IF(Settings!$B$22="USD",1/INDEX(Settings!$B$29:$B$40,MONTH(A6126)),INDEX(Settings!$B$29:$B$40,MONTH(A6126)))))</f>
        <v/>
      </c>
    </row>
    <row r="6127" customFormat="false" ht="15" hidden="false" customHeight="false" outlineLevel="0" collapsed="false">
      <c r="H6127" s="0" t="str">
        <f aca="false">IF(B6127="","",IF(COUNTIF(Campaigns!$A$7:$A$300,B6127)&gt;0,"✓","⚠ add to Campaigns tab"))</f>
        <v/>
      </c>
      <c r="I6127" s="84" t="str">
        <f aca="false">IF(C6127="","",C6127*IF(Settings!$B$22=Settings!$C$6,1,IF(Settings!$B$22="USD",1/INDEX(Settings!$B$29:$B$40,MONTH(A6127)),INDEX(Settings!$B$29:$B$40,MONTH(A6127)))))</f>
        <v/>
      </c>
    </row>
    <row r="6128" customFormat="false" ht="15" hidden="false" customHeight="false" outlineLevel="0" collapsed="false">
      <c r="H6128" s="0" t="str">
        <f aca="false">IF(B6128="","",IF(COUNTIF(Campaigns!$A$7:$A$300,B6128)&gt;0,"✓","⚠ add to Campaigns tab"))</f>
        <v/>
      </c>
      <c r="I6128" s="84" t="str">
        <f aca="false">IF(C6128="","",C6128*IF(Settings!$B$22=Settings!$C$6,1,IF(Settings!$B$22="USD",1/INDEX(Settings!$B$29:$B$40,MONTH(A6128)),INDEX(Settings!$B$29:$B$40,MONTH(A6128)))))</f>
        <v/>
      </c>
    </row>
    <row r="6129" customFormat="false" ht="15" hidden="false" customHeight="false" outlineLevel="0" collapsed="false">
      <c r="H6129" s="0" t="str">
        <f aca="false">IF(B6129="","",IF(COUNTIF(Campaigns!$A$7:$A$300,B6129)&gt;0,"✓","⚠ add to Campaigns tab"))</f>
        <v/>
      </c>
      <c r="I6129" s="84" t="str">
        <f aca="false">IF(C6129="","",C6129*IF(Settings!$B$22=Settings!$C$6,1,IF(Settings!$B$22="USD",1/INDEX(Settings!$B$29:$B$40,MONTH(A6129)),INDEX(Settings!$B$29:$B$40,MONTH(A6129)))))</f>
        <v/>
      </c>
    </row>
    <row r="6130" customFormat="false" ht="15" hidden="false" customHeight="false" outlineLevel="0" collapsed="false">
      <c r="H6130" s="0" t="str">
        <f aca="false">IF(B6130="","",IF(COUNTIF(Campaigns!$A$7:$A$300,B6130)&gt;0,"✓","⚠ add to Campaigns tab"))</f>
        <v/>
      </c>
      <c r="I6130" s="84" t="str">
        <f aca="false">IF(C6130="","",C6130*IF(Settings!$B$22=Settings!$C$6,1,IF(Settings!$B$22="USD",1/INDEX(Settings!$B$29:$B$40,MONTH(A6130)),INDEX(Settings!$B$29:$B$40,MONTH(A6130)))))</f>
        <v/>
      </c>
    </row>
    <row r="6131" customFormat="false" ht="15" hidden="false" customHeight="false" outlineLevel="0" collapsed="false">
      <c r="H6131" s="0" t="str">
        <f aca="false">IF(B6131="","",IF(COUNTIF(Campaigns!$A$7:$A$300,B6131)&gt;0,"✓","⚠ add to Campaigns tab"))</f>
        <v/>
      </c>
      <c r="I6131" s="84" t="str">
        <f aca="false">IF(C6131="","",C6131*IF(Settings!$B$22=Settings!$C$6,1,IF(Settings!$B$22="USD",1/INDEX(Settings!$B$29:$B$40,MONTH(A6131)),INDEX(Settings!$B$29:$B$40,MONTH(A6131)))))</f>
        <v/>
      </c>
    </row>
    <row r="6132" customFormat="false" ht="15" hidden="false" customHeight="false" outlineLevel="0" collapsed="false">
      <c r="H6132" s="0" t="str">
        <f aca="false">IF(B6132="","",IF(COUNTIF(Campaigns!$A$7:$A$300,B6132)&gt;0,"✓","⚠ add to Campaigns tab"))</f>
        <v/>
      </c>
      <c r="I6132" s="84" t="str">
        <f aca="false">IF(C6132="","",C6132*IF(Settings!$B$22=Settings!$C$6,1,IF(Settings!$B$22="USD",1/INDEX(Settings!$B$29:$B$40,MONTH(A6132)),INDEX(Settings!$B$29:$B$40,MONTH(A6132)))))</f>
        <v/>
      </c>
    </row>
    <row r="6133" customFormat="false" ht="15" hidden="false" customHeight="false" outlineLevel="0" collapsed="false">
      <c r="H6133" s="0" t="str">
        <f aca="false">IF(B6133="","",IF(COUNTIF(Campaigns!$A$7:$A$300,B6133)&gt;0,"✓","⚠ add to Campaigns tab"))</f>
        <v/>
      </c>
      <c r="I6133" s="84" t="str">
        <f aca="false">IF(C6133="","",C6133*IF(Settings!$B$22=Settings!$C$6,1,IF(Settings!$B$22="USD",1/INDEX(Settings!$B$29:$B$40,MONTH(A6133)),INDEX(Settings!$B$29:$B$40,MONTH(A6133)))))</f>
        <v/>
      </c>
    </row>
    <row r="6134" customFormat="false" ht="15" hidden="false" customHeight="false" outlineLevel="0" collapsed="false">
      <c r="H6134" s="0" t="str">
        <f aca="false">IF(B6134="","",IF(COUNTIF(Campaigns!$A$7:$A$300,B6134)&gt;0,"✓","⚠ add to Campaigns tab"))</f>
        <v/>
      </c>
      <c r="I6134" s="84" t="str">
        <f aca="false">IF(C6134="","",C6134*IF(Settings!$B$22=Settings!$C$6,1,IF(Settings!$B$22="USD",1/INDEX(Settings!$B$29:$B$40,MONTH(A6134)),INDEX(Settings!$B$29:$B$40,MONTH(A6134)))))</f>
        <v/>
      </c>
    </row>
    <row r="6135" customFormat="false" ht="15" hidden="false" customHeight="false" outlineLevel="0" collapsed="false">
      <c r="H6135" s="0" t="str">
        <f aca="false">IF(B6135="","",IF(COUNTIF(Campaigns!$A$7:$A$300,B6135)&gt;0,"✓","⚠ add to Campaigns tab"))</f>
        <v/>
      </c>
      <c r="I6135" s="84" t="str">
        <f aca="false">IF(C6135="","",C6135*IF(Settings!$B$22=Settings!$C$6,1,IF(Settings!$B$22="USD",1/INDEX(Settings!$B$29:$B$40,MONTH(A6135)),INDEX(Settings!$B$29:$B$40,MONTH(A6135)))))</f>
        <v/>
      </c>
    </row>
    <row r="6136" customFormat="false" ht="15" hidden="false" customHeight="false" outlineLevel="0" collapsed="false">
      <c r="H6136" s="0" t="str">
        <f aca="false">IF(B6136="","",IF(COUNTIF(Campaigns!$A$7:$A$300,B6136)&gt;0,"✓","⚠ add to Campaigns tab"))</f>
        <v/>
      </c>
      <c r="I6136" s="84" t="str">
        <f aca="false">IF(C6136="","",C6136*IF(Settings!$B$22=Settings!$C$6,1,IF(Settings!$B$22="USD",1/INDEX(Settings!$B$29:$B$40,MONTH(A6136)),INDEX(Settings!$B$29:$B$40,MONTH(A6136)))))</f>
        <v/>
      </c>
    </row>
    <row r="6137" customFormat="false" ht="15" hidden="false" customHeight="false" outlineLevel="0" collapsed="false">
      <c r="H6137" s="0" t="str">
        <f aca="false">IF(B6137="","",IF(COUNTIF(Campaigns!$A$7:$A$300,B6137)&gt;0,"✓","⚠ add to Campaigns tab"))</f>
        <v/>
      </c>
      <c r="I6137" s="84" t="str">
        <f aca="false">IF(C6137="","",C6137*IF(Settings!$B$22=Settings!$C$6,1,IF(Settings!$B$22="USD",1/INDEX(Settings!$B$29:$B$40,MONTH(A6137)),INDEX(Settings!$B$29:$B$40,MONTH(A6137)))))</f>
        <v/>
      </c>
    </row>
    <row r="6138" customFormat="false" ht="15" hidden="false" customHeight="false" outlineLevel="0" collapsed="false">
      <c r="H6138" s="0" t="str">
        <f aca="false">IF(B6138="","",IF(COUNTIF(Campaigns!$A$7:$A$300,B6138)&gt;0,"✓","⚠ add to Campaigns tab"))</f>
        <v/>
      </c>
      <c r="I6138" s="84" t="str">
        <f aca="false">IF(C6138="","",C6138*IF(Settings!$B$22=Settings!$C$6,1,IF(Settings!$B$22="USD",1/INDEX(Settings!$B$29:$B$40,MONTH(A6138)),INDEX(Settings!$B$29:$B$40,MONTH(A6138)))))</f>
        <v/>
      </c>
    </row>
    <row r="6139" customFormat="false" ht="15" hidden="false" customHeight="false" outlineLevel="0" collapsed="false">
      <c r="H6139" s="0" t="str">
        <f aca="false">IF(B6139="","",IF(COUNTIF(Campaigns!$A$7:$A$300,B6139)&gt;0,"✓","⚠ add to Campaigns tab"))</f>
        <v/>
      </c>
      <c r="I6139" s="84" t="str">
        <f aca="false">IF(C6139="","",C6139*IF(Settings!$B$22=Settings!$C$6,1,IF(Settings!$B$22="USD",1/INDEX(Settings!$B$29:$B$40,MONTH(A6139)),INDEX(Settings!$B$29:$B$40,MONTH(A6139)))))</f>
        <v/>
      </c>
    </row>
    <row r="6140" customFormat="false" ht="15" hidden="false" customHeight="false" outlineLevel="0" collapsed="false">
      <c r="H6140" s="0" t="str">
        <f aca="false">IF(B6140="","",IF(COUNTIF(Campaigns!$A$7:$A$300,B6140)&gt;0,"✓","⚠ add to Campaigns tab"))</f>
        <v/>
      </c>
      <c r="I6140" s="84" t="str">
        <f aca="false">IF(C6140="","",C6140*IF(Settings!$B$22=Settings!$C$6,1,IF(Settings!$B$22="USD",1/INDEX(Settings!$B$29:$B$40,MONTH(A6140)),INDEX(Settings!$B$29:$B$40,MONTH(A6140)))))</f>
        <v/>
      </c>
    </row>
    <row r="6141" customFormat="false" ht="15" hidden="false" customHeight="false" outlineLevel="0" collapsed="false">
      <c r="H6141" s="0" t="str">
        <f aca="false">IF(B6141="","",IF(COUNTIF(Campaigns!$A$7:$A$300,B6141)&gt;0,"✓","⚠ add to Campaigns tab"))</f>
        <v/>
      </c>
      <c r="I6141" s="84" t="str">
        <f aca="false">IF(C6141="","",C6141*IF(Settings!$B$22=Settings!$C$6,1,IF(Settings!$B$22="USD",1/INDEX(Settings!$B$29:$B$40,MONTH(A6141)),INDEX(Settings!$B$29:$B$40,MONTH(A6141)))))</f>
        <v/>
      </c>
    </row>
    <row r="6142" customFormat="false" ht="15" hidden="false" customHeight="false" outlineLevel="0" collapsed="false">
      <c r="H6142" s="0" t="str">
        <f aca="false">IF(B6142="","",IF(COUNTIF(Campaigns!$A$7:$A$300,B6142)&gt;0,"✓","⚠ add to Campaigns tab"))</f>
        <v/>
      </c>
      <c r="I6142" s="84" t="str">
        <f aca="false">IF(C6142="","",C6142*IF(Settings!$B$22=Settings!$C$6,1,IF(Settings!$B$22="USD",1/INDEX(Settings!$B$29:$B$40,MONTH(A6142)),INDEX(Settings!$B$29:$B$40,MONTH(A6142)))))</f>
        <v/>
      </c>
    </row>
    <row r="6143" customFormat="false" ht="15" hidden="false" customHeight="false" outlineLevel="0" collapsed="false">
      <c r="H6143" s="0" t="str">
        <f aca="false">IF(B6143="","",IF(COUNTIF(Campaigns!$A$7:$A$300,B6143)&gt;0,"✓","⚠ add to Campaigns tab"))</f>
        <v/>
      </c>
      <c r="I6143" s="84" t="str">
        <f aca="false">IF(C6143="","",C6143*IF(Settings!$B$22=Settings!$C$6,1,IF(Settings!$B$22="USD",1/INDEX(Settings!$B$29:$B$40,MONTH(A6143)),INDEX(Settings!$B$29:$B$40,MONTH(A6143)))))</f>
        <v/>
      </c>
    </row>
    <row r="6144" customFormat="false" ht="15" hidden="false" customHeight="false" outlineLevel="0" collapsed="false">
      <c r="H6144" s="0" t="str">
        <f aca="false">IF(B6144="","",IF(COUNTIF(Campaigns!$A$7:$A$300,B6144)&gt;0,"✓","⚠ add to Campaigns tab"))</f>
        <v/>
      </c>
      <c r="I6144" s="84" t="str">
        <f aca="false">IF(C6144="","",C6144*IF(Settings!$B$22=Settings!$C$6,1,IF(Settings!$B$22="USD",1/INDEX(Settings!$B$29:$B$40,MONTH(A6144)),INDEX(Settings!$B$29:$B$40,MONTH(A6144)))))</f>
        <v/>
      </c>
    </row>
    <row r="6145" customFormat="false" ht="15" hidden="false" customHeight="false" outlineLevel="0" collapsed="false">
      <c r="H6145" s="0" t="str">
        <f aca="false">IF(B6145="","",IF(COUNTIF(Campaigns!$A$7:$A$300,B6145)&gt;0,"✓","⚠ add to Campaigns tab"))</f>
        <v/>
      </c>
      <c r="I6145" s="84" t="str">
        <f aca="false">IF(C6145="","",C6145*IF(Settings!$B$22=Settings!$C$6,1,IF(Settings!$B$22="USD",1/INDEX(Settings!$B$29:$B$40,MONTH(A6145)),INDEX(Settings!$B$29:$B$40,MONTH(A6145)))))</f>
        <v/>
      </c>
    </row>
    <row r="6146" customFormat="false" ht="15" hidden="false" customHeight="false" outlineLevel="0" collapsed="false">
      <c r="H6146" s="0" t="str">
        <f aca="false">IF(B6146="","",IF(COUNTIF(Campaigns!$A$7:$A$300,B6146)&gt;0,"✓","⚠ add to Campaigns tab"))</f>
        <v/>
      </c>
      <c r="I6146" s="84" t="str">
        <f aca="false">IF(C6146="","",C6146*IF(Settings!$B$22=Settings!$C$6,1,IF(Settings!$B$22="USD",1/INDEX(Settings!$B$29:$B$40,MONTH(A6146)),INDEX(Settings!$B$29:$B$40,MONTH(A6146)))))</f>
        <v/>
      </c>
    </row>
    <row r="6147" customFormat="false" ht="15" hidden="false" customHeight="false" outlineLevel="0" collapsed="false">
      <c r="H6147" s="0" t="str">
        <f aca="false">IF(B6147="","",IF(COUNTIF(Campaigns!$A$7:$A$300,B6147)&gt;0,"✓","⚠ add to Campaigns tab"))</f>
        <v/>
      </c>
      <c r="I6147" s="84" t="str">
        <f aca="false">IF(C6147="","",C6147*IF(Settings!$B$22=Settings!$C$6,1,IF(Settings!$B$22="USD",1/INDEX(Settings!$B$29:$B$40,MONTH(A6147)),INDEX(Settings!$B$29:$B$40,MONTH(A6147)))))</f>
        <v/>
      </c>
    </row>
    <row r="6148" customFormat="false" ht="15" hidden="false" customHeight="false" outlineLevel="0" collapsed="false">
      <c r="H6148" s="0" t="str">
        <f aca="false">IF(B6148="","",IF(COUNTIF(Campaigns!$A$7:$A$300,B6148)&gt;0,"✓","⚠ add to Campaigns tab"))</f>
        <v/>
      </c>
      <c r="I6148" s="84" t="str">
        <f aca="false">IF(C6148="","",C6148*IF(Settings!$B$22=Settings!$C$6,1,IF(Settings!$B$22="USD",1/INDEX(Settings!$B$29:$B$40,MONTH(A6148)),INDEX(Settings!$B$29:$B$40,MONTH(A6148)))))</f>
        <v/>
      </c>
    </row>
    <row r="6149" customFormat="false" ht="15" hidden="false" customHeight="false" outlineLevel="0" collapsed="false">
      <c r="H6149" s="0" t="str">
        <f aca="false">IF(B6149="","",IF(COUNTIF(Campaigns!$A$7:$A$300,B6149)&gt;0,"✓","⚠ add to Campaigns tab"))</f>
        <v/>
      </c>
      <c r="I6149" s="84" t="str">
        <f aca="false">IF(C6149="","",C6149*IF(Settings!$B$22=Settings!$C$6,1,IF(Settings!$B$22="USD",1/INDEX(Settings!$B$29:$B$40,MONTH(A6149)),INDEX(Settings!$B$29:$B$40,MONTH(A6149)))))</f>
        <v/>
      </c>
    </row>
    <row r="6150" customFormat="false" ht="15" hidden="false" customHeight="false" outlineLevel="0" collapsed="false">
      <c r="H6150" s="0" t="str">
        <f aca="false">IF(B6150="","",IF(COUNTIF(Campaigns!$A$7:$A$300,B6150)&gt;0,"✓","⚠ add to Campaigns tab"))</f>
        <v/>
      </c>
      <c r="I6150" s="84" t="str">
        <f aca="false">IF(C6150="","",C6150*IF(Settings!$B$22=Settings!$C$6,1,IF(Settings!$B$22="USD",1/INDEX(Settings!$B$29:$B$40,MONTH(A6150)),INDEX(Settings!$B$29:$B$40,MONTH(A6150)))))</f>
        <v/>
      </c>
    </row>
    <row r="6151" customFormat="false" ht="15" hidden="false" customHeight="false" outlineLevel="0" collapsed="false">
      <c r="H6151" s="0" t="str">
        <f aca="false">IF(B6151="","",IF(COUNTIF(Campaigns!$A$7:$A$300,B6151)&gt;0,"✓","⚠ add to Campaigns tab"))</f>
        <v/>
      </c>
      <c r="I6151" s="84" t="str">
        <f aca="false">IF(C6151="","",C6151*IF(Settings!$B$22=Settings!$C$6,1,IF(Settings!$B$22="USD",1/INDEX(Settings!$B$29:$B$40,MONTH(A6151)),INDEX(Settings!$B$29:$B$40,MONTH(A6151)))))</f>
        <v/>
      </c>
    </row>
    <row r="6152" customFormat="false" ht="15" hidden="false" customHeight="false" outlineLevel="0" collapsed="false">
      <c r="H6152" s="0" t="str">
        <f aca="false">IF(B6152="","",IF(COUNTIF(Campaigns!$A$7:$A$300,B6152)&gt;0,"✓","⚠ add to Campaigns tab"))</f>
        <v/>
      </c>
      <c r="I6152" s="84" t="str">
        <f aca="false">IF(C6152="","",C6152*IF(Settings!$B$22=Settings!$C$6,1,IF(Settings!$B$22="USD",1/INDEX(Settings!$B$29:$B$40,MONTH(A6152)),INDEX(Settings!$B$29:$B$40,MONTH(A6152)))))</f>
        <v/>
      </c>
    </row>
    <row r="6153" customFormat="false" ht="15" hidden="false" customHeight="false" outlineLevel="0" collapsed="false">
      <c r="H6153" s="0" t="str">
        <f aca="false">IF(B6153="","",IF(COUNTIF(Campaigns!$A$7:$A$300,B6153)&gt;0,"✓","⚠ add to Campaigns tab"))</f>
        <v/>
      </c>
      <c r="I6153" s="84" t="str">
        <f aca="false">IF(C6153="","",C6153*IF(Settings!$B$22=Settings!$C$6,1,IF(Settings!$B$22="USD",1/INDEX(Settings!$B$29:$B$40,MONTH(A6153)),INDEX(Settings!$B$29:$B$40,MONTH(A6153)))))</f>
        <v/>
      </c>
    </row>
    <row r="6154" customFormat="false" ht="15" hidden="false" customHeight="false" outlineLevel="0" collapsed="false">
      <c r="H6154" s="0" t="str">
        <f aca="false">IF(B6154="","",IF(COUNTIF(Campaigns!$A$7:$A$300,B6154)&gt;0,"✓","⚠ add to Campaigns tab"))</f>
        <v/>
      </c>
      <c r="I6154" s="84" t="str">
        <f aca="false">IF(C6154="","",C6154*IF(Settings!$B$22=Settings!$C$6,1,IF(Settings!$B$22="USD",1/INDEX(Settings!$B$29:$B$40,MONTH(A6154)),INDEX(Settings!$B$29:$B$40,MONTH(A6154)))))</f>
        <v/>
      </c>
    </row>
    <row r="6155" customFormat="false" ht="15" hidden="false" customHeight="false" outlineLevel="0" collapsed="false">
      <c r="H6155" s="0" t="str">
        <f aca="false">IF(B6155="","",IF(COUNTIF(Campaigns!$A$7:$A$300,B6155)&gt;0,"✓","⚠ add to Campaigns tab"))</f>
        <v/>
      </c>
      <c r="I6155" s="84" t="str">
        <f aca="false">IF(C6155="","",C6155*IF(Settings!$B$22=Settings!$C$6,1,IF(Settings!$B$22="USD",1/INDEX(Settings!$B$29:$B$40,MONTH(A6155)),INDEX(Settings!$B$29:$B$40,MONTH(A6155)))))</f>
        <v/>
      </c>
    </row>
    <row r="6156" customFormat="false" ht="15" hidden="false" customHeight="false" outlineLevel="0" collapsed="false">
      <c r="H6156" s="0" t="str">
        <f aca="false">IF(B6156="","",IF(COUNTIF(Campaigns!$A$7:$A$300,B6156)&gt;0,"✓","⚠ add to Campaigns tab"))</f>
        <v/>
      </c>
      <c r="I6156" s="84" t="str">
        <f aca="false">IF(C6156="","",C6156*IF(Settings!$B$22=Settings!$C$6,1,IF(Settings!$B$22="USD",1/INDEX(Settings!$B$29:$B$40,MONTH(A6156)),INDEX(Settings!$B$29:$B$40,MONTH(A6156)))))</f>
        <v/>
      </c>
    </row>
    <row r="6157" customFormat="false" ht="15" hidden="false" customHeight="false" outlineLevel="0" collapsed="false">
      <c r="H6157" s="0" t="str">
        <f aca="false">IF(B6157="","",IF(COUNTIF(Campaigns!$A$7:$A$300,B6157)&gt;0,"✓","⚠ add to Campaigns tab"))</f>
        <v/>
      </c>
      <c r="I6157" s="84" t="str">
        <f aca="false">IF(C6157="","",C6157*IF(Settings!$B$22=Settings!$C$6,1,IF(Settings!$B$22="USD",1/INDEX(Settings!$B$29:$B$40,MONTH(A6157)),INDEX(Settings!$B$29:$B$40,MONTH(A6157)))))</f>
        <v/>
      </c>
    </row>
    <row r="6158" customFormat="false" ht="15" hidden="false" customHeight="false" outlineLevel="0" collapsed="false">
      <c r="H6158" s="0" t="str">
        <f aca="false">IF(B6158="","",IF(COUNTIF(Campaigns!$A$7:$A$300,B6158)&gt;0,"✓","⚠ add to Campaigns tab"))</f>
        <v/>
      </c>
      <c r="I6158" s="84" t="str">
        <f aca="false">IF(C6158="","",C6158*IF(Settings!$B$22=Settings!$C$6,1,IF(Settings!$B$22="USD",1/INDEX(Settings!$B$29:$B$40,MONTH(A6158)),INDEX(Settings!$B$29:$B$40,MONTH(A6158)))))</f>
        <v/>
      </c>
    </row>
    <row r="6159" customFormat="false" ht="15" hidden="false" customHeight="false" outlineLevel="0" collapsed="false">
      <c r="H6159" s="0" t="str">
        <f aca="false">IF(B6159="","",IF(COUNTIF(Campaigns!$A$7:$A$300,B6159)&gt;0,"✓","⚠ add to Campaigns tab"))</f>
        <v/>
      </c>
      <c r="I6159" s="84" t="str">
        <f aca="false">IF(C6159="","",C6159*IF(Settings!$B$22=Settings!$C$6,1,IF(Settings!$B$22="USD",1/INDEX(Settings!$B$29:$B$40,MONTH(A6159)),INDEX(Settings!$B$29:$B$40,MONTH(A6159)))))</f>
        <v/>
      </c>
    </row>
    <row r="6160" customFormat="false" ht="15" hidden="false" customHeight="false" outlineLevel="0" collapsed="false">
      <c r="H6160" s="0" t="str">
        <f aca="false">IF(B6160="","",IF(COUNTIF(Campaigns!$A$7:$A$300,B6160)&gt;0,"✓","⚠ add to Campaigns tab"))</f>
        <v/>
      </c>
      <c r="I6160" s="84" t="str">
        <f aca="false">IF(C6160="","",C6160*IF(Settings!$B$22=Settings!$C$6,1,IF(Settings!$B$22="USD",1/INDEX(Settings!$B$29:$B$40,MONTH(A6160)),INDEX(Settings!$B$29:$B$40,MONTH(A6160)))))</f>
        <v/>
      </c>
    </row>
    <row r="6161" customFormat="false" ht="15" hidden="false" customHeight="false" outlineLevel="0" collapsed="false">
      <c r="H6161" s="0" t="str">
        <f aca="false">IF(B6161="","",IF(COUNTIF(Campaigns!$A$7:$A$300,B6161)&gt;0,"✓","⚠ add to Campaigns tab"))</f>
        <v/>
      </c>
      <c r="I6161" s="84" t="str">
        <f aca="false">IF(C6161="","",C6161*IF(Settings!$B$22=Settings!$C$6,1,IF(Settings!$B$22="USD",1/INDEX(Settings!$B$29:$B$40,MONTH(A6161)),INDEX(Settings!$B$29:$B$40,MONTH(A6161)))))</f>
        <v/>
      </c>
    </row>
    <row r="6162" customFormat="false" ht="15" hidden="false" customHeight="false" outlineLevel="0" collapsed="false">
      <c r="H6162" s="0" t="str">
        <f aca="false">IF(B6162="","",IF(COUNTIF(Campaigns!$A$7:$A$300,B6162)&gt;0,"✓","⚠ add to Campaigns tab"))</f>
        <v/>
      </c>
      <c r="I6162" s="84" t="str">
        <f aca="false">IF(C6162="","",C6162*IF(Settings!$B$22=Settings!$C$6,1,IF(Settings!$B$22="USD",1/INDEX(Settings!$B$29:$B$40,MONTH(A6162)),INDEX(Settings!$B$29:$B$40,MONTH(A6162)))))</f>
        <v/>
      </c>
    </row>
    <row r="6163" customFormat="false" ht="15" hidden="false" customHeight="false" outlineLevel="0" collapsed="false">
      <c r="H6163" s="0" t="str">
        <f aca="false">IF(B6163="","",IF(COUNTIF(Campaigns!$A$7:$A$300,B6163)&gt;0,"✓","⚠ add to Campaigns tab"))</f>
        <v/>
      </c>
      <c r="I6163" s="84" t="str">
        <f aca="false">IF(C6163="","",C6163*IF(Settings!$B$22=Settings!$C$6,1,IF(Settings!$B$22="USD",1/INDEX(Settings!$B$29:$B$40,MONTH(A6163)),INDEX(Settings!$B$29:$B$40,MONTH(A6163)))))</f>
        <v/>
      </c>
    </row>
    <row r="6164" customFormat="false" ht="15" hidden="false" customHeight="false" outlineLevel="0" collapsed="false">
      <c r="H6164" s="0" t="str">
        <f aca="false">IF(B6164="","",IF(COUNTIF(Campaigns!$A$7:$A$300,B6164)&gt;0,"✓","⚠ add to Campaigns tab"))</f>
        <v/>
      </c>
      <c r="I6164" s="84" t="str">
        <f aca="false">IF(C6164="","",C6164*IF(Settings!$B$22=Settings!$C$6,1,IF(Settings!$B$22="USD",1/INDEX(Settings!$B$29:$B$40,MONTH(A6164)),INDEX(Settings!$B$29:$B$40,MONTH(A6164)))))</f>
        <v/>
      </c>
    </row>
    <row r="6165" customFormat="false" ht="15" hidden="false" customHeight="false" outlineLevel="0" collapsed="false">
      <c r="H6165" s="0" t="str">
        <f aca="false">IF(B6165="","",IF(COUNTIF(Campaigns!$A$7:$A$300,B6165)&gt;0,"✓","⚠ add to Campaigns tab"))</f>
        <v/>
      </c>
      <c r="I6165" s="84" t="str">
        <f aca="false">IF(C6165="","",C6165*IF(Settings!$B$22=Settings!$C$6,1,IF(Settings!$B$22="USD",1/INDEX(Settings!$B$29:$B$40,MONTH(A6165)),INDEX(Settings!$B$29:$B$40,MONTH(A6165)))))</f>
        <v/>
      </c>
    </row>
    <row r="6166" customFormat="false" ht="15" hidden="false" customHeight="false" outlineLevel="0" collapsed="false">
      <c r="H6166" s="0" t="str">
        <f aca="false">IF(B6166="","",IF(COUNTIF(Campaigns!$A$7:$A$300,B6166)&gt;0,"✓","⚠ add to Campaigns tab"))</f>
        <v/>
      </c>
      <c r="I6166" s="84" t="str">
        <f aca="false">IF(C6166="","",C6166*IF(Settings!$B$22=Settings!$C$6,1,IF(Settings!$B$22="USD",1/INDEX(Settings!$B$29:$B$40,MONTH(A6166)),INDEX(Settings!$B$29:$B$40,MONTH(A6166)))))</f>
        <v/>
      </c>
    </row>
    <row r="6167" customFormat="false" ht="15" hidden="false" customHeight="false" outlineLevel="0" collapsed="false">
      <c r="H6167" s="0" t="str">
        <f aca="false">IF(B6167="","",IF(COUNTIF(Campaigns!$A$7:$A$300,B6167)&gt;0,"✓","⚠ add to Campaigns tab"))</f>
        <v/>
      </c>
      <c r="I6167" s="84" t="str">
        <f aca="false">IF(C6167="","",C6167*IF(Settings!$B$22=Settings!$C$6,1,IF(Settings!$B$22="USD",1/INDEX(Settings!$B$29:$B$40,MONTH(A6167)),INDEX(Settings!$B$29:$B$40,MONTH(A6167)))))</f>
        <v/>
      </c>
    </row>
    <row r="6168" customFormat="false" ht="15" hidden="false" customHeight="false" outlineLevel="0" collapsed="false">
      <c r="H6168" s="0" t="str">
        <f aca="false">IF(B6168="","",IF(COUNTIF(Campaigns!$A$7:$A$300,B6168)&gt;0,"✓","⚠ add to Campaigns tab"))</f>
        <v/>
      </c>
      <c r="I6168" s="84" t="str">
        <f aca="false">IF(C6168="","",C6168*IF(Settings!$B$22=Settings!$C$6,1,IF(Settings!$B$22="USD",1/INDEX(Settings!$B$29:$B$40,MONTH(A6168)),INDEX(Settings!$B$29:$B$40,MONTH(A6168)))))</f>
        <v/>
      </c>
    </row>
    <row r="6169" customFormat="false" ht="15" hidden="false" customHeight="false" outlineLevel="0" collapsed="false">
      <c r="H6169" s="0" t="str">
        <f aca="false">IF(B6169="","",IF(COUNTIF(Campaigns!$A$7:$A$300,B6169)&gt;0,"✓","⚠ add to Campaigns tab"))</f>
        <v/>
      </c>
      <c r="I6169" s="84" t="str">
        <f aca="false">IF(C6169="","",C6169*IF(Settings!$B$22=Settings!$C$6,1,IF(Settings!$B$22="USD",1/INDEX(Settings!$B$29:$B$40,MONTH(A6169)),INDEX(Settings!$B$29:$B$40,MONTH(A6169)))))</f>
        <v/>
      </c>
    </row>
    <row r="6170" customFormat="false" ht="15" hidden="false" customHeight="false" outlineLevel="0" collapsed="false">
      <c r="H6170" s="0" t="str">
        <f aca="false">IF(B6170="","",IF(COUNTIF(Campaigns!$A$7:$A$300,B6170)&gt;0,"✓","⚠ add to Campaigns tab"))</f>
        <v/>
      </c>
      <c r="I6170" s="84" t="str">
        <f aca="false">IF(C6170="","",C6170*IF(Settings!$B$22=Settings!$C$6,1,IF(Settings!$B$22="USD",1/INDEX(Settings!$B$29:$B$40,MONTH(A6170)),INDEX(Settings!$B$29:$B$40,MONTH(A6170)))))</f>
        <v/>
      </c>
    </row>
    <row r="6171" customFormat="false" ht="15" hidden="false" customHeight="false" outlineLevel="0" collapsed="false">
      <c r="H6171" s="0" t="str">
        <f aca="false">IF(B6171="","",IF(COUNTIF(Campaigns!$A$7:$A$300,B6171)&gt;0,"✓","⚠ add to Campaigns tab"))</f>
        <v/>
      </c>
      <c r="I6171" s="84" t="str">
        <f aca="false">IF(C6171="","",C6171*IF(Settings!$B$22=Settings!$C$6,1,IF(Settings!$B$22="USD",1/INDEX(Settings!$B$29:$B$40,MONTH(A6171)),INDEX(Settings!$B$29:$B$40,MONTH(A6171)))))</f>
        <v/>
      </c>
    </row>
    <row r="6172" customFormat="false" ht="15" hidden="false" customHeight="false" outlineLevel="0" collapsed="false">
      <c r="H6172" s="0" t="str">
        <f aca="false">IF(B6172="","",IF(COUNTIF(Campaigns!$A$7:$A$300,B6172)&gt;0,"✓","⚠ add to Campaigns tab"))</f>
        <v/>
      </c>
      <c r="I6172" s="84" t="str">
        <f aca="false">IF(C6172="","",C6172*IF(Settings!$B$22=Settings!$C$6,1,IF(Settings!$B$22="USD",1/INDEX(Settings!$B$29:$B$40,MONTH(A6172)),INDEX(Settings!$B$29:$B$40,MONTH(A6172)))))</f>
        <v/>
      </c>
    </row>
    <row r="6173" customFormat="false" ht="15" hidden="false" customHeight="false" outlineLevel="0" collapsed="false">
      <c r="H6173" s="0" t="str">
        <f aca="false">IF(B6173="","",IF(COUNTIF(Campaigns!$A$7:$A$300,B6173)&gt;0,"✓","⚠ add to Campaigns tab"))</f>
        <v/>
      </c>
      <c r="I6173" s="84" t="str">
        <f aca="false">IF(C6173="","",C6173*IF(Settings!$B$22=Settings!$C$6,1,IF(Settings!$B$22="USD",1/INDEX(Settings!$B$29:$B$40,MONTH(A6173)),INDEX(Settings!$B$29:$B$40,MONTH(A6173)))))</f>
        <v/>
      </c>
    </row>
    <row r="6174" customFormat="false" ht="15" hidden="false" customHeight="false" outlineLevel="0" collapsed="false">
      <c r="H6174" s="0" t="str">
        <f aca="false">IF(B6174="","",IF(COUNTIF(Campaigns!$A$7:$A$300,B6174)&gt;0,"✓","⚠ add to Campaigns tab"))</f>
        <v/>
      </c>
      <c r="I6174" s="84" t="str">
        <f aca="false">IF(C6174="","",C6174*IF(Settings!$B$22=Settings!$C$6,1,IF(Settings!$B$22="USD",1/INDEX(Settings!$B$29:$B$40,MONTH(A6174)),INDEX(Settings!$B$29:$B$40,MONTH(A6174)))))</f>
        <v/>
      </c>
    </row>
    <row r="6175" customFormat="false" ht="15" hidden="false" customHeight="false" outlineLevel="0" collapsed="false">
      <c r="H6175" s="0" t="str">
        <f aca="false">IF(B6175="","",IF(COUNTIF(Campaigns!$A$7:$A$300,B6175)&gt;0,"✓","⚠ add to Campaigns tab"))</f>
        <v/>
      </c>
      <c r="I6175" s="84" t="str">
        <f aca="false">IF(C6175="","",C6175*IF(Settings!$B$22=Settings!$C$6,1,IF(Settings!$B$22="USD",1/INDEX(Settings!$B$29:$B$40,MONTH(A6175)),INDEX(Settings!$B$29:$B$40,MONTH(A6175)))))</f>
        <v/>
      </c>
    </row>
    <row r="6176" customFormat="false" ht="15" hidden="false" customHeight="false" outlineLevel="0" collapsed="false">
      <c r="H6176" s="0" t="str">
        <f aca="false">IF(B6176="","",IF(COUNTIF(Campaigns!$A$7:$A$300,B6176)&gt;0,"✓","⚠ add to Campaigns tab"))</f>
        <v/>
      </c>
      <c r="I6176" s="84" t="str">
        <f aca="false">IF(C6176="","",C6176*IF(Settings!$B$22=Settings!$C$6,1,IF(Settings!$B$22="USD",1/INDEX(Settings!$B$29:$B$40,MONTH(A6176)),INDEX(Settings!$B$29:$B$40,MONTH(A6176)))))</f>
        <v/>
      </c>
    </row>
    <row r="6177" customFormat="false" ht="15" hidden="false" customHeight="false" outlineLevel="0" collapsed="false">
      <c r="H6177" s="0" t="str">
        <f aca="false">IF(B6177="","",IF(COUNTIF(Campaigns!$A$7:$A$300,B6177)&gt;0,"✓","⚠ add to Campaigns tab"))</f>
        <v/>
      </c>
      <c r="I6177" s="84" t="str">
        <f aca="false">IF(C6177="","",C6177*IF(Settings!$B$22=Settings!$C$6,1,IF(Settings!$B$22="USD",1/INDEX(Settings!$B$29:$B$40,MONTH(A6177)),INDEX(Settings!$B$29:$B$40,MONTH(A6177)))))</f>
        <v/>
      </c>
    </row>
    <row r="6178" customFormat="false" ht="15" hidden="false" customHeight="false" outlineLevel="0" collapsed="false">
      <c r="H6178" s="0" t="str">
        <f aca="false">IF(B6178="","",IF(COUNTIF(Campaigns!$A$7:$A$300,B6178)&gt;0,"✓","⚠ add to Campaigns tab"))</f>
        <v/>
      </c>
      <c r="I6178" s="84" t="str">
        <f aca="false">IF(C6178="","",C6178*IF(Settings!$B$22=Settings!$C$6,1,IF(Settings!$B$22="USD",1/INDEX(Settings!$B$29:$B$40,MONTH(A6178)),INDEX(Settings!$B$29:$B$40,MONTH(A6178)))))</f>
        <v/>
      </c>
    </row>
    <row r="6179" customFormat="false" ht="15" hidden="false" customHeight="false" outlineLevel="0" collapsed="false">
      <c r="H6179" s="0" t="str">
        <f aca="false">IF(B6179="","",IF(COUNTIF(Campaigns!$A$7:$A$300,B6179)&gt;0,"✓","⚠ add to Campaigns tab"))</f>
        <v/>
      </c>
      <c r="I6179" s="84" t="str">
        <f aca="false">IF(C6179="","",C6179*IF(Settings!$B$22=Settings!$C$6,1,IF(Settings!$B$22="USD",1/INDEX(Settings!$B$29:$B$40,MONTH(A6179)),INDEX(Settings!$B$29:$B$40,MONTH(A6179)))))</f>
        <v/>
      </c>
    </row>
    <row r="6180" customFormat="false" ht="15" hidden="false" customHeight="false" outlineLevel="0" collapsed="false">
      <c r="H6180" s="0" t="str">
        <f aca="false">IF(B6180="","",IF(COUNTIF(Campaigns!$A$7:$A$300,B6180)&gt;0,"✓","⚠ add to Campaigns tab"))</f>
        <v/>
      </c>
      <c r="I6180" s="84" t="str">
        <f aca="false">IF(C6180="","",C6180*IF(Settings!$B$22=Settings!$C$6,1,IF(Settings!$B$22="USD",1/INDEX(Settings!$B$29:$B$40,MONTH(A6180)),INDEX(Settings!$B$29:$B$40,MONTH(A6180)))))</f>
        <v/>
      </c>
    </row>
    <row r="6181" customFormat="false" ht="15" hidden="false" customHeight="false" outlineLevel="0" collapsed="false">
      <c r="H6181" s="0" t="str">
        <f aca="false">IF(B6181="","",IF(COUNTIF(Campaigns!$A$7:$A$300,B6181)&gt;0,"✓","⚠ add to Campaigns tab"))</f>
        <v/>
      </c>
      <c r="I6181" s="84" t="str">
        <f aca="false">IF(C6181="","",C6181*IF(Settings!$B$22=Settings!$C$6,1,IF(Settings!$B$22="USD",1/INDEX(Settings!$B$29:$B$40,MONTH(A6181)),INDEX(Settings!$B$29:$B$40,MONTH(A6181)))))</f>
        <v/>
      </c>
    </row>
    <row r="6182" customFormat="false" ht="15" hidden="false" customHeight="false" outlineLevel="0" collapsed="false">
      <c r="H6182" s="0" t="str">
        <f aca="false">IF(B6182="","",IF(COUNTIF(Campaigns!$A$7:$A$300,B6182)&gt;0,"✓","⚠ add to Campaigns tab"))</f>
        <v/>
      </c>
      <c r="I6182" s="84" t="str">
        <f aca="false">IF(C6182="","",C6182*IF(Settings!$B$22=Settings!$C$6,1,IF(Settings!$B$22="USD",1/INDEX(Settings!$B$29:$B$40,MONTH(A6182)),INDEX(Settings!$B$29:$B$40,MONTH(A6182)))))</f>
        <v/>
      </c>
    </row>
    <row r="6183" customFormat="false" ht="15" hidden="false" customHeight="false" outlineLevel="0" collapsed="false">
      <c r="H6183" s="0" t="str">
        <f aca="false">IF(B6183="","",IF(COUNTIF(Campaigns!$A$7:$A$300,B6183)&gt;0,"✓","⚠ add to Campaigns tab"))</f>
        <v/>
      </c>
      <c r="I6183" s="84" t="str">
        <f aca="false">IF(C6183="","",C6183*IF(Settings!$B$22=Settings!$C$6,1,IF(Settings!$B$22="USD",1/INDEX(Settings!$B$29:$B$40,MONTH(A6183)),INDEX(Settings!$B$29:$B$40,MONTH(A6183)))))</f>
        <v/>
      </c>
    </row>
    <row r="6184" customFormat="false" ht="15" hidden="false" customHeight="false" outlineLevel="0" collapsed="false">
      <c r="H6184" s="0" t="str">
        <f aca="false">IF(B6184="","",IF(COUNTIF(Campaigns!$A$7:$A$300,B6184)&gt;0,"✓","⚠ add to Campaigns tab"))</f>
        <v/>
      </c>
      <c r="I6184" s="84" t="str">
        <f aca="false">IF(C6184="","",C6184*IF(Settings!$B$22=Settings!$C$6,1,IF(Settings!$B$22="USD",1/INDEX(Settings!$B$29:$B$40,MONTH(A6184)),INDEX(Settings!$B$29:$B$40,MONTH(A6184)))))</f>
        <v/>
      </c>
    </row>
    <row r="6185" customFormat="false" ht="15" hidden="false" customHeight="false" outlineLevel="0" collapsed="false">
      <c r="H6185" s="0" t="str">
        <f aca="false">IF(B6185="","",IF(COUNTIF(Campaigns!$A$7:$A$300,B6185)&gt;0,"✓","⚠ add to Campaigns tab"))</f>
        <v/>
      </c>
      <c r="I6185" s="84" t="str">
        <f aca="false">IF(C6185="","",C6185*IF(Settings!$B$22=Settings!$C$6,1,IF(Settings!$B$22="USD",1/INDEX(Settings!$B$29:$B$40,MONTH(A6185)),INDEX(Settings!$B$29:$B$40,MONTH(A6185)))))</f>
        <v/>
      </c>
    </row>
    <row r="6186" customFormat="false" ht="15" hidden="false" customHeight="false" outlineLevel="0" collapsed="false">
      <c r="H6186" s="0" t="str">
        <f aca="false">IF(B6186="","",IF(COUNTIF(Campaigns!$A$7:$A$300,B6186)&gt;0,"✓","⚠ add to Campaigns tab"))</f>
        <v/>
      </c>
      <c r="I6186" s="84" t="str">
        <f aca="false">IF(C6186="","",C6186*IF(Settings!$B$22=Settings!$C$6,1,IF(Settings!$B$22="USD",1/INDEX(Settings!$B$29:$B$40,MONTH(A6186)),INDEX(Settings!$B$29:$B$40,MONTH(A6186)))))</f>
        <v/>
      </c>
    </row>
    <row r="6187" customFormat="false" ht="15" hidden="false" customHeight="false" outlineLevel="0" collapsed="false">
      <c r="H6187" s="0" t="str">
        <f aca="false">IF(B6187="","",IF(COUNTIF(Campaigns!$A$7:$A$300,B6187)&gt;0,"✓","⚠ add to Campaigns tab"))</f>
        <v/>
      </c>
      <c r="I6187" s="84" t="str">
        <f aca="false">IF(C6187="","",C6187*IF(Settings!$B$22=Settings!$C$6,1,IF(Settings!$B$22="USD",1/INDEX(Settings!$B$29:$B$40,MONTH(A6187)),INDEX(Settings!$B$29:$B$40,MONTH(A6187)))))</f>
        <v/>
      </c>
    </row>
    <row r="6188" customFormat="false" ht="15" hidden="false" customHeight="false" outlineLevel="0" collapsed="false">
      <c r="H6188" s="0" t="str">
        <f aca="false">IF(B6188="","",IF(COUNTIF(Campaigns!$A$7:$A$300,B6188)&gt;0,"✓","⚠ add to Campaigns tab"))</f>
        <v/>
      </c>
      <c r="I6188" s="84" t="str">
        <f aca="false">IF(C6188="","",C6188*IF(Settings!$B$22=Settings!$C$6,1,IF(Settings!$B$22="USD",1/INDEX(Settings!$B$29:$B$40,MONTH(A6188)),INDEX(Settings!$B$29:$B$40,MONTH(A6188)))))</f>
        <v/>
      </c>
    </row>
    <row r="6189" customFormat="false" ht="15" hidden="false" customHeight="false" outlineLevel="0" collapsed="false">
      <c r="H6189" s="0" t="str">
        <f aca="false">IF(B6189="","",IF(COUNTIF(Campaigns!$A$7:$A$300,B6189)&gt;0,"✓","⚠ add to Campaigns tab"))</f>
        <v/>
      </c>
      <c r="I6189" s="84" t="str">
        <f aca="false">IF(C6189="","",C6189*IF(Settings!$B$22=Settings!$C$6,1,IF(Settings!$B$22="USD",1/INDEX(Settings!$B$29:$B$40,MONTH(A6189)),INDEX(Settings!$B$29:$B$40,MONTH(A6189)))))</f>
        <v/>
      </c>
    </row>
    <row r="6190" customFormat="false" ht="15" hidden="false" customHeight="false" outlineLevel="0" collapsed="false">
      <c r="H6190" s="0" t="str">
        <f aca="false">IF(B6190="","",IF(COUNTIF(Campaigns!$A$7:$A$300,B6190)&gt;0,"✓","⚠ add to Campaigns tab"))</f>
        <v/>
      </c>
      <c r="I6190" s="84" t="str">
        <f aca="false">IF(C6190="","",C6190*IF(Settings!$B$22=Settings!$C$6,1,IF(Settings!$B$22="USD",1/INDEX(Settings!$B$29:$B$40,MONTH(A6190)),INDEX(Settings!$B$29:$B$40,MONTH(A6190)))))</f>
        <v/>
      </c>
    </row>
    <row r="6191" customFormat="false" ht="15" hidden="false" customHeight="false" outlineLevel="0" collapsed="false">
      <c r="H6191" s="0" t="str">
        <f aca="false">IF(B6191="","",IF(COUNTIF(Campaigns!$A$7:$A$300,B6191)&gt;0,"✓","⚠ add to Campaigns tab"))</f>
        <v/>
      </c>
      <c r="I6191" s="84" t="str">
        <f aca="false">IF(C6191="","",C6191*IF(Settings!$B$22=Settings!$C$6,1,IF(Settings!$B$22="USD",1/INDEX(Settings!$B$29:$B$40,MONTH(A6191)),INDEX(Settings!$B$29:$B$40,MONTH(A6191)))))</f>
        <v/>
      </c>
    </row>
    <row r="6192" customFormat="false" ht="15" hidden="false" customHeight="false" outlineLevel="0" collapsed="false">
      <c r="H6192" s="0" t="str">
        <f aca="false">IF(B6192="","",IF(COUNTIF(Campaigns!$A$7:$A$300,B6192)&gt;0,"✓","⚠ add to Campaigns tab"))</f>
        <v/>
      </c>
      <c r="I6192" s="84" t="str">
        <f aca="false">IF(C6192="","",C6192*IF(Settings!$B$22=Settings!$C$6,1,IF(Settings!$B$22="USD",1/INDEX(Settings!$B$29:$B$40,MONTH(A6192)),INDEX(Settings!$B$29:$B$40,MONTH(A6192)))))</f>
        <v/>
      </c>
    </row>
    <row r="6193" customFormat="false" ht="15" hidden="false" customHeight="false" outlineLevel="0" collapsed="false">
      <c r="H6193" s="0" t="str">
        <f aca="false">IF(B6193="","",IF(COUNTIF(Campaigns!$A$7:$A$300,B6193)&gt;0,"✓","⚠ add to Campaigns tab"))</f>
        <v/>
      </c>
      <c r="I6193" s="84" t="str">
        <f aca="false">IF(C6193="","",C6193*IF(Settings!$B$22=Settings!$C$6,1,IF(Settings!$B$22="USD",1/INDEX(Settings!$B$29:$B$40,MONTH(A6193)),INDEX(Settings!$B$29:$B$40,MONTH(A6193)))))</f>
        <v/>
      </c>
    </row>
    <row r="6194" customFormat="false" ht="15" hidden="false" customHeight="false" outlineLevel="0" collapsed="false">
      <c r="H6194" s="0" t="str">
        <f aca="false">IF(B6194="","",IF(COUNTIF(Campaigns!$A$7:$A$300,B6194)&gt;0,"✓","⚠ add to Campaigns tab"))</f>
        <v/>
      </c>
      <c r="I6194" s="84" t="str">
        <f aca="false">IF(C6194="","",C6194*IF(Settings!$B$22=Settings!$C$6,1,IF(Settings!$B$22="USD",1/INDEX(Settings!$B$29:$B$40,MONTH(A6194)),INDEX(Settings!$B$29:$B$40,MONTH(A6194)))))</f>
        <v/>
      </c>
    </row>
    <row r="6195" customFormat="false" ht="15" hidden="false" customHeight="false" outlineLevel="0" collapsed="false">
      <c r="H6195" s="0" t="str">
        <f aca="false">IF(B6195="","",IF(COUNTIF(Campaigns!$A$7:$A$300,B6195)&gt;0,"✓","⚠ add to Campaigns tab"))</f>
        <v/>
      </c>
      <c r="I6195" s="84" t="str">
        <f aca="false">IF(C6195="","",C6195*IF(Settings!$B$22=Settings!$C$6,1,IF(Settings!$B$22="USD",1/INDEX(Settings!$B$29:$B$40,MONTH(A6195)),INDEX(Settings!$B$29:$B$40,MONTH(A6195)))))</f>
        <v/>
      </c>
    </row>
    <row r="6196" customFormat="false" ht="15" hidden="false" customHeight="false" outlineLevel="0" collapsed="false">
      <c r="H6196" s="0" t="str">
        <f aca="false">IF(B6196="","",IF(COUNTIF(Campaigns!$A$7:$A$300,B6196)&gt;0,"✓","⚠ add to Campaigns tab"))</f>
        <v/>
      </c>
      <c r="I6196" s="84" t="str">
        <f aca="false">IF(C6196="","",C6196*IF(Settings!$B$22=Settings!$C$6,1,IF(Settings!$B$22="USD",1/INDEX(Settings!$B$29:$B$40,MONTH(A6196)),INDEX(Settings!$B$29:$B$40,MONTH(A6196)))))</f>
        <v/>
      </c>
    </row>
    <row r="6197" customFormat="false" ht="15" hidden="false" customHeight="false" outlineLevel="0" collapsed="false">
      <c r="H6197" s="0" t="str">
        <f aca="false">IF(B6197="","",IF(COUNTIF(Campaigns!$A$7:$A$300,B6197)&gt;0,"✓","⚠ add to Campaigns tab"))</f>
        <v/>
      </c>
      <c r="I6197" s="84" t="str">
        <f aca="false">IF(C6197="","",C6197*IF(Settings!$B$22=Settings!$C$6,1,IF(Settings!$B$22="USD",1/INDEX(Settings!$B$29:$B$40,MONTH(A6197)),INDEX(Settings!$B$29:$B$40,MONTH(A6197)))))</f>
        <v/>
      </c>
    </row>
    <row r="6198" customFormat="false" ht="15" hidden="false" customHeight="false" outlineLevel="0" collapsed="false">
      <c r="H6198" s="0" t="str">
        <f aca="false">IF(B6198="","",IF(COUNTIF(Campaigns!$A$7:$A$300,B6198)&gt;0,"✓","⚠ add to Campaigns tab"))</f>
        <v/>
      </c>
      <c r="I6198" s="84" t="str">
        <f aca="false">IF(C6198="","",C6198*IF(Settings!$B$22=Settings!$C$6,1,IF(Settings!$B$22="USD",1/INDEX(Settings!$B$29:$B$40,MONTH(A6198)),INDEX(Settings!$B$29:$B$40,MONTH(A6198)))))</f>
        <v/>
      </c>
    </row>
    <row r="6199" customFormat="false" ht="15" hidden="false" customHeight="false" outlineLevel="0" collapsed="false">
      <c r="H6199" s="0" t="str">
        <f aca="false">IF(B6199="","",IF(COUNTIF(Campaigns!$A$7:$A$300,B6199)&gt;0,"✓","⚠ add to Campaigns tab"))</f>
        <v/>
      </c>
      <c r="I6199" s="84" t="str">
        <f aca="false">IF(C6199="","",C6199*IF(Settings!$B$22=Settings!$C$6,1,IF(Settings!$B$22="USD",1/INDEX(Settings!$B$29:$B$40,MONTH(A6199)),INDEX(Settings!$B$29:$B$40,MONTH(A6199)))))</f>
        <v/>
      </c>
    </row>
    <row r="6200" customFormat="false" ht="15" hidden="false" customHeight="false" outlineLevel="0" collapsed="false">
      <c r="H6200" s="0" t="str">
        <f aca="false">IF(B6200="","",IF(COUNTIF(Campaigns!$A$7:$A$300,B6200)&gt;0,"✓","⚠ add to Campaigns tab"))</f>
        <v/>
      </c>
      <c r="I6200" s="84" t="str">
        <f aca="false">IF(C6200="","",C6200*IF(Settings!$B$22=Settings!$C$6,1,IF(Settings!$B$22="USD",1/INDEX(Settings!$B$29:$B$40,MONTH(A6200)),INDEX(Settings!$B$29:$B$40,MONTH(A6200)))))</f>
        <v/>
      </c>
    </row>
    <row r="6201" customFormat="false" ht="15" hidden="false" customHeight="false" outlineLevel="0" collapsed="false">
      <c r="H6201" s="0" t="str">
        <f aca="false">IF(B6201="","",IF(COUNTIF(Campaigns!$A$7:$A$300,B6201)&gt;0,"✓","⚠ add to Campaigns tab"))</f>
        <v/>
      </c>
      <c r="I6201" s="84" t="str">
        <f aca="false">IF(C6201="","",C6201*IF(Settings!$B$22=Settings!$C$6,1,IF(Settings!$B$22="USD",1/INDEX(Settings!$B$29:$B$40,MONTH(A6201)),INDEX(Settings!$B$29:$B$40,MONTH(A6201)))))</f>
        <v/>
      </c>
    </row>
    <row r="6202" customFormat="false" ht="15" hidden="false" customHeight="false" outlineLevel="0" collapsed="false">
      <c r="H6202" s="0" t="str">
        <f aca="false">IF(B6202="","",IF(COUNTIF(Campaigns!$A$7:$A$300,B6202)&gt;0,"✓","⚠ add to Campaigns tab"))</f>
        <v/>
      </c>
      <c r="I6202" s="84" t="str">
        <f aca="false">IF(C6202="","",C6202*IF(Settings!$B$22=Settings!$C$6,1,IF(Settings!$B$22="USD",1/INDEX(Settings!$B$29:$B$40,MONTH(A6202)),INDEX(Settings!$B$29:$B$40,MONTH(A6202)))))</f>
        <v/>
      </c>
    </row>
    <row r="6203" customFormat="false" ht="15" hidden="false" customHeight="false" outlineLevel="0" collapsed="false">
      <c r="H6203" s="0" t="str">
        <f aca="false">IF(B6203="","",IF(COUNTIF(Campaigns!$A$7:$A$300,B6203)&gt;0,"✓","⚠ add to Campaigns tab"))</f>
        <v/>
      </c>
      <c r="I6203" s="84" t="str">
        <f aca="false">IF(C6203="","",C6203*IF(Settings!$B$22=Settings!$C$6,1,IF(Settings!$B$22="USD",1/INDEX(Settings!$B$29:$B$40,MONTH(A6203)),INDEX(Settings!$B$29:$B$40,MONTH(A6203)))))</f>
        <v/>
      </c>
    </row>
    <row r="6204" customFormat="false" ht="15" hidden="false" customHeight="false" outlineLevel="0" collapsed="false">
      <c r="H6204" s="0" t="str">
        <f aca="false">IF(B6204="","",IF(COUNTIF(Campaigns!$A$7:$A$300,B6204)&gt;0,"✓","⚠ add to Campaigns tab"))</f>
        <v/>
      </c>
      <c r="I6204" s="84" t="str">
        <f aca="false">IF(C6204="","",C6204*IF(Settings!$B$22=Settings!$C$6,1,IF(Settings!$B$22="USD",1/INDEX(Settings!$B$29:$B$40,MONTH(A6204)),INDEX(Settings!$B$29:$B$40,MONTH(A6204)))))</f>
        <v/>
      </c>
    </row>
    <row r="6205" customFormat="false" ht="15" hidden="false" customHeight="false" outlineLevel="0" collapsed="false">
      <c r="H6205" s="0" t="str">
        <f aca="false">IF(B6205="","",IF(COUNTIF(Campaigns!$A$7:$A$300,B6205)&gt;0,"✓","⚠ add to Campaigns tab"))</f>
        <v/>
      </c>
      <c r="I6205" s="84" t="str">
        <f aca="false">IF(C6205="","",C6205*IF(Settings!$B$22=Settings!$C$6,1,IF(Settings!$B$22="USD",1/INDEX(Settings!$B$29:$B$40,MONTH(A6205)),INDEX(Settings!$B$29:$B$40,MONTH(A6205)))))</f>
        <v/>
      </c>
    </row>
    <row r="6206" customFormat="false" ht="15" hidden="false" customHeight="false" outlineLevel="0" collapsed="false">
      <c r="H6206" s="0" t="str">
        <f aca="false">IF(B6206="","",IF(COUNTIF(Campaigns!$A$7:$A$300,B6206)&gt;0,"✓","⚠ add to Campaigns tab"))</f>
        <v/>
      </c>
      <c r="I6206" s="84" t="str">
        <f aca="false">IF(C6206="","",C6206*IF(Settings!$B$22=Settings!$C$6,1,IF(Settings!$B$22="USD",1/INDEX(Settings!$B$29:$B$40,MONTH(A6206)),INDEX(Settings!$B$29:$B$40,MONTH(A6206)))))</f>
        <v/>
      </c>
    </row>
    <row r="6207" customFormat="false" ht="15" hidden="false" customHeight="false" outlineLevel="0" collapsed="false">
      <c r="H6207" s="0" t="str">
        <f aca="false">IF(B6207="","",IF(COUNTIF(Campaigns!$A$7:$A$300,B6207)&gt;0,"✓","⚠ add to Campaigns tab"))</f>
        <v/>
      </c>
      <c r="I6207" s="84" t="str">
        <f aca="false">IF(C6207="","",C6207*IF(Settings!$B$22=Settings!$C$6,1,IF(Settings!$B$22="USD",1/INDEX(Settings!$B$29:$B$40,MONTH(A6207)),INDEX(Settings!$B$29:$B$40,MONTH(A6207)))))</f>
        <v/>
      </c>
    </row>
    <row r="6208" customFormat="false" ht="15" hidden="false" customHeight="false" outlineLevel="0" collapsed="false">
      <c r="H6208" s="0" t="str">
        <f aca="false">IF(B6208="","",IF(COUNTIF(Campaigns!$A$7:$A$300,B6208)&gt;0,"✓","⚠ add to Campaigns tab"))</f>
        <v/>
      </c>
      <c r="I6208" s="84" t="str">
        <f aca="false">IF(C6208="","",C6208*IF(Settings!$B$22=Settings!$C$6,1,IF(Settings!$B$22="USD",1/INDEX(Settings!$B$29:$B$40,MONTH(A6208)),INDEX(Settings!$B$29:$B$40,MONTH(A6208)))))</f>
        <v/>
      </c>
    </row>
    <row r="6209" customFormat="false" ht="15" hidden="false" customHeight="false" outlineLevel="0" collapsed="false">
      <c r="H6209" s="0" t="str">
        <f aca="false">IF(B6209="","",IF(COUNTIF(Campaigns!$A$7:$A$300,B6209)&gt;0,"✓","⚠ add to Campaigns tab"))</f>
        <v/>
      </c>
      <c r="I6209" s="84" t="str">
        <f aca="false">IF(C6209="","",C6209*IF(Settings!$B$22=Settings!$C$6,1,IF(Settings!$B$22="USD",1/INDEX(Settings!$B$29:$B$40,MONTH(A6209)),INDEX(Settings!$B$29:$B$40,MONTH(A6209)))))</f>
        <v/>
      </c>
    </row>
    <row r="6210" customFormat="false" ht="15" hidden="false" customHeight="false" outlineLevel="0" collapsed="false">
      <c r="H6210" s="0" t="str">
        <f aca="false">IF(B6210="","",IF(COUNTIF(Campaigns!$A$7:$A$300,B6210)&gt;0,"✓","⚠ add to Campaigns tab"))</f>
        <v/>
      </c>
      <c r="I6210" s="84" t="str">
        <f aca="false">IF(C6210="","",C6210*IF(Settings!$B$22=Settings!$C$6,1,IF(Settings!$B$22="USD",1/INDEX(Settings!$B$29:$B$40,MONTH(A6210)),INDEX(Settings!$B$29:$B$40,MONTH(A6210)))))</f>
        <v/>
      </c>
    </row>
    <row r="6211" customFormat="false" ht="15" hidden="false" customHeight="false" outlineLevel="0" collapsed="false">
      <c r="H6211" s="0" t="str">
        <f aca="false">IF(B6211="","",IF(COUNTIF(Campaigns!$A$7:$A$300,B6211)&gt;0,"✓","⚠ add to Campaigns tab"))</f>
        <v/>
      </c>
      <c r="I6211" s="84" t="str">
        <f aca="false">IF(C6211="","",C6211*IF(Settings!$B$22=Settings!$C$6,1,IF(Settings!$B$22="USD",1/INDEX(Settings!$B$29:$B$40,MONTH(A6211)),INDEX(Settings!$B$29:$B$40,MONTH(A6211)))))</f>
        <v/>
      </c>
    </row>
    <row r="6212" customFormat="false" ht="15" hidden="false" customHeight="false" outlineLevel="0" collapsed="false">
      <c r="H6212" s="0" t="str">
        <f aca="false">IF(B6212="","",IF(COUNTIF(Campaigns!$A$7:$A$300,B6212)&gt;0,"✓","⚠ add to Campaigns tab"))</f>
        <v/>
      </c>
      <c r="I6212" s="84" t="str">
        <f aca="false">IF(C6212="","",C6212*IF(Settings!$B$22=Settings!$C$6,1,IF(Settings!$B$22="USD",1/INDEX(Settings!$B$29:$B$40,MONTH(A6212)),INDEX(Settings!$B$29:$B$40,MONTH(A6212)))))</f>
        <v/>
      </c>
    </row>
    <row r="6213" customFormat="false" ht="15" hidden="false" customHeight="false" outlineLevel="0" collapsed="false">
      <c r="H6213" s="0" t="str">
        <f aca="false">IF(B6213="","",IF(COUNTIF(Campaigns!$A$7:$A$300,B6213)&gt;0,"✓","⚠ add to Campaigns tab"))</f>
        <v/>
      </c>
      <c r="I6213" s="84" t="str">
        <f aca="false">IF(C6213="","",C6213*IF(Settings!$B$22=Settings!$C$6,1,IF(Settings!$B$22="USD",1/INDEX(Settings!$B$29:$B$40,MONTH(A6213)),INDEX(Settings!$B$29:$B$40,MONTH(A6213)))))</f>
        <v/>
      </c>
    </row>
    <row r="6214" customFormat="false" ht="15" hidden="false" customHeight="false" outlineLevel="0" collapsed="false">
      <c r="H6214" s="0" t="str">
        <f aca="false">IF(B6214="","",IF(COUNTIF(Campaigns!$A$7:$A$300,B6214)&gt;0,"✓","⚠ add to Campaigns tab"))</f>
        <v/>
      </c>
      <c r="I6214" s="84" t="str">
        <f aca="false">IF(C6214="","",C6214*IF(Settings!$B$22=Settings!$C$6,1,IF(Settings!$B$22="USD",1/INDEX(Settings!$B$29:$B$40,MONTH(A6214)),INDEX(Settings!$B$29:$B$40,MONTH(A6214)))))</f>
        <v/>
      </c>
    </row>
    <row r="6215" customFormat="false" ht="15" hidden="false" customHeight="false" outlineLevel="0" collapsed="false">
      <c r="H6215" s="0" t="str">
        <f aca="false">IF(B6215="","",IF(COUNTIF(Campaigns!$A$7:$A$300,B6215)&gt;0,"✓","⚠ add to Campaigns tab"))</f>
        <v/>
      </c>
      <c r="I6215" s="84" t="str">
        <f aca="false">IF(C6215="","",C6215*IF(Settings!$B$22=Settings!$C$6,1,IF(Settings!$B$22="USD",1/INDEX(Settings!$B$29:$B$40,MONTH(A6215)),INDEX(Settings!$B$29:$B$40,MONTH(A6215)))))</f>
        <v/>
      </c>
    </row>
    <row r="6216" customFormat="false" ht="15" hidden="false" customHeight="false" outlineLevel="0" collapsed="false">
      <c r="H6216" s="0" t="str">
        <f aca="false">IF(B6216="","",IF(COUNTIF(Campaigns!$A$7:$A$300,B6216)&gt;0,"✓","⚠ add to Campaigns tab"))</f>
        <v/>
      </c>
      <c r="I6216" s="84" t="str">
        <f aca="false">IF(C6216="","",C6216*IF(Settings!$B$22=Settings!$C$6,1,IF(Settings!$B$22="USD",1/INDEX(Settings!$B$29:$B$40,MONTH(A6216)),INDEX(Settings!$B$29:$B$40,MONTH(A6216)))))</f>
        <v/>
      </c>
    </row>
    <row r="6217" customFormat="false" ht="15" hidden="false" customHeight="false" outlineLevel="0" collapsed="false">
      <c r="H6217" s="0" t="str">
        <f aca="false">IF(B6217="","",IF(COUNTIF(Campaigns!$A$7:$A$300,B6217)&gt;0,"✓","⚠ add to Campaigns tab"))</f>
        <v/>
      </c>
      <c r="I6217" s="84" t="str">
        <f aca="false">IF(C6217="","",C6217*IF(Settings!$B$22=Settings!$C$6,1,IF(Settings!$B$22="USD",1/INDEX(Settings!$B$29:$B$40,MONTH(A6217)),INDEX(Settings!$B$29:$B$40,MONTH(A6217)))))</f>
        <v/>
      </c>
    </row>
    <row r="6218" customFormat="false" ht="15" hidden="false" customHeight="false" outlineLevel="0" collapsed="false">
      <c r="H6218" s="0" t="str">
        <f aca="false">IF(B6218="","",IF(COUNTIF(Campaigns!$A$7:$A$300,B6218)&gt;0,"✓","⚠ add to Campaigns tab"))</f>
        <v/>
      </c>
      <c r="I6218" s="84" t="str">
        <f aca="false">IF(C6218="","",C6218*IF(Settings!$B$22=Settings!$C$6,1,IF(Settings!$B$22="USD",1/INDEX(Settings!$B$29:$B$40,MONTH(A6218)),INDEX(Settings!$B$29:$B$40,MONTH(A6218)))))</f>
        <v/>
      </c>
    </row>
    <row r="6219" customFormat="false" ht="15" hidden="false" customHeight="false" outlineLevel="0" collapsed="false">
      <c r="H6219" s="0" t="str">
        <f aca="false">IF(B6219="","",IF(COUNTIF(Campaigns!$A$7:$A$300,B6219)&gt;0,"✓","⚠ add to Campaigns tab"))</f>
        <v/>
      </c>
      <c r="I6219" s="84" t="str">
        <f aca="false">IF(C6219="","",C6219*IF(Settings!$B$22=Settings!$C$6,1,IF(Settings!$B$22="USD",1/INDEX(Settings!$B$29:$B$40,MONTH(A6219)),INDEX(Settings!$B$29:$B$40,MONTH(A6219)))))</f>
        <v/>
      </c>
    </row>
    <row r="6220" customFormat="false" ht="15" hidden="false" customHeight="false" outlineLevel="0" collapsed="false">
      <c r="H6220" s="0" t="str">
        <f aca="false">IF(B6220="","",IF(COUNTIF(Campaigns!$A$7:$A$300,B6220)&gt;0,"✓","⚠ add to Campaigns tab"))</f>
        <v/>
      </c>
      <c r="I6220" s="84" t="str">
        <f aca="false">IF(C6220="","",C6220*IF(Settings!$B$22=Settings!$C$6,1,IF(Settings!$B$22="USD",1/INDEX(Settings!$B$29:$B$40,MONTH(A6220)),INDEX(Settings!$B$29:$B$40,MONTH(A6220)))))</f>
        <v/>
      </c>
    </row>
    <row r="6221" customFormat="false" ht="15" hidden="false" customHeight="false" outlineLevel="0" collapsed="false">
      <c r="H6221" s="0" t="str">
        <f aca="false">IF(B6221="","",IF(COUNTIF(Campaigns!$A$7:$A$300,B6221)&gt;0,"✓","⚠ add to Campaigns tab"))</f>
        <v/>
      </c>
      <c r="I6221" s="84" t="str">
        <f aca="false">IF(C6221="","",C6221*IF(Settings!$B$22=Settings!$C$6,1,IF(Settings!$B$22="USD",1/INDEX(Settings!$B$29:$B$40,MONTH(A6221)),INDEX(Settings!$B$29:$B$40,MONTH(A6221)))))</f>
        <v/>
      </c>
    </row>
    <row r="6222" customFormat="false" ht="15" hidden="false" customHeight="false" outlineLevel="0" collapsed="false">
      <c r="H6222" s="0" t="str">
        <f aca="false">IF(B6222="","",IF(COUNTIF(Campaigns!$A$7:$A$300,B6222)&gt;0,"✓","⚠ add to Campaigns tab"))</f>
        <v/>
      </c>
      <c r="I6222" s="84" t="str">
        <f aca="false">IF(C6222="","",C6222*IF(Settings!$B$22=Settings!$C$6,1,IF(Settings!$B$22="USD",1/INDEX(Settings!$B$29:$B$40,MONTH(A6222)),INDEX(Settings!$B$29:$B$40,MONTH(A6222)))))</f>
        <v/>
      </c>
    </row>
    <row r="6223" customFormat="false" ht="15" hidden="false" customHeight="false" outlineLevel="0" collapsed="false">
      <c r="H6223" s="0" t="str">
        <f aca="false">IF(B6223="","",IF(COUNTIF(Campaigns!$A$7:$A$300,B6223)&gt;0,"✓","⚠ add to Campaigns tab"))</f>
        <v/>
      </c>
      <c r="I6223" s="84" t="str">
        <f aca="false">IF(C6223="","",C6223*IF(Settings!$B$22=Settings!$C$6,1,IF(Settings!$B$22="USD",1/INDEX(Settings!$B$29:$B$40,MONTH(A6223)),INDEX(Settings!$B$29:$B$40,MONTH(A6223)))))</f>
        <v/>
      </c>
    </row>
    <row r="6224" customFormat="false" ht="15" hidden="false" customHeight="false" outlineLevel="0" collapsed="false">
      <c r="H6224" s="0" t="str">
        <f aca="false">IF(B6224="","",IF(COUNTIF(Campaigns!$A$7:$A$300,B6224)&gt;0,"✓","⚠ add to Campaigns tab"))</f>
        <v/>
      </c>
      <c r="I6224" s="84" t="str">
        <f aca="false">IF(C6224="","",C6224*IF(Settings!$B$22=Settings!$C$6,1,IF(Settings!$B$22="USD",1/INDEX(Settings!$B$29:$B$40,MONTH(A6224)),INDEX(Settings!$B$29:$B$40,MONTH(A6224)))))</f>
        <v/>
      </c>
    </row>
    <row r="6225" customFormat="false" ht="15" hidden="false" customHeight="false" outlineLevel="0" collapsed="false">
      <c r="H6225" s="0" t="str">
        <f aca="false">IF(B6225="","",IF(COUNTIF(Campaigns!$A$7:$A$300,B6225)&gt;0,"✓","⚠ add to Campaigns tab"))</f>
        <v/>
      </c>
      <c r="I6225" s="84" t="str">
        <f aca="false">IF(C6225="","",C6225*IF(Settings!$B$22=Settings!$C$6,1,IF(Settings!$B$22="USD",1/INDEX(Settings!$B$29:$B$40,MONTH(A6225)),INDEX(Settings!$B$29:$B$40,MONTH(A6225)))))</f>
        <v/>
      </c>
    </row>
    <row r="6226" customFormat="false" ht="15" hidden="false" customHeight="false" outlineLevel="0" collapsed="false">
      <c r="H6226" s="0" t="str">
        <f aca="false">IF(B6226="","",IF(COUNTIF(Campaigns!$A$7:$A$300,B6226)&gt;0,"✓","⚠ add to Campaigns tab"))</f>
        <v/>
      </c>
      <c r="I6226" s="84" t="str">
        <f aca="false">IF(C6226="","",C6226*IF(Settings!$B$22=Settings!$C$6,1,IF(Settings!$B$22="USD",1/INDEX(Settings!$B$29:$B$40,MONTH(A6226)),INDEX(Settings!$B$29:$B$40,MONTH(A6226)))))</f>
        <v/>
      </c>
    </row>
    <row r="6227" customFormat="false" ht="15" hidden="false" customHeight="false" outlineLevel="0" collapsed="false">
      <c r="H6227" s="0" t="str">
        <f aca="false">IF(B6227="","",IF(COUNTIF(Campaigns!$A$7:$A$300,B6227)&gt;0,"✓","⚠ add to Campaigns tab"))</f>
        <v/>
      </c>
      <c r="I6227" s="84" t="str">
        <f aca="false">IF(C6227="","",C6227*IF(Settings!$B$22=Settings!$C$6,1,IF(Settings!$B$22="USD",1/INDEX(Settings!$B$29:$B$40,MONTH(A6227)),INDEX(Settings!$B$29:$B$40,MONTH(A6227)))))</f>
        <v/>
      </c>
    </row>
    <row r="6228" customFormat="false" ht="15" hidden="false" customHeight="false" outlineLevel="0" collapsed="false">
      <c r="H6228" s="0" t="str">
        <f aca="false">IF(B6228="","",IF(COUNTIF(Campaigns!$A$7:$A$300,B6228)&gt;0,"✓","⚠ add to Campaigns tab"))</f>
        <v/>
      </c>
      <c r="I6228" s="84" t="str">
        <f aca="false">IF(C6228="","",C6228*IF(Settings!$B$22=Settings!$C$6,1,IF(Settings!$B$22="USD",1/INDEX(Settings!$B$29:$B$40,MONTH(A6228)),INDEX(Settings!$B$29:$B$40,MONTH(A6228)))))</f>
        <v/>
      </c>
    </row>
    <row r="6229" customFormat="false" ht="15" hidden="false" customHeight="false" outlineLevel="0" collapsed="false">
      <c r="H6229" s="0" t="str">
        <f aca="false">IF(B6229="","",IF(COUNTIF(Campaigns!$A$7:$A$300,B6229)&gt;0,"✓","⚠ add to Campaigns tab"))</f>
        <v/>
      </c>
      <c r="I6229" s="84" t="str">
        <f aca="false">IF(C6229="","",C6229*IF(Settings!$B$22=Settings!$C$6,1,IF(Settings!$B$22="USD",1/INDEX(Settings!$B$29:$B$40,MONTH(A6229)),INDEX(Settings!$B$29:$B$40,MONTH(A6229)))))</f>
        <v/>
      </c>
    </row>
    <row r="6230" customFormat="false" ht="15" hidden="false" customHeight="false" outlineLevel="0" collapsed="false">
      <c r="H6230" s="0" t="str">
        <f aca="false">IF(B6230="","",IF(COUNTIF(Campaigns!$A$7:$A$300,B6230)&gt;0,"✓","⚠ add to Campaigns tab"))</f>
        <v/>
      </c>
      <c r="I6230" s="84" t="str">
        <f aca="false">IF(C6230="","",C6230*IF(Settings!$B$22=Settings!$C$6,1,IF(Settings!$B$22="USD",1/INDEX(Settings!$B$29:$B$40,MONTH(A6230)),INDEX(Settings!$B$29:$B$40,MONTH(A6230)))))</f>
        <v/>
      </c>
    </row>
    <row r="6231" customFormat="false" ht="15" hidden="false" customHeight="false" outlineLevel="0" collapsed="false">
      <c r="H6231" s="0" t="str">
        <f aca="false">IF(B6231="","",IF(COUNTIF(Campaigns!$A$7:$A$300,B6231)&gt;0,"✓","⚠ add to Campaigns tab"))</f>
        <v/>
      </c>
      <c r="I6231" s="84" t="str">
        <f aca="false">IF(C6231="","",C6231*IF(Settings!$B$22=Settings!$C$6,1,IF(Settings!$B$22="USD",1/INDEX(Settings!$B$29:$B$40,MONTH(A6231)),INDEX(Settings!$B$29:$B$40,MONTH(A6231)))))</f>
        <v/>
      </c>
    </row>
    <row r="6232" customFormat="false" ht="15" hidden="false" customHeight="false" outlineLevel="0" collapsed="false">
      <c r="H6232" s="0" t="str">
        <f aca="false">IF(B6232="","",IF(COUNTIF(Campaigns!$A$7:$A$300,B6232)&gt;0,"✓","⚠ add to Campaigns tab"))</f>
        <v/>
      </c>
      <c r="I6232" s="84" t="str">
        <f aca="false">IF(C6232="","",C6232*IF(Settings!$B$22=Settings!$C$6,1,IF(Settings!$B$22="USD",1/INDEX(Settings!$B$29:$B$40,MONTH(A6232)),INDEX(Settings!$B$29:$B$40,MONTH(A6232)))))</f>
        <v/>
      </c>
    </row>
    <row r="6233" customFormat="false" ht="15" hidden="false" customHeight="false" outlineLevel="0" collapsed="false">
      <c r="H6233" s="0" t="str">
        <f aca="false">IF(B6233="","",IF(COUNTIF(Campaigns!$A$7:$A$300,B6233)&gt;0,"✓","⚠ add to Campaigns tab"))</f>
        <v/>
      </c>
      <c r="I6233" s="84" t="str">
        <f aca="false">IF(C6233="","",C6233*IF(Settings!$B$22=Settings!$C$6,1,IF(Settings!$B$22="USD",1/INDEX(Settings!$B$29:$B$40,MONTH(A6233)),INDEX(Settings!$B$29:$B$40,MONTH(A6233)))))</f>
        <v/>
      </c>
    </row>
    <row r="6234" customFormat="false" ht="15" hidden="false" customHeight="false" outlineLevel="0" collapsed="false">
      <c r="H6234" s="0" t="str">
        <f aca="false">IF(B6234="","",IF(COUNTIF(Campaigns!$A$7:$A$300,B6234)&gt;0,"✓","⚠ add to Campaigns tab"))</f>
        <v/>
      </c>
      <c r="I6234" s="84" t="str">
        <f aca="false">IF(C6234="","",C6234*IF(Settings!$B$22=Settings!$C$6,1,IF(Settings!$B$22="USD",1/INDEX(Settings!$B$29:$B$40,MONTH(A6234)),INDEX(Settings!$B$29:$B$40,MONTH(A6234)))))</f>
        <v/>
      </c>
    </row>
    <row r="6235" customFormat="false" ht="15" hidden="false" customHeight="false" outlineLevel="0" collapsed="false">
      <c r="H6235" s="0" t="str">
        <f aca="false">IF(B6235="","",IF(COUNTIF(Campaigns!$A$7:$A$300,B6235)&gt;0,"✓","⚠ add to Campaigns tab"))</f>
        <v/>
      </c>
      <c r="I6235" s="84" t="str">
        <f aca="false">IF(C6235="","",C6235*IF(Settings!$B$22=Settings!$C$6,1,IF(Settings!$B$22="USD",1/INDEX(Settings!$B$29:$B$40,MONTH(A6235)),INDEX(Settings!$B$29:$B$40,MONTH(A6235)))))</f>
        <v/>
      </c>
    </row>
    <row r="6236" customFormat="false" ht="15" hidden="false" customHeight="false" outlineLevel="0" collapsed="false">
      <c r="H6236" s="0" t="str">
        <f aca="false">IF(B6236="","",IF(COUNTIF(Campaigns!$A$7:$A$300,B6236)&gt;0,"✓","⚠ add to Campaigns tab"))</f>
        <v/>
      </c>
      <c r="I6236" s="84" t="str">
        <f aca="false">IF(C6236="","",C6236*IF(Settings!$B$22=Settings!$C$6,1,IF(Settings!$B$22="USD",1/INDEX(Settings!$B$29:$B$40,MONTH(A6236)),INDEX(Settings!$B$29:$B$40,MONTH(A6236)))))</f>
        <v/>
      </c>
    </row>
    <row r="6237" customFormat="false" ht="15" hidden="false" customHeight="false" outlineLevel="0" collapsed="false">
      <c r="H6237" s="0" t="str">
        <f aca="false">IF(B6237="","",IF(COUNTIF(Campaigns!$A$7:$A$300,B6237)&gt;0,"✓","⚠ add to Campaigns tab"))</f>
        <v/>
      </c>
      <c r="I6237" s="84" t="str">
        <f aca="false">IF(C6237="","",C6237*IF(Settings!$B$22=Settings!$C$6,1,IF(Settings!$B$22="USD",1/INDEX(Settings!$B$29:$B$40,MONTH(A6237)),INDEX(Settings!$B$29:$B$40,MONTH(A6237)))))</f>
        <v/>
      </c>
    </row>
    <row r="6238" customFormat="false" ht="15" hidden="false" customHeight="false" outlineLevel="0" collapsed="false">
      <c r="H6238" s="0" t="str">
        <f aca="false">IF(B6238="","",IF(COUNTIF(Campaigns!$A$7:$A$300,B6238)&gt;0,"✓","⚠ add to Campaigns tab"))</f>
        <v/>
      </c>
      <c r="I6238" s="84" t="str">
        <f aca="false">IF(C6238="","",C6238*IF(Settings!$B$22=Settings!$C$6,1,IF(Settings!$B$22="USD",1/INDEX(Settings!$B$29:$B$40,MONTH(A6238)),INDEX(Settings!$B$29:$B$40,MONTH(A6238)))))</f>
        <v/>
      </c>
    </row>
    <row r="6239" customFormat="false" ht="15" hidden="false" customHeight="false" outlineLevel="0" collapsed="false">
      <c r="H6239" s="0" t="str">
        <f aca="false">IF(B6239="","",IF(COUNTIF(Campaigns!$A$7:$A$300,B6239)&gt;0,"✓","⚠ add to Campaigns tab"))</f>
        <v/>
      </c>
      <c r="I6239" s="84" t="str">
        <f aca="false">IF(C6239="","",C6239*IF(Settings!$B$22=Settings!$C$6,1,IF(Settings!$B$22="USD",1/INDEX(Settings!$B$29:$B$40,MONTH(A6239)),INDEX(Settings!$B$29:$B$40,MONTH(A6239)))))</f>
        <v/>
      </c>
    </row>
    <row r="6240" customFormat="false" ht="15" hidden="false" customHeight="false" outlineLevel="0" collapsed="false">
      <c r="H6240" s="0" t="str">
        <f aca="false">IF(B6240="","",IF(COUNTIF(Campaigns!$A$7:$A$300,B6240)&gt;0,"✓","⚠ add to Campaigns tab"))</f>
        <v/>
      </c>
      <c r="I6240" s="84" t="str">
        <f aca="false">IF(C6240="","",C6240*IF(Settings!$B$22=Settings!$C$6,1,IF(Settings!$B$22="USD",1/INDEX(Settings!$B$29:$B$40,MONTH(A6240)),INDEX(Settings!$B$29:$B$40,MONTH(A6240)))))</f>
        <v/>
      </c>
    </row>
    <row r="6241" customFormat="false" ht="15" hidden="false" customHeight="false" outlineLevel="0" collapsed="false">
      <c r="H6241" s="0" t="str">
        <f aca="false">IF(B6241="","",IF(COUNTIF(Campaigns!$A$7:$A$300,B6241)&gt;0,"✓","⚠ add to Campaigns tab"))</f>
        <v/>
      </c>
      <c r="I6241" s="84" t="str">
        <f aca="false">IF(C6241="","",C6241*IF(Settings!$B$22=Settings!$C$6,1,IF(Settings!$B$22="USD",1/INDEX(Settings!$B$29:$B$40,MONTH(A6241)),INDEX(Settings!$B$29:$B$40,MONTH(A6241)))))</f>
        <v/>
      </c>
    </row>
    <row r="6242" customFormat="false" ht="15" hidden="false" customHeight="false" outlineLevel="0" collapsed="false">
      <c r="H6242" s="0" t="str">
        <f aca="false">IF(B6242="","",IF(COUNTIF(Campaigns!$A$7:$A$300,B6242)&gt;0,"✓","⚠ add to Campaigns tab"))</f>
        <v/>
      </c>
      <c r="I6242" s="84" t="str">
        <f aca="false">IF(C6242="","",C6242*IF(Settings!$B$22=Settings!$C$6,1,IF(Settings!$B$22="USD",1/INDEX(Settings!$B$29:$B$40,MONTH(A6242)),INDEX(Settings!$B$29:$B$40,MONTH(A6242)))))</f>
        <v/>
      </c>
    </row>
    <row r="6243" customFormat="false" ht="15" hidden="false" customHeight="false" outlineLevel="0" collapsed="false">
      <c r="H6243" s="0" t="str">
        <f aca="false">IF(B6243="","",IF(COUNTIF(Campaigns!$A$7:$A$300,B6243)&gt;0,"✓","⚠ add to Campaigns tab"))</f>
        <v/>
      </c>
      <c r="I6243" s="84" t="str">
        <f aca="false">IF(C6243="","",C6243*IF(Settings!$B$22=Settings!$C$6,1,IF(Settings!$B$22="USD",1/INDEX(Settings!$B$29:$B$40,MONTH(A6243)),INDEX(Settings!$B$29:$B$40,MONTH(A6243)))))</f>
        <v/>
      </c>
    </row>
    <row r="6244" customFormat="false" ht="15" hidden="false" customHeight="false" outlineLevel="0" collapsed="false">
      <c r="H6244" s="0" t="str">
        <f aca="false">IF(B6244="","",IF(COUNTIF(Campaigns!$A$7:$A$300,B6244)&gt;0,"✓","⚠ add to Campaigns tab"))</f>
        <v/>
      </c>
      <c r="I6244" s="84" t="str">
        <f aca="false">IF(C6244="","",C6244*IF(Settings!$B$22=Settings!$C$6,1,IF(Settings!$B$22="USD",1/INDEX(Settings!$B$29:$B$40,MONTH(A6244)),INDEX(Settings!$B$29:$B$40,MONTH(A6244)))))</f>
        <v/>
      </c>
    </row>
    <row r="6245" customFormat="false" ht="15" hidden="false" customHeight="false" outlineLevel="0" collapsed="false">
      <c r="H6245" s="0" t="str">
        <f aca="false">IF(B6245="","",IF(COUNTIF(Campaigns!$A$7:$A$300,B6245)&gt;0,"✓","⚠ add to Campaigns tab"))</f>
        <v/>
      </c>
      <c r="I6245" s="84" t="str">
        <f aca="false">IF(C6245="","",C6245*IF(Settings!$B$22=Settings!$C$6,1,IF(Settings!$B$22="USD",1/INDEX(Settings!$B$29:$B$40,MONTH(A6245)),INDEX(Settings!$B$29:$B$40,MONTH(A6245)))))</f>
        <v/>
      </c>
    </row>
    <row r="6246" customFormat="false" ht="15" hidden="false" customHeight="false" outlineLevel="0" collapsed="false">
      <c r="H6246" s="0" t="str">
        <f aca="false">IF(B6246="","",IF(COUNTIF(Campaigns!$A$7:$A$300,B6246)&gt;0,"✓","⚠ add to Campaigns tab"))</f>
        <v/>
      </c>
      <c r="I6246" s="84" t="str">
        <f aca="false">IF(C6246="","",C6246*IF(Settings!$B$22=Settings!$C$6,1,IF(Settings!$B$22="USD",1/INDEX(Settings!$B$29:$B$40,MONTH(A6246)),INDEX(Settings!$B$29:$B$40,MONTH(A6246)))))</f>
        <v/>
      </c>
    </row>
    <row r="6247" customFormat="false" ht="15" hidden="false" customHeight="false" outlineLevel="0" collapsed="false">
      <c r="H6247" s="0" t="str">
        <f aca="false">IF(B6247="","",IF(COUNTIF(Campaigns!$A$7:$A$300,B6247)&gt;0,"✓","⚠ add to Campaigns tab"))</f>
        <v/>
      </c>
      <c r="I6247" s="84" t="str">
        <f aca="false">IF(C6247="","",C6247*IF(Settings!$B$22=Settings!$C$6,1,IF(Settings!$B$22="USD",1/INDEX(Settings!$B$29:$B$40,MONTH(A6247)),INDEX(Settings!$B$29:$B$40,MONTH(A6247)))))</f>
        <v/>
      </c>
    </row>
    <row r="6248" customFormat="false" ht="15" hidden="false" customHeight="false" outlineLevel="0" collapsed="false">
      <c r="H6248" s="0" t="str">
        <f aca="false">IF(B6248="","",IF(COUNTIF(Campaigns!$A$7:$A$300,B6248)&gt;0,"✓","⚠ add to Campaigns tab"))</f>
        <v/>
      </c>
      <c r="I6248" s="84" t="str">
        <f aca="false">IF(C6248="","",C6248*IF(Settings!$B$22=Settings!$C$6,1,IF(Settings!$B$22="USD",1/INDEX(Settings!$B$29:$B$40,MONTH(A6248)),INDEX(Settings!$B$29:$B$40,MONTH(A6248)))))</f>
        <v/>
      </c>
    </row>
    <row r="6249" customFormat="false" ht="15" hidden="false" customHeight="false" outlineLevel="0" collapsed="false">
      <c r="H6249" s="0" t="str">
        <f aca="false">IF(B6249="","",IF(COUNTIF(Campaigns!$A$7:$A$300,B6249)&gt;0,"✓","⚠ add to Campaigns tab"))</f>
        <v/>
      </c>
      <c r="I6249" s="84" t="str">
        <f aca="false">IF(C6249="","",C6249*IF(Settings!$B$22=Settings!$C$6,1,IF(Settings!$B$22="USD",1/INDEX(Settings!$B$29:$B$40,MONTH(A6249)),INDEX(Settings!$B$29:$B$40,MONTH(A6249)))))</f>
        <v/>
      </c>
    </row>
    <row r="6250" customFormat="false" ht="15" hidden="false" customHeight="false" outlineLevel="0" collapsed="false">
      <c r="H6250" s="0" t="str">
        <f aca="false">IF(B6250="","",IF(COUNTIF(Campaigns!$A$7:$A$300,B6250)&gt;0,"✓","⚠ add to Campaigns tab"))</f>
        <v/>
      </c>
      <c r="I6250" s="84" t="str">
        <f aca="false">IF(C6250="","",C6250*IF(Settings!$B$22=Settings!$C$6,1,IF(Settings!$B$22="USD",1/INDEX(Settings!$B$29:$B$40,MONTH(A6250)),INDEX(Settings!$B$29:$B$40,MONTH(A6250)))))</f>
        <v/>
      </c>
    </row>
    <row r="6251" customFormat="false" ht="15" hidden="false" customHeight="false" outlineLevel="0" collapsed="false">
      <c r="H6251" s="0" t="str">
        <f aca="false">IF(B6251="","",IF(COUNTIF(Campaigns!$A$7:$A$300,B6251)&gt;0,"✓","⚠ add to Campaigns tab"))</f>
        <v/>
      </c>
      <c r="I6251" s="84" t="str">
        <f aca="false">IF(C6251="","",C6251*IF(Settings!$B$22=Settings!$C$6,1,IF(Settings!$B$22="USD",1/INDEX(Settings!$B$29:$B$40,MONTH(A6251)),INDEX(Settings!$B$29:$B$40,MONTH(A6251)))))</f>
        <v/>
      </c>
    </row>
    <row r="6252" customFormat="false" ht="15" hidden="false" customHeight="false" outlineLevel="0" collapsed="false">
      <c r="H6252" s="0" t="str">
        <f aca="false">IF(B6252="","",IF(COUNTIF(Campaigns!$A$7:$A$300,B6252)&gt;0,"✓","⚠ add to Campaigns tab"))</f>
        <v/>
      </c>
      <c r="I6252" s="84" t="str">
        <f aca="false">IF(C6252="","",C6252*IF(Settings!$B$22=Settings!$C$6,1,IF(Settings!$B$22="USD",1/INDEX(Settings!$B$29:$B$40,MONTH(A6252)),INDEX(Settings!$B$29:$B$40,MONTH(A6252)))))</f>
        <v/>
      </c>
    </row>
    <row r="6253" customFormat="false" ht="15" hidden="false" customHeight="false" outlineLevel="0" collapsed="false">
      <c r="H6253" s="0" t="str">
        <f aca="false">IF(B6253="","",IF(COUNTIF(Campaigns!$A$7:$A$300,B6253)&gt;0,"✓","⚠ add to Campaigns tab"))</f>
        <v/>
      </c>
      <c r="I6253" s="84" t="str">
        <f aca="false">IF(C6253="","",C6253*IF(Settings!$B$22=Settings!$C$6,1,IF(Settings!$B$22="USD",1/INDEX(Settings!$B$29:$B$40,MONTH(A6253)),INDEX(Settings!$B$29:$B$40,MONTH(A6253)))))</f>
        <v/>
      </c>
    </row>
    <row r="6254" customFormat="false" ht="15" hidden="false" customHeight="false" outlineLevel="0" collapsed="false">
      <c r="H6254" s="0" t="str">
        <f aca="false">IF(B6254="","",IF(COUNTIF(Campaigns!$A$7:$A$300,B6254)&gt;0,"✓","⚠ add to Campaigns tab"))</f>
        <v/>
      </c>
      <c r="I6254" s="84" t="str">
        <f aca="false">IF(C6254="","",C6254*IF(Settings!$B$22=Settings!$C$6,1,IF(Settings!$B$22="USD",1/INDEX(Settings!$B$29:$B$40,MONTH(A6254)),INDEX(Settings!$B$29:$B$40,MONTH(A6254)))))</f>
        <v/>
      </c>
    </row>
    <row r="6255" customFormat="false" ht="15" hidden="false" customHeight="false" outlineLevel="0" collapsed="false">
      <c r="H6255" s="0" t="str">
        <f aca="false">IF(B6255="","",IF(COUNTIF(Campaigns!$A$7:$A$300,B6255)&gt;0,"✓","⚠ add to Campaigns tab"))</f>
        <v/>
      </c>
      <c r="I6255" s="84" t="str">
        <f aca="false">IF(C6255="","",C6255*IF(Settings!$B$22=Settings!$C$6,1,IF(Settings!$B$22="USD",1/INDEX(Settings!$B$29:$B$40,MONTH(A6255)),INDEX(Settings!$B$29:$B$40,MONTH(A6255)))))</f>
        <v/>
      </c>
    </row>
    <row r="6256" customFormat="false" ht="15" hidden="false" customHeight="false" outlineLevel="0" collapsed="false">
      <c r="H6256" s="0" t="str">
        <f aca="false">IF(B6256="","",IF(COUNTIF(Campaigns!$A$7:$A$300,B6256)&gt;0,"✓","⚠ add to Campaigns tab"))</f>
        <v/>
      </c>
      <c r="I6256" s="84" t="str">
        <f aca="false">IF(C6256="","",C6256*IF(Settings!$B$22=Settings!$C$6,1,IF(Settings!$B$22="USD",1/INDEX(Settings!$B$29:$B$40,MONTH(A6256)),INDEX(Settings!$B$29:$B$40,MONTH(A6256)))))</f>
        <v/>
      </c>
    </row>
    <row r="6257" customFormat="false" ht="15" hidden="false" customHeight="false" outlineLevel="0" collapsed="false">
      <c r="H6257" s="0" t="str">
        <f aca="false">IF(B6257="","",IF(COUNTIF(Campaigns!$A$7:$A$300,B6257)&gt;0,"✓","⚠ add to Campaigns tab"))</f>
        <v/>
      </c>
      <c r="I6257" s="84" t="str">
        <f aca="false">IF(C6257="","",C6257*IF(Settings!$B$22=Settings!$C$6,1,IF(Settings!$B$22="USD",1/INDEX(Settings!$B$29:$B$40,MONTH(A6257)),INDEX(Settings!$B$29:$B$40,MONTH(A6257)))))</f>
        <v/>
      </c>
    </row>
    <row r="6258" customFormat="false" ht="15" hidden="false" customHeight="false" outlineLevel="0" collapsed="false">
      <c r="H6258" s="0" t="str">
        <f aca="false">IF(B6258="","",IF(COUNTIF(Campaigns!$A$7:$A$300,B6258)&gt;0,"✓","⚠ add to Campaigns tab"))</f>
        <v/>
      </c>
      <c r="I6258" s="84" t="str">
        <f aca="false">IF(C6258="","",C6258*IF(Settings!$B$22=Settings!$C$6,1,IF(Settings!$B$22="USD",1/INDEX(Settings!$B$29:$B$40,MONTH(A6258)),INDEX(Settings!$B$29:$B$40,MONTH(A6258)))))</f>
        <v/>
      </c>
    </row>
    <row r="6259" customFormat="false" ht="15" hidden="false" customHeight="false" outlineLevel="0" collapsed="false">
      <c r="H6259" s="0" t="str">
        <f aca="false">IF(B6259="","",IF(COUNTIF(Campaigns!$A$7:$A$300,B6259)&gt;0,"✓","⚠ add to Campaigns tab"))</f>
        <v/>
      </c>
      <c r="I6259" s="84" t="str">
        <f aca="false">IF(C6259="","",C6259*IF(Settings!$B$22=Settings!$C$6,1,IF(Settings!$B$22="USD",1/INDEX(Settings!$B$29:$B$40,MONTH(A6259)),INDEX(Settings!$B$29:$B$40,MONTH(A6259)))))</f>
        <v/>
      </c>
    </row>
    <row r="6260" customFormat="false" ht="15" hidden="false" customHeight="false" outlineLevel="0" collapsed="false">
      <c r="H6260" s="0" t="str">
        <f aca="false">IF(B6260="","",IF(COUNTIF(Campaigns!$A$7:$A$300,B6260)&gt;0,"✓","⚠ add to Campaigns tab"))</f>
        <v/>
      </c>
      <c r="I6260" s="84" t="str">
        <f aca="false">IF(C6260="","",C6260*IF(Settings!$B$22=Settings!$C$6,1,IF(Settings!$B$22="USD",1/INDEX(Settings!$B$29:$B$40,MONTH(A6260)),INDEX(Settings!$B$29:$B$40,MONTH(A6260)))))</f>
        <v/>
      </c>
    </row>
    <row r="6261" customFormat="false" ht="15" hidden="false" customHeight="false" outlineLevel="0" collapsed="false">
      <c r="H6261" s="0" t="str">
        <f aca="false">IF(B6261="","",IF(COUNTIF(Campaigns!$A$7:$A$300,B6261)&gt;0,"✓","⚠ add to Campaigns tab"))</f>
        <v/>
      </c>
      <c r="I6261" s="84" t="str">
        <f aca="false">IF(C6261="","",C6261*IF(Settings!$B$22=Settings!$C$6,1,IF(Settings!$B$22="USD",1/INDEX(Settings!$B$29:$B$40,MONTH(A6261)),INDEX(Settings!$B$29:$B$40,MONTH(A6261)))))</f>
        <v/>
      </c>
    </row>
    <row r="6262" customFormat="false" ht="15" hidden="false" customHeight="false" outlineLevel="0" collapsed="false">
      <c r="H6262" s="0" t="str">
        <f aca="false">IF(B6262="","",IF(COUNTIF(Campaigns!$A$7:$A$300,B6262)&gt;0,"✓","⚠ add to Campaigns tab"))</f>
        <v/>
      </c>
      <c r="I6262" s="84" t="str">
        <f aca="false">IF(C6262="","",C6262*IF(Settings!$B$22=Settings!$C$6,1,IF(Settings!$B$22="USD",1/INDEX(Settings!$B$29:$B$40,MONTH(A6262)),INDEX(Settings!$B$29:$B$40,MONTH(A6262)))))</f>
        <v/>
      </c>
    </row>
    <row r="6263" customFormat="false" ht="15" hidden="false" customHeight="false" outlineLevel="0" collapsed="false">
      <c r="H6263" s="0" t="str">
        <f aca="false">IF(B6263="","",IF(COUNTIF(Campaigns!$A$7:$A$300,B6263)&gt;0,"✓","⚠ add to Campaigns tab"))</f>
        <v/>
      </c>
      <c r="I6263" s="84" t="str">
        <f aca="false">IF(C6263="","",C6263*IF(Settings!$B$22=Settings!$C$6,1,IF(Settings!$B$22="USD",1/INDEX(Settings!$B$29:$B$40,MONTH(A6263)),INDEX(Settings!$B$29:$B$40,MONTH(A6263)))))</f>
        <v/>
      </c>
    </row>
    <row r="6264" customFormat="false" ht="15" hidden="false" customHeight="false" outlineLevel="0" collapsed="false">
      <c r="H6264" s="0" t="str">
        <f aca="false">IF(B6264="","",IF(COUNTIF(Campaigns!$A$7:$A$300,B6264)&gt;0,"✓","⚠ add to Campaigns tab"))</f>
        <v/>
      </c>
      <c r="I6264" s="84" t="str">
        <f aca="false">IF(C6264="","",C6264*IF(Settings!$B$22=Settings!$C$6,1,IF(Settings!$B$22="USD",1/INDEX(Settings!$B$29:$B$40,MONTH(A6264)),INDEX(Settings!$B$29:$B$40,MONTH(A6264)))))</f>
        <v/>
      </c>
    </row>
    <row r="6265" customFormat="false" ht="15" hidden="false" customHeight="false" outlineLevel="0" collapsed="false">
      <c r="H6265" s="0" t="str">
        <f aca="false">IF(B6265="","",IF(COUNTIF(Campaigns!$A$7:$A$300,B6265)&gt;0,"✓","⚠ add to Campaigns tab"))</f>
        <v/>
      </c>
      <c r="I6265" s="84" t="str">
        <f aca="false">IF(C6265="","",C6265*IF(Settings!$B$22=Settings!$C$6,1,IF(Settings!$B$22="USD",1/INDEX(Settings!$B$29:$B$40,MONTH(A6265)),INDEX(Settings!$B$29:$B$40,MONTH(A6265)))))</f>
        <v/>
      </c>
    </row>
    <row r="6266" customFormat="false" ht="15" hidden="false" customHeight="false" outlineLevel="0" collapsed="false">
      <c r="H6266" s="0" t="str">
        <f aca="false">IF(B6266="","",IF(COUNTIF(Campaigns!$A$7:$A$300,B6266)&gt;0,"✓","⚠ add to Campaigns tab"))</f>
        <v/>
      </c>
      <c r="I6266" s="84" t="str">
        <f aca="false">IF(C6266="","",C6266*IF(Settings!$B$22=Settings!$C$6,1,IF(Settings!$B$22="USD",1/INDEX(Settings!$B$29:$B$40,MONTH(A6266)),INDEX(Settings!$B$29:$B$40,MONTH(A6266)))))</f>
        <v/>
      </c>
    </row>
    <row r="6267" customFormat="false" ht="15" hidden="false" customHeight="false" outlineLevel="0" collapsed="false">
      <c r="H6267" s="0" t="str">
        <f aca="false">IF(B6267="","",IF(COUNTIF(Campaigns!$A$7:$A$300,B6267)&gt;0,"✓","⚠ add to Campaigns tab"))</f>
        <v/>
      </c>
      <c r="I6267" s="84" t="str">
        <f aca="false">IF(C6267="","",C6267*IF(Settings!$B$22=Settings!$C$6,1,IF(Settings!$B$22="USD",1/INDEX(Settings!$B$29:$B$40,MONTH(A6267)),INDEX(Settings!$B$29:$B$40,MONTH(A6267)))))</f>
        <v/>
      </c>
    </row>
    <row r="6268" customFormat="false" ht="15" hidden="false" customHeight="false" outlineLevel="0" collapsed="false">
      <c r="H6268" s="0" t="str">
        <f aca="false">IF(B6268="","",IF(COUNTIF(Campaigns!$A$7:$A$300,B6268)&gt;0,"✓","⚠ add to Campaigns tab"))</f>
        <v/>
      </c>
      <c r="I6268" s="84" t="str">
        <f aca="false">IF(C6268="","",C6268*IF(Settings!$B$22=Settings!$C$6,1,IF(Settings!$B$22="USD",1/INDEX(Settings!$B$29:$B$40,MONTH(A6268)),INDEX(Settings!$B$29:$B$40,MONTH(A6268)))))</f>
        <v/>
      </c>
    </row>
    <row r="6269" customFormat="false" ht="15" hidden="false" customHeight="false" outlineLevel="0" collapsed="false">
      <c r="H6269" s="0" t="str">
        <f aca="false">IF(B6269="","",IF(COUNTIF(Campaigns!$A$7:$A$300,B6269)&gt;0,"✓","⚠ add to Campaigns tab"))</f>
        <v/>
      </c>
      <c r="I6269" s="84" t="str">
        <f aca="false">IF(C6269="","",C6269*IF(Settings!$B$22=Settings!$C$6,1,IF(Settings!$B$22="USD",1/INDEX(Settings!$B$29:$B$40,MONTH(A6269)),INDEX(Settings!$B$29:$B$40,MONTH(A6269)))))</f>
        <v/>
      </c>
    </row>
    <row r="6270" customFormat="false" ht="15" hidden="false" customHeight="false" outlineLevel="0" collapsed="false">
      <c r="H6270" s="0" t="str">
        <f aca="false">IF(B6270="","",IF(COUNTIF(Campaigns!$A$7:$A$300,B6270)&gt;0,"✓","⚠ add to Campaigns tab"))</f>
        <v/>
      </c>
      <c r="I6270" s="84" t="str">
        <f aca="false">IF(C6270="","",C6270*IF(Settings!$B$22=Settings!$C$6,1,IF(Settings!$B$22="USD",1/INDEX(Settings!$B$29:$B$40,MONTH(A6270)),INDEX(Settings!$B$29:$B$40,MONTH(A6270)))))</f>
        <v/>
      </c>
    </row>
    <row r="6271" customFormat="false" ht="15" hidden="false" customHeight="false" outlineLevel="0" collapsed="false">
      <c r="H6271" s="0" t="str">
        <f aca="false">IF(B6271="","",IF(COUNTIF(Campaigns!$A$7:$A$300,B6271)&gt;0,"✓","⚠ add to Campaigns tab"))</f>
        <v/>
      </c>
      <c r="I6271" s="84" t="str">
        <f aca="false">IF(C6271="","",C6271*IF(Settings!$B$22=Settings!$C$6,1,IF(Settings!$B$22="USD",1/INDEX(Settings!$B$29:$B$40,MONTH(A6271)),INDEX(Settings!$B$29:$B$40,MONTH(A6271)))))</f>
        <v/>
      </c>
    </row>
    <row r="6272" customFormat="false" ht="15" hidden="false" customHeight="false" outlineLevel="0" collapsed="false">
      <c r="H6272" s="0" t="str">
        <f aca="false">IF(B6272="","",IF(COUNTIF(Campaigns!$A$7:$A$300,B6272)&gt;0,"✓","⚠ add to Campaigns tab"))</f>
        <v/>
      </c>
      <c r="I6272" s="84" t="str">
        <f aca="false">IF(C6272="","",C6272*IF(Settings!$B$22=Settings!$C$6,1,IF(Settings!$B$22="USD",1/INDEX(Settings!$B$29:$B$40,MONTH(A6272)),INDEX(Settings!$B$29:$B$40,MONTH(A6272)))))</f>
        <v/>
      </c>
    </row>
    <row r="6273" customFormat="false" ht="15" hidden="false" customHeight="false" outlineLevel="0" collapsed="false">
      <c r="H6273" s="0" t="str">
        <f aca="false">IF(B6273="","",IF(COUNTIF(Campaigns!$A$7:$A$300,B6273)&gt;0,"✓","⚠ add to Campaigns tab"))</f>
        <v/>
      </c>
      <c r="I6273" s="84" t="str">
        <f aca="false">IF(C6273="","",C6273*IF(Settings!$B$22=Settings!$C$6,1,IF(Settings!$B$22="USD",1/INDEX(Settings!$B$29:$B$40,MONTH(A6273)),INDEX(Settings!$B$29:$B$40,MONTH(A6273)))))</f>
        <v/>
      </c>
    </row>
    <row r="6274" customFormat="false" ht="15" hidden="false" customHeight="false" outlineLevel="0" collapsed="false">
      <c r="H6274" s="0" t="str">
        <f aca="false">IF(B6274="","",IF(COUNTIF(Campaigns!$A$7:$A$300,B6274)&gt;0,"✓","⚠ add to Campaigns tab"))</f>
        <v/>
      </c>
      <c r="I6274" s="84" t="str">
        <f aca="false">IF(C6274="","",C6274*IF(Settings!$B$22=Settings!$C$6,1,IF(Settings!$B$22="USD",1/INDEX(Settings!$B$29:$B$40,MONTH(A6274)),INDEX(Settings!$B$29:$B$40,MONTH(A6274)))))</f>
        <v/>
      </c>
    </row>
    <row r="6275" customFormat="false" ht="15" hidden="false" customHeight="false" outlineLevel="0" collapsed="false">
      <c r="H6275" s="0" t="str">
        <f aca="false">IF(B6275="","",IF(COUNTIF(Campaigns!$A$7:$A$300,B6275)&gt;0,"✓","⚠ add to Campaigns tab"))</f>
        <v/>
      </c>
      <c r="I6275" s="84" t="str">
        <f aca="false">IF(C6275="","",C6275*IF(Settings!$B$22=Settings!$C$6,1,IF(Settings!$B$22="USD",1/INDEX(Settings!$B$29:$B$40,MONTH(A6275)),INDEX(Settings!$B$29:$B$40,MONTH(A6275)))))</f>
        <v/>
      </c>
    </row>
    <row r="6276" customFormat="false" ht="15" hidden="false" customHeight="false" outlineLevel="0" collapsed="false">
      <c r="H6276" s="0" t="str">
        <f aca="false">IF(B6276="","",IF(COUNTIF(Campaigns!$A$7:$A$300,B6276)&gt;0,"✓","⚠ add to Campaigns tab"))</f>
        <v/>
      </c>
      <c r="I6276" s="84" t="str">
        <f aca="false">IF(C6276="","",C6276*IF(Settings!$B$22=Settings!$C$6,1,IF(Settings!$B$22="USD",1/INDEX(Settings!$B$29:$B$40,MONTH(A6276)),INDEX(Settings!$B$29:$B$40,MONTH(A6276)))))</f>
        <v/>
      </c>
    </row>
    <row r="6277" customFormat="false" ht="15" hidden="false" customHeight="false" outlineLevel="0" collapsed="false">
      <c r="H6277" s="0" t="str">
        <f aca="false">IF(B6277="","",IF(COUNTIF(Campaigns!$A$7:$A$300,B6277)&gt;0,"✓","⚠ add to Campaigns tab"))</f>
        <v/>
      </c>
      <c r="I6277" s="84" t="str">
        <f aca="false">IF(C6277="","",C6277*IF(Settings!$B$22=Settings!$C$6,1,IF(Settings!$B$22="USD",1/INDEX(Settings!$B$29:$B$40,MONTH(A6277)),INDEX(Settings!$B$29:$B$40,MONTH(A6277)))))</f>
        <v/>
      </c>
    </row>
    <row r="6278" customFormat="false" ht="15" hidden="false" customHeight="false" outlineLevel="0" collapsed="false">
      <c r="H6278" s="0" t="str">
        <f aca="false">IF(B6278="","",IF(COUNTIF(Campaigns!$A$7:$A$300,B6278)&gt;0,"✓","⚠ add to Campaigns tab"))</f>
        <v/>
      </c>
      <c r="I6278" s="84" t="str">
        <f aca="false">IF(C6278="","",C6278*IF(Settings!$B$22=Settings!$C$6,1,IF(Settings!$B$22="USD",1/INDEX(Settings!$B$29:$B$40,MONTH(A6278)),INDEX(Settings!$B$29:$B$40,MONTH(A6278)))))</f>
        <v/>
      </c>
    </row>
    <row r="6279" customFormat="false" ht="15" hidden="false" customHeight="false" outlineLevel="0" collapsed="false">
      <c r="H6279" s="0" t="str">
        <f aca="false">IF(B6279="","",IF(COUNTIF(Campaigns!$A$7:$A$300,B6279)&gt;0,"✓","⚠ add to Campaigns tab"))</f>
        <v/>
      </c>
      <c r="I6279" s="84" t="str">
        <f aca="false">IF(C6279="","",C6279*IF(Settings!$B$22=Settings!$C$6,1,IF(Settings!$B$22="USD",1/INDEX(Settings!$B$29:$B$40,MONTH(A6279)),INDEX(Settings!$B$29:$B$40,MONTH(A6279)))))</f>
        <v/>
      </c>
    </row>
    <row r="6280" customFormat="false" ht="15" hidden="false" customHeight="false" outlineLevel="0" collapsed="false">
      <c r="H6280" s="0" t="str">
        <f aca="false">IF(B6280="","",IF(COUNTIF(Campaigns!$A$7:$A$300,B6280)&gt;0,"✓","⚠ add to Campaigns tab"))</f>
        <v/>
      </c>
      <c r="I6280" s="84" t="str">
        <f aca="false">IF(C6280="","",C6280*IF(Settings!$B$22=Settings!$C$6,1,IF(Settings!$B$22="USD",1/INDEX(Settings!$B$29:$B$40,MONTH(A6280)),INDEX(Settings!$B$29:$B$40,MONTH(A6280)))))</f>
        <v/>
      </c>
    </row>
    <row r="6281" customFormat="false" ht="15" hidden="false" customHeight="false" outlineLevel="0" collapsed="false">
      <c r="H6281" s="0" t="str">
        <f aca="false">IF(B6281="","",IF(COUNTIF(Campaigns!$A$7:$A$300,B6281)&gt;0,"✓","⚠ add to Campaigns tab"))</f>
        <v/>
      </c>
      <c r="I6281" s="84" t="str">
        <f aca="false">IF(C6281="","",C6281*IF(Settings!$B$22=Settings!$C$6,1,IF(Settings!$B$22="USD",1/INDEX(Settings!$B$29:$B$40,MONTH(A6281)),INDEX(Settings!$B$29:$B$40,MONTH(A6281)))))</f>
        <v/>
      </c>
    </row>
    <row r="6282" customFormat="false" ht="15" hidden="false" customHeight="false" outlineLevel="0" collapsed="false">
      <c r="H6282" s="0" t="str">
        <f aca="false">IF(B6282="","",IF(COUNTIF(Campaigns!$A$7:$A$300,B6282)&gt;0,"✓","⚠ add to Campaigns tab"))</f>
        <v/>
      </c>
      <c r="I6282" s="84" t="str">
        <f aca="false">IF(C6282="","",C6282*IF(Settings!$B$22=Settings!$C$6,1,IF(Settings!$B$22="USD",1/INDEX(Settings!$B$29:$B$40,MONTH(A6282)),INDEX(Settings!$B$29:$B$40,MONTH(A6282)))))</f>
        <v/>
      </c>
    </row>
    <row r="6283" customFormat="false" ht="15" hidden="false" customHeight="false" outlineLevel="0" collapsed="false">
      <c r="H6283" s="0" t="str">
        <f aca="false">IF(B6283="","",IF(COUNTIF(Campaigns!$A$7:$A$300,B6283)&gt;0,"✓","⚠ add to Campaigns tab"))</f>
        <v/>
      </c>
      <c r="I6283" s="84" t="str">
        <f aca="false">IF(C6283="","",C6283*IF(Settings!$B$22=Settings!$C$6,1,IF(Settings!$B$22="USD",1/INDEX(Settings!$B$29:$B$40,MONTH(A6283)),INDEX(Settings!$B$29:$B$40,MONTH(A6283)))))</f>
        <v/>
      </c>
    </row>
    <row r="6284" customFormat="false" ht="15" hidden="false" customHeight="false" outlineLevel="0" collapsed="false">
      <c r="H6284" s="0" t="str">
        <f aca="false">IF(B6284="","",IF(COUNTIF(Campaigns!$A$7:$A$300,B6284)&gt;0,"✓","⚠ add to Campaigns tab"))</f>
        <v/>
      </c>
      <c r="I6284" s="84" t="str">
        <f aca="false">IF(C6284="","",C6284*IF(Settings!$B$22=Settings!$C$6,1,IF(Settings!$B$22="USD",1/INDEX(Settings!$B$29:$B$40,MONTH(A6284)),INDEX(Settings!$B$29:$B$40,MONTH(A6284)))))</f>
        <v/>
      </c>
    </row>
    <row r="6285" customFormat="false" ht="15" hidden="false" customHeight="false" outlineLevel="0" collapsed="false">
      <c r="H6285" s="0" t="str">
        <f aca="false">IF(B6285="","",IF(COUNTIF(Campaigns!$A$7:$A$300,B6285)&gt;0,"✓","⚠ add to Campaigns tab"))</f>
        <v/>
      </c>
      <c r="I6285" s="84" t="str">
        <f aca="false">IF(C6285="","",C6285*IF(Settings!$B$22=Settings!$C$6,1,IF(Settings!$B$22="USD",1/INDEX(Settings!$B$29:$B$40,MONTH(A6285)),INDEX(Settings!$B$29:$B$40,MONTH(A6285)))))</f>
        <v/>
      </c>
    </row>
    <row r="6286" customFormat="false" ht="15" hidden="false" customHeight="false" outlineLevel="0" collapsed="false">
      <c r="H6286" s="0" t="str">
        <f aca="false">IF(B6286="","",IF(COUNTIF(Campaigns!$A$7:$A$300,B6286)&gt;0,"✓","⚠ add to Campaigns tab"))</f>
        <v/>
      </c>
      <c r="I6286" s="84" t="str">
        <f aca="false">IF(C6286="","",C6286*IF(Settings!$B$22=Settings!$C$6,1,IF(Settings!$B$22="USD",1/INDEX(Settings!$B$29:$B$40,MONTH(A6286)),INDEX(Settings!$B$29:$B$40,MONTH(A6286)))))</f>
        <v/>
      </c>
    </row>
    <row r="6287" customFormat="false" ht="15" hidden="false" customHeight="false" outlineLevel="0" collapsed="false">
      <c r="H6287" s="0" t="str">
        <f aca="false">IF(B6287="","",IF(COUNTIF(Campaigns!$A$7:$A$300,B6287)&gt;0,"✓","⚠ add to Campaigns tab"))</f>
        <v/>
      </c>
      <c r="I6287" s="84" t="str">
        <f aca="false">IF(C6287="","",C6287*IF(Settings!$B$22=Settings!$C$6,1,IF(Settings!$B$22="USD",1/INDEX(Settings!$B$29:$B$40,MONTH(A6287)),INDEX(Settings!$B$29:$B$40,MONTH(A6287)))))</f>
        <v/>
      </c>
    </row>
    <row r="6288" customFormat="false" ht="15" hidden="false" customHeight="false" outlineLevel="0" collapsed="false">
      <c r="H6288" s="0" t="str">
        <f aca="false">IF(B6288="","",IF(COUNTIF(Campaigns!$A$7:$A$300,B6288)&gt;0,"✓","⚠ add to Campaigns tab"))</f>
        <v/>
      </c>
      <c r="I6288" s="84" t="str">
        <f aca="false">IF(C6288="","",C6288*IF(Settings!$B$22=Settings!$C$6,1,IF(Settings!$B$22="USD",1/INDEX(Settings!$B$29:$B$40,MONTH(A6288)),INDEX(Settings!$B$29:$B$40,MONTH(A6288)))))</f>
        <v/>
      </c>
    </row>
    <row r="6289" customFormat="false" ht="15" hidden="false" customHeight="false" outlineLevel="0" collapsed="false">
      <c r="H6289" s="0" t="str">
        <f aca="false">IF(B6289="","",IF(COUNTIF(Campaigns!$A$7:$A$300,B6289)&gt;0,"✓","⚠ add to Campaigns tab"))</f>
        <v/>
      </c>
      <c r="I6289" s="84" t="str">
        <f aca="false">IF(C6289="","",C6289*IF(Settings!$B$22=Settings!$C$6,1,IF(Settings!$B$22="USD",1/INDEX(Settings!$B$29:$B$40,MONTH(A6289)),INDEX(Settings!$B$29:$B$40,MONTH(A6289)))))</f>
        <v/>
      </c>
    </row>
    <row r="6290" customFormat="false" ht="15" hidden="false" customHeight="false" outlineLevel="0" collapsed="false">
      <c r="H6290" s="0" t="str">
        <f aca="false">IF(B6290="","",IF(COUNTIF(Campaigns!$A$7:$A$300,B6290)&gt;0,"✓","⚠ add to Campaigns tab"))</f>
        <v/>
      </c>
      <c r="I6290" s="84" t="str">
        <f aca="false">IF(C6290="","",C6290*IF(Settings!$B$22=Settings!$C$6,1,IF(Settings!$B$22="USD",1/INDEX(Settings!$B$29:$B$40,MONTH(A6290)),INDEX(Settings!$B$29:$B$40,MONTH(A6290)))))</f>
        <v/>
      </c>
    </row>
    <row r="6291" customFormat="false" ht="15" hidden="false" customHeight="false" outlineLevel="0" collapsed="false">
      <c r="H6291" s="0" t="str">
        <f aca="false">IF(B6291="","",IF(COUNTIF(Campaigns!$A$7:$A$300,B6291)&gt;0,"✓","⚠ add to Campaigns tab"))</f>
        <v/>
      </c>
      <c r="I6291" s="84" t="str">
        <f aca="false">IF(C6291="","",C6291*IF(Settings!$B$22=Settings!$C$6,1,IF(Settings!$B$22="USD",1/INDEX(Settings!$B$29:$B$40,MONTH(A6291)),INDEX(Settings!$B$29:$B$40,MONTH(A6291)))))</f>
        <v/>
      </c>
    </row>
    <row r="6292" customFormat="false" ht="15" hidden="false" customHeight="false" outlineLevel="0" collapsed="false">
      <c r="H6292" s="0" t="str">
        <f aca="false">IF(B6292="","",IF(COUNTIF(Campaigns!$A$7:$A$300,B6292)&gt;0,"✓","⚠ add to Campaigns tab"))</f>
        <v/>
      </c>
      <c r="I6292" s="84" t="str">
        <f aca="false">IF(C6292="","",C6292*IF(Settings!$B$22=Settings!$C$6,1,IF(Settings!$B$22="USD",1/INDEX(Settings!$B$29:$B$40,MONTH(A6292)),INDEX(Settings!$B$29:$B$40,MONTH(A6292)))))</f>
        <v/>
      </c>
    </row>
    <row r="6293" customFormat="false" ht="15" hidden="false" customHeight="false" outlineLevel="0" collapsed="false">
      <c r="H6293" s="0" t="str">
        <f aca="false">IF(B6293="","",IF(COUNTIF(Campaigns!$A$7:$A$300,B6293)&gt;0,"✓","⚠ add to Campaigns tab"))</f>
        <v/>
      </c>
      <c r="I6293" s="84" t="str">
        <f aca="false">IF(C6293="","",C6293*IF(Settings!$B$22=Settings!$C$6,1,IF(Settings!$B$22="USD",1/INDEX(Settings!$B$29:$B$40,MONTH(A6293)),INDEX(Settings!$B$29:$B$40,MONTH(A6293)))))</f>
        <v/>
      </c>
    </row>
    <row r="6294" customFormat="false" ht="15" hidden="false" customHeight="false" outlineLevel="0" collapsed="false">
      <c r="H6294" s="0" t="str">
        <f aca="false">IF(B6294="","",IF(COUNTIF(Campaigns!$A$7:$A$300,B6294)&gt;0,"✓","⚠ add to Campaigns tab"))</f>
        <v/>
      </c>
      <c r="I6294" s="84" t="str">
        <f aca="false">IF(C6294="","",C6294*IF(Settings!$B$22=Settings!$C$6,1,IF(Settings!$B$22="USD",1/INDEX(Settings!$B$29:$B$40,MONTH(A6294)),INDEX(Settings!$B$29:$B$40,MONTH(A6294)))))</f>
        <v/>
      </c>
    </row>
    <row r="6295" customFormat="false" ht="15" hidden="false" customHeight="false" outlineLevel="0" collapsed="false">
      <c r="H6295" s="0" t="str">
        <f aca="false">IF(B6295="","",IF(COUNTIF(Campaigns!$A$7:$A$300,B6295)&gt;0,"✓","⚠ add to Campaigns tab"))</f>
        <v/>
      </c>
      <c r="I6295" s="84" t="str">
        <f aca="false">IF(C6295="","",C6295*IF(Settings!$B$22=Settings!$C$6,1,IF(Settings!$B$22="USD",1/INDEX(Settings!$B$29:$B$40,MONTH(A6295)),INDEX(Settings!$B$29:$B$40,MONTH(A6295)))))</f>
        <v/>
      </c>
    </row>
    <row r="6296" customFormat="false" ht="15" hidden="false" customHeight="false" outlineLevel="0" collapsed="false">
      <c r="H6296" s="0" t="str">
        <f aca="false">IF(B6296="","",IF(COUNTIF(Campaigns!$A$7:$A$300,B6296)&gt;0,"✓","⚠ add to Campaigns tab"))</f>
        <v/>
      </c>
      <c r="I6296" s="84" t="str">
        <f aca="false">IF(C6296="","",C6296*IF(Settings!$B$22=Settings!$C$6,1,IF(Settings!$B$22="USD",1/INDEX(Settings!$B$29:$B$40,MONTH(A6296)),INDEX(Settings!$B$29:$B$40,MONTH(A6296)))))</f>
        <v/>
      </c>
    </row>
    <row r="6297" customFormat="false" ht="15" hidden="false" customHeight="false" outlineLevel="0" collapsed="false">
      <c r="H6297" s="0" t="str">
        <f aca="false">IF(B6297="","",IF(COUNTIF(Campaigns!$A$7:$A$300,B6297)&gt;0,"✓","⚠ add to Campaigns tab"))</f>
        <v/>
      </c>
      <c r="I6297" s="84" t="str">
        <f aca="false">IF(C6297="","",C6297*IF(Settings!$B$22=Settings!$C$6,1,IF(Settings!$B$22="USD",1/INDEX(Settings!$B$29:$B$40,MONTH(A6297)),INDEX(Settings!$B$29:$B$40,MONTH(A6297)))))</f>
        <v/>
      </c>
    </row>
    <row r="6298" customFormat="false" ht="15" hidden="false" customHeight="false" outlineLevel="0" collapsed="false">
      <c r="H6298" s="0" t="str">
        <f aca="false">IF(B6298="","",IF(COUNTIF(Campaigns!$A$7:$A$300,B6298)&gt;0,"✓","⚠ add to Campaigns tab"))</f>
        <v/>
      </c>
      <c r="I6298" s="84" t="str">
        <f aca="false">IF(C6298="","",C6298*IF(Settings!$B$22=Settings!$C$6,1,IF(Settings!$B$22="USD",1/INDEX(Settings!$B$29:$B$40,MONTH(A6298)),INDEX(Settings!$B$29:$B$40,MONTH(A6298)))))</f>
        <v/>
      </c>
    </row>
    <row r="6299" customFormat="false" ht="15" hidden="false" customHeight="false" outlineLevel="0" collapsed="false">
      <c r="H6299" s="0" t="str">
        <f aca="false">IF(B6299="","",IF(COUNTIF(Campaigns!$A$7:$A$300,B6299)&gt;0,"✓","⚠ add to Campaigns tab"))</f>
        <v/>
      </c>
      <c r="I6299" s="84" t="str">
        <f aca="false">IF(C6299="","",C6299*IF(Settings!$B$22=Settings!$C$6,1,IF(Settings!$B$22="USD",1/INDEX(Settings!$B$29:$B$40,MONTH(A6299)),INDEX(Settings!$B$29:$B$40,MONTH(A6299)))))</f>
        <v/>
      </c>
    </row>
    <row r="6300" customFormat="false" ht="15" hidden="false" customHeight="false" outlineLevel="0" collapsed="false">
      <c r="H6300" s="0" t="str">
        <f aca="false">IF(B6300="","",IF(COUNTIF(Campaigns!$A$7:$A$300,B6300)&gt;0,"✓","⚠ add to Campaigns tab"))</f>
        <v/>
      </c>
      <c r="I6300" s="84" t="str">
        <f aca="false">IF(C6300="","",C6300*IF(Settings!$B$22=Settings!$C$6,1,IF(Settings!$B$22="USD",1/INDEX(Settings!$B$29:$B$40,MONTH(A6300)),INDEX(Settings!$B$29:$B$40,MONTH(A6300)))))</f>
        <v/>
      </c>
    </row>
    <row r="6301" customFormat="false" ht="15" hidden="false" customHeight="false" outlineLevel="0" collapsed="false">
      <c r="H6301" s="0" t="str">
        <f aca="false">IF(B6301="","",IF(COUNTIF(Campaigns!$A$7:$A$300,B6301)&gt;0,"✓","⚠ add to Campaigns tab"))</f>
        <v/>
      </c>
      <c r="I6301" s="84" t="str">
        <f aca="false">IF(C6301="","",C6301*IF(Settings!$B$22=Settings!$C$6,1,IF(Settings!$B$22="USD",1/INDEX(Settings!$B$29:$B$40,MONTH(A6301)),INDEX(Settings!$B$29:$B$40,MONTH(A6301)))))</f>
        <v/>
      </c>
    </row>
    <row r="6302" customFormat="false" ht="15" hidden="false" customHeight="false" outlineLevel="0" collapsed="false">
      <c r="H6302" s="0" t="str">
        <f aca="false">IF(B6302="","",IF(COUNTIF(Campaigns!$A$7:$A$300,B6302)&gt;0,"✓","⚠ add to Campaigns tab"))</f>
        <v/>
      </c>
      <c r="I6302" s="84" t="str">
        <f aca="false">IF(C6302="","",C6302*IF(Settings!$B$22=Settings!$C$6,1,IF(Settings!$B$22="USD",1/INDEX(Settings!$B$29:$B$40,MONTH(A6302)),INDEX(Settings!$B$29:$B$40,MONTH(A6302)))))</f>
        <v/>
      </c>
    </row>
    <row r="6303" customFormat="false" ht="15" hidden="false" customHeight="false" outlineLevel="0" collapsed="false">
      <c r="H6303" s="0" t="str">
        <f aca="false">IF(B6303="","",IF(COUNTIF(Campaigns!$A$7:$A$300,B6303)&gt;0,"✓","⚠ add to Campaigns tab"))</f>
        <v/>
      </c>
      <c r="I6303" s="84" t="str">
        <f aca="false">IF(C6303="","",C6303*IF(Settings!$B$22=Settings!$C$6,1,IF(Settings!$B$22="USD",1/INDEX(Settings!$B$29:$B$40,MONTH(A6303)),INDEX(Settings!$B$29:$B$40,MONTH(A6303)))))</f>
        <v/>
      </c>
    </row>
    <row r="6304" customFormat="false" ht="15" hidden="false" customHeight="false" outlineLevel="0" collapsed="false">
      <c r="H6304" s="0" t="str">
        <f aca="false">IF(B6304="","",IF(COUNTIF(Campaigns!$A$7:$A$300,B6304)&gt;0,"✓","⚠ add to Campaigns tab"))</f>
        <v/>
      </c>
      <c r="I6304" s="84" t="str">
        <f aca="false">IF(C6304="","",C6304*IF(Settings!$B$22=Settings!$C$6,1,IF(Settings!$B$22="USD",1/INDEX(Settings!$B$29:$B$40,MONTH(A6304)),INDEX(Settings!$B$29:$B$40,MONTH(A6304)))))</f>
        <v/>
      </c>
    </row>
    <row r="6305" customFormat="false" ht="15" hidden="false" customHeight="false" outlineLevel="0" collapsed="false">
      <c r="H6305" s="0" t="str">
        <f aca="false">IF(B6305="","",IF(COUNTIF(Campaigns!$A$7:$A$300,B6305)&gt;0,"✓","⚠ add to Campaigns tab"))</f>
        <v/>
      </c>
      <c r="I6305" s="84" t="str">
        <f aca="false">IF(C6305="","",C6305*IF(Settings!$B$22=Settings!$C$6,1,IF(Settings!$B$22="USD",1/INDEX(Settings!$B$29:$B$40,MONTH(A6305)),INDEX(Settings!$B$29:$B$40,MONTH(A6305)))))</f>
        <v/>
      </c>
    </row>
    <row r="6306" customFormat="false" ht="15" hidden="false" customHeight="false" outlineLevel="0" collapsed="false">
      <c r="H6306" s="0" t="str">
        <f aca="false">IF(B6306="","",IF(COUNTIF(Campaigns!$A$7:$A$300,B6306)&gt;0,"✓","⚠ add to Campaigns tab"))</f>
        <v/>
      </c>
      <c r="I6306" s="84" t="str">
        <f aca="false">IF(C6306="","",C6306*IF(Settings!$B$22=Settings!$C$6,1,IF(Settings!$B$22="USD",1/INDEX(Settings!$B$29:$B$40,MONTH(A6306)),INDEX(Settings!$B$29:$B$40,MONTH(A6306)))))</f>
        <v/>
      </c>
    </row>
    <row r="6307" customFormat="false" ht="15" hidden="false" customHeight="false" outlineLevel="0" collapsed="false">
      <c r="H6307" s="0" t="str">
        <f aca="false">IF(B6307="","",IF(COUNTIF(Campaigns!$A$7:$A$300,B6307)&gt;0,"✓","⚠ add to Campaigns tab"))</f>
        <v/>
      </c>
      <c r="I6307" s="84" t="str">
        <f aca="false">IF(C6307="","",C6307*IF(Settings!$B$22=Settings!$C$6,1,IF(Settings!$B$22="USD",1/INDEX(Settings!$B$29:$B$40,MONTH(A6307)),INDEX(Settings!$B$29:$B$40,MONTH(A6307)))))</f>
        <v/>
      </c>
    </row>
    <row r="6308" customFormat="false" ht="15" hidden="false" customHeight="false" outlineLevel="0" collapsed="false">
      <c r="H6308" s="0" t="str">
        <f aca="false">IF(B6308="","",IF(COUNTIF(Campaigns!$A$7:$A$300,B6308)&gt;0,"✓","⚠ add to Campaigns tab"))</f>
        <v/>
      </c>
      <c r="I6308" s="84" t="str">
        <f aca="false">IF(C6308="","",C6308*IF(Settings!$B$22=Settings!$C$6,1,IF(Settings!$B$22="USD",1/INDEX(Settings!$B$29:$B$40,MONTH(A6308)),INDEX(Settings!$B$29:$B$40,MONTH(A6308)))))</f>
        <v/>
      </c>
    </row>
    <row r="6309" customFormat="false" ht="15" hidden="false" customHeight="false" outlineLevel="0" collapsed="false">
      <c r="H6309" s="0" t="str">
        <f aca="false">IF(B6309="","",IF(COUNTIF(Campaigns!$A$7:$A$300,B6309)&gt;0,"✓","⚠ add to Campaigns tab"))</f>
        <v/>
      </c>
      <c r="I6309" s="84" t="str">
        <f aca="false">IF(C6309="","",C6309*IF(Settings!$B$22=Settings!$C$6,1,IF(Settings!$B$22="USD",1/INDEX(Settings!$B$29:$B$40,MONTH(A6309)),INDEX(Settings!$B$29:$B$40,MONTH(A6309)))))</f>
        <v/>
      </c>
    </row>
    <row r="6310" customFormat="false" ht="15" hidden="false" customHeight="false" outlineLevel="0" collapsed="false">
      <c r="H6310" s="0" t="str">
        <f aca="false">IF(B6310="","",IF(COUNTIF(Campaigns!$A$7:$A$300,B6310)&gt;0,"✓","⚠ add to Campaigns tab"))</f>
        <v/>
      </c>
      <c r="I6310" s="84" t="str">
        <f aca="false">IF(C6310="","",C6310*IF(Settings!$B$22=Settings!$C$6,1,IF(Settings!$B$22="USD",1/INDEX(Settings!$B$29:$B$40,MONTH(A6310)),INDEX(Settings!$B$29:$B$40,MONTH(A6310)))))</f>
        <v/>
      </c>
    </row>
    <row r="6311" customFormat="false" ht="15" hidden="false" customHeight="false" outlineLevel="0" collapsed="false">
      <c r="H6311" s="0" t="str">
        <f aca="false">IF(B6311="","",IF(COUNTIF(Campaigns!$A$7:$A$300,B6311)&gt;0,"✓","⚠ add to Campaigns tab"))</f>
        <v/>
      </c>
      <c r="I6311" s="84" t="str">
        <f aca="false">IF(C6311="","",C6311*IF(Settings!$B$22=Settings!$C$6,1,IF(Settings!$B$22="USD",1/INDEX(Settings!$B$29:$B$40,MONTH(A6311)),INDEX(Settings!$B$29:$B$40,MONTH(A6311)))))</f>
        <v/>
      </c>
    </row>
    <row r="6312" customFormat="false" ht="15" hidden="false" customHeight="false" outlineLevel="0" collapsed="false">
      <c r="H6312" s="0" t="str">
        <f aca="false">IF(B6312="","",IF(COUNTIF(Campaigns!$A$7:$A$300,B6312)&gt;0,"✓","⚠ add to Campaigns tab"))</f>
        <v/>
      </c>
      <c r="I6312" s="84" t="str">
        <f aca="false">IF(C6312="","",C6312*IF(Settings!$B$22=Settings!$C$6,1,IF(Settings!$B$22="USD",1/INDEX(Settings!$B$29:$B$40,MONTH(A6312)),INDEX(Settings!$B$29:$B$40,MONTH(A6312)))))</f>
        <v/>
      </c>
    </row>
    <row r="6313" customFormat="false" ht="15" hidden="false" customHeight="false" outlineLevel="0" collapsed="false">
      <c r="H6313" s="0" t="str">
        <f aca="false">IF(B6313="","",IF(COUNTIF(Campaigns!$A$7:$A$300,B6313)&gt;0,"✓","⚠ add to Campaigns tab"))</f>
        <v/>
      </c>
      <c r="I6313" s="84" t="str">
        <f aca="false">IF(C6313="","",C6313*IF(Settings!$B$22=Settings!$C$6,1,IF(Settings!$B$22="USD",1/INDEX(Settings!$B$29:$B$40,MONTH(A6313)),INDEX(Settings!$B$29:$B$40,MONTH(A6313)))))</f>
        <v/>
      </c>
    </row>
    <row r="6314" customFormat="false" ht="15" hidden="false" customHeight="false" outlineLevel="0" collapsed="false">
      <c r="H6314" s="0" t="str">
        <f aca="false">IF(B6314="","",IF(COUNTIF(Campaigns!$A$7:$A$300,B6314)&gt;0,"✓","⚠ add to Campaigns tab"))</f>
        <v/>
      </c>
      <c r="I6314" s="84" t="str">
        <f aca="false">IF(C6314="","",C6314*IF(Settings!$B$22=Settings!$C$6,1,IF(Settings!$B$22="USD",1/INDEX(Settings!$B$29:$B$40,MONTH(A6314)),INDEX(Settings!$B$29:$B$40,MONTH(A6314)))))</f>
        <v/>
      </c>
    </row>
    <row r="6315" customFormat="false" ht="15" hidden="false" customHeight="false" outlineLevel="0" collapsed="false">
      <c r="H6315" s="0" t="str">
        <f aca="false">IF(B6315="","",IF(COUNTIF(Campaigns!$A$7:$A$300,B6315)&gt;0,"✓","⚠ add to Campaigns tab"))</f>
        <v/>
      </c>
      <c r="I6315" s="84" t="str">
        <f aca="false">IF(C6315="","",C6315*IF(Settings!$B$22=Settings!$C$6,1,IF(Settings!$B$22="USD",1/INDEX(Settings!$B$29:$B$40,MONTH(A6315)),INDEX(Settings!$B$29:$B$40,MONTH(A6315)))))</f>
        <v/>
      </c>
    </row>
    <row r="6316" customFormat="false" ht="15" hidden="false" customHeight="false" outlineLevel="0" collapsed="false">
      <c r="H6316" s="0" t="str">
        <f aca="false">IF(B6316="","",IF(COUNTIF(Campaigns!$A$7:$A$300,B6316)&gt;0,"✓","⚠ add to Campaigns tab"))</f>
        <v/>
      </c>
      <c r="I6316" s="84" t="str">
        <f aca="false">IF(C6316="","",C6316*IF(Settings!$B$22=Settings!$C$6,1,IF(Settings!$B$22="USD",1/INDEX(Settings!$B$29:$B$40,MONTH(A6316)),INDEX(Settings!$B$29:$B$40,MONTH(A6316)))))</f>
        <v/>
      </c>
    </row>
    <row r="6317" customFormat="false" ht="15" hidden="false" customHeight="false" outlineLevel="0" collapsed="false">
      <c r="H6317" s="0" t="str">
        <f aca="false">IF(B6317="","",IF(COUNTIF(Campaigns!$A$7:$A$300,B6317)&gt;0,"✓","⚠ add to Campaigns tab"))</f>
        <v/>
      </c>
      <c r="I6317" s="84" t="str">
        <f aca="false">IF(C6317="","",C6317*IF(Settings!$B$22=Settings!$C$6,1,IF(Settings!$B$22="USD",1/INDEX(Settings!$B$29:$B$40,MONTH(A6317)),INDEX(Settings!$B$29:$B$40,MONTH(A6317)))))</f>
        <v/>
      </c>
    </row>
    <row r="6318" customFormat="false" ht="15" hidden="false" customHeight="false" outlineLevel="0" collapsed="false">
      <c r="H6318" s="0" t="str">
        <f aca="false">IF(B6318="","",IF(COUNTIF(Campaigns!$A$7:$A$300,B6318)&gt;0,"✓","⚠ add to Campaigns tab"))</f>
        <v/>
      </c>
      <c r="I6318" s="84" t="str">
        <f aca="false">IF(C6318="","",C6318*IF(Settings!$B$22=Settings!$C$6,1,IF(Settings!$B$22="USD",1/INDEX(Settings!$B$29:$B$40,MONTH(A6318)),INDEX(Settings!$B$29:$B$40,MONTH(A6318)))))</f>
        <v/>
      </c>
    </row>
    <row r="6319" customFormat="false" ht="15" hidden="false" customHeight="false" outlineLevel="0" collapsed="false">
      <c r="H6319" s="0" t="str">
        <f aca="false">IF(B6319="","",IF(COUNTIF(Campaigns!$A$7:$A$300,B6319)&gt;0,"✓","⚠ add to Campaigns tab"))</f>
        <v/>
      </c>
      <c r="I6319" s="84" t="str">
        <f aca="false">IF(C6319="","",C6319*IF(Settings!$B$22=Settings!$C$6,1,IF(Settings!$B$22="USD",1/INDEX(Settings!$B$29:$B$40,MONTH(A6319)),INDEX(Settings!$B$29:$B$40,MONTH(A6319)))))</f>
        <v/>
      </c>
    </row>
    <row r="6320" customFormat="false" ht="15" hidden="false" customHeight="false" outlineLevel="0" collapsed="false">
      <c r="H6320" s="0" t="str">
        <f aca="false">IF(B6320="","",IF(COUNTIF(Campaigns!$A$7:$A$300,B6320)&gt;0,"✓","⚠ add to Campaigns tab"))</f>
        <v/>
      </c>
      <c r="I6320" s="84" t="str">
        <f aca="false">IF(C6320="","",C6320*IF(Settings!$B$22=Settings!$C$6,1,IF(Settings!$B$22="USD",1/INDEX(Settings!$B$29:$B$40,MONTH(A6320)),INDEX(Settings!$B$29:$B$40,MONTH(A6320)))))</f>
        <v/>
      </c>
    </row>
    <row r="6321" customFormat="false" ht="15" hidden="false" customHeight="false" outlineLevel="0" collapsed="false">
      <c r="H6321" s="0" t="str">
        <f aca="false">IF(B6321="","",IF(COUNTIF(Campaigns!$A$7:$A$300,B6321)&gt;0,"✓","⚠ add to Campaigns tab"))</f>
        <v/>
      </c>
      <c r="I6321" s="84" t="str">
        <f aca="false">IF(C6321="","",C6321*IF(Settings!$B$22=Settings!$C$6,1,IF(Settings!$B$22="USD",1/INDEX(Settings!$B$29:$B$40,MONTH(A6321)),INDEX(Settings!$B$29:$B$40,MONTH(A6321)))))</f>
        <v/>
      </c>
    </row>
    <row r="6322" customFormat="false" ht="15" hidden="false" customHeight="false" outlineLevel="0" collapsed="false">
      <c r="H6322" s="0" t="str">
        <f aca="false">IF(B6322="","",IF(COUNTIF(Campaigns!$A$7:$A$300,B6322)&gt;0,"✓","⚠ add to Campaigns tab"))</f>
        <v/>
      </c>
      <c r="I6322" s="84" t="str">
        <f aca="false">IF(C6322="","",C6322*IF(Settings!$B$22=Settings!$C$6,1,IF(Settings!$B$22="USD",1/INDEX(Settings!$B$29:$B$40,MONTH(A6322)),INDEX(Settings!$B$29:$B$40,MONTH(A6322)))))</f>
        <v/>
      </c>
    </row>
    <row r="6323" customFormat="false" ht="15" hidden="false" customHeight="false" outlineLevel="0" collapsed="false">
      <c r="H6323" s="0" t="str">
        <f aca="false">IF(B6323="","",IF(COUNTIF(Campaigns!$A$7:$A$300,B6323)&gt;0,"✓","⚠ add to Campaigns tab"))</f>
        <v/>
      </c>
      <c r="I6323" s="84" t="str">
        <f aca="false">IF(C6323="","",C6323*IF(Settings!$B$22=Settings!$C$6,1,IF(Settings!$B$22="USD",1/INDEX(Settings!$B$29:$B$40,MONTH(A6323)),INDEX(Settings!$B$29:$B$40,MONTH(A6323)))))</f>
        <v/>
      </c>
    </row>
    <row r="6324" customFormat="false" ht="15" hidden="false" customHeight="false" outlineLevel="0" collapsed="false">
      <c r="H6324" s="0" t="str">
        <f aca="false">IF(B6324="","",IF(COUNTIF(Campaigns!$A$7:$A$300,B6324)&gt;0,"✓","⚠ add to Campaigns tab"))</f>
        <v/>
      </c>
      <c r="I6324" s="84" t="str">
        <f aca="false">IF(C6324="","",C6324*IF(Settings!$B$22=Settings!$C$6,1,IF(Settings!$B$22="USD",1/INDEX(Settings!$B$29:$B$40,MONTH(A6324)),INDEX(Settings!$B$29:$B$40,MONTH(A6324)))))</f>
        <v/>
      </c>
    </row>
    <row r="6325" customFormat="false" ht="15" hidden="false" customHeight="false" outlineLevel="0" collapsed="false">
      <c r="H6325" s="0" t="str">
        <f aca="false">IF(B6325="","",IF(COUNTIF(Campaigns!$A$7:$A$300,B6325)&gt;0,"✓","⚠ add to Campaigns tab"))</f>
        <v/>
      </c>
      <c r="I6325" s="84" t="str">
        <f aca="false">IF(C6325="","",C6325*IF(Settings!$B$22=Settings!$C$6,1,IF(Settings!$B$22="USD",1/INDEX(Settings!$B$29:$B$40,MONTH(A6325)),INDEX(Settings!$B$29:$B$40,MONTH(A6325)))))</f>
        <v/>
      </c>
    </row>
    <row r="6326" customFormat="false" ht="15" hidden="false" customHeight="false" outlineLevel="0" collapsed="false">
      <c r="H6326" s="0" t="str">
        <f aca="false">IF(B6326="","",IF(COUNTIF(Campaigns!$A$7:$A$300,B6326)&gt;0,"✓","⚠ add to Campaigns tab"))</f>
        <v/>
      </c>
      <c r="I6326" s="84" t="str">
        <f aca="false">IF(C6326="","",C6326*IF(Settings!$B$22=Settings!$C$6,1,IF(Settings!$B$22="USD",1/INDEX(Settings!$B$29:$B$40,MONTH(A6326)),INDEX(Settings!$B$29:$B$40,MONTH(A6326)))))</f>
        <v/>
      </c>
    </row>
    <row r="6327" customFormat="false" ht="15" hidden="false" customHeight="false" outlineLevel="0" collapsed="false">
      <c r="H6327" s="0" t="str">
        <f aca="false">IF(B6327="","",IF(COUNTIF(Campaigns!$A$7:$A$300,B6327)&gt;0,"✓","⚠ add to Campaigns tab"))</f>
        <v/>
      </c>
      <c r="I6327" s="84" t="str">
        <f aca="false">IF(C6327="","",C6327*IF(Settings!$B$22=Settings!$C$6,1,IF(Settings!$B$22="USD",1/INDEX(Settings!$B$29:$B$40,MONTH(A6327)),INDEX(Settings!$B$29:$B$40,MONTH(A6327)))))</f>
        <v/>
      </c>
    </row>
    <row r="6328" customFormat="false" ht="15" hidden="false" customHeight="false" outlineLevel="0" collapsed="false">
      <c r="H6328" s="0" t="str">
        <f aca="false">IF(B6328="","",IF(COUNTIF(Campaigns!$A$7:$A$300,B6328)&gt;0,"✓","⚠ add to Campaigns tab"))</f>
        <v/>
      </c>
      <c r="I6328" s="84" t="str">
        <f aca="false">IF(C6328="","",C6328*IF(Settings!$B$22=Settings!$C$6,1,IF(Settings!$B$22="USD",1/INDEX(Settings!$B$29:$B$40,MONTH(A6328)),INDEX(Settings!$B$29:$B$40,MONTH(A6328)))))</f>
        <v/>
      </c>
    </row>
    <row r="6329" customFormat="false" ht="15" hidden="false" customHeight="false" outlineLevel="0" collapsed="false">
      <c r="H6329" s="0" t="str">
        <f aca="false">IF(B6329="","",IF(COUNTIF(Campaigns!$A$7:$A$300,B6329)&gt;0,"✓","⚠ add to Campaigns tab"))</f>
        <v/>
      </c>
      <c r="I6329" s="84" t="str">
        <f aca="false">IF(C6329="","",C6329*IF(Settings!$B$22=Settings!$C$6,1,IF(Settings!$B$22="USD",1/INDEX(Settings!$B$29:$B$40,MONTH(A6329)),INDEX(Settings!$B$29:$B$40,MONTH(A6329)))))</f>
        <v/>
      </c>
    </row>
    <row r="6330" customFormat="false" ht="15" hidden="false" customHeight="false" outlineLevel="0" collapsed="false">
      <c r="H6330" s="0" t="str">
        <f aca="false">IF(B6330="","",IF(COUNTIF(Campaigns!$A$7:$A$300,B6330)&gt;0,"✓","⚠ add to Campaigns tab"))</f>
        <v/>
      </c>
      <c r="I6330" s="84" t="str">
        <f aca="false">IF(C6330="","",C6330*IF(Settings!$B$22=Settings!$C$6,1,IF(Settings!$B$22="USD",1/INDEX(Settings!$B$29:$B$40,MONTH(A6330)),INDEX(Settings!$B$29:$B$40,MONTH(A6330)))))</f>
        <v/>
      </c>
    </row>
    <row r="6331" customFormat="false" ht="15" hidden="false" customHeight="false" outlineLevel="0" collapsed="false">
      <c r="H6331" s="0" t="str">
        <f aca="false">IF(B6331="","",IF(COUNTIF(Campaigns!$A$7:$A$300,B6331)&gt;0,"✓","⚠ add to Campaigns tab"))</f>
        <v/>
      </c>
      <c r="I6331" s="84" t="str">
        <f aca="false">IF(C6331="","",C6331*IF(Settings!$B$22=Settings!$C$6,1,IF(Settings!$B$22="USD",1/INDEX(Settings!$B$29:$B$40,MONTH(A6331)),INDEX(Settings!$B$29:$B$40,MONTH(A6331)))))</f>
        <v/>
      </c>
    </row>
    <row r="6332" customFormat="false" ht="15" hidden="false" customHeight="false" outlineLevel="0" collapsed="false">
      <c r="H6332" s="0" t="str">
        <f aca="false">IF(B6332="","",IF(COUNTIF(Campaigns!$A$7:$A$300,B6332)&gt;0,"✓","⚠ add to Campaigns tab"))</f>
        <v/>
      </c>
      <c r="I6332" s="84" t="str">
        <f aca="false">IF(C6332="","",C6332*IF(Settings!$B$22=Settings!$C$6,1,IF(Settings!$B$22="USD",1/INDEX(Settings!$B$29:$B$40,MONTH(A6332)),INDEX(Settings!$B$29:$B$40,MONTH(A6332)))))</f>
        <v/>
      </c>
    </row>
    <row r="6333" customFormat="false" ht="15" hidden="false" customHeight="false" outlineLevel="0" collapsed="false">
      <c r="H6333" s="0" t="str">
        <f aca="false">IF(B6333="","",IF(COUNTIF(Campaigns!$A$7:$A$300,B6333)&gt;0,"✓","⚠ add to Campaigns tab"))</f>
        <v/>
      </c>
      <c r="I6333" s="84" t="str">
        <f aca="false">IF(C6333="","",C6333*IF(Settings!$B$22=Settings!$C$6,1,IF(Settings!$B$22="USD",1/INDEX(Settings!$B$29:$B$40,MONTH(A6333)),INDEX(Settings!$B$29:$B$40,MONTH(A6333)))))</f>
        <v/>
      </c>
    </row>
    <row r="6334" customFormat="false" ht="15" hidden="false" customHeight="false" outlineLevel="0" collapsed="false">
      <c r="H6334" s="0" t="str">
        <f aca="false">IF(B6334="","",IF(COUNTIF(Campaigns!$A$7:$A$300,B6334)&gt;0,"✓","⚠ add to Campaigns tab"))</f>
        <v/>
      </c>
      <c r="I6334" s="84" t="str">
        <f aca="false">IF(C6334="","",C6334*IF(Settings!$B$22=Settings!$C$6,1,IF(Settings!$B$22="USD",1/INDEX(Settings!$B$29:$B$40,MONTH(A6334)),INDEX(Settings!$B$29:$B$40,MONTH(A6334)))))</f>
        <v/>
      </c>
    </row>
    <row r="6335" customFormat="false" ht="15" hidden="false" customHeight="false" outlineLevel="0" collapsed="false">
      <c r="H6335" s="0" t="str">
        <f aca="false">IF(B6335="","",IF(COUNTIF(Campaigns!$A$7:$A$300,B6335)&gt;0,"✓","⚠ add to Campaigns tab"))</f>
        <v/>
      </c>
      <c r="I6335" s="84" t="str">
        <f aca="false">IF(C6335="","",C6335*IF(Settings!$B$22=Settings!$C$6,1,IF(Settings!$B$22="USD",1/INDEX(Settings!$B$29:$B$40,MONTH(A6335)),INDEX(Settings!$B$29:$B$40,MONTH(A6335)))))</f>
        <v/>
      </c>
    </row>
    <row r="6336" customFormat="false" ht="15" hidden="false" customHeight="false" outlineLevel="0" collapsed="false">
      <c r="H6336" s="0" t="str">
        <f aca="false">IF(B6336="","",IF(COUNTIF(Campaigns!$A$7:$A$300,B6336)&gt;0,"✓","⚠ add to Campaigns tab"))</f>
        <v/>
      </c>
      <c r="I6336" s="84" t="str">
        <f aca="false">IF(C6336="","",C6336*IF(Settings!$B$22=Settings!$C$6,1,IF(Settings!$B$22="USD",1/INDEX(Settings!$B$29:$B$40,MONTH(A6336)),INDEX(Settings!$B$29:$B$40,MONTH(A6336)))))</f>
        <v/>
      </c>
    </row>
    <row r="6337" customFormat="false" ht="15" hidden="false" customHeight="false" outlineLevel="0" collapsed="false">
      <c r="H6337" s="0" t="str">
        <f aca="false">IF(B6337="","",IF(COUNTIF(Campaigns!$A$7:$A$300,B6337)&gt;0,"✓","⚠ add to Campaigns tab"))</f>
        <v/>
      </c>
      <c r="I6337" s="84" t="str">
        <f aca="false">IF(C6337="","",C6337*IF(Settings!$B$22=Settings!$C$6,1,IF(Settings!$B$22="USD",1/INDEX(Settings!$B$29:$B$40,MONTH(A6337)),INDEX(Settings!$B$29:$B$40,MONTH(A6337)))))</f>
        <v/>
      </c>
    </row>
    <row r="6338" customFormat="false" ht="15" hidden="false" customHeight="false" outlineLevel="0" collapsed="false">
      <c r="H6338" s="0" t="str">
        <f aca="false">IF(B6338="","",IF(COUNTIF(Campaigns!$A$7:$A$300,B6338)&gt;0,"✓","⚠ add to Campaigns tab"))</f>
        <v/>
      </c>
      <c r="I6338" s="84" t="str">
        <f aca="false">IF(C6338="","",C6338*IF(Settings!$B$22=Settings!$C$6,1,IF(Settings!$B$22="USD",1/INDEX(Settings!$B$29:$B$40,MONTH(A6338)),INDEX(Settings!$B$29:$B$40,MONTH(A6338)))))</f>
        <v/>
      </c>
    </row>
    <row r="6339" customFormat="false" ht="15" hidden="false" customHeight="false" outlineLevel="0" collapsed="false">
      <c r="H6339" s="0" t="str">
        <f aca="false">IF(B6339="","",IF(COUNTIF(Campaigns!$A$7:$A$300,B6339)&gt;0,"✓","⚠ add to Campaigns tab"))</f>
        <v/>
      </c>
      <c r="I6339" s="84" t="str">
        <f aca="false">IF(C6339="","",C6339*IF(Settings!$B$22=Settings!$C$6,1,IF(Settings!$B$22="USD",1/INDEX(Settings!$B$29:$B$40,MONTH(A6339)),INDEX(Settings!$B$29:$B$40,MONTH(A6339)))))</f>
        <v/>
      </c>
    </row>
    <row r="6340" customFormat="false" ht="15" hidden="false" customHeight="false" outlineLevel="0" collapsed="false">
      <c r="H6340" s="0" t="str">
        <f aca="false">IF(B6340="","",IF(COUNTIF(Campaigns!$A$7:$A$300,B6340)&gt;0,"✓","⚠ add to Campaigns tab"))</f>
        <v/>
      </c>
      <c r="I6340" s="84" t="str">
        <f aca="false">IF(C6340="","",C6340*IF(Settings!$B$22=Settings!$C$6,1,IF(Settings!$B$22="USD",1/INDEX(Settings!$B$29:$B$40,MONTH(A6340)),INDEX(Settings!$B$29:$B$40,MONTH(A6340)))))</f>
        <v/>
      </c>
    </row>
    <row r="6341" customFormat="false" ht="15" hidden="false" customHeight="false" outlineLevel="0" collapsed="false">
      <c r="H6341" s="0" t="str">
        <f aca="false">IF(B6341="","",IF(COUNTIF(Campaigns!$A$7:$A$300,B6341)&gt;0,"✓","⚠ add to Campaigns tab"))</f>
        <v/>
      </c>
      <c r="I6341" s="84" t="str">
        <f aca="false">IF(C6341="","",C6341*IF(Settings!$B$22=Settings!$C$6,1,IF(Settings!$B$22="USD",1/INDEX(Settings!$B$29:$B$40,MONTH(A6341)),INDEX(Settings!$B$29:$B$40,MONTH(A6341)))))</f>
        <v/>
      </c>
    </row>
    <row r="6342" customFormat="false" ht="15" hidden="false" customHeight="false" outlineLevel="0" collapsed="false">
      <c r="H6342" s="0" t="str">
        <f aca="false">IF(B6342="","",IF(COUNTIF(Campaigns!$A$7:$A$300,B6342)&gt;0,"✓","⚠ add to Campaigns tab"))</f>
        <v/>
      </c>
      <c r="I6342" s="84" t="str">
        <f aca="false">IF(C6342="","",C6342*IF(Settings!$B$22=Settings!$C$6,1,IF(Settings!$B$22="USD",1/INDEX(Settings!$B$29:$B$40,MONTH(A6342)),INDEX(Settings!$B$29:$B$40,MONTH(A6342)))))</f>
        <v/>
      </c>
    </row>
    <row r="6343" customFormat="false" ht="15" hidden="false" customHeight="false" outlineLevel="0" collapsed="false">
      <c r="H6343" s="0" t="str">
        <f aca="false">IF(B6343="","",IF(COUNTIF(Campaigns!$A$7:$A$300,B6343)&gt;0,"✓","⚠ add to Campaigns tab"))</f>
        <v/>
      </c>
      <c r="I6343" s="84" t="str">
        <f aca="false">IF(C6343="","",C6343*IF(Settings!$B$22=Settings!$C$6,1,IF(Settings!$B$22="USD",1/INDEX(Settings!$B$29:$B$40,MONTH(A6343)),INDEX(Settings!$B$29:$B$40,MONTH(A6343)))))</f>
        <v/>
      </c>
    </row>
    <row r="6344" customFormat="false" ht="15" hidden="false" customHeight="false" outlineLevel="0" collapsed="false">
      <c r="H6344" s="0" t="str">
        <f aca="false">IF(B6344="","",IF(COUNTIF(Campaigns!$A$7:$A$300,B6344)&gt;0,"✓","⚠ add to Campaigns tab"))</f>
        <v/>
      </c>
      <c r="I6344" s="84" t="str">
        <f aca="false">IF(C6344="","",C6344*IF(Settings!$B$22=Settings!$C$6,1,IF(Settings!$B$22="USD",1/INDEX(Settings!$B$29:$B$40,MONTH(A6344)),INDEX(Settings!$B$29:$B$40,MONTH(A6344)))))</f>
        <v/>
      </c>
    </row>
    <row r="6345" customFormat="false" ht="15" hidden="false" customHeight="false" outlineLevel="0" collapsed="false">
      <c r="H6345" s="0" t="str">
        <f aca="false">IF(B6345="","",IF(COUNTIF(Campaigns!$A$7:$A$300,B6345)&gt;0,"✓","⚠ add to Campaigns tab"))</f>
        <v/>
      </c>
      <c r="I6345" s="84" t="str">
        <f aca="false">IF(C6345="","",C6345*IF(Settings!$B$22=Settings!$C$6,1,IF(Settings!$B$22="USD",1/INDEX(Settings!$B$29:$B$40,MONTH(A6345)),INDEX(Settings!$B$29:$B$40,MONTH(A6345)))))</f>
        <v/>
      </c>
    </row>
    <row r="6346" customFormat="false" ht="15" hidden="false" customHeight="false" outlineLevel="0" collapsed="false">
      <c r="H6346" s="0" t="str">
        <f aca="false">IF(B6346="","",IF(COUNTIF(Campaigns!$A$7:$A$300,B6346)&gt;0,"✓","⚠ add to Campaigns tab"))</f>
        <v/>
      </c>
      <c r="I6346" s="84" t="str">
        <f aca="false">IF(C6346="","",C6346*IF(Settings!$B$22=Settings!$C$6,1,IF(Settings!$B$22="USD",1/INDEX(Settings!$B$29:$B$40,MONTH(A6346)),INDEX(Settings!$B$29:$B$40,MONTH(A6346)))))</f>
        <v/>
      </c>
    </row>
    <row r="6347" customFormat="false" ht="15" hidden="false" customHeight="false" outlineLevel="0" collapsed="false">
      <c r="H6347" s="0" t="str">
        <f aca="false">IF(B6347="","",IF(COUNTIF(Campaigns!$A$7:$A$300,B6347)&gt;0,"✓","⚠ add to Campaigns tab"))</f>
        <v/>
      </c>
      <c r="I6347" s="84" t="str">
        <f aca="false">IF(C6347="","",C6347*IF(Settings!$B$22=Settings!$C$6,1,IF(Settings!$B$22="USD",1/INDEX(Settings!$B$29:$B$40,MONTH(A6347)),INDEX(Settings!$B$29:$B$40,MONTH(A6347)))))</f>
        <v/>
      </c>
    </row>
    <row r="6348" customFormat="false" ht="15" hidden="false" customHeight="false" outlineLevel="0" collapsed="false">
      <c r="H6348" s="0" t="str">
        <f aca="false">IF(B6348="","",IF(COUNTIF(Campaigns!$A$7:$A$300,B6348)&gt;0,"✓","⚠ add to Campaigns tab"))</f>
        <v/>
      </c>
      <c r="I6348" s="84" t="str">
        <f aca="false">IF(C6348="","",C6348*IF(Settings!$B$22=Settings!$C$6,1,IF(Settings!$B$22="USD",1/INDEX(Settings!$B$29:$B$40,MONTH(A6348)),INDEX(Settings!$B$29:$B$40,MONTH(A6348)))))</f>
        <v/>
      </c>
    </row>
    <row r="6349" customFormat="false" ht="15" hidden="false" customHeight="false" outlineLevel="0" collapsed="false">
      <c r="H6349" s="0" t="str">
        <f aca="false">IF(B6349="","",IF(COUNTIF(Campaigns!$A$7:$A$300,B6349)&gt;0,"✓","⚠ add to Campaigns tab"))</f>
        <v/>
      </c>
      <c r="I6349" s="84" t="str">
        <f aca="false">IF(C6349="","",C6349*IF(Settings!$B$22=Settings!$C$6,1,IF(Settings!$B$22="USD",1/INDEX(Settings!$B$29:$B$40,MONTH(A6349)),INDEX(Settings!$B$29:$B$40,MONTH(A6349)))))</f>
        <v/>
      </c>
    </row>
    <row r="6350" customFormat="false" ht="15" hidden="false" customHeight="false" outlineLevel="0" collapsed="false">
      <c r="H6350" s="0" t="str">
        <f aca="false">IF(B6350="","",IF(COUNTIF(Campaigns!$A$7:$A$300,B6350)&gt;0,"✓","⚠ add to Campaigns tab"))</f>
        <v/>
      </c>
      <c r="I6350" s="84" t="str">
        <f aca="false">IF(C6350="","",C6350*IF(Settings!$B$22=Settings!$C$6,1,IF(Settings!$B$22="USD",1/INDEX(Settings!$B$29:$B$40,MONTH(A6350)),INDEX(Settings!$B$29:$B$40,MONTH(A6350)))))</f>
        <v/>
      </c>
    </row>
    <row r="6351" customFormat="false" ht="15" hidden="false" customHeight="false" outlineLevel="0" collapsed="false">
      <c r="H6351" s="0" t="str">
        <f aca="false">IF(B6351="","",IF(COUNTIF(Campaigns!$A$7:$A$300,B6351)&gt;0,"✓","⚠ add to Campaigns tab"))</f>
        <v/>
      </c>
      <c r="I6351" s="84" t="str">
        <f aca="false">IF(C6351="","",C6351*IF(Settings!$B$22=Settings!$C$6,1,IF(Settings!$B$22="USD",1/INDEX(Settings!$B$29:$B$40,MONTH(A6351)),INDEX(Settings!$B$29:$B$40,MONTH(A6351)))))</f>
        <v/>
      </c>
    </row>
    <row r="6352" customFormat="false" ht="15" hidden="false" customHeight="false" outlineLevel="0" collapsed="false">
      <c r="H6352" s="0" t="str">
        <f aca="false">IF(B6352="","",IF(COUNTIF(Campaigns!$A$7:$A$300,B6352)&gt;0,"✓","⚠ add to Campaigns tab"))</f>
        <v/>
      </c>
      <c r="I6352" s="84" t="str">
        <f aca="false">IF(C6352="","",C6352*IF(Settings!$B$22=Settings!$C$6,1,IF(Settings!$B$22="USD",1/INDEX(Settings!$B$29:$B$40,MONTH(A6352)),INDEX(Settings!$B$29:$B$40,MONTH(A6352)))))</f>
        <v/>
      </c>
    </row>
    <row r="6353" customFormat="false" ht="15" hidden="false" customHeight="false" outlineLevel="0" collapsed="false">
      <c r="H6353" s="0" t="str">
        <f aca="false">IF(B6353="","",IF(COUNTIF(Campaigns!$A$7:$A$300,B6353)&gt;0,"✓","⚠ add to Campaigns tab"))</f>
        <v/>
      </c>
      <c r="I6353" s="84" t="str">
        <f aca="false">IF(C6353="","",C6353*IF(Settings!$B$22=Settings!$C$6,1,IF(Settings!$B$22="USD",1/INDEX(Settings!$B$29:$B$40,MONTH(A6353)),INDEX(Settings!$B$29:$B$40,MONTH(A6353)))))</f>
        <v/>
      </c>
    </row>
    <row r="6354" customFormat="false" ht="15" hidden="false" customHeight="false" outlineLevel="0" collapsed="false">
      <c r="H6354" s="0" t="str">
        <f aca="false">IF(B6354="","",IF(COUNTIF(Campaigns!$A$7:$A$300,B6354)&gt;0,"✓","⚠ add to Campaigns tab"))</f>
        <v/>
      </c>
      <c r="I6354" s="84" t="str">
        <f aca="false">IF(C6354="","",C6354*IF(Settings!$B$22=Settings!$C$6,1,IF(Settings!$B$22="USD",1/INDEX(Settings!$B$29:$B$40,MONTH(A6354)),INDEX(Settings!$B$29:$B$40,MONTH(A6354)))))</f>
        <v/>
      </c>
    </row>
    <row r="6355" customFormat="false" ht="15" hidden="false" customHeight="false" outlineLevel="0" collapsed="false">
      <c r="H6355" s="0" t="str">
        <f aca="false">IF(B6355="","",IF(COUNTIF(Campaigns!$A$7:$A$300,B6355)&gt;0,"✓","⚠ add to Campaigns tab"))</f>
        <v/>
      </c>
      <c r="I6355" s="84" t="str">
        <f aca="false">IF(C6355="","",C6355*IF(Settings!$B$22=Settings!$C$6,1,IF(Settings!$B$22="USD",1/INDEX(Settings!$B$29:$B$40,MONTH(A6355)),INDEX(Settings!$B$29:$B$40,MONTH(A6355)))))</f>
        <v/>
      </c>
    </row>
    <row r="6356" customFormat="false" ht="15" hidden="false" customHeight="false" outlineLevel="0" collapsed="false">
      <c r="H6356" s="0" t="str">
        <f aca="false">IF(B6356="","",IF(COUNTIF(Campaigns!$A$7:$A$300,B6356)&gt;0,"✓","⚠ add to Campaigns tab"))</f>
        <v/>
      </c>
      <c r="I6356" s="84" t="str">
        <f aca="false">IF(C6356="","",C6356*IF(Settings!$B$22=Settings!$C$6,1,IF(Settings!$B$22="USD",1/INDEX(Settings!$B$29:$B$40,MONTH(A6356)),INDEX(Settings!$B$29:$B$40,MONTH(A6356)))))</f>
        <v/>
      </c>
    </row>
    <row r="6357" customFormat="false" ht="15" hidden="false" customHeight="false" outlineLevel="0" collapsed="false">
      <c r="H6357" s="0" t="str">
        <f aca="false">IF(B6357="","",IF(COUNTIF(Campaigns!$A$7:$A$300,B6357)&gt;0,"✓","⚠ add to Campaigns tab"))</f>
        <v/>
      </c>
      <c r="I6357" s="84" t="str">
        <f aca="false">IF(C6357="","",C6357*IF(Settings!$B$22=Settings!$C$6,1,IF(Settings!$B$22="USD",1/INDEX(Settings!$B$29:$B$40,MONTH(A6357)),INDEX(Settings!$B$29:$B$40,MONTH(A6357)))))</f>
        <v/>
      </c>
    </row>
    <row r="6358" customFormat="false" ht="15" hidden="false" customHeight="false" outlineLevel="0" collapsed="false">
      <c r="H6358" s="0" t="str">
        <f aca="false">IF(B6358="","",IF(COUNTIF(Campaigns!$A$7:$A$300,B6358)&gt;0,"✓","⚠ add to Campaigns tab"))</f>
        <v/>
      </c>
      <c r="I6358" s="84" t="str">
        <f aca="false">IF(C6358="","",C6358*IF(Settings!$B$22=Settings!$C$6,1,IF(Settings!$B$22="USD",1/INDEX(Settings!$B$29:$B$40,MONTH(A6358)),INDEX(Settings!$B$29:$B$40,MONTH(A6358)))))</f>
        <v/>
      </c>
    </row>
    <row r="6359" customFormat="false" ht="15" hidden="false" customHeight="false" outlineLevel="0" collapsed="false">
      <c r="H6359" s="0" t="str">
        <f aca="false">IF(B6359="","",IF(COUNTIF(Campaigns!$A$7:$A$300,B6359)&gt;0,"✓","⚠ add to Campaigns tab"))</f>
        <v/>
      </c>
      <c r="I6359" s="84" t="str">
        <f aca="false">IF(C6359="","",C6359*IF(Settings!$B$22=Settings!$C$6,1,IF(Settings!$B$22="USD",1/INDEX(Settings!$B$29:$B$40,MONTH(A6359)),INDEX(Settings!$B$29:$B$40,MONTH(A6359)))))</f>
        <v/>
      </c>
    </row>
    <row r="6360" customFormat="false" ht="15" hidden="false" customHeight="false" outlineLevel="0" collapsed="false">
      <c r="H6360" s="0" t="str">
        <f aca="false">IF(B6360="","",IF(COUNTIF(Campaigns!$A$7:$A$300,B6360)&gt;0,"✓","⚠ add to Campaigns tab"))</f>
        <v/>
      </c>
      <c r="I6360" s="84" t="str">
        <f aca="false">IF(C6360="","",C6360*IF(Settings!$B$22=Settings!$C$6,1,IF(Settings!$B$22="USD",1/INDEX(Settings!$B$29:$B$40,MONTH(A6360)),INDEX(Settings!$B$29:$B$40,MONTH(A6360)))))</f>
        <v/>
      </c>
    </row>
    <row r="6361" customFormat="false" ht="15" hidden="false" customHeight="false" outlineLevel="0" collapsed="false">
      <c r="H6361" s="0" t="str">
        <f aca="false">IF(B6361="","",IF(COUNTIF(Campaigns!$A$7:$A$300,B6361)&gt;0,"✓","⚠ add to Campaigns tab"))</f>
        <v/>
      </c>
      <c r="I6361" s="84" t="str">
        <f aca="false">IF(C6361="","",C6361*IF(Settings!$B$22=Settings!$C$6,1,IF(Settings!$B$22="USD",1/INDEX(Settings!$B$29:$B$40,MONTH(A6361)),INDEX(Settings!$B$29:$B$40,MONTH(A6361)))))</f>
        <v/>
      </c>
    </row>
    <row r="6362" customFormat="false" ht="15" hidden="false" customHeight="false" outlineLevel="0" collapsed="false">
      <c r="H6362" s="0" t="str">
        <f aca="false">IF(B6362="","",IF(COUNTIF(Campaigns!$A$7:$A$300,B6362)&gt;0,"✓","⚠ add to Campaigns tab"))</f>
        <v/>
      </c>
      <c r="I6362" s="84" t="str">
        <f aca="false">IF(C6362="","",C6362*IF(Settings!$B$22=Settings!$C$6,1,IF(Settings!$B$22="USD",1/INDEX(Settings!$B$29:$B$40,MONTH(A6362)),INDEX(Settings!$B$29:$B$40,MONTH(A6362)))))</f>
        <v/>
      </c>
    </row>
    <row r="6363" customFormat="false" ht="15" hidden="false" customHeight="false" outlineLevel="0" collapsed="false">
      <c r="H6363" s="0" t="str">
        <f aca="false">IF(B6363="","",IF(COUNTIF(Campaigns!$A$7:$A$300,B6363)&gt;0,"✓","⚠ add to Campaigns tab"))</f>
        <v/>
      </c>
      <c r="I6363" s="84" t="str">
        <f aca="false">IF(C6363="","",C6363*IF(Settings!$B$22=Settings!$C$6,1,IF(Settings!$B$22="USD",1/INDEX(Settings!$B$29:$B$40,MONTH(A6363)),INDEX(Settings!$B$29:$B$40,MONTH(A6363)))))</f>
        <v/>
      </c>
    </row>
    <row r="6364" customFormat="false" ht="15" hidden="false" customHeight="false" outlineLevel="0" collapsed="false">
      <c r="H6364" s="0" t="str">
        <f aca="false">IF(B6364="","",IF(COUNTIF(Campaigns!$A$7:$A$300,B6364)&gt;0,"✓","⚠ add to Campaigns tab"))</f>
        <v/>
      </c>
      <c r="I6364" s="84" t="str">
        <f aca="false">IF(C6364="","",C6364*IF(Settings!$B$22=Settings!$C$6,1,IF(Settings!$B$22="USD",1/INDEX(Settings!$B$29:$B$40,MONTH(A6364)),INDEX(Settings!$B$29:$B$40,MONTH(A6364)))))</f>
        <v/>
      </c>
    </row>
    <row r="6365" customFormat="false" ht="15" hidden="false" customHeight="false" outlineLevel="0" collapsed="false">
      <c r="H6365" s="0" t="str">
        <f aca="false">IF(B6365="","",IF(COUNTIF(Campaigns!$A$7:$A$300,B6365)&gt;0,"✓","⚠ add to Campaigns tab"))</f>
        <v/>
      </c>
      <c r="I6365" s="84" t="str">
        <f aca="false">IF(C6365="","",C6365*IF(Settings!$B$22=Settings!$C$6,1,IF(Settings!$B$22="USD",1/INDEX(Settings!$B$29:$B$40,MONTH(A6365)),INDEX(Settings!$B$29:$B$40,MONTH(A6365)))))</f>
        <v/>
      </c>
    </row>
    <row r="6366" customFormat="false" ht="15" hidden="false" customHeight="false" outlineLevel="0" collapsed="false">
      <c r="H6366" s="0" t="str">
        <f aca="false">IF(B6366="","",IF(COUNTIF(Campaigns!$A$7:$A$300,B6366)&gt;0,"✓","⚠ add to Campaigns tab"))</f>
        <v/>
      </c>
      <c r="I6366" s="84" t="str">
        <f aca="false">IF(C6366="","",C6366*IF(Settings!$B$22=Settings!$C$6,1,IF(Settings!$B$22="USD",1/INDEX(Settings!$B$29:$B$40,MONTH(A6366)),INDEX(Settings!$B$29:$B$40,MONTH(A6366)))))</f>
        <v/>
      </c>
    </row>
    <row r="6367" customFormat="false" ht="15" hidden="false" customHeight="false" outlineLevel="0" collapsed="false">
      <c r="H6367" s="0" t="str">
        <f aca="false">IF(B6367="","",IF(COUNTIF(Campaigns!$A$7:$A$300,B6367)&gt;0,"✓","⚠ add to Campaigns tab"))</f>
        <v/>
      </c>
      <c r="I6367" s="84" t="str">
        <f aca="false">IF(C6367="","",C6367*IF(Settings!$B$22=Settings!$C$6,1,IF(Settings!$B$22="USD",1/INDEX(Settings!$B$29:$B$40,MONTH(A6367)),INDEX(Settings!$B$29:$B$40,MONTH(A6367)))))</f>
        <v/>
      </c>
    </row>
    <row r="6368" customFormat="false" ht="15" hidden="false" customHeight="false" outlineLevel="0" collapsed="false">
      <c r="H6368" s="0" t="str">
        <f aca="false">IF(B6368="","",IF(COUNTIF(Campaigns!$A$7:$A$300,B6368)&gt;0,"✓","⚠ add to Campaigns tab"))</f>
        <v/>
      </c>
      <c r="I6368" s="84" t="str">
        <f aca="false">IF(C6368="","",C6368*IF(Settings!$B$22=Settings!$C$6,1,IF(Settings!$B$22="USD",1/INDEX(Settings!$B$29:$B$40,MONTH(A6368)),INDEX(Settings!$B$29:$B$40,MONTH(A6368)))))</f>
        <v/>
      </c>
    </row>
    <row r="6369" customFormat="false" ht="15" hidden="false" customHeight="false" outlineLevel="0" collapsed="false">
      <c r="H6369" s="0" t="str">
        <f aca="false">IF(B6369="","",IF(COUNTIF(Campaigns!$A$7:$A$300,B6369)&gt;0,"✓","⚠ add to Campaigns tab"))</f>
        <v/>
      </c>
      <c r="I6369" s="84" t="str">
        <f aca="false">IF(C6369="","",C6369*IF(Settings!$B$22=Settings!$C$6,1,IF(Settings!$B$22="USD",1/INDEX(Settings!$B$29:$B$40,MONTH(A6369)),INDEX(Settings!$B$29:$B$40,MONTH(A6369)))))</f>
        <v/>
      </c>
    </row>
    <row r="6370" customFormat="false" ht="15" hidden="false" customHeight="false" outlineLevel="0" collapsed="false">
      <c r="H6370" s="0" t="str">
        <f aca="false">IF(B6370="","",IF(COUNTIF(Campaigns!$A$7:$A$300,B6370)&gt;0,"✓","⚠ add to Campaigns tab"))</f>
        <v/>
      </c>
      <c r="I6370" s="84" t="str">
        <f aca="false">IF(C6370="","",C6370*IF(Settings!$B$22=Settings!$C$6,1,IF(Settings!$B$22="USD",1/INDEX(Settings!$B$29:$B$40,MONTH(A6370)),INDEX(Settings!$B$29:$B$40,MONTH(A6370)))))</f>
        <v/>
      </c>
    </row>
    <row r="6371" customFormat="false" ht="15" hidden="false" customHeight="false" outlineLevel="0" collapsed="false">
      <c r="H6371" s="0" t="str">
        <f aca="false">IF(B6371="","",IF(COUNTIF(Campaigns!$A$7:$A$300,B6371)&gt;0,"✓","⚠ add to Campaigns tab"))</f>
        <v/>
      </c>
      <c r="I6371" s="84" t="str">
        <f aca="false">IF(C6371="","",C6371*IF(Settings!$B$22=Settings!$C$6,1,IF(Settings!$B$22="USD",1/INDEX(Settings!$B$29:$B$40,MONTH(A6371)),INDEX(Settings!$B$29:$B$40,MONTH(A6371)))))</f>
        <v/>
      </c>
    </row>
    <row r="6372" customFormat="false" ht="15" hidden="false" customHeight="false" outlineLevel="0" collapsed="false">
      <c r="H6372" s="0" t="str">
        <f aca="false">IF(B6372="","",IF(COUNTIF(Campaigns!$A$7:$A$300,B6372)&gt;0,"✓","⚠ add to Campaigns tab"))</f>
        <v/>
      </c>
      <c r="I6372" s="84" t="str">
        <f aca="false">IF(C6372="","",C6372*IF(Settings!$B$22=Settings!$C$6,1,IF(Settings!$B$22="USD",1/INDEX(Settings!$B$29:$B$40,MONTH(A6372)),INDEX(Settings!$B$29:$B$40,MONTH(A6372)))))</f>
        <v/>
      </c>
    </row>
    <row r="6373" customFormat="false" ht="15" hidden="false" customHeight="false" outlineLevel="0" collapsed="false">
      <c r="H6373" s="0" t="str">
        <f aca="false">IF(B6373="","",IF(COUNTIF(Campaigns!$A$7:$A$300,B6373)&gt;0,"✓","⚠ add to Campaigns tab"))</f>
        <v/>
      </c>
      <c r="I6373" s="84" t="str">
        <f aca="false">IF(C6373="","",C6373*IF(Settings!$B$22=Settings!$C$6,1,IF(Settings!$B$22="USD",1/INDEX(Settings!$B$29:$B$40,MONTH(A6373)),INDEX(Settings!$B$29:$B$40,MONTH(A6373)))))</f>
        <v/>
      </c>
    </row>
    <row r="6374" customFormat="false" ht="15" hidden="false" customHeight="false" outlineLevel="0" collapsed="false">
      <c r="H6374" s="0" t="str">
        <f aca="false">IF(B6374="","",IF(COUNTIF(Campaigns!$A$7:$A$300,B6374)&gt;0,"✓","⚠ add to Campaigns tab"))</f>
        <v/>
      </c>
      <c r="I6374" s="84" t="str">
        <f aca="false">IF(C6374="","",C6374*IF(Settings!$B$22=Settings!$C$6,1,IF(Settings!$B$22="USD",1/INDEX(Settings!$B$29:$B$40,MONTH(A6374)),INDEX(Settings!$B$29:$B$40,MONTH(A6374)))))</f>
        <v/>
      </c>
    </row>
    <row r="6375" customFormat="false" ht="15" hidden="false" customHeight="false" outlineLevel="0" collapsed="false">
      <c r="H6375" s="0" t="str">
        <f aca="false">IF(B6375="","",IF(COUNTIF(Campaigns!$A$7:$A$300,B6375)&gt;0,"✓","⚠ add to Campaigns tab"))</f>
        <v/>
      </c>
      <c r="I6375" s="84" t="str">
        <f aca="false">IF(C6375="","",C6375*IF(Settings!$B$22=Settings!$C$6,1,IF(Settings!$B$22="USD",1/INDEX(Settings!$B$29:$B$40,MONTH(A6375)),INDEX(Settings!$B$29:$B$40,MONTH(A6375)))))</f>
        <v/>
      </c>
    </row>
    <row r="6376" customFormat="false" ht="15" hidden="false" customHeight="false" outlineLevel="0" collapsed="false">
      <c r="H6376" s="0" t="str">
        <f aca="false">IF(B6376="","",IF(COUNTIF(Campaigns!$A$7:$A$300,B6376)&gt;0,"✓","⚠ add to Campaigns tab"))</f>
        <v/>
      </c>
      <c r="I6376" s="84" t="str">
        <f aca="false">IF(C6376="","",C6376*IF(Settings!$B$22=Settings!$C$6,1,IF(Settings!$B$22="USD",1/INDEX(Settings!$B$29:$B$40,MONTH(A6376)),INDEX(Settings!$B$29:$B$40,MONTH(A6376)))))</f>
        <v/>
      </c>
    </row>
    <row r="6377" customFormat="false" ht="15" hidden="false" customHeight="false" outlineLevel="0" collapsed="false">
      <c r="H6377" s="0" t="str">
        <f aca="false">IF(B6377="","",IF(COUNTIF(Campaigns!$A$7:$A$300,B6377)&gt;0,"✓","⚠ add to Campaigns tab"))</f>
        <v/>
      </c>
      <c r="I6377" s="84" t="str">
        <f aca="false">IF(C6377="","",C6377*IF(Settings!$B$22=Settings!$C$6,1,IF(Settings!$B$22="USD",1/INDEX(Settings!$B$29:$B$40,MONTH(A6377)),INDEX(Settings!$B$29:$B$40,MONTH(A6377)))))</f>
        <v/>
      </c>
    </row>
    <row r="6378" customFormat="false" ht="15" hidden="false" customHeight="false" outlineLevel="0" collapsed="false">
      <c r="H6378" s="0" t="str">
        <f aca="false">IF(B6378="","",IF(COUNTIF(Campaigns!$A$7:$A$300,B6378)&gt;0,"✓","⚠ add to Campaigns tab"))</f>
        <v/>
      </c>
      <c r="I6378" s="84" t="str">
        <f aca="false">IF(C6378="","",C6378*IF(Settings!$B$22=Settings!$C$6,1,IF(Settings!$B$22="USD",1/INDEX(Settings!$B$29:$B$40,MONTH(A6378)),INDEX(Settings!$B$29:$B$40,MONTH(A6378)))))</f>
        <v/>
      </c>
    </row>
    <row r="6379" customFormat="false" ht="15" hidden="false" customHeight="false" outlineLevel="0" collapsed="false">
      <c r="H6379" s="0" t="str">
        <f aca="false">IF(B6379="","",IF(COUNTIF(Campaigns!$A$7:$A$300,B6379)&gt;0,"✓","⚠ add to Campaigns tab"))</f>
        <v/>
      </c>
      <c r="I6379" s="84" t="str">
        <f aca="false">IF(C6379="","",C6379*IF(Settings!$B$22=Settings!$C$6,1,IF(Settings!$B$22="USD",1/INDEX(Settings!$B$29:$B$40,MONTH(A6379)),INDEX(Settings!$B$29:$B$40,MONTH(A6379)))))</f>
        <v/>
      </c>
    </row>
    <row r="6380" customFormat="false" ht="15" hidden="false" customHeight="false" outlineLevel="0" collapsed="false">
      <c r="H6380" s="0" t="str">
        <f aca="false">IF(B6380="","",IF(COUNTIF(Campaigns!$A$7:$A$300,B6380)&gt;0,"✓","⚠ add to Campaigns tab"))</f>
        <v/>
      </c>
      <c r="I6380" s="84" t="str">
        <f aca="false">IF(C6380="","",C6380*IF(Settings!$B$22=Settings!$C$6,1,IF(Settings!$B$22="USD",1/INDEX(Settings!$B$29:$B$40,MONTH(A6380)),INDEX(Settings!$B$29:$B$40,MONTH(A6380)))))</f>
        <v/>
      </c>
    </row>
    <row r="6381" customFormat="false" ht="15" hidden="false" customHeight="false" outlineLevel="0" collapsed="false">
      <c r="H6381" s="0" t="str">
        <f aca="false">IF(B6381="","",IF(COUNTIF(Campaigns!$A$7:$A$300,B6381)&gt;0,"✓","⚠ add to Campaigns tab"))</f>
        <v/>
      </c>
      <c r="I6381" s="84" t="str">
        <f aca="false">IF(C6381="","",C6381*IF(Settings!$B$22=Settings!$C$6,1,IF(Settings!$B$22="USD",1/INDEX(Settings!$B$29:$B$40,MONTH(A6381)),INDEX(Settings!$B$29:$B$40,MONTH(A6381)))))</f>
        <v/>
      </c>
    </row>
    <row r="6382" customFormat="false" ht="15" hidden="false" customHeight="false" outlineLevel="0" collapsed="false">
      <c r="H6382" s="0" t="str">
        <f aca="false">IF(B6382="","",IF(COUNTIF(Campaigns!$A$7:$A$300,B6382)&gt;0,"✓","⚠ add to Campaigns tab"))</f>
        <v/>
      </c>
      <c r="I6382" s="84" t="str">
        <f aca="false">IF(C6382="","",C6382*IF(Settings!$B$22=Settings!$C$6,1,IF(Settings!$B$22="USD",1/INDEX(Settings!$B$29:$B$40,MONTH(A6382)),INDEX(Settings!$B$29:$B$40,MONTH(A6382)))))</f>
        <v/>
      </c>
    </row>
    <row r="6383" customFormat="false" ht="15" hidden="false" customHeight="false" outlineLevel="0" collapsed="false">
      <c r="H6383" s="0" t="str">
        <f aca="false">IF(B6383="","",IF(COUNTIF(Campaigns!$A$7:$A$300,B6383)&gt;0,"✓","⚠ add to Campaigns tab"))</f>
        <v/>
      </c>
      <c r="I6383" s="84" t="str">
        <f aca="false">IF(C6383="","",C6383*IF(Settings!$B$22=Settings!$C$6,1,IF(Settings!$B$22="USD",1/INDEX(Settings!$B$29:$B$40,MONTH(A6383)),INDEX(Settings!$B$29:$B$40,MONTH(A6383)))))</f>
        <v/>
      </c>
    </row>
    <row r="6384" customFormat="false" ht="15" hidden="false" customHeight="false" outlineLevel="0" collapsed="false">
      <c r="H6384" s="0" t="str">
        <f aca="false">IF(B6384="","",IF(COUNTIF(Campaigns!$A$7:$A$300,B6384)&gt;0,"✓","⚠ add to Campaigns tab"))</f>
        <v/>
      </c>
      <c r="I6384" s="84" t="str">
        <f aca="false">IF(C6384="","",C6384*IF(Settings!$B$22=Settings!$C$6,1,IF(Settings!$B$22="USD",1/INDEX(Settings!$B$29:$B$40,MONTH(A6384)),INDEX(Settings!$B$29:$B$40,MONTH(A6384)))))</f>
        <v/>
      </c>
    </row>
    <row r="6385" customFormat="false" ht="15" hidden="false" customHeight="false" outlineLevel="0" collapsed="false">
      <c r="H6385" s="0" t="str">
        <f aca="false">IF(B6385="","",IF(COUNTIF(Campaigns!$A$7:$A$300,B6385)&gt;0,"✓","⚠ add to Campaigns tab"))</f>
        <v/>
      </c>
      <c r="I6385" s="84" t="str">
        <f aca="false">IF(C6385="","",C6385*IF(Settings!$B$22=Settings!$C$6,1,IF(Settings!$B$22="USD",1/INDEX(Settings!$B$29:$B$40,MONTH(A6385)),INDEX(Settings!$B$29:$B$40,MONTH(A6385)))))</f>
        <v/>
      </c>
    </row>
    <row r="6386" customFormat="false" ht="15" hidden="false" customHeight="false" outlineLevel="0" collapsed="false">
      <c r="H6386" s="0" t="str">
        <f aca="false">IF(B6386="","",IF(COUNTIF(Campaigns!$A$7:$A$300,B6386)&gt;0,"✓","⚠ add to Campaigns tab"))</f>
        <v/>
      </c>
      <c r="I6386" s="84" t="str">
        <f aca="false">IF(C6386="","",C6386*IF(Settings!$B$22=Settings!$C$6,1,IF(Settings!$B$22="USD",1/INDEX(Settings!$B$29:$B$40,MONTH(A6386)),INDEX(Settings!$B$29:$B$40,MONTH(A6386)))))</f>
        <v/>
      </c>
    </row>
    <row r="6387" customFormat="false" ht="15" hidden="false" customHeight="false" outlineLevel="0" collapsed="false">
      <c r="H6387" s="0" t="str">
        <f aca="false">IF(B6387="","",IF(COUNTIF(Campaigns!$A$7:$A$300,B6387)&gt;0,"✓","⚠ add to Campaigns tab"))</f>
        <v/>
      </c>
      <c r="I6387" s="84" t="str">
        <f aca="false">IF(C6387="","",C6387*IF(Settings!$B$22=Settings!$C$6,1,IF(Settings!$B$22="USD",1/INDEX(Settings!$B$29:$B$40,MONTH(A6387)),INDEX(Settings!$B$29:$B$40,MONTH(A6387)))))</f>
        <v/>
      </c>
    </row>
    <row r="6388" customFormat="false" ht="15" hidden="false" customHeight="false" outlineLevel="0" collapsed="false">
      <c r="H6388" s="0" t="str">
        <f aca="false">IF(B6388="","",IF(COUNTIF(Campaigns!$A$7:$A$300,B6388)&gt;0,"✓","⚠ add to Campaigns tab"))</f>
        <v/>
      </c>
      <c r="I6388" s="84" t="str">
        <f aca="false">IF(C6388="","",C6388*IF(Settings!$B$22=Settings!$C$6,1,IF(Settings!$B$22="USD",1/INDEX(Settings!$B$29:$B$40,MONTH(A6388)),INDEX(Settings!$B$29:$B$40,MONTH(A6388)))))</f>
        <v/>
      </c>
    </row>
    <row r="6389" customFormat="false" ht="15" hidden="false" customHeight="false" outlineLevel="0" collapsed="false">
      <c r="H6389" s="0" t="str">
        <f aca="false">IF(B6389="","",IF(COUNTIF(Campaigns!$A$7:$A$300,B6389)&gt;0,"✓","⚠ add to Campaigns tab"))</f>
        <v/>
      </c>
      <c r="I6389" s="84" t="str">
        <f aca="false">IF(C6389="","",C6389*IF(Settings!$B$22=Settings!$C$6,1,IF(Settings!$B$22="USD",1/INDEX(Settings!$B$29:$B$40,MONTH(A6389)),INDEX(Settings!$B$29:$B$40,MONTH(A6389)))))</f>
        <v/>
      </c>
    </row>
    <row r="6390" customFormat="false" ht="15" hidden="false" customHeight="false" outlineLevel="0" collapsed="false">
      <c r="H6390" s="0" t="str">
        <f aca="false">IF(B6390="","",IF(COUNTIF(Campaigns!$A$7:$A$300,B6390)&gt;0,"✓","⚠ add to Campaigns tab"))</f>
        <v/>
      </c>
      <c r="I6390" s="84" t="str">
        <f aca="false">IF(C6390="","",C6390*IF(Settings!$B$22=Settings!$C$6,1,IF(Settings!$B$22="USD",1/INDEX(Settings!$B$29:$B$40,MONTH(A6390)),INDEX(Settings!$B$29:$B$40,MONTH(A6390)))))</f>
        <v/>
      </c>
    </row>
    <row r="6391" customFormat="false" ht="15" hidden="false" customHeight="false" outlineLevel="0" collapsed="false">
      <c r="H6391" s="0" t="str">
        <f aca="false">IF(B6391="","",IF(COUNTIF(Campaigns!$A$7:$A$300,B6391)&gt;0,"✓","⚠ add to Campaigns tab"))</f>
        <v/>
      </c>
      <c r="I6391" s="84" t="str">
        <f aca="false">IF(C6391="","",C6391*IF(Settings!$B$22=Settings!$C$6,1,IF(Settings!$B$22="USD",1/INDEX(Settings!$B$29:$B$40,MONTH(A6391)),INDEX(Settings!$B$29:$B$40,MONTH(A6391)))))</f>
        <v/>
      </c>
    </row>
    <row r="6392" customFormat="false" ht="15" hidden="false" customHeight="false" outlineLevel="0" collapsed="false">
      <c r="H6392" s="0" t="str">
        <f aca="false">IF(B6392="","",IF(COUNTIF(Campaigns!$A$7:$A$300,B6392)&gt;0,"✓","⚠ add to Campaigns tab"))</f>
        <v/>
      </c>
      <c r="I6392" s="84" t="str">
        <f aca="false">IF(C6392="","",C6392*IF(Settings!$B$22=Settings!$C$6,1,IF(Settings!$B$22="USD",1/INDEX(Settings!$B$29:$B$40,MONTH(A6392)),INDEX(Settings!$B$29:$B$40,MONTH(A6392)))))</f>
        <v/>
      </c>
    </row>
    <row r="6393" customFormat="false" ht="15" hidden="false" customHeight="false" outlineLevel="0" collapsed="false">
      <c r="H6393" s="0" t="str">
        <f aca="false">IF(B6393="","",IF(COUNTIF(Campaigns!$A$7:$A$300,B6393)&gt;0,"✓","⚠ add to Campaigns tab"))</f>
        <v/>
      </c>
      <c r="I6393" s="84" t="str">
        <f aca="false">IF(C6393="","",C6393*IF(Settings!$B$22=Settings!$C$6,1,IF(Settings!$B$22="USD",1/INDEX(Settings!$B$29:$B$40,MONTH(A6393)),INDEX(Settings!$B$29:$B$40,MONTH(A6393)))))</f>
        <v/>
      </c>
    </row>
    <row r="6394" customFormat="false" ht="15" hidden="false" customHeight="false" outlineLevel="0" collapsed="false">
      <c r="H6394" s="0" t="str">
        <f aca="false">IF(B6394="","",IF(COUNTIF(Campaigns!$A$7:$A$300,B6394)&gt;0,"✓","⚠ add to Campaigns tab"))</f>
        <v/>
      </c>
      <c r="I6394" s="84" t="str">
        <f aca="false">IF(C6394="","",C6394*IF(Settings!$B$22=Settings!$C$6,1,IF(Settings!$B$22="USD",1/INDEX(Settings!$B$29:$B$40,MONTH(A6394)),INDEX(Settings!$B$29:$B$40,MONTH(A6394)))))</f>
        <v/>
      </c>
    </row>
    <row r="6395" customFormat="false" ht="15" hidden="false" customHeight="false" outlineLevel="0" collapsed="false">
      <c r="H6395" s="0" t="str">
        <f aca="false">IF(B6395="","",IF(COUNTIF(Campaigns!$A$7:$A$300,B6395)&gt;0,"✓","⚠ add to Campaigns tab"))</f>
        <v/>
      </c>
      <c r="I6395" s="84" t="str">
        <f aca="false">IF(C6395="","",C6395*IF(Settings!$B$22=Settings!$C$6,1,IF(Settings!$B$22="USD",1/INDEX(Settings!$B$29:$B$40,MONTH(A6395)),INDEX(Settings!$B$29:$B$40,MONTH(A6395)))))</f>
        <v/>
      </c>
    </row>
    <row r="6396" customFormat="false" ht="15" hidden="false" customHeight="false" outlineLevel="0" collapsed="false">
      <c r="H6396" s="0" t="str">
        <f aca="false">IF(B6396="","",IF(COUNTIF(Campaigns!$A$7:$A$300,B6396)&gt;0,"✓","⚠ add to Campaigns tab"))</f>
        <v/>
      </c>
      <c r="I6396" s="84" t="str">
        <f aca="false">IF(C6396="","",C6396*IF(Settings!$B$22=Settings!$C$6,1,IF(Settings!$B$22="USD",1/INDEX(Settings!$B$29:$B$40,MONTH(A6396)),INDEX(Settings!$B$29:$B$40,MONTH(A6396)))))</f>
        <v/>
      </c>
    </row>
    <row r="6397" customFormat="false" ht="15" hidden="false" customHeight="false" outlineLevel="0" collapsed="false">
      <c r="H6397" s="0" t="str">
        <f aca="false">IF(B6397="","",IF(COUNTIF(Campaigns!$A$7:$A$300,B6397)&gt;0,"✓","⚠ add to Campaigns tab"))</f>
        <v/>
      </c>
      <c r="I6397" s="84" t="str">
        <f aca="false">IF(C6397="","",C6397*IF(Settings!$B$22=Settings!$C$6,1,IF(Settings!$B$22="USD",1/INDEX(Settings!$B$29:$B$40,MONTH(A6397)),INDEX(Settings!$B$29:$B$40,MONTH(A6397)))))</f>
        <v/>
      </c>
    </row>
    <row r="6398" customFormat="false" ht="15" hidden="false" customHeight="false" outlineLevel="0" collapsed="false">
      <c r="H6398" s="0" t="str">
        <f aca="false">IF(B6398="","",IF(COUNTIF(Campaigns!$A$7:$A$300,B6398)&gt;0,"✓","⚠ add to Campaigns tab"))</f>
        <v/>
      </c>
      <c r="I6398" s="84" t="str">
        <f aca="false">IF(C6398="","",C6398*IF(Settings!$B$22=Settings!$C$6,1,IF(Settings!$B$22="USD",1/INDEX(Settings!$B$29:$B$40,MONTH(A6398)),INDEX(Settings!$B$29:$B$40,MONTH(A6398)))))</f>
        <v/>
      </c>
    </row>
    <row r="6399" customFormat="false" ht="15" hidden="false" customHeight="false" outlineLevel="0" collapsed="false">
      <c r="H6399" s="0" t="str">
        <f aca="false">IF(B6399="","",IF(COUNTIF(Campaigns!$A$7:$A$300,B6399)&gt;0,"✓","⚠ add to Campaigns tab"))</f>
        <v/>
      </c>
      <c r="I6399" s="84" t="str">
        <f aca="false">IF(C6399="","",C6399*IF(Settings!$B$22=Settings!$C$6,1,IF(Settings!$B$22="USD",1/INDEX(Settings!$B$29:$B$40,MONTH(A6399)),INDEX(Settings!$B$29:$B$40,MONTH(A6399)))))</f>
        <v/>
      </c>
    </row>
    <row r="6400" customFormat="false" ht="15" hidden="false" customHeight="false" outlineLevel="0" collapsed="false">
      <c r="H6400" s="0" t="str">
        <f aca="false">IF(B6400="","",IF(COUNTIF(Campaigns!$A$7:$A$300,B6400)&gt;0,"✓","⚠ add to Campaigns tab"))</f>
        <v/>
      </c>
      <c r="I6400" s="84" t="str">
        <f aca="false">IF(C6400="","",C6400*IF(Settings!$B$22=Settings!$C$6,1,IF(Settings!$B$22="USD",1/INDEX(Settings!$B$29:$B$40,MONTH(A6400)),INDEX(Settings!$B$29:$B$40,MONTH(A6400)))))</f>
        <v/>
      </c>
    </row>
    <row r="6401" customFormat="false" ht="15" hidden="false" customHeight="false" outlineLevel="0" collapsed="false">
      <c r="H6401" s="0" t="str">
        <f aca="false">IF(B6401="","",IF(COUNTIF(Campaigns!$A$7:$A$300,B6401)&gt;0,"✓","⚠ add to Campaigns tab"))</f>
        <v/>
      </c>
      <c r="I6401" s="84" t="str">
        <f aca="false">IF(C6401="","",C6401*IF(Settings!$B$22=Settings!$C$6,1,IF(Settings!$B$22="USD",1/INDEX(Settings!$B$29:$B$40,MONTH(A6401)),INDEX(Settings!$B$29:$B$40,MONTH(A6401)))))</f>
        <v/>
      </c>
    </row>
    <row r="6402" customFormat="false" ht="15" hidden="false" customHeight="false" outlineLevel="0" collapsed="false">
      <c r="H6402" s="0" t="str">
        <f aca="false">IF(B6402="","",IF(COUNTIF(Campaigns!$A$7:$A$300,B6402)&gt;0,"✓","⚠ add to Campaigns tab"))</f>
        <v/>
      </c>
      <c r="I6402" s="84" t="str">
        <f aca="false">IF(C6402="","",C6402*IF(Settings!$B$22=Settings!$C$6,1,IF(Settings!$B$22="USD",1/INDEX(Settings!$B$29:$B$40,MONTH(A6402)),INDEX(Settings!$B$29:$B$40,MONTH(A6402)))))</f>
        <v/>
      </c>
    </row>
    <row r="6403" customFormat="false" ht="15" hidden="false" customHeight="false" outlineLevel="0" collapsed="false">
      <c r="H6403" s="0" t="str">
        <f aca="false">IF(B6403="","",IF(COUNTIF(Campaigns!$A$7:$A$300,B6403)&gt;0,"✓","⚠ add to Campaigns tab"))</f>
        <v/>
      </c>
      <c r="I6403" s="84" t="str">
        <f aca="false">IF(C6403="","",C6403*IF(Settings!$B$22=Settings!$C$6,1,IF(Settings!$B$22="USD",1/INDEX(Settings!$B$29:$B$40,MONTH(A6403)),INDEX(Settings!$B$29:$B$40,MONTH(A6403)))))</f>
        <v/>
      </c>
    </row>
    <row r="6404" customFormat="false" ht="15" hidden="false" customHeight="false" outlineLevel="0" collapsed="false">
      <c r="H6404" s="0" t="str">
        <f aca="false">IF(B6404="","",IF(COUNTIF(Campaigns!$A$7:$A$300,B6404)&gt;0,"✓","⚠ add to Campaigns tab"))</f>
        <v/>
      </c>
      <c r="I6404" s="84" t="str">
        <f aca="false">IF(C6404="","",C6404*IF(Settings!$B$22=Settings!$C$6,1,IF(Settings!$B$22="USD",1/INDEX(Settings!$B$29:$B$40,MONTH(A6404)),INDEX(Settings!$B$29:$B$40,MONTH(A6404)))))</f>
        <v/>
      </c>
    </row>
    <row r="6405" customFormat="false" ht="15" hidden="false" customHeight="false" outlineLevel="0" collapsed="false">
      <c r="H6405" s="0" t="str">
        <f aca="false">IF(B6405="","",IF(COUNTIF(Campaigns!$A$7:$A$300,B6405)&gt;0,"✓","⚠ add to Campaigns tab"))</f>
        <v/>
      </c>
      <c r="I6405" s="84" t="str">
        <f aca="false">IF(C6405="","",C6405*IF(Settings!$B$22=Settings!$C$6,1,IF(Settings!$B$22="USD",1/INDEX(Settings!$B$29:$B$40,MONTH(A6405)),INDEX(Settings!$B$29:$B$40,MONTH(A6405)))))</f>
        <v/>
      </c>
    </row>
    <row r="6406" customFormat="false" ht="15" hidden="false" customHeight="false" outlineLevel="0" collapsed="false">
      <c r="H6406" s="0" t="str">
        <f aca="false">IF(B6406="","",IF(COUNTIF(Campaigns!$A$7:$A$300,B6406)&gt;0,"✓","⚠ add to Campaigns tab"))</f>
        <v/>
      </c>
      <c r="I6406" s="84" t="str">
        <f aca="false">IF(C6406="","",C6406*IF(Settings!$B$22=Settings!$C$6,1,IF(Settings!$B$22="USD",1/INDEX(Settings!$B$29:$B$40,MONTH(A6406)),INDEX(Settings!$B$29:$B$40,MONTH(A6406)))))</f>
        <v/>
      </c>
    </row>
    <row r="6407" customFormat="false" ht="15" hidden="false" customHeight="false" outlineLevel="0" collapsed="false">
      <c r="H6407" s="0" t="str">
        <f aca="false">IF(B6407="","",IF(COUNTIF(Campaigns!$A$7:$A$300,B6407)&gt;0,"✓","⚠ add to Campaigns tab"))</f>
        <v/>
      </c>
      <c r="I6407" s="84" t="str">
        <f aca="false">IF(C6407="","",C6407*IF(Settings!$B$22=Settings!$C$6,1,IF(Settings!$B$22="USD",1/INDEX(Settings!$B$29:$B$40,MONTH(A6407)),INDEX(Settings!$B$29:$B$40,MONTH(A6407)))))</f>
        <v/>
      </c>
    </row>
    <row r="6408" customFormat="false" ht="15" hidden="false" customHeight="false" outlineLevel="0" collapsed="false">
      <c r="H6408" s="0" t="str">
        <f aca="false">IF(B6408="","",IF(COUNTIF(Campaigns!$A$7:$A$300,B6408)&gt;0,"✓","⚠ add to Campaigns tab"))</f>
        <v/>
      </c>
      <c r="I6408" s="84" t="str">
        <f aca="false">IF(C6408="","",C6408*IF(Settings!$B$22=Settings!$C$6,1,IF(Settings!$B$22="USD",1/INDEX(Settings!$B$29:$B$40,MONTH(A6408)),INDEX(Settings!$B$29:$B$40,MONTH(A6408)))))</f>
        <v/>
      </c>
    </row>
    <row r="6409" customFormat="false" ht="15" hidden="false" customHeight="false" outlineLevel="0" collapsed="false">
      <c r="H6409" s="0" t="str">
        <f aca="false">IF(B6409="","",IF(COUNTIF(Campaigns!$A$7:$A$300,B6409)&gt;0,"✓","⚠ add to Campaigns tab"))</f>
        <v/>
      </c>
      <c r="I6409" s="84" t="str">
        <f aca="false">IF(C6409="","",C6409*IF(Settings!$B$22=Settings!$C$6,1,IF(Settings!$B$22="USD",1/INDEX(Settings!$B$29:$B$40,MONTH(A6409)),INDEX(Settings!$B$29:$B$40,MONTH(A6409)))))</f>
        <v/>
      </c>
    </row>
    <row r="6410" customFormat="false" ht="15" hidden="false" customHeight="false" outlineLevel="0" collapsed="false">
      <c r="H6410" s="0" t="str">
        <f aca="false">IF(B6410="","",IF(COUNTIF(Campaigns!$A$7:$A$300,B6410)&gt;0,"✓","⚠ add to Campaigns tab"))</f>
        <v/>
      </c>
      <c r="I6410" s="84" t="str">
        <f aca="false">IF(C6410="","",C6410*IF(Settings!$B$22=Settings!$C$6,1,IF(Settings!$B$22="USD",1/INDEX(Settings!$B$29:$B$40,MONTH(A6410)),INDEX(Settings!$B$29:$B$40,MONTH(A6410)))))</f>
        <v/>
      </c>
    </row>
    <row r="6411" customFormat="false" ht="15" hidden="false" customHeight="false" outlineLevel="0" collapsed="false">
      <c r="H6411" s="0" t="str">
        <f aca="false">IF(B6411="","",IF(COUNTIF(Campaigns!$A$7:$A$300,B6411)&gt;0,"✓","⚠ add to Campaigns tab"))</f>
        <v/>
      </c>
      <c r="I6411" s="84" t="str">
        <f aca="false">IF(C6411="","",C6411*IF(Settings!$B$22=Settings!$C$6,1,IF(Settings!$B$22="USD",1/INDEX(Settings!$B$29:$B$40,MONTH(A6411)),INDEX(Settings!$B$29:$B$40,MONTH(A6411)))))</f>
        <v/>
      </c>
    </row>
    <row r="6412" customFormat="false" ht="15" hidden="false" customHeight="false" outlineLevel="0" collapsed="false">
      <c r="H6412" s="0" t="str">
        <f aca="false">IF(B6412="","",IF(COUNTIF(Campaigns!$A$7:$A$300,B6412)&gt;0,"✓","⚠ add to Campaigns tab"))</f>
        <v/>
      </c>
      <c r="I6412" s="84" t="str">
        <f aca="false">IF(C6412="","",C6412*IF(Settings!$B$22=Settings!$C$6,1,IF(Settings!$B$22="USD",1/INDEX(Settings!$B$29:$B$40,MONTH(A6412)),INDEX(Settings!$B$29:$B$40,MONTH(A6412)))))</f>
        <v/>
      </c>
    </row>
    <row r="6413" customFormat="false" ht="15" hidden="false" customHeight="false" outlineLevel="0" collapsed="false">
      <c r="H6413" s="0" t="str">
        <f aca="false">IF(B6413="","",IF(COUNTIF(Campaigns!$A$7:$A$300,B6413)&gt;0,"✓","⚠ add to Campaigns tab"))</f>
        <v/>
      </c>
      <c r="I6413" s="84" t="str">
        <f aca="false">IF(C6413="","",C6413*IF(Settings!$B$22=Settings!$C$6,1,IF(Settings!$B$22="USD",1/INDEX(Settings!$B$29:$B$40,MONTH(A6413)),INDEX(Settings!$B$29:$B$40,MONTH(A6413)))))</f>
        <v/>
      </c>
    </row>
    <row r="6414" customFormat="false" ht="15" hidden="false" customHeight="false" outlineLevel="0" collapsed="false">
      <c r="H6414" s="0" t="str">
        <f aca="false">IF(B6414="","",IF(COUNTIF(Campaigns!$A$7:$A$300,B6414)&gt;0,"✓","⚠ add to Campaigns tab"))</f>
        <v/>
      </c>
      <c r="I6414" s="84" t="str">
        <f aca="false">IF(C6414="","",C6414*IF(Settings!$B$22=Settings!$C$6,1,IF(Settings!$B$22="USD",1/INDEX(Settings!$B$29:$B$40,MONTH(A6414)),INDEX(Settings!$B$29:$B$40,MONTH(A6414)))))</f>
        <v/>
      </c>
    </row>
    <row r="6415" customFormat="false" ht="15" hidden="false" customHeight="false" outlineLevel="0" collapsed="false">
      <c r="H6415" s="0" t="str">
        <f aca="false">IF(B6415="","",IF(COUNTIF(Campaigns!$A$7:$A$300,B6415)&gt;0,"✓","⚠ add to Campaigns tab"))</f>
        <v/>
      </c>
      <c r="I6415" s="84" t="str">
        <f aca="false">IF(C6415="","",C6415*IF(Settings!$B$22=Settings!$C$6,1,IF(Settings!$B$22="USD",1/INDEX(Settings!$B$29:$B$40,MONTH(A6415)),INDEX(Settings!$B$29:$B$40,MONTH(A6415)))))</f>
        <v/>
      </c>
    </row>
    <row r="6416" customFormat="false" ht="15" hidden="false" customHeight="false" outlineLevel="0" collapsed="false">
      <c r="H6416" s="0" t="str">
        <f aca="false">IF(B6416="","",IF(COUNTIF(Campaigns!$A$7:$A$300,B6416)&gt;0,"✓","⚠ add to Campaigns tab"))</f>
        <v/>
      </c>
      <c r="I6416" s="84" t="str">
        <f aca="false">IF(C6416="","",C6416*IF(Settings!$B$22=Settings!$C$6,1,IF(Settings!$B$22="USD",1/INDEX(Settings!$B$29:$B$40,MONTH(A6416)),INDEX(Settings!$B$29:$B$40,MONTH(A6416)))))</f>
        <v/>
      </c>
    </row>
    <row r="6417" customFormat="false" ht="15" hidden="false" customHeight="false" outlineLevel="0" collapsed="false">
      <c r="H6417" s="0" t="str">
        <f aca="false">IF(B6417="","",IF(COUNTIF(Campaigns!$A$7:$A$300,B6417)&gt;0,"✓","⚠ add to Campaigns tab"))</f>
        <v/>
      </c>
      <c r="I6417" s="84" t="str">
        <f aca="false">IF(C6417="","",C6417*IF(Settings!$B$22=Settings!$C$6,1,IF(Settings!$B$22="USD",1/INDEX(Settings!$B$29:$B$40,MONTH(A6417)),INDEX(Settings!$B$29:$B$40,MONTH(A6417)))))</f>
        <v/>
      </c>
    </row>
    <row r="6418" customFormat="false" ht="15" hidden="false" customHeight="false" outlineLevel="0" collapsed="false">
      <c r="H6418" s="0" t="str">
        <f aca="false">IF(B6418="","",IF(COUNTIF(Campaigns!$A$7:$A$300,B6418)&gt;0,"✓","⚠ add to Campaigns tab"))</f>
        <v/>
      </c>
      <c r="I6418" s="84" t="str">
        <f aca="false">IF(C6418="","",C6418*IF(Settings!$B$22=Settings!$C$6,1,IF(Settings!$B$22="USD",1/INDEX(Settings!$B$29:$B$40,MONTH(A6418)),INDEX(Settings!$B$29:$B$40,MONTH(A6418)))))</f>
        <v/>
      </c>
    </row>
    <row r="6419" customFormat="false" ht="15" hidden="false" customHeight="false" outlineLevel="0" collapsed="false">
      <c r="H6419" s="0" t="str">
        <f aca="false">IF(B6419="","",IF(COUNTIF(Campaigns!$A$7:$A$300,B6419)&gt;0,"✓","⚠ add to Campaigns tab"))</f>
        <v/>
      </c>
      <c r="I6419" s="84" t="str">
        <f aca="false">IF(C6419="","",C6419*IF(Settings!$B$22=Settings!$C$6,1,IF(Settings!$B$22="USD",1/INDEX(Settings!$B$29:$B$40,MONTH(A6419)),INDEX(Settings!$B$29:$B$40,MONTH(A6419)))))</f>
        <v/>
      </c>
    </row>
    <row r="6420" customFormat="false" ht="15" hidden="false" customHeight="false" outlineLevel="0" collapsed="false">
      <c r="H6420" s="0" t="str">
        <f aca="false">IF(B6420="","",IF(COUNTIF(Campaigns!$A$7:$A$300,B6420)&gt;0,"✓","⚠ add to Campaigns tab"))</f>
        <v/>
      </c>
      <c r="I6420" s="84" t="str">
        <f aca="false">IF(C6420="","",C6420*IF(Settings!$B$22=Settings!$C$6,1,IF(Settings!$B$22="USD",1/INDEX(Settings!$B$29:$B$40,MONTH(A6420)),INDEX(Settings!$B$29:$B$40,MONTH(A6420)))))</f>
        <v/>
      </c>
    </row>
    <row r="6421" customFormat="false" ht="15" hidden="false" customHeight="false" outlineLevel="0" collapsed="false">
      <c r="H6421" s="0" t="str">
        <f aca="false">IF(B6421="","",IF(COUNTIF(Campaigns!$A$7:$A$300,B6421)&gt;0,"✓","⚠ add to Campaigns tab"))</f>
        <v/>
      </c>
      <c r="I6421" s="84" t="str">
        <f aca="false">IF(C6421="","",C6421*IF(Settings!$B$22=Settings!$C$6,1,IF(Settings!$B$22="USD",1/INDEX(Settings!$B$29:$B$40,MONTH(A6421)),INDEX(Settings!$B$29:$B$40,MONTH(A6421)))))</f>
        <v/>
      </c>
    </row>
    <row r="6422" customFormat="false" ht="15" hidden="false" customHeight="false" outlineLevel="0" collapsed="false">
      <c r="H6422" s="0" t="str">
        <f aca="false">IF(B6422="","",IF(COUNTIF(Campaigns!$A$7:$A$300,B6422)&gt;0,"✓","⚠ add to Campaigns tab"))</f>
        <v/>
      </c>
      <c r="I6422" s="84" t="str">
        <f aca="false">IF(C6422="","",C6422*IF(Settings!$B$22=Settings!$C$6,1,IF(Settings!$B$22="USD",1/INDEX(Settings!$B$29:$B$40,MONTH(A6422)),INDEX(Settings!$B$29:$B$40,MONTH(A6422)))))</f>
        <v/>
      </c>
    </row>
    <row r="6423" customFormat="false" ht="15" hidden="false" customHeight="false" outlineLevel="0" collapsed="false">
      <c r="H6423" s="0" t="str">
        <f aca="false">IF(B6423="","",IF(COUNTIF(Campaigns!$A$7:$A$300,B6423)&gt;0,"✓","⚠ add to Campaigns tab"))</f>
        <v/>
      </c>
      <c r="I6423" s="84" t="str">
        <f aca="false">IF(C6423="","",C6423*IF(Settings!$B$22=Settings!$C$6,1,IF(Settings!$B$22="USD",1/INDEX(Settings!$B$29:$B$40,MONTH(A6423)),INDEX(Settings!$B$29:$B$40,MONTH(A6423)))))</f>
        <v/>
      </c>
    </row>
    <row r="6424" customFormat="false" ht="15" hidden="false" customHeight="false" outlineLevel="0" collapsed="false">
      <c r="H6424" s="0" t="str">
        <f aca="false">IF(B6424="","",IF(COUNTIF(Campaigns!$A$7:$A$300,B6424)&gt;0,"✓","⚠ add to Campaigns tab"))</f>
        <v/>
      </c>
      <c r="I6424" s="84" t="str">
        <f aca="false">IF(C6424="","",C6424*IF(Settings!$B$22=Settings!$C$6,1,IF(Settings!$B$22="USD",1/INDEX(Settings!$B$29:$B$40,MONTH(A6424)),INDEX(Settings!$B$29:$B$40,MONTH(A6424)))))</f>
        <v/>
      </c>
    </row>
    <row r="6425" customFormat="false" ht="15" hidden="false" customHeight="false" outlineLevel="0" collapsed="false">
      <c r="H6425" s="0" t="str">
        <f aca="false">IF(B6425="","",IF(COUNTIF(Campaigns!$A$7:$A$300,B6425)&gt;0,"✓","⚠ add to Campaigns tab"))</f>
        <v/>
      </c>
      <c r="I6425" s="84" t="str">
        <f aca="false">IF(C6425="","",C6425*IF(Settings!$B$22=Settings!$C$6,1,IF(Settings!$B$22="USD",1/INDEX(Settings!$B$29:$B$40,MONTH(A6425)),INDEX(Settings!$B$29:$B$40,MONTH(A6425)))))</f>
        <v/>
      </c>
    </row>
    <row r="6426" customFormat="false" ht="15" hidden="false" customHeight="false" outlineLevel="0" collapsed="false">
      <c r="H6426" s="0" t="str">
        <f aca="false">IF(B6426="","",IF(COUNTIF(Campaigns!$A$7:$A$300,B6426)&gt;0,"✓","⚠ add to Campaigns tab"))</f>
        <v/>
      </c>
      <c r="I6426" s="84" t="str">
        <f aca="false">IF(C6426="","",C6426*IF(Settings!$B$22=Settings!$C$6,1,IF(Settings!$B$22="USD",1/INDEX(Settings!$B$29:$B$40,MONTH(A6426)),INDEX(Settings!$B$29:$B$40,MONTH(A6426)))))</f>
        <v/>
      </c>
    </row>
    <row r="6427" customFormat="false" ht="15" hidden="false" customHeight="false" outlineLevel="0" collapsed="false">
      <c r="H6427" s="0" t="str">
        <f aca="false">IF(B6427="","",IF(COUNTIF(Campaigns!$A$7:$A$300,B6427)&gt;0,"✓","⚠ add to Campaigns tab"))</f>
        <v/>
      </c>
      <c r="I6427" s="84" t="str">
        <f aca="false">IF(C6427="","",C6427*IF(Settings!$B$22=Settings!$C$6,1,IF(Settings!$B$22="USD",1/INDEX(Settings!$B$29:$B$40,MONTH(A6427)),INDEX(Settings!$B$29:$B$40,MONTH(A6427)))))</f>
        <v/>
      </c>
    </row>
    <row r="6428" customFormat="false" ht="15" hidden="false" customHeight="false" outlineLevel="0" collapsed="false">
      <c r="H6428" s="0" t="str">
        <f aca="false">IF(B6428="","",IF(COUNTIF(Campaigns!$A$7:$A$300,B6428)&gt;0,"✓","⚠ add to Campaigns tab"))</f>
        <v/>
      </c>
      <c r="I6428" s="84" t="str">
        <f aca="false">IF(C6428="","",C6428*IF(Settings!$B$22=Settings!$C$6,1,IF(Settings!$B$22="USD",1/INDEX(Settings!$B$29:$B$40,MONTH(A6428)),INDEX(Settings!$B$29:$B$40,MONTH(A6428)))))</f>
        <v/>
      </c>
    </row>
    <row r="6429" customFormat="false" ht="15" hidden="false" customHeight="false" outlineLevel="0" collapsed="false">
      <c r="H6429" s="0" t="str">
        <f aca="false">IF(B6429="","",IF(COUNTIF(Campaigns!$A$7:$A$300,B6429)&gt;0,"✓","⚠ add to Campaigns tab"))</f>
        <v/>
      </c>
      <c r="I6429" s="84" t="str">
        <f aca="false">IF(C6429="","",C6429*IF(Settings!$B$22=Settings!$C$6,1,IF(Settings!$B$22="USD",1/INDEX(Settings!$B$29:$B$40,MONTH(A6429)),INDEX(Settings!$B$29:$B$40,MONTH(A6429)))))</f>
        <v/>
      </c>
    </row>
    <row r="6430" customFormat="false" ht="15" hidden="false" customHeight="false" outlineLevel="0" collapsed="false">
      <c r="H6430" s="0" t="str">
        <f aca="false">IF(B6430="","",IF(COUNTIF(Campaigns!$A$7:$A$300,B6430)&gt;0,"✓","⚠ add to Campaigns tab"))</f>
        <v/>
      </c>
      <c r="I6430" s="84" t="str">
        <f aca="false">IF(C6430="","",C6430*IF(Settings!$B$22=Settings!$C$6,1,IF(Settings!$B$22="USD",1/INDEX(Settings!$B$29:$B$40,MONTH(A6430)),INDEX(Settings!$B$29:$B$40,MONTH(A6430)))))</f>
        <v/>
      </c>
    </row>
    <row r="6431" customFormat="false" ht="15" hidden="false" customHeight="false" outlineLevel="0" collapsed="false">
      <c r="H6431" s="0" t="str">
        <f aca="false">IF(B6431="","",IF(COUNTIF(Campaigns!$A$7:$A$300,B6431)&gt;0,"✓","⚠ add to Campaigns tab"))</f>
        <v/>
      </c>
      <c r="I6431" s="84" t="str">
        <f aca="false">IF(C6431="","",C6431*IF(Settings!$B$22=Settings!$C$6,1,IF(Settings!$B$22="USD",1/INDEX(Settings!$B$29:$B$40,MONTH(A6431)),INDEX(Settings!$B$29:$B$40,MONTH(A6431)))))</f>
        <v/>
      </c>
    </row>
    <row r="6432" customFormat="false" ht="15" hidden="false" customHeight="false" outlineLevel="0" collapsed="false">
      <c r="H6432" s="0" t="str">
        <f aca="false">IF(B6432="","",IF(COUNTIF(Campaigns!$A$7:$A$300,B6432)&gt;0,"✓","⚠ add to Campaigns tab"))</f>
        <v/>
      </c>
      <c r="I6432" s="84" t="str">
        <f aca="false">IF(C6432="","",C6432*IF(Settings!$B$22=Settings!$C$6,1,IF(Settings!$B$22="USD",1/INDEX(Settings!$B$29:$B$40,MONTH(A6432)),INDEX(Settings!$B$29:$B$40,MONTH(A6432)))))</f>
        <v/>
      </c>
    </row>
    <row r="6433" customFormat="false" ht="15" hidden="false" customHeight="false" outlineLevel="0" collapsed="false">
      <c r="H6433" s="0" t="str">
        <f aca="false">IF(B6433="","",IF(COUNTIF(Campaigns!$A$7:$A$300,B6433)&gt;0,"✓","⚠ add to Campaigns tab"))</f>
        <v/>
      </c>
      <c r="I6433" s="84" t="str">
        <f aca="false">IF(C6433="","",C6433*IF(Settings!$B$22=Settings!$C$6,1,IF(Settings!$B$22="USD",1/INDEX(Settings!$B$29:$B$40,MONTH(A6433)),INDEX(Settings!$B$29:$B$40,MONTH(A6433)))))</f>
        <v/>
      </c>
    </row>
    <row r="6434" customFormat="false" ht="15" hidden="false" customHeight="false" outlineLevel="0" collapsed="false">
      <c r="H6434" s="0" t="str">
        <f aca="false">IF(B6434="","",IF(COUNTIF(Campaigns!$A$7:$A$300,B6434)&gt;0,"✓","⚠ add to Campaigns tab"))</f>
        <v/>
      </c>
      <c r="I6434" s="84" t="str">
        <f aca="false">IF(C6434="","",C6434*IF(Settings!$B$22=Settings!$C$6,1,IF(Settings!$B$22="USD",1/INDEX(Settings!$B$29:$B$40,MONTH(A6434)),INDEX(Settings!$B$29:$B$40,MONTH(A6434)))))</f>
        <v/>
      </c>
    </row>
    <row r="6435" customFormat="false" ht="15" hidden="false" customHeight="false" outlineLevel="0" collapsed="false">
      <c r="H6435" s="0" t="str">
        <f aca="false">IF(B6435="","",IF(COUNTIF(Campaigns!$A$7:$A$300,B6435)&gt;0,"✓","⚠ add to Campaigns tab"))</f>
        <v/>
      </c>
      <c r="I6435" s="84" t="str">
        <f aca="false">IF(C6435="","",C6435*IF(Settings!$B$22=Settings!$C$6,1,IF(Settings!$B$22="USD",1/INDEX(Settings!$B$29:$B$40,MONTH(A6435)),INDEX(Settings!$B$29:$B$40,MONTH(A6435)))))</f>
        <v/>
      </c>
    </row>
    <row r="6436" customFormat="false" ht="15" hidden="false" customHeight="false" outlineLevel="0" collapsed="false">
      <c r="H6436" s="0" t="str">
        <f aca="false">IF(B6436="","",IF(COUNTIF(Campaigns!$A$7:$A$300,B6436)&gt;0,"✓","⚠ add to Campaigns tab"))</f>
        <v/>
      </c>
      <c r="I6436" s="84" t="str">
        <f aca="false">IF(C6436="","",C6436*IF(Settings!$B$22=Settings!$C$6,1,IF(Settings!$B$22="USD",1/INDEX(Settings!$B$29:$B$40,MONTH(A6436)),INDEX(Settings!$B$29:$B$40,MONTH(A6436)))))</f>
        <v/>
      </c>
    </row>
    <row r="6437" customFormat="false" ht="15" hidden="false" customHeight="false" outlineLevel="0" collapsed="false">
      <c r="H6437" s="0" t="str">
        <f aca="false">IF(B6437="","",IF(COUNTIF(Campaigns!$A$7:$A$300,B6437)&gt;0,"✓","⚠ add to Campaigns tab"))</f>
        <v/>
      </c>
      <c r="I6437" s="84" t="str">
        <f aca="false">IF(C6437="","",C6437*IF(Settings!$B$22=Settings!$C$6,1,IF(Settings!$B$22="USD",1/INDEX(Settings!$B$29:$B$40,MONTH(A6437)),INDEX(Settings!$B$29:$B$40,MONTH(A6437)))))</f>
        <v/>
      </c>
    </row>
    <row r="6438" customFormat="false" ht="15" hidden="false" customHeight="false" outlineLevel="0" collapsed="false">
      <c r="H6438" s="0" t="str">
        <f aca="false">IF(B6438="","",IF(COUNTIF(Campaigns!$A$7:$A$300,B6438)&gt;0,"✓","⚠ add to Campaigns tab"))</f>
        <v/>
      </c>
      <c r="I6438" s="84" t="str">
        <f aca="false">IF(C6438="","",C6438*IF(Settings!$B$22=Settings!$C$6,1,IF(Settings!$B$22="USD",1/INDEX(Settings!$B$29:$B$40,MONTH(A6438)),INDEX(Settings!$B$29:$B$40,MONTH(A6438)))))</f>
        <v/>
      </c>
    </row>
    <row r="6439" customFormat="false" ht="15" hidden="false" customHeight="false" outlineLevel="0" collapsed="false">
      <c r="H6439" s="0" t="str">
        <f aca="false">IF(B6439="","",IF(COUNTIF(Campaigns!$A$7:$A$300,B6439)&gt;0,"✓","⚠ add to Campaigns tab"))</f>
        <v/>
      </c>
      <c r="I6439" s="84" t="str">
        <f aca="false">IF(C6439="","",C6439*IF(Settings!$B$22=Settings!$C$6,1,IF(Settings!$B$22="USD",1/INDEX(Settings!$B$29:$B$40,MONTH(A6439)),INDEX(Settings!$B$29:$B$40,MONTH(A6439)))))</f>
        <v/>
      </c>
    </row>
    <row r="6440" customFormat="false" ht="15" hidden="false" customHeight="false" outlineLevel="0" collapsed="false">
      <c r="H6440" s="0" t="str">
        <f aca="false">IF(B6440="","",IF(COUNTIF(Campaigns!$A$7:$A$300,B6440)&gt;0,"✓","⚠ add to Campaigns tab"))</f>
        <v/>
      </c>
      <c r="I6440" s="84" t="str">
        <f aca="false">IF(C6440="","",C6440*IF(Settings!$B$22=Settings!$C$6,1,IF(Settings!$B$22="USD",1/INDEX(Settings!$B$29:$B$40,MONTH(A6440)),INDEX(Settings!$B$29:$B$40,MONTH(A6440)))))</f>
        <v/>
      </c>
    </row>
    <row r="6441" customFormat="false" ht="15" hidden="false" customHeight="false" outlineLevel="0" collapsed="false">
      <c r="H6441" s="0" t="str">
        <f aca="false">IF(B6441="","",IF(COUNTIF(Campaigns!$A$7:$A$300,B6441)&gt;0,"✓","⚠ add to Campaigns tab"))</f>
        <v/>
      </c>
      <c r="I6441" s="84" t="str">
        <f aca="false">IF(C6441="","",C6441*IF(Settings!$B$22=Settings!$C$6,1,IF(Settings!$B$22="USD",1/INDEX(Settings!$B$29:$B$40,MONTH(A6441)),INDEX(Settings!$B$29:$B$40,MONTH(A6441)))))</f>
        <v/>
      </c>
    </row>
    <row r="6442" customFormat="false" ht="15" hidden="false" customHeight="false" outlineLevel="0" collapsed="false">
      <c r="H6442" s="0" t="str">
        <f aca="false">IF(B6442="","",IF(COUNTIF(Campaigns!$A$7:$A$300,B6442)&gt;0,"✓","⚠ add to Campaigns tab"))</f>
        <v/>
      </c>
      <c r="I6442" s="84" t="str">
        <f aca="false">IF(C6442="","",C6442*IF(Settings!$B$22=Settings!$C$6,1,IF(Settings!$B$22="USD",1/INDEX(Settings!$B$29:$B$40,MONTH(A6442)),INDEX(Settings!$B$29:$B$40,MONTH(A6442)))))</f>
        <v/>
      </c>
    </row>
    <row r="6443" customFormat="false" ht="15" hidden="false" customHeight="false" outlineLevel="0" collapsed="false">
      <c r="H6443" s="0" t="str">
        <f aca="false">IF(B6443="","",IF(COUNTIF(Campaigns!$A$7:$A$300,B6443)&gt;0,"✓","⚠ add to Campaigns tab"))</f>
        <v/>
      </c>
      <c r="I6443" s="84" t="str">
        <f aca="false">IF(C6443="","",C6443*IF(Settings!$B$22=Settings!$C$6,1,IF(Settings!$B$22="USD",1/INDEX(Settings!$B$29:$B$40,MONTH(A6443)),INDEX(Settings!$B$29:$B$40,MONTH(A6443)))))</f>
        <v/>
      </c>
    </row>
    <row r="6444" customFormat="false" ht="15" hidden="false" customHeight="false" outlineLevel="0" collapsed="false">
      <c r="H6444" s="0" t="str">
        <f aca="false">IF(B6444="","",IF(COUNTIF(Campaigns!$A$7:$A$300,B6444)&gt;0,"✓","⚠ add to Campaigns tab"))</f>
        <v/>
      </c>
      <c r="I6444" s="84" t="str">
        <f aca="false">IF(C6444="","",C6444*IF(Settings!$B$22=Settings!$C$6,1,IF(Settings!$B$22="USD",1/INDEX(Settings!$B$29:$B$40,MONTH(A6444)),INDEX(Settings!$B$29:$B$40,MONTH(A6444)))))</f>
        <v/>
      </c>
    </row>
    <row r="6445" customFormat="false" ht="15" hidden="false" customHeight="false" outlineLevel="0" collapsed="false">
      <c r="H6445" s="0" t="str">
        <f aca="false">IF(B6445="","",IF(COUNTIF(Campaigns!$A$7:$A$300,B6445)&gt;0,"✓","⚠ add to Campaigns tab"))</f>
        <v/>
      </c>
      <c r="I6445" s="84" t="str">
        <f aca="false">IF(C6445="","",C6445*IF(Settings!$B$22=Settings!$C$6,1,IF(Settings!$B$22="USD",1/INDEX(Settings!$B$29:$B$40,MONTH(A6445)),INDEX(Settings!$B$29:$B$40,MONTH(A6445)))))</f>
        <v/>
      </c>
    </row>
    <row r="6446" customFormat="false" ht="15" hidden="false" customHeight="false" outlineLevel="0" collapsed="false">
      <c r="H6446" s="0" t="str">
        <f aca="false">IF(B6446="","",IF(COUNTIF(Campaigns!$A$7:$A$300,B6446)&gt;0,"✓","⚠ add to Campaigns tab"))</f>
        <v/>
      </c>
      <c r="I6446" s="84" t="str">
        <f aca="false">IF(C6446="","",C6446*IF(Settings!$B$22=Settings!$C$6,1,IF(Settings!$B$22="USD",1/INDEX(Settings!$B$29:$B$40,MONTH(A6446)),INDEX(Settings!$B$29:$B$40,MONTH(A6446)))))</f>
        <v/>
      </c>
    </row>
    <row r="6447" customFormat="false" ht="15" hidden="false" customHeight="false" outlineLevel="0" collapsed="false">
      <c r="H6447" s="0" t="str">
        <f aca="false">IF(B6447="","",IF(COUNTIF(Campaigns!$A$7:$A$300,B6447)&gt;0,"✓","⚠ add to Campaigns tab"))</f>
        <v/>
      </c>
      <c r="I6447" s="84" t="str">
        <f aca="false">IF(C6447="","",C6447*IF(Settings!$B$22=Settings!$C$6,1,IF(Settings!$B$22="USD",1/INDEX(Settings!$B$29:$B$40,MONTH(A6447)),INDEX(Settings!$B$29:$B$40,MONTH(A6447)))))</f>
        <v/>
      </c>
    </row>
    <row r="6448" customFormat="false" ht="15" hidden="false" customHeight="false" outlineLevel="0" collapsed="false">
      <c r="H6448" s="0" t="str">
        <f aca="false">IF(B6448="","",IF(COUNTIF(Campaigns!$A$7:$A$300,B6448)&gt;0,"✓","⚠ add to Campaigns tab"))</f>
        <v/>
      </c>
      <c r="I6448" s="84" t="str">
        <f aca="false">IF(C6448="","",C6448*IF(Settings!$B$22=Settings!$C$6,1,IF(Settings!$B$22="USD",1/INDEX(Settings!$B$29:$B$40,MONTH(A6448)),INDEX(Settings!$B$29:$B$40,MONTH(A6448)))))</f>
        <v/>
      </c>
    </row>
    <row r="6449" customFormat="false" ht="15" hidden="false" customHeight="false" outlineLevel="0" collapsed="false">
      <c r="H6449" s="0" t="str">
        <f aca="false">IF(B6449="","",IF(COUNTIF(Campaigns!$A$7:$A$300,B6449)&gt;0,"✓","⚠ add to Campaigns tab"))</f>
        <v/>
      </c>
      <c r="I6449" s="84" t="str">
        <f aca="false">IF(C6449="","",C6449*IF(Settings!$B$22=Settings!$C$6,1,IF(Settings!$B$22="USD",1/INDEX(Settings!$B$29:$B$40,MONTH(A6449)),INDEX(Settings!$B$29:$B$40,MONTH(A6449)))))</f>
        <v/>
      </c>
    </row>
    <row r="6450" customFormat="false" ht="15" hidden="false" customHeight="false" outlineLevel="0" collapsed="false">
      <c r="H6450" s="0" t="str">
        <f aca="false">IF(B6450="","",IF(COUNTIF(Campaigns!$A$7:$A$300,B6450)&gt;0,"✓","⚠ add to Campaigns tab"))</f>
        <v/>
      </c>
      <c r="I6450" s="84" t="str">
        <f aca="false">IF(C6450="","",C6450*IF(Settings!$B$22=Settings!$C$6,1,IF(Settings!$B$22="USD",1/INDEX(Settings!$B$29:$B$40,MONTH(A6450)),INDEX(Settings!$B$29:$B$40,MONTH(A6450)))))</f>
        <v/>
      </c>
    </row>
    <row r="6451" customFormat="false" ht="15" hidden="false" customHeight="false" outlineLevel="0" collapsed="false">
      <c r="H6451" s="0" t="str">
        <f aca="false">IF(B6451="","",IF(COUNTIF(Campaigns!$A$7:$A$300,B6451)&gt;0,"✓","⚠ add to Campaigns tab"))</f>
        <v/>
      </c>
      <c r="I6451" s="84" t="str">
        <f aca="false">IF(C6451="","",C6451*IF(Settings!$B$22=Settings!$C$6,1,IF(Settings!$B$22="USD",1/INDEX(Settings!$B$29:$B$40,MONTH(A6451)),INDEX(Settings!$B$29:$B$40,MONTH(A6451)))))</f>
        <v/>
      </c>
    </row>
    <row r="6452" customFormat="false" ht="15" hidden="false" customHeight="false" outlineLevel="0" collapsed="false">
      <c r="H6452" s="0" t="str">
        <f aca="false">IF(B6452="","",IF(COUNTIF(Campaigns!$A$7:$A$300,B6452)&gt;0,"✓","⚠ add to Campaigns tab"))</f>
        <v/>
      </c>
      <c r="I6452" s="84" t="str">
        <f aca="false">IF(C6452="","",C6452*IF(Settings!$B$22=Settings!$C$6,1,IF(Settings!$B$22="USD",1/INDEX(Settings!$B$29:$B$40,MONTH(A6452)),INDEX(Settings!$B$29:$B$40,MONTH(A6452)))))</f>
        <v/>
      </c>
    </row>
    <row r="6453" customFormat="false" ht="15" hidden="false" customHeight="false" outlineLevel="0" collapsed="false">
      <c r="H6453" s="0" t="str">
        <f aca="false">IF(B6453="","",IF(COUNTIF(Campaigns!$A$7:$A$300,B6453)&gt;0,"✓","⚠ add to Campaigns tab"))</f>
        <v/>
      </c>
      <c r="I6453" s="84" t="str">
        <f aca="false">IF(C6453="","",C6453*IF(Settings!$B$22=Settings!$C$6,1,IF(Settings!$B$22="USD",1/INDEX(Settings!$B$29:$B$40,MONTH(A6453)),INDEX(Settings!$B$29:$B$40,MONTH(A6453)))))</f>
        <v/>
      </c>
    </row>
    <row r="6454" customFormat="false" ht="15" hidden="false" customHeight="false" outlineLevel="0" collapsed="false">
      <c r="H6454" s="0" t="str">
        <f aca="false">IF(B6454="","",IF(COUNTIF(Campaigns!$A$7:$A$300,B6454)&gt;0,"✓","⚠ add to Campaigns tab"))</f>
        <v/>
      </c>
      <c r="I6454" s="84" t="str">
        <f aca="false">IF(C6454="","",C6454*IF(Settings!$B$22=Settings!$C$6,1,IF(Settings!$B$22="USD",1/INDEX(Settings!$B$29:$B$40,MONTH(A6454)),INDEX(Settings!$B$29:$B$40,MONTH(A6454)))))</f>
        <v/>
      </c>
    </row>
    <row r="6455" customFormat="false" ht="15" hidden="false" customHeight="false" outlineLevel="0" collapsed="false">
      <c r="H6455" s="0" t="str">
        <f aca="false">IF(B6455="","",IF(COUNTIF(Campaigns!$A$7:$A$300,B6455)&gt;0,"✓","⚠ add to Campaigns tab"))</f>
        <v/>
      </c>
      <c r="I6455" s="84" t="str">
        <f aca="false">IF(C6455="","",C6455*IF(Settings!$B$22=Settings!$C$6,1,IF(Settings!$B$22="USD",1/INDEX(Settings!$B$29:$B$40,MONTH(A6455)),INDEX(Settings!$B$29:$B$40,MONTH(A6455)))))</f>
        <v/>
      </c>
    </row>
    <row r="6456" customFormat="false" ht="15" hidden="false" customHeight="false" outlineLevel="0" collapsed="false">
      <c r="H6456" s="0" t="str">
        <f aca="false">IF(B6456="","",IF(COUNTIF(Campaigns!$A$7:$A$300,B6456)&gt;0,"✓","⚠ add to Campaigns tab"))</f>
        <v/>
      </c>
      <c r="I6456" s="84" t="str">
        <f aca="false">IF(C6456="","",C6456*IF(Settings!$B$22=Settings!$C$6,1,IF(Settings!$B$22="USD",1/INDEX(Settings!$B$29:$B$40,MONTH(A6456)),INDEX(Settings!$B$29:$B$40,MONTH(A6456)))))</f>
        <v/>
      </c>
    </row>
    <row r="6457" customFormat="false" ht="15" hidden="false" customHeight="false" outlineLevel="0" collapsed="false">
      <c r="H6457" s="0" t="str">
        <f aca="false">IF(B6457="","",IF(COUNTIF(Campaigns!$A$7:$A$300,B6457)&gt;0,"✓","⚠ add to Campaigns tab"))</f>
        <v/>
      </c>
      <c r="I6457" s="84" t="str">
        <f aca="false">IF(C6457="","",C6457*IF(Settings!$B$22=Settings!$C$6,1,IF(Settings!$B$22="USD",1/INDEX(Settings!$B$29:$B$40,MONTH(A6457)),INDEX(Settings!$B$29:$B$40,MONTH(A6457)))))</f>
        <v/>
      </c>
    </row>
    <row r="6458" customFormat="false" ht="15" hidden="false" customHeight="false" outlineLevel="0" collapsed="false">
      <c r="H6458" s="0" t="str">
        <f aca="false">IF(B6458="","",IF(COUNTIF(Campaigns!$A$7:$A$300,B6458)&gt;0,"✓","⚠ add to Campaigns tab"))</f>
        <v/>
      </c>
      <c r="I6458" s="84" t="str">
        <f aca="false">IF(C6458="","",C6458*IF(Settings!$B$22=Settings!$C$6,1,IF(Settings!$B$22="USD",1/INDEX(Settings!$B$29:$B$40,MONTH(A6458)),INDEX(Settings!$B$29:$B$40,MONTH(A6458)))))</f>
        <v/>
      </c>
    </row>
    <row r="6459" customFormat="false" ht="15" hidden="false" customHeight="false" outlineLevel="0" collapsed="false">
      <c r="H6459" s="0" t="str">
        <f aca="false">IF(B6459="","",IF(COUNTIF(Campaigns!$A$7:$A$300,B6459)&gt;0,"✓","⚠ add to Campaigns tab"))</f>
        <v/>
      </c>
      <c r="I6459" s="84" t="str">
        <f aca="false">IF(C6459="","",C6459*IF(Settings!$B$22=Settings!$C$6,1,IF(Settings!$B$22="USD",1/INDEX(Settings!$B$29:$B$40,MONTH(A6459)),INDEX(Settings!$B$29:$B$40,MONTH(A6459)))))</f>
        <v/>
      </c>
    </row>
    <row r="6460" customFormat="false" ht="15" hidden="false" customHeight="false" outlineLevel="0" collapsed="false">
      <c r="H6460" s="0" t="str">
        <f aca="false">IF(B6460="","",IF(COUNTIF(Campaigns!$A$7:$A$300,B6460)&gt;0,"✓","⚠ add to Campaigns tab"))</f>
        <v/>
      </c>
      <c r="I6460" s="84" t="str">
        <f aca="false">IF(C6460="","",C6460*IF(Settings!$B$22=Settings!$C$6,1,IF(Settings!$B$22="USD",1/INDEX(Settings!$B$29:$B$40,MONTH(A6460)),INDEX(Settings!$B$29:$B$40,MONTH(A6460)))))</f>
        <v/>
      </c>
    </row>
    <row r="6461" customFormat="false" ht="15" hidden="false" customHeight="false" outlineLevel="0" collapsed="false">
      <c r="H6461" s="0" t="str">
        <f aca="false">IF(B6461="","",IF(COUNTIF(Campaigns!$A$7:$A$300,B6461)&gt;0,"✓","⚠ add to Campaigns tab"))</f>
        <v/>
      </c>
      <c r="I6461" s="84" t="str">
        <f aca="false">IF(C6461="","",C6461*IF(Settings!$B$22=Settings!$C$6,1,IF(Settings!$B$22="USD",1/INDEX(Settings!$B$29:$B$40,MONTH(A6461)),INDEX(Settings!$B$29:$B$40,MONTH(A6461)))))</f>
        <v/>
      </c>
    </row>
    <row r="6462" customFormat="false" ht="15" hidden="false" customHeight="false" outlineLevel="0" collapsed="false">
      <c r="H6462" s="0" t="str">
        <f aca="false">IF(B6462="","",IF(COUNTIF(Campaigns!$A$7:$A$300,B6462)&gt;0,"✓","⚠ add to Campaigns tab"))</f>
        <v/>
      </c>
      <c r="I6462" s="84" t="str">
        <f aca="false">IF(C6462="","",C6462*IF(Settings!$B$22=Settings!$C$6,1,IF(Settings!$B$22="USD",1/INDEX(Settings!$B$29:$B$40,MONTH(A6462)),INDEX(Settings!$B$29:$B$40,MONTH(A6462)))))</f>
        <v/>
      </c>
    </row>
    <row r="6463" customFormat="false" ht="15" hidden="false" customHeight="false" outlineLevel="0" collapsed="false">
      <c r="H6463" s="0" t="str">
        <f aca="false">IF(B6463="","",IF(COUNTIF(Campaigns!$A$7:$A$300,B6463)&gt;0,"✓","⚠ add to Campaigns tab"))</f>
        <v/>
      </c>
      <c r="I6463" s="84" t="str">
        <f aca="false">IF(C6463="","",C6463*IF(Settings!$B$22=Settings!$C$6,1,IF(Settings!$B$22="USD",1/INDEX(Settings!$B$29:$B$40,MONTH(A6463)),INDEX(Settings!$B$29:$B$40,MONTH(A6463)))))</f>
        <v/>
      </c>
    </row>
    <row r="6464" customFormat="false" ht="15" hidden="false" customHeight="false" outlineLevel="0" collapsed="false">
      <c r="H6464" s="0" t="str">
        <f aca="false">IF(B6464="","",IF(COUNTIF(Campaigns!$A$7:$A$300,B6464)&gt;0,"✓","⚠ add to Campaigns tab"))</f>
        <v/>
      </c>
      <c r="I6464" s="84" t="str">
        <f aca="false">IF(C6464="","",C6464*IF(Settings!$B$22=Settings!$C$6,1,IF(Settings!$B$22="USD",1/INDEX(Settings!$B$29:$B$40,MONTH(A6464)),INDEX(Settings!$B$29:$B$40,MONTH(A6464)))))</f>
        <v/>
      </c>
    </row>
    <row r="6465" customFormat="false" ht="15" hidden="false" customHeight="false" outlineLevel="0" collapsed="false">
      <c r="H6465" s="0" t="str">
        <f aca="false">IF(B6465="","",IF(COUNTIF(Campaigns!$A$7:$A$300,B6465)&gt;0,"✓","⚠ add to Campaigns tab"))</f>
        <v/>
      </c>
      <c r="I6465" s="84" t="str">
        <f aca="false">IF(C6465="","",C6465*IF(Settings!$B$22=Settings!$C$6,1,IF(Settings!$B$22="USD",1/INDEX(Settings!$B$29:$B$40,MONTH(A6465)),INDEX(Settings!$B$29:$B$40,MONTH(A6465)))))</f>
        <v/>
      </c>
    </row>
    <row r="6466" customFormat="false" ht="15" hidden="false" customHeight="false" outlineLevel="0" collapsed="false">
      <c r="H6466" s="0" t="str">
        <f aca="false">IF(B6466="","",IF(COUNTIF(Campaigns!$A$7:$A$300,B6466)&gt;0,"✓","⚠ add to Campaigns tab"))</f>
        <v/>
      </c>
      <c r="I6466" s="84" t="str">
        <f aca="false">IF(C6466="","",C6466*IF(Settings!$B$22=Settings!$C$6,1,IF(Settings!$B$22="USD",1/INDEX(Settings!$B$29:$B$40,MONTH(A6466)),INDEX(Settings!$B$29:$B$40,MONTH(A6466)))))</f>
        <v/>
      </c>
    </row>
    <row r="6467" customFormat="false" ht="15" hidden="false" customHeight="false" outlineLevel="0" collapsed="false">
      <c r="H6467" s="0" t="str">
        <f aca="false">IF(B6467="","",IF(COUNTIF(Campaigns!$A$7:$A$300,B6467)&gt;0,"✓","⚠ add to Campaigns tab"))</f>
        <v/>
      </c>
      <c r="I6467" s="84" t="str">
        <f aca="false">IF(C6467="","",C6467*IF(Settings!$B$22=Settings!$C$6,1,IF(Settings!$B$22="USD",1/INDEX(Settings!$B$29:$B$40,MONTH(A6467)),INDEX(Settings!$B$29:$B$40,MONTH(A6467)))))</f>
        <v/>
      </c>
    </row>
    <row r="6468" customFormat="false" ht="15" hidden="false" customHeight="false" outlineLevel="0" collapsed="false">
      <c r="H6468" s="0" t="str">
        <f aca="false">IF(B6468="","",IF(COUNTIF(Campaigns!$A$7:$A$300,B6468)&gt;0,"✓","⚠ add to Campaigns tab"))</f>
        <v/>
      </c>
      <c r="I6468" s="84" t="str">
        <f aca="false">IF(C6468="","",C6468*IF(Settings!$B$22=Settings!$C$6,1,IF(Settings!$B$22="USD",1/INDEX(Settings!$B$29:$B$40,MONTH(A6468)),INDEX(Settings!$B$29:$B$40,MONTH(A6468)))))</f>
        <v/>
      </c>
    </row>
    <row r="6469" customFormat="false" ht="15" hidden="false" customHeight="false" outlineLevel="0" collapsed="false">
      <c r="H6469" s="0" t="str">
        <f aca="false">IF(B6469="","",IF(COUNTIF(Campaigns!$A$7:$A$300,B6469)&gt;0,"✓","⚠ add to Campaigns tab"))</f>
        <v/>
      </c>
      <c r="I6469" s="84" t="str">
        <f aca="false">IF(C6469="","",C6469*IF(Settings!$B$22=Settings!$C$6,1,IF(Settings!$B$22="USD",1/INDEX(Settings!$B$29:$B$40,MONTH(A6469)),INDEX(Settings!$B$29:$B$40,MONTH(A6469)))))</f>
        <v/>
      </c>
    </row>
    <row r="6470" customFormat="false" ht="15" hidden="false" customHeight="false" outlineLevel="0" collapsed="false">
      <c r="H6470" s="0" t="str">
        <f aca="false">IF(B6470="","",IF(COUNTIF(Campaigns!$A$7:$A$300,B6470)&gt;0,"✓","⚠ add to Campaigns tab"))</f>
        <v/>
      </c>
      <c r="I6470" s="84" t="str">
        <f aca="false">IF(C6470="","",C6470*IF(Settings!$B$22=Settings!$C$6,1,IF(Settings!$B$22="USD",1/INDEX(Settings!$B$29:$B$40,MONTH(A6470)),INDEX(Settings!$B$29:$B$40,MONTH(A6470)))))</f>
        <v/>
      </c>
    </row>
    <row r="6471" customFormat="false" ht="15" hidden="false" customHeight="false" outlineLevel="0" collapsed="false">
      <c r="H6471" s="0" t="str">
        <f aca="false">IF(B6471="","",IF(COUNTIF(Campaigns!$A$7:$A$300,B6471)&gt;0,"✓","⚠ add to Campaigns tab"))</f>
        <v/>
      </c>
      <c r="I6471" s="84" t="str">
        <f aca="false">IF(C6471="","",C6471*IF(Settings!$B$22=Settings!$C$6,1,IF(Settings!$B$22="USD",1/INDEX(Settings!$B$29:$B$40,MONTH(A6471)),INDEX(Settings!$B$29:$B$40,MONTH(A6471)))))</f>
        <v/>
      </c>
    </row>
    <row r="6472" customFormat="false" ht="15" hidden="false" customHeight="false" outlineLevel="0" collapsed="false">
      <c r="H6472" s="0" t="str">
        <f aca="false">IF(B6472="","",IF(COUNTIF(Campaigns!$A$7:$A$300,B6472)&gt;0,"✓","⚠ add to Campaigns tab"))</f>
        <v/>
      </c>
      <c r="I6472" s="84" t="str">
        <f aca="false">IF(C6472="","",C6472*IF(Settings!$B$22=Settings!$C$6,1,IF(Settings!$B$22="USD",1/INDEX(Settings!$B$29:$B$40,MONTH(A6472)),INDEX(Settings!$B$29:$B$40,MONTH(A6472)))))</f>
        <v/>
      </c>
    </row>
    <row r="6473" customFormat="false" ht="15" hidden="false" customHeight="false" outlineLevel="0" collapsed="false">
      <c r="H6473" s="0" t="str">
        <f aca="false">IF(B6473="","",IF(COUNTIF(Campaigns!$A$7:$A$300,B6473)&gt;0,"✓","⚠ add to Campaigns tab"))</f>
        <v/>
      </c>
      <c r="I6473" s="84" t="str">
        <f aca="false">IF(C6473="","",C6473*IF(Settings!$B$22=Settings!$C$6,1,IF(Settings!$B$22="USD",1/INDEX(Settings!$B$29:$B$40,MONTH(A6473)),INDEX(Settings!$B$29:$B$40,MONTH(A6473)))))</f>
        <v/>
      </c>
    </row>
    <row r="6474" customFormat="false" ht="15" hidden="false" customHeight="false" outlineLevel="0" collapsed="false">
      <c r="H6474" s="0" t="str">
        <f aca="false">IF(B6474="","",IF(COUNTIF(Campaigns!$A$7:$A$300,B6474)&gt;0,"✓","⚠ add to Campaigns tab"))</f>
        <v/>
      </c>
      <c r="I6474" s="84" t="str">
        <f aca="false">IF(C6474="","",C6474*IF(Settings!$B$22=Settings!$C$6,1,IF(Settings!$B$22="USD",1/INDEX(Settings!$B$29:$B$40,MONTH(A6474)),INDEX(Settings!$B$29:$B$40,MONTH(A6474)))))</f>
        <v/>
      </c>
    </row>
    <row r="6475" customFormat="false" ht="15" hidden="false" customHeight="false" outlineLevel="0" collapsed="false">
      <c r="H6475" s="0" t="str">
        <f aca="false">IF(B6475="","",IF(COUNTIF(Campaigns!$A$7:$A$300,B6475)&gt;0,"✓","⚠ add to Campaigns tab"))</f>
        <v/>
      </c>
      <c r="I6475" s="84" t="str">
        <f aca="false">IF(C6475="","",C6475*IF(Settings!$B$22=Settings!$C$6,1,IF(Settings!$B$22="USD",1/INDEX(Settings!$B$29:$B$40,MONTH(A6475)),INDEX(Settings!$B$29:$B$40,MONTH(A6475)))))</f>
        <v/>
      </c>
    </row>
    <row r="6476" customFormat="false" ht="15" hidden="false" customHeight="false" outlineLevel="0" collapsed="false">
      <c r="H6476" s="0" t="str">
        <f aca="false">IF(B6476="","",IF(COUNTIF(Campaigns!$A$7:$A$300,B6476)&gt;0,"✓","⚠ add to Campaigns tab"))</f>
        <v/>
      </c>
      <c r="I6476" s="84" t="str">
        <f aca="false">IF(C6476="","",C6476*IF(Settings!$B$22=Settings!$C$6,1,IF(Settings!$B$22="USD",1/INDEX(Settings!$B$29:$B$40,MONTH(A6476)),INDEX(Settings!$B$29:$B$40,MONTH(A6476)))))</f>
        <v/>
      </c>
    </row>
    <row r="6477" customFormat="false" ht="15" hidden="false" customHeight="false" outlineLevel="0" collapsed="false">
      <c r="H6477" s="0" t="str">
        <f aca="false">IF(B6477="","",IF(COUNTIF(Campaigns!$A$7:$A$300,B6477)&gt;0,"✓","⚠ add to Campaigns tab"))</f>
        <v/>
      </c>
      <c r="I6477" s="84" t="str">
        <f aca="false">IF(C6477="","",C6477*IF(Settings!$B$22=Settings!$C$6,1,IF(Settings!$B$22="USD",1/INDEX(Settings!$B$29:$B$40,MONTH(A6477)),INDEX(Settings!$B$29:$B$40,MONTH(A6477)))))</f>
        <v/>
      </c>
    </row>
    <row r="6478" customFormat="false" ht="15" hidden="false" customHeight="false" outlineLevel="0" collapsed="false">
      <c r="H6478" s="0" t="str">
        <f aca="false">IF(B6478="","",IF(COUNTIF(Campaigns!$A$7:$A$300,B6478)&gt;0,"✓","⚠ add to Campaigns tab"))</f>
        <v/>
      </c>
      <c r="I6478" s="84" t="str">
        <f aca="false">IF(C6478="","",C6478*IF(Settings!$B$22=Settings!$C$6,1,IF(Settings!$B$22="USD",1/INDEX(Settings!$B$29:$B$40,MONTH(A6478)),INDEX(Settings!$B$29:$B$40,MONTH(A6478)))))</f>
        <v/>
      </c>
    </row>
    <row r="6479" customFormat="false" ht="15" hidden="false" customHeight="false" outlineLevel="0" collapsed="false">
      <c r="H6479" s="0" t="str">
        <f aca="false">IF(B6479="","",IF(COUNTIF(Campaigns!$A$7:$A$300,B6479)&gt;0,"✓","⚠ add to Campaigns tab"))</f>
        <v/>
      </c>
      <c r="I6479" s="84" t="str">
        <f aca="false">IF(C6479="","",C6479*IF(Settings!$B$22=Settings!$C$6,1,IF(Settings!$B$22="USD",1/INDEX(Settings!$B$29:$B$40,MONTH(A6479)),INDEX(Settings!$B$29:$B$40,MONTH(A6479)))))</f>
        <v/>
      </c>
    </row>
    <row r="6480" customFormat="false" ht="15" hidden="false" customHeight="false" outlineLevel="0" collapsed="false">
      <c r="H6480" s="0" t="str">
        <f aca="false">IF(B6480="","",IF(COUNTIF(Campaigns!$A$7:$A$300,B6480)&gt;0,"✓","⚠ add to Campaigns tab"))</f>
        <v/>
      </c>
      <c r="I6480" s="84" t="str">
        <f aca="false">IF(C6480="","",C6480*IF(Settings!$B$22=Settings!$C$6,1,IF(Settings!$B$22="USD",1/INDEX(Settings!$B$29:$B$40,MONTH(A6480)),INDEX(Settings!$B$29:$B$40,MONTH(A6480)))))</f>
        <v/>
      </c>
    </row>
    <row r="6481" customFormat="false" ht="15" hidden="false" customHeight="false" outlineLevel="0" collapsed="false">
      <c r="H6481" s="0" t="str">
        <f aca="false">IF(B6481="","",IF(COUNTIF(Campaigns!$A$7:$A$300,B6481)&gt;0,"✓","⚠ add to Campaigns tab"))</f>
        <v/>
      </c>
      <c r="I6481" s="84" t="str">
        <f aca="false">IF(C6481="","",C6481*IF(Settings!$B$22=Settings!$C$6,1,IF(Settings!$B$22="USD",1/INDEX(Settings!$B$29:$B$40,MONTH(A6481)),INDEX(Settings!$B$29:$B$40,MONTH(A6481)))))</f>
        <v/>
      </c>
    </row>
    <row r="6482" customFormat="false" ht="15" hidden="false" customHeight="false" outlineLevel="0" collapsed="false">
      <c r="H6482" s="0" t="str">
        <f aca="false">IF(B6482="","",IF(COUNTIF(Campaigns!$A$7:$A$300,B6482)&gt;0,"✓","⚠ add to Campaigns tab"))</f>
        <v/>
      </c>
      <c r="I6482" s="84" t="str">
        <f aca="false">IF(C6482="","",C6482*IF(Settings!$B$22=Settings!$C$6,1,IF(Settings!$B$22="USD",1/INDEX(Settings!$B$29:$B$40,MONTH(A6482)),INDEX(Settings!$B$29:$B$40,MONTH(A6482)))))</f>
        <v/>
      </c>
    </row>
    <row r="6483" customFormat="false" ht="15" hidden="false" customHeight="false" outlineLevel="0" collapsed="false">
      <c r="H6483" s="0" t="str">
        <f aca="false">IF(B6483="","",IF(COUNTIF(Campaigns!$A$7:$A$300,B6483)&gt;0,"✓","⚠ add to Campaigns tab"))</f>
        <v/>
      </c>
      <c r="I6483" s="84" t="str">
        <f aca="false">IF(C6483="","",C6483*IF(Settings!$B$22=Settings!$C$6,1,IF(Settings!$B$22="USD",1/INDEX(Settings!$B$29:$B$40,MONTH(A6483)),INDEX(Settings!$B$29:$B$40,MONTH(A6483)))))</f>
        <v/>
      </c>
    </row>
    <row r="6484" customFormat="false" ht="15" hidden="false" customHeight="false" outlineLevel="0" collapsed="false">
      <c r="H6484" s="0" t="str">
        <f aca="false">IF(B6484="","",IF(COUNTIF(Campaigns!$A$7:$A$300,B6484)&gt;0,"✓","⚠ add to Campaigns tab"))</f>
        <v/>
      </c>
      <c r="I6484" s="84" t="str">
        <f aca="false">IF(C6484="","",C6484*IF(Settings!$B$22=Settings!$C$6,1,IF(Settings!$B$22="USD",1/INDEX(Settings!$B$29:$B$40,MONTH(A6484)),INDEX(Settings!$B$29:$B$40,MONTH(A6484)))))</f>
        <v/>
      </c>
    </row>
    <row r="6485" customFormat="false" ht="15" hidden="false" customHeight="false" outlineLevel="0" collapsed="false">
      <c r="H6485" s="0" t="str">
        <f aca="false">IF(B6485="","",IF(COUNTIF(Campaigns!$A$7:$A$300,B6485)&gt;0,"✓","⚠ add to Campaigns tab"))</f>
        <v/>
      </c>
      <c r="I6485" s="84" t="str">
        <f aca="false">IF(C6485="","",C6485*IF(Settings!$B$22=Settings!$C$6,1,IF(Settings!$B$22="USD",1/INDEX(Settings!$B$29:$B$40,MONTH(A6485)),INDEX(Settings!$B$29:$B$40,MONTH(A6485)))))</f>
        <v/>
      </c>
    </row>
    <row r="6486" customFormat="false" ht="15" hidden="false" customHeight="false" outlineLevel="0" collapsed="false">
      <c r="H6486" s="0" t="str">
        <f aca="false">IF(B6486="","",IF(COUNTIF(Campaigns!$A$7:$A$300,B6486)&gt;0,"✓","⚠ add to Campaigns tab"))</f>
        <v/>
      </c>
      <c r="I6486" s="84" t="str">
        <f aca="false">IF(C6486="","",C6486*IF(Settings!$B$22=Settings!$C$6,1,IF(Settings!$B$22="USD",1/INDEX(Settings!$B$29:$B$40,MONTH(A6486)),INDEX(Settings!$B$29:$B$40,MONTH(A6486)))))</f>
        <v/>
      </c>
    </row>
    <row r="6487" customFormat="false" ht="15" hidden="false" customHeight="false" outlineLevel="0" collapsed="false">
      <c r="H6487" s="0" t="str">
        <f aca="false">IF(B6487="","",IF(COUNTIF(Campaigns!$A$7:$A$300,B6487)&gt;0,"✓","⚠ add to Campaigns tab"))</f>
        <v/>
      </c>
      <c r="I6487" s="84" t="str">
        <f aca="false">IF(C6487="","",C6487*IF(Settings!$B$22=Settings!$C$6,1,IF(Settings!$B$22="USD",1/INDEX(Settings!$B$29:$B$40,MONTH(A6487)),INDEX(Settings!$B$29:$B$40,MONTH(A6487)))))</f>
        <v/>
      </c>
    </row>
    <row r="6488" customFormat="false" ht="15" hidden="false" customHeight="false" outlineLevel="0" collapsed="false">
      <c r="H6488" s="0" t="str">
        <f aca="false">IF(B6488="","",IF(COUNTIF(Campaigns!$A$7:$A$300,B6488)&gt;0,"✓","⚠ add to Campaigns tab"))</f>
        <v/>
      </c>
      <c r="I6488" s="84" t="str">
        <f aca="false">IF(C6488="","",C6488*IF(Settings!$B$22=Settings!$C$6,1,IF(Settings!$B$22="USD",1/INDEX(Settings!$B$29:$B$40,MONTH(A6488)),INDEX(Settings!$B$29:$B$40,MONTH(A6488)))))</f>
        <v/>
      </c>
    </row>
    <row r="6489" customFormat="false" ht="15" hidden="false" customHeight="false" outlineLevel="0" collapsed="false">
      <c r="H6489" s="0" t="str">
        <f aca="false">IF(B6489="","",IF(COUNTIF(Campaigns!$A$7:$A$300,B6489)&gt;0,"✓","⚠ add to Campaigns tab"))</f>
        <v/>
      </c>
      <c r="I6489" s="84" t="str">
        <f aca="false">IF(C6489="","",C6489*IF(Settings!$B$22=Settings!$C$6,1,IF(Settings!$B$22="USD",1/INDEX(Settings!$B$29:$B$40,MONTH(A6489)),INDEX(Settings!$B$29:$B$40,MONTH(A6489)))))</f>
        <v/>
      </c>
    </row>
    <row r="6490" customFormat="false" ht="15" hidden="false" customHeight="false" outlineLevel="0" collapsed="false">
      <c r="H6490" s="0" t="str">
        <f aca="false">IF(B6490="","",IF(COUNTIF(Campaigns!$A$7:$A$300,B6490)&gt;0,"✓","⚠ add to Campaigns tab"))</f>
        <v/>
      </c>
      <c r="I6490" s="84" t="str">
        <f aca="false">IF(C6490="","",C6490*IF(Settings!$B$22=Settings!$C$6,1,IF(Settings!$B$22="USD",1/INDEX(Settings!$B$29:$B$40,MONTH(A6490)),INDEX(Settings!$B$29:$B$40,MONTH(A6490)))))</f>
        <v/>
      </c>
    </row>
    <row r="6491" customFormat="false" ht="15" hidden="false" customHeight="false" outlineLevel="0" collapsed="false">
      <c r="H6491" s="0" t="str">
        <f aca="false">IF(B6491="","",IF(COUNTIF(Campaigns!$A$7:$A$300,B6491)&gt;0,"✓","⚠ add to Campaigns tab"))</f>
        <v/>
      </c>
      <c r="I6491" s="84" t="str">
        <f aca="false">IF(C6491="","",C6491*IF(Settings!$B$22=Settings!$C$6,1,IF(Settings!$B$22="USD",1/INDEX(Settings!$B$29:$B$40,MONTH(A6491)),INDEX(Settings!$B$29:$B$40,MONTH(A6491)))))</f>
        <v/>
      </c>
    </row>
    <row r="6492" customFormat="false" ht="15" hidden="false" customHeight="false" outlineLevel="0" collapsed="false">
      <c r="H6492" s="0" t="str">
        <f aca="false">IF(B6492="","",IF(COUNTIF(Campaigns!$A$7:$A$300,B6492)&gt;0,"✓","⚠ add to Campaigns tab"))</f>
        <v/>
      </c>
      <c r="I6492" s="84" t="str">
        <f aca="false">IF(C6492="","",C6492*IF(Settings!$B$22=Settings!$C$6,1,IF(Settings!$B$22="USD",1/INDEX(Settings!$B$29:$B$40,MONTH(A6492)),INDEX(Settings!$B$29:$B$40,MONTH(A6492)))))</f>
        <v/>
      </c>
    </row>
    <row r="6493" customFormat="false" ht="15" hidden="false" customHeight="false" outlineLevel="0" collapsed="false">
      <c r="H6493" s="0" t="str">
        <f aca="false">IF(B6493="","",IF(COUNTIF(Campaigns!$A$7:$A$300,B6493)&gt;0,"✓","⚠ add to Campaigns tab"))</f>
        <v/>
      </c>
      <c r="I6493" s="84" t="str">
        <f aca="false">IF(C6493="","",C6493*IF(Settings!$B$22=Settings!$C$6,1,IF(Settings!$B$22="USD",1/INDEX(Settings!$B$29:$B$40,MONTH(A6493)),INDEX(Settings!$B$29:$B$40,MONTH(A6493)))))</f>
        <v/>
      </c>
    </row>
    <row r="6494" customFormat="false" ht="15" hidden="false" customHeight="false" outlineLevel="0" collapsed="false">
      <c r="H6494" s="0" t="str">
        <f aca="false">IF(B6494="","",IF(COUNTIF(Campaigns!$A$7:$A$300,B6494)&gt;0,"✓","⚠ add to Campaigns tab"))</f>
        <v/>
      </c>
      <c r="I6494" s="84" t="str">
        <f aca="false">IF(C6494="","",C6494*IF(Settings!$B$22=Settings!$C$6,1,IF(Settings!$B$22="USD",1/INDEX(Settings!$B$29:$B$40,MONTH(A6494)),INDEX(Settings!$B$29:$B$40,MONTH(A6494)))))</f>
        <v/>
      </c>
    </row>
    <row r="6495" customFormat="false" ht="15" hidden="false" customHeight="false" outlineLevel="0" collapsed="false">
      <c r="H6495" s="0" t="str">
        <f aca="false">IF(B6495="","",IF(COUNTIF(Campaigns!$A$7:$A$300,B6495)&gt;0,"✓","⚠ add to Campaigns tab"))</f>
        <v/>
      </c>
      <c r="I6495" s="84" t="str">
        <f aca="false">IF(C6495="","",C6495*IF(Settings!$B$22=Settings!$C$6,1,IF(Settings!$B$22="USD",1/INDEX(Settings!$B$29:$B$40,MONTH(A6495)),INDEX(Settings!$B$29:$B$40,MONTH(A6495)))))</f>
        <v/>
      </c>
    </row>
    <row r="6496" customFormat="false" ht="15" hidden="false" customHeight="false" outlineLevel="0" collapsed="false">
      <c r="H6496" s="0" t="str">
        <f aca="false">IF(B6496="","",IF(COUNTIF(Campaigns!$A$7:$A$300,B6496)&gt;0,"✓","⚠ add to Campaigns tab"))</f>
        <v/>
      </c>
      <c r="I6496" s="84" t="str">
        <f aca="false">IF(C6496="","",C6496*IF(Settings!$B$22=Settings!$C$6,1,IF(Settings!$B$22="USD",1/INDEX(Settings!$B$29:$B$40,MONTH(A6496)),INDEX(Settings!$B$29:$B$40,MONTH(A6496)))))</f>
        <v/>
      </c>
    </row>
    <row r="6497" customFormat="false" ht="15" hidden="false" customHeight="false" outlineLevel="0" collapsed="false">
      <c r="H6497" s="0" t="str">
        <f aca="false">IF(B6497="","",IF(COUNTIF(Campaigns!$A$7:$A$300,B6497)&gt;0,"✓","⚠ add to Campaigns tab"))</f>
        <v/>
      </c>
      <c r="I6497" s="84" t="str">
        <f aca="false">IF(C6497="","",C6497*IF(Settings!$B$22=Settings!$C$6,1,IF(Settings!$B$22="USD",1/INDEX(Settings!$B$29:$B$40,MONTH(A6497)),INDEX(Settings!$B$29:$B$40,MONTH(A6497)))))</f>
        <v/>
      </c>
    </row>
    <row r="6498" customFormat="false" ht="15" hidden="false" customHeight="false" outlineLevel="0" collapsed="false">
      <c r="H6498" s="0" t="str">
        <f aca="false">IF(B6498="","",IF(COUNTIF(Campaigns!$A$7:$A$300,B6498)&gt;0,"✓","⚠ add to Campaigns tab"))</f>
        <v/>
      </c>
      <c r="I6498" s="84" t="str">
        <f aca="false">IF(C6498="","",C6498*IF(Settings!$B$22=Settings!$C$6,1,IF(Settings!$B$22="USD",1/INDEX(Settings!$B$29:$B$40,MONTH(A6498)),INDEX(Settings!$B$29:$B$40,MONTH(A6498)))))</f>
        <v/>
      </c>
    </row>
    <row r="6499" customFormat="false" ht="15" hidden="false" customHeight="false" outlineLevel="0" collapsed="false">
      <c r="H6499" s="0" t="str">
        <f aca="false">IF(B6499="","",IF(COUNTIF(Campaigns!$A$7:$A$300,B6499)&gt;0,"✓","⚠ add to Campaigns tab"))</f>
        <v/>
      </c>
      <c r="I6499" s="84" t="str">
        <f aca="false">IF(C6499="","",C6499*IF(Settings!$B$22=Settings!$C$6,1,IF(Settings!$B$22="USD",1/INDEX(Settings!$B$29:$B$40,MONTH(A6499)),INDEX(Settings!$B$29:$B$40,MONTH(A6499)))))</f>
        <v/>
      </c>
    </row>
    <row r="6500" customFormat="false" ht="15" hidden="false" customHeight="false" outlineLevel="0" collapsed="false">
      <c r="H6500" s="0" t="str">
        <f aca="false">IF(B6500="","",IF(COUNTIF(Campaigns!$A$7:$A$300,B6500)&gt;0,"✓","⚠ add to Campaigns tab"))</f>
        <v/>
      </c>
      <c r="I6500" s="84" t="str">
        <f aca="false">IF(C6500="","",C6500*IF(Settings!$B$22=Settings!$C$6,1,IF(Settings!$B$22="USD",1/INDEX(Settings!$B$29:$B$40,MONTH(A6500)),INDEX(Settings!$B$29:$B$40,MONTH(A6500)))))</f>
        <v/>
      </c>
    </row>
    <row r="6501" customFormat="false" ht="15" hidden="false" customHeight="false" outlineLevel="0" collapsed="false">
      <c r="H6501" s="0" t="str">
        <f aca="false">IF(B6501="","",IF(COUNTIF(Campaigns!$A$7:$A$300,B6501)&gt;0,"✓","⚠ add to Campaigns tab"))</f>
        <v/>
      </c>
      <c r="I6501" s="84" t="str">
        <f aca="false">IF(C6501="","",C6501*IF(Settings!$B$22=Settings!$C$6,1,IF(Settings!$B$22="USD",1/INDEX(Settings!$B$29:$B$40,MONTH(A6501)),INDEX(Settings!$B$29:$B$40,MONTH(A6501)))))</f>
        <v/>
      </c>
    </row>
    <row r="6502" customFormat="false" ht="15" hidden="false" customHeight="false" outlineLevel="0" collapsed="false">
      <c r="H6502" s="0" t="str">
        <f aca="false">IF(B6502="","",IF(COUNTIF(Campaigns!$A$7:$A$300,B6502)&gt;0,"✓","⚠ add to Campaigns tab"))</f>
        <v/>
      </c>
      <c r="I6502" s="84" t="str">
        <f aca="false">IF(C6502="","",C6502*IF(Settings!$B$22=Settings!$C$6,1,IF(Settings!$B$22="USD",1/INDEX(Settings!$B$29:$B$40,MONTH(A6502)),INDEX(Settings!$B$29:$B$40,MONTH(A6502)))))</f>
        <v/>
      </c>
    </row>
    <row r="6503" customFormat="false" ht="15" hidden="false" customHeight="false" outlineLevel="0" collapsed="false">
      <c r="H6503" s="0" t="str">
        <f aca="false">IF(B6503="","",IF(COUNTIF(Campaigns!$A$7:$A$300,B6503)&gt;0,"✓","⚠ add to Campaigns tab"))</f>
        <v/>
      </c>
      <c r="I6503" s="84" t="str">
        <f aca="false">IF(C6503="","",C6503*IF(Settings!$B$22=Settings!$C$6,1,IF(Settings!$B$22="USD",1/INDEX(Settings!$B$29:$B$40,MONTH(A6503)),INDEX(Settings!$B$29:$B$40,MONTH(A6503)))))</f>
        <v/>
      </c>
    </row>
    <row r="6504" customFormat="false" ht="15" hidden="false" customHeight="false" outlineLevel="0" collapsed="false">
      <c r="H6504" s="0" t="str">
        <f aca="false">IF(B6504="","",IF(COUNTIF(Campaigns!$A$7:$A$300,B6504)&gt;0,"✓","⚠ add to Campaigns tab"))</f>
        <v/>
      </c>
      <c r="I6504" s="84" t="str">
        <f aca="false">IF(C6504="","",C6504*IF(Settings!$B$22=Settings!$C$6,1,IF(Settings!$B$22="USD",1/INDEX(Settings!$B$29:$B$40,MONTH(A6504)),INDEX(Settings!$B$29:$B$40,MONTH(A6504)))))</f>
        <v/>
      </c>
    </row>
    <row r="6505" customFormat="false" ht="15" hidden="false" customHeight="false" outlineLevel="0" collapsed="false">
      <c r="H6505" s="0" t="str">
        <f aca="false">IF(B6505="","",IF(COUNTIF(Campaigns!$A$7:$A$300,B6505)&gt;0,"✓","⚠ add to Campaigns tab"))</f>
        <v/>
      </c>
      <c r="I6505" s="84" t="str">
        <f aca="false">IF(C6505="","",C6505*IF(Settings!$B$22=Settings!$C$6,1,IF(Settings!$B$22="USD",1/INDEX(Settings!$B$29:$B$40,MONTH(A6505)),INDEX(Settings!$B$29:$B$40,MONTH(A6505)))))</f>
        <v/>
      </c>
    </row>
    <row r="6506" customFormat="false" ht="15" hidden="false" customHeight="false" outlineLevel="0" collapsed="false">
      <c r="H6506" s="0" t="str">
        <f aca="false">IF(B6506="","",IF(COUNTIF(Campaigns!$A$7:$A$300,B6506)&gt;0,"✓","⚠ add to Campaigns tab"))</f>
        <v/>
      </c>
      <c r="I6506" s="84" t="str">
        <f aca="false">IF(C6506="","",C6506*IF(Settings!$B$22=Settings!$C$6,1,IF(Settings!$B$22="USD",1/INDEX(Settings!$B$29:$B$40,MONTH(A6506)),INDEX(Settings!$B$29:$B$40,MONTH(A6506)))))</f>
        <v/>
      </c>
    </row>
    <row r="6507" customFormat="false" ht="15" hidden="false" customHeight="false" outlineLevel="0" collapsed="false">
      <c r="H6507" s="0" t="str">
        <f aca="false">IF(B6507="","",IF(COUNTIF(Campaigns!$A$7:$A$300,B6507)&gt;0,"✓","⚠ add to Campaigns tab"))</f>
        <v/>
      </c>
      <c r="I6507" s="84" t="str">
        <f aca="false">IF(C6507="","",C6507*IF(Settings!$B$22=Settings!$C$6,1,IF(Settings!$B$22="USD",1/INDEX(Settings!$B$29:$B$40,MONTH(A6507)),INDEX(Settings!$B$29:$B$40,MONTH(A6507)))))</f>
        <v/>
      </c>
    </row>
    <row r="6508" customFormat="false" ht="15" hidden="false" customHeight="false" outlineLevel="0" collapsed="false">
      <c r="H6508" s="0" t="str">
        <f aca="false">IF(B6508="","",IF(COUNTIF(Campaigns!$A$7:$A$300,B6508)&gt;0,"✓","⚠ add to Campaigns tab"))</f>
        <v/>
      </c>
      <c r="I6508" s="84" t="str">
        <f aca="false">IF(C6508="","",C6508*IF(Settings!$B$22=Settings!$C$6,1,IF(Settings!$B$22="USD",1/INDEX(Settings!$B$29:$B$40,MONTH(A6508)),INDEX(Settings!$B$29:$B$40,MONTH(A6508)))))</f>
        <v/>
      </c>
    </row>
    <row r="6509" customFormat="false" ht="15" hidden="false" customHeight="false" outlineLevel="0" collapsed="false">
      <c r="H6509" s="0" t="str">
        <f aca="false">IF(B6509="","",IF(COUNTIF(Campaigns!$A$7:$A$300,B6509)&gt;0,"✓","⚠ add to Campaigns tab"))</f>
        <v/>
      </c>
      <c r="I6509" s="84" t="str">
        <f aca="false">IF(C6509="","",C6509*IF(Settings!$B$22=Settings!$C$6,1,IF(Settings!$B$22="USD",1/INDEX(Settings!$B$29:$B$40,MONTH(A6509)),INDEX(Settings!$B$29:$B$40,MONTH(A6509)))))</f>
        <v/>
      </c>
    </row>
    <row r="6510" customFormat="false" ht="15" hidden="false" customHeight="false" outlineLevel="0" collapsed="false">
      <c r="H6510" s="0" t="str">
        <f aca="false">IF(B6510="","",IF(COUNTIF(Campaigns!$A$7:$A$300,B6510)&gt;0,"✓","⚠ add to Campaigns tab"))</f>
        <v/>
      </c>
      <c r="I6510" s="84" t="str">
        <f aca="false">IF(C6510="","",C6510*IF(Settings!$B$22=Settings!$C$6,1,IF(Settings!$B$22="USD",1/INDEX(Settings!$B$29:$B$40,MONTH(A6510)),INDEX(Settings!$B$29:$B$40,MONTH(A6510)))))</f>
        <v/>
      </c>
    </row>
    <row r="6511" customFormat="false" ht="15" hidden="false" customHeight="false" outlineLevel="0" collapsed="false">
      <c r="H6511" s="0" t="str">
        <f aca="false">IF(B6511="","",IF(COUNTIF(Campaigns!$A$7:$A$300,B6511)&gt;0,"✓","⚠ add to Campaigns tab"))</f>
        <v/>
      </c>
      <c r="I6511" s="84" t="str">
        <f aca="false">IF(C6511="","",C6511*IF(Settings!$B$22=Settings!$C$6,1,IF(Settings!$B$22="USD",1/INDEX(Settings!$B$29:$B$40,MONTH(A6511)),INDEX(Settings!$B$29:$B$40,MONTH(A6511)))))</f>
        <v/>
      </c>
    </row>
    <row r="6512" customFormat="false" ht="15" hidden="false" customHeight="false" outlineLevel="0" collapsed="false">
      <c r="H6512" s="0" t="str">
        <f aca="false">IF(B6512="","",IF(COUNTIF(Campaigns!$A$7:$A$300,B6512)&gt;0,"✓","⚠ add to Campaigns tab"))</f>
        <v/>
      </c>
      <c r="I6512" s="84" t="str">
        <f aca="false">IF(C6512="","",C6512*IF(Settings!$B$22=Settings!$C$6,1,IF(Settings!$B$22="USD",1/INDEX(Settings!$B$29:$B$40,MONTH(A6512)),INDEX(Settings!$B$29:$B$40,MONTH(A6512)))))</f>
        <v/>
      </c>
    </row>
    <row r="6513" customFormat="false" ht="15" hidden="false" customHeight="false" outlineLevel="0" collapsed="false">
      <c r="H6513" s="0" t="str">
        <f aca="false">IF(B6513="","",IF(COUNTIF(Campaigns!$A$7:$A$300,B6513)&gt;0,"✓","⚠ add to Campaigns tab"))</f>
        <v/>
      </c>
      <c r="I6513" s="84" t="str">
        <f aca="false">IF(C6513="","",C6513*IF(Settings!$B$22=Settings!$C$6,1,IF(Settings!$B$22="USD",1/INDEX(Settings!$B$29:$B$40,MONTH(A6513)),INDEX(Settings!$B$29:$B$40,MONTH(A6513)))))</f>
        <v/>
      </c>
    </row>
    <row r="6514" customFormat="false" ht="15" hidden="false" customHeight="false" outlineLevel="0" collapsed="false">
      <c r="H6514" s="0" t="str">
        <f aca="false">IF(B6514="","",IF(COUNTIF(Campaigns!$A$7:$A$300,B6514)&gt;0,"✓","⚠ add to Campaigns tab"))</f>
        <v/>
      </c>
      <c r="I6514" s="84" t="str">
        <f aca="false">IF(C6514="","",C6514*IF(Settings!$B$22=Settings!$C$6,1,IF(Settings!$B$22="USD",1/INDEX(Settings!$B$29:$B$40,MONTH(A6514)),INDEX(Settings!$B$29:$B$40,MONTH(A6514)))))</f>
        <v/>
      </c>
    </row>
    <row r="6515" customFormat="false" ht="15" hidden="false" customHeight="false" outlineLevel="0" collapsed="false">
      <c r="H6515" s="0" t="str">
        <f aca="false">IF(B6515="","",IF(COUNTIF(Campaigns!$A$7:$A$300,B6515)&gt;0,"✓","⚠ add to Campaigns tab"))</f>
        <v/>
      </c>
      <c r="I6515" s="84" t="str">
        <f aca="false">IF(C6515="","",C6515*IF(Settings!$B$22=Settings!$C$6,1,IF(Settings!$B$22="USD",1/INDEX(Settings!$B$29:$B$40,MONTH(A6515)),INDEX(Settings!$B$29:$B$40,MONTH(A6515)))))</f>
        <v/>
      </c>
    </row>
    <row r="6516" customFormat="false" ht="15" hidden="false" customHeight="false" outlineLevel="0" collapsed="false">
      <c r="H6516" s="0" t="str">
        <f aca="false">IF(B6516="","",IF(COUNTIF(Campaigns!$A$7:$A$300,B6516)&gt;0,"✓","⚠ add to Campaigns tab"))</f>
        <v/>
      </c>
      <c r="I6516" s="84" t="str">
        <f aca="false">IF(C6516="","",C6516*IF(Settings!$B$22=Settings!$C$6,1,IF(Settings!$B$22="USD",1/INDEX(Settings!$B$29:$B$40,MONTH(A6516)),INDEX(Settings!$B$29:$B$40,MONTH(A6516)))))</f>
        <v/>
      </c>
    </row>
    <row r="6517" customFormat="false" ht="15" hidden="false" customHeight="false" outlineLevel="0" collapsed="false">
      <c r="H6517" s="0" t="str">
        <f aca="false">IF(B6517="","",IF(COUNTIF(Campaigns!$A$7:$A$300,B6517)&gt;0,"✓","⚠ add to Campaigns tab"))</f>
        <v/>
      </c>
      <c r="I6517" s="84" t="str">
        <f aca="false">IF(C6517="","",C6517*IF(Settings!$B$22=Settings!$C$6,1,IF(Settings!$B$22="USD",1/INDEX(Settings!$B$29:$B$40,MONTH(A6517)),INDEX(Settings!$B$29:$B$40,MONTH(A6517)))))</f>
        <v/>
      </c>
    </row>
    <row r="6518" customFormat="false" ht="15" hidden="false" customHeight="false" outlineLevel="0" collapsed="false">
      <c r="H6518" s="0" t="str">
        <f aca="false">IF(B6518="","",IF(COUNTIF(Campaigns!$A$7:$A$300,B6518)&gt;0,"✓","⚠ add to Campaigns tab"))</f>
        <v/>
      </c>
      <c r="I6518" s="84" t="str">
        <f aca="false">IF(C6518="","",C6518*IF(Settings!$B$22=Settings!$C$6,1,IF(Settings!$B$22="USD",1/INDEX(Settings!$B$29:$B$40,MONTH(A6518)),INDEX(Settings!$B$29:$B$40,MONTH(A6518)))))</f>
        <v/>
      </c>
    </row>
    <row r="6519" customFormat="false" ht="15" hidden="false" customHeight="false" outlineLevel="0" collapsed="false">
      <c r="H6519" s="0" t="str">
        <f aca="false">IF(B6519="","",IF(COUNTIF(Campaigns!$A$7:$A$300,B6519)&gt;0,"✓","⚠ add to Campaigns tab"))</f>
        <v/>
      </c>
      <c r="I6519" s="84" t="str">
        <f aca="false">IF(C6519="","",C6519*IF(Settings!$B$22=Settings!$C$6,1,IF(Settings!$B$22="USD",1/INDEX(Settings!$B$29:$B$40,MONTH(A6519)),INDEX(Settings!$B$29:$B$40,MONTH(A6519)))))</f>
        <v/>
      </c>
    </row>
    <row r="6520" customFormat="false" ht="15" hidden="false" customHeight="false" outlineLevel="0" collapsed="false">
      <c r="H6520" s="0" t="str">
        <f aca="false">IF(B6520="","",IF(COUNTIF(Campaigns!$A$7:$A$300,B6520)&gt;0,"✓","⚠ add to Campaigns tab"))</f>
        <v/>
      </c>
      <c r="I6520" s="84" t="str">
        <f aca="false">IF(C6520="","",C6520*IF(Settings!$B$22=Settings!$C$6,1,IF(Settings!$B$22="USD",1/INDEX(Settings!$B$29:$B$40,MONTH(A6520)),INDEX(Settings!$B$29:$B$40,MONTH(A6520)))))</f>
        <v/>
      </c>
    </row>
    <row r="6521" customFormat="false" ht="15" hidden="false" customHeight="false" outlineLevel="0" collapsed="false">
      <c r="H6521" s="0" t="str">
        <f aca="false">IF(B6521="","",IF(COUNTIF(Campaigns!$A$7:$A$300,B6521)&gt;0,"✓","⚠ add to Campaigns tab"))</f>
        <v/>
      </c>
      <c r="I6521" s="84" t="str">
        <f aca="false">IF(C6521="","",C6521*IF(Settings!$B$22=Settings!$C$6,1,IF(Settings!$B$22="USD",1/INDEX(Settings!$B$29:$B$40,MONTH(A6521)),INDEX(Settings!$B$29:$B$40,MONTH(A6521)))))</f>
        <v/>
      </c>
    </row>
    <row r="6522" customFormat="false" ht="15" hidden="false" customHeight="false" outlineLevel="0" collapsed="false">
      <c r="H6522" s="0" t="str">
        <f aca="false">IF(B6522="","",IF(COUNTIF(Campaigns!$A$7:$A$300,B6522)&gt;0,"✓","⚠ add to Campaigns tab"))</f>
        <v/>
      </c>
      <c r="I6522" s="84" t="str">
        <f aca="false">IF(C6522="","",C6522*IF(Settings!$B$22=Settings!$C$6,1,IF(Settings!$B$22="USD",1/INDEX(Settings!$B$29:$B$40,MONTH(A6522)),INDEX(Settings!$B$29:$B$40,MONTH(A6522)))))</f>
        <v/>
      </c>
    </row>
    <row r="6523" customFormat="false" ht="15" hidden="false" customHeight="false" outlineLevel="0" collapsed="false">
      <c r="H6523" s="0" t="str">
        <f aca="false">IF(B6523="","",IF(COUNTIF(Campaigns!$A$7:$A$300,B6523)&gt;0,"✓","⚠ add to Campaigns tab"))</f>
        <v/>
      </c>
      <c r="I6523" s="84" t="str">
        <f aca="false">IF(C6523="","",C6523*IF(Settings!$B$22=Settings!$C$6,1,IF(Settings!$B$22="USD",1/INDEX(Settings!$B$29:$B$40,MONTH(A6523)),INDEX(Settings!$B$29:$B$40,MONTH(A6523)))))</f>
        <v/>
      </c>
    </row>
    <row r="6524" customFormat="false" ht="15" hidden="false" customHeight="false" outlineLevel="0" collapsed="false">
      <c r="H6524" s="0" t="str">
        <f aca="false">IF(B6524="","",IF(COUNTIF(Campaigns!$A$7:$A$300,B6524)&gt;0,"✓","⚠ add to Campaigns tab"))</f>
        <v/>
      </c>
      <c r="I6524" s="84" t="str">
        <f aca="false">IF(C6524="","",C6524*IF(Settings!$B$22=Settings!$C$6,1,IF(Settings!$B$22="USD",1/INDEX(Settings!$B$29:$B$40,MONTH(A6524)),INDEX(Settings!$B$29:$B$40,MONTH(A6524)))))</f>
        <v/>
      </c>
    </row>
    <row r="6525" customFormat="false" ht="15" hidden="false" customHeight="false" outlineLevel="0" collapsed="false">
      <c r="H6525" s="0" t="str">
        <f aca="false">IF(B6525="","",IF(COUNTIF(Campaigns!$A$7:$A$300,B6525)&gt;0,"✓","⚠ add to Campaigns tab"))</f>
        <v/>
      </c>
      <c r="I6525" s="84" t="str">
        <f aca="false">IF(C6525="","",C6525*IF(Settings!$B$22=Settings!$C$6,1,IF(Settings!$B$22="USD",1/INDEX(Settings!$B$29:$B$40,MONTH(A6525)),INDEX(Settings!$B$29:$B$40,MONTH(A6525)))))</f>
        <v/>
      </c>
    </row>
    <row r="6526" customFormat="false" ht="15" hidden="false" customHeight="false" outlineLevel="0" collapsed="false">
      <c r="H6526" s="0" t="str">
        <f aca="false">IF(B6526="","",IF(COUNTIF(Campaigns!$A$7:$A$300,B6526)&gt;0,"✓","⚠ add to Campaigns tab"))</f>
        <v/>
      </c>
      <c r="I6526" s="84" t="str">
        <f aca="false">IF(C6526="","",C6526*IF(Settings!$B$22=Settings!$C$6,1,IF(Settings!$B$22="USD",1/INDEX(Settings!$B$29:$B$40,MONTH(A6526)),INDEX(Settings!$B$29:$B$40,MONTH(A6526)))))</f>
        <v/>
      </c>
    </row>
    <row r="6527" customFormat="false" ht="15" hidden="false" customHeight="false" outlineLevel="0" collapsed="false">
      <c r="H6527" s="0" t="str">
        <f aca="false">IF(B6527="","",IF(COUNTIF(Campaigns!$A$7:$A$300,B6527)&gt;0,"✓","⚠ add to Campaigns tab"))</f>
        <v/>
      </c>
      <c r="I6527" s="84" t="str">
        <f aca="false">IF(C6527="","",C6527*IF(Settings!$B$22=Settings!$C$6,1,IF(Settings!$B$22="USD",1/INDEX(Settings!$B$29:$B$40,MONTH(A6527)),INDEX(Settings!$B$29:$B$40,MONTH(A6527)))))</f>
        <v/>
      </c>
    </row>
    <row r="6528" customFormat="false" ht="15" hidden="false" customHeight="false" outlineLevel="0" collapsed="false">
      <c r="H6528" s="0" t="str">
        <f aca="false">IF(B6528="","",IF(COUNTIF(Campaigns!$A$7:$A$300,B6528)&gt;0,"✓","⚠ add to Campaigns tab"))</f>
        <v/>
      </c>
      <c r="I6528" s="84" t="str">
        <f aca="false">IF(C6528="","",C6528*IF(Settings!$B$22=Settings!$C$6,1,IF(Settings!$B$22="USD",1/INDEX(Settings!$B$29:$B$40,MONTH(A6528)),INDEX(Settings!$B$29:$B$40,MONTH(A6528)))))</f>
        <v/>
      </c>
    </row>
    <row r="6529" customFormat="false" ht="15" hidden="false" customHeight="false" outlineLevel="0" collapsed="false">
      <c r="H6529" s="0" t="str">
        <f aca="false">IF(B6529="","",IF(COUNTIF(Campaigns!$A$7:$A$300,B6529)&gt;0,"✓","⚠ add to Campaigns tab"))</f>
        <v/>
      </c>
      <c r="I6529" s="84" t="str">
        <f aca="false">IF(C6529="","",C6529*IF(Settings!$B$22=Settings!$C$6,1,IF(Settings!$B$22="USD",1/INDEX(Settings!$B$29:$B$40,MONTH(A6529)),INDEX(Settings!$B$29:$B$40,MONTH(A6529)))))</f>
        <v/>
      </c>
    </row>
    <row r="6530" customFormat="false" ht="15" hidden="false" customHeight="false" outlineLevel="0" collapsed="false">
      <c r="H6530" s="0" t="str">
        <f aca="false">IF(B6530="","",IF(COUNTIF(Campaigns!$A$7:$A$300,B6530)&gt;0,"✓","⚠ add to Campaigns tab"))</f>
        <v/>
      </c>
      <c r="I6530" s="84" t="str">
        <f aca="false">IF(C6530="","",C6530*IF(Settings!$B$22=Settings!$C$6,1,IF(Settings!$B$22="USD",1/INDEX(Settings!$B$29:$B$40,MONTH(A6530)),INDEX(Settings!$B$29:$B$40,MONTH(A6530)))))</f>
        <v/>
      </c>
    </row>
    <row r="6531" customFormat="false" ht="15" hidden="false" customHeight="false" outlineLevel="0" collapsed="false">
      <c r="H6531" s="0" t="str">
        <f aca="false">IF(B6531="","",IF(COUNTIF(Campaigns!$A$7:$A$300,B6531)&gt;0,"✓","⚠ add to Campaigns tab"))</f>
        <v/>
      </c>
      <c r="I6531" s="84" t="str">
        <f aca="false">IF(C6531="","",C6531*IF(Settings!$B$22=Settings!$C$6,1,IF(Settings!$B$22="USD",1/INDEX(Settings!$B$29:$B$40,MONTH(A6531)),INDEX(Settings!$B$29:$B$40,MONTH(A6531)))))</f>
        <v/>
      </c>
    </row>
    <row r="6532" customFormat="false" ht="15" hidden="false" customHeight="false" outlineLevel="0" collapsed="false">
      <c r="H6532" s="0" t="str">
        <f aca="false">IF(B6532="","",IF(COUNTIF(Campaigns!$A$7:$A$300,B6532)&gt;0,"✓","⚠ add to Campaigns tab"))</f>
        <v/>
      </c>
      <c r="I6532" s="84" t="str">
        <f aca="false">IF(C6532="","",C6532*IF(Settings!$B$22=Settings!$C$6,1,IF(Settings!$B$22="USD",1/INDEX(Settings!$B$29:$B$40,MONTH(A6532)),INDEX(Settings!$B$29:$B$40,MONTH(A6532)))))</f>
        <v/>
      </c>
    </row>
    <row r="6533" customFormat="false" ht="15" hidden="false" customHeight="false" outlineLevel="0" collapsed="false">
      <c r="H6533" s="0" t="str">
        <f aca="false">IF(B6533="","",IF(COUNTIF(Campaigns!$A$7:$A$300,B6533)&gt;0,"✓","⚠ add to Campaigns tab"))</f>
        <v/>
      </c>
      <c r="I6533" s="84" t="str">
        <f aca="false">IF(C6533="","",C6533*IF(Settings!$B$22=Settings!$C$6,1,IF(Settings!$B$22="USD",1/INDEX(Settings!$B$29:$B$40,MONTH(A6533)),INDEX(Settings!$B$29:$B$40,MONTH(A6533)))))</f>
        <v/>
      </c>
    </row>
    <row r="6534" customFormat="false" ht="15" hidden="false" customHeight="false" outlineLevel="0" collapsed="false">
      <c r="H6534" s="0" t="str">
        <f aca="false">IF(B6534="","",IF(COUNTIF(Campaigns!$A$7:$A$300,B6534)&gt;0,"✓","⚠ add to Campaigns tab"))</f>
        <v/>
      </c>
      <c r="I6534" s="84" t="str">
        <f aca="false">IF(C6534="","",C6534*IF(Settings!$B$22=Settings!$C$6,1,IF(Settings!$B$22="USD",1/INDEX(Settings!$B$29:$B$40,MONTH(A6534)),INDEX(Settings!$B$29:$B$40,MONTH(A6534)))))</f>
        <v/>
      </c>
    </row>
    <row r="6535" customFormat="false" ht="15" hidden="false" customHeight="false" outlineLevel="0" collapsed="false">
      <c r="H6535" s="0" t="str">
        <f aca="false">IF(B6535="","",IF(COUNTIF(Campaigns!$A$7:$A$300,B6535)&gt;0,"✓","⚠ add to Campaigns tab"))</f>
        <v/>
      </c>
      <c r="I6535" s="84" t="str">
        <f aca="false">IF(C6535="","",C6535*IF(Settings!$B$22=Settings!$C$6,1,IF(Settings!$B$22="USD",1/INDEX(Settings!$B$29:$B$40,MONTH(A6535)),INDEX(Settings!$B$29:$B$40,MONTH(A6535)))))</f>
        <v/>
      </c>
    </row>
    <row r="6536" customFormat="false" ht="15" hidden="false" customHeight="false" outlineLevel="0" collapsed="false">
      <c r="H6536" s="0" t="str">
        <f aca="false">IF(B6536="","",IF(COUNTIF(Campaigns!$A$7:$A$300,B6536)&gt;0,"✓","⚠ add to Campaigns tab"))</f>
        <v/>
      </c>
      <c r="I6536" s="84" t="str">
        <f aca="false">IF(C6536="","",C6536*IF(Settings!$B$22=Settings!$C$6,1,IF(Settings!$B$22="USD",1/INDEX(Settings!$B$29:$B$40,MONTH(A6536)),INDEX(Settings!$B$29:$B$40,MONTH(A6536)))))</f>
        <v/>
      </c>
    </row>
    <row r="6537" customFormat="false" ht="15" hidden="false" customHeight="false" outlineLevel="0" collapsed="false">
      <c r="H6537" s="0" t="str">
        <f aca="false">IF(B6537="","",IF(COUNTIF(Campaigns!$A$7:$A$300,B6537)&gt;0,"✓","⚠ add to Campaigns tab"))</f>
        <v/>
      </c>
      <c r="I6537" s="84" t="str">
        <f aca="false">IF(C6537="","",C6537*IF(Settings!$B$22=Settings!$C$6,1,IF(Settings!$B$22="USD",1/INDEX(Settings!$B$29:$B$40,MONTH(A6537)),INDEX(Settings!$B$29:$B$40,MONTH(A6537)))))</f>
        <v/>
      </c>
    </row>
    <row r="6538" customFormat="false" ht="15" hidden="false" customHeight="false" outlineLevel="0" collapsed="false">
      <c r="H6538" s="0" t="str">
        <f aca="false">IF(B6538="","",IF(COUNTIF(Campaigns!$A$7:$A$300,B6538)&gt;0,"✓","⚠ add to Campaigns tab"))</f>
        <v/>
      </c>
      <c r="I6538" s="84" t="str">
        <f aca="false">IF(C6538="","",C6538*IF(Settings!$B$22=Settings!$C$6,1,IF(Settings!$B$22="USD",1/INDEX(Settings!$B$29:$B$40,MONTH(A6538)),INDEX(Settings!$B$29:$B$40,MONTH(A6538)))))</f>
        <v/>
      </c>
    </row>
    <row r="6539" customFormat="false" ht="15" hidden="false" customHeight="false" outlineLevel="0" collapsed="false">
      <c r="H6539" s="0" t="str">
        <f aca="false">IF(B6539="","",IF(COUNTIF(Campaigns!$A$7:$A$300,B6539)&gt;0,"✓","⚠ add to Campaigns tab"))</f>
        <v/>
      </c>
      <c r="I6539" s="84" t="str">
        <f aca="false">IF(C6539="","",C6539*IF(Settings!$B$22=Settings!$C$6,1,IF(Settings!$B$22="USD",1/INDEX(Settings!$B$29:$B$40,MONTH(A6539)),INDEX(Settings!$B$29:$B$40,MONTH(A6539)))))</f>
        <v/>
      </c>
    </row>
    <row r="6540" customFormat="false" ht="15" hidden="false" customHeight="false" outlineLevel="0" collapsed="false">
      <c r="H6540" s="0" t="str">
        <f aca="false">IF(B6540="","",IF(COUNTIF(Campaigns!$A$7:$A$300,B6540)&gt;0,"✓","⚠ add to Campaigns tab"))</f>
        <v/>
      </c>
      <c r="I6540" s="84" t="str">
        <f aca="false">IF(C6540="","",C6540*IF(Settings!$B$22=Settings!$C$6,1,IF(Settings!$B$22="USD",1/INDEX(Settings!$B$29:$B$40,MONTH(A6540)),INDEX(Settings!$B$29:$B$40,MONTH(A6540)))))</f>
        <v/>
      </c>
    </row>
    <row r="6541" customFormat="false" ht="15" hidden="false" customHeight="false" outlineLevel="0" collapsed="false">
      <c r="H6541" s="0" t="str">
        <f aca="false">IF(B6541="","",IF(COUNTIF(Campaigns!$A$7:$A$300,B6541)&gt;0,"✓","⚠ add to Campaigns tab"))</f>
        <v/>
      </c>
      <c r="I6541" s="84" t="str">
        <f aca="false">IF(C6541="","",C6541*IF(Settings!$B$22=Settings!$C$6,1,IF(Settings!$B$22="USD",1/INDEX(Settings!$B$29:$B$40,MONTH(A6541)),INDEX(Settings!$B$29:$B$40,MONTH(A6541)))))</f>
        <v/>
      </c>
    </row>
    <row r="6542" customFormat="false" ht="15" hidden="false" customHeight="false" outlineLevel="0" collapsed="false">
      <c r="H6542" s="0" t="str">
        <f aca="false">IF(B6542="","",IF(COUNTIF(Campaigns!$A$7:$A$300,B6542)&gt;0,"✓","⚠ add to Campaigns tab"))</f>
        <v/>
      </c>
      <c r="I6542" s="84" t="str">
        <f aca="false">IF(C6542="","",C6542*IF(Settings!$B$22=Settings!$C$6,1,IF(Settings!$B$22="USD",1/INDEX(Settings!$B$29:$B$40,MONTH(A6542)),INDEX(Settings!$B$29:$B$40,MONTH(A6542)))))</f>
        <v/>
      </c>
    </row>
    <row r="6543" customFormat="false" ht="15" hidden="false" customHeight="false" outlineLevel="0" collapsed="false">
      <c r="H6543" s="0" t="str">
        <f aca="false">IF(B6543="","",IF(COUNTIF(Campaigns!$A$7:$A$300,B6543)&gt;0,"✓","⚠ add to Campaigns tab"))</f>
        <v/>
      </c>
      <c r="I6543" s="84" t="str">
        <f aca="false">IF(C6543="","",C6543*IF(Settings!$B$22=Settings!$C$6,1,IF(Settings!$B$22="USD",1/INDEX(Settings!$B$29:$B$40,MONTH(A6543)),INDEX(Settings!$B$29:$B$40,MONTH(A6543)))))</f>
        <v/>
      </c>
    </row>
    <row r="6544" customFormat="false" ht="15" hidden="false" customHeight="false" outlineLevel="0" collapsed="false">
      <c r="H6544" s="0" t="str">
        <f aca="false">IF(B6544="","",IF(COUNTIF(Campaigns!$A$7:$A$300,B6544)&gt;0,"✓","⚠ add to Campaigns tab"))</f>
        <v/>
      </c>
      <c r="I6544" s="84" t="str">
        <f aca="false">IF(C6544="","",C6544*IF(Settings!$B$22=Settings!$C$6,1,IF(Settings!$B$22="USD",1/INDEX(Settings!$B$29:$B$40,MONTH(A6544)),INDEX(Settings!$B$29:$B$40,MONTH(A6544)))))</f>
        <v/>
      </c>
    </row>
    <row r="6545" customFormat="false" ht="15" hidden="false" customHeight="false" outlineLevel="0" collapsed="false">
      <c r="H6545" s="0" t="str">
        <f aca="false">IF(B6545="","",IF(COUNTIF(Campaigns!$A$7:$A$300,B6545)&gt;0,"✓","⚠ add to Campaigns tab"))</f>
        <v/>
      </c>
      <c r="I6545" s="84" t="str">
        <f aca="false">IF(C6545="","",C6545*IF(Settings!$B$22=Settings!$C$6,1,IF(Settings!$B$22="USD",1/INDEX(Settings!$B$29:$B$40,MONTH(A6545)),INDEX(Settings!$B$29:$B$40,MONTH(A6545)))))</f>
        <v/>
      </c>
    </row>
    <row r="6546" customFormat="false" ht="15" hidden="false" customHeight="false" outlineLevel="0" collapsed="false">
      <c r="H6546" s="0" t="str">
        <f aca="false">IF(B6546="","",IF(COUNTIF(Campaigns!$A$7:$A$300,B6546)&gt;0,"✓","⚠ add to Campaigns tab"))</f>
        <v/>
      </c>
      <c r="I6546" s="84" t="str">
        <f aca="false">IF(C6546="","",C6546*IF(Settings!$B$22=Settings!$C$6,1,IF(Settings!$B$22="USD",1/INDEX(Settings!$B$29:$B$40,MONTH(A6546)),INDEX(Settings!$B$29:$B$40,MONTH(A6546)))))</f>
        <v/>
      </c>
    </row>
    <row r="6547" customFormat="false" ht="15" hidden="false" customHeight="false" outlineLevel="0" collapsed="false">
      <c r="H6547" s="0" t="str">
        <f aca="false">IF(B6547="","",IF(COUNTIF(Campaigns!$A$7:$A$300,B6547)&gt;0,"✓","⚠ add to Campaigns tab"))</f>
        <v/>
      </c>
      <c r="I6547" s="84" t="str">
        <f aca="false">IF(C6547="","",C6547*IF(Settings!$B$22=Settings!$C$6,1,IF(Settings!$B$22="USD",1/INDEX(Settings!$B$29:$B$40,MONTH(A6547)),INDEX(Settings!$B$29:$B$40,MONTH(A6547)))))</f>
        <v/>
      </c>
    </row>
    <row r="6548" customFormat="false" ht="15" hidden="false" customHeight="false" outlineLevel="0" collapsed="false">
      <c r="H6548" s="0" t="str">
        <f aca="false">IF(B6548="","",IF(COUNTIF(Campaigns!$A$7:$A$300,B6548)&gt;0,"✓","⚠ add to Campaigns tab"))</f>
        <v/>
      </c>
      <c r="I6548" s="84" t="str">
        <f aca="false">IF(C6548="","",C6548*IF(Settings!$B$22=Settings!$C$6,1,IF(Settings!$B$22="USD",1/INDEX(Settings!$B$29:$B$40,MONTH(A6548)),INDEX(Settings!$B$29:$B$40,MONTH(A6548)))))</f>
        <v/>
      </c>
    </row>
    <row r="6549" customFormat="false" ht="15" hidden="false" customHeight="false" outlineLevel="0" collapsed="false">
      <c r="H6549" s="0" t="str">
        <f aca="false">IF(B6549="","",IF(COUNTIF(Campaigns!$A$7:$A$300,B6549)&gt;0,"✓","⚠ add to Campaigns tab"))</f>
        <v/>
      </c>
      <c r="I6549" s="84" t="str">
        <f aca="false">IF(C6549="","",C6549*IF(Settings!$B$22=Settings!$C$6,1,IF(Settings!$B$22="USD",1/INDEX(Settings!$B$29:$B$40,MONTH(A6549)),INDEX(Settings!$B$29:$B$40,MONTH(A6549)))))</f>
        <v/>
      </c>
    </row>
    <row r="6550" customFormat="false" ht="15" hidden="false" customHeight="false" outlineLevel="0" collapsed="false">
      <c r="H6550" s="0" t="str">
        <f aca="false">IF(B6550="","",IF(COUNTIF(Campaigns!$A$7:$A$300,B6550)&gt;0,"✓","⚠ add to Campaigns tab"))</f>
        <v/>
      </c>
      <c r="I6550" s="84" t="str">
        <f aca="false">IF(C6550="","",C6550*IF(Settings!$B$22=Settings!$C$6,1,IF(Settings!$B$22="USD",1/INDEX(Settings!$B$29:$B$40,MONTH(A6550)),INDEX(Settings!$B$29:$B$40,MONTH(A6550)))))</f>
        <v/>
      </c>
    </row>
    <row r="6551" customFormat="false" ht="15" hidden="false" customHeight="false" outlineLevel="0" collapsed="false">
      <c r="H6551" s="0" t="str">
        <f aca="false">IF(B6551="","",IF(COUNTIF(Campaigns!$A$7:$A$300,B6551)&gt;0,"✓","⚠ add to Campaigns tab"))</f>
        <v/>
      </c>
      <c r="I6551" s="84" t="str">
        <f aca="false">IF(C6551="","",C6551*IF(Settings!$B$22=Settings!$C$6,1,IF(Settings!$B$22="USD",1/INDEX(Settings!$B$29:$B$40,MONTH(A6551)),INDEX(Settings!$B$29:$B$40,MONTH(A6551)))))</f>
        <v/>
      </c>
    </row>
    <row r="6552" customFormat="false" ht="15" hidden="false" customHeight="false" outlineLevel="0" collapsed="false">
      <c r="H6552" s="0" t="str">
        <f aca="false">IF(B6552="","",IF(COUNTIF(Campaigns!$A$7:$A$300,B6552)&gt;0,"✓","⚠ add to Campaigns tab"))</f>
        <v/>
      </c>
      <c r="I6552" s="84" t="str">
        <f aca="false">IF(C6552="","",C6552*IF(Settings!$B$22=Settings!$C$6,1,IF(Settings!$B$22="USD",1/INDEX(Settings!$B$29:$B$40,MONTH(A6552)),INDEX(Settings!$B$29:$B$40,MONTH(A6552)))))</f>
        <v/>
      </c>
    </row>
    <row r="6553" customFormat="false" ht="15" hidden="false" customHeight="false" outlineLevel="0" collapsed="false">
      <c r="H6553" s="0" t="str">
        <f aca="false">IF(B6553="","",IF(COUNTIF(Campaigns!$A$7:$A$300,B6553)&gt;0,"✓","⚠ add to Campaigns tab"))</f>
        <v/>
      </c>
      <c r="I6553" s="84" t="str">
        <f aca="false">IF(C6553="","",C6553*IF(Settings!$B$22=Settings!$C$6,1,IF(Settings!$B$22="USD",1/INDEX(Settings!$B$29:$B$40,MONTH(A6553)),INDEX(Settings!$B$29:$B$40,MONTH(A6553)))))</f>
        <v/>
      </c>
    </row>
    <row r="6554" customFormat="false" ht="15" hidden="false" customHeight="false" outlineLevel="0" collapsed="false">
      <c r="H6554" s="0" t="str">
        <f aca="false">IF(B6554="","",IF(COUNTIF(Campaigns!$A$7:$A$300,B6554)&gt;0,"✓","⚠ add to Campaigns tab"))</f>
        <v/>
      </c>
      <c r="I6554" s="84" t="str">
        <f aca="false">IF(C6554="","",C6554*IF(Settings!$B$22=Settings!$C$6,1,IF(Settings!$B$22="USD",1/INDEX(Settings!$B$29:$B$40,MONTH(A6554)),INDEX(Settings!$B$29:$B$40,MONTH(A6554)))))</f>
        <v/>
      </c>
    </row>
    <row r="6555" customFormat="false" ht="15" hidden="false" customHeight="false" outlineLevel="0" collapsed="false">
      <c r="H6555" s="0" t="str">
        <f aca="false">IF(B6555="","",IF(COUNTIF(Campaigns!$A$7:$A$300,B6555)&gt;0,"✓","⚠ add to Campaigns tab"))</f>
        <v/>
      </c>
      <c r="I6555" s="84" t="str">
        <f aca="false">IF(C6555="","",C6555*IF(Settings!$B$22=Settings!$C$6,1,IF(Settings!$B$22="USD",1/INDEX(Settings!$B$29:$B$40,MONTH(A6555)),INDEX(Settings!$B$29:$B$40,MONTH(A6555)))))</f>
        <v/>
      </c>
    </row>
    <row r="6556" customFormat="false" ht="15" hidden="false" customHeight="false" outlineLevel="0" collapsed="false">
      <c r="H6556" s="0" t="str">
        <f aca="false">IF(B6556="","",IF(COUNTIF(Campaigns!$A$7:$A$300,B6556)&gt;0,"✓","⚠ add to Campaigns tab"))</f>
        <v/>
      </c>
      <c r="I6556" s="84" t="str">
        <f aca="false">IF(C6556="","",C6556*IF(Settings!$B$22=Settings!$C$6,1,IF(Settings!$B$22="USD",1/INDEX(Settings!$B$29:$B$40,MONTH(A6556)),INDEX(Settings!$B$29:$B$40,MONTH(A6556)))))</f>
        <v/>
      </c>
    </row>
    <row r="6557" customFormat="false" ht="15" hidden="false" customHeight="false" outlineLevel="0" collapsed="false">
      <c r="H6557" s="0" t="str">
        <f aca="false">IF(B6557="","",IF(COUNTIF(Campaigns!$A$7:$A$300,B6557)&gt;0,"✓","⚠ add to Campaigns tab"))</f>
        <v/>
      </c>
      <c r="I6557" s="84" t="str">
        <f aca="false">IF(C6557="","",C6557*IF(Settings!$B$22=Settings!$C$6,1,IF(Settings!$B$22="USD",1/INDEX(Settings!$B$29:$B$40,MONTH(A6557)),INDEX(Settings!$B$29:$B$40,MONTH(A6557)))))</f>
        <v/>
      </c>
    </row>
    <row r="6558" customFormat="false" ht="15" hidden="false" customHeight="false" outlineLevel="0" collapsed="false">
      <c r="H6558" s="0" t="str">
        <f aca="false">IF(B6558="","",IF(COUNTIF(Campaigns!$A$7:$A$300,B6558)&gt;0,"✓","⚠ add to Campaigns tab"))</f>
        <v/>
      </c>
      <c r="I6558" s="84" t="str">
        <f aca="false">IF(C6558="","",C6558*IF(Settings!$B$22=Settings!$C$6,1,IF(Settings!$B$22="USD",1/INDEX(Settings!$B$29:$B$40,MONTH(A6558)),INDEX(Settings!$B$29:$B$40,MONTH(A6558)))))</f>
        <v/>
      </c>
    </row>
    <row r="6559" customFormat="false" ht="15" hidden="false" customHeight="false" outlineLevel="0" collapsed="false">
      <c r="H6559" s="0" t="str">
        <f aca="false">IF(B6559="","",IF(COUNTIF(Campaigns!$A$7:$A$300,B6559)&gt;0,"✓","⚠ add to Campaigns tab"))</f>
        <v/>
      </c>
      <c r="I6559" s="84" t="str">
        <f aca="false">IF(C6559="","",C6559*IF(Settings!$B$22=Settings!$C$6,1,IF(Settings!$B$22="USD",1/INDEX(Settings!$B$29:$B$40,MONTH(A6559)),INDEX(Settings!$B$29:$B$40,MONTH(A6559)))))</f>
        <v/>
      </c>
    </row>
    <row r="6560" customFormat="false" ht="15" hidden="false" customHeight="false" outlineLevel="0" collapsed="false">
      <c r="H6560" s="0" t="str">
        <f aca="false">IF(B6560="","",IF(COUNTIF(Campaigns!$A$7:$A$300,B6560)&gt;0,"✓","⚠ add to Campaigns tab"))</f>
        <v/>
      </c>
      <c r="I6560" s="84" t="str">
        <f aca="false">IF(C6560="","",C6560*IF(Settings!$B$22=Settings!$C$6,1,IF(Settings!$B$22="USD",1/INDEX(Settings!$B$29:$B$40,MONTH(A6560)),INDEX(Settings!$B$29:$B$40,MONTH(A6560)))))</f>
        <v/>
      </c>
    </row>
    <row r="6561" customFormat="false" ht="15" hidden="false" customHeight="false" outlineLevel="0" collapsed="false">
      <c r="H6561" s="0" t="str">
        <f aca="false">IF(B6561="","",IF(COUNTIF(Campaigns!$A$7:$A$300,B6561)&gt;0,"✓","⚠ add to Campaigns tab"))</f>
        <v/>
      </c>
      <c r="I6561" s="84" t="str">
        <f aca="false">IF(C6561="","",C6561*IF(Settings!$B$22=Settings!$C$6,1,IF(Settings!$B$22="USD",1/INDEX(Settings!$B$29:$B$40,MONTH(A6561)),INDEX(Settings!$B$29:$B$40,MONTH(A6561)))))</f>
        <v/>
      </c>
    </row>
    <row r="6562" customFormat="false" ht="15" hidden="false" customHeight="false" outlineLevel="0" collapsed="false">
      <c r="H6562" s="0" t="str">
        <f aca="false">IF(B6562="","",IF(COUNTIF(Campaigns!$A$7:$A$300,B6562)&gt;0,"✓","⚠ add to Campaigns tab"))</f>
        <v/>
      </c>
      <c r="I6562" s="84" t="str">
        <f aca="false">IF(C6562="","",C6562*IF(Settings!$B$22=Settings!$C$6,1,IF(Settings!$B$22="USD",1/INDEX(Settings!$B$29:$B$40,MONTH(A6562)),INDEX(Settings!$B$29:$B$40,MONTH(A6562)))))</f>
        <v/>
      </c>
    </row>
    <row r="6563" customFormat="false" ht="15" hidden="false" customHeight="false" outlineLevel="0" collapsed="false">
      <c r="H6563" s="0" t="str">
        <f aca="false">IF(B6563="","",IF(COUNTIF(Campaigns!$A$7:$A$300,B6563)&gt;0,"✓","⚠ add to Campaigns tab"))</f>
        <v/>
      </c>
      <c r="I6563" s="84" t="str">
        <f aca="false">IF(C6563="","",C6563*IF(Settings!$B$22=Settings!$C$6,1,IF(Settings!$B$22="USD",1/INDEX(Settings!$B$29:$B$40,MONTH(A6563)),INDEX(Settings!$B$29:$B$40,MONTH(A6563)))))</f>
        <v/>
      </c>
    </row>
    <row r="6564" customFormat="false" ht="15" hidden="false" customHeight="false" outlineLevel="0" collapsed="false">
      <c r="H6564" s="0" t="str">
        <f aca="false">IF(B6564="","",IF(COUNTIF(Campaigns!$A$7:$A$300,B6564)&gt;0,"✓","⚠ add to Campaigns tab"))</f>
        <v/>
      </c>
      <c r="I6564" s="84" t="str">
        <f aca="false">IF(C6564="","",C6564*IF(Settings!$B$22=Settings!$C$6,1,IF(Settings!$B$22="USD",1/INDEX(Settings!$B$29:$B$40,MONTH(A6564)),INDEX(Settings!$B$29:$B$40,MONTH(A6564)))))</f>
        <v/>
      </c>
    </row>
    <row r="6565" customFormat="false" ht="15" hidden="false" customHeight="false" outlineLevel="0" collapsed="false">
      <c r="H6565" s="0" t="str">
        <f aca="false">IF(B6565="","",IF(COUNTIF(Campaigns!$A$7:$A$300,B6565)&gt;0,"✓","⚠ add to Campaigns tab"))</f>
        <v/>
      </c>
      <c r="I6565" s="84" t="str">
        <f aca="false">IF(C6565="","",C6565*IF(Settings!$B$22=Settings!$C$6,1,IF(Settings!$B$22="USD",1/INDEX(Settings!$B$29:$B$40,MONTH(A6565)),INDEX(Settings!$B$29:$B$40,MONTH(A6565)))))</f>
        <v/>
      </c>
    </row>
    <row r="6566" customFormat="false" ht="15" hidden="false" customHeight="false" outlineLevel="0" collapsed="false">
      <c r="H6566" s="0" t="str">
        <f aca="false">IF(B6566="","",IF(COUNTIF(Campaigns!$A$7:$A$300,B6566)&gt;0,"✓","⚠ add to Campaigns tab"))</f>
        <v/>
      </c>
      <c r="I6566" s="84" t="str">
        <f aca="false">IF(C6566="","",C6566*IF(Settings!$B$22=Settings!$C$6,1,IF(Settings!$B$22="USD",1/INDEX(Settings!$B$29:$B$40,MONTH(A6566)),INDEX(Settings!$B$29:$B$40,MONTH(A6566)))))</f>
        <v/>
      </c>
    </row>
    <row r="6567" customFormat="false" ht="15" hidden="false" customHeight="false" outlineLevel="0" collapsed="false">
      <c r="H6567" s="0" t="str">
        <f aca="false">IF(B6567="","",IF(COUNTIF(Campaigns!$A$7:$A$300,B6567)&gt;0,"✓","⚠ add to Campaigns tab"))</f>
        <v/>
      </c>
      <c r="I6567" s="84" t="str">
        <f aca="false">IF(C6567="","",C6567*IF(Settings!$B$22=Settings!$C$6,1,IF(Settings!$B$22="USD",1/INDEX(Settings!$B$29:$B$40,MONTH(A6567)),INDEX(Settings!$B$29:$B$40,MONTH(A6567)))))</f>
        <v/>
      </c>
    </row>
    <row r="6568" customFormat="false" ht="15" hidden="false" customHeight="false" outlineLevel="0" collapsed="false">
      <c r="H6568" s="0" t="str">
        <f aca="false">IF(B6568="","",IF(COUNTIF(Campaigns!$A$7:$A$300,B6568)&gt;0,"✓","⚠ add to Campaigns tab"))</f>
        <v/>
      </c>
      <c r="I6568" s="84" t="str">
        <f aca="false">IF(C6568="","",C6568*IF(Settings!$B$22=Settings!$C$6,1,IF(Settings!$B$22="USD",1/INDEX(Settings!$B$29:$B$40,MONTH(A6568)),INDEX(Settings!$B$29:$B$40,MONTH(A6568)))))</f>
        <v/>
      </c>
    </row>
    <row r="6569" customFormat="false" ht="15" hidden="false" customHeight="false" outlineLevel="0" collapsed="false">
      <c r="H6569" s="0" t="str">
        <f aca="false">IF(B6569="","",IF(COUNTIF(Campaigns!$A$7:$A$300,B6569)&gt;0,"✓","⚠ add to Campaigns tab"))</f>
        <v/>
      </c>
      <c r="I6569" s="84" t="str">
        <f aca="false">IF(C6569="","",C6569*IF(Settings!$B$22=Settings!$C$6,1,IF(Settings!$B$22="USD",1/INDEX(Settings!$B$29:$B$40,MONTH(A6569)),INDEX(Settings!$B$29:$B$40,MONTH(A6569)))))</f>
        <v/>
      </c>
    </row>
    <row r="6570" customFormat="false" ht="15" hidden="false" customHeight="false" outlineLevel="0" collapsed="false">
      <c r="H6570" s="0" t="str">
        <f aca="false">IF(B6570="","",IF(COUNTIF(Campaigns!$A$7:$A$300,B6570)&gt;0,"✓","⚠ add to Campaigns tab"))</f>
        <v/>
      </c>
      <c r="I6570" s="84" t="str">
        <f aca="false">IF(C6570="","",C6570*IF(Settings!$B$22=Settings!$C$6,1,IF(Settings!$B$22="USD",1/INDEX(Settings!$B$29:$B$40,MONTH(A6570)),INDEX(Settings!$B$29:$B$40,MONTH(A6570)))))</f>
        <v/>
      </c>
    </row>
    <row r="6571" customFormat="false" ht="15" hidden="false" customHeight="false" outlineLevel="0" collapsed="false">
      <c r="H6571" s="0" t="str">
        <f aca="false">IF(B6571="","",IF(COUNTIF(Campaigns!$A$7:$A$300,B6571)&gt;0,"✓","⚠ add to Campaigns tab"))</f>
        <v/>
      </c>
      <c r="I6571" s="84" t="str">
        <f aca="false">IF(C6571="","",C6571*IF(Settings!$B$22=Settings!$C$6,1,IF(Settings!$B$22="USD",1/INDEX(Settings!$B$29:$B$40,MONTH(A6571)),INDEX(Settings!$B$29:$B$40,MONTH(A6571)))))</f>
        <v/>
      </c>
    </row>
    <row r="6572" customFormat="false" ht="15" hidden="false" customHeight="false" outlineLevel="0" collapsed="false">
      <c r="H6572" s="0" t="str">
        <f aca="false">IF(B6572="","",IF(COUNTIF(Campaigns!$A$7:$A$300,B6572)&gt;0,"✓","⚠ add to Campaigns tab"))</f>
        <v/>
      </c>
      <c r="I6572" s="84" t="str">
        <f aca="false">IF(C6572="","",C6572*IF(Settings!$B$22=Settings!$C$6,1,IF(Settings!$B$22="USD",1/INDEX(Settings!$B$29:$B$40,MONTH(A6572)),INDEX(Settings!$B$29:$B$40,MONTH(A6572)))))</f>
        <v/>
      </c>
    </row>
    <row r="6573" customFormat="false" ht="15" hidden="false" customHeight="false" outlineLevel="0" collapsed="false">
      <c r="H6573" s="0" t="str">
        <f aca="false">IF(B6573="","",IF(COUNTIF(Campaigns!$A$7:$A$300,B6573)&gt;0,"✓","⚠ add to Campaigns tab"))</f>
        <v/>
      </c>
      <c r="I6573" s="84" t="str">
        <f aca="false">IF(C6573="","",C6573*IF(Settings!$B$22=Settings!$C$6,1,IF(Settings!$B$22="USD",1/INDEX(Settings!$B$29:$B$40,MONTH(A6573)),INDEX(Settings!$B$29:$B$40,MONTH(A6573)))))</f>
        <v/>
      </c>
    </row>
    <row r="6574" customFormat="false" ht="15" hidden="false" customHeight="false" outlineLevel="0" collapsed="false">
      <c r="H6574" s="0" t="str">
        <f aca="false">IF(B6574="","",IF(COUNTIF(Campaigns!$A$7:$A$300,B6574)&gt;0,"✓","⚠ add to Campaigns tab"))</f>
        <v/>
      </c>
      <c r="I6574" s="84" t="str">
        <f aca="false">IF(C6574="","",C6574*IF(Settings!$B$22=Settings!$C$6,1,IF(Settings!$B$22="USD",1/INDEX(Settings!$B$29:$B$40,MONTH(A6574)),INDEX(Settings!$B$29:$B$40,MONTH(A6574)))))</f>
        <v/>
      </c>
    </row>
    <row r="6575" customFormat="false" ht="15" hidden="false" customHeight="false" outlineLevel="0" collapsed="false">
      <c r="H6575" s="0" t="str">
        <f aca="false">IF(B6575="","",IF(COUNTIF(Campaigns!$A$7:$A$300,B6575)&gt;0,"✓","⚠ add to Campaigns tab"))</f>
        <v/>
      </c>
      <c r="I6575" s="84" t="str">
        <f aca="false">IF(C6575="","",C6575*IF(Settings!$B$22=Settings!$C$6,1,IF(Settings!$B$22="USD",1/INDEX(Settings!$B$29:$B$40,MONTH(A6575)),INDEX(Settings!$B$29:$B$40,MONTH(A6575)))))</f>
        <v/>
      </c>
    </row>
    <row r="6576" customFormat="false" ht="15" hidden="false" customHeight="false" outlineLevel="0" collapsed="false">
      <c r="H6576" s="0" t="str">
        <f aca="false">IF(B6576="","",IF(COUNTIF(Campaigns!$A$7:$A$300,B6576)&gt;0,"✓","⚠ add to Campaigns tab"))</f>
        <v/>
      </c>
      <c r="I6576" s="84" t="str">
        <f aca="false">IF(C6576="","",C6576*IF(Settings!$B$22=Settings!$C$6,1,IF(Settings!$B$22="USD",1/INDEX(Settings!$B$29:$B$40,MONTH(A6576)),INDEX(Settings!$B$29:$B$40,MONTH(A6576)))))</f>
        <v/>
      </c>
    </row>
    <row r="6577" customFormat="false" ht="15" hidden="false" customHeight="false" outlineLevel="0" collapsed="false">
      <c r="H6577" s="0" t="str">
        <f aca="false">IF(B6577="","",IF(COUNTIF(Campaigns!$A$7:$A$300,B6577)&gt;0,"✓","⚠ add to Campaigns tab"))</f>
        <v/>
      </c>
      <c r="I6577" s="84" t="str">
        <f aca="false">IF(C6577="","",C6577*IF(Settings!$B$22=Settings!$C$6,1,IF(Settings!$B$22="USD",1/INDEX(Settings!$B$29:$B$40,MONTH(A6577)),INDEX(Settings!$B$29:$B$40,MONTH(A6577)))))</f>
        <v/>
      </c>
    </row>
    <row r="6578" customFormat="false" ht="15" hidden="false" customHeight="false" outlineLevel="0" collapsed="false">
      <c r="H6578" s="0" t="str">
        <f aca="false">IF(B6578="","",IF(COUNTIF(Campaigns!$A$7:$A$300,B6578)&gt;0,"✓","⚠ add to Campaigns tab"))</f>
        <v/>
      </c>
      <c r="I6578" s="84" t="str">
        <f aca="false">IF(C6578="","",C6578*IF(Settings!$B$22=Settings!$C$6,1,IF(Settings!$B$22="USD",1/INDEX(Settings!$B$29:$B$40,MONTH(A6578)),INDEX(Settings!$B$29:$B$40,MONTH(A6578)))))</f>
        <v/>
      </c>
    </row>
    <row r="6579" customFormat="false" ht="15" hidden="false" customHeight="false" outlineLevel="0" collapsed="false">
      <c r="H6579" s="0" t="str">
        <f aca="false">IF(B6579="","",IF(COUNTIF(Campaigns!$A$7:$A$300,B6579)&gt;0,"✓","⚠ add to Campaigns tab"))</f>
        <v/>
      </c>
      <c r="I6579" s="84" t="str">
        <f aca="false">IF(C6579="","",C6579*IF(Settings!$B$22=Settings!$C$6,1,IF(Settings!$B$22="USD",1/INDEX(Settings!$B$29:$B$40,MONTH(A6579)),INDEX(Settings!$B$29:$B$40,MONTH(A6579)))))</f>
        <v/>
      </c>
    </row>
    <row r="6580" customFormat="false" ht="15" hidden="false" customHeight="false" outlineLevel="0" collapsed="false">
      <c r="H6580" s="0" t="str">
        <f aca="false">IF(B6580="","",IF(COUNTIF(Campaigns!$A$7:$A$300,B6580)&gt;0,"✓","⚠ add to Campaigns tab"))</f>
        <v/>
      </c>
      <c r="I6580" s="84" t="str">
        <f aca="false">IF(C6580="","",C6580*IF(Settings!$B$22=Settings!$C$6,1,IF(Settings!$B$22="USD",1/INDEX(Settings!$B$29:$B$40,MONTH(A6580)),INDEX(Settings!$B$29:$B$40,MONTH(A6580)))))</f>
        <v/>
      </c>
    </row>
    <row r="6581" customFormat="false" ht="15" hidden="false" customHeight="false" outlineLevel="0" collapsed="false">
      <c r="H6581" s="0" t="str">
        <f aca="false">IF(B6581="","",IF(COUNTIF(Campaigns!$A$7:$A$300,B6581)&gt;0,"✓","⚠ add to Campaigns tab"))</f>
        <v/>
      </c>
      <c r="I6581" s="84" t="str">
        <f aca="false">IF(C6581="","",C6581*IF(Settings!$B$22=Settings!$C$6,1,IF(Settings!$B$22="USD",1/INDEX(Settings!$B$29:$B$40,MONTH(A6581)),INDEX(Settings!$B$29:$B$40,MONTH(A6581)))))</f>
        <v/>
      </c>
    </row>
    <row r="6582" customFormat="false" ht="15" hidden="false" customHeight="false" outlineLevel="0" collapsed="false">
      <c r="H6582" s="0" t="str">
        <f aca="false">IF(B6582="","",IF(COUNTIF(Campaigns!$A$7:$A$300,B6582)&gt;0,"✓","⚠ add to Campaigns tab"))</f>
        <v/>
      </c>
      <c r="I6582" s="84" t="str">
        <f aca="false">IF(C6582="","",C6582*IF(Settings!$B$22=Settings!$C$6,1,IF(Settings!$B$22="USD",1/INDEX(Settings!$B$29:$B$40,MONTH(A6582)),INDEX(Settings!$B$29:$B$40,MONTH(A6582)))))</f>
        <v/>
      </c>
    </row>
    <row r="6583" customFormat="false" ht="15" hidden="false" customHeight="false" outlineLevel="0" collapsed="false">
      <c r="H6583" s="0" t="str">
        <f aca="false">IF(B6583="","",IF(COUNTIF(Campaigns!$A$7:$A$300,B6583)&gt;0,"✓","⚠ add to Campaigns tab"))</f>
        <v/>
      </c>
      <c r="I6583" s="84" t="str">
        <f aca="false">IF(C6583="","",C6583*IF(Settings!$B$22=Settings!$C$6,1,IF(Settings!$B$22="USD",1/INDEX(Settings!$B$29:$B$40,MONTH(A6583)),INDEX(Settings!$B$29:$B$40,MONTH(A6583)))))</f>
        <v/>
      </c>
    </row>
    <row r="6584" customFormat="false" ht="15" hidden="false" customHeight="false" outlineLevel="0" collapsed="false">
      <c r="H6584" s="0" t="str">
        <f aca="false">IF(B6584="","",IF(COUNTIF(Campaigns!$A$7:$A$300,B6584)&gt;0,"✓","⚠ add to Campaigns tab"))</f>
        <v/>
      </c>
      <c r="I6584" s="84" t="str">
        <f aca="false">IF(C6584="","",C6584*IF(Settings!$B$22=Settings!$C$6,1,IF(Settings!$B$22="USD",1/INDEX(Settings!$B$29:$B$40,MONTH(A6584)),INDEX(Settings!$B$29:$B$40,MONTH(A6584)))))</f>
        <v/>
      </c>
    </row>
    <row r="6585" customFormat="false" ht="15" hidden="false" customHeight="false" outlineLevel="0" collapsed="false">
      <c r="H6585" s="0" t="str">
        <f aca="false">IF(B6585="","",IF(COUNTIF(Campaigns!$A$7:$A$300,B6585)&gt;0,"✓","⚠ add to Campaigns tab"))</f>
        <v/>
      </c>
      <c r="I6585" s="84" t="str">
        <f aca="false">IF(C6585="","",C6585*IF(Settings!$B$22=Settings!$C$6,1,IF(Settings!$B$22="USD",1/INDEX(Settings!$B$29:$B$40,MONTH(A6585)),INDEX(Settings!$B$29:$B$40,MONTH(A6585)))))</f>
        <v/>
      </c>
    </row>
    <row r="6586" customFormat="false" ht="15" hidden="false" customHeight="false" outlineLevel="0" collapsed="false">
      <c r="H6586" s="0" t="str">
        <f aca="false">IF(B6586="","",IF(COUNTIF(Campaigns!$A$7:$A$300,B6586)&gt;0,"✓","⚠ add to Campaigns tab"))</f>
        <v/>
      </c>
      <c r="I6586" s="84" t="str">
        <f aca="false">IF(C6586="","",C6586*IF(Settings!$B$22=Settings!$C$6,1,IF(Settings!$B$22="USD",1/INDEX(Settings!$B$29:$B$40,MONTH(A6586)),INDEX(Settings!$B$29:$B$40,MONTH(A6586)))))</f>
        <v/>
      </c>
    </row>
    <row r="6587" customFormat="false" ht="15" hidden="false" customHeight="false" outlineLevel="0" collapsed="false">
      <c r="H6587" s="0" t="str">
        <f aca="false">IF(B6587="","",IF(COUNTIF(Campaigns!$A$7:$A$300,B6587)&gt;0,"✓","⚠ add to Campaigns tab"))</f>
        <v/>
      </c>
      <c r="I6587" s="84" t="str">
        <f aca="false">IF(C6587="","",C6587*IF(Settings!$B$22=Settings!$C$6,1,IF(Settings!$B$22="USD",1/INDEX(Settings!$B$29:$B$40,MONTH(A6587)),INDEX(Settings!$B$29:$B$40,MONTH(A6587)))))</f>
        <v/>
      </c>
    </row>
    <row r="6588" customFormat="false" ht="15" hidden="false" customHeight="false" outlineLevel="0" collapsed="false">
      <c r="H6588" s="0" t="str">
        <f aca="false">IF(B6588="","",IF(COUNTIF(Campaigns!$A$7:$A$300,B6588)&gt;0,"✓","⚠ add to Campaigns tab"))</f>
        <v/>
      </c>
      <c r="I6588" s="84" t="str">
        <f aca="false">IF(C6588="","",C6588*IF(Settings!$B$22=Settings!$C$6,1,IF(Settings!$B$22="USD",1/INDEX(Settings!$B$29:$B$40,MONTH(A6588)),INDEX(Settings!$B$29:$B$40,MONTH(A6588)))))</f>
        <v/>
      </c>
    </row>
    <row r="6589" customFormat="false" ht="15" hidden="false" customHeight="false" outlineLevel="0" collapsed="false">
      <c r="H6589" s="0" t="str">
        <f aca="false">IF(B6589="","",IF(COUNTIF(Campaigns!$A$7:$A$300,B6589)&gt;0,"✓","⚠ add to Campaigns tab"))</f>
        <v/>
      </c>
      <c r="I6589" s="84" t="str">
        <f aca="false">IF(C6589="","",C6589*IF(Settings!$B$22=Settings!$C$6,1,IF(Settings!$B$22="USD",1/INDEX(Settings!$B$29:$B$40,MONTH(A6589)),INDEX(Settings!$B$29:$B$40,MONTH(A6589)))))</f>
        <v/>
      </c>
    </row>
    <row r="6590" customFormat="false" ht="15" hidden="false" customHeight="false" outlineLevel="0" collapsed="false">
      <c r="H6590" s="0" t="str">
        <f aca="false">IF(B6590="","",IF(COUNTIF(Campaigns!$A$7:$A$300,B6590)&gt;0,"✓","⚠ add to Campaigns tab"))</f>
        <v/>
      </c>
      <c r="I6590" s="84" t="str">
        <f aca="false">IF(C6590="","",C6590*IF(Settings!$B$22=Settings!$C$6,1,IF(Settings!$B$22="USD",1/INDEX(Settings!$B$29:$B$40,MONTH(A6590)),INDEX(Settings!$B$29:$B$40,MONTH(A6590)))))</f>
        <v/>
      </c>
    </row>
    <row r="6591" customFormat="false" ht="15" hidden="false" customHeight="false" outlineLevel="0" collapsed="false">
      <c r="H6591" s="0" t="str">
        <f aca="false">IF(B6591="","",IF(COUNTIF(Campaigns!$A$7:$A$300,B6591)&gt;0,"✓","⚠ add to Campaigns tab"))</f>
        <v/>
      </c>
      <c r="I6591" s="84" t="str">
        <f aca="false">IF(C6591="","",C6591*IF(Settings!$B$22=Settings!$C$6,1,IF(Settings!$B$22="USD",1/INDEX(Settings!$B$29:$B$40,MONTH(A6591)),INDEX(Settings!$B$29:$B$40,MONTH(A6591)))))</f>
        <v/>
      </c>
    </row>
    <row r="6592" customFormat="false" ht="15" hidden="false" customHeight="false" outlineLevel="0" collapsed="false">
      <c r="H6592" s="0" t="str">
        <f aca="false">IF(B6592="","",IF(COUNTIF(Campaigns!$A$7:$A$300,B6592)&gt;0,"✓","⚠ add to Campaigns tab"))</f>
        <v/>
      </c>
      <c r="I6592" s="84" t="str">
        <f aca="false">IF(C6592="","",C6592*IF(Settings!$B$22=Settings!$C$6,1,IF(Settings!$B$22="USD",1/INDEX(Settings!$B$29:$B$40,MONTH(A6592)),INDEX(Settings!$B$29:$B$40,MONTH(A6592)))))</f>
        <v/>
      </c>
    </row>
    <row r="6593" customFormat="false" ht="15" hidden="false" customHeight="false" outlineLevel="0" collapsed="false">
      <c r="H6593" s="0" t="str">
        <f aca="false">IF(B6593="","",IF(COUNTIF(Campaigns!$A$7:$A$300,B6593)&gt;0,"✓","⚠ add to Campaigns tab"))</f>
        <v/>
      </c>
      <c r="I6593" s="84" t="str">
        <f aca="false">IF(C6593="","",C6593*IF(Settings!$B$22=Settings!$C$6,1,IF(Settings!$B$22="USD",1/INDEX(Settings!$B$29:$B$40,MONTH(A6593)),INDEX(Settings!$B$29:$B$40,MONTH(A6593)))))</f>
        <v/>
      </c>
    </row>
    <row r="6594" customFormat="false" ht="15" hidden="false" customHeight="false" outlineLevel="0" collapsed="false">
      <c r="H6594" s="0" t="str">
        <f aca="false">IF(B6594="","",IF(COUNTIF(Campaigns!$A$7:$A$300,B6594)&gt;0,"✓","⚠ add to Campaigns tab"))</f>
        <v/>
      </c>
      <c r="I6594" s="84" t="str">
        <f aca="false">IF(C6594="","",C6594*IF(Settings!$B$22=Settings!$C$6,1,IF(Settings!$B$22="USD",1/INDEX(Settings!$B$29:$B$40,MONTH(A6594)),INDEX(Settings!$B$29:$B$40,MONTH(A6594)))))</f>
        <v/>
      </c>
    </row>
    <row r="6595" customFormat="false" ht="15" hidden="false" customHeight="false" outlineLevel="0" collapsed="false">
      <c r="H6595" s="0" t="str">
        <f aca="false">IF(B6595="","",IF(COUNTIF(Campaigns!$A$7:$A$300,B6595)&gt;0,"✓","⚠ add to Campaigns tab"))</f>
        <v/>
      </c>
      <c r="I6595" s="84" t="str">
        <f aca="false">IF(C6595="","",C6595*IF(Settings!$B$22=Settings!$C$6,1,IF(Settings!$B$22="USD",1/INDEX(Settings!$B$29:$B$40,MONTH(A6595)),INDEX(Settings!$B$29:$B$40,MONTH(A6595)))))</f>
        <v/>
      </c>
    </row>
    <row r="6596" customFormat="false" ht="15" hidden="false" customHeight="false" outlineLevel="0" collapsed="false">
      <c r="H6596" s="0" t="str">
        <f aca="false">IF(B6596="","",IF(COUNTIF(Campaigns!$A$7:$A$300,B6596)&gt;0,"✓","⚠ add to Campaigns tab"))</f>
        <v/>
      </c>
      <c r="I6596" s="84" t="str">
        <f aca="false">IF(C6596="","",C6596*IF(Settings!$B$22=Settings!$C$6,1,IF(Settings!$B$22="USD",1/INDEX(Settings!$B$29:$B$40,MONTH(A6596)),INDEX(Settings!$B$29:$B$40,MONTH(A6596)))))</f>
        <v/>
      </c>
    </row>
    <row r="6597" customFormat="false" ht="15" hidden="false" customHeight="false" outlineLevel="0" collapsed="false">
      <c r="H6597" s="0" t="str">
        <f aca="false">IF(B6597="","",IF(COUNTIF(Campaigns!$A$7:$A$300,B6597)&gt;0,"✓","⚠ add to Campaigns tab"))</f>
        <v/>
      </c>
      <c r="I6597" s="84" t="str">
        <f aca="false">IF(C6597="","",C6597*IF(Settings!$B$22=Settings!$C$6,1,IF(Settings!$B$22="USD",1/INDEX(Settings!$B$29:$B$40,MONTH(A6597)),INDEX(Settings!$B$29:$B$40,MONTH(A6597)))))</f>
        <v/>
      </c>
    </row>
    <row r="6598" customFormat="false" ht="15" hidden="false" customHeight="false" outlineLevel="0" collapsed="false">
      <c r="H6598" s="0" t="str">
        <f aca="false">IF(B6598="","",IF(COUNTIF(Campaigns!$A$7:$A$300,B6598)&gt;0,"✓","⚠ add to Campaigns tab"))</f>
        <v/>
      </c>
      <c r="I6598" s="84" t="str">
        <f aca="false">IF(C6598="","",C6598*IF(Settings!$B$22=Settings!$C$6,1,IF(Settings!$B$22="USD",1/INDEX(Settings!$B$29:$B$40,MONTH(A6598)),INDEX(Settings!$B$29:$B$40,MONTH(A6598)))))</f>
        <v/>
      </c>
    </row>
    <row r="6599" customFormat="false" ht="15" hidden="false" customHeight="false" outlineLevel="0" collapsed="false">
      <c r="H6599" s="0" t="str">
        <f aca="false">IF(B6599="","",IF(COUNTIF(Campaigns!$A$7:$A$300,B6599)&gt;0,"✓","⚠ add to Campaigns tab"))</f>
        <v/>
      </c>
      <c r="I6599" s="84" t="str">
        <f aca="false">IF(C6599="","",C6599*IF(Settings!$B$22=Settings!$C$6,1,IF(Settings!$B$22="USD",1/INDEX(Settings!$B$29:$B$40,MONTH(A6599)),INDEX(Settings!$B$29:$B$40,MONTH(A6599)))))</f>
        <v/>
      </c>
    </row>
    <row r="6600" customFormat="false" ht="15" hidden="false" customHeight="false" outlineLevel="0" collapsed="false">
      <c r="H6600" s="0" t="str">
        <f aca="false">IF(B6600="","",IF(COUNTIF(Campaigns!$A$7:$A$300,B6600)&gt;0,"✓","⚠ add to Campaigns tab"))</f>
        <v/>
      </c>
      <c r="I6600" s="84" t="str">
        <f aca="false">IF(C6600="","",C6600*IF(Settings!$B$22=Settings!$C$6,1,IF(Settings!$B$22="USD",1/INDEX(Settings!$B$29:$B$40,MONTH(A6600)),INDEX(Settings!$B$29:$B$40,MONTH(A6600)))))</f>
        <v/>
      </c>
    </row>
    <row r="6601" customFormat="false" ht="15" hidden="false" customHeight="false" outlineLevel="0" collapsed="false">
      <c r="H6601" s="0" t="str">
        <f aca="false">IF(B6601="","",IF(COUNTIF(Campaigns!$A$7:$A$300,B6601)&gt;0,"✓","⚠ add to Campaigns tab"))</f>
        <v/>
      </c>
      <c r="I6601" s="84" t="str">
        <f aca="false">IF(C6601="","",C6601*IF(Settings!$B$22=Settings!$C$6,1,IF(Settings!$B$22="USD",1/INDEX(Settings!$B$29:$B$40,MONTH(A6601)),INDEX(Settings!$B$29:$B$40,MONTH(A6601)))))</f>
        <v/>
      </c>
    </row>
    <row r="6602" customFormat="false" ht="15" hidden="false" customHeight="false" outlineLevel="0" collapsed="false">
      <c r="H6602" s="0" t="str">
        <f aca="false">IF(B6602="","",IF(COUNTIF(Campaigns!$A$7:$A$300,B6602)&gt;0,"✓","⚠ add to Campaigns tab"))</f>
        <v/>
      </c>
      <c r="I6602" s="84" t="str">
        <f aca="false">IF(C6602="","",C6602*IF(Settings!$B$22=Settings!$C$6,1,IF(Settings!$B$22="USD",1/INDEX(Settings!$B$29:$B$40,MONTH(A6602)),INDEX(Settings!$B$29:$B$40,MONTH(A6602)))))</f>
        <v/>
      </c>
    </row>
    <row r="6603" customFormat="false" ht="15" hidden="false" customHeight="false" outlineLevel="0" collapsed="false">
      <c r="H6603" s="0" t="str">
        <f aca="false">IF(B6603="","",IF(COUNTIF(Campaigns!$A$7:$A$300,B6603)&gt;0,"✓","⚠ add to Campaigns tab"))</f>
        <v/>
      </c>
      <c r="I6603" s="84" t="str">
        <f aca="false">IF(C6603="","",C6603*IF(Settings!$B$22=Settings!$C$6,1,IF(Settings!$B$22="USD",1/INDEX(Settings!$B$29:$B$40,MONTH(A6603)),INDEX(Settings!$B$29:$B$40,MONTH(A6603)))))</f>
        <v/>
      </c>
    </row>
    <row r="6604" customFormat="false" ht="15" hidden="false" customHeight="false" outlineLevel="0" collapsed="false">
      <c r="H6604" s="0" t="str">
        <f aca="false">IF(B6604="","",IF(COUNTIF(Campaigns!$A$7:$A$300,B6604)&gt;0,"✓","⚠ add to Campaigns tab"))</f>
        <v/>
      </c>
      <c r="I6604" s="84" t="str">
        <f aca="false">IF(C6604="","",C6604*IF(Settings!$B$22=Settings!$C$6,1,IF(Settings!$B$22="USD",1/INDEX(Settings!$B$29:$B$40,MONTH(A6604)),INDEX(Settings!$B$29:$B$40,MONTH(A6604)))))</f>
        <v/>
      </c>
    </row>
    <row r="6605" customFormat="false" ht="15" hidden="false" customHeight="false" outlineLevel="0" collapsed="false">
      <c r="H6605" s="0" t="str">
        <f aca="false">IF(B6605="","",IF(COUNTIF(Campaigns!$A$7:$A$300,B6605)&gt;0,"✓","⚠ add to Campaigns tab"))</f>
        <v/>
      </c>
      <c r="I6605" s="84" t="str">
        <f aca="false">IF(C6605="","",C6605*IF(Settings!$B$22=Settings!$C$6,1,IF(Settings!$B$22="USD",1/INDEX(Settings!$B$29:$B$40,MONTH(A6605)),INDEX(Settings!$B$29:$B$40,MONTH(A6605)))))</f>
        <v/>
      </c>
    </row>
    <row r="6606" customFormat="false" ht="15" hidden="false" customHeight="false" outlineLevel="0" collapsed="false">
      <c r="H6606" s="0" t="str">
        <f aca="false">IF(B6606="","",IF(COUNTIF(Campaigns!$A$7:$A$300,B6606)&gt;0,"✓","⚠ add to Campaigns tab"))</f>
        <v/>
      </c>
      <c r="I6606" s="84" t="str">
        <f aca="false">IF(C6606="","",C6606*IF(Settings!$B$22=Settings!$C$6,1,IF(Settings!$B$22="USD",1/INDEX(Settings!$B$29:$B$40,MONTH(A6606)),INDEX(Settings!$B$29:$B$40,MONTH(A6606)))))</f>
        <v/>
      </c>
    </row>
    <row r="6607" customFormat="false" ht="15" hidden="false" customHeight="false" outlineLevel="0" collapsed="false">
      <c r="H6607" s="0" t="str">
        <f aca="false">IF(B6607="","",IF(COUNTIF(Campaigns!$A$7:$A$300,B6607)&gt;0,"✓","⚠ add to Campaigns tab"))</f>
        <v/>
      </c>
      <c r="I6607" s="84" t="str">
        <f aca="false">IF(C6607="","",C6607*IF(Settings!$B$22=Settings!$C$6,1,IF(Settings!$B$22="USD",1/INDEX(Settings!$B$29:$B$40,MONTH(A6607)),INDEX(Settings!$B$29:$B$40,MONTH(A6607)))))</f>
        <v/>
      </c>
    </row>
    <row r="6608" customFormat="false" ht="15" hidden="false" customHeight="false" outlineLevel="0" collapsed="false">
      <c r="H6608" s="0" t="str">
        <f aca="false">IF(B6608="","",IF(COUNTIF(Campaigns!$A$7:$A$300,B6608)&gt;0,"✓","⚠ add to Campaigns tab"))</f>
        <v/>
      </c>
      <c r="I6608" s="84" t="str">
        <f aca="false">IF(C6608="","",C6608*IF(Settings!$B$22=Settings!$C$6,1,IF(Settings!$B$22="USD",1/INDEX(Settings!$B$29:$B$40,MONTH(A6608)),INDEX(Settings!$B$29:$B$40,MONTH(A6608)))))</f>
        <v/>
      </c>
    </row>
    <row r="6609" customFormat="false" ht="15" hidden="false" customHeight="false" outlineLevel="0" collapsed="false">
      <c r="H6609" s="0" t="str">
        <f aca="false">IF(B6609="","",IF(COUNTIF(Campaigns!$A$7:$A$300,B6609)&gt;0,"✓","⚠ add to Campaigns tab"))</f>
        <v/>
      </c>
      <c r="I6609" s="84" t="str">
        <f aca="false">IF(C6609="","",C6609*IF(Settings!$B$22=Settings!$C$6,1,IF(Settings!$B$22="USD",1/INDEX(Settings!$B$29:$B$40,MONTH(A6609)),INDEX(Settings!$B$29:$B$40,MONTH(A6609)))))</f>
        <v/>
      </c>
    </row>
    <row r="6610" customFormat="false" ht="15" hidden="false" customHeight="false" outlineLevel="0" collapsed="false">
      <c r="H6610" s="0" t="str">
        <f aca="false">IF(B6610="","",IF(COUNTIF(Campaigns!$A$7:$A$300,B6610)&gt;0,"✓","⚠ add to Campaigns tab"))</f>
        <v/>
      </c>
      <c r="I6610" s="84" t="str">
        <f aca="false">IF(C6610="","",C6610*IF(Settings!$B$22=Settings!$C$6,1,IF(Settings!$B$22="USD",1/INDEX(Settings!$B$29:$B$40,MONTH(A6610)),INDEX(Settings!$B$29:$B$40,MONTH(A6610)))))</f>
        <v/>
      </c>
    </row>
    <row r="6611" customFormat="false" ht="15" hidden="false" customHeight="false" outlineLevel="0" collapsed="false">
      <c r="H6611" s="0" t="str">
        <f aca="false">IF(B6611="","",IF(COUNTIF(Campaigns!$A$7:$A$300,B6611)&gt;0,"✓","⚠ add to Campaigns tab"))</f>
        <v/>
      </c>
      <c r="I6611" s="84" t="str">
        <f aca="false">IF(C6611="","",C6611*IF(Settings!$B$22=Settings!$C$6,1,IF(Settings!$B$22="USD",1/INDEX(Settings!$B$29:$B$40,MONTH(A6611)),INDEX(Settings!$B$29:$B$40,MONTH(A6611)))))</f>
        <v/>
      </c>
    </row>
    <row r="6612" customFormat="false" ht="15" hidden="false" customHeight="false" outlineLevel="0" collapsed="false">
      <c r="H6612" s="0" t="str">
        <f aca="false">IF(B6612="","",IF(COUNTIF(Campaigns!$A$7:$A$300,B6612)&gt;0,"✓","⚠ add to Campaigns tab"))</f>
        <v/>
      </c>
      <c r="I6612" s="84" t="str">
        <f aca="false">IF(C6612="","",C6612*IF(Settings!$B$22=Settings!$C$6,1,IF(Settings!$B$22="USD",1/INDEX(Settings!$B$29:$B$40,MONTH(A6612)),INDEX(Settings!$B$29:$B$40,MONTH(A6612)))))</f>
        <v/>
      </c>
    </row>
    <row r="6613" customFormat="false" ht="15" hidden="false" customHeight="false" outlineLevel="0" collapsed="false">
      <c r="H6613" s="0" t="str">
        <f aca="false">IF(B6613="","",IF(COUNTIF(Campaigns!$A$7:$A$300,B6613)&gt;0,"✓","⚠ add to Campaigns tab"))</f>
        <v/>
      </c>
      <c r="I6613" s="84" t="str">
        <f aca="false">IF(C6613="","",C6613*IF(Settings!$B$22=Settings!$C$6,1,IF(Settings!$B$22="USD",1/INDEX(Settings!$B$29:$B$40,MONTH(A6613)),INDEX(Settings!$B$29:$B$40,MONTH(A6613)))))</f>
        <v/>
      </c>
    </row>
    <row r="6614" customFormat="false" ht="15" hidden="false" customHeight="false" outlineLevel="0" collapsed="false">
      <c r="H6614" s="0" t="str">
        <f aca="false">IF(B6614="","",IF(COUNTIF(Campaigns!$A$7:$A$300,B6614)&gt;0,"✓","⚠ add to Campaigns tab"))</f>
        <v/>
      </c>
      <c r="I6614" s="84" t="str">
        <f aca="false">IF(C6614="","",C6614*IF(Settings!$B$22=Settings!$C$6,1,IF(Settings!$B$22="USD",1/INDEX(Settings!$B$29:$B$40,MONTH(A6614)),INDEX(Settings!$B$29:$B$40,MONTH(A6614)))))</f>
        <v/>
      </c>
    </row>
    <row r="6615" customFormat="false" ht="15" hidden="false" customHeight="false" outlineLevel="0" collapsed="false">
      <c r="H6615" s="0" t="str">
        <f aca="false">IF(B6615="","",IF(COUNTIF(Campaigns!$A$7:$A$300,B6615)&gt;0,"✓","⚠ add to Campaigns tab"))</f>
        <v/>
      </c>
      <c r="I6615" s="84" t="str">
        <f aca="false">IF(C6615="","",C6615*IF(Settings!$B$22=Settings!$C$6,1,IF(Settings!$B$22="USD",1/INDEX(Settings!$B$29:$B$40,MONTH(A6615)),INDEX(Settings!$B$29:$B$40,MONTH(A6615)))))</f>
        <v/>
      </c>
    </row>
    <row r="6616" customFormat="false" ht="15" hidden="false" customHeight="false" outlineLevel="0" collapsed="false">
      <c r="H6616" s="0" t="str">
        <f aca="false">IF(B6616="","",IF(COUNTIF(Campaigns!$A$7:$A$300,B6616)&gt;0,"✓","⚠ add to Campaigns tab"))</f>
        <v/>
      </c>
      <c r="I6616" s="84" t="str">
        <f aca="false">IF(C6616="","",C6616*IF(Settings!$B$22=Settings!$C$6,1,IF(Settings!$B$22="USD",1/INDEX(Settings!$B$29:$B$40,MONTH(A6616)),INDEX(Settings!$B$29:$B$40,MONTH(A6616)))))</f>
        <v/>
      </c>
    </row>
    <row r="6617" customFormat="false" ht="15" hidden="false" customHeight="false" outlineLevel="0" collapsed="false">
      <c r="H6617" s="0" t="str">
        <f aca="false">IF(B6617="","",IF(COUNTIF(Campaigns!$A$7:$A$300,B6617)&gt;0,"✓","⚠ add to Campaigns tab"))</f>
        <v/>
      </c>
      <c r="I6617" s="84" t="str">
        <f aca="false">IF(C6617="","",C6617*IF(Settings!$B$22=Settings!$C$6,1,IF(Settings!$B$22="USD",1/INDEX(Settings!$B$29:$B$40,MONTH(A6617)),INDEX(Settings!$B$29:$B$40,MONTH(A6617)))))</f>
        <v/>
      </c>
    </row>
    <row r="6618" customFormat="false" ht="15" hidden="false" customHeight="false" outlineLevel="0" collapsed="false">
      <c r="H6618" s="0" t="str">
        <f aca="false">IF(B6618="","",IF(COUNTIF(Campaigns!$A$7:$A$300,B6618)&gt;0,"✓","⚠ add to Campaigns tab"))</f>
        <v/>
      </c>
      <c r="I6618" s="84" t="str">
        <f aca="false">IF(C6618="","",C6618*IF(Settings!$B$22=Settings!$C$6,1,IF(Settings!$B$22="USD",1/INDEX(Settings!$B$29:$B$40,MONTH(A6618)),INDEX(Settings!$B$29:$B$40,MONTH(A6618)))))</f>
        <v/>
      </c>
    </row>
    <row r="6619" customFormat="false" ht="15" hidden="false" customHeight="false" outlineLevel="0" collapsed="false">
      <c r="H6619" s="0" t="str">
        <f aca="false">IF(B6619="","",IF(COUNTIF(Campaigns!$A$7:$A$300,B6619)&gt;0,"✓","⚠ add to Campaigns tab"))</f>
        <v/>
      </c>
      <c r="I6619" s="84" t="str">
        <f aca="false">IF(C6619="","",C6619*IF(Settings!$B$22=Settings!$C$6,1,IF(Settings!$B$22="USD",1/INDEX(Settings!$B$29:$B$40,MONTH(A6619)),INDEX(Settings!$B$29:$B$40,MONTH(A6619)))))</f>
        <v/>
      </c>
    </row>
    <row r="6620" customFormat="false" ht="15" hidden="false" customHeight="false" outlineLevel="0" collapsed="false">
      <c r="H6620" s="0" t="str">
        <f aca="false">IF(B6620="","",IF(COUNTIF(Campaigns!$A$7:$A$300,B6620)&gt;0,"✓","⚠ add to Campaigns tab"))</f>
        <v/>
      </c>
      <c r="I6620" s="84" t="str">
        <f aca="false">IF(C6620="","",C6620*IF(Settings!$B$22=Settings!$C$6,1,IF(Settings!$B$22="USD",1/INDEX(Settings!$B$29:$B$40,MONTH(A6620)),INDEX(Settings!$B$29:$B$40,MONTH(A6620)))))</f>
        <v/>
      </c>
    </row>
    <row r="6621" customFormat="false" ht="15" hidden="false" customHeight="false" outlineLevel="0" collapsed="false">
      <c r="H6621" s="0" t="str">
        <f aca="false">IF(B6621="","",IF(COUNTIF(Campaigns!$A$7:$A$300,B6621)&gt;0,"✓","⚠ add to Campaigns tab"))</f>
        <v/>
      </c>
      <c r="I6621" s="84" t="str">
        <f aca="false">IF(C6621="","",C6621*IF(Settings!$B$22=Settings!$C$6,1,IF(Settings!$B$22="USD",1/INDEX(Settings!$B$29:$B$40,MONTH(A6621)),INDEX(Settings!$B$29:$B$40,MONTH(A6621)))))</f>
        <v/>
      </c>
    </row>
    <row r="6622" customFormat="false" ht="15" hidden="false" customHeight="false" outlineLevel="0" collapsed="false">
      <c r="H6622" s="0" t="str">
        <f aca="false">IF(B6622="","",IF(COUNTIF(Campaigns!$A$7:$A$300,B6622)&gt;0,"✓","⚠ add to Campaigns tab"))</f>
        <v/>
      </c>
      <c r="I6622" s="84" t="str">
        <f aca="false">IF(C6622="","",C6622*IF(Settings!$B$22=Settings!$C$6,1,IF(Settings!$B$22="USD",1/INDEX(Settings!$B$29:$B$40,MONTH(A6622)),INDEX(Settings!$B$29:$B$40,MONTH(A6622)))))</f>
        <v/>
      </c>
    </row>
    <row r="6623" customFormat="false" ht="15" hidden="false" customHeight="false" outlineLevel="0" collapsed="false">
      <c r="H6623" s="0" t="str">
        <f aca="false">IF(B6623="","",IF(COUNTIF(Campaigns!$A$7:$A$300,B6623)&gt;0,"✓","⚠ add to Campaigns tab"))</f>
        <v/>
      </c>
      <c r="I6623" s="84" t="str">
        <f aca="false">IF(C6623="","",C6623*IF(Settings!$B$22=Settings!$C$6,1,IF(Settings!$B$22="USD",1/INDEX(Settings!$B$29:$B$40,MONTH(A6623)),INDEX(Settings!$B$29:$B$40,MONTH(A6623)))))</f>
        <v/>
      </c>
    </row>
    <row r="6624" customFormat="false" ht="15" hidden="false" customHeight="false" outlineLevel="0" collapsed="false">
      <c r="H6624" s="0" t="str">
        <f aca="false">IF(B6624="","",IF(COUNTIF(Campaigns!$A$7:$A$300,B6624)&gt;0,"✓","⚠ add to Campaigns tab"))</f>
        <v/>
      </c>
      <c r="I6624" s="84" t="str">
        <f aca="false">IF(C6624="","",C6624*IF(Settings!$B$22=Settings!$C$6,1,IF(Settings!$B$22="USD",1/INDEX(Settings!$B$29:$B$40,MONTH(A6624)),INDEX(Settings!$B$29:$B$40,MONTH(A6624)))))</f>
        <v/>
      </c>
    </row>
    <row r="6625" customFormat="false" ht="15" hidden="false" customHeight="false" outlineLevel="0" collapsed="false">
      <c r="H6625" s="0" t="str">
        <f aca="false">IF(B6625="","",IF(COUNTIF(Campaigns!$A$7:$A$300,B6625)&gt;0,"✓","⚠ add to Campaigns tab"))</f>
        <v/>
      </c>
      <c r="I6625" s="84" t="str">
        <f aca="false">IF(C6625="","",C6625*IF(Settings!$B$22=Settings!$C$6,1,IF(Settings!$B$22="USD",1/INDEX(Settings!$B$29:$B$40,MONTH(A6625)),INDEX(Settings!$B$29:$B$40,MONTH(A6625)))))</f>
        <v/>
      </c>
    </row>
    <row r="6626" customFormat="false" ht="15" hidden="false" customHeight="false" outlineLevel="0" collapsed="false">
      <c r="H6626" s="0" t="str">
        <f aca="false">IF(B6626="","",IF(COUNTIF(Campaigns!$A$7:$A$300,B6626)&gt;0,"✓","⚠ add to Campaigns tab"))</f>
        <v/>
      </c>
      <c r="I6626" s="84" t="str">
        <f aca="false">IF(C6626="","",C6626*IF(Settings!$B$22=Settings!$C$6,1,IF(Settings!$B$22="USD",1/INDEX(Settings!$B$29:$B$40,MONTH(A6626)),INDEX(Settings!$B$29:$B$40,MONTH(A6626)))))</f>
        <v/>
      </c>
    </row>
    <row r="6627" customFormat="false" ht="15" hidden="false" customHeight="false" outlineLevel="0" collapsed="false">
      <c r="H6627" s="0" t="str">
        <f aca="false">IF(B6627="","",IF(COUNTIF(Campaigns!$A$7:$A$300,B6627)&gt;0,"✓","⚠ add to Campaigns tab"))</f>
        <v/>
      </c>
      <c r="I6627" s="84" t="str">
        <f aca="false">IF(C6627="","",C6627*IF(Settings!$B$22=Settings!$C$6,1,IF(Settings!$B$22="USD",1/INDEX(Settings!$B$29:$B$40,MONTH(A6627)),INDEX(Settings!$B$29:$B$40,MONTH(A6627)))))</f>
        <v/>
      </c>
    </row>
    <row r="6628" customFormat="false" ht="15" hidden="false" customHeight="false" outlineLevel="0" collapsed="false">
      <c r="H6628" s="0" t="str">
        <f aca="false">IF(B6628="","",IF(COUNTIF(Campaigns!$A$7:$A$300,B6628)&gt;0,"✓","⚠ add to Campaigns tab"))</f>
        <v/>
      </c>
      <c r="I6628" s="84" t="str">
        <f aca="false">IF(C6628="","",C6628*IF(Settings!$B$22=Settings!$C$6,1,IF(Settings!$B$22="USD",1/INDEX(Settings!$B$29:$B$40,MONTH(A6628)),INDEX(Settings!$B$29:$B$40,MONTH(A6628)))))</f>
        <v/>
      </c>
    </row>
    <row r="6629" customFormat="false" ht="15" hidden="false" customHeight="false" outlineLevel="0" collapsed="false">
      <c r="H6629" s="0" t="str">
        <f aca="false">IF(B6629="","",IF(COUNTIF(Campaigns!$A$7:$A$300,B6629)&gt;0,"✓","⚠ add to Campaigns tab"))</f>
        <v/>
      </c>
      <c r="I6629" s="84" t="str">
        <f aca="false">IF(C6629="","",C6629*IF(Settings!$B$22=Settings!$C$6,1,IF(Settings!$B$22="USD",1/INDEX(Settings!$B$29:$B$40,MONTH(A6629)),INDEX(Settings!$B$29:$B$40,MONTH(A6629)))))</f>
        <v/>
      </c>
    </row>
    <row r="6630" customFormat="false" ht="15" hidden="false" customHeight="false" outlineLevel="0" collapsed="false">
      <c r="H6630" s="0" t="str">
        <f aca="false">IF(B6630="","",IF(COUNTIF(Campaigns!$A$7:$A$300,B6630)&gt;0,"✓","⚠ add to Campaigns tab"))</f>
        <v/>
      </c>
      <c r="I6630" s="84" t="str">
        <f aca="false">IF(C6630="","",C6630*IF(Settings!$B$22=Settings!$C$6,1,IF(Settings!$B$22="USD",1/INDEX(Settings!$B$29:$B$40,MONTH(A6630)),INDEX(Settings!$B$29:$B$40,MONTH(A6630)))))</f>
        <v/>
      </c>
    </row>
    <row r="6631" customFormat="false" ht="15" hidden="false" customHeight="false" outlineLevel="0" collapsed="false">
      <c r="H6631" s="0" t="str">
        <f aca="false">IF(B6631="","",IF(COUNTIF(Campaigns!$A$7:$A$300,B6631)&gt;0,"✓","⚠ add to Campaigns tab"))</f>
        <v/>
      </c>
      <c r="I6631" s="84" t="str">
        <f aca="false">IF(C6631="","",C6631*IF(Settings!$B$22=Settings!$C$6,1,IF(Settings!$B$22="USD",1/INDEX(Settings!$B$29:$B$40,MONTH(A6631)),INDEX(Settings!$B$29:$B$40,MONTH(A6631)))))</f>
        <v/>
      </c>
    </row>
    <row r="6632" customFormat="false" ht="15" hidden="false" customHeight="false" outlineLevel="0" collapsed="false">
      <c r="H6632" s="0" t="str">
        <f aca="false">IF(B6632="","",IF(COUNTIF(Campaigns!$A$7:$A$300,B6632)&gt;0,"✓","⚠ add to Campaigns tab"))</f>
        <v/>
      </c>
      <c r="I6632" s="84" t="str">
        <f aca="false">IF(C6632="","",C6632*IF(Settings!$B$22=Settings!$C$6,1,IF(Settings!$B$22="USD",1/INDEX(Settings!$B$29:$B$40,MONTH(A6632)),INDEX(Settings!$B$29:$B$40,MONTH(A6632)))))</f>
        <v/>
      </c>
    </row>
    <row r="6633" customFormat="false" ht="15" hidden="false" customHeight="false" outlineLevel="0" collapsed="false">
      <c r="H6633" s="0" t="str">
        <f aca="false">IF(B6633="","",IF(COUNTIF(Campaigns!$A$7:$A$300,B6633)&gt;0,"✓","⚠ add to Campaigns tab"))</f>
        <v/>
      </c>
      <c r="I6633" s="84" t="str">
        <f aca="false">IF(C6633="","",C6633*IF(Settings!$B$22=Settings!$C$6,1,IF(Settings!$B$22="USD",1/INDEX(Settings!$B$29:$B$40,MONTH(A6633)),INDEX(Settings!$B$29:$B$40,MONTH(A6633)))))</f>
        <v/>
      </c>
    </row>
    <row r="6634" customFormat="false" ht="15" hidden="false" customHeight="false" outlineLevel="0" collapsed="false">
      <c r="H6634" s="0" t="str">
        <f aca="false">IF(B6634="","",IF(COUNTIF(Campaigns!$A$7:$A$300,B6634)&gt;0,"✓","⚠ add to Campaigns tab"))</f>
        <v/>
      </c>
      <c r="I6634" s="84" t="str">
        <f aca="false">IF(C6634="","",C6634*IF(Settings!$B$22=Settings!$C$6,1,IF(Settings!$B$22="USD",1/INDEX(Settings!$B$29:$B$40,MONTH(A6634)),INDEX(Settings!$B$29:$B$40,MONTH(A6634)))))</f>
        <v/>
      </c>
    </row>
    <row r="6635" customFormat="false" ht="15" hidden="false" customHeight="false" outlineLevel="0" collapsed="false">
      <c r="H6635" s="0" t="str">
        <f aca="false">IF(B6635="","",IF(COUNTIF(Campaigns!$A$7:$A$300,B6635)&gt;0,"✓","⚠ add to Campaigns tab"))</f>
        <v/>
      </c>
      <c r="I6635" s="84" t="str">
        <f aca="false">IF(C6635="","",C6635*IF(Settings!$B$22=Settings!$C$6,1,IF(Settings!$B$22="USD",1/INDEX(Settings!$B$29:$B$40,MONTH(A6635)),INDEX(Settings!$B$29:$B$40,MONTH(A6635)))))</f>
        <v/>
      </c>
    </row>
    <row r="6636" customFormat="false" ht="15" hidden="false" customHeight="false" outlineLevel="0" collapsed="false">
      <c r="H6636" s="0" t="str">
        <f aca="false">IF(B6636="","",IF(COUNTIF(Campaigns!$A$7:$A$300,B6636)&gt;0,"✓","⚠ add to Campaigns tab"))</f>
        <v/>
      </c>
      <c r="I6636" s="84" t="str">
        <f aca="false">IF(C6636="","",C6636*IF(Settings!$B$22=Settings!$C$6,1,IF(Settings!$B$22="USD",1/INDEX(Settings!$B$29:$B$40,MONTH(A6636)),INDEX(Settings!$B$29:$B$40,MONTH(A6636)))))</f>
        <v/>
      </c>
    </row>
    <row r="6637" customFormat="false" ht="15" hidden="false" customHeight="false" outlineLevel="0" collapsed="false">
      <c r="H6637" s="0" t="str">
        <f aca="false">IF(B6637="","",IF(COUNTIF(Campaigns!$A$7:$A$300,B6637)&gt;0,"✓","⚠ add to Campaigns tab"))</f>
        <v/>
      </c>
      <c r="I6637" s="84" t="str">
        <f aca="false">IF(C6637="","",C6637*IF(Settings!$B$22=Settings!$C$6,1,IF(Settings!$B$22="USD",1/INDEX(Settings!$B$29:$B$40,MONTH(A6637)),INDEX(Settings!$B$29:$B$40,MONTH(A6637)))))</f>
        <v/>
      </c>
    </row>
    <row r="6638" customFormat="false" ht="15" hidden="false" customHeight="false" outlineLevel="0" collapsed="false">
      <c r="H6638" s="0" t="str">
        <f aca="false">IF(B6638="","",IF(COUNTIF(Campaigns!$A$7:$A$300,B6638)&gt;0,"✓","⚠ add to Campaigns tab"))</f>
        <v/>
      </c>
      <c r="I6638" s="84" t="str">
        <f aca="false">IF(C6638="","",C6638*IF(Settings!$B$22=Settings!$C$6,1,IF(Settings!$B$22="USD",1/INDEX(Settings!$B$29:$B$40,MONTH(A6638)),INDEX(Settings!$B$29:$B$40,MONTH(A6638)))))</f>
        <v/>
      </c>
    </row>
    <row r="6639" customFormat="false" ht="15" hidden="false" customHeight="false" outlineLevel="0" collapsed="false">
      <c r="H6639" s="0" t="str">
        <f aca="false">IF(B6639="","",IF(COUNTIF(Campaigns!$A$7:$A$300,B6639)&gt;0,"✓","⚠ add to Campaigns tab"))</f>
        <v/>
      </c>
      <c r="I6639" s="84" t="str">
        <f aca="false">IF(C6639="","",C6639*IF(Settings!$B$22=Settings!$C$6,1,IF(Settings!$B$22="USD",1/INDEX(Settings!$B$29:$B$40,MONTH(A6639)),INDEX(Settings!$B$29:$B$40,MONTH(A6639)))))</f>
        <v/>
      </c>
    </row>
    <row r="6640" customFormat="false" ht="15" hidden="false" customHeight="false" outlineLevel="0" collapsed="false">
      <c r="H6640" s="0" t="str">
        <f aca="false">IF(B6640="","",IF(COUNTIF(Campaigns!$A$7:$A$300,B6640)&gt;0,"✓","⚠ add to Campaigns tab"))</f>
        <v/>
      </c>
      <c r="I6640" s="84" t="str">
        <f aca="false">IF(C6640="","",C6640*IF(Settings!$B$22=Settings!$C$6,1,IF(Settings!$B$22="USD",1/INDEX(Settings!$B$29:$B$40,MONTH(A6640)),INDEX(Settings!$B$29:$B$40,MONTH(A6640)))))</f>
        <v/>
      </c>
    </row>
    <row r="6641" customFormat="false" ht="15" hidden="false" customHeight="false" outlineLevel="0" collapsed="false">
      <c r="H6641" s="0" t="str">
        <f aca="false">IF(B6641="","",IF(COUNTIF(Campaigns!$A$7:$A$300,B6641)&gt;0,"✓","⚠ add to Campaigns tab"))</f>
        <v/>
      </c>
      <c r="I6641" s="84" t="str">
        <f aca="false">IF(C6641="","",C6641*IF(Settings!$B$22=Settings!$C$6,1,IF(Settings!$B$22="USD",1/INDEX(Settings!$B$29:$B$40,MONTH(A6641)),INDEX(Settings!$B$29:$B$40,MONTH(A6641)))))</f>
        <v/>
      </c>
    </row>
    <row r="6642" customFormat="false" ht="15" hidden="false" customHeight="false" outlineLevel="0" collapsed="false">
      <c r="H6642" s="0" t="str">
        <f aca="false">IF(B6642="","",IF(COUNTIF(Campaigns!$A$7:$A$300,B6642)&gt;0,"✓","⚠ add to Campaigns tab"))</f>
        <v/>
      </c>
      <c r="I6642" s="84" t="str">
        <f aca="false">IF(C6642="","",C6642*IF(Settings!$B$22=Settings!$C$6,1,IF(Settings!$B$22="USD",1/INDEX(Settings!$B$29:$B$40,MONTH(A6642)),INDEX(Settings!$B$29:$B$40,MONTH(A6642)))))</f>
        <v/>
      </c>
    </row>
    <row r="6643" customFormat="false" ht="15" hidden="false" customHeight="false" outlineLevel="0" collapsed="false">
      <c r="H6643" s="0" t="str">
        <f aca="false">IF(B6643="","",IF(COUNTIF(Campaigns!$A$7:$A$300,B6643)&gt;0,"✓","⚠ add to Campaigns tab"))</f>
        <v/>
      </c>
      <c r="I6643" s="84" t="str">
        <f aca="false">IF(C6643="","",C6643*IF(Settings!$B$22=Settings!$C$6,1,IF(Settings!$B$22="USD",1/INDEX(Settings!$B$29:$B$40,MONTH(A6643)),INDEX(Settings!$B$29:$B$40,MONTH(A6643)))))</f>
        <v/>
      </c>
    </row>
    <row r="6644" customFormat="false" ht="15" hidden="false" customHeight="false" outlineLevel="0" collapsed="false">
      <c r="H6644" s="0" t="str">
        <f aca="false">IF(B6644="","",IF(COUNTIF(Campaigns!$A$7:$A$300,B6644)&gt;0,"✓","⚠ add to Campaigns tab"))</f>
        <v/>
      </c>
      <c r="I6644" s="84" t="str">
        <f aca="false">IF(C6644="","",C6644*IF(Settings!$B$22=Settings!$C$6,1,IF(Settings!$B$22="USD",1/INDEX(Settings!$B$29:$B$40,MONTH(A6644)),INDEX(Settings!$B$29:$B$40,MONTH(A6644)))))</f>
        <v/>
      </c>
    </row>
    <row r="6645" customFormat="false" ht="15" hidden="false" customHeight="false" outlineLevel="0" collapsed="false">
      <c r="H6645" s="0" t="str">
        <f aca="false">IF(B6645="","",IF(COUNTIF(Campaigns!$A$7:$A$300,B6645)&gt;0,"✓","⚠ add to Campaigns tab"))</f>
        <v/>
      </c>
      <c r="I6645" s="84" t="str">
        <f aca="false">IF(C6645="","",C6645*IF(Settings!$B$22=Settings!$C$6,1,IF(Settings!$B$22="USD",1/INDEX(Settings!$B$29:$B$40,MONTH(A6645)),INDEX(Settings!$B$29:$B$40,MONTH(A6645)))))</f>
        <v/>
      </c>
    </row>
    <row r="6646" customFormat="false" ht="15" hidden="false" customHeight="false" outlineLevel="0" collapsed="false">
      <c r="H6646" s="0" t="str">
        <f aca="false">IF(B6646="","",IF(COUNTIF(Campaigns!$A$7:$A$300,B6646)&gt;0,"✓","⚠ add to Campaigns tab"))</f>
        <v/>
      </c>
      <c r="I6646" s="84" t="str">
        <f aca="false">IF(C6646="","",C6646*IF(Settings!$B$22=Settings!$C$6,1,IF(Settings!$B$22="USD",1/INDEX(Settings!$B$29:$B$40,MONTH(A6646)),INDEX(Settings!$B$29:$B$40,MONTH(A6646)))))</f>
        <v/>
      </c>
    </row>
    <row r="6647" customFormat="false" ht="15" hidden="false" customHeight="false" outlineLevel="0" collapsed="false">
      <c r="H6647" s="0" t="str">
        <f aca="false">IF(B6647="","",IF(COUNTIF(Campaigns!$A$7:$A$300,B6647)&gt;0,"✓","⚠ add to Campaigns tab"))</f>
        <v/>
      </c>
      <c r="I6647" s="84" t="str">
        <f aca="false">IF(C6647="","",C6647*IF(Settings!$B$22=Settings!$C$6,1,IF(Settings!$B$22="USD",1/INDEX(Settings!$B$29:$B$40,MONTH(A6647)),INDEX(Settings!$B$29:$B$40,MONTH(A6647)))))</f>
        <v/>
      </c>
    </row>
    <row r="6648" customFormat="false" ht="15" hidden="false" customHeight="false" outlineLevel="0" collapsed="false">
      <c r="H6648" s="0" t="str">
        <f aca="false">IF(B6648="","",IF(COUNTIF(Campaigns!$A$7:$A$300,B6648)&gt;0,"✓","⚠ add to Campaigns tab"))</f>
        <v/>
      </c>
      <c r="I6648" s="84" t="str">
        <f aca="false">IF(C6648="","",C6648*IF(Settings!$B$22=Settings!$C$6,1,IF(Settings!$B$22="USD",1/INDEX(Settings!$B$29:$B$40,MONTH(A6648)),INDEX(Settings!$B$29:$B$40,MONTH(A6648)))))</f>
        <v/>
      </c>
    </row>
    <row r="6649" customFormat="false" ht="15" hidden="false" customHeight="false" outlineLevel="0" collapsed="false">
      <c r="H6649" s="0" t="str">
        <f aca="false">IF(B6649="","",IF(COUNTIF(Campaigns!$A$7:$A$300,B6649)&gt;0,"✓","⚠ add to Campaigns tab"))</f>
        <v/>
      </c>
      <c r="I6649" s="84" t="str">
        <f aca="false">IF(C6649="","",C6649*IF(Settings!$B$22=Settings!$C$6,1,IF(Settings!$B$22="USD",1/INDEX(Settings!$B$29:$B$40,MONTH(A6649)),INDEX(Settings!$B$29:$B$40,MONTH(A6649)))))</f>
        <v/>
      </c>
    </row>
    <row r="6650" customFormat="false" ht="15" hidden="false" customHeight="false" outlineLevel="0" collapsed="false">
      <c r="H6650" s="0" t="str">
        <f aca="false">IF(B6650="","",IF(COUNTIF(Campaigns!$A$7:$A$300,B6650)&gt;0,"✓","⚠ add to Campaigns tab"))</f>
        <v/>
      </c>
      <c r="I6650" s="84" t="str">
        <f aca="false">IF(C6650="","",C6650*IF(Settings!$B$22=Settings!$C$6,1,IF(Settings!$B$22="USD",1/INDEX(Settings!$B$29:$B$40,MONTH(A6650)),INDEX(Settings!$B$29:$B$40,MONTH(A6650)))))</f>
        <v/>
      </c>
    </row>
    <row r="6651" customFormat="false" ht="15" hidden="false" customHeight="false" outlineLevel="0" collapsed="false">
      <c r="H6651" s="0" t="str">
        <f aca="false">IF(B6651="","",IF(COUNTIF(Campaigns!$A$7:$A$300,B6651)&gt;0,"✓","⚠ add to Campaigns tab"))</f>
        <v/>
      </c>
      <c r="I6651" s="84" t="str">
        <f aca="false">IF(C6651="","",C6651*IF(Settings!$B$22=Settings!$C$6,1,IF(Settings!$B$22="USD",1/INDEX(Settings!$B$29:$B$40,MONTH(A6651)),INDEX(Settings!$B$29:$B$40,MONTH(A6651)))))</f>
        <v/>
      </c>
    </row>
    <row r="6652" customFormat="false" ht="15" hidden="false" customHeight="false" outlineLevel="0" collapsed="false">
      <c r="H6652" s="0" t="str">
        <f aca="false">IF(B6652="","",IF(COUNTIF(Campaigns!$A$7:$A$300,B6652)&gt;0,"✓","⚠ add to Campaigns tab"))</f>
        <v/>
      </c>
      <c r="I6652" s="84" t="str">
        <f aca="false">IF(C6652="","",C6652*IF(Settings!$B$22=Settings!$C$6,1,IF(Settings!$B$22="USD",1/INDEX(Settings!$B$29:$B$40,MONTH(A6652)),INDEX(Settings!$B$29:$B$40,MONTH(A6652)))))</f>
        <v/>
      </c>
    </row>
    <row r="6653" customFormat="false" ht="15" hidden="false" customHeight="false" outlineLevel="0" collapsed="false">
      <c r="H6653" s="0" t="str">
        <f aca="false">IF(B6653="","",IF(COUNTIF(Campaigns!$A$7:$A$300,B6653)&gt;0,"✓","⚠ add to Campaigns tab"))</f>
        <v/>
      </c>
      <c r="I6653" s="84" t="str">
        <f aca="false">IF(C6653="","",C6653*IF(Settings!$B$22=Settings!$C$6,1,IF(Settings!$B$22="USD",1/INDEX(Settings!$B$29:$B$40,MONTH(A6653)),INDEX(Settings!$B$29:$B$40,MONTH(A6653)))))</f>
        <v/>
      </c>
    </row>
    <row r="6654" customFormat="false" ht="15" hidden="false" customHeight="false" outlineLevel="0" collapsed="false">
      <c r="H6654" s="0" t="str">
        <f aca="false">IF(B6654="","",IF(COUNTIF(Campaigns!$A$7:$A$300,B6654)&gt;0,"✓","⚠ add to Campaigns tab"))</f>
        <v/>
      </c>
      <c r="I6654" s="84" t="str">
        <f aca="false">IF(C6654="","",C6654*IF(Settings!$B$22=Settings!$C$6,1,IF(Settings!$B$22="USD",1/INDEX(Settings!$B$29:$B$40,MONTH(A6654)),INDEX(Settings!$B$29:$B$40,MONTH(A6654)))))</f>
        <v/>
      </c>
    </row>
    <row r="6655" customFormat="false" ht="15" hidden="false" customHeight="false" outlineLevel="0" collapsed="false">
      <c r="H6655" s="0" t="str">
        <f aca="false">IF(B6655="","",IF(COUNTIF(Campaigns!$A$7:$A$300,B6655)&gt;0,"✓","⚠ add to Campaigns tab"))</f>
        <v/>
      </c>
      <c r="I6655" s="84" t="str">
        <f aca="false">IF(C6655="","",C6655*IF(Settings!$B$22=Settings!$C$6,1,IF(Settings!$B$22="USD",1/INDEX(Settings!$B$29:$B$40,MONTH(A6655)),INDEX(Settings!$B$29:$B$40,MONTH(A6655)))))</f>
        <v/>
      </c>
    </row>
    <row r="6656" customFormat="false" ht="15" hidden="false" customHeight="false" outlineLevel="0" collapsed="false">
      <c r="H6656" s="0" t="str">
        <f aca="false">IF(B6656="","",IF(COUNTIF(Campaigns!$A$7:$A$300,B6656)&gt;0,"✓","⚠ add to Campaigns tab"))</f>
        <v/>
      </c>
      <c r="I6656" s="84" t="str">
        <f aca="false">IF(C6656="","",C6656*IF(Settings!$B$22=Settings!$C$6,1,IF(Settings!$B$22="USD",1/INDEX(Settings!$B$29:$B$40,MONTH(A6656)),INDEX(Settings!$B$29:$B$40,MONTH(A6656)))))</f>
        <v/>
      </c>
    </row>
    <row r="6657" customFormat="false" ht="15" hidden="false" customHeight="false" outlineLevel="0" collapsed="false">
      <c r="H6657" s="0" t="str">
        <f aca="false">IF(B6657="","",IF(COUNTIF(Campaigns!$A$7:$A$300,B6657)&gt;0,"✓","⚠ add to Campaigns tab"))</f>
        <v/>
      </c>
      <c r="I6657" s="84" t="str">
        <f aca="false">IF(C6657="","",C6657*IF(Settings!$B$22=Settings!$C$6,1,IF(Settings!$B$22="USD",1/INDEX(Settings!$B$29:$B$40,MONTH(A6657)),INDEX(Settings!$B$29:$B$40,MONTH(A6657)))))</f>
        <v/>
      </c>
    </row>
    <row r="6658" customFormat="false" ht="15" hidden="false" customHeight="false" outlineLevel="0" collapsed="false">
      <c r="H6658" s="0" t="str">
        <f aca="false">IF(B6658="","",IF(COUNTIF(Campaigns!$A$7:$A$300,B6658)&gt;0,"✓","⚠ add to Campaigns tab"))</f>
        <v/>
      </c>
      <c r="I6658" s="84" t="str">
        <f aca="false">IF(C6658="","",C6658*IF(Settings!$B$22=Settings!$C$6,1,IF(Settings!$B$22="USD",1/INDEX(Settings!$B$29:$B$40,MONTH(A6658)),INDEX(Settings!$B$29:$B$40,MONTH(A6658)))))</f>
        <v/>
      </c>
    </row>
    <row r="6659" customFormat="false" ht="15" hidden="false" customHeight="false" outlineLevel="0" collapsed="false">
      <c r="H6659" s="0" t="str">
        <f aca="false">IF(B6659="","",IF(COUNTIF(Campaigns!$A$7:$A$300,B6659)&gt;0,"✓","⚠ add to Campaigns tab"))</f>
        <v/>
      </c>
      <c r="I6659" s="84" t="str">
        <f aca="false">IF(C6659="","",C6659*IF(Settings!$B$22=Settings!$C$6,1,IF(Settings!$B$22="USD",1/INDEX(Settings!$B$29:$B$40,MONTH(A6659)),INDEX(Settings!$B$29:$B$40,MONTH(A6659)))))</f>
        <v/>
      </c>
    </row>
    <row r="6660" customFormat="false" ht="15" hidden="false" customHeight="false" outlineLevel="0" collapsed="false">
      <c r="H6660" s="0" t="str">
        <f aca="false">IF(B6660="","",IF(COUNTIF(Campaigns!$A$7:$A$300,B6660)&gt;0,"✓","⚠ add to Campaigns tab"))</f>
        <v/>
      </c>
      <c r="I6660" s="84" t="str">
        <f aca="false">IF(C6660="","",C6660*IF(Settings!$B$22=Settings!$C$6,1,IF(Settings!$B$22="USD",1/INDEX(Settings!$B$29:$B$40,MONTH(A6660)),INDEX(Settings!$B$29:$B$40,MONTH(A6660)))))</f>
        <v/>
      </c>
    </row>
    <row r="6661" customFormat="false" ht="15" hidden="false" customHeight="false" outlineLevel="0" collapsed="false">
      <c r="H6661" s="0" t="str">
        <f aca="false">IF(B6661="","",IF(COUNTIF(Campaigns!$A$7:$A$300,B6661)&gt;0,"✓","⚠ add to Campaigns tab"))</f>
        <v/>
      </c>
      <c r="I6661" s="84" t="str">
        <f aca="false">IF(C6661="","",C6661*IF(Settings!$B$22=Settings!$C$6,1,IF(Settings!$B$22="USD",1/INDEX(Settings!$B$29:$B$40,MONTH(A6661)),INDEX(Settings!$B$29:$B$40,MONTH(A6661)))))</f>
        <v/>
      </c>
    </row>
    <row r="6662" customFormat="false" ht="15" hidden="false" customHeight="false" outlineLevel="0" collapsed="false">
      <c r="H6662" s="0" t="str">
        <f aca="false">IF(B6662="","",IF(COUNTIF(Campaigns!$A$7:$A$300,B6662)&gt;0,"✓","⚠ add to Campaigns tab"))</f>
        <v/>
      </c>
      <c r="I6662" s="84" t="str">
        <f aca="false">IF(C6662="","",C6662*IF(Settings!$B$22=Settings!$C$6,1,IF(Settings!$B$22="USD",1/INDEX(Settings!$B$29:$B$40,MONTH(A6662)),INDEX(Settings!$B$29:$B$40,MONTH(A6662)))))</f>
        <v/>
      </c>
    </row>
    <row r="6663" customFormat="false" ht="15" hidden="false" customHeight="false" outlineLevel="0" collapsed="false">
      <c r="H6663" s="0" t="str">
        <f aca="false">IF(B6663="","",IF(COUNTIF(Campaigns!$A$7:$A$300,B6663)&gt;0,"✓","⚠ add to Campaigns tab"))</f>
        <v/>
      </c>
      <c r="I6663" s="84" t="str">
        <f aca="false">IF(C6663="","",C6663*IF(Settings!$B$22=Settings!$C$6,1,IF(Settings!$B$22="USD",1/INDEX(Settings!$B$29:$B$40,MONTH(A6663)),INDEX(Settings!$B$29:$B$40,MONTH(A6663)))))</f>
        <v/>
      </c>
    </row>
    <row r="6664" customFormat="false" ht="15" hidden="false" customHeight="false" outlineLevel="0" collapsed="false">
      <c r="H6664" s="0" t="str">
        <f aca="false">IF(B6664="","",IF(COUNTIF(Campaigns!$A$7:$A$300,B6664)&gt;0,"✓","⚠ add to Campaigns tab"))</f>
        <v/>
      </c>
      <c r="I6664" s="84" t="str">
        <f aca="false">IF(C6664="","",C6664*IF(Settings!$B$22=Settings!$C$6,1,IF(Settings!$B$22="USD",1/INDEX(Settings!$B$29:$B$40,MONTH(A6664)),INDEX(Settings!$B$29:$B$40,MONTH(A6664)))))</f>
        <v/>
      </c>
    </row>
    <row r="6665" customFormat="false" ht="15" hidden="false" customHeight="false" outlineLevel="0" collapsed="false">
      <c r="H6665" s="0" t="str">
        <f aca="false">IF(B6665="","",IF(COUNTIF(Campaigns!$A$7:$A$300,B6665)&gt;0,"✓","⚠ add to Campaigns tab"))</f>
        <v/>
      </c>
      <c r="I6665" s="84" t="str">
        <f aca="false">IF(C6665="","",C6665*IF(Settings!$B$22=Settings!$C$6,1,IF(Settings!$B$22="USD",1/INDEX(Settings!$B$29:$B$40,MONTH(A6665)),INDEX(Settings!$B$29:$B$40,MONTH(A6665)))))</f>
        <v/>
      </c>
    </row>
    <row r="6666" customFormat="false" ht="15" hidden="false" customHeight="false" outlineLevel="0" collapsed="false">
      <c r="H6666" s="0" t="str">
        <f aca="false">IF(B6666="","",IF(COUNTIF(Campaigns!$A$7:$A$300,B6666)&gt;0,"✓","⚠ add to Campaigns tab"))</f>
        <v/>
      </c>
      <c r="I6666" s="84" t="str">
        <f aca="false">IF(C6666="","",C6666*IF(Settings!$B$22=Settings!$C$6,1,IF(Settings!$B$22="USD",1/INDEX(Settings!$B$29:$B$40,MONTH(A6666)),INDEX(Settings!$B$29:$B$40,MONTH(A6666)))))</f>
        <v/>
      </c>
    </row>
    <row r="6667" customFormat="false" ht="15" hidden="false" customHeight="false" outlineLevel="0" collapsed="false">
      <c r="H6667" s="0" t="str">
        <f aca="false">IF(B6667="","",IF(COUNTIF(Campaigns!$A$7:$A$300,B6667)&gt;0,"✓","⚠ add to Campaigns tab"))</f>
        <v/>
      </c>
      <c r="I6667" s="84" t="str">
        <f aca="false">IF(C6667="","",C6667*IF(Settings!$B$22=Settings!$C$6,1,IF(Settings!$B$22="USD",1/INDEX(Settings!$B$29:$B$40,MONTH(A6667)),INDEX(Settings!$B$29:$B$40,MONTH(A6667)))))</f>
        <v/>
      </c>
    </row>
    <row r="6668" customFormat="false" ht="15" hidden="false" customHeight="false" outlineLevel="0" collapsed="false">
      <c r="H6668" s="0" t="str">
        <f aca="false">IF(B6668="","",IF(COUNTIF(Campaigns!$A$7:$A$300,B6668)&gt;0,"✓","⚠ add to Campaigns tab"))</f>
        <v/>
      </c>
      <c r="I6668" s="84" t="str">
        <f aca="false">IF(C6668="","",C6668*IF(Settings!$B$22=Settings!$C$6,1,IF(Settings!$B$22="USD",1/INDEX(Settings!$B$29:$B$40,MONTH(A6668)),INDEX(Settings!$B$29:$B$40,MONTH(A6668)))))</f>
        <v/>
      </c>
    </row>
    <row r="6669" customFormat="false" ht="15" hidden="false" customHeight="false" outlineLevel="0" collapsed="false">
      <c r="H6669" s="0" t="str">
        <f aca="false">IF(B6669="","",IF(COUNTIF(Campaigns!$A$7:$A$300,B6669)&gt;0,"✓","⚠ add to Campaigns tab"))</f>
        <v/>
      </c>
      <c r="I6669" s="84" t="str">
        <f aca="false">IF(C6669="","",C6669*IF(Settings!$B$22=Settings!$C$6,1,IF(Settings!$B$22="USD",1/INDEX(Settings!$B$29:$B$40,MONTH(A6669)),INDEX(Settings!$B$29:$B$40,MONTH(A6669)))))</f>
        <v/>
      </c>
    </row>
    <row r="6670" customFormat="false" ht="15" hidden="false" customHeight="false" outlineLevel="0" collapsed="false">
      <c r="H6670" s="0" t="str">
        <f aca="false">IF(B6670="","",IF(COUNTIF(Campaigns!$A$7:$A$300,B6670)&gt;0,"✓","⚠ add to Campaigns tab"))</f>
        <v/>
      </c>
      <c r="I6670" s="84" t="str">
        <f aca="false">IF(C6670="","",C6670*IF(Settings!$B$22=Settings!$C$6,1,IF(Settings!$B$22="USD",1/INDEX(Settings!$B$29:$B$40,MONTH(A6670)),INDEX(Settings!$B$29:$B$40,MONTH(A6670)))))</f>
        <v/>
      </c>
    </row>
    <row r="6671" customFormat="false" ht="15" hidden="false" customHeight="false" outlineLevel="0" collapsed="false">
      <c r="H6671" s="0" t="str">
        <f aca="false">IF(B6671="","",IF(COUNTIF(Campaigns!$A$7:$A$300,B6671)&gt;0,"✓","⚠ add to Campaigns tab"))</f>
        <v/>
      </c>
      <c r="I6671" s="84" t="str">
        <f aca="false">IF(C6671="","",C6671*IF(Settings!$B$22=Settings!$C$6,1,IF(Settings!$B$22="USD",1/INDEX(Settings!$B$29:$B$40,MONTH(A6671)),INDEX(Settings!$B$29:$B$40,MONTH(A6671)))))</f>
        <v/>
      </c>
    </row>
    <row r="6672" customFormat="false" ht="15" hidden="false" customHeight="false" outlineLevel="0" collapsed="false">
      <c r="H6672" s="0" t="str">
        <f aca="false">IF(B6672="","",IF(COUNTIF(Campaigns!$A$7:$A$300,B6672)&gt;0,"✓","⚠ add to Campaigns tab"))</f>
        <v/>
      </c>
      <c r="I6672" s="84" t="str">
        <f aca="false">IF(C6672="","",C6672*IF(Settings!$B$22=Settings!$C$6,1,IF(Settings!$B$22="USD",1/INDEX(Settings!$B$29:$B$40,MONTH(A6672)),INDEX(Settings!$B$29:$B$40,MONTH(A6672)))))</f>
        <v/>
      </c>
    </row>
    <row r="6673" customFormat="false" ht="15" hidden="false" customHeight="false" outlineLevel="0" collapsed="false">
      <c r="H6673" s="0" t="str">
        <f aca="false">IF(B6673="","",IF(COUNTIF(Campaigns!$A$7:$A$300,B6673)&gt;0,"✓","⚠ add to Campaigns tab"))</f>
        <v/>
      </c>
      <c r="I6673" s="84" t="str">
        <f aca="false">IF(C6673="","",C6673*IF(Settings!$B$22=Settings!$C$6,1,IF(Settings!$B$22="USD",1/INDEX(Settings!$B$29:$B$40,MONTH(A6673)),INDEX(Settings!$B$29:$B$40,MONTH(A6673)))))</f>
        <v/>
      </c>
    </row>
    <row r="6674" customFormat="false" ht="15" hidden="false" customHeight="false" outlineLevel="0" collapsed="false">
      <c r="H6674" s="0" t="str">
        <f aca="false">IF(B6674="","",IF(COUNTIF(Campaigns!$A$7:$A$300,B6674)&gt;0,"✓","⚠ add to Campaigns tab"))</f>
        <v/>
      </c>
      <c r="I6674" s="84" t="str">
        <f aca="false">IF(C6674="","",C6674*IF(Settings!$B$22=Settings!$C$6,1,IF(Settings!$B$22="USD",1/INDEX(Settings!$B$29:$B$40,MONTH(A6674)),INDEX(Settings!$B$29:$B$40,MONTH(A6674)))))</f>
        <v/>
      </c>
    </row>
    <row r="6675" customFormat="false" ht="15" hidden="false" customHeight="false" outlineLevel="0" collapsed="false">
      <c r="H6675" s="0" t="str">
        <f aca="false">IF(B6675="","",IF(COUNTIF(Campaigns!$A$7:$A$300,B6675)&gt;0,"✓","⚠ add to Campaigns tab"))</f>
        <v/>
      </c>
      <c r="I6675" s="84" t="str">
        <f aca="false">IF(C6675="","",C6675*IF(Settings!$B$22=Settings!$C$6,1,IF(Settings!$B$22="USD",1/INDEX(Settings!$B$29:$B$40,MONTH(A6675)),INDEX(Settings!$B$29:$B$40,MONTH(A6675)))))</f>
        <v/>
      </c>
    </row>
    <row r="6676" customFormat="false" ht="15" hidden="false" customHeight="false" outlineLevel="0" collapsed="false">
      <c r="H6676" s="0" t="str">
        <f aca="false">IF(B6676="","",IF(COUNTIF(Campaigns!$A$7:$A$300,B6676)&gt;0,"✓","⚠ add to Campaigns tab"))</f>
        <v/>
      </c>
      <c r="I6676" s="84" t="str">
        <f aca="false">IF(C6676="","",C6676*IF(Settings!$B$22=Settings!$C$6,1,IF(Settings!$B$22="USD",1/INDEX(Settings!$B$29:$B$40,MONTH(A6676)),INDEX(Settings!$B$29:$B$40,MONTH(A6676)))))</f>
        <v/>
      </c>
    </row>
    <row r="6677" customFormat="false" ht="15" hidden="false" customHeight="false" outlineLevel="0" collapsed="false">
      <c r="H6677" s="0" t="str">
        <f aca="false">IF(B6677="","",IF(COUNTIF(Campaigns!$A$7:$A$300,B6677)&gt;0,"✓","⚠ add to Campaigns tab"))</f>
        <v/>
      </c>
      <c r="I6677" s="84" t="str">
        <f aca="false">IF(C6677="","",C6677*IF(Settings!$B$22=Settings!$C$6,1,IF(Settings!$B$22="USD",1/INDEX(Settings!$B$29:$B$40,MONTH(A6677)),INDEX(Settings!$B$29:$B$40,MONTH(A6677)))))</f>
        <v/>
      </c>
    </row>
    <row r="6678" customFormat="false" ht="15" hidden="false" customHeight="false" outlineLevel="0" collapsed="false">
      <c r="H6678" s="0" t="str">
        <f aca="false">IF(B6678="","",IF(COUNTIF(Campaigns!$A$7:$A$300,B6678)&gt;0,"✓","⚠ add to Campaigns tab"))</f>
        <v/>
      </c>
      <c r="I6678" s="84" t="str">
        <f aca="false">IF(C6678="","",C6678*IF(Settings!$B$22=Settings!$C$6,1,IF(Settings!$B$22="USD",1/INDEX(Settings!$B$29:$B$40,MONTH(A6678)),INDEX(Settings!$B$29:$B$40,MONTH(A6678)))))</f>
        <v/>
      </c>
    </row>
    <row r="6679" customFormat="false" ht="15" hidden="false" customHeight="false" outlineLevel="0" collapsed="false">
      <c r="H6679" s="0" t="str">
        <f aca="false">IF(B6679="","",IF(COUNTIF(Campaigns!$A$7:$A$300,B6679)&gt;0,"✓","⚠ add to Campaigns tab"))</f>
        <v/>
      </c>
      <c r="I6679" s="84" t="str">
        <f aca="false">IF(C6679="","",C6679*IF(Settings!$B$22=Settings!$C$6,1,IF(Settings!$B$22="USD",1/INDEX(Settings!$B$29:$B$40,MONTH(A6679)),INDEX(Settings!$B$29:$B$40,MONTH(A6679)))))</f>
        <v/>
      </c>
    </row>
    <row r="6680" customFormat="false" ht="15" hidden="false" customHeight="false" outlineLevel="0" collapsed="false">
      <c r="H6680" s="0" t="str">
        <f aca="false">IF(B6680="","",IF(COUNTIF(Campaigns!$A$7:$A$300,B6680)&gt;0,"✓","⚠ add to Campaigns tab"))</f>
        <v/>
      </c>
      <c r="I6680" s="84" t="str">
        <f aca="false">IF(C6680="","",C6680*IF(Settings!$B$22=Settings!$C$6,1,IF(Settings!$B$22="USD",1/INDEX(Settings!$B$29:$B$40,MONTH(A6680)),INDEX(Settings!$B$29:$B$40,MONTH(A6680)))))</f>
        <v/>
      </c>
    </row>
    <row r="6681" customFormat="false" ht="15" hidden="false" customHeight="false" outlineLevel="0" collapsed="false">
      <c r="H6681" s="0" t="str">
        <f aca="false">IF(B6681="","",IF(COUNTIF(Campaigns!$A$7:$A$300,B6681)&gt;0,"✓","⚠ add to Campaigns tab"))</f>
        <v/>
      </c>
      <c r="I6681" s="84" t="str">
        <f aca="false">IF(C6681="","",C6681*IF(Settings!$B$22=Settings!$C$6,1,IF(Settings!$B$22="USD",1/INDEX(Settings!$B$29:$B$40,MONTH(A6681)),INDEX(Settings!$B$29:$B$40,MONTH(A6681)))))</f>
        <v/>
      </c>
    </row>
    <row r="6682" customFormat="false" ht="15" hidden="false" customHeight="false" outlineLevel="0" collapsed="false">
      <c r="H6682" s="0" t="str">
        <f aca="false">IF(B6682="","",IF(COUNTIF(Campaigns!$A$7:$A$300,B6682)&gt;0,"✓","⚠ add to Campaigns tab"))</f>
        <v/>
      </c>
      <c r="I6682" s="84" t="str">
        <f aca="false">IF(C6682="","",C6682*IF(Settings!$B$22=Settings!$C$6,1,IF(Settings!$B$22="USD",1/INDEX(Settings!$B$29:$B$40,MONTH(A6682)),INDEX(Settings!$B$29:$B$40,MONTH(A6682)))))</f>
        <v/>
      </c>
    </row>
    <row r="6683" customFormat="false" ht="15" hidden="false" customHeight="false" outlineLevel="0" collapsed="false">
      <c r="H6683" s="0" t="str">
        <f aca="false">IF(B6683="","",IF(COUNTIF(Campaigns!$A$7:$A$300,B6683)&gt;0,"✓","⚠ add to Campaigns tab"))</f>
        <v/>
      </c>
      <c r="I6683" s="84" t="str">
        <f aca="false">IF(C6683="","",C6683*IF(Settings!$B$22=Settings!$C$6,1,IF(Settings!$B$22="USD",1/INDEX(Settings!$B$29:$B$40,MONTH(A6683)),INDEX(Settings!$B$29:$B$40,MONTH(A6683)))))</f>
        <v/>
      </c>
    </row>
    <row r="6684" customFormat="false" ht="15" hidden="false" customHeight="false" outlineLevel="0" collapsed="false">
      <c r="H6684" s="0" t="str">
        <f aca="false">IF(B6684="","",IF(COUNTIF(Campaigns!$A$7:$A$300,B6684)&gt;0,"✓","⚠ add to Campaigns tab"))</f>
        <v/>
      </c>
      <c r="I6684" s="84" t="str">
        <f aca="false">IF(C6684="","",C6684*IF(Settings!$B$22=Settings!$C$6,1,IF(Settings!$B$22="USD",1/INDEX(Settings!$B$29:$B$40,MONTH(A6684)),INDEX(Settings!$B$29:$B$40,MONTH(A6684)))))</f>
        <v/>
      </c>
    </row>
    <row r="6685" customFormat="false" ht="15" hidden="false" customHeight="false" outlineLevel="0" collapsed="false">
      <c r="H6685" s="0" t="str">
        <f aca="false">IF(B6685="","",IF(COUNTIF(Campaigns!$A$7:$A$300,B6685)&gt;0,"✓","⚠ add to Campaigns tab"))</f>
        <v/>
      </c>
      <c r="I6685" s="84" t="str">
        <f aca="false">IF(C6685="","",C6685*IF(Settings!$B$22=Settings!$C$6,1,IF(Settings!$B$22="USD",1/INDEX(Settings!$B$29:$B$40,MONTH(A6685)),INDEX(Settings!$B$29:$B$40,MONTH(A6685)))))</f>
        <v/>
      </c>
    </row>
    <row r="6686" customFormat="false" ht="15" hidden="false" customHeight="false" outlineLevel="0" collapsed="false">
      <c r="H6686" s="0" t="str">
        <f aca="false">IF(B6686="","",IF(COUNTIF(Campaigns!$A$7:$A$300,B6686)&gt;0,"✓","⚠ add to Campaigns tab"))</f>
        <v/>
      </c>
      <c r="I6686" s="84" t="str">
        <f aca="false">IF(C6686="","",C6686*IF(Settings!$B$22=Settings!$C$6,1,IF(Settings!$B$22="USD",1/INDEX(Settings!$B$29:$B$40,MONTH(A6686)),INDEX(Settings!$B$29:$B$40,MONTH(A6686)))))</f>
        <v/>
      </c>
    </row>
    <row r="6687" customFormat="false" ht="15" hidden="false" customHeight="false" outlineLevel="0" collapsed="false">
      <c r="H6687" s="0" t="str">
        <f aca="false">IF(B6687="","",IF(COUNTIF(Campaigns!$A$7:$A$300,B6687)&gt;0,"✓","⚠ add to Campaigns tab"))</f>
        <v/>
      </c>
      <c r="I6687" s="84" t="str">
        <f aca="false">IF(C6687="","",C6687*IF(Settings!$B$22=Settings!$C$6,1,IF(Settings!$B$22="USD",1/INDEX(Settings!$B$29:$B$40,MONTH(A6687)),INDEX(Settings!$B$29:$B$40,MONTH(A6687)))))</f>
        <v/>
      </c>
    </row>
    <row r="6688" customFormat="false" ht="15" hidden="false" customHeight="false" outlineLevel="0" collapsed="false">
      <c r="H6688" s="0" t="str">
        <f aca="false">IF(B6688="","",IF(COUNTIF(Campaigns!$A$7:$A$300,B6688)&gt;0,"✓","⚠ add to Campaigns tab"))</f>
        <v/>
      </c>
      <c r="I6688" s="84" t="str">
        <f aca="false">IF(C6688="","",C6688*IF(Settings!$B$22=Settings!$C$6,1,IF(Settings!$B$22="USD",1/INDEX(Settings!$B$29:$B$40,MONTH(A6688)),INDEX(Settings!$B$29:$B$40,MONTH(A6688)))))</f>
        <v/>
      </c>
    </row>
    <row r="6689" customFormat="false" ht="15" hidden="false" customHeight="false" outlineLevel="0" collapsed="false">
      <c r="H6689" s="0" t="str">
        <f aca="false">IF(B6689="","",IF(COUNTIF(Campaigns!$A$7:$A$300,B6689)&gt;0,"✓","⚠ add to Campaigns tab"))</f>
        <v/>
      </c>
      <c r="I6689" s="84" t="str">
        <f aca="false">IF(C6689="","",C6689*IF(Settings!$B$22=Settings!$C$6,1,IF(Settings!$B$22="USD",1/INDEX(Settings!$B$29:$B$40,MONTH(A6689)),INDEX(Settings!$B$29:$B$40,MONTH(A6689)))))</f>
        <v/>
      </c>
    </row>
    <row r="6690" customFormat="false" ht="15" hidden="false" customHeight="false" outlineLevel="0" collapsed="false">
      <c r="H6690" s="0" t="str">
        <f aca="false">IF(B6690="","",IF(COUNTIF(Campaigns!$A$7:$A$300,B6690)&gt;0,"✓","⚠ add to Campaigns tab"))</f>
        <v/>
      </c>
      <c r="I6690" s="84" t="str">
        <f aca="false">IF(C6690="","",C6690*IF(Settings!$B$22=Settings!$C$6,1,IF(Settings!$B$22="USD",1/INDEX(Settings!$B$29:$B$40,MONTH(A6690)),INDEX(Settings!$B$29:$B$40,MONTH(A6690)))))</f>
        <v/>
      </c>
    </row>
    <row r="6691" customFormat="false" ht="15" hidden="false" customHeight="false" outlineLevel="0" collapsed="false">
      <c r="H6691" s="0" t="str">
        <f aca="false">IF(B6691="","",IF(COUNTIF(Campaigns!$A$7:$A$300,B6691)&gt;0,"✓","⚠ add to Campaigns tab"))</f>
        <v/>
      </c>
      <c r="I6691" s="84" t="str">
        <f aca="false">IF(C6691="","",C6691*IF(Settings!$B$22=Settings!$C$6,1,IF(Settings!$B$22="USD",1/INDEX(Settings!$B$29:$B$40,MONTH(A6691)),INDEX(Settings!$B$29:$B$40,MONTH(A6691)))))</f>
        <v/>
      </c>
    </row>
    <row r="6692" customFormat="false" ht="15" hidden="false" customHeight="false" outlineLevel="0" collapsed="false">
      <c r="H6692" s="0" t="str">
        <f aca="false">IF(B6692="","",IF(COUNTIF(Campaigns!$A$7:$A$300,B6692)&gt;0,"✓","⚠ add to Campaigns tab"))</f>
        <v/>
      </c>
      <c r="I6692" s="84" t="str">
        <f aca="false">IF(C6692="","",C6692*IF(Settings!$B$22=Settings!$C$6,1,IF(Settings!$B$22="USD",1/INDEX(Settings!$B$29:$B$40,MONTH(A6692)),INDEX(Settings!$B$29:$B$40,MONTH(A6692)))))</f>
        <v/>
      </c>
    </row>
    <row r="6693" customFormat="false" ht="15" hidden="false" customHeight="false" outlineLevel="0" collapsed="false">
      <c r="H6693" s="0" t="str">
        <f aca="false">IF(B6693="","",IF(COUNTIF(Campaigns!$A$7:$A$300,B6693)&gt;0,"✓","⚠ add to Campaigns tab"))</f>
        <v/>
      </c>
      <c r="I6693" s="84" t="str">
        <f aca="false">IF(C6693="","",C6693*IF(Settings!$B$22=Settings!$C$6,1,IF(Settings!$B$22="USD",1/INDEX(Settings!$B$29:$B$40,MONTH(A6693)),INDEX(Settings!$B$29:$B$40,MONTH(A6693)))))</f>
        <v/>
      </c>
    </row>
    <row r="6694" customFormat="false" ht="15" hidden="false" customHeight="false" outlineLevel="0" collapsed="false">
      <c r="H6694" s="0" t="str">
        <f aca="false">IF(B6694="","",IF(COUNTIF(Campaigns!$A$7:$A$300,B6694)&gt;0,"✓","⚠ add to Campaigns tab"))</f>
        <v/>
      </c>
      <c r="I6694" s="84" t="str">
        <f aca="false">IF(C6694="","",C6694*IF(Settings!$B$22=Settings!$C$6,1,IF(Settings!$B$22="USD",1/INDEX(Settings!$B$29:$B$40,MONTH(A6694)),INDEX(Settings!$B$29:$B$40,MONTH(A6694)))))</f>
        <v/>
      </c>
    </row>
    <row r="6695" customFormat="false" ht="15" hidden="false" customHeight="false" outlineLevel="0" collapsed="false">
      <c r="H6695" s="0" t="str">
        <f aca="false">IF(B6695="","",IF(COUNTIF(Campaigns!$A$7:$A$300,B6695)&gt;0,"✓","⚠ add to Campaigns tab"))</f>
        <v/>
      </c>
      <c r="I6695" s="84" t="str">
        <f aca="false">IF(C6695="","",C6695*IF(Settings!$B$22=Settings!$C$6,1,IF(Settings!$B$22="USD",1/INDEX(Settings!$B$29:$B$40,MONTH(A6695)),INDEX(Settings!$B$29:$B$40,MONTH(A6695)))))</f>
        <v/>
      </c>
    </row>
    <row r="6696" customFormat="false" ht="15" hidden="false" customHeight="false" outlineLevel="0" collapsed="false">
      <c r="H6696" s="0" t="str">
        <f aca="false">IF(B6696="","",IF(COUNTIF(Campaigns!$A$7:$A$300,B6696)&gt;0,"✓","⚠ add to Campaigns tab"))</f>
        <v/>
      </c>
      <c r="I6696" s="84" t="str">
        <f aca="false">IF(C6696="","",C6696*IF(Settings!$B$22=Settings!$C$6,1,IF(Settings!$B$22="USD",1/INDEX(Settings!$B$29:$B$40,MONTH(A6696)),INDEX(Settings!$B$29:$B$40,MONTH(A6696)))))</f>
        <v/>
      </c>
    </row>
    <row r="6697" customFormat="false" ht="15" hidden="false" customHeight="false" outlineLevel="0" collapsed="false">
      <c r="H6697" s="0" t="str">
        <f aca="false">IF(B6697="","",IF(COUNTIF(Campaigns!$A$7:$A$300,B6697)&gt;0,"✓","⚠ add to Campaigns tab"))</f>
        <v/>
      </c>
      <c r="I6697" s="84" t="str">
        <f aca="false">IF(C6697="","",C6697*IF(Settings!$B$22=Settings!$C$6,1,IF(Settings!$B$22="USD",1/INDEX(Settings!$B$29:$B$40,MONTH(A6697)),INDEX(Settings!$B$29:$B$40,MONTH(A6697)))))</f>
        <v/>
      </c>
    </row>
    <row r="6698" customFormat="false" ht="15" hidden="false" customHeight="false" outlineLevel="0" collapsed="false">
      <c r="H6698" s="0" t="str">
        <f aca="false">IF(B6698="","",IF(COUNTIF(Campaigns!$A$7:$A$300,B6698)&gt;0,"✓","⚠ add to Campaigns tab"))</f>
        <v/>
      </c>
      <c r="I6698" s="84" t="str">
        <f aca="false">IF(C6698="","",C6698*IF(Settings!$B$22=Settings!$C$6,1,IF(Settings!$B$22="USD",1/INDEX(Settings!$B$29:$B$40,MONTH(A6698)),INDEX(Settings!$B$29:$B$40,MONTH(A6698)))))</f>
        <v/>
      </c>
    </row>
    <row r="6699" customFormat="false" ht="15" hidden="false" customHeight="false" outlineLevel="0" collapsed="false">
      <c r="H6699" s="0" t="str">
        <f aca="false">IF(B6699="","",IF(COUNTIF(Campaigns!$A$7:$A$300,B6699)&gt;0,"✓","⚠ add to Campaigns tab"))</f>
        <v/>
      </c>
      <c r="I6699" s="84" t="str">
        <f aca="false">IF(C6699="","",C6699*IF(Settings!$B$22=Settings!$C$6,1,IF(Settings!$B$22="USD",1/INDEX(Settings!$B$29:$B$40,MONTH(A6699)),INDEX(Settings!$B$29:$B$40,MONTH(A6699)))))</f>
        <v/>
      </c>
    </row>
    <row r="6700" customFormat="false" ht="15" hidden="false" customHeight="false" outlineLevel="0" collapsed="false">
      <c r="H6700" s="0" t="str">
        <f aca="false">IF(B6700="","",IF(COUNTIF(Campaigns!$A$7:$A$300,B6700)&gt;0,"✓","⚠ add to Campaigns tab"))</f>
        <v/>
      </c>
      <c r="I6700" s="84" t="str">
        <f aca="false">IF(C6700="","",C6700*IF(Settings!$B$22=Settings!$C$6,1,IF(Settings!$B$22="USD",1/INDEX(Settings!$B$29:$B$40,MONTH(A6700)),INDEX(Settings!$B$29:$B$40,MONTH(A6700)))))</f>
        <v/>
      </c>
    </row>
    <row r="6701" customFormat="false" ht="15" hidden="false" customHeight="false" outlineLevel="0" collapsed="false">
      <c r="H6701" s="0" t="str">
        <f aca="false">IF(B6701="","",IF(COUNTIF(Campaigns!$A$7:$A$300,B6701)&gt;0,"✓","⚠ add to Campaigns tab"))</f>
        <v/>
      </c>
      <c r="I6701" s="84" t="str">
        <f aca="false">IF(C6701="","",C6701*IF(Settings!$B$22=Settings!$C$6,1,IF(Settings!$B$22="USD",1/INDEX(Settings!$B$29:$B$40,MONTH(A6701)),INDEX(Settings!$B$29:$B$40,MONTH(A6701)))))</f>
        <v/>
      </c>
    </row>
    <row r="6702" customFormat="false" ht="15" hidden="false" customHeight="false" outlineLevel="0" collapsed="false">
      <c r="H6702" s="0" t="str">
        <f aca="false">IF(B6702="","",IF(COUNTIF(Campaigns!$A$7:$A$300,B6702)&gt;0,"✓","⚠ add to Campaigns tab"))</f>
        <v/>
      </c>
      <c r="I6702" s="84" t="str">
        <f aca="false">IF(C6702="","",C6702*IF(Settings!$B$22=Settings!$C$6,1,IF(Settings!$B$22="USD",1/INDEX(Settings!$B$29:$B$40,MONTH(A6702)),INDEX(Settings!$B$29:$B$40,MONTH(A6702)))))</f>
        <v/>
      </c>
    </row>
    <row r="6703" customFormat="false" ht="15" hidden="false" customHeight="false" outlineLevel="0" collapsed="false">
      <c r="H6703" s="0" t="str">
        <f aca="false">IF(B6703="","",IF(COUNTIF(Campaigns!$A$7:$A$300,B6703)&gt;0,"✓","⚠ add to Campaigns tab"))</f>
        <v/>
      </c>
      <c r="I6703" s="84" t="str">
        <f aca="false">IF(C6703="","",C6703*IF(Settings!$B$22=Settings!$C$6,1,IF(Settings!$B$22="USD",1/INDEX(Settings!$B$29:$B$40,MONTH(A6703)),INDEX(Settings!$B$29:$B$40,MONTH(A6703)))))</f>
        <v/>
      </c>
    </row>
    <row r="6704" customFormat="false" ht="15" hidden="false" customHeight="false" outlineLevel="0" collapsed="false">
      <c r="H6704" s="0" t="str">
        <f aca="false">IF(B6704="","",IF(COUNTIF(Campaigns!$A$7:$A$300,B6704)&gt;0,"✓","⚠ add to Campaigns tab"))</f>
        <v/>
      </c>
      <c r="I6704" s="84" t="str">
        <f aca="false">IF(C6704="","",C6704*IF(Settings!$B$22=Settings!$C$6,1,IF(Settings!$B$22="USD",1/INDEX(Settings!$B$29:$B$40,MONTH(A6704)),INDEX(Settings!$B$29:$B$40,MONTH(A6704)))))</f>
        <v/>
      </c>
    </row>
    <row r="6705" customFormat="false" ht="15" hidden="false" customHeight="false" outlineLevel="0" collapsed="false">
      <c r="H6705" s="0" t="str">
        <f aca="false">IF(B6705="","",IF(COUNTIF(Campaigns!$A$7:$A$300,B6705)&gt;0,"✓","⚠ add to Campaigns tab"))</f>
        <v/>
      </c>
      <c r="I6705" s="84" t="str">
        <f aca="false">IF(C6705="","",C6705*IF(Settings!$B$22=Settings!$C$6,1,IF(Settings!$B$22="USD",1/INDEX(Settings!$B$29:$B$40,MONTH(A6705)),INDEX(Settings!$B$29:$B$40,MONTH(A6705)))))</f>
        <v/>
      </c>
    </row>
    <row r="6706" customFormat="false" ht="15" hidden="false" customHeight="false" outlineLevel="0" collapsed="false">
      <c r="H6706" s="0" t="str">
        <f aca="false">IF(B6706="","",IF(COUNTIF(Campaigns!$A$7:$A$300,B6706)&gt;0,"✓","⚠ add to Campaigns tab"))</f>
        <v/>
      </c>
      <c r="I6706" s="84" t="str">
        <f aca="false">IF(C6706="","",C6706*IF(Settings!$B$22=Settings!$C$6,1,IF(Settings!$B$22="USD",1/INDEX(Settings!$B$29:$B$40,MONTH(A6706)),INDEX(Settings!$B$29:$B$40,MONTH(A6706)))))</f>
        <v/>
      </c>
    </row>
    <row r="6707" customFormat="false" ht="15" hidden="false" customHeight="false" outlineLevel="0" collapsed="false">
      <c r="H6707" s="0" t="str">
        <f aca="false">IF(B6707="","",IF(COUNTIF(Campaigns!$A$7:$A$300,B6707)&gt;0,"✓","⚠ add to Campaigns tab"))</f>
        <v/>
      </c>
      <c r="I6707" s="84" t="str">
        <f aca="false">IF(C6707="","",C6707*IF(Settings!$B$22=Settings!$C$6,1,IF(Settings!$B$22="USD",1/INDEX(Settings!$B$29:$B$40,MONTH(A6707)),INDEX(Settings!$B$29:$B$40,MONTH(A6707)))))</f>
        <v/>
      </c>
    </row>
    <row r="6708" customFormat="false" ht="15" hidden="false" customHeight="false" outlineLevel="0" collapsed="false">
      <c r="H6708" s="0" t="str">
        <f aca="false">IF(B6708="","",IF(COUNTIF(Campaigns!$A$7:$A$300,B6708)&gt;0,"✓","⚠ add to Campaigns tab"))</f>
        <v/>
      </c>
      <c r="I6708" s="84" t="str">
        <f aca="false">IF(C6708="","",C6708*IF(Settings!$B$22=Settings!$C$6,1,IF(Settings!$B$22="USD",1/INDEX(Settings!$B$29:$B$40,MONTH(A6708)),INDEX(Settings!$B$29:$B$40,MONTH(A6708)))))</f>
        <v/>
      </c>
    </row>
    <row r="6709" customFormat="false" ht="15" hidden="false" customHeight="false" outlineLevel="0" collapsed="false">
      <c r="H6709" s="0" t="str">
        <f aca="false">IF(B6709="","",IF(COUNTIF(Campaigns!$A$7:$A$300,B6709)&gt;0,"✓","⚠ add to Campaigns tab"))</f>
        <v/>
      </c>
      <c r="I6709" s="84" t="str">
        <f aca="false">IF(C6709="","",C6709*IF(Settings!$B$22=Settings!$C$6,1,IF(Settings!$B$22="USD",1/INDEX(Settings!$B$29:$B$40,MONTH(A6709)),INDEX(Settings!$B$29:$B$40,MONTH(A6709)))))</f>
        <v/>
      </c>
    </row>
    <row r="6710" customFormat="false" ht="15" hidden="false" customHeight="false" outlineLevel="0" collapsed="false">
      <c r="H6710" s="0" t="str">
        <f aca="false">IF(B6710="","",IF(COUNTIF(Campaigns!$A$7:$A$300,B6710)&gt;0,"✓","⚠ add to Campaigns tab"))</f>
        <v/>
      </c>
      <c r="I6710" s="84" t="str">
        <f aca="false">IF(C6710="","",C6710*IF(Settings!$B$22=Settings!$C$6,1,IF(Settings!$B$22="USD",1/INDEX(Settings!$B$29:$B$40,MONTH(A6710)),INDEX(Settings!$B$29:$B$40,MONTH(A6710)))))</f>
        <v/>
      </c>
    </row>
    <row r="6711" customFormat="false" ht="15" hidden="false" customHeight="false" outlineLevel="0" collapsed="false">
      <c r="H6711" s="0" t="str">
        <f aca="false">IF(B6711="","",IF(COUNTIF(Campaigns!$A$7:$A$300,B6711)&gt;0,"✓","⚠ add to Campaigns tab"))</f>
        <v/>
      </c>
      <c r="I6711" s="84" t="str">
        <f aca="false">IF(C6711="","",C6711*IF(Settings!$B$22=Settings!$C$6,1,IF(Settings!$B$22="USD",1/INDEX(Settings!$B$29:$B$40,MONTH(A6711)),INDEX(Settings!$B$29:$B$40,MONTH(A6711)))))</f>
        <v/>
      </c>
    </row>
    <row r="6712" customFormat="false" ht="15" hidden="false" customHeight="false" outlineLevel="0" collapsed="false">
      <c r="H6712" s="0" t="str">
        <f aca="false">IF(B6712="","",IF(COUNTIF(Campaigns!$A$7:$A$300,B6712)&gt;0,"✓","⚠ add to Campaigns tab"))</f>
        <v/>
      </c>
      <c r="I6712" s="84" t="str">
        <f aca="false">IF(C6712="","",C6712*IF(Settings!$B$22=Settings!$C$6,1,IF(Settings!$B$22="USD",1/INDEX(Settings!$B$29:$B$40,MONTH(A6712)),INDEX(Settings!$B$29:$B$40,MONTH(A6712)))))</f>
        <v/>
      </c>
    </row>
    <row r="6713" customFormat="false" ht="15" hidden="false" customHeight="false" outlineLevel="0" collapsed="false">
      <c r="H6713" s="0" t="str">
        <f aca="false">IF(B6713="","",IF(COUNTIF(Campaigns!$A$7:$A$300,B6713)&gt;0,"✓","⚠ add to Campaigns tab"))</f>
        <v/>
      </c>
      <c r="I6713" s="84" t="str">
        <f aca="false">IF(C6713="","",C6713*IF(Settings!$B$22=Settings!$C$6,1,IF(Settings!$B$22="USD",1/INDEX(Settings!$B$29:$B$40,MONTH(A6713)),INDEX(Settings!$B$29:$B$40,MONTH(A6713)))))</f>
        <v/>
      </c>
    </row>
    <row r="6714" customFormat="false" ht="15" hidden="false" customHeight="false" outlineLevel="0" collapsed="false">
      <c r="H6714" s="0" t="str">
        <f aca="false">IF(B6714="","",IF(COUNTIF(Campaigns!$A$7:$A$300,B6714)&gt;0,"✓","⚠ add to Campaigns tab"))</f>
        <v/>
      </c>
      <c r="I6714" s="84" t="str">
        <f aca="false">IF(C6714="","",C6714*IF(Settings!$B$22=Settings!$C$6,1,IF(Settings!$B$22="USD",1/INDEX(Settings!$B$29:$B$40,MONTH(A6714)),INDEX(Settings!$B$29:$B$40,MONTH(A6714)))))</f>
        <v/>
      </c>
    </row>
    <row r="6715" customFormat="false" ht="15" hidden="false" customHeight="false" outlineLevel="0" collapsed="false">
      <c r="H6715" s="0" t="str">
        <f aca="false">IF(B6715="","",IF(COUNTIF(Campaigns!$A$7:$A$300,B6715)&gt;0,"✓","⚠ add to Campaigns tab"))</f>
        <v/>
      </c>
      <c r="I6715" s="84" t="str">
        <f aca="false">IF(C6715="","",C6715*IF(Settings!$B$22=Settings!$C$6,1,IF(Settings!$B$22="USD",1/INDEX(Settings!$B$29:$B$40,MONTH(A6715)),INDEX(Settings!$B$29:$B$40,MONTH(A6715)))))</f>
        <v/>
      </c>
    </row>
    <row r="6716" customFormat="false" ht="15" hidden="false" customHeight="false" outlineLevel="0" collapsed="false">
      <c r="H6716" s="0" t="str">
        <f aca="false">IF(B6716="","",IF(COUNTIF(Campaigns!$A$7:$A$300,B6716)&gt;0,"✓","⚠ add to Campaigns tab"))</f>
        <v/>
      </c>
      <c r="I6716" s="84" t="str">
        <f aca="false">IF(C6716="","",C6716*IF(Settings!$B$22=Settings!$C$6,1,IF(Settings!$B$22="USD",1/INDEX(Settings!$B$29:$B$40,MONTH(A6716)),INDEX(Settings!$B$29:$B$40,MONTH(A6716)))))</f>
        <v/>
      </c>
    </row>
    <row r="6717" customFormat="false" ht="15" hidden="false" customHeight="false" outlineLevel="0" collapsed="false">
      <c r="H6717" s="0" t="str">
        <f aca="false">IF(B6717="","",IF(COUNTIF(Campaigns!$A$7:$A$300,B6717)&gt;0,"✓","⚠ add to Campaigns tab"))</f>
        <v/>
      </c>
      <c r="I6717" s="84" t="str">
        <f aca="false">IF(C6717="","",C6717*IF(Settings!$B$22=Settings!$C$6,1,IF(Settings!$B$22="USD",1/INDEX(Settings!$B$29:$B$40,MONTH(A6717)),INDEX(Settings!$B$29:$B$40,MONTH(A6717)))))</f>
        <v/>
      </c>
    </row>
    <row r="6718" customFormat="false" ht="15" hidden="false" customHeight="false" outlineLevel="0" collapsed="false">
      <c r="H6718" s="0" t="str">
        <f aca="false">IF(B6718="","",IF(COUNTIF(Campaigns!$A$7:$A$300,B6718)&gt;0,"✓","⚠ add to Campaigns tab"))</f>
        <v/>
      </c>
      <c r="I6718" s="84" t="str">
        <f aca="false">IF(C6718="","",C6718*IF(Settings!$B$22=Settings!$C$6,1,IF(Settings!$B$22="USD",1/INDEX(Settings!$B$29:$B$40,MONTH(A6718)),INDEX(Settings!$B$29:$B$40,MONTH(A6718)))))</f>
        <v/>
      </c>
    </row>
    <row r="6719" customFormat="false" ht="15" hidden="false" customHeight="false" outlineLevel="0" collapsed="false">
      <c r="H6719" s="0" t="str">
        <f aca="false">IF(B6719="","",IF(COUNTIF(Campaigns!$A$7:$A$300,B6719)&gt;0,"✓","⚠ add to Campaigns tab"))</f>
        <v/>
      </c>
      <c r="I6719" s="84" t="str">
        <f aca="false">IF(C6719="","",C6719*IF(Settings!$B$22=Settings!$C$6,1,IF(Settings!$B$22="USD",1/INDEX(Settings!$B$29:$B$40,MONTH(A6719)),INDEX(Settings!$B$29:$B$40,MONTH(A6719)))))</f>
        <v/>
      </c>
    </row>
    <row r="6720" customFormat="false" ht="15" hidden="false" customHeight="false" outlineLevel="0" collapsed="false">
      <c r="H6720" s="0" t="str">
        <f aca="false">IF(B6720="","",IF(COUNTIF(Campaigns!$A$7:$A$300,B6720)&gt;0,"✓","⚠ add to Campaigns tab"))</f>
        <v/>
      </c>
      <c r="I6720" s="84" t="str">
        <f aca="false">IF(C6720="","",C6720*IF(Settings!$B$22=Settings!$C$6,1,IF(Settings!$B$22="USD",1/INDEX(Settings!$B$29:$B$40,MONTH(A6720)),INDEX(Settings!$B$29:$B$40,MONTH(A6720)))))</f>
        <v/>
      </c>
    </row>
    <row r="6721" customFormat="false" ht="15" hidden="false" customHeight="false" outlineLevel="0" collapsed="false">
      <c r="H6721" s="0" t="str">
        <f aca="false">IF(B6721="","",IF(COUNTIF(Campaigns!$A$7:$A$300,B6721)&gt;0,"✓","⚠ add to Campaigns tab"))</f>
        <v/>
      </c>
      <c r="I6721" s="84" t="str">
        <f aca="false">IF(C6721="","",C6721*IF(Settings!$B$22=Settings!$C$6,1,IF(Settings!$B$22="USD",1/INDEX(Settings!$B$29:$B$40,MONTH(A6721)),INDEX(Settings!$B$29:$B$40,MONTH(A6721)))))</f>
        <v/>
      </c>
    </row>
    <row r="6722" customFormat="false" ht="15" hidden="false" customHeight="false" outlineLevel="0" collapsed="false">
      <c r="H6722" s="0" t="str">
        <f aca="false">IF(B6722="","",IF(COUNTIF(Campaigns!$A$7:$A$300,B6722)&gt;0,"✓","⚠ add to Campaigns tab"))</f>
        <v/>
      </c>
      <c r="I6722" s="84" t="str">
        <f aca="false">IF(C6722="","",C6722*IF(Settings!$B$22=Settings!$C$6,1,IF(Settings!$B$22="USD",1/INDEX(Settings!$B$29:$B$40,MONTH(A6722)),INDEX(Settings!$B$29:$B$40,MONTH(A6722)))))</f>
        <v/>
      </c>
    </row>
    <row r="6723" customFormat="false" ht="15" hidden="false" customHeight="false" outlineLevel="0" collapsed="false">
      <c r="H6723" s="0" t="str">
        <f aca="false">IF(B6723="","",IF(COUNTIF(Campaigns!$A$7:$A$300,B6723)&gt;0,"✓","⚠ add to Campaigns tab"))</f>
        <v/>
      </c>
      <c r="I6723" s="84" t="str">
        <f aca="false">IF(C6723="","",C6723*IF(Settings!$B$22=Settings!$C$6,1,IF(Settings!$B$22="USD",1/INDEX(Settings!$B$29:$B$40,MONTH(A6723)),INDEX(Settings!$B$29:$B$40,MONTH(A6723)))))</f>
        <v/>
      </c>
    </row>
    <row r="6724" customFormat="false" ht="15" hidden="false" customHeight="false" outlineLevel="0" collapsed="false">
      <c r="H6724" s="0" t="str">
        <f aca="false">IF(B6724="","",IF(COUNTIF(Campaigns!$A$7:$A$300,B6724)&gt;0,"✓","⚠ add to Campaigns tab"))</f>
        <v/>
      </c>
      <c r="I6724" s="84" t="str">
        <f aca="false">IF(C6724="","",C6724*IF(Settings!$B$22=Settings!$C$6,1,IF(Settings!$B$22="USD",1/INDEX(Settings!$B$29:$B$40,MONTH(A6724)),INDEX(Settings!$B$29:$B$40,MONTH(A6724)))))</f>
        <v/>
      </c>
    </row>
    <row r="6725" customFormat="false" ht="15" hidden="false" customHeight="false" outlineLevel="0" collapsed="false">
      <c r="H6725" s="0" t="str">
        <f aca="false">IF(B6725="","",IF(COUNTIF(Campaigns!$A$7:$A$300,B6725)&gt;0,"✓","⚠ add to Campaigns tab"))</f>
        <v/>
      </c>
      <c r="I6725" s="84" t="str">
        <f aca="false">IF(C6725="","",C6725*IF(Settings!$B$22=Settings!$C$6,1,IF(Settings!$B$22="USD",1/INDEX(Settings!$B$29:$B$40,MONTH(A6725)),INDEX(Settings!$B$29:$B$40,MONTH(A6725)))))</f>
        <v/>
      </c>
    </row>
    <row r="6726" customFormat="false" ht="15" hidden="false" customHeight="false" outlineLevel="0" collapsed="false">
      <c r="H6726" s="0" t="str">
        <f aca="false">IF(B6726="","",IF(COUNTIF(Campaigns!$A$7:$A$300,B6726)&gt;0,"✓","⚠ add to Campaigns tab"))</f>
        <v/>
      </c>
      <c r="I6726" s="84" t="str">
        <f aca="false">IF(C6726="","",C6726*IF(Settings!$B$22=Settings!$C$6,1,IF(Settings!$B$22="USD",1/INDEX(Settings!$B$29:$B$40,MONTH(A6726)),INDEX(Settings!$B$29:$B$40,MONTH(A6726)))))</f>
        <v/>
      </c>
    </row>
    <row r="6727" customFormat="false" ht="15" hidden="false" customHeight="false" outlineLevel="0" collapsed="false">
      <c r="H6727" s="0" t="str">
        <f aca="false">IF(B6727="","",IF(COUNTIF(Campaigns!$A$7:$A$300,B6727)&gt;0,"✓","⚠ add to Campaigns tab"))</f>
        <v/>
      </c>
      <c r="I6727" s="84" t="str">
        <f aca="false">IF(C6727="","",C6727*IF(Settings!$B$22=Settings!$C$6,1,IF(Settings!$B$22="USD",1/INDEX(Settings!$B$29:$B$40,MONTH(A6727)),INDEX(Settings!$B$29:$B$40,MONTH(A6727)))))</f>
        <v/>
      </c>
    </row>
    <row r="6728" customFormat="false" ht="15" hidden="false" customHeight="false" outlineLevel="0" collapsed="false">
      <c r="H6728" s="0" t="str">
        <f aca="false">IF(B6728="","",IF(COUNTIF(Campaigns!$A$7:$A$300,B6728)&gt;0,"✓","⚠ add to Campaigns tab"))</f>
        <v/>
      </c>
      <c r="I6728" s="84" t="str">
        <f aca="false">IF(C6728="","",C6728*IF(Settings!$B$22=Settings!$C$6,1,IF(Settings!$B$22="USD",1/INDEX(Settings!$B$29:$B$40,MONTH(A6728)),INDEX(Settings!$B$29:$B$40,MONTH(A6728)))))</f>
        <v/>
      </c>
    </row>
    <row r="6729" customFormat="false" ht="15" hidden="false" customHeight="false" outlineLevel="0" collapsed="false">
      <c r="H6729" s="0" t="str">
        <f aca="false">IF(B6729="","",IF(COUNTIF(Campaigns!$A$7:$A$300,B6729)&gt;0,"✓","⚠ add to Campaigns tab"))</f>
        <v/>
      </c>
      <c r="I6729" s="84" t="str">
        <f aca="false">IF(C6729="","",C6729*IF(Settings!$B$22=Settings!$C$6,1,IF(Settings!$B$22="USD",1/INDEX(Settings!$B$29:$B$40,MONTH(A6729)),INDEX(Settings!$B$29:$B$40,MONTH(A6729)))))</f>
        <v/>
      </c>
    </row>
    <row r="6730" customFormat="false" ht="15" hidden="false" customHeight="false" outlineLevel="0" collapsed="false">
      <c r="H6730" s="0" t="str">
        <f aca="false">IF(B6730="","",IF(COUNTIF(Campaigns!$A$7:$A$300,B6730)&gt;0,"✓","⚠ add to Campaigns tab"))</f>
        <v/>
      </c>
      <c r="I6730" s="84" t="str">
        <f aca="false">IF(C6730="","",C6730*IF(Settings!$B$22=Settings!$C$6,1,IF(Settings!$B$22="USD",1/INDEX(Settings!$B$29:$B$40,MONTH(A6730)),INDEX(Settings!$B$29:$B$40,MONTH(A6730)))))</f>
        <v/>
      </c>
    </row>
    <row r="6731" customFormat="false" ht="15" hidden="false" customHeight="false" outlineLevel="0" collapsed="false">
      <c r="H6731" s="0" t="str">
        <f aca="false">IF(B6731="","",IF(COUNTIF(Campaigns!$A$7:$A$300,B6731)&gt;0,"✓","⚠ add to Campaigns tab"))</f>
        <v/>
      </c>
      <c r="I6731" s="84" t="str">
        <f aca="false">IF(C6731="","",C6731*IF(Settings!$B$22=Settings!$C$6,1,IF(Settings!$B$22="USD",1/INDEX(Settings!$B$29:$B$40,MONTH(A6731)),INDEX(Settings!$B$29:$B$40,MONTH(A6731)))))</f>
        <v/>
      </c>
    </row>
    <row r="6732" customFormat="false" ht="15" hidden="false" customHeight="false" outlineLevel="0" collapsed="false">
      <c r="H6732" s="0" t="str">
        <f aca="false">IF(B6732="","",IF(COUNTIF(Campaigns!$A$7:$A$300,B6732)&gt;0,"✓","⚠ add to Campaigns tab"))</f>
        <v/>
      </c>
      <c r="I6732" s="84" t="str">
        <f aca="false">IF(C6732="","",C6732*IF(Settings!$B$22=Settings!$C$6,1,IF(Settings!$B$22="USD",1/INDEX(Settings!$B$29:$B$40,MONTH(A6732)),INDEX(Settings!$B$29:$B$40,MONTH(A6732)))))</f>
        <v/>
      </c>
    </row>
    <row r="6733" customFormat="false" ht="15" hidden="false" customHeight="false" outlineLevel="0" collapsed="false">
      <c r="H6733" s="0" t="str">
        <f aca="false">IF(B6733="","",IF(COUNTIF(Campaigns!$A$7:$A$300,B6733)&gt;0,"✓","⚠ add to Campaigns tab"))</f>
        <v/>
      </c>
      <c r="I6733" s="84" t="str">
        <f aca="false">IF(C6733="","",C6733*IF(Settings!$B$22=Settings!$C$6,1,IF(Settings!$B$22="USD",1/INDEX(Settings!$B$29:$B$40,MONTH(A6733)),INDEX(Settings!$B$29:$B$40,MONTH(A6733)))))</f>
        <v/>
      </c>
    </row>
    <row r="6734" customFormat="false" ht="15" hidden="false" customHeight="false" outlineLevel="0" collapsed="false">
      <c r="H6734" s="0" t="str">
        <f aca="false">IF(B6734="","",IF(COUNTIF(Campaigns!$A$7:$A$300,B6734)&gt;0,"✓","⚠ add to Campaigns tab"))</f>
        <v/>
      </c>
      <c r="I6734" s="84" t="str">
        <f aca="false">IF(C6734="","",C6734*IF(Settings!$B$22=Settings!$C$6,1,IF(Settings!$B$22="USD",1/INDEX(Settings!$B$29:$B$40,MONTH(A6734)),INDEX(Settings!$B$29:$B$40,MONTH(A6734)))))</f>
        <v/>
      </c>
    </row>
    <row r="6735" customFormat="false" ht="15" hidden="false" customHeight="false" outlineLevel="0" collapsed="false">
      <c r="H6735" s="0" t="str">
        <f aca="false">IF(B6735="","",IF(COUNTIF(Campaigns!$A$7:$A$300,B6735)&gt;0,"✓","⚠ add to Campaigns tab"))</f>
        <v/>
      </c>
      <c r="I6735" s="84" t="str">
        <f aca="false">IF(C6735="","",C6735*IF(Settings!$B$22=Settings!$C$6,1,IF(Settings!$B$22="USD",1/INDEX(Settings!$B$29:$B$40,MONTH(A6735)),INDEX(Settings!$B$29:$B$40,MONTH(A6735)))))</f>
        <v/>
      </c>
    </row>
    <row r="6736" customFormat="false" ht="15" hidden="false" customHeight="false" outlineLevel="0" collapsed="false">
      <c r="H6736" s="0" t="str">
        <f aca="false">IF(B6736="","",IF(COUNTIF(Campaigns!$A$7:$A$300,B6736)&gt;0,"✓","⚠ add to Campaigns tab"))</f>
        <v/>
      </c>
      <c r="I6736" s="84" t="str">
        <f aca="false">IF(C6736="","",C6736*IF(Settings!$B$22=Settings!$C$6,1,IF(Settings!$B$22="USD",1/INDEX(Settings!$B$29:$B$40,MONTH(A6736)),INDEX(Settings!$B$29:$B$40,MONTH(A6736)))))</f>
        <v/>
      </c>
    </row>
    <row r="6737" customFormat="false" ht="15" hidden="false" customHeight="false" outlineLevel="0" collapsed="false">
      <c r="H6737" s="0" t="str">
        <f aca="false">IF(B6737="","",IF(COUNTIF(Campaigns!$A$7:$A$300,B6737)&gt;0,"✓","⚠ add to Campaigns tab"))</f>
        <v/>
      </c>
      <c r="I6737" s="84" t="str">
        <f aca="false">IF(C6737="","",C6737*IF(Settings!$B$22=Settings!$C$6,1,IF(Settings!$B$22="USD",1/INDEX(Settings!$B$29:$B$40,MONTH(A6737)),INDEX(Settings!$B$29:$B$40,MONTH(A6737)))))</f>
        <v/>
      </c>
    </row>
    <row r="6738" customFormat="false" ht="15" hidden="false" customHeight="false" outlineLevel="0" collapsed="false">
      <c r="H6738" s="0" t="str">
        <f aca="false">IF(B6738="","",IF(COUNTIF(Campaigns!$A$7:$A$300,B6738)&gt;0,"✓","⚠ add to Campaigns tab"))</f>
        <v/>
      </c>
      <c r="I6738" s="84" t="str">
        <f aca="false">IF(C6738="","",C6738*IF(Settings!$B$22=Settings!$C$6,1,IF(Settings!$B$22="USD",1/INDEX(Settings!$B$29:$B$40,MONTH(A6738)),INDEX(Settings!$B$29:$B$40,MONTH(A6738)))))</f>
        <v/>
      </c>
    </row>
    <row r="6739" customFormat="false" ht="15" hidden="false" customHeight="false" outlineLevel="0" collapsed="false">
      <c r="H6739" s="0" t="str">
        <f aca="false">IF(B6739="","",IF(COUNTIF(Campaigns!$A$7:$A$300,B6739)&gt;0,"✓","⚠ add to Campaigns tab"))</f>
        <v/>
      </c>
      <c r="I6739" s="84" t="str">
        <f aca="false">IF(C6739="","",C6739*IF(Settings!$B$22=Settings!$C$6,1,IF(Settings!$B$22="USD",1/INDEX(Settings!$B$29:$B$40,MONTH(A6739)),INDEX(Settings!$B$29:$B$40,MONTH(A6739)))))</f>
        <v/>
      </c>
    </row>
    <row r="6740" customFormat="false" ht="15" hidden="false" customHeight="false" outlineLevel="0" collapsed="false">
      <c r="H6740" s="0" t="str">
        <f aca="false">IF(B6740="","",IF(COUNTIF(Campaigns!$A$7:$A$300,B6740)&gt;0,"✓","⚠ add to Campaigns tab"))</f>
        <v/>
      </c>
      <c r="I6740" s="84" t="str">
        <f aca="false">IF(C6740="","",C6740*IF(Settings!$B$22=Settings!$C$6,1,IF(Settings!$B$22="USD",1/INDEX(Settings!$B$29:$B$40,MONTH(A6740)),INDEX(Settings!$B$29:$B$40,MONTH(A6740)))))</f>
        <v/>
      </c>
    </row>
    <row r="6741" customFormat="false" ht="15" hidden="false" customHeight="false" outlineLevel="0" collapsed="false">
      <c r="H6741" s="0" t="str">
        <f aca="false">IF(B6741="","",IF(COUNTIF(Campaigns!$A$7:$A$300,B6741)&gt;0,"✓","⚠ add to Campaigns tab"))</f>
        <v/>
      </c>
      <c r="I6741" s="84" t="str">
        <f aca="false">IF(C6741="","",C6741*IF(Settings!$B$22=Settings!$C$6,1,IF(Settings!$B$22="USD",1/INDEX(Settings!$B$29:$B$40,MONTH(A6741)),INDEX(Settings!$B$29:$B$40,MONTH(A6741)))))</f>
        <v/>
      </c>
    </row>
    <row r="6742" customFormat="false" ht="15" hidden="false" customHeight="false" outlineLevel="0" collapsed="false">
      <c r="H6742" s="0" t="str">
        <f aca="false">IF(B6742="","",IF(COUNTIF(Campaigns!$A$7:$A$300,B6742)&gt;0,"✓","⚠ add to Campaigns tab"))</f>
        <v/>
      </c>
      <c r="I6742" s="84" t="str">
        <f aca="false">IF(C6742="","",C6742*IF(Settings!$B$22=Settings!$C$6,1,IF(Settings!$B$22="USD",1/INDEX(Settings!$B$29:$B$40,MONTH(A6742)),INDEX(Settings!$B$29:$B$40,MONTH(A6742)))))</f>
        <v/>
      </c>
    </row>
    <row r="6743" customFormat="false" ht="15" hidden="false" customHeight="false" outlineLevel="0" collapsed="false">
      <c r="H6743" s="0" t="str">
        <f aca="false">IF(B6743="","",IF(COUNTIF(Campaigns!$A$7:$A$300,B6743)&gt;0,"✓","⚠ add to Campaigns tab"))</f>
        <v/>
      </c>
      <c r="I6743" s="84" t="str">
        <f aca="false">IF(C6743="","",C6743*IF(Settings!$B$22=Settings!$C$6,1,IF(Settings!$B$22="USD",1/INDEX(Settings!$B$29:$B$40,MONTH(A6743)),INDEX(Settings!$B$29:$B$40,MONTH(A6743)))))</f>
        <v/>
      </c>
    </row>
    <row r="6744" customFormat="false" ht="15" hidden="false" customHeight="false" outlineLevel="0" collapsed="false">
      <c r="H6744" s="0" t="str">
        <f aca="false">IF(B6744="","",IF(COUNTIF(Campaigns!$A$7:$A$300,B6744)&gt;0,"✓","⚠ add to Campaigns tab"))</f>
        <v/>
      </c>
      <c r="I6744" s="84" t="str">
        <f aca="false">IF(C6744="","",C6744*IF(Settings!$B$22=Settings!$C$6,1,IF(Settings!$B$22="USD",1/INDEX(Settings!$B$29:$B$40,MONTH(A6744)),INDEX(Settings!$B$29:$B$40,MONTH(A6744)))))</f>
        <v/>
      </c>
    </row>
    <row r="6745" customFormat="false" ht="15" hidden="false" customHeight="false" outlineLevel="0" collapsed="false">
      <c r="H6745" s="0" t="str">
        <f aca="false">IF(B6745="","",IF(COUNTIF(Campaigns!$A$7:$A$300,B6745)&gt;0,"✓","⚠ add to Campaigns tab"))</f>
        <v/>
      </c>
      <c r="I6745" s="84" t="str">
        <f aca="false">IF(C6745="","",C6745*IF(Settings!$B$22=Settings!$C$6,1,IF(Settings!$B$22="USD",1/INDEX(Settings!$B$29:$B$40,MONTH(A6745)),INDEX(Settings!$B$29:$B$40,MONTH(A6745)))))</f>
        <v/>
      </c>
    </row>
    <row r="6746" customFormat="false" ht="15" hidden="false" customHeight="false" outlineLevel="0" collapsed="false">
      <c r="H6746" s="0" t="str">
        <f aca="false">IF(B6746="","",IF(COUNTIF(Campaigns!$A$7:$A$300,B6746)&gt;0,"✓","⚠ add to Campaigns tab"))</f>
        <v/>
      </c>
      <c r="I6746" s="84" t="str">
        <f aca="false">IF(C6746="","",C6746*IF(Settings!$B$22=Settings!$C$6,1,IF(Settings!$B$22="USD",1/INDEX(Settings!$B$29:$B$40,MONTH(A6746)),INDEX(Settings!$B$29:$B$40,MONTH(A6746)))))</f>
        <v/>
      </c>
    </row>
    <row r="6747" customFormat="false" ht="15" hidden="false" customHeight="false" outlineLevel="0" collapsed="false">
      <c r="H6747" s="0" t="str">
        <f aca="false">IF(B6747="","",IF(COUNTIF(Campaigns!$A$7:$A$300,B6747)&gt;0,"✓","⚠ add to Campaigns tab"))</f>
        <v/>
      </c>
      <c r="I6747" s="84" t="str">
        <f aca="false">IF(C6747="","",C6747*IF(Settings!$B$22=Settings!$C$6,1,IF(Settings!$B$22="USD",1/INDEX(Settings!$B$29:$B$40,MONTH(A6747)),INDEX(Settings!$B$29:$B$40,MONTH(A6747)))))</f>
        <v/>
      </c>
    </row>
    <row r="6748" customFormat="false" ht="15" hidden="false" customHeight="false" outlineLevel="0" collapsed="false">
      <c r="H6748" s="0" t="str">
        <f aca="false">IF(B6748="","",IF(COUNTIF(Campaigns!$A$7:$A$300,B6748)&gt;0,"✓","⚠ add to Campaigns tab"))</f>
        <v/>
      </c>
      <c r="I6748" s="84" t="str">
        <f aca="false">IF(C6748="","",C6748*IF(Settings!$B$22=Settings!$C$6,1,IF(Settings!$B$22="USD",1/INDEX(Settings!$B$29:$B$40,MONTH(A6748)),INDEX(Settings!$B$29:$B$40,MONTH(A6748)))))</f>
        <v/>
      </c>
    </row>
    <row r="6749" customFormat="false" ht="15" hidden="false" customHeight="false" outlineLevel="0" collapsed="false">
      <c r="H6749" s="0" t="str">
        <f aca="false">IF(B6749="","",IF(COUNTIF(Campaigns!$A$7:$A$300,B6749)&gt;0,"✓","⚠ add to Campaigns tab"))</f>
        <v/>
      </c>
      <c r="I6749" s="84" t="str">
        <f aca="false">IF(C6749="","",C6749*IF(Settings!$B$22=Settings!$C$6,1,IF(Settings!$B$22="USD",1/INDEX(Settings!$B$29:$B$40,MONTH(A6749)),INDEX(Settings!$B$29:$B$40,MONTH(A6749)))))</f>
        <v/>
      </c>
    </row>
    <row r="6750" customFormat="false" ht="15" hidden="false" customHeight="false" outlineLevel="0" collapsed="false">
      <c r="H6750" s="0" t="str">
        <f aca="false">IF(B6750="","",IF(COUNTIF(Campaigns!$A$7:$A$300,B6750)&gt;0,"✓","⚠ add to Campaigns tab"))</f>
        <v/>
      </c>
      <c r="I6750" s="84" t="str">
        <f aca="false">IF(C6750="","",C6750*IF(Settings!$B$22=Settings!$C$6,1,IF(Settings!$B$22="USD",1/INDEX(Settings!$B$29:$B$40,MONTH(A6750)),INDEX(Settings!$B$29:$B$40,MONTH(A6750)))))</f>
        <v/>
      </c>
    </row>
    <row r="6751" customFormat="false" ht="15" hidden="false" customHeight="false" outlineLevel="0" collapsed="false">
      <c r="H6751" s="0" t="str">
        <f aca="false">IF(B6751="","",IF(COUNTIF(Campaigns!$A$7:$A$300,B6751)&gt;0,"✓","⚠ add to Campaigns tab"))</f>
        <v/>
      </c>
      <c r="I6751" s="84" t="str">
        <f aca="false">IF(C6751="","",C6751*IF(Settings!$B$22=Settings!$C$6,1,IF(Settings!$B$22="USD",1/INDEX(Settings!$B$29:$B$40,MONTH(A6751)),INDEX(Settings!$B$29:$B$40,MONTH(A6751)))))</f>
        <v/>
      </c>
    </row>
    <row r="6752" customFormat="false" ht="15" hidden="false" customHeight="false" outlineLevel="0" collapsed="false">
      <c r="H6752" s="0" t="str">
        <f aca="false">IF(B6752="","",IF(COUNTIF(Campaigns!$A$7:$A$300,B6752)&gt;0,"✓","⚠ add to Campaigns tab"))</f>
        <v/>
      </c>
      <c r="I6752" s="84" t="str">
        <f aca="false">IF(C6752="","",C6752*IF(Settings!$B$22=Settings!$C$6,1,IF(Settings!$B$22="USD",1/INDEX(Settings!$B$29:$B$40,MONTH(A6752)),INDEX(Settings!$B$29:$B$40,MONTH(A6752)))))</f>
        <v/>
      </c>
    </row>
    <row r="6753" customFormat="false" ht="15" hidden="false" customHeight="false" outlineLevel="0" collapsed="false">
      <c r="H6753" s="0" t="str">
        <f aca="false">IF(B6753="","",IF(COUNTIF(Campaigns!$A$7:$A$300,B6753)&gt;0,"✓","⚠ add to Campaigns tab"))</f>
        <v/>
      </c>
      <c r="I6753" s="84" t="str">
        <f aca="false">IF(C6753="","",C6753*IF(Settings!$B$22=Settings!$C$6,1,IF(Settings!$B$22="USD",1/INDEX(Settings!$B$29:$B$40,MONTH(A6753)),INDEX(Settings!$B$29:$B$40,MONTH(A6753)))))</f>
        <v/>
      </c>
    </row>
    <row r="6754" customFormat="false" ht="15" hidden="false" customHeight="false" outlineLevel="0" collapsed="false">
      <c r="H6754" s="0" t="str">
        <f aca="false">IF(B6754="","",IF(COUNTIF(Campaigns!$A$7:$A$300,B6754)&gt;0,"✓","⚠ add to Campaigns tab"))</f>
        <v/>
      </c>
      <c r="I6754" s="84" t="str">
        <f aca="false">IF(C6754="","",C6754*IF(Settings!$B$22=Settings!$C$6,1,IF(Settings!$B$22="USD",1/INDEX(Settings!$B$29:$B$40,MONTH(A6754)),INDEX(Settings!$B$29:$B$40,MONTH(A6754)))))</f>
        <v/>
      </c>
    </row>
    <row r="6755" customFormat="false" ht="15" hidden="false" customHeight="false" outlineLevel="0" collapsed="false">
      <c r="H6755" s="0" t="str">
        <f aca="false">IF(B6755="","",IF(COUNTIF(Campaigns!$A$7:$A$300,B6755)&gt;0,"✓","⚠ add to Campaigns tab"))</f>
        <v/>
      </c>
      <c r="I6755" s="84" t="str">
        <f aca="false">IF(C6755="","",C6755*IF(Settings!$B$22=Settings!$C$6,1,IF(Settings!$B$22="USD",1/INDEX(Settings!$B$29:$B$40,MONTH(A6755)),INDEX(Settings!$B$29:$B$40,MONTH(A6755)))))</f>
        <v/>
      </c>
    </row>
    <row r="6756" customFormat="false" ht="15" hidden="false" customHeight="false" outlineLevel="0" collapsed="false">
      <c r="H6756" s="0" t="str">
        <f aca="false">IF(B6756="","",IF(COUNTIF(Campaigns!$A$7:$A$300,B6756)&gt;0,"✓","⚠ add to Campaigns tab"))</f>
        <v/>
      </c>
      <c r="I6756" s="84" t="str">
        <f aca="false">IF(C6756="","",C6756*IF(Settings!$B$22=Settings!$C$6,1,IF(Settings!$B$22="USD",1/INDEX(Settings!$B$29:$B$40,MONTH(A6756)),INDEX(Settings!$B$29:$B$40,MONTH(A6756)))))</f>
        <v/>
      </c>
    </row>
    <row r="6757" customFormat="false" ht="15" hidden="false" customHeight="false" outlineLevel="0" collapsed="false">
      <c r="H6757" s="0" t="str">
        <f aca="false">IF(B6757="","",IF(COUNTIF(Campaigns!$A$7:$A$300,B6757)&gt;0,"✓","⚠ add to Campaigns tab"))</f>
        <v/>
      </c>
      <c r="I6757" s="84" t="str">
        <f aca="false">IF(C6757="","",C6757*IF(Settings!$B$22=Settings!$C$6,1,IF(Settings!$B$22="USD",1/INDEX(Settings!$B$29:$B$40,MONTH(A6757)),INDEX(Settings!$B$29:$B$40,MONTH(A6757)))))</f>
        <v/>
      </c>
    </row>
    <row r="6758" customFormat="false" ht="15" hidden="false" customHeight="false" outlineLevel="0" collapsed="false">
      <c r="H6758" s="0" t="str">
        <f aca="false">IF(B6758="","",IF(COUNTIF(Campaigns!$A$7:$A$300,B6758)&gt;0,"✓","⚠ add to Campaigns tab"))</f>
        <v/>
      </c>
      <c r="I6758" s="84" t="str">
        <f aca="false">IF(C6758="","",C6758*IF(Settings!$B$22=Settings!$C$6,1,IF(Settings!$B$22="USD",1/INDEX(Settings!$B$29:$B$40,MONTH(A6758)),INDEX(Settings!$B$29:$B$40,MONTH(A6758)))))</f>
        <v/>
      </c>
    </row>
    <row r="6759" customFormat="false" ht="15" hidden="false" customHeight="false" outlineLevel="0" collapsed="false">
      <c r="H6759" s="0" t="str">
        <f aca="false">IF(B6759="","",IF(COUNTIF(Campaigns!$A$7:$A$300,B6759)&gt;0,"✓","⚠ add to Campaigns tab"))</f>
        <v/>
      </c>
      <c r="I6759" s="84" t="str">
        <f aca="false">IF(C6759="","",C6759*IF(Settings!$B$22=Settings!$C$6,1,IF(Settings!$B$22="USD",1/INDEX(Settings!$B$29:$B$40,MONTH(A6759)),INDEX(Settings!$B$29:$B$40,MONTH(A6759)))))</f>
        <v/>
      </c>
    </row>
    <row r="6760" customFormat="false" ht="15" hidden="false" customHeight="false" outlineLevel="0" collapsed="false">
      <c r="H6760" s="0" t="str">
        <f aca="false">IF(B6760="","",IF(COUNTIF(Campaigns!$A$7:$A$300,B6760)&gt;0,"✓","⚠ add to Campaigns tab"))</f>
        <v/>
      </c>
      <c r="I6760" s="84" t="str">
        <f aca="false">IF(C6760="","",C6760*IF(Settings!$B$22=Settings!$C$6,1,IF(Settings!$B$22="USD",1/INDEX(Settings!$B$29:$B$40,MONTH(A6760)),INDEX(Settings!$B$29:$B$40,MONTH(A6760)))))</f>
        <v/>
      </c>
    </row>
    <row r="6761" customFormat="false" ht="15" hidden="false" customHeight="false" outlineLevel="0" collapsed="false">
      <c r="H6761" s="0" t="str">
        <f aca="false">IF(B6761="","",IF(COUNTIF(Campaigns!$A$7:$A$300,B6761)&gt;0,"✓","⚠ add to Campaigns tab"))</f>
        <v/>
      </c>
      <c r="I6761" s="84" t="str">
        <f aca="false">IF(C6761="","",C6761*IF(Settings!$B$22=Settings!$C$6,1,IF(Settings!$B$22="USD",1/INDEX(Settings!$B$29:$B$40,MONTH(A6761)),INDEX(Settings!$B$29:$B$40,MONTH(A6761)))))</f>
        <v/>
      </c>
    </row>
    <row r="6762" customFormat="false" ht="15" hidden="false" customHeight="false" outlineLevel="0" collapsed="false">
      <c r="H6762" s="0" t="str">
        <f aca="false">IF(B6762="","",IF(COUNTIF(Campaigns!$A$7:$A$300,B6762)&gt;0,"✓","⚠ add to Campaigns tab"))</f>
        <v/>
      </c>
      <c r="I6762" s="84" t="str">
        <f aca="false">IF(C6762="","",C6762*IF(Settings!$B$22=Settings!$C$6,1,IF(Settings!$B$22="USD",1/INDEX(Settings!$B$29:$B$40,MONTH(A6762)),INDEX(Settings!$B$29:$B$40,MONTH(A6762)))))</f>
        <v/>
      </c>
    </row>
    <row r="6763" customFormat="false" ht="15" hidden="false" customHeight="false" outlineLevel="0" collapsed="false">
      <c r="H6763" s="0" t="str">
        <f aca="false">IF(B6763="","",IF(COUNTIF(Campaigns!$A$7:$A$300,B6763)&gt;0,"✓","⚠ add to Campaigns tab"))</f>
        <v/>
      </c>
      <c r="I6763" s="84" t="str">
        <f aca="false">IF(C6763="","",C6763*IF(Settings!$B$22=Settings!$C$6,1,IF(Settings!$B$22="USD",1/INDEX(Settings!$B$29:$B$40,MONTH(A6763)),INDEX(Settings!$B$29:$B$40,MONTH(A6763)))))</f>
        <v/>
      </c>
    </row>
    <row r="6764" customFormat="false" ht="15" hidden="false" customHeight="false" outlineLevel="0" collapsed="false">
      <c r="H6764" s="0" t="str">
        <f aca="false">IF(B6764="","",IF(COUNTIF(Campaigns!$A$7:$A$300,B6764)&gt;0,"✓","⚠ add to Campaigns tab"))</f>
        <v/>
      </c>
      <c r="I6764" s="84" t="str">
        <f aca="false">IF(C6764="","",C6764*IF(Settings!$B$22=Settings!$C$6,1,IF(Settings!$B$22="USD",1/INDEX(Settings!$B$29:$B$40,MONTH(A6764)),INDEX(Settings!$B$29:$B$40,MONTH(A6764)))))</f>
        <v/>
      </c>
    </row>
    <row r="6765" customFormat="false" ht="15" hidden="false" customHeight="false" outlineLevel="0" collapsed="false">
      <c r="H6765" s="0" t="str">
        <f aca="false">IF(B6765="","",IF(COUNTIF(Campaigns!$A$7:$A$300,B6765)&gt;0,"✓","⚠ add to Campaigns tab"))</f>
        <v/>
      </c>
      <c r="I6765" s="84" t="str">
        <f aca="false">IF(C6765="","",C6765*IF(Settings!$B$22=Settings!$C$6,1,IF(Settings!$B$22="USD",1/INDEX(Settings!$B$29:$B$40,MONTH(A6765)),INDEX(Settings!$B$29:$B$40,MONTH(A6765)))))</f>
        <v/>
      </c>
    </row>
    <row r="6766" customFormat="false" ht="15" hidden="false" customHeight="false" outlineLevel="0" collapsed="false">
      <c r="H6766" s="0" t="str">
        <f aca="false">IF(B6766="","",IF(COUNTIF(Campaigns!$A$7:$A$300,B6766)&gt;0,"✓","⚠ add to Campaigns tab"))</f>
        <v/>
      </c>
      <c r="I6766" s="84" t="str">
        <f aca="false">IF(C6766="","",C6766*IF(Settings!$B$22=Settings!$C$6,1,IF(Settings!$B$22="USD",1/INDEX(Settings!$B$29:$B$40,MONTH(A6766)),INDEX(Settings!$B$29:$B$40,MONTH(A6766)))))</f>
        <v/>
      </c>
    </row>
    <row r="6767" customFormat="false" ht="15" hidden="false" customHeight="false" outlineLevel="0" collapsed="false">
      <c r="H6767" s="0" t="str">
        <f aca="false">IF(B6767="","",IF(COUNTIF(Campaigns!$A$7:$A$300,B6767)&gt;0,"✓","⚠ add to Campaigns tab"))</f>
        <v/>
      </c>
      <c r="I6767" s="84" t="str">
        <f aca="false">IF(C6767="","",C6767*IF(Settings!$B$22=Settings!$C$6,1,IF(Settings!$B$22="USD",1/INDEX(Settings!$B$29:$B$40,MONTH(A6767)),INDEX(Settings!$B$29:$B$40,MONTH(A6767)))))</f>
        <v/>
      </c>
    </row>
    <row r="6768" customFormat="false" ht="15" hidden="false" customHeight="false" outlineLevel="0" collapsed="false">
      <c r="H6768" s="0" t="str">
        <f aca="false">IF(B6768="","",IF(COUNTIF(Campaigns!$A$7:$A$300,B6768)&gt;0,"✓","⚠ add to Campaigns tab"))</f>
        <v/>
      </c>
      <c r="I6768" s="84" t="str">
        <f aca="false">IF(C6768="","",C6768*IF(Settings!$B$22=Settings!$C$6,1,IF(Settings!$B$22="USD",1/INDEX(Settings!$B$29:$B$40,MONTH(A6768)),INDEX(Settings!$B$29:$B$40,MONTH(A6768)))))</f>
        <v/>
      </c>
    </row>
    <row r="6769" customFormat="false" ht="15" hidden="false" customHeight="false" outlineLevel="0" collapsed="false">
      <c r="H6769" s="0" t="str">
        <f aca="false">IF(B6769="","",IF(COUNTIF(Campaigns!$A$7:$A$300,B6769)&gt;0,"✓","⚠ add to Campaigns tab"))</f>
        <v/>
      </c>
      <c r="I6769" s="84" t="str">
        <f aca="false">IF(C6769="","",C6769*IF(Settings!$B$22=Settings!$C$6,1,IF(Settings!$B$22="USD",1/INDEX(Settings!$B$29:$B$40,MONTH(A6769)),INDEX(Settings!$B$29:$B$40,MONTH(A6769)))))</f>
        <v/>
      </c>
    </row>
    <row r="6770" customFormat="false" ht="15" hidden="false" customHeight="false" outlineLevel="0" collapsed="false">
      <c r="H6770" s="0" t="str">
        <f aca="false">IF(B6770="","",IF(COUNTIF(Campaigns!$A$7:$A$300,B6770)&gt;0,"✓","⚠ add to Campaigns tab"))</f>
        <v/>
      </c>
      <c r="I6770" s="84" t="str">
        <f aca="false">IF(C6770="","",C6770*IF(Settings!$B$22=Settings!$C$6,1,IF(Settings!$B$22="USD",1/INDEX(Settings!$B$29:$B$40,MONTH(A6770)),INDEX(Settings!$B$29:$B$40,MONTH(A6770)))))</f>
        <v/>
      </c>
    </row>
    <row r="6771" customFormat="false" ht="15" hidden="false" customHeight="false" outlineLevel="0" collapsed="false">
      <c r="H6771" s="0" t="str">
        <f aca="false">IF(B6771="","",IF(COUNTIF(Campaigns!$A$7:$A$300,B6771)&gt;0,"✓","⚠ add to Campaigns tab"))</f>
        <v/>
      </c>
      <c r="I6771" s="84" t="str">
        <f aca="false">IF(C6771="","",C6771*IF(Settings!$B$22=Settings!$C$6,1,IF(Settings!$B$22="USD",1/INDEX(Settings!$B$29:$B$40,MONTH(A6771)),INDEX(Settings!$B$29:$B$40,MONTH(A6771)))))</f>
        <v/>
      </c>
    </row>
    <row r="6772" customFormat="false" ht="15" hidden="false" customHeight="false" outlineLevel="0" collapsed="false">
      <c r="H6772" s="0" t="str">
        <f aca="false">IF(B6772="","",IF(COUNTIF(Campaigns!$A$7:$A$300,B6772)&gt;0,"✓","⚠ add to Campaigns tab"))</f>
        <v/>
      </c>
      <c r="I6772" s="84" t="str">
        <f aca="false">IF(C6772="","",C6772*IF(Settings!$B$22=Settings!$C$6,1,IF(Settings!$B$22="USD",1/INDEX(Settings!$B$29:$B$40,MONTH(A6772)),INDEX(Settings!$B$29:$B$40,MONTH(A6772)))))</f>
        <v/>
      </c>
    </row>
    <row r="6773" customFormat="false" ht="15" hidden="false" customHeight="false" outlineLevel="0" collapsed="false">
      <c r="H6773" s="0" t="str">
        <f aca="false">IF(B6773="","",IF(COUNTIF(Campaigns!$A$7:$A$300,B6773)&gt;0,"✓","⚠ add to Campaigns tab"))</f>
        <v/>
      </c>
      <c r="I6773" s="84" t="str">
        <f aca="false">IF(C6773="","",C6773*IF(Settings!$B$22=Settings!$C$6,1,IF(Settings!$B$22="USD",1/INDEX(Settings!$B$29:$B$40,MONTH(A6773)),INDEX(Settings!$B$29:$B$40,MONTH(A6773)))))</f>
        <v/>
      </c>
    </row>
    <row r="6774" customFormat="false" ht="15" hidden="false" customHeight="false" outlineLevel="0" collapsed="false">
      <c r="H6774" s="0" t="str">
        <f aca="false">IF(B6774="","",IF(COUNTIF(Campaigns!$A$7:$A$300,B6774)&gt;0,"✓","⚠ add to Campaigns tab"))</f>
        <v/>
      </c>
      <c r="I6774" s="84" t="str">
        <f aca="false">IF(C6774="","",C6774*IF(Settings!$B$22=Settings!$C$6,1,IF(Settings!$B$22="USD",1/INDEX(Settings!$B$29:$B$40,MONTH(A6774)),INDEX(Settings!$B$29:$B$40,MONTH(A6774)))))</f>
        <v/>
      </c>
    </row>
    <row r="6775" customFormat="false" ht="15" hidden="false" customHeight="false" outlineLevel="0" collapsed="false">
      <c r="H6775" s="0" t="str">
        <f aca="false">IF(B6775="","",IF(COUNTIF(Campaigns!$A$7:$A$300,B6775)&gt;0,"✓","⚠ add to Campaigns tab"))</f>
        <v/>
      </c>
      <c r="I6775" s="84" t="str">
        <f aca="false">IF(C6775="","",C6775*IF(Settings!$B$22=Settings!$C$6,1,IF(Settings!$B$22="USD",1/INDEX(Settings!$B$29:$B$40,MONTH(A6775)),INDEX(Settings!$B$29:$B$40,MONTH(A6775)))))</f>
        <v/>
      </c>
    </row>
    <row r="6776" customFormat="false" ht="15" hidden="false" customHeight="false" outlineLevel="0" collapsed="false">
      <c r="H6776" s="0" t="str">
        <f aca="false">IF(B6776="","",IF(COUNTIF(Campaigns!$A$7:$A$300,B6776)&gt;0,"✓","⚠ add to Campaigns tab"))</f>
        <v/>
      </c>
      <c r="I6776" s="84" t="str">
        <f aca="false">IF(C6776="","",C6776*IF(Settings!$B$22=Settings!$C$6,1,IF(Settings!$B$22="USD",1/INDEX(Settings!$B$29:$B$40,MONTH(A6776)),INDEX(Settings!$B$29:$B$40,MONTH(A6776)))))</f>
        <v/>
      </c>
    </row>
    <row r="6777" customFormat="false" ht="15" hidden="false" customHeight="false" outlineLevel="0" collapsed="false">
      <c r="H6777" s="0" t="str">
        <f aca="false">IF(B6777="","",IF(COUNTIF(Campaigns!$A$7:$A$300,B6777)&gt;0,"✓","⚠ add to Campaigns tab"))</f>
        <v/>
      </c>
      <c r="I6777" s="84" t="str">
        <f aca="false">IF(C6777="","",C6777*IF(Settings!$B$22=Settings!$C$6,1,IF(Settings!$B$22="USD",1/INDEX(Settings!$B$29:$B$40,MONTH(A6777)),INDEX(Settings!$B$29:$B$40,MONTH(A6777)))))</f>
        <v/>
      </c>
    </row>
    <row r="6778" customFormat="false" ht="15" hidden="false" customHeight="false" outlineLevel="0" collapsed="false">
      <c r="H6778" s="0" t="str">
        <f aca="false">IF(B6778="","",IF(COUNTIF(Campaigns!$A$7:$A$300,B6778)&gt;0,"✓","⚠ add to Campaigns tab"))</f>
        <v/>
      </c>
      <c r="I6778" s="84" t="str">
        <f aca="false">IF(C6778="","",C6778*IF(Settings!$B$22=Settings!$C$6,1,IF(Settings!$B$22="USD",1/INDEX(Settings!$B$29:$B$40,MONTH(A6778)),INDEX(Settings!$B$29:$B$40,MONTH(A6778)))))</f>
        <v/>
      </c>
    </row>
    <row r="6779" customFormat="false" ht="15" hidden="false" customHeight="false" outlineLevel="0" collapsed="false">
      <c r="H6779" s="0" t="str">
        <f aca="false">IF(B6779="","",IF(COUNTIF(Campaigns!$A$7:$A$300,B6779)&gt;0,"✓","⚠ add to Campaigns tab"))</f>
        <v/>
      </c>
      <c r="I6779" s="84" t="str">
        <f aca="false">IF(C6779="","",C6779*IF(Settings!$B$22=Settings!$C$6,1,IF(Settings!$B$22="USD",1/INDEX(Settings!$B$29:$B$40,MONTH(A6779)),INDEX(Settings!$B$29:$B$40,MONTH(A6779)))))</f>
        <v/>
      </c>
    </row>
    <row r="6780" customFormat="false" ht="15" hidden="false" customHeight="false" outlineLevel="0" collapsed="false">
      <c r="H6780" s="0" t="str">
        <f aca="false">IF(B6780="","",IF(COUNTIF(Campaigns!$A$7:$A$300,B6780)&gt;0,"✓","⚠ add to Campaigns tab"))</f>
        <v/>
      </c>
      <c r="I6780" s="84" t="str">
        <f aca="false">IF(C6780="","",C6780*IF(Settings!$B$22=Settings!$C$6,1,IF(Settings!$B$22="USD",1/INDEX(Settings!$B$29:$B$40,MONTH(A6780)),INDEX(Settings!$B$29:$B$40,MONTH(A6780)))))</f>
        <v/>
      </c>
    </row>
    <row r="6781" customFormat="false" ht="15" hidden="false" customHeight="false" outlineLevel="0" collapsed="false">
      <c r="H6781" s="0" t="str">
        <f aca="false">IF(B6781="","",IF(COUNTIF(Campaigns!$A$7:$A$300,B6781)&gt;0,"✓","⚠ add to Campaigns tab"))</f>
        <v/>
      </c>
      <c r="I6781" s="84" t="str">
        <f aca="false">IF(C6781="","",C6781*IF(Settings!$B$22=Settings!$C$6,1,IF(Settings!$B$22="USD",1/INDEX(Settings!$B$29:$B$40,MONTH(A6781)),INDEX(Settings!$B$29:$B$40,MONTH(A6781)))))</f>
        <v/>
      </c>
    </row>
    <row r="6782" customFormat="false" ht="15" hidden="false" customHeight="false" outlineLevel="0" collapsed="false">
      <c r="H6782" s="0" t="str">
        <f aca="false">IF(B6782="","",IF(COUNTIF(Campaigns!$A$7:$A$300,B6782)&gt;0,"✓","⚠ add to Campaigns tab"))</f>
        <v/>
      </c>
      <c r="I6782" s="84" t="str">
        <f aca="false">IF(C6782="","",C6782*IF(Settings!$B$22=Settings!$C$6,1,IF(Settings!$B$22="USD",1/INDEX(Settings!$B$29:$B$40,MONTH(A6782)),INDEX(Settings!$B$29:$B$40,MONTH(A6782)))))</f>
        <v/>
      </c>
    </row>
    <row r="6783" customFormat="false" ht="15" hidden="false" customHeight="false" outlineLevel="0" collapsed="false">
      <c r="H6783" s="0" t="str">
        <f aca="false">IF(B6783="","",IF(COUNTIF(Campaigns!$A$7:$A$300,B6783)&gt;0,"✓","⚠ add to Campaigns tab"))</f>
        <v/>
      </c>
      <c r="I6783" s="84" t="str">
        <f aca="false">IF(C6783="","",C6783*IF(Settings!$B$22=Settings!$C$6,1,IF(Settings!$B$22="USD",1/INDEX(Settings!$B$29:$B$40,MONTH(A6783)),INDEX(Settings!$B$29:$B$40,MONTH(A6783)))))</f>
        <v/>
      </c>
    </row>
    <row r="6784" customFormat="false" ht="15" hidden="false" customHeight="false" outlineLevel="0" collapsed="false">
      <c r="H6784" s="0" t="str">
        <f aca="false">IF(B6784="","",IF(COUNTIF(Campaigns!$A$7:$A$300,B6784)&gt;0,"✓","⚠ add to Campaigns tab"))</f>
        <v/>
      </c>
      <c r="I6784" s="84" t="str">
        <f aca="false">IF(C6784="","",C6784*IF(Settings!$B$22=Settings!$C$6,1,IF(Settings!$B$22="USD",1/INDEX(Settings!$B$29:$B$40,MONTH(A6784)),INDEX(Settings!$B$29:$B$40,MONTH(A6784)))))</f>
        <v/>
      </c>
    </row>
    <row r="6785" customFormat="false" ht="15" hidden="false" customHeight="false" outlineLevel="0" collapsed="false">
      <c r="H6785" s="0" t="str">
        <f aca="false">IF(B6785="","",IF(COUNTIF(Campaigns!$A$7:$A$300,B6785)&gt;0,"✓","⚠ add to Campaigns tab"))</f>
        <v/>
      </c>
      <c r="I6785" s="84" t="str">
        <f aca="false">IF(C6785="","",C6785*IF(Settings!$B$22=Settings!$C$6,1,IF(Settings!$B$22="USD",1/INDEX(Settings!$B$29:$B$40,MONTH(A6785)),INDEX(Settings!$B$29:$B$40,MONTH(A6785)))))</f>
        <v/>
      </c>
    </row>
    <row r="6786" customFormat="false" ht="15" hidden="false" customHeight="false" outlineLevel="0" collapsed="false">
      <c r="H6786" s="0" t="str">
        <f aca="false">IF(B6786="","",IF(COUNTIF(Campaigns!$A$7:$A$300,B6786)&gt;0,"✓","⚠ add to Campaigns tab"))</f>
        <v/>
      </c>
      <c r="I6786" s="84" t="str">
        <f aca="false">IF(C6786="","",C6786*IF(Settings!$B$22=Settings!$C$6,1,IF(Settings!$B$22="USD",1/INDEX(Settings!$B$29:$B$40,MONTH(A6786)),INDEX(Settings!$B$29:$B$40,MONTH(A6786)))))</f>
        <v/>
      </c>
    </row>
    <row r="6787" customFormat="false" ht="15" hidden="false" customHeight="false" outlineLevel="0" collapsed="false">
      <c r="H6787" s="0" t="str">
        <f aca="false">IF(B6787="","",IF(COUNTIF(Campaigns!$A$7:$A$300,B6787)&gt;0,"✓","⚠ add to Campaigns tab"))</f>
        <v/>
      </c>
      <c r="I6787" s="84" t="str">
        <f aca="false">IF(C6787="","",C6787*IF(Settings!$B$22=Settings!$C$6,1,IF(Settings!$B$22="USD",1/INDEX(Settings!$B$29:$B$40,MONTH(A6787)),INDEX(Settings!$B$29:$B$40,MONTH(A6787)))))</f>
        <v/>
      </c>
    </row>
    <row r="6788" customFormat="false" ht="15" hidden="false" customHeight="false" outlineLevel="0" collapsed="false">
      <c r="H6788" s="0" t="str">
        <f aca="false">IF(B6788="","",IF(COUNTIF(Campaigns!$A$7:$A$300,B6788)&gt;0,"✓","⚠ add to Campaigns tab"))</f>
        <v/>
      </c>
      <c r="I6788" s="84" t="str">
        <f aca="false">IF(C6788="","",C6788*IF(Settings!$B$22=Settings!$C$6,1,IF(Settings!$B$22="USD",1/INDEX(Settings!$B$29:$B$40,MONTH(A6788)),INDEX(Settings!$B$29:$B$40,MONTH(A6788)))))</f>
        <v/>
      </c>
    </row>
    <row r="6789" customFormat="false" ht="15" hidden="false" customHeight="false" outlineLevel="0" collapsed="false">
      <c r="H6789" s="0" t="str">
        <f aca="false">IF(B6789="","",IF(COUNTIF(Campaigns!$A$7:$A$300,B6789)&gt;0,"✓","⚠ add to Campaigns tab"))</f>
        <v/>
      </c>
      <c r="I6789" s="84" t="str">
        <f aca="false">IF(C6789="","",C6789*IF(Settings!$B$22=Settings!$C$6,1,IF(Settings!$B$22="USD",1/INDEX(Settings!$B$29:$B$40,MONTH(A6789)),INDEX(Settings!$B$29:$B$40,MONTH(A6789)))))</f>
        <v/>
      </c>
    </row>
    <row r="6790" customFormat="false" ht="15" hidden="false" customHeight="false" outlineLevel="0" collapsed="false">
      <c r="H6790" s="0" t="str">
        <f aca="false">IF(B6790="","",IF(COUNTIF(Campaigns!$A$7:$A$300,B6790)&gt;0,"✓","⚠ add to Campaigns tab"))</f>
        <v/>
      </c>
      <c r="I6790" s="84" t="str">
        <f aca="false">IF(C6790="","",C6790*IF(Settings!$B$22=Settings!$C$6,1,IF(Settings!$B$22="USD",1/INDEX(Settings!$B$29:$B$40,MONTH(A6790)),INDEX(Settings!$B$29:$B$40,MONTH(A6790)))))</f>
        <v/>
      </c>
    </row>
    <row r="6791" customFormat="false" ht="15" hidden="false" customHeight="false" outlineLevel="0" collapsed="false">
      <c r="H6791" s="0" t="str">
        <f aca="false">IF(B6791="","",IF(COUNTIF(Campaigns!$A$7:$A$300,B6791)&gt;0,"✓","⚠ add to Campaigns tab"))</f>
        <v/>
      </c>
      <c r="I6791" s="84" t="str">
        <f aca="false">IF(C6791="","",C6791*IF(Settings!$B$22=Settings!$C$6,1,IF(Settings!$B$22="USD",1/INDEX(Settings!$B$29:$B$40,MONTH(A6791)),INDEX(Settings!$B$29:$B$40,MONTH(A6791)))))</f>
        <v/>
      </c>
    </row>
    <row r="6792" customFormat="false" ht="15" hidden="false" customHeight="false" outlineLevel="0" collapsed="false">
      <c r="H6792" s="0" t="str">
        <f aca="false">IF(B6792="","",IF(COUNTIF(Campaigns!$A$7:$A$300,B6792)&gt;0,"✓","⚠ add to Campaigns tab"))</f>
        <v/>
      </c>
      <c r="I6792" s="84" t="str">
        <f aca="false">IF(C6792="","",C6792*IF(Settings!$B$22=Settings!$C$6,1,IF(Settings!$B$22="USD",1/INDEX(Settings!$B$29:$B$40,MONTH(A6792)),INDEX(Settings!$B$29:$B$40,MONTH(A6792)))))</f>
        <v/>
      </c>
    </row>
    <row r="6793" customFormat="false" ht="15" hidden="false" customHeight="false" outlineLevel="0" collapsed="false">
      <c r="H6793" s="0" t="str">
        <f aca="false">IF(B6793="","",IF(COUNTIF(Campaigns!$A$7:$A$300,B6793)&gt;0,"✓","⚠ add to Campaigns tab"))</f>
        <v/>
      </c>
      <c r="I6793" s="84" t="str">
        <f aca="false">IF(C6793="","",C6793*IF(Settings!$B$22=Settings!$C$6,1,IF(Settings!$B$22="USD",1/INDEX(Settings!$B$29:$B$40,MONTH(A6793)),INDEX(Settings!$B$29:$B$40,MONTH(A6793)))))</f>
        <v/>
      </c>
    </row>
    <row r="6794" customFormat="false" ht="15" hidden="false" customHeight="false" outlineLevel="0" collapsed="false">
      <c r="H6794" s="0" t="str">
        <f aca="false">IF(B6794="","",IF(COUNTIF(Campaigns!$A$7:$A$300,B6794)&gt;0,"✓","⚠ add to Campaigns tab"))</f>
        <v/>
      </c>
      <c r="I6794" s="84" t="str">
        <f aca="false">IF(C6794="","",C6794*IF(Settings!$B$22=Settings!$C$6,1,IF(Settings!$B$22="USD",1/INDEX(Settings!$B$29:$B$40,MONTH(A6794)),INDEX(Settings!$B$29:$B$40,MONTH(A6794)))))</f>
        <v/>
      </c>
    </row>
    <row r="6795" customFormat="false" ht="15" hidden="false" customHeight="false" outlineLevel="0" collapsed="false">
      <c r="H6795" s="0" t="str">
        <f aca="false">IF(B6795="","",IF(COUNTIF(Campaigns!$A$7:$A$300,B6795)&gt;0,"✓","⚠ add to Campaigns tab"))</f>
        <v/>
      </c>
      <c r="I6795" s="84" t="str">
        <f aca="false">IF(C6795="","",C6795*IF(Settings!$B$22=Settings!$C$6,1,IF(Settings!$B$22="USD",1/INDEX(Settings!$B$29:$B$40,MONTH(A6795)),INDEX(Settings!$B$29:$B$40,MONTH(A6795)))))</f>
        <v/>
      </c>
    </row>
    <row r="6796" customFormat="false" ht="15" hidden="false" customHeight="false" outlineLevel="0" collapsed="false">
      <c r="H6796" s="0" t="str">
        <f aca="false">IF(B6796="","",IF(COUNTIF(Campaigns!$A$7:$A$300,B6796)&gt;0,"✓","⚠ add to Campaigns tab"))</f>
        <v/>
      </c>
      <c r="I6796" s="84" t="str">
        <f aca="false">IF(C6796="","",C6796*IF(Settings!$B$22=Settings!$C$6,1,IF(Settings!$B$22="USD",1/INDEX(Settings!$B$29:$B$40,MONTH(A6796)),INDEX(Settings!$B$29:$B$40,MONTH(A6796)))))</f>
        <v/>
      </c>
    </row>
    <row r="6797" customFormat="false" ht="15" hidden="false" customHeight="false" outlineLevel="0" collapsed="false">
      <c r="H6797" s="0" t="str">
        <f aca="false">IF(B6797="","",IF(COUNTIF(Campaigns!$A$7:$A$300,B6797)&gt;0,"✓","⚠ add to Campaigns tab"))</f>
        <v/>
      </c>
      <c r="I6797" s="84" t="str">
        <f aca="false">IF(C6797="","",C6797*IF(Settings!$B$22=Settings!$C$6,1,IF(Settings!$B$22="USD",1/INDEX(Settings!$B$29:$B$40,MONTH(A6797)),INDEX(Settings!$B$29:$B$40,MONTH(A6797)))))</f>
        <v/>
      </c>
    </row>
    <row r="6798" customFormat="false" ht="15" hidden="false" customHeight="false" outlineLevel="0" collapsed="false">
      <c r="H6798" s="0" t="str">
        <f aca="false">IF(B6798="","",IF(COUNTIF(Campaigns!$A$7:$A$300,B6798)&gt;0,"✓","⚠ add to Campaigns tab"))</f>
        <v/>
      </c>
      <c r="I6798" s="84" t="str">
        <f aca="false">IF(C6798="","",C6798*IF(Settings!$B$22=Settings!$C$6,1,IF(Settings!$B$22="USD",1/INDEX(Settings!$B$29:$B$40,MONTH(A6798)),INDEX(Settings!$B$29:$B$40,MONTH(A6798)))))</f>
        <v/>
      </c>
    </row>
    <row r="6799" customFormat="false" ht="15" hidden="false" customHeight="false" outlineLevel="0" collapsed="false">
      <c r="H6799" s="0" t="str">
        <f aca="false">IF(B6799="","",IF(COUNTIF(Campaigns!$A$7:$A$300,B6799)&gt;0,"✓","⚠ add to Campaigns tab"))</f>
        <v/>
      </c>
      <c r="I6799" s="84" t="str">
        <f aca="false">IF(C6799="","",C6799*IF(Settings!$B$22=Settings!$C$6,1,IF(Settings!$B$22="USD",1/INDEX(Settings!$B$29:$B$40,MONTH(A6799)),INDEX(Settings!$B$29:$B$40,MONTH(A6799)))))</f>
        <v/>
      </c>
    </row>
    <row r="6800" customFormat="false" ht="15" hidden="false" customHeight="false" outlineLevel="0" collapsed="false">
      <c r="H6800" s="0" t="str">
        <f aca="false">IF(B6800="","",IF(COUNTIF(Campaigns!$A$7:$A$300,B6800)&gt;0,"✓","⚠ add to Campaigns tab"))</f>
        <v/>
      </c>
      <c r="I6800" s="84" t="str">
        <f aca="false">IF(C6800="","",C6800*IF(Settings!$B$22=Settings!$C$6,1,IF(Settings!$B$22="USD",1/INDEX(Settings!$B$29:$B$40,MONTH(A6800)),INDEX(Settings!$B$29:$B$40,MONTH(A6800)))))</f>
        <v/>
      </c>
    </row>
    <row r="6801" customFormat="false" ht="15" hidden="false" customHeight="false" outlineLevel="0" collapsed="false">
      <c r="H6801" s="0" t="str">
        <f aca="false">IF(B6801="","",IF(COUNTIF(Campaigns!$A$7:$A$300,B6801)&gt;0,"✓","⚠ add to Campaigns tab"))</f>
        <v/>
      </c>
      <c r="I6801" s="84" t="str">
        <f aca="false">IF(C6801="","",C6801*IF(Settings!$B$22=Settings!$C$6,1,IF(Settings!$B$22="USD",1/INDEX(Settings!$B$29:$B$40,MONTH(A6801)),INDEX(Settings!$B$29:$B$40,MONTH(A6801)))))</f>
        <v/>
      </c>
    </row>
    <row r="6802" customFormat="false" ht="15" hidden="false" customHeight="false" outlineLevel="0" collapsed="false">
      <c r="H6802" s="0" t="str">
        <f aca="false">IF(B6802="","",IF(COUNTIF(Campaigns!$A$7:$A$300,B6802)&gt;0,"✓","⚠ add to Campaigns tab"))</f>
        <v/>
      </c>
      <c r="I6802" s="84" t="str">
        <f aca="false">IF(C6802="","",C6802*IF(Settings!$B$22=Settings!$C$6,1,IF(Settings!$B$22="USD",1/INDEX(Settings!$B$29:$B$40,MONTH(A6802)),INDEX(Settings!$B$29:$B$40,MONTH(A6802)))))</f>
        <v/>
      </c>
    </row>
    <row r="6803" customFormat="false" ht="15" hidden="false" customHeight="false" outlineLevel="0" collapsed="false">
      <c r="H6803" s="0" t="str">
        <f aca="false">IF(B6803="","",IF(COUNTIF(Campaigns!$A$7:$A$300,B6803)&gt;0,"✓","⚠ add to Campaigns tab"))</f>
        <v/>
      </c>
      <c r="I6803" s="84" t="str">
        <f aca="false">IF(C6803="","",C6803*IF(Settings!$B$22=Settings!$C$6,1,IF(Settings!$B$22="USD",1/INDEX(Settings!$B$29:$B$40,MONTH(A6803)),INDEX(Settings!$B$29:$B$40,MONTH(A6803)))))</f>
        <v/>
      </c>
    </row>
    <row r="6804" customFormat="false" ht="15" hidden="false" customHeight="false" outlineLevel="0" collapsed="false">
      <c r="H6804" s="0" t="str">
        <f aca="false">IF(B6804="","",IF(COUNTIF(Campaigns!$A$7:$A$300,B6804)&gt;0,"✓","⚠ add to Campaigns tab"))</f>
        <v/>
      </c>
      <c r="I6804" s="84" t="str">
        <f aca="false">IF(C6804="","",C6804*IF(Settings!$B$22=Settings!$C$6,1,IF(Settings!$B$22="USD",1/INDEX(Settings!$B$29:$B$40,MONTH(A6804)),INDEX(Settings!$B$29:$B$40,MONTH(A6804)))))</f>
        <v/>
      </c>
    </row>
    <row r="6805" customFormat="false" ht="15" hidden="false" customHeight="false" outlineLevel="0" collapsed="false">
      <c r="H6805" s="0" t="str">
        <f aca="false">IF(B6805="","",IF(COUNTIF(Campaigns!$A$7:$A$300,B6805)&gt;0,"✓","⚠ add to Campaigns tab"))</f>
        <v/>
      </c>
      <c r="I6805" s="84" t="str">
        <f aca="false">IF(C6805="","",C6805*IF(Settings!$B$22=Settings!$C$6,1,IF(Settings!$B$22="USD",1/INDEX(Settings!$B$29:$B$40,MONTH(A6805)),INDEX(Settings!$B$29:$B$40,MONTH(A6805)))))</f>
        <v/>
      </c>
    </row>
    <row r="6806" customFormat="false" ht="15" hidden="false" customHeight="false" outlineLevel="0" collapsed="false">
      <c r="H6806" s="0" t="str">
        <f aca="false">IF(B6806="","",IF(COUNTIF(Campaigns!$A$7:$A$300,B6806)&gt;0,"✓","⚠ add to Campaigns tab"))</f>
        <v/>
      </c>
      <c r="I6806" s="84" t="str">
        <f aca="false">IF(C6806="","",C6806*IF(Settings!$B$22=Settings!$C$6,1,IF(Settings!$B$22="USD",1/INDEX(Settings!$B$29:$B$40,MONTH(A6806)),INDEX(Settings!$B$29:$B$40,MONTH(A6806)))))</f>
        <v/>
      </c>
    </row>
    <row r="6807" customFormat="false" ht="15" hidden="false" customHeight="false" outlineLevel="0" collapsed="false">
      <c r="H6807" s="0" t="str">
        <f aca="false">IF(B6807="","",IF(COUNTIF(Campaigns!$A$7:$A$300,B6807)&gt;0,"✓","⚠ add to Campaigns tab"))</f>
        <v/>
      </c>
      <c r="I6807" s="84" t="str">
        <f aca="false">IF(C6807="","",C6807*IF(Settings!$B$22=Settings!$C$6,1,IF(Settings!$B$22="USD",1/INDEX(Settings!$B$29:$B$40,MONTH(A6807)),INDEX(Settings!$B$29:$B$40,MONTH(A6807)))))</f>
        <v/>
      </c>
    </row>
    <row r="6808" customFormat="false" ht="15" hidden="false" customHeight="false" outlineLevel="0" collapsed="false">
      <c r="H6808" s="0" t="str">
        <f aca="false">IF(B6808="","",IF(COUNTIF(Campaigns!$A$7:$A$300,B6808)&gt;0,"✓","⚠ add to Campaigns tab"))</f>
        <v/>
      </c>
      <c r="I6808" s="84" t="str">
        <f aca="false">IF(C6808="","",C6808*IF(Settings!$B$22=Settings!$C$6,1,IF(Settings!$B$22="USD",1/INDEX(Settings!$B$29:$B$40,MONTH(A6808)),INDEX(Settings!$B$29:$B$40,MONTH(A6808)))))</f>
        <v/>
      </c>
    </row>
    <row r="6809" customFormat="false" ht="15" hidden="false" customHeight="false" outlineLevel="0" collapsed="false">
      <c r="H6809" s="0" t="str">
        <f aca="false">IF(B6809="","",IF(COUNTIF(Campaigns!$A$7:$A$300,B6809)&gt;0,"✓","⚠ add to Campaigns tab"))</f>
        <v/>
      </c>
      <c r="I6809" s="84" t="str">
        <f aca="false">IF(C6809="","",C6809*IF(Settings!$B$22=Settings!$C$6,1,IF(Settings!$B$22="USD",1/INDEX(Settings!$B$29:$B$40,MONTH(A6809)),INDEX(Settings!$B$29:$B$40,MONTH(A6809)))))</f>
        <v/>
      </c>
    </row>
    <row r="6810" customFormat="false" ht="15" hidden="false" customHeight="false" outlineLevel="0" collapsed="false">
      <c r="H6810" s="0" t="str">
        <f aca="false">IF(B6810="","",IF(COUNTIF(Campaigns!$A$7:$A$300,B6810)&gt;0,"✓","⚠ add to Campaigns tab"))</f>
        <v/>
      </c>
      <c r="I6810" s="84" t="str">
        <f aca="false">IF(C6810="","",C6810*IF(Settings!$B$22=Settings!$C$6,1,IF(Settings!$B$22="USD",1/INDEX(Settings!$B$29:$B$40,MONTH(A6810)),INDEX(Settings!$B$29:$B$40,MONTH(A6810)))))</f>
        <v/>
      </c>
    </row>
    <row r="6811" customFormat="false" ht="15" hidden="false" customHeight="false" outlineLevel="0" collapsed="false">
      <c r="H6811" s="0" t="str">
        <f aca="false">IF(B6811="","",IF(COUNTIF(Campaigns!$A$7:$A$300,B6811)&gt;0,"✓","⚠ add to Campaigns tab"))</f>
        <v/>
      </c>
      <c r="I6811" s="84" t="str">
        <f aca="false">IF(C6811="","",C6811*IF(Settings!$B$22=Settings!$C$6,1,IF(Settings!$B$22="USD",1/INDEX(Settings!$B$29:$B$40,MONTH(A6811)),INDEX(Settings!$B$29:$B$40,MONTH(A6811)))))</f>
        <v/>
      </c>
    </row>
    <row r="6812" customFormat="false" ht="15" hidden="false" customHeight="false" outlineLevel="0" collapsed="false">
      <c r="H6812" s="0" t="str">
        <f aca="false">IF(B6812="","",IF(COUNTIF(Campaigns!$A$7:$A$300,B6812)&gt;0,"✓","⚠ add to Campaigns tab"))</f>
        <v/>
      </c>
      <c r="I6812" s="84" t="str">
        <f aca="false">IF(C6812="","",C6812*IF(Settings!$B$22=Settings!$C$6,1,IF(Settings!$B$22="USD",1/INDEX(Settings!$B$29:$B$40,MONTH(A6812)),INDEX(Settings!$B$29:$B$40,MONTH(A6812)))))</f>
        <v/>
      </c>
    </row>
    <row r="6813" customFormat="false" ht="15" hidden="false" customHeight="false" outlineLevel="0" collapsed="false">
      <c r="H6813" s="0" t="str">
        <f aca="false">IF(B6813="","",IF(COUNTIF(Campaigns!$A$7:$A$300,B6813)&gt;0,"✓","⚠ add to Campaigns tab"))</f>
        <v/>
      </c>
      <c r="I6813" s="84" t="str">
        <f aca="false">IF(C6813="","",C6813*IF(Settings!$B$22=Settings!$C$6,1,IF(Settings!$B$22="USD",1/INDEX(Settings!$B$29:$B$40,MONTH(A6813)),INDEX(Settings!$B$29:$B$40,MONTH(A6813)))))</f>
        <v/>
      </c>
    </row>
    <row r="6814" customFormat="false" ht="15" hidden="false" customHeight="false" outlineLevel="0" collapsed="false">
      <c r="H6814" s="0" t="str">
        <f aca="false">IF(B6814="","",IF(COUNTIF(Campaigns!$A$7:$A$300,B6814)&gt;0,"✓","⚠ add to Campaigns tab"))</f>
        <v/>
      </c>
      <c r="I6814" s="84" t="str">
        <f aca="false">IF(C6814="","",C6814*IF(Settings!$B$22=Settings!$C$6,1,IF(Settings!$B$22="USD",1/INDEX(Settings!$B$29:$B$40,MONTH(A6814)),INDEX(Settings!$B$29:$B$40,MONTH(A6814)))))</f>
        <v/>
      </c>
    </row>
    <row r="6815" customFormat="false" ht="15" hidden="false" customHeight="false" outlineLevel="0" collapsed="false">
      <c r="H6815" s="0" t="str">
        <f aca="false">IF(B6815="","",IF(COUNTIF(Campaigns!$A$7:$A$300,B6815)&gt;0,"✓","⚠ add to Campaigns tab"))</f>
        <v/>
      </c>
      <c r="I6815" s="84" t="str">
        <f aca="false">IF(C6815="","",C6815*IF(Settings!$B$22=Settings!$C$6,1,IF(Settings!$B$22="USD",1/INDEX(Settings!$B$29:$B$40,MONTH(A6815)),INDEX(Settings!$B$29:$B$40,MONTH(A6815)))))</f>
        <v/>
      </c>
    </row>
    <row r="6816" customFormat="false" ht="15" hidden="false" customHeight="false" outlineLevel="0" collapsed="false">
      <c r="H6816" s="0" t="str">
        <f aca="false">IF(B6816="","",IF(COUNTIF(Campaigns!$A$7:$A$300,B6816)&gt;0,"✓","⚠ add to Campaigns tab"))</f>
        <v/>
      </c>
      <c r="I6816" s="84" t="str">
        <f aca="false">IF(C6816="","",C6816*IF(Settings!$B$22=Settings!$C$6,1,IF(Settings!$B$22="USD",1/INDEX(Settings!$B$29:$B$40,MONTH(A6816)),INDEX(Settings!$B$29:$B$40,MONTH(A6816)))))</f>
        <v/>
      </c>
    </row>
    <row r="6817" customFormat="false" ht="15" hidden="false" customHeight="false" outlineLevel="0" collapsed="false">
      <c r="H6817" s="0" t="str">
        <f aca="false">IF(B6817="","",IF(COUNTIF(Campaigns!$A$7:$A$300,B6817)&gt;0,"✓","⚠ add to Campaigns tab"))</f>
        <v/>
      </c>
      <c r="I6817" s="84" t="str">
        <f aca="false">IF(C6817="","",C6817*IF(Settings!$B$22=Settings!$C$6,1,IF(Settings!$B$22="USD",1/INDEX(Settings!$B$29:$B$40,MONTH(A6817)),INDEX(Settings!$B$29:$B$40,MONTH(A6817)))))</f>
        <v/>
      </c>
    </row>
    <row r="6818" customFormat="false" ht="15" hidden="false" customHeight="false" outlineLevel="0" collapsed="false">
      <c r="H6818" s="0" t="str">
        <f aca="false">IF(B6818="","",IF(COUNTIF(Campaigns!$A$7:$A$300,B6818)&gt;0,"✓","⚠ add to Campaigns tab"))</f>
        <v/>
      </c>
      <c r="I6818" s="84" t="str">
        <f aca="false">IF(C6818="","",C6818*IF(Settings!$B$22=Settings!$C$6,1,IF(Settings!$B$22="USD",1/INDEX(Settings!$B$29:$B$40,MONTH(A6818)),INDEX(Settings!$B$29:$B$40,MONTH(A6818)))))</f>
        <v/>
      </c>
    </row>
    <row r="6819" customFormat="false" ht="15" hidden="false" customHeight="false" outlineLevel="0" collapsed="false">
      <c r="H6819" s="0" t="str">
        <f aca="false">IF(B6819="","",IF(COUNTIF(Campaigns!$A$7:$A$300,B6819)&gt;0,"✓","⚠ add to Campaigns tab"))</f>
        <v/>
      </c>
      <c r="I6819" s="84" t="str">
        <f aca="false">IF(C6819="","",C6819*IF(Settings!$B$22=Settings!$C$6,1,IF(Settings!$B$22="USD",1/INDEX(Settings!$B$29:$B$40,MONTH(A6819)),INDEX(Settings!$B$29:$B$40,MONTH(A6819)))))</f>
        <v/>
      </c>
    </row>
    <row r="6820" customFormat="false" ht="15" hidden="false" customHeight="false" outlineLevel="0" collapsed="false">
      <c r="H6820" s="0" t="str">
        <f aca="false">IF(B6820="","",IF(COUNTIF(Campaigns!$A$7:$A$300,B6820)&gt;0,"✓","⚠ add to Campaigns tab"))</f>
        <v/>
      </c>
      <c r="I6820" s="84" t="str">
        <f aca="false">IF(C6820="","",C6820*IF(Settings!$B$22=Settings!$C$6,1,IF(Settings!$B$22="USD",1/INDEX(Settings!$B$29:$B$40,MONTH(A6820)),INDEX(Settings!$B$29:$B$40,MONTH(A6820)))))</f>
        <v/>
      </c>
    </row>
    <row r="6821" customFormat="false" ht="15" hidden="false" customHeight="false" outlineLevel="0" collapsed="false">
      <c r="H6821" s="0" t="str">
        <f aca="false">IF(B6821="","",IF(COUNTIF(Campaigns!$A$7:$A$300,B6821)&gt;0,"✓","⚠ add to Campaigns tab"))</f>
        <v/>
      </c>
      <c r="I6821" s="84" t="str">
        <f aca="false">IF(C6821="","",C6821*IF(Settings!$B$22=Settings!$C$6,1,IF(Settings!$B$22="USD",1/INDEX(Settings!$B$29:$B$40,MONTH(A6821)),INDEX(Settings!$B$29:$B$40,MONTH(A6821)))))</f>
        <v/>
      </c>
    </row>
    <row r="6822" customFormat="false" ht="15" hidden="false" customHeight="false" outlineLevel="0" collapsed="false">
      <c r="H6822" s="0" t="str">
        <f aca="false">IF(B6822="","",IF(COUNTIF(Campaigns!$A$7:$A$300,B6822)&gt;0,"✓","⚠ add to Campaigns tab"))</f>
        <v/>
      </c>
      <c r="I6822" s="84" t="str">
        <f aca="false">IF(C6822="","",C6822*IF(Settings!$B$22=Settings!$C$6,1,IF(Settings!$B$22="USD",1/INDEX(Settings!$B$29:$B$40,MONTH(A6822)),INDEX(Settings!$B$29:$B$40,MONTH(A6822)))))</f>
        <v/>
      </c>
    </row>
    <row r="6823" customFormat="false" ht="15" hidden="false" customHeight="false" outlineLevel="0" collapsed="false">
      <c r="H6823" s="0" t="str">
        <f aca="false">IF(B6823="","",IF(COUNTIF(Campaigns!$A$7:$A$300,B6823)&gt;0,"✓","⚠ add to Campaigns tab"))</f>
        <v/>
      </c>
      <c r="I6823" s="84" t="str">
        <f aca="false">IF(C6823="","",C6823*IF(Settings!$B$22=Settings!$C$6,1,IF(Settings!$B$22="USD",1/INDEX(Settings!$B$29:$B$40,MONTH(A6823)),INDEX(Settings!$B$29:$B$40,MONTH(A6823)))))</f>
        <v/>
      </c>
    </row>
    <row r="6824" customFormat="false" ht="15" hidden="false" customHeight="false" outlineLevel="0" collapsed="false">
      <c r="H6824" s="0" t="str">
        <f aca="false">IF(B6824="","",IF(COUNTIF(Campaigns!$A$7:$A$300,B6824)&gt;0,"✓","⚠ add to Campaigns tab"))</f>
        <v/>
      </c>
      <c r="I6824" s="84" t="str">
        <f aca="false">IF(C6824="","",C6824*IF(Settings!$B$22=Settings!$C$6,1,IF(Settings!$B$22="USD",1/INDEX(Settings!$B$29:$B$40,MONTH(A6824)),INDEX(Settings!$B$29:$B$40,MONTH(A6824)))))</f>
        <v/>
      </c>
    </row>
    <row r="6825" customFormat="false" ht="15" hidden="false" customHeight="false" outlineLevel="0" collapsed="false">
      <c r="H6825" s="0" t="str">
        <f aca="false">IF(B6825="","",IF(COUNTIF(Campaigns!$A$7:$A$300,B6825)&gt;0,"✓","⚠ add to Campaigns tab"))</f>
        <v/>
      </c>
      <c r="I6825" s="84" t="str">
        <f aca="false">IF(C6825="","",C6825*IF(Settings!$B$22=Settings!$C$6,1,IF(Settings!$B$22="USD",1/INDEX(Settings!$B$29:$B$40,MONTH(A6825)),INDEX(Settings!$B$29:$B$40,MONTH(A6825)))))</f>
        <v/>
      </c>
    </row>
    <row r="6826" customFormat="false" ht="15" hidden="false" customHeight="false" outlineLevel="0" collapsed="false">
      <c r="H6826" s="0" t="str">
        <f aca="false">IF(B6826="","",IF(COUNTIF(Campaigns!$A$7:$A$300,B6826)&gt;0,"✓","⚠ add to Campaigns tab"))</f>
        <v/>
      </c>
      <c r="I6826" s="84" t="str">
        <f aca="false">IF(C6826="","",C6826*IF(Settings!$B$22=Settings!$C$6,1,IF(Settings!$B$22="USD",1/INDEX(Settings!$B$29:$B$40,MONTH(A6826)),INDEX(Settings!$B$29:$B$40,MONTH(A6826)))))</f>
        <v/>
      </c>
    </row>
    <row r="6827" customFormat="false" ht="15" hidden="false" customHeight="false" outlineLevel="0" collapsed="false">
      <c r="H6827" s="0" t="str">
        <f aca="false">IF(B6827="","",IF(COUNTIF(Campaigns!$A$7:$A$300,B6827)&gt;0,"✓","⚠ add to Campaigns tab"))</f>
        <v/>
      </c>
      <c r="I6827" s="84" t="str">
        <f aca="false">IF(C6827="","",C6827*IF(Settings!$B$22=Settings!$C$6,1,IF(Settings!$B$22="USD",1/INDEX(Settings!$B$29:$B$40,MONTH(A6827)),INDEX(Settings!$B$29:$B$40,MONTH(A6827)))))</f>
        <v/>
      </c>
    </row>
    <row r="6828" customFormat="false" ht="15" hidden="false" customHeight="false" outlineLevel="0" collapsed="false">
      <c r="H6828" s="0" t="str">
        <f aca="false">IF(B6828="","",IF(COUNTIF(Campaigns!$A$7:$A$300,B6828)&gt;0,"✓","⚠ add to Campaigns tab"))</f>
        <v/>
      </c>
      <c r="I6828" s="84" t="str">
        <f aca="false">IF(C6828="","",C6828*IF(Settings!$B$22=Settings!$C$6,1,IF(Settings!$B$22="USD",1/INDEX(Settings!$B$29:$B$40,MONTH(A6828)),INDEX(Settings!$B$29:$B$40,MONTH(A6828)))))</f>
        <v/>
      </c>
    </row>
    <row r="6829" customFormat="false" ht="15" hidden="false" customHeight="false" outlineLevel="0" collapsed="false">
      <c r="H6829" s="0" t="str">
        <f aca="false">IF(B6829="","",IF(COUNTIF(Campaigns!$A$7:$A$300,B6829)&gt;0,"✓","⚠ add to Campaigns tab"))</f>
        <v/>
      </c>
      <c r="I6829" s="84" t="str">
        <f aca="false">IF(C6829="","",C6829*IF(Settings!$B$22=Settings!$C$6,1,IF(Settings!$B$22="USD",1/INDEX(Settings!$B$29:$B$40,MONTH(A6829)),INDEX(Settings!$B$29:$B$40,MONTH(A6829)))))</f>
        <v/>
      </c>
    </row>
    <row r="6830" customFormat="false" ht="15" hidden="false" customHeight="false" outlineLevel="0" collapsed="false">
      <c r="H6830" s="0" t="str">
        <f aca="false">IF(B6830="","",IF(COUNTIF(Campaigns!$A$7:$A$300,B6830)&gt;0,"✓","⚠ add to Campaigns tab"))</f>
        <v/>
      </c>
      <c r="I6830" s="84" t="str">
        <f aca="false">IF(C6830="","",C6830*IF(Settings!$B$22=Settings!$C$6,1,IF(Settings!$B$22="USD",1/INDEX(Settings!$B$29:$B$40,MONTH(A6830)),INDEX(Settings!$B$29:$B$40,MONTH(A6830)))))</f>
        <v/>
      </c>
    </row>
    <row r="6831" customFormat="false" ht="15" hidden="false" customHeight="false" outlineLevel="0" collapsed="false">
      <c r="H6831" s="0" t="str">
        <f aca="false">IF(B6831="","",IF(COUNTIF(Campaigns!$A$7:$A$300,B6831)&gt;0,"✓","⚠ add to Campaigns tab"))</f>
        <v/>
      </c>
      <c r="I6831" s="84" t="str">
        <f aca="false">IF(C6831="","",C6831*IF(Settings!$B$22=Settings!$C$6,1,IF(Settings!$B$22="USD",1/INDEX(Settings!$B$29:$B$40,MONTH(A6831)),INDEX(Settings!$B$29:$B$40,MONTH(A6831)))))</f>
        <v/>
      </c>
    </row>
    <row r="6832" customFormat="false" ht="15" hidden="false" customHeight="false" outlineLevel="0" collapsed="false">
      <c r="H6832" s="0" t="str">
        <f aca="false">IF(B6832="","",IF(COUNTIF(Campaigns!$A$7:$A$300,B6832)&gt;0,"✓","⚠ add to Campaigns tab"))</f>
        <v/>
      </c>
      <c r="I6832" s="84" t="str">
        <f aca="false">IF(C6832="","",C6832*IF(Settings!$B$22=Settings!$C$6,1,IF(Settings!$B$22="USD",1/INDEX(Settings!$B$29:$B$40,MONTH(A6832)),INDEX(Settings!$B$29:$B$40,MONTH(A6832)))))</f>
        <v/>
      </c>
    </row>
    <row r="6833" customFormat="false" ht="15" hidden="false" customHeight="false" outlineLevel="0" collapsed="false">
      <c r="H6833" s="0" t="str">
        <f aca="false">IF(B6833="","",IF(COUNTIF(Campaigns!$A$7:$A$300,B6833)&gt;0,"✓","⚠ add to Campaigns tab"))</f>
        <v/>
      </c>
      <c r="I6833" s="84" t="str">
        <f aca="false">IF(C6833="","",C6833*IF(Settings!$B$22=Settings!$C$6,1,IF(Settings!$B$22="USD",1/INDEX(Settings!$B$29:$B$40,MONTH(A6833)),INDEX(Settings!$B$29:$B$40,MONTH(A6833)))))</f>
        <v/>
      </c>
    </row>
    <row r="6834" customFormat="false" ht="15" hidden="false" customHeight="false" outlineLevel="0" collapsed="false">
      <c r="H6834" s="0" t="str">
        <f aca="false">IF(B6834="","",IF(COUNTIF(Campaigns!$A$7:$A$300,B6834)&gt;0,"✓","⚠ add to Campaigns tab"))</f>
        <v/>
      </c>
      <c r="I6834" s="84" t="str">
        <f aca="false">IF(C6834="","",C6834*IF(Settings!$B$22=Settings!$C$6,1,IF(Settings!$B$22="USD",1/INDEX(Settings!$B$29:$B$40,MONTH(A6834)),INDEX(Settings!$B$29:$B$40,MONTH(A6834)))))</f>
        <v/>
      </c>
    </row>
    <row r="6835" customFormat="false" ht="15" hidden="false" customHeight="false" outlineLevel="0" collapsed="false">
      <c r="H6835" s="0" t="str">
        <f aca="false">IF(B6835="","",IF(COUNTIF(Campaigns!$A$7:$A$300,B6835)&gt;0,"✓","⚠ add to Campaigns tab"))</f>
        <v/>
      </c>
      <c r="I6835" s="84" t="str">
        <f aca="false">IF(C6835="","",C6835*IF(Settings!$B$22=Settings!$C$6,1,IF(Settings!$B$22="USD",1/INDEX(Settings!$B$29:$B$40,MONTH(A6835)),INDEX(Settings!$B$29:$B$40,MONTH(A6835)))))</f>
        <v/>
      </c>
    </row>
    <row r="6836" customFormat="false" ht="15" hidden="false" customHeight="false" outlineLevel="0" collapsed="false">
      <c r="H6836" s="0" t="str">
        <f aca="false">IF(B6836="","",IF(COUNTIF(Campaigns!$A$7:$A$300,B6836)&gt;0,"✓","⚠ add to Campaigns tab"))</f>
        <v/>
      </c>
      <c r="I6836" s="84" t="str">
        <f aca="false">IF(C6836="","",C6836*IF(Settings!$B$22=Settings!$C$6,1,IF(Settings!$B$22="USD",1/INDEX(Settings!$B$29:$B$40,MONTH(A6836)),INDEX(Settings!$B$29:$B$40,MONTH(A6836)))))</f>
        <v/>
      </c>
    </row>
    <row r="6837" customFormat="false" ht="15" hidden="false" customHeight="false" outlineLevel="0" collapsed="false">
      <c r="H6837" s="0" t="str">
        <f aca="false">IF(B6837="","",IF(COUNTIF(Campaigns!$A$7:$A$300,B6837)&gt;0,"✓","⚠ add to Campaigns tab"))</f>
        <v/>
      </c>
      <c r="I6837" s="84" t="str">
        <f aca="false">IF(C6837="","",C6837*IF(Settings!$B$22=Settings!$C$6,1,IF(Settings!$B$22="USD",1/INDEX(Settings!$B$29:$B$40,MONTH(A6837)),INDEX(Settings!$B$29:$B$40,MONTH(A6837)))))</f>
        <v/>
      </c>
    </row>
    <row r="6838" customFormat="false" ht="15" hidden="false" customHeight="false" outlineLevel="0" collapsed="false">
      <c r="H6838" s="0" t="str">
        <f aca="false">IF(B6838="","",IF(COUNTIF(Campaigns!$A$7:$A$300,B6838)&gt;0,"✓","⚠ add to Campaigns tab"))</f>
        <v/>
      </c>
      <c r="I6838" s="84" t="str">
        <f aca="false">IF(C6838="","",C6838*IF(Settings!$B$22=Settings!$C$6,1,IF(Settings!$B$22="USD",1/INDEX(Settings!$B$29:$B$40,MONTH(A6838)),INDEX(Settings!$B$29:$B$40,MONTH(A6838)))))</f>
        <v/>
      </c>
    </row>
    <row r="6839" customFormat="false" ht="15" hidden="false" customHeight="false" outlineLevel="0" collapsed="false">
      <c r="H6839" s="0" t="str">
        <f aca="false">IF(B6839="","",IF(COUNTIF(Campaigns!$A$7:$A$300,B6839)&gt;0,"✓","⚠ add to Campaigns tab"))</f>
        <v/>
      </c>
      <c r="I6839" s="84" t="str">
        <f aca="false">IF(C6839="","",C6839*IF(Settings!$B$22=Settings!$C$6,1,IF(Settings!$B$22="USD",1/INDEX(Settings!$B$29:$B$40,MONTH(A6839)),INDEX(Settings!$B$29:$B$40,MONTH(A6839)))))</f>
        <v/>
      </c>
    </row>
    <row r="6840" customFormat="false" ht="15" hidden="false" customHeight="false" outlineLevel="0" collapsed="false">
      <c r="H6840" s="0" t="str">
        <f aca="false">IF(B6840="","",IF(COUNTIF(Campaigns!$A$7:$A$300,B6840)&gt;0,"✓","⚠ add to Campaigns tab"))</f>
        <v/>
      </c>
      <c r="I6840" s="84" t="str">
        <f aca="false">IF(C6840="","",C6840*IF(Settings!$B$22=Settings!$C$6,1,IF(Settings!$B$22="USD",1/INDEX(Settings!$B$29:$B$40,MONTH(A6840)),INDEX(Settings!$B$29:$B$40,MONTH(A6840)))))</f>
        <v/>
      </c>
    </row>
    <row r="6841" customFormat="false" ht="15" hidden="false" customHeight="false" outlineLevel="0" collapsed="false">
      <c r="H6841" s="0" t="str">
        <f aca="false">IF(B6841="","",IF(COUNTIF(Campaigns!$A$7:$A$300,B6841)&gt;0,"✓","⚠ add to Campaigns tab"))</f>
        <v/>
      </c>
      <c r="I6841" s="84" t="str">
        <f aca="false">IF(C6841="","",C6841*IF(Settings!$B$22=Settings!$C$6,1,IF(Settings!$B$22="USD",1/INDEX(Settings!$B$29:$B$40,MONTH(A6841)),INDEX(Settings!$B$29:$B$40,MONTH(A6841)))))</f>
        <v/>
      </c>
    </row>
    <row r="6842" customFormat="false" ht="15" hidden="false" customHeight="false" outlineLevel="0" collapsed="false">
      <c r="H6842" s="0" t="str">
        <f aca="false">IF(B6842="","",IF(COUNTIF(Campaigns!$A$7:$A$300,B6842)&gt;0,"✓","⚠ add to Campaigns tab"))</f>
        <v/>
      </c>
      <c r="I6842" s="84" t="str">
        <f aca="false">IF(C6842="","",C6842*IF(Settings!$B$22=Settings!$C$6,1,IF(Settings!$B$22="USD",1/INDEX(Settings!$B$29:$B$40,MONTH(A6842)),INDEX(Settings!$B$29:$B$40,MONTH(A6842)))))</f>
        <v/>
      </c>
    </row>
    <row r="6843" customFormat="false" ht="15" hidden="false" customHeight="false" outlineLevel="0" collapsed="false">
      <c r="H6843" s="0" t="str">
        <f aca="false">IF(B6843="","",IF(COUNTIF(Campaigns!$A$7:$A$300,B6843)&gt;0,"✓","⚠ add to Campaigns tab"))</f>
        <v/>
      </c>
      <c r="I6843" s="84" t="str">
        <f aca="false">IF(C6843="","",C6843*IF(Settings!$B$22=Settings!$C$6,1,IF(Settings!$B$22="USD",1/INDEX(Settings!$B$29:$B$40,MONTH(A6843)),INDEX(Settings!$B$29:$B$40,MONTH(A6843)))))</f>
        <v/>
      </c>
    </row>
    <row r="6844" customFormat="false" ht="15" hidden="false" customHeight="false" outlineLevel="0" collapsed="false">
      <c r="H6844" s="0" t="str">
        <f aca="false">IF(B6844="","",IF(COUNTIF(Campaigns!$A$7:$A$300,B6844)&gt;0,"✓","⚠ add to Campaigns tab"))</f>
        <v/>
      </c>
      <c r="I6844" s="84" t="str">
        <f aca="false">IF(C6844="","",C6844*IF(Settings!$B$22=Settings!$C$6,1,IF(Settings!$B$22="USD",1/INDEX(Settings!$B$29:$B$40,MONTH(A6844)),INDEX(Settings!$B$29:$B$40,MONTH(A6844)))))</f>
        <v/>
      </c>
    </row>
    <row r="6845" customFormat="false" ht="15" hidden="false" customHeight="false" outlineLevel="0" collapsed="false">
      <c r="H6845" s="0" t="str">
        <f aca="false">IF(B6845="","",IF(COUNTIF(Campaigns!$A$7:$A$300,B6845)&gt;0,"✓","⚠ add to Campaigns tab"))</f>
        <v/>
      </c>
      <c r="I6845" s="84" t="str">
        <f aca="false">IF(C6845="","",C6845*IF(Settings!$B$22=Settings!$C$6,1,IF(Settings!$B$22="USD",1/INDEX(Settings!$B$29:$B$40,MONTH(A6845)),INDEX(Settings!$B$29:$B$40,MONTH(A6845)))))</f>
        <v/>
      </c>
    </row>
    <row r="6846" customFormat="false" ht="15" hidden="false" customHeight="false" outlineLevel="0" collapsed="false">
      <c r="H6846" s="0" t="str">
        <f aca="false">IF(B6846="","",IF(COUNTIF(Campaigns!$A$7:$A$300,B6846)&gt;0,"✓","⚠ add to Campaigns tab"))</f>
        <v/>
      </c>
      <c r="I6846" s="84" t="str">
        <f aca="false">IF(C6846="","",C6846*IF(Settings!$B$22=Settings!$C$6,1,IF(Settings!$B$22="USD",1/INDEX(Settings!$B$29:$B$40,MONTH(A6846)),INDEX(Settings!$B$29:$B$40,MONTH(A6846)))))</f>
        <v/>
      </c>
    </row>
    <row r="6847" customFormat="false" ht="15" hidden="false" customHeight="false" outlineLevel="0" collapsed="false">
      <c r="H6847" s="0" t="str">
        <f aca="false">IF(B6847="","",IF(COUNTIF(Campaigns!$A$7:$A$300,B6847)&gt;0,"✓","⚠ add to Campaigns tab"))</f>
        <v/>
      </c>
      <c r="I6847" s="84" t="str">
        <f aca="false">IF(C6847="","",C6847*IF(Settings!$B$22=Settings!$C$6,1,IF(Settings!$B$22="USD",1/INDEX(Settings!$B$29:$B$40,MONTH(A6847)),INDEX(Settings!$B$29:$B$40,MONTH(A6847)))))</f>
        <v/>
      </c>
    </row>
    <row r="6848" customFormat="false" ht="15" hidden="false" customHeight="false" outlineLevel="0" collapsed="false">
      <c r="H6848" s="0" t="str">
        <f aca="false">IF(B6848="","",IF(COUNTIF(Campaigns!$A$7:$A$300,B6848)&gt;0,"✓","⚠ add to Campaigns tab"))</f>
        <v/>
      </c>
      <c r="I6848" s="84" t="str">
        <f aca="false">IF(C6848="","",C6848*IF(Settings!$B$22=Settings!$C$6,1,IF(Settings!$B$22="USD",1/INDEX(Settings!$B$29:$B$40,MONTH(A6848)),INDEX(Settings!$B$29:$B$40,MONTH(A6848)))))</f>
        <v/>
      </c>
    </row>
    <row r="6849" customFormat="false" ht="15" hidden="false" customHeight="false" outlineLevel="0" collapsed="false">
      <c r="H6849" s="0" t="str">
        <f aca="false">IF(B6849="","",IF(COUNTIF(Campaigns!$A$7:$A$300,B6849)&gt;0,"✓","⚠ add to Campaigns tab"))</f>
        <v/>
      </c>
      <c r="I6849" s="84" t="str">
        <f aca="false">IF(C6849="","",C6849*IF(Settings!$B$22=Settings!$C$6,1,IF(Settings!$B$22="USD",1/INDEX(Settings!$B$29:$B$40,MONTH(A6849)),INDEX(Settings!$B$29:$B$40,MONTH(A6849)))))</f>
        <v/>
      </c>
    </row>
    <row r="6850" customFormat="false" ht="15" hidden="false" customHeight="false" outlineLevel="0" collapsed="false">
      <c r="H6850" s="0" t="str">
        <f aca="false">IF(B6850="","",IF(COUNTIF(Campaigns!$A$7:$A$300,B6850)&gt;0,"✓","⚠ add to Campaigns tab"))</f>
        <v/>
      </c>
      <c r="I6850" s="84" t="str">
        <f aca="false">IF(C6850="","",C6850*IF(Settings!$B$22=Settings!$C$6,1,IF(Settings!$B$22="USD",1/INDEX(Settings!$B$29:$B$40,MONTH(A6850)),INDEX(Settings!$B$29:$B$40,MONTH(A6850)))))</f>
        <v/>
      </c>
    </row>
    <row r="6851" customFormat="false" ht="15" hidden="false" customHeight="false" outlineLevel="0" collapsed="false">
      <c r="H6851" s="0" t="str">
        <f aca="false">IF(B6851="","",IF(COUNTIF(Campaigns!$A$7:$A$300,B6851)&gt;0,"✓","⚠ add to Campaigns tab"))</f>
        <v/>
      </c>
      <c r="I6851" s="84" t="str">
        <f aca="false">IF(C6851="","",C6851*IF(Settings!$B$22=Settings!$C$6,1,IF(Settings!$B$22="USD",1/INDEX(Settings!$B$29:$B$40,MONTH(A6851)),INDEX(Settings!$B$29:$B$40,MONTH(A6851)))))</f>
        <v/>
      </c>
    </row>
    <row r="6852" customFormat="false" ht="15" hidden="false" customHeight="false" outlineLevel="0" collapsed="false">
      <c r="H6852" s="0" t="str">
        <f aca="false">IF(B6852="","",IF(COUNTIF(Campaigns!$A$7:$A$300,B6852)&gt;0,"✓","⚠ add to Campaigns tab"))</f>
        <v/>
      </c>
      <c r="I6852" s="84" t="str">
        <f aca="false">IF(C6852="","",C6852*IF(Settings!$B$22=Settings!$C$6,1,IF(Settings!$B$22="USD",1/INDEX(Settings!$B$29:$B$40,MONTH(A6852)),INDEX(Settings!$B$29:$B$40,MONTH(A6852)))))</f>
        <v/>
      </c>
    </row>
    <row r="6853" customFormat="false" ht="15" hidden="false" customHeight="false" outlineLevel="0" collapsed="false">
      <c r="H6853" s="0" t="str">
        <f aca="false">IF(B6853="","",IF(COUNTIF(Campaigns!$A$7:$A$300,B6853)&gt;0,"✓","⚠ add to Campaigns tab"))</f>
        <v/>
      </c>
      <c r="I6853" s="84" t="str">
        <f aca="false">IF(C6853="","",C6853*IF(Settings!$B$22=Settings!$C$6,1,IF(Settings!$B$22="USD",1/INDEX(Settings!$B$29:$B$40,MONTH(A6853)),INDEX(Settings!$B$29:$B$40,MONTH(A6853)))))</f>
        <v/>
      </c>
    </row>
    <row r="6854" customFormat="false" ht="15" hidden="false" customHeight="false" outlineLevel="0" collapsed="false">
      <c r="H6854" s="0" t="str">
        <f aca="false">IF(B6854="","",IF(COUNTIF(Campaigns!$A$7:$A$300,B6854)&gt;0,"✓","⚠ add to Campaigns tab"))</f>
        <v/>
      </c>
      <c r="I6854" s="84" t="str">
        <f aca="false">IF(C6854="","",C6854*IF(Settings!$B$22=Settings!$C$6,1,IF(Settings!$B$22="USD",1/INDEX(Settings!$B$29:$B$40,MONTH(A6854)),INDEX(Settings!$B$29:$B$40,MONTH(A6854)))))</f>
        <v/>
      </c>
    </row>
    <row r="6855" customFormat="false" ht="15" hidden="false" customHeight="false" outlineLevel="0" collapsed="false">
      <c r="H6855" s="0" t="str">
        <f aca="false">IF(B6855="","",IF(COUNTIF(Campaigns!$A$7:$A$300,B6855)&gt;0,"✓","⚠ add to Campaigns tab"))</f>
        <v/>
      </c>
      <c r="I6855" s="84" t="str">
        <f aca="false">IF(C6855="","",C6855*IF(Settings!$B$22=Settings!$C$6,1,IF(Settings!$B$22="USD",1/INDEX(Settings!$B$29:$B$40,MONTH(A6855)),INDEX(Settings!$B$29:$B$40,MONTH(A6855)))))</f>
        <v/>
      </c>
    </row>
    <row r="6856" customFormat="false" ht="15" hidden="false" customHeight="false" outlineLevel="0" collapsed="false">
      <c r="H6856" s="0" t="str">
        <f aca="false">IF(B6856="","",IF(COUNTIF(Campaigns!$A$7:$A$300,B6856)&gt;0,"✓","⚠ add to Campaigns tab"))</f>
        <v/>
      </c>
      <c r="I6856" s="84" t="str">
        <f aca="false">IF(C6856="","",C6856*IF(Settings!$B$22=Settings!$C$6,1,IF(Settings!$B$22="USD",1/INDEX(Settings!$B$29:$B$40,MONTH(A6856)),INDEX(Settings!$B$29:$B$40,MONTH(A6856)))))</f>
        <v/>
      </c>
    </row>
    <row r="6857" customFormat="false" ht="15" hidden="false" customHeight="false" outlineLevel="0" collapsed="false">
      <c r="H6857" s="0" t="str">
        <f aca="false">IF(B6857="","",IF(COUNTIF(Campaigns!$A$7:$A$300,B6857)&gt;0,"✓","⚠ add to Campaigns tab"))</f>
        <v/>
      </c>
      <c r="I6857" s="84" t="str">
        <f aca="false">IF(C6857="","",C6857*IF(Settings!$B$22=Settings!$C$6,1,IF(Settings!$B$22="USD",1/INDEX(Settings!$B$29:$B$40,MONTH(A6857)),INDEX(Settings!$B$29:$B$40,MONTH(A6857)))))</f>
        <v/>
      </c>
    </row>
    <row r="6858" customFormat="false" ht="15" hidden="false" customHeight="false" outlineLevel="0" collapsed="false">
      <c r="H6858" s="0" t="str">
        <f aca="false">IF(B6858="","",IF(COUNTIF(Campaigns!$A$7:$A$300,B6858)&gt;0,"✓","⚠ add to Campaigns tab"))</f>
        <v/>
      </c>
      <c r="I6858" s="84" t="str">
        <f aca="false">IF(C6858="","",C6858*IF(Settings!$B$22=Settings!$C$6,1,IF(Settings!$B$22="USD",1/INDEX(Settings!$B$29:$B$40,MONTH(A6858)),INDEX(Settings!$B$29:$B$40,MONTH(A6858)))))</f>
        <v/>
      </c>
    </row>
    <row r="6859" customFormat="false" ht="15" hidden="false" customHeight="false" outlineLevel="0" collapsed="false">
      <c r="H6859" s="0" t="str">
        <f aca="false">IF(B6859="","",IF(COUNTIF(Campaigns!$A$7:$A$300,B6859)&gt;0,"✓","⚠ add to Campaigns tab"))</f>
        <v/>
      </c>
      <c r="I6859" s="84" t="str">
        <f aca="false">IF(C6859="","",C6859*IF(Settings!$B$22=Settings!$C$6,1,IF(Settings!$B$22="USD",1/INDEX(Settings!$B$29:$B$40,MONTH(A6859)),INDEX(Settings!$B$29:$B$40,MONTH(A6859)))))</f>
        <v/>
      </c>
    </row>
    <row r="6860" customFormat="false" ht="15" hidden="false" customHeight="false" outlineLevel="0" collapsed="false">
      <c r="H6860" s="0" t="str">
        <f aca="false">IF(B6860="","",IF(COUNTIF(Campaigns!$A$7:$A$300,B6860)&gt;0,"✓","⚠ add to Campaigns tab"))</f>
        <v/>
      </c>
      <c r="I6860" s="84" t="str">
        <f aca="false">IF(C6860="","",C6860*IF(Settings!$B$22=Settings!$C$6,1,IF(Settings!$B$22="USD",1/INDEX(Settings!$B$29:$B$40,MONTH(A6860)),INDEX(Settings!$B$29:$B$40,MONTH(A6860)))))</f>
        <v/>
      </c>
    </row>
    <row r="6861" customFormat="false" ht="15" hidden="false" customHeight="false" outlineLevel="0" collapsed="false">
      <c r="H6861" s="0" t="str">
        <f aca="false">IF(B6861="","",IF(COUNTIF(Campaigns!$A$7:$A$300,B6861)&gt;0,"✓","⚠ add to Campaigns tab"))</f>
        <v/>
      </c>
      <c r="I6861" s="84" t="str">
        <f aca="false">IF(C6861="","",C6861*IF(Settings!$B$22=Settings!$C$6,1,IF(Settings!$B$22="USD",1/INDEX(Settings!$B$29:$B$40,MONTH(A6861)),INDEX(Settings!$B$29:$B$40,MONTH(A6861)))))</f>
        <v/>
      </c>
    </row>
    <row r="6862" customFormat="false" ht="15" hidden="false" customHeight="false" outlineLevel="0" collapsed="false">
      <c r="H6862" s="0" t="str">
        <f aca="false">IF(B6862="","",IF(COUNTIF(Campaigns!$A$7:$A$300,B6862)&gt;0,"✓","⚠ add to Campaigns tab"))</f>
        <v/>
      </c>
      <c r="I6862" s="84" t="str">
        <f aca="false">IF(C6862="","",C6862*IF(Settings!$B$22=Settings!$C$6,1,IF(Settings!$B$22="USD",1/INDEX(Settings!$B$29:$B$40,MONTH(A6862)),INDEX(Settings!$B$29:$B$40,MONTH(A6862)))))</f>
        <v/>
      </c>
    </row>
    <row r="6863" customFormat="false" ht="15" hidden="false" customHeight="false" outlineLevel="0" collapsed="false">
      <c r="H6863" s="0" t="str">
        <f aca="false">IF(B6863="","",IF(COUNTIF(Campaigns!$A$7:$A$300,B6863)&gt;0,"✓","⚠ add to Campaigns tab"))</f>
        <v/>
      </c>
      <c r="I6863" s="84" t="str">
        <f aca="false">IF(C6863="","",C6863*IF(Settings!$B$22=Settings!$C$6,1,IF(Settings!$B$22="USD",1/INDEX(Settings!$B$29:$B$40,MONTH(A6863)),INDEX(Settings!$B$29:$B$40,MONTH(A6863)))))</f>
        <v/>
      </c>
    </row>
    <row r="6864" customFormat="false" ht="15" hidden="false" customHeight="false" outlineLevel="0" collapsed="false">
      <c r="H6864" s="0" t="str">
        <f aca="false">IF(B6864="","",IF(COUNTIF(Campaigns!$A$7:$A$300,B6864)&gt;0,"✓","⚠ add to Campaigns tab"))</f>
        <v/>
      </c>
      <c r="I6864" s="84" t="str">
        <f aca="false">IF(C6864="","",C6864*IF(Settings!$B$22=Settings!$C$6,1,IF(Settings!$B$22="USD",1/INDEX(Settings!$B$29:$B$40,MONTH(A6864)),INDEX(Settings!$B$29:$B$40,MONTH(A6864)))))</f>
        <v/>
      </c>
    </row>
    <row r="6865" customFormat="false" ht="15" hidden="false" customHeight="false" outlineLevel="0" collapsed="false">
      <c r="H6865" s="0" t="str">
        <f aca="false">IF(B6865="","",IF(COUNTIF(Campaigns!$A$7:$A$300,B6865)&gt;0,"✓","⚠ add to Campaigns tab"))</f>
        <v/>
      </c>
      <c r="I6865" s="84" t="str">
        <f aca="false">IF(C6865="","",C6865*IF(Settings!$B$22=Settings!$C$6,1,IF(Settings!$B$22="USD",1/INDEX(Settings!$B$29:$B$40,MONTH(A6865)),INDEX(Settings!$B$29:$B$40,MONTH(A6865)))))</f>
        <v/>
      </c>
    </row>
    <row r="6866" customFormat="false" ht="15" hidden="false" customHeight="false" outlineLevel="0" collapsed="false">
      <c r="H6866" s="0" t="str">
        <f aca="false">IF(B6866="","",IF(COUNTIF(Campaigns!$A$7:$A$300,B6866)&gt;0,"✓","⚠ add to Campaigns tab"))</f>
        <v/>
      </c>
      <c r="I6866" s="84" t="str">
        <f aca="false">IF(C6866="","",C6866*IF(Settings!$B$22=Settings!$C$6,1,IF(Settings!$B$22="USD",1/INDEX(Settings!$B$29:$B$40,MONTH(A6866)),INDEX(Settings!$B$29:$B$40,MONTH(A6866)))))</f>
        <v/>
      </c>
    </row>
    <row r="6867" customFormat="false" ht="15" hidden="false" customHeight="false" outlineLevel="0" collapsed="false">
      <c r="H6867" s="0" t="str">
        <f aca="false">IF(B6867="","",IF(COUNTIF(Campaigns!$A$7:$A$300,B6867)&gt;0,"✓","⚠ add to Campaigns tab"))</f>
        <v/>
      </c>
      <c r="I6867" s="84" t="str">
        <f aca="false">IF(C6867="","",C6867*IF(Settings!$B$22=Settings!$C$6,1,IF(Settings!$B$22="USD",1/INDEX(Settings!$B$29:$B$40,MONTH(A6867)),INDEX(Settings!$B$29:$B$40,MONTH(A6867)))))</f>
        <v/>
      </c>
    </row>
    <row r="6868" customFormat="false" ht="15" hidden="false" customHeight="false" outlineLevel="0" collapsed="false">
      <c r="H6868" s="0" t="str">
        <f aca="false">IF(B6868="","",IF(COUNTIF(Campaigns!$A$7:$A$300,B6868)&gt;0,"✓","⚠ add to Campaigns tab"))</f>
        <v/>
      </c>
      <c r="I6868" s="84" t="str">
        <f aca="false">IF(C6868="","",C6868*IF(Settings!$B$22=Settings!$C$6,1,IF(Settings!$B$22="USD",1/INDEX(Settings!$B$29:$B$40,MONTH(A6868)),INDEX(Settings!$B$29:$B$40,MONTH(A6868)))))</f>
        <v/>
      </c>
    </row>
    <row r="6869" customFormat="false" ht="15" hidden="false" customHeight="false" outlineLevel="0" collapsed="false">
      <c r="H6869" s="0" t="str">
        <f aca="false">IF(B6869="","",IF(COUNTIF(Campaigns!$A$7:$A$300,B6869)&gt;0,"✓","⚠ add to Campaigns tab"))</f>
        <v/>
      </c>
      <c r="I6869" s="84" t="str">
        <f aca="false">IF(C6869="","",C6869*IF(Settings!$B$22=Settings!$C$6,1,IF(Settings!$B$22="USD",1/INDEX(Settings!$B$29:$B$40,MONTH(A6869)),INDEX(Settings!$B$29:$B$40,MONTH(A6869)))))</f>
        <v/>
      </c>
    </row>
    <row r="6870" customFormat="false" ht="15" hidden="false" customHeight="false" outlineLevel="0" collapsed="false">
      <c r="H6870" s="0" t="str">
        <f aca="false">IF(B6870="","",IF(COUNTIF(Campaigns!$A$7:$A$300,B6870)&gt;0,"✓","⚠ add to Campaigns tab"))</f>
        <v/>
      </c>
      <c r="I6870" s="84" t="str">
        <f aca="false">IF(C6870="","",C6870*IF(Settings!$B$22=Settings!$C$6,1,IF(Settings!$B$22="USD",1/INDEX(Settings!$B$29:$B$40,MONTH(A6870)),INDEX(Settings!$B$29:$B$40,MONTH(A6870)))))</f>
        <v/>
      </c>
    </row>
    <row r="6871" customFormat="false" ht="15" hidden="false" customHeight="false" outlineLevel="0" collapsed="false">
      <c r="H6871" s="0" t="str">
        <f aca="false">IF(B6871="","",IF(COUNTIF(Campaigns!$A$7:$A$300,B6871)&gt;0,"✓","⚠ add to Campaigns tab"))</f>
        <v/>
      </c>
      <c r="I6871" s="84" t="str">
        <f aca="false">IF(C6871="","",C6871*IF(Settings!$B$22=Settings!$C$6,1,IF(Settings!$B$22="USD",1/INDEX(Settings!$B$29:$B$40,MONTH(A6871)),INDEX(Settings!$B$29:$B$40,MONTH(A6871)))))</f>
        <v/>
      </c>
    </row>
    <row r="6872" customFormat="false" ht="15" hidden="false" customHeight="false" outlineLevel="0" collapsed="false">
      <c r="H6872" s="0" t="str">
        <f aca="false">IF(B6872="","",IF(COUNTIF(Campaigns!$A$7:$A$300,B6872)&gt;0,"✓","⚠ add to Campaigns tab"))</f>
        <v/>
      </c>
      <c r="I6872" s="84" t="str">
        <f aca="false">IF(C6872="","",C6872*IF(Settings!$B$22=Settings!$C$6,1,IF(Settings!$B$22="USD",1/INDEX(Settings!$B$29:$B$40,MONTH(A6872)),INDEX(Settings!$B$29:$B$40,MONTH(A6872)))))</f>
        <v/>
      </c>
    </row>
    <row r="6873" customFormat="false" ht="15" hidden="false" customHeight="false" outlineLevel="0" collapsed="false">
      <c r="H6873" s="0" t="str">
        <f aca="false">IF(B6873="","",IF(COUNTIF(Campaigns!$A$7:$A$300,B6873)&gt;0,"✓","⚠ add to Campaigns tab"))</f>
        <v/>
      </c>
      <c r="I6873" s="84" t="str">
        <f aca="false">IF(C6873="","",C6873*IF(Settings!$B$22=Settings!$C$6,1,IF(Settings!$B$22="USD",1/INDEX(Settings!$B$29:$B$40,MONTH(A6873)),INDEX(Settings!$B$29:$B$40,MONTH(A6873)))))</f>
        <v/>
      </c>
    </row>
    <row r="6874" customFormat="false" ht="15" hidden="false" customHeight="false" outlineLevel="0" collapsed="false">
      <c r="H6874" s="0" t="str">
        <f aca="false">IF(B6874="","",IF(COUNTIF(Campaigns!$A$7:$A$300,B6874)&gt;0,"✓","⚠ add to Campaigns tab"))</f>
        <v/>
      </c>
      <c r="I6874" s="84" t="str">
        <f aca="false">IF(C6874="","",C6874*IF(Settings!$B$22=Settings!$C$6,1,IF(Settings!$B$22="USD",1/INDEX(Settings!$B$29:$B$40,MONTH(A6874)),INDEX(Settings!$B$29:$B$40,MONTH(A6874)))))</f>
        <v/>
      </c>
    </row>
    <row r="6875" customFormat="false" ht="15" hidden="false" customHeight="false" outlineLevel="0" collapsed="false">
      <c r="H6875" s="0" t="str">
        <f aca="false">IF(B6875="","",IF(COUNTIF(Campaigns!$A$7:$A$300,B6875)&gt;0,"✓","⚠ add to Campaigns tab"))</f>
        <v/>
      </c>
      <c r="I6875" s="84" t="str">
        <f aca="false">IF(C6875="","",C6875*IF(Settings!$B$22=Settings!$C$6,1,IF(Settings!$B$22="USD",1/INDEX(Settings!$B$29:$B$40,MONTH(A6875)),INDEX(Settings!$B$29:$B$40,MONTH(A6875)))))</f>
        <v/>
      </c>
    </row>
    <row r="6876" customFormat="false" ht="15" hidden="false" customHeight="false" outlineLevel="0" collapsed="false">
      <c r="H6876" s="0" t="str">
        <f aca="false">IF(B6876="","",IF(COUNTIF(Campaigns!$A$7:$A$300,B6876)&gt;0,"✓","⚠ add to Campaigns tab"))</f>
        <v/>
      </c>
      <c r="I6876" s="84" t="str">
        <f aca="false">IF(C6876="","",C6876*IF(Settings!$B$22=Settings!$C$6,1,IF(Settings!$B$22="USD",1/INDEX(Settings!$B$29:$B$40,MONTH(A6876)),INDEX(Settings!$B$29:$B$40,MONTH(A6876)))))</f>
        <v/>
      </c>
    </row>
    <row r="6877" customFormat="false" ht="15" hidden="false" customHeight="false" outlineLevel="0" collapsed="false">
      <c r="H6877" s="0" t="str">
        <f aca="false">IF(B6877="","",IF(COUNTIF(Campaigns!$A$7:$A$300,B6877)&gt;0,"✓","⚠ add to Campaigns tab"))</f>
        <v/>
      </c>
      <c r="I6877" s="84" t="str">
        <f aca="false">IF(C6877="","",C6877*IF(Settings!$B$22=Settings!$C$6,1,IF(Settings!$B$22="USD",1/INDEX(Settings!$B$29:$B$40,MONTH(A6877)),INDEX(Settings!$B$29:$B$40,MONTH(A6877)))))</f>
        <v/>
      </c>
    </row>
    <row r="6878" customFormat="false" ht="15" hidden="false" customHeight="false" outlineLevel="0" collapsed="false">
      <c r="H6878" s="0" t="str">
        <f aca="false">IF(B6878="","",IF(COUNTIF(Campaigns!$A$7:$A$300,B6878)&gt;0,"✓","⚠ add to Campaigns tab"))</f>
        <v/>
      </c>
      <c r="I6878" s="84" t="str">
        <f aca="false">IF(C6878="","",C6878*IF(Settings!$B$22=Settings!$C$6,1,IF(Settings!$B$22="USD",1/INDEX(Settings!$B$29:$B$40,MONTH(A6878)),INDEX(Settings!$B$29:$B$40,MONTH(A6878)))))</f>
        <v/>
      </c>
    </row>
    <row r="6879" customFormat="false" ht="15" hidden="false" customHeight="false" outlineLevel="0" collapsed="false">
      <c r="H6879" s="0" t="str">
        <f aca="false">IF(B6879="","",IF(COUNTIF(Campaigns!$A$7:$A$300,B6879)&gt;0,"✓","⚠ add to Campaigns tab"))</f>
        <v/>
      </c>
      <c r="I6879" s="84" t="str">
        <f aca="false">IF(C6879="","",C6879*IF(Settings!$B$22=Settings!$C$6,1,IF(Settings!$B$22="USD",1/INDEX(Settings!$B$29:$B$40,MONTH(A6879)),INDEX(Settings!$B$29:$B$40,MONTH(A6879)))))</f>
        <v/>
      </c>
    </row>
    <row r="6880" customFormat="false" ht="15" hidden="false" customHeight="false" outlineLevel="0" collapsed="false">
      <c r="H6880" s="0" t="str">
        <f aca="false">IF(B6880="","",IF(COUNTIF(Campaigns!$A$7:$A$300,B6880)&gt;0,"✓","⚠ add to Campaigns tab"))</f>
        <v/>
      </c>
      <c r="I6880" s="84" t="str">
        <f aca="false">IF(C6880="","",C6880*IF(Settings!$B$22=Settings!$C$6,1,IF(Settings!$B$22="USD",1/INDEX(Settings!$B$29:$B$40,MONTH(A6880)),INDEX(Settings!$B$29:$B$40,MONTH(A6880)))))</f>
        <v/>
      </c>
    </row>
    <row r="6881" customFormat="false" ht="15" hidden="false" customHeight="false" outlineLevel="0" collapsed="false">
      <c r="H6881" s="0" t="str">
        <f aca="false">IF(B6881="","",IF(COUNTIF(Campaigns!$A$7:$A$300,B6881)&gt;0,"✓","⚠ add to Campaigns tab"))</f>
        <v/>
      </c>
      <c r="I6881" s="84" t="str">
        <f aca="false">IF(C6881="","",C6881*IF(Settings!$B$22=Settings!$C$6,1,IF(Settings!$B$22="USD",1/INDEX(Settings!$B$29:$B$40,MONTH(A6881)),INDEX(Settings!$B$29:$B$40,MONTH(A6881)))))</f>
        <v/>
      </c>
    </row>
    <row r="6882" customFormat="false" ht="15" hidden="false" customHeight="false" outlineLevel="0" collapsed="false">
      <c r="H6882" s="0" t="str">
        <f aca="false">IF(B6882="","",IF(COUNTIF(Campaigns!$A$7:$A$300,B6882)&gt;0,"✓","⚠ add to Campaigns tab"))</f>
        <v/>
      </c>
      <c r="I6882" s="84" t="str">
        <f aca="false">IF(C6882="","",C6882*IF(Settings!$B$22=Settings!$C$6,1,IF(Settings!$B$22="USD",1/INDEX(Settings!$B$29:$B$40,MONTH(A6882)),INDEX(Settings!$B$29:$B$40,MONTH(A6882)))))</f>
        <v/>
      </c>
    </row>
    <row r="6883" customFormat="false" ht="15" hidden="false" customHeight="false" outlineLevel="0" collapsed="false">
      <c r="H6883" s="0" t="str">
        <f aca="false">IF(B6883="","",IF(COUNTIF(Campaigns!$A$7:$A$300,B6883)&gt;0,"✓","⚠ add to Campaigns tab"))</f>
        <v/>
      </c>
      <c r="I6883" s="84" t="str">
        <f aca="false">IF(C6883="","",C6883*IF(Settings!$B$22=Settings!$C$6,1,IF(Settings!$B$22="USD",1/INDEX(Settings!$B$29:$B$40,MONTH(A6883)),INDEX(Settings!$B$29:$B$40,MONTH(A6883)))))</f>
        <v/>
      </c>
    </row>
    <row r="6884" customFormat="false" ht="15" hidden="false" customHeight="false" outlineLevel="0" collapsed="false">
      <c r="H6884" s="0" t="str">
        <f aca="false">IF(B6884="","",IF(COUNTIF(Campaigns!$A$7:$A$300,B6884)&gt;0,"✓","⚠ add to Campaigns tab"))</f>
        <v/>
      </c>
      <c r="I6884" s="84" t="str">
        <f aca="false">IF(C6884="","",C6884*IF(Settings!$B$22=Settings!$C$6,1,IF(Settings!$B$22="USD",1/INDEX(Settings!$B$29:$B$40,MONTH(A6884)),INDEX(Settings!$B$29:$B$40,MONTH(A6884)))))</f>
        <v/>
      </c>
    </row>
    <row r="6885" customFormat="false" ht="15" hidden="false" customHeight="false" outlineLevel="0" collapsed="false">
      <c r="H6885" s="0" t="str">
        <f aca="false">IF(B6885="","",IF(COUNTIF(Campaigns!$A$7:$A$300,B6885)&gt;0,"✓","⚠ add to Campaigns tab"))</f>
        <v/>
      </c>
      <c r="I6885" s="84" t="str">
        <f aca="false">IF(C6885="","",C6885*IF(Settings!$B$22=Settings!$C$6,1,IF(Settings!$B$22="USD",1/INDEX(Settings!$B$29:$B$40,MONTH(A6885)),INDEX(Settings!$B$29:$B$40,MONTH(A6885)))))</f>
        <v/>
      </c>
    </row>
    <row r="6886" customFormat="false" ht="15" hidden="false" customHeight="false" outlineLevel="0" collapsed="false">
      <c r="H6886" s="0" t="str">
        <f aca="false">IF(B6886="","",IF(COUNTIF(Campaigns!$A$7:$A$300,B6886)&gt;0,"✓","⚠ add to Campaigns tab"))</f>
        <v/>
      </c>
      <c r="I6886" s="84" t="str">
        <f aca="false">IF(C6886="","",C6886*IF(Settings!$B$22=Settings!$C$6,1,IF(Settings!$B$22="USD",1/INDEX(Settings!$B$29:$B$40,MONTH(A6886)),INDEX(Settings!$B$29:$B$40,MONTH(A6886)))))</f>
        <v/>
      </c>
    </row>
    <row r="6887" customFormat="false" ht="15" hidden="false" customHeight="false" outlineLevel="0" collapsed="false">
      <c r="H6887" s="0" t="str">
        <f aca="false">IF(B6887="","",IF(COUNTIF(Campaigns!$A$7:$A$300,B6887)&gt;0,"✓","⚠ add to Campaigns tab"))</f>
        <v/>
      </c>
      <c r="I6887" s="84" t="str">
        <f aca="false">IF(C6887="","",C6887*IF(Settings!$B$22=Settings!$C$6,1,IF(Settings!$B$22="USD",1/INDEX(Settings!$B$29:$B$40,MONTH(A6887)),INDEX(Settings!$B$29:$B$40,MONTH(A6887)))))</f>
        <v/>
      </c>
    </row>
    <row r="6888" customFormat="false" ht="15" hidden="false" customHeight="false" outlineLevel="0" collapsed="false">
      <c r="H6888" s="0" t="str">
        <f aca="false">IF(B6888="","",IF(COUNTIF(Campaigns!$A$7:$A$300,B6888)&gt;0,"✓","⚠ add to Campaigns tab"))</f>
        <v/>
      </c>
      <c r="I6888" s="84" t="str">
        <f aca="false">IF(C6888="","",C6888*IF(Settings!$B$22=Settings!$C$6,1,IF(Settings!$B$22="USD",1/INDEX(Settings!$B$29:$B$40,MONTH(A6888)),INDEX(Settings!$B$29:$B$40,MONTH(A6888)))))</f>
        <v/>
      </c>
    </row>
    <row r="6889" customFormat="false" ht="15" hidden="false" customHeight="false" outlineLevel="0" collapsed="false">
      <c r="H6889" s="0" t="str">
        <f aca="false">IF(B6889="","",IF(COUNTIF(Campaigns!$A$7:$A$300,B6889)&gt;0,"✓","⚠ add to Campaigns tab"))</f>
        <v/>
      </c>
      <c r="I6889" s="84" t="str">
        <f aca="false">IF(C6889="","",C6889*IF(Settings!$B$22=Settings!$C$6,1,IF(Settings!$B$22="USD",1/INDEX(Settings!$B$29:$B$40,MONTH(A6889)),INDEX(Settings!$B$29:$B$40,MONTH(A6889)))))</f>
        <v/>
      </c>
    </row>
    <row r="6890" customFormat="false" ht="15" hidden="false" customHeight="false" outlineLevel="0" collapsed="false">
      <c r="H6890" s="0" t="str">
        <f aca="false">IF(B6890="","",IF(COUNTIF(Campaigns!$A$7:$A$300,B6890)&gt;0,"✓","⚠ add to Campaigns tab"))</f>
        <v/>
      </c>
      <c r="I6890" s="84" t="str">
        <f aca="false">IF(C6890="","",C6890*IF(Settings!$B$22=Settings!$C$6,1,IF(Settings!$B$22="USD",1/INDEX(Settings!$B$29:$B$40,MONTH(A6890)),INDEX(Settings!$B$29:$B$40,MONTH(A6890)))))</f>
        <v/>
      </c>
    </row>
    <row r="6891" customFormat="false" ht="15" hidden="false" customHeight="false" outlineLevel="0" collapsed="false">
      <c r="H6891" s="0" t="str">
        <f aca="false">IF(B6891="","",IF(COUNTIF(Campaigns!$A$7:$A$300,B6891)&gt;0,"✓","⚠ add to Campaigns tab"))</f>
        <v/>
      </c>
      <c r="I6891" s="84" t="str">
        <f aca="false">IF(C6891="","",C6891*IF(Settings!$B$22=Settings!$C$6,1,IF(Settings!$B$22="USD",1/INDEX(Settings!$B$29:$B$40,MONTH(A6891)),INDEX(Settings!$B$29:$B$40,MONTH(A6891)))))</f>
        <v/>
      </c>
    </row>
    <row r="6892" customFormat="false" ht="15" hidden="false" customHeight="false" outlineLevel="0" collapsed="false">
      <c r="H6892" s="0" t="str">
        <f aca="false">IF(B6892="","",IF(COUNTIF(Campaigns!$A$7:$A$300,B6892)&gt;0,"✓","⚠ add to Campaigns tab"))</f>
        <v/>
      </c>
      <c r="I6892" s="84" t="str">
        <f aca="false">IF(C6892="","",C6892*IF(Settings!$B$22=Settings!$C$6,1,IF(Settings!$B$22="USD",1/INDEX(Settings!$B$29:$B$40,MONTH(A6892)),INDEX(Settings!$B$29:$B$40,MONTH(A6892)))))</f>
        <v/>
      </c>
    </row>
    <row r="6893" customFormat="false" ht="15" hidden="false" customHeight="false" outlineLevel="0" collapsed="false">
      <c r="H6893" s="0" t="str">
        <f aca="false">IF(B6893="","",IF(COUNTIF(Campaigns!$A$7:$A$300,B6893)&gt;0,"✓","⚠ add to Campaigns tab"))</f>
        <v/>
      </c>
      <c r="I6893" s="84" t="str">
        <f aca="false">IF(C6893="","",C6893*IF(Settings!$B$22=Settings!$C$6,1,IF(Settings!$B$22="USD",1/INDEX(Settings!$B$29:$B$40,MONTH(A6893)),INDEX(Settings!$B$29:$B$40,MONTH(A6893)))))</f>
        <v/>
      </c>
    </row>
    <row r="6894" customFormat="false" ht="15" hidden="false" customHeight="false" outlineLevel="0" collapsed="false">
      <c r="H6894" s="0" t="str">
        <f aca="false">IF(B6894="","",IF(COUNTIF(Campaigns!$A$7:$A$300,B6894)&gt;0,"✓","⚠ add to Campaigns tab"))</f>
        <v/>
      </c>
      <c r="I6894" s="84" t="str">
        <f aca="false">IF(C6894="","",C6894*IF(Settings!$B$22=Settings!$C$6,1,IF(Settings!$B$22="USD",1/INDEX(Settings!$B$29:$B$40,MONTH(A6894)),INDEX(Settings!$B$29:$B$40,MONTH(A6894)))))</f>
        <v/>
      </c>
    </row>
    <row r="6895" customFormat="false" ht="15" hidden="false" customHeight="false" outlineLevel="0" collapsed="false">
      <c r="H6895" s="0" t="str">
        <f aca="false">IF(B6895="","",IF(COUNTIF(Campaigns!$A$7:$A$300,B6895)&gt;0,"✓","⚠ add to Campaigns tab"))</f>
        <v/>
      </c>
      <c r="I6895" s="84" t="str">
        <f aca="false">IF(C6895="","",C6895*IF(Settings!$B$22=Settings!$C$6,1,IF(Settings!$B$22="USD",1/INDEX(Settings!$B$29:$B$40,MONTH(A6895)),INDEX(Settings!$B$29:$B$40,MONTH(A6895)))))</f>
        <v/>
      </c>
    </row>
    <row r="6896" customFormat="false" ht="15" hidden="false" customHeight="false" outlineLevel="0" collapsed="false">
      <c r="H6896" s="0" t="str">
        <f aca="false">IF(B6896="","",IF(COUNTIF(Campaigns!$A$7:$A$300,B6896)&gt;0,"✓","⚠ add to Campaigns tab"))</f>
        <v/>
      </c>
      <c r="I6896" s="84" t="str">
        <f aca="false">IF(C6896="","",C6896*IF(Settings!$B$22=Settings!$C$6,1,IF(Settings!$B$22="USD",1/INDEX(Settings!$B$29:$B$40,MONTH(A6896)),INDEX(Settings!$B$29:$B$40,MONTH(A6896)))))</f>
        <v/>
      </c>
    </row>
    <row r="6897" customFormat="false" ht="15" hidden="false" customHeight="false" outlineLevel="0" collapsed="false">
      <c r="H6897" s="0" t="str">
        <f aca="false">IF(B6897="","",IF(COUNTIF(Campaigns!$A$7:$A$300,B6897)&gt;0,"✓","⚠ add to Campaigns tab"))</f>
        <v/>
      </c>
      <c r="I6897" s="84" t="str">
        <f aca="false">IF(C6897="","",C6897*IF(Settings!$B$22=Settings!$C$6,1,IF(Settings!$B$22="USD",1/INDEX(Settings!$B$29:$B$40,MONTH(A6897)),INDEX(Settings!$B$29:$B$40,MONTH(A6897)))))</f>
        <v/>
      </c>
    </row>
    <row r="6898" customFormat="false" ht="15" hidden="false" customHeight="false" outlineLevel="0" collapsed="false">
      <c r="H6898" s="0" t="str">
        <f aca="false">IF(B6898="","",IF(COUNTIF(Campaigns!$A$7:$A$300,B6898)&gt;0,"✓","⚠ add to Campaigns tab"))</f>
        <v/>
      </c>
      <c r="I6898" s="84" t="str">
        <f aca="false">IF(C6898="","",C6898*IF(Settings!$B$22=Settings!$C$6,1,IF(Settings!$B$22="USD",1/INDEX(Settings!$B$29:$B$40,MONTH(A6898)),INDEX(Settings!$B$29:$B$40,MONTH(A6898)))))</f>
        <v/>
      </c>
    </row>
    <row r="6899" customFormat="false" ht="15" hidden="false" customHeight="false" outlineLevel="0" collapsed="false">
      <c r="H6899" s="0" t="str">
        <f aca="false">IF(B6899="","",IF(COUNTIF(Campaigns!$A$7:$A$300,B6899)&gt;0,"✓","⚠ add to Campaigns tab"))</f>
        <v/>
      </c>
      <c r="I6899" s="84" t="str">
        <f aca="false">IF(C6899="","",C6899*IF(Settings!$B$22=Settings!$C$6,1,IF(Settings!$B$22="USD",1/INDEX(Settings!$B$29:$B$40,MONTH(A6899)),INDEX(Settings!$B$29:$B$40,MONTH(A6899)))))</f>
        <v/>
      </c>
    </row>
    <row r="6900" customFormat="false" ht="15" hidden="false" customHeight="false" outlineLevel="0" collapsed="false">
      <c r="H6900" s="0" t="str">
        <f aca="false">IF(B6900="","",IF(COUNTIF(Campaigns!$A$7:$A$300,B6900)&gt;0,"✓","⚠ add to Campaigns tab"))</f>
        <v/>
      </c>
      <c r="I6900" s="84" t="str">
        <f aca="false">IF(C6900="","",C6900*IF(Settings!$B$22=Settings!$C$6,1,IF(Settings!$B$22="USD",1/INDEX(Settings!$B$29:$B$40,MONTH(A6900)),INDEX(Settings!$B$29:$B$40,MONTH(A6900)))))</f>
        <v/>
      </c>
    </row>
    <row r="6901" customFormat="false" ht="15" hidden="false" customHeight="false" outlineLevel="0" collapsed="false">
      <c r="H6901" s="0" t="str">
        <f aca="false">IF(B6901="","",IF(COUNTIF(Campaigns!$A$7:$A$300,B6901)&gt;0,"✓","⚠ add to Campaigns tab"))</f>
        <v/>
      </c>
      <c r="I6901" s="84" t="str">
        <f aca="false">IF(C6901="","",C6901*IF(Settings!$B$22=Settings!$C$6,1,IF(Settings!$B$22="USD",1/INDEX(Settings!$B$29:$B$40,MONTH(A6901)),INDEX(Settings!$B$29:$B$40,MONTH(A6901)))))</f>
        <v/>
      </c>
    </row>
    <row r="6902" customFormat="false" ht="15" hidden="false" customHeight="false" outlineLevel="0" collapsed="false">
      <c r="H6902" s="0" t="str">
        <f aca="false">IF(B6902="","",IF(COUNTIF(Campaigns!$A$7:$A$300,B6902)&gt;0,"✓","⚠ add to Campaigns tab"))</f>
        <v/>
      </c>
      <c r="I6902" s="84" t="str">
        <f aca="false">IF(C6902="","",C6902*IF(Settings!$B$22=Settings!$C$6,1,IF(Settings!$B$22="USD",1/INDEX(Settings!$B$29:$B$40,MONTH(A6902)),INDEX(Settings!$B$29:$B$40,MONTH(A6902)))))</f>
        <v/>
      </c>
    </row>
    <row r="6903" customFormat="false" ht="15" hidden="false" customHeight="false" outlineLevel="0" collapsed="false">
      <c r="H6903" s="0" t="str">
        <f aca="false">IF(B6903="","",IF(COUNTIF(Campaigns!$A$7:$A$300,B6903)&gt;0,"✓","⚠ add to Campaigns tab"))</f>
        <v/>
      </c>
      <c r="I6903" s="84" t="str">
        <f aca="false">IF(C6903="","",C6903*IF(Settings!$B$22=Settings!$C$6,1,IF(Settings!$B$22="USD",1/INDEX(Settings!$B$29:$B$40,MONTH(A6903)),INDEX(Settings!$B$29:$B$40,MONTH(A6903)))))</f>
        <v/>
      </c>
    </row>
    <row r="6904" customFormat="false" ht="15" hidden="false" customHeight="false" outlineLevel="0" collapsed="false">
      <c r="H6904" s="0" t="str">
        <f aca="false">IF(B6904="","",IF(COUNTIF(Campaigns!$A$7:$A$300,B6904)&gt;0,"✓","⚠ add to Campaigns tab"))</f>
        <v/>
      </c>
      <c r="I6904" s="84" t="str">
        <f aca="false">IF(C6904="","",C6904*IF(Settings!$B$22=Settings!$C$6,1,IF(Settings!$B$22="USD",1/INDEX(Settings!$B$29:$B$40,MONTH(A6904)),INDEX(Settings!$B$29:$B$40,MONTH(A6904)))))</f>
        <v/>
      </c>
    </row>
    <row r="6905" customFormat="false" ht="15" hidden="false" customHeight="false" outlineLevel="0" collapsed="false">
      <c r="H6905" s="0" t="str">
        <f aca="false">IF(B6905="","",IF(COUNTIF(Campaigns!$A$7:$A$300,B6905)&gt;0,"✓","⚠ add to Campaigns tab"))</f>
        <v/>
      </c>
      <c r="I6905" s="84" t="str">
        <f aca="false">IF(C6905="","",C6905*IF(Settings!$B$22=Settings!$C$6,1,IF(Settings!$B$22="USD",1/INDEX(Settings!$B$29:$B$40,MONTH(A6905)),INDEX(Settings!$B$29:$B$40,MONTH(A6905)))))</f>
        <v/>
      </c>
    </row>
    <row r="6906" customFormat="false" ht="15" hidden="false" customHeight="false" outlineLevel="0" collapsed="false">
      <c r="H6906" s="0" t="str">
        <f aca="false">IF(B6906="","",IF(COUNTIF(Campaigns!$A$7:$A$300,B6906)&gt;0,"✓","⚠ add to Campaigns tab"))</f>
        <v/>
      </c>
      <c r="I6906" s="84" t="str">
        <f aca="false">IF(C6906="","",C6906*IF(Settings!$B$22=Settings!$C$6,1,IF(Settings!$B$22="USD",1/INDEX(Settings!$B$29:$B$40,MONTH(A6906)),INDEX(Settings!$B$29:$B$40,MONTH(A6906)))))</f>
        <v/>
      </c>
    </row>
    <row r="6907" customFormat="false" ht="15" hidden="false" customHeight="false" outlineLevel="0" collapsed="false">
      <c r="H6907" s="0" t="str">
        <f aca="false">IF(B6907="","",IF(COUNTIF(Campaigns!$A$7:$A$300,B6907)&gt;0,"✓","⚠ add to Campaigns tab"))</f>
        <v/>
      </c>
      <c r="I6907" s="84" t="str">
        <f aca="false">IF(C6907="","",C6907*IF(Settings!$B$22=Settings!$C$6,1,IF(Settings!$B$22="USD",1/INDEX(Settings!$B$29:$B$40,MONTH(A6907)),INDEX(Settings!$B$29:$B$40,MONTH(A6907)))))</f>
        <v/>
      </c>
    </row>
    <row r="6908" customFormat="false" ht="15" hidden="false" customHeight="false" outlineLevel="0" collapsed="false">
      <c r="H6908" s="0" t="str">
        <f aca="false">IF(B6908="","",IF(COUNTIF(Campaigns!$A$7:$A$300,B6908)&gt;0,"✓","⚠ add to Campaigns tab"))</f>
        <v/>
      </c>
      <c r="I6908" s="84" t="str">
        <f aca="false">IF(C6908="","",C6908*IF(Settings!$B$22=Settings!$C$6,1,IF(Settings!$B$22="USD",1/INDEX(Settings!$B$29:$B$40,MONTH(A6908)),INDEX(Settings!$B$29:$B$40,MONTH(A6908)))))</f>
        <v/>
      </c>
    </row>
    <row r="6909" customFormat="false" ht="15" hidden="false" customHeight="false" outlineLevel="0" collapsed="false">
      <c r="H6909" s="0" t="str">
        <f aca="false">IF(B6909="","",IF(COUNTIF(Campaigns!$A$7:$A$300,B6909)&gt;0,"✓","⚠ add to Campaigns tab"))</f>
        <v/>
      </c>
      <c r="I6909" s="84" t="str">
        <f aca="false">IF(C6909="","",C6909*IF(Settings!$B$22=Settings!$C$6,1,IF(Settings!$B$22="USD",1/INDEX(Settings!$B$29:$B$40,MONTH(A6909)),INDEX(Settings!$B$29:$B$40,MONTH(A6909)))))</f>
        <v/>
      </c>
    </row>
    <row r="6910" customFormat="false" ht="15" hidden="false" customHeight="false" outlineLevel="0" collapsed="false">
      <c r="H6910" s="0" t="str">
        <f aca="false">IF(B6910="","",IF(COUNTIF(Campaigns!$A$7:$A$300,B6910)&gt;0,"✓","⚠ add to Campaigns tab"))</f>
        <v/>
      </c>
      <c r="I6910" s="84" t="str">
        <f aca="false">IF(C6910="","",C6910*IF(Settings!$B$22=Settings!$C$6,1,IF(Settings!$B$22="USD",1/INDEX(Settings!$B$29:$B$40,MONTH(A6910)),INDEX(Settings!$B$29:$B$40,MONTH(A6910)))))</f>
        <v/>
      </c>
    </row>
    <row r="6911" customFormat="false" ht="15" hidden="false" customHeight="false" outlineLevel="0" collapsed="false">
      <c r="H6911" s="0" t="str">
        <f aca="false">IF(B6911="","",IF(COUNTIF(Campaigns!$A$7:$A$300,B6911)&gt;0,"✓","⚠ add to Campaigns tab"))</f>
        <v/>
      </c>
      <c r="I6911" s="84" t="str">
        <f aca="false">IF(C6911="","",C6911*IF(Settings!$B$22=Settings!$C$6,1,IF(Settings!$B$22="USD",1/INDEX(Settings!$B$29:$B$40,MONTH(A6911)),INDEX(Settings!$B$29:$B$40,MONTH(A6911)))))</f>
        <v/>
      </c>
    </row>
    <row r="6912" customFormat="false" ht="15" hidden="false" customHeight="false" outlineLevel="0" collapsed="false">
      <c r="H6912" s="0" t="str">
        <f aca="false">IF(B6912="","",IF(COUNTIF(Campaigns!$A$7:$A$300,B6912)&gt;0,"✓","⚠ add to Campaigns tab"))</f>
        <v/>
      </c>
      <c r="I6912" s="84" t="str">
        <f aca="false">IF(C6912="","",C6912*IF(Settings!$B$22=Settings!$C$6,1,IF(Settings!$B$22="USD",1/INDEX(Settings!$B$29:$B$40,MONTH(A6912)),INDEX(Settings!$B$29:$B$40,MONTH(A6912)))))</f>
        <v/>
      </c>
    </row>
    <row r="6913" customFormat="false" ht="15" hidden="false" customHeight="false" outlineLevel="0" collapsed="false">
      <c r="H6913" s="0" t="str">
        <f aca="false">IF(B6913="","",IF(COUNTIF(Campaigns!$A$7:$A$300,B6913)&gt;0,"✓","⚠ add to Campaigns tab"))</f>
        <v/>
      </c>
      <c r="I6913" s="84" t="str">
        <f aca="false">IF(C6913="","",C6913*IF(Settings!$B$22=Settings!$C$6,1,IF(Settings!$B$22="USD",1/INDEX(Settings!$B$29:$B$40,MONTH(A6913)),INDEX(Settings!$B$29:$B$40,MONTH(A6913)))))</f>
        <v/>
      </c>
    </row>
    <row r="6914" customFormat="false" ht="15" hidden="false" customHeight="false" outlineLevel="0" collapsed="false">
      <c r="H6914" s="0" t="str">
        <f aca="false">IF(B6914="","",IF(COUNTIF(Campaigns!$A$7:$A$300,B6914)&gt;0,"✓","⚠ add to Campaigns tab"))</f>
        <v/>
      </c>
      <c r="I6914" s="84" t="str">
        <f aca="false">IF(C6914="","",C6914*IF(Settings!$B$22=Settings!$C$6,1,IF(Settings!$B$22="USD",1/INDEX(Settings!$B$29:$B$40,MONTH(A6914)),INDEX(Settings!$B$29:$B$40,MONTH(A6914)))))</f>
        <v/>
      </c>
    </row>
    <row r="6915" customFormat="false" ht="15" hidden="false" customHeight="false" outlineLevel="0" collapsed="false">
      <c r="H6915" s="0" t="str">
        <f aca="false">IF(B6915="","",IF(COUNTIF(Campaigns!$A$7:$A$300,B6915)&gt;0,"✓","⚠ add to Campaigns tab"))</f>
        <v/>
      </c>
      <c r="I6915" s="84" t="str">
        <f aca="false">IF(C6915="","",C6915*IF(Settings!$B$22=Settings!$C$6,1,IF(Settings!$B$22="USD",1/INDEX(Settings!$B$29:$B$40,MONTH(A6915)),INDEX(Settings!$B$29:$B$40,MONTH(A6915)))))</f>
        <v/>
      </c>
    </row>
    <row r="6916" customFormat="false" ht="15" hidden="false" customHeight="false" outlineLevel="0" collapsed="false">
      <c r="H6916" s="0" t="str">
        <f aca="false">IF(B6916="","",IF(COUNTIF(Campaigns!$A$7:$A$300,B6916)&gt;0,"✓","⚠ add to Campaigns tab"))</f>
        <v/>
      </c>
      <c r="I6916" s="84" t="str">
        <f aca="false">IF(C6916="","",C6916*IF(Settings!$B$22=Settings!$C$6,1,IF(Settings!$B$22="USD",1/INDEX(Settings!$B$29:$B$40,MONTH(A6916)),INDEX(Settings!$B$29:$B$40,MONTH(A6916)))))</f>
        <v/>
      </c>
    </row>
    <row r="6917" customFormat="false" ht="15" hidden="false" customHeight="false" outlineLevel="0" collapsed="false">
      <c r="H6917" s="0" t="str">
        <f aca="false">IF(B6917="","",IF(COUNTIF(Campaigns!$A$7:$A$300,B6917)&gt;0,"✓","⚠ add to Campaigns tab"))</f>
        <v/>
      </c>
      <c r="I6917" s="84" t="str">
        <f aca="false">IF(C6917="","",C6917*IF(Settings!$B$22=Settings!$C$6,1,IF(Settings!$B$22="USD",1/INDEX(Settings!$B$29:$B$40,MONTH(A6917)),INDEX(Settings!$B$29:$B$40,MONTH(A6917)))))</f>
        <v/>
      </c>
    </row>
    <row r="6918" customFormat="false" ht="15" hidden="false" customHeight="false" outlineLevel="0" collapsed="false">
      <c r="H6918" s="0" t="str">
        <f aca="false">IF(B6918="","",IF(COUNTIF(Campaigns!$A$7:$A$300,B6918)&gt;0,"✓","⚠ add to Campaigns tab"))</f>
        <v/>
      </c>
      <c r="I6918" s="84" t="str">
        <f aca="false">IF(C6918="","",C6918*IF(Settings!$B$22=Settings!$C$6,1,IF(Settings!$B$22="USD",1/INDEX(Settings!$B$29:$B$40,MONTH(A6918)),INDEX(Settings!$B$29:$B$40,MONTH(A6918)))))</f>
        <v/>
      </c>
    </row>
    <row r="6919" customFormat="false" ht="15" hidden="false" customHeight="false" outlineLevel="0" collapsed="false">
      <c r="H6919" s="0" t="str">
        <f aca="false">IF(B6919="","",IF(COUNTIF(Campaigns!$A$7:$A$300,B6919)&gt;0,"✓","⚠ add to Campaigns tab"))</f>
        <v/>
      </c>
      <c r="I6919" s="84" t="str">
        <f aca="false">IF(C6919="","",C6919*IF(Settings!$B$22=Settings!$C$6,1,IF(Settings!$B$22="USD",1/INDEX(Settings!$B$29:$B$40,MONTH(A6919)),INDEX(Settings!$B$29:$B$40,MONTH(A6919)))))</f>
        <v/>
      </c>
    </row>
    <row r="6920" customFormat="false" ht="15" hidden="false" customHeight="false" outlineLevel="0" collapsed="false">
      <c r="H6920" s="0" t="str">
        <f aca="false">IF(B6920="","",IF(COUNTIF(Campaigns!$A$7:$A$300,B6920)&gt;0,"✓","⚠ add to Campaigns tab"))</f>
        <v/>
      </c>
      <c r="I6920" s="84" t="str">
        <f aca="false">IF(C6920="","",C6920*IF(Settings!$B$22=Settings!$C$6,1,IF(Settings!$B$22="USD",1/INDEX(Settings!$B$29:$B$40,MONTH(A6920)),INDEX(Settings!$B$29:$B$40,MONTH(A6920)))))</f>
        <v/>
      </c>
    </row>
    <row r="6921" customFormat="false" ht="15" hidden="false" customHeight="false" outlineLevel="0" collapsed="false">
      <c r="H6921" s="0" t="str">
        <f aca="false">IF(B6921="","",IF(COUNTIF(Campaigns!$A$7:$A$300,B6921)&gt;0,"✓","⚠ add to Campaigns tab"))</f>
        <v/>
      </c>
      <c r="I6921" s="84" t="str">
        <f aca="false">IF(C6921="","",C6921*IF(Settings!$B$22=Settings!$C$6,1,IF(Settings!$B$22="USD",1/INDEX(Settings!$B$29:$B$40,MONTH(A6921)),INDEX(Settings!$B$29:$B$40,MONTH(A6921)))))</f>
        <v/>
      </c>
    </row>
    <row r="6922" customFormat="false" ht="15" hidden="false" customHeight="false" outlineLevel="0" collapsed="false">
      <c r="H6922" s="0" t="str">
        <f aca="false">IF(B6922="","",IF(COUNTIF(Campaigns!$A$7:$A$300,B6922)&gt;0,"✓","⚠ add to Campaigns tab"))</f>
        <v/>
      </c>
      <c r="I6922" s="84" t="str">
        <f aca="false">IF(C6922="","",C6922*IF(Settings!$B$22=Settings!$C$6,1,IF(Settings!$B$22="USD",1/INDEX(Settings!$B$29:$B$40,MONTH(A6922)),INDEX(Settings!$B$29:$B$40,MONTH(A6922)))))</f>
        <v/>
      </c>
    </row>
    <row r="6923" customFormat="false" ht="15" hidden="false" customHeight="false" outlineLevel="0" collapsed="false">
      <c r="H6923" s="0" t="str">
        <f aca="false">IF(B6923="","",IF(COUNTIF(Campaigns!$A$7:$A$300,B6923)&gt;0,"✓","⚠ add to Campaigns tab"))</f>
        <v/>
      </c>
      <c r="I6923" s="84" t="str">
        <f aca="false">IF(C6923="","",C6923*IF(Settings!$B$22=Settings!$C$6,1,IF(Settings!$B$22="USD",1/INDEX(Settings!$B$29:$B$40,MONTH(A6923)),INDEX(Settings!$B$29:$B$40,MONTH(A6923)))))</f>
        <v/>
      </c>
    </row>
    <row r="6924" customFormat="false" ht="15" hidden="false" customHeight="false" outlineLevel="0" collapsed="false">
      <c r="H6924" s="0" t="str">
        <f aca="false">IF(B6924="","",IF(COUNTIF(Campaigns!$A$7:$A$300,B6924)&gt;0,"✓","⚠ add to Campaigns tab"))</f>
        <v/>
      </c>
      <c r="I6924" s="84" t="str">
        <f aca="false">IF(C6924="","",C6924*IF(Settings!$B$22=Settings!$C$6,1,IF(Settings!$B$22="USD",1/INDEX(Settings!$B$29:$B$40,MONTH(A6924)),INDEX(Settings!$B$29:$B$40,MONTH(A6924)))))</f>
        <v/>
      </c>
    </row>
    <row r="6925" customFormat="false" ht="15" hidden="false" customHeight="false" outlineLevel="0" collapsed="false">
      <c r="H6925" s="0" t="str">
        <f aca="false">IF(B6925="","",IF(COUNTIF(Campaigns!$A$7:$A$300,B6925)&gt;0,"✓","⚠ add to Campaigns tab"))</f>
        <v/>
      </c>
      <c r="I6925" s="84" t="str">
        <f aca="false">IF(C6925="","",C6925*IF(Settings!$B$22=Settings!$C$6,1,IF(Settings!$B$22="USD",1/INDEX(Settings!$B$29:$B$40,MONTH(A6925)),INDEX(Settings!$B$29:$B$40,MONTH(A6925)))))</f>
        <v/>
      </c>
    </row>
    <row r="6926" customFormat="false" ht="15" hidden="false" customHeight="false" outlineLevel="0" collapsed="false">
      <c r="H6926" s="0" t="str">
        <f aca="false">IF(B6926="","",IF(COUNTIF(Campaigns!$A$7:$A$300,B6926)&gt;0,"✓","⚠ add to Campaigns tab"))</f>
        <v/>
      </c>
      <c r="I6926" s="84" t="str">
        <f aca="false">IF(C6926="","",C6926*IF(Settings!$B$22=Settings!$C$6,1,IF(Settings!$B$22="USD",1/INDEX(Settings!$B$29:$B$40,MONTH(A6926)),INDEX(Settings!$B$29:$B$40,MONTH(A6926)))))</f>
        <v/>
      </c>
    </row>
    <row r="6927" customFormat="false" ht="15" hidden="false" customHeight="false" outlineLevel="0" collapsed="false">
      <c r="H6927" s="0" t="str">
        <f aca="false">IF(B6927="","",IF(COUNTIF(Campaigns!$A$7:$A$300,B6927)&gt;0,"✓","⚠ add to Campaigns tab"))</f>
        <v/>
      </c>
      <c r="I6927" s="84" t="str">
        <f aca="false">IF(C6927="","",C6927*IF(Settings!$B$22=Settings!$C$6,1,IF(Settings!$B$22="USD",1/INDEX(Settings!$B$29:$B$40,MONTH(A6927)),INDEX(Settings!$B$29:$B$40,MONTH(A6927)))))</f>
        <v/>
      </c>
    </row>
    <row r="6928" customFormat="false" ht="15" hidden="false" customHeight="false" outlineLevel="0" collapsed="false">
      <c r="H6928" s="0" t="str">
        <f aca="false">IF(B6928="","",IF(COUNTIF(Campaigns!$A$7:$A$300,B6928)&gt;0,"✓","⚠ add to Campaigns tab"))</f>
        <v/>
      </c>
      <c r="I6928" s="84" t="str">
        <f aca="false">IF(C6928="","",C6928*IF(Settings!$B$22=Settings!$C$6,1,IF(Settings!$B$22="USD",1/INDEX(Settings!$B$29:$B$40,MONTH(A6928)),INDEX(Settings!$B$29:$B$40,MONTH(A6928)))))</f>
        <v/>
      </c>
    </row>
    <row r="6929" customFormat="false" ht="15" hidden="false" customHeight="false" outlineLevel="0" collapsed="false">
      <c r="H6929" s="0" t="str">
        <f aca="false">IF(B6929="","",IF(COUNTIF(Campaigns!$A$7:$A$300,B6929)&gt;0,"✓","⚠ add to Campaigns tab"))</f>
        <v/>
      </c>
      <c r="I6929" s="84" t="str">
        <f aca="false">IF(C6929="","",C6929*IF(Settings!$B$22=Settings!$C$6,1,IF(Settings!$B$22="USD",1/INDEX(Settings!$B$29:$B$40,MONTH(A6929)),INDEX(Settings!$B$29:$B$40,MONTH(A6929)))))</f>
        <v/>
      </c>
    </row>
    <row r="6930" customFormat="false" ht="15" hidden="false" customHeight="false" outlineLevel="0" collapsed="false">
      <c r="H6930" s="0" t="str">
        <f aca="false">IF(B6930="","",IF(COUNTIF(Campaigns!$A$7:$A$300,B6930)&gt;0,"✓","⚠ add to Campaigns tab"))</f>
        <v/>
      </c>
      <c r="I6930" s="84" t="str">
        <f aca="false">IF(C6930="","",C6930*IF(Settings!$B$22=Settings!$C$6,1,IF(Settings!$B$22="USD",1/INDEX(Settings!$B$29:$B$40,MONTH(A6930)),INDEX(Settings!$B$29:$B$40,MONTH(A6930)))))</f>
        <v/>
      </c>
    </row>
    <row r="6931" customFormat="false" ht="15" hidden="false" customHeight="false" outlineLevel="0" collapsed="false">
      <c r="H6931" s="0" t="str">
        <f aca="false">IF(B6931="","",IF(COUNTIF(Campaigns!$A$7:$A$300,B6931)&gt;0,"✓","⚠ add to Campaigns tab"))</f>
        <v/>
      </c>
      <c r="I6931" s="84" t="str">
        <f aca="false">IF(C6931="","",C6931*IF(Settings!$B$22=Settings!$C$6,1,IF(Settings!$B$22="USD",1/INDEX(Settings!$B$29:$B$40,MONTH(A6931)),INDEX(Settings!$B$29:$B$40,MONTH(A6931)))))</f>
        <v/>
      </c>
    </row>
    <row r="6932" customFormat="false" ht="15" hidden="false" customHeight="false" outlineLevel="0" collapsed="false">
      <c r="H6932" s="0" t="str">
        <f aca="false">IF(B6932="","",IF(COUNTIF(Campaigns!$A$7:$A$300,B6932)&gt;0,"✓","⚠ add to Campaigns tab"))</f>
        <v/>
      </c>
      <c r="I6932" s="84" t="str">
        <f aca="false">IF(C6932="","",C6932*IF(Settings!$B$22=Settings!$C$6,1,IF(Settings!$B$22="USD",1/INDEX(Settings!$B$29:$B$40,MONTH(A6932)),INDEX(Settings!$B$29:$B$40,MONTH(A6932)))))</f>
        <v/>
      </c>
    </row>
    <row r="6933" customFormat="false" ht="15" hidden="false" customHeight="false" outlineLevel="0" collapsed="false">
      <c r="H6933" s="0" t="str">
        <f aca="false">IF(B6933="","",IF(COUNTIF(Campaigns!$A$7:$A$300,B6933)&gt;0,"✓","⚠ add to Campaigns tab"))</f>
        <v/>
      </c>
      <c r="I6933" s="84" t="str">
        <f aca="false">IF(C6933="","",C6933*IF(Settings!$B$22=Settings!$C$6,1,IF(Settings!$B$22="USD",1/INDEX(Settings!$B$29:$B$40,MONTH(A6933)),INDEX(Settings!$B$29:$B$40,MONTH(A6933)))))</f>
        <v/>
      </c>
    </row>
    <row r="6934" customFormat="false" ht="15" hidden="false" customHeight="false" outlineLevel="0" collapsed="false">
      <c r="H6934" s="0" t="str">
        <f aca="false">IF(B6934="","",IF(COUNTIF(Campaigns!$A$7:$A$300,B6934)&gt;0,"✓","⚠ add to Campaigns tab"))</f>
        <v/>
      </c>
      <c r="I6934" s="84" t="str">
        <f aca="false">IF(C6934="","",C6934*IF(Settings!$B$22=Settings!$C$6,1,IF(Settings!$B$22="USD",1/INDEX(Settings!$B$29:$B$40,MONTH(A6934)),INDEX(Settings!$B$29:$B$40,MONTH(A6934)))))</f>
        <v/>
      </c>
    </row>
    <row r="6935" customFormat="false" ht="15" hidden="false" customHeight="false" outlineLevel="0" collapsed="false">
      <c r="H6935" s="0" t="str">
        <f aca="false">IF(B6935="","",IF(COUNTIF(Campaigns!$A$7:$A$300,B6935)&gt;0,"✓","⚠ add to Campaigns tab"))</f>
        <v/>
      </c>
      <c r="I6935" s="84" t="str">
        <f aca="false">IF(C6935="","",C6935*IF(Settings!$B$22=Settings!$C$6,1,IF(Settings!$B$22="USD",1/INDEX(Settings!$B$29:$B$40,MONTH(A6935)),INDEX(Settings!$B$29:$B$40,MONTH(A6935)))))</f>
        <v/>
      </c>
    </row>
    <row r="6936" customFormat="false" ht="15" hidden="false" customHeight="false" outlineLevel="0" collapsed="false">
      <c r="H6936" s="0" t="str">
        <f aca="false">IF(B6936="","",IF(COUNTIF(Campaigns!$A$7:$A$300,B6936)&gt;0,"✓","⚠ add to Campaigns tab"))</f>
        <v/>
      </c>
      <c r="I6936" s="84" t="str">
        <f aca="false">IF(C6936="","",C6936*IF(Settings!$B$22=Settings!$C$6,1,IF(Settings!$B$22="USD",1/INDEX(Settings!$B$29:$B$40,MONTH(A6936)),INDEX(Settings!$B$29:$B$40,MONTH(A6936)))))</f>
        <v/>
      </c>
    </row>
    <row r="6937" customFormat="false" ht="15" hidden="false" customHeight="false" outlineLevel="0" collapsed="false">
      <c r="H6937" s="0" t="str">
        <f aca="false">IF(B6937="","",IF(COUNTIF(Campaigns!$A$7:$A$300,B6937)&gt;0,"✓","⚠ add to Campaigns tab"))</f>
        <v/>
      </c>
      <c r="I6937" s="84" t="str">
        <f aca="false">IF(C6937="","",C6937*IF(Settings!$B$22=Settings!$C$6,1,IF(Settings!$B$22="USD",1/INDEX(Settings!$B$29:$B$40,MONTH(A6937)),INDEX(Settings!$B$29:$B$40,MONTH(A6937)))))</f>
        <v/>
      </c>
    </row>
    <row r="6938" customFormat="false" ht="15" hidden="false" customHeight="false" outlineLevel="0" collapsed="false">
      <c r="H6938" s="0" t="str">
        <f aca="false">IF(B6938="","",IF(COUNTIF(Campaigns!$A$7:$A$300,B6938)&gt;0,"✓","⚠ add to Campaigns tab"))</f>
        <v/>
      </c>
      <c r="I6938" s="84" t="str">
        <f aca="false">IF(C6938="","",C6938*IF(Settings!$B$22=Settings!$C$6,1,IF(Settings!$B$22="USD",1/INDEX(Settings!$B$29:$B$40,MONTH(A6938)),INDEX(Settings!$B$29:$B$40,MONTH(A6938)))))</f>
        <v/>
      </c>
    </row>
    <row r="6939" customFormat="false" ht="15" hidden="false" customHeight="false" outlineLevel="0" collapsed="false">
      <c r="H6939" s="0" t="str">
        <f aca="false">IF(B6939="","",IF(COUNTIF(Campaigns!$A$7:$A$300,B6939)&gt;0,"✓","⚠ add to Campaigns tab"))</f>
        <v/>
      </c>
      <c r="I6939" s="84" t="str">
        <f aca="false">IF(C6939="","",C6939*IF(Settings!$B$22=Settings!$C$6,1,IF(Settings!$B$22="USD",1/INDEX(Settings!$B$29:$B$40,MONTH(A6939)),INDEX(Settings!$B$29:$B$40,MONTH(A6939)))))</f>
        <v/>
      </c>
    </row>
    <row r="6940" customFormat="false" ht="15" hidden="false" customHeight="false" outlineLevel="0" collapsed="false">
      <c r="H6940" s="0" t="str">
        <f aca="false">IF(B6940="","",IF(COUNTIF(Campaigns!$A$7:$A$300,B6940)&gt;0,"✓","⚠ add to Campaigns tab"))</f>
        <v/>
      </c>
      <c r="I6940" s="84" t="str">
        <f aca="false">IF(C6940="","",C6940*IF(Settings!$B$22=Settings!$C$6,1,IF(Settings!$B$22="USD",1/INDEX(Settings!$B$29:$B$40,MONTH(A6940)),INDEX(Settings!$B$29:$B$40,MONTH(A6940)))))</f>
        <v/>
      </c>
    </row>
    <row r="6941" customFormat="false" ht="15" hidden="false" customHeight="false" outlineLevel="0" collapsed="false">
      <c r="H6941" s="0" t="str">
        <f aca="false">IF(B6941="","",IF(COUNTIF(Campaigns!$A$7:$A$300,B6941)&gt;0,"✓","⚠ add to Campaigns tab"))</f>
        <v/>
      </c>
      <c r="I6941" s="84" t="str">
        <f aca="false">IF(C6941="","",C6941*IF(Settings!$B$22=Settings!$C$6,1,IF(Settings!$B$22="USD",1/INDEX(Settings!$B$29:$B$40,MONTH(A6941)),INDEX(Settings!$B$29:$B$40,MONTH(A6941)))))</f>
        <v/>
      </c>
    </row>
    <row r="6942" customFormat="false" ht="15" hidden="false" customHeight="false" outlineLevel="0" collapsed="false">
      <c r="H6942" s="0" t="str">
        <f aca="false">IF(B6942="","",IF(COUNTIF(Campaigns!$A$7:$A$300,B6942)&gt;0,"✓","⚠ add to Campaigns tab"))</f>
        <v/>
      </c>
      <c r="I6942" s="84" t="str">
        <f aca="false">IF(C6942="","",C6942*IF(Settings!$B$22=Settings!$C$6,1,IF(Settings!$B$22="USD",1/INDEX(Settings!$B$29:$B$40,MONTH(A6942)),INDEX(Settings!$B$29:$B$40,MONTH(A6942)))))</f>
        <v/>
      </c>
    </row>
    <row r="6943" customFormat="false" ht="15" hidden="false" customHeight="false" outlineLevel="0" collapsed="false">
      <c r="H6943" s="0" t="str">
        <f aca="false">IF(B6943="","",IF(COUNTIF(Campaigns!$A$7:$A$300,B6943)&gt;0,"✓","⚠ add to Campaigns tab"))</f>
        <v/>
      </c>
      <c r="I6943" s="84" t="str">
        <f aca="false">IF(C6943="","",C6943*IF(Settings!$B$22=Settings!$C$6,1,IF(Settings!$B$22="USD",1/INDEX(Settings!$B$29:$B$40,MONTH(A6943)),INDEX(Settings!$B$29:$B$40,MONTH(A6943)))))</f>
        <v/>
      </c>
    </row>
    <row r="6944" customFormat="false" ht="15" hidden="false" customHeight="false" outlineLevel="0" collapsed="false">
      <c r="H6944" s="0" t="str">
        <f aca="false">IF(B6944="","",IF(COUNTIF(Campaigns!$A$7:$A$300,B6944)&gt;0,"✓","⚠ add to Campaigns tab"))</f>
        <v/>
      </c>
      <c r="I6944" s="84" t="str">
        <f aca="false">IF(C6944="","",C6944*IF(Settings!$B$22=Settings!$C$6,1,IF(Settings!$B$22="USD",1/INDEX(Settings!$B$29:$B$40,MONTH(A6944)),INDEX(Settings!$B$29:$B$40,MONTH(A6944)))))</f>
        <v/>
      </c>
    </row>
    <row r="6945" customFormat="false" ht="15" hidden="false" customHeight="false" outlineLevel="0" collapsed="false">
      <c r="H6945" s="0" t="str">
        <f aca="false">IF(B6945="","",IF(COUNTIF(Campaigns!$A$7:$A$300,B6945)&gt;0,"✓","⚠ add to Campaigns tab"))</f>
        <v/>
      </c>
      <c r="I6945" s="84" t="str">
        <f aca="false">IF(C6945="","",C6945*IF(Settings!$B$22=Settings!$C$6,1,IF(Settings!$B$22="USD",1/INDEX(Settings!$B$29:$B$40,MONTH(A6945)),INDEX(Settings!$B$29:$B$40,MONTH(A6945)))))</f>
        <v/>
      </c>
    </row>
    <row r="6946" customFormat="false" ht="15" hidden="false" customHeight="false" outlineLevel="0" collapsed="false">
      <c r="H6946" s="0" t="str">
        <f aca="false">IF(B6946="","",IF(COUNTIF(Campaigns!$A$7:$A$300,B6946)&gt;0,"✓","⚠ add to Campaigns tab"))</f>
        <v/>
      </c>
      <c r="I6946" s="84" t="str">
        <f aca="false">IF(C6946="","",C6946*IF(Settings!$B$22=Settings!$C$6,1,IF(Settings!$B$22="USD",1/INDEX(Settings!$B$29:$B$40,MONTH(A6946)),INDEX(Settings!$B$29:$B$40,MONTH(A6946)))))</f>
        <v/>
      </c>
    </row>
    <row r="6947" customFormat="false" ht="15" hidden="false" customHeight="false" outlineLevel="0" collapsed="false">
      <c r="H6947" s="0" t="str">
        <f aca="false">IF(B6947="","",IF(COUNTIF(Campaigns!$A$7:$A$300,B6947)&gt;0,"✓","⚠ add to Campaigns tab"))</f>
        <v/>
      </c>
      <c r="I6947" s="84" t="str">
        <f aca="false">IF(C6947="","",C6947*IF(Settings!$B$22=Settings!$C$6,1,IF(Settings!$B$22="USD",1/INDEX(Settings!$B$29:$B$40,MONTH(A6947)),INDEX(Settings!$B$29:$B$40,MONTH(A6947)))))</f>
        <v/>
      </c>
    </row>
    <row r="6948" customFormat="false" ht="15" hidden="false" customHeight="false" outlineLevel="0" collapsed="false">
      <c r="H6948" s="0" t="str">
        <f aca="false">IF(B6948="","",IF(COUNTIF(Campaigns!$A$7:$A$300,B6948)&gt;0,"✓","⚠ add to Campaigns tab"))</f>
        <v/>
      </c>
      <c r="I6948" s="84" t="str">
        <f aca="false">IF(C6948="","",C6948*IF(Settings!$B$22=Settings!$C$6,1,IF(Settings!$B$22="USD",1/INDEX(Settings!$B$29:$B$40,MONTH(A6948)),INDEX(Settings!$B$29:$B$40,MONTH(A6948)))))</f>
        <v/>
      </c>
    </row>
    <row r="6949" customFormat="false" ht="15" hidden="false" customHeight="false" outlineLevel="0" collapsed="false">
      <c r="H6949" s="0" t="str">
        <f aca="false">IF(B6949="","",IF(COUNTIF(Campaigns!$A$7:$A$300,B6949)&gt;0,"✓","⚠ add to Campaigns tab"))</f>
        <v/>
      </c>
      <c r="I6949" s="84" t="str">
        <f aca="false">IF(C6949="","",C6949*IF(Settings!$B$22=Settings!$C$6,1,IF(Settings!$B$22="USD",1/INDEX(Settings!$B$29:$B$40,MONTH(A6949)),INDEX(Settings!$B$29:$B$40,MONTH(A6949)))))</f>
        <v/>
      </c>
    </row>
    <row r="6950" customFormat="false" ht="15" hidden="false" customHeight="false" outlineLevel="0" collapsed="false">
      <c r="H6950" s="0" t="str">
        <f aca="false">IF(B6950="","",IF(COUNTIF(Campaigns!$A$7:$A$300,B6950)&gt;0,"✓","⚠ add to Campaigns tab"))</f>
        <v/>
      </c>
      <c r="I6950" s="84" t="str">
        <f aca="false">IF(C6950="","",C6950*IF(Settings!$B$22=Settings!$C$6,1,IF(Settings!$B$22="USD",1/INDEX(Settings!$B$29:$B$40,MONTH(A6950)),INDEX(Settings!$B$29:$B$40,MONTH(A6950)))))</f>
        <v/>
      </c>
    </row>
    <row r="6951" customFormat="false" ht="15" hidden="false" customHeight="false" outlineLevel="0" collapsed="false">
      <c r="H6951" s="0" t="str">
        <f aca="false">IF(B6951="","",IF(COUNTIF(Campaigns!$A$7:$A$300,B6951)&gt;0,"✓","⚠ add to Campaigns tab"))</f>
        <v/>
      </c>
      <c r="I6951" s="84" t="str">
        <f aca="false">IF(C6951="","",C6951*IF(Settings!$B$22=Settings!$C$6,1,IF(Settings!$B$22="USD",1/INDEX(Settings!$B$29:$B$40,MONTH(A6951)),INDEX(Settings!$B$29:$B$40,MONTH(A6951)))))</f>
        <v/>
      </c>
    </row>
    <row r="6952" customFormat="false" ht="15" hidden="false" customHeight="false" outlineLevel="0" collapsed="false">
      <c r="H6952" s="0" t="str">
        <f aca="false">IF(B6952="","",IF(COUNTIF(Campaigns!$A$7:$A$300,B6952)&gt;0,"✓","⚠ add to Campaigns tab"))</f>
        <v/>
      </c>
      <c r="I6952" s="84" t="str">
        <f aca="false">IF(C6952="","",C6952*IF(Settings!$B$22=Settings!$C$6,1,IF(Settings!$B$22="USD",1/INDEX(Settings!$B$29:$B$40,MONTH(A6952)),INDEX(Settings!$B$29:$B$40,MONTH(A6952)))))</f>
        <v/>
      </c>
    </row>
    <row r="6953" customFormat="false" ht="15" hidden="false" customHeight="false" outlineLevel="0" collapsed="false">
      <c r="H6953" s="0" t="str">
        <f aca="false">IF(B6953="","",IF(COUNTIF(Campaigns!$A$7:$A$300,B6953)&gt;0,"✓","⚠ add to Campaigns tab"))</f>
        <v/>
      </c>
      <c r="I6953" s="84" t="str">
        <f aca="false">IF(C6953="","",C6953*IF(Settings!$B$22=Settings!$C$6,1,IF(Settings!$B$22="USD",1/INDEX(Settings!$B$29:$B$40,MONTH(A6953)),INDEX(Settings!$B$29:$B$40,MONTH(A6953)))))</f>
        <v/>
      </c>
    </row>
    <row r="6954" customFormat="false" ht="15" hidden="false" customHeight="false" outlineLevel="0" collapsed="false">
      <c r="H6954" s="0" t="str">
        <f aca="false">IF(B6954="","",IF(COUNTIF(Campaigns!$A$7:$A$300,B6954)&gt;0,"✓","⚠ add to Campaigns tab"))</f>
        <v/>
      </c>
      <c r="I6954" s="84" t="str">
        <f aca="false">IF(C6954="","",C6954*IF(Settings!$B$22=Settings!$C$6,1,IF(Settings!$B$22="USD",1/INDEX(Settings!$B$29:$B$40,MONTH(A6954)),INDEX(Settings!$B$29:$B$40,MONTH(A6954)))))</f>
        <v/>
      </c>
    </row>
    <row r="6955" customFormat="false" ht="15" hidden="false" customHeight="false" outlineLevel="0" collapsed="false">
      <c r="H6955" s="0" t="str">
        <f aca="false">IF(B6955="","",IF(COUNTIF(Campaigns!$A$7:$A$300,B6955)&gt;0,"✓","⚠ add to Campaigns tab"))</f>
        <v/>
      </c>
      <c r="I6955" s="84" t="str">
        <f aca="false">IF(C6955="","",C6955*IF(Settings!$B$22=Settings!$C$6,1,IF(Settings!$B$22="USD",1/INDEX(Settings!$B$29:$B$40,MONTH(A6955)),INDEX(Settings!$B$29:$B$40,MONTH(A6955)))))</f>
        <v/>
      </c>
    </row>
    <row r="6956" customFormat="false" ht="15" hidden="false" customHeight="false" outlineLevel="0" collapsed="false">
      <c r="H6956" s="0" t="str">
        <f aca="false">IF(B6956="","",IF(COUNTIF(Campaigns!$A$7:$A$300,B6956)&gt;0,"✓","⚠ add to Campaigns tab"))</f>
        <v/>
      </c>
      <c r="I6956" s="84" t="str">
        <f aca="false">IF(C6956="","",C6956*IF(Settings!$B$22=Settings!$C$6,1,IF(Settings!$B$22="USD",1/INDEX(Settings!$B$29:$B$40,MONTH(A6956)),INDEX(Settings!$B$29:$B$40,MONTH(A6956)))))</f>
        <v/>
      </c>
    </row>
    <row r="6957" customFormat="false" ht="15" hidden="false" customHeight="false" outlineLevel="0" collapsed="false">
      <c r="H6957" s="0" t="str">
        <f aca="false">IF(B6957="","",IF(COUNTIF(Campaigns!$A$7:$A$300,B6957)&gt;0,"✓","⚠ add to Campaigns tab"))</f>
        <v/>
      </c>
      <c r="I6957" s="84" t="str">
        <f aca="false">IF(C6957="","",C6957*IF(Settings!$B$22=Settings!$C$6,1,IF(Settings!$B$22="USD",1/INDEX(Settings!$B$29:$B$40,MONTH(A6957)),INDEX(Settings!$B$29:$B$40,MONTH(A6957)))))</f>
        <v/>
      </c>
    </row>
    <row r="6958" customFormat="false" ht="15" hidden="false" customHeight="false" outlineLevel="0" collapsed="false">
      <c r="H6958" s="0" t="str">
        <f aca="false">IF(B6958="","",IF(COUNTIF(Campaigns!$A$7:$A$300,B6958)&gt;0,"✓","⚠ add to Campaigns tab"))</f>
        <v/>
      </c>
      <c r="I6958" s="84" t="str">
        <f aca="false">IF(C6958="","",C6958*IF(Settings!$B$22=Settings!$C$6,1,IF(Settings!$B$22="USD",1/INDEX(Settings!$B$29:$B$40,MONTH(A6958)),INDEX(Settings!$B$29:$B$40,MONTH(A6958)))))</f>
        <v/>
      </c>
    </row>
    <row r="6959" customFormat="false" ht="15" hidden="false" customHeight="false" outlineLevel="0" collapsed="false">
      <c r="H6959" s="0" t="str">
        <f aca="false">IF(B6959="","",IF(COUNTIF(Campaigns!$A$7:$A$300,B6959)&gt;0,"✓","⚠ add to Campaigns tab"))</f>
        <v/>
      </c>
      <c r="I6959" s="84" t="str">
        <f aca="false">IF(C6959="","",C6959*IF(Settings!$B$22=Settings!$C$6,1,IF(Settings!$B$22="USD",1/INDEX(Settings!$B$29:$B$40,MONTH(A6959)),INDEX(Settings!$B$29:$B$40,MONTH(A6959)))))</f>
        <v/>
      </c>
    </row>
    <row r="6960" customFormat="false" ht="15" hidden="false" customHeight="false" outlineLevel="0" collapsed="false">
      <c r="H6960" s="0" t="str">
        <f aca="false">IF(B6960="","",IF(COUNTIF(Campaigns!$A$7:$A$300,B6960)&gt;0,"✓","⚠ add to Campaigns tab"))</f>
        <v/>
      </c>
      <c r="I6960" s="84" t="str">
        <f aca="false">IF(C6960="","",C6960*IF(Settings!$B$22=Settings!$C$6,1,IF(Settings!$B$22="USD",1/INDEX(Settings!$B$29:$B$40,MONTH(A6960)),INDEX(Settings!$B$29:$B$40,MONTH(A6960)))))</f>
        <v/>
      </c>
    </row>
    <row r="6961" customFormat="false" ht="15" hidden="false" customHeight="false" outlineLevel="0" collapsed="false">
      <c r="H6961" s="0" t="str">
        <f aca="false">IF(B6961="","",IF(COUNTIF(Campaigns!$A$7:$A$300,B6961)&gt;0,"✓","⚠ add to Campaigns tab"))</f>
        <v/>
      </c>
      <c r="I6961" s="84" t="str">
        <f aca="false">IF(C6961="","",C6961*IF(Settings!$B$22=Settings!$C$6,1,IF(Settings!$B$22="USD",1/INDEX(Settings!$B$29:$B$40,MONTH(A6961)),INDEX(Settings!$B$29:$B$40,MONTH(A6961)))))</f>
        <v/>
      </c>
    </row>
    <row r="6962" customFormat="false" ht="15" hidden="false" customHeight="false" outlineLevel="0" collapsed="false">
      <c r="H6962" s="0" t="str">
        <f aca="false">IF(B6962="","",IF(COUNTIF(Campaigns!$A$7:$A$300,B6962)&gt;0,"✓","⚠ add to Campaigns tab"))</f>
        <v/>
      </c>
      <c r="I6962" s="84" t="str">
        <f aca="false">IF(C6962="","",C6962*IF(Settings!$B$22=Settings!$C$6,1,IF(Settings!$B$22="USD",1/INDEX(Settings!$B$29:$B$40,MONTH(A6962)),INDEX(Settings!$B$29:$B$40,MONTH(A6962)))))</f>
        <v/>
      </c>
    </row>
    <row r="6963" customFormat="false" ht="15" hidden="false" customHeight="false" outlineLevel="0" collapsed="false">
      <c r="H6963" s="0" t="str">
        <f aca="false">IF(B6963="","",IF(COUNTIF(Campaigns!$A$7:$A$300,B6963)&gt;0,"✓","⚠ add to Campaigns tab"))</f>
        <v/>
      </c>
      <c r="I6963" s="84" t="str">
        <f aca="false">IF(C6963="","",C6963*IF(Settings!$B$22=Settings!$C$6,1,IF(Settings!$B$22="USD",1/INDEX(Settings!$B$29:$B$40,MONTH(A6963)),INDEX(Settings!$B$29:$B$40,MONTH(A6963)))))</f>
        <v/>
      </c>
    </row>
    <row r="6964" customFormat="false" ht="15" hidden="false" customHeight="false" outlineLevel="0" collapsed="false">
      <c r="H6964" s="0" t="str">
        <f aca="false">IF(B6964="","",IF(COUNTIF(Campaigns!$A$7:$A$300,B6964)&gt;0,"✓","⚠ add to Campaigns tab"))</f>
        <v/>
      </c>
      <c r="I6964" s="84" t="str">
        <f aca="false">IF(C6964="","",C6964*IF(Settings!$B$22=Settings!$C$6,1,IF(Settings!$B$22="USD",1/INDEX(Settings!$B$29:$B$40,MONTH(A6964)),INDEX(Settings!$B$29:$B$40,MONTH(A6964)))))</f>
        <v/>
      </c>
    </row>
    <row r="6965" customFormat="false" ht="15" hidden="false" customHeight="false" outlineLevel="0" collapsed="false">
      <c r="H6965" s="0" t="str">
        <f aca="false">IF(B6965="","",IF(COUNTIF(Campaigns!$A$7:$A$300,B6965)&gt;0,"✓","⚠ add to Campaigns tab"))</f>
        <v/>
      </c>
      <c r="I6965" s="84" t="str">
        <f aca="false">IF(C6965="","",C6965*IF(Settings!$B$22=Settings!$C$6,1,IF(Settings!$B$22="USD",1/INDEX(Settings!$B$29:$B$40,MONTH(A6965)),INDEX(Settings!$B$29:$B$40,MONTH(A6965)))))</f>
        <v/>
      </c>
    </row>
    <row r="6966" customFormat="false" ht="15" hidden="false" customHeight="false" outlineLevel="0" collapsed="false">
      <c r="H6966" s="0" t="str">
        <f aca="false">IF(B6966="","",IF(COUNTIF(Campaigns!$A$7:$A$300,B6966)&gt;0,"✓","⚠ add to Campaigns tab"))</f>
        <v/>
      </c>
      <c r="I6966" s="84" t="str">
        <f aca="false">IF(C6966="","",C6966*IF(Settings!$B$22=Settings!$C$6,1,IF(Settings!$B$22="USD",1/INDEX(Settings!$B$29:$B$40,MONTH(A6966)),INDEX(Settings!$B$29:$B$40,MONTH(A6966)))))</f>
        <v/>
      </c>
    </row>
    <row r="6967" customFormat="false" ht="15" hidden="false" customHeight="false" outlineLevel="0" collapsed="false">
      <c r="H6967" s="0" t="str">
        <f aca="false">IF(B6967="","",IF(COUNTIF(Campaigns!$A$7:$A$300,B6967)&gt;0,"✓","⚠ add to Campaigns tab"))</f>
        <v/>
      </c>
      <c r="I6967" s="84" t="str">
        <f aca="false">IF(C6967="","",C6967*IF(Settings!$B$22=Settings!$C$6,1,IF(Settings!$B$22="USD",1/INDEX(Settings!$B$29:$B$40,MONTH(A6967)),INDEX(Settings!$B$29:$B$40,MONTH(A6967)))))</f>
        <v/>
      </c>
    </row>
    <row r="6968" customFormat="false" ht="15" hidden="false" customHeight="false" outlineLevel="0" collapsed="false">
      <c r="H6968" s="0" t="str">
        <f aca="false">IF(B6968="","",IF(COUNTIF(Campaigns!$A$7:$A$300,B6968)&gt;0,"✓","⚠ add to Campaigns tab"))</f>
        <v/>
      </c>
      <c r="I6968" s="84" t="str">
        <f aca="false">IF(C6968="","",C6968*IF(Settings!$B$22=Settings!$C$6,1,IF(Settings!$B$22="USD",1/INDEX(Settings!$B$29:$B$40,MONTH(A6968)),INDEX(Settings!$B$29:$B$40,MONTH(A6968)))))</f>
        <v/>
      </c>
    </row>
    <row r="6969" customFormat="false" ht="15" hidden="false" customHeight="false" outlineLevel="0" collapsed="false">
      <c r="H6969" s="0" t="str">
        <f aca="false">IF(B6969="","",IF(COUNTIF(Campaigns!$A$7:$A$300,B6969)&gt;0,"✓","⚠ add to Campaigns tab"))</f>
        <v/>
      </c>
      <c r="I6969" s="84" t="str">
        <f aca="false">IF(C6969="","",C6969*IF(Settings!$B$22=Settings!$C$6,1,IF(Settings!$B$22="USD",1/INDEX(Settings!$B$29:$B$40,MONTH(A6969)),INDEX(Settings!$B$29:$B$40,MONTH(A6969)))))</f>
        <v/>
      </c>
    </row>
    <row r="6970" customFormat="false" ht="15" hidden="false" customHeight="false" outlineLevel="0" collapsed="false">
      <c r="H6970" s="0" t="str">
        <f aca="false">IF(B6970="","",IF(COUNTIF(Campaigns!$A$7:$A$300,B6970)&gt;0,"✓","⚠ add to Campaigns tab"))</f>
        <v/>
      </c>
      <c r="I6970" s="84" t="str">
        <f aca="false">IF(C6970="","",C6970*IF(Settings!$B$22=Settings!$C$6,1,IF(Settings!$B$22="USD",1/INDEX(Settings!$B$29:$B$40,MONTH(A6970)),INDEX(Settings!$B$29:$B$40,MONTH(A6970)))))</f>
        <v/>
      </c>
    </row>
    <row r="6971" customFormat="false" ht="15" hidden="false" customHeight="false" outlineLevel="0" collapsed="false">
      <c r="H6971" s="0" t="str">
        <f aca="false">IF(B6971="","",IF(COUNTIF(Campaigns!$A$7:$A$300,B6971)&gt;0,"✓","⚠ add to Campaigns tab"))</f>
        <v/>
      </c>
      <c r="I6971" s="84" t="str">
        <f aca="false">IF(C6971="","",C6971*IF(Settings!$B$22=Settings!$C$6,1,IF(Settings!$B$22="USD",1/INDEX(Settings!$B$29:$B$40,MONTH(A6971)),INDEX(Settings!$B$29:$B$40,MONTH(A6971)))))</f>
        <v/>
      </c>
    </row>
    <row r="6972" customFormat="false" ht="15" hidden="false" customHeight="false" outlineLevel="0" collapsed="false">
      <c r="H6972" s="0" t="str">
        <f aca="false">IF(B6972="","",IF(COUNTIF(Campaigns!$A$7:$A$300,B6972)&gt;0,"✓","⚠ add to Campaigns tab"))</f>
        <v/>
      </c>
      <c r="I6972" s="84" t="str">
        <f aca="false">IF(C6972="","",C6972*IF(Settings!$B$22=Settings!$C$6,1,IF(Settings!$B$22="USD",1/INDEX(Settings!$B$29:$B$40,MONTH(A6972)),INDEX(Settings!$B$29:$B$40,MONTH(A6972)))))</f>
        <v/>
      </c>
    </row>
    <row r="6973" customFormat="false" ht="15" hidden="false" customHeight="false" outlineLevel="0" collapsed="false">
      <c r="H6973" s="0" t="str">
        <f aca="false">IF(B6973="","",IF(COUNTIF(Campaigns!$A$7:$A$300,B6973)&gt;0,"✓","⚠ add to Campaigns tab"))</f>
        <v/>
      </c>
      <c r="I6973" s="84" t="str">
        <f aca="false">IF(C6973="","",C6973*IF(Settings!$B$22=Settings!$C$6,1,IF(Settings!$B$22="USD",1/INDEX(Settings!$B$29:$B$40,MONTH(A6973)),INDEX(Settings!$B$29:$B$40,MONTH(A6973)))))</f>
        <v/>
      </c>
    </row>
    <row r="6974" customFormat="false" ht="15" hidden="false" customHeight="false" outlineLevel="0" collapsed="false">
      <c r="H6974" s="0" t="str">
        <f aca="false">IF(B6974="","",IF(COUNTIF(Campaigns!$A$7:$A$300,B6974)&gt;0,"✓","⚠ add to Campaigns tab"))</f>
        <v/>
      </c>
      <c r="I6974" s="84" t="str">
        <f aca="false">IF(C6974="","",C6974*IF(Settings!$B$22=Settings!$C$6,1,IF(Settings!$B$22="USD",1/INDEX(Settings!$B$29:$B$40,MONTH(A6974)),INDEX(Settings!$B$29:$B$40,MONTH(A6974)))))</f>
        <v/>
      </c>
    </row>
    <row r="6975" customFormat="false" ht="15" hidden="false" customHeight="false" outlineLevel="0" collapsed="false">
      <c r="H6975" s="0" t="str">
        <f aca="false">IF(B6975="","",IF(COUNTIF(Campaigns!$A$7:$A$300,B6975)&gt;0,"✓","⚠ add to Campaigns tab"))</f>
        <v/>
      </c>
      <c r="I6975" s="84" t="str">
        <f aca="false">IF(C6975="","",C6975*IF(Settings!$B$22=Settings!$C$6,1,IF(Settings!$B$22="USD",1/INDEX(Settings!$B$29:$B$40,MONTH(A6975)),INDEX(Settings!$B$29:$B$40,MONTH(A6975)))))</f>
        <v/>
      </c>
    </row>
    <row r="6976" customFormat="false" ht="15" hidden="false" customHeight="false" outlineLevel="0" collapsed="false">
      <c r="H6976" s="0" t="str">
        <f aca="false">IF(B6976="","",IF(COUNTIF(Campaigns!$A$7:$A$300,B6976)&gt;0,"✓","⚠ add to Campaigns tab"))</f>
        <v/>
      </c>
      <c r="I6976" s="84" t="str">
        <f aca="false">IF(C6976="","",C6976*IF(Settings!$B$22=Settings!$C$6,1,IF(Settings!$B$22="USD",1/INDEX(Settings!$B$29:$B$40,MONTH(A6976)),INDEX(Settings!$B$29:$B$40,MONTH(A6976)))))</f>
        <v/>
      </c>
    </row>
    <row r="6977" customFormat="false" ht="15" hidden="false" customHeight="false" outlineLevel="0" collapsed="false">
      <c r="H6977" s="0" t="str">
        <f aca="false">IF(B6977="","",IF(COUNTIF(Campaigns!$A$7:$A$300,B6977)&gt;0,"✓","⚠ add to Campaigns tab"))</f>
        <v/>
      </c>
      <c r="I6977" s="84" t="str">
        <f aca="false">IF(C6977="","",C6977*IF(Settings!$B$22=Settings!$C$6,1,IF(Settings!$B$22="USD",1/INDEX(Settings!$B$29:$B$40,MONTH(A6977)),INDEX(Settings!$B$29:$B$40,MONTH(A6977)))))</f>
        <v/>
      </c>
    </row>
    <row r="6978" customFormat="false" ht="15" hidden="false" customHeight="false" outlineLevel="0" collapsed="false">
      <c r="H6978" s="0" t="str">
        <f aca="false">IF(B6978="","",IF(COUNTIF(Campaigns!$A$7:$A$300,B6978)&gt;0,"✓","⚠ add to Campaigns tab"))</f>
        <v/>
      </c>
      <c r="I6978" s="84" t="str">
        <f aca="false">IF(C6978="","",C6978*IF(Settings!$B$22=Settings!$C$6,1,IF(Settings!$B$22="USD",1/INDEX(Settings!$B$29:$B$40,MONTH(A6978)),INDEX(Settings!$B$29:$B$40,MONTH(A6978)))))</f>
        <v/>
      </c>
    </row>
    <row r="6979" customFormat="false" ht="15" hidden="false" customHeight="false" outlineLevel="0" collapsed="false">
      <c r="H6979" s="0" t="str">
        <f aca="false">IF(B6979="","",IF(COUNTIF(Campaigns!$A$7:$A$300,B6979)&gt;0,"✓","⚠ add to Campaigns tab"))</f>
        <v/>
      </c>
      <c r="I6979" s="84" t="str">
        <f aca="false">IF(C6979="","",C6979*IF(Settings!$B$22=Settings!$C$6,1,IF(Settings!$B$22="USD",1/INDEX(Settings!$B$29:$B$40,MONTH(A6979)),INDEX(Settings!$B$29:$B$40,MONTH(A6979)))))</f>
        <v/>
      </c>
    </row>
    <row r="6980" customFormat="false" ht="15" hidden="false" customHeight="false" outlineLevel="0" collapsed="false">
      <c r="H6980" s="0" t="str">
        <f aca="false">IF(B6980="","",IF(COUNTIF(Campaigns!$A$7:$A$300,B6980)&gt;0,"✓","⚠ add to Campaigns tab"))</f>
        <v/>
      </c>
      <c r="I6980" s="84" t="str">
        <f aca="false">IF(C6980="","",C6980*IF(Settings!$B$22=Settings!$C$6,1,IF(Settings!$B$22="USD",1/INDEX(Settings!$B$29:$B$40,MONTH(A6980)),INDEX(Settings!$B$29:$B$40,MONTH(A6980)))))</f>
        <v/>
      </c>
    </row>
    <row r="6981" customFormat="false" ht="15" hidden="false" customHeight="false" outlineLevel="0" collapsed="false">
      <c r="H6981" s="0" t="str">
        <f aca="false">IF(B6981="","",IF(COUNTIF(Campaigns!$A$7:$A$300,B6981)&gt;0,"✓","⚠ add to Campaigns tab"))</f>
        <v/>
      </c>
      <c r="I6981" s="84" t="str">
        <f aca="false">IF(C6981="","",C6981*IF(Settings!$B$22=Settings!$C$6,1,IF(Settings!$B$22="USD",1/INDEX(Settings!$B$29:$B$40,MONTH(A6981)),INDEX(Settings!$B$29:$B$40,MONTH(A6981)))))</f>
        <v/>
      </c>
    </row>
    <row r="6982" customFormat="false" ht="15" hidden="false" customHeight="false" outlineLevel="0" collapsed="false">
      <c r="H6982" s="0" t="str">
        <f aca="false">IF(B6982="","",IF(COUNTIF(Campaigns!$A$7:$A$300,B6982)&gt;0,"✓","⚠ add to Campaigns tab"))</f>
        <v/>
      </c>
      <c r="I6982" s="84" t="str">
        <f aca="false">IF(C6982="","",C6982*IF(Settings!$B$22=Settings!$C$6,1,IF(Settings!$B$22="USD",1/INDEX(Settings!$B$29:$B$40,MONTH(A6982)),INDEX(Settings!$B$29:$B$40,MONTH(A6982)))))</f>
        <v/>
      </c>
    </row>
    <row r="6983" customFormat="false" ht="15" hidden="false" customHeight="false" outlineLevel="0" collapsed="false">
      <c r="H6983" s="0" t="str">
        <f aca="false">IF(B6983="","",IF(COUNTIF(Campaigns!$A$7:$A$300,B6983)&gt;0,"✓","⚠ add to Campaigns tab"))</f>
        <v/>
      </c>
      <c r="I6983" s="84" t="str">
        <f aca="false">IF(C6983="","",C6983*IF(Settings!$B$22=Settings!$C$6,1,IF(Settings!$B$22="USD",1/INDEX(Settings!$B$29:$B$40,MONTH(A6983)),INDEX(Settings!$B$29:$B$40,MONTH(A6983)))))</f>
        <v/>
      </c>
    </row>
    <row r="6984" customFormat="false" ht="15" hidden="false" customHeight="false" outlineLevel="0" collapsed="false">
      <c r="H6984" s="0" t="str">
        <f aca="false">IF(B6984="","",IF(COUNTIF(Campaigns!$A$7:$A$300,B6984)&gt;0,"✓","⚠ add to Campaigns tab"))</f>
        <v/>
      </c>
      <c r="I6984" s="84" t="str">
        <f aca="false">IF(C6984="","",C6984*IF(Settings!$B$22=Settings!$C$6,1,IF(Settings!$B$22="USD",1/INDEX(Settings!$B$29:$B$40,MONTH(A6984)),INDEX(Settings!$B$29:$B$40,MONTH(A6984)))))</f>
        <v/>
      </c>
    </row>
    <row r="6985" customFormat="false" ht="15" hidden="false" customHeight="false" outlineLevel="0" collapsed="false">
      <c r="H6985" s="0" t="str">
        <f aca="false">IF(B6985="","",IF(COUNTIF(Campaigns!$A$7:$A$300,B6985)&gt;0,"✓","⚠ add to Campaigns tab"))</f>
        <v/>
      </c>
      <c r="I6985" s="84" t="str">
        <f aca="false">IF(C6985="","",C6985*IF(Settings!$B$22=Settings!$C$6,1,IF(Settings!$B$22="USD",1/INDEX(Settings!$B$29:$B$40,MONTH(A6985)),INDEX(Settings!$B$29:$B$40,MONTH(A6985)))))</f>
        <v/>
      </c>
    </row>
    <row r="6986" customFormat="false" ht="15" hidden="false" customHeight="false" outlineLevel="0" collapsed="false">
      <c r="H6986" s="0" t="str">
        <f aca="false">IF(B6986="","",IF(COUNTIF(Campaigns!$A$7:$A$300,B6986)&gt;0,"✓","⚠ add to Campaigns tab"))</f>
        <v/>
      </c>
      <c r="I6986" s="84" t="str">
        <f aca="false">IF(C6986="","",C6986*IF(Settings!$B$22=Settings!$C$6,1,IF(Settings!$B$22="USD",1/INDEX(Settings!$B$29:$B$40,MONTH(A6986)),INDEX(Settings!$B$29:$B$40,MONTH(A6986)))))</f>
        <v/>
      </c>
    </row>
    <row r="6987" customFormat="false" ht="15" hidden="false" customHeight="false" outlineLevel="0" collapsed="false">
      <c r="H6987" s="0" t="str">
        <f aca="false">IF(B6987="","",IF(COUNTIF(Campaigns!$A$7:$A$300,B6987)&gt;0,"✓","⚠ add to Campaigns tab"))</f>
        <v/>
      </c>
      <c r="I6987" s="84" t="str">
        <f aca="false">IF(C6987="","",C6987*IF(Settings!$B$22=Settings!$C$6,1,IF(Settings!$B$22="USD",1/INDEX(Settings!$B$29:$B$40,MONTH(A6987)),INDEX(Settings!$B$29:$B$40,MONTH(A6987)))))</f>
        <v/>
      </c>
    </row>
    <row r="6988" customFormat="false" ht="15" hidden="false" customHeight="false" outlineLevel="0" collapsed="false">
      <c r="H6988" s="0" t="str">
        <f aca="false">IF(B6988="","",IF(COUNTIF(Campaigns!$A$7:$A$300,B6988)&gt;0,"✓","⚠ add to Campaigns tab"))</f>
        <v/>
      </c>
      <c r="I6988" s="84" t="str">
        <f aca="false">IF(C6988="","",C6988*IF(Settings!$B$22=Settings!$C$6,1,IF(Settings!$B$22="USD",1/INDEX(Settings!$B$29:$B$40,MONTH(A6988)),INDEX(Settings!$B$29:$B$40,MONTH(A6988)))))</f>
        <v/>
      </c>
    </row>
    <row r="6989" customFormat="false" ht="15" hidden="false" customHeight="false" outlineLevel="0" collapsed="false">
      <c r="H6989" s="0" t="str">
        <f aca="false">IF(B6989="","",IF(COUNTIF(Campaigns!$A$7:$A$300,B6989)&gt;0,"✓","⚠ add to Campaigns tab"))</f>
        <v/>
      </c>
      <c r="I6989" s="84" t="str">
        <f aca="false">IF(C6989="","",C6989*IF(Settings!$B$22=Settings!$C$6,1,IF(Settings!$B$22="USD",1/INDEX(Settings!$B$29:$B$40,MONTH(A6989)),INDEX(Settings!$B$29:$B$40,MONTH(A6989)))))</f>
        <v/>
      </c>
    </row>
    <row r="6990" customFormat="false" ht="15" hidden="false" customHeight="false" outlineLevel="0" collapsed="false">
      <c r="H6990" s="0" t="str">
        <f aca="false">IF(B6990="","",IF(COUNTIF(Campaigns!$A$7:$A$300,B6990)&gt;0,"✓","⚠ add to Campaigns tab"))</f>
        <v/>
      </c>
      <c r="I6990" s="84" t="str">
        <f aca="false">IF(C6990="","",C6990*IF(Settings!$B$22=Settings!$C$6,1,IF(Settings!$B$22="USD",1/INDEX(Settings!$B$29:$B$40,MONTH(A6990)),INDEX(Settings!$B$29:$B$40,MONTH(A6990)))))</f>
        <v/>
      </c>
    </row>
    <row r="6991" customFormat="false" ht="15" hidden="false" customHeight="false" outlineLevel="0" collapsed="false">
      <c r="H6991" s="0" t="str">
        <f aca="false">IF(B6991="","",IF(COUNTIF(Campaigns!$A$7:$A$300,B6991)&gt;0,"✓","⚠ add to Campaigns tab"))</f>
        <v/>
      </c>
      <c r="I6991" s="84" t="str">
        <f aca="false">IF(C6991="","",C6991*IF(Settings!$B$22=Settings!$C$6,1,IF(Settings!$B$22="USD",1/INDEX(Settings!$B$29:$B$40,MONTH(A6991)),INDEX(Settings!$B$29:$B$40,MONTH(A6991)))))</f>
        <v/>
      </c>
    </row>
    <row r="6992" customFormat="false" ht="15" hidden="false" customHeight="false" outlineLevel="0" collapsed="false">
      <c r="H6992" s="0" t="str">
        <f aca="false">IF(B6992="","",IF(COUNTIF(Campaigns!$A$7:$A$300,B6992)&gt;0,"✓","⚠ add to Campaigns tab"))</f>
        <v/>
      </c>
      <c r="I6992" s="84" t="str">
        <f aca="false">IF(C6992="","",C6992*IF(Settings!$B$22=Settings!$C$6,1,IF(Settings!$B$22="USD",1/INDEX(Settings!$B$29:$B$40,MONTH(A6992)),INDEX(Settings!$B$29:$B$40,MONTH(A6992)))))</f>
        <v/>
      </c>
    </row>
    <row r="6993" customFormat="false" ht="15" hidden="false" customHeight="false" outlineLevel="0" collapsed="false">
      <c r="H6993" s="0" t="str">
        <f aca="false">IF(B6993="","",IF(COUNTIF(Campaigns!$A$7:$A$300,B6993)&gt;0,"✓","⚠ add to Campaigns tab"))</f>
        <v/>
      </c>
      <c r="I6993" s="84" t="str">
        <f aca="false">IF(C6993="","",C6993*IF(Settings!$B$22=Settings!$C$6,1,IF(Settings!$B$22="USD",1/INDEX(Settings!$B$29:$B$40,MONTH(A6993)),INDEX(Settings!$B$29:$B$40,MONTH(A6993)))))</f>
        <v/>
      </c>
    </row>
    <row r="6994" customFormat="false" ht="15" hidden="false" customHeight="false" outlineLevel="0" collapsed="false">
      <c r="H6994" s="0" t="str">
        <f aca="false">IF(B6994="","",IF(COUNTIF(Campaigns!$A$7:$A$300,B6994)&gt;0,"✓","⚠ add to Campaigns tab"))</f>
        <v/>
      </c>
      <c r="I6994" s="84" t="str">
        <f aca="false">IF(C6994="","",C6994*IF(Settings!$B$22=Settings!$C$6,1,IF(Settings!$B$22="USD",1/INDEX(Settings!$B$29:$B$40,MONTH(A6994)),INDEX(Settings!$B$29:$B$40,MONTH(A6994)))))</f>
        <v/>
      </c>
    </row>
    <row r="6995" customFormat="false" ht="15" hidden="false" customHeight="false" outlineLevel="0" collapsed="false">
      <c r="H6995" s="0" t="str">
        <f aca="false">IF(B6995="","",IF(COUNTIF(Campaigns!$A$7:$A$300,B6995)&gt;0,"✓","⚠ add to Campaigns tab"))</f>
        <v/>
      </c>
      <c r="I6995" s="84" t="str">
        <f aca="false">IF(C6995="","",C6995*IF(Settings!$B$22=Settings!$C$6,1,IF(Settings!$B$22="USD",1/INDEX(Settings!$B$29:$B$40,MONTH(A6995)),INDEX(Settings!$B$29:$B$40,MONTH(A6995)))))</f>
        <v/>
      </c>
    </row>
    <row r="6996" customFormat="false" ht="15" hidden="false" customHeight="false" outlineLevel="0" collapsed="false">
      <c r="H6996" s="0" t="str">
        <f aca="false">IF(B6996="","",IF(COUNTIF(Campaigns!$A$7:$A$300,B6996)&gt;0,"✓","⚠ add to Campaigns tab"))</f>
        <v/>
      </c>
      <c r="I6996" s="84" t="str">
        <f aca="false">IF(C6996="","",C6996*IF(Settings!$B$22=Settings!$C$6,1,IF(Settings!$B$22="USD",1/INDEX(Settings!$B$29:$B$40,MONTH(A6996)),INDEX(Settings!$B$29:$B$40,MONTH(A6996)))))</f>
        <v/>
      </c>
    </row>
    <row r="6997" customFormat="false" ht="15" hidden="false" customHeight="false" outlineLevel="0" collapsed="false">
      <c r="H6997" s="0" t="str">
        <f aca="false">IF(B6997="","",IF(COUNTIF(Campaigns!$A$7:$A$300,B6997)&gt;0,"✓","⚠ add to Campaigns tab"))</f>
        <v/>
      </c>
      <c r="I6997" s="84" t="str">
        <f aca="false">IF(C6997="","",C6997*IF(Settings!$B$22=Settings!$C$6,1,IF(Settings!$B$22="USD",1/INDEX(Settings!$B$29:$B$40,MONTH(A6997)),INDEX(Settings!$B$29:$B$40,MONTH(A6997)))))</f>
        <v/>
      </c>
    </row>
    <row r="6998" customFormat="false" ht="15" hidden="false" customHeight="false" outlineLevel="0" collapsed="false">
      <c r="H6998" s="0" t="str">
        <f aca="false">IF(B6998="","",IF(COUNTIF(Campaigns!$A$7:$A$300,B6998)&gt;0,"✓","⚠ add to Campaigns tab"))</f>
        <v/>
      </c>
      <c r="I6998" s="84" t="str">
        <f aca="false">IF(C6998="","",C6998*IF(Settings!$B$22=Settings!$C$6,1,IF(Settings!$B$22="USD",1/INDEX(Settings!$B$29:$B$40,MONTH(A6998)),INDEX(Settings!$B$29:$B$40,MONTH(A6998)))))</f>
        <v/>
      </c>
    </row>
    <row r="6999" customFormat="false" ht="15" hidden="false" customHeight="false" outlineLevel="0" collapsed="false">
      <c r="H6999" s="0" t="str">
        <f aca="false">IF(B6999="","",IF(COUNTIF(Campaigns!$A$7:$A$300,B6999)&gt;0,"✓","⚠ add to Campaigns tab"))</f>
        <v/>
      </c>
      <c r="I6999" s="84" t="str">
        <f aca="false">IF(C6999="","",C6999*IF(Settings!$B$22=Settings!$C$6,1,IF(Settings!$B$22="USD",1/INDEX(Settings!$B$29:$B$40,MONTH(A6999)),INDEX(Settings!$B$29:$B$40,MONTH(A6999)))))</f>
        <v/>
      </c>
    </row>
    <row r="7000" customFormat="false" ht="15" hidden="false" customHeight="false" outlineLevel="0" collapsed="false">
      <c r="H7000" s="0" t="str">
        <f aca="false">IF(B7000="","",IF(COUNTIF(Campaigns!$A$7:$A$300,B7000)&gt;0,"✓","⚠ add to Campaigns tab"))</f>
        <v/>
      </c>
      <c r="I7000" s="84" t="str">
        <f aca="false">IF(C7000="","",C7000*IF(Settings!$B$22=Settings!$C$6,1,IF(Settings!$B$22="USD",1/INDEX(Settings!$B$29:$B$40,MONTH(A7000)),INDEX(Settings!$B$29:$B$40,MONTH(A7000)))))</f>
        <v/>
      </c>
    </row>
    <row r="7001" customFormat="false" ht="15" hidden="false" customHeight="false" outlineLevel="0" collapsed="false">
      <c r="H7001" s="0" t="str">
        <f aca="false">IF(B7001="","",IF(COUNTIF(Campaigns!$A$7:$A$300,B7001)&gt;0,"✓","⚠ add to Campaigns tab"))</f>
        <v/>
      </c>
      <c r="I7001" s="84" t="str">
        <f aca="false">IF(C7001="","",C7001*IF(Settings!$B$22=Settings!$C$6,1,IF(Settings!$B$22="USD",1/INDEX(Settings!$B$29:$B$40,MONTH(A7001)),INDEX(Settings!$B$29:$B$40,MONTH(A7001)))))</f>
        <v/>
      </c>
    </row>
    <row r="7002" customFormat="false" ht="15" hidden="false" customHeight="false" outlineLevel="0" collapsed="false">
      <c r="H7002" s="0" t="str">
        <f aca="false">IF(B7002="","",IF(COUNTIF(Campaigns!$A$7:$A$300,B7002)&gt;0,"✓","⚠ add to Campaigns tab"))</f>
        <v/>
      </c>
      <c r="I7002" s="84" t="str">
        <f aca="false">IF(C7002="","",C7002*IF(Settings!$B$22=Settings!$C$6,1,IF(Settings!$B$22="USD",1/INDEX(Settings!$B$29:$B$40,MONTH(A7002)),INDEX(Settings!$B$29:$B$40,MONTH(A7002)))))</f>
        <v/>
      </c>
    </row>
    <row r="7003" customFormat="false" ht="15" hidden="false" customHeight="false" outlineLevel="0" collapsed="false">
      <c r="H7003" s="0" t="str">
        <f aca="false">IF(B7003="","",IF(COUNTIF(Campaigns!$A$7:$A$300,B7003)&gt;0,"✓","⚠ add to Campaigns tab"))</f>
        <v/>
      </c>
      <c r="I7003" s="84" t="str">
        <f aca="false">IF(C7003="","",C7003*IF(Settings!$B$22=Settings!$C$6,1,IF(Settings!$B$22="USD",1/INDEX(Settings!$B$29:$B$40,MONTH(A7003)),INDEX(Settings!$B$29:$B$40,MONTH(A7003)))))</f>
        <v/>
      </c>
    </row>
    <row r="7004" customFormat="false" ht="15" hidden="false" customHeight="false" outlineLevel="0" collapsed="false">
      <c r="H7004" s="0" t="str">
        <f aca="false">IF(B7004="","",IF(COUNTIF(Campaigns!$A$7:$A$300,B7004)&gt;0,"✓","⚠ add to Campaigns tab"))</f>
        <v/>
      </c>
      <c r="I7004" s="84" t="str">
        <f aca="false">IF(C7004="","",C7004*IF(Settings!$B$22=Settings!$C$6,1,IF(Settings!$B$22="USD",1/INDEX(Settings!$B$29:$B$40,MONTH(A7004)),INDEX(Settings!$B$29:$B$40,MONTH(A7004)))))</f>
        <v/>
      </c>
    </row>
    <row r="7005" customFormat="false" ht="15" hidden="false" customHeight="false" outlineLevel="0" collapsed="false">
      <c r="H7005" s="0" t="str">
        <f aca="false">IF(B7005="","",IF(COUNTIF(Campaigns!$A$7:$A$300,B7005)&gt;0,"✓","⚠ add to Campaigns tab"))</f>
        <v/>
      </c>
      <c r="I7005" s="84" t="str">
        <f aca="false">IF(C7005="","",C7005*IF(Settings!$B$22=Settings!$C$6,1,IF(Settings!$B$22="USD",1/INDEX(Settings!$B$29:$B$40,MONTH(A7005)),INDEX(Settings!$B$29:$B$40,MONTH(A7005)))))</f>
        <v/>
      </c>
    </row>
    <row r="7006" customFormat="false" ht="15" hidden="false" customHeight="false" outlineLevel="0" collapsed="false">
      <c r="H7006" s="0" t="str">
        <f aca="false">IF(B7006="","",IF(COUNTIF(Campaigns!$A$7:$A$300,B7006)&gt;0,"✓","⚠ add to Campaigns tab"))</f>
        <v/>
      </c>
      <c r="I7006" s="84" t="str">
        <f aca="false">IF(C7006="","",C7006*IF(Settings!$B$22=Settings!$C$6,1,IF(Settings!$B$22="USD",1/INDEX(Settings!$B$29:$B$40,MONTH(A7006)),INDEX(Settings!$B$29:$B$40,MONTH(A7006)))))</f>
        <v/>
      </c>
    </row>
    <row r="7007" customFormat="false" ht="15" hidden="false" customHeight="false" outlineLevel="0" collapsed="false">
      <c r="H7007" s="0" t="str">
        <f aca="false">IF(B7007="","",IF(COUNTIF(Campaigns!$A$7:$A$300,B7007)&gt;0,"✓","⚠ add to Campaigns tab"))</f>
        <v/>
      </c>
      <c r="I7007" s="84" t="str">
        <f aca="false">IF(C7007="","",C7007*IF(Settings!$B$22=Settings!$C$6,1,IF(Settings!$B$22="USD",1/INDEX(Settings!$B$29:$B$40,MONTH(A7007)),INDEX(Settings!$B$29:$B$40,MONTH(A7007)))))</f>
        <v/>
      </c>
    </row>
    <row r="7008" customFormat="false" ht="15" hidden="false" customHeight="false" outlineLevel="0" collapsed="false">
      <c r="H7008" s="0" t="str">
        <f aca="false">IF(B7008="","",IF(COUNTIF(Campaigns!$A$7:$A$300,B7008)&gt;0,"✓","⚠ add to Campaigns tab"))</f>
        <v/>
      </c>
      <c r="I7008" s="84" t="str">
        <f aca="false">IF(C7008="","",C7008*IF(Settings!$B$22=Settings!$C$6,1,IF(Settings!$B$22="USD",1/INDEX(Settings!$B$29:$B$40,MONTH(A7008)),INDEX(Settings!$B$29:$B$40,MONTH(A7008)))))</f>
        <v/>
      </c>
    </row>
    <row r="7009" customFormat="false" ht="15" hidden="false" customHeight="false" outlineLevel="0" collapsed="false">
      <c r="H7009" s="0" t="str">
        <f aca="false">IF(B7009="","",IF(COUNTIF(Campaigns!$A$7:$A$300,B7009)&gt;0,"✓","⚠ add to Campaigns tab"))</f>
        <v/>
      </c>
      <c r="I7009" s="84" t="str">
        <f aca="false">IF(C7009="","",C7009*IF(Settings!$B$22=Settings!$C$6,1,IF(Settings!$B$22="USD",1/INDEX(Settings!$B$29:$B$40,MONTH(A7009)),INDEX(Settings!$B$29:$B$40,MONTH(A7009)))))</f>
        <v/>
      </c>
    </row>
    <row r="7010" customFormat="false" ht="15" hidden="false" customHeight="false" outlineLevel="0" collapsed="false">
      <c r="H7010" s="0" t="str">
        <f aca="false">IF(B7010="","",IF(COUNTIF(Campaigns!$A$7:$A$300,B7010)&gt;0,"✓","⚠ add to Campaigns tab"))</f>
        <v/>
      </c>
      <c r="I7010" s="84" t="str">
        <f aca="false">IF(C7010="","",C7010*IF(Settings!$B$22=Settings!$C$6,1,IF(Settings!$B$22="USD",1/INDEX(Settings!$B$29:$B$40,MONTH(A7010)),INDEX(Settings!$B$29:$B$40,MONTH(A7010)))))</f>
        <v/>
      </c>
    </row>
    <row r="7011" customFormat="false" ht="15" hidden="false" customHeight="false" outlineLevel="0" collapsed="false">
      <c r="H7011" s="0" t="str">
        <f aca="false">IF(B7011="","",IF(COUNTIF(Campaigns!$A$7:$A$300,B7011)&gt;0,"✓","⚠ add to Campaigns tab"))</f>
        <v/>
      </c>
      <c r="I7011" s="84" t="str">
        <f aca="false">IF(C7011="","",C7011*IF(Settings!$B$22=Settings!$C$6,1,IF(Settings!$B$22="USD",1/INDEX(Settings!$B$29:$B$40,MONTH(A7011)),INDEX(Settings!$B$29:$B$40,MONTH(A7011)))))</f>
        <v/>
      </c>
    </row>
    <row r="7012" customFormat="false" ht="15" hidden="false" customHeight="false" outlineLevel="0" collapsed="false">
      <c r="H7012" s="0" t="str">
        <f aca="false">IF(B7012="","",IF(COUNTIF(Campaigns!$A$7:$A$300,B7012)&gt;0,"✓","⚠ add to Campaigns tab"))</f>
        <v/>
      </c>
      <c r="I7012" s="84" t="str">
        <f aca="false">IF(C7012="","",C7012*IF(Settings!$B$22=Settings!$C$6,1,IF(Settings!$B$22="USD",1/INDEX(Settings!$B$29:$B$40,MONTH(A7012)),INDEX(Settings!$B$29:$B$40,MONTH(A7012)))))</f>
        <v/>
      </c>
    </row>
    <row r="7013" customFormat="false" ht="15" hidden="false" customHeight="false" outlineLevel="0" collapsed="false">
      <c r="H7013" s="0" t="str">
        <f aca="false">IF(B7013="","",IF(COUNTIF(Campaigns!$A$7:$A$300,B7013)&gt;0,"✓","⚠ add to Campaigns tab"))</f>
        <v/>
      </c>
      <c r="I7013" s="84" t="str">
        <f aca="false">IF(C7013="","",C7013*IF(Settings!$B$22=Settings!$C$6,1,IF(Settings!$B$22="USD",1/INDEX(Settings!$B$29:$B$40,MONTH(A7013)),INDEX(Settings!$B$29:$B$40,MONTH(A7013)))))</f>
        <v/>
      </c>
    </row>
    <row r="7014" customFormat="false" ht="15" hidden="false" customHeight="false" outlineLevel="0" collapsed="false">
      <c r="H7014" s="0" t="str">
        <f aca="false">IF(B7014="","",IF(COUNTIF(Campaigns!$A$7:$A$300,B7014)&gt;0,"✓","⚠ add to Campaigns tab"))</f>
        <v/>
      </c>
      <c r="I7014" s="84" t="str">
        <f aca="false">IF(C7014="","",C7014*IF(Settings!$B$22=Settings!$C$6,1,IF(Settings!$B$22="USD",1/INDEX(Settings!$B$29:$B$40,MONTH(A7014)),INDEX(Settings!$B$29:$B$40,MONTH(A7014)))))</f>
        <v/>
      </c>
    </row>
    <row r="7015" customFormat="false" ht="15" hidden="false" customHeight="false" outlineLevel="0" collapsed="false">
      <c r="H7015" s="0" t="str">
        <f aca="false">IF(B7015="","",IF(COUNTIF(Campaigns!$A$7:$A$300,B7015)&gt;0,"✓","⚠ add to Campaigns tab"))</f>
        <v/>
      </c>
      <c r="I7015" s="84" t="str">
        <f aca="false">IF(C7015="","",C7015*IF(Settings!$B$22=Settings!$C$6,1,IF(Settings!$B$22="USD",1/INDEX(Settings!$B$29:$B$40,MONTH(A7015)),INDEX(Settings!$B$29:$B$40,MONTH(A7015)))))</f>
        <v/>
      </c>
    </row>
    <row r="7016" customFormat="false" ht="15" hidden="false" customHeight="false" outlineLevel="0" collapsed="false">
      <c r="H7016" s="0" t="str">
        <f aca="false">IF(B7016="","",IF(COUNTIF(Campaigns!$A$7:$A$300,B7016)&gt;0,"✓","⚠ add to Campaigns tab"))</f>
        <v/>
      </c>
      <c r="I7016" s="84" t="str">
        <f aca="false">IF(C7016="","",C7016*IF(Settings!$B$22=Settings!$C$6,1,IF(Settings!$B$22="USD",1/INDEX(Settings!$B$29:$B$40,MONTH(A7016)),INDEX(Settings!$B$29:$B$40,MONTH(A7016)))))</f>
        <v/>
      </c>
    </row>
    <row r="7017" customFormat="false" ht="15" hidden="false" customHeight="false" outlineLevel="0" collapsed="false">
      <c r="H7017" s="0" t="str">
        <f aca="false">IF(B7017="","",IF(COUNTIF(Campaigns!$A$7:$A$300,B7017)&gt;0,"✓","⚠ add to Campaigns tab"))</f>
        <v/>
      </c>
      <c r="I7017" s="84" t="str">
        <f aca="false">IF(C7017="","",C7017*IF(Settings!$B$22=Settings!$C$6,1,IF(Settings!$B$22="USD",1/INDEX(Settings!$B$29:$B$40,MONTH(A7017)),INDEX(Settings!$B$29:$B$40,MONTH(A7017)))))</f>
        <v/>
      </c>
    </row>
    <row r="7018" customFormat="false" ht="15" hidden="false" customHeight="false" outlineLevel="0" collapsed="false">
      <c r="H7018" s="0" t="str">
        <f aca="false">IF(B7018="","",IF(COUNTIF(Campaigns!$A$7:$A$300,B7018)&gt;0,"✓","⚠ add to Campaigns tab"))</f>
        <v/>
      </c>
      <c r="I7018" s="84" t="str">
        <f aca="false">IF(C7018="","",C7018*IF(Settings!$B$22=Settings!$C$6,1,IF(Settings!$B$22="USD",1/INDEX(Settings!$B$29:$B$40,MONTH(A7018)),INDEX(Settings!$B$29:$B$40,MONTH(A7018)))))</f>
        <v/>
      </c>
    </row>
    <row r="7019" customFormat="false" ht="15" hidden="false" customHeight="false" outlineLevel="0" collapsed="false">
      <c r="H7019" s="0" t="str">
        <f aca="false">IF(B7019="","",IF(COUNTIF(Campaigns!$A$7:$A$300,B7019)&gt;0,"✓","⚠ add to Campaigns tab"))</f>
        <v/>
      </c>
      <c r="I7019" s="84" t="str">
        <f aca="false">IF(C7019="","",C7019*IF(Settings!$B$22=Settings!$C$6,1,IF(Settings!$B$22="USD",1/INDEX(Settings!$B$29:$B$40,MONTH(A7019)),INDEX(Settings!$B$29:$B$40,MONTH(A7019)))))</f>
        <v/>
      </c>
    </row>
    <row r="7020" customFormat="false" ht="15" hidden="false" customHeight="false" outlineLevel="0" collapsed="false">
      <c r="H7020" s="0" t="str">
        <f aca="false">IF(B7020="","",IF(COUNTIF(Campaigns!$A$7:$A$300,B7020)&gt;0,"✓","⚠ add to Campaigns tab"))</f>
        <v/>
      </c>
      <c r="I7020" s="84" t="str">
        <f aca="false">IF(C7020="","",C7020*IF(Settings!$B$22=Settings!$C$6,1,IF(Settings!$B$22="USD",1/INDEX(Settings!$B$29:$B$40,MONTH(A7020)),INDEX(Settings!$B$29:$B$40,MONTH(A7020)))))</f>
        <v/>
      </c>
    </row>
    <row r="7021" customFormat="false" ht="15" hidden="false" customHeight="false" outlineLevel="0" collapsed="false">
      <c r="H7021" s="0" t="str">
        <f aca="false">IF(B7021="","",IF(COUNTIF(Campaigns!$A$7:$A$300,B7021)&gt;0,"✓","⚠ add to Campaigns tab"))</f>
        <v/>
      </c>
      <c r="I7021" s="84" t="str">
        <f aca="false">IF(C7021="","",C7021*IF(Settings!$B$22=Settings!$C$6,1,IF(Settings!$B$22="USD",1/INDEX(Settings!$B$29:$B$40,MONTH(A7021)),INDEX(Settings!$B$29:$B$40,MONTH(A7021)))))</f>
        <v/>
      </c>
    </row>
    <row r="7022" customFormat="false" ht="15" hidden="false" customHeight="false" outlineLevel="0" collapsed="false">
      <c r="H7022" s="0" t="str">
        <f aca="false">IF(B7022="","",IF(COUNTIF(Campaigns!$A$7:$A$300,B7022)&gt;0,"✓","⚠ add to Campaigns tab"))</f>
        <v/>
      </c>
      <c r="I7022" s="84" t="str">
        <f aca="false">IF(C7022="","",C7022*IF(Settings!$B$22=Settings!$C$6,1,IF(Settings!$B$22="USD",1/INDEX(Settings!$B$29:$B$40,MONTH(A7022)),INDEX(Settings!$B$29:$B$40,MONTH(A7022)))))</f>
        <v/>
      </c>
    </row>
    <row r="7023" customFormat="false" ht="15" hidden="false" customHeight="false" outlineLevel="0" collapsed="false">
      <c r="H7023" s="0" t="str">
        <f aca="false">IF(B7023="","",IF(COUNTIF(Campaigns!$A$7:$A$300,B7023)&gt;0,"✓","⚠ add to Campaigns tab"))</f>
        <v/>
      </c>
      <c r="I7023" s="84" t="str">
        <f aca="false">IF(C7023="","",C7023*IF(Settings!$B$22=Settings!$C$6,1,IF(Settings!$B$22="USD",1/INDEX(Settings!$B$29:$B$40,MONTH(A7023)),INDEX(Settings!$B$29:$B$40,MONTH(A7023)))))</f>
        <v/>
      </c>
    </row>
    <row r="7024" customFormat="false" ht="15" hidden="false" customHeight="false" outlineLevel="0" collapsed="false">
      <c r="H7024" s="0" t="str">
        <f aca="false">IF(B7024="","",IF(COUNTIF(Campaigns!$A$7:$A$300,B7024)&gt;0,"✓","⚠ add to Campaigns tab"))</f>
        <v/>
      </c>
      <c r="I7024" s="84" t="str">
        <f aca="false">IF(C7024="","",C7024*IF(Settings!$B$22=Settings!$C$6,1,IF(Settings!$B$22="USD",1/INDEX(Settings!$B$29:$B$40,MONTH(A7024)),INDEX(Settings!$B$29:$B$40,MONTH(A7024)))))</f>
        <v/>
      </c>
    </row>
    <row r="7025" customFormat="false" ht="15" hidden="false" customHeight="false" outlineLevel="0" collapsed="false">
      <c r="H7025" s="0" t="str">
        <f aca="false">IF(B7025="","",IF(COUNTIF(Campaigns!$A$7:$A$300,B7025)&gt;0,"✓","⚠ add to Campaigns tab"))</f>
        <v/>
      </c>
      <c r="I7025" s="84" t="str">
        <f aca="false">IF(C7025="","",C7025*IF(Settings!$B$22=Settings!$C$6,1,IF(Settings!$B$22="USD",1/INDEX(Settings!$B$29:$B$40,MONTH(A7025)),INDEX(Settings!$B$29:$B$40,MONTH(A7025)))))</f>
        <v/>
      </c>
    </row>
    <row r="7026" customFormat="false" ht="15" hidden="false" customHeight="false" outlineLevel="0" collapsed="false">
      <c r="H7026" s="0" t="str">
        <f aca="false">IF(B7026="","",IF(COUNTIF(Campaigns!$A$7:$A$300,B7026)&gt;0,"✓","⚠ add to Campaigns tab"))</f>
        <v/>
      </c>
      <c r="I7026" s="84" t="str">
        <f aca="false">IF(C7026="","",C7026*IF(Settings!$B$22=Settings!$C$6,1,IF(Settings!$B$22="USD",1/INDEX(Settings!$B$29:$B$40,MONTH(A7026)),INDEX(Settings!$B$29:$B$40,MONTH(A7026)))))</f>
        <v/>
      </c>
    </row>
    <row r="7027" customFormat="false" ht="15" hidden="false" customHeight="false" outlineLevel="0" collapsed="false">
      <c r="H7027" s="0" t="str">
        <f aca="false">IF(B7027="","",IF(COUNTIF(Campaigns!$A$7:$A$300,B7027)&gt;0,"✓","⚠ add to Campaigns tab"))</f>
        <v/>
      </c>
      <c r="I7027" s="84" t="str">
        <f aca="false">IF(C7027="","",C7027*IF(Settings!$B$22=Settings!$C$6,1,IF(Settings!$B$22="USD",1/INDEX(Settings!$B$29:$B$40,MONTH(A7027)),INDEX(Settings!$B$29:$B$40,MONTH(A7027)))))</f>
        <v/>
      </c>
    </row>
    <row r="7028" customFormat="false" ht="15" hidden="false" customHeight="false" outlineLevel="0" collapsed="false">
      <c r="H7028" s="0" t="str">
        <f aca="false">IF(B7028="","",IF(COUNTIF(Campaigns!$A$7:$A$300,B7028)&gt;0,"✓","⚠ add to Campaigns tab"))</f>
        <v/>
      </c>
      <c r="I7028" s="84" t="str">
        <f aca="false">IF(C7028="","",C7028*IF(Settings!$B$22=Settings!$C$6,1,IF(Settings!$B$22="USD",1/INDEX(Settings!$B$29:$B$40,MONTH(A7028)),INDEX(Settings!$B$29:$B$40,MONTH(A7028)))))</f>
        <v/>
      </c>
    </row>
    <row r="7029" customFormat="false" ht="15" hidden="false" customHeight="false" outlineLevel="0" collapsed="false">
      <c r="H7029" s="0" t="str">
        <f aca="false">IF(B7029="","",IF(COUNTIF(Campaigns!$A$7:$A$300,B7029)&gt;0,"✓","⚠ add to Campaigns tab"))</f>
        <v/>
      </c>
      <c r="I7029" s="84" t="str">
        <f aca="false">IF(C7029="","",C7029*IF(Settings!$B$22=Settings!$C$6,1,IF(Settings!$B$22="USD",1/INDEX(Settings!$B$29:$B$40,MONTH(A7029)),INDEX(Settings!$B$29:$B$40,MONTH(A7029)))))</f>
        <v/>
      </c>
    </row>
    <row r="7030" customFormat="false" ht="15" hidden="false" customHeight="false" outlineLevel="0" collapsed="false">
      <c r="H7030" s="0" t="str">
        <f aca="false">IF(B7030="","",IF(COUNTIF(Campaigns!$A$7:$A$300,B7030)&gt;0,"✓","⚠ add to Campaigns tab"))</f>
        <v/>
      </c>
      <c r="I7030" s="84" t="str">
        <f aca="false">IF(C7030="","",C7030*IF(Settings!$B$22=Settings!$C$6,1,IF(Settings!$B$22="USD",1/INDEX(Settings!$B$29:$B$40,MONTH(A7030)),INDEX(Settings!$B$29:$B$40,MONTH(A7030)))))</f>
        <v/>
      </c>
    </row>
    <row r="7031" customFormat="false" ht="15" hidden="false" customHeight="false" outlineLevel="0" collapsed="false">
      <c r="H7031" s="0" t="str">
        <f aca="false">IF(B7031="","",IF(COUNTIF(Campaigns!$A$7:$A$300,B7031)&gt;0,"✓","⚠ add to Campaigns tab"))</f>
        <v/>
      </c>
      <c r="I7031" s="84" t="str">
        <f aca="false">IF(C7031="","",C7031*IF(Settings!$B$22=Settings!$C$6,1,IF(Settings!$B$22="USD",1/INDEX(Settings!$B$29:$B$40,MONTH(A7031)),INDEX(Settings!$B$29:$B$40,MONTH(A7031)))))</f>
        <v/>
      </c>
    </row>
    <row r="7032" customFormat="false" ht="15" hidden="false" customHeight="false" outlineLevel="0" collapsed="false">
      <c r="H7032" s="0" t="str">
        <f aca="false">IF(B7032="","",IF(COUNTIF(Campaigns!$A$7:$A$300,B7032)&gt;0,"✓","⚠ add to Campaigns tab"))</f>
        <v/>
      </c>
      <c r="I7032" s="84" t="str">
        <f aca="false">IF(C7032="","",C7032*IF(Settings!$B$22=Settings!$C$6,1,IF(Settings!$B$22="USD",1/INDEX(Settings!$B$29:$B$40,MONTH(A7032)),INDEX(Settings!$B$29:$B$40,MONTH(A7032)))))</f>
        <v/>
      </c>
    </row>
    <row r="7033" customFormat="false" ht="15" hidden="false" customHeight="false" outlineLevel="0" collapsed="false">
      <c r="H7033" s="0" t="str">
        <f aca="false">IF(B7033="","",IF(COUNTIF(Campaigns!$A$7:$A$300,B7033)&gt;0,"✓","⚠ add to Campaigns tab"))</f>
        <v/>
      </c>
      <c r="I7033" s="84" t="str">
        <f aca="false">IF(C7033="","",C7033*IF(Settings!$B$22=Settings!$C$6,1,IF(Settings!$B$22="USD",1/INDEX(Settings!$B$29:$B$40,MONTH(A7033)),INDEX(Settings!$B$29:$B$40,MONTH(A7033)))))</f>
        <v/>
      </c>
    </row>
    <row r="7034" customFormat="false" ht="15" hidden="false" customHeight="false" outlineLevel="0" collapsed="false">
      <c r="H7034" s="0" t="str">
        <f aca="false">IF(B7034="","",IF(COUNTIF(Campaigns!$A$7:$A$300,B7034)&gt;0,"✓","⚠ add to Campaigns tab"))</f>
        <v/>
      </c>
      <c r="I7034" s="84" t="str">
        <f aca="false">IF(C7034="","",C7034*IF(Settings!$B$22=Settings!$C$6,1,IF(Settings!$B$22="USD",1/INDEX(Settings!$B$29:$B$40,MONTH(A7034)),INDEX(Settings!$B$29:$B$40,MONTH(A7034)))))</f>
        <v/>
      </c>
    </row>
    <row r="7035" customFormat="false" ht="15" hidden="false" customHeight="false" outlineLevel="0" collapsed="false">
      <c r="H7035" s="0" t="str">
        <f aca="false">IF(B7035="","",IF(COUNTIF(Campaigns!$A$7:$A$300,B7035)&gt;0,"✓","⚠ add to Campaigns tab"))</f>
        <v/>
      </c>
      <c r="I7035" s="84" t="str">
        <f aca="false">IF(C7035="","",C7035*IF(Settings!$B$22=Settings!$C$6,1,IF(Settings!$B$22="USD",1/INDEX(Settings!$B$29:$B$40,MONTH(A7035)),INDEX(Settings!$B$29:$B$40,MONTH(A7035)))))</f>
        <v/>
      </c>
    </row>
    <row r="7036" customFormat="false" ht="15" hidden="false" customHeight="false" outlineLevel="0" collapsed="false">
      <c r="H7036" s="0" t="str">
        <f aca="false">IF(B7036="","",IF(COUNTIF(Campaigns!$A$7:$A$300,B7036)&gt;0,"✓","⚠ add to Campaigns tab"))</f>
        <v/>
      </c>
      <c r="I7036" s="84" t="str">
        <f aca="false">IF(C7036="","",C7036*IF(Settings!$B$22=Settings!$C$6,1,IF(Settings!$B$22="USD",1/INDEX(Settings!$B$29:$B$40,MONTH(A7036)),INDEX(Settings!$B$29:$B$40,MONTH(A7036)))))</f>
        <v/>
      </c>
    </row>
    <row r="7037" customFormat="false" ht="15" hidden="false" customHeight="false" outlineLevel="0" collapsed="false">
      <c r="H7037" s="0" t="str">
        <f aca="false">IF(B7037="","",IF(COUNTIF(Campaigns!$A$7:$A$300,B7037)&gt;0,"✓","⚠ add to Campaigns tab"))</f>
        <v/>
      </c>
      <c r="I7037" s="84" t="str">
        <f aca="false">IF(C7037="","",C7037*IF(Settings!$B$22=Settings!$C$6,1,IF(Settings!$B$22="USD",1/INDEX(Settings!$B$29:$B$40,MONTH(A7037)),INDEX(Settings!$B$29:$B$40,MONTH(A7037)))))</f>
        <v/>
      </c>
    </row>
    <row r="7038" customFormat="false" ht="15" hidden="false" customHeight="false" outlineLevel="0" collapsed="false">
      <c r="H7038" s="0" t="str">
        <f aca="false">IF(B7038="","",IF(COUNTIF(Campaigns!$A$7:$A$300,B7038)&gt;0,"✓","⚠ add to Campaigns tab"))</f>
        <v/>
      </c>
      <c r="I7038" s="84" t="str">
        <f aca="false">IF(C7038="","",C7038*IF(Settings!$B$22=Settings!$C$6,1,IF(Settings!$B$22="USD",1/INDEX(Settings!$B$29:$B$40,MONTH(A7038)),INDEX(Settings!$B$29:$B$40,MONTH(A7038)))))</f>
        <v/>
      </c>
    </row>
    <row r="7039" customFormat="false" ht="15" hidden="false" customHeight="false" outlineLevel="0" collapsed="false">
      <c r="H7039" s="0" t="str">
        <f aca="false">IF(B7039="","",IF(COUNTIF(Campaigns!$A$7:$A$300,B7039)&gt;0,"✓","⚠ add to Campaigns tab"))</f>
        <v/>
      </c>
      <c r="I7039" s="84" t="str">
        <f aca="false">IF(C7039="","",C7039*IF(Settings!$B$22=Settings!$C$6,1,IF(Settings!$B$22="USD",1/INDEX(Settings!$B$29:$B$40,MONTH(A7039)),INDEX(Settings!$B$29:$B$40,MONTH(A7039)))))</f>
        <v/>
      </c>
    </row>
    <row r="7040" customFormat="false" ht="15" hidden="false" customHeight="false" outlineLevel="0" collapsed="false">
      <c r="H7040" s="0" t="str">
        <f aca="false">IF(B7040="","",IF(COUNTIF(Campaigns!$A$7:$A$300,B7040)&gt;0,"✓","⚠ add to Campaigns tab"))</f>
        <v/>
      </c>
      <c r="I7040" s="84" t="str">
        <f aca="false">IF(C7040="","",C7040*IF(Settings!$B$22=Settings!$C$6,1,IF(Settings!$B$22="USD",1/INDEX(Settings!$B$29:$B$40,MONTH(A7040)),INDEX(Settings!$B$29:$B$40,MONTH(A7040)))))</f>
        <v/>
      </c>
    </row>
    <row r="7041" customFormat="false" ht="15" hidden="false" customHeight="false" outlineLevel="0" collapsed="false">
      <c r="H7041" s="0" t="str">
        <f aca="false">IF(B7041="","",IF(COUNTIF(Campaigns!$A$7:$A$300,B7041)&gt;0,"✓","⚠ add to Campaigns tab"))</f>
        <v/>
      </c>
      <c r="I7041" s="84" t="str">
        <f aca="false">IF(C7041="","",C7041*IF(Settings!$B$22=Settings!$C$6,1,IF(Settings!$B$22="USD",1/INDEX(Settings!$B$29:$B$40,MONTH(A7041)),INDEX(Settings!$B$29:$B$40,MONTH(A7041)))))</f>
        <v/>
      </c>
    </row>
    <row r="7042" customFormat="false" ht="15" hidden="false" customHeight="false" outlineLevel="0" collapsed="false">
      <c r="H7042" s="0" t="str">
        <f aca="false">IF(B7042="","",IF(COUNTIF(Campaigns!$A$7:$A$300,B7042)&gt;0,"✓","⚠ add to Campaigns tab"))</f>
        <v/>
      </c>
      <c r="I7042" s="84" t="str">
        <f aca="false">IF(C7042="","",C7042*IF(Settings!$B$22=Settings!$C$6,1,IF(Settings!$B$22="USD",1/INDEX(Settings!$B$29:$B$40,MONTH(A7042)),INDEX(Settings!$B$29:$B$40,MONTH(A7042)))))</f>
        <v/>
      </c>
    </row>
    <row r="7043" customFormat="false" ht="15" hidden="false" customHeight="false" outlineLevel="0" collapsed="false">
      <c r="H7043" s="0" t="str">
        <f aca="false">IF(B7043="","",IF(COUNTIF(Campaigns!$A$7:$A$300,B7043)&gt;0,"✓","⚠ add to Campaigns tab"))</f>
        <v/>
      </c>
      <c r="I7043" s="84" t="str">
        <f aca="false">IF(C7043="","",C7043*IF(Settings!$B$22=Settings!$C$6,1,IF(Settings!$B$22="USD",1/INDEX(Settings!$B$29:$B$40,MONTH(A7043)),INDEX(Settings!$B$29:$B$40,MONTH(A7043)))))</f>
        <v/>
      </c>
    </row>
    <row r="7044" customFormat="false" ht="15" hidden="false" customHeight="false" outlineLevel="0" collapsed="false">
      <c r="H7044" s="0" t="str">
        <f aca="false">IF(B7044="","",IF(COUNTIF(Campaigns!$A$7:$A$300,B7044)&gt;0,"✓","⚠ add to Campaigns tab"))</f>
        <v/>
      </c>
      <c r="I7044" s="84" t="str">
        <f aca="false">IF(C7044="","",C7044*IF(Settings!$B$22=Settings!$C$6,1,IF(Settings!$B$22="USD",1/INDEX(Settings!$B$29:$B$40,MONTH(A7044)),INDEX(Settings!$B$29:$B$40,MONTH(A7044)))))</f>
        <v/>
      </c>
    </row>
    <row r="7045" customFormat="false" ht="15" hidden="false" customHeight="false" outlineLevel="0" collapsed="false">
      <c r="H7045" s="0" t="str">
        <f aca="false">IF(B7045="","",IF(COUNTIF(Campaigns!$A$7:$A$300,B7045)&gt;0,"✓","⚠ add to Campaigns tab"))</f>
        <v/>
      </c>
      <c r="I7045" s="84" t="str">
        <f aca="false">IF(C7045="","",C7045*IF(Settings!$B$22=Settings!$C$6,1,IF(Settings!$B$22="USD",1/INDEX(Settings!$B$29:$B$40,MONTH(A7045)),INDEX(Settings!$B$29:$B$40,MONTH(A7045)))))</f>
        <v/>
      </c>
    </row>
    <row r="7046" customFormat="false" ht="15" hidden="false" customHeight="false" outlineLevel="0" collapsed="false">
      <c r="H7046" s="0" t="str">
        <f aca="false">IF(B7046="","",IF(COUNTIF(Campaigns!$A$7:$A$300,B7046)&gt;0,"✓","⚠ add to Campaigns tab"))</f>
        <v/>
      </c>
      <c r="I7046" s="84" t="str">
        <f aca="false">IF(C7046="","",C7046*IF(Settings!$B$22=Settings!$C$6,1,IF(Settings!$B$22="USD",1/INDEX(Settings!$B$29:$B$40,MONTH(A7046)),INDEX(Settings!$B$29:$B$40,MONTH(A7046)))))</f>
        <v/>
      </c>
    </row>
    <row r="7047" customFormat="false" ht="15" hidden="false" customHeight="false" outlineLevel="0" collapsed="false">
      <c r="H7047" s="0" t="str">
        <f aca="false">IF(B7047="","",IF(COUNTIF(Campaigns!$A$7:$A$300,B7047)&gt;0,"✓","⚠ add to Campaigns tab"))</f>
        <v/>
      </c>
      <c r="I7047" s="84" t="str">
        <f aca="false">IF(C7047="","",C7047*IF(Settings!$B$22=Settings!$C$6,1,IF(Settings!$B$22="USD",1/INDEX(Settings!$B$29:$B$40,MONTH(A7047)),INDEX(Settings!$B$29:$B$40,MONTH(A7047)))))</f>
        <v/>
      </c>
    </row>
    <row r="7048" customFormat="false" ht="15" hidden="false" customHeight="false" outlineLevel="0" collapsed="false">
      <c r="H7048" s="0" t="str">
        <f aca="false">IF(B7048="","",IF(COUNTIF(Campaigns!$A$7:$A$300,B7048)&gt;0,"✓","⚠ add to Campaigns tab"))</f>
        <v/>
      </c>
      <c r="I7048" s="84" t="str">
        <f aca="false">IF(C7048="","",C7048*IF(Settings!$B$22=Settings!$C$6,1,IF(Settings!$B$22="USD",1/INDEX(Settings!$B$29:$B$40,MONTH(A7048)),INDEX(Settings!$B$29:$B$40,MONTH(A7048)))))</f>
        <v/>
      </c>
    </row>
    <row r="7049" customFormat="false" ht="15" hidden="false" customHeight="false" outlineLevel="0" collapsed="false">
      <c r="H7049" s="0" t="str">
        <f aca="false">IF(B7049="","",IF(COUNTIF(Campaigns!$A$7:$A$300,B7049)&gt;0,"✓","⚠ add to Campaigns tab"))</f>
        <v/>
      </c>
      <c r="I7049" s="84" t="str">
        <f aca="false">IF(C7049="","",C7049*IF(Settings!$B$22=Settings!$C$6,1,IF(Settings!$B$22="USD",1/INDEX(Settings!$B$29:$B$40,MONTH(A7049)),INDEX(Settings!$B$29:$B$40,MONTH(A7049)))))</f>
        <v/>
      </c>
    </row>
    <row r="7050" customFormat="false" ht="15" hidden="false" customHeight="false" outlineLevel="0" collapsed="false">
      <c r="H7050" s="0" t="str">
        <f aca="false">IF(B7050="","",IF(COUNTIF(Campaigns!$A$7:$A$300,B7050)&gt;0,"✓","⚠ add to Campaigns tab"))</f>
        <v/>
      </c>
      <c r="I7050" s="84" t="str">
        <f aca="false">IF(C7050="","",C7050*IF(Settings!$B$22=Settings!$C$6,1,IF(Settings!$B$22="USD",1/INDEX(Settings!$B$29:$B$40,MONTH(A7050)),INDEX(Settings!$B$29:$B$40,MONTH(A7050)))))</f>
        <v/>
      </c>
    </row>
    <row r="7051" customFormat="false" ht="15" hidden="false" customHeight="false" outlineLevel="0" collapsed="false">
      <c r="H7051" s="0" t="str">
        <f aca="false">IF(B7051="","",IF(COUNTIF(Campaigns!$A$7:$A$300,B7051)&gt;0,"✓","⚠ add to Campaigns tab"))</f>
        <v/>
      </c>
      <c r="I7051" s="84" t="str">
        <f aca="false">IF(C7051="","",C7051*IF(Settings!$B$22=Settings!$C$6,1,IF(Settings!$B$22="USD",1/INDEX(Settings!$B$29:$B$40,MONTH(A7051)),INDEX(Settings!$B$29:$B$40,MONTH(A7051)))))</f>
        <v/>
      </c>
    </row>
    <row r="7052" customFormat="false" ht="15" hidden="false" customHeight="false" outlineLevel="0" collapsed="false">
      <c r="H7052" s="0" t="str">
        <f aca="false">IF(B7052="","",IF(COUNTIF(Campaigns!$A$7:$A$300,B7052)&gt;0,"✓","⚠ add to Campaigns tab"))</f>
        <v/>
      </c>
      <c r="I7052" s="84" t="str">
        <f aca="false">IF(C7052="","",C7052*IF(Settings!$B$22=Settings!$C$6,1,IF(Settings!$B$22="USD",1/INDEX(Settings!$B$29:$B$40,MONTH(A7052)),INDEX(Settings!$B$29:$B$40,MONTH(A7052)))))</f>
        <v/>
      </c>
    </row>
    <row r="7053" customFormat="false" ht="15" hidden="false" customHeight="false" outlineLevel="0" collapsed="false">
      <c r="H7053" s="0" t="str">
        <f aca="false">IF(B7053="","",IF(COUNTIF(Campaigns!$A$7:$A$300,B7053)&gt;0,"✓","⚠ add to Campaigns tab"))</f>
        <v/>
      </c>
      <c r="I7053" s="84" t="str">
        <f aca="false">IF(C7053="","",C7053*IF(Settings!$B$22=Settings!$C$6,1,IF(Settings!$B$22="USD",1/INDEX(Settings!$B$29:$B$40,MONTH(A7053)),INDEX(Settings!$B$29:$B$40,MONTH(A7053)))))</f>
        <v/>
      </c>
    </row>
    <row r="7054" customFormat="false" ht="15" hidden="false" customHeight="false" outlineLevel="0" collapsed="false">
      <c r="H7054" s="0" t="str">
        <f aca="false">IF(B7054="","",IF(COUNTIF(Campaigns!$A$7:$A$300,B7054)&gt;0,"✓","⚠ add to Campaigns tab"))</f>
        <v/>
      </c>
      <c r="I7054" s="84" t="str">
        <f aca="false">IF(C7054="","",C7054*IF(Settings!$B$22=Settings!$C$6,1,IF(Settings!$B$22="USD",1/INDEX(Settings!$B$29:$B$40,MONTH(A7054)),INDEX(Settings!$B$29:$B$40,MONTH(A7054)))))</f>
        <v/>
      </c>
    </row>
    <row r="7055" customFormat="false" ht="15" hidden="false" customHeight="false" outlineLevel="0" collapsed="false">
      <c r="H7055" s="0" t="str">
        <f aca="false">IF(B7055="","",IF(COUNTIF(Campaigns!$A$7:$A$300,B7055)&gt;0,"✓","⚠ add to Campaigns tab"))</f>
        <v/>
      </c>
      <c r="I7055" s="84" t="str">
        <f aca="false">IF(C7055="","",C7055*IF(Settings!$B$22=Settings!$C$6,1,IF(Settings!$B$22="USD",1/INDEX(Settings!$B$29:$B$40,MONTH(A7055)),INDEX(Settings!$B$29:$B$40,MONTH(A7055)))))</f>
        <v/>
      </c>
    </row>
    <row r="7056" customFormat="false" ht="15" hidden="false" customHeight="false" outlineLevel="0" collapsed="false">
      <c r="H7056" s="0" t="str">
        <f aca="false">IF(B7056="","",IF(COUNTIF(Campaigns!$A$7:$A$300,B7056)&gt;0,"✓","⚠ add to Campaigns tab"))</f>
        <v/>
      </c>
      <c r="I7056" s="84" t="str">
        <f aca="false">IF(C7056="","",C7056*IF(Settings!$B$22=Settings!$C$6,1,IF(Settings!$B$22="USD",1/INDEX(Settings!$B$29:$B$40,MONTH(A7056)),INDEX(Settings!$B$29:$B$40,MONTH(A7056)))))</f>
        <v/>
      </c>
    </row>
    <row r="7057" customFormat="false" ht="15" hidden="false" customHeight="false" outlineLevel="0" collapsed="false">
      <c r="H7057" s="0" t="str">
        <f aca="false">IF(B7057="","",IF(COUNTIF(Campaigns!$A$7:$A$300,B7057)&gt;0,"✓","⚠ add to Campaigns tab"))</f>
        <v/>
      </c>
      <c r="I7057" s="84" t="str">
        <f aca="false">IF(C7057="","",C7057*IF(Settings!$B$22=Settings!$C$6,1,IF(Settings!$B$22="USD",1/INDEX(Settings!$B$29:$B$40,MONTH(A7057)),INDEX(Settings!$B$29:$B$40,MONTH(A7057)))))</f>
        <v/>
      </c>
    </row>
    <row r="7058" customFormat="false" ht="15" hidden="false" customHeight="false" outlineLevel="0" collapsed="false">
      <c r="H7058" s="0" t="str">
        <f aca="false">IF(B7058="","",IF(COUNTIF(Campaigns!$A$7:$A$300,B7058)&gt;0,"✓","⚠ add to Campaigns tab"))</f>
        <v/>
      </c>
      <c r="I7058" s="84" t="str">
        <f aca="false">IF(C7058="","",C7058*IF(Settings!$B$22=Settings!$C$6,1,IF(Settings!$B$22="USD",1/INDEX(Settings!$B$29:$B$40,MONTH(A7058)),INDEX(Settings!$B$29:$B$40,MONTH(A7058)))))</f>
        <v/>
      </c>
    </row>
    <row r="7059" customFormat="false" ht="15" hidden="false" customHeight="false" outlineLevel="0" collapsed="false">
      <c r="H7059" s="0" t="str">
        <f aca="false">IF(B7059="","",IF(COUNTIF(Campaigns!$A$7:$A$300,B7059)&gt;0,"✓","⚠ add to Campaigns tab"))</f>
        <v/>
      </c>
      <c r="I7059" s="84" t="str">
        <f aca="false">IF(C7059="","",C7059*IF(Settings!$B$22=Settings!$C$6,1,IF(Settings!$B$22="USD",1/INDEX(Settings!$B$29:$B$40,MONTH(A7059)),INDEX(Settings!$B$29:$B$40,MONTH(A7059)))))</f>
        <v/>
      </c>
    </row>
    <row r="7060" customFormat="false" ht="15" hidden="false" customHeight="false" outlineLevel="0" collapsed="false">
      <c r="H7060" s="0" t="str">
        <f aca="false">IF(B7060="","",IF(COUNTIF(Campaigns!$A$7:$A$300,B7060)&gt;0,"✓","⚠ add to Campaigns tab"))</f>
        <v/>
      </c>
      <c r="I7060" s="84" t="str">
        <f aca="false">IF(C7060="","",C7060*IF(Settings!$B$22=Settings!$C$6,1,IF(Settings!$B$22="USD",1/INDEX(Settings!$B$29:$B$40,MONTH(A7060)),INDEX(Settings!$B$29:$B$40,MONTH(A7060)))))</f>
        <v/>
      </c>
    </row>
    <row r="7061" customFormat="false" ht="15" hidden="false" customHeight="false" outlineLevel="0" collapsed="false">
      <c r="H7061" s="0" t="str">
        <f aca="false">IF(B7061="","",IF(COUNTIF(Campaigns!$A$7:$A$300,B7061)&gt;0,"✓","⚠ add to Campaigns tab"))</f>
        <v/>
      </c>
      <c r="I7061" s="84" t="str">
        <f aca="false">IF(C7061="","",C7061*IF(Settings!$B$22=Settings!$C$6,1,IF(Settings!$B$22="USD",1/INDEX(Settings!$B$29:$B$40,MONTH(A7061)),INDEX(Settings!$B$29:$B$40,MONTH(A7061)))))</f>
        <v/>
      </c>
    </row>
    <row r="7062" customFormat="false" ht="15" hidden="false" customHeight="false" outlineLevel="0" collapsed="false">
      <c r="H7062" s="0" t="str">
        <f aca="false">IF(B7062="","",IF(COUNTIF(Campaigns!$A$7:$A$300,B7062)&gt;0,"✓","⚠ add to Campaigns tab"))</f>
        <v/>
      </c>
      <c r="I7062" s="84" t="str">
        <f aca="false">IF(C7062="","",C7062*IF(Settings!$B$22=Settings!$C$6,1,IF(Settings!$B$22="USD",1/INDEX(Settings!$B$29:$B$40,MONTH(A7062)),INDEX(Settings!$B$29:$B$40,MONTH(A7062)))))</f>
        <v/>
      </c>
    </row>
    <row r="7063" customFormat="false" ht="15" hidden="false" customHeight="false" outlineLevel="0" collapsed="false">
      <c r="H7063" s="0" t="str">
        <f aca="false">IF(B7063="","",IF(COUNTIF(Campaigns!$A$7:$A$300,B7063)&gt;0,"✓","⚠ add to Campaigns tab"))</f>
        <v/>
      </c>
      <c r="I7063" s="84" t="str">
        <f aca="false">IF(C7063="","",C7063*IF(Settings!$B$22=Settings!$C$6,1,IF(Settings!$B$22="USD",1/INDEX(Settings!$B$29:$B$40,MONTH(A7063)),INDEX(Settings!$B$29:$B$40,MONTH(A7063)))))</f>
        <v/>
      </c>
    </row>
    <row r="7064" customFormat="false" ht="15" hidden="false" customHeight="false" outlineLevel="0" collapsed="false">
      <c r="H7064" s="0" t="str">
        <f aca="false">IF(B7064="","",IF(COUNTIF(Campaigns!$A$7:$A$300,B7064)&gt;0,"✓","⚠ add to Campaigns tab"))</f>
        <v/>
      </c>
      <c r="I7064" s="84" t="str">
        <f aca="false">IF(C7064="","",C7064*IF(Settings!$B$22=Settings!$C$6,1,IF(Settings!$B$22="USD",1/INDEX(Settings!$B$29:$B$40,MONTH(A7064)),INDEX(Settings!$B$29:$B$40,MONTH(A7064)))))</f>
        <v/>
      </c>
    </row>
    <row r="7065" customFormat="false" ht="15" hidden="false" customHeight="false" outlineLevel="0" collapsed="false">
      <c r="H7065" s="0" t="str">
        <f aca="false">IF(B7065="","",IF(COUNTIF(Campaigns!$A$7:$A$300,B7065)&gt;0,"✓","⚠ add to Campaigns tab"))</f>
        <v/>
      </c>
      <c r="I7065" s="84" t="str">
        <f aca="false">IF(C7065="","",C7065*IF(Settings!$B$22=Settings!$C$6,1,IF(Settings!$B$22="USD",1/INDEX(Settings!$B$29:$B$40,MONTH(A7065)),INDEX(Settings!$B$29:$B$40,MONTH(A7065)))))</f>
        <v/>
      </c>
    </row>
    <row r="7066" customFormat="false" ht="15" hidden="false" customHeight="false" outlineLevel="0" collapsed="false">
      <c r="H7066" s="0" t="str">
        <f aca="false">IF(B7066="","",IF(COUNTIF(Campaigns!$A$7:$A$300,B7066)&gt;0,"✓","⚠ add to Campaigns tab"))</f>
        <v/>
      </c>
      <c r="I7066" s="84" t="str">
        <f aca="false">IF(C7066="","",C7066*IF(Settings!$B$22=Settings!$C$6,1,IF(Settings!$B$22="USD",1/INDEX(Settings!$B$29:$B$40,MONTH(A7066)),INDEX(Settings!$B$29:$B$40,MONTH(A7066)))))</f>
        <v/>
      </c>
    </row>
    <row r="7067" customFormat="false" ht="15" hidden="false" customHeight="false" outlineLevel="0" collapsed="false">
      <c r="H7067" s="0" t="str">
        <f aca="false">IF(B7067="","",IF(COUNTIF(Campaigns!$A$7:$A$300,B7067)&gt;0,"✓","⚠ add to Campaigns tab"))</f>
        <v/>
      </c>
      <c r="I7067" s="84" t="str">
        <f aca="false">IF(C7067="","",C7067*IF(Settings!$B$22=Settings!$C$6,1,IF(Settings!$B$22="USD",1/INDEX(Settings!$B$29:$B$40,MONTH(A7067)),INDEX(Settings!$B$29:$B$40,MONTH(A7067)))))</f>
        <v/>
      </c>
    </row>
    <row r="7068" customFormat="false" ht="15" hidden="false" customHeight="false" outlineLevel="0" collapsed="false">
      <c r="H7068" s="0" t="str">
        <f aca="false">IF(B7068="","",IF(COUNTIF(Campaigns!$A$7:$A$300,B7068)&gt;0,"✓","⚠ add to Campaigns tab"))</f>
        <v/>
      </c>
      <c r="I7068" s="84" t="str">
        <f aca="false">IF(C7068="","",C7068*IF(Settings!$B$22=Settings!$C$6,1,IF(Settings!$B$22="USD",1/INDEX(Settings!$B$29:$B$40,MONTH(A7068)),INDEX(Settings!$B$29:$B$40,MONTH(A7068)))))</f>
        <v/>
      </c>
    </row>
    <row r="7069" customFormat="false" ht="15" hidden="false" customHeight="false" outlineLevel="0" collapsed="false">
      <c r="H7069" s="0" t="str">
        <f aca="false">IF(B7069="","",IF(COUNTIF(Campaigns!$A$7:$A$300,B7069)&gt;0,"✓","⚠ add to Campaigns tab"))</f>
        <v/>
      </c>
      <c r="I7069" s="84" t="str">
        <f aca="false">IF(C7069="","",C7069*IF(Settings!$B$22=Settings!$C$6,1,IF(Settings!$B$22="USD",1/INDEX(Settings!$B$29:$B$40,MONTH(A7069)),INDEX(Settings!$B$29:$B$40,MONTH(A7069)))))</f>
        <v/>
      </c>
    </row>
    <row r="7070" customFormat="false" ht="15" hidden="false" customHeight="false" outlineLevel="0" collapsed="false">
      <c r="H7070" s="0" t="str">
        <f aca="false">IF(B7070="","",IF(COUNTIF(Campaigns!$A$7:$A$300,B7070)&gt;0,"✓","⚠ add to Campaigns tab"))</f>
        <v/>
      </c>
      <c r="I7070" s="84" t="str">
        <f aca="false">IF(C7070="","",C7070*IF(Settings!$B$22=Settings!$C$6,1,IF(Settings!$B$22="USD",1/INDEX(Settings!$B$29:$B$40,MONTH(A7070)),INDEX(Settings!$B$29:$B$40,MONTH(A7070)))))</f>
        <v/>
      </c>
    </row>
    <row r="7071" customFormat="false" ht="15" hidden="false" customHeight="false" outlineLevel="0" collapsed="false">
      <c r="H7071" s="0" t="str">
        <f aca="false">IF(B7071="","",IF(COUNTIF(Campaigns!$A$7:$A$300,B7071)&gt;0,"✓","⚠ add to Campaigns tab"))</f>
        <v/>
      </c>
      <c r="I7071" s="84" t="str">
        <f aca="false">IF(C7071="","",C7071*IF(Settings!$B$22=Settings!$C$6,1,IF(Settings!$B$22="USD",1/INDEX(Settings!$B$29:$B$40,MONTH(A7071)),INDEX(Settings!$B$29:$B$40,MONTH(A7071)))))</f>
        <v/>
      </c>
    </row>
    <row r="7072" customFormat="false" ht="15" hidden="false" customHeight="false" outlineLevel="0" collapsed="false">
      <c r="H7072" s="0" t="str">
        <f aca="false">IF(B7072="","",IF(COUNTIF(Campaigns!$A$7:$A$300,B7072)&gt;0,"✓","⚠ add to Campaigns tab"))</f>
        <v/>
      </c>
      <c r="I7072" s="84" t="str">
        <f aca="false">IF(C7072="","",C7072*IF(Settings!$B$22=Settings!$C$6,1,IF(Settings!$B$22="USD",1/INDEX(Settings!$B$29:$B$40,MONTH(A7072)),INDEX(Settings!$B$29:$B$40,MONTH(A7072)))))</f>
        <v/>
      </c>
    </row>
    <row r="7073" customFormat="false" ht="15" hidden="false" customHeight="false" outlineLevel="0" collapsed="false">
      <c r="H7073" s="0" t="str">
        <f aca="false">IF(B7073="","",IF(COUNTIF(Campaigns!$A$7:$A$300,B7073)&gt;0,"✓","⚠ add to Campaigns tab"))</f>
        <v/>
      </c>
      <c r="I7073" s="84" t="str">
        <f aca="false">IF(C7073="","",C7073*IF(Settings!$B$22=Settings!$C$6,1,IF(Settings!$B$22="USD",1/INDEX(Settings!$B$29:$B$40,MONTH(A7073)),INDEX(Settings!$B$29:$B$40,MONTH(A7073)))))</f>
        <v/>
      </c>
    </row>
    <row r="7074" customFormat="false" ht="15" hidden="false" customHeight="false" outlineLevel="0" collapsed="false">
      <c r="H7074" s="0" t="str">
        <f aca="false">IF(B7074="","",IF(COUNTIF(Campaigns!$A$7:$A$300,B7074)&gt;0,"✓","⚠ add to Campaigns tab"))</f>
        <v/>
      </c>
      <c r="I7074" s="84" t="str">
        <f aca="false">IF(C7074="","",C7074*IF(Settings!$B$22=Settings!$C$6,1,IF(Settings!$B$22="USD",1/INDEX(Settings!$B$29:$B$40,MONTH(A7074)),INDEX(Settings!$B$29:$B$40,MONTH(A7074)))))</f>
        <v/>
      </c>
    </row>
    <row r="7075" customFormat="false" ht="15" hidden="false" customHeight="false" outlineLevel="0" collapsed="false">
      <c r="H7075" s="0" t="str">
        <f aca="false">IF(B7075="","",IF(COUNTIF(Campaigns!$A$7:$A$300,B7075)&gt;0,"✓","⚠ add to Campaigns tab"))</f>
        <v/>
      </c>
      <c r="I7075" s="84" t="str">
        <f aca="false">IF(C7075="","",C7075*IF(Settings!$B$22=Settings!$C$6,1,IF(Settings!$B$22="USD",1/INDEX(Settings!$B$29:$B$40,MONTH(A7075)),INDEX(Settings!$B$29:$B$40,MONTH(A7075)))))</f>
        <v/>
      </c>
    </row>
    <row r="7076" customFormat="false" ht="15" hidden="false" customHeight="false" outlineLevel="0" collapsed="false">
      <c r="H7076" s="0" t="str">
        <f aca="false">IF(B7076="","",IF(COUNTIF(Campaigns!$A$7:$A$300,B7076)&gt;0,"✓","⚠ add to Campaigns tab"))</f>
        <v/>
      </c>
      <c r="I7076" s="84" t="str">
        <f aca="false">IF(C7076="","",C7076*IF(Settings!$B$22=Settings!$C$6,1,IF(Settings!$B$22="USD",1/INDEX(Settings!$B$29:$B$40,MONTH(A7076)),INDEX(Settings!$B$29:$B$40,MONTH(A7076)))))</f>
        <v/>
      </c>
    </row>
    <row r="7077" customFormat="false" ht="15" hidden="false" customHeight="false" outlineLevel="0" collapsed="false">
      <c r="H7077" s="0" t="str">
        <f aca="false">IF(B7077="","",IF(COUNTIF(Campaigns!$A$7:$A$300,B7077)&gt;0,"✓","⚠ add to Campaigns tab"))</f>
        <v/>
      </c>
      <c r="I7077" s="84" t="str">
        <f aca="false">IF(C7077="","",C7077*IF(Settings!$B$22=Settings!$C$6,1,IF(Settings!$B$22="USD",1/INDEX(Settings!$B$29:$B$40,MONTH(A7077)),INDEX(Settings!$B$29:$B$40,MONTH(A7077)))))</f>
        <v/>
      </c>
    </row>
    <row r="7078" customFormat="false" ht="15" hidden="false" customHeight="false" outlineLevel="0" collapsed="false">
      <c r="H7078" s="0" t="str">
        <f aca="false">IF(B7078="","",IF(COUNTIF(Campaigns!$A$7:$A$300,B7078)&gt;0,"✓","⚠ add to Campaigns tab"))</f>
        <v/>
      </c>
      <c r="I7078" s="84" t="str">
        <f aca="false">IF(C7078="","",C7078*IF(Settings!$B$22=Settings!$C$6,1,IF(Settings!$B$22="USD",1/INDEX(Settings!$B$29:$B$40,MONTH(A7078)),INDEX(Settings!$B$29:$B$40,MONTH(A7078)))))</f>
        <v/>
      </c>
    </row>
    <row r="7079" customFormat="false" ht="15" hidden="false" customHeight="false" outlineLevel="0" collapsed="false">
      <c r="H7079" s="0" t="str">
        <f aca="false">IF(B7079="","",IF(COUNTIF(Campaigns!$A$7:$A$300,B7079)&gt;0,"✓","⚠ add to Campaigns tab"))</f>
        <v/>
      </c>
      <c r="I7079" s="84" t="str">
        <f aca="false">IF(C7079="","",C7079*IF(Settings!$B$22=Settings!$C$6,1,IF(Settings!$B$22="USD",1/INDEX(Settings!$B$29:$B$40,MONTH(A7079)),INDEX(Settings!$B$29:$B$40,MONTH(A7079)))))</f>
        <v/>
      </c>
    </row>
    <row r="7080" customFormat="false" ht="15" hidden="false" customHeight="false" outlineLevel="0" collapsed="false">
      <c r="H7080" s="0" t="str">
        <f aca="false">IF(B7080="","",IF(COUNTIF(Campaigns!$A$7:$A$300,B7080)&gt;0,"✓","⚠ add to Campaigns tab"))</f>
        <v/>
      </c>
      <c r="I7080" s="84" t="str">
        <f aca="false">IF(C7080="","",C7080*IF(Settings!$B$22=Settings!$C$6,1,IF(Settings!$B$22="USD",1/INDEX(Settings!$B$29:$B$40,MONTH(A7080)),INDEX(Settings!$B$29:$B$40,MONTH(A7080)))))</f>
        <v/>
      </c>
    </row>
    <row r="7081" customFormat="false" ht="15" hidden="false" customHeight="false" outlineLevel="0" collapsed="false">
      <c r="H7081" s="0" t="str">
        <f aca="false">IF(B7081="","",IF(COUNTIF(Campaigns!$A$7:$A$300,B7081)&gt;0,"✓","⚠ add to Campaigns tab"))</f>
        <v/>
      </c>
      <c r="I7081" s="84" t="str">
        <f aca="false">IF(C7081="","",C7081*IF(Settings!$B$22=Settings!$C$6,1,IF(Settings!$B$22="USD",1/INDEX(Settings!$B$29:$B$40,MONTH(A7081)),INDEX(Settings!$B$29:$B$40,MONTH(A7081)))))</f>
        <v/>
      </c>
    </row>
    <row r="7082" customFormat="false" ht="15" hidden="false" customHeight="false" outlineLevel="0" collapsed="false">
      <c r="H7082" s="0" t="str">
        <f aca="false">IF(B7082="","",IF(COUNTIF(Campaigns!$A$7:$A$300,B7082)&gt;0,"✓","⚠ add to Campaigns tab"))</f>
        <v/>
      </c>
      <c r="I7082" s="84" t="str">
        <f aca="false">IF(C7082="","",C7082*IF(Settings!$B$22=Settings!$C$6,1,IF(Settings!$B$22="USD",1/INDEX(Settings!$B$29:$B$40,MONTH(A7082)),INDEX(Settings!$B$29:$B$40,MONTH(A7082)))))</f>
        <v/>
      </c>
    </row>
    <row r="7083" customFormat="false" ht="15" hidden="false" customHeight="false" outlineLevel="0" collapsed="false">
      <c r="H7083" s="0" t="str">
        <f aca="false">IF(B7083="","",IF(COUNTIF(Campaigns!$A$7:$A$300,B7083)&gt;0,"✓","⚠ add to Campaigns tab"))</f>
        <v/>
      </c>
      <c r="I7083" s="84" t="str">
        <f aca="false">IF(C7083="","",C7083*IF(Settings!$B$22=Settings!$C$6,1,IF(Settings!$B$22="USD",1/INDEX(Settings!$B$29:$B$40,MONTH(A7083)),INDEX(Settings!$B$29:$B$40,MONTH(A7083)))))</f>
        <v/>
      </c>
    </row>
    <row r="7084" customFormat="false" ht="15" hidden="false" customHeight="false" outlineLevel="0" collapsed="false">
      <c r="H7084" s="0" t="str">
        <f aca="false">IF(B7084="","",IF(COUNTIF(Campaigns!$A$7:$A$300,B7084)&gt;0,"✓","⚠ add to Campaigns tab"))</f>
        <v/>
      </c>
      <c r="I7084" s="84" t="str">
        <f aca="false">IF(C7084="","",C7084*IF(Settings!$B$22=Settings!$C$6,1,IF(Settings!$B$22="USD",1/INDEX(Settings!$B$29:$B$40,MONTH(A7084)),INDEX(Settings!$B$29:$B$40,MONTH(A7084)))))</f>
        <v/>
      </c>
    </row>
    <row r="7085" customFormat="false" ht="15" hidden="false" customHeight="false" outlineLevel="0" collapsed="false">
      <c r="H7085" s="0" t="str">
        <f aca="false">IF(B7085="","",IF(COUNTIF(Campaigns!$A$7:$A$300,B7085)&gt;0,"✓","⚠ add to Campaigns tab"))</f>
        <v/>
      </c>
      <c r="I7085" s="84" t="str">
        <f aca="false">IF(C7085="","",C7085*IF(Settings!$B$22=Settings!$C$6,1,IF(Settings!$B$22="USD",1/INDEX(Settings!$B$29:$B$40,MONTH(A7085)),INDEX(Settings!$B$29:$B$40,MONTH(A7085)))))</f>
        <v/>
      </c>
    </row>
    <row r="7086" customFormat="false" ht="15" hidden="false" customHeight="false" outlineLevel="0" collapsed="false">
      <c r="H7086" s="0" t="str">
        <f aca="false">IF(B7086="","",IF(COUNTIF(Campaigns!$A$7:$A$300,B7086)&gt;0,"✓","⚠ add to Campaigns tab"))</f>
        <v/>
      </c>
      <c r="I7086" s="84" t="str">
        <f aca="false">IF(C7086="","",C7086*IF(Settings!$B$22=Settings!$C$6,1,IF(Settings!$B$22="USD",1/INDEX(Settings!$B$29:$B$40,MONTH(A7086)),INDEX(Settings!$B$29:$B$40,MONTH(A7086)))))</f>
        <v/>
      </c>
    </row>
    <row r="7087" customFormat="false" ht="15" hidden="false" customHeight="false" outlineLevel="0" collapsed="false">
      <c r="H7087" s="0" t="str">
        <f aca="false">IF(B7087="","",IF(COUNTIF(Campaigns!$A$7:$A$300,B7087)&gt;0,"✓","⚠ add to Campaigns tab"))</f>
        <v/>
      </c>
      <c r="I7087" s="84" t="str">
        <f aca="false">IF(C7087="","",C7087*IF(Settings!$B$22=Settings!$C$6,1,IF(Settings!$B$22="USD",1/INDEX(Settings!$B$29:$B$40,MONTH(A7087)),INDEX(Settings!$B$29:$B$40,MONTH(A7087)))))</f>
        <v/>
      </c>
    </row>
    <row r="7088" customFormat="false" ht="15" hidden="false" customHeight="false" outlineLevel="0" collapsed="false">
      <c r="H7088" s="0" t="str">
        <f aca="false">IF(B7088="","",IF(COUNTIF(Campaigns!$A$7:$A$300,B7088)&gt;0,"✓","⚠ add to Campaigns tab"))</f>
        <v/>
      </c>
      <c r="I7088" s="84" t="str">
        <f aca="false">IF(C7088="","",C7088*IF(Settings!$B$22=Settings!$C$6,1,IF(Settings!$B$22="USD",1/INDEX(Settings!$B$29:$B$40,MONTH(A7088)),INDEX(Settings!$B$29:$B$40,MONTH(A7088)))))</f>
        <v/>
      </c>
    </row>
    <row r="7089" customFormat="false" ht="15" hidden="false" customHeight="false" outlineLevel="0" collapsed="false">
      <c r="H7089" s="0" t="str">
        <f aca="false">IF(B7089="","",IF(COUNTIF(Campaigns!$A$7:$A$300,B7089)&gt;0,"✓","⚠ add to Campaigns tab"))</f>
        <v/>
      </c>
      <c r="I7089" s="84" t="str">
        <f aca="false">IF(C7089="","",C7089*IF(Settings!$B$22=Settings!$C$6,1,IF(Settings!$B$22="USD",1/INDEX(Settings!$B$29:$B$40,MONTH(A7089)),INDEX(Settings!$B$29:$B$40,MONTH(A7089)))))</f>
        <v/>
      </c>
    </row>
    <row r="7090" customFormat="false" ht="15" hidden="false" customHeight="false" outlineLevel="0" collapsed="false">
      <c r="H7090" s="0" t="str">
        <f aca="false">IF(B7090="","",IF(COUNTIF(Campaigns!$A$7:$A$300,B7090)&gt;0,"✓","⚠ add to Campaigns tab"))</f>
        <v/>
      </c>
      <c r="I7090" s="84" t="str">
        <f aca="false">IF(C7090="","",C7090*IF(Settings!$B$22=Settings!$C$6,1,IF(Settings!$B$22="USD",1/INDEX(Settings!$B$29:$B$40,MONTH(A7090)),INDEX(Settings!$B$29:$B$40,MONTH(A7090)))))</f>
        <v/>
      </c>
    </row>
    <row r="7091" customFormat="false" ht="15" hidden="false" customHeight="false" outlineLevel="0" collapsed="false">
      <c r="H7091" s="0" t="str">
        <f aca="false">IF(B7091="","",IF(COUNTIF(Campaigns!$A$7:$A$300,B7091)&gt;0,"✓","⚠ add to Campaigns tab"))</f>
        <v/>
      </c>
      <c r="I7091" s="84" t="str">
        <f aca="false">IF(C7091="","",C7091*IF(Settings!$B$22=Settings!$C$6,1,IF(Settings!$B$22="USD",1/INDEX(Settings!$B$29:$B$40,MONTH(A7091)),INDEX(Settings!$B$29:$B$40,MONTH(A7091)))))</f>
        <v/>
      </c>
    </row>
    <row r="7092" customFormat="false" ht="15" hidden="false" customHeight="false" outlineLevel="0" collapsed="false">
      <c r="H7092" s="0" t="str">
        <f aca="false">IF(B7092="","",IF(COUNTIF(Campaigns!$A$7:$A$300,B7092)&gt;0,"✓","⚠ add to Campaigns tab"))</f>
        <v/>
      </c>
      <c r="I7092" s="84" t="str">
        <f aca="false">IF(C7092="","",C7092*IF(Settings!$B$22=Settings!$C$6,1,IF(Settings!$B$22="USD",1/INDEX(Settings!$B$29:$B$40,MONTH(A7092)),INDEX(Settings!$B$29:$B$40,MONTH(A7092)))))</f>
        <v/>
      </c>
    </row>
    <row r="7093" customFormat="false" ht="15" hidden="false" customHeight="false" outlineLevel="0" collapsed="false">
      <c r="H7093" s="0" t="str">
        <f aca="false">IF(B7093="","",IF(COUNTIF(Campaigns!$A$7:$A$300,B7093)&gt;0,"✓","⚠ add to Campaigns tab"))</f>
        <v/>
      </c>
      <c r="I7093" s="84" t="str">
        <f aca="false">IF(C7093="","",C7093*IF(Settings!$B$22=Settings!$C$6,1,IF(Settings!$B$22="USD",1/INDEX(Settings!$B$29:$B$40,MONTH(A7093)),INDEX(Settings!$B$29:$B$40,MONTH(A7093)))))</f>
        <v/>
      </c>
    </row>
    <row r="7094" customFormat="false" ht="15" hidden="false" customHeight="false" outlineLevel="0" collapsed="false">
      <c r="H7094" s="0" t="str">
        <f aca="false">IF(B7094="","",IF(COUNTIF(Campaigns!$A$7:$A$300,B7094)&gt;0,"✓","⚠ add to Campaigns tab"))</f>
        <v/>
      </c>
      <c r="I7094" s="84" t="str">
        <f aca="false">IF(C7094="","",C7094*IF(Settings!$B$22=Settings!$C$6,1,IF(Settings!$B$22="USD",1/INDEX(Settings!$B$29:$B$40,MONTH(A7094)),INDEX(Settings!$B$29:$B$40,MONTH(A7094)))))</f>
        <v/>
      </c>
    </row>
    <row r="7095" customFormat="false" ht="15" hidden="false" customHeight="false" outlineLevel="0" collapsed="false">
      <c r="H7095" s="0" t="str">
        <f aca="false">IF(B7095="","",IF(COUNTIF(Campaigns!$A$7:$A$300,B7095)&gt;0,"✓","⚠ add to Campaigns tab"))</f>
        <v/>
      </c>
      <c r="I7095" s="84" t="str">
        <f aca="false">IF(C7095="","",C7095*IF(Settings!$B$22=Settings!$C$6,1,IF(Settings!$B$22="USD",1/INDEX(Settings!$B$29:$B$40,MONTH(A7095)),INDEX(Settings!$B$29:$B$40,MONTH(A7095)))))</f>
        <v/>
      </c>
    </row>
    <row r="7096" customFormat="false" ht="15" hidden="false" customHeight="false" outlineLevel="0" collapsed="false">
      <c r="H7096" s="0" t="str">
        <f aca="false">IF(B7096="","",IF(COUNTIF(Campaigns!$A$7:$A$300,B7096)&gt;0,"✓","⚠ add to Campaigns tab"))</f>
        <v/>
      </c>
      <c r="I7096" s="84" t="str">
        <f aca="false">IF(C7096="","",C7096*IF(Settings!$B$22=Settings!$C$6,1,IF(Settings!$B$22="USD",1/INDEX(Settings!$B$29:$B$40,MONTH(A7096)),INDEX(Settings!$B$29:$B$40,MONTH(A7096)))))</f>
        <v/>
      </c>
    </row>
    <row r="7097" customFormat="false" ht="15" hidden="false" customHeight="false" outlineLevel="0" collapsed="false">
      <c r="H7097" s="0" t="str">
        <f aca="false">IF(B7097="","",IF(COUNTIF(Campaigns!$A$7:$A$300,B7097)&gt;0,"✓","⚠ add to Campaigns tab"))</f>
        <v/>
      </c>
      <c r="I7097" s="84" t="str">
        <f aca="false">IF(C7097="","",C7097*IF(Settings!$B$22=Settings!$C$6,1,IF(Settings!$B$22="USD",1/INDEX(Settings!$B$29:$B$40,MONTH(A7097)),INDEX(Settings!$B$29:$B$40,MONTH(A7097)))))</f>
        <v/>
      </c>
    </row>
    <row r="7098" customFormat="false" ht="15" hidden="false" customHeight="false" outlineLevel="0" collapsed="false">
      <c r="H7098" s="0" t="str">
        <f aca="false">IF(B7098="","",IF(COUNTIF(Campaigns!$A$7:$A$300,B7098)&gt;0,"✓","⚠ add to Campaigns tab"))</f>
        <v/>
      </c>
      <c r="I7098" s="84" t="str">
        <f aca="false">IF(C7098="","",C7098*IF(Settings!$B$22=Settings!$C$6,1,IF(Settings!$B$22="USD",1/INDEX(Settings!$B$29:$B$40,MONTH(A7098)),INDEX(Settings!$B$29:$B$40,MONTH(A7098)))))</f>
        <v/>
      </c>
    </row>
    <row r="7099" customFormat="false" ht="15" hidden="false" customHeight="false" outlineLevel="0" collapsed="false">
      <c r="H7099" s="0" t="str">
        <f aca="false">IF(B7099="","",IF(COUNTIF(Campaigns!$A$7:$A$300,B7099)&gt;0,"✓","⚠ add to Campaigns tab"))</f>
        <v/>
      </c>
      <c r="I7099" s="84" t="str">
        <f aca="false">IF(C7099="","",C7099*IF(Settings!$B$22=Settings!$C$6,1,IF(Settings!$B$22="USD",1/INDEX(Settings!$B$29:$B$40,MONTH(A7099)),INDEX(Settings!$B$29:$B$40,MONTH(A7099)))))</f>
        <v/>
      </c>
    </row>
    <row r="7100" customFormat="false" ht="15" hidden="false" customHeight="false" outlineLevel="0" collapsed="false">
      <c r="H7100" s="0" t="str">
        <f aca="false">IF(B7100="","",IF(COUNTIF(Campaigns!$A$7:$A$300,B7100)&gt;0,"✓","⚠ add to Campaigns tab"))</f>
        <v/>
      </c>
      <c r="I7100" s="84" t="str">
        <f aca="false">IF(C7100="","",C7100*IF(Settings!$B$22=Settings!$C$6,1,IF(Settings!$B$22="USD",1/INDEX(Settings!$B$29:$B$40,MONTH(A7100)),INDEX(Settings!$B$29:$B$40,MONTH(A7100)))))</f>
        <v/>
      </c>
    </row>
    <row r="7101" customFormat="false" ht="15" hidden="false" customHeight="false" outlineLevel="0" collapsed="false">
      <c r="H7101" s="0" t="str">
        <f aca="false">IF(B7101="","",IF(COUNTIF(Campaigns!$A$7:$A$300,B7101)&gt;0,"✓","⚠ add to Campaigns tab"))</f>
        <v/>
      </c>
      <c r="I7101" s="84" t="str">
        <f aca="false">IF(C7101="","",C7101*IF(Settings!$B$22=Settings!$C$6,1,IF(Settings!$B$22="USD",1/INDEX(Settings!$B$29:$B$40,MONTH(A7101)),INDEX(Settings!$B$29:$B$40,MONTH(A7101)))))</f>
        <v/>
      </c>
    </row>
    <row r="7102" customFormat="false" ht="15" hidden="false" customHeight="false" outlineLevel="0" collapsed="false">
      <c r="H7102" s="0" t="str">
        <f aca="false">IF(B7102="","",IF(COUNTIF(Campaigns!$A$7:$A$300,B7102)&gt;0,"✓","⚠ add to Campaigns tab"))</f>
        <v/>
      </c>
      <c r="I7102" s="84" t="str">
        <f aca="false">IF(C7102="","",C7102*IF(Settings!$B$22=Settings!$C$6,1,IF(Settings!$B$22="USD",1/INDEX(Settings!$B$29:$B$40,MONTH(A7102)),INDEX(Settings!$B$29:$B$40,MONTH(A7102)))))</f>
        <v/>
      </c>
    </row>
    <row r="7103" customFormat="false" ht="15" hidden="false" customHeight="false" outlineLevel="0" collapsed="false">
      <c r="H7103" s="0" t="str">
        <f aca="false">IF(B7103="","",IF(COUNTIF(Campaigns!$A$7:$A$300,B7103)&gt;0,"✓","⚠ add to Campaigns tab"))</f>
        <v/>
      </c>
      <c r="I7103" s="84" t="str">
        <f aca="false">IF(C7103="","",C7103*IF(Settings!$B$22=Settings!$C$6,1,IF(Settings!$B$22="USD",1/INDEX(Settings!$B$29:$B$40,MONTH(A7103)),INDEX(Settings!$B$29:$B$40,MONTH(A7103)))))</f>
        <v/>
      </c>
    </row>
    <row r="7104" customFormat="false" ht="15" hidden="false" customHeight="false" outlineLevel="0" collapsed="false">
      <c r="H7104" s="0" t="str">
        <f aca="false">IF(B7104="","",IF(COUNTIF(Campaigns!$A$7:$A$300,B7104)&gt;0,"✓","⚠ add to Campaigns tab"))</f>
        <v/>
      </c>
      <c r="I7104" s="84" t="str">
        <f aca="false">IF(C7104="","",C7104*IF(Settings!$B$22=Settings!$C$6,1,IF(Settings!$B$22="USD",1/INDEX(Settings!$B$29:$B$40,MONTH(A7104)),INDEX(Settings!$B$29:$B$40,MONTH(A7104)))))</f>
        <v/>
      </c>
    </row>
    <row r="7105" customFormat="false" ht="15" hidden="false" customHeight="false" outlineLevel="0" collapsed="false">
      <c r="H7105" s="0" t="str">
        <f aca="false">IF(B7105="","",IF(COUNTIF(Campaigns!$A$7:$A$300,B7105)&gt;0,"✓","⚠ add to Campaigns tab"))</f>
        <v/>
      </c>
      <c r="I7105" s="84" t="str">
        <f aca="false">IF(C7105="","",C7105*IF(Settings!$B$22=Settings!$C$6,1,IF(Settings!$B$22="USD",1/INDEX(Settings!$B$29:$B$40,MONTH(A7105)),INDEX(Settings!$B$29:$B$40,MONTH(A7105)))))</f>
        <v/>
      </c>
    </row>
    <row r="7106" customFormat="false" ht="15" hidden="false" customHeight="false" outlineLevel="0" collapsed="false">
      <c r="H7106" s="0" t="str">
        <f aca="false">IF(B7106="","",IF(COUNTIF(Campaigns!$A$7:$A$300,B7106)&gt;0,"✓","⚠ add to Campaigns tab"))</f>
        <v/>
      </c>
      <c r="I7106" s="84" t="str">
        <f aca="false">IF(C7106="","",C7106*IF(Settings!$B$22=Settings!$C$6,1,IF(Settings!$B$22="USD",1/INDEX(Settings!$B$29:$B$40,MONTH(A7106)),INDEX(Settings!$B$29:$B$40,MONTH(A7106)))))</f>
        <v/>
      </c>
    </row>
    <row r="7107" customFormat="false" ht="15" hidden="false" customHeight="false" outlineLevel="0" collapsed="false">
      <c r="H7107" s="0" t="str">
        <f aca="false">IF(B7107="","",IF(COUNTIF(Campaigns!$A$7:$A$300,B7107)&gt;0,"✓","⚠ add to Campaigns tab"))</f>
        <v/>
      </c>
      <c r="I7107" s="84" t="str">
        <f aca="false">IF(C7107="","",C7107*IF(Settings!$B$22=Settings!$C$6,1,IF(Settings!$B$22="USD",1/INDEX(Settings!$B$29:$B$40,MONTH(A7107)),INDEX(Settings!$B$29:$B$40,MONTH(A7107)))))</f>
        <v/>
      </c>
    </row>
    <row r="7108" customFormat="false" ht="15" hidden="false" customHeight="false" outlineLevel="0" collapsed="false">
      <c r="H7108" s="0" t="str">
        <f aca="false">IF(B7108="","",IF(COUNTIF(Campaigns!$A$7:$A$300,B7108)&gt;0,"✓","⚠ add to Campaigns tab"))</f>
        <v/>
      </c>
      <c r="I7108" s="84" t="str">
        <f aca="false">IF(C7108="","",C7108*IF(Settings!$B$22=Settings!$C$6,1,IF(Settings!$B$22="USD",1/INDEX(Settings!$B$29:$B$40,MONTH(A7108)),INDEX(Settings!$B$29:$B$40,MONTH(A7108)))))</f>
        <v/>
      </c>
    </row>
    <row r="7109" customFormat="false" ht="15" hidden="false" customHeight="false" outlineLevel="0" collapsed="false">
      <c r="H7109" s="0" t="str">
        <f aca="false">IF(B7109="","",IF(COUNTIF(Campaigns!$A$7:$A$300,B7109)&gt;0,"✓","⚠ add to Campaigns tab"))</f>
        <v/>
      </c>
      <c r="I7109" s="84" t="str">
        <f aca="false">IF(C7109="","",C7109*IF(Settings!$B$22=Settings!$C$6,1,IF(Settings!$B$22="USD",1/INDEX(Settings!$B$29:$B$40,MONTH(A7109)),INDEX(Settings!$B$29:$B$40,MONTH(A7109)))))</f>
        <v/>
      </c>
    </row>
    <row r="7110" customFormat="false" ht="15" hidden="false" customHeight="false" outlineLevel="0" collapsed="false">
      <c r="H7110" s="0" t="str">
        <f aca="false">IF(B7110="","",IF(COUNTIF(Campaigns!$A$7:$A$300,B7110)&gt;0,"✓","⚠ add to Campaigns tab"))</f>
        <v/>
      </c>
      <c r="I7110" s="84" t="str">
        <f aca="false">IF(C7110="","",C7110*IF(Settings!$B$22=Settings!$C$6,1,IF(Settings!$B$22="USD",1/INDEX(Settings!$B$29:$B$40,MONTH(A7110)),INDEX(Settings!$B$29:$B$40,MONTH(A7110)))))</f>
        <v/>
      </c>
    </row>
    <row r="7111" customFormat="false" ht="15" hidden="false" customHeight="false" outlineLevel="0" collapsed="false">
      <c r="H7111" s="0" t="str">
        <f aca="false">IF(B7111="","",IF(COUNTIF(Campaigns!$A$7:$A$300,B7111)&gt;0,"✓","⚠ add to Campaigns tab"))</f>
        <v/>
      </c>
      <c r="I7111" s="84" t="str">
        <f aca="false">IF(C7111="","",C7111*IF(Settings!$B$22=Settings!$C$6,1,IF(Settings!$B$22="USD",1/INDEX(Settings!$B$29:$B$40,MONTH(A7111)),INDEX(Settings!$B$29:$B$40,MONTH(A7111)))))</f>
        <v/>
      </c>
    </row>
    <row r="7112" customFormat="false" ht="15" hidden="false" customHeight="false" outlineLevel="0" collapsed="false">
      <c r="H7112" s="0" t="str">
        <f aca="false">IF(B7112="","",IF(COUNTIF(Campaigns!$A$7:$A$300,B7112)&gt;0,"✓","⚠ add to Campaigns tab"))</f>
        <v/>
      </c>
      <c r="I7112" s="84" t="str">
        <f aca="false">IF(C7112="","",C7112*IF(Settings!$B$22=Settings!$C$6,1,IF(Settings!$B$22="USD",1/INDEX(Settings!$B$29:$B$40,MONTH(A7112)),INDEX(Settings!$B$29:$B$40,MONTH(A7112)))))</f>
        <v/>
      </c>
    </row>
    <row r="7113" customFormat="false" ht="15" hidden="false" customHeight="false" outlineLevel="0" collapsed="false">
      <c r="H7113" s="0" t="str">
        <f aca="false">IF(B7113="","",IF(COUNTIF(Campaigns!$A$7:$A$300,B7113)&gt;0,"✓","⚠ add to Campaigns tab"))</f>
        <v/>
      </c>
      <c r="I7113" s="84" t="str">
        <f aca="false">IF(C7113="","",C7113*IF(Settings!$B$22=Settings!$C$6,1,IF(Settings!$B$22="USD",1/INDEX(Settings!$B$29:$B$40,MONTH(A7113)),INDEX(Settings!$B$29:$B$40,MONTH(A7113)))))</f>
        <v/>
      </c>
    </row>
    <row r="7114" customFormat="false" ht="15" hidden="false" customHeight="false" outlineLevel="0" collapsed="false">
      <c r="H7114" s="0" t="str">
        <f aca="false">IF(B7114="","",IF(COUNTIF(Campaigns!$A$7:$A$300,B7114)&gt;0,"✓","⚠ add to Campaigns tab"))</f>
        <v/>
      </c>
      <c r="I7114" s="84" t="str">
        <f aca="false">IF(C7114="","",C7114*IF(Settings!$B$22=Settings!$C$6,1,IF(Settings!$B$22="USD",1/INDEX(Settings!$B$29:$B$40,MONTH(A7114)),INDEX(Settings!$B$29:$B$40,MONTH(A7114)))))</f>
        <v/>
      </c>
    </row>
    <row r="7115" customFormat="false" ht="15" hidden="false" customHeight="false" outlineLevel="0" collapsed="false">
      <c r="H7115" s="0" t="str">
        <f aca="false">IF(B7115="","",IF(COUNTIF(Campaigns!$A$7:$A$300,B7115)&gt;0,"✓","⚠ add to Campaigns tab"))</f>
        <v/>
      </c>
      <c r="I7115" s="84" t="str">
        <f aca="false">IF(C7115="","",C7115*IF(Settings!$B$22=Settings!$C$6,1,IF(Settings!$B$22="USD",1/INDEX(Settings!$B$29:$B$40,MONTH(A7115)),INDEX(Settings!$B$29:$B$40,MONTH(A7115)))))</f>
        <v/>
      </c>
    </row>
    <row r="7116" customFormat="false" ht="15" hidden="false" customHeight="false" outlineLevel="0" collapsed="false">
      <c r="H7116" s="0" t="str">
        <f aca="false">IF(B7116="","",IF(COUNTIF(Campaigns!$A$7:$A$300,B7116)&gt;0,"✓","⚠ add to Campaigns tab"))</f>
        <v/>
      </c>
      <c r="I7116" s="84" t="str">
        <f aca="false">IF(C7116="","",C7116*IF(Settings!$B$22=Settings!$C$6,1,IF(Settings!$B$22="USD",1/INDEX(Settings!$B$29:$B$40,MONTH(A7116)),INDEX(Settings!$B$29:$B$40,MONTH(A7116)))))</f>
        <v/>
      </c>
    </row>
    <row r="7117" customFormat="false" ht="15" hidden="false" customHeight="false" outlineLevel="0" collapsed="false">
      <c r="H7117" s="0" t="str">
        <f aca="false">IF(B7117="","",IF(COUNTIF(Campaigns!$A$7:$A$300,B7117)&gt;0,"✓","⚠ add to Campaigns tab"))</f>
        <v/>
      </c>
      <c r="I7117" s="84" t="str">
        <f aca="false">IF(C7117="","",C7117*IF(Settings!$B$22=Settings!$C$6,1,IF(Settings!$B$22="USD",1/INDEX(Settings!$B$29:$B$40,MONTH(A7117)),INDEX(Settings!$B$29:$B$40,MONTH(A7117)))))</f>
        <v/>
      </c>
    </row>
    <row r="7118" customFormat="false" ht="15" hidden="false" customHeight="false" outlineLevel="0" collapsed="false">
      <c r="H7118" s="0" t="str">
        <f aca="false">IF(B7118="","",IF(COUNTIF(Campaigns!$A$7:$A$300,B7118)&gt;0,"✓","⚠ add to Campaigns tab"))</f>
        <v/>
      </c>
      <c r="I7118" s="84" t="str">
        <f aca="false">IF(C7118="","",C7118*IF(Settings!$B$22=Settings!$C$6,1,IF(Settings!$B$22="USD",1/INDEX(Settings!$B$29:$B$40,MONTH(A7118)),INDEX(Settings!$B$29:$B$40,MONTH(A7118)))))</f>
        <v/>
      </c>
    </row>
    <row r="7119" customFormat="false" ht="15" hidden="false" customHeight="false" outlineLevel="0" collapsed="false">
      <c r="H7119" s="0" t="str">
        <f aca="false">IF(B7119="","",IF(COUNTIF(Campaigns!$A$7:$A$300,B7119)&gt;0,"✓","⚠ add to Campaigns tab"))</f>
        <v/>
      </c>
      <c r="I7119" s="84" t="str">
        <f aca="false">IF(C7119="","",C7119*IF(Settings!$B$22=Settings!$C$6,1,IF(Settings!$B$22="USD",1/INDEX(Settings!$B$29:$B$40,MONTH(A7119)),INDEX(Settings!$B$29:$B$40,MONTH(A7119)))))</f>
        <v/>
      </c>
    </row>
    <row r="7120" customFormat="false" ht="15" hidden="false" customHeight="false" outlineLevel="0" collapsed="false">
      <c r="H7120" s="0" t="str">
        <f aca="false">IF(B7120="","",IF(COUNTIF(Campaigns!$A$7:$A$300,B7120)&gt;0,"✓","⚠ add to Campaigns tab"))</f>
        <v/>
      </c>
      <c r="I7120" s="84" t="str">
        <f aca="false">IF(C7120="","",C7120*IF(Settings!$B$22=Settings!$C$6,1,IF(Settings!$B$22="USD",1/INDEX(Settings!$B$29:$B$40,MONTH(A7120)),INDEX(Settings!$B$29:$B$40,MONTH(A7120)))))</f>
        <v/>
      </c>
    </row>
    <row r="7121" customFormat="false" ht="15" hidden="false" customHeight="false" outlineLevel="0" collapsed="false">
      <c r="H7121" s="0" t="str">
        <f aca="false">IF(B7121="","",IF(COUNTIF(Campaigns!$A$7:$A$300,B7121)&gt;0,"✓","⚠ add to Campaigns tab"))</f>
        <v/>
      </c>
      <c r="I7121" s="84" t="str">
        <f aca="false">IF(C7121="","",C7121*IF(Settings!$B$22=Settings!$C$6,1,IF(Settings!$B$22="USD",1/INDEX(Settings!$B$29:$B$40,MONTH(A7121)),INDEX(Settings!$B$29:$B$40,MONTH(A7121)))))</f>
        <v/>
      </c>
    </row>
    <row r="7122" customFormat="false" ht="15" hidden="false" customHeight="false" outlineLevel="0" collapsed="false">
      <c r="H7122" s="0" t="str">
        <f aca="false">IF(B7122="","",IF(COUNTIF(Campaigns!$A$7:$A$300,B7122)&gt;0,"✓","⚠ add to Campaigns tab"))</f>
        <v/>
      </c>
      <c r="I7122" s="84" t="str">
        <f aca="false">IF(C7122="","",C7122*IF(Settings!$B$22=Settings!$C$6,1,IF(Settings!$B$22="USD",1/INDEX(Settings!$B$29:$B$40,MONTH(A7122)),INDEX(Settings!$B$29:$B$40,MONTH(A7122)))))</f>
        <v/>
      </c>
    </row>
    <row r="7123" customFormat="false" ht="15" hidden="false" customHeight="false" outlineLevel="0" collapsed="false">
      <c r="H7123" s="0" t="str">
        <f aca="false">IF(B7123="","",IF(COUNTIF(Campaigns!$A$7:$A$300,B7123)&gt;0,"✓","⚠ add to Campaigns tab"))</f>
        <v/>
      </c>
      <c r="I7123" s="84" t="str">
        <f aca="false">IF(C7123="","",C7123*IF(Settings!$B$22=Settings!$C$6,1,IF(Settings!$B$22="USD",1/INDEX(Settings!$B$29:$B$40,MONTH(A7123)),INDEX(Settings!$B$29:$B$40,MONTH(A7123)))))</f>
        <v/>
      </c>
    </row>
    <row r="7124" customFormat="false" ht="15" hidden="false" customHeight="false" outlineLevel="0" collapsed="false">
      <c r="H7124" s="0" t="str">
        <f aca="false">IF(B7124="","",IF(COUNTIF(Campaigns!$A$7:$A$300,B7124)&gt;0,"✓","⚠ add to Campaigns tab"))</f>
        <v/>
      </c>
      <c r="I7124" s="84" t="str">
        <f aca="false">IF(C7124="","",C7124*IF(Settings!$B$22=Settings!$C$6,1,IF(Settings!$B$22="USD",1/INDEX(Settings!$B$29:$B$40,MONTH(A7124)),INDEX(Settings!$B$29:$B$40,MONTH(A7124)))))</f>
        <v/>
      </c>
    </row>
    <row r="7125" customFormat="false" ht="15" hidden="false" customHeight="false" outlineLevel="0" collapsed="false">
      <c r="H7125" s="0" t="str">
        <f aca="false">IF(B7125="","",IF(COUNTIF(Campaigns!$A$7:$A$300,B7125)&gt;0,"✓","⚠ add to Campaigns tab"))</f>
        <v/>
      </c>
      <c r="I7125" s="84" t="str">
        <f aca="false">IF(C7125="","",C7125*IF(Settings!$B$22=Settings!$C$6,1,IF(Settings!$B$22="USD",1/INDEX(Settings!$B$29:$B$40,MONTH(A7125)),INDEX(Settings!$B$29:$B$40,MONTH(A7125)))))</f>
        <v/>
      </c>
    </row>
    <row r="7126" customFormat="false" ht="15" hidden="false" customHeight="false" outlineLevel="0" collapsed="false">
      <c r="H7126" s="0" t="str">
        <f aca="false">IF(B7126="","",IF(COUNTIF(Campaigns!$A$7:$A$300,B7126)&gt;0,"✓","⚠ add to Campaigns tab"))</f>
        <v/>
      </c>
      <c r="I7126" s="84" t="str">
        <f aca="false">IF(C7126="","",C7126*IF(Settings!$B$22=Settings!$C$6,1,IF(Settings!$B$22="USD",1/INDEX(Settings!$B$29:$B$40,MONTH(A7126)),INDEX(Settings!$B$29:$B$40,MONTH(A7126)))))</f>
        <v/>
      </c>
    </row>
    <row r="7127" customFormat="false" ht="15" hidden="false" customHeight="false" outlineLevel="0" collapsed="false">
      <c r="H7127" s="0" t="str">
        <f aca="false">IF(B7127="","",IF(COUNTIF(Campaigns!$A$7:$A$300,B7127)&gt;0,"✓","⚠ add to Campaigns tab"))</f>
        <v/>
      </c>
      <c r="I7127" s="84" t="str">
        <f aca="false">IF(C7127="","",C7127*IF(Settings!$B$22=Settings!$C$6,1,IF(Settings!$B$22="USD",1/INDEX(Settings!$B$29:$B$40,MONTH(A7127)),INDEX(Settings!$B$29:$B$40,MONTH(A7127)))))</f>
        <v/>
      </c>
    </row>
    <row r="7128" customFormat="false" ht="15" hidden="false" customHeight="false" outlineLevel="0" collapsed="false">
      <c r="H7128" s="0" t="str">
        <f aca="false">IF(B7128="","",IF(COUNTIF(Campaigns!$A$7:$A$300,B7128)&gt;0,"✓","⚠ add to Campaigns tab"))</f>
        <v/>
      </c>
      <c r="I7128" s="84" t="str">
        <f aca="false">IF(C7128="","",C7128*IF(Settings!$B$22=Settings!$C$6,1,IF(Settings!$B$22="USD",1/INDEX(Settings!$B$29:$B$40,MONTH(A7128)),INDEX(Settings!$B$29:$B$40,MONTH(A7128)))))</f>
        <v/>
      </c>
    </row>
    <row r="7129" customFormat="false" ht="15" hidden="false" customHeight="false" outlineLevel="0" collapsed="false">
      <c r="H7129" s="0" t="str">
        <f aca="false">IF(B7129="","",IF(COUNTIF(Campaigns!$A$7:$A$300,B7129)&gt;0,"✓","⚠ add to Campaigns tab"))</f>
        <v/>
      </c>
      <c r="I7129" s="84" t="str">
        <f aca="false">IF(C7129="","",C7129*IF(Settings!$B$22=Settings!$C$6,1,IF(Settings!$B$22="USD",1/INDEX(Settings!$B$29:$B$40,MONTH(A7129)),INDEX(Settings!$B$29:$B$40,MONTH(A7129)))))</f>
        <v/>
      </c>
    </row>
    <row r="7130" customFormat="false" ht="15" hidden="false" customHeight="false" outlineLevel="0" collapsed="false">
      <c r="H7130" s="0" t="str">
        <f aca="false">IF(B7130="","",IF(COUNTIF(Campaigns!$A$7:$A$300,B7130)&gt;0,"✓","⚠ add to Campaigns tab"))</f>
        <v/>
      </c>
      <c r="I7130" s="84" t="str">
        <f aca="false">IF(C7130="","",C7130*IF(Settings!$B$22=Settings!$C$6,1,IF(Settings!$B$22="USD",1/INDEX(Settings!$B$29:$B$40,MONTH(A7130)),INDEX(Settings!$B$29:$B$40,MONTH(A7130)))))</f>
        <v/>
      </c>
    </row>
    <row r="7131" customFormat="false" ht="15" hidden="false" customHeight="false" outlineLevel="0" collapsed="false">
      <c r="H7131" s="0" t="str">
        <f aca="false">IF(B7131="","",IF(COUNTIF(Campaigns!$A$7:$A$300,B7131)&gt;0,"✓","⚠ add to Campaigns tab"))</f>
        <v/>
      </c>
      <c r="I7131" s="84" t="str">
        <f aca="false">IF(C7131="","",C7131*IF(Settings!$B$22=Settings!$C$6,1,IF(Settings!$B$22="USD",1/INDEX(Settings!$B$29:$B$40,MONTH(A7131)),INDEX(Settings!$B$29:$B$40,MONTH(A7131)))))</f>
        <v/>
      </c>
    </row>
    <row r="7132" customFormat="false" ht="15" hidden="false" customHeight="false" outlineLevel="0" collapsed="false">
      <c r="H7132" s="0" t="str">
        <f aca="false">IF(B7132="","",IF(COUNTIF(Campaigns!$A$7:$A$300,B7132)&gt;0,"✓","⚠ add to Campaigns tab"))</f>
        <v/>
      </c>
      <c r="I7132" s="84" t="str">
        <f aca="false">IF(C7132="","",C7132*IF(Settings!$B$22=Settings!$C$6,1,IF(Settings!$B$22="USD",1/INDEX(Settings!$B$29:$B$40,MONTH(A7132)),INDEX(Settings!$B$29:$B$40,MONTH(A7132)))))</f>
        <v/>
      </c>
    </row>
    <row r="7133" customFormat="false" ht="15" hidden="false" customHeight="false" outlineLevel="0" collapsed="false">
      <c r="H7133" s="0" t="str">
        <f aca="false">IF(B7133="","",IF(COUNTIF(Campaigns!$A$7:$A$300,B7133)&gt;0,"✓","⚠ add to Campaigns tab"))</f>
        <v/>
      </c>
      <c r="I7133" s="84" t="str">
        <f aca="false">IF(C7133="","",C7133*IF(Settings!$B$22=Settings!$C$6,1,IF(Settings!$B$22="USD",1/INDEX(Settings!$B$29:$B$40,MONTH(A7133)),INDEX(Settings!$B$29:$B$40,MONTH(A7133)))))</f>
        <v/>
      </c>
    </row>
    <row r="7134" customFormat="false" ht="15" hidden="false" customHeight="false" outlineLevel="0" collapsed="false">
      <c r="H7134" s="0" t="str">
        <f aca="false">IF(B7134="","",IF(COUNTIF(Campaigns!$A$7:$A$300,B7134)&gt;0,"✓","⚠ add to Campaigns tab"))</f>
        <v/>
      </c>
      <c r="I7134" s="84" t="str">
        <f aca="false">IF(C7134="","",C7134*IF(Settings!$B$22=Settings!$C$6,1,IF(Settings!$B$22="USD",1/INDEX(Settings!$B$29:$B$40,MONTH(A7134)),INDEX(Settings!$B$29:$B$40,MONTH(A7134)))))</f>
        <v/>
      </c>
    </row>
    <row r="7135" customFormat="false" ht="15" hidden="false" customHeight="false" outlineLevel="0" collapsed="false">
      <c r="H7135" s="0" t="str">
        <f aca="false">IF(B7135="","",IF(COUNTIF(Campaigns!$A$7:$A$300,B7135)&gt;0,"✓","⚠ add to Campaigns tab"))</f>
        <v/>
      </c>
      <c r="I7135" s="84" t="str">
        <f aca="false">IF(C7135="","",C7135*IF(Settings!$B$22=Settings!$C$6,1,IF(Settings!$B$22="USD",1/INDEX(Settings!$B$29:$B$40,MONTH(A7135)),INDEX(Settings!$B$29:$B$40,MONTH(A7135)))))</f>
        <v/>
      </c>
    </row>
    <row r="7136" customFormat="false" ht="15" hidden="false" customHeight="false" outlineLevel="0" collapsed="false">
      <c r="H7136" s="0" t="str">
        <f aca="false">IF(B7136="","",IF(COUNTIF(Campaigns!$A$7:$A$300,B7136)&gt;0,"✓","⚠ add to Campaigns tab"))</f>
        <v/>
      </c>
      <c r="I7136" s="84" t="str">
        <f aca="false">IF(C7136="","",C7136*IF(Settings!$B$22=Settings!$C$6,1,IF(Settings!$B$22="USD",1/INDEX(Settings!$B$29:$B$40,MONTH(A7136)),INDEX(Settings!$B$29:$B$40,MONTH(A7136)))))</f>
        <v/>
      </c>
    </row>
    <row r="7137" customFormat="false" ht="15" hidden="false" customHeight="false" outlineLevel="0" collapsed="false">
      <c r="H7137" s="0" t="str">
        <f aca="false">IF(B7137="","",IF(COUNTIF(Campaigns!$A$7:$A$300,B7137)&gt;0,"✓","⚠ add to Campaigns tab"))</f>
        <v/>
      </c>
      <c r="I7137" s="84" t="str">
        <f aca="false">IF(C7137="","",C7137*IF(Settings!$B$22=Settings!$C$6,1,IF(Settings!$B$22="USD",1/INDEX(Settings!$B$29:$B$40,MONTH(A7137)),INDEX(Settings!$B$29:$B$40,MONTH(A7137)))))</f>
        <v/>
      </c>
    </row>
    <row r="7138" customFormat="false" ht="15" hidden="false" customHeight="false" outlineLevel="0" collapsed="false">
      <c r="H7138" s="0" t="str">
        <f aca="false">IF(B7138="","",IF(COUNTIF(Campaigns!$A$7:$A$300,B7138)&gt;0,"✓","⚠ add to Campaigns tab"))</f>
        <v/>
      </c>
      <c r="I7138" s="84" t="str">
        <f aca="false">IF(C7138="","",C7138*IF(Settings!$B$22=Settings!$C$6,1,IF(Settings!$B$22="USD",1/INDEX(Settings!$B$29:$B$40,MONTH(A7138)),INDEX(Settings!$B$29:$B$40,MONTH(A7138)))))</f>
        <v/>
      </c>
    </row>
    <row r="7139" customFormat="false" ht="15" hidden="false" customHeight="false" outlineLevel="0" collapsed="false">
      <c r="H7139" s="0" t="str">
        <f aca="false">IF(B7139="","",IF(COUNTIF(Campaigns!$A$7:$A$300,B7139)&gt;0,"✓","⚠ add to Campaigns tab"))</f>
        <v/>
      </c>
      <c r="I7139" s="84" t="str">
        <f aca="false">IF(C7139="","",C7139*IF(Settings!$B$22=Settings!$C$6,1,IF(Settings!$B$22="USD",1/INDEX(Settings!$B$29:$B$40,MONTH(A7139)),INDEX(Settings!$B$29:$B$40,MONTH(A7139)))))</f>
        <v/>
      </c>
    </row>
    <row r="7140" customFormat="false" ht="15" hidden="false" customHeight="false" outlineLevel="0" collapsed="false">
      <c r="H7140" s="0" t="str">
        <f aca="false">IF(B7140="","",IF(COUNTIF(Campaigns!$A$7:$A$300,B7140)&gt;0,"✓","⚠ add to Campaigns tab"))</f>
        <v/>
      </c>
      <c r="I7140" s="84" t="str">
        <f aca="false">IF(C7140="","",C7140*IF(Settings!$B$22=Settings!$C$6,1,IF(Settings!$B$22="USD",1/INDEX(Settings!$B$29:$B$40,MONTH(A7140)),INDEX(Settings!$B$29:$B$40,MONTH(A7140)))))</f>
        <v/>
      </c>
    </row>
    <row r="7141" customFormat="false" ht="15" hidden="false" customHeight="false" outlineLevel="0" collapsed="false">
      <c r="H7141" s="0" t="str">
        <f aca="false">IF(B7141="","",IF(COUNTIF(Campaigns!$A$7:$A$300,B7141)&gt;0,"✓","⚠ add to Campaigns tab"))</f>
        <v/>
      </c>
      <c r="I7141" s="84" t="str">
        <f aca="false">IF(C7141="","",C7141*IF(Settings!$B$22=Settings!$C$6,1,IF(Settings!$B$22="USD",1/INDEX(Settings!$B$29:$B$40,MONTH(A7141)),INDEX(Settings!$B$29:$B$40,MONTH(A7141)))))</f>
        <v/>
      </c>
    </row>
    <row r="7142" customFormat="false" ht="15" hidden="false" customHeight="false" outlineLevel="0" collapsed="false">
      <c r="H7142" s="0" t="str">
        <f aca="false">IF(B7142="","",IF(COUNTIF(Campaigns!$A$7:$A$300,B7142)&gt;0,"✓","⚠ add to Campaigns tab"))</f>
        <v/>
      </c>
      <c r="I7142" s="84" t="str">
        <f aca="false">IF(C7142="","",C7142*IF(Settings!$B$22=Settings!$C$6,1,IF(Settings!$B$22="USD",1/INDEX(Settings!$B$29:$B$40,MONTH(A7142)),INDEX(Settings!$B$29:$B$40,MONTH(A7142)))))</f>
        <v/>
      </c>
    </row>
    <row r="7143" customFormat="false" ht="15" hidden="false" customHeight="false" outlineLevel="0" collapsed="false">
      <c r="H7143" s="0" t="str">
        <f aca="false">IF(B7143="","",IF(COUNTIF(Campaigns!$A$7:$A$300,B7143)&gt;0,"✓","⚠ add to Campaigns tab"))</f>
        <v/>
      </c>
      <c r="I7143" s="84" t="str">
        <f aca="false">IF(C7143="","",C7143*IF(Settings!$B$22=Settings!$C$6,1,IF(Settings!$B$22="USD",1/INDEX(Settings!$B$29:$B$40,MONTH(A7143)),INDEX(Settings!$B$29:$B$40,MONTH(A7143)))))</f>
        <v/>
      </c>
    </row>
    <row r="7144" customFormat="false" ht="15" hidden="false" customHeight="false" outlineLevel="0" collapsed="false">
      <c r="H7144" s="0" t="str">
        <f aca="false">IF(B7144="","",IF(COUNTIF(Campaigns!$A$7:$A$300,B7144)&gt;0,"✓","⚠ add to Campaigns tab"))</f>
        <v/>
      </c>
      <c r="I7144" s="84" t="str">
        <f aca="false">IF(C7144="","",C7144*IF(Settings!$B$22=Settings!$C$6,1,IF(Settings!$B$22="USD",1/INDEX(Settings!$B$29:$B$40,MONTH(A7144)),INDEX(Settings!$B$29:$B$40,MONTH(A7144)))))</f>
        <v/>
      </c>
    </row>
    <row r="7145" customFormat="false" ht="15" hidden="false" customHeight="false" outlineLevel="0" collapsed="false">
      <c r="H7145" s="0" t="str">
        <f aca="false">IF(B7145="","",IF(COUNTIF(Campaigns!$A$7:$A$300,B7145)&gt;0,"✓","⚠ add to Campaigns tab"))</f>
        <v/>
      </c>
      <c r="I7145" s="84" t="str">
        <f aca="false">IF(C7145="","",C7145*IF(Settings!$B$22=Settings!$C$6,1,IF(Settings!$B$22="USD",1/INDEX(Settings!$B$29:$B$40,MONTH(A7145)),INDEX(Settings!$B$29:$B$40,MONTH(A7145)))))</f>
        <v/>
      </c>
    </row>
    <row r="7146" customFormat="false" ht="15" hidden="false" customHeight="false" outlineLevel="0" collapsed="false">
      <c r="H7146" s="0" t="str">
        <f aca="false">IF(B7146="","",IF(COUNTIF(Campaigns!$A$7:$A$300,B7146)&gt;0,"✓","⚠ add to Campaigns tab"))</f>
        <v/>
      </c>
      <c r="I7146" s="84" t="str">
        <f aca="false">IF(C7146="","",C7146*IF(Settings!$B$22=Settings!$C$6,1,IF(Settings!$B$22="USD",1/INDEX(Settings!$B$29:$B$40,MONTH(A7146)),INDEX(Settings!$B$29:$B$40,MONTH(A7146)))))</f>
        <v/>
      </c>
    </row>
    <row r="7147" customFormat="false" ht="15" hidden="false" customHeight="false" outlineLevel="0" collapsed="false">
      <c r="H7147" s="0" t="str">
        <f aca="false">IF(B7147="","",IF(COUNTIF(Campaigns!$A$7:$A$300,B7147)&gt;0,"✓","⚠ add to Campaigns tab"))</f>
        <v/>
      </c>
      <c r="I7147" s="84" t="str">
        <f aca="false">IF(C7147="","",C7147*IF(Settings!$B$22=Settings!$C$6,1,IF(Settings!$B$22="USD",1/INDEX(Settings!$B$29:$B$40,MONTH(A7147)),INDEX(Settings!$B$29:$B$40,MONTH(A7147)))))</f>
        <v/>
      </c>
    </row>
    <row r="7148" customFormat="false" ht="15" hidden="false" customHeight="false" outlineLevel="0" collapsed="false">
      <c r="H7148" s="0" t="str">
        <f aca="false">IF(B7148="","",IF(COUNTIF(Campaigns!$A$7:$A$300,B7148)&gt;0,"✓","⚠ add to Campaigns tab"))</f>
        <v/>
      </c>
      <c r="I7148" s="84" t="str">
        <f aca="false">IF(C7148="","",C7148*IF(Settings!$B$22=Settings!$C$6,1,IF(Settings!$B$22="USD",1/INDEX(Settings!$B$29:$B$40,MONTH(A7148)),INDEX(Settings!$B$29:$B$40,MONTH(A7148)))))</f>
        <v/>
      </c>
    </row>
    <row r="7149" customFormat="false" ht="15" hidden="false" customHeight="false" outlineLevel="0" collapsed="false">
      <c r="H7149" s="0" t="str">
        <f aca="false">IF(B7149="","",IF(COUNTIF(Campaigns!$A$7:$A$300,B7149)&gt;0,"✓","⚠ add to Campaigns tab"))</f>
        <v/>
      </c>
      <c r="I7149" s="84" t="str">
        <f aca="false">IF(C7149="","",C7149*IF(Settings!$B$22=Settings!$C$6,1,IF(Settings!$B$22="USD",1/INDEX(Settings!$B$29:$B$40,MONTH(A7149)),INDEX(Settings!$B$29:$B$40,MONTH(A7149)))))</f>
        <v/>
      </c>
    </row>
    <row r="7150" customFormat="false" ht="15" hidden="false" customHeight="false" outlineLevel="0" collapsed="false">
      <c r="H7150" s="0" t="str">
        <f aca="false">IF(B7150="","",IF(COUNTIF(Campaigns!$A$7:$A$300,B7150)&gt;0,"✓","⚠ add to Campaigns tab"))</f>
        <v/>
      </c>
      <c r="I7150" s="84" t="str">
        <f aca="false">IF(C7150="","",C7150*IF(Settings!$B$22=Settings!$C$6,1,IF(Settings!$B$22="USD",1/INDEX(Settings!$B$29:$B$40,MONTH(A7150)),INDEX(Settings!$B$29:$B$40,MONTH(A7150)))))</f>
        <v/>
      </c>
    </row>
    <row r="7151" customFormat="false" ht="15" hidden="false" customHeight="false" outlineLevel="0" collapsed="false">
      <c r="H7151" s="0" t="str">
        <f aca="false">IF(B7151="","",IF(COUNTIF(Campaigns!$A$7:$A$300,B7151)&gt;0,"✓","⚠ add to Campaigns tab"))</f>
        <v/>
      </c>
      <c r="I7151" s="84" t="str">
        <f aca="false">IF(C7151="","",C7151*IF(Settings!$B$22=Settings!$C$6,1,IF(Settings!$B$22="USD",1/INDEX(Settings!$B$29:$B$40,MONTH(A7151)),INDEX(Settings!$B$29:$B$40,MONTH(A7151)))))</f>
        <v/>
      </c>
    </row>
    <row r="7152" customFormat="false" ht="15" hidden="false" customHeight="false" outlineLevel="0" collapsed="false">
      <c r="H7152" s="0" t="str">
        <f aca="false">IF(B7152="","",IF(COUNTIF(Campaigns!$A$7:$A$300,B7152)&gt;0,"✓","⚠ add to Campaigns tab"))</f>
        <v/>
      </c>
      <c r="I7152" s="84" t="str">
        <f aca="false">IF(C7152="","",C7152*IF(Settings!$B$22=Settings!$C$6,1,IF(Settings!$B$22="USD",1/INDEX(Settings!$B$29:$B$40,MONTH(A7152)),INDEX(Settings!$B$29:$B$40,MONTH(A7152)))))</f>
        <v/>
      </c>
    </row>
    <row r="7153" customFormat="false" ht="15" hidden="false" customHeight="false" outlineLevel="0" collapsed="false">
      <c r="H7153" s="0" t="str">
        <f aca="false">IF(B7153="","",IF(COUNTIF(Campaigns!$A$7:$A$300,B7153)&gt;0,"✓","⚠ add to Campaigns tab"))</f>
        <v/>
      </c>
      <c r="I7153" s="84" t="str">
        <f aca="false">IF(C7153="","",C7153*IF(Settings!$B$22=Settings!$C$6,1,IF(Settings!$B$22="USD",1/INDEX(Settings!$B$29:$B$40,MONTH(A7153)),INDEX(Settings!$B$29:$B$40,MONTH(A7153)))))</f>
        <v/>
      </c>
    </row>
    <row r="7154" customFormat="false" ht="15" hidden="false" customHeight="false" outlineLevel="0" collapsed="false">
      <c r="H7154" s="0" t="str">
        <f aca="false">IF(B7154="","",IF(COUNTIF(Campaigns!$A$7:$A$300,B7154)&gt;0,"✓","⚠ add to Campaigns tab"))</f>
        <v/>
      </c>
      <c r="I7154" s="84" t="str">
        <f aca="false">IF(C7154="","",C7154*IF(Settings!$B$22=Settings!$C$6,1,IF(Settings!$B$22="USD",1/INDEX(Settings!$B$29:$B$40,MONTH(A7154)),INDEX(Settings!$B$29:$B$40,MONTH(A7154)))))</f>
        <v/>
      </c>
    </row>
    <row r="7155" customFormat="false" ht="15" hidden="false" customHeight="false" outlineLevel="0" collapsed="false">
      <c r="H7155" s="0" t="str">
        <f aca="false">IF(B7155="","",IF(COUNTIF(Campaigns!$A$7:$A$300,B7155)&gt;0,"✓","⚠ add to Campaigns tab"))</f>
        <v/>
      </c>
      <c r="I7155" s="84" t="str">
        <f aca="false">IF(C7155="","",C7155*IF(Settings!$B$22=Settings!$C$6,1,IF(Settings!$B$22="USD",1/INDEX(Settings!$B$29:$B$40,MONTH(A7155)),INDEX(Settings!$B$29:$B$40,MONTH(A7155)))))</f>
        <v/>
      </c>
    </row>
    <row r="7156" customFormat="false" ht="15" hidden="false" customHeight="false" outlineLevel="0" collapsed="false">
      <c r="H7156" s="0" t="str">
        <f aca="false">IF(B7156="","",IF(COUNTIF(Campaigns!$A$7:$A$300,B7156)&gt;0,"✓","⚠ add to Campaigns tab"))</f>
        <v/>
      </c>
      <c r="I7156" s="84" t="str">
        <f aca="false">IF(C7156="","",C7156*IF(Settings!$B$22=Settings!$C$6,1,IF(Settings!$B$22="USD",1/INDEX(Settings!$B$29:$B$40,MONTH(A7156)),INDEX(Settings!$B$29:$B$40,MONTH(A7156)))))</f>
        <v/>
      </c>
    </row>
    <row r="7157" customFormat="false" ht="15" hidden="false" customHeight="false" outlineLevel="0" collapsed="false">
      <c r="H7157" s="0" t="str">
        <f aca="false">IF(B7157="","",IF(COUNTIF(Campaigns!$A$7:$A$300,B7157)&gt;0,"✓","⚠ add to Campaigns tab"))</f>
        <v/>
      </c>
      <c r="I7157" s="84" t="str">
        <f aca="false">IF(C7157="","",C7157*IF(Settings!$B$22=Settings!$C$6,1,IF(Settings!$B$22="USD",1/INDEX(Settings!$B$29:$B$40,MONTH(A7157)),INDEX(Settings!$B$29:$B$40,MONTH(A7157)))))</f>
        <v/>
      </c>
    </row>
    <row r="7158" customFormat="false" ht="15" hidden="false" customHeight="false" outlineLevel="0" collapsed="false">
      <c r="H7158" s="0" t="str">
        <f aca="false">IF(B7158="","",IF(COUNTIF(Campaigns!$A$7:$A$300,B7158)&gt;0,"✓","⚠ add to Campaigns tab"))</f>
        <v/>
      </c>
      <c r="I7158" s="84" t="str">
        <f aca="false">IF(C7158="","",C7158*IF(Settings!$B$22=Settings!$C$6,1,IF(Settings!$B$22="USD",1/INDEX(Settings!$B$29:$B$40,MONTH(A7158)),INDEX(Settings!$B$29:$B$40,MONTH(A7158)))))</f>
        <v/>
      </c>
    </row>
    <row r="7159" customFormat="false" ht="15" hidden="false" customHeight="false" outlineLevel="0" collapsed="false">
      <c r="H7159" s="0" t="str">
        <f aca="false">IF(B7159="","",IF(COUNTIF(Campaigns!$A$7:$A$300,B7159)&gt;0,"✓","⚠ add to Campaigns tab"))</f>
        <v/>
      </c>
      <c r="I7159" s="84" t="str">
        <f aca="false">IF(C7159="","",C7159*IF(Settings!$B$22=Settings!$C$6,1,IF(Settings!$B$22="USD",1/INDEX(Settings!$B$29:$B$40,MONTH(A7159)),INDEX(Settings!$B$29:$B$40,MONTH(A7159)))))</f>
        <v/>
      </c>
    </row>
    <row r="7160" customFormat="false" ht="15" hidden="false" customHeight="false" outlineLevel="0" collapsed="false">
      <c r="H7160" s="0" t="str">
        <f aca="false">IF(B7160="","",IF(COUNTIF(Campaigns!$A$7:$A$300,B7160)&gt;0,"✓","⚠ add to Campaigns tab"))</f>
        <v/>
      </c>
      <c r="I7160" s="84" t="str">
        <f aca="false">IF(C7160="","",C7160*IF(Settings!$B$22=Settings!$C$6,1,IF(Settings!$B$22="USD",1/INDEX(Settings!$B$29:$B$40,MONTH(A7160)),INDEX(Settings!$B$29:$B$40,MONTH(A7160)))))</f>
        <v/>
      </c>
    </row>
    <row r="7161" customFormat="false" ht="15" hidden="false" customHeight="false" outlineLevel="0" collapsed="false">
      <c r="H7161" s="0" t="str">
        <f aca="false">IF(B7161="","",IF(COUNTIF(Campaigns!$A$7:$A$300,B7161)&gt;0,"✓","⚠ add to Campaigns tab"))</f>
        <v/>
      </c>
      <c r="I7161" s="84" t="str">
        <f aca="false">IF(C7161="","",C7161*IF(Settings!$B$22=Settings!$C$6,1,IF(Settings!$B$22="USD",1/INDEX(Settings!$B$29:$B$40,MONTH(A7161)),INDEX(Settings!$B$29:$B$40,MONTH(A7161)))))</f>
        <v/>
      </c>
    </row>
    <row r="7162" customFormat="false" ht="15" hidden="false" customHeight="false" outlineLevel="0" collapsed="false">
      <c r="H7162" s="0" t="str">
        <f aca="false">IF(B7162="","",IF(COUNTIF(Campaigns!$A$7:$A$300,B7162)&gt;0,"✓","⚠ add to Campaigns tab"))</f>
        <v/>
      </c>
      <c r="I7162" s="84" t="str">
        <f aca="false">IF(C7162="","",C7162*IF(Settings!$B$22=Settings!$C$6,1,IF(Settings!$B$22="USD",1/INDEX(Settings!$B$29:$B$40,MONTH(A7162)),INDEX(Settings!$B$29:$B$40,MONTH(A7162)))))</f>
        <v/>
      </c>
    </row>
    <row r="7163" customFormat="false" ht="15" hidden="false" customHeight="false" outlineLevel="0" collapsed="false">
      <c r="H7163" s="0" t="str">
        <f aca="false">IF(B7163="","",IF(COUNTIF(Campaigns!$A$7:$A$300,B7163)&gt;0,"✓","⚠ add to Campaigns tab"))</f>
        <v/>
      </c>
      <c r="I7163" s="84" t="str">
        <f aca="false">IF(C7163="","",C7163*IF(Settings!$B$22=Settings!$C$6,1,IF(Settings!$B$22="USD",1/INDEX(Settings!$B$29:$B$40,MONTH(A7163)),INDEX(Settings!$B$29:$B$40,MONTH(A7163)))))</f>
        <v/>
      </c>
    </row>
    <row r="7164" customFormat="false" ht="15" hidden="false" customHeight="false" outlineLevel="0" collapsed="false">
      <c r="H7164" s="0" t="str">
        <f aca="false">IF(B7164="","",IF(COUNTIF(Campaigns!$A$7:$A$300,B7164)&gt;0,"✓","⚠ add to Campaigns tab"))</f>
        <v/>
      </c>
      <c r="I7164" s="84" t="str">
        <f aca="false">IF(C7164="","",C7164*IF(Settings!$B$22=Settings!$C$6,1,IF(Settings!$B$22="USD",1/INDEX(Settings!$B$29:$B$40,MONTH(A7164)),INDEX(Settings!$B$29:$B$40,MONTH(A7164)))))</f>
        <v/>
      </c>
    </row>
    <row r="7165" customFormat="false" ht="15" hidden="false" customHeight="false" outlineLevel="0" collapsed="false">
      <c r="H7165" s="0" t="str">
        <f aca="false">IF(B7165="","",IF(COUNTIF(Campaigns!$A$7:$A$300,B7165)&gt;0,"✓","⚠ add to Campaigns tab"))</f>
        <v/>
      </c>
      <c r="I7165" s="84" t="str">
        <f aca="false">IF(C7165="","",C7165*IF(Settings!$B$22=Settings!$C$6,1,IF(Settings!$B$22="USD",1/INDEX(Settings!$B$29:$B$40,MONTH(A7165)),INDEX(Settings!$B$29:$B$40,MONTH(A7165)))))</f>
        <v/>
      </c>
    </row>
    <row r="7166" customFormat="false" ht="15" hidden="false" customHeight="false" outlineLevel="0" collapsed="false">
      <c r="H7166" s="0" t="str">
        <f aca="false">IF(B7166="","",IF(COUNTIF(Campaigns!$A$7:$A$300,B7166)&gt;0,"✓","⚠ add to Campaigns tab"))</f>
        <v/>
      </c>
      <c r="I7166" s="84" t="str">
        <f aca="false">IF(C7166="","",C7166*IF(Settings!$B$22=Settings!$C$6,1,IF(Settings!$B$22="USD",1/INDEX(Settings!$B$29:$B$40,MONTH(A7166)),INDEX(Settings!$B$29:$B$40,MONTH(A7166)))))</f>
        <v/>
      </c>
    </row>
    <row r="7167" customFormat="false" ht="15" hidden="false" customHeight="false" outlineLevel="0" collapsed="false">
      <c r="H7167" s="0" t="str">
        <f aca="false">IF(B7167="","",IF(COUNTIF(Campaigns!$A$7:$A$300,B7167)&gt;0,"✓","⚠ add to Campaigns tab"))</f>
        <v/>
      </c>
      <c r="I7167" s="84" t="str">
        <f aca="false">IF(C7167="","",C7167*IF(Settings!$B$22=Settings!$C$6,1,IF(Settings!$B$22="USD",1/INDEX(Settings!$B$29:$B$40,MONTH(A7167)),INDEX(Settings!$B$29:$B$40,MONTH(A7167)))))</f>
        <v/>
      </c>
    </row>
    <row r="7168" customFormat="false" ht="15" hidden="false" customHeight="false" outlineLevel="0" collapsed="false">
      <c r="H7168" s="0" t="str">
        <f aca="false">IF(B7168="","",IF(COUNTIF(Campaigns!$A$7:$A$300,B7168)&gt;0,"✓","⚠ add to Campaigns tab"))</f>
        <v/>
      </c>
      <c r="I7168" s="84" t="str">
        <f aca="false">IF(C7168="","",C7168*IF(Settings!$B$22=Settings!$C$6,1,IF(Settings!$B$22="USD",1/INDEX(Settings!$B$29:$B$40,MONTH(A7168)),INDEX(Settings!$B$29:$B$40,MONTH(A7168)))))</f>
        <v/>
      </c>
    </row>
    <row r="7169" customFormat="false" ht="15" hidden="false" customHeight="false" outlineLevel="0" collapsed="false">
      <c r="H7169" s="0" t="str">
        <f aca="false">IF(B7169="","",IF(COUNTIF(Campaigns!$A$7:$A$300,B7169)&gt;0,"✓","⚠ add to Campaigns tab"))</f>
        <v/>
      </c>
      <c r="I7169" s="84" t="str">
        <f aca="false">IF(C7169="","",C7169*IF(Settings!$B$22=Settings!$C$6,1,IF(Settings!$B$22="USD",1/INDEX(Settings!$B$29:$B$40,MONTH(A7169)),INDEX(Settings!$B$29:$B$40,MONTH(A7169)))))</f>
        <v/>
      </c>
    </row>
    <row r="7170" customFormat="false" ht="15" hidden="false" customHeight="false" outlineLevel="0" collapsed="false">
      <c r="H7170" s="0" t="str">
        <f aca="false">IF(B7170="","",IF(COUNTIF(Campaigns!$A$7:$A$300,B7170)&gt;0,"✓","⚠ add to Campaigns tab"))</f>
        <v/>
      </c>
      <c r="I7170" s="84" t="str">
        <f aca="false">IF(C7170="","",C7170*IF(Settings!$B$22=Settings!$C$6,1,IF(Settings!$B$22="USD",1/INDEX(Settings!$B$29:$B$40,MONTH(A7170)),INDEX(Settings!$B$29:$B$40,MONTH(A7170)))))</f>
        <v/>
      </c>
    </row>
    <row r="7171" customFormat="false" ht="15" hidden="false" customHeight="false" outlineLevel="0" collapsed="false">
      <c r="H7171" s="0" t="str">
        <f aca="false">IF(B7171="","",IF(COUNTIF(Campaigns!$A$7:$A$300,B7171)&gt;0,"✓","⚠ add to Campaigns tab"))</f>
        <v/>
      </c>
      <c r="I7171" s="84" t="str">
        <f aca="false">IF(C7171="","",C7171*IF(Settings!$B$22=Settings!$C$6,1,IF(Settings!$B$22="USD",1/INDEX(Settings!$B$29:$B$40,MONTH(A7171)),INDEX(Settings!$B$29:$B$40,MONTH(A7171)))))</f>
        <v/>
      </c>
    </row>
    <row r="7172" customFormat="false" ht="15" hidden="false" customHeight="false" outlineLevel="0" collapsed="false">
      <c r="H7172" s="0" t="str">
        <f aca="false">IF(B7172="","",IF(COUNTIF(Campaigns!$A$7:$A$300,B7172)&gt;0,"✓","⚠ add to Campaigns tab"))</f>
        <v/>
      </c>
      <c r="I7172" s="84" t="str">
        <f aca="false">IF(C7172="","",C7172*IF(Settings!$B$22=Settings!$C$6,1,IF(Settings!$B$22="USD",1/INDEX(Settings!$B$29:$B$40,MONTH(A7172)),INDEX(Settings!$B$29:$B$40,MONTH(A7172)))))</f>
        <v/>
      </c>
    </row>
    <row r="7173" customFormat="false" ht="15" hidden="false" customHeight="false" outlineLevel="0" collapsed="false">
      <c r="H7173" s="0" t="str">
        <f aca="false">IF(B7173="","",IF(COUNTIF(Campaigns!$A$7:$A$300,B7173)&gt;0,"✓","⚠ add to Campaigns tab"))</f>
        <v/>
      </c>
      <c r="I7173" s="84" t="str">
        <f aca="false">IF(C7173="","",C7173*IF(Settings!$B$22=Settings!$C$6,1,IF(Settings!$B$22="USD",1/INDEX(Settings!$B$29:$B$40,MONTH(A7173)),INDEX(Settings!$B$29:$B$40,MONTH(A7173)))))</f>
        <v/>
      </c>
    </row>
    <row r="7174" customFormat="false" ht="15" hidden="false" customHeight="false" outlineLevel="0" collapsed="false">
      <c r="H7174" s="0" t="str">
        <f aca="false">IF(B7174="","",IF(COUNTIF(Campaigns!$A$7:$A$300,B7174)&gt;0,"✓","⚠ add to Campaigns tab"))</f>
        <v/>
      </c>
      <c r="I7174" s="84" t="str">
        <f aca="false">IF(C7174="","",C7174*IF(Settings!$B$22=Settings!$C$6,1,IF(Settings!$B$22="USD",1/INDEX(Settings!$B$29:$B$40,MONTH(A7174)),INDEX(Settings!$B$29:$B$40,MONTH(A7174)))))</f>
        <v/>
      </c>
    </row>
    <row r="7175" customFormat="false" ht="15" hidden="false" customHeight="false" outlineLevel="0" collapsed="false">
      <c r="H7175" s="0" t="str">
        <f aca="false">IF(B7175="","",IF(COUNTIF(Campaigns!$A$7:$A$300,B7175)&gt;0,"✓","⚠ add to Campaigns tab"))</f>
        <v/>
      </c>
      <c r="I7175" s="84" t="str">
        <f aca="false">IF(C7175="","",C7175*IF(Settings!$B$22=Settings!$C$6,1,IF(Settings!$B$22="USD",1/INDEX(Settings!$B$29:$B$40,MONTH(A7175)),INDEX(Settings!$B$29:$B$40,MONTH(A7175)))))</f>
        <v/>
      </c>
    </row>
    <row r="7176" customFormat="false" ht="15" hidden="false" customHeight="false" outlineLevel="0" collapsed="false">
      <c r="H7176" s="0" t="str">
        <f aca="false">IF(B7176="","",IF(COUNTIF(Campaigns!$A$7:$A$300,B7176)&gt;0,"✓","⚠ add to Campaigns tab"))</f>
        <v/>
      </c>
      <c r="I7176" s="84" t="str">
        <f aca="false">IF(C7176="","",C7176*IF(Settings!$B$22=Settings!$C$6,1,IF(Settings!$B$22="USD",1/INDEX(Settings!$B$29:$B$40,MONTH(A7176)),INDEX(Settings!$B$29:$B$40,MONTH(A7176)))))</f>
        <v/>
      </c>
    </row>
    <row r="7177" customFormat="false" ht="15" hidden="false" customHeight="false" outlineLevel="0" collapsed="false">
      <c r="H7177" s="0" t="str">
        <f aca="false">IF(B7177="","",IF(COUNTIF(Campaigns!$A$7:$A$300,B7177)&gt;0,"✓","⚠ add to Campaigns tab"))</f>
        <v/>
      </c>
      <c r="I7177" s="84" t="str">
        <f aca="false">IF(C7177="","",C7177*IF(Settings!$B$22=Settings!$C$6,1,IF(Settings!$B$22="USD",1/INDEX(Settings!$B$29:$B$40,MONTH(A7177)),INDEX(Settings!$B$29:$B$40,MONTH(A7177)))))</f>
        <v/>
      </c>
    </row>
    <row r="7178" customFormat="false" ht="15" hidden="false" customHeight="false" outlineLevel="0" collapsed="false">
      <c r="H7178" s="0" t="str">
        <f aca="false">IF(B7178="","",IF(COUNTIF(Campaigns!$A$7:$A$300,B7178)&gt;0,"✓","⚠ add to Campaigns tab"))</f>
        <v/>
      </c>
      <c r="I7178" s="84" t="str">
        <f aca="false">IF(C7178="","",C7178*IF(Settings!$B$22=Settings!$C$6,1,IF(Settings!$B$22="USD",1/INDEX(Settings!$B$29:$B$40,MONTH(A7178)),INDEX(Settings!$B$29:$B$40,MONTH(A7178)))))</f>
        <v/>
      </c>
    </row>
    <row r="7179" customFormat="false" ht="15" hidden="false" customHeight="false" outlineLevel="0" collapsed="false">
      <c r="H7179" s="0" t="str">
        <f aca="false">IF(B7179="","",IF(COUNTIF(Campaigns!$A$7:$A$300,B7179)&gt;0,"✓","⚠ add to Campaigns tab"))</f>
        <v/>
      </c>
      <c r="I7179" s="84" t="str">
        <f aca="false">IF(C7179="","",C7179*IF(Settings!$B$22=Settings!$C$6,1,IF(Settings!$B$22="USD",1/INDEX(Settings!$B$29:$B$40,MONTH(A7179)),INDEX(Settings!$B$29:$B$40,MONTH(A7179)))))</f>
        <v/>
      </c>
    </row>
    <row r="7180" customFormat="false" ht="15" hidden="false" customHeight="false" outlineLevel="0" collapsed="false">
      <c r="H7180" s="0" t="str">
        <f aca="false">IF(B7180="","",IF(COUNTIF(Campaigns!$A$7:$A$300,B7180)&gt;0,"✓","⚠ add to Campaigns tab"))</f>
        <v/>
      </c>
      <c r="I7180" s="84" t="str">
        <f aca="false">IF(C7180="","",C7180*IF(Settings!$B$22=Settings!$C$6,1,IF(Settings!$B$22="USD",1/INDEX(Settings!$B$29:$B$40,MONTH(A7180)),INDEX(Settings!$B$29:$B$40,MONTH(A7180)))))</f>
        <v/>
      </c>
    </row>
    <row r="7181" customFormat="false" ht="15" hidden="false" customHeight="false" outlineLevel="0" collapsed="false">
      <c r="H7181" s="0" t="str">
        <f aca="false">IF(B7181="","",IF(COUNTIF(Campaigns!$A$7:$A$300,B7181)&gt;0,"✓","⚠ add to Campaigns tab"))</f>
        <v/>
      </c>
      <c r="I7181" s="84" t="str">
        <f aca="false">IF(C7181="","",C7181*IF(Settings!$B$22=Settings!$C$6,1,IF(Settings!$B$22="USD",1/INDEX(Settings!$B$29:$B$40,MONTH(A7181)),INDEX(Settings!$B$29:$B$40,MONTH(A7181)))))</f>
        <v/>
      </c>
    </row>
    <row r="7182" customFormat="false" ht="15" hidden="false" customHeight="false" outlineLevel="0" collapsed="false">
      <c r="H7182" s="0" t="str">
        <f aca="false">IF(B7182="","",IF(COUNTIF(Campaigns!$A$7:$A$300,B7182)&gt;0,"✓","⚠ add to Campaigns tab"))</f>
        <v/>
      </c>
      <c r="I7182" s="84" t="str">
        <f aca="false">IF(C7182="","",C7182*IF(Settings!$B$22=Settings!$C$6,1,IF(Settings!$B$22="USD",1/INDEX(Settings!$B$29:$B$40,MONTH(A7182)),INDEX(Settings!$B$29:$B$40,MONTH(A7182)))))</f>
        <v/>
      </c>
    </row>
    <row r="7183" customFormat="false" ht="15" hidden="false" customHeight="false" outlineLevel="0" collapsed="false">
      <c r="H7183" s="0" t="str">
        <f aca="false">IF(B7183="","",IF(COUNTIF(Campaigns!$A$7:$A$300,B7183)&gt;0,"✓","⚠ add to Campaigns tab"))</f>
        <v/>
      </c>
      <c r="I7183" s="84" t="str">
        <f aca="false">IF(C7183="","",C7183*IF(Settings!$B$22=Settings!$C$6,1,IF(Settings!$B$22="USD",1/INDEX(Settings!$B$29:$B$40,MONTH(A7183)),INDEX(Settings!$B$29:$B$40,MONTH(A7183)))))</f>
        <v/>
      </c>
    </row>
    <row r="7184" customFormat="false" ht="15" hidden="false" customHeight="false" outlineLevel="0" collapsed="false">
      <c r="H7184" s="0" t="str">
        <f aca="false">IF(B7184="","",IF(COUNTIF(Campaigns!$A$7:$A$300,B7184)&gt;0,"✓","⚠ add to Campaigns tab"))</f>
        <v/>
      </c>
      <c r="I7184" s="84" t="str">
        <f aca="false">IF(C7184="","",C7184*IF(Settings!$B$22=Settings!$C$6,1,IF(Settings!$B$22="USD",1/INDEX(Settings!$B$29:$B$40,MONTH(A7184)),INDEX(Settings!$B$29:$B$40,MONTH(A7184)))))</f>
        <v/>
      </c>
    </row>
    <row r="7185" customFormat="false" ht="15" hidden="false" customHeight="false" outlineLevel="0" collapsed="false">
      <c r="H7185" s="0" t="str">
        <f aca="false">IF(B7185="","",IF(COUNTIF(Campaigns!$A$7:$A$300,B7185)&gt;0,"✓","⚠ add to Campaigns tab"))</f>
        <v/>
      </c>
      <c r="I7185" s="84" t="str">
        <f aca="false">IF(C7185="","",C7185*IF(Settings!$B$22=Settings!$C$6,1,IF(Settings!$B$22="USD",1/INDEX(Settings!$B$29:$B$40,MONTH(A7185)),INDEX(Settings!$B$29:$B$40,MONTH(A7185)))))</f>
        <v/>
      </c>
    </row>
    <row r="7186" customFormat="false" ht="15" hidden="false" customHeight="false" outlineLevel="0" collapsed="false">
      <c r="H7186" s="0" t="str">
        <f aca="false">IF(B7186="","",IF(COUNTIF(Campaigns!$A$7:$A$300,B7186)&gt;0,"✓","⚠ add to Campaigns tab"))</f>
        <v/>
      </c>
      <c r="I7186" s="84" t="str">
        <f aca="false">IF(C7186="","",C7186*IF(Settings!$B$22=Settings!$C$6,1,IF(Settings!$B$22="USD",1/INDEX(Settings!$B$29:$B$40,MONTH(A7186)),INDEX(Settings!$B$29:$B$40,MONTH(A7186)))))</f>
        <v/>
      </c>
    </row>
    <row r="7187" customFormat="false" ht="15" hidden="false" customHeight="false" outlineLevel="0" collapsed="false">
      <c r="H7187" s="0" t="str">
        <f aca="false">IF(B7187="","",IF(COUNTIF(Campaigns!$A$7:$A$300,B7187)&gt;0,"✓","⚠ add to Campaigns tab"))</f>
        <v/>
      </c>
      <c r="I7187" s="84" t="str">
        <f aca="false">IF(C7187="","",C7187*IF(Settings!$B$22=Settings!$C$6,1,IF(Settings!$B$22="USD",1/INDEX(Settings!$B$29:$B$40,MONTH(A7187)),INDEX(Settings!$B$29:$B$40,MONTH(A7187)))))</f>
        <v/>
      </c>
    </row>
    <row r="7188" customFormat="false" ht="15" hidden="false" customHeight="false" outlineLevel="0" collapsed="false">
      <c r="H7188" s="0" t="str">
        <f aca="false">IF(B7188="","",IF(COUNTIF(Campaigns!$A$7:$A$300,B7188)&gt;0,"✓","⚠ add to Campaigns tab"))</f>
        <v/>
      </c>
      <c r="I7188" s="84" t="str">
        <f aca="false">IF(C7188="","",C7188*IF(Settings!$B$22=Settings!$C$6,1,IF(Settings!$B$22="USD",1/INDEX(Settings!$B$29:$B$40,MONTH(A7188)),INDEX(Settings!$B$29:$B$40,MONTH(A7188)))))</f>
        <v/>
      </c>
    </row>
    <row r="7189" customFormat="false" ht="15" hidden="false" customHeight="false" outlineLevel="0" collapsed="false">
      <c r="H7189" s="0" t="str">
        <f aca="false">IF(B7189="","",IF(COUNTIF(Campaigns!$A$7:$A$300,B7189)&gt;0,"✓","⚠ add to Campaigns tab"))</f>
        <v/>
      </c>
      <c r="I7189" s="84" t="str">
        <f aca="false">IF(C7189="","",C7189*IF(Settings!$B$22=Settings!$C$6,1,IF(Settings!$B$22="USD",1/INDEX(Settings!$B$29:$B$40,MONTH(A7189)),INDEX(Settings!$B$29:$B$40,MONTH(A7189)))))</f>
        <v/>
      </c>
    </row>
    <row r="7190" customFormat="false" ht="15" hidden="false" customHeight="false" outlineLevel="0" collapsed="false">
      <c r="H7190" s="0" t="str">
        <f aca="false">IF(B7190="","",IF(COUNTIF(Campaigns!$A$7:$A$300,B7190)&gt;0,"✓","⚠ add to Campaigns tab"))</f>
        <v/>
      </c>
      <c r="I7190" s="84" t="str">
        <f aca="false">IF(C7190="","",C7190*IF(Settings!$B$22=Settings!$C$6,1,IF(Settings!$B$22="USD",1/INDEX(Settings!$B$29:$B$40,MONTH(A7190)),INDEX(Settings!$B$29:$B$40,MONTH(A7190)))))</f>
        <v/>
      </c>
    </row>
    <row r="7191" customFormat="false" ht="15" hidden="false" customHeight="false" outlineLevel="0" collapsed="false">
      <c r="H7191" s="0" t="str">
        <f aca="false">IF(B7191="","",IF(COUNTIF(Campaigns!$A$7:$A$300,B7191)&gt;0,"✓","⚠ add to Campaigns tab"))</f>
        <v/>
      </c>
      <c r="I7191" s="84" t="str">
        <f aca="false">IF(C7191="","",C7191*IF(Settings!$B$22=Settings!$C$6,1,IF(Settings!$B$22="USD",1/INDEX(Settings!$B$29:$B$40,MONTH(A7191)),INDEX(Settings!$B$29:$B$40,MONTH(A7191)))))</f>
        <v/>
      </c>
    </row>
    <row r="7192" customFormat="false" ht="15" hidden="false" customHeight="false" outlineLevel="0" collapsed="false">
      <c r="H7192" s="0" t="str">
        <f aca="false">IF(B7192="","",IF(COUNTIF(Campaigns!$A$7:$A$300,B7192)&gt;0,"✓","⚠ add to Campaigns tab"))</f>
        <v/>
      </c>
      <c r="I7192" s="84" t="str">
        <f aca="false">IF(C7192="","",C7192*IF(Settings!$B$22=Settings!$C$6,1,IF(Settings!$B$22="USD",1/INDEX(Settings!$B$29:$B$40,MONTH(A7192)),INDEX(Settings!$B$29:$B$40,MONTH(A7192)))))</f>
        <v/>
      </c>
    </row>
    <row r="7193" customFormat="false" ht="15" hidden="false" customHeight="false" outlineLevel="0" collapsed="false">
      <c r="H7193" s="0" t="str">
        <f aca="false">IF(B7193="","",IF(COUNTIF(Campaigns!$A$7:$A$300,B7193)&gt;0,"✓","⚠ add to Campaigns tab"))</f>
        <v/>
      </c>
      <c r="I7193" s="84" t="str">
        <f aca="false">IF(C7193="","",C7193*IF(Settings!$B$22=Settings!$C$6,1,IF(Settings!$B$22="USD",1/INDEX(Settings!$B$29:$B$40,MONTH(A7193)),INDEX(Settings!$B$29:$B$40,MONTH(A7193)))))</f>
        <v/>
      </c>
    </row>
    <row r="7194" customFormat="false" ht="15" hidden="false" customHeight="false" outlineLevel="0" collapsed="false">
      <c r="H7194" s="0" t="str">
        <f aca="false">IF(B7194="","",IF(COUNTIF(Campaigns!$A$7:$A$300,B7194)&gt;0,"✓","⚠ add to Campaigns tab"))</f>
        <v/>
      </c>
      <c r="I7194" s="84" t="str">
        <f aca="false">IF(C7194="","",C7194*IF(Settings!$B$22=Settings!$C$6,1,IF(Settings!$B$22="USD",1/INDEX(Settings!$B$29:$B$40,MONTH(A7194)),INDEX(Settings!$B$29:$B$40,MONTH(A7194)))))</f>
        <v/>
      </c>
    </row>
    <row r="7195" customFormat="false" ht="15" hidden="false" customHeight="false" outlineLevel="0" collapsed="false">
      <c r="H7195" s="0" t="str">
        <f aca="false">IF(B7195="","",IF(COUNTIF(Campaigns!$A$7:$A$300,B7195)&gt;0,"✓","⚠ add to Campaigns tab"))</f>
        <v/>
      </c>
      <c r="I7195" s="84" t="str">
        <f aca="false">IF(C7195="","",C7195*IF(Settings!$B$22=Settings!$C$6,1,IF(Settings!$B$22="USD",1/INDEX(Settings!$B$29:$B$40,MONTH(A7195)),INDEX(Settings!$B$29:$B$40,MONTH(A7195)))))</f>
        <v/>
      </c>
    </row>
    <row r="7196" customFormat="false" ht="15" hidden="false" customHeight="false" outlineLevel="0" collapsed="false">
      <c r="H7196" s="0" t="str">
        <f aca="false">IF(B7196="","",IF(COUNTIF(Campaigns!$A$7:$A$300,B7196)&gt;0,"✓","⚠ add to Campaigns tab"))</f>
        <v/>
      </c>
      <c r="I7196" s="84" t="str">
        <f aca="false">IF(C7196="","",C7196*IF(Settings!$B$22=Settings!$C$6,1,IF(Settings!$B$22="USD",1/INDEX(Settings!$B$29:$B$40,MONTH(A7196)),INDEX(Settings!$B$29:$B$40,MONTH(A7196)))))</f>
        <v/>
      </c>
    </row>
    <row r="7197" customFormat="false" ht="15" hidden="false" customHeight="false" outlineLevel="0" collapsed="false">
      <c r="H7197" s="0" t="str">
        <f aca="false">IF(B7197="","",IF(COUNTIF(Campaigns!$A$7:$A$300,B7197)&gt;0,"✓","⚠ add to Campaigns tab"))</f>
        <v/>
      </c>
      <c r="I7197" s="84" t="str">
        <f aca="false">IF(C7197="","",C7197*IF(Settings!$B$22=Settings!$C$6,1,IF(Settings!$B$22="USD",1/INDEX(Settings!$B$29:$B$40,MONTH(A7197)),INDEX(Settings!$B$29:$B$40,MONTH(A7197)))))</f>
        <v/>
      </c>
    </row>
    <row r="7198" customFormat="false" ht="15" hidden="false" customHeight="false" outlineLevel="0" collapsed="false">
      <c r="H7198" s="0" t="str">
        <f aca="false">IF(B7198="","",IF(COUNTIF(Campaigns!$A$7:$A$300,B7198)&gt;0,"✓","⚠ add to Campaigns tab"))</f>
        <v/>
      </c>
      <c r="I7198" s="84" t="str">
        <f aca="false">IF(C7198="","",C7198*IF(Settings!$B$22=Settings!$C$6,1,IF(Settings!$B$22="USD",1/INDEX(Settings!$B$29:$B$40,MONTH(A7198)),INDEX(Settings!$B$29:$B$40,MONTH(A7198)))))</f>
        <v/>
      </c>
    </row>
    <row r="7199" customFormat="false" ht="15" hidden="false" customHeight="false" outlineLevel="0" collapsed="false">
      <c r="H7199" s="0" t="str">
        <f aca="false">IF(B7199="","",IF(COUNTIF(Campaigns!$A$7:$A$300,B7199)&gt;0,"✓","⚠ add to Campaigns tab"))</f>
        <v/>
      </c>
      <c r="I7199" s="84" t="str">
        <f aca="false">IF(C7199="","",C7199*IF(Settings!$B$22=Settings!$C$6,1,IF(Settings!$B$22="USD",1/INDEX(Settings!$B$29:$B$40,MONTH(A7199)),INDEX(Settings!$B$29:$B$40,MONTH(A7199)))))</f>
        <v/>
      </c>
    </row>
    <row r="7200" customFormat="false" ht="15" hidden="false" customHeight="false" outlineLevel="0" collapsed="false">
      <c r="H7200" s="0" t="str">
        <f aca="false">IF(B7200="","",IF(COUNTIF(Campaigns!$A$7:$A$300,B7200)&gt;0,"✓","⚠ add to Campaigns tab"))</f>
        <v/>
      </c>
      <c r="I7200" s="84" t="str">
        <f aca="false">IF(C7200="","",C7200*IF(Settings!$B$22=Settings!$C$6,1,IF(Settings!$B$22="USD",1/INDEX(Settings!$B$29:$B$40,MONTH(A7200)),INDEX(Settings!$B$29:$B$40,MONTH(A7200)))))</f>
        <v/>
      </c>
    </row>
    <row r="7201" customFormat="false" ht="15" hidden="false" customHeight="false" outlineLevel="0" collapsed="false">
      <c r="H7201" s="0" t="str">
        <f aca="false">IF(B7201="","",IF(COUNTIF(Campaigns!$A$7:$A$300,B7201)&gt;0,"✓","⚠ add to Campaigns tab"))</f>
        <v/>
      </c>
      <c r="I7201" s="84" t="str">
        <f aca="false">IF(C7201="","",C7201*IF(Settings!$B$22=Settings!$C$6,1,IF(Settings!$B$22="USD",1/INDEX(Settings!$B$29:$B$40,MONTH(A7201)),INDEX(Settings!$B$29:$B$40,MONTH(A7201)))))</f>
        <v/>
      </c>
    </row>
    <row r="7202" customFormat="false" ht="15" hidden="false" customHeight="false" outlineLevel="0" collapsed="false">
      <c r="H7202" s="0" t="str">
        <f aca="false">IF(B7202="","",IF(COUNTIF(Campaigns!$A$7:$A$300,B7202)&gt;0,"✓","⚠ add to Campaigns tab"))</f>
        <v/>
      </c>
      <c r="I7202" s="84" t="str">
        <f aca="false">IF(C7202="","",C7202*IF(Settings!$B$22=Settings!$C$6,1,IF(Settings!$B$22="USD",1/INDEX(Settings!$B$29:$B$40,MONTH(A7202)),INDEX(Settings!$B$29:$B$40,MONTH(A7202)))))</f>
        <v/>
      </c>
    </row>
    <row r="7203" customFormat="false" ht="15" hidden="false" customHeight="false" outlineLevel="0" collapsed="false">
      <c r="H7203" s="0" t="str">
        <f aca="false">IF(B7203="","",IF(COUNTIF(Campaigns!$A$7:$A$300,B7203)&gt;0,"✓","⚠ add to Campaigns tab"))</f>
        <v/>
      </c>
      <c r="I7203" s="84" t="str">
        <f aca="false">IF(C7203="","",C7203*IF(Settings!$B$22=Settings!$C$6,1,IF(Settings!$B$22="USD",1/INDEX(Settings!$B$29:$B$40,MONTH(A7203)),INDEX(Settings!$B$29:$B$40,MONTH(A7203)))))</f>
        <v/>
      </c>
    </row>
    <row r="7204" customFormat="false" ht="15" hidden="false" customHeight="false" outlineLevel="0" collapsed="false">
      <c r="H7204" s="0" t="str">
        <f aca="false">IF(B7204="","",IF(COUNTIF(Campaigns!$A$7:$A$300,B7204)&gt;0,"✓","⚠ add to Campaigns tab"))</f>
        <v/>
      </c>
      <c r="I7204" s="84" t="str">
        <f aca="false">IF(C7204="","",C7204*IF(Settings!$B$22=Settings!$C$6,1,IF(Settings!$B$22="USD",1/INDEX(Settings!$B$29:$B$40,MONTH(A7204)),INDEX(Settings!$B$29:$B$40,MONTH(A7204)))))</f>
        <v/>
      </c>
    </row>
    <row r="7205" customFormat="false" ht="15" hidden="false" customHeight="false" outlineLevel="0" collapsed="false">
      <c r="H7205" s="0" t="str">
        <f aca="false">IF(B7205="","",IF(COUNTIF(Campaigns!$A$7:$A$300,B7205)&gt;0,"✓","⚠ add to Campaigns tab"))</f>
        <v/>
      </c>
      <c r="I7205" s="84" t="str">
        <f aca="false">IF(C7205="","",C7205*IF(Settings!$B$22=Settings!$C$6,1,IF(Settings!$B$22="USD",1/INDEX(Settings!$B$29:$B$40,MONTH(A7205)),INDEX(Settings!$B$29:$B$40,MONTH(A7205)))))</f>
        <v/>
      </c>
    </row>
    <row r="7206" customFormat="false" ht="15" hidden="false" customHeight="false" outlineLevel="0" collapsed="false">
      <c r="H7206" s="0" t="str">
        <f aca="false">IF(B7206="","",IF(COUNTIF(Campaigns!$A$7:$A$300,B7206)&gt;0,"✓","⚠ add to Campaigns tab"))</f>
        <v/>
      </c>
      <c r="I7206" s="84" t="str">
        <f aca="false">IF(C7206="","",C7206*IF(Settings!$B$22=Settings!$C$6,1,IF(Settings!$B$22="USD",1/INDEX(Settings!$B$29:$B$40,MONTH(A7206)),INDEX(Settings!$B$29:$B$40,MONTH(A7206)))))</f>
        <v/>
      </c>
    </row>
    <row r="7207" customFormat="false" ht="15" hidden="false" customHeight="false" outlineLevel="0" collapsed="false">
      <c r="H7207" s="0" t="str">
        <f aca="false">IF(B7207="","",IF(COUNTIF(Campaigns!$A$7:$A$300,B7207)&gt;0,"✓","⚠ add to Campaigns tab"))</f>
        <v/>
      </c>
      <c r="I7207" s="84" t="str">
        <f aca="false">IF(C7207="","",C7207*IF(Settings!$B$22=Settings!$C$6,1,IF(Settings!$B$22="USD",1/INDEX(Settings!$B$29:$B$40,MONTH(A7207)),INDEX(Settings!$B$29:$B$40,MONTH(A7207)))))</f>
        <v/>
      </c>
    </row>
    <row r="7208" customFormat="false" ht="15" hidden="false" customHeight="false" outlineLevel="0" collapsed="false">
      <c r="H7208" s="0" t="str">
        <f aca="false">IF(B7208="","",IF(COUNTIF(Campaigns!$A$7:$A$300,B7208)&gt;0,"✓","⚠ add to Campaigns tab"))</f>
        <v/>
      </c>
      <c r="I7208" s="84" t="str">
        <f aca="false">IF(C7208="","",C7208*IF(Settings!$B$22=Settings!$C$6,1,IF(Settings!$B$22="USD",1/INDEX(Settings!$B$29:$B$40,MONTH(A7208)),INDEX(Settings!$B$29:$B$40,MONTH(A7208)))))</f>
        <v/>
      </c>
    </row>
    <row r="7209" customFormat="false" ht="15" hidden="false" customHeight="false" outlineLevel="0" collapsed="false">
      <c r="H7209" s="0" t="str">
        <f aca="false">IF(B7209="","",IF(COUNTIF(Campaigns!$A$7:$A$300,B7209)&gt;0,"✓","⚠ add to Campaigns tab"))</f>
        <v/>
      </c>
      <c r="I7209" s="84" t="str">
        <f aca="false">IF(C7209="","",C7209*IF(Settings!$B$22=Settings!$C$6,1,IF(Settings!$B$22="USD",1/INDEX(Settings!$B$29:$B$40,MONTH(A7209)),INDEX(Settings!$B$29:$B$40,MONTH(A7209)))))</f>
        <v/>
      </c>
    </row>
    <row r="7210" customFormat="false" ht="15" hidden="false" customHeight="false" outlineLevel="0" collapsed="false">
      <c r="H7210" s="0" t="str">
        <f aca="false">IF(B7210="","",IF(COUNTIF(Campaigns!$A$7:$A$300,B7210)&gt;0,"✓","⚠ add to Campaigns tab"))</f>
        <v/>
      </c>
      <c r="I7210" s="84" t="str">
        <f aca="false">IF(C7210="","",C7210*IF(Settings!$B$22=Settings!$C$6,1,IF(Settings!$B$22="USD",1/INDEX(Settings!$B$29:$B$40,MONTH(A7210)),INDEX(Settings!$B$29:$B$40,MONTH(A7210)))))</f>
        <v/>
      </c>
    </row>
    <row r="7211" customFormat="false" ht="15" hidden="false" customHeight="false" outlineLevel="0" collapsed="false">
      <c r="H7211" s="0" t="str">
        <f aca="false">IF(B7211="","",IF(COUNTIF(Campaigns!$A$7:$A$300,B7211)&gt;0,"✓","⚠ add to Campaigns tab"))</f>
        <v/>
      </c>
      <c r="I7211" s="84" t="str">
        <f aca="false">IF(C7211="","",C7211*IF(Settings!$B$22=Settings!$C$6,1,IF(Settings!$B$22="USD",1/INDEX(Settings!$B$29:$B$40,MONTH(A7211)),INDEX(Settings!$B$29:$B$40,MONTH(A7211)))))</f>
        <v/>
      </c>
    </row>
    <row r="7212" customFormat="false" ht="15" hidden="false" customHeight="false" outlineLevel="0" collapsed="false">
      <c r="H7212" s="0" t="str">
        <f aca="false">IF(B7212="","",IF(COUNTIF(Campaigns!$A$7:$A$300,B7212)&gt;0,"✓","⚠ add to Campaigns tab"))</f>
        <v/>
      </c>
      <c r="I7212" s="84" t="str">
        <f aca="false">IF(C7212="","",C7212*IF(Settings!$B$22=Settings!$C$6,1,IF(Settings!$B$22="USD",1/INDEX(Settings!$B$29:$B$40,MONTH(A7212)),INDEX(Settings!$B$29:$B$40,MONTH(A7212)))))</f>
        <v/>
      </c>
    </row>
    <row r="7213" customFormat="false" ht="15" hidden="false" customHeight="false" outlineLevel="0" collapsed="false">
      <c r="H7213" s="0" t="str">
        <f aca="false">IF(B7213="","",IF(COUNTIF(Campaigns!$A$7:$A$300,B7213)&gt;0,"✓","⚠ add to Campaigns tab"))</f>
        <v/>
      </c>
      <c r="I7213" s="84" t="str">
        <f aca="false">IF(C7213="","",C7213*IF(Settings!$B$22=Settings!$C$6,1,IF(Settings!$B$22="USD",1/INDEX(Settings!$B$29:$B$40,MONTH(A7213)),INDEX(Settings!$B$29:$B$40,MONTH(A7213)))))</f>
        <v/>
      </c>
    </row>
    <row r="7214" customFormat="false" ht="15" hidden="false" customHeight="false" outlineLevel="0" collapsed="false">
      <c r="H7214" s="0" t="str">
        <f aca="false">IF(B7214="","",IF(COUNTIF(Campaigns!$A$7:$A$300,B7214)&gt;0,"✓","⚠ add to Campaigns tab"))</f>
        <v/>
      </c>
      <c r="I7214" s="84" t="str">
        <f aca="false">IF(C7214="","",C7214*IF(Settings!$B$22=Settings!$C$6,1,IF(Settings!$B$22="USD",1/INDEX(Settings!$B$29:$B$40,MONTH(A7214)),INDEX(Settings!$B$29:$B$40,MONTH(A7214)))))</f>
        <v/>
      </c>
    </row>
    <row r="7215" customFormat="false" ht="15" hidden="false" customHeight="false" outlineLevel="0" collapsed="false">
      <c r="H7215" s="0" t="str">
        <f aca="false">IF(B7215="","",IF(COUNTIF(Campaigns!$A$7:$A$300,B7215)&gt;0,"✓","⚠ add to Campaigns tab"))</f>
        <v/>
      </c>
      <c r="I7215" s="84" t="str">
        <f aca="false">IF(C7215="","",C7215*IF(Settings!$B$22=Settings!$C$6,1,IF(Settings!$B$22="USD",1/INDEX(Settings!$B$29:$B$40,MONTH(A7215)),INDEX(Settings!$B$29:$B$40,MONTH(A7215)))))</f>
        <v/>
      </c>
    </row>
    <row r="7216" customFormat="false" ht="15" hidden="false" customHeight="false" outlineLevel="0" collapsed="false">
      <c r="H7216" s="0" t="str">
        <f aca="false">IF(B7216="","",IF(COUNTIF(Campaigns!$A$7:$A$300,B7216)&gt;0,"✓","⚠ add to Campaigns tab"))</f>
        <v/>
      </c>
      <c r="I7216" s="84" t="str">
        <f aca="false">IF(C7216="","",C7216*IF(Settings!$B$22=Settings!$C$6,1,IF(Settings!$B$22="USD",1/INDEX(Settings!$B$29:$B$40,MONTH(A7216)),INDEX(Settings!$B$29:$B$40,MONTH(A7216)))))</f>
        <v/>
      </c>
    </row>
    <row r="7217" customFormat="false" ht="15" hidden="false" customHeight="false" outlineLevel="0" collapsed="false">
      <c r="H7217" s="0" t="str">
        <f aca="false">IF(B7217="","",IF(COUNTIF(Campaigns!$A$7:$A$300,B7217)&gt;0,"✓","⚠ add to Campaigns tab"))</f>
        <v/>
      </c>
      <c r="I7217" s="84" t="str">
        <f aca="false">IF(C7217="","",C7217*IF(Settings!$B$22=Settings!$C$6,1,IF(Settings!$B$22="USD",1/INDEX(Settings!$B$29:$B$40,MONTH(A7217)),INDEX(Settings!$B$29:$B$40,MONTH(A7217)))))</f>
        <v/>
      </c>
    </row>
    <row r="7218" customFormat="false" ht="15" hidden="false" customHeight="false" outlineLevel="0" collapsed="false">
      <c r="H7218" s="0" t="str">
        <f aca="false">IF(B7218="","",IF(COUNTIF(Campaigns!$A$7:$A$300,B7218)&gt;0,"✓","⚠ add to Campaigns tab"))</f>
        <v/>
      </c>
      <c r="I7218" s="84" t="str">
        <f aca="false">IF(C7218="","",C7218*IF(Settings!$B$22=Settings!$C$6,1,IF(Settings!$B$22="USD",1/INDEX(Settings!$B$29:$B$40,MONTH(A7218)),INDEX(Settings!$B$29:$B$40,MONTH(A7218)))))</f>
        <v/>
      </c>
    </row>
    <row r="7219" customFormat="false" ht="15" hidden="false" customHeight="false" outlineLevel="0" collapsed="false">
      <c r="H7219" s="0" t="str">
        <f aca="false">IF(B7219="","",IF(COUNTIF(Campaigns!$A$7:$A$300,B7219)&gt;0,"✓","⚠ add to Campaigns tab"))</f>
        <v/>
      </c>
      <c r="I7219" s="84" t="str">
        <f aca="false">IF(C7219="","",C7219*IF(Settings!$B$22=Settings!$C$6,1,IF(Settings!$B$22="USD",1/INDEX(Settings!$B$29:$B$40,MONTH(A7219)),INDEX(Settings!$B$29:$B$40,MONTH(A7219)))))</f>
        <v/>
      </c>
    </row>
    <row r="7220" customFormat="false" ht="15" hidden="false" customHeight="false" outlineLevel="0" collapsed="false">
      <c r="H7220" s="0" t="str">
        <f aca="false">IF(B7220="","",IF(COUNTIF(Campaigns!$A$7:$A$300,B7220)&gt;0,"✓","⚠ add to Campaigns tab"))</f>
        <v/>
      </c>
      <c r="I7220" s="84" t="str">
        <f aca="false">IF(C7220="","",C7220*IF(Settings!$B$22=Settings!$C$6,1,IF(Settings!$B$22="USD",1/INDEX(Settings!$B$29:$B$40,MONTH(A7220)),INDEX(Settings!$B$29:$B$40,MONTH(A7220)))))</f>
        <v/>
      </c>
    </row>
    <row r="7221" customFormat="false" ht="15" hidden="false" customHeight="false" outlineLevel="0" collapsed="false">
      <c r="H7221" s="0" t="str">
        <f aca="false">IF(B7221="","",IF(COUNTIF(Campaigns!$A$7:$A$300,B7221)&gt;0,"✓","⚠ add to Campaigns tab"))</f>
        <v/>
      </c>
      <c r="I7221" s="84" t="str">
        <f aca="false">IF(C7221="","",C7221*IF(Settings!$B$22=Settings!$C$6,1,IF(Settings!$B$22="USD",1/INDEX(Settings!$B$29:$B$40,MONTH(A7221)),INDEX(Settings!$B$29:$B$40,MONTH(A7221)))))</f>
        <v/>
      </c>
    </row>
    <row r="7222" customFormat="false" ht="15" hidden="false" customHeight="false" outlineLevel="0" collapsed="false">
      <c r="H7222" s="0" t="str">
        <f aca="false">IF(B7222="","",IF(COUNTIF(Campaigns!$A$7:$A$300,B7222)&gt;0,"✓","⚠ add to Campaigns tab"))</f>
        <v/>
      </c>
      <c r="I7222" s="84" t="str">
        <f aca="false">IF(C7222="","",C7222*IF(Settings!$B$22=Settings!$C$6,1,IF(Settings!$B$22="USD",1/INDEX(Settings!$B$29:$B$40,MONTH(A7222)),INDEX(Settings!$B$29:$B$40,MONTH(A7222)))))</f>
        <v/>
      </c>
    </row>
    <row r="7223" customFormat="false" ht="15" hidden="false" customHeight="false" outlineLevel="0" collapsed="false">
      <c r="H7223" s="0" t="str">
        <f aca="false">IF(B7223="","",IF(COUNTIF(Campaigns!$A$7:$A$300,B7223)&gt;0,"✓","⚠ add to Campaigns tab"))</f>
        <v/>
      </c>
      <c r="I7223" s="84" t="str">
        <f aca="false">IF(C7223="","",C7223*IF(Settings!$B$22=Settings!$C$6,1,IF(Settings!$B$22="USD",1/INDEX(Settings!$B$29:$B$40,MONTH(A7223)),INDEX(Settings!$B$29:$B$40,MONTH(A7223)))))</f>
        <v/>
      </c>
    </row>
    <row r="7224" customFormat="false" ht="15" hidden="false" customHeight="false" outlineLevel="0" collapsed="false">
      <c r="H7224" s="0" t="str">
        <f aca="false">IF(B7224="","",IF(COUNTIF(Campaigns!$A$7:$A$300,B7224)&gt;0,"✓","⚠ add to Campaigns tab"))</f>
        <v/>
      </c>
      <c r="I7224" s="84" t="str">
        <f aca="false">IF(C7224="","",C7224*IF(Settings!$B$22=Settings!$C$6,1,IF(Settings!$B$22="USD",1/INDEX(Settings!$B$29:$B$40,MONTH(A7224)),INDEX(Settings!$B$29:$B$40,MONTH(A7224)))))</f>
        <v/>
      </c>
    </row>
    <row r="7225" customFormat="false" ht="15" hidden="false" customHeight="false" outlineLevel="0" collapsed="false">
      <c r="H7225" s="0" t="str">
        <f aca="false">IF(B7225="","",IF(COUNTIF(Campaigns!$A$7:$A$300,B7225)&gt;0,"✓","⚠ add to Campaigns tab"))</f>
        <v/>
      </c>
      <c r="I7225" s="84" t="str">
        <f aca="false">IF(C7225="","",C7225*IF(Settings!$B$22=Settings!$C$6,1,IF(Settings!$B$22="USD",1/INDEX(Settings!$B$29:$B$40,MONTH(A7225)),INDEX(Settings!$B$29:$B$40,MONTH(A7225)))))</f>
        <v/>
      </c>
    </row>
    <row r="7226" customFormat="false" ht="15" hidden="false" customHeight="false" outlineLevel="0" collapsed="false">
      <c r="H7226" s="0" t="str">
        <f aca="false">IF(B7226="","",IF(COUNTIF(Campaigns!$A$7:$A$300,B7226)&gt;0,"✓","⚠ add to Campaigns tab"))</f>
        <v/>
      </c>
      <c r="I7226" s="84" t="str">
        <f aca="false">IF(C7226="","",C7226*IF(Settings!$B$22=Settings!$C$6,1,IF(Settings!$B$22="USD",1/INDEX(Settings!$B$29:$B$40,MONTH(A7226)),INDEX(Settings!$B$29:$B$40,MONTH(A7226)))))</f>
        <v/>
      </c>
    </row>
    <row r="7227" customFormat="false" ht="15" hidden="false" customHeight="false" outlineLevel="0" collapsed="false">
      <c r="H7227" s="0" t="str">
        <f aca="false">IF(B7227="","",IF(COUNTIF(Campaigns!$A$7:$A$300,B7227)&gt;0,"✓","⚠ add to Campaigns tab"))</f>
        <v/>
      </c>
      <c r="I7227" s="84" t="str">
        <f aca="false">IF(C7227="","",C7227*IF(Settings!$B$22=Settings!$C$6,1,IF(Settings!$B$22="USD",1/INDEX(Settings!$B$29:$B$40,MONTH(A7227)),INDEX(Settings!$B$29:$B$40,MONTH(A7227)))))</f>
        <v/>
      </c>
    </row>
    <row r="7228" customFormat="false" ht="15" hidden="false" customHeight="false" outlineLevel="0" collapsed="false">
      <c r="H7228" s="0" t="str">
        <f aca="false">IF(B7228="","",IF(COUNTIF(Campaigns!$A$7:$A$300,B7228)&gt;0,"✓","⚠ add to Campaigns tab"))</f>
        <v/>
      </c>
      <c r="I7228" s="84" t="str">
        <f aca="false">IF(C7228="","",C7228*IF(Settings!$B$22=Settings!$C$6,1,IF(Settings!$B$22="USD",1/INDEX(Settings!$B$29:$B$40,MONTH(A7228)),INDEX(Settings!$B$29:$B$40,MONTH(A7228)))))</f>
        <v/>
      </c>
    </row>
    <row r="7229" customFormat="false" ht="15" hidden="false" customHeight="false" outlineLevel="0" collapsed="false">
      <c r="H7229" s="0" t="str">
        <f aca="false">IF(B7229="","",IF(COUNTIF(Campaigns!$A$7:$A$300,B7229)&gt;0,"✓","⚠ add to Campaigns tab"))</f>
        <v/>
      </c>
      <c r="I7229" s="84" t="str">
        <f aca="false">IF(C7229="","",C7229*IF(Settings!$B$22=Settings!$C$6,1,IF(Settings!$B$22="USD",1/INDEX(Settings!$B$29:$B$40,MONTH(A7229)),INDEX(Settings!$B$29:$B$40,MONTH(A7229)))))</f>
        <v/>
      </c>
    </row>
    <row r="7230" customFormat="false" ht="15" hidden="false" customHeight="false" outlineLevel="0" collapsed="false">
      <c r="H7230" s="0" t="str">
        <f aca="false">IF(B7230="","",IF(COUNTIF(Campaigns!$A$7:$A$300,B7230)&gt;0,"✓","⚠ add to Campaigns tab"))</f>
        <v/>
      </c>
      <c r="I7230" s="84" t="str">
        <f aca="false">IF(C7230="","",C7230*IF(Settings!$B$22=Settings!$C$6,1,IF(Settings!$B$22="USD",1/INDEX(Settings!$B$29:$B$40,MONTH(A7230)),INDEX(Settings!$B$29:$B$40,MONTH(A7230)))))</f>
        <v/>
      </c>
    </row>
    <row r="7231" customFormat="false" ht="15" hidden="false" customHeight="false" outlineLevel="0" collapsed="false">
      <c r="H7231" s="0" t="str">
        <f aca="false">IF(B7231="","",IF(COUNTIF(Campaigns!$A$7:$A$300,B7231)&gt;0,"✓","⚠ add to Campaigns tab"))</f>
        <v/>
      </c>
      <c r="I7231" s="84" t="str">
        <f aca="false">IF(C7231="","",C7231*IF(Settings!$B$22=Settings!$C$6,1,IF(Settings!$B$22="USD",1/INDEX(Settings!$B$29:$B$40,MONTH(A7231)),INDEX(Settings!$B$29:$B$40,MONTH(A7231)))))</f>
        <v/>
      </c>
    </row>
    <row r="7232" customFormat="false" ht="15" hidden="false" customHeight="false" outlineLevel="0" collapsed="false">
      <c r="H7232" s="0" t="str">
        <f aca="false">IF(B7232="","",IF(COUNTIF(Campaigns!$A$7:$A$300,B7232)&gt;0,"✓","⚠ add to Campaigns tab"))</f>
        <v/>
      </c>
      <c r="I7232" s="84" t="str">
        <f aca="false">IF(C7232="","",C7232*IF(Settings!$B$22=Settings!$C$6,1,IF(Settings!$B$22="USD",1/INDEX(Settings!$B$29:$B$40,MONTH(A7232)),INDEX(Settings!$B$29:$B$40,MONTH(A7232)))))</f>
        <v/>
      </c>
    </row>
    <row r="7233" customFormat="false" ht="15" hidden="false" customHeight="false" outlineLevel="0" collapsed="false">
      <c r="H7233" s="0" t="str">
        <f aca="false">IF(B7233="","",IF(COUNTIF(Campaigns!$A$7:$A$300,B7233)&gt;0,"✓","⚠ add to Campaigns tab"))</f>
        <v/>
      </c>
      <c r="I7233" s="84" t="str">
        <f aca="false">IF(C7233="","",C7233*IF(Settings!$B$22=Settings!$C$6,1,IF(Settings!$B$22="USD",1/INDEX(Settings!$B$29:$B$40,MONTH(A7233)),INDEX(Settings!$B$29:$B$40,MONTH(A7233)))))</f>
        <v/>
      </c>
    </row>
    <row r="7234" customFormat="false" ht="15" hidden="false" customHeight="false" outlineLevel="0" collapsed="false">
      <c r="H7234" s="0" t="str">
        <f aca="false">IF(B7234="","",IF(COUNTIF(Campaigns!$A$7:$A$300,B7234)&gt;0,"✓","⚠ add to Campaigns tab"))</f>
        <v/>
      </c>
      <c r="I7234" s="84" t="str">
        <f aca="false">IF(C7234="","",C7234*IF(Settings!$B$22=Settings!$C$6,1,IF(Settings!$B$22="USD",1/INDEX(Settings!$B$29:$B$40,MONTH(A7234)),INDEX(Settings!$B$29:$B$40,MONTH(A7234)))))</f>
        <v/>
      </c>
    </row>
    <row r="7235" customFormat="false" ht="15" hidden="false" customHeight="false" outlineLevel="0" collapsed="false">
      <c r="H7235" s="0" t="str">
        <f aca="false">IF(B7235="","",IF(COUNTIF(Campaigns!$A$7:$A$300,B7235)&gt;0,"✓","⚠ add to Campaigns tab"))</f>
        <v/>
      </c>
      <c r="I7235" s="84" t="str">
        <f aca="false">IF(C7235="","",C7235*IF(Settings!$B$22=Settings!$C$6,1,IF(Settings!$B$22="USD",1/INDEX(Settings!$B$29:$B$40,MONTH(A7235)),INDEX(Settings!$B$29:$B$40,MONTH(A7235)))))</f>
        <v/>
      </c>
    </row>
    <row r="7236" customFormat="false" ht="15" hidden="false" customHeight="false" outlineLevel="0" collapsed="false">
      <c r="H7236" s="0" t="str">
        <f aca="false">IF(B7236="","",IF(COUNTIF(Campaigns!$A$7:$A$300,B7236)&gt;0,"✓","⚠ add to Campaigns tab"))</f>
        <v/>
      </c>
      <c r="I7236" s="84" t="str">
        <f aca="false">IF(C7236="","",C7236*IF(Settings!$B$22=Settings!$C$6,1,IF(Settings!$B$22="USD",1/INDEX(Settings!$B$29:$B$40,MONTH(A7236)),INDEX(Settings!$B$29:$B$40,MONTH(A7236)))))</f>
        <v/>
      </c>
    </row>
    <row r="7237" customFormat="false" ht="15" hidden="false" customHeight="false" outlineLevel="0" collapsed="false">
      <c r="H7237" s="0" t="str">
        <f aca="false">IF(B7237="","",IF(COUNTIF(Campaigns!$A$7:$A$300,B7237)&gt;0,"✓","⚠ add to Campaigns tab"))</f>
        <v/>
      </c>
      <c r="I7237" s="84" t="str">
        <f aca="false">IF(C7237="","",C7237*IF(Settings!$B$22=Settings!$C$6,1,IF(Settings!$B$22="USD",1/INDEX(Settings!$B$29:$B$40,MONTH(A7237)),INDEX(Settings!$B$29:$B$40,MONTH(A7237)))))</f>
        <v/>
      </c>
    </row>
    <row r="7238" customFormat="false" ht="15" hidden="false" customHeight="false" outlineLevel="0" collapsed="false">
      <c r="H7238" s="0" t="str">
        <f aca="false">IF(B7238="","",IF(COUNTIF(Campaigns!$A$7:$A$300,B7238)&gt;0,"✓","⚠ add to Campaigns tab"))</f>
        <v/>
      </c>
      <c r="I7238" s="84" t="str">
        <f aca="false">IF(C7238="","",C7238*IF(Settings!$B$22=Settings!$C$6,1,IF(Settings!$B$22="USD",1/INDEX(Settings!$B$29:$B$40,MONTH(A7238)),INDEX(Settings!$B$29:$B$40,MONTH(A7238)))))</f>
        <v/>
      </c>
    </row>
    <row r="7239" customFormat="false" ht="15" hidden="false" customHeight="false" outlineLevel="0" collapsed="false">
      <c r="H7239" s="0" t="str">
        <f aca="false">IF(B7239="","",IF(COUNTIF(Campaigns!$A$7:$A$300,B7239)&gt;0,"✓","⚠ add to Campaigns tab"))</f>
        <v/>
      </c>
      <c r="I7239" s="84" t="str">
        <f aca="false">IF(C7239="","",C7239*IF(Settings!$B$22=Settings!$C$6,1,IF(Settings!$B$22="USD",1/INDEX(Settings!$B$29:$B$40,MONTH(A7239)),INDEX(Settings!$B$29:$B$40,MONTH(A7239)))))</f>
        <v/>
      </c>
    </row>
    <row r="7240" customFormat="false" ht="15" hidden="false" customHeight="false" outlineLevel="0" collapsed="false">
      <c r="H7240" s="0" t="str">
        <f aca="false">IF(B7240="","",IF(COUNTIF(Campaigns!$A$7:$A$300,B7240)&gt;0,"✓","⚠ add to Campaigns tab"))</f>
        <v/>
      </c>
      <c r="I7240" s="84" t="str">
        <f aca="false">IF(C7240="","",C7240*IF(Settings!$B$22=Settings!$C$6,1,IF(Settings!$B$22="USD",1/INDEX(Settings!$B$29:$B$40,MONTH(A7240)),INDEX(Settings!$B$29:$B$40,MONTH(A7240)))))</f>
        <v/>
      </c>
    </row>
    <row r="7241" customFormat="false" ht="15" hidden="false" customHeight="false" outlineLevel="0" collapsed="false">
      <c r="H7241" s="0" t="str">
        <f aca="false">IF(B7241="","",IF(COUNTIF(Campaigns!$A$7:$A$300,B7241)&gt;0,"✓","⚠ add to Campaigns tab"))</f>
        <v/>
      </c>
      <c r="I7241" s="84" t="str">
        <f aca="false">IF(C7241="","",C7241*IF(Settings!$B$22=Settings!$C$6,1,IF(Settings!$B$22="USD",1/INDEX(Settings!$B$29:$B$40,MONTH(A7241)),INDEX(Settings!$B$29:$B$40,MONTH(A7241)))))</f>
        <v/>
      </c>
    </row>
    <row r="7242" customFormat="false" ht="15" hidden="false" customHeight="false" outlineLevel="0" collapsed="false">
      <c r="H7242" s="0" t="str">
        <f aca="false">IF(B7242="","",IF(COUNTIF(Campaigns!$A$7:$A$300,B7242)&gt;0,"✓","⚠ add to Campaigns tab"))</f>
        <v/>
      </c>
      <c r="I7242" s="84" t="str">
        <f aca="false">IF(C7242="","",C7242*IF(Settings!$B$22=Settings!$C$6,1,IF(Settings!$B$22="USD",1/INDEX(Settings!$B$29:$B$40,MONTH(A7242)),INDEX(Settings!$B$29:$B$40,MONTH(A7242)))))</f>
        <v/>
      </c>
    </row>
    <row r="7243" customFormat="false" ht="15" hidden="false" customHeight="false" outlineLevel="0" collapsed="false">
      <c r="H7243" s="0" t="str">
        <f aca="false">IF(B7243="","",IF(COUNTIF(Campaigns!$A$7:$A$300,B7243)&gt;0,"✓","⚠ add to Campaigns tab"))</f>
        <v/>
      </c>
      <c r="I7243" s="84" t="str">
        <f aca="false">IF(C7243="","",C7243*IF(Settings!$B$22=Settings!$C$6,1,IF(Settings!$B$22="USD",1/INDEX(Settings!$B$29:$B$40,MONTH(A7243)),INDEX(Settings!$B$29:$B$40,MONTH(A7243)))))</f>
        <v/>
      </c>
    </row>
    <row r="7244" customFormat="false" ht="15" hidden="false" customHeight="false" outlineLevel="0" collapsed="false">
      <c r="H7244" s="0" t="str">
        <f aca="false">IF(B7244="","",IF(COUNTIF(Campaigns!$A$7:$A$300,B7244)&gt;0,"✓","⚠ add to Campaigns tab"))</f>
        <v/>
      </c>
      <c r="I7244" s="84" t="str">
        <f aca="false">IF(C7244="","",C7244*IF(Settings!$B$22=Settings!$C$6,1,IF(Settings!$B$22="USD",1/INDEX(Settings!$B$29:$B$40,MONTH(A7244)),INDEX(Settings!$B$29:$B$40,MONTH(A7244)))))</f>
        <v/>
      </c>
    </row>
    <row r="7245" customFormat="false" ht="15" hidden="false" customHeight="false" outlineLevel="0" collapsed="false">
      <c r="H7245" s="0" t="str">
        <f aca="false">IF(B7245="","",IF(COUNTIF(Campaigns!$A$7:$A$300,B7245)&gt;0,"✓","⚠ add to Campaigns tab"))</f>
        <v/>
      </c>
      <c r="I7245" s="84" t="str">
        <f aca="false">IF(C7245="","",C7245*IF(Settings!$B$22=Settings!$C$6,1,IF(Settings!$B$22="USD",1/INDEX(Settings!$B$29:$B$40,MONTH(A7245)),INDEX(Settings!$B$29:$B$40,MONTH(A7245)))))</f>
        <v/>
      </c>
    </row>
    <row r="7246" customFormat="false" ht="15" hidden="false" customHeight="false" outlineLevel="0" collapsed="false">
      <c r="H7246" s="0" t="str">
        <f aca="false">IF(B7246="","",IF(COUNTIF(Campaigns!$A$7:$A$300,B7246)&gt;0,"✓","⚠ add to Campaigns tab"))</f>
        <v/>
      </c>
      <c r="I7246" s="84" t="str">
        <f aca="false">IF(C7246="","",C7246*IF(Settings!$B$22=Settings!$C$6,1,IF(Settings!$B$22="USD",1/INDEX(Settings!$B$29:$B$40,MONTH(A7246)),INDEX(Settings!$B$29:$B$40,MONTH(A7246)))))</f>
        <v/>
      </c>
    </row>
    <row r="7247" customFormat="false" ht="15" hidden="false" customHeight="false" outlineLevel="0" collapsed="false">
      <c r="H7247" s="0" t="str">
        <f aca="false">IF(B7247="","",IF(COUNTIF(Campaigns!$A$7:$A$300,B7247)&gt;0,"✓","⚠ add to Campaigns tab"))</f>
        <v/>
      </c>
      <c r="I7247" s="84" t="str">
        <f aca="false">IF(C7247="","",C7247*IF(Settings!$B$22=Settings!$C$6,1,IF(Settings!$B$22="USD",1/INDEX(Settings!$B$29:$B$40,MONTH(A7247)),INDEX(Settings!$B$29:$B$40,MONTH(A7247)))))</f>
        <v/>
      </c>
    </row>
    <row r="7248" customFormat="false" ht="15" hidden="false" customHeight="false" outlineLevel="0" collapsed="false">
      <c r="H7248" s="0" t="str">
        <f aca="false">IF(B7248="","",IF(COUNTIF(Campaigns!$A$7:$A$300,B7248)&gt;0,"✓","⚠ add to Campaigns tab"))</f>
        <v/>
      </c>
      <c r="I7248" s="84" t="str">
        <f aca="false">IF(C7248="","",C7248*IF(Settings!$B$22=Settings!$C$6,1,IF(Settings!$B$22="USD",1/INDEX(Settings!$B$29:$B$40,MONTH(A7248)),INDEX(Settings!$B$29:$B$40,MONTH(A7248)))))</f>
        <v/>
      </c>
    </row>
    <row r="7249" customFormat="false" ht="15" hidden="false" customHeight="false" outlineLevel="0" collapsed="false">
      <c r="H7249" s="0" t="str">
        <f aca="false">IF(B7249="","",IF(COUNTIF(Campaigns!$A$7:$A$300,B7249)&gt;0,"✓","⚠ add to Campaigns tab"))</f>
        <v/>
      </c>
      <c r="I7249" s="84" t="str">
        <f aca="false">IF(C7249="","",C7249*IF(Settings!$B$22=Settings!$C$6,1,IF(Settings!$B$22="USD",1/INDEX(Settings!$B$29:$B$40,MONTH(A7249)),INDEX(Settings!$B$29:$B$40,MONTH(A7249)))))</f>
        <v/>
      </c>
    </row>
    <row r="7250" customFormat="false" ht="15" hidden="false" customHeight="false" outlineLevel="0" collapsed="false">
      <c r="H7250" s="0" t="str">
        <f aca="false">IF(B7250="","",IF(COUNTIF(Campaigns!$A$7:$A$300,B7250)&gt;0,"✓","⚠ add to Campaigns tab"))</f>
        <v/>
      </c>
      <c r="I7250" s="84" t="str">
        <f aca="false">IF(C7250="","",C7250*IF(Settings!$B$22=Settings!$C$6,1,IF(Settings!$B$22="USD",1/INDEX(Settings!$B$29:$B$40,MONTH(A7250)),INDEX(Settings!$B$29:$B$40,MONTH(A7250)))))</f>
        <v/>
      </c>
    </row>
    <row r="7251" customFormat="false" ht="15" hidden="false" customHeight="false" outlineLevel="0" collapsed="false">
      <c r="H7251" s="0" t="str">
        <f aca="false">IF(B7251="","",IF(COUNTIF(Campaigns!$A$7:$A$300,B7251)&gt;0,"✓","⚠ add to Campaigns tab"))</f>
        <v/>
      </c>
      <c r="I7251" s="84" t="str">
        <f aca="false">IF(C7251="","",C7251*IF(Settings!$B$22=Settings!$C$6,1,IF(Settings!$B$22="USD",1/INDEX(Settings!$B$29:$B$40,MONTH(A7251)),INDEX(Settings!$B$29:$B$40,MONTH(A7251)))))</f>
        <v/>
      </c>
    </row>
    <row r="7252" customFormat="false" ht="15" hidden="false" customHeight="false" outlineLevel="0" collapsed="false">
      <c r="H7252" s="0" t="str">
        <f aca="false">IF(B7252="","",IF(COUNTIF(Campaigns!$A$7:$A$300,B7252)&gt;0,"✓","⚠ add to Campaigns tab"))</f>
        <v/>
      </c>
      <c r="I7252" s="84" t="str">
        <f aca="false">IF(C7252="","",C7252*IF(Settings!$B$22=Settings!$C$6,1,IF(Settings!$B$22="USD",1/INDEX(Settings!$B$29:$B$40,MONTH(A7252)),INDEX(Settings!$B$29:$B$40,MONTH(A7252)))))</f>
        <v/>
      </c>
    </row>
    <row r="7253" customFormat="false" ht="15" hidden="false" customHeight="false" outlineLevel="0" collapsed="false">
      <c r="H7253" s="0" t="str">
        <f aca="false">IF(B7253="","",IF(COUNTIF(Campaigns!$A$7:$A$300,B7253)&gt;0,"✓","⚠ add to Campaigns tab"))</f>
        <v/>
      </c>
      <c r="I7253" s="84" t="str">
        <f aca="false">IF(C7253="","",C7253*IF(Settings!$B$22=Settings!$C$6,1,IF(Settings!$B$22="USD",1/INDEX(Settings!$B$29:$B$40,MONTH(A7253)),INDEX(Settings!$B$29:$B$40,MONTH(A7253)))))</f>
        <v/>
      </c>
    </row>
    <row r="7254" customFormat="false" ht="15" hidden="false" customHeight="false" outlineLevel="0" collapsed="false">
      <c r="H7254" s="0" t="str">
        <f aca="false">IF(B7254="","",IF(COUNTIF(Campaigns!$A$7:$A$300,B7254)&gt;0,"✓","⚠ add to Campaigns tab"))</f>
        <v/>
      </c>
      <c r="I7254" s="84" t="str">
        <f aca="false">IF(C7254="","",C7254*IF(Settings!$B$22=Settings!$C$6,1,IF(Settings!$B$22="USD",1/INDEX(Settings!$B$29:$B$40,MONTH(A7254)),INDEX(Settings!$B$29:$B$40,MONTH(A7254)))))</f>
        <v/>
      </c>
    </row>
    <row r="7255" customFormat="false" ht="15" hidden="false" customHeight="false" outlineLevel="0" collapsed="false">
      <c r="H7255" s="0" t="str">
        <f aca="false">IF(B7255="","",IF(COUNTIF(Campaigns!$A$7:$A$300,B7255)&gt;0,"✓","⚠ add to Campaigns tab"))</f>
        <v/>
      </c>
      <c r="I7255" s="84" t="str">
        <f aca="false">IF(C7255="","",C7255*IF(Settings!$B$22=Settings!$C$6,1,IF(Settings!$B$22="USD",1/INDEX(Settings!$B$29:$B$40,MONTH(A7255)),INDEX(Settings!$B$29:$B$40,MONTH(A7255)))))</f>
        <v/>
      </c>
    </row>
    <row r="7256" customFormat="false" ht="15" hidden="false" customHeight="false" outlineLevel="0" collapsed="false">
      <c r="H7256" s="0" t="str">
        <f aca="false">IF(B7256="","",IF(COUNTIF(Campaigns!$A$7:$A$300,B7256)&gt;0,"✓","⚠ add to Campaigns tab"))</f>
        <v/>
      </c>
      <c r="I7256" s="84" t="str">
        <f aca="false">IF(C7256="","",C7256*IF(Settings!$B$22=Settings!$C$6,1,IF(Settings!$B$22="USD",1/INDEX(Settings!$B$29:$B$40,MONTH(A7256)),INDEX(Settings!$B$29:$B$40,MONTH(A7256)))))</f>
        <v/>
      </c>
    </row>
    <row r="7257" customFormat="false" ht="15" hidden="false" customHeight="false" outlineLevel="0" collapsed="false">
      <c r="H7257" s="0" t="str">
        <f aca="false">IF(B7257="","",IF(COUNTIF(Campaigns!$A$7:$A$300,B7257)&gt;0,"✓","⚠ add to Campaigns tab"))</f>
        <v/>
      </c>
      <c r="I7257" s="84" t="str">
        <f aca="false">IF(C7257="","",C7257*IF(Settings!$B$22=Settings!$C$6,1,IF(Settings!$B$22="USD",1/INDEX(Settings!$B$29:$B$40,MONTH(A7257)),INDEX(Settings!$B$29:$B$40,MONTH(A7257)))))</f>
        <v/>
      </c>
    </row>
    <row r="7258" customFormat="false" ht="15" hidden="false" customHeight="false" outlineLevel="0" collapsed="false">
      <c r="H7258" s="0" t="str">
        <f aca="false">IF(B7258="","",IF(COUNTIF(Campaigns!$A$7:$A$300,B7258)&gt;0,"✓","⚠ add to Campaigns tab"))</f>
        <v/>
      </c>
      <c r="I7258" s="84" t="str">
        <f aca="false">IF(C7258="","",C7258*IF(Settings!$B$22=Settings!$C$6,1,IF(Settings!$B$22="USD",1/INDEX(Settings!$B$29:$B$40,MONTH(A7258)),INDEX(Settings!$B$29:$B$40,MONTH(A7258)))))</f>
        <v/>
      </c>
    </row>
    <row r="7259" customFormat="false" ht="15" hidden="false" customHeight="false" outlineLevel="0" collapsed="false">
      <c r="H7259" s="0" t="str">
        <f aca="false">IF(B7259="","",IF(COUNTIF(Campaigns!$A$7:$A$300,B7259)&gt;0,"✓","⚠ add to Campaigns tab"))</f>
        <v/>
      </c>
      <c r="I7259" s="84" t="str">
        <f aca="false">IF(C7259="","",C7259*IF(Settings!$B$22=Settings!$C$6,1,IF(Settings!$B$22="USD",1/INDEX(Settings!$B$29:$B$40,MONTH(A7259)),INDEX(Settings!$B$29:$B$40,MONTH(A7259)))))</f>
        <v/>
      </c>
    </row>
    <row r="7260" customFormat="false" ht="15" hidden="false" customHeight="false" outlineLevel="0" collapsed="false">
      <c r="H7260" s="0" t="str">
        <f aca="false">IF(B7260="","",IF(COUNTIF(Campaigns!$A$7:$A$300,B7260)&gt;0,"✓","⚠ add to Campaigns tab"))</f>
        <v/>
      </c>
      <c r="I7260" s="84" t="str">
        <f aca="false">IF(C7260="","",C7260*IF(Settings!$B$22=Settings!$C$6,1,IF(Settings!$B$22="USD",1/INDEX(Settings!$B$29:$B$40,MONTH(A7260)),INDEX(Settings!$B$29:$B$40,MONTH(A7260)))))</f>
        <v/>
      </c>
    </row>
    <row r="7261" customFormat="false" ht="15" hidden="false" customHeight="false" outlineLevel="0" collapsed="false">
      <c r="H7261" s="0" t="str">
        <f aca="false">IF(B7261="","",IF(COUNTIF(Campaigns!$A$7:$A$300,B7261)&gt;0,"✓","⚠ add to Campaigns tab"))</f>
        <v/>
      </c>
      <c r="I7261" s="84" t="str">
        <f aca="false">IF(C7261="","",C7261*IF(Settings!$B$22=Settings!$C$6,1,IF(Settings!$B$22="USD",1/INDEX(Settings!$B$29:$B$40,MONTH(A7261)),INDEX(Settings!$B$29:$B$40,MONTH(A7261)))))</f>
        <v/>
      </c>
    </row>
    <row r="7262" customFormat="false" ht="15" hidden="false" customHeight="false" outlineLevel="0" collapsed="false">
      <c r="H7262" s="0" t="str">
        <f aca="false">IF(B7262="","",IF(COUNTIF(Campaigns!$A$7:$A$300,B7262)&gt;0,"✓","⚠ add to Campaigns tab"))</f>
        <v/>
      </c>
      <c r="I7262" s="84" t="str">
        <f aca="false">IF(C7262="","",C7262*IF(Settings!$B$22=Settings!$C$6,1,IF(Settings!$B$22="USD",1/INDEX(Settings!$B$29:$B$40,MONTH(A7262)),INDEX(Settings!$B$29:$B$40,MONTH(A7262)))))</f>
        <v/>
      </c>
    </row>
    <row r="7263" customFormat="false" ht="15" hidden="false" customHeight="false" outlineLevel="0" collapsed="false">
      <c r="H7263" s="0" t="str">
        <f aca="false">IF(B7263="","",IF(COUNTIF(Campaigns!$A$7:$A$300,B7263)&gt;0,"✓","⚠ add to Campaigns tab"))</f>
        <v/>
      </c>
      <c r="I7263" s="84" t="str">
        <f aca="false">IF(C7263="","",C7263*IF(Settings!$B$22=Settings!$C$6,1,IF(Settings!$B$22="USD",1/INDEX(Settings!$B$29:$B$40,MONTH(A7263)),INDEX(Settings!$B$29:$B$40,MONTH(A7263)))))</f>
        <v/>
      </c>
    </row>
    <row r="7264" customFormat="false" ht="15" hidden="false" customHeight="false" outlineLevel="0" collapsed="false">
      <c r="H7264" s="0" t="str">
        <f aca="false">IF(B7264="","",IF(COUNTIF(Campaigns!$A$7:$A$300,B7264)&gt;0,"✓","⚠ add to Campaigns tab"))</f>
        <v/>
      </c>
      <c r="I7264" s="84" t="str">
        <f aca="false">IF(C7264="","",C7264*IF(Settings!$B$22=Settings!$C$6,1,IF(Settings!$B$22="USD",1/INDEX(Settings!$B$29:$B$40,MONTH(A7264)),INDEX(Settings!$B$29:$B$40,MONTH(A7264)))))</f>
        <v/>
      </c>
    </row>
    <row r="7265" customFormat="false" ht="15" hidden="false" customHeight="false" outlineLevel="0" collapsed="false">
      <c r="H7265" s="0" t="str">
        <f aca="false">IF(B7265="","",IF(COUNTIF(Campaigns!$A$7:$A$300,B7265)&gt;0,"✓","⚠ add to Campaigns tab"))</f>
        <v/>
      </c>
      <c r="I7265" s="84" t="str">
        <f aca="false">IF(C7265="","",C7265*IF(Settings!$B$22=Settings!$C$6,1,IF(Settings!$B$22="USD",1/INDEX(Settings!$B$29:$B$40,MONTH(A7265)),INDEX(Settings!$B$29:$B$40,MONTH(A7265)))))</f>
        <v/>
      </c>
    </row>
    <row r="7266" customFormat="false" ht="15" hidden="false" customHeight="false" outlineLevel="0" collapsed="false">
      <c r="H7266" s="0" t="str">
        <f aca="false">IF(B7266="","",IF(COUNTIF(Campaigns!$A$7:$A$300,B7266)&gt;0,"✓","⚠ add to Campaigns tab"))</f>
        <v/>
      </c>
      <c r="I7266" s="84" t="str">
        <f aca="false">IF(C7266="","",C7266*IF(Settings!$B$22=Settings!$C$6,1,IF(Settings!$B$22="USD",1/INDEX(Settings!$B$29:$B$40,MONTH(A7266)),INDEX(Settings!$B$29:$B$40,MONTH(A7266)))))</f>
        <v/>
      </c>
    </row>
    <row r="7267" customFormat="false" ht="15" hidden="false" customHeight="false" outlineLevel="0" collapsed="false">
      <c r="H7267" s="0" t="str">
        <f aca="false">IF(B7267="","",IF(COUNTIF(Campaigns!$A$7:$A$300,B7267)&gt;0,"✓","⚠ add to Campaigns tab"))</f>
        <v/>
      </c>
      <c r="I7267" s="84" t="str">
        <f aca="false">IF(C7267="","",C7267*IF(Settings!$B$22=Settings!$C$6,1,IF(Settings!$B$22="USD",1/INDEX(Settings!$B$29:$B$40,MONTH(A7267)),INDEX(Settings!$B$29:$B$40,MONTH(A7267)))))</f>
        <v/>
      </c>
    </row>
    <row r="7268" customFormat="false" ht="15" hidden="false" customHeight="false" outlineLevel="0" collapsed="false">
      <c r="H7268" s="0" t="str">
        <f aca="false">IF(B7268="","",IF(COUNTIF(Campaigns!$A$7:$A$300,B7268)&gt;0,"✓","⚠ add to Campaigns tab"))</f>
        <v/>
      </c>
      <c r="I7268" s="84" t="str">
        <f aca="false">IF(C7268="","",C7268*IF(Settings!$B$22=Settings!$C$6,1,IF(Settings!$B$22="USD",1/INDEX(Settings!$B$29:$B$40,MONTH(A7268)),INDEX(Settings!$B$29:$B$40,MONTH(A7268)))))</f>
        <v/>
      </c>
    </row>
    <row r="7269" customFormat="false" ht="15" hidden="false" customHeight="false" outlineLevel="0" collapsed="false">
      <c r="H7269" s="0" t="str">
        <f aca="false">IF(B7269="","",IF(COUNTIF(Campaigns!$A$7:$A$300,B7269)&gt;0,"✓","⚠ add to Campaigns tab"))</f>
        <v/>
      </c>
      <c r="I7269" s="84" t="str">
        <f aca="false">IF(C7269="","",C7269*IF(Settings!$B$22=Settings!$C$6,1,IF(Settings!$B$22="USD",1/INDEX(Settings!$B$29:$B$40,MONTH(A7269)),INDEX(Settings!$B$29:$B$40,MONTH(A7269)))))</f>
        <v/>
      </c>
    </row>
    <row r="7270" customFormat="false" ht="15" hidden="false" customHeight="false" outlineLevel="0" collapsed="false">
      <c r="H7270" s="0" t="str">
        <f aca="false">IF(B7270="","",IF(COUNTIF(Campaigns!$A$7:$A$300,B7270)&gt;0,"✓","⚠ add to Campaigns tab"))</f>
        <v/>
      </c>
      <c r="I7270" s="84" t="str">
        <f aca="false">IF(C7270="","",C7270*IF(Settings!$B$22=Settings!$C$6,1,IF(Settings!$B$22="USD",1/INDEX(Settings!$B$29:$B$40,MONTH(A7270)),INDEX(Settings!$B$29:$B$40,MONTH(A7270)))))</f>
        <v/>
      </c>
    </row>
    <row r="7271" customFormat="false" ht="15" hidden="false" customHeight="false" outlineLevel="0" collapsed="false">
      <c r="H7271" s="0" t="str">
        <f aca="false">IF(B7271="","",IF(COUNTIF(Campaigns!$A$7:$A$300,B7271)&gt;0,"✓","⚠ add to Campaigns tab"))</f>
        <v/>
      </c>
      <c r="I7271" s="84" t="str">
        <f aca="false">IF(C7271="","",C7271*IF(Settings!$B$22=Settings!$C$6,1,IF(Settings!$B$22="USD",1/INDEX(Settings!$B$29:$B$40,MONTH(A7271)),INDEX(Settings!$B$29:$B$40,MONTH(A7271)))))</f>
        <v/>
      </c>
    </row>
    <row r="7272" customFormat="false" ht="15" hidden="false" customHeight="false" outlineLevel="0" collapsed="false">
      <c r="H7272" s="0" t="str">
        <f aca="false">IF(B7272="","",IF(COUNTIF(Campaigns!$A$7:$A$300,B7272)&gt;0,"✓","⚠ add to Campaigns tab"))</f>
        <v/>
      </c>
      <c r="I7272" s="84" t="str">
        <f aca="false">IF(C7272="","",C7272*IF(Settings!$B$22=Settings!$C$6,1,IF(Settings!$B$22="USD",1/INDEX(Settings!$B$29:$B$40,MONTH(A7272)),INDEX(Settings!$B$29:$B$40,MONTH(A7272)))))</f>
        <v/>
      </c>
    </row>
    <row r="7273" customFormat="false" ht="15" hidden="false" customHeight="false" outlineLevel="0" collapsed="false">
      <c r="H7273" s="0" t="str">
        <f aca="false">IF(B7273="","",IF(COUNTIF(Campaigns!$A$7:$A$300,B7273)&gt;0,"✓","⚠ add to Campaigns tab"))</f>
        <v/>
      </c>
      <c r="I7273" s="84" t="str">
        <f aca="false">IF(C7273="","",C7273*IF(Settings!$B$22=Settings!$C$6,1,IF(Settings!$B$22="USD",1/INDEX(Settings!$B$29:$B$40,MONTH(A7273)),INDEX(Settings!$B$29:$B$40,MONTH(A7273)))))</f>
        <v/>
      </c>
    </row>
    <row r="7274" customFormat="false" ht="15" hidden="false" customHeight="false" outlineLevel="0" collapsed="false">
      <c r="H7274" s="0" t="str">
        <f aca="false">IF(B7274="","",IF(COUNTIF(Campaigns!$A$7:$A$300,B7274)&gt;0,"✓","⚠ add to Campaigns tab"))</f>
        <v/>
      </c>
      <c r="I7274" s="84" t="str">
        <f aca="false">IF(C7274="","",C7274*IF(Settings!$B$22=Settings!$C$6,1,IF(Settings!$B$22="USD",1/INDEX(Settings!$B$29:$B$40,MONTH(A7274)),INDEX(Settings!$B$29:$B$40,MONTH(A7274)))))</f>
        <v/>
      </c>
    </row>
    <row r="7275" customFormat="false" ht="15" hidden="false" customHeight="false" outlineLevel="0" collapsed="false">
      <c r="H7275" s="0" t="str">
        <f aca="false">IF(B7275="","",IF(COUNTIF(Campaigns!$A$7:$A$300,B7275)&gt;0,"✓","⚠ add to Campaigns tab"))</f>
        <v/>
      </c>
      <c r="I7275" s="84" t="str">
        <f aca="false">IF(C7275="","",C7275*IF(Settings!$B$22=Settings!$C$6,1,IF(Settings!$B$22="USD",1/INDEX(Settings!$B$29:$B$40,MONTH(A7275)),INDEX(Settings!$B$29:$B$40,MONTH(A7275)))))</f>
        <v/>
      </c>
    </row>
    <row r="7276" customFormat="false" ht="15" hidden="false" customHeight="false" outlineLevel="0" collapsed="false">
      <c r="H7276" s="0" t="str">
        <f aca="false">IF(B7276="","",IF(COUNTIF(Campaigns!$A$7:$A$300,B7276)&gt;0,"✓","⚠ add to Campaigns tab"))</f>
        <v/>
      </c>
      <c r="I7276" s="84" t="str">
        <f aca="false">IF(C7276="","",C7276*IF(Settings!$B$22=Settings!$C$6,1,IF(Settings!$B$22="USD",1/INDEX(Settings!$B$29:$B$40,MONTH(A7276)),INDEX(Settings!$B$29:$B$40,MONTH(A7276)))))</f>
        <v/>
      </c>
    </row>
    <row r="7277" customFormat="false" ht="15" hidden="false" customHeight="false" outlineLevel="0" collapsed="false">
      <c r="H7277" s="0" t="str">
        <f aca="false">IF(B7277="","",IF(COUNTIF(Campaigns!$A$7:$A$300,B7277)&gt;0,"✓","⚠ add to Campaigns tab"))</f>
        <v/>
      </c>
      <c r="I7277" s="84" t="str">
        <f aca="false">IF(C7277="","",C7277*IF(Settings!$B$22=Settings!$C$6,1,IF(Settings!$B$22="USD",1/INDEX(Settings!$B$29:$B$40,MONTH(A7277)),INDEX(Settings!$B$29:$B$40,MONTH(A7277)))))</f>
        <v/>
      </c>
    </row>
    <row r="7278" customFormat="false" ht="15" hidden="false" customHeight="false" outlineLevel="0" collapsed="false">
      <c r="H7278" s="0" t="str">
        <f aca="false">IF(B7278="","",IF(COUNTIF(Campaigns!$A$7:$A$300,B7278)&gt;0,"✓","⚠ add to Campaigns tab"))</f>
        <v/>
      </c>
      <c r="I7278" s="84" t="str">
        <f aca="false">IF(C7278="","",C7278*IF(Settings!$B$22=Settings!$C$6,1,IF(Settings!$B$22="USD",1/INDEX(Settings!$B$29:$B$40,MONTH(A7278)),INDEX(Settings!$B$29:$B$40,MONTH(A7278)))))</f>
        <v/>
      </c>
    </row>
    <row r="7279" customFormat="false" ht="15" hidden="false" customHeight="false" outlineLevel="0" collapsed="false">
      <c r="H7279" s="0" t="str">
        <f aca="false">IF(B7279="","",IF(COUNTIF(Campaigns!$A$7:$A$300,B7279)&gt;0,"✓","⚠ add to Campaigns tab"))</f>
        <v/>
      </c>
      <c r="I7279" s="84" t="str">
        <f aca="false">IF(C7279="","",C7279*IF(Settings!$B$22=Settings!$C$6,1,IF(Settings!$B$22="USD",1/INDEX(Settings!$B$29:$B$40,MONTH(A7279)),INDEX(Settings!$B$29:$B$40,MONTH(A7279)))))</f>
        <v/>
      </c>
    </row>
    <row r="7280" customFormat="false" ht="15" hidden="false" customHeight="false" outlineLevel="0" collapsed="false">
      <c r="H7280" s="0" t="str">
        <f aca="false">IF(B7280="","",IF(COUNTIF(Campaigns!$A$7:$A$300,B7280)&gt;0,"✓","⚠ add to Campaigns tab"))</f>
        <v/>
      </c>
      <c r="I7280" s="84" t="str">
        <f aca="false">IF(C7280="","",C7280*IF(Settings!$B$22=Settings!$C$6,1,IF(Settings!$B$22="USD",1/INDEX(Settings!$B$29:$B$40,MONTH(A7280)),INDEX(Settings!$B$29:$B$40,MONTH(A7280)))))</f>
        <v/>
      </c>
    </row>
    <row r="7281" customFormat="false" ht="15" hidden="false" customHeight="false" outlineLevel="0" collapsed="false">
      <c r="H7281" s="0" t="str">
        <f aca="false">IF(B7281="","",IF(COUNTIF(Campaigns!$A$7:$A$300,B7281)&gt;0,"✓","⚠ add to Campaigns tab"))</f>
        <v/>
      </c>
      <c r="I7281" s="84" t="str">
        <f aca="false">IF(C7281="","",C7281*IF(Settings!$B$22=Settings!$C$6,1,IF(Settings!$B$22="USD",1/INDEX(Settings!$B$29:$B$40,MONTH(A7281)),INDEX(Settings!$B$29:$B$40,MONTH(A7281)))))</f>
        <v/>
      </c>
    </row>
    <row r="7282" customFormat="false" ht="15" hidden="false" customHeight="false" outlineLevel="0" collapsed="false">
      <c r="H7282" s="0" t="str">
        <f aca="false">IF(B7282="","",IF(COUNTIF(Campaigns!$A$7:$A$300,B7282)&gt;0,"✓","⚠ add to Campaigns tab"))</f>
        <v/>
      </c>
      <c r="I7282" s="84" t="str">
        <f aca="false">IF(C7282="","",C7282*IF(Settings!$B$22=Settings!$C$6,1,IF(Settings!$B$22="USD",1/INDEX(Settings!$B$29:$B$40,MONTH(A7282)),INDEX(Settings!$B$29:$B$40,MONTH(A7282)))))</f>
        <v/>
      </c>
    </row>
    <row r="7283" customFormat="false" ht="15" hidden="false" customHeight="false" outlineLevel="0" collapsed="false">
      <c r="H7283" s="0" t="str">
        <f aca="false">IF(B7283="","",IF(COUNTIF(Campaigns!$A$7:$A$300,B7283)&gt;0,"✓","⚠ add to Campaigns tab"))</f>
        <v/>
      </c>
      <c r="I7283" s="84" t="str">
        <f aca="false">IF(C7283="","",C7283*IF(Settings!$B$22=Settings!$C$6,1,IF(Settings!$B$22="USD",1/INDEX(Settings!$B$29:$B$40,MONTH(A7283)),INDEX(Settings!$B$29:$B$40,MONTH(A7283)))))</f>
        <v/>
      </c>
    </row>
    <row r="7284" customFormat="false" ht="15" hidden="false" customHeight="false" outlineLevel="0" collapsed="false">
      <c r="H7284" s="0" t="str">
        <f aca="false">IF(B7284="","",IF(COUNTIF(Campaigns!$A$7:$A$300,B7284)&gt;0,"✓","⚠ add to Campaigns tab"))</f>
        <v/>
      </c>
      <c r="I7284" s="84" t="str">
        <f aca="false">IF(C7284="","",C7284*IF(Settings!$B$22=Settings!$C$6,1,IF(Settings!$B$22="USD",1/INDEX(Settings!$B$29:$B$40,MONTH(A7284)),INDEX(Settings!$B$29:$B$40,MONTH(A7284)))))</f>
        <v/>
      </c>
    </row>
    <row r="7285" customFormat="false" ht="15" hidden="false" customHeight="false" outlineLevel="0" collapsed="false">
      <c r="H7285" s="0" t="str">
        <f aca="false">IF(B7285="","",IF(COUNTIF(Campaigns!$A$7:$A$300,B7285)&gt;0,"✓","⚠ add to Campaigns tab"))</f>
        <v/>
      </c>
      <c r="I7285" s="84" t="str">
        <f aca="false">IF(C7285="","",C7285*IF(Settings!$B$22=Settings!$C$6,1,IF(Settings!$B$22="USD",1/INDEX(Settings!$B$29:$B$40,MONTH(A7285)),INDEX(Settings!$B$29:$B$40,MONTH(A7285)))))</f>
        <v/>
      </c>
    </row>
    <row r="7286" customFormat="false" ht="15" hidden="false" customHeight="false" outlineLevel="0" collapsed="false">
      <c r="H7286" s="0" t="str">
        <f aca="false">IF(B7286="","",IF(COUNTIF(Campaigns!$A$7:$A$300,B7286)&gt;0,"✓","⚠ add to Campaigns tab"))</f>
        <v/>
      </c>
      <c r="I7286" s="84" t="str">
        <f aca="false">IF(C7286="","",C7286*IF(Settings!$B$22=Settings!$C$6,1,IF(Settings!$B$22="USD",1/INDEX(Settings!$B$29:$B$40,MONTH(A7286)),INDEX(Settings!$B$29:$B$40,MONTH(A7286)))))</f>
        <v/>
      </c>
    </row>
    <row r="7287" customFormat="false" ht="15" hidden="false" customHeight="false" outlineLevel="0" collapsed="false">
      <c r="H7287" s="0" t="str">
        <f aca="false">IF(B7287="","",IF(COUNTIF(Campaigns!$A$7:$A$300,B7287)&gt;0,"✓","⚠ add to Campaigns tab"))</f>
        <v/>
      </c>
      <c r="I7287" s="84" t="str">
        <f aca="false">IF(C7287="","",C7287*IF(Settings!$B$22=Settings!$C$6,1,IF(Settings!$B$22="USD",1/INDEX(Settings!$B$29:$B$40,MONTH(A7287)),INDEX(Settings!$B$29:$B$40,MONTH(A7287)))))</f>
        <v/>
      </c>
    </row>
    <row r="7288" customFormat="false" ht="15" hidden="false" customHeight="false" outlineLevel="0" collapsed="false">
      <c r="H7288" s="0" t="str">
        <f aca="false">IF(B7288="","",IF(COUNTIF(Campaigns!$A$7:$A$300,B7288)&gt;0,"✓","⚠ add to Campaigns tab"))</f>
        <v/>
      </c>
      <c r="I7288" s="84" t="str">
        <f aca="false">IF(C7288="","",C7288*IF(Settings!$B$22=Settings!$C$6,1,IF(Settings!$B$22="USD",1/INDEX(Settings!$B$29:$B$40,MONTH(A7288)),INDEX(Settings!$B$29:$B$40,MONTH(A7288)))))</f>
        <v/>
      </c>
    </row>
    <row r="7289" customFormat="false" ht="15" hidden="false" customHeight="false" outlineLevel="0" collapsed="false">
      <c r="H7289" s="0" t="str">
        <f aca="false">IF(B7289="","",IF(COUNTIF(Campaigns!$A$7:$A$300,B7289)&gt;0,"✓","⚠ add to Campaigns tab"))</f>
        <v/>
      </c>
      <c r="I7289" s="84" t="str">
        <f aca="false">IF(C7289="","",C7289*IF(Settings!$B$22=Settings!$C$6,1,IF(Settings!$B$22="USD",1/INDEX(Settings!$B$29:$B$40,MONTH(A7289)),INDEX(Settings!$B$29:$B$40,MONTH(A7289)))))</f>
        <v/>
      </c>
    </row>
    <row r="7290" customFormat="false" ht="15" hidden="false" customHeight="false" outlineLevel="0" collapsed="false">
      <c r="H7290" s="0" t="str">
        <f aca="false">IF(B7290="","",IF(COUNTIF(Campaigns!$A$7:$A$300,B7290)&gt;0,"✓","⚠ add to Campaigns tab"))</f>
        <v/>
      </c>
      <c r="I7290" s="84" t="str">
        <f aca="false">IF(C7290="","",C7290*IF(Settings!$B$22=Settings!$C$6,1,IF(Settings!$B$22="USD",1/INDEX(Settings!$B$29:$B$40,MONTH(A7290)),INDEX(Settings!$B$29:$B$40,MONTH(A7290)))))</f>
        <v/>
      </c>
    </row>
    <row r="7291" customFormat="false" ht="15" hidden="false" customHeight="false" outlineLevel="0" collapsed="false">
      <c r="H7291" s="0" t="str">
        <f aca="false">IF(B7291="","",IF(COUNTIF(Campaigns!$A$7:$A$300,B7291)&gt;0,"✓","⚠ add to Campaigns tab"))</f>
        <v/>
      </c>
      <c r="I7291" s="84" t="str">
        <f aca="false">IF(C7291="","",C7291*IF(Settings!$B$22=Settings!$C$6,1,IF(Settings!$B$22="USD",1/INDEX(Settings!$B$29:$B$40,MONTH(A7291)),INDEX(Settings!$B$29:$B$40,MONTH(A7291)))))</f>
        <v/>
      </c>
    </row>
    <row r="7292" customFormat="false" ht="15" hidden="false" customHeight="false" outlineLevel="0" collapsed="false">
      <c r="H7292" s="0" t="str">
        <f aca="false">IF(B7292="","",IF(COUNTIF(Campaigns!$A$7:$A$300,B7292)&gt;0,"✓","⚠ add to Campaigns tab"))</f>
        <v/>
      </c>
      <c r="I7292" s="84" t="str">
        <f aca="false">IF(C7292="","",C7292*IF(Settings!$B$22=Settings!$C$6,1,IF(Settings!$B$22="USD",1/INDEX(Settings!$B$29:$B$40,MONTH(A7292)),INDEX(Settings!$B$29:$B$40,MONTH(A7292)))))</f>
        <v/>
      </c>
    </row>
    <row r="7293" customFormat="false" ht="15" hidden="false" customHeight="false" outlineLevel="0" collapsed="false">
      <c r="H7293" s="0" t="str">
        <f aca="false">IF(B7293="","",IF(COUNTIF(Campaigns!$A$7:$A$300,B7293)&gt;0,"✓","⚠ add to Campaigns tab"))</f>
        <v/>
      </c>
      <c r="I7293" s="84" t="str">
        <f aca="false">IF(C7293="","",C7293*IF(Settings!$B$22=Settings!$C$6,1,IF(Settings!$B$22="USD",1/INDEX(Settings!$B$29:$B$40,MONTH(A7293)),INDEX(Settings!$B$29:$B$40,MONTH(A7293)))))</f>
        <v/>
      </c>
    </row>
    <row r="7294" customFormat="false" ht="15" hidden="false" customHeight="false" outlineLevel="0" collapsed="false">
      <c r="H7294" s="0" t="str">
        <f aca="false">IF(B7294="","",IF(COUNTIF(Campaigns!$A$7:$A$300,B7294)&gt;0,"✓","⚠ add to Campaigns tab"))</f>
        <v/>
      </c>
      <c r="I7294" s="84" t="str">
        <f aca="false">IF(C7294="","",C7294*IF(Settings!$B$22=Settings!$C$6,1,IF(Settings!$B$22="USD",1/INDEX(Settings!$B$29:$B$40,MONTH(A7294)),INDEX(Settings!$B$29:$B$40,MONTH(A7294)))))</f>
        <v/>
      </c>
    </row>
    <row r="7295" customFormat="false" ht="15" hidden="false" customHeight="false" outlineLevel="0" collapsed="false">
      <c r="H7295" s="0" t="str">
        <f aca="false">IF(B7295="","",IF(COUNTIF(Campaigns!$A$7:$A$300,B7295)&gt;0,"✓","⚠ add to Campaigns tab"))</f>
        <v/>
      </c>
      <c r="I7295" s="84" t="str">
        <f aca="false">IF(C7295="","",C7295*IF(Settings!$B$22=Settings!$C$6,1,IF(Settings!$B$22="USD",1/INDEX(Settings!$B$29:$B$40,MONTH(A7295)),INDEX(Settings!$B$29:$B$40,MONTH(A7295)))))</f>
        <v/>
      </c>
    </row>
    <row r="7296" customFormat="false" ht="15" hidden="false" customHeight="false" outlineLevel="0" collapsed="false">
      <c r="H7296" s="0" t="str">
        <f aca="false">IF(B7296="","",IF(COUNTIF(Campaigns!$A$7:$A$300,B7296)&gt;0,"✓","⚠ add to Campaigns tab"))</f>
        <v/>
      </c>
      <c r="I7296" s="84" t="str">
        <f aca="false">IF(C7296="","",C7296*IF(Settings!$B$22=Settings!$C$6,1,IF(Settings!$B$22="USD",1/INDEX(Settings!$B$29:$B$40,MONTH(A7296)),INDEX(Settings!$B$29:$B$40,MONTH(A7296)))))</f>
        <v/>
      </c>
    </row>
    <row r="7297" customFormat="false" ht="15" hidden="false" customHeight="false" outlineLevel="0" collapsed="false">
      <c r="H7297" s="0" t="str">
        <f aca="false">IF(B7297="","",IF(COUNTIF(Campaigns!$A$7:$A$300,B7297)&gt;0,"✓","⚠ add to Campaigns tab"))</f>
        <v/>
      </c>
      <c r="I7297" s="84" t="str">
        <f aca="false">IF(C7297="","",C7297*IF(Settings!$B$22=Settings!$C$6,1,IF(Settings!$B$22="USD",1/INDEX(Settings!$B$29:$B$40,MONTH(A7297)),INDEX(Settings!$B$29:$B$40,MONTH(A7297)))))</f>
        <v/>
      </c>
    </row>
    <row r="7298" customFormat="false" ht="15" hidden="false" customHeight="false" outlineLevel="0" collapsed="false">
      <c r="H7298" s="0" t="str">
        <f aca="false">IF(B7298="","",IF(COUNTIF(Campaigns!$A$7:$A$300,B7298)&gt;0,"✓","⚠ add to Campaigns tab"))</f>
        <v/>
      </c>
      <c r="I7298" s="84" t="str">
        <f aca="false">IF(C7298="","",C7298*IF(Settings!$B$22=Settings!$C$6,1,IF(Settings!$B$22="USD",1/INDEX(Settings!$B$29:$B$40,MONTH(A7298)),INDEX(Settings!$B$29:$B$40,MONTH(A7298)))))</f>
        <v/>
      </c>
    </row>
    <row r="7299" customFormat="false" ht="15" hidden="false" customHeight="false" outlineLevel="0" collapsed="false">
      <c r="H7299" s="0" t="str">
        <f aca="false">IF(B7299="","",IF(COUNTIF(Campaigns!$A$7:$A$300,B7299)&gt;0,"✓","⚠ add to Campaigns tab"))</f>
        <v/>
      </c>
      <c r="I7299" s="84" t="str">
        <f aca="false">IF(C7299="","",C7299*IF(Settings!$B$22=Settings!$C$6,1,IF(Settings!$B$22="USD",1/INDEX(Settings!$B$29:$B$40,MONTH(A7299)),INDEX(Settings!$B$29:$B$40,MONTH(A7299)))))</f>
        <v/>
      </c>
    </row>
    <row r="7300" customFormat="false" ht="15" hidden="false" customHeight="false" outlineLevel="0" collapsed="false">
      <c r="H7300" s="0" t="str">
        <f aca="false">IF(B7300="","",IF(COUNTIF(Campaigns!$A$7:$A$300,B7300)&gt;0,"✓","⚠ add to Campaigns tab"))</f>
        <v/>
      </c>
      <c r="I7300" s="84" t="str">
        <f aca="false">IF(C7300="","",C7300*IF(Settings!$B$22=Settings!$C$6,1,IF(Settings!$B$22="USD",1/INDEX(Settings!$B$29:$B$40,MONTH(A7300)),INDEX(Settings!$B$29:$B$40,MONTH(A7300)))))</f>
        <v/>
      </c>
    </row>
    <row r="7301" customFormat="false" ht="15" hidden="false" customHeight="false" outlineLevel="0" collapsed="false">
      <c r="H7301" s="0" t="str">
        <f aca="false">IF(B7301="","",IF(COUNTIF(Campaigns!$A$7:$A$300,B7301)&gt;0,"✓","⚠ add to Campaigns tab"))</f>
        <v/>
      </c>
      <c r="I7301" s="84" t="str">
        <f aca="false">IF(C7301="","",C7301*IF(Settings!$B$22=Settings!$C$6,1,IF(Settings!$B$22="USD",1/INDEX(Settings!$B$29:$B$40,MONTH(A7301)),INDEX(Settings!$B$29:$B$40,MONTH(A7301)))))</f>
        <v/>
      </c>
    </row>
    <row r="7302" customFormat="false" ht="15" hidden="false" customHeight="false" outlineLevel="0" collapsed="false">
      <c r="H7302" s="0" t="str">
        <f aca="false">IF(B7302="","",IF(COUNTIF(Campaigns!$A$7:$A$300,B7302)&gt;0,"✓","⚠ add to Campaigns tab"))</f>
        <v/>
      </c>
      <c r="I7302" s="84" t="str">
        <f aca="false">IF(C7302="","",C7302*IF(Settings!$B$22=Settings!$C$6,1,IF(Settings!$B$22="USD",1/INDEX(Settings!$B$29:$B$40,MONTH(A7302)),INDEX(Settings!$B$29:$B$40,MONTH(A7302)))))</f>
        <v/>
      </c>
    </row>
    <row r="7303" customFormat="false" ht="15" hidden="false" customHeight="false" outlineLevel="0" collapsed="false">
      <c r="H7303" s="0" t="str">
        <f aca="false">IF(B7303="","",IF(COUNTIF(Campaigns!$A$7:$A$300,B7303)&gt;0,"✓","⚠ add to Campaigns tab"))</f>
        <v/>
      </c>
      <c r="I7303" s="84" t="str">
        <f aca="false">IF(C7303="","",C7303*IF(Settings!$B$22=Settings!$C$6,1,IF(Settings!$B$22="USD",1/INDEX(Settings!$B$29:$B$40,MONTH(A7303)),INDEX(Settings!$B$29:$B$40,MONTH(A7303)))))</f>
        <v/>
      </c>
    </row>
    <row r="7304" customFormat="false" ht="15" hidden="false" customHeight="false" outlineLevel="0" collapsed="false">
      <c r="H7304" s="0" t="str">
        <f aca="false">IF(B7304="","",IF(COUNTIF(Campaigns!$A$7:$A$300,B7304)&gt;0,"✓","⚠ add to Campaigns tab"))</f>
        <v/>
      </c>
      <c r="I7304" s="84" t="str">
        <f aca="false">IF(C7304="","",C7304*IF(Settings!$B$22=Settings!$C$6,1,IF(Settings!$B$22="USD",1/INDEX(Settings!$B$29:$B$40,MONTH(A7304)),INDEX(Settings!$B$29:$B$40,MONTH(A7304)))))</f>
        <v/>
      </c>
    </row>
    <row r="7305" customFormat="false" ht="15" hidden="false" customHeight="false" outlineLevel="0" collapsed="false">
      <c r="H7305" s="0" t="str">
        <f aca="false">IF(B7305="","",IF(COUNTIF(Campaigns!$A$7:$A$300,B7305)&gt;0,"✓","⚠ add to Campaigns tab"))</f>
        <v/>
      </c>
      <c r="I7305" s="84" t="str">
        <f aca="false">IF(C7305="","",C7305*IF(Settings!$B$22=Settings!$C$6,1,IF(Settings!$B$22="USD",1/INDEX(Settings!$B$29:$B$40,MONTH(A7305)),INDEX(Settings!$B$29:$B$40,MONTH(A7305)))))</f>
        <v/>
      </c>
    </row>
    <row r="7306" customFormat="false" ht="15" hidden="false" customHeight="false" outlineLevel="0" collapsed="false">
      <c r="H7306" s="0" t="str">
        <f aca="false">IF(B7306="","",IF(COUNTIF(Campaigns!$A$7:$A$300,B7306)&gt;0,"✓","⚠ add to Campaigns tab"))</f>
        <v/>
      </c>
      <c r="I7306" s="84" t="str">
        <f aca="false">IF(C7306="","",C7306*IF(Settings!$B$22=Settings!$C$6,1,IF(Settings!$B$22="USD",1/INDEX(Settings!$B$29:$B$40,MONTH(A7306)),INDEX(Settings!$B$29:$B$40,MONTH(A7306)))))</f>
        <v/>
      </c>
    </row>
    <row r="7307" customFormat="false" ht="15" hidden="false" customHeight="false" outlineLevel="0" collapsed="false">
      <c r="H7307" s="0" t="str">
        <f aca="false">IF(B7307="","",IF(COUNTIF(Campaigns!$A$7:$A$300,B7307)&gt;0,"✓","⚠ add to Campaigns tab"))</f>
        <v/>
      </c>
      <c r="I7307" s="84" t="str">
        <f aca="false">IF(C7307="","",C7307*IF(Settings!$B$22=Settings!$C$6,1,IF(Settings!$B$22="USD",1/INDEX(Settings!$B$29:$B$40,MONTH(A7307)),INDEX(Settings!$B$29:$B$40,MONTH(A7307)))))</f>
        <v/>
      </c>
    </row>
    <row r="7308" customFormat="false" ht="15" hidden="false" customHeight="false" outlineLevel="0" collapsed="false">
      <c r="H7308" s="0" t="str">
        <f aca="false">IF(B7308="","",IF(COUNTIF(Campaigns!$A$7:$A$300,B7308)&gt;0,"✓","⚠ add to Campaigns tab"))</f>
        <v/>
      </c>
      <c r="I7308" s="84" t="str">
        <f aca="false">IF(C7308="","",C7308*IF(Settings!$B$22=Settings!$C$6,1,IF(Settings!$B$22="USD",1/INDEX(Settings!$B$29:$B$40,MONTH(A7308)),INDEX(Settings!$B$29:$B$40,MONTH(A7308)))))</f>
        <v/>
      </c>
    </row>
    <row r="7309" customFormat="false" ht="15" hidden="false" customHeight="false" outlineLevel="0" collapsed="false">
      <c r="H7309" s="0" t="str">
        <f aca="false">IF(B7309="","",IF(COUNTIF(Campaigns!$A$7:$A$300,B7309)&gt;0,"✓","⚠ add to Campaigns tab"))</f>
        <v/>
      </c>
      <c r="I7309" s="84" t="str">
        <f aca="false">IF(C7309="","",C7309*IF(Settings!$B$22=Settings!$C$6,1,IF(Settings!$B$22="USD",1/INDEX(Settings!$B$29:$B$40,MONTH(A7309)),INDEX(Settings!$B$29:$B$40,MONTH(A7309)))))</f>
        <v/>
      </c>
    </row>
    <row r="7310" customFormat="false" ht="15" hidden="false" customHeight="false" outlineLevel="0" collapsed="false">
      <c r="H7310" s="0" t="str">
        <f aca="false">IF(B7310="","",IF(COUNTIF(Campaigns!$A$7:$A$300,B7310)&gt;0,"✓","⚠ add to Campaigns tab"))</f>
        <v/>
      </c>
      <c r="I7310" s="84" t="str">
        <f aca="false">IF(C7310="","",C7310*IF(Settings!$B$22=Settings!$C$6,1,IF(Settings!$B$22="USD",1/INDEX(Settings!$B$29:$B$40,MONTH(A7310)),INDEX(Settings!$B$29:$B$40,MONTH(A7310)))))</f>
        <v/>
      </c>
    </row>
    <row r="7311" customFormat="false" ht="15" hidden="false" customHeight="false" outlineLevel="0" collapsed="false">
      <c r="H7311" s="0" t="str">
        <f aca="false">IF(B7311="","",IF(COUNTIF(Campaigns!$A$7:$A$300,B7311)&gt;0,"✓","⚠ add to Campaigns tab"))</f>
        <v/>
      </c>
      <c r="I7311" s="84" t="str">
        <f aca="false">IF(C7311="","",C7311*IF(Settings!$B$22=Settings!$C$6,1,IF(Settings!$B$22="USD",1/INDEX(Settings!$B$29:$B$40,MONTH(A7311)),INDEX(Settings!$B$29:$B$40,MONTH(A7311)))))</f>
        <v/>
      </c>
    </row>
    <row r="7312" customFormat="false" ht="15" hidden="false" customHeight="false" outlineLevel="0" collapsed="false">
      <c r="H7312" s="0" t="str">
        <f aca="false">IF(B7312="","",IF(COUNTIF(Campaigns!$A$7:$A$300,B7312)&gt;0,"✓","⚠ add to Campaigns tab"))</f>
        <v/>
      </c>
      <c r="I7312" s="84" t="str">
        <f aca="false">IF(C7312="","",C7312*IF(Settings!$B$22=Settings!$C$6,1,IF(Settings!$B$22="USD",1/INDEX(Settings!$B$29:$B$40,MONTH(A7312)),INDEX(Settings!$B$29:$B$40,MONTH(A7312)))))</f>
        <v/>
      </c>
    </row>
    <row r="7313" customFormat="false" ht="15" hidden="false" customHeight="false" outlineLevel="0" collapsed="false">
      <c r="H7313" s="0" t="str">
        <f aca="false">IF(B7313="","",IF(COUNTIF(Campaigns!$A$7:$A$300,B7313)&gt;0,"✓","⚠ add to Campaigns tab"))</f>
        <v/>
      </c>
      <c r="I7313" s="84" t="str">
        <f aca="false">IF(C7313="","",C7313*IF(Settings!$B$22=Settings!$C$6,1,IF(Settings!$B$22="USD",1/INDEX(Settings!$B$29:$B$40,MONTH(A7313)),INDEX(Settings!$B$29:$B$40,MONTH(A7313)))))</f>
        <v/>
      </c>
    </row>
    <row r="7314" customFormat="false" ht="15" hidden="false" customHeight="false" outlineLevel="0" collapsed="false">
      <c r="H7314" s="0" t="str">
        <f aca="false">IF(B7314="","",IF(COUNTIF(Campaigns!$A$7:$A$300,B7314)&gt;0,"✓","⚠ add to Campaigns tab"))</f>
        <v/>
      </c>
      <c r="I7314" s="84" t="str">
        <f aca="false">IF(C7314="","",C7314*IF(Settings!$B$22=Settings!$C$6,1,IF(Settings!$B$22="USD",1/INDEX(Settings!$B$29:$B$40,MONTH(A7314)),INDEX(Settings!$B$29:$B$40,MONTH(A7314)))))</f>
        <v/>
      </c>
    </row>
    <row r="7315" customFormat="false" ht="15" hidden="false" customHeight="false" outlineLevel="0" collapsed="false">
      <c r="H7315" s="0" t="str">
        <f aca="false">IF(B7315="","",IF(COUNTIF(Campaigns!$A$7:$A$300,B7315)&gt;0,"✓","⚠ add to Campaigns tab"))</f>
        <v/>
      </c>
      <c r="I7315" s="84" t="str">
        <f aca="false">IF(C7315="","",C7315*IF(Settings!$B$22=Settings!$C$6,1,IF(Settings!$B$22="USD",1/INDEX(Settings!$B$29:$B$40,MONTH(A7315)),INDEX(Settings!$B$29:$B$40,MONTH(A7315)))))</f>
        <v/>
      </c>
    </row>
    <row r="7316" customFormat="false" ht="15" hidden="false" customHeight="false" outlineLevel="0" collapsed="false">
      <c r="H7316" s="0" t="str">
        <f aca="false">IF(B7316="","",IF(COUNTIF(Campaigns!$A$7:$A$300,B7316)&gt;0,"✓","⚠ add to Campaigns tab"))</f>
        <v/>
      </c>
      <c r="I7316" s="84" t="str">
        <f aca="false">IF(C7316="","",C7316*IF(Settings!$B$22=Settings!$C$6,1,IF(Settings!$B$22="USD",1/INDEX(Settings!$B$29:$B$40,MONTH(A7316)),INDEX(Settings!$B$29:$B$40,MONTH(A7316)))))</f>
        <v/>
      </c>
    </row>
    <row r="7317" customFormat="false" ht="15" hidden="false" customHeight="false" outlineLevel="0" collapsed="false">
      <c r="H7317" s="0" t="str">
        <f aca="false">IF(B7317="","",IF(COUNTIF(Campaigns!$A$7:$A$300,B7317)&gt;0,"✓","⚠ add to Campaigns tab"))</f>
        <v/>
      </c>
      <c r="I7317" s="84" t="str">
        <f aca="false">IF(C7317="","",C7317*IF(Settings!$B$22=Settings!$C$6,1,IF(Settings!$B$22="USD",1/INDEX(Settings!$B$29:$B$40,MONTH(A7317)),INDEX(Settings!$B$29:$B$40,MONTH(A7317)))))</f>
        <v/>
      </c>
    </row>
    <row r="7318" customFormat="false" ht="15" hidden="false" customHeight="false" outlineLevel="0" collapsed="false">
      <c r="H7318" s="0" t="str">
        <f aca="false">IF(B7318="","",IF(COUNTIF(Campaigns!$A$7:$A$300,B7318)&gt;0,"✓","⚠ add to Campaigns tab"))</f>
        <v/>
      </c>
      <c r="I7318" s="84" t="str">
        <f aca="false">IF(C7318="","",C7318*IF(Settings!$B$22=Settings!$C$6,1,IF(Settings!$B$22="USD",1/INDEX(Settings!$B$29:$B$40,MONTH(A7318)),INDEX(Settings!$B$29:$B$40,MONTH(A7318)))))</f>
        <v/>
      </c>
    </row>
    <row r="7319" customFormat="false" ht="15" hidden="false" customHeight="false" outlineLevel="0" collapsed="false">
      <c r="H7319" s="0" t="str">
        <f aca="false">IF(B7319="","",IF(COUNTIF(Campaigns!$A$7:$A$300,B7319)&gt;0,"✓","⚠ add to Campaigns tab"))</f>
        <v/>
      </c>
      <c r="I7319" s="84" t="str">
        <f aca="false">IF(C7319="","",C7319*IF(Settings!$B$22=Settings!$C$6,1,IF(Settings!$B$22="USD",1/INDEX(Settings!$B$29:$B$40,MONTH(A7319)),INDEX(Settings!$B$29:$B$40,MONTH(A7319)))))</f>
        <v/>
      </c>
    </row>
    <row r="7320" customFormat="false" ht="15" hidden="false" customHeight="false" outlineLevel="0" collapsed="false">
      <c r="H7320" s="0" t="str">
        <f aca="false">IF(B7320="","",IF(COUNTIF(Campaigns!$A$7:$A$300,B7320)&gt;0,"✓","⚠ add to Campaigns tab"))</f>
        <v/>
      </c>
      <c r="I7320" s="84" t="str">
        <f aca="false">IF(C7320="","",C7320*IF(Settings!$B$22=Settings!$C$6,1,IF(Settings!$B$22="USD",1/INDEX(Settings!$B$29:$B$40,MONTH(A7320)),INDEX(Settings!$B$29:$B$40,MONTH(A7320)))))</f>
        <v/>
      </c>
    </row>
    <row r="7321" customFormat="false" ht="15" hidden="false" customHeight="false" outlineLevel="0" collapsed="false">
      <c r="H7321" s="0" t="str">
        <f aca="false">IF(B7321="","",IF(COUNTIF(Campaigns!$A$7:$A$300,B7321)&gt;0,"✓","⚠ add to Campaigns tab"))</f>
        <v/>
      </c>
      <c r="I7321" s="84" t="str">
        <f aca="false">IF(C7321="","",C7321*IF(Settings!$B$22=Settings!$C$6,1,IF(Settings!$B$22="USD",1/INDEX(Settings!$B$29:$B$40,MONTH(A7321)),INDEX(Settings!$B$29:$B$40,MONTH(A7321)))))</f>
        <v/>
      </c>
    </row>
    <row r="7322" customFormat="false" ht="15" hidden="false" customHeight="false" outlineLevel="0" collapsed="false">
      <c r="H7322" s="0" t="str">
        <f aca="false">IF(B7322="","",IF(COUNTIF(Campaigns!$A$7:$A$300,B7322)&gt;0,"✓","⚠ add to Campaigns tab"))</f>
        <v/>
      </c>
      <c r="I7322" s="84" t="str">
        <f aca="false">IF(C7322="","",C7322*IF(Settings!$B$22=Settings!$C$6,1,IF(Settings!$B$22="USD",1/INDEX(Settings!$B$29:$B$40,MONTH(A7322)),INDEX(Settings!$B$29:$B$40,MONTH(A7322)))))</f>
        <v/>
      </c>
    </row>
    <row r="7323" customFormat="false" ht="15" hidden="false" customHeight="false" outlineLevel="0" collapsed="false">
      <c r="H7323" s="0" t="str">
        <f aca="false">IF(B7323="","",IF(COUNTIF(Campaigns!$A$7:$A$300,B7323)&gt;0,"✓","⚠ add to Campaigns tab"))</f>
        <v/>
      </c>
      <c r="I7323" s="84" t="str">
        <f aca="false">IF(C7323="","",C7323*IF(Settings!$B$22=Settings!$C$6,1,IF(Settings!$B$22="USD",1/INDEX(Settings!$B$29:$B$40,MONTH(A7323)),INDEX(Settings!$B$29:$B$40,MONTH(A7323)))))</f>
        <v/>
      </c>
    </row>
    <row r="7324" customFormat="false" ht="15" hidden="false" customHeight="false" outlineLevel="0" collapsed="false">
      <c r="H7324" s="0" t="str">
        <f aca="false">IF(B7324="","",IF(COUNTIF(Campaigns!$A$7:$A$300,B7324)&gt;0,"✓","⚠ add to Campaigns tab"))</f>
        <v/>
      </c>
      <c r="I7324" s="84" t="str">
        <f aca="false">IF(C7324="","",C7324*IF(Settings!$B$22=Settings!$C$6,1,IF(Settings!$B$22="USD",1/INDEX(Settings!$B$29:$B$40,MONTH(A7324)),INDEX(Settings!$B$29:$B$40,MONTH(A7324)))))</f>
        <v/>
      </c>
    </row>
    <row r="7325" customFormat="false" ht="15" hidden="false" customHeight="false" outlineLevel="0" collapsed="false">
      <c r="H7325" s="0" t="str">
        <f aca="false">IF(B7325="","",IF(COUNTIF(Campaigns!$A$7:$A$300,B7325)&gt;0,"✓","⚠ add to Campaigns tab"))</f>
        <v/>
      </c>
      <c r="I7325" s="84" t="str">
        <f aca="false">IF(C7325="","",C7325*IF(Settings!$B$22=Settings!$C$6,1,IF(Settings!$B$22="USD",1/INDEX(Settings!$B$29:$B$40,MONTH(A7325)),INDEX(Settings!$B$29:$B$40,MONTH(A7325)))))</f>
        <v/>
      </c>
    </row>
    <row r="7326" customFormat="false" ht="15" hidden="false" customHeight="false" outlineLevel="0" collapsed="false">
      <c r="H7326" s="0" t="str">
        <f aca="false">IF(B7326="","",IF(COUNTIF(Campaigns!$A$7:$A$300,B7326)&gt;0,"✓","⚠ add to Campaigns tab"))</f>
        <v/>
      </c>
      <c r="I7326" s="84" t="str">
        <f aca="false">IF(C7326="","",C7326*IF(Settings!$B$22=Settings!$C$6,1,IF(Settings!$B$22="USD",1/INDEX(Settings!$B$29:$B$40,MONTH(A7326)),INDEX(Settings!$B$29:$B$40,MONTH(A7326)))))</f>
        <v/>
      </c>
    </row>
    <row r="7327" customFormat="false" ht="15" hidden="false" customHeight="false" outlineLevel="0" collapsed="false">
      <c r="H7327" s="0" t="str">
        <f aca="false">IF(B7327="","",IF(COUNTIF(Campaigns!$A$7:$A$300,B7327)&gt;0,"✓","⚠ add to Campaigns tab"))</f>
        <v/>
      </c>
      <c r="I7327" s="84" t="str">
        <f aca="false">IF(C7327="","",C7327*IF(Settings!$B$22=Settings!$C$6,1,IF(Settings!$B$22="USD",1/INDEX(Settings!$B$29:$B$40,MONTH(A7327)),INDEX(Settings!$B$29:$B$40,MONTH(A7327)))))</f>
        <v/>
      </c>
    </row>
    <row r="7328" customFormat="false" ht="15" hidden="false" customHeight="false" outlineLevel="0" collapsed="false">
      <c r="H7328" s="0" t="str">
        <f aca="false">IF(B7328="","",IF(COUNTIF(Campaigns!$A$7:$A$300,B7328)&gt;0,"✓","⚠ add to Campaigns tab"))</f>
        <v/>
      </c>
      <c r="I7328" s="84" t="str">
        <f aca="false">IF(C7328="","",C7328*IF(Settings!$B$22=Settings!$C$6,1,IF(Settings!$B$22="USD",1/INDEX(Settings!$B$29:$B$40,MONTH(A7328)),INDEX(Settings!$B$29:$B$40,MONTH(A7328)))))</f>
        <v/>
      </c>
    </row>
    <row r="7329" customFormat="false" ht="15" hidden="false" customHeight="false" outlineLevel="0" collapsed="false">
      <c r="H7329" s="0" t="str">
        <f aca="false">IF(B7329="","",IF(COUNTIF(Campaigns!$A$7:$A$300,B7329)&gt;0,"✓","⚠ add to Campaigns tab"))</f>
        <v/>
      </c>
      <c r="I7329" s="84" t="str">
        <f aca="false">IF(C7329="","",C7329*IF(Settings!$B$22=Settings!$C$6,1,IF(Settings!$B$22="USD",1/INDEX(Settings!$B$29:$B$40,MONTH(A7329)),INDEX(Settings!$B$29:$B$40,MONTH(A7329)))))</f>
        <v/>
      </c>
    </row>
    <row r="7330" customFormat="false" ht="15" hidden="false" customHeight="false" outlineLevel="0" collapsed="false">
      <c r="H7330" s="0" t="str">
        <f aca="false">IF(B7330="","",IF(COUNTIF(Campaigns!$A$7:$A$300,B7330)&gt;0,"✓","⚠ add to Campaigns tab"))</f>
        <v/>
      </c>
      <c r="I7330" s="84" t="str">
        <f aca="false">IF(C7330="","",C7330*IF(Settings!$B$22=Settings!$C$6,1,IF(Settings!$B$22="USD",1/INDEX(Settings!$B$29:$B$40,MONTH(A7330)),INDEX(Settings!$B$29:$B$40,MONTH(A7330)))))</f>
        <v/>
      </c>
    </row>
    <row r="7331" customFormat="false" ht="15" hidden="false" customHeight="false" outlineLevel="0" collapsed="false">
      <c r="H7331" s="0" t="str">
        <f aca="false">IF(B7331="","",IF(COUNTIF(Campaigns!$A$7:$A$300,B7331)&gt;0,"✓","⚠ add to Campaigns tab"))</f>
        <v/>
      </c>
      <c r="I7331" s="84" t="str">
        <f aca="false">IF(C7331="","",C7331*IF(Settings!$B$22=Settings!$C$6,1,IF(Settings!$B$22="USD",1/INDEX(Settings!$B$29:$B$40,MONTH(A7331)),INDEX(Settings!$B$29:$B$40,MONTH(A7331)))))</f>
        <v/>
      </c>
    </row>
    <row r="7332" customFormat="false" ht="15" hidden="false" customHeight="false" outlineLevel="0" collapsed="false">
      <c r="H7332" s="0" t="str">
        <f aca="false">IF(B7332="","",IF(COUNTIF(Campaigns!$A$7:$A$300,B7332)&gt;0,"✓","⚠ add to Campaigns tab"))</f>
        <v/>
      </c>
      <c r="I7332" s="84" t="str">
        <f aca="false">IF(C7332="","",C7332*IF(Settings!$B$22=Settings!$C$6,1,IF(Settings!$B$22="USD",1/INDEX(Settings!$B$29:$B$40,MONTH(A7332)),INDEX(Settings!$B$29:$B$40,MONTH(A7332)))))</f>
        <v/>
      </c>
    </row>
    <row r="7333" customFormat="false" ht="15" hidden="false" customHeight="false" outlineLevel="0" collapsed="false">
      <c r="H7333" s="0" t="str">
        <f aca="false">IF(B7333="","",IF(COUNTIF(Campaigns!$A$7:$A$300,B7333)&gt;0,"✓","⚠ add to Campaigns tab"))</f>
        <v/>
      </c>
      <c r="I7333" s="84" t="str">
        <f aca="false">IF(C7333="","",C7333*IF(Settings!$B$22=Settings!$C$6,1,IF(Settings!$B$22="USD",1/INDEX(Settings!$B$29:$B$40,MONTH(A7333)),INDEX(Settings!$B$29:$B$40,MONTH(A7333)))))</f>
        <v/>
      </c>
    </row>
    <row r="7334" customFormat="false" ht="15" hidden="false" customHeight="false" outlineLevel="0" collapsed="false">
      <c r="H7334" s="0" t="str">
        <f aca="false">IF(B7334="","",IF(COUNTIF(Campaigns!$A$7:$A$300,B7334)&gt;0,"✓","⚠ add to Campaigns tab"))</f>
        <v/>
      </c>
      <c r="I7334" s="84" t="str">
        <f aca="false">IF(C7334="","",C7334*IF(Settings!$B$22=Settings!$C$6,1,IF(Settings!$B$22="USD",1/INDEX(Settings!$B$29:$B$40,MONTH(A7334)),INDEX(Settings!$B$29:$B$40,MONTH(A7334)))))</f>
        <v/>
      </c>
    </row>
    <row r="7335" customFormat="false" ht="15" hidden="false" customHeight="false" outlineLevel="0" collapsed="false">
      <c r="H7335" s="0" t="str">
        <f aca="false">IF(B7335="","",IF(COUNTIF(Campaigns!$A$7:$A$300,B7335)&gt;0,"✓","⚠ add to Campaigns tab"))</f>
        <v/>
      </c>
      <c r="I7335" s="84" t="str">
        <f aca="false">IF(C7335="","",C7335*IF(Settings!$B$22=Settings!$C$6,1,IF(Settings!$B$22="USD",1/INDEX(Settings!$B$29:$B$40,MONTH(A7335)),INDEX(Settings!$B$29:$B$40,MONTH(A7335)))))</f>
        <v/>
      </c>
    </row>
    <row r="7336" customFormat="false" ht="15" hidden="false" customHeight="false" outlineLevel="0" collapsed="false">
      <c r="H7336" s="0" t="str">
        <f aca="false">IF(B7336="","",IF(COUNTIF(Campaigns!$A$7:$A$300,B7336)&gt;0,"✓","⚠ add to Campaigns tab"))</f>
        <v/>
      </c>
      <c r="I7336" s="84" t="str">
        <f aca="false">IF(C7336="","",C7336*IF(Settings!$B$22=Settings!$C$6,1,IF(Settings!$B$22="USD",1/INDEX(Settings!$B$29:$B$40,MONTH(A7336)),INDEX(Settings!$B$29:$B$40,MONTH(A7336)))))</f>
        <v/>
      </c>
    </row>
    <row r="7337" customFormat="false" ht="15" hidden="false" customHeight="false" outlineLevel="0" collapsed="false">
      <c r="H7337" s="0" t="str">
        <f aca="false">IF(B7337="","",IF(COUNTIF(Campaigns!$A$7:$A$300,B7337)&gt;0,"✓","⚠ add to Campaigns tab"))</f>
        <v/>
      </c>
      <c r="I7337" s="84" t="str">
        <f aca="false">IF(C7337="","",C7337*IF(Settings!$B$22=Settings!$C$6,1,IF(Settings!$B$22="USD",1/INDEX(Settings!$B$29:$B$40,MONTH(A7337)),INDEX(Settings!$B$29:$B$40,MONTH(A7337)))))</f>
        <v/>
      </c>
    </row>
    <row r="7338" customFormat="false" ht="15" hidden="false" customHeight="false" outlineLevel="0" collapsed="false">
      <c r="H7338" s="0" t="str">
        <f aca="false">IF(B7338="","",IF(COUNTIF(Campaigns!$A$7:$A$300,B7338)&gt;0,"✓","⚠ add to Campaigns tab"))</f>
        <v/>
      </c>
      <c r="I7338" s="84" t="str">
        <f aca="false">IF(C7338="","",C7338*IF(Settings!$B$22=Settings!$C$6,1,IF(Settings!$B$22="USD",1/INDEX(Settings!$B$29:$B$40,MONTH(A7338)),INDEX(Settings!$B$29:$B$40,MONTH(A7338)))))</f>
        <v/>
      </c>
    </row>
    <row r="7339" customFormat="false" ht="15" hidden="false" customHeight="false" outlineLevel="0" collapsed="false">
      <c r="H7339" s="0" t="str">
        <f aca="false">IF(B7339="","",IF(COUNTIF(Campaigns!$A$7:$A$300,B7339)&gt;0,"✓","⚠ add to Campaigns tab"))</f>
        <v/>
      </c>
      <c r="I7339" s="84" t="str">
        <f aca="false">IF(C7339="","",C7339*IF(Settings!$B$22=Settings!$C$6,1,IF(Settings!$B$22="USD",1/INDEX(Settings!$B$29:$B$40,MONTH(A7339)),INDEX(Settings!$B$29:$B$40,MONTH(A7339)))))</f>
        <v/>
      </c>
    </row>
    <row r="7340" customFormat="false" ht="15" hidden="false" customHeight="false" outlineLevel="0" collapsed="false">
      <c r="H7340" s="0" t="str">
        <f aca="false">IF(B7340="","",IF(COUNTIF(Campaigns!$A$7:$A$300,B7340)&gt;0,"✓","⚠ add to Campaigns tab"))</f>
        <v/>
      </c>
      <c r="I7340" s="84" t="str">
        <f aca="false">IF(C7340="","",C7340*IF(Settings!$B$22=Settings!$C$6,1,IF(Settings!$B$22="USD",1/INDEX(Settings!$B$29:$B$40,MONTH(A7340)),INDEX(Settings!$B$29:$B$40,MONTH(A7340)))))</f>
        <v/>
      </c>
    </row>
    <row r="7341" customFormat="false" ht="15" hidden="false" customHeight="false" outlineLevel="0" collapsed="false">
      <c r="H7341" s="0" t="str">
        <f aca="false">IF(B7341="","",IF(COUNTIF(Campaigns!$A$7:$A$300,B7341)&gt;0,"✓","⚠ add to Campaigns tab"))</f>
        <v/>
      </c>
      <c r="I7341" s="84" t="str">
        <f aca="false">IF(C7341="","",C7341*IF(Settings!$B$22=Settings!$C$6,1,IF(Settings!$B$22="USD",1/INDEX(Settings!$B$29:$B$40,MONTH(A7341)),INDEX(Settings!$B$29:$B$40,MONTH(A7341)))))</f>
        <v/>
      </c>
    </row>
    <row r="7342" customFormat="false" ht="15" hidden="false" customHeight="false" outlineLevel="0" collapsed="false">
      <c r="H7342" s="0" t="str">
        <f aca="false">IF(B7342="","",IF(COUNTIF(Campaigns!$A$7:$A$300,B7342)&gt;0,"✓","⚠ add to Campaigns tab"))</f>
        <v/>
      </c>
      <c r="I7342" s="84" t="str">
        <f aca="false">IF(C7342="","",C7342*IF(Settings!$B$22=Settings!$C$6,1,IF(Settings!$B$22="USD",1/INDEX(Settings!$B$29:$B$40,MONTH(A7342)),INDEX(Settings!$B$29:$B$40,MONTH(A7342)))))</f>
        <v/>
      </c>
    </row>
    <row r="7343" customFormat="false" ht="15" hidden="false" customHeight="false" outlineLevel="0" collapsed="false">
      <c r="H7343" s="0" t="str">
        <f aca="false">IF(B7343="","",IF(COUNTIF(Campaigns!$A$7:$A$300,B7343)&gt;0,"✓","⚠ add to Campaigns tab"))</f>
        <v/>
      </c>
      <c r="I7343" s="84" t="str">
        <f aca="false">IF(C7343="","",C7343*IF(Settings!$B$22=Settings!$C$6,1,IF(Settings!$B$22="USD",1/INDEX(Settings!$B$29:$B$40,MONTH(A7343)),INDEX(Settings!$B$29:$B$40,MONTH(A7343)))))</f>
        <v/>
      </c>
    </row>
    <row r="7344" customFormat="false" ht="15" hidden="false" customHeight="false" outlineLevel="0" collapsed="false">
      <c r="H7344" s="0" t="str">
        <f aca="false">IF(B7344="","",IF(COUNTIF(Campaigns!$A$7:$A$300,B7344)&gt;0,"✓","⚠ add to Campaigns tab"))</f>
        <v/>
      </c>
      <c r="I7344" s="84" t="str">
        <f aca="false">IF(C7344="","",C7344*IF(Settings!$B$22=Settings!$C$6,1,IF(Settings!$B$22="USD",1/INDEX(Settings!$B$29:$B$40,MONTH(A7344)),INDEX(Settings!$B$29:$B$40,MONTH(A7344)))))</f>
        <v/>
      </c>
    </row>
    <row r="7345" customFormat="false" ht="15" hidden="false" customHeight="false" outlineLevel="0" collapsed="false">
      <c r="H7345" s="0" t="str">
        <f aca="false">IF(B7345="","",IF(COUNTIF(Campaigns!$A$7:$A$300,B7345)&gt;0,"✓","⚠ add to Campaigns tab"))</f>
        <v/>
      </c>
      <c r="I7345" s="84" t="str">
        <f aca="false">IF(C7345="","",C7345*IF(Settings!$B$22=Settings!$C$6,1,IF(Settings!$B$22="USD",1/INDEX(Settings!$B$29:$B$40,MONTH(A7345)),INDEX(Settings!$B$29:$B$40,MONTH(A7345)))))</f>
        <v/>
      </c>
    </row>
    <row r="7346" customFormat="false" ht="15" hidden="false" customHeight="false" outlineLevel="0" collapsed="false">
      <c r="H7346" s="0" t="str">
        <f aca="false">IF(B7346="","",IF(COUNTIF(Campaigns!$A$7:$A$300,B7346)&gt;0,"✓","⚠ add to Campaigns tab"))</f>
        <v/>
      </c>
      <c r="I7346" s="84" t="str">
        <f aca="false">IF(C7346="","",C7346*IF(Settings!$B$22=Settings!$C$6,1,IF(Settings!$B$22="USD",1/INDEX(Settings!$B$29:$B$40,MONTH(A7346)),INDEX(Settings!$B$29:$B$40,MONTH(A7346)))))</f>
        <v/>
      </c>
    </row>
    <row r="7347" customFormat="false" ht="15" hidden="false" customHeight="false" outlineLevel="0" collapsed="false">
      <c r="H7347" s="0" t="str">
        <f aca="false">IF(B7347="","",IF(COUNTIF(Campaigns!$A$7:$A$300,B7347)&gt;0,"✓","⚠ add to Campaigns tab"))</f>
        <v/>
      </c>
      <c r="I7347" s="84" t="str">
        <f aca="false">IF(C7347="","",C7347*IF(Settings!$B$22=Settings!$C$6,1,IF(Settings!$B$22="USD",1/INDEX(Settings!$B$29:$B$40,MONTH(A7347)),INDEX(Settings!$B$29:$B$40,MONTH(A7347)))))</f>
        <v/>
      </c>
    </row>
    <row r="7348" customFormat="false" ht="15" hidden="false" customHeight="false" outlineLevel="0" collapsed="false">
      <c r="H7348" s="0" t="str">
        <f aca="false">IF(B7348="","",IF(COUNTIF(Campaigns!$A$7:$A$300,B7348)&gt;0,"✓","⚠ add to Campaigns tab"))</f>
        <v/>
      </c>
      <c r="I7348" s="84" t="str">
        <f aca="false">IF(C7348="","",C7348*IF(Settings!$B$22=Settings!$C$6,1,IF(Settings!$B$22="USD",1/INDEX(Settings!$B$29:$B$40,MONTH(A7348)),INDEX(Settings!$B$29:$B$40,MONTH(A7348)))))</f>
        <v/>
      </c>
    </row>
    <row r="7349" customFormat="false" ht="15" hidden="false" customHeight="false" outlineLevel="0" collapsed="false">
      <c r="H7349" s="0" t="str">
        <f aca="false">IF(B7349="","",IF(COUNTIF(Campaigns!$A$7:$A$300,B7349)&gt;0,"✓","⚠ add to Campaigns tab"))</f>
        <v/>
      </c>
      <c r="I7349" s="84" t="str">
        <f aca="false">IF(C7349="","",C7349*IF(Settings!$B$22=Settings!$C$6,1,IF(Settings!$B$22="USD",1/INDEX(Settings!$B$29:$B$40,MONTH(A7349)),INDEX(Settings!$B$29:$B$40,MONTH(A7349)))))</f>
        <v/>
      </c>
    </row>
    <row r="7350" customFormat="false" ht="15" hidden="false" customHeight="false" outlineLevel="0" collapsed="false">
      <c r="H7350" s="0" t="str">
        <f aca="false">IF(B7350="","",IF(COUNTIF(Campaigns!$A$7:$A$300,B7350)&gt;0,"✓","⚠ add to Campaigns tab"))</f>
        <v/>
      </c>
      <c r="I7350" s="84" t="str">
        <f aca="false">IF(C7350="","",C7350*IF(Settings!$B$22=Settings!$C$6,1,IF(Settings!$B$22="USD",1/INDEX(Settings!$B$29:$B$40,MONTH(A7350)),INDEX(Settings!$B$29:$B$40,MONTH(A7350)))))</f>
        <v/>
      </c>
    </row>
    <row r="7351" customFormat="false" ht="15" hidden="false" customHeight="false" outlineLevel="0" collapsed="false">
      <c r="H7351" s="0" t="str">
        <f aca="false">IF(B7351="","",IF(COUNTIF(Campaigns!$A$7:$A$300,B7351)&gt;0,"✓","⚠ add to Campaigns tab"))</f>
        <v/>
      </c>
      <c r="I7351" s="84" t="str">
        <f aca="false">IF(C7351="","",C7351*IF(Settings!$B$22=Settings!$C$6,1,IF(Settings!$B$22="USD",1/INDEX(Settings!$B$29:$B$40,MONTH(A7351)),INDEX(Settings!$B$29:$B$40,MONTH(A7351)))))</f>
        <v/>
      </c>
    </row>
    <row r="7352" customFormat="false" ht="15" hidden="false" customHeight="false" outlineLevel="0" collapsed="false">
      <c r="H7352" s="0" t="str">
        <f aca="false">IF(B7352="","",IF(COUNTIF(Campaigns!$A$7:$A$300,B7352)&gt;0,"✓","⚠ add to Campaigns tab"))</f>
        <v/>
      </c>
      <c r="I7352" s="84" t="str">
        <f aca="false">IF(C7352="","",C7352*IF(Settings!$B$22=Settings!$C$6,1,IF(Settings!$B$22="USD",1/INDEX(Settings!$B$29:$B$40,MONTH(A7352)),INDEX(Settings!$B$29:$B$40,MONTH(A7352)))))</f>
        <v/>
      </c>
    </row>
    <row r="7353" customFormat="false" ht="15" hidden="false" customHeight="false" outlineLevel="0" collapsed="false">
      <c r="H7353" s="0" t="str">
        <f aca="false">IF(B7353="","",IF(COUNTIF(Campaigns!$A$7:$A$300,B7353)&gt;0,"✓","⚠ add to Campaigns tab"))</f>
        <v/>
      </c>
      <c r="I7353" s="84" t="str">
        <f aca="false">IF(C7353="","",C7353*IF(Settings!$B$22=Settings!$C$6,1,IF(Settings!$B$22="USD",1/INDEX(Settings!$B$29:$B$40,MONTH(A7353)),INDEX(Settings!$B$29:$B$40,MONTH(A7353)))))</f>
        <v/>
      </c>
    </row>
    <row r="7354" customFormat="false" ht="15" hidden="false" customHeight="false" outlineLevel="0" collapsed="false">
      <c r="H7354" s="0" t="str">
        <f aca="false">IF(B7354="","",IF(COUNTIF(Campaigns!$A$7:$A$300,B7354)&gt;0,"✓","⚠ add to Campaigns tab"))</f>
        <v/>
      </c>
      <c r="I7354" s="84" t="str">
        <f aca="false">IF(C7354="","",C7354*IF(Settings!$B$22=Settings!$C$6,1,IF(Settings!$B$22="USD",1/INDEX(Settings!$B$29:$B$40,MONTH(A7354)),INDEX(Settings!$B$29:$B$40,MONTH(A7354)))))</f>
        <v/>
      </c>
    </row>
    <row r="7355" customFormat="false" ht="15" hidden="false" customHeight="false" outlineLevel="0" collapsed="false">
      <c r="H7355" s="0" t="str">
        <f aca="false">IF(B7355="","",IF(COUNTIF(Campaigns!$A$7:$A$300,B7355)&gt;0,"✓","⚠ add to Campaigns tab"))</f>
        <v/>
      </c>
      <c r="I7355" s="84" t="str">
        <f aca="false">IF(C7355="","",C7355*IF(Settings!$B$22=Settings!$C$6,1,IF(Settings!$B$22="USD",1/INDEX(Settings!$B$29:$B$40,MONTH(A7355)),INDEX(Settings!$B$29:$B$40,MONTH(A7355)))))</f>
        <v/>
      </c>
    </row>
    <row r="7356" customFormat="false" ht="15" hidden="false" customHeight="false" outlineLevel="0" collapsed="false">
      <c r="H7356" s="0" t="str">
        <f aca="false">IF(B7356="","",IF(COUNTIF(Campaigns!$A$7:$A$300,B7356)&gt;0,"✓","⚠ add to Campaigns tab"))</f>
        <v/>
      </c>
      <c r="I7356" s="84" t="str">
        <f aca="false">IF(C7356="","",C7356*IF(Settings!$B$22=Settings!$C$6,1,IF(Settings!$B$22="USD",1/INDEX(Settings!$B$29:$B$40,MONTH(A7356)),INDEX(Settings!$B$29:$B$40,MONTH(A7356)))))</f>
        <v/>
      </c>
    </row>
    <row r="7357" customFormat="false" ht="15" hidden="false" customHeight="false" outlineLevel="0" collapsed="false">
      <c r="H7357" s="0" t="str">
        <f aca="false">IF(B7357="","",IF(COUNTIF(Campaigns!$A$7:$A$300,B7357)&gt;0,"✓","⚠ add to Campaigns tab"))</f>
        <v/>
      </c>
      <c r="I7357" s="84" t="str">
        <f aca="false">IF(C7357="","",C7357*IF(Settings!$B$22=Settings!$C$6,1,IF(Settings!$B$22="USD",1/INDEX(Settings!$B$29:$B$40,MONTH(A7357)),INDEX(Settings!$B$29:$B$40,MONTH(A7357)))))</f>
        <v/>
      </c>
    </row>
    <row r="7358" customFormat="false" ht="15" hidden="false" customHeight="false" outlineLevel="0" collapsed="false">
      <c r="H7358" s="0" t="str">
        <f aca="false">IF(B7358="","",IF(COUNTIF(Campaigns!$A$7:$A$300,B7358)&gt;0,"✓","⚠ add to Campaigns tab"))</f>
        <v/>
      </c>
      <c r="I7358" s="84" t="str">
        <f aca="false">IF(C7358="","",C7358*IF(Settings!$B$22=Settings!$C$6,1,IF(Settings!$B$22="USD",1/INDEX(Settings!$B$29:$B$40,MONTH(A7358)),INDEX(Settings!$B$29:$B$40,MONTH(A7358)))))</f>
        <v/>
      </c>
    </row>
    <row r="7359" customFormat="false" ht="15" hidden="false" customHeight="false" outlineLevel="0" collapsed="false">
      <c r="H7359" s="0" t="str">
        <f aca="false">IF(B7359="","",IF(COUNTIF(Campaigns!$A$7:$A$300,B7359)&gt;0,"✓","⚠ add to Campaigns tab"))</f>
        <v/>
      </c>
      <c r="I7359" s="84" t="str">
        <f aca="false">IF(C7359="","",C7359*IF(Settings!$B$22=Settings!$C$6,1,IF(Settings!$B$22="USD",1/INDEX(Settings!$B$29:$B$40,MONTH(A7359)),INDEX(Settings!$B$29:$B$40,MONTH(A7359)))))</f>
        <v/>
      </c>
    </row>
    <row r="7360" customFormat="false" ht="15" hidden="false" customHeight="false" outlineLevel="0" collapsed="false">
      <c r="H7360" s="0" t="str">
        <f aca="false">IF(B7360="","",IF(COUNTIF(Campaigns!$A$7:$A$300,B7360)&gt;0,"✓","⚠ add to Campaigns tab"))</f>
        <v/>
      </c>
      <c r="I7360" s="84" t="str">
        <f aca="false">IF(C7360="","",C7360*IF(Settings!$B$22=Settings!$C$6,1,IF(Settings!$B$22="USD",1/INDEX(Settings!$B$29:$B$40,MONTH(A7360)),INDEX(Settings!$B$29:$B$40,MONTH(A7360)))))</f>
        <v/>
      </c>
    </row>
    <row r="7361" customFormat="false" ht="15" hidden="false" customHeight="false" outlineLevel="0" collapsed="false">
      <c r="H7361" s="0" t="str">
        <f aca="false">IF(B7361="","",IF(COUNTIF(Campaigns!$A$7:$A$300,B7361)&gt;0,"✓","⚠ add to Campaigns tab"))</f>
        <v/>
      </c>
      <c r="I7361" s="84" t="str">
        <f aca="false">IF(C7361="","",C7361*IF(Settings!$B$22=Settings!$C$6,1,IF(Settings!$B$22="USD",1/INDEX(Settings!$B$29:$B$40,MONTH(A7361)),INDEX(Settings!$B$29:$B$40,MONTH(A7361)))))</f>
        <v/>
      </c>
    </row>
    <row r="7362" customFormat="false" ht="15" hidden="false" customHeight="false" outlineLevel="0" collapsed="false">
      <c r="H7362" s="0" t="str">
        <f aca="false">IF(B7362="","",IF(COUNTIF(Campaigns!$A$7:$A$300,B7362)&gt;0,"✓","⚠ add to Campaigns tab"))</f>
        <v/>
      </c>
      <c r="I7362" s="84" t="str">
        <f aca="false">IF(C7362="","",C7362*IF(Settings!$B$22=Settings!$C$6,1,IF(Settings!$B$22="USD",1/INDEX(Settings!$B$29:$B$40,MONTH(A7362)),INDEX(Settings!$B$29:$B$40,MONTH(A7362)))))</f>
        <v/>
      </c>
    </row>
    <row r="7363" customFormat="false" ht="15" hidden="false" customHeight="false" outlineLevel="0" collapsed="false">
      <c r="H7363" s="0" t="str">
        <f aca="false">IF(B7363="","",IF(COUNTIF(Campaigns!$A$7:$A$300,B7363)&gt;0,"✓","⚠ add to Campaigns tab"))</f>
        <v/>
      </c>
      <c r="I7363" s="84" t="str">
        <f aca="false">IF(C7363="","",C7363*IF(Settings!$B$22=Settings!$C$6,1,IF(Settings!$B$22="USD",1/INDEX(Settings!$B$29:$B$40,MONTH(A7363)),INDEX(Settings!$B$29:$B$40,MONTH(A7363)))))</f>
        <v/>
      </c>
    </row>
    <row r="7364" customFormat="false" ht="15" hidden="false" customHeight="false" outlineLevel="0" collapsed="false">
      <c r="H7364" s="0" t="str">
        <f aca="false">IF(B7364="","",IF(COUNTIF(Campaigns!$A$7:$A$300,B7364)&gt;0,"✓","⚠ add to Campaigns tab"))</f>
        <v/>
      </c>
      <c r="I7364" s="84" t="str">
        <f aca="false">IF(C7364="","",C7364*IF(Settings!$B$22=Settings!$C$6,1,IF(Settings!$B$22="USD",1/INDEX(Settings!$B$29:$B$40,MONTH(A7364)),INDEX(Settings!$B$29:$B$40,MONTH(A7364)))))</f>
        <v/>
      </c>
    </row>
    <row r="7365" customFormat="false" ht="15" hidden="false" customHeight="false" outlineLevel="0" collapsed="false">
      <c r="H7365" s="0" t="str">
        <f aca="false">IF(B7365="","",IF(COUNTIF(Campaigns!$A$7:$A$300,B7365)&gt;0,"✓","⚠ add to Campaigns tab"))</f>
        <v/>
      </c>
      <c r="I7365" s="84" t="str">
        <f aca="false">IF(C7365="","",C7365*IF(Settings!$B$22=Settings!$C$6,1,IF(Settings!$B$22="USD",1/INDEX(Settings!$B$29:$B$40,MONTH(A7365)),INDEX(Settings!$B$29:$B$40,MONTH(A7365)))))</f>
        <v/>
      </c>
    </row>
    <row r="7366" customFormat="false" ht="15" hidden="false" customHeight="false" outlineLevel="0" collapsed="false">
      <c r="H7366" s="0" t="str">
        <f aca="false">IF(B7366="","",IF(COUNTIF(Campaigns!$A$7:$A$300,B7366)&gt;0,"✓","⚠ add to Campaigns tab"))</f>
        <v/>
      </c>
      <c r="I7366" s="84" t="str">
        <f aca="false">IF(C7366="","",C7366*IF(Settings!$B$22=Settings!$C$6,1,IF(Settings!$B$22="USD",1/INDEX(Settings!$B$29:$B$40,MONTH(A7366)),INDEX(Settings!$B$29:$B$40,MONTH(A7366)))))</f>
        <v/>
      </c>
    </row>
    <row r="7367" customFormat="false" ht="15" hidden="false" customHeight="false" outlineLevel="0" collapsed="false">
      <c r="H7367" s="0" t="str">
        <f aca="false">IF(B7367="","",IF(COUNTIF(Campaigns!$A$7:$A$300,B7367)&gt;0,"✓","⚠ add to Campaigns tab"))</f>
        <v/>
      </c>
      <c r="I7367" s="84" t="str">
        <f aca="false">IF(C7367="","",C7367*IF(Settings!$B$22=Settings!$C$6,1,IF(Settings!$B$22="USD",1/INDEX(Settings!$B$29:$B$40,MONTH(A7367)),INDEX(Settings!$B$29:$B$40,MONTH(A7367)))))</f>
        <v/>
      </c>
    </row>
    <row r="7368" customFormat="false" ht="15" hidden="false" customHeight="false" outlineLevel="0" collapsed="false">
      <c r="H7368" s="0" t="str">
        <f aca="false">IF(B7368="","",IF(COUNTIF(Campaigns!$A$7:$A$300,B7368)&gt;0,"✓","⚠ add to Campaigns tab"))</f>
        <v/>
      </c>
      <c r="I7368" s="84" t="str">
        <f aca="false">IF(C7368="","",C7368*IF(Settings!$B$22=Settings!$C$6,1,IF(Settings!$B$22="USD",1/INDEX(Settings!$B$29:$B$40,MONTH(A7368)),INDEX(Settings!$B$29:$B$40,MONTH(A7368)))))</f>
        <v/>
      </c>
    </row>
    <row r="7369" customFormat="false" ht="15" hidden="false" customHeight="false" outlineLevel="0" collapsed="false">
      <c r="H7369" s="0" t="str">
        <f aca="false">IF(B7369="","",IF(COUNTIF(Campaigns!$A$7:$A$300,B7369)&gt;0,"✓","⚠ add to Campaigns tab"))</f>
        <v/>
      </c>
      <c r="I7369" s="84" t="str">
        <f aca="false">IF(C7369="","",C7369*IF(Settings!$B$22=Settings!$C$6,1,IF(Settings!$B$22="USD",1/INDEX(Settings!$B$29:$B$40,MONTH(A7369)),INDEX(Settings!$B$29:$B$40,MONTH(A7369)))))</f>
        <v/>
      </c>
    </row>
    <row r="7370" customFormat="false" ht="15" hidden="false" customHeight="false" outlineLevel="0" collapsed="false">
      <c r="H7370" s="0" t="str">
        <f aca="false">IF(B7370="","",IF(COUNTIF(Campaigns!$A$7:$A$300,B7370)&gt;0,"✓","⚠ add to Campaigns tab"))</f>
        <v/>
      </c>
      <c r="I7370" s="84" t="str">
        <f aca="false">IF(C7370="","",C7370*IF(Settings!$B$22=Settings!$C$6,1,IF(Settings!$B$22="USD",1/INDEX(Settings!$B$29:$B$40,MONTH(A7370)),INDEX(Settings!$B$29:$B$40,MONTH(A7370)))))</f>
        <v/>
      </c>
    </row>
    <row r="7371" customFormat="false" ht="15" hidden="false" customHeight="false" outlineLevel="0" collapsed="false">
      <c r="H7371" s="0" t="str">
        <f aca="false">IF(B7371="","",IF(COUNTIF(Campaigns!$A$7:$A$300,B7371)&gt;0,"✓","⚠ add to Campaigns tab"))</f>
        <v/>
      </c>
      <c r="I7371" s="84" t="str">
        <f aca="false">IF(C7371="","",C7371*IF(Settings!$B$22=Settings!$C$6,1,IF(Settings!$B$22="USD",1/INDEX(Settings!$B$29:$B$40,MONTH(A7371)),INDEX(Settings!$B$29:$B$40,MONTH(A7371)))))</f>
        <v/>
      </c>
    </row>
    <row r="7372" customFormat="false" ht="15" hidden="false" customHeight="false" outlineLevel="0" collapsed="false">
      <c r="H7372" s="0" t="str">
        <f aca="false">IF(B7372="","",IF(COUNTIF(Campaigns!$A$7:$A$300,B7372)&gt;0,"✓","⚠ add to Campaigns tab"))</f>
        <v/>
      </c>
      <c r="I7372" s="84" t="str">
        <f aca="false">IF(C7372="","",C7372*IF(Settings!$B$22=Settings!$C$6,1,IF(Settings!$B$22="USD",1/INDEX(Settings!$B$29:$B$40,MONTH(A7372)),INDEX(Settings!$B$29:$B$40,MONTH(A7372)))))</f>
        <v/>
      </c>
    </row>
    <row r="7373" customFormat="false" ht="15" hidden="false" customHeight="false" outlineLevel="0" collapsed="false">
      <c r="H7373" s="0" t="str">
        <f aca="false">IF(B7373="","",IF(COUNTIF(Campaigns!$A$7:$A$300,B7373)&gt;0,"✓","⚠ add to Campaigns tab"))</f>
        <v/>
      </c>
      <c r="I7373" s="84" t="str">
        <f aca="false">IF(C7373="","",C7373*IF(Settings!$B$22=Settings!$C$6,1,IF(Settings!$B$22="USD",1/INDEX(Settings!$B$29:$B$40,MONTH(A7373)),INDEX(Settings!$B$29:$B$40,MONTH(A7373)))))</f>
        <v/>
      </c>
    </row>
    <row r="7374" customFormat="false" ht="15" hidden="false" customHeight="false" outlineLevel="0" collapsed="false">
      <c r="H7374" s="0" t="str">
        <f aca="false">IF(B7374="","",IF(COUNTIF(Campaigns!$A$7:$A$300,B7374)&gt;0,"✓","⚠ add to Campaigns tab"))</f>
        <v/>
      </c>
      <c r="I7374" s="84" t="str">
        <f aca="false">IF(C7374="","",C7374*IF(Settings!$B$22=Settings!$C$6,1,IF(Settings!$B$22="USD",1/INDEX(Settings!$B$29:$B$40,MONTH(A7374)),INDEX(Settings!$B$29:$B$40,MONTH(A7374)))))</f>
        <v/>
      </c>
    </row>
    <row r="7375" customFormat="false" ht="15" hidden="false" customHeight="false" outlineLevel="0" collapsed="false">
      <c r="H7375" s="0" t="str">
        <f aca="false">IF(B7375="","",IF(COUNTIF(Campaigns!$A$7:$A$300,B7375)&gt;0,"✓","⚠ add to Campaigns tab"))</f>
        <v/>
      </c>
      <c r="I7375" s="84" t="str">
        <f aca="false">IF(C7375="","",C7375*IF(Settings!$B$22=Settings!$C$6,1,IF(Settings!$B$22="USD",1/INDEX(Settings!$B$29:$B$40,MONTH(A7375)),INDEX(Settings!$B$29:$B$40,MONTH(A7375)))))</f>
        <v/>
      </c>
    </row>
    <row r="7376" customFormat="false" ht="15" hidden="false" customHeight="false" outlineLevel="0" collapsed="false">
      <c r="H7376" s="0" t="str">
        <f aca="false">IF(B7376="","",IF(COUNTIF(Campaigns!$A$7:$A$300,B7376)&gt;0,"✓","⚠ add to Campaigns tab"))</f>
        <v/>
      </c>
      <c r="I7376" s="84" t="str">
        <f aca="false">IF(C7376="","",C7376*IF(Settings!$B$22=Settings!$C$6,1,IF(Settings!$B$22="USD",1/INDEX(Settings!$B$29:$B$40,MONTH(A7376)),INDEX(Settings!$B$29:$B$40,MONTH(A7376)))))</f>
        <v/>
      </c>
    </row>
    <row r="7377" customFormat="false" ht="15" hidden="false" customHeight="false" outlineLevel="0" collapsed="false">
      <c r="H7377" s="0" t="str">
        <f aca="false">IF(B7377="","",IF(COUNTIF(Campaigns!$A$7:$A$300,B7377)&gt;0,"✓","⚠ add to Campaigns tab"))</f>
        <v/>
      </c>
      <c r="I7377" s="84" t="str">
        <f aca="false">IF(C7377="","",C7377*IF(Settings!$B$22=Settings!$C$6,1,IF(Settings!$B$22="USD",1/INDEX(Settings!$B$29:$B$40,MONTH(A7377)),INDEX(Settings!$B$29:$B$40,MONTH(A7377)))))</f>
        <v/>
      </c>
    </row>
    <row r="7378" customFormat="false" ht="15" hidden="false" customHeight="false" outlineLevel="0" collapsed="false">
      <c r="H7378" s="0" t="str">
        <f aca="false">IF(B7378="","",IF(COUNTIF(Campaigns!$A$7:$A$300,B7378)&gt;0,"✓","⚠ add to Campaigns tab"))</f>
        <v/>
      </c>
      <c r="I7378" s="84" t="str">
        <f aca="false">IF(C7378="","",C7378*IF(Settings!$B$22=Settings!$C$6,1,IF(Settings!$B$22="USD",1/INDEX(Settings!$B$29:$B$40,MONTH(A7378)),INDEX(Settings!$B$29:$B$40,MONTH(A7378)))))</f>
        <v/>
      </c>
    </row>
    <row r="7379" customFormat="false" ht="15" hidden="false" customHeight="false" outlineLevel="0" collapsed="false">
      <c r="H7379" s="0" t="str">
        <f aca="false">IF(B7379="","",IF(COUNTIF(Campaigns!$A$7:$A$300,B7379)&gt;0,"✓","⚠ add to Campaigns tab"))</f>
        <v/>
      </c>
      <c r="I7379" s="84" t="str">
        <f aca="false">IF(C7379="","",C7379*IF(Settings!$B$22=Settings!$C$6,1,IF(Settings!$B$22="USD",1/INDEX(Settings!$B$29:$B$40,MONTH(A7379)),INDEX(Settings!$B$29:$B$40,MONTH(A7379)))))</f>
        <v/>
      </c>
    </row>
    <row r="7380" customFormat="false" ht="15" hidden="false" customHeight="false" outlineLevel="0" collapsed="false">
      <c r="H7380" s="0" t="str">
        <f aca="false">IF(B7380="","",IF(COUNTIF(Campaigns!$A$7:$A$300,B7380)&gt;0,"✓","⚠ add to Campaigns tab"))</f>
        <v/>
      </c>
      <c r="I7380" s="84" t="str">
        <f aca="false">IF(C7380="","",C7380*IF(Settings!$B$22=Settings!$C$6,1,IF(Settings!$B$22="USD",1/INDEX(Settings!$B$29:$B$40,MONTH(A7380)),INDEX(Settings!$B$29:$B$40,MONTH(A7380)))))</f>
        <v/>
      </c>
    </row>
    <row r="7381" customFormat="false" ht="15" hidden="false" customHeight="false" outlineLevel="0" collapsed="false">
      <c r="H7381" s="0" t="str">
        <f aca="false">IF(B7381="","",IF(COUNTIF(Campaigns!$A$7:$A$300,B7381)&gt;0,"✓","⚠ add to Campaigns tab"))</f>
        <v/>
      </c>
      <c r="I7381" s="84" t="str">
        <f aca="false">IF(C7381="","",C7381*IF(Settings!$B$22=Settings!$C$6,1,IF(Settings!$B$22="USD",1/INDEX(Settings!$B$29:$B$40,MONTH(A7381)),INDEX(Settings!$B$29:$B$40,MONTH(A7381)))))</f>
        <v/>
      </c>
    </row>
    <row r="7382" customFormat="false" ht="15" hidden="false" customHeight="false" outlineLevel="0" collapsed="false">
      <c r="H7382" s="0" t="str">
        <f aca="false">IF(B7382="","",IF(COUNTIF(Campaigns!$A$7:$A$300,B7382)&gt;0,"✓","⚠ add to Campaigns tab"))</f>
        <v/>
      </c>
      <c r="I7382" s="84" t="str">
        <f aca="false">IF(C7382="","",C7382*IF(Settings!$B$22=Settings!$C$6,1,IF(Settings!$B$22="USD",1/INDEX(Settings!$B$29:$B$40,MONTH(A7382)),INDEX(Settings!$B$29:$B$40,MONTH(A7382)))))</f>
        <v/>
      </c>
    </row>
    <row r="7383" customFormat="false" ht="15" hidden="false" customHeight="false" outlineLevel="0" collapsed="false">
      <c r="H7383" s="0" t="str">
        <f aca="false">IF(B7383="","",IF(COUNTIF(Campaigns!$A$7:$A$300,B7383)&gt;0,"✓","⚠ add to Campaigns tab"))</f>
        <v/>
      </c>
      <c r="I7383" s="84" t="str">
        <f aca="false">IF(C7383="","",C7383*IF(Settings!$B$22=Settings!$C$6,1,IF(Settings!$B$22="USD",1/INDEX(Settings!$B$29:$B$40,MONTH(A7383)),INDEX(Settings!$B$29:$B$40,MONTH(A7383)))))</f>
        <v/>
      </c>
    </row>
    <row r="7384" customFormat="false" ht="15" hidden="false" customHeight="false" outlineLevel="0" collapsed="false">
      <c r="H7384" s="0" t="str">
        <f aca="false">IF(B7384="","",IF(COUNTIF(Campaigns!$A$7:$A$300,B7384)&gt;0,"✓","⚠ add to Campaigns tab"))</f>
        <v/>
      </c>
      <c r="I7384" s="84" t="str">
        <f aca="false">IF(C7384="","",C7384*IF(Settings!$B$22=Settings!$C$6,1,IF(Settings!$B$22="USD",1/INDEX(Settings!$B$29:$B$40,MONTH(A7384)),INDEX(Settings!$B$29:$B$40,MONTH(A7384)))))</f>
        <v/>
      </c>
    </row>
    <row r="7385" customFormat="false" ht="15" hidden="false" customHeight="false" outlineLevel="0" collapsed="false">
      <c r="H7385" s="0" t="str">
        <f aca="false">IF(B7385="","",IF(COUNTIF(Campaigns!$A$7:$A$300,B7385)&gt;0,"✓","⚠ add to Campaigns tab"))</f>
        <v/>
      </c>
      <c r="I7385" s="84" t="str">
        <f aca="false">IF(C7385="","",C7385*IF(Settings!$B$22=Settings!$C$6,1,IF(Settings!$B$22="USD",1/INDEX(Settings!$B$29:$B$40,MONTH(A7385)),INDEX(Settings!$B$29:$B$40,MONTH(A7385)))))</f>
        <v/>
      </c>
    </row>
    <row r="7386" customFormat="false" ht="15" hidden="false" customHeight="false" outlineLevel="0" collapsed="false">
      <c r="H7386" s="0" t="str">
        <f aca="false">IF(B7386="","",IF(COUNTIF(Campaigns!$A$7:$A$300,B7386)&gt;0,"✓","⚠ add to Campaigns tab"))</f>
        <v/>
      </c>
      <c r="I7386" s="84" t="str">
        <f aca="false">IF(C7386="","",C7386*IF(Settings!$B$22=Settings!$C$6,1,IF(Settings!$B$22="USD",1/INDEX(Settings!$B$29:$B$40,MONTH(A7386)),INDEX(Settings!$B$29:$B$40,MONTH(A7386)))))</f>
        <v/>
      </c>
    </row>
    <row r="7387" customFormat="false" ht="15" hidden="false" customHeight="false" outlineLevel="0" collapsed="false">
      <c r="H7387" s="0" t="str">
        <f aca="false">IF(B7387="","",IF(COUNTIF(Campaigns!$A$7:$A$300,B7387)&gt;0,"✓","⚠ add to Campaigns tab"))</f>
        <v/>
      </c>
      <c r="I7387" s="84" t="str">
        <f aca="false">IF(C7387="","",C7387*IF(Settings!$B$22=Settings!$C$6,1,IF(Settings!$B$22="USD",1/INDEX(Settings!$B$29:$B$40,MONTH(A7387)),INDEX(Settings!$B$29:$B$40,MONTH(A7387)))))</f>
        <v/>
      </c>
    </row>
    <row r="7388" customFormat="false" ht="15" hidden="false" customHeight="false" outlineLevel="0" collapsed="false">
      <c r="H7388" s="0" t="str">
        <f aca="false">IF(B7388="","",IF(COUNTIF(Campaigns!$A$7:$A$300,B7388)&gt;0,"✓","⚠ add to Campaigns tab"))</f>
        <v/>
      </c>
      <c r="I7388" s="84" t="str">
        <f aca="false">IF(C7388="","",C7388*IF(Settings!$B$22=Settings!$C$6,1,IF(Settings!$B$22="USD",1/INDEX(Settings!$B$29:$B$40,MONTH(A7388)),INDEX(Settings!$B$29:$B$40,MONTH(A7388)))))</f>
        <v/>
      </c>
    </row>
    <row r="7389" customFormat="false" ht="15" hidden="false" customHeight="false" outlineLevel="0" collapsed="false">
      <c r="H7389" s="0" t="str">
        <f aca="false">IF(B7389="","",IF(COUNTIF(Campaigns!$A$7:$A$300,B7389)&gt;0,"✓","⚠ add to Campaigns tab"))</f>
        <v/>
      </c>
      <c r="I7389" s="84" t="str">
        <f aca="false">IF(C7389="","",C7389*IF(Settings!$B$22=Settings!$C$6,1,IF(Settings!$B$22="USD",1/INDEX(Settings!$B$29:$B$40,MONTH(A7389)),INDEX(Settings!$B$29:$B$40,MONTH(A7389)))))</f>
        <v/>
      </c>
    </row>
    <row r="7390" customFormat="false" ht="15" hidden="false" customHeight="false" outlineLevel="0" collapsed="false">
      <c r="H7390" s="0" t="str">
        <f aca="false">IF(B7390="","",IF(COUNTIF(Campaigns!$A$7:$A$300,B7390)&gt;0,"✓","⚠ add to Campaigns tab"))</f>
        <v/>
      </c>
      <c r="I7390" s="84" t="str">
        <f aca="false">IF(C7390="","",C7390*IF(Settings!$B$22=Settings!$C$6,1,IF(Settings!$B$22="USD",1/INDEX(Settings!$B$29:$B$40,MONTH(A7390)),INDEX(Settings!$B$29:$B$40,MONTH(A7390)))))</f>
        <v/>
      </c>
    </row>
    <row r="7391" customFormat="false" ht="15" hidden="false" customHeight="false" outlineLevel="0" collapsed="false">
      <c r="H7391" s="0" t="str">
        <f aca="false">IF(B7391="","",IF(COUNTIF(Campaigns!$A$7:$A$300,B7391)&gt;0,"✓","⚠ add to Campaigns tab"))</f>
        <v/>
      </c>
      <c r="I7391" s="84" t="str">
        <f aca="false">IF(C7391="","",C7391*IF(Settings!$B$22=Settings!$C$6,1,IF(Settings!$B$22="USD",1/INDEX(Settings!$B$29:$B$40,MONTH(A7391)),INDEX(Settings!$B$29:$B$40,MONTH(A7391)))))</f>
        <v/>
      </c>
    </row>
    <row r="7392" customFormat="false" ht="15" hidden="false" customHeight="false" outlineLevel="0" collapsed="false">
      <c r="H7392" s="0" t="str">
        <f aca="false">IF(B7392="","",IF(COUNTIF(Campaigns!$A$7:$A$300,B7392)&gt;0,"✓","⚠ add to Campaigns tab"))</f>
        <v/>
      </c>
      <c r="I7392" s="84" t="str">
        <f aca="false">IF(C7392="","",C7392*IF(Settings!$B$22=Settings!$C$6,1,IF(Settings!$B$22="USD",1/INDEX(Settings!$B$29:$B$40,MONTH(A7392)),INDEX(Settings!$B$29:$B$40,MONTH(A7392)))))</f>
        <v/>
      </c>
    </row>
    <row r="7393" customFormat="false" ht="15" hidden="false" customHeight="false" outlineLevel="0" collapsed="false">
      <c r="H7393" s="0" t="str">
        <f aca="false">IF(B7393="","",IF(COUNTIF(Campaigns!$A$7:$A$300,B7393)&gt;0,"✓","⚠ add to Campaigns tab"))</f>
        <v/>
      </c>
      <c r="I7393" s="84" t="str">
        <f aca="false">IF(C7393="","",C7393*IF(Settings!$B$22=Settings!$C$6,1,IF(Settings!$B$22="USD",1/INDEX(Settings!$B$29:$B$40,MONTH(A7393)),INDEX(Settings!$B$29:$B$40,MONTH(A7393)))))</f>
        <v/>
      </c>
    </row>
    <row r="7394" customFormat="false" ht="15" hidden="false" customHeight="false" outlineLevel="0" collapsed="false">
      <c r="H7394" s="0" t="str">
        <f aca="false">IF(B7394="","",IF(COUNTIF(Campaigns!$A$7:$A$300,B7394)&gt;0,"✓","⚠ add to Campaigns tab"))</f>
        <v/>
      </c>
      <c r="I7394" s="84" t="str">
        <f aca="false">IF(C7394="","",C7394*IF(Settings!$B$22=Settings!$C$6,1,IF(Settings!$B$22="USD",1/INDEX(Settings!$B$29:$B$40,MONTH(A7394)),INDEX(Settings!$B$29:$B$40,MONTH(A7394)))))</f>
        <v/>
      </c>
    </row>
    <row r="7395" customFormat="false" ht="15" hidden="false" customHeight="false" outlineLevel="0" collapsed="false">
      <c r="H7395" s="0" t="str">
        <f aca="false">IF(B7395="","",IF(COUNTIF(Campaigns!$A$7:$A$300,B7395)&gt;0,"✓","⚠ add to Campaigns tab"))</f>
        <v/>
      </c>
      <c r="I7395" s="84" t="str">
        <f aca="false">IF(C7395="","",C7395*IF(Settings!$B$22=Settings!$C$6,1,IF(Settings!$B$22="USD",1/INDEX(Settings!$B$29:$B$40,MONTH(A7395)),INDEX(Settings!$B$29:$B$40,MONTH(A7395)))))</f>
        <v/>
      </c>
    </row>
    <row r="7396" customFormat="false" ht="15" hidden="false" customHeight="false" outlineLevel="0" collapsed="false">
      <c r="H7396" s="0" t="str">
        <f aca="false">IF(B7396="","",IF(COUNTIF(Campaigns!$A$7:$A$300,B7396)&gt;0,"✓","⚠ add to Campaigns tab"))</f>
        <v/>
      </c>
      <c r="I7396" s="84" t="str">
        <f aca="false">IF(C7396="","",C7396*IF(Settings!$B$22=Settings!$C$6,1,IF(Settings!$B$22="USD",1/INDEX(Settings!$B$29:$B$40,MONTH(A7396)),INDEX(Settings!$B$29:$B$40,MONTH(A7396)))))</f>
        <v/>
      </c>
    </row>
    <row r="7397" customFormat="false" ht="15" hidden="false" customHeight="false" outlineLevel="0" collapsed="false">
      <c r="H7397" s="0" t="str">
        <f aca="false">IF(B7397="","",IF(COUNTIF(Campaigns!$A$7:$A$300,B7397)&gt;0,"✓","⚠ add to Campaigns tab"))</f>
        <v/>
      </c>
      <c r="I7397" s="84" t="str">
        <f aca="false">IF(C7397="","",C7397*IF(Settings!$B$22=Settings!$C$6,1,IF(Settings!$B$22="USD",1/INDEX(Settings!$B$29:$B$40,MONTH(A7397)),INDEX(Settings!$B$29:$B$40,MONTH(A7397)))))</f>
        <v/>
      </c>
    </row>
    <row r="7398" customFormat="false" ht="15" hidden="false" customHeight="false" outlineLevel="0" collapsed="false">
      <c r="H7398" s="0" t="str">
        <f aca="false">IF(B7398="","",IF(COUNTIF(Campaigns!$A$7:$A$300,B7398)&gt;0,"✓","⚠ add to Campaigns tab"))</f>
        <v/>
      </c>
      <c r="I7398" s="84" t="str">
        <f aca="false">IF(C7398="","",C7398*IF(Settings!$B$22=Settings!$C$6,1,IF(Settings!$B$22="USD",1/INDEX(Settings!$B$29:$B$40,MONTH(A7398)),INDEX(Settings!$B$29:$B$40,MONTH(A7398)))))</f>
        <v/>
      </c>
    </row>
    <row r="7399" customFormat="false" ht="15" hidden="false" customHeight="false" outlineLevel="0" collapsed="false">
      <c r="H7399" s="0" t="str">
        <f aca="false">IF(B7399="","",IF(COUNTIF(Campaigns!$A$7:$A$300,B7399)&gt;0,"✓","⚠ add to Campaigns tab"))</f>
        <v/>
      </c>
      <c r="I7399" s="84" t="str">
        <f aca="false">IF(C7399="","",C7399*IF(Settings!$B$22=Settings!$C$6,1,IF(Settings!$B$22="USD",1/INDEX(Settings!$B$29:$B$40,MONTH(A7399)),INDEX(Settings!$B$29:$B$40,MONTH(A7399)))))</f>
        <v/>
      </c>
    </row>
    <row r="7400" customFormat="false" ht="15" hidden="false" customHeight="false" outlineLevel="0" collapsed="false">
      <c r="H7400" s="0" t="str">
        <f aca="false">IF(B7400="","",IF(COUNTIF(Campaigns!$A$7:$A$300,B7400)&gt;0,"✓","⚠ add to Campaigns tab"))</f>
        <v/>
      </c>
      <c r="I7400" s="84" t="str">
        <f aca="false">IF(C7400="","",C7400*IF(Settings!$B$22=Settings!$C$6,1,IF(Settings!$B$22="USD",1/INDEX(Settings!$B$29:$B$40,MONTH(A7400)),INDEX(Settings!$B$29:$B$40,MONTH(A7400)))))</f>
        <v/>
      </c>
    </row>
    <row r="7401" customFormat="false" ht="15" hidden="false" customHeight="false" outlineLevel="0" collapsed="false">
      <c r="H7401" s="0" t="str">
        <f aca="false">IF(B7401="","",IF(COUNTIF(Campaigns!$A$7:$A$300,B7401)&gt;0,"✓","⚠ add to Campaigns tab"))</f>
        <v/>
      </c>
      <c r="I7401" s="84" t="str">
        <f aca="false">IF(C7401="","",C7401*IF(Settings!$B$22=Settings!$C$6,1,IF(Settings!$B$22="USD",1/INDEX(Settings!$B$29:$B$40,MONTH(A7401)),INDEX(Settings!$B$29:$B$40,MONTH(A7401)))))</f>
        <v/>
      </c>
    </row>
    <row r="7402" customFormat="false" ht="15" hidden="false" customHeight="false" outlineLevel="0" collapsed="false">
      <c r="H7402" s="0" t="str">
        <f aca="false">IF(B7402="","",IF(COUNTIF(Campaigns!$A$7:$A$300,B7402)&gt;0,"✓","⚠ add to Campaigns tab"))</f>
        <v/>
      </c>
      <c r="I7402" s="84" t="str">
        <f aca="false">IF(C7402="","",C7402*IF(Settings!$B$22=Settings!$C$6,1,IF(Settings!$B$22="USD",1/INDEX(Settings!$B$29:$B$40,MONTH(A7402)),INDEX(Settings!$B$29:$B$40,MONTH(A7402)))))</f>
        <v/>
      </c>
    </row>
    <row r="7403" customFormat="false" ht="15" hidden="false" customHeight="false" outlineLevel="0" collapsed="false">
      <c r="H7403" s="0" t="str">
        <f aca="false">IF(B7403="","",IF(COUNTIF(Campaigns!$A$7:$A$300,B7403)&gt;0,"✓","⚠ add to Campaigns tab"))</f>
        <v/>
      </c>
      <c r="I7403" s="84" t="str">
        <f aca="false">IF(C7403="","",C7403*IF(Settings!$B$22=Settings!$C$6,1,IF(Settings!$B$22="USD",1/INDEX(Settings!$B$29:$B$40,MONTH(A7403)),INDEX(Settings!$B$29:$B$40,MONTH(A7403)))))</f>
        <v/>
      </c>
    </row>
    <row r="7404" customFormat="false" ht="15" hidden="false" customHeight="false" outlineLevel="0" collapsed="false">
      <c r="H7404" s="0" t="str">
        <f aca="false">IF(B7404="","",IF(COUNTIF(Campaigns!$A$7:$A$300,B7404)&gt;0,"✓","⚠ add to Campaigns tab"))</f>
        <v/>
      </c>
      <c r="I7404" s="84" t="str">
        <f aca="false">IF(C7404="","",C7404*IF(Settings!$B$22=Settings!$C$6,1,IF(Settings!$B$22="USD",1/INDEX(Settings!$B$29:$B$40,MONTH(A7404)),INDEX(Settings!$B$29:$B$40,MONTH(A7404)))))</f>
        <v/>
      </c>
    </row>
    <row r="7405" customFormat="false" ht="15" hidden="false" customHeight="false" outlineLevel="0" collapsed="false">
      <c r="H7405" s="0" t="str">
        <f aca="false">IF(B7405="","",IF(COUNTIF(Campaigns!$A$7:$A$300,B7405)&gt;0,"✓","⚠ add to Campaigns tab"))</f>
        <v/>
      </c>
      <c r="I7405" s="84" t="str">
        <f aca="false">IF(C7405="","",C7405*IF(Settings!$B$22=Settings!$C$6,1,IF(Settings!$B$22="USD",1/INDEX(Settings!$B$29:$B$40,MONTH(A7405)),INDEX(Settings!$B$29:$B$40,MONTH(A7405)))))</f>
        <v/>
      </c>
    </row>
    <row r="7406" customFormat="false" ht="15" hidden="false" customHeight="false" outlineLevel="0" collapsed="false">
      <c r="H7406" s="0" t="str">
        <f aca="false">IF(B7406="","",IF(COUNTIF(Campaigns!$A$7:$A$300,B7406)&gt;0,"✓","⚠ add to Campaigns tab"))</f>
        <v/>
      </c>
      <c r="I7406" s="84" t="str">
        <f aca="false">IF(C7406="","",C7406*IF(Settings!$B$22=Settings!$C$6,1,IF(Settings!$B$22="USD",1/INDEX(Settings!$B$29:$B$40,MONTH(A7406)),INDEX(Settings!$B$29:$B$40,MONTH(A7406)))))</f>
        <v/>
      </c>
    </row>
    <row r="7407" customFormat="false" ht="15" hidden="false" customHeight="false" outlineLevel="0" collapsed="false">
      <c r="H7407" s="0" t="str">
        <f aca="false">IF(B7407="","",IF(COUNTIF(Campaigns!$A$7:$A$300,B7407)&gt;0,"✓","⚠ add to Campaigns tab"))</f>
        <v/>
      </c>
      <c r="I7407" s="84" t="str">
        <f aca="false">IF(C7407="","",C7407*IF(Settings!$B$22=Settings!$C$6,1,IF(Settings!$B$22="USD",1/INDEX(Settings!$B$29:$B$40,MONTH(A7407)),INDEX(Settings!$B$29:$B$40,MONTH(A7407)))))</f>
        <v/>
      </c>
    </row>
    <row r="7408" customFormat="false" ht="15" hidden="false" customHeight="false" outlineLevel="0" collapsed="false">
      <c r="H7408" s="0" t="str">
        <f aca="false">IF(B7408="","",IF(COUNTIF(Campaigns!$A$7:$A$300,B7408)&gt;0,"✓","⚠ add to Campaigns tab"))</f>
        <v/>
      </c>
      <c r="I7408" s="84" t="str">
        <f aca="false">IF(C7408="","",C7408*IF(Settings!$B$22=Settings!$C$6,1,IF(Settings!$B$22="USD",1/INDEX(Settings!$B$29:$B$40,MONTH(A7408)),INDEX(Settings!$B$29:$B$40,MONTH(A7408)))))</f>
        <v/>
      </c>
    </row>
    <row r="7409" customFormat="false" ht="15" hidden="false" customHeight="false" outlineLevel="0" collapsed="false">
      <c r="H7409" s="0" t="str">
        <f aca="false">IF(B7409="","",IF(COUNTIF(Campaigns!$A$7:$A$300,B7409)&gt;0,"✓","⚠ add to Campaigns tab"))</f>
        <v/>
      </c>
      <c r="I7409" s="84" t="str">
        <f aca="false">IF(C7409="","",C7409*IF(Settings!$B$22=Settings!$C$6,1,IF(Settings!$B$22="USD",1/INDEX(Settings!$B$29:$B$40,MONTH(A7409)),INDEX(Settings!$B$29:$B$40,MONTH(A7409)))))</f>
        <v/>
      </c>
    </row>
    <row r="7410" customFormat="false" ht="15" hidden="false" customHeight="false" outlineLevel="0" collapsed="false">
      <c r="H7410" s="0" t="str">
        <f aca="false">IF(B7410="","",IF(COUNTIF(Campaigns!$A$7:$A$300,B7410)&gt;0,"✓","⚠ add to Campaigns tab"))</f>
        <v/>
      </c>
      <c r="I7410" s="84" t="str">
        <f aca="false">IF(C7410="","",C7410*IF(Settings!$B$22=Settings!$C$6,1,IF(Settings!$B$22="USD",1/INDEX(Settings!$B$29:$B$40,MONTH(A7410)),INDEX(Settings!$B$29:$B$40,MONTH(A7410)))))</f>
        <v/>
      </c>
    </row>
    <row r="7411" customFormat="false" ht="15" hidden="false" customHeight="false" outlineLevel="0" collapsed="false">
      <c r="H7411" s="0" t="str">
        <f aca="false">IF(B7411="","",IF(COUNTIF(Campaigns!$A$7:$A$300,B7411)&gt;0,"✓","⚠ add to Campaigns tab"))</f>
        <v/>
      </c>
      <c r="I7411" s="84" t="str">
        <f aca="false">IF(C7411="","",C7411*IF(Settings!$B$22=Settings!$C$6,1,IF(Settings!$B$22="USD",1/INDEX(Settings!$B$29:$B$40,MONTH(A7411)),INDEX(Settings!$B$29:$B$40,MONTH(A7411)))))</f>
        <v/>
      </c>
    </row>
    <row r="7412" customFormat="false" ht="15" hidden="false" customHeight="false" outlineLevel="0" collapsed="false">
      <c r="H7412" s="0" t="str">
        <f aca="false">IF(B7412="","",IF(COUNTIF(Campaigns!$A$7:$A$300,B7412)&gt;0,"✓","⚠ add to Campaigns tab"))</f>
        <v/>
      </c>
      <c r="I7412" s="84" t="str">
        <f aca="false">IF(C7412="","",C7412*IF(Settings!$B$22=Settings!$C$6,1,IF(Settings!$B$22="USD",1/INDEX(Settings!$B$29:$B$40,MONTH(A7412)),INDEX(Settings!$B$29:$B$40,MONTH(A7412)))))</f>
        <v/>
      </c>
    </row>
    <row r="7413" customFormat="false" ht="15" hidden="false" customHeight="false" outlineLevel="0" collapsed="false">
      <c r="H7413" s="0" t="str">
        <f aca="false">IF(B7413="","",IF(COUNTIF(Campaigns!$A$7:$A$300,B7413)&gt;0,"✓","⚠ add to Campaigns tab"))</f>
        <v/>
      </c>
      <c r="I7413" s="84" t="str">
        <f aca="false">IF(C7413="","",C7413*IF(Settings!$B$22=Settings!$C$6,1,IF(Settings!$B$22="USD",1/INDEX(Settings!$B$29:$B$40,MONTH(A7413)),INDEX(Settings!$B$29:$B$40,MONTH(A7413)))))</f>
        <v/>
      </c>
    </row>
    <row r="7414" customFormat="false" ht="15" hidden="false" customHeight="false" outlineLevel="0" collapsed="false">
      <c r="H7414" s="0" t="str">
        <f aca="false">IF(B7414="","",IF(COUNTIF(Campaigns!$A$7:$A$300,B7414)&gt;0,"✓","⚠ add to Campaigns tab"))</f>
        <v/>
      </c>
      <c r="I7414" s="84" t="str">
        <f aca="false">IF(C7414="","",C7414*IF(Settings!$B$22=Settings!$C$6,1,IF(Settings!$B$22="USD",1/INDEX(Settings!$B$29:$B$40,MONTH(A7414)),INDEX(Settings!$B$29:$B$40,MONTH(A7414)))))</f>
        <v/>
      </c>
    </row>
    <row r="7415" customFormat="false" ht="15" hidden="false" customHeight="false" outlineLevel="0" collapsed="false">
      <c r="H7415" s="0" t="str">
        <f aca="false">IF(B7415="","",IF(COUNTIF(Campaigns!$A$7:$A$300,B7415)&gt;0,"✓","⚠ add to Campaigns tab"))</f>
        <v/>
      </c>
      <c r="I7415" s="84" t="str">
        <f aca="false">IF(C7415="","",C7415*IF(Settings!$B$22=Settings!$C$6,1,IF(Settings!$B$22="USD",1/INDEX(Settings!$B$29:$B$40,MONTH(A7415)),INDEX(Settings!$B$29:$B$40,MONTH(A7415)))))</f>
        <v/>
      </c>
    </row>
    <row r="7416" customFormat="false" ht="15" hidden="false" customHeight="false" outlineLevel="0" collapsed="false">
      <c r="H7416" s="0" t="str">
        <f aca="false">IF(B7416="","",IF(COUNTIF(Campaigns!$A$7:$A$300,B7416)&gt;0,"✓","⚠ add to Campaigns tab"))</f>
        <v/>
      </c>
      <c r="I7416" s="84" t="str">
        <f aca="false">IF(C7416="","",C7416*IF(Settings!$B$22=Settings!$C$6,1,IF(Settings!$B$22="USD",1/INDEX(Settings!$B$29:$B$40,MONTH(A7416)),INDEX(Settings!$B$29:$B$40,MONTH(A7416)))))</f>
        <v/>
      </c>
    </row>
    <row r="7417" customFormat="false" ht="15" hidden="false" customHeight="false" outlineLevel="0" collapsed="false">
      <c r="H7417" s="0" t="str">
        <f aca="false">IF(B7417="","",IF(COUNTIF(Campaigns!$A$7:$A$300,B7417)&gt;0,"✓","⚠ add to Campaigns tab"))</f>
        <v/>
      </c>
      <c r="I7417" s="84" t="str">
        <f aca="false">IF(C7417="","",C7417*IF(Settings!$B$22=Settings!$C$6,1,IF(Settings!$B$22="USD",1/INDEX(Settings!$B$29:$B$40,MONTH(A7417)),INDEX(Settings!$B$29:$B$40,MONTH(A7417)))))</f>
        <v/>
      </c>
    </row>
    <row r="7418" customFormat="false" ht="15" hidden="false" customHeight="false" outlineLevel="0" collapsed="false">
      <c r="H7418" s="0" t="str">
        <f aca="false">IF(B7418="","",IF(COUNTIF(Campaigns!$A$7:$A$300,B7418)&gt;0,"✓","⚠ add to Campaigns tab"))</f>
        <v/>
      </c>
      <c r="I7418" s="84" t="str">
        <f aca="false">IF(C7418="","",C7418*IF(Settings!$B$22=Settings!$C$6,1,IF(Settings!$B$22="USD",1/INDEX(Settings!$B$29:$B$40,MONTH(A7418)),INDEX(Settings!$B$29:$B$40,MONTH(A7418)))))</f>
        <v/>
      </c>
    </row>
    <row r="7419" customFormat="false" ht="15" hidden="false" customHeight="false" outlineLevel="0" collapsed="false">
      <c r="H7419" s="0" t="str">
        <f aca="false">IF(B7419="","",IF(COUNTIF(Campaigns!$A$7:$A$300,B7419)&gt;0,"✓","⚠ add to Campaigns tab"))</f>
        <v/>
      </c>
      <c r="I7419" s="84" t="str">
        <f aca="false">IF(C7419="","",C7419*IF(Settings!$B$22=Settings!$C$6,1,IF(Settings!$B$22="USD",1/INDEX(Settings!$B$29:$B$40,MONTH(A7419)),INDEX(Settings!$B$29:$B$40,MONTH(A7419)))))</f>
        <v/>
      </c>
    </row>
    <row r="7420" customFormat="false" ht="15" hidden="false" customHeight="false" outlineLevel="0" collapsed="false">
      <c r="H7420" s="0" t="str">
        <f aca="false">IF(B7420="","",IF(COUNTIF(Campaigns!$A$7:$A$300,B7420)&gt;0,"✓","⚠ add to Campaigns tab"))</f>
        <v/>
      </c>
      <c r="I7420" s="84" t="str">
        <f aca="false">IF(C7420="","",C7420*IF(Settings!$B$22=Settings!$C$6,1,IF(Settings!$B$22="USD",1/INDEX(Settings!$B$29:$B$40,MONTH(A7420)),INDEX(Settings!$B$29:$B$40,MONTH(A7420)))))</f>
        <v/>
      </c>
    </row>
    <row r="7421" customFormat="false" ht="15" hidden="false" customHeight="false" outlineLevel="0" collapsed="false">
      <c r="H7421" s="0" t="str">
        <f aca="false">IF(B7421="","",IF(COUNTIF(Campaigns!$A$7:$A$300,B7421)&gt;0,"✓","⚠ add to Campaigns tab"))</f>
        <v/>
      </c>
      <c r="I7421" s="84" t="str">
        <f aca="false">IF(C7421="","",C7421*IF(Settings!$B$22=Settings!$C$6,1,IF(Settings!$B$22="USD",1/INDEX(Settings!$B$29:$B$40,MONTH(A7421)),INDEX(Settings!$B$29:$B$40,MONTH(A7421)))))</f>
        <v/>
      </c>
    </row>
    <row r="7422" customFormat="false" ht="15" hidden="false" customHeight="false" outlineLevel="0" collapsed="false">
      <c r="H7422" s="0" t="str">
        <f aca="false">IF(B7422="","",IF(COUNTIF(Campaigns!$A$7:$A$300,B7422)&gt;0,"✓","⚠ add to Campaigns tab"))</f>
        <v/>
      </c>
      <c r="I7422" s="84" t="str">
        <f aca="false">IF(C7422="","",C7422*IF(Settings!$B$22=Settings!$C$6,1,IF(Settings!$B$22="USD",1/INDEX(Settings!$B$29:$B$40,MONTH(A7422)),INDEX(Settings!$B$29:$B$40,MONTH(A7422)))))</f>
        <v/>
      </c>
    </row>
    <row r="7423" customFormat="false" ht="15" hidden="false" customHeight="false" outlineLevel="0" collapsed="false">
      <c r="H7423" s="0" t="str">
        <f aca="false">IF(B7423="","",IF(COUNTIF(Campaigns!$A$7:$A$300,B7423)&gt;0,"✓","⚠ add to Campaigns tab"))</f>
        <v/>
      </c>
      <c r="I7423" s="84" t="str">
        <f aca="false">IF(C7423="","",C7423*IF(Settings!$B$22=Settings!$C$6,1,IF(Settings!$B$22="USD",1/INDEX(Settings!$B$29:$B$40,MONTH(A7423)),INDEX(Settings!$B$29:$B$40,MONTH(A7423)))))</f>
        <v/>
      </c>
    </row>
    <row r="7424" customFormat="false" ht="15" hidden="false" customHeight="false" outlineLevel="0" collapsed="false">
      <c r="H7424" s="0" t="str">
        <f aca="false">IF(B7424="","",IF(COUNTIF(Campaigns!$A$7:$A$300,B7424)&gt;0,"✓","⚠ add to Campaigns tab"))</f>
        <v/>
      </c>
      <c r="I7424" s="84" t="str">
        <f aca="false">IF(C7424="","",C7424*IF(Settings!$B$22=Settings!$C$6,1,IF(Settings!$B$22="USD",1/INDEX(Settings!$B$29:$B$40,MONTH(A7424)),INDEX(Settings!$B$29:$B$40,MONTH(A7424)))))</f>
        <v/>
      </c>
    </row>
    <row r="7425" customFormat="false" ht="15" hidden="false" customHeight="false" outlineLevel="0" collapsed="false">
      <c r="H7425" s="0" t="str">
        <f aca="false">IF(B7425="","",IF(COUNTIF(Campaigns!$A$7:$A$300,B7425)&gt;0,"✓","⚠ add to Campaigns tab"))</f>
        <v/>
      </c>
      <c r="I7425" s="84" t="str">
        <f aca="false">IF(C7425="","",C7425*IF(Settings!$B$22=Settings!$C$6,1,IF(Settings!$B$22="USD",1/INDEX(Settings!$B$29:$B$40,MONTH(A7425)),INDEX(Settings!$B$29:$B$40,MONTH(A7425)))))</f>
        <v/>
      </c>
    </row>
    <row r="7426" customFormat="false" ht="15" hidden="false" customHeight="false" outlineLevel="0" collapsed="false">
      <c r="H7426" s="0" t="str">
        <f aca="false">IF(B7426="","",IF(COUNTIF(Campaigns!$A$7:$A$300,B7426)&gt;0,"✓","⚠ add to Campaigns tab"))</f>
        <v/>
      </c>
      <c r="I7426" s="84" t="str">
        <f aca="false">IF(C7426="","",C7426*IF(Settings!$B$22=Settings!$C$6,1,IF(Settings!$B$22="USD",1/INDEX(Settings!$B$29:$B$40,MONTH(A7426)),INDEX(Settings!$B$29:$B$40,MONTH(A7426)))))</f>
        <v/>
      </c>
    </row>
    <row r="7427" customFormat="false" ht="15" hidden="false" customHeight="false" outlineLevel="0" collapsed="false">
      <c r="H7427" s="0" t="str">
        <f aca="false">IF(B7427="","",IF(COUNTIF(Campaigns!$A$7:$A$300,B7427)&gt;0,"✓","⚠ add to Campaigns tab"))</f>
        <v/>
      </c>
      <c r="I7427" s="84" t="str">
        <f aca="false">IF(C7427="","",C7427*IF(Settings!$B$22=Settings!$C$6,1,IF(Settings!$B$22="USD",1/INDEX(Settings!$B$29:$B$40,MONTH(A7427)),INDEX(Settings!$B$29:$B$40,MONTH(A7427)))))</f>
        <v/>
      </c>
    </row>
    <row r="7428" customFormat="false" ht="15" hidden="false" customHeight="false" outlineLevel="0" collapsed="false">
      <c r="H7428" s="0" t="str">
        <f aca="false">IF(B7428="","",IF(COUNTIF(Campaigns!$A$7:$A$300,B7428)&gt;0,"✓","⚠ add to Campaigns tab"))</f>
        <v/>
      </c>
      <c r="I7428" s="84" t="str">
        <f aca="false">IF(C7428="","",C7428*IF(Settings!$B$22=Settings!$C$6,1,IF(Settings!$B$22="USD",1/INDEX(Settings!$B$29:$B$40,MONTH(A7428)),INDEX(Settings!$B$29:$B$40,MONTH(A7428)))))</f>
        <v/>
      </c>
    </row>
    <row r="7429" customFormat="false" ht="15" hidden="false" customHeight="false" outlineLevel="0" collapsed="false">
      <c r="H7429" s="0" t="str">
        <f aca="false">IF(B7429="","",IF(COUNTIF(Campaigns!$A$7:$A$300,B7429)&gt;0,"✓","⚠ add to Campaigns tab"))</f>
        <v/>
      </c>
      <c r="I7429" s="84" t="str">
        <f aca="false">IF(C7429="","",C7429*IF(Settings!$B$22=Settings!$C$6,1,IF(Settings!$B$22="USD",1/INDEX(Settings!$B$29:$B$40,MONTH(A7429)),INDEX(Settings!$B$29:$B$40,MONTH(A7429)))))</f>
        <v/>
      </c>
    </row>
    <row r="7430" customFormat="false" ht="15" hidden="false" customHeight="false" outlineLevel="0" collapsed="false">
      <c r="H7430" s="0" t="str">
        <f aca="false">IF(B7430="","",IF(COUNTIF(Campaigns!$A$7:$A$300,B7430)&gt;0,"✓","⚠ add to Campaigns tab"))</f>
        <v/>
      </c>
      <c r="I7430" s="84" t="str">
        <f aca="false">IF(C7430="","",C7430*IF(Settings!$B$22=Settings!$C$6,1,IF(Settings!$B$22="USD",1/INDEX(Settings!$B$29:$B$40,MONTH(A7430)),INDEX(Settings!$B$29:$B$40,MONTH(A7430)))))</f>
        <v/>
      </c>
    </row>
    <row r="7431" customFormat="false" ht="15" hidden="false" customHeight="false" outlineLevel="0" collapsed="false">
      <c r="H7431" s="0" t="str">
        <f aca="false">IF(B7431="","",IF(COUNTIF(Campaigns!$A$7:$A$300,B7431)&gt;0,"✓","⚠ add to Campaigns tab"))</f>
        <v/>
      </c>
      <c r="I7431" s="84" t="str">
        <f aca="false">IF(C7431="","",C7431*IF(Settings!$B$22=Settings!$C$6,1,IF(Settings!$B$22="USD",1/INDEX(Settings!$B$29:$B$40,MONTH(A7431)),INDEX(Settings!$B$29:$B$40,MONTH(A7431)))))</f>
        <v/>
      </c>
    </row>
    <row r="7432" customFormat="false" ht="15" hidden="false" customHeight="false" outlineLevel="0" collapsed="false">
      <c r="H7432" s="0" t="str">
        <f aca="false">IF(B7432="","",IF(COUNTIF(Campaigns!$A$7:$A$300,B7432)&gt;0,"✓","⚠ add to Campaigns tab"))</f>
        <v/>
      </c>
      <c r="I7432" s="84" t="str">
        <f aca="false">IF(C7432="","",C7432*IF(Settings!$B$22=Settings!$C$6,1,IF(Settings!$B$22="USD",1/INDEX(Settings!$B$29:$B$40,MONTH(A7432)),INDEX(Settings!$B$29:$B$40,MONTH(A7432)))))</f>
        <v/>
      </c>
    </row>
    <row r="7433" customFormat="false" ht="15" hidden="false" customHeight="false" outlineLevel="0" collapsed="false">
      <c r="H7433" s="0" t="str">
        <f aca="false">IF(B7433="","",IF(COUNTIF(Campaigns!$A$7:$A$300,B7433)&gt;0,"✓","⚠ add to Campaigns tab"))</f>
        <v/>
      </c>
      <c r="I7433" s="84" t="str">
        <f aca="false">IF(C7433="","",C7433*IF(Settings!$B$22=Settings!$C$6,1,IF(Settings!$B$22="USD",1/INDEX(Settings!$B$29:$B$40,MONTH(A7433)),INDEX(Settings!$B$29:$B$40,MONTH(A7433)))))</f>
        <v/>
      </c>
    </row>
    <row r="7434" customFormat="false" ht="15" hidden="false" customHeight="false" outlineLevel="0" collapsed="false">
      <c r="H7434" s="0" t="str">
        <f aca="false">IF(B7434="","",IF(COUNTIF(Campaigns!$A$7:$A$300,B7434)&gt;0,"✓","⚠ add to Campaigns tab"))</f>
        <v/>
      </c>
      <c r="I7434" s="84" t="str">
        <f aca="false">IF(C7434="","",C7434*IF(Settings!$B$22=Settings!$C$6,1,IF(Settings!$B$22="USD",1/INDEX(Settings!$B$29:$B$40,MONTH(A7434)),INDEX(Settings!$B$29:$B$40,MONTH(A7434)))))</f>
        <v/>
      </c>
    </row>
    <row r="7435" customFormat="false" ht="15" hidden="false" customHeight="false" outlineLevel="0" collapsed="false">
      <c r="H7435" s="0" t="str">
        <f aca="false">IF(B7435="","",IF(COUNTIF(Campaigns!$A$7:$A$300,B7435)&gt;0,"✓","⚠ add to Campaigns tab"))</f>
        <v/>
      </c>
      <c r="I7435" s="84" t="str">
        <f aca="false">IF(C7435="","",C7435*IF(Settings!$B$22=Settings!$C$6,1,IF(Settings!$B$22="USD",1/INDEX(Settings!$B$29:$B$40,MONTH(A7435)),INDEX(Settings!$B$29:$B$40,MONTH(A7435)))))</f>
        <v/>
      </c>
    </row>
    <row r="7436" customFormat="false" ht="15" hidden="false" customHeight="false" outlineLevel="0" collapsed="false">
      <c r="H7436" s="0" t="str">
        <f aca="false">IF(B7436="","",IF(COUNTIF(Campaigns!$A$7:$A$300,B7436)&gt;0,"✓","⚠ add to Campaigns tab"))</f>
        <v/>
      </c>
      <c r="I7436" s="84" t="str">
        <f aca="false">IF(C7436="","",C7436*IF(Settings!$B$22=Settings!$C$6,1,IF(Settings!$B$22="USD",1/INDEX(Settings!$B$29:$B$40,MONTH(A7436)),INDEX(Settings!$B$29:$B$40,MONTH(A7436)))))</f>
        <v/>
      </c>
    </row>
    <row r="7437" customFormat="false" ht="15" hidden="false" customHeight="false" outlineLevel="0" collapsed="false">
      <c r="H7437" s="0" t="str">
        <f aca="false">IF(B7437="","",IF(COUNTIF(Campaigns!$A$7:$A$300,B7437)&gt;0,"✓","⚠ add to Campaigns tab"))</f>
        <v/>
      </c>
      <c r="I7437" s="84" t="str">
        <f aca="false">IF(C7437="","",C7437*IF(Settings!$B$22=Settings!$C$6,1,IF(Settings!$B$22="USD",1/INDEX(Settings!$B$29:$B$40,MONTH(A7437)),INDEX(Settings!$B$29:$B$40,MONTH(A7437)))))</f>
        <v/>
      </c>
    </row>
    <row r="7438" customFormat="false" ht="15" hidden="false" customHeight="false" outlineLevel="0" collapsed="false">
      <c r="H7438" s="0" t="str">
        <f aca="false">IF(B7438="","",IF(COUNTIF(Campaigns!$A$7:$A$300,B7438)&gt;0,"✓","⚠ add to Campaigns tab"))</f>
        <v/>
      </c>
      <c r="I7438" s="84" t="str">
        <f aca="false">IF(C7438="","",C7438*IF(Settings!$B$22=Settings!$C$6,1,IF(Settings!$B$22="USD",1/INDEX(Settings!$B$29:$B$40,MONTH(A7438)),INDEX(Settings!$B$29:$B$40,MONTH(A7438)))))</f>
        <v/>
      </c>
    </row>
    <row r="7439" customFormat="false" ht="15" hidden="false" customHeight="false" outlineLevel="0" collapsed="false">
      <c r="H7439" s="0" t="str">
        <f aca="false">IF(B7439="","",IF(COUNTIF(Campaigns!$A$7:$A$300,B7439)&gt;0,"✓","⚠ add to Campaigns tab"))</f>
        <v/>
      </c>
      <c r="I7439" s="84" t="str">
        <f aca="false">IF(C7439="","",C7439*IF(Settings!$B$22=Settings!$C$6,1,IF(Settings!$B$22="USD",1/INDEX(Settings!$B$29:$B$40,MONTH(A7439)),INDEX(Settings!$B$29:$B$40,MONTH(A7439)))))</f>
        <v/>
      </c>
    </row>
    <row r="7440" customFormat="false" ht="15" hidden="false" customHeight="false" outlineLevel="0" collapsed="false">
      <c r="H7440" s="0" t="str">
        <f aca="false">IF(B7440="","",IF(COUNTIF(Campaigns!$A$7:$A$300,B7440)&gt;0,"✓","⚠ add to Campaigns tab"))</f>
        <v/>
      </c>
      <c r="I7440" s="84" t="str">
        <f aca="false">IF(C7440="","",C7440*IF(Settings!$B$22=Settings!$C$6,1,IF(Settings!$B$22="USD",1/INDEX(Settings!$B$29:$B$40,MONTH(A7440)),INDEX(Settings!$B$29:$B$40,MONTH(A7440)))))</f>
        <v/>
      </c>
    </row>
    <row r="7441" customFormat="false" ht="15" hidden="false" customHeight="false" outlineLevel="0" collapsed="false">
      <c r="H7441" s="0" t="str">
        <f aca="false">IF(B7441="","",IF(COUNTIF(Campaigns!$A$7:$A$300,B7441)&gt;0,"✓","⚠ add to Campaigns tab"))</f>
        <v/>
      </c>
      <c r="I7441" s="84" t="str">
        <f aca="false">IF(C7441="","",C7441*IF(Settings!$B$22=Settings!$C$6,1,IF(Settings!$B$22="USD",1/INDEX(Settings!$B$29:$B$40,MONTH(A7441)),INDEX(Settings!$B$29:$B$40,MONTH(A7441)))))</f>
        <v/>
      </c>
    </row>
    <row r="7442" customFormat="false" ht="15" hidden="false" customHeight="false" outlineLevel="0" collapsed="false">
      <c r="H7442" s="0" t="str">
        <f aca="false">IF(B7442="","",IF(COUNTIF(Campaigns!$A$7:$A$300,B7442)&gt;0,"✓","⚠ add to Campaigns tab"))</f>
        <v/>
      </c>
      <c r="I7442" s="84" t="str">
        <f aca="false">IF(C7442="","",C7442*IF(Settings!$B$22=Settings!$C$6,1,IF(Settings!$B$22="USD",1/INDEX(Settings!$B$29:$B$40,MONTH(A7442)),INDEX(Settings!$B$29:$B$40,MONTH(A7442)))))</f>
        <v/>
      </c>
    </row>
    <row r="7443" customFormat="false" ht="15" hidden="false" customHeight="false" outlineLevel="0" collapsed="false">
      <c r="H7443" s="0" t="str">
        <f aca="false">IF(B7443="","",IF(COUNTIF(Campaigns!$A$7:$A$300,B7443)&gt;0,"✓","⚠ add to Campaigns tab"))</f>
        <v/>
      </c>
      <c r="I7443" s="84" t="str">
        <f aca="false">IF(C7443="","",C7443*IF(Settings!$B$22=Settings!$C$6,1,IF(Settings!$B$22="USD",1/INDEX(Settings!$B$29:$B$40,MONTH(A7443)),INDEX(Settings!$B$29:$B$40,MONTH(A7443)))))</f>
        <v/>
      </c>
    </row>
    <row r="7444" customFormat="false" ht="15" hidden="false" customHeight="false" outlineLevel="0" collapsed="false">
      <c r="H7444" s="0" t="str">
        <f aca="false">IF(B7444="","",IF(COUNTIF(Campaigns!$A$7:$A$300,B7444)&gt;0,"✓","⚠ add to Campaigns tab"))</f>
        <v/>
      </c>
      <c r="I7444" s="84" t="str">
        <f aca="false">IF(C7444="","",C7444*IF(Settings!$B$22=Settings!$C$6,1,IF(Settings!$B$22="USD",1/INDEX(Settings!$B$29:$B$40,MONTH(A7444)),INDEX(Settings!$B$29:$B$40,MONTH(A7444)))))</f>
        <v/>
      </c>
    </row>
    <row r="7445" customFormat="false" ht="15" hidden="false" customHeight="false" outlineLevel="0" collapsed="false">
      <c r="H7445" s="0" t="str">
        <f aca="false">IF(B7445="","",IF(COUNTIF(Campaigns!$A$7:$A$300,B7445)&gt;0,"✓","⚠ add to Campaigns tab"))</f>
        <v/>
      </c>
      <c r="I7445" s="84" t="str">
        <f aca="false">IF(C7445="","",C7445*IF(Settings!$B$22=Settings!$C$6,1,IF(Settings!$B$22="USD",1/INDEX(Settings!$B$29:$B$40,MONTH(A7445)),INDEX(Settings!$B$29:$B$40,MONTH(A7445)))))</f>
        <v/>
      </c>
    </row>
    <row r="7446" customFormat="false" ht="15" hidden="false" customHeight="false" outlineLevel="0" collapsed="false">
      <c r="H7446" s="0" t="str">
        <f aca="false">IF(B7446="","",IF(COUNTIF(Campaigns!$A$7:$A$300,B7446)&gt;0,"✓","⚠ add to Campaigns tab"))</f>
        <v/>
      </c>
      <c r="I7446" s="84" t="str">
        <f aca="false">IF(C7446="","",C7446*IF(Settings!$B$22=Settings!$C$6,1,IF(Settings!$B$22="USD",1/INDEX(Settings!$B$29:$B$40,MONTH(A7446)),INDEX(Settings!$B$29:$B$40,MONTH(A7446)))))</f>
        <v/>
      </c>
    </row>
    <row r="7447" customFormat="false" ht="15" hidden="false" customHeight="false" outlineLevel="0" collapsed="false">
      <c r="H7447" s="0" t="str">
        <f aca="false">IF(B7447="","",IF(COUNTIF(Campaigns!$A$7:$A$300,B7447)&gt;0,"✓","⚠ add to Campaigns tab"))</f>
        <v/>
      </c>
      <c r="I7447" s="84" t="str">
        <f aca="false">IF(C7447="","",C7447*IF(Settings!$B$22=Settings!$C$6,1,IF(Settings!$B$22="USD",1/INDEX(Settings!$B$29:$B$40,MONTH(A7447)),INDEX(Settings!$B$29:$B$40,MONTH(A7447)))))</f>
        <v/>
      </c>
    </row>
    <row r="7448" customFormat="false" ht="15" hidden="false" customHeight="false" outlineLevel="0" collapsed="false">
      <c r="H7448" s="0" t="str">
        <f aca="false">IF(B7448="","",IF(COUNTIF(Campaigns!$A$7:$A$300,B7448)&gt;0,"✓","⚠ add to Campaigns tab"))</f>
        <v/>
      </c>
      <c r="I7448" s="84" t="str">
        <f aca="false">IF(C7448="","",C7448*IF(Settings!$B$22=Settings!$C$6,1,IF(Settings!$B$22="USD",1/INDEX(Settings!$B$29:$B$40,MONTH(A7448)),INDEX(Settings!$B$29:$B$40,MONTH(A7448)))))</f>
        <v/>
      </c>
    </row>
    <row r="7449" customFormat="false" ht="15" hidden="false" customHeight="false" outlineLevel="0" collapsed="false">
      <c r="H7449" s="0" t="str">
        <f aca="false">IF(B7449="","",IF(COUNTIF(Campaigns!$A$7:$A$300,B7449)&gt;0,"✓","⚠ add to Campaigns tab"))</f>
        <v/>
      </c>
      <c r="I7449" s="84" t="str">
        <f aca="false">IF(C7449="","",C7449*IF(Settings!$B$22=Settings!$C$6,1,IF(Settings!$B$22="USD",1/INDEX(Settings!$B$29:$B$40,MONTH(A7449)),INDEX(Settings!$B$29:$B$40,MONTH(A7449)))))</f>
        <v/>
      </c>
    </row>
    <row r="7450" customFormat="false" ht="15" hidden="false" customHeight="false" outlineLevel="0" collapsed="false">
      <c r="H7450" s="0" t="str">
        <f aca="false">IF(B7450="","",IF(COUNTIF(Campaigns!$A$7:$A$300,B7450)&gt;0,"✓","⚠ add to Campaigns tab"))</f>
        <v/>
      </c>
      <c r="I7450" s="84" t="str">
        <f aca="false">IF(C7450="","",C7450*IF(Settings!$B$22=Settings!$C$6,1,IF(Settings!$B$22="USD",1/INDEX(Settings!$B$29:$B$40,MONTH(A7450)),INDEX(Settings!$B$29:$B$40,MONTH(A7450)))))</f>
        <v/>
      </c>
    </row>
    <row r="7451" customFormat="false" ht="15" hidden="false" customHeight="false" outlineLevel="0" collapsed="false">
      <c r="H7451" s="0" t="str">
        <f aca="false">IF(B7451="","",IF(COUNTIF(Campaigns!$A$7:$A$300,B7451)&gt;0,"✓","⚠ add to Campaigns tab"))</f>
        <v/>
      </c>
      <c r="I7451" s="84" t="str">
        <f aca="false">IF(C7451="","",C7451*IF(Settings!$B$22=Settings!$C$6,1,IF(Settings!$B$22="USD",1/INDEX(Settings!$B$29:$B$40,MONTH(A7451)),INDEX(Settings!$B$29:$B$40,MONTH(A7451)))))</f>
        <v/>
      </c>
    </row>
    <row r="7452" customFormat="false" ht="15" hidden="false" customHeight="false" outlineLevel="0" collapsed="false">
      <c r="H7452" s="0" t="str">
        <f aca="false">IF(B7452="","",IF(COUNTIF(Campaigns!$A$7:$A$300,B7452)&gt;0,"✓","⚠ add to Campaigns tab"))</f>
        <v/>
      </c>
      <c r="I7452" s="84" t="str">
        <f aca="false">IF(C7452="","",C7452*IF(Settings!$B$22=Settings!$C$6,1,IF(Settings!$B$22="USD",1/INDEX(Settings!$B$29:$B$40,MONTH(A7452)),INDEX(Settings!$B$29:$B$40,MONTH(A7452)))))</f>
        <v/>
      </c>
    </row>
    <row r="7453" customFormat="false" ht="15" hidden="false" customHeight="false" outlineLevel="0" collapsed="false">
      <c r="H7453" s="0" t="str">
        <f aca="false">IF(B7453="","",IF(COUNTIF(Campaigns!$A$7:$A$300,B7453)&gt;0,"✓","⚠ add to Campaigns tab"))</f>
        <v/>
      </c>
      <c r="I7453" s="84" t="str">
        <f aca="false">IF(C7453="","",C7453*IF(Settings!$B$22=Settings!$C$6,1,IF(Settings!$B$22="USD",1/INDEX(Settings!$B$29:$B$40,MONTH(A7453)),INDEX(Settings!$B$29:$B$40,MONTH(A7453)))))</f>
        <v/>
      </c>
    </row>
    <row r="7454" customFormat="false" ht="15" hidden="false" customHeight="false" outlineLevel="0" collapsed="false">
      <c r="H7454" s="0" t="str">
        <f aca="false">IF(B7454="","",IF(COUNTIF(Campaigns!$A$7:$A$300,B7454)&gt;0,"✓","⚠ add to Campaigns tab"))</f>
        <v/>
      </c>
      <c r="I7454" s="84" t="str">
        <f aca="false">IF(C7454="","",C7454*IF(Settings!$B$22=Settings!$C$6,1,IF(Settings!$B$22="USD",1/INDEX(Settings!$B$29:$B$40,MONTH(A7454)),INDEX(Settings!$B$29:$B$40,MONTH(A7454)))))</f>
        <v/>
      </c>
    </row>
    <row r="7455" customFormat="false" ht="15" hidden="false" customHeight="false" outlineLevel="0" collapsed="false">
      <c r="H7455" s="0" t="str">
        <f aca="false">IF(B7455="","",IF(COUNTIF(Campaigns!$A$7:$A$300,B7455)&gt;0,"✓","⚠ add to Campaigns tab"))</f>
        <v/>
      </c>
      <c r="I7455" s="84" t="str">
        <f aca="false">IF(C7455="","",C7455*IF(Settings!$B$22=Settings!$C$6,1,IF(Settings!$B$22="USD",1/INDEX(Settings!$B$29:$B$40,MONTH(A7455)),INDEX(Settings!$B$29:$B$40,MONTH(A7455)))))</f>
        <v/>
      </c>
    </row>
    <row r="7456" customFormat="false" ht="15" hidden="false" customHeight="false" outlineLevel="0" collapsed="false">
      <c r="H7456" s="0" t="str">
        <f aca="false">IF(B7456="","",IF(COUNTIF(Campaigns!$A$7:$A$300,B7456)&gt;0,"✓","⚠ add to Campaigns tab"))</f>
        <v/>
      </c>
      <c r="I7456" s="84" t="str">
        <f aca="false">IF(C7456="","",C7456*IF(Settings!$B$22=Settings!$C$6,1,IF(Settings!$B$22="USD",1/INDEX(Settings!$B$29:$B$40,MONTH(A7456)),INDEX(Settings!$B$29:$B$40,MONTH(A7456)))))</f>
        <v/>
      </c>
    </row>
    <row r="7457" customFormat="false" ht="15" hidden="false" customHeight="false" outlineLevel="0" collapsed="false">
      <c r="H7457" s="0" t="str">
        <f aca="false">IF(B7457="","",IF(COUNTIF(Campaigns!$A$7:$A$300,B7457)&gt;0,"✓","⚠ add to Campaigns tab"))</f>
        <v/>
      </c>
      <c r="I7457" s="84" t="str">
        <f aca="false">IF(C7457="","",C7457*IF(Settings!$B$22=Settings!$C$6,1,IF(Settings!$B$22="USD",1/INDEX(Settings!$B$29:$B$40,MONTH(A7457)),INDEX(Settings!$B$29:$B$40,MONTH(A7457)))))</f>
        <v/>
      </c>
    </row>
    <row r="7458" customFormat="false" ht="15" hidden="false" customHeight="false" outlineLevel="0" collapsed="false">
      <c r="H7458" s="0" t="str">
        <f aca="false">IF(B7458="","",IF(COUNTIF(Campaigns!$A$7:$A$300,B7458)&gt;0,"✓","⚠ add to Campaigns tab"))</f>
        <v/>
      </c>
      <c r="I7458" s="84" t="str">
        <f aca="false">IF(C7458="","",C7458*IF(Settings!$B$22=Settings!$C$6,1,IF(Settings!$B$22="USD",1/INDEX(Settings!$B$29:$B$40,MONTH(A7458)),INDEX(Settings!$B$29:$B$40,MONTH(A7458)))))</f>
        <v/>
      </c>
    </row>
    <row r="7459" customFormat="false" ht="15" hidden="false" customHeight="false" outlineLevel="0" collapsed="false">
      <c r="H7459" s="0" t="str">
        <f aca="false">IF(B7459="","",IF(COUNTIF(Campaigns!$A$7:$A$300,B7459)&gt;0,"✓","⚠ add to Campaigns tab"))</f>
        <v/>
      </c>
      <c r="I7459" s="84" t="str">
        <f aca="false">IF(C7459="","",C7459*IF(Settings!$B$22=Settings!$C$6,1,IF(Settings!$B$22="USD",1/INDEX(Settings!$B$29:$B$40,MONTH(A7459)),INDEX(Settings!$B$29:$B$40,MONTH(A7459)))))</f>
        <v/>
      </c>
    </row>
    <row r="7460" customFormat="false" ht="15" hidden="false" customHeight="false" outlineLevel="0" collapsed="false">
      <c r="H7460" s="0" t="str">
        <f aca="false">IF(B7460="","",IF(COUNTIF(Campaigns!$A$7:$A$300,B7460)&gt;0,"✓","⚠ add to Campaigns tab"))</f>
        <v/>
      </c>
      <c r="I7460" s="84" t="str">
        <f aca="false">IF(C7460="","",C7460*IF(Settings!$B$22=Settings!$C$6,1,IF(Settings!$B$22="USD",1/INDEX(Settings!$B$29:$B$40,MONTH(A7460)),INDEX(Settings!$B$29:$B$40,MONTH(A7460)))))</f>
        <v/>
      </c>
    </row>
    <row r="7461" customFormat="false" ht="15" hidden="false" customHeight="false" outlineLevel="0" collapsed="false">
      <c r="H7461" s="0" t="str">
        <f aca="false">IF(B7461="","",IF(COUNTIF(Campaigns!$A$7:$A$300,B7461)&gt;0,"✓","⚠ add to Campaigns tab"))</f>
        <v/>
      </c>
      <c r="I7461" s="84" t="str">
        <f aca="false">IF(C7461="","",C7461*IF(Settings!$B$22=Settings!$C$6,1,IF(Settings!$B$22="USD",1/INDEX(Settings!$B$29:$B$40,MONTH(A7461)),INDEX(Settings!$B$29:$B$40,MONTH(A7461)))))</f>
        <v/>
      </c>
    </row>
    <row r="7462" customFormat="false" ht="15" hidden="false" customHeight="false" outlineLevel="0" collapsed="false">
      <c r="H7462" s="0" t="str">
        <f aca="false">IF(B7462="","",IF(COUNTIF(Campaigns!$A$7:$A$300,B7462)&gt;0,"✓","⚠ add to Campaigns tab"))</f>
        <v/>
      </c>
      <c r="I7462" s="84" t="str">
        <f aca="false">IF(C7462="","",C7462*IF(Settings!$B$22=Settings!$C$6,1,IF(Settings!$B$22="USD",1/INDEX(Settings!$B$29:$B$40,MONTH(A7462)),INDEX(Settings!$B$29:$B$40,MONTH(A7462)))))</f>
        <v/>
      </c>
    </row>
    <row r="7463" customFormat="false" ht="15" hidden="false" customHeight="false" outlineLevel="0" collapsed="false">
      <c r="H7463" s="0" t="str">
        <f aca="false">IF(B7463="","",IF(COUNTIF(Campaigns!$A$7:$A$300,B7463)&gt;0,"✓","⚠ add to Campaigns tab"))</f>
        <v/>
      </c>
      <c r="I7463" s="84" t="str">
        <f aca="false">IF(C7463="","",C7463*IF(Settings!$B$22=Settings!$C$6,1,IF(Settings!$B$22="USD",1/INDEX(Settings!$B$29:$B$40,MONTH(A7463)),INDEX(Settings!$B$29:$B$40,MONTH(A7463)))))</f>
        <v/>
      </c>
    </row>
    <row r="7464" customFormat="false" ht="15" hidden="false" customHeight="false" outlineLevel="0" collapsed="false">
      <c r="H7464" s="0" t="str">
        <f aca="false">IF(B7464="","",IF(COUNTIF(Campaigns!$A$7:$A$300,B7464)&gt;0,"✓","⚠ add to Campaigns tab"))</f>
        <v/>
      </c>
      <c r="I7464" s="84" t="str">
        <f aca="false">IF(C7464="","",C7464*IF(Settings!$B$22=Settings!$C$6,1,IF(Settings!$B$22="USD",1/INDEX(Settings!$B$29:$B$40,MONTH(A7464)),INDEX(Settings!$B$29:$B$40,MONTH(A7464)))))</f>
        <v/>
      </c>
    </row>
    <row r="7465" customFormat="false" ht="15" hidden="false" customHeight="false" outlineLevel="0" collapsed="false">
      <c r="H7465" s="0" t="str">
        <f aca="false">IF(B7465="","",IF(COUNTIF(Campaigns!$A$7:$A$300,B7465)&gt;0,"✓","⚠ add to Campaigns tab"))</f>
        <v/>
      </c>
      <c r="I7465" s="84" t="str">
        <f aca="false">IF(C7465="","",C7465*IF(Settings!$B$22=Settings!$C$6,1,IF(Settings!$B$22="USD",1/INDEX(Settings!$B$29:$B$40,MONTH(A7465)),INDEX(Settings!$B$29:$B$40,MONTH(A7465)))))</f>
        <v/>
      </c>
    </row>
    <row r="7466" customFormat="false" ht="15" hidden="false" customHeight="false" outlineLevel="0" collapsed="false">
      <c r="H7466" s="0" t="str">
        <f aca="false">IF(B7466="","",IF(COUNTIF(Campaigns!$A$7:$A$300,B7466)&gt;0,"✓","⚠ add to Campaigns tab"))</f>
        <v/>
      </c>
      <c r="I7466" s="84" t="str">
        <f aca="false">IF(C7466="","",C7466*IF(Settings!$B$22=Settings!$C$6,1,IF(Settings!$B$22="USD",1/INDEX(Settings!$B$29:$B$40,MONTH(A7466)),INDEX(Settings!$B$29:$B$40,MONTH(A7466)))))</f>
        <v/>
      </c>
    </row>
    <row r="7467" customFormat="false" ht="15" hidden="false" customHeight="false" outlineLevel="0" collapsed="false">
      <c r="H7467" s="0" t="str">
        <f aca="false">IF(B7467="","",IF(COUNTIF(Campaigns!$A$7:$A$300,B7467)&gt;0,"✓","⚠ add to Campaigns tab"))</f>
        <v/>
      </c>
      <c r="I7467" s="84" t="str">
        <f aca="false">IF(C7467="","",C7467*IF(Settings!$B$22=Settings!$C$6,1,IF(Settings!$B$22="USD",1/INDEX(Settings!$B$29:$B$40,MONTH(A7467)),INDEX(Settings!$B$29:$B$40,MONTH(A7467)))))</f>
        <v/>
      </c>
    </row>
    <row r="7468" customFormat="false" ht="15" hidden="false" customHeight="false" outlineLevel="0" collapsed="false">
      <c r="H7468" s="0" t="str">
        <f aca="false">IF(B7468="","",IF(COUNTIF(Campaigns!$A$7:$A$300,B7468)&gt;0,"✓","⚠ add to Campaigns tab"))</f>
        <v/>
      </c>
      <c r="I7468" s="84" t="str">
        <f aca="false">IF(C7468="","",C7468*IF(Settings!$B$22=Settings!$C$6,1,IF(Settings!$B$22="USD",1/INDEX(Settings!$B$29:$B$40,MONTH(A7468)),INDEX(Settings!$B$29:$B$40,MONTH(A7468)))))</f>
        <v/>
      </c>
    </row>
    <row r="7469" customFormat="false" ht="15" hidden="false" customHeight="false" outlineLevel="0" collapsed="false">
      <c r="H7469" s="0" t="str">
        <f aca="false">IF(B7469="","",IF(COUNTIF(Campaigns!$A$7:$A$300,B7469)&gt;0,"✓","⚠ add to Campaigns tab"))</f>
        <v/>
      </c>
      <c r="I7469" s="84" t="str">
        <f aca="false">IF(C7469="","",C7469*IF(Settings!$B$22=Settings!$C$6,1,IF(Settings!$B$22="USD",1/INDEX(Settings!$B$29:$B$40,MONTH(A7469)),INDEX(Settings!$B$29:$B$40,MONTH(A7469)))))</f>
        <v/>
      </c>
    </row>
    <row r="7470" customFormat="false" ht="15" hidden="false" customHeight="false" outlineLevel="0" collapsed="false">
      <c r="H7470" s="0" t="str">
        <f aca="false">IF(B7470="","",IF(COUNTIF(Campaigns!$A$7:$A$300,B7470)&gt;0,"✓","⚠ add to Campaigns tab"))</f>
        <v/>
      </c>
      <c r="I7470" s="84" t="str">
        <f aca="false">IF(C7470="","",C7470*IF(Settings!$B$22=Settings!$C$6,1,IF(Settings!$B$22="USD",1/INDEX(Settings!$B$29:$B$40,MONTH(A7470)),INDEX(Settings!$B$29:$B$40,MONTH(A7470)))))</f>
        <v/>
      </c>
    </row>
    <row r="7471" customFormat="false" ht="15" hidden="false" customHeight="false" outlineLevel="0" collapsed="false">
      <c r="H7471" s="0" t="str">
        <f aca="false">IF(B7471="","",IF(COUNTIF(Campaigns!$A$7:$A$300,B7471)&gt;0,"✓","⚠ add to Campaigns tab"))</f>
        <v/>
      </c>
      <c r="I7471" s="84" t="str">
        <f aca="false">IF(C7471="","",C7471*IF(Settings!$B$22=Settings!$C$6,1,IF(Settings!$B$22="USD",1/INDEX(Settings!$B$29:$B$40,MONTH(A7471)),INDEX(Settings!$B$29:$B$40,MONTH(A7471)))))</f>
        <v/>
      </c>
    </row>
    <row r="7472" customFormat="false" ht="15" hidden="false" customHeight="false" outlineLevel="0" collapsed="false">
      <c r="H7472" s="0" t="str">
        <f aca="false">IF(B7472="","",IF(COUNTIF(Campaigns!$A$7:$A$300,B7472)&gt;0,"✓","⚠ add to Campaigns tab"))</f>
        <v/>
      </c>
      <c r="I7472" s="84" t="str">
        <f aca="false">IF(C7472="","",C7472*IF(Settings!$B$22=Settings!$C$6,1,IF(Settings!$B$22="USD",1/INDEX(Settings!$B$29:$B$40,MONTH(A7472)),INDEX(Settings!$B$29:$B$40,MONTH(A7472)))))</f>
        <v/>
      </c>
    </row>
    <row r="7473" customFormat="false" ht="15" hidden="false" customHeight="false" outlineLevel="0" collapsed="false">
      <c r="H7473" s="0" t="str">
        <f aca="false">IF(B7473="","",IF(COUNTIF(Campaigns!$A$7:$A$300,B7473)&gt;0,"✓","⚠ add to Campaigns tab"))</f>
        <v/>
      </c>
      <c r="I7473" s="84" t="str">
        <f aca="false">IF(C7473="","",C7473*IF(Settings!$B$22=Settings!$C$6,1,IF(Settings!$B$22="USD",1/INDEX(Settings!$B$29:$B$40,MONTH(A7473)),INDEX(Settings!$B$29:$B$40,MONTH(A7473)))))</f>
        <v/>
      </c>
    </row>
    <row r="7474" customFormat="false" ht="15" hidden="false" customHeight="false" outlineLevel="0" collapsed="false">
      <c r="H7474" s="0" t="str">
        <f aca="false">IF(B7474="","",IF(COUNTIF(Campaigns!$A$7:$A$300,B7474)&gt;0,"✓","⚠ add to Campaigns tab"))</f>
        <v/>
      </c>
      <c r="I7474" s="84" t="str">
        <f aca="false">IF(C7474="","",C7474*IF(Settings!$B$22=Settings!$C$6,1,IF(Settings!$B$22="USD",1/INDEX(Settings!$B$29:$B$40,MONTH(A7474)),INDEX(Settings!$B$29:$B$40,MONTH(A7474)))))</f>
        <v/>
      </c>
    </row>
    <row r="7475" customFormat="false" ht="15" hidden="false" customHeight="false" outlineLevel="0" collapsed="false">
      <c r="H7475" s="0" t="str">
        <f aca="false">IF(B7475="","",IF(COUNTIF(Campaigns!$A$7:$A$300,B7475)&gt;0,"✓","⚠ add to Campaigns tab"))</f>
        <v/>
      </c>
      <c r="I7475" s="84" t="str">
        <f aca="false">IF(C7475="","",C7475*IF(Settings!$B$22=Settings!$C$6,1,IF(Settings!$B$22="USD",1/INDEX(Settings!$B$29:$B$40,MONTH(A7475)),INDEX(Settings!$B$29:$B$40,MONTH(A7475)))))</f>
        <v/>
      </c>
    </row>
    <row r="7476" customFormat="false" ht="15" hidden="false" customHeight="false" outlineLevel="0" collapsed="false">
      <c r="H7476" s="0" t="str">
        <f aca="false">IF(B7476="","",IF(COUNTIF(Campaigns!$A$7:$A$300,B7476)&gt;0,"✓","⚠ add to Campaigns tab"))</f>
        <v/>
      </c>
      <c r="I7476" s="84" t="str">
        <f aca="false">IF(C7476="","",C7476*IF(Settings!$B$22=Settings!$C$6,1,IF(Settings!$B$22="USD",1/INDEX(Settings!$B$29:$B$40,MONTH(A7476)),INDEX(Settings!$B$29:$B$40,MONTH(A7476)))))</f>
        <v/>
      </c>
    </row>
    <row r="7477" customFormat="false" ht="15" hidden="false" customHeight="false" outlineLevel="0" collapsed="false">
      <c r="H7477" s="0" t="str">
        <f aca="false">IF(B7477="","",IF(COUNTIF(Campaigns!$A$7:$A$300,B7477)&gt;0,"✓","⚠ add to Campaigns tab"))</f>
        <v/>
      </c>
      <c r="I7477" s="84" t="str">
        <f aca="false">IF(C7477="","",C7477*IF(Settings!$B$22=Settings!$C$6,1,IF(Settings!$B$22="USD",1/INDEX(Settings!$B$29:$B$40,MONTH(A7477)),INDEX(Settings!$B$29:$B$40,MONTH(A7477)))))</f>
        <v/>
      </c>
    </row>
    <row r="7478" customFormat="false" ht="15" hidden="false" customHeight="false" outlineLevel="0" collapsed="false">
      <c r="H7478" s="0" t="str">
        <f aca="false">IF(B7478="","",IF(COUNTIF(Campaigns!$A$7:$A$300,B7478)&gt;0,"✓","⚠ add to Campaigns tab"))</f>
        <v/>
      </c>
      <c r="I7478" s="84" t="str">
        <f aca="false">IF(C7478="","",C7478*IF(Settings!$B$22=Settings!$C$6,1,IF(Settings!$B$22="USD",1/INDEX(Settings!$B$29:$B$40,MONTH(A7478)),INDEX(Settings!$B$29:$B$40,MONTH(A7478)))))</f>
        <v/>
      </c>
    </row>
    <row r="7479" customFormat="false" ht="15" hidden="false" customHeight="false" outlineLevel="0" collapsed="false">
      <c r="H7479" s="0" t="str">
        <f aca="false">IF(B7479="","",IF(COUNTIF(Campaigns!$A$7:$A$300,B7479)&gt;0,"✓","⚠ add to Campaigns tab"))</f>
        <v/>
      </c>
      <c r="I7479" s="84" t="str">
        <f aca="false">IF(C7479="","",C7479*IF(Settings!$B$22=Settings!$C$6,1,IF(Settings!$B$22="USD",1/INDEX(Settings!$B$29:$B$40,MONTH(A7479)),INDEX(Settings!$B$29:$B$40,MONTH(A7479)))))</f>
        <v/>
      </c>
    </row>
    <row r="7480" customFormat="false" ht="15" hidden="false" customHeight="false" outlineLevel="0" collapsed="false">
      <c r="H7480" s="0" t="str">
        <f aca="false">IF(B7480="","",IF(COUNTIF(Campaigns!$A$7:$A$300,B7480)&gt;0,"✓","⚠ add to Campaigns tab"))</f>
        <v/>
      </c>
      <c r="I7480" s="84" t="str">
        <f aca="false">IF(C7480="","",C7480*IF(Settings!$B$22=Settings!$C$6,1,IF(Settings!$B$22="USD",1/INDEX(Settings!$B$29:$B$40,MONTH(A7480)),INDEX(Settings!$B$29:$B$40,MONTH(A7480)))))</f>
        <v/>
      </c>
    </row>
    <row r="7481" customFormat="false" ht="15" hidden="false" customHeight="false" outlineLevel="0" collapsed="false">
      <c r="H7481" s="0" t="str">
        <f aca="false">IF(B7481="","",IF(COUNTIF(Campaigns!$A$7:$A$300,B7481)&gt;0,"✓","⚠ add to Campaigns tab"))</f>
        <v/>
      </c>
      <c r="I7481" s="84" t="str">
        <f aca="false">IF(C7481="","",C7481*IF(Settings!$B$22=Settings!$C$6,1,IF(Settings!$B$22="USD",1/INDEX(Settings!$B$29:$B$40,MONTH(A7481)),INDEX(Settings!$B$29:$B$40,MONTH(A7481)))))</f>
        <v/>
      </c>
    </row>
    <row r="7482" customFormat="false" ht="15" hidden="false" customHeight="false" outlineLevel="0" collapsed="false">
      <c r="H7482" s="0" t="str">
        <f aca="false">IF(B7482="","",IF(COUNTIF(Campaigns!$A$7:$A$300,B7482)&gt;0,"✓","⚠ add to Campaigns tab"))</f>
        <v/>
      </c>
      <c r="I7482" s="84" t="str">
        <f aca="false">IF(C7482="","",C7482*IF(Settings!$B$22=Settings!$C$6,1,IF(Settings!$B$22="USD",1/INDEX(Settings!$B$29:$B$40,MONTH(A7482)),INDEX(Settings!$B$29:$B$40,MONTH(A7482)))))</f>
        <v/>
      </c>
    </row>
    <row r="7483" customFormat="false" ht="15" hidden="false" customHeight="false" outlineLevel="0" collapsed="false">
      <c r="H7483" s="0" t="str">
        <f aca="false">IF(B7483="","",IF(COUNTIF(Campaigns!$A$7:$A$300,B7483)&gt;0,"✓","⚠ add to Campaigns tab"))</f>
        <v/>
      </c>
      <c r="I7483" s="84" t="str">
        <f aca="false">IF(C7483="","",C7483*IF(Settings!$B$22=Settings!$C$6,1,IF(Settings!$B$22="USD",1/INDEX(Settings!$B$29:$B$40,MONTH(A7483)),INDEX(Settings!$B$29:$B$40,MONTH(A7483)))))</f>
        <v/>
      </c>
    </row>
    <row r="7484" customFormat="false" ht="15" hidden="false" customHeight="false" outlineLevel="0" collapsed="false">
      <c r="H7484" s="0" t="str">
        <f aca="false">IF(B7484="","",IF(COUNTIF(Campaigns!$A$7:$A$300,B7484)&gt;0,"✓","⚠ add to Campaigns tab"))</f>
        <v/>
      </c>
      <c r="I7484" s="84" t="str">
        <f aca="false">IF(C7484="","",C7484*IF(Settings!$B$22=Settings!$C$6,1,IF(Settings!$B$22="USD",1/INDEX(Settings!$B$29:$B$40,MONTH(A7484)),INDEX(Settings!$B$29:$B$40,MONTH(A7484)))))</f>
        <v/>
      </c>
    </row>
    <row r="7485" customFormat="false" ht="15" hidden="false" customHeight="false" outlineLevel="0" collapsed="false">
      <c r="H7485" s="0" t="str">
        <f aca="false">IF(B7485="","",IF(COUNTIF(Campaigns!$A$7:$A$300,B7485)&gt;0,"✓","⚠ add to Campaigns tab"))</f>
        <v/>
      </c>
      <c r="I7485" s="84" t="str">
        <f aca="false">IF(C7485="","",C7485*IF(Settings!$B$22=Settings!$C$6,1,IF(Settings!$B$22="USD",1/INDEX(Settings!$B$29:$B$40,MONTH(A7485)),INDEX(Settings!$B$29:$B$40,MONTH(A7485)))))</f>
        <v/>
      </c>
    </row>
    <row r="7486" customFormat="false" ht="15" hidden="false" customHeight="false" outlineLevel="0" collapsed="false">
      <c r="H7486" s="0" t="str">
        <f aca="false">IF(B7486="","",IF(COUNTIF(Campaigns!$A$7:$A$300,B7486)&gt;0,"✓","⚠ add to Campaigns tab"))</f>
        <v/>
      </c>
      <c r="I7486" s="84" t="str">
        <f aca="false">IF(C7486="","",C7486*IF(Settings!$B$22=Settings!$C$6,1,IF(Settings!$B$22="USD",1/INDEX(Settings!$B$29:$B$40,MONTH(A7486)),INDEX(Settings!$B$29:$B$40,MONTH(A7486)))))</f>
        <v/>
      </c>
    </row>
    <row r="7487" customFormat="false" ht="15" hidden="false" customHeight="false" outlineLevel="0" collapsed="false">
      <c r="H7487" s="0" t="str">
        <f aca="false">IF(B7487="","",IF(COUNTIF(Campaigns!$A$7:$A$300,B7487)&gt;0,"✓","⚠ add to Campaigns tab"))</f>
        <v/>
      </c>
      <c r="I7487" s="84" t="str">
        <f aca="false">IF(C7487="","",C7487*IF(Settings!$B$22=Settings!$C$6,1,IF(Settings!$B$22="USD",1/INDEX(Settings!$B$29:$B$40,MONTH(A7487)),INDEX(Settings!$B$29:$B$40,MONTH(A7487)))))</f>
        <v/>
      </c>
    </row>
    <row r="7488" customFormat="false" ht="15" hidden="false" customHeight="false" outlineLevel="0" collapsed="false">
      <c r="H7488" s="0" t="str">
        <f aca="false">IF(B7488="","",IF(COUNTIF(Campaigns!$A$7:$A$300,B7488)&gt;0,"✓","⚠ add to Campaigns tab"))</f>
        <v/>
      </c>
      <c r="I7488" s="84" t="str">
        <f aca="false">IF(C7488="","",C7488*IF(Settings!$B$22=Settings!$C$6,1,IF(Settings!$B$22="USD",1/INDEX(Settings!$B$29:$B$40,MONTH(A7488)),INDEX(Settings!$B$29:$B$40,MONTH(A7488)))))</f>
        <v/>
      </c>
    </row>
    <row r="7489" customFormat="false" ht="15" hidden="false" customHeight="false" outlineLevel="0" collapsed="false">
      <c r="H7489" s="0" t="str">
        <f aca="false">IF(B7489="","",IF(COUNTIF(Campaigns!$A$7:$A$300,B7489)&gt;0,"✓","⚠ add to Campaigns tab"))</f>
        <v/>
      </c>
      <c r="I7489" s="84" t="str">
        <f aca="false">IF(C7489="","",C7489*IF(Settings!$B$22=Settings!$C$6,1,IF(Settings!$B$22="USD",1/INDEX(Settings!$B$29:$B$40,MONTH(A7489)),INDEX(Settings!$B$29:$B$40,MONTH(A7489)))))</f>
        <v/>
      </c>
    </row>
    <row r="7490" customFormat="false" ht="15" hidden="false" customHeight="false" outlineLevel="0" collapsed="false">
      <c r="H7490" s="0" t="str">
        <f aca="false">IF(B7490="","",IF(COUNTIF(Campaigns!$A$7:$A$300,B7490)&gt;0,"✓","⚠ add to Campaigns tab"))</f>
        <v/>
      </c>
      <c r="I7490" s="84" t="str">
        <f aca="false">IF(C7490="","",C7490*IF(Settings!$B$22=Settings!$C$6,1,IF(Settings!$B$22="USD",1/INDEX(Settings!$B$29:$B$40,MONTH(A7490)),INDEX(Settings!$B$29:$B$40,MONTH(A7490)))))</f>
        <v/>
      </c>
    </row>
    <row r="7491" customFormat="false" ht="15" hidden="false" customHeight="false" outlineLevel="0" collapsed="false">
      <c r="H7491" s="0" t="str">
        <f aca="false">IF(B7491="","",IF(COUNTIF(Campaigns!$A$7:$A$300,B7491)&gt;0,"✓","⚠ add to Campaigns tab"))</f>
        <v/>
      </c>
      <c r="I7491" s="84" t="str">
        <f aca="false">IF(C7491="","",C7491*IF(Settings!$B$22=Settings!$C$6,1,IF(Settings!$B$22="USD",1/INDEX(Settings!$B$29:$B$40,MONTH(A7491)),INDEX(Settings!$B$29:$B$40,MONTH(A7491)))))</f>
        <v/>
      </c>
    </row>
    <row r="7492" customFormat="false" ht="15" hidden="false" customHeight="false" outlineLevel="0" collapsed="false">
      <c r="H7492" s="0" t="str">
        <f aca="false">IF(B7492="","",IF(COUNTIF(Campaigns!$A$7:$A$300,B7492)&gt;0,"✓","⚠ add to Campaigns tab"))</f>
        <v/>
      </c>
      <c r="I7492" s="84" t="str">
        <f aca="false">IF(C7492="","",C7492*IF(Settings!$B$22=Settings!$C$6,1,IF(Settings!$B$22="USD",1/INDEX(Settings!$B$29:$B$40,MONTH(A7492)),INDEX(Settings!$B$29:$B$40,MONTH(A7492)))))</f>
        <v/>
      </c>
    </row>
    <row r="7493" customFormat="false" ht="15" hidden="false" customHeight="false" outlineLevel="0" collapsed="false">
      <c r="H7493" s="0" t="str">
        <f aca="false">IF(B7493="","",IF(COUNTIF(Campaigns!$A$7:$A$300,B7493)&gt;0,"✓","⚠ add to Campaigns tab"))</f>
        <v/>
      </c>
      <c r="I7493" s="84" t="str">
        <f aca="false">IF(C7493="","",C7493*IF(Settings!$B$22=Settings!$C$6,1,IF(Settings!$B$22="USD",1/INDEX(Settings!$B$29:$B$40,MONTH(A7493)),INDEX(Settings!$B$29:$B$40,MONTH(A7493)))))</f>
        <v/>
      </c>
    </row>
    <row r="7494" customFormat="false" ht="15" hidden="false" customHeight="false" outlineLevel="0" collapsed="false">
      <c r="H7494" s="0" t="str">
        <f aca="false">IF(B7494="","",IF(COUNTIF(Campaigns!$A$7:$A$300,B7494)&gt;0,"✓","⚠ add to Campaigns tab"))</f>
        <v/>
      </c>
      <c r="I7494" s="84" t="str">
        <f aca="false">IF(C7494="","",C7494*IF(Settings!$B$22=Settings!$C$6,1,IF(Settings!$B$22="USD",1/INDEX(Settings!$B$29:$B$40,MONTH(A7494)),INDEX(Settings!$B$29:$B$40,MONTH(A7494)))))</f>
        <v/>
      </c>
    </row>
    <row r="7495" customFormat="false" ht="15" hidden="false" customHeight="false" outlineLevel="0" collapsed="false">
      <c r="H7495" s="0" t="str">
        <f aca="false">IF(B7495="","",IF(COUNTIF(Campaigns!$A$7:$A$300,B7495)&gt;0,"✓","⚠ add to Campaigns tab"))</f>
        <v/>
      </c>
      <c r="I7495" s="84" t="str">
        <f aca="false">IF(C7495="","",C7495*IF(Settings!$B$22=Settings!$C$6,1,IF(Settings!$B$22="USD",1/INDEX(Settings!$B$29:$B$40,MONTH(A7495)),INDEX(Settings!$B$29:$B$40,MONTH(A7495)))))</f>
        <v/>
      </c>
    </row>
    <row r="7496" customFormat="false" ht="15" hidden="false" customHeight="false" outlineLevel="0" collapsed="false">
      <c r="H7496" s="0" t="str">
        <f aca="false">IF(B7496="","",IF(COUNTIF(Campaigns!$A$7:$A$300,B7496)&gt;0,"✓","⚠ add to Campaigns tab"))</f>
        <v/>
      </c>
      <c r="I7496" s="84" t="str">
        <f aca="false">IF(C7496="","",C7496*IF(Settings!$B$22=Settings!$C$6,1,IF(Settings!$B$22="USD",1/INDEX(Settings!$B$29:$B$40,MONTH(A7496)),INDEX(Settings!$B$29:$B$40,MONTH(A7496)))))</f>
        <v/>
      </c>
    </row>
    <row r="7497" customFormat="false" ht="15" hidden="false" customHeight="false" outlineLevel="0" collapsed="false">
      <c r="H7497" s="0" t="str">
        <f aca="false">IF(B7497="","",IF(COUNTIF(Campaigns!$A$7:$A$300,B7497)&gt;0,"✓","⚠ add to Campaigns tab"))</f>
        <v/>
      </c>
      <c r="I7497" s="84" t="str">
        <f aca="false">IF(C7497="","",C7497*IF(Settings!$B$22=Settings!$C$6,1,IF(Settings!$B$22="USD",1/INDEX(Settings!$B$29:$B$40,MONTH(A7497)),INDEX(Settings!$B$29:$B$40,MONTH(A7497)))))</f>
        <v/>
      </c>
    </row>
    <row r="7498" customFormat="false" ht="15" hidden="false" customHeight="false" outlineLevel="0" collapsed="false">
      <c r="H7498" s="0" t="str">
        <f aca="false">IF(B7498="","",IF(COUNTIF(Campaigns!$A$7:$A$300,B7498)&gt;0,"✓","⚠ add to Campaigns tab"))</f>
        <v/>
      </c>
      <c r="I7498" s="84" t="str">
        <f aca="false">IF(C7498="","",C7498*IF(Settings!$B$22=Settings!$C$6,1,IF(Settings!$B$22="USD",1/INDEX(Settings!$B$29:$B$40,MONTH(A7498)),INDEX(Settings!$B$29:$B$40,MONTH(A7498)))))</f>
        <v/>
      </c>
    </row>
    <row r="7499" customFormat="false" ht="15" hidden="false" customHeight="false" outlineLevel="0" collapsed="false">
      <c r="H7499" s="0" t="str">
        <f aca="false">IF(B7499="","",IF(COUNTIF(Campaigns!$A$7:$A$300,B7499)&gt;0,"✓","⚠ add to Campaigns tab"))</f>
        <v/>
      </c>
      <c r="I7499" s="84" t="str">
        <f aca="false">IF(C7499="","",C7499*IF(Settings!$B$22=Settings!$C$6,1,IF(Settings!$B$22="USD",1/INDEX(Settings!$B$29:$B$40,MONTH(A7499)),INDEX(Settings!$B$29:$B$40,MONTH(A7499)))))</f>
        <v/>
      </c>
    </row>
    <row r="7500" customFormat="false" ht="15" hidden="false" customHeight="false" outlineLevel="0" collapsed="false">
      <c r="H7500" s="0" t="str">
        <f aca="false">IF(B7500="","",IF(COUNTIF(Campaigns!$A$7:$A$300,B7500)&gt;0,"✓","⚠ add to Campaigns tab"))</f>
        <v/>
      </c>
      <c r="I7500" s="84" t="str">
        <f aca="false">IF(C7500="","",C7500*IF(Settings!$B$22=Settings!$C$6,1,IF(Settings!$B$22="USD",1/INDEX(Settings!$B$29:$B$40,MONTH(A7500)),INDEX(Settings!$B$29:$B$40,MONTH(A7500)))))</f>
        <v/>
      </c>
    </row>
    <row r="7501" customFormat="false" ht="15" hidden="false" customHeight="false" outlineLevel="0" collapsed="false">
      <c r="H7501" s="0" t="str">
        <f aca="false">IF(B7501="","",IF(COUNTIF(Campaigns!$A$7:$A$300,B7501)&gt;0,"✓","⚠ add to Campaigns tab"))</f>
        <v/>
      </c>
      <c r="I7501" s="84" t="str">
        <f aca="false">IF(C7501="","",C7501*IF(Settings!$B$22=Settings!$C$6,1,IF(Settings!$B$22="USD",1/INDEX(Settings!$B$29:$B$40,MONTH(A7501)),INDEX(Settings!$B$29:$B$40,MONTH(A7501)))))</f>
        <v/>
      </c>
    </row>
    <row r="7502" customFormat="false" ht="15" hidden="false" customHeight="false" outlineLevel="0" collapsed="false">
      <c r="H7502" s="0" t="str">
        <f aca="false">IF(B7502="","",IF(COUNTIF(Campaigns!$A$7:$A$300,B7502)&gt;0,"✓","⚠ add to Campaigns tab"))</f>
        <v/>
      </c>
      <c r="I7502" s="84" t="str">
        <f aca="false">IF(C7502="","",C7502*IF(Settings!$B$22=Settings!$C$6,1,IF(Settings!$B$22="USD",1/INDEX(Settings!$B$29:$B$40,MONTH(A7502)),INDEX(Settings!$B$29:$B$40,MONTH(A7502)))))</f>
        <v/>
      </c>
    </row>
    <row r="7503" customFormat="false" ht="15" hidden="false" customHeight="false" outlineLevel="0" collapsed="false">
      <c r="H7503" s="0" t="str">
        <f aca="false">IF(B7503="","",IF(COUNTIF(Campaigns!$A$7:$A$300,B7503)&gt;0,"✓","⚠ add to Campaigns tab"))</f>
        <v/>
      </c>
      <c r="I7503" s="84" t="str">
        <f aca="false">IF(C7503="","",C7503*IF(Settings!$B$22=Settings!$C$6,1,IF(Settings!$B$22="USD",1/INDEX(Settings!$B$29:$B$40,MONTH(A7503)),INDEX(Settings!$B$29:$B$40,MONTH(A7503)))))</f>
        <v/>
      </c>
    </row>
    <row r="7504" customFormat="false" ht="15" hidden="false" customHeight="false" outlineLevel="0" collapsed="false">
      <c r="H7504" s="0" t="str">
        <f aca="false">IF(B7504="","",IF(COUNTIF(Campaigns!$A$7:$A$300,B7504)&gt;0,"✓","⚠ add to Campaigns tab"))</f>
        <v/>
      </c>
      <c r="I7504" s="84" t="str">
        <f aca="false">IF(C7504="","",C7504*IF(Settings!$B$22=Settings!$C$6,1,IF(Settings!$B$22="USD",1/INDEX(Settings!$B$29:$B$40,MONTH(A7504)),INDEX(Settings!$B$29:$B$40,MONTH(A7504)))))</f>
        <v/>
      </c>
    </row>
    <row r="7505" customFormat="false" ht="15" hidden="false" customHeight="false" outlineLevel="0" collapsed="false">
      <c r="H7505" s="0" t="str">
        <f aca="false">IF(B7505="","",IF(COUNTIF(Campaigns!$A$7:$A$300,B7505)&gt;0,"✓","⚠ add to Campaigns tab"))</f>
        <v/>
      </c>
      <c r="I7505" s="84" t="str">
        <f aca="false">IF(C7505="","",C7505*IF(Settings!$B$22=Settings!$C$6,1,IF(Settings!$B$22="USD",1/INDEX(Settings!$B$29:$B$40,MONTH(A7505)),INDEX(Settings!$B$29:$B$40,MONTH(A7505)))))</f>
        <v/>
      </c>
    </row>
    <row r="7506" customFormat="false" ht="15" hidden="false" customHeight="false" outlineLevel="0" collapsed="false">
      <c r="H7506" s="0" t="str">
        <f aca="false">IF(B7506="","",IF(COUNTIF(Campaigns!$A$7:$A$300,B7506)&gt;0,"✓","⚠ add to Campaigns tab"))</f>
        <v/>
      </c>
      <c r="I7506" s="84" t="str">
        <f aca="false">IF(C7506="","",C7506*IF(Settings!$B$22=Settings!$C$6,1,IF(Settings!$B$22="USD",1/INDEX(Settings!$B$29:$B$40,MONTH(A7506)),INDEX(Settings!$B$29:$B$40,MONTH(A7506)))))</f>
        <v/>
      </c>
    </row>
    <row r="7507" customFormat="false" ht="15" hidden="false" customHeight="false" outlineLevel="0" collapsed="false">
      <c r="H7507" s="0" t="str">
        <f aca="false">IF(B7507="","",IF(COUNTIF(Campaigns!$A$7:$A$300,B7507)&gt;0,"✓","⚠ add to Campaigns tab"))</f>
        <v/>
      </c>
      <c r="I7507" s="84" t="str">
        <f aca="false">IF(C7507="","",C7507*IF(Settings!$B$22=Settings!$C$6,1,IF(Settings!$B$22="USD",1/INDEX(Settings!$B$29:$B$40,MONTH(A7507)),INDEX(Settings!$B$29:$B$40,MONTH(A7507)))))</f>
        <v/>
      </c>
    </row>
    <row r="7508" customFormat="false" ht="15" hidden="false" customHeight="false" outlineLevel="0" collapsed="false">
      <c r="H7508" s="0" t="str">
        <f aca="false">IF(B7508="","",IF(COUNTIF(Campaigns!$A$7:$A$300,B7508)&gt;0,"✓","⚠ add to Campaigns tab"))</f>
        <v/>
      </c>
      <c r="I7508" s="84" t="str">
        <f aca="false">IF(C7508="","",C7508*IF(Settings!$B$22=Settings!$C$6,1,IF(Settings!$B$22="USD",1/INDEX(Settings!$B$29:$B$40,MONTH(A7508)),INDEX(Settings!$B$29:$B$40,MONTH(A7508)))))</f>
        <v/>
      </c>
    </row>
    <row r="7509" customFormat="false" ht="15" hidden="false" customHeight="false" outlineLevel="0" collapsed="false">
      <c r="H7509" s="0" t="str">
        <f aca="false">IF(B7509="","",IF(COUNTIF(Campaigns!$A$7:$A$300,B7509)&gt;0,"✓","⚠ add to Campaigns tab"))</f>
        <v/>
      </c>
      <c r="I7509" s="84" t="str">
        <f aca="false">IF(C7509="","",C7509*IF(Settings!$B$22=Settings!$C$6,1,IF(Settings!$B$22="USD",1/INDEX(Settings!$B$29:$B$40,MONTH(A7509)),INDEX(Settings!$B$29:$B$40,MONTH(A7509)))))</f>
        <v/>
      </c>
    </row>
    <row r="7510" customFormat="false" ht="15" hidden="false" customHeight="false" outlineLevel="0" collapsed="false">
      <c r="H7510" s="0" t="str">
        <f aca="false">IF(B7510="","",IF(COUNTIF(Campaigns!$A$7:$A$300,B7510)&gt;0,"✓","⚠ add to Campaigns tab"))</f>
        <v/>
      </c>
      <c r="I7510" s="84" t="str">
        <f aca="false">IF(C7510="","",C7510*IF(Settings!$B$22=Settings!$C$6,1,IF(Settings!$B$22="USD",1/INDEX(Settings!$B$29:$B$40,MONTH(A7510)),INDEX(Settings!$B$29:$B$40,MONTH(A7510)))))</f>
        <v/>
      </c>
    </row>
    <row r="7511" customFormat="false" ht="15" hidden="false" customHeight="false" outlineLevel="0" collapsed="false">
      <c r="H7511" s="0" t="str">
        <f aca="false">IF(B7511="","",IF(COUNTIF(Campaigns!$A$7:$A$300,B7511)&gt;0,"✓","⚠ add to Campaigns tab"))</f>
        <v/>
      </c>
      <c r="I7511" s="84" t="str">
        <f aca="false">IF(C7511="","",C7511*IF(Settings!$B$22=Settings!$C$6,1,IF(Settings!$B$22="USD",1/INDEX(Settings!$B$29:$B$40,MONTH(A7511)),INDEX(Settings!$B$29:$B$40,MONTH(A7511)))))</f>
        <v/>
      </c>
    </row>
    <row r="7512" customFormat="false" ht="15" hidden="false" customHeight="false" outlineLevel="0" collapsed="false">
      <c r="H7512" s="0" t="str">
        <f aca="false">IF(B7512="","",IF(COUNTIF(Campaigns!$A$7:$A$300,B7512)&gt;0,"✓","⚠ add to Campaigns tab"))</f>
        <v/>
      </c>
      <c r="I7512" s="84" t="str">
        <f aca="false">IF(C7512="","",C7512*IF(Settings!$B$22=Settings!$C$6,1,IF(Settings!$B$22="USD",1/INDEX(Settings!$B$29:$B$40,MONTH(A7512)),INDEX(Settings!$B$29:$B$40,MONTH(A7512)))))</f>
        <v/>
      </c>
    </row>
    <row r="7513" customFormat="false" ht="15" hidden="false" customHeight="false" outlineLevel="0" collapsed="false">
      <c r="H7513" s="0" t="str">
        <f aca="false">IF(B7513="","",IF(COUNTIF(Campaigns!$A$7:$A$300,B7513)&gt;0,"✓","⚠ add to Campaigns tab"))</f>
        <v/>
      </c>
      <c r="I7513" s="84" t="str">
        <f aca="false">IF(C7513="","",C7513*IF(Settings!$B$22=Settings!$C$6,1,IF(Settings!$B$22="USD",1/INDEX(Settings!$B$29:$B$40,MONTH(A7513)),INDEX(Settings!$B$29:$B$40,MONTH(A7513)))))</f>
        <v/>
      </c>
    </row>
    <row r="7514" customFormat="false" ht="15" hidden="false" customHeight="false" outlineLevel="0" collapsed="false">
      <c r="H7514" s="0" t="str">
        <f aca="false">IF(B7514="","",IF(COUNTIF(Campaigns!$A$7:$A$300,B7514)&gt;0,"✓","⚠ add to Campaigns tab"))</f>
        <v/>
      </c>
      <c r="I7514" s="84" t="str">
        <f aca="false">IF(C7514="","",C7514*IF(Settings!$B$22=Settings!$C$6,1,IF(Settings!$B$22="USD",1/INDEX(Settings!$B$29:$B$40,MONTH(A7514)),INDEX(Settings!$B$29:$B$40,MONTH(A7514)))))</f>
        <v/>
      </c>
    </row>
    <row r="7515" customFormat="false" ht="15" hidden="false" customHeight="false" outlineLevel="0" collapsed="false">
      <c r="H7515" s="0" t="str">
        <f aca="false">IF(B7515="","",IF(COUNTIF(Campaigns!$A$7:$A$300,B7515)&gt;0,"✓","⚠ add to Campaigns tab"))</f>
        <v/>
      </c>
      <c r="I7515" s="84" t="str">
        <f aca="false">IF(C7515="","",C7515*IF(Settings!$B$22=Settings!$C$6,1,IF(Settings!$B$22="USD",1/INDEX(Settings!$B$29:$B$40,MONTH(A7515)),INDEX(Settings!$B$29:$B$40,MONTH(A7515)))))</f>
        <v/>
      </c>
    </row>
    <row r="7516" customFormat="false" ht="15" hidden="false" customHeight="false" outlineLevel="0" collapsed="false">
      <c r="H7516" s="0" t="str">
        <f aca="false">IF(B7516="","",IF(COUNTIF(Campaigns!$A$7:$A$300,B7516)&gt;0,"✓","⚠ add to Campaigns tab"))</f>
        <v/>
      </c>
      <c r="I7516" s="84" t="str">
        <f aca="false">IF(C7516="","",C7516*IF(Settings!$B$22=Settings!$C$6,1,IF(Settings!$B$22="USD",1/INDEX(Settings!$B$29:$B$40,MONTH(A7516)),INDEX(Settings!$B$29:$B$40,MONTH(A7516)))))</f>
        <v/>
      </c>
    </row>
    <row r="7517" customFormat="false" ht="15" hidden="false" customHeight="false" outlineLevel="0" collapsed="false">
      <c r="H7517" s="0" t="str">
        <f aca="false">IF(B7517="","",IF(COUNTIF(Campaigns!$A$7:$A$300,B7517)&gt;0,"✓","⚠ add to Campaigns tab"))</f>
        <v/>
      </c>
      <c r="I7517" s="84" t="str">
        <f aca="false">IF(C7517="","",C7517*IF(Settings!$B$22=Settings!$C$6,1,IF(Settings!$B$22="USD",1/INDEX(Settings!$B$29:$B$40,MONTH(A7517)),INDEX(Settings!$B$29:$B$40,MONTH(A7517)))))</f>
        <v/>
      </c>
    </row>
    <row r="7518" customFormat="false" ht="15" hidden="false" customHeight="false" outlineLevel="0" collapsed="false">
      <c r="H7518" s="0" t="str">
        <f aca="false">IF(B7518="","",IF(COUNTIF(Campaigns!$A$7:$A$300,B7518)&gt;0,"✓","⚠ add to Campaigns tab"))</f>
        <v/>
      </c>
      <c r="I7518" s="84" t="str">
        <f aca="false">IF(C7518="","",C7518*IF(Settings!$B$22=Settings!$C$6,1,IF(Settings!$B$22="USD",1/INDEX(Settings!$B$29:$B$40,MONTH(A7518)),INDEX(Settings!$B$29:$B$40,MONTH(A7518)))))</f>
        <v/>
      </c>
    </row>
    <row r="7519" customFormat="false" ht="15" hidden="false" customHeight="false" outlineLevel="0" collapsed="false">
      <c r="H7519" s="0" t="str">
        <f aca="false">IF(B7519="","",IF(COUNTIF(Campaigns!$A$7:$A$300,B7519)&gt;0,"✓","⚠ add to Campaigns tab"))</f>
        <v/>
      </c>
      <c r="I7519" s="84" t="str">
        <f aca="false">IF(C7519="","",C7519*IF(Settings!$B$22=Settings!$C$6,1,IF(Settings!$B$22="USD",1/INDEX(Settings!$B$29:$B$40,MONTH(A7519)),INDEX(Settings!$B$29:$B$40,MONTH(A7519)))))</f>
        <v/>
      </c>
    </row>
    <row r="7520" customFormat="false" ht="15" hidden="false" customHeight="false" outlineLevel="0" collapsed="false">
      <c r="H7520" s="0" t="str">
        <f aca="false">IF(B7520="","",IF(COUNTIF(Campaigns!$A$7:$A$300,B7520)&gt;0,"✓","⚠ add to Campaigns tab"))</f>
        <v/>
      </c>
      <c r="I7520" s="84" t="str">
        <f aca="false">IF(C7520="","",C7520*IF(Settings!$B$22=Settings!$C$6,1,IF(Settings!$B$22="USD",1/INDEX(Settings!$B$29:$B$40,MONTH(A7520)),INDEX(Settings!$B$29:$B$40,MONTH(A7520)))))</f>
        <v/>
      </c>
    </row>
    <row r="7521" customFormat="false" ht="15" hidden="false" customHeight="false" outlineLevel="0" collapsed="false">
      <c r="H7521" s="0" t="str">
        <f aca="false">IF(B7521="","",IF(COUNTIF(Campaigns!$A$7:$A$300,B7521)&gt;0,"✓","⚠ add to Campaigns tab"))</f>
        <v/>
      </c>
      <c r="I7521" s="84" t="str">
        <f aca="false">IF(C7521="","",C7521*IF(Settings!$B$22=Settings!$C$6,1,IF(Settings!$B$22="USD",1/INDEX(Settings!$B$29:$B$40,MONTH(A7521)),INDEX(Settings!$B$29:$B$40,MONTH(A7521)))))</f>
        <v/>
      </c>
    </row>
    <row r="7522" customFormat="false" ht="15" hidden="false" customHeight="false" outlineLevel="0" collapsed="false">
      <c r="H7522" s="0" t="str">
        <f aca="false">IF(B7522="","",IF(COUNTIF(Campaigns!$A$7:$A$300,B7522)&gt;0,"✓","⚠ add to Campaigns tab"))</f>
        <v/>
      </c>
      <c r="I7522" s="84" t="str">
        <f aca="false">IF(C7522="","",C7522*IF(Settings!$B$22=Settings!$C$6,1,IF(Settings!$B$22="USD",1/INDEX(Settings!$B$29:$B$40,MONTH(A7522)),INDEX(Settings!$B$29:$B$40,MONTH(A7522)))))</f>
        <v/>
      </c>
    </row>
    <row r="7523" customFormat="false" ht="15" hidden="false" customHeight="false" outlineLevel="0" collapsed="false">
      <c r="H7523" s="0" t="str">
        <f aca="false">IF(B7523="","",IF(COUNTIF(Campaigns!$A$7:$A$300,B7523)&gt;0,"✓","⚠ add to Campaigns tab"))</f>
        <v/>
      </c>
      <c r="I7523" s="84" t="str">
        <f aca="false">IF(C7523="","",C7523*IF(Settings!$B$22=Settings!$C$6,1,IF(Settings!$B$22="USD",1/INDEX(Settings!$B$29:$B$40,MONTH(A7523)),INDEX(Settings!$B$29:$B$40,MONTH(A7523)))))</f>
        <v/>
      </c>
    </row>
    <row r="7524" customFormat="false" ht="15" hidden="false" customHeight="false" outlineLevel="0" collapsed="false">
      <c r="H7524" s="0" t="str">
        <f aca="false">IF(B7524="","",IF(COUNTIF(Campaigns!$A$7:$A$300,B7524)&gt;0,"✓","⚠ add to Campaigns tab"))</f>
        <v/>
      </c>
      <c r="I7524" s="84" t="str">
        <f aca="false">IF(C7524="","",C7524*IF(Settings!$B$22=Settings!$C$6,1,IF(Settings!$B$22="USD",1/INDEX(Settings!$B$29:$B$40,MONTH(A7524)),INDEX(Settings!$B$29:$B$40,MONTH(A7524)))))</f>
        <v/>
      </c>
    </row>
    <row r="7525" customFormat="false" ht="15" hidden="false" customHeight="false" outlineLevel="0" collapsed="false">
      <c r="H7525" s="0" t="str">
        <f aca="false">IF(B7525="","",IF(COUNTIF(Campaigns!$A$7:$A$300,B7525)&gt;0,"✓","⚠ add to Campaigns tab"))</f>
        <v/>
      </c>
      <c r="I7525" s="84" t="str">
        <f aca="false">IF(C7525="","",C7525*IF(Settings!$B$22=Settings!$C$6,1,IF(Settings!$B$22="USD",1/INDEX(Settings!$B$29:$B$40,MONTH(A7525)),INDEX(Settings!$B$29:$B$40,MONTH(A7525)))))</f>
        <v/>
      </c>
    </row>
    <row r="7526" customFormat="false" ht="15" hidden="false" customHeight="false" outlineLevel="0" collapsed="false">
      <c r="H7526" s="0" t="str">
        <f aca="false">IF(B7526="","",IF(COUNTIF(Campaigns!$A$7:$A$300,B7526)&gt;0,"✓","⚠ add to Campaigns tab"))</f>
        <v/>
      </c>
      <c r="I7526" s="84" t="str">
        <f aca="false">IF(C7526="","",C7526*IF(Settings!$B$22=Settings!$C$6,1,IF(Settings!$B$22="USD",1/INDEX(Settings!$B$29:$B$40,MONTH(A7526)),INDEX(Settings!$B$29:$B$40,MONTH(A7526)))))</f>
        <v/>
      </c>
    </row>
    <row r="7527" customFormat="false" ht="15" hidden="false" customHeight="false" outlineLevel="0" collapsed="false">
      <c r="H7527" s="0" t="str">
        <f aca="false">IF(B7527="","",IF(COUNTIF(Campaigns!$A$7:$A$300,B7527)&gt;0,"✓","⚠ add to Campaigns tab"))</f>
        <v/>
      </c>
      <c r="I7527" s="84" t="str">
        <f aca="false">IF(C7527="","",C7527*IF(Settings!$B$22=Settings!$C$6,1,IF(Settings!$B$22="USD",1/INDEX(Settings!$B$29:$B$40,MONTH(A7527)),INDEX(Settings!$B$29:$B$40,MONTH(A7527)))))</f>
        <v/>
      </c>
    </row>
    <row r="7528" customFormat="false" ht="15" hidden="false" customHeight="false" outlineLevel="0" collapsed="false">
      <c r="H7528" s="0" t="str">
        <f aca="false">IF(B7528="","",IF(COUNTIF(Campaigns!$A$7:$A$300,B7528)&gt;0,"✓","⚠ add to Campaigns tab"))</f>
        <v/>
      </c>
      <c r="I7528" s="84" t="str">
        <f aca="false">IF(C7528="","",C7528*IF(Settings!$B$22=Settings!$C$6,1,IF(Settings!$B$22="USD",1/INDEX(Settings!$B$29:$B$40,MONTH(A7528)),INDEX(Settings!$B$29:$B$40,MONTH(A7528)))))</f>
        <v/>
      </c>
    </row>
    <row r="7529" customFormat="false" ht="15" hidden="false" customHeight="false" outlineLevel="0" collapsed="false">
      <c r="H7529" s="0" t="str">
        <f aca="false">IF(B7529="","",IF(COUNTIF(Campaigns!$A$7:$A$300,B7529)&gt;0,"✓","⚠ add to Campaigns tab"))</f>
        <v/>
      </c>
      <c r="I7529" s="84" t="str">
        <f aca="false">IF(C7529="","",C7529*IF(Settings!$B$22=Settings!$C$6,1,IF(Settings!$B$22="USD",1/INDEX(Settings!$B$29:$B$40,MONTH(A7529)),INDEX(Settings!$B$29:$B$40,MONTH(A7529)))))</f>
        <v/>
      </c>
    </row>
    <row r="7530" customFormat="false" ht="15" hidden="false" customHeight="false" outlineLevel="0" collapsed="false">
      <c r="H7530" s="0" t="str">
        <f aca="false">IF(B7530="","",IF(COUNTIF(Campaigns!$A$7:$A$300,B7530)&gt;0,"✓","⚠ add to Campaigns tab"))</f>
        <v/>
      </c>
      <c r="I7530" s="84" t="str">
        <f aca="false">IF(C7530="","",C7530*IF(Settings!$B$22=Settings!$C$6,1,IF(Settings!$B$22="USD",1/INDEX(Settings!$B$29:$B$40,MONTH(A7530)),INDEX(Settings!$B$29:$B$40,MONTH(A7530)))))</f>
        <v/>
      </c>
    </row>
    <row r="7531" customFormat="false" ht="15" hidden="false" customHeight="false" outlineLevel="0" collapsed="false">
      <c r="H7531" s="0" t="str">
        <f aca="false">IF(B7531="","",IF(COUNTIF(Campaigns!$A$7:$A$300,B7531)&gt;0,"✓","⚠ add to Campaigns tab"))</f>
        <v/>
      </c>
      <c r="I7531" s="84" t="str">
        <f aca="false">IF(C7531="","",C7531*IF(Settings!$B$22=Settings!$C$6,1,IF(Settings!$B$22="USD",1/INDEX(Settings!$B$29:$B$40,MONTH(A7531)),INDEX(Settings!$B$29:$B$40,MONTH(A7531)))))</f>
        <v/>
      </c>
    </row>
    <row r="7532" customFormat="false" ht="15" hidden="false" customHeight="false" outlineLevel="0" collapsed="false">
      <c r="H7532" s="0" t="str">
        <f aca="false">IF(B7532="","",IF(COUNTIF(Campaigns!$A$7:$A$300,B7532)&gt;0,"✓","⚠ add to Campaigns tab"))</f>
        <v/>
      </c>
      <c r="I7532" s="84" t="str">
        <f aca="false">IF(C7532="","",C7532*IF(Settings!$B$22=Settings!$C$6,1,IF(Settings!$B$22="USD",1/INDEX(Settings!$B$29:$B$40,MONTH(A7532)),INDEX(Settings!$B$29:$B$40,MONTH(A7532)))))</f>
        <v/>
      </c>
    </row>
    <row r="7533" customFormat="false" ht="15" hidden="false" customHeight="false" outlineLevel="0" collapsed="false">
      <c r="H7533" s="0" t="str">
        <f aca="false">IF(B7533="","",IF(COUNTIF(Campaigns!$A$7:$A$300,B7533)&gt;0,"✓","⚠ add to Campaigns tab"))</f>
        <v/>
      </c>
      <c r="I7533" s="84" t="str">
        <f aca="false">IF(C7533="","",C7533*IF(Settings!$B$22=Settings!$C$6,1,IF(Settings!$B$22="USD",1/INDEX(Settings!$B$29:$B$40,MONTH(A7533)),INDEX(Settings!$B$29:$B$40,MONTH(A7533)))))</f>
        <v/>
      </c>
    </row>
    <row r="7534" customFormat="false" ht="15" hidden="false" customHeight="false" outlineLevel="0" collapsed="false">
      <c r="H7534" s="0" t="str">
        <f aca="false">IF(B7534="","",IF(COUNTIF(Campaigns!$A$7:$A$300,B7534)&gt;0,"✓","⚠ add to Campaigns tab"))</f>
        <v/>
      </c>
      <c r="I7534" s="84" t="str">
        <f aca="false">IF(C7534="","",C7534*IF(Settings!$B$22=Settings!$C$6,1,IF(Settings!$B$22="USD",1/INDEX(Settings!$B$29:$B$40,MONTH(A7534)),INDEX(Settings!$B$29:$B$40,MONTH(A7534)))))</f>
        <v/>
      </c>
    </row>
    <row r="7535" customFormat="false" ht="15" hidden="false" customHeight="false" outlineLevel="0" collapsed="false">
      <c r="H7535" s="0" t="str">
        <f aca="false">IF(B7535="","",IF(COUNTIF(Campaigns!$A$7:$A$300,B7535)&gt;0,"✓","⚠ add to Campaigns tab"))</f>
        <v/>
      </c>
      <c r="I7535" s="84" t="str">
        <f aca="false">IF(C7535="","",C7535*IF(Settings!$B$22=Settings!$C$6,1,IF(Settings!$B$22="USD",1/INDEX(Settings!$B$29:$B$40,MONTH(A7535)),INDEX(Settings!$B$29:$B$40,MONTH(A7535)))))</f>
        <v/>
      </c>
    </row>
    <row r="7536" customFormat="false" ht="15" hidden="false" customHeight="false" outlineLevel="0" collapsed="false">
      <c r="H7536" s="0" t="str">
        <f aca="false">IF(B7536="","",IF(COUNTIF(Campaigns!$A$7:$A$300,B7536)&gt;0,"✓","⚠ add to Campaigns tab"))</f>
        <v/>
      </c>
      <c r="I7536" s="84" t="str">
        <f aca="false">IF(C7536="","",C7536*IF(Settings!$B$22=Settings!$C$6,1,IF(Settings!$B$22="USD",1/INDEX(Settings!$B$29:$B$40,MONTH(A7536)),INDEX(Settings!$B$29:$B$40,MONTH(A7536)))))</f>
        <v/>
      </c>
    </row>
    <row r="7537" customFormat="false" ht="15" hidden="false" customHeight="false" outlineLevel="0" collapsed="false">
      <c r="H7537" s="0" t="str">
        <f aca="false">IF(B7537="","",IF(COUNTIF(Campaigns!$A$7:$A$300,B7537)&gt;0,"✓","⚠ add to Campaigns tab"))</f>
        <v/>
      </c>
      <c r="I7537" s="84" t="str">
        <f aca="false">IF(C7537="","",C7537*IF(Settings!$B$22=Settings!$C$6,1,IF(Settings!$B$22="USD",1/INDEX(Settings!$B$29:$B$40,MONTH(A7537)),INDEX(Settings!$B$29:$B$40,MONTH(A7537)))))</f>
        <v/>
      </c>
    </row>
    <row r="7538" customFormat="false" ht="15" hidden="false" customHeight="false" outlineLevel="0" collapsed="false">
      <c r="H7538" s="0" t="str">
        <f aca="false">IF(B7538="","",IF(COUNTIF(Campaigns!$A$7:$A$300,B7538)&gt;0,"✓","⚠ add to Campaigns tab"))</f>
        <v/>
      </c>
      <c r="I7538" s="84" t="str">
        <f aca="false">IF(C7538="","",C7538*IF(Settings!$B$22=Settings!$C$6,1,IF(Settings!$B$22="USD",1/INDEX(Settings!$B$29:$B$40,MONTH(A7538)),INDEX(Settings!$B$29:$B$40,MONTH(A7538)))))</f>
        <v/>
      </c>
    </row>
    <row r="7539" customFormat="false" ht="15" hidden="false" customHeight="false" outlineLevel="0" collapsed="false">
      <c r="H7539" s="0" t="str">
        <f aca="false">IF(B7539="","",IF(COUNTIF(Campaigns!$A$7:$A$300,B7539)&gt;0,"✓","⚠ add to Campaigns tab"))</f>
        <v/>
      </c>
      <c r="I7539" s="84" t="str">
        <f aca="false">IF(C7539="","",C7539*IF(Settings!$B$22=Settings!$C$6,1,IF(Settings!$B$22="USD",1/INDEX(Settings!$B$29:$B$40,MONTH(A7539)),INDEX(Settings!$B$29:$B$40,MONTH(A7539)))))</f>
        <v/>
      </c>
    </row>
    <row r="7540" customFormat="false" ht="15" hidden="false" customHeight="false" outlineLevel="0" collapsed="false">
      <c r="H7540" s="0" t="str">
        <f aca="false">IF(B7540="","",IF(COUNTIF(Campaigns!$A$7:$A$300,B7540)&gt;0,"✓","⚠ add to Campaigns tab"))</f>
        <v/>
      </c>
      <c r="I7540" s="84" t="str">
        <f aca="false">IF(C7540="","",C7540*IF(Settings!$B$22=Settings!$C$6,1,IF(Settings!$B$22="USD",1/INDEX(Settings!$B$29:$B$40,MONTH(A7540)),INDEX(Settings!$B$29:$B$40,MONTH(A7540)))))</f>
        <v/>
      </c>
    </row>
    <row r="7541" customFormat="false" ht="15" hidden="false" customHeight="false" outlineLevel="0" collapsed="false">
      <c r="H7541" s="0" t="str">
        <f aca="false">IF(B7541="","",IF(COUNTIF(Campaigns!$A$7:$A$300,B7541)&gt;0,"✓","⚠ add to Campaigns tab"))</f>
        <v/>
      </c>
      <c r="I7541" s="84" t="str">
        <f aca="false">IF(C7541="","",C7541*IF(Settings!$B$22=Settings!$C$6,1,IF(Settings!$B$22="USD",1/INDEX(Settings!$B$29:$B$40,MONTH(A7541)),INDEX(Settings!$B$29:$B$40,MONTH(A7541)))))</f>
        <v/>
      </c>
    </row>
    <row r="7542" customFormat="false" ht="15" hidden="false" customHeight="false" outlineLevel="0" collapsed="false">
      <c r="H7542" s="0" t="str">
        <f aca="false">IF(B7542="","",IF(COUNTIF(Campaigns!$A$7:$A$300,B7542)&gt;0,"✓","⚠ add to Campaigns tab"))</f>
        <v/>
      </c>
      <c r="I7542" s="84" t="str">
        <f aca="false">IF(C7542="","",C7542*IF(Settings!$B$22=Settings!$C$6,1,IF(Settings!$B$22="USD",1/INDEX(Settings!$B$29:$B$40,MONTH(A7542)),INDEX(Settings!$B$29:$B$40,MONTH(A7542)))))</f>
        <v/>
      </c>
    </row>
    <row r="7543" customFormat="false" ht="15" hidden="false" customHeight="false" outlineLevel="0" collapsed="false">
      <c r="H7543" s="0" t="str">
        <f aca="false">IF(B7543="","",IF(COUNTIF(Campaigns!$A$7:$A$300,B7543)&gt;0,"✓","⚠ add to Campaigns tab"))</f>
        <v/>
      </c>
      <c r="I7543" s="84" t="str">
        <f aca="false">IF(C7543="","",C7543*IF(Settings!$B$22=Settings!$C$6,1,IF(Settings!$B$22="USD",1/INDEX(Settings!$B$29:$B$40,MONTH(A7543)),INDEX(Settings!$B$29:$B$40,MONTH(A7543)))))</f>
        <v/>
      </c>
    </row>
    <row r="7544" customFormat="false" ht="15" hidden="false" customHeight="false" outlineLevel="0" collapsed="false">
      <c r="H7544" s="0" t="str">
        <f aca="false">IF(B7544="","",IF(COUNTIF(Campaigns!$A$7:$A$300,B7544)&gt;0,"✓","⚠ add to Campaigns tab"))</f>
        <v/>
      </c>
      <c r="I7544" s="84" t="str">
        <f aca="false">IF(C7544="","",C7544*IF(Settings!$B$22=Settings!$C$6,1,IF(Settings!$B$22="USD",1/INDEX(Settings!$B$29:$B$40,MONTH(A7544)),INDEX(Settings!$B$29:$B$40,MONTH(A7544)))))</f>
        <v/>
      </c>
    </row>
    <row r="7545" customFormat="false" ht="15" hidden="false" customHeight="false" outlineLevel="0" collapsed="false">
      <c r="H7545" s="0" t="str">
        <f aca="false">IF(B7545="","",IF(COUNTIF(Campaigns!$A$7:$A$300,B7545)&gt;0,"✓","⚠ add to Campaigns tab"))</f>
        <v/>
      </c>
      <c r="I7545" s="84" t="str">
        <f aca="false">IF(C7545="","",C7545*IF(Settings!$B$22=Settings!$C$6,1,IF(Settings!$B$22="USD",1/INDEX(Settings!$B$29:$B$40,MONTH(A7545)),INDEX(Settings!$B$29:$B$40,MONTH(A7545)))))</f>
        <v/>
      </c>
    </row>
    <row r="7546" customFormat="false" ht="15" hidden="false" customHeight="false" outlineLevel="0" collapsed="false">
      <c r="H7546" s="0" t="str">
        <f aca="false">IF(B7546="","",IF(COUNTIF(Campaigns!$A$7:$A$300,B7546)&gt;0,"✓","⚠ add to Campaigns tab"))</f>
        <v/>
      </c>
      <c r="I7546" s="84" t="str">
        <f aca="false">IF(C7546="","",C7546*IF(Settings!$B$22=Settings!$C$6,1,IF(Settings!$B$22="USD",1/INDEX(Settings!$B$29:$B$40,MONTH(A7546)),INDEX(Settings!$B$29:$B$40,MONTH(A7546)))))</f>
        <v/>
      </c>
    </row>
    <row r="7547" customFormat="false" ht="15" hidden="false" customHeight="false" outlineLevel="0" collapsed="false">
      <c r="H7547" s="0" t="str">
        <f aca="false">IF(B7547="","",IF(COUNTIF(Campaigns!$A$7:$A$300,B7547)&gt;0,"✓","⚠ add to Campaigns tab"))</f>
        <v/>
      </c>
      <c r="I7547" s="84" t="str">
        <f aca="false">IF(C7547="","",C7547*IF(Settings!$B$22=Settings!$C$6,1,IF(Settings!$B$22="USD",1/INDEX(Settings!$B$29:$B$40,MONTH(A7547)),INDEX(Settings!$B$29:$B$40,MONTH(A7547)))))</f>
        <v/>
      </c>
    </row>
    <row r="7548" customFormat="false" ht="15" hidden="false" customHeight="false" outlineLevel="0" collapsed="false">
      <c r="H7548" s="0" t="str">
        <f aca="false">IF(B7548="","",IF(COUNTIF(Campaigns!$A$7:$A$300,B7548)&gt;0,"✓","⚠ add to Campaigns tab"))</f>
        <v/>
      </c>
      <c r="I7548" s="84" t="str">
        <f aca="false">IF(C7548="","",C7548*IF(Settings!$B$22=Settings!$C$6,1,IF(Settings!$B$22="USD",1/INDEX(Settings!$B$29:$B$40,MONTH(A7548)),INDEX(Settings!$B$29:$B$40,MONTH(A7548)))))</f>
        <v/>
      </c>
    </row>
    <row r="7549" customFormat="false" ht="15" hidden="false" customHeight="false" outlineLevel="0" collapsed="false">
      <c r="H7549" s="0" t="str">
        <f aca="false">IF(B7549="","",IF(COUNTIF(Campaigns!$A$7:$A$300,B7549)&gt;0,"✓","⚠ add to Campaigns tab"))</f>
        <v/>
      </c>
      <c r="I7549" s="84" t="str">
        <f aca="false">IF(C7549="","",C7549*IF(Settings!$B$22=Settings!$C$6,1,IF(Settings!$B$22="USD",1/INDEX(Settings!$B$29:$B$40,MONTH(A7549)),INDEX(Settings!$B$29:$B$40,MONTH(A7549)))))</f>
        <v/>
      </c>
    </row>
    <row r="7550" customFormat="false" ht="15" hidden="false" customHeight="false" outlineLevel="0" collapsed="false">
      <c r="H7550" s="0" t="str">
        <f aca="false">IF(B7550="","",IF(COUNTIF(Campaigns!$A$7:$A$300,B7550)&gt;0,"✓","⚠ add to Campaigns tab"))</f>
        <v/>
      </c>
      <c r="I7550" s="84" t="str">
        <f aca="false">IF(C7550="","",C7550*IF(Settings!$B$22=Settings!$C$6,1,IF(Settings!$B$22="USD",1/INDEX(Settings!$B$29:$B$40,MONTH(A7550)),INDEX(Settings!$B$29:$B$40,MONTH(A7550)))))</f>
        <v/>
      </c>
    </row>
    <row r="7551" customFormat="false" ht="15" hidden="false" customHeight="false" outlineLevel="0" collapsed="false">
      <c r="H7551" s="0" t="str">
        <f aca="false">IF(B7551="","",IF(COUNTIF(Campaigns!$A$7:$A$300,B7551)&gt;0,"✓","⚠ add to Campaigns tab"))</f>
        <v/>
      </c>
      <c r="I7551" s="84" t="str">
        <f aca="false">IF(C7551="","",C7551*IF(Settings!$B$22=Settings!$C$6,1,IF(Settings!$B$22="USD",1/INDEX(Settings!$B$29:$B$40,MONTH(A7551)),INDEX(Settings!$B$29:$B$40,MONTH(A7551)))))</f>
        <v/>
      </c>
    </row>
    <row r="7552" customFormat="false" ht="15" hidden="false" customHeight="false" outlineLevel="0" collapsed="false">
      <c r="H7552" s="0" t="str">
        <f aca="false">IF(B7552="","",IF(COUNTIF(Campaigns!$A$7:$A$300,B7552)&gt;0,"✓","⚠ add to Campaigns tab"))</f>
        <v/>
      </c>
      <c r="I7552" s="84" t="str">
        <f aca="false">IF(C7552="","",C7552*IF(Settings!$B$22=Settings!$C$6,1,IF(Settings!$B$22="USD",1/INDEX(Settings!$B$29:$B$40,MONTH(A7552)),INDEX(Settings!$B$29:$B$40,MONTH(A7552)))))</f>
        <v/>
      </c>
    </row>
    <row r="7553" customFormat="false" ht="15" hidden="false" customHeight="false" outlineLevel="0" collapsed="false">
      <c r="H7553" s="0" t="str">
        <f aca="false">IF(B7553="","",IF(COUNTIF(Campaigns!$A$7:$A$300,B7553)&gt;0,"✓","⚠ add to Campaigns tab"))</f>
        <v/>
      </c>
      <c r="I7553" s="84" t="str">
        <f aca="false">IF(C7553="","",C7553*IF(Settings!$B$22=Settings!$C$6,1,IF(Settings!$B$22="USD",1/INDEX(Settings!$B$29:$B$40,MONTH(A7553)),INDEX(Settings!$B$29:$B$40,MONTH(A7553)))))</f>
        <v/>
      </c>
    </row>
    <row r="7554" customFormat="false" ht="15" hidden="false" customHeight="false" outlineLevel="0" collapsed="false">
      <c r="H7554" s="0" t="str">
        <f aca="false">IF(B7554="","",IF(COUNTIF(Campaigns!$A$7:$A$300,B7554)&gt;0,"✓","⚠ add to Campaigns tab"))</f>
        <v/>
      </c>
      <c r="I7554" s="84" t="str">
        <f aca="false">IF(C7554="","",C7554*IF(Settings!$B$22=Settings!$C$6,1,IF(Settings!$B$22="USD",1/INDEX(Settings!$B$29:$B$40,MONTH(A7554)),INDEX(Settings!$B$29:$B$40,MONTH(A7554)))))</f>
        <v/>
      </c>
    </row>
    <row r="7555" customFormat="false" ht="15" hidden="false" customHeight="false" outlineLevel="0" collapsed="false">
      <c r="H7555" s="0" t="str">
        <f aca="false">IF(B7555="","",IF(COUNTIF(Campaigns!$A$7:$A$300,B7555)&gt;0,"✓","⚠ add to Campaigns tab"))</f>
        <v/>
      </c>
      <c r="I7555" s="84" t="str">
        <f aca="false">IF(C7555="","",C7555*IF(Settings!$B$22=Settings!$C$6,1,IF(Settings!$B$22="USD",1/INDEX(Settings!$B$29:$B$40,MONTH(A7555)),INDEX(Settings!$B$29:$B$40,MONTH(A7555)))))</f>
        <v/>
      </c>
    </row>
    <row r="7556" customFormat="false" ht="15" hidden="false" customHeight="false" outlineLevel="0" collapsed="false">
      <c r="H7556" s="0" t="str">
        <f aca="false">IF(B7556="","",IF(COUNTIF(Campaigns!$A$7:$A$300,B7556)&gt;0,"✓","⚠ add to Campaigns tab"))</f>
        <v/>
      </c>
      <c r="I7556" s="84" t="str">
        <f aca="false">IF(C7556="","",C7556*IF(Settings!$B$22=Settings!$C$6,1,IF(Settings!$B$22="USD",1/INDEX(Settings!$B$29:$B$40,MONTH(A7556)),INDEX(Settings!$B$29:$B$40,MONTH(A7556)))))</f>
        <v/>
      </c>
    </row>
    <row r="7557" customFormat="false" ht="15" hidden="false" customHeight="false" outlineLevel="0" collapsed="false">
      <c r="H7557" s="0" t="str">
        <f aca="false">IF(B7557="","",IF(COUNTIF(Campaigns!$A$7:$A$300,B7557)&gt;0,"✓","⚠ add to Campaigns tab"))</f>
        <v/>
      </c>
      <c r="I7557" s="84" t="str">
        <f aca="false">IF(C7557="","",C7557*IF(Settings!$B$22=Settings!$C$6,1,IF(Settings!$B$22="USD",1/INDEX(Settings!$B$29:$B$40,MONTH(A7557)),INDEX(Settings!$B$29:$B$40,MONTH(A7557)))))</f>
        <v/>
      </c>
    </row>
    <row r="7558" customFormat="false" ht="15" hidden="false" customHeight="false" outlineLevel="0" collapsed="false">
      <c r="H7558" s="0" t="str">
        <f aca="false">IF(B7558="","",IF(COUNTIF(Campaigns!$A$7:$A$300,B7558)&gt;0,"✓","⚠ add to Campaigns tab"))</f>
        <v/>
      </c>
      <c r="I7558" s="84" t="str">
        <f aca="false">IF(C7558="","",C7558*IF(Settings!$B$22=Settings!$C$6,1,IF(Settings!$B$22="USD",1/INDEX(Settings!$B$29:$B$40,MONTH(A7558)),INDEX(Settings!$B$29:$B$40,MONTH(A7558)))))</f>
        <v/>
      </c>
    </row>
    <row r="7559" customFormat="false" ht="15" hidden="false" customHeight="false" outlineLevel="0" collapsed="false">
      <c r="H7559" s="0" t="str">
        <f aca="false">IF(B7559="","",IF(COUNTIF(Campaigns!$A$7:$A$300,B7559)&gt;0,"✓","⚠ add to Campaigns tab"))</f>
        <v/>
      </c>
      <c r="I7559" s="84" t="str">
        <f aca="false">IF(C7559="","",C7559*IF(Settings!$B$22=Settings!$C$6,1,IF(Settings!$B$22="USD",1/INDEX(Settings!$B$29:$B$40,MONTH(A7559)),INDEX(Settings!$B$29:$B$40,MONTH(A7559)))))</f>
        <v/>
      </c>
    </row>
    <row r="7560" customFormat="false" ht="15" hidden="false" customHeight="false" outlineLevel="0" collapsed="false">
      <c r="H7560" s="0" t="str">
        <f aca="false">IF(B7560="","",IF(COUNTIF(Campaigns!$A$7:$A$300,B7560)&gt;0,"✓","⚠ add to Campaigns tab"))</f>
        <v/>
      </c>
      <c r="I7560" s="84" t="str">
        <f aca="false">IF(C7560="","",C7560*IF(Settings!$B$22=Settings!$C$6,1,IF(Settings!$B$22="USD",1/INDEX(Settings!$B$29:$B$40,MONTH(A7560)),INDEX(Settings!$B$29:$B$40,MONTH(A7560)))))</f>
        <v/>
      </c>
    </row>
    <row r="7561" customFormat="false" ht="15" hidden="false" customHeight="false" outlineLevel="0" collapsed="false">
      <c r="H7561" s="0" t="str">
        <f aca="false">IF(B7561="","",IF(COUNTIF(Campaigns!$A$7:$A$300,B7561)&gt;0,"✓","⚠ add to Campaigns tab"))</f>
        <v/>
      </c>
      <c r="I7561" s="84" t="str">
        <f aca="false">IF(C7561="","",C7561*IF(Settings!$B$22=Settings!$C$6,1,IF(Settings!$B$22="USD",1/INDEX(Settings!$B$29:$B$40,MONTH(A7561)),INDEX(Settings!$B$29:$B$40,MONTH(A7561)))))</f>
        <v/>
      </c>
    </row>
    <row r="7562" customFormat="false" ht="15" hidden="false" customHeight="false" outlineLevel="0" collapsed="false">
      <c r="H7562" s="0" t="str">
        <f aca="false">IF(B7562="","",IF(COUNTIF(Campaigns!$A$7:$A$300,B7562)&gt;0,"✓","⚠ add to Campaigns tab"))</f>
        <v/>
      </c>
      <c r="I7562" s="84" t="str">
        <f aca="false">IF(C7562="","",C7562*IF(Settings!$B$22=Settings!$C$6,1,IF(Settings!$B$22="USD",1/INDEX(Settings!$B$29:$B$40,MONTH(A7562)),INDEX(Settings!$B$29:$B$40,MONTH(A7562)))))</f>
        <v/>
      </c>
    </row>
    <row r="7563" customFormat="false" ht="15" hidden="false" customHeight="false" outlineLevel="0" collapsed="false">
      <c r="H7563" s="0" t="str">
        <f aca="false">IF(B7563="","",IF(COUNTIF(Campaigns!$A$7:$A$300,B7563)&gt;0,"✓","⚠ add to Campaigns tab"))</f>
        <v/>
      </c>
      <c r="I7563" s="84" t="str">
        <f aca="false">IF(C7563="","",C7563*IF(Settings!$B$22=Settings!$C$6,1,IF(Settings!$B$22="USD",1/INDEX(Settings!$B$29:$B$40,MONTH(A7563)),INDEX(Settings!$B$29:$B$40,MONTH(A7563)))))</f>
        <v/>
      </c>
    </row>
    <row r="7564" customFormat="false" ht="15" hidden="false" customHeight="false" outlineLevel="0" collapsed="false">
      <c r="H7564" s="0" t="str">
        <f aca="false">IF(B7564="","",IF(COUNTIF(Campaigns!$A$7:$A$300,B7564)&gt;0,"✓","⚠ add to Campaigns tab"))</f>
        <v/>
      </c>
      <c r="I7564" s="84" t="str">
        <f aca="false">IF(C7564="","",C7564*IF(Settings!$B$22=Settings!$C$6,1,IF(Settings!$B$22="USD",1/INDEX(Settings!$B$29:$B$40,MONTH(A7564)),INDEX(Settings!$B$29:$B$40,MONTH(A7564)))))</f>
        <v/>
      </c>
    </row>
    <row r="7565" customFormat="false" ht="15" hidden="false" customHeight="false" outlineLevel="0" collapsed="false">
      <c r="H7565" s="0" t="str">
        <f aca="false">IF(B7565="","",IF(COUNTIF(Campaigns!$A$7:$A$300,B7565)&gt;0,"✓","⚠ add to Campaigns tab"))</f>
        <v/>
      </c>
      <c r="I7565" s="84" t="str">
        <f aca="false">IF(C7565="","",C7565*IF(Settings!$B$22=Settings!$C$6,1,IF(Settings!$B$22="USD",1/INDEX(Settings!$B$29:$B$40,MONTH(A7565)),INDEX(Settings!$B$29:$B$40,MONTH(A7565)))))</f>
        <v/>
      </c>
    </row>
    <row r="7566" customFormat="false" ht="15" hidden="false" customHeight="false" outlineLevel="0" collapsed="false">
      <c r="H7566" s="0" t="str">
        <f aca="false">IF(B7566="","",IF(COUNTIF(Campaigns!$A$7:$A$300,B7566)&gt;0,"✓","⚠ add to Campaigns tab"))</f>
        <v/>
      </c>
      <c r="I7566" s="84" t="str">
        <f aca="false">IF(C7566="","",C7566*IF(Settings!$B$22=Settings!$C$6,1,IF(Settings!$B$22="USD",1/INDEX(Settings!$B$29:$B$40,MONTH(A7566)),INDEX(Settings!$B$29:$B$40,MONTH(A7566)))))</f>
        <v/>
      </c>
    </row>
    <row r="7567" customFormat="false" ht="15" hidden="false" customHeight="false" outlineLevel="0" collapsed="false">
      <c r="H7567" s="0" t="str">
        <f aca="false">IF(B7567="","",IF(COUNTIF(Campaigns!$A$7:$A$300,B7567)&gt;0,"✓","⚠ add to Campaigns tab"))</f>
        <v/>
      </c>
      <c r="I7567" s="84" t="str">
        <f aca="false">IF(C7567="","",C7567*IF(Settings!$B$22=Settings!$C$6,1,IF(Settings!$B$22="USD",1/INDEX(Settings!$B$29:$B$40,MONTH(A7567)),INDEX(Settings!$B$29:$B$40,MONTH(A7567)))))</f>
        <v/>
      </c>
    </row>
    <row r="7568" customFormat="false" ht="15" hidden="false" customHeight="false" outlineLevel="0" collapsed="false">
      <c r="H7568" s="0" t="str">
        <f aca="false">IF(B7568="","",IF(COUNTIF(Campaigns!$A$7:$A$300,B7568)&gt;0,"✓","⚠ add to Campaigns tab"))</f>
        <v/>
      </c>
      <c r="I7568" s="84" t="str">
        <f aca="false">IF(C7568="","",C7568*IF(Settings!$B$22=Settings!$C$6,1,IF(Settings!$B$22="USD",1/INDEX(Settings!$B$29:$B$40,MONTH(A7568)),INDEX(Settings!$B$29:$B$40,MONTH(A7568)))))</f>
        <v/>
      </c>
    </row>
    <row r="7569" customFormat="false" ht="15" hidden="false" customHeight="false" outlineLevel="0" collapsed="false">
      <c r="H7569" s="0" t="str">
        <f aca="false">IF(B7569="","",IF(COUNTIF(Campaigns!$A$7:$A$300,B7569)&gt;0,"✓","⚠ add to Campaigns tab"))</f>
        <v/>
      </c>
      <c r="I7569" s="84" t="str">
        <f aca="false">IF(C7569="","",C7569*IF(Settings!$B$22=Settings!$C$6,1,IF(Settings!$B$22="USD",1/INDEX(Settings!$B$29:$B$40,MONTH(A7569)),INDEX(Settings!$B$29:$B$40,MONTH(A7569)))))</f>
        <v/>
      </c>
    </row>
    <row r="7570" customFormat="false" ht="15" hidden="false" customHeight="false" outlineLevel="0" collapsed="false">
      <c r="H7570" s="0" t="str">
        <f aca="false">IF(B7570="","",IF(COUNTIF(Campaigns!$A$7:$A$300,B7570)&gt;0,"✓","⚠ add to Campaigns tab"))</f>
        <v/>
      </c>
      <c r="I7570" s="84" t="str">
        <f aca="false">IF(C7570="","",C7570*IF(Settings!$B$22=Settings!$C$6,1,IF(Settings!$B$22="USD",1/INDEX(Settings!$B$29:$B$40,MONTH(A7570)),INDEX(Settings!$B$29:$B$40,MONTH(A7570)))))</f>
        <v/>
      </c>
    </row>
    <row r="7571" customFormat="false" ht="15" hidden="false" customHeight="false" outlineLevel="0" collapsed="false">
      <c r="H7571" s="0" t="str">
        <f aca="false">IF(B7571="","",IF(COUNTIF(Campaigns!$A$7:$A$300,B7571)&gt;0,"✓","⚠ add to Campaigns tab"))</f>
        <v/>
      </c>
      <c r="I7571" s="84" t="str">
        <f aca="false">IF(C7571="","",C7571*IF(Settings!$B$22=Settings!$C$6,1,IF(Settings!$B$22="USD",1/INDEX(Settings!$B$29:$B$40,MONTH(A7571)),INDEX(Settings!$B$29:$B$40,MONTH(A7571)))))</f>
        <v/>
      </c>
    </row>
    <row r="7572" customFormat="false" ht="15" hidden="false" customHeight="false" outlineLevel="0" collapsed="false">
      <c r="H7572" s="0" t="str">
        <f aca="false">IF(B7572="","",IF(COUNTIF(Campaigns!$A$7:$A$300,B7572)&gt;0,"✓","⚠ add to Campaigns tab"))</f>
        <v/>
      </c>
      <c r="I7572" s="84" t="str">
        <f aca="false">IF(C7572="","",C7572*IF(Settings!$B$22=Settings!$C$6,1,IF(Settings!$B$22="USD",1/INDEX(Settings!$B$29:$B$40,MONTH(A7572)),INDEX(Settings!$B$29:$B$40,MONTH(A7572)))))</f>
        <v/>
      </c>
    </row>
    <row r="7573" customFormat="false" ht="15" hidden="false" customHeight="false" outlineLevel="0" collapsed="false">
      <c r="H7573" s="0" t="str">
        <f aca="false">IF(B7573="","",IF(COUNTIF(Campaigns!$A$7:$A$300,B7573)&gt;0,"✓","⚠ add to Campaigns tab"))</f>
        <v/>
      </c>
      <c r="I7573" s="84" t="str">
        <f aca="false">IF(C7573="","",C7573*IF(Settings!$B$22=Settings!$C$6,1,IF(Settings!$B$22="USD",1/INDEX(Settings!$B$29:$B$40,MONTH(A7573)),INDEX(Settings!$B$29:$B$40,MONTH(A7573)))))</f>
        <v/>
      </c>
    </row>
    <row r="7574" customFormat="false" ht="15" hidden="false" customHeight="false" outlineLevel="0" collapsed="false">
      <c r="H7574" s="0" t="str">
        <f aca="false">IF(B7574="","",IF(COUNTIF(Campaigns!$A$7:$A$300,B7574)&gt;0,"✓","⚠ add to Campaigns tab"))</f>
        <v/>
      </c>
      <c r="I7574" s="84" t="str">
        <f aca="false">IF(C7574="","",C7574*IF(Settings!$B$22=Settings!$C$6,1,IF(Settings!$B$22="USD",1/INDEX(Settings!$B$29:$B$40,MONTH(A7574)),INDEX(Settings!$B$29:$B$40,MONTH(A7574)))))</f>
        <v/>
      </c>
    </row>
    <row r="7575" customFormat="false" ht="15" hidden="false" customHeight="false" outlineLevel="0" collapsed="false">
      <c r="H7575" s="0" t="str">
        <f aca="false">IF(B7575="","",IF(COUNTIF(Campaigns!$A$7:$A$300,B7575)&gt;0,"✓","⚠ add to Campaigns tab"))</f>
        <v/>
      </c>
      <c r="I7575" s="84" t="str">
        <f aca="false">IF(C7575="","",C7575*IF(Settings!$B$22=Settings!$C$6,1,IF(Settings!$B$22="USD",1/INDEX(Settings!$B$29:$B$40,MONTH(A7575)),INDEX(Settings!$B$29:$B$40,MONTH(A7575)))))</f>
        <v/>
      </c>
    </row>
    <row r="7576" customFormat="false" ht="15" hidden="false" customHeight="false" outlineLevel="0" collapsed="false">
      <c r="H7576" s="0" t="str">
        <f aca="false">IF(B7576="","",IF(COUNTIF(Campaigns!$A$7:$A$300,B7576)&gt;0,"✓","⚠ add to Campaigns tab"))</f>
        <v/>
      </c>
      <c r="I7576" s="84" t="str">
        <f aca="false">IF(C7576="","",C7576*IF(Settings!$B$22=Settings!$C$6,1,IF(Settings!$B$22="USD",1/INDEX(Settings!$B$29:$B$40,MONTH(A7576)),INDEX(Settings!$B$29:$B$40,MONTH(A7576)))))</f>
        <v/>
      </c>
    </row>
    <row r="7577" customFormat="false" ht="15" hidden="false" customHeight="false" outlineLevel="0" collapsed="false">
      <c r="H7577" s="0" t="str">
        <f aca="false">IF(B7577="","",IF(COUNTIF(Campaigns!$A$7:$A$300,B7577)&gt;0,"✓","⚠ add to Campaigns tab"))</f>
        <v/>
      </c>
      <c r="I7577" s="84" t="str">
        <f aca="false">IF(C7577="","",C7577*IF(Settings!$B$22=Settings!$C$6,1,IF(Settings!$B$22="USD",1/INDEX(Settings!$B$29:$B$40,MONTH(A7577)),INDEX(Settings!$B$29:$B$40,MONTH(A7577)))))</f>
        <v/>
      </c>
    </row>
    <row r="7578" customFormat="false" ht="15" hidden="false" customHeight="false" outlineLevel="0" collapsed="false">
      <c r="H7578" s="0" t="str">
        <f aca="false">IF(B7578="","",IF(COUNTIF(Campaigns!$A$7:$A$300,B7578)&gt;0,"✓","⚠ add to Campaigns tab"))</f>
        <v/>
      </c>
      <c r="I7578" s="84" t="str">
        <f aca="false">IF(C7578="","",C7578*IF(Settings!$B$22=Settings!$C$6,1,IF(Settings!$B$22="USD",1/INDEX(Settings!$B$29:$B$40,MONTH(A7578)),INDEX(Settings!$B$29:$B$40,MONTH(A7578)))))</f>
        <v/>
      </c>
    </row>
    <row r="7579" customFormat="false" ht="15" hidden="false" customHeight="false" outlineLevel="0" collapsed="false">
      <c r="H7579" s="0" t="str">
        <f aca="false">IF(B7579="","",IF(COUNTIF(Campaigns!$A$7:$A$300,B7579)&gt;0,"✓","⚠ add to Campaigns tab"))</f>
        <v/>
      </c>
      <c r="I7579" s="84" t="str">
        <f aca="false">IF(C7579="","",C7579*IF(Settings!$B$22=Settings!$C$6,1,IF(Settings!$B$22="USD",1/INDEX(Settings!$B$29:$B$40,MONTH(A7579)),INDEX(Settings!$B$29:$B$40,MONTH(A7579)))))</f>
        <v/>
      </c>
    </row>
    <row r="7580" customFormat="false" ht="15" hidden="false" customHeight="false" outlineLevel="0" collapsed="false">
      <c r="H7580" s="0" t="str">
        <f aca="false">IF(B7580="","",IF(COUNTIF(Campaigns!$A$7:$A$300,B7580)&gt;0,"✓","⚠ add to Campaigns tab"))</f>
        <v/>
      </c>
      <c r="I7580" s="84" t="str">
        <f aca="false">IF(C7580="","",C7580*IF(Settings!$B$22=Settings!$C$6,1,IF(Settings!$B$22="USD",1/INDEX(Settings!$B$29:$B$40,MONTH(A7580)),INDEX(Settings!$B$29:$B$40,MONTH(A7580)))))</f>
        <v/>
      </c>
    </row>
    <row r="7581" customFormat="false" ht="15" hidden="false" customHeight="false" outlineLevel="0" collapsed="false">
      <c r="H7581" s="0" t="str">
        <f aca="false">IF(B7581="","",IF(COUNTIF(Campaigns!$A$7:$A$300,B7581)&gt;0,"✓","⚠ add to Campaigns tab"))</f>
        <v/>
      </c>
      <c r="I7581" s="84" t="str">
        <f aca="false">IF(C7581="","",C7581*IF(Settings!$B$22=Settings!$C$6,1,IF(Settings!$B$22="USD",1/INDEX(Settings!$B$29:$B$40,MONTH(A7581)),INDEX(Settings!$B$29:$B$40,MONTH(A7581)))))</f>
        <v/>
      </c>
    </row>
    <row r="7582" customFormat="false" ht="15" hidden="false" customHeight="false" outlineLevel="0" collapsed="false">
      <c r="H7582" s="0" t="str">
        <f aca="false">IF(B7582="","",IF(COUNTIF(Campaigns!$A$7:$A$300,B7582)&gt;0,"✓","⚠ add to Campaigns tab"))</f>
        <v/>
      </c>
      <c r="I7582" s="84" t="str">
        <f aca="false">IF(C7582="","",C7582*IF(Settings!$B$22=Settings!$C$6,1,IF(Settings!$B$22="USD",1/INDEX(Settings!$B$29:$B$40,MONTH(A7582)),INDEX(Settings!$B$29:$B$40,MONTH(A7582)))))</f>
        <v/>
      </c>
    </row>
    <row r="7583" customFormat="false" ht="15" hidden="false" customHeight="false" outlineLevel="0" collapsed="false">
      <c r="H7583" s="0" t="str">
        <f aca="false">IF(B7583="","",IF(COUNTIF(Campaigns!$A$7:$A$300,B7583)&gt;0,"✓","⚠ add to Campaigns tab"))</f>
        <v/>
      </c>
      <c r="I7583" s="84" t="str">
        <f aca="false">IF(C7583="","",C7583*IF(Settings!$B$22=Settings!$C$6,1,IF(Settings!$B$22="USD",1/INDEX(Settings!$B$29:$B$40,MONTH(A7583)),INDEX(Settings!$B$29:$B$40,MONTH(A7583)))))</f>
        <v/>
      </c>
    </row>
    <row r="7584" customFormat="false" ht="15" hidden="false" customHeight="false" outlineLevel="0" collapsed="false">
      <c r="H7584" s="0" t="str">
        <f aca="false">IF(B7584="","",IF(COUNTIF(Campaigns!$A$7:$A$300,B7584)&gt;0,"✓","⚠ add to Campaigns tab"))</f>
        <v/>
      </c>
      <c r="I7584" s="84" t="str">
        <f aca="false">IF(C7584="","",C7584*IF(Settings!$B$22=Settings!$C$6,1,IF(Settings!$B$22="USD",1/INDEX(Settings!$B$29:$B$40,MONTH(A7584)),INDEX(Settings!$B$29:$B$40,MONTH(A7584)))))</f>
        <v/>
      </c>
    </row>
    <row r="7585" customFormat="false" ht="15" hidden="false" customHeight="false" outlineLevel="0" collapsed="false">
      <c r="H7585" s="0" t="str">
        <f aca="false">IF(B7585="","",IF(COUNTIF(Campaigns!$A$7:$A$300,B7585)&gt;0,"✓","⚠ add to Campaigns tab"))</f>
        <v/>
      </c>
      <c r="I7585" s="84" t="str">
        <f aca="false">IF(C7585="","",C7585*IF(Settings!$B$22=Settings!$C$6,1,IF(Settings!$B$22="USD",1/INDEX(Settings!$B$29:$B$40,MONTH(A7585)),INDEX(Settings!$B$29:$B$40,MONTH(A7585)))))</f>
        <v/>
      </c>
    </row>
    <row r="7586" customFormat="false" ht="15" hidden="false" customHeight="false" outlineLevel="0" collapsed="false">
      <c r="H7586" s="0" t="str">
        <f aca="false">IF(B7586="","",IF(COUNTIF(Campaigns!$A$7:$A$300,B7586)&gt;0,"✓","⚠ add to Campaigns tab"))</f>
        <v/>
      </c>
      <c r="I7586" s="84" t="str">
        <f aca="false">IF(C7586="","",C7586*IF(Settings!$B$22=Settings!$C$6,1,IF(Settings!$B$22="USD",1/INDEX(Settings!$B$29:$B$40,MONTH(A7586)),INDEX(Settings!$B$29:$B$40,MONTH(A7586)))))</f>
        <v/>
      </c>
    </row>
    <row r="7587" customFormat="false" ht="15" hidden="false" customHeight="false" outlineLevel="0" collapsed="false">
      <c r="H7587" s="0" t="str">
        <f aca="false">IF(B7587="","",IF(COUNTIF(Campaigns!$A$7:$A$300,B7587)&gt;0,"✓","⚠ add to Campaigns tab"))</f>
        <v/>
      </c>
      <c r="I7587" s="84" t="str">
        <f aca="false">IF(C7587="","",C7587*IF(Settings!$B$22=Settings!$C$6,1,IF(Settings!$B$22="USD",1/INDEX(Settings!$B$29:$B$40,MONTH(A7587)),INDEX(Settings!$B$29:$B$40,MONTH(A7587)))))</f>
        <v/>
      </c>
    </row>
    <row r="7588" customFormat="false" ht="15" hidden="false" customHeight="false" outlineLevel="0" collapsed="false">
      <c r="H7588" s="0" t="str">
        <f aca="false">IF(B7588="","",IF(COUNTIF(Campaigns!$A$7:$A$300,B7588)&gt;0,"✓","⚠ add to Campaigns tab"))</f>
        <v/>
      </c>
      <c r="I7588" s="84" t="str">
        <f aca="false">IF(C7588="","",C7588*IF(Settings!$B$22=Settings!$C$6,1,IF(Settings!$B$22="USD",1/INDEX(Settings!$B$29:$B$40,MONTH(A7588)),INDEX(Settings!$B$29:$B$40,MONTH(A7588)))))</f>
        <v/>
      </c>
    </row>
    <row r="7589" customFormat="false" ht="15" hidden="false" customHeight="false" outlineLevel="0" collapsed="false">
      <c r="H7589" s="0" t="str">
        <f aca="false">IF(B7589="","",IF(COUNTIF(Campaigns!$A$7:$A$300,B7589)&gt;0,"✓","⚠ add to Campaigns tab"))</f>
        <v/>
      </c>
      <c r="I7589" s="84" t="str">
        <f aca="false">IF(C7589="","",C7589*IF(Settings!$B$22=Settings!$C$6,1,IF(Settings!$B$22="USD",1/INDEX(Settings!$B$29:$B$40,MONTH(A7589)),INDEX(Settings!$B$29:$B$40,MONTH(A7589)))))</f>
        <v/>
      </c>
    </row>
    <row r="7590" customFormat="false" ht="15" hidden="false" customHeight="false" outlineLevel="0" collapsed="false">
      <c r="H7590" s="0" t="str">
        <f aca="false">IF(B7590="","",IF(COUNTIF(Campaigns!$A$7:$A$300,B7590)&gt;0,"✓","⚠ add to Campaigns tab"))</f>
        <v/>
      </c>
      <c r="I7590" s="84" t="str">
        <f aca="false">IF(C7590="","",C7590*IF(Settings!$B$22=Settings!$C$6,1,IF(Settings!$B$22="USD",1/INDEX(Settings!$B$29:$B$40,MONTH(A7590)),INDEX(Settings!$B$29:$B$40,MONTH(A7590)))))</f>
        <v/>
      </c>
    </row>
    <row r="7591" customFormat="false" ht="15" hidden="false" customHeight="false" outlineLevel="0" collapsed="false">
      <c r="H7591" s="0" t="str">
        <f aca="false">IF(B7591="","",IF(COUNTIF(Campaigns!$A$7:$A$300,B7591)&gt;0,"✓","⚠ add to Campaigns tab"))</f>
        <v/>
      </c>
      <c r="I7591" s="84" t="str">
        <f aca="false">IF(C7591="","",C7591*IF(Settings!$B$22=Settings!$C$6,1,IF(Settings!$B$22="USD",1/INDEX(Settings!$B$29:$B$40,MONTH(A7591)),INDEX(Settings!$B$29:$B$40,MONTH(A7591)))))</f>
        <v/>
      </c>
    </row>
    <row r="7592" customFormat="false" ht="15" hidden="false" customHeight="false" outlineLevel="0" collapsed="false">
      <c r="H7592" s="0" t="str">
        <f aca="false">IF(B7592="","",IF(COUNTIF(Campaigns!$A$7:$A$300,B7592)&gt;0,"✓","⚠ add to Campaigns tab"))</f>
        <v/>
      </c>
      <c r="I7592" s="84" t="str">
        <f aca="false">IF(C7592="","",C7592*IF(Settings!$B$22=Settings!$C$6,1,IF(Settings!$B$22="USD",1/INDEX(Settings!$B$29:$B$40,MONTH(A7592)),INDEX(Settings!$B$29:$B$40,MONTH(A7592)))))</f>
        <v/>
      </c>
    </row>
    <row r="7593" customFormat="false" ht="15" hidden="false" customHeight="false" outlineLevel="0" collapsed="false">
      <c r="H7593" s="0" t="str">
        <f aca="false">IF(B7593="","",IF(COUNTIF(Campaigns!$A$7:$A$300,B7593)&gt;0,"✓","⚠ add to Campaigns tab"))</f>
        <v/>
      </c>
      <c r="I7593" s="84" t="str">
        <f aca="false">IF(C7593="","",C7593*IF(Settings!$B$22=Settings!$C$6,1,IF(Settings!$B$22="USD",1/INDEX(Settings!$B$29:$B$40,MONTH(A7593)),INDEX(Settings!$B$29:$B$40,MONTH(A7593)))))</f>
        <v/>
      </c>
    </row>
    <row r="7594" customFormat="false" ht="15" hidden="false" customHeight="false" outlineLevel="0" collapsed="false">
      <c r="H7594" s="0" t="str">
        <f aca="false">IF(B7594="","",IF(COUNTIF(Campaigns!$A$7:$A$300,B7594)&gt;0,"✓","⚠ add to Campaigns tab"))</f>
        <v/>
      </c>
      <c r="I7594" s="84" t="str">
        <f aca="false">IF(C7594="","",C7594*IF(Settings!$B$22=Settings!$C$6,1,IF(Settings!$B$22="USD",1/INDEX(Settings!$B$29:$B$40,MONTH(A7594)),INDEX(Settings!$B$29:$B$40,MONTH(A7594)))))</f>
        <v/>
      </c>
    </row>
    <row r="7595" customFormat="false" ht="15" hidden="false" customHeight="false" outlineLevel="0" collapsed="false">
      <c r="H7595" s="0" t="str">
        <f aca="false">IF(B7595="","",IF(COUNTIF(Campaigns!$A$7:$A$300,B7595)&gt;0,"✓","⚠ add to Campaigns tab"))</f>
        <v/>
      </c>
      <c r="I7595" s="84" t="str">
        <f aca="false">IF(C7595="","",C7595*IF(Settings!$B$22=Settings!$C$6,1,IF(Settings!$B$22="USD",1/INDEX(Settings!$B$29:$B$40,MONTH(A7595)),INDEX(Settings!$B$29:$B$40,MONTH(A7595)))))</f>
        <v/>
      </c>
    </row>
    <row r="7596" customFormat="false" ht="15" hidden="false" customHeight="false" outlineLevel="0" collapsed="false">
      <c r="H7596" s="0" t="str">
        <f aca="false">IF(B7596="","",IF(COUNTIF(Campaigns!$A$7:$A$300,B7596)&gt;0,"✓","⚠ add to Campaigns tab"))</f>
        <v/>
      </c>
      <c r="I7596" s="84" t="str">
        <f aca="false">IF(C7596="","",C7596*IF(Settings!$B$22=Settings!$C$6,1,IF(Settings!$B$22="USD",1/INDEX(Settings!$B$29:$B$40,MONTH(A7596)),INDEX(Settings!$B$29:$B$40,MONTH(A7596)))))</f>
        <v/>
      </c>
    </row>
    <row r="7597" customFormat="false" ht="15" hidden="false" customHeight="false" outlineLevel="0" collapsed="false">
      <c r="H7597" s="0" t="str">
        <f aca="false">IF(B7597="","",IF(COUNTIF(Campaigns!$A$7:$A$300,B7597)&gt;0,"✓","⚠ add to Campaigns tab"))</f>
        <v/>
      </c>
      <c r="I7597" s="84" t="str">
        <f aca="false">IF(C7597="","",C7597*IF(Settings!$B$22=Settings!$C$6,1,IF(Settings!$B$22="USD",1/INDEX(Settings!$B$29:$B$40,MONTH(A7597)),INDEX(Settings!$B$29:$B$40,MONTH(A7597)))))</f>
        <v/>
      </c>
    </row>
    <row r="7598" customFormat="false" ht="15" hidden="false" customHeight="false" outlineLevel="0" collapsed="false">
      <c r="H7598" s="0" t="str">
        <f aca="false">IF(B7598="","",IF(COUNTIF(Campaigns!$A$7:$A$300,B7598)&gt;0,"✓","⚠ add to Campaigns tab"))</f>
        <v/>
      </c>
      <c r="I7598" s="84" t="str">
        <f aca="false">IF(C7598="","",C7598*IF(Settings!$B$22=Settings!$C$6,1,IF(Settings!$B$22="USD",1/INDEX(Settings!$B$29:$B$40,MONTH(A7598)),INDEX(Settings!$B$29:$B$40,MONTH(A7598)))))</f>
        <v/>
      </c>
    </row>
    <row r="7599" customFormat="false" ht="15" hidden="false" customHeight="false" outlineLevel="0" collapsed="false">
      <c r="H7599" s="0" t="str">
        <f aca="false">IF(B7599="","",IF(COUNTIF(Campaigns!$A$7:$A$300,B7599)&gt;0,"✓","⚠ add to Campaigns tab"))</f>
        <v/>
      </c>
      <c r="I7599" s="84" t="str">
        <f aca="false">IF(C7599="","",C7599*IF(Settings!$B$22=Settings!$C$6,1,IF(Settings!$B$22="USD",1/INDEX(Settings!$B$29:$B$40,MONTH(A7599)),INDEX(Settings!$B$29:$B$40,MONTH(A7599)))))</f>
        <v/>
      </c>
    </row>
    <row r="7600" customFormat="false" ht="15" hidden="false" customHeight="false" outlineLevel="0" collapsed="false">
      <c r="H7600" s="0" t="str">
        <f aca="false">IF(B7600="","",IF(COUNTIF(Campaigns!$A$7:$A$300,B7600)&gt;0,"✓","⚠ add to Campaigns tab"))</f>
        <v/>
      </c>
      <c r="I7600" s="84" t="str">
        <f aca="false">IF(C7600="","",C7600*IF(Settings!$B$22=Settings!$C$6,1,IF(Settings!$B$22="USD",1/INDEX(Settings!$B$29:$B$40,MONTH(A7600)),INDEX(Settings!$B$29:$B$40,MONTH(A7600)))))</f>
        <v/>
      </c>
    </row>
    <row r="7601" customFormat="false" ht="15" hidden="false" customHeight="false" outlineLevel="0" collapsed="false">
      <c r="H7601" s="0" t="str">
        <f aca="false">IF(B7601="","",IF(COUNTIF(Campaigns!$A$7:$A$300,B7601)&gt;0,"✓","⚠ add to Campaigns tab"))</f>
        <v/>
      </c>
      <c r="I7601" s="84" t="str">
        <f aca="false">IF(C7601="","",C7601*IF(Settings!$B$22=Settings!$C$6,1,IF(Settings!$B$22="USD",1/INDEX(Settings!$B$29:$B$40,MONTH(A7601)),INDEX(Settings!$B$29:$B$40,MONTH(A7601)))))</f>
        <v/>
      </c>
    </row>
    <row r="7602" customFormat="false" ht="15" hidden="false" customHeight="false" outlineLevel="0" collapsed="false">
      <c r="H7602" s="0" t="str">
        <f aca="false">IF(B7602="","",IF(COUNTIF(Campaigns!$A$7:$A$300,B7602)&gt;0,"✓","⚠ add to Campaigns tab"))</f>
        <v/>
      </c>
      <c r="I7602" s="84" t="str">
        <f aca="false">IF(C7602="","",C7602*IF(Settings!$B$22=Settings!$C$6,1,IF(Settings!$B$22="USD",1/INDEX(Settings!$B$29:$B$40,MONTH(A7602)),INDEX(Settings!$B$29:$B$40,MONTH(A7602)))))</f>
        <v/>
      </c>
    </row>
    <row r="7603" customFormat="false" ht="15" hidden="false" customHeight="false" outlineLevel="0" collapsed="false">
      <c r="H7603" s="0" t="str">
        <f aca="false">IF(B7603="","",IF(COUNTIF(Campaigns!$A$7:$A$300,B7603)&gt;0,"✓","⚠ add to Campaigns tab"))</f>
        <v/>
      </c>
      <c r="I7603" s="84" t="str">
        <f aca="false">IF(C7603="","",C7603*IF(Settings!$B$22=Settings!$C$6,1,IF(Settings!$B$22="USD",1/INDEX(Settings!$B$29:$B$40,MONTH(A7603)),INDEX(Settings!$B$29:$B$40,MONTH(A7603)))))</f>
        <v/>
      </c>
    </row>
    <row r="7604" customFormat="false" ht="15" hidden="false" customHeight="false" outlineLevel="0" collapsed="false">
      <c r="H7604" s="0" t="str">
        <f aca="false">IF(B7604="","",IF(COUNTIF(Campaigns!$A$7:$A$300,B7604)&gt;0,"✓","⚠ add to Campaigns tab"))</f>
        <v/>
      </c>
      <c r="I7604" s="84" t="str">
        <f aca="false">IF(C7604="","",C7604*IF(Settings!$B$22=Settings!$C$6,1,IF(Settings!$B$22="USD",1/INDEX(Settings!$B$29:$B$40,MONTH(A7604)),INDEX(Settings!$B$29:$B$40,MONTH(A7604)))))</f>
        <v/>
      </c>
    </row>
    <row r="7605" customFormat="false" ht="15" hidden="false" customHeight="false" outlineLevel="0" collapsed="false">
      <c r="H7605" s="0" t="str">
        <f aca="false">IF(B7605="","",IF(COUNTIF(Campaigns!$A$7:$A$300,B7605)&gt;0,"✓","⚠ add to Campaigns tab"))</f>
        <v/>
      </c>
      <c r="I7605" s="84" t="str">
        <f aca="false">IF(C7605="","",C7605*IF(Settings!$B$22=Settings!$C$6,1,IF(Settings!$B$22="USD",1/INDEX(Settings!$B$29:$B$40,MONTH(A7605)),INDEX(Settings!$B$29:$B$40,MONTH(A7605)))))</f>
        <v/>
      </c>
    </row>
    <row r="7606" customFormat="false" ht="15" hidden="false" customHeight="false" outlineLevel="0" collapsed="false">
      <c r="H7606" s="0" t="str">
        <f aca="false">IF(B7606="","",IF(COUNTIF(Campaigns!$A$7:$A$300,B7606)&gt;0,"✓","⚠ add to Campaigns tab"))</f>
        <v/>
      </c>
      <c r="I7606" s="84" t="str">
        <f aca="false">IF(C7606="","",C7606*IF(Settings!$B$22=Settings!$C$6,1,IF(Settings!$B$22="USD",1/INDEX(Settings!$B$29:$B$40,MONTH(A7606)),INDEX(Settings!$B$29:$B$40,MONTH(A7606)))))</f>
        <v/>
      </c>
    </row>
    <row r="7607" customFormat="false" ht="15" hidden="false" customHeight="false" outlineLevel="0" collapsed="false">
      <c r="H7607" s="0" t="str">
        <f aca="false">IF(B7607="","",IF(COUNTIF(Campaigns!$A$7:$A$300,B7607)&gt;0,"✓","⚠ add to Campaigns tab"))</f>
        <v/>
      </c>
      <c r="I7607" s="84" t="str">
        <f aca="false">IF(C7607="","",C7607*IF(Settings!$B$22=Settings!$C$6,1,IF(Settings!$B$22="USD",1/INDEX(Settings!$B$29:$B$40,MONTH(A7607)),INDEX(Settings!$B$29:$B$40,MONTH(A7607)))))</f>
        <v/>
      </c>
    </row>
    <row r="7608" customFormat="false" ht="15" hidden="false" customHeight="false" outlineLevel="0" collapsed="false">
      <c r="H7608" s="0" t="str">
        <f aca="false">IF(B7608="","",IF(COUNTIF(Campaigns!$A$7:$A$300,B7608)&gt;0,"✓","⚠ add to Campaigns tab"))</f>
        <v/>
      </c>
      <c r="I7608" s="84" t="str">
        <f aca="false">IF(C7608="","",C7608*IF(Settings!$B$22=Settings!$C$6,1,IF(Settings!$B$22="USD",1/INDEX(Settings!$B$29:$B$40,MONTH(A7608)),INDEX(Settings!$B$29:$B$40,MONTH(A7608)))))</f>
        <v/>
      </c>
    </row>
    <row r="7609" customFormat="false" ht="15" hidden="false" customHeight="false" outlineLevel="0" collapsed="false">
      <c r="H7609" s="0" t="str">
        <f aca="false">IF(B7609="","",IF(COUNTIF(Campaigns!$A$7:$A$300,B7609)&gt;0,"✓","⚠ add to Campaigns tab"))</f>
        <v/>
      </c>
      <c r="I7609" s="84" t="str">
        <f aca="false">IF(C7609="","",C7609*IF(Settings!$B$22=Settings!$C$6,1,IF(Settings!$B$22="USD",1/INDEX(Settings!$B$29:$B$40,MONTH(A7609)),INDEX(Settings!$B$29:$B$40,MONTH(A7609)))))</f>
        <v/>
      </c>
    </row>
    <row r="7610" customFormat="false" ht="15" hidden="false" customHeight="false" outlineLevel="0" collapsed="false">
      <c r="H7610" s="0" t="str">
        <f aca="false">IF(B7610="","",IF(COUNTIF(Campaigns!$A$7:$A$300,B7610)&gt;0,"✓","⚠ add to Campaigns tab"))</f>
        <v/>
      </c>
      <c r="I7610" s="84" t="str">
        <f aca="false">IF(C7610="","",C7610*IF(Settings!$B$22=Settings!$C$6,1,IF(Settings!$B$22="USD",1/INDEX(Settings!$B$29:$B$40,MONTH(A7610)),INDEX(Settings!$B$29:$B$40,MONTH(A7610)))))</f>
        <v/>
      </c>
    </row>
    <row r="7611" customFormat="false" ht="15" hidden="false" customHeight="false" outlineLevel="0" collapsed="false">
      <c r="H7611" s="0" t="str">
        <f aca="false">IF(B7611="","",IF(COUNTIF(Campaigns!$A$7:$A$300,B7611)&gt;0,"✓","⚠ add to Campaigns tab"))</f>
        <v/>
      </c>
      <c r="I7611" s="84" t="str">
        <f aca="false">IF(C7611="","",C7611*IF(Settings!$B$22=Settings!$C$6,1,IF(Settings!$B$22="USD",1/INDEX(Settings!$B$29:$B$40,MONTH(A7611)),INDEX(Settings!$B$29:$B$40,MONTH(A7611)))))</f>
        <v/>
      </c>
    </row>
    <row r="7612" customFormat="false" ht="15" hidden="false" customHeight="false" outlineLevel="0" collapsed="false">
      <c r="H7612" s="0" t="str">
        <f aca="false">IF(B7612="","",IF(COUNTIF(Campaigns!$A$7:$A$300,B7612)&gt;0,"✓","⚠ add to Campaigns tab"))</f>
        <v/>
      </c>
      <c r="I7612" s="84" t="str">
        <f aca="false">IF(C7612="","",C7612*IF(Settings!$B$22=Settings!$C$6,1,IF(Settings!$B$22="USD",1/INDEX(Settings!$B$29:$B$40,MONTH(A7612)),INDEX(Settings!$B$29:$B$40,MONTH(A7612)))))</f>
        <v/>
      </c>
    </row>
    <row r="7613" customFormat="false" ht="15" hidden="false" customHeight="false" outlineLevel="0" collapsed="false">
      <c r="H7613" s="0" t="str">
        <f aca="false">IF(B7613="","",IF(COUNTIF(Campaigns!$A$7:$A$300,B7613)&gt;0,"✓","⚠ add to Campaigns tab"))</f>
        <v/>
      </c>
      <c r="I7613" s="84" t="str">
        <f aca="false">IF(C7613="","",C7613*IF(Settings!$B$22=Settings!$C$6,1,IF(Settings!$B$22="USD",1/INDEX(Settings!$B$29:$B$40,MONTH(A7613)),INDEX(Settings!$B$29:$B$40,MONTH(A7613)))))</f>
        <v/>
      </c>
    </row>
    <row r="7614" customFormat="false" ht="15" hidden="false" customHeight="false" outlineLevel="0" collapsed="false">
      <c r="H7614" s="0" t="str">
        <f aca="false">IF(B7614="","",IF(COUNTIF(Campaigns!$A$7:$A$300,B7614)&gt;0,"✓","⚠ add to Campaigns tab"))</f>
        <v/>
      </c>
      <c r="I7614" s="84" t="str">
        <f aca="false">IF(C7614="","",C7614*IF(Settings!$B$22=Settings!$C$6,1,IF(Settings!$B$22="USD",1/INDEX(Settings!$B$29:$B$40,MONTH(A7614)),INDEX(Settings!$B$29:$B$40,MONTH(A7614)))))</f>
        <v/>
      </c>
    </row>
    <row r="7615" customFormat="false" ht="15" hidden="false" customHeight="false" outlineLevel="0" collapsed="false">
      <c r="H7615" s="0" t="str">
        <f aca="false">IF(B7615="","",IF(COUNTIF(Campaigns!$A$7:$A$300,B7615)&gt;0,"✓","⚠ add to Campaigns tab"))</f>
        <v/>
      </c>
      <c r="I7615" s="84" t="str">
        <f aca="false">IF(C7615="","",C7615*IF(Settings!$B$22=Settings!$C$6,1,IF(Settings!$B$22="USD",1/INDEX(Settings!$B$29:$B$40,MONTH(A7615)),INDEX(Settings!$B$29:$B$40,MONTH(A7615)))))</f>
        <v/>
      </c>
    </row>
    <row r="7616" customFormat="false" ht="15" hidden="false" customHeight="false" outlineLevel="0" collapsed="false">
      <c r="H7616" s="0" t="str">
        <f aca="false">IF(B7616="","",IF(COUNTIF(Campaigns!$A$7:$A$300,B7616)&gt;0,"✓","⚠ add to Campaigns tab"))</f>
        <v/>
      </c>
      <c r="I7616" s="84" t="str">
        <f aca="false">IF(C7616="","",C7616*IF(Settings!$B$22=Settings!$C$6,1,IF(Settings!$B$22="USD",1/INDEX(Settings!$B$29:$B$40,MONTH(A7616)),INDEX(Settings!$B$29:$B$40,MONTH(A7616)))))</f>
        <v/>
      </c>
    </row>
    <row r="7617" customFormat="false" ht="15" hidden="false" customHeight="false" outlineLevel="0" collapsed="false">
      <c r="H7617" s="0" t="str">
        <f aca="false">IF(B7617="","",IF(COUNTIF(Campaigns!$A$7:$A$300,B7617)&gt;0,"✓","⚠ add to Campaigns tab"))</f>
        <v/>
      </c>
      <c r="I7617" s="84" t="str">
        <f aca="false">IF(C7617="","",C7617*IF(Settings!$B$22=Settings!$C$6,1,IF(Settings!$B$22="USD",1/INDEX(Settings!$B$29:$B$40,MONTH(A7617)),INDEX(Settings!$B$29:$B$40,MONTH(A7617)))))</f>
        <v/>
      </c>
    </row>
    <row r="7618" customFormat="false" ht="15" hidden="false" customHeight="false" outlineLevel="0" collapsed="false">
      <c r="H7618" s="0" t="str">
        <f aca="false">IF(B7618="","",IF(COUNTIF(Campaigns!$A$7:$A$300,B7618)&gt;0,"✓","⚠ add to Campaigns tab"))</f>
        <v/>
      </c>
      <c r="I7618" s="84" t="str">
        <f aca="false">IF(C7618="","",C7618*IF(Settings!$B$22=Settings!$C$6,1,IF(Settings!$B$22="USD",1/INDEX(Settings!$B$29:$B$40,MONTH(A7618)),INDEX(Settings!$B$29:$B$40,MONTH(A7618)))))</f>
        <v/>
      </c>
    </row>
    <row r="7619" customFormat="false" ht="15" hidden="false" customHeight="false" outlineLevel="0" collapsed="false">
      <c r="H7619" s="0" t="str">
        <f aca="false">IF(B7619="","",IF(COUNTIF(Campaigns!$A$7:$A$300,B7619)&gt;0,"✓","⚠ add to Campaigns tab"))</f>
        <v/>
      </c>
      <c r="I7619" s="84" t="str">
        <f aca="false">IF(C7619="","",C7619*IF(Settings!$B$22=Settings!$C$6,1,IF(Settings!$B$22="USD",1/INDEX(Settings!$B$29:$B$40,MONTH(A7619)),INDEX(Settings!$B$29:$B$40,MONTH(A7619)))))</f>
        <v/>
      </c>
    </row>
    <row r="7620" customFormat="false" ht="15" hidden="false" customHeight="false" outlineLevel="0" collapsed="false">
      <c r="H7620" s="0" t="str">
        <f aca="false">IF(B7620="","",IF(COUNTIF(Campaigns!$A$7:$A$300,B7620)&gt;0,"✓","⚠ add to Campaigns tab"))</f>
        <v/>
      </c>
      <c r="I7620" s="84" t="str">
        <f aca="false">IF(C7620="","",C7620*IF(Settings!$B$22=Settings!$C$6,1,IF(Settings!$B$22="USD",1/INDEX(Settings!$B$29:$B$40,MONTH(A7620)),INDEX(Settings!$B$29:$B$40,MONTH(A7620)))))</f>
        <v/>
      </c>
    </row>
    <row r="7621" customFormat="false" ht="15" hidden="false" customHeight="false" outlineLevel="0" collapsed="false">
      <c r="H7621" s="0" t="str">
        <f aca="false">IF(B7621="","",IF(COUNTIF(Campaigns!$A$7:$A$300,B7621)&gt;0,"✓","⚠ add to Campaigns tab"))</f>
        <v/>
      </c>
      <c r="I7621" s="84" t="str">
        <f aca="false">IF(C7621="","",C7621*IF(Settings!$B$22=Settings!$C$6,1,IF(Settings!$B$22="USD",1/INDEX(Settings!$B$29:$B$40,MONTH(A7621)),INDEX(Settings!$B$29:$B$40,MONTH(A7621)))))</f>
        <v/>
      </c>
    </row>
    <row r="7622" customFormat="false" ht="15" hidden="false" customHeight="false" outlineLevel="0" collapsed="false">
      <c r="H7622" s="0" t="str">
        <f aca="false">IF(B7622="","",IF(COUNTIF(Campaigns!$A$7:$A$300,B7622)&gt;0,"✓","⚠ add to Campaigns tab"))</f>
        <v/>
      </c>
      <c r="I7622" s="84" t="str">
        <f aca="false">IF(C7622="","",C7622*IF(Settings!$B$22=Settings!$C$6,1,IF(Settings!$B$22="USD",1/INDEX(Settings!$B$29:$B$40,MONTH(A7622)),INDEX(Settings!$B$29:$B$40,MONTH(A7622)))))</f>
        <v/>
      </c>
    </row>
    <row r="7623" customFormat="false" ht="15" hidden="false" customHeight="false" outlineLevel="0" collapsed="false">
      <c r="H7623" s="0" t="str">
        <f aca="false">IF(B7623="","",IF(COUNTIF(Campaigns!$A$7:$A$300,B7623)&gt;0,"✓","⚠ add to Campaigns tab"))</f>
        <v/>
      </c>
      <c r="I7623" s="84" t="str">
        <f aca="false">IF(C7623="","",C7623*IF(Settings!$B$22=Settings!$C$6,1,IF(Settings!$B$22="USD",1/INDEX(Settings!$B$29:$B$40,MONTH(A7623)),INDEX(Settings!$B$29:$B$40,MONTH(A7623)))))</f>
        <v/>
      </c>
    </row>
    <row r="7624" customFormat="false" ht="15" hidden="false" customHeight="false" outlineLevel="0" collapsed="false">
      <c r="H7624" s="0" t="str">
        <f aca="false">IF(B7624="","",IF(COUNTIF(Campaigns!$A$7:$A$300,B7624)&gt;0,"✓","⚠ add to Campaigns tab"))</f>
        <v/>
      </c>
      <c r="I7624" s="84" t="str">
        <f aca="false">IF(C7624="","",C7624*IF(Settings!$B$22=Settings!$C$6,1,IF(Settings!$B$22="USD",1/INDEX(Settings!$B$29:$B$40,MONTH(A7624)),INDEX(Settings!$B$29:$B$40,MONTH(A7624)))))</f>
        <v/>
      </c>
    </row>
    <row r="7625" customFormat="false" ht="15" hidden="false" customHeight="false" outlineLevel="0" collapsed="false">
      <c r="H7625" s="0" t="str">
        <f aca="false">IF(B7625="","",IF(COUNTIF(Campaigns!$A$7:$A$300,B7625)&gt;0,"✓","⚠ add to Campaigns tab"))</f>
        <v/>
      </c>
      <c r="I7625" s="84" t="str">
        <f aca="false">IF(C7625="","",C7625*IF(Settings!$B$22=Settings!$C$6,1,IF(Settings!$B$22="USD",1/INDEX(Settings!$B$29:$B$40,MONTH(A7625)),INDEX(Settings!$B$29:$B$40,MONTH(A7625)))))</f>
        <v/>
      </c>
    </row>
    <row r="7626" customFormat="false" ht="15" hidden="false" customHeight="false" outlineLevel="0" collapsed="false">
      <c r="H7626" s="0" t="str">
        <f aca="false">IF(B7626="","",IF(COUNTIF(Campaigns!$A$7:$A$300,B7626)&gt;0,"✓","⚠ add to Campaigns tab"))</f>
        <v/>
      </c>
      <c r="I7626" s="84" t="str">
        <f aca="false">IF(C7626="","",C7626*IF(Settings!$B$22=Settings!$C$6,1,IF(Settings!$B$22="USD",1/INDEX(Settings!$B$29:$B$40,MONTH(A7626)),INDEX(Settings!$B$29:$B$40,MONTH(A7626)))))</f>
        <v/>
      </c>
    </row>
    <row r="7627" customFormat="false" ht="15" hidden="false" customHeight="false" outlineLevel="0" collapsed="false">
      <c r="H7627" s="0" t="str">
        <f aca="false">IF(B7627="","",IF(COUNTIF(Campaigns!$A$7:$A$300,B7627)&gt;0,"✓","⚠ add to Campaigns tab"))</f>
        <v/>
      </c>
      <c r="I7627" s="84" t="str">
        <f aca="false">IF(C7627="","",C7627*IF(Settings!$B$22=Settings!$C$6,1,IF(Settings!$B$22="USD",1/INDEX(Settings!$B$29:$B$40,MONTH(A7627)),INDEX(Settings!$B$29:$B$40,MONTH(A7627)))))</f>
        <v/>
      </c>
    </row>
    <row r="7628" customFormat="false" ht="15" hidden="false" customHeight="false" outlineLevel="0" collapsed="false">
      <c r="H7628" s="0" t="str">
        <f aca="false">IF(B7628="","",IF(COUNTIF(Campaigns!$A$7:$A$300,B7628)&gt;0,"✓","⚠ add to Campaigns tab"))</f>
        <v/>
      </c>
      <c r="I7628" s="84" t="str">
        <f aca="false">IF(C7628="","",C7628*IF(Settings!$B$22=Settings!$C$6,1,IF(Settings!$B$22="USD",1/INDEX(Settings!$B$29:$B$40,MONTH(A7628)),INDEX(Settings!$B$29:$B$40,MONTH(A7628)))))</f>
        <v/>
      </c>
    </row>
    <row r="7629" customFormat="false" ht="15" hidden="false" customHeight="false" outlineLevel="0" collapsed="false">
      <c r="H7629" s="0" t="str">
        <f aca="false">IF(B7629="","",IF(COUNTIF(Campaigns!$A$7:$A$300,B7629)&gt;0,"✓","⚠ add to Campaigns tab"))</f>
        <v/>
      </c>
      <c r="I7629" s="84" t="str">
        <f aca="false">IF(C7629="","",C7629*IF(Settings!$B$22=Settings!$C$6,1,IF(Settings!$B$22="USD",1/INDEX(Settings!$B$29:$B$40,MONTH(A7629)),INDEX(Settings!$B$29:$B$40,MONTH(A7629)))))</f>
        <v/>
      </c>
    </row>
    <row r="7630" customFormat="false" ht="15" hidden="false" customHeight="false" outlineLevel="0" collapsed="false">
      <c r="H7630" s="0" t="str">
        <f aca="false">IF(B7630="","",IF(COUNTIF(Campaigns!$A$7:$A$300,B7630)&gt;0,"✓","⚠ add to Campaigns tab"))</f>
        <v/>
      </c>
      <c r="I7630" s="84" t="str">
        <f aca="false">IF(C7630="","",C7630*IF(Settings!$B$22=Settings!$C$6,1,IF(Settings!$B$22="USD",1/INDEX(Settings!$B$29:$B$40,MONTH(A7630)),INDEX(Settings!$B$29:$B$40,MONTH(A7630)))))</f>
        <v/>
      </c>
    </row>
    <row r="7631" customFormat="false" ht="15" hidden="false" customHeight="false" outlineLevel="0" collapsed="false">
      <c r="H7631" s="0" t="str">
        <f aca="false">IF(B7631="","",IF(COUNTIF(Campaigns!$A$7:$A$300,B7631)&gt;0,"✓","⚠ add to Campaigns tab"))</f>
        <v/>
      </c>
      <c r="I7631" s="84" t="str">
        <f aca="false">IF(C7631="","",C7631*IF(Settings!$B$22=Settings!$C$6,1,IF(Settings!$B$22="USD",1/INDEX(Settings!$B$29:$B$40,MONTH(A7631)),INDEX(Settings!$B$29:$B$40,MONTH(A7631)))))</f>
        <v/>
      </c>
    </row>
    <row r="7632" customFormat="false" ht="15" hidden="false" customHeight="false" outlineLevel="0" collapsed="false">
      <c r="H7632" s="0" t="str">
        <f aca="false">IF(B7632="","",IF(COUNTIF(Campaigns!$A$7:$A$300,B7632)&gt;0,"✓","⚠ add to Campaigns tab"))</f>
        <v/>
      </c>
      <c r="I7632" s="84" t="str">
        <f aca="false">IF(C7632="","",C7632*IF(Settings!$B$22=Settings!$C$6,1,IF(Settings!$B$22="USD",1/INDEX(Settings!$B$29:$B$40,MONTH(A7632)),INDEX(Settings!$B$29:$B$40,MONTH(A7632)))))</f>
        <v/>
      </c>
    </row>
    <row r="7633" customFormat="false" ht="15" hidden="false" customHeight="false" outlineLevel="0" collapsed="false">
      <c r="H7633" s="0" t="str">
        <f aca="false">IF(B7633="","",IF(COUNTIF(Campaigns!$A$7:$A$300,B7633)&gt;0,"✓","⚠ add to Campaigns tab"))</f>
        <v/>
      </c>
      <c r="I7633" s="84" t="str">
        <f aca="false">IF(C7633="","",C7633*IF(Settings!$B$22=Settings!$C$6,1,IF(Settings!$B$22="USD",1/INDEX(Settings!$B$29:$B$40,MONTH(A7633)),INDEX(Settings!$B$29:$B$40,MONTH(A7633)))))</f>
        <v/>
      </c>
    </row>
    <row r="7634" customFormat="false" ht="15" hidden="false" customHeight="false" outlineLevel="0" collapsed="false">
      <c r="H7634" s="0" t="str">
        <f aca="false">IF(B7634="","",IF(COUNTIF(Campaigns!$A$7:$A$300,B7634)&gt;0,"✓","⚠ add to Campaigns tab"))</f>
        <v/>
      </c>
      <c r="I7634" s="84" t="str">
        <f aca="false">IF(C7634="","",C7634*IF(Settings!$B$22=Settings!$C$6,1,IF(Settings!$B$22="USD",1/INDEX(Settings!$B$29:$B$40,MONTH(A7634)),INDEX(Settings!$B$29:$B$40,MONTH(A7634)))))</f>
        <v/>
      </c>
    </row>
    <row r="7635" customFormat="false" ht="15" hidden="false" customHeight="false" outlineLevel="0" collapsed="false">
      <c r="H7635" s="0" t="str">
        <f aca="false">IF(B7635="","",IF(COUNTIF(Campaigns!$A$7:$A$300,B7635)&gt;0,"✓","⚠ add to Campaigns tab"))</f>
        <v/>
      </c>
      <c r="I7635" s="84" t="str">
        <f aca="false">IF(C7635="","",C7635*IF(Settings!$B$22=Settings!$C$6,1,IF(Settings!$B$22="USD",1/INDEX(Settings!$B$29:$B$40,MONTH(A7635)),INDEX(Settings!$B$29:$B$40,MONTH(A7635)))))</f>
        <v/>
      </c>
    </row>
    <row r="7636" customFormat="false" ht="15" hidden="false" customHeight="false" outlineLevel="0" collapsed="false">
      <c r="H7636" s="0" t="str">
        <f aca="false">IF(B7636="","",IF(COUNTIF(Campaigns!$A$7:$A$300,B7636)&gt;0,"✓","⚠ add to Campaigns tab"))</f>
        <v/>
      </c>
      <c r="I7636" s="84" t="str">
        <f aca="false">IF(C7636="","",C7636*IF(Settings!$B$22=Settings!$C$6,1,IF(Settings!$B$22="USD",1/INDEX(Settings!$B$29:$B$40,MONTH(A7636)),INDEX(Settings!$B$29:$B$40,MONTH(A7636)))))</f>
        <v/>
      </c>
    </row>
    <row r="7637" customFormat="false" ht="15" hidden="false" customHeight="false" outlineLevel="0" collapsed="false">
      <c r="H7637" s="0" t="str">
        <f aca="false">IF(B7637="","",IF(COUNTIF(Campaigns!$A$7:$A$300,B7637)&gt;0,"✓","⚠ add to Campaigns tab"))</f>
        <v/>
      </c>
      <c r="I7637" s="84" t="str">
        <f aca="false">IF(C7637="","",C7637*IF(Settings!$B$22=Settings!$C$6,1,IF(Settings!$B$22="USD",1/INDEX(Settings!$B$29:$B$40,MONTH(A7637)),INDEX(Settings!$B$29:$B$40,MONTH(A7637)))))</f>
        <v/>
      </c>
    </row>
    <row r="7638" customFormat="false" ht="15" hidden="false" customHeight="false" outlineLevel="0" collapsed="false">
      <c r="H7638" s="0" t="str">
        <f aca="false">IF(B7638="","",IF(COUNTIF(Campaigns!$A$7:$A$300,B7638)&gt;0,"✓","⚠ add to Campaigns tab"))</f>
        <v/>
      </c>
      <c r="I7638" s="84" t="str">
        <f aca="false">IF(C7638="","",C7638*IF(Settings!$B$22=Settings!$C$6,1,IF(Settings!$B$22="USD",1/INDEX(Settings!$B$29:$B$40,MONTH(A7638)),INDEX(Settings!$B$29:$B$40,MONTH(A7638)))))</f>
        <v/>
      </c>
    </row>
    <row r="7639" customFormat="false" ht="15" hidden="false" customHeight="false" outlineLevel="0" collapsed="false">
      <c r="H7639" s="0" t="str">
        <f aca="false">IF(B7639="","",IF(COUNTIF(Campaigns!$A$7:$A$300,B7639)&gt;0,"✓","⚠ add to Campaigns tab"))</f>
        <v/>
      </c>
      <c r="I7639" s="84" t="str">
        <f aca="false">IF(C7639="","",C7639*IF(Settings!$B$22=Settings!$C$6,1,IF(Settings!$B$22="USD",1/INDEX(Settings!$B$29:$B$40,MONTH(A7639)),INDEX(Settings!$B$29:$B$40,MONTH(A7639)))))</f>
        <v/>
      </c>
    </row>
    <row r="7640" customFormat="false" ht="15" hidden="false" customHeight="false" outlineLevel="0" collapsed="false">
      <c r="H7640" s="0" t="str">
        <f aca="false">IF(B7640="","",IF(COUNTIF(Campaigns!$A$7:$A$300,B7640)&gt;0,"✓","⚠ add to Campaigns tab"))</f>
        <v/>
      </c>
      <c r="I7640" s="84" t="str">
        <f aca="false">IF(C7640="","",C7640*IF(Settings!$B$22=Settings!$C$6,1,IF(Settings!$B$22="USD",1/INDEX(Settings!$B$29:$B$40,MONTH(A7640)),INDEX(Settings!$B$29:$B$40,MONTH(A7640)))))</f>
        <v/>
      </c>
    </row>
    <row r="7641" customFormat="false" ht="15" hidden="false" customHeight="false" outlineLevel="0" collapsed="false">
      <c r="H7641" s="0" t="str">
        <f aca="false">IF(B7641="","",IF(COUNTIF(Campaigns!$A$7:$A$300,B7641)&gt;0,"✓","⚠ add to Campaigns tab"))</f>
        <v/>
      </c>
      <c r="I7641" s="84" t="str">
        <f aca="false">IF(C7641="","",C7641*IF(Settings!$B$22=Settings!$C$6,1,IF(Settings!$B$22="USD",1/INDEX(Settings!$B$29:$B$40,MONTH(A7641)),INDEX(Settings!$B$29:$B$40,MONTH(A7641)))))</f>
        <v/>
      </c>
    </row>
    <row r="7642" customFormat="false" ht="15" hidden="false" customHeight="false" outlineLevel="0" collapsed="false">
      <c r="H7642" s="0" t="str">
        <f aca="false">IF(B7642="","",IF(COUNTIF(Campaigns!$A$7:$A$300,B7642)&gt;0,"✓","⚠ add to Campaigns tab"))</f>
        <v/>
      </c>
      <c r="I7642" s="84" t="str">
        <f aca="false">IF(C7642="","",C7642*IF(Settings!$B$22=Settings!$C$6,1,IF(Settings!$B$22="USD",1/INDEX(Settings!$B$29:$B$40,MONTH(A7642)),INDEX(Settings!$B$29:$B$40,MONTH(A7642)))))</f>
        <v/>
      </c>
    </row>
    <row r="7643" customFormat="false" ht="15" hidden="false" customHeight="false" outlineLevel="0" collapsed="false">
      <c r="H7643" s="0" t="str">
        <f aca="false">IF(B7643="","",IF(COUNTIF(Campaigns!$A$7:$A$300,B7643)&gt;0,"✓","⚠ add to Campaigns tab"))</f>
        <v/>
      </c>
      <c r="I7643" s="84" t="str">
        <f aca="false">IF(C7643="","",C7643*IF(Settings!$B$22=Settings!$C$6,1,IF(Settings!$B$22="USD",1/INDEX(Settings!$B$29:$B$40,MONTH(A7643)),INDEX(Settings!$B$29:$B$40,MONTH(A7643)))))</f>
        <v/>
      </c>
    </row>
    <row r="7644" customFormat="false" ht="15" hidden="false" customHeight="false" outlineLevel="0" collapsed="false">
      <c r="H7644" s="0" t="str">
        <f aca="false">IF(B7644="","",IF(COUNTIF(Campaigns!$A$7:$A$300,B7644)&gt;0,"✓","⚠ add to Campaigns tab"))</f>
        <v/>
      </c>
      <c r="I7644" s="84" t="str">
        <f aca="false">IF(C7644="","",C7644*IF(Settings!$B$22=Settings!$C$6,1,IF(Settings!$B$22="USD",1/INDEX(Settings!$B$29:$B$40,MONTH(A7644)),INDEX(Settings!$B$29:$B$40,MONTH(A7644)))))</f>
        <v/>
      </c>
    </row>
    <row r="7645" customFormat="false" ht="15" hidden="false" customHeight="false" outlineLevel="0" collapsed="false">
      <c r="H7645" s="0" t="str">
        <f aca="false">IF(B7645="","",IF(COUNTIF(Campaigns!$A$7:$A$300,B7645)&gt;0,"✓","⚠ add to Campaigns tab"))</f>
        <v/>
      </c>
      <c r="I7645" s="84" t="str">
        <f aca="false">IF(C7645="","",C7645*IF(Settings!$B$22=Settings!$C$6,1,IF(Settings!$B$22="USD",1/INDEX(Settings!$B$29:$B$40,MONTH(A7645)),INDEX(Settings!$B$29:$B$40,MONTH(A7645)))))</f>
        <v/>
      </c>
    </row>
    <row r="7646" customFormat="false" ht="15" hidden="false" customHeight="false" outlineLevel="0" collapsed="false">
      <c r="H7646" s="0" t="str">
        <f aca="false">IF(B7646="","",IF(COUNTIF(Campaigns!$A$7:$A$300,B7646)&gt;0,"✓","⚠ add to Campaigns tab"))</f>
        <v/>
      </c>
      <c r="I7646" s="84" t="str">
        <f aca="false">IF(C7646="","",C7646*IF(Settings!$B$22=Settings!$C$6,1,IF(Settings!$B$22="USD",1/INDEX(Settings!$B$29:$B$40,MONTH(A7646)),INDEX(Settings!$B$29:$B$40,MONTH(A7646)))))</f>
        <v/>
      </c>
    </row>
    <row r="7647" customFormat="false" ht="15" hidden="false" customHeight="false" outlineLevel="0" collapsed="false">
      <c r="H7647" s="0" t="str">
        <f aca="false">IF(B7647="","",IF(COUNTIF(Campaigns!$A$7:$A$300,B7647)&gt;0,"✓","⚠ add to Campaigns tab"))</f>
        <v/>
      </c>
      <c r="I7647" s="84" t="str">
        <f aca="false">IF(C7647="","",C7647*IF(Settings!$B$22=Settings!$C$6,1,IF(Settings!$B$22="USD",1/INDEX(Settings!$B$29:$B$40,MONTH(A7647)),INDEX(Settings!$B$29:$B$40,MONTH(A7647)))))</f>
        <v/>
      </c>
    </row>
    <row r="7648" customFormat="false" ht="15" hidden="false" customHeight="false" outlineLevel="0" collapsed="false">
      <c r="H7648" s="0" t="str">
        <f aca="false">IF(B7648="","",IF(COUNTIF(Campaigns!$A$7:$A$300,B7648)&gt;0,"✓","⚠ add to Campaigns tab"))</f>
        <v/>
      </c>
      <c r="I7648" s="84" t="str">
        <f aca="false">IF(C7648="","",C7648*IF(Settings!$B$22=Settings!$C$6,1,IF(Settings!$B$22="USD",1/INDEX(Settings!$B$29:$B$40,MONTH(A7648)),INDEX(Settings!$B$29:$B$40,MONTH(A7648)))))</f>
        <v/>
      </c>
    </row>
    <row r="7649" customFormat="false" ht="15" hidden="false" customHeight="false" outlineLevel="0" collapsed="false">
      <c r="H7649" s="0" t="str">
        <f aca="false">IF(B7649="","",IF(COUNTIF(Campaigns!$A$7:$A$300,B7649)&gt;0,"✓","⚠ add to Campaigns tab"))</f>
        <v/>
      </c>
      <c r="I7649" s="84" t="str">
        <f aca="false">IF(C7649="","",C7649*IF(Settings!$B$22=Settings!$C$6,1,IF(Settings!$B$22="USD",1/INDEX(Settings!$B$29:$B$40,MONTH(A7649)),INDEX(Settings!$B$29:$B$40,MONTH(A7649)))))</f>
        <v/>
      </c>
    </row>
    <row r="7650" customFormat="false" ht="15" hidden="false" customHeight="false" outlineLevel="0" collapsed="false">
      <c r="H7650" s="0" t="str">
        <f aca="false">IF(B7650="","",IF(COUNTIF(Campaigns!$A$7:$A$300,B7650)&gt;0,"✓","⚠ add to Campaigns tab"))</f>
        <v/>
      </c>
      <c r="I7650" s="84" t="str">
        <f aca="false">IF(C7650="","",C7650*IF(Settings!$B$22=Settings!$C$6,1,IF(Settings!$B$22="USD",1/INDEX(Settings!$B$29:$B$40,MONTH(A7650)),INDEX(Settings!$B$29:$B$40,MONTH(A7650)))))</f>
        <v/>
      </c>
    </row>
    <row r="7651" customFormat="false" ht="15" hidden="false" customHeight="false" outlineLevel="0" collapsed="false">
      <c r="H7651" s="0" t="str">
        <f aca="false">IF(B7651="","",IF(COUNTIF(Campaigns!$A$7:$A$300,B7651)&gt;0,"✓","⚠ add to Campaigns tab"))</f>
        <v/>
      </c>
      <c r="I7651" s="84" t="str">
        <f aca="false">IF(C7651="","",C7651*IF(Settings!$B$22=Settings!$C$6,1,IF(Settings!$B$22="USD",1/INDEX(Settings!$B$29:$B$40,MONTH(A7651)),INDEX(Settings!$B$29:$B$40,MONTH(A7651)))))</f>
        <v/>
      </c>
    </row>
    <row r="7652" customFormat="false" ht="15" hidden="false" customHeight="false" outlineLevel="0" collapsed="false">
      <c r="H7652" s="0" t="str">
        <f aca="false">IF(B7652="","",IF(COUNTIF(Campaigns!$A$7:$A$300,B7652)&gt;0,"✓","⚠ add to Campaigns tab"))</f>
        <v/>
      </c>
      <c r="I7652" s="84" t="str">
        <f aca="false">IF(C7652="","",C7652*IF(Settings!$B$22=Settings!$C$6,1,IF(Settings!$B$22="USD",1/INDEX(Settings!$B$29:$B$40,MONTH(A7652)),INDEX(Settings!$B$29:$B$40,MONTH(A7652)))))</f>
        <v/>
      </c>
    </row>
    <row r="7653" customFormat="false" ht="15" hidden="false" customHeight="false" outlineLevel="0" collapsed="false">
      <c r="H7653" s="0" t="str">
        <f aca="false">IF(B7653="","",IF(COUNTIF(Campaigns!$A$7:$A$300,B7653)&gt;0,"✓","⚠ add to Campaigns tab"))</f>
        <v/>
      </c>
      <c r="I7653" s="84" t="str">
        <f aca="false">IF(C7653="","",C7653*IF(Settings!$B$22=Settings!$C$6,1,IF(Settings!$B$22="USD",1/INDEX(Settings!$B$29:$B$40,MONTH(A7653)),INDEX(Settings!$B$29:$B$40,MONTH(A7653)))))</f>
        <v/>
      </c>
    </row>
    <row r="7654" customFormat="false" ht="15" hidden="false" customHeight="false" outlineLevel="0" collapsed="false">
      <c r="H7654" s="0" t="str">
        <f aca="false">IF(B7654="","",IF(COUNTIF(Campaigns!$A$7:$A$300,B7654)&gt;0,"✓","⚠ add to Campaigns tab"))</f>
        <v/>
      </c>
      <c r="I7654" s="84" t="str">
        <f aca="false">IF(C7654="","",C7654*IF(Settings!$B$22=Settings!$C$6,1,IF(Settings!$B$22="USD",1/INDEX(Settings!$B$29:$B$40,MONTH(A7654)),INDEX(Settings!$B$29:$B$40,MONTH(A7654)))))</f>
        <v/>
      </c>
    </row>
    <row r="7655" customFormat="false" ht="15" hidden="false" customHeight="false" outlineLevel="0" collapsed="false">
      <c r="H7655" s="0" t="str">
        <f aca="false">IF(B7655="","",IF(COUNTIF(Campaigns!$A$7:$A$300,B7655)&gt;0,"✓","⚠ add to Campaigns tab"))</f>
        <v/>
      </c>
      <c r="I7655" s="84" t="str">
        <f aca="false">IF(C7655="","",C7655*IF(Settings!$B$22=Settings!$C$6,1,IF(Settings!$B$22="USD",1/INDEX(Settings!$B$29:$B$40,MONTH(A7655)),INDEX(Settings!$B$29:$B$40,MONTH(A7655)))))</f>
        <v/>
      </c>
    </row>
    <row r="7656" customFormat="false" ht="15" hidden="false" customHeight="false" outlineLevel="0" collapsed="false">
      <c r="H7656" s="0" t="str">
        <f aca="false">IF(B7656="","",IF(COUNTIF(Campaigns!$A$7:$A$300,B7656)&gt;0,"✓","⚠ add to Campaigns tab"))</f>
        <v/>
      </c>
      <c r="I7656" s="84" t="str">
        <f aca="false">IF(C7656="","",C7656*IF(Settings!$B$22=Settings!$C$6,1,IF(Settings!$B$22="USD",1/INDEX(Settings!$B$29:$B$40,MONTH(A7656)),INDEX(Settings!$B$29:$B$40,MONTH(A7656)))))</f>
        <v/>
      </c>
    </row>
    <row r="7657" customFormat="false" ht="15" hidden="false" customHeight="false" outlineLevel="0" collapsed="false">
      <c r="H7657" s="0" t="str">
        <f aca="false">IF(B7657="","",IF(COUNTIF(Campaigns!$A$7:$A$300,B7657)&gt;0,"✓","⚠ add to Campaigns tab"))</f>
        <v/>
      </c>
      <c r="I7657" s="84" t="str">
        <f aca="false">IF(C7657="","",C7657*IF(Settings!$B$22=Settings!$C$6,1,IF(Settings!$B$22="USD",1/INDEX(Settings!$B$29:$B$40,MONTH(A7657)),INDEX(Settings!$B$29:$B$40,MONTH(A7657)))))</f>
        <v/>
      </c>
    </row>
    <row r="7658" customFormat="false" ht="15" hidden="false" customHeight="false" outlineLevel="0" collapsed="false">
      <c r="H7658" s="0" t="str">
        <f aca="false">IF(B7658="","",IF(COUNTIF(Campaigns!$A$7:$A$300,B7658)&gt;0,"✓","⚠ add to Campaigns tab"))</f>
        <v/>
      </c>
      <c r="I7658" s="84" t="str">
        <f aca="false">IF(C7658="","",C7658*IF(Settings!$B$22=Settings!$C$6,1,IF(Settings!$B$22="USD",1/INDEX(Settings!$B$29:$B$40,MONTH(A7658)),INDEX(Settings!$B$29:$B$40,MONTH(A7658)))))</f>
        <v/>
      </c>
    </row>
    <row r="7659" customFormat="false" ht="15" hidden="false" customHeight="false" outlineLevel="0" collapsed="false">
      <c r="H7659" s="0" t="str">
        <f aca="false">IF(B7659="","",IF(COUNTIF(Campaigns!$A$7:$A$300,B7659)&gt;0,"✓","⚠ add to Campaigns tab"))</f>
        <v/>
      </c>
      <c r="I7659" s="84" t="str">
        <f aca="false">IF(C7659="","",C7659*IF(Settings!$B$22=Settings!$C$6,1,IF(Settings!$B$22="USD",1/INDEX(Settings!$B$29:$B$40,MONTH(A7659)),INDEX(Settings!$B$29:$B$40,MONTH(A7659)))))</f>
        <v/>
      </c>
    </row>
    <row r="7660" customFormat="false" ht="15" hidden="false" customHeight="false" outlineLevel="0" collapsed="false">
      <c r="H7660" s="0" t="str">
        <f aca="false">IF(B7660="","",IF(COUNTIF(Campaigns!$A$7:$A$300,B7660)&gt;0,"✓","⚠ add to Campaigns tab"))</f>
        <v/>
      </c>
      <c r="I7660" s="84" t="str">
        <f aca="false">IF(C7660="","",C7660*IF(Settings!$B$22=Settings!$C$6,1,IF(Settings!$B$22="USD",1/INDEX(Settings!$B$29:$B$40,MONTH(A7660)),INDEX(Settings!$B$29:$B$40,MONTH(A7660)))))</f>
        <v/>
      </c>
    </row>
    <row r="7661" customFormat="false" ht="15" hidden="false" customHeight="false" outlineLevel="0" collapsed="false">
      <c r="H7661" s="0" t="str">
        <f aca="false">IF(B7661="","",IF(COUNTIF(Campaigns!$A$7:$A$300,B7661)&gt;0,"✓","⚠ add to Campaigns tab"))</f>
        <v/>
      </c>
      <c r="I7661" s="84" t="str">
        <f aca="false">IF(C7661="","",C7661*IF(Settings!$B$22=Settings!$C$6,1,IF(Settings!$B$22="USD",1/INDEX(Settings!$B$29:$B$40,MONTH(A7661)),INDEX(Settings!$B$29:$B$40,MONTH(A7661)))))</f>
        <v/>
      </c>
    </row>
    <row r="7662" customFormat="false" ht="15" hidden="false" customHeight="false" outlineLevel="0" collapsed="false">
      <c r="H7662" s="0" t="str">
        <f aca="false">IF(B7662="","",IF(COUNTIF(Campaigns!$A$7:$A$300,B7662)&gt;0,"✓","⚠ add to Campaigns tab"))</f>
        <v/>
      </c>
      <c r="I7662" s="84" t="str">
        <f aca="false">IF(C7662="","",C7662*IF(Settings!$B$22=Settings!$C$6,1,IF(Settings!$B$22="USD",1/INDEX(Settings!$B$29:$B$40,MONTH(A7662)),INDEX(Settings!$B$29:$B$40,MONTH(A7662)))))</f>
        <v/>
      </c>
    </row>
    <row r="7663" customFormat="false" ht="15" hidden="false" customHeight="false" outlineLevel="0" collapsed="false">
      <c r="H7663" s="0" t="str">
        <f aca="false">IF(B7663="","",IF(COUNTIF(Campaigns!$A$7:$A$300,B7663)&gt;0,"✓","⚠ add to Campaigns tab"))</f>
        <v/>
      </c>
      <c r="I7663" s="84" t="str">
        <f aca="false">IF(C7663="","",C7663*IF(Settings!$B$22=Settings!$C$6,1,IF(Settings!$B$22="USD",1/INDEX(Settings!$B$29:$B$40,MONTH(A7663)),INDEX(Settings!$B$29:$B$40,MONTH(A7663)))))</f>
        <v/>
      </c>
    </row>
    <row r="7664" customFormat="false" ht="15" hidden="false" customHeight="false" outlineLevel="0" collapsed="false">
      <c r="H7664" s="0" t="str">
        <f aca="false">IF(B7664="","",IF(COUNTIF(Campaigns!$A$7:$A$300,B7664)&gt;0,"✓","⚠ add to Campaigns tab"))</f>
        <v/>
      </c>
      <c r="I7664" s="84" t="str">
        <f aca="false">IF(C7664="","",C7664*IF(Settings!$B$22=Settings!$C$6,1,IF(Settings!$B$22="USD",1/INDEX(Settings!$B$29:$B$40,MONTH(A7664)),INDEX(Settings!$B$29:$B$40,MONTH(A7664)))))</f>
        <v/>
      </c>
    </row>
    <row r="7665" customFormat="false" ht="15" hidden="false" customHeight="false" outlineLevel="0" collapsed="false">
      <c r="H7665" s="0" t="str">
        <f aca="false">IF(B7665="","",IF(COUNTIF(Campaigns!$A$7:$A$300,B7665)&gt;0,"✓","⚠ add to Campaigns tab"))</f>
        <v/>
      </c>
      <c r="I7665" s="84" t="str">
        <f aca="false">IF(C7665="","",C7665*IF(Settings!$B$22=Settings!$C$6,1,IF(Settings!$B$22="USD",1/INDEX(Settings!$B$29:$B$40,MONTH(A7665)),INDEX(Settings!$B$29:$B$40,MONTH(A7665)))))</f>
        <v/>
      </c>
    </row>
    <row r="7666" customFormat="false" ht="15" hidden="false" customHeight="false" outlineLevel="0" collapsed="false">
      <c r="H7666" s="0" t="str">
        <f aca="false">IF(B7666="","",IF(COUNTIF(Campaigns!$A$7:$A$300,B7666)&gt;0,"✓","⚠ add to Campaigns tab"))</f>
        <v/>
      </c>
      <c r="I7666" s="84" t="str">
        <f aca="false">IF(C7666="","",C7666*IF(Settings!$B$22=Settings!$C$6,1,IF(Settings!$B$22="USD",1/INDEX(Settings!$B$29:$B$40,MONTH(A7666)),INDEX(Settings!$B$29:$B$40,MONTH(A7666)))))</f>
        <v/>
      </c>
    </row>
    <row r="7667" customFormat="false" ht="15" hidden="false" customHeight="false" outlineLevel="0" collapsed="false">
      <c r="H7667" s="0" t="str">
        <f aca="false">IF(B7667="","",IF(COUNTIF(Campaigns!$A$7:$A$300,B7667)&gt;0,"✓","⚠ add to Campaigns tab"))</f>
        <v/>
      </c>
      <c r="I7667" s="84" t="str">
        <f aca="false">IF(C7667="","",C7667*IF(Settings!$B$22=Settings!$C$6,1,IF(Settings!$B$22="USD",1/INDEX(Settings!$B$29:$B$40,MONTH(A7667)),INDEX(Settings!$B$29:$B$40,MONTH(A7667)))))</f>
        <v/>
      </c>
    </row>
    <row r="7668" customFormat="false" ht="15" hidden="false" customHeight="false" outlineLevel="0" collapsed="false">
      <c r="H7668" s="0" t="str">
        <f aca="false">IF(B7668="","",IF(COUNTIF(Campaigns!$A$7:$A$300,B7668)&gt;0,"✓","⚠ add to Campaigns tab"))</f>
        <v/>
      </c>
      <c r="I7668" s="84" t="str">
        <f aca="false">IF(C7668="","",C7668*IF(Settings!$B$22=Settings!$C$6,1,IF(Settings!$B$22="USD",1/INDEX(Settings!$B$29:$B$40,MONTH(A7668)),INDEX(Settings!$B$29:$B$40,MONTH(A7668)))))</f>
        <v/>
      </c>
    </row>
    <row r="7669" customFormat="false" ht="15" hidden="false" customHeight="false" outlineLevel="0" collapsed="false">
      <c r="H7669" s="0" t="str">
        <f aca="false">IF(B7669="","",IF(COUNTIF(Campaigns!$A$7:$A$300,B7669)&gt;0,"✓","⚠ add to Campaigns tab"))</f>
        <v/>
      </c>
      <c r="I7669" s="84" t="str">
        <f aca="false">IF(C7669="","",C7669*IF(Settings!$B$22=Settings!$C$6,1,IF(Settings!$B$22="USD",1/INDEX(Settings!$B$29:$B$40,MONTH(A7669)),INDEX(Settings!$B$29:$B$40,MONTH(A7669)))))</f>
        <v/>
      </c>
    </row>
    <row r="7670" customFormat="false" ht="15" hidden="false" customHeight="false" outlineLevel="0" collapsed="false">
      <c r="H7670" s="0" t="str">
        <f aca="false">IF(B7670="","",IF(COUNTIF(Campaigns!$A$7:$A$300,B7670)&gt;0,"✓","⚠ add to Campaigns tab"))</f>
        <v/>
      </c>
      <c r="I7670" s="84" t="str">
        <f aca="false">IF(C7670="","",C7670*IF(Settings!$B$22=Settings!$C$6,1,IF(Settings!$B$22="USD",1/INDEX(Settings!$B$29:$B$40,MONTH(A7670)),INDEX(Settings!$B$29:$B$40,MONTH(A7670)))))</f>
        <v/>
      </c>
    </row>
    <row r="7671" customFormat="false" ht="15" hidden="false" customHeight="false" outlineLevel="0" collapsed="false">
      <c r="H7671" s="0" t="str">
        <f aca="false">IF(B7671="","",IF(COUNTIF(Campaigns!$A$7:$A$300,B7671)&gt;0,"✓","⚠ add to Campaigns tab"))</f>
        <v/>
      </c>
      <c r="I7671" s="84" t="str">
        <f aca="false">IF(C7671="","",C7671*IF(Settings!$B$22=Settings!$C$6,1,IF(Settings!$B$22="USD",1/INDEX(Settings!$B$29:$B$40,MONTH(A7671)),INDEX(Settings!$B$29:$B$40,MONTH(A7671)))))</f>
        <v/>
      </c>
    </row>
    <row r="7672" customFormat="false" ht="15" hidden="false" customHeight="false" outlineLevel="0" collapsed="false">
      <c r="H7672" s="0" t="str">
        <f aca="false">IF(B7672="","",IF(COUNTIF(Campaigns!$A$7:$A$300,B7672)&gt;0,"✓","⚠ add to Campaigns tab"))</f>
        <v/>
      </c>
      <c r="I7672" s="84" t="str">
        <f aca="false">IF(C7672="","",C7672*IF(Settings!$B$22=Settings!$C$6,1,IF(Settings!$B$22="USD",1/INDEX(Settings!$B$29:$B$40,MONTH(A7672)),INDEX(Settings!$B$29:$B$40,MONTH(A7672)))))</f>
        <v/>
      </c>
    </row>
    <row r="7673" customFormat="false" ht="15" hidden="false" customHeight="false" outlineLevel="0" collapsed="false">
      <c r="H7673" s="0" t="str">
        <f aca="false">IF(B7673="","",IF(COUNTIF(Campaigns!$A$7:$A$300,B7673)&gt;0,"✓","⚠ add to Campaigns tab"))</f>
        <v/>
      </c>
      <c r="I7673" s="84" t="str">
        <f aca="false">IF(C7673="","",C7673*IF(Settings!$B$22=Settings!$C$6,1,IF(Settings!$B$22="USD",1/INDEX(Settings!$B$29:$B$40,MONTH(A7673)),INDEX(Settings!$B$29:$B$40,MONTH(A7673)))))</f>
        <v/>
      </c>
    </row>
    <row r="7674" customFormat="false" ht="15" hidden="false" customHeight="false" outlineLevel="0" collapsed="false">
      <c r="H7674" s="0" t="str">
        <f aca="false">IF(B7674="","",IF(COUNTIF(Campaigns!$A$7:$A$300,B7674)&gt;0,"✓","⚠ add to Campaigns tab"))</f>
        <v/>
      </c>
      <c r="I7674" s="84" t="str">
        <f aca="false">IF(C7674="","",C7674*IF(Settings!$B$22=Settings!$C$6,1,IF(Settings!$B$22="USD",1/INDEX(Settings!$B$29:$B$40,MONTH(A7674)),INDEX(Settings!$B$29:$B$40,MONTH(A7674)))))</f>
        <v/>
      </c>
    </row>
    <row r="7675" customFormat="false" ht="15" hidden="false" customHeight="false" outlineLevel="0" collapsed="false">
      <c r="H7675" s="0" t="str">
        <f aca="false">IF(B7675="","",IF(COUNTIF(Campaigns!$A$7:$A$300,B7675)&gt;0,"✓","⚠ add to Campaigns tab"))</f>
        <v/>
      </c>
      <c r="I7675" s="84" t="str">
        <f aca="false">IF(C7675="","",C7675*IF(Settings!$B$22=Settings!$C$6,1,IF(Settings!$B$22="USD",1/INDEX(Settings!$B$29:$B$40,MONTH(A7675)),INDEX(Settings!$B$29:$B$40,MONTH(A7675)))))</f>
        <v/>
      </c>
    </row>
    <row r="7676" customFormat="false" ht="15" hidden="false" customHeight="false" outlineLevel="0" collapsed="false">
      <c r="H7676" s="0" t="str">
        <f aca="false">IF(B7676="","",IF(COUNTIF(Campaigns!$A$7:$A$300,B7676)&gt;0,"✓","⚠ add to Campaigns tab"))</f>
        <v/>
      </c>
      <c r="I7676" s="84" t="str">
        <f aca="false">IF(C7676="","",C7676*IF(Settings!$B$22=Settings!$C$6,1,IF(Settings!$B$22="USD",1/INDEX(Settings!$B$29:$B$40,MONTH(A7676)),INDEX(Settings!$B$29:$B$40,MONTH(A7676)))))</f>
        <v/>
      </c>
    </row>
    <row r="7677" customFormat="false" ht="15" hidden="false" customHeight="false" outlineLevel="0" collapsed="false">
      <c r="H7677" s="0" t="str">
        <f aca="false">IF(B7677="","",IF(COUNTIF(Campaigns!$A$7:$A$300,B7677)&gt;0,"✓","⚠ add to Campaigns tab"))</f>
        <v/>
      </c>
      <c r="I7677" s="84" t="str">
        <f aca="false">IF(C7677="","",C7677*IF(Settings!$B$22=Settings!$C$6,1,IF(Settings!$B$22="USD",1/INDEX(Settings!$B$29:$B$40,MONTH(A7677)),INDEX(Settings!$B$29:$B$40,MONTH(A7677)))))</f>
        <v/>
      </c>
    </row>
    <row r="7678" customFormat="false" ht="15" hidden="false" customHeight="false" outlineLevel="0" collapsed="false">
      <c r="H7678" s="0" t="str">
        <f aca="false">IF(B7678="","",IF(COUNTIF(Campaigns!$A$7:$A$300,B7678)&gt;0,"✓","⚠ add to Campaigns tab"))</f>
        <v/>
      </c>
      <c r="I7678" s="84" t="str">
        <f aca="false">IF(C7678="","",C7678*IF(Settings!$B$22=Settings!$C$6,1,IF(Settings!$B$22="USD",1/INDEX(Settings!$B$29:$B$40,MONTH(A7678)),INDEX(Settings!$B$29:$B$40,MONTH(A7678)))))</f>
        <v/>
      </c>
    </row>
    <row r="7679" customFormat="false" ht="15" hidden="false" customHeight="false" outlineLevel="0" collapsed="false">
      <c r="H7679" s="0" t="str">
        <f aca="false">IF(B7679="","",IF(COUNTIF(Campaigns!$A$7:$A$300,B7679)&gt;0,"✓","⚠ add to Campaigns tab"))</f>
        <v/>
      </c>
      <c r="I7679" s="84" t="str">
        <f aca="false">IF(C7679="","",C7679*IF(Settings!$B$22=Settings!$C$6,1,IF(Settings!$B$22="USD",1/INDEX(Settings!$B$29:$B$40,MONTH(A7679)),INDEX(Settings!$B$29:$B$40,MONTH(A7679)))))</f>
        <v/>
      </c>
    </row>
    <row r="7680" customFormat="false" ht="15" hidden="false" customHeight="false" outlineLevel="0" collapsed="false">
      <c r="H7680" s="0" t="str">
        <f aca="false">IF(B7680="","",IF(COUNTIF(Campaigns!$A$7:$A$300,B7680)&gt;0,"✓","⚠ add to Campaigns tab"))</f>
        <v/>
      </c>
      <c r="I7680" s="84" t="str">
        <f aca="false">IF(C7680="","",C7680*IF(Settings!$B$22=Settings!$C$6,1,IF(Settings!$B$22="USD",1/INDEX(Settings!$B$29:$B$40,MONTH(A7680)),INDEX(Settings!$B$29:$B$40,MONTH(A7680)))))</f>
        <v/>
      </c>
    </row>
    <row r="7681" customFormat="false" ht="15" hidden="false" customHeight="false" outlineLevel="0" collapsed="false">
      <c r="H7681" s="0" t="str">
        <f aca="false">IF(B7681="","",IF(COUNTIF(Campaigns!$A$7:$A$300,B7681)&gt;0,"✓","⚠ add to Campaigns tab"))</f>
        <v/>
      </c>
      <c r="I7681" s="84" t="str">
        <f aca="false">IF(C7681="","",C7681*IF(Settings!$B$22=Settings!$C$6,1,IF(Settings!$B$22="USD",1/INDEX(Settings!$B$29:$B$40,MONTH(A7681)),INDEX(Settings!$B$29:$B$40,MONTH(A7681)))))</f>
        <v/>
      </c>
    </row>
    <row r="7682" customFormat="false" ht="15" hidden="false" customHeight="false" outlineLevel="0" collapsed="false">
      <c r="H7682" s="0" t="str">
        <f aca="false">IF(B7682="","",IF(COUNTIF(Campaigns!$A$7:$A$300,B7682)&gt;0,"✓","⚠ add to Campaigns tab"))</f>
        <v/>
      </c>
      <c r="I7682" s="84" t="str">
        <f aca="false">IF(C7682="","",C7682*IF(Settings!$B$22=Settings!$C$6,1,IF(Settings!$B$22="USD",1/INDEX(Settings!$B$29:$B$40,MONTH(A7682)),INDEX(Settings!$B$29:$B$40,MONTH(A7682)))))</f>
        <v/>
      </c>
    </row>
    <row r="7683" customFormat="false" ht="15" hidden="false" customHeight="false" outlineLevel="0" collapsed="false">
      <c r="H7683" s="0" t="str">
        <f aca="false">IF(B7683="","",IF(COUNTIF(Campaigns!$A$7:$A$300,B7683)&gt;0,"✓","⚠ add to Campaigns tab"))</f>
        <v/>
      </c>
      <c r="I7683" s="84" t="str">
        <f aca="false">IF(C7683="","",C7683*IF(Settings!$B$22=Settings!$C$6,1,IF(Settings!$B$22="USD",1/INDEX(Settings!$B$29:$B$40,MONTH(A7683)),INDEX(Settings!$B$29:$B$40,MONTH(A7683)))))</f>
        <v/>
      </c>
    </row>
    <row r="7684" customFormat="false" ht="15" hidden="false" customHeight="false" outlineLevel="0" collapsed="false">
      <c r="H7684" s="0" t="str">
        <f aca="false">IF(B7684="","",IF(COUNTIF(Campaigns!$A$7:$A$300,B7684)&gt;0,"✓","⚠ add to Campaigns tab"))</f>
        <v/>
      </c>
      <c r="I7684" s="84" t="str">
        <f aca="false">IF(C7684="","",C7684*IF(Settings!$B$22=Settings!$C$6,1,IF(Settings!$B$22="USD",1/INDEX(Settings!$B$29:$B$40,MONTH(A7684)),INDEX(Settings!$B$29:$B$40,MONTH(A7684)))))</f>
        <v/>
      </c>
    </row>
    <row r="7685" customFormat="false" ht="15" hidden="false" customHeight="false" outlineLevel="0" collapsed="false">
      <c r="H7685" s="0" t="str">
        <f aca="false">IF(B7685="","",IF(COUNTIF(Campaigns!$A$7:$A$300,B7685)&gt;0,"✓","⚠ add to Campaigns tab"))</f>
        <v/>
      </c>
      <c r="I7685" s="84" t="str">
        <f aca="false">IF(C7685="","",C7685*IF(Settings!$B$22=Settings!$C$6,1,IF(Settings!$B$22="USD",1/INDEX(Settings!$B$29:$B$40,MONTH(A7685)),INDEX(Settings!$B$29:$B$40,MONTH(A7685)))))</f>
        <v/>
      </c>
    </row>
    <row r="7686" customFormat="false" ht="15" hidden="false" customHeight="false" outlineLevel="0" collapsed="false">
      <c r="H7686" s="0" t="str">
        <f aca="false">IF(B7686="","",IF(COUNTIF(Campaigns!$A$7:$A$300,B7686)&gt;0,"✓","⚠ add to Campaigns tab"))</f>
        <v/>
      </c>
      <c r="I7686" s="84" t="str">
        <f aca="false">IF(C7686="","",C7686*IF(Settings!$B$22=Settings!$C$6,1,IF(Settings!$B$22="USD",1/INDEX(Settings!$B$29:$B$40,MONTH(A7686)),INDEX(Settings!$B$29:$B$40,MONTH(A7686)))))</f>
        <v/>
      </c>
    </row>
    <row r="7687" customFormat="false" ht="15" hidden="false" customHeight="false" outlineLevel="0" collapsed="false">
      <c r="H7687" s="0" t="str">
        <f aca="false">IF(B7687="","",IF(COUNTIF(Campaigns!$A$7:$A$300,B7687)&gt;0,"✓","⚠ add to Campaigns tab"))</f>
        <v/>
      </c>
      <c r="I7687" s="84" t="str">
        <f aca="false">IF(C7687="","",C7687*IF(Settings!$B$22=Settings!$C$6,1,IF(Settings!$B$22="USD",1/INDEX(Settings!$B$29:$B$40,MONTH(A7687)),INDEX(Settings!$B$29:$B$40,MONTH(A7687)))))</f>
        <v/>
      </c>
    </row>
    <row r="7688" customFormat="false" ht="15" hidden="false" customHeight="false" outlineLevel="0" collapsed="false">
      <c r="H7688" s="0" t="str">
        <f aca="false">IF(B7688="","",IF(COUNTIF(Campaigns!$A$7:$A$300,B7688)&gt;0,"✓","⚠ add to Campaigns tab"))</f>
        <v/>
      </c>
      <c r="I7688" s="84" t="str">
        <f aca="false">IF(C7688="","",C7688*IF(Settings!$B$22=Settings!$C$6,1,IF(Settings!$B$22="USD",1/INDEX(Settings!$B$29:$B$40,MONTH(A7688)),INDEX(Settings!$B$29:$B$40,MONTH(A7688)))))</f>
        <v/>
      </c>
    </row>
    <row r="7689" customFormat="false" ht="15" hidden="false" customHeight="false" outlineLevel="0" collapsed="false">
      <c r="H7689" s="0" t="str">
        <f aca="false">IF(B7689="","",IF(COUNTIF(Campaigns!$A$7:$A$300,B7689)&gt;0,"✓","⚠ add to Campaigns tab"))</f>
        <v/>
      </c>
      <c r="I7689" s="84" t="str">
        <f aca="false">IF(C7689="","",C7689*IF(Settings!$B$22=Settings!$C$6,1,IF(Settings!$B$22="USD",1/INDEX(Settings!$B$29:$B$40,MONTH(A7689)),INDEX(Settings!$B$29:$B$40,MONTH(A7689)))))</f>
        <v/>
      </c>
    </row>
    <row r="7690" customFormat="false" ht="15" hidden="false" customHeight="false" outlineLevel="0" collapsed="false">
      <c r="H7690" s="0" t="str">
        <f aca="false">IF(B7690="","",IF(COUNTIF(Campaigns!$A$7:$A$300,B7690)&gt;0,"✓","⚠ add to Campaigns tab"))</f>
        <v/>
      </c>
      <c r="I7690" s="84" t="str">
        <f aca="false">IF(C7690="","",C7690*IF(Settings!$B$22=Settings!$C$6,1,IF(Settings!$B$22="USD",1/INDEX(Settings!$B$29:$B$40,MONTH(A7690)),INDEX(Settings!$B$29:$B$40,MONTH(A7690)))))</f>
        <v/>
      </c>
    </row>
    <row r="7691" customFormat="false" ht="15" hidden="false" customHeight="false" outlineLevel="0" collapsed="false">
      <c r="H7691" s="0" t="str">
        <f aca="false">IF(B7691="","",IF(COUNTIF(Campaigns!$A$7:$A$300,B7691)&gt;0,"✓","⚠ add to Campaigns tab"))</f>
        <v/>
      </c>
      <c r="I7691" s="84" t="str">
        <f aca="false">IF(C7691="","",C7691*IF(Settings!$B$22=Settings!$C$6,1,IF(Settings!$B$22="USD",1/INDEX(Settings!$B$29:$B$40,MONTH(A7691)),INDEX(Settings!$B$29:$B$40,MONTH(A7691)))))</f>
        <v/>
      </c>
    </row>
    <row r="7692" customFormat="false" ht="15" hidden="false" customHeight="false" outlineLevel="0" collapsed="false">
      <c r="H7692" s="0" t="str">
        <f aca="false">IF(B7692="","",IF(COUNTIF(Campaigns!$A$7:$A$300,B7692)&gt;0,"✓","⚠ add to Campaigns tab"))</f>
        <v/>
      </c>
      <c r="I7692" s="84" t="str">
        <f aca="false">IF(C7692="","",C7692*IF(Settings!$B$22=Settings!$C$6,1,IF(Settings!$B$22="USD",1/INDEX(Settings!$B$29:$B$40,MONTH(A7692)),INDEX(Settings!$B$29:$B$40,MONTH(A7692)))))</f>
        <v/>
      </c>
    </row>
    <row r="7693" customFormat="false" ht="15" hidden="false" customHeight="false" outlineLevel="0" collapsed="false">
      <c r="H7693" s="0" t="str">
        <f aca="false">IF(B7693="","",IF(COUNTIF(Campaigns!$A$7:$A$300,B7693)&gt;0,"✓","⚠ add to Campaigns tab"))</f>
        <v/>
      </c>
      <c r="I7693" s="84" t="str">
        <f aca="false">IF(C7693="","",C7693*IF(Settings!$B$22=Settings!$C$6,1,IF(Settings!$B$22="USD",1/INDEX(Settings!$B$29:$B$40,MONTH(A7693)),INDEX(Settings!$B$29:$B$40,MONTH(A7693)))))</f>
        <v/>
      </c>
    </row>
    <row r="7694" customFormat="false" ht="15" hidden="false" customHeight="false" outlineLevel="0" collapsed="false">
      <c r="H7694" s="0" t="str">
        <f aca="false">IF(B7694="","",IF(COUNTIF(Campaigns!$A$7:$A$300,B7694)&gt;0,"✓","⚠ add to Campaigns tab"))</f>
        <v/>
      </c>
      <c r="I7694" s="84" t="str">
        <f aca="false">IF(C7694="","",C7694*IF(Settings!$B$22=Settings!$C$6,1,IF(Settings!$B$22="USD",1/INDEX(Settings!$B$29:$B$40,MONTH(A7694)),INDEX(Settings!$B$29:$B$40,MONTH(A7694)))))</f>
        <v/>
      </c>
    </row>
    <row r="7695" customFormat="false" ht="15" hidden="false" customHeight="false" outlineLevel="0" collapsed="false">
      <c r="H7695" s="0" t="str">
        <f aca="false">IF(B7695="","",IF(COUNTIF(Campaigns!$A$7:$A$300,B7695)&gt;0,"✓","⚠ add to Campaigns tab"))</f>
        <v/>
      </c>
      <c r="I7695" s="84" t="str">
        <f aca="false">IF(C7695="","",C7695*IF(Settings!$B$22=Settings!$C$6,1,IF(Settings!$B$22="USD",1/INDEX(Settings!$B$29:$B$40,MONTH(A7695)),INDEX(Settings!$B$29:$B$40,MONTH(A7695)))))</f>
        <v/>
      </c>
    </row>
    <row r="7696" customFormat="false" ht="15" hidden="false" customHeight="false" outlineLevel="0" collapsed="false">
      <c r="H7696" s="0" t="str">
        <f aca="false">IF(B7696="","",IF(COUNTIF(Campaigns!$A$7:$A$300,B7696)&gt;0,"✓","⚠ add to Campaigns tab"))</f>
        <v/>
      </c>
      <c r="I7696" s="84" t="str">
        <f aca="false">IF(C7696="","",C7696*IF(Settings!$B$22=Settings!$C$6,1,IF(Settings!$B$22="USD",1/INDEX(Settings!$B$29:$B$40,MONTH(A7696)),INDEX(Settings!$B$29:$B$40,MONTH(A7696)))))</f>
        <v/>
      </c>
    </row>
    <row r="7697" customFormat="false" ht="15" hidden="false" customHeight="false" outlineLevel="0" collapsed="false">
      <c r="H7697" s="0" t="str">
        <f aca="false">IF(B7697="","",IF(COUNTIF(Campaigns!$A$7:$A$300,B7697)&gt;0,"✓","⚠ add to Campaigns tab"))</f>
        <v/>
      </c>
      <c r="I7697" s="84" t="str">
        <f aca="false">IF(C7697="","",C7697*IF(Settings!$B$22=Settings!$C$6,1,IF(Settings!$B$22="USD",1/INDEX(Settings!$B$29:$B$40,MONTH(A7697)),INDEX(Settings!$B$29:$B$40,MONTH(A7697)))))</f>
        <v/>
      </c>
    </row>
    <row r="7698" customFormat="false" ht="15" hidden="false" customHeight="false" outlineLevel="0" collapsed="false">
      <c r="H7698" s="0" t="str">
        <f aca="false">IF(B7698="","",IF(COUNTIF(Campaigns!$A$7:$A$300,B7698)&gt;0,"✓","⚠ add to Campaigns tab"))</f>
        <v/>
      </c>
      <c r="I7698" s="84" t="str">
        <f aca="false">IF(C7698="","",C7698*IF(Settings!$B$22=Settings!$C$6,1,IF(Settings!$B$22="USD",1/INDEX(Settings!$B$29:$B$40,MONTH(A7698)),INDEX(Settings!$B$29:$B$40,MONTH(A7698)))))</f>
        <v/>
      </c>
    </row>
    <row r="7699" customFormat="false" ht="15" hidden="false" customHeight="false" outlineLevel="0" collapsed="false">
      <c r="H7699" s="0" t="str">
        <f aca="false">IF(B7699="","",IF(COUNTIF(Campaigns!$A$7:$A$300,B7699)&gt;0,"✓","⚠ add to Campaigns tab"))</f>
        <v/>
      </c>
      <c r="I7699" s="84" t="str">
        <f aca="false">IF(C7699="","",C7699*IF(Settings!$B$22=Settings!$C$6,1,IF(Settings!$B$22="USD",1/INDEX(Settings!$B$29:$B$40,MONTH(A7699)),INDEX(Settings!$B$29:$B$40,MONTH(A7699)))))</f>
        <v/>
      </c>
    </row>
    <row r="7700" customFormat="false" ht="15" hidden="false" customHeight="false" outlineLevel="0" collapsed="false">
      <c r="H7700" s="0" t="str">
        <f aca="false">IF(B7700="","",IF(COUNTIF(Campaigns!$A$7:$A$300,B7700)&gt;0,"✓","⚠ add to Campaigns tab"))</f>
        <v/>
      </c>
      <c r="I7700" s="84" t="str">
        <f aca="false">IF(C7700="","",C7700*IF(Settings!$B$22=Settings!$C$6,1,IF(Settings!$B$22="USD",1/INDEX(Settings!$B$29:$B$40,MONTH(A7700)),INDEX(Settings!$B$29:$B$40,MONTH(A7700)))))</f>
        <v/>
      </c>
    </row>
    <row r="7701" customFormat="false" ht="15" hidden="false" customHeight="false" outlineLevel="0" collapsed="false">
      <c r="H7701" s="0" t="str">
        <f aca="false">IF(B7701="","",IF(COUNTIF(Campaigns!$A$7:$A$300,B7701)&gt;0,"✓","⚠ add to Campaigns tab"))</f>
        <v/>
      </c>
      <c r="I7701" s="84" t="str">
        <f aca="false">IF(C7701="","",C7701*IF(Settings!$B$22=Settings!$C$6,1,IF(Settings!$B$22="USD",1/INDEX(Settings!$B$29:$B$40,MONTH(A7701)),INDEX(Settings!$B$29:$B$40,MONTH(A7701)))))</f>
        <v/>
      </c>
    </row>
    <row r="7702" customFormat="false" ht="15" hidden="false" customHeight="false" outlineLevel="0" collapsed="false">
      <c r="H7702" s="0" t="str">
        <f aca="false">IF(B7702="","",IF(COUNTIF(Campaigns!$A$7:$A$300,B7702)&gt;0,"✓","⚠ add to Campaigns tab"))</f>
        <v/>
      </c>
      <c r="I7702" s="84" t="str">
        <f aca="false">IF(C7702="","",C7702*IF(Settings!$B$22=Settings!$C$6,1,IF(Settings!$B$22="USD",1/INDEX(Settings!$B$29:$B$40,MONTH(A7702)),INDEX(Settings!$B$29:$B$40,MONTH(A7702)))))</f>
        <v/>
      </c>
    </row>
    <row r="7703" customFormat="false" ht="15" hidden="false" customHeight="false" outlineLevel="0" collapsed="false">
      <c r="H7703" s="0" t="str">
        <f aca="false">IF(B7703="","",IF(COUNTIF(Campaigns!$A$7:$A$300,B7703)&gt;0,"✓","⚠ add to Campaigns tab"))</f>
        <v/>
      </c>
      <c r="I7703" s="84" t="str">
        <f aca="false">IF(C7703="","",C7703*IF(Settings!$B$22=Settings!$C$6,1,IF(Settings!$B$22="USD",1/INDEX(Settings!$B$29:$B$40,MONTH(A7703)),INDEX(Settings!$B$29:$B$40,MONTH(A7703)))))</f>
        <v/>
      </c>
    </row>
    <row r="7704" customFormat="false" ht="15" hidden="false" customHeight="false" outlineLevel="0" collapsed="false">
      <c r="H7704" s="0" t="str">
        <f aca="false">IF(B7704="","",IF(COUNTIF(Campaigns!$A$7:$A$300,B7704)&gt;0,"✓","⚠ add to Campaigns tab"))</f>
        <v/>
      </c>
      <c r="I7704" s="84" t="str">
        <f aca="false">IF(C7704="","",C7704*IF(Settings!$B$22=Settings!$C$6,1,IF(Settings!$B$22="USD",1/INDEX(Settings!$B$29:$B$40,MONTH(A7704)),INDEX(Settings!$B$29:$B$40,MONTH(A7704)))))</f>
        <v/>
      </c>
    </row>
    <row r="7705" customFormat="false" ht="15" hidden="false" customHeight="false" outlineLevel="0" collapsed="false">
      <c r="H7705" s="0" t="str">
        <f aca="false">IF(B7705="","",IF(COUNTIF(Campaigns!$A$7:$A$300,B7705)&gt;0,"✓","⚠ add to Campaigns tab"))</f>
        <v/>
      </c>
      <c r="I7705" s="84" t="str">
        <f aca="false">IF(C7705="","",C7705*IF(Settings!$B$22=Settings!$C$6,1,IF(Settings!$B$22="USD",1/INDEX(Settings!$B$29:$B$40,MONTH(A7705)),INDEX(Settings!$B$29:$B$40,MONTH(A7705)))))</f>
        <v/>
      </c>
    </row>
    <row r="7706" customFormat="false" ht="15" hidden="false" customHeight="false" outlineLevel="0" collapsed="false">
      <c r="H7706" s="0" t="str">
        <f aca="false">IF(B7706="","",IF(COUNTIF(Campaigns!$A$7:$A$300,B7706)&gt;0,"✓","⚠ add to Campaigns tab"))</f>
        <v/>
      </c>
      <c r="I7706" s="84" t="str">
        <f aca="false">IF(C7706="","",C7706*IF(Settings!$B$22=Settings!$C$6,1,IF(Settings!$B$22="USD",1/INDEX(Settings!$B$29:$B$40,MONTH(A7706)),INDEX(Settings!$B$29:$B$40,MONTH(A7706)))))</f>
        <v/>
      </c>
    </row>
    <row r="7707" customFormat="false" ht="15" hidden="false" customHeight="false" outlineLevel="0" collapsed="false">
      <c r="H7707" s="0" t="str">
        <f aca="false">IF(B7707="","",IF(COUNTIF(Campaigns!$A$7:$A$300,B7707)&gt;0,"✓","⚠ add to Campaigns tab"))</f>
        <v/>
      </c>
      <c r="I7707" s="84" t="str">
        <f aca="false">IF(C7707="","",C7707*IF(Settings!$B$22=Settings!$C$6,1,IF(Settings!$B$22="USD",1/INDEX(Settings!$B$29:$B$40,MONTH(A7707)),INDEX(Settings!$B$29:$B$40,MONTH(A7707)))))</f>
        <v/>
      </c>
    </row>
    <row r="7708" customFormat="false" ht="15" hidden="false" customHeight="false" outlineLevel="0" collapsed="false">
      <c r="H7708" s="0" t="str">
        <f aca="false">IF(B7708="","",IF(COUNTIF(Campaigns!$A$7:$A$300,B7708)&gt;0,"✓","⚠ add to Campaigns tab"))</f>
        <v/>
      </c>
      <c r="I7708" s="84" t="str">
        <f aca="false">IF(C7708="","",C7708*IF(Settings!$B$22=Settings!$C$6,1,IF(Settings!$B$22="USD",1/INDEX(Settings!$B$29:$B$40,MONTH(A7708)),INDEX(Settings!$B$29:$B$40,MONTH(A7708)))))</f>
        <v/>
      </c>
    </row>
    <row r="7709" customFormat="false" ht="15" hidden="false" customHeight="false" outlineLevel="0" collapsed="false">
      <c r="H7709" s="0" t="str">
        <f aca="false">IF(B7709="","",IF(COUNTIF(Campaigns!$A$7:$A$300,B7709)&gt;0,"✓","⚠ add to Campaigns tab"))</f>
        <v/>
      </c>
      <c r="I7709" s="84" t="str">
        <f aca="false">IF(C7709="","",C7709*IF(Settings!$B$22=Settings!$C$6,1,IF(Settings!$B$22="USD",1/INDEX(Settings!$B$29:$B$40,MONTH(A7709)),INDEX(Settings!$B$29:$B$40,MONTH(A7709)))))</f>
        <v/>
      </c>
    </row>
    <row r="7710" customFormat="false" ht="15" hidden="false" customHeight="false" outlineLevel="0" collapsed="false">
      <c r="H7710" s="0" t="str">
        <f aca="false">IF(B7710="","",IF(COUNTIF(Campaigns!$A$7:$A$300,B7710)&gt;0,"✓","⚠ add to Campaigns tab"))</f>
        <v/>
      </c>
      <c r="I7710" s="84" t="str">
        <f aca="false">IF(C7710="","",C7710*IF(Settings!$B$22=Settings!$C$6,1,IF(Settings!$B$22="USD",1/INDEX(Settings!$B$29:$B$40,MONTH(A7710)),INDEX(Settings!$B$29:$B$40,MONTH(A7710)))))</f>
        <v/>
      </c>
    </row>
    <row r="7711" customFormat="false" ht="15" hidden="false" customHeight="false" outlineLevel="0" collapsed="false">
      <c r="H7711" s="0" t="str">
        <f aca="false">IF(B7711="","",IF(COUNTIF(Campaigns!$A$7:$A$300,B7711)&gt;0,"✓","⚠ add to Campaigns tab"))</f>
        <v/>
      </c>
      <c r="I7711" s="84" t="str">
        <f aca="false">IF(C7711="","",C7711*IF(Settings!$B$22=Settings!$C$6,1,IF(Settings!$B$22="USD",1/INDEX(Settings!$B$29:$B$40,MONTH(A7711)),INDEX(Settings!$B$29:$B$40,MONTH(A7711)))))</f>
        <v/>
      </c>
    </row>
    <row r="7712" customFormat="false" ht="15" hidden="false" customHeight="false" outlineLevel="0" collapsed="false">
      <c r="H7712" s="0" t="str">
        <f aca="false">IF(B7712="","",IF(COUNTIF(Campaigns!$A$7:$A$300,B7712)&gt;0,"✓","⚠ add to Campaigns tab"))</f>
        <v/>
      </c>
      <c r="I7712" s="84" t="str">
        <f aca="false">IF(C7712="","",C7712*IF(Settings!$B$22=Settings!$C$6,1,IF(Settings!$B$22="USD",1/INDEX(Settings!$B$29:$B$40,MONTH(A7712)),INDEX(Settings!$B$29:$B$40,MONTH(A7712)))))</f>
        <v/>
      </c>
    </row>
    <row r="7713" customFormat="false" ht="15" hidden="false" customHeight="false" outlineLevel="0" collapsed="false">
      <c r="H7713" s="0" t="str">
        <f aca="false">IF(B7713="","",IF(COUNTIF(Campaigns!$A$7:$A$300,B7713)&gt;0,"✓","⚠ add to Campaigns tab"))</f>
        <v/>
      </c>
      <c r="I7713" s="84" t="str">
        <f aca="false">IF(C7713="","",C7713*IF(Settings!$B$22=Settings!$C$6,1,IF(Settings!$B$22="USD",1/INDEX(Settings!$B$29:$B$40,MONTH(A7713)),INDEX(Settings!$B$29:$B$40,MONTH(A7713)))))</f>
        <v/>
      </c>
    </row>
    <row r="7714" customFormat="false" ht="15" hidden="false" customHeight="false" outlineLevel="0" collapsed="false">
      <c r="H7714" s="0" t="str">
        <f aca="false">IF(B7714="","",IF(COUNTIF(Campaigns!$A$7:$A$300,B7714)&gt;0,"✓","⚠ add to Campaigns tab"))</f>
        <v/>
      </c>
      <c r="I7714" s="84" t="str">
        <f aca="false">IF(C7714="","",C7714*IF(Settings!$B$22=Settings!$C$6,1,IF(Settings!$B$22="USD",1/INDEX(Settings!$B$29:$B$40,MONTH(A7714)),INDEX(Settings!$B$29:$B$40,MONTH(A7714)))))</f>
        <v/>
      </c>
    </row>
    <row r="7715" customFormat="false" ht="15" hidden="false" customHeight="false" outlineLevel="0" collapsed="false">
      <c r="H7715" s="0" t="str">
        <f aca="false">IF(B7715="","",IF(COUNTIF(Campaigns!$A$7:$A$300,B7715)&gt;0,"✓","⚠ add to Campaigns tab"))</f>
        <v/>
      </c>
      <c r="I7715" s="84" t="str">
        <f aca="false">IF(C7715="","",C7715*IF(Settings!$B$22=Settings!$C$6,1,IF(Settings!$B$22="USD",1/INDEX(Settings!$B$29:$B$40,MONTH(A7715)),INDEX(Settings!$B$29:$B$40,MONTH(A7715)))))</f>
        <v/>
      </c>
    </row>
    <row r="7716" customFormat="false" ht="15" hidden="false" customHeight="false" outlineLevel="0" collapsed="false">
      <c r="H7716" s="0" t="str">
        <f aca="false">IF(B7716="","",IF(COUNTIF(Campaigns!$A$7:$A$300,B7716)&gt;0,"✓","⚠ add to Campaigns tab"))</f>
        <v/>
      </c>
      <c r="I7716" s="84" t="str">
        <f aca="false">IF(C7716="","",C7716*IF(Settings!$B$22=Settings!$C$6,1,IF(Settings!$B$22="USD",1/INDEX(Settings!$B$29:$B$40,MONTH(A7716)),INDEX(Settings!$B$29:$B$40,MONTH(A7716)))))</f>
        <v/>
      </c>
    </row>
    <row r="7717" customFormat="false" ht="15" hidden="false" customHeight="false" outlineLevel="0" collapsed="false">
      <c r="H7717" s="0" t="str">
        <f aca="false">IF(B7717="","",IF(COUNTIF(Campaigns!$A$7:$A$300,B7717)&gt;0,"✓","⚠ add to Campaigns tab"))</f>
        <v/>
      </c>
      <c r="I7717" s="84" t="str">
        <f aca="false">IF(C7717="","",C7717*IF(Settings!$B$22=Settings!$C$6,1,IF(Settings!$B$22="USD",1/INDEX(Settings!$B$29:$B$40,MONTH(A7717)),INDEX(Settings!$B$29:$B$40,MONTH(A7717)))))</f>
        <v/>
      </c>
    </row>
    <row r="7718" customFormat="false" ht="15" hidden="false" customHeight="false" outlineLevel="0" collapsed="false">
      <c r="H7718" s="0" t="str">
        <f aca="false">IF(B7718="","",IF(COUNTIF(Campaigns!$A$7:$A$300,B7718)&gt;0,"✓","⚠ add to Campaigns tab"))</f>
        <v/>
      </c>
      <c r="I7718" s="84" t="str">
        <f aca="false">IF(C7718="","",C7718*IF(Settings!$B$22=Settings!$C$6,1,IF(Settings!$B$22="USD",1/INDEX(Settings!$B$29:$B$40,MONTH(A7718)),INDEX(Settings!$B$29:$B$40,MONTH(A7718)))))</f>
        <v/>
      </c>
    </row>
    <row r="7719" customFormat="false" ht="15" hidden="false" customHeight="false" outlineLevel="0" collapsed="false">
      <c r="H7719" s="0" t="str">
        <f aca="false">IF(B7719="","",IF(COUNTIF(Campaigns!$A$7:$A$300,B7719)&gt;0,"✓","⚠ add to Campaigns tab"))</f>
        <v/>
      </c>
      <c r="I7719" s="84" t="str">
        <f aca="false">IF(C7719="","",C7719*IF(Settings!$B$22=Settings!$C$6,1,IF(Settings!$B$22="USD",1/INDEX(Settings!$B$29:$B$40,MONTH(A7719)),INDEX(Settings!$B$29:$B$40,MONTH(A7719)))))</f>
        <v/>
      </c>
    </row>
    <row r="7720" customFormat="false" ht="15" hidden="false" customHeight="false" outlineLevel="0" collapsed="false">
      <c r="H7720" s="0" t="str">
        <f aca="false">IF(B7720="","",IF(COUNTIF(Campaigns!$A$7:$A$300,B7720)&gt;0,"✓","⚠ add to Campaigns tab"))</f>
        <v/>
      </c>
      <c r="I7720" s="84" t="str">
        <f aca="false">IF(C7720="","",C7720*IF(Settings!$B$22=Settings!$C$6,1,IF(Settings!$B$22="USD",1/INDEX(Settings!$B$29:$B$40,MONTH(A7720)),INDEX(Settings!$B$29:$B$40,MONTH(A7720)))))</f>
        <v/>
      </c>
    </row>
    <row r="7721" customFormat="false" ht="15" hidden="false" customHeight="false" outlineLevel="0" collapsed="false">
      <c r="H7721" s="0" t="str">
        <f aca="false">IF(B7721="","",IF(COUNTIF(Campaigns!$A$7:$A$300,B7721)&gt;0,"✓","⚠ add to Campaigns tab"))</f>
        <v/>
      </c>
      <c r="I7721" s="84" t="str">
        <f aca="false">IF(C7721="","",C7721*IF(Settings!$B$22=Settings!$C$6,1,IF(Settings!$B$22="USD",1/INDEX(Settings!$B$29:$B$40,MONTH(A7721)),INDEX(Settings!$B$29:$B$40,MONTH(A7721)))))</f>
        <v/>
      </c>
    </row>
    <row r="7722" customFormat="false" ht="15" hidden="false" customHeight="false" outlineLevel="0" collapsed="false">
      <c r="H7722" s="0" t="str">
        <f aca="false">IF(B7722="","",IF(COUNTIF(Campaigns!$A$7:$A$300,B7722)&gt;0,"✓","⚠ add to Campaigns tab"))</f>
        <v/>
      </c>
      <c r="I7722" s="84" t="str">
        <f aca="false">IF(C7722="","",C7722*IF(Settings!$B$22=Settings!$C$6,1,IF(Settings!$B$22="USD",1/INDEX(Settings!$B$29:$B$40,MONTH(A7722)),INDEX(Settings!$B$29:$B$40,MONTH(A7722)))))</f>
        <v/>
      </c>
    </row>
    <row r="7723" customFormat="false" ht="15" hidden="false" customHeight="false" outlineLevel="0" collapsed="false">
      <c r="H7723" s="0" t="str">
        <f aca="false">IF(B7723="","",IF(COUNTIF(Campaigns!$A$7:$A$300,B7723)&gt;0,"✓","⚠ add to Campaigns tab"))</f>
        <v/>
      </c>
      <c r="I7723" s="84" t="str">
        <f aca="false">IF(C7723="","",C7723*IF(Settings!$B$22=Settings!$C$6,1,IF(Settings!$B$22="USD",1/INDEX(Settings!$B$29:$B$40,MONTH(A7723)),INDEX(Settings!$B$29:$B$40,MONTH(A7723)))))</f>
        <v/>
      </c>
    </row>
    <row r="7724" customFormat="false" ht="15" hidden="false" customHeight="false" outlineLevel="0" collapsed="false">
      <c r="H7724" s="0" t="str">
        <f aca="false">IF(B7724="","",IF(COUNTIF(Campaigns!$A$7:$A$300,B7724)&gt;0,"✓","⚠ add to Campaigns tab"))</f>
        <v/>
      </c>
      <c r="I7724" s="84" t="str">
        <f aca="false">IF(C7724="","",C7724*IF(Settings!$B$22=Settings!$C$6,1,IF(Settings!$B$22="USD",1/INDEX(Settings!$B$29:$B$40,MONTH(A7724)),INDEX(Settings!$B$29:$B$40,MONTH(A7724)))))</f>
        <v/>
      </c>
    </row>
    <row r="7725" customFormat="false" ht="15" hidden="false" customHeight="false" outlineLevel="0" collapsed="false">
      <c r="H7725" s="0" t="str">
        <f aca="false">IF(B7725="","",IF(COUNTIF(Campaigns!$A$7:$A$300,B7725)&gt;0,"✓","⚠ add to Campaigns tab"))</f>
        <v/>
      </c>
      <c r="I7725" s="84" t="str">
        <f aca="false">IF(C7725="","",C7725*IF(Settings!$B$22=Settings!$C$6,1,IF(Settings!$B$22="USD",1/INDEX(Settings!$B$29:$B$40,MONTH(A7725)),INDEX(Settings!$B$29:$B$40,MONTH(A7725)))))</f>
        <v/>
      </c>
    </row>
    <row r="7726" customFormat="false" ht="15" hidden="false" customHeight="false" outlineLevel="0" collapsed="false">
      <c r="H7726" s="0" t="str">
        <f aca="false">IF(B7726="","",IF(COUNTIF(Campaigns!$A$7:$A$300,B7726)&gt;0,"✓","⚠ add to Campaigns tab"))</f>
        <v/>
      </c>
      <c r="I7726" s="84" t="str">
        <f aca="false">IF(C7726="","",C7726*IF(Settings!$B$22=Settings!$C$6,1,IF(Settings!$B$22="USD",1/INDEX(Settings!$B$29:$B$40,MONTH(A7726)),INDEX(Settings!$B$29:$B$40,MONTH(A7726)))))</f>
        <v/>
      </c>
    </row>
    <row r="7727" customFormat="false" ht="15" hidden="false" customHeight="false" outlineLevel="0" collapsed="false">
      <c r="H7727" s="0" t="str">
        <f aca="false">IF(B7727="","",IF(COUNTIF(Campaigns!$A$7:$A$300,B7727)&gt;0,"✓","⚠ add to Campaigns tab"))</f>
        <v/>
      </c>
      <c r="I7727" s="84" t="str">
        <f aca="false">IF(C7727="","",C7727*IF(Settings!$B$22=Settings!$C$6,1,IF(Settings!$B$22="USD",1/INDEX(Settings!$B$29:$B$40,MONTH(A7727)),INDEX(Settings!$B$29:$B$40,MONTH(A7727)))))</f>
        <v/>
      </c>
    </row>
    <row r="7728" customFormat="false" ht="15" hidden="false" customHeight="false" outlineLevel="0" collapsed="false">
      <c r="H7728" s="0" t="str">
        <f aca="false">IF(B7728="","",IF(COUNTIF(Campaigns!$A$7:$A$300,B7728)&gt;0,"✓","⚠ add to Campaigns tab"))</f>
        <v/>
      </c>
      <c r="I7728" s="84" t="str">
        <f aca="false">IF(C7728="","",C7728*IF(Settings!$B$22=Settings!$C$6,1,IF(Settings!$B$22="USD",1/INDEX(Settings!$B$29:$B$40,MONTH(A7728)),INDEX(Settings!$B$29:$B$40,MONTH(A7728)))))</f>
        <v/>
      </c>
    </row>
    <row r="7729" customFormat="false" ht="15" hidden="false" customHeight="false" outlineLevel="0" collapsed="false">
      <c r="H7729" s="0" t="str">
        <f aca="false">IF(B7729="","",IF(COUNTIF(Campaigns!$A$7:$A$300,B7729)&gt;0,"✓","⚠ add to Campaigns tab"))</f>
        <v/>
      </c>
      <c r="I7729" s="84" t="str">
        <f aca="false">IF(C7729="","",C7729*IF(Settings!$B$22=Settings!$C$6,1,IF(Settings!$B$22="USD",1/INDEX(Settings!$B$29:$B$40,MONTH(A7729)),INDEX(Settings!$B$29:$B$40,MONTH(A7729)))))</f>
        <v/>
      </c>
    </row>
    <row r="7730" customFormat="false" ht="15" hidden="false" customHeight="false" outlineLevel="0" collapsed="false">
      <c r="H7730" s="0" t="str">
        <f aca="false">IF(B7730="","",IF(COUNTIF(Campaigns!$A$7:$A$300,B7730)&gt;0,"✓","⚠ add to Campaigns tab"))</f>
        <v/>
      </c>
      <c r="I7730" s="84" t="str">
        <f aca="false">IF(C7730="","",C7730*IF(Settings!$B$22=Settings!$C$6,1,IF(Settings!$B$22="USD",1/INDEX(Settings!$B$29:$B$40,MONTH(A7730)),INDEX(Settings!$B$29:$B$40,MONTH(A7730)))))</f>
        <v/>
      </c>
    </row>
    <row r="7731" customFormat="false" ht="15" hidden="false" customHeight="false" outlineLevel="0" collapsed="false">
      <c r="H7731" s="0" t="str">
        <f aca="false">IF(B7731="","",IF(COUNTIF(Campaigns!$A$7:$A$300,B7731)&gt;0,"✓","⚠ add to Campaigns tab"))</f>
        <v/>
      </c>
      <c r="I7731" s="84" t="str">
        <f aca="false">IF(C7731="","",C7731*IF(Settings!$B$22=Settings!$C$6,1,IF(Settings!$B$22="USD",1/INDEX(Settings!$B$29:$B$40,MONTH(A7731)),INDEX(Settings!$B$29:$B$40,MONTH(A7731)))))</f>
        <v/>
      </c>
    </row>
    <row r="7732" customFormat="false" ht="15" hidden="false" customHeight="false" outlineLevel="0" collapsed="false">
      <c r="H7732" s="0" t="str">
        <f aca="false">IF(B7732="","",IF(COUNTIF(Campaigns!$A$7:$A$300,B7732)&gt;0,"✓","⚠ add to Campaigns tab"))</f>
        <v/>
      </c>
      <c r="I7732" s="84" t="str">
        <f aca="false">IF(C7732="","",C7732*IF(Settings!$B$22=Settings!$C$6,1,IF(Settings!$B$22="USD",1/INDEX(Settings!$B$29:$B$40,MONTH(A7732)),INDEX(Settings!$B$29:$B$40,MONTH(A7732)))))</f>
        <v/>
      </c>
    </row>
    <row r="7733" customFormat="false" ht="15" hidden="false" customHeight="false" outlineLevel="0" collapsed="false">
      <c r="H7733" s="0" t="str">
        <f aca="false">IF(B7733="","",IF(COUNTIF(Campaigns!$A$7:$A$300,B7733)&gt;0,"✓","⚠ add to Campaigns tab"))</f>
        <v/>
      </c>
      <c r="I7733" s="84" t="str">
        <f aca="false">IF(C7733="","",C7733*IF(Settings!$B$22=Settings!$C$6,1,IF(Settings!$B$22="USD",1/INDEX(Settings!$B$29:$B$40,MONTH(A7733)),INDEX(Settings!$B$29:$B$40,MONTH(A7733)))))</f>
        <v/>
      </c>
    </row>
    <row r="7734" customFormat="false" ht="15" hidden="false" customHeight="false" outlineLevel="0" collapsed="false">
      <c r="H7734" s="0" t="str">
        <f aca="false">IF(B7734="","",IF(COUNTIF(Campaigns!$A$7:$A$300,B7734)&gt;0,"✓","⚠ add to Campaigns tab"))</f>
        <v/>
      </c>
      <c r="I7734" s="84" t="str">
        <f aca="false">IF(C7734="","",C7734*IF(Settings!$B$22=Settings!$C$6,1,IF(Settings!$B$22="USD",1/INDEX(Settings!$B$29:$B$40,MONTH(A7734)),INDEX(Settings!$B$29:$B$40,MONTH(A7734)))))</f>
        <v/>
      </c>
    </row>
    <row r="7735" customFormat="false" ht="15" hidden="false" customHeight="false" outlineLevel="0" collapsed="false">
      <c r="H7735" s="0" t="str">
        <f aca="false">IF(B7735="","",IF(COUNTIF(Campaigns!$A$7:$A$300,B7735)&gt;0,"✓","⚠ add to Campaigns tab"))</f>
        <v/>
      </c>
      <c r="I7735" s="84" t="str">
        <f aca="false">IF(C7735="","",C7735*IF(Settings!$B$22=Settings!$C$6,1,IF(Settings!$B$22="USD",1/INDEX(Settings!$B$29:$B$40,MONTH(A7735)),INDEX(Settings!$B$29:$B$40,MONTH(A7735)))))</f>
        <v/>
      </c>
    </row>
    <row r="7736" customFormat="false" ht="15" hidden="false" customHeight="false" outlineLevel="0" collapsed="false">
      <c r="H7736" s="0" t="str">
        <f aca="false">IF(B7736="","",IF(COUNTIF(Campaigns!$A$7:$A$300,B7736)&gt;0,"✓","⚠ add to Campaigns tab"))</f>
        <v/>
      </c>
      <c r="I7736" s="84" t="str">
        <f aca="false">IF(C7736="","",C7736*IF(Settings!$B$22=Settings!$C$6,1,IF(Settings!$B$22="USD",1/INDEX(Settings!$B$29:$B$40,MONTH(A7736)),INDEX(Settings!$B$29:$B$40,MONTH(A7736)))))</f>
        <v/>
      </c>
    </row>
    <row r="7737" customFormat="false" ht="15" hidden="false" customHeight="false" outlineLevel="0" collapsed="false">
      <c r="H7737" s="0" t="str">
        <f aca="false">IF(B7737="","",IF(COUNTIF(Campaigns!$A$7:$A$300,B7737)&gt;0,"✓","⚠ add to Campaigns tab"))</f>
        <v/>
      </c>
      <c r="I7737" s="84" t="str">
        <f aca="false">IF(C7737="","",C7737*IF(Settings!$B$22=Settings!$C$6,1,IF(Settings!$B$22="USD",1/INDEX(Settings!$B$29:$B$40,MONTH(A7737)),INDEX(Settings!$B$29:$B$40,MONTH(A7737)))))</f>
        <v/>
      </c>
    </row>
    <row r="7738" customFormat="false" ht="15" hidden="false" customHeight="false" outlineLevel="0" collapsed="false">
      <c r="H7738" s="0" t="str">
        <f aca="false">IF(B7738="","",IF(COUNTIF(Campaigns!$A$7:$A$300,B7738)&gt;0,"✓","⚠ add to Campaigns tab"))</f>
        <v/>
      </c>
      <c r="I7738" s="84" t="str">
        <f aca="false">IF(C7738="","",C7738*IF(Settings!$B$22=Settings!$C$6,1,IF(Settings!$B$22="USD",1/INDEX(Settings!$B$29:$B$40,MONTH(A7738)),INDEX(Settings!$B$29:$B$40,MONTH(A7738)))))</f>
        <v/>
      </c>
    </row>
    <row r="7739" customFormat="false" ht="15" hidden="false" customHeight="false" outlineLevel="0" collapsed="false">
      <c r="H7739" s="0" t="str">
        <f aca="false">IF(B7739="","",IF(COUNTIF(Campaigns!$A$7:$A$300,B7739)&gt;0,"✓","⚠ add to Campaigns tab"))</f>
        <v/>
      </c>
      <c r="I7739" s="84" t="str">
        <f aca="false">IF(C7739="","",C7739*IF(Settings!$B$22=Settings!$C$6,1,IF(Settings!$B$22="USD",1/INDEX(Settings!$B$29:$B$40,MONTH(A7739)),INDEX(Settings!$B$29:$B$40,MONTH(A7739)))))</f>
        <v/>
      </c>
    </row>
    <row r="7740" customFormat="false" ht="15" hidden="false" customHeight="false" outlineLevel="0" collapsed="false">
      <c r="H7740" s="0" t="str">
        <f aca="false">IF(B7740="","",IF(COUNTIF(Campaigns!$A$7:$A$300,B7740)&gt;0,"✓","⚠ add to Campaigns tab"))</f>
        <v/>
      </c>
      <c r="I7740" s="84" t="str">
        <f aca="false">IF(C7740="","",C7740*IF(Settings!$B$22=Settings!$C$6,1,IF(Settings!$B$22="USD",1/INDEX(Settings!$B$29:$B$40,MONTH(A7740)),INDEX(Settings!$B$29:$B$40,MONTH(A7740)))))</f>
        <v/>
      </c>
    </row>
    <row r="7741" customFormat="false" ht="15" hidden="false" customHeight="false" outlineLevel="0" collapsed="false">
      <c r="H7741" s="0" t="str">
        <f aca="false">IF(B7741="","",IF(COUNTIF(Campaigns!$A$7:$A$300,B7741)&gt;0,"✓","⚠ add to Campaigns tab"))</f>
        <v/>
      </c>
      <c r="I7741" s="84" t="str">
        <f aca="false">IF(C7741="","",C7741*IF(Settings!$B$22=Settings!$C$6,1,IF(Settings!$B$22="USD",1/INDEX(Settings!$B$29:$B$40,MONTH(A7741)),INDEX(Settings!$B$29:$B$40,MONTH(A7741)))))</f>
        <v/>
      </c>
    </row>
    <row r="7742" customFormat="false" ht="15" hidden="false" customHeight="false" outlineLevel="0" collapsed="false">
      <c r="H7742" s="0" t="str">
        <f aca="false">IF(B7742="","",IF(COUNTIF(Campaigns!$A$7:$A$300,B7742)&gt;0,"✓","⚠ add to Campaigns tab"))</f>
        <v/>
      </c>
      <c r="I7742" s="84" t="str">
        <f aca="false">IF(C7742="","",C7742*IF(Settings!$B$22=Settings!$C$6,1,IF(Settings!$B$22="USD",1/INDEX(Settings!$B$29:$B$40,MONTH(A7742)),INDEX(Settings!$B$29:$B$40,MONTH(A7742)))))</f>
        <v/>
      </c>
    </row>
    <row r="7743" customFormat="false" ht="15" hidden="false" customHeight="false" outlineLevel="0" collapsed="false">
      <c r="H7743" s="0" t="str">
        <f aca="false">IF(B7743="","",IF(COUNTIF(Campaigns!$A$7:$A$300,B7743)&gt;0,"✓","⚠ add to Campaigns tab"))</f>
        <v/>
      </c>
      <c r="I7743" s="84" t="str">
        <f aca="false">IF(C7743="","",C7743*IF(Settings!$B$22=Settings!$C$6,1,IF(Settings!$B$22="USD",1/INDEX(Settings!$B$29:$B$40,MONTH(A7743)),INDEX(Settings!$B$29:$B$40,MONTH(A7743)))))</f>
        <v/>
      </c>
    </row>
    <row r="7744" customFormat="false" ht="15" hidden="false" customHeight="false" outlineLevel="0" collapsed="false">
      <c r="H7744" s="0" t="str">
        <f aca="false">IF(B7744="","",IF(COUNTIF(Campaigns!$A$7:$A$300,B7744)&gt;0,"✓","⚠ add to Campaigns tab"))</f>
        <v/>
      </c>
      <c r="I7744" s="84" t="str">
        <f aca="false">IF(C7744="","",C7744*IF(Settings!$B$22=Settings!$C$6,1,IF(Settings!$B$22="USD",1/INDEX(Settings!$B$29:$B$40,MONTH(A7744)),INDEX(Settings!$B$29:$B$40,MONTH(A7744)))))</f>
        <v/>
      </c>
    </row>
    <row r="7745" customFormat="false" ht="15" hidden="false" customHeight="false" outlineLevel="0" collapsed="false">
      <c r="H7745" s="0" t="str">
        <f aca="false">IF(B7745="","",IF(COUNTIF(Campaigns!$A$7:$A$300,B7745)&gt;0,"✓","⚠ add to Campaigns tab"))</f>
        <v/>
      </c>
      <c r="I7745" s="84" t="str">
        <f aca="false">IF(C7745="","",C7745*IF(Settings!$B$22=Settings!$C$6,1,IF(Settings!$B$22="USD",1/INDEX(Settings!$B$29:$B$40,MONTH(A7745)),INDEX(Settings!$B$29:$B$40,MONTH(A7745)))))</f>
        <v/>
      </c>
    </row>
    <row r="7746" customFormat="false" ht="15" hidden="false" customHeight="false" outlineLevel="0" collapsed="false">
      <c r="H7746" s="0" t="str">
        <f aca="false">IF(B7746="","",IF(COUNTIF(Campaigns!$A$7:$A$300,B7746)&gt;0,"✓","⚠ add to Campaigns tab"))</f>
        <v/>
      </c>
      <c r="I7746" s="84" t="str">
        <f aca="false">IF(C7746="","",C7746*IF(Settings!$B$22=Settings!$C$6,1,IF(Settings!$B$22="USD",1/INDEX(Settings!$B$29:$B$40,MONTH(A7746)),INDEX(Settings!$B$29:$B$40,MONTH(A7746)))))</f>
        <v/>
      </c>
    </row>
    <row r="7747" customFormat="false" ht="15" hidden="false" customHeight="false" outlineLevel="0" collapsed="false">
      <c r="H7747" s="0" t="str">
        <f aca="false">IF(B7747="","",IF(COUNTIF(Campaigns!$A$7:$A$300,B7747)&gt;0,"✓","⚠ add to Campaigns tab"))</f>
        <v/>
      </c>
      <c r="I7747" s="84" t="str">
        <f aca="false">IF(C7747="","",C7747*IF(Settings!$B$22=Settings!$C$6,1,IF(Settings!$B$22="USD",1/INDEX(Settings!$B$29:$B$40,MONTH(A7747)),INDEX(Settings!$B$29:$B$40,MONTH(A7747)))))</f>
        <v/>
      </c>
    </row>
    <row r="7748" customFormat="false" ht="15" hidden="false" customHeight="false" outlineLevel="0" collapsed="false">
      <c r="H7748" s="0" t="str">
        <f aca="false">IF(B7748="","",IF(COUNTIF(Campaigns!$A$7:$A$300,B7748)&gt;0,"✓","⚠ add to Campaigns tab"))</f>
        <v/>
      </c>
      <c r="I7748" s="84" t="str">
        <f aca="false">IF(C7748="","",C7748*IF(Settings!$B$22=Settings!$C$6,1,IF(Settings!$B$22="USD",1/INDEX(Settings!$B$29:$B$40,MONTH(A7748)),INDEX(Settings!$B$29:$B$40,MONTH(A7748)))))</f>
        <v/>
      </c>
    </row>
    <row r="7749" customFormat="false" ht="15" hidden="false" customHeight="false" outlineLevel="0" collapsed="false">
      <c r="H7749" s="0" t="str">
        <f aca="false">IF(B7749="","",IF(COUNTIF(Campaigns!$A$7:$A$300,B7749)&gt;0,"✓","⚠ add to Campaigns tab"))</f>
        <v/>
      </c>
      <c r="I7749" s="84" t="str">
        <f aca="false">IF(C7749="","",C7749*IF(Settings!$B$22=Settings!$C$6,1,IF(Settings!$B$22="USD",1/INDEX(Settings!$B$29:$B$40,MONTH(A7749)),INDEX(Settings!$B$29:$B$40,MONTH(A7749)))))</f>
        <v/>
      </c>
    </row>
    <row r="7750" customFormat="false" ht="15" hidden="false" customHeight="false" outlineLevel="0" collapsed="false">
      <c r="H7750" s="0" t="str">
        <f aca="false">IF(B7750="","",IF(COUNTIF(Campaigns!$A$7:$A$300,B7750)&gt;0,"✓","⚠ add to Campaigns tab"))</f>
        <v/>
      </c>
      <c r="I7750" s="84" t="str">
        <f aca="false">IF(C7750="","",C7750*IF(Settings!$B$22=Settings!$C$6,1,IF(Settings!$B$22="USD",1/INDEX(Settings!$B$29:$B$40,MONTH(A7750)),INDEX(Settings!$B$29:$B$40,MONTH(A7750)))))</f>
        <v/>
      </c>
    </row>
    <row r="7751" customFormat="false" ht="15" hidden="false" customHeight="false" outlineLevel="0" collapsed="false">
      <c r="H7751" s="0" t="str">
        <f aca="false">IF(B7751="","",IF(COUNTIF(Campaigns!$A$7:$A$300,B7751)&gt;0,"✓","⚠ add to Campaigns tab"))</f>
        <v/>
      </c>
      <c r="I7751" s="84" t="str">
        <f aca="false">IF(C7751="","",C7751*IF(Settings!$B$22=Settings!$C$6,1,IF(Settings!$B$22="USD",1/INDEX(Settings!$B$29:$B$40,MONTH(A7751)),INDEX(Settings!$B$29:$B$40,MONTH(A7751)))))</f>
        <v/>
      </c>
    </row>
    <row r="7752" customFormat="false" ht="15" hidden="false" customHeight="false" outlineLevel="0" collapsed="false">
      <c r="H7752" s="0" t="str">
        <f aca="false">IF(B7752="","",IF(COUNTIF(Campaigns!$A$7:$A$300,B7752)&gt;0,"✓","⚠ add to Campaigns tab"))</f>
        <v/>
      </c>
      <c r="I7752" s="84" t="str">
        <f aca="false">IF(C7752="","",C7752*IF(Settings!$B$22=Settings!$C$6,1,IF(Settings!$B$22="USD",1/INDEX(Settings!$B$29:$B$40,MONTH(A7752)),INDEX(Settings!$B$29:$B$40,MONTH(A7752)))))</f>
        <v/>
      </c>
    </row>
    <row r="7753" customFormat="false" ht="15" hidden="false" customHeight="false" outlineLevel="0" collapsed="false">
      <c r="H7753" s="0" t="str">
        <f aca="false">IF(B7753="","",IF(COUNTIF(Campaigns!$A$7:$A$300,B7753)&gt;0,"✓","⚠ add to Campaigns tab"))</f>
        <v/>
      </c>
      <c r="I7753" s="84" t="str">
        <f aca="false">IF(C7753="","",C7753*IF(Settings!$B$22=Settings!$C$6,1,IF(Settings!$B$22="USD",1/INDEX(Settings!$B$29:$B$40,MONTH(A7753)),INDEX(Settings!$B$29:$B$40,MONTH(A7753)))))</f>
        <v/>
      </c>
    </row>
    <row r="7754" customFormat="false" ht="15" hidden="false" customHeight="false" outlineLevel="0" collapsed="false">
      <c r="H7754" s="0" t="str">
        <f aca="false">IF(B7754="","",IF(COUNTIF(Campaigns!$A$7:$A$300,B7754)&gt;0,"✓","⚠ add to Campaigns tab"))</f>
        <v/>
      </c>
      <c r="I7754" s="84" t="str">
        <f aca="false">IF(C7754="","",C7754*IF(Settings!$B$22=Settings!$C$6,1,IF(Settings!$B$22="USD",1/INDEX(Settings!$B$29:$B$40,MONTH(A7754)),INDEX(Settings!$B$29:$B$40,MONTH(A7754)))))</f>
        <v/>
      </c>
    </row>
    <row r="7755" customFormat="false" ht="15" hidden="false" customHeight="false" outlineLevel="0" collapsed="false">
      <c r="H7755" s="0" t="str">
        <f aca="false">IF(B7755="","",IF(COUNTIF(Campaigns!$A$7:$A$300,B7755)&gt;0,"✓","⚠ add to Campaigns tab"))</f>
        <v/>
      </c>
      <c r="I7755" s="84" t="str">
        <f aca="false">IF(C7755="","",C7755*IF(Settings!$B$22=Settings!$C$6,1,IF(Settings!$B$22="USD",1/INDEX(Settings!$B$29:$B$40,MONTH(A7755)),INDEX(Settings!$B$29:$B$40,MONTH(A7755)))))</f>
        <v/>
      </c>
    </row>
    <row r="7756" customFormat="false" ht="15" hidden="false" customHeight="false" outlineLevel="0" collapsed="false">
      <c r="H7756" s="0" t="str">
        <f aca="false">IF(B7756="","",IF(COUNTIF(Campaigns!$A$7:$A$300,B7756)&gt;0,"✓","⚠ add to Campaigns tab"))</f>
        <v/>
      </c>
      <c r="I7756" s="84" t="str">
        <f aca="false">IF(C7756="","",C7756*IF(Settings!$B$22=Settings!$C$6,1,IF(Settings!$B$22="USD",1/INDEX(Settings!$B$29:$B$40,MONTH(A7756)),INDEX(Settings!$B$29:$B$40,MONTH(A7756)))))</f>
        <v/>
      </c>
    </row>
    <row r="7757" customFormat="false" ht="15" hidden="false" customHeight="false" outlineLevel="0" collapsed="false">
      <c r="H7757" s="0" t="str">
        <f aca="false">IF(B7757="","",IF(COUNTIF(Campaigns!$A$7:$A$300,B7757)&gt;0,"✓","⚠ add to Campaigns tab"))</f>
        <v/>
      </c>
      <c r="I7757" s="84" t="str">
        <f aca="false">IF(C7757="","",C7757*IF(Settings!$B$22=Settings!$C$6,1,IF(Settings!$B$22="USD",1/INDEX(Settings!$B$29:$B$40,MONTH(A7757)),INDEX(Settings!$B$29:$B$40,MONTH(A7757)))))</f>
        <v/>
      </c>
    </row>
    <row r="7758" customFormat="false" ht="15" hidden="false" customHeight="false" outlineLevel="0" collapsed="false">
      <c r="H7758" s="0" t="str">
        <f aca="false">IF(B7758="","",IF(COUNTIF(Campaigns!$A$7:$A$300,B7758)&gt;0,"✓","⚠ add to Campaigns tab"))</f>
        <v/>
      </c>
      <c r="I7758" s="84" t="str">
        <f aca="false">IF(C7758="","",C7758*IF(Settings!$B$22=Settings!$C$6,1,IF(Settings!$B$22="USD",1/INDEX(Settings!$B$29:$B$40,MONTH(A7758)),INDEX(Settings!$B$29:$B$40,MONTH(A7758)))))</f>
        <v/>
      </c>
    </row>
    <row r="7759" customFormat="false" ht="15" hidden="false" customHeight="false" outlineLevel="0" collapsed="false">
      <c r="H7759" s="0" t="str">
        <f aca="false">IF(B7759="","",IF(COUNTIF(Campaigns!$A$7:$A$300,B7759)&gt;0,"✓","⚠ add to Campaigns tab"))</f>
        <v/>
      </c>
      <c r="I7759" s="84" t="str">
        <f aca="false">IF(C7759="","",C7759*IF(Settings!$B$22=Settings!$C$6,1,IF(Settings!$B$22="USD",1/INDEX(Settings!$B$29:$B$40,MONTH(A7759)),INDEX(Settings!$B$29:$B$40,MONTH(A7759)))))</f>
        <v/>
      </c>
    </row>
    <row r="7760" customFormat="false" ht="15" hidden="false" customHeight="false" outlineLevel="0" collapsed="false">
      <c r="H7760" s="0" t="str">
        <f aca="false">IF(B7760="","",IF(COUNTIF(Campaigns!$A$7:$A$300,B7760)&gt;0,"✓","⚠ add to Campaigns tab"))</f>
        <v/>
      </c>
      <c r="I7760" s="84" t="str">
        <f aca="false">IF(C7760="","",C7760*IF(Settings!$B$22=Settings!$C$6,1,IF(Settings!$B$22="USD",1/INDEX(Settings!$B$29:$B$40,MONTH(A7760)),INDEX(Settings!$B$29:$B$40,MONTH(A7760)))))</f>
        <v/>
      </c>
    </row>
    <row r="7761" customFormat="false" ht="15" hidden="false" customHeight="false" outlineLevel="0" collapsed="false">
      <c r="H7761" s="0" t="str">
        <f aca="false">IF(B7761="","",IF(COUNTIF(Campaigns!$A$7:$A$300,B7761)&gt;0,"✓","⚠ add to Campaigns tab"))</f>
        <v/>
      </c>
      <c r="I7761" s="84" t="str">
        <f aca="false">IF(C7761="","",C7761*IF(Settings!$B$22=Settings!$C$6,1,IF(Settings!$B$22="USD",1/INDEX(Settings!$B$29:$B$40,MONTH(A7761)),INDEX(Settings!$B$29:$B$40,MONTH(A7761)))))</f>
        <v/>
      </c>
    </row>
    <row r="7762" customFormat="false" ht="15" hidden="false" customHeight="false" outlineLevel="0" collapsed="false">
      <c r="H7762" s="0" t="str">
        <f aca="false">IF(B7762="","",IF(COUNTIF(Campaigns!$A$7:$A$300,B7762)&gt;0,"✓","⚠ add to Campaigns tab"))</f>
        <v/>
      </c>
      <c r="I7762" s="84" t="str">
        <f aca="false">IF(C7762="","",C7762*IF(Settings!$B$22=Settings!$C$6,1,IF(Settings!$B$22="USD",1/INDEX(Settings!$B$29:$B$40,MONTH(A7762)),INDEX(Settings!$B$29:$B$40,MONTH(A7762)))))</f>
        <v/>
      </c>
    </row>
    <row r="7763" customFormat="false" ht="15" hidden="false" customHeight="false" outlineLevel="0" collapsed="false">
      <c r="H7763" s="0" t="str">
        <f aca="false">IF(B7763="","",IF(COUNTIF(Campaigns!$A$7:$A$300,B7763)&gt;0,"✓","⚠ add to Campaigns tab"))</f>
        <v/>
      </c>
      <c r="I7763" s="84" t="str">
        <f aca="false">IF(C7763="","",C7763*IF(Settings!$B$22=Settings!$C$6,1,IF(Settings!$B$22="USD",1/INDEX(Settings!$B$29:$B$40,MONTH(A7763)),INDEX(Settings!$B$29:$B$40,MONTH(A7763)))))</f>
        <v/>
      </c>
    </row>
    <row r="7764" customFormat="false" ht="15" hidden="false" customHeight="false" outlineLevel="0" collapsed="false">
      <c r="H7764" s="0" t="str">
        <f aca="false">IF(B7764="","",IF(COUNTIF(Campaigns!$A$7:$A$300,B7764)&gt;0,"✓","⚠ add to Campaigns tab"))</f>
        <v/>
      </c>
      <c r="I7764" s="84" t="str">
        <f aca="false">IF(C7764="","",C7764*IF(Settings!$B$22=Settings!$C$6,1,IF(Settings!$B$22="USD",1/INDEX(Settings!$B$29:$B$40,MONTH(A7764)),INDEX(Settings!$B$29:$B$40,MONTH(A7764)))))</f>
        <v/>
      </c>
    </row>
    <row r="7765" customFormat="false" ht="15" hidden="false" customHeight="false" outlineLevel="0" collapsed="false">
      <c r="H7765" s="0" t="str">
        <f aca="false">IF(B7765="","",IF(COUNTIF(Campaigns!$A$7:$A$300,B7765)&gt;0,"✓","⚠ add to Campaigns tab"))</f>
        <v/>
      </c>
      <c r="I7765" s="84" t="str">
        <f aca="false">IF(C7765="","",C7765*IF(Settings!$B$22=Settings!$C$6,1,IF(Settings!$B$22="USD",1/INDEX(Settings!$B$29:$B$40,MONTH(A7765)),INDEX(Settings!$B$29:$B$40,MONTH(A7765)))))</f>
        <v/>
      </c>
    </row>
    <row r="7766" customFormat="false" ht="15" hidden="false" customHeight="false" outlineLevel="0" collapsed="false">
      <c r="H7766" s="0" t="str">
        <f aca="false">IF(B7766="","",IF(COUNTIF(Campaigns!$A$7:$A$300,B7766)&gt;0,"✓","⚠ add to Campaigns tab"))</f>
        <v/>
      </c>
      <c r="I7766" s="84" t="str">
        <f aca="false">IF(C7766="","",C7766*IF(Settings!$B$22=Settings!$C$6,1,IF(Settings!$B$22="USD",1/INDEX(Settings!$B$29:$B$40,MONTH(A7766)),INDEX(Settings!$B$29:$B$40,MONTH(A7766)))))</f>
        <v/>
      </c>
    </row>
    <row r="7767" customFormat="false" ht="15" hidden="false" customHeight="false" outlineLevel="0" collapsed="false">
      <c r="H7767" s="0" t="str">
        <f aca="false">IF(B7767="","",IF(COUNTIF(Campaigns!$A$7:$A$300,B7767)&gt;0,"✓","⚠ add to Campaigns tab"))</f>
        <v/>
      </c>
      <c r="I7767" s="84" t="str">
        <f aca="false">IF(C7767="","",C7767*IF(Settings!$B$22=Settings!$C$6,1,IF(Settings!$B$22="USD",1/INDEX(Settings!$B$29:$B$40,MONTH(A7767)),INDEX(Settings!$B$29:$B$40,MONTH(A7767)))))</f>
        <v/>
      </c>
    </row>
    <row r="7768" customFormat="false" ht="15" hidden="false" customHeight="false" outlineLevel="0" collapsed="false">
      <c r="H7768" s="0" t="str">
        <f aca="false">IF(B7768="","",IF(COUNTIF(Campaigns!$A$7:$A$300,B7768)&gt;0,"✓","⚠ add to Campaigns tab"))</f>
        <v/>
      </c>
      <c r="I7768" s="84" t="str">
        <f aca="false">IF(C7768="","",C7768*IF(Settings!$B$22=Settings!$C$6,1,IF(Settings!$B$22="USD",1/INDEX(Settings!$B$29:$B$40,MONTH(A7768)),INDEX(Settings!$B$29:$B$40,MONTH(A7768)))))</f>
        <v/>
      </c>
    </row>
    <row r="7769" customFormat="false" ht="15" hidden="false" customHeight="false" outlineLevel="0" collapsed="false">
      <c r="H7769" s="0" t="str">
        <f aca="false">IF(B7769="","",IF(COUNTIF(Campaigns!$A$7:$A$300,B7769)&gt;0,"✓","⚠ add to Campaigns tab"))</f>
        <v/>
      </c>
      <c r="I7769" s="84" t="str">
        <f aca="false">IF(C7769="","",C7769*IF(Settings!$B$22=Settings!$C$6,1,IF(Settings!$B$22="USD",1/INDEX(Settings!$B$29:$B$40,MONTH(A7769)),INDEX(Settings!$B$29:$B$40,MONTH(A7769)))))</f>
        <v/>
      </c>
    </row>
    <row r="7770" customFormat="false" ht="15" hidden="false" customHeight="false" outlineLevel="0" collapsed="false">
      <c r="H7770" s="0" t="str">
        <f aca="false">IF(B7770="","",IF(COUNTIF(Campaigns!$A$7:$A$300,B7770)&gt;0,"✓","⚠ add to Campaigns tab"))</f>
        <v/>
      </c>
      <c r="I7770" s="84" t="str">
        <f aca="false">IF(C7770="","",C7770*IF(Settings!$B$22=Settings!$C$6,1,IF(Settings!$B$22="USD",1/INDEX(Settings!$B$29:$B$40,MONTH(A7770)),INDEX(Settings!$B$29:$B$40,MONTH(A7770)))))</f>
        <v/>
      </c>
    </row>
    <row r="7771" customFormat="false" ht="15" hidden="false" customHeight="false" outlineLevel="0" collapsed="false">
      <c r="H7771" s="0" t="str">
        <f aca="false">IF(B7771="","",IF(COUNTIF(Campaigns!$A$7:$A$300,B7771)&gt;0,"✓","⚠ add to Campaigns tab"))</f>
        <v/>
      </c>
      <c r="I7771" s="84" t="str">
        <f aca="false">IF(C7771="","",C7771*IF(Settings!$B$22=Settings!$C$6,1,IF(Settings!$B$22="USD",1/INDEX(Settings!$B$29:$B$40,MONTH(A7771)),INDEX(Settings!$B$29:$B$40,MONTH(A7771)))))</f>
        <v/>
      </c>
    </row>
    <row r="7772" customFormat="false" ht="15" hidden="false" customHeight="false" outlineLevel="0" collapsed="false">
      <c r="H7772" s="0" t="str">
        <f aca="false">IF(B7772="","",IF(COUNTIF(Campaigns!$A$7:$A$300,B7772)&gt;0,"✓","⚠ add to Campaigns tab"))</f>
        <v/>
      </c>
      <c r="I7772" s="84" t="str">
        <f aca="false">IF(C7772="","",C7772*IF(Settings!$B$22=Settings!$C$6,1,IF(Settings!$B$22="USD",1/INDEX(Settings!$B$29:$B$40,MONTH(A7772)),INDEX(Settings!$B$29:$B$40,MONTH(A7772)))))</f>
        <v/>
      </c>
    </row>
    <row r="7773" customFormat="false" ht="15" hidden="false" customHeight="false" outlineLevel="0" collapsed="false">
      <c r="H7773" s="0" t="str">
        <f aca="false">IF(B7773="","",IF(COUNTIF(Campaigns!$A$7:$A$300,B7773)&gt;0,"✓","⚠ add to Campaigns tab"))</f>
        <v/>
      </c>
      <c r="I7773" s="84" t="str">
        <f aca="false">IF(C7773="","",C7773*IF(Settings!$B$22=Settings!$C$6,1,IF(Settings!$B$22="USD",1/INDEX(Settings!$B$29:$B$40,MONTH(A7773)),INDEX(Settings!$B$29:$B$40,MONTH(A7773)))))</f>
        <v/>
      </c>
    </row>
    <row r="7774" customFormat="false" ht="15" hidden="false" customHeight="false" outlineLevel="0" collapsed="false">
      <c r="H7774" s="0" t="str">
        <f aca="false">IF(B7774="","",IF(COUNTIF(Campaigns!$A$7:$A$300,B7774)&gt;0,"✓","⚠ add to Campaigns tab"))</f>
        <v/>
      </c>
      <c r="I7774" s="84" t="str">
        <f aca="false">IF(C7774="","",C7774*IF(Settings!$B$22=Settings!$C$6,1,IF(Settings!$B$22="USD",1/INDEX(Settings!$B$29:$B$40,MONTH(A7774)),INDEX(Settings!$B$29:$B$40,MONTH(A7774)))))</f>
        <v/>
      </c>
    </row>
    <row r="7775" customFormat="false" ht="15" hidden="false" customHeight="false" outlineLevel="0" collapsed="false">
      <c r="H7775" s="0" t="str">
        <f aca="false">IF(B7775="","",IF(COUNTIF(Campaigns!$A$7:$A$300,B7775)&gt;0,"✓","⚠ add to Campaigns tab"))</f>
        <v/>
      </c>
      <c r="I7775" s="84" t="str">
        <f aca="false">IF(C7775="","",C7775*IF(Settings!$B$22=Settings!$C$6,1,IF(Settings!$B$22="USD",1/INDEX(Settings!$B$29:$B$40,MONTH(A7775)),INDEX(Settings!$B$29:$B$40,MONTH(A7775)))))</f>
        <v/>
      </c>
    </row>
    <row r="7776" customFormat="false" ht="15" hidden="false" customHeight="false" outlineLevel="0" collapsed="false">
      <c r="H7776" s="0" t="str">
        <f aca="false">IF(B7776="","",IF(COUNTIF(Campaigns!$A$7:$A$300,B7776)&gt;0,"✓","⚠ add to Campaigns tab"))</f>
        <v/>
      </c>
      <c r="I7776" s="84" t="str">
        <f aca="false">IF(C7776="","",C7776*IF(Settings!$B$22=Settings!$C$6,1,IF(Settings!$B$22="USD",1/INDEX(Settings!$B$29:$B$40,MONTH(A7776)),INDEX(Settings!$B$29:$B$40,MONTH(A7776)))))</f>
        <v/>
      </c>
    </row>
    <row r="7777" customFormat="false" ht="15" hidden="false" customHeight="false" outlineLevel="0" collapsed="false">
      <c r="H7777" s="0" t="str">
        <f aca="false">IF(B7777="","",IF(COUNTIF(Campaigns!$A$7:$A$300,B7777)&gt;0,"✓","⚠ add to Campaigns tab"))</f>
        <v/>
      </c>
      <c r="I7777" s="84" t="str">
        <f aca="false">IF(C7777="","",C7777*IF(Settings!$B$22=Settings!$C$6,1,IF(Settings!$B$22="USD",1/INDEX(Settings!$B$29:$B$40,MONTH(A7777)),INDEX(Settings!$B$29:$B$40,MONTH(A7777)))))</f>
        <v/>
      </c>
    </row>
    <row r="7778" customFormat="false" ht="15" hidden="false" customHeight="false" outlineLevel="0" collapsed="false">
      <c r="H7778" s="0" t="str">
        <f aca="false">IF(B7778="","",IF(COUNTIF(Campaigns!$A$7:$A$300,B7778)&gt;0,"✓","⚠ add to Campaigns tab"))</f>
        <v/>
      </c>
      <c r="I7778" s="84" t="str">
        <f aca="false">IF(C7778="","",C7778*IF(Settings!$B$22=Settings!$C$6,1,IF(Settings!$B$22="USD",1/INDEX(Settings!$B$29:$B$40,MONTH(A7778)),INDEX(Settings!$B$29:$B$40,MONTH(A7778)))))</f>
        <v/>
      </c>
    </row>
    <row r="7779" customFormat="false" ht="15" hidden="false" customHeight="false" outlineLevel="0" collapsed="false">
      <c r="H7779" s="0" t="str">
        <f aca="false">IF(B7779="","",IF(COUNTIF(Campaigns!$A$7:$A$300,B7779)&gt;0,"✓","⚠ add to Campaigns tab"))</f>
        <v/>
      </c>
      <c r="I7779" s="84" t="str">
        <f aca="false">IF(C7779="","",C7779*IF(Settings!$B$22=Settings!$C$6,1,IF(Settings!$B$22="USD",1/INDEX(Settings!$B$29:$B$40,MONTH(A7779)),INDEX(Settings!$B$29:$B$40,MONTH(A7779)))))</f>
        <v/>
      </c>
    </row>
    <row r="7780" customFormat="false" ht="15" hidden="false" customHeight="false" outlineLevel="0" collapsed="false">
      <c r="H7780" s="0" t="str">
        <f aca="false">IF(B7780="","",IF(COUNTIF(Campaigns!$A$7:$A$300,B7780)&gt;0,"✓","⚠ add to Campaigns tab"))</f>
        <v/>
      </c>
      <c r="I7780" s="84" t="str">
        <f aca="false">IF(C7780="","",C7780*IF(Settings!$B$22=Settings!$C$6,1,IF(Settings!$B$22="USD",1/INDEX(Settings!$B$29:$B$40,MONTH(A7780)),INDEX(Settings!$B$29:$B$40,MONTH(A7780)))))</f>
        <v/>
      </c>
    </row>
    <row r="7781" customFormat="false" ht="15" hidden="false" customHeight="false" outlineLevel="0" collapsed="false">
      <c r="H7781" s="0" t="str">
        <f aca="false">IF(B7781="","",IF(COUNTIF(Campaigns!$A$7:$A$300,B7781)&gt;0,"✓","⚠ add to Campaigns tab"))</f>
        <v/>
      </c>
      <c r="I7781" s="84" t="str">
        <f aca="false">IF(C7781="","",C7781*IF(Settings!$B$22=Settings!$C$6,1,IF(Settings!$B$22="USD",1/INDEX(Settings!$B$29:$B$40,MONTH(A7781)),INDEX(Settings!$B$29:$B$40,MONTH(A7781)))))</f>
        <v/>
      </c>
    </row>
    <row r="7782" customFormat="false" ht="15" hidden="false" customHeight="false" outlineLevel="0" collapsed="false">
      <c r="H7782" s="0" t="str">
        <f aca="false">IF(B7782="","",IF(COUNTIF(Campaigns!$A$7:$A$300,B7782)&gt;0,"✓","⚠ add to Campaigns tab"))</f>
        <v/>
      </c>
      <c r="I7782" s="84" t="str">
        <f aca="false">IF(C7782="","",C7782*IF(Settings!$B$22=Settings!$C$6,1,IF(Settings!$B$22="USD",1/INDEX(Settings!$B$29:$B$40,MONTH(A7782)),INDEX(Settings!$B$29:$B$40,MONTH(A7782)))))</f>
        <v/>
      </c>
    </row>
    <row r="7783" customFormat="false" ht="15" hidden="false" customHeight="false" outlineLevel="0" collapsed="false">
      <c r="H7783" s="0" t="str">
        <f aca="false">IF(B7783="","",IF(COUNTIF(Campaigns!$A$7:$A$300,B7783)&gt;0,"✓","⚠ add to Campaigns tab"))</f>
        <v/>
      </c>
      <c r="I7783" s="84" t="str">
        <f aca="false">IF(C7783="","",C7783*IF(Settings!$B$22=Settings!$C$6,1,IF(Settings!$B$22="USD",1/INDEX(Settings!$B$29:$B$40,MONTH(A7783)),INDEX(Settings!$B$29:$B$40,MONTH(A7783)))))</f>
        <v/>
      </c>
    </row>
    <row r="7784" customFormat="false" ht="15" hidden="false" customHeight="false" outlineLevel="0" collapsed="false">
      <c r="H7784" s="0" t="str">
        <f aca="false">IF(B7784="","",IF(COUNTIF(Campaigns!$A$7:$A$300,B7784)&gt;0,"✓","⚠ add to Campaigns tab"))</f>
        <v/>
      </c>
      <c r="I7784" s="84" t="str">
        <f aca="false">IF(C7784="","",C7784*IF(Settings!$B$22=Settings!$C$6,1,IF(Settings!$B$22="USD",1/INDEX(Settings!$B$29:$B$40,MONTH(A7784)),INDEX(Settings!$B$29:$B$40,MONTH(A7784)))))</f>
        <v/>
      </c>
    </row>
    <row r="7785" customFormat="false" ht="15" hidden="false" customHeight="false" outlineLevel="0" collapsed="false">
      <c r="H7785" s="0" t="str">
        <f aca="false">IF(B7785="","",IF(COUNTIF(Campaigns!$A$7:$A$300,B7785)&gt;0,"✓","⚠ add to Campaigns tab"))</f>
        <v/>
      </c>
      <c r="I7785" s="84" t="str">
        <f aca="false">IF(C7785="","",C7785*IF(Settings!$B$22=Settings!$C$6,1,IF(Settings!$B$22="USD",1/INDEX(Settings!$B$29:$B$40,MONTH(A7785)),INDEX(Settings!$B$29:$B$40,MONTH(A7785)))))</f>
        <v/>
      </c>
    </row>
    <row r="7786" customFormat="false" ht="15" hidden="false" customHeight="false" outlineLevel="0" collapsed="false">
      <c r="H7786" s="0" t="str">
        <f aca="false">IF(B7786="","",IF(COUNTIF(Campaigns!$A$7:$A$300,B7786)&gt;0,"✓","⚠ add to Campaigns tab"))</f>
        <v/>
      </c>
      <c r="I7786" s="84" t="str">
        <f aca="false">IF(C7786="","",C7786*IF(Settings!$B$22=Settings!$C$6,1,IF(Settings!$B$22="USD",1/INDEX(Settings!$B$29:$B$40,MONTH(A7786)),INDEX(Settings!$B$29:$B$40,MONTH(A7786)))))</f>
        <v/>
      </c>
    </row>
    <row r="7787" customFormat="false" ht="15" hidden="false" customHeight="false" outlineLevel="0" collapsed="false">
      <c r="H7787" s="0" t="str">
        <f aca="false">IF(B7787="","",IF(COUNTIF(Campaigns!$A$7:$A$300,B7787)&gt;0,"✓","⚠ add to Campaigns tab"))</f>
        <v/>
      </c>
      <c r="I7787" s="84" t="str">
        <f aca="false">IF(C7787="","",C7787*IF(Settings!$B$22=Settings!$C$6,1,IF(Settings!$B$22="USD",1/INDEX(Settings!$B$29:$B$40,MONTH(A7787)),INDEX(Settings!$B$29:$B$40,MONTH(A7787)))))</f>
        <v/>
      </c>
    </row>
    <row r="7788" customFormat="false" ht="15" hidden="false" customHeight="false" outlineLevel="0" collapsed="false">
      <c r="H7788" s="0" t="str">
        <f aca="false">IF(B7788="","",IF(COUNTIF(Campaigns!$A$7:$A$300,B7788)&gt;0,"✓","⚠ add to Campaigns tab"))</f>
        <v/>
      </c>
      <c r="I7788" s="84" t="str">
        <f aca="false">IF(C7788="","",C7788*IF(Settings!$B$22=Settings!$C$6,1,IF(Settings!$B$22="USD",1/INDEX(Settings!$B$29:$B$40,MONTH(A7788)),INDEX(Settings!$B$29:$B$40,MONTH(A7788)))))</f>
        <v/>
      </c>
    </row>
    <row r="7789" customFormat="false" ht="15" hidden="false" customHeight="false" outlineLevel="0" collapsed="false">
      <c r="H7789" s="0" t="str">
        <f aca="false">IF(B7789="","",IF(COUNTIF(Campaigns!$A$7:$A$300,B7789)&gt;0,"✓","⚠ add to Campaigns tab"))</f>
        <v/>
      </c>
      <c r="I7789" s="84" t="str">
        <f aca="false">IF(C7789="","",C7789*IF(Settings!$B$22=Settings!$C$6,1,IF(Settings!$B$22="USD",1/INDEX(Settings!$B$29:$B$40,MONTH(A7789)),INDEX(Settings!$B$29:$B$40,MONTH(A7789)))))</f>
        <v/>
      </c>
    </row>
    <row r="7790" customFormat="false" ht="15" hidden="false" customHeight="false" outlineLevel="0" collapsed="false">
      <c r="H7790" s="0" t="str">
        <f aca="false">IF(B7790="","",IF(COUNTIF(Campaigns!$A$7:$A$300,B7790)&gt;0,"✓","⚠ add to Campaigns tab"))</f>
        <v/>
      </c>
      <c r="I7790" s="84" t="str">
        <f aca="false">IF(C7790="","",C7790*IF(Settings!$B$22=Settings!$C$6,1,IF(Settings!$B$22="USD",1/INDEX(Settings!$B$29:$B$40,MONTH(A7790)),INDEX(Settings!$B$29:$B$40,MONTH(A7790)))))</f>
        <v/>
      </c>
    </row>
    <row r="7791" customFormat="false" ht="15" hidden="false" customHeight="false" outlineLevel="0" collapsed="false">
      <c r="H7791" s="0" t="str">
        <f aca="false">IF(B7791="","",IF(COUNTIF(Campaigns!$A$7:$A$300,B7791)&gt;0,"✓","⚠ add to Campaigns tab"))</f>
        <v/>
      </c>
      <c r="I7791" s="84" t="str">
        <f aca="false">IF(C7791="","",C7791*IF(Settings!$B$22=Settings!$C$6,1,IF(Settings!$B$22="USD",1/INDEX(Settings!$B$29:$B$40,MONTH(A7791)),INDEX(Settings!$B$29:$B$40,MONTH(A7791)))))</f>
        <v/>
      </c>
    </row>
    <row r="7792" customFormat="false" ht="15" hidden="false" customHeight="false" outlineLevel="0" collapsed="false">
      <c r="H7792" s="0" t="str">
        <f aca="false">IF(B7792="","",IF(COUNTIF(Campaigns!$A$7:$A$300,B7792)&gt;0,"✓","⚠ add to Campaigns tab"))</f>
        <v/>
      </c>
      <c r="I7792" s="84" t="str">
        <f aca="false">IF(C7792="","",C7792*IF(Settings!$B$22=Settings!$C$6,1,IF(Settings!$B$22="USD",1/INDEX(Settings!$B$29:$B$40,MONTH(A7792)),INDEX(Settings!$B$29:$B$40,MONTH(A7792)))))</f>
        <v/>
      </c>
    </row>
    <row r="7793" customFormat="false" ht="15" hidden="false" customHeight="false" outlineLevel="0" collapsed="false">
      <c r="H7793" s="0" t="str">
        <f aca="false">IF(B7793="","",IF(COUNTIF(Campaigns!$A$7:$A$300,B7793)&gt;0,"✓","⚠ add to Campaigns tab"))</f>
        <v/>
      </c>
      <c r="I7793" s="84" t="str">
        <f aca="false">IF(C7793="","",C7793*IF(Settings!$B$22=Settings!$C$6,1,IF(Settings!$B$22="USD",1/INDEX(Settings!$B$29:$B$40,MONTH(A7793)),INDEX(Settings!$B$29:$B$40,MONTH(A7793)))))</f>
        <v/>
      </c>
    </row>
    <row r="7794" customFormat="false" ht="15" hidden="false" customHeight="false" outlineLevel="0" collapsed="false">
      <c r="H7794" s="0" t="str">
        <f aca="false">IF(B7794="","",IF(COUNTIF(Campaigns!$A$7:$A$300,B7794)&gt;0,"✓","⚠ add to Campaigns tab"))</f>
        <v/>
      </c>
      <c r="I7794" s="84" t="str">
        <f aca="false">IF(C7794="","",C7794*IF(Settings!$B$22=Settings!$C$6,1,IF(Settings!$B$22="USD",1/INDEX(Settings!$B$29:$B$40,MONTH(A7794)),INDEX(Settings!$B$29:$B$40,MONTH(A7794)))))</f>
        <v/>
      </c>
    </row>
    <row r="7795" customFormat="false" ht="15" hidden="false" customHeight="false" outlineLevel="0" collapsed="false">
      <c r="H7795" s="0" t="str">
        <f aca="false">IF(B7795="","",IF(COUNTIF(Campaigns!$A$7:$A$300,B7795)&gt;0,"✓","⚠ add to Campaigns tab"))</f>
        <v/>
      </c>
      <c r="I7795" s="84" t="str">
        <f aca="false">IF(C7795="","",C7795*IF(Settings!$B$22=Settings!$C$6,1,IF(Settings!$B$22="USD",1/INDEX(Settings!$B$29:$B$40,MONTH(A7795)),INDEX(Settings!$B$29:$B$40,MONTH(A7795)))))</f>
        <v/>
      </c>
    </row>
    <row r="7796" customFormat="false" ht="15" hidden="false" customHeight="false" outlineLevel="0" collapsed="false">
      <c r="H7796" s="0" t="str">
        <f aca="false">IF(B7796="","",IF(COUNTIF(Campaigns!$A$7:$A$300,B7796)&gt;0,"✓","⚠ add to Campaigns tab"))</f>
        <v/>
      </c>
      <c r="I7796" s="84" t="str">
        <f aca="false">IF(C7796="","",C7796*IF(Settings!$B$22=Settings!$C$6,1,IF(Settings!$B$22="USD",1/INDEX(Settings!$B$29:$B$40,MONTH(A7796)),INDEX(Settings!$B$29:$B$40,MONTH(A7796)))))</f>
        <v/>
      </c>
    </row>
    <row r="7797" customFormat="false" ht="15" hidden="false" customHeight="false" outlineLevel="0" collapsed="false">
      <c r="H7797" s="0" t="str">
        <f aca="false">IF(B7797="","",IF(COUNTIF(Campaigns!$A$7:$A$300,B7797)&gt;0,"✓","⚠ add to Campaigns tab"))</f>
        <v/>
      </c>
      <c r="I7797" s="84" t="str">
        <f aca="false">IF(C7797="","",C7797*IF(Settings!$B$22=Settings!$C$6,1,IF(Settings!$B$22="USD",1/INDEX(Settings!$B$29:$B$40,MONTH(A7797)),INDEX(Settings!$B$29:$B$40,MONTH(A7797)))))</f>
        <v/>
      </c>
    </row>
    <row r="7798" customFormat="false" ht="15" hidden="false" customHeight="false" outlineLevel="0" collapsed="false">
      <c r="H7798" s="0" t="str">
        <f aca="false">IF(B7798="","",IF(COUNTIF(Campaigns!$A$7:$A$300,B7798)&gt;0,"✓","⚠ add to Campaigns tab"))</f>
        <v/>
      </c>
      <c r="I7798" s="84" t="str">
        <f aca="false">IF(C7798="","",C7798*IF(Settings!$B$22=Settings!$C$6,1,IF(Settings!$B$22="USD",1/INDEX(Settings!$B$29:$B$40,MONTH(A7798)),INDEX(Settings!$B$29:$B$40,MONTH(A7798)))))</f>
        <v/>
      </c>
    </row>
    <row r="7799" customFormat="false" ht="15" hidden="false" customHeight="false" outlineLevel="0" collapsed="false">
      <c r="H7799" s="0" t="str">
        <f aca="false">IF(B7799="","",IF(COUNTIF(Campaigns!$A$7:$A$300,B7799)&gt;0,"✓","⚠ add to Campaigns tab"))</f>
        <v/>
      </c>
      <c r="I7799" s="84" t="str">
        <f aca="false">IF(C7799="","",C7799*IF(Settings!$B$22=Settings!$C$6,1,IF(Settings!$B$22="USD",1/INDEX(Settings!$B$29:$B$40,MONTH(A7799)),INDEX(Settings!$B$29:$B$40,MONTH(A7799)))))</f>
        <v/>
      </c>
    </row>
    <row r="7800" customFormat="false" ht="15" hidden="false" customHeight="false" outlineLevel="0" collapsed="false">
      <c r="H7800" s="0" t="str">
        <f aca="false">IF(B7800="","",IF(COUNTIF(Campaigns!$A$7:$A$300,B7800)&gt;0,"✓","⚠ add to Campaigns tab"))</f>
        <v/>
      </c>
      <c r="I7800" s="84" t="str">
        <f aca="false">IF(C7800="","",C7800*IF(Settings!$B$22=Settings!$C$6,1,IF(Settings!$B$22="USD",1/INDEX(Settings!$B$29:$B$40,MONTH(A7800)),INDEX(Settings!$B$29:$B$40,MONTH(A7800)))))</f>
        <v/>
      </c>
    </row>
    <row r="7801" customFormat="false" ht="15" hidden="false" customHeight="false" outlineLevel="0" collapsed="false">
      <c r="H7801" s="0" t="str">
        <f aca="false">IF(B7801="","",IF(COUNTIF(Campaigns!$A$7:$A$300,B7801)&gt;0,"✓","⚠ add to Campaigns tab"))</f>
        <v/>
      </c>
      <c r="I7801" s="84" t="str">
        <f aca="false">IF(C7801="","",C7801*IF(Settings!$B$22=Settings!$C$6,1,IF(Settings!$B$22="USD",1/INDEX(Settings!$B$29:$B$40,MONTH(A7801)),INDEX(Settings!$B$29:$B$40,MONTH(A7801)))))</f>
        <v/>
      </c>
    </row>
    <row r="7802" customFormat="false" ht="15" hidden="false" customHeight="false" outlineLevel="0" collapsed="false">
      <c r="H7802" s="0" t="str">
        <f aca="false">IF(B7802="","",IF(COUNTIF(Campaigns!$A$7:$A$300,B7802)&gt;0,"✓","⚠ add to Campaigns tab"))</f>
        <v/>
      </c>
      <c r="I7802" s="84" t="str">
        <f aca="false">IF(C7802="","",C7802*IF(Settings!$B$22=Settings!$C$6,1,IF(Settings!$B$22="USD",1/INDEX(Settings!$B$29:$B$40,MONTH(A7802)),INDEX(Settings!$B$29:$B$40,MONTH(A7802)))))</f>
        <v/>
      </c>
    </row>
    <row r="7803" customFormat="false" ht="15" hidden="false" customHeight="false" outlineLevel="0" collapsed="false">
      <c r="H7803" s="0" t="str">
        <f aca="false">IF(B7803="","",IF(COUNTIF(Campaigns!$A$7:$A$300,B7803)&gt;0,"✓","⚠ add to Campaigns tab"))</f>
        <v/>
      </c>
      <c r="I7803" s="84" t="str">
        <f aca="false">IF(C7803="","",C7803*IF(Settings!$B$22=Settings!$C$6,1,IF(Settings!$B$22="USD",1/INDEX(Settings!$B$29:$B$40,MONTH(A7803)),INDEX(Settings!$B$29:$B$40,MONTH(A7803)))))</f>
        <v/>
      </c>
    </row>
    <row r="7804" customFormat="false" ht="15" hidden="false" customHeight="false" outlineLevel="0" collapsed="false">
      <c r="H7804" s="0" t="str">
        <f aca="false">IF(B7804="","",IF(COUNTIF(Campaigns!$A$7:$A$300,B7804)&gt;0,"✓","⚠ add to Campaigns tab"))</f>
        <v/>
      </c>
      <c r="I7804" s="84" t="str">
        <f aca="false">IF(C7804="","",C7804*IF(Settings!$B$22=Settings!$C$6,1,IF(Settings!$B$22="USD",1/INDEX(Settings!$B$29:$B$40,MONTH(A7804)),INDEX(Settings!$B$29:$B$40,MONTH(A7804)))))</f>
        <v/>
      </c>
    </row>
    <row r="7805" customFormat="false" ht="15" hidden="false" customHeight="false" outlineLevel="0" collapsed="false">
      <c r="H7805" s="0" t="str">
        <f aca="false">IF(B7805="","",IF(COUNTIF(Campaigns!$A$7:$A$300,B7805)&gt;0,"✓","⚠ add to Campaigns tab"))</f>
        <v/>
      </c>
      <c r="I7805" s="84" t="str">
        <f aca="false">IF(C7805="","",C7805*IF(Settings!$B$22=Settings!$C$6,1,IF(Settings!$B$22="USD",1/INDEX(Settings!$B$29:$B$40,MONTH(A7805)),INDEX(Settings!$B$29:$B$40,MONTH(A7805)))))</f>
        <v/>
      </c>
    </row>
    <row r="7806" customFormat="false" ht="15" hidden="false" customHeight="false" outlineLevel="0" collapsed="false">
      <c r="H7806" s="0" t="str">
        <f aca="false">IF(B7806="","",IF(COUNTIF(Campaigns!$A$7:$A$300,B7806)&gt;0,"✓","⚠ add to Campaigns tab"))</f>
        <v/>
      </c>
      <c r="I7806" s="84" t="str">
        <f aca="false">IF(C7806="","",C7806*IF(Settings!$B$22=Settings!$C$6,1,IF(Settings!$B$22="USD",1/INDEX(Settings!$B$29:$B$40,MONTH(A7806)),INDEX(Settings!$B$29:$B$40,MONTH(A7806)))))</f>
        <v/>
      </c>
    </row>
    <row r="7807" customFormat="false" ht="15" hidden="false" customHeight="false" outlineLevel="0" collapsed="false">
      <c r="H7807" s="0" t="str">
        <f aca="false">IF(B7807="","",IF(COUNTIF(Campaigns!$A$7:$A$300,B7807)&gt;0,"✓","⚠ add to Campaigns tab"))</f>
        <v/>
      </c>
      <c r="I7807" s="84" t="str">
        <f aca="false">IF(C7807="","",C7807*IF(Settings!$B$22=Settings!$C$6,1,IF(Settings!$B$22="USD",1/INDEX(Settings!$B$29:$B$40,MONTH(A7807)),INDEX(Settings!$B$29:$B$40,MONTH(A7807)))))</f>
        <v/>
      </c>
    </row>
    <row r="7808" customFormat="false" ht="15" hidden="false" customHeight="false" outlineLevel="0" collapsed="false">
      <c r="H7808" s="0" t="str">
        <f aca="false">IF(B7808="","",IF(COUNTIF(Campaigns!$A$7:$A$300,B7808)&gt;0,"✓","⚠ add to Campaigns tab"))</f>
        <v/>
      </c>
      <c r="I7808" s="84" t="str">
        <f aca="false">IF(C7808="","",C7808*IF(Settings!$B$22=Settings!$C$6,1,IF(Settings!$B$22="USD",1/INDEX(Settings!$B$29:$B$40,MONTH(A7808)),INDEX(Settings!$B$29:$B$40,MONTH(A7808)))))</f>
        <v/>
      </c>
    </row>
    <row r="7809" customFormat="false" ht="15" hidden="false" customHeight="false" outlineLevel="0" collapsed="false">
      <c r="H7809" s="0" t="str">
        <f aca="false">IF(B7809="","",IF(COUNTIF(Campaigns!$A$7:$A$300,B7809)&gt;0,"✓","⚠ add to Campaigns tab"))</f>
        <v/>
      </c>
      <c r="I7809" s="84" t="str">
        <f aca="false">IF(C7809="","",C7809*IF(Settings!$B$22=Settings!$C$6,1,IF(Settings!$B$22="USD",1/INDEX(Settings!$B$29:$B$40,MONTH(A7809)),INDEX(Settings!$B$29:$B$40,MONTH(A7809)))))</f>
        <v/>
      </c>
    </row>
    <row r="7810" customFormat="false" ht="15" hidden="false" customHeight="false" outlineLevel="0" collapsed="false">
      <c r="H7810" s="0" t="str">
        <f aca="false">IF(B7810="","",IF(COUNTIF(Campaigns!$A$7:$A$300,B7810)&gt;0,"✓","⚠ add to Campaigns tab"))</f>
        <v/>
      </c>
      <c r="I7810" s="84" t="str">
        <f aca="false">IF(C7810="","",C7810*IF(Settings!$B$22=Settings!$C$6,1,IF(Settings!$B$22="USD",1/INDEX(Settings!$B$29:$B$40,MONTH(A7810)),INDEX(Settings!$B$29:$B$40,MONTH(A7810)))))</f>
        <v/>
      </c>
    </row>
    <row r="7811" customFormat="false" ht="15" hidden="false" customHeight="false" outlineLevel="0" collapsed="false">
      <c r="H7811" s="0" t="str">
        <f aca="false">IF(B7811="","",IF(COUNTIF(Campaigns!$A$7:$A$300,B7811)&gt;0,"✓","⚠ add to Campaigns tab"))</f>
        <v/>
      </c>
      <c r="I7811" s="84" t="str">
        <f aca="false">IF(C7811="","",C7811*IF(Settings!$B$22=Settings!$C$6,1,IF(Settings!$B$22="USD",1/INDEX(Settings!$B$29:$B$40,MONTH(A7811)),INDEX(Settings!$B$29:$B$40,MONTH(A7811)))))</f>
        <v/>
      </c>
    </row>
    <row r="7812" customFormat="false" ht="15" hidden="false" customHeight="false" outlineLevel="0" collapsed="false">
      <c r="H7812" s="0" t="str">
        <f aca="false">IF(B7812="","",IF(COUNTIF(Campaigns!$A$7:$A$300,B7812)&gt;0,"✓","⚠ add to Campaigns tab"))</f>
        <v/>
      </c>
      <c r="I7812" s="84" t="str">
        <f aca="false">IF(C7812="","",C7812*IF(Settings!$B$22=Settings!$C$6,1,IF(Settings!$B$22="USD",1/INDEX(Settings!$B$29:$B$40,MONTH(A7812)),INDEX(Settings!$B$29:$B$40,MONTH(A7812)))))</f>
        <v/>
      </c>
    </row>
    <row r="7813" customFormat="false" ht="15" hidden="false" customHeight="false" outlineLevel="0" collapsed="false">
      <c r="H7813" s="0" t="str">
        <f aca="false">IF(B7813="","",IF(COUNTIF(Campaigns!$A$7:$A$300,B7813)&gt;0,"✓","⚠ add to Campaigns tab"))</f>
        <v/>
      </c>
      <c r="I7813" s="84" t="str">
        <f aca="false">IF(C7813="","",C7813*IF(Settings!$B$22=Settings!$C$6,1,IF(Settings!$B$22="USD",1/INDEX(Settings!$B$29:$B$40,MONTH(A7813)),INDEX(Settings!$B$29:$B$40,MONTH(A7813)))))</f>
        <v/>
      </c>
    </row>
    <row r="7814" customFormat="false" ht="15" hidden="false" customHeight="false" outlineLevel="0" collapsed="false">
      <c r="H7814" s="0" t="str">
        <f aca="false">IF(B7814="","",IF(COUNTIF(Campaigns!$A$7:$A$300,B7814)&gt;0,"✓","⚠ add to Campaigns tab"))</f>
        <v/>
      </c>
      <c r="I7814" s="84" t="str">
        <f aca="false">IF(C7814="","",C7814*IF(Settings!$B$22=Settings!$C$6,1,IF(Settings!$B$22="USD",1/INDEX(Settings!$B$29:$B$40,MONTH(A7814)),INDEX(Settings!$B$29:$B$40,MONTH(A7814)))))</f>
        <v/>
      </c>
    </row>
    <row r="7815" customFormat="false" ht="15" hidden="false" customHeight="false" outlineLevel="0" collapsed="false">
      <c r="H7815" s="0" t="str">
        <f aca="false">IF(B7815="","",IF(COUNTIF(Campaigns!$A$7:$A$300,B7815)&gt;0,"✓","⚠ add to Campaigns tab"))</f>
        <v/>
      </c>
      <c r="I7815" s="84" t="str">
        <f aca="false">IF(C7815="","",C7815*IF(Settings!$B$22=Settings!$C$6,1,IF(Settings!$B$22="USD",1/INDEX(Settings!$B$29:$B$40,MONTH(A7815)),INDEX(Settings!$B$29:$B$40,MONTH(A7815)))))</f>
        <v/>
      </c>
    </row>
    <row r="7816" customFormat="false" ht="15" hidden="false" customHeight="false" outlineLevel="0" collapsed="false">
      <c r="H7816" s="0" t="str">
        <f aca="false">IF(B7816="","",IF(COUNTIF(Campaigns!$A$7:$A$300,B7816)&gt;0,"✓","⚠ add to Campaigns tab"))</f>
        <v/>
      </c>
      <c r="I7816" s="84" t="str">
        <f aca="false">IF(C7816="","",C7816*IF(Settings!$B$22=Settings!$C$6,1,IF(Settings!$B$22="USD",1/INDEX(Settings!$B$29:$B$40,MONTH(A7816)),INDEX(Settings!$B$29:$B$40,MONTH(A7816)))))</f>
        <v/>
      </c>
    </row>
    <row r="7817" customFormat="false" ht="15" hidden="false" customHeight="false" outlineLevel="0" collapsed="false">
      <c r="H7817" s="0" t="str">
        <f aca="false">IF(B7817="","",IF(COUNTIF(Campaigns!$A$7:$A$300,B7817)&gt;0,"✓","⚠ add to Campaigns tab"))</f>
        <v/>
      </c>
      <c r="I7817" s="84" t="str">
        <f aca="false">IF(C7817="","",C7817*IF(Settings!$B$22=Settings!$C$6,1,IF(Settings!$B$22="USD",1/INDEX(Settings!$B$29:$B$40,MONTH(A7817)),INDEX(Settings!$B$29:$B$40,MONTH(A7817)))))</f>
        <v/>
      </c>
    </row>
    <row r="7818" customFormat="false" ht="15" hidden="false" customHeight="false" outlineLevel="0" collapsed="false">
      <c r="H7818" s="0" t="str">
        <f aca="false">IF(B7818="","",IF(COUNTIF(Campaigns!$A$7:$A$300,B7818)&gt;0,"✓","⚠ add to Campaigns tab"))</f>
        <v/>
      </c>
      <c r="I7818" s="84" t="str">
        <f aca="false">IF(C7818="","",C7818*IF(Settings!$B$22=Settings!$C$6,1,IF(Settings!$B$22="USD",1/INDEX(Settings!$B$29:$B$40,MONTH(A7818)),INDEX(Settings!$B$29:$B$40,MONTH(A7818)))))</f>
        <v/>
      </c>
    </row>
    <row r="7819" customFormat="false" ht="15" hidden="false" customHeight="false" outlineLevel="0" collapsed="false">
      <c r="H7819" s="0" t="str">
        <f aca="false">IF(B7819="","",IF(COUNTIF(Campaigns!$A$7:$A$300,B7819)&gt;0,"✓","⚠ add to Campaigns tab"))</f>
        <v/>
      </c>
      <c r="I7819" s="84" t="str">
        <f aca="false">IF(C7819="","",C7819*IF(Settings!$B$22=Settings!$C$6,1,IF(Settings!$B$22="USD",1/INDEX(Settings!$B$29:$B$40,MONTH(A7819)),INDEX(Settings!$B$29:$B$40,MONTH(A7819)))))</f>
        <v/>
      </c>
    </row>
    <row r="7820" customFormat="false" ht="15" hidden="false" customHeight="false" outlineLevel="0" collapsed="false">
      <c r="H7820" s="0" t="str">
        <f aca="false">IF(B7820="","",IF(COUNTIF(Campaigns!$A$7:$A$300,B7820)&gt;0,"✓","⚠ add to Campaigns tab"))</f>
        <v/>
      </c>
      <c r="I7820" s="84" t="str">
        <f aca="false">IF(C7820="","",C7820*IF(Settings!$B$22=Settings!$C$6,1,IF(Settings!$B$22="USD",1/INDEX(Settings!$B$29:$B$40,MONTH(A7820)),INDEX(Settings!$B$29:$B$40,MONTH(A7820)))))</f>
        <v/>
      </c>
    </row>
    <row r="7821" customFormat="false" ht="15" hidden="false" customHeight="false" outlineLevel="0" collapsed="false">
      <c r="H7821" s="0" t="str">
        <f aca="false">IF(B7821="","",IF(COUNTIF(Campaigns!$A$7:$A$300,B7821)&gt;0,"✓","⚠ add to Campaigns tab"))</f>
        <v/>
      </c>
      <c r="I7821" s="84" t="str">
        <f aca="false">IF(C7821="","",C7821*IF(Settings!$B$22=Settings!$C$6,1,IF(Settings!$B$22="USD",1/INDEX(Settings!$B$29:$B$40,MONTH(A7821)),INDEX(Settings!$B$29:$B$40,MONTH(A7821)))))</f>
        <v/>
      </c>
    </row>
    <row r="7822" customFormat="false" ht="15" hidden="false" customHeight="false" outlineLevel="0" collapsed="false">
      <c r="H7822" s="0" t="str">
        <f aca="false">IF(B7822="","",IF(COUNTIF(Campaigns!$A$7:$A$300,B7822)&gt;0,"✓","⚠ add to Campaigns tab"))</f>
        <v/>
      </c>
      <c r="I7822" s="84" t="str">
        <f aca="false">IF(C7822="","",C7822*IF(Settings!$B$22=Settings!$C$6,1,IF(Settings!$B$22="USD",1/INDEX(Settings!$B$29:$B$40,MONTH(A7822)),INDEX(Settings!$B$29:$B$40,MONTH(A7822)))))</f>
        <v/>
      </c>
    </row>
    <row r="7823" customFormat="false" ht="15" hidden="false" customHeight="false" outlineLevel="0" collapsed="false">
      <c r="H7823" s="0" t="str">
        <f aca="false">IF(B7823="","",IF(COUNTIF(Campaigns!$A$7:$A$300,B7823)&gt;0,"✓","⚠ add to Campaigns tab"))</f>
        <v/>
      </c>
      <c r="I7823" s="84" t="str">
        <f aca="false">IF(C7823="","",C7823*IF(Settings!$B$22=Settings!$C$6,1,IF(Settings!$B$22="USD",1/INDEX(Settings!$B$29:$B$40,MONTH(A7823)),INDEX(Settings!$B$29:$B$40,MONTH(A7823)))))</f>
        <v/>
      </c>
    </row>
    <row r="7824" customFormat="false" ht="15" hidden="false" customHeight="false" outlineLevel="0" collapsed="false">
      <c r="H7824" s="0" t="str">
        <f aca="false">IF(B7824="","",IF(COUNTIF(Campaigns!$A$7:$A$300,B7824)&gt;0,"✓","⚠ add to Campaigns tab"))</f>
        <v/>
      </c>
      <c r="I7824" s="84" t="str">
        <f aca="false">IF(C7824="","",C7824*IF(Settings!$B$22=Settings!$C$6,1,IF(Settings!$B$22="USD",1/INDEX(Settings!$B$29:$B$40,MONTH(A7824)),INDEX(Settings!$B$29:$B$40,MONTH(A7824)))))</f>
        <v/>
      </c>
    </row>
    <row r="7825" customFormat="false" ht="15" hidden="false" customHeight="false" outlineLevel="0" collapsed="false">
      <c r="H7825" s="0" t="str">
        <f aca="false">IF(B7825="","",IF(COUNTIF(Campaigns!$A$7:$A$300,B7825)&gt;0,"✓","⚠ add to Campaigns tab"))</f>
        <v/>
      </c>
      <c r="I7825" s="84" t="str">
        <f aca="false">IF(C7825="","",C7825*IF(Settings!$B$22=Settings!$C$6,1,IF(Settings!$B$22="USD",1/INDEX(Settings!$B$29:$B$40,MONTH(A7825)),INDEX(Settings!$B$29:$B$40,MONTH(A7825)))))</f>
        <v/>
      </c>
    </row>
    <row r="7826" customFormat="false" ht="15" hidden="false" customHeight="false" outlineLevel="0" collapsed="false">
      <c r="H7826" s="0" t="str">
        <f aca="false">IF(B7826="","",IF(COUNTIF(Campaigns!$A$7:$A$300,B7826)&gt;0,"✓","⚠ add to Campaigns tab"))</f>
        <v/>
      </c>
      <c r="I7826" s="84" t="str">
        <f aca="false">IF(C7826="","",C7826*IF(Settings!$B$22=Settings!$C$6,1,IF(Settings!$B$22="USD",1/INDEX(Settings!$B$29:$B$40,MONTH(A7826)),INDEX(Settings!$B$29:$B$40,MONTH(A7826)))))</f>
        <v/>
      </c>
    </row>
    <row r="7827" customFormat="false" ht="15" hidden="false" customHeight="false" outlineLevel="0" collapsed="false">
      <c r="H7827" s="0" t="str">
        <f aca="false">IF(B7827="","",IF(COUNTIF(Campaigns!$A$7:$A$300,B7827)&gt;0,"✓","⚠ add to Campaigns tab"))</f>
        <v/>
      </c>
      <c r="I7827" s="84" t="str">
        <f aca="false">IF(C7827="","",C7827*IF(Settings!$B$22=Settings!$C$6,1,IF(Settings!$B$22="USD",1/INDEX(Settings!$B$29:$B$40,MONTH(A7827)),INDEX(Settings!$B$29:$B$40,MONTH(A7827)))))</f>
        <v/>
      </c>
    </row>
    <row r="7828" customFormat="false" ht="15" hidden="false" customHeight="false" outlineLevel="0" collapsed="false">
      <c r="H7828" s="0" t="str">
        <f aca="false">IF(B7828="","",IF(COUNTIF(Campaigns!$A$7:$A$300,B7828)&gt;0,"✓","⚠ add to Campaigns tab"))</f>
        <v/>
      </c>
      <c r="I7828" s="84" t="str">
        <f aca="false">IF(C7828="","",C7828*IF(Settings!$B$22=Settings!$C$6,1,IF(Settings!$B$22="USD",1/INDEX(Settings!$B$29:$B$40,MONTH(A7828)),INDEX(Settings!$B$29:$B$40,MONTH(A7828)))))</f>
        <v/>
      </c>
    </row>
    <row r="7829" customFormat="false" ht="15" hidden="false" customHeight="false" outlineLevel="0" collapsed="false">
      <c r="H7829" s="0" t="str">
        <f aca="false">IF(B7829="","",IF(COUNTIF(Campaigns!$A$7:$A$300,B7829)&gt;0,"✓","⚠ add to Campaigns tab"))</f>
        <v/>
      </c>
      <c r="I7829" s="84" t="str">
        <f aca="false">IF(C7829="","",C7829*IF(Settings!$B$22=Settings!$C$6,1,IF(Settings!$B$22="USD",1/INDEX(Settings!$B$29:$B$40,MONTH(A7829)),INDEX(Settings!$B$29:$B$40,MONTH(A7829)))))</f>
        <v/>
      </c>
    </row>
    <row r="7830" customFormat="false" ht="15" hidden="false" customHeight="false" outlineLevel="0" collapsed="false">
      <c r="H7830" s="0" t="str">
        <f aca="false">IF(B7830="","",IF(COUNTIF(Campaigns!$A$7:$A$300,B7830)&gt;0,"✓","⚠ add to Campaigns tab"))</f>
        <v/>
      </c>
      <c r="I7830" s="84" t="str">
        <f aca="false">IF(C7830="","",C7830*IF(Settings!$B$22=Settings!$C$6,1,IF(Settings!$B$22="USD",1/INDEX(Settings!$B$29:$B$40,MONTH(A7830)),INDEX(Settings!$B$29:$B$40,MONTH(A7830)))))</f>
        <v/>
      </c>
    </row>
    <row r="7831" customFormat="false" ht="15" hidden="false" customHeight="false" outlineLevel="0" collapsed="false">
      <c r="H7831" s="0" t="str">
        <f aca="false">IF(B7831="","",IF(COUNTIF(Campaigns!$A$7:$A$300,B7831)&gt;0,"✓","⚠ add to Campaigns tab"))</f>
        <v/>
      </c>
      <c r="I7831" s="84" t="str">
        <f aca="false">IF(C7831="","",C7831*IF(Settings!$B$22=Settings!$C$6,1,IF(Settings!$B$22="USD",1/INDEX(Settings!$B$29:$B$40,MONTH(A7831)),INDEX(Settings!$B$29:$B$40,MONTH(A7831)))))</f>
        <v/>
      </c>
    </row>
    <row r="7832" customFormat="false" ht="15" hidden="false" customHeight="false" outlineLevel="0" collapsed="false">
      <c r="H7832" s="0" t="str">
        <f aca="false">IF(B7832="","",IF(COUNTIF(Campaigns!$A$7:$A$300,B7832)&gt;0,"✓","⚠ add to Campaigns tab"))</f>
        <v/>
      </c>
      <c r="I7832" s="84" t="str">
        <f aca="false">IF(C7832="","",C7832*IF(Settings!$B$22=Settings!$C$6,1,IF(Settings!$B$22="USD",1/INDEX(Settings!$B$29:$B$40,MONTH(A7832)),INDEX(Settings!$B$29:$B$40,MONTH(A7832)))))</f>
        <v/>
      </c>
    </row>
    <row r="7833" customFormat="false" ht="15" hidden="false" customHeight="false" outlineLevel="0" collapsed="false">
      <c r="H7833" s="0" t="str">
        <f aca="false">IF(B7833="","",IF(COUNTIF(Campaigns!$A$7:$A$300,B7833)&gt;0,"✓","⚠ add to Campaigns tab"))</f>
        <v/>
      </c>
      <c r="I7833" s="84" t="str">
        <f aca="false">IF(C7833="","",C7833*IF(Settings!$B$22=Settings!$C$6,1,IF(Settings!$B$22="USD",1/INDEX(Settings!$B$29:$B$40,MONTH(A7833)),INDEX(Settings!$B$29:$B$40,MONTH(A7833)))))</f>
        <v/>
      </c>
    </row>
    <row r="7834" customFormat="false" ht="15" hidden="false" customHeight="false" outlineLevel="0" collapsed="false">
      <c r="H7834" s="0" t="str">
        <f aca="false">IF(B7834="","",IF(COUNTIF(Campaigns!$A$7:$A$300,B7834)&gt;0,"✓","⚠ add to Campaigns tab"))</f>
        <v/>
      </c>
      <c r="I7834" s="84" t="str">
        <f aca="false">IF(C7834="","",C7834*IF(Settings!$B$22=Settings!$C$6,1,IF(Settings!$B$22="USD",1/INDEX(Settings!$B$29:$B$40,MONTH(A7834)),INDEX(Settings!$B$29:$B$40,MONTH(A7834)))))</f>
        <v/>
      </c>
    </row>
    <row r="7835" customFormat="false" ht="15" hidden="false" customHeight="false" outlineLevel="0" collapsed="false">
      <c r="H7835" s="0" t="str">
        <f aca="false">IF(B7835="","",IF(COUNTIF(Campaigns!$A$7:$A$300,B7835)&gt;0,"✓","⚠ add to Campaigns tab"))</f>
        <v/>
      </c>
      <c r="I7835" s="84" t="str">
        <f aca="false">IF(C7835="","",C7835*IF(Settings!$B$22=Settings!$C$6,1,IF(Settings!$B$22="USD",1/INDEX(Settings!$B$29:$B$40,MONTH(A7835)),INDEX(Settings!$B$29:$B$40,MONTH(A7835)))))</f>
        <v/>
      </c>
    </row>
    <row r="7836" customFormat="false" ht="15" hidden="false" customHeight="false" outlineLevel="0" collapsed="false">
      <c r="H7836" s="0" t="str">
        <f aca="false">IF(B7836="","",IF(COUNTIF(Campaigns!$A$7:$A$300,B7836)&gt;0,"✓","⚠ add to Campaigns tab"))</f>
        <v/>
      </c>
      <c r="I7836" s="84" t="str">
        <f aca="false">IF(C7836="","",C7836*IF(Settings!$B$22=Settings!$C$6,1,IF(Settings!$B$22="USD",1/INDEX(Settings!$B$29:$B$40,MONTH(A7836)),INDEX(Settings!$B$29:$B$40,MONTH(A7836)))))</f>
        <v/>
      </c>
    </row>
    <row r="7837" customFormat="false" ht="15" hidden="false" customHeight="false" outlineLevel="0" collapsed="false">
      <c r="H7837" s="0" t="str">
        <f aca="false">IF(B7837="","",IF(COUNTIF(Campaigns!$A$7:$A$300,B7837)&gt;0,"✓","⚠ add to Campaigns tab"))</f>
        <v/>
      </c>
      <c r="I7837" s="84" t="str">
        <f aca="false">IF(C7837="","",C7837*IF(Settings!$B$22=Settings!$C$6,1,IF(Settings!$B$22="USD",1/INDEX(Settings!$B$29:$B$40,MONTH(A7837)),INDEX(Settings!$B$29:$B$40,MONTH(A7837)))))</f>
        <v/>
      </c>
    </row>
    <row r="7838" customFormat="false" ht="15" hidden="false" customHeight="false" outlineLevel="0" collapsed="false">
      <c r="H7838" s="0" t="str">
        <f aca="false">IF(B7838="","",IF(COUNTIF(Campaigns!$A$7:$A$300,B7838)&gt;0,"✓","⚠ add to Campaigns tab"))</f>
        <v/>
      </c>
      <c r="I7838" s="84" t="str">
        <f aca="false">IF(C7838="","",C7838*IF(Settings!$B$22=Settings!$C$6,1,IF(Settings!$B$22="USD",1/INDEX(Settings!$B$29:$B$40,MONTH(A7838)),INDEX(Settings!$B$29:$B$40,MONTH(A7838)))))</f>
        <v/>
      </c>
    </row>
    <row r="7839" customFormat="false" ht="15" hidden="false" customHeight="false" outlineLevel="0" collapsed="false">
      <c r="H7839" s="0" t="str">
        <f aca="false">IF(B7839="","",IF(COUNTIF(Campaigns!$A$7:$A$300,B7839)&gt;0,"✓","⚠ add to Campaigns tab"))</f>
        <v/>
      </c>
      <c r="I7839" s="84" t="str">
        <f aca="false">IF(C7839="","",C7839*IF(Settings!$B$22=Settings!$C$6,1,IF(Settings!$B$22="USD",1/INDEX(Settings!$B$29:$B$40,MONTH(A7839)),INDEX(Settings!$B$29:$B$40,MONTH(A7839)))))</f>
        <v/>
      </c>
    </row>
    <row r="7840" customFormat="false" ht="15" hidden="false" customHeight="false" outlineLevel="0" collapsed="false">
      <c r="H7840" s="0" t="str">
        <f aca="false">IF(B7840="","",IF(COUNTIF(Campaigns!$A$7:$A$300,B7840)&gt;0,"✓","⚠ add to Campaigns tab"))</f>
        <v/>
      </c>
      <c r="I7840" s="84" t="str">
        <f aca="false">IF(C7840="","",C7840*IF(Settings!$B$22=Settings!$C$6,1,IF(Settings!$B$22="USD",1/INDEX(Settings!$B$29:$B$40,MONTH(A7840)),INDEX(Settings!$B$29:$B$40,MONTH(A7840)))))</f>
        <v/>
      </c>
    </row>
    <row r="7841" customFormat="false" ht="15" hidden="false" customHeight="false" outlineLevel="0" collapsed="false">
      <c r="H7841" s="0" t="str">
        <f aca="false">IF(B7841="","",IF(COUNTIF(Campaigns!$A$7:$A$300,B7841)&gt;0,"✓","⚠ add to Campaigns tab"))</f>
        <v/>
      </c>
      <c r="I7841" s="84" t="str">
        <f aca="false">IF(C7841="","",C7841*IF(Settings!$B$22=Settings!$C$6,1,IF(Settings!$B$22="USD",1/INDEX(Settings!$B$29:$B$40,MONTH(A7841)),INDEX(Settings!$B$29:$B$40,MONTH(A7841)))))</f>
        <v/>
      </c>
    </row>
    <row r="7842" customFormat="false" ht="15" hidden="false" customHeight="false" outlineLevel="0" collapsed="false">
      <c r="H7842" s="0" t="str">
        <f aca="false">IF(B7842="","",IF(COUNTIF(Campaigns!$A$7:$A$300,B7842)&gt;0,"✓","⚠ add to Campaigns tab"))</f>
        <v/>
      </c>
      <c r="I7842" s="84" t="str">
        <f aca="false">IF(C7842="","",C7842*IF(Settings!$B$22=Settings!$C$6,1,IF(Settings!$B$22="USD",1/INDEX(Settings!$B$29:$B$40,MONTH(A7842)),INDEX(Settings!$B$29:$B$40,MONTH(A7842)))))</f>
        <v/>
      </c>
    </row>
    <row r="7843" customFormat="false" ht="15" hidden="false" customHeight="false" outlineLevel="0" collapsed="false">
      <c r="H7843" s="0" t="str">
        <f aca="false">IF(B7843="","",IF(COUNTIF(Campaigns!$A$7:$A$300,B7843)&gt;0,"✓","⚠ add to Campaigns tab"))</f>
        <v/>
      </c>
      <c r="I7843" s="84" t="str">
        <f aca="false">IF(C7843="","",C7843*IF(Settings!$B$22=Settings!$C$6,1,IF(Settings!$B$22="USD",1/INDEX(Settings!$B$29:$B$40,MONTH(A7843)),INDEX(Settings!$B$29:$B$40,MONTH(A7843)))))</f>
        <v/>
      </c>
    </row>
    <row r="7844" customFormat="false" ht="15" hidden="false" customHeight="false" outlineLevel="0" collapsed="false">
      <c r="H7844" s="0" t="str">
        <f aca="false">IF(B7844="","",IF(COUNTIF(Campaigns!$A$7:$A$300,B7844)&gt;0,"✓","⚠ add to Campaigns tab"))</f>
        <v/>
      </c>
      <c r="I7844" s="84" t="str">
        <f aca="false">IF(C7844="","",C7844*IF(Settings!$B$22=Settings!$C$6,1,IF(Settings!$B$22="USD",1/INDEX(Settings!$B$29:$B$40,MONTH(A7844)),INDEX(Settings!$B$29:$B$40,MONTH(A7844)))))</f>
        <v/>
      </c>
    </row>
    <row r="7845" customFormat="false" ht="15" hidden="false" customHeight="false" outlineLevel="0" collapsed="false">
      <c r="H7845" s="0" t="str">
        <f aca="false">IF(B7845="","",IF(COUNTIF(Campaigns!$A$7:$A$300,B7845)&gt;0,"✓","⚠ add to Campaigns tab"))</f>
        <v/>
      </c>
      <c r="I7845" s="84" t="str">
        <f aca="false">IF(C7845="","",C7845*IF(Settings!$B$22=Settings!$C$6,1,IF(Settings!$B$22="USD",1/INDEX(Settings!$B$29:$B$40,MONTH(A7845)),INDEX(Settings!$B$29:$B$40,MONTH(A7845)))))</f>
        <v/>
      </c>
    </row>
    <row r="7846" customFormat="false" ht="15" hidden="false" customHeight="false" outlineLevel="0" collapsed="false">
      <c r="H7846" s="0" t="str">
        <f aca="false">IF(B7846="","",IF(COUNTIF(Campaigns!$A$7:$A$300,B7846)&gt;0,"✓","⚠ add to Campaigns tab"))</f>
        <v/>
      </c>
      <c r="I7846" s="84" t="str">
        <f aca="false">IF(C7846="","",C7846*IF(Settings!$B$22=Settings!$C$6,1,IF(Settings!$B$22="USD",1/INDEX(Settings!$B$29:$B$40,MONTH(A7846)),INDEX(Settings!$B$29:$B$40,MONTH(A7846)))))</f>
        <v/>
      </c>
    </row>
    <row r="7847" customFormat="false" ht="15" hidden="false" customHeight="false" outlineLevel="0" collapsed="false">
      <c r="H7847" s="0" t="str">
        <f aca="false">IF(B7847="","",IF(COUNTIF(Campaigns!$A$7:$A$300,B7847)&gt;0,"✓","⚠ add to Campaigns tab"))</f>
        <v/>
      </c>
      <c r="I7847" s="84" t="str">
        <f aca="false">IF(C7847="","",C7847*IF(Settings!$B$22=Settings!$C$6,1,IF(Settings!$B$22="USD",1/INDEX(Settings!$B$29:$B$40,MONTH(A7847)),INDEX(Settings!$B$29:$B$40,MONTH(A7847)))))</f>
        <v/>
      </c>
    </row>
    <row r="7848" customFormat="false" ht="15" hidden="false" customHeight="false" outlineLevel="0" collapsed="false">
      <c r="H7848" s="0" t="str">
        <f aca="false">IF(B7848="","",IF(COUNTIF(Campaigns!$A$7:$A$300,B7848)&gt;0,"✓","⚠ add to Campaigns tab"))</f>
        <v/>
      </c>
      <c r="I7848" s="84" t="str">
        <f aca="false">IF(C7848="","",C7848*IF(Settings!$B$22=Settings!$C$6,1,IF(Settings!$B$22="USD",1/INDEX(Settings!$B$29:$B$40,MONTH(A7848)),INDEX(Settings!$B$29:$B$40,MONTH(A7848)))))</f>
        <v/>
      </c>
    </row>
    <row r="7849" customFormat="false" ht="15" hidden="false" customHeight="false" outlineLevel="0" collapsed="false">
      <c r="H7849" s="0" t="str">
        <f aca="false">IF(B7849="","",IF(COUNTIF(Campaigns!$A$7:$A$300,B7849)&gt;0,"✓","⚠ add to Campaigns tab"))</f>
        <v/>
      </c>
      <c r="I7849" s="84" t="str">
        <f aca="false">IF(C7849="","",C7849*IF(Settings!$B$22=Settings!$C$6,1,IF(Settings!$B$22="USD",1/INDEX(Settings!$B$29:$B$40,MONTH(A7849)),INDEX(Settings!$B$29:$B$40,MONTH(A7849)))))</f>
        <v/>
      </c>
    </row>
    <row r="7850" customFormat="false" ht="15" hidden="false" customHeight="false" outlineLevel="0" collapsed="false">
      <c r="H7850" s="0" t="str">
        <f aca="false">IF(B7850="","",IF(COUNTIF(Campaigns!$A$7:$A$300,B7850)&gt;0,"✓","⚠ add to Campaigns tab"))</f>
        <v/>
      </c>
      <c r="I7850" s="84" t="str">
        <f aca="false">IF(C7850="","",C7850*IF(Settings!$B$22=Settings!$C$6,1,IF(Settings!$B$22="USD",1/INDEX(Settings!$B$29:$B$40,MONTH(A7850)),INDEX(Settings!$B$29:$B$40,MONTH(A7850)))))</f>
        <v/>
      </c>
    </row>
    <row r="7851" customFormat="false" ht="15" hidden="false" customHeight="false" outlineLevel="0" collapsed="false">
      <c r="H7851" s="0" t="str">
        <f aca="false">IF(B7851="","",IF(COUNTIF(Campaigns!$A$7:$A$300,B7851)&gt;0,"✓","⚠ add to Campaigns tab"))</f>
        <v/>
      </c>
      <c r="I7851" s="84" t="str">
        <f aca="false">IF(C7851="","",C7851*IF(Settings!$B$22=Settings!$C$6,1,IF(Settings!$B$22="USD",1/INDEX(Settings!$B$29:$B$40,MONTH(A7851)),INDEX(Settings!$B$29:$B$40,MONTH(A7851)))))</f>
        <v/>
      </c>
    </row>
    <row r="7852" customFormat="false" ht="15" hidden="false" customHeight="false" outlineLevel="0" collapsed="false">
      <c r="H7852" s="0" t="str">
        <f aca="false">IF(B7852="","",IF(COUNTIF(Campaigns!$A$7:$A$300,B7852)&gt;0,"✓","⚠ add to Campaigns tab"))</f>
        <v/>
      </c>
      <c r="I7852" s="84" t="str">
        <f aca="false">IF(C7852="","",C7852*IF(Settings!$B$22=Settings!$C$6,1,IF(Settings!$B$22="USD",1/INDEX(Settings!$B$29:$B$40,MONTH(A7852)),INDEX(Settings!$B$29:$B$40,MONTH(A7852)))))</f>
        <v/>
      </c>
    </row>
    <row r="7853" customFormat="false" ht="15" hidden="false" customHeight="false" outlineLevel="0" collapsed="false">
      <c r="H7853" s="0" t="str">
        <f aca="false">IF(B7853="","",IF(COUNTIF(Campaigns!$A$7:$A$300,B7853)&gt;0,"✓","⚠ add to Campaigns tab"))</f>
        <v/>
      </c>
      <c r="I7853" s="84" t="str">
        <f aca="false">IF(C7853="","",C7853*IF(Settings!$B$22=Settings!$C$6,1,IF(Settings!$B$22="USD",1/INDEX(Settings!$B$29:$B$40,MONTH(A7853)),INDEX(Settings!$B$29:$B$40,MONTH(A7853)))))</f>
        <v/>
      </c>
    </row>
    <row r="7854" customFormat="false" ht="15" hidden="false" customHeight="false" outlineLevel="0" collapsed="false">
      <c r="H7854" s="0" t="str">
        <f aca="false">IF(B7854="","",IF(COUNTIF(Campaigns!$A$7:$A$300,B7854)&gt;0,"✓","⚠ add to Campaigns tab"))</f>
        <v/>
      </c>
      <c r="I7854" s="84" t="str">
        <f aca="false">IF(C7854="","",C7854*IF(Settings!$B$22=Settings!$C$6,1,IF(Settings!$B$22="USD",1/INDEX(Settings!$B$29:$B$40,MONTH(A7854)),INDEX(Settings!$B$29:$B$40,MONTH(A7854)))))</f>
        <v/>
      </c>
    </row>
    <row r="7855" customFormat="false" ht="15" hidden="false" customHeight="false" outlineLevel="0" collapsed="false">
      <c r="H7855" s="0" t="str">
        <f aca="false">IF(B7855="","",IF(COUNTIF(Campaigns!$A$7:$A$300,B7855)&gt;0,"✓","⚠ add to Campaigns tab"))</f>
        <v/>
      </c>
      <c r="I7855" s="84" t="str">
        <f aca="false">IF(C7855="","",C7855*IF(Settings!$B$22=Settings!$C$6,1,IF(Settings!$B$22="USD",1/INDEX(Settings!$B$29:$B$40,MONTH(A7855)),INDEX(Settings!$B$29:$B$40,MONTH(A7855)))))</f>
        <v/>
      </c>
    </row>
    <row r="7856" customFormat="false" ht="15" hidden="false" customHeight="false" outlineLevel="0" collapsed="false">
      <c r="H7856" s="0" t="str">
        <f aca="false">IF(B7856="","",IF(COUNTIF(Campaigns!$A$7:$A$300,B7856)&gt;0,"✓","⚠ add to Campaigns tab"))</f>
        <v/>
      </c>
      <c r="I7856" s="84" t="str">
        <f aca="false">IF(C7856="","",C7856*IF(Settings!$B$22=Settings!$C$6,1,IF(Settings!$B$22="USD",1/INDEX(Settings!$B$29:$B$40,MONTH(A7856)),INDEX(Settings!$B$29:$B$40,MONTH(A7856)))))</f>
        <v/>
      </c>
    </row>
    <row r="7857" customFormat="false" ht="15" hidden="false" customHeight="false" outlineLevel="0" collapsed="false">
      <c r="H7857" s="0" t="str">
        <f aca="false">IF(B7857="","",IF(COUNTIF(Campaigns!$A$7:$A$300,B7857)&gt;0,"✓","⚠ add to Campaigns tab"))</f>
        <v/>
      </c>
      <c r="I7857" s="84" t="str">
        <f aca="false">IF(C7857="","",C7857*IF(Settings!$B$22=Settings!$C$6,1,IF(Settings!$B$22="USD",1/INDEX(Settings!$B$29:$B$40,MONTH(A7857)),INDEX(Settings!$B$29:$B$40,MONTH(A7857)))))</f>
        <v/>
      </c>
    </row>
    <row r="7858" customFormat="false" ht="15" hidden="false" customHeight="false" outlineLevel="0" collapsed="false">
      <c r="H7858" s="0" t="str">
        <f aca="false">IF(B7858="","",IF(COUNTIF(Campaigns!$A$7:$A$300,B7858)&gt;0,"✓","⚠ add to Campaigns tab"))</f>
        <v/>
      </c>
      <c r="I7858" s="84" t="str">
        <f aca="false">IF(C7858="","",C7858*IF(Settings!$B$22=Settings!$C$6,1,IF(Settings!$B$22="USD",1/INDEX(Settings!$B$29:$B$40,MONTH(A7858)),INDEX(Settings!$B$29:$B$40,MONTH(A7858)))))</f>
        <v/>
      </c>
    </row>
    <row r="7859" customFormat="false" ht="15" hidden="false" customHeight="false" outlineLevel="0" collapsed="false">
      <c r="H7859" s="0" t="str">
        <f aca="false">IF(B7859="","",IF(COUNTIF(Campaigns!$A$7:$A$300,B7859)&gt;0,"✓","⚠ add to Campaigns tab"))</f>
        <v/>
      </c>
      <c r="I7859" s="84" t="str">
        <f aca="false">IF(C7859="","",C7859*IF(Settings!$B$22=Settings!$C$6,1,IF(Settings!$B$22="USD",1/INDEX(Settings!$B$29:$B$40,MONTH(A7859)),INDEX(Settings!$B$29:$B$40,MONTH(A7859)))))</f>
        <v/>
      </c>
    </row>
    <row r="7860" customFormat="false" ht="15" hidden="false" customHeight="false" outlineLevel="0" collapsed="false">
      <c r="H7860" s="0" t="str">
        <f aca="false">IF(B7860="","",IF(COUNTIF(Campaigns!$A$7:$A$300,B7860)&gt;0,"✓","⚠ add to Campaigns tab"))</f>
        <v/>
      </c>
      <c r="I7860" s="84" t="str">
        <f aca="false">IF(C7860="","",C7860*IF(Settings!$B$22=Settings!$C$6,1,IF(Settings!$B$22="USD",1/INDEX(Settings!$B$29:$B$40,MONTH(A7860)),INDEX(Settings!$B$29:$B$40,MONTH(A7860)))))</f>
        <v/>
      </c>
    </row>
    <row r="7861" customFormat="false" ht="15" hidden="false" customHeight="false" outlineLevel="0" collapsed="false">
      <c r="H7861" s="0" t="str">
        <f aca="false">IF(B7861="","",IF(COUNTIF(Campaigns!$A$7:$A$300,B7861)&gt;0,"✓","⚠ add to Campaigns tab"))</f>
        <v/>
      </c>
      <c r="I7861" s="84" t="str">
        <f aca="false">IF(C7861="","",C7861*IF(Settings!$B$22=Settings!$C$6,1,IF(Settings!$B$22="USD",1/INDEX(Settings!$B$29:$B$40,MONTH(A7861)),INDEX(Settings!$B$29:$B$40,MONTH(A7861)))))</f>
        <v/>
      </c>
    </row>
    <row r="7862" customFormat="false" ht="15" hidden="false" customHeight="false" outlineLevel="0" collapsed="false">
      <c r="H7862" s="0" t="str">
        <f aca="false">IF(B7862="","",IF(COUNTIF(Campaigns!$A$7:$A$300,B7862)&gt;0,"✓","⚠ add to Campaigns tab"))</f>
        <v/>
      </c>
      <c r="I7862" s="84" t="str">
        <f aca="false">IF(C7862="","",C7862*IF(Settings!$B$22=Settings!$C$6,1,IF(Settings!$B$22="USD",1/INDEX(Settings!$B$29:$B$40,MONTH(A7862)),INDEX(Settings!$B$29:$B$40,MONTH(A7862)))))</f>
        <v/>
      </c>
    </row>
    <row r="7863" customFormat="false" ht="15" hidden="false" customHeight="false" outlineLevel="0" collapsed="false">
      <c r="H7863" s="0" t="str">
        <f aca="false">IF(B7863="","",IF(COUNTIF(Campaigns!$A$7:$A$300,B7863)&gt;0,"✓","⚠ add to Campaigns tab"))</f>
        <v/>
      </c>
      <c r="I7863" s="84" t="str">
        <f aca="false">IF(C7863="","",C7863*IF(Settings!$B$22=Settings!$C$6,1,IF(Settings!$B$22="USD",1/INDEX(Settings!$B$29:$B$40,MONTH(A7863)),INDEX(Settings!$B$29:$B$40,MONTH(A7863)))))</f>
        <v/>
      </c>
    </row>
    <row r="7864" customFormat="false" ht="15" hidden="false" customHeight="false" outlineLevel="0" collapsed="false">
      <c r="H7864" s="0" t="str">
        <f aca="false">IF(B7864="","",IF(COUNTIF(Campaigns!$A$7:$A$300,B7864)&gt;0,"✓","⚠ add to Campaigns tab"))</f>
        <v/>
      </c>
      <c r="I7864" s="84" t="str">
        <f aca="false">IF(C7864="","",C7864*IF(Settings!$B$22=Settings!$C$6,1,IF(Settings!$B$22="USD",1/INDEX(Settings!$B$29:$B$40,MONTH(A7864)),INDEX(Settings!$B$29:$B$40,MONTH(A7864)))))</f>
        <v/>
      </c>
    </row>
    <row r="7865" customFormat="false" ht="15" hidden="false" customHeight="false" outlineLevel="0" collapsed="false">
      <c r="H7865" s="0" t="str">
        <f aca="false">IF(B7865="","",IF(COUNTIF(Campaigns!$A$7:$A$300,B7865)&gt;0,"✓","⚠ add to Campaigns tab"))</f>
        <v/>
      </c>
      <c r="I7865" s="84" t="str">
        <f aca="false">IF(C7865="","",C7865*IF(Settings!$B$22=Settings!$C$6,1,IF(Settings!$B$22="USD",1/INDEX(Settings!$B$29:$B$40,MONTH(A7865)),INDEX(Settings!$B$29:$B$40,MONTH(A7865)))))</f>
        <v/>
      </c>
    </row>
    <row r="7866" customFormat="false" ht="15" hidden="false" customHeight="false" outlineLevel="0" collapsed="false">
      <c r="H7866" s="0" t="str">
        <f aca="false">IF(B7866="","",IF(COUNTIF(Campaigns!$A$7:$A$300,B7866)&gt;0,"✓","⚠ add to Campaigns tab"))</f>
        <v/>
      </c>
      <c r="I7866" s="84" t="str">
        <f aca="false">IF(C7866="","",C7866*IF(Settings!$B$22=Settings!$C$6,1,IF(Settings!$B$22="USD",1/INDEX(Settings!$B$29:$B$40,MONTH(A7866)),INDEX(Settings!$B$29:$B$40,MONTH(A7866)))))</f>
        <v/>
      </c>
    </row>
    <row r="7867" customFormat="false" ht="15" hidden="false" customHeight="false" outlineLevel="0" collapsed="false">
      <c r="H7867" s="0" t="str">
        <f aca="false">IF(B7867="","",IF(COUNTIF(Campaigns!$A$7:$A$300,B7867)&gt;0,"✓","⚠ add to Campaigns tab"))</f>
        <v/>
      </c>
      <c r="I7867" s="84" t="str">
        <f aca="false">IF(C7867="","",C7867*IF(Settings!$B$22=Settings!$C$6,1,IF(Settings!$B$22="USD",1/INDEX(Settings!$B$29:$B$40,MONTH(A7867)),INDEX(Settings!$B$29:$B$40,MONTH(A7867)))))</f>
        <v/>
      </c>
    </row>
    <row r="7868" customFormat="false" ht="15" hidden="false" customHeight="false" outlineLevel="0" collapsed="false">
      <c r="H7868" s="0" t="str">
        <f aca="false">IF(B7868="","",IF(COUNTIF(Campaigns!$A$7:$A$300,B7868)&gt;0,"✓","⚠ add to Campaigns tab"))</f>
        <v/>
      </c>
      <c r="I7868" s="84" t="str">
        <f aca="false">IF(C7868="","",C7868*IF(Settings!$B$22=Settings!$C$6,1,IF(Settings!$B$22="USD",1/INDEX(Settings!$B$29:$B$40,MONTH(A7868)),INDEX(Settings!$B$29:$B$40,MONTH(A7868)))))</f>
        <v/>
      </c>
    </row>
    <row r="7869" customFormat="false" ht="15" hidden="false" customHeight="false" outlineLevel="0" collapsed="false">
      <c r="H7869" s="0" t="str">
        <f aca="false">IF(B7869="","",IF(COUNTIF(Campaigns!$A$7:$A$300,B7869)&gt;0,"✓","⚠ add to Campaigns tab"))</f>
        <v/>
      </c>
      <c r="I7869" s="84" t="str">
        <f aca="false">IF(C7869="","",C7869*IF(Settings!$B$22=Settings!$C$6,1,IF(Settings!$B$22="USD",1/INDEX(Settings!$B$29:$B$40,MONTH(A7869)),INDEX(Settings!$B$29:$B$40,MONTH(A7869)))))</f>
        <v/>
      </c>
    </row>
    <row r="7870" customFormat="false" ht="15" hidden="false" customHeight="false" outlineLevel="0" collapsed="false">
      <c r="H7870" s="0" t="str">
        <f aca="false">IF(B7870="","",IF(COUNTIF(Campaigns!$A$7:$A$300,B7870)&gt;0,"✓","⚠ add to Campaigns tab"))</f>
        <v/>
      </c>
      <c r="I7870" s="84" t="str">
        <f aca="false">IF(C7870="","",C7870*IF(Settings!$B$22=Settings!$C$6,1,IF(Settings!$B$22="USD",1/INDEX(Settings!$B$29:$B$40,MONTH(A7870)),INDEX(Settings!$B$29:$B$40,MONTH(A7870)))))</f>
        <v/>
      </c>
    </row>
    <row r="7871" customFormat="false" ht="15" hidden="false" customHeight="false" outlineLevel="0" collapsed="false">
      <c r="H7871" s="0" t="str">
        <f aca="false">IF(B7871="","",IF(COUNTIF(Campaigns!$A$7:$A$300,B7871)&gt;0,"✓","⚠ add to Campaigns tab"))</f>
        <v/>
      </c>
      <c r="I7871" s="84" t="str">
        <f aca="false">IF(C7871="","",C7871*IF(Settings!$B$22=Settings!$C$6,1,IF(Settings!$B$22="USD",1/INDEX(Settings!$B$29:$B$40,MONTH(A7871)),INDEX(Settings!$B$29:$B$40,MONTH(A7871)))))</f>
        <v/>
      </c>
    </row>
    <row r="7872" customFormat="false" ht="15" hidden="false" customHeight="false" outlineLevel="0" collapsed="false">
      <c r="H7872" s="0" t="str">
        <f aca="false">IF(B7872="","",IF(COUNTIF(Campaigns!$A$7:$A$300,B7872)&gt;0,"✓","⚠ add to Campaigns tab"))</f>
        <v/>
      </c>
      <c r="I7872" s="84" t="str">
        <f aca="false">IF(C7872="","",C7872*IF(Settings!$B$22=Settings!$C$6,1,IF(Settings!$B$22="USD",1/INDEX(Settings!$B$29:$B$40,MONTH(A7872)),INDEX(Settings!$B$29:$B$40,MONTH(A7872)))))</f>
        <v/>
      </c>
    </row>
    <row r="7873" customFormat="false" ht="15" hidden="false" customHeight="false" outlineLevel="0" collapsed="false">
      <c r="H7873" s="0" t="str">
        <f aca="false">IF(B7873="","",IF(COUNTIF(Campaigns!$A$7:$A$300,B7873)&gt;0,"✓","⚠ add to Campaigns tab"))</f>
        <v/>
      </c>
      <c r="I7873" s="84" t="str">
        <f aca="false">IF(C7873="","",C7873*IF(Settings!$B$22=Settings!$C$6,1,IF(Settings!$B$22="USD",1/INDEX(Settings!$B$29:$B$40,MONTH(A7873)),INDEX(Settings!$B$29:$B$40,MONTH(A7873)))))</f>
        <v/>
      </c>
    </row>
    <row r="7874" customFormat="false" ht="15" hidden="false" customHeight="false" outlineLevel="0" collapsed="false">
      <c r="H7874" s="0" t="str">
        <f aca="false">IF(B7874="","",IF(COUNTIF(Campaigns!$A$7:$A$300,B7874)&gt;0,"✓","⚠ add to Campaigns tab"))</f>
        <v/>
      </c>
      <c r="I7874" s="84" t="str">
        <f aca="false">IF(C7874="","",C7874*IF(Settings!$B$22=Settings!$C$6,1,IF(Settings!$B$22="USD",1/INDEX(Settings!$B$29:$B$40,MONTH(A7874)),INDEX(Settings!$B$29:$B$40,MONTH(A7874)))))</f>
        <v/>
      </c>
    </row>
    <row r="7875" customFormat="false" ht="15" hidden="false" customHeight="false" outlineLevel="0" collapsed="false">
      <c r="H7875" s="0" t="str">
        <f aca="false">IF(B7875="","",IF(COUNTIF(Campaigns!$A$7:$A$300,B7875)&gt;0,"✓","⚠ add to Campaigns tab"))</f>
        <v/>
      </c>
      <c r="I7875" s="84" t="str">
        <f aca="false">IF(C7875="","",C7875*IF(Settings!$B$22=Settings!$C$6,1,IF(Settings!$B$22="USD",1/INDEX(Settings!$B$29:$B$40,MONTH(A7875)),INDEX(Settings!$B$29:$B$40,MONTH(A7875)))))</f>
        <v/>
      </c>
    </row>
    <row r="7876" customFormat="false" ht="15" hidden="false" customHeight="false" outlineLevel="0" collapsed="false">
      <c r="H7876" s="0" t="str">
        <f aca="false">IF(B7876="","",IF(COUNTIF(Campaigns!$A$7:$A$300,B7876)&gt;0,"✓","⚠ add to Campaigns tab"))</f>
        <v/>
      </c>
      <c r="I7876" s="84" t="str">
        <f aca="false">IF(C7876="","",C7876*IF(Settings!$B$22=Settings!$C$6,1,IF(Settings!$B$22="USD",1/INDEX(Settings!$B$29:$B$40,MONTH(A7876)),INDEX(Settings!$B$29:$B$40,MONTH(A7876)))))</f>
        <v/>
      </c>
    </row>
    <row r="7877" customFormat="false" ht="15" hidden="false" customHeight="false" outlineLevel="0" collapsed="false">
      <c r="H7877" s="0" t="str">
        <f aca="false">IF(B7877="","",IF(COUNTIF(Campaigns!$A$7:$A$300,B7877)&gt;0,"✓","⚠ add to Campaigns tab"))</f>
        <v/>
      </c>
      <c r="I7877" s="84" t="str">
        <f aca="false">IF(C7877="","",C7877*IF(Settings!$B$22=Settings!$C$6,1,IF(Settings!$B$22="USD",1/INDEX(Settings!$B$29:$B$40,MONTH(A7877)),INDEX(Settings!$B$29:$B$40,MONTH(A7877)))))</f>
        <v/>
      </c>
    </row>
    <row r="7878" customFormat="false" ht="15" hidden="false" customHeight="false" outlineLevel="0" collapsed="false">
      <c r="H7878" s="0" t="str">
        <f aca="false">IF(B7878="","",IF(COUNTIF(Campaigns!$A$7:$A$300,B7878)&gt;0,"✓","⚠ add to Campaigns tab"))</f>
        <v/>
      </c>
      <c r="I7878" s="84" t="str">
        <f aca="false">IF(C7878="","",C7878*IF(Settings!$B$22=Settings!$C$6,1,IF(Settings!$B$22="USD",1/INDEX(Settings!$B$29:$B$40,MONTH(A7878)),INDEX(Settings!$B$29:$B$40,MONTH(A7878)))))</f>
        <v/>
      </c>
    </row>
    <row r="7879" customFormat="false" ht="15" hidden="false" customHeight="false" outlineLevel="0" collapsed="false">
      <c r="H7879" s="0" t="str">
        <f aca="false">IF(B7879="","",IF(COUNTIF(Campaigns!$A$7:$A$300,B7879)&gt;0,"✓","⚠ add to Campaigns tab"))</f>
        <v/>
      </c>
      <c r="I7879" s="84" t="str">
        <f aca="false">IF(C7879="","",C7879*IF(Settings!$B$22=Settings!$C$6,1,IF(Settings!$B$22="USD",1/INDEX(Settings!$B$29:$B$40,MONTH(A7879)),INDEX(Settings!$B$29:$B$40,MONTH(A7879)))))</f>
        <v/>
      </c>
    </row>
    <row r="7880" customFormat="false" ht="15" hidden="false" customHeight="false" outlineLevel="0" collapsed="false">
      <c r="H7880" s="0" t="str">
        <f aca="false">IF(B7880="","",IF(COUNTIF(Campaigns!$A$7:$A$300,B7880)&gt;0,"✓","⚠ add to Campaigns tab"))</f>
        <v/>
      </c>
      <c r="I7880" s="84" t="str">
        <f aca="false">IF(C7880="","",C7880*IF(Settings!$B$22=Settings!$C$6,1,IF(Settings!$B$22="USD",1/INDEX(Settings!$B$29:$B$40,MONTH(A7880)),INDEX(Settings!$B$29:$B$40,MONTH(A7880)))))</f>
        <v/>
      </c>
    </row>
    <row r="7881" customFormat="false" ht="15" hidden="false" customHeight="false" outlineLevel="0" collapsed="false">
      <c r="H7881" s="0" t="str">
        <f aca="false">IF(B7881="","",IF(COUNTIF(Campaigns!$A$7:$A$300,B7881)&gt;0,"✓","⚠ add to Campaigns tab"))</f>
        <v/>
      </c>
      <c r="I7881" s="84" t="str">
        <f aca="false">IF(C7881="","",C7881*IF(Settings!$B$22=Settings!$C$6,1,IF(Settings!$B$22="USD",1/INDEX(Settings!$B$29:$B$40,MONTH(A7881)),INDEX(Settings!$B$29:$B$40,MONTH(A7881)))))</f>
        <v/>
      </c>
    </row>
    <row r="7882" customFormat="false" ht="15" hidden="false" customHeight="false" outlineLevel="0" collapsed="false">
      <c r="H7882" s="0" t="str">
        <f aca="false">IF(B7882="","",IF(COUNTIF(Campaigns!$A$7:$A$300,B7882)&gt;0,"✓","⚠ add to Campaigns tab"))</f>
        <v/>
      </c>
      <c r="I7882" s="84" t="str">
        <f aca="false">IF(C7882="","",C7882*IF(Settings!$B$22=Settings!$C$6,1,IF(Settings!$B$22="USD",1/INDEX(Settings!$B$29:$B$40,MONTH(A7882)),INDEX(Settings!$B$29:$B$40,MONTH(A7882)))))</f>
        <v/>
      </c>
    </row>
    <row r="7883" customFormat="false" ht="15" hidden="false" customHeight="false" outlineLevel="0" collapsed="false">
      <c r="H7883" s="0" t="str">
        <f aca="false">IF(B7883="","",IF(COUNTIF(Campaigns!$A$7:$A$300,B7883)&gt;0,"✓","⚠ add to Campaigns tab"))</f>
        <v/>
      </c>
      <c r="I7883" s="84" t="str">
        <f aca="false">IF(C7883="","",C7883*IF(Settings!$B$22=Settings!$C$6,1,IF(Settings!$B$22="USD",1/INDEX(Settings!$B$29:$B$40,MONTH(A7883)),INDEX(Settings!$B$29:$B$40,MONTH(A7883)))))</f>
        <v/>
      </c>
    </row>
    <row r="7884" customFormat="false" ht="15" hidden="false" customHeight="false" outlineLevel="0" collapsed="false">
      <c r="H7884" s="0" t="str">
        <f aca="false">IF(B7884="","",IF(COUNTIF(Campaigns!$A$7:$A$300,B7884)&gt;0,"✓","⚠ add to Campaigns tab"))</f>
        <v/>
      </c>
      <c r="I7884" s="84" t="str">
        <f aca="false">IF(C7884="","",C7884*IF(Settings!$B$22=Settings!$C$6,1,IF(Settings!$B$22="USD",1/INDEX(Settings!$B$29:$B$40,MONTH(A7884)),INDEX(Settings!$B$29:$B$40,MONTH(A7884)))))</f>
        <v/>
      </c>
    </row>
    <row r="7885" customFormat="false" ht="15" hidden="false" customHeight="false" outlineLevel="0" collapsed="false">
      <c r="H7885" s="0" t="str">
        <f aca="false">IF(B7885="","",IF(COUNTIF(Campaigns!$A$7:$A$300,B7885)&gt;0,"✓","⚠ add to Campaigns tab"))</f>
        <v/>
      </c>
      <c r="I7885" s="84" t="str">
        <f aca="false">IF(C7885="","",C7885*IF(Settings!$B$22=Settings!$C$6,1,IF(Settings!$B$22="USD",1/INDEX(Settings!$B$29:$B$40,MONTH(A7885)),INDEX(Settings!$B$29:$B$40,MONTH(A7885)))))</f>
        <v/>
      </c>
    </row>
    <row r="7886" customFormat="false" ht="15" hidden="false" customHeight="false" outlineLevel="0" collapsed="false">
      <c r="H7886" s="0" t="str">
        <f aca="false">IF(B7886="","",IF(COUNTIF(Campaigns!$A$7:$A$300,B7886)&gt;0,"✓","⚠ add to Campaigns tab"))</f>
        <v/>
      </c>
      <c r="I7886" s="84" t="str">
        <f aca="false">IF(C7886="","",C7886*IF(Settings!$B$22=Settings!$C$6,1,IF(Settings!$B$22="USD",1/INDEX(Settings!$B$29:$B$40,MONTH(A7886)),INDEX(Settings!$B$29:$B$40,MONTH(A7886)))))</f>
        <v/>
      </c>
    </row>
    <row r="7887" customFormat="false" ht="15" hidden="false" customHeight="false" outlineLevel="0" collapsed="false">
      <c r="H7887" s="0" t="str">
        <f aca="false">IF(B7887="","",IF(COUNTIF(Campaigns!$A$7:$A$300,B7887)&gt;0,"✓","⚠ add to Campaigns tab"))</f>
        <v/>
      </c>
      <c r="I7887" s="84" t="str">
        <f aca="false">IF(C7887="","",C7887*IF(Settings!$B$22=Settings!$C$6,1,IF(Settings!$B$22="USD",1/INDEX(Settings!$B$29:$B$40,MONTH(A7887)),INDEX(Settings!$B$29:$B$40,MONTH(A7887)))))</f>
        <v/>
      </c>
    </row>
    <row r="7888" customFormat="false" ht="15" hidden="false" customHeight="false" outlineLevel="0" collapsed="false">
      <c r="H7888" s="0" t="str">
        <f aca="false">IF(B7888="","",IF(COUNTIF(Campaigns!$A$7:$A$300,B7888)&gt;0,"✓","⚠ add to Campaigns tab"))</f>
        <v/>
      </c>
      <c r="I7888" s="84" t="str">
        <f aca="false">IF(C7888="","",C7888*IF(Settings!$B$22=Settings!$C$6,1,IF(Settings!$B$22="USD",1/INDEX(Settings!$B$29:$B$40,MONTH(A7888)),INDEX(Settings!$B$29:$B$40,MONTH(A7888)))))</f>
        <v/>
      </c>
    </row>
    <row r="7889" customFormat="false" ht="15" hidden="false" customHeight="false" outlineLevel="0" collapsed="false">
      <c r="H7889" s="0" t="str">
        <f aca="false">IF(B7889="","",IF(COUNTIF(Campaigns!$A$7:$A$300,B7889)&gt;0,"✓","⚠ add to Campaigns tab"))</f>
        <v/>
      </c>
      <c r="I7889" s="84" t="str">
        <f aca="false">IF(C7889="","",C7889*IF(Settings!$B$22=Settings!$C$6,1,IF(Settings!$B$22="USD",1/INDEX(Settings!$B$29:$B$40,MONTH(A7889)),INDEX(Settings!$B$29:$B$40,MONTH(A7889)))))</f>
        <v/>
      </c>
    </row>
    <row r="7890" customFormat="false" ht="15" hidden="false" customHeight="false" outlineLevel="0" collapsed="false">
      <c r="H7890" s="0" t="str">
        <f aca="false">IF(B7890="","",IF(COUNTIF(Campaigns!$A$7:$A$300,B7890)&gt;0,"✓","⚠ add to Campaigns tab"))</f>
        <v/>
      </c>
      <c r="I7890" s="84" t="str">
        <f aca="false">IF(C7890="","",C7890*IF(Settings!$B$22=Settings!$C$6,1,IF(Settings!$B$22="USD",1/INDEX(Settings!$B$29:$B$40,MONTH(A7890)),INDEX(Settings!$B$29:$B$40,MONTH(A7890)))))</f>
        <v/>
      </c>
    </row>
    <row r="7891" customFormat="false" ht="15" hidden="false" customHeight="false" outlineLevel="0" collapsed="false">
      <c r="H7891" s="0" t="str">
        <f aca="false">IF(B7891="","",IF(COUNTIF(Campaigns!$A$7:$A$300,B7891)&gt;0,"✓","⚠ add to Campaigns tab"))</f>
        <v/>
      </c>
      <c r="I7891" s="84" t="str">
        <f aca="false">IF(C7891="","",C7891*IF(Settings!$B$22=Settings!$C$6,1,IF(Settings!$B$22="USD",1/INDEX(Settings!$B$29:$B$40,MONTH(A7891)),INDEX(Settings!$B$29:$B$40,MONTH(A7891)))))</f>
        <v/>
      </c>
    </row>
    <row r="7892" customFormat="false" ht="15" hidden="false" customHeight="false" outlineLevel="0" collapsed="false">
      <c r="H7892" s="0" t="str">
        <f aca="false">IF(B7892="","",IF(COUNTIF(Campaigns!$A$7:$A$300,B7892)&gt;0,"✓","⚠ add to Campaigns tab"))</f>
        <v/>
      </c>
      <c r="I7892" s="84" t="str">
        <f aca="false">IF(C7892="","",C7892*IF(Settings!$B$22=Settings!$C$6,1,IF(Settings!$B$22="USD",1/INDEX(Settings!$B$29:$B$40,MONTH(A7892)),INDEX(Settings!$B$29:$B$40,MONTH(A7892)))))</f>
        <v/>
      </c>
    </row>
    <row r="7893" customFormat="false" ht="15" hidden="false" customHeight="false" outlineLevel="0" collapsed="false">
      <c r="H7893" s="0" t="str">
        <f aca="false">IF(B7893="","",IF(COUNTIF(Campaigns!$A$7:$A$300,B7893)&gt;0,"✓","⚠ add to Campaigns tab"))</f>
        <v/>
      </c>
      <c r="I7893" s="84" t="str">
        <f aca="false">IF(C7893="","",C7893*IF(Settings!$B$22=Settings!$C$6,1,IF(Settings!$B$22="USD",1/INDEX(Settings!$B$29:$B$40,MONTH(A7893)),INDEX(Settings!$B$29:$B$40,MONTH(A7893)))))</f>
        <v/>
      </c>
    </row>
    <row r="7894" customFormat="false" ht="15" hidden="false" customHeight="false" outlineLevel="0" collapsed="false">
      <c r="H7894" s="0" t="str">
        <f aca="false">IF(B7894="","",IF(COUNTIF(Campaigns!$A$7:$A$300,B7894)&gt;0,"✓","⚠ add to Campaigns tab"))</f>
        <v/>
      </c>
      <c r="I7894" s="84" t="str">
        <f aca="false">IF(C7894="","",C7894*IF(Settings!$B$22=Settings!$C$6,1,IF(Settings!$B$22="USD",1/INDEX(Settings!$B$29:$B$40,MONTH(A7894)),INDEX(Settings!$B$29:$B$40,MONTH(A7894)))))</f>
        <v/>
      </c>
    </row>
    <row r="7895" customFormat="false" ht="15" hidden="false" customHeight="false" outlineLevel="0" collapsed="false">
      <c r="H7895" s="0" t="str">
        <f aca="false">IF(B7895="","",IF(COUNTIF(Campaigns!$A$7:$A$300,B7895)&gt;0,"✓","⚠ add to Campaigns tab"))</f>
        <v/>
      </c>
      <c r="I7895" s="84" t="str">
        <f aca="false">IF(C7895="","",C7895*IF(Settings!$B$22=Settings!$C$6,1,IF(Settings!$B$22="USD",1/INDEX(Settings!$B$29:$B$40,MONTH(A7895)),INDEX(Settings!$B$29:$B$40,MONTH(A7895)))))</f>
        <v/>
      </c>
    </row>
    <row r="7896" customFormat="false" ht="15" hidden="false" customHeight="false" outlineLevel="0" collapsed="false">
      <c r="H7896" s="0" t="str">
        <f aca="false">IF(B7896="","",IF(COUNTIF(Campaigns!$A$7:$A$300,B7896)&gt;0,"✓","⚠ add to Campaigns tab"))</f>
        <v/>
      </c>
      <c r="I7896" s="84" t="str">
        <f aca="false">IF(C7896="","",C7896*IF(Settings!$B$22=Settings!$C$6,1,IF(Settings!$B$22="USD",1/INDEX(Settings!$B$29:$B$40,MONTH(A7896)),INDEX(Settings!$B$29:$B$40,MONTH(A7896)))))</f>
        <v/>
      </c>
    </row>
    <row r="7897" customFormat="false" ht="15" hidden="false" customHeight="false" outlineLevel="0" collapsed="false">
      <c r="H7897" s="0" t="str">
        <f aca="false">IF(B7897="","",IF(COUNTIF(Campaigns!$A$7:$A$300,B7897)&gt;0,"✓","⚠ add to Campaigns tab"))</f>
        <v/>
      </c>
      <c r="I7897" s="84" t="str">
        <f aca="false">IF(C7897="","",C7897*IF(Settings!$B$22=Settings!$C$6,1,IF(Settings!$B$22="USD",1/INDEX(Settings!$B$29:$B$40,MONTH(A7897)),INDEX(Settings!$B$29:$B$40,MONTH(A7897)))))</f>
        <v/>
      </c>
    </row>
    <row r="7898" customFormat="false" ht="15" hidden="false" customHeight="false" outlineLevel="0" collapsed="false">
      <c r="H7898" s="0" t="str">
        <f aca="false">IF(B7898="","",IF(COUNTIF(Campaigns!$A$7:$A$300,B7898)&gt;0,"✓","⚠ add to Campaigns tab"))</f>
        <v/>
      </c>
      <c r="I7898" s="84" t="str">
        <f aca="false">IF(C7898="","",C7898*IF(Settings!$B$22=Settings!$C$6,1,IF(Settings!$B$22="USD",1/INDEX(Settings!$B$29:$B$40,MONTH(A7898)),INDEX(Settings!$B$29:$B$40,MONTH(A7898)))))</f>
        <v/>
      </c>
    </row>
    <row r="7899" customFormat="false" ht="15" hidden="false" customHeight="false" outlineLevel="0" collapsed="false">
      <c r="H7899" s="0" t="str">
        <f aca="false">IF(B7899="","",IF(COUNTIF(Campaigns!$A$7:$A$300,B7899)&gt;0,"✓","⚠ add to Campaigns tab"))</f>
        <v/>
      </c>
      <c r="I7899" s="84" t="str">
        <f aca="false">IF(C7899="","",C7899*IF(Settings!$B$22=Settings!$C$6,1,IF(Settings!$B$22="USD",1/INDEX(Settings!$B$29:$B$40,MONTH(A7899)),INDEX(Settings!$B$29:$B$40,MONTH(A7899)))))</f>
        <v/>
      </c>
    </row>
    <row r="7900" customFormat="false" ht="15" hidden="false" customHeight="false" outlineLevel="0" collapsed="false">
      <c r="H7900" s="0" t="str">
        <f aca="false">IF(B7900="","",IF(COUNTIF(Campaigns!$A$7:$A$300,B7900)&gt;0,"✓","⚠ add to Campaigns tab"))</f>
        <v/>
      </c>
      <c r="I7900" s="84" t="str">
        <f aca="false">IF(C7900="","",C7900*IF(Settings!$B$22=Settings!$C$6,1,IF(Settings!$B$22="USD",1/INDEX(Settings!$B$29:$B$40,MONTH(A7900)),INDEX(Settings!$B$29:$B$40,MONTH(A7900)))))</f>
        <v/>
      </c>
    </row>
    <row r="7901" customFormat="false" ht="15" hidden="false" customHeight="false" outlineLevel="0" collapsed="false">
      <c r="H7901" s="0" t="str">
        <f aca="false">IF(B7901="","",IF(COUNTIF(Campaigns!$A$7:$A$300,B7901)&gt;0,"✓","⚠ add to Campaigns tab"))</f>
        <v/>
      </c>
      <c r="I7901" s="84" t="str">
        <f aca="false">IF(C7901="","",C7901*IF(Settings!$B$22=Settings!$C$6,1,IF(Settings!$B$22="USD",1/INDEX(Settings!$B$29:$B$40,MONTH(A7901)),INDEX(Settings!$B$29:$B$40,MONTH(A7901)))))</f>
        <v/>
      </c>
    </row>
    <row r="7902" customFormat="false" ht="15" hidden="false" customHeight="false" outlineLevel="0" collapsed="false">
      <c r="H7902" s="0" t="str">
        <f aca="false">IF(B7902="","",IF(COUNTIF(Campaigns!$A$7:$A$300,B7902)&gt;0,"✓","⚠ add to Campaigns tab"))</f>
        <v/>
      </c>
      <c r="I7902" s="84" t="str">
        <f aca="false">IF(C7902="","",C7902*IF(Settings!$B$22=Settings!$C$6,1,IF(Settings!$B$22="USD",1/INDEX(Settings!$B$29:$B$40,MONTH(A7902)),INDEX(Settings!$B$29:$B$40,MONTH(A7902)))))</f>
        <v/>
      </c>
    </row>
    <row r="7903" customFormat="false" ht="15" hidden="false" customHeight="false" outlineLevel="0" collapsed="false">
      <c r="H7903" s="0" t="str">
        <f aca="false">IF(B7903="","",IF(COUNTIF(Campaigns!$A$7:$A$300,B7903)&gt;0,"✓","⚠ add to Campaigns tab"))</f>
        <v/>
      </c>
      <c r="I7903" s="84" t="str">
        <f aca="false">IF(C7903="","",C7903*IF(Settings!$B$22=Settings!$C$6,1,IF(Settings!$B$22="USD",1/INDEX(Settings!$B$29:$B$40,MONTH(A7903)),INDEX(Settings!$B$29:$B$40,MONTH(A7903)))))</f>
        <v/>
      </c>
    </row>
    <row r="7904" customFormat="false" ht="15" hidden="false" customHeight="false" outlineLevel="0" collapsed="false">
      <c r="H7904" s="0" t="str">
        <f aca="false">IF(B7904="","",IF(COUNTIF(Campaigns!$A$7:$A$300,B7904)&gt;0,"✓","⚠ add to Campaigns tab"))</f>
        <v/>
      </c>
      <c r="I7904" s="84" t="str">
        <f aca="false">IF(C7904="","",C7904*IF(Settings!$B$22=Settings!$C$6,1,IF(Settings!$B$22="USD",1/INDEX(Settings!$B$29:$B$40,MONTH(A7904)),INDEX(Settings!$B$29:$B$40,MONTH(A7904)))))</f>
        <v/>
      </c>
    </row>
    <row r="7905" customFormat="false" ht="15" hidden="false" customHeight="false" outlineLevel="0" collapsed="false">
      <c r="H7905" s="0" t="str">
        <f aca="false">IF(B7905="","",IF(COUNTIF(Campaigns!$A$7:$A$300,B7905)&gt;0,"✓","⚠ add to Campaigns tab"))</f>
        <v/>
      </c>
      <c r="I7905" s="84" t="str">
        <f aca="false">IF(C7905="","",C7905*IF(Settings!$B$22=Settings!$C$6,1,IF(Settings!$B$22="USD",1/INDEX(Settings!$B$29:$B$40,MONTH(A7905)),INDEX(Settings!$B$29:$B$40,MONTH(A7905)))))</f>
        <v/>
      </c>
    </row>
    <row r="7906" customFormat="false" ht="15" hidden="false" customHeight="false" outlineLevel="0" collapsed="false">
      <c r="H7906" s="0" t="str">
        <f aca="false">IF(B7906="","",IF(COUNTIF(Campaigns!$A$7:$A$300,B7906)&gt;0,"✓","⚠ add to Campaigns tab"))</f>
        <v/>
      </c>
      <c r="I7906" s="84" t="str">
        <f aca="false">IF(C7906="","",C7906*IF(Settings!$B$22=Settings!$C$6,1,IF(Settings!$B$22="USD",1/INDEX(Settings!$B$29:$B$40,MONTH(A7906)),INDEX(Settings!$B$29:$B$40,MONTH(A7906)))))</f>
        <v/>
      </c>
    </row>
    <row r="7907" customFormat="false" ht="15" hidden="false" customHeight="false" outlineLevel="0" collapsed="false">
      <c r="H7907" s="0" t="str">
        <f aca="false">IF(B7907="","",IF(COUNTIF(Campaigns!$A$7:$A$300,B7907)&gt;0,"✓","⚠ add to Campaigns tab"))</f>
        <v/>
      </c>
      <c r="I7907" s="84" t="str">
        <f aca="false">IF(C7907="","",C7907*IF(Settings!$B$22=Settings!$C$6,1,IF(Settings!$B$22="USD",1/INDEX(Settings!$B$29:$B$40,MONTH(A7907)),INDEX(Settings!$B$29:$B$40,MONTH(A7907)))))</f>
        <v/>
      </c>
    </row>
    <row r="7908" customFormat="false" ht="15" hidden="false" customHeight="false" outlineLevel="0" collapsed="false">
      <c r="H7908" s="0" t="str">
        <f aca="false">IF(B7908="","",IF(COUNTIF(Campaigns!$A$7:$A$300,B7908)&gt;0,"✓","⚠ add to Campaigns tab"))</f>
        <v/>
      </c>
      <c r="I7908" s="84" t="str">
        <f aca="false">IF(C7908="","",C7908*IF(Settings!$B$22=Settings!$C$6,1,IF(Settings!$B$22="USD",1/INDEX(Settings!$B$29:$B$40,MONTH(A7908)),INDEX(Settings!$B$29:$B$40,MONTH(A7908)))))</f>
        <v/>
      </c>
    </row>
    <row r="7909" customFormat="false" ht="15" hidden="false" customHeight="false" outlineLevel="0" collapsed="false">
      <c r="H7909" s="0" t="str">
        <f aca="false">IF(B7909="","",IF(COUNTIF(Campaigns!$A$7:$A$300,B7909)&gt;0,"✓","⚠ add to Campaigns tab"))</f>
        <v/>
      </c>
      <c r="I7909" s="84" t="str">
        <f aca="false">IF(C7909="","",C7909*IF(Settings!$B$22=Settings!$C$6,1,IF(Settings!$B$22="USD",1/INDEX(Settings!$B$29:$B$40,MONTH(A7909)),INDEX(Settings!$B$29:$B$40,MONTH(A7909)))))</f>
        <v/>
      </c>
    </row>
    <row r="7910" customFormat="false" ht="15" hidden="false" customHeight="false" outlineLevel="0" collapsed="false">
      <c r="H7910" s="0" t="str">
        <f aca="false">IF(B7910="","",IF(COUNTIF(Campaigns!$A$7:$A$300,B7910)&gt;0,"✓","⚠ add to Campaigns tab"))</f>
        <v/>
      </c>
      <c r="I7910" s="84" t="str">
        <f aca="false">IF(C7910="","",C7910*IF(Settings!$B$22=Settings!$C$6,1,IF(Settings!$B$22="USD",1/INDEX(Settings!$B$29:$B$40,MONTH(A7910)),INDEX(Settings!$B$29:$B$40,MONTH(A7910)))))</f>
        <v/>
      </c>
    </row>
    <row r="7911" customFormat="false" ht="15" hidden="false" customHeight="false" outlineLevel="0" collapsed="false">
      <c r="H7911" s="0" t="str">
        <f aca="false">IF(B7911="","",IF(COUNTIF(Campaigns!$A$7:$A$300,B7911)&gt;0,"✓","⚠ add to Campaigns tab"))</f>
        <v/>
      </c>
      <c r="I7911" s="84" t="str">
        <f aca="false">IF(C7911="","",C7911*IF(Settings!$B$22=Settings!$C$6,1,IF(Settings!$B$22="USD",1/INDEX(Settings!$B$29:$B$40,MONTH(A7911)),INDEX(Settings!$B$29:$B$40,MONTH(A7911)))))</f>
        <v/>
      </c>
    </row>
    <row r="7912" customFormat="false" ht="15" hidden="false" customHeight="false" outlineLevel="0" collapsed="false">
      <c r="H7912" s="0" t="str">
        <f aca="false">IF(B7912="","",IF(COUNTIF(Campaigns!$A$7:$A$300,B7912)&gt;0,"✓","⚠ add to Campaigns tab"))</f>
        <v/>
      </c>
      <c r="I7912" s="84" t="str">
        <f aca="false">IF(C7912="","",C7912*IF(Settings!$B$22=Settings!$C$6,1,IF(Settings!$B$22="USD",1/INDEX(Settings!$B$29:$B$40,MONTH(A7912)),INDEX(Settings!$B$29:$B$40,MONTH(A7912)))))</f>
        <v/>
      </c>
    </row>
    <row r="7913" customFormat="false" ht="15" hidden="false" customHeight="false" outlineLevel="0" collapsed="false">
      <c r="H7913" s="0" t="str">
        <f aca="false">IF(B7913="","",IF(COUNTIF(Campaigns!$A$7:$A$300,B7913)&gt;0,"✓","⚠ add to Campaigns tab"))</f>
        <v/>
      </c>
      <c r="I7913" s="84" t="str">
        <f aca="false">IF(C7913="","",C7913*IF(Settings!$B$22=Settings!$C$6,1,IF(Settings!$B$22="USD",1/INDEX(Settings!$B$29:$B$40,MONTH(A7913)),INDEX(Settings!$B$29:$B$40,MONTH(A7913)))))</f>
        <v/>
      </c>
    </row>
    <row r="7914" customFormat="false" ht="15" hidden="false" customHeight="false" outlineLevel="0" collapsed="false">
      <c r="H7914" s="0" t="str">
        <f aca="false">IF(B7914="","",IF(COUNTIF(Campaigns!$A$7:$A$300,B7914)&gt;0,"✓","⚠ add to Campaigns tab"))</f>
        <v/>
      </c>
      <c r="I7914" s="84" t="str">
        <f aca="false">IF(C7914="","",C7914*IF(Settings!$B$22=Settings!$C$6,1,IF(Settings!$B$22="USD",1/INDEX(Settings!$B$29:$B$40,MONTH(A7914)),INDEX(Settings!$B$29:$B$40,MONTH(A7914)))))</f>
        <v/>
      </c>
    </row>
    <row r="7915" customFormat="false" ht="15" hidden="false" customHeight="false" outlineLevel="0" collapsed="false">
      <c r="H7915" s="0" t="str">
        <f aca="false">IF(B7915="","",IF(COUNTIF(Campaigns!$A$7:$A$300,B7915)&gt;0,"✓","⚠ add to Campaigns tab"))</f>
        <v/>
      </c>
      <c r="I7915" s="84" t="str">
        <f aca="false">IF(C7915="","",C7915*IF(Settings!$B$22=Settings!$C$6,1,IF(Settings!$B$22="USD",1/INDEX(Settings!$B$29:$B$40,MONTH(A7915)),INDEX(Settings!$B$29:$B$40,MONTH(A7915)))))</f>
        <v/>
      </c>
    </row>
    <row r="7916" customFormat="false" ht="15" hidden="false" customHeight="false" outlineLevel="0" collapsed="false">
      <c r="H7916" s="0" t="str">
        <f aca="false">IF(B7916="","",IF(COUNTIF(Campaigns!$A$7:$A$300,B7916)&gt;0,"✓","⚠ add to Campaigns tab"))</f>
        <v/>
      </c>
      <c r="I7916" s="84" t="str">
        <f aca="false">IF(C7916="","",C7916*IF(Settings!$B$22=Settings!$C$6,1,IF(Settings!$B$22="USD",1/INDEX(Settings!$B$29:$B$40,MONTH(A7916)),INDEX(Settings!$B$29:$B$40,MONTH(A7916)))))</f>
        <v/>
      </c>
    </row>
    <row r="7917" customFormat="false" ht="15" hidden="false" customHeight="false" outlineLevel="0" collapsed="false">
      <c r="H7917" s="0" t="str">
        <f aca="false">IF(B7917="","",IF(COUNTIF(Campaigns!$A$7:$A$300,B7917)&gt;0,"✓","⚠ add to Campaigns tab"))</f>
        <v/>
      </c>
      <c r="I7917" s="84" t="str">
        <f aca="false">IF(C7917="","",C7917*IF(Settings!$B$22=Settings!$C$6,1,IF(Settings!$B$22="USD",1/INDEX(Settings!$B$29:$B$40,MONTH(A7917)),INDEX(Settings!$B$29:$B$40,MONTH(A7917)))))</f>
        <v/>
      </c>
    </row>
    <row r="7918" customFormat="false" ht="15" hidden="false" customHeight="false" outlineLevel="0" collapsed="false">
      <c r="H7918" s="0" t="str">
        <f aca="false">IF(B7918="","",IF(COUNTIF(Campaigns!$A$7:$A$300,B7918)&gt;0,"✓","⚠ add to Campaigns tab"))</f>
        <v/>
      </c>
      <c r="I7918" s="84" t="str">
        <f aca="false">IF(C7918="","",C7918*IF(Settings!$B$22=Settings!$C$6,1,IF(Settings!$B$22="USD",1/INDEX(Settings!$B$29:$B$40,MONTH(A7918)),INDEX(Settings!$B$29:$B$40,MONTH(A7918)))))</f>
        <v/>
      </c>
    </row>
    <row r="7919" customFormat="false" ht="15" hidden="false" customHeight="false" outlineLevel="0" collapsed="false">
      <c r="H7919" s="0" t="str">
        <f aca="false">IF(B7919="","",IF(COUNTIF(Campaigns!$A$7:$A$300,B7919)&gt;0,"✓","⚠ add to Campaigns tab"))</f>
        <v/>
      </c>
      <c r="I7919" s="84" t="str">
        <f aca="false">IF(C7919="","",C7919*IF(Settings!$B$22=Settings!$C$6,1,IF(Settings!$B$22="USD",1/INDEX(Settings!$B$29:$B$40,MONTH(A7919)),INDEX(Settings!$B$29:$B$40,MONTH(A7919)))))</f>
        <v/>
      </c>
    </row>
    <row r="7920" customFormat="false" ht="15" hidden="false" customHeight="false" outlineLevel="0" collapsed="false">
      <c r="H7920" s="0" t="str">
        <f aca="false">IF(B7920="","",IF(COUNTIF(Campaigns!$A$7:$A$300,B7920)&gt;0,"✓","⚠ add to Campaigns tab"))</f>
        <v/>
      </c>
      <c r="I7920" s="84" t="str">
        <f aca="false">IF(C7920="","",C7920*IF(Settings!$B$22=Settings!$C$6,1,IF(Settings!$B$22="USD",1/INDEX(Settings!$B$29:$B$40,MONTH(A7920)),INDEX(Settings!$B$29:$B$40,MONTH(A7920)))))</f>
        <v/>
      </c>
    </row>
    <row r="7921" customFormat="false" ht="15" hidden="false" customHeight="false" outlineLevel="0" collapsed="false">
      <c r="H7921" s="0" t="str">
        <f aca="false">IF(B7921="","",IF(COUNTIF(Campaigns!$A$7:$A$300,B7921)&gt;0,"✓","⚠ add to Campaigns tab"))</f>
        <v/>
      </c>
      <c r="I7921" s="84" t="str">
        <f aca="false">IF(C7921="","",C7921*IF(Settings!$B$22=Settings!$C$6,1,IF(Settings!$B$22="USD",1/INDEX(Settings!$B$29:$B$40,MONTH(A7921)),INDEX(Settings!$B$29:$B$40,MONTH(A7921)))))</f>
        <v/>
      </c>
    </row>
    <row r="7922" customFormat="false" ht="15" hidden="false" customHeight="false" outlineLevel="0" collapsed="false">
      <c r="H7922" s="0" t="str">
        <f aca="false">IF(B7922="","",IF(COUNTIF(Campaigns!$A$7:$A$300,B7922)&gt;0,"✓","⚠ add to Campaigns tab"))</f>
        <v/>
      </c>
      <c r="I7922" s="84" t="str">
        <f aca="false">IF(C7922="","",C7922*IF(Settings!$B$22=Settings!$C$6,1,IF(Settings!$B$22="USD",1/INDEX(Settings!$B$29:$B$40,MONTH(A7922)),INDEX(Settings!$B$29:$B$40,MONTH(A7922)))))</f>
        <v/>
      </c>
    </row>
    <row r="7923" customFormat="false" ht="15" hidden="false" customHeight="false" outlineLevel="0" collapsed="false">
      <c r="H7923" s="0" t="str">
        <f aca="false">IF(B7923="","",IF(COUNTIF(Campaigns!$A$7:$A$300,B7923)&gt;0,"✓","⚠ add to Campaigns tab"))</f>
        <v/>
      </c>
      <c r="I7923" s="84" t="str">
        <f aca="false">IF(C7923="","",C7923*IF(Settings!$B$22=Settings!$C$6,1,IF(Settings!$B$22="USD",1/INDEX(Settings!$B$29:$B$40,MONTH(A7923)),INDEX(Settings!$B$29:$B$40,MONTH(A7923)))))</f>
        <v/>
      </c>
    </row>
    <row r="7924" customFormat="false" ht="15" hidden="false" customHeight="false" outlineLevel="0" collapsed="false">
      <c r="H7924" s="0" t="str">
        <f aca="false">IF(B7924="","",IF(COUNTIF(Campaigns!$A$7:$A$300,B7924)&gt;0,"✓","⚠ add to Campaigns tab"))</f>
        <v/>
      </c>
      <c r="I7924" s="84" t="str">
        <f aca="false">IF(C7924="","",C7924*IF(Settings!$B$22=Settings!$C$6,1,IF(Settings!$B$22="USD",1/INDEX(Settings!$B$29:$B$40,MONTH(A7924)),INDEX(Settings!$B$29:$B$40,MONTH(A7924)))))</f>
        <v/>
      </c>
    </row>
    <row r="7925" customFormat="false" ht="15" hidden="false" customHeight="false" outlineLevel="0" collapsed="false">
      <c r="H7925" s="0" t="str">
        <f aca="false">IF(B7925="","",IF(COUNTIF(Campaigns!$A$7:$A$300,B7925)&gt;0,"✓","⚠ add to Campaigns tab"))</f>
        <v/>
      </c>
      <c r="I7925" s="84" t="str">
        <f aca="false">IF(C7925="","",C7925*IF(Settings!$B$22=Settings!$C$6,1,IF(Settings!$B$22="USD",1/INDEX(Settings!$B$29:$B$40,MONTH(A7925)),INDEX(Settings!$B$29:$B$40,MONTH(A7925)))))</f>
        <v/>
      </c>
    </row>
    <row r="7926" customFormat="false" ht="15" hidden="false" customHeight="false" outlineLevel="0" collapsed="false">
      <c r="H7926" s="0" t="str">
        <f aca="false">IF(B7926="","",IF(COUNTIF(Campaigns!$A$7:$A$300,B7926)&gt;0,"✓","⚠ add to Campaigns tab"))</f>
        <v/>
      </c>
      <c r="I7926" s="84" t="str">
        <f aca="false">IF(C7926="","",C7926*IF(Settings!$B$22=Settings!$C$6,1,IF(Settings!$B$22="USD",1/INDEX(Settings!$B$29:$B$40,MONTH(A7926)),INDEX(Settings!$B$29:$B$40,MONTH(A7926)))))</f>
        <v/>
      </c>
    </row>
    <row r="7927" customFormat="false" ht="15" hidden="false" customHeight="false" outlineLevel="0" collapsed="false">
      <c r="H7927" s="0" t="str">
        <f aca="false">IF(B7927="","",IF(COUNTIF(Campaigns!$A$7:$A$300,B7927)&gt;0,"✓","⚠ add to Campaigns tab"))</f>
        <v/>
      </c>
      <c r="I7927" s="84" t="str">
        <f aca="false">IF(C7927="","",C7927*IF(Settings!$B$22=Settings!$C$6,1,IF(Settings!$B$22="USD",1/INDEX(Settings!$B$29:$B$40,MONTH(A7927)),INDEX(Settings!$B$29:$B$40,MONTH(A7927)))))</f>
        <v/>
      </c>
    </row>
    <row r="7928" customFormat="false" ht="15" hidden="false" customHeight="false" outlineLevel="0" collapsed="false">
      <c r="H7928" s="0" t="str">
        <f aca="false">IF(B7928="","",IF(COUNTIF(Campaigns!$A$7:$A$300,B7928)&gt;0,"✓","⚠ add to Campaigns tab"))</f>
        <v/>
      </c>
      <c r="I7928" s="84" t="str">
        <f aca="false">IF(C7928="","",C7928*IF(Settings!$B$22=Settings!$C$6,1,IF(Settings!$B$22="USD",1/INDEX(Settings!$B$29:$B$40,MONTH(A7928)),INDEX(Settings!$B$29:$B$40,MONTH(A7928)))))</f>
        <v/>
      </c>
    </row>
    <row r="7929" customFormat="false" ht="15" hidden="false" customHeight="false" outlineLevel="0" collapsed="false">
      <c r="H7929" s="0" t="str">
        <f aca="false">IF(B7929="","",IF(COUNTIF(Campaigns!$A$7:$A$300,B7929)&gt;0,"✓","⚠ add to Campaigns tab"))</f>
        <v/>
      </c>
      <c r="I7929" s="84" t="str">
        <f aca="false">IF(C7929="","",C7929*IF(Settings!$B$22=Settings!$C$6,1,IF(Settings!$B$22="USD",1/INDEX(Settings!$B$29:$B$40,MONTH(A7929)),INDEX(Settings!$B$29:$B$40,MONTH(A7929)))))</f>
        <v/>
      </c>
    </row>
    <row r="7930" customFormat="false" ht="15" hidden="false" customHeight="false" outlineLevel="0" collapsed="false">
      <c r="H7930" s="0" t="str">
        <f aca="false">IF(B7930="","",IF(COUNTIF(Campaigns!$A$7:$A$300,B7930)&gt;0,"✓","⚠ add to Campaigns tab"))</f>
        <v/>
      </c>
      <c r="I7930" s="84" t="str">
        <f aca="false">IF(C7930="","",C7930*IF(Settings!$B$22=Settings!$C$6,1,IF(Settings!$B$22="USD",1/INDEX(Settings!$B$29:$B$40,MONTH(A7930)),INDEX(Settings!$B$29:$B$40,MONTH(A7930)))))</f>
        <v/>
      </c>
    </row>
    <row r="7931" customFormat="false" ht="15" hidden="false" customHeight="false" outlineLevel="0" collapsed="false">
      <c r="H7931" s="0" t="str">
        <f aca="false">IF(B7931="","",IF(COUNTIF(Campaigns!$A$7:$A$300,B7931)&gt;0,"✓","⚠ add to Campaigns tab"))</f>
        <v/>
      </c>
      <c r="I7931" s="84" t="str">
        <f aca="false">IF(C7931="","",C7931*IF(Settings!$B$22=Settings!$C$6,1,IF(Settings!$B$22="USD",1/INDEX(Settings!$B$29:$B$40,MONTH(A7931)),INDEX(Settings!$B$29:$B$40,MONTH(A7931)))))</f>
        <v/>
      </c>
    </row>
    <row r="7932" customFormat="false" ht="15" hidden="false" customHeight="false" outlineLevel="0" collapsed="false">
      <c r="H7932" s="0" t="str">
        <f aca="false">IF(B7932="","",IF(COUNTIF(Campaigns!$A$7:$A$300,B7932)&gt;0,"✓","⚠ add to Campaigns tab"))</f>
        <v/>
      </c>
      <c r="I7932" s="84" t="str">
        <f aca="false">IF(C7932="","",C7932*IF(Settings!$B$22=Settings!$C$6,1,IF(Settings!$B$22="USD",1/INDEX(Settings!$B$29:$B$40,MONTH(A7932)),INDEX(Settings!$B$29:$B$40,MONTH(A7932)))))</f>
        <v/>
      </c>
    </row>
    <row r="7933" customFormat="false" ht="15" hidden="false" customHeight="false" outlineLevel="0" collapsed="false">
      <c r="H7933" s="0" t="str">
        <f aca="false">IF(B7933="","",IF(COUNTIF(Campaigns!$A$7:$A$300,B7933)&gt;0,"✓","⚠ add to Campaigns tab"))</f>
        <v/>
      </c>
      <c r="I7933" s="84" t="str">
        <f aca="false">IF(C7933="","",C7933*IF(Settings!$B$22=Settings!$C$6,1,IF(Settings!$B$22="USD",1/INDEX(Settings!$B$29:$B$40,MONTH(A7933)),INDEX(Settings!$B$29:$B$40,MONTH(A7933)))))</f>
        <v/>
      </c>
    </row>
    <row r="7934" customFormat="false" ht="15" hidden="false" customHeight="false" outlineLevel="0" collapsed="false">
      <c r="H7934" s="0" t="str">
        <f aca="false">IF(B7934="","",IF(COUNTIF(Campaigns!$A$7:$A$300,B7934)&gt;0,"✓","⚠ add to Campaigns tab"))</f>
        <v/>
      </c>
      <c r="I7934" s="84" t="str">
        <f aca="false">IF(C7934="","",C7934*IF(Settings!$B$22=Settings!$C$6,1,IF(Settings!$B$22="USD",1/INDEX(Settings!$B$29:$B$40,MONTH(A7934)),INDEX(Settings!$B$29:$B$40,MONTH(A7934)))))</f>
        <v/>
      </c>
    </row>
    <row r="7935" customFormat="false" ht="15" hidden="false" customHeight="false" outlineLevel="0" collapsed="false">
      <c r="H7935" s="0" t="str">
        <f aca="false">IF(B7935="","",IF(COUNTIF(Campaigns!$A$7:$A$300,B7935)&gt;0,"✓","⚠ add to Campaigns tab"))</f>
        <v/>
      </c>
      <c r="I7935" s="84" t="str">
        <f aca="false">IF(C7935="","",C7935*IF(Settings!$B$22=Settings!$C$6,1,IF(Settings!$B$22="USD",1/INDEX(Settings!$B$29:$B$40,MONTH(A7935)),INDEX(Settings!$B$29:$B$40,MONTH(A7935)))))</f>
        <v/>
      </c>
    </row>
    <row r="7936" customFormat="false" ht="15" hidden="false" customHeight="false" outlineLevel="0" collapsed="false">
      <c r="H7936" s="0" t="str">
        <f aca="false">IF(B7936="","",IF(COUNTIF(Campaigns!$A$7:$A$300,B7936)&gt;0,"✓","⚠ add to Campaigns tab"))</f>
        <v/>
      </c>
      <c r="I7936" s="84" t="str">
        <f aca="false">IF(C7936="","",C7936*IF(Settings!$B$22=Settings!$C$6,1,IF(Settings!$B$22="USD",1/INDEX(Settings!$B$29:$B$40,MONTH(A7936)),INDEX(Settings!$B$29:$B$40,MONTH(A7936)))))</f>
        <v/>
      </c>
    </row>
    <row r="7937" customFormat="false" ht="15" hidden="false" customHeight="false" outlineLevel="0" collapsed="false">
      <c r="H7937" s="0" t="str">
        <f aca="false">IF(B7937="","",IF(COUNTIF(Campaigns!$A$7:$A$300,B7937)&gt;0,"✓","⚠ add to Campaigns tab"))</f>
        <v/>
      </c>
      <c r="I7937" s="84" t="str">
        <f aca="false">IF(C7937="","",C7937*IF(Settings!$B$22=Settings!$C$6,1,IF(Settings!$B$22="USD",1/INDEX(Settings!$B$29:$B$40,MONTH(A7937)),INDEX(Settings!$B$29:$B$40,MONTH(A7937)))))</f>
        <v/>
      </c>
    </row>
    <row r="7938" customFormat="false" ht="15" hidden="false" customHeight="false" outlineLevel="0" collapsed="false">
      <c r="H7938" s="0" t="str">
        <f aca="false">IF(B7938="","",IF(COUNTIF(Campaigns!$A$7:$A$300,B7938)&gt;0,"✓","⚠ add to Campaigns tab"))</f>
        <v/>
      </c>
      <c r="I7938" s="84" t="str">
        <f aca="false">IF(C7938="","",C7938*IF(Settings!$B$22=Settings!$C$6,1,IF(Settings!$B$22="USD",1/INDEX(Settings!$B$29:$B$40,MONTH(A7938)),INDEX(Settings!$B$29:$B$40,MONTH(A7938)))))</f>
        <v/>
      </c>
    </row>
    <row r="7939" customFormat="false" ht="15" hidden="false" customHeight="false" outlineLevel="0" collapsed="false">
      <c r="H7939" s="0" t="str">
        <f aca="false">IF(B7939="","",IF(COUNTIF(Campaigns!$A$7:$A$300,B7939)&gt;0,"✓","⚠ add to Campaigns tab"))</f>
        <v/>
      </c>
      <c r="I7939" s="84" t="str">
        <f aca="false">IF(C7939="","",C7939*IF(Settings!$B$22=Settings!$C$6,1,IF(Settings!$B$22="USD",1/INDEX(Settings!$B$29:$B$40,MONTH(A7939)),INDEX(Settings!$B$29:$B$40,MONTH(A7939)))))</f>
        <v/>
      </c>
    </row>
    <row r="7940" customFormat="false" ht="15" hidden="false" customHeight="false" outlineLevel="0" collapsed="false">
      <c r="H7940" s="0" t="str">
        <f aca="false">IF(B7940="","",IF(COUNTIF(Campaigns!$A$7:$A$300,B7940)&gt;0,"✓","⚠ add to Campaigns tab"))</f>
        <v/>
      </c>
      <c r="I7940" s="84" t="str">
        <f aca="false">IF(C7940="","",C7940*IF(Settings!$B$22=Settings!$C$6,1,IF(Settings!$B$22="USD",1/INDEX(Settings!$B$29:$B$40,MONTH(A7940)),INDEX(Settings!$B$29:$B$40,MONTH(A7940)))))</f>
        <v/>
      </c>
    </row>
    <row r="7941" customFormat="false" ht="15" hidden="false" customHeight="false" outlineLevel="0" collapsed="false">
      <c r="H7941" s="0" t="str">
        <f aca="false">IF(B7941="","",IF(COUNTIF(Campaigns!$A$7:$A$300,B7941)&gt;0,"✓","⚠ add to Campaigns tab"))</f>
        <v/>
      </c>
      <c r="I7941" s="84" t="str">
        <f aca="false">IF(C7941="","",C7941*IF(Settings!$B$22=Settings!$C$6,1,IF(Settings!$B$22="USD",1/INDEX(Settings!$B$29:$B$40,MONTH(A7941)),INDEX(Settings!$B$29:$B$40,MONTH(A7941)))))</f>
        <v/>
      </c>
    </row>
    <row r="7942" customFormat="false" ht="15" hidden="false" customHeight="false" outlineLevel="0" collapsed="false">
      <c r="H7942" s="0" t="str">
        <f aca="false">IF(B7942="","",IF(COUNTIF(Campaigns!$A$7:$A$300,B7942)&gt;0,"✓","⚠ add to Campaigns tab"))</f>
        <v/>
      </c>
      <c r="I7942" s="84" t="str">
        <f aca="false">IF(C7942="","",C7942*IF(Settings!$B$22=Settings!$C$6,1,IF(Settings!$B$22="USD",1/INDEX(Settings!$B$29:$B$40,MONTH(A7942)),INDEX(Settings!$B$29:$B$40,MONTH(A7942)))))</f>
        <v/>
      </c>
    </row>
    <row r="7943" customFormat="false" ht="15" hidden="false" customHeight="false" outlineLevel="0" collapsed="false">
      <c r="H7943" s="0" t="str">
        <f aca="false">IF(B7943="","",IF(COUNTIF(Campaigns!$A$7:$A$300,B7943)&gt;0,"✓","⚠ add to Campaigns tab"))</f>
        <v/>
      </c>
      <c r="I7943" s="84" t="str">
        <f aca="false">IF(C7943="","",C7943*IF(Settings!$B$22=Settings!$C$6,1,IF(Settings!$B$22="USD",1/INDEX(Settings!$B$29:$B$40,MONTH(A7943)),INDEX(Settings!$B$29:$B$40,MONTH(A7943)))))</f>
        <v/>
      </c>
    </row>
    <row r="7944" customFormat="false" ht="15" hidden="false" customHeight="false" outlineLevel="0" collapsed="false">
      <c r="H7944" s="0" t="str">
        <f aca="false">IF(B7944="","",IF(COUNTIF(Campaigns!$A$7:$A$300,B7944)&gt;0,"✓","⚠ add to Campaigns tab"))</f>
        <v/>
      </c>
      <c r="I7944" s="84" t="str">
        <f aca="false">IF(C7944="","",C7944*IF(Settings!$B$22=Settings!$C$6,1,IF(Settings!$B$22="USD",1/INDEX(Settings!$B$29:$B$40,MONTH(A7944)),INDEX(Settings!$B$29:$B$40,MONTH(A7944)))))</f>
        <v/>
      </c>
    </row>
    <row r="7945" customFormat="false" ht="15" hidden="false" customHeight="false" outlineLevel="0" collapsed="false">
      <c r="H7945" s="0" t="str">
        <f aca="false">IF(B7945="","",IF(COUNTIF(Campaigns!$A$7:$A$300,B7945)&gt;0,"✓","⚠ add to Campaigns tab"))</f>
        <v/>
      </c>
      <c r="I7945" s="84" t="str">
        <f aca="false">IF(C7945="","",C7945*IF(Settings!$B$22=Settings!$C$6,1,IF(Settings!$B$22="USD",1/INDEX(Settings!$B$29:$B$40,MONTH(A7945)),INDEX(Settings!$B$29:$B$40,MONTH(A7945)))))</f>
        <v/>
      </c>
    </row>
    <row r="7946" customFormat="false" ht="15" hidden="false" customHeight="false" outlineLevel="0" collapsed="false">
      <c r="H7946" s="0" t="str">
        <f aca="false">IF(B7946="","",IF(COUNTIF(Campaigns!$A$7:$A$300,B7946)&gt;0,"✓","⚠ add to Campaigns tab"))</f>
        <v/>
      </c>
      <c r="I7946" s="84" t="str">
        <f aca="false">IF(C7946="","",C7946*IF(Settings!$B$22=Settings!$C$6,1,IF(Settings!$B$22="USD",1/INDEX(Settings!$B$29:$B$40,MONTH(A7946)),INDEX(Settings!$B$29:$B$40,MONTH(A7946)))))</f>
        <v/>
      </c>
    </row>
    <row r="7947" customFormat="false" ht="15" hidden="false" customHeight="false" outlineLevel="0" collapsed="false">
      <c r="H7947" s="0" t="str">
        <f aca="false">IF(B7947="","",IF(COUNTIF(Campaigns!$A$7:$A$300,B7947)&gt;0,"✓","⚠ add to Campaigns tab"))</f>
        <v/>
      </c>
      <c r="I7947" s="84" t="str">
        <f aca="false">IF(C7947="","",C7947*IF(Settings!$B$22=Settings!$C$6,1,IF(Settings!$B$22="USD",1/INDEX(Settings!$B$29:$B$40,MONTH(A7947)),INDEX(Settings!$B$29:$B$40,MONTH(A7947)))))</f>
        <v/>
      </c>
    </row>
    <row r="7948" customFormat="false" ht="15" hidden="false" customHeight="false" outlineLevel="0" collapsed="false">
      <c r="H7948" s="0" t="str">
        <f aca="false">IF(B7948="","",IF(COUNTIF(Campaigns!$A$7:$A$300,B7948)&gt;0,"✓","⚠ add to Campaigns tab"))</f>
        <v/>
      </c>
      <c r="I7948" s="84" t="str">
        <f aca="false">IF(C7948="","",C7948*IF(Settings!$B$22=Settings!$C$6,1,IF(Settings!$B$22="USD",1/INDEX(Settings!$B$29:$B$40,MONTH(A7948)),INDEX(Settings!$B$29:$B$40,MONTH(A7948)))))</f>
        <v/>
      </c>
    </row>
    <row r="7949" customFormat="false" ht="15" hidden="false" customHeight="false" outlineLevel="0" collapsed="false">
      <c r="H7949" s="0" t="str">
        <f aca="false">IF(B7949="","",IF(COUNTIF(Campaigns!$A$7:$A$300,B7949)&gt;0,"✓","⚠ add to Campaigns tab"))</f>
        <v/>
      </c>
      <c r="I7949" s="84" t="str">
        <f aca="false">IF(C7949="","",C7949*IF(Settings!$B$22=Settings!$C$6,1,IF(Settings!$B$22="USD",1/INDEX(Settings!$B$29:$B$40,MONTH(A7949)),INDEX(Settings!$B$29:$B$40,MONTH(A7949)))))</f>
        <v/>
      </c>
    </row>
    <row r="7950" customFormat="false" ht="15" hidden="false" customHeight="false" outlineLevel="0" collapsed="false">
      <c r="H7950" s="0" t="str">
        <f aca="false">IF(B7950="","",IF(COUNTIF(Campaigns!$A$7:$A$300,B7950)&gt;0,"✓","⚠ add to Campaigns tab"))</f>
        <v/>
      </c>
      <c r="I7950" s="84" t="str">
        <f aca="false">IF(C7950="","",C7950*IF(Settings!$B$22=Settings!$C$6,1,IF(Settings!$B$22="USD",1/INDEX(Settings!$B$29:$B$40,MONTH(A7950)),INDEX(Settings!$B$29:$B$40,MONTH(A7950)))))</f>
        <v/>
      </c>
    </row>
    <row r="7951" customFormat="false" ht="15" hidden="false" customHeight="false" outlineLevel="0" collapsed="false">
      <c r="H7951" s="0" t="str">
        <f aca="false">IF(B7951="","",IF(COUNTIF(Campaigns!$A$7:$A$300,B7951)&gt;0,"✓","⚠ add to Campaigns tab"))</f>
        <v/>
      </c>
      <c r="I7951" s="84" t="str">
        <f aca="false">IF(C7951="","",C7951*IF(Settings!$B$22=Settings!$C$6,1,IF(Settings!$B$22="USD",1/INDEX(Settings!$B$29:$B$40,MONTH(A7951)),INDEX(Settings!$B$29:$B$40,MONTH(A7951)))))</f>
        <v/>
      </c>
    </row>
    <row r="7952" customFormat="false" ht="15" hidden="false" customHeight="false" outlineLevel="0" collapsed="false">
      <c r="H7952" s="0" t="str">
        <f aca="false">IF(B7952="","",IF(COUNTIF(Campaigns!$A$7:$A$300,B7952)&gt;0,"✓","⚠ add to Campaigns tab"))</f>
        <v/>
      </c>
      <c r="I7952" s="84" t="str">
        <f aca="false">IF(C7952="","",C7952*IF(Settings!$B$22=Settings!$C$6,1,IF(Settings!$B$22="USD",1/INDEX(Settings!$B$29:$B$40,MONTH(A7952)),INDEX(Settings!$B$29:$B$40,MONTH(A7952)))))</f>
        <v/>
      </c>
    </row>
    <row r="7953" customFormat="false" ht="15" hidden="false" customHeight="false" outlineLevel="0" collapsed="false">
      <c r="H7953" s="0" t="str">
        <f aca="false">IF(B7953="","",IF(COUNTIF(Campaigns!$A$7:$A$300,B7953)&gt;0,"✓","⚠ add to Campaigns tab"))</f>
        <v/>
      </c>
      <c r="I7953" s="84" t="str">
        <f aca="false">IF(C7953="","",C7953*IF(Settings!$B$22=Settings!$C$6,1,IF(Settings!$B$22="USD",1/INDEX(Settings!$B$29:$B$40,MONTH(A7953)),INDEX(Settings!$B$29:$B$40,MONTH(A7953)))))</f>
        <v/>
      </c>
    </row>
    <row r="7954" customFormat="false" ht="15" hidden="false" customHeight="false" outlineLevel="0" collapsed="false">
      <c r="H7954" s="0" t="str">
        <f aca="false">IF(B7954="","",IF(COUNTIF(Campaigns!$A$7:$A$300,B7954)&gt;0,"✓","⚠ add to Campaigns tab"))</f>
        <v/>
      </c>
      <c r="I7954" s="84" t="str">
        <f aca="false">IF(C7954="","",C7954*IF(Settings!$B$22=Settings!$C$6,1,IF(Settings!$B$22="USD",1/INDEX(Settings!$B$29:$B$40,MONTH(A7954)),INDEX(Settings!$B$29:$B$40,MONTH(A7954)))))</f>
        <v/>
      </c>
    </row>
    <row r="7955" customFormat="false" ht="15" hidden="false" customHeight="false" outlineLevel="0" collapsed="false">
      <c r="H7955" s="0" t="str">
        <f aca="false">IF(B7955="","",IF(COUNTIF(Campaigns!$A$7:$A$300,B7955)&gt;0,"✓","⚠ add to Campaigns tab"))</f>
        <v/>
      </c>
      <c r="I7955" s="84" t="str">
        <f aca="false">IF(C7955="","",C7955*IF(Settings!$B$22=Settings!$C$6,1,IF(Settings!$B$22="USD",1/INDEX(Settings!$B$29:$B$40,MONTH(A7955)),INDEX(Settings!$B$29:$B$40,MONTH(A7955)))))</f>
        <v/>
      </c>
    </row>
    <row r="7956" customFormat="false" ht="15" hidden="false" customHeight="false" outlineLevel="0" collapsed="false">
      <c r="H7956" s="0" t="str">
        <f aca="false">IF(B7956="","",IF(COUNTIF(Campaigns!$A$7:$A$300,B7956)&gt;0,"✓","⚠ add to Campaigns tab"))</f>
        <v/>
      </c>
      <c r="I7956" s="84" t="str">
        <f aca="false">IF(C7956="","",C7956*IF(Settings!$B$22=Settings!$C$6,1,IF(Settings!$B$22="USD",1/INDEX(Settings!$B$29:$B$40,MONTH(A7956)),INDEX(Settings!$B$29:$B$40,MONTH(A7956)))))</f>
        <v/>
      </c>
    </row>
    <row r="7957" customFormat="false" ht="15" hidden="false" customHeight="false" outlineLevel="0" collapsed="false">
      <c r="H7957" s="0" t="str">
        <f aca="false">IF(B7957="","",IF(COUNTIF(Campaigns!$A$7:$A$300,B7957)&gt;0,"✓","⚠ add to Campaigns tab"))</f>
        <v/>
      </c>
      <c r="I7957" s="84" t="str">
        <f aca="false">IF(C7957="","",C7957*IF(Settings!$B$22=Settings!$C$6,1,IF(Settings!$B$22="USD",1/INDEX(Settings!$B$29:$B$40,MONTH(A7957)),INDEX(Settings!$B$29:$B$40,MONTH(A7957)))))</f>
        <v/>
      </c>
    </row>
    <row r="7958" customFormat="false" ht="15" hidden="false" customHeight="false" outlineLevel="0" collapsed="false">
      <c r="H7958" s="0" t="str">
        <f aca="false">IF(B7958="","",IF(COUNTIF(Campaigns!$A$7:$A$300,B7958)&gt;0,"✓","⚠ add to Campaigns tab"))</f>
        <v/>
      </c>
      <c r="I7958" s="84" t="str">
        <f aca="false">IF(C7958="","",C7958*IF(Settings!$B$22=Settings!$C$6,1,IF(Settings!$B$22="USD",1/INDEX(Settings!$B$29:$B$40,MONTH(A7958)),INDEX(Settings!$B$29:$B$40,MONTH(A7958)))))</f>
        <v/>
      </c>
    </row>
    <row r="7959" customFormat="false" ht="15" hidden="false" customHeight="false" outlineLevel="0" collapsed="false">
      <c r="H7959" s="0" t="str">
        <f aca="false">IF(B7959="","",IF(COUNTIF(Campaigns!$A$7:$A$300,B7959)&gt;0,"✓","⚠ add to Campaigns tab"))</f>
        <v/>
      </c>
      <c r="I7959" s="84" t="str">
        <f aca="false">IF(C7959="","",C7959*IF(Settings!$B$22=Settings!$C$6,1,IF(Settings!$B$22="USD",1/INDEX(Settings!$B$29:$B$40,MONTH(A7959)),INDEX(Settings!$B$29:$B$40,MONTH(A7959)))))</f>
        <v/>
      </c>
    </row>
    <row r="7960" customFormat="false" ht="15" hidden="false" customHeight="false" outlineLevel="0" collapsed="false">
      <c r="H7960" s="0" t="str">
        <f aca="false">IF(B7960="","",IF(COUNTIF(Campaigns!$A$7:$A$300,B7960)&gt;0,"✓","⚠ add to Campaigns tab"))</f>
        <v/>
      </c>
      <c r="I7960" s="84" t="str">
        <f aca="false">IF(C7960="","",C7960*IF(Settings!$B$22=Settings!$C$6,1,IF(Settings!$B$22="USD",1/INDEX(Settings!$B$29:$B$40,MONTH(A7960)),INDEX(Settings!$B$29:$B$40,MONTH(A7960)))))</f>
        <v/>
      </c>
    </row>
    <row r="7961" customFormat="false" ht="15" hidden="false" customHeight="false" outlineLevel="0" collapsed="false">
      <c r="H7961" s="0" t="str">
        <f aca="false">IF(B7961="","",IF(COUNTIF(Campaigns!$A$7:$A$300,B7961)&gt;0,"✓","⚠ add to Campaigns tab"))</f>
        <v/>
      </c>
      <c r="I7961" s="84" t="str">
        <f aca="false">IF(C7961="","",C7961*IF(Settings!$B$22=Settings!$C$6,1,IF(Settings!$B$22="USD",1/INDEX(Settings!$B$29:$B$40,MONTH(A7961)),INDEX(Settings!$B$29:$B$40,MONTH(A7961)))))</f>
        <v/>
      </c>
    </row>
    <row r="7962" customFormat="false" ht="15" hidden="false" customHeight="false" outlineLevel="0" collapsed="false">
      <c r="H7962" s="0" t="str">
        <f aca="false">IF(B7962="","",IF(COUNTIF(Campaigns!$A$7:$A$300,B7962)&gt;0,"✓","⚠ add to Campaigns tab"))</f>
        <v/>
      </c>
      <c r="I7962" s="84" t="str">
        <f aca="false">IF(C7962="","",C7962*IF(Settings!$B$22=Settings!$C$6,1,IF(Settings!$B$22="USD",1/INDEX(Settings!$B$29:$B$40,MONTH(A7962)),INDEX(Settings!$B$29:$B$40,MONTH(A7962)))))</f>
        <v/>
      </c>
    </row>
    <row r="7963" customFormat="false" ht="15" hidden="false" customHeight="false" outlineLevel="0" collapsed="false">
      <c r="H7963" s="0" t="str">
        <f aca="false">IF(B7963="","",IF(COUNTIF(Campaigns!$A$7:$A$300,B7963)&gt;0,"✓","⚠ add to Campaigns tab"))</f>
        <v/>
      </c>
      <c r="I7963" s="84" t="str">
        <f aca="false">IF(C7963="","",C7963*IF(Settings!$B$22=Settings!$C$6,1,IF(Settings!$B$22="USD",1/INDEX(Settings!$B$29:$B$40,MONTH(A7963)),INDEX(Settings!$B$29:$B$40,MONTH(A7963)))))</f>
        <v/>
      </c>
    </row>
    <row r="7964" customFormat="false" ht="15" hidden="false" customHeight="false" outlineLevel="0" collapsed="false">
      <c r="H7964" s="0" t="str">
        <f aca="false">IF(B7964="","",IF(COUNTIF(Campaigns!$A$7:$A$300,B7964)&gt;0,"✓","⚠ add to Campaigns tab"))</f>
        <v/>
      </c>
      <c r="I7964" s="84" t="str">
        <f aca="false">IF(C7964="","",C7964*IF(Settings!$B$22=Settings!$C$6,1,IF(Settings!$B$22="USD",1/INDEX(Settings!$B$29:$B$40,MONTH(A7964)),INDEX(Settings!$B$29:$B$40,MONTH(A7964)))))</f>
        <v/>
      </c>
    </row>
    <row r="7965" customFormat="false" ht="15" hidden="false" customHeight="false" outlineLevel="0" collapsed="false">
      <c r="H7965" s="0" t="str">
        <f aca="false">IF(B7965="","",IF(COUNTIF(Campaigns!$A$7:$A$300,B7965)&gt;0,"✓","⚠ add to Campaigns tab"))</f>
        <v/>
      </c>
      <c r="I7965" s="84" t="str">
        <f aca="false">IF(C7965="","",C7965*IF(Settings!$B$22=Settings!$C$6,1,IF(Settings!$B$22="USD",1/INDEX(Settings!$B$29:$B$40,MONTH(A7965)),INDEX(Settings!$B$29:$B$40,MONTH(A7965)))))</f>
        <v/>
      </c>
    </row>
    <row r="7966" customFormat="false" ht="15" hidden="false" customHeight="false" outlineLevel="0" collapsed="false">
      <c r="H7966" s="0" t="str">
        <f aca="false">IF(B7966="","",IF(COUNTIF(Campaigns!$A$7:$A$300,B7966)&gt;0,"✓","⚠ add to Campaigns tab"))</f>
        <v/>
      </c>
      <c r="I7966" s="84" t="str">
        <f aca="false">IF(C7966="","",C7966*IF(Settings!$B$22=Settings!$C$6,1,IF(Settings!$B$22="USD",1/INDEX(Settings!$B$29:$B$40,MONTH(A7966)),INDEX(Settings!$B$29:$B$40,MONTH(A7966)))))</f>
        <v/>
      </c>
    </row>
    <row r="7967" customFormat="false" ht="15" hidden="false" customHeight="false" outlineLevel="0" collapsed="false">
      <c r="H7967" s="0" t="str">
        <f aca="false">IF(B7967="","",IF(COUNTIF(Campaigns!$A$7:$A$300,B7967)&gt;0,"✓","⚠ add to Campaigns tab"))</f>
        <v/>
      </c>
      <c r="I7967" s="84" t="str">
        <f aca="false">IF(C7967="","",C7967*IF(Settings!$B$22=Settings!$C$6,1,IF(Settings!$B$22="USD",1/INDEX(Settings!$B$29:$B$40,MONTH(A7967)),INDEX(Settings!$B$29:$B$40,MONTH(A7967)))))</f>
        <v/>
      </c>
    </row>
    <row r="7968" customFormat="false" ht="15" hidden="false" customHeight="false" outlineLevel="0" collapsed="false">
      <c r="H7968" s="0" t="str">
        <f aca="false">IF(B7968="","",IF(COUNTIF(Campaigns!$A$7:$A$300,B7968)&gt;0,"✓","⚠ add to Campaigns tab"))</f>
        <v/>
      </c>
      <c r="I7968" s="84" t="str">
        <f aca="false">IF(C7968="","",C7968*IF(Settings!$B$22=Settings!$C$6,1,IF(Settings!$B$22="USD",1/INDEX(Settings!$B$29:$B$40,MONTH(A7968)),INDEX(Settings!$B$29:$B$40,MONTH(A7968)))))</f>
        <v/>
      </c>
    </row>
    <row r="7969" customFormat="false" ht="15" hidden="false" customHeight="false" outlineLevel="0" collapsed="false">
      <c r="H7969" s="0" t="str">
        <f aca="false">IF(B7969="","",IF(COUNTIF(Campaigns!$A$7:$A$300,B7969)&gt;0,"✓","⚠ add to Campaigns tab"))</f>
        <v/>
      </c>
      <c r="I7969" s="84" t="str">
        <f aca="false">IF(C7969="","",C7969*IF(Settings!$B$22=Settings!$C$6,1,IF(Settings!$B$22="USD",1/INDEX(Settings!$B$29:$B$40,MONTH(A7969)),INDEX(Settings!$B$29:$B$40,MONTH(A7969)))))</f>
        <v/>
      </c>
    </row>
    <row r="7970" customFormat="false" ht="15" hidden="false" customHeight="false" outlineLevel="0" collapsed="false">
      <c r="H7970" s="0" t="str">
        <f aca="false">IF(B7970="","",IF(COUNTIF(Campaigns!$A$7:$A$300,B7970)&gt;0,"✓","⚠ add to Campaigns tab"))</f>
        <v/>
      </c>
      <c r="I7970" s="84" t="str">
        <f aca="false">IF(C7970="","",C7970*IF(Settings!$B$22=Settings!$C$6,1,IF(Settings!$B$22="USD",1/INDEX(Settings!$B$29:$B$40,MONTH(A7970)),INDEX(Settings!$B$29:$B$40,MONTH(A7970)))))</f>
        <v/>
      </c>
    </row>
    <row r="7971" customFormat="false" ht="15" hidden="false" customHeight="false" outlineLevel="0" collapsed="false">
      <c r="H7971" s="0" t="str">
        <f aca="false">IF(B7971="","",IF(COUNTIF(Campaigns!$A$7:$A$300,B7971)&gt;0,"✓","⚠ add to Campaigns tab"))</f>
        <v/>
      </c>
      <c r="I7971" s="84" t="str">
        <f aca="false">IF(C7971="","",C7971*IF(Settings!$B$22=Settings!$C$6,1,IF(Settings!$B$22="USD",1/INDEX(Settings!$B$29:$B$40,MONTH(A7971)),INDEX(Settings!$B$29:$B$40,MONTH(A7971)))))</f>
        <v/>
      </c>
    </row>
    <row r="7972" customFormat="false" ht="15" hidden="false" customHeight="false" outlineLevel="0" collapsed="false">
      <c r="H7972" s="0" t="str">
        <f aca="false">IF(B7972="","",IF(COUNTIF(Campaigns!$A$7:$A$300,B7972)&gt;0,"✓","⚠ add to Campaigns tab"))</f>
        <v/>
      </c>
      <c r="I7972" s="84" t="str">
        <f aca="false">IF(C7972="","",C7972*IF(Settings!$B$22=Settings!$C$6,1,IF(Settings!$B$22="USD",1/INDEX(Settings!$B$29:$B$40,MONTH(A7972)),INDEX(Settings!$B$29:$B$40,MONTH(A7972)))))</f>
        <v/>
      </c>
    </row>
    <row r="7973" customFormat="false" ht="15" hidden="false" customHeight="false" outlineLevel="0" collapsed="false">
      <c r="H7973" s="0" t="str">
        <f aca="false">IF(B7973="","",IF(COUNTIF(Campaigns!$A$7:$A$300,B7973)&gt;0,"✓","⚠ add to Campaigns tab"))</f>
        <v/>
      </c>
      <c r="I7973" s="84" t="str">
        <f aca="false">IF(C7973="","",C7973*IF(Settings!$B$22=Settings!$C$6,1,IF(Settings!$B$22="USD",1/INDEX(Settings!$B$29:$B$40,MONTH(A7973)),INDEX(Settings!$B$29:$B$40,MONTH(A7973)))))</f>
        <v/>
      </c>
    </row>
    <row r="7974" customFormat="false" ht="15" hidden="false" customHeight="false" outlineLevel="0" collapsed="false">
      <c r="H7974" s="0" t="str">
        <f aca="false">IF(B7974="","",IF(COUNTIF(Campaigns!$A$7:$A$300,B7974)&gt;0,"✓","⚠ add to Campaigns tab"))</f>
        <v/>
      </c>
      <c r="I7974" s="84" t="str">
        <f aca="false">IF(C7974="","",C7974*IF(Settings!$B$22=Settings!$C$6,1,IF(Settings!$B$22="USD",1/INDEX(Settings!$B$29:$B$40,MONTH(A7974)),INDEX(Settings!$B$29:$B$40,MONTH(A7974)))))</f>
        <v/>
      </c>
    </row>
    <row r="7975" customFormat="false" ht="15" hidden="false" customHeight="false" outlineLevel="0" collapsed="false">
      <c r="H7975" s="0" t="str">
        <f aca="false">IF(B7975="","",IF(COUNTIF(Campaigns!$A$7:$A$300,B7975)&gt;0,"✓","⚠ add to Campaigns tab"))</f>
        <v/>
      </c>
      <c r="I7975" s="84" t="str">
        <f aca="false">IF(C7975="","",C7975*IF(Settings!$B$22=Settings!$C$6,1,IF(Settings!$B$22="USD",1/INDEX(Settings!$B$29:$B$40,MONTH(A7975)),INDEX(Settings!$B$29:$B$40,MONTH(A7975)))))</f>
        <v/>
      </c>
    </row>
    <row r="7976" customFormat="false" ht="15" hidden="false" customHeight="false" outlineLevel="0" collapsed="false">
      <c r="H7976" s="0" t="str">
        <f aca="false">IF(B7976="","",IF(COUNTIF(Campaigns!$A$7:$A$300,B7976)&gt;0,"✓","⚠ add to Campaigns tab"))</f>
        <v/>
      </c>
      <c r="I7976" s="84" t="str">
        <f aca="false">IF(C7976="","",C7976*IF(Settings!$B$22=Settings!$C$6,1,IF(Settings!$B$22="USD",1/INDEX(Settings!$B$29:$B$40,MONTH(A7976)),INDEX(Settings!$B$29:$B$40,MONTH(A7976)))))</f>
        <v/>
      </c>
    </row>
    <row r="7977" customFormat="false" ht="15" hidden="false" customHeight="false" outlineLevel="0" collapsed="false">
      <c r="H7977" s="0" t="str">
        <f aca="false">IF(B7977="","",IF(COUNTIF(Campaigns!$A$7:$A$300,B7977)&gt;0,"✓","⚠ add to Campaigns tab"))</f>
        <v/>
      </c>
      <c r="I7977" s="84" t="str">
        <f aca="false">IF(C7977="","",C7977*IF(Settings!$B$22=Settings!$C$6,1,IF(Settings!$B$22="USD",1/INDEX(Settings!$B$29:$B$40,MONTH(A7977)),INDEX(Settings!$B$29:$B$40,MONTH(A7977)))))</f>
        <v/>
      </c>
    </row>
    <row r="7978" customFormat="false" ht="15" hidden="false" customHeight="false" outlineLevel="0" collapsed="false">
      <c r="H7978" s="0" t="str">
        <f aca="false">IF(B7978="","",IF(COUNTIF(Campaigns!$A$7:$A$300,B7978)&gt;0,"✓","⚠ add to Campaigns tab"))</f>
        <v/>
      </c>
      <c r="I7978" s="84" t="str">
        <f aca="false">IF(C7978="","",C7978*IF(Settings!$B$22=Settings!$C$6,1,IF(Settings!$B$22="USD",1/INDEX(Settings!$B$29:$B$40,MONTH(A7978)),INDEX(Settings!$B$29:$B$40,MONTH(A7978)))))</f>
        <v/>
      </c>
    </row>
    <row r="7979" customFormat="false" ht="15" hidden="false" customHeight="false" outlineLevel="0" collapsed="false">
      <c r="H7979" s="0" t="str">
        <f aca="false">IF(B7979="","",IF(COUNTIF(Campaigns!$A$7:$A$300,B7979)&gt;0,"✓","⚠ add to Campaigns tab"))</f>
        <v/>
      </c>
      <c r="I7979" s="84" t="str">
        <f aca="false">IF(C7979="","",C7979*IF(Settings!$B$22=Settings!$C$6,1,IF(Settings!$B$22="USD",1/INDEX(Settings!$B$29:$B$40,MONTH(A7979)),INDEX(Settings!$B$29:$B$40,MONTH(A7979)))))</f>
        <v/>
      </c>
    </row>
    <row r="7980" customFormat="false" ht="15" hidden="false" customHeight="false" outlineLevel="0" collapsed="false">
      <c r="H7980" s="0" t="str">
        <f aca="false">IF(B7980="","",IF(COUNTIF(Campaigns!$A$7:$A$300,B7980)&gt;0,"✓","⚠ add to Campaigns tab"))</f>
        <v/>
      </c>
      <c r="I7980" s="84" t="str">
        <f aca="false">IF(C7980="","",C7980*IF(Settings!$B$22=Settings!$C$6,1,IF(Settings!$B$22="USD",1/INDEX(Settings!$B$29:$B$40,MONTH(A7980)),INDEX(Settings!$B$29:$B$40,MONTH(A7980)))))</f>
        <v/>
      </c>
    </row>
    <row r="7981" customFormat="false" ht="15" hidden="false" customHeight="false" outlineLevel="0" collapsed="false">
      <c r="H7981" s="0" t="str">
        <f aca="false">IF(B7981="","",IF(COUNTIF(Campaigns!$A$7:$A$300,B7981)&gt;0,"✓","⚠ add to Campaigns tab"))</f>
        <v/>
      </c>
      <c r="I7981" s="84" t="str">
        <f aca="false">IF(C7981="","",C7981*IF(Settings!$B$22=Settings!$C$6,1,IF(Settings!$B$22="USD",1/INDEX(Settings!$B$29:$B$40,MONTH(A7981)),INDEX(Settings!$B$29:$B$40,MONTH(A7981)))))</f>
        <v/>
      </c>
    </row>
    <row r="7982" customFormat="false" ht="15" hidden="false" customHeight="false" outlineLevel="0" collapsed="false">
      <c r="H7982" s="0" t="str">
        <f aca="false">IF(B7982="","",IF(COUNTIF(Campaigns!$A$7:$A$300,B7982)&gt;0,"✓","⚠ add to Campaigns tab"))</f>
        <v/>
      </c>
      <c r="I7982" s="84" t="str">
        <f aca="false">IF(C7982="","",C7982*IF(Settings!$B$22=Settings!$C$6,1,IF(Settings!$B$22="USD",1/INDEX(Settings!$B$29:$B$40,MONTH(A7982)),INDEX(Settings!$B$29:$B$40,MONTH(A7982)))))</f>
        <v/>
      </c>
    </row>
    <row r="7983" customFormat="false" ht="15" hidden="false" customHeight="false" outlineLevel="0" collapsed="false">
      <c r="H7983" s="0" t="str">
        <f aca="false">IF(B7983="","",IF(COUNTIF(Campaigns!$A$7:$A$300,B7983)&gt;0,"✓","⚠ add to Campaigns tab"))</f>
        <v/>
      </c>
      <c r="I7983" s="84" t="str">
        <f aca="false">IF(C7983="","",C7983*IF(Settings!$B$22=Settings!$C$6,1,IF(Settings!$B$22="USD",1/INDEX(Settings!$B$29:$B$40,MONTH(A7983)),INDEX(Settings!$B$29:$B$40,MONTH(A7983)))))</f>
        <v/>
      </c>
    </row>
    <row r="7984" customFormat="false" ht="15" hidden="false" customHeight="false" outlineLevel="0" collapsed="false">
      <c r="H7984" s="0" t="str">
        <f aca="false">IF(B7984="","",IF(COUNTIF(Campaigns!$A$7:$A$300,B7984)&gt;0,"✓","⚠ add to Campaigns tab"))</f>
        <v/>
      </c>
      <c r="I7984" s="84" t="str">
        <f aca="false">IF(C7984="","",C7984*IF(Settings!$B$22=Settings!$C$6,1,IF(Settings!$B$22="USD",1/INDEX(Settings!$B$29:$B$40,MONTH(A7984)),INDEX(Settings!$B$29:$B$40,MONTH(A7984)))))</f>
        <v/>
      </c>
    </row>
    <row r="7985" customFormat="false" ht="15" hidden="false" customHeight="false" outlineLevel="0" collapsed="false">
      <c r="H7985" s="0" t="str">
        <f aca="false">IF(B7985="","",IF(COUNTIF(Campaigns!$A$7:$A$300,B7985)&gt;0,"✓","⚠ add to Campaigns tab"))</f>
        <v/>
      </c>
      <c r="I7985" s="84" t="str">
        <f aca="false">IF(C7985="","",C7985*IF(Settings!$B$22=Settings!$C$6,1,IF(Settings!$B$22="USD",1/INDEX(Settings!$B$29:$B$40,MONTH(A7985)),INDEX(Settings!$B$29:$B$40,MONTH(A7985)))))</f>
        <v/>
      </c>
    </row>
    <row r="7986" customFormat="false" ht="15" hidden="false" customHeight="false" outlineLevel="0" collapsed="false">
      <c r="H7986" s="0" t="str">
        <f aca="false">IF(B7986="","",IF(COUNTIF(Campaigns!$A$7:$A$300,B7986)&gt;0,"✓","⚠ add to Campaigns tab"))</f>
        <v/>
      </c>
      <c r="I7986" s="84" t="str">
        <f aca="false">IF(C7986="","",C7986*IF(Settings!$B$22=Settings!$C$6,1,IF(Settings!$B$22="USD",1/INDEX(Settings!$B$29:$B$40,MONTH(A7986)),INDEX(Settings!$B$29:$B$40,MONTH(A7986)))))</f>
        <v/>
      </c>
    </row>
    <row r="7987" customFormat="false" ht="15" hidden="false" customHeight="false" outlineLevel="0" collapsed="false">
      <c r="H7987" s="0" t="str">
        <f aca="false">IF(B7987="","",IF(COUNTIF(Campaigns!$A$7:$A$300,B7987)&gt;0,"✓","⚠ add to Campaigns tab"))</f>
        <v/>
      </c>
      <c r="I7987" s="84" t="str">
        <f aca="false">IF(C7987="","",C7987*IF(Settings!$B$22=Settings!$C$6,1,IF(Settings!$B$22="USD",1/INDEX(Settings!$B$29:$B$40,MONTH(A7987)),INDEX(Settings!$B$29:$B$40,MONTH(A7987)))))</f>
        <v/>
      </c>
    </row>
    <row r="7988" customFormat="false" ht="15" hidden="false" customHeight="false" outlineLevel="0" collapsed="false">
      <c r="H7988" s="0" t="str">
        <f aca="false">IF(B7988="","",IF(COUNTIF(Campaigns!$A$7:$A$300,B7988)&gt;0,"✓","⚠ add to Campaigns tab"))</f>
        <v/>
      </c>
      <c r="I7988" s="84" t="str">
        <f aca="false">IF(C7988="","",C7988*IF(Settings!$B$22=Settings!$C$6,1,IF(Settings!$B$22="USD",1/INDEX(Settings!$B$29:$B$40,MONTH(A7988)),INDEX(Settings!$B$29:$B$40,MONTH(A7988)))))</f>
        <v/>
      </c>
    </row>
    <row r="7989" customFormat="false" ht="15" hidden="false" customHeight="false" outlineLevel="0" collapsed="false">
      <c r="H7989" s="0" t="str">
        <f aca="false">IF(B7989="","",IF(COUNTIF(Campaigns!$A$7:$A$300,B7989)&gt;0,"✓","⚠ add to Campaigns tab"))</f>
        <v/>
      </c>
      <c r="I7989" s="84" t="str">
        <f aca="false">IF(C7989="","",C7989*IF(Settings!$B$22=Settings!$C$6,1,IF(Settings!$B$22="USD",1/INDEX(Settings!$B$29:$B$40,MONTH(A7989)),INDEX(Settings!$B$29:$B$40,MONTH(A7989)))))</f>
        <v/>
      </c>
    </row>
    <row r="7990" customFormat="false" ht="15" hidden="false" customHeight="false" outlineLevel="0" collapsed="false">
      <c r="H7990" s="0" t="str">
        <f aca="false">IF(B7990="","",IF(COUNTIF(Campaigns!$A$7:$A$300,B7990)&gt;0,"✓","⚠ add to Campaigns tab"))</f>
        <v/>
      </c>
      <c r="I7990" s="84" t="str">
        <f aca="false">IF(C7990="","",C7990*IF(Settings!$B$22=Settings!$C$6,1,IF(Settings!$B$22="USD",1/INDEX(Settings!$B$29:$B$40,MONTH(A7990)),INDEX(Settings!$B$29:$B$40,MONTH(A7990)))))</f>
        <v/>
      </c>
    </row>
    <row r="7991" customFormat="false" ht="15" hidden="false" customHeight="false" outlineLevel="0" collapsed="false">
      <c r="H7991" s="0" t="str">
        <f aca="false">IF(B7991="","",IF(COUNTIF(Campaigns!$A$7:$A$300,B7991)&gt;0,"✓","⚠ add to Campaigns tab"))</f>
        <v/>
      </c>
      <c r="I7991" s="84" t="str">
        <f aca="false">IF(C7991="","",C7991*IF(Settings!$B$22=Settings!$C$6,1,IF(Settings!$B$22="USD",1/INDEX(Settings!$B$29:$B$40,MONTH(A7991)),INDEX(Settings!$B$29:$B$40,MONTH(A7991)))))</f>
        <v/>
      </c>
    </row>
    <row r="7992" customFormat="false" ht="15" hidden="false" customHeight="false" outlineLevel="0" collapsed="false">
      <c r="H7992" s="0" t="str">
        <f aca="false">IF(B7992="","",IF(COUNTIF(Campaigns!$A$7:$A$300,B7992)&gt;0,"✓","⚠ add to Campaigns tab"))</f>
        <v/>
      </c>
      <c r="I7992" s="84" t="str">
        <f aca="false">IF(C7992="","",C7992*IF(Settings!$B$22=Settings!$C$6,1,IF(Settings!$B$22="USD",1/INDEX(Settings!$B$29:$B$40,MONTH(A7992)),INDEX(Settings!$B$29:$B$40,MONTH(A7992)))))</f>
        <v/>
      </c>
    </row>
    <row r="7993" customFormat="false" ht="15" hidden="false" customHeight="false" outlineLevel="0" collapsed="false">
      <c r="H7993" s="0" t="str">
        <f aca="false">IF(B7993="","",IF(COUNTIF(Campaigns!$A$7:$A$300,B7993)&gt;0,"✓","⚠ add to Campaigns tab"))</f>
        <v/>
      </c>
      <c r="I7993" s="84" t="str">
        <f aca="false">IF(C7993="","",C7993*IF(Settings!$B$22=Settings!$C$6,1,IF(Settings!$B$22="USD",1/INDEX(Settings!$B$29:$B$40,MONTH(A7993)),INDEX(Settings!$B$29:$B$40,MONTH(A7993)))))</f>
        <v/>
      </c>
    </row>
    <row r="7994" customFormat="false" ht="15" hidden="false" customHeight="false" outlineLevel="0" collapsed="false">
      <c r="H7994" s="0" t="str">
        <f aca="false">IF(B7994="","",IF(COUNTIF(Campaigns!$A$7:$A$300,B7994)&gt;0,"✓","⚠ add to Campaigns tab"))</f>
        <v/>
      </c>
      <c r="I7994" s="84" t="str">
        <f aca="false">IF(C7994="","",C7994*IF(Settings!$B$22=Settings!$C$6,1,IF(Settings!$B$22="USD",1/INDEX(Settings!$B$29:$B$40,MONTH(A7994)),INDEX(Settings!$B$29:$B$40,MONTH(A7994)))))</f>
        <v/>
      </c>
    </row>
    <row r="7995" customFormat="false" ht="15" hidden="false" customHeight="false" outlineLevel="0" collapsed="false">
      <c r="H7995" s="0" t="str">
        <f aca="false">IF(B7995="","",IF(COUNTIF(Campaigns!$A$7:$A$300,B7995)&gt;0,"✓","⚠ add to Campaigns tab"))</f>
        <v/>
      </c>
      <c r="I7995" s="84" t="str">
        <f aca="false">IF(C7995="","",C7995*IF(Settings!$B$22=Settings!$C$6,1,IF(Settings!$B$22="USD",1/INDEX(Settings!$B$29:$B$40,MONTH(A7995)),INDEX(Settings!$B$29:$B$40,MONTH(A7995)))))</f>
        <v/>
      </c>
    </row>
    <row r="7996" customFormat="false" ht="15" hidden="false" customHeight="false" outlineLevel="0" collapsed="false">
      <c r="H7996" s="0" t="str">
        <f aca="false">IF(B7996="","",IF(COUNTIF(Campaigns!$A$7:$A$300,B7996)&gt;0,"✓","⚠ add to Campaigns tab"))</f>
        <v/>
      </c>
      <c r="I7996" s="84" t="str">
        <f aca="false">IF(C7996="","",C7996*IF(Settings!$B$22=Settings!$C$6,1,IF(Settings!$B$22="USD",1/INDEX(Settings!$B$29:$B$40,MONTH(A7996)),INDEX(Settings!$B$29:$B$40,MONTH(A7996)))))</f>
        <v/>
      </c>
    </row>
    <row r="7997" customFormat="false" ht="15" hidden="false" customHeight="false" outlineLevel="0" collapsed="false">
      <c r="H7997" s="0" t="str">
        <f aca="false">IF(B7997="","",IF(COUNTIF(Campaigns!$A$7:$A$300,B7997)&gt;0,"✓","⚠ add to Campaigns tab"))</f>
        <v/>
      </c>
      <c r="I7997" s="84" t="str">
        <f aca="false">IF(C7997="","",C7997*IF(Settings!$B$22=Settings!$C$6,1,IF(Settings!$B$22="USD",1/INDEX(Settings!$B$29:$B$40,MONTH(A7997)),INDEX(Settings!$B$29:$B$40,MONTH(A7997)))))</f>
        <v/>
      </c>
    </row>
    <row r="7998" customFormat="false" ht="15" hidden="false" customHeight="false" outlineLevel="0" collapsed="false">
      <c r="H7998" s="0" t="str">
        <f aca="false">IF(B7998="","",IF(COUNTIF(Campaigns!$A$7:$A$300,B7998)&gt;0,"✓","⚠ add to Campaigns tab"))</f>
        <v/>
      </c>
      <c r="I7998" s="84" t="str">
        <f aca="false">IF(C7998="","",C7998*IF(Settings!$B$22=Settings!$C$6,1,IF(Settings!$B$22="USD",1/INDEX(Settings!$B$29:$B$40,MONTH(A7998)),INDEX(Settings!$B$29:$B$40,MONTH(A7998)))))</f>
        <v/>
      </c>
    </row>
    <row r="7999" customFormat="false" ht="15" hidden="false" customHeight="false" outlineLevel="0" collapsed="false">
      <c r="H7999" s="0" t="str">
        <f aca="false">IF(B7999="","",IF(COUNTIF(Campaigns!$A$7:$A$300,B7999)&gt;0,"✓","⚠ add to Campaigns tab"))</f>
        <v/>
      </c>
      <c r="I7999" s="84" t="str">
        <f aca="false">IF(C7999="","",C7999*IF(Settings!$B$22=Settings!$C$6,1,IF(Settings!$B$22="USD",1/INDEX(Settings!$B$29:$B$40,MONTH(A7999)),INDEX(Settings!$B$29:$B$40,MONTH(A7999)))))</f>
        <v/>
      </c>
    </row>
    <row r="8000" customFormat="false" ht="15" hidden="false" customHeight="false" outlineLevel="0" collapsed="false">
      <c r="H8000" s="0" t="str">
        <f aca="false">IF(B8000="","",IF(COUNTIF(Campaigns!$A$7:$A$300,B8000)&gt;0,"✓","⚠ add to Campaigns tab"))</f>
        <v/>
      </c>
      <c r="I8000" s="84" t="str">
        <f aca="false">IF(C8000="","",C8000*IF(Settings!$B$22=Settings!$C$6,1,IF(Settings!$B$22="USD",1/INDEX(Settings!$B$29:$B$40,MONTH(A8000)),INDEX(Settings!$B$29:$B$40,MONTH(A8000)))))</f>
        <v/>
      </c>
    </row>
  </sheetData>
  <mergeCells count="1">
    <mergeCell ref="A1:I1"/>
  </mergeCells>
  <conditionalFormatting sqref="H3:H8000">
    <cfRule type="expression" priority="2" aboveAverage="0" equalAverage="0" bottom="0" percent="0" rank="0" text="" dxfId="7">
      <formula>LEFT(H3,1)="⚠"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K8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4"/>
    <col collapsed="false" customWidth="true" hidden="false" outlineLevel="0" max="4" min="4" style="0" width="13"/>
    <col collapsed="false" customWidth="true" hidden="false" outlineLevel="0" max="5" min="5" style="0" width="11"/>
    <col collapsed="false" customWidth="true" hidden="false" outlineLevel="0" max="7" min="6" style="0" width="12"/>
    <col collapsed="false" customWidth="true" hidden="false" outlineLevel="0" max="8" min="8" style="0" width="22"/>
    <col collapsed="false" customWidth="true" hidden="false" outlineLevel="0" max="9" min="9" style="0" width="14"/>
  </cols>
  <sheetData>
    <row r="1" customFormat="false" ht="15" hidden="false" customHeight="false" outlineLevel="0" collapsed="false">
      <c r="A1" s="81" t="s">
        <v>505</v>
      </c>
      <c r="B1" s="81"/>
      <c r="C1" s="81"/>
      <c r="D1" s="81"/>
      <c r="E1" s="81"/>
      <c r="F1" s="81"/>
      <c r="G1" s="81"/>
      <c r="H1" s="81"/>
      <c r="I1" s="81"/>
    </row>
    <row r="2" customFormat="false" ht="30" hidden="false" customHeight="true" outlineLevel="0" collapsed="false">
      <c r="A2" s="34" t="s">
        <v>497</v>
      </c>
      <c r="B2" s="34" t="s">
        <v>163</v>
      </c>
      <c r="C2" s="34" t="s">
        <v>506</v>
      </c>
      <c r="D2" s="34" t="s">
        <v>499</v>
      </c>
      <c r="E2" s="34" t="s">
        <v>114</v>
      </c>
      <c r="F2" s="34" t="s">
        <v>115</v>
      </c>
      <c r="G2" s="34" t="s">
        <v>500</v>
      </c>
      <c r="H2" s="34" t="s">
        <v>501</v>
      </c>
      <c r="I2" s="34" t="str">
        <f aca="false">"Spend ("&amp;Settings!$C$6&amp;")"</f>
        <v>Spend (USD)</v>
      </c>
      <c r="K2" s="28" t="s">
        <v>507</v>
      </c>
    </row>
    <row r="3" customFormat="false" ht="15" hidden="false" customHeight="false" outlineLevel="0" collapsed="false">
      <c r="A3" s="82" t="n">
        <v>46023</v>
      </c>
      <c r="B3" s="83" t="s">
        <v>202</v>
      </c>
      <c r="C3" s="84" t="n">
        <v>133.2</v>
      </c>
      <c r="D3" s="85" t="n">
        <v>612</v>
      </c>
      <c r="E3" s="85" t="n">
        <v>20</v>
      </c>
      <c r="F3" s="86" t="n">
        <v>0</v>
      </c>
      <c r="G3" s="83" t="s">
        <v>503</v>
      </c>
      <c r="H3" s="0" t="str">
        <f aca="false">IF(B3="","",IF(COUNTIF(Campaigns!$A$7:$A$300,B3)&gt;0,"✓","⚠ add to Campaigns tab"))</f>
        <v>✓</v>
      </c>
      <c r="I3" s="84" t="n">
        <f aca="false">IF(C3="","",C3*IF(Settings!$B$23=Settings!$C$6,1,IF(Settings!$B$23="USD",1/INDEX(Settings!$B$29:$B$40,MONTH(A3)),INDEX(Settings!$B$29:$B$40,MONTH(A3)))))</f>
        <v>148.87764</v>
      </c>
      <c r="K3" s="28" t="s">
        <v>504</v>
      </c>
    </row>
    <row r="4" customFormat="false" ht="15" hidden="false" customHeight="false" outlineLevel="0" collapsed="false">
      <c r="A4" s="82" t="n">
        <v>46023</v>
      </c>
      <c r="B4" s="83" t="s">
        <v>204</v>
      </c>
      <c r="C4" s="84" t="n">
        <v>374.58</v>
      </c>
      <c r="D4" s="85" t="n">
        <v>14108</v>
      </c>
      <c r="E4" s="85" t="n">
        <v>580</v>
      </c>
      <c r="F4" s="86" t="n">
        <v>34</v>
      </c>
      <c r="G4" s="83" t="s">
        <v>503</v>
      </c>
      <c r="H4" s="0" t="str">
        <f aca="false">IF(B4="","",IF(COUNTIF(Campaigns!$A$7:$A$300,B4)&gt;0,"✓","⚠ add to Campaigns tab"))</f>
        <v>✓</v>
      </c>
      <c r="I4" s="84" t="n">
        <f aca="false">IF(C4="","",C4*IF(Settings!$B$23=Settings!$C$6,1,IF(Settings!$B$23="USD",1/INDEX(Settings!$B$29:$B$40,MONTH(A4)),INDEX(Settings!$B$29:$B$40,MONTH(A4)))))</f>
        <v>418.668066</v>
      </c>
    </row>
    <row r="5" customFormat="false" ht="15" hidden="false" customHeight="false" outlineLevel="0" collapsed="false">
      <c r="A5" s="82" t="n">
        <v>46023</v>
      </c>
      <c r="B5" s="83" t="s">
        <v>213</v>
      </c>
      <c r="C5" s="84" t="n">
        <v>293.37</v>
      </c>
      <c r="D5" s="85" t="n">
        <v>1868</v>
      </c>
      <c r="E5" s="85" t="n">
        <v>257</v>
      </c>
      <c r="F5" s="86" t="n">
        <v>5</v>
      </c>
      <c r="G5" s="83" t="s">
        <v>503</v>
      </c>
      <c r="H5" s="0" t="str">
        <f aca="false">IF(B5="","",IF(COUNTIF(Campaigns!$A$7:$A$300,B5)&gt;0,"✓","⚠ add to Campaigns tab"))</f>
        <v>✓</v>
      </c>
      <c r="I5" s="84" t="n">
        <f aca="false">IF(C5="","",C5*IF(Settings!$B$23=Settings!$C$6,1,IF(Settings!$B$23="USD",1/INDEX(Settings!$B$29:$B$40,MONTH(A5)),INDEX(Settings!$B$29:$B$40,MONTH(A5)))))</f>
        <v>327.899649</v>
      </c>
    </row>
    <row r="6" customFormat="false" ht="15" hidden="false" customHeight="false" outlineLevel="0" collapsed="false">
      <c r="A6" s="82" t="n">
        <v>46023</v>
      </c>
      <c r="B6" s="83" t="s">
        <v>218</v>
      </c>
      <c r="C6" s="84" t="n">
        <v>245.63</v>
      </c>
      <c r="D6" s="85" t="n">
        <v>142111</v>
      </c>
      <c r="E6" s="85" t="n">
        <v>10857</v>
      </c>
      <c r="F6" s="86" t="n">
        <v>0</v>
      </c>
      <c r="G6" s="83" t="s">
        <v>503</v>
      </c>
      <c r="H6" s="0" t="str">
        <f aca="false">IF(B6="","",IF(COUNTIF(Campaigns!$A$7:$A$300,B6)&gt;0,"✓","⚠ add to Campaigns tab"))</f>
        <v>✓</v>
      </c>
      <c r="I6" s="84" t="n">
        <f aca="false">IF(C6="","",C6*IF(Settings!$B$23=Settings!$C$6,1,IF(Settings!$B$23="USD",1/INDEX(Settings!$B$29:$B$40,MONTH(A6)),INDEX(Settings!$B$29:$B$40,MONTH(A6)))))</f>
        <v>274.540651</v>
      </c>
    </row>
    <row r="7" customFormat="false" ht="15" hidden="false" customHeight="false" outlineLevel="0" collapsed="false">
      <c r="A7" s="82" t="n">
        <v>46023</v>
      </c>
      <c r="B7" s="83" t="s">
        <v>194</v>
      </c>
      <c r="C7" s="84" t="n">
        <v>432.25</v>
      </c>
      <c r="D7" s="85" t="n">
        <v>559</v>
      </c>
      <c r="E7" s="85" t="n">
        <v>27</v>
      </c>
      <c r="F7" s="86" t="n">
        <v>0.13</v>
      </c>
      <c r="G7" s="83" t="s">
        <v>503</v>
      </c>
      <c r="H7" s="0" t="str">
        <f aca="false">IF(B7="","",IF(COUNTIF(Campaigns!$A$7:$A$300,B7)&gt;0,"✓","⚠ add to Campaigns tab"))</f>
        <v>✓</v>
      </c>
      <c r="I7" s="84" t="n">
        <f aca="false">IF(C7="","",C7*IF(Settings!$B$23=Settings!$C$6,1,IF(Settings!$B$23="USD",1/INDEX(Settings!$B$29:$B$40,MONTH(A7)),INDEX(Settings!$B$29:$B$40,MONTH(A7)))))</f>
        <v>483.125825</v>
      </c>
    </row>
    <row r="8" customFormat="false" ht="15" hidden="false" customHeight="false" outlineLevel="0" collapsed="false">
      <c r="A8" s="82" t="n">
        <v>46023</v>
      </c>
      <c r="B8" s="83" t="s">
        <v>184</v>
      </c>
      <c r="C8" s="84" t="n">
        <v>1238.98</v>
      </c>
      <c r="D8" s="85" t="n">
        <v>9583</v>
      </c>
      <c r="E8" s="85" t="n">
        <v>810</v>
      </c>
      <c r="F8" s="86" t="n">
        <v>38.22</v>
      </c>
      <c r="G8" s="83" t="s">
        <v>503</v>
      </c>
      <c r="H8" s="0" t="str">
        <f aca="false">IF(B8="","",IF(COUNTIF(Campaigns!$A$7:$A$300,B8)&gt;0,"✓","⚠ add to Campaigns tab"))</f>
        <v>✓</v>
      </c>
      <c r="I8" s="84" t="n">
        <f aca="false">IF(C8="","",C8*IF(Settings!$B$23=Settings!$C$6,1,IF(Settings!$B$23="USD",1/INDEX(Settings!$B$29:$B$40,MONTH(A8)),INDEX(Settings!$B$29:$B$40,MONTH(A8)))))</f>
        <v>1384.807946</v>
      </c>
    </row>
    <row r="9" customFormat="false" ht="15" hidden="false" customHeight="false" outlineLevel="0" collapsed="false">
      <c r="A9" s="82" t="n">
        <v>46023</v>
      </c>
      <c r="B9" s="83" t="s">
        <v>190</v>
      </c>
      <c r="C9" s="84" t="n">
        <v>378</v>
      </c>
      <c r="D9" s="85" t="n">
        <v>1628</v>
      </c>
      <c r="E9" s="85" t="n">
        <v>190</v>
      </c>
      <c r="F9" s="86" t="n">
        <v>6.29</v>
      </c>
      <c r="G9" s="83" t="s">
        <v>503</v>
      </c>
      <c r="H9" s="0" t="str">
        <f aca="false">IF(B9="","",IF(COUNTIF(Campaigns!$A$7:$A$300,B9)&gt;0,"✓","⚠ add to Campaigns tab"))</f>
        <v>✓</v>
      </c>
      <c r="I9" s="84" t="n">
        <f aca="false">IF(C9="","",C9*IF(Settings!$B$23=Settings!$C$6,1,IF(Settings!$B$23="USD",1/INDEX(Settings!$B$29:$B$40,MONTH(A9)),INDEX(Settings!$B$29:$B$40,MONTH(A9)))))</f>
        <v>422.4906</v>
      </c>
    </row>
    <row r="10" customFormat="false" ht="15" hidden="false" customHeight="false" outlineLevel="0" collapsed="false">
      <c r="A10" s="82" t="n">
        <v>46023</v>
      </c>
      <c r="B10" s="83" t="s">
        <v>199</v>
      </c>
      <c r="C10" s="84" t="n">
        <v>226.42</v>
      </c>
      <c r="D10" s="85" t="n">
        <v>1364</v>
      </c>
      <c r="E10" s="85" t="n">
        <v>134</v>
      </c>
      <c r="F10" s="86" t="n">
        <v>6</v>
      </c>
      <c r="G10" s="83" t="s">
        <v>503</v>
      </c>
      <c r="H10" s="0" t="str">
        <f aca="false">IF(B10="","",IF(COUNTIF(Campaigns!$A$7:$A$300,B10)&gt;0,"✓","⚠ add to Campaigns tab"))</f>
        <v>✓</v>
      </c>
      <c r="I10" s="84" t="n">
        <f aca="false">IF(C10="","",C10*IF(Settings!$B$23=Settings!$C$6,1,IF(Settings!$B$23="USD",1/INDEX(Settings!$B$29:$B$40,MONTH(A10)),INDEX(Settings!$B$29:$B$40,MONTH(A10)))))</f>
        <v>253.069634</v>
      </c>
    </row>
    <row r="11" customFormat="false" ht="15" hidden="false" customHeight="false" outlineLevel="0" collapsed="false">
      <c r="A11" s="82" t="n">
        <v>46023</v>
      </c>
      <c r="B11" s="83" t="s">
        <v>201</v>
      </c>
      <c r="C11" s="84" t="n">
        <v>71.22</v>
      </c>
      <c r="D11" s="85" t="n">
        <v>790</v>
      </c>
      <c r="E11" s="85" t="n">
        <v>61</v>
      </c>
      <c r="F11" s="86" t="n">
        <v>9.07</v>
      </c>
      <c r="G11" s="83" t="s">
        <v>503</v>
      </c>
      <c r="H11" s="0" t="str">
        <f aca="false">IF(B11="","",IF(COUNTIF(Campaigns!$A$7:$A$300,B11)&gt;0,"✓","⚠ add to Campaigns tab"))</f>
        <v>✓</v>
      </c>
      <c r="I11" s="84" t="n">
        <f aca="false">IF(C11="","",C11*IF(Settings!$B$23=Settings!$C$6,1,IF(Settings!$B$23="USD",1/INDEX(Settings!$B$29:$B$40,MONTH(A11)),INDEX(Settings!$B$29:$B$40,MONTH(A11)))))</f>
        <v>79.602594</v>
      </c>
    </row>
    <row r="12" customFormat="false" ht="15" hidden="false" customHeight="false" outlineLevel="0" collapsed="false">
      <c r="A12" s="82" t="n">
        <v>46023</v>
      </c>
      <c r="B12" s="83" t="s">
        <v>191</v>
      </c>
      <c r="C12" s="84" t="n">
        <v>372.68</v>
      </c>
      <c r="D12" s="85" t="n">
        <v>1549</v>
      </c>
      <c r="E12" s="85" t="n">
        <v>172</v>
      </c>
      <c r="F12" s="86" t="n">
        <v>7</v>
      </c>
      <c r="G12" s="83" t="s">
        <v>503</v>
      </c>
      <c r="H12" s="0" t="str">
        <f aca="false">IF(B12="","",IF(COUNTIF(Campaigns!$A$7:$A$300,B12)&gt;0,"✓","⚠ add to Campaigns tab"))</f>
        <v>✓</v>
      </c>
      <c r="I12" s="84" t="n">
        <f aca="false">IF(C12="","",C12*IF(Settings!$B$23=Settings!$C$6,1,IF(Settings!$B$23="USD",1/INDEX(Settings!$B$29:$B$40,MONTH(A12)),INDEX(Settings!$B$29:$B$40,MONTH(A12)))))</f>
        <v>416.544436</v>
      </c>
    </row>
    <row r="13" customFormat="false" ht="15" hidden="false" customHeight="false" outlineLevel="0" collapsed="false">
      <c r="A13" s="82" t="n">
        <v>46023</v>
      </c>
      <c r="B13" s="83" t="s">
        <v>186</v>
      </c>
      <c r="C13" s="84" t="n">
        <v>733.57</v>
      </c>
      <c r="D13" s="85" t="n">
        <v>1652</v>
      </c>
      <c r="E13" s="85" t="n">
        <v>151</v>
      </c>
      <c r="F13" s="86" t="n">
        <v>11.72</v>
      </c>
      <c r="G13" s="83" t="s">
        <v>503</v>
      </c>
      <c r="H13" s="0" t="str">
        <f aca="false">IF(B13="","",IF(COUNTIF(Campaigns!$A$7:$A$300,B13)&gt;0,"✓","⚠ add to Campaigns tab"))</f>
        <v>✓</v>
      </c>
      <c r="I13" s="84" t="n">
        <f aca="false">IF(C13="","",C13*IF(Settings!$B$23=Settings!$C$6,1,IF(Settings!$B$23="USD",1/INDEX(Settings!$B$29:$B$40,MONTH(A13)),INDEX(Settings!$B$29:$B$40,MONTH(A13)))))</f>
        <v>819.911189</v>
      </c>
    </row>
    <row r="14" customFormat="false" ht="15" hidden="false" customHeight="false" outlineLevel="0" collapsed="false">
      <c r="A14" s="82" t="n">
        <v>46023</v>
      </c>
      <c r="B14" s="83" t="s">
        <v>188</v>
      </c>
      <c r="C14" s="84" t="n">
        <v>63.75</v>
      </c>
      <c r="D14" s="85" t="n">
        <v>236</v>
      </c>
      <c r="E14" s="85" t="n">
        <v>8</v>
      </c>
      <c r="F14" s="86" t="n">
        <v>0</v>
      </c>
      <c r="G14" s="83" t="s">
        <v>503</v>
      </c>
      <c r="H14" s="0" t="str">
        <f aca="false">IF(B14="","",IF(COUNTIF(Campaigns!$A$7:$A$300,B14)&gt;0,"✓","⚠ add to Campaigns tab"))</f>
        <v>✓</v>
      </c>
      <c r="I14" s="84" t="n">
        <f aca="false">IF(C14="","",C14*IF(Settings!$B$23=Settings!$C$6,1,IF(Settings!$B$23="USD",1/INDEX(Settings!$B$29:$B$40,MONTH(A14)),INDEX(Settings!$B$29:$B$40,MONTH(A14)))))</f>
        <v>71.253375</v>
      </c>
    </row>
    <row r="15" customFormat="false" ht="15" hidden="false" customHeight="false" outlineLevel="0" collapsed="false">
      <c r="A15" s="82" t="n">
        <v>46023</v>
      </c>
      <c r="B15" s="83" t="s">
        <v>203</v>
      </c>
      <c r="C15" s="84" t="n">
        <v>86.58</v>
      </c>
      <c r="D15" s="85" t="n">
        <v>574</v>
      </c>
      <c r="E15" s="85" t="n">
        <v>55</v>
      </c>
      <c r="F15" s="86" t="n">
        <v>2.72</v>
      </c>
      <c r="G15" s="83" t="s">
        <v>503</v>
      </c>
      <c r="H15" s="0" t="str">
        <f aca="false">IF(B15="","",IF(COUNTIF(Campaigns!$A$7:$A$300,B15)&gt;0,"✓","⚠ add to Campaigns tab"))</f>
        <v>✓</v>
      </c>
      <c r="I15" s="84" t="n">
        <f aca="false">IF(C15="","",C15*IF(Settings!$B$23=Settings!$C$6,1,IF(Settings!$B$23="USD",1/INDEX(Settings!$B$29:$B$40,MONTH(A15)),INDEX(Settings!$B$29:$B$40,MONTH(A15)))))</f>
        <v>96.770466</v>
      </c>
    </row>
    <row r="16" customFormat="false" ht="15" hidden="false" customHeight="false" outlineLevel="0" collapsed="false">
      <c r="A16" s="82" t="n">
        <v>46023</v>
      </c>
      <c r="B16" s="83" t="s">
        <v>187</v>
      </c>
      <c r="C16" s="84" t="n">
        <v>120.33</v>
      </c>
      <c r="D16" s="85" t="n">
        <v>534</v>
      </c>
      <c r="E16" s="85" t="n">
        <v>15</v>
      </c>
      <c r="F16" s="86" t="n">
        <v>2</v>
      </c>
      <c r="G16" s="83" t="s">
        <v>503</v>
      </c>
      <c r="H16" s="0" t="str">
        <f aca="false">IF(B16="","",IF(COUNTIF(Campaigns!$A$7:$A$300,B16)&gt;0,"✓","⚠ add to Campaigns tab"))</f>
        <v>✓</v>
      </c>
      <c r="I16" s="84" t="n">
        <f aca="false">IF(C16="","",C16*IF(Settings!$B$23=Settings!$C$6,1,IF(Settings!$B$23="USD",1/INDEX(Settings!$B$29:$B$40,MONTH(A16)),INDEX(Settings!$B$29:$B$40,MONTH(A16)))))</f>
        <v>134.492841</v>
      </c>
    </row>
    <row r="17" customFormat="false" ht="15" hidden="false" customHeight="false" outlineLevel="0" collapsed="false">
      <c r="A17" s="82" t="n">
        <v>46023</v>
      </c>
      <c r="B17" s="83" t="s">
        <v>185</v>
      </c>
      <c r="C17" s="84" t="n">
        <v>1247.62</v>
      </c>
      <c r="D17" s="85" t="n">
        <v>5111</v>
      </c>
      <c r="E17" s="85" t="n">
        <v>421</v>
      </c>
      <c r="F17" s="86" t="n">
        <v>27.9</v>
      </c>
      <c r="G17" s="83" t="s">
        <v>503</v>
      </c>
      <c r="H17" s="0" t="str">
        <f aca="false">IF(B17="","",IF(COUNTIF(Campaigns!$A$7:$A$300,B17)&gt;0,"✓","⚠ add to Campaigns tab"))</f>
        <v>✓</v>
      </c>
      <c r="I17" s="84" t="n">
        <f aca="false">IF(C17="","",C17*IF(Settings!$B$23=Settings!$C$6,1,IF(Settings!$B$23="USD",1/INDEX(Settings!$B$29:$B$40,MONTH(A17)),INDEX(Settings!$B$29:$B$40,MONTH(A17)))))</f>
        <v>1394.464874</v>
      </c>
    </row>
    <row r="18" customFormat="false" ht="15" hidden="false" customHeight="false" outlineLevel="0" collapsed="false">
      <c r="A18" s="82" t="n">
        <v>46023</v>
      </c>
      <c r="B18" s="83" t="s">
        <v>217</v>
      </c>
      <c r="C18" s="84" t="n">
        <v>249.45</v>
      </c>
      <c r="D18" s="85" t="n">
        <v>163071</v>
      </c>
      <c r="E18" s="85" t="n">
        <v>11751</v>
      </c>
      <c r="F18" s="86" t="n">
        <v>0</v>
      </c>
      <c r="G18" s="83" t="s">
        <v>503</v>
      </c>
      <c r="H18" s="0" t="str">
        <f aca="false">IF(B18="","",IF(COUNTIF(Campaigns!$A$7:$A$300,B18)&gt;0,"✓","⚠ add to Campaigns tab"))</f>
        <v>✓</v>
      </c>
      <c r="I18" s="84" t="n">
        <f aca="false">IF(C18="","",C18*IF(Settings!$B$23=Settings!$C$6,1,IF(Settings!$B$23="USD",1/INDEX(Settings!$B$29:$B$40,MONTH(A18)),INDEX(Settings!$B$29:$B$40,MONTH(A18)))))</f>
        <v>278.810265</v>
      </c>
    </row>
    <row r="19" customFormat="false" ht="15" hidden="false" customHeight="false" outlineLevel="0" collapsed="false">
      <c r="A19" s="82" t="n">
        <v>46023</v>
      </c>
      <c r="B19" s="83" t="s">
        <v>214</v>
      </c>
      <c r="C19" s="84" t="n">
        <v>278.29</v>
      </c>
      <c r="D19" s="85" t="n">
        <v>72289</v>
      </c>
      <c r="E19" s="85" t="n">
        <v>5423</v>
      </c>
      <c r="F19" s="86" t="n">
        <v>0</v>
      </c>
      <c r="G19" s="83" t="s">
        <v>503</v>
      </c>
      <c r="H19" s="0" t="str">
        <f aca="false">IF(B19="","",IF(COUNTIF(Campaigns!$A$7:$A$300,B19)&gt;0,"✓","⚠ add to Campaigns tab"))</f>
        <v>✓</v>
      </c>
      <c r="I19" s="84" t="n">
        <f aca="false">IF(C19="","",C19*IF(Settings!$B$23=Settings!$C$6,1,IF(Settings!$B$23="USD",1/INDEX(Settings!$B$29:$B$40,MONTH(A19)),INDEX(Settings!$B$29:$B$40,MONTH(A19)))))</f>
        <v>311.044733</v>
      </c>
    </row>
    <row r="20" customFormat="false" ht="15" hidden="false" customHeight="false" outlineLevel="0" collapsed="false">
      <c r="A20" s="82" t="n">
        <v>46023</v>
      </c>
      <c r="B20" s="83" t="s">
        <v>200</v>
      </c>
      <c r="C20" s="84" t="n">
        <v>291.69</v>
      </c>
      <c r="D20" s="85" t="n">
        <v>570</v>
      </c>
      <c r="E20" s="85" t="n">
        <v>21</v>
      </c>
      <c r="F20" s="86" t="n">
        <v>2</v>
      </c>
      <c r="G20" s="83" t="s">
        <v>503</v>
      </c>
      <c r="H20" s="0" t="str">
        <f aca="false">IF(B20="","",IF(COUNTIF(Campaigns!$A$7:$A$300,B20)&gt;0,"✓","⚠ add to Campaigns tab"))</f>
        <v>✓</v>
      </c>
      <c r="I20" s="84" t="n">
        <f aca="false">IF(C20="","",C20*IF(Settings!$B$23=Settings!$C$6,1,IF(Settings!$B$23="USD",1/INDEX(Settings!$B$29:$B$40,MONTH(A20)),INDEX(Settings!$B$29:$B$40,MONTH(A20)))))</f>
        <v>326.021913</v>
      </c>
    </row>
    <row r="21" customFormat="false" ht="15" hidden="false" customHeight="false" outlineLevel="0" collapsed="false">
      <c r="A21" s="82" t="n">
        <v>46023</v>
      </c>
      <c r="B21" s="83" t="s">
        <v>193</v>
      </c>
      <c r="C21" s="84" t="n">
        <v>391.21</v>
      </c>
      <c r="D21" s="85" t="n">
        <v>1383</v>
      </c>
      <c r="E21" s="85" t="n">
        <v>46</v>
      </c>
      <c r="F21" s="86" t="n">
        <v>0</v>
      </c>
      <c r="G21" s="83" t="s">
        <v>503</v>
      </c>
      <c r="H21" s="0" t="str">
        <f aca="false">IF(B21="","",IF(COUNTIF(Campaigns!$A$7:$A$300,B21)&gt;0,"✓","⚠ add to Campaigns tab"))</f>
        <v>✓</v>
      </c>
      <c r="I21" s="84" t="n">
        <f aca="false">IF(C21="","",C21*IF(Settings!$B$23=Settings!$C$6,1,IF(Settings!$B$23="USD",1/INDEX(Settings!$B$29:$B$40,MONTH(A21)),INDEX(Settings!$B$29:$B$40,MONTH(A21)))))</f>
        <v>437.255417</v>
      </c>
    </row>
    <row r="22" customFormat="false" ht="15" hidden="false" customHeight="false" outlineLevel="0" collapsed="false">
      <c r="A22" s="82" t="n">
        <v>46023</v>
      </c>
      <c r="B22" s="83" t="s">
        <v>198</v>
      </c>
      <c r="C22" s="84" t="n">
        <v>343.85</v>
      </c>
      <c r="D22" s="85" t="n">
        <v>507</v>
      </c>
      <c r="E22" s="85" t="n">
        <v>30</v>
      </c>
      <c r="F22" s="86" t="n">
        <v>0</v>
      </c>
      <c r="G22" s="83" t="s">
        <v>503</v>
      </c>
      <c r="H22" s="0" t="str">
        <f aca="false">IF(B22="","",IF(COUNTIF(Campaigns!$A$7:$A$300,B22)&gt;0,"✓","⚠ add to Campaigns tab"))</f>
        <v>✓</v>
      </c>
      <c r="I22" s="84" t="n">
        <f aca="false">IF(C22="","",C22*IF(Settings!$B$23=Settings!$C$6,1,IF(Settings!$B$23="USD",1/INDEX(Settings!$B$29:$B$40,MONTH(A22)),INDEX(Settings!$B$29:$B$40,MONTH(A22)))))</f>
        <v>384.321145</v>
      </c>
    </row>
    <row r="23" customFormat="false" ht="15" hidden="false" customHeight="false" outlineLevel="0" collapsed="false">
      <c r="A23" s="82" t="n">
        <v>46023</v>
      </c>
      <c r="B23" s="83" t="s">
        <v>209</v>
      </c>
      <c r="C23" s="84" t="n">
        <v>558.8</v>
      </c>
      <c r="D23" s="85" t="n">
        <v>3496</v>
      </c>
      <c r="E23" s="85" t="n">
        <v>534</v>
      </c>
      <c r="F23" s="86" t="n">
        <v>23.16</v>
      </c>
      <c r="G23" s="83" t="s">
        <v>503</v>
      </c>
      <c r="H23" s="0" t="str">
        <f aca="false">IF(B23="","",IF(COUNTIF(Campaigns!$A$7:$A$300,B23)&gt;0,"✓","⚠ add to Campaigns tab"))</f>
        <v>✓</v>
      </c>
      <c r="I23" s="84" t="n">
        <f aca="false">IF(C23="","",C23*IF(Settings!$B$23=Settings!$C$6,1,IF(Settings!$B$23="USD",1/INDEX(Settings!$B$29:$B$40,MONTH(A23)),INDEX(Settings!$B$29:$B$40,MONTH(A23)))))</f>
        <v>624.57076</v>
      </c>
    </row>
    <row r="24" customFormat="false" ht="15" hidden="false" customHeight="false" outlineLevel="0" collapsed="false">
      <c r="A24" s="82" t="n">
        <v>46023</v>
      </c>
      <c r="B24" s="83" t="s">
        <v>205</v>
      </c>
      <c r="C24" s="84" t="n">
        <v>583</v>
      </c>
      <c r="D24" s="85" t="n">
        <v>51121</v>
      </c>
      <c r="E24" s="85" t="n">
        <v>1089</v>
      </c>
      <c r="F24" s="86" t="n">
        <v>48.87</v>
      </c>
      <c r="G24" s="83" t="s">
        <v>503</v>
      </c>
      <c r="H24" s="0" t="str">
        <f aca="false">IF(B24="","",IF(COUNTIF(Campaigns!$A$7:$A$300,B24)&gt;0,"✓","⚠ add to Campaigns tab"))</f>
        <v>✓</v>
      </c>
      <c r="I24" s="84" t="n">
        <f aca="false">IF(C24="","",C24*IF(Settings!$B$23=Settings!$C$6,1,IF(Settings!$B$23="USD",1/INDEX(Settings!$B$29:$B$40,MONTH(A24)),INDEX(Settings!$B$29:$B$40,MONTH(A24)))))</f>
        <v>651.6191</v>
      </c>
    </row>
    <row r="25" customFormat="false" ht="15" hidden="false" customHeight="false" outlineLevel="0" collapsed="false">
      <c r="A25" s="82" t="n">
        <v>46023</v>
      </c>
      <c r="B25" s="83" t="s">
        <v>216</v>
      </c>
      <c r="C25" s="84" t="n">
        <v>273.88</v>
      </c>
      <c r="D25" s="85" t="n">
        <v>78685</v>
      </c>
      <c r="E25" s="85" t="n">
        <v>6214</v>
      </c>
      <c r="F25" s="86" t="n">
        <v>0</v>
      </c>
      <c r="G25" s="83" t="s">
        <v>503</v>
      </c>
      <c r="H25" s="0" t="str">
        <f aca="false">IF(B25="","",IF(COUNTIF(Campaigns!$A$7:$A$300,B25)&gt;0,"✓","⚠ add to Campaigns tab"))</f>
        <v>✓</v>
      </c>
      <c r="I25" s="84" t="n">
        <f aca="false">IF(C25="","",C25*IF(Settings!$B$23=Settings!$C$6,1,IF(Settings!$B$23="USD",1/INDEX(Settings!$B$29:$B$40,MONTH(A25)),INDEX(Settings!$B$29:$B$40,MONTH(A25)))))</f>
        <v>306.115676</v>
      </c>
    </row>
    <row r="26" customFormat="false" ht="15" hidden="false" customHeight="false" outlineLevel="0" collapsed="false">
      <c r="A26" s="82" t="n">
        <v>46023</v>
      </c>
      <c r="B26" s="83" t="s">
        <v>208</v>
      </c>
      <c r="C26" s="84" t="n">
        <v>709.12</v>
      </c>
      <c r="D26" s="85" t="n">
        <v>222711</v>
      </c>
      <c r="E26" s="85" t="n">
        <v>10765</v>
      </c>
      <c r="F26" s="86" t="n">
        <v>0</v>
      </c>
      <c r="G26" s="83" t="s">
        <v>503</v>
      </c>
      <c r="H26" s="0" t="str">
        <f aca="false">IF(B26="","",IF(COUNTIF(Campaigns!$A$7:$A$300,B26)&gt;0,"✓","⚠ add to Campaigns tab"))</f>
        <v>✓</v>
      </c>
      <c r="I26" s="84" t="n">
        <f aca="false">IF(C26="","",C26*IF(Settings!$B$23=Settings!$C$6,1,IF(Settings!$B$23="USD",1/INDEX(Settings!$B$29:$B$40,MONTH(A26)),INDEX(Settings!$B$29:$B$40,MONTH(A26)))))</f>
        <v>792.583424</v>
      </c>
    </row>
    <row r="27" customFormat="false" ht="15" hidden="false" customHeight="false" outlineLevel="0" collapsed="false">
      <c r="A27" s="82" t="n">
        <v>46054</v>
      </c>
      <c r="B27" s="83" t="s">
        <v>202</v>
      </c>
      <c r="C27" s="84" t="n">
        <v>353.18</v>
      </c>
      <c r="D27" s="85" t="n">
        <v>1610</v>
      </c>
      <c r="E27" s="85" t="n">
        <v>67</v>
      </c>
      <c r="F27" s="86" t="n">
        <v>2.17</v>
      </c>
      <c r="G27" s="83" t="s">
        <v>503</v>
      </c>
      <c r="H27" s="0" t="str">
        <f aca="false">IF(B27="","",IF(COUNTIF(Campaigns!$A$7:$A$300,B27)&gt;0,"✓","⚠ add to Campaigns tab"))</f>
        <v>✓</v>
      </c>
      <c r="I27" s="84" t="n">
        <f aca="false">IF(C27="","",C27*IF(Settings!$B$23=Settings!$C$6,1,IF(Settings!$B$23="USD",1/INDEX(Settings!$B$29:$B$40,MONTH(A27)),INDEX(Settings!$B$29:$B$40,MONTH(A27)))))</f>
        <v>394.749286</v>
      </c>
    </row>
    <row r="28" customFormat="false" ht="15" hidden="false" customHeight="false" outlineLevel="0" collapsed="false">
      <c r="A28" s="82" t="n">
        <v>46054</v>
      </c>
      <c r="B28" s="83" t="s">
        <v>204</v>
      </c>
      <c r="C28" s="84" t="n">
        <v>252.14</v>
      </c>
      <c r="D28" s="85" t="n">
        <v>7453</v>
      </c>
      <c r="E28" s="85" t="n">
        <v>293</v>
      </c>
      <c r="F28" s="86" t="n">
        <v>29.02</v>
      </c>
      <c r="G28" s="83" t="s">
        <v>503</v>
      </c>
      <c r="H28" s="0" t="str">
        <f aca="false">IF(B28="","",IF(COUNTIF(Campaigns!$A$7:$A$300,B28)&gt;0,"✓","⚠ add to Campaigns tab"))</f>
        <v>✓</v>
      </c>
      <c r="I28" s="84" t="n">
        <f aca="false">IF(C28="","",C28*IF(Settings!$B$23=Settings!$C$6,1,IF(Settings!$B$23="USD",1/INDEX(Settings!$B$29:$B$40,MONTH(A28)),INDEX(Settings!$B$29:$B$40,MONTH(A28)))))</f>
        <v>281.816878</v>
      </c>
    </row>
    <row r="29" customFormat="false" ht="15" hidden="false" customHeight="false" outlineLevel="0" collapsed="false">
      <c r="A29" s="82" t="n">
        <v>46054</v>
      </c>
      <c r="B29" s="83" t="s">
        <v>206</v>
      </c>
      <c r="C29" s="84" t="n">
        <v>752.69</v>
      </c>
      <c r="D29" s="85" t="n">
        <v>1149380</v>
      </c>
      <c r="E29" s="85" t="n">
        <v>3970</v>
      </c>
      <c r="F29" s="86" t="n">
        <v>0</v>
      </c>
      <c r="G29" s="83" t="s">
        <v>503</v>
      </c>
      <c r="H29" s="0" t="str">
        <f aca="false">IF(B29="","",IF(COUNTIF(Campaigns!$A$7:$A$300,B29)&gt;0,"✓","⚠ add to Campaigns tab"))</f>
        <v>✓</v>
      </c>
      <c r="I29" s="84" t="n">
        <f aca="false">IF(C29="","",C29*IF(Settings!$B$23=Settings!$C$6,1,IF(Settings!$B$23="USD",1/INDEX(Settings!$B$29:$B$40,MONTH(A29)),INDEX(Settings!$B$29:$B$40,MONTH(A29)))))</f>
        <v>841.281613</v>
      </c>
    </row>
    <row r="30" customFormat="false" ht="15" hidden="false" customHeight="false" outlineLevel="0" collapsed="false">
      <c r="A30" s="82" t="n">
        <v>46054</v>
      </c>
      <c r="B30" s="83" t="s">
        <v>194</v>
      </c>
      <c r="C30" s="84" t="n">
        <v>733.96</v>
      </c>
      <c r="D30" s="85" t="n">
        <v>1152</v>
      </c>
      <c r="E30" s="85" t="n">
        <v>59</v>
      </c>
      <c r="F30" s="86" t="n">
        <v>2</v>
      </c>
      <c r="G30" s="83" t="s">
        <v>503</v>
      </c>
      <c r="H30" s="0" t="str">
        <f aca="false">IF(B30="","",IF(COUNTIF(Campaigns!$A$7:$A$300,B30)&gt;0,"✓","⚠ add to Campaigns tab"))</f>
        <v>✓</v>
      </c>
      <c r="I30" s="84" t="n">
        <f aca="false">IF(C30="","",C30*IF(Settings!$B$23=Settings!$C$6,1,IF(Settings!$B$23="USD",1/INDEX(Settings!$B$29:$B$40,MONTH(A30)),INDEX(Settings!$B$29:$B$40,MONTH(A30)))))</f>
        <v>820.347092</v>
      </c>
    </row>
    <row r="31" customFormat="false" ht="15" hidden="false" customHeight="false" outlineLevel="0" collapsed="false">
      <c r="A31" s="82" t="n">
        <v>46054</v>
      </c>
      <c r="B31" s="83" t="s">
        <v>184</v>
      </c>
      <c r="C31" s="84" t="n">
        <v>972.79</v>
      </c>
      <c r="D31" s="85" t="n">
        <v>5659</v>
      </c>
      <c r="E31" s="85" t="n">
        <v>595</v>
      </c>
      <c r="F31" s="86" t="n">
        <v>37.87</v>
      </c>
      <c r="G31" s="83" t="s">
        <v>503</v>
      </c>
      <c r="H31" s="0" t="str">
        <f aca="false">IF(B31="","",IF(COUNTIF(Campaigns!$A$7:$A$300,B31)&gt;0,"✓","⚠ add to Campaigns tab"))</f>
        <v>✓</v>
      </c>
      <c r="I31" s="84" t="n">
        <f aca="false">IF(C31="","",C31*IF(Settings!$B$23=Settings!$C$6,1,IF(Settings!$B$23="USD",1/INDEX(Settings!$B$29:$B$40,MONTH(A31)),INDEX(Settings!$B$29:$B$40,MONTH(A31)))))</f>
        <v>1087.287383</v>
      </c>
    </row>
    <row r="32" customFormat="false" ht="15" hidden="false" customHeight="false" outlineLevel="0" collapsed="false">
      <c r="A32" s="82" t="n">
        <v>46054</v>
      </c>
      <c r="B32" s="83" t="s">
        <v>190</v>
      </c>
      <c r="C32" s="84" t="n">
        <v>637.86</v>
      </c>
      <c r="D32" s="85" t="n">
        <v>3062</v>
      </c>
      <c r="E32" s="85" t="n">
        <v>342</v>
      </c>
      <c r="F32" s="86" t="n">
        <v>5</v>
      </c>
      <c r="G32" s="83" t="s">
        <v>503</v>
      </c>
      <c r="H32" s="0" t="str">
        <f aca="false">IF(B32="","",IF(COUNTIF(Campaigns!$A$7:$A$300,B32)&gt;0,"✓","⚠ add to Campaigns tab"))</f>
        <v>✓</v>
      </c>
      <c r="I32" s="84" t="n">
        <f aca="false">IF(C32="","",C32*IF(Settings!$B$23=Settings!$C$6,1,IF(Settings!$B$23="USD",1/INDEX(Settings!$B$29:$B$40,MONTH(A32)),INDEX(Settings!$B$29:$B$40,MONTH(A32)))))</f>
        <v>712.936122</v>
      </c>
    </row>
    <row r="33" customFormat="false" ht="15" hidden="false" customHeight="false" outlineLevel="0" collapsed="false">
      <c r="A33" s="82" t="n">
        <v>46054</v>
      </c>
      <c r="B33" s="83" t="s">
        <v>199</v>
      </c>
      <c r="C33" s="84" t="n">
        <v>406.07</v>
      </c>
      <c r="D33" s="85" t="n">
        <v>2205</v>
      </c>
      <c r="E33" s="85" t="n">
        <v>219</v>
      </c>
      <c r="F33" s="86" t="n">
        <v>5</v>
      </c>
      <c r="G33" s="83" t="s">
        <v>503</v>
      </c>
      <c r="H33" s="0" t="str">
        <f aca="false">IF(B33="","",IF(COUNTIF(Campaigns!$A$7:$A$300,B33)&gt;0,"✓","⚠ add to Campaigns tab"))</f>
        <v>✓</v>
      </c>
      <c r="I33" s="84" t="n">
        <f aca="false">IF(C33="","",C33*IF(Settings!$B$23=Settings!$C$6,1,IF(Settings!$B$23="USD",1/INDEX(Settings!$B$29:$B$40,MONTH(A33)),INDEX(Settings!$B$29:$B$40,MONTH(A33)))))</f>
        <v>453.864439</v>
      </c>
    </row>
    <row r="34" customFormat="false" ht="15" hidden="false" customHeight="false" outlineLevel="0" collapsed="false">
      <c r="A34" s="82" t="n">
        <v>46054</v>
      </c>
      <c r="B34" s="83" t="s">
        <v>201</v>
      </c>
      <c r="C34" s="84" t="n">
        <v>161.15</v>
      </c>
      <c r="D34" s="85" t="n">
        <v>3860</v>
      </c>
      <c r="E34" s="85" t="n">
        <v>260</v>
      </c>
      <c r="F34" s="86" t="n">
        <v>4.85</v>
      </c>
      <c r="G34" s="83" t="s">
        <v>503</v>
      </c>
      <c r="H34" s="0" t="str">
        <f aca="false">IF(B34="","",IF(COUNTIF(Campaigns!$A$7:$A$300,B34)&gt;0,"✓","⚠ add to Campaigns tab"))</f>
        <v>✓</v>
      </c>
      <c r="I34" s="84" t="n">
        <f aca="false">IF(C34="","",C34*IF(Settings!$B$23=Settings!$C$6,1,IF(Settings!$B$23="USD",1/INDEX(Settings!$B$29:$B$40,MONTH(A34)),INDEX(Settings!$B$29:$B$40,MONTH(A34)))))</f>
        <v>180.117355</v>
      </c>
    </row>
    <row r="35" customFormat="false" ht="15" hidden="false" customHeight="false" outlineLevel="0" collapsed="false">
      <c r="A35" s="82" t="n">
        <v>46054</v>
      </c>
      <c r="B35" s="83" t="s">
        <v>191</v>
      </c>
      <c r="C35" s="84" t="n">
        <v>632.53</v>
      </c>
      <c r="D35" s="85" t="n">
        <v>3130</v>
      </c>
      <c r="E35" s="85" t="n">
        <v>269</v>
      </c>
      <c r="F35" s="86" t="n">
        <v>8.16</v>
      </c>
      <c r="G35" s="83" t="s">
        <v>503</v>
      </c>
      <c r="H35" s="0" t="str">
        <f aca="false">IF(B35="","",IF(COUNTIF(Campaigns!$A$7:$A$300,B35)&gt;0,"✓","⚠ add to Campaigns tab"))</f>
        <v>✓</v>
      </c>
      <c r="I35" s="84" t="n">
        <f aca="false">IF(C35="","",C35*IF(Settings!$B$23=Settings!$C$6,1,IF(Settings!$B$23="USD",1/INDEX(Settings!$B$29:$B$40,MONTH(A35)),INDEX(Settings!$B$29:$B$40,MONTH(A35)))))</f>
        <v>706.978781</v>
      </c>
    </row>
    <row r="36" customFormat="false" ht="15" hidden="false" customHeight="false" outlineLevel="0" collapsed="false">
      <c r="A36" s="82" t="n">
        <v>46054</v>
      </c>
      <c r="B36" s="83" t="s">
        <v>186</v>
      </c>
      <c r="C36" s="84" t="n">
        <v>688.07</v>
      </c>
      <c r="D36" s="85" t="n">
        <v>2221</v>
      </c>
      <c r="E36" s="85" t="n">
        <v>201</v>
      </c>
      <c r="F36" s="86" t="n">
        <v>12.63</v>
      </c>
      <c r="G36" s="83" t="s">
        <v>503</v>
      </c>
      <c r="H36" s="0" t="str">
        <f aca="false">IF(B36="","",IF(COUNTIF(Campaigns!$A$7:$A$300,B36)&gt;0,"✓","⚠ add to Campaigns tab"))</f>
        <v>✓</v>
      </c>
      <c r="I36" s="84" t="n">
        <f aca="false">IF(C36="","",C36*IF(Settings!$B$23=Settings!$C$6,1,IF(Settings!$B$23="USD",1/INDEX(Settings!$B$29:$B$40,MONTH(A36)),INDEX(Settings!$B$29:$B$40,MONTH(A36)))))</f>
        <v>769.055839</v>
      </c>
    </row>
    <row r="37" customFormat="false" ht="15" hidden="false" customHeight="false" outlineLevel="0" collapsed="false">
      <c r="A37" s="82" t="n">
        <v>46054</v>
      </c>
      <c r="B37" s="83" t="s">
        <v>188</v>
      </c>
      <c r="C37" s="84" t="n">
        <v>303.33</v>
      </c>
      <c r="D37" s="85" t="n">
        <v>627</v>
      </c>
      <c r="E37" s="85" t="n">
        <v>21</v>
      </c>
      <c r="F37" s="86" t="n">
        <v>0</v>
      </c>
      <c r="G37" s="83" t="s">
        <v>503</v>
      </c>
      <c r="H37" s="0" t="str">
        <f aca="false">IF(B37="","",IF(COUNTIF(Campaigns!$A$7:$A$300,B37)&gt;0,"✓","⚠ add to Campaigns tab"))</f>
        <v>✓</v>
      </c>
      <c r="I37" s="84" t="n">
        <f aca="false">IF(C37="","",C37*IF(Settings!$B$23=Settings!$C$6,1,IF(Settings!$B$23="USD",1/INDEX(Settings!$B$29:$B$40,MONTH(A37)),INDEX(Settings!$B$29:$B$40,MONTH(A37)))))</f>
        <v>339.031941</v>
      </c>
    </row>
    <row r="38" customFormat="false" ht="15" hidden="false" customHeight="false" outlineLevel="0" collapsed="false">
      <c r="A38" s="82" t="n">
        <v>46054</v>
      </c>
      <c r="B38" s="83" t="s">
        <v>203</v>
      </c>
      <c r="C38" s="84" t="n">
        <v>63.68</v>
      </c>
      <c r="D38" s="85" t="n">
        <v>502</v>
      </c>
      <c r="E38" s="85" t="n">
        <v>40</v>
      </c>
      <c r="F38" s="86" t="n">
        <v>0</v>
      </c>
      <c r="G38" s="83" t="s">
        <v>503</v>
      </c>
      <c r="H38" s="0" t="str">
        <f aca="false">IF(B38="","",IF(COUNTIF(Campaigns!$A$7:$A$300,B38)&gt;0,"✓","⚠ add to Campaigns tab"))</f>
        <v>✓</v>
      </c>
      <c r="I38" s="84" t="n">
        <f aca="false">IF(C38="","",C38*IF(Settings!$B$23=Settings!$C$6,1,IF(Settings!$B$23="USD",1/INDEX(Settings!$B$29:$B$40,MONTH(A38)),INDEX(Settings!$B$29:$B$40,MONTH(A38)))))</f>
        <v>71.175136</v>
      </c>
    </row>
    <row r="39" customFormat="false" ht="15" hidden="false" customHeight="false" outlineLevel="0" collapsed="false">
      <c r="A39" s="82" t="n">
        <v>46054</v>
      </c>
      <c r="B39" s="83" t="s">
        <v>187</v>
      </c>
      <c r="C39" s="84" t="n">
        <v>300.63</v>
      </c>
      <c r="D39" s="85" t="n">
        <v>1172</v>
      </c>
      <c r="E39" s="85" t="n">
        <v>53</v>
      </c>
      <c r="F39" s="86" t="n">
        <v>0.17</v>
      </c>
      <c r="G39" s="83" t="s">
        <v>503</v>
      </c>
      <c r="H39" s="0" t="str">
        <f aca="false">IF(B39="","",IF(COUNTIF(Campaigns!$A$7:$A$300,B39)&gt;0,"✓","⚠ add to Campaigns tab"))</f>
        <v>✓</v>
      </c>
      <c r="I39" s="84" t="n">
        <f aca="false">IF(C39="","",C39*IF(Settings!$B$23=Settings!$C$6,1,IF(Settings!$B$23="USD",1/INDEX(Settings!$B$29:$B$40,MONTH(A39)),INDEX(Settings!$B$29:$B$40,MONTH(A39)))))</f>
        <v>336.014151</v>
      </c>
    </row>
    <row r="40" customFormat="false" ht="15" hidden="false" customHeight="false" outlineLevel="0" collapsed="false">
      <c r="A40" s="82" t="n">
        <v>46054</v>
      </c>
      <c r="B40" s="83" t="s">
        <v>185</v>
      </c>
      <c r="C40" s="84" t="n">
        <v>962.73</v>
      </c>
      <c r="D40" s="85" t="n">
        <v>3453</v>
      </c>
      <c r="E40" s="85" t="n">
        <v>428</v>
      </c>
      <c r="F40" s="86" t="n">
        <v>25.95</v>
      </c>
      <c r="G40" s="83" t="s">
        <v>503</v>
      </c>
      <c r="H40" s="0" t="str">
        <f aca="false">IF(B40="","",IF(COUNTIF(Campaigns!$A$7:$A$300,B40)&gt;0,"✓","⚠ add to Campaigns tab"))</f>
        <v>✓</v>
      </c>
      <c r="I40" s="84" t="n">
        <f aca="false">IF(C40="","",C40*IF(Settings!$B$23=Settings!$C$6,1,IF(Settings!$B$23="USD",1/INDEX(Settings!$B$29:$B$40,MONTH(A40)),INDEX(Settings!$B$29:$B$40,MONTH(A40)))))</f>
        <v>1076.043321</v>
      </c>
    </row>
    <row r="41" customFormat="false" ht="15" hidden="false" customHeight="false" outlineLevel="0" collapsed="false">
      <c r="A41" s="82" t="n">
        <v>46054</v>
      </c>
      <c r="B41" s="83" t="s">
        <v>200</v>
      </c>
      <c r="C41" s="84" t="n">
        <v>489.3</v>
      </c>
      <c r="D41" s="85" t="n">
        <v>1200</v>
      </c>
      <c r="E41" s="85" t="n">
        <v>56</v>
      </c>
      <c r="F41" s="86" t="n">
        <v>1</v>
      </c>
      <c r="G41" s="83" t="s">
        <v>503</v>
      </c>
      <c r="H41" s="0" t="str">
        <f aca="false">IF(B41="","",IF(COUNTIF(Campaigns!$A$7:$A$300,B41)&gt;0,"✓","⚠ add to Campaigns tab"))</f>
        <v>✓</v>
      </c>
      <c r="I41" s="84" t="n">
        <f aca="false">IF(C41="","",C41*IF(Settings!$B$23=Settings!$C$6,1,IF(Settings!$B$23="USD",1/INDEX(Settings!$B$29:$B$40,MONTH(A41)),INDEX(Settings!$B$29:$B$40,MONTH(A41)))))</f>
        <v>546.89061</v>
      </c>
    </row>
    <row r="42" customFormat="false" ht="15" hidden="false" customHeight="false" outlineLevel="0" collapsed="false">
      <c r="A42" s="82" t="n">
        <v>46054</v>
      </c>
      <c r="B42" s="83" t="s">
        <v>193</v>
      </c>
      <c r="C42" s="84" t="n">
        <v>760.58</v>
      </c>
      <c r="D42" s="85" t="n">
        <v>2217</v>
      </c>
      <c r="E42" s="85" t="n">
        <v>98</v>
      </c>
      <c r="F42" s="86" t="n">
        <v>0.2</v>
      </c>
      <c r="G42" s="83" t="s">
        <v>503</v>
      </c>
      <c r="H42" s="0" t="str">
        <f aca="false">IF(B42="","",IF(COUNTIF(Campaigns!$A$7:$A$300,B42)&gt;0,"✓","⚠ add to Campaigns tab"))</f>
        <v>✓</v>
      </c>
      <c r="I42" s="84" t="n">
        <f aca="false">IF(C42="","",C42*IF(Settings!$B$23=Settings!$C$6,1,IF(Settings!$B$23="USD",1/INDEX(Settings!$B$29:$B$40,MONTH(A42)),INDEX(Settings!$B$29:$B$40,MONTH(A42)))))</f>
        <v>850.100266</v>
      </c>
    </row>
    <row r="43" customFormat="false" ht="15" hidden="false" customHeight="false" outlineLevel="0" collapsed="false">
      <c r="A43" s="82" t="n">
        <v>46054</v>
      </c>
      <c r="B43" s="83" t="s">
        <v>198</v>
      </c>
      <c r="C43" s="84" t="n">
        <v>610.95</v>
      </c>
      <c r="D43" s="85" t="n">
        <v>861</v>
      </c>
      <c r="E43" s="85" t="n">
        <v>56</v>
      </c>
      <c r="F43" s="86" t="n">
        <v>5.21</v>
      </c>
      <c r="G43" s="83" t="s">
        <v>503</v>
      </c>
      <c r="H43" s="0" t="str">
        <f aca="false">IF(B43="","",IF(COUNTIF(Campaigns!$A$7:$A$300,B43)&gt;0,"✓","⚠ add to Campaigns tab"))</f>
        <v>✓</v>
      </c>
      <c r="I43" s="84" t="n">
        <f aca="false">IF(C43="","",C43*IF(Settings!$B$23=Settings!$C$6,1,IF(Settings!$B$23="USD",1/INDEX(Settings!$B$29:$B$40,MONTH(A43)),INDEX(Settings!$B$29:$B$40,MONTH(A43)))))</f>
        <v>682.858815</v>
      </c>
    </row>
    <row r="44" customFormat="false" ht="15" hidden="false" customHeight="false" outlineLevel="0" collapsed="false">
      <c r="A44" s="82" t="n">
        <v>46054</v>
      </c>
      <c r="B44" s="83" t="s">
        <v>207</v>
      </c>
      <c r="C44" s="84" t="n">
        <v>750.24</v>
      </c>
      <c r="D44" s="85" t="n">
        <v>1281601</v>
      </c>
      <c r="E44" s="85" t="n">
        <v>2745</v>
      </c>
      <c r="F44" s="86" t="n">
        <v>0</v>
      </c>
      <c r="G44" s="83" t="s">
        <v>503</v>
      </c>
      <c r="H44" s="0" t="str">
        <f aca="false">IF(B44="","",IF(COUNTIF(Campaigns!$A$7:$A$300,B44)&gt;0,"✓","⚠ add to Campaigns tab"))</f>
        <v>✓</v>
      </c>
      <c r="I44" s="84" t="n">
        <f aca="false">IF(C44="","",C44*IF(Settings!$B$23=Settings!$C$6,1,IF(Settings!$B$23="USD",1/INDEX(Settings!$B$29:$B$40,MONTH(A44)),INDEX(Settings!$B$29:$B$40,MONTH(A44)))))</f>
        <v>838.543248</v>
      </c>
    </row>
    <row r="45" customFormat="false" ht="15" hidden="false" customHeight="false" outlineLevel="0" collapsed="false">
      <c r="A45" s="82" t="n">
        <v>46054</v>
      </c>
      <c r="B45" s="83" t="s">
        <v>205</v>
      </c>
      <c r="C45" s="84" t="n">
        <v>85.28</v>
      </c>
      <c r="D45" s="85" t="n">
        <v>4120</v>
      </c>
      <c r="E45" s="85" t="n">
        <v>63</v>
      </c>
      <c r="F45" s="86" t="n">
        <v>12</v>
      </c>
      <c r="G45" s="83" t="s">
        <v>503</v>
      </c>
      <c r="H45" s="0" t="str">
        <f aca="false">IF(B45="","",IF(COUNTIF(Campaigns!$A$7:$A$300,B45)&gt;0,"✓","⚠ add to Campaigns tab"))</f>
        <v>✓</v>
      </c>
      <c r="I45" s="84" t="n">
        <f aca="false">IF(C45="","",C45*IF(Settings!$B$23=Settings!$C$6,1,IF(Settings!$B$23="USD",1/INDEX(Settings!$B$29:$B$40,MONTH(A45)),INDEX(Settings!$B$29:$B$40,MONTH(A45)))))</f>
        <v>95.317456</v>
      </c>
    </row>
    <row r="46" customFormat="false" ht="15" hidden="false" customHeight="false" outlineLevel="0" collapsed="false">
      <c r="A46" s="82" t="n">
        <v>46082</v>
      </c>
      <c r="B46" s="83" t="s">
        <v>202</v>
      </c>
      <c r="C46" s="84" t="n">
        <v>367.53</v>
      </c>
      <c r="D46" s="85" t="n">
        <v>2155</v>
      </c>
      <c r="E46" s="85" t="n">
        <v>85</v>
      </c>
      <c r="F46" s="86" t="n">
        <v>0.58</v>
      </c>
      <c r="G46" s="83" t="s">
        <v>503</v>
      </c>
      <c r="H46" s="0" t="str">
        <f aca="false">IF(B46="","",IF(COUNTIF(Campaigns!$A$7:$A$300,B46)&gt;0,"✓","⚠ add to Campaigns tab"))</f>
        <v>✓</v>
      </c>
      <c r="I46" s="84" t="n">
        <f aca="false">IF(C46="","",C46*IF(Settings!$B$23=Settings!$C$6,1,IF(Settings!$B$23="USD",1/INDEX(Settings!$B$29:$B$40,MONTH(A46)),INDEX(Settings!$B$29:$B$40,MONTH(A46)))))</f>
        <v>410.788281</v>
      </c>
    </row>
    <row r="47" customFormat="false" ht="15" hidden="false" customHeight="false" outlineLevel="0" collapsed="false">
      <c r="A47" s="82" t="n">
        <v>46082</v>
      </c>
      <c r="B47" s="83" t="s">
        <v>204</v>
      </c>
      <c r="C47" s="84" t="n">
        <v>172.09</v>
      </c>
      <c r="D47" s="85" t="n">
        <v>13210</v>
      </c>
      <c r="E47" s="85" t="n">
        <v>417</v>
      </c>
      <c r="F47" s="86" t="n">
        <v>21</v>
      </c>
      <c r="G47" s="83" t="s">
        <v>503</v>
      </c>
      <c r="H47" s="0" t="str">
        <f aca="false">IF(B47="","",IF(COUNTIF(Campaigns!$A$7:$A$300,B47)&gt;0,"✓","⚠ add to Campaigns tab"))</f>
        <v>✓</v>
      </c>
      <c r="I47" s="84" t="n">
        <f aca="false">IF(C47="","",C47*IF(Settings!$B$23=Settings!$C$6,1,IF(Settings!$B$23="USD",1/INDEX(Settings!$B$29:$B$40,MONTH(A47)),INDEX(Settings!$B$29:$B$40,MONTH(A47)))))</f>
        <v>192.344993</v>
      </c>
    </row>
    <row r="48" customFormat="false" ht="15" hidden="false" customHeight="false" outlineLevel="0" collapsed="false">
      <c r="A48" s="82" t="n">
        <v>46082</v>
      </c>
      <c r="B48" s="83" t="s">
        <v>215</v>
      </c>
      <c r="C48" s="84" t="n">
        <v>276.35</v>
      </c>
      <c r="D48" s="85" t="n">
        <v>10989</v>
      </c>
      <c r="E48" s="85" t="n">
        <v>68</v>
      </c>
      <c r="F48" s="86" t="n">
        <v>0</v>
      </c>
      <c r="G48" s="83" t="s">
        <v>503</v>
      </c>
      <c r="H48" s="0" t="str">
        <f aca="false">IF(B48="","",IF(COUNTIF(Campaigns!$A$7:$A$300,B48)&gt;0,"✓","⚠ add to Campaigns tab"))</f>
        <v>✓</v>
      </c>
      <c r="I48" s="84" t="n">
        <f aca="false">IF(C48="","",C48*IF(Settings!$B$23=Settings!$C$6,1,IF(Settings!$B$23="USD",1/INDEX(Settings!$B$29:$B$40,MONTH(A48)),INDEX(Settings!$B$29:$B$40,MONTH(A48)))))</f>
        <v>308.876395</v>
      </c>
    </row>
    <row r="49" customFormat="false" ht="15" hidden="false" customHeight="false" outlineLevel="0" collapsed="false">
      <c r="A49" s="82" t="n">
        <v>46082</v>
      </c>
      <c r="B49" s="83" t="s">
        <v>211</v>
      </c>
      <c r="C49" s="84" t="n">
        <v>178.85</v>
      </c>
      <c r="D49" s="85" t="n">
        <v>61853</v>
      </c>
      <c r="E49" s="85" t="n">
        <v>42</v>
      </c>
      <c r="F49" s="86" t="n">
        <v>0</v>
      </c>
      <c r="G49" s="83" t="s">
        <v>503</v>
      </c>
      <c r="H49" s="0" t="str">
        <f aca="false">IF(B49="","",IF(COUNTIF(Campaigns!$A$7:$A$300,B49)&gt;0,"✓","⚠ add to Campaigns tab"))</f>
        <v>✓</v>
      </c>
      <c r="I49" s="84" t="n">
        <f aca="false">IF(C49="","",C49*IF(Settings!$B$23=Settings!$C$6,1,IF(Settings!$B$23="USD",1/INDEX(Settings!$B$29:$B$40,MONTH(A49)),INDEX(Settings!$B$29:$B$40,MONTH(A49)))))</f>
        <v>199.900645</v>
      </c>
    </row>
    <row r="50" customFormat="false" ht="15" hidden="false" customHeight="false" outlineLevel="0" collapsed="false">
      <c r="A50" s="82" t="n">
        <v>46082</v>
      </c>
      <c r="B50" s="83" t="s">
        <v>194</v>
      </c>
      <c r="C50" s="84" t="n">
        <v>624.83</v>
      </c>
      <c r="D50" s="85" t="n">
        <v>785</v>
      </c>
      <c r="E50" s="85" t="n">
        <v>46</v>
      </c>
      <c r="F50" s="86" t="n">
        <v>4</v>
      </c>
      <c r="G50" s="83" t="s">
        <v>503</v>
      </c>
      <c r="H50" s="0" t="str">
        <f aca="false">IF(B50="","",IF(COUNTIF(Campaigns!$A$7:$A$300,B50)&gt;0,"✓","⚠ add to Campaigns tab"))</f>
        <v>✓</v>
      </c>
      <c r="I50" s="84" t="n">
        <f aca="false">IF(C50="","",C50*IF(Settings!$B$23=Settings!$C$6,1,IF(Settings!$B$23="USD",1/INDEX(Settings!$B$29:$B$40,MONTH(A50)),INDEX(Settings!$B$29:$B$40,MONTH(A50)))))</f>
        <v>698.372491</v>
      </c>
    </row>
    <row r="51" customFormat="false" ht="15" hidden="false" customHeight="false" outlineLevel="0" collapsed="false">
      <c r="A51" s="82" t="n">
        <v>46082</v>
      </c>
      <c r="B51" s="83" t="s">
        <v>184</v>
      </c>
      <c r="C51" s="84" t="n">
        <v>726.23</v>
      </c>
      <c r="D51" s="85" t="n">
        <v>5437</v>
      </c>
      <c r="E51" s="85" t="n">
        <v>507</v>
      </c>
      <c r="F51" s="86" t="n">
        <v>23.77</v>
      </c>
      <c r="G51" s="83" t="s">
        <v>503</v>
      </c>
      <c r="H51" s="0" t="str">
        <f aca="false">IF(B51="","",IF(COUNTIF(Campaigns!$A$7:$A$300,B51)&gt;0,"✓","⚠ add to Campaigns tab"))</f>
        <v>✓</v>
      </c>
      <c r="I51" s="84" t="n">
        <f aca="false">IF(C51="","",C51*IF(Settings!$B$23=Settings!$C$6,1,IF(Settings!$B$23="USD",1/INDEX(Settings!$B$29:$B$40,MONTH(A51)),INDEX(Settings!$B$29:$B$40,MONTH(A51)))))</f>
        <v>811.707271</v>
      </c>
    </row>
    <row r="52" customFormat="false" ht="15" hidden="false" customHeight="false" outlineLevel="0" collapsed="false">
      <c r="A52" s="82" t="n">
        <v>46082</v>
      </c>
      <c r="B52" s="83" t="s">
        <v>190</v>
      </c>
      <c r="C52" s="84" t="n">
        <v>632.87</v>
      </c>
      <c r="D52" s="85" t="n">
        <v>3280</v>
      </c>
      <c r="E52" s="85" t="n">
        <v>312</v>
      </c>
      <c r="F52" s="86" t="n">
        <v>10</v>
      </c>
      <c r="G52" s="83" t="s">
        <v>503</v>
      </c>
      <c r="H52" s="0" t="str">
        <f aca="false">IF(B52="","",IF(COUNTIF(Campaigns!$A$7:$A$300,B52)&gt;0,"✓","⚠ add to Campaigns tab"))</f>
        <v>✓</v>
      </c>
      <c r="I52" s="84" t="n">
        <f aca="false">IF(C52="","",C52*IF(Settings!$B$23=Settings!$C$6,1,IF(Settings!$B$23="USD",1/INDEX(Settings!$B$29:$B$40,MONTH(A52)),INDEX(Settings!$B$29:$B$40,MONTH(A52)))))</f>
        <v>707.358799</v>
      </c>
    </row>
    <row r="53" customFormat="false" ht="15" hidden="false" customHeight="false" outlineLevel="0" collapsed="false">
      <c r="A53" s="82" t="n">
        <v>46082</v>
      </c>
      <c r="B53" s="83" t="s">
        <v>199</v>
      </c>
      <c r="C53" s="84" t="n">
        <v>395.29</v>
      </c>
      <c r="D53" s="85" t="n">
        <v>1948</v>
      </c>
      <c r="E53" s="85" t="n">
        <v>189</v>
      </c>
      <c r="F53" s="86" t="n">
        <v>4</v>
      </c>
      <c r="G53" s="83" t="s">
        <v>503</v>
      </c>
      <c r="H53" s="0" t="str">
        <f aca="false">IF(B53="","",IF(COUNTIF(Campaigns!$A$7:$A$300,B53)&gt;0,"✓","⚠ add to Campaigns tab"))</f>
        <v>✓</v>
      </c>
      <c r="I53" s="84" t="n">
        <f aca="false">IF(C53="","",C53*IF(Settings!$B$23=Settings!$C$6,1,IF(Settings!$B$23="USD",1/INDEX(Settings!$B$29:$B$40,MONTH(A53)),INDEX(Settings!$B$29:$B$40,MONTH(A53)))))</f>
        <v>441.815633</v>
      </c>
    </row>
    <row r="54" customFormat="false" ht="15" hidden="false" customHeight="false" outlineLevel="0" collapsed="false">
      <c r="A54" s="82" t="n">
        <v>46082</v>
      </c>
      <c r="B54" s="83" t="s">
        <v>201</v>
      </c>
      <c r="C54" s="84" t="n">
        <v>242.14</v>
      </c>
      <c r="D54" s="85" t="n">
        <v>2445</v>
      </c>
      <c r="E54" s="85" t="n">
        <v>188</v>
      </c>
      <c r="F54" s="86" t="n">
        <v>9.21</v>
      </c>
      <c r="G54" s="83" t="s">
        <v>503</v>
      </c>
      <c r="H54" s="0" t="str">
        <f aca="false">IF(B54="","",IF(COUNTIF(Campaigns!$A$7:$A$300,B54)&gt;0,"✓","⚠ add to Campaigns tab"))</f>
        <v>✓</v>
      </c>
      <c r="I54" s="84" t="n">
        <f aca="false">IF(C54="","",C54*IF(Settings!$B$23=Settings!$C$6,1,IF(Settings!$B$23="USD",1/INDEX(Settings!$B$29:$B$40,MONTH(A54)),INDEX(Settings!$B$29:$B$40,MONTH(A54)))))</f>
        <v>270.639878</v>
      </c>
    </row>
    <row r="55" customFormat="false" ht="15" hidden="false" customHeight="false" outlineLevel="0" collapsed="false">
      <c r="A55" s="82" t="n">
        <v>46082</v>
      </c>
      <c r="B55" s="83" t="s">
        <v>191</v>
      </c>
      <c r="C55" s="84" t="n">
        <v>638.35</v>
      </c>
      <c r="D55" s="85" t="n">
        <v>2415</v>
      </c>
      <c r="E55" s="85" t="n">
        <v>224</v>
      </c>
      <c r="F55" s="86" t="n">
        <v>8.67</v>
      </c>
      <c r="G55" s="83" t="s">
        <v>503</v>
      </c>
      <c r="H55" s="0" t="str">
        <f aca="false">IF(B55="","",IF(COUNTIF(Campaigns!$A$7:$A$300,B55)&gt;0,"✓","⚠ add to Campaigns tab"))</f>
        <v>✓</v>
      </c>
      <c r="I55" s="84" t="n">
        <f aca="false">IF(C55="","",C55*IF(Settings!$B$23=Settings!$C$6,1,IF(Settings!$B$23="USD",1/INDEX(Settings!$B$29:$B$40,MONTH(A55)),INDEX(Settings!$B$29:$B$40,MONTH(A55)))))</f>
        <v>713.483795</v>
      </c>
    </row>
    <row r="56" customFormat="false" ht="15" hidden="false" customHeight="false" outlineLevel="0" collapsed="false">
      <c r="A56" s="82" t="n">
        <v>46082</v>
      </c>
      <c r="B56" s="83" t="s">
        <v>186</v>
      </c>
      <c r="C56" s="84" t="n">
        <v>993.5</v>
      </c>
      <c r="D56" s="85" t="n">
        <v>5236</v>
      </c>
      <c r="E56" s="85" t="n">
        <v>327</v>
      </c>
      <c r="F56" s="86" t="n">
        <v>21.7</v>
      </c>
      <c r="G56" s="83" t="s">
        <v>503</v>
      </c>
      <c r="H56" s="0" t="str">
        <f aca="false">IF(B56="","",IF(COUNTIF(Campaigns!$A$7:$A$300,B56)&gt;0,"✓","⚠ add to Campaigns tab"))</f>
        <v>✓</v>
      </c>
      <c r="I56" s="84" t="n">
        <f aca="false">IF(C56="","",C56*IF(Settings!$B$23=Settings!$C$6,1,IF(Settings!$B$23="USD",1/INDEX(Settings!$B$29:$B$40,MONTH(A56)),INDEX(Settings!$B$29:$B$40,MONTH(A56)))))</f>
        <v>1110.43495</v>
      </c>
    </row>
    <row r="57" customFormat="false" ht="15" hidden="false" customHeight="false" outlineLevel="0" collapsed="false">
      <c r="A57" s="82" t="n">
        <v>46082</v>
      </c>
      <c r="B57" s="83" t="s">
        <v>188</v>
      </c>
      <c r="C57" s="84" t="n">
        <v>148.04</v>
      </c>
      <c r="D57" s="85" t="n">
        <v>466</v>
      </c>
      <c r="E57" s="85" t="n">
        <v>12</v>
      </c>
      <c r="F57" s="86" t="n">
        <v>0</v>
      </c>
      <c r="G57" s="83" t="s">
        <v>503</v>
      </c>
      <c r="H57" s="0" t="str">
        <f aca="false">IF(B57="","",IF(COUNTIF(Campaigns!$A$7:$A$300,B57)&gt;0,"✓","⚠ add to Campaigns tab"))</f>
        <v>✓</v>
      </c>
      <c r="I57" s="84" t="n">
        <f aca="false">IF(C57="","",C57*IF(Settings!$B$23=Settings!$C$6,1,IF(Settings!$B$23="USD",1/INDEX(Settings!$B$29:$B$40,MONTH(A57)),INDEX(Settings!$B$29:$B$40,MONTH(A57)))))</f>
        <v>165.464308</v>
      </c>
    </row>
    <row r="58" customFormat="false" ht="15" hidden="false" customHeight="false" outlineLevel="0" collapsed="false">
      <c r="A58" s="82" t="n">
        <v>46082</v>
      </c>
      <c r="B58" s="83" t="s">
        <v>203</v>
      </c>
      <c r="C58" s="84" t="n">
        <v>122.71</v>
      </c>
      <c r="D58" s="85" t="n">
        <v>835</v>
      </c>
      <c r="E58" s="85" t="n">
        <v>68</v>
      </c>
      <c r="F58" s="86" t="n">
        <v>4.09</v>
      </c>
      <c r="G58" s="83" t="s">
        <v>503</v>
      </c>
      <c r="H58" s="0" t="str">
        <f aca="false">IF(B58="","",IF(COUNTIF(Campaigns!$A$7:$A$300,B58)&gt;0,"✓","⚠ add to Campaigns tab"))</f>
        <v>✓</v>
      </c>
      <c r="I58" s="84" t="n">
        <f aca="false">IF(C58="","",C58*IF(Settings!$B$23=Settings!$C$6,1,IF(Settings!$B$23="USD",1/INDEX(Settings!$B$29:$B$40,MONTH(A58)),INDEX(Settings!$B$29:$B$40,MONTH(A58)))))</f>
        <v>137.152967</v>
      </c>
    </row>
    <row r="59" customFormat="false" ht="15" hidden="false" customHeight="false" outlineLevel="0" collapsed="false">
      <c r="A59" s="82" t="n">
        <v>46082</v>
      </c>
      <c r="B59" s="83" t="s">
        <v>187</v>
      </c>
      <c r="C59" s="84" t="n">
        <v>303.88</v>
      </c>
      <c r="D59" s="85" t="n">
        <v>1208</v>
      </c>
      <c r="E59" s="85" t="n">
        <v>49</v>
      </c>
      <c r="F59" s="86" t="n">
        <v>4</v>
      </c>
      <c r="G59" s="83" t="s">
        <v>503</v>
      </c>
      <c r="H59" s="0" t="str">
        <f aca="false">IF(B59="","",IF(COUNTIF(Campaigns!$A$7:$A$300,B59)&gt;0,"✓","⚠ add to Campaigns tab"))</f>
        <v>✓</v>
      </c>
      <c r="I59" s="84" t="n">
        <f aca="false">IF(C59="","",C59*IF(Settings!$B$23=Settings!$C$6,1,IF(Settings!$B$23="USD",1/INDEX(Settings!$B$29:$B$40,MONTH(A59)),INDEX(Settings!$B$29:$B$40,MONTH(A59)))))</f>
        <v>339.646676</v>
      </c>
    </row>
    <row r="60" customFormat="false" ht="15" hidden="false" customHeight="false" outlineLevel="0" collapsed="false">
      <c r="A60" s="82" t="n">
        <v>46082</v>
      </c>
      <c r="B60" s="83" t="s">
        <v>185</v>
      </c>
      <c r="C60" s="84" t="n">
        <v>783.4</v>
      </c>
      <c r="D60" s="85" t="n">
        <v>3026</v>
      </c>
      <c r="E60" s="85" t="n">
        <v>337</v>
      </c>
      <c r="F60" s="86" t="n">
        <v>22.46</v>
      </c>
      <c r="G60" s="83" t="s">
        <v>503</v>
      </c>
      <c r="H60" s="0" t="str">
        <f aca="false">IF(B60="","",IF(COUNTIF(Campaigns!$A$7:$A$300,B60)&gt;0,"✓","⚠ add to Campaigns tab"))</f>
        <v>✓</v>
      </c>
      <c r="I60" s="84" t="n">
        <f aca="false">IF(C60="","",C60*IF(Settings!$B$23=Settings!$C$6,1,IF(Settings!$B$23="USD",1/INDEX(Settings!$B$29:$B$40,MONTH(A60)),INDEX(Settings!$B$29:$B$40,MONTH(A60)))))</f>
        <v>875.60618</v>
      </c>
    </row>
    <row r="61" customFormat="false" ht="15" hidden="false" customHeight="false" outlineLevel="0" collapsed="false">
      <c r="A61" s="82" t="n">
        <v>46082</v>
      </c>
      <c r="B61" s="83" t="s">
        <v>200</v>
      </c>
      <c r="C61" s="84" t="n">
        <v>491.58</v>
      </c>
      <c r="D61" s="85" t="n">
        <v>564</v>
      </c>
      <c r="E61" s="85" t="n">
        <v>40</v>
      </c>
      <c r="F61" s="86" t="n">
        <v>1</v>
      </c>
      <c r="G61" s="83" t="s">
        <v>503</v>
      </c>
      <c r="H61" s="0" t="str">
        <f aca="false">IF(B61="","",IF(COUNTIF(Campaigns!$A$7:$A$300,B61)&gt;0,"✓","⚠ add to Campaigns tab"))</f>
        <v>✓</v>
      </c>
      <c r="I61" s="84" t="n">
        <f aca="false">IF(C61="","",C61*IF(Settings!$B$23=Settings!$C$6,1,IF(Settings!$B$23="USD",1/INDEX(Settings!$B$29:$B$40,MONTH(A61)),INDEX(Settings!$B$29:$B$40,MONTH(A61)))))</f>
        <v>549.438966</v>
      </c>
    </row>
    <row r="62" customFormat="false" ht="15" hidden="false" customHeight="false" outlineLevel="0" collapsed="false">
      <c r="A62" s="82" t="n">
        <v>46082</v>
      </c>
      <c r="B62" s="83" t="s">
        <v>193</v>
      </c>
      <c r="C62" s="84" t="n">
        <v>794.01</v>
      </c>
      <c r="D62" s="85" t="n">
        <v>2028</v>
      </c>
      <c r="E62" s="85" t="n">
        <v>100</v>
      </c>
      <c r="F62" s="86" t="n">
        <v>3.13</v>
      </c>
      <c r="G62" s="83" t="s">
        <v>503</v>
      </c>
      <c r="H62" s="0" t="str">
        <f aca="false">IF(B62="","",IF(COUNTIF(Campaigns!$A$7:$A$300,B62)&gt;0,"✓","⚠ add to Campaigns tab"))</f>
        <v>✓</v>
      </c>
      <c r="I62" s="84" t="n">
        <f aca="false">IF(C62="","",C62*IF(Settings!$B$23=Settings!$C$6,1,IF(Settings!$B$23="USD",1/INDEX(Settings!$B$29:$B$40,MONTH(A62)),INDEX(Settings!$B$29:$B$40,MONTH(A62)))))</f>
        <v>887.464977</v>
      </c>
    </row>
    <row r="63" customFormat="false" ht="15" hidden="false" customHeight="false" outlineLevel="0" collapsed="false">
      <c r="A63" s="82" t="n">
        <v>46082</v>
      </c>
      <c r="B63" s="83" t="s">
        <v>212</v>
      </c>
      <c r="C63" s="84" t="n">
        <v>295.33</v>
      </c>
      <c r="D63" s="85" t="n">
        <v>5812</v>
      </c>
      <c r="E63" s="85" t="n">
        <v>52</v>
      </c>
      <c r="F63" s="86" t="n">
        <v>2</v>
      </c>
      <c r="G63" s="83" t="s">
        <v>503</v>
      </c>
      <c r="H63" s="0" t="str">
        <f aca="false">IF(B63="","",IF(COUNTIF(Campaigns!$A$7:$A$300,B63)&gt;0,"✓","⚠ add to Campaigns tab"))</f>
        <v>✓</v>
      </c>
      <c r="I63" s="84" t="n">
        <f aca="false">IF(C63="","",C63*IF(Settings!$B$23=Settings!$C$6,1,IF(Settings!$B$23="USD",1/INDEX(Settings!$B$29:$B$40,MONTH(A63)),INDEX(Settings!$B$29:$B$40,MONTH(A63)))))</f>
        <v>330.090341</v>
      </c>
    </row>
    <row r="64" customFormat="false" ht="15" hidden="false" customHeight="false" outlineLevel="0" collapsed="false">
      <c r="A64" s="82" t="n">
        <v>46082</v>
      </c>
      <c r="B64" s="83" t="s">
        <v>210</v>
      </c>
      <c r="C64" s="84" t="n">
        <v>178.59</v>
      </c>
      <c r="D64" s="85" t="n">
        <v>69295</v>
      </c>
      <c r="E64" s="85" t="n">
        <v>57</v>
      </c>
      <c r="F64" s="86" t="n">
        <v>0</v>
      </c>
      <c r="G64" s="83" t="s">
        <v>503</v>
      </c>
      <c r="H64" s="0" t="str">
        <f aca="false">IF(B64="","",IF(COUNTIF(Campaigns!$A$7:$A$300,B64)&gt;0,"✓","⚠ add to Campaigns tab"))</f>
        <v>✓</v>
      </c>
      <c r="I64" s="84" t="n">
        <f aca="false">IF(C64="","",C64*IF(Settings!$B$23=Settings!$C$6,1,IF(Settings!$B$23="USD",1/INDEX(Settings!$B$29:$B$40,MONTH(A64)),INDEX(Settings!$B$29:$B$40,MONTH(A64)))))</f>
        <v>199.610043</v>
      </c>
    </row>
    <row r="65" customFormat="false" ht="15" hidden="false" customHeight="false" outlineLevel="0" collapsed="false">
      <c r="A65" s="82" t="n">
        <v>46082</v>
      </c>
      <c r="B65" s="83" t="s">
        <v>198</v>
      </c>
      <c r="C65" s="84" t="n">
        <v>615.21</v>
      </c>
      <c r="D65" s="85" t="n">
        <v>703</v>
      </c>
      <c r="E65" s="85" t="n">
        <v>64</v>
      </c>
      <c r="F65" s="86" t="n">
        <v>0.44</v>
      </c>
      <c r="G65" s="83" t="s">
        <v>503</v>
      </c>
      <c r="H65" s="0" t="str">
        <f aca="false">IF(B65="","",IF(COUNTIF(Campaigns!$A$7:$A$300,B65)&gt;0,"✓","⚠ add to Campaigns tab"))</f>
        <v>✓</v>
      </c>
      <c r="I65" s="84" t="n">
        <f aca="false">IF(C65="","",C65*IF(Settings!$B$23=Settings!$C$6,1,IF(Settings!$B$23="USD",1/INDEX(Settings!$B$29:$B$40,MONTH(A65)),INDEX(Settings!$B$29:$B$40,MONTH(A65)))))</f>
        <v>687.620217</v>
      </c>
    </row>
    <row r="66" customFormat="false" ht="15" hidden="false" customHeight="false" outlineLevel="0" collapsed="false">
      <c r="A66" s="82" t="n">
        <v>46082</v>
      </c>
      <c r="B66" s="83" t="s">
        <v>205</v>
      </c>
      <c r="C66" s="84" t="n">
        <v>67.46</v>
      </c>
      <c r="D66" s="85" t="n">
        <v>4140</v>
      </c>
      <c r="E66" s="85" t="n">
        <v>60</v>
      </c>
      <c r="F66" s="86" t="n">
        <v>10.2</v>
      </c>
      <c r="G66" s="83" t="s">
        <v>503</v>
      </c>
      <c r="H66" s="0" t="str">
        <f aca="false">IF(B66="","",IF(COUNTIF(Campaigns!$A$7:$A$300,B66)&gt;0,"✓","⚠ add to Campaigns tab"))</f>
        <v>✓</v>
      </c>
      <c r="I66" s="84" t="n">
        <f aca="false">IF(C66="","",C66*IF(Settings!$B$23=Settings!$C$6,1,IF(Settings!$B$23="USD",1/INDEX(Settings!$B$29:$B$40,MONTH(A66)),INDEX(Settings!$B$29:$B$40,MONTH(A66)))))</f>
        <v>75.400042</v>
      </c>
    </row>
    <row r="67" customFormat="false" ht="15" hidden="false" customHeight="false" outlineLevel="0" collapsed="false">
      <c r="A67" s="82" t="n">
        <v>46113</v>
      </c>
      <c r="B67" s="83" t="s">
        <v>202</v>
      </c>
      <c r="C67" s="84" t="n">
        <v>354.02</v>
      </c>
      <c r="D67" s="85" t="n">
        <v>1527</v>
      </c>
      <c r="E67" s="85" t="n">
        <v>78</v>
      </c>
      <c r="F67" s="86" t="n">
        <v>3</v>
      </c>
      <c r="G67" s="83" t="s">
        <v>503</v>
      </c>
      <c r="H67" s="0" t="str">
        <f aca="false">IF(B67="","",IF(COUNTIF(Campaigns!$A$7:$A$300,B67)&gt;0,"✓","⚠ add to Campaigns tab"))</f>
        <v>✓</v>
      </c>
      <c r="I67" s="84" t="n">
        <f aca="false">IF(C67="","",C67*IF(Settings!$B$23=Settings!$C$6,1,IF(Settings!$B$23="USD",1/INDEX(Settings!$B$29:$B$40,MONTH(A67)),INDEX(Settings!$B$29:$B$40,MONTH(A67)))))</f>
        <v>395.688154</v>
      </c>
    </row>
    <row r="68" customFormat="false" ht="15" hidden="false" customHeight="false" outlineLevel="0" collapsed="false">
      <c r="A68" s="82" t="n">
        <v>46113</v>
      </c>
      <c r="B68" s="83" t="s">
        <v>204</v>
      </c>
      <c r="C68" s="84" t="n">
        <v>79.79</v>
      </c>
      <c r="D68" s="85" t="n">
        <v>10866</v>
      </c>
      <c r="E68" s="85" t="n">
        <v>311</v>
      </c>
      <c r="F68" s="86" t="n">
        <v>7</v>
      </c>
      <c r="G68" s="83" t="s">
        <v>503</v>
      </c>
      <c r="H68" s="0" t="str">
        <f aca="false">IF(B68="","",IF(COUNTIF(Campaigns!$A$7:$A$300,B68)&gt;0,"✓","⚠ add to Campaigns tab"))</f>
        <v>✓</v>
      </c>
      <c r="I68" s="84" t="n">
        <f aca="false">IF(C68="","",C68*IF(Settings!$B$23=Settings!$C$6,1,IF(Settings!$B$23="USD",1/INDEX(Settings!$B$29:$B$40,MONTH(A68)),INDEX(Settings!$B$29:$B$40,MONTH(A68)))))</f>
        <v>89.181283</v>
      </c>
    </row>
    <row r="69" customFormat="false" ht="15" hidden="false" customHeight="false" outlineLevel="0" collapsed="false">
      <c r="A69" s="82" t="n">
        <v>46113</v>
      </c>
      <c r="B69" s="83" t="s">
        <v>211</v>
      </c>
      <c r="C69" s="84" t="n">
        <v>320.81</v>
      </c>
      <c r="D69" s="85" t="n">
        <v>143816</v>
      </c>
      <c r="E69" s="85" t="n">
        <v>109</v>
      </c>
      <c r="F69" s="86" t="n">
        <v>0</v>
      </c>
      <c r="G69" s="83" t="s">
        <v>503</v>
      </c>
      <c r="H69" s="0" t="str">
        <f aca="false">IF(B69="","",IF(COUNTIF(Campaigns!$A$7:$A$300,B69)&gt;0,"✓","⚠ add to Campaigns tab"))</f>
        <v>✓</v>
      </c>
      <c r="I69" s="84" t="n">
        <f aca="false">IF(C69="","",C69*IF(Settings!$B$23=Settings!$C$6,1,IF(Settings!$B$23="USD",1/INDEX(Settings!$B$29:$B$40,MONTH(A69)),INDEX(Settings!$B$29:$B$40,MONTH(A69)))))</f>
        <v>358.569337</v>
      </c>
    </row>
    <row r="70" customFormat="false" ht="15" hidden="false" customHeight="false" outlineLevel="0" collapsed="false">
      <c r="A70" s="82" t="n">
        <v>46113</v>
      </c>
      <c r="B70" s="83" t="s">
        <v>194</v>
      </c>
      <c r="C70" s="84" t="n">
        <v>779.69</v>
      </c>
      <c r="D70" s="85" t="n">
        <v>794</v>
      </c>
      <c r="E70" s="85" t="n">
        <v>46</v>
      </c>
      <c r="F70" s="86" t="n">
        <v>5</v>
      </c>
      <c r="G70" s="83" t="s">
        <v>503</v>
      </c>
      <c r="H70" s="0" t="str">
        <f aca="false">IF(B70="","",IF(COUNTIF(Campaigns!$A$7:$A$300,B70)&gt;0,"✓","⚠ add to Campaigns tab"))</f>
        <v>✓</v>
      </c>
      <c r="I70" s="84" t="n">
        <f aca="false">IF(C70="","",C70*IF(Settings!$B$23=Settings!$C$6,1,IF(Settings!$B$23="USD",1/INDEX(Settings!$B$29:$B$40,MONTH(A70)),INDEX(Settings!$B$29:$B$40,MONTH(A70)))))</f>
        <v>871.459513</v>
      </c>
    </row>
    <row r="71" customFormat="false" ht="15" hidden="false" customHeight="false" outlineLevel="0" collapsed="false">
      <c r="A71" s="82" t="n">
        <v>46113</v>
      </c>
      <c r="B71" s="83" t="s">
        <v>184</v>
      </c>
      <c r="C71" s="84" t="n">
        <v>705.64</v>
      </c>
      <c r="D71" s="85" t="n">
        <v>3287</v>
      </c>
      <c r="E71" s="85" t="n">
        <v>361</v>
      </c>
      <c r="F71" s="86" t="n">
        <v>6.09</v>
      </c>
      <c r="G71" s="83" t="s">
        <v>503</v>
      </c>
      <c r="H71" s="0" t="str">
        <f aca="false">IF(B71="","",IF(COUNTIF(Campaigns!$A$7:$A$300,B71)&gt;0,"✓","⚠ add to Campaigns tab"))</f>
        <v>✓</v>
      </c>
      <c r="I71" s="84" t="n">
        <f aca="false">IF(C71="","",C71*IF(Settings!$B$23=Settings!$C$6,1,IF(Settings!$B$23="USD",1/INDEX(Settings!$B$29:$B$40,MONTH(A71)),INDEX(Settings!$B$29:$B$40,MONTH(A71)))))</f>
        <v>788.693828</v>
      </c>
    </row>
    <row r="72" customFormat="false" ht="15" hidden="false" customHeight="false" outlineLevel="0" collapsed="false">
      <c r="A72" s="82" t="n">
        <v>46113</v>
      </c>
      <c r="B72" s="83" t="s">
        <v>190</v>
      </c>
      <c r="C72" s="84" t="n">
        <v>638.91</v>
      </c>
      <c r="D72" s="85" t="n">
        <v>2365</v>
      </c>
      <c r="E72" s="85" t="n">
        <v>266</v>
      </c>
      <c r="F72" s="86" t="n">
        <v>16</v>
      </c>
      <c r="G72" s="83" t="s">
        <v>503</v>
      </c>
      <c r="H72" s="0" t="str">
        <f aca="false">IF(B72="","",IF(COUNTIF(Campaigns!$A$7:$A$300,B72)&gt;0,"✓","⚠ add to Campaigns tab"))</f>
        <v>✓</v>
      </c>
      <c r="I72" s="84" t="n">
        <f aca="false">IF(C72="","",C72*IF(Settings!$B$23=Settings!$C$6,1,IF(Settings!$B$23="USD",1/INDEX(Settings!$B$29:$B$40,MONTH(A72)),INDEX(Settings!$B$29:$B$40,MONTH(A72)))))</f>
        <v>714.109707</v>
      </c>
    </row>
    <row r="73" customFormat="false" ht="15" hidden="false" customHeight="false" outlineLevel="0" collapsed="false">
      <c r="A73" s="82" t="n">
        <v>46113</v>
      </c>
      <c r="B73" s="83" t="s">
        <v>199</v>
      </c>
      <c r="C73" s="84" t="n">
        <v>389.53</v>
      </c>
      <c r="D73" s="85" t="n">
        <v>1458</v>
      </c>
      <c r="E73" s="85" t="n">
        <v>174</v>
      </c>
      <c r="F73" s="86" t="n">
        <v>20.05</v>
      </c>
      <c r="G73" s="83" t="s">
        <v>503</v>
      </c>
      <c r="H73" s="0" t="str">
        <f aca="false">IF(B73="","",IF(COUNTIF(Campaigns!$A$7:$A$300,B73)&gt;0,"✓","⚠ add to Campaigns tab"))</f>
        <v>✓</v>
      </c>
      <c r="I73" s="84" t="n">
        <f aca="false">IF(C73="","",C73*IF(Settings!$B$23=Settings!$C$6,1,IF(Settings!$B$23="USD",1/INDEX(Settings!$B$29:$B$40,MONTH(A73)),INDEX(Settings!$B$29:$B$40,MONTH(A73)))))</f>
        <v>435.377681</v>
      </c>
    </row>
    <row r="74" customFormat="false" ht="15" hidden="false" customHeight="false" outlineLevel="0" collapsed="false">
      <c r="A74" s="82" t="n">
        <v>46113</v>
      </c>
      <c r="B74" s="83" t="s">
        <v>201</v>
      </c>
      <c r="C74" s="84" t="n">
        <v>236.96</v>
      </c>
      <c r="D74" s="85" t="n">
        <v>1655</v>
      </c>
      <c r="E74" s="85" t="n">
        <v>143</v>
      </c>
      <c r="F74" s="86" t="n">
        <v>8.16</v>
      </c>
      <c r="G74" s="83" t="s">
        <v>503</v>
      </c>
      <c r="H74" s="0" t="str">
        <f aca="false">IF(B74="","",IF(COUNTIF(Campaigns!$A$7:$A$300,B74)&gt;0,"✓","⚠ add to Campaigns tab"))</f>
        <v>✓</v>
      </c>
      <c r="I74" s="84" t="n">
        <f aca="false">IF(C74="","",C74*IF(Settings!$B$23=Settings!$C$6,1,IF(Settings!$B$23="USD",1/INDEX(Settings!$B$29:$B$40,MONTH(A74)),INDEX(Settings!$B$29:$B$40,MONTH(A74)))))</f>
        <v>264.850192</v>
      </c>
    </row>
    <row r="75" customFormat="false" ht="15" hidden="false" customHeight="false" outlineLevel="0" collapsed="false">
      <c r="A75" s="82" t="n">
        <v>46113</v>
      </c>
      <c r="B75" s="83" t="s">
        <v>191</v>
      </c>
      <c r="C75" s="84" t="n">
        <v>638.54</v>
      </c>
      <c r="D75" s="85" t="n">
        <v>2617</v>
      </c>
      <c r="E75" s="85" t="n">
        <v>259</v>
      </c>
      <c r="F75" s="86" t="n">
        <v>4.28</v>
      </c>
      <c r="G75" s="83" t="s">
        <v>503</v>
      </c>
      <c r="H75" s="0" t="str">
        <f aca="false">IF(B75="","",IF(COUNTIF(Campaigns!$A$7:$A$300,B75)&gt;0,"✓","⚠ add to Campaigns tab"))</f>
        <v>✓</v>
      </c>
      <c r="I75" s="84" t="n">
        <f aca="false">IF(C75="","",C75*IF(Settings!$B$23=Settings!$C$6,1,IF(Settings!$B$23="USD",1/INDEX(Settings!$B$29:$B$40,MONTH(A75)),INDEX(Settings!$B$29:$B$40,MONTH(A75)))))</f>
        <v>713.696158</v>
      </c>
    </row>
    <row r="76" customFormat="false" ht="15" hidden="false" customHeight="false" outlineLevel="0" collapsed="false">
      <c r="A76" s="82" t="n">
        <v>46113</v>
      </c>
      <c r="B76" s="83" t="s">
        <v>186</v>
      </c>
      <c r="C76" s="84" t="n">
        <v>1217.24</v>
      </c>
      <c r="D76" s="85" t="n">
        <v>6160</v>
      </c>
      <c r="E76" s="85" t="n">
        <v>371</v>
      </c>
      <c r="F76" s="86" t="n">
        <v>19.28</v>
      </c>
      <c r="G76" s="83" t="s">
        <v>503</v>
      </c>
      <c r="H76" s="0" t="str">
        <f aca="false">IF(B76="","",IF(COUNTIF(Campaigns!$A$7:$A$300,B76)&gt;0,"✓","⚠ add to Campaigns tab"))</f>
        <v>✓</v>
      </c>
      <c r="I76" s="84" t="n">
        <f aca="false">IF(C76="","",C76*IF(Settings!$B$23=Settings!$C$6,1,IF(Settings!$B$23="USD",1/INDEX(Settings!$B$29:$B$40,MONTH(A76)),INDEX(Settings!$B$29:$B$40,MONTH(A76)))))</f>
        <v>1360.509148</v>
      </c>
    </row>
    <row r="77" customFormat="false" ht="15" hidden="false" customHeight="false" outlineLevel="0" collapsed="false">
      <c r="A77" s="82" t="n">
        <v>46113</v>
      </c>
      <c r="B77" s="83" t="s">
        <v>188</v>
      </c>
      <c r="C77" s="84" t="n">
        <v>147.81</v>
      </c>
      <c r="D77" s="85" t="n">
        <v>221</v>
      </c>
      <c r="E77" s="85" t="n">
        <v>12</v>
      </c>
      <c r="F77" s="86" t="n">
        <v>0</v>
      </c>
      <c r="G77" s="83" t="s">
        <v>503</v>
      </c>
      <c r="H77" s="0" t="str">
        <f aca="false">IF(B77="","",IF(COUNTIF(Campaigns!$A$7:$A$300,B77)&gt;0,"✓","⚠ add to Campaigns tab"))</f>
        <v>✓</v>
      </c>
      <c r="I77" s="84" t="n">
        <f aca="false">IF(C77="","",C77*IF(Settings!$B$23=Settings!$C$6,1,IF(Settings!$B$23="USD",1/INDEX(Settings!$B$29:$B$40,MONTH(A77)),INDEX(Settings!$B$29:$B$40,MONTH(A77)))))</f>
        <v>165.207237</v>
      </c>
    </row>
    <row r="78" customFormat="false" ht="15" hidden="false" customHeight="false" outlineLevel="0" collapsed="false">
      <c r="A78" s="82" t="n">
        <v>46113</v>
      </c>
      <c r="B78" s="83" t="s">
        <v>203</v>
      </c>
      <c r="C78" s="84" t="n">
        <v>152.08</v>
      </c>
      <c r="D78" s="85" t="n">
        <v>912</v>
      </c>
      <c r="E78" s="85" t="n">
        <v>85</v>
      </c>
      <c r="F78" s="86" t="n">
        <v>8</v>
      </c>
      <c r="G78" s="83" t="s">
        <v>503</v>
      </c>
      <c r="H78" s="0" t="str">
        <f aca="false">IF(B78="","",IF(COUNTIF(Campaigns!$A$7:$A$300,B78)&gt;0,"✓","⚠ add to Campaigns tab"))</f>
        <v>✓</v>
      </c>
      <c r="I78" s="84" t="n">
        <f aca="false">IF(C78="","",C78*IF(Settings!$B$23=Settings!$C$6,1,IF(Settings!$B$23="USD",1/INDEX(Settings!$B$29:$B$40,MONTH(A78)),INDEX(Settings!$B$29:$B$40,MONTH(A78)))))</f>
        <v>169.979816</v>
      </c>
    </row>
    <row r="79" customFormat="false" ht="15" hidden="false" customHeight="false" outlineLevel="0" collapsed="false">
      <c r="A79" s="82" t="n">
        <v>46113</v>
      </c>
      <c r="B79" s="83" t="s">
        <v>187</v>
      </c>
      <c r="C79" s="84" t="n">
        <v>295.2</v>
      </c>
      <c r="D79" s="85" t="n">
        <v>1031</v>
      </c>
      <c r="E79" s="85" t="n">
        <v>50</v>
      </c>
      <c r="F79" s="86" t="n">
        <v>0</v>
      </c>
      <c r="G79" s="83" t="s">
        <v>503</v>
      </c>
      <c r="H79" s="0" t="str">
        <f aca="false">IF(B79="","",IF(COUNTIF(Campaigns!$A$7:$A$300,B79)&gt;0,"✓","⚠ add to Campaigns tab"))</f>
        <v>✓</v>
      </c>
      <c r="I79" s="84" t="n">
        <f aca="false">IF(C79="","",C79*IF(Settings!$B$23=Settings!$C$6,1,IF(Settings!$B$23="USD",1/INDEX(Settings!$B$29:$B$40,MONTH(A79)),INDEX(Settings!$B$29:$B$40,MONTH(A79)))))</f>
        <v>329.94504</v>
      </c>
    </row>
    <row r="80" customFormat="false" ht="15" hidden="false" customHeight="false" outlineLevel="0" collapsed="false">
      <c r="A80" s="82" t="n">
        <v>46113</v>
      </c>
      <c r="B80" s="83" t="s">
        <v>185</v>
      </c>
      <c r="C80" s="84" t="n">
        <v>647.73</v>
      </c>
      <c r="D80" s="85" t="n">
        <v>2089</v>
      </c>
      <c r="E80" s="85" t="n">
        <v>253</v>
      </c>
      <c r="F80" s="86" t="n">
        <v>8</v>
      </c>
      <c r="G80" s="83" t="s">
        <v>503</v>
      </c>
      <c r="H80" s="0" t="str">
        <f aca="false">IF(B80="","",IF(COUNTIF(Campaigns!$A$7:$A$300,B80)&gt;0,"✓","⚠ add to Campaigns tab"))</f>
        <v>✓</v>
      </c>
      <c r="I80" s="84" t="n">
        <f aca="false">IF(C80="","",C80*IF(Settings!$B$23=Settings!$C$6,1,IF(Settings!$B$23="USD",1/INDEX(Settings!$B$29:$B$40,MONTH(A80)),INDEX(Settings!$B$29:$B$40,MONTH(A80)))))</f>
        <v>723.967821</v>
      </c>
    </row>
    <row r="81" customFormat="false" ht="15" hidden="false" customHeight="false" outlineLevel="0" collapsed="false">
      <c r="A81" s="82" t="n">
        <v>46113</v>
      </c>
      <c r="B81" s="83" t="s">
        <v>200</v>
      </c>
      <c r="C81" s="84" t="n">
        <v>478.34</v>
      </c>
      <c r="D81" s="85" t="n">
        <v>770</v>
      </c>
      <c r="E81" s="85" t="n">
        <v>37</v>
      </c>
      <c r="F81" s="86" t="n">
        <v>0.67</v>
      </c>
      <c r="G81" s="83" t="s">
        <v>503</v>
      </c>
      <c r="H81" s="0" t="str">
        <f aca="false">IF(B81="","",IF(COUNTIF(Campaigns!$A$7:$A$300,B81)&gt;0,"✓","⚠ add to Campaigns tab"))</f>
        <v>✓</v>
      </c>
      <c r="I81" s="84" t="n">
        <f aca="false">IF(C81="","",C81*IF(Settings!$B$23=Settings!$C$6,1,IF(Settings!$B$23="USD",1/INDEX(Settings!$B$29:$B$40,MONTH(A81)),INDEX(Settings!$B$29:$B$40,MONTH(A81)))))</f>
        <v>534.640618</v>
      </c>
    </row>
    <row r="82" customFormat="false" ht="15" hidden="false" customHeight="false" outlineLevel="0" collapsed="false">
      <c r="A82" s="82" t="n">
        <v>46113</v>
      </c>
      <c r="B82" s="83" t="s">
        <v>193</v>
      </c>
      <c r="C82" s="84" t="n">
        <v>793.47</v>
      </c>
      <c r="D82" s="85" t="n">
        <v>1346</v>
      </c>
      <c r="E82" s="85" t="n">
        <v>69</v>
      </c>
      <c r="F82" s="86" t="n">
        <v>3</v>
      </c>
      <c r="G82" s="83" t="s">
        <v>503</v>
      </c>
      <c r="H82" s="0" t="str">
        <f aca="false">IF(B82="","",IF(COUNTIF(Campaigns!$A$7:$A$300,B82)&gt;0,"✓","⚠ add to Campaigns tab"))</f>
        <v>✓</v>
      </c>
      <c r="I82" s="84" t="n">
        <f aca="false">IF(C82="","",C82*IF(Settings!$B$23=Settings!$C$6,1,IF(Settings!$B$23="USD",1/INDEX(Settings!$B$29:$B$40,MONTH(A82)),INDEX(Settings!$B$29:$B$40,MONTH(A82)))))</f>
        <v>886.861419</v>
      </c>
    </row>
    <row r="83" customFormat="false" ht="15" hidden="false" customHeight="false" outlineLevel="0" collapsed="false">
      <c r="A83" s="82" t="n">
        <v>46113</v>
      </c>
      <c r="B83" s="83" t="s">
        <v>210</v>
      </c>
      <c r="C83" s="84" t="n">
        <v>321.46</v>
      </c>
      <c r="D83" s="85" t="n">
        <v>138742</v>
      </c>
      <c r="E83" s="85" t="n">
        <v>81</v>
      </c>
      <c r="F83" s="86" t="n">
        <v>0</v>
      </c>
      <c r="G83" s="83" t="s">
        <v>503</v>
      </c>
      <c r="H83" s="0" t="str">
        <f aca="false">IF(B83="","",IF(COUNTIF(Campaigns!$A$7:$A$300,B83)&gt;0,"✓","⚠ add to Campaigns tab"))</f>
        <v>✓</v>
      </c>
      <c r="I83" s="84" t="n">
        <f aca="false">IF(C83="","",C83*IF(Settings!$B$23=Settings!$C$6,1,IF(Settings!$B$23="USD",1/INDEX(Settings!$B$29:$B$40,MONTH(A83)),INDEX(Settings!$B$29:$B$40,MONTH(A83)))))</f>
        <v>359.295842</v>
      </c>
    </row>
    <row r="84" customFormat="false" ht="15" hidden="false" customHeight="false" outlineLevel="0" collapsed="false">
      <c r="A84" s="82" t="n">
        <v>46113</v>
      </c>
      <c r="B84" s="83" t="s">
        <v>198</v>
      </c>
      <c r="C84" s="84" t="n">
        <v>674.03</v>
      </c>
      <c r="D84" s="85" t="n">
        <v>637</v>
      </c>
      <c r="E84" s="85" t="n">
        <v>55</v>
      </c>
      <c r="F84" s="86" t="n">
        <v>4.06</v>
      </c>
      <c r="G84" s="83" t="s">
        <v>503</v>
      </c>
      <c r="H84" s="0" t="str">
        <f aca="false">IF(B84="","",IF(COUNTIF(Campaigns!$A$7:$A$300,B84)&gt;0,"✓","⚠ add to Campaigns tab"))</f>
        <v>✓</v>
      </c>
      <c r="I84" s="84" t="n">
        <f aca="false">IF(C84="","",C84*IF(Settings!$B$23=Settings!$C$6,1,IF(Settings!$B$23="USD",1/INDEX(Settings!$B$29:$B$40,MONTH(A84)),INDEX(Settings!$B$29:$B$40,MONTH(A84)))))</f>
        <v>753.363331</v>
      </c>
    </row>
    <row r="85" customFormat="false" ht="15" hidden="false" customHeight="false" outlineLevel="0" collapsed="false">
      <c r="A85" s="82" t="n">
        <v>46113</v>
      </c>
      <c r="B85" s="83" t="s">
        <v>205</v>
      </c>
      <c r="C85" s="84" t="n">
        <v>50.88</v>
      </c>
      <c r="D85" s="85" t="n">
        <v>5383</v>
      </c>
      <c r="E85" s="85" t="n">
        <v>143</v>
      </c>
      <c r="F85" s="86" t="n">
        <v>6</v>
      </c>
      <c r="G85" s="83" t="s">
        <v>503</v>
      </c>
      <c r="H85" s="0" t="str">
        <f aca="false">IF(B85="","",IF(COUNTIF(Campaigns!$A$7:$A$300,B85)&gt;0,"✓","⚠ add to Campaigns tab"))</f>
        <v>✓</v>
      </c>
      <c r="I85" s="84" t="n">
        <f aca="false">IF(C85="","",C85*IF(Settings!$B$23=Settings!$C$6,1,IF(Settings!$B$23="USD",1/INDEX(Settings!$B$29:$B$40,MONTH(A85)),INDEX(Settings!$B$29:$B$40,MONTH(A85)))))</f>
        <v>56.868576</v>
      </c>
    </row>
    <row r="86" customFormat="false" ht="15" hidden="false" customHeight="false" outlineLevel="0" collapsed="false">
      <c r="A86" s="82" t="n">
        <v>46143</v>
      </c>
      <c r="B86" s="83" t="s">
        <v>202</v>
      </c>
      <c r="C86" s="84" t="n">
        <v>252.25</v>
      </c>
      <c r="D86" s="85" t="n">
        <v>1272</v>
      </c>
      <c r="E86" s="85" t="n">
        <v>42</v>
      </c>
      <c r="F86" s="86" t="n">
        <v>0</v>
      </c>
      <c r="G86" s="83" t="s">
        <v>503</v>
      </c>
      <c r="H86" s="0" t="str">
        <f aca="false">IF(B86="","",IF(COUNTIF(Campaigns!$A$7:$A$300,B86)&gt;0,"✓","⚠ add to Campaigns tab"))</f>
        <v>✓</v>
      </c>
      <c r="I86" s="84" t="n">
        <f aca="false">IF(C86="","",C86*IF(Settings!$B$23=Settings!$C$6,1,IF(Settings!$B$23="USD",1/INDEX(Settings!$B$29:$B$40,MONTH(A86)),INDEX(Settings!$B$29:$B$40,MONTH(A86)))))</f>
        <v>281.939825</v>
      </c>
    </row>
    <row r="87" customFormat="false" ht="15" hidden="false" customHeight="false" outlineLevel="0" collapsed="false">
      <c r="A87" s="82" t="n">
        <v>46143</v>
      </c>
      <c r="B87" s="83" t="s">
        <v>194</v>
      </c>
      <c r="C87" s="84" t="n">
        <v>633.94</v>
      </c>
      <c r="D87" s="85" t="n">
        <v>630</v>
      </c>
      <c r="E87" s="85" t="n">
        <v>32</v>
      </c>
      <c r="F87" s="86" t="n">
        <v>0</v>
      </c>
      <c r="G87" s="83" t="s">
        <v>503</v>
      </c>
      <c r="H87" s="0" t="str">
        <f aca="false">IF(B87="","",IF(COUNTIF(Campaigns!$A$7:$A$300,B87)&gt;0,"✓","⚠ add to Campaigns tab"))</f>
        <v>✓</v>
      </c>
      <c r="I87" s="84" t="n">
        <f aca="false">IF(C87="","",C87*IF(Settings!$B$23=Settings!$C$6,1,IF(Settings!$B$23="USD",1/INDEX(Settings!$B$29:$B$40,MONTH(A87)),INDEX(Settings!$B$29:$B$40,MONTH(A87)))))</f>
        <v>708.554738</v>
      </c>
    </row>
    <row r="88" customFormat="false" ht="15" hidden="false" customHeight="false" outlineLevel="0" collapsed="false">
      <c r="A88" s="82" t="n">
        <v>46143</v>
      </c>
      <c r="B88" s="83" t="s">
        <v>184</v>
      </c>
      <c r="C88" s="84" t="n">
        <v>1581.36</v>
      </c>
      <c r="D88" s="85" t="n">
        <v>6555</v>
      </c>
      <c r="E88" s="85" t="n">
        <v>648</v>
      </c>
      <c r="F88" s="86" t="n">
        <v>23.24</v>
      </c>
      <c r="G88" s="83" t="s">
        <v>503</v>
      </c>
      <c r="H88" s="0" t="str">
        <f aca="false">IF(B88="","",IF(COUNTIF(Campaigns!$A$7:$A$300,B88)&gt;0,"✓","⚠ add to Campaigns tab"))</f>
        <v>✓</v>
      </c>
      <c r="I88" s="84" t="n">
        <f aca="false">IF(C88="","",C88*IF(Settings!$B$23=Settings!$C$6,1,IF(Settings!$B$23="USD",1/INDEX(Settings!$B$29:$B$40,MONTH(A88)),INDEX(Settings!$B$29:$B$40,MONTH(A88)))))</f>
        <v>1767.486072</v>
      </c>
    </row>
    <row r="89" customFormat="false" ht="15" hidden="false" customHeight="false" outlineLevel="0" collapsed="false">
      <c r="A89" s="82" t="n">
        <v>46143</v>
      </c>
      <c r="B89" s="83" t="s">
        <v>190</v>
      </c>
      <c r="C89" s="84" t="n">
        <v>635.77</v>
      </c>
      <c r="D89" s="85" t="n">
        <v>1945</v>
      </c>
      <c r="E89" s="85" t="n">
        <v>199</v>
      </c>
      <c r="F89" s="86" t="n">
        <v>28</v>
      </c>
      <c r="G89" s="83" t="s">
        <v>503</v>
      </c>
      <c r="H89" s="0" t="str">
        <f aca="false">IF(B89="","",IF(COUNTIF(Campaigns!$A$7:$A$300,B89)&gt;0,"✓","⚠ add to Campaigns tab"))</f>
        <v>✓</v>
      </c>
      <c r="I89" s="84" t="n">
        <f aca="false">IF(C89="","",C89*IF(Settings!$B$23=Settings!$C$6,1,IF(Settings!$B$23="USD",1/INDEX(Settings!$B$29:$B$40,MONTH(A89)),INDEX(Settings!$B$29:$B$40,MONTH(A89)))))</f>
        <v>710.600129</v>
      </c>
    </row>
    <row r="90" customFormat="false" ht="15" hidden="false" customHeight="false" outlineLevel="0" collapsed="false">
      <c r="A90" s="82" t="n">
        <v>46143</v>
      </c>
      <c r="B90" s="83" t="s">
        <v>199</v>
      </c>
      <c r="C90" s="84" t="n">
        <v>420.83</v>
      </c>
      <c r="D90" s="85" t="n">
        <v>1608</v>
      </c>
      <c r="E90" s="85" t="n">
        <v>166</v>
      </c>
      <c r="F90" s="86" t="n">
        <v>28.95</v>
      </c>
      <c r="G90" s="83" t="s">
        <v>503</v>
      </c>
      <c r="H90" s="0" t="str">
        <f aca="false">IF(B90="","",IF(COUNTIF(Campaigns!$A$7:$A$300,B90)&gt;0,"✓","⚠ add to Campaigns tab"))</f>
        <v>✓</v>
      </c>
      <c r="I90" s="84" t="n">
        <f aca="false">IF(C90="","",C90*IF(Settings!$B$23=Settings!$C$6,1,IF(Settings!$B$23="USD",1/INDEX(Settings!$B$29:$B$40,MONTH(A90)),INDEX(Settings!$B$29:$B$40,MONTH(A90)))))</f>
        <v>470.361691</v>
      </c>
    </row>
    <row r="91" customFormat="false" ht="15" hidden="false" customHeight="false" outlineLevel="0" collapsed="false">
      <c r="A91" s="82" t="n">
        <v>46143</v>
      </c>
      <c r="B91" s="83" t="s">
        <v>201</v>
      </c>
      <c r="C91" s="84" t="n">
        <v>245.5</v>
      </c>
      <c r="D91" s="85" t="n">
        <v>1335</v>
      </c>
      <c r="E91" s="85" t="n">
        <v>112</v>
      </c>
      <c r="F91" s="86" t="n">
        <v>5</v>
      </c>
      <c r="G91" s="83" t="s">
        <v>503</v>
      </c>
      <c r="H91" s="0" t="str">
        <f aca="false">IF(B91="","",IF(COUNTIF(Campaigns!$A$7:$A$300,B91)&gt;0,"✓","⚠ add to Campaigns tab"))</f>
        <v>✓</v>
      </c>
      <c r="I91" s="84" t="n">
        <f aca="false">IF(C91="","",C91*IF(Settings!$B$23=Settings!$C$6,1,IF(Settings!$B$23="USD",1/INDEX(Settings!$B$29:$B$40,MONTH(A91)),INDEX(Settings!$B$29:$B$40,MONTH(A91)))))</f>
        <v>274.39535</v>
      </c>
    </row>
    <row r="92" customFormat="false" ht="15" hidden="false" customHeight="false" outlineLevel="0" collapsed="false">
      <c r="A92" s="82" t="n">
        <v>46143</v>
      </c>
      <c r="B92" s="83" t="s">
        <v>191</v>
      </c>
      <c r="C92" s="84" t="n">
        <v>638.48</v>
      </c>
      <c r="D92" s="85" t="n">
        <v>1959</v>
      </c>
      <c r="E92" s="85" t="n">
        <v>164</v>
      </c>
      <c r="F92" s="86" t="n">
        <v>4.2</v>
      </c>
      <c r="G92" s="83" t="s">
        <v>503</v>
      </c>
      <c r="H92" s="0" t="str">
        <f aca="false">IF(B92="","",IF(COUNTIF(Campaigns!$A$7:$A$300,B92)&gt;0,"✓","⚠ add to Campaigns tab"))</f>
        <v>✓</v>
      </c>
      <c r="I92" s="84" t="n">
        <f aca="false">IF(C92="","",C92*IF(Settings!$B$23=Settings!$C$6,1,IF(Settings!$B$23="USD",1/INDEX(Settings!$B$29:$B$40,MONTH(A92)),INDEX(Settings!$B$29:$B$40,MONTH(A92)))))</f>
        <v>713.629096</v>
      </c>
    </row>
    <row r="93" customFormat="false" ht="15" hidden="false" customHeight="false" outlineLevel="0" collapsed="false">
      <c r="A93" s="82" t="n">
        <v>46143</v>
      </c>
      <c r="B93" s="83" t="s">
        <v>186</v>
      </c>
      <c r="C93" s="84" t="n">
        <v>1517.87</v>
      </c>
      <c r="D93" s="85" t="n">
        <v>5383</v>
      </c>
      <c r="E93" s="85" t="n">
        <v>343</v>
      </c>
      <c r="F93" s="86" t="n">
        <v>12.57</v>
      </c>
      <c r="G93" s="83" t="s">
        <v>503</v>
      </c>
      <c r="H93" s="0" t="str">
        <f aca="false">IF(B93="","",IF(COUNTIF(Campaigns!$A$7:$A$300,B93)&gt;0,"✓","⚠ add to Campaigns tab"))</f>
        <v>✓</v>
      </c>
      <c r="I93" s="84" t="n">
        <f aca="false">IF(C93="","",C93*IF(Settings!$B$23=Settings!$C$6,1,IF(Settings!$B$23="USD",1/INDEX(Settings!$B$29:$B$40,MONTH(A93)),INDEX(Settings!$B$29:$B$40,MONTH(A93)))))</f>
        <v>1696.523299</v>
      </c>
    </row>
    <row r="94" customFormat="false" ht="15" hidden="false" customHeight="false" outlineLevel="0" collapsed="false">
      <c r="A94" s="82" t="n">
        <v>46143</v>
      </c>
      <c r="B94" s="83" t="s">
        <v>188</v>
      </c>
      <c r="C94" s="84" t="n">
        <v>526.61</v>
      </c>
      <c r="D94" s="85" t="n">
        <v>550</v>
      </c>
      <c r="E94" s="85" t="n">
        <v>28</v>
      </c>
      <c r="F94" s="86" t="n">
        <v>8</v>
      </c>
      <c r="G94" s="83" t="s">
        <v>503</v>
      </c>
      <c r="H94" s="0" t="str">
        <f aca="false">IF(B94="","",IF(COUNTIF(Campaigns!$A$7:$A$300,B94)&gt;0,"✓","⚠ add to Campaigns tab"))</f>
        <v>✓</v>
      </c>
      <c r="I94" s="84" t="n">
        <f aca="false">IF(C94="","",C94*IF(Settings!$B$23=Settings!$C$6,1,IF(Settings!$B$23="USD",1/INDEX(Settings!$B$29:$B$40,MONTH(A94)),INDEX(Settings!$B$29:$B$40,MONTH(A94)))))</f>
        <v>588.591997</v>
      </c>
    </row>
    <row r="95" customFormat="false" ht="15" hidden="false" customHeight="false" outlineLevel="0" collapsed="false">
      <c r="A95" s="82" t="n">
        <v>46143</v>
      </c>
      <c r="B95" s="83" t="s">
        <v>203</v>
      </c>
      <c r="C95" s="84" t="n">
        <v>151.49</v>
      </c>
      <c r="D95" s="85" t="n">
        <v>1066</v>
      </c>
      <c r="E95" s="85" t="n">
        <v>80</v>
      </c>
      <c r="F95" s="86" t="n">
        <v>6</v>
      </c>
      <c r="G95" s="83" t="s">
        <v>503</v>
      </c>
      <c r="H95" s="0" t="str">
        <f aca="false">IF(B95="","",IF(COUNTIF(Campaigns!$A$7:$A$300,B95)&gt;0,"✓","⚠ add to Campaigns tab"))</f>
        <v>✓</v>
      </c>
      <c r="I95" s="84" t="n">
        <f aca="false">IF(C95="","",C95*IF(Settings!$B$23=Settings!$C$6,1,IF(Settings!$B$23="USD",1/INDEX(Settings!$B$29:$B$40,MONTH(A95)),INDEX(Settings!$B$29:$B$40,MONTH(A95)))))</f>
        <v>169.320373</v>
      </c>
    </row>
    <row r="96" customFormat="false" ht="15" hidden="false" customHeight="false" outlineLevel="0" collapsed="false">
      <c r="A96" s="82" t="n">
        <v>46143</v>
      </c>
      <c r="B96" s="83" t="s">
        <v>187</v>
      </c>
      <c r="C96" s="84" t="n">
        <v>616.76</v>
      </c>
      <c r="D96" s="85" t="n">
        <v>1277</v>
      </c>
      <c r="E96" s="85" t="n">
        <v>68</v>
      </c>
      <c r="F96" s="86" t="n">
        <v>0.45</v>
      </c>
      <c r="G96" s="83" t="s">
        <v>503</v>
      </c>
      <c r="H96" s="0" t="str">
        <f aca="false">IF(B96="","",IF(COUNTIF(Campaigns!$A$7:$A$300,B96)&gt;0,"✓","⚠ add to Campaigns tab"))</f>
        <v>✓</v>
      </c>
      <c r="I96" s="84" t="n">
        <f aca="false">IF(C96="","",C96*IF(Settings!$B$23=Settings!$C$6,1,IF(Settings!$B$23="USD",1/INDEX(Settings!$B$29:$B$40,MONTH(A96)),INDEX(Settings!$B$29:$B$40,MONTH(A96)))))</f>
        <v>689.352652</v>
      </c>
    </row>
    <row r="97" customFormat="false" ht="15" hidden="false" customHeight="false" outlineLevel="0" collapsed="false">
      <c r="A97" s="82" t="n">
        <v>46143</v>
      </c>
      <c r="B97" s="83" t="s">
        <v>185</v>
      </c>
      <c r="C97" s="84" t="n">
        <v>1541.02</v>
      </c>
      <c r="D97" s="85" t="n">
        <v>5427</v>
      </c>
      <c r="E97" s="85" t="n">
        <v>545</v>
      </c>
      <c r="F97" s="86" t="n">
        <v>21.32</v>
      </c>
      <c r="G97" s="83" t="s">
        <v>503</v>
      </c>
      <c r="H97" s="0" t="str">
        <f aca="false">IF(B97="","",IF(COUNTIF(Campaigns!$A$7:$A$300,B97)&gt;0,"✓","⚠ add to Campaigns tab"))</f>
        <v>✓</v>
      </c>
      <c r="I97" s="84" t="n">
        <f aca="false">IF(C97="","",C97*IF(Settings!$B$23=Settings!$C$6,1,IF(Settings!$B$23="USD",1/INDEX(Settings!$B$29:$B$40,MONTH(A97)),INDEX(Settings!$B$29:$B$40,MONTH(A97)))))</f>
        <v>1722.398054</v>
      </c>
    </row>
    <row r="98" customFormat="false" ht="15" hidden="false" customHeight="false" outlineLevel="0" collapsed="false">
      <c r="A98" s="82" t="n">
        <v>46143</v>
      </c>
      <c r="B98" s="83" t="s">
        <v>200</v>
      </c>
      <c r="C98" s="84" t="n">
        <v>410.29</v>
      </c>
      <c r="D98" s="85" t="n">
        <v>768</v>
      </c>
      <c r="E98" s="85" t="n">
        <v>27</v>
      </c>
      <c r="F98" s="86" t="n">
        <v>4</v>
      </c>
      <c r="G98" s="83" t="s">
        <v>503</v>
      </c>
      <c r="H98" s="0" t="str">
        <f aca="false">IF(B98="","",IF(COUNTIF(Campaigns!$A$7:$A$300,B98)&gt;0,"✓","⚠ add to Campaigns tab"))</f>
        <v>✓</v>
      </c>
      <c r="I98" s="84" t="n">
        <f aca="false">IF(C98="","",C98*IF(Settings!$B$23=Settings!$C$6,1,IF(Settings!$B$23="USD",1/INDEX(Settings!$B$29:$B$40,MONTH(A98)),INDEX(Settings!$B$29:$B$40,MONTH(A98)))))</f>
        <v>458.581133</v>
      </c>
    </row>
    <row r="99" customFormat="false" ht="15" hidden="false" customHeight="false" outlineLevel="0" collapsed="false">
      <c r="A99" s="82" t="n">
        <v>46143</v>
      </c>
      <c r="B99" s="83" t="s">
        <v>193</v>
      </c>
      <c r="C99" s="84" t="n">
        <v>739.06</v>
      </c>
      <c r="D99" s="85" t="n">
        <v>1451</v>
      </c>
      <c r="E99" s="85" t="n">
        <v>58</v>
      </c>
      <c r="F99" s="86" t="n">
        <v>0</v>
      </c>
      <c r="G99" s="83" t="s">
        <v>503</v>
      </c>
      <c r="H99" s="0" t="str">
        <f aca="false">IF(B99="","",IF(COUNTIF(Campaigns!$A$7:$A$300,B99)&gt;0,"✓","⚠ add to Campaigns tab"))</f>
        <v>✓</v>
      </c>
      <c r="I99" s="84" t="n">
        <f aca="false">IF(C99="","",C99*IF(Settings!$B$23=Settings!$C$6,1,IF(Settings!$B$23="USD",1/INDEX(Settings!$B$29:$B$40,MONTH(A99)),INDEX(Settings!$B$29:$B$40,MONTH(A99)))))</f>
        <v>826.047362</v>
      </c>
    </row>
    <row r="100" customFormat="false" ht="15" hidden="false" customHeight="false" outlineLevel="0" collapsed="false">
      <c r="A100" s="82" t="n">
        <v>46143</v>
      </c>
      <c r="B100" s="83" t="s">
        <v>196</v>
      </c>
      <c r="C100" s="84" t="n">
        <v>150.05</v>
      </c>
      <c r="D100" s="85" t="n">
        <v>162283</v>
      </c>
      <c r="E100" s="85" t="n">
        <v>299</v>
      </c>
      <c r="F100" s="86" t="n">
        <v>0</v>
      </c>
      <c r="G100" s="83" t="s">
        <v>503</v>
      </c>
      <c r="H100" s="0" t="str">
        <f aca="false">IF(B100="","",IF(COUNTIF(Campaigns!$A$7:$A$300,B100)&gt;0,"✓","⚠ add to Campaigns tab"))</f>
        <v>✓</v>
      </c>
      <c r="I100" s="84" t="n">
        <f aca="false">IF(C100="","",C100*IF(Settings!$B$23=Settings!$C$6,1,IF(Settings!$B$23="USD",1/INDEX(Settings!$B$29:$B$40,MONTH(A100)),INDEX(Settings!$B$29:$B$40,MONTH(A100)))))</f>
        <v>167.710885</v>
      </c>
    </row>
    <row r="101" customFormat="false" ht="15" hidden="false" customHeight="false" outlineLevel="0" collapsed="false">
      <c r="A101" s="82" t="n">
        <v>46143</v>
      </c>
      <c r="B101" s="83" t="s">
        <v>197</v>
      </c>
      <c r="C101" s="84" t="n">
        <v>149.95</v>
      </c>
      <c r="D101" s="85" t="n">
        <v>47934</v>
      </c>
      <c r="E101" s="85" t="n">
        <v>45</v>
      </c>
      <c r="F101" s="86" t="n">
        <v>0</v>
      </c>
      <c r="G101" s="83" t="s">
        <v>503</v>
      </c>
      <c r="H101" s="0" t="str">
        <f aca="false">IF(B101="","",IF(COUNTIF(Campaigns!$A$7:$A$300,B101)&gt;0,"✓","⚠ add to Campaigns tab"))</f>
        <v>✓</v>
      </c>
      <c r="I101" s="84" t="n">
        <f aca="false">IF(C101="","",C101*IF(Settings!$B$23=Settings!$C$6,1,IF(Settings!$B$23="USD",1/INDEX(Settings!$B$29:$B$40,MONTH(A101)),INDEX(Settings!$B$29:$B$40,MONTH(A101)))))</f>
        <v>167.599115</v>
      </c>
    </row>
    <row r="102" customFormat="false" ht="15" hidden="false" customHeight="false" outlineLevel="0" collapsed="false">
      <c r="A102" s="82" t="n">
        <v>46143</v>
      </c>
      <c r="B102" s="83" t="s">
        <v>198</v>
      </c>
      <c r="C102" s="84" t="n">
        <v>582.04</v>
      </c>
      <c r="D102" s="85" t="n">
        <v>578</v>
      </c>
      <c r="E102" s="85" t="n">
        <v>33</v>
      </c>
      <c r="F102" s="86" t="n">
        <v>0.37</v>
      </c>
      <c r="G102" s="83" t="s">
        <v>503</v>
      </c>
      <c r="H102" s="0" t="str">
        <f aca="false">IF(B102="","",IF(COUNTIF(Campaigns!$A$7:$A$300,B102)&gt;0,"✓","⚠ add to Campaigns tab"))</f>
        <v>✓</v>
      </c>
      <c r="I102" s="84" t="n">
        <f aca="false">IF(C102="","",C102*IF(Settings!$B$23=Settings!$C$6,1,IF(Settings!$B$23="USD",1/INDEX(Settings!$B$29:$B$40,MONTH(A102)),INDEX(Settings!$B$29:$B$40,MONTH(A102)))))</f>
        <v>650.546108</v>
      </c>
    </row>
    <row r="103" customFormat="false" ht="15" hidden="false" customHeight="false" outlineLevel="0" collapsed="false">
      <c r="A103" s="82" t="n">
        <v>46174</v>
      </c>
      <c r="B103" s="83" t="s">
        <v>184</v>
      </c>
      <c r="C103" s="84" t="n">
        <v>1581.58</v>
      </c>
      <c r="D103" s="85" t="n">
        <v>5739</v>
      </c>
      <c r="E103" s="85" t="n">
        <v>582</v>
      </c>
      <c r="F103" s="86" t="n">
        <v>20.89</v>
      </c>
      <c r="G103" s="83" t="s">
        <v>503</v>
      </c>
      <c r="H103" s="0" t="str">
        <f aca="false">IF(B103="","",IF(COUNTIF(Campaigns!$A$7:$A$300,B103)&gt;0,"✓","⚠ add to Campaigns tab"))</f>
        <v>✓</v>
      </c>
      <c r="I103" s="84" t="n">
        <f aca="false">IF(C103="","",C103*IF(Settings!$B$23=Settings!$C$6,1,IF(Settings!$B$23="USD",1/INDEX(Settings!$B$29:$B$40,MONTH(A103)),INDEX(Settings!$B$29:$B$40,MONTH(A103)))))</f>
        <v>1767.731966</v>
      </c>
    </row>
    <row r="104" customFormat="false" ht="15" hidden="false" customHeight="false" outlineLevel="0" collapsed="false">
      <c r="A104" s="82" t="n">
        <v>46174</v>
      </c>
      <c r="B104" s="83" t="s">
        <v>190</v>
      </c>
      <c r="C104" s="84" t="n">
        <v>651.13</v>
      </c>
      <c r="D104" s="85" t="n">
        <v>1395</v>
      </c>
      <c r="E104" s="85" t="n">
        <v>173</v>
      </c>
      <c r="F104" s="86" t="n">
        <v>11.26</v>
      </c>
      <c r="G104" s="83" t="s">
        <v>503</v>
      </c>
      <c r="H104" s="0" t="str">
        <f aca="false">IF(B104="","",IF(COUNTIF(Campaigns!$A$7:$A$300,B104)&gt;0,"✓","⚠ add to Campaigns tab"))</f>
        <v>✓</v>
      </c>
      <c r="I104" s="84" t="n">
        <f aca="false">IF(C104="","",C104*IF(Settings!$B$23=Settings!$C$6,1,IF(Settings!$B$23="USD",1/INDEX(Settings!$B$29:$B$40,MONTH(A104)),INDEX(Settings!$B$29:$B$40,MONTH(A104)))))</f>
        <v>727.768001</v>
      </c>
    </row>
    <row r="105" customFormat="false" ht="15" hidden="false" customHeight="false" outlineLevel="0" collapsed="false">
      <c r="A105" s="82" t="n">
        <v>46174</v>
      </c>
      <c r="B105" s="83" t="s">
        <v>199</v>
      </c>
      <c r="C105" s="84" t="n">
        <v>209.17</v>
      </c>
      <c r="D105" s="85" t="n">
        <v>880</v>
      </c>
      <c r="E105" s="85" t="n">
        <v>93</v>
      </c>
      <c r="F105" s="86" t="n">
        <v>9</v>
      </c>
      <c r="G105" s="83" t="s">
        <v>503</v>
      </c>
      <c r="H105" s="0" t="str">
        <f aca="false">IF(B105="","",IF(COUNTIF(Campaigns!$A$7:$A$300,B105)&gt;0,"✓","⚠ add to Campaigns tab"))</f>
        <v>✓</v>
      </c>
      <c r="I105" s="84" t="n">
        <f aca="false">IF(C105="","",C105*IF(Settings!$B$23=Settings!$C$6,1,IF(Settings!$B$23="USD",1/INDEX(Settings!$B$29:$B$40,MONTH(A105)),INDEX(Settings!$B$29:$B$40,MONTH(A105)))))</f>
        <v>233.789309</v>
      </c>
    </row>
    <row r="106" customFormat="false" ht="15" hidden="false" customHeight="false" outlineLevel="0" collapsed="false">
      <c r="A106" s="82" t="n">
        <v>46174</v>
      </c>
      <c r="B106" s="83" t="s">
        <v>195</v>
      </c>
      <c r="C106" s="84" t="n">
        <v>460.49</v>
      </c>
      <c r="D106" s="85" t="n">
        <v>5503</v>
      </c>
      <c r="E106" s="85" t="n">
        <v>232</v>
      </c>
      <c r="F106" s="86" t="n">
        <v>60.38</v>
      </c>
      <c r="G106" s="83" t="s">
        <v>503</v>
      </c>
      <c r="H106" s="0" t="str">
        <f aca="false">IF(B106="","",IF(COUNTIF(Campaigns!$A$7:$A$300,B106)&gt;0,"✓","⚠ add to Campaigns tab"))</f>
        <v>✓</v>
      </c>
      <c r="I106" s="84" t="n">
        <f aca="false">IF(C106="","",C106*IF(Settings!$B$23=Settings!$C$6,1,IF(Settings!$B$23="USD",1/INDEX(Settings!$B$29:$B$40,MONTH(A106)),INDEX(Settings!$B$29:$B$40,MONTH(A106)))))</f>
        <v>514.689673</v>
      </c>
    </row>
    <row r="107" customFormat="false" ht="15" hidden="false" customHeight="false" outlineLevel="0" collapsed="false">
      <c r="A107" s="82" t="n">
        <v>46174</v>
      </c>
      <c r="B107" s="83" t="s">
        <v>201</v>
      </c>
      <c r="C107" s="84" t="n">
        <v>245.24</v>
      </c>
      <c r="D107" s="85" t="n">
        <v>1500</v>
      </c>
      <c r="E107" s="85" t="n">
        <v>104</v>
      </c>
      <c r="F107" s="86" t="n">
        <v>5.68</v>
      </c>
      <c r="G107" s="83" t="s">
        <v>503</v>
      </c>
      <c r="H107" s="0" t="str">
        <f aca="false">IF(B107="","",IF(COUNTIF(Campaigns!$A$7:$A$300,B107)&gt;0,"✓","⚠ add to Campaigns tab"))</f>
        <v>✓</v>
      </c>
      <c r="I107" s="84" t="n">
        <f aca="false">IF(C107="","",C107*IF(Settings!$B$23=Settings!$C$6,1,IF(Settings!$B$23="USD",1/INDEX(Settings!$B$29:$B$40,MONTH(A107)),INDEX(Settings!$B$29:$B$40,MONTH(A107)))))</f>
        <v>274.104748</v>
      </c>
    </row>
    <row r="108" customFormat="false" ht="15" hidden="false" customHeight="false" outlineLevel="0" collapsed="false">
      <c r="A108" s="82" t="n">
        <v>46174</v>
      </c>
      <c r="B108" s="83" t="s">
        <v>191</v>
      </c>
      <c r="C108" s="84" t="n">
        <v>640.3</v>
      </c>
      <c r="D108" s="85" t="n">
        <v>1945</v>
      </c>
      <c r="E108" s="85" t="n">
        <v>146</v>
      </c>
      <c r="F108" s="86" t="n">
        <v>3.03</v>
      </c>
      <c r="G108" s="83" t="s">
        <v>503</v>
      </c>
      <c r="H108" s="0" t="str">
        <f aca="false">IF(B108="","",IF(COUNTIF(Campaigns!$A$7:$A$300,B108)&gt;0,"✓","⚠ add to Campaigns tab"))</f>
        <v>✓</v>
      </c>
      <c r="I108" s="84" t="n">
        <f aca="false">IF(C108="","",C108*IF(Settings!$B$23=Settings!$C$6,1,IF(Settings!$B$23="USD",1/INDEX(Settings!$B$29:$B$40,MONTH(A108)),INDEX(Settings!$B$29:$B$40,MONTH(A108)))))</f>
        <v>715.66331</v>
      </c>
    </row>
    <row r="109" customFormat="false" ht="15" hidden="false" customHeight="false" outlineLevel="0" collapsed="false">
      <c r="A109" s="82" t="n">
        <v>46174</v>
      </c>
      <c r="B109" s="83" t="s">
        <v>186</v>
      </c>
      <c r="C109" s="84" t="n">
        <v>1520.25</v>
      </c>
      <c r="D109" s="85" t="n">
        <v>3536</v>
      </c>
      <c r="E109" s="85" t="n">
        <v>204</v>
      </c>
      <c r="F109" s="86" t="n">
        <v>1.19</v>
      </c>
      <c r="G109" s="83" t="s">
        <v>503</v>
      </c>
      <c r="H109" s="0" t="str">
        <f aca="false">IF(B109="","",IF(COUNTIF(Campaigns!$A$7:$A$300,B109)&gt;0,"✓","⚠ add to Campaigns tab"))</f>
        <v>✓</v>
      </c>
      <c r="I109" s="84" t="n">
        <f aca="false">IF(C109="","",C109*IF(Settings!$B$23=Settings!$C$6,1,IF(Settings!$B$23="USD",1/INDEX(Settings!$B$29:$B$40,MONTH(A109)),INDEX(Settings!$B$29:$B$40,MONTH(A109)))))</f>
        <v>1699.183425</v>
      </c>
    </row>
    <row r="110" customFormat="false" ht="15" hidden="false" customHeight="false" outlineLevel="0" collapsed="false">
      <c r="A110" s="82" t="n">
        <v>46174</v>
      </c>
      <c r="B110" s="83" t="s">
        <v>188</v>
      </c>
      <c r="C110" s="84" t="n">
        <v>1590.23</v>
      </c>
      <c r="D110" s="85" t="n">
        <v>2091</v>
      </c>
      <c r="E110" s="85" t="n">
        <v>86</v>
      </c>
      <c r="F110" s="86" t="n">
        <v>6</v>
      </c>
      <c r="G110" s="83" t="s">
        <v>503</v>
      </c>
      <c r="H110" s="0" t="str">
        <f aca="false">IF(B110="","",IF(COUNTIF(Campaigns!$A$7:$A$300,B110)&gt;0,"✓","⚠ add to Campaigns tab"))</f>
        <v>✓</v>
      </c>
      <c r="I110" s="84" t="n">
        <f aca="false">IF(C110="","",C110*IF(Settings!$B$23=Settings!$C$6,1,IF(Settings!$B$23="USD",1/INDEX(Settings!$B$29:$B$40,MONTH(A110)),INDEX(Settings!$B$29:$B$40,MONTH(A110)))))</f>
        <v>1777.400071</v>
      </c>
    </row>
    <row r="111" customFormat="false" ht="15" hidden="false" customHeight="false" outlineLevel="0" collapsed="false">
      <c r="A111" s="82" t="n">
        <v>46174</v>
      </c>
      <c r="B111" s="83" t="s">
        <v>203</v>
      </c>
      <c r="C111" s="84" t="n">
        <v>152.51</v>
      </c>
      <c r="D111" s="85" t="n">
        <v>798</v>
      </c>
      <c r="E111" s="85" t="n">
        <v>71</v>
      </c>
      <c r="F111" s="86" t="n">
        <v>7</v>
      </c>
      <c r="G111" s="83" t="s">
        <v>503</v>
      </c>
      <c r="H111" s="0" t="str">
        <f aca="false">IF(B111="","",IF(COUNTIF(Campaigns!$A$7:$A$300,B111)&gt;0,"✓","⚠ add to Campaigns tab"))</f>
        <v>✓</v>
      </c>
      <c r="I111" s="84" t="n">
        <f aca="false">IF(C111="","",C111*IF(Settings!$B$23=Settings!$C$6,1,IF(Settings!$B$23="USD",1/INDEX(Settings!$B$29:$B$40,MONTH(A111)),INDEX(Settings!$B$29:$B$40,MONTH(A111)))))</f>
        <v>170.460427</v>
      </c>
    </row>
    <row r="112" customFormat="false" ht="15" hidden="false" customHeight="false" outlineLevel="0" collapsed="false">
      <c r="A112" s="82" t="n">
        <v>46174</v>
      </c>
      <c r="B112" s="83" t="s">
        <v>187</v>
      </c>
      <c r="C112" s="84" t="n">
        <v>2029.69</v>
      </c>
      <c r="D112" s="85" t="n">
        <v>9421</v>
      </c>
      <c r="E112" s="85" t="n">
        <v>446</v>
      </c>
      <c r="F112" s="86" t="n">
        <v>17.14</v>
      </c>
      <c r="G112" s="83" t="s">
        <v>503</v>
      </c>
      <c r="H112" s="0" t="str">
        <f aca="false">IF(B112="","",IF(COUNTIF(Campaigns!$A$7:$A$300,B112)&gt;0,"✓","⚠ add to Campaigns tab"))</f>
        <v>✓</v>
      </c>
      <c r="I112" s="84" t="n">
        <f aca="false">IF(C112="","",C112*IF(Settings!$B$23=Settings!$C$6,1,IF(Settings!$B$23="USD",1/INDEX(Settings!$B$29:$B$40,MONTH(A112)),INDEX(Settings!$B$29:$B$40,MONTH(A112)))))</f>
        <v>2268.584513</v>
      </c>
    </row>
    <row r="113" customFormat="false" ht="15" hidden="false" customHeight="false" outlineLevel="0" collapsed="false">
      <c r="A113" s="82" t="n">
        <v>46174</v>
      </c>
      <c r="B113" s="83" t="s">
        <v>185</v>
      </c>
      <c r="C113" s="84" t="n">
        <v>1580.53</v>
      </c>
      <c r="D113" s="85" t="n">
        <v>4099</v>
      </c>
      <c r="E113" s="85" t="n">
        <v>535</v>
      </c>
      <c r="F113" s="86" t="n">
        <v>14.35</v>
      </c>
      <c r="G113" s="83" t="s">
        <v>503</v>
      </c>
      <c r="H113" s="0" t="str">
        <f aca="false">IF(B113="","",IF(COUNTIF(Campaigns!$A$7:$A$300,B113)&gt;0,"✓","⚠ add to Campaigns tab"))</f>
        <v>✓</v>
      </c>
      <c r="I113" s="84" t="n">
        <f aca="false">IF(C113="","",C113*IF(Settings!$B$23=Settings!$C$6,1,IF(Settings!$B$23="USD",1/INDEX(Settings!$B$29:$B$40,MONTH(A113)),INDEX(Settings!$B$29:$B$40,MONTH(A113)))))</f>
        <v>1766.558381</v>
      </c>
    </row>
    <row r="114" customFormat="false" ht="15" hidden="false" customHeight="false" outlineLevel="0" collapsed="false">
      <c r="A114" s="82" t="n">
        <v>46174</v>
      </c>
      <c r="B114" s="83" t="s">
        <v>196</v>
      </c>
      <c r="C114" s="84" t="n">
        <v>913.35</v>
      </c>
      <c r="D114" s="85" t="n">
        <v>1133266</v>
      </c>
      <c r="E114" s="85" t="n">
        <v>1602</v>
      </c>
      <c r="F114" s="86" t="n">
        <v>0.94</v>
      </c>
      <c r="G114" s="83" t="s">
        <v>503</v>
      </c>
      <c r="H114" s="0" t="str">
        <f aca="false">IF(B114="","",IF(COUNTIF(Campaigns!$A$7:$A$300,B114)&gt;0,"✓","⚠ add to Campaigns tab"))</f>
        <v>✓</v>
      </c>
      <c r="I114" s="84" t="n">
        <f aca="false">IF(C114="","",C114*IF(Settings!$B$23=Settings!$C$6,1,IF(Settings!$B$23="USD",1/INDEX(Settings!$B$29:$B$40,MONTH(A114)),INDEX(Settings!$B$29:$B$40,MONTH(A114)))))</f>
        <v>1020.851295</v>
      </c>
    </row>
    <row r="115" customFormat="false" ht="15" hidden="false" customHeight="false" outlineLevel="0" collapsed="false">
      <c r="A115" s="82" t="n">
        <v>46174</v>
      </c>
      <c r="B115" s="83" t="s">
        <v>197</v>
      </c>
      <c r="C115" s="84" t="n">
        <v>912.22</v>
      </c>
      <c r="D115" s="85" t="n">
        <v>388713</v>
      </c>
      <c r="E115" s="85" t="n">
        <v>82</v>
      </c>
      <c r="F115" s="86" t="n">
        <v>0</v>
      </c>
      <c r="G115" s="83" t="s">
        <v>503</v>
      </c>
      <c r="H115" s="0" t="str">
        <f aca="false">IF(B115="","",IF(COUNTIF(Campaigns!$A$7:$A$300,B115)&gt;0,"✓","⚠ add to Campaigns tab"))</f>
        <v>✓</v>
      </c>
      <c r="I115" s="84" t="n">
        <f aca="false">IF(C115="","",C115*IF(Settings!$B$23=Settings!$C$6,1,IF(Settings!$B$23="USD",1/INDEX(Settings!$B$29:$B$40,MONTH(A115)),INDEX(Settings!$B$29:$B$40,MONTH(A115)))))</f>
        <v>1019.588294</v>
      </c>
    </row>
    <row r="116" customFormat="false" ht="15" hidden="false" customHeight="false" outlineLevel="0" collapsed="false">
      <c r="A116" s="82" t="n">
        <v>46204</v>
      </c>
      <c r="B116" s="83" t="s">
        <v>184</v>
      </c>
      <c r="C116" s="84" t="n">
        <v>1517.3</v>
      </c>
      <c r="D116" s="85" t="n">
        <v>5268</v>
      </c>
      <c r="E116" s="85" t="n">
        <v>640</v>
      </c>
      <c r="F116" s="86" t="n">
        <v>8.5</v>
      </c>
      <c r="G116" s="83" t="s">
        <v>503</v>
      </c>
      <c r="H116" s="0" t="str">
        <f aca="false">IF(B116="","",IF(COUNTIF(Campaigns!$A$7:$A$300,B116)&gt;0,"✓","⚠ add to Campaigns tab"))</f>
        <v>✓</v>
      </c>
      <c r="I116" s="84" t="n">
        <f aca="false">IF(C116="","",C116*IF(Settings!$B$23=Settings!$C$6,1,IF(Settings!$B$23="USD",1/INDEX(Settings!$B$29:$B$40,MONTH(A116)),INDEX(Settings!$B$29:$B$40,MONTH(A116)))))</f>
        <v>1695.88621</v>
      </c>
    </row>
    <row r="117" customFormat="false" ht="15" hidden="false" customHeight="false" outlineLevel="0" collapsed="false">
      <c r="A117" s="82" t="n">
        <v>46204</v>
      </c>
      <c r="B117" s="83" t="s">
        <v>190</v>
      </c>
      <c r="C117" s="84" t="n">
        <v>605.46</v>
      </c>
      <c r="D117" s="85" t="n">
        <v>1379</v>
      </c>
      <c r="E117" s="85" t="n">
        <v>176</v>
      </c>
      <c r="F117" s="86" t="n">
        <v>3.19</v>
      </c>
      <c r="G117" s="83" t="s">
        <v>503</v>
      </c>
      <c r="H117" s="0" t="str">
        <f aca="false">IF(B117="","",IF(COUNTIF(Campaigns!$A$7:$A$300,B117)&gt;0,"✓","⚠ add to Campaigns tab"))</f>
        <v>✓</v>
      </c>
      <c r="I117" s="84" t="n">
        <f aca="false">IF(C117="","",C117*IF(Settings!$B$23=Settings!$C$6,1,IF(Settings!$B$23="USD",1/INDEX(Settings!$B$29:$B$40,MONTH(A117)),INDEX(Settings!$B$29:$B$40,MONTH(A117)))))</f>
        <v>676.722642</v>
      </c>
    </row>
    <row r="118" customFormat="false" ht="15" hidden="false" customHeight="false" outlineLevel="0" collapsed="false">
      <c r="A118" s="82" t="n">
        <v>46204</v>
      </c>
      <c r="B118" s="83" t="s">
        <v>199</v>
      </c>
      <c r="C118" s="84" t="n">
        <v>285.26</v>
      </c>
      <c r="D118" s="85" t="n">
        <v>1631</v>
      </c>
      <c r="E118" s="85" t="n">
        <v>136</v>
      </c>
      <c r="F118" s="86" t="n">
        <v>2</v>
      </c>
      <c r="G118" s="83" t="s">
        <v>503</v>
      </c>
      <c r="H118" s="0" t="str">
        <f aca="false">IF(B118="","",IF(COUNTIF(Campaigns!$A$7:$A$300,B118)&gt;0,"✓","⚠ add to Campaigns tab"))</f>
        <v>✓</v>
      </c>
      <c r="I118" s="84" t="n">
        <f aca="false">IF(C118="","",C118*IF(Settings!$B$23=Settings!$C$6,1,IF(Settings!$B$23="USD",1/INDEX(Settings!$B$29:$B$40,MONTH(A118)),INDEX(Settings!$B$29:$B$40,MONTH(A118)))))</f>
        <v>318.835102</v>
      </c>
    </row>
    <row r="119" customFormat="false" ht="15" hidden="false" customHeight="false" outlineLevel="0" collapsed="false">
      <c r="A119" s="82" t="n">
        <v>46204</v>
      </c>
      <c r="B119" s="83" t="s">
        <v>195</v>
      </c>
      <c r="C119" s="84" t="n">
        <v>603.07</v>
      </c>
      <c r="D119" s="85" t="n">
        <v>11611</v>
      </c>
      <c r="E119" s="85" t="n">
        <v>474</v>
      </c>
      <c r="F119" s="86" t="n">
        <v>23</v>
      </c>
      <c r="G119" s="83" t="s">
        <v>503</v>
      </c>
      <c r="H119" s="0" t="str">
        <f aca="false">IF(B119="","",IF(COUNTIF(Campaigns!$A$7:$A$300,B119)&gt;0,"✓","⚠ add to Campaigns tab"))</f>
        <v>✓</v>
      </c>
      <c r="I119" s="84" t="n">
        <f aca="false">IF(C119="","",C119*IF(Settings!$B$23=Settings!$C$6,1,IF(Settings!$B$23="USD",1/INDEX(Settings!$B$29:$B$40,MONTH(A119)),INDEX(Settings!$B$29:$B$40,MONTH(A119)))))</f>
        <v>674.051339</v>
      </c>
    </row>
    <row r="120" customFormat="false" ht="15" hidden="false" customHeight="false" outlineLevel="0" collapsed="false">
      <c r="A120" s="82" t="n">
        <v>46204</v>
      </c>
      <c r="B120" s="83" t="s">
        <v>201</v>
      </c>
      <c r="C120" s="84" t="n">
        <v>231.63</v>
      </c>
      <c r="D120" s="85" t="n">
        <v>1834</v>
      </c>
      <c r="E120" s="85" t="n">
        <v>129</v>
      </c>
      <c r="F120" s="86" t="n">
        <v>2</v>
      </c>
      <c r="G120" s="83" t="s">
        <v>503</v>
      </c>
      <c r="H120" s="0" t="str">
        <f aca="false">IF(B120="","",IF(COUNTIF(Campaigns!$A$7:$A$300,B120)&gt;0,"✓","⚠ add to Campaigns tab"))</f>
        <v>✓</v>
      </c>
      <c r="I120" s="84" t="n">
        <f aca="false">IF(C120="","",C120*IF(Settings!$B$23=Settings!$C$6,1,IF(Settings!$B$23="USD",1/INDEX(Settings!$B$29:$B$40,MONTH(A120)),INDEX(Settings!$B$29:$B$40,MONTH(A120)))))</f>
        <v>258.892851</v>
      </c>
    </row>
    <row r="121" customFormat="false" ht="15" hidden="false" customHeight="false" outlineLevel="0" collapsed="false">
      <c r="A121" s="82" t="n">
        <v>46204</v>
      </c>
      <c r="B121" s="83" t="s">
        <v>191</v>
      </c>
      <c r="C121" s="84" t="n">
        <v>612.3</v>
      </c>
      <c r="D121" s="85" t="n">
        <v>1710</v>
      </c>
      <c r="E121" s="85" t="n">
        <v>192</v>
      </c>
      <c r="F121" s="86" t="n">
        <v>4.77</v>
      </c>
      <c r="G121" s="83" t="s">
        <v>503</v>
      </c>
      <c r="H121" s="0" t="str">
        <f aca="false">IF(B121="","",IF(COUNTIF(Campaigns!$A$7:$A$300,B121)&gt;0,"✓","⚠ add to Campaigns tab"))</f>
        <v>✓</v>
      </c>
      <c r="I121" s="84" t="n">
        <f aca="false">IF(C121="","",C121*IF(Settings!$B$23=Settings!$C$6,1,IF(Settings!$B$23="USD",1/INDEX(Settings!$B$29:$B$40,MONTH(A121)),INDEX(Settings!$B$29:$B$40,MONTH(A121)))))</f>
        <v>684.36771</v>
      </c>
    </row>
    <row r="122" customFormat="false" ht="15" hidden="false" customHeight="false" outlineLevel="0" collapsed="false">
      <c r="A122" s="82" t="n">
        <v>46204</v>
      </c>
      <c r="B122" s="83" t="s">
        <v>186</v>
      </c>
      <c r="C122" s="84" t="n">
        <v>1438.79</v>
      </c>
      <c r="D122" s="85" t="n">
        <v>2574</v>
      </c>
      <c r="E122" s="85" t="n">
        <v>207</v>
      </c>
      <c r="F122" s="86" t="n">
        <v>3.11</v>
      </c>
      <c r="G122" s="83" t="s">
        <v>503</v>
      </c>
      <c r="H122" s="0" t="str">
        <f aca="false">IF(B122="","",IF(COUNTIF(Campaigns!$A$7:$A$300,B122)&gt;0,"✓","⚠ add to Campaigns tab"))</f>
        <v>✓</v>
      </c>
      <c r="I122" s="84" t="n">
        <f aca="false">IF(C122="","",C122*IF(Settings!$B$23=Settings!$C$6,1,IF(Settings!$B$23="USD",1/INDEX(Settings!$B$29:$B$40,MONTH(A122)),INDEX(Settings!$B$29:$B$40,MONTH(A122)))))</f>
        <v>1608.135583</v>
      </c>
    </row>
    <row r="123" customFormat="false" ht="15" hidden="false" customHeight="false" outlineLevel="0" collapsed="false">
      <c r="A123" s="82" t="n">
        <v>46204</v>
      </c>
      <c r="B123" s="83" t="s">
        <v>188</v>
      </c>
      <c r="C123" s="84" t="n">
        <v>1530.78</v>
      </c>
      <c r="D123" s="85" t="n">
        <v>1714</v>
      </c>
      <c r="E123" s="85" t="n">
        <v>71</v>
      </c>
      <c r="F123" s="86" t="n">
        <v>0</v>
      </c>
      <c r="G123" s="83" t="s">
        <v>503</v>
      </c>
      <c r="H123" s="0" t="str">
        <f aca="false">IF(B123="","",IF(COUNTIF(Campaigns!$A$7:$A$300,B123)&gt;0,"✓","⚠ add to Campaigns tab"))</f>
        <v>✓</v>
      </c>
      <c r="I123" s="84" t="n">
        <f aca="false">IF(C123="","",C123*IF(Settings!$B$23=Settings!$C$6,1,IF(Settings!$B$23="USD",1/INDEX(Settings!$B$29:$B$40,MONTH(A123)),INDEX(Settings!$B$29:$B$40,MONTH(A123)))))</f>
        <v>1710.952806</v>
      </c>
    </row>
    <row r="124" customFormat="false" ht="15" hidden="false" customHeight="false" outlineLevel="0" collapsed="false">
      <c r="A124" s="82" t="n">
        <v>46204</v>
      </c>
      <c r="B124" s="83" t="s">
        <v>203</v>
      </c>
      <c r="C124" s="84" t="n">
        <v>152.01</v>
      </c>
      <c r="D124" s="85" t="n">
        <v>880</v>
      </c>
      <c r="E124" s="85" t="n">
        <v>75</v>
      </c>
      <c r="F124" s="86" t="n">
        <v>0</v>
      </c>
      <c r="G124" s="83" t="s">
        <v>503</v>
      </c>
      <c r="H124" s="0" t="str">
        <f aca="false">IF(B124="","",IF(COUNTIF(Campaigns!$A$7:$A$300,B124)&gt;0,"✓","⚠ add to Campaigns tab"))</f>
        <v>✓</v>
      </c>
      <c r="I124" s="84" t="n">
        <f aca="false">IF(C124="","",C124*IF(Settings!$B$23=Settings!$C$6,1,IF(Settings!$B$23="USD",1/INDEX(Settings!$B$29:$B$40,MONTH(A124)),INDEX(Settings!$B$29:$B$40,MONTH(A124)))))</f>
        <v>169.901577</v>
      </c>
    </row>
    <row r="125" customFormat="false" ht="15" hidden="false" customHeight="false" outlineLevel="0" collapsed="false">
      <c r="A125" s="82" t="n">
        <v>46204</v>
      </c>
      <c r="B125" s="83" t="s">
        <v>187</v>
      </c>
      <c r="C125" s="84" t="n">
        <v>1929.39</v>
      </c>
      <c r="D125" s="85" t="n">
        <v>11752</v>
      </c>
      <c r="E125" s="85" t="n">
        <v>608</v>
      </c>
      <c r="F125" s="86" t="n">
        <v>11.45</v>
      </c>
      <c r="G125" s="83" t="s">
        <v>503</v>
      </c>
      <c r="H125" s="0" t="str">
        <f aca="false">IF(B125="","",IF(COUNTIF(Campaigns!$A$7:$A$300,B125)&gt;0,"✓","⚠ add to Campaigns tab"))</f>
        <v>✓</v>
      </c>
      <c r="I125" s="84" t="n">
        <f aca="false">IF(C125="","",C125*IF(Settings!$B$23=Settings!$C$6,1,IF(Settings!$B$23="USD",1/INDEX(Settings!$B$29:$B$40,MONTH(A125)),INDEX(Settings!$B$29:$B$40,MONTH(A125)))))</f>
        <v>2156.479203</v>
      </c>
    </row>
    <row r="126" customFormat="false" ht="15" hidden="false" customHeight="false" outlineLevel="0" collapsed="false">
      <c r="A126" s="82" t="n">
        <v>46204</v>
      </c>
      <c r="B126" s="83" t="s">
        <v>185</v>
      </c>
      <c r="C126" s="84" t="n">
        <v>1497.34</v>
      </c>
      <c r="D126" s="85" t="n">
        <v>4775</v>
      </c>
      <c r="E126" s="85" t="n">
        <v>708</v>
      </c>
      <c r="F126" s="86" t="n">
        <v>10.54</v>
      </c>
      <c r="G126" s="83" t="s">
        <v>503</v>
      </c>
      <c r="H126" s="0" t="str">
        <f aca="false">IF(B126="","",IF(COUNTIF(Campaigns!$A$7:$A$300,B126)&gt;0,"✓","⚠ add to Campaigns tab"))</f>
        <v>✓</v>
      </c>
      <c r="I126" s="84" t="n">
        <f aca="false">IF(C126="","",C126*IF(Settings!$B$23=Settings!$C$6,1,IF(Settings!$B$23="USD",1/INDEX(Settings!$B$29:$B$40,MONTH(A126)),INDEX(Settings!$B$29:$B$40,MONTH(A126)))))</f>
        <v>1673.576918</v>
      </c>
    </row>
    <row r="127" customFormat="false" ht="15" hidden="false" customHeight="false" outlineLevel="0" collapsed="false">
      <c r="A127" s="82" t="n">
        <v>46204</v>
      </c>
      <c r="B127" s="83" t="s">
        <v>196</v>
      </c>
      <c r="C127" s="84" t="n">
        <v>677.68</v>
      </c>
      <c r="D127" s="85" t="n">
        <v>831248</v>
      </c>
      <c r="E127" s="85" t="n">
        <v>1278</v>
      </c>
      <c r="F127" s="86" t="n">
        <v>0</v>
      </c>
      <c r="G127" s="83" t="s">
        <v>503</v>
      </c>
      <c r="H127" s="0" t="str">
        <f aca="false">IF(B127="","",IF(COUNTIF(Campaigns!$A$7:$A$300,B127)&gt;0,"✓","⚠ add to Campaigns tab"))</f>
        <v>✓</v>
      </c>
      <c r="I127" s="84" t="n">
        <f aca="false">IF(C127="","",C127*IF(Settings!$B$23=Settings!$C$6,1,IF(Settings!$B$23="USD",1/INDEX(Settings!$B$29:$B$40,MONTH(A127)),INDEX(Settings!$B$29:$B$40,MONTH(A127)))))</f>
        <v>757.442936</v>
      </c>
    </row>
    <row r="128" customFormat="false" ht="15" hidden="false" customHeight="false" outlineLevel="0" collapsed="false">
      <c r="A128" s="82" t="n">
        <v>46204</v>
      </c>
      <c r="B128" s="83" t="s">
        <v>197</v>
      </c>
      <c r="C128" s="84" t="n">
        <v>682.61</v>
      </c>
      <c r="D128" s="85" t="n">
        <v>295691</v>
      </c>
      <c r="E128" s="85" t="n">
        <v>269</v>
      </c>
      <c r="F128" s="86" t="n">
        <v>0</v>
      </c>
      <c r="G128" s="83" t="s">
        <v>503</v>
      </c>
      <c r="H128" s="0" t="str">
        <f aca="false">IF(B128="","",IF(COUNTIF(Campaigns!$A$7:$A$300,B128)&gt;0,"✓","⚠ add to Campaigns tab"))</f>
        <v>✓</v>
      </c>
      <c r="I128" s="84" t="n">
        <f aca="false">IF(C128="","",C128*IF(Settings!$B$23=Settings!$C$6,1,IF(Settings!$B$23="USD",1/INDEX(Settings!$B$29:$B$40,MONTH(A128)),INDEX(Settings!$B$29:$B$40,MONTH(A128)))))</f>
        <v>762.953197</v>
      </c>
    </row>
    <row r="129" customFormat="false" ht="15" hidden="false" customHeight="false" outlineLevel="0" collapsed="false">
      <c r="A129" s="82" t="n">
        <v>46235</v>
      </c>
      <c r="B129" s="83" t="s">
        <v>192</v>
      </c>
      <c r="C129" s="84" t="n">
        <v>2222.99</v>
      </c>
      <c r="D129" s="85" t="n">
        <v>18722</v>
      </c>
      <c r="E129" s="85" t="n">
        <v>2054</v>
      </c>
      <c r="F129" s="86" t="n">
        <v>57.42</v>
      </c>
      <c r="G129" s="83" t="s">
        <v>503</v>
      </c>
      <c r="H129" s="0" t="str">
        <f aca="false">IF(B129="","",IF(COUNTIF(Campaigns!$A$7:$A$300,B129)&gt;0,"✓","⚠ add to Campaigns tab"))</f>
        <v>✓</v>
      </c>
      <c r="I129" s="84" t="n">
        <f aca="false">IF(C129="","",C129*IF(Settings!$B$23=Settings!$C$6,1,IF(Settings!$B$23="USD",1/INDEX(Settings!$B$29:$B$40,MONTH(A129)),INDEX(Settings!$B$29:$B$40,MONTH(A129)))))</f>
        <v>2484.635923</v>
      </c>
    </row>
    <row r="130" customFormat="false" ht="15" hidden="false" customHeight="false" outlineLevel="0" collapsed="false">
      <c r="A130" s="82" t="n">
        <v>46235</v>
      </c>
      <c r="B130" s="83" t="s">
        <v>219</v>
      </c>
      <c r="C130" s="84" t="n">
        <v>155.33</v>
      </c>
      <c r="D130" s="85" t="n">
        <v>42424</v>
      </c>
      <c r="E130" s="85" t="n">
        <v>1592</v>
      </c>
      <c r="F130" s="86" t="n">
        <v>4</v>
      </c>
      <c r="G130" s="83" t="s">
        <v>503</v>
      </c>
      <c r="H130" s="0" t="str">
        <f aca="false">IF(B130="","",IF(COUNTIF(Campaigns!$A$7:$A$300,B130)&gt;0,"✓","⚠ add to Campaigns tab"))</f>
        <v>✓</v>
      </c>
      <c r="I130" s="84" t="n">
        <f aca="false">IF(C130="","",C130*IF(Settings!$B$23=Settings!$C$6,1,IF(Settings!$B$23="USD",1/INDEX(Settings!$B$29:$B$40,MONTH(A130)),INDEX(Settings!$B$29:$B$40,MONTH(A130)))))</f>
        <v>173.612341</v>
      </c>
    </row>
    <row r="131" customFormat="false" ht="15" hidden="false" customHeight="false" outlineLevel="0" collapsed="false">
      <c r="A131" s="82" t="n">
        <v>46235</v>
      </c>
      <c r="B131" s="83" t="s">
        <v>184</v>
      </c>
      <c r="C131" s="84" t="n">
        <v>622.64</v>
      </c>
      <c r="D131" s="85" t="n">
        <v>2079</v>
      </c>
      <c r="E131" s="85" t="n">
        <v>244</v>
      </c>
      <c r="F131" s="86" t="n">
        <v>7.37</v>
      </c>
      <c r="G131" s="83" t="s">
        <v>503</v>
      </c>
      <c r="H131" s="0" t="str">
        <f aca="false">IF(B131="","",IF(COUNTIF(Campaigns!$A$7:$A$300,B131)&gt;0,"✓","⚠ add to Campaigns tab"))</f>
        <v>✓</v>
      </c>
      <c r="I131" s="84" t="n">
        <f aca="false">IF(C131="","",C131*IF(Settings!$B$23=Settings!$C$6,1,IF(Settings!$B$23="USD",1/INDEX(Settings!$B$29:$B$40,MONTH(A131)),INDEX(Settings!$B$29:$B$40,MONTH(A131)))))</f>
        <v>695.924728</v>
      </c>
    </row>
    <row r="132" customFormat="false" ht="15" hidden="false" customHeight="false" outlineLevel="0" collapsed="false">
      <c r="A132" s="82" t="n">
        <v>46235</v>
      </c>
      <c r="B132" s="83" t="s">
        <v>190</v>
      </c>
      <c r="C132" s="84" t="n">
        <v>235.76</v>
      </c>
      <c r="D132" s="85" t="n">
        <v>483</v>
      </c>
      <c r="E132" s="85" t="n">
        <v>63</v>
      </c>
      <c r="F132" s="86" t="n">
        <v>4.08</v>
      </c>
      <c r="G132" s="83" t="s">
        <v>503</v>
      </c>
      <c r="H132" s="0" t="str">
        <f aca="false">IF(B132="","",IF(COUNTIF(Campaigns!$A$7:$A$300,B132)&gt;0,"✓","⚠ add to Campaigns tab"))</f>
        <v>✓</v>
      </c>
      <c r="I132" s="84" t="n">
        <f aca="false">IF(C132="","",C132*IF(Settings!$B$23=Settings!$C$6,1,IF(Settings!$B$23="USD",1/INDEX(Settings!$B$29:$B$40,MONTH(A132)),INDEX(Settings!$B$29:$B$40,MONTH(A132)))))</f>
        <v>263.508952</v>
      </c>
    </row>
    <row r="133" customFormat="false" ht="15" hidden="false" customHeight="false" outlineLevel="0" collapsed="false">
      <c r="A133" s="82" t="n">
        <v>46235</v>
      </c>
      <c r="B133" s="83" t="s">
        <v>199</v>
      </c>
      <c r="C133" s="84" t="n">
        <v>23.97</v>
      </c>
      <c r="D133" s="85" t="n">
        <v>174</v>
      </c>
      <c r="E133" s="85" t="n">
        <v>21</v>
      </c>
      <c r="F133" s="86" t="n">
        <v>2</v>
      </c>
      <c r="G133" s="83" t="s">
        <v>503</v>
      </c>
      <c r="H133" s="0" t="str">
        <f aca="false">IF(B133="","",IF(COUNTIF(Campaigns!$A$7:$A$300,B133)&gt;0,"✓","⚠ add to Campaigns tab"))</f>
        <v>✓</v>
      </c>
      <c r="I133" s="84" t="n">
        <f aca="false">IF(C133="","",C133*IF(Settings!$B$23=Settings!$C$6,1,IF(Settings!$B$23="USD",1/INDEX(Settings!$B$29:$B$40,MONTH(A133)),INDEX(Settings!$B$29:$B$40,MONTH(A133)))))</f>
        <v>26.791269</v>
      </c>
    </row>
    <row r="134" customFormat="false" ht="15" hidden="false" customHeight="false" outlineLevel="0" collapsed="false">
      <c r="A134" s="82" t="n">
        <v>46235</v>
      </c>
      <c r="B134" s="83" t="s">
        <v>189</v>
      </c>
      <c r="C134" s="84" t="n">
        <v>2521.41</v>
      </c>
      <c r="D134" s="85" t="n">
        <v>13745</v>
      </c>
      <c r="E134" s="85" t="n">
        <v>1193</v>
      </c>
      <c r="F134" s="86" t="n">
        <v>68.56</v>
      </c>
      <c r="G134" s="83" t="s">
        <v>503</v>
      </c>
      <c r="H134" s="0" t="str">
        <f aca="false">IF(B134="","",IF(COUNTIF(Campaigns!$A$7:$A$300,B134)&gt;0,"✓","⚠ add to Campaigns tab"))</f>
        <v>✓</v>
      </c>
      <c r="I134" s="84" t="n">
        <f aca="false">IF(C134="","",C134*IF(Settings!$B$23=Settings!$C$6,1,IF(Settings!$B$23="USD",1/INDEX(Settings!$B$29:$B$40,MONTH(A134)),INDEX(Settings!$B$29:$B$40,MONTH(A134)))))</f>
        <v>2818.179957</v>
      </c>
    </row>
    <row r="135" customFormat="false" ht="15" hidden="false" customHeight="false" outlineLevel="0" collapsed="false">
      <c r="A135" s="82" t="n">
        <v>46235</v>
      </c>
      <c r="B135" s="83" t="s">
        <v>195</v>
      </c>
      <c r="C135" s="84" t="n">
        <v>1058.15</v>
      </c>
      <c r="D135" s="85" t="n">
        <v>52067</v>
      </c>
      <c r="E135" s="85" t="n">
        <v>1188</v>
      </c>
      <c r="F135" s="86" t="n">
        <v>108.52</v>
      </c>
      <c r="G135" s="83" t="s">
        <v>503</v>
      </c>
      <c r="H135" s="0" t="str">
        <f aca="false">IF(B135="","",IF(COUNTIF(Campaigns!$A$7:$A$300,B135)&gt;0,"✓","⚠ add to Campaigns tab"))</f>
        <v>✓</v>
      </c>
      <c r="I135" s="84" t="n">
        <f aca="false">IF(C135="","",C135*IF(Settings!$B$23=Settings!$C$6,1,IF(Settings!$B$23="USD",1/INDEX(Settings!$B$29:$B$40,MONTH(A135)),INDEX(Settings!$B$29:$B$40,MONTH(A135)))))</f>
        <v>1182.694255</v>
      </c>
    </row>
    <row r="136" customFormat="false" ht="15" hidden="false" customHeight="false" outlineLevel="0" collapsed="false">
      <c r="A136" s="82" t="n">
        <v>46235</v>
      </c>
      <c r="B136" s="83" t="s">
        <v>201</v>
      </c>
      <c r="C136" s="84" t="n">
        <v>89.04</v>
      </c>
      <c r="D136" s="85" t="n">
        <v>526</v>
      </c>
      <c r="E136" s="85" t="n">
        <v>50</v>
      </c>
      <c r="F136" s="86" t="n">
        <v>1</v>
      </c>
      <c r="G136" s="83" t="s">
        <v>503</v>
      </c>
      <c r="H136" s="0" t="str">
        <f aca="false">IF(B136="","",IF(COUNTIF(Campaigns!$A$7:$A$300,B136)&gt;0,"✓","⚠ add to Campaigns tab"))</f>
        <v>✓</v>
      </c>
      <c r="I136" s="84" t="n">
        <f aca="false">IF(C136="","",C136*IF(Settings!$B$23=Settings!$C$6,1,IF(Settings!$B$23="USD",1/INDEX(Settings!$B$29:$B$40,MONTH(A136)),INDEX(Settings!$B$29:$B$40,MONTH(A136)))))</f>
        <v>99.520008</v>
      </c>
    </row>
    <row r="137" customFormat="false" ht="15" hidden="false" customHeight="false" outlineLevel="0" collapsed="false">
      <c r="A137" s="82" t="n">
        <v>46235</v>
      </c>
      <c r="B137" s="83" t="s">
        <v>191</v>
      </c>
      <c r="C137" s="84" t="n">
        <v>239.51</v>
      </c>
      <c r="D137" s="85" t="n">
        <v>710</v>
      </c>
      <c r="E137" s="85" t="n">
        <v>77</v>
      </c>
      <c r="F137" s="86" t="n">
        <v>2</v>
      </c>
      <c r="G137" s="83" t="s">
        <v>503</v>
      </c>
      <c r="H137" s="0" t="str">
        <f aca="false">IF(B137="","",IF(COUNTIF(Campaigns!$A$7:$A$300,B137)&gt;0,"✓","⚠ add to Campaigns tab"))</f>
        <v>✓</v>
      </c>
      <c r="I137" s="84" t="n">
        <f aca="false">IF(C137="","",C137*IF(Settings!$B$23=Settings!$C$6,1,IF(Settings!$B$23="USD",1/INDEX(Settings!$B$29:$B$40,MONTH(A137)),INDEX(Settings!$B$29:$B$40,MONTH(A137)))))</f>
        <v>267.700327</v>
      </c>
    </row>
    <row r="138" customFormat="false" ht="15" hidden="false" customHeight="false" outlineLevel="0" collapsed="false">
      <c r="A138" s="82" t="n">
        <v>46235</v>
      </c>
      <c r="B138" s="83" t="s">
        <v>186</v>
      </c>
      <c r="C138" s="84" t="n">
        <v>560.46</v>
      </c>
      <c r="D138" s="85" t="n">
        <v>1241</v>
      </c>
      <c r="E138" s="85" t="n">
        <v>95</v>
      </c>
      <c r="F138" s="86" t="n">
        <v>2</v>
      </c>
      <c r="G138" s="83" t="s">
        <v>503</v>
      </c>
      <c r="H138" s="0" t="str">
        <f aca="false">IF(B138="","",IF(COUNTIF(Campaigns!$A$7:$A$300,B138)&gt;0,"✓","⚠ add to Campaigns tab"))</f>
        <v>✓</v>
      </c>
      <c r="I138" s="84" t="n">
        <f aca="false">IF(C138="","",C138*IF(Settings!$B$23=Settings!$C$6,1,IF(Settings!$B$23="USD",1/INDEX(Settings!$B$29:$B$40,MONTH(A138)),INDEX(Settings!$B$29:$B$40,MONTH(A138)))))</f>
        <v>626.426142</v>
      </c>
    </row>
    <row r="139" customFormat="false" ht="15" hidden="false" customHeight="false" outlineLevel="0" collapsed="false">
      <c r="A139" s="82" t="n">
        <v>46235</v>
      </c>
      <c r="B139" s="83" t="s">
        <v>188</v>
      </c>
      <c r="C139" s="84" t="n">
        <v>594.75</v>
      </c>
      <c r="D139" s="85" t="n">
        <v>631</v>
      </c>
      <c r="E139" s="85" t="n">
        <v>22</v>
      </c>
      <c r="F139" s="86" t="n">
        <v>1</v>
      </c>
      <c r="G139" s="83" t="s">
        <v>503</v>
      </c>
      <c r="H139" s="0" t="str">
        <f aca="false">IF(B139="","",IF(COUNTIF(Campaigns!$A$7:$A$300,B139)&gt;0,"✓","⚠ add to Campaigns tab"))</f>
        <v>✓</v>
      </c>
      <c r="I139" s="84" t="n">
        <f aca="false">IF(C139="","",C139*IF(Settings!$B$23=Settings!$C$6,1,IF(Settings!$B$23="USD",1/INDEX(Settings!$B$29:$B$40,MONTH(A139)),INDEX(Settings!$B$29:$B$40,MONTH(A139)))))</f>
        <v>664.752075</v>
      </c>
    </row>
    <row r="140" customFormat="false" ht="15" hidden="false" customHeight="false" outlineLevel="0" collapsed="false">
      <c r="A140" s="82" t="n">
        <v>46235</v>
      </c>
      <c r="B140" s="83" t="s">
        <v>203</v>
      </c>
      <c r="C140" s="84" t="n">
        <v>42.99</v>
      </c>
      <c r="D140" s="85" t="n">
        <v>458</v>
      </c>
      <c r="E140" s="85" t="n">
        <v>25</v>
      </c>
      <c r="F140" s="86" t="n">
        <v>5</v>
      </c>
      <c r="G140" s="83" t="s">
        <v>503</v>
      </c>
      <c r="H140" s="0" t="str">
        <f aca="false">IF(B140="","",IF(COUNTIF(Campaigns!$A$7:$A$300,B140)&gt;0,"✓","⚠ add to Campaigns tab"))</f>
        <v>✓</v>
      </c>
      <c r="I140" s="84" t="n">
        <f aca="false">IF(C140="","",C140*IF(Settings!$B$23=Settings!$C$6,1,IF(Settings!$B$23="USD",1/INDEX(Settings!$B$29:$B$40,MONTH(A140)),INDEX(Settings!$B$29:$B$40,MONTH(A140)))))</f>
        <v>48.049923</v>
      </c>
    </row>
    <row r="141" customFormat="false" ht="15" hidden="false" customHeight="false" outlineLevel="0" collapsed="false">
      <c r="A141" s="82" t="n">
        <v>46235</v>
      </c>
      <c r="B141" s="83" t="s">
        <v>187</v>
      </c>
      <c r="C141" s="84" t="n">
        <v>765.02</v>
      </c>
      <c r="D141" s="85" t="n">
        <v>5306</v>
      </c>
      <c r="E141" s="85" t="n">
        <v>248</v>
      </c>
      <c r="F141" s="86" t="n">
        <v>6.17</v>
      </c>
      <c r="G141" s="83" t="s">
        <v>503</v>
      </c>
      <c r="H141" s="0" t="str">
        <f aca="false">IF(B141="","",IF(COUNTIF(Campaigns!$A$7:$A$300,B141)&gt;0,"✓","⚠ add to Campaigns tab"))</f>
        <v>✓</v>
      </c>
      <c r="I141" s="84" t="n">
        <f aca="false">IF(C141="","",C141*IF(Settings!$B$23=Settings!$C$6,1,IF(Settings!$B$23="USD",1/INDEX(Settings!$B$29:$B$40,MONTH(A141)),INDEX(Settings!$B$29:$B$40,MONTH(A141)))))</f>
        <v>855.062854</v>
      </c>
    </row>
    <row r="142" customFormat="false" ht="15" hidden="false" customHeight="false" outlineLevel="0" collapsed="false">
      <c r="A142" s="82" t="n">
        <v>46235</v>
      </c>
      <c r="B142" s="83" t="s">
        <v>185</v>
      </c>
      <c r="C142" s="84" t="n">
        <v>607.8</v>
      </c>
      <c r="D142" s="85" t="n">
        <v>1697</v>
      </c>
      <c r="E142" s="85" t="n">
        <v>251</v>
      </c>
      <c r="F142" s="86" t="n">
        <v>3.32</v>
      </c>
      <c r="G142" s="83" t="s">
        <v>503</v>
      </c>
      <c r="H142" s="0" t="str">
        <f aca="false">IF(B142="","",IF(COUNTIF(Campaigns!$A$7:$A$300,B142)&gt;0,"✓","⚠ add to Campaigns tab"))</f>
        <v>✓</v>
      </c>
      <c r="I142" s="84" t="n">
        <f aca="false">IF(C142="","",C142*IF(Settings!$B$23=Settings!$C$6,1,IF(Settings!$B$23="USD",1/INDEX(Settings!$B$29:$B$40,MONTH(A142)),INDEX(Settings!$B$29:$B$40,MONTH(A142)))))</f>
        <v>679.33806</v>
      </c>
    </row>
    <row r="143" customFormat="false" ht="15" hidden="false" customHeight="false" outlineLevel="0" collapsed="false">
      <c r="A143" s="82" t="n">
        <v>46235</v>
      </c>
      <c r="B143" s="83" t="s">
        <v>196</v>
      </c>
      <c r="C143" s="84" t="n">
        <v>608.98</v>
      </c>
      <c r="D143" s="85" t="n">
        <v>860038</v>
      </c>
      <c r="E143" s="85" t="n">
        <v>870</v>
      </c>
      <c r="F143" s="86" t="n">
        <v>0</v>
      </c>
      <c r="G143" s="83" t="s">
        <v>503</v>
      </c>
      <c r="H143" s="0" t="str">
        <f aca="false">IF(B143="","",IF(COUNTIF(Campaigns!$A$7:$A$300,B143)&gt;0,"✓","⚠ add to Campaigns tab"))</f>
        <v>✓</v>
      </c>
      <c r="I143" s="84" t="n">
        <f aca="false">IF(C143="","",C143*IF(Settings!$B$23=Settings!$C$6,1,IF(Settings!$B$23="USD",1/INDEX(Settings!$B$29:$B$40,MONTH(A143)),INDEX(Settings!$B$29:$B$40,MONTH(A143)))))</f>
        <v>680.656946</v>
      </c>
    </row>
    <row r="144" customFormat="false" ht="15" hidden="false" customHeight="false" outlineLevel="0" collapsed="false">
      <c r="A144" s="82" t="n">
        <v>46235</v>
      </c>
      <c r="B144" s="83" t="s">
        <v>197</v>
      </c>
      <c r="C144" s="84" t="n">
        <v>608.15</v>
      </c>
      <c r="D144" s="85" t="n">
        <v>273124</v>
      </c>
      <c r="E144" s="85" t="n">
        <v>121</v>
      </c>
      <c r="F144" s="86" t="n">
        <v>0.41</v>
      </c>
      <c r="G144" s="83" t="s">
        <v>503</v>
      </c>
      <c r="H144" s="0" t="str">
        <f aca="false">IF(B144="","",IF(COUNTIF(Campaigns!$A$7:$A$300,B144)&gt;0,"✓","⚠ add to Campaigns tab"))</f>
        <v>✓</v>
      </c>
      <c r="I144" s="84" t="n">
        <f aca="false">IF(C144="","",C144*IF(Settings!$B$23=Settings!$C$6,1,IF(Settings!$B$23="USD",1/INDEX(Settings!$B$29:$B$40,MONTH(A144)),INDEX(Settings!$B$29:$B$40,MONTH(A144)))))</f>
        <v>679.729255</v>
      </c>
    </row>
    <row r="145" customFormat="false" ht="15" hidden="false" customHeight="false" outlineLevel="0" collapsed="false">
      <c r="A145" s="82" t="n">
        <v>46266</v>
      </c>
      <c r="B145" s="83" t="s">
        <v>192</v>
      </c>
      <c r="C145" s="84" t="n">
        <v>1712.12</v>
      </c>
      <c r="D145" s="85" t="n">
        <v>12405</v>
      </c>
      <c r="E145" s="85" t="n">
        <v>915</v>
      </c>
      <c r="F145" s="86" t="n">
        <v>29.15</v>
      </c>
      <c r="G145" s="83" t="s">
        <v>503</v>
      </c>
      <c r="H145" s="0" t="str">
        <f aca="false">IF(B145="","",IF(COUNTIF(Campaigns!$A$7:$A$300,B145)&gt;0,"✓","⚠ add to Campaigns tab"))</f>
        <v>✓</v>
      </c>
      <c r="I145" s="84" t="n">
        <f aca="false">IF(C145="","",C145*IF(Settings!$B$23=Settings!$C$6,1,IF(Settings!$B$23="USD",1/INDEX(Settings!$B$29:$B$40,MONTH(A145)),INDEX(Settings!$B$29:$B$40,MONTH(A145)))))</f>
        <v>1913.636524</v>
      </c>
    </row>
    <row r="146" customFormat="false" ht="15" hidden="false" customHeight="false" outlineLevel="0" collapsed="false">
      <c r="A146" s="82" t="n">
        <v>46266</v>
      </c>
      <c r="B146" s="83" t="s">
        <v>189</v>
      </c>
      <c r="C146" s="84" t="n">
        <v>2307.38</v>
      </c>
      <c r="D146" s="85" t="n">
        <v>11254</v>
      </c>
      <c r="E146" s="85" t="n">
        <v>1130</v>
      </c>
      <c r="F146" s="86" t="n">
        <v>34.27</v>
      </c>
      <c r="G146" s="83" t="s">
        <v>503</v>
      </c>
      <c r="H146" s="0" t="str">
        <f aca="false">IF(B146="","",IF(COUNTIF(Campaigns!$A$7:$A$300,B146)&gt;0,"✓","⚠ add to Campaigns tab"))</f>
        <v>✓</v>
      </c>
      <c r="I146" s="84" t="n">
        <f aca="false">IF(C146="","",C146*IF(Settings!$B$23=Settings!$C$6,1,IF(Settings!$B$23="USD",1/INDEX(Settings!$B$29:$B$40,MONTH(A146)),INDEX(Settings!$B$29:$B$40,MONTH(A146)))))</f>
        <v>2578.958626</v>
      </c>
    </row>
    <row r="147" customFormat="false" ht="15" hidden="false" customHeight="false" outlineLevel="0" collapsed="false">
      <c r="A147" s="82" t="n">
        <v>46266</v>
      </c>
      <c r="B147" s="83" t="s">
        <v>195</v>
      </c>
      <c r="C147" s="84" t="n">
        <v>936.34</v>
      </c>
      <c r="D147" s="85" t="n">
        <v>21903</v>
      </c>
      <c r="E147" s="85" t="n">
        <v>791</v>
      </c>
      <c r="F147" s="86" t="n">
        <v>95.99</v>
      </c>
      <c r="G147" s="83" t="s">
        <v>503</v>
      </c>
      <c r="H147" s="0" t="str">
        <f aca="false">IF(B147="","",IF(COUNTIF(Campaigns!$A$7:$A$300,B147)&gt;0,"✓","⚠ add to Campaigns tab"))</f>
        <v>✓</v>
      </c>
      <c r="I147" s="84" t="n">
        <f aca="false">IF(C147="","",C147*IF(Settings!$B$23=Settings!$C$6,1,IF(Settings!$B$23="USD",1/INDEX(Settings!$B$29:$B$40,MONTH(A147)),INDEX(Settings!$B$29:$B$40,MONTH(A147)))))</f>
        <v>1046.547218</v>
      </c>
    </row>
    <row r="148" customFormat="false" ht="15" hidden="false" customHeight="false" outlineLevel="0" collapsed="false">
      <c r="A148" s="82" t="n">
        <v>46266</v>
      </c>
      <c r="B148" s="83" t="s">
        <v>203</v>
      </c>
      <c r="C148" s="84" t="n">
        <v>115.62</v>
      </c>
      <c r="D148" s="85" t="n">
        <v>624</v>
      </c>
      <c r="E148" s="85" t="n">
        <v>40</v>
      </c>
      <c r="F148" s="86" t="n">
        <v>6</v>
      </c>
      <c r="G148" s="83" t="s">
        <v>503</v>
      </c>
      <c r="H148" s="0" t="str">
        <f aca="false">IF(B148="","",IF(COUNTIF(Campaigns!$A$7:$A$300,B148)&gt;0,"✓","⚠ add to Campaigns tab"))</f>
        <v>✓</v>
      </c>
      <c r="I148" s="84" t="n">
        <f aca="false">IF(C148="","",C148*IF(Settings!$B$23=Settings!$C$6,1,IF(Settings!$B$23="USD",1/INDEX(Settings!$B$29:$B$40,MONTH(A148)),INDEX(Settings!$B$29:$B$40,MONTH(A148)))))</f>
        <v>129.228474</v>
      </c>
    </row>
    <row r="149" customFormat="false" ht="15" hidden="false" customHeight="false" outlineLevel="0" collapsed="false">
      <c r="A149" s="82" t="n">
        <v>46266</v>
      </c>
      <c r="B149" s="83" t="s">
        <v>220</v>
      </c>
      <c r="C149" s="84" t="n">
        <v>50.06</v>
      </c>
      <c r="D149" s="85" t="n">
        <v>15305</v>
      </c>
      <c r="E149" s="85" t="n">
        <v>8</v>
      </c>
      <c r="F149" s="86" t="n">
        <v>0</v>
      </c>
      <c r="G149" s="83" t="s">
        <v>503</v>
      </c>
      <c r="H149" s="0" t="str">
        <f aca="false">IF(B149="","",IF(COUNTIF(Campaigns!$A$7:$A$300,B149)&gt;0,"✓","⚠ add to Campaigns tab"))</f>
        <v>✓</v>
      </c>
      <c r="I149" s="84" t="n">
        <f aca="false">IF(C149="","",C149*IF(Settings!$B$23=Settings!$C$6,1,IF(Settings!$B$23="USD",1/INDEX(Settings!$B$29:$B$40,MONTH(A149)),INDEX(Settings!$B$29:$B$40,MONTH(A149)))))</f>
        <v>55.952062</v>
      </c>
    </row>
    <row r="150" customFormat="false" ht="15" hidden="false" customHeight="false" outlineLevel="0" collapsed="false">
      <c r="A150" s="82" t="n">
        <v>46266</v>
      </c>
      <c r="B150" s="83" t="s">
        <v>196</v>
      </c>
      <c r="C150" s="84" t="n">
        <v>508.65</v>
      </c>
      <c r="D150" s="85" t="n">
        <v>620443</v>
      </c>
      <c r="E150" s="85" t="n">
        <v>828</v>
      </c>
      <c r="F150" s="86" t="n">
        <v>0</v>
      </c>
      <c r="G150" s="83" t="s">
        <v>503</v>
      </c>
      <c r="H150" s="0" t="str">
        <f aca="false">IF(B150="","",IF(COUNTIF(Campaigns!$A$7:$A$300,B150)&gt;0,"✓","⚠ add to Campaigns tab"))</f>
        <v>✓</v>
      </c>
      <c r="I150" s="84" t="n">
        <f aca="false">IF(C150="","",C150*IF(Settings!$B$23=Settings!$C$6,1,IF(Settings!$B$23="USD",1/INDEX(Settings!$B$29:$B$40,MONTH(A150)),INDEX(Settings!$B$29:$B$40,MONTH(A150)))))</f>
        <v>568.518105</v>
      </c>
    </row>
    <row r="151" customFormat="false" ht="15" hidden="false" customHeight="false" outlineLevel="0" collapsed="false">
      <c r="A151" s="82" t="n">
        <v>46266</v>
      </c>
      <c r="B151" s="83" t="s">
        <v>197</v>
      </c>
      <c r="C151" s="84" t="n">
        <v>502.27</v>
      </c>
      <c r="D151" s="85" t="n">
        <v>137277</v>
      </c>
      <c r="E151" s="85" t="n">
        <v>211</v>
      </c>
      <c r="F151" s="86" t="n">
        <v>0.06</v>
      </c>
      <c r="G151" s="83" t="s">
        <v>503</v>
      </c>
      <c r="H151" s="0" t="str">
        <f aca="false">IF(B151="","",IF(COUNTIF(Campaigns!$A$7:$A$300,B151)&gt;0,"✓","⚠ add to Campaigns tab"))</f>
        <v>✓</v>
      </c>
      <c r="I151" s="84" t="n">
        <f aca="false">IF(C151="","",C151*IF(Settings!$B$23=Settings!$C$6,1,IF(Settings!$B$23="USD",1/INDEX(Settings!$B$29:$B$40,MONTH(A151)),INDEX(Settings!$B$29:$B$40,MONTH(A151)))))</f>
        <v>561.387179</v>
      </c>
    </row>
    <row r="152" customFormat="false" ht="15" hidden="false" customHeight="false" outlineLevel="0" collapsed="false">
      <c r="H152" s="0" t="str">
        <f aca="false">IF(B152="","",IF(COUNTIF(Campaigns!$A$7:$A$300,B152)&gt;0,"✓","⚠ add to Campaigns tab"))</f>
        <v/>
      </c>
      <c r="I152" s="84" t="str">
        <f aca="false">IF(C152="","",C152*IF(Settings!$B$23=Settings!$C$6,1,IF(Settings!$B$23="USD",1/INDEX(Settings!$B$29:$B$40,MONTH(A152)),INDEX(Settings!$B$29:$B$40,MONTH(A152)))))</f>
        <v/>
      </c>
    </row>
    <row r="153" customFormat="false" ht="15" hidden="false" customHeight="false" outlineLevel="0" collapsed="false">
      <c r="H153" s="0" t="str">
        <f aca="false">IF(B153="","",IF(COUNTIF(Campaigns!$A$7:$A$300,B153)&gt;0,"✓","⚠ add to Campaigns tab"))</f>
        <v/>
      </c>
      <c r="I153" s="84" t="str">
        <f aca="false">IF(C153="","",C153*IF(Settings!$B$23=Settings!$C$6,1,IF(Settings!$B$23="USD",1/INDEX(Settings!$B$29:$B$40,MONTH(A153)),INDEX(Settings!$B$29:$B$40,MONTH(A153)))))</f>
        <v/>
      </c>
    </row>
    <row r="154" customFormat="false" ht="15" hidden="false" customHeight="false" outlineLevel="0" collapsed="false">
      <c r="H154" s="0" t="str">
        <f aca="false">IF(B154="","",IF(COUNTIF(Campaigns!$A$7:$A$300,B154)&gt;0,"✓","⚠ add to Campaigns tab"))</f>
        <v/>
      </c>
      <c r="I154" s="84" t="str">
        <f aca="false">IF(C154="","",C154*IF(Settings!$B$23=Settings!$C$6,1,IF(Settings!$B$23="USD",1/INDEX(Settings!$B$29:$B$40,MONTH(A154)),INDEX(Settings!$B$29:$B$40,MONTH(A154)))))</f>
        <v/>
      </c>
    </row>
    <row r="155" customFormat="false" ht="15" hidden="false" customHeight="false" outlineLevel="0" collapsed="false">
      <c r="H155" s="0" t="str">
        <f aca="false">IF(B155="","",IF(COUNTIF(Campaigns!$A$7:$A$300,B155)&gt;0,"✓","⚠ add to Campaigns tab"))</f>
        <v/>
      </c>
      <c r="I155" s="84" t="str">
        <f aca="false">IF(C155="","",C155*IF(Settings!$B$23=Settings!$C$6,1,IF(Settings!$B$23="USD",1/INDEX(Settings!$B$29:$B$40,MONTH(A155)),INDEX(Settings!$B$29:$B$40,MONTH(A155)))))</f>
        <v/>
      </c>
    </row>
    <row r="156" customFormat="false" ht="15" hidden="false" customHeight="false" outlineLevel="0" collapsed="false">
      <c r="H156" s="0" t="str">
        <f aca="false">IF(B156="","",IF(COUNTIF(Campaigns!$A$7:$A$300,B156)&gt;0,"✓","⚠ add to Campaigns tab"))</f>
        <v/>
      </c>
      <c r="I156" s="84" t="str">
        <f aca="false">IF(C156="","",C156*IF(Settings!$B$23=Settings!$C$6,1,IF(Settings!$B$23="USD",1/INDEX(Settings!$B$29:$B$40,MONTH(A156)),INDEX(Settings!$B$29:$B$40,MONTH(A156)))))</f>
        <v/>
      </c>
    </row>
    <row r="157" customFormat="false" ht="15" hidden="false" customHeight="false" outlineLevel="0" collapsed="false">
      <c r="H157" s="0" t="str">
        <f aca="false">IF(B157="","",IF(COUNTIF(Campaigns!$A$7:$A$300,B157)&gt;0,"✓","⚠ add to Campaigns tab"))</f>
        <v/>
      </c>
      <c r="I157" s="84" t="str">
        <f aca="false">IF(C157="","",C157*IF(Settings!$B$23=Settings!$C$6,1,IF(Settings!$B$23="USD",1/INDEX(Settings!$B$29:$B$40,MONTH(A157)),INDEX(Settings!$B$29:$B$40,MONTH(A157)))))</f>
        <v/>
      </c>
    </row>
    <row r="158" customFormat="false" ht="15" hidden="false" customHeight="false" outlineLevel="0" collapsed="false">
      <c r="H158" s="0" t="str">
        <f aca="false">IF(B158="","",IF(COUNTIF(Campaigns!$A$7:$A$300,B158)&gt;0,"✓","⚠ add to Campaigns tab"))</f>
        <v/>
      </c>
      <c r="I158" s="84" t="str">
        <f aca="false">IF(C158="","",C158*IF(Settings!$B$23=Settings!$C$6,1,IF(Settings!$B$23="USD",1/INDEX(Settings!$B$29:$B$40,MONTH(A158)),INDEX(Settings!$B$29:$B$40,MONTH(A158)))))</f>
        <v/>
      </c>
    </row>
    <row r="159" customFormat="false" ht="15" hidden="false" customHeight="false" outlineLevel="0" collapsed="false">
      <c r="H159" s="0" t="str">
        <f aca="false">IF(B159="","",IF(COUNTIF(Campaigns!$A$7:$A$300,B159)&gt;0,"✓","⚠ add to Campaigns tab"))</f>
        <v/>
      </c>
      <c r="I159" s="84" t="str">
        <f aca="false">IF(C159="","",C159*IF(Settings!$B$23=Settings!$C$6,1,IF(Settings!$B$23="USD",1/INDEX(Settings!$B$29:$B$40,MONTH(A159)),INDEX(Settings!$B$29:$B$40,MONTH(A159)))))</f>
        <v/>
      </c>
    </row>
    <row r="160" customFormat="false" ht="15" hidden="false" customHeight="false" outlineLevel="0" collapsed="false">
      <c r="H160" s="0" t="str">
        <f aca="false">IF(B160="","",IF(COUNTIF(Campaigns!$A$7:$A$300,B160)&gt;0,"✓","⚠ add to Campaigns tab"))</f>
        <v/>
      </c>
      <c r="I160" s="84" t="str">
        <f aca="false">IF(C160="","",C160*IF(Settings!$B$23=Settings!$C$6,1,IF(Settings!$B$23="USD",1/INDEX(Settings!$B$29:$B$40,MONTH(A160)),INDEX(Settings!$B$29:$B$40,MONTH(A160)))))</f>
        <v/>
      </c>
    </row>
    <row r="161" customFormat="false" ht="15" hidden="false" customHeight="false" outlineLevel="0" collapsed="false">
      <c r="H161" s="0" t="str">
        <f aca="false">IF(B161="","",IF(COUNTIF(Campaigns!$A$7:$A$300,B161)&gt;0,"✓","⚠ add to Campaigns tab"))</f>
        <v/>
      </c>
      <c r="I161" s="84" t="str">
        <f aca="false">IF(C161="","",C161*IF(Settings!$B$23=Settings!$C$6,1,IF(Settings!$B$23="USD",1/INDEX(Settings!$B$29:$B$40,MONTH(A161)),INDEX(Settings!$B$29:$B$40,MONTH(A161)))))</f>
        <v/>
      </c>
    </row>
    <row r="162" customFormat="false" ht="15" hidden="false" customHeight="false" outlineLevel="0" collapsed="false">
      <c r="H162" s="0" t="str">
        <f aca="false">IF(B162="","",IF(COUNTIF(Campaigns!$A$7:$A$300,B162)&gt;0,"✓","⚠ add to Campaigns tab"))</f>
        <v/>
      </c>
      <c r="I162" s="84" t="str">
        <f aca="false">IF(C162="","",C162*IF(Settings!$B$23=Settings!$C$6,1,IF(Settings!$B$23="USD",1/INDEX(Settings!$B$29:$B$40,MONTH(A162)),INDEX(Settings!$B$29:$B$40,MONTH(A162)))))</f>
        <v/>
      </c>
    </row>
    <row r="163" customFormat="false" ht="15" hidden="false" customHeight="false" outlineLevel="0" collapsed="false">
      <c r="H163" s="0" t="str">
        <f aca="false">IF(B163="","",IF(COUNTIF(Campaigns!$A$7:$A$300,B163)&gt;0,"✓","⚠ add to Campaigns tab"))</f>
        <v/>
      </c>
      <c r="I163" s="84" t="str">
        <f aca="false">IF(C163="","",C163*IF(Settings!$B$23=Settings!$C$6,1,IF(Settings!$B$23="USD",1/INDEX(Settings!$B$29:$B$40,MONTH(A163)),INDEX(Settings!$B$29:$B$40,MONTH(A163)))))</f>
        <v/>
      </c>
    </row>
    <row r="164" customFormat="false" ht="15" hidden="false" customHeight="false" outlineLevel="0" collapsed="false">
      <c r="H164" s="0" t="str">
        <f aca="false">IF(B164="","",IF(COUNTIF(Campaigns!$A$7:$A$300,B164)&gt;0,"✓","⚠ add to Campaigns tab"))</f>
        <v/>
      </c>
      <c r="I164" s="84" t="str">
        <f aca="false">IF(C164="","",C164*IF(Settings!$B$23=Settings!$C$6,1,IF(Settings!$B$23="USD",1/INDEX(Settings!$B$29:$B$40,MONTH(A164)),INDEX(Settings!$B$29:$B$40,MONTH(A164)))))</f>
        <v/>
      </c>
    </row>
    <row r="165" customFormat="false" ht="15" hidden="false" customHeight="false" outlineLevel="0" collapsed="false">
      <c r="H165" s="0" t="str">
        <f aca="false">IF(B165="","",IF(COUNTIF(Campaigns!$A$7:$A$300,B165)&gt;0,"✓","⚠ add to Campaigns tab"))</f>
        <v/>
      </c>
      <c r="I165" s="84" t="str">
        <f aca="false">IF(C165="","",C165*IF(Settings!$B$23=Settings!$C$6,1,IF(Settings!$B$23="USD",1/INDEX(Settings!$B$29:$B$40,MONTH(A165)),INDEX(Settings!$B$29:$B$40,MONTH(A165)))))</f>
        <v/>
      </c>
    </row>
    <row r="166" customFormat="false" ht="15" hidden="false" customHeight="false" outlineLevel="0" collapsed="false">
      <c r="H166" s="0" t="str">
        <f aca="false">IF(B166="","",IF(COUNTIF(Campaigns!$A$7:$A$300,B166)&gt;0,"✓","⚠ add to Campaigns tab"))</f>
        <v/>
      </c>
      <c r="I166" s="84" t="str">
        <f aca="false">IF(C166="","",C166*IF(Settings!$B$23=Settings!$C$6,1,IF(Settings!$B$23="USD",1/INDEX(Settings!$B$29:$B$40,MONTH(A166)),INDEX(Settings!$B$29:$B$40,MONTH(A166)))))</f>
        <v/>
      </c>
    </row>
    <row r="167" customFormat="false" ht="15" hidden="false" customHeight="false" outlineLevel="0" collapsed="false">
      <c r="H167" s="0" t="str">
        <f aca="false">IF(B167="","",IF(COUNTIF(Campaigns!$A$7:$A$300,B167)&gt;0,"✓","⚠ add to Campaigns tab"))</f>
        <v/>
      </c>
      <c r="I167" s="84" t="str">
        <f aca="false">IF(C167="","",C167*IF(Settings!$B$23=Settings!$C$6,1,IF(Settings!$B$23="USD",1/INDEX(Settings!$B$29:$B$40,MONTH(A167)),INDEX(Settings!$B$29:$B$40,MONTH(A167)))))</f>
        <v/>
      </c>
    </row>
    <row r="168" customFormat="false" ht="15" hidden="false" customHeight="false" outlineLevel="0" collapsed="false">
      <c r="H168" s="0" t="str">
        <f aca="false">IF(B168="","",IF(COUNTIF(Campaigns!$A$7:$A$300,B168)&gt;0,"✓","⚠ add to Campaigns tab"))</f>
        <v/>
      </c>
      <c r="I168" s="84" t="str">
        <f aca="false">IF(C168="","",C168*IF(Settings!$B$23=Settings!$C$6,1,IF(Settings!$B$23="USD",1/INDEX(Settings!$B$29:$B$40,MONTH(A168)),INDEX(Settings!$B$29:$B$40,MONTH(A168)))))</f>
        <v/>
      </c>
    </row>
    <row r="169" customFormat="false" ht="15" hidden="false" customHeight="false" outlineLevel="0" collapsed="false">
      <c r="H169" s="0" t="str">
        <f aca="false">IF(B169="","",IF(COUNTIF(Campaigns!$A$7:$A$300,B169)&gt;0,"✓","⚠ add to Campaigns tab"))</f>
        <v/>
      </c>
      <c r="I169" s="84" t="str">
        <f aca="false">IF(C169="","",C169*IF(Settings!$B$23=Settings!$C$6,1,IF(Settings!$B$23="USD",1/INDEX(Settings!$B$29:$B$40,MONTH(A169)),INDEX(Settings!$B$29:$B$40,MONTH(A169)))))</f>
        <v/>
      </c>
    </row>
    <row r="170" customFormat="false" ht="15" hidden="false" customHeight="false" outlineLevel="0" collapsed="false">
      <c r="H170" s="0" t="str">
        <f aca="false">IF(B170="","",IF(COUNTIF(Campaigns!$A$7:$A$300,B170)&gt;0,"✓","⚠ add to Campaigns tab"))</f>
        <v/>
      </c>
      <c r="I170" s="84" t="str">
        <f aca="false">IF(C170="","",C170*IF(Settings!$B$23=Settings!$C$6,1,IF(Settings!$B$23="USD",1/INDEX(Settings!$B$29:$B$40,MONTH(A170)),INDEX(Settings!$B$29:$B$40,MONTH(A170)))))</f>
        <v/>
      </c>
    </row>
    <row r="171" customFormat="false" ht="15" hidden="false" customHeight="false" outlineLevel="0" collapsed="false">
      <c r="H171" s="0" t="str">
        <f aca="false">IF(B171="","",IF(COUNTIF(Campaigns!$A$7:$A$300,B171)&gt;0,"✓","⚠ add to Campaigns tab"))</f>
        <v/>
      </c>
      <c r="I171" s="84" t="str">
        <f aca="false">IF(C171="","",C171*IF(Settings!$B$23=Settings!$C$6,1,IF(Settings!$B$23="USD",1/INDEX(Settings!$B$29:$B$40,MONTH(A171)),INDEX(Settings!$B$29:$B$40,MONTH(A171)))))</f>
        <v/>
      </c>
    </row>
    <row r="172" customFormat="false" ht="15" hidden="false" customHeight="false" outlineLevel="0" collapsed="false">
      <c r="H172" s="0" t="str">
        <f aca="false">IF(B172="","",IF(COUNTIF(Campaigns!$A$7:$A$300,B172)&gt;0,"✓","⚠ add to Campaigns tab"))</f>
        <v/>
      </c>
      <c r="I172" s="84" t="str">
        <f aca="false">IF(C172="","",C172*IF(Settings!$B$23=Settings!$C$6,1,IF(Settings!$B$23="USD",1/INDEX(Settings!$B$29:$B$40,MONTH(A172)),INDEX(Settings!$B$29:$B$40,MONTH(A172)))))</f>
        <v/>
      </c>
    </row>
    <row r="173" customFormat="false" ht="15" hidden="false" customHeight="false" outlineLevel="0" collapsed="false">
      <c r="H173" s="0" t="str">
        <f aca="false">IF(B173="","",IF(COUNTIF(Campaigns!$A$7:$A$300,B173)&gt;0,"✓","⚠ add to Campaigns tab"))</f>
        <v/>
      </c>
      <c r="I173" s="84" t="str">
        <f aca="false">IF(C173="","",C173*IF(Settings!$B$23=Settings!$C$6,1,IF(Settings!$B$23="USD",1/INDEX(Settings!$B$29:$B$40,MONTH(A173)),INDEX(Settings!$B$29:$B$40,MONTH(A173)))))</f>
        <v/>
      </c>
    </row>
    <row r="174" customFormat="false" ht="15" hidden="false" customHeight="false" outlineLevel="0" collapsed="false">
      <c r="H174" s="0" t="str">
        <f aca="false">IF(B174="","",IF(COUNTIF(Campaigns!$A$7:$A$300,B174)&gt;0,"✓","⚠ add to Campaigns tab"))</f>
        <v/>
      </c>
      <c r="I174" s="84" t="str">
        <f aca="false">IF(C174="","",C174*IF(Settings!$B$23=Settings!$C$6,1,IF(Settings!$B$23="USD",1/INDEX(Settings!$B$29:$B$40,MONTH(A174)),INDEX(Settings!$B$29:$B$40,MONTH(A174)))))</f>
        <v/>
      </c>
    </row>
    <row r="175" customFormat="false" ht="15" hidden="false" customHeight="false" outlineLevel="0" collapsed="false">
      <c r="H175" s="0" t="str">
        <f aca="false">IF(B175="","",IF(COUNTIF(Campaigns!$A$7:$A$300,B175)&gt;0,"✓","⚠ add to Campaigns tab"))</f>
        <v/>
      </c>
      <c r="I175" s="84" t="str">
        <f aca="false">IF(C175="","",C175*IF(Settings!$B$23=Settings!$C$6,1,IF(Settings!$B$23="USD",1/INDEX(Settings!$B$29:$B$40,MONTH(A175)),INDEX(Settings!$B$29:$B$40,MONTH(A175)))))</f>
        <v/>
      </c>
    </row>
    <row r="176" customFormat="false" ht="15" hidden="false" customHeight="false" outlineLevel="0" collapsed="false">
      <c r="H176" s="0" t="str">
        <f aca="false">IF(B176="","",IF(COUNTIF(Campaigns!$A$7:$A$300,B176)&gt;0,"✓","⚠ add to Campaigns tab"))</f>
        <v/>
      </c>
      <c r="I176" s="84" t="str">
        <f aca="false">IF(C176="","",C176*IF(Settings!$B$23=Settings!$C$6,1,IF(Settings!$B$23="USD",1/INDEX(Settings!$B$29:$B$40,MONTH(A176)),INDEX(Settings!$B$29:$B$40,MONTH(A176)))))</f>
        <v/>
      </c>
    </row>
    <row r="177" customFormat="false" ht="15" hidden="false" customHeight="false" outlineLevel="0" collapsed="false">
      <c r="H177" s="0" t="str">
        <f aca="false">IF(B177="","",IF(COUNTIF(Campaigns!$A$7:$A$300,B177)&gt;0,"✓","⚠ add to Campaigns tab"))</f>
        <v/>
      </c>
      <c r="I177" s="84" t="str">
        <f aca="false">IF(C177="","",C177*IF(Settings!$B$23=Settings!$C$6,1,IF(Settings!$B$23="USD",1/INDEX(Settings!$B$29:$B$40,MONTH(A177)),INDEX(Settings!$B$29:$B$40,MONTH(A177)))))</f>
        <v/>
      </c>
    </row>
    <row r="178" customFormat="false" ht="15" hidden="false" customHeight="false" outlineLevel="0" collapsed="false">
      <c r="H178" s="0" t="str">
        <f aca="false">IF(B178="","",IF(COUNTIF(Campaigns!$A$7:$A$300,B178)&gt;0,"✓","⚠ add to Campaigns tab"))</f>
        <v/>
      </c>
      <c r="I178" s="84" t="str">
        <f aca="false">IF(C178="","",C178*IF(Settings!$B$23=Settings!$C$6,1,IF(Settings!$B$23="USD",1/INDEX(Settings!$B$29:$B$40,MONTH(A178)),INDEX(Settings!$B$29:$B$40,MONTH(A178)))))</f>
        <v/>
      </c>
    </row>
    <row r="179" customFormat="false" ht="15" hidden="false" customHeight="false" outlineLevel="0" collapsed="false">
      <c r="H179" s="0" t="str">
        <f aca="false">IF(B179="","",IF(COUNTIF(Campaigns!$A$7:$A$300,B179)&gt;0,"✓","⚠ add to Campaigns tab"))</f>
        <v/>
      </c>
      <c r="I179" s="84" t="str">
        <f aca="false">IF(C179="","",C179*IF(Settings!$B$23=Settings!$C$6,1,IF(Settings!$B$23="USD",1/INDEX(Settings!$B$29:$B$40,MONTH(A179)),INDEX(Settings!$B$29:$B$40,MONTH(A179)))))</f>
        <v/>
      </c>
    </row>
    <row r="180" customFormat="false" ht="15" hidden="false" customHeight="false" outlineLevel="0" collapsed="false">
      <c r="H180" s="0" t="str">
        <f aca="false">IF(B180="","",IF(COUNTIF(Campaigns!$A$7:$A$300,B180)&gt;0,"✓","⚠ add to Campaigns tab"))</f>
        <v/>
      </c>
      <c r="I180" s="84" t="str">
        <f aca="false">IF(C180="","",C180*IF(Settings!$B$23=Settings!$C$6,1,IF(Settings!$B$23="USD",1/INDEX(Settings!$B$29:$B$40,MONTH(A180)),INDEX(Settings!$B$29:$B$40,MONTH(A180)))))</f>
        <v/>
      </c>
    </row>
    <row r="181" customFormat="false" ht="15" hidden="false" customHeight="false" outlineLevel="0" collapsed="false">
      <c r="H181" s="0" t="str">
        <f aca="false">IF(B181="","",IF(COUNTIF(Campaigns!$A$7:$A$300,B181)&gt;0,"✓","⚠ add to Campaigns tab"))</f>
        <v/>
      </c>
      <c r="I181" s="84" t="str">
        <f aca="false">IF(C181="","",C181*IF(Settings!$B$23=Settings!$C$6,1,IF(Settings!$B$23="USD",1/INDEX(Settings!$B$29:$B$40,MONTH(A181)),INDEX(Settings!$B$29:$B$40,MONTH(A181)))))</f>
        <v/>
      </c>
    </row>
    <row r="182" customFormat="false" ht="15" hidden="false" customHeight="false" outlineLevel="0" collapsed="false">
      <c r="H182" s="0" t="str">
        <f aca="false">IF(B182="","",IF(COUNTIF(Campaigns!$A$7:$A$300,B182)&gt;0,"✓","⚠ add to Campaigns tab"))</f>
        <v/>
      </c>
      <c r="I182" s="84" t="str">
        <f aca="false">IF(C182="","",C182*IF(Settings!$B$23=Settings!$C$6,1,IF(Settings!$B$23="USD",1/INDEX(Settings!$B$29:$B$40,MONTH(A182)),INDEX(Settings!$B$29:$B$40,MONTH(A182)))))</f>
        <v/>
      </c>
    </row>
    <row r="183" customFormat="false" ht="15" hidden="false" customHeight="false" outlineLevel="0" collapsed="false">
      <c r="H183" s="0" t="str">
        <f aca="false">IF(B183="","",IF(COUNTIF(Campaigns!$A$7:$A$300,B183)&gt;0,"✓","⚠ add to Campaigns tab"))</f>
        <v/>
      </c>
      <c r="I183" s="84" t="str">
        <f aca="false">IF(C183="","",C183*IF(Settings!$B$23=Settings!$C$6,1,IF(Settings!$B$23="USD",1/INDEX(Settings!$B$29:$B$40,MONTH(A183)),INDEX(Settings!$B$29:$B$40,MONTH(A183)))))</f>
        <v/>
      </c>
    </row>
    <row r="184" customFormat="false" ht="15" hidden="false" customHeight="false" outlineLevel="0" collapsed="false">
      <c r="H184" s="0" t="str">
        <f aca="false">IF(B184="","",IF(COUNTIF(Campaigns!$A$7:$A$300,B184)&gt;0,"✓","⚠ add to Campaigns tab"))</f>
        <v/>
      </c>
      <c r="I184" s="84" t="str">
        <f aca="false">IF(C184="","",C184*IF(Settings!$B$23=Settings!$C$6,1,IF(Settings!$B$23="USD",1/INDEX(Settings!$B$29:$B$40,MONTH(A184)),INDEX(Settings!$B$29:$B$40,MONTH(A184)))))</f>
        <v/>
      </c>
    </row>
    <row r="185" customFormat="false" ht="15" hidden="false" customHeight="false" outlineLevel="0" collapsed="false">
      <c r="H185" s="0" t="str">
        <f aca="false">IF(B185="","",IF(COUNTIF(Campaigns!$A$7:$A$300,B185)&gt;0,"✓","⚠ add to Campaigns tab"))</f>
        <v/>
      </c>
      <c r="I185" s="84" t="str">
        <f aca="false">IF(C185="","",C185*IF(Settings!$B$23=Settings!$C$6,1,IF(Settings!$B$23="USD",1/INDEX(Settings!$B$29:$B$40,MONTH(A185)),INDEX(Settings!$B$29:$B$40,MONTH(A185)))))</f>
        <v/>
      </c>
    </row>
    <row r="186" customFormat="false" ht="15" hidden="false" customHeight="false" outlineLevel="0" collapsed="false">
      <c r="H186" s="0" t="str">
        <f aca="false">IF(B186="","",IF(COUNTIF(Campaigns!$A$7:$A$300,B186)&gt;0,"✓","⚠ add to Campaigns tab"))</f>
        <v/>
      </c>
      <c r="I186" s="84" t="str">
        <f aca="false">IF(C186="","",C186*IF(Settings!$B$23=Settings!$C$6,1,IF(Settings!$B$23="USD",1/INDEX(Settings!$B$29:$B$40,MONTH(A186)),INDEX(Settings!$B$29:$B$40,MONTH(A186)))))</f>
        <v/>
      </c>
    </row>
    <row r="187" customFormat="false" ht="15" hidden="false" customHeight="false" outlineLevel="0" collapsed="false">
      <c r="H187" s="0" t="str">
        <f aca="false">IF(B187="","",IF(COUNTIF(Campaigns!$A$7:$A$300,B187)&gt;0,"✓","⚠ add to Campaigns tab"))</f>
        <v/>
      </c>
      <c r="I187" s="84" t="str">
        <f aca="false">IF(C187="","",C187*IF(Settings!$B$23=Settings!$C$6,1,IF(Settings!$B$23="USD",1/INDEX(Settings!$B$29:$B$40,MONTH(A187)),INDEX(Settings!$B$29:$B$40,MONTH(A187)))))</f>
        <v/>
      </c>
    </row>
    <row r="188" customFormat="false" ht="15" hidden="false" customHeight="false" outlineLevel="0" collapsed="false">
      <c r="H188" s="0" t="str">
        <f aca="false">IF(B188="","",IF(COUNTIF(Campaigns!$A$7:$A$300,B188)&gt;0,"✓","⚠ add to Campaigns tab"))</f>
        <v/>
      </c>
      <c r="I188" s="84" t="str">
        <f aca="false">IF(C188="","",C188*IF(Settings!$B$23=Settings!$C$6,1,IF(Settings!$B$23="USD",1/INDEX(Settings!$B$29:$B$40,MONTH(A188)),INDEX(Settings!$B$29:$B$40,MONTH(A188)))))</f>
        <v/>
      </c>
    </row>
    <row r="189" customFormat="false" ht="15" hidden="false" customHeight="false" outlineLevel="0" collapsed="false">
      <c r="H189" s="0" t="str">
        <f aca="false">IF(B189="","",IF(COUNTIF(Campaigns!$A$7:$A$300,B189)&gt;0,"✓","⚠ add to Campaigns tab"))</f>
        <v/>
      </c>
      <c r="I189" s="84" t="str">
        <f aca="false">IF(C189="","",C189*IF(Settings!$B$23=Settings!$C$6,1,IF(Settings!$B$23="USD",1/INDEX(Settings!$B$29:$B$40,MONTH(A189)),INDEX(Settings!$B$29:$B$40,MONTH(A189)))))</f>
        <v/>
      </c>
    </row>
    <row r="190" customFormat="false" ht="15" hidden="false" customHeight="false" outlineLevel="0" collapsed="false">
      <c r="H190" s="0" t="str">
        <f aca="false">IF(B190="","",IF(COUNTIF(Campaigns!$A$7:$A$300,B190)&gt;0,"✓","⚠ add to Campaigns tab"))</f>
        <v/>
      </c>
      <c r="I190" s="84" t="str">
        <f aca="false">IF(C190="","",C190*IF(Settings!$B$23=Settings!$C$6,1,IF(Settings!$B$23="USD",1/INDEX(Settings!$B$29:$B$40,MONTH(A190)),INDEX(Settings!$B$29:$B$40,MONTH(A190)))))</f>
        <v/>
      </c>
    </row>
    <row r="191" customFormat="false" ht="15" hidden="false" customHeight="false" outlineLevel="0" collapsed="false">
      <c r="H191" s="0" t="str">
        <f aca="false">IF(B191="","",IF(COUNTIF(Campaigns!$A$7:$A$300,B191)&gt;0,"✓","⚠ add to Campaigns tab"))</f>
        <v/>
      </c>
      <c r="I191" s="84" t="str">
        <f aca="false">IF(C191="","",C191*IF(Settings!$B$23=Settings!$C$6,1,IF(Settings!$B$23="USD",1/INDEX(Settings!$B$29:$B$40,MONTH(A191)),INDEX(Settings!$B$29:$B$40,MONTH(A191)))))</f>
        <v/>
      </c>
    </row>
    <row r="192" customFormat="false" ht="15" hidden="false" customHeight="false" outlineLevel="0" collapsed="false">
      <c r="H192" s="0" t="str">
        <f aca="false">IF(B192="","",IF(COUNTIF(Campaigns!$A$7:$A$300,B192)&gt;0,"✓","⚠ add to Campaigns tab"))</f>
        <v/>
      </c>
      <c r="I192" s="84" t="str">
        <f aca="false">IF(C192="","",C192*IF(Settings!$B$23=Settings!$C$6,1,IF(Settings!$B$23="USD",1/INDEX(Settings!$B$29:$B$40,MONTH(A192)),INDEX(Settings!$B$29:$B$40,MONTH(A192)))))</f>
        <v/>
      </c>
    </row>
    <row r="193" customFormat="false" ht="15" hidden="false" customHeight="false" outlineLevel="0" collapsed="false">
      <c r="H193" s="0" t="str">
        <f aca="false">IF(B193="","",IF(COUNTIF(Campaigns!$A$7:$A$300,B193)&gt;0,"✓","⚠ add to Campaigns tab"))</f>
        <v/>
      </c>
      <c r="I193" s="84" t="str">
        <f aca="false">IF(C193="","",C193*IF(Settings!$B$23=Settings!$C$6,1,IF(Settings!$B$23="USD",1/INDEX(Settings!$B$29:$B$40,MONTH(A193)),INDEX(Settings!$B$29:$B$40,MONTH(A193)))))</f>
        <v/>
      </c>
    </row>
    <row r="194" customFormat="false" ht="15" hidden="false" customHeight="false" outlineLevel="0" collapsed="false">
      <c r="H194" s="0" t="str">
        <f aca="false">IF(B194="","",IF(COUNTIF(Campaigns!$A$7:$A$300,B194)&gt;0,"✓","⚠ add to Campaigns tab"))</f>
        <v/>
      </c>
      <c r="I194" s="84" t="str">
        <f aca="false">IF(C194="","",C194*IF(Settings!$B$23=Settings!$C$6,1,IF(Settings!$B$23="USD",1/INDEX(Settings!$B$29:$B$40,MONTH(A194)),INDEX(Settings!$B$29:$B$40,MONTH(A194)))))</f>
        <v/>
      </c>
    </row>
    <row r="195" customFormat="false" ht="15" hidden="false" customHeight="false" outlineLevel="0" collapsed="false">
      <c r="H195" s="0" t="str">
        <f aca="false">IF(B195="","",IF(COUNTIF(Campaigns!$A$7:$A$300,B195)&gt;0,"✓","⚠ add to Campaigns tab"))</f>
        <v/>
      </c>
      <c r="I195" s="84" t="str">
        <f aca="false">IF(C195="","",C195*IF(Settings!$B$23=Settings!$C$6,1,IF(Settings!$B$23="USD",1/INDEX(Settings!$B$29:$B$40,MONTH(A195)),INDEX(Settings!$B$29:$B$40,MONTH(A195)))))</f>
        <v/>
      </c>
    </row>
    <row r="196" customFormat="false" ht="15" hidden="false" customHeight="false" outlineLevel="0" collapsed="false">
      <c r="H196" s="0" t="str">
        <f aca="false">IF(B196="","",IF(COUNTIF(Campaigns!$A$7:$A$300,B196)&gt;0,"✓","⚠ add to Campaigns tab"))</f>
        <v/>
      </c>
      <c r="I196" s="84" t="str">
        <f aca="false">IF(C196="","",C196*IF(Settings!$B$23=Settings!$C$6,1,IF(Settings!$B$23="USD",1/INDEX(Settings!$B$29:$B$40,MONTH(A196)),INDEX(Settings!$B$29:$B$40,MONTH(A196)))))</f>
        <v/>
      </c>
    </row>
    <row r="197" customFormat="false" ht="15" hidden="false" customHeight="false" outlineLevel="0" collapsed="false">
      <c r="H197" s="0" t="str">
        <f aca="false">IF(B197="","",IF(COUNTIF(Campaigns!$A$7:$A$300,B197)&gt;0,"✓","⚠ add to Campaigns tab"))</f>
        <v/>
      </c>
      <c r="I197" s="84" t="str">
        <f aca="false">IF(C197="","",C197*IF(Settings!$B$23=Settings!$C$6,1,IF(Settings!$B$23="USD",1/INDEX(Settings!$B$29:$B$40,MONTH(A197)),INDEX(Settings!$B$29:$B$40,MONTH(A197)))))</f>
        <v/>
      </c>
    </row>
    <row r="198" customFormat="false" ht="15" hidden="false" customHeight="false" outlineLevel="0" collapsed="false">
      <c r="H198" s="0" t="str">
        <f aca="false">IF(B198="","",IF(COUNTIF(Campaigns!$A$7:$A$300,B198)&gt;0,"✓","⚠ add to Campaigns tab"))</f>
        <v/>
      </c>
      <c r="I198" s="84" t="str">
        <f aca="false">IF(C198="","",C198*IF(Settings!$B$23=Settings!$C$6,1,IF(Settings!$B$23="USD",1/INDEX(Settings!$B$29:$B$40,MONTH(A198)),INDEX(Settings!$B$29:$B$40,MONTH(A198)))))</f>
        <v/>
      </c>
    </row>
    <row r="199" customFormat="false" ht="15" hidden="false" customHeight="false" outlineLevel="0" collapsed="false">
      <c r="H199" s="0" t="str">
        <f aca="false">IF(B199="","",IF(COUNTIF(Campaigns!$A$7:$A$300,B199)&gt;0,"✓","⚠ add to Campaigns tab"))</f>
        <v/>
      </c>
      <c r="I199" s="84" t="str">
        <f aca="false">IF(C199="","",C199*IF(Settings!$B$23=Settings!$C$6,1,IF(Settings!$B$23="USD",1/INDEX(Settings!$B$29:$B$40,MONTH(A199)),INDEX(Settings!$B$29:$B$40,MONTH(A199)))))</f>
        <v/>
      </c>
    </row>
    <row r="200" customFormat="false" ht="15" hidden="false" customHeight="false" outlineLevel="0" collapsed="false">
      <c r="H200" s="0" t="str">
        <f aca="false">IF(B200="","",IF(COUNTIF(Campaigns!$A$7:$A$300,B200)&gt;0,"✓","⚠ add to Campaigns tab"))</f>
        <v/>
      </c>
      <c r="I200" s="84" t="str">
        <f aca="false">IF(C200="","",C200*IF(Settings!$B$23=Settings!$C$6,1,IF(Settings!$B$23="USD",1/INDEX(Settings!$B$29:$B$40,MONTH(A200)),INDEX(Settings!$B$29:$B$40,MONTH(A200)))))</f>
        <v/>
      </c>
    </row>
    <row r="201" customFormat="false" ht="15" hidden="false" customHeight="false" outlineLevel="0" collapsed="false">
      <c r="H201" s="0" t="str">
        <f aca="false">IF(B201="","",IF(COUNTIF(Campaigns!$A$7:$A$300,B201)&gt;0,"✓","⚠ add to Campaigns tab"))</f>
        <v/>
      </c>
      <c r="I201" s="84" t="str">
        <f aca="false">IF(C201="","",C201*IF(Settings!$B$23=Settings!$C$6,1,IF(Settings!$B$23="USD",1/INDEX(Settings!$B$29:$B$40,MONTH(A201)),INDEX(Settings!$B$29:$B$40,MONTH(A201)))))</f>
        <v/>
      </c>
    </row>
    <row r="202" customFormat="false" ht="15" hidden="false" customHeight="false" outlineLevel="0" collapsed="false">
      <c r="H202" s="0" t="str">
        <f aca="false">IF(B202="","",IF(COUNTIF(Campaigns!$A$7:$A$300,B202)&gt;0,"✓","⚠ add to Campaigns tab"))</f>
        <v/>
      </c>
      <c r="I202" s="84" t="str">
        <f aca="false">IF(C202="","",C202*IF(Settings!$B$23=Settings!$C$6,1,IF(Settings!$B$23="USD",1/INDEX(Settings!$B$29:$B$40,MONTH(A202)),INDEX(Settings!$B$29:$B$40,MONTH(A202)))))</f>
        <v/>
      </c>
    </row>
    <row r="203" customFormat="false" ht="15" hidden="false" customHeight="false" outlineLevel="0" collapsed="false">
      <c r="H203" s="0" t="str">
        <f aca="false">IF(B203="","",IF(COUNTIF(Campaigns!$A$7:$A$300,B203)&gt;0,"✓","⚠ add to Campaigns tab"))</f>
        <v/>
      </c>
      <c r="I203" s="84" t="str">
        <f aca="false">IF(C203="","",C203*IF(Settings!$B$23=Settings!$C$6,1,IF(Settings!$B$23="USD",1/INDEX(Settings!$B$29:$B$40,MONTH(A203)),INDEX(Settings!$B$29:$B$40,MONTH(A203)))))</f>
        <v/>
      </c>
    </row>
    <row r="204" customFormat="false" ht="15" hidden="false" customHeight="false" outlineLevel="0" collapsed="false">
      <c r="H204" s="0" t="str">
        <f aca="false">IF(B204="","",IF(COUNTIF(Campaigns!$A$7:$A$300,B204)&gt;0,"✓","⚠ add to Campaigns tab"))</f>
        <v/>
      </c>
      <c r="I204" s="84" t="str">
        <f aca="false">IF(C204="","",C204*IF(Settings!$B$23=Settings!$C$6,1,IF(Settings!$B$23="USD",1/INDEX(Settings!$B$29:$B$40,MONTH(A204)),INDEX(Settings!$B$29:$B$40,MONTH(A204)))))</f>
        <v/>
      </c>
    </row>
    <row r="205" customFormat="false" ht="15" hidden="false" customHeight="false" outlineLevel="0" collapsed="false">
      <c r="H205" s="0" t="str">
        <f aca="false">IF(B205="","",IF(COUNTIF(Campaigns!$A$7:$A$300,B205)&gt;0,"✓","⚠ add to Campaigns tab"))</f>
        <v/>
      </c>
      <c r="I205" s="84" t="str">
        <f aca="false">IF(C205="","",C205*IF(Settings!$B$23=Settings!$C$6,1,IF(Settings!$B$23="USD",1/INDEX(Settings!$B$29:$B$40,MONTH(A205)),INDEX(Settings!$B$29:$B$40,MONTH(A205)))))</f>
        <v/>
      </c>
    </row>
    <row r="206" customFormat="false" ht="15" hidden="false" customHeight="false" outlineLevel="0" collapsed="false">
      <c r="H206" s="0" t="str">
        <f aca="false">IF(B206="","",IF(COUNTIF(Campaigns!$A$7:$A$300,B206)&gt;0,"✓","⚠ add to Campaigns tab"))</f>
        <v/>
      </c>
      <c r="I206" s="84" t="str">
        <f aca="false">IF(C206="","",C206*IF(Settings!$B$23=Settings!$C$6,1,IF(Settings!$B$23="USD",1/INDEX(Settings!$B$29:$B$40,MONTH(A206)),INDEX(Settings!$B$29:$B$40,MONTH(A206)))))</f>
        <v/>
      </c>
    </row>
    <row r="207" customFormat="false" ht="15" hidden="false" customHeight="false" outlineLevel="0" collapsed="false">
      <c r="H207" s="0" t="str">
        <f aca="false">IF(B207="","",IF(COUNTIF(Campaigns!$A$7:$A$300,B207)&gt;0,"✓","⚠ add to Campaigns tab"))</f>
        <v/>
      </c>
      <c r="I207" s="84" t="str">
        <f aca="false">IF(C207="","",C207*IF(Settings!$B$23=Settings!$C$6,1,IF(Settings!$B$23="USD",1/INDEX(Settings!$B$29:$B$40,MONTH(A207)),INDEX(Settings!$B$29:$B$40,MONTH(A207)))))</f>
        <v/>
      </c>
    </row>
    <row r="208" customFormat="false" ht="15" hidden="false" customHeight="false" outlineLevel="0" collapsed="false">
      <c r="H208" s="0" t="str">
        <f aca="false">IF(B208="","",IF(COUNTIF(Campaigns!$A$7:$A$300,B208)&gt;0,"✓","⚠ add to Campaigns tab"))</f>
        <v/>
      </c>
      <c r="I208" s="84" t="str">
        <f aca="false">IF(C208="","",C208*IF(Settings!$B$23=Settings!$C$6,1,IF(Settings!$B$23="USD",1/INDEX(Settings!$B$29:$B$40,MONTH(A208)),INDEX(Settings!$B$29:$B$40,MONTH(A208)))))</f>
        <v/>
      </c>
    </row>
    <row r="209" customFormat="false" ht="15" hidden="false" customHeight="false" outlineLevel="0" collapsed="false">
      <c r="H209" s="0" t="str">
        <f aca="false">IF(B209="","",IF(COUNTIF(Campaigns!$A$7:$A$300,B209)&gt;0,"✓","⚠ add to Campaigns tab"))</f>
        <v/>
      </c>
      <c r="I209" s="84" t="str">
        <f aca="false">IF(C209="","",C209*IF(Settings!$B$23=Settings!$C$6,1,IF(Settings!$B$23="USD",1/INDEX(Settings!$B$29:$B$40,MONTH(A209)),INDEX(Settings!$B$29:$B$40,MONTH(A209)))))</f>
        <v/>
      </c>
    </row>
    <row r="210" customFormat="false" ht="15" hidden="false" customHeight="false" outlineLevel="0" collapsed="false">
      <c r="H210" s="0" t="str">
        <f aca="false">IF(B210="","",IF(COUNTIF(Campaigns!$A$7:$A$300,B210)&gt;0,"✓","⚠ add to Campaigns tab"))</f>
        <v/>
      </c>
      <c r="I210" s="84" t="str">
        <f aca="false">IF(C210="","",C210*IF(Settings!$B$23=Settings!$C$6,1,IF(Settings!$B$23="USD",1/INDEX(Settings!$B$29:$B$40,MONTH(A210)),INDEX(Settings!$B$29:$B$40,MONTH(A210)))))</f>
        <v/>
      </c>
    </row>
    <row r="211" customFormat="false" ht="15" hidden="false" customHeight="false" outlineLevel="0" collapsed="false">
      <c r="H211" s="0" t="str">
        <f aca="false">IF(B211="","",IF(COUNTIF(Campaigns!$A$7:$A$300,B211)&gt;0,"✓","⚠ add to Campaigns tab"))</f>
        <v/>
      </c>
      <c r="I211" s="84" t="str">
        <f aca="false">IF(C211="","",C211*IF(Settings!$B$23=Settings!$C$6,1,IF(Settings!$B$23="USD",1/INDEX(Settings!$B$29:$B$40,MONTH(A211)),INDEX(Settings!$B$29:$B$40,MONTH(A211)))))</f>
        <v/>
      </c>
    </row>
    <row r="212" customFormat="false" ht="15" hidden="false" customHeight="false" outlineLevel="0" collapsed="false">
      <c r="H212" s="0" t="str">
        <f aca="false">IF(B212="","",IF(COUNTIF(Campaigns!$A$7:$A$300,B212)&gt;0,"✓","⚠ add to Campaigns tab"))</f>
        <v/>
      </c>
      <c r="I212" s="84" t="str">
        <f aca="false">IF(C212="","",C212*IF(Settings!$B$23=Settings!$C$6,1,IF(Settings!$B$23="USD",1/INDEX(Settings!$B$29:$B$40,MONTH(A212)),INDEX(Settings!$B$29:$B$40,MONTH(A212)))))</f>
        <v/>
      </c>
    </row>
    <row r="213" customFormat="false" ht="15" hidden="false" customHeight="false" outlineLevel="0" collapsed="false">
      <c r="H213" s="0" t="str">
        <f aca="false">IF(B213="","",IF(COUNTIF(Campaigns!$A$7:$A$300,B213)&gt;0,"✓","⚠ add to Campaigns tab"))</f>
        <v/>
      </c>
      <c r="I213" s="84" t="str">
        <f aca="false">IF(C213="","",C213*IF(Settings!$B$23=Settings!$C$6,1,IF(Settings!$B$23="USD",1/INDEX(Settings!$B$29:$B$40,MONTH(A213)),INDEX(Settings!$B$29:$B$40,MONTH(A213)))))</f>
        <v/>
      </c>
    </row>
    <row r="214" customFormat="false" ht="15" hidden="false" customHeight="false" outlineLevel="0" collapsed="false">
      <c r="H214" s="0" t="str">
        <f aca="false">IF(B214="","",IF(COUNTIF(Campaigns!$A$7:$A$300,B214)&gt;0,"✓","⚠ add to Campaigns tab"))</f>
        <v/>
      </c>
      <c r="I214" s="84" t="str">
        <f aca="false">IF(C214="","",C214*IF(Settings!$B$23=Settings!$C$6,1,IF(Settings!$B$23="USD",1/INDEX(Settings!$B$29:$B$40,MONTH(A214)),INDEX(Settings!$B$29:$B$40,MONTH(A214)))))</f>
        <v/>
      </c>
    </row>
    <row r="215" customFormat="false" ht="15" hidden="false" customHeight="false" outlineLevel="0" collapsed="false">
      <c r="H215" s="0" t="str">
        <f aca="false">IF(B215="","",IF(COUNTIF(Campaigns!$A$7:$A$300,B215)&gt;0,"✓","⚠ add to Campaigns tab"))</f>
        <v/>
      </c>
      <c r="I215" s="84" t="str">
        <f aca="false">IF(C215="","",C215*IF(Settings!$B$23=Settings!$C$6,1,IF(Settings!$B$23="USD",1/INDEX(Settings!$B$29:$B$40,MONTH(A215)),INDEX(Settings!$B$29:$B$40,MONTH(A215)))))</f>
        <v/>
      </c>
    </row>
    <row r="216" customFormat="false" ht="15" hidden="false" customHeight="false" outlineLevel="0" collapsed="false">
      <c r="H216" s="0" t="str">
        <f aca="false">IF(B216="","",IF(COUNTIF(Campaigns!$A$7:$A$300,B216)&gt;0,"✓","⚠ add to Campaigns tab"))</f>
        <v/>
      </c>
      <c r="I216" s="84" t="str">
        <f aca="false">IF(C216="","",C216*IF(Settings!$B$23=Settings!$C$6,1,IF(Settings!$B$23="USD",1/INDEX(Settings!$B$29:$B$40,MONTH(A216)),INDEX(Settings!$B$29:$B$40,MONTH(A216)))))</f>
        <v/>
      </c>
    </row>
    <row r="217" customFormat="false" ht="15" hidden="false" customHeight="false" outlineLevel="0" collapsed="false">
      <c r="H217" s="0" t="str">
        <f aca="false">IF(B217="","",IF(COUNTIF(Campaigns!$A$7:$A$300,B217)&gt;0,"✓","⚠ add to Campaigns tab"))</f>
        <v/>
      </c>
      <c r="I217" s="84" t="str">
        <f aca="false">IF(C217="","",C217*IF(Settings!$B$23=Settings!$C$6,1,IF(Settings!$B$23="USD",1/INDEX(Settings!$B$29:$B$40,MONTH(A217)),INDEX(Settings!$B$29:$B$40,MONTH(A217)))))</f>
        <v/>
      </c>
    </row>
    <row r="218" customFormat="false" ht="15" hidden="false" customHeight="false" outlineLevel="0" collapsed="false">
      <c r="H218" s="0" t="str">
        <f aca="false">IF(B218="","",IF(COUNTIF(Campaigns!$A$7:$A$300,B218)&gt;0,"✓","⚠ add to Campaigns tab"))</f>
        <v/>
      </c>
      <c r="I218" s="84" t="str">
        <f aca="false">IF(C218="","",C218*IF(Settings!$B$23=Settings!$C$6,1,IF(Settings!$B$23="USD",1/INDEX(Settings!$B$29:$B$40,MONTH(A218)),INDEX(Settings!$B$29:$B$40,MONTH(A218)))))</f>
        <v/>
      </c>
    </row>
    <row r="219" customFormat="false" ht="15" hidden="false" customHeight="false" outlineLevel="0" collapsed="false">
      <c r="H219" s="0" t="str">
        <f aca="false">IF(B219="","",IF(COUNTIF(Campaigns!$A$7:$A$300,B219)&gt;0,"✓","⚠ add to Campaigns tab"))</f>
        <v/>
      </c>
      <c r="I219" s="84" t="str">
        <f aca="false">IF(C219="","",C219*IF(Settings!$B$23=Settings!$C$6,1,IF(Settings!$B$23="USD",1/INDEX(Settings!$B$29:$B$40,MONTH(A219)),INDEX(Settings!$B$29:$B$40,MONTH(A219)))))</f>
        <v/>
      </c>
    </row>
    <row r="220" customFormat="false" ht="15" hidden="false" customHeight="false" outlineLevel="0" collapsed="false">
      <c r="H220" s="0" t="str">
        <f aca="false">IF(B220="","",IF(COUNTIF(Campaigns!$A$7:$A$300,B220)&gt;0,"✓","⚠ add to Campaigns tab"))</f>
        <v/>
      </c>
      <c r="I220" s="84" t="str">
        <f aca="false">IF(C220="","",C220*IF(Settings!$B$23=Settings!$C$6,1,IF(Settings!$B$23="USD",1/INDEX(Settings!$B$29:$B$40,MONTH(A220)),INDEX(Settings!$B$29:$B$40,MONTH(A220)))))</f>
        <v/>
      </c>
    </row>
    <row r="221" customFormat="false" ht="15" hidden="false" customHeight="false" outlineLevel="0" collapsed="false">
      <c r="H221" s="0" t="str">
        <f aca="false">IF(B221="","",IF(COUNTIF(Campaigns!$A$7:$A$300,B221)&gt;0,"✓","⚠ add to Campaigns tab"))</f>
        <v/>
      </c>
      <c r="I221" s="84" t="str">
        <f aca="false">IF(C221="","",C221*IF(Settings!$B$23=Settings!$C$6,1,IF(Settings!$B$23="USD",1/INDEX(Settings!$B$29:$B$40,MONTH(A221)),INDEX(Settings!$B$29:$B$40,MONTH(A221)))))</f>
        <v/>
      </c>
    </row>
    <row r="222" customFormat="false" ht="15" hidden="false" customHeight="false" outlineLevel="0" collapsed="false">
      <c r="H222" s="0" t="str">
        <f aca="false">IF(B222="","",IF(COUNTIF(Campaigns!$A$7:$A$300,B222)&gt;0,"✓","⚠ add to Campaigns tab"))</f>
        <v/>
      </c>
      <c r="I222" s="84" t="str">
        <f aca="false">IF(C222="","",C222*IF(Settings!$B$23=Settings!$C$6,1,IF(Settings!$B$23="USD",1/INDEX(Settings!$B$29:$B$40,MONTH(A222)),INDEX(Settings!$B$29:$B$40,MONTH(A222)))))</f>
        <v/>
      </c>
    </row>
    <row r="223" customFormat="false" ht="15" hidden="false" customHeight="false" outlineLevel="0" collapsed="false">
      <c r="H223" s="0" t="str">
        <f aca="false">IF(B223="","",IF(COUNTIF(Campaigns!$A$7:$A$300,B223)&gt;0,"✓","⚠ add to Campaigns tab"))</f>
        <v/>
      </c>
      <c r="I223" s="84" t="str">
        <f aca="false">IF(C223="","",C223*IF(Settings!$B$23=Settings!$C$6,1,IF(Settings!$B$23="USD",1/INDEX(Settings!$B$29:$B$40,MONTH(A223)),INDEX(Settings!$B$29:$B$40,MONTH(A223)))))</f>
        <v/>
      </c>
    </row>
    <row r="224" customFormat="false" ht="15" hidden="false" customHeight="false" outlineLevel="0" collapsed="false">
      <c r="H224" s="0" t="str">
        <f aca="false">IF(B224="","",IF(COUNTIF(Campaigns!$A$7:$A$300,B224)&gt;0,"✓","⚠ add to Campaigns tab"))</f>
        <v/>
      </c>
      <c r="I224" s="84" t="str">
        <f aca="false">IF(C224="","",C224*IF(Settings!$B$23=Settings!$C$6,1,IF(Settings!$B$23="USD",1/INDEX(Settings!$B$29:$B$40,MONTH(A224)),INDEX(Settings!$B$29:$B$40,MONTH(A224)))))</f>
        <v/>
      </c>
    </row>
    <row r="225" customFormat="false" ht="15" hidden="false" customHeight="false" outlineLevel="0" collapsed="false">
      <c r="H225" s="0" t="str">
        <f aca="false">IF(B225="","",IF(COUNTIF(Campaigns!$A$7:$A$300,B225)&gt;0,"✓","⚠ add to Campaigns tab"))</f>
        <v/>
      </c>
      <c r="I225" s="84" t="str">
        <f aca="false">IF(C225="","",C225*IF(Settings!$B$23=Settings!$C$6,1,IF(Settings!$B$23="USD",1/INDEX(Settings!$B$29:$B$40,MONTH(A225)),INDEX(Settings!$B$29:$B$40,MONTH(A225)))))</f>
        <v/>
      </c>
    </row>
    <row r="226" customFormat="false" ht="15" hidden="false" customHeight="false" outlineLevel="0" collapsed="false">
      <c r="H226" s="0" t="str">
        <f aca="false">IF(B226="","",IF(COUNTIF(Campaigns!$A$7:$A$300,B226)&gt;0,"✓","⚠ add to Campaigns tab"))</f>
        <v/>
      </c>
      <c r="I226" s="84" t="str">
        <f aca="false">IF(C226="","",C226*IF(Settings!$B$23=Settings!$C$6,1,IF(Settings!$B$23="USD",1/INDEX(Settings!$B$29:$B$40,MONTH(A226)),INDEX(Settings!$B$29:$B$40,MONTH(A226)))))</f>
        <v/>
      </c>
    </row>
    <row r="227" customFormat="false" ht="15" hidden="false" customHeight="false" outlineLevel="0" collapsed="false">
      <c r="H227" s="0" t="str">
        <f aca="false">IF(B227="","",IF(COUNTIF(Campaigns!$A$7:$A$300,B227)&gt;0,"✓","⚠ add to Campaigns tab"))</f>
        <v/>
      </c>
      <c r="I227" s="84" t="str">
        <f aca="false">IF(C227="","",C227*IF(Settings!$B$23=Settings!$C$6,1,IF(Settings!$B$23="USD",1/INDEX(Settings!$B$29:$B$40,MONTH(A227)),INDEX(Settings!$B$29:$B$40,MONTH(A227)))))</f>
        <v/>
      </c>
    </row>
    <row r="228" customFormat="false" ht="15" hidden="false" customHeight="false" outlineLevel="0" collapsed="false">
      <c r="H228" s="0" t="str">
        <f aca="false">IF(B228="","",IF(COUNTIF(Campaigns!$A$7:$A$300,B228)&gt;0,"✓","⚠ add to Campaigns tab"))</f>
        <v/>
      </c>
      <c r="I228" s="84" t="str">
        <f aca="false">IF(C228="","",C228*IF(Settings!$B$23=Settings!$C$6,1,IF(Settings!$B$23="USD",1/INDEX(Settings!$B$29:$B$40,MONTH(A228)),INDEX(Settings!$B$29:$B$40,MONTH(A228)))))</f>
        <v/>
      </c>
    </row>
    <row r="229" customFormat="false" ht="15" hidden="false" customHeight="false" outlineLevel="0" collapsed="false">
      <c r="H229" s="0" t="str">
        <f aca="false">IF(B229="","",IF(COUNTIF(Campaigns!$A$7:$A$300,B229)&gt;0,"✓","⚠ add to Campaigns tab"))</f>
        <v/>
      </c>
      <c r="I229" s="84" t="str">
        <f aca="false">IF(C229="","",C229*IF(Settings!$B$23=Settings!$C$6,1,IF(Settings!$B$23="USD",1/INDEX(Settings!$B$29:$B$40,MONTH(A229)),INDEX(Settings!$B$29:$B$40,MONTH(A229)))))</f>
        <v/>
      </c>
    </row>
    <row r="230" customFormat="false" ht="15" hidden="false" customHeight="false" outlineLevel="0" collapsed="false">
      <c r="H230" s="0" t="str">
        <f aca="false">IF(B230="","",IF(COUNTIF(Campaigns!$A$7:$A$300,B230)&gt;0,"✓","⚠ add to Campaigns tab"))</f>
        <v/>
      </c>
      <c r="I230" s="84" t="str">
        <f aca="false">IF(C230="","",C230*IF(Settings!$B$23=Settings!$C$6,1,IF(Settings!$B$23="USD",1/INDEX(Settings!$B$29:$B$40,MONTH(A230)),INDEX(Settings!$B$29:$B$40,MONTH(A230)))))</f>
        <v/>
      </c>
    </row>
    <row r="231" customFormat="false" ht="15" hidden="false" customHeight="false" outlineLevel="0" collapsed="false">
      <c r="H231" s="0" t="str">
        <f aca="false">IF(B231="","",IF(COUNTIF(Campaigns!$A$7:$A$300,B231)&gt;0,"✓","⚠ add to Campaigns tab"))</f>
        <v/>
      </c>
      <c r="I231" s="84" t="str">
        <f aca="false">IF(C231="","",C231*IF(Settings!$B$23=Settings!$C$6,1,IF(Settings!$B$23="USD",1/INDEX(Settings!$B$29:$B$40,MONTH(A231)),INDEX(Settings!$B$29:$B$40,MONTH(A231)))))</f>
        <v/>
      </c>
    </row>
    <row r="232" customFormat="false" ht="15" hidden="false" customHeight="false" outlineLevel="0" collapsed="false">
      <c r="H232" s="0" t="str">
        <f aca="false">IF(B232="","",IF(COUNTIF(Campaigns!$A$7:$A$300,B232)&gt;0,"✓","⚠ add to Campaigns tab"))</f>
        <v/>
      </c>
      <c r="I232" s="84" t="str">
        <f aca="false">IF(C232="","",C232*IF(Settings!$B$23=Settings!$C$6,1,IF(Settings!$B$23="USD",1/INDEX(Settings!$B$29:$B$40,MONTH(A232)),INDEX(Settings!$B$29:$B$40,MONTH(A232)))))</f>
        <v/>
      </c>
    </row>
    <row r="233" customFormat="false" ht="15" hidden="false" customHeight="false" outlineLevel="0" collapsed="false">
      <c r="H233" s="0" t="str">
        <f aca="false">IF(B233="","",IF(COUNTIF(Campaigns!$A$7:$A$300,B233)&gt;0,"✓","⚠ add to Campaigns tab"))</f>
        <v/>
      </c>
      <c r="I233" s="84" t="str">
        <f aca="false">IF(C233="","",C233*IF(Settings!$B$23=Settings!$C$6,1,IF(Settings!$B$23="USD",1/INDEX(Settings!$B$29:$B$40,MONTH(A233)),INDEX(Settings!$B$29:$B$40,MONTH(A233)))))</f>
        <v/>
      </c>
    </row>
    <row r="234" customFormat="false" ht="15" hidden="false" customHeight="false" outlineLevel="0" collapsed="false">
      <c r="H234" s="0" t="str">
        <f aca="false">IF(B234="","",IF(COUNTIF(Campaigns!$A$7:$A$300,B234)&gt;0,"✓","⚠ add to Campaigns tab"))</f>
        <v/>
      </c>
      <c r="I234" s="84" t="str">
        <f aca="false">IF(C234="","",C234*IF(Settings!$B$23=Settings!$C$6,1,IF(Settings!$B$23="USD",1/INDEX(Settings!$B$29:$B$40,MONTH(A234)),INDEX(Settings!$B$29:$B$40,MONTH(A234)))))</f>
        <v/>
      </c>
    </row>
    <row r="235" customFormat="false" ht="15" hidden="false" customHeight="false" outlineLevel="0" collapsed="false">
      <c r="H235" s="0" t="str">
        <f aca="false">IF(B235="","",IF(COUNTIF(Campaigns!$A$7:$A$300,B235)&gt;0,"✓","⚠ add to Campaigns tab"))</f>
        <v/>
      </c>
      <c r="I235" s="84" t="str">
        <f aca="false">IF(C235="","",C235*IF(Settings!$B$23=Settings!$C$6,1,IF(Settings!$B$23="USD",1/INDEX(Settings!$B$29:$B$40,MONTH(A235)),INDEX(Settings!$B$29:$B$40,MONTH(A235)))))</f>
        <v/>
      </c>
    </row>
    <row r="236" customFormat="false" ht="15" hidden="false" customHeight="false" outlineLevel="0" collapsed="false">
      <c r="H236" s="0" t="str">
        <f aca="false">IF(B236="","",IF(COUNTIF(Campaigns!$A$7:$A$300,B236)&gt;0,"✓","⚠ add to Campaigns tab"))</f>
        <v/>
      </c>
      <c r="I236" s="84" t="str">
        <f aca="false">IF(C236="","",C236*IF(Settings!$B$23=Settings!$C$6,1,IF(Settings!$B$23="USD",1/INDEX(Settings!$B$29:$B$40,MONTH(A236)),INDEX(Settings!$B$29:$B$40,MONTH(A236)))))</f>
        <v/>
      </c>
    </row>
    <row r="237" customFormat="false" ht="15" hidden="false" customHeight="false" outlineLevel="0" collapsed="false">
      <c r="H237" s="0" t="str">
        <f aca="false">IF(B237="","",IF(COUNTIF(Campaigns!$A$7:$A$300,B237)&gt;0,"✓","⚠ add to Campaigns tab"))</f>
        <v/>
      </c>
      <c r="I237" s="84" t="str">
        <f aca="false">IF(C237="","",C237*IF(Settings!$B$23=Settings!$C$6,1,IF(Settings!$B$23="USD",1/INDEX(Settings!$B$29:$B$40,MONTH(A237)),INDEX(Settings!$B$29:$B$40,MONTH(A237)))))</f>
        <v/>
      </c>
    </row>
    <row r="238" customFormat="false" ht="15" hidden="false" customHeight="false" outlineLevel="0" collapsed="false">
      <c r="H238" s="0" t="str">
        <f aca="false">IF(B238="","",IF(COUNTIF(Campaigns!$A$7:$A$300,B238)&gt;0,"✓","⚠ add to Campaigns tab"))</f>
        <v/>
      </c>
      <c r="I238" s="84" t="str">
        <f aca="false">IF(C238="","",C238*IF(Settings!$B$23=Settings!$C$6,1,IF(Settings!$B$23="USD",1/INDEX(Settings!$B$29:$B$40,MONTH(A238)),INDEX(Settings!$B$29:$B$40,MONTH(A238)))))</f>
        <v/>
      </c>
    </row>
    <row r="239" customFormat="false" ht="15" hidden="false" customHeight="false" outlineLevel="0" collapsed="false">
      <c r="H239" s="0" t="str">
        <f aca="false">IF(B239="","",IF(COUNTIF(Campaigns!$A$7:$A$300,B239)&gt;0,"✓","⚠ add to Campaigns tab"))</f>
        <v/>
      </c>
      <c r="I239" s="84" t="str">
        <f aca="false">IF(C239="","",C239*IF(Settings!$B$23=Settings!$C$6,1,IF(Settings!$B$23="USD",1/INDEX(Settings!$B$29:$B$40,MONTH(A239)),INDEX(Settings!$B$29:$B$40,MONTH(A239)))))</f>
        <v/>
      </c>
    </row>
    <row r="240" customFormat="false" ht="15" hidden="false" customHeight="false" outlineLevel="0" collapsed="false">
      <c r="H240" s="0" t="str">
        <f aca="false">IF(B240="","",IF(COUNTIF(Campaigns!$A$7:$A$300,B240)&gt;0,"✓","⚠ add to Campaigns tab"))</f>
        <v/>
      </c>
      <c r="I240" s="84" t="str">
        <f aca="false">IF(C240="","",C240*IF(Settings!$B$23=Settings!$C$6,1,IF(Settings!$B$23="USD",1/INDEX(Settings!$B$29:$B$40,MONTH(A240)),INDEX(Settings!$B$29:$B$40,MONTH(A240)))))</f>
        <v/>
      </c>
    </row>
    <row r="241" customFormat="false" ht="15" hidden="false" customHeight="false" outlineLevel="0" collapsed="false">
      <c r="H241" s="0" t="str">
        <f aca="false">IF(B241="","",IF(COUNTIF(Campaigns!$A$7:$A$300,B241)&gt;0,"✓","⚠ add to Campaigns tab"))</f>
        <v/>
      </c>
      <c r="I241" s="84" t="str">
        <f aca="false">IF(C241="","",C241*IF(Settings!$B$23=Settings!$C$6,1,IF(Settings!$B$23="USD",1/INDEX(Settings!$B$29:$B$40,MONTH(A241)),INDEX(Settings!$B$29:$B$40,MONTH(A241)))))</f>
        <v/>
      </c>
    </row>
    <row r="242" customFormat="false" ht="15" hidden="false" customHeight="false" outlineLevel="0" collapsed="false">
      <c r="H242" s="0" t="str">
        <f aca="false">IF(B242="","",IF(COUNTIF(Campaigns!$A$7:$A$300,B242)&gt;0,"✓","⚠ add to Campaigns tab"))</f>
        <v/>
      </c>
      <c r="I242" s="84" t="str">
        <f aca="false">IF(C242="","",C242*IF(Settings!$B$23=Settings!$C$6,1,IF(Settings!$B$23="USD",1/INDEX(Settings!$B$29:$B$40,MONTH(A242)),INDEX(Settings!$B$29:$B$40,MONTH(A242)))))</f>
        <v/>
      </c>
    </row>
    <row r="243" customFormat="false" ht="15" hidden="false" customHeight="false" outlineLevel="0" collapsed="false">
      <c r="H243" s="0" t="str">
        <f aca="false">IF(B243="","",IF(COUNTIF(Campaigns!$A$7:$A$300,B243)&gt;0,"✓","⚠ add to Campaigns tab"))</f>
        <v/>
      </c>
      <c r="I243" s="84" t="str">
        <f aca="false">IF(C243="","",C243*IF(Settings!$B$23=Settings!$C$6,1,IF(Settings!$B$23="USD",1/INDEX(Settings!$B$29:$B$40,MONTH(A243)),INDEX(Settings!$B$29:$B$40,MONTH(A243)))))</f>
        <v/>
      </c>
    </row>
    <row r="244" customFormat="false" ht="15" hidden="false" customHeight="false" outlineLevel="0" collapsed="false">
      <c r="H244" s="0" t="str">
        <f aca="false">IF(B244="","",IF(COUNTIF(Campaigns!$A$7:$A$300,B244)&gt;0,"✓","⚠ add to Campaigns tab"))</f>
        <v/>
      </c>
      <c r="I244" s="84" t="str">
        <f aca="false">IF(C244="","",C244*IF(Settings!$B$23=Settings!$C$6,1,IF(Settings!$B$23="USD",1/INDEX(Settings!$B$29:$B$40,MONTH(A244)),INDEX(Settings!$B$29:$B$40,MONTH(A244)))))</f>
        <v/>
      </c>
    </row>
    <row r="245" customFormat="false" ht="15" hidden="false" customHeight="false" outlineLevel="0" collapsed="false">
      <c r="H245" s="0" t="str">
        <f aca="false">IF(B245="","",IF(COUNTIF(Campaigns!$A$7:$A$300,B245)&gt;0,"✓","⚠ add to Campaigns tab"))</f>
        <v/>
      </c>
      <c r="I245" s="84" t="str">
        <f aca="false">IF(C245="","",C245*IF(Settings!$B$23=Settings!$C$6,1,IF(Settings!$B$23="USD",1/INDEX(Settings!$B$29:$B$40,MONTH(A245)),INDEX(Settings!$B$29:$B$40,MONTH(A245)))))</f>
        <v/>
      </c>
    </row>
    <row r="246" customFormat="false" ht="15" hidden="false" customHeight="false" outlineLevel="0" collapsed="false">
      <c r="H246" s="0" t="str">
        <f aca="false">IF(B246="","",IF(COUNTIF(Campaigns!$A$7:$A$300,B246)&gt;0,"✓","⚠ add to Campaigns tab"))</f>
        <v/>
      </c>
      <c r="I246" s="84" t="str">
        <f aca="false">IF(C246="","",C246*IF(Settings!$B$23=Settings!$C$6,1,IF(Settings!$B$23="USD",1/INDEX(Settings!$B$29:$B$40,MONTH(A246)),INDEX(Settings!$B$29:$B$40,MONTH(A246)))))</f>
        <v/>
      </c>
    </row>
    <row r="247" customFormat="false" ht="15" hidden="false" customHeight="false" outlineLevel="0" collapsed="false">
      <c r="H247" s="0" t="str">
        <f aca="false">IF(B247="","",IF(COUNTIF(Campaigns!$A$7:$A$300,B247)&gt;0,"✓","⚠ add to Campaigns tab"))</f>
        <v/>
      </c>
      <c r="I247" s="84" t="str">
        <f aca="false">IF(C247="","",C247*IF(Settings!$B$23=Settings!$C$6,1,IF(Settings!$B$23="USD",1/INDEX(Settings!$B$29:$B$40,MONTH(A247)),INDEX(Settings!$B$29:$B$40,MONTH(A247)))))</f>
        <v/>
      </c>
    </row>
    <row r="248" customFormat="false" ht="15" hidden="false" customHeight="false" outlineLevel="0" collapsed="false">
      <c r="H248" s="0" t="str">
        <f aca="false">IF(B248="","",IF(COUNTIF(Campaigns!$A$7:$A$300,B248)&gt;0,"✓","⚠ add to Campaigns tab"))</f>
        <v/>
      </c>
      <c r="I248" s="84" t="str">
        <f aca="false">IF(C248="","",C248*IF(Settings!$B$23=Settings!$C$6,1,IF(Settings!$B$23="USD",1/INDEX(Settings!$B$29:$B$40,MONTH(A248)),INDEX(Settings!$B$29:$B$40,MONTH(A248)))))</f>
        <v/>
      </c>
    </row>
    <row r="249" customFormat="false" ht="15" hidden="false" customHeight="false" outlineLevel="0" collapsed="false">
      <c r="H249" s="0" t="str">
        <f aca="false">IF(B249="","",IF(COUNTIF(Campaigns!$A$7:$A$300,B249)&gt;0,"✓","⚠ add to Campaigns tab"))</f>
        <v/>
      </c>
      <c r="I249" s="84" t="str">
        <f aca="false">IF(C249="","",C249*IF(Settings!$B$23=Settings!$C$6,1,IF(Settings!$B$23="USD",1/INDEX(Settings!$B$29:$B$40,MONTH(A249)),INDEX(Settings!$B$29:$B$40,MONTH(A249)))))</f>
        <v/>
      </c>
    </row>
    <row r="250" customFormat="false" ht="15" hidden="false" customHeight="false" outlineLevel="0" collapsed="false">
      <c r="H250" s="0" t="str">
        <f aca="false">IF(B250="","",IF(COUNTIF(Campaigns!$A$7:$A$300,B250)&gt;0,"✓","⚠ add to Campaigns tab"))</f>
        <v/>
      </c>
      <c r="I250" s="84" t="str">
        <f aca="false">IF(C250="","",C250*IF(Settings!$B$23=Settings!$C$6,1,IF(Settings!$B$23="USD",1/INDEX(Settings!$B$29:$B$40,MONTH(A250)),INDEX(Settings!$B$29:$B$40,MONTH(A250)))))</f>
        <v/>
      </c>
    </row>
    <row r="251" customFormat="false" ht="15" hidden="false" customHeight="false" outlineLevel="0" collapsed="false">
      <c r="H251" s="0" t="str">
        <f aca="false">IF(B251="","",IF(COUNTIF(Campaigns!$A$7:$A$300,B251)&gt;0,"✓","⚠ add to Campaigns tab"))</f>
        <v/>
      </c>
      <c r="I251" s="84" t="str">
        <f aca="false">IF(C251="","",C251*IF(Settings!$B$23=Settings!$C$6,1,IF(Settings!$B$23="USD",1/INDEX(Settings!$B$29:$B$40,MONTH(A251)),INDEX(Settings!$B$29:$B$40,MONTH(A251)))))</f>
        <v/>
      </c>
    </row>
    <row r="252" customFormat="false" ht="15" hidden="false" customHeight="false" outlineLevel="0" collapsed="false">
      <c r="H252" s="0" t="str">
        <f aca="false">IF(B252="","",IF(COUNTIF(Campaigns!$A$7:$A$300,B252)&gt;0,"✓","⚠ add to Campaigns tab"))</f>
        <v/>
      </c>
      <c r="I252" s="84" t="str">
        <f aca="false">IF(C252="","",C252*IF(Settings!$B$23=Settings!$C$6,1,IF(Settings!$B$23="USD",1/INDEX(Settings!$B$29:$B$40,MONTH(A252)),INDEX(Settings!$B$29:$B$40,MONTH(A252)))))</f>
        <v/>
      </c>
    </row>
    <row r="253" customFormat="false" ht="15" hidden="false" customHeight="false" outlineLevel="0" collapsed="false">
      <c r="H253" s="0" t="str">
        <f aca="false">IF(B253="","",IF(COUNTIF(Campaigns!$A$7:$A$300,B253)&gt;0,"✓","⚠ add to Campaigns tab"))</f>
        <v/>
      </c>
      <c r="I253" s="84" t="str">
        <f aca="false">IF(C253="","",C253*IF(Settings!$B$23=Settings!$C$6,1,IF(Settings!$B$23="USD",1/INDEX(Settings!$B$29:$B$40,MONTH(A253)),INDEX(Settings!$B$29:$B$40,MONTH(A253)))))</f>
        <v/>
      </c>
    </row>
    <row r="254" customFormat="false" ht="15" hidden="false" customHeight="false" outlineLevel="0" collapsed="false">
      <c r="H254" s="0" t="str">
        <f aca="false">IF(B254="","",IF(COUNTIF(Campaigns!$A$7:$A$300,B254)&gt;0,"✓","⚠ add to Campaigns tab"))</f>
        <v/>
      </c>
      <c r="I254" s="84" t="str">
        <f aca="false">IF(C254="","",C254*IF(Settings!$B$23=Settings!$C$6,1,IF(Settings!$B$23="USD",1/INDEX(Settings!$B$29:$B$40,MONTH(A254)),INDEX(Settings!$B$29:$B$40,MONTH(A254)))))</f>
        <v/>
      </c>
    </row>
    <row r="255" customFormat="false" ht="15" hidden="false" customHeight="false" outlineLevel="0" collapsed="false">
      <c r="H255" s="0" t="str">
        <f aca="false">IF(B255="","",IF(COUNTIF(Campaigns!$A$7:$A$300,B255)&gt;0,"✓","⚠ add to Campaigns tab"))</f>
        <v/>
      </c>
      <c r="I255" s="84" t="str">
        <f aca="false">IF(C255="","",C255*IF(Settings!$B$23=Settings!$C$6,1,IF(Settings!$B$23="USD",1/INDEX(Settings!$B$29:$B$40,MONTH(A255)),INDEX(Settings!$B$29:$B$40,MONTH(A255)))))</f>
        <v/>
      </c>
    </row>
    <row r="256" customFormat="false" ht="15" hidden="false" customHeight="false" outlineLevel="0" collapsed="false">
      <c r="H256" s="0" t="str">
        <f aca="false">IF(B256="","",IF(COUNTIF(Campaigns!$A$7:$A$300,B256)&gt;0,"✓","⚠ add to Campaigns tab"))</f>
        <v/>
      </c>
      <c r="I256" s="84" t="str">
        <f aca="false">IF(C256="","",C256*IF(Settings!$B$23=Settings!$C$6,1,IF(Settings!$B$23="USD",1/INDEX(Settings!$B$29:$B$40,MONTH(A256)),INDEX(Settings!$B$29:$B$40,MONTH(A256)))))</f>
        <v/>
      </c>
    </row>
    <row r="257" customFormat="false" ht="15" hidden="false" customHeight="false" outlineLevel="0" collapsed="false">
      <c r="H257" s="0" t="str">
        <f aca="false">IF(B257="","",IF(COUNTIF(Campaigns!$A$7:$A$300,B257)&gt;0,"✓","⚠ add to Campaigns tab"))</f>
        <v/>
      </c>
      <c r="I257" s="84" t="str">
        <f aca="false">IF(C257="","",C257*IF(Settings!$B$23=Settings!$C$6,1,IF(Settings!$B$23="USD",1/INDEX(Settings!$B$29:$B$40,MONTH(A257)),INDEX(Settings!$B$29:$B$40,MONTH(A257)))))</f>
        <v/>
      </c>
    </row>
    <row r="258" customFormat="false" ht="15" hidden="false" customHeight="false" outlineLevel="0" collapsed="false">
      <c r="H258" s="0" t="str">
        <f aca="false">IF(B258="","",IF(COUNTIF(Campaigns!$A$7:$A$300,B258)&gt;0,"✓","⚠ add to Campaigns tab"))</f>
        <v/>
      </c>
      <c r="I258" s="84" t="str">
        <f aca="false">IF(C258="","",C258*IF(Settings!$B$23=Settings!$C$6,1,IF(Settings!$B$23="USD",1/INDEX(Settings!$B$29:$B$40,MONTH(A258)),INDEX(Settings!$B$29:$B$40,MONTH(A258)))))</f>
        <v/>
      </c>
    </row>
    <row r="259" customFormat="false" ht="15" hidden="false" customHeight="false" outlineLevel="0" collapsed="false">
      <c r="H259" s="0" t="str">
        <f aca="false">IF(B259="","",IF(COUNTIF(Campaigns!$A$7:$A$300,B259)&gt;0,"✓","⚠ add to Campaigns tab"))</f>
        <v/>
      </c>
      <c r="I259" s="84" t="str">
        <f aca="false">IF(C259="","",C259*IF(Settings!$B$23=Settings!$C$6,1,IF(Settings!$B$23="USD",1/INDEX(Settings!$B$29:$B$40,MONTH(A259)),INDEX(Settings!$B$29:$B$40,MONTH(A259)))))</f>
        <v/>
      </c>
    </row>
    <row r="260" customFormat="false" ht="15" hidden="false" customHeight="false" outlineLevel="0" collapsed="false">
      <c r="H260" s="0" t="str">
        <f aca="false">IF(B260="","",IF(COUNTIF(Campaigns!$A$7:$A$300,B260)&gt;0,"✓","⚠ add to Campaigns tab"))</f>
        <v/>
      </c>
      <c r="I260" s="84" t="str">
        <f aca="false">IF(C260="","",C260*IF(Settings!$B$23=Settings!$C$6,1,IF(Settings!$B$23="USD",1/INDEX(Settings!$B$29:$B$40,MONTH(A260)),INDEX(Settings!$B$29:$B$40,MONTH(A260)))))</f>
        <v/>
      </c>
    </row>
    <row r="261" customFormat="false" ht="15" hidden="false" customHeight="false" outlineLevel="0" collapsed="false">
      <c r="H261" s="0" t="str">
        <f aca="false">IF(B261="","",IF(COUNTIF(Campaigns!$A$7:$A$300,B261)&gt;0,"✓","⚠ add to Campaigns tab"))</f>
        <v/>
      </c>
      <c r="I261" s="84" t="str">
        <f aca="false">IF(C261="","",C261*IF(Settings!$B$23=Settings!$C$6,1,IF(Settings!$B$23="USD",1/INDEX(Settings!$B$29:$B$40,MONTH(A261)),INDEX(Settings!$B$29:$B$40,MONTH(A261)))))</f>
        <v/>
      </c>
    </row>
    <row r="262" customFormat="false" ht="15" hidden="false" customHeight="false" outlineLevel="0" collapsed="false">
      <c r="H262" s="0" t="str">
        <f aca="false">IF(B262="","",IF(COUNTIF(Campaigns!$A$7:$A$300,B262)&gt;0,"✓","⚠ add to Campaigns tab"))</f>
        <v/>
      </c>
      <c r="I262" s="84" t="str">
        <f aca="false">IF(C262="","",C262*IF(Settings!$B$23=Settings!$C$6,1,IF(Settings!$B$23="USD",1/INDEX(Settings!$B$29:$B$40,MONTH(A262)),INDEX(Settings!$B$29:$B$40,MONTH(A262)))))</f>
        <v/>
      </c>
    </row>
    <row r="263" customFormat="false" ht="15" hidden="false" customHeight="false" outlineLevel="0" collapsed="false">
      <c r="H263" s="0" t="str">
        <f aca="false">IF(B263="","",IF(COUNTIF(Campaigns!$A$7:$A$300,B263)&gt;0,"✓","⚠ add to Campaigns tab"))</f>
        <v/>
      </c>
      <c r="I263" s="84" t="str">
        <f aca="false">IF(C263="","",C263*IF(Settings!$B$23=Settings!$C$6,1,IF(Settings!$B$23="USD",1/INDEX(Settings!$B$29:$B$40,MONTH(A263)),INDEX(Settings!$B$29:$B$40,MONTH(A263)))))</f>
        <v/>
      </c>
    </row>
    <row r="264" customFormat="false" ht="15" hidden="false" customHeight="false" outlineLevel="0" collapsed="false">
      <c r="H264" s="0" t="str">
        <f aca="false">IF(B264="","",IF(COUNTIF(Campaigns!$A$7:$A$300,B264)&gt;0,"✓","⚠ add to Campaigns tab"))</f>
        <v/>
      </c>
      <c r="I264" s="84" t="str">
        <f aca="false">IF(C264="","",C264*IF(Settings!$B$23=Settings!$C$6,1,IF(Settings!$B$23="USD",1/INDEX(Settings!$B$29:$B$40,MONTH(A264)),INDEX(Settings!$B$29:$B$40,MONTH(A264)))))</f>
        <v/>
      </c>
    </row>
    <row r="265" customFormat="false" ht="15" hidden="false" customHeight="false" outlineLevel="0" collapsed="false">
      <c r="H265" s="0" t="str">
        <f aca="false">IF(B265="","",IF(COUNTIF(Campaigns!$A$7:$A$300,B265)&gt;0,"✓","⚠ add to Campaigns tab"))</f>
        <v/>
      </c>
      <c r="I265" s="84" t="str">
        <f aca="false">IF(C265="","",C265*IF(Settings!$B$23=Settings!$C$6,1,IF(Settings!$B$23="USD",1/INDEX(Settings!$B$29:$B$40,MONTH(A265)),INDEX(Settings!$B$29:$B$40,MONTH(A265)))))</f>
        <v/>
      </c>
    </row>
    <row r="266" customFormat="false" ht="15" hidden="false" customHeight="false" outlineLevel="0" collapsed="false">
      <c r="H266" s="0" t="str">
        <f aca="false">IF(B266="","",IF(COUNTIF(Campaigns!$A$7:$A$300,B266)&gt;0,"✓","⚠ add to Campaigns tab"))</f>
        <v/>
      </c>
      <c r="I266" s="84" t="str">
        <f aca="false">IF(C266="","",C266*IF(Settings!$B$23=Settings!$C$6,1,IF(Settings!$B$23="USD",1/INDEX(Settings!$B$29:$B$40,MONTH(A266)),INDEX(Settings!$B$29:$B$40,MONTH(A266)))))</f>
        <v/>
      </c>
    </row>
    <row r="267" customFormat="false" ht="15" hidden="false" customHeight="false" outlineLevel="0" collapsed="false">
      <c r="H267" s="0" t="str">
        <f aca="false">IF(B267="","",IF(COUNTIF(Campaigns!$A$7:$A$300,B267)&gt;0,"✓","⚠ add to Campaigns tab"))</f>
        <v/>
      </c>
      <c r="I267" s="84" t="str">
        <f aca="false">IF(C267="","",C267*IF(Settings!$B$23=Settings!$C$6,1,IF(Settings!$B$23="USD",1/INDEX(Settings!$B$29:$B$40,MONTH(A267)),INDEX(Settings!$B$29:$B$40,MONTH(A267)))))</f>
        <v/>
      </c>
    </row>
    <row r="268" customFormat="false" ht="15" hidden="false" customHeight="false" outlineLevel="0" collapsed="false">
      <c r="H268" s="0" t="str">
        <f aca="false">IF(B268="","",IF(COUNTIF(Campaigns!$A$7:$A$300,B268)&gt;0,"✓","⚠ add to Campaigns tab"))</f>
        <v/>
      </c>
      <c r="I268" s="84" t="str">
        <f aca="false">IF(C268="","",C268*IF(Settings!$B$23=Settings!$C$6,1,IF(Settings!$B$23="USD",1/INDEX(Settings!$B$29:$B$40,MONTH(A268)),INDEX(Settings!$B$29:$B$40,MONTH(A268)))))</f>
        <v/>
      </c>
    </row>
    <row r="269" customFormat="false" ht="15" hidden="false" customHeight="false" outlineLevel="0" collapsed="false">
      <c r="H269" s="0" t="str">
        <f aca="false">IF(B269="","",IF(COUNTIF(Campaigns!$A$7:$A$300,B269)&gt;0,"✓","⚠ add to Campaigns tab"))</f>
        <v/>
      </c>
      <c r="I269" s="84" t="str">
        <f aca="false">IF(C269="","",C269*IF(Settings!$B$23=Settings!$C$6,1,IF(Settings!$B$23="USD",1/INDEX(Settings!$B$29:$B$40,MONTH(A269)),INDEX(Settings!$B$29:$B$40,MONTH(A269)))))</f>
        <v/>
      </c>
    </row>
    <row r="270" customFormat="false" ht="15" hidden="false" customHeight="false" outlineLevel="0" collapsed="false">
      <c r="H270" s="0" t="str">
        <f aca="false">IF(B270="","",IF(COUNTIF(Campaigns!$A$7:$A$300,B270)&gt;0,"✓","⚠ add to Campaigns tab"))</f>
        <v/>
      </c>
      <c r="I270" s="84" t="str">
        <f aca="false">IF(C270="","",C270*IF(Settings!$B$23=Settings!$C$6,1,IF(Settings!$B$23="USD",1/INDEX(Settings!$B$29:$B$40,MONTH(A270)),INDEX(Settings!$B$29:$B$40,MONTH(A270)))))</f>
        <v/>
      </c>
    </row>
    <row r="271" customFormat="false" ht="15" hidden="false" customHeight="false" outlineLevel="0" collapsed="false">
      <c r="H271" s="0" t="str">
        <f aca="false">IF(B271="","",IF(COUNTIF(Campaigns!$A$7:$A$300,B271)&gt;0,"✓","⚠ add to Campaigns tab"))</f>
        <v/>
      </c>
      <c r="I271" s="84" t="str">
        <f aca="false">IF(C271="","",C271*IF(Settings!$B$23=Settings!$C$6,1,IF(Settings!$B$23="USD",1/INDEX(Settings!$B$29:$B$40,MONTH(A271)),INDEX(Settings!$B$29:$B$40,MONTH(A271)))))</f>
        <v/>
      </c>
    </row>
    <row r="272" customFormat="false" ht="15" hidden="false" customHeight="false" outlineLevel="0" collapsed="false">
      <c r="H272" s="0" t="str">
        <f aca="false">IF(B272="","",IF(COUNTIF(Campaigns!$A$7:$A$300,B272)&gt;0,"✓","⚠ add to Campaigns tab"))</f>
        <v/>
      </c>
      <c r="I272" s="84" t="str">
        <f aca="false">IF(C272="","",C272*IF(Settings!$B$23=Settings!$C$6,1,IF(Settings!$B$23="USD",1/INDEX(Settings!$B$29:$B$40,MONTH(A272)),INDEX(Settings!$B$29:$B$40,MONTH(A272)))))</f>
        <v/>
      </c>
    </row>
    <row r="273" customFormat="false" ht="15" hidden="false" customHeight="false" outlineLevel="0" collapsed="false">
      <c r="H273" s="0" t="str">
        <f aca="false">IF(B273="","",IF(COUNTIF(Campaigns!$A$7:$A$300,B273)&gt;0,"✓","⚠ add to Campaigns tab"))</f>
        <v/>
      </c>
      <c r="I273" s="84" t="str">
        <f aca="false">IF(C273="","",C273*IF(Settings!$B$23=Settings!$C$6,1,IF(Settings!$B$23="USD",1/INDEX(Settings!$B$29:$B$40,MONTH(A273)),INDEX(Settings!$B$29:$B$40,MONTH(A273)))))</f>
        <v/>
      </c>
    </row>
    <row r="274" customFormat="false" ht="15" hidden="false" customHeight="false" outlineLevel="0" collapsed="false">
      <c r="H274" s="0" t="str">
        <f aca="false">IF(B274="","",IF(COUNTIF(Campaigns!$A$7:$A$300,B274)&gt;0,"✓","⚠ add to Campaigns tab"))</f>
        <v/>
      </c>
      <c r="I274" s="84" t="str">
        <f aca="false">IF(C274="","",C274*IF(Settings!$B$23=Settings!$C$6,1,IF(Settings!$B$23="USD",1/INDEX(Settings!$B$29:$B$40,MONTH(A274)),INDEX(Settings!$B$29:$B$40,MONTH(A274)))))</f>
        <v/>
      </c>
    </row>
    <row r="275" customFormat="false" ht="15" hidden="false" customHeight="false" outlineLevel="0" collapsed="false">
      <c r="H275" s="0" t="str">
        <f aca="false">IF(B275="","",IF(COUNTIF(Campaigns!$A$7:$A$300,B275)&gt;0,"✓","⚠ add to Campaigns tab"))</f>
        <v/>
      </c>
      <c r="I275" s="84" t="str">
        <f aca="false">IF(C275="","",C275*IF(Settings!$B$23=Settings!$C$6,1,IF(Settings!$B$23="USD",1/INDEX(Settings!$B$29:$B$40,MONTH(A275)),INDEX(Settings!$B$29:$B$40,MONTH(A275)))))</f>
        <v/>
      </c>
    </row>
    <row r="276" customFormat="false" ht="15" hidden="false" customHeight="false" outlineLevel="0" collapsed="false">
      <c r="H276" s="0" t="str">
        <f aca="false">IF(B276="","",IF(COUNTIF(Campaigns!$A$7:$A$300,B276)&gt;0,"✓","⚠ add to Campaigns tab"))</f>
        <v/>
      </c>
      <c r="I276" s="84" t="str">
        <f aca="false">IF(C276="","",C276*IF(Settings!$B$23=Settings!$C$6,1,IF(Settings!$B$23="USD",1/INDEX(Settings!$B$29:$B$40,MONTH(A276)),INDEX(Settings!$B$29:$B$40,MONTH(A276)))))</f>
        <v/>
      </c>
    </row>
    <row r="277" customFormat="false" ht="15" hidden="false" customHeight="false" outlineLevel="0" collapsed="false">
      <c r="H277" s="0" t="str">
        <f aca="false">IF(B277="","",IF(COUNTIF(Campaigns!$A$7:$A$300,B277)&gt;0,"✓","⚠ add to Campaigns tab"))</f>
        <v/>
      </c>
      <c r="I277" s="84" t="str">
        <f aca="false">IF(C277="","",C277*IF(Settings!$B$23=Settings!$C$6,1,IF(Settings!$B$23="USD",1/INDEX(Settings!$B$29:$B$40,MONTH(A277)),INDEX(Settings!$B$29:$B$40,MONTH(A277)))))</f>
        <v/>
      </c>
    </row>
    <row r="278" customFormat="false" ht="15" hidden="false" customHeight="false" outlineLevel="0" collapsed="false">
      <c r="H278" s="0" t="str">
        <f aca="false">IF(B278="","",IF(COUNTIF(Campaigns!$A$7:$A$300,B278)&gt;0,"✓","⚠ add to Campaigns tab"))</f>
        <v/>
      </c>
      <c r="I278" s="84" t="str">
        <f aca="false">IF(C278="","",C278*IF(Settings!$B$23=Settings!$C$6,1,IF(Settings!$B$23="USD",1/INDEX(Settings!$B$29:$B$40,MONTH(A278)),INDEX(Settings!$B$29:$B$40,MONTH(A278)))))</f>
        <v/>
      </c>
    </row>
    <row r="279" customFormat="false" ht="15" hidden="false" customHeight="false" outlineLevel="0" collapsed="false">
      <c r="H279" s="0" t="str">
        <f aca="false">IF(B279="","",IF(COUNTIF(Campaigns!$A$7:$A$300,B279)&gt;0,"✓","⚠ add to Campaigns tab"))</f>
        <v/>
      </c>
      <c r="I279" s="84" t="str">
        <f aca="false">IF(C279="","",C279*IF(Settings!$B$23=Settings!$C$6,1,IF(Settings!$B$23="USD",1/INDEX(Settings!$B$29:$B$40,MONTH(A279)),INDEX(Settings!$B$29:$B$40,MONTH(A279)))))</f>
        <v/>
      </c>
    </row>
    <row r="280" customFormat="false" ht="15" hidden="false" customHeight="false" outlineLevel="0" collapsed="false">
      <c r="H280" s="0" t="str">
        <f aca="false">IF(B280="","",IF(COUNTIF(Campaigns!$A$7:$A$300,B280)&gt;0,"✓","⚠ add to Campaigns tab"))</f>
        <v/>
      </c>
      <c r="I280" s="84" t="str">
        <f aca="false">IF(C280="","",C280*IF(Settings!$B$23=Settings!$C$6,1,IF(Settings!$B$23="USD",1/INDEX(Settings!$B$29:$B$40,MONTH(A280)),INDEX(Settings!$B$29:$B$40,MONTH(A280)))))</f>
        <v/>
      </c>
    </row>
    <row r="281" customFormat="false" ht="15" hidden="false" customHeight="false" outlineLevel="0" collapsed="false">
      <c r="H281" s="0" t="str">
        <f aca="false">IF(B281="","",IF(COUNTIF(Campaigns!$A$7:$A$300,B281)&gt;0,"✓","⚠ add to Campaigns tab"))</f>
        <v/>
      </c>
      <c r="I281" s="84" t="str">
        <f aca="false">IF(C281="","",C281*IF(Settings!$B$23=Settings!$C$6,1,IF(Settings!$B$23="USD",1/INDEX(Settings!$B$29:$B$40,MONTH(A281)),INDEX(Settings!$B$29:$B$40,MONTH(A281)))))</f>
        <v/>
      </c>
    </row>
    <row r="282" customFormat="false" ht="15" hidden="false" customHeight="false" outlineLevel="0" collapsed="false">
      <c r="H282" s="0" t="str">
        <f aca="false">IF(B282="","",IF(COUNTIF(Campaigns!$A$7:$A$300,B282)&gt;0,"✓","⚠ add to Campaigns tab"))</f>
        <v/>
      </c>
      <c r="I282" s="84" t="str">
        <f aca="false">IF(C282="","",C282*IF(Settings!$B$23=Settings!$C$6,1,IF(Settings!$B$23="USD",1/INDEX(Settings!$B$29:$B$40,MONTH(A282)),INDEX(Settings!$B$29:$B$40,MONTH(A282)))))</f>
        <v/>
      </c>
    </row>
    <row r="283" customFormat="false" ht="15" hidden="false" customHeight="false" outlineLevel="0" collapsed="false">
      <c r="H283" s="0" t="str">
        <f aca="false">IF(B283="","",IF(COUNTIF(Campaigns!$A$7:$A$300,B283)&gt;0,"✓","⚠ add to Campaigns tab"))</f>
        <v/>
      </c>
      <c r="I283" s="84" t="str">
        <f aca="false">IF(C283="","",C283*IF(Settings!$B$23=Settings!$C$6,1,IF(Settings!$B$23="USD",1/INDEX(Settings!$B$29:$B$40,MONTH(A283)),INDEX(Settings!$B$29:$B$40,MONTH(A283)))))</f>
        <v/>
      </c>
    </row>
    <row r="284" customFormat="false" ht="15" hidden="false" customHeight="false" outlineLevel="0" collapsed="false">
      <c r="H284" s="0" t="str">
        <f aca="false">IF(B284="","",IF(COUNTIF(Campaigns!$A$7:$A$300,B284)&gt;0,"✓","⚠ add to Campaigns tab"))</f>
        <v/>
      </c>
      <c r="I284" s="84" t="str">
        <f aca="false">IF(C284="","",C284*IF(Settings!$B$23=Settings!$C$6,1,IF(Settings!$B$23="USD",1/INDEX(Settings!$B$29:$B$40,MONTH(A284)),INDEX(Settings!$B$29:$B$40,MONTH(A284)))))</f>
        <v/>
      </c>
    </row>
    <row r="285" customFormat="false" ht="15" hidden="false" customHeight="false" outlineLevel="0" collapsed="false">
      <c r="H285" s="0" t="str">
        <f aca="false">IF(B285="","",IF(COUNTIF(Campaigns!$A$7:$A$300,B285)&gt;0,"✓","⚠ add to Campaigns tab"))</f>
        <v/>
      </c>
      <c r="I285" s="84" t="str">
        <f aca="false">IF(C285="","",C285*IF(Settings!$B$23=Settings!$C$6,1,IF(Settings!$B$23="USD",1/INDEX(Settings!$B$29:$B$40,MONTH(A285)),INDEX(Settings!$B$29:$B$40,MONTH(A285)))))</f>
        <v/>
      </c>
    </row>
    <row r="286" customFormat="false" ht="15" hidden="false" customHeight="false" outlineLevel="0" collapsed="false">
      <c r="H286" s="0" t="str">
        <f aca="false">IF(B286="","",IF(COUNTIF(Campaigns!$A$7:$A$300,B286)&gt;0,"✓","⚠ add to Campaigns tab"))</f>
        <v/>
      </c>
      <c r="I286" s="84" t="str">
        <f aca="false">IF(C286="","",C286*IF(Settings!$B$23=Settings!$C$6,1,IF(Settings!$B$23="USD",1/INDEX(Settings!$B$29:$B$40,MONTH(A286)),INDEX(Settings!$B$29:$B$40,MONTH(A286)))))</f>
        <v/>
      </c>
    </row>
    <row r="287" customFormat="false" ht="15" hidden="false" customHeight="false" outlineLevel="0" collapsed="false">
      <c r="H287" s="0" t="str">
        <f aca="false">IF(B287="","",IF(COUNTIF(Campaigns!$A$7:$A$300,B287)&gt;0,"✓","⚠ add to Campaigns tab"))</f>
        <v/>
      </c>
      <c r="I287" s="84" t="str">
        <f aca="false">IF(C287="","",C287*IF(Settings!$B$23=Settings!$C$6,1,IF(Settings!$B$23="USD",1/INDEX(Settings!$B$29:$B$40,MONTH(A287)),INDEX(Settings!$B$29:$B$40,MONTH(A287)))))</f>
        <v/>
      </c>
    </row>
    <row r="288" customFormat="false" ht="15" hidden="false" customHeight="false" outlineLevel="0" collapsed="false">
      <c r="H288" s="0" t="str">
        <f aca="false">IF(B288="","",IF(COUNTIF(Campaigns!$A$7:$A$300,B288)&gt;0,"✓","⚠ add to Campaigns tab"))</f>
        <v/>
      </c>
      <c r="I288" s="84" t="str">
        <f aca="false">IF(C288="","",C288*IF(Settings!$B$23=Settings!$C$6,1,IF(Settings!$B$23="USD",1/INDEX(Settings!$B$29:$B$40,MONTH(A288)),INDEX(Settings!$B$29:$B$40,MONTH(A288)))))</f>
        <v/>
      </c>
    </row>
    <row r="289" customFormat="false" ht="15" hidden="false" customHeight="false" outlineLevel="0" collapsed="false">
      <c r="H289" s="0" t="str">
        <f aca="false">IF(B289="","",IF(COUNTIF(Campaigns!$A$7:$A$300,B289)&gt;0,"✓","⚠ add to Campaigns tab"))</f>
        <v/>
      </c>
      <c r="I289" s="84" t="str">
        <f aca="false">IF(C289="","",C289*IF(Settings!$B$23=Settings!$C$6,1,IF(Settings!$B$23="USD",1/INDEX(Settings!$B$29:$B$40,MONTH(A289)),INDEX(Settings!$B$29:$B$40,MONTH(A289)))))</f>
        <v/>
      </c>
    </row>
    <row r="290" customFormat="false" ht="15" hidden="false" customHeight="false" outlineLevel="0" collapsed="false">
      <c r="H290" s="0" t="str">
        <f aca="false">IF(B290="","",IF(COUNTIF(Campaigns!$A$7:$A$300,B290)&gt;0,"✓","⚠ add to Campaigns tab"))</f>
        <v/>
      </c>
      <c r="I290" s="84" t="str">
        <f aca="false">IF(C290="","",C290*IF(Settings!$B$23=Settings!$C$6,1,IF(Settings!$B$23="USD",1/INDEX(Settings!$B$29:$B$40,MONTH(A290)),INDEX(Settings!$B$29:$B$40,MONTH(A290)))))</f>
        <v/>
      </c>
    </row>
    <row r="291" customFormat="false" ht="15" hidden="false" customHeight="false" outlineLevel="0" collapsed="false">
      <c r="H291" s="0" t="str">
        <f aca="false">IF(B291="","",IF(COUNTIF(Campaigns!$A$7:$A$300,B291)&gt;0,"✓","⚠ add to Campaigns tab"))</f>
        <v/>
      </c>
      <c r="I291" s="84" t="str">
        <f aca="false">IF(C291="","",C291*IF(Settings!$B$23=Settings!$C$6,1,IF(Settings!$B$23="USD",1/INDEX(Settings!$B$29:$B$40,MONTH(A291)),INDEX(Settings!$B$29:$B$40,MONTH(A291)))))</f>
        <v/>
      </c>
    </row>
    <row r="292" customFormat="false" ht="15" hidden="false" customHeight="false" outlineLevel="0" collapsed="false">
      <c r="H292" s="0" t="str">
        <f aca="false">IF(B292="","",IF(COUNTIF(Campaigns!$A$7:$A$300,B292)&gt;0,"✓","⚠ add to Campaigns tab"))</f>
        <v/>
      </c>
      <c r="I292" s="84" t="str">
        <f aca="false">IF(C292="","",C292*IF(Settings!$B$23=Settings!$C$6,1,IF(Settings!$B$23="USD",1/INDEX(Settings!$B$29:$B$40,MONTH(A292)),INDEX(Settings!$B$29:$B$40,MONTH(A292)))))</f>
        <v/>
      </c>
    </row>
    <row r="293" customFormat="false" ht="15" hidden="false" customHeight="false" outlineLevel="0" collapsed="false">
      <c r="H293" s="0" t="str">
        <f aca="false">IF(B293="","",IF(COUNTIF(Campaigns!$A$7:$A$300,B293)&gt;0,"✓","⚠ add to Campaigns tab"))</f>
        <v/>
      </c>
      <c r="I293" s="84" t="str">
        <f aca="false">IF(C293="","",C293*IF(Settings!$B$23=Settings!$C$6,1,IF(Settings!$B$23="USD",1/INDEX(Settings!$B$29:$B$40,MONTH(A293)),INDEX(Settings!$B$29:$B$40,MONTH(A293)))))</f>
        <v/>
      </c>
    </row>
    <row r="294" customFormat="false" ht="15" hidden="false" customHeight="false" outlineLevel="0" collapsed="false">
      <c r="H294" s="0" t="str">
        <f aca="false">IF(B294="","",IF(COUNTIF(Campaigns!$A$7:$A$300,B294)&gt;0,"✓","⚠ add to Campaigns tab"))</f>
        <v/>
      </c>
      <c r="I294" s="84" t="str">
        <f aca="false">IF(C294="","",C294*IF(Settings!$B$23=Settings!$C$6,1,IF(Settings!$B$23="USD",1/INDEX(Settings!$B$29:$B$40,MONTH(A294)),INDEX(Settings!$B$29:$B$40,MONTH(A294)))))</f>
        <v/>
      </c>
    </row>
    <row r="295" customFormat="false" ht="15" hidden="false" customHeight="false" outlineLevel="0" collapsed="false">
      <c r="H295" s="0" t="str">
        <f aca="false">IF(B295="","",IF(COUNTIF(Campaigns!$A$7:$A$300,B295)&gt;0,"✓","⚠ add to Campaigns tab"))</f>
        <v/>
      </c>
      <c r="I295" s="84" t="str">
        <f aca="false">IF(C295="","",C295*IF(Settings!$B$23=Settings!$C$6,1,IF(Settings!$B$23="USD",1/INDEX(Settings!$B$29:$B$40,MONTH(A295)),INDEX(Settings!$B$29:$B$40,MONTH(A295)))))</f>
        <v/>
      </c>
    </row>
    <row r="296" customFormat="false" ht="15" hidden="false" customHeight="false" outlineLevel="0" collapsed="false">
      <c r="H296" s="0" t="str">
        <f aca="false">IF(B296="","",IF(COUNTIF(Campaigns!$A$7:$A$300,B296)&gt;0,"✓","⚠ add to Campaigns tab"))</f>
        <v/>
      </c>
      <c r="I296" s="84" t="str">
        <f aca="false">IF(C296="","",C296*IF(Settings!$B$23=Settings!$C$6,1,IF(Settings!$B$23="USD",1/INDEX(Settings!$B$29:$B$40,MONTH(A296)),INDEX(Settings!$B$29:$B$40,MONTH(A296)))))</f>
        <v/>
      </c>
    </row>
    <row r="297" customFormat="false" ht="15" hidden="false" customHeight="false" outlineLevel="0" collapsed="false">
      <c r="H297" s="0" t="str">
        <f aca="false">IF(B297="","",IF(COUNTIF(Campaigns!$A$7:$A$300,B297)&gt;0,"✓","⚠ add to Campaigns tab"))</f>
        <v/>
      </c>
      <c r="I297" s="84" t="str">
        <f aca="false">IF(C297="","",C297*IF(Settings!$B$23=Settings!$C$6,1,IF(Settings!$B$23="USD",1/INDEX(Settings!$B$29:$B$40,MONTH(A297)),INDEX(Settings!$B$29:$B$40,MONTH(A297)))))</f>
        <v/>
      </c>
    </row>
    <row r="298" customFormat="false" ht="15" hidden="false" customHeight="false" outlineLevel="0" collapsed="false">
      <c r="H298" s="0" t="str">
        <f aca="false">IF(B298="","",IF(COUNTIF(Campaigns!$A$7:$A$300,B298)&gt;0,"✓","⚠ add to Campaigns tab"))</f>
        <v/>
      </c>
      <c r="I298" s="84" t="str">
        <f aca="false">IF(C298="","",C298*IF(Settings!$B$23=Settings!$C$6,1,IF(Settings!$B$23="USD",1/INDEX(Settings!$B$29:$B$40,MONTH(A298)),INDEX(Settings!$B$29:$B$40,MONTH(A298)))))</f>
        <v/>
      </c>
    </row>
    <row r="299" customFormat="false" ht="15" hidden="false" customHeight="false" outlineLevel="0" collapsed="false">
      <c r="H299" s="0" t="str">
        <f aca="false">IF(B299="","",IF(COUNTIF(Campaigns!$A$7:$A$300,B299)&gt;0,"✓","⚠ add to Campaigns tab"))</f>
        <v/>
      </c>
      <c r="I299" s="84" t="str">
        <f aca="false">IF(C299="","",C299*IF(Settings!$B$23=Settings!$C$6,1,IF(Settings!$B$23="USD",1/INDEX(Settings!$B$29:$B$40,MONTH(A299)),INDEX(Settings!$B$29:$B$40,MONTH(A299)))))</f>
        <v/>
      </c>
    </row>
    <row r="300" customFormat="false" ht="15" hidden="false" customHeight="false" outlineLevel="0" collapsed="false">
      <c r="H300" s="0" t="str">
        <f aca="false">IF(B300="","",IF(COUNTIF(Campaigns!$A$7:$A$300,B300)&gt;0,"✓","⚠ add to Campaigns tab"))</f>
        <v/>
      </c>
      <c r="I300" s="84" t="str">
        <f aca="false">IF(C300="","",C300*IF(Settings!$B$23=Settings!$C$6,1,IF(Settings!$B$23="USD",1/INDEX(Settings!$B$29:$B$40,MONTH(A300)),INDEX(Settings!$B$29:$B$40,MONTH(A300)))))</f>
        <v/>
      </c>
    </row>
    <row r="301" customFormat="false" ht="15" hidden="false" customHeight="false" outlineLevel="0" collapsed="false">
      <c r="H301" s="0" t="str">
        <f aca="false">IF(B301="","",IF(COUNTIF(Campaigns!$A$7:$A$300,B301)&gt;0,"✓","⚠ add to Campaigns tab"))</f>
        <v/>
      </c>
      <c r="I301" s="84" t="str">
        <f aca="false">IF(C301="","",C301*IF(Settings!$B$23=Settings!$C$6,1,IF(Settings!$B$23="USD",1/INDEX(Settings!$B$29:$B$40,MONTH(A301)),INDEX(Settings!$B$29:$B$40,MONTH(A301)))))</f>
        <v/>
      </c>
    </row>
    <row r="302" customFormat="false" ht="15" hidden="false" customHeight="false" outlineLevel="0" collapsed="false">
      <c r="H302" s="0" t="str">
        <f aca="false">IF(B302="","",IF(COUNTIF(Campaigns!$A$7:$A$300,B302)&gt;0,"✓","⚠ add to Campaigns tab"))</f>
        <v/>
      </c>
      <c r="I302" s="84" t="str">
        <f aca="false">IF(C302="","",C302*IF(Settings!$B$23=Settings!$C$6,1,IF(Settings!$B$23="USD",1/INDEX(Settings!$B$29:$B$40,MONTH(A302)),INDEX(Settings!$B$29:$B$40,MONTH(A302)))))</f>
        <v/>
      </c>
    </row>
    <row r="303" customFormat="false" ht="15" hidden="false" customHeight="false" outlineLevel="0" collapsed="false">
      <c r="H303" s="0" t="str">
        <f aca="false">IF(B303="","",IF(COUNTIF(Campaigns!$A$7:$A$300,B303)&gt;0,"✓","⚠ add to Campaigns tab"))</f>
        <v/>
      </c>
      <c r="I303" s="84" t="str">
        <f aca="false">IF(C303="","",C303*IF(Settings!$B$23=Settings!$C$6,1,IF(Settings!$B$23="USD",1/INDEX(Settings!$B$29:$B$40,MONTH(A303)),INDEX(Settings!$B$29:$B$40,MONTH(A303)))))</f>
        <v/>
      </c>
    </row>
    <row r="304" customFormat="false" ht="15" hidden="false" customHeight="false" outlineLevel="0" collapsed="false">
      <c r="H304" s="0" t="str">
        <f aca="false">IF(B304="","",IF(COUNTIF(Campaigns!$A$7:$A$300,B304)&gt;0,"✓","⚠ add to Campaigns tab"))</f>
        <v/>
      </c>
      <c r="I304" s="84" t="str">
        <f aca="false">IF(C304="","",C304*IF(Settings!$B$23=Settings!$C$6,1,IF(Settings!$B$23="USD",1/INDEX(Settings!$B$29:$B$40,MONTH(A304)),INDEX(Settings!$B$29:$B$40,MONTH(A304)))))</f>
        <v/>
      </c>
    </row>
    <row r="305" customFormat="false" ht="15" hidden="false" customHeight="false" outlineLevel="0" collapsed="false">
      <c r="H305" s="0" t="str">
        <f aca="false">IF(B305="","",IF(COUNTIF(Campaigns!$A$7:$A$300,B305)&gt;0,"✓","⚠ add to Campaigns tab"))</f>
        <v/>
      </c>
      <c r="I305" s="84" t="str">
        <f aca="false">IF(C305="","",C305*IF(Settings!$B$23=Settings!$C$6,1,IF(Settings!$B$23="USD",1/INDEX(Settings!$B$29:$B$40,MONTH(A305)),INDEX(Settings!$B$29:$B$40,MONTH(A305)))))</f>
        <v/>
      </c>
    </row>
    <row r="306" customFormat="false" ht="15" hidden="false" customHeight="false" outlineLevel="0" collapsed="false">
      <c r="H306" s="0" t="str">
        <f aca="false">IF(B306="","",IF(COUNTIF(Campaigns!$A$7:$A$300,B306)&gt;0,"✓","⚠ add to Campaigns tab"))</f>
        <v/>
      </c>
      <c r="I306" s="84" t="str">
        <f aca="false">IF(C306="","",C306*IF(Settings!$B$23=Settings!$C$6,1,IF(Settings!$B$23="USD",1/INDEX(Settings!$B$29:$B$40,MONTH(A306)),INDEX(Settings!$B$29:$B$40,MONTH(A306)))))</f>
        <v/>
      </c>
    </row>
    <row r="307" customFormat="false" ht="15" hidden="false" customHeight="false" outlineLevel="0" collapsed="false">
      <c r="H307" s="0" t="str">
        <f aca="false">IF(B307="","",IF(COUNTIF(Campaigns!$A$7:$A$300,B307)&gt;0,"✓","⚠ add to Campaigns tab"))</f>
        <v/>
      </c>
      <c r="I307" s="84" t="str">
        <f aca="false">IF(C307="","",C307*IF(Settings!$B$23=Settings!$C$6,1,IF(Settings!$B$23="USD",1/INDEX(Settings!$B$29:$B$40,MONTH(A307)),INDEX(Settings!$B$29:$B$40,MONTH(A307)))))</f>
        <v/>
      </c>
    </row>
    <row r="308" customFormat="false" ht="15" hidden="false" customHeight="false" outlineLevel="0" collapsed="false">
      <c r="H308" s="0" t="str">
        <f aca="false">IF(B308="","",IF(COUNTIF(Campaigns!$A$7:$A$300,B308)&gt;0,"✓","⚠ add to Campaigns tab"))</f>
        <v/>
      </c>
      <c r="I308" s="84" t="str">
        <f aca="false">IF(C308="","",C308*IF(Settings!$B$23=Settings!$C$6,1,IF(Settings!$B$23="USD",1/INDEX(Settings!$B$29:$B$40,MONTH(A308)),INDEX(Settings!$B$29:$B$40,MONTH(A308)))))</f>
        <v/>
      </c>
    </row>
    <row r="309" customFormat="false" ht="15" hidden="false" customHeight="false" outlineLevel="0" collapsed="false">
      <c r="H309" s="0" t="str">
        <f aca="false">IF(B309="","",IF(COUNTIF(Campaigns!$A$7:$A$300,B309)&gt;0,"✓","⚠ add to Campaigns tab"))</f>
        <v/>
      </c>
      <c r="I309" s="84" t="str">
        <f aca="false">IF(C309="","",C309*IF(Settings!$B$23=Settings!$C$6,1,IF(Settings!$B$23="USD",1/INDEX(Settings!$B$29:$B$40,MONTH(A309)),INDEX(Settings!$B$29:$B$40,MONTH(A309)))))</f>
        <v/>
      </c>
    </row>
    <row r="310" customFormat="false" ht="15" hidden="false" customHeight="false" outlineLevel="0" collapsed="false">
      <c r="H310" s="0" t="str">
        <f aca="false">IF(B310="","",IF(COUNTIF(Campaigns!$A$7:$A$300,B310)&gt;0,"✓","⚠ add to Campaigns tab"))</f>
        <v/>
      </c>
      <c r="I310" s="84" t="str">
        <f aca="false">IF(C310="","",C310*IF(Settings!$B$23=Settings!$C$6,1,IF(Settings!$B$23="USD",1/INDEX(Settings!$B$29:$B$40,MONTH(A310)),INDEX(Settings!$B$29:$B$40,MONTH(A310)))))</f>
        <v/>
      </c>
    </row>
    <row r="311" customFormat="false" ht="15" hidden="false" customHeight="false" outlineLevel="0" collapsed="false">
      <c r="H311" s="0" t="str">
        <f aca="false">IF(B311="","",IF(COUNTIF(Campaigns!$A$7:$A$300,B311)&gt;0,"✓","⚠ add to Campaigns tab"))</f>
        <v/>
      </c>
      <c r="I311" s="84" t="str">
        <f aca="false">IF(C311="","",C311*IF(Settings!$B$23=Settings!$C$6,1,IF(Settings!$B$23="USD",1/INDEX(Settings!$B$29:$B$40,MONTH(A311)),INDEX(Settings!$B$29:$B$40,MONTH(A311)))))</f>
        <v/>
      </c>
    </row>
    <row r="312" customFormat="false" ht="15" hidden="false" customHeight="false" outlineLevel="0" collapsed="false">
      <c r="H312" s="0" t="str">
        <f aca="false">IF(B312="","",IF(COUNTIF(Campaigns!$A$7:$A$300,B312)&gt;0,"✓","⚠ add to Campaigns tab"))</f>
        <v/>
      </c>
      <c r="I312" s="84" t="str">
        <f aca="false">IF(C312="","",C312*IF(Settings!$B$23=Settings!$C$6,1,IF(Settings!$B$23="USD",1/INDEX(Settings!$B$29:$B$40,MONTH(A312)),INDEX(Settings!$B$29:$B$40,MONTH(A312)))))</f>
        <v/>
      </c>
    </row>
    <row r="313" customFormat="false" ht="15" hidden="false" customHeight="false" outlineLevel="0" collapsed="false">
      <c r="H313" s="0" t="str">
        <f aca="false">IF(B313="","",IF(COUNTIF(Campaigns!$A$7:$A$300,B313)&gt;0,"✓","⚠ add to Campaigns tab"))</f>
        <v/>
      </c>
      <c r="I313" s="84" t="str">
        <f aca="false">IF(C313="","",C313*IF(Settings!$B$23=Settings!$C$6,1,IF(Settings!$B$23="USD",1/INDEX(Settings!$B$29:$B$40,MONTH(A313)),INDEX(Settings!$B$29:$B$40,MONTH(A313)))))</f>
        <v/>
      </c>
    </row>
    <row r="314" customFormat="false" ht="15" hidden="false" customHeight="false" outlineLevel="0" collapsed="false">
      <c r="H314" s="0" t="str">
        <f aca="false">IF(B314="","",IF(COUNTIF(Campaigns!$A$7:$A$300,B314)&gt;0,"✓","⚠ add to Campaigns tab"))</f>
        <v/>
      </c>
      <c r="I314" s="84" t="str">
        <f aca="false">IF(C314="","",C314*IF(Settings!$B$23=Settings!$C$6,1,IF(Settings!$B$23="USD",1/INDEX(Settings!$B$29:$B$40,MONTH(A314)),INDEX(Settings!$B$29:$B$40,MONTH(A314)))))</f>
        <v/>
      </c>
    </row>
    <row r="315" customFormat="false" ht="15" hidden="false" customHeight="false" outlineLevel="0" collapsed="false">
      <c r="H315" s="0" t="str">
        <f aca="false">IF(B315="","",IF(COUNTIF(Campaigns!$A$7:$A$300,B315)&gt;0,"✓","⚠ add to Campaigns tab"))</f>
        <v/>
      </c>
      <c r="I315" s="84" t="str">
        <f aca="false">IF(C315="","",C315*IF(Settings!$B$23=Settings!$C$6,1,IF(Settings!$B$23="USD",1/INDEX(Settings!$B$29:$B$40,MONTH(A315)),INDEX(Settings!$B$29:$B$40,MONTH(A315)))))</f>
        <v/>
      </c>
    </row>
    <row r="316" customFormat="false" ht="15" hidden="false" customHeight="false" outlineLevel="0" collapsed="false">
      <c r="H316" s="0" t="str">
        <f aca="false">IF(B316="","",IF(COUNTIF(Campaigns!$A$7:$A$300,B316)&gt;0,"✓","⚠ add to Campaigns tab"))</f>
        <v/>
      </c>
      <c r="I316" s="84" t="str">
        <f aca="false">IF(C316="","",C316*IF(Settings!$B$23=Settings!$C$6,1,IF(Settings!$B$23="USD",1/INDEX(Settings!$B$29:$B$40,MONTH(A316)),INDEX(Settings!$B$29:$B$40,MONTH(A316)))))</f>
        <v/>
      </c>
    </row>
    <row r="317" customFormat="false" ht="15" hidden="false" customHeight="false" outlineLevel="0" collapsed="false">
      <c r="H317" s="0" t="str">
        <f aca="false">IF(B317="","",IF(COUNTIF(Campaigns!$A$7:$A$300,B317)&gt;0,"✓","⚠ add to Campaigns tab"))</f>
        <v/>
      </c>
      <c r="I317" s="84" t="str">
        <f aca="false">IF(C317="","",C317*IF(Settings!$B$23=Settings!$C$6,1,IF(Settings!$B$23="USD",1/INDEX(Settings!$B$29:$B$40,MONTH(A317)),INDEX(Settings!$B$29:$B$40,MONTH(A317)))))</f>
        <v/>
      </c>
    </row>
    <row r="318" customFormat="false" ht="15" hidden="false" customHeight="false" outlineLevel="0" collapsed="false">
      <c r="H318" s="0" t="str">
        <f aca="false">IF(B318="","",IF(COUNTIF(Campaigns!$A$7:$A$300,B318)&gt;0,"✓","⚠ add to Campaigns tab"))</f>
        <v/>
      </c>
      <c r="I318" s="84" t="str">
        <f aca="false">IF(C318="","",C318*IF(Settings!$B$23=Settings!$C$6,1,IF(Settings!$B$23="USD",1/INDEX(Settings!$B$29:$B$40,MONTH(A318)),INDEX(Settings!$B$29:$B$40,MONTH(A318)))))</f>
        <v/>
      </c>
    </row>
    <row r="319" customFormat="false" ht="15" hidden="false" customHeight="false" outlineLevel="0" collapsed="false">
      <c r="H319" s="0" t="str">
        <f aca="false">IF(B319="","",IF(COUNTIF(Campaigns!$A$7:$A$300,B319)&gt;0,"✓","⚠ add to Campaigns tab"))</f>
        <v/>
      </c>
      <c r="I319" s="84" t="str">
        <f aca="false">IF(C319="","",C319*IF(Settings!$B$23=Settings!$C$6,1,IF(Settings!$B$23="USD",1/INDEX(Settings!$B$29:$B$40,MONTH(A319)),INDEX(Settings!$B$29:$B$40,MONTH(A319)))))</f>
        <v/>
      </c>
    </row>
    <row r="320" customFormat="false" ht="15" hidden="false" customHeight="false" outlineLevel="0" collapsed="false">
      <c r="H320" s="0" t="str">
        <f aca="false">IF(B320="","",IF(COUNTIF(Campaigns!$A$7:$A$300,B320)&gt;0,"✓","⚠ add to Campaigns tab"))</f>
        <v/>
      </c>
      <c r="I320" s="84" t="str">
        <f aca="false">IF(C320="","",C320*IF(Settings!$B$23=Settings!$C$6,1,IF(Settings!$B$23="USD",1/INDEX(Settings!$B$29:$B$40,MONTH(A320)),INDEX(Settings!$B$29:$B$40,MONTH(A320)))))</f>
        <v/>
      </c>
    </row>
    <row r="321" customFormat="false" ht="15" hidden="false" customHeight="false" outlineLevel="0" collapsed="false">
      <c r="H321" s="0" t="str">
        <f aca="false">IF(B321="","",IF(COUNTIF(Campaigns!$A$7:$A$300,B321)&gt;0,"✓","⚠ add to Campaigns tab"))</f>
        <v/>
      </c>
      <c r="I321" s="84" t="str">
        <f aca="false">IF(C321="","",C321*IF(Settings!$B$23=Settings!$C$6,1,IF(Settings!$B$23="USD",1/INDEX(Settings!$B$29:$B$40,MONTH(A321)),INDEX(Settings!$B$29:$B$40,MONTH(A321)))))</f>
        <v/>
      </c>
    </row>
    <row r="322" customFormat="false" ht="15" hidden="false" customHeight="false" outlineLevel="0" collapsed="false">
      <c r="H322" s="0" t="str">
        <f aca="false">IF(B322="","",IF(COUNTIF(Campaigns!$A$7:$A$300,B322)&gt;0,"✓","⚠ add to Campaigns tab"))</f>
        <v/>
      </c>
      <c r="I322" s="84" t="str">
        <f aca="false">IF(C322="","",C322*IF(Settings!$B$23=Settings!$C$6,1,IF(Settings!$B$23="USD",1/INDEX(Settings!$B$29:$B$40,MONTH(A322)),INDEX(Settings!$B$29:$B$40,MONTH(A322)))))</f>
        <v/>
      </c>
    </row>
    <row r="323" customFormat="false" ht="15" hidden="false" customHeight="false" outlineLevel="0" collapsed="false">
      <c r="H323" s="0" t="str">
        <f aca="false">IF(B323="","",IF(COUNTIF(Campaigns!$A$7:$A$300,B323)&gt;0,"✓","⚠ add to Campaigns tab"))</f>
        <v/>
      </c>
      <c r="I323" s="84" t="str">
        <f aca="false">IF(C323="","",C323*IF(Settings!$B$23=Settings!$C$6,1,IF(Settings!$B$23="USD",1/INDEX(Settings!$B$29:$B$40,MONTH(A323)),INDEX(Settings!$B$29:$B$40,MONTH(A323)))))</f>
        <v/>
      </c>
    </row>
    <row r="324" customFormat="false" ht="15" hidden="false" customHeight="false" outlineLevel="0" collapsed="false">
      <c r="H324" s="0" t="str">
        <f aca="false">IF(B324="","",IF(COUNTIF(Campaigns!$A$7:$A$300,B324)&gt;0,"✓","⚠ add to Campaigns tab"))</f>
        <v/>
      </c>
      <c r="I324" s="84" t="str">
        <f aca="false">IF(C324="","",C324*IF(Settings!$B$23=Settings!$C$6,1,IF(Settings!$B$23="USD",1/INDEX(Settings!$B$29:$B$40,MONTH(A324)),INDEX(Settings!$B$29:$B$40,MONTH(A324)))))</f>
        <v/>
      </c>
    </row>
    <row r="325" customFormat="false" ht="15" hidden="false" customHeight="false" outlineLevel="0" collapsed="false">
      <c r="H325" s="0" t="str">
        <f aca="false">IF(B325="","",IF(COUNTIF(Campaigns!$A$7:$A$300,B325)&gt;0,"✓","⚠ add to Campaigns tab"))</f>
        <v/>
      </c>
      <c r="I325" s="84" t="str">
        <f aca="false">IF(C325="","",C325*IF(Settings!$B$23=Settings!$C$6,1,IF(Settings!$B$23="USD",1/INDEX(Settings!$B$29:$B$40,MONTH(A325)),INDEX(Settings!$B$29:$B$40,MONTH(A325)))))</f>
        <v/>
      </c>
    </row>
    <row r="326" customFormat="false" ht="15" hidden="false" customHeight="false" outlineLevel="0" collapsed="false">
      <c r="H326" s="0" t="str">
        <f aca="false">IF(B326="","",IF(COUNTIF(Campaigns!$A$7:$A$300,B326)&gt;0,"✓","⚠ add to Campaigns tab"))</f>
        <v/>
      </c>
      <c r="I326" s="84" t="str">
        <f aca="false">IF(C326="","",C326*IF(Settings!$B$23=Settings!$C$6,1,IF(Settings!$B$23="USD",1/INDEX(Settings!$B$29:$B$40,MONTH(A326)),INDEX(Settings!$B$29:$B$40,MONTH(A326)))))</f>
        <v/>
      </c>
    </row>
    <row r="327" customFormat="false" ht="15" hidden="false" customHeight="false" outlineLevel="0" collapsed="false">
      <c r="H327" s="0" t="str">
        <f aca="false">IF(B327="","",IF(COUNTIF(Campaigns!$A$7:$A$300,B327)&gt;0,"✓","⚠ add to Campaigns tab"))</f>
        <v/>
      </c>
      <c r="I327" s="84" t="str">
        <f aca="false">IF(C327="","",C327*IF(Settings!$B$23=Settings!$C$6,1,IF(Settings!$B$23="USD",1/INDEX(Settings!$B$29:$B$40,MONTH(A327)),INDEX(Settings!$B$29:$B$40,MONTH(A327)))))</f>
        <v/>
      </c>
    </row>
    <row r="328" customFormat="false" ht="15" hidden="false" customHeight="false" outlineLevel="0" collapsed="false">
      <c r="H328" s="0" t="str">
        <f aca="false">IF(B328="","",IF(COUNTIF(Campaigns!$A$7:$A$300,B328)&gt;0,"✓","⚠ add to Campaigns tab"))</f>
        <v/>
      </c>
      <c r="I328" s="84" t="str">
        <f aca="false">IF(C328="","",C328*IF(Settings!$B$23=Settings!$C$6,1,IF(Settings!$B$23="USD",1/INDEX(Settings!$B$29:$B$40,MONTH(A328)),INDEX(Settings!$B$29:$B$40,MONTH(A328)))))</f>
        <v/>
      </c>
    </row>
    <row r="329" customFormat="false" ht="15" hidden="false" customHeight="false" outlineLevel="0" collapsed="false">
      <c r="H329" s="0" t="str">
        <f aca="false">IF(B329="","",IF(COUNTIF(Campaigns!$A$7:$A$300,B329)&gt;0,"✓","⚠ add to Campaigns tab"))</f>
        <v/>
      </c>
      <c r="I329" s="84" t="str">
        <f aca="false">IF(C329="","",C329*IF(Settings!$B$23=Settings!$C$6,1,IF(Settings!$B$23="USD",1/INDEX(Settings!$B$29:$B$40,MONTH(A329)),INDEX(Settings!$B$29:$B$40,MONTH(A329)))))</f>
        <v/>
      </c>
    </row>
    <row r="330" customFormat="false" ht="15" hidden="false" customHeight="false" outlineLevel="0" collapsed="false">
      <c r="H330" s="0" t="str">
        <f aca="false">IF(B330="","",IF(COUNTIF(Campaigns!$A$7:$A$300,B330)&gt;0,"✓","⚠ add to Campaigns tab"))</f>
        <v/>
      </c>
      <c r="I330" s="84" t="str">
        <f aca="false">IF(C330="","",C330*IF(Settings!$B$23=Settings!$C$6,1,IF(Settings!$B$23="USD",1/INDEX(Settings!$B$29:$B$40,MONTH(A330)),INDEX(Settings!$B$29:$B$40,MONTH(A330)))))</f>
        <v/>
      </c>
    </row>
    <row r="331" customFormat="false" ht="15" hidden="false" customHeight="false" outlineLevel="0" collapsed="false">
      <c r="H331" s="0" t="str">
        <f aca="false">IF(B331="","",IF(COUNTIF(Campaigns!$A$7:$A$300,B331)&gt;0,"✓","⚠ add to Campaigns tab"))</f>
        <v/>
      </c>
      <c r="I331" s="84" t="str">
        <f aca="false">IF(C331="","",C331*IF(Settings!$B$23=Settings!$C$6,1,IF(Settings!$B$23="USD",1/INDEX(Settings!$B$29:$B$40,MONTH(A331)),INDEX(Settings!$B$29:$B$40,MONTH(A331)))))</f>
        <v/>
      </c>
    </row>
    <row r="332" customFormat="false" ht="15" hidden="false" customHeight="false" outlineLevel="0" collapsed="false">
      <c r="H332" s="0" t="str">
        <f aca="false">IF(B332="","",IF(COUNTIF(Campaigns!$A$7:$A$300,B332)&gt;0,"✓","⚠ add to Campaigns tab"))</f>
        <v/>
      </c>
      <c r="I332" s="84" t="str">
        <f aca="false">IF(C332="","",C332*IF(Settings!$B$23=Settings!$C$6,1,IF(Settings!$B$23="USD",1/INDEX(Settings!$B$29:$B$40,MONTH(A332)),INDEX(Settings!$B$29:$B$40,MONTH(A332)))))</f>
        <v/>
      </c>
    </row>
    <row r="333" customFormat="false" ht="15" hidden="false" customHeight="false" outlineLevel="0" collapsed="false">
      <c r="H333" s="0" t="str">
        <f aca="false">IF(B333="","",IF(COUNTIF(Campaigns!$A$7:$A$300,B333)&gt;0,"✓","⚠ add to Campaigns tab"))</f>
        <v/>
      </c>
      <c r="I333" s="84" t="str">
        <f aca="false">IF(C333="","",C333*IF(Settings!$B$23=Settings!$C$6,1,IF(Settings!$B$23="USD",1/INDEX(Settings!$B$29:$B$40,MONTH(A333)),INDEX(Settings!$B$29:$B$40,MONTH(A333)))))</f>
        <v/>
      </c>
    </row>
    <row r="334" customFormat="false" ht="15" hidden="false" customHeight="false" outlineLevel="0" collapsed="false">
      <c r="H334" s="0" t="str">
        <f aca="false">IF(B334="","",IF(COUNTIF(Campaigns!$A$7:$A$300,B334)&gt;0,"✓","⚠ add to Campaigns tab"))</f>
        <v/>
      </c>
      <c r="I334" s="84" t="str">
        <f aca="false">IF(C334="","",C334*IF(Settings!$B$23=Settings!$C$6,1,IF(Settings!$B$23="USD",1/INDEX(Settings!$B$29:$B$40,MONTH(A334)),INDEX(Settings!$B$29:$B$40,MONTH(A334)))))</f>
        <v/>
      </c>
    </row>
    <row r="335" customFormat="false" ht="15" hidden="false" customHeight="false" outlineLevel="0" collapsed="false">
      <c r="H335" s="0" t="str">
        <f aca="false">IF(B335="","",IF(COUNTIF(Campaigns!$A$7:$A$300,B335)&gt;0,"✓","⚠ add to Campaigns tab"))</f>
        <v/>
      </c>
      <c r="I335" s="84" t="str">
        <f aca="false">IF(C335="","",C335*IF(Settings!$B$23=Settings!$C$6,1,IF(Settings!$B$23="USD",1/INDEX(Settings!$B$29:$B$40,MONTH(A335)),INDEX(Settings!$B$29:$B$40,MONTH(A335)))))</f>
        <v/>
      </c>
    </row>
    <row r="336" customFormat="false" ht="15" hidden="false" customHeight="false" outlineLevel="0" collapsed="false">
      <c r="H336" s="0" t="str">
        <f aca="false">IF(B336="","",IF(COUNTIF(Campaigns!$A$7:$A$300,B336)&gt;0,"✓","⚠ add to Campaigns tab"))</f>
        <v/>
      </c>
      <c r="I336" s="84" t="str">
        <f aca="false">IF(C336="","",C336*IF(Settings!$B$23=Settings!$C$6,1,IF(Settings!$B$23="USD",1/INDEX(Settings!$B$29:$B$40,MONTH(A336)),INDEX(Settings!$B$29:$B$40,MONTH(A336)))))</f>
        <v/>
      </c>
    </row>
    <row r="337" customFormat="false" ht="15" hidden="false" customHeight="false" outlineLevel="0" collapsed="false">
      <c r="H337" s="0" t="str">
        <f aca="false">IF(B337="","",IF(COUNTIF(Campaigns!$A$7:$A$300,B337)&gt;0,"✓","⚠ add to Campaigns tab"))</f>
        <v/>
      </c>
      <c r="I337" s="84" t="str">
        <f aca="false">IF(C337="","",C337*IF(Settings!$B$23=Settings!$C$6,1,IF(Settings!$B$23="USD",1/INDEX(Settings!$B$29:$B$40,MONTH(A337)),INDEX(Settings!$B$29:$B$40,MONTH(A337)))))</f>
        <v/>
      </c>
    </row>
    <row r="338" customFormat="false" ht="15" hidden="false" customHeight="false" outlineLevel="0" collapsed="false">
      <c r="H338" s="0" t="str">
        <f aca="false">IF(B338="","",IF(COUNTIF(Campaigns!$A$7:$A$300,B338)&gt;0,"✓","⚠ add to Campaigns tab"))</f>
        <v/>
      </c>
      <c r="I338" s="84" t="str">
        <f aca="false">IF(C338="","",C338*IF(Settings!$B$23=Settings!$C$6,1,IF(Settings!$B$23="USD",1/INDEX(Settings!$B$29:$B$40,MONTH(A338)),INDEX(Settings!$B$29:$B$40,MONTH(A338)))))</f>
        <v/>
      </c>
    </row>
    <row r="339" customFormat="false" ht="15" hidden="false" customHeight="false" outlineLevel="0" collapsed="false">
      <c r="H339" s="0" t="str">
        <f aca="false">IF(B339="","",IF(COUNTIF(Campaigns!$A$7:$A$300,B339)&gt;0,"✓","⚠ add to Campaigns tab"))</f>
        <v/>
      </c>
      <c r="I339" s="84" t="str">
        <f aca="false">IF(C339="","",C339*IF(Settings!$B$23=Settings!$C$6,1,IF(Settings!$B$23="USD",1/INDEX(Settings!$B$29:$B$40,MONTH(A339)),INDEX(Settings!$B$29:$B$40,MONTH(A339)))))</f>
        <v/>
      </c>
    </row>
    <row r="340" customFormat="false" ht="15" hidden="false" customHeight="false" outlineLevel="0" collapsed="false">
      <c r="H340" s="0" t="str">
        <f aca="false">IF(B340="","",IF(COUNTIF(Campaigns!$A$7:$A$300,B340)&gt;0,"✓","⚠ add to Campaigns tab"))</f>
        <v/>
      </c>
      <c r="I340" s="84" t="str">
        <f aca="false">IF(C340="","",C340*IF(Settings!$B$23=Settings!$C$6,1,IF(Settings!$B$23="USD",1/INDEX(Settings!$B$29:$B$40,MONTH(A340)),INDEX(Settings!$B$29:$B$40,MONTH(A340)))))</f>
        <v/>
      </c>
    </row>
    <row r="341" customFormat="false" ht="15" hidden="false" customHeight="false" outlineLevel="0" collapsed="false">
      <c r="H341" s="0" t="str">
        <f aca="false">IF(B341="","",IF(COUNTIF(Campaigns!$A$7:$A$300,B341)&gt;0,"✓","⚠ add to Campaigns tab"))</f>
        <v/>
      </c>
      <c r="I341" s="84" t="str">
        <f aca="false">IF(C341="","",C341*IF(Settings!$B$23=Settings!$C$6,1,IF(Settings!$B$23="USD",1/INDEX(Settings!$B$29:$B$40,MONTH(A341)),INDEX(Settings!$B$29:$B$40,MONTH(A341)))))</f>
        <v/>
      </c>
    </row>
    <row r="342" customFormat="false" ht="15" hidden="false" customHeight="false" outlineLevel="0" collapsed="false">
      <c r="H342" s="0" t="str">
        <f aca="false">IF(B342="","",IF(COUNTIF(Campaigns!$A$7:$A$300,B342)&gt;0,"✓","⚠ add to Campaigns tab"))</f>
        <v/>
      </c>
      <c r="I342" s="84" t="str">
        <f aca="false">IF(C342="","",C342*IF(Settings!$B$23=Settings!$C$6,1,IF(Settings!$B$23="USD",1/INDEX(Settings!$B$29:$B$40,MONTH(A342)),INDEX(Settings!$B$29:$B$40,MONTH(A342)))))</f>
        <v/>
      </c>
    </row>
    <row r="343" customFormat="false" ht="15" hidden="false" customHeight="false" outlineLevel="0" collapsed="false">
      <c r="H343" s="0" t="str">
        <f aca="false">IF(B343="","",IF(COUNTIF(Campaigns!$A$7:$A$300,B343)&gt;0,"✓","⚠ add to Campaigns tab"))</f>
        <v/>
      </c>
      <c r="I343" s="84" t="str">
        <f aca="false">IF(C343="","",C343*IF(Settings!$B$23=Settings!$C$6,1,IF(Settings!$B$23="USD",1/INDEX(Settings!$B$29:$B$40,MONTH(A343)),INDEX(Settings!$B$29:$B$40,MONTH(A343)))))</f>
        <v/>
      </c>
    </row>
    <row r="344" customFormat="false" ht="15" hidden="false" customHeight="false" outlineLevel="0" collapsed="false">
      <c r="H344" s="0" t="str">
        <f aca="false">IF(B344="","",IF(COUNTIF(Campaigns!$A$7:$A$300,B344)&gt;0,"✓","⚠ add to Campaigns tab"))</f>
        <v/>
      </c>
      <c r="I344" s="84" t="str">
        <f aca="false">IF(C344="","",C344*IF(Settings!$B$23=Settings!$C$6,1,IF(Settings!$B$23="USD",1/INDEX(Settings!$B$29:$B$40,MONTH(A344)),INDEX(Settings!$B$29:$B$40,MONTH(A344)))))</f>
        <v/>
      </c>
    </row>
    <row r="345" customFormat="false" ht="15" hidden="false" customHeight="false" outlineLevel="0" collapsed="false">
      <c r="H345" s="0" t="str">
        <f aca="false">IF(B345="","",IF(COUNTIF(Campaigns!$A$7:$A$300,B345)&gt;0,"✓","⚠ add to Campaigns tab"))</f>
        <v/>
      </c>
      <c r="I345" s="84" t="str">
        <f aca="false">IF(C345="","",C345*IF(Settings!$B$23=Settings!$C$6,1,IF(Settings!$B$23="USD",1/INDEX(Settings!$B$29:$B$40,MONTH(A345)),INDEX(Settings!$B$29:$B$40,MONTH(A345)))))</f>
        <v/>
      </c>
    </row>
    <row r="346" customFormat="false" ht="15" hidden="false" customHeight="false" outlineLevel="0" collapsed="false">
      <c r="H346" s="0" t="str">
        <f aca="false">IF(B346="","",IF(COUNTIF(Campaigns!$A$7:$A$300,B346)&gt;0,"✓","⚠ add to Campaigns tab"))</f>
        <v/>
      </c>
      <c r="I346" s="84" t="str">
        <f aca="false">IF(C346="","",C346*IF(Settings!$B$23=Settings!$C$6,1,IF(Settings!$B$23="USD",1/INDEX(Settings!$B$29:$B$40,MONTH(A346)),INDEX(Settings!$B$29:$B$40,MONTH(A346)))))</f>
        <v/>
      </c>
    </row>
    <row r="347" customFormat="false" ht="15" hidden="false" customHeight="false" outlineLevel="0" collapsed="false">
      <c r="H347" s="0" t="str">
        <f aca="false">IF(B347="","",IF(COUNTIF(Campaigns!$A$7:$A$300,B347)&gt;0,"✓","⚠ add to Campaigns tab"))</f>
        <v/>
      </c>
      <c r="I347" s="84" t="str">
        <f aca="false">IF(C347="","",C347*IF(Settings!$B$23=Settings!$C$6,1,IF(Settings!$B$23="USD",1/INDEX(Settings!$B$29:$B$40,MONTH(A347)),INDEX(Settings!$B$29:$B$40,MONTH(A347)))))</f>
        <v/>
      </c>
    </row>
    <row r="348" customFormat="false" ht="15" hidden="false" customHeight="false" outlineLevel="0" collapsed="false">
      <c r="H348" s="0" t="str">
        <f aca="false">IF(B348="","",IF(COUNTIF(Campaigns!$A$7:$A$300,B348)&gt;0,"✓","⚠ add to Campaigns tab"))</f>
        <v/>
      </c>
      <c r="I348" s="84" t="str">
        <f aca="false">IF(C348="","",C348*IF(Settings!$B$23=Settings!$C$6,1,IF(Settings!$B$23="USD",1/INDEX(Settings!$B$29:$B$40,MONTH(A348)),INDEX(Settings!$B$29:$B$40,MONTH(A348)))))</f>
        <v/>
      </c>
    </row>
    <row r="349" customFormat="false" ht="15" hidden="false" customHeight="false" outlineLevel="0" collapsed="false">
      <c r="H349" s="0" t="str">
        <f aca="false">IF(B349="","",IF(COUNTIF(Campaigns!$A$7:$A$300,B349)&gt;0,"✓","⚠ add to Campaigns tab"))</f>
        <v/>
      </c>
      <c r="I349" s="84" t="str">
        <f aca="false">IF(C349="","",C349*IF(Settings!$B$23=Settings!$C$6,1,IF(Settings!$B$23="USD",1/INDEX(Settings!$B$29:$B$40,MONTH(A349)),INDEX(Settings!$B$29:$B$40,MONTH(A349)))))</f>
        <v/>
      </c>
    </row>
    <row r="350" customFormat="false" ht="15" hidden="false" customHeight="false" outlineLevel="0" collapsed="false">
      <c r="H350" s="0" t="str">
        <f aca="false">IF(B350="","",IF(COUNTIF(Campaigns!$A$7:$A$300,B350)&gt;0,"✓","⚠ add to Campaigns tab"))</f>
        <v/>
      </c>
      <c r="I350" s="84" t="str">
        <f aca="false">IF(C350="","",C350*IF(Settings!$B$23=Settings!$C$6,1,IF(Settings!$B$23="USD",1/INDEX(Settings!$B$29:$B$40,MONTH(A350)),INDEX(Settings!$B$29:$B$40,MONTH(A350)))))</f>
        <v/>
      </c>
    </row>
    <row r="351" customFormat="false" ht="15" hidden="false" customHeight="false" outlineLevel="0" collapsed="false">
      <c r="H351" s="0" t="str">
        <f aca="false">IF(B351="","",IF(COUNTIF(Campaigns!$A$7:$A$300,B351)&gt;0,"✓","⚠ add to Campaigns tab"))</f>
        <v/>
      </c>
      <c r="I351" s="84" t="str">
        <f aca="false">IF(C351="","",C351*IF(Settings!$B$23=Settings!$C$6,1,IF(Settings!$B$23="USD",1/INDEX(Settings!$B$29:$B$40,MONTH(A351)),INDEX(Settings!$B$29:$B$40,MONTH(A351)))))</f>
        <v/>
      </c>
    </row>
    <row r="352" customFormat="false" ht="15" hidden="false" customHeight="false" outlineLevel="0" collapsed="false">
      <c r="H352" s="0" t="str">
        <f aca="false">IF(B352="","",IF(COUNTIF(Campaigns!$A$7:$A$300,B352)&gt;0,"✓","⚠ add to Campaigns tab"))</f>
        <v/>
      </c>
      <c r="I352" s="84" t="str">
        <f aca="false">IF(C352="","",C352*IF(Settings!$B$23=Settings!$C$6,1,IF(Settings!$B$23="USD",1/INDEX(Settings!$B$29:$B$40,MONTH(A352)),INDEX(Settings!$B$29:$B$40,MONTH(A352)))))</f>
        <v/>
      </c>
    </row>
    <row r="353" customFormat="false" ht="15" hidden="false" customHeight="false" outlineLevel="0" collapsed="false">
      <c r="H353" s="0" t="str">
        <f aca="false">IF(B353="","",IF(COUNTIF(Campaigns!$A$7:$A$300,B353)&gt;0,"✓","⚠ add to Campaigns tab"))</f>
        <v/>
      </c>
      <c r="I353" s="84" t="str">
        <f aca="false">IF(C353="","",C353*IF(Settings!$B$23=Settings!$C$6,1,IF(Settings!$B$23="USD",1/INDEX(Settings!$B$29:$B$40,MONTH(A353)),INDEX(Settings!$B$29:$B$40,MONTH(A353)))))</f>
        <v/>
      </c>
    </row>
    <row r="354" customFormat="false" ht="15" hidden="false" customHeight="false" outlineLevel="0" collapsed="false">
      <c r="H354" s="0" t="str">
        <f aca="false">IF(B354="","",IF(COUNTIF(Campaigns!$A$7:$A$300,B354)&gt;0,"✓","⚠ add to Campaigns tab"))</f>
        <v/>
      </c>
      <c r="I354" s="84" t="str">
        <f aca="false">IF(C354="","",C354*IF(Settings!$B$23=Settings!$C$6,1,IF(Settings!$B$23="USD",1/INDEX(Settings!$B$29:$B$40,MONTH(A354)),INDEX(Settings!$B$29:$B$40,MONTH(A354)))))</f>
        <v/>
      </c>
    </row>
    <row r="355" customFormat="false" ht="15" hidden="false" customHeight="false" outlineLevel="0" collapsed="false">
      <c r="H355" s="0" t="str">
        <f aca="false">IF(B355="","",IF(COUNTIF(Campaigns!$A$7:$A$300,B355)&gt;0,"✓","⚠ add to Campaigns tab"))</f>
        <v/>
      </c>
      <c r="I355" s="84" t="str">
        <f aca="false">IF(C355="","",C355*IF(Settings!$B$23=Settings!$C$6,1,IF(Settings!$B$23="USD",1/INDEX(Settings!$B$29:$B$40,MONTH(A355)),INDEX(Settings!$B$29:$B$40,MONTH(A355)))))</f>
        <v/>
      </c>
    </row>
    <row r="356" customFormat="false" ht="15" hidden="false" customHeight="false" outlineLevel="0" collapsed="false">
      <c r="H356" s="0" t="str">
        <f aca="false">IF(B356="","",IF(COUNTIF(Campaigns!$A$7:$A$300,B356)&gt;0,"✓","⚠ add to Campaigns tab"))</f>
        <v/>
      </c>
      <c r="I356" s="84" t="str">
        <f aca="false">IF(C356="","",C356*IF(Settings!$B$23=Settings!$C$6,1,IF(Settings!$B$23="USD",1/INDEX(Settings!$B$29:$B$40,MONTH(A356)),INDEX(Settings!$B$29:$B$40,MONTH(A356)))))</f>
        <v/>
      </c>
    </row>
    <row r="357" customFormat="false" ht="15" hidden="false" customHeight="false" outlineLevel="0" collapsed="false">
      <c r="H357" s="0" t="str">
        <f aca="false">IF(B357="","",IF(COUNTIF(Campaigns!$A$7:$A$300,B357)&gt;0,"✓","⚠ add to Campaigns tab"))</f>
        <v/>
      </c>
      <c r="I357" s="84" t="str">
        <f aca="false">IF(C357="","",C357*IF(Settings!$B$23=Settings!$C$6,1,IF(Settings!$B$23="USD",1/INDEX(Settings!$B$29:$B$40,MONTH(A357)),INDEX(Settings!$B$29:$B$40,MONTH(A357)))))</f>
        <v/>
      </c>
    </row>
    <row r="358" customFormat="false" ht="15" hidden="false" customHeight="false" outlineLevel="0" collapsed="false">
      <c r="H358" s="0" t="str">
        <f aca="false">IF(B358="","",IF(COUNTIF(Campaigns!$A$7:$A$300,B358)&gt;0,"✓","⚠ add to Campaigns tab"))</f>
        <v/>
      </c>
      <c r="I358" s="84" t="str">
        <f aca="false">IF(C358="","",C358*IF(Settings!$B$23=Settings!$C$6,1,IF(Settings!$B$23="USD",1/INDEX(Settings!$B$29:$B$40,MONTH(A358)),INDEX(Settings!$B$29:$B$40,MONTH(A358)))))</f>
        <v/>
      </c>
    </row>
    <row r="359" customFormat="false" ht="15" hidden="false" customHeight="false" outlineLevel="0" collapsed="false">
      <c r="H359" s="0" t="str">
        <f aca="false">IF(B359="","",IF(COUNTIF(Campaigns!$A$7:$A$300,B359)&gt;0,"✓","⚠ add to Campaigns tab"))</f>
        <v/>
      </c>
      <c r="I359" s="84" t="str">
        <f aca="false">IF(C359="","",C359*IF(Settings!$B$23=Settings!$C$6,1,IF(Settings!$B$23="USD",1/INDEX(Settings!$B$29:$B$40,MONTH(A359)),INDEX(Settings!$B$29:$B$40,MONTH(A359)))))</f>
        <v/>
      </c>
    </row>
    <row r="360" customFormat="false" ht="15" hidden="false" customHeight="false" outlineLevel="0" collapsed="false">
      <c r="H360" s="0" t="str">
        <f aca="false">IF(B360="","",IF(COUNTIF(Campaigns!$A$7:$A$300,B360)&gt;0,"✓","⚠ add to Campaigns tab"))</f>
        <v/>
      </c>
      <c r="I360" s="84" t="str">
        <f aca="false">IF(C360="","",C360*IF(Settings!$B$23=Settings!$C$6,1,IF(Settings!$B$23="USD",1/INDEX(Settings!$B$29:$B$40,MONTH(A360)),INDEX(Settings!$B$29:$B$40,MONTH(A360)))))</f>
        <v/>
      </c>
    </row>
    <row r="361" customFormat="false" ht="15" hidden="false" customHeight="false" outlineLevel="0" collapsed="false">
      <c r="H361" s="0" t="str">
        <f aca="false">IF(B361="","",IF(COUNTIF(Campaigns!$A$7:$A$300,B361)&gt;0,"✓","⚠ add to Campaigns tab"))</f>
        <v/>
      </c>
      <c r="I361" s="84" t="str">
        <f aca="false">IF(C361="","",C361*IF(Settings!$B$23=Settings!$C$6,1,IF(Settings!$B$23="USD",1/INDEX(Settings!$B$29:$B$40,MONTH(A361)),INDEX(Settings!$B$29:$B$40,MONTH(A361)))))</f>
        <v/>
      </c>
    </row>
    <row r="362" customFormat="false" ht="15" hidden="false" customHeight="false" outlineLevel="0" collapsed="false">
      <c r="H362" s="0" t="str">
        <f aca="false">IF(B362="","",IF(COUNTIF(Campaigns!$A$7:$A$300,B362)&gt;0,"✓","⚠ add to Campaigns tab"))</f>
        <v/>
      </c>
      <c r="I362" s="84" t="str">
        <f aca="false">IF(C362="","",C362*IF(Settings!$B$23=Settings!$C$6,1,IF(Settings!$B$23="USD",1/INDEX(Settings!$B$29:$B$40,MONTH(A362)),INDEX(Settings!$B$29:$B$40,MONTH(A362)))))</f>
        <v/>
      </c>
    </row>
    <row r="363" customFormat="false" ht="15" hidden="false" customHeight="false" outlineLevel="0" collapsed="false">
      <c r="H363" s="0" t="str">
        <f aca="false">IF(B363="","",IF(COUNTIF(Campaigns!$A$7:$A$300,B363)&gt;0,"✓","⚠ add to Campaigns tab"))</f>
        <v/>
      </c>
      <c r="I363" s="84" t="str">
        <f aca="false">IF(C363="","",C363*IF(Settings!$B$23=Settings!$C$6,1,IF(Settings!$B$23="USD",1/INDEX(Settings!$B$29:$B$40,MONTH(A363)),INDEX(Settings!$B$29:$B$40,MONTH(A363)))))</f>
        <v/>
      </c>
    </row>
    <row r="364" customFormat="false" ht="15" hidden="false" customHeight="false" outlineLevel="0" collapsed="false">
      <c r="H364" s="0" t="str">
        <f aca="false">IF(B364="","",IF(COUNTIF(Campaigns!$A$7:$A$300,B364)&gt;0,"✓","⚠ add to Campaigns tab"))</f>
        <v/>
      </c>
      <c r="I364" s="84" t="str">
        <f aca="false">IF(C364="","",C364*IF(Settings!$B$23=Settings!$C$6,1,IF(Settings!$B$23="USD",1/INDEX(Settings!$B$29:$B$40,MONTH(A364)),INDEX(Settings!$B$29:$B$40,MONTH(A364)))))</f>
        <v/>
      </c>
    </row>
    <row r="365" customFormat="false" ht="15" hidden="false" customHeight="false" outlineLevel="0" collapsed="false">
      <c r="H365" s="0" t="str">
        <f aca="false">IF(B365="","",IF(COUNTIF(Campaigns!$A$7:$A$300,B365)&gt;0,"✓","⚠ add to Campaigns tab"))</f>
        <v/>
      </c>
      <c r="I365" s="84" t="str">
        <f aca="false">IF(C365="","",C365*IF(Settings!$B$23=Settings!$C$6,1,IF(Settings!$B$23="USD",1/INDEX(Settings!$B$29:$B$40,MONTH(A365)),INDEX(Settings!$B$29:$B$40,MONTH(A365)))))</f>
        <v/>
      </c>
    </row>
    <row r="366" customFormat="false" ht="15" hidden="false" customHeight="false" outlineLevel="0" collapsed="false">
      <c r="H366" s="0" t="str">
        <f aca="false">IF(B366="","",IF(COUNTIF(Campaigns!$A$7:$A$300,B366)&gt;0,"✓","⚠ add to Campaigns tab"))</f>
        <v/>
      </c>
      <c r="I366" s="84" t="str">
        <f aca="false">IF(C366="","",C366*IF(Settings!$B$23=Settings!$C$6,1,IF(Settings!$B$23="USD",1/INDEX(Settings!$B$29:$B$40,MONTH(A366)),INDEX(Settings!$B$29:$B$40,MONTH(A366)))))</f>
        <v/>
      </c>
    </row>
    <row r="367" customFormat="false" ht="15" hidden="false" customHeight="false" outlineLevel="0" collapsed="false">
      <c r="H367" s="0" t="str">
        <f aca="false">IF(B367="","",IF(COUNTIF(Campaigns!$A$7:$A$300,B367)&gt;0,"✓","⚠ add to Campaigns tab"))</f>
        <v/>
      </c>
      <c r="I367" s="84" t="str">
        <f aca="false">IF(C367="","",C367*IF(Settings!$B$23=Settings!$C$6,1,IF(Settings!$B$23="USD",1/INDEX(Settings!$B$29:$B$40,MONTH(A367)),INDEX(Settings!$B$29:$B$40,MONTH(A367)))))</f>
        <v/>
      </c>
    </row>
    <row r="368" customFormat="false" ht="15" hidden="false" customHeight="false" outlineLevel="0" collapsed="false">
      <c r="H368" s="0" t="str">
        <f aca="false">IF(B368="","",IF(COUNTIF(Campaigns!$A$7:$A$300,B368)&gt;0,"✓","⚠ add to Campaigns tab"))</f>
        <v/>
      </c>
      <c r="I368" s="84" t="str">
        <f aca="false">IF(C368="","",C368*IF(Settings!$B$23=Settings!$C$6,1,IF(Settings!$B$23="USD",1/INDEX(Settings!$B$29:$B$40,MONTH(A368)),INDEX(Settings!$B$29:$B$40,MONTH(A368)))))</f>
        <v/>
      </c>
    </row>
    <row r="369" customFormat="false" ht="15" hidden="false" customHeight="false" outlineLevel="0" collapsed="false">
      <c r="H369" s="0" t="str">
        <f aca="false">IF(B369="","",IF(COUNTIF(Campaigns!$A$7:$A$300,B369)&gt;0,"✓","⚠ add to Campaigns tab"))</f>
        <v/>
      </c>
      <c r="I369" s="84" t="str">
        <f aca="false">IF(C369="","",C369*IF(Settings!$B$23=Settings!$C$6,1,IF(Settings!$B$23="USD",1/INDEX(Settings!$B$29:$B$40,MONTH(A369)),INDEX(Settings!$B$29:$B$40,MONTH(A369)))))</f>
        <v/>
      </c>
    </row>
    <row r="370" customFormat="false" ht="15" hidden="false" customHeight="false" outlineLevel="0" collapsed="false">
      <c r="H370" s="0" t="str">
        <f aca="false">IF(B370="","",IF(COUNTIF(Campaigns!$A$7:$A$300,B370)&gt;0,"✓","⚠ add to Campaigns tab"))</f>
        <v/>
      </c>
      <c r="I370" s="84" t="str">
        <f aca="false">IF(C370="","",C370*IF(Settings!$B$23=Settings!$C$6,1,IF(Settings!$B$23="USD",1/INDEX(Settings!$B$29:$B$40,MONTH(A370)),INDEX(Settings!$B$29:$B$40,MONTH(A370)))))</f>
        <v/>
      </c>
    </row>
    <row r="371" customFormat="false" ht="15" hidden="false" customHeight="false" outlineLevel="0" collapsed="false">
      <c r="H371" s="0" t="str">
        <f aca="false">IF(B371="","",IF(COUNTIF(Campaigns!$A$7:$A$300,B371)&gt;0,"✓","⚠ add to Campaigns tab"))</f>
        <v/>
      </c>
      <c r="I371" s="84" t="str">
        <f aca="false">IF(C371="","",C371*IF(Settings!$B$23=Settings!$C$6,1,IF(Settings!$B$23="USD",1/INDEX(Settings!$B$29:$B$40,MONTH(A371)),INDEX(Settings!$B$29:$B$40,MONTH(A371)))))</f>
        <v/>
      </c>
    </row>
    <row r="372" customFormat="false" ht="15" hidden="false" customHeight="false" outlineLevel="0" collapsed="false">
      <c r="H372" s="0" t="str">
        <f aca="false">IF(B372="","",IF(COUNTIF(Campaigns!$A$7:$A$300,B372)&gt;0,"✓","⚠ add to Campaigns tab"))</f>
        <v/>
      </c>
      <c r="I372" s="84" t="str">
        <f aca="false">IF(C372="","",C372*IF(Settings!$B$23=Settings!$C$6,1,IF(Settings!$B$23="USD",1/INDEX(Settings!$B$29:$B$40,MONTH(A372)),INDEX(Settings!$B$29:$B$40,MONTH(A372)))))</f>
        <v/>
      </c>
    </row>
    <row r="373" customFormat="false" ht="15" hidden="false" customHeight="false" outlineLevel="0" collapsed="false">
      <c r="H373" s="0" t="str">
        <f aca="false">IF(B373="","",IF(COUNTIF(Campaigns!$A$7:$A$300,B373)&gt;0,"✓","⚠ add to Campaigns tab"))</f>
        <v/>
      </c>
      <c r="I373" s="84" t="str">
        <f aca="false">IF(C373="","",C373*IF(Settings!$B$23=Settings!$C$6,1,IF(Settings!$B$23="USD",1/INDEX(Settings!$B$29:$B$40,MONTH(A373)),INDEX(Settings!$B$29:$B$40,MONTH(A373)))))</f>
        <v/>
      </c>
    </row>
    <row r="374" customFormat="false" ht="15" hidden="false" customHeight="false" outlineLevel="0" collapsed="false">
      <c r="H374" s="0" t="str">
        <f aca="false">IF(B374="","",IF(COUNTIF(Campaigns!$A$7:$A$300,B374)&gt;0,"✓","⚠ add to Campaigns tab"))</f>
        <v/>
      </c>
      <c r="I374" s="84" t="str">
        <f aca="false">IF(C374="","",C374*IF(Settings!$B$23=Settings!$C$6,1,IF(Settings!$B$23="USD",1/INDEX(Settings!$B$29:$B$40,MONTH(A374)),INDEX(Settings!$B$29:$B$40,MONTH(A374)))))</f>
        <v/>
      </c>
    </row>
    <row r="375" customFormat="false" ht="15" hidden="false" customHeight="false" outlineLevel="0" collapsed="false">
      <c r="H375" s="0" t="str">
        <f aca="false">IF(B375="","",IF(COUNTIF(Campaigns!$A$7:$A$300,B375)&gt;0,"✓","⚠ add to Campaigns tab"))</f>
        <v/>
      </c>
      <c r="I375" s="84" t="str">
        <f aca="false">IF(C375="","",C375*IF(Settings!$B$23=Settings!$C$6,1,IF(Settings!$B$23="USD",1/INDEX(Settings!$B$29:$B$40,MONTH(A375)),INDEX(Settings!$B$29:$B$40,MONTH(A375)))))</f>
        <v/>
      </c>
    </row>
    <row r="376" customFormat="false" ht="15" hidden="false" customHeight="false" outlineLevel="0" collapsed="false">
      <c r="H376" s="0" t="str">
        <f aca="false">IF(B376="","",IF(COUNTIF(Campaigns!$A$7:$A$300,B376)&gt;0,"✓","⚠ add to Campaigns tab"))</f>
        <v/>
      </c>
      <c r="I376" s="84" t="str">
        <f aca="false">IF(C376="","",C376*IF(Settings!$B$23=Settings!$C$6,1,IF(Settings!$B$23="USD",1/INDEX(Settings!$B$29:$B$40,MONTH(A376)),INDEX(Settings!$B$29:$B$40,MONTH(A376)))))</f>
        <v/>
      </c>
    </row>
    <row r="377" customFormat="false" ht="15" hidden="false" customHeight="false" outlineLevel="0" collapsed="false">
      <c r="H377" s="0" t="str">
        <f aca="false">IF(B377="","",IF(COUNTIF(Campaigns!$A$7:$A$300,B377)&gt;0,"✓","⚠ add to Campaigns tab"))</f>
        <v/>
      </c>
      <c r="I377" s="84" t="str">
        <f aca="false">IF(C377="","",C377*IF(Settings!$B$23=Settings!$C$6,1,IF(Settings!$B$23="USD",1/INDEX(Settings!$B$29:$B$40,MONTH(A377)),INDEX(Settings!$B$29:$B$40,MONTH(A377)))))</f>
        <v/>
      </c>
    </row>
    <row r="378" customFormat="false" ht="15" hidden="false" customHeight="false" outlineLevel="0" collapsed="false">
      <c r="H378" s="0" t="str">
        <f aca="false">IF(B378="","",IF(COUNTIF(Campaigns!$A$7:$A$300,B378)&gt;0,"✓","⚠ add to Campaigns tab"))</f>
        <v/>
      </c>
      <c r="I378" s="84" t="str">
        <f aca="false">IF(C378="","",C378*IF(Settings!$B$23=Settings!$C$6,1,IF(Settings!$B$23="USD",1/INDEX(Settings!$B$29:$B$40,MONTH(A378)),INDEX(Settings!$B$29:$B$40,MONTH(A378)))))</f>
        <v/>
      </c>
    </row>
    <row r="379" customFormat="false" ht="15" hidden="false" customHeight="false" outlineLevel="0" collapsed="false">
      <c r="H379" s="0" t="str">
        <f aca="false">IF(B379="","",IF(COUNTIF(Campaigns!$A$7:$A$300,B379)&gt;0,"✓","⚠ add to Campaigns tab"))</f>
        <v/>
      </c>
      <c r="I379" s="84" t="str">
        <f aca="false">IF(C379="","",C379*IF(Settings!$B$23=Settings!$C$6,1,IF(Settings!$B$23="USD",1/INDEX(Settings!$B$29:$B$40,MONTH(A379)),INDEX(Settings!$B$29:$B$40,MONTH(A379)))))</f>
        <v/>
      </c>
    </row>
    <row r="380" customFormat="false" ht="15" hidden="false" customHeight="false" outlineLevel="0" collapsed="false">
      <c r="H380" s="0" t="str">
        <f aca="false">IF(B380="","",IF(COUNTIF(Campaigns!$A$7:$A$300,B380)&gt;0,"✓","⚠ add to Campaigns tab"))</f>
        <v/>
      </c>
      <c r="I380" s="84" t="str">
        <f aca="false">IF(C380="","",C380*IF(Settings!$B$23=Settings!$C$6,1,IF(Settings!$B$23="USD",1/INDEX(Settings!$B$29:$B$40,MONTH(A380)),INDEX(Settings!$B$29:$B$40,MONTH(A380)))))</f>
        <v/>
      </c>
    </row>
    <row r="381" customFormat="false" ht="15" hidden="false" customHeight="false" outlineLevel="0" collapsed="false">
      <c r="H381" s="0" t="str">
        <f aca="false">IF(B381="","",IF(COUNTIF(Campaigns!$A$7:$A$300,B381)&gt;0,"✓","⚠ add to Campaigns tab"))</f>
        <v/>
      </c>
      <c r="I381" s="84" t="str">
        <f aca="false">IF(C381="","",C381*IF(Settings!$B$23=Settings!$C$6,1,IF(Settings!$B$23="USD",1/INDEX(Settings!$B$29:$B$40,MONTH(A381)),INDEX(Settings!$B$29:$B$40,MONTH(A381)))))</f>
        <v/>
      </c>
    </row>
    <row r="382" customFormat="false" ht="15" hidden="false" customHeight="false" outlineLevel="0" collapsed="false">
      <c r="H382" s="0" t="str">
        <f aca="false">IF(B382="","",IF(COUNTIF(Campaigns!$A$7:$A$300,B382)&gt;0,"✓","⚠ add to Campaigns tab"))</f>
        <v/>
      </c>
      <c r="I382" s="84" t="str">
        <f aca="false">IF(C382="","",C382*IF(Settings!$B$23=Settings!$C$6,1,IF(Settings!$B$23="USD",1/INDEX(Settings!$B$29:$B$40,MONTH(A382)),INDEX(Settings!$B$29:$B$40,MONTH(A382)))))</f>
        <v/>
      </c>
    </row>
    <row r="383" customFormat="false" ht="15" hidden="false" customHeight="false" outlineLevel="0" collapsed="false">
      <c r="H383" s="0" t="str">
        <f aca="false">IF(B383="","",IF(COUNTIF(Campaigns!$A$7:$A$300,B383)&gt;0,"✓","⚠ add to Campaigns tab"))</f>
        <v/>
      </c>
      <c r="I383" s="84" t="str">
        <f aca="false">IF(C383="","",C383*IF(Settings!$B$23=Settings!$C$6,1,IF(Settings!$B$23="USD",1/INDEX(Settings!$B$29:$B$40,MONTH(A383)),INDEX(Settings!$B$29:$B$40,MONTH(A383)))))</f>
        <v/>
      </c>
    </row>
    <row r="384" customFormat="false" ht="15" hidden="false" customHeight="false" outlineLevel="0" collapsed="false">
      <c r="H384" s="0" t="str">
        <f aca="false">IF(B384="","",IF(COUNTIF(Campaigns!$A$7:$A$300,B384)&gt;0,"✓","⚠ add to Campaigns tab"))</f>
        <v/>
      </c>
      <c r="I384" s="84" t="str">
        <f aca="false">IF(C384="","",C384*IF(Settings!$B$23=Settings!$C$6,1,IF(Settings!$B$23="USD",1/INDEX(Settings!$B$29:$B$40,MONTH(A384)),INDEX(Settings!$B$29:$B$40,MONTH(A384)))))</f>
        <v/>
      </c>
    </row>
    <row r="385" customFormat="false" ht="15" hidden="false" customHeight="false" outlineLevel="0" collapsed="false">
      <c r="H385" s="0" t="str">
        <f aca="false">IF(B385="","",IF(COUNTIF(Campaigns!$A$7:$A$300,B385)&gt;0,"✓","⚠ add to Campaigns tab"))</f>
        <v/>
      </c>
      <c r="I385" s="84" t="str">
        <f aca="false">IF(C385="","",C385*IF(Settings!$B$23=Settings!$C$6,1,IF(Settings!$B$23="USD",1/INDEX(Settings!$B$29:$B$40,MONTH(A385)),INDEX(Settings!$B$29:$B$40,MONTH(A385)))))</f>
        <v/>
      </c>
    </row>
    <row r="386" customFormat="false" ht="15" hidden="false" customHeight="false" outlineLevel="0" collapsed="false">
      <c r="H386" s="0" t="str">
        <f aca="false">IF(B386="","",IF(COUNTIF(Campaigns!$A$7:$A$300,B386)&gt;0,"✓","⚠ add to Campaigns tab"))</f>
        <v/>
      </c>
      <c r="I386" s="84" t="str">
        <f aca="false">IF(C386="","",C386*IF(Settings!$B$23=Settings!$C$6,1,IF(Settings!$B$23="USD",1/INDEX(Settings!$B$29:$B$40,MONTH(A386)),INDEX(Settings!$B$29:$B$40,MONTH(A386)))))</f>
        <v/>
      </c>
    </row>
    <row r="387" customFormat="false" ht="15" hidden="false" customHeight="false" outlineLevel="0" collapsed="false">
      <c r="H387" s="0" t="str">
        <f aca="false">IF(B387="","",IF(COUNTIF(Campaigns!$A$7:$A$300,B387)&gt;0,"✓","⚠ add to Campaigns tab"))</f>
        <v/>
      </c>
      <c r="I387" s="84" t="str">
        <f aca="false">IF(C387="","",C387*IF(Settings!$B$23=Settings!$C$6,1,IF(Settings!$B$23="USD",1/INDEX(Settings!$B$29:$B$40,MONTH(A387)),INDEX(Settings!$B$29:$B$40,MONTH(A387)))))</f>
        <v/>
      </c>
    </row>
    <row r="388" customFormat="false" ht="15" hidden="false" customHeight="false" outlineLevel="0" collapsed="false">
      <c r="H388" s="0" t="str">
        <f aca="false">IF(B388="","",IF(COUNTIF(Campaigns!$A$7:$A$300,B388)&gt;0,"✓","⚠ add to Campaigns tab"))</f>
        <v/>
      </c>
      <c r="I388" s="84" t="str">
        <f aca="false">IF(C388="","",C388*IF(Settings!$B$23=Settings!$C$6,1,IF(Settings!$B$23="USD",1/INDEX(Settings!$B$29:$B$40,MONTH(A388)),INDEX(Settings!$B$29:$B$40,MONTH(A388)))))</f>
        <v/>
      </c>
    </row>
    <row r="389" customFormat="false" ht="15" hidden="false" customHeight="false" outlineLevel="0" collapsed="false">
      <c r="H389" s="0" t="str">
        <f aca="false">IF(B389="","",IF(COUNTIF(Campaigns!$A$7:$A$300,B389)&gt;0,"✓","⚠ add to Campaigns tab"))</f>
        <v/>
      </c>
      <c r="I389" s="84" t="str">
        <f aca="false">IF(C389="","",C389*IF(Settings!$B$23=Settings!$C$6,1,IF(Settings!$B$23="USD",1/INDEX(Settings!$B$29:$B$40,MONTH(A389)),INDEX(Settings!$B$29:$B$40,MONTH(A389)))))</f>
        <v/>
      </c>
    </row>
    <row r="390" customFormat="false" ht="15" hidden="false" customHeight="false" outlineLevel="0" collapsed="false">
      <c r="H390" s="0" t="str">
        <f aca="false">IF(B390="","",IF(COUNTIF(Campaigns!$A$7:$A$300,B390)&gt;0,"✓","⚠ add to Campaigns tab"))</f>
        <v/>
      </c>
      <c r="I390" s="84" t="str">
        <f aca="false">IF(C390="","",C390*IF(Settings!$B$23=Settings!$C$6,1,IF(Settings!$B$23="USD",1/INDEX(Settings!$B$29:$B$40,MONTH(A390)),INDEX(Settings!$B$29:$B$40,MONTH(A390)))))</f>
        <v/>
      </c>
    </row>
    <row r="391" customFormat="false" ht="15" hidden="false" customHeight="false" outlineLevel="0" collapsed="false">
      <c r="H391" s="0" t="str">
        <f aca="false">IF(B391="","",IF(COUNTIF(Campaigns!$A$7:$A$300,B391)&gt;0,"✓","⚠ add to Campaigns tab"))</f>
        <v/>
      </c>
      <c r="I391" s="84" t="str">
        <f aca="false">IF(C391="","",C391*IF(Settings!$B$23=Settings!$C$6,1,IF(Settings!$B$23="USD",1/INDEX(Settings!$B$29:$B$40,MONTH(A391)),INDEX(Settings!$B$29:$B$40,MONTH(A391)))))</f>
        <v/>
      </c>
    </row>
    <row r="392" customFormat="false" ht="15" hidden="false" customHeight="false" outlineLevel="0" collapsed="false">
      <c r="H392" s="0" t="str">
        <f aca="false">IF(B392="","",IF(COUNTIF(Campaigns!$A$7:$A$300,B392)&gt;0,"✓","⚠ add to Campaigns tab"))</f>
        <v/>
      </c>
      <c r="I392" s="84" t="str">
        <f aca="false">IF(C392="","",C392*IF(Settings!$B$23=Settings!$C$6,1,IF(Settings!$B$23="USD",1/INDEX(Settings!$B$29:$B$40,MONTH(A392)),INDEX(Settings!$B$29:$B$40,MONTH(A392)))))</f>
        <v/>
      </c>
    </row>
    <row r="393" customFormat="false" ht="15" hidden="false" customHeight="false" outlineLevel="0" collapsed="false">
      <c r="H393" s="0" t="str">
        <f aca="false">IF(B393="","",IF(COUNTIF(Campaigns!$A$7:$A$300,B393)&gt;0,"✓","⚠ add to Campaigns tab"))</f>
        <v/>
      </c>
      <c r="I393" s="84" t="str">
        <f aca="false">IF(C393="","",C393*IF(Settings!$B$23=Settings!$C$6,1,IF(Settings!$B$23="USD",1/INDEX(Settings!$B$29:$B$40,MONTH(A393)),INDEX(Settings!$B$29:$B$40,MONTH(A393)))))</f>
        <v/>
      </c>
    </row>
    <row r="394" customFormat="false" ht="15" hidden="false" customHeight="false" outlineLevel="0" collapsed="false">
      <c r="H394" s="0" t="str">
        <f aca="false">IF(B394="","",IF(COUNTIF(Campaigns!$A$7:$A$300,B394)&gt;0,"✓","⚠ add to Campaigns tab"))</f>
        <v/>
      </c>
      <c r="I394" s="84" t="str">
        <f aca="false">IF(C394="","",C394*IF(Settings!$B$23=Settings!$C$6,1,IF(Settings!$B$23="USD",1/INDEX(Settings!$B$29:$B$40,MONTH(A394)),INDEX(Settings!$B$29:$B$40,MONTH(A394)))))</f>
        <v/>
      </c>
    </row>
    <row r="395" customFormat="false" ht="15" hidden="false" customHeight="false" outlineLevel="0" collapsed="false">
      <c r="H395" s="0" t="str">
        <f aca="false">IF(B395="","",IF(COUNTIF(Campaigns!$A$7:$A$300,B395)&gt;0,"✓","⚠ add to Campaigns tab"))</f>
        <v/>
      </c>
      <c r="I395" s="84" t="str">
        <f aca="false">IF(C395="","",C395*IF(Settings!$B$23=Settings!$C$6,1,IF(Settings!$B$23="USD",1/INDEX(Settings!$B$29:$B$40,MONTH(A395)),INDEX(Settings!$B$29:$B$40,MONTH(A395)))))</f>
        <v/>
      </c>
    </row>
    <row r="396" customFormat="false" ht="15" hidden="false" customHeight="false" outlineLevel="0" collapsed="false">
      <c r="H396" s="0" t="str">
        <f aca="false">IF(B396="","",IF(COUNTIF(Campaigns!$A$7:$A$300,B396)&gt;0,"✓","⚠ add to Campaigns tab"))</f>
        <v/>
      </c>
      <c r="I396" s="84" t="str">
        <f aca="false">IF(C396="","",C396*IF(Settings!$B$23=Settings!$C$6,1,IF(Settings!$B$23="USD",1/INDEX(Settings!$B$29:$B$40,MONTH(A396)),INDEX(Settings!$B$29:$B$40,MONTH(A396)))))</f>
        <v/>
      </c>
    </row>
    <row r="397" customFormat="false" ht="15" hidden="false" customHeight="false" outlineLevel="0" collapsed="false">
      <c r="H397" s="0" t="str">
        <f aca="false">IF(B397="","",IF(COUNTIF(Campaigns!$A$7:$A$300,B397)&gt;0,"✓","⚠ add to Campaigns tab"))</f>
        <v/>
      </c>
      <c r="I397" s="84" t="str">
        <f aca="false">IF(C397="","",C397*IF(Settings!$B$23=Settings!$C$6,1,IF(Settings!$B$23="USD",1/INDEX(Settings!$B$29:$B$40,MONTH(A397)),INDEX(Settings!$B$29:$B$40,MONTH(A397)))))</f>
        <v/>
      </c>
    </row>
    <row r="398" customFormat="false" ht="15" hidden="false" customHeight="false" outlineLevel="0" collapsed="false">
      <c r="H398" s="0" t="str">
        <f aca="false">IF(B398="","",IF(COUNTIF(Campaigns!$A$7:$A$300,B398)&gt;0,"✓","⚠ add to Campaigns tab"))</f>
        <v/>
      </c>
      <c r="I398" s="84" t="str">
        <f aca="false">IF(C398="","",C398*IF(Settings!$B$23=Settings!$C$6,1,IF(Settings!$B$23="USD",1/INDEX(Settings!$B$29:$B$40,MONTH(A398)),INDEX(Settings!$B$29:$B$40,MONTH(A398)))))</f>
        <v/>
      </c>
    </row>
    <row r="399" customFormat="false" ht="15" hidden="false" customHeight="false" outlineLevel="0" collapsed="false">
      <c r="H399" s="0" t="str">
        <f aca="false">IF(B399="","",IF(COUNTIF(Campaigns!$A$7:$A$300,B399)&gt;0,"✓","⚠ add to Campaigns tab"))</f>
        <v/>
      </c>
      <c r="I399" s="84" t="str">
        <f aca="false">IF(C399="","",C399*IF(Settings!$B$23=Settings!$C$6,1,IF(Settings!$B$23="USD",1/INDEX(Settings!$B$29:$B$40,MONTH(A399)),INDEX(Settings!$B$29:$B$40,MONTH(A399)))))</f>
        <v/>
      </c>
    </row>
    <row r="400" customFormat="false" ht="15" hidden="false" customHeight="false" outlineLevel="0" collapsed="false">
      <c r="H400" s="0" t="str">
        <f aca="false">IF(B400="","",IF(COUNTIF(Campaigns!$A$7:$A$300,B400)&gt;0,"✓","⚠ add to Campaigns tab"))</f>
        <v/>
      </c>
      <c r="I400" s="84" t="str">
        <f aca="false">IF(C400="","",C400*IF(Settings!$B$23=Settings!$C$6,1,IF(Settings!$B$23="USD",1/INDEX(Settings!$B$29:$B$40,MONTH(A400)),INDEX(Settings!$B$29:$B$40,MONTH(A400)))))</f>
        <v/>
      </c>
    </row>
    <row r="401" customFormat="false" ht="15" hidden="false" customHeight="false" outlineLevel="0" collapsed="false">
      <c r="H401" s="0" t="str">
        <f aca="false">IF(B401="","",IF(COUNTIF(Campaigns!$A$7:$A$300,B401)&gt;0,"✓","⚠ add to Campaigns tab"))</f>
        <v/>
      </c>
      <c r="I401" s="84" t="str">
        <f aca="false">IF(C401="","",C401*IF(Settings!$B$23=Settings!$C$6,1,IF(Settings!$B$23="USD",1/INDEX(Settings!$B$29:$B$40,MONTH(A401)),INDEX(Settings!$B$29:$B$40,MONTH(A401)))))</f>
        <v/>
      </c>
    </row>
    <row r="402" customFormat="false" ht="15" hidden="false" customHeight="false" outlineLevel="0" collapsed="false">
      <c r="H402" s="0" t="str">
        <f aca="false">IF(B402="","",IF(COUNTIF(Campaigns!$A$7:$A$300,B402)&gt;0,"✓","⚠ add to Campaigns tab"))</f>
        <v/>
      </c>
      <c r="I402" s="84" t="str">
        <f aca="false">IF(C402="","",C402*IF(Settings!$B$23=Settings!$C$6,1,IF(Settings!$B$23="USD",1/INDEX(Settings!$B$29:$B$40,MONTH(A402)),INDEX(Settings!$B$29:$B$40,MONTH(A402)))))</f>
        <v/>
      </c>
    </row>
    <row r="403" customFormat="false" ht="15" hidden="false" customHeight="false" outlineLevel="0" collapsed="false">
      <c r="H403" s="0" t="str">
        <f aca="false">IF(B403="","",IF(COUNTIF(Campaigns!$A$7:$A$300,B403)&gt;0,"✓","⚠ add to Campaigns tab"))</f>
        <v/>
      </c>
      <c r="I403" s="84" t="str">
        <f aca="false">IF(C403="","",C403*IF(Settings!$B$23=Settings!$C$6,1,IF(Settings!$B$23="USD",1/INDEX(Settings!$B$29:$B$40,MONTH(A403)),INDEX(Settings!$B$29:$B$40,MONTH(A403)))))</f>
        <v/>
      </c>
    </row>
    <row r="404" customFormat="false" ht="15" hidden="false" customHeight="false" outlineLevel="0" collapsed="false">
      <c r="H404" s="0" t="str">
        <f aca="false">IF(B404="","",IF(COUNTIF(Campaigns!$A$7:$A$300,B404)&gt;0,"✓","⚠ add to Campaigns tab"))</f>
        <v/>
      </c>
      <c r="I404" s="84" t="str">
        <f aca="false">IF(C404="","",C404*IF(Settings!$B$23=Settings!$C$6,1,IF(Settings!$B$23="USD",1/INDEX(Settings!$B$29:$B$40,MONTH(A404)),INDEX(Settings!$B$29:$B$40,MONTH(A404)))))</f>
        <v/>
      </c>
    </row>
    <row r="405" customFormat="false" ht="15" hidden="false" customHeight="false" outlineLevel="0" collapsed="false">
      <c r="H405" s="0" t="str">
        <f aca="false">IF(B405="","",IF(COUNTIF(Campaigns!$A$7:$A$300,B405)&gt;0,"✓","⚠ add to Campaigns tab"))</f>
        <v/>
      </c>
      <c r="I405" s="84" t="str">
        <f aca="false">IF(C405="","",C405*IF(Settings!$B$23=Settings!$C$6,1,IF(Settings!$B$23="USD",1/INDEX(Settings!$B$29:$B$40,MONTH(A405)),INDEX(Settings!$B$29:$B$40,MONTH(A405)))))</f>
        <v/>
      </c>
    </row>
    <row r="406" customFormat="false" ht="15" hidden="false" customHeight="false" outlineLevel="0" collapsed="false">
      <c r="H406" s="0" t="str">
        <f aca="false">IF(B406="","",IF(COUNTIF(Campaigns!$A$7:$A$300,B406)&gt;0,"✓","⚠ add to Campaigns tab"))</f>
        <v/>
      </c>
      <c r="I406" s="84" t="str">
        <f aca="false">IF(C406="","",C406*IF(Settings!$B$23=Settings!$C$6,1,IF(Settings!$B$23="USD",1/INDEX(Settings!$B$29:$B$40,MONTH(A406)),INDEX(Settings!$B$29:$B$40,MONTH(A406)))))</f>
        <v/>
      </c>
    </row>
    <row r="407" customFormat="false" ht="15" hidden="false" customHeight="false" outlineLevel="0" collapsed="false">
      <c r="H407" s="0" t="str">
        <f aca="false">IF(B407="","",IF(COUNTIF(Campaigns!$A$7:$A$300,B407)&gt;0,"✓","⚠ add to Campaigns tab"))</f>
        <v/>
      </c>
      <c r="I407" s="84" t="str">
        <f aca="false">IF(C407="","",C407*IF(Settings!$B$23=Settings!$C$6,1,IF(Settings!$B$23="USD",1/INDEX(Settings!$B$29:$B$40,MONTH(A407)),INDEX(Settings!$B$29:$B$40,MONTH(A407)))))</f>
        <v/>
      </c>
    </row>
    <row r="408" customFormat="false" ht="15" hidden="false" customHeight="false" outlineLevel="0" collapsed="false">
      <c r="H408" s="0" t="str">
        <f aca="false">IF(B408="","",IF(COUNTIF(Campaigns!$A$7:$A$300,B408)&gt;0,"✓","⚠ add to Campaigns tab"))</f>
        <v/>
      </c>
      <c r="I408" s="84" t="str">
        <f aca="false">IF(C408="","",C408*IF(Settings!$B$23=Settings!$C$6,1,IF(Settings!$B$23="USD",1/INDEX(Settings!$B$29:$B$40,MONTH(A408)),INDEX(Settings!$B$29:$B$40,MONTH(A408)))))</f>
        <v/>
      </c>
    </row>
    <row r="409" customFormat="false" ht="15" hidden="false" customHeight="false" outlineLevel="0" collapsed="false">
      <c r="H409" s="0" t="str">
        <f aca="false">IF(B409="","",IF(COUNTIF(Campaigns!$A$7:$A$300,B409)&gt;0,"✓","⚠ add to Campaigns tab"))</f>
        <v/>
      </c>
      <c r="I409" s="84" t="str">
        <f aca="false">IF(C409="","",C409*IF(Settings!$B$23=Settings!$C$6,1,IF(Settings!$B$23="USD",1/INDEX(Settings!$B$29:$B$40,MONTH(A409)),INDEX(Settings!$B$29:$B$40,MONTH(A409)))))</f>
        <v/>
      </c>
    </row>
    <row r="410" customFormat="false" ht="15" hidden="false" customHeight="false" outlineLevel="0" collapsed="false">
      <c r="H410" s="0" t="str">
        <f aca="false">IF(B410="","",IF(COUNTIF(Campaigns!$A$7:$A$300,B410)&gt;0,"✓","⚠ add to Campaigns tab"))</f>
        <v/>
      </c>
      <c r="I410" s="84" t="str">
        <f aca="false">IF(C410="","",C410*IF(Settings!$B$23=Settings!$C$6,1,IF(Settings!$B$23="USD",1/INDEX(Settings!$B$29:$B$40,MONTH(A410)),INDEX(Settings!$B$29:$B$40,MONTH(A410)))))</f>
        <v/>
      </c>
    </row>
    <row r="411" customFormat="false" ht="15" hidden="false" customHeight="false" outlineLevel="0" collapsed="false">
      <c r="H411" s="0" t="str">
        <f aca="false">IF(B411="","",IF(COUNTIF(Campaigns!$A$7:$A$300,B411)&gt;0,"✓","⚠ add to Campaigns tab"))</f>
        <v/>
      </c>
      <c r="I411" s="84" t="str">
        <f aca="false">IF(C411="","",C411*IF(Settings!$B$23=Settings!$C$6,1,IF(Settings!$B$23="USD",1/INDEX(Settings!$B$29:$B$40,MONTH(A411)),INDEX(Settings!$B$29:$B$40,MONTH(A411)))))</f>
        <v/>
      </c>
    </row>
    <row r="412" customFormat="false" ht="15" hidden="false" customHeight="false" outlineLevel="0" collapsed="false">
      <c r="H412" s="0" t="str">
        <f aca="false">IF(B412="","",IF(COUNTIF(Campaigns!$A$7:$A$300,B412)&gt;0,"✓","⚠ add to Campaigns tab"))</f>
        <v/>
      </c>
      <c r="I412" s="84" t="str">
        <f aca="false">IF(C412="","",C412*IF(Settings!$B$23=Settings!$C$6,1,IF(Settings!$B$23="USD",1/INDEX(Settings!$B$29:$B$40,MONTH(A412)),INDEX(Settings!$B$29:$B$40,MONTH(A412)))))</f>
        <v/>
      </c>
    </row>
    <row r="413" customFormat="false" ht="15" hidden="false" customHeight="false" outlineLevel="0" collapsed="false">
      <c r="H413" s="0" t="str">
        <f aca="false">IF(B413="","",IF(COUNTIF(Campaigns!$A$7:$A$300,B413)&gt;0,"✓","⚠ add to Campaigns tab"))</f>
        <v/>
      </c>
      <c r="I413" s="84" t="str">
        <f aca="false">IF(C413="","",C413*IF(Settings!$B$23=Settings!$C$6,1,IF(Settings!$B$23="USD",1/INDEX(Settings!$B$29:$B$40,MONTH(A413)),INDEX(Settings!$B$29:$B$40,MONTH(A413)))))</f>
        <v/>
      </c>
    </row>
    <row r="414" customFormat="false" ht="15" hidden="false" customHeight="false" outlineLevel="0" collapsed="false">
      <c r="H414" s="0" t="str">
        <f aca="false">IF(B414="","",IF(COUNTIF(Campaigns!$A$7:$A$300,B414)&gt;0,"✓","⚠ add to Campaigns tab"))</f>
        <v/>
      </c>
      <c r="I414" s="84" t="str">
        <f aca="false">IF(C414="","",C414*IF(Settings!$B$23=Settings!$C$6,1,IF(Settings!$B$23="USD",1/INDEX(Settings!$B$29:$B$40,MONTH(A414)),INDEX(Settings!$B$29:$B$40,MONTH(A414)))))</f>
        <v/>
      </c>
    </row>
    <row r="415" customFormat="false" ht="15" hidden="false" customHeight="false" outlineLevel="0" collapsed="false">
      <c r="H415" s="0" t="str">
        <f aca="false">IF(B415="","",IF(COUNTIF(Campaigns!$A$7:$A$300,B415)&gt;0,"✓","⚠ add to Campaigns tab"))</f>
        <v/>
      </c>
      <c r="I415" s="84" t="str">
        <f aca="false">IF(C415="","",C415*IF(Settings!$B$23=Settings!$C$6,1,IF(Settings!$B$23="USD",1/INDEX(Settings!$B$29:$B$40,MONTH(A415)),INDEX(Settings!$B$29:$B$40,MONTH(A415)))))</f>
        <v/>
      </c>
    </row>
    <row r="416" customFormat="false" ht="15" hidden="false" customHeight="false" outlineLevel="0" collapsed="false">
      <c r="H416" s="0" t="str">
        <f aca="false">IF(B416="","",IF(COUNTIF(Campaigns!$A$7:$A$300,B416)&gt;0,"✓","⚠ add to Campaigns tab"))</f>
        <v/>
      </c>
      <c r="I416" s="84" t="str">
        <f aca="false">IF(C416="","",C416*IF(Settings!$B$23=Settings!$C$6,1,IF(Settings!$B$23="USD",1/INDEX(Settings!$B$29:$B$40,MONTH(A416)),INDEX(Settings!$B$29:$B$40,MONTH(A416)))))</f>
        <v/>
      </c>
    </row>
    <row r="417" customFormat="false" ht="15" hidden="false" customHeight="false" outlineLevel="0" collapsed="false">
      <c r="H417" s="0" t="str">
        <f aca="false">IF(B417="","",IF(COUNTIF(Campaigns!$A$7:$A$300,B417)&gt;0,"✓","⚠ add to Campaigns tab"))</f>
        <v/>
      </c>
      <c r="I417" s="84" t="str">
        <f aca="false">IF(C417="","",C417*IF(Settings!$B$23=Settings!$C$6,1,IF(Settings!$B$23="USD",1/INDEX(Settings!$B$29:$B$40,MONTH(A417)),INDEX(Settings!$B$29:$B$40,MONTH(A417)))))</f>
        <v/>
      </c>
    </row>
    <row r="418" customFormat="false" ht="15" hidden="false" customHeight="false" outlineLevel="0" collapsed="false">
      <c r="H418" s="0" t="str">
        <f aca="false">IF(B418="","",IF(COUNTIF(Campaigns!$A$7:$A$300,B418)&gt;0,"✓","⚠ add to Campaigns tab"))</f>
        <v/>
      </c>
      <c r="I418" s="84" t="str">
        <f aca="false">IF(C418="","",C418*IF(Settings!$B$23=Settings!$C$6,1,IF(Settings!$B$23="USD",1/INDEX(Settings!$B$29:$B$40,MONTH(A418)),INDEX(Settings!$B$29:$B$40,MONTH(A418)))))</f>
        <v/>
      </c>
    </row>
    <row r="419" customFormat="false" ht="15" hidden="false" customHeight="false" outlineLevel="0" collapsed="false">
      <c r="H419" s="0" t="str">
        <f aca="false">IF(B419="","",IF(COUNTIF(Campaigns!$A$7:$A$300,B419)&gt;0,"✓","⚠ add to Campaigns tab"))</f>
        <v/>
      </c>
      <c r="I419" s="84" t="str">
        <f aca="false">IF(C419="","",C419*IF(Settings!$B$23=Settings!$C$6,1,IF(Settings!$B$23="USD",1/INDEX(Settings!$B$29:$B$40,MONTH(A419)),INDEX(Settings!$B$29:$B$40,MONTH(A419)))))</f>
        <v/>
      </c>
    </row>
    <row r="420" customFormat="false" ht="15" hidden="false" customHeight="false" outlineLevel="0" collapsed="false">
      <c r="H420" s="0" t="str">
        <f aca="false">IF(B420="","",IF(COUNTIF(Campaigns!$A$7:$A$300,B420)&gt;0,"✓","⚠ add to Campaigns tab"))</f>
        <v/>
      </c>
      <c r="I420" s="84" t="str">
        <f aca="false">IF(C420="","",C420*IF(Settings!$B$23=Settings!$C$6,1,IF(Settings!$B$23="USD",1/INDEX(Settings!$B$29:$B$40,MONTH(A420)),INDEX(Settings!$B$29:$B$40,MONTH(A420)))))</f>
        <v/>
      </c>
    </row>
    <row r="421" customFormat="false" ht="15" hidden="false" customHeight="false" outlineLevel="0" collapsed="false">
      <c r="H421" s="0" t="str">
        <f aca="false">IF(B421="","",IF(COUNTIF(Campaigns!$A$7:$A$300,B421)&gt;0,"✓","⚠ add to Campaigns tab"))</f>
        <v/>
      </c>
      <c r="I421" s="84" t="str">
        <f aca="false">IF(C421="","",C421*IF(Settings!$B$23=Settings!$C$6,1,IF(Settings!$B$23="USD",1/INDEX(Settings!$B$29:$B$40,MONTH(A421)),INDEX(Settings!$B$29:$B$40,MONTH(A421)))))</f>
        <v/>
      </c>
    </row>
    <row r="422" customFormat="false" ht="15" hidden="false" customHeight="false" outlineLevel="0" collapsed="false">
      <c r="H422" s="0" t="str">
        <f aca="false">IF(B422="","",IF(COUNTIF(Campaigns!$A$7:$A$300,B422)&gt;0,"✓","⚠ add to Campaigns tab"))</f>
        <v/>
      </c>
      <c r="I422" s="84" t="str">
        <f aca="false">IF(C422="","",C422*IF(Settings!$B$23=Settings!$C$6,1,IF(Settings!$B$23="USD",1/INDEX(Settings!$B$29:$B$40,MONTH(A422)),INDEX(Settings!$B$29:$B$40,MONTH(A422)))))</f>
        <v/>
      </c>
    </row>
    <row r="423" customFormat="false" ht="15" hidden="false" customHeight="false" outlineLevel="0" collapsed="false">
      <c r="H423" s="0" t="str">
        <f aca="false">IF(B423="","",IF(COUNTIF(Campaigns!$A$7:$A$300,B423)&gt;0,"✓","⚠ add to Campaigns tab"))</f>
        <v/>
      </c>
      <c r="I423" s="84" t="str">
        <f aca="false">IF(C423="","",C423*IF(Settings!$B$23=Settings!$C$6,1,IF(Settings!$B$23="USD",1/INDEX(Settings!$B$29:$B$40,MONTH(A423)),INDEX(Settings!$B$29:$B$40,MONTH(A423)))))</f>
        <v/>
      </c>
    </row>
    <row r="424" customFormat="false" ht="15" hidden="false" customHeight="false" outlineLevel="0" collapsed="false">
      <c r="H424" s="0" t="str">
        <f aca="false">IF(B424="","",IF(COUNTIF(Campaigns!$A$7:$A$300,B424)&gt;0,"✓","⚠ add to Campaigns tab"))</f>
        <v/>
      </c>
      <c r="I424" s="84" t="str">
        <f aca="false">IF(C424="","",C424*IF(Settings!$B$23=Settings!$C$6,1,IF(Settings!$B$23="USD",1/INDEX(Settings!$B$29:$B$40,MONTH(A424)),INDEX(Settings!$B$29:$B$40,MONTH(A424)))))</f>
        <v/>
      </c>
    </row>
    <row r="425" customFormat="false" ht="15" hidden="false" customHeight="false" outlineLevel="0" collapsed="false">
      <c r="H425" s="0" t="str">
        <f aca="false">IF(B425="","",IF(COUNTIF(Campaigns!$A$7:$A$300,B425)&gt;0,"✓","⚠ add to Campaigns tab"))</f>
        <v/>
      </c>
      <c r="I425" s="84" t="str">
        <f aca="false">IF(C425="","",C425*IF(Settings!$B$23=Settings!$C$6,1,IF(Settings!$B$23="USD",1/INDEX(Settings!$B$29:$B$40,MONTH(A425)),INDEX(Settings!$B$29:$B$40,MONTH(A425)))))</f>
        <v/>
      </c>
    </row>
    <row r="426" customFormat="false" ht="15" hidden="false" customHeight="false" outlineLevel="0" collapsed="false">
      <c r="H426" s="0" t="str">
        <f aca="false">IF(B426="","",IF(COUNTIF(Campaigns!$A$7:$A$300,B426)&gt;0,"✓","⚠ add to Campaigns tab"))</f>
        <v/>
      </c>
      <c r="I426" s="84" t="str">
        <f aca="false">IF(C426="","",C426*IF(Settings!$B$23=Settings!$C$6,1,IF(Settings!$B$23="USD",1/INDEX(Settings!$B$29:$B$40,MONTH(A426)),INDEX(Settings!$B$29:$B$40,MONTH(A426)))))</f>
        <v/>
      </c>
    </row>
    <row r="427" customFormat="false" ht="15" hidden="false" customHeight="false" outlineLevel="0" collapsed="false">
      <c r="H427" s="0" t="str">
        <f aca="false">IF(B427="","",IF(COUNTIF(Campaigns!$A$7:$A$300,B427)&gt;0,"✓","⚠ add to Campaigns tab"))</f>
        <v/>
      </c>
      <c r="I427" s="84" t="str">
        <f aca="false">IF(C427="","",C427*IF(Settings!$B$23=Settings!$C$6,1,IF(Settings!$B$23="USD",1/INDEX(Settings!$B$29:$B$40,MONTH(A427)),INDEX(Settings!$B$29:$B$40,MONTH(A427)))))</f>
        <v/>
      </c>
    </row>
    <row r="428" customFormat="false" ht="15" hidden="false" customHeight="false" outlineLevel="0" collapsed="false">
      <c r="H428" s="0" t="str">
        <f aca="false">IF(B428="","",IF(COUNTIF(Campaigns!$A$7:$A$300,B428)&gt;0,"✓","⚠ add to Campaigns tab"))</f>
        <v/>
      </c>
      <c r="I428" s="84" t="str">
        <f aca="false">IF(C428="","",C428*IF(Settings!$B$23=Settings!$C$6,1,IF(Settings!$B$23="USD",1/INDEX(Settings!$B$29:$B$40,MONTH(A428)),INDEX(Settings!$B$29:$B$40,MONTH(A428)))))</f>
        <v/>
      </c>
    </row>
    <row r="429" customFormat="false" ht="15" hidden="false" customHeight="false" outlineLevel="0" collapsed="false">
      <c r="H429" s="0" t="str">
        <f aca="false">IF(B429="","",IF(COUNTIF(Campaigns!$A$7:$A$300,B429)&gt;0,"✓","⚠ add to Campaigns tab"))</f>
        <v/>
      </c>
      <c r="I429" s="84" t="str">
        <f aca="false">IF(C429="","",C429*IF(Settings!$B$23=Settings!$C$6,1,IF(Settings!$B$23="USD",1/INDEX(Settings!$B$29:$B$40,MONTH(A429)),INDEX(Settings!$B$29:$B$40,MONTH(A429)))))</f>
        <v/>
      </c>
    </row>
    <row r="430" customFormat="false" ht="15" hidden="false" customHeight="false" outlineLevel="0" collapsed="false">
      <c r="H430" s="0" t="str">
        <f aca="false">IF(B430="","",IF(COUNTIF(Campaigns!$A$7:$A$300,B430)&gt;0,"✓","⚠ add to Campaigns tab"))</f>
        <v/>
      </c>
      <c r="I430" s="84" t="str">
        <f aca="false">IF(C430="","",C430*IF(Settings!$B$23=Settings!$C$6,1,IF(Settings!$B$23="USD",1/INDEX(Settings!$B$29:$B$40,MONTH(A430)),INDEX(Settings!$B$29:$B$40,MONTH(A430)))))</f>
        <v/>
      </c>
    </row>
    <row r="431" customFormat="false" ht="15" hidden="false" customHeight="false" outlineLevel="0" collapsed="false">
      <c r="H431" s="0" t="str">
        <f aca="false">IF(B431="","",IF(COUNTIF(Campaigns!$A$7:$A$300,B431)&gt;0,"✓","⚠ add to Campaigns tab"))</f>
        <v/>
      </c>
      <c r="I431" s="84" t="str">
        <f aca="false">IF(C431="","",C431*IF(Settings!$B$23=Settings!$C$6,1,IF(Settings!$B$23="USD",1/INDEX(Settings!$B$29:$B$40,MONTH(A431)),INDEX(Settings!$B$29:$B$40,MONTH(A431)))))</f>
        <v/>
      </c>
    </row>
    <row r="432" customFormat="false" ht="15" hidden="false" customHeight="false" outlineLevel="0" collapsed="false">
      <c r="H432" s="0" t="str">
        <f aca="false">IF(B432="","",IF(COUNTIF(Campaigns!$A$7:$A$300,B432)&gt;0,"✓","⚠ add to Campaigns tab"))</f>
        <v/>
      </c>
      <c r="I432" s="84" t="str">
        <f aca="false">IF(C432="","",C432*IF(Settings!$B$23=Settings!$C$6,1,IF(Settings!$B$23="USD",1/INDEX(Settings!$B$29:$B$40,MONTH(A432)),INDEX(Settings!$B$29:$B$40,MONTH(A432)))))</f>
        <v/>
      </c>
    </row>
    <row r="433" customFormat="false" ht="15" hidden="false" customHeight="false" outlineLevel="0" collapsed="false">
      <c r="H433" s="0" t="str">
        <f aca="false">IF(B433="","",IF(COUNTIF(Campaigns!$A$7:$A$300,B433)&gt;0,"✓","⚠ add to Campaigns tab"))</f>
        <v/>
      </c>
      <c r="I433" s="84" t="str">
        <f aca="false">IF(C433="","",C433*IF(Settings!$B$23=Settings!$C$6,1,IF(Settings!$B$23="USD",1/INDEX(Settings!$B$29:$B$40,MONTH(A433)),INDEX(Settings!$B$29:$B$40,MONTH(A433)))))</f>
        <v/>
      </c>
    </row>
    <row r="434" customFormat="false" ht="15" hidden="false" customHeight="false" outlineLevel="0" collapsed="false">
      <c r="H434" s="0" t="str">
        <f aca="false">IF(B434="","",IF(COUNTIF(Campaigns!$A$7:$A$300,B434)&gt;0,"✓","⚠ add to Campaigns tab"))</f>
        <v/>
      </c>
      <c r="I434" s="84" t="str">
        <f aca="false">IF(C434="","",C434*IF(Settings!$B$23=Settings!$C$6,1,IF(Settings!$B$23="USD",1/INDEX(Settings!$B$29:$B$40,MONTH(A434)),INDEX(Settings!$B$29:$B$40,MONTH(A434)))))</f>
        <v/>
      </c>
    </row>
    <row r="435" customFormat="false" ht="15" hidden="false" customHeight="false" outlineLevel="0" collapsed="false">
      <c r="H435" s="0" t="str">
        <f aca="false">IF(B435="","",IF(COUNTIF(Campaigns!$A$7:$A$300,B435)&gt;0,"✓","⚠ add to Campaigns tab"))</f>
        <v/>
      </c>
      <c r="I435" s="84" t="str">
        <f aca="false">IF(C435="","",C435*IF(Settings!$B$23=Settings!$C$6,1,IF(Settings!$B$23="USD",1/INDEX(Settings!$B$29:$B$40,MONTH(A435)),INDEX(Settings!$B$29:$B$40,MONTH(A435)))))</f>
        <v/>
      </c>
    </row>
    <row r="436" customFormat="false" ht="15" hidden="false" customHeight="false" outlineLevel="0" collapsed="false">
      <c r="H436" s="0" t="str">
        <f aca="false">IF(B436="","",IF(COUNTIF(Campaigns!$A$7:$A$300,B436)&gt;0,"✓","⚠ add to Campaigns tab"))</f>
        <v/>
      </c>
      <c r="I436" s="84" t="str">
        <f aca="false">IF(C436="","",C436*IF(Settings!$B$23=Settings!$C$6,1,IF(Settings!$B$23="USD",1/INDEX(Settings!$B$29:$B$40,MONTH(A436)),INDEX(Settings!$B$29:$B$40,MONTH(A436)))))</f>
        <v/>
      </c>
    </row>
    <row r="437" customFormat="false" ht="15" hidden="false" customHeight="false" outlineLevel="0" collapsed="false">
      <c r="H437" s="0" t="str">
        <f aca="false">IF(B437="","",IF(COUNTIF(Campaigns!$A$7:$A$300,B437)&gt;0,"✓","⚠ add to Campaigns tab"))</f>
        <v/>
      </c>
      <c r="I437" s="84" t="str">
        <f aca="false">IF(C437="","",C437*IF(Settings!$B$23=Settings!$C$6,1,IF(Settings!$B$23="USD",1/INDEX(Settings!$B$29:$B$40,MONTH(A437)),INDEX(Settings!$B$29:$B$40,MONTH(A437)))))</f>
        <v/>
      </c>
    </row>
    <row r="438" customFormat="false" ht="15" hidden="false" customHeight="false" outlineLevel="0" collapsed="false">
      <c r="H438" s="0" t="str">
        <f aca="false">IF(B438="","",IF(COUNTIF(Campaigns!$A$7:$A$300,B438)&gt;0,"✓","⚠ add to Campaigns tab"))</f>
        <v/>
      </c>
      <c r="I438" s="84" t="str">
        <f aca="false">IF(C438="","",C438*IF(Settings!$B$23=Settings!$C$6,1,IF(Settings!$B$23="USD",1/INDEX(Settings!$B$29:$B$40,MONTH(A438)),INDEX(Settings!$B$29:$B$40,MONTH(A438)))))</f>
        <v/>
      </c>
    </row>
    <row r="439" customFormat="false" ht="15" hidden="false" customHeight="false" outlineLevel="0" collapsed="false">
      <c r="H439" s="0" t="str">
        <f aca="false">IF(B439="","",IF(COUNTIF(Campaigns!$A$7:$A$300,B439)&gt;0,"✓","⚠ add to Campaigns tab"))</f>
        <v/>
      </c>
      <c r="I439" s="84" t="str">
        <f aca="false">IF(C439="","",C439*IF(Settings!$B$23=Settings!$C$6,1,IF(Settings!$B$23="USD",1/INDEX(Settings!$B$29:$B$40,MONTH(A439)),INDEX(Settings!$B$29:$B$40,MONTH(A439)))))</f>
        <v/>
      </c>
    </row>
    <row r="440" customFormat="false" ht="15" hidden="false" customHeight="false" outlineLevel="0" collapsed="false">
      <c r="H440" s="0" t="str">
        <f aca="false">IF(B440="","",IF(COUNTIF(Campaigns!$A$7:$A$300,B440)&gt;0,"✓","⚠ add to Campaigns tab"))</f>
        <v/>
      </c>
      <c r="I440" s="84" t="str">
        <f aca="false">IF(C440="","",C440*IF(Settings!$B$23=Settings!$C$6,1,IF(Settings!$B$23="USD",1/INDEX(Settings!$B$29:$B$40,MONTH(A440)),INDEX(Settings!$B$29:$B$40,MONTH(A440)))))</f>
        <v/>
      </c>
    </row>
    <row r="441" customFormat="false" ht="15" hidden="false" customHeight="false" outlineLevel="0" collapsed="false">
      <c r="H441" s="0" t="str">
        <f aca="false">IF(B441="","",IF(COUNTIF(Campaigns!$A$7:$A$300,B441)&gt;0,"✓","⚠ add to Campaigns tab"))</f>
        <v/>
      </c>
      <c r="I441" s="84" t="str">
        <f aca="false">IF(C441="","",C441*IF(Settings!$B$23=Settings!$C$6,1,IF(Settings!$B$23="USD",1/INDEX(Settings!$B$29:$B$40,MONTH(A441)),INDEX(Settings!$B$29:$B$40,MONTH(A441)))))</f>
        <v/>
      </c>
    </row>
    <row r="442" customFormat="false" ht="15" hidden="false" customHeight="false" outlineLevel="0" collapsed="false">
      <c r="H442" s="0" t="str">
        <f aca="false">IF(B442="","",IF(COUNTIF(Campaigns!$A$7:$A$300,B442)&gt;0,"✓","⚠ add to Campaigns tab"))</f>
        <v/>
      </c>
      <c r="I442" s="84" t="str">
        <f aca="false">IF(C442="","",C442*IF(Settings!$B$23=Settings!$C$6,1,IF(Settings!$B$23="USD",1/INDEX(Settings!$B$29:$B$40,MONTH(A442)),INDEX(Settings!$B$29:$B$40,MONTH(A442)))))</f>
        <v/>
      </c>
    </row>
    <row r="443" customFormat="false" ht="15" hidden="false" customHeight="false" outlineLevel="0" collapsed="false">
      <c r="H443" s="0" t="str">
        <f aca="false">IF(B443="","",IF(COUNTIF(Campaigns!$A$7:$A$300,B443)&gt;0,"✓","⚠ add to Campaigns tab"))</f>
        <v/>
      </c>
      <c r="I443" s="84" t="str">
        <f aca="false">IF(C443="","",C443*IF(Settings!$B$23=Settings!$C$6,1,IF(Settings!$B$23="USD",1/INDEX(Settings!$B$29:$B$40,MONTH(A443)),INDEX(Settings!$B$29:$B$40,MONTH(A443)))))</f>
        <v/>
      </c>
    </row>
    <row r="444" customFormat="false" ht="15" hidden="false" customHeight="false" outlineLevel="0" collapsed="false">
      <c r="H444" s="0" t="str">
        <f aca="false">IF(B444="","",IF(COUNTIF(Campaigns!$A$7:$A$300,B444)&gt;0,"✓","⚠ add to Campaigns tab"))</f>
        <v/>
      </c>
      <c r="I444" s="84" t="str">
        <f aca="false">IF(C444="","",C444*IF(Settings!$B$23=Settings!$C$6,1,IF(Settings!$B$23="USD",1/INDEX(Settings!$B$29:$B$40,MONTH(A444)),INDEX(Settings!$B$29:$B$40,MONTH(A444)))))</f>
        <v/>
      </c>
    </row>
    <row r="445" customFormat="false" ht="15" hidden="false" customHeight="false" outlineLevel="0" collapsed="false">
      <c r="H445" s="0" t="str">
        <f aca="false">IF(B445="","",IF(COUNTIF(Campaigns!$A$7:$A$300,B445)&gt;0,"✓","⚠ add to Campaigns tab"))</f>
        <v/>
      </c>
      <c r="I445" s="84" t="str">
        <f aca="false">IF(C445="","",C445*IF(Settings!$B$23=Settings!$C$6,1,IF(Settings!$B$23="USD",1/INDEX(Settings!$B$29:$B$40,MONTH(A445)),INDEX(Settings!$B$29:$B$40,MONTH(A445)))))</f>
        <v/>
      </c>
    </row>
    <row r="446" customFormat="false" ht="15" hidden="false" customHeight="false" outlineLevel="0" collapsed="false">
      <c r="H446" s="0" t="str">
        <f aca="false">IF(B446="","",IF(COUNTIF(Campaigns!$A$7:$A$300,B446)&gt;0,"✓","⚠ add to Campaigns tab"))</f>
        <v/>
      </c>
      <c r="I446" s="84" t="str">
        <f aca="false">IF(C446="","",C446*IF(Settings!$B$23=Settings!$C$6,1,IF(Settings!$B$23="USD",1/INDEX(Settings!$B$29:$B$40,MONTH(A446)),INDEX(Settings!$B$29:$B$40,MONTH(A446)))))</f>
        <v/>
      </c>
    </row>
    <row r="447" customFormat="false" ht="15" hidden="false" customHeight="false" outlineLevel="0" collapsed="false">
      <c r="H447" s="0" t="str">
        <f aca="false">IF(B447="","",IF(COUNTIF(Campaigns!$A$7:$A$300,B447)&gt;0,"✓","⚠ add to Campaigns tab"))</f>
        <v/>
      </c>
      <c r="I447" s="84" t="str">
        <f aca="false">IF(C447="","",C447*IF(Settings!$B$23=Settings!$C$6,1,IF(Settings!$B$23="USD",1/INDEX(Settings!$B$29:$B$40,MONTH(A447)),INDEX(Settings!$B$29:$B$40,MONTH(A447)))))</f>
        <v/>
      </c>
    </row>
    <row r="448" customFormat="false" ht="15" hidden="false" customHeight="false" outlineLevel="0" collapsed="false">
      <c r="H448" s="0" t="str">
        <f aca="false">IF(B448="","",IF(COUNTIF(Campaigns!$A$7:$A$300,B448)&gt;0,"✓","⚠ add to Campaigns tab"))</f>
        <v/>
      </c>
      <c r="I448" s="84" t="str">
        <f aca="false">IF(C448="","",C448*IF(Settings!$B$23=Settings!$C$6,1,IF(Settings!$B$23="USD",1/INDEX(Settings!$B$29:$B$40,MONTH(A448)),INDEX(Settings!$B$29:$B$40,MONTH(A448)))))</f>
        <v/>
      </c>
    </row>
    <row r="449" customFormat="false" ht="15" hidden="false" customHeight="false" outlineLevel="0" collapsed="false">
      <c r="H449" s="0" t="str">
        <f aca="false">IF(B449="","",IF(COUNTIF(Campaigns!$A$7:$A$300,B449)&gt;0,"✓","⚠ add to Campaigns tab"))</f>
        <v/>
      </c>
      <c r="I449" s="84" t="str">
        <f aca="false">IF(C449="","",C449*IF(Settings!$B$23=Settings!$C$6,1,IF(Settings!$B$23="USD",1/INDEX(Settings!$B$29:$B$40,MONTH(A449)),INDEX(Settings!$B$29:$B$40,MONTH(A449)))))</f>
        <v/>
      </c>
    </row>
    <row r="450" customFormat="false" ht="15" hidden="false" customHeight="false" outlineLevel="0" collapsed="false">
      <c r="H450" s="0" t="str">
        <f aca="false">IF(B450="","",IF(COUNTIF(Campaigns!$A$7:$A$300,B450)&gt;0,"✓","⚠ add to Campaigns tab"))</f>
        <v/>
      </c>
      <c r="I450" s="84" t="str">
        <f aca="false">IF(C450="","",C450*IF(Settings!$B$23=Settings!$C$6,1,IF(Settings!$B$23="USD",1/INDEX(Settings!$B$29:$B$40,MONTH(A450)),INDEX(Settings!$B$29:$B$40,MONTH(A450)))))</f>
        <v/>
      </c>
    </row>
    <row r="451" customFormat="false" ht="15" hidden="false" customHeight="false" outlineLevel="0" collapsed="false">
      <c r="H451" s="0" t="str">
        <f aca="false">IF(B451="","",IF(COUNTIF(Campaigns!$A$7:$A$300,B451)&gt;0,"✓","⚠ add to Campaigns tab"))</f>
        <v/>
      </c>
      <c r="I451" s="84" t="str">
        <f aca="false">IF(C451="","",C451*IF(Settings!$B$23=Settings!$C$6,1,IF(Settings!$B$23="USD",1/INDEX(Settings!$B$29:$B$40,MONTH(A451)),INDEX(Settings!$B$29:$B$40,MONTH(A451)))))</f>
        <v/>
      </c>
    </row>
    <row r="452" customFormat="false" ht="15" hidden="false" customHeight="false" outlineLevel="0" collapsed="false">
      <c r="H452" s="0" t="str">
        <f aca="false">IF(B452="","",IF(COUNTIF(Campaigns!$A$7:$A$300,B452)&gt;0,"✓","⚠ add to Campaigns tab"))</f>
        <v/>
      </c>
      <c r="I452" s="84" t="str">
        <f aca="false">IF(C452="","",C452*IF(Settings!$B$23=Settings!$C$6,1,IF(Settings!$B$23="USD",1/INDEX(Settings!$B$29:$B$40,MONTH(A452)),INDEX(Settings!$B$29:$B$40,MONTH(A452)))))</f>
        <v/>
      </c>
    </row>
    <row r="453" customFormat="false" ht="15" hidden="false" customHeight="false" outlineLevel="0" collapsed="false">
      <c r="H453" s="0" t="str">
        <f aca="false">IF(B453="","",IF(COUNTIF(Campaigns!$A$7:$A$300,B453)&gt;0,"✓","⚠ add to Campaigns tab"))</f>
        <v/>
      </c>
      <c r="I453" s="84" t="str">
        <f aca="false">IF(C453="","",C453*IF(Settings!$B$23=Settings!$C$6,1,IF(Settings!$B$23="USD",1/INDEX(Settings!$B$29:$B$40,MONTH(A453)),INDEX(Settings!$B$29:$B$40,MONTH(A453)))))</f>
        <v/>
      </c>
    </row>
    <row r="454" customFormat="false" ht="15" hidden="false" customHeight="false" outlineLevel="0" collapsed="false">
      <c r="H454" s="0" t="str">
        <f aca="false">IF(B454="","",IF(COUNTIF(Campaigns!$A$7:$A$300,B454)&gt;0,"✓","⚠ add to Campaigns tab"))</f>
        <v/>
      </c>
      <c r="I454" s="84" t="str">
        <f aca="false">IF(C454="","",C454*IF(Settings!$B$23=Settings!$C$6,1,IF(Settings!$B$23="USD",1/INDEX(Settings!$B$29:$B$40,MONTH(A454)),INDEX(Settings!$B$29:$B$40,MONTH(A454)))))</f>
        <v/>
      </c>
    </row>
    <row r="455" customFormat="false" ht="15" hidden="false" customHeight="false" outlineLevel="0" collapsed="false">
      <c r="H455" s="0" t="str">
        <f aca="false">IF(B455="","",IF(COUNTIF(Campaigns!$A$7:$A$300,B455)&gt;0,"✓","⚠ add to Campaigns tab"))</f>
        <v/>
      </c>
      <c r="I455" s="84" t="str">
        <f aca="false">IF(C455="","",C455*IF(Settings!$B$23=Settings!$C$6,1,IF(Settings!$B$23="USD",1/INDEX(Settings!$B$29:$B$40,MONTH(A455)),INDEX(Settings!$B$29:$B$40,MONTH(A455)))))</f>
        <v/>
      </c>
    </row>
    <row r="456" customFormat="false" ht="15" hidden="false" customHeight="false" outlineLevel="0" collapsed="false">
      <c r="H456" s="0" t="str">
        <f aca="false">IF(B456="","",IF(COUNTIF(Campaigns!$A$7:$A$300,B456)&gt;0,"✓","⚠ add to Campaigns tab"))</f>
        <v/>
      </c>
      <c r="I456" s="84" t="str">
        <f aca="false">IF(C456="","",C456*IF(Settings!$B$23=Settings!$C$6,1,IF(Settings!$B$23="USD",1/INDEX(Settings!$B$29:$B$40,MONTH(A456)),INDEX(Settings!$B$29:$B$40,MONTH(A456)))))</f>
        <v/>
      </c>
    </row>
    <row r="457" customFormat="false" ht="15" hidden="false" customHeight="false" outlineLevel="0" collapsed="false">
      <c r="H457" s="0" t="str">
        <f aca="false">IF(B457="","",IF(COUNTIF(Campaigns!$A$7:$A$300,B457)&gt;0,"✓","⚠ add to Campaigns tab"))</f>
        <v/>
      </c>
      <c r="I457" s="84" t="str">
        <f aca="false">IF(C457="","",C457*IF(Settings!$B$23=Settings!$C$6,1,IF(Settings!$B$23="USD",1/INDEX(Settings!$B$29:$B$40,MONTH(A457)),INDEX(Settings!$B$29:$B$40,MONTH(A457)))))</f>
        <v/>
      </c>
    </row>
    <row r="458" customFormat="false" ht="15" hidden="false" customHeight="false" outlineLevel="0" collapsed="false">
      <c r="H458" s="0" t="str">
        <f aca="false">IF(B458="","",IF(COUNTIF(Campaigns!$A$7:$A$300,B458)&gt;0,"✓","⚠ add to Campaigns tab"))</f>
        <v/>
      </c>
      <c r="I458" s="84" t="str">
        <f aca="false">IF(C458="","",C458*IF(Settings!$B$23=Settings!$C$6,1,IF(Settings!$B$23="USD",1/INDEX(Settings!$B$29:$B$40,MONTH(A458)),INDEX(Settings!$B$29:$B$40,MONTH(A458)))))</f>
        <v/>
      </c>
    </row>
    <row r="459" customFormat="false" ht="15" hidden="false" customHeight="false" outlineLevel="0" collapsed="false">
      <c r="H459" s="0" t="str">
        <f aca="false">IF(B459="","",IF(COUNTIF(Campaigns!$A$7:$A$300,B459)&gt;0,"✓","⚠ add to Campaigns tab"))</f>
        <v/>
      </c>
      <c r="I459" s="84" t="str">
        <f aca="false">IF(C459="","",C459*IF(Settings!$B$23=Settings!$C$6,1,IF(Settings!$B$23="USD",1/INDEX(Settings!$B$29:$B$40,MONTH(A459)),INDEX(Settings!$B$29:$B$40,MONTH(A459)))))</f>
        <v/>
      </c>
    </row>
    <row r="460" customFormat="false" ht="15" hidden="false" customHeight="false" outlineLevel="0" collapsed="false">
      <c r="H460" s="0" t="str">
        <f aca="false">IF(B460="","",IF(COUNTIF(Campaigns!$A$7:$A$300,B460)&gt;0,"✓","⚠ add to Campaigns tab"))</f>
        <v/>
      </c>
      <c r="I460" s="84" t="str">
        <f aca="false">IF(C460="","",C460*IF(Settings!$B$23=Settings!$C$6,1,IF(Settings!$B$23="USD",1/INDEX(Settings!$B$29:$B$40,MONTH(A460)),INDEX(Settings!$B$29:$B$40,MONTH(A460)))))</f>
        <v/>
      </c>
    </row>
    <row r="461" customFormat="false" ht="15" hidden="false" customHeight="false" outlineLevel="0" collapsed="false">
      <c r="H461" s="0" t="str">
        <f aca="false">IF(B461="","",IF(COUNTIF(Campaigns!$A$7:$A$300,B461)&gt;0,"✓","⚠ add to Campaigns tab"))</f>
        <v/>
      </c>
      <c r="I461" s="84" t="str">
        <f aca="false">IF(C461="","",C461*IF(Settings!$B$23=Settings!$C$6,1,IF(Settings!$B$23="USD",1/INDEX(Settings!$B$29:$B$40,MONTH(A461)),INDEX(Settings!$B$29:$B$40,MONTH(A461)))))</f>
        <v/>
      </c>
    </row>
    <row r="462" customFormat="false" ht="15" hidden="false" customHeight="false" outlineLevel="0" collapsed="false">
      <c r="H462" s="0" t="str">
        <f aca="false">IF(B462="","",IF(COUNTIF(Campaigns!$A$7:$A$300,B462)&gt;0,"✓","⚠ add to Campaigns tab"))</f>
        <v/>
      </c>
      <c r="I462" s="84" t="str">
        <f aca="false">IF(C462="","",C462*IF(Settings!$B$23=Settings!$C$6,1,IF(Settings!$B$23="USD",1/INDEX(Settings!$B$29:$B$40,MONTH(A462)),INDEX(Settings!$B$29:$B$40,MONTH(A462)))))</f>
        <v/>
      </c>
    </row>
    <row r="463" customFormat="false" ht="15" hidden="false" customHeight="false" outlineLevel="0" collapsed="false">
      <c r="H463" s="0" t="str">
        <f aca="false">IF(B463="","",IF(COUNTIF(Campaigns!$A$7:$A$300,B463)&gt;0,"✓","⚠ add to Campaigns tab"))</f>
        <v/>
      </c>
      <c r="I463" s="84" t="str">
        <f aca="false">IF(C463="","",C463*IF(Settings!$B$23=Settings!$C$6,1,IF(Settings!$B$23="USD",1/INDEX(Settings!$B$29:$B$40,MONTH(A463)),INDEX(Settings!$B$29:$B$40,MONTH(A463)))))</f>
        <v/>
      </c>
    </row>
    <row r="464" customFormat="false" ht="15" hidden="false" customHeight="false" outlineLevel="0" collapsed="false">
      <c r="H464" s="0" t="str">
        <f aca="false">IF(B464="","",IF(COUNTIF(Campaigns!$A$7:$A$300,B464)&gt;0,"✓","⚠ add to Campaigns tab"))</f>
        <v/>
      </c>
      <c r="I464" s="84" t="str">
        <f aca="false">IF(C464="","",C464*IF(Settings!$B$23=Settings!$C$6,1,IF(Settings!$B$23="USD",1/INDEX(Settings!$B$29:$B$40,MONTH(A464)),INDEX(Settings!$B$29:$B$40,MONTH(A464)))))</f>
        <v/>
      </c>
    </row>
    <row r="465" customFormat="false" ht="15" hidden="false" customHeight="false" outlineLevel="0" collapsed="false">
      <c r="H465" s="0" t="str">
        <f aca="false">IF(B465="","",IF(COUNTIF(Campaigns!$A$7:$A$300,B465)&gt;0,"✓","⚠ add to Campaigns tab"))</f>
        <v/>
      </c>
      <c r="I465" s="84" t="str">
        <f aca="false">IF(C465="","",C465*IF(Settings!$B$23=Settings!$C$6,1,IF(Settings!$B$23="USD",1/INDEX(Settings!$B$29:$B$40,MONTH(A465)),INDEX(Settings!$B$29:$B$40,MONTH(A465)))))</f>
        <v/>
      </c>
    </row>
    <row r="466" customFormat="false" ht="15" hidden="false" customHeight="false" outlineLevel="0" collapsed="false">
      <c r="H466" s="0" t="str">
        <f aca="false">IF(B466="","",IF(COUNTIF(Campaigns!$A$7:$A$300,B466)&gt;0,"✓","⚠ add to Campaigns tab"))</f>
        <v/>
      </c>
      <c r="I466" s="84" t="str">
        <f aca="false">IF(C466="","",C466*IF(Settings!$B$23=Settings!$C$6,1,IF(Settings!$B$23="USD",1/INDEX(Settings!$B$29:$B$40,MONTH(A466)),INDEX(Settings!$B$29:$B$40,MONTH(A466)))))</f>
        <v/>
      </c>
    </row>
    <row r="467" customFormat="false" ht="15" hidden="false" customHeight="false" outlineLevel="0" collapsed="false">
      <c r="H467" s="0" t="str">
        <f aca="false">IF(B467="","",IF(COUNTIF(Campaigns!$A$7:$A$300,B467)&gt;0,"✓","⚠ add to Campaigns tab"))</f>
        <v/>
      </c>
      <c r="I467" s="84" t="str">
        <f aca="false">IF(C467="","",C467*IF(Settings!$B$23=Settings!$C$6,1,IF(Settings!$B$23="USD",1/INDEX(Settings!$B$29:$B$40,MONTH(A467)),INDEX(Settings!$B$29:$B$40,MONTH(A467)))))</f>
        <v/>
      </c>
    </row>
    <row r="468" customFormat="false" ht="15" hidden="false" customHeight="false" outlineLevel="0" collapsed="false">
      <c r="H468" s="0" t="str">
        <f aca="false">IF(B468="","",IF(COUNTIF(Campaigns!$A$7:$A$300,B468)&gt;0,"✓","⚠ add to Campaigns tab"))</f>
        <v/>
      </c>
      <c r="I468" s="84" t="str">
        <f aca="false">IF(C468="","",C468*IF(Settings!$B$23=Settings!$C$6,1,IF(Settings!$B$23="USD",1/INDEX(Settings!$B$29:$B$40,MONTH(A468)),INDEX(Settings!$B$29:$B$40,MONTH(A468)))))</f>
        <v/>
      </c>
    </row>
    <row r="469" customFormat="false" ht="15" hidden="false" customHeight="false" outlineLevel="0" collapsed="false">
      <c r="H469" s="0" t="str">
        <f aca="false">IF(B469="","",IF(COUNTIF(Campaigns!$A$7:$A$300,B469)&gt;0,"✓","⚠ add to Campaigns tab"))</f>
        <v/>
      </c>
      <c r="I469" s="84" t="str">
        <f aca="false">IF(C469="","",C469*IF(Settings!$B$23=Settings!$C$6,1,IF(Settings!$B$23="USD",1/INDEX(Settings!$B$29:$B$40,MONTH(A469)),INDEX(Settings!$B$29:$B$40,MONTH(A469)))))</f>
        <v/>
      </c>
    </row>
    <row r="470" customFormat="false" ht="15" hidden="false" customHeight="false" outlineLevel="0" collapsed="false">
      <c r="H470" s="0" t="str">
        <f aca="false">IF(B470="","",IF(COUNTIF(Campaigns!$A$7:$A$300,B470)&gt;0,"✓","⚠ add to Campaigns tab"))</f>
        <v/>
      </c>
      <c r="I470" s="84" t="str">
        <f aca="false">IF(C470="","",C470*IF(Settings!$B$23=Settings!$C$6,1,IF(Settings!$B$23="USD",1/INDEX(Settings!$B$29:$B$40,MONTH(A470)),INDEX(Settings!$B$29:$B$40,MONTH(A470)))))</f>
        <v/>
      </c>
    </row>
    <row r="471" customFormat="false" ht="15" hidden="false" customHeight="false" outlineLevel="0" collapsed="false">
      <c r="H471" s="0" t="str">
        <f aca="false">IF(B471="","",IF(COUNTIF(Campaigns!$A$7:$A$300,B471)&gt;0,"✓","⚠ add to Campaigns tab"))</f>
        <v/>
      </c>
      <c r="I471" s="84" t="str">
        <f aca="false">IF(C471="","",C471*IF(Settings!$B$23=Settings!$C$6,1,IF(Settings!$B$23="USD",1/INDEX(Settings!$B$29:$B$40,MONTH(A471)),INDEX(Settings!$B$29:$B$40,MONTH(A471)))))</f>
        <v/>
      </c>
    </row>
    <row r="472" customFormat="false" ht="15" hidden="false" customHeight="false" outlineLevel="0" collapsed="false">
      <c r="H472" s="0" t="str">
        <f aca="false">IF(B472="","",IF(COUNTIF(Campaigns!$A$7:$A$300,B472)&gt;0,"✓","⚠ add to Campaigns tab"))</f>
        <v/>
      </c>
      <c r="I472" s="84" t="str">
        <f aca="false">IF(C472="","",C472*IF(Settings!$B$23=Settings!$C$6,1,IF(Settings!$B$23="USD",1/INDEX(Settings!$B$29:$B$40,MONTH(A472)),INDEX(Settings!$B$29:$B$40,MONTH(A472)))))</f>
        <v/>
      </c>
    </row>
    <row r="473" customFormat="false" ht="15" hidden="false" customHeight="false" outlineLevel="0" collapsed="false">
      <c r="H473" s="0" t="str">
        <f aca="false">IF(B473="","",IF(COUNTIF(Campaigns!$A$7:$A$300,B473)&gt;0,"✓","⚠ add to Campaigns tab"))</f>
        <v/>
      </c>
      <c r="I473" s="84" t="str">
        <f aca="false">IF(C473="","",C473*IF(Settings!$B$23=Settings!$C$6,1,IF(Settings!$B$23="USD",1/INDEX(Settings!$B$29:$B$40,MONTH(A473)),INDEX(Settings!$B$29:$B$40,MONTH(A473)))))</f>
        <v/>
      </c>
    </row>
    <row r="474" customFormat="false" ht="15" hidden="false" customHeight="false" outlineLevel="0" collapsed="false">
      <c r="H474" s="0" t="str">
        <f aca="false">IF(B474="","",IF(COUNTIF(Campaigns!$A$7:$A$300,B474)&gt;0,"✓","⚠ add to Campaigns tab"))</f>
        <v/>
      </c>
      <c r="I474" s="84" t="str">
        <f aca="false">IF(C474="","",C474*IF(Settings!$B$23=Settings!$C$6,1,IF(Settings!$B$23="USD",1/INDEX(Settings!$B$29:$B$40,MONTH(A474)),INDEX(Settings!$B$29:$B$40,MONTH(A474)))))</f>
        <v/>
      </c>
    </row>
    <row r="475" customFormat="false" ht="15" hidden="false" customHeight="false" outlineLevel="0" collapsed="false">
      <c r="H475" s="0" t="str">
        <f aca="false">IF(B475="","",IF(COUNTIF(Campaigns!$A$7:$A$300,B475)&gt;0,"✓","⚠ add to Campaigns tab"))</f>
        <v/>
      </c>
      <c r="I475" s="84" t="str">
        <f aca="false">IF(C475="","",C475*IF(Settings!$B$23=Settings!$C$6,1,IF(Settings!$B$23="USD",1/INDEX(Settings!$B$29:$B$40,MONTH(A475)),INDEX(Settings!$B$29:$B$40,MONTH(A475)))))</f>
        <v/>
      </c>
    </row>
    <row r="476" customFormat="false" ht="15" hidden="false" customHeight="false" outlineLevel="0" collapsed="false">
      <c r="H476" s="0" t="str">
        <f aca="false">IF(B476="","",IF(COUNTIF(Campaigns!$A$7:$A$300,B476)&gt;0,"✓","⚠ add to Campaigns tab"))</f>
        <v/>
      </c>
      <c r="I476" s="84" t="str">
        <f aca="false">IF(C476="","",C476*IF(Settings!$B$23=Settings!$C$6,1,IF(Settings!$B$23="USD",1/INDEX(Settings!$B$29:$B$40,MONTH(A476)),INDEX(Settings!$B$29:$B$40,MONTH(A476)))))</f>
        <v/>
      </c>
    </row>
    <row r="477" customFormat="false" ht="15" hidden="false" customHeight="false" outlineLevel="0" collapsed="false">
      <c r="H477" s="0" t="str">
        <f aca="false">IF(B477="","",IF(COUNTIF(Campaigns!$A$7:$A$300,B477)&gt;0,"✓","⚠ add to Campaigns tab"))</f>
        <v/>
      </c>
      <c r="I477" s="84" t="str">
        <f aca="false">IF(C477="","",C477*IF(Settings!$B$23=Settings!$C$6,1,IF(Settings!$B$23="USD",1/INDEX(Settings!$B$29:$B$40,MONTH(A477)),INDEX(Settings!$B$29:$B$40,MONTH(A477)))))</f>
        <v/>
      </c>
    </row>
    <row r="478" customFormat="false" ht="15" hidden="false" customHeight="false" outlineLevel="0" collapsed="false">
      <c r="H478" s="0" t="str">
        <f aca="false">IF(B478="","",IF(COUNTIF(Campaigns!$A$7:$A$300,B478)&gt;0,"✓","⚠ add to Campaigns tab"))</f>
        <v/>
      </c>
      <c r="I478" s="84" t="str">
        <f aca="false">IF(C478="","",C478*IF(Settings!$B$23=Settings!$C$6,1,IF(Settings!$B$23="USD",1/INDEX(Settings!$B$29:$B$40,MONTH(A478)),INDEX(Settings!$B$29:$B$40,MONTH(A478)))))</f>
        <v/>
      </c>
    </row>
    <row r="479" customFormat="false" ht="15" hidden="false" customHeight="false" outlineLevel="0" collapsed="false">
      <c r="H479" s="0" t="str">
        <f aca="false">IF(B479="","",IF(COUNTIF(Campaigns!$A$7:$A$300,B479)&gt;0,"✓","⚠ add to Campaigns tab"))</f>
        <v/>
      </c>
      <c r="I479" s="84" t="str">
        <f aca="false">IF(C479="","",C479*IF(Settings!$B$23=Settings!$C$6,1,IF(Settings!$B$23="USD",1/INDEX(Settings!$B$29:$B$40,MONTH(A479)),INDEX(Settings!$B$29:$B$40,MONTH(A479)))))</f>
        <v/>
      </c>
    </row>
    <row r="480" customFormat="false" ht="15" hidden="false" customHeight="false" outlineLevel="0" collapsed="false">
      <c r="H480" s="0" t="str">
        <f aca="false">IF(B480="","",IF(COUNTIF(Campaigns!$A$7:$A$300,B480)&gt;0,"✓","⚠ add to Campaigns tab"))</f>
        <v/>
      </c>
      <c r="I480" s="84" t="str">
        <f aca="false">IF(C480="","",C480*IF(Settings!$B$23=Settings!$C$6,1,IF(Settings!$B$23="USD",1/INDEX(Settings!$B$29:$B$40,MONTH(A480)),INDEX(Settings!$B$29:$B$40,MONTH(A480)))))</f>
        <v/>
      </c>
    </row>
    <row r="481" customFormat="false" ht="15" hidden="false" customHeight="false" outlineLevel="0" collapsed="false">
      <c r="H481" s="0" t="str">
        <f aca="false">IF(B481="","",IF(COUNTIF(Campaigns!$A$7:$A$300,B481)&gt;0,"✓","⚠ add to Campaigns tab"))</f>
        <v/>
      </c>
      <c r="I481" s="84" t="str">
        <f aca="false">IF(C481="","",C481*IF(Settings!$B$23=Settings!$C$6,1,IF(Settings!$B$23="USD",1/INDEX(Settings!$B$29:$B$40,MONTH(A481)),INDEX(Settings!$B$29:$B$40,MONTH(A481)))))</f>
        <v/>
      </c>
    </row>
    <row r="482" customFormat="false" ht="15" hidden="false" customHeight="false" outlineLevel="0" collapsed="false">
      <c r="H482" s="0" t="str">
        <f aca="false">IF(B482="","",IF(COUNTIF(Campaigns!$A$7:$A$300,B482)&gt;0,"✓","⚠ add to Campaigns tab"))</f>
        <v/>
      </c>
      <c r="I482" s="84" t="str">
        <f aca="false">IF(C482="","",C482*IF(Settings!$B$23=Settings!$C$6,1,IF(Settings!$B$23="USD",1/INDEX(Settings!$B$29:$B$40,MONTH(A482)),INDEX(Settings!$B$29:$B$40,MONTH(A482)))))</f>
        <v/>
      </c>
    </row>
    <row r="483" customFormat="false" ht="15" hidden="false" customHeight="false" outlineLevel="0" collapsed="false">
      <c r="H483" s="0" t="str">
        <f aca="false">IF(B483="","",IF(COUNTIF(Campaigns!$A$7:$A$300,B483)&gt;0,"✓","⚠ add to Campaigns tab"))</f>
        <v/>
      </c>
      <c r="I483" s="84" t="str">
        <f aca="false">IF(C483="","",C483*IF(Settings!$B$23=Settings!$C$6,1,IF(Settings!$B$23="USD",1/INDEX(Settings!$B$29:$B$40,MONTH(A483)),INDEX(Settings!$B$29:$B$40,MONTH(A483)))))</f>
        <v/>
      </c>
    </row>
    <row r="484" customFormat="false" ht="15" hidden="false" customHeight="false" outlineLevel="0" collapsed="false">
      <c r="H484" s="0" t="str">
        <f aca="false">IF(B484="","",IF(COUNTIF(Campaigns!$A$7:$A$300,B484)&gt;0,"✓","⚠ add to Campaigns tab"))</f>
        <v/>
      </c>
      <c r="I484" s="84" t="str">
        <f aca="false">IF(C484="","",C484*IF(Settings!$B$23=Settings!$C$6,1,IF(Settings!$B$23="USD",1/INDEX(Settings!$B$29:$B$40,MONTH(A484)),INDEX(Settings!$B$29:$B$40,MONTH(A484)))))</f>
        <v/>
      </c>
    </row>
    <row r="485" customFormat="false" ht="15" hidden="false" customHeight="false" outlineLevel="0" collapsed="false">
      <c r="H485" s="0" t="str">
        <f aca="false">IF(B485="","",IF(COUNTIF(Campaigns!$A$7:$A$300,B485)&gt;0,"✓","⚠ add to Campaigns tab"))</f>
        <v/>
      </c>
      <c r="I485" s="84" t="str">
        <f aca="false">IF(C485="","",C485*IF(Settings!$B$23=Settings!$C$6,1,IF(Settings!$B$23="USD",1/INDEX(Settings!$B$29:$B$40,MONTH(A485)),INDEX(Settings!$B$29:$B$40,MONTH(A485)))))</f>
        <v/>
      </c>
    </row>
    <row r="486" customFormat="false" ht="15" hidden="false" customHeight="false" outlineLevel="0" collapsed="false">
      <c r="H486" s="0" t="str">
        <f aca="false">IF(B486="","",IF(COUNTIF(Campaigns!$A$7:$A$300,B486)&gt;0,"✓","⚠ add to Campaigns tab"))</f>
        <v/>
      </c>
      <c r="I486" s="84" t="str">
        <f aca="false">IF(C486="","",C486*IF(Settings!$B$23=Settings!$C$6,1,IF(Settings!$B$23="USD",1/INDEX(Settings!$B$29:$B$40,MONTH(A486)),INDEX(Settings!$B$29:$B$40,MONTH(A486)))))</f>
        <v/>
      </c>
    </row>
    <row r="487" customFormat="false" ht="15" hidden="false" customHeight="false" outlineLevel="0" collapsed="false">
      <c r="H487" s="0" t="str">
        <f aca="false">IF(B487="","",IF(COUNTIF(Campaigns!$A$7:$A$300,B487)&gt;0,"✓","⚠ add to Campaigns tab"))</f>
        <v/>
      </c>
      <c r="I487" s="84" t="str">
        <f aca="false">IF(C487="","",C487*IF(Settings!$B$23=Settings!$C$6,1,IF(Settings!$B$23="USD",1/INDEX(Settings!$B$29:$B$40,MONTH(A487)),INDEX(Settings!$B$29:$B$40,MONTH(A487)))))</f>
        <v/>
      </c>
    </row>
    <row r="488" customFormat="false" ht="15" hidden="false" customHeight="false" outlineLevel="0" collapsed="false">
      <c r="H488" s="0" t="str">
        <f aca="false">IF(B488="","",IF(COUNTIF(Campaigns!$A$7:$A$300,B488)&gt;0,"✓","⚠ add to Campaigns tab"))</f>
        <v/>
      </c>
      <c r="I488" s="84" t="str">
        <f aca="false">IF(C488="","",C488*IF(Settings!$B$23=Settings!$C$6,1,IF(Settings!$B$23="USD",1/INDEX(Settings!$B$29:$B$40,MONTH(A488)),INDEX(Settings!$B$29:$B$40,MONTH(A488)))))</f>
        <v/>
      </c>
    </row>
    <row r="489" customFormat="false" ht="15" hidden="false" customHeight="false" outlineLevel="0" collapsed="false">
      <c r="H489" s="0" t="str">
        <f aca="false">IF(B489="","",IF(COUNTIF(Campaigns!$A$7:$A$300,B489)&gt;0,"✓","⚠ add to Campaigns tab"))</f>
        <v/>
      </c>
      <c r="I489" s="84" t="str">
        <f aca="false">IF(C489="","",C489*IF(Settings!$B$23=Settings!$C$6,1,IF(Settings!$B$23="USD",1/INDEX(Settings!$B$29:$B$40,MONTH(A489)),INDEX(Settings!$B$29:$B$40,MONTH(A489)))))</f>
        <v/>
      </c>
    </row>
    <row r="490" customFormat="false" ht="15" hidden="false" customHeight="false" outlineLevel="0" collapsed="false">
      <c r="H490" s="0" t="str">
        <f aca="false">IF(B490="","",IF(COUNTIF(Campaigns!$A$7:$A$300,B490)&gt;0,"✓","⚠ add to Campaigns tab"))</f>
        <v/>
      </c>
      <c r="I490" s="84" t="str">
        <f aca="false">IF(C490="","",C490*IF(Settings!$B$23=Settings!$C$6,1,IF(Settings!$B$23="USD",1/INDEX(Settings!$B$29:$B$40,MONTH(A490)),INDEX(Settings!$B$29:$B$40,MONTH(A490)))))</f>
        <v/>
      </c>
    </row>
    <row r="491" customFormat="false" ht="15" hidden="false" customHeight="false" outlineLevel="0" collapsed="false">
      <c r="H491" s="0" t="str">
        <f aca="false">IF(B491="","",IF(COUNTIF(Campaigns!$A$7:$A$300,B491)&gt;0,"✓","⚠ add to Campaigns tab"))</f>
        <v/>
      </c>
      <c r="I491" s="84" t="str">
        <f aca="false">IF(C491="","",C491*IF(Settings!$B$23=Settings!$C$6,1,IF(Settings!$B$23="USD",1/INDEX(Settings!$B$29:$B$40,MONTH(A491)),INDEX(Settings!$B$29:$B$40,MONTH(A491)))))</f>
        <v/>
      </c>
    </row>
    <row r="492" customFormat="false" ht="15" hidden="false" customHeight="false" outlineLevel="0" collapsed="false">
      <c r="H492" s="0" t="str">
        <f aca="false">IF(B492="","",IF(COUNTIF(Campaigns!$A$7:$A$300,B492)&gt;0,"✓","⚠ add to Campaigns tab"))</f>
        <v/>
      </c>
      <c r="I492" s="84" t="str">
        <f aca="false">IF(C492="","",C492*IF(Settings!$B$23=Settings!$C$6,1,IF(Settings!$B$23="USD",1/INDEX(Settings!$B$29:$B$40,MONTH(A492)),INDEX(Settings!$B$29:$B$40,MONTH(A492)))))</f>
        <v/>
      </c>
    </row>
    <row r="493" customFormat="false" ht="15" hidden="false" customHeight="false" outlineLevel="0" collapsed="false">
      <c r="H493" s="0" t="str">
        <f aca="false">IF(B493="","",IF(COUNTIF(Campaigns!$A$7:$A$300,B493)&gt;0,"✓","⚠ add to Campaigns tab"))</f>
        <v/>
      </c>
      <c r="I493" s="84" t="str">
        <f aca="false">IF(C493="","",C493*IF(Settings!$B$23=Settings!$C$6,1,IF(Settings!$B$23="USD",1/INDEX(Settings!$B$29:$B$40,MONTH(A493)),INDEX(Settings!$B$29:$B$40,MONTH(A493)))))</f>
        <v/>
      </c>
    </row>
    <row r="494" customFormat="false" ht="15" hidden="false" customHeight="false" outlineLevel="0" collapsed="false">
      <c r="H494" s="0" t="str">
        <f aca="false">IF(B494="","",IF(COUNTIF(Campaigns!$A$7:$A$300,B494)&gt;0,"✓","⚠ add to Campaigns tab"))</f>
        <v/>
      </c>
      <c r="I494" s="84" t="str">
        <f aca="false">IF(C494="","",C494*IF(Settings!$B$23=Settings!$C$6,1,IF(Settings!$B$23="USD",1/INDEX(Settings!$B$29:$B$40,MONTH(A494)),INDEX(Settings!$B$29:$B$40,MONTH(A494)))))</f>
        <v/>
      </c>
    </row>
    <row r="495" customFormat="false" ht="15" hidden="false" customHeight="false" outlineLevel="0" collapsed="false">
      <c r="H495" s="0" t="str">
        <f aca="false">IF(B495="","",IF(COUNTIF(Campaigns!$A$7:$A$300,B495)&gt;0,"✓","⚠ add to Campaigns tab"))</f>
        <v/>
      </c>
      <c r="I495" s="84" t="str">
        <f aca="false">IF(C495="","",C495*IF(Settings!$B$23=Settings!$C$6,1,IF(Settings!$B$23="USD",1/INDEX(Settings!$B$29:$B$40,MONTH(A495)),INDEX(Settings!$B$29:$B$40,MONTH(A495)))))</f>
        <v/>
      </c>
    </row>
    <row r="496" customFormat="false" ht="15" hidden="false" customHeight="false" outlineLevel="0" collapsed="false">
      <c r="H496" s="0" t="str">
        <f aca="false">IF(B496="","",IF(COUNTIF(Campaigns!$A$7:$A$300,B496)&gt;0,"✓","⚠ add to Campaigns tab"))</f>
        <v/>
      </c>
      <c r="I496" s="84" t="str">
        <f aca="false">IF(C496="","",C496*IF(Settings!$B$23=Settings!$C$6,1,IF(Settings!$B$23="USD",1/INDEX(Settings!$B$29:$B$40,MONTH(A496)),INDEX(Settings!$B$29:$B$40,MONTH(A496)))))</f>
        <v/>
      </c>
    </row>
    <row r="497" customFormat="false" ht="15" hidden="false" customHeight="false" outlineLevel="0" collapsed="false">
      <c r="H497" s="0" t="str">
        <f aca="false">IF(B497="","",IF(COUNTIF(Campaigns!$A$7:$A$300,B497)&gt;0,"✓","⚠ add to Campaigns tab"))</f>
        <v/>
      </c>
      <c r="I497" s="84" t="str">
        <f aca="false">IF(C497="","",C497*IF(Settings!$B$23=Settings!$C$6,1,IF(Settings!$B$23="USD",1/INDEX(Settings!$B$29:$B$40,MONTH(A497)),INDEX(Settings!$B$29:$B$40,MONTH(A497)))))</f>
        <v/>
      </c>
    </row>
    <row r="498" customFormat="false" ht="15" hidden="false" customHeight="false" outlineLevel="0" collapsed="false">
      <c r="H498" s="0" t="str">
        <f aca="false">IF(B498="","",IF(COUNTIF(Campaigns!$A$7:$A$300,B498)&gt;0,"✓","⚠ add to Campaigns tab"))</f>
        <v/>
      </c>
      <c r="I498" s="84" t="str">
        <f aca="false">IF(C498="","",C498*IF(Settings!$B$23=Settings!$C$6,1,IF(Settings!$B$23="USD",1/INDEX(Settings!$B$29:$B$40,MONTH(A498)),INDEX(Settings!$B$29:$B$40,MONTH(A498)))))</f>
        <v/>
      </c>
    </row>
    <row r="499" customFormat="false" ht="15" hidden="false" customHeight="false" outlineLevel="0" collapsed="false">
      <c r="H499" s="0" t="str">
        <f aca="false">IF(B499="","",IF(COUNTIF(Campaigns!$A$7:$A$300,B499)&gt;0,"✓","⚠ add to Campaigns tab"))</f>
        <v/>
      </c>
      <c r="I499" s="84" t="str">
        <f aca="false">IF(C499="","",C499*IF(Settings!$B$23=Settings!$C$6,1,IF(Settings!$B$23="USD",1/INDEX(Settings!$B$29:$B$40,MONTH(A499)),INDEX(Settings!$B$29:$B$40,MONTH(A499)))))</f>
        <v/>
      </c>
    </row>
    <row r="500" customFormat="false" ht="15" hidden="false" customHeight="false" outlineLevel="0" collapsed="false">
      <c r="H500" s="0" t="str">
        <f aca="false">IF(B500="","",IF(COUNTIF(Campaigns!$A$7:$A$300,B500)&gt;0,"✓","⚠ add to Campaigns tab"))</f>
        <v/>
      </c>
      <c r="I500" s="84" t="str">
        <f aca="false">IF(C500="","",C500*IF(Settings!$B$23=Settings!$C$6,1,IF(Settings!$B$23="USD",1/INDEX(Settings!$B$29:$B$40,MONTH(A500)),INDEX(Settings!$B$29:$B$40,MONTH(A500)))))</f>
        <v/>
      </c>
    </row>
    <row r="501" customFormat="false" ht="15" hidden="false" customHeight="false" outlineLevel="0" collapsed="false">
      <c r="H501" s="0" t="str">
        <f aca="false">IF(B501="","",IF(COUNTIF(Campaigns!$A$7:$A$300,B501)&gt;0,"✓","⚠ add to Campaigns tab"))</f>
        <v/>
      </c>
      <c r="I501" s="84" t="str">
        <f aca="false">IF(C501="","",C501*IF(Settings!$B$23=Settings!$C$6,1,IF(Settings!$B$23="USD",1/INDEX(Settings!$B$29:$B$40,MONTH(A501)),INDEX(Settings!$B$29:$B$40,MONTH(A501)))))</f>
        <v/>
      </c>
    </row>
    <row r="502" customFormat="false" ht="15" hidden="false" customHeight="false" outlineLevel="0" collapsed="false">
      <c r="H502" s="0" t="str">
        <f aca="false">IF(B502="","",IF(COUNTIF(Campaigns!$A$7:$A$300,B502)&gt;0,"✓","⚠ add to Campaigns tab"))</f>
        <v/>
      </c>
      <c r="I502" s="84" t="str">
        <f aca="false">IF(C502="","",C502*IF(Settings!$B$23=Settings!$C$6,1,IF(Settings!$B$23="USD",1/INDEX(Settings!$B$29:$B$40,MONTH(A502)),INDEX(Settings!$B$29:$B$40,MONTH(A502)))))</f>
        <v/>
      </c>
    </row>
    <row r="503" customFormat="false" ht="15" hidden="false" customHeight="false" outlineLevel="0" collapsed="false">
      <c r="H503" s="0" t="str">
        <f aca="false">IF(B503="","",IF(COUNTIF(Campaigns!$A$7:$A$300,B503)&gt;0,"✓","⚠ add to Campaigns tab"))</f>
        <v/>
      </c>
      <c r="I503" s="84" t="str">
        <f aca="false">IF(C503="","",C503*IF(Settings!$B$23=Settings!$C$6,1,IF(Settings!$B$23="USD",1/INDEX(Settings!$B$29:$B$40,MONTH(A503)),INDEX(Settings!$B$29:$B$40,MONTH(A503)))))</f>
        <v/>
      </c>
    </row>
    <row r="504" customFormat="false" ht="15" hidden="false" customHeight="false" outlineLevel="0" collapsed="false">
      <c r="H504" s="0" t="str">
        <f aca="false">IF(B504="","",IF(COUNTIF(Campaigns!$A$7:$A$300,B504)&gt;0,"✓","⚠ add to Campaigns tab"))</f>
        <v/>
      </c>
      <c r="I504" s="84" t="str">
        <f aca="false">IF(C504="","",C504*IF(Settings!$B$23=Settings!$C$6,1,IF(Settings!$B$23="USD",1/INDEX(Settings!$B$29:$B$40,MONTH(A504)),INDEX(Settings!$B$29:$B$40,MONTH(A504)))))</f>
        <v/>
      </c>
    </row>
    <row r="505" customFormat="false" ht="15" hidden="false" customHeight="false" outlineLevel="0" collapsed="false">
      <c r="H505" s="0" t="str">
        <f aca="false">IF(B505="","",IF(COUNTIF(Campaigns!$A$7:$A$300,B505)&gt;0,"✓","⚠ add to Campaigns tab"))</f>
        <v/>
      </c>
      <c r="I505" s="84" t="str">
        <f aca="false">IF(C505="","",C505*IF(Settings!$B$23=Settings!$C$6,1,IF(Settings!$B$23="USD",1/INDEX(Settings!$B$29:$B$40,MONTH(A505)),INDEX(Settings!$B$29:$B$40,MONTH(A505)))))</f>
        <v/>
      </c>
    </row>
    <row r="506" customFormat="false" ht="15" hidden="false" customHeight="false" outlineLevel="0" collapsed="false">
      <c r="H506" s="0" t="str">
        <f aca="false">IF(B506="","",IF(COUNTIF(Campaigns!$A$7:$A$300,B506)&gt;0,"✓","⚠ add to Campaigns tab"))</f>
        <v/>
      </c>
      <c r="I506" s="84" t="str">
        <f aca="false">IF(C506="","",C506*IF(Settings!$B$23=Settings!$C$6,1,IF(Settings!$B$23="USD",1/INDEX(Settings!$B$29:$B$40,MONTH(A506)),INDEX(Settings!$B$29:$B$40,MONTH(A506)))))</f>
        <v/>
      </c>
    </row>
    <row r="507" customFormat="false" ht="15" hidden="false" customHeight="false" outlineLevel="0" collapsed="false">
      <c r="H507" s="0" t="str">
        <f aca="false">IF(B507="","",IF(COUNTIF(Campaigns!$A$7:$A$300,B507)&gt;0,"✓","⚠ add to Campaigns tab"))</f>
        <v/>
      </c>
      <c r="I507" s="84" t="str">
        <f aca="false">IF(C507="","",C507*IF(Settings!$B$23=Settings!$C$6,1,IF(Settings!$B$23="USD",1/INDEX(Settings!$B$29:$B$40,MONTH(A507)),INDEX(Settings!$B$29:$B$40,MONTH(A507)))))</f>
        <v/>
      </c>
    </row>
    <row r="508" customFormat="false" ht="15" hidden="false" customHeight="false" outlineLevel="0" collapsed="false">
      <c r="H508" s="0" t="str">
        <f aca="false">IF(B508="","",IF(COUNTIF(Campaigns!$A$7:$A$300,B508)&gt;0,"✓","⚠ add to Campaigns tab"))</f>
        <v/>
      </c>
      <c r="I508" s="84" t="str">
        <f aca="false">IF(C508="","",C508*IF(Settings!$B$23=Settings!$C$6,1,IF(Settings!$B$23="USD",1/INDEX(Settings!$B$29:$B$40,MONTH(A508)),INDEX(Settings!$B$29:$B$40,MONTH(A508)))))</f>
        <v/>
      </c>
    </row>
    <row r="509" customFormat="false" ht="15" hidden="false" customHeight="false" outlineLevel="0" collapsed="false">
      <c r="H509" s="0" t="str">
        <f aca="false">IF(B509="","",IF(COUNTIF(Campaigns!$A$7:$A$300,B509)&gt;0,"✓","⚠ add to Campaigns tab"))</f>
        <v/>
      </c>
      <c r="I509" s="84" t="str">
        <f aca="false">IF(C509="","",C509*IF(Settings!$B$23=Settings!$C$6,1,IF(Settings!$B$23="USD",1/INDEX(Settings!$B$29:$B$40,MONTH(A509)),INDEX(Settings!$B$29:$B$40,MONTH(A509)))))</f>
        <v/>
      </c>
    </row>
    <row r="510" customFormat="false" ht="15" hidden="false" customHeight="false" outlineLevel="0" collapsed="false">
      <c r="H510" s="0" t="str">
        <f aca="false">IF(B510="","",IF(COUNTIF(Campaigns!$A$7:$A$300,B510)&gt;0,"✓","⚠ add to Campaigns tab"))</f>
        <v/>
      </c>
      <c r="I510" s="84" t="str">
        <f aca="false">IF(C510="","",C510*IF(Settings!$B$23=Settings!$C$6,1,IF(Settings!$B$23="USD",1/INDEX(Settings!$B$29:$B$40,MONTH(A510)),INDEX(Settings!$B$29:$B$40,MONTH(A510)))))</f>
        <v/>
      </c>
    </row>
    <row r="511" customFormat="false" ht="15" hidden="false" customHeight="false" outlineLevel="0" collapsed="false">
      <c r="H511" s="0" t="str">
        <f aca="false">IF(B511="","",IF(COUNTIF(Campaigns!$A$7:$A$300,B511)&gt;0,"✓","⚠ add to Campaigns tab"))</f>
        <v/>
      </c>
      <c r="I511" s="84" t="str">
        <f aca="false">IF(C511="","",C511*IF(Settings!$B$23=Settings!$C$6,1,IF(Settings!$B$23="USD",1/INDEX(Settings!$B$29:$B$40,MONTH(A511)),INDEX(Settings!$B$29:$B$40,MONTH(A511)))))</f>
        <v/>
      </c>
    </row>
    <row r="512" customFormat="false" ht="15" hidden="false" customHeight="false" outlineLevel="0" collapsed="false">
      <c r="H512" s="0" t="str">
        <f aca="false">IF(B512="","",IF(COUNTIF(Campaigns!$A$7:$A$300,B512)&gt;0,"✓","⚠ add to Campaigns tab"))</f>
        <v/>
      </c>
      <c r="I512" s="84" t="str">
        <f aca="false">IF(C512="","",C512*IF(Settings!$B$23=Settings!$C$6,1,IF(Settings!$B$23="USD",1/INDEX(Settings!$B$29:$B$40,MONTH(A512)),INDEX(Settings!$B$29:$B$40,MONTH(A512)))))</f>
        <v/>
      </c>
    </row>
    <row r="513" customFormat="false" ht="15" hidden="false" customHeight="false" outlineLevel="0" collapsed="false">
      <c r="H513" s="0" t="str">
        <f aca="false">IF(B513="","",IF(COUNTIF(Campaigns!$A$7:$A$300,B513)&gt;0,"✓","⚠ add to Campaigns tab"))</f>
        <v/>
      </c>
      <c r="I513" s="84" t="str">
        <f aca="false">IF(C513="","",C513*IF(Settings!$B$23=Settings!$C$6,1,IF(Settings!$B$23="USD",1/INDEX(Settings!$B$29:$B$40,MONTH(A513)),INDEX(Settings!$B$29:$B$40,MONTH(A513)))))</f>
        <v/>
      </c>
    </row>
    <row r="514" customFormat="false" ht="15" hidden="false" customHeight="false" outlineLevel="0" collapsed="false">
      <c r="H514" s="0" t="str">
        <f aca="false">IF(B514="","",IF(COUNTIF(Campaigns!$A$7:$A$300,B514)&gt;0,"✓","⚠ add to Campaigns tab"))</f>
        <v/>
      </c>
      <c r="I514" s="84" t="str">
        <f aca="false">IF(C514="","",C514*IF(Settings!$B$23=Settings!$C$6,1,IF(Settings!$B$23="USD",1/INDEX(Settings!$B$29:$B$40,MONTH(A514)),INDEX(Settings!$B$29:$B$40,MONTH(A514)))))</f>
        <v/>
      </c>
    </row>
    <row r="515" customFormat="false" ht="15" hidden="false" customHeight="false" outlineLevel="0" collapsed="false">
      <c r="H515" s="0" t="str">
        <f aca="false">IF(B515="","",IF(COUNTIF(Campaigns!$A$7:$A$300,B515)&gt;0,"✓","⚠ add to Campaigns tab"))</f>
        <v/>
      </c>
      <c r="I515" s="84" t="str">
        <f aca="false">IF(C515="","",C515*IF(Settings!$B$23=Settings!$C$6,1,IF(Settings!$B$23="USD",1/INDEX(Settings!$B$29:$B$40,MONTH(A515)),INDEX(Settings!$B$29:$B$40,MONTH(A515)))))</f>
        <v/>
      </c>
    </row>
    <row r="516" customFormat="false" ht="15" hidden="false" customHeight="false" outlineLevel="0" collapsed="false">
      <c r="H516" s="0" t="str">
        <f aca="false">IF(B516="","",IF(COUNTIF(Campaigns!$A$7:$A$300,B516)&gt;0,"✓","⚠ add to Campaigns tab"))</f>
        <v/>
      </c>
      <c r="I516" s="84" t="str">
        <f aca="false">IF(C516="","",C516*IF(Settings!$B$23=Settings!$C$6,1,IF(Settings!$B$23="USD",1/INDEX(Settings!$B$29:$B$40,MONTH(A516)),INDEX(Settings!$B$29:$B$40,MONTH(A516)))))</f>
        <v/>
      </c>
    </row>
    <row r="517" customFormat="false" ht="15" hidden="false" customHeight="false" outlineLevel="0" collapsed="false">
      <c r="H517" s="0" t="str">
        <f aca="false">IF(B517="","",IF(COUNTIF(Campaigns!$A$7:$A$300,B517)&gt;0,"✓","⚠ add to Campaigns tab"))</f>
        <v/>
      </c>
      <c r="I517" s="84" t="str">
        <f aca="false">IF(C517="","",C517*IF(Settings!$B$23=Settings!$C$6,1,IF(Settings!$B$23="USD",1/INDEX(Settings!$B$29:$B$40,MONTH(A517)),INDEX(Settings!$B$29:$B$40,MONTH(A517)))))</f>
        <v/>
      </c>
    </row>
    <row r="518" customFormat="false" ht="15" hidden="false" customHeight="false" outlineLevel="0" collapsed="false">
      <c r="H518" s="0" t="str">
        <f aca="false">IF(B518="","",IF(COUNTIF(Campaigns!$A$7:$A$300,B518)&gt;0,"✓","⚠ add to Campaigns tab"))</f>
        <v/>
      </c>
      <c r="I518" s="84" t="str">
        <f aca="false">IF(C518="","",C518*IF(Settings!$B$23=Settings!$C$6,1,IF(Settings!$B$23="USD",1/INDEX(Settings!$B$29:$B$40,MONTH(A518)),INDEX(Settings!$B$29:$B$40,MONTH(A518)))))</f>
        <v/>
      </c>
    </row>
    <row r="519" customFormat="false" ht="15" hidden="false" customHeight="false" outlineLevel="0" collapsed="false">
      <c r="H519" s="0" t="str">
        <f aca="false">IF(B519="","",IF(COUNTIF(Campaigns!$A$7:$A$300,B519)&gt;0,"✓","⚠ add to Campaigns tab"))</f>
        <v/>
      </c>
      <c r="I519" s="84" t="str">
        <f aca="false">IF(C519="","",C519*IF(Settings!$B$23=Settings!$C$6,1,IF(Settings!$B$23="USD",1/INDEX(Settings!$B$29:$B$40,MONTH(A519)),INDEX(Settings!$B$29:$B$40,MONTH(A519)))))</f>
        <v/>
      </c>
    </row>
    <row r="520" customFormat="false" ht="15" hidden="false" customHeight="false" outlineLevel="0" collapsed="false">
      <c r="H520" s="0" t="str">
        <f aca="false">IF(B520="","",IF(COUNTIF(Campaigns!$A$7:$A$300,B520)&gt;0,"✓","⚠ add to Campaigns tab"))</f>
        <v/>
      </c>
      <c r="I520" s="84" t="str">
        <f aca="false">IF(C520="","",C520*IF(Settings!$B$23=Settings!$C$6,1,IF(Settings!$B$23="USD",1/INDEX(Settings!$B$29:$B$40,MONTH(A520)),INDEX(Settings!$B$29:$B$40,MONTH(A520)))))</f>
        <v/>
      </c>
    </row>
    <row r="521" customFormat="false" ht="15" hidden="false" customHeight="false" outlineLevel="0" collapsed="false">
      <c r="H521" s="0" t="str">
        <f aca="false">IF(B521="","",IF(COUNTIF(Campaigns!$A$7:$A$300,B521)&gt;0,"✓","⚠ add to Campaigns tab"))</f>
        <v/>
      </c>
      <c r="I521" s="84" t="str">
        <f aca="false">IF(C521="","",C521*IF(Settings!$B$23=Settings!$C$6,1,IF(Settings!$B$23="USD",1/INDEX(Settings!$B$29:$B$40,MONTH(A521)),INDEX(Settings!$B$29:$B$40,MONTH(A521)))))</f>
        <v/>
      </c>
    </row>
    <row r="522" customFormat="false" ht="15" hidden="false" customHeight="false" outlineLevel="0" collapsed="false">
      <c r="H522" s="0" t="str">
        <f aca="false">IF(B522="","",IF(COUNTIF(Campaigns!$A$7:$A$300,B522)&gt;0,"✓","⚠ add to Campaigns tab"))</f>
        <v/>
      </c>
      <c r="I522" s="84" t="str">
        <f aca="false">IF(C522="","",C522*IF(Settings!$B$23=Settings!$C$6,1,IF(Settings!$B$23="USD",1/INDEX(Settings!$B$29:$B$40,MONTH(A522)),INDEX(Settings!$B$29:$B$40,MONTH(A522)))))</f>
        <v/>
      </c>
    </row>
    <row r="523" customFormat="false" ht="15" hidden="false" customHeight="false" outlineLevel="0" collapsed="false">
      <c r="H523" s="0" t="str">
        <f aca="false">IF(B523="","",IF(COUNTIF(Campaigns!$A$7:$A$300,B523)&gt;0,"✓","⚠ add to Campaigns tab"))</f>
        <v/>
      </c>
      <c r="I523" s="84" t="str">
        <f aca="false">IF(C523="","",C523*IF(Settings!$B$23=Settings!$C$6,1,IF(Settings!$B$23="USD",1/INDEX(Settings!$B$29:$B$40,MONTH(A523)),INDEX(Settings!$B$29:$B$40,MONTH(A523)))))</f>
        <v/>
      </c>
    </row>
    <row r="524" customFormat="false" ht="15" hidden="false" customHeight="false" outlineLevel="0" collapsed="false">
      <c r="H524" s="0" t="str">
        <f aca="false">IF(B524="","",IF(COUNTIF(Campaigns!$A$7:$A$300,B524)&gt;0,"✓","⚠ add to Campaigns tab"))</f>
        <v/>
      </c>
      <c r="I524" s="84" t="str">
        <f aca="false">IF(C524="","",C524*IF(Settings!$B$23=Settings!$C$6,1,IF(Settings!$B$23="USD",1/INDEX(Settings!$B$29:$B$40,MONTH(A524)),INDEX(Settings!$B$29:$B$40,MONTH(A524)))))</f>
        <v/>
      </c>
    </row>
    <row r="525" customFormat="false" ht="15" hidden="false" customHeight="false" outlineLevel="0" collapsed="false">
      <c r="H525" s="0" t="str">
        <f aca="false">IF(B525="","",IF(COUNTIF(Campaigns!$A$7:$A$300,B525)&gt;0,"✓","⚠ add to Campaigns tab"))</f>
        <v/>
      </c>
      <c r="I525" s="84" t="str">
        <f aca="false">IF(C525="","",C525*IF(Settings!$B$23=Settings!$C$6,1,IF(Settings!$B$23="USD",1/INDEX(Settings!$B$29:$B$40,MONTH(A525)),INDEX(Settings!$B$29:$B$40,MONTH(A525)))))</f>
        <v/>
      </c>
    </row>
    <row r="526" customFormat="false" ht="15" hidden="false" customHeight="false" outlineLevel="0" collapsed="false">
      <c r="H526" s="0" t="str">
        <f aca="false">IF(B526="","",IF(COUNTIF(Campaigns!$A$7:$A$300,B526)&gt;0,"✓","⚠ add to Campaigns tab"))</f>
        <v/>
      </c>
      <c r="I526" s="84" t="str">
        <f aca="false">IF(C526="","",C526*IF(Settings!$B$23=Settings!$C$6,1,IF(Settings!$B$23="USD",1/INDEX(Settings!$B$29:$B$40,MONTH(A526)),INDEX(Settings!$B$29:$B$40,MONTH(A526)))))</f>
        <v/>
      </c>
    </row>
    <row r="527" customFormat="false" ht="15" hidden="false" customHeight="false" outlineLevel="0" collapsed="false">
      <c r="H527" s="0" t="str">
        <f aca="false">IF(B527="","",IF(COUNTIF(Campaigns!$A$7:$A$300,B527)&gt;0,"✓","⚠ add to Campaigns tab"))</f>
        <v/>
      </c>
      <c r="I527" s="84" t="str">
        <f aca="false">IF(C527="","",C527*IF(Settings!$B$23=Settings!$C$6,1,IF(Settings!$B$23="USD",1/INDEX(Settings!$B$29:$B$40,MONTH(A527)),INDEX(Settings!$B$29:$B$40,MONTH(A527)))))</f>
        <v/>
      </c>
    </row>
    <row r="528" customFormat="false" ht="15" hidden="false" customHeight="false" outlineLevel="0" collapsed="false">
      <c r="H528" s="0" t="str">
        <f aca="false">IF(B528="","",IF(COUNTIF(Campaigns!$A$7:$A$300,B528)&gt;0,"✓","⚠ add to Campaigns tab"))</f>
        <v/>
      </c>
      <c r="I528" s="84" t="str">
        <f aca="false">IF(C528="","",C528*IF(Settings!$B$23=Settings!$C$6,1,IF(Settings!$B$23="USD",1/INDEX(Settings!$B$29:$B$40,MONTH(A528)),INDEX(Settings!$B$29:$B$40,MONTH(A528)))))</f>
        <v/>
      </c>
    </row>
    <row r="529" customFormat="false" ht="15" hidden="false" customHeight="false" outlineLevel="0" collapsed="false">
      <c r="H529" s="0" t="str">
        <f aca="false">IF(B529="","",IF(COUNTIF(Campaigns!$A$7:$A$300,B529)&gt;0,"✓","⚠ add to Campaigns tab"))</f>
        <v/>
      </c>
      <c r="I529" s="84" t="str">
        <f aca="false">IF(C529="","",C529*IF(Settings!$B$23=Settings!$C$6,1,IF(Settings!$B$23="USD",1/INDEX(Settings!$B$29:$B$40,MONTH(A529)),INDEX(Settings!$B$29:$B$40,MONTH(A529)))))</f>
        <v/>
      </c>
    </row>
    <row r="530" customFormat="false" ht="15" hidden="false" customHeight="false" outlineLevel="0" collapsed="false">
      <c r="H530" s="0" t="str">
        <f aca="false">IF(B530="","",IF(COUNTIF(Campaigns!$A$7:$A$300,B530)&gt;0,"✓","⚠ add to Campaigns tab"))</f>
        <v/>
      </c>
      <c r="I530" s="84" t="str">
        <f aca="false">IF(C530="","",C530*IF(Settings!$B$23=Settings!$C$6,1,IF(Settings!$B$23="USD",1/INDEX(Settings!$B$29:$B$40,MONTH(A530)),INDEX(Settings!$B$29:$B$40,MONTH(A530)))))</f>
        <v/>
      </c>
    </row>
    <row r="531" customFormat="false" ht="15" hidden="false" customHeight="false" outlineLevel="0" collapsed="false">
      <c r="H531" s="0" t="str">
        <f aca="false">IF(B531="","",IF(COUNTIF(Campaigns!$A$7:$A$300,B531)&gt;0,"✓","⚠ add to Campaigns tab"))</f>
        <v/>
      </c>
      <c r="I531" s="84" t="str">
        <f aca="false">IF(C531="","",C531*IF(Settings!$B$23=Settings!$C$6,1,IF(Settings!$B$23="USD",1/INDEX(Settings!$B$29:$B$40,MONTH(A531)),INDEX(Settings!$B$29:$B$40,MONTH(A531)))))</f>
        <v/>
      </c>
    </row>
    <row r="532" customFormat="false" ht="15" hidden="false" customHeight="false" outlineLevel="0" collapsed="false">
      <c r="H532" s="0" t="str">
        <f aca="false">IF(B532="","",IF(COUNTIF(Campaigns!$A$7:$A$300,B532)&gt;0,"✓","⚠ add to Campaigns tab"))</f>
        <v/>
      </c>
      <c r="I532" s="84" t="str">
        <f aca="false">IF(C532="","",C532*IF(Settings!$B$23=Settings!$C$6,1,IF(Settings!$B$23="USD",1/INDEX(Settings!$B$29:$B$40,MONTH(A532)),INDEX(Settings!$B$29:$B$40,MONTH(A532)))))</f>
        <v/>
      </c>
    </row>
    <row r="533" customFormat="false" ht="15" hidden="false" customHeight="false" outlineLevel="0" collapsed="false">
      <c r="H533" s="0" t="str">
        <f aca="false">IF(B533="","",IF(COUNTIF(Campaigns!$A$7:$A$300,B533)&gt;0,"✓","⚠ add to Campaigns tab"))</f>
        <v/>
      </c>
      <c r="I533" s="84" t="str">
        <f aca="false">IF(C533="","",C533*IF(Settings!$B$23=Settings!$C$6,1,IF(Settings!$B$23="USD",1/INDEX(Settings!$B$29:$B$40,MONTH(A533)),INDEX(Settings!$B$29:$B$40,MONTH(A533)))))</f>
        <v/>
      </c>
    </row>
    <row r="534" customFormat="false" ht="15" hidden="false" customHeight="false" outlineLevel="0" collapsed="false">
      <c r="H534" s="0" t="str">
        <f aca="false">IF(B534="","",IF(COUNTIF(Campaigns!$A$7:$A$300,B534)&gt;0,"✓","⚠ add to Campaigns tab"))</f>
        <v/>
      </c>
      <c r="I534" s="84" t="str">
        <f aca="false">IF(C534="","",C534*IF(Settings!$B$23=Settings!$C$6,1,IF(Settings!$B$23="USD",1/INDEX(Settings!$B$29:$B$40,MONTH(A534)),INDEX(Settings!$B$29:$B$40,MONTH(A534)))))</f>
        <v/>
      </c>
    </row>
    <row r="535" customFormat="false" ht="15" hidden="false" customHeight="false" outlineLevel="0" collapsed="false">
      <c r="H535" s="0" t="str">
        <f aca="false">IF(B535="","",IF(COUNTIF(Campaigns!$A$7:$A$300,B535)&gt;0,"✓","⚠ add to Campaigns tab"))</f>
        <v/>
      </c>
      <c r="I535" s="84" t="str">
        <f aca="false">IF(C535="","",C535*IF(Settings!$B$23=Settings!$C$6,1,IF(Settings!$B$23="USD",1/INDEX(Settings!$B$29:$B$40,MONTH(A535)),INDEX(Settings!$B$29:$B$40,MONTH(A535)))))</f>
        <v/>
      </c>
    </row>
    <row r="536" customFormat="false" ht="15" hidden="false" customHeight="false" outlineLevel="0" collapsed="false">
      <c r="H536" s="0" t="str">
        <f aca="false">IF(B536="","",IF(COUNTIF(Campaigns!$A$7:$A$300,B536)&gt;0,"✓","⚠ add to Campaigns tab"))</f>
        <v/>
      </c>
      <c r="I536" s="84" t="str">
        <f aca="false">IF(C536="","",C536*IF(Settings!$B$23=Settings!$C$6,1,IF(Settings!$B$23="USD",1/INDEX(Settings!$B$29:$B$40,MONTH(A536)),INDEX(Settings!$B$29:$B$40,MONTH(A536)))))</f>
        <v/>
      </c>
    </row>
    <row r="537" customFormat="false" ht="15" hidden="false" customHeight="false" outlineLevel="0" collapsed="false">
      <c r="H537" s="0" t="str">
        <f aca="false">IF(B537="","",IF(COUNTIF(Campaigns!$A$7:$A$300,B537)&gt;0,"✓","⚠ add to Campaigns tab"))</f>
        <v/>
      </c>
      <c r="I537" s="84" t="str">
        <f aca="false">IF(C537="","",C537*IF(Settings!$B$23=Settings!$C$6,1,IF(Settings!$B$23="USD",1/INDEX(Settings!$B$29:$B$40,MONTH(A537)),INDEX(Settings!$B$29:$B$40,MONTH(A537)))))</f>
        <v/>
      </c>
    </row>
    <row r="538" customFormat="false" ht="15" hidden="false" customHeight="false" outlineLevel="0" collapsed="false">
      <c r="H538" s="0" t="str">
        <f aca="false">IF(B538="","",IF(COUNTIF(Campaigns!$A$7:$A$300,B538)&gt;0,"✓","⚠ add to Campaigns tab"))</f>
        <v/>
      </c>
      <c r="I538" s="84" t="str">
        <f aca="false">IF(C538="","",C538*IF(Settings!$B$23=Settings!$C$6,1,IF(Settings!$B$23="USD",1/INDEX(Settings!$B$29:$B$40,MONTH(A538)),INDEX(Settings!$B$29:$B$40,MONTH(A538)))))</f>
        <v/>
      </c>
    </row>
    <row r="539" customFormat="false" ht="15" hidden="false" customHeight="false" outlineLevel="0" collapsed="false">
      <c r="H539" s="0" t="str">
        <f aca="false">IF(B539="","",IF(COUNTIF(Campaigns!$A$7:$A$300,B539)&gt;0,"✓","⚠ add to Campaigns tab"))</f>
        <v/>
      </c>
      <c r="I539" s="84" t="str">
        <f aca="false">IF(C539="","",C539*IF(Settings!$B$23=Settings!$C$6,1,IF(Settings!$B$23="USD",1/INDEX(Settings!$B$29:$B$40,MONTH(A539)),INDEX(Settings!$B$29:$B$40,MONTH(A539)))))</f>
        <v/>
      </c>
    </row>
    <row r="540" customFormat="false" ht="15" hidden="false" customHeight="false" outlineLevel="0" collapsed="false">
      <c r="H540" s="0" t="str">
        <f aca="false">IF(B540="","",IF(COUNTIF(Campaigns!$A$7:$A$300,B540)&gt;0,"✓","⚠ add to Campaigns tab"))</f>
        <v/>
      </c>
      <c r="I540" s="84" t="str">
        <f aca="false">IF(C540="","",C540*IF(Settings!$B$23=Settings!$C$6,1,IF(Settings!$B$23="USD",1/INDEX(Settings!$B$29:$B$40,MONTH(A540)),INDEX(Settings!$B$29:$B$40,MONTH(A540)))))</f>
        <v/>
      </c>
    </row>
    <row r="541" customFormat="false" ht="15" hidden="false" customHeight="false" outlineLevel="0" collapsed="false">
      <c r="H541" s="0" t="str">
        <f aca="false">IF(B541="","",IF(COUNTIF(Campaigns!$A$7:$A$300,B541)&gt;0,"✓","⚠ add to Campaigns tab"))</f>
        <v/>
      </c>
      <c r="I541" s="84" t="str">
        <f aca="false">IF(C541="","",C541*IF(Settings!$B$23=Settings!$C$6,1,IF(Settings!$B$23="USD",1/INDEX(Settings!$B$29:$B$40,MONTH(A541)),INDEX(Settings!$B$29:$B$40,MONTH(A541)))))</f>
        <v/>
      </c>
    </row>
    <row r="542" customFormat="false" ht="15" hidden="false" customHeight="false" outlineLevel="0" collapsed="false">
      <c r="H542" s="0" t="str">
        <f aca="false">IF(B542="","",IF(COUNTIF(Campaigns!$A$7:$A$300,B542)&gt;0,"✓","⚠ add to Campaigns tab"))</f>
        <v/>
      </c>
      <c r="I542" s="84" t="str">
        <f aca="false">IF(C542="","",C542*IF(Settings!$B$23=Settings!$C$6,1,IF(Settings!$B$23="USD",1/INDEX(Settings!$B$29:$B$40,MONTH(A542)),INDEX(Settings!$B$29:$B$40,MONTH(A542)))))</f>
        <v/>
      </c>
    </row>
    <row r="543" customFormat="false" ht="15" hidden="false" customHeight="false" outlineLevel="0" collapsed="false">
      <c r="H543" s="0" t="str">
        <f aca="false">IF(B543="","",IF(COUNTIF(Campaigns!$A$7:$A$300,B543)&gt;0,"✓","⚠ add to Campaigns tab"))</f>
        <v/>
      </c>
      <c r="I543" s="84" t="str">
        <f aca="false">IF(C543="","",C543*IF(Settings!$B$23=Settings!$C$6,1,IF(Settings!$B$23="USD",1/INDEX(Settings!$B$29:$B$40,MONTH(A543)),INDEX(Settings!$B$29:$B$40,MONTH(A543)))))</f>
        <v/>
      </c>
    </row>
    <row r="544" customFormat="false" ht="15" hidden="false" customHeight="false" outlineLevel="0" collapsed="false">
      <c r="H544" s="0" t="str">
        <f aca="false">IF(B544="","",IF(COUNTIF(Campaigns!$A$7:$A$300,B544)&gt;0,"✓","⚠ add to Campaigns tab"))</f>
        <v/>
      </c>
      <c r="I544" s="84" t="str">
        <f aca="false">IF(C544="","",C544*IF(Settings!$B$23=Settings!$C$6,1,IF(Settings!$B$23="USD",1/INDEX(Settings!$B$29:$B$40,MONTH(A544)),INDEX(Settings!$B$29:$B$40,MONTH(A544)))))</f>
        <v/>
      </c>
    </row>
    <row r="545" customFormat="false" ht="15" hidden="false" customHeight="false" outlineLevel="0" collapsed="false">
      <c r="H545" s="0" t="str">
        <f aca="false">IF(B545="","",IF(COUNTIF(Campaigns!$A$7:$A$300,B545)&gt;0,"✓","⚠ add to Campaigns tab"))</f>
        <v/>
      </c>
      <c r="I545" s="84" t="str">
        <f aca="false">IF(C545="","",C545*IF(Settings!$B$23=Settings!$C$6,1,IF(Settings!$B$23="USD",1/INDEX(Settings!$B$29:$B$40,MONTH(A545)),INDEX(Settings!$B$29:$B$40,MONTH(A545)))))</f>
        <v/>
      </c>
    </row>
    <row r="546" customFormat="false" ht="15" hidden="false" customHeight="false" outlineLevel="0" collapsed="false">
      <c r="H546" s="0" t="str">
        <f aca="false">IF(B546="","",IF(COUNTIF(Campaigns!$A$7:$A$300,B546)&gt;0,"✓","⚠ add to Campaigns tab"))</f>
        <v/>
      </c>
      <c r="I546" s="84" t="str">
        <f aca="false">IF(C546="","",C546*IF(Settings!$B$23=Settings!$C$6,1,IF(Settings!$B$23="USD",1/INDEX(Settings!$B$29:$B$40,MONTH(A546)),INDEX(Settings!$B$29:$B$40,MONTH(A546)))))</f>
        <v/>
      </c>
    </row>
    <row r="547" customFormat="false" ht="15" hidden="false" customHeight="false" outlineLevel="0" collapsed="false">
      <c r="H547" s="0" t="str">
        <f aca="false">IF(B547="","",IF(COUNTIF(Campaigns!$A$7:$A$300,B547)&gt;0,"✓","⚠ add to Campaigns tab"))</f>
        <v/>
      </c>
      <c r="I547" s="84" t="str">
        <f aca="false">IF(C547="","",C547*IF(Settings!$B$23=Settings!$C$6,1,IF(Settings!$B$23="USD",1/INDEX(Settings!$B$29:$B$40,MONTH(A547)),INDEX(Settings!$B$29:$B$40,MONTH(A547)))))</f>
        <v/>
      </c>
    </row>
    <row r="548" customFormat="false" ht="15" hidden="false" customHeight="false" outlineLevel="0" collapsed="false">
      <c r="H548" s="0" t="str">
        <f aca="false">IF(B548="","",IF(COUNTIF(Campaigns!$A$7:$A$300,B548)&gt;0,"✓","⚠ add to Campaigns tab"))</f>
        <v/>
      </c>
      <c r="I548" s="84" t="str">
        <f aca="false">IF(C548="","",C548*IF(Settings!$B$23=Settings!$C$6,1,IF(Settings!$B$23="USD",1/INDEX(Settings!$B$29:$B$40,MONTH(A548)),INDEX(Settings!$B$29:$B$40,MONTH(A548)))))</f>
        <v/>
      </c>
    </row>
    <row r="549" customFormat="false" ht="15" hidden="false" customHeight="false" outlineLevel="0" collapsed="false">
      <c r="H549" s="0" t="str">
        <f aca="false">IF(B549="","",IF(COUNTIF(Campaigns!$A$7:$A$300,B549)&gt;0,"✓","⚠ add to Campaigns tab"))</f>
        <v/>
      </c>
      <c r="I549" s="84" t="str">
        <f aca="false">IF(C549="","",C549*IF(Settings!$B$23=Settings!$C$6,1,IF(Settings!$B$23="USD",1/INDEX(Settings!$B$29:$B$40,MONTH(A549)),INDEX(Settings!$B$29:$B$40,MONTH(A549)))))</f>
        <v/>
      </c>
    </row>
    <row r="550" customFormat="false" ht="15" hidden="false" customHeight="false" outlineLevel="0" collapsed="false">
      <c r="H550" s="0" t="str">
        <f aca="false">IF(B550="","",IF(COUNTIF(Campaigns!$A$7:$A$300,B550)&gt;0,"✓","⚠ add to Campaigns tab"))</f>
        <v/>
      </c>
      <c r="I550" s="84" t="str">
        <f aca="false">IF(C550="","",C550*IF(Settings!$B$23=Settings!$C$6,1,IF(Settings!$B$23="USD",1/INDEX(Settings!$B$29:$B$40,MONTH(A550)),INDEX(Settings!$B$29:$B$40,MONTH(A550)))))</f>
        <v/>
      </c>
    </row>
    <row r="551" customFormat="false" ht="15" hidden="false" customHeight="false" outlineLevel="0" collapsed="false">
      <c r="H551" s="0" t="str">
        <f aca="false">IF(B551="","",IF(COUNTIF(Campaigns!$A$7:$A$300,B551)&gt;0,"✓","⚠ add to Campaigns tab"))</f>
        <v/>
      </c>
      <c r="I551" s="84" t="str">
        <f aca="false">IF(C551="","",C551*IF(Settings!$B$23=Settings!$C$6,1,IF(Settings!$B$23="USD",1/INDEX(Settings!$B$29:$B$40,MONTH(A551)),INDEX(Settings!$B$29:$B$40,MONTH(A551)))))</f>
        <v/>
      </c>
    </row>
    <row r="552" customFormat="false" ht="15" hidden="false" customHeight="false" outlineLevel="0" collapsed="false">
      <c r="H552" s="0" t="str">
        <f aca="false">IF(B552="","",IF(COUNTIF(Campaigns!$A$7:$A$300,B552)&gt;0,"✓","⚠ add to Campaigns tab"))</f>
        <v/>
      </c>
      <c r="I552" s="84" t="str">
        <f aca="false">IF(C552="","",C552*IF(Settings!$B$23=Settings!$C$6,1,IF(Settings!$B$23="USD",1/INDEX(Settings!$B$29:$B$40,MONTH(A552)),INDEX(Settings!$B$29:$B$40,MONTH(A552)))))</f>
        <v/>
      </c>
    </row>
    <row r="553" customFormat="false" ht="15" hidden="false" customHeight="false" outlineLevel="0" collapsed="false">
      <c r="H553" s="0" t="str">
        <f aca="false">IF(B553="","",IF(COUNTIF(Campaigns!$A$7:$A$300,B553)&gt;0,"✓","⚠ add to Campaigns tab"))</f>
        <v/>
      </c>
      <c r="I553" s="84" t="str">
        <f aca="false">IF(C553="","",C553*IF(Settings!$B$23=Settings!$C$6,1,IF(Settings!$B$23="USD",1/INDEX(Settings!$B$29:$B$40,MONTH(A553)),INDEX(Settings!$B$29:$B$40,MONTH(A553)))))</f>
        <v/>
      </c>
    </row>
    <row r="554" customFormat="false" ht="15" hidden="false" customHeight="false" outlineLevel="0" collapsed="false">
      <c r="H554" s="0" t="str">
        <f aca="false">IF(B554="","",IF(COUNTIF(Campaigns!$A$7:$A$300,B554)&gt;0,"✓","⚠ add to Campaigns tab"))</f>
        <v/>
      </c>
      <c r="I554" s="84" t="str">
        <f aca="false">IF(C554="","",C554*IF(Settings!$B$23=Settings!$C$6,1,IF(Settings!$B$23="USD",1/INDEX(Settings!$B$29:$B$40,MONTH(A554)),INDEX(Settings!$B$29:$B$40,MONTH(A554)))))</f>
        <v/>
      </c>
    </row>
    <row r="555" customFormat="false" ht="15" hidden="false" customHeight="false" outlineLevel="0" collapsed="false">
      <c r="H555" s="0" t="str">
        <f aca="false">IF(B555="","",IF(COUNTIF(Campaigns!$A$7:$A$300,B555)&gt;0,"✓","⚠ add to Campaigns tab"))</f>
        <v/>
      </c>
      <c r="I555" s="84" t="str">
        <f aca="false">IF(C555="","",C555*IF(Settings!$B$23=Settings!$C$6,1,IF(Settings!$B$23="USD",1/INDEX(Settings!$B$29:$B$40,MONTH(A555)),INDEX(Settings!$B$29:$B$40,MONTH(A555)))))</f>
        <v/>
      </c>
    </row>
    <row r="556" customFormat="false" ht="15" hidden="false" customHeight="false" outlineLevel="0" collapsed="false">
      <c r="H556" s="0" t="str">
        <f aca="false">IF(B556="","",IF(COUNTIF(Campaigns!$A$7:$A$300,B556)&gt;0,"✓","⚠ add to Campaigns tab"))</f>
        <v/>
      </c>
      <c r="I556" s="84" t="str">
        <f aca="false">IF(C556="","",C556*IF(Settings!$B$23=Settings!$C$6,1,IF(Settings!$B$23="USD",1/INDEX(Settings!$B$29:$B$40,MONTH(A556)),INDEX(Settings!$B$29:$B$40,MONTH(A556)))))</f>
        <v/>
      </c>
    </row>
    <row r="557" customFormat="false" ht="15" hidden="false" customHeight="false" outlineLevel="0" collapsed="false">
      <c r="H557" s="0" t="str">
        <f aca="false">IF(B557="","",IF(COUNTIF(Campaigns!$A$7:$A$300,B557)&gt;0,"✓","⚠ add to Campaigns tab"))</f>
        <v/>
      </c>
      <c r="I557" s="84" t="str">
        <f aca="false">IF(C557="","",C557*IF(Settings!$B$23=Settings!$C$6,1,IF(Settings!$B$23="USD",1/INDEX(Settings!$B$29:$B$40,MONTH(A557)),INDEX(Settings!$B$29:$B$40,MONTH(A557)))))</f>
        <v/>
      </c>
    </row>
    <row r="558" customFormat="false" ht="15" hidden="false" customHeight="false" outlineLevel="0" collapsed="false">
      <c r="H558" s="0" t="str">
        <f aca="false">IF(B558="","",IF(COUNTIF(Campaigns!$A$7:$A$300,B558)&gt;0,"✓","⚠ add to Campaigns tab"))</f>
        <v/>
      </c>
      <c r="I558" s="84" t="str">
        <f aca="false">IF(C558="","",C558*IF(Settings!$B$23=Settings!$C$6,1,IF(Settings!$B$23="USD",1/INDEX(Settings!$B$29:$B$40,MONTH(A558)),INDEX(Settings!$B$29:$B$40,MONTH(A558)))))</f>
        <v/>
      </c>
    </row>
    <row r="559" customFormat="false" ht="15" hidden="false" customHeight="false" outlineLevel="0" collapsed="false">
      <c r="H559" s="0" t="str">
        <f aca="false">IF(B559="","",IF(COUNTIF(Campaigns!$A$7:$A$300,B559)&gt;0,"✓","⚠ add to Campaigns tab"))</f>
        <v/>
      </c>
      <c r="I559" s="84" t="str">
        <f aca="false">IF(C559="","",C559*IF(Settings!$B$23=Settings!$C$6,1,IF(Settings!$B$23="USD",1/INDEX(Settings!$B$29:$B$40,MONTH(A559)),INDEX(Settings!$B$29:$B$40,MONTH(A559)))))</f>
        <v/>
      </c>
    </row>
    <row r="560" customFormat="false" ht="15" hidden="false" customHeight="false" outlineLevel="0" collapsed="false">
      <c r="H560" s="0" t="str">
        <f aca="false">IF(B560="","",IF(COUNTIF(Campaigns!$A$7:$A$300,B560)&gt;0,"✓","⚠ add to Campaigns tab"))</f>
        <v/>
      </c>
      <c r="I560" s="84" t="str">
        <f aca="false">IF(C560="","",C560*IF(Settings!$B$23=Settings!$C$6,1,IF(Settings!$B$23="USD",1/INDEX(Settings!$B$29:$B$40,MONTH(A560)),INDEX(Settings!$B$29:$B$40,MONTH(A560)))))</f>
        <v/>
      </c>
    </row>
    <row r="561" customFormat="false" ht="15" hidden="false" customHeight="false" outlineLevel="0" collapsed="false">
      <c r="H561" s="0" t="str">
        <f aca="false">IF(B561="","",IF(COUNTIF(Campaigns!$A$7:$A$300,B561)&gt;0,"✓","⚠ add to Campaigns tab"))</f>
        <v/>
      </c>
      <c r="I561" s="84" t="str">
        <f aca="false">IF(C561="","",C561*IF(Settings!$B$23=Settings!$C$6,1,IF(Settings!$B$23="USD",1/INDEX(Settings!$B$29:$B$40,MONTH(A561)),INDEX(Settings!$B$29:$B$40,MONTH(A561)))))</f>
        <v/>
      </c>
    </row>
    <row r="562" customFormat="false" ht="15" hidden="false" customHeight="false" outlineLevel="0" collapsed="false">
      <c r="H562" s="0" t="str">
        <f aca="false">IF(B562="","",IF(COUNTIF(Campaigns!$A$7:$A$300,B562)&gt;0,"✓","⚠ add to Campaigns tab"))</f>
        <v/>
      </c>
      <c r="I562" s="84" t="str">
        <f aca="false">IF(C562="","",C562*IF(Settings!$B$23=Settings!$C$6,1,IF(Settings!$B$23="USD",1/INDEX(Settings!$B$29:$B$40,MONTH(A562)),INDEX(Settings!$B$29:$B$40,MONTH(A562)))))</f>
        <v/>
      </c>
    </row>
    <row r="563" customFormat="false" ht="15" hidden="false" customHeight="false" outlineLevel="0" collapsed="false">
      <c r="H563" s="0" t="str">
        <f aca="false">IF(B563="","",IF(COUNTIF(Campaigns!$A$7:$A$300,B563)&gt;0,"✓","⚠ add to Campaigns tab"))</f>
        <v/>
      </c>
      <c r="I563" s="84" t="str">
        <f aca="false">IF(C563="","",C563*IF(Settings!$B$23=Settings!$C$6,1,IF(Settings!$B$23="USD",1/INDEX(Settings!$B$29:$B$40,MONTH(A563)),INDEX(Settings!$B$29:$B$40,MONTH(A563)))))</f>
        <v/>
      </c>
    </row>
    <row r="564" customFormat="false" ht="15" hidden="false" customHeight="false" outlineLevel="0" collapsed="false">
      <c r="H564" s="0" t="str">
        <f aca="false">IF(B564="","",IF(COUNTIF(Campaigns!$A$7:$A$300,B564)&gt;0,"✓","⚠ add to Campaigns tab"))</f>
        <v/>
      </c>
      <c r="I564" s="84" t="str">
        <f aca="false">IF(C564="","",C564*IF(Settings!$B$23=Settings!$C$6,1,IF(Settings!$B$23="USD",1/INDEX(Settings!$B$29:$B$40,MONTH(A564)),INDEX(Settings!$B$29:$B$40,MONTH(A564)))))</f>
        <v/>
      </c>
    </row>
    <row r="565" customFormat="false" ht="15" hidden="false" customHeight="false" outlineLevel="0" collapsed="false">
      <c r="H565" s="0" t="str">
        <f aca="false">IF(B565="","",IF(COUNTIF(Campaigns!$A$7:$A$300,B565)&gt;0,"✓","⚠ add to Campaigns tab"))</f>
        <v/>
      </c>
      <c r="I565" s="84" t="str">
        <f aca="false">IF(C565="","",C565*IF(Settings!$B$23=Settings!$C$6,1,IF(Settings!$B$23="USD",1/INDEX(Settings!$B$29:$B$40,MONTH(A565)),INDEX(Settings!$B$29:$B$40,MONTH(A565)))))</f>
        <v/>
      </c>
    </row>
    <row r="566" customFormat="false" ht="15" hidden="false" customHeight="false" outlineLevel="0" collapsed="false">
      <c r="H566" s="0" t="str">
        <f aca="false">IF(B566="","",IF(COUNTIF(Campaigns!$A$7:$A$300,B566)&gt;0,"✓","⚠ add to Campaigns tab"))</f>
        <v/>
      </c>
      <c r="I566" s="84" t="str">
        <f aca="false">IF(C566="","",C566*IF(Settings!$B$23=Settings!$C$6,1,IF(Settings!$B$23="USD",1/INDEX(Settings!$B$29:$B$40,MONTH(A566)),INDEX(Settings!$B$29:$B$40,MONTH(A566)))))</f>
        <v/>
      </c>
    </row>
    <row r="567" customFormat="false" ht="15" hidden="false" customHeight="false" outlineLevel="0" collapsed="false">
      <c r="H567" s="0" t="str">
        <f aca="false">IF(B567="","",IF(COUNTIF(Campaigns!$A$7:$A$300,B567)&gt;0,"✓","⚠ add to Campaigns tab"))</f>
        <v/>
      </c>
      <c r="I567" s="84" t="str">
        <f aca="false">IF(C567="","",C567*IF(Settings!$B$23=Settings!$C$6,1,IF(Settings!$B$23="USD",1/INDEX(Settings!$B$29:$B$40,MONTH(A567)),INDEX(Settings!$B$29:$B$40,MONTH(A567)))))</f>
        <v/>
      </c>
    </row>
    <row r="568" customFormat="false" ht="15" hidden="false" customHeight="false" outlineLevel="0" collapsed="false">
      <c r="H568" s="0" t="str">
        <f aca="false">IF(B568="","",IF(COUNTIF(Campaigns!$A$7:$A$300,B568)&gt;0,"✓","⚠ add to Campaigns tab"))</f>
        <v/>
      </c>
      <c r="I568" s="84" t="str">
        <f aca="false">IF(C568="","",C568*IF(Settings!$B$23=Settings!$C$6,1,IF(Settings!$B$23="USD",1/INDEX(Settings!$B$29:$B$40,MONTH(A568)),INDEX(Settings!$B$29:$B$40,MONTH(A568)))))</f>
        <v/>
      </c>
    </row>
    <row r="569" customFormat="false" ht="15" hidden="false" customHeight="false" outlineLevel="0" collapsed="false">
      <c r="H569" s="0" t="str">
        <f aca="false">IF(B569="","",IF(COUNTIF(Campaigns!$A$7:$A$300,B569)&gt;0,"✓","⚠ add to Campaigns tab"))</f>
        <v/>
      </c>
      <c r="I569" s="84" t="str">
        <f aca="false">IF(C569="","",C569*IF(Settings!$B$23=Settings!$C$6,1,IF(Settings!$B$23="USD",1/INDEX(Settings!$B$29:$B$40,MONTH(A569)),INDEX(Settings!$B$29:$B$40,MONTH(A569)))))</f>
        <v/>
      </c>
    </row>
    <row r="570" customFormat="false" ht="15" hidden="false" customHeight="false" outlineLevel="0" collapsed="false">
      <c r="H570" s="0" t="str">
        <f aca="false">IF(B570="","",IF(COUNTIF(Campaigns!$A$7:$A$300,B570)&gt;0,"✓","⚠ add to Campaigns tab"))</f>
        <v/>
      </c>
      <c r="I570" s="84" t="str">
        <f aca="false">IF(C570="","",C570*IF(Settings!$B$23=Settings!$C$6,1,IF(Settings!$B$23="USD",1/INDEX(Settings!$B$29:$B$40,MONTH(A570)),INDEX(Settings!$B$29:$B$40,MONTH(A570)))))</f>
        <v/>
      </c>
    </row>
    <row r="571" customFormat="false" ht="15" hidden="false" customHeight="false" outlineLevel="0" collapsed="false">
      <c r="H571" s="0" t="str">
        <f aca="false">IF(B571="","",IF(COUNTIF(Campaigns!$A$7:$A$300,B571)&gt;0,"✓","⚠ add to Campaigns tab"))</f>
        <v/>
      </c>
      <c r="I571" s="84" t="str">
        <f aca="false">IF(C571="","",C571*IF(Settings!$B$23=Settings!$C$6,1,IF(Settings!$B$23="USD",1/INDEX(Settings!$B$29:$B$40,MONTH(A571)),INDEX(Settings!$B$29:$B$40,MONTH(A571)))))</f>
        <v/>
      </c>
    </row>
    <row r="572" customFormat="false" ht="15" hidden="false" customHeight="false" outlineLevel="0" collapsed="false">
      <c r="H572" s="0" t="str">
        <f aca="false">IF(B572="","",IF(COUNTIF(Campaigns!$A$7:$A$300,B572)&gt;0,"✓","⚠ add to Campaigns tab"))</f>
        <v/>
      </c>
      <c r="I572" s="84" t="str">
        <f aca="false">IF(C572="","",C572*IF(Settings!$B$23=Settings!$C$6,1,IF(Settings!$B$23="USD",1/INDEX(Settings!$B$29:$B$40,MONTH(A572)),INDEX(Settings!$B$29:$B$40,MONTH(A572)))))</f>
        <v/>
      </c>
    </row>
    <row r="573" customFormat="false" ht="15" hidden="false" customHeight="false" outlineLevel="0" collapsed="false">
      <c r="H573" s="0" t="str">
        <f aca="false">IF(B573="","",IF(COUNTIF(Campaigns!$A$7:$A$300,B573)&gt;0,"✓","⚠ add to Campaigns tab"))</f>
        <v/>
      </c>
      <c r="I573" s="84" t="str">
        <f aca="false">IF(C573="","",C573*IF(Settings!$B$23=Settings!$C$6,1,IF(Settings!$B$23="USD",1/INDEX(Settings!$B$29:$B$40,MONTH(A573)),INDEX(Settings!$B$29:$B$40,MONTH(A573)))))</f>
        <v/>
      </c>
    </row>
    <row r="574" customFormat="false" ht="15" hidden="false" customHeight="false" outlineLevel="0" collapsed="false">
      <c r="H574" s="0" t="str">
        <f aca="false">IF(B574="","",IF(COUNTIF(Campaigns!$A$7:$A$300,B574)&gt;0,"✓","⚠ add to Campaigns tab"))</f>
        <v/>
      </c>
      <c r="I574" s="84" t="str">
        <f aca="false">IF(C574="","",C574*IF(Settings!$B$23=Settings!$C$6,1,IF(Settings!$B$23="USD",1/INDEX(Settings!$B$29:$B$40,MONTH(A574)),INDEX(Settings!$B$29:$B$40,MONTH(A574)))))</f>
        <v/>
      </c>
    </row>
    <row r="575" customFormat="false" ht="15" hidden="false" customHeight="false" outlineLevel="0" collapsed="false">
      <c r="H575" s="0" t="str">
        <f aca="false">IF(B575="","",IF(COUNTIF(Campaigns!$A$7:$A$300,B575)&gt;0,"✓","⚠ add to Campaigns tab"))</f>
        <v/>
      </c>
      <c r="I575" s="84" t="str">
        <f aca="false">IF(C575="","",C575*IF(Settings!$B$23=Settings!$C$6,1,IF(Settings!$B$23="USD",1/INDEX(Settings!$B$29:$B$40,MONTH(A575)),INDEX(Settings!$B$29:$B$40,MONTH(A575)))))</f>
        <v/>
      </c>
    </row>
    <row r="576" customFormat="false" ht="15" hidden="false" customHeight="false" outlineLevel="0" collapsed="false">
      <c r="H576" s="0" t="str">
        <f aca="false">IF(B576="","",IF(COUNTIF(Campaigns!$A$7:$A$300,B576)&gt;0,"✓","⚠ add to Campaigns tab"))</f>
        <v/>
      </c>
      <c r="I576" s="84" t="str">
        <f aca="false">IF(C576="","",C576*IF(Settings!$B$23=Settings!$C$6,1,IF(Settings!$B$23="USD",1/INDEX(Settings!$B$29:$B$40,MONTH(A576)),INDEX(Settings!$B$29:$B$40,MONTH(A576)))))</f>
        <v/>
      </c>
    </row>
    <row r="577" customFormat="false" ht="15" hidden="false" customHeight="false" outlineLevel="0" collapsed="false">
      <c r="H577" s="0" t="str">
        <f aca="false">IF(B577="","",IF(COUNTIF(Campaigns!$A$7:$A$300,B577)&gt;0,"✓","⚠ add to Campaigns tab"))</f>
        <v/>
      </c>
      <c r="I577" s="84" t="str">
        <f aca="false">IF(C577="","",C577*IF(Settings!$B$23=Settings!$C$6,1,IF(Settings!$B$23="USD",1/INDEX(Settings!$B$29:$B$40,MONTH(A577)),INDEX(Settings!$B$29:$B$40,MONTH(A577)))))</f>
        <v/>
      </c>
    </row>
    <row r="578" customFormat="false" ht="15" hidden="false" customHeight="false" outlineLevel="0" collapsed="false">
      <c r="H578" s="0" t="str">
        <f aca="false">IF(B578="","",IF(COUNTIF(Campaigns!$A$7:$A$300,B578)&gt;0,"✓","⚠ add to Campaigns tab"))</f>
        <v/>
      </c>
      <c r="I578" s="84" t="str">
        <f aca="false">IF(C578="","",C578*IF(Settings!$B$23=Settings!$C$6,1,IF(Settings!$B$23="USD",1/INDEX(Settings!$B$29:$B$40,MONTH(A578)),INDEX(Settings!$B$29:$B$40,MONTH(A578)))))</f>
        <v/>
      </c>
    </row>
    <row r="579" customFormat="false" ht="15" hidden="false" customHeight="false" outlineLevel="0" collapsed="false">
      <c r="H579" s="0" t="str">
        <f aca="false">IF(B579="","",IF(COUNTIF(Campaigns!$A$7:$A$300,B579)&gt;0,"✓","⚠ add to Campaigns tab"))</f>
        <v/>
      </c>
      <c r="I579" s="84" t="str">
        <f aca="false">IF(C579="","",C579*IF(Settings!$B$23=Settings!$C$6,1,IF(Settings!$B$23="USD",1/INDEX(Settings!$B$29:$B$40,MONTH(A579)),INDEX(Settings!$B$29:$B$40,MONTH(A579)))))</f>
        <v/>
      </c>
    </row>
    <row r="580" customFormat="false" ht="15" hidden="false" customHeight="false" outlineLevel="0" collapsed="false">
      <c r="H580" s="0" t="str">
        <f aca="false">IF(B580="","",IF(COUNTIF(Campaigns!$A$7:$A$300,B580)&gt;0,"✓","⚠ add to Campaigns tab"))</f>
        <v/>
      </c>
      <c r="I580" s="84" t="str">
        <f aca="false">IF(C580="","",C580*IF(Settings!$B$23=Settings!$C$6,1,IF(Settings!$B$23="USD",1/INDEX(Settings!$B$29:$B$40,MONTH(A580)),INDEX(Settings!$B$29:$B$40,MONTH(A580)))))</f>
        <v/>
      </c>
    </row>
    <row r="581" customFormat="false" ht="15" hidden="false" customHeight="false" outlineLevel="0" collapsed="false">
      <c r="H581" s="0" t="str">
        <f aca="false">IF(B581="","",IF(COUNTIF(Campaigns!$A$7:$A$300,B581)&gt;0,"✓","⚠ add to Campaigns tab"))</f>
        <v/>
      </c>
      <c r="I581" s="84" t="str">
        <f aca="false">IF(C581="","",C581*IF(Settings!$B$23=Settings!$C$6,1,IF(Settings!$B$23="USD",1/INDEX(Settings!$B$29:$B$40,MONTH(A581)),INDEX(Settings!$B$29:$B$40,MONTH(A581)))))</f>
        <v/>
      </c>
    </row>
    <row r="582" customFormat="false" ht="15" hidden="false" customHeight="false" outlineLevel="0" collapsed="false">
      <c r="H582" s="0" t="str">
        <f aca="false">IF(B582="","",IF(COUNTIF(Campaigns!$A$7:$A$300,B582)&gt;0,"✓","⚠ add to Campaigns tab"))</f>
        <v/>
      </c>
      <c r="I582" s="84" t="str">
        <f aca="false">IF(C582="","",C582*IF(Settings!$B$23=Settings!$C$6,1,IF(Settings!$B$23="USD",1/INDEX(Settings!$B$29:$B$40,MONTH(A582)),INDEX(Settings!$B$29:$B$40,MONTH(A582)))))</f>
        <v/>
      </c>
    </row>
    <row r="583" customFormat="false" ht="15" hidden="false" customHeight="false" outlineLevel="0" collapsed="false">
      <c r="H583" s="0" t="str">
        <f aca="false">IF(B583="","",IF(COUNTIF(Campaigns!$A$7:$A$300,B583)&gt;0,"✓","⚠ add to Campaigns tab"))</f>
        <v/>
      </c>
      <c r="I583" s="84" t="str">
        <f aca="false">IF(C583="","",C583*IF(Settings!$B$23=Settings!$C$6,1,IF(Settings!$B$23="USD",1/INDEX(Settings!$B$29:$B$40,MONTH(A583)),INDEX(Settings!$B$29:$B$40,MONTH(A583)))))</f>
        <v/>
      </c>
    </row>
    <row r="584" customFormat="false" ht="15" hidden="false" customHeight="false" outlineLevel="0" collapsed="false">
      <c r="H584" s="0" t="str">
        <f aca="false">IF(B584="","",IF(COUNTIF(Campaigns!$A$7:$A$300,B584)&gt;0,"✓","⚠ add to Campaigns tab"))</f>
        <v/>
      </c>
      <c r="I584" s="84" t="str">
        <f aca="false">IF(C584="","",C584*IF(Settings!$B$23=Settings!$C$6,1,IF(Settings!$B$23="USD",1/INDEX(Settings!$B$29:$B$40,MONTH(A584)),INDEX(Settings!$B$29:$B$40,MONTH(A584)))))</f>
        <v/>
      </c>
    </row>
    <row r="585" customFormat="false" ht="15" hidden="false" customHeight="false" outlineLevel="0" collapsed="false">
      <c r="H585" s="0" t="str">
        <f aca="false">IF(B585="","",IF(COUNTIF(Campaigns!$A$7:$A$300,B585)&gt;0,"✓","⚠ add to Campaigns tab"))</f>
        <v/>
      </c>
      <c r="I585" s="84" t="str">
        <f aca="false">IF(C585="","",C585*IF(Settings!$B$23=Settings!$C$6,1,IF(Settings!$B$23="USD",1/INDEX(Settings!$B$29:$B$40,MONTH(A585)),INDEX(Settings!$B$29:$B$40,MONTH(A585)))))</f>
        <v/>
      </c>
    </row>
    <row r="586" customFormat="false" ht="15" hidden="false" customHeight="false" outlineLevel="0" collapsed="false">
      <c r="H586" s="0" t="str">
        <f aca="false">IF(B586="","",IF(COUNTIF(Campaigns!$A$7:$A$300,B586)&gt;0,"✓","⚠ add to Campaigns tab"))</f>
        <v/>
      </c>
      <c r="I586" s="84" t="str">
        <f aca="false">IF(C586="","",C586*IF(Settings!$B$23=Settings!$C$6,1,IF(Settings!$B$23="USD",1/INDEX(Settings!$B$29:$B$40,MONTH(A586)),INDEX(Settings!$B$29:$B$40,MONTH(A586)))))</f>
        <v/>
      </c>
    </row>
    <row r="587" customFormat="false" ht="15" hidden="false" customHeight="false" outlineLevel="0" collapsed="false">
      <c r="H587" s="0" t="str">
        <f aca="false">IF(B587="","",IF(COUNTIF(Campaigns!$A$7:$A$300,B587)&gt;0,"✓","⚠ add to Campaigns tab"))</f>
        <v/>
      </c>
      <c r="I587" s="84" t="str">
        <f aca="false">IF(C587="","",C587*IF(Settings!$B$23=Settings!$C$6,1,IF(Settings!$B$23="USD",1/INDEX(Settings!$B$29:$B$40,MONTH(A587)),INDEX(Settings!$B$29:$B$40,MONTH(A587)))))</f>
        <v/>
      </c>
    </row>
    <row r="588" customFormat="false" ht="15" hidden="false" customHeight="false" outlineLevel="0" collapsed="false">
      <c r="H588" s="0" t="str">
        <f aca="false">IF(B588="","",IF(COUNTIF(Campaigns!$A$7:$A$300,B588)&gt;0,"✓","⚠ add to Campaigns tab"))</f>
        <v/>
      </c>
      <c r="I588" s="84" t="str">
        <f aca="false">IF(C588="","",C588*IF(Settings!$B$23=Settings!$C$6,1,IF(Settings!$B$23="USD",1/INDEX(Settings!$B$29:$B$40,MONTH(A588)),INDEX(Settings!$B$29:$B$40,MONTH(A588)))))</f>
        <v/>
      </c>
    </row>
    <row r="589" customFormat="false" ht="15" hidden="false" customHeight="false" outlineLevel="0" collapsed="false">
      <c r="H589" s="0" t="str">
        <f aca="false">IF(B589="","",IF(COUNTIF(Campaigns!$A$7:$A$300,B589)&gt;0,"✓","⚠ add to Campaigns tab"))</f>
        <v/>
      </c>
      <c r="I589" s="84" t="str">
        <f aca="false">IF(C589="","",C589*IF(Settings!$B$23=Settings!$C$6,1,IF(Settings!$B$23="USD",1/INDEX(Settings!$B$29:$B$40,MONTH(A589)),INDEX(Settings!$B$29:$B$40,MONTH(A589)))))</f>
        <v/>
      </c>
    </row>
    <row r="590" customFormat="false" ht="15" hidden="false" customHeight="false" outlineLevel="0" collapsed="false">
      <c r="H590" s="0" t="str">
        <f aca="false">IF(B590="","",IF(COUNTIF(Campaigns!$A$7:$A$300,B590)&gt;0,"✓","⚠ add to Campaigns tab"))</f>
        <v/>
      </c>
      <c r="I590" s="84" t="str">
        <f aca="false">IF(C590="","",C590*IF(Settings!$B$23=Settings!$C$6,1,IF(Settings!$B$23="USD",1/INDEX(Settings!$B$29:$B$40,MONTH(A590)),INDEX(Settings!$B$29:$B$40,MONTH(A590)))))</f>
        <v/>
      </c>
    </row>
    <row r="591" customFormat="false" ht="15" hidden="false" customHeight="false" outlineLevel="0" collapsed="false">
      <c r="H591" s="0" t="str">
        <f aca="false">IF(B591="","",IF(COUNTIF(Campaigns!$A$7:$A$300,B591)&gt;0,"✓","⚠ add to Campaigns tab"))</f>
        <v/>
      </c>
      <c r="I591" s="84" t="str">
        <f aca="false">IF(C591="","",C591*IF(Settings!$B$23=Settings!$C$6,1,IF(Settings!$B$23="USD",1/INDEX(Settings!$B$29:$B$40,MONTH(A591)),INDEX(Settings!$B$29:$B$40,MONTH(A591)))))</f>
        <v/>
      </c>
    </row>
    <row r="592" customFormat="false" ht="15" hidden="false" customHeight="false" outlineLevel="0" collapsed="false">
      <c r="H592" s="0" t="str">
        <f aca="false">IF(B592="","",IF(COUNTIF(Campaigns!$A$7:$A$300,B592)&gt;0,"✓","⚠ add to Campaigns tab"))</f>
        <v/>
      </c>
      <c r="I592" s="84" t="str">
        <f aca="false">IF(C592="","",C592*IF(Settings!$B$23=Settings!$C$6,1,IF(Settings!$B$23="USD",1/INDEX(Settings!$B$29:$B$40,MONTH(A592)),INDEX(Settings!$B$29:$B$40,MONTH(A592)))))</f>
        <v/>
      </c>
    </row>
    <row r="593" customFormat="false" ht="15" hidden="false" customHeight="false" outlineLevel="0" collapsed="false">
      <c r="H593" s="0" t="str">
        <f aca="false">IF(B593="","",IF(COUNTIF(Campaigns!$A$7:$A$300,B593)&gt;0,"✓","⚠ add to Campaigns tab"))</f>
        <v/>
      </c>
      <c r="I593" s="84" t="str">
        <f aca="false">IF(C593="","",C593*IF(Settings!$B$23=Settings!$C$6,1,IF(Settings!$B$23="USD",1/INDEX(Settings!$B$29:$B$40,MONTH(A593)),INDEX(Settings!$B$29:$B$40,MONTH(A593)))))</f>
        <v/>
      </c>
    </row>
    <row r="594" customFormat="false" ht="15" hidden="false" customHeight="false" outlineLevel="0" collapsed="false">
      <c r="H594" s="0" t="str">
        <f aca="false">IF(B594="","",IF(COUNTIF(Campaigns!$A$7:$A$300,B594)&gt;0,"✓","⚠ add to Campaigns tab"))</f>
        <v/>
      </c>
      <c r="I594" s="84" t="str">
        <f aca="false">IF(C594="","",C594*IF(Settings!$B$23=Settings!$C$6,1,IF(Settings!$B$23="USD",1/INDEX(Settings!$B$29:$B$40,MONTH(A594)),INDEX(Settings!$B$29:$B$40,MONTH(A594)))))</f>
        <v/>
      </c>
    </row>
    <row r="595" customFormat="false" ht="15" hidden="false" customHeight="false" outlineLevel="0" collapsed="false">
      <c r="H595" s="0" t="str">
        <f aca="false">IF(B595="","",IF(COUNTIF(Campaigns!$A$7:$A$300,B595)&gt;0,"✓","⚠ add to Campaigns tab"))</f>
        <v/>
      </c>
      <c r="I595" s="84" t="str">
        <f aca="false">IF(C595="","",C595*IF(Settings!$B$23=Settings!$C$6,1,IF(Settings!$B$23="USD",1/INDEX(Settings!$B$29:$B$40,MONTH(A595)),INDEX(Settings!$B$29:$B$40,MONTH(A595)))))</f>
        <v/>
      </c>
    </row>
    <row r="596" customFormat="false" ht="15" hidden="false" customHeight="false" outlineLevel="0" collapsed="false">
      <c r="H596" s="0" t="str">
        <f aca="false">IF(B596="","",IF(COUNTIF(Campaigns!$A$7:$A$300,B596)&gt;0,"✓","⚠ add to Campaigns tab"))</f>
        <v/>
      </c>
      <c r="I596" s="84" t="str">
        <f aca="false">IF(C596="","",C596*IF(Settings!$B$23=Settings!$C$6,1,IF(Settings!$B$23="USD",1/INDEX(Settings!$B$29:$B$40,MONTH(A596)),INDEX(Settings!$B$29:$B$40,MONTH(A596)))))</f>
        <v/>
      </c>
    </row>
    <row r="597" customFormat="false" ht="15" hidden="false" customHeight="false" outlineLevel="0" collapsed="false">
      <c r="H597" s="0" t="str">
        <f aca="false">IF(B597="","",IF(COUNTIF(Campaigns!$A$7:$A$300,B597)&gt;0,"✓","⚠ add to Campaigns tab"))</f>
        <v/>
      </c>
      <c r="I597" s="84" t="str">
        <f aca="false">IF(C597="","",C597*IF(Settings!$B$23=Settings!$C$6,1,IF(Settings!$B$23="USD",1/INDEX(Settings!$B$29:$B$40,MONTH(A597)),INDEX(Settings!$B$29:$B$40,MONTH(A597)))))</f>
        <v/>
      </c>
    </row>
    <row r="598" customFormat="false" ht="15" hidden="false" customHeight="false" outlineLevel="0" collapsed="false">
      <c r="H598" s="0" t="str">
        <f aca="false">IF(B598="","",IF(COUNTIF(Campaigns!$A$7:$A$300,B598)&gt;0,"✓","⚠ add to Campaigns tab"))</f>
        <v/>
      </c>
      <c r="I598" s="84" t="str">
        <f aca="false">IF(C598="","",C598*IF(Settings!$B$23=Settings!$C$6,1,IF(Settings!$B$23="USD",1/INDEX(Settings!$B$29:$B$40,MONTH(A598)),INDEX(Settings!$B$29:$B$40,MONTH(A598)))))</f>
        <v/>
      </c>
    </row>
    <row r="599" customFormat="false" ht="15" hidden="false" customHeight="false" outlineLevel="0" collapsed="false">
      <c r="H599" s="0" t="str">
        <f aca="false">IF(B599="","",IF(COUNTIF(Campaigns!$A$7:$A$300,B599)&gt;0,"✓","⚠ add to Campaigns tab"))</f>
        <v/>
      </c>
      <c r="I599" s="84" t="str">
        <f aca="false">IF(C599="","",C599*IF(Settings!$B$23=Settings!$C$6,1,IF(Settings!$B$23="USD",1/INDEX(Settings!$B$29:$B$40,MONTH(A599)),INDEX(Settings!$B$29:$B$40,MONTH(A599)))))</f>
        <v/>
      </c>
    </row>
    <row r="600" customFormat="false" ht="15" hidden="false" customHeight="false" outlineLevel="0" collapsed="false">
      <c r="H600" s="0" t="str">
        <f aca="false">IF(B600="","",IF(COUNTIF(Campaigns!$A$7:$A$300,B600)&gt;0,"✓","⚠ add to Campaigns tab"))</f>
        <v/>
      </c>
      <c r="I600" s="84" t="str">
        <f aca="false">IF(C600="","",C600*IF(Settings!$B$23=Settings!$C$6,1,IF(Settings!$B$23="USD",1/INDEX(Settings!$B$29:$B$40,MONTH(A600)),INDEX(Settings!$B$29:$B$40,MONTH(A600)))))</f>
        <v/>
      </c>
    </row>
    <row r="601" customFormat="false" ht="15" hidden="false" customHeight="false" outlineLevel="0" collapsed="false">
      <c r="H601" s="0" t="str">
        <f aca="false">IF(B601="","",IF(COUNTIF(Campaigns!$A$7:$A$300,B601)&gt;0,"✓","⚠ add to Campaigns tab"))</f>
        <v/>
      </c>
      <c r="I601" s="84" t="str">
        <f aca="false">IF(C601="","",C601*IF(Settings!$B$23=Settings!$C$6,1,IF(Settings!$B$23="USD",1/INDEX(Settings!$B$29:$B$40,MONTH(A601)),INDEX(Settings!$B$29:$B$40,MONTH(A601)))))</f>
        <v/>
      </c>
    </row>
    <row r="602" customFormat="false" ht="15" hidden="false" customHeight="false" outlineLevel="0" collapsed="false">
      <c r="H602" s="0" t="str">
        <f aca="false">IF(B602="","",IF(COUNTIF(Campaigns!$A$7:$A$300,B602)&gt;0,"✓","⚠ add to Campaigns tab"))</f>
        <v/>
      </c>
      <c r="I602" s="84" t="str">
        <f aca="false">IF(C602="","",C602*IF(Settings!$B$23=Settings!$C$6,1,IF(Settings!$B$23="USD",1/INDEX(Settings!$B$29:$B$40,MONTH(A602)),INDEX(Settings!$B$29:$B$40,MONTH(A602)))))</f>
        <v/>
      </c>
    </row>
    <row r="603" customFormat="false" ht="15" hidden="false" customHeight="false" outlineLevel="0" collapsed="false">
      <c r="H603" s="0" t="str">
        <f aca="false">IF(B603="","",IF(COUNTIF(Campaigns!$A$7:$A$300,B603)&gt;0,"✓","⚠ add to Campaigns tab"))</f>
        <v/>
      </c>
      <c r="I603" s="84" t="str">
        <f aca="false">IF(C603="","",C603*IF(Settings!$B$23=Settings!$C$6,1,IF(Settings!$B$23="USD",1/INDEX(Settings!$B$29:$B$40,MONTH(A603)),INDEX(Settings!$B$29:$B$40,MONTH(A603)))))</f>
        <v/>
      </c>
    </row>
    <row r="604" customFormat="false" ht="15" hidden="false" customHeight="false" outlineLevel="0" collapsed="false">
      <c r="H604" s="0" t="str">
        <f aca="false">IF(B604="","",IF(COUNTIF(Campaigns!$A$7:$A$300,B604)&gt;0,"✓","⚠ add to Campaigns tab"))</f>
        <v/>
      </c>
      <c r="I604" s="84" t="str">
        <f aca="false">IF(C604="","",C604*IF(Settings!$B$23=Settings!$C$6,1,IF(Settings!$B$23="USD",1/INDEX(Settings!$B$29:$B$40,MONTH(A604)),INDEX(Settings!$B$29:$B$40,MONTH(A604)))))</f>
        <v/>
      </c>
    </row>
    <row r="605" customFormat="false" ht="15" hidden="false" customHeight="false" outlineLevel="0" collapsed="false">
      <c r="H605" s="0" t="str">
        <f aca="false">IF(B605="","",IF(COUNTIF(Campaigns!$A$7:$A$300,B605)&gt;0,"✓","⚠ add to Campaigns tab"))</f>
        <v/>
      </c>
      <c r="I605" s="84" t="str">
        <f aca="false">IF(C605="","",C605*IF(Settings!$B$23=Settings!$C$6,1,IF(Settings!$B$23="USD",1/INDEX(Settings!$B$29:$B$40,MONTH(A605)),INDEX(Settings!$B$29:$B$40,MONTH(A605)))))</f>
        <v/>
      </c>
    </row>
    <row r="606" customFormat="false" ht="15" hidden="false" customHeight="false" outlineLevel="0" collapsed="false">
      <c r="H606" s="0" t="str">
        <f aca="false">IF(B606="","",IF(COUNTIF(Campaigns!$A$7:$A$300,B606)&gt;0,"✓","⚠ add to Campaigns tab"))</f>
        <v/>
      </c>
      <c r="I606" s="84" t="str">
        <f aca="false">IF(C606="","",C606*IF(Settings!$B$23=Settings!$C$6,1,IF(Settings!$B$23="USD",1/INDEX(Settings!$B$29:$B$40,MONTH(A606)),INDEX(Settings!$B$29:$B$40,MONTH(A606)))))</f>
        <v/>
      </c>
    </row>
    <row r="607" customFormat="false" ht="15" hidden="false" customHeight="false" outlineLevel="0" collapsed="false">
      <c r="H607" s="0" t="str">
        <f aca="false">IF(B607="","",IF(COUNTIF(Campaigns!$A$7:$A$300,B607)&gt;0,"✓","⚠ add to Campaigns tab"))</f>
        <v/>
      </c>
      <c r="I607" s="84" t="str">
        <f aca="false">IF(C607="","",C607*IF(Settings!$B$23=Settings!$C$6,1,IF(Settings!$B$23="USD",1/INDEX(Settings!$B$29:$B$40,MONTH(A607)),INDEX(Settings!$B$29:$B$40,MONTH(A607)))))</f>
        <v/>
      </c>
    </row>
    <row r="608" customFormat="false" ht="15" hidden="false" customHeight="false" outlineLevel="0" collapsed="false">
      <c r="H608" s="0" t="str">
        <f aca="false">IF(B608="","",IF(COUNTIF(Campaigns!$A$7:$A$300,B608)&gt;0,"✓","⚠ add to Campaigns tab"))</f>
        <v/>
      </c>
      <c r="I608" s="84" t="str">
        <f aca="false">IF(C608="","",C608*IF(Settings!$B$23=Settings!$C$6,1,IF(Settings!$B$23="USD",1/INDEX(Settings!$B$29:$B$40,MONTH(A608)),INDEX(Settings!$B$29:$B$40,MONTH(A608)))))</f>
        <v/>
      </c>
    </row>
    <row r="609" customFormat="false" ht="15" hidden="false" customHeight="false" outlineLevel="0" collapsed="false">
      <c r="H609" s="0" t="str">
        <f aca="false">IF(B609="","",IF(COUNTIF(Campaigns!$A$7:$A$300,B609)&gt;0,"✓","⚠ add to Campaigns tab"))</f>
        <v/>
      </c>
      <c r="I609" s="84" t="str">
        <f aca="false">IF(C609="","",C609*IF(Settings!$B$23=Settings!$C$6,1,IF(Settings!$B$23="USD",1/INDEX(Settings!$B$29:$B$40,MONTH(A609)),INDEX(Settings!$B$29:$B$40,MONTH(A609)))))</f>
        <v/>
      </c>
    </row>
    <row r="610" customFormat="false" ht="15" hidden="false" customHeight="false" outlineLevel="0" collapsed="false">
      <c r="H610" s="0" t="str">
        <f aca="false">IF(B610="","",IF(COUNTIF(Campaigns!$A$7:$A$300,B610)&gt;0,"✓","⚠ add to Campaigns tab"))</f>
        <v/>
      </c>
      <c r="I610" s="84" t="str">
        <f aca="false">IF(C610="","",C610*IF(Settings!$B$23=Settings!$C$6,1,IF(Settings!$B$23="USD",1/INDEX(Settings!$B$29:$B$40,MONTH(A610)),INDEX(Settings!$B$29:$B$40,MONTH(A610)))))</f>
        <v/>
      </c>
    </row>
    <row r="611" customFormat="false" ht="15" hidden="false" customHeight="false" outlineLevel="0" collapsed="false">
      <c r="H611" s="0" t="str">
        <f aca="false">IF(B611="","",IF(COUNTIF(Campaigns!$A$7:$A$300,B611)&gt;0,"✓","⚠ add to Campaigns tab"))</f>
        <v/>
      </c>
      <c r="I611" s="84" t="str">
        <f aca="false">IF(C611="","",C611*IF(Settings!$B$23=Settings!$C$6,1,IF(Settings!$B$23="USD",1/INDEX(Settings!$B$29:$B$40,MONTH(A611)),INDEX(Settings!$B$29:$B$40,MONTH(A611)))))</f>
        <v/>
      </c>
    </row>
    <row r="612" customFormat="false" ht="15" hidden="false" customHeight="false" outlineLevel="0" collapsed="false">
      <c r="H612" s="0" t="str">
        <f aca="false">IF(B612="","",IF(COUNTIF(Campaigns!$A$7:$A$300,B612)&gt;0,"✓","⚠ add to Campaigns tab"))</f>
        <v/>
      </c>
      <c r="I612" s="84" t="str">
        <f aca="false">IF(C612="","",C612*IF(Settings!$B$23=Settings!$C$6,1,IF(Settings!$B$23="USD",1/INDEX(Settings!$B$29:$B$40,MONTH(A612)),INDEX(Settings!$B$29:$B$40,MONTH(A612)))))</f>
        <v/>
      </c>
    </row>
    <row r="613" customFormat="false" ht="15" hidden="false" customHeight="false" outlineLevel="0" collapsed="false">
      <c r="H613" s="0" t="str">
        <f aca="false">IF(B613="","",IF(COUNTIF(Campaigns!$A$7:$A$300,B613)&gt;0,"✓","⚠ add to Campaigns tab"))</f>
        <v/>
      </c>
      <c r="I613" s="84" t="str">
        <f aca="false">IF(C613="","",C613*IF(Settings!$B$23=Settings!$C$6,1,IF(Settings!$B$23="USD",1/INDEX(Settings!$B$29:$B$40,MONTH(A613)),INDEX(Settings!$B$29:$B$40,MONTH(A613)))))</f>
        <v/>
      </c>
    </row>
    <row r="614" customFormat="false" ht="15" hidden="false" customHeight="false" outlineLevel="0" collapsed="false">
      <c r="H614" s="0" t="str">
        <f aca="false">IF(B614="","",IF(COUNTIF(Campaigns!$A$7:$A$300,B614)&gt;0,"✓","⚠ add to Campaigns tab"))</f>
        <v/>
      </c>
      <c r="I614" s="84" t="str">
        <f aca="false">IF(C614="","",C614*IF(Settings!$B$23=Settings!$C$6,1,IF(Settings!$B$23="USD",1/INDEX(Settings!$B$29:$B$40,MONTH(A614)),INDEX(Settings!$B$29:$B$40,MONTH(A614)))))</f>
        <v/>
      </c>
    </row>
    <row r="615" customFormat="false" ht="15" hidden="false" customHeight="false" outlineLevel="0" collapsed="false">
      <c r="H615" s="0" t="str">
        <f aca="false">IF(B615="","",IF(COUNTIF(Campaigns!$A$7:$A$300,B615)&gt;0,"✓","⚠ add to Campaigns tab"))</f>
        <v/>
      </c>
      <c r="I615" s="84" t="str">
        <f aca="false">IF(C615="","",C615*IF(Settings!$B$23=Settings!$C$6,1,IF(Settings!$B$23="USD",1/INDEX(Settings!$B$29:$B$40,MONTH(A615)),INDEX(Settings!$B$29:$B$40,MONTH(A615)))))</f>
        <v/>
      </c>
    </row>
    <row r="616" customFormat="false" ht="15" hidden="false" customHeight="false" outlineLevel="0" collapsed="false">
      <c r="H616" s="0" t="str">
        <f aca="false">IF(B616="","",IF(COUNTIF(Campaigns!$A$7:$A$300,B616)&gt;0,"✓","⚠ add to Campaigns tab"))</f>
        <v/>
      </c>
      <c r="I616" s="84" t="str">
        <f aca="false">IF(C616="","",C616*IF(Settings!$B$23=Settings!$C$6,1,IF(Settings!$B$23="USD",1/INDEX(Settings!$B$29:$B$40,MONTH(A616)),INDEX(Settings!$B$29:$B$40,MONTH(A616)))))</f>
        <v/>
      </c>
    </row>
    <row r="617" customFormat="false" ht="15" hidden="false" customHeight="false" outlineLevel="0" collapsed="false">
      <c r="H617" s="0" t="str">
        <f aca="false">IF(B617="","",IF(COUNTIF(Campaigns!$A$7:$A$300,B617)&gt;0,"✓","⚠ add to Campaigns tab"))</f>
        <v/>
      </c>
      <c r="I617" s="84" t="str">
        <f aca="false">IF(C617="","",C617*IF(Settings!$B$23=Settings!$C$6,1,IF(Settings!$B$23="USD",1/INDEX(Settings!$B$29:$B$40,MONTH(A617)),INDEX(Settings!$B$29:$B$40,MONTH(A617)))))</f>
        <v/>
      </c>
    </row>
    <row r="618" customFormat="false" ht="15" hidden="false" customHeight="false" outlineLevel="0" collapsed="false">
      <c r="H618" s="0" t="str">
        <f aca="false">IF(B618="","",IF(COUNTIF(Campaigns!$A$7:$A$300,B618)&gt;0,"✓","⚠ add to Campaigns tab"))</f>
        <v/>
      </c>
      <c r="I618" s="84" t="str">
        <f aca="false">IF(C618="","",C618*IF(Settings!$B$23=Settings!$C$6,1,IF(Settings!$B$23="USD",1/INDEX(Settings!$B$29:$B$40,MONTH(A618)),INDEX(Settings!$B$29:$B$40,MONTH(A618)))))</f>
        <v/>
      </c>
    </row>
    <row r="619" customFormat="false" ht="15" hidden="false" customHeight="false" outlineLevel="0" collapsed="false">
      <c r="H619" s="0" t="str">
        <f aca="false">IF(B619="","",IF(COUNTIF(Campaigns!$A$7:$A$300,B619)&gt;0,"✓","⚠ add to Campaigns tab"))</f>
        <v/>
      </c>
      <c r="I619" s="84" t="str">
        <f aca="false">IF(C619="","",C619*IF(Settings!$B$23=Settings!$C$6,1,IF(Settings!$B$23="USD",1/INDEX(Settings!$B$29:$B$40,MONTH(A619)),INDEX(Settings!$B$29:$B$40,MONTH(A619)))))</f>
        <v/>
      </c>
    </row>
    <row r="620" customFormat="false" ht="15" hidden="false" customHeight="false" outlineLevel="0" collapsed="false">
      <c r="H620" s="0" t="str">
        <f aca="false">IF(B620="","",IF(COUNTIF(Campaigns!$A$7:$A$300,B620)&gt;0,"✓","⚠ add to Campaigns tab"))</f>
        <v/>
      </c>
      <c r="I620" s="84" t="str">
        <f aca="false">IF(C620="","",C620*IF(Settings!$B$23=Settings!$C$6,1,IF(Settings!$B$23="USD",1/INDEX(Settings!$B$29:$B$40,MONTH(A620)),INDEX(Settings!$B$29:$B$40,MONTH(A620)))))</f>
        <v/>
      </c>
    </row>
    <row r="621" customFormat="false" ht="15" hidden="false" customHeight="false" outlineLevel="0" collapsed="false">
      <c r="H621" s="0" t="str">
        <f aca="false">IF(B621="","",IF(COUNTIF(Campaigns!$A$7:$A$300,B621)&gt;0,"✓","⚠ add to Campaigns tab"))</f>
        <v/>
      </c>
      <c r="I621" s="84" t="str">
        <f aca="false">IF(C621="","",C621*IF(Settings!$B$23=Settings!$C$6,1,IF(Settings!$B$23="USD",1/INDEX(Settings!$B$29:$B$40,MONTH(A621)),INDEX(Settings!$B$29:$B$40,MONTH(A621)))))</f>
        <v/>
      </c>
    </row>
    <row r="622" customFormat="false" ht="15" hidden="false" customHeight="false" outlineLevel="0" collapsed="false">
      <c r="H622" s="0" t="str">
        <f aca="false">IF(B622="","",IF(COUNTIF(Campaigns!$A$7:$A$300,B622)&gt;0,"✓","⚠ add to Campaigns tab"))</f>
        <v/>
      </c>
      <c r="I622" s="84" t="str">
        <f aca="false">IF(C622="","",C622*IF(Settings!$B$23=Settings!$C$6,1,IF(Settings!$B$23="USD",1/INDEX(Settings!$B$29:$B$40,MONTH(A622)),INDEX(Settings!$B$29:$B$40,MONTH(A622)))))</f>
        <v/>
      </c>
    </row>
    <row r="623" customFormat="false" ht="15" hidden="false" customHeight="false" outlineLevel="0" collapsed="false">
      <c r="H623" s="0" t="str">
        <f aca="false">IF(B623="","",IF(COUNTIF(Campaigns!$A$7:$A$300,B623)&gt;0,"✓","⚠ add to Campaigns tab"))</f>
        <v/>
      </c>
      <c r="I623" s="84" t="str">
        <f aca="false">IF(C623="","",C623*IF(Settings!$B$23=Settings!$C$6,1,IF(Settings!$B$23="USD",1/INDEX(Settings!$B$29:$B$40,MONTH(A623)),INDEX(Settings!$B$29:$B$40,MONTH(A623)))))</f>
        <v/>
      </c>
    </row>
    <row r="624" customFormat="false" ht="15" hidden="false" customHeight="false" outlineLevel="0" collapsed="false">
      <c r="H624" s="0" t="str">
        <f aca="false">IF(B624="","",IF(COUNTIF(Campaigns!$A$7:$A$300,B624)&gt;0,"✓","⚠ add to Campaigns tab"))</f>
        <v/>
      </c>
      <c r="I624" s="84" t="str">
        <f aca="false">IF(C624="","",C624*IF(Settings!$B$23=Settings!$C$6,1,IF(Settings!$B$23="USD",1/INDEX(Settings!$B$29:$B$40,MONTH(A624)),INDEX(Settings!$B$29:$B$40,MONTH(A624)))))</f>
        <v/>
      </c>
    </row>
    <row r="625" customFormat="false" ht="15" hidden="false" customHeight="false" outlineLevel="0" collapsed="false">
      <c r="H625" s="0" t="str">
        <f aca="false">IF(B625="","",IF(COUNTIF(Campaigns!$A$7:$A$300,B625)&gt;0,"✓","⚠ add to Campaigns tab"))</f>
        <v/>
      </c>
      <c r="I625" s="84" t="str">
        <f aca="false">IF(C625="","",C625*IF(Settings!$B$23=Settings!$C$6,1,IF(Settings!$B$23="USD",1/INDEX(Settings!$B$29:$B$40,MONTH(A625)),INDEX(Settings!$B$29:$B$40,MONTH(A625)))))</f>
        <v/>
      </c>
    </row>
    <row r="626" customFormat="false" ht="15" hidden="false" customHeight="false" outlineLevel="0" collapsed="false">
      <c r="H626" s="0" t="str">
        <f aca="false">IF(B626="","",IF(COUNTIF(Campaigns!$A$7:$A$300,B626)&gt;0,"✓","⚠ add to Campaigns tab"))</f>
        <v/>
      </c>
      <c r="I626" s="84" t="str">
        <f aca="false">IF(C626="","",C626*IF(Settings!$B$23=Settings!$C$6,1,IF(Settings!$B$23="USD",1/INDEX(Settings!$B$29:$B$40,MONTH(A626)),INDEX(Settings!$B$29:$B$40,MONTH(A626)))))</f>
        <v/>
      </c>
    </row>
    <row r="627" customFormat="false" ht="15" hidden="false" customHeight="false" outlineLevel="0" collapsed="false">
      <c r="H627" s="0" t="str">
        <f aca="false">IF(B627="","",IF(COUNTIF(Campaigns!$A$7:$A$300,B627)&gt;0,"✓","⚠ add to Campaigns tab"))</f>
        <v/>
      </c>
      <c r="I627" s="84" t="str">
        <f aca="false">IF(C627="","",C627*IF(Settings!$B$23=Settings!$C$6,1,IF(Settings!$B$23="USD",1/INDEX(Settings!$B$29:$B$40,MONTH(A627)),INDEX(Settings!$B$29:$B$40,MONTH(A627)))))</f>
        <v/>
      </c>
    </row>
    <row r="628" customFormat="false" ht="15" hidden="false" customHeight="false" outlineLevel="0" collapsed="false">
      <c r="H628" s="0" t="str">
        <f aca="false">IF(B628="","",IF(COUNTIF(Campaigns!$A$7:$A$300,B628)&gt;0,"✓","⚠ add to Campaigns tab"))</f>
        <v/>
      </c>
      <c r="I628" s="84" t="str">
        <f aca="false">IF(C628="","",C628*IF(Settings!$B$23=Settings!$C$6,1,IF(Settings!$B$23="USD",1/INDEX(Settings!$B$29:$B$40,MONTH(A628)),INDEX(Settings!$B$29:$B$40,MONTH(A628)))))</f>
        <v/>
      </c>
    </row>
    <row r="629" customFormat="false" ht="15" hidden="false" customHeight="false" outlineLevel="0" collapsed="false">
      <c r="H629" s="0" t="str">
        <f aca="false">IF(B629="","",IF(COUNTIF(Campaigns!$A$7:$A$300,B629)&gt;0,"✓","⚠ add to Campaigns tab"))</f>
        <v/>
      </c>
      <c r="I629" s="84" t="str">
        <f aca="false">IF(C629="","",C629*IF(Settings!$B$23=Settings!$C$6,1,IF(Settings!$B$23="USD",1/INDEX(Settings!$B$29:$B$40,MONTH(A629)),INDEX(Settings!$B$29:$B$40,MONTH(A629)))))</f>
        <v/>
      </c>
    </row>
    <row r="630" customFormat="false" ht="15" hidden="false" customHeight="false" outlineLevel="0" collapsed="false">
      <c r="H630" s="0" t="str">
        <f aca="false">IF(B630="","",IF(COUNTIF(Campaigns!$A$7:$A$300,B630)&gt;0,"✓","⚠ add to Campaigns tab"))</f>
        <v/>
      </c>
      <c r="I630" s="84" t="str">
        <f aca="false">IF(C630="","",C630*IF(Settings!$B$23=Settings!$C$6,1,IF(Settings!$B$23="USD",1/INDEX(Settings!$B$29:$B$40,MONTH(A630)),INDEX(Settings!$B$29:$B$40,MONTH(A630)))))</f>
        <v/>
      </c>
    </row>
    <row r="631" customFormat="false" ht="15" hidden="false" customHeight="false" outlineLevel="0" collapsed="false">
      <c r="H631" s="0" t="str">
        <f aca="false">IF(B631="","",IF(COUNTIF(Campaigns!$A$7:$A$300,B631)&gt;0,"✓","⚠ add to Campaigns tab"))</f>
        <v/>
      </c>
      <c r="I631" s="84" t="str">
        <f aca="false">IF(C631="","",C631*IF(Settings!$B$23=Settings!$C$6,1,IF(Settings!$B$23="USD",1/INDEX(Settings!$B$29:$B$40,MONTH(A631)),INDEX(Settings!$B$29:$B$40,MONTH(A631)))))</f>
        <v/>
      </c>
    </row>
    <row r="632" customFormat="false" ht="15" hidden="false" customHeight="false" outlineLevel="0" collapsed="false">
      <c r="H632" s="0" t="str">
        <f aca="false">IF(B632="","",IF(COUNTIF(Campaigns!$A$7:$A$300,B632)&gt;0,"✓","⚠ add to Campaigns tab"))</f>
        <v/>
      </c>
      <c r="I632" s="84" t="str">
        <f aca="false">IF(C632="","",C632*IF(Settings!$B$23=Settings!$C$6,1,IF(Settings!$B$23="USD",1/INDEX(Settings!$B$29:$B$40,MONTH(A632)),INDEX(Settings!$B$29:$B$40,MONTH(A632)))))</f>
        <v/>
      </c>
    </row>
    <row r="633" customFormat="false" ht="15" hidden="false" customHeight="false" outlineLevel="0" collapsed="false">
      <c r="H633" s="0" t="str">
        <f aca="false">IF(B633="","",IF(COUNTIF(Campaigns!$A$7:$A$300,B633)&gt;0,"✓","⚠ add to Campaigns tab"))</f>
        <v/>
      </c>
      <c r="I633" s="84" t="str">
        <f aca="false">IF(C633="","",C633*IF(Settings!$B$23=Settings!$C$6,1,IF(Settings!$B$23="USD",1/INDEX(Settings!$B$29:$B$40,MONTH(A633)),INDEX(Settings!$B$29:$B$40,MONTH(A633)))))</f>
        <v/>
      </c>
    </row>
    <row r="634" customFormat="false" ht="15" hidden="false" customHeight="false" outlineLevel="0" collapsed="false">
      <c r="H634" s="0" t="str">
        <f aca="false">IF(B634="","",IF(COUNTIF(Campaigns!$A$7:$A$300,B634)&gt;0,"✓","⚠ add to Campaigns tab"))</f>
        <v/>
      </c>
      <c r="I634" s="84" t="str">
        <f aca="false">IF(C634="","",C634*IF(Settings!$B$23=Settings!$C$6,1,IF(Settings!$B$23="USD",1/INDEX(Settings!$B$29:$B$40,MONTH(A634)),INDEX(Settings!$B$29:$B$40,MONTH(A634)))))</f>
        <v/>
      </c>
    </row>
    <row r="635" customFormat="false" ht="15" hidden="false" customHeight="false" outlineLevel="0" collapsed="false">
      <c r="H635" s="0" t="str">
        <f aca="false">IF(B635="","",IF(COUNTIF(Campaigns!$A$7:$A$300,B635)&gt;0,"✓","⚠ add to Campaigns tab"))</f>
        <v/>
      </c>
      <c r="I635" s="84" t="str">
        <f aca="false">IF(C635="","",C635*IF(Settings!$B$23=Settings!$C$6,1,IF(Settings!$B$23="USD",1/INDEX(Settings!$B$29:$B$40,MONTH(A635)),INDEX(Settings!$B$29:$B$40,MONTH(A635)))))</f>
        <v/>
      </c>
    </row>
    <row r="636" customFormat="false" ht="15" hidden="false" customHeight="false" outlineLevel="0" collapsed="false">
      <c r="H636" s="0" t="str">
        <f aca="false">IF(B636="","",IF(COUNTIF(Campaigns!$A$7:$A$300,B636)&gt;0,"✓","⚠ add to Campaigns tab"))</f>
        <v/>
      </c>
      <c r="I636" s="84" t="str">
        <f aca="false">IF(C636="","",C636*IF(Settings!$B$23=Settings!$C$6,1,IF(Settings!$B$23="USD",1/INDEX(Settings!$B$29:$B$40,MONTH(A636)),INDEX(Settings!$B$29:$B$40,MONTH(A636)))))</f>
        <v/>
      </c>
    </row>
    <row r="637" customFormat="false" ht="15" hidden="false" customHeight="false" outlineLevel="0" collapsed="false">
      <c r="H637" s="0" t="str">
        <f aca="false">IF(B637="","",IF(COUNTIF(Campaigns!$A$7:$A$300,B637)&gt;0,"✓","⚠ add to Campaigns tab"))</f>
        <v/>
      </c>
      <c r="I637" s="84" t="str">
        <f aca="false">IF(C637="","",C637*IF(Settings!$B$23=Settings!$C$6,1,IF(Settings!$B$23="USD",1/INDEX(Settings!$B$29:$B$40,MONTH(A637)),INDEX(Settings!$B$29:$B$40,MONTH(A637)))))</f>
        <v/>
      </c>
    </row>
    <row r="638" customFormat="false" ht="15" hidden="false" customHeight="false" outlineLevel="0" collapsed="false">
      <c r="H638" s="0" t="str">
        <f aca="false">IF(B638="","",IF(COUNTIF(Campaigns!$A$7:$A$300,B638)&gt;0,"✓","⚠ add to Campaigns tab"))</f>
        <v/>
      </c>
      <c r="I638" s="84" t="str">
        <f aca="false">IF(C638="","",C638*IF(Settings!$B$23=Settings!$C$6,1,IF(Settings!$B$23="USD",1/INDEX(Settings!$B$29:$B$40,MONTH(A638)),INDEX(Settings!$B$29:$B$40,MONTH(A638)))))</f>
        <v/>
      </c>
    </row>
    <row r="639" customFormat="false" ht="15" hidden="false" customHeight="false" outlineLevel="0" collapsed="false">
      <c r="H639" s="0" t="str">
        <f aca="false">IF(B639="","",IF(COUNTIF(Campaigns!$A$7:$A$300,B639)&gt;0,"✓","⚠ add to Campaigns tab"))</f>
        <v/>
      </c>
      <c r="I639" s="84" t="str">
        <f aca="false">IF(C639="","",C639*IF(Settings!$B$23=Settings!$C$6,1,IF(Settings!$B$23="USD",1/INDEX(Settings!$B$29:$B$40,MONTH(A639)),INDEX(Settings!$B$29:$B$40,MONTH(A639)))))</f>
        <v/>
      </c>
    </row>
    <row r="640" customFormat="false" ht="15" hidden="false" customHeight="false" outlineLevel="0" collapsed="false">
      <c r="H640" s="0" t="str">
        <f aca="false">IF(B640="","",IF(COUNTIF(Campaigns!$A$7:$A$300,B640)&gt;0,"✓","⚠ add to Campaigns tab"))</f>
        <v/>
      </c>
      <c r="I640" s="84" t="str">
        <f aca="false">IF(C640="","",C640*IF(Settings!$B$23=Settings!$C$6,1,IF(Settings!$B$23="USD",1/INDEX(Settings!$B$29:$B$40,MONTH(A640)),INDEX(Settings!$B$29:$B$40,MONTH(A640)))))</f>
        <v/>
      </c>
    </row>
    <row r="641" customFormat="false" ht="15" hidden="false" customHeight="false" outlineLevel="0" collapsed="false">
      <c r="H641" s="0" t="str">
        <f aca="false">IF(B641="","",IF(COUNTIF(Campaigns!$A$7:$A$300,B641)&gt;0,"✓","⚠ add to Campaigns tab"))</f>
        <v/>
      </c>
      <c r="I641" s="84" t="str">
        <f aca="false">IF(C641="","",C641*IF(Settings!$B$23=Settings!$C$6,1,IF(Settings!$B$23="USD",1/INDEX(Settings!$B$29:$B$40,MONTH(A641)),INDEX(Settings!$B$29:$B$40,MONTH(A641)))))</f>
        <v/>
      </c>
    </row>
    <row r="642" customFormat="false" ht="15" hidden="false" customHeight="false" outlineLevel="0" collapsed="false">
      <c r="H642" s="0" t="str">
        <f aca="false">IF(B642="","",IF(COUNTIF(Campaigns!$A$7:$A$300,B642)&gt;0,"✓","⚠ add to Campaigns tab"))</f>
        <v/>
      </c>
      <c r="I642" s="84" t="str">
        <f aca="false">IF(C642="","",C642*IF(Settings!$B$23=Settings!$C$6,1,IF(Settings!$B$23="USD",1/INDEX(Settings!$B$29:$B$40,MONTH(A642)),INDEX(Settings!$B$29:$B$40,MONTH(A642)))))</f>
        <v/>
      </c>
    </row>
    <row r="643" customFormat="false" ht="15" hidden="false" customHeight="false" outlineLevel="0" collapsed="false">
      <c r="H643" s="0" t="str">
        <f aca="false">IF(B643="","",IF(COUNTIF(Campaigns!$A$7:$A$300,B643)&gt;0,"✓","⚠ add to Campaigns tab"))</f>
        <v/>
      </c>
      <c r="I643" s="84" t="str">
        <f aca="false">IF(C643="","",C643*IF(Settings!$B$23=Settings!$C$6,1,IF(Settings!$B$23="USD",1/INDEX(Settings!$B$29:$B$40,MONTH(A643)),INDEX(Settings!$B$29:$B$40,MONTH(A643)))))</f>
        <v/>
      </c>
    </row>
    <row r="644" customFormat="false" ht="15" hidden="false" customHeight="false" outlineLevel="0" collapsed="false">
      <c r="H644" s="0" t="str">
        <f aca="false">IF(B644="","",IF(COUNTIF(Campaigns!$A$7:$A$300,B644)&gt;0,"✓","⚠ add to Campaigns tab"))</f>
        <v/>
      </c>
      <c r="I644" s="84" t="str">
        <f aca="false">IF(C644="","",C644*IF(Settings!$B$23=Settings!$C$6,1,IF(Settings!$B$23="USD",1/INDEX(Settings!$B$29:$B$40,MONTH(A644)),INDEX(Settings!$B$29:$B$40,MONTH(A644)))))</f>
        <v/>
      </c>
    </row>
    <row r="645" customFormat="false" ht="15" hidden="false" customHeight="false" outlineLevel="0" collapsed="false">
      <c r="H645" s="0" t="str">
        <f aca="false">IF(B645="","",IF(COUNTIF(Campaigns!$A$7:$A$300,B645)&gt;0,"✓","⚠ add to Campaigns tab"))</f>
        <v/>
      </c>
      <c r="I645" s="84" t="str">
        <f aca="false">IF(C645="","",C645*IF(Settings!$B$23=Settings!$C$6,1,IF(Settings!$B$23="USD",1/INDEX(Settings!$B$29:$B$40,MONTH(A645)),INDEX(Settings!$B$29:$B$40,MONTH(A645)))))</f>
        <v/>
      </c>
    </row>
    <row r="646" customFormat="false" ht="15" hidden="false" customHeight="false" outlineLevel="0" collapsed="false">
      <c r="H646" s="0" t="str">
        <f aca="false">IF(B646="","",IF(COUNTIF(Campaigns!$A$7:$A$300,B646)&gt;0,"✓","⚠ add to Campaigns tab"))</f>
        <v/>
      </c>
      <c r="I646" s="84" t="str">
        <f aca="false">IF(C646="","",C646*IF(Settings!$B$23=Settings!$C$6,1,IF(Settings!$B$23="USD",1/INDEX(Settings!$B$29:$B$40,MONTH(A646)),INDEX(Settings!$B$29:$B$40,MONTH(A646)))))</f>
        <v/>
      </c>
    </row>
    <row r="647" customFormat="false" ht="15" hidden="false" customHeight="false" outlineLevel="0" collapsed="false">
      <c r="H647" s="0" t="str">
        <f aca="false">IF(B647="","",IF(COUNTIF(Campaigns!$A$7:$A$300,B647)&gt;0,"✓","⚠ add to Campaigns tab"))</f>
        <v/>
      </c>
      <c r="I647" s="84" t="str">
        <f aca="false">IF(C647="","",C647*IF(Settings!$B$23=Settings!$C$6,1,IF(Settings!$B$23="USD",1/INDEX(Settings!$B$29:$B$40,MONTH(A647)),INDEX(Settings!$B$29:$B$40,MONTH(A647)))))</f>
        <v/>
      </c>
    </row>
    <row r="648" customFormat="false" ht="15" hidden="false" customHeight="false" outlineLevel="0" collapsed="false">
      <c r="H648" s="0" t="str">
        <f aca="false">IF(B648="","",IF(COUNTIF(Campaigns!$A$7:$A$300,B648)&gt;0,"✓","⚠ add to Campaigns tab"))</f>
        <v/>
      </c>
      <c r="I648" s="84" t="str">
        <f aca="false">IF(C648="","",C648*IF(Settings!$B$23=Settings!$C$6,1,IF(Settings!$B$23="USD",1/INDEX(Settings!$B$29:$B$40,MONTH(A648)),INDEX(Settings!$B$29:$B$40,MONTH(A648)))))</f>
        <v/>
      </c>
    </row>
    <row r="649" customFormat="false" ht="15" hidden="false" customHeight="false" outlineLevel="0" collapsed="false">
      <c r="H649" s="0" t="str">
        <f aca="false">IF(B649="","",IF(COUNTIF(Campaigns!$A$7:$A$300,B649)&gt;0,"✓","⚠ add to Campaigns tab"))</f>
        <v/>
      </c>
      <c r="I649" s="84" t="str">
        <f aca="false">IF(C649="","",C649*IF(Settings!$B$23=Settings!$C$6,1,IF(Settings!$B$23="USD",1/INDEX(Settings!$B$29:$B$40,MONTH(A649)),INDEX(Settings!$B$29:$B$40,MONTH(A649)))))</f>
        <v/>
      </c>
    </row>
    <row r="650" customFormat="false" ht="15" hidden="false" customHeight="false" outlineLevel="0" collapsed="false">
      <c r="H650" s="0" t="str">
        <f aca="false">IF(B650="","",IF(COUNTIF(Campaigns!$A$7:$A$300,B650)&gt;0,"✓","⚠ add to Campaigns tab"))</f>
        <v/>
      </c>
      <c r="I650" s="84" t="str">
        <f aca="false">IF(C650="","",C650*IF(Settings!$B$23=Settings!$C$6,1,IF(Settings!$B$23="USD",1/INDEX(Settings!$B$29:$B$40,MONTH(A650)),INDEX(Settings!$B$29:$B$40,MONTH(A650)))))</f>
        <v/>
      </c>
    </row>
    <row r="651" customFormat="false" ht="15" hidden="false" customHeight="false" outlineLevel="0" collapsed="false">
      <c r="H651" s="0" t="str">
        <f aca="false">IF(B651="","",IF(COUNTIF(Campaigns!$A$7:$A$300,B651)&gt;0,"✓","⚠ add to Campaigns tab"))</f>
        <v/>
      </c>
      <c r="I651" s="84" t="str">
        <f aca="false">IF(C651="","",C651*IF(Settings!$B$23=Settings!$C$6,1,IF(Settings!$B$23="USD",1/INDEX(Settings!$B$29:$B$40,MONTH(A651)),INDEX(Settings!$B$29:$B$40,MONTH(A651)))))</f>
        <v/>
      </c>
    </row>
    <row r="652" customFormat="false" ht="15" hidden="false" customHeight="false" outlineLevel="0" collapsed="false">
      <c r="H652" s="0" t="str">
        <f aca="false">IF(B652="","",IF(COUNTIF(Campaigns!$A$7:$A$300,B652)&gt;0,"✓","⚠ add to Campaigns tab"))</f>
        <v/>
      </c>
      <c r="I652" s="84" t="str">
        <f aca="false">IF(C652="","",C652*IF(Settings!$B$23=Settings!$C$6,1,IF(Settings!$B$23="USD",1/INDEX(Settings!$B$29:$B$40,MONTH(A652)),INDEX(Settings!$B$29:$B$40,MONTH(A652)))))</f>
        <v/>
      </c>
    </row>
    <row r="653" customFormat="false" ht="15" hidden="false" customHeight="false" outlineLevel="0" collapsed="false">
      <c r="H653" s="0" t="str">
        <f aca="false">IF(B653="","",IF(COUNTIF(Campaigns!$A$7:$A$300,B653)&gt;0,"✓","⚠ add to Campaigns tab"))</f>
        <v/>
      </c>
      <c r="I653" s="84" t="str">
        <f aca="false">IF(C653="","",C653*IF(Settings!$B$23=Settings!$C$6,1,IF(Settings!$B$23="USD",1/INDEX(Settings!$B$29:$B$40,MONTH(A653)),INDEX(Settings!$B$29:$B$40,MONTH(A653)))))</f>
        <v/>
      </c>
    </row>
    <row r="654" customFormat="false" ht="15" hidden="false" customHeight="false" outlineLevel="0" collapsed="false">
      <c r="H654" s="0" t="str">
        <f aca="false">IF(B654="","",IF(COUNTIF(Campaigns!$A$7:$A$300,B654)&gt;0,"✓","⚠ add to Campaigns tab"))</f>
        <v/>
      </c>
      <c r="I654" s="84" t="str">
        <f aca="false">IF(C654="","",C654*IF(Settings!$B$23=Settings!$C$6,1,IF(Settings!$B$23="USD",1/INDEX(Settings!$B$29:$B$40,MONTH(A654)),INDEX(Settings!$B$29:$B$40,MONTH(A654)))))</f>
        <v/>
      </c>
    </row>
    <row r="655" customFormat="false" ht="15" hidden="false" customHeight="false" outlineLevel="0" collapsed="false">
      <c r="H655" s="0" t="str">
        <f aca="false">IF(B655="","",IF(COUNTIF(Campaigns!$A$7:$A$300,B655)&gt;0,"✓","⚠ add to Campaigns tab"))</f>
        <v/>
      </c>
      <c r="I655" s="84" t="str">
        <f aca="false">IF(C655="","",C655*IF(Settings!$B$23=Settings!$C$6,1,IF(Settings!$B$23="USD",1/INDEX(Settings!$B$29:$B$40,MONTH(A655)),INDEX(Settings!$B$29:$B$40,MONTH(A655)))))</f>
        <v/>
      </c>
    </row>
    <row r="656" customFormat="false" ht="15" hidden="false" customHeight="false" outlineLevel="0" collapsed="false">
      <c r="H656" s="0" t="str">
        <f aca="false">IF(B656="","",IF(COUNTIF(Campaigns!$A$7:$A$300,B656)&gt;0,"✓","⚠ add to Campaigns tab"))</f>
        <v/>
      </c>
      <c r="I656" s="84" t="str">
        <f aca="false">IF(C656="","",C656*IF(Settings!$B$23=Settings!$C$6,1,IF(Settings!$B$23="USD",1/INDEX(Settings!$B$29:$B$40,MONTH(A656)),INDEX(Settings!$B$29:$B$40,MONTH(A656)))))</f>
        <v/>
      </c>
    </row>
    <row r="657" customFormat="false" ht="15" hidden="false" customHeight="false" outlineLevel="0" collapsed="false">
      <c r="H657" s="0" t="str">
        <f aca="false">IF(B657="","",IF(COUNTIF(Campaigns!$A$7:$A$300,B657)&gt;0,"✓","⚠ add to Campaigns tab"))</f>
        <v/>
      </c>
      <c r="I657" s="84" t="str">
        <f aca="false">IF(C657="","",C657*IF(Settings!$B$23=Settings!$C$6,1,IF(Settings!$B$23="USD",1/INDEX(Settings!$B$29:$B$40,MONTH(A657)),INDEX(Settings!$B$29:$B$40,MONTH(A657)))))</f>
        <v/>
      </c>
    </row>
    <row r="658" customFormat="false" ht="15" hidden="false" customHeight="false" outlineLevel="0" collapsed="false">
      <c r="H658" s="0" t="str">
        <f aca="false">IF(B658="","",IF(COUNTIF(Campaigns!$A$7:$A$300,B658)&gt;0,"✓","⚠ add to Campaigns tab"))</f>
        <v/>
      </c>
      <c r="I658" s="84" t="str">
        <f aca="false">IF(C658="","",C658*IF(Settings!$B$23=Settings!$C$6,1,IF(Settings!$B$23="USD",1/INDEX(Settings!$B$29:$B$40,MONTH(A658)),INDEX(Settings!$B$29:$B$40,MONTH(A658)))))</f>
        <v/>
      </c>
    </row>
    <row r="659" customFormat="false" ht="15" hidden="false" customHeight="false" outlineLevel="0" collapsed="false">
      <c r="H659" s="0" t="str">
        <f aca="false">IF(B659="","",IF(COUNTIF(Campaigns!$A$7:$A$300,B659)&gt;0,"✓","⚠ add to Campaigns tab"))</f>
        <v/>
      </c>
      <c r="I659" s="84" t="str">
        <f aca="false">IF(C659="","",C659*IF(Settings!$B$23=Settings!$C$6,1,IF(Settings!$B$23="USD",1/INDEX(Settings!$B$29:$B$40,MONTH(A659)),INDEX(Settings!$B$29:$B$40,MONTH(A659)))))</f>
        <v/>
      </c>
    </row>
    <row r="660" customFormat="false" ht="15" hidden="false" customHeight="false" outlineLevel="0" collapsed="false">
      <c r="H660" s="0" t="str">
        <f aca="false">IF(B660="","",IF(COUNTIF(Campaigns!$A$7:$A$300,B660)&gt;0,"✓","⚠ add to Campaigns tab"))</f>
        <v/>
      </c>
      <c r="I660" s="84" t="str">
        <f aca="false">IF(C660="","",C660*IF(Settings!$B$23=Settings!$C$6,1,IF(Settings!$B$23="USD",1/INDEX(Settings!$B$29:$B$40,MONTH(A660)),INDEX(Settings!$B$29:$B$40,MONTH(A660)))))</f>
        <v/>
      </c>
    </row>
    <row r="661" customFormat="false" ht="15" hidden="false" customHeight="false" outlineLevel="0" collapsed="false">
      <c r="H661" s="0" t="str">
        <f aca="false">IF(B661="","",IF(COUNTIF(Campaigns!$A$7:$A$300,B661)&gt;0,"✓","⚠ add to Campaigns tab"))</f>
        <v/>
      </c>
      <c r="I661" s="84" t="str">
        <f aca="false">IF(C661="","",C661*IF(Settings!$B$23=Settings!$C$6,1,IF(Settings!$B$23="USD",1/INDEX(Settings!$B$29:$B$40,MONTH(A661)),INDEX(Settings!$B$29:$B$40,MONTH(A661)))))</f>
        <v/>
      </c>
    </row>
    <row r="662" customFormat="false" ht="15" hidden="false" customHeight="false" outlineLevel="0" collapsed="false">
      <c r="H662" s="0" t="str">
        <f aca="false">IF(B662="","",IF(COUNTIF(Campaigns!$A$7:$A$300,B662)&gt;0,"✓","⚠ add to Campaigns tab"))</f>
        <v/>
      </c>
      <c r="I662" s="84" t="str">
        <f aca="false">IF(C662="","",C662*IF(Settings!$B$23=Settings!$C$6,1,IF(Settings!$B$23="USD",1/INDEX(Settings!$B$29:$B$40,MONTH(A662)),INDEX(Settings!$B$29:$B$40,MONTH(A662)))))</f>
        <v/>
      </c>
    </row>
    <row r="663" customFormat="false" ht="15" hidden="false" customHeight="false" outlineLevel="0" collapsed="false">
      <c r="H663" s="0" t="str">
        <f aca="false">IF(B663="","",IF(COUNTIF(Campaigns!$A$7:$A$300,B663)&gt;0,"✓","⚠ add to Campaigns tab"))</f>
        <v/>
      </c>
      <c r="I663" s="84" t="str">
        <f aca="false">IF(C663="","",C663*IF(Settings!$B$23=Settings!$C$6,1,IF(Settings!$B$23="USD",1/INDEX(Settings!$B$29:$B$40,MONTH(A663)),INDEX(Settings!$B$29:$B$40,MONTH(A663)))))</f>
        <v/>
      </c>
    </row>
    <row r="664" customFormat="false" ht="15" hidden="false" customHeight="false" outlineLevel="0" collapsed="false">
      <c r="H664" s="0" t="str">
        <f aca="false">IF(B664="","",IF(COUNTIF(Campaigns!$A$7:$A$300,B664)&gt;0,"✓","⚠ add to Campaigns tab"))</f>
        <v/>
      </c>
      <c r="I664" s="84" t="str">
        <f aca="false">IF(C664="","",C664*IF(Settings!$B$23=Settings!$C$6,1,IF(Settings!$B$23="USD",1/INDEX(Settings!$B$29:$B$40,MONTH(A664)),INDEX(Settings!$B$29:$B$40,MONTH(A664)))))</f>
        <v/>
      </c>
    </row>
    <row r="665" customFormat="false" ht="15" hidden="false" customHeight="false" outlineLevel="0" collapsed="false">
      <c r="H665" s="0" t="str">
        <f aca="false">IF(B665="","",IF(COUNTIF(Campaigns!$A$7:$A$300,B665)&gt;0,"✓","⚠ add to Campaigns tab"))</f>
        <v/>
      </c>
      <c r="I665" s="84" t="str">
        <f aca="false">IF(C665="","",C665*IF(Settings!$B$23=Settings!$C$6,1,IF(Settings!$B$23="USD",1/INDEX(Settings!$B$29:$B$40,MONTH(A665)),INDEX(Settings!$B$29:$B$40,MONTH(A665)))))</f>
        <v/>
      </c>
    </row>
    <row r="666" customFormat="false" ht="15" hidden="false" customHeight="false" outlineLevel="0" collapsed="false">
      <c r="H666" s="0" t="str">
        <f aca="false">IF(B666="","",IF(COUNTIF(Campaigns!$A$7:$A$300,B666)&gt;0,"✓","⚠ add to Campaigns tab"))</f>
        <v/>
      </c>
      <c r="I666" s="84" t="str">
        <f aca="false">IF(C666="","",C666*IF(Settings!$B$23=Settings!$C$6,1,IF(Settings!$B$23="USD",1/INDEX(Settings!$B$29:$B$40,MONTH(A666)),INDEX(Settings!$B$29:$B$40,MONTH(A666)))))</f>
        <v/>
      </c>
    </row>
    <row r="667" customFormat="false" ht="15" hidden="false" customHeight="false" outlineLevel="0" collapsed="false">
      <c r="H667" s="0" t="str">
        <f aca="false">IF(B667="","",IF(COUNTIF(Campaigns!$A$7:$A$300,B667)&gt;0,"✓","⚠ add to Campaigns tab"))</f>
        <v/>
      </c>
      <c r="I667" s="84" t="str">
        <f aca="false">IF(C667="","",C667*IF(Settings!$B$23=Settings!$C$6,1,IF(Settings!$B$23="USD",1/INDEX(Settings!$B$29:$B$40,MONTH(A667)),INDEX(Settings!$B$29:$B$40,MONTH(A667)))))</f>
        <v/>
      </c>
    </row>
    <row r="668" customFormat="false" ht="15" hidden="false" customHeight="false" outlineLevel="0" collapsed="false">
      <c r="H668" s="0" t="str">
        <f aca="false">IF(B668="","",IF(COUNTIF(Campaigns!$A$7:$A$300,B668)&gt;0,"✓","⚠ add to Campaigns tab"))</f>
        <v/>
      </c>
      <c r="I668" s="84" t="str">
        <f aca="false">IF(C668="","",C668*IF(Settings!$B$23=Settings!$C$6,1,IF(Settings!$B$23="USD",1/INDEX(Settings!$B$29:$B$40,MONTH(A668)),INDEX(Settings!$B$29:$B$40,MONTH(A668)))))</f>
        <v/>
      </c>
    </row>
    <row r="669" customFormat="false" ht="15" hidden="false" customHeight="false" outlineLevel="0" collapsed="false">
      <c r="H669" s="0" t="str">
        <f aca="false">IF(B669="","",IF(COUNTIF(Campaigns!$A$7:$A$300,B669)&gt;0,"✓","⚠ add to Campaigns tab"))</f>
        <v/>
      </c>
      <c r="I669" s="84" t="str">
        <f aca="false">IF(C669="","",C669*IF(Settings!$B$23=Settings!$C$6,1,IF(Settings!$B$23="USD",1/INDEX(Settings!$B$29:$B$40,MONTH(A669)),INDEX(Settings!$B$29:$B$40,MONTH(A669)))))</f>
        <v/>
      </c>
    </row>
    <row r="670" customFormat="false" ht="15" hidden="false" customHeight="false" outlineLevel="0" collapsed="false">
      <c r="H670" s="0" t="str">
        <f aca="false">IF(B670="","",IF(COUNTIF(Campaigns!$A$7:$A$300,B670)&gt;0,"✓","⚠ add to Campaigns tab"))</f>
        <v/>
      </c>
      <c r="I670" s="84" t="str">
        <f aca="false">IF(C670="","",C670*IF(Settings!$B$23=Settings!$C$6,1,IF(Settings!$B$23="USD",1/INDEX(Settings!$B$29:$B$40,MONTH(A670)),INDEX(Settings!$B$29:$B$40,MONTH(A670)))))</f>
        <v/>
      </c>
    </row>
    <row r="671" customFormat="false" ht="15" hidden="false" customHeight="false" outlineLevel="0" collapsed="false">
      <c r="H671" s="0" t="str">
        <f aca="false">IF(B671="","",IF(COUNTIF(Campaigns!$A$7:$A$300,B671)&gt;0,"✓","⚠ add to Campaigns tab"))</f>
        <v/>
      </c>
      <c r="I671" s="84" t="str">
        <f aca="false">IF(C671="","",C671*IF(Settings!$B$23=Settings!$C$6,1,IF(Settings!$B$23="USD",1/INDEX(Settings!$B$29:$B$40,MONTH(A671)),INDEX(Settings!$B$29:$B$40,MONTH(A671)))))</f>
        <v/>
      </c>
    </row>
    <row r="672" customFormat="false" ht="15" hidden="false" customHeight="false" outlineLevel="0" collapsed="false">
      <c r="H672" s="0" t="str">
        <f aca="false">IF(B672="","",IF(COUNTIF(Campaigns!$A$7:$A$300,B672)&gt;0,"✓","⚠ add to Campaigns tab"))</f>
        <v/>
      </c>
      <c r="I672" s="84" t="str">
        <f aca="false">IF(C672="","",C672*IF(Settings!$B$23=Settings!$C$6,1,IF(Settings!$B$23="USD",1/INDEX(Settings!$B$29:$B$40,MONTH(A672)),INDEX(Settings!$B$29:$B$40,MONTH(A672)))))</f>
        <v/>
      </c>
    </row>
    <row r="673" customFormat="false" ht="15" hidden="false" customHeight="false" outlineLevel="0" collapsed="false">
      <c r="H673" s="0" t="str">
        <f aca="false">IF(B673="","",IF(COUNTIF(Campaigns!$A$7:$A$300,B673)&gt;0,"✓","⚠ add to Campaigns tab"))</f>
        <v/>
      </c>
      <c r="I673" s="84" t="str">
        <f aca="false">IF(C673="","",C673*IF(Settings!$B$23=Settings!$C$6,1,IF(Settings!$B$23="USD",1/INDEX(Settings!$B$29:$B$40,MONTH(A673)),INDEX(Settings!$B$29:$B$40,MONTH(A673)))))</f>
        <v/>
      </c>
    </row>
    <row r="674" customFormat="false" ht="15" hidden="false" customHeight="false" outlineLevel="0" collapsed="false">
      <c r="H674" s="0" t="str">
        <f aca="false">IF(B674="","",IF(COUNTIF(Campaigns!$A$7:$A$300,B674)&gt;0,"✓","⚠ add to Campaigns tab"))</f>
        <v/>
      </c>
      <c r="I674" s="84" t="str">
        <f aca="false">IF(C674="","",C674*IF(Settings!$B$23=Settings!$C$6,1,IF(Settings!$B$23="USD",1/INDEX(Settings!$B$29:$B$40,MONTH(A674)),INDEX(Settings!$B$29:$B$40,MONTH(A674)))))</f>
        <v/>
      </c>
    </row>
    <row r="675" customFormat="false" ht="15" hidden="false" customHeight="false" outlineLevel="0" collapsed="false">
      <c r="H675" s="0" t="str">
        <f aca="false">IF(B675="","",IF(COUNTIF(Campaigns!$A$7:$A$300,B675)&gt;0,"✓","⚠ add to Campaigns tab"))</f>
        <v/>
      </c>
      <c r="I675" s="84" t="str">
        <f aca="false">IF(C675="","",C675*IF(Settings!$B$23=Settings!$C$6,1,IF(Settings!$B$23="USD",1/INDEX(Settings!$B$29:$B$40,MONTH(A675)),INDEX(Settings!$B$29:$B$40,MONTH(A675)))))</f>
        <v/>
      </c>
    </row>
    <row r="676" customFormat="false" ht="15" hidden="false" customHeight="false" outlineLevel="0" collapsed="false">
      <c r="H676" s="0" t="str">
        <f aca="false">IF(B676="","",IF(COUNTIF(Campaigns!$A$7:$A$300,B676)&gt;0,"✓","⚠ add to Campaigns tab"))</f>
        <v/>
      </c>
      <c r="I676" s="84" t="str">
        <f aca="false">IF(C676="","",C676*IF(Settings!$B$23=Settings!$C$6,1,IF(Settings!$B$23="USD",1/INDEX(Settings!$B$29:$B$40,MONTH(A676)),INDEX(Settings!$B$29:$B$40,MONTH(A676)))))</f>
        <v/>
      </c>
    </row>
    <row r="677" customFormat="false" ht="15" hidden="false" customHeight="false" outlineLevel="0" collapsed="false">
      <c r="H677" s="0" t="str">
        <f aca="false">IF(B677="","",IF(COUNTIF(Campaigns!$A$7:$A$300,B677)&gt;0,"✓","⚠ add to Campaigns tab"))</f>
        <v/>
      </c>
      <c r="I677" s="84" t="str">
        <f aca="false">IF(C677="","",C677*IF(Settings!$B$23=Settings!$C$6,1,IF(Settings!$B$23="USD",1/INDEX(Settings!$B$29:$B$40,MONTH(A677)),INDEX(Settings!$B$29:$B$40,MONTH(A677)))))</f>
        <v/>
      </c>
    </row>
    <row r="678" customFormat="false" ht="15" hidden="false" customHeight="false" outlineLevel="0" collapsed="false">
      <c r="H678" s="0" t="str">
        <f aca="false">IF(B678="","",IF(COUNTIF(Campaigns!$A$7:$A$300,B678)&gt;0,"✓","⚠ add to Campaigns tab"))</f>
        <v/>
      </c>
      <c r="I678" s="84" t="str">
        <f aca="false">IF(C678="","",C678*IF(Settings!$B$23=Settings!$C$6,1,IF(Settings!$B$23="USD",1/INDEX(Settings!$B$29:$B$40,MONTH(A678)),INDEX(Settings!$B$29:$B$40,MONTH(A678)))))</f>
        <v/>
      </c>
    </row>
    <row r="679" customFormat="false" ht="15" hidden="false" customHeight="false" outlineLevel="0" collapsed="false">
      <c r="H679" s="0" t="str">
        <f aca="false">IF(B679="","",IF(COUNTIF(Campaigns!$A$7:$A$300,B679)&gt;0,"✓","⚠ add to Campaigns tab"))</f>
        <v/>
      </c>
      <c r="I679" s="84" t="str">
        <f aca="false">IF(C679="","",C679*IF(Settings!$B$23=Settings!$C$6,1,IF(Settings!$B$23="USD",1/INDEX(Settings!$B$29:$B$40,MONTH(A679)),INDEX(Settings!$B$29:$B$40,MONTH(A679)))))</f>
        <v/>
      </c>
    </row>
    <row r="680" customFormat="false" ht="15" hidden="false" customHeight="false" outlineLevel="0" collapsed="false">
      <c r="H680" s="0" t="str">
        <f aca="false">IF(B680="","",IF(COUNTIF(Campaigns!$A$7:$A$300,B680)&gt;0,"✓","⚠ add to Campaigns tab"))</f>
        <v/>
      </c>
      <c r="I680" s="84" t="str">
        <f aca="false">IF(C680="","",C680*IF(Settings!$B$23=Settings!$C$6,1,IF(Settings!$B$23="USD",1/INDEX(Settings!$B$29:$B$40,MONTH(A680)),INDEX(Settings!$B$29:$B$40,MONTH(A680)))))</f>
        <v/>
      </c>
    </row>
    <row r="681" customFormat="false" ht="15" hidden="false" customHeight="false" outlineLevel="0" collapsed="false">
      <c r="H681" s="0" t="str">
        <f aca="false">IF(B681="","",IF(COUNTIF(Campaigns!$A$7:$A$300,B681)&gt;0,"✓","⚠ add to Campaigns tab"))</f>
        <v/>
      </c>
      <c r="I681" s="84" t="str">
        <f aca="false">IF(C681="","",C681*IF(Settings!$B$23=Settings!$C$6,1,IF(Settings!$B$23="USD",1/INDEX(Settings!$B$29:$B$40,MONTH(A681)),INDEX(Settings!$B$29:$B$40,MONTH(A681)))))</f>
        <v/>
      </c>
    </row>
    <row r="682" customFormat="false" ht="15" hidden="false" customHeight="false" outlineLevel="0" collapsed="false">
      <c r="H682" s="0" t="str">
        <f aca="false">IF(B682="","",IF(COUNTIF(Campaigns!$A$7:$A$300,B682)&gt;0,"✓","⚠ add to Campaigns tab"))</f>
        <v/>
      </c>
      <c r="I682" s="84" t="str">
        <f aca="false">IF(C682="","",C682*IF(Settings!$B$23=Settings!$C$6,1,IF(Settings!$B$23="USD",1/INDEX(Settings!$B$29:$B$40,MONTH(A682)),INDEX(Settings!$B$29:$B$40,MONTH(A682)))))</f>
        <v/>
      </c>
    </row>
    <row r="683" customFormat="false" ht="15" hidden="false" customHeight="false" outlineLevel="0" collapsed="false">
      <c r="H683" s="0" t="str">
        <f aca="false">IF(B683="","",IF(COUNTIF(Campaigns!$A$7:$A$300,B683)&gt;0,"✓","⚠ add to Campaigns tab"))</f>
        <v/>
      </c>
      <c r="I683" s="84" t="str">
        <f aca="false">IF(C683="","",C683*IF(Settings!$B$23=Settings!$C$6,1,IF(Settings!$B$23="USD",1/INDEX(Settings!$B$29:$B$40,MONTH(A683)),INDEX(Settings!$B$29:$B$40,MONTH(A683)))))</f>
        <v/>
      </c>
    </row>
    <row r="684" customFormat="false" ht="15" hidden="false" customHeight="false" outlineLevel="0" collapsed="false">
      <c r="H684" s="0" t="str">
        <f aca="false">IF(B684="","",IF(COUNTIF(Campaigns!$A$7:$A$300,B684)&gt;0,"✓","⚠ add to Campaigns tab"))</f>
        <v/>
      </c>
      <c r="I684" s="84" t="str">
        <f aca="false">IF(C684="","",C684*IF(Settings!$B$23=Settings!$C$6,1,IF(Settings!$B$23="USD",1/INDEX(Settings!$B$29:$B$40,MONTH(A684)),INDEX(Settings!$B$29:$B$40,MONTH(A684)))))</f>
        <v/>
      </c>
    </row>
    <row r="685" customFormat="false" ht="15" hidden="false" customHeight="false" outlineLevel="0" collapsed="false">
      <c r="H685" s="0" t="str">
        <f aca="false">IF(B685="","",IF(COUNTIF(Campaigns!$A$7:$A$300,B685)&gt;0,"✓","⚠ add to Campaigns tab"))</f>
        <v/>
      </c>
      <c r="I685" s="84" t="str">
        <f aca="false">IF(C685="","",C685*IF(Settings!$B$23=Settings!$C$6,1,IF(Settings!$B$23="USD",1/INDEX(Settings!$B$29:$B$40,MONTH(A685)),INDEX(Settings!$B$29:$B$40,MONTH(A685)))))</f>
        <v/>
      </c>
    </row>
    <row r="686" customFormat="false" ht="15" hidden="false" customHeight="false" outlineLevel="0" collapsed="false">
      <c r="H686" s="0" t="str">
        <f aca="false">IF(B686="","",IF(COUNTIF(Campaigns!$A$7:$A$300,B686)&gt;0,"✓","⚠ add to Campaigns tab"))</f>
        <v/>
      </c>
      <c r="I686" s="84" t="str">
        <f aca="false">IF(C686="","",C686*IF(Settings!$B$23=Settings!$C$6,1,IF(Settings!$B$23="USD",1/INDEX(Settings!$B$29:$B$40,MONTH(A686)),INDEX(Settings!$B$29:$B$40,MONTH(A686)))))</f>
        <v/>
      </c>
    </row>
    <row r="687" customFormat="false" ht="15" hidden="false" customHeight="false" outlineLevel="0" collapsed="false">
      <c r="H687" s="0" t="str">
        <f aca="false">IF(B687="","",IF(COUNTIF(Campaigns!$A$7:$A$300,B687)&gt;0,"✓","⚠ add to Campaigns tab"))</f>
        <v/>
      </c>
      <c r="I687" s="84" t="str">
        <f aca="false">IF(C687="","",C687*IF(Settings!$B$23=Settings!$C$6,1,IF(Settings!$B$23="USD",1/INDEX(Settings!$B$29:$B$40,MONTH(A687)),INDEX(Settings!$B$29:$B$40,MONTH(A687)))))</f>
        <v/>
      </c>
    </row>
    <row r="688" customFormat="false" ht="15" hidden="false" customHeight="false" outlineLevel="0" collapsed="false">
      <c r="H688" s="0" t="str">
        <f aca="false">IF(B688="","",IF(COUNTIF(Campaigns!$A$7:$A$300,B688)&gt;0,"✓","⚠ add to Campaigns tab"))</f>
        <v/>
      </c>
      <c r="I688" s="84" t="str">
        <f aca="false">IF(C688="","",C688*IF(Settings!$B$23=Settings!$C$6,1,IF(Settings!$B$23="USD",1/INDEX(Settings!$B$29:$B$40,MONTH(A688)),INDEX(Settings!$B$29:$B$40,MONTH(A688)))))</f>
        <v/>
      </c>
    </row>
    <row r="689" customFormat="false" ht="15" hidden="false" customHeight="false" outlineLevel="0" collapsed="false">
      <c r="H689" s="0" t="str">
        <f aca="false">IF(B689="","",IF(COUNTIF(Campaigns!$A$7:$A$300,B689)&gt;0,"✓","⚠ add to Campaigns tab"))</f>
        <v/>
      </c>
      <c r="I689" s="84" t="str">
        <f aca="false">IF(C689="","",C689*IF(Settings!$B$23=Settings!$C$6,1,IF(Settings!$B$23="USD",1/INDEX(Settings!$B$29:$B$40,MONTH(A689)),INDEX(Settings!$B$29:$B$40,MONTH(A689)))))</f>
        <v/>
      </c>
    </row>
    <row r="690" customFormat="false" ht="15" hidden="false" customHeight="false" outlineLevel="0" collapsed="false">
      <c r="H690" s="0" t="str">
        <f aca="false">IF(B690="","",IF(COUNTIF(Campaigns!$A$7:$A$300,B690)&gt;0,"✓","⚠ add to Campaigns tab"))</f>
        <v/>
      </c>
      <c r="I690" s="84" t="str">
        <f aca="false">IF(C690="","",C690*IF(Settings!$B$23=Settings!$C$6,1,IF(Settings!$B$23="USD",1/INDEX(Settings!$B$29:$B$40,MONTH(A690)),INDEX(Settings!$B$29:$B$40,MONTH(A690)))))</f>
        <v/>
      </c>
    </row>
    <row r="691" customFormat="false" ht="15" hidden="false" customHeight="false" outlineLevel="0" collapsed="false">
      <c r="H691" s="0" t="str">
        <f aca="false">IF(B691="","",IF(COUNTIF(Campaigns!$A$7:$A$300,B691)&gt;0,"✓","⚠ add to Campaigns tab"))</f>
        <v/>
      </c>
      <c r="I691" s="84" t="str">
        <f aca="false">IF(C691="","",C691*IF(Settings!$B$23=Settings!$C$6,1,IF(Settings!$B$23="USD",1/INDEX(Settings!$B$29:$B$40,MONTH(A691)),INDEX(Settings!$B$29:$B$40,MONTH(A691)))))</f>
        <v/>
      </c>
    </row>
    <row r="692" customFormat="false" ht="15" hidden="false" customHeight="false" outlineLevel="0" collapsed="false">
      <c r="H692" s="0" t="str">
        <f aca="false">IF(B692="","",IF(COUNTIF(Campaigns!$A$7:$A$300,B692)&gt;0,"✓","⚠ add to Campaigns tab"))</f>
        <v/>
      </c>
      <c r="I692" s="84" t="str">
        <f aca="false">IF(C692="","",C692*IF(Settings!$B$23=Settings!$C$6,1,IF(Settings!$B$23="USD",1/INDEX(Settings!$B$29:$B$40,MONTH(A692)),INDEX(Settings!$B$29:$B$40,MONTH(A692)))))</f>
        <v/>
      </c>
    </row>
    <row r="693" customFormat="false" ht="15" hidden="false" customHeight="false" outlineLevel="0" collapsed="false">
      <c r="H693" s="0" t="str">
        <f aca="false">IF(B693="","",IF(COUNTIF(Campaigns!$A$7:$A$300,B693)&gt;0,"✓","⚠ add to Campaigns tab"))</f>
        <v/>
      </c>
      <c r="I693" s="84" t="str">
        <f aca="false">IF(C693="","",C693*IF(Settings!$B$23=Settings!$C$6,1,IF(Settings!$B$23="USD",1/INDEX(Settings!$B$29:$B$40,MONTH(A693)),INDEX(Settings!$B$29:$B$40,MONTH(A693)))))</f>
        <v/>
      </c>
    </row>
    <row r="694" customFormat="false" ht="15" hidden="false" customHeight="false" outlineLevel="0" collapsed="false">
      <c r="H694" s="0" t="str">
        <f aca="false">IF(B694="","",IF(COUNTIF(Campaigns!$A$7:$A$300,B694)&gt;0,"✓","⚠ add to Campaigns tab"))</f>
        <v/>
      </c>
      <c r="I694" s="84" t="str">
        <f aca="false">IF(C694="","",C694*IF(Settings!$B$23=Settings!$C$6,1,IF(Settings!$B$23="USD",1/INDEX(Settings!$B$29:$B$40,MONTH(A694)),INDEX(Settings!$B$29:$B$40,MONTH(A694)))))</f>
        <v/>
      </c>
    </row>
    <row r="695" customFormat="false" ht="15" hidden="false" customHeight="false" outlineLevel="0" collapsed="false">
      <c r="H695" s="0" t="str">
        <f aca="false">IF(B695="","",IF(COUNTIF(Campaigns!$A$7:$A$300,B695)&gt;0,"✓","⚠ add to Campaigns tab"))</f>
        <v/>
      </c>
      <c r="I695" s="84" t="str">
        <f aca="false">IF(C695="","",C695*IF(Settings!$B$23=Settings!$C$6,1,IF(Settings!$B$23="USD",1/INDEX(Settings!$B$29:$B$40,MONTH(A695)),INDEX(Settings!$B$29:$B$40,MONTH(A695)))))</f>
        <v/>
      </c>
    </row>
    <row r="696" customFormat="false" ht="15" hidden="false" customHeight="false" outlineLevel="0" collapsed="false">
      <c r="H696" s="0" t="str">
        <f aca="false">IF(B696="","",IF(COUNTIF(Campaigns!$A$7:$A$300,B696)&gt;0,"✓","⚠ add to Campaigns tab"))</f>
        <v/>
      </c>
      <c r="I696" s="84" t="str">
        <f aca="false">IF(C696="","",C696*IF(Settings!$B$23=Settings!$C$6,1,IF(Settings!$B$23="USD",1/INDEX(Settings!$B$29:$B$40,MONTH(A696)),INDEX(Settings!$B$29:$B$40,MONTH(A696)))))</f>
        <v/>
      </c>
    </row>
    <row r="697" customFormat="false" ht="15" hidden="false" customHeight="false" outlineLevel="0" collapsed="false">
      <c r="H697" s="0" t="str">
        <f aca="false">IF(B697="","",IF(COUNTIF(Campaigns!$A$7:$A$300,B697)&gt;0,"✓","⚠ add to Campaigns tab"))</f>
        <v/>
      </c>
      <c r="I697" s="84" t="str">
        <f aca="false">IF(C697="","",C697*IF(Settings!$B$23=Settings!$C$6,1,IF(Settings!$B$23="USD",1/INDEX(Settings!$B$29:$B$40,MONTH(A697)),INDEX(Settings!$B$29:$B$40,MONTH(A697)))))</f>
        <v/>
      </c>
    </row>
    <row r="698" customFormat="false" ht="15" hidden="false" customHeight="false" outlineLevel="0" collapsed="false">
      <c r="H698" s="0" t="str">
        <f aca="false">IF(B698="","",IF(COUNTIF(Campaigns!$A$7:$A$300,B698)&gt;0,"✓","⚠ add to Campaigns tab"))</f>
        <v/>
      </c>
      <c r="I698" s="84" t="str">
        <f aca="false">IF(C698="","",C698*IF(Settings!$B$23=Settings!$C$6,1,IF(Settings!$B$23="USD",1/INDEX(Settings!$B$29:$B$40,MONTH(A698)),INDEX(Settings!$B$29:$B$40,MONTH(A698)))))</f>
        <v/>
      </c>
    </row>
    <row r="699" customFormat="false" ht="15" hidden="false" customHeight="false" outlineLevel="0" collapsed="false">
      <c r="H699" s="0" t="str">
        <f aca="false">IF(B699="","",IF(COUNTIF(Campaigns!$A$7:$A$300,B699)&gt;0,"✓","⚠ add to Campaigns tab"))</f>
        <v/>
      </c>
      <c r="I699" s="84" t="str">
        <f aca="false">IF(C699="","",C699*IF(Settings!$B$23=Settings!$C$6,1,IF(Settings!$B$23="USD",1/INDEX(Settings!$B$29:$B$40,MONTH(A699)),INDEX(Settings!$B$29:$B$40,MONTH(A699)))))</f>
        <v/>
      </c>
    </row>
    <row r="700" customFormat="false" ht="15" hidden="false" customHeight="false" outlineLevel="0" collapsed="false">
      <c r="H700" s="0" t="str">
        <f aca="false">IF(B700="","",IF(COUNTIF(Campaigns!$A$7:$A$300,B700)&gt;0,"✓","⚠ add to Campaigns tab"))</f>
        <v/>
      </c>
      <c r="I700" s="84" t="str">
        <f aca="false">IF(C700="","",C700*IF(Settings!$B$23=Settings!$C$6,1,IF(Settings!$B$23="USD",1/INDEX(Settings!$B$29:$B$40,MONTH(A700)),INDEX(Settings!$B$29:$B$40,MONTH(A700)))))</f>
        <v/>
      </c>
    </row>
    <row r="701" customFormat="false" ht="15" hidden="false" customHeight="false" outlineLevel="0" collapsed="false">
      <c r="H701" s="0" t="str">
        <f aca="false">IF(B701="","",IF(COUNTIF(Campaigns!$A$7:$A$300,B701)&gt;0,"✓","⚠ add to Campaigns tab"))</f>
        <v/>
      </c>
      <c r="I701" s="84" t="str">
        <f aca="false">IF(C701="","",C701*IF(Settings!$B$23=Settings!$C$6,1,IF(Settings!$B$23="USD",1/INDEX(Settings!$B$29:$B$40,MONTH(A701)),INDEX(Settings!$B$29:$B$40,MONTH(A701)))))</f>
        <v/>
      </c>
    </row>
    <row r="702" customFormat="false" ht="15" hidden="false" customHeight="false" outlineLevel="0" collapsed="false">
      <c r="H702" s="0" t="str">
        <f aca="false">IF(B702="","",IF(COUNTIF(Campaigns!$A$7:$A$300,B702)&gt;0,"✓","⚠ add to Campaigns tab"))</f>
        <v/>
      </c>
      <c r="I702" s="84" t="str">
        <f aca="false">IF(C702="","",C702*IF(Settings!$B$23=Settings!$C$6,1,IF(Settings!$B$23="USD",1/INDEX(Settings!$B$29:$B$40,MONTH(A702)),INDEX(Settings!$B$29:$B$40,MONTH(A702)))))</f>
        <v/>
      </c>
    </row>
    <row r="703" customFormat="false" ht="15" hidden="false" customHeight="false" outlineLevel="0" collapsed="false">
      <c r="H703" s="0" t="str">
        <f aca="false">IF(B703="","",IF(COUNTIF(Campaigns!$A$7:$A$300,B703)&gt;0,"✓","⚠ add to Campaigns tab"))</f>
        <v/>
      </c>
      <c r="I703" s="84" t="str">
        <f aca="false">IF(C703="","",C703*IF(Settings!$B$23=Settings!$C$6,1,IF(Settings!$B$23="USD",1/INDEX(Settings!$B$29:$B$40,MONTH(A703)),INDEX(Settings!$B$29:$B$40,MONTH(A703)))))</f>
        <v/>
      </c>
    </row>
    <row r="704" customFormat="false" ht="15" hidden="false" customHeight="false" outlineLevel="0" collapsed="false">
      <c r="H704" s="0" t="str">
        <f aca="false">IF(B704="","",IF(COUNTIF(Campaigns!$A$7:$A$300,B704)&gt;0,"✓","⚠ add to Campaigns tab"))</f>
        <v/>
      </c>
      <c r="I704" s="84" t="str">
        <f aca="false">IF(C704="","",C704*IF(Settings!$B$23=Settings!$C$6,1,IF(Settings!$B$23="USD",1/INDEX(Settings!$B$29:$B$40,MONTH(A704)),INDEX(Settings!$B$29:$B$40,MONTH(A704)))))</f>
        <v/>
      </c>
    </row>
    <row r="705" customFormat="false" ht="15" hidden="false" customHeight="false" outlineLevel="0" collapsed="false">
      <c r="H705" s="0" t="str">
        <f aca="false">IF(B705="","",IF(COUNTIF(Campaigns!$A$7:$A$300,B705)&gt;0,"✓","⚠ add to Campaigns tab"))</f>
        <v/>
      </c>
      <c r="I705" s="84" t="str">
        <f aca="false">IF(C705="","",C705*IF(Settings!$B$23=Settings!$C$6,1,IF(Settings!$B$23="USD",1/INDEX(Settings!$B$29:$B$40,MONTH(A705)),INDEX(Settings!$B$29:$B$40,MONTH(A705)))))</f>
        <v/>
      </c>
    </row>
    <row r="706" customFormat="false" ht="15" hidden="false" customHeight="false" outlineLevel="0" collapsed="false">
      <c r="H706" s="0" t="str">
        <f aca="false">IF(B706="","",IF(COUNTIF(Campaigns!$A$7:$A$300,B706)&gt;0,"✓","⚠ add to Campaigns tab"))</f>
        <v/>
      </c>
      <c r="I706" s="84" t="str">
        <f aca="false">IF(C706="","",C706*IF(Settings!$B$23=Settings!$C$6,1,IF(Settings!$B$23="USD",1/INDEX(Settings!$B$29:$B$40,MONTH(A706)),INDEX(Settings!$B$29:$B$40,MONTH(A706)))))</f>
        <v/>
      </c>
    </row>
    <row r="707" customFormat="false" ht="15" hidden="false" customHeight="false" outlineLevel="0" collapsed="false">
      <c r="H707" s="0" t="str">
        <f aca="false">IF(B707="","",IF(COUNTIF(Campaigns!$A$7:$A$300,B707)&gt;0,"✓","⚠ add to Campaigns tab"))</f>
        <v/>
      </c>
      <c r="I707" s="84" t="str">
        <f aca="false">IF(C707="","",C707*IF(Settings!$B$23=Settings!$C$6,1,IF(Settings!$B$23="USD",1/INDEX(Settings!$B$29:$B$40,MONTH(A707)),INDEX(Settings!$B$29:$B$40,MONTH(A707)))))</f>
        <v/>
      </c>
    </row>
    <row r="708" customFormat="false" ht="15" hidden="false" customHeight="false" outlineLevel="0" collapsed="false">
      <c r="H708" s="0" t="str">
        <f aca="false">IF(B708="","",IF(COUNTIF(Campaigns!$A$7:$A$300,B708)&gt;0,"✓","⚠ add to Campaigns tab"))</f>
        <v/>
      </c>
      <c r="I708" s="84" t="str">
        <f aca="false">IF(C708="","",C708*IF(Settings!$B$23=Settings!$C$6,1,IF(Settings!$B$23="USD",1/INDEX(Settings!$B$29:$B$40,MONTH(A708)),INDEX(Settings!$B$29:$B$40,MONTH(A708)))))</f>
        <v/>
      </c>
    </row>
    <row r="709" customFormat="false" ht="15" hidden="false" customHeight="false" outlineLevel="0" collapsed="false">
      <c r="H709" s="0" t="str">
        <f aca="false">IF(B709="","",IF(COUNTIF(Campaigns!$A$7:$A$300,B709)&gt;0,"✓","⚠ add to Campaigns tab"))</f>
        <v/>
      </c>
      <c r="I709" s="84" t="str">
        <f aca="false">IF(C709="","",C709*IF(Settings!$B$23=Settings!$C$6,1,IF(Settings!$B$23="USD",1/INDEX(Settings!$B$29:$B$40,MONTH(A709)),INDEX(Settings!$B$29:$B$40,MONTH(A709)))))</f>
        <v/>
      </c>
    </row>
    <row r="710" customFormat="false" ht="15" hidden="false" customHeight="false" outlineLevel="0" collapsed="false">
      <c r="H710" s="0" t="str">
        <f aca="false">IF(B710="","",IF(COUNTIF(Campaigns!$A$7:$A$300,B710)&gt;0,"✓","⚠ add to Campaigns tab"))</f>
        <v/>
      </c>
      <c r="I710" s="84" t="str">
        <f aca="false">IF(C710="","",C710*IF(Settings!$B$23=Settings!$C$6,1,IF(Settings!$B$23="USD",1/INDEX(Settings!$B$29:$B$40,MONTH(A710)),INDEX(Settings!$B$29:$B$40,MONTH(A710)))))</f>
        <v/>
      </c>
    </row>
    <row r="711" customFormat="false" ht="15" hidden="false" customHeight="false" outlineLevel="0" collapsed="false">
      <c r="H711" s="0" t="str">
        <f aca="false">IF(B711="","",IF(COUNTIF(Campaigns!$A$7:$A$300,B711)&gt;0,"✓","⚠ add to Campaigns tab"))</f>
        <v/>
      </c>
      <c r="I711" s="84" t="str">
        <f aca="false">IF(C711="","",C711*IF(Settings!$B$23=Settings!$C$6,1,IF(Settings!$B$23="USD",1/INDEX(Settings!$B$29:$B$40,MONTH(A711)),INDEX(Settings!$B$29:$B$40,MONTH(A711)))))</f>
        <v/>
      </c>
    </row>
    <row r="712" customFormat="false" ht="15" hidden="false" customHeight="false" outlineLevel="0" collapsed="false">
      <c r="H712" s="0" t="str">
        <f aca="false">IF(B712="","",IF(COUNTIF(Campaigns!$A$7:$A$300,B712)&gt;0,"✓","⚠ add to Campaigns tab"))</f>
        <v/>
      </c>
      <c r="I712" s="84" t="str">
        <f aca="false">IF(C712="","",C712*IF(Settings!$B$23=Settings!$C$6,1,IF(Settings!$B$23="USD",1/INDEX(Settings!$B$29:$B$40,MONTH(A712)),INDEX(Settings!$B$29:$B$40,MONTH(A712)))))</f>
        <v/>
      </c>
    </row>
    <row r="713" customFormat="false" ht="15" hidden="false" customHeight="false" outlineLevel="0" collapsed="false">
      <c r="H713" s="0" t="str">
        <f aca="false">IF(B713="","",IF(COUNTIF(Campaigns!$A$7:$A$300,B713)&gt;0,"✓","⚠ add to Campaigns tab"))</f>
        <v/>
      </c>
      <c r="I713" s="84" t="str">
        <f aca="false">IF(C713="","",C713*IF(Settings!$B$23=Settings!$C$6,1,IF(Settings!$B$23="USD",1/INDEX(Settings!$B$29:$B$40,MONTH(A713)),INDEX(Settings!$B$29:$B$40,MONTH(A713)))))</f>
        <v/>
      </c>
    </row>
    <row r="714" customFormat="false" ht="15" hidden="false" customHeight="false" outlineLevel="0" collapsed="false">
      <c r="H714" s="0" t="str">
        <f aca="false">IF(B714="","",IF(COUNTIF(Campaigns!$A$7:$A$300,B714)&gt;0,"✓","⚠ add to Campaigns tab"))</f>
        <v/>
      </c>
      <c r="I714" s="84" t="str">
        <f aca="false">IF(C714="","",C714*IF(Settings!$B$23=Settings!$C$6,1,IF(Settings!$B$23="USD",1/INDEX(Settings!$B$29:$B$40,MONTH(A714)),INDEX(Settings!$B$29:$B$40,MONTH(A714)))))</f>
        <v/>
      </c>
    </row>
    <row r="715" customFormat="false" ht="15" hidden="false" customHeight="false" outlineLevel="0" collapsed="false">
      <c r="H715" s="0" t="str">
        <f aca="false">IF(B715="","",IF(COUNTIF(Campaigns!$A$7:$A$300,B715)&gt;0,"✓","⚠ add to Campaigns tab"))</f>
        <v/>
      </c>
      <c r="I715" s="84" t="str">
        <f aca="false">IF(C715="","",C715*IF(Settings!$B$23=Settings!$C$6,1,IF(Settings!$B$23="USD",1/INDEX(Settings!$B$29:$B$40,MONTH(A715)),INDEX(Settings!$B$29:$B$40,MONTH(A715)))))</f>
        <v/>
      </c>
    </row>
    <row r="716" customFormat="false" ht="15" hidden="false" customHeight="false" outlineLevel="0" collapsed="false">
      <c r="H716" s="0" t="str">
        <f aca="false">IF(B716="","",IF(COUNTIF(Campaigns!$A$7:$A$300,B716)&gt;0,"✓","⚠ add to Campaigns tab"))</f>
        <v/>
      </c>
      <c r="I716" s="84" t="str">
        <f aca="false">IF(C716="","",C716*IF(Settings!$B$23=Settings!$C$6,1,IF(Settings!$B$23="USD",1/INDEX(Settings!$B$29:$B$40,MONTH(A716)),INDEX(Settings!$B$29:$B$40,MONTH(A716)))))</f>
        <v/>
      </c>
    </row>
    <row r="717" customFormat="false" ht="15" hidden="false" customHeight="false" outlineLevel="0" collapsed="false">
      <c r="H717" s="0" t="str">
        <f aca="false">IF(B717="","",IF(COUNTIF(Campaigns!$A$7:$A$300,B717)&gt;0,"✓","⚠ add to Campaigns tab"))</f>
        <v/>
      </c>
      <c r="I717" s="84" t="str">
        <f aca="false">IF(C717="","",C717*IF(Settings!$B$23=Settings!$C$6,1,IF(Settings!$B$23="USD",1/INDEX(Settings!$B$29:$B$40,MONTH(A717)),INDEX(Settings!$B$29:$B$40,MONTH(A717)))))</f>
        <v/>
      </c>
    </row>
    <row r="718" customFormat="false" ht="15" hidden="false" customHeight="false" outlineLevel="0" collapsed="false">
      <c r="H718" s="0" t="str">
        <f aca="false">IF(B718="","",IF(COUNTIF(Campaigns!$A$7:$A$300,B718)&gt;0,"✓","⚠ add to Campaigns tab"))</f>
        <v/>
      </c>
      <c r="I718" s="84" t="str">
        <f aca="false">IF(C718="","",C718*IF(Settings!$B$23=Settings!$C$6,1,IF(Settings!$B$23="USD",1/INDEX(Settings!$B$29:$B$40,MONTH(A718)),INDEX(Settings!$B$29:$B$40,MONTH(A718)))))</f>
        <v/>
      </c>
    </row>
    <row r="719" customFormat="false" ht="15" hidden="false" customHeight="false" outlineLevel="0" collapsed="false">
      <c r="H719" s="0" t="str">
        <f aca="false">IF(B719="","",IF(COUNTIF(Campaigns!$A$7:$A$300,B719)&gt;0,"✓","⚠ add to Campaigns tab"))</f>
        <v/>
      </c>
      <c r="I719" s="84" t="str">
        <f aca="false">IF(C719="","",C719*IF(Settings!$B$23=Settings!$C$6,1,IF(Settings!$B$23="USD",1/INDEX(Settings!$B$29:$B$40,MONTH(A719)),INDEX(Settings!$B$29:$B$40,MONTH(A719)))))</f>
        <v/>
      </c>
    </row>
    <row r="720" customFormat="false" ht="15" hidden="false" customHeight="false" outlineLevel="0" collapsed="false">
      <c r="H720" s="0" t="str">
        <f aca="false">IF(B720="","",IF(COUNTIF(Campaigns!$A$7:$A$300,B720)&gt;0,"✓","⚠ add to Campaigns tab"))</f>
        <v/>
      </c>
      <c r="I720" s="84" t="str">
        <f aca="false">IF(C720="","",C720*IF(Settings!$B$23=Settings!$C$6,1,IF(Settings!$B$23="USD",1/INDEX(Settings!$B$29:$B$40,MONTH(A720)),INDEX(Settings!$B$29:$B$40,MONTH(A720)))))</f>
        <v/>
      </c>
    </row>
    <row r="721" customFormat="false" ht="15" hidden="false" customHeight="false" outlineLevel="0" collapsed="false">
      <c r="H721" s="0" t="str">
        <f aca="false">IF(B721="","",IF(COUNTIF(Campaigns!$A$7:$A$300,B721)&gt;0,"✓","⚠ add to Campaigns tab"))</f>
        <v/>
      </c>
      <c r="I721" s="84" t="str">
        <f aca="false">IF(C721="","",C721*IF(Settings!$B$23=Settings!$C$6,1,IF(Settings!$B$23="USD",1/INDEX(Settings!$B$29:$B$40,MONTH(A721)),INDEX(Settings!$B$29:$B$40,MONTH(A721)))))</f>
        <v/>
      </c>
    </row>
    <row r="722" customFormat="false" ht="15" hidden="false" customHeight="false" outlineLevel="0" collapsed="false">
      <c r="H722" s="0" t="str">
        <f aca="false">IF(B722="","",IF(COUNTIF(Campaigns!$A$7:$A$300,B722)&gt;0,"✓","⚠ add to Campaigns tab"))</f>
        <v/>
      </c>
      <c r="I722" s="84" t="str">
        <f aca="false">IF(C722="","",C722*IF(Settings!$B$23=Settings!$C$6,1,IF(Settings!$B$23="USD",1/INDEX(Settings!$B$29:$B$40,MONTH(A722)),INDEX(Settings!$B$29:$B$40,MONTH(A722)))))</f>
        <v/>
      </c>
    </row>
    <row r="723" customFormat="false" ht="15" hidden="false" customHeight="false" outlineLevel="0" collapsed="false">
      <c r="H723" s="0" t="str">
        <f aca="false">IF(B723="","",IF(COUNTIF(Campaigns!$A$7:$A$300,B723)&gt;0,"✓","⚠ add to Campaigns tab"))</f>
        <v/>
      </c>
      <c r="I723" s="84" t="str">
        <f aca="false">IF(C723="","",C723*IF(Settings!$B$23=Settings!$C$6,1,IF(Settings!$B$23="USD",1/INDEX(Settings!$B$29:$B$40,MONTH(A723)),INDEX(Settings!$B$29:$B$40,MONTH(A723)))))</f>
        <v/>
      </c>
    </row>
    <row r="724" customFormat="false" ht="15" hidden="false" customHeight="false" outlineLevel="0" collapsed="false">
      <c r="H724" s="0" t="str">
        <f aca="false">IF(B724="","",IF(COUNTIF(Campaigns!$A$7:$A$300,B724)&gt;0,"✓","⚠ add to Campaigns tab"))</f>
        <v/>
      </c>
      <c r="I724" s="84" t="str">
        <f aca="false">IF(C724="","",C724*IF(Settings!$B$23=Settings!$C$6,1,IF(Settings!$B$23="USD",1/INDEX(Settings!$B$29:$B$40,MONTH(A724)),INDEX(Settings!$B$29:$B$40,MONTH(A724)))))</f>
        <v/>
      </c>
    </row>
    <row r="725" customFormat="false" ht="15" hidden="false" customHeight="false" outlineLevel="0" collapsed="false">
      <c r="H725" s="0" t="str">
        <f aca="false">IF(B725="","",IF(COUNTIF(Campaigns!$A$7:$A$300,B725)&gt;0,"✓","⚠ add to Campaigns tab"))</f>
        <v/>
      </c>
      <c r="I725" s="84" t="str">
        <f aca="false">IF(C725="","",C725*IF(Settings!$B$23=Settings!$C$6,1,IF(Settings!$B$23="USD",1/INDEX(Settings!$B$29:$B$40,MONTH(A725)),INDEX(Settings!$B$29:$B$40,MONTH(A725)))))</f>
        <v/>
      </c>
    </row>
    <row r="726" customFormat="false" ht="15" hidden="false" customHeight="false" outlineLevel="0" collapsed="false">
      <c r="H726" s="0" t="str">
        <f aca="false">IF(B726="","",IF(COUNTIF(Campaigns!$A$7:$A$300,B726)&gt;0,"✓","⚠ add to Campaigns tab"))</f>
        <v/>
      </c>
      <c r="I726" s="84" t="str">
        <f aca="false">IF(C726="","",C726*IF(Settings!$B$23=Settings!$C$6,1,IF(Settings!$B$23="USD",1/INDEX(Settings!$B$29:$B$40,MONTH(A726)),INDEX(Settings!$B$29:$B$40,MONTH(A726)))))</f>
        <v/>
      </c>
    </row>
    <row r="727" customFormat="false" ht="15" hidden="false" customHeight="false" outlineLevel="0" collapsed="false">
      <c r="H727" s="0" t="str">
        <f aca="false">IF(B727="","",IF(COUNTIF(Campaigns!$A$7:$A$300,B727)&gt;0,"✓","⚠ add to Campaigns tab"))</f>
        <v/>
      </c>
      <c r="I727" s="84" t="str">
        <f aca="false">IF(C727="","",C727*IF(Settings!$B$23=Settings!$C$6,1,IF(Settings!$B$23="USD",1/INDEX(Settings!$B$29:$B$40,MONTH(A727)),INDEX(Settings!$B$29:$B$40,MONTH(A727)))))</f>
        <v/>
      </c>
    </row>
    <row r="728" customFormat="false" ht="15" hidden="false" customHeight="false" outlineLevel="0" collapsed="false">
      <c r="H728" s="0" t="str">
        <f aca="false">IF(B728="","",IF(COUNTIF(Campaigns!$A$7:$A$300,B728)&gt;0,"✓","⚠ add to Campaigns tab"))</f>
        <v/>
      </c>
      <c r="I728" s="84" t="str">
        <f aca="false">IF(C728="","",C728*IF(Settings!$B$23=Settings!$C$6,1,IF(Settings!$B$23="USD",1/INDEX(Settings!$B$29:$B$40,MONTH(A728)),INDEX(Settings!$B$29:$B$40,MONTH(A728)))))</f>
        <v/>
      </c>
    </row>
    <row r="729" customFormat="false" ht="15" hidden="false" customHeight="false" outlineLevel="0" collapsed="false">
      <c r="H729" s="0" t="str">
        <f aca="false">IF(B729="","",IF(COUNTIF(Campaigns!$A$7:$A$300,B729)&gt;0,"✓","⚠ add to Campaigns tab"))</f>
        <v/>
      </c>
      <c r="I729" s="84" t="str">
        <f aca="false">IF(C729="","",C729*IF(Settings!$B$23=Settings!$C$6,1,IF(Settings!$B$23="USD",1/INDEX(Settings!$B$29:$B$40,MONTH(A729)),INDEX(Settings!$B$29:$B$40,MONTH(A729)))))</f>
        <v/>
      </c>
    </row>
    <row r="730" customFormat="false" ht="15" hidden="false" customHeight="false" outlineLevel="0" collapsed="false">
      <c r="H730" s="0" t="str">
        <f aca="false">IF(B730="","",IF(COUNTIF(Campaigns!$A$7:$A$300,B730)&gt;0,"✓","⚠ add to Campaigns tab"))</f>
        <v/>
      </c>
      <c r="I730" s="84" t="str">
        <f aca="false">IF(C730="","",C730*IF(Settings!$B$23=Settings!$C$6,1,IF(Settings!$B$23="USD",1/INDEX(Settings!$B$29:$B$40,MONTH(A730)),INDEX(Settings!$B$29:$B$40,MONTH(A730)))))</f>
        <v/>
      </c>
    </row>
    <row r="731" customFormat="false" ht="15" hidden="false" customHeight="false" outlineLevel="0" collapsed="false">
      <c r="H731" s="0" t="str">
        <f aca="false">IF(B731="","",IF(COUNTIF(Campaigns!$A$7:$A$300,B731)&gt;0,"✓","⚠ add to Campaigns tab"))</f>
        <v/>
      </c>
      <c r="I731" s="84" t="str">
        <f aca="false">IF(C731="","",C731*IF(Settings!$B$23=Settings!$C$6,1,IF(Settings!$B$23="USD",1/INDEX(Settings!$B$29:$B$40,MONTH(A731)),INDEX(Settings!$B$29:$B$40,MONTH(A731)))))</f>
        <v/>
      </c>
    </row>
    <row r="732" customFormat="false" ht="15" hidden="false" customHeight="false" outlineLevel="0" collapsed="false">
      <c r="H732" s="0" t="str">
        <f aca="false">IF(B732="","",IF(COUNTIF(Campaigns!$A$7:$A$300,B732)&gt;0,"✓","⚠ add to Campaigns tab"))</f>
        <v/>
      </c>
      <c r="I732" s="84" t="str">
        <f aca="false">IF(C732="","",C732*IF(Settings!$B$23=Settings!$C$6,1,IF(Settings!$B$23="USD",1/INDEX(Settings!$B$29:$B$40,MONTH(A732)),INDEX(Settings!$B$29:$B$40,MONTH(A732)))))</f>
        <v/>
      </c>
    </row>
    <row r="733" customFormat="false" ht="15" hidden="false" customHeight="false" outlineLevel="0" collapsed="false">
      <c r="H733" s="0" t="str">
        <f aca="false">IF(B733="","",IF(COUNTIF(Campaigns!$A$7:$A$300,B733)&gt;0,"✓","⚠ add to Campaigns tab"))</f>
        <v/>
      </c>
      <c r="I733" s="84" t="str">
        <f aca="false">IF(C733="","",C733*IF(Settings!$B$23=Settings!$C$6,1,IF(Settings!$B$23="USD",1/INDEX(Settings!$B$29:$B$40,MONTH(A733)),INDEX(Settings!$B$29:$B$40,MONTH(A733)))))</f>
        <v/>
      </c>
    </row>
    <row r="734" customFormat="false" ht="15" hidden="false" customHeight="false" outlineLevel="0" collapsed="false">
      <c r="H734" s="0" t="str">
        <f aca="false">IF(B734="","",IF(COUNTIF(Campaigns!$A$7:$A$300,B734)&gt;0,"✓","⚠ add to Campaigns tab"))</f>
        <v/>
      </c>
      <c r="I734" s="84" t="str">
        <f aca="false">IF(C734="","",C734*IF(Settings!$B$23=Settings!$C$6,1,IF(Settings!$B$23="USD",1/INDEX(Settings!$B$29:$B$40,MONTH(A734)),INDEX(Settings!$B$29:$B$40,MONTH(A734)))))</f>
        <v/>
      </c>
    </row>
    <row r="735" customFormat="false" ht="15" hidden="false" customHeight="false" outlineLevel="0" collapsed="false">
      <c r="H735" s="0" t="str">
        <f aca="false">IF(B735="","",IF(COUNTIF(Campaigns!$A$7:$A$300,B735)&gt;0,"✓","⚠ add to Campaigns tab"))</f>
        <v/>
      </c>
      <c r="I735" s="84" t="str">
        <f aca="false">IF(C735="","",C735*IF(Settings!$B$23=Settings!$C$6,1,IF(Settings!$B$23="USD",1/INDEX(Settings!$B$29:$B$40,MONTH(A735)),INDEX(Settings!$B$29:$B$40,MONTH(A735)))))</f>
        <v/>
      </c>
    </row>
    <row r="736" customFormat="false" ht="15" hidden="false" customHeight="false" outlineLevel="0" collapsed="false">
      <c r="H736" s="0" t="str">
        <f aca="false">IF(B736="","",IF(COUNTIF(Campaigns!$A$7:$A$300,B736)&gt;0,"✓","⚠ add to Campaigns tab"))</f>
        <v/>
      </c>
      <c r="I736" s="84" t="str">
        <f aca="false">IF(C736="","",C736*IF(Settings!$B$23=Settings!$C$6,1,IF(Settings!$B$23="USD",1/INDEX(Settings!$B$29:$B$40,MONTH(A736)),INDEX(Settings!$B$29:$B$40,MONTH(A736)))))</f>
        <v/>
      </c>
    </row>
    <row r="737" customFormat="false" ht="15" hidden="false" customHeight="false" outlineLevel="0" collapsed="false">
      <c r="H737" s="0" t="str">
        <f aca="false">IF(B737="","",IF(COUNTIF(Campaigns!$A$7:$A$300,B737)&gt;0,"✓","⚠ add to Campaigns tab"))</f>
        <v/>
      </c>
      <c r="I737" s="84" t="str">
        <f aca="false">IF(C737="","",C737*IF(Settings!$B$23=Settings!$C$6,1,IF(Settings!$B$23="USD",1/INDEX(Settings!$B$29:$B$40,MONTH(A737)),INDEX(Settings!$B$29:$B$40,MONTH(A737)))))</f>
        <v/>
      </c>
    </row>
    <row r="738" customFormat="false" ht="15" hidden="false" customHeight="false" outlineLevel="0" collapsed="false">
      <c r="H738" s="0" t="str">
        <f aca="false">IF(B738="","",IF(COUNTIF(Campaigns!$A$7:$A$300,B738)&gt;0,"✓","⚠ add to Campaigns tab"))</f>
        <v/>
      </c>
      <c r="I738" s="84" t="str">
        <f aca="false">IF(C738="","",C738*IF(Settings!$B$23=Settings!$C$6,1,IF(Settings!$B$23="USD",1/INDEX(Settings!$B$29:$B$40,MONTH(A738)),INDEX(Settings!$B$29:$B$40,MONTH(A738)))))</f>
        <v/>
      </c>
    </row>
    <row r="739" customFormat="false" ht="15" hidden="false" customHeight="false" outlineLevel="0" collapsed="false">
      <c r="H739" s="0" t="str">
        <f aca="false">IF(B739="","",IF(COUNTIF(Campaigns!$A$7:$A$300,B739)&gt;0,"✓","⚠ add to Campaigns tab"))</f>
        <v/>
      </c>
      <c r="I739" s="84" t="str">
        <f aca="false">IF(C739="","",C739*IF(Settings!$B$23=Settings!$C$6,1,IF(Settings!$B$23="USD",1/INDEX(Settings!$B$29:$B$40,MONTH(A739)),INDEX(Settings!$B$29:$B$40,MONTH(A739)))))</f>
        <v/>
      </c>
    </row>
    <row r="740" customFormat="false" ht="15" hidden="false" customHeight="false" outlineLevel="0" collapsed="false">
      <c r="H740" s="0" t="str">
        <f aca="false">IF(B740="","",IF(COUNTIF(Campaigns!$A$7:$A$300,B740)&gt;0,"✓","⚠ add to Campaigns tab"))</f>
        <v/>
      </c>
      <c r="I740" s="84" t="str">
        <f aca="false">IF(C740="","",C740*IF(Settings!$B$23=Settings!$C$6,1,IF(Settings!$B$23="USD",1/INDEX(Settings!$B$29:$B$40,MONTH(A740)),INDEX(Settings!$B$29:$B$40,MONTH(A740)))))</f>
        <v/>
      </c>
    </row>
    <row r="741" customFormat="false" ht="15" hidden="false" customHeight="false" outlineLevel="0" collapsed="false">
      <c r="H741" s="0" t="str">
        <f aca="false">IF(B741="","",IF(COUNTIF(Campaigns!$A$7:$A$300,B741)&gt;0,"✓","⚠ add to Campaigns tab"))</f>
        <v/>
      </c>
      <c r="I741" s="84" t="str">
        <f aca="false">IF(C741="","",C741*IF(Settings!$B$23=Settings!$C$6,1,IF(Settings!$B$23="USD",1/INDEX(Settings!$B$29:$B$40,MONTH(A741)),INDEX(Settings!$B$29:$B$40,MONTH(A741)))))</f>
        <v/>
      </c>
    </row>
    <row r="742" customFormat="false" ht="15" hidden="false" customHeight="false" outlineLevel="0" collapsed="false">
      <c r="H742" s="0" t="str">
        <f aca="false">IF(B742="","",IF(COUNTIF(Campaigns!$A$7:$A$300,B742)&gt;0,"✓","⚠ add to Campaigns tab"))</f>
        <v/>
      </c>
      <c r="I742" s="84" t="str">
        <f aca="false">IF(C742="","",C742*IF(Settings!$B$23=Settings!$C$6,1,IF(Settings!$B$23="USD",1/INDEX(Settings!$B$29:$B$40,MONTH(A742)),INDEX(Settings!$B$29:$B$40,MONTH(A742)))))</f>
        <v/>
      </c>
    </row>
    <row r="743" customFormat="false" ht="15" hidden="false" customHeight="false" outlineLevel="0" collapsed="false">
      <c r="H743" s="0" t="str">
        <f aca="false">IF(B743="","",IF(COUNTIF(Campaigns!$A$7:$A$300,B743)&gt;0,"✓","⚠ add to Campaigns tab"))</f>
        <v/>
      </c>
      <c r="I743" s="84" t="str">
        <f aca="false">IF(C743="","",C743*IF(Settings!$B$23=Settings!$C$6,1,IF(Settings!$B$23="USD",1/INDEX(Settings!$B$29:$B$40,MONTH(A743)),INDEX(Settings!$B$29:$B$40,MONTH(A743)))))</f>
        <v/>
      </c>
    </row>
    <row r="744" customFormat="false" ht="15" hidden="false" customHeight="false" outlineLevel="0" collapsed="false">
      <c r="H744" s="0" t="str">
        <f aca="false">IF(B744="","",IF(COUNTIF(Campaigns!$A$7:$A$300,B744)&gt;0,"✓","⚠ add to Campaigns tab"))</f>
        <v/>
      </c>
      <c r="I744" s="84" t="str">
        <f aca="false">IF(C744="","",C744*IF(Settings!$B$23=Settings!$C$6,1,IF(Settings!$B$23="USD",1/INDEX(Settings!$B$29:$B$40,MONTH(A744)),INDEX(Settings!$B$29:$B$40,MONTH(A744)))))</f>
        <v/>
      </c>
    </row>
    <row r="745" customFormat="false" ht="15" hidden="false" customHeight="false" outlineLevel="0" collapsed="false">
      <c r="H745" s="0" t="str">
        <f aca="false">IF(B745="","",IF(COUNTIF(Campaigns!$A$7:$A$300,B745)&gt;0,"✓","⚠ add to Campaigns tab"))</f>
        <v/>
      </c>
      <c r="I745" s="84" t="str">
        <f aca="false">IF(C745="","",C745*IF(Settings!$B$23=Settings!$C$6,1,IF(Settings!$B$23="USD",1/INDEX(Settings!$B$29:$B$40,MONTH(A745)),INDEX(Settings!$B$29:$B$40,MONTH(A745)))))</f>
        <v/>
      </c>
    </row>
    <row r="746" customFormat="false" ht="15" hidden="false" customHeight="false" outlineLevel="0" collapsed="false">
      <c r="H746" s="0" t="str">
        <f aca="false">IF(B746="","",IF(COUNTIF(Campaigns!$A$7:$A$300,B746)&gt;0,"✓","⚠ add to Campaigns tab"))</f>
        <v/>
      </c>
      <c r="I746" s="84" t="str">
        <f aca="false">IF(C746="","",C746*IF(Settings!$B$23=Settings!$C$6,1,IF(Settings!$B$23="USD",1/INDEX(Settings!$B$29:$B$40,MONTH(A746)),INDEX(Settings!$B$29:$B$40,MONTH(A746)))))</f>
        <v/>
      </c>
    </row>
    <row r="747" customFormat="false" ht="15" hidden="false" customHeight="false" outlineLevel="0" collapsed="false">
      <c r="H747" s="0" t="str">
        <f aca="false">IF(B747="","",IF(COUNTIF(Campaigns!$A$7:$A$300,B747)&gt;0,"✓","⚠ add to Campaigns tab"))</f>
        <v/>
      </c>
      <c r="I747" s="84" t="str">
        <f aca="false">IF(C747="","",C747*IF(Settings!$B$23=Settings!$C$6,1,IF(Settings!$B$23="USD",1/INDEX(Settings!$B$29:$B$40,MONTH(A747)),INDEX(Settings!$B$29:$B$40,MONTH(A747)))))</f>
        <v/>
      </c>
    </row>
    <row r="748" customFormat="false" ht="15" hidden="false" customHeight="false" outlineLevel="0" collapsed="false">
      <c r="H748" s="0" t="str">
        <f aca="false">IF(B748="","",IF(COUNTIF(Campaigns!$A$7:$A$300,B748)&gt;0,"✓","⚠ add to Campaigns tab"))</f>
        <v/>
      </c>
      <c r="I748" s="84" t="str">
        <f aca="false">IF(C748="","",C748*IF(Settings!$B$23=Settings!$C$6,1,IF(Settings!$B$23="USD",1/INDEX(Settings!$B$29:$B$40,MONTH(A748)),INDEX(Settings!$B$29:$B$40,MONTH(A748)))))</f>
        <v/>
      </c>
    </row>
    <row r="749" customFormat="false" ht="15" hidden="false" customHeight="false" outlineLevel="0" collapsed="false">
      <c r="H749" s="0" t="str">
        <f aca="false">IF(B749="","",IF(COUNTIF(Campaigns!$A$7:$A$300,B749)&gt;0,"✓","⚠ add to Campaigns tab"))</f>
        <v/>
      </c>
      <c r="I749" s="84" t="str">
        <f aca="false">IF(C749="","",C749*IF(Settings!$B$23=Settings!$C$6,1,IF(Settings!$B$23="USD",1/INDEX(Settings!$B$29:$B$40,MONTH(A749)),INDEX(Settings!$B$29:$B$40,MONTH(A749)))))</f>
        <v/>
      </c>
    </row>
    <row r="750" customFormat="false" ht="15" hidden="false" customHeight="false" outlineLevel="0" collapsed="false">
      <c r="H750" s="0" t="str">
        <f aca="false">IF(B750="","",IF(COUNTIF(Campaigns!$A$7:$A$300,B750)&gt;0,"✓","⚠ add to Campaigns tab"))</f>
        <v/>
      </c>
      <c r="I750" s="84" t="str">
        <f aca="false">IF(C750="","",C750*IF(Settings!$B$23=Settings!$C$6,1,IF(Settings!$B$23="USD",1/INDEX(Settings!$B$29:$B$40,MONTH(A750)),INDEX(Settings!$B$29:$B$40,MONTH(A750)))))</f>
        <v/>
      </c>
    </row>
    <row r="751" customFormat="false" ht="15" hidden="false" customHeight="false" outlineLevel="0" collapsed="false">
      <c r="H751" s="0" t="str">
        <f aca="false">IF(B751="","",IF(COUNTIF(Campaigns!$A$7:$A$300,B751)&gt;0,"✓","⚠ add to Campaigns tab"))</f>
        <v/>
      </c>
      <c r="I751" s="84" t="str">
        <f aca="false">IF(C751="","",C751*IF(Settings!$B$23=Settings!$C$6,1,IF(Settings!$B$23="USD",1/INDEX(Settings!$B$29:$B$40,MONTH(A751)),INDEX(Settings!$B$29:$B$40,MONTH(A751)))))</f>
        <v/>
      </c>
    </row>
    <row r="752" customFormat="false" ht="15" hidden="false" customHeight="false" outlineLevel="0" collapsed="false">
      <c r="H752" s="0" t="str">
        <f aca="false">IF(B752="","",IF(COUNTIF(Campaigns!$A$7:$A$300,B752)&gt;0,"✓","⚠ add to Campaigns tab"))</f>
        <v/>
      </c>
      <c r="I752" s="84" t="str">
        <f aca="false">IF(C752="","",C752*IF(Settings!$B$23=Settings!$C$6,1,IF(Settings!$B$23="USD",1/INDEX(Settings!$B$29:$B$40,MONTH(A752)),INDEX(Settings!$B$29:$B$40,MONTH(A752)))))</f>
        <v/>
      </c>
    </row>
    <row r="753" customFormat="false" ht="15" hidden="false" customHeight="false" outlineLevel="0" collapsed="false">
      <c r="H753" s="0" t="str">
        <f aca="false">IF(B753="","",IF(COUNTIF(Campaigns!$A$7:$A$300,B753)&gt;0,"✓","⚠ add to Campaigns tab"))</f>
        <v/>
      </c>
      <c r="I753" s="84" t="str">
        <f aca="false">IF(C753="","",C753*IF(Settings!$B$23=Settings!$C$6,1,IF(Settings!$B$23="USD",1/INDEX(Settings!$B$29:$B$40,MONTH(A753)),INDEX(Settings!$B$29:$B$40,MONTH(A753)))))</f>
        <v/>
      </c>
    </row>
    <row r="754" customFormat="false" ht="15" hidden="false" customHeight="false" outlineLevel="0" collapsed="false">
      <c r="H754" s="0" t="str">
        <f aca="false">IF(B754="","",IF(COUNTIF(Campaigns!$A$7:$A$300,B754)&gt;0,"✓","⚠ add to Campaigns tab"))</f>
        <v/>
      </c>
      <c r="I754" s="84" t="str">
        <f aca="false">IF(C754="","",C754*IF(Settings!$B$23=Settings!$C$6,1,IF(Settings!$B$23="USD",1/INDEX(Settings!$B$29:$B$40,MONTH(A754)),INDEX(Settings!$B$29:$B$40,MONTH(A754)))))</f>
        <v/>
      </c>
    </row>
    <row r="755" customFormat="false" ht="15" hidden="false" customHeight="false" outlineLevel="0" collapsed="false">
      <c r="H755" s="0" t="str">
        <f aca="false">IF(B755="","",IF(COUNTIF(Campaigns!$A$7:$A$300,B755)&gt;0,"✓","⚠ add to Campaigns tab"))</f>
        <v/>
      </c>
      <c r="I755" s="84" t="str">
        <f aca="false">IF(C755="","",C755*IF(Settings!$B$23=Settings!$C$6,1,IF(Settings!$B$23="USD",1/INDEX(Settings!$B$29:$B$40,MONTH(A755)),INDEX(Settings!$B$29:$B$40,MONTH(A755)))))</f>
        <v/>
      </c>
    </row>
    <row r="756" customFormat="false" ht="15" hidden="false" customHeight="false" outlineLevel="0" collapsed="false">
      <c r="H756" s="0" t="str">
        <f aca="false">IF(B756="","",IF(COUNTIF(Campaigns!$A$7:$A$300,B756)&gt;0,"✓","⚠ add to Campaigns tab"))</f>
        <v/>
      </c>
      <c r="I756" s="84" t="str">
        <f aca="false">IF(C756="","",C756*IF(Settings!$B$23=Settings!$C$6,1,IF(Settings!$B$23="USD",1/INDEX(Settings!$B$29:$B$40,MONTH(A756)),INDEX(Settings!$B$29:$B$40,MONTH(A756)))))</f>
        <v/>
      </c>
    </row>
    <row r="757" customFormat="false" ht="15" hidden="false" customHeight="false" outlineLevel="0" collapsed="false">
      <c r="H757" s="0" t="str">
        <f aca="false">IF(B757="","",IF(COUNTIF(Campaigns!$A$7:$A$300,B757)&gt;0,"✓","⚠ add to Campaigns tab"))</f>
        <v/>
      </c>
      <c r="I757" s="84" t="str">
        <f aca="false">IF(C757="","",C757*IF(Settings!$B$23=Settings!$C$6,1,IF(Settings!$B$23="USD",1/INDEX(Settings!$B$29:$B$40,MONTH(A757)),INDEX(Settings!$B$29:$B$40,MONTH(A757)))))</f>
        <v/>
      </c>
    </row>
    <row r="758" customFormat="false" ht="15" hidden="false" customHeight="false" outlineLevel="0" collapsed="false">
      <c r="H758" s="0" t="str">
        <f aca="false">IF(B758="","",IF(COUNTIF(Campaigns!$A$7:$A$300,B758)&gt;0,"✓","⚠ add to Campaigns tab"))</f>
        <v/>
      </c>
      <c r="I758" s="84" t="str">
        <f aca="false">IF(C758="","",C758*IF(Settings!$B$23=Settings!$C$6,1,IF(Settings!$B$23="USD",1/INDEX(Settings!$B$29:$B$40,MONTH(A758)),INDEX(Settings!$B$29:$B$40,MONTH(A758)))))</f>
        <v/>
      </c>
    </row>
    <row r="759" customFormat="false" ht="15" hidden="false" customHeight="false" outlineLevel="0" collapsed="false">
      <c r="H759" s="0" t="str">
        <f aca="false">IF(B759="","",IF(COUNTIF(Campaigns!$A$7:$A$300,B759)&gt;0,"✓","⚠ add to Campaigns tab"))</f>
        <v/>
      </c>
      <c r="I759" s="84" t="str">
        <f aca="false">IF(C759="","",C759*IF(Settings!$B$23=Settings!$C$6,1,IF(Settings!$B$23="USD",1/INDEX(Settings!$B$29:$B$40,MONTH(A759)),INDEX(Settings!$B$29:$B$40,MONTH(A759)))))</f>
        <v/>
      </c>
    </row>
    <row r="760" customFormat="false" ht="15" hidden="false" customHeight="false" outlineLevel="0" collapsed="false">
      <c r="H760" s="0" t="str">
        <f aca="false">IF(B760="","",IF(COUNTIF(Campaigns!$A$7:$A$300,B760)&gt;0,"✓","⚠ add to Campaigns tab"))</f>
        <v/>
      </c>
      <c r="I760" s="84" t="str">
        <f aca="false">IF(C760="","",C760*IF(Settings!$B$23=Settings!$C$6,1,IF(Settings!$B$23="USD",1/INDEX(Settings!$B$29:$B$40,MONTH(A760)),INDEX(Settings!$B$29:$B$40,MONTH(A760)))))</f>
        <v/>
      </c>
    </row>
    <row r="761" customFormat="false" ht="15" hidden="false" customHeight="false" outlineLevel="0" collapsed="false">
      <c r="H761" s="0" t="str">
        <f aca="false">IF(B761="","",IF(COUNTIF(Campaigns!$A$7:$A$300,B761)&gt;0,"✓","⚠ add to Campaigns tab"))</f>
        <v/>
      </c>
      <c r="I761" s="84" t="str">
        <f aca="false">IF(C761="","",C761*IF(Settings!$B$23=Settings!$C$6,1,IF(Settings!$B$23="USD",1/INDEX(Settings!$B$29:$B$40,MONTH(A761)),INDEX(Settings!$B$29:$B$40,MONTH(A761)))))</f>
        <v/>
      </c>
    </row>
    <row r="762" customFormat="false" ht="15" hidden="false" customHeight="false" outlineLevel="0" collapsed="false">
      <c r="H762" s="0" t="str">
        <f aca="false">IF(B762="","",IF(COUNTIF(Campaigns!$A$7:$A$300,B762)&gt;0,"✓","⚠ add to Campaigns tab"))</f>
        <v/>
      </c>
      <c r="I762" s="84" t="str">
        <f aca="false">IF(C762="","",C762*IF(Settings!$B$23=Settings!$C$6,1,IF(Settings!$B$23="USD",1/INDEX(Settings!$B$29:$B$40,MONTH(A762)),INDEX(Settings!$B$29:$B$40,MONTH(A762)))))</f>
        <v/>
      </c>
    </row>
    <row r="763" customFormat="false" ht="15" hidden="false" customHeight="false" outlineLevel="0" collapsed="false">
      <c r="H763" s="0" t="str">
        <f aca="false">IF(B763="","",IF(COUNTIF(Campaigns!$A$7:$A$300,B763)&gt;0,"✓","⚠ add to Campaigns tab"))</f>
        <v/>
      </c>
      <c r="I763" s="84" t="str">
        <f aca="false">IF(C763="","",C763*IF(Settings!$B$23=Settings!$C$6,1,IF(Settings!$B$23="USD",1/INDEX(Settings!$B$29:$B$40,MONTH(A763)),INDEX(Settings!$B$29:$B$40,MONTH(A763)))))</f>
        <v/>
      </c>
    </row>
    <row r="764" customFormat="false" ht="15" hidden="false" customHeight="false" outlineLevel="0" collapsed="false">
      <c r="H764" s="0" t="str">
        <f aca="false">IF(B764="","",IF(COUNTIF(Campaigns!$A$7:$A$300,B764)&gt;0,"✓","⚠ add to Campaigns tab"))</f>
        <v/>
      </c>
      <c r="I764" s="84" t="str">
        <f aca="false">IF(C764="","",C764*IF(Settings!$B$23=Settings!$C$6,1,IF(Settings!$B$23="USD",1/INDEX(Settings!$B$29:$B$40,MONTH(A764)),INDEX(Settings!$B$29:$B$40,MONTH(A764)))))</f>
        <v/>
      </c>
    </row>
    <row r="765" customFormat="false" ht="15" hidden="false" customHeight="false" outlineLevel="0" collapsed="false">
      <c r="H765" s="0" t="str">
        <f aca="false">IF(B765="","",IF(COUNTIF(Campaigns!$A$7:$A$300,B765)&gt;0,"✓","⚠ add to Campaigns tab"))</f>
        <v/>
      </c>
      <c r="I765" s="84" t="str">
        <f aca="false">IF(C765="","",C765*IF(Settings!$B$23=Settings!$C$6,1,IF(Settings!$B$23="USD",1/INDEX(Settings!$B$29:$B$40,MONTH(A765)),INDEX(Settings!$B$29:$B$40,MONTH(A765)))))</f>
        <v/>
      </c>
    </row>
    <row r="766" customFormat="false" ht="15" hidden="false" customHeight="false" outlineLevel="0" collapsed="false">
      <c r="H766" s="0" t="str">
        <f aca="false">IF(B766="","",IF(COUNTIF(Campaigns!$A$7:$A$300,B766)&gt;0,"✓","⚠ add to Campaigns tab"))</f>
        <v/>
      </c>
      <c r="I766" s="84" t="str">
        <f aca="false">IF(C766="","",C766*IF(Settings!$B$23=Settings!$C$6,1,IF(Settings!$B$23="USD",1/INDEX(Settings!$B$29:$B$40,MONTH(A766)),INDEX(Settings!$B$29:$B$40,MONTH(A766)))))</f>
        <v/>
      </c>
    </row>
    <row r="767" customFormat="false" ht="15" hidden="false" customHeight="false" outlineLevel="0" collapsed="false">
      <c r="H767" s="0" t="str">
        <f aca="false">IF(B767="","",IF(COUNTIF(Campaigns!$A$7:$A$300,B767)&gt;0,"✓","⚠ add to Campaigns tab"))</f>
        <v/>
      </c>
      <c r="I767" s="84" t="str">
        <f aca="false">IF(C767="","",C767*IF(Settings!$B$23=Settings!$C$6,1,IF(Settings!$B$23="USD",1/INDEX(Settings!$B$29:$B$40,MONTH(A767)),INDEX(Settings!$B$29:$B$40,MONTH(A767)))))</f>
        <v/>
      </c>
    </row>
    <row r="768" customFormat="false" ht="15" hidden="false" customHeight="false" outlineLevel="0" collapsed="false">
      <c r="H768" s="0" t="str">
        <f aca="false">IF(B768="","",IF(COUNTIF(Campaigns!$A$7:$A$300,B768)&gt;0,"✓","⚠ add to Campaigns tab"))</f>
        <v/>
      </c>
      <c r="I768" s="84" t="str">
        <f aca="false">IF(C768="","",C768*IF(Settings!$B$23=Settings!$C$6,1,IF(Settings!$B$23="USD",1/INDEX(Settings!$B$29:$B$40,MONTH(A768)),INDEX(Settings!$B$29:$B$40,MONTH(A768)))))</f>
        <v/>
      </c>
    </row>
    <row r="769" customFormat="false" ht="15" hidden="false" customHeight="false" outlineLevel="0" collapsed="false">
      <c r="H769" s="0" t="str">
        <f aca="false">IF(B769="","",IF(COUNTIF(Campaigns!$A$7:$A$300,B769)&gt;0,"✓","⚠ add to Campaigns tab"))</f>
        <v/>
      </c>
      <c r="I769" s="84" t="str">
        <f aca="false">IF(C769="","",C769*IF(Settings!$B$23=Settings!$C$6,1,IF(Settings!$B$23="USD",1/INDEX(Settings!$B$29:$B$40,MONTH(A769)),INDEX(Settings!$B$29:$B$40,MONTH(A769)))))</f>
        <v/>
      </c>
    </row>
    <row r="770" customFormat="false" ht="15" hidden="false" customHeight="false" outlineLevel="0" collapsed="false">
      <c r="H770" s="0" t="str">
        <f aca="false">IF(B770="","",IF(COUNTIF(Campaigns!$A$7:$A$300,B770)&gt;0,"✓","⚠ add to Campaigns tab"))</f>
        <v/>
      </c>
      <c r="I770" s="84" t="str">
        <f aca="false">IF(C770="","",C770*IF(Settings!$B$23=Settings!$C$6,1,IF(Settings!$B$23="USD",1/INDEX(Settings!$B$29:$B$40,MONTH(A770)),INDEX(Settings!$B$29:$B$40,MONTH(A770)))))</f>
        <v/>
      </c>
    </row>
    <row r="771" customFormat="false" ht="15" hidden="false" customHeight="false" outlineLevel="0" collapsed="false">
      <c r="H771" s="0" t="str">
        <f aca="false">IF(B771="","",IF(COUNTIF(Campaigns!$A$7:$A$300,B771)&gt;0,"✓","⚠ add to Campaigns tab"))</f>
        <v/>
      </c>
      <c r="I771" s="84" t="str">
        <f aca="false">IF(C771="","",C771*IF(Settings!$B$23=Settings!$C$6,1,IF(Settings!$B$23="USD",1/INDEX(Settings!$B$29:$B$40,MONTH(A771)),INDEX(Settings!$B$29:$B$40,MONTH(A771)))))</f>
        <v/>
      </c>
    </row>
    <row r="772" customFormat="false" ht="15" hidden="false" customHeight="false" outlineLevel="0" collapsed="false">
      <c r="H772" s="0" t="str">
        <f aca="false">IF(B772="","",IF(COUNTIF(Campaigns!$A$7:$A$300,B772)&gt;0,"✓","⚠ add to Campaigns tab"))</f>
        <v/>
      </c>
      <c r="I772" s="84" t="str">
        <f aca="false">IF(C772="","",C772*IF(Settings!$B$23=Settings!$C$6,1,IF(Settings!$B$23="USD",1/INDEX(Settings!$B$29:$B$40,MONTH(A772)),INDEX(Settings!$B$29:$B$40,MONTH(A772)))))</f>
        <v/>
      </c>
    </row>
    <row r="773" customFormat="false" ht="15" hidden="false" customHeight="false" outlineLevel="0" collapsed="false">
      <c r="H773" s="0" t="str">
        <f aca="false">IF(B773="","",IF(COUNTIF(Campaigns!$A$7:$A$300,B773)&gt;0,"✓","⚠ add to Campaigns tab"))</f>
        <v/>
      </c>
      <c r="I773" s="84" t="str">
        <f aca="false">IF(C773="","",C773*IF(Settings!$B$23=Settings!$C$6,1,IF(Settings!$B$23="USD",1/INDEX(Settings!$B$29:$B$40,MONTH(A773)),INDEX(Settings!$B$29:$B$40,MONTH(A773)))))</f>
        <v/>
      </c>
    </row>
    <row r="774" customFormat="false" ht="15" hidden="false" customHeight="false" outlineLevel="0" collapsed="false">
      <c r="H774" s="0" t="str">
        <f aca="false">IF(B774="","",IF(COUNTIF(Campaigns!$A$7:$A$300,B774)&gt;0,"✓","⚠ add to Campaigns tab"))</f>
        <v/>
      </c>
      <c r="I774" s="84" t="str">
        <f aca="false">IF(C774="","",C774*IF(Settings!$B$23=Settings!$C$6,1,IF(Settings!$B$23="USD",1/INDEX(Settings!$B$29:$B$40,MONTH(A774)),INDEX(Settings!$B$29:$B$40,MONTH(A774)))))</f>
        <v/>
      </c>
    </row>
    <row r="775" customFormat="false" ht="15" hidden="false" customHeight="false" outlineLevel="0" collapsed="false">
      <c r="H775" s="0" t="str">
        <f aca="false">IF(B775="","",IF(COUNTIF(Campaigns!$A$7:$A$300,B775)&gt;0,"✓","⚠ add to Campaigns tab"))</f>
        <v/>
      </c>
      <c r="I775" s="84" t="str">
        <f aca="false">IF(C775="","",C775*IF(Settings!$B$23=Settings!$C$6,1,IF(Settings!$B$23="USD",1/INDEX(Settings!$B$29:$B$40,MONTH(A775)),INDEX(Settings!$B$29:$B$40,MONTH(A775)))))</f>
        <v/>
      </c>
    </row>
    <row r="776" customFormat="false" ht="15" hidden="false" customHeight="false" outlineLevel="0" collapsed="false">
      <c r="H776" s="0" t="str">
        <f aca="false">IF(B776="","",IF(COUNTIF(Campaigns!$A$7:$A$300,B776)&gt;0,"✓","⚠ add to Campaigns tab"))</f>
        <v/>
      </c>
      <c r="I776" s="84" t="str">
        <f aca="false">IF(C776="","",C776*IF(Settings!$B$23=Settings!$C$6,1,IF(Settings!$B$23="USD",1/INDEX(Settings!$B$29:$B$40,MONTH(A776)),INDEX(Settings!$B$29:$B$40,MONTH(A776)))))</f>
        <v/>
      </c>
    </row>
    <row r="777" customFormat="false" ht="15" hidden="false" customHeight="false" outlineLevel="0" collapsed="false">
      <c r="H777" s="0" t="str">
        <f aca="false">IF(B777="","",IF(COUNTIF(Campaigns!$A$7:$A$300,B777)&gt;0,"✓","⚠ add to Campaigns tab"))</f>
        <v/>
      </c>
      <c r="I777" s="84" t="str">
        <f aca="false">IF(C777="","",C777*IF(Settings!$B$23=Settings!$C$6,1,IF(Settings!$B$23="USD",1/INDEX(Settings!$B$29:$B$40,MONTH(A777)),INDEX(Settings!$B$29:$B$40,MONTH(A777)))))</f>
        <v/>
      </c>
    </row>
    <row r="778" customFormat="false" ht="15" hidden="false" customHeight="false" outlineLevel="0" collapsed="false">
      <c r="H778" s="0" t="str">
        <f aca="false">IF(B778="","",IF(COUNTIF(Campaigns!$A$7:$A$300,B778)&gt;0,"✓","⚠ add to Campaigns tab"))</f>
        <v/>
      </c>
      <c r="I778" s="84" t="str">
        <f aca="false">IF(C778="","",C778*IF(Settings!$B$23=Settings!$C$6,1,IF(Settings!$B$23="USD",1/INDEX(Settings!$B$29:$B$40,MONTH(A778)),INDEX(Settings!$B$29:$B$40,MONTH(A778)))))</f>
        <v/>
      </c>
    </row>
    <row r="779" customFormat="false" ht="15" hidden="false" customHeight="false" outlineLevel="0" collapsed="false">
      <c r="H779" s="0" t="str">
        <f aca="false">IF(B779="","",IF(COUNTIF(Campaigns!$A$7:$A$300,B779)&gt;0,"✓","⚠ add to Campaigns tab"))</f>
        <v/>
      </c>
      <c r="I779" s="84" t="str">
        <f aca="false">IF(C779="","",C779*IF(Settings!$B$23=Settings!$C$6,1,IF(Settings!$B$23="USD",1/INDEX(Settings!$B$29:$B$40,MONTH(A779)),INDEX(Settings!$B$29:$B$40,MONTH(A779)))))</f>
        <v/>
      </c>
    </row>
    <row r="780" customFormat="false" ht="15" hidden="false" customHeight="false" outlineLevel="0" collapsed="false">
      <c r="H780" s="0" t="str">
        <f aca="false">IF(B780="","",IF(COUNTIF(Campaigns!$A$7:$A$300,B780)&gt;0,"✓","⚠ add to Campaigns tab"))</f>
        <v/>
      </c>
      <c r="I780" s="84" t="str">
        <f aca="false">IF(C780="","",C780*IF(Settings!$B$23=Settings!$C$6,1,IF(Settings!$B$23="USD",1/INDEX(Settings!$B$29:$B$40,MONTH(A780)),INDEX(Settings!$B$29:$B$40,MONTH(A780)))))</f>
        <v/>
      </c>
    </row>
    <row r="781" customFormat="false" ht="15" hidden="false" customHeight="false" outlineLevel="0" collapsed="false">
      <c r="H781" s="0" t="str">
        <f aca="false">IF(B781="","",IF(COUNTIF(Campaigns!$A$7:$A$300,B781)&gt;0,"✓","⚠ add to Campaigns tab"))</f>
        <v/>
      </c>
      <c r="I781" s="84" t="str">
        <f aca="false">IF(C781="","",C781*IF(Settings!$B$23=Settings!$C$6,1,IF(Settings!$B$23="USD",1/INDEX(Settings!$B$29:$B$40,MONTH(A781)),INDEX(Settings!$B$29:$B$40,MONTH(A781)))))</f>
        <v/>
      </c>
    </row>
    <row r="782" customFormat="false" ht="15" hidden="false" customHeight="false" outlineLevel="0" collapsed="false">
      <c r="H782" s="0" t="str">
        <f aca="false">IF(B782="","",IF(COUNTIF(Campaigns!$A$7:$A$300,B782)&gt;0,"✓","⚠ add to Campaigns tab"))</f>
        <v/>
      </c>
      <c r="I782" s="84" t="str">
        <f aca="false">IF(C782="","",C782*IF(Settings!$B$23=Settings!$C$6,1,IF(Settings!$B$23="USD",1/INDEX(Settings!$B$29:$B$40,MONTH(A782)),INDEX(Settings!$B$29:$B$40,MONTH(A782)))))</f>
        <v/>
      </c>
    </row>
    <row r="783" customFormat="false" ht="15" hidden="false" customHeight="false" outlineLevel="0" collapsed="false">
      <c r="H783" s="0" t="str">
        <f aca="false">IF(B783="","",IF(COUNTIF(Campaigns!$A$7:$A$300,B783)&gt;0,"✓","⚠ add to Campaigns tab"))</f>
        <v/>
      </c>
      <c r="I783" s="84" t="str">
        <f aca="false">IF(C783="","",C783*IF(Settings!$B$23=Settings!$C$6,1,IF(Settings!$B$23="USD",1/INDEX(Settings!$B$29:$B$40,MONTH(A783)),INDEX(Settings!$B$29:$B$40,MONTH(A783)))))</f>
        <v/>
      </c>
    </row>
    <row r="784" customFormat="false" ht="15" hidden="false" customHeight="false" outlineLevel="0" collapsed="false">
      <c r="H784" s="0" t="str">
        <f aca="false">IF(B784="","",IF(COUNTIF(Campaigns!$A$7:$A$300,B784)&gt;0,"✓","⚠ add to Campaigns tab"))</f>
        <v/>
      </c>
      <c r="I784" s="84" t="str">
        <f aca="false">IF(C784="","",C784*IF(Settings!$B$23=Settings!$C$6,1,IF(Settings!$B$23="USD",1/INDEX(Settings!$B$29:$B$40,MONTH(A784)),INDEX(Settings!$B$29:$B$40,MONTH(A784)))))</f>
        <v/>
      </c>
    </row>
    <row r="785" customFormat="false" ht="15" hidden="false" customHeight="false" outlineLevel="0" collapsed="false">
      <c r="H785" s="0" t="str">
        <f aca="false">IF(B785="","",IF(COUNTIF(Campaigns!$A$7:$A$300,B785)&gt;0,"✓","⚠ add to Campaigns tab"))</f>
        <v/>
      </c>
      <c r="I785" s="84" t="str">
        <f aca="false">IF(C785="","",C785*IF(Settings!$B$23=Settings!$C$6,1,IF(Settings!$B$23="USD",1/INDEX(Settings!$B$29:$B$40,MONTH(A785)),INDEX(Settings!$B$29:$B$40,MONTH(A785)))))</f>
        <v/>
      </c>
    </row>
    <row r="786" customFormat="false" ht="15" hidden="false" customHeight="false" outlineLevel="0" collapsed="false">
      <c r="H786" s="0" t="str">
        <f aca="false">IF(B786="","",IF(COUNTIF(Campaigns!$A$7:$A$300,B786)&gt;0,"✓","⚠ add to Campaigns tab"))</f>
        <v/>
      </c>
      <c r="I786" s="84" t="str">
        <f aca="false">IF(C786="","",C786*IF(Settings!$B$23=Settings!$C$6,1,IF(Settings!$B$23="USD",1/INDEX(Settings!$B$29:$B$40,MONTH(A786)),INDEX(Settings!$B$29:$B$40,MONTH(A786)))))</f>
        <v/>
      </c>
    </row>
    <row r="787" customFormat="false" ht="15" hidden="false" customHeight="false" outlineLevel="0" collapsed="false">
      <c r="H787" s="0" t="str">
        <f aca="false">IF(B787="","",IF(COUNTIF(Campaigns!$A$7:$A$300,B787)&gt;0,"✓","⚠ add to Campaigns tab"))</f>
        <v/>
      </c>
      <c r="I787" s="84" t="str">
        <f aca="false">IF(C787="","",C787*IF(Settings!$B$23=Settings!$C$6,1,IF(Settings!$B$23="USD",1/INDEX(Settings!$B$29:$B$40,MONTH(A787)),INDEX(Settings!$B$29:$B$40,MONTH(A787)))))</f>
        <v/>
      </c>
    </row>
    <row r="788" customFormat="false" ht="15" hidden="false" customHeight="false" outlineLevel="0" collapsed="false">
      <c r="H788" s="0" t="str">
        <f aca="false">IF(B788="","",IF(COUNTIF(Campaigns!$A$7:$A$300,B788)&gt;0,"✓","⚠ add to Campaigns tab"))</f>
        <v/>
      </c>
      <c r="I788" s="84" t="str">
        <f aca="false">IF(C788="","",C788*IF(Settings!$B$23=Settings!$C$6,1,IF(Settings!$B$23="USD",1/INDEX(Settings!$B$29:$B$40,MONTH(A788)),INDEX(Settings!$B$29:$B$40,MONTH(A788)))))</f>
        <v/>
      </c>
    </row>
    <row r="789" customFormat="false" ht="15" hidden="false" customHeight="false" outlineLevel="0" collapsed="false">
      <c r="H789" s="0" t="str">
        <f aca="false">IF(B789="","",IF(COUNTIF(Campaigns!$A$7:$A$300,B789)&gt;0,"✓","⚠ add to Campaigns tab"))</f>
        <v/>
      </c>
      <c r="I789" s="84" t="str">
        <f aca="false">IF(C789="","",C789*IF(Settings!$B$23=Settings!$C$6,1,IF(Settings!$B$23="USD",1/INDEX(Settings!$B$29:$B$40,MONTH(A789)),INDEX(Settings!$B$29:$B$40,MONTH(A789)))))</f>
        <v/>
      </c>
    </row>
    <row r="790" customFormat="false" ht="15" hidden="false" customHeight="false" outlineLevel="0" collapsed="false">
      <c r="H790" s="0" t="str">
        <f aca="false">IF(B790="","",IF(COUNTIF(Campaigns!$A$7:$A$300,B790)&gt;0,"✓","⚠ add to Campaigns tab"))</f>
        <v/>
      </c>
      <c r="I790" s="84" t="str">
        <f aca="false">IF(C790="","",C790*IF(Settings!$B$23=Settings!$C$6,1,IF(Settings!$B$23="USD",1/INDEX(Settings!$B$29:$B$40,MONTH(A790)),INDEX(Settings!$B$29:$B$40,MONTH(A790)))))</f>
        <v/>
      </c>
    </row>
    <row r="791" customFormat="false" ht="15" hidden="false" customHeight="false" outlineLevel="0" collapsed="false">
      <c r="H791" s="0" t="str">
        <f aca="false">IF(B791="","",IF(COUNTIF(Campaigns!$A$7:$A$300,B791)&gt;0,"✓","⚠ add to Campaigns tab"))</f>
        <v/>
      </c>
      <c r="I791" s="84" t="str">
        <f aca="false">IF(C791="","",C791*IF(Settings!$B$23=Settings!$C$6,1,IF(Settings!$B$23="USD",1/INDEX(Settings!$B$29:$B$40,MONTH(A791)),INDEX(Settings!$B$29:$B$40,MONTH(A791)))))</f>
        <v/>
      </c>
    </row>
    <row r="792" customFormat="false" ht="15" hidden="false" customHeight="false" outlineLevel="0" collapsed="false">
      <c r="H792" s="0" t="str">
        <f aca="false">IF(B792="","",IF(COUNTIF(Campaigns!$A$7:$A$300,B792)&gt;0,"✓","⚠ add to Campaigns tab"))</f>
        <v/>
      </c>
      <c r="I792" s="84" t="str">
        <f aca="false">IF(C792="","",C792*IF(Settings!$B$23=Settings!$C$6,1,IF(Settings!$B$23="USD",1/INDEX(Settings!$B$29:$B$40,MONTH(A792)),INDEX(Settings!$B$29:$B$40,MONTH(A792)))))</f>
        <v/>
      </c>
    </row>
    <row r="793" customFormat="false" ht="15" hidden="false" customHeight="false" outlineLevel="0" collapsed="false">
      <c r="H793" s="0" t="str">
        <f aca="false">IF(B793="","",IF(COUNTIF(Campaigns!$A$7:$A$300,B793)&gt;0,"✓","⚠ add to Campaigns tab"))</f>
        <v/>
      </c>
      <c r="I793" s="84" t="str">
        <f aca="false">IF(C793="","",C793*IF(Settings!$B$23=Settings!$C$6,1,IF(Settings!$B$23="USD",1/INDEX(Settings!$B$29:$B$40,MONTH(A793)),INDEX(Settings!$B$29:$B$40,MONTH(A793)))))</f>
        <v/>
      </c>
    </row>
    <row r="794" customFormat="false" ht="15" hidden="false" customHeight="false" outlineLevel="0" collapsed="false">
      <c r="H794" s="0" t="str">
        <f aca="false">IF(B794="","",IF(COUNTIF(Campaigns!$A$7:$A$300,B794)&gt;0,"✓","⚠ add to Campaigns tab"))</f>
        <v/>
      </c>
      <c r="I794" s="84" t="str">
        <f aca="false">IF(C794="","",C794*IF(Settings!$B$23=Settings!$C$6,1,IF(Settings!$B$23="USD",1/INDEX(Settings!$B$29:$B$40,MONTH(A794)),INDEX(Settings!$B$29:$B$40,MONTH(A794)))))</f>
        <v/>
      </c>
    </row>
    <row r="795" customFormat="false" ht="15" hidden="false" customHeight="false" outlineLevel="0" collapsed="false">
      <c r="H795" s="0" t="str">
        <f aca="false">IF(B795="","",IF(COUNTIF(Campaigns!$A$7:$A$300,B795)&gt;0,"✓","⚠ add to Campaigns tab"))</f>
        <v/>
      </c>
      <c r="I795" s="84" t="str">
        <f aca="false">IF(C795="","",C795*IF(Settings!$B$23=Settings!$C$6,1,IF(Settings!$B$23="USD",1/INDEX(Settings!$B$29:$B$40,MONTH(A795)),INDEX(Settings!$B$29:$B$40,MONTH(A795)))))</f>
        <v/>
      </c>
    </row>
    <row r="796" customFormat="false" ht="15" hidden="false" customHeight="false" outlineLevel="0" collapsed="false">
      <c r="H796" s="0" t="str">
        <f aca="false">IF(B796="","",IF(COUNTIF(Campaigns!$A$7:$A$300,B796)&gt;0,"✓","⚠ add to Campaigns tab"))</f>
        <v/>
      </c>
      <c r="I796" s="84" t="str">
        <f aca="false">IF(C796="","",C796*IF(Settings!$B$23=Settings!$C$6,1,IF(Settings!$B$23="USD",1/INDEX(Settings!$B$29:$B$40,MONTH(A796)),INDEX(Settings!$B$29:$B$40,MONTH(A796)))))</f>
        <v/>
      </c>
    </row>
    <row r="797" customFormat="false" ht="15" hidden="false" customHeight="false" outlineLevel="0" collapsed="false">
      <c r="H797" s="0" t="str">
        <f aca="false">IF(B797="","",IF(COUNTIF(Campaigns!$A$7:$A$300,B797)&gt;0,"✓","⚠ add to Campaigns tab"))</f>
        <v/>
      </c>
      <c r="I797" s="84" t="str">
        <f aca="false">IF(C797="","",C797*IF(Settings!$B$23=Settings!$C$6,1,IF(Settings!$B$23="USD",1/INDEX(Settings!$B$29:$B$40,MONTH(A797)),INDEX(Settings!$B$29:$B$40,MONTH(A797)))))</f>
        <v/>
      </c>
    </row>
    <row r="798" customFormat="false" ht="15" hidden="false" customHeight="false" outlineLevel="0" collapsed="false">
      <c r="H798" s="0" t="str">
        <f aca="false">IF(B798="","",IF(COUNTIF(Campaigns!$A$7:$A$300,B798)&gt;0,"✓","⚠ add to Campaigns tab"))</f>
        <v/>
      </c>
      <c r="I798" s="84" t="str">
        <f aca="false">IF(C798="","",C798*IF(Settings!$B$23=Settings!$C$6,1,IF(Settings!$B$23="USD",1/INDEX(Settings!$B$29:$B$40,MONTH(A798)),INDEX(Settings!$B$29:$B$40,MONTH(A798)))))</f>
        <v/>
      </c>
    </row>
    <row r="799" customFormat="false" ht="15" hidden="false" customHeight="false" outlineLevel="0" collapsed="false">
      <c r="H799" s="0" t="str">
        <f aca="false">IF(B799="","",IF(COUNTIF(Campaigns!$A$7:$A$300,B799)&gt;0,"✓","⚠ add to Campaigns tab"))</f>
        <v/>
      </c>
      <c r="I799" s="84" t="str">
        <f aca="false">IF(C799="","",C799*IF(Settings!$B$23=Settings!$C$6,1,IF(Settings!$B$23="USD",1/INDEX(Settings!$B$29:$B$40,MONTH(A799)),INDEX(Settings!$B$29:$B$40,MONTH(A799)))))</f>
        <v/>
      </c>
    </row>
    <row r="800" customFormat="false" ht="15" hidden="false" customHeight="false" outlineLevel="0" collapsed="false">
      <c r="H800" s="0" t="str">
        <f aca="false">IF(B800="","",IF(COUNTIF(Campaigns!$A$7:$A$300,B800)&gt;0,"✓","⚠ add to Campaigns tab"))</f>
        <v/>
      </c>
      <c r="I800" s="84" t="str">
        <f aca="false">IF(C800="","",C800*IF(Settings!$B$23=Settings!$C$6,1,IF(Settings!$B$23="USD",1/INDEX(Settings!$B$29:$B$40,MONTH(A800)),INDEX(Settings!$B$29:$B$40,MONTH(A800)))))</f>
        <v/>
      </c>
    </row>
    <row r="801" customFormat="false" ht="15" hidden="false" customHeight="false" outlineLevel="0" collapsed="false">
      <c r="H801" s="0" t="str">
        <f aca="false">IF(B801="","",IF(COUNTIF(Campaigns!$A$7:$A$300,B801)&gt;0,"✓","⚠ add to Campaigns tab"))</f>
        <v/>
      </c>
      <c r="I801" s="84" t="str">
        <f aca="false">IF(C801="","",C801*IF(Settings!$B$23=Settings!$C$6,1,IF(Settings!$B$23="USD",1/INDEX(Settings!$B$29:$B$40,MONTH(A801)),INDEX(Settings!$B$29:$B$40,MONTH(A801)))))</f>
        <v/>
      </c>
    </row>
    <row r="802" customFormat="false" ht="15" hidden="false" customHeight="false" outlineLevel="0" collapsed="false">
      <c r="H802" s="0" t="str">
        <f aca="false">IF(B802="","",IF(COUNTIF(Campaigns!$A$7:$A$300,B802)&gt;0,"✓","⚠ add to Campaigns tab"))</f>
        <v/>
      </c>
      <c r="I802" s="84" t="str">
        <f aca="false">IF(C802="","",C802*IF(Settings!$B$23=Settings!$C$6,1,IF(Settings!$B$23="USD",1/INDEX(Settings!$B$29:$B$40,MONTH(A802)),INDEX(Settings!$B$29:$B$40,MONTH(A802)))))</f>
        <v/>
      </c>
    </row>
    <row r="803" customFormat="false" ht="15" hidden="false" customHeight="false" outlineLevel="0" collapsed="false">
      <c r="H803" s="0" t="str">
        <f aca="false">IF(B803="","",IF(COUNTIF(Campaigns!$A$7:$A$300,B803)&gt;0,"✓","⚠ add to Campaigns tab"))</f>
        <v/>
      </c>
      <c r="I803" s="84" t="str">
        <f aca="false">IF(C803="","",C803*IF(Settings!$B$23=Settings!$C$6,1,IF(Settings!$B$23="USD",1/INDEX(Settings!$B$29:$B$40,MONTH(A803)),INDEX(Settings!$B$29:$B$40,MONTH(A803)))))</f>
        <v/>
      </c>
    </row>
    <row r="804" customFormat="false" ht="15" hidden="false" customHeight="false" outlineLevel="0" collapsed="false">
      <c r="H804" s="0" t="str">
        <f aca="false">IF(B804="","",IF(COUNTIF(Campaigns!$A$7:$A$300,B804)&gt;0,"✓","⚠ add to Campaigns tab"))</f>
        <v/>
      </c>
      <c r="I804" s="84" t="str">
        <f aca="false">IF(C804="","",C804*IF(Settings!$B$23=Settings!$C$6,1,IF(Settings!$B$23="USD",1/INDEX(Settings!$B$29:$B$40,MONTH(A804)),INDEX(Settings!$B$29:$B$40,MONTH(A804)))))</f>
        <v/>
      </c>
    </row>
    <row r="805" customFormat="false" ht="15" hidden="false" customHeight="false" outlineLevel="0" collapsed="false">
      <c r="H805" s="0" t="str">
        <f aca="false">IF(B805="","",IF(COUNTIF(Campaigns!$A$7:$A$300,B805)&gt;0,"✓","⚠ add to Campaigns tab"))</f>
        <v/>
      </c>
      <c r="I805" s="84" t="str">
        <f aca="false">IF(C805="","",C805*IF(Settings!$B$23=Settings!$C$6,1,IF(Settings!$B$23="USD",1/INDEX(Settings!$B$29:$B$40,MONTH(A805)),INDEX(Settings!$B$29:$B$40,MONTH(A805)))))</f>
        <v/>
      </c>
    </row>
    <row r="806" customFormat="false" ht="15" hidden="false" customHeight="false" outlineLevel="0" collapsed="false">
      <c r="H806" s="0" t="str">
        <f aca="false">IF(B806="","",IF(COUNTIF(Campaigns!$A$7:$A$300,B806)&gt;0,"✓","⚠ add to Campaigns tab"))</f>
        <v/>
      </c>
      <c r="I806" s="84" t="str">
        <f aca="false">IF(C806="","",C806*IF(Settings!$B$23=Settings!$C$6,1,IF(Settings!$B$23="USD",1/INDEX(Settings!$B$29:$B$40,MONTH(A806)),INDEX(Settings!$B$29:$B$40,MONTH(A806)))))</f>
        <v/>
      </c>
    </row>
    <row r="807" customFormat="false" ht="15" hidden="false" customHeight="false" outlineLevel="0" collapsed="false">
      <c r="H807" s="0" t="str">
        <f aca="false">IF(B807="","",IF(COUNTIF(Campaigns!$A$7:$A$300,B807)&gt;0,"✓","⚠ add to Campaigns tab"))</f>
        <v/>
      </c>
      <c r="I807" s="84" t="str">
        <f aca="false">IF(C807="","",C807*IF(Settings!$B$23=Settings!$C$6,1,IF(Settings!$B$23="USD",1/INDEX(Settings!$B$29:$B$40,MONTH(A807)),INDEX(Settings!$B$29:$B$40,MONTH(A807)))))</f>
        <v/>
      </c>
    </row>
    <row r="808" customFormat="false" ht="15" hidden="false" customHeight="false" outlineLevel="0" collapsed="false">
      <c r="H808" s="0" t="str">
        <f aca="false">IF(B808="","",IF(COUNTIF(Campaigns!$A$7:$A$300,B808)&gt;0,"✓","⚠ add to Campaigns tab"))</f>
        <v/>
      </c>
      <c r="I808" s="84" t="str">
        <f aca="false">IF(C808="","",C808*IF(Settings!$B$23=Settings!$C$6,1,IF(Settings!$B$23="USD",1/INDEX(Settings!$B$29:$B$40,MONTH(A808)),INDEX(Settings!$B$29:$B$40,MONTH(A808)))))</f>
        <v/>
      </c>
    </row>
    <row r="809" customFormat="false" ht="15" hidden="false" customHeight="false" outlineLevel="0" collapsed="false">
      <c r="H809" s="0" t="str">
        <f aca="false">IF(B809="","",IF(COUNTIF(Campaigns!$A$7:$A$300,B809)&gt;0,"✓","⚠ add to Campaigns tab"))</f>
        <v/>
      </c>
      <c r="I809" s="84" t="str">
        <f aca="false">IF(C809="","",C809*IF(Settings!$B$23=Settings!$C$6,1,IF(Settings!$B$23="USD",1/INDEX(Settings!$B$29:$B$40,MONTH(A809)),INDEX(Settings!$B$29:$B$40,MONTH(A809)))))</f>
        <v/>
      </c>
    </row>
    <row r="810" customFormat="false" ht="15" hidden="false" customHeight="false" outlineLevel="0" collapsed="false">
      <c r="H810" s="0" t="str">
        <f aca="false">IF(B810="","",IF(COUNTIF(Campaigns!$A$7:$A$300,B810)&gt;0,"✓","⚠ add to Campaigns tab"))</f>
        <v/>
      </c>
      <c r="I810" s="84" t="str">
        <f aca="false">IF(C810="","",C810*IF(Settings!$B$23=Settings!$C$6,1,IF(Settings!$B$23="USD",1/INDEX(Settings!$B$29:$B$40,MONTH(A810)),INDEX(Settings!$B$29:$B$40,MONTH(A810)))))</f>
        <v/>
      </c>
    </row>
    <row r="811" customFormat="false" ht="15" hidden="false" customHeight="false" outlineLevel="0" collapsed="false">
      <c r="H811" s="0" t="str">
        <f aca="false">IF(B811="","",IF(COUNTIF(Campaigns!$A$7:$A$300,B811)&gt;0,"✓","⚠ add to Campaigns tab"))</f>
        <v/>
      </c>
      <c r="I811" s="84" t="str">
        <f aca="false">IF(C811="","",C811*IF(Settings!$B$23=Settings!$C$6,1,IF(Settings!$B$23="USD",1/INDEX(Settings!$B$29:$B$40,MONTH(A811)),INDEX(Settings!$B$29:$B$40,MONTH(A811)))))</f>
        <v/>
      </c>
    </row>
    <row r="812" customFormat="false" ht="15" hidden="false" customHeight="false" outlineLevel="0" collapsed="false">
      <c r="H812" s="0" t="str">
        <f aca="false">IF(B812="","",IF(COUNTIF(Campaigns!$A$7:$A$300,B812)&gt;0,"✓","⚠ add to Campaigns tab"))</f>
        <v/>
      </c>
      <c r="I812" s="84" t="str">
        <f aca="false">IF(C812="","",C812*IF(Settings!$B$23=Settings!$C$6,1,IF(Settings!$B$23="USD",1/INDEX(Settings!$B$29:$B$40,MONTH(A812)),INDEX(Settings!$B$29:$B$40,MONTH(A812)))))</f>
        <v/>
      </c>
    </row>
    <row r="813" customFormat="false" ht="15" hidden="false" customHeight="false" outlineLevel="0" collapsed="false">
      <c r="H813" s="0" t="str">
        <f aca="false">IF(B813="","",IF(COUNTIF(Campaigns!$A$7:$A$300,B813)&gt;0,"✓","⚠ add to Campaigns tab"))</f>
        <v/>
      </c>
      <c r="I813" s="84" t="str">
        <f aca="false">IF(C813="","",C813*IF(Settings!$B$23=Settings!$C$6,1,IF(Settings!$B$23="USD",1/INDEX(Settings!$B$29:$B$40,MONTH(A813)),INDEX(Settings!$B$29:$B$40,MONTH(A813)))))</f>
        <v/>
      </c>
    </row>
    <row r="814" customFormat="false" ht="15" hidden="false" customHeight="false" outlineLevel="0" collapsed="false">
      <c r="H814" s="0" t="str">
        <f aca="false">IF(B814="","",IF(COUNTIF(Campaigns!$A$7:$A$300,B814)&gt;0,"✓","⚠ add to Campaigns tab"))</f>
        <v/>
      </c>
      <c r="I814" s="84" t="str">
        <f aca="false">IF(C814="","",C814*IF(Settings!$B$23=Settings!$C$6,1,IF(Settings!$B$23="USD",1/INDEX(Settings!$B$29:$B$40,MONTH(A814)),INDEX(Settings!$B$29:$B$40,MONTH(A814)))))</f>
        <v/>
      </c>
    </row>
    <row r="815" customFormat="false" ht="15" hidden="false" customHeight="false" outlineLevel="0" collapsed="false">
      <c r="H815" s="0" t="str">
        <f aca="false">IF(B815="","",IF(COUNTIF(Campaigns!$A$7:$A$300,B815)&gt;0,"✓","⚠ add to Campaigns tab"))</f>
        <v/>
      </c>
      <c r="I815" s="84" t="str">
        <f aca="false">IF(C815="","",C815*IF(Settings!$B$23=Settings!$C$6,1,IF(Settings!$B$23="USD",1/INDEX(Settings!$B$29:$B$40,MONTH(A815)),INDEX(Settings!$B$29:$B$40,MONTH(A815)))))</f>
        <v/>
      </c>
    </row>
    <row r="816" customFormat="false" ht="15" hidden="false" customHeight="false" outlineLevel="0" collapsed="false">
      <c r="H816" s="0" t="str">
        <f aca="false">IF(B816="","",IF(COUNTIF(Campaigns!$A$7:$A$300,B816)&gt;0,"✓","⚠ add to Campaigns tab"))</f>
        <v/>
      </c>
      <c r="I816" s="84" t="str">
        <f aca="false">IF(C816="","",C816*IF(Settings!$B$23=Settings!$C$6,1,IF(Settings!$B$23="USD",1/INDEX(Settings!$B$29:$B$40,MONTH(A816)),INDEX(Settings!$B$29:$B$40,MONTH(A816)))))</f>
        <v/>
      </c>
    </row>
    <row r="817" customFormat="false" ht="15" hidden="false" customHeight="false" outlineLevel="0" collapsed="false">
      <c r="H817" s="0" t="str">
        <f aca="false">IF(B817="","",IF(COUNTIF(Campaigns!$A$7:$A$300,B817)&gt;0,"✓","⚠ add to Campaigns tab"))</f>
        <v/>
      </c>
      <c r="I817" s="84" t="str">
        <f aca="false">IF(C817="","",C817*IF(Settings!$B$23=Settings!$C$6,1,IF(Settings!$B$23="USD",1/INDEX(Settings!$B$29:$B$40,MONTH(A817)),INDEX(Settings!$B$29:$B$40,MONTH(A817)))))</f>
        <v/>
      </c>
    </row>
    <row r="818" customFormat="false" ht="15" hidden="false" customHeight="false" outlineLevel="0" collapsed="false">
      <c r="H818" s="0" t="str">
        <f aca="false">IF(B818="","",IF(COUNTIF(Campaigns!$A$7:$A$300,B818)&gt;0,"✓","⚠ add to Campaigns tab"))</f>
        <v/>
      </c>
      <c r="I818" s="84" t="str">
        <f aca="false">IF(C818="","",C818*IF(Settings!$B$23=Settings!$C$6,1,IF(Settings!$B$23="USD",1/INDEX(Settings!$B$29:$B$40,MONTH(A818)),INDEX(Settings!$B$29:$B$40,MONTH(A818)))))</f>
        <v/>
      </c>
    </row>
    <row r="819" customFormat="false" ht="15" hidden="false" customHeight="false" outlineLevel="0" collapsed="false">
      <c r="H819" s="0" t="str">
        <f aca="false">IF(B819="","",IF(COUNTIF(Campaigns!$A$7:$A$300,B819)&gt;0,"✓","⚠ add to Campaigns tab"))</f>
        <v/>
      </c>
      <c r="I819" s="84" t="str">
        <f aca="false">IF(C819="","",C819*IF(Settings!$B$23=Settings!$C$6,1,IF(Settings!$B$23="USD",1/INDEX(Settings!$B$29:$B$40,MONTH(A819)),INDEX(Settings!$B$29:$B$40,MONTH(A819)))))</f>
        <v/>
      </c>
    </row>
    <row r="820" customFormat="false" ht="15" hidden="false" customHeight="false" outlineLevel="0" collapsed="false">
      <c r="H820" s="0" t="str">
        <f aca="false">IF(B820="","",IF(COUNTIF(Campaigns!$A$7:$A$300,B820)&gt;0,"✓","⚠ add to Campaigns tab"))</f>
        <v/>
      </c>
      <c r="I820" s="84" t="str">
        <f aca="false">IF(C820="","",C820*IF(Settings!$B$23=Settings!$C$6,1,IF(Settings!$B$23="USD",1/INDEX(Settings!$B$29:$B$40,MONTH(A820)),INDEX(Settings!$B$29:$B$40,MONTH(A820)))))</f>
        <v/>
      </c>
    </row>
    <row r="821" customFormat="false" ht="15" hidden="false" customHeight="false" outlineLevel="0" collapsed="false">
      <c r="H821" s="0" t="str">
        <f aca="false">IF(B821="","",IF(COUNTIF(Campaigns!$A$7:$A$300,B821)&gt;0,"✓","⚠ add to Campaigns tab"))</f>
        <v/>
      </c>
      <c r="I821" s="84" t="str">
        <f aca="false">IF(C821="","",C821*IF(Settings!$B$23=Settings!$C$6,1,IF(Settings!$B$23="USD",1/INDEX(Settings!$B$29:$B$40,MONTH(A821)),INDEX(Settings!$B$29:$B$40,MONTH(A821)))))</f>
        <v/>
      </c>
    </row>
    <row r="822" customFormat="false" ht="15" hidden="false" customHeight="false" outlineLevel="0" collapsed="false">
      <c r="H822" s="0" t="str">
        <f aca="false">IF(B822="","",IF(COUNTIF(Campaigns!$A$7:$A$300,B822)&gt;0,"✓","⚠ add to Campaigns tab"))</f>
        <v/>
      </c>
      <c r="I822" s="84" t="str">
        <f aca="false">IF(C822="","",C822*IF(Settings!$B$23=Settings!$C$6,1,IF(Settings!$B$23="USD",1/INDEX(Settings!$B$29:$B$40,MONTH(A822)),INDEX(Settings!$B$29:$B$40,MONTH(A822)))))</f>
        <v/>
      </c>
    </row>
    <row r="823" customFormat="false" ht="15" hidden="false" customHeight="false" outlineLevel="0" collapsed="false">
      <c r="H823" s="0" t="str">
        <f aca="false">IF(B823="","",IF(COUNTIF(Campaigns!$A$7:$A$300,B823)&gt;0,"✓","⚠ add to Campaigns tab"))</f>
        <v/>
      </c>
      <c r="I823" s="84" t="str">
        <f aca="false">IF(C823="","",C823*IF(Settings!$B$23=Settings!$C$6,1,IF(Settings!$B$23="USD",1/INDEX(Settings!$B$29:$B$40,MONTH(A823)),INDEX(Settings!$B$29:$B$40,MONTH(A823)))))</f>
        <v/>
      </c>
    </row>
    <row r="824" customFormat="false" ht="15" hidden="false" customHeight="false" outlineLevel="0" collapsed="false">
      <c r="H824" s="0" t="str">
        <f aca="false">IF(B824="","",IF(COUNTIF(Campaigns!$A$7:$A$300,B824)&gt;0,"✓","⚠ add to Campaigns tab"))</f>
        <v/>
      </c>
      <c r="I824" s="84" t="str">
        <f aca="false">IF(C824="","",C824*IF(Settings!$B$23=Settings!$C$6,1,IF(Settings!$B$23="USD",1/INDEX(Settings!$B$29:$B$40,MONTH(A824)),INDEX(Settings!$B$29:$B$40,MONTH(A824)))))</f>
        <v/>
      </c>
    </row>
    <row r="825" customFormat="false" ht="15" hidden="false" customHeight="false" outlineLevel="0" collapsed="false">
      <c r="H825" s="0" t="str">
        <f aca="false">IF(B825="","",IF(COUNTIF(Campaigns!$A$7:$A$300,B825)&gt;0,"✓","⚠ add to Campaigns tab"))</f>
        <v/>
      </c>
      <c r="I825" s="84" t="str">
        <f aca="false">IF(C825="","",C825*IF(Settings!$B$23=Settings!$C$6,1,IF(Settings!$B$23="USD",1/INDEX(Settings!$B$29:$B$40,MONTH(A825)),INDEX(Settings!$B$29:$B$40,MONTH(A825)))))</f>
        <v/>
      </c>
    </row>
    <row r="826" customFormat="false" ht="15" hidden="false" customHeight="false" outlineLevel="0" collapsed="false">
      <c r="H826" s="0" t="str">
        <f aca="false">IF(B826="","",IF(COUNTIF(Campaigns!$A$7:$A$300,B826)&gt;0,"✓","⚠ add to Campaigns tab"))</f>
        <v/>
      </c>
      <c r="I826" s="84" t="str">
        <f aca="false">IF(C826="","",C826*IF(Settings!$B$23=Settings!$C$6,1,IF(Settings!$B$23="USD",1/INDEX(Settings!$B$29:$B$40,MONTH(A826)),INDEX(Settings!$B$29:$B$40,MONTH(A826)))))</f>
        <v/>
      </c>
    </row>
    <row r="827" customFormat="false" ht="15" hidden="false" customHeight="false" outlineLevel="0" collapsed="false">
      <c r="H827" s="0" t="str">
        <f aca="false">IF(B827="","",IF(COUNTIF(Campaigns!$A$7:$A$300,B827)&gt;0,"✓","⚠ add to Campaigns tab"))</f>
        <v/>
      </c>
      <c r="I827" s="84" t="str">
        <f aca="false">IF(C827="","",C827*IF(Settings!$B$23=Settings!$C$6,1,IF(Settings!$B$23="USD",1/INDEX(Settings!$B$29:$B$40,MONTH(A827)),INDEX(Settings!$B$29:$B$40,MONTH(A827)))))</f>
        <v/>
      </c>
    </row>
    <row r="828" customFormat="false" ht="15" hidden="false" customHeight="false" outlineLevel="0" collapsed="false">
      <c r="H828" s="0" t="str">
        <f aca="false">IF(B828="","",IF(COUNTIF(Campaigns!$A$7:$A$300,B828)&gt;0,"✓","⚠ add to Campaigns tab"))</f>
        <v/>
      </c>
      <c r="I828" s="84" t="str">
        <f aca="false">IF(C828="","",C828*IF(Settings!$B$23=Settings!$C$6,1,IF(Settings!$B$23="USD",1/INDEX(Settings!$B$29:$B$40,MONTH(A828)),INDEX(Settings!$B$29:$B$40,MONTH(A828)))))</f>
        <v/>
      </c>
    </row>
    <row r="829" customFormat="false" ht="15" hidden="false" customHeight="false" outlineLevel="0" collapsed="false">
      <c r="H829" s="0" t="str">
        <f aca="false">IF(B829="","",IF(COUNTIF(Campaigns!$A$7:$A$300,B829)&gt;0,"✓","⚠ add to Campaigns tab"))</f>
        <v/>
      </c>
      <c r="I829" s="84" t="str">
        <f aca="false">IF(C829="","",C829*IF(Settings!$B$23=Settings!$C$6,1,IF(Settings!$B$23="USD",1/INDEX(Settings!$B$29:$B$40,MONTH(A829)),INDEX(Settings!$B$29:$B$40,MONTH(A829)))))</f>
        <v/>
      </c>
    </row>
    <row r="830" customFormat="false" ht="15" hidden="false" customHeight="false" outlineLevel="0" collapsed="false">
      <c r="H830" s="0" t="str">
        <f aca="false">IF(B830="","",IF(COUNTIF(Campaigns!$A$7:$A$300,B830)&gt;0,"✓","⚠ add to Campaigns tab"))</f>
        <v/>
      </c>
      <c r="I830" s="84" t="str">
        <f aca="false">IF(C830="","",C830*IF(Settings!$B$23=Settings!$C$6,1,IF(Settings!$B$23="USD",1/INDEX(Settings!$B$29:$B$40,MONTH(A830)),INDEX(Settings!$B$29:$B$40,MONTH(A830)))))</f>
        <v/>
      </c>
    </row>
    <row r="831" customFormat="false" ht="15" hidden="false" customHeight="false" outlineLevel="0" collapsed="false">
      <c r="H831" s="0" t="str">
        <f aca="false">IF(B831="","",IF(COUNTIF(Campaigns!$A$7:$A$300,B831)&gt;0,"✓","⚠ add to Campaigns tab"))</f>
        <v/>
      </c>
      <c r="I831" s="84" t="str">
        <f aca="false">IF(C831="","",C831*IF(Settings!$B$23=Settings!$C$6,1,IF(Settings!$B$23="USD",1/INDEX(Settings!$B$29:$B$40,MONTH(A831)),INDEX(Settings!$B$29:$B$40,MONTH(A831)))))</f>
        <v/>
      </c>
    </row>
    <row r="832" customFormat="false" ht="15" hidden="false" customHeight="false" outlineLevel="0" collapsed="false">
      <c r="H832" s="0" t="str">
        <f aca="false">IF(B832="","",IF(COUNTIF(Campaigns!$A$7:$A$300,B832)&gt;0,"✓","⚠ add to Campaigns tab"))</f>
        <v/>
      </c>
      <c r="I832" s="84" t="str">
        <f aca="false">IF(C832="","",C832*IF(Settings!$B$23=Settings!$C$6,1,IF(Settings!$B$23="USD",1/INDEX(Settings!$B$29:$B$40,MONTH(A832)),INDEX(Settings!$B$29:$B$40,MONTH(A832)))))</f>
        <v/>
      </c>
    </row>
    <row r="833" customFormat="false" ht="15" hidden="false" customHeight="false" outlineLevel="0" collapsed="false">
      <c r="H833" s="0" t="str">
        <f aca="false">IF(B833="","",IF(COUNTIF(Campaigns!$A$7:$A$300,B833)&gt;0,"✓","⚠ add to Campaigns tab"))</f>
        <v/>
      </c>
      <c r="I833" s="84" t="str">
        <f aca="false">IF(C833="","",C833*IF(Settings!$B$23=Settings!$C$6,1,IF(Settings!$B$23="USD",1/INDEX(Settings!$B$29:$B$40,MONTH(A833)),INDEX(Settings!$B$29:$B$40,MONTH(A833)))))</f>
        <v/>
      </c>
    </row>
    <row r="834" customFormat="false" ht="15" hidden="false" customHeight="false" outlineLevel="0" collapsed="false">
      <c r="H834" s="0" t="str">
        <f aca="false">IF(B834="","",IF(COUNTIF(Campaigns!$A$7:$A$300,B834)&gt;0,"✓","⚠ add to Campaigns tab"))</f>
        <v/>
      </c>
      <c r="I834" s="84" t="str">
        <f aca="false">IF(C834="","",C834*IF(Settings!$B$23=Settings!$C$6,1,IF(Settings!$B$23="USD",1/INDEX(Settings!$B$29:$B$40,MONTH(A834)),INDEX(Settings!$B$29:$B$40,MONTH(A834)))))</f>
        <v/>
      </c>
    </row>
    <row r="835" customFormat="false" ht="15" hidden="false" customHeight="false" outlineLevel="0" collapsed="false">
      <c r="H835" s="0" t="str">
        <f aca="false">IF(B835="","",IF(COUNTIF(Campaigns!$A$7:$A$300,B835)&gt;0,"✓","⚠ add to Campaigns tab"))</f>
        <v/>
      </c>
      <c r="I835" s="84" t="str">
        <f aca="false">IF(C835="","",C835*IF(Settings!$B$23=Settings!$C$6,1,IF(Settings!$B$23="USD",1/INDEX(Settings!$B$29:$B$40,MONTH(A835)),INDEX(Settings!$B$29:$B$40,MONTH(A835)))))</f>
        <v/>
      </c>
    </row>
    <row r="836" customFormat="false" ht="15" hidden="false" customHeight="false" outlineLevel="0" collapsed="false">
      <c r="H836" s="0" t="str">
        <f aca="false">IF(B836="","",IF(COUNTIF(Campaigns!$A$7:$A$300,B836)&gt;0,"✓","⚠ add to Campaigns tab"))</f>
        <v/>
      </c>
      <c r="I836" s="84" t="str">
        <f aca="false">IF(C836="","",C836*IF(Settings!$B$23=Settings!$C$6,1,IF(Settings!$B$23="USD",1/INDEX(Settings!$B$29:$B$40,MONTH(A836)),INDEX(Settings!$B$29:$B$40,MONTH(A836)))))</f>
        <v/>
      </c>
    </row>
    <row r="837" customFormat="false" ht="15" hidden="false" customHeight="false" outlineLevel="0" collapsed="false">
      <c r="H837" s="0" t="str">
        <f aca="false">IF(B837="","",IF(COUNTIF(Campaigns!$A$7:$A$300,B837)&gt;0,"✓","⚠ add to Campaigns tab"))</f>
        <v/>
      </c>
      <c r="I837" s="84" t="str">
        <f aca="false">IF(C837="","",C837*IF(Settings!$B$23=Settings!$C$6,1,IF(Settings!$B$23="USD",1/INDEX(Settings!$B$29:$B$40,MONTH(A837)),INDEX(Settings!$B$29:$B$40,MONTH(A837)))))</f>
        <v/>
      </c>
    </row>
    <row r="838" customFormat="false" ht="15" hidden="false" customHeight="false" outlineLevel="0" collapsed="false">
      <c r="H838" s="0" t="str">
        <f aca="false">IF(B838="","",IF(COUNTIF(Campaigns!$A$7:$A$300,B838)&gt;0,"✓","⚠ add to Campaigns tab"))</f>
        <v/>
      </c>
      <c r="I838" s="84" t="str">
        <f aca="false">IF(C838="","",C838*IF(Settings!$B$23=Settings!$C$6,1,IF(Settings!$B$23="USD",1/INDEX(Settings!$B$29:$B$40,MONTH(A838)),INDEX(Settings!$B$29:$B$40,MONTH(A838)))))</f>
        <v/>
      </c>
    </row>
    <row r="839" customFormat="false" ht="15" hidden="false" customHeight="false" outlineLevel="0" collapsed="false">
      <c r="H839" s="0" t="str">
        <f aca="false">IF(B839="","",IF(COUNTIF(Campaigns!$A$7:$A$300,B839)&gt;0,"✓","⚠ add to Campaigns tab"))</f>
        <v/>
      </c>
      <c r="I839" s="84" t="str">
        <f aca="false">IF(C839="","",C839*IF(Settings!$B$23=Settings!$C$6,1,IF(Settings!$B$23="USD",1/INDEX(Settings!$B$29:$B$40,MONTH(A839)),INDEX(Settings!$B$29:$B$40,MONTH(A839)))))</f>
        <v/>
      </c>
    </row>
    <row r="840" customFormat="false" ht="15" hidden="false" customHeight="false" outlineLevel="0" collapsed="false">
      <c r="H840" s="0" t="str">
        <f aca="false">IF(B840="","",IF(COUNTIF(Campaigns!$A$7:$A$300,B840)&gt;0,"✓","⚠ add to Campaigns tab"))</f>
        <v/>
      </c>
      <c r="I840" s="84" t="str">
        <f aca="false">IF(C840="","",C840*IF(Settings!$B$23=Settings!$C$6,1,IF(Settings!$B$23="USD",1/INDEX(Settings!$B$29:$B$40,MONTH(A840)),INDEX(Settings!$B$29:$B$40,MONTH(A840)))))</f>
        <v/>
      </c>
    </row>
    <row r="841" customFormat="false" ht="15" hidden="false" customHeight="false" outlineLevel="0" collapsed="false">
      <c r="H841" s="0" t="str">
        <f aca="false">IF(B841="","",IF(COUNTIF(Campaigns!$A$7:$A$300,B841)&gt;0,"✓","⚠ add to Campaigns tab"))</f>
        <v/>
      </c>
      <c r="I841" s="84" t="str">
        <f aca="false">IF(C841="","",C841*IF(Settings!$B$23=Settings!$C$6,1,IF(Settings!$B$23="USD",1/INDEX(Settings!$B$29:$B$40,MONTH(A841)),INDEX(Settings!$B$29:$B$40,MONTH(A841)))))</f>
        <v/>
      </c>
    </row>
    <row r="842" customFormat="false" ht="15" hidden="false" customHeight="false" outlineLevel="0" collapsed="false">
      <c r="H842" s="0" t="str">
        <f aca="false">IF(B842="","",IF(COUNTIF(Campaigns!$A$7:$A$300,B842)&gt;0,"✓","⚠ add to Campaigns tab"))</f>
        <v/>
      </c>
      <c r="I842" s="84" t="str">
        <f aca="false">IF(C842="","",C842*IF(Settings!$B$23=Settings!$C$6,1,IF(Settings!$B$23="USD",1/INDEX(Settings!$B$29:$B$40,MONTH(A842)),INDEX(Settings!$B$29:$B$40,MONTH(A842)))))</f>
        <v/>
      </c>
    </row>
    <row r="843" customFormat="false" ht="15" hidden="false" customHeight="false" outlineLevel="0" collapsed="false">
      <c r="H843" s="0" t="str">
        <f aca="false">IF(B843="","",IF(COUNTIF(Campaigns!$A$7:$A$300,B843)&gt;0,"✓","⚠ add to Campaigns tab"))</f>
        <v/>
      </c>
      <c r="I843" s="84" t="str">
        <f aca="false">IF(C843="","",C843*IF(Settings!$B$23=Settings!$C$6,1,IF(Settings!$B$23="USD",1/INDEX(Settings!$B$29:$B$40,MONTH(A843)),INDEX(Settings!$B$29:$B$40,MONTH(A843)))))</f>
        <v/>
      </c>
    </row>
    <row r="844" customFormat="false" ht="15" hidden="false" customHeight="false" outlineLevel="0" collapsed="false">
      <c r="H844" s="0" t="str">
        <f aca="false">IF(B844="","",IF(COUNTIF(Campaigns!$A$7:$A$300,B844)&gt;0,"✓","⚠ add to Campaigns tab"))</f>
        <v/>
      </c>
      <c r="I844" s="84" t="str">
        <f aca="false">IF(C844="","",C844*IF(Settings!$B$23=Settings!$C$6,1,IF(Settings!$B$23="USD",1/INDEX(Settings!$B$29:$B$40,MONTH(A844)),INDEX(Settings!$B$29:$B$40,MONTH(A844)))))</f>
        <v/>
      </c>
    </row>
    <row r="845" customFormat="false" ht="15" hidden="false" customHeight="false" outlineLevel="0" collapsed="false">
      <c r="H845" s="0" t="str">
        <f aca="false">IF(B845="","",IF(COUNTIF(Campaigns!$A$7:$A$300,B845)&gt;0,"✓","⚠ add to Campaigns tab"))</f>
        <v/>
      </c>
      <c r="I845" s="84" t="str">
        <f aca="false">IF(C845="","",C845*IF(Settings!$B$23=Settings!$C$6,1,IF(Settings!$B$23="USD",1/INDEX(Settings!$B$29:$B$40,MONTH(A845)),INDEX(Settings!$B$29:$B$40,MONTH(A845)))))</f>
        <v/>
      </c>
    </row>
    <row r="846" customFormat="false" ht="15" hidden="false" customHeight="false" outlineLevel="0" collapsed="false">
      <c r="H846" s="0" t="str">
        <f aca="false">IF(B846="","",IF(COUNTIF(Campaigns!$A$7:$A$300,B846)&gt;0,"✓","⚠ add to Campaigns tab"))</f>
        <v/>
      </c>
      <c r="I846" s="84" t="str">
        <f aca="false">IF(C846="","",C846*IF(Settings!$B$23=Settings!$C$6,1,IF(Settings!$B$23="USD",1/INDEX(Settings!$B$29:$B$40,MONTH(A846)),INDEX(Settings!$B$29:$B$40,MONTH(A846)))))</f>
        <v/>
      </c>
    </row>
    <row r="847" customFormat="false" ht="15" hidden="false" customHeight="false" outlineLevel="0" collapsed="false">
      <c r="H847" s="0" t="str">
        <f aca="false">IF(B847="","",IF(COUNTIF(Campaigns!$A$7:$A$300,B847)&gt;0,"✓","⚠ add to Campaigns tab"))</f>
        <v/>
      </c>
      <c r="I847" s="84" t="str">
        <f aca="false">IF(C847="","",C847*IF(Settings!$B$23=Settings!$C$6,1,IF(Settings!$B$23="USD",1/INDEX(Settings!$B$29:$B$40,MONTH(A847)),INDEX(Settings!$B$29:$B$40,MONTH(A847)))))</f>
        <v/>
      </c>
    </row>
    <row r="848" customFormat="false" ht="15" hidden="false" customHeight="false" outlineLevel="0" collapsed="false">
      <c r="H848" s="0" t="str">
        <f aca="false">IF(B848="","",IF(COUNTIF(Campaigns!$A$7:$A$300,B848)&gt;0,"✓","⚠ add to Campaigns tab"))</f>
        <v/>
      </c>
      <c r="I848" s="84" t="str">
        <f aca="false">IF(C848="","",C848*IF(Settings!$B$23=Settings!$C$6,1,IF(Settings!$B$23="USD",1/INDEX(Settings!$B$29:$B$40,MONTH(A848)),INDEX(Settings!$B$29:$B$40,MONTH(A848)))))</f>
        <v/>
      </c>
    </row>
    <row r="849" customFormat="false" ht="15" hidden="false" customHeight="false" outlineLevel="0" collapsed="false">
      <c r="H849" s="0" t="str">
        <f aca="false">IF(B849="","",IF(COUNTIF(Campaigns!$A$7:$A$300,B849)&gt;0,"✓","⚠ add to Campaigns tab"))</f>
        <v/>
      </c>
      <c r="I849" s="84" t="str">
        <f aca="false">IF(C849="","",C849*IF(Settings!$B$23=Settings!$C$6,1,IF(Settings!$B$23="USD",1/INDEX(Settings!$B$29:$B$40,MONTH(A849)),INDEX(Settings!$B$29:$B$40,MONTH(A849)))))</f>
        <v/>
      </c>
    </row>
    <row r="850" customFormat="false" ht="15" hidden="false" customHeight="false" outlineLevel="0" collapsed="false">
      <c r="H850" s="0" t="str">
        <f aca="false">IF(B850="","",IF(COUNTIF(Campaigns!$A$7:$A$300,B850)&gt;0,"✓","⚠ add to Campaigns tab"))</f>
        <v/>
      </c>
      <c r="I850" s="84" t="str">
        <f aca="false">IF(C850="","",C850*IF(Settings!$B$23=Settings!$C$6,1,IF(Settings!$B$23="USD",1/INDEX(Settings!$B$29:$B$40,MONTH(A850)),INDEX(Settings!$B$29:$B$40,MONTH(A850)))))</f>
        <v/>
      </c>
    </row>
    <row r="851" customFormat="false" ht="15" hidden="false" customHeight="false" outlineLevel="0" collapsed="false">
      <c r="H851" s="0" t="str">
        <f aca="false">IF(B851="","",IF(COUNTIF(Campaigns!$A$7:$A$300,B851)&gt;0,"✓","⚠ add to Campaigns tab"))</f>
        <v/>
      </c>
      <c r="I851" s="84" t="str">
        <f aca="false">IF(C851="","",C851*IF(Settings!$B$23=Settings!$C$6,1,IF(Settings!$B$23="USD",1/INDEX(Settings!$B$29:$B$40,MONTH(A851)),INDEX(Settings!$B$29:$B$40,MONTH(A851)))))</f>
        <v/>
      </c>
    </row>
    <row r="852" customFormat="false" ht="15" hidden="false" customHeight="false" outlineLevel="0" collapsed="false">
      <c r="H852" s="0" t="str">
        <f aca="false">IF(B852="","",IF(COUNTIF(Campaigns!$A$7:$A$300,B852)&gt;0,"✓","⚠ add to Campaigns tab"))</f>
        <v/>
      </c>
      <c r="I852" s="84" t="str">
        <f aca="false">IF(C852="","",C852*IF(Settings!$B$23=Settings!$C$6,1,IF(Settings!$B$23="USD",1/INDEX(Settings!$B$29:$B$40,MONTH(A852)),INDEX(Settings!$B$29:$B$40,MONTH(A852)))))</f>
        <v/>
      </c>
    </row>
    <row r="853" customFormat="false" ht="15" hidden="false" customHeight="false" outlineLevel="0" collapsed="false">
      <c r="H853" s="0" t="str">
        <f aca="false">IF(B853="","",IF(COUNTIF(Campaigns!$A$7:$A$300,B853)&gt;0,"✓","⚠ add to Campaigns tab"))</f>
        <v/>
      </c>
      <c r="I853" s="84" t="str">
        <f aca="false">IF(C853="","",C853*IF(Settings!$B$23=Settings!$C$6,1,IF(Settings!$B$23="USD",1/INDEX(Settings!$B$29:$B$40,MONTH(A853)),INDEX(Settings!$B$29:$B$40,MONTH(A853)))))</f>
        <v/>
      </c>
    </row>
    <row r="854" customFormat="false" ht="15" hidden="false" customHeight="false" outlineLevel="0" collapsed="false">
      <c r="H854" s="0" t="str">
        <f aca="false">IF(B854="","",IF(COUNTIF(Campaigns!$A$7:$A$300,B854)&gt;0,"✓","⚠ add to Campaigns tab"))</f>
        <v/>
      </c>
      <c r="I854" s="84" t="str">
        <f aca="false">IF(C854="","",C854*IF(Settings!$B$23=Settings!$C$6,1,IF(Settings!$B$23="USD",1/INDEX(Settings!$B$29:$B$40,MONTH(A854)),INDEX(Settings!$B$29:$B$40,MONTH(A854)))))</f>
        <v/>
      </c>
    </row>
    <row r="855" customFormat="false" ht="15" hidden="false" customHeight="false" outlineLevel="0" collapsed="false">
      <c r="H855" s="0" t="str">
        <f aca="false">IF(B855="","",IF(COUNTIF(Campaigns!$A$7:$A$300,B855)&gt;0,"✓","⚠ add to Campaigns tab"))</f>
        <v/>
      </c>
      <c r="I855" s="84" t="str">
        <f aca="false">IF(C855="","",C855*IF(Settings!$B$23=Settings!$C$6,1,IF(Settings!$B$23="USD",1/INDEX(Settings!$B$29:$B$40,MONTH(A855)),INDEX(Settings!$B$29:$B$40,MONTH(A855)))))</f>
        <v/>
      </c>
    </row>
    <row r="856" customFormat="false" ht="15" hidden="false" customHeight="false" outlineLevel="0" collapsed="false">
      <c r="H856" s="0" t="str">
        <f aca="false">IF(B856="","",IF(COUNTIF(Campaigns!$A$7:$A$300,B856)&gt;0,"✓","⚠ add to Campaigns tab"))</f>
        <v/>
      </c>
      <c r="I856" s="84" t="str">
        <f aca="false">IF(C856="","",C856*IF(Settings!$B$23=Settings!$C$6,1,IF(Settings!$B$23="USD",1/INDEX(Settings!$B$29:$B$40,MONTH(A856)),INDEX(Settings!$B$29:$B$40,MONTH(A856)))))</f>
        <v/>
      </c>
    </row>
    <row r="857" customFormat="false" ht="15" hidden="false" customHeight="false" outlineLevel="0" collapsed="false">
      <c r="H857" s="0" t="str">
        <f aca="false">IF(B857="","",IF(COUNTIF(Campaigns!$A$7:$A$300,B857)&gt;0,"✓","⚠ add to Campaigns tab"))</f>
        <v/>
      </c>
      <c r="I857" s="84" t="str">
        <f aca="false">IF(C857="","",C857*IF(Settings!$B$23=Settings!$C$6,1,IF(Settings!$B$23="USD",1/INDEX(Settings!$B$29:$B$40,MONTH(A857)),INDEX(Settings!$B$29:$B$40,MONTH(A857)))))</f>
        <v/>
      </c>
    </row>
    <row r="858" customFormat="false" ht="15" hidden="false" customHeight="false" outlineLevel="0" collapsed="false">
      <c r="H858" s="0" t="str">
        <f aca="false">IF(B858="","",IF(COUNTIF(Campaigns!$A$7:$A$300,B858)&gt;0,"✓","⚠ add to Campaigns tab"))</f>
        <v/>
      </c>
      <c r="I858" s="84" t="str">
        <f aca="false">IF(C858="","",C858*IF(Settings!$B$23=Settings!$C$6,1,IF(Settings!$B$23="USD",1/INDEX(Settings!$B$29:$B$40,MONTH(A858)),INDEX(Settings!$B$29:$B$40,MONTH(A858)))))</f>
        <v/>
      </c>
    </row>
    <row r="859" customFormat="false" ht="15" hidden="false" customHeight="false" outlineLevel="0" collapsed="false">
      <c r="H859" s="0" t="str">
        <f aca="false">IF(B859="","",IF(COUNTIF(Campaigns!$A$7:$A$300,B859)&gt;0,"✓","⚠ add to Campaigns tab"))</f>
        <v/>
      </c>
      <c r="I859" s="84" t="str">
        <f aca="false">IF(C859="","",C859*IF(Settings!$B$23=Settings!$C$6,1,IF(Settings!$B$23="USD",1/INDEX(Settings!$B$29:$B$40,MONTH(A859)),INDEX(Settings!$B$29:$B$40,MONTH(A859)))))</f>
        <v/>
      </c>
    </row>
    <row r="860" customFormat="false" ht="15" hidden="false" customHeight="false" outlineLevel="0" collapsed="false">
      <c r="H860" s="0" t="str">
        <f aca="false">IF(B860="","",IF(COUNTIF(Campaigns!$A$7:$A$300,B860)&gt;0,"✓","⚠ add to Campaigns tab"))</f>
        <v/>
      </c>
      <c r="I860" s="84" t="str">
        <f aca="false">IF(C860="","",C860*IF(Settings!$B$23=Settings!$C$6,1,IF(Settings!$B$23="USD",1/INDEX(Settings!$B$29:$B$40,MONTH(A860)),INDEX(Settings!$B$29:$B$40,MONTH(A860)))))</f>
        <v/>
      </c>
    </row>
    <row r="861" customFormat="false" ht="15" hidden="false" customHeight="false" outlineLevel="0" collapsed="false">
      <c r="H861" s="0" t="str">
        <f aca="false">IF(B861="","",IF(COUNTIF(Campaigns!$A$7:$A$300,B861)&gt;0,"✓","⚠ add to Campaigns tab"))</f>
        <v/>
      </c>
      <c r="I861" s="84" t="str">
        <f aca="false">IF(C861="","",C861*IF(Settings!$B$23=Settings!$C$6,1,IF(Settings!$B$23="USD",1/INDEX(Settings!$B$29:$B$40,MONTH(A861)),INDEX(Settings!$B$29:$B$40,MONTH(A861)))))</f>
        <v/>
      </c>
    </row>
    <row r="862" customFormat="false" ht="15" hidden="false" customHeight="false" outlineLevel="0" collapsed="false">
      <c r="H862" s="0" t="str">
        <f aca="false">IF(B862="","",IF(COUNTIF(Campaigns!$A$7:$A$300,B862)&gt;0,"✓","⚠ add to Campaigns tab"))</f>
        <v/>
      </c>
      <c r="I862" s="84" t="str">
        <f aca="false">IF(C862="","",C862*IF(Settings!$B$23=Settings!$C$6,1,IF(Settings!$B$23="USD",1/INDEX(Settings!$B$29:$B$40,MONTH(A862)),INDEX(Settings!$B$29:$B$40,MONTH(A862)))))</f>
        <v/>
      </c>
    </row>
    <row r="863" customFormat="false" ht="15" hidden="false" customHeight="false" outlineLevel="0" collapsed="false">
      <c r="H863" s="0" t="str">
        <f aca="false">IF(B863="","",IF(COUNTIF(Campaigns!$A$7:$A$300,B863)&gt;0,"✓","⚠ add to Campaigns tab"))</f>
        <v/>
      </c>
      <c r="I863" s="84" t="str">
        <f aca="false">IF(C863="","",C863*IF(Settings!$B$23=Settings!$C$6,1,IF(Settings!$B$23="USD",1/INDEX(Settings!$B$29:$B$40,MONTH(A863)),INDEX(Settings!$B$29:$B$40,MONTH(A863)))))</f>
        <v/>
      </c>
    </row>
    <row r="864" customFormat="false" ht="15" hidden="false" customHeight="false" outlineLevel="0" collapsed="false">
      <c r="H864" s="0" t="str">
        <f aca="false">IF(B864="","",IF(COUNTIF(Campaigns!$A$7:$A$300,B864)&gt;0,"✓","⚠ add to Campaigns tab"))</f>
        <v/>
      </c>
      <c r="I864" s="84" t="str">
        <f aca="false">IF(C864="","",C864*IF(Settings!$B$23=Settings!$C$6,1,IF(Settings!$B$23="USD",1/INDEX(Settings!$B$29:$B$40,MONTH(A864)),INDEX(Settings!$B$29:$B$40,MONTH(A864)))))</f>
        <v/>
      </c>
    </row>
    <row r="865" customFormat="false" ht="15" hidden="false" customHeight="false" outlineLevel="0" collapsed="false">
      <c r="H865" s="0" t="str">
        <f aca="false">IF(B865="","",IF(COUNTIF(Campaigns!$A$7:$A$300,B865)&gt;0,"✓","⚠ add to Campaigns tab"))</f>
        <v/>
      </c>
      <c r="I865" s="84" t="str">
        <f aca="false">IF(C865="","",C865*IF(Settings!$B$23=Settings!$C$6,1,IF(Settings!$B$23="USD",1/INDEX(Settings!$B$29:$B$40,MONTH(A865)),INDEX(Settings!$B$29:$B$40,MONTH(A865)))))</f>
        <v/>
      </c>
    </row>
    <row r="866" customFormat="false" ht="15" hidden="false" customHeight="false" outlineLevel="0" collapsed="false">
      <c r="H866" s="0" t="str">
        <f aca="false">IF(B866="","",IF(COUNTIF(Campaigns!$A$7:$A$300,B866)&gt;0,"✓","⚠ add to Campaigns tab"))</f>
        <v/>
      </c>
      <c r="I866" s="84" t="str">
        <f aca="false">IF(C866="","",C866*IF(Settings!$B$23=Settings!$C$6,1,IF(Settings!$B$23="USD",1/INDEX(Settings!$B$29:$B$40,MONTH(A866)),INDEX(Settings!$B$29:$B$40,MONTH(A866)))))</f>
        <v/>
      </c>
    </row>
    <row r="867" customFormat="false" ht="15" hidden="false" customHeight="false" outlineLevel="0" collapsed="false">
      <c r="H867" s="0" t="str">
        <f aca="false">IF(B867="","",IF(COUNTIF(Campaigns!$A$7:$A$300,B867)&gt;0,"✓","⚠ add to Campaigns tab"))</f>
        <v/>
      </c>
      <c r="I867" s="84" t="str">
        <f aca="false">IF(C867="","",C867*IF(Settings!$B$23=Settings!$C$6,1,IF(Settings!$B$23="USD",1/INDEX(Settings!$B$29:$B$40,MONTH(A867)),INDEX(Settings!$B$29:$B$40,MONTH(A867)))))</f>
        <v/>
      </c>
    </row>
    <row r="868" customFormat="false" ht="15" hidden="false" customHeight="false" outlineLevel="0" collapsed="false">
      <c r="H868" s="0" t="str">
        <f aca="false">IF(B868="","",IF(COUNTIF(Campaigns!$A$7:$A$300,B868)&gt;0,"✓","⚠ add to Campaigns tab"))</f>
        <v/>
      </c>
      <c r="I868" s="84" t="str">
        <f aca="false">IF(C868="","",C868*IF(Settings!$B$23=Settings!$C$6,1,IF(Settings!$B$23="USD",1/INDEX(Settings!$B$29:$B$40,MONTH(A868)),INDEX(Settings!$B$29:$B$40,MONTH(A868)))))</f>
        <v/>
      </c>
    </row>
    <row r="869" customFormat="false" ht="15" hidden="false" customHeight="false" outlineLevel="0" collapsed="false">
      <c r="H869" s="0" t="str">
        <f aca="false">IF(B869="","",IF(COUNTIF(Campaigns!$A$7:$A$300,B869)&gt;0,"✓","⚠ add to Campaigns tab"))</f>
        <v/>
      </c>
      <c r="I869" s="84" t="str">
        <f aca="false">IF(C869="","",C869*IF(Settings!$B$23=Settings!$C$6,1,IF(Settings!$B$23="USD",1/INDEX(Settings!$B$29:$B$40,MONTH(A869)),INDEX(Settings!$B$29:$B$40,MONTH(A869)))))</f>
        <v/>
      </c>
    </row>
    <row r="870" customFormat="false" ht="15" hidden="false" customHeight="false" outlineLevel="0" collapsed="false">
      <c r="H870" s="0" t="str">
        <f aca="false">IF(B870="","",IF(COUNTIF(Campaigns!$A$7:$A$300,B870)&gt;0,"✓","⚠ add to Campaigns tab"))</f>
        <v/>
      </c>
      <c r="I870" s="84" t="str">
        <f aca="false">IF(C870="","",C870*IF(Settings!$B$23=Settings!$C$6,1,IF(Settings!$B$23="USD",1/INDEX(Settings!$B$29:$B$40,MONTH(A870)),INDEX(Settings!$B$29:$B$40,MONTH(A870)))))</f>
        <v/>
      </c>
    </row>
    <row r="871" customFormat="false" ht="15" hidden="false" customHeight="false" outlineLevel="0" collapsed="false">
      <c r="H871" s="0" t="str">
        <f aca="false">IF(B871="","",IF(COUNTIF(Campaigns!$A$7:$A$300,B871)&gt;0,"✓","⚠ add to Campaigns tab"))</f>
        <v/>
      </c>
      <c r="I871" s="84" t="str">
        <f aca="false">IF(C871="","",C871*IF(Settings!$B$23=Settings!$C$6,1,IF(Settings!$B$23="USD",1/INDEX(Settings!$B$29:$B$40,MONTH(A871)),INDEX(Settings!$B$29:$B$40,MONTH(A871)))))</f>
        <v/>
      </c>
    </row>
    <row r="872" customFormat="false" ht="15" hidden="false" customHeight="false" outlineLevel="0" collapsed="false">
      <c r="H872" s="0" t="str">
        <f aca="false">IF(B872="","",IF(COUNTIF(Campaigns!$A$7:$A$300,B872)&gt;0,"✓","⚠ add to Campaigns tab"))</f>
        <v/>
      </c>
      <c r="I872" s="84" t="str">
        <f aca="false">IF(C872="","",C872*IF(Settings!$B$23=Settings!$C$6,1,IF(Settings!$B$23="USD",1/INDEX(Settings!$B$29:$B$40,MONTH(A872)),INDEX(Settings!$B$29:$B$40,MONTH(A872)))))</f>
        <v/>
      </c>
    </row>
    <row r="873" customFormat="false" ht="15" hidden="false" customHeight="false" outlineLevel="0" collapsed="false">
      <c r="H873" s="0" t="str">
        <f aca="false">IF(B873="","",IF(COUNTIF(Campaigns!$A$7:$A$300,B873)&gt;0,"✓","⚠ add to Campaigns tab"))</f>
        <v/>
      </c>
      <c r="I873" s="84" t="str">
        <f aca="false">IF(C873="","",C873*IF(Settings!$B$23=Settings!$C$6,1,IF(Settings!$B$23="USD",1/INDEX(Settings!$B$29:$B$40,MONTH(A873)),INDEX(Settings!$B$29:$B$40,MONTH(A873)))))</f>
        <v/>
      </c>
    </row>
    <row r="874" customFormat="false" ht="15" hidden="false" customHeight="false" outlineLevel="0" collapsed="false">
      <c r="H874" s="0" t="str">
        <f aca="false">IF(B874="","",IF(COUNTIF(Campaigns!$A$7:$A$300,B874)&gt;0,"✓","⚠ add to Campaigns tab"))</f>
        <v/>
      </c>
      <c r="I874" s="84" t="str">
        <f aca="false">IF(C874="","",C874*IF(Settings!$B$23=Settings!$C$6,1,IF(Settings!$B$23="USD",1/INDEX(Settings!$B$29:$B$40,MONTH(A874)),INDEX(Settings!$B$29:$B$40,MONTH(A874)))))</f>
        <v/>
      </c>
    </row>
    <row r="875" customFormat="false" ht="15" hidden="false" customHeight="false" outlineLevel="0" collapsed="false">
      <c r="H875" s="0" t="str">
        <f aca="false">IF(B875="","",IF(COUNTIF(Campaigns!$A$7:$A$300,B875)&gt;0,"✓","⚠ add to Campaigns tab"))</f>
        <v/>
      </c>
      <c r="I875" s="84" t="str">
        <f aca="false">IF(C875="","",C875*IF(Settings!$B$23=Settings!$C$6,1,IF(Settings!$B$23="USD",1/INDEX(Settings!$B$29:$B$40,MONTH(A875)),INDEX(Settings!$B$29:$B$40,MONTH(A875)))))</f>
        <v/>
      </c>
    </row>
    <row r="876" customFormat="false" ht="15" hidden="false" customHeight="false" outlineLevel="0" collapsed="false">
      <c r="H876" s="0" t="str">
        <f aca="false">IF(B876="","",IF(COUNTIF(Campaigns!$A$7:$A$300,B876)&gt;0,"✓","⚠ add to Campaigns tab"))</f>
        <v/>
      </c>
      <c r="I876" s="84" t="str">
        <f aca="false">IF(C876="","",C876*IF(Settings!$B$23=Settings!$C$6,1,IF(Settings!$B$23="USD",1/INDEX(Settings!$B$29:$B$40,MONTH(A876)),INDEX(Settings!$B$29:$B$40,MONTH(A876)))))</f>
        <v/>
      </c>
    </row>
    <row r="877" customFormat="false" ht="15" hidden="false" customHeight="false" outlineLevel="0" collapsed="false">
      <c r="H877" s="0" t="str">
        <f aca="false">IF(B877="","",IF(COUNTIF(Campaigns!$A$7:$A$300,B877)&gt;0,"✓","⚠ add to Campaigns tab"))</f>
        <v/>
      </c>
      <c r="I877" s="84" t="str">
        <f aca="false">IF(C877="","",C877*IF(Settings!$B$23=Settings!$C$6,1,IF(Settings!$B$23="USD",1/INDEX(Settings!$B$29:$B$40,MONTH(A877)),INDEX(Settings!$B$29:$B$40,MONTH(A877)))))</f>
        <v/>
      </c>
    </row>
    <row r="878" customFormat="false" ht="15" hidden="false" customHeight="false" outlineLevel="0" collapsed="false">
      <c r="H878" s="0" t="str">
        <f aca="false">IF(B878="","",IF(COUNTIF(Campaigns!$A$7:$A$300,B878)&gt;0,"✓","⚠ add to Campaigns tab"))</f>
        <v/>
      </c>
      <c r="I878" s="84" t="str">
        <f aca="false">IF(C878="","",C878*IF(Settings!$B$23=Settings!$C$6,1,IF(Settings!$B$23="USD",1/INDEX(Settings!$B$29:$B$40,MONTH(A878)),INDEX(Settings!$B$29:$B$40,MONTH(A878)))))</f>
        <v/>
      </c>
    </row>
    <row r="879" customFormat="false" ht="15" hidden="false" customHeight="false" outlineLevel="0" collapsed="false">
      <c r="H879" s="0" t="str">
        <f aca="false">IF(B879="","",IF(COUNTIF(Campaigns!$A$7:$A$300,B879)&gt;0,"✓","⚠ add to Campaigns tab"))</f>
        <v/>
      </c>
      <c r="I879" s="84" t="str">
        <f aca="false">IF(C879="","",C879*IF(Settings!$B$23=Settings!$C$6,1,IF(Settings!$B$23="USD",1/INDEX(Settings!$B$29:$B$40,MONTH(A879)),INDEX(Settings!$B$29:$B$40,MONTH(A879)))))</f>
        <v/>
      </c>
    </row>
    <row r="880" customFormat="false" ht="15" hidden="false" customHeight="false" outlineLevel="0" collapsed="false">
      <c r="H880" s="0" t="str">
        <f aca="false">IF(B880="","",IF(COUNTIF(Campaigns!$A$7:$A$300,B880)&gt;0,"✓","⚠ add to Campaigns tab"))</f>
        <v/>
      </c>
      <c r="I880" s="84" t="str">
        <f aca="false">IF(C880="","",C880*IF(Settings!$B$23=Settings!$C$6,1,IF(Settings!$B$23="USD",1/INDEX(Settings!$B$29:$B$40,MONTH(A880)),INDEX(Settings!$B$29:$B$40,MONTH(A880)))))</f>
        <v/>
      </c>
    </row>
    <row r="881" customFormat="false" ht="15" hidden="false" customHeight="false" outlineLevel="0" collapsed="false">
      <c r="H881" s="0" t="str">
        <f aca="false">IF(B881="","",IF(COUNTIF(Campaigns!$A$7:$A$300,B881)&gt;0,"✓","⚠ add to Campaigns tab"))</f>
        <v/>
      </c>
      <c r="I881" s="84" t="str">
        <f aca="false">IF(C881="","",C881*IF(Settings!$B$23=Settings!$C$6,1,IF(Settings!$B$23="USD",1/INDEX(Settings!$B$29:$B$40,MONTH(A881)),INDEX(Settings!$B$29:$B$40,MONTH(A881)))))</f>
        <v/>
      </c>
    </row>
    <row r="882" customFormat="false" ht="15" hidden="false" customHeight="false" outlineLevel="0" collapsed="false">
      <c r="H882" s="0" t="str">
        <f aca="false">IF(B882="","",IF(COUNTIF(Campaigns!$A$7:$A$300,B882)&gt;0,"✓","⚠ add to Campaigns tab"))</f>
        <v/>
      </c>
      <c r="I882" s="84" t="str">
        <f aca="false">IF(C882="","",C882*IF(Settings!$B$23=Settings!$C$6,1,IF(Settings!$B$23="USD",1/INDEX(Settings!$B$29:$B$40,MONTH(A882)),INDEX(Settings!$B$29:$B$40,MONTH(A882)))))</f>
        <v/>
      </c>
    </row>
    <row r="883" customFormat="false" ht="15" hidden="false" customHeight="false" outlineLevel="0" collapsed="false">
      <c r="H883" s="0" t="str">
        <f aca="false">IF(B883="","",IF(COUNTIF(Campaigns!$A$7:$A$300,B883)&gt;0,"✓","⚠ add to Campaigns tab"))</f>
        <v/>
      </c>
      <c r="I883" s="84" t="str">
        <f aca="false">IF(C883="","",C883*IF(Settings!$B$23=Settings!$C$6,1,IF(Settings!$B$23="USD",1/INDEX(Settings!$B$29:$B$40,MONTH(A883)),INDEX(Settings!$B$29:$B$40,MONTH(A883)))))</f>
        <v/>
      </c>
    </row>
    <row r="884" customFormat="false" ht="15" hidden="false" customHeight="false" outlineLevel="0" collapsed="false">
      <c r="H884" s="0" t="str">
        <f aca="false">IF(B884="","",IF(COUNTIF(Campaigns!$A$7:$A$300,B884)&gt;0,"✓","⚠ add to Campaigns tab"))</f>
        <v/>
      </c>
      <c r="I884" s="84" t="str">
        <f aca="false">IF(C884="","",C884*IF(Settings!$B$23=Settings!$C$6,1,IF(Settings!$B$23="USD",1/INDEX(Settings!$B$29:$B$40,MONTH(A884)),INDEX(Settings!$B$29:$B$40,MONTH(A884)))))</f>
        <v/>
      </c>
    </row>
    <row r="885" customFormat="false" ht="15" hidden="false" customHeight="false" outlineLevel="0" collapsed="false">
      <c r="H885" s="0" t="str">
        <f aca="false">IF(B885="","",IF(COUNTIF(Campaigns!$A$7:$A$300,B885)&gt;0,"✓","⚠ add to Campaigns tab"))</f>
        <v/>
      </c>
      <c r="I885" s="84" t="str">
        <f aca="false">IF(C885="","",C885*IF(Settings!$B$23=Settings!$C$6,1,IF(Settings!$B$23="USD",1/INDEX(Settings!$B$29:$B$40,MONTH(A885)),INDEX(Settings!$B$29:$B$40,MONTH(A885)))))</f>
        <v/>
      </c>
    </row>
    <row r="886" customFormat="false" ht="15" hidden="false" customHeight="false" outlineLevel="0" collapsed="false">
      <c r="H886" s="0" t="str">
        <f aca="false">IF(B886="","",IF(COUNTIF(Campaigns!$A$7:$A$300,B886)&gt;0,"✓","⚠ add to Campaigns tab"))</f>
        <v/>
      </c>
      <c r="I886" s="84" t="str">
        <f aca="false">IF(C886="","",C886*IF(Settings!$B$23=Settings!$C$6,1,IF(Settings!$B$23="USD",1/INDEX(Settings!$B$29:$B$40,MONTH(A886)),INDEX(Settings!$B$29:$B$40,MONTH(A886)))))</f>
        <v/>
      </c>
    </row>
    <row r="887" customFormat="false" ht="15" hidden="false" customHeight="false" outlineLevel="0" collapsed="false">
      <c r="H887" s="0" t="str">
        <f aca="false">IF(B887="","",IF(COUNTIF(Campaigns!$A$7:$A$300,B887)&gt;0,"✓","⚠ add to Campaigns tab"))</f>
        <v/>
      </c>
      <c r="I887" s="84" t="str">
        <f aca="false">IF(C887="","",C887*IF(Settings!$B$23=Settings!$C$6,1,IF(Settings!$B$23="USD",1/INDEX(Settings!$B$29:$B$40,MONTH(A887)),INDEX(Settings!$B$29:$B$40,MONTH(A887)))))</f>
        <v/>
      </c>
    </row>
    <row r="888" customFormat="false" ht="15" hidden="false" customHeight="false" outlineLevel="0" collapsed="false">
      <c r="H888" s="0" t="str">
        <f aca="false">IF(B888="","",IF(COUNTIF(Campaigns!$A$7:$A$300,B888)&gt;0,"✓","⚠ add to Campaigns tab"))</f>
        <v/>
      </c>
      <c r="I888" s="84" t="str">
        <f aca="false">IF(C888="","",C888*IF(Settings!$B$23=Settings!$C$6,1,IF(Settings!$B$23="USD",1/INDEX(Settings!$B$29:$B$40,MONTH(A888)),INDEX(Settings!$B$29:$B$40,MONTH(A888)))))</f>
        <v/>
      </c>
    </row>
    <row r="889" customFormat="false" ht="15" hidden="false" customHeight="false" outlineLevel="0" collapsed="false">
      <c r="H889" s="0" t="str">
        <f aca="false">IF(B889="","",IF(COUNTIF(Campaigns!$A$7:$A$300,B889)&gt;0,"✓","⚠ add to Campaigns tab"))</f>
        <v/>
      </c>
      <c r="I889" s="84" t="str">
        <f aca="false">IF(C889="","",C889*IF(Settings!$B$23=Settings!$C$6,1,IF(Settings!$B$23="USD",1/INDEX(Settings!$B$29:$B$40,MONTH(A889)),INDEX(Settings!$B$29:$B$40,MONTH(A889)))))</f>
        <v/>
      </c>
    </row>
    <row r="890" customFormat="false" ht="15" hidden="false" customHeight="false" outlineLevel="0" collapsed="false">
      <c r="H890" s="0" t="str">
        <f aca="false">IF(B890="","",IF(COUNTIF(Campaigns!$A$7:$A$300,B890)&gt;0,"✓","⚠ add to Campaigns tab"))</f>
        <v/>
      </c>
      <c r="I890" s="84" t="str">
        <f aca="false">IF(C890="","",C890*IF(Settings!$B$23=Settings!$C$6,1,IF(Settings!$B$23="USD",1/INDEX(Settings!$B$29:$B$40,MONTH(A890)),INDEX(Settings!$B$29:$B$40,MONTH(A890)))))</f>
        <v/>
      </c>
    </row>
    <row r="891" customFormat="false" ht="15" hidden="false" customHeight="false" outlineLevel="0" collapsed="false">
      <c r="H891" s="0" t="str">
        <f aca="false">IF(B891="","",IF(COUNTIF(Campaigns!$A$7:$A$300,B891)&gt;0,"✓","⚠ add to Campaigns tab"))</f>
        <v/>
      </c>
      <c r="I891" s="84" t="str">
        <f aca="false">IF(C891="","",C891*IF(Settings!$B$23=Settings!$C$6,1,IF(Settings!$B$23="USD",1/INDEX(Settings!$B$29:$B$40,MONTH(A891)),INDEX(Settings!$B$29:$B$40,MONTH(A891)))))</f>
        <v/>
      </c>
    </row>
    <row r="892" customFormat="false" ht="15" hidden="false" customHeight="false" outlineLevel="0" collapsed="false">
      <c r="H892" s="0" t="str">
        <f aca="false">IF(B892="","",IF(COUNTIF(Campaigns!$A$7:$A$300,B892)&gt;0,"✓","⚠ add to Campaigns tab"))</f>
        <v/>
      </c>
      <c r="I892" s="84" t="str">
        <f aca="false">IF(C892="","",C892*IF(Settings!$B$23=Settings!$C$6,1,IF(Settings!$B$23="USD",1/INDEX(Settings!$B$29:$B$40,MONTH(A892)),INDEX(Settings!$B$29:$B$40,MONTH(A892)))))</f>
        <v/>
      </c>
    </row>
    <row r="893" customFormat="false" ht="15" hidden="false" customHeight="false" outlineLevel="0" collapsed="false">
      <c r="H893" s="0" t="str">
        <f aca="false">IF(B893="","",IF(COUNTIF(Campaigns!$A$7:$A$300,B893)&gt;0,"✓","⚠ add to Campaigns tab"))</f>
        <v/>
      </c>
      <c r="I893" s="84" t="str">
        <f aca="false">IF(C893="","",C893*IF(Settings!$B$23=Settings!$C$6,1,IF(Settings!$B$23="USD",1/INDEX(Settings!$B$29:$B$40,MONTH(A893)),INDEX(Settings!$B$29:$B$40,MONTH(A893)))))</f>
        <v/>
      </c>
    </row>
    <row r="894" customFormat="false" ht="15" hidden="false" customHeight="false" outlineLevel="0" collapsed="false">
      <c r="H894" s="0" t="str">
        <f aca="false">IF(B894="","",IF(COUNTIF(Campaigns!$A$7:$A$300,B894)&gt;0,"✓","⚠ add to Campaigns tab"))</f>
        <v/>
      </c>
      <c r="I894" s="84" t="str">
        <f aca="false">IF(C894="","",C894*IF(Settings!$B$23=Settings!$C$6,1,IF(Settings!$B$23="USD",1/INDEX(Settings!$B$29:$B$40,MONTH(A894)),INDEX(Settings!$B$29:$B$40,MONTH(A894)))))</f>
        <v/>
      </c>
    </row>
    <row r="895" customFormat="false" ht="15" hidden="false" customHeight="false" outlineLevel="0" collapsed="false">
      <c r="H895" s="0" t="str">
        <f aca="false">IF(B895="","",IF(COUNTIF(Campaigns!$A$7:$A$300,B895)&gt;0,"✓","⚠ add to Campaigns tab"))</f>
        <v/>
      </c>
      <c r="I895" s="84" t="str">
        <f aca="false">IF(C895="","",C895*IF(Settings!$B$23=Settings!$C$6,1,IF(Settings!$B$23="USD",1/INDEX(Settings!$B$29:$B$40,MONTH(A895)),INDEX(Settings!$B$29:$B$40,MONTH(A895)))))</f>
        <v/>
      </c>
    </row>
    <row r="896" customFormat="false" ht="15" hidden="false" customHeight="false" outlineLevel="0" collapsed="false">
      <c r="H896" s="0" t="str">
        <f aca="false">IF(B896="","",IF(COUNTIF(Campaigns!$A$7:$A$300,B896)&gt;0,"✓","⚠ add to Campaigns tab"))</f>
        <v/>
      </c>
      <c r="I896" s="84" t="str">
        <f aca="false">IF(C896="","",C896*IF(Settings!$B$23=Settings!$C$6,1,IF(Settings!$B$23="USD",1/INDEX(Settings!$B$29:$B$40,MONTH(A896)),INDEX(Settings!$B$29:$B$40,MONTH(A896)))))</f>
        <v/>
      </c>
    </row>
    <row r="897" customFormat="false" ht="15" hidden="false" customHeight="false" outlineLevel="0" collapsed="false">
      <c r="H897" s="0" t="str">
        <f aca="false">IF(B897="","",IF(COUNTIF(Campaigns!$A$7:$A$300,B897)&gt;0,"✓","⚠ add to Campaigns tab"))</f>
        <v/>
      </c>
      <c r="I897" s="84" t="str">
        <f aca="false">IF(C897="","",C897*IF(Settings!$B$23=Settings!$C$6,1,IF(Settings!$B$23="USD",1/INDEX(Settings!$B$29:$B$40,MONTH(A897)),INDEX(Settings!$B$29:$B$40,MONTH(A897)))))</f>
        <v/>
      </c>
    </row>
    <row r="898" customFormat="false" ht="15" hidden="false" customHeight="false" outlineLevel="0" collapsed="false">
      <c r="H898" s="0" t="str">
        <f aca="false">IF(B898="","",IF(COUNTIF(Campaigns!$A$7:$A$300,B898)&gt;0,"✓","⚠ add to Campaigns tab"))</f>
        <v/>
      </c>
      <c r="I898" s="84" t="str">
        <f aca="false">IF(C898="","",C898*IF(Settings!$B$23=Settings!$C$6,1,IF(Settings!$B$23="USD",1/INDEX(Settings!$B$29:$B$40,MONTH(A898)),INDEX(Settings!$B$29:$B$40,MONTH(A898)))))</f>
        <v/>
      </c>
    </row>
    <row r="899" customFormat="false" ht="15" hidden="false" customHeight="false" outlineLevel="0" collapsed="false">
      <c r="H899" s="0" t="str">
        <f aca="false">IF(B899="","",IF(COUNTIF(Campaigns!$A$7:$A$300,B899)&gt;0,"✓","⚠ add to Campaigns tab"))</f>
        <v/>
      </c>
      <c r="I899" s="84" t="str">
        <f aca="false">IF(C899="","",C899*IF(Settings!$B$23=Settings!$C$6,1,IF(Settings!$B$23="USD",1/INDEX(Settings!$B$29:$B$40,MONTH(A899)),INDEX(Settings!$B$29:$B$40,MONTH(A899)))))</f>
        <v/>
      </c>
    </row>
    <row r="900" customFormat="false" ht="15" hidden="false" customHeight="false" outlineLevel="0" collapsed="false">
      <c r="H900" s="0" t="str">
        <f aca="false">IF(B900="","",IF(COUNTIF(Campaigns!$A$7:$A$300,B900)&gt;0,"✓","⚠ add to Campaigns tab"))</f>
        <v/>
      </c>
      <c r="I900" s="84" t="str">
        <f aca="false">IF(C900="","",C900*IF(Settings!$B$23=Settings!$C$6,1,IF(Settings!$B$23="USD",1/INDEX(Settings!$B$29:$B$40,MONTH(A900)),INDEX(Settings!$B$29:$B$40,MONTH(A900)))))</f>
        <v/>
      </c>
    </row>
    <row r="901" customFormat="false" ht="15" hidden="false" customHeight="false" outlineLevel="0" collapsed="false">
      <c r="H901" s="0" t="str">
        <f aca="false">IF(B901="","",IF(COUNTIF(Campaigns!$A$7:$A$300,B901)&gt;0,"✓","⚠ add to Campaigns tab"))</f>
        <v/>
      </c>
      <c r="I901" s="84" t="str">
        <f aca="false">IF(C901="","",C901*IF(Settings!$B$23=Settings!$C$6,1,IF(Settings!$B$23="USD",1/INDEX(Settings!$B$29:$B$40,MONTH(A901)),INDEX(Settings!$B$29:$B$40,MONTH(A901)))))</f>
        <v/>
      </c>
    </row>
    <row r="902" customFormat="false" ht="15" hidden="false" customHeight="false" outlineLevel="0" collapsed="false">
      <c r="H902" s="0" t="str">
        <f aca="false">IF(B902="","",IF(COUNTIF(Campaigns!$A$7:$A$300,B902)&gt;0,"✓","⚠ add to Campaigns tab"))</f>
        <v/>
      </c>
      <c r="I902" s="84" t="str">
        <f aca="false">IF(C902="","",C902*IF(Settings!$B$23=Settings!$C$6,1,IF(Settings!$B$23="USD",1/INDEX(Settings!$B$29:$B$40,MONTH(A902)),INDEX(Settings!$B$29:$B$40,MONTH(A902)))))</f>
        <v/>
      </c>
    </row>
    <row r="903" customFormat="false" ht="15" hidden="false" customHeight="false" outlineLevel="0" collapsed="false">
      <c r="H903" s="0" t="str">
        <f aca="false">IF(B903="","",IF(COUNTIF(Campaigns!$A$7:$A$300,B903)&gt;0,"✓","⚠ add to Campaigns tab"))</f>
        <v/>
      </c>
      <c r="I903" s="84" t="str">
        <f aca="false">IF(C903="","",C903*IF(Settings!$B$23=Settings!$C$6,1,IF(Settings!$B$23="USD",1/INDEX(Settings!$B$29:$B$40,MONTH(A903)),INDEX(Settings!$B$29:$B$40,MONTH(A903)))))</f>
        <v/>
      </c>
    </row>
    <row r="904" customFormat="false" ht="15" hidden="false" customHeight="false" outlineLevel="0" collapsed="false">
      <c r="H904" s="0" t="str">
        <f aca="false">IF(B904="","",IF(COUNTIF(Campaigns!$A$7:$A$300,B904)&gt;0,"✓","⚠ add to Campaigns tab"))</f>
        <v/>
      </c>
      <c r="I904" s="84" t="str">
        <f aca="false">IF(C904="","",C904*IF(Settings!$B$23=Settings!$C$6,1,IF(Settings!$B$23="USD",1/INDEX(Settings!$B$29:$B$40,MONTH(A904)),INDEX(Settings!$B$29:$B$40,MONTH(A904)))))</f>
        <v/>
      </c>
    </row>
    <row r="905" customFormat="false" ht="15" hidden="false" customHeight="false" outlineLevel="0" collapsed="false">
      <c r="H905" s="0" t="str">
        <f aca="false">IF(B905="","",IF(COUNTIF(Campaigns!$A$7:$A$300,B905)&gt;0,"✓","⚠ add to Campaigns tab"))</f>
        <v/>
      </c>
      <c r="I905" s="84" t="str">
        <f aca="false">IF(C905="","",C905*IF(Settings!$B$23=Settings!$C$6,1,IF(Settings!$B$23="USD",1/INDEX(Settings!$B$29:$B$40,MONTH(A905)),INDEX(Settings!$B$29:$B$40,MONTH(A905)))))</f>
        <v/>
      </c>
    </row>
    <row r="906" customFormat="false" ht="15" hidden="false" customHeight="false" outlineLevel="0" collapsed="false">
      <c r="H906" s="0" t="str">
        <f aca="false">IF(B906="","",IF(COUNTIF(Campaigns!$A$7:$A$300,B906)&gt;0,"✓","⚠ add to Campaigns tab"))</f>
        <v/>
      </c>
      <c r="I906" s="84" t="str">
        <f aca="false">IF(C906="","",C906*IF(Settings!$B$23=Settings!$C$6,1,IF(Settings!$B$23="USD",1/INDEX(Settings!$B$29:$B$40,MONTH(A906)),INDEX(Settings!$B$29:$B$40,MONTH(A906)))))</f>
        <v/>
      </c>
    </row>
    <row r="907" customFormat="false" ht="15" hidden="false" customHeight="false" outlineLevel="0" collapsed="false">
      <c r="H907" s="0" t="str">
        <f aca="false">IF(B907="","",IF(COUNTIF(Campaigns!$A$7:$A$300,B907)&gt;0,"✓","⚠ add to Campaigns tab"))</f>
        <v/>
      </c>
      <c r="I907" s="84" t="str">
        <f aca="false">IF(C907="","",C907*IF(Settings!$B$23=Settings!$C$6,1,IF(Settings!$B$23="USD",1/INDEX(Settings!$B$29:$B$40,MONTH(A907)),INDEX(Settings!$B$29:$B$40,MONTH(A907)))))</f>
        <v/>
      </c>
    </row>
    <row r="908" customFormat="false" ht="15" hidden="false" customHeight="false" outlineLevel="0" collapsed="false">
      <c r="H908" s="0" t="str">
        <f aca="false">IF(B908="","",IF(COUNTIF(Campaigns!$A$7:$A$300,B908)&gt;0,"✓","⚠ add to Campaigns tab"))</f>
        <v/>
      </c>
      <c r="I908" s="84" t="str">
        <f aca="false">IF(C908="","",C908*IF(Settings!$B$23=Settings!$C$6,1,IF(Settings!$B$23="USD",1/INDEX(Settings!$B$29:$B$40,MONTH(A908)),INDEX(Settings!$B$29:$B$40,MONTH(A908)))))</f>
        <v/>
      </c>
    </row>
    <row r="909" customFormat="false" ht="15" hidden="false" customHeight="false" outlineLevel="0" collapsed="false">
      <c r="H909" s="0" t="str">
        <f aca="false">IF(B909="","",IF(COUNTIF(Campaigns!$A$7:$A$300,B909)&gt;0,"✓","⚠ add to Campaigns tab"))</f>
        <v/>
      </c>
      <c r="I909" s="84" t="str">
        <f aca="false">IF(C909="","",C909*IF(Settings!$B$23=Settings!$C$6,1,IF(Settings!$B$23="USD",1/INDEX(Settings!$B$29:$B$40,MONTH(A909)),INDEX(Settings!$B$29:$B$40,MONTH(A909)))))</f>
        <v/>
      </c>
    </row>
    <row r="910" customFormat="false" ht="15" hidden="false" customHeight="false" outlineLevel="0" collapsed="false">
      <c r="H910" s="0" t="str">
        <f aca="false">IF(B910="","",IF(COUNTIF(Campaigns!$A$7:$A$300,B910)&gt;0,"✓","⚠ add to Campaigns tab"))</f>
        <v/>
      </c>
      <c r="I910" s="84" t="str">
        <f aca="false">IF(C910="","",C910*IF(Settings!$B$23=Settings!$C$6,1,IF(Settings!$B$23="USD",1/INDEX(Settings!$B$29:$B$40,MONTH(A910)),INDEX(Settings!$B$29:$B$40,MONTH(A910)))))</f>
        <v/>
      </c>
    </row>
    <row r="911" customFormat="false" ht="15" hidden="false" customHeight="false" outlineLevel="0" collapsed="false">
      <c r="H911" s="0" t="str">
        <f aca="false">IF(B911="","",IF(COUNTIF(Campaigns!$A$7:$A$300,B911)&gt;0,"✓","⚠ add to Campaigns tab"))</f>
        <v/>
      </c>
      <c r="I911" s="84" t="str">
        <f aca="false">IF(C911="","",C911*IF(Settings!$B$23=Settings!$C$6,1,IF(Settings!$B$23="USD",1/INDEX(Settings!$B$29:$B$40,MONTH(A911)),INDEX(Settings!$B$29:$B$40,MONTH(A911)))))</f>
        <v/>
      </c>
    </row>
    <row r="912" customFormat="false" ht="15" hidden="false" customHeight="false" outlineLevel="0" collapsed="false">
      <c r="H912" s="0" t="str">
        <f aca="false">IF(B912="","",IF(COUNTIF(Campaigns!$A$7:$A$300,B912)&gt;0,"✓","⚠ add to Campaigns tab"))</f>
        <v/>
      </c>
      <c r="I912" s="84" t="str">
        <f aca="false">IF(C912="","",C912*IF(Settings!$B$23=Settings!$C$6,1,IF(Settings!$B$23="USD",1/INDEX(Settings!$B$29:$B$40,MONTH(A912)),INDEX(Settings!$B$29:$B$40,MONTH(A912)))))</f>
        <v/>
      </c>
    </row>
    <row r="913" customFormat="false" ht="15" hidden="false" customHeight="false" outlineLevel="0" collapsed="false">
      <c r="H913" s="0" t="str">
        <f aca="false">IF(B913="","",IF(COUNTIF(Campaigns!$A$7:$A$300,B913)&gt;0,"✓","⚠ add to Campaigns tab"))</f>
        <v/>
      </c>
      <c r="I913" s="84" t="str">
        <f aca="false">IF(C913="","",C913*IF(Settings!$B$23=Settings!$C$6,1,IF(Settings!$B$23="USD",1/INDEX(Settings!$B$29:$B$40,MONTH(A913)),INDEX(Settings!$B$29:$B$40,MONTH(A913)))))</f>
        <v/>
      </c>
    </row>
    <row r="914" customFormat="false" ht="15" hidden="false" customHeight="false" outlineLevel="0" collapsed="false">
      <c r="H914" s="0" t="str">
        <f aca="false">IF(B914="","",IF(COUNTIF(Campaigns!$A$7:$A$300,B914)&gt;0,"✓","⚠ add to Campaigns tab"))</f>
        <v/>
      </c>
      <c r="I914" s="84" t="str">
        <f aca="false">IF(C914="","",C914*IF(Settings!$B$23=Settings!$C$6,1,IF(Settings!$B$23="USD",1/INDEX(Settings!$B$29:$B$40,MONTH(A914)),INDEX(Settings!$B$29:$B$40,MONTH(A914)))))</f>
        <v/>
      </c>
    </row>
    <row r="915" customFormat="false" ht="15" hidden="false" customHeight="false" outlineLevel="0" collapsed="false">
      <c r="H915" s="0" t="str">
        <f aca="false">IF(B915="","",IF(COUNTIF(Campaigns!$A$7:$A$300,B915)&gt;0,"✓","⚠ add to Campaigns tab"))</f>
        <v/>
      </c>
      <c r="I915" s="84" t="str">
        <f aca="false">IF(C915="","",C915*IF(Settings!$B$23=Settings!$C$6,1,IF(Settings!$B$23="USD",1/INDEX(Settings!$B$29:$B$40,MONTH(A915)),INDEX(Settings!$B$29:$B$40,MONTH(A915)))))</f>
        <v/>
      </c>
    </row>
    <row r="916" customFormat="false" ht="15" hidden="false" customHeight="false" outlineLevel="0" collapsed="false">
      <c r="H916" s="0" t="str">
        <f aca="false">IF(B916="","",IF(COUNTIF(Campaigns!$A$7:$A$300,B916)&gt;0,"✓","⚠ add to Campaigns tab"))</f>
        <v/>
      </c>
      <c r="I916" s="84" t="str">
        <f aca="false">IF(C916="","",C916*IF(Settings!$B$23=Settings!$C$6,1,IF(Settings!$B$23="USD",1/INDEX(Settings!$B$29:$B$40,MONTH(A916)),INDEX(Settings!$B$29:$B$40,MONTH(A916)))))</f>
        <v/>
      </c>
    </row>
    <row r="917" customFormat="false" ht="15" hidden="false" customHeight="false" outlineLevel="0" collapsed="false">
      <c r="H917" s="0" t="str">
        <f aca="false">IF(B917="","",IF(COUNTIF(Campaigns!$A$7:$A$300,B917)&gt;0,"✓","⚠ add to Campaigns tab"))</f>
        <v/>
      </c>
      <c r="I917" s="84" t="str">
        <f aca="false">IF(C917="","",C917*IF(Settings!$B$23=Settings!$C$6,1,IF(Settings!$B$23="USD",1/INDEX(Settings!$B$29:$B$40,MONTH(A917)),INDEX(Settings!$B$29:$B$40,MONTH(A917)))))</f>
        <v/>
      </c>
    </row>
    <row r="918" customFormat="false" ht="15" hidden="false" customHeight="false" outlineLevel="0" collapsed="false">
      <c r="H918" s="0" t="str">
        <f aca="false">IF(B918="","",IF(COUNTIF(Campaigns!$A$7:$A$300,B918)&gt;0,"✓","⚠ add to Campaigns tab"))</f>
        <v/>
      </c>
      <c r="I918" s="84" t="str">
        <f aca="false">IF(C918="","",C918*IF(Settings!$B$23=Settings!$C$6,1,IF(Settings!$B$23="USD",1/INDEX(Settings!$B$29:$B$40,MONTH(A918)),INDEX(Settings!$B$29:$B$40,MONTH(A918)))))</f>
        <v/>
      </c>
    </row>
    <row r="919" customFormat="false" ht="15" hidden="false" customHeight="false" outlineLevel="0" collapsed="false">
      <c r="H919" s="0" t="str">
        <f aca="false">IF(B919="","",IF(COUNTIF(Campaigns!$A$7:$A$300,B919)&gt;0,"✓","⚠ add to Campaigns tab"))</f>
        <v/>
      </c>
      <c r="I919" s="84" t="str">
        <f aca="false">IF(C919="","",C919*IF(Settings!$B$23=Settings!$C$6,1,IF(Settings!$B$23="USD",1/INDEX(Settings!$B$29:$B$40,MONTH(A919)),INDEX(Settings!$B$29:$B$40,MONTH(A919)))))</f>
        <v/>
      </c>
    </row>
    <row r="920" customFormat="false" ht="15" hidden="false" customHeight="false" outlineLevel="0" collapsed="false">
      <c r="H920" s="0" t="str">
        <f aca="false">IF(B920="","",IF(COUNTIF(Campaigns!$A$7:$A$300,B920)&gt;0,"✓","⚠ add to Campaigns tab"))</f>
        <v/>
      </c>
      <c r="I920" s="84" t="str">
        <f aca="false">IF(C920="","",C920*IF(Settings!$B$23=Settings!$C$6,1,IF(Settings!$B$23="USD",1/INDEX(Settings!$B$29:$B$40,MONTH(A920)),INDEX(Settings!$B$29:$B$40,MONTH(A920)))))</f>
        <v/>
      </c>
    </row>
    <row r="921" customFormat="false" ht="15" hidden="false" customHeight="false" outlineLevel="0" collapsed="false">
      <c r="H921" s="0" t="str">
        <f aca="false">IF(B921="","",IF(COUNTIF(Campaigns!$A$7:$A$300,B921)&gt;0,"✓","⚠ add to Campaigns tab"))</f>
        <v/>
      </c>
      <c r="I921" s="84" t="str">
        <f aca="false">IF(C921="","",C921*IF(Settings!$B$23=Settings!$C$6,1,IF(Settings!$B$23="USD",1/INDEX(Settings!$B$29:$B$40,MONTH(A921)),INDEX(Settings!$B$29:$B$40,MONTH(A921)))))</f>
        <v/>
      </c>
    </row>
    <row r="922" customFormat="false" ht="15" hidden="false" customHeight="false" outlineLevel="0" collapsed="false">
      <c r="H922" s="0" t="str">
        <f aca="false">IF(B922="","",IF(COUNTIF(Campaigns!$A$7:$A$300,B922)&gt;0,"✓","⚠ add to Campaigns tab"))</f>
        <v/>
      </c>
      <c r="I922" s="84" t="str">
        <f aca="false">IF(C922="","",C922*IF(Settings!$B$23=Settings!$C$6,1,IF(Settings!$B$23="USD",1/INDEX(Settings!$B$29:$B$40,MONTH(A922)),INDEX(Settings!$B$29:$B$40,MONTH(A922)))))</f>
        <v/>
      </c>
    </row>
    <row r="923" customFormat="false" ht="15" hidden="false" customHeight="false" outlineLevel="0" collapsed="false">
      <c r="H923" s="0" t="str">
        <f aca="false">IF(B923="","",IF(COUNTIF(Campaigns!$A$7:$A$300,B923)&gt;0,"✓","⚠ add to Campaigns tab"))</f>
        <v/>
      </c>
      <c r="I923" s="84" t="str">
        <f aca="false">IF(C923="","",C923*IF(Settings!$B$23=Settings!$C$6,1,IF(Settings!$B$23="USD",1/INDEX(Settings!$B$29:$B$40,MONTH(A923)),INDEX(Settings!$B$29:$B$40,MONTH(A923)))))</f>
        <v/>
      </c>
    </row>
    <row r="924" customFormat="false" ht="15" hidden="false" customHeight="false" outlineLevel="0" collapsed="false">
      <c r="H924" s="0" t="str">
        <f aca="false">IF(B924="","",IF(COUNTIF(Campaigns!$A$7:$A$300,B924)&gt;0,"✓","⚠ add to Campaigns tab"))</f>
        <v/>
      </c>
      <c r="I924" s="84" t="str">
        <f aca="false">IF(C924="","",C924*IF(Settings!$B$23=Settings!$C$6,1,IF(Settings!$B$23="USD",1/INDEX(Settings!$B$29:$B$40,MONTH(A924)),INDEX(Settings!$B$29:$B$40,MONTH(A924)))))</f>
        <v/>
      </c>
    </row>
    <row r="925" customFormat="false" ht="15" hidden="false" customHeight="false" outlineLevel="0" collapsed="false">
      <c r="H925" s="0" t="str">
        <f aca="false">IF(B925="","",IF(COUNTIF(Campaigns!$A$7:$A$300,B925)&gt;0,"✓","⚠ add to Campaigns tab"))</f>
        <v/>
      </c>
      <c r="I925" s="84" t="str">
        <f aca="false">IF(C925="","",C925*IF(Settings!$B$23=Settings!$C$6,1,IF(Settings!$B$23="USD",1/INDEX(Settings!$B$29:$B$40,MONTH(A925)),INDEX(Settings!$B$29:$B$40,MONTH(A925)))))</f>
        <v/>
      </c>
    </row>
    <row r="926" customFormat="false" ht="15" hidden="false" customHeight="false" outlineLevel="0" collapsed="false">
      <c r="H926" s="0" t="str">
        <f aca="false">IF(B926="","",IF(COUNTIF(Campaigns!$A$7:$A$300,B926)&gt;0,"✓","⚠ add to Campaigns tab"))</f>
        <v/>
      </c>
      <c r="I926" s="84" t="str">
        <f aca="false">IF(C926="","",C926*IF(Settings!$B$23=Settings!$C$6,1,IF(Settings!$B$23="USD",1/INDEX(Settings!$B$29:$B$40,MONTH(A926)),INDEX(Settings!$B$29:$B$40,MONTH(A926)))))</f>
        <v/>
      </c>
    </row>
    <row r="927" customFormat="false" ht="15" hidden="false" customHeight="false" outlineLevel="0" collapsed="false">
      <c r="H927" s="0" t="str">
        <f aca="false">IF(B927="","",IF(COUNTIF(Campaigns!$A$7:$A$300,B927)&gt;0,"✓","⚠ add to Campaigns tab"))</f>
        <v/>
      </c>
      <c r="I927" s="84" t="str">
        <f aca="false">IF(C927="","",C927*IF(Settings!$B$23=Settings!$C$6,1,IF(Settings!$B$23="USD",1/INDEX(Settings!$B$29:$B$40,MONTH(A927)),INDEX(Settings!$B$29:$B$40,MONTH(A927)))))</f>
        <v/>
      </c>
    </row>
    <row r="928" customFormat="false" ht="15" hidden="false" customHeight="false" outlineLevel="0" collapsed="false">
      <c r="H928" s="0" t="str">
        <f aca="false">IF(B928="","",IF(COUNTIF(Campaigns!$A$7:$A$300,B928)&gt;0,"✓","⚠ add to Campaigns tab"))</f>
        <v/>
      </c>
      <c r="I928" s="84" t="str">
        <f aca="false">IF(C928="","",C928*IF(Settings!$B$23=Settings!$C$6,1,IF(Settings!$B$23="USD",1/INDEX(Settings!$B$29:$B$40,MONTH(A928)),INDEX(Settings!$B$29:$B$40,MONTH(A928)))))</f>
        <v/>
      </c>
    </row>
    <row r="929" customFormat="false" ht="15" hidden="false" customHeight="false" outlineLevel="0" collapsed="false">
      <c r="H929" s="0" t="str">
        <f aca="false">IF(B929="","",IF(COUNTIF(Campaigns!$A$7:$A$300,B929)&gt;0,"✓","⚠ add to Campaigns tab"))</f>
        <v/>
      </c>
      <c r="I929" s="84" t="str">
        <f aca="false">IF(C929="","",C929*IF(Settings!$B$23=Settings!$C$6,1,IF(Settings!$B$23="USD",1/INDEX(Settings!$B$29:$B$40,MONTH(A929)),INDEX(Settings!$B$29:$B$40,MONTH(A929)))))</f>
        <v/>
      </c>
    </row>
    <row r="930" customFormat="false" ht="15" hidden="false" customHeight="false" outlineLevel="0" collapsed="false">
      <c r="H930" s="0" t="str">
        <f aca="false">IF(B930="","",IF(COUNTIF(Campaigns!$A$7:$A$300,B930)&gt;0,"✓","⚠ add to Campaigns tab"))</f>
        <v/>
      </c>
      <c r="I930" s="84" t="str">
        <f aca="false">IF(C930="","",C930*IF(Settings!$B$23=Settings!$C$6,1,IF(Settings!$B$23="USD",1/INDEX(Settings!$B$29:$B$40,MONTH(A930)),INDEX(Settings!$B$29:$B$40,MONTH(A930)))))</f>
        <v/>
      </c>
    </row>
    <row r="931" customFormat="false" ht="15" hidden="false" customHeight="false" outlineLevel="0" collapsed="false">
      <c r="H931" s="0" t="str">
        <f aca="false">IF(B931="","",IF(COUNTIF(Campaigns!$A$7:$A$300,B931)&gt;0,"✓","⚠ add to Campaigns tab"))</f>
        <v/>
      </c>
      <c r="I931" s="84" t="str">
        <f aca="false">IF(C931="","",C931*IF(Settings!$B$23=Settings!$C$6,1,IF(Settings!$B$23="USD",1/INDEX(Settings!$B$29:$B$40,MONTH(A931)),INDEX(Settings!$B$29:$B$40,MONTH(A931)))))</f>
        <v/>
      </c>
    </row>
    <row r="932" customFormat="false" ht="15" hidden="false" customHeight="false" outlineLevel="0" collapsed="false">
      <c r="H932" s="0" t="str">
        <f aca="false">IF(B932="","",IF(COUNTIF(Campaigns!$A$7:$A$300,B932)&gt;0,"✓","⚠ add to Campaigns tab"))</f>
        <v/>
      </c>
      <c r="I932" s="84" t="str">
        <f aca="false">IF(C932="","",C932*IF(Settings!$B$23=Settings!$C$6,1,IF(Settings!$B$23="USD",1/INDEX(Settings!$B$29:$B$40,MONTH(A932)),INDEX(Settings!$B$29:$B$40,MONTH(A932)))))</f>
        <v/>
      </c>
    </row>
    <row r="933" customFormat="false" ht="15" hidden="false" customHeight="false" outlineLevel="0" collapsed="false">
      <c r="H933" s="0" t="str">
        <f aca="false">IF(B933="","",IF(COUNTIF(Campaigns!$A$7:$A$300,B933)&gt;0,"✓","⚠ add to Campaigns tab"))</f>
        <v/>
      </c>
      <c r="I933" s="84" t="str">
        <f aca="false">IF(C933="","",C933*IF(Settings!$B$23=Settings!$C$6,1,IF(Settings!$B$23="USD",1/INDEX(Settings!$B$29:$B$40,MONTH(A933)),INDEX(Settings!$B$29:$B$40,MONTH(A933)))))</f>
        <v/>
      </c>
    </row>
    <row r="934" customFormat="false" ht="15" hidden="false" customHeight="false" outlineLevel="0" collapsed="false">
      <c r="H934" s="0" t="str">
        <f aca="false">IF(B934="","",IF(COUNTIF(Campaigns!$A$7:$A$300,B934)&gt;0,"✓","⚠ add to Campaigns tab"))</f>
        <v/>
      </c>
      <c r="I934" s="84" t="str">
        <f aca="false">IF(C934="","",C934*IF(Settings!$B$23=Settings!$C$6,1,IF(Settings!$B$23="USD",1/INDEX(Settings!$B$29:$B$40,MONTH(A934)),INDEX(Settings!$B$29:$B$40,MONTH(A934)))))</f>
        <v/>
      </c>
    </row>
    <row r="935" customFormat="false" ht="15" hidden="false" customHeight="false" outlineLevel="0" collapsed="false">
      <c r="H935" s="0" t="str">
        <f aca="false">IF(B935="","",IF(COUNTIF(Campaigns!$A$7:$A$300,B935)&gt;0,"✓","⚠ add to Campaigns tab"))</f>
        <v/>
      </c>
      <c r="I935" s="84" t="str">
        <f aca="false">IF(C935="","",C935*IF(Settings!$B$23=Settings!$C$6,1,IF(Settings!$B$23="USD",1/INDEX(Settings!$B$29:$B$40,MONTH(A935)),INDEX(Settings!$B$29:$B$40,MONTH(A935)))))</f>
        <v/>
      </c>
    </row>
    <row r="936" customFormat="false" ht="15" hidden="false" customHeight="false" outlineLevel="0" collapsed="false">
      <c r="H936" s="0" t="str">
        <f aca="false">IF(B936="","",IF(COUNTIF(Campaigns!$A$7:$A$300,B936)&gt;0,"✓","⚠ add to Campaigns tab"))</f>
        <v/>
      </c>
      <c r="I936" s="84" t="str">
        <f aca="false">IF(C936="","",C936*IF(Settings!$B$23=Settings!$C$6,1,IF(Settings!$B$23="USD",1/INDEX(Settings!$B$29:$B$40,MONTH(A936)),INDEX(Settings!$B$29:$B$40,MONTH(A936)))))</f>
        <v/>
      </c>
    </row>
    <row r="937" customFormat="false" ht="15" hidden="false" customHeight="false" outlineLevel="0" collapsed="false">
      <c r="H937" s="0" t="str">
        <f aca="false">IF(B937="","",IF(COUNTIF(Campaigns!$A$7:$A$300,B937)&gt;0,"✓","⚠ add to Campaigns tab"))</f>
        <v/>
      </c>
      <c r="I937" s="84" t="str">
        <f aca="false">IF(C937="","",C937*IF(Settings!$B$23=Settings!$C$6,1,IF(Settings!$B$23="USD",1/INDEX(Settings!$B$29:$B$40,MONTH(A937)),INDEX(Settings!$B$29:$B$40,MONTH(A937)))))</f>
        <v/>
      </c>
    </row>
    <row r="938" customFormat="false" ht="15" hidden="false" customHeight="false" outlineLevel="0" collapsed="false">
      <c r="H938" s="0" t="str">
        <f aca="false">IF(B938="","",IF(COUNTIF(Campaigns!$A$7:$A$300,B938)&gt;0,"✓","⚠ add to Campaigns tab"))</f>
        <v/>
      </c>
      <c r="I938" s="84" t="str">
        <f aca="false">IF(C938="","",C938*IF(Settings!$B$23=Settings!$C$6,1,IF(Settings!$B$23="USD",1/INDEX(Settings!$B$29:$B$40,MONTH(A938)),INDEX(Settings!$B$29:$B$40,MONTH(A938)))))</f>
        <v/>
      </c>
    </row>
    <row r="939" customFormat="false" ht="15" hidden="false" customHeight="false" outlineLevel="0" collapsed="false">
      <c r="H939" s="0" t="str">
        <f aca="false">IF(B939="","",IF(COUNTIF(Campaigns!$A$7:$A$300,B939)&gt;0,"✓","⚠ add to Campaigns tab"))</f>
        <v/>
      </c>
      <c r="I939" s="84" t="str">
        <f aca="false">IF(C939="","",C939*IF(Settings!$B$23=Settings!$C$6,1,IF(Settings!$B$23="USD",1/INDEX(Settings!$B$29:$B$40,MONTH(A939)),INDEX(Settings!$B$29:$B$40,MONTH(A939)))))</f>
        <v/>
      </c>
    </row>
    <row r="940" customFormat="false" ht="15" hidden="false" customHeight="false" outlineLevel="0" collapsed="false">
      <c r="H940" s="0" t="str">
        <f aca="false">IF(B940="","",IF(COUNTIF(Campaigns!$A$7:$A$300,B940)&gt;0,"✓","⚠ add to Campaigns tab"))</f>
        <v/>
      </c>
      <c r="I940" s="84" t="str">
        <f aca="false">IF(C940="","",C940*IF(Settings!$B$23=Settings!$C$6,1,IF(Settings!$B$23="USD",1/INDEX(Settings!$B$29:$B$40,MONTH(A940)),INDEX(Settings!$B$29:$B$40,MONTH(A940)))))</f>
        <v/>
      </c>
    </row>
    <row r="941" customFormat="false" ht="15" hidden="false" customHeight="false" outlineLevel="0" collapsed="false">
      <c r="H941" s="0" t="str">
        <f aca="false">IF(B941="","",IF(COUNTIF(Campaigns!$A$7:$A$300,B941)&gt;0,"✓","⚠ add to Campaigns tab"))</f>
        <v/>
      </c>
      <c r="I941" s="84" t="str">
        <f aca="false">IF(C941="","",C941*IF(Settings!$B$23=Settings!$C$6,1,IF(Settings!$B$23="USD",1/INDEX(Settings!$B$29:$B$40,MONTH(A941)),INDEX(Settings!$B$29:$B$40,MONTH(A941)))))</f>
        <v/>
      </c>
    </row>
    <row r="942" customFormat="false" ht="15" hidden="false" customHeight="false" outlineLevel="0" collapsed="false">
      <c r="H942" s="0" t="str">
        <f aca="false">IF(B942="","",IF(COUNTIF(Campaigns!$A$7:$A$300,B942)&gt;0,"✓","⚠ add to Campaigns tab"))</f>
        <v/>
      </c>
      <c r="I942" s="84" t="str">
        <f aca="false">IF(C942="","",C942*IF(Settings!$B$23=Settings!$C$6,1,IF(Settings!$B$23="USD",1/INDEX(Settings!$B$29:$B$40,MONTH(A942)),INDEX(Settings!$B$29:$B$40,MONTH(A942)))))</f>
        <v/>
      </c>
    </row>
    <row r="943" customFormat="false" ht="15" hidden="false" customHeight="false" outlineLevel="0" collapsed="false">
      <c r="H943" s="0" t="str">
        <f aca="false">IF(B943="","",IF(COUNTIF(Campaigns!$A$7:$A$300,B943)&gt;0,"✓","⚠ add to Campaigns tab"))</f>
        <v/>
      </c>
      <c r="I943" s="84" t="str">
        <f aca="false">IF(C943="","",C943*IF(Settings!$B$23=Settings!$C$6,1,IF(Settings!$B$23="USD",1/INDEX(Settings!$B$29:$B$40,MONTH(A943)),INDEX(Settings!$B$29:$B$40,MONTH(A943)))))</f>
        <v/>
      </c>
    </row>
    <row r="944" customFormat="false" ht="15" hidden="false" customHeight="false" outlineLevel="0" collapsed="false">
      <c r="H944" s="0" t="str">
        <f aca="false">IF(B944="","",IF(COUNTIF(Campaigns!$A$7:$A$300,B944)&gt;0,"✓","⚠ add to Campaigns tab"))</f>
        <v/>
      </c>
      <c r="I944" s="84" t="str">
        <f aca="false">IF(C944="","",C944*IF(Settings!$B$23=Settings!$C$6,1,IF(Settings!$B$23="USD",1/INDEX(Settings!$B$29:$B$40,MONTH(A944)),INDEX(Settings!$B$29:$B$40,MONTH(A944)))))</f>
        <v/>
      </c>
    </row>
    <row r="945" customFormat="false" ht="15" hidden="false" customHeight="false" outlineLevel="0" collapsed="false">
      <c r="H945" s="0" t="str">
        <f aca="false">IF(B945="","",IF(COUNTIF(Campaigns!$A$7:$A$300,B945)&gt;0,"✓","⚠ add to Campaigns tab"))</f>
        <v/>
      </c>
      <c r="I945" s="84" t="str">
        <f aca="false">IF(C945="","",C945*IF(Settings!$B$23=Settings!$C$6,1,IF(Settings!$B$23="USD",1/INDEX(Settings!$B$29:$B$40,MONTH(A945)),INDEX(Settings!$B$29:$B$40,MONTH(A945)))))</f>
        <v/>
      </c>
    </row>
    <row r="946" customFormat="false" ht="15" hidden="false" customHeight="false" outlineLevel="0" collapsed="false">
      <c r="H946" s="0" t="str">
        <f aca="false">IF(B946="","",IF(COUNTIF(Campaigns!$A$7:$A$300,B946)&gt;0,"✓","⚠ add to Campaigns tab"))</f>
        <v/>
      </c>
      <c r="I946" s="84" t="str">
        <f aca="false">IF(C946="","",C946*IF(Settings!$B$23=Settings!$C$6,1,IF(Settings!$B$23="USD",1/INDEX(Settings!$B$29:$B$40,MONTH(A946)),INDEX(Settings!$B$29:$B$40,MONTH(A946)))))</f>
        <v/>
      </c>
    </row>
    <row r="947" customFormat="false" ht="15" hidden="false" customHeight="false" outlineLevel="0" collapsed="false">
      <c r="H947" s="0" t="str">
        <f aca="false">IF(B947="","",IF(COUNTIF(Campaigns!$A$7:$A$300,B947)&gt;0,"✓","⚠ add to Campaigns tab"))</f>
        <v/>
      </c>
      <c r="I947" s="84" t="str">
        <f aca="false">IF(C947="","",C947*IF(Settings!$B$23=Settings!$C$6,1,IF(Settings!$B$23="USD",1/INDEX(Settings!$B$29:$B$40,MONTH(A947)),INDEX(Settings!$B$29:$B$40,MONTH(A947)))))</f>
        <v/>
      </c>
    </row>
    <row r="948" customFormat="false" ht="15" hidden="false" customHeight="false" outlineLevel="0" collapsed="false">
      <c r="H948" s="0" t="str">
        <f aca="false">IF(B948="","",IF(COUNTIF(Campaigns!$A$7:$A$300,B948)&gt;0,"✓","⚠ add to Campaigns tab"))</f>
        <v/>
      </c>
      <c r="I948" s="84" t="str">
        <f aca="false">IF(C948="","",C948*IF(Settings!$B$23=Settings!$C$6,1,IF(Settings!$B$23="USD",1/INDEX(Settings!$B$29:$B$40,MONTH(A948)),INDEX(Settings!$B$29:$B$40,MONTH(A948)))))</f>
        <v/>
      </c>
    </row>
    <row r="949" customFormat="false" ht="15" hidden="false" customHeight="false" outlineLevel="0" collapsed="false">
      <c r="H949" s="0" t="str">
        <f aca="false">IF(B949="","",IF(COUNTIF(Campaigns!$A$7:$A$300,B949)&gt;0,"✓","⚠ add to Campaigns tab"))</f>
        <v/>
      </c>
      <c r="I949" s="84" t="str">
        <f aca="false">IF(C949="","",C949*IF(Settings!$B$23=Settings!$C$6,1,IF(Settings!$B$23="USD",1/INDEX(Settings!$B$29:$B$40,MONTH(A949)),INDEX(Settings!$B$29:$B$40,MONTH(A949)))))</f>
        <v/>
      </c>
    </row>
    <row r="950" customFormat="false" ht="15" hidden="false" customHeight="false" outlineLevel="0" collapsed="false">
      <c r="H950" s="0" t="str">
        <f aca="false">IF(B950="","",IF(COUNTIF(Campaigns!$A$7:$A$300,B950)&gt;0,"✓","⚠ add to Campaigns tab"))</f>
        <v/>
      </c>
      <c r="I950" s="84" t="str">
        <f aca="false">IF(C950="","",C950*IF(Settings!$B$23=Settings!$C$6,1,IF(Settings!$B$23="USD",1/INDEX(Settings!$B$29:$B$40,MONTH(A950)),INDEX(Settings!$B$29:$B$40,MONTH(A950)))))</f>
        <v/>
      </c>
    </row>
    <row r="951" customFormat="false" ht="15" hidden="false" customHeight="false" outlineLevel="0" collapsed="false">
      <c r="H951" s="0" t="str">
        <f aca="false">IF(B951="","",IF(COUNTIF(Campaigns!$A$7:$A$300,B951)&gt;0,"✓","⚠ add to Campaigns tab"))</f>
        <v/>
      </c>
      <c r="I951" s="84" t="str">
        <f aca="false">IF(C951="","",C951*IF(Settings!$B$23=Settings!$C$6,1,IF(Settings!$B$23="USD",1/INDEX(Settings!$B$29:$B$40,MONTH(A951)),INDEX(Settings!$B$29:$B$40,MONTH(A951)))))</f>
        <v/>
      </c>
    </row>
    <row r="952" customFormat="false" ht="15" hidden="false" customHeight="false" outlineLevel="0" collapsed="false">
      <c r="H952" s="0" t="str">
        <f aca="false">IF(B952="","",IF(COUNTIF(Campaigns!$A$7:$A$300,B952)&gt;0,"✓","⚠ add to Campaigns tab"))</f>
        <v/>
      </c>
      <c r="I952" s="84" t="str">
        <f aca="false">IF(C952="","",C952*IF(Settings!$B$23=Settings!$C$6,1,IF(Settings!$B$23="USD",1/INDEX(Settings!$B$29:$B$40,MONTH(A952)),INDEX(Settings!$B$29:$B$40,MONTH(A952)))))</f>
        <v/>
      </c>
    </row>
    <row r="953" customFormat="false" ht="15" hidden="false" customHeight="false" outlineLevel="0" collapsed="false">
      <c r="H953" s="0" t="str">
        <f aca="false">IF(B953="","",IF(COUNTIF(Campaigns!$A$7:$A$300,B953)&gt;0,"✓","⚠ add to Campaigns tab"))</f>
        <v/>
      </c>
      <c r="I953" s="84" t="str">
        <f aca="false">IF(C953="","",C953*IF(Settings!$B$23=Settings!$C$6,1,IF(Settings!$B$23="USD",1/INDEX(Settings!$B$29:$B$40,MONTH(A953)),INDEX(Settings!$B$29:$B$40,MONTH(A953)))))</f>
        <v/>
      </c>
    </row>
    <row r="954" customFormat="false" ht="15" hidden="false" customHeight="false" outlineLevel="0" collapsed="false">
      <c r="H954" s="0" t="str">
        <f aca="false">IF(B954="","",IF(COUNTIF(Campaigns!$A$7:$A$300,B954)&gt;0,"✓","⚠ add to Campaigns tab"))</f>
        <v/>
      </c>
      <c r="I954" s="84" t="str">
        <f aca="false">IF(C954="","",C954*IF(Settings!$B$23=Settings!$C$6,1,IF(Settings!$B$23="USD",1/INDEX(Settings!$B$29:$B$40,MONTH(A954)),INDEX(Settings!$B$29:$B$40,MONTH(A954)))))</f>
        <v/>
      </c>
    </row>
    <row r="955" customFormat="false" ht="15" hidden="false" customHeight="false" outlineLevel="0" collapsed="false">
      <c r="H955" s="0" t="str">
        <f aca="false">IF(B955="","",IF(COUNTIF(Campaigns!$A$7:$A$300,B955)&gt;0,"✓","⚠ add to Campaigns tab"))</f>
        <v/>
      </c>
      <c r="I955" s="84" t="str">
        <f aca="false">IF(C955="","",C955*IF(Settings!$B$23=Settings!$C$6,1,IF(Settings!$B$23="USD",1/INDEX(Settings!$B$29:$B$40,MONTH(A955)),INDEX(Settings!$B$29:$B$40,MONTH(A955)))))</f>
        <v/>
      </c>
    </row>
    <row r="956" customFormat="false" ht="15" hidden="false" customHeight="false" outlineLevel="0" collapsed="false">
      <c r="H956" s="0" t="str">
        <f aca="false">IF(B956="","",IF(COUNTIF(Campaigns!$A$7:$A$300,B956)&gt;0,"✓","⚠ add to Campaigns tab"))</f>
        <v/>
      </c>
      <c r="I956" s="84" t="str">
        <f aca="false">IF(C956="","",C956*IF(Settings!$B$23=Settings!$C$6,1,IF(Settings!$B$23="USD",1/INDEX(Settings!$B$29:$B$40,MONTH(A956)),INDEX(Settings!$B$29:$B$40,MONTH(A956)))))</f>
        <v/>
      </c>
    </row>
    <row r="957" customFormat="false" ht="15" hidden="false" customHeight="false" outlineLevel="0" collapsed="false">
      <c r="H957" s="0" t="str">
        <f aca="false">IF(B957="","",IF(COUNTIF(Campaigns!$A$7:$A$300,B957)&gt;0,"✓","⚠ add to Campaigns tab"))</f>
        <v/>
      </c>
      <c r="I957" s="84" t="str">
        <f aca="false">IF(C957="","",C957*IF(Settings!$B$23=Settings!$C$6,1,IF(Settings!$B$23="USD",1/INDEX(Settings!$B$29:$B$40,MONTH(A957)),INDEX(Settings!$B$29:$B$40,MONTH(A957)))))</f>
        <v/>
      </c>
    </row>
    <row r="958" customFormat="false" ht="15" hidden="false" customHeight="false" outlineLevel="0" collapsed="false">
      <c r="H958" s="0" t="str">
        <f aca="false">IF(B958="","",IF(COUNTIF(Campaigns!$A$7:$A$300,B958)&gt;0,"✓","⚠ add to Campaigns tab"))</f>
        <v/>
      </c>
      <c r="I958" s="84" t="str">
        <f aca="false">IF(C958="","",C958*IF(Settings!$B$23=Settings!$C$6,1,IF(Settings!$B$23="USD",1/INDEX(Settings!$B$29:$B$40,MONTH(A958)),INDEX(Settings!$B$29:$B$40,MONTH(A958)))))</f>
        <v/>
      </c>
    </row>
    <row r="959" customFormat="false" ht="15" hidden="false" customHeight="false" outlineLevel="0" collapsed="false">
      <c r="H959" s="0" t="str">
        <f aca="false">IF(B959="","",IF(COUNTIF(Campaigns!$A$7:$A$300,B959)&gt;0,"✓","⚠ add to Campaigns tab"))</f>
        <v/>
      </c>
      <c r="I959" s="84" t="str">
        <f aca="false">IF(C959="","",C959*IF(Settings!$B$23=Settings!$C$6,1,IF(Settings!$B$23="USD",1/INDEX(Settings!$B$29:$B$40,MONTH(A959)),INDEX(Settings!$B$29:$B$40,MONTH(A959)))))</f>
        <v/>
      </c>
    </row>
    <row r="960" customFormat="false" ht="15" hidden="false" customHeight="false" outlineLevel="0" collapsed="false">
      <c r="H960" s="0" t="str">
        <f aca="false">IF(B960="","",IF(COUNTIF(Campaigns!$A$7:$A$300,B960)&gt;0,"✓","⚠ add to Campaigns tab"))</f>
        <v/>
      </c>
      <c r="I960" s="84" t="str">
        <f aca="false">IF(C960="","",C960*IF(Settings!$B$23=Settings!$C$6,1,IF(Settings!$B$23="USD",1/INDEX(Settings!$B$29:$B$40,MONTH(A960)),INDEX(Settings!$B$29:$B$40,MONTH(A960)))))</f>
        <v/>
      </c>
    </row>
    <row r="961" customFormat="false" ht="15" hidden="false" customHeight="false" outlineLevel="0" collapsed="false">
      <c r="H961" s="0" t="str">
        <f aca="false">IF(B961="","",IF(COUNTIF(Campaigns!$A$7:$A$300,B961)&gt;0,"✓","⚠ add to Campaigns tab"))</f>
        <v/>
      </c>
      <c r="I961" s="84" t="str">
        <f aca="false">IF(C961="","",C961*IF(Settings!$B$23=Settings!$C$6,1,IF(Settings!$B$23="USD",1/INDEX(Settings!$B$29:$B$40,MONTH(A961)),INDEX(Settings!$B$29:$B$40,MONTH(A961)))))</f>
        <v/>
      </c>
    </row>
    <row r="962" customFormat="false" ht="15" hidden="false" customHeight="false" outlineLevel="0" collapsed="false">
      <c r="H962" s="0" t="str">
        <f aca="false">IF(B962="","",IF(COUNTIF(Campaigns!$A$7:$A$300,B962)&gt;0,"✓","⚠ add to Campaigns tab"))</f>
        <v/>
      </c>
      <c r="I962" s="84" t="str">
        <f aca="false">IF(C962="","",C962*IF(Settings!$B$23=Settings!$C$6,1,IF(Settings!$B$23="USD",1/INDEX(Settings!$B$29:$B$40,MONTH(A962)),INDEX(Settings!$B$29:$B$40,MONTH(A962)))))</f>
        <v/>
      </c>
    </row>
    <row r="963" customFormat="false" ht="15" hidden="false" customHeight="false" outlineLevel="0" collapsed="false">
      <c r="H963" s="0" t="str">
        <f aca="false">IF(B963="","",IF(COUNTIF(Campaigns!$A$7:$A$300,B963)&gt;0,"✓","⚠ add to Campaigns tab"))</f>
        <v/>
      </c>
      <c r="I963" s="84" t="str">
        <f aca="false">IF(C963="","",C963*IF(Settings!$B$23=Settings!$C$6,1,IF(Settings!$B$23="USD",1/INDEX(Settings!$B$29:$B$40,MONTH(A963)),INDEX(Settings!$B$29:$B$40,MONTH(A963)))))</f>
        <v/>
      </c>
    </row>
    <row r="964" customFormat="false" ht="15" hidden="false" customHeight="false" outlineLevel="0" collapsed="false">
      <c r="H964" s="0" t="str">
        <f aca="false">IF(B964="","",IF(COUNTIF(Campaigns!$A$7:$A$300,B964)&gt;0,"✓","⚠ add to Campaigns tab"))</f>
        <v/>
      </c>
      <c r="I964" s="84" t="str">
        <f aca="false">IF(C964="","",C964*IF(Settings!$B$23=Settings!$C$6,1,IF(Settings!$B$23="USD",1/INDEX(Settings!$B$29:$B$40,MONTH(A964)),INDEX(Settings!$B$29:$B$40,MONTH(A964)))))</f>
        <v/>
      </c>
    </row>
    <row r="965" customFormat="false" ht="15" hidden="false" customHeight="false" outlineLevel="0" collapsed="false">
      <c r="H965" s="0" t="str">
        <f aca="false">IF(B965="","",IF(COUNTIF(Campaigns!$A$7:$A$300,B965)&gt;0,"✓","⚠ add to Campaigns tab"))</f>
        <v/>
      </c>
      <c r="I965" s="84" t="str">
        <f aca="false">IF(C965="","",C965*IF(Settings!$B$23=Settings!$C$6,1,IF(Settings!$B$23="USD",1/INDEX(Settings!$B$29:$B$40,MONTH(A965)),INDEX(Settings!$B$29:$B$40,MONTH(A965)))))</f>
        <v/>
      </c>
    </row>
    <row r="966" customFormat="false" ht="15" hidden="false" customHeight="false" outlineLevel="0" collapsed="false">
      <c r="H966" s="0" t="str">
        <f aca="false">IF(B966="","",IF(COUNTIF(Campaigns!$A$7:$A$300,B966)&gt;0,"✓","⚠ add to Campaigns tab"))</f>
        <v/>
      </c>
      <c r="I966" s="84" t="str">
        <f aca="false">IF(C966="","",C966*IF(Settings!$B$23=Settings!$C$6,1,IF(Settings!$B$23="USD",1/INDEX(Settings!$B$29:$B$40,MONTH(A966)),INDEX(Settings!$B$29:$B$40,MONTH(A966)))))</f>
        <v/>
      </c>
    </row>
    <row r="967" customFormat="false" ht="15" hidden="false" customHeight="false" outlineLevel="0" collapsed="false">
      <c r="H967" s="0" t="str">
        <f aca="false">IF(B967="","",IF(COUNTIF(Campaigns!$A$7:$A$300,B967)&gt;0,"✓","⚠ add to Campaigns tab"))</f>
        <v/>
      </c>
      <c r="I967" s="84" t="str">
        <f aca="false">IF(C967="","",C967*IF(Settings!$B$23=Settings!$C$6,1,IF(Settings!$B$23="USD",1/INDEX(Settings!$B$29:$B$40,MONTH(A967)),INDEX(Settings!$B$29:$B$40,MONTH(A967)))))</f>
        <v/>
      </c>
    </row>
    <row r="968" customFormat="false" ht="15" hidden="false" customHeight="false" outlineLevel="0" collapsed="false">
      <c r="H968" s="0" t="str">
        <f aca="false">IF(B968="","",IF(COUNTIF(Campaigns!$A$7:$A$300,B968)&gt;0,"✓","⚠ add to Campaigns tab"))</f>
        <v/>
      </c>
      <c r="I968" s="84" t="str">
        <f aca="false">IF(C968="","",C968*IF(Settings!$B$23=Settings!$C$6,1,IF(Settings!$B$23="USD",1/INDEX(Settings!$B$29:$B$40,MONTH(A968)),INDEX(Settings!$B$29:$B$40,MONTH(A968)))))</f>
        <v/>
      </c>
    </row>
    <row r="969" customFormat="false" ht="15" hidden="false" customHeight="false" outlineLevel="0" collapsed="false">
      <c r="H969" s="0" t="str">
        <f aca="false">IF(B969="","",IF(COUNTIF(Campaigns!$A$7:$A$300,B969)&gt;0,"✓","⚠ add to Campaigns tab"))</f>
        <v/>
      </c>
      <c r="I969" s="84" t="str">
        <f aca="false">IF(C969="","",C969*IF(Settings!$B$23=Settings!$C$6,1,IF(Settings!$B$23="USD",1/INDEX(Settings!$B$29:$B$40,MONTH(A969)),INDEX(Settings!$B$29:$B$40,MONTH(A969)))))</f>
        <v/>
      </c>
    </row>
    <row r="970" customFormat="false" ht="15" hidden="false" customHeight="false" outlineLevel="0" collapsed="false">
      <c r="H970" s="0" t="str">
        <f aca="false">IF(B970="","",IF(COUNTIF(Campaigns!$A$7:$A$300,B970)&gt;0,"✓","⚠ add to Campaigns tab"))</f>
        <v/>
      </c>
      <c r="I970" s="84" t="str">
        <f aca="false">IF(C970="","",C970*IF(Settings!$B$23=Settings!$C$6,1,IF(Settings!$B$23="USD",1/INDEX(Settings!$B$29:$B$40,MONTH(A970)),INDEX(Settings!$B$29:$B$40,MONTH(A970)))))</f>
        <v/>
      </c>
    </row>
    <row r="971" customFormat="false" ht="15" hidden="false" customHeight="false" outlineLevel="0" collapsed="false">
      <c r="H971" s="0" t="str">
        <f aca="false">IF(B971="","",IF(COUNTIF(Campaigns!$A$7:$A$300,B971)&gt;0,"✓","⚠ add to Campaigns tab"))</f>
        <v/>
      </c>
      <c r="I971" s="84" t="str">
        <f aca="false">IF(C971="","",C971*IF(Settings!$B$23=Settings!$C$6,1,IF(Settings!$B$23="USD",1/INDEX(Settings!$B$29:$B$40,MONTH(A971)),INDEX(Settings!$B$29:$B$40,MONTH(A971)))))</f>
        <v/>
      </c>
    </row>
    <row r="972" customFormat="false" ht="15" hidden="false" customHeight="false" outlineLevel="0" collapsed="false">
      <c r="H972" s="0" t="str">
        <f aca="false">IF(B972="","",IF(COUNTIF(Campaigns!$A$7:$A$300,B972)&gt;0,"✓","⚠ add to Campaigns tab"))</f>
        <v/>
      </c>
      <c r="I972" s="84" t="str">
        <f aca="false">IF(C972="","",C972*IF(Settings!$B$23=Settings!$C$6,1,IF(Settings!$B$23="USD",1/INDEX(Settings!$B$29:$B$40,MONTH(A972)),INDEX(Settings!$B$29:$B$40,MONTH(A972)))))</f>
        <v/>
      </c>
    </row>
    <row r="973" customFormat="false" ht="15" hidden="false" customHeight="false" outlineLevel="0" collapsed="false">
      <c r="H973" s="0" t="str">
        <f aca="false">IF(B973="","",IF(COUNTIF(Campaigns!$A$7:$A$300,B973)&gt;0,"✓","⚠ add to Campaigns tab"))</f>
        <v/>
      </c>
      <c r="I973" s="84" t="str">
        <f aca="false">IF(C973="","",C973*IF(Settings!$B$23=Settings!$C$6,1,IF(Settings!$B$23="USD",1/INDEX(Settings!$B$29:$B$40,MONTH(A973)),INDEX(Settings!$B$29:$B$40,MONTH(A973)))))</f>
        <v/>
      </c>
    </row>
    <row r="974" customFormat="false" ht="15" hidden="false" customHeight="false" outlineLevel="0" collapsed="false">
      <c r="H974" s="0" t="str">
        <f aca="false">IF(B974="","",IF(COUNTIF(Campaigns!$A$7:$A$300,B974)&gt;0,"✓","⚠ add to Campaigns tab"))</f>
        <v/>
      </c>
      <c r="I974" s="84" t="str">
        <f aca="false">IF(C974="","",C974*IF(Settings!$B$23=Settings!$C$6,1,IF(Settings!$B$23="USD",1/INDEX(Settings!$B$29:$B$40,MONTH(A974)),INDEX(Settings!$B$29:$B$40,MONTH(A974)))))</f>
        <v/>
      </c>
    </row>
    <row r="975" customFormat="false" ht="15" hidden="false" customHeight="false" outlineLevel="0" collapsed="false">
      <c r="H975" s="0" t="str">
        <f aca="false">IF(B975="","",IF(COUNTIF(Campaigns!$A$7:$A$300,B975)&gt;0,"✓","⚠ add to Campaigns tab"))</f>
        <v/>
      </c>
      <c r="I975" s="84" t="str">
        <f aca="false">IF(C975="","",C975*IF(Settings!$B$23=Settings!$C$6,1,IF(Settings!$B$23="USD",1/INDEX(Settings!$B$29:$B$40,MONTH(A975)),INDEX(Settings!$B$29:$B$40,MONTH(A975)))))</f>
        <v/>
      </c>
    </row>
    <row r="976" customFormat="false" ht="15" hidden="false" customHeight="false" outlineLevel="0" collapsed="false">
      <c r="H976" s="0" t="str">
        <f aca="false">IF(B976="","",IF(COUNTIF(Campaigns!$A$7:$A$300,B976)&gt;0,"✓","⚠ add to Campaigns tab"))</f>
        <v/>
      </c>
      <c r="I976" s="84" t="str">
        <f aca="false">IF(C976="","",C976*IF(Settings!$B$23=Settings!$C$6,1,IF(Settings!$B$23="USD",1/INDEX(Settings!$B$29:$B$40,MONTH(A976)),INDEX(Settings!$B$29:$B$40,MONTH(A976)))))</f>
        <v/>
      </c>
    </row>
    <row r="977" customFormat="false" ht="15" hidden="false" customHeight="false" outlineLevel="0" collapsed="false">
      <c r="H977" s="0" t="str">
        <f aca="false">IF(B977="","",IF(COUNTIF(Campaigns!$A$7:$A$300,B977)&gt;0,"✓","⚠ add to Campaigns tab"))</f>
        <v/>
      </c>
      <c r="I977" s="84" t="str">
        <f aca="false">IF(C977="","",C977*IF(Settings!$B$23=Settings!$C$6,1,IF(Settings!$B$23="USD",1/INDEX(Settings!$B$29:$B$40,MONTH(A977)),INDEX(Settings!$B$29:$B$40,MONTH(A977)))))</f>
        <v/>
      </c>
    </row>
    <row r="978" customFormat="false" ht="15" hidden="false" customHeight="false" outlineLevel="0" collapsed="false">
      <c r="H978" s="0" t="str">
        <f aca="false">IF(B978="","",IF(COUNTIF(Campaigns!$A$7:$A$300,B978)&gt;0,"✓","⚠ add to Campaigns tab"))</f>
        <v/>
      </c>
      <c r="I978" s="84" t="str">
        <f aca="false">IF(C978="","",C978*IF(Settings!$B$23=Settings!$C$6,1,IF(Settings!$B$23="USD",1/INDEX(Settings!$B$29:$B$40,MONTH(A978)),INDEX(Settings!$B$29:$B$40,MONTH(A978)))))</f>
        <v/>
      </c>
    </row>
    <row r="979" customFormat="false" ht="15" hidden="false" customHeight="false" outlineLevel="0" collapsed="false">
      <c r="H979" s="0" t="str">
        <f aca="false">IF(B979="","",IF(COUNTIF(Campaigns!$A$7:$A$300,B979)&gt;0,"✓","⚠ add to Campaigns tab"))</f>
        <v/>
      </c>
      <c r="I979" s="84" t="str">
        <f aca="false">IF(C979="","",C979*IF(Settings!$B$23=Settings!$C$6,1,IF(Settings!$B$23="USD",1/INDEX(Settings!$B$29:$B$40,MONTH(A979)),INDEX(Settings!$B$29:$B$40,MONTH(A979)))))</f>
        <v/>
      </c>
    </row>
    <row r="980" customFormat="false" ht="15" hidden="false" customHeight="false" outlineLevel="0" collapsed="false">
      <c r="H980" s="0" t="str">
        <f aca="false">IF(B980="","",IF(COUNTIF(Campaigns!$A$7:$A$300,B980)&gt;0,"✓","⚠ add to Campaigns tab"))</f>
        <v/>
      </c>
      <c r="I980" s="84" t="str">
        <f aca="false">IF(C980="","",C980*IF(Settings!$B$23=Settings!$C$6,1,IF(Settings!$B$23="USD",1/INDEX(Settings!$B$29:$B$40,MONTH(A980)),INDEX(Settings!$B$29:$B$40,MONTH(A980)))))</f>
        <v/>
      </c>
    </row>
    <row r="981" customFormat="false" ht="15" hidden="false" customHeight="false" outlineLevel="0" collapsed="false">
      <c r="H981" s="0" t="str">
        <f aca="false">IF(B981="","",IF(COUNTIF(Campaigns!$A$7:$A$300,B981)&gt;0,"✓","⚠ add to Campaigns tab"))</f>
        <v/>
      </c>
      <c r="I981" s="84" t="str">
        <f aca="false">IF(C981="","",C981*IF(Settings!$B$23=Settings!$C$6,1,IF(Settings!$B$23="USD",1/INDEX(Settings!$B$29:$B$40,MONTH(A981)),INDEX(Settings!$B$29:$B$40,MONTH(A981)))))</f>
        <v/>
      </c>
    </row>
    <row r="982" customFormat="false" ht="15" hidden="false" customHeight="false" outlineLevel="0" collapsed="false">
      <c r="H982" s="0" t="str">
        <f aca="false">IF(B982="","",IF(COUNTIF(Campaigns!$A$7:$A$300,B982)&gt;0,"✓","⚠ add to Campaigns tab"))</f>
        <v/>
      </c>
      <c r="I982" s="84" t="str">
        <f aca="false">IF(C982="","",C982*IF(Settings!$B$23=Settings!$C$6,1,IF(Settings!$B$23="USD",1/INDEX(Settings!$B$29:$B$40,MONTH(A982)),INDEX(Settings!$B$29:$B$40,MONTH(A982)))))</f>
        <v/>
      </c>
    </row>
    <row r="983" customFormat="false" ht="15" hidden="false" customHeight="false" outlineLevel="0" collapsed="false">
      <c r="H983" s="0" t="str">
        <f aca="false">IF(B983="","",IF(COUNTIF(Campaigns!$A$7:$A$300,B983)&gt;0,"✓","⚠ add to Campaigns tab"))</f>
        <v/>
      </c>
      <c r="I983" s="84" t="str">
        <f aca="false">IF(C983="","",C983*IF(Settings!$B$23=Settings!$C$6,1,IF(Settings!$B$23="USD",1/INDEX(Settings!$B$29:$B$40,MONTH(A983)),INDEX(Settings!$B$29:$B$40,MONTH(A983)))))</f>
        <v/>
      </c>
    </row>
    <row r="984" customFormat="false" ht="15" hidden="false" customHeight="false" outlineLevel="0" collapsed="false">
      <c r="H984" s="0" t="str">
        <f aca="false">IF(B984="","",IF(COUNTIF(Campaigns!$A$7:$A$300,B984)&gt;0,"✓","⚠ add to Campaigns tab"))</f>
        <v/>
      </c>
      <c r="I984" s="84" t="str">
        <f aca="false">IF(C984="","",C984*IF(Settings!$B$23=Settings!$C$6,1,IF(Settings!$B$23="USD",1/INDEX(Settings!$B$29:$B$40,MONTH(A984)),INDEX(Settings!$B$29:$B$40,MONTH(A984)))))</f>
        <v/>
      </c>
    </row>
    <row r="985" customFormat="false" ht="15" hidden="false" customHeight="false" outlineLevel="0" collapsed="false">
      <c r="H985" s="0" t="str">
        <f aca="false">IF(B985="","",IF(COUNTIF(Campaigns!$A$7:$A$300,B985)&gt;0,"✓","⚠ add to Campaigns tab"))</f>
        <v/>
      </c>
      <c r="I985" s="84" t="str">
        <f aca="false">IF(C985="","",C985*IF(Settings!$B$23=Settings!$C$6,1,IF(Settings!$B$23="USD",1/INDEX(Settings!$B$29:$B$40,MONTH(A985)),INDEX(Settings!$B$29:$B$40,MONTH(A985)))))</f>
        <v/>
      </c>
    </row>
    <row r="986" customFormat="false" ht="15" hidden="false" customHeight="false" outlineLevel="0" collapsed="false">
      <c r="H986" s="0" t="str">
        <f aca="false">IF(B986="","",IF(COUNTIF(Campaigns!$A$7:$A$300,B986)&gt;0,"✓","⚠ add to Campaigns tab"))</f>
        <v/>
      </c>
      <c r="I986" s="84" t="str">
        <f aca="false">IF(C986="","",C986*IF(Settings!$B$23=Settings!$C$6,1,IF(Settings!$B$23="USD",1/INDEX(Settings!$B$29:$B$40,MONTH(A986)),INDEX(Settings!$B$29:$B$40,MONTH(A986)))))</f>
        <v/>
      </c>
    </row>
    <row r="987" customFormat="false" ht="15" hidden="false" customHeight="false" outlineLevel="0" collapsed="false">
      <c r="H987" s="0" t="str">
        <f aca="false">IF(B987="","",IF(COUNTIF(Campaigns!$A$7:$A$300,B987)&gt;0,"✓","⚠ add to Campaigns tab"))</f>
        <v/>
      </c>
      <c r="I987" s="84" t="str">
        <f aca="false">IF(C987="","",C987*IF(Settings!$B$23=Settings!$C$6,1,IF(Settings!$B$23="USD",1/INDEX(Settings!$B$29:$B$40,MONTH(A987)),INDEX(Settings!$B$29:$B$40,MONTH(A987)))))</f>
        <v/>
      </c>
    </row>
    <row r="988" customFormat="false" ht="15" hidden="false" customHeight="false" outlineLevel="0" collapsed="false">
      <c r="H988" s="0" t="str">
        <f aca="false">IF(B988="","",IF(COUNTIF(Campaigns!$A$7:$A$300,B988)&gt;0,"✓","⚠ add to Campaigns tab"))</f>
        <v/>
      </c>
      <c r="I988" s="84" t="str">
        <f aca="false">IF(C988="","",C988*IF(Settings!$B$23=Settings!$C$6,1,IF(Settings!$B$23="USD",1/INDEX(Settings!$B$29:$B$40,MONTH(A988)),INDEX(Settings!$B$29:$B$40,MONTH(A988)))))</f>
        <v/>
      </c>
    </row>
    <row r="989" customFormat="false" ht="15" hidden="false" customHeight="false" outlineLevel="0" collapsed="false">
      <c r="H989" s="0" t="str">
        <f aca="false">IF(B989="","",IF(COUNTIF(Campaigns!$A$7:$A$300,B989)&gt;0,"✓","⚠ add to Campaigns tab"))</f>
        <v/>
      </c>
      <c r="I989" s="84" t="str">
        <f aca="false">IF(C989="","",C989*IF(Settings!$B$23=Settings!$C$6,1,IF(Settings!$B$23="USD",1/INDEX(Settings!$B$29:$B$40,MONTH(A989)),INDEX(Settings!$B$29:$B$40,MONTH(A989)))))</f>
        <v/>
      </c>
    </row>
    <row r="990" customFormat="false" ht="15" hidden="false" customHeight="false" outlineLevel="0" collapsed="false">
      <c r="H990" s="0" t="str">
        <f aca="false">IF(B990="","",IF(COUNTIF(Campaigns!$A$7:$A$300,B990)&gt;0,"✓","⚠ add to Campaigns tab"))</f>
        <v/>
      </c>
      <c r="I990" s="84" t="str">
        <f aca="false">IF(C990="","",C990*IF(Settings!$B$23=Settings!$C$6,1,IF(Settings!$B$23="USD",1/INDEX(Settings!$B$29:$B$40,MONTH(A990)),INDEX(Settings!$B$29:$B$40,MONTH(A990)))))</f>
        <v/>
      </c>
    </row>
    <row r="991" customFormat="false" ht="15" hidden="false" customHeight="false" outlineLevel="0" collapsed="false">
      <c r="H991" s="0" t="str">
        <f aca="false">IF(B991="","",IF(COUNTIF(Campaigns!$A$7:$A$300,B991)&gt;0,"✓","⚠ add to Campaigns tab"))</f>
        <v/>
      </c>
      <c r="I991" s="84" t="str">
        <f aca="false">IF(C991="","",C991*IF(Settings!$B$23=Settings!$C$6,1,IF(Settings!$B$23="USD",1/INDEX(Settings!$B$29:$B$40,MONTH(A991)),INDEX(Settings!$B$29:$B$40,MONTH(A991)))))</f>
        <v/>
      </c>
    </row>
    <row r="992" customFormat="false" ht="15" hidden="false" customHeight="false" outlineLevel="0" collapsed="false">
      <c r="H992" s="0" t="str">
        <f aca="false">IF(B992="","",IF(COUNTIF(Campaigns!$A$7:$A$300,B992)&gt;0,"✓","⚠ add to Campaigns tab"))</f>
        <v/>
      </c>
      <c r="I992" s="84" t="str">
        <f aca="false">IF(C992="","",C992*IF(Settings!$B$23=Settings!$C$6,1,IF(Settings!$B$23="USD",1/INDEX(Settings!$B$29:$B$40,MONTH(A992)),INDEX(Settings!$B$29:$B$40,MONTH(A992)))))</f>
        <v/>
      </c>
    </row>
    <row r="993" customFormat="false" ht="15" hidden="false" customHeight="false" outlineLevel="0" collapsed="false">
      <c r="H993" s="0" t="str">
        <f aca="false">IF(B993="","",IF(COUNTIF(Campaigns!$A$7:$A$300,B993)&gt;0,"✓","⚠ add to Campaigns tab"))</f>
        <v/>
      </c>
      <c r="I993" s="84" t="str">
        <f aca="false">IF(C993="","",C993*IF(Settings!$B$23=Settings!$C$6,1,IF(Settings!$B$23="USD",1/INDEX(Settings!$B$29:$B$40,MONTH(A993)),INDEX(Settings!$B$29:$B$40,MONTH(A993)))))</f>
        <v/>
      </c>
    </row>
    <row r="994" customFormat="false" ht="15" hidden="false" customHeight="false" outlineLevel="0" collapsed="false">
      <c r="H994" s="0" t="str">
        <f aca="false">IF(B994="","",IF(COUNTIF(Campaigns!$A$7:$A$300,B994)&gt;0,"✓","⚠ add to Campaigns tab"))</f>
        <v/>
      </c>
      <c r="I994" s="84" t="str">
        <f aca="false">IF(C994="","",C994*IF(Settings!$B$23=Settings!$C$6,1,IF(Settings!$B$23="USD",1/INDEX(Settings!$B$29:$B$40,MONTH(A994)),INDEX(Settings!$B$29:$B$40,MONTH(A994)))))</f>
        <v/>
      </c>
    </row>
    <row r="995" customFormat="false" ht="15" hidden="false" customHeight="false" outlineLevel="0" collapsed="false">
      <c r="H995" s="0" t="str">
        <f aca="false">IF(B995="","",IF(COUNTIF(Campaigns!$A$7:$A$300,B995)&gt;0,"✓","⚠ add to Campaigns tab"))</f>
        <v/>
      </c>
      <c r="I995" s="84" t="str">
        <f aca="false">IF(C995="","",C995*IF(Settings!$B$23=Settings!$C$6,1,IF(Settings!$B$23="USD",1/INDEX(Settings!$B$29:$B$40,MONTH(A995)),INDEX(Settings!$B$29:$B$40,MONTH(A995)))))</f>
        <v/>
      </c>
    </row>
    <row r="996" customFormat="false" ht="15" hidden="false" customHeight="false" outlineLevel="0" collapsed="false">
      <c r="H996" s="0" t="str">
        <f aca="false">IF(B996="","",IF(COUNTIF(Campaigns!$A$7:$A$300,B996)&gt;0,"✓","⚠ add to Campaigns tab"))</f>
        <v/>
      </c>
      <c r="I996" s="84" t="str">
        <f aca="false">IF(C996="","",C996*IF(Settings!$B$23=Settings!$C$6,1,IF(Settings!$B$23="USD",1/INDEX(Settings!$B$29:$B$40,MONTH(A996)),INDEX(Settings!$B$29:$B$40,MONTH(A996)))))</f>
        <v/>
      </c>
    </row>
    <row r="997" customFormat="false" ht="15" hidden="false" customHeight="false" outlineLevel="0" collapsed="false">
      <c r="H997" s="0" t="str">
        <f aca="false">IF(B997="","",IF(COUNTIF(Campaigns!$A$7:$A$300,B997)&gt;0,"✓","⚠ add to Campaigns tab"))</f>
        <v/>
      </c>
      <c r="I997" s="84" t="str">
        <f aca="false">IF(C997="","",C997*IF(Settings!$B$23=Settings!$C$6,1,IF(Settings!$B$23="USD",1/INDEX(Settings!$B$29:$B$40,MONTH(A997)),INDEX(Settings!$B$29:$B$40,MONTH(A997)))))</f>
        <v/>
      </c>
    </row>
    <row r="998" customFormat="false" ht="15" hidden="false" customHeight="false" outlineLevel="0" collapsed="false">
      <c r="H998" s="0" t="str">
        <f aca="false">IF(B998="","",IF(COUNTIF(Campaigns!$A$7:$A$300,B998)&gt;0,"✓","⚠ add to Campaigns tab"))</f>
        <v/>
      </c>
      <c r="I998" s="84" t="str">
        <f aca="false">IF(C998="","",C998*IF(Settings!$B$23=Settings!$C$6,1,IF(Settings!$B$23="USD",1/INDEX(Settings!$B$29:$B$40,MONTH(A998)),INDEX(Settings!$B$29:$B$40,MONTH(A998)))))</f>
        <v/>
      </c>
    </row>
    <row r="999" customFormat="false" ht="15" hidden="false" customHeight="false" outlineLevel="0" collapsed="false">
      <c r="H999" s="0" t="str">
        <f aca="false">IF(B999="","",IF(COUNTIF(Campaigns!$A$7:$A$300,B999)&gt;0,"✓","⚠ add to Campaigns tab"))</f>
        <v/>
      </c>
      <c r="I999" s="84" t="str">
        <f aca="false">IF(C999="","",C999*IF(Settings!$B$23=Settings!$C$6,1,IF(Settings!$B$23="USD",1/INDEX(Settings!$B$29:$B$40,MONTH(A999)),INDEX(Settings!$B$29:$B$40,MONTH(A999)))))</f>
        <v/>
      </c>
    </row>
    <row r="1000" customFormat="false" ht="15" hidden="false" customHeight="false" outlineLevel="0" collapsed="false">
      <c r="H1000" s="0" t="str">
        <f aca="false">IF(B1000="","",IF(COUNTIF(Campaigns!$A$7:$A$300,B1000)&gt;0,"✓","⚠ add to Campaigns tab"))</f>
        <v/>
      </c>
      <c r="I1000" s="84" t="str">
        <f aca="false">IF(C1000="","",C1000*IF(Settings!$B$23=Settings!$C$6,1,IF(Settings!$B$23="USD",1/INDEX(Settings!$B$29:$B$40,MONTH(A1000)),INDEX(Settings!$B$29:$B$40,MONTH(A1000)))))</f>
        <v/>
      </c>
    </row>
    <row r="1001" customFormat="false" ht="15" hidden="false" customHeight="false" outlineLevel="0" collapsed="false">
      <c r="H1001" s="0" t="str">
        <f aca="false">IF(B1001="","",IF(COUNTIF(Campaigns!$A$7:$A$300,B1001)&gt;0,"✓","⚠ add to Campaigns tab"))</f>
        <v/>
      </c>
      <c r="I1001" s="84" t="str">
        <f aca="false">IF(C1001="","",C1001*IF(Settings!$B$23=Settings!$C$6,1,IF(Settings!$B$23="USD",1/INDEX(Settings!$B$29:$B$40,MONTH(A1001)),INDEX(Settings!$B$29:$B$40,MONTH(A1001)))))</f>
        <v/>
      </c>
    </row>
    <row r="1002" customFormat="false" ht="15" hidden="false" customHeight="false" outlineLevel="0" collapsed="false">
      <c r="H1002" s="0" t="str">
        <f aca="false">IF(B1002="","",IF(COUNTIF(Campaigns!$A$7:$A$300,B1002)&gt;0,"✓","⚠ add to Campaigns tab"))</f>
        <v/>
      </c>
      <c r="I1002" s="84" t="str">
        <f aca="false">IF(C1002="","",C1002*IF(Settings!$B$23=Settings!$C$6,1,IF(Settings!$B$23="USD",1/INDEX(Settings!$B$29:$B$40,MONTH(A1002)),INDEX(Settings!$B$29:$B$40,MONTH(A1002)))))</f>
        <v/>
      </c>
    </row>
    <row r="1003" customFormat="false" ht="15" hidden="false" customHeight="false" outlineLevel="0" collapsed="false">
      <c r="H1003" s="0" t="str">
        <f aca="false">IF(B1003="","",IF(COUNTIF(Campaigns!$A$7:$A$300,B1003)&gt;0,"✓","⚠ add to Campaigns tab"))</f>
        <v/>
      </c>
      <c r="I1003" s="84" t="str">
        <f aca="false">IF(C1003="","",C1003*IF(Settings!$B$23=Settings!$C$6,1,IF(Settings!$B$23="USD",1/INDEX(Settings!$B$29:$B$40,MONTH(A1003)),INDEX(Settings!$B$29:$B$40,MONTH(A1003)))))</f>
        <v/>
      </c>
    </row>
    <row r="1004" customFormat="false" ht="15" hidden="false" customHeight="false" outlineLevel="0" collapsed="false">
      <c r="H1004" s="0" t="str">
        <f aca="false">IF(B1004="","",IF(COUNTIF(Campaigns!$A$7:$A$300,B1004)&gt;0,"✓","⚠ add to Campaigns tab"))</f>
        <v/>
      </c>
      <c r="I1004" s="84" t="str">
        <f aca="false">IF(C1004="","",C1004*IF(Settings!$B$23=Settings!$C$6,1,IF(Settings!$B$23="USD",1/INDEX(Settings!$B$29:$B$40,MONTH(A1004)),INDEX(Settings!$B$29:$B$40,MONTH(A1004)))))</f>
        <v/>
      </c>
    </row>
    <row r="1005" customFormat="false" ht="15" hidden="false" customHeight="false" outlineLevel="0" collapsed="false">
      <c r="H1005" s="0" t="str">
        <f aca="false">IF(B1005="","",IF(COUNTIF(Campaigns!$A$7:$A$300,B1005)&gt;0,"✓","⚠ add to Campaigns tab"))</f>
        <v/>
      </c>
      <c r="I1005" s="84" t="str">
        <f aca="false">IF(C1005="","",C1005*IF(Settings!$B$23=Settings!$C$6,1,IF(Settings!$B$23="USD",1/INDEX(Settings!$B$29:$B$40,MONTH(A1005)),INDEX(Settings!$B$29:$B$40,MONTH(A1005)))))</f>
        <v/>
      </c>
    </row>
    <row r="1006" customFormat="false" ht="15" hidden="false" customHeight="false" outlineLevel="0" collapsed="false">
      <c r="H1006" s="0" t="str">
        <f aca="false">IF(B1006="","",IF(COUNTIF(Campaigns!$A$7:$A$300,B1006)&gt;0,"✓","⚠ add to Campaigns tab"))</f>
        <v/>
      </c>
      <c r="I1006" s="84" t="str">
        <f aca="false">IF(C1006="","",C1006*IF(Settings!$B$23=Settings!$C$6,1,IF(Settings!$B$23="USD",1/INDEX(Settings!$B$29:$B$40,MONTH(A1006)),INDEX(Settings!$B$29:$B$40,MONTH(A1006)))))</f>
        <v/>
      </c>
    </row>
    <row r="1007" customFormat="false" ht="15" hidden="false" customHeight="false" outlineLevel="0" collapsed="false">
      <c r="H1007" s="0" t="str">
        <f aca="false">IF(B1007="","",IF(COUNTIF(Campaigns!$A$7:$A$300,B1007)&gt;0,"✓","⚠ add to Campaigns tab"))</f>
        <v/>
      </c>
      <c r="I1007" s="84" t="str">
        <f aca="false">IF(C1007="","",C1007*IF(Settings!$B$23=Settings!$C$6,1,IF(Settings!$B$23="USD",1/INDEX(Settings!$B$29:$B$40,MONTH(A1007)),INDEX(Settings!$B$29:$B$40,MONTH(A1007)))))</f>
        <v/>
      </c>
    </row>
    <row r="1008" customFormat="false" ht="15" hidden="false" customHeight="false" outlineLevel="0" collapsed="false">
      <c r="H1008" s="0" t="str">
        <f aca="false">IF(B1008="","",IF(COUNTIF(Campaigns!$A$7:$A$300,B1008)&gt;0,"✓","⚠ add to Campaigns tab"))</f>
        <v/>
      </c>
      <c r="I1008" s="84" t="str">
        <f aca="false">IF(C1008="","",C1008*IF(Settings!$B$23=Settings!$C$6,1,IF(Settings!$B$23="USD",1/INDEX(Settings!$B$29:$B$40,MONTH(A1008)),INDEX(Settings!$B$29:$B$40,MONTH(A1008)))))</f>
        <v/>
      </c>
    </row>
    <row r="1009" customFormat="false" ht="15" hidden="false" customHeight="false" outlineLevel="0" collapsed="false">
      <c r="H1009" s="0" t="str">
        <f aca="false">IF(B1009="","",IF(COUNTIF(Campaigns!$A$7:$A$300,B1009)&gt;0,"✓","⚠ add to Campaigns tab"))</f>
        <v/>
      </c>
      <c r="I1009" s="84" t="str">
        <f aca="false">IF(C1009="","",C1009*IF(Settings!$B$23=Settings!$C$6,1,IF(Settings!$B$23="USD",1/INDEX(Settings!$B$29:$B$40,MONTH(A1009)),INDEX(Settings!$B$29:$B$40,MONTH(A1009)))))</f>
        <v/>
      </c>
    </row>
    <row r="1010" customFormat="false" ht="15" hidden="false" customHeight="false" outlineLevel="0" collapsed="false">
      <c r="H1010" s="0" t="str">
        <f aca="false">IF(B1010="","",IF(COUNTIF(Campaigns!$A$7:$A$300,B1010)&gt;0,"✓","⚠ add to Campaigns tab"))</f>
        <v/>
      </c>
      <c r="I1010" s="84" t="str">
        <f aca="false">IF(C1010="","",C1010*IF(Settings!$B$23=Settings!$C$6,1,IF(Settings!$B$23="USD",1/INDEX(Settings!$B$29:$B$40,MONTH(A1010)),INDEX(Settings!$B$29:$B$40,MONTH(A1010)))))</f>
        <v/>
      </c>
    </row>
    <row r="1011" customFormat="false" ht="15" hidden="false" customHeight="false" outlineLevel="0" collapsed="false">
      <c r="H1011" s="0" t="str">
        <f aca="false">IF(B1011="","",IF(COUNTIF(Campaigns!$A$7:$A$300,B1011)&gt;0,"✓","⚠ add to Campaigns tab"))</f>
        <v/>
      </c>
      <c r="I1011" s="84" t="str">
        <f aca="false">IF(C1011="","",C1011*IF(Settings!$B$23=Settings!$C$6,1,IF(Settings!$B$23="USD",1/INDEX(Settings!$B$29:$B$40,MONTH(A1011)),INDEX(Settings!$B$29:$B$40,MONTH(A1011)))))</f>
        <v/>
      </c>
    </row>
    <row r="1012" customFormat="false" ht="15" hidden="false" customHeight="false" outlineLevel="0" collapsed="false">
      <c r="H1012" s="0" t="str">
        <f aca="false">IF(B1012="","",IF(COUNTIF(Campaigns!$A$7:$A$300,B1012)&gt;0,"✓","⚠ add to Campaigns tab"))</f>
        <v/>
      </c>
      <c r="I1012" s="84" t="str">
        <f aca="false">IF(C1012="","",C1012*IF(Settings!$B$23=Settings!$C$6,1,IF(Settings!$B$23="USD",1/INDEX(Settings!$B$29:$B$40,MONTH(A1012)),INDEX(Settings!$B$29:$B$40,MONTH(A1012)))))</f>
        <v/>
      </c>
    </row>
    <row r="1013" customFormat="false" ht="15" hidden="false" customHeight="false" outlineLevel="0" collapsed="false">
      <c r="H1013" s="0" t="str">
        <f aca="false">IF(B1013="","",IF(COUNTIF(Campaigns!$A$7:$A$300,B1013)&gt;0,"✓","⚠ add to Campaigns tab"))</f>
        <v/>
      </c>
      <c r="I1013" s="84" t="str">
        <f aca="false">IF(C1013="","",C1013*IF(Settings!$B$23=Settings!$C$6,1,IF(Settings!$B$23="USD",1/INDEX(Settings!$B$29:$B$40,MONTH(A1013)),INDEX(Settings!$B$29:$B$40,MONTH(A1013)))))</f>
        <v/>
      </c>
    </row>
    <row r="1014" customFormat="false" ht="15" hidden="false" customHeight="false" outlineLevel="0" collapsed="false">
      <c r="H1014" s="0" t="str">
        <f aca="false">IF(B1014="","",IF(COUNTIF(Campaigns!$A$7:$A$300,B1014)&gt;0,"✓","⚠ add to Campaigns tab"))</f>
        <v/>
      </c>
      <c r="I1014" s="84" t="str">
        <f aca="false">IF(C1014="","",C1014*IF(Settings!$B$23=Settings!$C$6,1,IF(Settings!$B$23="USD",1/INDEX(Settings!$B$29:$B$40,MONTH(A1014)),INDEX(Settings!$B$29:$B$40,MONTH(A1014)))))</f>
        <v/>
      </c>
    </row>
    <row r="1015" customFormat="false" ht="15" hidden="false" customHeight="false" outlineLevel="0" collapsed="false">
      <c r="H1015" s="0" t="str">
        <f aca="false">IF(B1015="","",IF(COUNTIF(Campaigns!$A$7:$A$300,B1015)&gt;0,"✓","⚠ add to Campaigns tab"))</f>
        <v/>
      </c>
      <c r="I1015" s="84" t="str">
        <f aca="false">IF(C1015="","",C1015*IF(Settings!$B$23=Settings!$C$6,1,IF(Settings!$B$23="USD",1/INDEX(Settings!$B$29:$B$40,MONTH(A1015)),INDEX(Settings!$B$29:$B$40,MONTH(A1015)))))</f>
        <v/>
      </c>
    </row>
    <row r="1016" customFormat="false" ht="15" hidden="false" customHeight="false" outlineLevel="0" collapsed="false">
      <c r="H1016" s="0" t="str">
        <f aca="false">IF(B1016="","",IF(COUNTIF(Campaigns!$A$7:$A$300,B1016)&gt;0,"✓","⚠ add to Campaigns tab"))</f>
        <v/>
      </c>
      <c r="I1016" s="84" t="str">
        <f aca="false">IF(C1016="","",C1016*IF(Settings!$B$23=Settings!$C$6,1,IF(Settings!$B$23="USD",1/INDEX(Settings!$B$29:$B$40,MONTH(A1016)),INDEX(Settings!$B$29:$B$40,MONTH(A1016)))))</f>
        <v/>
      </c>
    </row>
    <row r="1017" customFormat="false" ht="15" hidden="false" customHeight="false" outlineLevel="0" collapsed="false">
      <c r="H1017" s="0" t="str">
        <f aca="false">IF(B1017="","",IF(COUNTIF(Campaigns!$A$7:$A$300,B1017)&gt;0,"✓","⚠ add to Campaigns tab"))</f>
        <v/>
      </c>
      <c r="I1017" s="84" t="str">
        <f aca="false">IF(C1017="","",C1017*IF(Settings!$B$23=Settings!$C$6,1,IF(Settings!$B$23="USD",1/INDEX(Settings!$B$29:$B$40,MONTH(A1017)),INDEX(Settings!$B$29:$B$40,MONTH(A1017)))))</f>
        <v/>
      </c>
    </row>
    <row r="1018" customFormat="false" ht="15" hidden="false" customHeight="false" outlineLevel="0" collapsed="false">
      <c r="H1018" s="0" t="str">
        <f aca="false">IF(B1018="","",IF(COUNTIF(Campaigns!$A$7:$A$300,B1018)&gt;0,"✓","⚠ add to Campaigns tab"))</f>
        <v/>
      </c>
      <c r="I1018" s="84" t="str">
        <f aca="false">IF(C1018="","",C1018*IF(Settings!$B$23=Settings!$C$6,1,IF(Settings!$B$23="USD",1/INDEX(Settings!$B$29:$B$40,MONTH(A1018)),INDEX(Settings!$B$29:$B$40,MONTH(A1018)))))</f>
        <v/>
      </c>
    </row>
    <row r="1019" customFormat="false" ht="15" hidden="false" customHeight="false" outlineLevel="0" collapsed="false">
      <c r="H1019" s="0" t="str">
        <f aca="false">IF(B1019="","",IF(COUNTIF(Campaigns!$A$7:$A$300,B1019)&gt;0,"✓","⚠ add to Campaigns tab"))</f>
        <v/>
      </c>
      <c r="I1019" s="84" t="str">
        <f aca="false">IF(C1019="","",C1019*IF(Settings!$B$23=Settings!$C$6,1,IF(Settings!$B$23="USD",1/INDEX(Settings!$B$29:$B$40,MONTH(A1019)),INDEX(Settings!$B$29:$B$40,MONTH(A1019)))))</f>
        <v/>
      </c>
    </row>
    <row r="1020" customFormat="false" ht="15" hidden="false" customHeight="false" outlineLevel="0" collapsed="false">
      <c r="H1020" s="0" t="str">
        <f aca="false">IF(B1020="","",IF(COUNTIF(Campaigns!$A$7:$A$300,B1020)&gt;0,"✓","⚠ add to Campaigns tab"))</f>
        <v/>
      </c>
      <c r="I1020" s="84" t="str">
        <f aca="false">IF(C1020="","",C1020*IF(Settings!$B$23=Settings!$C$6,1,IF(Settings!$B$23="USD",1/INDEX(Settings!$B$29:$B$40,MONTH(A1020)),INDEX(Settings!$B$29:$B$40,MONTH(A1020)))))</f>
        <v/>
      </c>
    </row>
    <row r="1021" customFormat="false" ht="15" hidden="false" customHeight="false" outlineLevel="0" collapsed="false">
      <c r="H1021" s="0" t="str">
        <f aca="false">IF(B1021="","",IF(COUNTIF(Campaigns!$A$7:$A$300,B1021)&gt;0,"✓","⚠ add to Campaigns tab"))</f>
        <v/>
      </c>
      <c r="I1021" s="84" t="str">
        <f aca="false">IF(C1021="","",C1021*IF(Settings!$B$23=Settings!$C$6,1,IF(Settings!$B$23="USD",1/INDEX(Settings!$B$29:$B$40,MONTH(A1021)),INDEX(Settings!$B$29:$B$40,MONTH(A1021)))))</f>
        <v/>
      </c>
    </row>
    <row r="1022" customFormat="false" ht="15" hidden="false" customHeight="false" outlineLevel="0" collapsed="false">
      <c r="H1022" s="0" t="str">
        <f aca="false">IF(B1022="","",IF(COUNTIF(Campaigns!$A$7:$A$300,B1022)&gt;0,"✓","⚠ add to Campaigns tab"))</f>
        <v/>
      </c>
      <c r="I1022" s="84" t="str">
        <f aca="false">IF(C1022="","",C1022*IF(Settings!$B$23=Settings!$C$6,1,IF(Settings!$B$23="USD",1/INDEX(Settings!$B$29:$B$40,MONTH(A1022)),INDEX(Settings!$B$29:$B$40,MONTH(A1022)))))</f>
        <v/>
      </c>
    </row>
    <row r="1023" customFormat="false" ht="15" hidden="false" customHeight="false" outlineLevel="0" collapsed="false">
      <c r="H1023" s="0" t="str">
        <f aca="false">IF(B1023="","",IF(COUNTIF(Campaigns!$A$7:$A$300,B1023)&gt;0,"✓","⚠ add to Campaigns tab"))</f>
        <v/>
      </c>
      <c r="I1023" s="84" t="str">
        <f aca="false">IF(C1023="","",C1023*IF(Settings!$B$23=Settings!$C$6,1,IF(Settings!$B$23="USD",1/INDEX(Settings!$B$29:$B$40,MONTH(A1023)),INDEX(Settings!$B$29:$B$40,MONTH(A1023)))))</f>
        <v/>
      </c>
    </row>
    <row r="1024" customFormat="false" ht="15" hidden="false" customHeight="false" outlineLevel="0" collapsed="false">
      <c r="H1024" s="0" t="str">
        <f aca="false">IF(B1024="","",IF(COUNTIF(Campaigns!$A$7:$A$300,B1024)&gt;0,"✓","⚠ add to Campaigns tab"))</f>
        <v/>
      </c>
      <c r="I1024" s="84" t="str">
        <f aca="false">IF(C1024="","",C1024*IF(Settings!$B$23=Settings!$C$6,1,IF(Settings!$B$23="USD",1/INDEX(Settings!$B$29:$B$40,MONTH(A1024)),INDEX(Settings!$B$29:$B$40,MONTH(A1024)))))</f>
        <v/>
      </c>
    </row>
    <row r="1025" customFormat="false" ht="15" hidden="false" customHeight="false" outlineLevel="0" collapsed="false">
      <c r="H1025" s="0" t="str">
        <f aca="false">IF(B1025="","",IF(COUNTIF(Campaigns!$A$7:$A$300,B1025)&gt;0,"✓","⚠ add to Campaigns tab"))</f>
        <v/>
      </c>
      <c r="I1025" s="84" t="str">
        <f aca="false">IF(C1025="","",C1025*IF(Settings!$B$23=Settings!$C$6,1,IF(Settings!$B$23="USD",1/INDEX(Settings!$B$29:$B$40,MONTH(A1025)),INDEX(Settings!$B$29:$B$40,MONTH(A1025)))))</f>
        <v/>
      </c>
    </row>
    <row r="1026" customFormat="false" ht="15" hidden="false" customHeight="false" outlineLevel="0" collapsed="false">
      <c r="H1026" s="0" t="str">
        <f aca="false">IF(B1026="","",IF(COUNTIF(Campaigns!$A$7:$A$300,B1026)&gt;0,"✓","⚠ add to Campaigns tab"))</f>
        <v/>
      </c>
      <c r="I1026" s="84" t="str">
        <f aca="false">IF(C1026="","",C1026*IF(Settings!$B$23=Settings!$C$6,1,IF(Settings!$B$23="USD",1/INDEX(Settings!$B$29:$B$40,MONTH(A1026)),INDEX(Settings!$B$29:$B$40,MONTH(A1026)))))</f>
        <v/>
      </c>
    </row>
    <row r="1027" customFormat="false" ht="15" hidden="false" customHeight="false" outlineLevel="0" collapsed="false">
      <c r="H1027" s="0" t="str">
        <f aca="false">IF(B1027="","",IF(COUNTIF(Campaigns!$A$7:$A$300,B1027)&gt;0,"✓","⚠ add to Campaigns tab"))</f>
        <v/>
      </c>
      <c r="I1027" s="84" t="str">
        <f aca="false">IF(C1027="","",C1027*IF(Settings!$B$23=Settings!$C$6,1,IF(Settings!$B$23="USD",1/INDEX(Settings!$B$29:$B$40,MONTH(A1027)),INDEX(Settings!$B$29:$B$40,MONTH(A1027)))))</f>
        <v/>
      </c>
    </row>
    <row r="1028" customFormat="false" ht="15" hidden="false" customHeight="false" outlineLevel="0" collapsed="false">
      <c r="H1028" s="0" t="str">
        <f aca="false">IF(B1028="","",IF(COUNTIF(Campaigns!$A$7:$A$300,B1028)&gt;0,"✓","⚠ add to Campaigns tab"))</f>
        <v/>
      </c>
      <c r="I1028" s="84" t="str">
        <f aca="false">IF(C1028="","",C1028*IF(Settings!$B$23=Settings!$C$6,1,IF(Settings!$B$23="USD",1/INDEX(Settings!$B$29:$B$40,MONTH(A1028)),INDEX(Settings!$B$29:$B$40,MONTH(A1028)))))</f>
        <v/>
      </c>
    </row>
    <row r="1029" customFormat="false" ht="15" hidden="false" customHeight="false" outlineLevel="0" collapsed="false">
      <c r="H1029" s="0" t="str">
        <f aca="false">IF(B1029="","",IF(COUNTIF(Campaigns!$A$7:$A$300,B1029)&gt;0,"✓","⚠ add to Campaigns tab"))</f>
        <v/>
      </c>
      <c r="I1029" s="84" t="str">
        <f aca="false">IF(C1029="","",C1029*IF(Settings!$B$23=Settings!$C$6,1,IF(Settings!$B$23="USD",1/INDEX(Settings!$B$29:$B$40,MONTH(A1029)),INDEX(Settings!$B$29:$B$40,MONTH(A1029)))))</f>
        <v/>
      </c>
    </row>
    <row r="1030" customFormat="false" ht="15" hidden="false" customHeight="false" outlineLevel="0" collapsed="false">
      <c r="H1030" s="0" t="str">
        <f aca="false">IF(B1030="","",IF(COUNTIF(Campaigns!$A$7:$A$300,B1030)&gt;0,"✓","⚠ add to Campaigns tab"))</f>
        <v/>
      </c>
      <c r="I1030" s="84" t="str">
        <f aca="false">IF(C1030="","",C1030*IF(Settings!$B$23=Settings!$C$6,1,IF(Settings!$B$23="USD",1/INDEX(Settings!$B$29:$B$40,MONTH(A1030)),INDEX(Settings!$B$29:$B$40,MONTH(A1030)))))</f>
        <v/>
      </c>
    </row>
    <row r="1031" customFormat="false" ht="15" hidden="false" customHeight="false" outlineLevel="0" collapsed="false">
      <c r="H1031" s="0" t="str">
        <f aca="false">IF(B1031="","",IF(COUNTIF(Campaigns!$A$7:$A$300,B1031)&gt;0,"✓","⚠ add to Campaigns tab"))</f>
        <v/>
      </c>
      <c r="I1031" s="84" t="str">
        <f aca="false">IF(C1031="","",C1031*IF(Settings!$B$23=Settings!$C$6,1,IF(Settings!$B$23="USD",1/INDEX(Settings!$B$29:$B$40,MONTH(A1031)),INDEX(Settings!$B$29:$B$40,MONTH(A1031)))))</f>
        <v/>
      </c>
    </row>
    <row r="1032" customFormat="false" ht="15" hidden="false" customHeight="false" outlineLevel="0" collapsed="false">
      <c r="H1032" s="0" t="str">
        <f aca="false">IF(B1032="","",IF(COUNTIF(Campaigns!$A$7:$A$300,B1032)&gt;0,"✓","⚠ add to Campaigns tab"))</f>
        <v/>
      </c>
      <c r="I1032" s="84" t="str">
        <f aca="false">IF(C1032="","",C1032*IF(Settings!$B$23=Settings!$C$6,1,IF(Settings!$B$23="USD",1/INDEX(Settings!$B$29:$B$40,MONTH(A1032)),INDEX(Settings!$B$29:$B$40,MONTH(A1032)))))</f>
        <v/>
      </c>
    </row>
    <row r="1033" customFormat="false" ht="15" hidden="false" customHeight="false" outlineLevel="0" collapsed="false">
      <c r="H1033" s="0" t="str">
        <f aca="false">IF(B1033="","",IF(COUNTIF(Campaigns!$A$7:$A$300,B1033)&gt;0,"✓","⚠ add to Campaigns tab"))</f>
        <v/>
      </c>
      <c r="I1033" s="84" t="str">
        <f aca="false">IF(C1033="","",C1033*IF(Settings!$B$23=Settings!$C$6,1,IF(Settings!$B$23="USD",1/INDEX(Settings!$B$29:$B$40,MONTH(A1033)),INDEX(Settings!$B$29:$B$40,MONTH(A1033)))))</f>
        <v/>
      </c>
    </row>
    <row r="1034" customFormat="false" ht="15" hidden="false" customHeight="false" outlineLevel="0" collapsed="false">
      <c r="H1034" s="0" t="str">
        <f aca="false">IF(B1034="","",IF(COUNTIF(Campaigns!$A$7:$A$300,B1034)&gt;0,"✓","⚠ add to Campaigns tab"))</f>
        <v/>
      </c>
      <c r="I1034" s="84" t="str">
        <f aca="false">IF(C1034="","",C1034*IF(Settings!$B$23=Settings!$C$6,1,IF(Settings!$B$23="USD",1/INDEX(Settings!$B$29:$B$40,MONTH(A1034)),INDEX(Settings!$B$29:$B$40,MONTH(A1034)))))</f>
        <v/>
      </c>
    </row>
    <row r="1035" customFormat="false" ht="15" hidden="false" customHeight="false" outlineLevel="0" collapsed="false">
      <c r="H1035" s="0" t="str">
        <f aca="false">IF(B1035="","",IF(COUNTIF(Campaigns!$A$7:$A$300,B1035)&gt;0,"✓","⚠ add to Campaigns tab"))</f>
        <v/>
      </c>
      <c r="I1035" s="84" t="str">
        <f aca="false">IF(C1035="","",C1035*IF(Settings!$B$23=Settings!$C$6,1,IF(Settings!$B$23="USD",1/INDEX(Settings!$B$29:$B$40,MONTH(A1035)),INDEX(Settings!$B$29:$B$40,MONTH(A1035)))))</f>
        <v/>
      </c>
    </row>
    <row r="1036" customFormat="false" ht="15" hidden="false" customHeight="false" outlineLevel="0" collapsed="false">
      <c r="H1036" s="0" t="str">
        <f aca="false">IF(B1036="","",IF(COUNTIF(Campaigns!$A$7:$A$300,B1036)&gt;0,"✓","⚠ add to Campaigns tab"))</f>
        <v/>
      </c>
      <c r="I1036" s="84" t="str">
        <f aca="false">IF(C1036="","",C1036*IF(Settings!$B$23=Settings!$C$6,1,IF(Settings!$B$23="USD",1/INDEX(Settings!$B$29:$B$40,MONTH(A1036)),INDEX(Settings!$B$29:$B$40,MONTH(A1036)))))</f>
        <v/>
      </c>
    </row>
    <row r="1037" customFormat="false" ht="15" hidden="false" customHeight="false" outlineLevel="0" collapsed="false">
      <c r="H1037" s="0" t="str">
        <f aca="false">IF(B1037="","",IF(COUNTIF(Campaigns!$A$7:$A$300,B1037)&gt;0,"✓","⚠ add to Campaigns tab"))</f>
        <v/>
      </c>
      <c r="I1037" s="84" t="str">
        <f aca="false">IF(C1037="","",C1037*IF(Settings!$B$23=Settings!$C$6,1,IF(Settings!$B$23="USD",1/INDEX(Settings!$B$29:$B$40,MONTH(A1037)),INDEX(Settings!$B$29:$B$40,MONTH(A1037)))))</f>
        <v/>
      </c>
    </row>
    <row r="1038" customFormat="false" ht="15" hidden="false" customHeight="false" outlineLevel="0" collapsed="false">
      <c r="H1038" s="0" t="str">
        <f aca="false">IF(B1038="","",IF(COUNTIF(Campaigns!$A$7:$A$300,B1038)&gt;0,"✓","⚠ add to Campaigns tab"))</f>
        <v/>
      </c>
      <c r="I1038" s="84" t="str">
        <f aca="false">IF(C1038="","",C1038*IF(Settings!$B$23=Settings!$C$6,1,IF(Settings!$B$23="USD",1/INDEX(Settings!$B$29:$B$40,MONTH(A1038)),INDEX(Settings!$B$29:$B$40,MONTH(A1038)))))</f>
        <v/>
      </c>
    </row>
    <row r="1039" customFormat="false" ht="15" hidden="false" customHeight="false" outlineLevel="0" collapsed="false">
      <c r="H1039" s="0" t="str">
        <f aca="false">IF(B1039="","",IF(COUNTIF(Campaigns!$A$7:$A$300,B1039)&gt;0,"✓","⚠ add to Campaigns tab"))</f>
        <v/>
      </c>
      <c r="I1039" s="84" t="str">
        <f aca="false">IF(C1039="","",C1039*IF(Settings!$B$23=Settings!$C$6,1,IF(Settings!$B$23="USD",1/INDEX(Settings!$B$29:$B$40,MONTH(A1039)),INDEX(Settings!$B$29:$B$40,MONTH(A1039)))))</f>
        <v/>
      </c>
    </row>
    <row r="1040" customFormat="false" ht="15" hidden="false" customHeight="false" outlineLevel="0" collapsed="false">
      <c r="H1040" s="0" t="str">
        <f aca="false">IF(B1040="","",IF(COUNTIF(Campaigns!$A$7:$A$300,B1040)&gt;0,"✓","⚠ add to Campaigns tab"))</f>
        <v/>
      </c>
      <c r="I1040" s="84" t="str">
        <f aca="false">IF(C1040="","",C1040*IF(Settings!$B$23=Settings!$C$6,1,IF(Settings!$B$23="USD",1/INDEX(Settings!$B$29:$B$40,MONTH(A1040)),INDEX(Settings!$B$29:$B$40,MONTH(A1040)))))</f>
        <v/>
      </c>
    </row>
    <row r="1041" customFormat="false" ht="15" hidden="false" customHeight="false" outlineLevel="0" collapsed="false">
      <c r="H1041" s="0" t="str">
        <f aca="false">IF(B1041="","",IF(COUNTIF(Campaigns!$A$7:$A$300,B1041)&gt;0,"✓","⚠ add to Campaigns tab"))</f>
        <v/>
      </c>
      <c r="I1041" s="84" t="str">
        <f aca="false">IF(C1041="","",C1041*IF(Settings!$B$23=Settings!$C$6,1,IF(Settings!$B$23="USD",1/INDEX(Settings!$B$29:$B$40,MONTH(A1041)),INDEX(Settings!$B$29:$B$40,MONTH(A1041)))))</f>
        <v/>
      </c>
    </row>
    <row r="1042" customFormat="false" ht="15" hidden="false" customHeight="false" outlineLevel="0" collapsed="false">
      <c r="H1042" s="0" t="str">
        <f aca="false">IF(B1042="","",IF(COUNTIF(Campaigns!$A$7:$A$300,B1042)&gt;0,"✓","⚠ add to Campaigns tab"))</f>
        <v/>
      </c>
      <c r="I1042" s="84" t="str">
        <f aca="false">IF(C1042="","",C1042*IF(Settings!$B$23=Settings!$C$6,1,IF(Settings!$B$23="USD",1/INDEX(Settings!$B$29:$B$40,MONTH(A1042)),INDEX(Settings!$B$29:$B$40,MONTH(A1042)))))</f>
        <v/>
      </c>
    </row>
    <row r="1043" customFormat="false" ht="15" hidden="false" customHeight="false" outlineLevel="0" collapsed="false">
      <c r="H1043" s="0" t="str">
        <f aca="false">IF(B1043="","",IF(COUNTIF(Campaigns!$A$7:$A$300,B1043)&gt;0,"✓","⚠ add to Campaigns tab"))</f>
        <v/>
      </c>
      <c r="I1043" s="84" t="str">
        <f aca="false">IF(C1043="","",C1043*IF(Settings!$B$23=Settings!$C$6,1,IF(Settings!$B$23="USD",1/INDEX(Settings!$B$29:$B$40,MONTH(A1043)),INDEX(Settings!$B$29:$B$40,MONTH(A1043)))))</f>
        <v/>
      </c>
    </row>
    <row r="1044" customFormat="false" ht="15" hidden="false" customHeight="false" outlineLevel="0" collapsed="false">
      <c r="H1044" s="0" t="str">
        <f aca="false">IF(B1044="","",IF(COUNTIF(Campaigns!$A$7:$A$300,B1044)&gt;0,"✓","⚠ add to Campaigns tab"))</f>
        <v/>
      </c>
      <c r="I1044" s="84" t="str">
        <f aca="false">IF(C1044="","",C1044*IF(Settings!$B$23=Settings!$C$6,1,IF(Settings!$B$23="USD",1/INDEX(Settings!$B$29:$B$40,MONTH(A1044)),INDEX(Settings!$B$29:$B$40,MONTH(A1044)))))</f>
        <v/>
      </c>
    </row>
    <row r="1045" customFormat="false" ht="15" hidden="false" customHeight="false" outlineLevel="0" collapsed="false">
      <c r="H1045" s="0" t="str">
        <f aca="false">IF(B1045="","",IF(COUNTIF(Campaigns!$A$7:$A$300,B1045)&gt;0,"✓","⚠ add to Campaigns tab"))</f>
        <v/>
      </c>
      <c r="I1045" s="84" t="str">
        <f aca="false">IF(C1045="","",C1045*IF(Settings!$B$23=Settings!$C$6,1,IF(Settings!$B$23="USD",1/INDEX(Settings!$B$29:$B$40,MONTH(A1045)),INDEX(Settings!$B$29:$B$40,MONTH(A1045)))))</f>
        <v/>
      </c>
    </row>
    <row r="1046" customFormat="false" ht="15" hidden="false" customHeight="false" outlineLevel="0" collapsed="false">
      <c r="H1046" s="0" t="str">
        <f aca="false">IF(B1046="","",IF(COUNTIF(Campaigns!$A$7:$A$300,B1046)&gt;0,"✓","⚠ add to Campaigns tab"))</f>
        <v/>
      </c>
      <c r="I1046" s="84" t="str">
        <f aca="false">IF(C1046="","",C1046*IF(Settings!$B$23=Settings!$C$6,1,IF(Settings!$B$23="USD",1/INDEX(Settings!$B$29:$B$40,MONTH(A1046)),INDEX(Settings!$B$29:$B$40,MONTH(A1046)))))</f>
        <v/>
      </c>
    </row>
    <row r="1047" customFormat="false" ht="15" hidden="false" customHeight="false" outlineLevel="0" collapsed="false">
      <c r="H1047" s="0" t="str">
        <f aca="false">IF(B1047="","",IF(COUNTIF(Campaigns!$A$7:$A$300,B1047)&gt;0,"✓","⚠ add to Campaigns tab"))</f>
        <v/>
      </c>
      <c r="I1047" s="84" t="str">
        <f aca="false">IF(C1047="","",C1047*IF(Settings!$B$23=Settings!$C$6,1,IF(Settings!$B$23="USD",1/INDEX(Settings!$B$29:$B$40,MONTH(A1047)),INDEX(Settings!$B$29:$B$40,MONTH(A1047)))))</f>
        <v/>
      </c>
    </row>
    <row r="1048" customFormat="false" ht="15" hidden="false" customHeight="false" outlineLevel="0" collapsed="false">
      <c r="H1048" s="0" t="str">
        <f aca="false">IF(B1048="","",IF(COUNTIF(Campaigns!$A$7:$A$300,B1048)&gt;0,"✓","⚠ add to Campaigns tab"))</f>
        <v/>
      </c>
      <c r="I1048" s="84" t="str">
        <f aca="false">IF(C1048="","",C1048*IF(Settings!$B$23=Settings!$C$6,1,IF(Settings!$B$23="USD",1/INDEX(Settings!$B$29:$B$40,MONTH(A1048)),INDEX(Settings!$B$29:$B$40,MONTH(A1048)))))</f>
        <v/>
      </c>
    </row>
    <row r="1049" customFormat="false" ht="15" hidden="false" customHeight="false" outlineLevel="0" collapsed="false">
      <c r="H1049" s="0" t="str">
        <f aca="false">IF(B1049="","",IF(COUNTIF(Campaigns!$A$7:$A$300,B1049)&gt;0,"✓","⚠ add to Campaigns tab"))</f>
        <v/>
      </c>
      <c r="I1049" s="84" t="str">
        <f aca="false">IF(C1049="","",C1049*IF(Settings!$B$23=Settings!$C$6,1,IF(Settings!$B$23="USD",1/INDEX(Settings!$B$29:$B$40,MONTH(A1049)),INDEX(Settings!$B$29:$B$40,MONTH(A1049)))))</f>
        <v/>
      </c>
    </row>
    <row r="1050" customFormat="false" ht="15" hidden="false" customHeight="false" outlineLevel="0" collapsed="false">
      <c r="H1050" s="0" t="str">
        <f aca="false">IF(B1050="","",IF(COUNTIF(Campaigns!$A$7:$A$300,B1050)&gt;0,"✓","⚠ add to Campaigns tab"))</f>
        <v/>
      </c>
      <c r="I1050" s="84" t="str">
        <f aca="false">IF(C1050="","",C1050*IF(Settings!$B$23=Settings!$C$6,1,IF(Settings!$B$23="USD",1/INDEX(Settings!$B$29:$B$40,MONTH(A1050)),INDEX(Settings!$B$29:$B$40,MONTH(A1050)))))</f>
        <v/>
      </c>
    </row>
    <row r="1051" customFormat="false" ht="15" hidden="false" customHeight="false" outlineLevel="0" collapsed="false">
      <c r="H1051" s="0" t="str">
        <f aca="false">IF(B1051="","",IF(COUNTIF(Campaigns!$A$7:$A$300,B1051)&gt;0,"✓","⚠ add to Campaigns tab"))</f>
        <v/>
      </c>
      <c r="I1051" s="84" t="str">
        <f aca="false">IF(C1051="","",C1051*IF(Settings!$B$23=Settings!$C$6,1,IF(Settings!$B$23="USD",1/INDEX(Settings!$B$29:$B$40,MONTH(A1051)),INDEX(Settings!$B$29:$B$40,MONTH(A1051)))))</f>
        <v/>
      </c>
    </row>
    <row r="1052" customFormat="false" ht="15" hidden="false" customHeight="false" outlineLevel="0" collapsed="false">
      <c r="H1052" s="0" t="str">
        <f aca="false">IF(B1052="","",IF(COUNTIF(Campaigns!$A$7:$A$300,B1052)&gt;0,"✓","⚠ add to Campaigns tab"))</f>
        <v/>
      </c>
      <c r="I1052" s="84" t="str">
        <f aca="false">IF(C1052="","",C1052*IF(Settings!$B$23=Settings!$C$6,1,IF(Settings!$B$23="USD",1/INDEX(Settings!$B$29:$B$40,MONTH(A1052)),INDEX(Settings!$B$29:$B$40,MONTH(A1052)))))</f>
        <v/>
      </c>
    </row>
    <row r="1053" customFormat="false" ht="15" hidden="false" customHeight="false" outlineLevel="0" collapsed="false">
      <c r="H1053" s="0" t="str">
        <f aca="false">IF(B1053="","",IF(COUNTIF(Campaigns!$A$7:$A$300,B1053)&gt;0,"✓","⚠ add to Campaigns tab"))</f>
        <v/>
      </c>
      <c r="I1053" s="84" t="str">
        <f aca="false">IF(C1053="","",C1053*IF(Settings!$B$23=Settings!$C$6,1,IF(Settings!$B$23="USD",1/INDEX(Settings!$B$29:$B$40,MONTH(A1053)),INDEX(Settings!$B$29:$B$40,MONTH(A1053)))))</f>
        <v/>
      </c>
    </row>
    <row r="1054" customFormat="false" ht="15" hidden="false" customHeight="false" outlineLevel="0" collapsed="false">
      <c r="H1054" s="0" t="str">
        <f aca="false">IF(B1054="","",IF(COUNTIF(Campaigns!$A$7:$A$300,B1054)&gt;0,"✓","⚠ add to Campaigns tab"))</f>
        <v/>
      </c>
      <c r="I1054" s="84" t="str">
        <f aca="false">IF(C1054="","",C1054*IF(Settings!$B$23=Settings!$C$6,1,IF(Settings!$B$23="USD",1/INDEX(Settings!$B$29:$B$40,MONTH(A1054)),INDEX(Settings!$B$29:$B$40,MONTH(A1054)))))</f>
        <v/>
      </c>
    </row>
    <row r="1055" customFormat="false" ht="15" hidden="false" customHeight="false" outlineLevel="0" collapsed="false">
      <c r="H1055" s="0" t="str">
        <f aca="false">IF(B1055="","",IF(COUNTIF(Campaigns!$A$7:$A$300,B1055)&gt;0,"✓","⚠ add to Campaigns tab"))</f>
        <v/>
      </c>
      <c r="I1055" s="84" t="str">
        <f aca="false">IF(C1055="","",C1055*IF(Settings!$B$23=Settings!$C$6,1,IF(Settings!$B$23="USD",1/INDEX(Settings!$B$29:$B$40,MONTH(A1055)),INDEX(Settings!$B$29:$B$40,MONTH(A1055)))))</f>
        <v/>
      </c>
    </row>
    <row r="1056" customFormat="false" ht="15" hidden="false" customHeight="false" outlineLevel="0" collapsed="false">
      <c r="H1056" s="0" t="str">
        <f aca="false">IF(B1056="","",IF(COUNTIF(Campaigns!$A$7:$A$300,B1056)&gt;0,"✓","⚠ add to Campaigns tab"))</f>
        <v/>
      </c>
      <c r="I1056" s="84" t="str">
        <f aca="false">IF(C1056="","",C1056*IF(Settings!$B$23=Settings!$C$6,1,IF(Settings!$B$23="USD",1/INDEX(Settings!$B$29:$B$40,MONTH(A1056)),INDEX(Settings!$B$29:$B$40,MONTH(A1056)))))</f>
        <v/>
      </c>
    </row>
    <row r="1057" customFormat="false" ht="15" hidden="false" customHeight="false" outlineLevel="0" collapsed="false">
      <c r="H1057" s="0" t="str">
        <f aca="false">IF(B1057="","",IF(COUNTIF(Campaigns!$A$7:$A$300,B1057)&gt;0,"✓","⚠ add to Campaigns tab"))</f>
        <v/>
      </c>
      <c r="I1057" s="84" t="str">
        <f aca="false">IF(C1057="","",C1057*IF(Settings!$B$23=Settings!$C$6,1,IF(Settings!$B$23="USD",1/INDEX(Settings!$B$29:$B$40,MONTH(A1057)),INDEX(Settings!$B$29:$B$40,MONTH(A1057)))))</f>
        <v/>
      </c>
    </row>
    <row r="1058" customFormat="false" ht="15" hidden="false" customHeight="false" outlineLevel="0" collapsed="false">
      <c r="H1058" s="0" t="str">
        <f aca="false">IF(B1058="","",IF(COUNTIF(Campaigns!$A$7:$A$300,B1058)&gt;0,"✓","⚠ add to Campaigns tab"))</f>
        <v/>
      </c>
      <c r="I1058" s="84" t="str">
        <f aca="false">IF(C1058="","",C1058*IF(Settings!$B$23=Settings!$C$6,1,IF(Settings!$B$23="USD",1/INDEX(Settings!$B$29:$B$40,MONTH(A1058)),INDEX(Settings!$B$29:$B$40,MONTH(A1058)))))</f>
        <v/>
      </c>
    </row>
    <row r="1059" customFormat="false" ht="15" hidden="false" customHeight="false" outlineLevel="0" collapsed="false">
      <c r="H1059" s="0" t="str">
        <f aca="false">IF(B1059="","",IF(COUNTIF(Campaigns!$A$7:$A$300,B1059)&gt;0,"✓","⚠ add to Campaigns tab"))</f>
        <v/>
      </c>
      <c r="I1059" s="84" t="str">
        <f aca="false">IF(C1059="","",C1059*IF(Settings!$B$23=Settings!$C$6,1,IF(Settings!$B$23="USD",1/INDEX(Settings!$B$29:$B$40,MONTH(A1059)),INDEX(Settings!$B$29:$B$40,MONTH(A1059)))))</f>
        <v/>
      </c>
    </row>
    <row r="1060" customFormat="false" ht="15" hidden="false" customHeight="false" outlineLevel="0" collapsed="false">
      <c r="H1060" s="0" t="str">
        <f aca="false">IF(B1060="","",IF(COUNTIF(Campaigns!$A$7:$A$300,B1060)&gt;0,"✓","⚠ add to Campaigns tab"))</f>
        <v/>
      </c>
      <c r="I1060" s="84" t="str">
        <f aca="false">IF(C1060="","",C1060*IF(Settings!$B$23=Settings!$C$6,1,IF(Settings!$B$23="USD",1/INDEX(Settings!$B$29:$B$40,MONTH(A1060)),INDEX(Settings!$B$29:$B$40,MONTH(A1060)))))</f>
        <v/>
      </c>
    </row>
    <row r="1061" customFormat="false" ht="15" hidden="false" customHeight="false" outlineLevel="0" collapsed="false">
      <c r="H1061" s="0" t="str">
        <f aca="false">IF(B1061="","",IF(COUNTIF(Campaigns!$A$7:$A$300,B1061)&gt;0,"✓","⚠ add to Campaigns tab"))</f>
        <v/>
      </c>
      <c r="I1061" s="84" t="str">
        <f aca="false">IF(C1061="","",C1061*IF(Settings!$B$23=Settings!$C$6,1,IF(Settings!$B$23="USD",1/INDEX(Settings!$B$29:$B$40,MONTH(A1061)),INDEX(Settings!$B$29:$B$40,MONTH(A1061)))))</f>
        <v/>
      </c>
    </row>
    <row r="1062" customFormat="false" ht="15" hidden="false" customHeight="false" outlineLevel="0" collapsed="false">
      <c r="H1062" s="0" t="str">
        <f aca="false">IF(B1062="","",IF(COUNTIF(Campaigns!$A$7:$A$300,B1062)&gt;0,"✓","⚠ add to Campaigns tab"))</f>
        <v/>
      </c>
      <c r="I1062" s="84" t="str">
        <f aca="false">IF(C1062="","",C1062*IF(Settings!$B$23=Settings!$C$6,1,IF(Settings!$B$23="USD",1/INDEX(Settings!$B$29:$B$40,MONTH(A1062)),INDEX(Settings!$B$29:$B$40,MONTH(A1062)))))</f>
        <v/>
      </c>
    </row>
    <row r="1063" customFormat="false" ht="15" hidden="false" customHeight="false" outlineLevel="0" collapsed="false">
      <c r="H1063" s="0" t="str">
        <f aca="false">IF(B1063="","",IF(COUNTIF(Campaigns!$A$7:$A$300,B1063)&gt;0,"✓","⚠ add to Campaigns tab"))</f>
        <v/>
      </c>
      <c r="I1063" s="84" t="str">
        <f aca="false">IF(C1063="","",C1063*IF(Settings!$B$23=Settings!$C$6,1,IF(Settings!$B$23="USD",1/INDEX(Settings!$B$29:$B$40,MONTH(A1063)),INDEX(Settings!$B$29:$B$40,MONTH(A1063)))))</f>
        <v/>
      </c>
    </row>
    <row r="1064" customFormat="false" ht="15" hidden="false" customHeight="false" outlineLevel="0" collapsed="false">
      <c r="H1064" s="0" t="str">
        <f aca="false">IF(B1064="","",IF(COUNTIF(Campaigns!$A$7:$A$300,B1064)&gt;0,"✓","⚠ add to Campaigns tab"))</f>
        <v/>
      </c>
      <c r="I1064" s="84" t="str">
        <f aca="false">IF(C1064="","",C1064*IF(Settings!$B$23=Settings!$C$6,1,IF(Settings!$B$23="USD",1/INDEX(Settings!$B$29:$B$40,MONTH(A1064)),INDEX(Settings!$B$29:$B$40,MONTH(A1064)))))</f>
        <v/>
      </c>
    </row>
    <row r="1065" customFormat="false" ht="15" hidden="false" customHeight="false" outlineLevel="0" collapsed="false">
      <c r="H1065" s="0" t="str">
        <f aca="false">IF(B1065="","",IF(COUNTIF(Campaigns!$A$7:$A$300,B1065)&gt;0,"✓","⚠ add to Campaigns tab"))</f>
        <v/>
      </c>
      <c r="I1065" s="84" t="str">
        <f aca="false">IF(C1065="","",C1065*IF(Settings!$B$23=Settings!$C$6,1,IF(Settings!$B$23="USD",1/INDEX(Settings!$B$29:$B$40,MONTH(A1065)),INDEX(Settings!$B$29:$B$40,MONTH(A1065)))))</f>
        <v/>
      </c>
    </row>
    <row r="1066" customFormat="false" ht="15" hidden="false" customHeight="false" outlineLevel="0" collapsed="false">
      <c r="H1066" s="0" t="str">
        <f aca="false">IF(B1066="","",IF(COUNTIF(Campaigns!$A$7:$A$300,B1066)&gt;0,"✓","⚠ add to Campaigns tab"))</f>
        <v/>
      </c>
      <c r="I1066" s="84" t="str">
        <f aca="false">IF(C1066="","",C1066*IF(Settings!$B$23=Settings!$C$6,1,IF(Settings!$B$23="USD",1/INDEX(Settings!$B$29:$B$40,MONTH(A1066)),INDEX(Settings!$B$29:$B$40,MONTH(A1066)))))</f>
        <v/>
      </c>
    </row>
    <row r="1067" customFormat="false" ht="15" hidden="false" customHeight="false" outlineLevel="0" collapsed="false">
      <c r="H1067" s="0" t="str">
        <f aca="false">IF(B1067="","",IF(COUNTIF(Campaigns!$A$7:$A$300,B1067)&gt;0,"✓","⚠ add to Campaigns tab"))</f>
        <v/>
      </c>
      <c r="I1067" s="84" t="str">
        <f aca="false">IF(C1067="","",C1067*IF(Settings!$B$23=Settings!$C$6,1,IF(Settings!$B$23="USD",1/INDEX(Settings!$B$29:$B$40,MONTH(A1067)),INDEX(Settings!$B$29:$B$40,MONTH(A1067)))))</f>
        <v/>
      </c>
    </row>
    <row r="1068" customFormat="false" ht="15" hidden="false" customHeight="false" outlineLevel="0" collapsed="false">
      <c r="H1068" s="0" t="str">
        <f aca="false">IF(B1068="","",IF(COUNTIF(Campaigns!$A$7:$A$300,B1068)&gt;0,"✓","⚠ add to Campaigns tab"))</f>
        <v/>
      </c>
      <c r="I1068" s="84" t="str">
        <f aca="false">IF(C1068="","",C1068*IF(Settings!$B$23=Settings!$C$6,1,IF(Settings!$B$23="USD",1/INDEX(Settings!$B$29:$B$40,MONTH(A1068)),INDEX(Settings!$B$29:$B$40,MONTH(A1068)))))</f>
        <v/>
      </c>
    </row>
    <row r="1069" customFormat="false" ht="15" hidden="false" customHeight="false" outlineLevel="0" collapsed="false">
      <c r="H1069" s="0" t="str">
        <f aca="false">IF(B1069="","",IF(COUNTIF(Campaigns!$A$7:$A$300,B1069)&gt;0,"✓","⚠ add to Campaigns tab"))</f>
        <v/>
      </c>
      <c r="I1069" s="84" t="str">
        <f aca="false">IF(C1069="","",C1069*IF(Settings!$B$23=Settings!$C$6,1,IF(Settings!$B$23="USD",1/INDEX(Settings!$B$29:$B$40,MONTH(A1069)),INDEX(Settings!$B$29:$B$40,MONTH(A1069)))))</f>
        <v/>
      </c>
    </row>
    <row r="1070" customFormat="false" ht="15" hidden="false" customHeight="false" outlineLevel="0" collapsed="false">
      <c r="H1070" s="0" t="str">
        <f aca="false">IF(B1070="","",IF(COUNTIF(Campaigns!$A$7:$A$300,B1070)&gt;0,"✓","⚠ add to Campaigns tab"))</f>
        <v/>
      </c>
      <c r="I1070" s="84" t="str">
        <f aca="false">IF(C1070="","",C1070*IF(Settings!$B$23=Settings!$C$6,1,IF(Settings!$B$23="USD",1/INDEX(Settings!$B$29:$B$40,MONTH(A1070)),INDEX(Settings!$B$29:$B$40,MONTH(A1070)))))</f>
        <v/>
      </c>
    </row>
    <row r="1071" customFormat="false" ht="15" hidden="false" customHeight="false" outlineLevel="0" collapsed="false">
      <c r="H1071" s="0" t="str">
        <f aca="false">IF(B1071="","",IF(COUNTIF(Campaigns!$A$7:$A$300,B1071)&gt;0,"✓","⚠ add to Campaigns tab"))</f>
        <v/>
      </c>
      <c r="I1071" s="84" t="str">
        <f aca="false">IF(C1071="","",C1071*IF(Settings!$B$23=Settings!$C$6,1,IF(Settings!$B$23="USD",1/INDEX(Settings!$B$29:$B$40,MONTH(A1071)),INDEX(Settings!$B$29:$B$40,MONTH(A1071)))))</f>
        <v/>
      </c>
    </row>
    <row r="1072" customFormat="false" ht="15" hidden="false" customHeight="false" outlineLevel="0" collapsed="false">
      <c r="H1072" s="0" t="str">
        <f aca="false">IF(B1072="","",IF(COUNTIF(Campaigns!$A$7:$A$300,B1072)&gt;0,"✓","⚠ add to Campaigns tab"))</f>
        <v/>
      </c>
      <c r="I1072" s="84" t="str">
        <f aca="false">IF(C1072="","",C1072*IF(Settings!$B$23=Settings!$C$6,1,IF(Settings!$B$23="USD",1/INDEX(Settings!$B$29:$B$40,MONTH(A1072)),INDEX(Settings!$B$29:$B$40,MONTH(A1072)))))</f>
        <v/>
      </c>
    </row>
    <row r="1073" customFormat="false" ht="15" hidden="false" customHeight="false" outlineLevel="0" collapsed="false">
      <c r="H1073" s="0" t="str">
        <f aca="false">IF(B1073="","",IF(COUNTIF(Campaigns!$A$7:$A$300,B1073)&gt;0,"✓","⚠ add to Campaigns tab"))</f>
        <v/>
      </c>
      <c r="I1073" s="84" t="str">
        <f aca="false">IF(C1073="","",C1073*IF(Settings!$B$23=Settings!$C$6,1,IF(Settings!$B$23="USD",1/INDEX(Settings!$B$29:$B$40,MONTH(A1073)),INDEX(Settings!$B$29:$B$40,MONTH(A1073)))))</f>
        <v/>
      </c>
    </row>
    <row r="1074" customFormat="false" ht="15" hidden="false" customHeight="false" outlineLevel="0" collapsed="false">
      <c r="H1074" s="0" t="str">
        <f aca="false">IF(B1074="","",IF(COUNTIF(Campaigns!$A$7:$A$300,B1074)&gt;0,"✓","⚠ add to Campaigns tab"))</f>
        <v/>
      </c>
      <c r="I1074" s="84" t="str">
        <f aca="false">IF(C1074="","",C1074*IF(Settings!$B$23=Settings!$C$6,1,IF(Settings!$B$23="USD",1/INDEX(Settings!$B$29:$B$40,MONTH(A1074)),INDEX(Settings!$B$29:$B$40,MONTH(A1074)))))</f>
        <v/>
      </c>
    </row>
    <row r="1075" customFormat="false" ht="15" hidden="false" customHeight="false" outlineLevel="0" collapsed="false">
      <c r="H1075" s="0" t="str">
        <f aca="false">IF(B1075="","",IF(COUNTIF(Campaigns!$A$7:$A$300,B1075)&gt;0,"✓","⚠ add to Campaigns tab"))</f>
        <v/>
      </c>
      <c r="I1075" s="84" t="str">
        <f aca="false">IF(C1075="","",C1075*IF(Settings!$B$23=Settings!$C$6,1,IF(Settings!$B$23="USD",1/INDEX(Settings!$B$29:$B$40,MONTH(A1075)),INDEX(Settings!$B$29:$B$40,MONTH(A1075)))))</f>
        <v/>
      </c>
    </row>
    <row r="1076" customFormat="false" ht="15" hidden="false" customHeight="false" outlineLevel="0" collapsed="false">
      <c r="H1076" s="0" t="str">
        <f aca="false">IF(B1076="","",IF(COUNTIF(Campaigns!$A$7:$A$300,B1076)&gt;0,"✓","⚠ add to Campaigns tab"))</f>
        <v/>
      </c>
      <c r="I1076" s="84" t="str">
        <f aca="false">IF(C1076="","",C1076*IF(Settings!$B$23=Settings!$C$6,1,IF(Settings!$B$23="USD",1/INDEX(Settings!$B$29:$B$40,MONTH(A1076)),INDEX(Settings!$B$29:$B$40,MONTH(A1076)))))</f>
        <v/>
      </c>
    </row>
    <row r="1077" customFormat="false" ht="15" hidden="false" customHeight="false" outlineLevel="0" collapsed="false">
      <c r="H1077" s="0" t="str">
        <f aca="false">IF(B1077="","",IF(COUNTIF(Campaigns!$A$7:$A$300,B1077)&gt;0,"✓","⚠ add to Campaigns tab"))</f>
        <v/>
      </c>
      <c r="I1077" s="84" t="str">
        <f aca="false">IF(C1077="","",C1077*IF(Settings!$B$23=Settings!$C$6,1,IF(Settings!$B$23="USD",1/INDEX(Settings!$B$29:$B$40,MONTH(A1077)),INDEX(Settings!$B$29:$B$40,MONTH(A1077)))))</f>
        <v/>
      </c>
    </row>
    <row r="1078" customFormat="false" ht="15" hidden="false" customHeight="false" outlineLevel="0" collapsed="false">
      <c r="H1078" s="0" t="str">
        <f aca="false">IF(B1078="","",IF(COUNTIF(Campaigns!$A$7:$A$300,B1078)&gt;0,"✓","⚠ add to Campaigns tab"))</f>
        <v/>
      </c>
      <c r="I1078" s="84" t="str">
        <f aca="false">IF(C1078="","",C1078*IF(Settings!$B$23=Settings!$C$6,1,IF(Settings!$B$23="USD",1/INDEX(Settings!$B$29:$B$40,MONTH(A1078)),INDEX(Settings!$B$29:$B$40,MONTH(A1078)))))</f>
        <v/>
      </c>
    </row>
    <row r="1079" customFormat="false" ht="15" hidden="false" customHeight="false" outlineLevel="0" collapsed="false">
      <c r="H1079" s="0" t="str">
        <f aca="false">IF(B1079="","",IF(COUNTIF(Campaigns!$A$7:$A$300,B1079)&gt;0,"✓","⚠ add to Campaigns tab"))</f>
        <v/>
      </c>
      <c r="I1079" s="84" t="str">
        <f aca="false">IF(C1079="","",C1079*IF(Settings!$B$23=Settings!$C$6,1,IF(Settings!$B$23="USD",1/INDEX(Settings!$B$29:$B$40,MONTH(A1079)),INDEX(Settings!$B$29:$B$40,MONTH(A1079)))))</f>
        <v/>
      </c>
    </row>
    <row r="1080" customFormat="false" ht="15" hidden="false" customHeight="false" outlineLevel="0" collapsed="false">
      <c r="H1080" s="0" t="str">
        <f aca="false">IF(B1080="","",IF(COUNTIF(Campaigns!$A$7:$A$300,B1080)&gt;0,"✓","⚠ add to Campaigns tab"))</f>
        <v/>
      </c>
      <c r="I1080" s="84" t="str">
        <f aca="false">IF(C1080="","",C1080*IF(Settings!$B$23=Settings!$C$6,1,IF(Settings!$B$23="USD",1/INDEX(Settings!$B$29:$B$40,MONTH(A1080)),INDEX(Settings!$B$29:$B$40,MONTH(A1080)))))</f>
        <v/>
      </c>
    </row>
    <row r="1081" customFormat="false" ht="15" hidden="false" customHeight="false" outlineLevel="0" collapsed="false">
      <c r="H1081" s="0" t="str">
        <f aca="false">IF(B1081="","",IF(COUNTIF(Campaigns!$A$7:$A$300,B1081)&gt;0,"✓","⚠ add to Campaigns tab"))</f>
        <v/>
      </c>
      <c r="I1081" s="84" t="str">
        <f aca="false">IF(C1081="","",C1081*IF(Settings!$B$23=Settings!$C$6,1,IF(Settings!$B$23="USD",1/INDEX(Settings!$B$29:$B$40,MONTH(A1081)),INDEX(Settings!$B$29:$B$40,MONTH(A1081)))))</f>
        <v/>
      </c>
    </row>
    <row r="1082" customFormat="false" ht="15" hidden="false" customHeight="false" outlineLevel="0" collapsed="false">
      <c r="H1082" s="0" t="str">
        <f aca="false">IF(B1082="","",IF(COUNTIF(Campaigns!$A$7:$A$300,B1082)&gt;0,"✓","⚠ add to Campaigns tab"))</f>
        <v/>
      </c>
      <c r="I1082" s="84" t="str">
        <f aca="false">IF(C1082="","",C1082*IF(Settings!$B$23=Settings!$C$6,1,IF(Settings!$B$23="USD",1/INDEX(Settings!$B$29:$B$40,MONTH(A1082)),INDEX(Settings!$B$29:$B$40,MONTH(A1082)))))</f>
        <v/>
      </c>
    </row>
    <row r="1083" customFormat="false" ht="15" hidden="false" customHeight="false" outlineLevel="0" collapsed="false">
      <c r="H1083" s="0" t="str">
        <f aca="false">IF(B1083="","",IF(COUNTIF(Campaigns!$A$7:$A$300,B1083)&gt;0,"✓","⚠ add to Campaigns tab"))</f>
        <v/>
      </c>
      <c r="I1083" s="84" t="str">
        <f aca="false">IF(C1083="","",C1083*IF(Settings!$B$23=Settings!$C$6,1,IF(Settings!$B$23="USD",1/INDEX(Settings!$B$29:$B$40,MONTH(A1083)),INDEX(Settings!$B$29:$B$40,MONTH(A1083)))))</f>
        <v/>
      </c>
    </row>
    <row r="1084" customFormat="false" ht="15" hidden="false" customHeight="false" outlineLevel="0" collapsed="false">
      <c r="H1084" s="0" t="str">
        <f aca="false">IF(B1084="","",IF(COUNTIF(Campaigns!$A$7:$A$300,B1084)&gt;0,"✓","⚠ add to Campaigns tab"))</f>
        <v/>
      </c>
      <c r="I1084" s="84" t="str">
        <f aca="false">IF(C1084="","",C1084*IF(Settings!$B$23=Settings!$C$6,1,IF(Settings!$B$23="USD",1/INDEX(Settings!$B$29:$B$40,MONTH(A1084)),INDEX(Settings!$B$29:$B$40,MONTH(A1084)))))</f>
        <v/>
      </c>
    </row>
    <row r="1085" customFormat="false" ht="15" hidden="false" customHeight="false" outlineLevel="0" collapsed="false">
      <c r="H1085" s="0" t="str">
        <f aca="false">IF(B1085="","",IF(COUNTIF(Campaigns!$A$7:$A$300,B1085)&gt;0,"✓","⚠ add to Campaigns tab"))</f>
        <v/>
      </c>
      <c r="I1085" s="84" t="str">
        <f aca="false">IF(C1085="","",C1085*IF(Settings!$B$23=Settings!$C$6,1,IF(Settings!$B$23="USD",1/INDEX(Settings!$B$29:$B$40,MONTH(A1085)),INDEX(Settings!$B$29:$B$40,MONTH(A1085)))))</f>
        <v/>
      </c>
    </row>
    <row r="1086" customFormat="false" ht="15" hidden="false" customHeight="false" outlineLevel="0" collapsed="false">
      <c r="H1086" s="0" t="str">
        <f aca="false">IF(B1086="","",IF(COUNTIF(Campaigns!$A$7:$A$300,B1086)&gt;0,"✓","⚠ add to Campaigns tab"))</f>
        <v/>
      </c>
      <c r="I1086" s="84" t="str">
        <f aca="false">IF(C1086="","",C1086*IF(Settings!$B$23=Settings!$C$6,1,IF(Settings!$B$23="USD",1/INDEX(Settings!$B$29:$B$40,MONTH(A1086)),INDEX(Settings!$B$29:$B$40,MONTH(A1086)))))</f>
        <v/>
      </c>
    </row>
    <row r="1087" customFormat="false" ht="15" hidden="false" customHeight="false" outlineLevel="0" collapsed="false">
      <c r="H1087" s="0" t="str">
        <f aca="false">IF(B1087="","",IF(COUNTIF(Campaigns!$A$7:$A$300,B1087)&gt;0,"✓","⚠ add to Campaigns tab"))</f>
        <v/>
      </c>
      <c r="I1087" s="84" t="str">
        <f aca="false">IF(C1087="","",C1087*IF(Settings!$B$23=Settings!$C$6,1,IF(Settings!$B$23="USD",1/INDEX(Settings!$B$29:$B$40,MONTH(A1087)),INDEX(Settings!$B$29:$B$40,MONTH(A1087)))))</f>
        <v/>
      </c>
    </row>
    <row r="1088" customFormat="false" ht="15" hidden="false" customHeight="false" outlineLevel="0" collapsed="false">
      <c r="H1088" s="0" t="str">
        <f aca="false">IF(B1088="","",IF(COUNTIF(Campaigns!$A$7:$A$300,B1088)&gt;0,"✓","⚠ add to Campaigns tab"))</f>
        <v/>
      </c>
      <c r="I1088" s="84" t="str">
        <f aca="false">IF(C1088="","",C1088*IF(Settings!$B$23=Settings!$C$6,1,IF(Settings!$B$23="USD",1/INDEX(Settings!$B$29:$B$40,MONTH(A1088)),INDEX(Settings!$B$29:$B$40,MONTH(A1088)))))</f>
        <v/>
      </c>
    </row>
    <row r="1089" customFormat="false" ht="15" hidden="false" customHeight="false" outlineLevel="0" collapsed="false">
      <c r="H1089" s="0" t="str">
        <f aca="false">IF(B1089="","",IF(COUNTIF(Campaigns!$A$7:$A$300,B1089)&gt;0,"✓","⚠ add to Campaigns tab"))</f>
        <v/>
      </c>
      <c r="I1089" s="84" t="str">
        <f aca="false">IF(C1089="","",C1089*IF(Settings!$B$23=Settings!$C$6,1,IF(Settings!$B$23="USD",1/INDEX(Settings!$B$29:$B$40,MONTH(A1089)),INDEX(Settings!$B$29:$B$40,MONTH(A1089)))))</f>
        <v/>
      </c>
    </row>
    <row r="1090" customFormat="false" ht="15" hidden="false" customHeight="false" outlineLevel="0" collapsed="false">
      <c r="H1090" s="0" t="str">
        <f aca="false">IF(B1090="","",IF(COUNTIF(Campaigns!$A$7:$A$300,B1090)&gt;0,"✓","⚠ add to Campaigns tab"))</f>
        <v/>
      </c>
      <c r="I1090" s="84" t="str">
        <f aca="false">IF(C1090="","",C1090*IF(Settings!$B$23=Settings!$C$6,1,IF(Settings!$B$23="USD",1/INDEX(Settings!$B$29:$B$40,MONTH(A1090)),INDEX(Settings!$B$29:$B$40,MONTH(A1090)))))</f>
        <v/>
      </c>
    </row>
    <row r="1091" customFormat="false" ht="15" hidden="false" customHeight="false" outlineLevel="0" collapsed="false">
      <c r="H1091" s="0" t="str">
        <f aca="false">IF(B1091="","",IF(COUNTIF(Campaigns!$A$7:$A$300,B1091)&gt;0,"✓","⚠ add to Campaigns tab"))</f>
        <v/>
      </c>
      <c r="I1091" s="84" t="str">
        <f aca="false">IF(C1091="","",C1091*IF(Settings!$B$23=Settings!$C$6,1,IF(Settings!$B$23="USD",1/INDEX(Settings!$B$29:$B$40,MONTH(A1091)),INDEX(Settings!$B$29:$B$40,MONTH(A1091)))))</f>
        <v/>
      </c>
    </row>
    <row r="1092" customFormat="false" ht="15" hidden="false" customHeight="false" outlineLevel="0" collapsed="false">
      <c r="H1092" s="0" t="str">
        <f aca="false">IF(B1092="","",IF(COUNTIF(Campaigns!$A$7:$A$300,B1092)&gt;0,"✓","⚠ add to Campaigns tab"))</f>
        <v/>
      </c>
      <c r="I1092" s="84" t="str">
        <f aca="false">IF(C1092="","",C1092*IF(Settings!$B$23=Settings!$C$6,1,IF(Settings!$B$23="USD",1/INDEX(Settings!$B$29:$B$40,MONTH(A1092)),INDEX(Settings!$B$29:$B$40,MONTH(A1092)))))</f>
        <v/>
      </c>
    </row>
    <row r="1093" customFormat="false" ht="15" hidden="false" customHeight="false" outlineLevel="0" collapsed="false">
      <c r="H1093" s="0" t="str">
        <f aca="false">IF(B1093="","",IF(COUNTIF(Campaigns!$A$7:$A$300,B1093)&gt;0,"✓","⚠ add to Campaigns tab"))</f>
        <v/>
      </c>
      <c r="I1093" s="84" t="str">
        <f aca="false">IF(C1093="","",C1093*IF(Settings!$B$23=Settings!$C$6,1,IF(Settings!$B$23="USD",1/INDEX(Settings!$B$29:$B$40,MONTH(A1093)),INDEX(Settings!$B$29:$B$40,MONTH(A1093)))))</f>
        <v/>
      </c>
    </row>
    <row r="1094" customFormat="false" ht="15" hidden="false" customHeight="false" outlineLevel="0" collapsed="false">
      <c r="H1094" s="0" t="str">
        <f aca="false">IF(B1094="","",IF(COUNTIF(Campaigns!$A$7:$A$300,B1094)&gt;0,"✓","⚠ add to Campaigns tab"))</f>
        <v/>
      </c>
      <c r="I1094" s="84" t="str">
        <f aca="false">IF(C1094="","",C1094*IF(Settings!$B$23=Settings!$C$6,1,IF(Settings!$B$23="USD",1/INDEX(Settings!$B$29:$B$40,MONTH(A1094)),INDEX(Settings!$B$29:$B$40,MONTH(A1094)))))</f>
        <v/>
      </c>
    </row>
    <row r="1095" customFormat="false" ht="15" hidden="false" customHeight="false" outlineLevel="0" collapsed="false">
      <c r="H1095" s="0" t="str">
        <f aca="false">IF(B1095="","",IF(COUNTIF(Campaigns!$A$7:$A$300,B1095)&gt;0,"✓","⚠ add to Campaigns tab"))</f>
        <v/>
      </c>
      <c r="I1095" s="84" t="str">
        <f aca="false">IF(C1095="","",C1095*IF(Settings!$B$23=Settings!$C$6,1,IF(Settings!$B$23="USD",1/INDEX(Settings!$B$29:$B$40,MONTH(A1095)),INDEX(Settings!$B$29:$B$40,MONTH(A1095)))))</f>
        <v/>
      </c>
    </row>
    <row r="1096" customFormat="false" ht="15" hidden="false" customHeight="false" outlineLevel="0" collapsed="false">
      <c r="H1096" s="0" t="str">
        <f aca="false">IF(B1096="","",IF(COUNTIF(Campaigns!$A$7:$A$300,B1096)&gt;0,"✓","⚠ add to Campaigns tab"))</f>
        <v/>
      </c>
      <c r="I1096" s="84" t="str">
        <f aca="false">IF(C1096="","",C1096*IF(Settings!$B$23=Settings!$C$6,1,IF(Settings!$B$23="USD",1/INDEX(Settings!$B$29:$B$40,MONTH(A1096)),INDEX(Settings!$B$29:$B$40,MONTH(A1096)))))</f>
        <v/>
      </c>
    </row>
    <row r="1097" customFormat="false" ht="15" hidden="false" customHeight="false" outlineLevel="0" collapsed="false">
      <c r="H1097" s="0" t="str">
        <f aca="false">IF(B1097="","",IF(COUNTIF(Campaigns!$A$7:$A$300,B1097)&gt;0,"✓","⚠ add to Campaigns tab"))</f>
        <v/>
      </c>
      <c r="I1097" s="84" t="str">
        <f aca="false">IF(C1097="","",C1097*IF(Settings!$B$23=Settings!$C$6,1,IF(Settings!$B$23="USD",1/INDEX(Settings!$B$29:$B$40,MONTH(A1097)),INDEX(Settings!$B$29:$B$40,MONTH(A1097)))))</f>
        <v/>
      </c>
    </row>
    <row r="1098" customFormat="false" ht="15" hidden="false" customHeight="false" outlineLevel="0" collapsed="false">
      <c r="H1098" s="0" t="str">
        <f aca="false">IF(B1098="","",IF(COUNTIF(Campaigns!$A$7:$A$300,B1098)&gt;0,"✓","⚠ add to Campaigns tab"))</f>
        <v/>
      </c>
      <c r="I1098" s="84" t="str">
        <f aca="false">IF(C1098="","",C1098*IF(Settings!$B$23=Settings!$C$6,1,IF(Settings!$B$23="USD",1/INDEX(Settings!$B$29:$B$40,MONTH(A1098)),INDEX(Settings!$B$29:$B$40,MONTH(A1098)))))</f>
        <v/>
      </c>
    </row>
    <row r="1099" customFormat="false" ht="15" hidden="false" customHeight="false" outlineLevel="0" collapsed="false">
      <c r="H1099" s="0" t="str">
        <f aca="false">IF(B1099="","",IF(COUNTIF(Campaigns!$A$7:$A$300,B1099)&gt;0,"✓","⚠ add to Campaigns tab"))</f>
        <v/>
      </c>
      <c r="I1099" s="84" t="str">
        <f aca="false">IF(C1099="","",C1099*IF(Settings!$B$23=Settings!$C$6,1,IF(Settings!$B$23="USD",1/INDEX(Settings!$B$29:$B$40,MONTH(A1099)),INDEX(Settings!$B$29:$B$40,MONTH(A1099)))))</f>
        <v/>
      </c>
    </row>
    <row r="1100" customFormat="false" ht="15" hidden="false" customHeight="false" outlineLevel="0" collapsed="false">
      <c r="H1100" s="0" t="str">
        <f aca="false">IF(B1100="","",IF(COUNTIF(Campaigns!$A$7:$A$300,B1100)&gt;0,"✓","⚠ add to Campaigns tab"))</f>
        <v/>
      </c>
      <c r="I1100" s="84" t="str">
        <f aca="false">IF(C1100="","",C1100*IF(Settings!$B$23=Settings!$C$6,1,IF(Settings!$B$23="USD",1/INDEX(Settings!$B$29:$B$40,MONTH(A1100)),INDEX(Settings!$B$29:$B$40,MONTH(A1100)))))</f>
        <v/>
      </c>
    </row>
    <row r="1101" customFormat="false" ht="15" hidden="false" customHeight="false" outlineLevel="0" collapsed="false">
      <c r="H1101" s="0" t="str">
        <f aca="false">IF(B1101="","",IF(COUNTIF(Campaigns!$A$7:$A$300,B1101)&gt;0,"✓","⚠ add to Campaigns tab"))</f>
        <v/>
      </c>
      <c r="I1101" s="84" t="str">
        <f aca="false">IF(C1101="","",C1101*IF(Settings!$B$23=Settings!$C$6,1,IF(Settings!$B$23="USD",1/INDEX(Settings!$B$29:$B$40,MONTH(A1101)),INDEX(Settings!$B$29:$B$40,MONTH(A1101)))))</f>
        <v/>
      </c>
    </row>
    <row r="1102" customFormat="false" ht="15" hidden="false" customHeight="false" outlineLevel="0" collapsed="false">
      <c r="H1102" s="0" t="str">
        <f aca="false">IF(B1102="","",IF(COUNTIF(Campaigns!$A$7:$A$300,B1102)&gt;0,"✓","⚠ add to Campaigns tab"))</f>
        <v/>
      </c>
      <c r="I1102" s="84" t="str">
        <f aca="false">IF(C1102="","",C1102*IF(Settings!$B$23=Settings!$C$6,1,IF(Settings!$B$23="USD",1/INDEX(Settings!$B$29:$B$40,MONTH(A1102)),INDEX(Settings!$B$29:$B$40,MONTH(A1102)))))</f>
        <v/>
      </c>
    </row>
    <row r="1103" customFormat="false" ht="15" hidden="false" customHeight="false" outlineLevel="0" collapsed="false">
      <c r="H1103" s="0" t="str">
        <f aca="false">IF(B1103="","",IF(COUNTIF(Campaigns!$A$7:$A$300,B1103)&gt;0,"✓","⚠ add to Campaigns tab"))</f>
        <v/>
      </c>
      <c r="I1103" s="84" t="str">
        <f aca="false">IF(C1103="","",C1103*IF(Settings!$B$23=Settings!$C$6,1,IF(Settings!$B$23="USD",1/INDEX(Settings!$B$29:$B$40,MONTH(A1103)),INDEX(Settings!$B$29:$B$40,MONTH(A1103)))))</f>
        <v/>
      </c>
    </row>
    <row r="1104" customFormat="false" ht="15" hidden="false" customHeight="false" outlineLevel="0" collapsed="false">
      <c r="H1104" s="0" t="str">
        <f aca="false">IF(B1104="","",IF(COUNTIF(Campaigns!$A$7:$A$300,B1104)&gt;0,"✓","⚠ add to Campaigns tab"))</f>
        <v/>
      </c>
      <c r="I1104" s="84" t="str">
        <f aca="false">IF(C1104="","",C1104*IF(Settings!$B$23=Settings!$C$6,1,IF(Settings!$B$23="USD",1/INDEX(Settings!$B$29:$B$40,MONTH(A1104)),INDEX(Settings!$B$29:$B$40,MONTH(A1104)))))</f>
        <v/>
      </c>
    </row>
    <row r="1105" customFormat="false" ht="15" hidden="false" customHeight="false" outlineLevel="0" collapsed="false">
      <c r="H1105" s="0" t="str">
        <f aca="false">IF(B1105="","",IF(COUNTIF(Campaigns!$A$7:$A$300,B1105)&gt;0,"✓","⚠ add to Campaigns tab"))</f>
        <v/>
      </c>
      <c r="I1105" s="84" t="str">
        <f aca="false">IF(C1105="","",C1105*IF(Settings!$B$23=Settings!$C$6,1,IF(Settings!$B$23="USD",1/INDEX(Settings!$B$29:$B$40,MONTH(A1105)),INDEX(Settings!$B$29:$B$40,MONTH(A1105)))))</f>
        <v/>
      </c>
    </row>
    <row r="1106" customFormat="false" ht="15" hidden="false" customHeight="false" outlineLevel="0" collapsed="false">
      <c r="H1106" s="0" t="str">
        <f aca="false">IF(B1106="","",IF(COUNTIF(Campaigns!$A$7:$A$300,B1106)&gt;0,"✓","⚠ add to Campaigns tab"))</f>
        <v/>
      </c>
      <c r="I1106" s="84" t="str">
        <f aca="false">IF(C1106="","",C1106*IF(Settings!$B$23=Settings!$C$6,1,IF(Settings!$B$23="USD",1/INDEX(Settings!$B$29:$B$40,MONTH(A1106)),INDEX(Settings!$B$29:$B$40,MONTH(A1106)))))</f>
        <v/>
      </c>
    </row>
    <row r="1107" customFormat="false" ht="15" hidden="false" customHeight="false" outlineLevel="0" collapsed="false">
      <c r="H1107" s="0" t="str">
        <f aca="false">IF(B1107="","",IF(COUNTIF(Campaigns!$A$7:$A$300,B1107)&gt;0,"✓","⚠ add to Campaigns tab"))</f>
        <v/>
      </c>
      <c r="I1107" s="84" t="str">
        <f aca="false">IF(C1107="","",C1107*IF(Settings!$B$23=Settings!$C$6,1,IF(Settings!$B$23="USD",1/INDEX(Settings!$B$29:$B$40,MONTH(A1107)),INDEX(Settings!$B$29:$B$40,MONTH(A1107)))))</f>
        <v/>
      </c>
    </row>
    <row r="1108" customFormat="false" ht="15" hidden="false" customHeight="false" outlineLevel="0" collapsed="false">
      <c r="H1108" s="0" t="str">
        <f aca="false">IF(B1108="","",IF(COUNTIF(Campaigns!$A$7:$A$300,B1108)&gt;0,"✓","⚠ add to Campaigns tab"))</f>
        <v/>
      </c>
      <c r="I1108" s="84" t="str">
        <f aca="false">IF(C1108="","",C1108*IF(Settings!$B$23=Settings!$C$6,1,IF(Settings!$B$23="USD",1/INDEX(Settings!$B$29:$B$40,MONTH(A1108)),INDEX(Settings!$B$29:$B$40,MONTH(A1108)))))</f>
        <v/>
      </c>
    </row>
    <row r="1109" customFormat="false" ht="15" hidden="false" customHeight="false" outlineLevel="0" collapsed="false">
      <c r="H1109" s="0" t="str">
        <f aca="false">IF(B1109="","",IF(COUNTIF(Campaigns!$A$7:$A$300,B1109)&gt;0,"✓","⚠ add to Campaigns tab"))</f>
        <v/>
      </c>
      <c r="I1109" s="84" t="str">
        <f aca="false">IF(C1109="","",C1109*IF(Settings!$B$23=Settings!$C$6,1,IF(Settings!$B$23="USD",1/INDEX(Settings!$B$29:$B$40,MONTH(A1109)),INDEX(Settings!$B$29:$B$40,MONTH(A1109)))))</f>
        <v/>
      </c>
    </row>
    <row r="1110" customFormat="false" ht="15" hidden="false" customHeight="false" outlineLevel="0" collapsed="false">
      <c r="H1110" s="0" t="str">
        <f aca="false">IF(B1110="","",IF(COUNTIF(Campaigns!$A$7:$A$300,B1110)&gt;0,"✓","⚠ add to Campaigns tab"))</f>
        <v/>
      </c>
      <c r="I1110" s="84" t="str">
        <f aca="false">IF(C1110="","",C1110*IF(Settings!$B$23=Settings!$C$6,1,IF(Settings!$B$23="USD",1/INDEX(Settings!$B$29:$B$40,MONTH(A1110)),INDEX(Settings!$B$29:$B$40,MONTH(A1110)))))</f>
        <v/>
      </c>
    </row>
    <row r="1111" customFormat="false" ht="15" hidden="false" customHeight="false" outlineLevel="0" collapsed="false">
      <c r="H1111" s="0" t="str">
        <f aca="false">IF(B1111="","",IF(COUNTIF(Campaigns!$A$7:$A$300,B1111)&gt;0,"✓","⚠ add to Campaigns tab"))</f>
        <v/>
      </c>
      <c r="I1111" s="84" t="str">
        <f aca="false">IF(C1111="","",C1111*IF(Settings!$B$23=Settings!$C$6,1,IF(Settings!$B$23="USD",1/INDEX(Settings!$B$29:$B$40,MONTH(A1111)),INDEX(Settings!$B$29:$B$40,MONTH(A1111)))))</f>
        <v/>
      </c>
    </row>
    <row r="1112" customFormat="false" ht="15" hidden="false" customHeight="false" outlineLevel="0" collapsed="false">
      <c r="H1112" s="0" t="str">
        <f aca="false">IF(B1112="","",IF(COUNTIF(Campaigns!$A$7:$A$300,B1112)&gt;0,"✓","⚠ add to Campaigns tab"))</f>
        <v/>
      </c>
      <c r="I1112" s="84" t="str">
        <f aca="false">IF(C1112="","",C1112*IF(Settings!$B$23=Settings!$C$6,1,IF(Settings!$B$23="USD",1/INDEX(Settings!$B$29:$B$40,MONTH(A1112)),INDEX(Settings!$B$29:$B$40,MONTH(A1112)))))</f>
        <v/>
      </c>
    </row>
    <row r="1113" customFormat="false" ht="15" hidden="false" customHeight="false" outlineLevel="0" collapsed="false">
      <c r="H1113" s="0" t="str">
        <f aca="false">IF(B1113="","",IF(COUNTIF(Campaigns!$A$7:$A$300,B1113)&gt;0,"✓","⚠ add to Campaigns tab"))</f>
        <v/>
      </c>
      <c r="I1113" s="84" t="str">
        <f aca="false">IF(C1113="","",C1113*IF(Settings!$B$23=Settings!$C$6,1,IF(Settings!$B$23="USD",1/INDEX(Settings!$B$29:$B$40,MONTH(A1113)),INDEX(Settings!$B$29:$B$40,MONTH(A1113)))))</f>
        <v/>
      </c>
    </row>
    <row r="1114" customFormat="false" ht="15" hidden="false" customHeight="false" outlineLevel="0" collapsed="false">
      <c r="H1114" s="0" t="str">
        <f aca="false">IF(B1114="","",IF(COUNTIF(Campaigns!$A$7:$A$300,B1114)&gt;0,"✓","⚠ add to Campaigns tab"))</f>
        <v/>
      </c>
      <c r="I1114" s="84" t="str">
        <f aca="false">IF(C1114="","",C1114*IF(Settings!$B$23=Settings!$C$6,1,IF(Settings!$B$23="USD",1/INDEX(Settings!$B$29:$B$40,MONTH(A1114)),INDEX(Settings!$B$29:$B$40,MONTH(A1114)))))</f>
        <v/>
      </c>
    </row>
    <row r="1115" customFormat="false" ht="15" hidden="false" customHeight="false" outlineLevel="0" collapsed="false">
      <c r="H1115" s="0" t="str">
        <f aca="false">IF(B1115="","",IF(COUNTIF(Campaigns!$A$7:$A$300,B1115)&gt;0,"✓","⚠ add to Campaigns tab"))</f>
        <v/>
      </c>
      <c r="I1115" s="84" t="str">
        <f aca="false">IF(C1115="","",C1115*IF(Settings!$B$23=Settings!$C$6,1,IF(Settings!$B$23="USD",1/INDEX(Settings!$B$29:$B$40,MONTH(A1115)),INDEX(Settings!$B$29:$B$40,MONTH(A1115)))))</f>
        <v/>
      </c>
    </row>
    <row r="1116" customFormat="false" ht="15" hidden="false" customHeight="false" outlineLevel="0" collapsed="false">
      <c r="H1116" s="0" t="str">
        <f aca="false">IF(B1116="","",IF(COUNTIF(Campaigns!$A$7:$A$300,B1116)&gt;0,"✓","⚠ add to Campaigns tab"))</f>
        <v/>
      </c>
      <c r="I1116" s="84" t="str">
        <f aca="false">IF(C1116="","",C1116*IF(Settings!$B$23=Settings!$C$6,1,IF(Settings!$B$23="USD",1/INDEX(Settings!$B$29:$B$40,MONTH(A1116)),INDEX(Settings!$B$29:$B$40,MONTH(A1116)))))</f>
        <v/>
      </c>
    </row>
    <row r="1117" customFormat="false" ht="15" hidden="false" customHeight="false" outlineLevel="0" collapsed="false">
      <c r="H1117" s="0" t="str">
        <f aca="false">IF(B1117="","",IF(COUNTIF(Campaigns!$A$7:$A$300,B1117)&gt;0,"✓","⚠ add to Campaigns tab"))</f>
        <v/>
      </c>
      <c r="I1117" s="84" t="str">
        <f aca="false">IF(C1117="","",C1117*IF(Settings!$B$23=Settings!$C$6,1,IF(Settings!$B$23="USD",1/INDEX(Settings!$B$29:$B$40,MONTH(A1117)),INDEX(Settings!$B$29:$B$40,MONTH(A1117)))))</f>
        <v/>
      </c>
    </row>
    <row r="1118" customFormat="false" ht="15" hidden="false" customHeight="false" outlineLevel="0" collapsed="false">
      <c r="H1118" s="0" t="str">
        <f aca="false">IF(B1118="","",IF(COUNTIF(Campaigns!$A$7:$A$300,B1118)&gt;0,"✓","⚠ add to Campaigns tab"))</f>
        <v/>
      </c>
      <c r="I1118" s="84" t="str">
        <f aca="false">IF(C1118="","",C1118*IF(Settings!$B$23=Settings!$C$6,1,IF(Settings!$B$23="USD",1/INDEX(Settings!$B$29:$B$40,MONTH(A1118)),INDEX(Settings!$B$29:$B$40,MONTH(A1118)))))</f>
        <v/>
      </c>
    </row>
    <row r="1119" customFormat="false" ht="15" hidden="false" customHeight="false" outlineLevel="0" collapsed="false">
      <c r="H1119" s="0" t="str">
        <f aca="false">IF(B1119="","",IF(COUNTIF(Campaigns!$A$7:$A$300,B1119)&gt;0,"✓","⚠ add to Campaigns tab"))</f>
        <v/>
      </c>
      <c r="I1119" s="84" t="str">
        <f aca="false">IF(C1119="","",C1119*IF(Settings!$B$23=Settings!$C$6,1,IF(Settings!$B$23="USD",1/INDEX(Settings!$B$29:$B$40,MONTH(A1119)),INDEX(Settings!$B$29:$B$40,MONTH(A1119)))))</f>
        <v/>
      </c>
    </row>
    <row r="1120" customFormat="false" ht="15" hidden="false" customHeight="false" outlineLevel="0" collapsed="false">
      <c r="H1120" s="0" t="str">
        <f aca="false">IF(B1120="","",IF(COUNTIF(Campaigns!$A$7:$A$300,B1120)&gt;0,"✓","⚠ add to Campaigns tab"))</f>
        <v/>
      </c>
      <c r="I1120" s="84" t="str">
        <f aca="false">IF(C1120="","",C1120*IF(Settings!$B$23=Settings!$C$6,1,IF(Settings!$B$23="USD",1/INDEX(Settings!$B$29:$B$40,MONTH(A1120)),INDEX(Settings!$B$29:$B$40,MONTH(A1120)))))</f>
        <v/>
      </c>
    </row>
    <row r="1121" customFormat="false" ht="15" hidden="false" customHeight="false" outlineLevel="0" collapsed="false">
      <c r="H1121" s="0" t="str">
        <f aca="false">IF(B1121="","",IF(COUNTIF(Campaigns!$A$7:$A$300,B1121)&gt;0,"✓","⚠ add to Campaigns tab"))</f>
        <v/>
      </c>
      <c r="I1121" s="84" t="str">
        <f aca="false">IF(C1121="","",C1121*IF(Settings!$B$23=Settings!$C$6,1,IF(Settings!$B$23="USD",1/INDEX(Settings!$B$29:$B$40,MONTH(A1121)),INDEX(Settings!$B$29:$B$40,MONTH(A1121)))))</f>
        <v/>
      </c>
    </row>
    <row r="1122" customFormat="false" ht="15" hidden="false" customHeight="false" outlineLevel="0" collapsed="false">
      <c r="H1122" s="0" t="str">
        <f aca="false">IF(B1122="","",IF(COUNTIF(Campaigns!$A$7:$A$300,B1122)&gt;0,"✓","⚠ add to Campaigns tab"))</f>
        <v/>
      </c>
      <c r="I1122" s="84" t="str">
        <f aca="false">IF(C1122="","",C1122*IF(Settings!$B$23=Settings!$C$6,1,IF(Settings!$B$23="USD",1/INDEX(Settings!$B$29:$B$40,MONTH(A1122)),INDEX(Settings!$B$29:$B$40,MONTH(A1122)))))</f>
        <v/>
      </c>
    </row>
    <row r="1123" customFormat="false" ht="15" hidden="false" customHeight="false" outlineLevel="0" collapsed="false">
      <c r="H1123" s="0" t="str">
        <f aca="false">IF(B1123="","",IF(COUNTIF(Campaigns!$A$7:$A$300,B1123)&gt;0,"✓","⚠ add to Campaigns tab"))</f>
        <v/>
      </c>
      <c r="I1123" s="84" t="str">
        <f aca="false">IF(C1123="","",C1123*IF(Settings!$B$23=Settings!$C$6,1,IF(Settings!$B$23="USD",1/INDEX(Settings!$B$29:$B$40,MONTH(A1123)),INDEX(Settings!$B$29:$B$40,MONTH(A1123)))))</f>
        <v/>
      </c>
    </row>
    <row r="1124" customFormat="false" ht="15" hidden="false" customHeight="false" outlineLevel="0" collapsed="false">
      <c r="H1124" s="0" t="str">
        <f aca="false">IF(B1124="","",IF(COUNTIF(Campaigns!$A$7:$A$300,B1124)&gt;0,"✓","⚠ add to Campaigns tab"))</f>
        <v/>
      </c>
      <c r="I1124" s="84" t="str">
        <f aca="false">IF(C1124="","",C1124*IF(Settings!$B$23=Settings!$C$6,1,IF(Settings!$B$23="USD",1/INDEX(Settings!$B$29:$B$40,MONTH(A1124)),INDEX(Settings!$B$29:$B$40,MONTH(A1124)))))</f>
        <v/>
      </c>
    </row>
    <row r="1125" customFormat="false" ht="15" hidden="false" customHeight="false" outlineLevel="0" collapsed="false">
      <c r="H1125" s="0" t="str">
        <f aca="false">IF(B1125="","",IF(COUNTIF(Campaigns!$A$7:$A$300,B1125)&gt;0,"✓","⚠ add to Campaigns tab"))</f>
        <v/>
      </c>
      <c r="I1125" s="84" t="str">
        <f aca="false">IF(C1125="","",C1125*IF(Settings!$B$23=Settings!$C$6,1,IF(Settings!$B$23="USD",1/INDEX(Settings!$B$29:$B$40,MONTH(A1125)),INDEX(Settings!$B$29:$B$40,MONTH(A1125)))))</f>
        <v/>
      </c>
    </row>
    <row r="1126" customFormat="false" ht="15" hidden="false" customHeight="false" outlineLevel="0" collapsed="false">
      <c r="H1126" s="0" t="str">
        <f aca="false">IF(B1126="","",IF(COUNTIF(Campaigns!$A$7:$A$300,B1126)&gt;0,"✓","⚠ add to Campaigns tab"))</f>
        <v/>
      </c>
      <c r="I1126" s="84" t="str">
        <f aca="false">IF(C1126="","",C1126*IF(Settings!$B$23=Settings!$C$6,1,IF(Settings!$B$23="USD",1/INDEX(Settings!$B$29:$B$40,MONTH(A1126)),INDEX(Settings!$B$29:$B$40,MONTH(A1126)))))</f>
        <v/>
      </c>
    </row>
    <row r="1127" customFormat="false" ht="15" hidden="false" customHeight="false" outlineLevel="0" collapsed="false">
      <c r="H1127" s="0" t="str">
        <f aca="false">IF(B1127="","",IF(COUNTIF(Campaigns!$A$7:$A$300,B1127)&gt;0,"✓","⚠ add to Campaigns tab"))</f>
        <v/>
      </c>
      <c r="I1127" s="84" t="str">
        <f aca="false">IF(C1127="","",C1127*IF(Settings!$B$23=Settings!$C$6,1,IF(Settings!$B$23="USD",1/INDEX(Settings!$B$29:$B$40,MONTH(A1127)),INDEX(Settings!$B$29:$B$40,MONTH(A1127)))))</f>
        <v/>
      </c>
    </row>
    <row r="1128" customFormat="false" ht="15" hidden="false" customHeight="false" outlineLevel="0" collapsed="false">
      <c r="H1128" s="0" t="str">
        <f aca="false">IF(B1128="","",IF(COUNTIF(Campaigns!$A$7:$A$300,B1128)&gt;0,"✓","⚠ add to Campaigns tab"))</f>
        <v/>
      </c>
      <c r="I1128" s="84" t="str">
        <f aca="false">IF(C1128="","",C1128*IF(Settings!$B$23=Settings!$C$6,1,IF(Settings!$B$23="USD",1/INDEX(Settings!$B$29:$B$40,MONTH(A1128)),INDEX(Settings!$B$29:$B$40,MONTH(A1128)))))</f>
        <v/>
      </c>
    </row>
    <row r="1129" customFormat="false" ht="15" hidden="false" customHeight="false" outlineLevel="0" collapsed="false">
      <c r="H1129" s="0" t="str">
        <f aca="false">IF(B1129="","",IF(COUNTIF(Campaigns!$A$7:$A$300,B1129)&gt;0,"✓","⚠ add to Campaigns tab"))</f>
        <v/>
      </c>
      <c r="I1129" s="84" t="str">
        <f aca="false">IF(C1129="","",C1129*IF(Settings!$B$23=Settings!$C$6,1,IF(Settings!$B$23="USD",1/INDEX(Settings!$B$29:$B$40,MONTH(A1129)),INDEX(Settings!$B$29:$B$40,MONTH(A1129)))))</f>
        <v/>
      </c>
    </row>
    <row r="1130" customFormat="false" ht="15" hidden="false" customHeight="false" outlineLevel="0" collapsed="false">
      <c r="H1130" s="0" t="str">
        <f aca="false">IF(B1130="","",IF(COUNTIF(Campaigns!$A$7:$A$300,B1130)&gt;0,"✓","⚠ add to Campaigns tab"))</f>
        <v/>
      </c>
      <c r="I1130" s="84" t="str">
        <f aca="false">IF(C1130="","",C1130*IF(Settings!$B$23=Settings!$C$6,1,IF(Settings!$B$23="USD",1/INDEX(Settings!$B$29:$B$40,MONTH(A1130)),INDEX(Settings!$B$29:$B$40,MONTH(A1130)))))</f>
        <v/>
      </c>
    </row>
    <row r="1131" customFormat="false" ht="15" hidden="false" customHeight="false" outlineLevel="0" collapsed="false">
      <c r="H1131" s="0" t="str">
        <f aca="false">IF(B1131="","",IF(COUNTIF(Campaigns!$A$7:$A$300,B1131)&gt;0,"✓","⚠ add to Campaigns tab"))</f>
        <v/>
      </c>
      <c r="I1131" s="84" t="str">
        <f aca="false">IF(C1131="","",C1131*IF(Settings!$B$23=Settings!$C$6,1,IF(Settings!$B$23="USD",1/INDEX(Settings!$B$29:$B$40,MONTH(A1131)),INDEX(Settings!$B$29:$B$40,MONTH(A1131)))))</f>
        <v/>
      </c>
    </row>
    <row r="1132" customFormat="false" ht="15" hidden="false" customHeight="false" outlineLevel="0" collapsed="false">
      <c r="H1132" s="0" t="str">
        <f aca="false">IF(B1132="","",IF(COUNTIF(Campaigns!$A$7:$A$300,B1132)&gt;0,"✓","⚠ add to Campaigns tab"))</f>
        <v/>
      </c>
      <c r="I1132" s="84" t="str">
        <f aca="false">IF(C1132="","",C1132*IF(Settings!$B$23=Settings!$C$6,1,IF(Settings!$B$23="USD",1/INDEX(Settings!$B$29:$B$40,MONTH(A1132)),INDEX(Settings!$B$29:$B$40,MONTH(A1132)))))</f>
        <v/>
      </c>
    </row>
    <row r="1133" customFormat="false" ht="15" hidden="false" customHeight="false" outlineLevel="0" collapsed="false">
      <c r="H1133" s="0" t="str">
        <f aca="false">IF(B1133="","",IF(COUNTIF(Campaigns!$A$7:$A$300,B1133)&gt;0,"✓","⚠ add to Campaigns tab"))</f>
        <v/>
      </c>
      <c r="I1133" s="84" t="str">
        <f aca="false">IF(C1133="","",C1133*IF(Settings!$B$23=Settings!$C$6,1,IF(Settings!$B$23="USD",1/INDEX(Settings!$B$29:$B$40,MONTH(A1133)),INDEX(Settings!$B$29:$B$40,MONTH(A1133)))))</f>
        <v/>
      </c>
    </row>
    <row r="1134" customFormat="false" ht="15" hidden="false" customHeight="false" outlineLevel="0" collapsed="false">
      <c r="H1134" s="0" t="str">
        <f aca="false">IF(B1134="","",IF(COUNTIF(Campaigns!$A$7:$A$300,B1134)&gt;0,"✓","⚠ add to Campaigns tab"))</f>
        <v/>
      </c>
      <c r="I1134" s="84" t="str">
        <f aca="false">IF(C1134="","",C1134*IF(Settings!$B$23=Settings!$C$6,1,IF(Settings!$B$23="USD",1/INDEX(Settings!$B$29:$B$40,MONTH(A1134)),INDEX(Settings!$B$29:$B$40,MONTH(A1134)))))</f>
        <v/>
      </c>
    </row>
    <row r="1135" customFormat="false" ht="15" hidden="false" customHeight="false" outlineLevel="0" collapsed="false">
      <c r="H1135" s="0" t="str">
        <f aca="false">IF(B1135="","",IF(COUNTIF(Campaigns!$A$7:$A$300,B1135)&gt;0,"✓","⚠ add to Campaigns tab"))</f>
        <v/>
      </c>
      <c r="I1135" s="84" t="str">
        <f aca="false">IF(C1135="","",C1135*IF(Settings!$B$23=Settings!$C$6,1,IF(Settings!$B$23="USD",1/INDEX(Settings!$B$29:$B$40,MONTH(A1135)),INDEX(Settings!$B$29:$B$40,MONTH(A1135)))))</f>
        <v/>
      </c>
    </row>
    <row r="1136" customFormat="false" ht="15" hidden="false" customHeight="false" outlineLevel="0" collapsed="false">
      <c r="H1136" s="0" t="str">
        <f aca="false">IF(B1136="","",IF(COUNTIF(Campaigns!$A$7:$A$300,B1136)&gt;0,"✓","⚠ add to Campaigns tab"))</f>
        <v/>
      </c>
      <c r="I1136" s="84" t="str">
        <f aca="false">IF(C1136="","",C1136*IF(Settings!$B$23=Settings!$C$6,1,IF(Settings!$B$23="USD",1/INDEX(Settings!$B$29:$B$40,MONTH(A1136)),INDEX(Settings!$B$29:$B$40,MONTH(A1136)))))</f>
        <v/>
      </c>
    </row>
    <row r="1137" customFormat="false" ht="15" hidden="false" customHeight="false" outlineLevel="0" collapsed="false">
      <c r="H1137" s="0" t="str">
        <f aca="false">IF(B1137="","",IF(COUNTIF(Campaigns!$A$7:$A$300,B1137)&gt;0,"✓","⚠ add to Campaigns tab"))</f>
        <v/>
      </c>
      <c r="I1137" s="84" t="str">
        <f aca="false">IF(C1137="","",C1137*IF(Settings!$B$23=Settings!$C$6,1,IF(Settings!$B$23="USD",1/INDEX(Settings!$B$29:$B$40,MONTH(A1137)),INDEX(Settings!$B$29:$B$40,MONTH(A1137)))))</f>
        <v/>
      </c>
    </row>
    <row r="1138" customFormat="false" ht="15" hidden="false" customHeight="false" outlineLevel="0" collapsed="false">
      <c r="H1138" s="0" t="str">
        <f aca="false">IF(B1138="","",IF(COUNTIF(Campaigns!$A$7:$A$300,B1138)&gt;0,"✓","⚠ add to Campaigns tab"))</f>
        <v/>
      </c>
      <c r="I1138" s="84" t="str">
        <f aca="false">IF(C1138="","",C1138*IF(Settings!$B$23=Settings!$C$6,1,IF(Settings!$B$23="USD",1/INDEX(Settings!$B$29:$B$40,MONTH(A1138)),INDEX(Settings!$B$29:$B$40,MONTH(A1138)))))</f>
        <v/>
      </c>
    </row>
    <row r="1139" customFormat="false" ht="15" hidden="false" customHeight="false" outlineLevel="0" collapsed="false">
      <c r="H1139" s="0" t="str">
        <f aca="false">IF(B1139="","",IF(COUNTIF(Campaigns!$A$7:$A$300,B1139)&gt;0,"✓","⚠ add to Campaigns tab"))</f>
        <v/>
      </c>
      <c r="I1139" s="84" t="str">
        <f aca="false">IF(C1139="","",C1139*IF(Settings!$B$23=Settings!$C$6,1,IF(Settings!$B$23="USD",1/INDEX(Settings!$B$29:$B$40,MONTH(A1139)),INDEX(Settings!$B$29:$B$40,MONTH(A1139)))))</f>
        <v/>
      </c>
    </row>
    <row r="1140" customFormat="false" ht="15" hidden="false" customHeight="false" outlineLevel="0" collapsed="false">
      <c r="H1140" s="0" t="str">
        <f aca="false">IF(B1140="","",IF(COUNTIF(Campaigns!$A$7:$A$300,B1140)&gt;0,"✓","⚠ add to Campaigns tab"))</f>
        <v/>
      </c>
      <c r="I1140" s="84" t="str">
        <f aca="false">IF(C1140="","",C1140*IF(Settings!$B$23=Settings!$C$6,1,IF(Settings!$B$23="USD",1/INDEX(Settings!$B$29:$B$40,MONTH(A1140)),INDEX(Settings!$B$29:$B$40,MONTH(A1140)))))</f>
        <v/>
      </c>
    </row>
    <row r="1141" customFormat="false" ht="15" hidden="false" customHeight="false" outlineLevel="0" collapsed="false">
      <c r="H1141" s="0" t="str">
        <f aca="false">IF(B1141="","",IF(COUNTIF(Campaigns!$A$7:$A$300,B1141)&gt;0,"✓","⚠ add to Campaigns tab"))</f>
        <v/>
      </c>
      <c r="I1141" s="84" t="str">
        <f aca="false">IF(C1141="","",C1141*IF(Settings!$B$23=Settings!$C$6,1,IF(Settings!$B$23="USD",1/INDEX(Settings!$B$29:$B$40,MONTH(A1141)),INDEX(Settings!$B$29:$B$40,MONTH(A1141)))))</f>
        <v/>
      </c>
    </row>
    <row r="1142" customFormat="false" ht="15" hidden="false" customHeight="false" outlineLevel="0" collapsed="false">
      <c r="H1142" s="0" t="str">
        <f aca="false">IF(B1142="","",IF(COUNTIF(Campaigns!$A$7:$A$300,B1142)&gt;0,"✓","⚠ add to Campaigns tab"))</f>
        <v/>
      </c>
      <c r="I1142" s="84" t="str">
        <f aca="false">IF(C1142="","",C1142*IF(Settings!$B$23=Settings!$C$6,1,IF(Settings!$B$23="USD",1/INDEX(Settings!$B$29:$B$40,MONTH(A1142)),INDEX(Settings!$B$29:$B$40,MONTH(A1142)))))</f>
        <v/>
      </c>
    </row>
    <row r="1143" customFormat="false" ht="15" hidden="false" customHeight="false" outlineLevel="0" collapsed="false">
      <c r="H1143" s="0" t="str">
        <f aca="false">IF(B1143="","",IF(COUNTIF(Campaigns!$A$7:$A$300,B1143)&gt;0,"✓","⚠ add to Campaigns tab"))</f>
        <v/>
      </c>
      <c r="I1143" s="84" t="str">
        <f aca="false">IF(C1143="","",C1143*IF(Settings!$B$23=Settings!$C$6,1,IF(Settings!$B$23="USD",1/INDEX(Settings!$B$29:$B$40,MONTH(A1143)),INDEX(Settings!$B$29:$B$40,MONTH(A1143)))))</f>
        <v/>
      </c>
    </row>
    <row r="1144" customFormat="false" ht="15" hidden="false" customHeight="false" outlineLevel="0" collapsed="false">
      <c r="H1144" s="0" t="str">
        <f aca="false">IF(B1144="","",IF(COUNTIF(Campaigns!$A$7:$A$300,B1144)&gt;0,"✓","⚠ add to Campaigns tab"))</f>
        <v/>
      </c>
      <c r="I1144" s="84" t="str">
        <f aca="false">IF(C1144="","",C1144*IF(Settings!$B$23=Settings!$C$6,1,IF(Settings!$B$23="USD",1/INDEX(Settings!$B$29:$B$40,MONTH(A1144)),INDEX(Settings!$B$29:$B$40,MONTH(A1144)))))</f>
        <v/>
      </c>
    </row>
    <row r="1145" customFormat="false" ht="15" hidden="false" customHeight="false" outlineLevel="0" collapsed="false">
      <c r="H1145" s="0" t="str">
        <f aca="false">IF(B1145="","",IF(COUNTIF(Campaigns!$A$7:$A$300,B1145)&gt;0,"✓","⚠ add to Campaigns tab"))</f>
        <v/>
      </c>
      <c r="I1145" s="84" t="str">
        <f aca="false">IF(C1145="","",C1145*IF(Settings!$B$23=Settings!$C$6,1,IF(Settings!$B$23="USD",1/INDEX(Settings!$B$29:$B$40,MONTH(A1145)),INDEX(Settings!$B$29:$B$40,MONTH(A1145)))))</f>
        <v/>
      </c>
    </row>
    <row r="1146" customFormat="false" ht="15" hidden="false" customHeight="false" outlineLevel="0" collapsed="false">
      <c r="H1146" s="0" t="str">
        <f aca="false">IF(B1146="","",IF(COUNTIF(Campaigns!$A$7:$A$300,B1146)&gt;0,"✓","⚠ add to Campaigns tab"))</f>
        <v/>
      </c>
      <c r="I1146" s="84" t="str">
        <f aca="false">IF(C1146="","",C1146*IF(Settings!$B$23=Settings!$C$6,1,IF(Settings!$B$23="USD",1/INDEX(Settings!$B$29:$B$40,MONTH(A1146)),INDEX(Settings!$B$29:$B$40,MONTH(A1146)))))</f>
        <v/>
      </c>
    </row>
    <row r="1147" customFormat="false" ht="15" hidden="false" customHeight="false" outlineLevel="0" collapsed="false">
      <c r="H1147" s="0" t="str">
        <f aca="false">IF(B1147="","",IF(COUNTIF(Campaigns!$A$7:$A$300,B1147)&gt;0,"✓","⚠ add to Campaigns tab"))</f>
        <v/>
      </c>
      <c r="I1147" s="84" t="str">
        <f aca="false">IF(C1147="","",C1147*IF(Settings!$B$23=Settings!$C$6,1,IF(Settings!$B$23="USD",1/INDEX(Settings!$B$29:$B$40,MONTH(A1147)),INDEX(Settings!$B$29:$B$40,MONTH(A1147)))))</f>
        <v/>
      </c>
    </row>
    <row r="1148" customFormat="false" ht="15" hidden="false" customHeight="false" outlineLevel="0" collapsed="false">
      <c r="H1148" s="0" t="str">
        <f aca="false">IF(B1148="","",IF(COUNTIF(Campaigns!$A$7:$A$300,B1148)&gt;0,"✓","⚠ add to Campaigns tab"))</f>
        <v/>
      </c>
      <c r="I1148" s="84" t="str">
        <f aca="false">IF(C1148="","",C1148*IF(Settings!$B$23=Settings!$C$6,1,IF(Settings!$B$23="USD",1/INDEX(Settings!$B$29:$B$40,MONTH(A1148)),INDEX(Settings!$B$29:$B$40,MONTH(A1148)))))</f>
        <v/>
      </c>
    </row>
    <row r="1149" customFormat="false" ht="15" hidden="false" customHeight="false" outlineLevel="0" collapsed="false">
      <c r="H1149" s="0" t="str">
        <f aca="false">IF(B1149="","",IF(COUNTIF(Campaigns!$A$7:$A$300,B1149)&gt;0,"✓","⚠ add to Campaigns tab"))</f>
        <v/>
      </c>
      <c r="I1149" s="84" t="str">
        <f aca="false">IF(C1149="","",C1149*IF(Settings!$B$23=Settings!$C$6,1,IF(Settings!$B$23="USD",1/INDEX(Settings!$B$29:$B$40,MONTH(A1149)),INDEX(Settings!$B$29:$B$40,MONTH(A1149)))))</f>
        <v/>
      </c>
    </row>
    <row r="1150" customFormat="false" ht="15" hidden="false" customHeight="false" outlineLevel="0" collapsed="false">
      <c r="H1150" s="0" t="str">
        <f aca="false">IF(B1150="","",IF(COUNTIF(Campaigns!$A$7:$A$300,B1150)&gt;0,"✓","⚠ add to Campaigns tab"))</f>
        <v/>
      </c>
      <c r="I1150" s="84" t="str">
        <f aca="false">IF(C1150="","",C1150*IF(Settings!$B$23=Settings!$C$6,1,IF(Settings!$B$23="USD",1/INDEX(Settings!$B$29:$B$40,MONTH(A1150)),INDEX(Settings!$B$29:$B$40,MONTH(A1150)))))</f>
        <v/>
      </c>
    </row>
    <row r="1151" customFormat="false" ht="15" hidden="false" customHeight="false" outlineLevel="0" collapsed="false">
      <c r="H1151" s="0" t="str">
        <f aca="false">IF(B1151="","",IF(COUNTIF(Campaigns!$A$7:$A$300,B1151)&gt;0,"✓","⚠ add to Campaigns tab"))</f>
        <v/>
      </c>
      <c r="I1151" s="84" t="str">
        <f aca="false">IF(C1151="","",C1151*IF(Settings!$B$23=Settings!$C$6,1,IF(Settings!$B$23="USD",1/INDEX(Settings!$B$29:$B$40,MONTH(A1151)),INDEX(Settings!$B$29:$B$40,MONTH(A1151)))))</f>
        <v/>
      </c>
    </row>
    <row r="1152" customFormat="false" ht="15" hidden="false" customHeight="false" outlineLevel="0" collapsed="false">
      <c r="H1152" s="0" t="str">
        <f aca="false">IF(B1152="","",IF(COUNTIF(Campaigns!$A$7:$A$300,B1152)&gt;0,"✓","⚠ add to Campaigns tab"))</f>
        <v/>
      </c>
      <c r="I1152" s="84" t="str">
        <f aca="false">IF(C1152="","",C1152*IF(Settings!$B$23=Settings!$C$6,1,IF(Settings!$B$23="USD",1/INDEX(Settings!$B$29:$B$40,MONTH(A1152)),INDEX(Settings!$B$29:$B$40,MONTH(A1152)))))</f>
        <v/>
      </c>
    </row>
    <row r="1153" customFormat="false" ht="15" hidden="false" customHeight="false" outlineLevel="0" collapsed="false">
      <c r="H1153" s="0" t="str">
        <f aca="false">IF(B1153="","",IF(COUNTIF(Campaigns!$A$7:$A$300,B1153)&gt;0,"✓","⚠ add to Campaigns tab"))</f>
        <v/>
      </c>
      <c r="I1153" s="84" t="str">
        <f aca="false">IF(C1153="","",C1153*IF(Settings!$B$23=Settings!$C$6,1,IF(Settings!$B$23="USD",1/INDEX(Settings!$B$29:$B$40,MONTH(A1153)),INDEX(Settings!$B$29:$B$40,MONTH(A1153)))))</f>
        <v/>
      </c>
    </row>
    <row r="1154" customFormat="false" ht="15" hidden="false" customHeight="false" outlineLevel="0" collapsed="false">
      <c r="H1154" s="0" t="str">
        <f aca="false">IF(B1154="","",IF(COUNTIF(Campaigns!$A$7:$A$300,B1154)&gt;0,"✓","⚠ add to Campaigns tab"))</f>
        <v/>
      </c>
      <c r="I1154" s="84" t="str">
        <f aca="false">IF(C1154="","",C1154*IF(Settings!$B$23=Settings!$C$6,1,IF(Settings!$B$23="USD",1/INDEX(Settings!$B$29:$B$40,MONTH(A1154)),INDEX(Settings!$B$29:$B$40,MONTH(A1154)))))</f>
        <v/>
      </c>
    </row>
    <row r="1155" customFormat="false" ht="15" hidden="false" customHeight="false" outlineLevel="0" collapsed="false">
      <c r="H1155" s="0" t="str">
        <f aca="false">IF(B1155="","",IF(COUNTIF(Campaigns!$A$7:$A$300,B1155)&gt;0,"✓","⚠ add to Campaigns tab"))</f>
        <v/>
      </c>
      <c r="I1155" s="84" t="str">
        <f aca="false">IF(C1155="","",C1155*IF(Settings!$B$23=Settings!$C$6,1,IF(Settings!$B$23="USD",1/INDEX(Settings!$B$29:$B$40,MONTH(A1155)),INDEX(Settings!$B$29:$B$40,MONTH(A1155)))))</f>
        <v/>
      </c>
    </row>
    <row r="1156" customFormat="false" ht="15" hidden="false" customHeight="false" outlineLevel="0" collapsed="false">
      <c r="H1156" s="0" t="str">
        <f aca="false">IF(B1156="","",IF(COUNTIF(Campaigns!$A$7:$A$300,B1156)&gt;0,"✓","⚠ add to Campaigns tab"))</f>
        <v/>
      </c>
      <c r="I1156" s="84" t="str">
        <f aca="false">IF(C1156="","",C1156*IF(Settings!$B$23=Settings!$C$6,1,IF(Settings!$B$23="USD",1/INDEX(Settings!$B$29:$B$40,MONTH(A1156)),INDEX(Settings!$B$29:$B$40,MONTH(A1156)))))</f>
        <v/>
      </c>
    </row>
    <row r="1157" customFormat="false" ht="15" hidden="false" customHeight="false" outlineLevel="0" collapsed="false">
      <c r="H1157" s="0" t="str">
        <f aca="false">IF(B1157="","",IF(COUNTIF(Campaigns!$A$7:$A$300,B1157)&gt;0,"✓","⚠ add to Campaigns tab"))</f>
        <v/>
      </c>
      <c r="I1157" s="84" t="str">
        <f aca="false">IF(C1157="","",C1157*IF(Settings!$B$23=Settings!$C$6,1,IF(Settings!$B$23="USD",1/INDEX(Settings!$B$29:$B$40,MONTH(A1157)),INDEX(Settings!$B$29:$B$40,MONTH(A1157)))))</f>
        <v/>
      </c>
    </row>
    <row r="1158" customFormat="false" ht="15" hidden="false" customHeight="false" outlineLevel="0" collapsed="false">
      <c r="H1158" s="0" t="str">
        <f aca="false">IF(B1158="","",IF(COUNTIF(Campaigns!$A$7:$A$300,B1158)&gt;0,"✓","⚠ add to Campaigns tab"))</f>
        <v/>
      </c>
      <c r="I1158" s="84" t="str">
        <f aca="false">IF(C1158="","",C1158*IF(Settings!$B$23=Settings!$C$6,1,IF(Settings!$B$23="USD",1/INDEX(Settings!$B$29:$B$40,MONTH(A1158)),INDEX(Settings!$B$29:$B$40,MONTH(A1158)))))</f>
        <v/>
      </c>
    </row>
    <row r="1159" customFormat="false" ht="15" hidden="false" customHeight="false" outlineLevel="0" collapsed="false">
      <c r="H1159" s="0" t="str">
        <f aca="false">IF(B1159="","",IF(COUNTIF(Campaigns!$A$7:$A$300,B1159)&gt;0,"✓","⚠ add to Campaigns tab"))</f>
        <v/>
      </c>
      <c r="I1159" s="84" t="str">
        <f aca="false">IF(C1159="","",C1159*IF(Settings!$B$23=Settings!$C$6,1,IF(Settings!$B$23="USD",1/INDEX(Settings!$B$29:$B$40,MONTH(A1159)),INDEX(Settings!$B$29:$B$40,MONTH(A1159)))))</f>
        <v/>
      </c>
    </row>
    <row r="1160" customFormat="false" ht="15" hidden="false" customHeight="false" outlineLevel="0" collapsed="false">
      <c r="H1160" s="0" t="str">
        <f aca="false">IF(B1160="","",IF(COUNTIF(Campaigns!$A$7:$A$300,B1160)&gt;0,"✓","⚠ add to Campaigns tab"))</f>
        <v/>
      </c>
      <c r="I1160" s="84" t="str">
        <f aca="false">IF(C1160="","",C1160*IF(Settings!$B$23=Settings!$C$6,1,IF(Settings!$B$23="USD",1/INDEX(Settings!$B$29:$B$40,MONTH(A1160)),INDEX(Settings!$B$29:$B$40,MONTH(A1160)))))</f>
        <v/>
      </c>
    </row>
    <row r="1161" customFormat="false" ht="15" hidden="false" customHeight="false" outlineLevel="0" collapsed="false">
      <c r="H1161" s="0" t="str">
        <f aca="false">IF(B1161="","",IF(COUNTIF(Campaigns!$A$7:$A$300,B1161)&gt;0,"✓","⚠ add to Campaigns tab"))</f>
        <v/>
      </c>
      <c r="I1161" s="84" t="str">
        <f aca="false">IF(C1161="","",C1161*IF(Settings!$B$23=Settings!$C$6,1,IF(Settings!$B$23="USD",1/INDEX(Settings!$B$29:$B$40,MONTH(A1161)),INDEX(Settings!$B$29:$B$40,MONTH(A1161)))))</f>
        <v/>
      </c>
    </row>
    <row r="1162" customFormat="false" ht="15" hidden="false" customHeight="false" outlineLevel="0" collapsed="false">
      <c r="H1162" s="0" t="str">
        <f aca="false">IF(B1162="","",IF(COUNTIF(Campaigns!$A$7:$A$300,B1162)&gt;0,"✓","⚠ add to Campaigns tab"))</f>
        <v/>
      </c>
      <c r="I1162" s="84" t="str">
        <f aca="false">IF(C1162="","",C1162*IF(Settings!$B$23=Settings!$C$6,1,IF(Settings!$B$23="USD",1/INDEX(Settings!$B$29:$B$40,MONTH(A1162)),INDEX(Settings!$B$29:$B$40,MONTH(A1162)))))</f>
        <v/>
      </c>
    </row>
    <row r="1163" customFormat="false" ht="15" hidden="false" customHeight="false" outlineLevel="0" collapsed="false">
      <c r="H1163" s="0" t="str">
        <f aca="false">IF(B1163="","",IF(COUNTIF(Campaigns!$A$7:$A$300,B1163)&gt;0,"✓","⚠ add to Campaigns tab"))</f>
        <v/>
      </c>
      <c r="I1163" s="84" t="str">
        <f aca="false">IF(C1163="","",C1163*IF(Settings!$B$23=Settings!$C$6,1,IF(Settings!$B$23="USD",1/INDEX(Settings!$B$29:$B$40,MONTH(A1163)),INDEX(Settings!$B$29:$B$40,MONTH(A1163)))))</f>
        <v/>
      </c>
    </row>
    <row r="1164" customFormat="false" ht="15" hidden="false" customHeight="false" outlineLevel="0" collapsed="false">
      <c r="H1164" s="0" t="str">
        <f aca="false">IF(B1164="","",IF(COUNTIF(Campaigns!$A$7:$A$300,B1164)&gt;0,"✓","⚠ add to Campaigns tab"))</f>
        <v/>
      </c>
      <c r="I1164" s="84" t="str">
        <f aca="false">IF(C1164="","",C1164*IF(Settings!$B$23=Settings!$C$6,1,IF(Settings!$B$23="USD",1/INDEX(Settings!$B$29:$B$40,MONTH(A1164)),INDEX(Settings!$B$29:$B$40,MONTH(A1164)))))</f>
        <v/>
      </c>
    </row>
    <row r="1165" customFormat="false" ht="15" hidden="false" customHeight="false" outlineLevel="0" collapsed="false">
      <c r="H1165" s="0" t="str">
        <f aca="false">IF(B1165="","",IF(COUNTIF(Campaigns!$A$7:$A$300,B1165)&gt;0,"✓","⚠ add to Campaigns tab"))</f>
        <v/>
      </c>
      <c r="I1165" s="84" t="str">
        <f aca="false">IF(C1165="","",C1165*IF(Settings!$B$23=Settings!$C$6,1,IF(Settings!$B$23="USD",1/INDEX(Settings!$B$29:$B$40,MONTH(A1165)),INDEX(Settings!$B$29:$B$40,MONTH(A1165)))))</f>
        <v/>
      </c>
    </row>
    <row r="1166" customFormat="false" ht="15" hidden="false" customHeight="false" outlineLevel="0" collapsed="false">
      <c r="H1166" s="0" t="str">
        <f aca="false">IF(B1166="","",IF(COUNTIF(Campaigns!$A$7:$A$300,B1166)&gt;0,"✓","⚠ add to Campaigns tab"))</f>
        <v/>
      </c>
      <c r="I1166" s="84" t="str">
        <f aca="false">IF(C1166="","",C1166*IF(Settings!$B$23=Settings!$C$6,1,IF(Settings!$B$23="USD",1/INDEX(Settings!$B$29:$B$40,MONTH(A1166)),INDEX(Settings!$B$29:$B$40,MONTH(A1166)))))</f>
        <v/>
      </c>
    </row>
    <row r="1167" customFormat="false" ht="15" hidden="false" customHeight="false" outlineLevel="0" collapsed="false">
      <c r="H1167" s="0" t="str">
        <f aca="false">IF(B1167="","",IF(COUNTIF(Campaigns!$A$7:$A$300,B1167)&gt;0,"✓","⚠ add to Campaigns tab"))</f>
        <v/>
      </c>
      <c r="I1167" s="84" t="str">
        <f aca="false">IF(C1167="","",C1167*IF(Settings!$B$23=Settings!$C$6,1,IF(Settings!$B$23="USD",1/INDEX(Settings!$B$29:$B$40,MONTH(A1167)),INDEX(Settings!$B$29:$B$40,MONTH(A1167)))))</f>
        <v/>
      </c>
    </row>
    <row r="1168" customFormat="false" ht="15" hidden="false" customHeight="false" outlineLevel="0" collapsed="false">
      <c r="H1168" s="0" t="str">
        <f aca="false">IF(B1168="","",IF(COUNTIF(Campaigns!$A$7:$A$300,B1168)&gt;0,"✓","⚠ add to Campaigns tab"))</f>
        <v/>
      </c>
      <c r="I1168" s="84" t="str">
        <f aca="false">IF(C1168="","",C1168*IF(Settings!$B$23=Settings!$C$6,1,IF(Settings!$B$23="USD",1/INDEX(Settings!$B$29:$B$40,MONTH(A1168)),INDEX(Settings!$B$29:$B$40,MONTH(A1168)))))</f>
        <v/>
      </c>
    </row>
    <row r="1169" customFormat="false" ht="15" hidden="false" customHeight="false" outlineLevel="0" collapsed="false">
      <c r="H1169" s="0" t="str">
        <f aca="false">IF(B1169="","",IF(COUNTIF(Campaigns!$A$7:$A$300,B1169)&gt;0,"✓","⚠ add to Campaigns tab"))</f>
        <v/>
      </c>
      <c r="I1169" s="84" t="str">
        <f aca="false">IF(C1169="","",C1169*IF(Settings!$B$23=Settings!$C$6,1,IF(Settings!$B$23="USD",1/INDEX(Settings!$B$29:$B$40,MONTH(A1169)),INDEX(Settings!$B$29:$B$40,MONTH(A1169)))))</f>
        <v/>
      </c>
    </row>
    <row r="1170" customFormat="false" ht="15" hidden="false" customHeight="false" outlineLevel="0" collapsed="false">
      <c r="H1170" s="0" t="str">
        <f aca="false">IF(B1170="","",IF(COUNTIF(Campaigns!$A$7:$A$300,B1170)&gt;0,"✓","⚠ add to Campaigns tab"))</f>
        <v/>
      </c>
      <c r="I1170" s="84" t="str">
        <f aca="false">IF(C1170="","",C1170*IF(Settings!$B$23=Settings!$C$6,1,IF(Settings!$B$23="USD",1/INDEX(Settings!$B$29:$B$40,MONTH(A1170)),INDEX(Settings!$B$29:$B$40,MONTH(A1170)))))</f>
        <v/>
      </c>
    </row>
    <row r="1171" customFormat="false" ht="15" hidden="false" customHeight="false" outlineLevel="0" collapsed="false">
      <c r="H1171" s="0" t="str">
        <f aca="false">IF(B1171="","",IF(COUNTIF(Campaigns!$A$7:$A$300,B1171)&gt;0,"✓","⚠ add to Campaigns tab"))</f>
        <v/>
      </c>
      <c r="I1171" s="84" t="str">
        <f aca="false">IF(C1171="","",C1171*IF(Settings!$B$23=Settings!$C$6,1,IF(Settings!$B$23="USD",1/INDEX(Settings!$B$29:$B$40,MONTH(A1171)),INDEX(Settings!$B$29:$B$40,MONTH(A1171)))))</f>
        <v/>
      </c>
    </row>
    <row r="1172" customFormat="false" ht="15" hidden="false" customHeight="false" outlineLevel="0" collapsed="false">
      <c r="H1172" s="0" t="str">
        <f aca="false">IF(B1172="","",IF(COUNTIF(Campaigns!$A$7:$A$300,B1172)&gt;0,"✓","⚠ add to Campaigns tab"))</f>
        <v/>
      </c>
      <c r="I1172" s="84" t="str">
        <f aca="false">IF(C1172="","",C1172*IF(Settings!$B$23=Settings!$C$6,1,IF(Settings!$B$23="USD",1/INDEX(Settings!$B$29:$B$40,MONTH(A1172)),INDEX(Settings!$B$29:$B$40,MONTH(A1172)))))</f>
        <v/>
      </c>
    </row>
    <row r="1173" customFormat="false" ht="15" hidden="false" customHeight="false" outlineLevel="0" collapsed="false">
      <c r="H1173" s="0" t="str">
        <f aca="false">IF(B1173="","",IF(COUNTIF(Campaigns!$A$7:$A$300,B1173)&gt;0,"✓","⚠ add to Campaigns tab"))</f>
        <v/>
      </c>
      <c r="I1173" s="84" t="str">
        <f aca="false">IF(C1173="","",C1173*IF(Settings!$B$23=Settings!$C$6,1,IF(Settings!$B$23="USD",1/INDEX(Settings!$B$29:$B$40,MONTH(A1173)),INDEX(Settings!$B$29:$B$40,MONTH(A1173)))))</f>
        <v/>
      </c>
    </row>
    <row r="1174" customFormat="false" ht="15" hidden="false" customHeight="false" outlineLevel="0" collapsed="false">
      <c r="H1174" s="0" t="str">
        <f aca="false">IF(B1174="","",IF(COUNTIF(Campaigns!$A$7:$A$300,B1174)&gt;0,"✓","⚠ add to Campaigns tab"))</f>
        <v/>
      </c>
      <c r="I1174" s="84" t="str">
        <f aca="false">IF(C1174="","",C1174*IF(Settings!$B$23=Settings!$C$6,1,IF(Settings!$B$23="USD",1/INDEX(Settings!$B$29:$B$40,MONTH(A1174)),INDEX(Settings!$B$29:$B$40,MONTH(A1174)))))</f>
        <v/>
      </c>
    </row>
    <row r="1175" customFormat="false" ht="15" hidden="false" customHeight="false" outlineLevel="0" collapsed="false">
      <c r="H1175" s="0" t="str">
        <f aca="false">IF(B1175="","",IF(COUNTIF(Campaigns!$A$7:$A$300,B1175)&gt;0,"✓","⚠ add to Campaigns tab"))</f>
        <v/>
      </c>
      <c r="I1175" s="84" t="str">
        <f aca="false">IF(C1175="","",C1175*IF(Settings!$B$23=Settings!$C$6,1,IF(Settings!$B$23="USD",1/INDEX(Settings!$B$29:$B$40,MONTH(A1175)),INDEX(Settings!$B$29:$B$40,MONTH(A1175)))))</f>
        <v/>
      </c>
    </row>
    <row r="1176" customFormat="false" ht="15" hidden="false" customHeight="false" outlineLevel="0" collapsed="false">
      <c r="H1176" s="0" t="str">
        <f aca="false">IF(B1176="","",IF(COUNTIF(Campaigns!$A$7:$A$300,B1176)&gt;0,"✓","⚠ add to Campaigns tab"))</f>
        <v/>
      </c>
      <c r="I1176" s="84" t="str">
        <f aca="false">IF(C1176="","",C1176*IF(Settings!$B$23=Settings!$C$6,1,IF(Settings!$B$23="USD",1/INDEX(Settings!$B$29:$B$40,MONTH(A1176)),INDEX(Settings!$B$29:$B$40,MONTH(A1176)))))</f>
        <v/>
      </c>
    </row>
    <row r="1177" customFormat="false" ht="15" hidden="false" customHeight="false" outlineLevel="0" collapsed="false">
      <c r="H1177" s="0" t="str">
        <f aca="false">IF(B1177="","",IF(COUNTIF(Campaigns!$A$7:$A$300,B1177)&gt;0,"✓","⚠ add to Campaigns tab"))</f>
        <v/>
      </c>
      <c r="I1177" s="84" t="str">
        <f aca="false">IF(C1177="","",C1177*IF(Settings!$B$23=Settings!$C$6,1,IF(Settings!$B$23="USD",1/INDEX(Settings!$B$29:$B$40,MONTH(A1177)),INDEX(Settings!$B$29:$B$40,MONTH(A1177)))))</f>
        <v/>
      </c>
    </row>
    <row r="1178" customFormat="false" ht="15" hidden="false" customHeight="false" outlineLevel="0" collapsed="false">
      <c r="H1178" s="0" t="str">
        <f aca="false">IF(B1178="","",IF(COUNTIF(Campaigns!$A$7:$A$300,B1178)&gt;0,"✓","⚠ add to Campaigns tab"))</f>
        <v/>
      </c>
      <c r="I1178" s="84" t="str">
        <f aca="false">IF(C1178="","",C1178*IF(Settings!$B$23=Settings!$C$6,1,IF(Settings!$B$23="USD",1/INDEX(Settings!$B$29:$B$40,MONTH(A1178)),INDEX(Settings!$B$29:$B$40,MONTH(A1178)))))</f>
        <v/>
      </c>
    </row>
    <row r="1179" customFormat="false" ht="15" hidden="false" customHeight="false" outlineLevel="0" collapsed="false">
      <c r="H1179" s="0" t="str">
        <f aca="false">IF(B1179="","",IF(COUNTIF(Campaigns!$A$7:$A$300,B1179)&gt;0,"✓","⚠ add to Campaigns tab"))</f>
        <v/>
      </c>
      <c r="I1179" s="84" t="str">
        <f aca="false">IF(C1179="","",C1179*IF(Settings!$B$23=Settings!$C$6,1,IF(Settings!$B$23="USD",1/INDEX(Settings!$B$29:$B$40,MONTH(A1179)),INDEX(Settings!$B$29:$B$40,MONTH(A1179)))))</f>
        <v/>
      </c>
    </row>
    <row r="1180" customFormat="false" ht="15" hidden="false" customHeight="false" outlineLevel="0" collapsed="false">
      <c r="H1180" s="0" t="str">
        <f aca="false">IF(B1180="","",IF(COUNTIF(Campaigns!$A$7:$A$300,B1180)&gt;0,"✓","⚠ add to Campaigns tab"))</f>
        <v/>
      </c>
      <c r="I1180" s="84" t="str">
        <f aca="false">IF(C1180="","",C1180*IF(Settings!$B$23=Settings!$C$6,1,IF(Settings!$B$23="USD",1/INDEX(Settings!$B$29:$B$40,MONTH(A1180)),INDEX(Settings!$B$29:$B$40,MONTH(A1180)))))</f>
        <v/>
      </c>
    </row>
    <row r="1181" customFormat="false" ht="15" hidden="false" customHeight="false" outlineLevel="0" collapsed="false">
      <c r="H1181" s="0" t="str">
        <f aca="false">IF(B1181="","",IF(COUNTIF(Campaigns!$A$7:$A$300,B1181)&gt;0,"✓","⚠ add to Campaigns tab"))</f>
        <v/>
      </c>
      <c r="I1181" s="84" t="str">
        <f aca="false">IF(C1181="","",C1181*IF(Settings!$B$23=Settings!$C$6,1,IF(Settings!$B$23="USD",1/INDEX(Settings!$B$29:$B$40,MONTH(A1181)),INDEX(Settings!$B$29:$B$40,MONTH(A1181)))))</f>
        <v/>
      </c>
    </row>
    <row r="1182" customFormat="false" ht="15" hidden="false" customHeight="false" outlineLevel="0" collapsed="false">
      <c r="H1182" s="0" t="str">
        <f aca="false">IF(B1182="","",IF(COUNTIF(Campaigns!$A$7:$A$300,B1182)&gt;0,"✓","⚠ add to Campaigns tab"))</f>
        <v/>
      </c>
      <c r="I1182" s="84" t="str">
        <f aca="false">IF(C1182="","",C1182*IF(Settings!$B$23=Settings!$C$6,1,IF(Settings!$B$23="USD",1/INDEX(Settings!$B$29:$B$40,MONTH(A1182)),INDEX(Settings!$B$29:$B$40,MONTH(A1182)))))</f>
        <v/>
      </c>
    </row>
    <row r="1183" customFormat="false" ht="15" hidden="false" customHeight="false" outlineLevel="0" collapsed="false">
      <c r="H1183" s="0" t="str">
        <f aca="false">IF(B1183="","",IF(COUNTIF(Campaigns!$A$7:$A$300,B1183)&gt;0,"✓","⚠ add to Campaigns tab"))</f>
        <v/>
      </c>
      <c r="I1183" s="84" t="str">
        <f aca="false">IF(C1183="","",C1183*IF(Settings!$B$23=Settings!$C$6,1,IF(Settings!$B$23="USD",1/INDEX(Settings!$B$29:$B$40,MONTH(A1183)),INDEX(Settings!$B$29:$B$40,MONTH(A1183)))))</f>
        <v/>
      </c>
    </row>
    <row r="1184" customFormat="false" ht="15" hidden="false" customHeight="false" outlineLevel="0" collapsed="false">
      <c r="H1184" s="0" t="str">
        <f aca="false">IF(B1184="","",IF(COUNTIF(Campaigns!$A$7:$A$300,B1184)&gt;0,"✓","⚠ add to Campaigns tab"))</f>
        <v/>
      </c>
      <c r="I1184" s="84" t="str">
        <f aca="false">IF(C1184="","",C1184*IF(Settings!$B$23=Settings!$C$6,1,IF(Settings!$B$23="USD",1/INDEX(Settings!$B$29:$B$40,MONTH(A1184)),INDEX(Settings!$B$29:$B$40,MONTH(A1184)))))</f>
        <v/>
      </c>
    </row>
    <row r="1185" customFormat="false" ht="15" hidden="false" customHeight="false" outlineLevel="0" collapsed="false">
      <c r="H1185" s="0" t="str">
        <f aca="false">IF(B1185="","",IF(COUNTIF(Campaigns!$A$7:$A$300,B1185)&gt;0,"✓","⚠ add to Campaigns tab"))</f>
        <v/>
      </c>
      <c r="I1185" s="84" t="str">
        <f aca="false">IF(C1185="","",C1185*IF(Settings!$B$23=Settings!$C$6,1,IF(Settings!$B$23="USD",1/INDEX(Settings!$B$29:$B$40,MONTH(A1185)),INDEX(Settings!$B$29:$B$40,MONTH(A1185)))))</f>
        <v/>
      </c>
    </row>
    <row r="1186" customFormat="false" ht="15" hidden="false" customHeight="false" outlineLevel="0" collapsed="false">
      <c r="H1186" s="0" t="str">
        <f aca="false">IF(B1186="","",IF(COUNTIF(Campaigns!$A$7:$A$300,B1186)&gt;0,"✓","⚠ add to Campaigns tab"))</f>
        <v/>
      </c>
      <c r="I1186" s="84" t="str">
        <f aca="false">IF(C1186="","",C1186*IF(Settings!$B$23=Settings!$C$6,1,IF(Settings!$B$23="USD",1/INDEX(Settings!$B$29:$B$40,MONTH(A1186)),INDEX(Settings!$B$29:$B$40,MONTH(A1186)))))</f>
        <v/>
      </c>
    </row>
    <row r="1187" customFormat="false" ht="15" hidden="false" customHeight="false" outlineLevel="0" collapsed="false">
      <c r="H1187" s="0" t="str">
        <f aca="false">IF(B1187="","",IF(COUNTIF(Campaigns!$A$7:$A$300,B1187)&gt;0,"✓","⚠ add to Campaigns tab"))</f>
        <v/>
      </c>
      <c r="I1187" s="84" t="str">
        <f aca="false">IF(C1187="","",C1187*IF(Settings!$B$23=Settings!$C$6,1,IF(Settings!$B$23="USD",1/INDEX(Settings!$B$29:$B$40,MONTH(A1187)),INDEX(Settings!$B$29:$B$40,MONTH(A1187)))))</f>
        <v/>
      </c>
    </row>
    <row r="1188" customFormat="false" ht="15" hidden="false" customHeight="false" outlineLevel="0" collapsed="false">
      <c r="H1188" s="0" t="str">
        <f aca="false">IF(B1188="","",IF(COUNTIF(Campaigns!$A$7:$A$300,B1188)&gt;0,"✓","⚠ add to Campaigns tab"))</f>
        <v/>
      </c>
      <c r="I1188" s="84" t="str">
        <f aca="false">IF(C1188="","",C1188*IF(Settings!$B$23=Settings!$C$6,1,IF(Settings!$B$23="USD",1/INDEX(Settings!$B$29:$B$40,MONTH(A1188)),INDEX(Settings!$B$29:$B$40,MONTH(A1188)))))</f>
        <v/>
      </c>
    </row>
    <row r="1189" customFormat="false" ht="15" hidden="false" customHeight="false" outlineLevel="0" collapsed="false">
      <c r="H1189" s="0" t="str">
        <f aca="false">IF(B1189="","",IF(COUNTIF(Campaigns!$A$7:$A$300,B1189)&gt;0,"✓","⚠ add to Campaigns tab"))</f>
        <v/>
      </c>
      <c r="I1189" s="84" t="str">
        <f aca="false">IF(C1189="","",C1189*IF(Settings!$B$23=Settings!$C$6,1,IF(Settings!$B$23="USD",1/INDEX(Settings!$B$29:$B$40,MONTH(A1189)),INDEX(Settings!$B$29:$B$40,MONTH(A1189)))))</f>
        <v/>
      </c>
    </row>
    <row r="1190" customFormat="false" ht="15" hidden="false" customHeight="false" outlineLevel="0" collapsed="false">
      <c r="H1190" s="0" t="str">
        <f aca="false">IF(B1190="","",IF(COUNTIF(Campaigns!$A$7:$A$300,B1190)&gt;0,"✓","⚠ add to Campaigns tab"))</f>
        <v/>
      </c>
      <c r="I1190" s="84" t="str">
        <f aca="false">IF(C1190="","",C1190*IF(Settings!$B$23=Settings!$C$6,1,IF(Settings!$B$23="USD",1/INDEX(Settings!$B$29:$B$40,MONTH(A1190)),INDEX(Settings!$B$29:$B$40,MONTH(A1190)))))</f>
        <v/>
      </c>
    </row>
    <row r="1191" customFormat="false" ht="15" hidden="false" customHeight="false" outlineLevel="0" collapsed="false">
      <c r="H1191" s="0" t="str">
        <f aca="false">IF(B1191="","",IF(COUNTIF(Campaigns!$A$7:$A$300,B1191)&gt;0,"✓","⚠ add to Campaigns tab"))</f>
        <v/>
      </c>
      <c r="I1191" s="84" t="str">
        <f aca="false">IF(C1191="","",C1191*IF(Settings!$B$23=Settings!$C$6,1,IF(Settings!$B$23="USD",1/INDEX(Settings!$B$29:$B$40,MONTH(A1191)),INDEX(Settings!$B$29:$B$40,MONTH(A1191)))))</f>
        <v/>
      </c>
    </row>
    <row r="1192" customFormat="false" ht="15" hidden="false" customHeight="false" outlineLevel="0" collapsed="false">
      <c r="H1192" s="0" t="str">
        <f aca="false">IF(B1192="","",IF(COUNTIF(Campaigns!$A$7:$A$300,B1192)&gt;0,"✓","⚠ add to Campaigns tab"))</f>
        <v/>
      </c>
      <c r="I1192" s="84" t="str">
        <f aca="false">IF(C1192="","",C1192*IF(Settings!$B$23=Settings!$C$6,1,IF(Settings!$B$23="USD",1/INDEX(Settings!$B$29:$B$40,MONTH(A1192)),INDEX(Settings!$B$29:$B$40,MONTH(A1192)))))</f>
        <v/>
      </c>
    </row>
    <row r="1193" customFormat="false" ht="15" hidden="false" customHeight="false" outlineLevel="0" collapsed="false">
      <c r="H1193" s="0" t="str">
        <f aca="false">IF(B1193="","",IF(COUNTIF(Campaigns!$A$7:$A$300,B1193)&gt;0,"✓","⚠ add to Campaigns tab"))</f>
        <v/>
      </c>
      <c r="I1193" s="84" t="str">
        <f aca="false">IF(C1193="","",C1193*IF(Settings!$B$23=Settings!$C$6,1,IF(Settings!$B$23="USD",1/INDEX(Settings!$B$29:$B$40,MONTH(A1193)),INDEX(Settings!$B$29:$B$40,MONTH(A1193)))))</f>
        <v/>
      </c>
    </row>
    <row r="1194" customFormat="false" ht="15" hidden="false" customHeight="false" outlineLevel="0" collapsed="false">
      <c r="H1194" s="0" t="str">
        <f aca="false">IF(B1194="","",IF(COUNTIF(Campaigns!$A$7:$A$300,B1194)&gt;0,"✓","⚠ add to Campaigns tab"))</f>
        <v/>
      </c>
      <c r="I1194" s="84" t="str">
        <f aca="false">IF(C1194="","",C1194*IF(Settings!$B$23=Settings!$C$6,1,IF(Settings!$B$23="USD",1/INDEX(Settings!$B$29:$B$40,MONTH(A1194)),INDEX(Settings!$B$29:$B$40,MONTH(A1194)))))</f>
        <v/>
      </c>
    </row>
    <row r="1195" customFormat="false" ht="15" hidden="false" customHeight="false" outlineLevel="0" collapsed="false">
      <c r="H1195" s="0" t="str">
        <f aca="false">IF(B1195="","",IF(COUNTIF(Campaigns!$A$7:$A$300,B1195)&gt;0,"✓","⚠ add to Campaigns tab"))</f>
        <v/>
      </c>
      <c r="I1195" s="84" t="str">
        <f aca="false">IF(C1195="","",C1195*IF(Settings!$B$23=Settings!$C$6,1,IF(Settings!$B$23="USD",1/INDEX(Settings!$B$29:$B$40,MONTH(A1195)),INDEX(Settings!$B$29:$B$40,MONTH(A1195)))))</f>
        <v/>
      </c>
    </row>
    <row r="1196" customFormat="false" ht="15" hidden="false" customHeight="false" outlineLevel="0" collapsed="false">
      <c r="H1196" s="0" t="str">
        <f aca="false">IF(B1196="","",IF(COUNTIF(Campaigns!$A$7:$A$300,B1196)&gt;0,"✓","⚠ add to Campaigns tab"))</f>
        <v/>
      </c>
      <c r="I1196" s="84" t="str">
        <f aca="false">IF(C1196="","",C1196*IF(Settings!$B$23=Settings!$C$6,1,IF(Settings!$B$23="USD",1/INDEX(Settings!$B$29:$B$40,MONTH(A1196)),INDEX(Settings!$B$29:$B$40,MONTH(A1196)))))</f>
        <v/>
      </c>
    </row>
    <row r="1197" customFormat="false" ht="15" hidden="false" customHeight="false" outlineLevel="0" collapsed="false">
      <c r="H1197" s="0" t="str">
        <f aca="false">IF(B1197="","",IF(COUNTIF(Campaigns!$A$7:$A$300,B1197)&gt;0,"✓","⚠ add to Campaigns tab"))</f>
        <v/>
      </c>
      <c r="I1197" s="84" t="str">
        <f aca="false">IF(C1197="","",C1197*IF(Settings!$B$23=Settings!$C$6,1,IF(Settings!$B$23="USD",1/INDEX(Settings!$B$29:$B$40,MONTH(A1197)),INDEX(Settings!$B$29:$B$40,MONTH(A1197)))))</f>
        <v/>
      </c>
    </row>
    <row r="1198" customFormat="false" ht="15" hidden="false" customHeight="false" outlineLevel="0" collapsed="false">
      <c r="H1198" s="0" t="str">
        <f aca="false">IF(B1198="","",IF(COUNTIF(Campaigns!$A$7:$A$300,B1198)&gt;0,"✓","⚠ add to Campaigns tab"))</f>
        <v/>
      </c>
      <c r="I1198" s="84" t="str">
        <f aca="false">IF(C1198="","",C1198*IF(Settings!$B$23=Settings!$C$6,1,IF(Settings!$B$23="USD",1/INDEX(Settings!$B$29:$B$40,MONTH(A1198)),INDEX(Settings!$B$29:$B$40,MONTH(A1198)))))</f>
        <v/>
      </c>
    </row>
    <row r="1199" customFormat="false" ht="15" hidden="false" customHeight="false" outlineLevel="0" collapsed="false">
      <c r="H1199" s="0" t="str">
        <f aca="false">IF(B1199="","",IF(COUNTIF(Campaigns!$A$7:$A$300,B1199)&gt;0,"✓","⚠ add to Campaigns tab"))</f>
        <v/>
      </c>
      <c r="I1199" s="84" t="str">
        <f aca="false">IF(C1199="","",C1199*IF(Settings!$B$23=Settings!$C$6,1,IF(Settings!$B$23="USD",1/INDEX(Settings!$B$29:$B$40,MONTH(A1199)),INDEX(Settings!$B$29:$B$40,MONTH(A1199)))))</f>
        <v/>
      </c>
    </row>
    <row r="1200" customFormat="false" ht="15" hidden="false" customHeight="false" outlineLevel="0" collapsed="false">
      <c r="H1200" s="0" t="str">
        <f aca="false">IF(B1200="","",IF(COUNTIF(Campaigns!$A$7:$A$300,B1200)&gt;0,"✓","⚠ add to Campaigns tab"))</f>
        <v/>
      </c>
      <c r="I1200" s="84" t="str">
        <f aca="false">IF(C1200="","",C1200*IF(Settings!$B$23=Settings!$C$6,1,IF(Settings!$B$23="USD",1/INDEX(Settings!$B$29:$B$40,MONTH(A1200)),INDEX(Settings!$B$29:$B$40,MONTH(A1200)))))</f>
        <v/>
      </c>
    </row>
    <row r="1201" customFormat="false" ht="15" hidden="false" customHeight="false" outlineLevel="0" collapsed="false">
      <c r="H1201" s="0" t="str">
        <f aca="false">IF(B1201="","",IF(COUNTIF(Campaigns!$A$7:$A$300,B1201)&gt;0,"✓","⚠ add to Campaigns tab"))</f>
        <v/>
      </c>
      <c r="I1201" s="84" t="str">
        <f aca="false">IF(C1201="","",C1201*IF(Settings!$B$23=Settings!$C$6,1,IF(Settings!$B$23="USD",1/INDEX(Settings!$B$29:$B$40,MONTH(A1201)),INDEX(Settings!$B$29:$B$40,MONTH(A1201)))))</f>
        <v/>
      </c>
    </row>
    <row r="1202" customFormat="false" ht="15" hidden="false" customHeight="false" outlineLevel="0" collapsed="false">
      <c r="H1202" s="0" t="str">
        <f aca="false">IF(B1202="","",IF(COUNTIF(Campaigns!$A$7:$A$300,B1202)&gt;0,"✓","⚠ add to Campaigns tab"))</f>
        <v/>
      </c>
      <c r="I1202" s="84" t="str">
        <f aca="false">IF(C1202="","",C1202*IF(Settings!$B$23=Settings!$C$6,1,IF(Settings!$B$23="USD",1/INDEX(Settings!$B$29:$B$40,MONTH(A1202)),INDEX(Settings!$B$29:$B$40,MONTH(A1202)))))</f>
        <v/>
      </c>
    </row>
    <row r="1203" customFormat="false" ht="15" hidden="false" customHeight="false" outlineLevel="0" collapsed="false">
      <c r="H1203" s="0" t="str">
        <f aca="false">IF(B1203="","",IF(COUNTIF(Campaigns!$A$7:$A$300,B1203)&gt;0,"✓","⚠ add to Campaigns tab"))</f>
        <v/>
      </c>
      <c r="I1203" s="84" t="str">
        <f aca="false">IF(C1203="","",C1203*IF(Settings!$B$23=Settings!$C$6,1,IF(Settings!$B$23="USD",1/INDEX(Settings!$B$29:$B$40,MONTH(A1203)),INDEX(Settings!$B$29:$B$40,MONTH(A1203)))))</f>
        <v/>
      </c>
    </row>
    <row r="1204" customFormat="false" ht="15" hidden="false" customHeight="false" outlineLevel="0" collapsed="false">
      <c r="H1204" s="0" t="str">
        <f aca="false">IF(B1204="","",IF(COUNTIF(Campaigns!$A$7:$A$300,B1204)&gt;0,"✓","⚠ add to Campaigns tab"))</f>
        <v/>
      </c>
      <c r="I1204" s="84" t="str">
        <f aca="false">IF(C1204="","",C1204*IF(Settings!$B$23=Settings!$C$6,1,IF(Settings!$B$23="USD",1/INDEX(Settings!$B$29:$B$40,MONTH(A1204)),INDEX(Settings!$B$29:$B$40,MONTH(A1204)))))</f>
        <v/>
      </c>
    </row>
    <row r="1205" customFormat="false" ht="15" hidden="false" customHeight="false" outlineLevel="0" collapsed="false">
      <c r="H1205" s="0" t="str">
        <f aca="false">IF(B1205="","",IF(COUNTIF(Campaigns!$A$7:$A$300,B1205)&gt;0,"✓","⚠ add to Campaigns tab"))</f>
        <v/>
      </c>
      <c r="I1205" s="84" t="str">
        <f aca="false">IF(C1205="","",C1205*IF(Settings!$B$23=Settings!$C$6,1,IF(Settings!$B$23="USD",1/INDEX(Settings!$B$29:$B$40,MONTH(A1205)),INDEX(Settings!$B$29:$B$40,MONTH(A1205)))))</f>
        <v/>
      </c>
    </row>
    <row r="1206" customFormat="false" ht="15" hidden="false" customHeight="false" outlineLevel="0" collapsed="false">
      <c r="H1206" s="0" t="str">
        <f aca="false">IF(B1206="","",IF(COUNTIF(Campaigns!$A$7:$A$300,B1206)&gt;0,"✓","⚠ add to Campaigns tab"))</f>
        <v/>
      </c>
      <c r="I1206" s="84" t="str">
        <f aca="false">IF(C1206="","",C1206*IF(Settings!$B$23=Settings!$C$6,1,IF(Settings!$B$23="USD",1/INDEX(Settings!$B$29:$B$40,MONTH(A1206)),INDEX(Settings!$B$29:$B$40,MONTH(A1206)))))</f>
        <v/>
      </c>
    </row>
    <row r="1207" customFormat="false" ht="15" hidden="false" customHeight="false" outlineLevel="0" collapsed="false">
      <c r="H1207" s="0" t="str">
        <f aca="false">IF(B1207="","",IF(COUNTIF(Campaigns!$A$7:$A$300,B1207)&gt;0,"✓","⚠ add to Campaigns tab"))</f>
        <v/>
      </c>
      <c r="I1207" s="84" t="str">
        <f aca="false">IF(C1207="","",C1207*IF(Settings!$B$23=Settings!$C$6,1,IF(Settings!$B$23="USD",1/INDEX(Settings!$B$29:$B$40,MONTH(A1207)),INDEX(Settings!$B$29:$B$40,MONTH(A1207)))))</f>
        <v/>
      </c>
    </row>
    <row r="1208" customFormat="false" ht="15" hidden="false" customHeight="false" outlineLevel="0" collapsed="false">
      <c r="H1208" s="0" t="str">
        <f aca="false">IF(B1208="","",IF(COUNTIF(Campaigns!$A$7:$A$300,B1208)&gt;0,"✓","⚠ add to Campaigns tab"))</f>
        <v/>
      </c>
      <c r="I1208" s="84" t="str">
        <f aca="false">IF(C1208="","",C1208*IF(Settings!$B$23=Settings!$C$6,1,IF(Settings!$B$23="USD",1/INDEX(Settings!$B$29:$B$40,MONTH(A1208)),INDEX(Settings!$B$29:$B$40,MONTH(A1208)))))</f>
        <v/>
      </c>
    </row>
    <row r="1209" customFormat="false" ht="15" hidden="false" customHeight="false" outlineLevel="0" collapsed="false">
      <c r="H1209" s="0" t="str">
        <f aca="false">IF(B1209="","",IF(COUNTIF(Campaigns!$A$7:$A$300,B1209)&gt;0,"✓","⚠ add to Campaigns tab"))</f>
        <v/>
      </c>
      <c r="I1209" s="84" t="str">
        <f aca="false">IF(C1209="","",C1209*IF(Settings!$B$23=Settings!$C$6,1,IF(Settings!$B$23="USD",1/INDEX(Settings!$B$29:$B$40,MONTH(A1209)),INDEX(Settings!$B$29:$B$40,MONTH(A1209)))))</f>
        <v/>
      </c>
    </row>
    <row r="1210" customFormat="false" ht="15" hidden="false" customHeight="false" outlineLevel="0" collapsed="false">
      <c r="H1210" s="0" t="str">
        <f aca="false">IF(B1210="","",IF(COUNTIF(Campaigns!$A$7:$A$300,B1210)&gt;0,"✓","⚠ add to Campaigns tab"))</f>
        <v/>
      </c>
      <c r="I1210" s="84" t="str">
        <f aca="false">IF(C1210="","",C1210*IF(Settings!$B$23=Settings!$C$6,1,IF(Settings!$B$23="USD",1/INDEX(Settings!$B$29:$B$40,MONTH(A1210)),INDEX(Settings!$B$29:$B$40,MONTH(A1210)))))</f>
        <v/>
      </c>
    </row>
    <row r="1211" customFormat="false" ht="15" hidden="false" customHeight="false" outlineLevel="0" collapsed="false">
      <c r="H1211" s="0" t="str">
        <f aca="false">IF(B1211="","",IF(COUNTIF(Campaigns!$A$7:$A$300,B1211)&gt;0,"✓","⚠ add to Campaigns tab"))</f>
        <v/>
      </c>
      <c r="I1211" s="84" t="str">
        <f aca="false">IF(C1211="","",C1211*IF(Settings!$B$23=Settings!$C$6,1,IF(Settings!$B$23="USD",1/INDEX(Settings!$B$29:$B$40,MONTH(A1211)),INDEX(Settings!$B$29:$B$40,MONTH(A1211)))))</f>
        <v/>
      </c>
    </row>
    <row r="1212" customFormat="false" ht="15" hidden="false" customHeight="false" outlineLevel="0" collapsed="false">
      <c r="H1212" s="0" t="str">
        <f aca="false">IF(B1212="","",IF(COUNTIF(Campaigns!$A$7:$A$300,B1212)&gt;0,"✓","⚠ add to Campaigns tab"))</f>
        <v/>
      </c>
      <c r="I1212" s="84" t="str">
        <f aca="false">IF(C1212="","",C1212*IF(Settings!$B$23=Settings!$C$6,1,IF(Settings!$B$23="USD",1/INDEX(Settings!$B$29:$B$40,MONTH(A1212)),INDEX(Settings!$B$29:$B$40,MONTH(A1212)))))</f>
        <v/>
      </c>
    </row>
    <row r="1213" customFormat="false" ht="15" hidden="false" customHeight="false" outlineLevel="0" collapsed="false">
      <c r="H1213" s="0" t="str">
        <f aca="false">IF(B1213="","",IF(COUNTIF(Campaigns!$A$7:$A$300,B1213)&gt;0,"✓","⚠ add to Campaigns tab"))</f>
        <v/>
      </c>
      <c r="I1213" s="84" t="str">
        <f aca="false">IF(C1213="","",C1213*IF(Settings!$B$23=Settings!$C$6,1,IF(Settings!$B$23="USD",1/INDEX(Settings!$B$29:$B$40,MONTH(A1213)),INDEX(Settings!$B$29:$B$40,MONTH(A1213)))))</f>
        <v/>
      </c>
    </row>
    <row r="1214" customFormat="false" ht="15" hidden="false" customHeight="false" outlineLevel="0" collapsed="false">
      <c r="H1214" s="0" t="str">
        <f aca="false">IF(B1214="","",IF(COUNTIF(Campaigns!$A$7:$A$300,B1214)&gt;0,"✓","⚠ add to Campaigns tab"))</f>
        <v/>
      </c>
      <c r="I1214" s="84" t="str">
        <f aca="false">IF(C1214="","",C1214*IF(Settings!$B$23=Settings!$C$6,1,IF(Settings!$B$23="USD",1/INDEX(Settings!$B$29:$B$40,MONTH(A1214)),INDEX(Settings!$B$29:$B$40,MONTH(A1214)))))</f>
        <v/>
      </c>
    </row>
    <row r="1215" customFormat="false" ht="15" hidden="false" customHeight="false" outlineLevel="0" collapsed="false">
      <c r="H1215" s="0" t="str">
        <f aca="false">IF(B1215="","",IF(COUNTIF(Campaigns!$A$7:$A$300,B1215)&gt;0,"✓","⚠ add to Campaigns tab"))</f>
        <v/>
      </c>
      <c r="I1215" s="84" t="str">
        <f aca="false">IF(C1215="","",C1215*IF(Settings!$B$23=Settings!$C$6,1,IF(Settings!$B$23="USD",1/INDEX(Settings!$B$29:$B$40,MONTH(A1215)),INDEX(Settings!$B$29:$B$40,MONTH(A1215)))))</f>
        <v/>
      </c>
    </row>
    <row r="1216" customFormat="false" ht="15" hidden="false" customHeight="false" outlineLevel="0" collapsed="false">
      <c r="H1216" s="0" t="str">
        <f aca="false">IF(B1216="","",IF(COUNTIF(Campaigns!$A$7:$A$300,B1216)&gt;0,"✓","⚠ add to Campaigns tab"))</f>
        <v/>
      </c>
      <c r="I1216" s="84" t="str">
        <f aca="false">IF(C1216="","",C1216*IF(Settings!$B$23=Settings!$C$6,1,IF(Settings!$B$23="USD",1/INDEX(Settings!$B$29:$B$40,MONTH(A1216)),INDEX(Settings!$B$29:$B$40,MONTH(A1216)))))</f>
        <v/>
      </c>
    </row>
    <row r="1217" customFormat="false" ht="15" hidden="false" customHeight="false" outlineLevel="0" collapsed="false">
      <c r="H1217" s="0" t="str">
        <f aca="false">IF(B1217="","",IF(COUNTIF(Campaigns!$A$7:$A$300,B1217)&gt;0,"✓","⚠ add to Campaigns tab"))</f>
        <v/>
      </c>
      <c r="I1217" s="84" t="str">
        <f aca="false">IF(C1217="","",C1217*IF(Settings!$B$23=Settings!$C$6,1,IF(Settings!$B$23="USD",1/INDEX(Settings!$B$29:$B$40,MONTH(A1217)),INDEX(Settings!$B$29:$B$40,MONTH(A1217)))))</f>
        <v/>
      </c>
    </row>
    <row r="1218" customFormat="false" ht="15" hidden="false" customHeight="false" outlineLevel="0" collapsed="false">
      <c r="H1218" s="0" t="str">
        <f aca="false">IF(B1218="","",IF(COUNTIF(Campaigns!$A$7:$A$300,B1218)&gt;0,"✓","⚠ add to Campaigns tab"))</f>
        <v/>
      </c>
      <c r="I1218" s="84" t="str">
        <f aca="false">IF(C1218="","",C1218*IF(Settings!$B$23=Settings!$C$6,1,IF(Settings!$B$23="USD",1/INDEX(Settings!$B$29:$B$40,MONTH(A1218)),INDEX(Settings!$B$29:$B$40,MONTH(A1218)))))</f>
        <v/>
      </c>
    </row>
    <row r="1219" customFormat="false" ht="15" hidden="false" customHeight="false" outlineLevel="0" collapsed="false">
      <c r="H1219" s="0" t="str">
        <f aca="false">IF(B1219="","",IF(COUNTIF(Campaigns!$A$7:$A$300,B1219)&gt;0,"✓","⚠ add to Campaigns tab"))</f>
        <v/>
      </c>
      <c r="I1219" s="84" t="str">
        <f aca="false">IF(C1219="","",C1219*IF(Settings!$B$23=Settings!$C$6,1,IF(Settings!$B$23="USD",1/INDEX(Settings!$B$29:$B$40,MONTH(A1219)),INDEX(Settings!$B$29:$B$40,MONTH(A1219)))))</f>
        <v/>
      </c>
    </row>
    <row r="1220" customFormat="false" ht="15" hidden="false" customHeight="false" outlineLevel="0" collapsed="false">
      <c r="H1220" s="0" t="str">
        <f aca="false">IF(B1220="","",IF(COUNTIF(Campaigns!$A$7:$A$300,B1220)&gt;0,"✓","⚠ add to Campaigns tab"))</f>
        <v/>
      </c>
      <c r="I1220" s="84" t="str">
        <f aca="false">IF(C1220="","",C1220*IF(Settings!$B$23=Settings!$C$6,1,IF(Settings!$B$23="USD",1/INDEX(Settings!$B$29:$B$40,MONTH(A1220)),INDEX(Settings!$B$29:$B$40,MONTH(A1220)))))</f>
        <v/>
      </c>
    </row>
    <row r="1221" customFormat="false" ht="15" hidden="false" customHeight="false" outlineLevel="0" collapsed="false">
      <c r="H1221" s="0" t="str">
        <f aca="false">IF(B1221="","",IF(COUNTIF(Campaigns!$A$7:$A$300,B1221)&gt;0,"✓","⚠ add to Campaigns tab"))</f>
        <v/>
      </c>
      <c r="I1221" s="84" t="str">
        <f aca="false">IF(C1221="","",C1221*IF(Settings!$B$23=Settings!$C$6,1,IF(Settings!$B$23="USD",1/INDEX(Settings!$B$29:$B$40,MONTH(A1221)),INDEX(Settings!$B$29:$B$40,MONTH(A1221)))))</f>
        <v/>
      </c>
    </row>
    <row r="1222" customFormat="false" ht="15" hidden="false" customHeight="false" outlineLevel="0" collapsed="false">
      <c r="H1222" s="0" t="str">
        <f aca="false">IF(B1222="","",IF(COUNTIF(Campaigns!$A$7:$A$300,B1222)&gt;0,"✓","⚠ add to Campaigns tab"))</f>
        <v/>
      </c>
      <c r="I1222" s="84" t="str">
        <f aca="false">IF(C1222="","",C1222*IF(Settings!$B$23=Settings!$C$6,1,IF(Settings!$B$23="USD",1/INDEX(Settings!$B$29:$B$40,MONTH(A1222)),INDEX(Settings!$B$29:$B$40,MONTH(A1222)))))</f>
        <v/>
      </c>
    </row>
    <row r="1223" customFormat="false" ht="15" hidden="false" customHeight="false" outlineLevel="0" collapsed="false">
      <c r="H1223" s="0" t="str">
        <f aca="false">IF(B1223="","",IF(COUNTIF(Campaigns!$A$7:$A$300,B1223)&gt;0,"✓","⚠ add to Campaigns tab"))</f>
        <v/>
      </c>
      <c r="I1223" s="84" t="str">
        <f aca="false">IF(C1223="","",C1223*IF(Settings!$B$23=Settings!$C$6,1,IF(Settings!$B$23="USD",1/INDEX(Settings!$B$29:$B$40,MONTH(A1223)),INDEX(Settings!$B$29:$B$40,MONTH(A1223)))))</f>
        <v/>
      </c>
    </row>
    <row r="1224" customFormat="false" ht="15" hidden="false" customHeight="false" outlineLevel="0" collapsed="false">
      <c r="H1224" s="0" t="str">
        <f aca="false">IF(B1224="","",IF(COUNTIF(Campaigns!$A$7:$A$300,B1224)&gt;0,"✓","⚠ add to Campaigns tab"))</f>
        <v/>
      </c>
      <c r="I1224" s="84" t="str">
        <f aca="false">IF(C1224="","",C1224*IF(Settings!$B$23=Settings!$C$6,1,IF(Settings!$B$23="USD",1/INDEX(Settings!$B$29:$B$40,MONTH(A1224)),INDEX(Settings!$B$29:$B$40,MONTH(A1224)))))</f>
        <v/>
      </c>
    </row>
    <row r="1225" customFormat="false" ht="15" hidden="false" customHeight="false" outlineLevel="0" collapsed="false">
      <c r="H1225" s="0" t="str">
        <f aca="false">IF(B1225="","",IF(COUNTIF(Campaigns!$A$7:$A$300,B1225)&gt;0,"✓","⚠ add to Campaigns tab"))</f>
        <v/>
      </c>
      <c r="I1225" s="84" t="str">
        <f aca="false">IF(C1225="","",C1225*IF(Settings!$B$23=Settings!$C$6,1,IF(Settings!$B$23="USD",1/INDEX(Settings!$B$29:$B$40,MONTH(A1225)),INDEX(Settings!$B$29:$B$40,MONTH(A1225)))))</f>
        <v/>
      </c>
    </row>
    <row r="1226" customFormat="false" ht="15" hidden="false" customHeight="false" outlineLevel="0" collapsed="false">
      <c r="H1226" s="0" t="str">
        <f aca="false">IF(B1226="","",IF(COUNTIF(Campaigns!$A$7:$A$300,B1226)&gt;0,"✓","⚠ add to Campaigns tab"))</f>
        <v/>
      </c>
      <c r="I1226" s="84" t="str">
        <f aca="false">IF(C1226="","",C1226*IF(Settings!$B$23=Settings!$C$6,1,IF(Settings!$B$23="USD",1/INDEX(Settings!$B$29:$B$40,MONTH(A1226)),INDEX(Settings!$B$29:$B$40,MONTH(A1226)))))</f>
        <v/>
      </c>
    </row>
    <row r="1227" customFormat="false" ht="15" hidden="false" customHeight="false" outlineLevel="0" collapsed="false">
      <c r="H1227" s="0" t="str">
        <f aca="false">IF(B1227="","",IF(COUNTIF(Campaigns!$A$7:$A$300,B1227)&gt;0,"✓","⚠ add to Campaigns tab"))</f>
        <v/>
      </c>
      <c r="I1227" s="84" t="str">
        <f aca="false">IF(C1227="","",C1227*IF(Settings!$B$23=Settings!$C$6,1,IF(Settings!$B$23="USD",1/INDEX(Settings!$B$29:$B$40,MONTH(A1227)),INDEX(Settings!$B$29:$B$40,MONTH(A1227)))))</f>
        <v/>
      </c>
    </row>
    <row r="1228" customFormat="false" ht="15" hidden="false" customHeight="false" outlineLevel="0" collapsed="false">
      <c r="H1228" s="0" t="str">
        <f aca="false">IF(B1228="","",IF(COUNTIF(Campaigns!$A$7:$A$300,B1228)&gt;0,"✓","⚠ add to Campaigns tab"))</f>
        <v/>
      </c>
      <c r="I1228" s="84" t="str">
        <f aca="false">IF(C1228="","",C1228*IF(Settings!$B$23=Settings!$C$6,1,IF(Settings!$B$23="USD",1/INDEX(Settings!$B$29:$B$40,MONTH(A1228)),INDEX(Settings!$B$29:$B$40,MONTH(A1228)))))</f>
        <v/>
      </c>
    </row>
    <row r="1229" customFormat="false" ht="15" hidden="false" customHeight="false" outlineLevel="0" collapsed="false">
      <c r="H1229" s="0" t="str">
        <f aca="false">IF(B1229="","",IF(COUNTIF(Campaigns!$A$7:$A$300,B1229)&gt;0,"✓","⚠ add to Campaigns tab"))</f>
        <v/>
      </c>
      <c r="I1229" s="84" t="str">
        <f aca="false">IF(C1229="","",C1229*IF(Settings!$B$23=Settings!$C$6,1,IF(Settings!$B$23="USD",1/INDEX(Settings!$B$29:$B$40,MONTH(A1229)),INDEX(Settings!$B$29:$B$40,MONTH(A1229)))))</f>
        <v/>
      </c>
    </row>
    <row r="1230" customFormat="false" ht="15" hidden="false" customHeight="false" outlineLevel="0" collapsed="false">
      <c r="H1230" s="0" t="str">
        <f aca="false">IF(B1230="","",IF(COUNTIF(Campaigns!$A$7:$A$300,B1230)&gt;0,"✓","⚠ add to Campaigns tab"))</f>
        <v/>
      </c>
      <c r="I1230" s="84" t="str">
        <f aca="false">IF(C1230="","",C1230*IF(Settings!$B$23=Settings!$C$6,1,IF(Settings!$B$23="USD",1/INDEX(Settings!$B$29:$B$40,MONTH(A1230)),INDEX(Settings!$B$29:$B$40,MONTH(A1230)))))</f>
        <v/>
      </c>
    </row>
    <row r="1231" customFormat="false" ht="15" hidden="false" customHeight="false" outlineLevel="0" collapsed="false">
      <c r="H1231" s="0" t="str">
        <f aca="false">IF(B1231="","",IF(COUNTIF(Campaigns!$A$7:$A$300,B1231)&gt;0,"✓","⚠ add to Campaigns tab"))</f>
        <v/>
      </c>
      <c r="I1231" s="84" t="str">
        <f aca="false">IF(C1231="","",C1231*IF(Settings!$B$23=Settings!$C$6,1,IF(Settings!$B$23="USD",1/INDEX(Settings!$B$29:$B$40,MONTH(A1231)),INDEX(Settings!$B$29:$B$40,MONTH(A1231)))))</f>
        <v/>
      </c>
    </row>
    <row r="1232" customFormat="false" ht="15" hidden="false" customHeight="false" outlineLevel="0" collapsed="false">
      <c r="H1232" s="0" t="str">
        <f aca="false">IF(B1232="","",IF(COUNTIF(Campaigns!$A$7:$A$300,B1232)&gt;0,"✓","⚠ add to Campaigns tab"))</f>
        <v/>
      </c>
      <c r="I1232" s="84" t="str">
        <f aca="false">IF(C1232="","",C1232*IF(Settings!$B$23=Settings!$C$6,1,IF(Settings!$B$23="USD",1/INDEX(Settings!$B$29:$B$40,MONTH(A1232)),INDEX(Settings!$B$29:$B$40,MONTH(A1232)))))</f>
        <v/>
      </c>
    </row>
    <row r="1233" customFormat="false" ht="15" hidden="false" customHeight="false" outlineLevel="0" collapsed="false">
      <c r="H1233" s="0" t="str">
        <f aca="false">IF(B1233="","",IF(COUNTIF(Campaigns!$A$7:$A$300,B1233)&gt;0,"✓","⚠ add to Campaigns tab"))</f>
        <v/>
      </c>
      <c r="I1233" s="84" t="str">
        <f aca="false">IF(C1233="","",C1233*IF(Settings!$B$23=Settings!$C$6,1,IF(Settings!$B$23="USD",1/INDEX(Settings!$B$29:$B$40,MONTH(A1233)),INDEX(Settings!$B$29:$B$40,MONTH(A1233)))))</f>
        <v/>
      </c>
    </row>
    <row r="1234" customFormat="false" ht="15" hidden="false" customHeight="false" outlineLevel="0" collapsed="false">
      <c r="H1234" s="0" t="str">
        <f aca="false">IF(B1234="","",IF(COUNTIF(Campaigns!$A$7:$A$300,B1234)&gt;0,"✓","⚠ add to Campaigns tab"))</f>
        <v/>
      </c>
      <c r="I1234" s="84" t="str">
        <f aca="false">IF(C1234="","",C1234*IF(Settings!$B$23=Settings!$C$6,1,IF(Settings!$B$23="USD",1/INDEX(Settings!$B$29:$B$40,MONTH(A1234)),INDEX(Settings!$B$29:$B$40,MONTH(A1234)))))</f>
        <v/>
      </c>
    </row>
    <row r="1235" customFormat="false" ht="15" hidden="false" customHeight="false" outlineLevel="0" collapsed="false">
      <c r="H1235" s="0" t="str">
        <f aca="false">IF(B1235="","",IF(COUNTIF(Campaigns!$A$7:$A$300,B1235)&gt;0,"✓","⚠ add to Campaigns tab"))</f>
        <v/>
      </c>
      <c r="I1235" s="84" t="str">
        <f aca="false">IF(C1235="","",C1235*IF(Settings!$B$23=Settings!$C$6,1,IF(Settings!$B$23="USD",1/INDEX(Settings!$B$29:$B$40,MONTH(A1235)),INDEX(Settings!$B$29:$B$40,MONTH(A1235)))))</f>
        <v/>
      </c>
    </row>
    <row r="1236" customFormat="false" ht="15" hidden="false" customHeight="false" outlineLevel="0" collapsed="false">
      <c r="H1236" s="0" t="str">
        <f aca="false">IF(B1236="","",IF(COUNTIF(Campaigns!$A$7:$A$300,B1236)&gt;0,"✓","⚠ add to Campaigns tab"))</f>
        <v/>
      </c>
      <c r="I1236" s="84" t="str">
        <f aca="false">IF(C1236="","",C1236*IF(Settings!$B$23=Settings!$C$6,1,IF(Settings!$B$23="USD",1/INDEX(Settings!$B$29:$B$40,MONTH(A1236)),INDEX(Settings!$B$29:$B$40,MONTH(A1236)))))</f>
        <v/>
      </c>
    </row>
    <row r="1237" customFormat="false" ht="15" hidden="false" customHeight="false" outlineLevel="0" collapsed="false">
      <c r="H1237" s="0" t="str">
        <f aca="false">IF(B1237="","",IF(COUNTIF(Campaigns!$A$7:$A$300,B1237)&gt;0,"✓","⚠ add to Campaigns tab"))</f>
        <v/>
      </c>
      <c r="I1237" s="84" t="str">
        <f aca="false">IF(C1237="","",C1237*IF(Settings!$B$23=Settings!$C$6,1,IF(Settings!$B$23="USD",1/INDEX(Settings!$B$29:$B$40,MONTH(A1237)),INDEX(Settings!$B$29:$B$40,MONTH(A1237)))))</f>
        <v/>
      </c>
    </row>
    <row r="1238" customFormat="false" ht="15" hidden="false" customHeight="false" outlineLevel="0" collapsed="false">
      <c r="H1238" s="0" t="str">
        <f aca="false">IF(B1238="","",IF(COUNTIF(Campaigns!$A$7:$A$300,B1238)&gt;0,"✓","⚠ add to Campaigns tab"))</f>
        <v/>
      </c>
      <c r="I1238" s="84" t="str">
        <f aca="false">IF(C1238="","",C1238*IF(Settings!$B$23=Settings!$C$6,1,IF(Settings!$B$23="USD",1/INDEX(Settings!$B$29:$B$40,MONTH(A1238)),INDEX(Settings!$B$29:$B$40,MONTH(A1238)))))</f>
        <v/>
      </c>
    </row>
    <row r="1239" customFormat="false" ht="15" hidden="false" customHeight="false" outlineLevel="0" collapsed="false">
      <c r="H1239" s="0" t="str">
        <f aca="false">IF(B1239="","",IF(COUNTIF(Campaigns!$A$7:$A$300,B1239)&gt;0,"✓","⚠ add to Campaigns tab"))</f>
        <v/>
      </c>
      <c r="I1239" s="84" t="str">
        <f aca="false">IF(C1239="","",C1239*IF(Settings!$B$23=Settings!$C$6,1,IF(Settings!$B$23="USD",1/INDEX(Settings!$B$29:$B$40,MONTH(A1239)),INDEX(Settings!$B$29:$B$40,MONTH(A1239)))))</f>
        <v/>
      </c>
    </row>
    <row r="1240" customFormat="false" ht="15" hidden="false" customHeight="false" outlineLevel="0" collapsed="false">
      <c r="H1240" s="0" t="str">
        <f aca="false">IF(B1240="","",IF(COUNTIF(Campaigns!$A$7:$A$300,B1240)&gt;0,"✓","⚠ add to Campaigns tab"))</f>
        <v/>
      </c>
      <c r="I1240" s="84" t="str">
        <f aca="false">IF(C1240="","",C1240*IF(Settings!$B$23=Settings!$C$6,1,IF(Settings!$B$23="USD",1/INDEX(Settings!$B$29:$B$40,MONTH(A1240)),INDEX(Settings!$B$29:$B$40,MONTH(A1240)))))</f>
        <v/>
      </c>
    </row>
    <row r="1241" customFormat="false" ht="15" hidden="false" customHeight="false" outlineLevel="0" collapsed="false">
      <c r="H1241" s="0" t="str">
        <f aca="false">IF(B1241="","",IF(COUNTIF(Campaigns!$A$7:$A$300,B1241)&gt;0,"✓","⚠ add to Campaigns tab"))</f>
        <v/>
      </c>
      <c r="I1241" s="84" t="str">
        <f aca="false">IF(C1241="","",C1241*IF(Settings!$B$23=Settings!$C$6,1,IF(Settings!$B$23="USD",1/INDEX(Settings!$B$29:$B$40,MONTH(A1241)),INDEX(Settings!$B$29:$B$40,MONTH(A1241)))))</f>
        <v/>
      </c>
    </row>
    <row r="1242" customFormat="false" ht="15" hidden="false" customHeight="false" outlineLevel="0" collapsed="false">
      <c r="H1242" s="0" t="str">
        <f aca="false">IF(B1242="","",IF(COUNTIF(Campaigns!$A$7:$A$300,B1242)&gt;0,"✓","⚠ add to Campaigns tab"))</f>
        <v/>
      </c>
      <c r="I1242" s="84" t="str">
        <f aca="false">IF(C1242="","",C1242*IF(Settings!$B$23=Settings!$C$6,1,IF(Settings!$B$23="USD",1/INDEX(Settings!$B$29:$B$40,MONTH(A1242)),INDEX(Settings!$B$29:$B$40,MONTH(A1242)))))</f>
        <v/>
      </c>
    </row>
    <row r="1243" customFormat="false" ht="15" hidden="false" customHeight="false" outlineLevel="0" collapsed="false">
      <c r="H1243" s="0" t="str">
        <f aca="false">IF(B1243="","",IF(COUNTIF(Campaigns!$A$7:$A$300,B1243)&gt;0,"✓","⚠ add to Campaigns tab"))</f>
        <v/>
      </c>
      <c r="I1243" s="84" t="str">
        <f aca="false">IF(C1243="","",C1243*IF(Settings!$B$23=Settings!$C$6,1,IF(Settings!$B$23="USD",1/INDEX(Settings!$B$29:$B$40,MONTH(A1243)),INDEX(Settings!$B$29:$B$40,MONTH(A1243)))))</f>
        <v/>
      </c>
    </row>
    <row r="1244" customFormat="false" ht="15" hidden="false" customHeight="false" outlineLevel="0" collapsed="false">
      <c r="H1244" s="0" t="str">
        <f aca="false">IF(B1244="","",IF(COUNTIF(Campaigns!$A$7:$A$300,B1244)&gt;0,"✓","⚠ add to Campaigns tab"))</f>
        <v/>
      </c>
      <c r="I1244" s="84" t="str">
        <f aca="false">IF(C1244="","",C1244*IF(Settings!$B$23=Settings!$C$6,1,IF(Settings!$B$23="USD",1/INDEX(Settings!$B$29:$B$40,MONTH(A1244)),INDEX(Settings!$B$29:$B$40,MONTH(A1244)))))</f>
        <v/>
      </c>
    </row>
    <row r="1245" customFormat="false" ht="15" hidden="false" customHeight="false" outlineLevel="0" collapsed="false">
      <c r="H1245" s="0" t="str">
        <f aca="false">IF(B1245="","",IF(COUNTIF(Campaigns!$A$7:$A$300,B1245)&gt;0,"✓","⚠ add to Campaigns tab"))</f>
        <v/>
      </c>
      <c r="I1245" s="84" t="str">
        <f aca="false">IF(C1245="","",C1245*IF(Settings!$B$23=Settings!$C$6,1,IF(Settings!$B$23="USD",1/INDEX(Settings!$B$29:$B$40,MONTH(A1245)),INDEX(Settings!$B$29:$B$40,MONTH(A1245)))))</f>
        <v/>
      </c>
    </row>
    <row r="1246" customFormat="false" ht="15" hidden="false" customHeight="false" outlineLevel="0" collapsed="false">
      <c r="H1246" s="0" t="str">
        <f aca="false">IF(B1246="","",IF(COUNTIF(Campaigns!$A$7:$A$300,B1246)&gt;0,"✓","⚠ add to Campaigns tab"))</f>
        <v/>
      </c>
      <c r="I1246" s="84" t="str">
        <f aca="false">IF(C1246="","",C1246*IF(Settings!$B$23=Settings!$C$6,1,IF(Settings!$B$23="USD",1/INDEX(Settings!$B$29:$B$40,MONTH(A1246)),INDEX(Settings!$B$29:$B$40,MONTH(A1246)))))</f>
        <v/>
      </c>
    </row>
    <row r="1247" customFormat="false" ht="15" hidden="false" customHeight="false" outlineLevel="0" collapsed="false">
      <c r="H1247" s="0" t="str">
        <f aca="false">IF(B1247="","",IF(COUNTIF(Campaigns!$A$7:$A$300,B1247)&gt;0,"✓","⚠ add to Campaigns tab"))</f>
        <v/>
      </c>
      <c r="I1247" s="84" t="str">
        <f aca="false">IF(C1247="","",C1247*IF(Settings!$B$23=Settings!$C$6,1,IF(Settings!$B$23="USD",1/INDEX(Settings!$B$29:$B$40,MONTH(A1247)),INDEX(Settings!$B$29:$B$40,MONTH(A1247)))))</f>
        <v/>
      </c>
    </row>
    <row r="1248" customFormat="false" ht="15" hidden="false" customHeight="false" outlineLevel="0" collapsed="false">
      <c r="H1248" s="0" t="str">
        <f aca="false">IF(B1248="","",IF(COUNTIF(Campaigns!$A$7:$A$300,B1248)&gt;0,"✓","⚠ add to Campaigns tab"))</f>
        <v/>
      </c>
      <c r="I1248" s="84" t="str">
        <f aca="false">IF(C1248="","",C1248*IF(Settings!$B$23=Settings!$C$6,1,IF(Settings!$B$23="USD",1/INDEX(Settings!$B$29:$B$40,MONTH(A1248)),INDEX(Settings!$B$29:$B$40,MONTH(A1248)))))</f>
        <v/>
      </c>
    </row>
    <row r="1249" customFormat="false" ht="15" hidden="false" customHeight="false" outlineLevel="0" collapsed="false">
      <c r="H1249" s="0" t="str">
        <f aca="false">IF(B1249="","",IF(COUNTIF(Campaigns!$A$7:$A$300,B1249)&gt;0,"✓","⚠ add to Campaigns tab"))</f>
        <v/>
      </c>
      <c r="I1249" s="84" t="str">
        <f aca="false">IF(C1249="","",C1249*IF(Settings!$B$23=Settings!$C$6,1,IF(Settings!$B$23="USD",1/INDEX(Settings!$B$29:$B$40,MONTH(A1249)),INDEX(Settings!$B$29:$B$40,MONTH(A1249)))))</f>
        <v/>
      </c>
    </row>
    <row r="1250" customFormat="false" ht="15" hidden="false" customHeight="false" outlineLevel="0" collapsed="false">
      <c r="H1250" s="0" t="str">
        <f aca="false">IF(B1250="","",IF(COUNTIF(Campaigns!$A$7:$A$300,B1250)&gt;0,"✓","⚠ add to Campaigns tab"))</f>
        <v/>
      </c>
      <c r="I1250" s="84" t="str">
        <f aca="false">IF(C1250="","",C1250*IF(Settings!$B$23=Settings!$C$6,1,IF(Settings!$B$23="USD",1/INDEX(Settings!$B$29:$B$40,MONTH(A1250)),INDEX(Settings!$B$29:$B$40,MONTH(A1250)))))</f>
        <v/>
      </c>
    </row>
    <row r="1251" customFormat="false" ht="15" hidden="false" customHeight="false" outlineLevel="0" collapsed="false">
      <c r="H1251" s="0" t="str">
        <f aca="false">IF(B1251="","",IF(COUNTIF(Campaigns!$A$7:$A$300,B1251)&gt;0,"✓","⚠ add to Campaigns tab"))</f>
        <v/>
      </c>
      <c r="I1251" s="84" t="str">
        <f aca="false">IF(C1251="","",C1251*IF(Settings!$B$23=Settings!$C$6,1,IF(Settings!$B$23="USD",1/INDEX(Settings!$B$29:$B$40,MONTH(A1251)),INDEX(Settings!$B$29:$B$40,MONTH(A1251)))))</f>
        <v/>
      </c>
    </row>
    <row r="1252" customFormat="false" ht="15" hidden="false" customHeight="false" outlineLevel="0" collapsed="false">
      <c r="H1252" s="0" t="str">
        <f aca="false">IF(B1252="","",IF(COUNTIF(Campaigns!$A$7:$A$300,B1252)&gt;0,"✓","⚠ add to Campaigns tab"))</f>
        <v/>
      </c>
      <c r="I1252" s="84" t="str">
        <f aca="false">IF(C1252="","",C1252*IF(Settings!$B$23=Settings!$C$6,1,IF(Settings!$B$23="USD",1/INDEX(Settings!$B$29:$B$40,MONTH(A1252)),INDEX(Settings!$B$29:$B$40,MONTH(A1252)))))</f>
        <v/>
      </c>
    </row>
    <row r="1253" customFormat="false" ht="15" hidden="false" customHeight="false" outlineLevel="0" collapsed="false">
      <c r="H1253" s="0" t="str">
        <f aca="false">IF(B1253="","",IF(COUNTIF(Campaigns!$A$7:$A$300,B1253)&gt;0,"✓","⚠ add to Campaigns tab"))</f>
        <v/>
      </c>
      <c r="I1253" s="84" t="str">
        <f aca="false">IF(C1253="","",C1253*IF(Settings!$B$23=Settings!$C$6,1,IF(Settings!$B$23="USD",1/INDEX(Settings!$B$29:$B$40,MONTH(A1253)),INDEX(Settings!$B$29:$B$40,MONTH(A1253)))))</f>
        <v/>
      </c>
    </row>
    <row r="1254" customFormat="false" ht="15" hidden="false" customHeight="false" outlineLevel="0" collapsed="false">
      <c r="H1254" s="0" t="str">
        <f aca="false">IF(B1254="","",IF(COUNTIF(Campaigns!$A$7:$A$300,B1254)&gt;0,"✓","⚠ add to Campaigns tab"))</f>
        <v/>
      </c>
      <c r="I1254" s="84" t="str">
        <f aca="false">IF(C1254="","",C1254*IF(Settings!$B$23=Settings!$C$6,1,IF(Settings!$B$23="USD",1/INDEX(Settings!$B$29:$B$40,MONTH(A1254)),INDEX(Settings!$B$29:$B$40,MONTH(A1254)))))</f>
        <v/>
      </c>
    </row>
    <row r="1255" customFormat="false" ht="15" hidden="false" customHeight="false" outlineLevel="0" collapsed="false">
      <c r="H1255" s="0" t="str">
        <f aca="false">IF(B1255="","",IF(COUNTIF(Campaigns!$A$7:$A$300,B1255)&gt;0,"✓","⚠ add to Campaigns tab"))</f>
        <v/>
      </c>
      <c r="I1255" s="84" t="str">
        <f aca="false">IF(C1255="","",C1255*IF(Settings!$B$23=Settings!$C$6,1,IF(Settings!$B$23="USD",1/INDEX(Settings!$B$29:$B$40,MONTH(A1255)),INDEX(Settings!$B$29:$B$40,MONTH(A1255)))))</f>
        <v/>
      </c>
    </row>
    <row r="1256" customFormat="false" ht="15" hidden="false" customHeight="false" outlineLevel="0" collapsed="false">
      <c r="H1256" s="0" t="str">
        <f aca="false">IF(B1256="","",IF(COUNTIF(Campaigns!$A$7:$A$300,B1256)&gt;0,"✓","⚠ add to Campaigns tab"))</f>
        <v/>
      </c>
      <c r="I1256" s="84" t="str">
        <f aca="false">IF(C1256="","",C1256*IF(Settings!$B$23=Settings!$C$6,1,IF(Settings!$B$23="USD",1/INDEX(Settings!$B$29:$B$40,MONTH(A1256)),INDEX(Settings!$B$29:$B$40,MONTH(A1256)))))</f>
        <v/>
      </c>
    </row>
    <row r="1257" customFormat="false" ht="15" hidden="false" customHeight="false" outlineLevel="0" collapsed="false">
      <c r="H1257" s="0" t="str">
        <f aca="false">IF(B1257="","",IF(COUNTIF(Campaigns!$A$7:$A$300,B1257)&gt;0,"✓","⚠ add to Campaigns tab"))</f>
        <v/>
      </c>
      <c r="I1257" s="84" t="str">
        <f aca="false">IF(C1257="","",C1257*IF(Settings!$B$23=Settings!$C$6,1,IF(Settings!$B$23="USD",1/INDEX(Settings!$B$29:$B$40,MONTH(A1257)),INDEX(Settings!$B$29:$B$40,MONTH(A1257)))))</f>
        <v/>
      </c>
    </row>
    <row r="1258" customFormat="false" ht="15" hidden="false" customHeight="false" outlineLevel="0" collapsed="false">
      <c r="H1258" s="0" t="str">
        <f aca="false">IF(B1258="","",IF(COUNTIF(Campaigns!$A$7:$A$300,B1258)&gt;0,"✓","⚠ add to Campaigns tab"))</f>
        <v/>
      </c>
      <c r="I1258" s="84" t="str">
        <f aca="false">IF(C1258="","",C1258*IF(Settings!$B$23=Settings!$C$6,1,IF(Settings!$B$23="USD",1/INDEX(Settings!$B$29:$B$40,MONTH(A1258)),INDEX(Settings!$B$29:$B$40,MONTH(A1258)))))</f>
        <v/>
      </c>
    </row>
    <row r="1259" customFormat="false" ht="15" hidden="false" customHeight="false" outlineLevel="0" collapsed="false">
      <c r="H1259" s="0" t="str">
        <f aca="false">IF(B1259="","",IF(COUNTIF(Campaigns!$A$7:$A$300,B1259)&gt;0,"✓","⚠ add to Campaigns tab"))</f>
        <v/>
      </c>
      <c r="I1259" s="84" t="str">
        <f aca="false">IF(C1259="","",C1259*IF(Settings!$B$23=Settings!$C$6,1,IF(Settings!$B$23="USD",1/INDEX(Settings!$B$29:$B$40,MONTH(A1259)),INDEX(Settings!$B$29:$B$40,MONTH(A1259)))))</f>
        <v/>
      </c>
    </row>
    <row r="1260" customFormat="false" ht="15" hidden="false" customHeight="false" outlineLevel="0" collapsed="false">
      <c r="H1260" s="0" t="str">
        <f aca="false">IF(B1260="","",IF(COUNTIF(Campaigns!$A$7:$A$300,B1260)&gt;0,"✓","⚠ add to Campaigns tab"))</f>
        <v/>
      </c>
      <c r="I1260" s="84" t="str">
        <f aca="false">IF(C1260="","",C1260*IF(Settings!$B$23=Settings!$C$6,1,IF(Settings!$B$23="USD",1/INDEX(Settings!$B$29:$B$40,MONTH(A1260)),INDEX(Settings!$B$29:$B$40,MONTH(A1260)))))</f>
        <v/>
      </c>
    </row>
    <row r="1261" customFormat="false" ht="15" hidden="false" customHeight="false" outlineLevel="0" collapsed="false">
      <c r="H1261" s="0" t="str">
        <f aca="false">IF(B1261="","",IF(COUNTIF(Campaigns!$A$7:$A$300,B1261)&gt;0,"✓","⚠ add to Campaigns tab"))</f>
        <v/>
      </c>
      <c r="I1261" s="84" t="str">
        <f aca="false">IF(C1261="","",C1261*IF(Settings!$B$23=Settings!$C$6,1,IF(Settings!$B$23="USD",1/INDEX(Settings!$B$29:$B$40,MONTH(A1261)),INDEX(Settings!$B$29:$B$40,MONTH(A1261)))))</f>
        <v/>
      </c>
    </row>
    <row r="1262" customFormat="false" ht="15" hidden="false" customHeight="false" outlineLevel="0" collapsed="false">
      <c r="H1262" s="0" t="str">
        <f aca="false">IF(B1262="","",IF(COUNTIF(Campaigns!$A$7:$A$300,B1262)&gt;0,"✓","⚠ add to Campaigns tab"))</f>
        <v/>
      </c>
      <c r="I1262" s="84" t="str">
        <f aca="false">IF(C1262="","",C1262*IF(Settings!$B$23=Settings!$C$6,1,IF(Settings!$B$23="USD",1/INDEX(Settings!$B$29:$B$40,MONTH(A1262)),INDEX(Settings!$B$29:$B$40,MONTH(A1262)))))</f>
        <v/>
      </c>
    </row>
    <row r="1263" customFormat="false" ht="15" hidden="false" customHeight="false" outlineLevel="0" collapsed="false">
      <c r="H1263" s="0" t="str">
        <f aca="false">IF(B1263="","",IF(COUNTIF(Campaigns!$A$7:$A$300,B1263)&gt;0,"✓","⚠ add to Campaigns tab"))</f>
        <v/>
      </c>
      <c r="I1263" s="84" t="str">
        <f aca="false">IF(C1263="","",C1263*IF(Settings!$B$23=Settings!$C$6,1,IF(Settings!$B$23="USD",1/INDEX(Settings!$B$29:$B$40,MONTH(A1263)),INDEX(Settings!$B$29:$B$40,MONTH(A1263)))))</f>
        <v/>
      </c>
    </row>
    <row r="1264" customFormat="false" ht="15" hidden="false" customHeight="false" outlineLevel="0" collapsed="false">
      <c r="H1264" s="0" t="str">
        <f aca="false">IF(B1264="","",IF(COUNTIF(Campaigns!$A$7:$A$300,B1264)&gt;0,"✓","⚠ add to Campaigns tab"))</f>
        <v/>
      </c>
      <c r="I1264" s="84" t="str">
        <f aca="false">IF(C1264="","",C1264*IF(Settings!$B$23=Settings!$C$6,1,IF(Settings!$B$23="USD",1/INDEX(Settings!$B$29:$B$40,MONTH(A1264)),INDEX(Settings!$B$29:$B$40,MONTH(A1264)))))</f>
        <v/>
      </c>
    </row>
    <row r="1265" customFormat="false" ht="15" hidden="false" customHeight="false" outlineLevel="0" collapsed="false">
      <c r="H1265" s="0" t="str">
        <f aca="false">IF(B1265="","",IF(COUNTIF(Campaigns!$A$7:$A$300,B1265)&gt;0,"✓","⚠ add to Campaigns tab"))</f>
        <v/>
      </c>
      <c r="I1265" s="84" t="str">
        <f aca="false">IF(C1265="","",C1265*IF(Settings!$B$23=Settings!$C$6,1,IF(Settings!$B$23="USD",1/INDEX(Settings!$B$29:$B$40,MONTH(A1265)),INDEX(Settings!$B$29:$B$40,MONTH(A1265)))))</f>
        <v/>
      </c>
    </row>
    <row r="1266" customFormat="false" ht="15" hidden="false" customHeight="false" outlineLevel="0" collapsed="false">
      <c r="H1266" s="0" t="str">
        <f aca="false">IF(B1266="","",IF(COUNTIF(Campaigns!$A$7:$A$300,B1266)&gt;0,"✓","⚠ add to Campaigns tab"))</f>
        <v/>
      </c>
      <c r="I1266" s="84" t="str">
        <f aca="false">IF(C1266="","",C1266*IF(Settings!$B$23=Settings!$C$6,1,IF(Settings!$B$23="USD",1/INDEX(Settings!$B$29:$B$40,MONTH(A1266)),INDEX(Settings!$B$29:$B$40,MONTH(A1266)))))</f>
        <v/>
      </c>
    </row>
    <row r="1267" customFormat="false" ht="15" hidden="false" customHeight="false" outlineLevel="0" collapsed="false">
      <c r="H1267" s="0" t="str">
        <f aca="false">IF(B1267="","",IF(COUNTIF(Campaigns!$A$7:$A$300,B1267)&gt;0,"✓","⚠ add to Campaigns tab"))</f>
        <v/>
      </c>
      <c r="I1267" s="84" t="str">
        <f aca="false">IF(C1267="","",C1267*IF(Settings!$B$23=Settings!$C$6,1,IF(Settings!$B$23="USD",1/INDEX(Settings!$B$29:$B$40,MONTH(A1267)),INDEX(Settings!$B$29:$B$40,MONTH(A1267)))))</f>
        <v/>
      </c>
    </row>
    <row r="1268" customFormat="false" ht="15" hidden="false" customHeight="false" outlineLevel="0" collapsed="false">
      <c r="H1268" s="0" t="str">
        <f aca="false">IF(B1268="","",IF(COUNTIF(Campaigns!$A$7:$A$300,B1268)&gt;0,"✓","⚠ add to Campaigns tab"))</f>
        <v/>
      </c>
      <c r="I1268" s="84" t="str">
        <f aca="false">IF(C1268="","",C1268*IF(Settings!$B$23=Settings!$C$6,1,IF(Settings!$B$23="USD",1/INDEX(Settings!$B$29:$B$40,MONTH(A1268)),INDEX(Settings!$B$29:$B$40,MONTH(A1268)))))</f>
        <v/>
      </c>
    </row>
    <row r="1269" customFormat="false" ht="15" hidden="false" customHeight="false" outlineLevel="0" collapsed="false">
      <c r="H1269" s="0" t="str">
        <f aca="false">IF(B1269="","",IF(COUNTIF(Campaigns!$A$7:$A$300,B1269)&gt;0,"✓","⚠ add to Campaigns tab"))</f>
        <v/>
      </c>
      <c r="I1269" s="84" t="str">
        <f aca="false">IF(C1269="","",C1269*IF(Settings!$B$23=Settings!$C$6,1,IF(Settings!$B$23="USD",1/INDEX(Settings!$B$29:$B$40,MONTH(A1269)),INDEX(Settings!$B$29:$B$40,MONTH(A1269)))))</f>
        <v/>
      </c>
    </row>
    <row r="1270" customFormat="false" ht="15" hidden="false" customHeight="false" outlineLevel="0" collapsed="false">
      <c r="H1270" s="0" t="str">
        <f aca="false">IF(B1270="","",IF(COUNTIF(Campaigns!$A$7:$A$300,B1270)&gt;0,"✓","⚠ add to Campaigns tab"))</f>
        <v/>
      </c>
      <c r="I1270" s="84" t="str">
        <f aca="false">IF(C1270="","",C1270*IF(Settings!$B$23=Settings!$C$6,1,IF(Settings!$B$23="USD",1/INDEX(Settings!$B$29:$B$40,MONTH(A1270)),INDEX(Settings!$B$29:$B$40,MONTH(A1270)))))</f>
        <v/>
      </c>
    </row>
    <row r="1271" customFormat="false" ht="15" hidden="false" customHeight="false" outlineLevel="0" collapsed="false">
      <c r="H1271" s="0" t="str">
        <f aca="false">IF(B1271="","",IF(COUNTIF(Campaigns!$A$7:$A$300,B1271)&gt;0,"✓","⚠ add to Campaigns tab"))</f>
        <v/>
      </c>
      <c r="I1271" s="84" t="str">
        <f aca="false">IF(C1271="","",C1271*IF(Settings!$B$23=Settings!$C$6,1,IF(Settings!$B$23="USD",1/INDEX(Settings!$B$29:$B$40,MONTH(A1271)),INDEX(Settings!$B$29:$B$40,MONTH(A1271)))))</f>
        <v/>
      </c>
    </row>
    <row r="1272" customFormat="false" ht="15" hidden="false" customHeight="false" outlineLevel="0" collapsed="false">
      <c r="H1272" s="0" t="str">
        <f aca="false">IF(B1272="","",IF(COUNTIF(Campaigns!$A$7:$A$300,B1272)&gt;0,"✓","⚠ add to Campaigns tab"))</f>
        <v/>
      </c>
      <c r="I1272" s="84" t="str">
        <f aca="false">IF(C1272="","",C1272*IF(Settings!$B$23=Settings!$C$6,1,IF(Settings!$B$23="USD",1/INDEX(Settings!$B$29:$B$40,MONTH(A1272)),INDEX(Settings!$B$29:$B$40,MONTH(A1272)))))</f>
        <v/>
      </c>
    </row>
    <row r="1273" customFormat="false" ht="15" hidden="false" customHeight="false" outlineLevel="0" collapsed="false">
      <c r="H1273" s="0" t="str">
        <f aca="false">IF(B1273="","",IF(COUNTIF(Campaigns!$A$7:$A$300,B1273)&gt;0,"✓","⚠ add to Campaigns tab"))</f>
        <v/>
      </c>
      <c r="I1273" s="84" t="str">
        <f aca="false">IF(C1273="","",C1273*IF(Settings!$B$23=Settings!$C$6,1,IF(Settings!$B$23="USD",1/INDEX(Settings!$B$29:$B$40,MONTH(A1273)),INDEX(Settings!$B$29:$B$40,MONTH(A1273)))))</f>
        <v/>
      </c>
    </row>
    <row r="1274" customFormat="false" ht="15" hidden="false" customHeight="false" outlineLevel="0" collapsed="false">
      <c r="H1274" s="0" t="str">
        <f aca="false">IF(B1274="","",IF(COUNTIF(Campaigns!$A$7:$A$300,B1274)&gt;0,"✓","⚠ add to Campaigns tab"))</f>
        <v/>
      </c>
      <c r="I1274" s="84" t="str">
        <f aca="false">IF(C1274="","",C1274*IF(Settings!$B$23=Settings!$C$6,1,IF(Settings!$B$23="USD",1/INDEX(Settings!$B$29:$B$40,MONTH(A1274)),INDEX(Settings!$B$29:$B$40,MONTH(A1274)))))</f>
        <v/>
      </c>
    </row>
    <row r="1275" customFormat="false" ht="15" hidden="false" customHeight="false" outlineLevel="0" collapsed="false">
      <c r="H1275" s="0" t="str">
        <f aca="false">IF(B1275="","",IF(COUNTIF(Campaigns!$A$7:$A$300,B1275)&gt;0,"✓","⚠ add to Campaigns tab"))</f>
        <v/>
      </c>
      <c r="I1275" s="84" t="str">
        <f aca="false">IF(C1275="","",C1275*IF(Settings!$B$23=Settings!$C$6,1,IF(Settings!$B$23="USD",1/INDEX(Settings!$B$29:$B$40,MONTH(A1275)),INDEX(Settings!$B$29:$B$40,MONTH(A1275)))))</f>
        <v/>
      </c>
    </row>
    <row r="1276" customFormat="false" ht="15" hidden="false" customHeight="false" outlineLevel="0" collapsed="false">
      <c r="H1276" s="0" t="str">
        <f aca="false">IF(B1276="","",IF(COUNTIF(Campaigns!$A$7:$A$300,B1276)&gt;0,"✓","⚠ add to Campaigns tab"))</f>
        <v/>
      </c>
      <c r="I1276" s="84" t="str">
        <f aca="false">IF(C1276="","",C1276*IF(Settings!$B$23=Settings!$C$6,1,IF(Settings!$B$23="USD",1/INDEX(Settings!$B$29:$B$40,MONTH(A1276)),INDEX(Settings!$B$29:$B$40,MONTH(A1276)))))</f>
        <v/>
      </c>
    </row>
    <row r="1277" customFormat="false" ht="15" hidden="false" customHeight="false" outlineLevel="0" collapsed="false">
      <c r="H1277" s="0" t="str">
        <f aca="false">IF(B1277="","",IF(COUNTIF(Campaigns!$A$7:$A$300,B1277)&gt;0,"✓","⚠ add to Campaigns tab"))</f>
        <v/>
      </c>
      <c r="I1277" s="84" t="str">
        <f aca="false">IF(C1277="","",C1277*IF(Settings!$B$23=Settings!$C$6,1,IF(Settings!$B$23="USD",1/INDEX(Settings!$B$29:$B$40,MONTH(A1277)),INDEX(Settings!$B$29:$B$40,MONTH(A1277)))))</f>
        <v/>
      </c>
    </row>
    <row r="1278" customFormat="false" ht="15" hidden="false" customHeight="false" outlineLevel="0" collapsed="false">
      <c r="H1278" s="0" t="str">
        <f aca="false">IF(B1278="","",IF(COUNTIF(Campaigns!$A$7:$A$300,B1278)&gt;0,"✓","⚠ add to Campaigns tab"))</f>
        <v/>
      </c>
      <c r="I1278" s="84" t="str">
        <f aca="false">IF(C1278="","",C1278*IF(Settings!$B$23=Settings!$C$6,1,IF(Settings!$B$23="USD",1/INDEX(Settings!$B$29:$B$40,MONTH(A1278)),INDEX(Settings!$B$29:$B$40,MONTH(A1278)))))</f>
        <v/>
      </c>
    </row>
    <row r="1279" customFormat="false" ht="15" hidden="false" customHeight="false" outlineLevel="0" collapsed="false">
      <c r="H1279" s="0" t="str">
        <f aca="false">IF(B1279="","",IF(COUNTIF(Campaigns!$A$7:$A$300,B1279)&gt;0,"✓","⚠ add to Campaigns tab"))</f>
        <v/>
      </c>
      <c r="I1279" s="84" t="str">
        <f aca="false">IF(C1279="","",C1279*IF(Settings!$B$23=Settings!$C$6,1,IF(Settings!$B$23="USD",1/INDEX(Settings!$B$29:$B$40,MONTH(A1279)),INDEX(Settings!$B$29:$B$40,MONTH(A1279)))))</f>
        <v/>
      </c>
    </row>
    <row r="1280" customFormat="false" ht="15" hidden="false" customHeight="false" outlineLevel="0" collapsed="false">
      <c r="H1280" s="0" t="str">
        <f aca="false">IF(B1280="","",IF(COUNTIF(Campaigns!$A$7:$A$300,B1280)&gt;0,"✓","⚠ add to Campaigns tab"))</f>
        <v/>
      </c>
      <c r="I1280" s="84" t="str">
        <f aca="false">IF(C1280="","",C1280*IF(Settings!$B$23=Settings!$C$6,1,IF(Settings!$B$23="USD",1/INDEX(Settings!$B$29:$B$40,MONTH(A1280)),INDEX(Settings!$B$29:$B$40,MONTH(A1280)))))</f>
        <v/>
      </c>
    </row>
    <row r="1281" customFormat="false" ht="15" hidden="false" customHeight="false" outlineLevel="0" collapsed="false">
      <c r="H1281" s="0" t="str">
        <f aca="false">IF(B1281="","",IF(COUNTIF(Campaigns!$A$7:$A$300,B1281)&gt;0,"✓","⚠ add to Campaigns tab"))</f>
        <v/>
      </c>
      <c r="I1281" s="84" t="str">
        <f aca="false">IF(C1281="","",C1281*IF(Settings!$B$23=Settings!$C$6,1,IF(Settings!$B$23="USD",1/INDEX(Settings!$B$29:$B$40,MONTH(A1281)),INDEX(Settings!$B$29:$B$40,MONTH(A1281)))))</f>
        <v/>
      </c>
    </row>
    <row r="1282" customFormat="false" ht="15" hidden="false" customHeight="false" outlineLevel="0" collapsed="false">
      <c r="H1282" s="0" t="str">
        <f aca="false">IF(B1282="","",IF(COUNTIF(Campaigns!$A$7:$A$300,B1282)&gt;0,"✓","⚠ add to Campaigns tab"))</f>
        <v/>
      </c>
      <c r="I1282" s="84" t="str">
        <f aca="false">IF(C1282="","",C1282*IF(Settings!$B$23=Settings!$C$6,1,IF(Settings!$B$23="USD",1/INDEX(Settings!$B$29:$B$40,MONTH(A1282)),INDEX(Settings!$B$29:$B$40,MONTH(A1282)))))</f>
        <v/>
      </c>
    </row>
    <row r="1283" customFormat="false" ht="15" hidden="false" customHeight="false" outlineLevel="0" collapsed="false">
      <c r="H1283" s="0" t="str">
        <f aca="false">IF(B1283="","",IF(COUNTIF(Campaigns!$A$7:$A$300,B1283)&gt;0,"✓","⚠ add to Campaigns tab"))</f>
        <v/>
      </c>
      <c r="I1283" s="84" t="str">
        <f aca="false">IF(C1283="","",C1283*IF(Settings!$B$23=Settings!$C$6,1,IF(Settings!$B$23="USD",1/INDEX(Settings!$B$29:$B$40,MONTH(A1283)),INDEX(Settings!$B$29:$B$40,MONTH(A1283)))))</f>
        <v/>
      </c>
    </row>
    <row r="1284" customFormat="false" ht="15" hidden="false" customHeight="false" outlineLevel="0" collapsed="false">
      <c r="H1284" s="0" t="str">
        <f aca="false">IF(B1284="","",IF(COUNTIF(Campaigns!$A$7:$A$300,B1284)&gt;0,"✓","⚠ add to Campaigns tab"))</f>
        <v/>
      </c>
      <c r="I1284" s="84" t="str">
        <f aca="false">IF(C1284="","",C1284*IF(Settings!$B$23=Settings!$C$6,1,IF(Settings!$B$23="USD",1/INDEX(Settings!$B$29:$B$40,MONTH(A1284)),INDEX(Settings!$B$29:$B$40,MONTH(A1284)))))</f>
        <v/>
      </c>
    </row>
    <row r="1285" customFormat="false" ht="15" hidden="false" customHeight="false" outlineLevel="0" collapsed="false">
      <c r="H1285" s="0" t="str">
        <f aca="false">IF(B1285="","",IF(COUNTIF(Campaigns!$A$7:$A$300,B1285)&gt;0,"✓","⚠ add to Campaigns tab"))</f>
        <v/>
      </c>
      <c r="I1285" s="84" t="str">
        <f aca="false">IF(C1285="","",C1285*IF(Settings!$B$23=Settings!$C$6,1,IF(Settings!$B$23="USD",1/INDEX(Settings!$B$29:$B$40,MONTH(A1285)),INDEX(Settings!$B$29:$B$40,MONTH(A1285)))))</f>
        <v/>
      </c>
    </row>
    <row r="1286" customFormat="false" ht="15" hidden="false" customHeight="false" outlineLevel="0" collapsed="false">
      <c r="H1286" s="0" t="str">
        <f aca="false">IF(B1286="","",IF(COUNTIF(Campaigns!$A$7:$A$300,B1286)&gt;0,"✓","⚠ add to Campaigns tab"))</f>
        <v/>
      </c>
      <c r="I1286" s="84" t="str">
        <f aca="false">IF(C1286="","",C1286*IF(Settings!$B$23=Settings!$C$6,1,IF(Settings!$B$23="USD",1/INDEX(Settings!$B$29:$B$40,MONTH(A1286)),INDEX(Settings!$B$29:$B$40,MONTH(A1286)))))</f>
        <v/>
      </c>
    </row>
    <row r="1287" customFormat="false" ht="15" hidden="false" customHeight="false" outlineLevel="0" collapsed="false">
      <c r="H1287" s="0" t="str">
        <f aca="false">IF(B1287="","",IF(COUNTIF(Campaigns!$A$7:$A$300,B1287)&gt;0,"✓","⚠ add to Campaigns tab"))</f>
        <v/>
      </c>
      <c r="I1287" s="84" t="str">
        <f aca="false">IF(C1287="","",C1287*IF(Settings!$B$23=Settings!$C$6,1,IF(Settings!$B$23="USD",1/INDEX(Settings!$B$29:$B$40,MONTH(A1287)),INDEX(Settings!$B$29:$B$40,MONTH(A1287)))))</f>
        <v/>
      </c>
    </row>
    <row r="1288" customFormat="false" ht="15" hidden="false" customHeight="false" outlineLevel="0" collapsed="false">
      <c r="H1288" s="0" t="str">
        <f aca="false">IF(B1288="","",IF(COUNTIF(Campaigns!$A$7:$A$300,B1288)&gt;0,"✓","⚠ add to Campaigns tab"))</f>
        <v/>
      </c>
      <c r="I1288" s="84" t="str">
        <f aca="false">IF(C1288="","",C1288*IF(Settings!$B$23=Settings!$C$6,1,IF(Settings!$B$23="USD",1/INDEX(Settings!$B$29:$B$40,MONTH(A1288)),INDEX(Settings!$B$29:$B$40,MONTH(A1288)))))</f>
        <v/>
      </c>
    </row>
    <row r="1289" customFormat="false" ht="15" hidden="false" customHeight="false" outlineLevel="0" collapsed="false">
      <c r="H1289" s="0" t="str">
        <f aca="false">IF(B1289="","",IF(COUNTIF(Campaigns!$A$7:$A$300,B1289)&gt;0,"✓","⚠ add to Campaigns tab"))</f>
        <v/>
      </c>
      <c r="I1289" s="84" t="str">
        <f aca="false">IF(C1289="","",C1289*IF(Settings!$B$23=Settings!$C$6,1,IF(Settings!$B$23="USD",1/INDEX(Settings!$B$29:$B$40,MONTH(A1289)),INDEX(Settings!$B$29:$B$40,MONTH(A1289)))))</f>
        <v/>
      </c>
    </row>
    <row r="1290" customFormat="false" ht="15" hidden="false" customHeight="false" outlineLevel="0" collapsed="false">
      <c r="H1290" s="0" t="str">
        <f aca="false">IF(B1290="","",IF(COUNTIF(Campaigns!$A$7:$A$300,B1290)&gt;0,"✓","⚠ add to Campaigns tab"))</f>
        <v/>
      </c>
      <c r="I1290" s="84" t="str">
        <f aca="false">IF(C1290="","",C1290*IF(Settings!$B$23=Settings!$C$6,1,IF(Settings!$B$23="USD",1/INDEX(Settings!$B$29:$B$40,MONTH(A1290)),INDEX(Settings!$B$29:$B$40,MONTH(A1290)))))</f>
        <v/>
      </c>
    </row>
    <row r="1291" customFormat="false" ht="15" hidden="false" customHeight="false" outlineLevel="0" collapsed="false">
      <c r="H1291" s="0" t="str">
        <f aca="false">IF(B1291="","",IF(COUNTIF(Campaigns!$A$7:$A$300,B1291)&gt;0,"✓","⚠ add to Campaigns tab"))</f>
        <v/>
      </c>
      <c r="I1291" s="84" t="str">
        <f aca="false">IF(C1291="","",C1291*IF(Settings!$B$23=Settings!$C$6,1,IF(Settings!$B$23="USD",1/INDEX(Settings!$B$29:$B$40,MONTH(A1291)),INDEX(Settings!$B$29:$B$40,MONTH(A1291)))))</f>
        <v/>
      </c>
    </row>
    <row r="1292" customFormat="false" ht="15" hidden="false" customHeight="false" outlineLevel="0" collapsed="false">
      <c r="H1292" s="0" t="str">
        <f aca="false">IF(B1292="","",IF(COUNTIF(Campaigns!$A$7:$A$300,B1292)&gt;0,"✓","⚠ add to Campaigns tab"))</f>
        <v/>
      </c>
      <c r="I1292" s="84" t="str">
        <f aca="false">IF(C1292="","",C1292*IF(Settings!$B$23=Settings!$C$6,1,IF(Settings!$B$23="USD",1/INDEX(Settings!$B$29:$B$40,MONTH(A1292)),INDEX(Settings!$B$29:$B$40,MONTH(A1292)))))</f>
        <v/>
      </c>
    </row>
    <row r="1293" customFormat="false" ht="15" hidden="false" customHeight="false" outlineLevel="0" collapsed="false">
      <c r="H1293" s="0" t="str">
        <f aca="false">IF(B1293="","",IF(COUNTIF(Campaigns!$A$7:$A$300,B1293)&gt;0,"✓","⚠ add to Campaigns tab"))</f>
        <v/>
      </c>
      <c r="I1293" s="84" t="str">
        <f aca="false">IF(C1293="","",C1293*IF(Settings!$B$23=Settings!$C$6,1,IF(Settings!$B$23="USD",1/INDEX(Settings!$B$29:$B$40,MONTH(A1293)),INDEX(Settings!$B$29:$B$40,MONTH(A1293)))))</f>
        <v/>
      </c>
    </row>
    <row r="1294" customFormat="false" ht="15" hidden="false" customHeight="false" outlineLevel="0" collapsed="false">
      <c r="H1294" s="0" t="str">
        <f aca="false">IF(B1294="","",IF(COUNTIF(Campaigns!$A$7:$A$300,B1294)&gt;0,"✓","⚠ add to Campaigns tab"))</f>
        <v/>
      </c>
      <c r="I1294" s="84" t="str">
        <f aca="false">IF(C1294="","",C1294*IF(Settings!$B$23=Settings!$C$6,1,IF(Settings!$B$23="USD",1/INDEX(Settings!$B$29:$B$40,MONTH(A1294)),INDEX(Settings!$B$29:$B$40,MONTH(A1294)))))</f>
        <v/>
      </c>
    </row>
    <row r="1295" customFormat="false" ht="15" hidden="false" customHeight="false" outlineLevel="0" collapsed="false">
      <c r="H1295" s="0" t="str">
        <f aca="false">IF(B1295="","",IF(COUNTIF(Campaigns!$A$7:$A$300,B1295)&gt;0,"✓","⚠ add to Campaigns tab"))</f>
        <v/>
      </c>
      <c r="I1295" s="84" t="str">
        <f aca="false">IF(C1295="","",C1295*IF(Settings!$B$23=Settings!$C$6,1,IF(Settings!$B$23="USD",1/INDEX(Settings!$B$29:$B$40,MONTH(A1295)),INDEX(Settings!$B$29:$B$40,MONTH(A1295)))))</f>
        <v/>
      </c>
    </row>
    <row r="1296" customFormat="false" ht="15" hidden="false" customHeight="false" outlineLevel="0" collapsed="false">
      <c r="H1296" s="0" t="str">
        <f aca="false">IF(B1296="","",IF(COUNTIF(Campaigns!$A$7:$A$300,B1296)&gt;0,"✓","⚠ add to Campaigns tab"))</f>
        <v/>
      </c>
      <c r="I1296" s="84" t="str">
        <f aca="false">IF(C1296="","",C1296*IF(Settings!$B$23=Settings!$C$6,1,IF(Settings!$B$23="USD",1/INDEX(Settings!$B$29:$B$40,MONTH(A1296)),INDEX(Settings!$B$29:$B$40,MONTH(A1296)))))</f>
        <v/>
      </c>
    </row>
    <row r="1297" customFormat="false" ht="15" hidden="false" customHeight="false" outlineLevel="0" collapsed="false">
      <c r="H1297" s="0" t="str">
        <f aca="false">IF(B1297="","",IF(COUNTIF(Campaigns!$A$7:$A$300,B1297)&gt;0,"✓","⚠ add to Campaigns tab"))</f>
        <v/>
      </c>
      <c r="I1297" s="84" t="str">
        <f aca="false">IF(C1297="","",C1297*IF(Settings!$B$23=Settings!$C$6,1,IF(Settings!$B$23="USD",1/INDEX(Settings!$B$29:$B$40,MONTH(A1297)),INDEX(Settings!$B$29:$B$40,MONTH(A1297)))))</f>
        <v/>
      </c>
    </row>
    <row r="1298" customFormat="false" ht="15" hidden="false" customHeight="false" outlineLevel="0" collapsed="false">
      <c r="H1298" s="0" t="str">
        <f aca="false">IF(B1298="","",IF(COUNTIF(Campaigns!$A$7:$A$300,B1298)&gt;0,"✓","⚠ add to Campaigns tab"))</f>
        <v/>
      </c>
      <c r="I1298" s="84" t="str">
        <f aca="false">IF(C1298="","",C1298*IF(Settings!$B$23=Settings!$C$6,1,IF(Settings!$B$23="USD",1/INDEX(Settings!$B$29:$B$40,MONTH(A1298)),INDEX(Settings!$B$29:$B$40,MONTH(A1298)))))</f>
        <v/>
      </c>
    </row>
    <row r="1299" customFormat="false" ht="15" hidden="false" customHeight="false" outlineLevel="0" collapsed="false">
      <c r="H1299" s="0" t="str">
        <f aca="false">IF(B1299="","",IF(COUNTIF(Campaigns!$A$7:$A$300,B1299)&gt;0,"✓","⚠ add to Campaigns tab"))</f>
        <v/>
      </c>
      <c r="I1299" s="84" t="str">
        <f aca="false">IF(C1299="","",C1299*IF(Settings!$B$23=Settings!$C$6,1,IF(Settings!$B$23="USD",1/INDEX(Settings!$B$29:$B$40,MONTH(A1299)),INDEX(Settings!$B$29:$B$40,MONTH(A1299)))))</f>
        <v/>
      </c>
    </row>
    <row r="1300" customFormat="false" ht="15" hidden="false" customHeight="false" outlineLevel="0" collapsed="false">
      <c r="H1300" s="0" t="str">
        <f aca="false">IF(B1300="","",IF(COUNTIF(Campaigns!$A$7:$A$300,B1300)&gt;0,"✓","⚠ add to Campaigns tab"))</f>
        <v/>
      </c>
      <c r="I1300" s="84" t="str">
        <f aca="false">IF(C1300="","",C1300*IF(Settings!$B$23=Settings!$C$6,1,IF(Settings!$B$23="USD",1/INDEX(Settings!$B$29:$B$40,MONTH(A1300)),INDEX(Settings!$B$29:$B$40,MONTH(A1300)))))</f>
        <v/>
      </c>
    </row>
    <row r="1301" customFormat="false" ht="15" hidden="false" customHeight="false" outlineLevel="0" collapsed="false">
      <c r="H1301" s="0" t="str">
        <f aca="false">IF(B1301="","",IF(COUNTIF(Campaigns!$A$7:$A$300,B1301)&gt;0,"✓","⚠ add to Campaigns tab"))</f>
        <v/>
      </c>
      <c r="I1301" s="84" t="str">
        <f aca="false">IF(C1301="","",C1301*IF(Settings!$B$23=Settings!$C$6,1,IF(Settings!$B$23="USD",1/INDEX(Settings!$B$29:$B$40,MONTH(A1301)),INDEX(Settings!$B$29:$B$40,MONTH(A1301)))))</f>
        <v/>
      </c>
    </row>
    <row r="1302" customFormat="false" ht="15" hidden="false" customHeight="false" outlineLevel="0" collapsed="false">
      <c r="H1302" s="0" t="str">
        <f aca="false">IF(B1302="","",IF(COUNTIF(Campaigns!$A$7:$A$300,B1302)&gt;0,"✓","⚠ add to Campaigns tab"))</f>
        <v/>
      </c>
      <c r="I1302" s="84" t="str">
        <f aca="false">IF(C1302="","",C1302*IF(Settings!$B$23=Settings!$C$6,1,IF(Settings!$B$23="USD",1/INDEX(Settings!$B$29:$B$40,MONTH(A1302)),INDEX(Settings!$B$29:$B$40,MONTH(A1302)))))</f>
        <v/>
      </c>
    </row>
    <row r="1303" customFormat="false" ht="15" hidden="false" customHeight="false" outlineLevel="0" collapsed="false">
      <c r="H1303" s="0" t="str">
        <f aca="false">IF(B1303="","",IF(COUNTIF(Campaigns!$A$7:$A$300,B1303)&gt;0,"✓","⚠ add to Campaigns tab"))</f>
        <v/>
      </c>
      <c r="I1303" s="84" t="str">
        <f aca="false">IF(C1303="","",C1303*IF(Settings!$B$23=Settings!$C$6,1,IF(Settings!$B$23="USD",1/INDEX(Settings!$B$29:$B$40,MONTH(A1303)),INDEX(Settings!$B$29:$B$40,MONTH(A1303)))))</f>
        <v/>
      </c>
    </row>
    <row r="1304" customFormat="false" ht="15" hidden="false" customHeight="false" outlineLevel="0" collapsed="false">
      <c r="H1304" s="0" t="str">
        <f aca="false">IF(B1304="","",IF(COUNTIF(Campaigns!$A$7:$A$300,B1304)&gt;0,"✓","⚠ add to Campaigns tab"))</f>
        <v/>
      </c>
      <c r="I1304" s="84" t="str">
        <f aca="false">IF(C1304="","",C1304*IF(Settings!$B$23=Settings!$C$6,1,IF(Settings!$B$23="USD",1/INDEX(Settings!$B$29:$B$40,MONTH(A1304)),INDEX(Settings!$B$29:$B$40,MONTH(A1304)))))</f>
        <v/>
      </c>
    </row>
    <row r="1305" customFormat="false" ht="15" hidden="false" customHeight="false" outlineLevel="0" collapsed="false">
      <c r="H1305" s="0" t="str">
        <f aca="false">IF(B1305="","",IF(COUNTIF(Campaigns!$A$7:$A$300,B1305)&gt;0,"✓","⚠ add to Campaigns tab"))</f>
        <v/>
      </c>
      <c r="I1305" s="84" t="str">
        <f aca="false">IF(C1305="","",C1305*IF(Settings!$B$23=Settings!$C$6,1,IF(Settings!$B$23="USD",1/INDEX(Settings!$B$29:$B$40,MONTH(A1305)),INDEX(Settings!$B$29:$B$40,MONTH(A1305)))))</f>
        <v/>
      </c>
    </row>
    <row r="1306" customFormat="false" ht="15" hidden="false" customHeight="false" outlineLevel="0" collapsed="false">
      <c r="H1306" s="0" t="str">
        <f aca="false">IF(B1306="","",IF(COUNTIF(Campaigns!$A$7:$A$300,B1306)&gt;0,"✓","⚠ add to Campaigns tab"))</f>
        <v/>
      </c>
      <c r="I1306" s="84" t="str">
        <f aca="false">IF(C1306="","",C1306*IF(Settings!$B$23=Settings!$C$6,1,IF(Settings!$B$23="USD",1/INDEX(Settings!$B$29:$B$40,MONTH(A1306)),INDEX(Settings!$B$29:$B$40,MONTH(A1306)))))</f>
        <v/>
      </c>
    </row>
    <row r="1307" customFormat="false" ht="15" hidden="false" customHeight="false" outlineLevel="0" collapsed="false">
      <c r="H1307" s="0" t="str">
        <f aca="false">IF(B1307="","",IF(COUNTIF(Campaigns!$A$7:$A$300,B1307)&gt;0,"✓","⚠ add to Campaigns tab"))</f>
        <v/>
      </c>
      <c r="I1307" s="84" t="str">
        <f aca="false">IF(C1307="","",C1307*IF(Settings!$B$23=Settings!$C$6,1,IF(Settings!$B$23="USD",1/INDEX(Settings!$B$29:$B$40,MONTH(A1307)),INDEX(Settings!$B$29:$B$40,MONTH(A1307)))))</f>
        <v/>
      </c>
    </row>
    <row r="1308" customFormat="false" ht="15" hidden="false" customHeight="false" outlineLevel="0" collapsed="false">
      <c r="H1308" s="0" t="str">
        <f aca="false">IF(B1308="","",IF(COUNTIF(Campaigns!$A$7:$A$300,B1308)&gt;0,"✓","⚠ add to Campaigns tab"))</f>
        <v/>
      </c>
      <c r="I1308" s="84" t="str">
        <f aca="false">IF(C1308="","",C1308*IF(Settings!$B$23=Settings!$C$6,1,IF(Settings!$B$23="USD",1/INDEX(Settings!$B$29:$B$40,MONTH(A1308)),INDEX(Settings!$B$29:$B$40,MONTH(A1308)))))</f>
        <v/>
      </c>
    </row>
    <row r="1309" customFormat="false" ht="15" hidden="false" customHeight="false" outlineLevel="0" collapsed="false">
      <c r="H1309" s="0" t="str">
        <f aca="false">IF(B1309="","",IF(COUNTIF(Campaigns!$A$7:$A$300,B1309)&gt;0,"✓","⚠ add to Campaigns tab"))</f>
        <v/>
      </c>
      <c r="I1309" s="84" t="str">
        <f aca="false">IF(C1309="","",C1309*IF(Settings!$B$23=Settings!$C$6,1,IF(Settings!$B$23="USD",1/INDEX(Settings!$B$29:$B$40,MONTH(A1309)),INDEX(Settings!$B$29:$B$40,MONTH(A1309)))))</f>
        <v/>
      </c>
    </row>
    <row r="1310" customFormat="false" ht="15" hidden="false" customHeight="false" outlineLevel="0" collapsed="false">
      <c r="H1310" s="0" t="str">
        <f aca="false">IF(B1310="","",IF(COUNTIF(Campaigns!$A$7:$A$300,B1310)&gt;0,"✓","⚠ add to Campaigns tab"))</f>
        <v/>
      </c>
      <c r="I1310" s="84" t="str">
        <f aca="false">IF(C1310="","",C1310*IF(Settings!$B$23=Settings!$C$6,1,IF(Settings!$B$23="USD",1/INDEX(Settings!$B$29:$B$40,MONTH(A1310)),INDEX(Settings!$B$29:$B$40,MONTH(A1310)))))</f>
        <v/>
      </c>
    </row>
    <row r="1311" customFormat="false" ht="15" hidden="false" customHeight="false" outlineLevel="0" collapsed="false">
      <c r="H1311" s="0" t="str">
        <f aca="false">IF(B1311="","",IF(COUNTIF(Campaigns!$A$7:$A$300,B1311)&gt;0,"✓","⚠ add to Campaigns tab"))</f>
        <v/>
      </c>
      <c r="I1311" s="84" t="str">
        <f aca="false">IF(C1311="","",C1311*IF(Settings!$B$23=Settings!$C$6,1,IF(Settings!$B$23="USD",1/INDEX(Settings!$B$29:$B$40,MONTH(A1311)),INDEX(Settings!$B$29:$B$40,MONTH(A1311)))))</f>
        <v/>
      </c>
    </row>
    <row r="1312" customFormat="false" ht="15" hidden="false" customHeight="false" outlineLevel="0" collapsed="false">
      <c r="H1312" s="0" t="str">
        <f aca="false">IF(B1312="","",IF(COUNTIF(Campaigns!$A$7:$A$300,B1312)&gt;0,"✓","⚠ add to Campaigns tab"))</f>
        <v/>
      </c>
      <c r="I1312" s="84" t="str">
        <f aca="false">IF(C1312="","",C1312*IF(Settings!$B$23=Settings!$C$6,1,IF(Settings!$B$23="USD",1/INDEX(Settings!$B$29:$B$40,MONTH(A1312)),INDEX(Settings!$B$29:$B$40,MONTH(A1312)))))</f>
        <v/>
      </c>
    </row>
    <row r="1313" customFormat="false" ht="15" hidden="false" customHeight="false" outlineLevel="0" collapsed="false">
      <c r="H1313" s="0" t="str">
        <f aca="false">IF(B1313="","",IF(COUNTIF(Campaigns!$A$7:$A$300,B1313)&gt;0,"✓","⚠ add to Campaigns tab"))</f>
        <v/>
      </c>
      <c r="I1313" s="84" t="str">
        <f aca="false">IF(C1313="","",C1313*IF(Settings!$B$23=Settings!$C$6,1,IF(Settings!$B$23="USD",1/INDEX(Settings!$B$29:$B$40,MONTH(A1313)),INDEX(Settings!$B$29:$B$40,MONTH(A1313)))))</f>
        <v/>
      </c>
    </row>
    <row r="1314" customFormat="false" ht="15" hidden="false" customHeight="false" outlineLevel="0" collapsed="false">
      <c r="H1314" s="0" t="str">
        <f aca="false">IF(B1314="","",IF(COUNTIF(Campaigns!$A$7:$A$300,B1314)&gt;0,"✓","⚠ add to Campaigns tab"))</f>
        <v/>
      </c>
      <c r="I1314" s="84" t="str">
        <f aca="false">IF(C1314="","",C1314*IF(Settings!$B$23=Settings!$C$6,1,IF(Settings!$B$23="USD",1/INDEX(Settings!$B$29:$B$40,MONTH(A1314)),INDEX(Settings!$B$29:$B$40,MONTH(A1314)))))</f>
        <v/>
      </c>
    </row>
    <row r="1315" customFormat="false" ht="15" hidden="false" customHeight="false" outlineLevel="0" collapsed="false">
      <c r="H1315" s="0" t="str">
        <f aca="false">IF(B1315="","",IF(COUNTIF(Campaigns!$A$7:$A$300,B1315)&gt;0,"✓","⚠ add to Campaigns tab"))</f>
        <v/>
      </c>
      <c r="I1315" s="84" t="str">
        <f aca="false">IF(C1315="","",C1315*IF(Settings!$B$23=Settings!$C$6,1,IF(Settings!$B$23="USD",1/INDEX(Settings!$B$29:$B$40,MONTH(A1315)),INDEX(Settings!$B$29:$B$40,MONTH(A1315)))))</f>
        <v/>
      </c>
    </row>
    <row r="1316" customFormat="false" ht="15" hidden="false" customHeight="false" outlineLevel="0" collapsed="false">
      <c r="H1316" s="0" t="str">
        <f aca="false">IF(B1316="","",IF(COUNTIF(Campaigns!$A$7:$A$300,B1316)&gt;0,"✓","⚠ add to Campaigns tab"))</f>
        <v/>
      </c>
      <c r="I1316" s="84" t="str">
        <f aca="false">IF(C1316="","",C1316*IF(Settings!$B$23=Settings!$C$6,1,IF(Settings!$B$23="USD",1/INDEX(Settings!$B$29:$B$40,MONTH(A1316)),INDEX(Settings!$B$29:$B$40,MONTH(A1316)))))</f>
        <v/>
      </c>
    </row>
    <row r="1317" customFormat="false" ht="15" hidden="false" customHeight="false" outlineLevel="0" collapsed="false">
      <c r="H1317" s="0" t="str">
        <f aca="false">IF(B1317="","",IF(COUNTIF(Campaigns!$A$7:$A$300,B1317)&gt;0,"✓","⚠ add to Campaigns tab"))</f>
        <v/>
      </c>
      <c r="I1317" s="84" t="str">
        <f aca="false">IF(C1317="","",C1317*IF(Settings!$B$23=Settings!$C$6,1,IF(Settings!$B$23="USD",1/INDEX(Settings!$B$29:$B$40,MONTH(A1317)),INDEX(Settings!$B$29:$B$40,MONTH(A1317)))))</f>
        <v/>
      </c>
    </row>
    <row r="1318" customFormat="false" ht="15" hidden="false" customHeight="false" outlineLevel="0" collapsed="false">
      <c r="H1318" s="0" t="str">
        <f aca="false">IF(B1318="","",IF(COUNTIF(Campaigns!$A$7:$A$300,B1318)&gt;0,"✓","⚠ add to Campaigns tab"))</f>
        <v/>
      </c>
      <c r="I1318" s="84" t="str">
        <f aca="false">IF(C1318="","",C1318*IF(Settings!$B$23=Settings!$C$6,1,IF(Settings!$B$23="USD",1/INDEX(Settings!$B$29:$B$40,MONTH(A1318)),INDEX(Settings!$B$29:$B$40,MONTH(A1318)))))</f>
        <v/>
      </c>
    </row>
    <row r="1319" customFormat="false" ht="15" hidden="false" customHeight="false" outlineLevel="0" collapsed="false">
      <c r="H1319" s="0" t="str">
        <f aca="false">IF(B1319="","",IF(COUNTIF(Campaigns!$A$7:$A$300,B1319)&gt;0,"✓","⚠ add to Campaigns tab"))</f>
        <v/>
      </c>
      <c r="I1319" s="84" t="str">
        <f aca="false">IF(C1319="","",C1319*IF(Settings!$B$23=Settings!$C$6,1,IF(Settings!$B$23="USD",1/INDEX(Settings!$B$29:$B$40,MONTH(A1319)),INDEX(Settings!$B$29:$B$40,MONTH(A1319)))))</f>
        <v/>
      </c>
    </row>
    <row r="1320" customFormat="false" ht="15" hidden="false" customHeight="false" outlineLevel="0" collapsed="false">
      <c r="H1320" s="0" t="str">
        <f aca="false">IF(B1320="","",IF(COUNTIF(Campaigns!$A$7:$A$300,B1320)&gt;0,"✓","⚠ add to Campaigns tab"))</f>
        <v/>
      </c>
      <c r="I1320" s="84" t="str">
        <f aca="false">IF(C1320="","",C1320*IF(Settings!$B$23=Settings!$C$6,1,IF(Settings!$B$23="USD",1/INDEX(Settings!$B$29:$B$40,MONTH(A1320)),INDEX(Settings!$B$29:$B$40,MONTH(A1320)))))</f>
        <v/>
      </c>
    </row>
    <row r="1321" customFormat="false" ht="15" hidden="false" customHeight="false" outlineLevel="0" collapsed="false">
      <c r="H1321" s="0" t="str">
        <f aca="false">IF(B1321="","",IF(COUNTIF(Campaigns!$A$7:$A$300,B1321)&gt;0,"✓","⚠ add to Campaigns tab"))</f>
        <v/>
      </c>
      <c r="I1321" s="84" t="str">
        <f aca="false">IF(C1321="","",C1321*IF(Settings!$B$23=Settings!$C$6,1,IF(Settings!$B$23="USD",1/INDEX(Settings!$B$29:$B$40,MONTH(A1321)),INDEX(Settings!$B$29:$B$40,MONTH(A1321)))))</f>
        <v/>
      </c>
    </row>
    <row r="1322" customFormat="false" ht="15" hidden="false" customHeight="false" outlineLevel="0" collapsed="false">
      <c r="H1322" s="0" t="str">
        <f aca="false">IF(B1322="","",IF(COUNTIF(Campaigns!$A$7:$A$300,B1322)&gt;0,"✓","⚠ add to Campaigns tab"))</f>
        <v/>
      </c>
      <c r="I1322" s="84" t="str">
        <f aca="false">IF(C1322="","",C1322*IF(Settings!$B$23=Settings!$C$6,1,IF(Settings!$B$23="USD",1/INDEX(Settings!$B$29:$B$40,MONTH(A1322)),INDEX(Settings!$B$29:$B$40,MONTH(A1322)))))</f>
        <v/>
      </c>
    </row>
    <row r="1323" customFormat="false" ht="15" hidden="false" customHeight="false" outlineLevel="0" collapsed="false">
      <c r="H1323" s="0" t="str">
        <f aca="false">IF(B1323="","",IF(COUNTIF(Campaigns!$A$7:$A$300,B1323)&gt;0,"✓","⚠ add to Campaigns tab"))</f>
        <v/>
      </c>
      <c r="I1323" s="84" t="str">
        <f aca="false">IF(C1323="","",C1323*IF(Settings!$B$23=Settings!$C$6,1,IF(Settings!$B$23="USD",1/INDEX(Settings!$B$29:$B$40,MONTH(A1323)),INDEX(Settings!$B$29:$B$40,MONTH(A1323)))))</f>
        <v/>
      </c>
    </row>
    <row r="1324" customFormat="false" ht="15" hidden="false" customHeight="false" outlineLevel="0" collapsed="false">
      <c r="H1324" s="0" t="str">
        <f aca="false">IF(B1324="","",IF(COUNTIF(Campaigns!$A$7:$A$300,B1324)&gt;0,"✓","⚠ add to Campaigns tab"))</f>
        <v/>
      </c>
      <c r="I1324" s="84" t="str">
        <f aca="false">IF(C1324="","",C1324*IF(Settings!$B$23=Settings!$C$6,1,IF(Settings!$B$23="USD",1/INDEX(Settings!$B$29:$B$40,MONTH(A1324)),INDEX(Settings!$B$29:$B$40,MONTH(A1324)))))</f>
        <v/>
      </c>
    </row>
    <row r="1325" customFormat="false" ht="15" hidden="false" customHeight="false" outlineLevel="0" collapsed="false">
      <c r="H1325" s="0" t="str">
        <f aca="false">IF(B1325="","",IF(COUNTIF(Campaigns!$A$7:$A$300,B1325)&gt;0,"✓","⚠ add to Campaigns tab"))</f>
        <v/>
      </c>
      <c r="I1325" s="84" t="str">
        <f aca="false">IF(C1325="","",C1325*IF(Settings!$B$23=Settings!$C$6,1,IF(Settings!$B$23="USD",1/INDEX(Settings!$B$29:$B$40,MONTH(A1325)),INDEX(Settings!$B$29:$B$40,MONTH(A1325)))))</f>
        <v/>
      </c>
    </row>
    <row r="1326" customFormat="false" ht="15" hidden="false" customHeight="false" outlineLevel="0" collapsed="false">
      <c r="H1326" s="0" t="str">
        <f aca="false">IF(B1326="","",IF(COUNTIF(Campaigns!$A$7:$A$300,B1326)&gt;0,"✓","⚠ add to Campaigns tab"))</f>
        <v/>
      </c>
      <c r="I1326" s="84" t="str">
        <f aca="false">IF(C1326="","",C1326*IF(Settings!$B$23=Settings!$C$6,1,IF(Settings!$B$23="USD",1/INDEX(Settings!$B$29:$B$40,MONTH(A1326)),INDEX(Settings!$B$29:$B$40,MONTH(A1326)))))</f>
        <v/>
      </c>
    </row>
    <row r="1327" customFormat="false" ht="15" hidden="false" customHeight="false" outlineLevel="0" collapsed="false">
      <c r="H1327" s="0" t="str">
        <f aca="false">IF(B1327="","",IF(COUNTIF(Campaigns!$A$7:$A$300,B1327)&gt;0,"✓","⚠ add to Campaigns tab"))</f>
        <v/>
      </c>
      <c r="I1327" s="84" t="str">
        <f aca="false">IF(C1327="","",C1327*IF(Settings!$B$23=Settings!$C$6,1,IF(Settings!$B$23="USD",1/INDEX(Settings!$B$29:$B$40,MONTH(A1327)),INDEX(Settings!$B$29:$B$40,MONTH(A1327)))))</f>
        <v/>
      </c>
    </row>
    <row r="1328" customFormat="false" ht="15" hidden="false" customHeight="false" outlineLevel="0" collapsed="false">
      <c r="H1328" s="0" t="str">
        <f aca="false">IF(B1328="","",IF(COUNTIF(Campaigns!$A$7:$A$300,B1328)&gt;0,"✓","⚠ add to Campaigns tab"))</f>
        <v/>
      </c>
      <c r="I1328" s="84" t="str">
        <f aca="false">IF(C1328="","",C1328*IF(Settings!$B$23=Settings!$C$6,1,IF(Settings!$B$23="USD",1/INDEX(Settings!$B$29:$B$40,MONTH(A1328)),INDEX(Settings!$B$29:$B$40,MONTH(A1328)))))</f>
        <v/>
      </c>
    </row>
    <row r="1329" customFormat="false" ht="15" hidden="false" customHeight="false" outlineLevel="0" collapsed="false">
      <c r="H1329" s="0" t="str">
        <f aca="false">IF(B1329="","",IF(COUNTIF(Campaigns!$A$7:$A$300,B1329)&gt;0,"✓","⚠ add to Campaigns tab"))</f>
        <v/>
      </c>
      <c r="I1329" s="84" t="str">
        <f aca="false">IF(C1329="","",C1329*IF(Settings!$B$23=Settings!$C$6,1,IF(Settings!$B$23="USD",1/INDEX(Settings!$B$29:$B$40,MONTH(A1329)),INDEX(Settings!$B$29:$B$40,MONTH(A1329)))))</f>
        <v/>
      </c>
    </row>
    <row r="1330" customFormat="false" ht="15" hidden="false" customHeight="false" outlineLevel="0" collapsed="false">
      <c r="H1330" s="0" t="str">
        <f aca="false">IF(B1330="","",IF(COUNTIF(Campaigns!$A$7:$A$300,B1330)&gt;0,"✓","⚠ add to Campaigns tab"))</f>
        <v/>
      </c>
      <c r="I1330" s="84" t="str">
        <f aca="false">IF(C1330="","",C1330*IF(Settings!$B$23=Settings!$C$6,1,IF(Settings!$B$23="USD",1/INDEX(Settings!$B$29:$B$40,MONTH(A1330)),INDEX(Settings!$B$29:$B$40,MONTH(A1330)))))</f>
        <v/>
      </c>
    </row>
    <row r="1331" customFormat="false" ht="15" hidden="false" customHeight="false" outlineLevel="0" collapsed="false">
      <c r="H1331" s="0" t="str">
        <f aca="false">IF(B1331="","",IF(COUNTIF(Campaigns!$A$7:$A$300,B1331)&gt;0,"✓","⚠ add to Campaigns tab"))</f>
        <v/>
      </c>
      <c r="I1331" s="84" t="str">
        <f aca="false">IF(C1331="","",C1331*IF(Settings!$B$23=Settings!$C$6,1,IF(Settings!$B$23="USD",1/INDEX(Settings!$B$29:$B$40,MONTH(A1331)),INDEX(Settings!$B$29:$B$40,MONTH(A1331)))))</f>
        <v/>
      </c>
    </row>
    <row r="1332" customFormat="false" ht="15" hidden="false" customHeight="false" outlineLevel="0" collapsed="false">
      <c r="H1332" s="0" t="str">
        <f aca="false">IF(B1332="","",IF(COUNTIF(Campaigns!$A$7:$A$300,B1332)&gt;0,"✓","⚠ add to Campaigns tab"))</f>
        <v/>
      </c>
      <c r="I1332" s="84" t="str">
        <f aca="false">IF(C1332="","",C1332*IF(Settings!$B$23=Settings!$C$6,1,IF(Settings!$B$23="USD",1/INDEX(Settings!$B$29:$B$40,MONTH(A1332)),INDEX(Settings!$B$29:$B$40,MONTH(A1332)))))</f>
        <v/>
      </c>
    </row>
    <row r="1333" customFormat="false" ht="15" hidden="false" customHeight="false" outlineLevel="0" collapsed="false">
      <c r="H1333" s="0" t="str">
        <f aca="false">IF(B1333="","",IF(COUNTIF(Campaigns!$A$7:$A$300,B1333)&gt;0,"✓","⚠ add to Campaigns tab"))</f>
        <v/>
      </c>
      <c r="I1333" s="84" t="str">
        <f aca="false">IF(C1333="","",C1333*IF(Settings!$B$23=Settings!$C$6,1,IF(Settings!$B$23="USD",1/INDEX(Settings!$B$29:$B$40,MONTH(A1333)),INDEX(Settings!$B$29:$B$40,MONTH(A1333)))))</f>
        <v/>
      </c>
    </row>
    <row r="1334" customFormat="false" ht="15" hidden="false" customHeight="false" outlineLevel="0" collapsed="false">
      <c r="H1334" s="0" t="str">
        <f aca="false">IF(B1334="","",IF(COUNTIF(Campaigns!$A$7:$A$300,B1334)&gt;0,"✓","⚠ add to Campaigns tab"))</f>
        <v/>
      </c>
      <c r="I1334" s="84" t="str">
        <f aca="false">IF(C1334="","",C1334*IF(Settings!$B$23=Settings!$C$6,1,IF(Settings!$B$23="USD",1/INDEX(Settings!$B$29:$B$40,MONTH(A1334)),INDEX(Settings!$B$29:$B$40,MONTH(A1334)))))</f>
        <v/>
      </c>
    </row>
    <row r="1335" customFormat="false" ht="15" hidden="false" customHeight="false" outlineLevel="0" collapsed="false">
      <c r="H1335" s="0" t="str">
        <f aca="false">IF(B1335="","",IF(COUNTIF(Campaigns!$A$7:$A$300,B1335)&gt;0,"✓","⚠ add to Campaigns tab"))</f>
        <v/>
      </c>
      <c r="I1335" s="84" t="str">
        <f aca="false">IF(C1335="","",C1335*IF(Settings!$B$23=Settings!$C$6,1,IF(Settings!$B$23="USD",1/INDEX(Settings!$B$29:$B$40,MONTH(A1335)),INDEX(Settings!$B$29:$B$40,MONTH(A1335)))))</f>
        <v/>
      </c>
    </row>
    <row r="1336" customFormat="false" ht="15" hidden="false" customHeight="false" outlineLevel="0" collapsed="false">
      <c r="H1336" s="0" t="str">
        <f aca="false">IF(B1336="","",IF(COUNTIF(Campaigns!$A$7:$A$300,B1336)&gt;0,"✓","⚠ add to Campaigns tab"))</f>
        <v/>
      </c>
      <c r="I1336" s="84" t="str">
        <f aca="false">IF(C1336="","",C1336*IF(Settings!$B$23=Settings!$C$6,1,IF(Settings!$B$23="USD",1/INDEX(Settings!$B$29:$B$40,MONTH(A1336)),INDEX(Settings!$B$29:$B$40,MONTH(A1336)))))</f>
        <v/>
      </c>
    </row>
    <row r="1337" customFormat="false" ht="15" hidden="false" customHeight="false" outlineLevel="0" collapsed="false">
      <c r="H1337" s="0" t="str">
        <f aca="false">IF(B1337="","",IF(COUNTIF(Campaigns!$A$7:$A$300,B1337)&gt;0,"✓","⚠ add to Campaigns tab"))</f>
        <v/>
      </c>
      <c r="I1337" s="84" t="str">
        <f aca="false">IF(C1337="","",C1337*IF(Settings!$B$23=Settings!$C$6,1,IF(Settings!$B$23="USD",1/INDEX(Settings!$B$29:$B$40,MONTH(A1337)),INDEX(Settings!$B$29:$B$40,MONTH(A1337)))))</f>
        <v/>
      </c>
    </row>
    <row r="1338" customFormat="false" ht="15" hidden="false" customHeight="false" outlineLevel="0" collapsed="false">
      <c r="H1338" s="0" t="str">
        <f aca="false">IF(B1338="","",IF(COUNTIF(Campaigns!$A$7:$A$300,B1338)&gt;0,"✓","⚠ add to Campaigns tab"))</f>
        <v/>
      </c>
      <c r="I1338" s="84" t="str">
        <f aca="false">IF(C1338="","",C1338*IF(Settings!$B$23=Settings!$C$6,1,IF(Settings!$B$23="USD",1/INDEX(Settings!$B$29:$B$40,MONTH(A1338)),INDEX(Settings!$B$29:$B$40,MONTH(A1338)))))</f>
        <v/>
      </c>
    </row>
    <row r="1339" customFormat="false" ht="15" hidden="false" customHeight="false" outlineLevel="0" collapsed="false">
      <c r="H1339" s="0" t="str">
        <f aca="false">IF(B1339="","",IF(COUNTIF(Campaigns!$A$7:$A$300,B1339)&gt;0,"✓","⚠ add to Campaigns tab"))</f>
        <v/>
      </c>
      <c r="I1339" s="84" t="str">
        <f aca="false">IF(C1339="","",C1339*IF(Settings!$B$23=Settings!$C$6,1,IF(Settings!$B$23="USD",1/INDEX(Settings!$B$29:$B$40,MONTH(A1339)),INDEX(Settings!$B$29:$B$40,MONTH(A1339)))))</f>
        <v/>
      </c>
    </row>
    <row r="1340" customFormat="false" ht="15" hidden="false" customHeight="false" outlineLevel="0" collapsed="false">
      <c r="H1340" s="0" t="str">
        <f aca="false">IF(B1340="","",IF(COUNTIF(Campaigns!$A$7:$A$300,B1340)&gt;0,"✓","⚠ add to Campaigns tab"))</f>
        <v/>
      </c>
      <c r="I1340" s="84" t="str">
        <f aca="false">IF(C1340="","",C1340*IF(Settings!$B$23=Settings!$C$6,1,IF(Settings!$B$23="USD",1/INDEX(Settings!$B$29:$B$40,MONTH(A1340)),INDEX(Settings!$B$29:$B$40,MONTH(A1340)))))</f>
        <v/>
      </c>
    </row>
    <row r="1341" customFormat="false" ht="15" hidden="false" customHeight="false" outlineLevel="0" collapsed="false">
      <c r="H1341" s="0" t="str">
        <f aca="false">IF(B1341="","",IF(COUNTIF(Campaigns!$A$7:$A$300,B1341)&gt;0,"✓","⚠ add to Campaigns tab"))</f>
        <v/>
      </c>
      <c r="I1341" s="84" t="str">
        <f aca="false">IF(C1341="","",C1341*IF(Settings!$B$23=Settings!$C$6,1,IF(Settings!$B$23="USD",1/INDEX(Settings!$B$29:$B$40,MONTH(A1341)),INDEX(Settings!$B$29:$B$40,MONTH(A1341)))))</f>
        <v/>
      </c>
    </row>
    <row r="1342" customFormat="false" ht="15" hidden="false" customHeight="false" outlineLevel="0" collapsed="false">
      <c r="H1342" s="0" t="str">
        <f aca="false">IF(B1342="","",IF(COUNTIF(Campaigns!$A$7:$A$300,B1342)&gt;0,"✓","⚠ add to Campaigns tab"))</f>
        <v/>
      </c>
      <c r="I1342" s="84" t="str">
        <f aca="false">IF(C1342="","",C1342*IF(Settings!$B$23=Settings!$C$6,1,IF(Settings!$B$23="USD",1/INDEX(Settings!$B$29:$B$40,MONTH(A1342)),INDEX(Settings!$B$29:$B$40,MONTH(A1342)))))</f>
        <v/>
      </c>
    </row>
    <row r="1343" customFormat="false" ht="15" hidden="false" customHeight="false" outlineLevel="0" collapsed="false">
      <c r="H1343" s="0" t="str">
        <f aca="false">IF(B1343="","",IF(COUNTIF(Campaigns!$A$7:$A$300,B1343)&gt;0,"✓","⚠ add to Campaigns tab"))</f>
        <v/>
      </c>
      <c r="I1343" s="84" t="str">
        <f aca="false">IF(C1343="","",C1343*IF(Settings!$B$23=Settings!$C$6,1,IF(Settings!$B$23="USD",1/INDEX(Settings!$B$29:$B$40,MONTH(A1343)),INDEX(Settings!$B$29:$B$40,MONTH(A1343)))))</f>
        <v/>
      </c>
    </row>
    <row r="1344" customFormat="false" ht="15" hidden="false" customHeight="false" outlineLevel="0" collapsed="false">
      <c r="H1344" s="0" t="str">
        <f aca="false">IF(B1344="","",IF(COUNTIF(Campaigns!$A$7:$A$300,B1344)&gt;0,"✓","⚠ add to Campaigns tab"))</f>
        <v/>
      </c>
      <c r="I1344" s="84" t="str">
        <f aca="false">IF(C1344="","",C1344*IF(Settings!$B$23=Settings!$C$6,1,IF(Settings!$B$23="USD",1/INDEX(Settings!$B$29:$B$40,MONTH(A1344)),INDEX(Settings!$B$29:$B$40,MONTH(A1344)))))</f>
        <v/>
      </c>
    </row>
    <row r="1345" customFormat="false" ht="15" hidden="false" customHeight="false" outlineLevel="0" collapsed="false">
      <c r="H1345" s="0" t="str">
        <f aca="false">IF(B1345="","",IF(COUNTIF(Campaigns!$A$7:$A$300,B1345)&gt;0,"✓","⚠ add to Campaigns tab"))</f>
        <v/>
      </c>
      <c r="I1345" s="84" t="str">
        <f aca="false">IF(C1345="","",C1345*IF(Settings!$B$23=Settings!$C$6,1,IF(Settings!$B$23="USD",1/INDEX(Settings!$B$29:$B$40,MONTH(A1345)),INDEX(Settings!$B$29:$B$40,MONTH(A1345)))))</f>
        <v/>
      </c>
    </row>
    <row r="1346" customFormat="false" ht="15" hidden="false" customHeight="false" outlineLevel="0" collapsed="false">
      <c r="H1346" s="0" t="str">
        <f aca="false">IF(B1346="","",IF(COUNTIF(Campaigns!$A$7:$A$300,B1346)&gt;0,"✓","⚠ add to Campaigns tab"))</f>
        <v/>
      </c>
      <c r="I1346" s="84" t="str">
        <f aca="false">IF(C1346="","",C1346*IF(Settings!$B$23=Settings!$C$6,1,IF(Settings!$B$23="USD",1/INDEX(Settings!$B$29:$B$40,MONTH(A1346)),INDEX(Settings!$B$29:$B$40,MONTH(A1346)))))</f>
        <v/>
      </c>
    </row>
    <row r="1347" customFormat="false" ht="15" hidden="false" customHeight="false" outlineLevel="0" collapsed="false">
      <c r="H1347" s="0" t="str">
        <f aca="false">IF(B1347="","",IF(COUNTIF(Campaigns!$A$7:$A$300,B1347)&gt;0,"✓","⚠ add to Campaigns tab"))</f>
        <v/>
      </c>
      <c r="I1347" s="84" t="str">
        <f aca="false">IF(C1347="","",C1347*IF(Settings!$B$23=Settings!$C$6,1,IF(Settings!$B$23="USD",1/INDEX(Settings!$B$29:$B$40,MONTH(A1347)),INDEX(Settings!$B$29:$B$40,MONTH(A1347)))))</f>
        <v/>
      </c>
    </row>
    <row r="1348" customFormat="false" ht="15" hidden="false" customHeight="false" outlineLevel="0" collapsed="false">
      <c r="H1348" s="0" t="str">
        <f aca="false">IF(B1348="","",IF(COUNTIF(Campaigns!$A$7:$A$300,B1348)&gt;0,"✓","⚠ add to Campaigns tab"))</f>
        <v/>
      </c>
      <c r="I1348" s="84" t="str">
        <f aca="false">IF(C1348="","",C1348*IF(Settings!$B$23=Settings!$C$6,1,IF(Settings!$B$23="USD",1/INDEX(Settings!$B$29:$B$40,MONTH(A1348)),INDEX(Settings!$B$29:$B$40,MONTH(A1348)))))</f>
        <v/>
      </c>
    </row>
    <row r="1349" customFormat="false" ht="15" hidden="false" customHeight="false" outlineLevel="0" collapsed="false">
      <c r="H1349" s="0" t="str">
        <f aca="false">IF(B1349="","",IF(COUNTIF(Campaigns!$A$7:$A$300,B1349)&gt;0,"✓","⚠ add to Campaigns tab"))</f>
        <v/>
      </c>
      <c r="I1349" s="84" t="str">
        <f aca="false">IF(C1349="","",C1349*IF(Settings!$B$23=Settings!$C$6,1,IF(Settings!$B$23="USD",1/INDEX(Settings!$B$29:$B$40,MONTH(A1349)),INDEX(Settings!$B$29:$B$40,MONTH(A1349)))))</f>
        <v/>
      </c>
    </row>
    <row r="1350" customFormat="false" ht="15" hidden="false" customHeight="false" outlineLevel="0" collapsed="false">
      <c r="H1350" s="0" t="str">
        <f aca="false">IF(B1350="","",IF(COUNTIF(Campaigns!$A$7:$A$300,B1350)&gt;0,"✓","⚠ add to Campaigns tab"))</f>
        <v/>
      </c>
      <c r="I1350" s="84" t="str">
        <f aca="false">IF(C1350="","",C1350*IF(Settings!$B$23=Settings!$C$6,1,IF(Settings!$B$23="USD",1/INDEX(Settings!$B$29:$B$40,MONTH(A1350)),INDEX(Settings!$B$29:$B$40,MONTH(A1350)))))</f>
        <v/>
      </c>
    </row>
    <row r="1351" customFormat="false" ht="15" hidden="false" customHeight="false" outlineLevel="0" collapsed="false">
      <c r="H1351" s="0" t="str">
        <f aca="false">IF(B1351="","",IF(COUNTIF(Campaigns!$A$7:$A$300,B1351)&gt;0,"✓","⚠ add to Campaigns tab"))</f>
        <v/>
      </c>
      <c r="I1351" s="84" t="str">
        <f aca="false">IF(C1351="","",C1351*IF(Settings!$B$23=Settings!$C$6,1,IF(Settings!$B$23="USD",1/INDEX(Settings!$B$29:$B$40,MONTH(A1351)),INDEX(Settings!$B$29:$B$40,MONTH(A1351)))))</f>
        <v/>
      </c>
    </row>
    <row r="1352" customFormat="false" ht="15" hidden="false" customHeight="false" outlineLevel="0" collapsed="false">
      <c r="H1352" s="0" t="str">
        <f aca="false">IF(B1352="","",IF(COUNTIF(Campaigns!$A$7:$A$300,B1352)&gt;0,"✓","⚠ add to Campaigns tab"))</f>
        <v/>
      </c>
      <c r="I1352" s="84" t="str">
        <f aca="false">IF(C1352="","",C1352*IF(Settings!$B$23=Settings!$C$6,1,IF(Settings!$B$23="USD",1/INDEX(Settings!$B$29:$B$40,MONTH(A1352)),INDEX(Settings!$B$29:$B$40,MONTH(A1352)))))</f>
        <v/>
      </c>
    </row>
    <row r="1353" customFormat="false" ht="15" hidden="false" customHeight="false" outlineLevel="0" collapsed="false">
      <c r="H1353" s="0" t="str">
        <f aca="false">IF(B1353="","",IF(COUNTIF(Campaigns!$A$7:$A$300,B1353)&gt;0,"✓","⚠ add to Campaigns tab"))</f>
        <v/>
      </c>
      <c r="I1353" s="84" t="str">
        <f aca="false">IF(C1353="","",C1353*IF(Settings!$B$23=Settings!$C$6,1,IF(Settings!$B$23="USD",1/INDEX(Settings!$B$29:$B$40,MONTH(A1353)),INDEX(Settings!$B$29:$B$40,MONTH(A1353)))))</f>
        <v/>
      </c>
    </row>
    <row r="1354" customFormat="false" ht="15" hidden="false" customHeight="false" outlineLevel="0" collapsed="false">
      <c r="H1354" s="0" t="str">
        <f aca="false">IF(B1354="","",IF(COUNTIF(Campaigns!$A$7:$A$300,B1354)&gt;0,"✓","⚠ add to Campaigns tab"))</f>
        <v/>
      </c>
      <c r="I1354" s="84" t="str">
        <f aca="false">IF(C1354="","",C1354*IF(Settings!$B$23=Settings!$C$6,1,IF(Settings!$B$23="USD",1/INDEX(Settings!$B$29:$B$40,MONTH(A1354)),INDEX(Settings!$B$29:$B$40,MONTH(A1354)))))</f>
        <v/>
      </c>
    </row>
    <row r="1355" customFormat="false" ht="15" hidden="false" customHeight="false" outlineLevel="0" collapsed="false">
      <c r="H1355" s="0" t="str">
        <f aca="false">IF(B1355="","",IF(COUNTIF(Campaigns!$A$7:$A$300,B1355)&gt;0,"✓","⚠ add to Campaigns tab"))</f>
        <v/>
      </c>
      <c r="I1355" s="84" t="str">
        <f aca="false">IF(C1355="","",C1355*IF(Settings!$B$23=Settings!$C$6,1,IF(Settings!$B$23="USD",1/INDEX(Settings!$B$29:$B$40,MONTH(A1355)),INDEX(Settings!$B$29:$B$40,MONTH(A1355)))))</f>
        <v/>
      </c>
    </row>
    <row r="1356" customFormat="false" ht="15" hidden="false" customHeight="false" outlineLevel="0" collapsed="false">
      <c r="H1356" s="0" t="str">
        <f aca="false">IF(B1356="","",IF(COUNTIF(Campaigns!$A$7:$A$300,B1356)&gt;0,"✓","⚠ add to Campaigns tab"))</f>
        <v/>
      </c>
      <c r="I1356" s="84" t="str">
        <f aca="false">IF(C1356="","",C1356*IF(Settings!$B$23=Settings!$C$6,1,IF(Settings!$B$23="USD",1/INDEX(Settings!$B$29:$B$40,MONTH(A1356)),INDEX(Settings!$B$29:$B$40,MONTH(A1356)))))</f>
        <v/>
      </c>
    </row>
    <row r="1357" customFormat="false" ht="15" hidden="false" customHeight="false" outlineLevel="0" collapsed="false">
      <c r="H1357" s="0" t="str">
        <f aca="false">IF(B1357="","",IF(COUNTIF(Campaigns!$A$7:$A$300,B1357)&gt;0,"✓","⚠ add to Campaigns tab"))</f>
        <v/>
      </c>
      <c r="I1357" s="84" t="str">
        <f aca="false">IF(C1357="","",C1357*IF(Settings!$B$23=Settings!$C$6,1,IF(Settings!$B$23="USD",1/INDEX(Settings!$B$29:$B$40,MONTH(A1357)),INDEX(Settings!$B$29:$B$40,MONTH(A1357)))))</f>
        <v/>
      </c>
    </row>
    <row r="1358" customFormat="false" ht="15" hidden="false" customHeight="false" outlineLevel="0" collapsed="false">
      <c r="H1358" s="0" t="str">
        <f aca="false">IF(B1358="","",IF(COUNTIF(Campaigns!$A$7:$A$300,B1358)&gt;0,"✓","⚠ add to Campaigns tab"))</f>
        <v/>
      </c>
      <c r="I1358" s="84" t="str">
        <f aca="false">IF(C1358="","",C1358*IF(Settings!$B$23=Settings!$C$6,1,IF(Settings!$B$23="USD",1/INDEX(Settings!$B$29:$B$40,MONTH(A1358)),INDEX(Settings!$B$29:$B$40,MONTH(A1358)))))</f>
        <v/>
      </c>
    </row>
    <row r="1359" customFormat="false" ht="15" hidden="false" customHeight="false" outlineLevel="0" collapsed="false">
      <c r="H1359" s="0" t="str">
        <f aca="false">IF(B1359="","",IF(COUNTIF(Campaigns!$A$7:$A$300,B1359)&gt;0,"✓","⚠ add to Campaigns tab"))</f>
        <v/>
      </c>
      <c r="I1359" s="84" t="str">
        <f aca="false">IF(C1359="","",C1359*IF(Settings!$B$23=Settings!$C$6,1,IF(Settings!$B$23="USD",1/INDEX(Settings!$B$29:$B$40,MONTH(A1359)),INDEX(Settings!$B$29:$B$40,MONTH(A1359)))))</f>
        <v/>
      </c>
    </row>
    <row r="1360" customFormat="false" ht="15" hidden="false" customHeight="false" outlineLevel="0" collapsed="false">
      <c r="H1360" s="0" t="str">
        <f aca="false">IF(B1360="","",IF(COUNTIF(Campaigns!$A$7:$A$300,B1360)&gt;0,"✓","⚠ add to Campaigns tab"))</f>
        <v/>
      </c>
      <c r="I1360" s="84" t="str">
        <f aca="false">IF(C1360="","",C1360*IF(Settings!$B$23=Settings!$C$6,1,IF(Settings!$B$23="USD",1/INDEX(Settings!$B$29:$B$40,MONTH(A1360)),INDEX(Settings!$B$29:$B$40,MONTH(A1360)))))</f>
        <v/>
      </c>
    </row>
    <row r="1361" customFormat="false" ht="15" hidden="false" customHeight="false" outlineLevel="0" collapsed="false">
      <c r="H1361" s="0" t="str">
        <f aca="false">IF(B1361="","",IF(COUNTIF(Campaigns!$A$7:$A$300,B1361)&gt;0,"✓","⚠ add to Campaigns tab"))</f>
        <v/>
      </c>
      <c r="I1361" s="84" t="str">
        <f aca="false">IF(C1361="","",C1361*IF(Settings!$B$23=Settings!$C$6,1,IF(Settings!$B$23="USD",1/INDEX(Settings!$B$29:$B$40,MONTH(A1361)),INDEX(Settings!$B$29:$B$40,MONTH(A1361)))))</f>
        <v/>
      </c>
    </row>
    <row r="1362" customFormat="false" ht="15" hidden="false" customHeight="false" outlineLevel="0" collapsed="false">
      <c r="H1362" s="0" t="str">
        <f aca="false">IF(B1362="","",IF(COUNTIF(Campaigns!$A$7:$A$300,B1362)&gt;0,"✓","⚠ add to Campaigns tab"))</f>
        <v/>
      </c>
      <c r="I1362" s="84" t="str">
        <f aca="false">IF(C1362="","",C1362*IF(Settings!$B$23=Settings!$C$6,1,IF(Settings!$B$23="USD",1/INDEX(Settings!$B$29:$B$40,MONTH(A1362)),INDEX(Settings!$B$29:$B$40,MONTH(A1362)))))</f>
        <v/>
      </c>
    </row>
    <row r="1363" customFormat="false" ht="15" hidden="false" customHeight="false" outlineLevel="0" collapsed="false">
      <c r="H1363" s="0" t="str">
        <f aca="false">IF(B1363="","",IF(COUNTIF(Campaigns!$A$7:$A$300,B1363)&gt;0,"✓","⚠ add to Campaigns tab"))</f>
        <v/>
      </c>
      <c r="I1363" s="84" t="str">
        <f aca="false">IF(C1363="","",C1363*IF(Settings!$B$23=Settings!$C$6,1,IF(Settings!$B$23="USD",1/INDEX(Settings!$B$29:$B$40,MONTH(A1363)),INDEX(Settings!$B$29:$B$40,MONTH(A1363)))))</f>
        <v/>
      </c>
    </row>
    <row r="1364" customFormat="false" ht="15" hidden="false" customHeight="false" outlineLevel="0" collapsed="false">
      <c r="H1364" s="0" t="str">
        <f aca="false">IF(B1364="","",IF(COUNTIF(Campaigns!$A$7:$A$300,B1364)&gt;0,"✓","⚠ add to Campaigns tab"))</f>
        <v/>
      </c>
      <c r="I1364" s="84" t="str">
        <f aca="false">IF(C1364="","",C1364*IF(Settings!$B$23=Settings!$C$6,1,IF(Settings!$B$23="USD",1/INDEX(Settings!$B$29:$B$40,MONTH(A1364)),INDEX(Settings!$B$29:$B$40,MONTH(A1364)))))</f>
        <v/>
      </c>
    </row>
    <row r="1365" customFormat="false" ht="15" hidden="false" customHeight="false" outlineLevel="0" collapsed="false">
      <c r="H1365" s="0" t="str">
        <f aca="false">IF(B1365="","",IF(COUNTIF(Campaigns!$A$7:$A$300,B1365)&gt;0,"✓","⚠ add to Campaigns tab"))</f>
        <v/>
      </c>
      <c r="I1365" s="84" t="str">
        <f aca="false">IF(C1365="","",C1365*IF(Settings!$B$23=Settings!$C$6,1,IF(Settings!$B$23="USD",1/INDEX(Settings!$B$29:$B$40,MONTH(A1365)),INDEX(Settings!$B$29:$B$40,MONTH(A1365)))))</f>
        <v/>
      </c>
    </row>
    <row r="1366" customFormat="false" ht="15" hidden="false" customHeight="false" outlineLevel="0" collapsed="false">
      <c r="H1366" s="0" t="str">
        <f aca="false">IF(B1366="","",IF(COUNTIF(Campaigns!$A$7:$A$300,B1366)&gt;0,"✓","⚠ add to Campaigns tab"))</f>
        <v/>
      </c>
      <c r="I1366" s="84" t="str">
        <f aca="false">IF(C1366="","",C1366*IF(Settings!$B$23=Settings!$C$6,1,IF(Settings!$B$23="USD",1/INDEX(Settings!$B$29:$B$40,MONTH(A1366)),INDEX(Settings!$B$29:$B$40,MONTH(A1366)))))</f>
        <v/>
      </c>
    </row>
    <row r="1367" customFormat="false" ht="15" hidden="false" customHeight="false" outlineLevel="0" collapsed="false">
      <c r="H1367" s="0" t="str">
        <f aca="false">IF(B1367="","",IF(COUNTIF(Campaigns!$A$7:$A$300,B1367)&gt;0,"✓","⚠ add to Campaigns tab"))</f>
        <v/>
      </c>
      <c r="I1367" s="84" t="str">
        <f aca="false">IF(C1367="","",C1367*IF(Settings!$B$23=Settings!$C$6,1,IF(Settings!$B$23="USD",1/INDEX(Settings!$B$29:$B$40,MONTH(A1367)),INDEX(Settings!$B$29:$B$40,MONTH(A1367)))))</f>
        <v/>
      </c>
    </row>
    <row r="1368" customFormat="false" ht="15" hidden="false" customHeight="false" outlineLevel="0" collapsed="false">
      <c r="H1368" s="0" t="str">
        <f aca="false">IF(B1368="","",IF(COUNTIF(Campaigns!$A$7:$A$300,B1368)&gt;0,"✓","⚠ add to Campaigns tab"))</f>
        <v/>
      </c>
      <c r="I1368" s="84" t="str">
        <f aca="false">IF(C1368="","",C1368*IF(Settings!$B$23=Settings!$C$6,1,IF(Settings!$B$23="USD",1/INDEX(Settings!$B$29:$B$40,MONTH(A1368)),INDEX(Settings!$B$29:$B$40,MONTH(A1368)))))</f>
        <v/>
      </c>
    </row>
    <row r="1369" customFormat="false" ht="15" hidden="false" customHeight="false" outlineLevel="0" collapsed="false">
      <c r="H1369" s="0" t="str">
        <f aca="false">IF(B1369="","",IF(COUNTIF(Campaigns!$A$7:$A$300,B1369)&gt;0,"✓","⚠ add to Campaigns tab"))</f>
        <v/>
      </c>
      <c r="I1369" s="84" t="str">
        <f aca="false">IF(C1369="","",C1369*IF(Settings!$B$23=Settings!$C$6,1,IF(Settings!$B$23="USD",1/INDEX(Settings!$B$29:$B$40,MONTH(A1369)),INDEX(Settings!$B$29:$B$40,MONTH(A1369)))))</f>
        <v/>
      </c>
    </row>
    <row r="1370" customFormat="false" ht="15" hidden="false" customHeight="false" outlineLevel="0" collapsed="false">
      <c r="H1370" s="0" t="str">
        <f aca="false">IF(B1370="","",IF(COUNTIF(Campaigns!$A$7:$A$300,B1370)&gt;0,"✓","⚠ add to Campaigns tab"))</f>
        <v/>
      </c>
      <c r="I1370" s="84" t="str">
        <f aca="false">IF(C1370="","",C1370*IF(Settings!$B$23=Settings!$C$6,1,IF(Settings!$B$23="USD",1/INDEX(Settings!$B$29:$B$40,MONTH(A1370)),INDEX(Settings!$B$29:$B$40,MONTH(A1370)))))</f>
        <v/>
      </c>
    </row>
    <row r="1371" customFormat="false" ht="15" hidden="false" customHeight="false" outlineLevel="0" collapsed="false">
      <c r="H1371" s="0" t="str">
        <f aca="false">IF(B1371="","",IF(COUNTIF(Campaigns!$A$7:$A$300,B1371)&gt;0,"✓","⚠ add to Campaigns tab"))</f>
        <v/>
      </c>
      <c r="I1371" s="84" t="str">
        <f aca="false">IF(C1371="","",C1371*IF(Settings!$B$23=Settings!$C$6,1,IF(Settings!$B$23="USD",1/INDEX(Settings!$B$29:$B$40,MONTH(A1371)),INDEX(Settings!$B$29:$B$40,MONTH(A1371)))))</f>
        <v/>
      </c>
    </row>
    <row r="1372" customFormat="false" ht="15" hidden="false" customHeight="false" outlineLevel="0" collapsed="false">
      <c r="H1372" s="0" t="str">
        <f aca="false">IF(B1372="","",IF(COUNTIF(Campaigns!$A$7:$A$300,B1372)&gt;0,"✓","⚠ add to Campaigns tab"))</f>
        <v/>
      </c>
      <c r="I1372" s="84" t="str">
        <f aca="false">IF(C1372="","",C1372*IF(Settings!$B$23=Settings!$C$6,1,IF(Settings!$B$23="USD",1/INDEX(Settings!$B$29:$B$40,MONTH(A1372)),INDEX(Settings!$B$29:$B$40,MONTH(A1372)))))</f>
        <v/>
      </c>
    </row>
    <row r="1373" customFormat="false" ht="15" hidden="false" customHeight="false" outlineLevel="0" collapsed="false">
      <c r="H1373" s="0" t="str">
        <f aca="false">IF(B1373="","",IF(COUNTIF(Campaigns!$A$7:$A$300,B1373)&gt;0,"✓","⚠ add to Campaigns tab"))</f>
        <v/>
      </c>
      <c r="I1373" s="84" t="str">
        <f aca="false">IF(C1373="","",C1373*IF(Settings!$B$23=Settings!$C$6,1,IF(Settings!$B$23="USD",1/INDEX(Settings!$B$29:$B$40,MONTH(A1373)),INDEX(Settings!$B$29:$B$40,MONTH(A1373)))))</f>
        <v/>
      </c>
    </row>
    <row r="1374" customFormat="false" ht="15" hidden="false" customHeight="false" outlineLevel="0" collapsed="false">
      <c r="H1374" s="0" t="str">
        <f aca="false">IF(B1374="","",IF(COUNTIF(Campaigns!$A$7:$A$300,B1374)&gt;0,"✓","⚠ add to Campaigns tab"))</f>
        <v/>
      </c>
      <c r="I1374" s="84" t="str">
        <f aca="false">IF(C1374="","",C1374*IF(Settings!$B$23=Settings!$C$6,1,IF(Settings!$B$23="USD",1/INDEX(Settings!$B$29:$B$40,MONTH(A1374)),INDEX(Settings!$B$29:$B$40,MONTH(A1374)))))</f>
        <v/>
      </c>
    </row>
    <row r="1375" customFormat="false" ht="15" hidden="false" customHeight="false" outlineLevel="0" collapsed="false">
      <c r="H1375" s="0" t="str">
        <f aca="false">IF(B1375="","",IF(COUNTIF(Campaigns!$A$7:$A$300,B1375)&gt;0,"✓","⚠ add to Campaigns tab"))</f>
        <v/>
      </c>
      <c r="I1375" s="84" t="str">
        <f aca="false">IF(C1375="","",C1375*IF(Settings!$B$23=Settings!$C$6,1,IF(Settings!$B$23="USD",1/INDEX(Settings!$B$29:$B$40,MONTH(A1375)),INDEX(Settings!$B$29:$B$40,MONTH(A1375)))))</f>
        <v/>
      </c>
    </row>
    <row r="1376" customFormat="false" ht="15" hidden="false" customHeight="false" outlineLevel="0" collapsed="false">
      <c r="H1376" s="0" t="str">
        <f aca="false">IF(B1376="","",IF(COUNTIF(Campaigns!$A$7:$A$300,B1376)&gt;0,"✓","⚠ add to Campaigns tab"))</f>
        <v/>
      </c>
      <c r="I1376" s="84" t="str">
        <f aca="false">IF(C1376="","",C1376*IF(Settings!$B$23=Settings!$C$6,1,IF(Settings!$B$23="USD",1/INDEX(Settings!$B$29:$B$40,MONTH(A1376)),INDEX(Settings!$B$29:$B$40,MONTH(A1376)))))</f>
        <v/>
      </c>
    </row>
    <row r="1377" customFormat="false" ht="15" hidden="false" customHeight="false" outlineLevel="0" collapsed="false">
      <c r="H1377" s="0" t="str">
        <f aca="false">IF(B1377="","",IF(COUNTIF(Campaigns!$A$7:$A$300,B1377)&gt;0,"✓","⚠ add to Campaigns tab"))</f>
        <v/>
      </c>
      <c r="I1377" s="84" t="str">
        <f aca="false">IF(C1377="","",C1377*IF(Settings!$B$23=Settings!$C$6,1,IF(Settings!$B$23="USD",1/INDEX(Settings!$B$29:$B$40,MONTH(A1377)),INDEX(Settings!$B$29:$B$40,MONTH(A1377)))))</f>
        <v/>
      </c>
    </row>
    <row r="1378" customFormat="false" ht="15" hidden="false" customHeight="false" outlineLevel="0" collapsed="false">
      <c r="H1378" s="0" t="str">
        <f aca="false">IF(B1378="","",IF(COUNTIF(Campaigns!$A$7:$A$300,B1378)&gt;0,"✓","⚠ add to Campaigns tab"))</f>
        <v/>
      </c>
      <c r="I1378" s="84" t="str">
        <f aca="false">IF(C1378="","",C1378*IF(Settings!$B$23=Settings!$C$6,1,IF(Settings!$B$23="USD",1/INDEX(Settings!$B$29:$B$40,MONTH(A1378)),INDEX(Settings!$B$29:$B$40,MONTH(A1378)))))</f>
        <v/>
      </c>
    </row>
    <row r="1379" customFormat="false" ht="15" hidden="false" customHeight="false" outlineLevel="0" collapsed="false">
      <c r="H1379" s="0" t="str">
        <f aca="false">IF(B1379="","",IF(COUNTIF(Campaigns!$A$7:$A$300,B1379)&gt;0,"✓","⚠ add to Campaigns tab"))</f>
        <v/>
      </c>
      <c r="I1379" s="84" t="str">
        <f aca="false">IF(C1379="","",C1379*IF(Settings!$B$23=Settings!$C$6,1,IF(Settings!$B$23="USD",1/INDEX(Settings!$B$29:$B$40,MONTH(A1379)),INDEX(Settings!$B$29:$B$40,MONTH(A1379)))))</f>
        <v/>
      </c>
    </row>
    <row r="1380" customFormat="false" ht="15" hidden="false" customHeight="false" outlineLevel="0" collapsed="false">
      <c r="H1380" s="0" t="str">
        <f aca="false">IF(B1380="","",IF(COUNTIF(Campaigns!$A$7:$A$300,B1380)&gt;0,"✓","⚠ add to Campaigns tab"))</f>
        <v/>
      </c>
      <c r="I1380" s="84" t="str">
        <f aca="false">IF(C1380="","",C1380*IF(Settings!$B$23=Settings!$C$6,1,IF(Settings!$B$23="USD",1/INDEX(Settings!$B$29:$B$40,MONTH(A1380)),INDEX(Settings!$B$29:$B$40,MONTH(A1380)))))</f>
        <v/>
      </c>
    </row>
    <row r="1381" customFormat="false" ht="15" hidden="false" customHeight="false" outlineLevel="0" collapsed="false">
      <c r="H1381" s="0" t="str">
        <f aca="false">IF(B1381="","",IF(COUNTIF(Campaigns!$A$7:$A$300,B1381)&gt;0,"✓","⚠ add to Campaigns tab"))</f>
        <v/>
      </c>
      <c r="I1381" s="84" t="str">
        <f aca="false">IF(C1381="","",C1381*IF(Settings!$B$23=Settings!$C$6,1,IF(Settings!$B$23="USD",1/INDEX(Settings!$B$29:$B$40,MONTH(A1381)),INDEX(Settings!$B$29:$B$40,MONTH(A1381)))))</f>
        <v/>
      </c>
    </row>
    <row r="1382" customFormat="false" ht="15" hidden="false" customHeight="false" outlineLevel="0" collapsed="false">
      <c r="H1382" s="0" t="str">
        <f aca="false">IF(B1382="","",IF(COUNTIF(Campaigns!$A$7:$A$300,B1382)&gt;0,"✓","⚠ add to Campaigns tab"))</f>
        <v/>
      </c>
      <c r="I1382" s="84" t="str">
        <f aca="false">IF(C1382="","",C1382*IF(Settings!$B$23=Settings!$C$6,1,IF(Settings!$B$23="USD",1/INDEX(Settings!$B$29:$B$40,MONTH(A1382)),INDEX(Settings!$B$29:$B$40,MONTH(A1382)))))</f>
        <v/>
      </c>
    </row>
    <row r="1383" customFormat="false" ht="15" hidden="false" customHeight="false" outlineLevel="0" collapsed="false">
      <c r="H1383" s="0" t="str">
        <f aca="false">IF(B1383="","",IF(COUNTIF(Campaigns!$A$7:$A$300,B1383)&gt;0,"✓","⚠ add to Campaigns tab"))</f>
        <v/>
      </c>
      <c r="I1383" s="84" t="str">
        <f aca="false">IF(C1383="","",C1383*IF(Settings!$B$23=Settings!$C$6,1,IF(Settings!$B$23="USD",1/INDEX(Settings!$B$29:$B$40,MONTH(A1383)),INDEX(Settings!$B$29:$B$40,MONTH(A1383)))))</f>
        <v/>
      </c>
    </row>
    <row r="1384" customFormat="false" ht="15" hidden="false" customHeight="false" outlineLevel="0" collapsed="false">
      <c r="H1384" s="0" t="str">
        <f aca="false">IF(B1384="","",IF(COUNTIF(Campaigns!$A$7:$A$300,B1384)&gt;0,"✓","⚠ add to Campaigns tab"))</f>
        <v/>
      </c>
      <c r="I1384" s="84" t="str">
        <f aca="false">IF(C1384="","",C1384*IF(Settings!$B$23=Settings!$C$6,1,IF(Settings!$B$23="USD",1/INDEX(Settings!$B$29:$B$40,MONTH(A1384)),INDEX(Settings!$B$29:$B$40,MONTH(A1384)))))</f>
        <v/>
      </c>
    </row>
    <row r="1385" customFormat="false" ht="15" hidden="false" customHeight="false" outlineLevel="0" collapsed="false">
      <c r="H1385" s="0" t="str">
        <f aca="false">IF(B1385="","",IF(COUNTIF(Campaigns!$A$7:$A$300,B1385)&gt;0,"✓","⚠ add to Campaigns tab"))</f>
        <v/>
      </c>
      <c r="I1385" s="84" t="str">
        <f aca="false">IF(C1385="","",C1385*IF(Settings!$B$23=Settings!$C$6,1,IF(Settings!$B$23="USD",1/INDEX(Settings!$B$29:$B$40,MONTH(A1385)),INDEX(Settings!$B$29:$B$40,MONTH(A1385)))))</f>
        <v/>
      </c>
    </row>
    <row r="1386" customFormat="false" ht="15" hidden="false" customHeight="false" outlineLevel="0" collapsed="false">
      <c r="H1386" s="0" t="str">
        <f aca="false">IF(B1386="","",IF(COUNTIF(Campaigns!$A$7:$A$300,B1386)&gt;0,"✓","⚠ add to Campaigns tab"))</f>
        <v/>
      </c>
      <c r="I1386" s="84" t="str">
        <f aca="false">IF(C1386="","",C1386*IF(Settings!$B$23=Settings!$C$6,1,IF(Settings!$B$23="USD",1/INDEX(Settings!$B$29:$B$40,MONTH(A1386)),INDEX(Settings!$B$29:$B$40,MONTH(A1386)))))</f>
        <v/>
      </c>
    </row>
    <row r="1387" customFormat="false" ht="15" hidden="false" customHeight="false" outlineLevel="0" collapsed="false">
      <c r="H1387" s="0" t="str">
        <f aca="false">IF(B1387="","",IF(COUNTIF(Campaigns!$A$7:$A$300,B1387)&gt;0,"✓","⚠ add to Campaigns tab"))</f>
        <v/>
      </c>
      <c r="I1387" s="84" t="str">
        <f aca="false">IF(C1387="","",C1387*IF(Settings!$B$23=Settings!$C$6,1,IF(Settings!$B$23="USD",1/INDEX(Settings!$B$29:$B$40,MONTH(A1387)),INDEX(Settings!$B$29:$B$40,MONTH(A1387)))))</f>
        <v/>
      </c>
    </row>
    <row r="1388" customFormat="false" ht="15" hidden="false" customHeight="false" outlineLevel="0" collapsed="false">
      <c r="H1388" s="0" t="str">
        <f aca="false">IF(B1388="","",IF(COUNTIF(Campaigns!$A$7:$A$300,B1388)&gt;0,"✓","⚠ add to Campaigns tab"))</f>
        <v/>
      </c>
      <c r="I1388" s="84" t="str">
        <f aca="false">IF(C1388="","",C1388*IF(Settings!$B$23=Settings!$C$6,1,IF(Settings!$B$23="USD",1/INDEX(Settings!$B$29:$B$40,MONTH(A1388)),INDEX(Settings!$B$29:$B$40,MONTH(A1388)))))</f>
        <v/>
      </c>
    </row>
    <row r="1389" customFormat="false" ht="15" hidden="false" customHeight="false" outlineLevel="0" collapsed="false">
      <c r="H1389" s="0" t="str">
        <f aca="false">IF(B1389="","",IF(COUNTIF(Campaigns!$A$7:$A$300,B1389)&gt;0,"✓","⚠ add to Campaigns tab"))</f>
        <v/>
      </c>
      <c r="I1389" s="84" t="str">
        <f aca="false">IF(C1389="","",C1389*IF(Settings!$B$23=Settings!$C$6,1,IF(Settings!$B$23="USD",1/INDEX(Settings!$B$29:$B$40,MONTH(A1389)),INDEX(Settings!$B$29:$B$40,MONTH(A1389)))))</f>
        <v/>
      </c>
    </row>
    <row r="1390" customFormat="false" ht="15" hidden="false" customHeight="false" outlineLevel="0" collapsed="false">
      <c r="H1390" s="0" t="str">
        <f aca="false">IF(B1390="","",IF(COUNTIF(Campaigns!$A$7:$A$300,B1390)&gt;0,"✓","⚠ add to Campaigns tab"))</f>
        <v/>
      </c>
      <c r="I1390" s="84" t="str">
        <f aca="false">IF(C1390="","",C1390*IF(Settings!$B$23=Settings!$C$6,1,IF(Settings!$B$23="USD",1/INDEX(Settings!$B$29:$B$40,MONTH(A1390)),INDEX(Settings!$B$29:$B$40,MONTH(A1390)))))</f>
        <v/>
      </c>
    </row>
    <row r="1391" customFormat="false" ht="15" hidden="false" customHeight="false" outlineLevel="0" collapsed="false">
      <c r="H1391" s="0" t="str">
        <f aca="false">IF(B1391="","",IF(COUNTIF(Campaigns!$A$7:$A$300,B1391)&gt;0,"✓","⚠ add to Campaigns tab"))</f>
        <v/>
      </c>
      <c r="I1391" s="84" t="str">
        <f aca="false">IF(C1391="","",C1391*IF(Settings!$B$23=Settings!$C$6,1,IF(Settings!$B$23="USD",1/INDEX(Settings!$B$29:$B$40,MONTH(A1391)),INDEX(Settings!$B$29:$B$40,MONTH(A1391)))))</f>
        <v/>
      </c>
    </row>
    <row r="1392" customFormat="false" ht="15" hidden="false" customHeight="false" outlineLevel="0" collapsed="false">
      <c r="H1392" s="0" t="str">
        <f aca="false">IF(B1392="","",IF(COUNTIF(Campaigns!$A$7:$A$300,B1392)&gt;0,"✓","⚠ add to Campaigns tab"))</f>
        <v/>
      </c>
      <c r="I1392" s="84" t="str">
        <f aca="false">IF(C1392="","",C1392*IF(Settings!$B$23=Settings!$C$6,1,IF(Settings!$B$23="USD",1/INDEX(Settings!$B$29:$B$40,MONTH(A1392)),INDEX(Settings!$B$29:$B$40,MONTH(A1392)))))</f>
        <v/>
      </c>
    </row>
    <row r="1393" customFormat="false" ht="15" hidden="false" customHeight="false" outlineLevel="0" collapsed="false">
      <c r="H1393" s="0" t="str">
        <f aca="false">IF(B1393="","",IF(COUNTIF(Campaigns!$A$7:$A$300,B1393)&gt;0,"✓","⚠ add to Campaigns tab"))</f>
        <v/>
      </c>
      <c r="I1393" s="84" t="str">
        <f aca="false">IF(C1393="","",C1393*IF(Settings!$B$23=Settings!$C$6,1,IF(Settings!$B$23="USD",1/INDEX(Settings!$B$29:$B$40,MONTH(A1393)),INDEX(Settings!$B$29:$B$40,MONTH(A1393)))))</f>
        <v/>
      </c>
    </row>
    <row r="1394" customFormat="false" ht="15" hidden="false" customHeight="false" outlineLevel="0" collapsed="false">
      <c r="H1394" s="0" t="str">
        <f aca="false">IF(B1394="","",IF(COUNTIF(Campaigns!$A$7:$A$300,B1394)&gt;0,"✓","⚠ add to Campaigns tab"))</f>
        <v/>
      </c>
      <c r="I1394" s="84" t="str">
        <f aca="false">IF(C1394="","",C1394*IF(Settings!$B$23=Settings!$C$6,1,IF(Settings!$B$23="USD",1/INDEX(Settings!$B$29:$B$40,MONTH(A1394)),INDEX(Settings!$B$29:$B$40,MONTH(A1394)))))</f>
        <v/>
      </c>
    </row>
    <row r="1395" customFormat="false" ht="15" hidden="false" customHeight="false" outlineLevel="0" collapsed="false">
      <c r="H1395" s="0" t="str">
        <f aca="false">IF(B1395="","",IF(COUNTIF(Campaigns!$A$7:$A$300,B1395)&gt;0,"✓","⚠ add to Campaigns tab"))</f>
        <v/>
      </c>
      <c r="I1395" s="84" t="str">
        <f aca="false">IF(C1395="","",C1395*IF(Settings!$B$23=Settings!$C$6,1,IF(Settings!$B$23="USD",1/INDEX(Settings!$B$29:$B$40,MONTH(A1395)),INDEX(Settings!$B$29:$B$40,MONTH(A1395)))))</f>
        <v/>
      </c>
    </row>
    <row r="1396" customFormat="false" ht="15" hidden="false" customHeight="false" outlineLevel="0" collapsed="false">
      <c r="H1396" s="0" t="str">
        <f aca="false">IF(B1396="","",IF(COUNTIF(Campaigns!$A$7:$A$300,B1396)&gt;0,"✓","⚠ add to Campaigns tab"))</f>
        <v/>
      </c>
      <c r="I1396" s="84" t="str">
        <f aca="false">IF(C1396="","",C1396*IF(Settings!$B$23=Settings!$C$6,1,IF(Settings!$B$23="USD",1/INDEX(Settings!$B$29:$B$40,MONTH(A1396)),INDEX(Settings!$B$29:$B$40,MONTH(A1396)))))</f>
        <v/>
      </c>
    </row>
    <row r="1397" customFormat="false" ht="15" hidden="false" customHeight="false" outlineLevel="0" collapsed="false">
      <c r="H1397" s="0" t="str">
        <f aca="false">IF(B1397="","",IF(COUNTIF(Campaigns!$A$7:$A$300,B1397)&gt;0,"✓","⚠ add to Campaigns tab"))</f>
        <v/>
      </c>
      <c r="I1397" s="84" t="str">
        <f aca="false">IF(C1397="","",C1397*IF(Settings!$B$23=Settings!$C$6,1,IF(Settings!$B$23="USD",1/INDEX(Settings!$B$29:$B$40,MONTH(A1397)),INDEX(Settings!$B$29:$B$40,MONTH(A1397)))))</f>
        <v/>
      </c>
    </row>
    <row r="1398" customFormat="false" ht="15" hidden="false" customHeight="false" outlineLevel="0" collapsed="false">
      <c r="H1398" s="0" t="str">
        <f aca="false">IF(B1398="","",IF(COUNTIF(Campaigns!$A$7:$A$300,B1398)&gt;0,"✓","⚠ add to Campaigns tab"))</f>
        <v/>
      </c>
      <c r="I1398" s="84" t="str">
        <f aca="false">IF(C1398="","",C1398*IF(Settings!$B$23=Settings!$C$6,1,IF(Settings!$B$23="USD",1/INDEX(Settings!$B$29:$B$40,MONTH(A1398)),INDEX(Settings!$B$29:$B$40,MONTH(A1398)))))</f>
        <v/>
      </c>
    </row>
    <row r="1399" customFormat="false" ht="15" hidden="false" customHeight="false" outlineLevel="0" collapsed="false">
      <c r="H1399" s="0" t="str">
        <f aca="false">IF(B1399="","",IF(COUNTIF(Campaigns!$A$7:$A$300,B1399)&gt;0,"✓","⚠ add to Campaigns tab"))</f>
        <v/>
      </c>
      <c r="I1399" s="84" t="str">
        <f aca="false">IF(C1399="","",C1399*IF(Settings!$B$23=Settings!$C$6,1,IF(Settings!$B$23="USD",1/INDEX(Settings!$B$29:$B$40,MONTH(A1399)),INDEX(Settings!$B$29:$B$40,MONTH(A1399)))))</f>
        <v/>
      </c>
    </row>
    <row r="1400" customFormat="false" ht="15" hidden="false" customHeight="false" outlineLevel="0" collapsed="false">
      <c r="H1400" s="0" t="str">
        <f aca="false">IF(B1400="","",IF(COUNTIF(Campaigns!$A$7:$A$300,B1400)&gt;0,"✓","⚠ add to Campaigns tab"))</f>
        <v/>
      </c>
      <c r="I1400" s="84" t="str">
        <f aca="false">IF(C1400="","",C1400*IF(Settings!$B$23=Settings!$C$6,1,IF(Settings!$B$23="USD",1/INDEX(Settings!$B$29:$B$40,MONTH(A1400)),INDEX(Settings!$B$29:$B$40,MONTH(A1400)))))</f>
        <v/>
      </c>
    </row>
    <row r="1401" customFormat="false" ht="15" hidden="false" customHeight="false" outlineLevel="0" collapsed="false">
      <c r="H1401" s="0" t="str">
        <f aca="false">IF(B1401="","",IF(COUNTIF(Campaigns!$A$7:$A$300,B1401)&gt;0,"✓","⚠ add to Campaigns tab"))</f>
        <v/>
      </c>
      <c r="I1401" s="84" t="str">
        <f aca="false">IF(C1401="","",C1401*IF(Settings!$B$23=Settings!$C$6,1,IF(Settings!$B$23="USD",1/INDEX(Settings!$B$29:$B$40,MONTH(A1401)),INDEX(Settings!$B$29:$B$40,MONTH(A1401)))))</f>
        <v/>
      </c>
    </row>
    <row r="1402" customFormat="false" ht="15" hidden="false" customHeight="false" outlineLevel="0" collapsed="false">
      <c r="H1402" s="0" t="str">
        <f aca="false">IF(B1402="","",IF(COUNTIF(Campaigns!$A$7:$A$300,B1402)&gt;0,"✓","⚠ add to Campaigns tab"))</f>
        <v/>
      </c>
      <c r="I1402" s="84" t="str">
        <f aca="false">IF(C1402="","",C1402*IF(Settings!$B$23=Settings!$C$6,1,IF(Settings!$B$23="USD",1/INDEX(Settings!$B$29:$B$40,MONTH(A1402)),INDEX(Settings!$B$29:$B$40,MONTH(A1402)))))</f>
        <v/>
      </c>
    </row>
    <row r="1403" customFormat="false" ht="15" hidden="false" customHeight="false" outlineLevel="0" collapsed="false">
      <c r="H1403" s="0" t="str">
        <f aca="false">IF(B1403="","",IF(COUNTIF(Campaigns!$A$7:$A$300,B1403)&gt;0,"✓","⚠ add to Campaigns tab"))</f>
        <v/>
      </c>
      <c r="I1403" s="84" t="str">
        <f aca="false">IF(C1403="","",C1403*IF(Settings!$B$23=Settings!$C$6,1,IF(Settings!$B$23="USD",1/INDEX(Settings!$B$29:$B$40,MONTH(A1403)),INDEX(Settings!$B$29:$B$40,MONTH(A1403)))))</f>
        <v/>
      </c>
    </row>
    <row r="1404" customFormat="false" ht="15" hidden="false" customHeight="false" outlineLevel="0" collapsed="false">
      <c r="H1404" s="0" t="str">
        <f aca="false">IF(B1404="","",IF(COUNTIF(Campaigns!$A$7:$A$300,B1404)&gt;0,"✓","⚠ add to Campaigns tab"))</f>
        <v/>
      </c>
      <c r="I1404" s="84" t="str">
        <f aca="false">IF(C1404="","",C1404*IF(Settings!$B$23=Settings!$C$6,1,IF(Settings!$B$23="USD",1/INDEX(Settings!$B$29:$B$40,MONTH(A1404)),INDEX(Settings!$B$29:$B$40,MONTH(A1404)))))</f>
        <v/>
      </c>
    </row>
    <row r="1405" customFormat="false" ht="15" hidden="false" customHeight="false" outlineLevel="0" collapsed="false">
      <c r="H1405" s="0" t="str">
        <f aca="false">IF(B1405="","",IF(COUNTIF(Campaigns!$A$7:$A$300,B1405)&gt;0,"✓","⚠ add to Campaigns tab"))</f>
        <v/>
      </c>
      <c r="I1405" s="84" t="str">
        <f aca="false">IF(C1405="","",C1405*IF(Settings!$B$23=Settings!$C$6,1,IF(Settings!$B$23="USD",1/INDEX(Settings!$B$29:$B$40,MONTH(A1405)),INDEX(Settings!$B$29:$B$40,MONTH(A1405)))))</f>
        <v/>
      </c>
    </row>
    <row r="1406" customFormat="false" ht="15" hidden="false" customHeight="false" outlineLevel="0" collapsed="false">
      <c r="H1406" s="0" t="str">
        <f aca="false">IF(B1406="","",IF(COUNTIF(Campaigns!$A$7:$A$300,B1406)&gt;0,"✓","⚠ add to Campaigns tab"))</f>
        <v/>
      </c>
      <c r="I1406" s="84" t="str">
        <f aca="false">IF(C1406="","",C1406*IF(Settings!$B$23=Settings!$C$6,1,IF(Settings!$B$23="USD",1/INDEX(Settings!$B$29:$B$40,MONTH(A1406)),INDEX(Settings!$B$29:$B$40,MONTH(A1406)))))</f>
        <v/>
      </c>
    </row>
    <row r="1407" customFormat="false" ht="15" hidden="false" customHeight="false" outlineLevel="0" collapsed="false">
      <c r="H1407" s="0" t="str">
        <f aca="false">IF(B1407="","",IF(COUNTIF(Campaigns!$A$7:$A$300,B1407)&gt;0,"✓","⚠ add to Campaigns tab"))</f>
        <v/>
      </c>
      <c r="I1407" s="84" t="str">
        <f aca="false">IF(C1407="","",C1407*IF(Settings!$B$23=Settings!$C$6,1,IF(Settings!$B$23="USD",1/INDEX(Settings!$B$29:$B$40,MONTH(A1407)),INDEX(Settings!$B$29:$B$40,MONTH(A1407)))))</f>
        <v/>
      </c>
    </row>
    <row r="1408" customFormat="false" ht="15" hidden="false" customHeight="false" outlineLevel="0" collapsed="false">
      <c r="H1408" s="0" t="str">
        <f aca="false">IF(B1408="","",IF(COUNTIF(Campaigns!$A$7:$A$300,B1408)&gt;0,"✓","⚠ add to Campaigns tab"))</f>
        <v/>
      </c>
      <c r="I1408" s="84" t="str">
        <f aca="false">IF(C1408="","",C1408*IF(Settings!$B$23=Settings!$C$6,1,IF(Settings!$B$23="USD",1/INDEX(Settings!$B$29:$B$40,MONTH(A1408)),INDEX(Settings!$B$29:$B$40,MONTH(A1408)))))</f>
        <v/>
      </c>
    </row>
    <row r="1409" customFormat="false" ht="15" hidden="false" customHeight="false" outlineLevel="0" collapsed="false">
      <c r="H1409" s="0" t="str">
        <f aca="false">IF(B1409="","",IF(COUNTIF(Campaigns!$A$7:$A$300,B1409)&gt;0,"✓","⚠ add to Campaigns tab"))</f>
        <v/>
      </c>
      <c r="I1409" s="84" t="str">
        <f aca="false">IF(C1409="","",C1409*IF(Settings!$B$23=Settings!$C$6,1,IF(Settings!$B$23="USD",1/INDEX(Settings!$B$29:$B$40,MONTH(A1409)),INDEX(Settings!$B$29:$B$40,MONTH(A1409)))))</f>
        <v/>
      </c>
    </row>
    <row r="1410" customFormat="false" ht="15" hidden="false" customHeight="false" outlineLevel="0" collapsed="false">
      <c r="H1410" s="0" t="str">
        <f aca="false">IF(B1410="","",IF(COUNTIF(Campaigns!$A$7:$A$300,B1410)&gt;0,"✓","⚠ add to Campaigns tab"))</f>
        <v/>
      </c>
      <c r="I1410" s="84" t="str">
        <f aca="false">IF(C1410="","",C1410*IF(Settings!$B$23=Settings!$C$6,1,IF(Settings!$B$23="USD",1/INDEX(Settings!$B$29:$B$40,MONTH(A1410)),INDEX(Settings!$B$29:$B$40,MONTH(A1410)))))</f>
        <v/>
      </c>
    </row>
    <row r="1411" customFormat="false" ht="15" hidden="false" customHeight="false" outlineLevel="0" collapsed="false">
      <c r="H1411" s="0" t="str">
        <f aca="false">IF(B1411="","",IF(COUNTIF(Campaigns!$A$7:$A$300,B1411)&gt;0,"✓","⚠ add to Campaigns tab"))</f>
        <v/>
      </c>
      <c r="I1411" s="84" t="str">
        <f aca="false">IF(C1411="","",C1411*IF(Settings!$B$23=Settings!$C$6,1,IF(Settings!$B$23="USD",1/INDEX(Settings!$B$29:$B$40,MONTH(A1411)),INDEX(Settings!$B$29:$B$40,MONTH(A1411)))))</f>
        <v/>
      </c>
    </row>
    <row r="1412" customFormat="false" ht="15" hidden="false" customHeight="false" outlineLevel="0" collapsed="false">
      <c r="H1412" s="0" t="str">
        <f aca="false">IF(B1412="","",IF(COUNTIF(Campaigns!$A$7:$A$300,B1412)&gt;0,"✓","⚠ add to Campaigns tab"))</f>
        <v/>
      </c>
      <c r="I1412" s="84" t="str">
        <f aca="false">IF(C1412="","",C1412*IF(Settings!$B$23=Settings!$C$6,1,IF(Settings!$B$23="USD",1/INDEX(Settings!$B$29:$B$40,MONTH(A1412)),INDEX(Settings!$B$29:$B$40,MONTH(A1412)))))</f>
        <v/>
      </c>
    </row>
    <row r="1413" customFormat="false" ht="15" hidden="false" customHeight="false" outlineLevel="0" collapsed="false">
      <c r="H1413" s="0" t="str">
        <f aca="false">IF(B1413="","",IF(COUNTIF(Campaigns!$A$7:$A$300,B1413)&gt;0,"✓","⚠ add to Campaigns tab"))</f>
        <v/>
      </c>
      <c r="I1413" s="84" t="str">
        <f aca="false">IF(C1413="","",C1413*IF(Settings!$B$23=Settings!$C$6,1,IF(Settings!$B$23="USD",1/INDEX(Settings!$B$29:$B$40,MONTH(A1413)),INDEX(Settings!$B$29:$B$40,MONTH(A1413)))))</f>
        <v/>
      </c>
    </row>
    <row r="1414" customFormat="false" ht="15" hidden="false" customHeight="false" outlineLevel="0" collapsed="false">
      <c r="H1414" s="0" t="str">
        <f aca="false">IF(B1414="","",IF(COUNTIF(Campaigns!$A$7:$A$300,B1414)&gt;0,"✓","⚠ add to Campaigns tab"))</f>
        <v/>
      </c>
      <c r="I1414" s="84" t="str">
        <f aca="false">IF(C1414="","",C1414*IF(Settings!$B$23=Settings!$C$6,1,IF(Settings!$B$23="USD",1/INDEX(Settings!$B$29:$B$40,MONTH(A1414)),INDEX(Settings!$B$29:$B$40,MONTH(A1414)))))</f>
        <v/>
      </c>
    </row>
    <row r="1415" customFormat="false" ht="15" hidden="false" customHeight="false" outlineLevel="0" collapsed="false">
      <c r="H1415" s="0" t="str">
        <f aca="false">IF(B1415="","",IF(COUNTIF(Campaigns!$A$7:$A$300,B1415)&gt;0,"✓","⚠ add to Campaigns tab"))</f>
        <v/>
      </c>
      <c r="I1415" s="84" t="str">
        <f aca="false">IF(C1415="","",C1415*IF(Settings!$B$23=Settings!$C$6,1,IF(Settings!$B$23="USD",1/INDEX(Settings!$B$29:$B$40,MONTH(A1415)),INDEX(Settings!$B$29:$B$40,MONTH(A1415)))))</f>
        <v/>
      </c>
    </row>
    <row r="1416" customFormat="false" ht="15" hidden="false" customHeight="false" outlineLevel="0" collapsed="false">
      <c r="H1416" s="0" t="str">
        <f aca="false">IF(B1416="","",IF(COUNTIF(Campaigns!$A$7:$A$300,B1416)&gt;0,"✓","⚠ add to Campaigns tab"))</f>
        <v/>
      </c>
      <c r="I1416" s="84" t="str">
        <f aca="false">IF(C1416="","",C1416*IF(Settings!$B$23=Settings!$C$6,1,IF(Settings!$B$23="USD",1/INDEX(Settings!$B$29:$B$40,MONTH(A1416)),INDEX(Settings!$B$29:$B$40,MONTH(A1416)))))</f>
        <v/>
      </c>
    </row>
    <row r="1417" customFormat="false" ht="15" hidden="false" customHeight="false" outlineLevel="0" collapsed="false">
      <c r="H1417" s="0" t="str">
        <f aca="false">IF(B1417="","",IF(COUNTIF(Campaigns!$A$7:$A$300,B1417)&gt;0,"✓","⚠ add to Campaigns tab"))</f>
        <v/>
      </c>
      <c r="I1417" s="84" t="str">
        <f aca="false">IF(C1417="","",C1417*IF(Settings!$B$23=Settings!$C$6,1,IF(Settings!$B$23="USD",1/INDEX(Settings!$B$29:$B$40,MONTH(A1417)),INDEX(Settings!$B$29:$B$40,MONTH(A1417)))))</f>
        <v/>
      </c>
    </row>
    <row r="1418" customFormat="false" ht="15" hidden="false" customHeight="false" outlineLevel="0" collapsed="false">
      <c r="H1418" s="0" t="str">
        <f aca="false">IF(B1418="","",IF(COUNTIF(Campaigns!$A$7:$A$300,B1418)&gt;0,"✓","⚠ add to Campaigns tab"))</f>
        <v/>
      </c>
      <c r="I1418" s="84" t="str">
        <f aca="false">IF(C1418="","",C1418*IF(Settings!$B$23=Settings!$C$6,1,IF(Settings!$B$23="USD",1/INDEX(Settings!$B$29:$B$40,MONTH(A1418)),INDEX(Settings!$B$29:$B$40,MONTH(A1418)))))</f>
        <v/>
      </c>
    </row>
    <row r="1419" customFormat="false" ht="15" hidden="false" customHeight="false" outlineLevel="0" collapsed="false">
      <c r="H1419" s="0" t="str">
        <f aca="false">IF(B1419="","",IF(COUNTIF(Campaigns!$A$7:$A$300,B1419)&gt;0,"✓","⚠ add to Campaigns tab"))</f>
        <v/>
      </c>
      <c r="I1419" s="84" t="str">
        <f aca="false">IF(C1419="","",C1419*IF(Settings!$B$23=Settings!$C$6,1,IF(Settings!$B$23="USD",1/INDEX(Settings!$B$29:$B$40,MONTH(A1419)),INDEX(Settings!$B$29:$B$40,MONTH(A1419)))))</f>
        <v/>
      </c>
    </row>
    <row r="1420" customFormat="false" ht="15" hidden="false" customHeight="false" outlineLevel="0" collapsed="false">
      <c r="H1420" s="0" t="str">
        <f aca="false">IF(B1420="","",IF(COUNTIF(Campaigns!$A$7:$A$300,B1420)&gt;0,"✓","⚠ add to Campaigns tab"))</f>
        <v/>
      </c>
      <c r="I1420" s="84" t="str">
        <f aca="false">IF(C1420="","",C1420*IF(Settings!$B$23=Settings!$C$6,1,IF(Settings!$B$23="USD",1/INDEX(Settings!$B$29:$B$40,MONTH(A1420)),INDEX(Settings!$B$29:$B$40,MONTH(A1420)))))</f>
        <v/>
      </c>
    </row>
    <row r="1421" customFormat="false" ht="15" hidden="false" customHeight="false" outlineLevel="0" collapsed="false">
      <c r="H1421" s="0" t="str">
        <f aca="false">IF(B1421="","",IF(COUNTIF(Campaigns!$A$7:$A$300,B1421)&gt;0,"✓","⚠ add to Campaigns tab"))</f>
        <v/>
      </c>
      <c r="I1421" s="84" t="str">
        <f aca="false">IF(C1421="","",C1421*IF(Settings!$B$23=Settings!$C$6,1,IF(Settings!$B$23="USD",1/INDEX(Settings!$B$29:$B$40,MONTH(A1421)),INDEX(Settings!$B$29:$B$40,MONTH(A1421)))))</f>
        <v/>
      </c>
    </row>
    <row r="1422" customFormat="false" ht="15" hidden="false" customHeight="false" outlineLevel="0" collapsed="false">
      <c r="H1422" s="0" t="str">
        <f aca="false">IF(B1422="","",IF(COUNTIF(Campaigns!$A$7:$A$300,B1422)&gt;0,"✓","⚠ add to Campaigns tab"))</f>
        <v/>
      </c>
      <c r="I1422" s="84" t="str">
        <f aca="false">IF(C1422="","",C1422*IF(Settings!$B$23=Settings!$C$6,1,IF(Settings!$B$23="USD",1/INDEX(Settings!$B$29:$B$40,MONTH(A1422)),INDEX(Settings!$B$29:$B$40,MONTH(A1422)))))</f>
        <v/>
      </c>
    </row>
    <row r="1423" customFormat="false" ht="15" hidden="false" customHeight="false" outlineLevel="0" collapsed="false">
      <c r="H1423" s="0" t="str">
        <f aca="false">IF(B1423="","",IF(COUNTIF(Campaigns!$A$7:$A$300,B1423)&gt;0,"✓","⚠ add to Campaigns tab"))</f>
        <v/>
      </c>
      <c r="I1423" s="84" t="str">
        <f aca="false">IF(C1423="","",C1423*IF(Settings!$B$23=Settings!$C$6,1,IF(Settings!$B$23="USD",1/INDEX(Settings!$B$29:$B$40,MONTH(A1423)),INDEX(Settings!$B$29:$B$40,MONTH(A1423)))))</f>
        <v/>
      </c>
    </row>
    <row r="1424" customFormat="false" ht="15" hidden="false" customHeight="false" outlineLevel="0" collapsed="false">
      <c r="H1424" s="0" t="str">
        <f aca="false">IF(B1424="","",IF(COUNTIF(Campaigns!$A$7:$A$300,B1424)&gt;0,"✓","⚠ add to Campaigns tab"))</f>
        <v/>
      </c>
      <c r="I1424" s="84" t="str">
        <f aca="false">IF(C1424="","",C1424*IF(Settings!$B$23=Settings!$C$6,1,IF(Settings!$B$23="USD",1/INDEX(Settings!$B$29:$B$40,MONTH(A1424)),INDEX(Settings!$B$29:$B$40,MONTH(A1424)))))</f>
        <v/>
      </c>
    </row>
    <row r="1425" customFormat="false" ht="15" hidden="false" customHeight="false" outlineLevel="0" collapsed="false">
      <c r="H1425" s="0" t="str">
        <f aca="false">IF(B1425="","",IF(COUNTIF(Campaigns!$A$7:$A$300,B1425)&gt;0,"✓","⚠ add to Campaigns tab"))</f>
        <v/>
      </c>
      <c r="I1425" s="84" t="str">
        <f aca="false">IF(C1425="","",C1425*IF(Settings!$B$23=Settings!$C$6,1,IF(Settings!$B$23="USD",1/INDEX(Settings!$B$29:$B$40,MONTH(A1425)),INDEX(Settings!$B$29:$B$40,MONTH(A1425)))))</f>
        <v/>
      </c>
    </row>
    <row r="1426" customFormat="false" ht="15" hidden="false" customHeight="false" outlineLevel="0" collapsed="false">
      <c r="H1426" s="0" t="str">
        <f aca="false">IF(B1426="","",IF(COUNTIF(Campaigns!$A$7:$A$300,B1426)&gt;0,"✓","⚠ add to Campaigns tab"))</f>
        <v/>
      </c>
      <c r="I1426" s="84" t="str">
        <f aca="false">IF(C1426="","",C1426*IF(Settings!$B$23=Settings!$C$6,1,IF(Settings!$B$23="USD",1/INDEX(Settings!$B$29:$B$40,MONTH(A1426)),INDEX(Settings!$B$29:$B$40,MONTH(A1426)))))</f>
        <v/>
      </c>
    </row>
    <row r="1427" customFormat="false" ht="15" hidden="false" customHeight="false" outlineLevel="0" collapsed="false">
      <c r="H1427" s="0" t="str">
        <f aca="false">IF(B1427="","",IF(COUNTIF(Campaigns!$A$7:$A$300,B1427)&gt;0,"✓","⚠ add to Campaigns tab"))</f>
        <v/>
      </c>
      <c r="I1427" s="84" t="str">
        <f aca="false">IF(C1427="","",C1427*IF(Settings!$B$23=Settings!$C$6,1,IF(Settings!$B$23="USD",1/INDEX(Settings!$B$29:$B$40,MONTH(A1427)),INDEX(Settings!$B$29:$B$40,MONTH(A1427)))))</f>
        <v/>
      </c>
    </row>
    <row r="1428" customFormat="false" ht="15" hidden="false" customHeight="false" outlineLevel="0" collapsed="false">
      <c r="H1428" s="0" t="str">
        <f aca="false">IF(B1428="","",IF(COUNTIF(Campaigns!$A$7:$A$300,B1428)&gt;0,"✓","⚠ add to Campaigns tab"))</f>
        <v/>
      </c>
      <c r="I1428" s="84" t="str">
        <f aca="false">IF(C1428="","",C1428*IF(Settings!$B$23=Settings!$C$6,1,IF(Settings!$B$23="USD",1/INDEX(Settings!$B$29:$B$40,MONTH(A1428)),INDEX(Settings!$B$29:$B$40,MONTH(A1428)))))</f>
        <v/>
      </c>
    </row>
    <row r="1429" customFormat="false" ht="15" hidden="false" customHeight="false" outlineLevel="0" collapsed="false">
      <c r="H1429" s="0" t="str">
        <f aca="false">IF(B1429="","",IF(COUNTIF(Campaigns!$A$7:$A$300,B1429)&gt;0,"✓","⚠ add to Campaigns tab"))</f>
        <v/>
      </c>
      <c r="I1429" s="84" t="str">
        <f aca="false">IF(C1429="","",C1429*IF(Settings!$B$23=Settings!$C$6,1,IF(Settings!$B$23="USD",1/INDEX(Settings!$B$29:$B$40,MONTH(A1429)),INDEX(Settings!$B$29:$B$40,MONTH(A1429)))))</f>
        <v/>
      </c>
    </row>
    <row r="1430" customFormat="false" ht="15" hidden="false" customHeight="false" outlineLevel="0" collapsed="false">
      <c r="H1430" s="0" t="str">
        <f aca="false">IF(B1430="","",IF(COUNTIF(Campaigns!$A$7:$A$300,B1430)&gt;0,"✓","⚠ add to Campaigns tab"))</f>
        <v/>
      </c>
      <c r="I1430" s="84" t="str">
        <f aca="false">IF(C1430="","",C1430*IF(Settings!$B$23=Settings!$C$6,1,IF(Settings!$B$23="USD",1/INDEX(Settings!$B$29:$B$40,MONTH(A1430)),INDEX(Settings!$B$29:$B$40,MONTH(A1430)))))</f>
        <v/>
      </c>
    </row>
    <row r="1431" customFormat="false" ht="15" hidden="false" customHeight="false" outlineLevel="0" collapsed="false">
      <c r="H1431" s="0" t="str">
        <f aca="false">IF(B1431="","",IF(COUNTIF(Campaigns!$A$7:$A$300,B1431)&gt;0,"✓","⚠ add to Campaigns tab"))</f>
        <v/>
      </c>
      <c r="I1431" s="84" t="str">
        <f aca="false">IF(C1431="","",C1431*IF(Settings!$B$23=Settings!$C$6,1,IF(Settings!$B$23="USD",1/INDEX(Settings!$B$29:$B$40,MONTH(A1431)),INDEX(Settings!$B$29:$B$40,MONTH(A1431)))))</f>
        <v/>
      </c>
    </row>
    <row r="1432" customFormat="false" ht="15" hidden="false" customHeight="false" outlineLevel="0" collapsed="false">
      <c r="H1432" s="0" t="str">
        <f aca="false">IF(B1432="","",IF(COUNTIF(Campaigns!$A$7:$A$300,B1432)&gt;0,"✓","⚠ add to Campaigns tab"))</f>
        <v/>
      </c>
      <c r="I1432" s="84" t="str">
        <f aca="false">IF(C1432="","",C1432*IF(Settings!$B$23=Settings!$C$6,1,IF(Settings!$B$23="USD",1/INDEX(Settings!$B$29:$B$40,MONTH(A1432)),INDEX(Settings!$B$29:$B$40,MONTH(A1432)))))</f>
        <v/>
      </c>
    </row>
    <row r="1433" customFormat="false" ht="15" hidden="false" customHeight="false" outlineLevel="0" collapsed="false">
      <c r="H1433" s="0" t="str">
        <f aca="false">IF(B1433="","",IF(COUNTIF(Campaigns!$A$7:$A$300,B1433)&gt;0,"✓","⚠ add to Campaigns tab"))</f>
        <v/>
      </c>
      <c r="I1433" s="84" t="str">
        <f aca="false">IF(C1433="","",C1433*IF(Settings!$B$23=Settings!$C$6,1,IF(Settings!$B$23="USD",1/INDEX(Settings!$B$29:$B$40,MONTH(A1433)),INDEX(Settings!$B$29:$B$40,MONTH(A1433)))))</f>
        <v/>
      </c>
    </row>
    <row r="1434" customFormat="false" ht="15" hidden="false" customHeight="false" outlineLevel="0" collapsed="false">
      <c r="H1434" s="0" t="str">
        <f aca="false">IF(B1434="","",IF(COUNTIF(Campaigns!$A$7:$A$300,B1434)&gt;0,"✓","⚠ add to Campaigns tab"))</f>
        <v/>
      </c>
      <c r="I1434" s="84" t="str">
        <f aca="false">IF(C1434="","",C1434*IF(Settings!$B$23=Settings!$C$6,1,IF(Settings!$B$23="USD",1/INDEX(Settings!$B$29:$B$40,MONTH(A1434)),INDEX(Settings!$B$29:$B$40,MONTH(A1434)))))</f>
        <v/>
      </c>
    </row>
    <row r="1435" customFormat="false" ht="15" hidden="false" customHeight="false" outlineLevel="0" collapsed="false">
      <c r="H1435" s="0" t="str">
        <f aca="false">IF(B1435="","",IF(COUNTIF(Campaigns!$A$7:$A$300,B1435)&gt;0,"✓","⚠ add to Campaigns tab"))</f>
        <v/>
      </c>
      <c r="I1435" s="84" t="str">
        <f aca="false">IF(C1435="","",C1435*IF(Settings!$B$23=Settings!$C$6,1,IF(Settings!$B$23="USD",1/INDEX(Settings!$B$29:$B$40,MONTH(A1435)),INDEX(Settings!$B$29:$B$40,MONTH(A1435)))))</f>
        <v/>
      </c>
    </row>
    <row r="1436" customFormat="false" ht="15" hidden="false" customHeight="false" outlineLevel="0" collapsed="false">
      <c r="H1436" s="0" t="str">
        <f aca="false">IF(B1436="","",IF(COUNTIF(Campaigns!$A$7:$A$300,B1436)&gt;0,"✓","⚠ add to Campaigns tab"))</f>
        <v/>
      </c>
      <c r="I1436" s="84" t="str">
        <f aca="false">IF(C1436="","",C1436*IF(Settings!$B$23=Settings!$C$6,1,IF(Settings!$B$23="USD",1/INDEX(Settings!$B$29:$B$40,MONTH(A1436)),INDEX(Settings!$B$29:$B$40,MONTH(A1436)))))</f>
        <v/>
      </c>
    </row>
    <row r="1437" customFormat="false" ht="15" hidden="false" customHeight="false" outlineLevel="0" collapsed="false">
      <c r="H1437" s="0" t="str">
        <f aca="false">IF(B1437="","",IF(COUNTIF(Campaigns!$A$7:$A$300,B1437)&gt;0,"✓","⚠ add to Campaigns tab"))</f>
        <v/>
      </c>
      <c r="I1437" s="84" t="str">
        <f aca="false">IF(C1437="","",C1437*IF(Settings!$B$23=Settings!$C$6,1,IF(Settings!$B$23="USD",1/INDEX(Settings!$B$29:$B$40,MONTH(A1437)),INDEX(Settings!$B$29:$B$40,MONTH(A1437)))))</f>
        <v/>
      </c>
    </row>
    <row r="1438" customFormat="false" ht="15" hidden="false" customHeight="false" outlineLevel="0" collapsed="false">
      <c r="H1438" s="0" t="str">
        <f aca="false">IF(B1438="","",IF(COUNTIF(Campaigns!$A$7:$A$300,B1438)&gt;0,"✓","⚠ add to Campaigns tab"))</f>
        <v/>
      </c>
      <c r="I1438" s="84" t="str">
        <f aca="false">IF(C1438="","",C1438*IF(Settings!$B$23=Settings!$C$6,1,IF(Settings!$B$23="USD",1/INDEX(Settings!$B$29:$B$40,MONTH(A1438)),INDEX(Settings!$B$29:$B$40,MONTH(A1438)))))</f>
        <v/>
      </c>
    </row>
    <row r="1439" customFormat="false" ht="15" hidden="false" customHeight="false" outlineLevel="0" collapsed="false">
      <c r="H1439" s="0" t="str">
        <f aca="false">IF(B1439="","",IF(COUNTIF(Campaigns!$A$7:$A$300,B1439)&gt;0,"✓","⚠ add to Campaigns tab"))</f>
        <v/>
      </c>
      <c r="I1439" s="84" t="str">
        <f aca="false">IF(C1439="","",C1439*IF(Settings!$B$23=Settings!$C$6,1,IF(Settings!$B$23="USD",1/INDEX(Settings!$B$29:$B$40,MONTH(A1439)),INDEX(Settings!$B$29:$B$40,MONTH(A1439)))))</f>
        <v/>
      </c>
    </row>
    <row r="1440" customFormat="false" ht="15" hidden="false" customHeight="false" outlineLevel="0" collapsed="false">
      <c r="H1440" s="0" t="str">
        <f aca="false">IF(B1440="","",IF(COUNTIF(Campaigns!$A$7:$A$300,B1440)&gt;0,"✓","⚠ add to Campaigns tab"))</f>
        <v/>
      </c>
      <c r="I1440" s="84" t="str">
        <f aca="false">IF(C1440="","",C1440*IF(Settings!$B$23=Settings!$C$6,1,IF(Settings!$B$23="USD",1/INDEX(Settings!$B$29:$B$40,MONTH(A1440)),INDEX(Settings!$B$29:$B$40,MONTH(A1440)))))</f>
        <v/>
      </c>
    </row>
    <row r="1441" customFormat="false" ht="15" hidden="false" customHeight="false" outlineLevel="0" collapsed="false">
      <c r="H1441" s="0" t="str">
        <f aca="false">IF(B1441="","",IF(COUNTIF(Campaigns!$A$7:$A$300,B1441)&gt;0,"✓","⚠ add to Campaigns tab"))</f>
        <v/>
      </c>
      <c r="I1441" s="84" t="str">
        <f aca="false">IF(C1441="","",C1441*IF(Settings!$B$23=Settings!$C$6,1,IF(Settings!$B$23="USD",1/INDEX(Settings!$B$29:$B$40,MONTH(A1441)),INDEX(Settings!$B$29:$B$40,MONTH(A1441)))))</f>
        <v/>
      </c>
    </row>
    <row r="1442" customFormat="false" ht="15" hidden="false" customHeight="false" outlineLevel="0" collapsed="false">
      <c r="H1442" s="0" t="str">
        <f aca="false">IF(B1442="","",IF(COUNTIF(Campaigns!$A$7:$A$300,B1442)&gt;0,"✓","⚠ add to Campaigns tab"))</f>
        <v/>
      </c>
      <c r="I1442" s="84" t="str">
        <f aca="false">IF(C1442="","",C1442*IF(Settings!$B$23=Settings!$C$6,1,IF(Settings!$B$23="USD",1/INDEX(Settings!$B$29:$B$40,MONTH(A1442)),INDEX(Settings!$B$29:$B$40,MONTH(A1442)))))</f>
        <v/>
      </c>
    </row>
    <row r="1443" customFormat="false" ht="15" hidden="false" customHeight="false" outlineLevel="0" collapsed="false">
      <c r="H1443" s="0" t="str">
        <f aca="false">IF(B1443="","",IF(COUNTIF(Campaigns!$A$7:$A$300,B1443)&gt;0,"✓","⚠ add to Campaigns tab"))</f>
        <v/>
      </c>
      <c r="I1443" s="84" t="str">
        <f aca="false">IF(C1443="","",C1443*IF(Settings!$B$23=Settings!$C$6,1,IF(Settings!$B$23="USD",1/INDEX(Settings!$B$29:$B$40,MONTH(A1443)),INDEX(Settings!$B$29:$B$40,MONTH(A1443)))))</f>
        <v/>
      </c>
    </row>
    <row r="1444" customFormat="false" ht="15" hidden="false" customHeight="false" outlineLevel="0" collapsed="false">
      <c r="H1444" s="0" t="str">
        <f aca="false">IF(B1444="","",IF(COUNTIF(Campaigns!$A$7:$A$300,B1444)&gt;0,"✓","⚠ add to Campaigns tab"))</f>
        <v/>
      </c>
      <c r="I1444" s="84" t="str">
        <f aca="false">IF(C1444="","",C1444*IF(Settings!$B$23=Settings!$C$6,1,IF(Settings!$B$23="USD",1/INDEX(Settings!$B$29:$B$40,MONTH(A1444)),INDEX(Settings!$B$29:$B$40,MONTH(A1444)))))</f>
        <v/>
      </c>
    </row>
    <row r="1445" customFormat="false" ht="15" hidden="false" customHeight="false" outlineLevel="0" collapsed="false">
      <c r="H1445" s="0" t="str">
        <f aca="false">IF(B1445="","",IF(COUNTIF(Campaigns!$A$7:$A$300,B1445)&gt;0,"✓","⚠ add to Campaigns tab"))</f>
        <v/>
      </c>
      <c r="I1445" s="84" t="str">
        <f aca="false">IF(C1445="","",C1445*IF(Settings!$B$23=Settings!$C$6,1,IF(Settings!$B$23="USD",1/INDEX(Settings!$B$29:$B$40,MONTH(A1445)),INDEX(Settings!$B$29:$B$40,MONTH(A1445)))))</f>
        <v/>
      </c>
    </row>
    <row r="1446" customFormat="false" ht="15" hidden="false" customHeight="false" outlineLevel="0" collapsed="false">
      <c r="H1446" s="0" t="str">
        <f aca="false">IF(B1446="","",IF(COUNTIF(Campaigns!$A$7:$A$300,B1446)&gt;0,"✓","⚠ add to Campaigns tab"))</f>
        <v/>
      </c>
      <c r="I1446" s="84" t="str">
        <f aca="false">IF(C1446="","",C1446*IF(Settings!$B$23=Settings!$C$6,1,IF(Settings!$B$23="USD",1/INDEX(Settings!$B$29:$B$40,MONTH(A1446)),INDEX(Settings!$B$29:$B$40,MONTH(A1446)))))</f>
        <v/>
      </c>
    </row>
    <row r="1447" customFormat="false" ht="15" hidden="false" customHeight="false" outlineLevel="0" collapsed="false">
      <c r="H1447" s="0" t="str">
        <f aca="false">IF(B1447="","",IF(COUNTIF(Campaigns!$A$7:$A$300,B1447)&gt;0,"✓","⚠ add to Campaigns tab"))</f>
        <v/>
      </c>
      <c r="I1447" s="84" t="str">
        <f aca="false">IF(C1447="","",C1447*IF(Settings!$B$23=Settings!$C$6,1,IF(Settings!$B$23="USD",1/INDEX(Settings!$B$29:$B$40,MONTH(A1447)),INDEX(Settings!$B$29:$B$40,MONTH(A1447)))))</f>
        <v/>
      </c>
    </row>
    <row r="1448" customFormat="false" ht="15" hidden="false" customHeight="false" outlineLevel="0" collapsed="false">
      <c r="H1448" s="0" t="str">
        <f aca="false">IF(B1448="","",IF(COUNTIF(Campaigns!$A$7:$A$300,B1448)&gt;0,"✓","⚠ add to Campaigns tab"))</f>
        <v/>
      </c>
      <c r="I1448" s="84" t="str">
        <f aca="false">IF(C1448="","",C1448*IF(Settings!$B$23=Settings!$C$6,1,IF(Settings!$B$23="USD",1/INDEX(Settings!$B$29:$B$40,MONTH(A1448)),INDEX(Settings!$B$29:$B$40,MONTH(A1448)))))</f>
        <v/>
      </c>
    </row>
    <row r="1449" customFormat="false" ht="15" hidden="false" customHeight="false" outlineLevel="0" collapsed="false">
      <c r="H1449" s="0" t="str">
        <f aca="false">IF(B1449="","",IF(COUNTIF(Campaigns!$A$7:$A$300,B1449)&gt;0,"✓","⚠ add to Campaigns tab"))</f>
        <v/>
      </c>
      <c r="I1449" s="84" t="str">
        <f aca="false">IF(C1449="","",C1449*IF(Settings!$B$23=Settings!$C$6,1,IF(Settings!$B$23="USD",1/INDEX(Settings!$B$29:$B$40,MONTH(A1449)),INDEX(Settings!$B$29:$B$40,MONTH(A1449)))))</f>
        <v/>
      </c>
    </row>
    <row r="1450" customFormat="false" ht="15" hidden="false" customHeight="false" outlineLevel="0" collapsed="false">
      <c r="H1450" s="0" t="str">
        <f aca="false">IF(B1450="","",IF(COUNTIF(Campaigns!$A$7:$A$300,B1450)&gt;0,"✓","⚠ add to Campaigns tab"))</f>
        <v/>
      </c>
      <c r="I1450" s="84" t="str">
        <f aca="false">IF(C1450="","",C1450*IF(Settings!$B$23=Settings!$C$6,1,IF(Settings!$B$23="USD",1/INDEX(Settings!$B$29:$B$40,MONTH(A1450)),INDEX(Settings!$B$29:$B$40,MONTH(A1450)))))</f>
        <v/>
      </c>
    </row>
    <row r="1451" customFormat="false" ht="15" hidden="false" customHeight="false" outlineLevel="0" collapsed="false">
      <c r="H1451" s="0" t="str">
        <f aca="false">IF(B1451="","",IF(COUNTIF(Campaigns!$A$7:$A$300,B1451)&gt;0,"✓","⚠ add to Campaigns tab"))</f>
        <v/>
      </c>
      <c r="I1451" s="84" t="str">
        <f aca="false">IF(C1451="","",C1451*IF(Settings!$B$23=Settings!$C$6,1,IF(Settings!$B$23="USD",1/INDEX(Settings!$B$29:$B$40,MONTH(A1451)),INDEX(Settings!$B$29:$B$40,MONTH(A1451)))))</f>
        <v/>
      </c>
    </row>
    <row r="1452" customFormat="false" ht="15" hidden="false" customHeight="false" outlineLevel="0" collapsed="false">
      <c r="H1452" s="0" t="str">
        <f aca="false">IF(B1452="","",IF(COUNTIF(Campaigns!$A$7:$A$300,B1452)&gt;0,"✓","⚠ add to Campaigns tab"))</f>
        <v/>
      </c>
      <c r="I1452" s="84" t="str">
        <f aca="false">IF(C1452="","",C1452*IF(Settings!$B$23=Settings!$C$6,1,IF(Settings!$B$23="USD",1/INDEX(Settings!$B$29:$B$40,MONTH(A1452)),INDEX(Settings!$B$29:$B$40,MONTH(A1452)))))</f>
        <v/>
      </c>
    </row>
    <row r="1453" customFormat="false" ht="15" hidden="false" customHeight="false" outlineLevel="0" collapsed="false">
      <c r="H1453" s="0" t="str">
        <f aca="false">IF(B1453="","",IF(COUNTIF(Campaigns!$A$7:$A$300,B1453)&gt;0,"✓","⚠ add to Campaigns tab"))</f>
        <v/>
      </c>
      <c r="I1453" s="84" t="str">
        <f aca="false">IF(C1453="","",C1453*IF(Settings!$B$23=Settings!$C$6,1,IF(Settings!$B$23="USD",1/INDEX(Settings!$B$29:$B$40,MONTH(A1453)),INDEX(Settings!$B$29:$B$40,MONTH(A1453)))))</f>
        <v/>
      </c>
    </row>
    <row r="1454" customFormat="false" ht="15" hidden="false" customHeight="false" outlineLevel="0" collapsed="false">
      <c r="H1454" s="0" t="str">
        <f aca="false">IF(B1454="","",IF(COUNTIF(Campaigns!$A$7:$A$300,B1454)&gt;0,"✓","⚠ add to Campaigns tab"))</f>
        <v/>
      </c>
      <c r="I1454" s="84" t="str">
        <f aca="false">IF(C1454="","",C1454*IF(Settings!$B$23=Settings!$C$6,1,IF(Settings!$B$23="USD",1/INDEX(Settings!$B$29:$B$40,MONTH(A1454)),INDEX(Settings!$B$29:$B$40,MONTH(A1454)))))</f>
        <v/>
      </c>
    </row>
    <row r="1455" customFormat="false" ht="15" hidden="false" customHeight="false" outlineLevel="0" collapsed="false">
      <c r="H1455" s="0" t="str">
        <f aca="false">IF(B1455="","",IF(COUNTIF(Campaigns!$A$7:$A$300,B1455)&gt;0,"✓","⚠ add to Campaigns tab"))</f>
        <v/>
      </c>
      <c r="I1455" s="84" t="str">
        <f aca="false">IF(C1455="","",C1455*IF(Settings!$B$23=Settings!$C$6,1,IF(Settings!$B$23="USD",1/INDEX(Settings!$B$29:$B$40,MONTH(A1455)),INDEX(Settings!$B$29:$B$40,MONTH(A1455)))))</f>
        <v/>
      </c>
    </row>
    <row r="1456" customFormat="false" ht="15" hidden="false" customHeight="false" outlineLevel="0" collapsed="false">
      <c r="H1456" s="0" t="str">
        <f aca="false">IF(B1456="","",IF(COUNTIF(Campaigns!$A$7:$A$300,B1456)&gt;0,"✓","⚠ add to Campaigns tab"))</f>
        <v/>
      </c>
      <c r="I1456" s="84" t="str">
        <f aca="false">IF(C1456="","",C1456*IF(Settings!$B$23=Settings!$C$6,1,IF(Settings!$B$23="USD",1/INDEX(Settings!$B$29:$B$40,MONTH(A1456)),INDEX(Settings!$B$29:$B$40,MONTH(A1456)))))</f>
        <v/>
      </c>
    </row>
    <row r="1457" customFormat="false" ht="15" hidden="false" customHeight="false" outlineLevel="0" collapsed="false">
      <c r="H1457" s="0" t="str">
        <f aca="false">IF(B1457="","",IF(COUNTIF(Campaigns!$A$7:$A$300,B1457)&gt;0,"✓","⚠ add to Campaigns tab"))</f>
        <v/>
      </c>
      <c r="I1457" s="84" t="str">
        <f aca="false">IF(C1457="","",C1457*IF(Settings!$B$23=Settings!$C$6,1,IF(Settings!$B$23="USD",1/INDEX(Settings!$B$29:$B$40,MONTH(A1457)),INDEX(Settings!$B$29:$B$40,MONTH(A1457)))))</f>
        <v/>
      </c>
    </row>
    <row r="1458" customFormat="false" ht="15" hidden="false" customHeight="false" outlineLevel="0" collapsed="false">
      <c r="H1458" s="0" t="str">
        <f aca="false">IF(B1458="","",IF(COUNTIF(Campaigns!$A$7:$A$300,B1458)&gt;0,"✓","⚠ add to Campaigns tab"))</f>
        <v/>
      </c>
      <c r="I1458" s="84" t="str">
        <f aca="false">IF(C1458="","",C1458*IF(Settings!$B$23=Settings!$C$6,1,IF(Settings!$B$23="USD",1/INDEX(Settings!$B$29:$B$40,MONTH(A1458)),INDEX(Settings!$B$29:$B$40,MONTH(A1458)))))</f>
        <v/>
      </c>
    </row>
    <row r="1459" customFormat="false" ht="15" hidden="false" customHeight="false" outlineLevel="0" collapsed="false">
      <c r="H1459" s="0" t="str">
        <f aca="false">IF(B1459="","",IF(COUNTIF(Campaigns!$A$7:$A$300,B1459)&gt;0,"✓","⚠ add to Campaigns tab"))</f>
        <v/>
      </c>
      <c r="I1459" s="84" t="str">
        <f aca="false">IF(C1459="","",C1459*IF(Settings!$B$23=Settings!$C$6,1,IF(Settings!$B$23="USD",1/INDEX(Settings!$B$29:$B$40,MONTH(A1459)),INDEX(Settings!$B$29:$B$40,MONTH(A1459)))))</f>
        <v/>
      </c>
    </row>
    <row r="1460" customFormat="false" ht="15" hidden="false" customHeight="false" outlineLevel="0" collapsed="false">
      <c r="H1460" s="0" t="str">
        <f aca="false">IF(B1460="","",IF(COUNTIF(Campaigns!$A$7:$A$300,B1460)&gt;0,"✓","⚠ add to Campaigns tab"))</f>
        <v/>
      </c>
      <c r="I1460" s="84" t="str">
        <f aca="false">IF(C1460="","",C1460*IF(Settings!$B$23=Settings!$C$6,1,IF(Settings!$B$23="USD",1/INDEX(Settings!$B$29:$B$40,MONTH(A1460)),INDEX(Settings!$B$29:$B$40,MONTH(A1460)))))</f>
        <v/>
      </c>
    </row>
    <row r="1461" customFormat="false" ht="15" hidden="false" customHeight="false" outlineLevel="0" collapsed="false">
      <c r="H1461" s="0" t="str">
        <f aca="false">IF(B1461="","",IF(COUNTIF(Campaigns!$A$7:$A$300,B1461)&gt;0,"✓","⚠ add to Campaigns tab"))</f>
        <v/>
      </c>
      <c r="I1461" s="84" t="str">
        <f aca="false">IF(C1461="","",C1461*IF(Settings!$B$23=Settings!$C$6,1,IF(Settings!$B$23="USD",1/INDEX(Settings!$B$29:$B$40,MONTH(A1461)),INDEX(Settings!$B$29:$B$40,MONTH(A1461)))))</f>
        <v/>
      </c>
    </row>
    <row r="1462" customFormat="false" ht="15" hidden="false" customHeight="false" outlineLevel="0" collapsed="false">
      <c r="H1462" s="0" t="str">
        <f aca="false">IF(B1462="","",IF(COUNTIF(Campaigns!$A$7:$A$300,B1462)&gt;0,"✓","⚠ add to Campaigns tab"))</f>
        <v/>
      </c>
      <c r="I1462" s="84" t="str">
        <f aca="false">IF(C1462="","",C1462*IF(Settings!$B$23=Settings!$C$6,1,IF(Settings!$B$23="USD",1/INDEX(Settings!$B$29:$B$40,MONTH(A1462)),INDEX(Settings!$B$29:$B$40,MONTH(A1462)))))</f>
        <v/>
      </c>
    </row>
    <row r="1463" customFormat="false" ht="15" hidden="false" customHeight="false" outlineLevel="0" collapsed="false">
      <c r="H1463" s="0" t="str">
        <f aca="false">IF(B1463="","",IF(COUNTIF(Campaigns!$A$7:$A$300,B1463)&gt;0,"✓","⚠ add to Campaigns tab"))</f>
        <v/>
      </c>
      <c r="I1463" s="84" t="str">
        <f aca="false">IF(C1463="","",C1463*IF(Settings!$B$23=Settings!$C$6,1,IF(Settings!$B$23="USD",1/INDEX(Settings!$B$29:$B$40,MONTH(A1463)),INDEX(Settings!$B$29:$B$40,MONTH(A1463)))))</f>
        <v/>
      </c>
    </row>
    <row r="1464" customFormat="false" ht="15" hidden="false" customHeight="false" outlineLevel="0" collapsed="false">
      <c r="H1464" s="0" t="str">
        <f aca="false">IF(B1464="","",IF(COUNTIF(Campaigns!$A$7:$A$300,B1464)&gt;0,"✓","⚠ add to Campaigns tab"))</f>
        <v/>
      </c>
      <c r="I1464" s="84" t="str">
        <f aca="false">IF(C1464="","",C1464*IF(Settings!$B$23=Settings!$C$6,1,IF(Settings!$B$23="USD",1/INDEX(Settings!$B$29:$B$40,MONTH(A1464)),INDEX(Settings!$B$29:$B$40,MONTH(A1464)))))</f>
        <v/>
      </c>
    </row>
    <row r="1465" customFormat="false" ht="15" hidden="false" customHeight="false" outlineLevel="0" collapsed="false">
      <c r="H1465" s="0" t="str">
        <f aca="false">IF(B1465="","",IF(COUNTIF(Campaigns!$A$7:$A$300,B1465)&gt;0,"✓","⚠ add to Campaigns tab"))</f>
        <v/>
      </c>
      <c r="I1465" s="84" t="str">
        <f aca="false">IF(C1465="","",C1465*IF(Settings!$B$23=Settings!$C$6,1,IF(Settings!$B$23="USD",1/INDEX(Settings!$B$29:$B$40,MONTH(A1465)),INDEX(Settings!$B$29:$B$40,MONTH(A1465)))))</f>
        <v/>
      </c>
    </row>
    <row r="1466" customFormat="false" ht="15" hidden="false" customHeight="false" outlineLevel="0" collapsed="false">
      <c r="H1466" s="0" t="str">
        <f aca="false">IF(B1466="","",IF(COUNTIF(Campaigns!$A$7:$A$300,B1466)&gt;0,"✓","⚠ add to Campaigns tab"))</f>
        <v/>
      </c>
      <c r="I1466" s="84" t="str">
        <f aca="false">IF(C1466="","",C1466*IF(Settings!$B$23=Settings!$C$6,1,IF(Settings!$B$23="USD",1/INDEX(Settings!$B$29:$B$40,MONTH(A1466)),INDEX(Settings!$B$29:$B$40,MONTH(A1466)))))</f>
        <v/>
      </c>
    </row>
    <row r="1467" customFormat="false" ht="15" hidden="false" customHeight="false" outlineLevel="0" collapsed="false">
      <c r="H1467" s="0" t="str">
        <f aca="false">IF(B1467="","",IF(COUNTIF(Campaigns!$A$7:$A$300,B1467)&gt;0,"✓","⚠ add to Campaigns tab"))</f>
        <v/>
      </c>
      <c r="I1467" s="84" t="str">
        <f aca="false">IF(C1467="","",C1467*IF(Settings!$B$23=Settings!$C$6,1,IF(Settings!$B$23="USD",1/INDEX(Settings!$B$29:$B$40,MONTH(A1467)),INDEX(Settings!$B$29:$B$40,MONTH(A1467)))))</f>
        <v/>
      </c>
    </row>
    <row r="1468" customFormat="false" ht="15" hidden="false" customHeight="false" outlineLevel="0" collapsed="false">
      <c r="H1468" s="0" t="str">
        <f aca="false">IF(B1468="","",IF(COUNTIF(Campaigns!$A$7:$A$300,B1468)&gt;0,"✓","⚠ add to Campaigns tab"))</f>
        <v/>
      </c>
      <c r="I1468" s="84" t="str">
        <f aca="false">IF(C1468="","",C1468*IF(Settings!$B$23=Settings!$C$6,1,IF(Settings!$B$23="USD",1/INDEX(Settings!$B$29:$B$40,MONTH(A1468)),INDEX(Settings!$B$29:$B$40,MONTH(A1468)))))</f>
        <v/>
      </c>
    </row>
    <row r="1469" customFormat="false" ht="15" hidden="false" customHeight="false" outlineLevel="0" collapsed="false">
      <c r="H1469" s="0" t="str">
        <f aca="false">IF(B1469="","",IF(COUNTIF(Campaigns!$A$7:$A$300,B1469)&gt;0,"✓","⚠ add to Campaigns tab"))</f>
        <v/>
      </c>
      <c r="I1469" s="84" t="str">
        <f aca="false">IF(C1469="","",C1469*IF(Settings!$B$23=Settings!$C$6,1,IF(Settings!$B$23="USD",1/INDEX(Settings!$B$29:$B$40,MONTH(A1469)),INDEX(Settings!$B$29:$B$40,MONTH(A1469)))))</f>
        <v/>
      </c>
    </row>
    <row r="1470" customFormat="false" ht="15" hidden="false" customHeight="false" outlineLevel="0" collapsed="false">
      <c r="H1470" s="0" t="str">
        <f aca="false">IF(B1470="","",IF(COUNTIF(Campaigns!$A$7:$A$300,B1470)&gt;0,"✓","⚠ add to Campaigns tab"))</f>
        <v/>
      </c>
      <c r="I1470" s="84" t="str">
        <f aca="false">IF(C1470="","",C1470*IF(Settings!$B$23=Settings!$C$6,1,IF(Settings!$B$23="USD",1/INDEX(Settings!$B$29:$B$40,MONTH(A1470)),INDEX(Settings!$B$29:$B$40,MONTH(A1470)))))</f>
        <v/>
      </c>
    </row>
    <row r="1471" customFormat="false" ht="15" hidden="false" customHeight="false" outlineLevel="0" collapsed="false">
      <c r="H1471" s="0" t="str">
        <f aca="false">IF(B1471="","",IF(COUNTIF(Campaigns!$A$7:$A$300,B1471)&gt;0,"✓","⚠ add to Campaigns tab"))</f>
        <v/>
      </c>
      <c r="I1471" s="84" t="str">
        <f aca="false">IF(C1471="","",C1471*IF(Settings!$B$23=Settings!$C$6,1,IF(Settings!$B$23="USD",1/INDEX(Settings!$B$29:$B$40,MONTH(A1471)),INDEX(Settings!$B$29:$B$40,MONTH(A1471)))))</f>
        <v/>
      </c>
    </row>
    <row r="1472" customFormat="false" ht="15" hidden="false" customHeight="false" outlineLevel="0" collapsed="false">
      <c r="H1472" s="0" t="str">
        <f aca="false">IF(B1472="","",IF(COUNTIF(Campaigns!$A$7:$A$300,B1472)&gt;0,"✓","⚠ add to Campaigns tab"))</f>
        <v/>
      </c>
      <c r="I1472" s="84" t="str">
        <f aca="false">IF(C1472="","",C1472*IF(Settings!$B$23=Settings!$C$6,1,IF(Settings!$B$23="USD",1/INDEX(Settings!$B$29:$B$40,MONTH(A1472)),INDEX(Settings!$B$29:$B$40,MONTH(A1472)))))</f>
        <v/>
      </c>
    </row>
    <row r="1473" customFormat="false" ht="15" hidden="false" customHeight="false" outlineLevel="0" collapsed="false">
      <c r="H1473" s="0" t="str">
        <f aca="false">IF(B1473="","",IF(COUNTIF(Campaigns!$A$7:$A$300,B1473)&gt;0,"✓","⚠ add to Campaigns tab"))</f>
        <v/>
      </c>
      <c r="I1473" s="84" t="str">
        <f aca="false">IF(C1473="","",C1473*IF(Settings!$B$23=Settings!$C$6,1,IF(Settings!$B$23="USD",1/INDEX(Settings!$B$29:$B$40,MONTH(A1473)),INDEX(Settings!$B$29:$B$40,MONTH(A1473)))))</f>
        <v/>
      </c>
    </row>
    <row r="1474" customFormat="false" ht="15" hidden="false" customHeight="false" outlineLevel="0" collapsed="false">
      <c r="H1474" s="0" t="str">
        <f aca="false">IF(B1474="","",IF(COUNTIF(Campaigns!$A$7:$A$300,B1474)&gt;0,"✓","⚠ add to Campaigns tab"))</f>
        <v/>
      </c>
      <c r="I1474" s="84" t="str">
        <f aca="false">IF(C1474="","",C1474*IF(Settings!$B$23=Settings!$C$6,1,IF(Settings!$B$23="USD",1/INDEX(Settings!$B$29:$B$40,MONTH(A1474)),INDEX(Settings!$B$29:$B$40,MONTH(A1474)))))</f>
        <v/>
      </c>
    </row>
    <row r="1475" customFormat="false" ht="15" hidden="false" customHeight="false" outlineLevel="0" collapsed="false">
      <c r="H1475" s="0" t="str">
        <f aca="false">IF(B1475="","",IF(COUNTIF(Campaigns!$A$7:$A$300,B1475)&gt;0,"✓","⚠ add to Campaigns tab"))</f>
        <v/>
      </c>
      <c r="I1475" s="84" t="str">
        <f aca="false">IF(C1475="","",C1475*IF(Settings!$B$23=Settings!$C$6,1,IF(Settings!$B$23="USD",1/INDEX(Settings!$B$29:$B$40,MONTH(A1475)),INDEX(Settings!$B$29:$B$40,MONTH(A1475)))))</f>
        <v/>
      </c>
    </row>
    <row r="1476" customFormat="false" ht="15" hidden="false" customHeight="false" outlineLevel="0" collapsed="false">
      <c r="H1476" s="0" t="str">
        <f aca="false">IF(B1476="","",IF(COUNTIF(Campaigns!$A$7:$A$300,B1476)&gt;0,"✓","⚠ add to Campaigns tab"))</f>
        <v/>
      </c>
      <c r="I1476" s="84" t="str">
        <f aca="false">IF(C1476="","",C1476*IF(Settings!$B$23=Settings!$C$6,1,IF(Settings!$B$23="USD",1/INDEX(Settings!$B$29:$B$40,MONTH(A1476)),INDEX(Settings!$B$29:$B$40,MONTH(A1476)))))</f>
        <v/>
      </c>
    </row>
    <row r="1477" customFormat="false" ht="15" hidden="false" customHeight="false" outlineLevel="0" collapsed="false">
      <c r="H1477" s="0" t="str">
        <f aca="false">IF(B1477="","",IF(COUNTIF(Campaigns!$A$7:$A$300,B1477)&gt;0,"✓","⚠ add to Campaigns tab"))</f>
        <v/>
      </c>
      <c r="I1477" s="84" t="str">
        <f aca="false">IF(C1477="","",C1477*IF(Settings!$B$23=Settings!$C$6,1,IF(Settings!$B$23="USD",1/INDEX(Settings!$B$29:$B$40,MONTH(A1477)),INDEX(Settings!$B$29:$B$40,MONTH(A1477)))))</f>
        <v/>
      </c>
    </row>
    <row r="1478" customFormat="false" ht="15" hidden="false" customHeight="false" outlineLevel="0" collapsed="false">
      <c r="H1478" s="0" t="str">
        <f aca="false">IF(B1478="","",IF(COUNTIF(Campaigns!$A$7:$A$300,B1478)&gt;0,"✓","⚠ add to Campaigns tab"))</f>
        <v/>
      </c>
      <c r="I1478" s="84" t="str">
        <f aca="false">IF(C1478="","",C1478*IF(Settings!$B$23=Settings!$C$6,1,IF(Settings!$B$23="USD",1/INDEX(Settings!$B$29:$B$40,MONTH(A1478)),INDEX(Settings!$B$29:$B$40,MONTH(A1478)))))</f>
        <v/>
      </c>
    </row>
    <row r="1479" customFormat="false" ht="15" hidden="false" customHeight="false" outlineLevel="0" collapsed="false">
      <c r="H1479" s="0" t="str">
        <f aca="false">IF(B1479="","",IF(COUNTIF(Campaigns!$A$7:$A$300,B1479)&gt;0,"✓","⚠ add to Campaigns tab"))</f>
        <v/>
      </c>
      <c r="I1479" s="84" t="str">
        <f aca="false">IF(C1479="","",C1479*IF(Settings!$B$23=Settings!$C$6,1,IF(Settings!$B$23="USD",1/INDEX(Settings!$B$29:$B$40,MONTH(A1479)),INDEX(Settings!$B$29:$B$40,MONTH(A1479)))))</f>
        <v/>
      </c>
    </row>
    <row r="1480" customFormat="false" ht="15" hidden="false" customHeight="false" outlineLevel="0" collapsed="false">
      <c r="H1480" s="0" t="str">
        <f aca="false">IF(B1480="","",IF(COUNTIF(Campaigns!$A$7:$A$300,B1480)&gt;0,"✓","⚠ add to Campaigns tab"))</f>
        <v/>
      </c>
      <c r="I1480" s="84" t="str">
        <f aca="false">IF(C1480="","",C1480*IF(Settings!$B$23=Settings!$C$6,1,IF(Settings!$B$23="USD",1/INDEX(Settings!$B$29:$B$40,MONTH(A1480)),INDEX(Settings!$B$29:$B$40,MONTH(A1480)))))</f>
        <v/>
      </c>
    </row>
    <row r="1481" customFormat="false" ht="15" hidden="false" customHeight="false" outlineLevel="0" collapsed="false">
      <c r="H1481" s="0" t="str">
        <f aca="false">IF(B1481="","",IF(COUNTIF(Campaigns!$A$7:$A$300,B1481)&gt;0,"✓","⚠ add to Campaigns tab"))</f>
        <v/>
      </c>
      <c r="I1481" s="84" t="str">
        <f aca="false">IF(C1481="","",C1481*IF(Settings!$B$23=Settings!$C$6,1,IF(Settings!$B$23="USD",1/INDEX(Settings!$B$29:$B$40,MONTH(A1481)),INDEX(Settings!$B$29:$B$40,MONTH(A1481)))))</f>
        <v/>
      </c>
    </row>
    <row r="1482" customFormat="false" ht="15" hidden="false" customHeight="false" outlineLevel="0" collapsed="false">
      <c r="H1482" s="0" t="str">
        <f aca="false">IF(B1482="","",IF(COUNTIF(Campaigns!$A$7:$A$300,B1482)&gt;0,"✓","⚠ add to Campaigns tab"))</f>
        <v/>
      </c>
      <c r="I1482" s="84" t="str">
        <f aca="false">IF(C1482="","",C1482*IF(Settings!$B$23=Settings!$C$6,1,IF(Settings!$B$23="USD",1/INDEX(Settings!$B$29:$B$40,MONTH(A1482)),INDEX(Settings!$B$29:$B$40,MONTH(A1482)))))</f>
        <v/>
      </c>
    </row>
    <row r="1483" customFormat="false" ht="15" hidden="false" customHeight="false" outlineLevel="0" collapsed="false">
      <c r="H1483" s="0" t="str">
        <f aca="false">IF(B1483="","",IF(COUNTIF(Campaigns!$A$7:$A$300,B1483)&gt;0,"✓","⚠ add to Campaigns tab"))</f>
        <v/>
      </c>
      <c r="I1483" s="84" t="str">
        <f aca="false">IF(C1483="","",C1483*IF(Settings!$B$23=Settings!$C$6,1,IF(Settings!$B$23="USD",1/INDEX(Settings!$B$29:$B$40,MONTH(A1483)),INDEX(Settings!$B$29:$B$40,MONTH(A1483)))))</f>
        <v/>
      </c>
    </row>
    <row r="1484" customFormat="false" ht="15" hidden="false" customHeight="false" outlineLevel="0" collapsed="false">
      <c r="H1484" s="0" t="str">
        <f aca="false">IF(B1484="","",IF(COUNTIF(Campaigns!$A$7:$A$300,B1484)&gt;0,"✓","⚠ add to Campaigns tab"))</f>
        <v/>
      </c>
      <c r="I1484" s="84" t="str">
        <f aca="false">IF(C1484="","",C1484*IF(Settings!$B$23=Settings!$C$6,1,IF(Settings!$B$23="USD",1/INDEX(Settings!$B$29:$B$40,MONTH(A1484)),INDEX(Settings!$B$29:$B$40,MONTH(A1484)))))</f>
        <v/>
      </c>
    </row>
    <row r="1485" customFormat="false" ht="15" hidden="false" customHeight="false" outlineLevel="0" collapsed="false">
      <c r="H1485" s="0" t="str">
        <f aca="false">IF(B1485="","",IF(COUNTIF(Campaigns!$A$7:$A$300,B1485)&gt;0,"✓","⚠ add to Campaigns tab"))</f>
        <v/>
      </c>
      <c r="I1485" s="84" t="str">
        <f aca="false">IF(C1485="","",C1485*IF(Settings!$B$23=Settings!$C$6,1,IF(Settings!$B$23="USD",1/INDEX(Settings!$B$29:$B$40,MONTH(A1485)),INDEX(Settings!$B$29:$B$40,MONTH(A1485)))))</f>
        <v/>
      </c>
    </row>
    <row r="1486" customFormat="false" ht="15" hidden="false" customHeight="false" outlineLevel="0" collapsed="false">
      <c r="H1486" s="0" t="str">
        <f aca="false">IF(B1486="","",IF(COUNTIF(Campaigns!$A$7:$A$300,B1486)&gt;0,"✓","⚠ add to Campaigns tab"))</f>
        <v/>
      </c>
      <c r="I1486" s="84" t="str">
        <f aca="false">IF(C1486="","",C1486*IF(Settings!$B$23=Settings!$C$6,1,IF(Settings!$B$23="USD",1/INDEX(Settings!$B$29:$B$40,MONTH(A1486)),INDEX(Settings!$B$29:$B$40,MONTH(A1486)))))</f>
        <v/>
      </c>
    </row>
    <row r="1487" customFormat="false" ht="15" hidden="false" customHeight="false" outlineLevel="0" collapsed="false">
      <c r="H1487" s="0" t="str">
        <f aca="false">IF(B1487="","",IF(COUNTIF(Campaigns!$A$7:$A$300,B1487)&gt;0,"✓","⚠ add to Campaigns tab"))</f>
        <v/>
      </c>
      <c r="I1487" s="84" t="str">
        <f aca="false">IF(C1487="","",C1487*IF(Settings!$B$23=Settings!$C$6,1,IF(Settings!$B$23="USD",1/INDEX(Settings!$B$29:$B$40,MONTH(A1487)),INDEX(Settings!$B$29:$B$40,MONTH(A1487)))))</f>
        <v/>
      </c>
    </row>
    <row r="1488" customFormat="false" ht="15" hidden="false" customHeight="false" outlineLevel="0" collapsed="false">
      <c r="H1488" s="0" t="str">
        <f aca="false">IF(B1488="","",IF(COUNTIF(Campaigns!$A$7:$A$300,B1488)&gt;0,"✓","⚠ add to Campaigns tab"))</f>
        <v/>
      </c>
      <c r="I1488" s="84" t="str">
        <f aca="false">IF(C1488="","",C1488*IF(Settings!$B$23=Settings!$C$6,1,IF(Settings!$B$23="USD",1/INDEX(Settings!$B$29:$B$40,MONTH(A1488)),INDEX(Settings!$B$29:$B$40,MONTH(A1488)))))</f>
        <v/>
      </c>
    </row>
    <row r="1489" customFormat="false" ht="15" hidden="false" customHeight="false" outlineLevel="0" collapsed="false">
      <c r="H1489" s="0" t="str">
        <f aca="false">IF(B1489="","",IF(COUNTIF(Campaigns!$A$7:$A$300,B1489)&gt;0,"✓","⚠ add to Campaigns tab"))</f>
        <v/>
      </c>
      <c r="I1489" s="84" t="str">
        <f aca="false">IF(C1489="","",C1489*IF(Settings!$B$23=Settings!$C$6,1,IF(Settings!$B$23="USD",1/INDEX(Settings!$B$29:$B$40,MONTH(A1489)),INDEX(Settings!$B$29:$B$40,MONTH(A1489)))))</f>
        <v/>
      </c>
    </row>
    <row r="1490" customFormat="false" ht="15" hidden="false" customHeight="false" outlineLevel="0" collapsed="false">
      <c r="H1490" s="0" t="str">
        <f aca="false">IF(B1490="","",IF(COUNTIF(Campaigns!$A$7:$A$300,B1490)&gt;0,"✓","⚠ add to Campaigns tab"))</f>
        <v/>
      </c>
      <c r="I1490" s="84" t="str">
        <f aca="false">IF(C1490="","",C1490*IF(Settings!$B$23=Settings!$C$6,1,IF(Settings!$B$23="USD",1/INDEX(Settings!$B$29:$B$40,MONTH(A1490)),INDEX(Settings!$B$29:$B$40,MONTH(A1490)))))</f>
        <v/>
      </c>
    </row>
    <row r="1491" customFormat="false" ht="15" hidden="false" customHeight="false" outlineLevel="0" collapsed="false">
      <c r="H1491" s="0" t="str">
        <f aca="false">IF(B1491="","",IF(COUNTIF(Campaigns!$A$7:$A$300,B1491)&gt;0,"✓","⚠ add to Campaigns tab"))</f>
        <v/>
      </c>
      <c r="I1491" s="84" t="str">
        <f aca="false">IF(C1491="","",C1491*IF(Settings!$B$23=Settings!$C$6,1,IF(Settings!$B$23="USD",1/INDEX(Settings!$B$29:$B$40,MONTH(A1491)),INDEX(Settings!$B$29:$B$40,MONTH(A1491)))))</f>
        <v/>
      </c>
    </row>
    <row r="1492" customFormat="false" ht="15" hidden="false" customHeight="false" outlineLevel="0" collapsed="false">
      <c r="H1492" s="0" t="str">
        <f aca="false">IF(B1492="","",IF(COUNTIF(Campaigns!$A$7:$A$300,B1492)&gt;0,"✓","⚠ add to Campaigns tab"))</f>
        <v/>
      </c>
      <c r="I1492" s="84" t="str">
        <f aca="false">IF(C1492="","",C1492*IF(Settings!$B$23=Settings!$C$6,1,IF(Settings!$B$23="USD",1/INDEX(Settings!$B$29:$B$40,MONTH(A1492)),INDEX(Settings!$B$29:$B$40,MONTH(A1492)))))</f>
        <v/>
      </c>
    </row>
    <row r="1493" customFormat="false" ht="15" hidden="false" customHeight="false" outlineLevel="0" collapsed="false">
      <c r="H1493" s="0" t="str">
        <f aca="false">IF(B1493="","",IF(COUNTIF(Campaigns!$A$7:$A$300,B1493)&gt;0,"✓","⚠ add to Campaigns tab"))</f>
        <v/>
      </c>
      <c r="I1493" s="84" t="str">
        <f aca="false">IF(C1493="","",C1493*IF(Settings!$B$23=Settings!$C$6,1,IF(Settings!$B$23="USD",1/INDEX(Settings!$B$29:$B$40,MONTH(A1493)),INDEX(Settings!$B$29:$B$40,MONTH(A1493)))))</f>
        <v/>
      </c>
    </row>
    <row r="1494" customFormat="false" ht="15" hidden="false" customHeight="false" outlineLevel="0" collapsed="false">
      <c r="H1494" s="0" t="str">
        <f aca="false">IF(B1494="","",IF(COUNTIF(Campaigns!$A$7:$A$300,B1494)&gt;0,"✓","⚠ add to Campaigns tab"))</f>
        <v/>
      </c>
      <c r="I1494" s="84" t="str">
        <f aca="false">IF(C1494="","",C1494*IF(Settings!$B$23=Settings!$C$6,1,IF(Settings!$B$23="USD",1/INDEX(Settings!$B$29:$B$40,MONTH(A1494)),INDEX(Settings!$B$29:$B$40,MONTH(A1494)))))</f>
        <v/>
      </c>
    </row>
    <row r="1495" customFormat="false" ht="15" hidden="false" customHeight="false" outlineLevel="0" collapsed="false">
      <c r="H1495" s="0" t="str">
        <f aca="false">IF(B1495="","",IF(COUNTIF(Campaigns!$A$7:$A$300,B1495)&gt;0,"✓","⚠ add to Campaigns tab"))</f>
        <v/>
      </c>
      <c r="I1495" s="84" t="str">
        <f aca="false">IF(C1495="","",C1495*IF(Settings!$B$23=Settings!$C$6,1,IF(Settings!$B$23="USD",1/INDEX(Settings!$B$29:$B$40,MONTH(A1495)),INDEX(Settings!$B$29:$B$40,MONTH(A1495)))))</f>
        <v/>
      </c>
    </row>
    <row r="1496" customFormat="false" ht="15" hidden="false" customHeight="false" outlineLevel="0" collapsed="false">
      <c r="H1496" s="0" t="str">
        <f aca="false">IF(B1496="","",IF(COUNTIF(Campaigns!$A$7:$A$300,B1496)&gt;0,"✓","⚠ add to Campaigns tab"))</f>
        <v/>
      </c>
      <c r="I1496" s="84" t="str">
        <f aca="false">IF(C1496="","",C1496*IF(Settings!$B$23=Settings!$C$6,1,IF(Settings!$B$23="USD",1/INDEX(Settings!$B$29:$B$40,MONTH(A1496)),INDEX(Settings!$B$29:$B$40,MONTH(A1496)))))</f>
        <v/>
      </c>
    </row>
    <row r="1497" customFormat="false" ht="15" hidden="false" customHeight="false" outlineLevel="0" collapsed="false">
      <c r="H1497" s="0" t="str">
        <f aca="false">IF(B1497="","",IF(COUNTIF(Campaigns!$A$7:$A$300,B1497)&gt;0,"✓","⚠ add to Campaigns tab"))</f>
        <v/>
      </c>
      <c r="I1497" s="84" t="str">
        <f aca="false">IF(C1497="","",C1497*IF(Settings!$B$23=Settings!$C$6,1,IF(Settings!$B$23="USD",1/INDEX(Settings!$B$29:$B$40,MONTH(A1497)),INDEX(Settings!$B$29:$B$40,MONTH(A1497)))))</f>
        <v/>
      </c>
    </row>
    <row r="1498" customFormat="false" ht="15" hidden="false" customHeight="false" outlineLevel="0" collapsed="false">
      <c r="H1498" s="0" t="str">
        <f aca="false">IF(B1498="","",IF(COUNTIF(Campaigns!$A$7:$A$300,B1498)&gt;0,"✓","⚠ add to Campaigns tab"))</f>
        <v/>
      </c>
      <c r="I1498" s="84" t="str">
        <f aca="false">IF(C1498="","",C1498*IF(Settings!$B$23=Settings!$C$6,1,IF(Settings!$B$23="USD",1/INDEX(Settings!$B$29:$B$40,MONTH(A1498)),INDEX(Settings!$B$29:$B$40,MONTH(A1498)))))</f>
        <v/>
      </c>
    </row>
    <row r="1499" customFormat="false" ht="15" hidden="false" customHeight="false" outlineLevel="0" collapsed="false">
      <c r="H1499" s="0" t="str">
        <f aca="false">IF(B1499="","",IF(COUNTIF(Campaigns!$A$7:$A$300,B1499)&gt;0,"✓","⚠ add to Campaigns tab"))</f>
        <v/>
      </c>
      <c r="I1499" s="84" t="str">
        <f aca="false">IF(C1499="","",C1499*IF(Settings!$B$23=Settings!$C$6,1,IF(Settings!$B$23="USD",1/INDEX(Settings!$B$29:$B$40,MONTH(A1499)),INDEX(Settings!$B$29:$B$40,MONTH(A1499)))))</f>
        <v/>
      </c>
    </row>
    <row r="1500" customFormat="false" ht="15" hidden="false" customHeight="false" outlineLevel="0" collapsed="false">
      <c r="H1500" s="0" t="str">
        <f aca="false">IF(B1500="","",IF(COUNTIF(Campaigns!$A$7:$A$300,B1500)&gt;0,"✓","⚠ add to Campaigns tab"))</f>
        <v/>
      </c>
      <c r="I1500" s="84" t="str">
        <f aca="false">IF(C1500="","",C1500*IF(Settings!$B$23=Settings!$C$6,1,IF(Settings!$B$23="USD",1/INDEX(Settings!$B$29:$B$40,MONTH(A1500)),INDEX(Settings!$B$29:$B$40,MONTH(A1500)))))</f>
        <v/>
      </c>
    </row>
    <row r="1501" customFormat="false" ht="15" hidden="false" customHeight="false" outlineLevel="0" collapsed="false">
      <c r="H1501" s="0" t="str">
        <f aca="false">IF(B1501="","",IF(COUNTIF(Campaigns!$A$7:$A$300,B1501)&gt;0,"✓","⚠ add to Campaigns tab"))</f>
        <v/>
      </c>
      <c r="I1501" s="84" t="str">
        <f aca="false">IF(C1501="","",C1501*IF(Settings!$B$23=Settings!$C$6,1,IF(Settings!$B$23="USD",1/INDEX(Settings!$B$29:$B$40,MONTH(A1501)),INDEX(Settings!$B$29:$B$40,MONTH(A1501)))))</f>
        <v/>
      </c>
    </row>
    <row r="1502" customFormat="false" ht="15" hidden="false" customHeight="false" outlineLevel="0" collapsed="false">
      <c r="H1502" s="0" t="str">
        <f aca="false">IF(B1502="","",IF(COUNTIF(Campaigns!$A$7:$A$300,B1502)&gt;0,"✓","⚠ add to Campaigns tab"))</f>
        <v/>
      </c>
      <c r="I1502" s="84" t="str">
        <f aca="false">IF(C1502="","",C1502*IF(Settings!$B$23=Settings!$C$6,1,IF(Settings!$B$23="USD",1/INDEX(Settings!$B$29:$B$40,MONTH(A1502)),INDEX(Settings!$B$29:$B$40,MONTH(A1502)))))</f>
        <v/>
      </c>
    </row>
    <row r="1503" customFormat="false" ht="15" hidden="false" customHeight="false" outlineLevel="0" collapsed="false">
      <c r="H1503" s="0" t="str">
        <f aca="false">IF(B1503="","",IF(COUNTIF(Campaigns!$A$7:$A$300,B1503)&gt;0,"✓","⚠ add to Campaigns tab"))</f>
        <v/>
      </c>
      <c r="I1503" s="84" t="str">
        <f aca="false">IF(C1503="","",C1503*IF(Settings!$B$23=Settings!$C$6,1,IF(Settings!$B$23="USD",1/INDEX(Settings!$B$29:$B$40,MONTH(A1503)),INDEX(Settings!$B$29:$B$40,MONTH(A1503)))))</f>
        <v/>
      </c>
    </row>
    <row r="1504" customFormat="false" ht="15" hidden="false" customHeight="false" outlineLevel="0" collapsed="false">
      <c r="H1504" s="0" t="str">
        <f aca="false">IF(B1504="","",IF(COUNTIF(Campaigns!$A$7:$A$300,B1504)&gt;0,"✓","⚠ add to Campaigns tab"))</f>
        <v/>
      </c>
      <c r="I1504" s="84" t="str">
        <f aca="false">IF(C1504="","",C1504*IF(Settings!$B$23=Settings!$C$6,1,IF(Settings!$B$23="USD",1/INDEX(Settings!$B$29:$B$40,MONTH(A1504)),INDEX(Settings!$B$29:$B$40,MONTH(A1504)))))</f>
        <v/>
      </c>
    </row>
    <row r="1505" customFormat="false" ht="15" hidden="false" customHeight="false" outlineLevel="0" collapsed="false">
      <c r="H1505" s="0" t="str">
        <f aca="false">IF(B1505="","",IF(COUNTIF(Campaigns!$A$7:$A$300,B1505)&gt;0,"✓","⚠ add to Campaigns tab"))</f>
        <v/>
      </c>
      <c r="I1505" s="84" t="str">
        <f aca="false">IF(C1505="","",C1505*IF(Settings!$B$23=Settings!$C$6,1,IF(Settings!$B$23="USD",1/INDEX(Settings!$B$29:$B$40,MONTH(A1505)),INDEX(Settings!$B$29:$B$40,MONTH(A1505)))))</f>
        <v/>
      </c>
    </row>
    <row r="1506" customFormat="false" ht="15" hidden="false" customHeight="false" outlineLevel="0" collapsed="false">
      <c r="H1506" s="0" t="str">
        <f aca="false">IF(B1506="","",IF(COUNTIF(Campaigns!$A$7:$A$300,B1506)&gt;0,"✓","⚠ add to Campaigns tab"))</f>
        <v/>
      </c>
      <c r="I1506" s="84" t="str">
        <f aca="false">IF(C1506="","",C1506*IF(Settings!$B$23=Settings!$C$6,1,IF(Settings!$B$23="USD",1/INDEX(Settings!$B$29:$B$40,MONTH(A1506)),INDEX(Settings!$B$29:$B$40,MONTH(A1506)))))</f>
        <v/>
      </c>
    </row>
    <row r="1507" customFormat="false" ht="15" hidden="false" customHeight="false" outlineLevel="0" collapsed="false">
      <c r="H1507" s="0" t="str">
        <f aca="false">IF(B1507="","",IF(COUNTIF(Campaigns!$A$7:$A$300,B1507)&gt;0,"✓","⚠ add to Campaigns tab"))</f>
        <v/>
      </c>
      <c r="I1507" s="84" t="str">
        <f aca="false">IF(C1507="","",C1507*IF(Settings!$B$23=Settings!$C$6,1,IF(Settings!$B$23="USD",1/INDEX(Settings!$B$29:$B$40,MONTH(A1507)),INDEX(Settings!$B$29:$B$40,MONTH(A1507)))))</f>
        <v/>
      </c>
    </row>
    <row r="1508" customFormat="false" ht="15" hidden="false" customHeight="false" outlineLevel="0" collapsed="false">
      <c r="H1508" s="0" t="str">
        <f aca="false">IF(B1508="","",IF(COUNTIF(Campaigns!$A$7:$A$300,B1508)&gt;0,"✓","⚠ add to Campaigns tab"))</f>
        <v/>
      </c>
      <c r="I1508" s="84" t="str">
        <f aca="false">IF(C1508="","",C1508*IF(Settings!$B$23=Settings!$C$6,1,IF(Settings!$B$23="USD",1/INDEX(Settings!$B$29:$B$40,MONTH(A1508)),INDEX(Settings!$B$29:$B$40,MONTH(A1508)))))</f>
        <v/>
      </c>
    </row>
    <row r="1509" customFormat="false" ht="15" hidden="false" customHeight="false" outlineLevel="0" collapsed="false">
      <c r="H1509" s="0" t="str">
        <f aca="false">IF(B1509="","",IF(COUNTIF(Campaigns!$A$7:$A$300,B1509)&gt;0,"✓","⚠ add to Campaigns tab"))</f>
        <v/>
      </c>
      <c r="I1509" s="84" t="str">
        <f aca="false">IF(C1509="","",C1509*IF(Settings!$B$23=Settings!$C$6,1,IF(Settings!$B$23="USD",1/INDEX(Settings!$B$29:$B$40,MONTH(A1509)),INDEX(Settings!$B$29:$B$40,MONTH(A1509)))))</f>
        <v/>
      </c>
    </row>
    <row r="1510" customFormat="false" ht="15" hidden="false" customHeight="false" outlineLevel="0" collapsed="false">
      <c r="H1510" s="0" t="str">
        <f aca="false">IF(B1510="","",IF(COUNTIF(Campaigns!$A$7:$A$300,B1510)&gt;0,"✓","⚠ add to Campaigns tab"))</f>
        <v/>
      </c>
      <c r="I1510" s="84" t="str">
        <f aca="false">IF(C1510="","",C1510*IF(Settings!$B$23=Settings!$C$6,1,IF(Settings!$B$23="USD",1/INDEX(Settings!$B$29:$B$40,MONTH(A1510)),INDEX(Settings!$B$29:$B$40,MONTH(A1510)))))</f>
        <v/>
      </c>
    </row>
    <row r="1511" customFormat="false" ht="15" hidden="false" customHeight="false" outlineLevel="0" collapsed="false">
      <c r="H1511" s="0" t="str">
        <f aca="false">IF(B1511="","",IF(COUNTIF(Campaigns!$A$7:$A$300,B1511)&gt;0,"✓","⚠ add to Campaigns tab"))</f>
        <v/>
      </c>
      <c r="I1511" s="84" t="str">
        <f aca="false">IF(C1511="","",C1511*IF(Settings!$B$23=Settings!$C$6,1,IF(Settings!$B$23="USD",1/INDEX(Settings!$B$29:$B$40,MONTH(A1511)),INDEX(Settings!$B$29:$B$40,MONTH(A1511)))))</f>
        <v/>
      </c>
    </row>
    <row r="1512" customFormat="false" ht="15" hidden="false" customHeight="false" outlineLevel="0" collapsed="false">
      <c r="H1512" s="0" t="str">
        <f aca="false">IF(B1512="","",IF(COUNTIF(Campaigns!$A$7:$A$300,B1512)&gt;0,"✓","⚠ add to Campaigns tab"))</f>
        <v/>
      </c>
      <c r="I1512" s="84" t="str">
        <f aca="false">IF(C1512="","",C1512*IF(Settings!$B$23=Settings!$C$6,1,IF(Settings!$B$23="USD",1/INDEX(Settings!$B$29:$B$40,MONTH(A1512)),INDEX(Settings!$B$29:$B$40,MONTH(A1512)))))</f>
        <v/>
      </c>
    </row>
    <row r="1513" customFormat="false" ht="15" hidden="false" customHeight="false" outlineLevel="0" collapsed="false">
      <c r="H1513" s="0" t="str">
        <f aca="false">IF(B1513="","",IF(COUNTIF(Campaigns!$A$7:$A$300,B1513)&gt;0,"✓","⚠ add to Campaigns tab"))</f>
        <v/>
      </c>
      <c r="I1513" s="84" t="str">
        <f aca="false">IF(C1513="","",C1513*IF(Settings!$B$23=Settings!$C$6,1,IF(Settings!$B$23="USD",1/INDEX(Settings!$B$29:$B$40,MONTH(A1513)),INDEX(Settings!$B$29:$B$40,MONTH(A1513)))))</f>
        <v/>
      </c>
    </row>
    <row r="1514" customFormat="false" ht="15" hidden="false" customHeight="false" outlineLevel="0" collapsed="false">
      <c r="H1514" s="0" t="str">
        <f aca="false">IF(B1514="","",IF(COUNTIF(Campaigns!$A$7:$A$300,B1514)&gt;0,"✓","⚠ add to Campaigns tab"))</f>
        <v/>
      </c>
      <c r="I1514" s="84" t="str">
        <f aca="false">IF(C1514="","",C1514*IF(Settings!$B$23=Settings!$C$6,1,IF(Settings!$B$23="USD",1/INDEX(Settings!$B$29:$B$40,MONTH(A1514)),INDEX(Settings!$B$29:$B$40,MONTH(A1514)))))</f>
        <v/>
      </c>
    </row>
    <row r="1515" customFormat="false" ht="15" hidden="false" customHeight="false" outlineLevel="0" collapsed="false">
      <c r="H1515" s="0" t="str">
        <f aca="false">IF(B1515="","",IF(COUNTIF(Campaigns!$A$7:$A$300,B1515)&gt;0,"✓","⚠ add to Campaigns tab"))</f>
        <v/>
      </c>
      <c r="I1515" s="84" t="str">
        <f aca="false">IF(C1515="","",C1515*IF(Settings!$B$23=Settings!$C$6,1,IF(Settings!$B$23="USD",1/INDEX(Settings!$B$29:$B$40,MONTH(A1515)),INDEX(Settings!$B$29:$B$40,MONTH(A1515)))))</f>
        <v/>
      </c>
    </row>
    <row r="1516" customFormat="false" ht="15" hidden="false" customHeight="false" outlineLevel="0" collapsed="false">
      <c r="H1516" s="0" t="str">
        <f aca="false">IF(B1516="","",IF(COUNTIF(Campaigns!$A$7:$A$300,B1516)&gt;0,"✓","⚠ add to Campaigns tab"))</f>
        <v/>
      </c>
      <c r="I1516" s="84" t="str">
        <f aca="false">IF(C1516="","",C1516*IF(Settings!$B$23=Settings!$C$6,1,IF(Settings!$B$23="USD",1/INDEX(Settings!$B$29:$B$40,MONTH(A1516)),INDEX(Settings!$B$29:$B$40,MONTH(A1516)))))</f>
        <v/>
      </c>
    </row>
    <row r="1517" customFormat="false" ht="15" hidden="false" customHeight="false" outlineLevel="0" collapsed="false">
      <c r="H1517" s="0" t="str">
        <f aca="false">IF(B1517="","",IF(COUNTIF(Campaigns!$A$7:$A$300,B1517)&gt;0,"✓","⚠ add to Campaigns tab"))</f>
        <v/>
      </c>
      <c r="I1517" s="84" t="str">
        <f aca="false">IF(C1517="","",C1517*IF(Settings!$B$23=Settings!$C$6,1,IF(Settings!$B$23="USD",1/INDEX(Settings!$B$29:$B$40,MONTH(A1517)),INDEX(Settings!$B$29:$B$40,MONTH(A1517)))))</f>
        <v/>
      </c>
    </row>
    <row r="1518" customFormat="false" ht="15" hidden="false" customHeight="false" outlineLevel="0" collapsed="false">
      <c r="H1518" s="0" t="str">
        <f aca="false">IF(B1518="","",IF(COUNTIF(Campaigns!$A$7:$A$300,B1518)&gt;0,"✓","⚠ add to Campaigns tab"))</f>
        <v/>
      </c>
      <c r="I1518" s="84" t="str">
        <f aca="false">IF(C1518="","",C1518*IF(Settings!$B$23=Settings!$C$6,1,IF(Settings!$B$23="USD",1/INDEX(Settings!$B$29:$B$40,MONTH(A1518)),INDEX(Settings!$B$29:$B$40,MONTH(A1518)))))</f>
        <v/>
      </c>
    </row>
    <row r="1519" customFormat="false" ht="15" hidden="false" customHeight="false" outlineLevel="0" collapsed="false">
      <c r="H1519" s="0" t="str">
        <f aca="false">IF(B1519="","",IF(COUNTIF(Campaigns!$A$7:$A$300,B1519)&gt;0,"✓","⚠ add to Campaigns tab"))</f>
        <v/>
      </c>
      <c r="I1519" s="84" t="str">
        <f aca="false">IF(C1519="","",C1519*IF(Settings!$B$23=Settings!$C$6,1,IF(Settings!$B$23="USD",1/INDEX(Settings!$B$29:$B$40,MONTH(A1519)),INDEX(Settings!$B$29:$B$40,MONTH(A1519)))))</f>
        <v/>
      </c>
    </row>
    <row r="1520" customFormat="false" ht="15" hidden="false" customHeight="false" outlineLevel="0" collapsed="false">
      <c r="H1520" s="0" t="str">
        <f aca="false">IF(B1520="","",IF(COUNTIF(Campaigns!$A$7:$A$300,B1520)&gt;0,"✓","⚠ add to Campaigns tab"))</f>
        <v/>
      </c>
      <c r="I1520" s="84" t="str">
        <f aca="false">IF(C1520="","",C1520*IF(Settings!$B$23=Settings!$C$6,1,IF(Settings!$B$23="USD",1/INDEX(Settings!$B$29:$B$40,MONTH(A1520)),INDEX(Settings!$B$29:$B$40,MONTH(A1520)))))</f>
        <v/>
      </c>
    </row>
    <row r="1521" customFormat="false" ht="15" hidden="false" customHeight="false" outlineLevel="0" collapsed="false">
      <c r="H1521" s="0" t="str">
        <f aca="false">IF(B1521="","",IF(COUNTIF(Campaigns!$A$7:$A$300,B1521)&gt;0,"✓","⚠ add to Campaigns tab"))</f>
        <v/>
      </c>
      <c r="I1521" s="84" t="str">
        <f aca="false">IF(C1521="","",C1521*IF(Settings!$B$23=Settings!$C$6,1,IF(Settings!$B$23="USD",1/INDEX(Settings!$B$29:$B$40,MONTH(A1521)),INDEX(Settings!$B$29:$B$40,MONTH(A1521)))))</f>
        <v/>
      </c>
    </row>
    <row r="1522" customFormat="false" ht="15" hidden="false" customHeight="false" outlineLevel="0" collapsed="false">
      <c r="H1522" s="0" t="str">
        <f aca="false">IF(B1522="","",IF(COUNTIF(Campaigns!$A$7:$A$300,B1522)&gt;0,"✓","⚠ add to Campaigns tab"))</f>
        <v/>
      </c>
      <c r="I1522" s="84" t="str">
        <f aca="false">IF(C1522="","",C1522*IF(Settings!$B$23=Settings!$C$6,1,IF(Settings!$B$23="USD",1/INDEX(Settings!$B$29:$B$40,MONTH(A1522)),INDEX(Settings!$B$29:$B$40,MONTH(A1522)))))</f>
        <v/>
      </c>
    </row>
    <row r="1523" customFormat="false" ht="15" hidden="false" customHeight="false" outlineLevel="0" collapsed="false">
      <c r="H1523" s="0" t="str">
        <f aca="false">IF(B1523="","",IF(COUNTIF(Campaigns!$A$7:$A$300,B1523)&gt;0,"✓","⚠ add to Campaigns tab"))</f>
        <v/>
      </c>
      <c r="I1523" s="84" t="str">
        <f aca="false">IF(C1523="","",C1523*IF(Settings!$B$23=Settings!$C$6,1,IF(Settings!$B$23="USD",1/INDEX(Settings!$B$29:$B$40,MONTH(A1523)),INDEX(Settings!$B$29:$B$40,MONTH(A1523)))))</f>
        <v/>
      </c>
    </row>
    <row r="1524" customFormat="false" ht="15" hidden="false" customHeight="false" outlineLevel="0" collapsed="false">
      <c r="H1524" s="0" t="str">
        <f aca="false">IF(B1524="","",IF(COUNTIF(Campaigns!$A$7:$A$300,B1524)&gt;0,"✓","⚠ add to Campaigns tab"))</f>
        <v/>
      </c>
      <c r="I1524" s="84" t="str">
        <f aca="false">IF(C1524="","",C1524*IF(Settings!$B$23=Settings!$C$6,1,IF(Settings!$B$23="USD",1/INDEX(Settings!$B$29:$B$40,MONTH(A1524)),INDEX(Settings!$B$29:$B$40,MONTH(A1524)))))</f>
        <v/>
      </c>
    </row>
    <row r="1525" customFormat="false" ht="15" hidden="false" customHeight="false" outlineLevel="0" collapsed="false">
      <c r="H1525" s="0" t="str">
        <f aca="false">IF(B1525="","",IF(COUNTIF(Campaigns!$A$7:$A$300,B1525)&gt;0,"✓","⚠ add to Campaigns tab"))</f>
        <v/>
      </c>
      <c r="I1525" s="84" t="str">
        <f aca="false">IF(C1525="","",C1525*IF(Settings!$B$23=Settings!$C$6,1,IF(Settings!$B$23="USD",1/INDEX(Settings!$B$29:$B$40,MONTH(A1525)),INDEX(Settings!$B$29:$B$40,MONTH(A1525)))))</f>
        <v/>
      </c>
    </row>
    <row r="1526" customFormat="false" ht="15" hidden="false" customHeight="false" outlineLevel="0" collapsed="false">
      <c r="H1526" s="0" t="str">
        <f aca="false">IF(B1526="","",IF(COUNTIF(Campaigns!$A$7:$A$300,B1526)&gt;0,"✓","⚠ add to Campaigns tab"))</f>
        <v/>
      </c>
      <c r="I1526" s="84" t="str">
        <f aca="false">IF(C1526="","",C1526*IF(Settings!$B$23=Settings!$C$6,1,IF(Settings!$B$23="USD",1/INDEX(Settings!$B$29:$B$40,MONTH(A1526)),INDEX(Settings!$B$29:$B$40,MONTH(A1526)))))</f>
        <v/>
      </c>
    </row>
    <row r="1527" customFormat="false" ht="15" hidden="false" customHeight="false" outlineLevel="0" collapsed="false">
      <c r="H1527" s="0" t="str">
        <f aca="false">IF(B1527="","",IF(COUNTIF(Campaigns!$A$7:$A$300,B1527)&gt;0,"✓","⚠ add to Campaigns tab"))</f>
        <v/>
      </c>
      <c r="I1527" s="84" t="str">
        <f aca="false">IF(C1527="","",C1527*IF(Settings!$B$23=Settings!$C$6,1,IF(Settings!$B$23="USD",1/INDEX(Settings!$B$29:$B$40,MONTH(A1527)),INDEX(Settings!$B$29:$B$40,MONTH(A1527)))))</f>
        <v/>
      </c>
    </row>
    <row r="1528" customFormat="false" ht="15" hidden="false" customHeight="false" outlineLevel="0" collapsed="false">
      <c r="H1528" s="0" t="str">
        <f aca="false">IF(B1528="","",IF(COUNTIF(Campaigns!$A$7:$A$300,B1528)&gt;0,"✓","⚠ add to Campaigns tab"))</f>
        <v/>
      </c>
      <c r="I1528" s="84" t="str">
        <f aca="false">IF(C1528="","",C1528*IF(Settings!$B$23=Settings!$C$6,1,IF(Settings!$B$23="USD",1/INDEX(Settings!$B$29:$B$40,MONTH(A1528)),INDEX(Settings!$B$29:$B$40,MONTH(A1528)))))</f>
        <v/>
      </c>
    </row>
    <row r="1529" customFormat="false" ht="15" hidden="false" customHeight="false" outlineLevel="0" collapsed="false">
      <c r="H1529" s="0" t="str">
        <f aca="false">IF(B1529="","",IF(COUNTIF(Campaigns!$A$7:$A$300,B1529)&gt;0,"✓","⚠ add to Campaigns tab"))</f>
        <v/>
      </c>
      <c r="I1529" s="84" t="str">
        <f aca="false">IF(C1529="","",C1529*IF(Settings!$B$23=Settings!$C$6,1,IF(Settings!$B$23="USD",1/INDEX(Settings!$B$29:$B$40,MONTH(A1529)),INDEX(Settings!$B$29:$B$40,MONTH(A1529)))))</f>
        <v/>
      </c>
    </row>
    <row r="1530" customFormat="false" ht="15" hidden="false" customHeight="false" outlineLevel="0" collapsed="false">
      <c r="H1530" s="0" t="str">
        <f aca="false">IF(B1530="","",IF(COUNTIF(Campaigns!$A$7:$A$300,B1530)&gt;0,"✓","⚠ add to Campaigns tab"))</f>
        <v/>
      </c>
      <c r="I1530" s="84" t="str">
        <f aca="false">IF(C1530="","",C1530*IF(Settings!$B$23=Settings!$C$6,1,IF(Settings!$B$23="USD",1/INDEX(Settings!$B$29:$B$40,MONTH(A1530)),INDEX(Settings!$B$29:$B$40,MONTH(A1530)))))</f>
        <v/>
      </c>
    </row>
    <row r="1531" customFormat="false" ht="15" hidden="false" customHeight="false" outlineLevel="0" collapsed="false">
      <c r="H1531" s="0" t="str">
        <f aca="false">IF(B1531="","",IF(COUNTIF(Campaigns!$A$7:$A$300,B1531)&gt;0,"✓","⚠ add to Campaigns tab"))</f>
        <v/>
      </c>
      <c r="I1531" s="84" t="str">
        <f aca="false">IF(C1531="","",C1531*IF(Settings!$B$23=Settings!$C$6,1,IF(Settings!$B$23="USD",1/INDEX(Settings!$B$29:$B$40,MONTH(A1531)),INDEX(Settings!$B$29:$B$40,MONTH(A1531)))))</f>
        <v/>
      </c>
    </row>
    <row r="1532" customFormat="false" ht="15" hidden="false" customHeight="false" outlineLevel="0" collapsed="false">
      <c r="H1532" s="0" t="str">
        <f aca="false">IF(B1532="","",IF(COUNTIF(Campaigns!$A$7:$A$300,B1532)&gt;0,"✓","⚠ add to Campaigns tab"))</f>
        <v/>
      </c>
      <c r="I1532" s="84" t="str">
        <f aca="false">IF(C1532="","",C1532*IF(Settings!$B$23=Settings!$C$6,1,IF(Settings!$B$23="USD",1/INDEX(Settings!$B$29:$B$40,MONTH(A1532)),INDEX(Settings!$B$29:$B$40,MONTH(A1532)))))</f>
        <v/>
      </c>
    </row>
    <row r="1533" customFormat="false" ht="15" hidden="false" customHeight="false" outlineLevel="0" collapsed="false">
      <c r="H1533" s="0" t="str">
        <f aca="false">IF(B1533="","",IF(COUNTIF(Campaigns!$A$7:$A$300,B1533)&gt;0,"✓","⚠ add to Campaigns tab"))</f>
        <v/>
      </c>
      <c r="I1533" s="84" t="str">
        <f aca="false">IF(C1533="","",C1533*IF(Settings!$B$23=Settings!$C$6,1,IF(Settings!$B$23="USD",1/INDEX(Settings!$B$29:$B$40,MONTH(A1533)),INDEX(Settings!$B$29:$B$40,MONTH(A1533)))))</f>
        <v/>
      </c>
    </row>
    <row r="1534" customFormat="false" ht="15" hidden="false" customHeight="false" outlineLevel="0" collapsed="false">
      <c r="H1534" s="0" t="str">
        <f aca="false">IF(B1534="","",IF(COUNTIF(Campaigns!$A$7:$A$300,B1534)&gt;0,"✓","⚠ add to Campaigns tab"))</f>
        <v/>
      </c>
      <c r="I1534" s="84" t="str">
        <f aca="false">IF(C1534="","",C1534*IF(Settings!$B$23=Settings!$C$6,1,IF(Settings!$B$23="USD",1/INDEX(Settings!$B$29:$B$40,MONTH(A1534)),INDEX(Settings!$B$29:$B$40,MONTH(A1534)))))</f>
        <v/>
      </c>
    </row>
    <row r="1535" customFormat="false" ht="15" hidden="false" customHeight="false" outlineLevel="0" collapsed="false">
      <c r="H1535" s="0" t="str">
        <f aca="false">IF(B1535="","",IF(COUNTIF(Campaigns!$A$7:$A$300,B1535)&gt;0,"✓","⚠ add to Campaigns tab"))</f>
        <v/>
      </c>
      <c r="I1535" s="84" t="str">
        <f aca="false">IF(C1535="","",C1535*IF(Settings!$B$23=Settings!$C$6,1,IF(Settings!$B$23="USD",1/INDEX(Settings!$B$29:$B$40,MONTH(A1535)),INDEX(Settings!$B$29:$B$40,MONTH(A1535)))))</f>
        <v/>
      </c>
    </row>
    <row r="1536" customFormat="false" ht="15" hidden="false" customHeight="false" outlineLevel="0" collapsed="false">
      <c r="H1536" s="0" t="str">
        <f aca="false">IF(B1536="","",IF(COUNTIF(Campaigns!$A$7:$A$300,B1536)&gt;0,"✓","⚠ add to Campaigns tab"))</f>
        <v/>
      </c>
      <c r="I1536" s="84" t="str">
        <f aca="false">IF(C1536="","",C1536*IF(Settings!$B$23=Settings!$C$6,1,IF(Settings!$B$23="USD",1/INDEX(Settings!$B$29:$B$40,MONTH(A1536)),INDEX(Settings!$B$29:$B$40,MONTH(A1536)))))</f>
        <v/>
      </c>
    </row>
    <row r="1537" customFormat="false" ht="15" hidden="false" customHeight="false" outlineLevel="0" collapsed="false">
      <c r="H1537" s="0" t="str">
        <f aca="false">IF(B1537="","",IF(COUNTIF(Campaigns!$A$7:$A$300,B1537)&gt;0,"✓","⚠ add to Campaigns tab"))</f>
        <v/>
      </c>
      <c r="I1537" s="84" t="str">
        <f aca="false">IF(C1537="","",C1537*IF(Settings!$B$23=Settings!$C$6,1,IF(Settings!$B$23="USD",1/INDEX(Settings!$B$29:$B$40,MONTH(A1537)),INDEX(Settings!$B$29:$B$40,MONTH(A1537)))))</f>
        <v/>
      </c>
    </row>
    <row r="1538" customFormat="false" ht="15" hidden="false" customHeight="false" outlineLevel="0" collapsed="false">
      <c r="H1538" s="0" t="str">
        <f aca="false">IF(B1538="","",IF(COUNTIF(Campaigns!$A$7:$A$300,B1538)&gt;0,"✓","⚠ add to Campaigns tab"))</f>
        <v/>
      </c>
      <c r="I1538" s="84" t="str">
        <f aca="false">IF(C1538="","",C1538*IF(Settings!$B$23=Settings!$C$6,1,IF(Settings!$B$23="USD",1/INDEX(Settings!$B$29:$B$40,MONTH(A1538)),INDEX(Settings!$B$29:$B$40,MONTH(A1538)))))</f>
        <v/>
      </c>
    </row>
    <row r="1539" customFormat="false" ht="15" hidden="false" customHeight="false" outlineLevel="0" collapsed="false">
      <c r="H1539" s="0" t="str">
        <f aca="false">IF(B1539="","",IF(COUNTIF(Campaigns!$A$7:$A$300,B1539)&gt;0,"✓","⚠ add to Campaigns tab"))</f>
        <v/>
      </c>
      <c r="I1539" s="84" t="str">
        <f aca="false">IF(C1539="","",C1539*IF(Settings!$B$23=Settings!$C$6,1,IF(Settings!$B$23="USD",1/INDEX(Settings!$B$29:$B$40,MONTH(A1539)),INDEX(Settings!$B$29:$B$40,MONTH(A1539)))))</f>
        <v/>
      </c>
    </row>
    <row r="1540" customFormat="false" ht="15" hidden="false" customHeight="false" outlineLevel="0" collapsed="false">
      <c r="H1540" s="0" t="str">
        <f aca="false">IF(B1540="","",IF(COUNTIF(Campaigns!$A$7:$A$300,B1540)&gt;0,"✓","⚠ add to Campaigns tab"))</f>
        <v/>
      </c>
      <c r="I1540" s="84" t="str">
        <f aca="false">IF(C1540="","",C1540*IF(Settings!$B$23=Settings!$C$6,1,IF(Settings!$B$23="USD",1/INDEX(Settings!$B$29:$B$40,MONTH(A1540)),INDEX(Settings!$B$29:$B$40,MONTH(A1540)))))</f>
        <v/>
      </c>
    </row>
    <row r="1541" customFormat="false" ht="15" hidden="false" customHeight="false" outlineLevel="0" collapsed="false">
      <c r="H1541" s="0" t="str">
        <f aca="false">IF(B1541="","",IF(COUNTIF(Campaigns!$A$7:$A$300,B1541)&gt;0,"✓","⚠ add to Campaigns tab"))</f>
        <v/>
      </c>
      <c r="I1541" s="84" t="str">
        <f aca="false">IF(C1541="","",C1541*IF(Settings!$B$23=Settings!$C$6,1,IF(Settings!$B$23="USD",1/INDEX(Settings!$B$29:$B$40,MONTH(A1541)),INDEX(Settings!$B$29:$B$40,MONTH(A1541)))))</f>
        <v/>
      </c>
    </row>
    <row r="1542" customFormat="false" ht="15" hidden="false" customHeight="false" outlineLevel="0" collapsed="false">
      <c r="H1542" s="0" t="str">
        <f aca="false">IF(B1542="","",IF(COUNTIF(Campaigns!$A$7:$A$300,B1542)&gt;0,"✓","⚠ add to Campaigns tab"))</f>
        <v/>
      </c>
      <c r="I1542" s="84" t="str">
        <f aca="false">IF(C1542="","",C1542*IF(Settings!$B$23=Settings!$C$6,1,IF(Settings!$B$23="USD",1/INDEX(Settings!$B$29:$B$40,MONTH(A1542)),INDEX(Settings!$B$29:$B$40,MONTH(A1542)))))</f>
        <v/>
      </c>
    </row>
    <row r="1543" customFormat="false" ht="15" hidden="false" customHeight="false" outlineLevel="0" collapsed="false">
      <c r="H1543" s="0" t="str">
        <f aca="false">IF(B1543="","",IF(COUNTIF(Campaigns!$A$7:$A$300,B1543)&gt;0,"✓","⚠ add to Campaigns tab"))</f>
        <v/>
      </c>
      <c r="I1543" s="84" t="str">
        <f aca="false">IF(C1543="","",C1543*IF(Settings!$B$23=Settings!$C$6,1,IF(Settings!$B$23="USD",1/INDEX(Settings!$B$29:$B$40,MONTH(A1543)),INDEX(Settings!$B$29:$B$40,MONTH(A1543)))))</f>
        <v/>
      </c>
    </row>
    <row r="1544" customFormat="false" ht="15" hidden="false" customHeight="false" outlineLevel="0" collapsed="false">
      <c r="H1544" s="0" t="str">
        <f aca="false">IF(B1544="","",IF(COUNTIF(Campaigns!$A$7:$A$300,B1544)&gt;0,"✓","⚠ add to Campaigns tab"))</f>
        <v/>
      </c>
      <c r="I1544" s="84" t="str">
        <f aca="false">IF(C1544="","",C1544*IF(Settings!$B$23=Settings!$C$6,1,IF(Settings!$B$23="USD",1/INDEX(Settings!$B$29:$B$40,MONTH(A1544)),INDEX(Settings!$B$29:$B$40,MONTH(A1544)))))</f>
        <v/>
      </c>
    </row>
    <row r="1545" customFormat="false" ht="15" hidden="false" customHeight="false" outlineLevel="0" collapsed="false">
      <c r="H1545" s="0" t="str">
        <f aca="false">IF(B1545="","",IF(COUNTIF(Campaigns!$A$7:$A$300,B1545)&gt;0,"✓","⚠ add to Campaigns tab"))</f>
        <v/>
      </c>
      <c r="I1545" s="84" t="str">
        <f aca="false">IF(C1545="","",C1545*IF(Settings!$B$23=Settings!$C$6,1,IF(Settings!$B$23="USD",1/INDEX(Settings!$B$29:$B$40,MONTH(A1545)),INDEX(Settings!$B$29:$B$40,MONTH(A1545)))))</f>
        <v/>
      </c>
    </row>
    <row r="1546" customFormat="false" ht="15" hidden="false" customHeight="false" outlineLevel="0" collapsed="false">
      <c r="H1546" s="0" t="str">
        <f aca="false">IF(B1546="","",IF(COUNTIF(Campaigns!$A$7:$A$300,B1546)&gt;0,"✓","⚠ add to Campaigns tab"))</f>
        <v/>
      </c>
      <c r="I1546" s="84" t="str">
        <f aca="false">IF(C1546="","",C1546*IF(Settings!$B$23=Settings!$C$6,1,IF(Settings!$B$23="USD",1/INDEX(Settings!$B$29:$B$40,MONTH(A1546)),INDEX(Settings!$B$29:$B$40,MONTH(A1546)))))</f>
        <v/>
      </c>
    </row>
    <row r="1547" customFormat="false" ht="15" hidden="false" customHeight="false" outlineLevel="0" collapsed="false">
      <c r="H1547" s="0" t="str">
        <f aca="false">IF(B1547="","",IF(COUNTIF(Campaigns!$A$7:$A$300,B1547)&gt;0,"✓","⚠ add to Campaigns tab"))</f>
        <v/>
      </c>
      <c r="I1547" s="84" t="str">
        <f aca="false">IF(C1547="","",C1547*IF(Settings!$B$23=Settings!$C$6,1,IF(Settings!$B$23="USD",1/INDEX(Settings!$B$29:$B$40,MONTH(A1547)),INDEX(Settings!$B$29:$B$40,MONTH(A1547)))))</f>
        <v/>
      </c>
    </row>
    <row r="1548" customFormat="false" ht="15" hidden="false" customHeight="false" outlineLevel="0" collapsed="false">
      <c r="H1548" s="0" t="str">
        <f aca="false">IF(B1548="","",IF(COUNTIF(Campaigns!$A$7:$A$300,B1548)&gt;0,"✓","⚠ add to Campaigns tab"))</f>
        <v/>
      </c>
      <c r="I1548" s="84" t="str">
        <f aca="false">IF(C1548="","",C1548*IF(Settings!$B$23=Settings!$C$6,1,IF(Settings!$B$23="USD",1/INDEX(Settings!$B$29:$B$40,MONTH(A1548)),INDEX(Settings!$B$29:$B$40,MONTH(A1548)))))</f>
        <v/>
      </c>
    </row>
    <row r="1549" customFormat="false" ht="15" hidden="false" customHeight="false" outlineLevel="0" collapsed="false">
      <c r="H1549" s="0" t="str">
        <f aca="false">IF(B1549="","",IF(COUNTIF(Campaigns!$A$7:$A$300,B1549)&gt;0,"✓","⚠ add to Campaigns tab"))</f>
        <v/>
      </c>
      <c r="I1549" s="84" t="str">
        <f aca="false">IF(C1549="","",C1549*IF(Settings!$B$23=Settings!$C$6,1,IF(Settings!$B$23="USD",1/INDEX(Settings!$B$29:$B$40,MONTH(A1549)),INDEX(Settings!$B$29:$B$40,MONTH(A1549)))))</f>
        <v/>
      </c>
    </row>
    <row r="1550" customFormat="false" ht="15" hidden="false" customHeight="false" outlineLevel="0" collapsed="false">
      <c r="H1550" s="0" t="str">
        <f aca="false">IF(B1550="","",IF(COUNTIF(Campaigns!$A$7:$A$300,B1550)&gt;0,"✓","⚠ add to Campaigns tab"))</f>
        <v/>
      </c>
      <c r="I1550" s="84" t="str">
        <f aca="false">IF(C1550="","",C1550*IF(Settings!$B$23=Settings!$C$6,1,IF(Settings!$B$23="USD",1/INDEX(Settings!$B$29:$B$40,MONTH(A1550)),INDEX(Settings!$B$29:$B$40,MONTH(A1550)))))</f>
        <v/>
      </c>
    </row>
    <row r="1551" customFormat="false" ht="15" hidden="false" customHeight="false" outlineLevel="0" collapsed="false">
      <c r="H1551" s="0" t="str">
        <f aca="false">IF(B1551="","",IF(COUNTIF(Campaigns!$A$7:$A$300,B1551)&gt;0,"✓","⚠ add to Campaigns tab"))</f>
        <v/>
      </c>
      <c r="I1551" s="84" t="str">
        <f aca="false">IF(C1551="","",C1551*IF(Settings!$B$23=Settings!$C$6,1,IF(Settings!$B$23="USD",1/INDEX(Settings!$B$29:$B$40,MONTH(A1551)),INDEX(Settings!$B$29:$B$40,MONTH(A1551)))))</f>
        <v/>
      </c>
    </row>
    <row r="1552" customFormat="false" ht="15" hidden="false" customHeight="false" outlineLevel="0" collapsed="false">
      <c r="H1552" s="0" t="str">
        <f aca="false">IF(B1552="","",IF(COUNTIF(Campaigns!$A$7:$A$300,B1552)&gt;0,"✓","⚠ add to Campaigns tab"))</f>
        <v/>
      </c>
      <c r="I1552" s="84" t="str">
        <f aca="false">IF(C1552="","",C1552*IF(Settings!$B$23=Settings!$C$6,1,IF(Settings!$B$23="USD",1/INDEX(Settings!$B$29:$B$40,MONTH(A1552)),INDEX(Settings!$B$29:$B$40,MONTH(A1552)))))</f>
        <v/>
      </c>
    </row>
    <row r="1553" customFormat="false" ht="15" hidden="false" customHeight="false" outlineLevel="0" collapsed="false">
      <c r="H1553" s="0" t="str">
        <f aca="false">IF(B1553="","",IF(COUNTIF(Campaigns!$A$7:$A$300,B1553)&gt;0,"✓","⚠ add to Campaigns tab"))</f>
        <v/>
      </c>
      <c r="I1553" s="84" t="str">
        <f aca="false">IF(C1553="","",C1553*IF(Settings!$B$23=Settings!$C$6,1,IF(Settings!$B$23="USD",1/INDEX(Settings!$B$29:$B$40,MONTH(A1553)),INDEX(Settings!$B$29:$B$40,MONTH(A1553)))))</f>
        <v/>
      </c>
    </row>
    <row r="1554" customFormat="false" ht="15" hidden="false" customHeight="false" outlineLevel="0" collapsed="false">
      <c r="H1554" s="0" t="str">
        <f aca="false">IF(B1554="","",IF(COUNTIF(Campaigns!$A$7:$A$300,B1554)&gt;0,"✓","⚠ add to Campaigns tab"))</f>
        <v/>
      </c>
      <c r="I1554" s="84" t="str">
        <f aca="false">IF(C1554="","",C1554*IF(Settings!$B$23=Settings!$C$6,1,IF(Settings!$B$23="USD",1/INDEX(Settings!$B$29:$B$40,MONTH(A1554)),INDEX(Settings!$B$29:$B$40,MONTH(A1554)))))</f>
        <v/>
      </c>
    </row>
    <row r="1555" customFormat="false" ht="15" hidden="false" customHeight="false" outlineLevel="0" collapsed="false">
      <c r="H1555" s="0" t="str">
        <f aca="false">IF(B1555="","",IF(COUNTIF(Campaigns!$A$7:$A$300,B1555)&gt;0,"✓","⚠ add to Campaigns tab"))</f>
        <v/>
      </c>
      <c r="I1555" s="84" t="str">
        <f aca="false">IF(C1555="","",C1555*IF(Settings!$B$23=Settings!$C$6,1,IF(Settings!$B$23="USD",1/INDEX(Settings!$B$29:$B$40,MONTH(A1555)),INDEX(Settings!$B$29:$B$40,MONTH(A1555)))))</f>
        <v/>
      </c>
    </row>
    <row r="1556" customFormat="false" ht="15" hidden="false" customHeight="false" outlineLevel="0" collapsed="false">
      <c r="H1556" s="0" t="str">
        <f aca="false">IF(B1556="","",IF(COUNTIF(Campaigns!$A$7:$A$300,B1556)&gt;0,"✓","⚠ add to Campaigns tab"))</f>
        <v/>
      </c>
      <c r="I1556" s="84" t="str">
        <f aca="false">IF(C1556="","",C1556*IF(Settings!$B$23=Settings!$C$6,1,IF(Settings!$B$23="USD",1/INDEX(Settings!$B$29:$B$40,MONTH(A1556)),INDEX(Settings!$B$29:$B$40,MONTH(A1556)))))</f>
        <v/>
      </c>
    </row>
    <row r="1557" customFormat="false" ht="15" hidden="false" customHeight="false" outlineLevel="0" collapsed="false">
      <c r="H1557" s="0" t="str">
        <f aca="false">IF(B1557="","",IF(COUNTIF(Campaigns!$A$7:$A$300,B1557)&gt;0,"✓","⚠ add to Campaigns tab"))</f>
        <v/>
      </c>
      <c r="I1557" s="84" t="str">
        <f aca="false">IF(C1557="","",C1557*IF(Settings!$B$23=Settings!$C$6,1,IF(Settings!$B$23="USD",1/INDEX(Settings!$B$29:$B$40,MONTH(A1557)),INDEX(Settings!$B$29:$B$40,MONTH(A1557)))))</f>
        <v/>
      </c>
    </row>
    <row r="1558" customFormat="false" ht="15" hidden="false" customHeight="false" outlineLevel="0" collapsed="false">
      <c r="H1558" s="0" t="str">
        <f aca="false">IF(B1558="","",IF(COUNTIF(Campaigns!$A$7:$A$300,B1558)&gt;0,"✓","⚠ add to Campaigns tab"))</f>
        <v/>
      </c>
      <c r="I1558" s="84" t="str">
        <f aca="false">IF(C1558="","",C1558*IF(Settings!$B$23=Settings!$C$6,1,IF(Settings!$B$23="USD",1/INDEX(Settings!$B$29:$B$40,MONTH(A1558)),INDEX(Settings!$B$29:$B$40,MONTH(A1558)))))</f>
        <v/>
      </c>
    </row>
    <row r="1559" customFormat="false" ht="15" hidden="false" customHeight="false" outlineLevel="0" collapsed="false">
      <c r="H1559" s="0" t="str">
        <f aca="false">IF(B1559="","",IF(COUNTIF(Campaigns!$A$7:$A$300,B1559)&gt;0,"✓","⚠ add to Campaigns tab"))</f>
        <v/>
      </c>
      <c r="I1559" s="84" t="str">
        <f aca="false">IF(C1559="","",C1559*IF(Settings!$B$23=Settings!$C$6,1,IF(Settings!$B$23="USD",1/INDEX(Settings!$B$29:$B$40,MONTH(A1559)),INDEX(Settings!$B$29:$B$40,MONTH(A1559)))))</f>
        <v/>
      </c>
    </row>
    <row r="1560" customFormat="false" ht="15" hidden="false" customHeight="false" outlineLevel="0" collapsed="false">
      <c r="H1560" s="0" t="str">
        <f aca="false">IF(B1560="","",IF(COUNTIF(Campaigns!$A$7:$A$300,B1560)&gt;0,"✓","⚠ add to Campaigns tab"))</f>
        <v/>
      </c>
      <c r="I1560" s="84" t="str">
        <f aca="false">IF(C1560="","",C1560*IF(Settings!$B$23=Settings!$C$6,1,IF(Settings!$B$23="USD",1/INDEX(Settings!$B$29:$B$40,MONTH(A1560)),INDEX(Settings!$B$29:$B$40,MONTH(A1560)))))</f>
        <v/>
      </c>
    </row>
    <row r="1561" customFormat="false" ht="15" hidden="false" customHeight="false" outlineLevel="0" collapsed="false">
      <c r="H1561" s="0" t="str">
        <f aca="false">IF(B1561="","",IF(COUNTIF(Campaigns!$A$7:$A$300,B1561)&gt;0,"✓","⚠ add to Campaigns tab"))</f>
        <v/>
      </c>
      <c r="I1561" s="84" t="str">
        <f aca="false">IF(C1561="","",C1561*IF(Settings!$B$23=Settings!$C$6,1,IF(Settings!$B$23="USD",1/INDEX(Settings!$B$29:$B$40,MONTH(A1561)),INDEX(Settings!$B$29:$B$40,MONTH(A1561)))))</f>
        <v/>
      </c>
    </row>
    <row r="1562" customFormat="false" ht="15" hidden="false" customHeight="false" outlineLevel="0" collapsed="false">
      <c r="H1562" s="0" t="str">
        <f aca="false">IF(B1562="","",IF(COUNTIF(Campaigns!$A$7:$A$300,B1562)&gt;0,"✓","⚠ add to Campaigns tab"))</f>
        <v/>
      </c>
      <c r="I1562" s="84" t="str">
        <f aca="false">IF(C1562="","",C1562*IF(Settings!$B$23=Settings!$C$6,1,IF(Settings!$B$23="USD",1/INDEX(Settings!$B$29:$B$40,MONTH(A1562)),INDEX(Settings!$B$29:$B$40,MONTH(A1562)))))</f>
        <v/>
      </c>
    </row>
    <row r="1563" customFormat="false" ht="15" hidden="false" customHeight="false" outlineLevel="0" collapsed="false">
      <c r="H1563" s="0" t="str">
        <f aca="false">IF(B1563="","",IF(COUNTIF(Campaigns!$A$7:$A$300,B1563)&gt;0,"✓","⚠ add to Campaigns tab"))</f>
        <v/>
      </c>
      <c r="I1563" s="84" t="str">
        <f aca="false">IF(C1563="","",C1563*IF(Settings!$B$23=Settings!$C$6,1,IF(Settings!$B$23="USD",1/INDEX(Settings!$B$29:$B$40,MONTH(A1563)),INDEX(Settings!$B$29:$B$40,MONTH(A1563)))))</f>
        <v/>
      </c>
    </row>
    <row r="1564" customFormat="false" ht="15" hidden="false" customHeight="false" outlineLevel="0" collapsed="false">
      <c r="H1564" s="0" t="str">
        <f aca="false">IF(B1564="","",IF(COUNTIF(Campaigns!$A$7:$A$300,B1564)&gt;0,"✓","⚠ add to Campaigns tab"))</f>
        <v/>
      </c>
      <c r="I1564" s="84" t="str">
        <f aca="false">IF(C1564="","",C1564*IF(Settings!$B$23=Settings!$C$6,1,IF(Settings!$B$23="USD",1/INDEX(Settings!$B$29:$B$40,MONTH(A1564)),INDEX(Settings!$B$29:$B$40,MONTH(A1564)))))</f>
        <v/>
      </c>
    </row>
    <row r="1565" customFormat="false" ht="15" hidden="false" customHeight="false" outlineLevel="0" collapsed="false">
      <c r="H1565" s="0" t="str">
        <f aca="false">IF(B1565="","",IF(COUNTIF(Campaigns!$A$7:$A$300,B1565)&gt;0,"✓","⚠ add to Campaigns tab"))</f>
        <v/>
      </c>
      <c r="I1565" s="84" t="str">
        <f aca="false">IF(C1565="","",C1565*IF(Settings!$B$23=Settings!$C$6,1,IF(Settings!$B$23="USD",1/INDEX(Settings!$B$29:$B$40,MONTH(A1565)),INDEX(Settings!$B$29:$B$40,MONTH(A1565)))))</f>
        <v/>
      </c>
    </row>
    <row r="1566" customFormat="false" ht="15" hidden="false" customHeight="false" outlineLevel="0" collapsed="false">
      <c r="H1566" s="0" t="str">
        <f aca="false">IF(B1566="","",IF(COUNTIF(Campaigns!$A$7:$A$300,B1566)&gt;0,"✓","⚠ add to Campaigns tab"))</f>
        <v/>
      </c>
      <c r="I1566" s="84" t="str">
        <f aca="false">IF(C1566="","",C1566*IF(Settings!$B$23=Settings!$C$6,1,IF(Settings!$B$23="USD",1/INDEX(Settings!$B$29:$B$40,MONTH(A1566)),INDEX(Settings!$B$29:$B$40,MONTH(A1566)))))</f>
        <v/>
      </c>
    </row>
    <row r="1567" customFormat="false" ht="15" hidden="false" customHeight="false" outlineLevel="0" collapsed="false">
      <c r="H1567" s="0" t="str">
        <f aca="false">IF(B1567="","",IF(COUNTIF(Campaigns!$A$7:$A$300,B1567)&gt;0,"✓","⚠ add to Campaigns tab"))</f>
        <v/>
      </c>
      <c r="I1567" s="84" t="str">
        <f aca="false">IF(C1567="","",C1567*IF(Settings!$B$23=Settings!$C$6,1,IF(Settings!$B$23="USD",1/INDEX(Settings!$B$29:$B$40,MONTH(A1567)),INDEX(Settings!$B$29:$B$40,MONTH(A1567)))))</f>
        <v/>
      </c>
    </row>
    <row r="1568" customFormat="false" ht="15" hidden="false" customHeight="false" outlineLevel="0" collapsed="false">
      <c r="H1568" s="0" t="str">
        <f aca="false">IF(B1568="","",IF(COUNTIF(Campaigns!$A$7:$A$300,B1568)&gt;0,"✓","⚠ add to Campaigns tab"))</f>
        <v/>
      </c>
      <c r="I1568" s="84" t="str">
        <f aca="false">IF(C1568="","",C1568*IF(Settings!$B$23=Settings!$C$6,1,IF(Settings!$B$23="USD",1/INDEX(Settings!$B$29:$B$40,MONTH(A1568)),INDEX(Settings!$B$29:$B$40,MONTH(A1568)))))</f>
        <v/>
      </c>
    </row>
    <row r="1569" customFormat="false" ht="15" hidden="false" customHeight="false" outlineLevel="0" collapsed="false">
      <c r="H1569" s="0" t="str">
        <f aca="false">IF(B1569="","",IF(COUNTIF(Campaigns!$A$7:$A$300,B1569)&gt;0,"✓","⚠ add to Campaigns tab"))</f>
        <v/>
      </c>
      <c r="I1569" s="84" t="str">
        <f aca="false">IF(C1569="","",C1569*IF(Settings!$B$23=Settings!$C$6,1,IF(Settings!$B$23="USD",1/INDEX(Settings!$B$29:$B$40,MONTH(A1569)),INDEX(Settings!$B$29:$B$40,MONTH(A1569)))))</f>
        <v/>
      </c>
    </row>
    <row r="1570" customFormat="false" ht="15" hidden="false" customHeight="false" outlineLevel="0" collapsed="false">
      <c r="H1570" s="0" t="str">
        <f aca="false">IF(B1570="","",IF(COUNTIF(Campaigns!$A$7:$A$300,B1570)&gt;0,"✓","⚠ add to Campaigns tab"))</f>
        <v/>
      </c>
      <c r="I1570" s="84" t="str">
        <f aca="false">IF(C1570="","",C1570*IF(Settings!$B$23=Settings!$C$6,1,IF(Settings!$B$23="USD",1/INDEX(Settings!$B$29:$B$40,MONTH(A1570)),INDEX(Settings!$B$29:$B$40,MONTH(A1570)))))</f>
        <v/>
      </c>
    </row>
    <row r="1571" customFormat="false" ht="15" hidden="false" customHeight="false" outlineLevel="0" collapsed="false">
      <c r="H1571" s="0" t="str">
        <f aca="false">IF(B1571="","",IF(COUNTIF(Campaigns!$A$7:$A$300,B1571)&gt;0,"✓","⚠ add to Campaigns tab"))</f>
        <v/>
      </c>
      <c r="I1571" s="84" t="str">
        <f aca="false">IF(C1571="","",C1571*IF(Settings!$B$23=Settings!$C$6,1,IF(Settings!$B$23="USD",1/INDEX(Settings!$B$29:$B$40,MONTH(A1571)),INDEX(Settings!$B$29:$B$40,MONTH(A1571)))))</f>
        <v/>
      </c>
    </row>
    <row r="1572" customFormat="false" ht="15" hidden="false" customHeight="false" outlineLevel="0" collapsed="false">
      <c r="H1572" s="0" t="str">
        <f aca="false">IF(B1572="","",IF(COUNTIF(Campaigns!$A$7:$A$300,B1572)&gt;0,"✓","⚠ add to Campaigns tab"))</f>
        <v/>
      </c>
      <c r="I1572" s="84" t="str">
        <f aca="false">IF(C1572="","",C1572*IF(Settings!$B$23=Settings!$C$6,1,IF(Settings!$B$23="USD",1/INDEX(Settings!$B$29:$B$40,MONTH(A1572)),INDEX(Settings!$B$29:$B$40,MONTH(A1572)))))</f>
        <v/>
      </c>
    </row>
    <row r="1573" customFormat="false" ht="15" hidden="false" customHeight="false" outlineLevel="0" collapsed="false">
      <c r="H1573" s="0" t="str">
        <f aca="false">IF(B1573="","",IF(COUNTIF(Campaigns!$A$7:$A$300,B1573)&gt;0,"✓","⚠ add to Campaigns tab"))</f>
        <v/>
      </c>
      <c r="I1573" s="84" t="str">
        <f aca="false">IF(C1573="","",C1573*IF(Settings!$B$23=Settings!$C$6,1,IF(Settings!$B$23="USD",1/INDEX(Settings!$B$29:$B$40,MONTH(A1573)),INDEX(Settings!$B$29:$B$40,MONTH(A1573)))))</f>
        <v/>
      </c>
    </row>
    <row r="1574" customFormat="false" ht="15" hidden="false" customHeight="false" outlineLevel="0" collapsed="false">
      <c r="H1574" s="0" t="str">
        <f aca="false">IF(B1574="","",IF(COUNTIF(Campaigns!$A$7:$A$300,B1574)&gt;0,"✓","⚠ add to Campaigns tab"))</f>
        <v/>
      </c>
      <c r="I1574" s="84" t="str">
        <f aca="false">IF(C1574="","",C1574*IF(Settings!$B$23=Settings!$C$6,1,IF(Settings!$B$23="USD",1/INDEX(Settings!$B$29:$B$40,MONTH(A1574)),INDEX(Settings!$B$29:$B$40,MONTH(A1574)))))</f>
        <v/>
      </c>
    </row>
    <row r="1575" customFormat="false" ht="15" hidden="false" customHeight="false" outlineLevel="0" collapsed="false">
      <c r="H1575" s="0" t="str">
        <f aca="false">IF(B1575="","",IF(COUNTIF(Campaigns!$A$7:$A$300,B1575)&gt;0,"✓","⚠ add to Campaigns tab"))</f>
        <v/>
      </c>
      <c r="I1575" s="84" t="str">
        <f aca="false">IF(C1575="","",C1575*IF(Settings!$B$23=Settings!$C$6,1,IF(Settings!$B$23="USD",1/INDEX(Settings!$B$29:$B$40,MONTH(A1575)),INDEX(Settings!$B$29:$B$40,MONTH(A1575)))))</f>
        <v/>
      </c>
    </row>
    <row r="1576" customFormat="false" ht="15" hidden="false" customHeight="false" outlineLevel="0" collapsed="false">
      <c r="H1576" s="0" t="str">
        <f aca="false">IF(B1576="","",IF(COUNTIF(Campaigns!$A$7:$A$300,B1576)&gt;0,"✓","⚠ add to Campaigns tab"))</f>
        <v/>
      </c>
      <c r="I1576" s="84" t="str">
        <f aca="false">IF(C1576="","",C1576*IF(Settings!$B$23=Settings!$C$6,1,IF(Settings!$B$23="USD",1/INDEX(Settings!$B$29:$B$40,MONTH(A1576)),INDEX(Settings!$B$29:$B$40,MONTH(A1576)))))</f>
        <v/>
      </c>
    </row>
    <row r="1577" customFormat="false" ht="15" hidden="false" customHeight="false" outlineLevel="0" collapsed="false">
      <c r="H1577" s="0" t="str">
        <f aca="false">IF(B1577="","",IF(COUNTIF(Campaigns!$A$7:$A$300,B1577)&gt;0,"✓","⚠ add to Campaigns tab"))</f>
        <v/>
      </c>
      <c r="I1577" s="84" t="str">
        <f aca="false">IF(C1577="","",C1577*IF(Settings!$B$23=Settings!$C$6,1,IF(Settings!$B$23="USD",1/INDEX(Settings!$B$29:$B$40,MONTH(A1577)),INDEX(Settings!$B$29:$B$40,MONTH(A1577)))))</f>
        <v/>
      </c>
    </row>
    <row r="1578" customFormat="false" ht="15" hidden="false" customHeight="false" outlineLevel="0" collapsed="false">
      <c r="H1578" s="0" t="str">
        <f aca="false">IF(B1578="","",IF(COUNTIF(Campaigns!$A$7:$A$300,B1578)&gt;0,"✓","⚠ add to Campaigns tab"))</f>
        <v/>
      </c>
      <c r="I1578" s="84" t="str">
        <f aca="false">IF(C1578="","",C1578*IF(Settings!$B$23=Settings!$C$6,1,IF(Settings!$B$23="USD",1/INDEX(Settings!$B$29:$B$40,MONTH(A1578)),INDEX(Settings!$B$29:$B$40,MONTH(A1578)))))</f>
        <v/>
      </c>
    </row>
    <row r="1579" customFormat="false" ht="15" hidden="false" customHeight="false" outlineLevel="0" collapsed="false">
      <c r="H1579" s="0" t="str">
        <f aca="false">IF(B1579="","",IF(COUNTIF(Campaigns!$A$7:$A$300,B1579)&gt;0,"✓","⚠ add to Campaigns tab"))</f>
        <v/>
      </c>
      <c r="I1579" s="84" t="str">
        <f aca="false">IF(C1579="","",C1579*IF(Settings!$B$23=Settings!$C$6,1,IF(Settings!$B$23="USD",1/INDEX(Settings!$B$29:$B$40,MONTH(A1579)),INDEX(Settings!$B$29:$B$40,MONTH(A1579)))))</f>
        <v/>
      </c>
    </row>
    <row r="1580" customFormat="false" ht="15" hidden="false" customHeight="false" outlineLevel="0" collapsed="false">
      <c r="H1580" s="0" t="str">
        <f aca="false">IF(B1580="","",IF(COUNTIF(Campaigns!$A$7:$A$300,B1580)&gt;0,"✓","⚠ add to Campaigns tab"))</f>
        <v/>
      </c>
      <c r="I1580" s="84" t="str">
        <f aca="false">IF(C1580="","",C1580*IF(Settings!$B$23=Settings!$C$6,1,IF(Settings!$B$23="USD",1/INDEX(Settings!$B$29:$B$40,MONTH(A1580)),INDEX(Settings!$B$29:$B$40,MONTH(A1580)))))</f>
        <v/>
      </c>
    </row>
    <row r="1581" customFormat="false" ht="15" hidden="false" customHeight="false" outlineLevel="0" collapsed="false">
      <c r="H1581" s="0" t="str">
        <f aca="false">IF(B1581="","",IF(COUNTIF(Campaigns!$A$7:$A$300,B1581)&gt;0,"✓","⚠ add to Campaigns tab"))</f>
        <v/>
      </c>
      <c r="I1581" s="84" t="str">
        <f aca="false">IF(C1581="","",C1581*IF(Settings!$B$23=Settings!$C$6,1,IF(Settings!$B$23="USD",1/INDEX(Settings!$B$29:$B$40,MONTH(A1581)),INDEX(Settings!$B$29:$B$40,MONTH(A1581)))))</f>
        <v/>
      </c>
    </row>
    <row r="1582" customFormat="false" ht="15" hidden="false" customHeight="false" outlineLevel="0" collapsed="false">
      <c r="H1582" s="0" t="str">
        <f aca="false">IF(B1582="","",IF(COUNTIF(Campaigns!$A$7:$A$300,B1582)&gt;0,"✓","⚠ add to Campaigns tab"))</f>
        <v/>
      </c>
      <c r="I1582" s="84" t="str">
        <f aca="false">IF(C1582="","",C1582*IF(Settings!$B$23=Settings!$C$6,1,IF(Settings!$B$23="USD",1/INDEX(Settings!$B$29:$B$40,MONTH(A1582)),INDEX(Settings!$B$29:$B$40,MONTH(A1582)))))</f>
        <v/>
      </c>
    </row>
    <row r="1583" customFormat="false" ht="15" hidden="false" customHeight="false" outlineLevel="0" collapsed="false">
      <c r="H1583" s="0" t="str">
        <f aca="false">IF(B1583="","",IF(COUNTIF(Campaigns!$A$7:$A$300,B1583)&gt;0,"✓","⚠ add to Campaigns tab"))</f>
        <v/>
      </c>
      <c r="I1583" s="84" t="str">
        <f aca="false">IF(C1583="","",C1583*IF(Settings!$B$23=Settings!$C$6,1,IF(Settings!$B$23="USD",1/INDEX(Settings!$B$29:$B$40,MONTH(A1583)),INDEX(Settings!$B$29:$B$40,MONTH(A1583)))))</f>
        <v/>
      </c>
    </row>
    <row r="1584" customFormat="false" ht="15" hidden="false" customHeight="false" outlineLevel="0" collapsed="false">
      <c r="H1584" s="0" t="str">
        <f aca="false">IF(B1584="","",IF(COUNTIF(Campaigns!$A$7:$A$300,B1584)&gt;0,"✓","⚠ add to Campaigns tab"))</f>
        <v/>
      </c>
      <c r="I1584" s="84" t="str">
        <f aca="false">IF(C1584="","",C1584*IF(Settings!$B$23=Settings!$C$6,1,IF(Settings!$B$23="USD",1/INDEX(Settings!$B$29:$B$40,MONTH(A1584)),INDEX(Settings!$B$29:$B$40,MONTH(A1584)))))</f>
        <v/>
      </c>
    </row>
    <row r="1585" customFormat="false" ht="15" hidden="false" customHeight="false" outlineLevel="0" collapsed="false">
      <c r="H1585" s="0" t="str">
        <f aca="false">IF(B1585="","",IF(COUNTIF(Campaigns!$A$7:$A$300,B1585)&gt;0,"✓","⚠ add to Campaigns tab"))</f>
        <v/>
      </c>
      <c r="I1585" s="84" t="str">
        <f aca="false">IF(C1585="","",C1585*IF(Settings!$B$23=Settings!$C$6,1,IF(Settings!$B$23="USD",1/INDEX(Settings!$B$29:$B$40,MONTH(A1585)),INDEX(Settings!$B$29:$B$40,MONTH(A1585)))))</f>
        <v/>
      </c>
    </row>
    <row r="1586" customFormat="false" ht="15" hidden="false" customHeight="false" outlineLevel="0" collapsed="false">
      <c r="H1586" s="0" t="str">
        <f aca="false">IF(B1586="","",IF(COUNTIF(Campaigns!$A$7:$A$300,B1586)&gt;0,"✓","⚠ add to Campaigns tab"))</f>
        <v/>
      </c>
      <c r="I1586" s="84" t="str">
        <f aca="false">IF(C1586="","",C1586*IF(Settings!$B$23=Settings!$C$6,1,IF(Settings!$B$23="USD",1/INDEX(Settings!$B$29:$B$40,MONTH(A1586)),INDEX(Settings!$B$29:$B$40,MONTH(A1586)))))</f>
        <v/>
      </c>
    </row>
    <row r="1587" customFormat="false" ht="15" hidden="false" customHeight="false" outlineLevel="0" collapsed="false">
      <c r="H1587" s="0" t="str">
        <f aca="false">IF(B1587="","",IF(COUNTIF(Campaigns!$A$7:$A$300,B1587)&gt;0,"✓","⚠ add to Campaigns tab"))</f>
        <v/>
      </c>
      <c r="I1587" s="84" t="str">
        <f aca="false">IF(C1587="","",C1587*IF(Settings!$B$23=Settings!$C$6,1,IF(Settings!$B$23="USD",1/INDEX(Settings!$B$29:$B$40,MONTH(A1587)),INDEX(Settings!$B$29:$B$40,MONTH(A1587)))))</f>
        <v/>
      </c>
    </row>
    <row r="1588" customFormat="false" ht="15" hidden="false" customHeight="false" outlineLevel="0" collapsed="false">
      <c r="H1588" s="0" t="str">
        <f aca="false">IF(B1588="","",IF(COUNTIF(Campaigns!$A$7:$A$300,B1588)&gt;0,"✓","⚠ add to Campaigns tab"))</f>
        <v/>
      </c>
      <c r="I1588" s="84" t="str">
        <f aca="false">IF(C1588="","",C1588*IF(Settings!$B$23=Settings!$C$6,1,IF(Settings!$B$23="USD",1/INDEX(Settings!$B$29:$B$40,MONTH(A1588)),INDEX(Settings!$B$29:$B$40,MONTH(A1588)))))</f>
        <v/>
      </c>
    </row>
    <row r="1589" customFormat="false" ht="15" hidden="false" customHeight="false" outlineLevel="0" collapsed="false">
      <c r="H1589" s="0" t="str">
        <f aca="false">IF(B1589="","",IF(COUNTIF(Campaigns!$A$7:$A$300,B1589)&gt;0,"✓","⚠ add to Campaigns tab"))</f>
        <v/>
      </c>
      <c r="I1589" s="84" t="str">
        <f aca="false">IF(C1589="","",C1589*IF(Settings!$B$23=Settings!$C$6,1,IF(Settings!$B$23="USD",1/INDEX(Settings!$B$29:$B$40,MONTH(A1589)),INDEX(Settings!$B$29:$B$40,MONTH(A1589)))))</f>
        <v/>
      </c>
    </row>
    <row r="1590" customFormat="false" ht="15" hidden="false" customHeight="false" outlineLevel="0" collapsed="false">
      <c r="H1590" s="0" t="str">
        <f aca="false">IF(B1590="","",IF(COUNTIF(Campaigns!$A$7:$A$300,B1590)&gt;0,"✓","⚠ add to Campaigns tab"))</f>
        <v/>
      </c>
      <c r="I1590" s="84" t="str">
        <f aca="false">IF(C1590="","",C1590*IF(Settings!$B$23=Settings!$C$6,1,IF(Settings!$B$23="USD",1/INDEX(Settings!$B$29:$B$40,MONTH(A1590)),INDEX(Settings!$B$29:$B$40,MONTH(A1590)))))</f>
        <v/>
      </c>
    </row>
    <row r="1591" customFormat="false" ht="15" hidden="false" customHeight="false" outlineLevel="0" collapsed="false">
      <c r="H1591" s="0" t="str">
        <f aca="false">IF(B1591="","",IF(COUNTIF(Campaigns!$A$7:$A$300,B1591)&gt;0,"✓","⚠ add to Campaigns tab"))</f>
        <v/>
      </c>
      <c r="I1591" s="84" t="str">
        <f aca="false">IF(C1591="","",C1591*IF(Settings!$B$23=Settings!$C$6,1,IF(Settings!$B$23="USD",1/INDEX(Settings!$B$29:$B$40,MONTH(A1591)),INDEX(Settings!$B$29:$B$40,MONTH(A1591)))))</f>
        <v/>
      </c>
    </row>
    <row r="1592" customFormat="false" ht="15" hidden="false" customHeight="false" outlineLevel="0" collapsed="false">
      <c r="H1592" s="0" t="str">
        <f aca="false">IF(B1592="","",IF(COUNTIF(Campaigns!$A$7:$A$300,B1592)&gt;0,"✓","⚠ add to Campaigns tab"))</f>
        <v/>
      </c>
      <c r="I1592" s="84" t="str">
        <f aca="false">IF(C1592="","",C1592*IF(Settings!$B$23=Settings!$C$6,1,IF(Settings!$B$23="USD",1/INDEX(Settings!$B$29:$B$40,MONTH(A1592)),INDEX(Settings!$B$29:$B$40,MONTH(A1592)))))</f>
        <v/>
      </c>
    </row>
    <row r="1593" customFormat="false" ht="15" hidden="false" customHeight="false" outlineLevel="0" collapsed="false">
      <c r="H1593" s="0" t="str">
        <f aca="false">IF(B1593="","",IF(COUNTIF(Campaigns!$A$7:$A$300,B1593)&gt;0,"✓","⚠ add to Campaigns tab"))</f>
        <v/>
      </c>
      <c r="I1593" s="84" t="str">
        <f aca="false">IF(C1593="","",C1593*IF(Settings!$B$23=Settings!$C$6,1,IF(Settings!$B$23="USD",1/INDEX(Settings!$B$29:$B$40,MONTH(A1593)),INDEX(Settings!$B$29:$B$40,MONTH(A1593)))))</f>
        <v/>
      </c>
    </row>
    <row r="1594" customFormat="false" ht="15" hidden="false" customHeight="false" outlineLevel="0" collapsed="false">
      <c r="H1594" s="0" t="str">
        <f aca="false">IF(B1594="","",IF(COUNTIF(Campaigns!$A$7:$A$300,B1594)&gt;0,"✓","⚠ add to Campaigns tab"))</f>
        <v/>
      </c>
      <c r="I1594" s="84" t="str">
        <f aca="false">IF(C1594="","",C1594*IF(Settings!$B$23=Settings!$C$6,1,IF(Settings!$B$23="USD",1/INDEX(Settings!$B$29:$B$40,MONTH(A1594)),INDEX(Settings!$B$29:$B$40,MONTH(A1594)))))</f>
        <v/>
      </c>
    </row>
    <row r="1595" customFormat="false" ht="15" hidden="false" customHeight="false" outlineLevel="0" collapsed="false">
      <c r="H1595" s="0" t="str">
        <f aca="false">IF(B1595="","",IF(COUNTIF(Campaigns!$A$7:$A$300,B1595)&gt;0,"✓","⚠ add to Campaigns tab"))</f>
        <v/>
      </c>
      <c r="I1595" s="84" t="str">
        <f aca="false">IF(C1595="","",C1595*IF(Settings!$B$23=Settings!$C$6,1,IF(Settings!$B$23="USD",1/INDEX(Settings!$B$29:$B$40,MONTH(A1595)),INDEX(Settings!$B$29:$B$40,MONTH(A1595)))))</f>
        <v/>
      </c>
    </row>
    <row r="1596" customFormat="false" ht="15" hidden="false" customHeight="false" outlineLevel="0" collapsed="false">
      <c r="H1596" s="0" t="str">
        <f aca="false">IF(B1596="","",IF(COUNTIF(Campaigns!$A$7:$A$300,B1596)&gt;0,"✓","⚠ add to Campaigns tab"))</f>
        <v/>
      </c>
      <c r="I1596" s="84" t="str">
        <f aca="false">IF(C1596="","",C1596*IF(Settings!$B$23=Settings!$C$6,1,IF(Settings!$B$23="USD",1/INDEX(Settings!$B$29:$B$40,MONTH(A1596)),INDEX(Settings!$B$29:$B$40,MONTH(A1596)))))</f>
        <v/>
      </c>
    </row>
    <row r="1597" customFormat="false" ht="15" hidden="false" customHeight="false" outlineLevel="0" collapsed="false">
      <c r="H1597" s="0" t="str">
        <f aca="false">IF(B1597="","",IF(COUNTIF(Campaigns!$A$7:$A$300,B1597)&gt;0,"✓","⚠ add to Campaigns tab"))</f>
        <v/>
      </c>
      <c r="I1597" s="84" t="str">
        <f aca="false">IF(C1597="","",C1597*IF(Settings!$B$23=Settings!$C$6,1,IF(Settings!$B$23="USD",1/INDEX(Settings!$B$29:$B$40,MONTH(A1597)),INDEX(Settings!$B$29:$B$40,MONTH(A1597)))))</f>
        <v/>
      </c>
    </row>
    <row r="1598" customFormat="false" ht="15" hidden="false" customHeight="false" outlineLevel="0" collapsed="false">
      <c r="H1598" s="0" t="str">
        <f aca="false">IF(B1598="","",IF(COUNTIF(Campaigns!$A$7:$A$300,B1598)&gt;0,"✓","⚠ add to Campaigns tab"))</f>
        <v/>
      </c>
      <c r="I1598" s="84" t="str">
        <f aca="false">IF(C1598="","",C1598*IF(Settings!$B$23=Settings!$C$6,1,IF(Settings!$B$23="USD",1/INDEX(Settings!$B$29:$B$40,MONTH(A1598)),INDEX(Settings!$B$29:$B$40,MONTH(A1598)))))</f>
        <v/>
      </c>
    </row>
    <row r="1599" customFormat="false" ht="15" hidden="false" customHeight="false" outlineLevel="0" collapsed="false">
      <c r="H1599" s="0" t="str">
        <f aca="false">IF(B1599="","",IF(COUNTIF(Campaigns!$A$7:$A$300,B1599)&gt;0,"✓","⚠ add to Campaigns tab"))</f>
        <v/>
      </c>
      <c r="I1599" s="84" t="str">
        <f aca="false">IF(C1599="","",C1599*IF(Settings!$B$23=Settings!$C$6,1,IF(Settings!$B$23="USD",1/INDEX(Settings!$B$29:$B$40,MONTH(A1599)),INDEX(Settings!$B$29:$B$40,MONTH(A1599)))))</f>
        <v/>
      </c>
    </row>
    <row r="1600" customFormat="false" ht="15" hidden="false" customHeight="false" outlineLevel="0" collapsed="false">
      <c r="H1600" s="0" t="str">
        <f aca="false">IF(B1600="","",IF(COUNTIF(Campaigns!$A$7:$A$300,B1600)&gt;0,"✓","⚠ add to Campaigns tab"))</f>
        <v/>
      </c>
      <c r="I1600" s="84" t="str">
        <f aca="false">IF(C1600="","",C1600*IF(Settings!$B$23=Settings!$C$6,1,IF(Settings!$B$23="USD",1/INDEX(Settings!$B$29:$B$40,MONTH(A1600)),INDEX(Settings!$B$29:$B$40,MONTH(A1600)))))</f>
        <v/>
      </c>
    </row>
    <row r="1601" customFormat="false" ht="15" hidden="false" customHeight="false" outlineLevel="0" collapsed="false">
      <c r="H1601" s="0" t="str">
        <f aca="false">IF(B1601="","",IF(COUNTIF(Campaigns!$A$7:$A$300,B1601)&gt;0,"✓","⚠ add to Campaigns tab"))</f>
        <v/>
      </c>
      <c r="I1601" s="84" t="str">
        <f aca="false">IF(C1601="","",C1601*IF(Settings!$B$23=Settings!$C$6,1,IF(Settings!$B$23="USD",1/INDEX(Settings!$B$29:$B$40,MONTH(A1601)),INDEX(Settings!$B$29:$B$40,MONTH(A1601)))))</f>
        <v/>
      </c>
    </row>
    <row r="1602" customFormat="false" ht="15" hidden="false" customHeight="false" outlineLevel="0" collapsed="false">
      <c r="H1602" s="0" t="str">
        <f aca="false">IF(B1602="","",IF(COUNTIF(Campaigns!$A$7:$A$300,B1602)&gt;0,"✓","⚠ add to Campaigns tab"))</f>
        <v/>
      </c>
      <c r="I1602" s="84" t="str">
        <f aca="false">IF(C1602="","",C1602*IF(Settings!$B$23=Settings!$C$6,1,IF(Settings!$B$23="USD",1/INDEX(Settings!$B$29:$B$40,MONTH(A1602)),INDEX(Settings!$B$29:$B$40,MONTH(A1602)))))</f>
        <v/>
      </c>
    </row>
    <row r="1603" customFormat="false" ht="15" hidden="false" customHeight="false" outlineLevel="0" collapsed="false">
      <c r="H1603" s="0" t="str">
        <f aca="false">IF(B1603="","",IF(COUNTIF(Campaigns!$A$7:$A$300,B1603)&gt;0,"✓","⚠ add to Campaigns tab"))</f>
        <v/>
      </c>
      <c r="I1603" s="84" t="str">
        <f aca="false">IF(C1603="","",C1603*IF(Settings!$B$23=Settings!$C$6,1,IF(Settings!$B$23="USD",1/INDEX(Settings!$B$29:$B$40,MONTH(A1603)),INDEX(Settings!$B$29:$B$40,MONTH(A1603)))))</f>
        <v/>
      </c>
    </row>
    <row r="1604" customFormat="false" ht="15" hidden="false" customHeight="false" outlineLevel="0" collapsed="false">
      <c r="H1604" s="0" t="str">
        <f aca="false">IF(B1604="","",IF(COUNTIF(Campaigns!$A$7:$A$300,B1604)&gt;0,"✓","⚠ add to Campaigns tab"))</f>
        <v/>
      </c>
      <c r="I1604" s="84" t="str">
        <f aca="false">IF(C1604="","",C1604*IF(Settings!$B$23=Settings!$C$6,1,IF(Settings!$B$23="USD",1/INDEX(Settings!$B$29:$B$40,MONTH(A1604)),INDEX(Settings!$B$29:$B$40,MONTH(A1604)))))</f>
        <v/>
      </c>
    </row>
    <row r="1605" customFormat="false" ht="15" hidden="false" customHeight="false" outlineLevel="0" collapsed="false">
      <c r="H1605" s="0" t="str">
        <f aca="false">IF(B1605="","",IF(COUNTIF(Campaigns!$A$7:$A$300,B1605)&gt;0,"✓","⚠ add to Campaigns tab"))</f>
        <v/>
      </c>
      <c r="I1605" s="84" t="str">
        <f aca="false">IF(C1605="","",C1605*IF(Settings!$B$23=Settings!$C$6,1,IF(Settings!$B$23="USD",1/INDEX(Settings!$B$29:$B$40,MONTH(A1605)),INDEX(Settings!$B$29:$B$40,MONTH(A1605)))))</f>
        <v/>
      </c>
    </row>
    <row r="1606" customFormat="false" ht="15" hidden="false" customHeight="false" outlineLevel="0" collapsed="false">
      <c r="H1606" s="0" t="str">
        <f aca="false">IF(B1606="","",IF(COUNTIF(Campaigns!$A$7:$A$300,B1606)&gt;0,"✓","⚠ add to Campaigns tab"))</f>
        <v/>
      </c>
      <c r="I1606" s="84" t="str">
        <f aca="false">IF(C1606="","",C1606*IF(Settings!$B$23=Settings!$C$6,1,IF(Settings!$B$23="USD",1/INDEX(Settings!$B$29:$B$40,MONTH(A1606)),INDEX(Settings!$B$29:$B$40,MONTH(A1606)))))</f>
        <v/>
      </c>
    </row>
    <row r="1607" customFormat="false" ht="15" hidden="false" customHeight="false" outlineLevel="0" collapsed="false">
      <c r="H1607" s="0" t="str">
        <f aca="false">IF(B1607="","",IF(COUNTIF(Campaigns!$A$7:$A$300,B1607)&gt;0,"✓","⚠ add to Campaigns tab"))</f>
        <v/>
      </c>
      <c r="I1607" s="84" t="str">
        <f aca="false">IF(C1607="","",C1607*IF(Settings!$B$23=Settings!$C$6,1,IF(Settings!$B$23="USD",1/INDEX(Settings!$B$29:$B$40,MONTH(A1607)),INDEX(Settings!$B$29:$B$40,MONTH(A1607)))))</f>
        <v/>
      </c>
    </row>
    <row r="1608" customFormat="false" ht="15" hidden="false" customHeight="false" outlineLevel="0" collapsed="false">
      <c r="H1608" s="0" t="str">
        <f aca="false">IF(B1608="","",IF(COUNTIF(Campaigns!$A$7:$A$300,B1608)&gt;0,"✓","⚠ add to Campaigns tab"))</f>
        <v/>
      </c>
      <c r="I1608" s="84" t="str">
        <f aca="false">IF(C1608="","",C1608*IF(Settings!$B$23=Settings!$C$6,1,IF(Settings!$B$23="USD",1/INDEX(Settings!$B$29:$B$40,MONTH(A1608)),INDEX(Settings!$B$29:$B$40,MONTH(A1608)))))</f>
        <v/>
      </c>
    </row>
    <row r="1609" customFormat="false" ht="15" hidden="false" customHeight="false" outlineLevel="0" collapsed="false">
      <c r="H1609" s="0" t="str">
        <f aca="false">IF(B1609="","",IF(COUNTIF(Campaigns!$A$7:$A$300,B1609)&gt;0,"✓","⚠ add to Campaigns tab"))</f>
        <v/>
      </c>
      <c r="I1609" s="84" t="str">
        <f aca="false">IF(C1609="","",C1609*IF(Settings!$B$23=Settings!$C$6,1,IF(Settings!$B$23="USD",1/INDEX(Settings!$B$29:$B$40,MONTH(A1609)),INDEX(Settings!$B$29:$B$40,MONTH(A1609)))))</f>
        <v/>
      </c>
    </row>
    <row r="1610" customFormat="false" ht="15" hidden="false" customHeight="false" outlineLevel="0" collapsed="false">
      <c r="H1610" s="0" t="str">
        <f aca="false">IF(B1610="","",IF(COUNTIF(Campaigns!$A$7:$A$300,B1610)&gt;0,"✓","⚠ add to Campaigns tab"))</f>
        <v/>
      </c>
      <c r="I1610" s="84" t="str">
        <f aca="false">IF(C1610="","",C1610*IF(Settings!$B$23=Settings!$C$6,1,IF(Settings!$B$23="USD",1/INDEX(Settings!$B$29:$B$40,MONTH(A1610)),INDEX(Settings!$B$29:$B$40,MONTH(A1610)))))</f>
        <v/>
      </c>
    </row>
    <row r="1611" customFormat="false" ht="15" hidden="false" customHeight="false" outlineLevel="0" collapsed="false">
      <c r="H1611" s="0" t="str">
        <f aca="false">IF(B1611="","",IF(COUNTIF(Campaigns!$A$7:$A$300,B1611)&gt;0,"✓","⚠ add to Campaigns tab"))</f>
        <v/>
      </c>
      <c r="I1611" s="84" t="str">
        <f aca="false">IF(C1611="","",C1611*IF(Settings!$B$23=Settings!$C$6,1,IF(Settings!$B$23="USD",1/INDEX(Settings!$B$29:$B$40,MONTH(A1611)),INDEX(Settings!$B$29:$B$40,MONTH(A1611)))))</f>
        <v/>
      </c>
    </row>
    <row r="1612" customFormat="false" ht="15" hidden="false" customHeight="false" outlineLevel="0" collapsed="false">
      <c r="H1612" s="0" t="str">
        <f aca="false">IF(B1612="","",IF(COUNTIF(Campaigns!$A$7:$A$300,B1612)&gt;0,"✓","⚠ add to Campaigns tab"))</f>
        <v/>
      </c>
      <c r="I1612" s="84" t="str">
        <f aca="false">IF(C1612="","",C1612*IF(Settings!$B$23=Settings!$C$6,1,IF(Settings!$B$23="USD",1/INDEX(Settings!$B$29:$B$40,MONTH(A1612)),INDEX(Settings!$B$29:$B$40,MONTH(A1612)))))</f>
        <v/>
      </c>
    </row>
    <row r="1613" customFormat="false" ht="15" hidden="false" customHeight="false" outlineLevel="0" collapsed="false">
      <c r="H1613" s="0" t="str">
        <f aca="false">IF(B1613="","",IF(COUNTIF(Campaigns!$A$7:$A$300,B1613)&gt;0,"✓","⚠ add to Campaigns tab"))</f>
        <v/>
      </c>
      <c r="I1613" s="84" t="str">
        <f aca="false">IF(C1613="","",C1613*IF(Settings!$B$23=Settings!$C$6,1,IF(Settings!$B$23="USD",1/INDEX(Settings!$B$29:$B$40,MONTH(A1613)),INDEX(Settings!$B$29:$B$40,MONTH(A1613)))))</f>
        <v/>
      </c>
    </row>
    <row r="1614" customFormat="false" ht="15" hidden="false" customHeight="false" outlineLevel="0" collapsed="false">
      <c r="H1614" s="0" t="str">
        <f aca="false">IF(B1614="","",IF(COUNTIF(Campaigns!$A$7:$A$300,B1614)&gt;0,"✓","⚠ add to Campaigns tab"))</f>
        <v/>
      </c>
      <c r="I1614" s="84" t="str">
        <f aca="false">IF(C1614="","",C1614*IF(Settings!$B$23=Settings!$C$6,1,IF(Settings!$B$23="USD",1/INDEX(Settings!$B$29:$B$40,MONTH(A1614)),INDEX(Settings!$B$29:$B$40,MONTH(A1614)))))</f>
        <v/>
      </c>
    </row>
    <row r="1615" customFormat="false" ht="15" hidden="false" customHeight="false" outlineLevel="0" collapsed="false">
      <c r="H1615" s="0" t="str">
        <f aca="false">IF(B1615="","",IF(COUNTIF(Campaigns!$A$7:$A$300,B1615)&gt;0,"✓","⚠ add to Campaigns tab"))</f>
        <v/>
      </c>
      <c r="I1615" s="84" t="str">
        <f aca="false">IF(C1615="","",C1615*IF(Settings!$B$23=Settings!$C$6,1,IF(Settings!$B$23="USD",1/INDEX(Settings!$B$29:$B$40,MONTH(A1615)),INDEX(Settings!$B$29:$B$40,MONTH(A1615)))))</f>
        <v/>
      </c>
    </row>
    <row r="1616" customFormat="false" ht="15" hidden="false" customHeight="false" outlineLevel="0" collapsed="false">
      <c r="H1616" s="0" t="str">
        <f aca="false">IF(B1616="","",IF(COUNTIF(Campaigns!$A$7:$A$300,B1616)&gt;0,"✓","⚠ add to Campaigns tab"))</f>
        <v/>
      </c>
      <c r="I1616" s="84" t="str">
        <f aca="false">IF(C1616="","",C1616*IF(Settings!$B$23=Settings!$C$6,1,IF(Settings!$B$23="USD",1/INDEX(Settings!$B$29:$B$40,MONTH(A1616)),INDEX(Settings!$B$29:$B$40,MONTH(A1616)))))</f>
        <v/>
      </c>
    </row>
    <row r="1617" customFormat="false" ht="15" hidden="false" customHeight="false" outlineLevel="0" collapsed="false">
      <c r="H1617" s="0" t="str">
        <f aca="false">IF(B1617="","",IF(COUNTIF(Campaigns!$A$7:$A$300,B1617)&gt;0,"✓","⚠ add to Campaigns tab"))</f>
        <v/>
      </c>
      <c r="I1617" s="84" t="str">
        <f aca="false">IF(C1617="","",C1617*IF(Settings!$B$23=Settings!$C$6,1,IF(Settings!$B$23="USD",1/INDEX(Settings!$B$29:$B$40,MONTH(A1617)),INDEX(Settings!$B$29:$B$40,MONTH(A1617)))))</f>
        <v/>
      </c>
    </row>
    <row r="1618" customFormat="false" ht="15" hidden="false" customHeight="false" outlineLevel="0" collapsed="false">
      <c r="H1618" s="0" t="str">
        <f aca="false">IF(B1618="","",IF(COUNTIF(Campaigns!$A$7:$A$300,B1618)&gt;0,"✓","⚠ add to Campaigns tab"))</f>
        <v/>
      </c>
      <c r="I1618" s="84" t="str">
        <f aca="false">IF(C1618="","",C1618*IF(Settings!$B$23=Settings!$C$6,1,IF(Settings!$B$23="USD",1/INDEX(Settings!$B$29:$B$40,MONTH(A1618)),INDEX(Settings!$B$29:$B$40,MONTH(A1618)))))</f>
        <v/>
      </c>
    </row>
    <row r="1619" customFormat="false" ht="15" hidden="false" customHeight="false" outlineLevel="0" collapsed="false">
      <c r="H1619" s="0" t="str">
        <f aca="false">IF(B1619="","",IF(COUNTIF(Campaigns!$A$7:$A$300,B1619)&gt;0,"✓","⚠ add to Campaigns tab"))</f>
        <v/>
      </c>
      <c r="I1619" s="84" t="str">
        <f aca="false">IF(C1619="","",C1619*IF(Settings!$B$23=Settings!$C$6,1,IF(Settings!$B$23="USD",1/INDEX(Settings!$B$29:$B$40,MONTH(A1619)),INDEX(Settings!$B$29:$B$40,MONTH(A1619)))))</f>
        <v/>
      </c>
    </row>
    <row r="1620" customFormat="false" ht="15" hidden="false" customHeight="false" outlineLevel="0" collapsed="false">
      <c r="H1620" s="0" t="str">
        <f aca="false">IF(B1620="","",IF(COUNTIF(Campaigns!$A$7:$A$300,B1620)&gt;0,"✓","⚠ add to Campaigns tab"))</f>
        <v/>
      </c>
      <c r="I1620" s="84" t="str">
        <f aca="false">IF(C1620="","",C1620*IF(Settings!$B$23=Settings!$C$6,1,IF(Settings!$B$23="USD",1/INDEX(Settings!$B$29:$B$40,MONTH(A1620)),INDEX(Settings!$B$29:$B$40,MONTH(A1620)))))</f>
        <v/>
      </c>
    </row>
    <row r="1621" customFormat="false" ht="15" hidden="false" customHeight="false" outlineLevel="0" collapsed="false">
      <c r="H1621" s="0" t="str">
        <f aca="false">IF(B1621="","",IF(COUNTIF(Campaigns!$A$7:$A$300,B1621)&gt;0,"✓","⚠ add to Campaigns tab"))</f>
        <v/>
      </c>
      <c r="I1621" s="84" t="str">
        <f aca="false">IF(C1621="","",C1621*IF(Settings!$B$23=Settings!$C$6,1,IF(Settings!$B$23="USD",1/INDEX(Settings!$B$29:$B$40,MONTH(A1621)),INDEX(Settings!$B$29:$B$40,MONTH(A1621)))))</f>
        <v/>
      </c>
    </row>
    <row r="1622" customFormat="false" ht="15" hidden="false" customHeight="false" outlineLevel="0" collapsed="false">
      <c r="H1622" s="0" t="str">
        <f aca="false">IF(B1622="","",IF(COUNTIF(Campaigns!$A$7:$A$300,B1622)&gt;0,"✓","⚠ add to Campaigns tab"))</f>
        <v/>
      </c>
      <c r="I1622" s="84" t="str">
        <f aca="false">IF(C1622="","",C1622*IF(Settings!$B$23=Settings!$C$6,1,IF(Settings!$B$23="USD",1/INDEX(Settings!$B$29:$B$40,MONTH(A1622)),INDEX(Settings!$B$29:$B$40,MONTH(A1622)))))</f>
        <v/>
      </c>
    </row>
    <row r="1623" customFormat="false" ht="15" hidden="false" customHeight="false" outlineLevel="0" collapsed="false">
      <c r="H1623" s="0" t="str">
        <f aca="false">IF(B1623="","",IF(COUNTIF(Campaigns!$A$7:$A$300,B1623)&gt;0,"✓","⚠ add to Campaigns tab"))</f>
        <v/>
      </c>
      <c r="I1623" s="84" t="str">
        <f aca="false">IF(C1623="","",C1623*IF(Settings!$B$23=Settings!$C$6,1,IF(Settings!$B$23="USD",1/INDEX(Settings!$B$29:$B$40,MONTH(A1623)),INDEX(Settings!$B$29:$B$40,MONTH(A1623)))))</f>
        <v/>
      </c>
    </row>
    <row r="1624" customFormat="false" ht="15" hidden="false" customHeight="false" outlineLevel="0" collapsed="false">
      <c r="H1624" s="0" t="str">
        <f aca="false">IF(B1624="","",IF(COUNTIF(Campaigns!$A$7:$A$300,B1624)&gt;0,"✓","⚠ add to Campaigns tab"))</f>
        <v/>
      </c>
      <c r="I1624" s="84" t="str">
        <f aca="false">IF(C1624="","",C1624*IF(Settings!$B$23=Settings!$C$6,1,IF(Settings!$B$23="USD",1/INDEX(Settings!$B$29:$B$40,MONTH(A1624)),INDEX(Settings!$B$29:$B$40,MONTH(A1624)))))</f>
        <v/>
      </c>
    </row>
    <row r="1625" customFormat="false" ht="15" hidden="false" customHeight="false" outlineLevel="0" collapsed="false">
      <c r="H1625" s="0" t="str">
        <f aca="false">IF(B1625="","",IF(COUNTIF(Campaigns!$A$7:$A$300,B1625)&gt;0,"✓","⚠ add to Campaigns tab"))</f>
        <v/>
      </c>
      <c r="I1625" s="84" t="str">
        <f aca="false">IF(C1625="","",C1625*IF(Settings!$B$23=Settings!$C$6,1,IF(Settings!$B$23="USD",1/INDEX(Settings!$B$29:$B$40,MONTH(A1625)),INDEX(Settings!$B$29:$B$40,MONTH(A1625)))))</f>
        <v/>
      </c>
    </row>
    <row r="1626" customFormat="false" ht="15" hidden="false" customHeight="false" outlineLevel="0" collapsed="false">
      <c r="H1626" s="0" t="str">
        <f aca="false">IF(B1626="","",IF(COUNTIF(Campaigns!$A$7:$A$300,B1626)&gt;0,"✓","⚠ add to Campaigns tab"))</f>
        <v/>
      </c>
      <c r="I1626" s="84" t="str">
        <f aca="false">IF(C1626="","",C1626*IF(Settings!$B$23=Settings!$C$6,1,IF(Settings!$B$23="USD",1/INDEX(Settings!$B$29:$B$40,MONTH(A1626)),INDEX(Settings!$B$29:$B$40,MONTH(A1626)))))</f>
        <v/>
      </c>
    </row>
    <row r="1627" customFormat="false" ht="15" hidden="false" customHeight="false" outlineLevel="0" collapsed="false">
      <c r="H1627" s="0" t="str">
        <f aca="false">IF(B1627="","",IF(COUNTIF(Campaigns!$A$7:$A$300,B1627)&gt;0,"✓","⚠ add to Campaigns tab"))</f>
        <v/>
      </c>
      <c r="I1627" s="84" t="str">
        <f aca="false">IF(C1627="","",C1627*IF(Settings!$B$23=Settings!$C$6,1,IF(Settings!$B$23="USD",1/INDEX(Settings!$B$29:$B$40,MONTH(A1627)),INDEX(Settings!$B$29:$B$40,MONTH(A1627)))))</f>
        <v/>
      </c>
    </row>
    <row r="1628" customFormat="false" ht="15" hidden="false" customHeight="false" outlineLevel="0" collapsed="false">
      <c r="H1628" s="0" t="str">
        <f aca="false">IF(B1628="","",IF(COUNTIF(Campaigns!$A$7:$A$300,B1628)&gt;0,"✓","⚠ add to Campaigns tab"))</f>
        <v/>
      </c>
      <c r="I1628" s="84" t="str">
        <f aca="false">IF(C1628="","",C1628*IF(Settings!$B$23=Settings!$C$6,1,IF(Settings!$B$23="USD",1/INDEX(Settings!$B$29:$B$40,MONTH(A1628)),INDEX(Settings!$B$29:$B$40,MONTH(A1628)))))</f>
        <v/>
      </c>
    </row>
    <row r="1629" customFormat="false" ht="15" hidden="false" customHeight="false" outlineLevel="0" collapsed="false">
      <c r="H1629" s="0" t="str">
        <f aca="false">IF(B1629="","",IF(COUNTIF(Campaigns!$A$7:$A$300,B1629)&gt;0,"✓","⚠ add to Campaigns tab"))</f>
        <v/>
      </c>
      <c r="I1629" s="84" t="str">
        <f aca="false">IF(C1629="","",C1629*IF(Settings!$B$23=Settings!$C$6,1,IF(Settings!$B$23="USD",1/INDEX(Settings!$B$29:$B$40,MONTH(A1629)),INDEX(Settings!$B$29:$B$40,MONTH(A1629)))))</f>
        <v/>
      </c>
    </row>
    <row r="1630" customFormat="false" ht="15" hidden="false" customHeight="false" outlineLevel="0" collapsed="false">
      <c r="H1630" s="0" t="str">
        <f aca="false">IF(B1630="","",IF(COUNTIF(Campaigns!$A$7:$A$300,B1630)&gt;0,"✓","⚠ add to Campaigns tab"))</f>
        <v/>
      </c>
      <c r="I1630" s="84" t="str">
        <f aca="false">IF(C1630="","",C1630*IF(Settings!$B$23=Settings!$C$6,1,IF(Settings!$B$23="USD",1/INDEX(Settings!$B$29:$B$40,MONTH(A1630)),INDEX(Settings!$B$29:$B$40,MONTH(A1630)))))</f>
        <v/>
      </c>
    </row>
    <row r="1631" customFormat="false" ht="15" hidden="false" customHeight="false" outlineLevel="0" collapsed="false">
      <c r="H1631" s="0" t="str">
        <f aca="false">IF(B1631="","",IF(COUNTIF(Campaigns!$A$7:$A$300,B1631)&gt;0,"✓","⚠ add to Campaigns tab"))</f>
        <v/>
      </c>
      <c r="I1631" s="84" t="str">
        <f aca="false">IF(C1631="","",C1631*IF(Settings!$B$23=Settings!$C$6,1,IF(Settings!$B$23="USD",1/INDEX(Settings!$B$29:$B$40,MONTH(A1631)),INDEX(Settings!$B$29:$B$40,MONTH(A1631)))))</f>
        <v/>
      </c>
    </row>
    <row r="1632" customFormat="false" ht="15" hidden="false" customHeight="false" outlineLevel="0" collapsed="false">
      <c r="H1632" s="0" t="str">
        <f aca="false">IF(B1632="","",IF(COUNTIF(Campaigns!$A$7:$A$300,B1632)&gt;0,"✓","⚠ add to Campaigns tab"))</f>
        <v/>
      </c>
      <c r="I1632" s="84" t="str">
        <f aca="false">IF(C1632="","",C1632*IF(Settings!$B$23=Settings!$C$6,1,IF(Settings!$B$23="USD",1/INDEX(Settings!$B$29:$B$40,MONTH(A1632)),INDEX(Settings!$B$29:$B$40,MONTH(A1632)))))</f>
        <v/>
      </c>
    </row>
    <row r="1633" customFormat="false" ht="15" hidden="false" customHeight="false" outlineLevel="0" collapsed="false">
      <c r="H1633" s="0" t="str">
        <f aca="false">IF(B1633="","",IF(COUNTIF(Campaigns!$A$7:$A$300,B1633)&gt;0,"✓","⚠ add to Campaigns tab"))</f>
        <v/>
      </c>
      <c r="I1633" s="84" t="str">
        <f aca="false">IF(C1633="","",C1633*IF(Settings!$B$23=Settings!$C$6,1,IF(Settings!$B$23="USD",1/INDEX(Settings!$B$29:$B$40,MONTH(A1633)),INDEX(Settings!$B$29:$B$40,MONTH(A1633)))))</f>
        <v/>
      </c>
    </row>
    <row r="1634" customFormat="false" ht="15" hidden="false" customHeight="false" outlineLevel="0" collapsed="false">
      <c r="H1634" s="0" t="str">
        <f aca="false">IF(B1634="","",IF(COUNTIF(Campaigns!$A$7:$A$300,B1634)&gt;0,"✓","⚠ add to Campaigns tab"))</f>
        <v/>
      </c>
      <c r="I1634" s="84" t="str">
        <f aca="false">IF(C1634="","",C1634*IF(Settings!$B$23=Settings!$C$6,1,IF(Settings!$B$23="USD",1/INDEX(Settings!$B$29:$B$40,MONTH(A1634)),INDEX(Settings!$B$29:$B$40,MONTH(A1634)))))</f>
        <v/>
      </c>
    </row>
    <row r="1635" customFormat="false" ht="15" hidden="false" customHeight="false" outlineLevel="0" collapsed="false">
      <c r="H1635" s="0" t="str">
        <f aca="false">IF(B1635="","",IF(COUNTIF(Campaigns!$A$7:$A$300,B1635)&gt;0,"✓","⚠ add to Campaigns tab"))</f>
        <v/>
      </c>
      <c r="I1635" s="84" t="str">
        <f aca="false">IF(C1635="","",C1635*IF(Settings!$B$23=Settings!$C$6,1,IF(Settings!$B$23="USD",1/INDEX(Settings!$B$29:$B$40,MONTH(A1635)),INDEX(Settings!$B$29:$B$40,MONTH(A1635)))))</f>
        <v/>
      </c>
    </row>
    <row r="1636" customFormat="false" ht="15" hidden="false" customHeight="false" outlineLevel="0" collapsed="false">
      <c r="H1636" s="0" t="str">
        <f aca="false">IF(B1636="","",IF(COUNTIF(Campaigns!$A$7:$A$300,B1636)&gt;0,"✓","⚠ add to Campaigns tab"))</f>
        <v/>
      </c>
      <c r="I1636" s="84" t="str">
        <f aca="false">IF(C1636="","",C1636*IF(Settings!$B$23=Settings!$C$6,1,IF(Settings!$B$23="USD",1/INDEX(Settings!$B$29:$B$40,MONTH(A1636)),INDEX(Settings!$B$29:$B$40,MONTH(A1636)))))</f>
        <v/>
      </c>
    </row>
    <row r="1637" customFormat="false" ht="15" hidden="false" customHeight="false" outlineLevel="0" collapsed="false">
      <c r="H1637" s="0" t="str">
        <f aca="false">IF(B1637="","",IF(COUNTIF(Campaigns!$A$7:$A$300,B1637)&gt;0,"✓","⚠ add to Campaigns tab"))</f>
        <v/>
      </c>
      <c r="I1637" s="84" t="str">
        <f aca="false">IF(C1637="","",C1637*IF(Settings!$B$23=Settings!$C$6,1,IF(Settings!$B$23="USD",1/INDEX(Settings!$B$29:$B$40,MONTH(A1637)),INDEX(Settings!$B$29:$B$40,MONTH(A1637)))))</f>
        <v/>
      </c>
    </row>
    <row r="1638" customFormat="false" ht="15" hidden="false" customHeight="false" outlineLevel="0" collapsed="false">
      <c r="H1638" s="0" t="str">
        <f aca="false">IF(B1638="","",IF(COUNTIF(Campaigns!$A$7:$A$300,B1638)&gt;0,"✓","⚠ add to Campaigns tab"))</f>
        <v/>
      </c>
      <c r="I1638" s="84" t="str">
        <f aca="false">IF(C1638="","",C1638*IF(Settings!$B$23=Settings!$C$6,1,IF(Settings!$B$23="USD",1/INDEX(Settings!$B$29:$B$40,MONTH(A1638)),INDEX(Settings!$B$29:$B$40,MONTH(A1638)))))</f>
        <v/>
      </c>
    </row>
    <row r="1639" customFormat="false" ht="15" hidden="false" customHeight="false" outlineLevel="0" collapsed="false">
      <c r="H1639" s="0" t="str">
        <f aca="false">IF(B1639="","",IF(COUNTIF(Campaigns!$A$7:$A$300,B1639)&gt;0,"✓","⚠ add to Campaigns tab"))</f>
        <v/>
      </c>
      <c r="I1639" s="84" t="str">
        <f aca="false">IF(C1639="","",C1639*IF(Settings!$B$23=Settings!$C$6,1,IF(Settings!$B$23="USD",1/INDEX(Settings!$B$29:$B$40,MONTH(A1639)),INDEX(Settings!$B$29:$B$40,MONTH(A1639)))))</f>
        <v/>
      </c>
    </row>
    <row r="1640" customFormat="false" ht="15" hidden="false" customHeight="false" outlineLevel="0" collapsed="false">
      <c r="H1640" s="0" t="str">
        <f aca="false">IF(B1640="","",IF(COUNTIF(Campaigns!$A$7:$A$300,B1640)&gt;0,"✓","⚠ add to Campaigns tab"))</f>
        <v/>
      </c>
      <c r="I1640" s="84" t="str">
        <f aca="false">IF(C1640="","",C1640*IF(Settings!$B$23=Settings!$C$6,1,IF(Settings!$B$23="USD",1/INDEX(Settings!$B$29:$B$40,MONTH(A1640)),INDEX(Settings!$B$29:$B$40,MONTH(A1640)))))</f>
        <v/>
      </c>
    </row>
    <row r="1641" customFormat="false" ht="15" hidden="false" customHeight="false" outlineLevel="0" collapsed="false">
      <c r="H1641" s="0" t="str">
        <f aca="false">IF(B1641="","",IF(COUNTIF(Campaigns!$A$7:$A$300,B1641)&gt;0,"✓","⚠ add to Campaigns tab"))</f>
        <v/>
      </c>
      <c r="I1641" s="84" t="str">
        <f aca="false">IF(C1641="","",C1641*IF(Settings!$B$23=Settings!$C$6,1,IF(Settings!$B$23="USD",1/INDEX(Settings!$B$29:$B$40,MONTH(A1641)),INDEX(Settings!$B$29:$B$40,MONTH(A1641)))))</f>
        <v/>
      </c>
    </row>
    <row r="1642" customFormat="false" ht="15" hidden="false" customHeight="false" outlineLevel="0" collapsed="false">
      <c r="H1642" s="0" t="str">
        <f aca="false">IF(B1642="","",IF(COUNTIF(Campaigns!$A$7:$A$300,B1642)&gt;0,"✓","⚠ add to Campaigns tab"))</f>
        <v/>
      </c>
      <c r="I1642" s="84" t="str">
        <f aca="false">IF(C1642="","",C1642*IF(Settings!$B$23=Settings!$C$6,1,IF(Settings!$B$23="USD",1/INDEX(Settings!$B$29:$B$40,MONTH(A1642)),INDEX(Settings!$B$29:$B$40,MONTH(A1642)))))</f>
        <v/>
      </c>
    </row>
    <row r="1643" customFormat="false" ht="15" hidden="false" customHeight="false" outlineLevel="0" collapsed="false">
      <c r="H1643" s="0" t="str">
        <f aca="false">IF(B1643="","",IF(COUNTIF(Campaigns!$A$7:$A$300,B1643)&gt;0,"✓","⚠ add to Campaigns tab"))</f>
        <v/>
      </c>
      <c r="I1643" s="84" t="str">
        <f aca="false">IF(C1643="","",C1643*IF(Settings!$B$23=Settings!$C$6,1,IF(Settings!$B$23="USD",1/INDEX(Settings!$B$29:$B$40,MONTH(A1643)),INDEX(Settings!$B$29:$B$40,MONTH(A1643)))))</f>
        <v/>
      </c>
    </row>
    <row r="1644" customFormat="false" ht="15" hidden="false" customHeight="false" outlineLevel="0" collapsed="false">
      <c r="H1644" s="0" t="str">
        <f aca="false">IF(B1644="","",IF(COUNTIF(Campaigns!$A$7:$A$300,B1644)&gt;0,"✓","⚠ add to Campaigns tab"))</f>
        <v/>
      </c>
      <c r="I1644" s="84" t="str">
        <f aca="false">IF(C1644="","",C1644*IF(Settings!$B$23=Settings!$C$6,1,IF(Settings!$B$23="USD",1/INDEX(Settings!$B$29:$B$40,MONTH(A1644)),INDEX(Settings!$B$29:$B$40,MONTH(A1644)))))</f>
        <v/>
      </c>
    </row>
    <row r="1645" customFormat="false" ht="15" hidden="false" customHeight="false" outlineLevel="0" collapsed="false">
      <c r="H1645" s="0" t="str">
        <f aca="false">IF(B1645="","",IF(COUNTIF(Campaigns!$A$7:$A$300,B1645)&gt;0,"✓","⚠ add to Campaigns tab"))</f>
        <v/>
      </c>
      <c r="I1645" s="84" t="str">
        <f aca="false">IF(C1645="","",C1645*IF(Settings!$B$23=Settings!$C$6,1,IF(Settings!$B$23="USD",1/INDEX(Settings!$B$29:$B$40,MONTH(A1645)),INDEX(Settings!$B$29:$B$40,MONTH(A1645)))))</f>
        <v/>
      </c>
    </row>
    <row r="1646" customFormat="false" ht="15" hidden="false" customHeight="false" outlineLevel="0" collapsed="false">
      <c r="H1646" s="0" t="str">
        <f aca="false">IF(B1646="","",IF(COUNTIF(Campaigns!$A$7:$A$300,B1646)&gt;0,"✓","⚠ add to Campaigns tab"))</f>
        <v/>
      </c>
      <c r="I1646" s="84" t="str">
        <f aca="false">IF(C1646="","",C1646*IF(Settings!$B$23=Settings!$C$6,1,IF(Settings!$B$23="USD",1/INDEX(Settings!$B$29:$B$40,MONTH(A1646)),INDEX(Settings!$B$29:$B$40,MONTH(A1646)))))</f>
        <v/>
      </c>
    </row>
    <row r="1647" customFormat="false" ht="15" hidden="false" customHeight="false" outlineLevel="0" collapsed="false">
      <c r="H1647" s="0" t="str">
        <f aca="false">IF(B1647="","",IF(COUNTIF(Campaigns!$A$7:$A$300,B1647)&gt;0,"✓","⚠ add to Campaigns tab"))</f>
        <v/>
      </c>
      <c r="I1647" s="84" t="str">
        <f aca="false">IF(C1647="","",C1647*IF(Settings!$B$23=Settings!$C$6,1,IF(Settings!$B$23="USD",1/INDEX(Settings!$B$29:$B$40,MONTH(A1647)),INDEX(Settings!$B$29:$B$40,MONTH(A1647)))))</f>
        <v/>
      </c>
    </row>
    <row r="1648" customFormat="false" ht="15" hidden="false" customHeight="false" outlineLevel="0" collapsed="false">
      <c r="H1648" s="0" t="str">
        <f aca="false">IF(B1648="","",IF(COUNTIF(Campaigns!$A$7:$A$300,B1648)&gt;0,"✓","⚠ add to Campaigns tab"))</f>
        <v/>
      </c>
      <c r="I1648" s="84" t="str">
        <f aca="false">IF(C1648="","",C1648*IF(Settings!$B$23=Settings!$C$6,1,IF(Settings!$B$23="USD",1/INDEX(Settings!$B$29:$B$40,MONTH(A1648)),INDEX(Settings!$B$29:$B$40,MONTH(A1648)))))</f>
        <v/>
      </c>
    </row>
    <row r="1649" customFormat="false" ht="15" hidden="false" customHeight="false" outlineLevel="0" collapsed="false">
      <c r="H1649" s="0" t="str">
        <f aca="false">IF(B1649="","",IF(COUNTIF(Campaigns!$A$7:$A$300,B1649)&gt;0,"✓","⚠ add to Campaigns tab"))</f>
        <v/>
      </c>
      <c r="I1649" s="84" t="str">
        <f aca="false">IF(C1649="","",C1649*IF(Settings!$B$23=Settings!$C$6,1,IF(Settings!$B$23="USD",1/INDEX(Settings!$B$29:$B$40,MONTH(A1649)),INDEX(Settings!$B$29:$B$40,MONTH(A1649)))))</f>
        <v/>
      </c>
    </row>
    <row r="1650" customFormat="false" ht="15" hidden="false" customHeight="false" outlineLevel="0" collapsed="false">
      <c r="H1650" s="0" t="str">
        <f aca="false">IF(B1650="","",IF(COUNTIF(Campaigns!$A$7:$A$300,B1650)&gt;0,"✓","⚠ add to Campaigns tab"))</f>
        <v/>
      </c>
      <c r="I1650" s="84" t="str">
        <f aca="false">IF(C1650="","",C1650*IF(Settings!$B$23=Settings!$C$6,1,IF(Settings!$B$23="USD",1/INDEX(Settings!$B$29:$B$40,MONTH(A1650)),INDEX(Settings!$B$29:$B$40,MONTH(A1650)))))</f>
        <v/>
      </c>
    </row>
    <row r="1651" customFormat="false" ht="15" hidden="false" customHeight="false" outlineLevel="0" collapsed="false">
      <c r="H1651" s="0" t="str">
        <f aca="false">IF(B1651="","",IF(COUNTIF(Campaigns!$A$7:$A$300,B1651)&gt;0,"✓","⚠ add to Campaigns tab"))</f>
        <v/>
      </c>
      <c r="I1651" s="84" t="str">
        <f aca="false">IF(C1651="","",C1651*IF(Settings!$B$23=Settings!$C$6,1,IF(Settings!$B$23="USD",1/INDEX(Settings!$B$29:$B$40,MONTH(A1651)),INDEX(Settings!$B$29:$B$40,MONTH(A1651)))))</f>
        <v/>
      </c>
    </row>
    <row r="1652" customFormat="false" ht="15" hidden="false" customHeight="false" outlineLevel="0" collapsed="false">
      <c r="H1652" s="0" t="str">
        <f aca="false">IF(B1652="","",IF(COUNTIF(Campaigns!$A$7:$A$300,B1652)&gt;0,"✓","⚠ add to Campaigns tab"))</f>
        <v/>
      </c>
      <c r="I1652" s="84" t="str">
        <f aca="false">IF(C1652="","",C1652*IF(Settings!$B$23=Settings!$C$6,1,IF(Settings!$B$23="USD",1/INDEX(Settings!$B$29:$B$40,MONTH(A1652)),INDEX(Settings!$B$29:$B$40,MONTH(A1652)))))</f>
        <v/>
      </c>
    </row>
    <row r="1653" customFormat="false" ht="15" hidden="false" customHeight="false" outlineLevel="0" collapsed="false">
      <c r="H1653" s="0" t="str">
        <f aca="false">IF(B1653="","",IF(COUNTIF(Campaigns!$A$7:$A$300,B1653)&gt;0,"✓","⚠ add to Campaigns tab"))</f>
        <v/>
      </c>
      <c r="I1653" s="84" t="str">
        <f aca="false">IF(C1653="","",C1653*IF(Settings!$B$23=Settings!$C$6,1,IF(Settings!$B$23="USD",1/INDEX(Settings!$B$29:$B$40,MONTH(A1653)),INDEX(Settings!$B$29:$B$40,MONTH(A1653)))))</f>
        <v/>
      </c>
    </row>
    <row r="1654" customFormat="false" ht="15" hidden="false" customHeight="false" outlineLevel="0" collapsed="false">
      <c r="H1654" s="0" t="str">
        <f aca="false">IF(B1654="","",IF(COUNTIF(Campaigns!$A$7:$A$300,B1654)&gt;0,"✓","⚠ add to Campaigns tab"))</f>
        <v/>
      </c>
      <c r="I1654" s="84" t="str">
        <f aca="false">IF(C1654="","",C1654*IF(Settings!$B$23=Settings!$C$6,1,IF(Settings!$B$23="USD",1/INDEX(Settings!$B$29:$B$40,MONTH(A1654)),INDEX(Settings!$B$29:$B$40,MONTH(A1654)))))</f>
        <v/>
      </c>
    </row>
    <row r="1655" customFormat="false" ht="15" hidden="false" customHeight="false" outlineLevel="0" collapsed="false">
      <c r="H1655" s="0" t="str">
        <f aca="false">IF(B1655="","",IF(COUNTIF(Campaigns!$A$7:$A$300,B1655)&gt;0,"✓","⚠ add to Campaigns tab"))</f>
        <v/>
      </c>
      <c r="I1655" s="84" t="str">
        <f aca="false">IF(C1655="","",C1655*IF(Settings!$B$23=Settings!$C$6,1,IF(Settings!$B$23="USD",1/INDEX(Settings!$B$29:$B$40,MONTH(A1655)),INDEX(Settings!$B$29:$B$40,MONTH(A1655)))))</f>
        <v/>
      </c>
    </row>
    <row r="1656" customFormat="false" ht="15" hidden="false" customHeight="false" outlineLevel="0" collapsed="false">
      <c r="H1656" s="0" t="str">
        <f aca="false">IF(B1656="","",IF(COUNTIF(Campaigns!$A$7:$A$300,B1656)&gt;0,"✓","⚠ add to Campaigns tab"))</f>
        <v/>
      </c>
      <c r="I1656" s="84" t="str">
        <f aca="false">IF(C1656="","",C1656*IF(Settings!$B$23=Settings!$C$6,1,IF(Settings!$B$23="USD",1/INDEX(Settings!$B$29:$B$40,MONTH(A1656)),INDEX(Settings!$B$29:$B$40,MONTH(A1656)))))</f>
        <v/>
      </c>
    </row>
    <row r="1657" customFormat="false" ht="15" hidden="false" customHeight="false" outlineLevel="0" collapsed="false">
      <c r="H1657" s="0" t="str">
        <f aca="false">IF(B1657="","",IF(COUNTIF(Campaigns!$A$7:$A$300,B1657)&gt;0,"✓","⚠ add to Campaigns tab"))</f>
        <v/>
      </c>
      <c r="I1657" s="84" t="str">
        <f aca="false">IF(C1657="","",C1657*IF(Settings!$B$23=Settings!$C$6,1,IF(Settings!$B$23="USD",1/INDEX(Settings!$B$29:$B$40,MONTH(A1657)),INDEX(Settings!$B$29:$B$40,MONTH(A1657)))))</f>
        <v/>
      </c>
    </row>
    <row r="1658" customFormat="false" ht="15" hidden="false" customHeight="false" outlineLevel="0" collapsed="false">
      <c r="H1658" s="0" t="str">
        <f aca="false">IF(B1658="","",IF(COUNTIF(Campaigns!$A$7:$A$300,B1658)&gt;0,"✓","⚠ add to Campaigns tab"))</f>
        <v/>
      </c>
      <c r="I1658" s="84" t="str">
        <f aca="false">IF(C1658="","",C1658*IF(Settings!$B$23=Settings!$C$6,1,IF(Settings!$B$23="USD",1/INDEX(Settings!$B$29:$B$40,MONTH(A1658)),INDEX(Settings!$B$29:$B$40,MONTH(A1658)))))</f>
        <v/>
      </c>
    </row>
    <row r="1659" customFormat="false" ht="15" hidden="false" customHeight="false" outlineLevel="0" collapsed="false">
      <c r="H1659" s="0" t="str">
        <f aca="false">IF(B1659="","",IF(COUNTIF(Campaigns!$A$7:$A$300,B1659)&gt;0,"✓","⚠ add to Campaigns tab"))</f>
        <v/>
      </c>
      <c r="I1659" s="84" t="str">
        <f aca="false">IF(C1659="","",C1659*IF(Settings!$B$23=Settings!$C$6,1,IF(Settings!$B$23="USD",1/INDEX(Settings!$B$29:$B$40,MONTH(A1659)),INDEX(Settings!$B$29:$B$40,MONTH(A1659)))))</f>
        <v/>
      </c>
    </row>
    <row r="1660" customFormat="false" ht="15" hidden="false" customHeight="false" outlineLevel="0" collapsed="false">
      <c r="H1660" s="0" t="str">
        <f aca="false">IF(B1660="","",IF(COUNTIF(Campaigns!$A$7:$A$300,B1660)&gt;0,"✓","⚠ add to Campaigns tab"))</f>
        <v/>
      </c>
      <c r="I1660" s="84" t="str">
        <f aca="false">IF(C1660="","",C1660*IF(Settings!$B$23=Settings!$C$6,1,IF(Settings!$B$23="USD",1/INDEX(Settings!$B$29:$B$40,MONTH(A1660)),INDEX(Settings!$B$29:$B$40,MONTH(A1660)))))</f>
        <v/>
      </c>
    </row>
    <row r="1661" customFormat="false" ht="15" hidden="false" customHeight="false" outlineLevel="0" collapsed="false">
      <c r="H1661" s="0" t="str">
        <f aca="false">IF(B1661="","",IF(COUNTIF(Campaigns!$A$7:$A$300,B1661)&gt;0,"✓","⚠ add to Campaigns tab"))</f>
        <v/>
      </c>
      <c r="I1661" s="84" t="str">
        <f aca="false">IF(C1661="","",C1661*IF(Settings!$B$23=Settings!$C$6,1,IF(Settings!$B$23="USD",1/INDEX(Settings!$B$29:$B$40,MONTH(A1661)),INDEX(Settings!$B$29:$B$40,MONTH(A1661)))))</f>
        <v/>
      </c>
    </row>
    <row r="1662" customFormat="false" ht="15" hidden="false" customHeight="false" outlineLevel="0" collapsed="false">
      <c r="H1662" s="0" t="str">
        <f aca="false">IF(B1662="","",IF(COUNTIF(Campaigns!$A$7:$A$300,B1662)&gt;0,"✓","⚠ add to Campaigns tab"))</f>
        <v/>
      </c>
      <c r="I1662" s="84" t="str">
        <f aca="false">IF(C1662="","",C1662*IF(Settings!$B$23=Settings!$C$6,1,IF(Settings!$B$23="USD",1/INDEX(Settings!$B$29:$B$40,MONTH(A1662)),INDEX(Settings!$B$29:$B$40,MONTH(A1662)))))</f>
        <v/>
      </c>
    </row>
    <row r="1663" customFormat="false" ht="15" hidden="false" customHeight="false" outlineLevel="0" collapsed="false">
      <c r="H1663" s="0" t="str">
        <f aca="false">IF(B1663="","",IF(COUNTIF(Campaigns!$A$7:$A$300,B1663)&gt;0,"✓","⚠ add to Campaigns tab"))</f>
        <v/>
      </c>
      <c r="I1663" s="84" t="str">
        <f aca="false">IF(C1663="","",C1663*IF(Settings!$B$23=Settings!$C$6,1,IF(Settings!$B$23="USD",1/INDEX(Settings!$B$29:$B$40,MONTH(A1663)),INDEX(Settings!$B$29:$B$40,MONTH(A1663)))))</f>
        <v/>
      </c>
    </row>
    <row r="1664" customFormat="false" ht="15" hidden="false" customHeight="false" outlineLevel="0" collapsed="false">
      <c r="H1664" s="0" t="str">
        <f aca="false">IF(B1664="","",IF(COUNTIF(Campaigns!$A$7:$A$300,B1664)&gt;0,"✓","⚠ add to Campaigns tab"))</f>
        <v/>
      </c>
      <c r="I1664" s="84" t="str">
        <f aca="false">IF(C1664="","",C1664*IF(Settings!$B$23=Settings!$C$6,1,IF(Settings!$B$23="USD",1/INDEX(Settings!$B$29:$B$40,MONTH(A1664)),INDEX(Settings!$B$29:$B$40,MONTH(A1664)))))</f>
        <v/>
      </c>
    </row>
    <row r="1665" customFormat="false" ht="15" hidden="false" customHeight="false" outlineLevel="0" collapsed="false">
      <c r="H1665" s="0" t="str">
        <f aca="false">IF(B1665="","",IF(COUNTIF(Campaigns!$A$7:$A$300,B1665)&gt;0,"✓","⚠ add to Campaigns tab"))</f>
        <v/>
      </c>
      <c r="I1665" s="84" t="str">
        <f aca="false">IF(C1665="","",C1665*IF(Settings!$B$23=Settings!$C$6,1,IF(Settings!$B$23="USD",1/INDEX(Settings!$B$29:$B$40,MONTH(A1665)),INDEX(Settings!$B$29:$B$40,MONTH(A1665)))))</f>
        <v/>
      </c>
    </row>
    <row r="1666" customFormat="false" ht="15" hidden="false" customHeight="false" outlineLevel="0" collapsed="false">
      <c r="H1666" s="0" t="str">
        <f aca="false">IF(B1666="","",IF(COUNTIF(Campaigns!$A$7:$A$300,B1666)&gt;0,"✓","⚠ add to Campaigns tab"))</f>
        <v/>
      </c>
      <c r="I1666" s="84" t="str">
        <f aca="false">IF(C1666="","",C1666*IF(Settings!$B$23=Settings!$C$6,1,IF(Settings!$B$23="USD",1/INDEX(Settings!$B$29:$B$40,MONTH(A1666)),INDEX(Settings!$B$29:$B$40,MONTH(A1666)))))</f>
        <v/>
      </c>
    </row>
    <row r="1667" customFormat="false" ht="15" hidden="false" customHeight="false" outlineLevel="0" collapsed="false">
      <c r="H1667" s="0" t="str">
        <f aca="false">IF(B1667="","",IF(COUNTIF(Campaigns!$A$7:$A$300,B1667)&gt;0,"✓","⚠ add to Campaigns tab"))</f>
        <v/>
      </c>
      <c r="I1667" s="84" t="str">
        <f aca="false">IF(C1667="","",C1667*IF(Settings!$B$23=Settings!$C$6,1,IF(Settings!$B$23="USD",1/INDEX(Settings!$B$29:$B$40,MONTH(A1667)),INDEX(Settings!$B$29:$B$40,MONTH(A1667)))))</f>
        <v/>
      </c>
    </row>
    <row r="1668" customFormat="false" ht="15" hidden="false" customHeight="false" outlineLevel="0" collapsed="false">
      <c r="H1668" s="0" t="str">
        <f aca="false">IF(B1668="","",IF(COUNTIF(Campaigns!$A$7:$A$300,B1668)&gt;0,"✓","⚠ add to Campaigns tab"))</f>
        <v/>
      </c>
      <c r="I1668" s="84" t="str">
        <f aca="false">IF(C1668="","",C1668*IF(Settings!$B$23=Settings!$C$6,1,IF(Settings!$B$23="USD",1/INDEX(Settings!$B$29:$B$40,MONTH(A1668)),INDEX(Settings!$B$29:$B$40,MONTH(A1668)))))</f>
        <v/>
      </c>
    </row>
    <row r="1669" customFormat="false" ht="15" hidden="false" customHeight="false" outlineLevel="0" collapsed="false">
      <c r="H1669" s="0" t="str">
        <f aca="false">IF(B1669="","",IF(COUNTIF(Campaigns!$A$7:$A$300,B1669)&gt;0,"✓","⚠ add to Campaigns tab"))</f>
        <v/>
      </c>
      <c r="I1669" s="84" t="str">
        <f aca="false">IF(C1669="","",C1669*IF(Settings!$B$23=Settings!$C$6,1,IF(Settings!$B$23="USD",1/INDEX(Settings!$B$29:$B$40,MONTH(A1669)),INDEX(Settings!$B$29:$B$40,MONTH(A1669)))))</f>
        <v/>
      </c>
    </row>
    <row r="1670" customFormat="false" ht="15" hidden="false" customHeight="false" outlineLevel="0" collapsed="false">
      <c r="H1670" s="0" t="str">
        <f aca="false">IF(B1670="","",IF(COUNTIF(Campaigns!$A$7:$A$300,B1670)&gt;0,"✓","⚠ add to Campaigns tab"))</f>
        <v/>
      </c>
      <c r="I1670" s="84" t="str">
        <f aca="false">IF(C1670="","",C1670*IF(Settings!$B$23=Settings!$C$6,1,IF(Settings!$B$23="USD",1/INDEX(Settings!$B$29:$B$40,MONTH(A1670)),INDEX(Settings!$B$29:$B$40,MONTH(A1670)))))</f>
        <v/>
      </c>
    </row>
    <row r="1671" customFormat="false" ht="15" hidden="false" customHeight="false" outlineLevel="0" collapsed="false">
      <c r="H1671" s="0" t="str">
        <f aca="false">IF(B1671="","",IF(COUNTIF(Campaigns!$A$7:$A$300,B1671)&gt;0,"✓","⚠ add to Campaigns tab"))</f>
        <v/>
      </c>
      <c r="I1671" s="84" t="str">
        <f aca="false">IF(C1671="","",C1671*IF(Settings!$B$23=Settings!$C$6,1,IF(Settings!$B$23="USD",1/INDEX(Settings!$B$29:$B$40,MONTH(A1671)),INDEX(Settings!$B$29:$B$40,MONTH(A1671)))))</f>
        <v/>
      </c>
    </row>
    <row r="1672" customFormat="false" ht="15" hidden="false" customHeight="false" outlineLevel="0" collapsed="false">
      <c r="H1672" s="0" t="str">
        <f aca="false">IF(B1672="","",IF(COUNTIF(Campaigns!$A$7:$A$300,B1672)&gt;0,"✓","⚠ add to Campaigns tab"))</f>
        <v/>
      </c>
      <c r="I1672" s="84" t="str">
        <f aca="false">IF(C1672="","",C1672*IF(Settings!$B$23=Settings!$C$6,1,IF(Settings!$B$23="USD",1/INDEX(Settings!$B$29:$B$40,MONTH(A1672)),INDEX(Settings!$B$29:$B$40,MONTH(A1672)))))</f>
        <v/>
      </c>
    </row>
    <row r="1673" customFormat="false" ht="15" hidden="false" customHeight="false" outlineLevel="0" collapsed="false">
      <c r="H1673" s="0" t="str">
        <f aca="false">IF(B1673="","",IF(COUNTIF(Campaigns!$A$7:$A$300,B1673)&gt;0,"✓","⚠ add to Campaigns tab"))</f>
        <v/>
      </c>
      <c r="I1673" s="84" t="str">
        <f aca="false">IF(C1673="","",C1673*IF(Settings!$B$23=Settings!$C$6,1,IF(Settings!$B$23="USD",1/INDEX(Settings!$B$29:$B$40,MONTH(A1673)),INDEX(Settings!$B$29:$B$40,MONTH(A1673)))))</f>
        <v/>
      </c>
    </row>
    <row r="1674" customFormat="false" ht="15" hidden="false" customHeight="false" outlineLevel="0" collapsed="false">
      <c r="H1674" s="0" t="str">
        <f aca="false">IF(B1674="","",IF(COUNTIF(Campaigns!$A$7:$A$300,B1674)&gt;0,"✓","⚠ add to Campaigns tab"))</f>
        <v/>
      </c>
      <c r="I1674" s="84" t="str">
        <f aca="false">IF(C1674="","",C1674*IF(Settings!$B$23=Settings!$C$6,1,IF(Settings!$B$23="USD",1/INDEX(Settings!$B$29:$B$40,MONTH(A1674)),INDEX(Settings!$B$29:$B$40,MONTH(A1674)))))</f>
        <v/>
      </c>
    </row>
    <row r="1675" customFormat="false" ht="15" hidden="false" customHeight="false" outlineLevel="0" collapsed="false">
      <c r="H1675" s="0" t="str">
        <f aca="false">IF(B1675="","",IF(COUNTIF(Campaigns!$A$7:$A$300,B1675)&gt;0,"✓","⚠ add to Campaigns tab"))</f>
        <v/>
      </c>
      <c r="I1675" s="84" t="str">
        <f aca="false">IF(C1675="","",C1675*IF(Settings!$B$23=Settings!$C$6,1,IF(Settings!$B$23="USD",1/INDEX(Settings!$B$29:$B$40,MONTH(A1675)),INDEX(Settings!$B$29:$B$40,MONTH(A1675)))))</f>
        <v/>
      </c>
    </row>
    <row r="1676" customFormat="false" ht="15" hidden="false" customHeight="false" outlineLevel="0" collapsed="false">
      <c r="H1676" s="0" t="str">
        <f aca="false">IF(B1676="","",IF(COUNTIF(Campaigns!$A$7:$A$300,B1676)&gt;0,"✓","⚠ add to Campaigns tab"))</f>
        <v/>
      </c>
      <c r="I1676" s="84" t="str">
        <f aca="false">IF(C1676="","",C1676*IF(Settings!$B$23=Settings!$C$6,1,IF(Settings!$B$23="USD",1/INDEX(Settings!$B$29:$B$40,MONTH(A1676)),INDEX(Settings!$B$29:$B$40,MONTH(A1676)))))</f>
        <v/>
      </c>
    </row>
    <row r="1677" customFormat="false" ht="15" hidden="false" customHeight="false" outlineLevel="0" collapsed="false">
      <c r="H1677" s="0" t="str">
        <f aca="false">IF(B1677="","",IF(COUNTIF(Campaigns!$A$7:$A$300,B1677)&gt;0,"✓","⚠ add to Campaigns tab"))</f>
        <v/>
      </c>
      <c r="I1677" s="84" t="str">
        <f aca="false">IF(C1677="","",C1677*IF(Settings!$B$23=Settings!$C$6,1,IF(Settings!$B$23="USD",1/INDEX(Settings!$B$29:$B$40,MONTH(A1677)),INDEX(Settings!$B$29:$B$40,MONTH(A1677)))))</f>
        <v/>
      </c>
    </row>
    <row r="1678" customFormat="false" ht="15" hidden="false" customHeight="false" outlineLevel="0" collapsed="false">
      <c r="H1678" s="0" t="str">
        <f aca="false">IF(B1678="","",IF(COUNTIF(Campaigns!$A$7:$A$300,B1678)&gt;0,"✓","⚠ add to Campaigns tab"))</f>
        <v/>
      </c>
      <c r="I1678" s="84" t="str">
        <f aca="false">IF(C1678="","",C1678*IF(Settings!$B$23=Settings!$C$6,1,IF(Settings!$B$23="USD",1/INDEX(Settings!$B$29:$B$40,MONTH(A1678)),INDEX(Settings!$B$29:$B$40,MONTH(A1678)))))</f>
        <v/>
      </c>
    </row>
    <row r="1679" customFormat="false" ht="15" hidden="false" customHeight="false" outlineLevel="0" collapsed="false">
      <c r="H1679" s="0" t="str">
        <f aca="false">IF(B1679="","",IF(COUNTIF(Campaigns!$A$7:$A$300,B1679)&gt;0,"✓","⚠ add to Campaigns tab"))</f>
        <v/>
      </c>
      <c r="I1679" s="84" t="str">
        <f aca="false">IF(C1679="","",C1679*IF(Settings!$B$23=Settings!$C$6,1,IF(Settings!$B$23="USD",1/INDEX(Settings!$B$29:$B$40,MONTH(A1679)),INDEX(Settings!$B$29:$B$40,MONTH(A1679)))))</f>
        <v/>
      </c>
    </row>
    <row r="1680" customFormat="false" ht="15" hidden="false" customHeight="false" outlineLevel="0" collapsed="false">
      <c r="H1680" s="0" t="str">
        <f aca="false">IF(B1680="","",IF(COUNTIF(Campaigns!$A$7:$A$300,B1680)&gt;0,"✓","⚠ add to Campaigns tab"))</f>
        <v/>
      </c>
      <c r="I1680" s="84" t="str">
        <f aca="false">IF(C1680="","",C1680*IF(Settings!$B$23=Settings!$C$6,1,IF(Settings!$B$23="USD",1/INDEX(Settings!$B$29:$B$40,MONTH(A1680)),INDEX(Settings!$B$29:$B$40,MONTH(A1680)))))</f>
        <v/>
      </c>
    </row>
    <row r="1681" customFormat="false" ht="15" hidden="false" customHeight="false" outlineLevel="0" collapsed="false">
      <c r="H1681" s="0" t="str">
        <f aca="false">IF(B1681="","",IF(COUNTIF(Campaigns!$A$7:$A$300,B1681)&gt;0,"✓","⚠ add to Campaigns tab"))</f>
        <v/>
      </c>
      <c r="I1681" s="84" t="str">
        <f aca="false">IF(C1681="","",C1681*IF(Settings!$B$23=Settings!$C$6,1,IF(Settings!$B$23="USD",1/INDEX(Settings!$B$29:$B$40,MONTH(A1681)),INDEX(Settings!$B$29:$B$40,MONTH(A1681)))))</f>
        <v/>
      </c>
    </row>
    <row r="1682" customFormat="false" ht="15" hidden="false" customHeight="false" outlineLevel="0" collapsed="false">
      <c r="H1682" s="0" t="str">
        <f aca="false">IF(B1682="","",IF(COUNTIF(Campaigns!$A$7:$A$300,B1682)&gt;0,"✓","⚠ add to Campaigns tab"))</f>
        <v/>
      </c>
      <c r="I1682" s="84" t="str">
        <f aca="false">IF(C1682="","",C1682*IF(Settings!$B$23=Settings!$C$6,1,IF(Settings!$B$23="USD",1/INDEX(Settings!$B$29:$B$40,MONTH(A1682)),INDEX(Settings!$B$29:$B$40,MONTH(A1682)))))</f>
        <v/>
      </c>
    </row>
    <row r="1683" customFormat="false" ht="15" hidden="false" customHeight="false" outlineLevel="0" collapsed="false">
      <c r="H1683" s="0" t="str">
        <f aca="false">IF(B1683="","",IF(COUNTIF(Campaigns!$A$7:$A$300,B1683)&gt;0,"✓","⚠ add to Campaigns tab"))</f>
        <v/>
      </c>
      <c r="I1683" s="84" t="str">
        <f aca="false">IF(C1683="","",C1683*IF(Settings!$B$23=Settings!$C$6,1,IF(Settings!$B$23="USD",1/INDEX(Settings!$B$29:$B$40,MONTH(A1683)),INDEX(Settings!$B$29:$B$40,MONTH(A1683)))))</f>
        <v/>
      </c>
    </row>
    <row r="1684" customFormat="false" ht="15" hidden="false" customHeight="false" outlineLevel="0" collapsed="false">
      <c r="H1684" s="0" t="str">
        <f aca="false">IF(B1684="","",IF(COUNTIF(Campaigns!$A$7:$A$300,B1684)&gt;0,"✓","⚠ add to Campaigns tab"))</f>
        <v/>
      </c>
      <c r="I1684" s="84" t="str">
        <f aca="false">IF(C1684="","",C1684*IF(Settings!$B$23=Settings!$C$6,1,IF(Settings!$B$23="USD",1/INDEX(Settings!$B$29:$B$40,MONTH(A1684)),INDEX(Settings!$B$29:$B$40,MONTH(A1684)))))</f>
        <v/>
      </c>
    </row>
    <row r="1685" customFormat="false" ht="15" hidden="false" customHeight="false" outlineLevel="0" collapsed="false">
      <c r="H1685" s="0" t="str">
        <f aca="false">IF(B1685="","",IF(COUNTIF(Campaigns!$A$7:$A$300,B1685)&gt;0,"✓","⚠ add to Campaigns tab"))</f>
        <v/>
      </c>
      <c r="I1685" s="84" t="str">
        <f aca="false">IF(C1685="","",C1685*IF(Settings!$B$23=Settings!$C$6,1,IF(Settings!$B$23="USD",1/INDEX(Settings!$B$29:$B$40,MONTH(A1685)),INDEX(Settings!$B$29:$B$40,MONTH(A1685)))))</f>
        <v/>
      </c>
    </row>
    <row r="1686" customFormat="false" ht="15" hidden="false" customHeight="false" outlineLevel="0" collapsed="false">
      <c r="H1686" s="0" t="str">
        <f aca="false">IF(B1686="","",IF(COUNTIF(Campaigns!$A$7:$A$300,B1686)&gt;0,"✓","⚠ add to Campaigns tab"))</f>
        <v/>
      </c>
      <c r="I1686" s="84" t="str">
        <f aca="false">IF(C1686="","",C1686*IF(Settings!$B$23=Settings!$C$6,1,IF(Settings!$B$23="USD",1/INDEX(Settings!$B$29:$B$40,MONTH(A1686)),INDEX(Settings!$B$29:$B$40,MONTH(A1686)))))</f>
        <v/>
      </c>
    </row>
    <row r="1687" customFormat="false" ht="15" hidden="false" customHeight="false" outlineLevel="0" collapsed="false">
      <c r="H1687" s="0" t="str">
        <f aca="false">IF(B1687="","",IF(COUNTIF(Campaigns!$A$7:$A$300,B1687)&gt;0,"✓","⚠ add to Campaigns tab"))</f>
        <v/>
      </c>
      <c r="I1687" s="84" t="str">
        <f aca="false">IF(C1687="","",C1687*IF(Settings!$B$23=Settings!$C$6,1,IF(Settings!$B$23="USD",1/INDEX(Settings!$B$29:$B$40,MONTH(A1687)),INDEX(Settings!$B$29:$B$40,MONTH(A1687)))))</f>
        <v/>
      </c>
    </row>
    <row r="1688" customFormat="false" ht="15" hidden="false" customHeight="false" outlineLevel="0" collapsed="false">
      <c r="H1688" s="0" t="str">
        <f aca="false">IF(B1688="","",IF(COUNTIF(Campaigns!$A$7:$A$300,B1688)&gt;0,"✓","⚠ add to Campaigns tab"))</f>
        <v/>
      </c>
      <c r="I1688" s="84" t="str">
        <f aca="false">IF(C1688="","",C1688*IF(Settings!$B$23=Settings!$C$6,1,IF(Settings!$B$23="USD",1/INDEX(Settings!$B$29:$B$40,MONTH(A1688)),INDEX(Settings!$B$29:$B$40,MONTH(A1688)))))</f>
        <v/>
      </c>
    </row>
    <row r="1689" customFormat="false" ht="15" hidden="false" customHeight="false" outlineLevel="0" collapsed="false">
      <c r="H1689" s="0" t="str">
        <f aca="false">IF(B1689="","",IF(COUNTIF(Campaigns!$A$7:$A$300,B1689)&gt;0,"✓","⚠ add to Campaigns tab"))</f>
        <v/>
      </c>
      <c r="I1689" s="84" t="str">
        <f aca="false">IF(C1689="","",C1689*IF(Settings!$B$23=Settings!$C$6,1,IF(Settings!$B$23="USD",1/INDEX(Settings!$B$29:$B$40,MONTH(A1689)),INDEX(Settings!$B$29:$B$40,MONTH(A1689)))))</f>
        <v/>
      </c>
    </row>
    <row r="1690" customFormat="false" ht="15" hidden="false" customHeight="false" outlineLevel="0" collapsed="false">
      <c r="H1690" s="0" t="str">
        <f aca="false">IF(B1690="","",IF(COUNTIF(Campaigns!$A$7:$A$300,B1690)&gt;0,"✓","⚠ add to Campaigns tab"))</f>
        <v/>
      </c>
      <c r="I1690" s="84" t="str">
        <f aca="false">IF(C1690="","",C1690*IF(Settings!$B$23=Settings!$C$6,1,IF(Settings!$B$23="USD",1/INDEX(Settings!$B$29:$B$40,MONTH(A1690)),INDEX(Settings!$B$29:$B$40,MONTH(A1690)))))</f>
        <v/>
      </c>
    </row>
    <row r="1691" customFormat="false" ht="15" hidden="false" customHeight="false" outlineLevel="0" collapsed="false">
      <c r="H1691" s="0" t="str">
        <f aca="false">IF(B1691="","",IF(COUNTIF(Campaigns!$A$7:$A$300,B1691)&gt;0,"✓","⚠ add to Campaigns tab"))</f>
        <v/>
      </c>
      <c r="I1691" s="84" t="str">
        <f aca="false">IF(C1691="","",C1691*IF(Settings!$B$23=Settings!$C$6,1,IF(Settings!$B$23="USD",1/INDEX(Settings!$B$29:$B$40,MONTH(A1691)),INDEX(Settings!$B$29:$B$40,MONTH(A1691)))))</f>
        <v/>
      </c>
    </row>
    <row r="1692" customFormat="false" ht="15" hidden="false" customHeight="false" outlineLevel="0" collapsed="false">
      <c r="H1692" s="0" t="str">
        <f aca="false">IF(B1692="","",IF(COUNTIF(Campaigns!$A$7:$A$300,B1692)&gt;0,"✓","⚠ add to Campaigns tab"))</f>
        <v/>
      </c>
      <c r="I1692" s="84" t="str">
        <f aca="false">IF(C1692="","",C1692*IF(Settings!$B$23=Settings!$C$6,1,IF(Settings!$B$23="USD",1/INDEX(Settings!$B$29:$B$40,MONTH(A1692)),INDEX(Settings!$B$29:$B$40,MONTH(A1692)))))</f>
        <v/>
      </c>
    </row>
    <row r="1693" customFormat="false" ht="15" hidden="false" customHeight="false" outlineLevel="0" collapsed="false">
      <c r="H1693" s="0" t="str">
        <f aca="false">IF(B1693="","",IF(COUNTIF(Campaigns!$A$7:$A$300,B1693)&gt;0,"✓","⚠ add to Campaigns tab"))</f>
        <v/>
      </c>
      <c r="I1693" s="84" t="str">
        <f aca="false">IF(C1693="","",C1693*IF(Settings!$B$23=Settings!$C$6,1,IF(Settings!$B$23="USD",1/INDEX(Settings!$B$29:$B$40,MONTH(A1693)),INDEX(Settings!$B$29:$B$40,MONTH(A1693)))))</f>
        <v/>
      </c>
    </row>
    <row r="1694" customFormat="false" ht="15" hidden="false" customHeight="false" outlineLevel="0" collapsed="false">
      <c r="H1694" s="0" t="str">
        <f aca="false">IF(B1694="","",IF(COUNTIF(Campaigns!$A$7:$A$300,B1694)&gt;0,"✓","⚠ add to Campaigns tab"))</f>
        <v/>
      </c>
      <c r="I1694" s="84" t="str">
        <f aca="false">IF(C1694="","",C1694*IF(Settings!$B$23=Settings!$C$6,1,IF(Settings!$B$23="USD",1/INDEX(Settings!$B$29:$B$40,MONTH(A1694)),INDEX(Settings!$B$29:$B$40,MONTH(A1694)))))</f>
        <v/>
      </c>
    </row>
    <row r="1695" customFormat="false" ht="15" hidden="false" customHeight="false" outlineLevel="0" collapsed="false">
      <c r="H1695" s="0" t="str">
        <f aca="false">IF(B1695="","",IF(COUNTIF(Campaigns!$A$7:$A$300,B1695)&gt;0,"✓","⚠ add to Campaigns tab"))</f>
        <v/>
      </c>
      <c r="I1695" s="84" t="str">
        <f aca="false">IF(C1695="","",C1695*IF(Settings!$B$23=Settings!$C$6,1,IF(Settings!$B$23="USD",1/INDEX(Settings!$B$29:$B$40,MONTH(A1695)),INDEX(Settings!$B$29:$B$40,MONTH(A1695)))))</f>
        <v/>
      </c>
    </row>
    <row r="1696" customFormat="false" ht="15" hidden="false" customHeight="false" outlineLevel="0" collapsed="false">
      <c r="H1696" s="0" t="str">
        <f aca="false">IF(B1696="","",IF(COUNTIF(Campaigns!$A$7:$A$300,B1696)&gt;0,"✓","⚠ add to Campaigns tab"))</f>
        <v/>
      </c>
      <c r="I1696" s="84" t="str">
        <f aca="false">IF(C1696="","",C1696*IF(Settings!$B$23=Settings!$C$6,1,IF(Settings!$B$23="USD",1/INDEX(Settings!$B$29:$B$40,MONTH(A1696)),INDEX(Settings!$B$29:$B$40,MONTH(A1696)))))</f>
        <v/>
      </c>
    </row>
    <row r="1697" customFormat="false" ht="15" hidden="false" customHeight="false" outlineLevel="0" collapsed="false">
      <c r="H1697" s="0" t="str">
        <f aca="false">IF(B1697="","",IF(COUNTIF(Campaigns!$A$7:$A$300,B1697)&gt;0,"✓","⚠ add to Campaigns tab"))</f>
        <v/>
      </c>
      <c r="I1697" s="84" t="str">
        <f aca="false">IF(C1697="","",C1697*IF(Settings!$B$23=Settings!$C$6,1,IF(Settings!$B$23="USD",1/INDEX(Settings!$B$29:$B$40,MONTH(A1697)),INDEX(Settings!$B$29:$B$40,MONTH(A1697)))))</f>
        <v/>
      </c>
    </row>
    <row r="1698" customFormat="false" ht="15" hidden="false" customHeight="false" outlineLevel="0" collapsed="false">
      <c r="H1698" s="0" t="str">
        <f aca="false">IF(B1698="","",IF(COUNTIF(Campaigns!$A$7:$A$300,B1698)&gt;0,"✓","⚠ add to Campaigns tab"))</f>
        <v/>
      </c>
      <c r="I1698" s="84" t="str">
        <f aca="false">IF(C1698="","",C1698*IF(Settings!$B$23=Settings!$C$6,1,IF(Settings!$B$23="USD",1/INDEX(Settings!$B$29:$B$40,MONTH(A1698)),INDEX(Settings!$B$29:$B$40,MONTH(A1698)))))</f>
        <v/>
      </c>
    </row>
    <row r="1699" customFormat="false" ht="15" hidden="false" customHeight="false" outlineLevel="0" collapsed="false">
      <c r="H1699" s="0" t="str">
        <f aca="false">IF(B1699="","",IF(COUNTIF(Campaigns!$A$7:$A$300,B1699)&gt;0,"✓","⚠ add to Campaigns tab"))</f>
        <v/>
      </c>
      <c r="I1699" s="84" t="str">
        <f aca="false">IF(C1699="","",C1699*IF(Settings!$B$23=Settings!$C$6,1,IF(Settings!$B$23="USD",1/INDEX(Settings!$B$29:$B$40,MONTH(A1699)),INDEX(Settings!$B$29:$B$40,MONTH(A1699)))))</f>
        <v/>
      </c>
    </row>
    <row r="1700" customFormat="false" ht="15" hidden="false" customHeight="false" outlineLevel="0" collapsed="false">
      <c r="H1700" s="0" t="str">
        <f aca="false">IF(B1700="","",IF(COUNTIF(Campaigns!$A$7:$A$300,B1700)&gt;0,"✓","⚠ add to Campaigns tab"))</f>
        <v/>
      </c>
      <c r="I1700" s="84" t="str">
        <f aca="false">IF(C1700="","",C1700*IF(Settings!$B$23=Settings!$C$6,1,IF(Settings!$B$23="USD",1/INDEX(Settings!$B$29:$B$40,MONTH(A1700)),INDEX(Settings!$B$29:$B$40,MONTH(A1700)))))</f>
        <v/>
      </c>
    </row>
    <row r="1701" customFormat="false" ht="15" hidden="false" customHeight="false" outlineLevel="0" collapsed="false">
      <c r="H1701" s="0" t="str">
        <f aca="false">IF(B1701="","",IF(COUNTIF(Campaigns!$A$7:$A$300,B1701)&gt;0,"✓","⚠ add to Campaigns tab"))</f>
        <v/>
      </c>
      <c r="I1701" s="84" t="str">
        <f aca="false">IF(C1701="","",C1701*IF(Settings!$B$23=Settings!$C$6,1,IF(Settings!$B$23="USD",1/INDEX(Settings!$B$29:$B$40,MONTH(A1701)),INDEX(Settings!$B$29:$B$40,MONTH(A1701)))))</f>
        <v/>
      </c>
    </row>
    <row r="1702" customFormat="false" ht="15" hidden="false" customHeight="false" outlineLevel="0" collapsed="false">
      <c r="H1702" s="0" t="str">
        <f aca="false">IF(B1702="","",IF(COUNTIF(Campaigns!$A$7:$A$300,B1702)&gt;0,"✓","⚠ add to Campaigns tab"))</f>
        <v/>
      </c>
      <c r="I1702" s="84" t="str">
        <f aca="false">IF(C1702="","",C1702*IF(Settings!$B$23=Settings!$C$6,1,IF(Settings!$B$23="USD",1/INDEX(Settings!$B$29:$B$40,MONTH(A1702)),INDEX(Settings!$B$29:$B$40,MONTH(A1702)))))</f>
        <v/>
      </c>
    </row>
    <row r="1703" customFormat="false" ht="15" hidden="false" customHeight="false" outlineLevel="0" collapsed="false">
      <c r="H1703" s="0" t="str">
        <f aca="false">IF(B1703="","",IF(COUNTIF(Campaigns!$A$7:$A$300,B1703)&gt;0,"✓","⚠ add to Campaigns tab"))</f>
        <v/>
      </c>
      <c r="I1703" s="84" t="str">
        <f aca="false">IF(C1703="","",C1703*IF(Settings!$B$23=Settings!$C$6,1,IF(Settings!$B$23="USD",1/INDEX(Settings!$B$29:$B$40,MONTH(A1703)),INDEX(Settings!$B$29:$B$40,MONTH(A1703)))))</f>
        <v/>
      </c>
    </row>
    <row r="1704" customFormat="false" ht="15" hidden="false" customHeight="false" outlineLevel="0" collapsed="false">
      <c r="H1704" s="0" t="str">
        <f aca="false">IF(B1704="","",IF(COUNTIF(Campaigns!$A$7:$A$300,B1704)&gt;0,"✓","⚠ add to Campaigns tab"))</f>
        <v/>
      </c>
      <c r="I1704" s="84" t="str">
        <f aca="false">IF(C1704="","",C1704*IF(Settings!$B$23=Settings!$C$6,1,IF(Settings!$B$23="USD",1/INDEX(Settings!$B$29:$B$40,MONTH(A1704)),INDEX(Settings!$B$29:$B$40,MONTH(A1704)))))</f>
        <v/>
      </c>
    </row>
    <row r="1705" customFormat="false" ht="15" hidden="false" customHeight="false" outlineLevel="0" collapsed="false">
      <c r="H1705" s="0" t="str">
        <f aca="false">IF(B1705="","",IF(COUNTIF(Campaigns!$A$7:$A$300,B1705)&gt;0,"✓","⚠ add to Campaigns tab"))</f>
        <v/>
      </c>
      <c r="I1705" s="84" t="str">
        <f aca="false">IF(C1705="","",C1705*IF(Settings!$B$23=Settings!$C$6,1,IF(Settings!$B$23="USD",1/INDEX(Settings!$B$29:$B$40,MONTH(A1705)),INDEX(Settings!$B$29:$B$40,MONTH(A1705)))))</f>
        <v/>
      </c>
    </row>
    <row r="1706" customFormat="false" ht="15" hidden="false" customHeight="false" outlineLevel="0" collapsed="false">
      <c r="H1706" s="0" t="str">
        <f aca="false">IF(B1706="","",IF(COUNTIF(Campaigns!$A$7:$A$300,B1706)&gt;0,"✓","⚠ add to Campaigns tab"))</f>
        <v/>
      </c>
      <c r="I1706" s="84" t="str">
        <f aca="false">IF(C1706="","",C1706*IF(Settings!$B$23=Settings!$C$6,1,IF(Settings!$B$23="USD",1/INDEX(Settings!$B$29:$B$40,MONTH(A1706)),INDEX(Settings!$B$29:$B$40,MONTH(A1706)))))</f>
        <v/>
      </c>
    </row>
    <row r="1707" customFormat="false" ht="15" hidden="false" customHeight="false" outlineLevel="0" collapsed="false">
      <c r="H1707" s="0" t="str">
        <f aca="false">IF(B1707="","",IF(COUNTIF(Campaigns!$A$7:$A$300,B1707)&gt;0,"✓","⚠ add to Campaigns tab"))</f>
        <v/>
      </c>
      <c r="I1707" s="84" t="str">
        <f aca="false">IF(C1707="","",C1707*IF(Settings!$B$23=Settings!$C$6,1,IF(Settings!$B$23="USD",1/INDEX(Settings!$B$29:$B$40,MONTH(A1707)),INDEX(Settings!$B$29:$B$40,MONTH(A1707)))))</f>
        <v/>
      </c>
    </row>
    <row r="1708" customFormat="false" ht="15" hidden="false" customHeight="false" outlineLevel="0" collapsed="false">
      <c r="H1708" s="0" t="str">
        <f aca="false">IF(B1708="","",IF(COUNTIF(Campaigns!$A$7:$A$300,B1708)&gt;0,"✓","⚠ add to Campaigns tab"))</f>
        <v/>
      </c>
      <c r="I1708" s="84" t="str">
        <f aca="false">IF(C1708="","",C1708*IF(Settings!$B$23=Settings!$C$6,1,IF(Settings!$B$23="USD",1/INDEX(Settings!$B$29:$B$40,MONTH(A1708)),INDEX(Settings!$B$29:$B$40,MONTH(A1708)))))</f>
        <v/>
      </c>
    </row>
    <row r="1709" customFormat="false" ht="15" hidden="false" customHeight="false" outlineLevel="0" collapsed="false">
      <c r="H1709" s="0" t="str">
        <f aca="false">IF(B1709="","",IF(COUNTIF(Campaigns!$A$7:$A$300,B1709)&gt;0,"✓","⚠ add to Campaigns tab"))</f>
        <v/>
      </c>
      <c r="I1709" s="84" t="str">
        <f aca="false">IF(C1709="","",C1709*IF(Settings!$B$23=Settings!$C$6,1,IF(Settings!$B$23="USD",1/INDEX(Settings!$B$29:$B$40,MONTH(A1709)),INDEX(Settings!$B$29:$B$40,MONTH(A1709)))))</f>
        <v/>
      </c>
    </row>
    <row r="1710" customFormat="false" ht="15" hidden="false" customHeight="false" outlineLevel="0" collapsed="false">
      <c r="H1710" s="0" t="str">
        <f aca="false">IF(B1710="","",IF(COUNTIF(Campaigns!$A$7:$A$300,B1710)&gt;0,"✓","⚠ add to Campaigns tab"))</f>
        <v/>
      </c>
      <c r="I1710" s="84" t="str">
        <f aca="false">IF(C1710="","",C1710*IF(Settings!$B$23=Settings!$C$6,1,IF(Settings!$B$23="USD",1/INDEX(Settings!$B$29:$B$40,MONTH(A1710)),INDEX(Settings!$B$29:$B$40,MONTH(A1710)))))</f>
        <v/>
      </c>
    </row>
    <row r="1711" customFormat="false" ht="15" hidden="false" customHeight="false" outlineLevel="0" collapsed="false">
      <c r="H1711" s="0" t="str">
        <f aca="false">IF(B1711="","",IF(COUNTIF(Campaigns!$A$7:$A$300,B1711)&gt;0,"✓","⚠ add to Campaigns tab"))</f>
        <v/>
      </c>
      <c r="I1711" s="84" t="str">
        <f aca="false">IF(C1711="","",C1711*IF(Settings!$B$23=Settings!$C$6,1,IF(Settings!$B$23="USD",1/INDEX(Settings!$B$29:$B$40,MONTH(A1711)),INDEX(Settings!$B$29:$B$40,MONTH(A1711)))))</f>
        <v/>
      </c>
    </row>
    <row r="1712" customFormat="false" ht="15" hidden="false" customHeight="false" outlineLevel="0" collapsed="false">
      <c r="H1712" s="0" t="str">
        <f aca="false">IF(B1712="","",IF(COUNTIF(Campaigns!$A$7:$A$300,B1712)&gt;0,"✓","⚠ add to Campaigns tab"))</f>
        <v/>
      </c>
      <c r="I1712" s="84" t="str">
        <f aca="false">IF(C1712="","",C1712*IF(Settings!$B$23=Settings!$C$6,1,IF(Settings!$B$23="USD",1/INDEX(Settings!$B$29:$B$40,MONTH(A1712)),INDEX(Settings!$B$29:$B$40,MONTH(A1712)))))</f>
        <v/>
      </c>
    </row>
    <row r="1713" customFormat="false" ht="15" hidden="false" customHeight="false" outlineLevel="0" collapsed="false">
      <c r="H1713" s="0" t="str">
        <f aca="false">IF(B1713="","",IF(COUNTIF(Campaigns!$A$7:$A$300,B1713)&gt;0,"✓","⚠ add to Campaigns tab"))</f>
        <v/>
      </c>
      <c r="I1713" s="84" t="str">
        <f aca="false">IF(C1713="","",C1713*IF(Settings!$B$23=Settings!$C$6,1,IF(Settings!$B$23="USD",1/INDEX(Settings!$B$29:$B$40,MONTH(A1713)),INDEX(Settings!$B$29:$B$40,MONTH(A1713)))))</f>
        <v/>
      </c>
    </row>
    <row r="1714" customFormat="false" ht="15" hidden="false" customHeight="false" outlineLevel="0" collapsed="false">
      <c r="H1714" s="0" t="str">
        <f aca="false">IF(B1714="","",IF(COUNTIF(Campaigns!$A$7:$A$300,B1714)&gt;0,"✓","⚠ add to Campaigns tab"))</f>
        <v/>
      </c>
      <c r="I1714" s="84" t="str">
        <f aca="false">IF(C1714="","",C1714*IF(Settings!$B$23=Settings!$C$6,1,IF(Settings!$B$23="USD",1/INDEX(Settings!$B$29:$B$40,MONTH(A1714)),INDEX(Settings!$B$29:$B$40,MONTH(A1714)))))</f>
        <v/>
      </c>
    </row>
    <row r="1715" customFormat="false" ht="15" hidden="false" customHeight="false" outlineLevel="0" collapsed="false">
      <c r="H1715" s="0" t="str">
        <f aca="false">IF(B1715="","",IF(COUNTIF(Campaigns!$A$7:$A$300,B1715)&gt;0,"✓","⚠ add to Campaigns tab"))</f>
        <v/>
      </c>
      <c r="I1715" s="84" t="str">
        <f aca="false">IF(C1715="","",C1715*IF(Settings!$B$23=Settings!$C$6,1,IF(Settings!$B$23="USD",1/INDEX(Settings!$B$29:$B$40,MONTH(A1715)),INDEX(Settings!$B$29:$B$40,MONTH(A1715)))))</f>
        <v/>
      </c>
    </row>
    <row r="1716" customFormat="false" ht="15" hidden="false" customHeight="false" outlineLevel="0" collapsed="false">
      <c r="H1716" s="0" t="str">
        <f aca="false">IF(B1716="","",IF(COUNTIF(Campaigns!$A$7:$A$300,B1716)&gt;0,"✓","⚠ add to Campaigns tab"))</f>
        <v/>
      </c>
      <c r="I1716" s="84" t="str">
        <f aca="false">IF(C1716="","",C1716*IF(Settings!$B$23=Settings!$C$6,1,IF(Settings!$B$23="USD",1/INDEX(Settings!$B$29:$B$40,MONTH(A1716)),INDEX(Settings!$B$29:$B$40,MONTH(A1716)))))</f>
        <v/>
      </c>
    </row>
    <row r="1717" customFormat="false" ht="15" hidden="false" customHeight="false" outlineLevel="0" collapsed="false">
      <c r="H1717" s="0" t="str">
        <f aca="false">IF(B1717="","",IF(COUNTIF(Campaigns!$A$7:$A$300,B1717)&gt;0,"✓","⚠ add to Campaigns tab"))</f>
        <v/>
      </c>
      <c r="I1717" s="84" t="str">
        <f aca="false">IF(C1717="","",C1717*IF(Settings!$B$23=Settings!$C$6,1,IF(Settings!$B$23="USD",1/INDEX(Settings!$B$29:$B$40,MONTH(A1717)),INDEX(Settings!$B$29:$B$40,MONTH(A1717)))))</f>
        <v/>
      </c>
    </row>
    <row r="1718" customFormat="false" ht="15" hidden="false" customHeight="false" outlineLevel="0" collapsed="false">
      <c r="H1718" s="0" t="str">
        <f aca="false">IF(B1718="","",IF(COUNTIF(Campaigns!$A$7:$A$300,B1718)&gt;0,"✓","⚠ add to Campaigns tab"))</f>
        <v/>
      </c>
      <c r="I1718" s="84" t="str">
        <f aca="false">IF(C1718="","",C1718*IF(Settings!$B$23=Settings!$C$6,1,IF(Settings!$B$23="USD",1/INDEX(Settings!$B$29:$B$40,MONTH(A1718)),INDEX(Settings!$B$29:$B$40,MONTH(A1718)))))</f>
        <v/>
      </c>
    </row>
    <row r="1719" customFormat="false" ht="15" hidden="false" customHeight="false" outlineLevel="0" collapsed="false">
      <c r="H1719" s="0" t="str">
        <f aca="false">IF(B1719="","",IF(COUNTIF(Campaigns!$A$7:$A$300,B1719)&gt;0,"✓","⚠ add to Campaigns tab"))</f>
        <v/>
      </c>
      <c r="I1719" s="84" t="str">
        <f aca="false">IF(C1719="","",C1719*IF(Settings!$B$23=Settings!$C$6,1,IF(Settings!$B$23="USD",1/INDEX(Settings!$B$29:$B$40,MONTH(A1719)),INDEX(Settings!$B$29:$B$40,MONTH(A1719)))))</f>
        <v/>
      </c>
    </row>
    <row r="1720" customFormat="false" ht="15" hidden="false" customHeight="false" outlineLevel="0" collapsed="false">
      <c r="H1720" s="0" t="str">
        <f aca="false">IF(B1720="","",IF(COUNTIF(Campaigns!$A$7:$A$300,B1720)&gt;0,"✓","⚠ add to Campaigns tab"))</f>
        <v/>
      </c>
      <c r="I1720" s="84" t="str">
        <f aca="false">IF(C1720="","",C1720*IF(Settings!$B$23=Settings!$C$6,1,IF(Settings!$B$23="USD",1/INDEX(Settings!$B$29:$B$40,MONTH(A1720)),INDEX(Settings!$B$29:$B$40,MONTH(A1720)))))</f>
        <v/>
      </c>
    </row>
    <row r="1721" customFormat="false" ht="15" hidden="false" customHeight="false" outlineLevel="0" collapsed="false">
      <c r="H1721" s="0" t="str">
        <f aca="false">IF(B1721="","",IF(COUNTIF(Campaigns!$A$7:$A$300,B1721)&gt;0,"✓","⚠ add to Campaigns tab"))</f>
        <v/>
      </c>
      <c r="I1721" s="84" t="str">
        <f aca="false">IF(C1721="","",C1721*IF(Settings!$B$23=Settings!$C$6,1,IF(Settings!$B$23="USD",1/INDEX(Settings!$B$29:$B$40,MONTH(A1721)),INDEX(Settings!$B$29:$B$40,MONTH(A1721)))))</f>
        <v/>
      </c>
    </row>
    <row r="1722" customFormat="false" ht="15" hidden="false" customHeight="false" outlineLevel="0" collapsed="false">
      <c r="H1722" s="0" t="str">
        <f aca="false">IF(B1722="","",IF(COUNTIF(Campaigns!$A$7:$A$300,B1722)&gt;0,"✓","⚠ add to Campaigns tab"))</f>
        <v/>
      </c>
      <c r="I1722" s="84" t="str">
        <f aca="false">IF(C1722="","",C1722*IF(Settings!$B$23=Settings!$C$6,1,IF(Settings!$B$23="USD",1/INDEX(Settings!$B$29:$B$40,MONTH(A1722)),INDEX(Settings!$B$29:$B$40,MONTH(A1722)))))</f>
        <v/>
      </c>
    </row>
    <row r="1723" customFormat="false" ht="15" hidden="false" customHeight="false" outlineLevel="0" collapsed="false">
      <c r="H1723" s="0" t="str">
        <f aca="false">IF(B1723="","",IF(COUNTIF(Campaigns!$A$7:$A$300,B1723)&gt;0,"✓","⚠ add to Campaigns tab"))</f>
        <v/>
      </c>
      <c r="I1723" s="84" t="str">
        <f aca="false">IF(C1723="","",C1723*IF(Settings!$B$23=Settings!$C$6,1,IF(Settings!$B$23="USD",1/INDEX(Settings!$B$29:$B$40,MONTH(A1723)),INDEX(Settings!$B$29:$B$40,MONTH(A1723)))))</f>
        <v/>
      </c>
    </row>
    <row r="1724" customFormat="false" ht="15" hidden="false" customHeight="false" outlineLevel="0" collapsed="false">
      <c r="H1724" s="0" t="str">
        <f aca="false">IF(B1724="","",IF(COUNTIF(Campaigns!$A$7:$A$300,B1724)&gt;0,"✓","⚠ add to Campaigns tab"))</f>
        <v/>
      </c>
      <c r="I1724" s="84" t="str">
        <f aca="false">IF(C1724="","",C1724*IF(Settings!$B$23=Settings!$C$6,1,IF(Settings!$B$23="USD",1/INDEX(Settings!$B$29:$B$40,MONTH(A1724)),INDEX(Settings!$B$29:$B$40,MONTH(A1724)))))</f>
        <v/>
      </c>
    </row>
    <row r="1725" customFormat="false" ht="15" hidden="false" customHeight="false" outlineLevel="0" collapsed="false">
      <c r="H1725" s="0" t="str">
        <f aca="false">IF(B1725="","",IF(COUNTIF(Campaigns!$A$7:$A$300,B1725)&gt;0,"✓","⚠ add to Campaigns tab"))</f>
        <v/>
      </c>
      <c r="I1725" s="84" t="str">
        <f aca="false">IF(C1725="","",C1725*IF(Settings!$B$23=Settings!$C$6,1,IF(Settings!$B$23="USD",1/INDEX(Settings!$B$29:$B$40,MONTH(A1725)),INDEX(Settings!$B$29:$B$40,MONTH(A1725)))))</f>
        <v/>
      </c>
    </row>
    <row r="1726" customFormat="false" ht="15" hidden="false" customHeight="false" outlineLevel="0" collapsed="false">
      <c r="H1726" s="0" t="str">
        <f aca="false">IF(B1726="","",IF(COUNTIF(Campaigns!$A$7:$A$300,B1726)&gt;0,"✓","⚠ add to Campaigns tab"))</f>
        <v/>
      </c>
      <c r="I1726" s="84" t="str">
        <f aca="false">IF(C1726="","",C1726*IF(Settings!$B$23=Settings!$C$6,1,IF(Settings!$B$23="USD",1/INDEX(Settings!$B$29:$B$40,MONTH(A1726)),INDEX(Settings!$B$29:$B$40,MONTH(A1726)))))</f>
        <v/>
      </c>
    </row>
    <row r="1727" customFormat="false" ht="15" hidden="false" customHeight="false" outlineLevel="0" collapsed="false">
      <c r="H1727" s="0" t="str">
        <f aca="false">IF(B1727="","",IF(COUNTIF(Campaigns!$A$7:$A$300,B1727)&gt;0,"✓","⚠ add to Campaigns tab"))</f>
        <v/>
      </c>
      <c r="I1727" s="84" t="str">
        <f aca="false">IF(C1727="","",C1727*IF(Settings!$B$23=Settings!$C$6,1,IF(Settings!$B$23="USD",1/INDEX(Settings!$B$29:$B$40,MONTH(A1727)),INDEX(Settings!$B$29:$B$40,MONTH(A1727)))))</f>
        <v/>
      </c>
    </row>
    <row r="1728" customFormat="false" ht="15" hidden="false" customHeight="false" outlineLevel="0" collapsed="false">
      <c r="H1728" s="0" t="str">
        <f aca="false">IF(B1728="","",IF(COUNTIF(Campaigns!$A$7:$A$300,B1728)&gt;0,"✓","⚠ add to Campaigns tab"))</f>
        <v/>
      </c>
      <c r="I1728" s="84" t="str">
        <f aca="false">IF(C1728="","",C1728*IF(Settings!$B$23=Settings!$C$6,1,IF(Settings!$B$23="USD",1/INDEX(Settings!$B$29:$B$40,MONTH(A1728)),INDEX(Settings!$B$29:$B$40,MONTH(A1728)))))</f>
        <v/>
      </c>
    </row>
    <row r="1729" customFormat="false" ht="15" hidden="false" customHeight="false" outlineLevel="0" collapsed="false">
      <c r="H1729" s="0" t="str">
        <f aca="false">IF(B1729="","",IF(COUNTIF(Campaigns!$A$7:$A$300,B1729)&gt;0,"✓","⚠ add to Campaigns tab"))</f>
        <v/>
      </c>
      <c r="I1729" s="84" t="str">
        <f aca="false">IF(C1729="","",C1729*IF(Settings!$B$23=Settings!$C$6,1,IF(Settings!$B$23="USD",1/INDEX(Settings!$B$29:$B$40,MONTH(A1729)),INDEX(Settings!$B$29:$B$40,MONTH(A1729)))))</f>
        <v/>
      </c>
    </row>
    <row r="1730" customFormat="false" ht="15" hidden="false" customHeight="false" outlineLevel="0" collapsed="false">
      <c r="H1730" s="0" t="str">
        <f aca="false">IF(B1730="","",IF(COUNTIF(Campaigns!$A$7:$A$300,B1730)&gt;0,"✓","⚠ add to Campaigns tab"))</f>
        <v/>
      </c>
      <c r="I1730" s="84" t="str">
        <f aca="false">IF(C1730="","",C1730*IF(Settings!$B$23=Settings!$C$6,1,IF(Settings!$B$23="USD",1/INDEX(Settings!$B$29:$B$40,MONTH(A1730)),INDEX(Settings!$B$29:$B$40,MONTH(A1730)))))</f>
        <v/>
      </c>
    </row>
    <row r="1731" customFormat="false" ht="15" hidden="false" customHeight="false" outlineLevel="0" collapsed="false">
      <c r="H1731" s="0" t="str">
        <f aca="false">IF(B1731="","",IF(COUNTIF(Campaigns!$A$7:$A$300,B1731)&gt;0,"✓","⚠ add to Campaigns tab"))</f>
        <v/>
      </c>
      <c r="I1731" s="84" t="str">
        <f aca="false">IF(C1731="","",C1731*IF(Settings!$B$23=Settings!$C$6,1,IF(Settings!$B$23="USD",1/INDEX(Settings!$B$29:$B$40,MONTH(A1731)),INDEX(Settings!$B$29:$B$40,MONTH(A1731)))))</f>
        <v/>
      </c>
    </row>
    <row r="1732" customFormat="false" ht="15" hidden="false" customHeight="false" outlineLevel="0" collapsed="false">
      <c r="H1732" s="0" t="str">
        <f aca="false">IF(B1732="","",IF(COUNTIF(Campaigns!$A$7:$A$300,B1732)&gt;0,"✓","⚠ add to Campaigns tab"))</f>
        <v/>
      </c>
      <c r="I1732" s="84" t="str">
        <f aca="false">IF(C1732="","",C1732*IF(Settings!$B$23=Settings!$C$6,1,IF(Settings!$B$23="USD",1/INDEX(Settings!$B$29:$B$40,MONTH(A1732)),INDEX(Settings!$B$29:$B$40,MONTH(A1732)))))</f>
        <v/>
      </c>
    </row>
    <row r="1733" customFormat="false" ht="15" hidden="false" customHeight="false" outlineLevel="0" collapsed="false">
      <c r="H1733" s="0" t="str">
        <f aca="false">IF(B1733="","",IF(COUNTIF(Campaigns!$A$7:$A$300,B1733)&gt;0,"✓","⚠ add to Campaigns tab"))</f>
        <v/>
      </c>
      <c r="I1733" s="84" t="str">
        <f aca="false">IF(C1733="","",C1733*IF(Settings!$B$23=Settings!$C$6,1,IF(Settings!$B$23="USD",1/INDEX(Settings!$B$29:$B$40,MONTH(A1733)),INDEX(Settings!$B$29:$B$40,MONTH(A1733)))))</f>
        <v/>
      </c>
    </row>
    <row r="1734" customFormat="false" ht="15" hidden="false" customHeight="false" outlineLevel="0" collapsed="false">
      <c r="H1734" s="0" t="str">
        <f aca="false">IF(B1734="","",IF(COUNTIF(Campaigns!$A$7:$A$300,B1734)&gt;0,"✓","⚠ add to Campaigns tab"))</f>
        <v/>
      </c>
      <c r="I1734" s="84" t="str">
        <f aca="false">IF(C1734="","",C1734*IF(Settings!$B$23=Settings!$C$6,1,IF(Settings!$B$23="USD",1/INDEX(Settings!$B$29:$B$40,MONTH(A1734)),INDEX(Settings!$B$29:$B$40,MONTH(A1734)))))</f>
        <v/>
      </c>
    </row>
    <row r="1735" customFormat="false" ht="15" hidden="false" customHeight="false" outlineLevel="0" collapsed="false">
      <c r="H1735" s="0" t="str">
        <f aca="false">IF(B1735="","",IF(COUNTIF(Campaigns!$A$7:$A$300,B1735)&gt;0,"✓","⚠ add to Campaigns tab"))</f>
        <v/>
      </c>
      <c r="I1735" s="84" t="str">
        <f aca="false">IF(C1735="","",C1735*IF(Settings!$B$23=Settings!$C$6,1,IF(Settings!$B$23="USD",1/INDEX(Settings!$B$29:$B$40,MONTH(A1735)),INDEX(Settings!$B$29:$B$40,MONTH(A1735)))))</f>
        <v/>
      </c>
    </row>
    <row r="1736" customFormat="false" ht="15" hidden="false" customHeight="false" outlineLevel="0" collapsed="false">
      <c r="H1736" s="0" t="str">
        <f aca="false">IF(B1736="","",IF(COUNTIF(Campaigns!$A$7:$A$300,B1736)&gt;0,"✓","⚠ add to Campaigns tab"))</f>
        <v/>
      </c>
      <c r="I1736" s="84" t="str">
        <f aca="false">IF(C1736="","",C1736*IF(Settings!$B$23=Settings!$C$6,1,IF(Settings!$B$23="USD",1/INDEX(Settings!$B$29:$B$40,MONTH(A1736)),INDEX(Settings!$B$29:$B$40,MONTH(A1736)))))</f>
        <v/>
      </c>
    </row>
    <row r="1737" customFormat="false" ht="15" hidden="false" customHeight="false" outlineLevel="0" collapsed="false">
      <c r="H1737" s="0" t="str">
        <f aca="false">IF(B1737="","",IF(COUNTIF(Campaigns!$A$7:$A$300,B1737)&gt;0,"✓","⚠ add to Campaigns tab"))</f>
        <v/>
      </c>
      <c r="I1737" s="84" t="str">
        <f aca="false">IF(C1737="","",C1737*IF(Settings!$B$23=Settings!$C$6,1,IF(Settings!$B$23="USD",1/INDEX(Settings!$B$29:$B$40,MONTH(A1737)),INDEX(Settings!$B$29:$B$40,MONTH(A1737)))))</f>
        <v/>
      </c>
    </row>
    <row r="1738" customFormat="false" ht="15" hidden="false" customHeight="false" outlineLevel="0" collapsed="false">
      <c r="H1738" s="0" t="str">
        <f aca="false">IF(B1738="","",IF(COUNTIF(Campaigns!$A$7:$A$300,B1738)&gt;0,"✓","⚠ add to Campaigns tab"))</f>
        <v/>
      </c>
      <c r="I1738" s="84" t="str">
        <f aca="false">IF(C1738="","",C1738*IF(Settings!$B$23=Settings!$C$6,1,IF(Settings!$B$23="USD",1/INDEX(Settings!$B$29:$B$40,MONTH(A1738)),INDEX(Settings!$B$29:$B$40,MONTH(A1738)))))</f>
        <v/>
      </c>
    </row>
    <row r="1739" customFormat="false" ht="15" hidden="false" customHeight="false" outlineLevel="0" collapsed="false">
      <c r="H1739" s="0" t="str">
        <f aca="false">IF(B1739="","",IF(COUNTIF(Campaigns!$A$7:$A$300,B1739)&gt;0,"✓","⚠ add to Campaigns tab"))</f>
        <v/>
      </c>
      <c r="I1739" s="84" t="str">
        <f aca="false">IF(C1739="","",C1739*IF(Settings!$B$23=Settings!$C$6,1,IF(Settings!$B$23="USD",1/INDEX(Settings!$B$29:$B$40,MONTH(A1739)),INDEX(Settings!$B$29:$B$40,MONTH(A1739)))))</f>
        <v/>
      </c>
    </row>
    <row r="1740" customFormat="false" ht="15" hidden="false" customHeight="false" outlineLevel="0" collapsed="false">
      <c r="H1740" s="0" t="str">
        <f aca="false">IF(B1740="","",IF(COUNTIF(Campaigns!$A$7:$A$300,B1740)&gt;0,"✓","⚠ add to Campaigns tab"))</f>
        <v/>
      </c>
      <c r="I1740" s="84" t="str">
        <f aca="false">IF(C1740="","",C1740*IF(Settings!$B$23=Settings!$C$6,1,IF(Settings!$B$23="USD",1/INDEX(Settings!$B$29:$B$40,MONTH(A1740)),INDEX(Settings!$B$29:$B$40,MONTH(A1740)))))</f>
        <v/>
      </c>
    </row>
    <row r="1741" customFormat="false" ht="15" hidden="false" customHeight="false" outlineLevel="0" collapsed="false">
      <c r="H1741" s="0" t="str">
        <f aca="false">IF(B1741="","",IF(COUNTIF(Campaigns!$A$7:$A$300,B1741)&gt;0,"✓","⚠ add to Campaigns tab"))</f>
        <v/>
      </c>
      <c r="I1741" s="84" t="str">
        <f aca="false">IF(C1741="","",C1741*IF(Settings!$B$23=Settings!$C$6,1,IF(Settings!$B$23="USD",1/INDEX(Settings!$B$29:$B$40,MONTH(A1741)),INDEX(Settings!$B$29:$B$40,MONTH(A1741)))))</f>
        <v/>
      </c>
    </row>
    <row r="1742" customFormat="false" ht="15" hidden="false" customHeight="false" outlineLevel="0" collapsed="false">
      <c r="H1742" s="0" t="str">
        <f aca="false">IF(B1742="","",IF(COUNTIF(Campaigns!$A$7:$A$300,B1742)&gt;0,"✓","⚠ add to Campaigns tab"))</f>
        <v/>
      </c>
      <c r="I1742" s="84" t="str">
        <f aca="false">IF(C1742="","",C1742*IF(Settings!$B$23=Settings!$C$6,1,IF(Settings!$B$23="USD",1/INDEX(Settings!$B$29:$B$40,MONTH(A1742)),INDEX(Settings!$B$29:$B$40,MONTH(A1742)))))</f>
        <v/>
      </c>
    </row>
    <row r="1743" customFormat="false" ht="15" hidden="false" customHeight="false" outlineLevel="0" collapsed="false">
      <c r="H1743" s="0" t="str">
        <f aca="false">IF(B1743="","",IF(COUNTIF(Campaigns!$A$7:$A$300,B1743)&gt;0,"✓","⚠ add to Campaigns tab"))</f>
        <v/>
      </c>
      <c r="I1743" s="84" t="str">
        <f aca="false">IF(C1743="","",C1743*IF(Settings!$B$23=Settings!$C$6,1,IF(Settings!$B$23="USD",1/INDEX(Settings!$B$29:$B$40,MONTH(A1743)),INDEX(Settings!$B$29:$B$40,MONTH(A1743)))))</f>
        <v/>
      </c>
    </row>
    <row r="1744" customFormat="false" ht="15" hidden="false" customHeight="false" outlineLevel="0" collapsed="false">
      <c r="H1744" s="0" t="str">
        <f aca="false">IF(B1744="","",IF(COUNTIF(Campaigns!$A$7:$A$300,B1744)&gt;0,"✓","⚠ add to Campaigns tab"))</f>
        <v/>
      </c>
      <c r="I1744" s="84" t="str">
        <f aca="false">IF(C1744="","",C1744*IF(Settings!$B$23=Settings!$C$6,1,IF(Settings!$B$23="USD",1/INDEX(Settings!$B$29:$B$40,MONTH(A1744)),INDEX(Settings!$B$29:$B$40,MONTH(A1744)))))</f>
        <v/>
      </c>
    </row>
    <row r="1745" customFormat="false" ht="15" hidden="false" customHeight="false" outlineLevel="0" collapsed="false">
      <c r="H1745" s="0" t="str">
        <f aca="false">IF(B1745="","",IF(COUNTIF(Campaigns!$A$7:$A$300,B1745)&gt;0,"✓","⚠ add to Campaigns tab"))</f>
        <v/>
      </c>
      <c r="I1745" s="84" t="str">
        <f aca="false">IF(C1745="","",C1745*IF(Settings!$B$23=Settings!$C$6,1,IF(Settings!$B$23="USD",1/INDEX(Settings!$B$29:$B$40,MONTH(A1745)),INDEX(Settings!$B$29:$B$40,MONTH(A1745)))))</f>
        <v/>
      </c>
    </row>
    <row r="1746" customFormat="false" ht="15" hidden="false" customHeight="false" outlineLevel="0" collapsed="false">
      <c r="H1746" s="0" t="str">
        <f aca="false">IF(B1746="","",IF(COUNTIF(Campaigns!$A$7:$A$300,B1746)&gt;0,"✓","⚠ add to Campaigns tab"))</f>
        <v/>
      </c>
      <c r="I1746" s="84" t="str">
        <f aca="false">IF(C1746="","",C1746*IF(Settings!$B$23=Settings!$C$6,1,IF(Settings!$B$23="USD",1/INDEX(Settings!$B$29:$B$40,MONTH(A1746)),INDEX(Settings!$B$29:$B$40,MONTH(A1746)))))</f>
        <v/>
      </c>
    </row>
    <row r="1747" customFormat="false" ht="15" hidden="false" customHeight="false" outlineLevel="0" collapsed="false">
      <c r="H1747" s="0" t="str">
        <f aca="false">IF(B1747="","",IF(COUNTIF(Campaigns!$A$7:$A$300,B1747)&gt;0,"✓","⚠ add to Campaigns tab"))</f>
        <v/>
      </c>
      <c r="I1747" s="84" t="str">
        <f aca="false">IF(C1747="","",C1747*IF(Settings!$B$23=Settings!$C$6,1,IF(Settings!$B$23="USD",1/INDEX(Settings!$B$29:$B$40,MONTH(A1747)),INDEX(Settings!$B$29:$B$40,MONTH(A1747)))))</f>
        <v/>
      </c>
    </row>
    <row r="1748" customFormat="false" ht="15" hidden="false" customHeight="false" outlineLevel="0" collapsed="false">
      <c r="H1748" s="0" t="str">
        <f aca="false">IF(B1748="","",IF(COUNTIF(Campaigns!$A$7:$A$300,B1748)&gt;0,"✓","⚠ add to Campaigns tab"))</f>
        <v/>
      </c>
      <c r="I1748" s="84" t="str">
        <f aca="false">IF(C1748="","",C1748*IF(Settings!$B$23=Settings!$C$6,1,IF(Settings!$B$23="USD",1/INDEX(Settings!$B$29:$B$40,MONTH(A1748)),INDEX(Settings!$B$29:$B$40,MONTH(A1748)))))</f>
        <v/>
      </c>
    </row>
    <row r="1749" customFormat="false" ht="15" hidden="false" customHeight="false" outlineLevel="0" collapsed="false">
      <c r="H1749" s="0" t="str">
        <f aca="false">IF(B1749="","",IF(COUNTIF(Campaigns!$A$7:$A$300,B1749)&gt;0,"✓","⚠ add to Campaigns tab"))</f>
        <v/>
      </c>
      <c r="I1749" s="84" t="str">
        <f aca="false">IF(C1749="","",C1749*IF(Settings!$B$23=Settings!$C$6,1,IF(Settings!$B$23="USD",1/INDEX(Settings!$B$29:$B$40,MONTH(A1749)),INDEX(Settings!$B$29:$B$40,MONTH(A1749)))))</f>
        <v/>
      </c>
    </row>
    <row r="1750" customFormat="false" ht="15" hidden="false" customHeight="false" outlineLevel="0" collapsed="false">
      <c r="H1750" s="0" t="str">
        <f aca="false">IF(B1750="","",IF(COUNTIF(Campaigns!$A$7:$A$300,B1750)&gt;0,"✓","⚠ add to Campaigns tab"))</f>
        <v/>
      </c>
      <c r="I1750" s="84" t="str">
        <f aca="false">IF(C1750="","",C1750*IF(Settings!$B$23=Settings!$C$6,1,IF(Settings!$B$23="USD",1/INDEX(Settings!$B$29:$B$40,MONTH(A1750)),INDEX(Settings!$B$29:$B$40,MONTH(A1750)))))</f>
        <v/>
      </c>
    </row>
    <row r="1751" customFormat="false" ht="15" hidden="false" customHeight="false" outlineLevel="0" collapsed="false">
      <c r="H1751" s="0" t="str">
        <f aca="false">IF(B1751="","",IF(COUNTIF(Campaigns!$A$7:$A$300,B1751)&gt;0,"✓","⚠ add to Campaigns tab"))</f>
        <v/>
      </c>
      <c r="I1751" s="84" t="str">
        <f aca="false">IF(C1751="","",C1751*IF(Settings!$B$23=Settings!$C$6,1,IF(Settings!$B$23="USD",1/INDEX(Settings!$B$29:$B$40,MONTH(A1751)),INDEX(Settings!$B$29:$B$40,MONTH(A1751)))))</f>
        <v/>
      </c>
    </row>
    <row r="1752" customFormat="false" ht="15" hidden="false" customHeight="false" outlineLevel="0" collapsed="false">
      <c r="H1752" s="0" t="str">
        <f aca="false">IF(B1752="","",IF(COUNTIF(Campaigns!$A$7:$A$300,B1752)&gt;0,"✓","⚠ add to Campaigns tab"))</f>
        <v/>
      </c>
      <c r="I1752" s="84" t="str">
        <f aca="false">IF(C1752="","",C1752*IF(Settings!$B$23=Settings!$C$6,1,IF(Settings!$B$23="USD",1/INDEX(Settings!$B$29:$B$40,MONTH(A1752)),INDEX(Settings!$B$29:$B$40,MONTH(A1752)))))</f>
        <v/>
      </c>
    </row>
    <row r="1753" customFormat="false" ht="15" hidden="false" customHeight="false" outlineLevel="0" collapsed="false">
      <c r="H1753" s="0" t="str">
        <f aca="false">IF(B1753="","",IF(COUNTIF(Campaigns!$A$7:$A$300,B1753)&gt;0,"✓","⚠ add to Campaigns tab"))</f>
        <v/>
      </c>
      <c r="I1753" s="84" t="str">
        <f aca="false">IF(C1753="","",C1753*IF(Settings!$B$23=Settings!$C$6,1,IF(Settings!$B$23="USD",1/INDEX(Settings!$B$29:$B$40,MONTH(A1753)),INDEX(Settings!$B$29:$B$40,MONTH(A1753)))))</f>
        <v/>
      </c>
    </row>
    <row r="1754" customFormat="false" ht="15" hidden="false" customHeight="false" outlineLevel="0" collapsed="false">
      <c r="H1754" s="0" t="str">
        <f aca="false">IF(B1754="","",IF(COUNTIF(Campaigns!$A$7:$A$300,B1754)&gt;0,"✓","⚠ add to Campaigns tab"))</f>
        <v/>
      </c>
      <c r="I1754" s="84" t="str">
        <f aca="false">IF(C1754="","",C1754*IF(Settings!$B$23=Settings!$C$6,1,IF(Settings!$B$23="USD",1/INDEX(Settings!$B$29:$B$40,MONTH(A1754)),INDEX(Settings!$B$29:$B$40,MONTH(A1754)))))</f>
        <v/>
      </c>
    </row>
    <row r="1755" customFormat="false" ht="15" hidden="false" customHeight="false" outlineLevel="0" collapsed="false">
      <c r="H1755" s="0" t="str">
        <f aca="false">IF(B1755="","",IF(COUNTIF(Campaigns!$A$7:$A$300,B1755)&gt;0,"✓","⚠ add to Campaigns tab"))</f>
        <v/>
      </c>
      <c r="I1755" s="84" t="str">
        <f aca="false">IF(C1755="","",C1755*IF(Settings!$B$23=Settings!$C$6,1,IF(Settings!$B$23="USD",1/INDEX(Settings!$B$29:$B$40,MONTH(A1755)),INDEX(Settings!$B$29:$B$40,MONTH(A1755)))))</f>
        <v/>
      </c>
    </row>
    <row r="1756" customFormat="false" ht="15" hidden="false" customHeight="false" outlineLevel="0" collapsed="false">
      <c r="H1756" s="0" t="str">
        <f aca="false">IF(B1756="","",IF(COUNTIF(Campaigns!$A$7:$A$300,B1756)&gt;0,"✓","⚠ add to Campaigns tab"))</f>
        <v/>
      </c>
      <c r="I1756" s="84" t="str">
        <f aca="false">IF(C1756="","",C1756*IF(Settings!$B$23=Settings!$C$6,1,IF(Settings!$B$23="USD",1/INDEX(Settings!$B$29:$B$40,MONTH(A1756)),INDEX(Settings!$B$29:$B$40,MONTH(A1756)))))</f>
        <v/>
      </c>
    </row>
    <row r="1757" customFormat="false" ht="15" hidden="false" customHeight="false" outlineLevel="0" collapsed="false">
      <c r="H1757" s="0" t="str">
        <f aca="false">IF(B1757="","",IF(COUNTIF(Campaigns!$A$7:$A$300,B1757)&gt;0,"✓","⚠ add to Campaigns tab"))</f>
        <v/>
      </c>
      <c r="I1757" s="84" t="str">
        <f aca="false">IF(C1757="","",C1757*IF(Settings!$B$23=Settings!$C$6,1,IF(Settings!$B$23="USD",1/INDEX(Settings!$B$29:$B$40,MONTH(A1757)),INDEX(Settings!$B$29:$B$40,MONTH(A1757)))))</f>
        <v/>
      </c>
    </row>
    <row r="1758" customFormat="false" ht="15" hidden="false" customHeight="false" outlineLevel="0" collapsed="false">
      <c r="H1758" s="0" t="str">
        <f aca="false">IF(B1758="","",IF(COUNTIF(Campaigns!$A$7:$A$300,B1758)&gt;0,"✓","⚠ add to Campaigns tab"))</f>
        <v/>
      </c>
      <c r="I1758" s="84" t="str">
        <f aca="false">IF(C1758="","",C1758*IF(Settings!$B$23=Settings!$C$6,1,IF(Settings!$B$23="USD",1/INDEX(Settings!$B$29:$B$40,MONTH(A1758)),INDEX(Settings!$B$29:$B$40,MONTH(A1758)))))</f>
        <v/>
      </c>
    </row>
    <row r="1759" customFormat="false" ht="15" hidden="false" customHeight="false" outlineLevel="0" collapsed="false">
      <c r="H1759" s="0" t="str">
        <f aca="false">IF(B1759="","",IF(COUNTIF(Campaigns!$A$7:$A$300,B1759)&gt;0,"✓","⚠ add to Campaigns tab"))</f>
        <v/>
      </c>
      <c r="I1759" s="84" t="str">
        <f aca="false">IF(C1759="","",C1759*IF(Settings!$B$23=Settings!$C$6,1,IF(Settings!$B$23="USD",1/INDEX(Settings!$B$29:$B$40,MONTH(A1759)),INDEX(Settings!$B$29:$B$40,MONTH(A1759)))))</f>
        <v/>
      </c>
    </row>
    <row r="1760" customFormat="false" ht="15" hidden="false" customHeight="false" outlineLevel="0" collapsed="false">
      <c r="H1760" s="0" t="str">
        <f aca="false">IF(B1760="","",IF(COUNTIF(Campaigns!$A$7:$A$300,B1760)&gt;0,"✓","⚠ add to Campaigns tab"))</f>
        <v/>
      </c>
      <c r="I1760" s="84" t="str">
        <f aca="false">IF(C1760="","",C1760*IF(Settings!$B$23=Settings!$C$6,1,IF(Settings!$B$23="USD",1/INDEX(Settings!$B$29:$B$40,MONTH(A1760)),INDEX(Settings!$B$29:$B$40,MONTH(A1760)))))</f>
        <v/>
      </c>
    </row>
    <row r="1761" customFormat="false" ht="15" hidden="false" customHeight="false" outlineLevel="0" collapsed="false">
      <c r="H1761" s="0" t="str">
        <f aca="false">IF(B1761="","",IF(COUNTIF(Campaigns!$A$7:$A$300,B1761)&gt;0,"✓","⚠ add to Campaigns tab"))</f>
        <v/>
      </c>
      <c r="I1761" s="84" t="str">
        <f aca="false">IF(C1761="","",C1761*IF(Settings!$B$23=Settings!$C$6,1,IF(Settings!$B$23="USD",1/INDEX(Settings!$B$29:$B$40,MONTH(A1761)),INDEX(Settings!$B$29:$B$40,MONTH(A1761)))))</f>
        <v/>
      </c>
    </row>
    <row r="1762" customFormat="false" ht="15" hidden="false" customHeight="false" outlineLevel="0" collapsed="false">
      <c r="H1762" s="0" t="str">
        <f aca="false">IF(B1762="","",IF(COUNTIF(Campaigns!$A$7:$A$300,B1762)&gt;0,"✓","⚠ add to Campaigns tab"))</f>
        <v/>
      </c>
      <c r="I1762" s="84" t="str">
        <f aca="false">IF(C1762="","",C1762*IF(Settings!$B$23=Settings!$C$6,1,IF(Settings!$B$23="USD",1/INDEX(Settings!$B$29:$B$40,MONTH(A1762)),INDEX(Settings!$B$29:$B$40,MONTH(A1762)))))</f>
        <v/>
      </c>
    </row>
    <row r="1763" customFormat="false" ht="15" hidden="false" customHeight="false" outlineLevel="0" collapsed="false">
      <c r="H1763" s="0" t="str">
        <f aca="false">IF(B1763="","",IF(COUNTIF(Campaigns!$A$7:$A$300,B1763)&gt;0,"✓","⚠ add to Campaigns tab"))</f>
        <v/>
      </c>
      <c r="I1763" s="84" t="str">
        <f aca="false">IF(C1763="","",C1763*IF(Settings!$B$23=Settings!$C$6,1,IF(Settings!$B$23="USD",1/INDEX(Settings!$B$29:$B$40,MONTH(A1763)),INDEX(Settings!$B$29:$B$40,MONTH(A1763)))))</f>
        <v/>
      </c>
    </row>
    <row r="1764" customFormat="false" ht="15" hidden="false" customHeight="false" outlineLevel="0" collapsed="false">
      <c r="H1764" s="0" t="str">
        <f aca="false">IF(B1764="","",IF(COUNTIF(Campaigns!$A$7:$A$300,B1764)&gt;0,"✓","⚠ add to Campaigns tab"))</f>
        <v/>
      </c>
      <c r="I1764" s="84" t="str">
        <f aca="false">IF(C1764="","",C1764*IF(Settings!$B$23=Settings!$C$6,1,IF(Settings!$B$23="USD",1/INDEX(Settings!$B$29:$B$40,MONTH(A1764)),INDEX(Settings!$B$29:$B$40,MONTH(A1764)))))</f>
        <v/>
      </c>
    </row>
    <row r="1765" customFormat="false" ht="15" hidden="false" customHeight="false" outlineLevel="0" collapsed="false">
      <c r="H1765" s="0" t="str">
        <f aca="false">IF(B1765="","",IF(COUNTIF(Campaigns!$A$7:$A$300,B1765)&gt;0,"✓","⚠ add to Campaigns tab"))</f>
        <v/>
      </c>
      <c r="I1765" s="84" t="str">
        <f aca="false">IF(C1765="","",C1765*IF(Settings!$B$23=Settings!$C$6,1,IF(Settings!$B$23="USD",1/INDEX(Settings!$B$29:$B$40,MONTH(A1765)),INDEX(Settings!$B$29:$B$40,MONTH(A1765)))))</f>
        <v/>
      </c>
    </row>
    <row r="1766" customFormat="false" ht="15" hidden="false" customHeight="false" outlineLevel="0" collapsed="false">
      <c r="H1766" s="0" t="str">
        <f aca="false">IF(B1766="","",IF(COUNTIF(Campaigns!$A$7:$A$300,B1766)&gt;0,"✓","⚠ add to Campaigns tab"))</f>
        <v/>
      </c>
      <c r="I1766" s="84" t="str">
        <f aca="false">IF(C1766="","",C1766*IF(Settings!$B$23=Settings!$C$6,1,IF(Settings!$B$23="USD",1/INDEX(Settings!$B$29:$B$40,MONTH(A1766)),INDEX(Settings!$B$29:$B$40,MONTH(A1766)))))</f>
        <v/>
      </c>
    </row>
    <row r="1767" customFormat="false" ht="15" hidden="false" customHeight="false" outlineLevel="0" collapsed="false">
      <c r="H1767" s="0" t="str">
        <f aca="false">IF(B1767="","",IF(COUNTIF(Campaigns!$A$7:$A$300,B1767)&gt;0,"✓","⚠ add to Campaigns tab"))</f>
        <v/>
      </c>
      <c r="I1767" s="84" t="str">
        <f aca="false">IF(C1767="","",C1767*IF(Settings!$B$23=Settings!$C$6,1,IF(Settings!$B$23="USD",1/INDEX(Settings!$B$29:$B$40,MONTH(A1767)),INDEX(Settings!$B$29:$B$40,MONTH(A1767)))))</f>
        <v/>
      </c>
    </row>
    <row r="1768" customFormat="false" ht="15" hidden="false" customHeight="false" outlineLevel="0" collapsed="false">
      <c r="H1768" s="0" t="str">
        <f aca="false">IF(B1768="","",IF(COUNTIF(Campaigns!$A$7:$A$300,B1768)&gt;0,"✓","⚠ add to Campaigns tab"))</f>
        <v/>
      </c>
      <c r="I1768" s="84" t="str">
        <f aca="false">IF(C1768="","",C1768*IF(Settings!$B$23=Settings!$C$6,1,IF(Settings!$B$23="USD",1/INDEX(Settings!$B$29:$B$40,MONTH(A1768)),INDEX(Settings!$B$29:$B$40,MONTH(A1768)))))</f>
        <v/>
      </c>
    </row>
    <row r="1769" customFormat="false" ht="15" hidden="false" customHeight="false" outlineLevel="0" collapsed="false">
      <c r="H1769" s="0" t="str">
        <f aca="false">IF(B1769="","",IF(COUNTIF(Campaigns!$A$7:$A$300,B1769)&gt;0,"✓","⚠ add to Campaigns tab"))</f>
        <v/>
      </c>
      <c r="I1769" s="84" t="str">
        <f aca="false">IF(C1769="","",C1769*IF(Settings!$B$23=Settings!$C$6,1,IF(Settings!$B$23="USD",1/INDEX(Settings!$B$29:$B$40,MONTH(A1769)),INDEX(Settings!$B$29:$B$40,MONTH(A1769)))))</f>
        <v/>
      </c>
    </row>
    <row r="1770" customFormat="false" ht="15" hidden="false" customHeight="false" outlineLevel="0" collapsed="false">
      <c r="H1770" s="0" t="str">
        <f aca="false">IF(B1770="","",IF(COUNTIF(Campaigns!$A$7:$A$300,B1770)&gt;0,"✓","⚠ add to Campaigns tab"))</f>
        <v/>
      </c>
      <c r="I1770" s="84" t="str">
        <f aca="false">IF(C1770="","",C1770*IF(Settings!$B$23=Settings!$C$6,1,IF(Settings!$B$23="USD",1/INDEX(Settings!$B$29:$B$40,MONTH(A1770)),INDEX(Settings!$B$29:$B$40,MONTH(A1770)))))</f>
        <v/>
      </c>
    </row>
    <row r="1771" customFormat="false" ht="15" hidden="false" customHeight="false" outlineLevel="0" collapsed="false">
      <c r="H1771" s="0" t="str">
        <f aca="false">IF(B1771="","",IF(COUNTIF(Campaigns!$A$7:$A$300,B1771)&gt;0,"✓","⚠ add to Campaigns tab"))</f>
        <v/>
      </c>
      <c r="I1771" s="84" t="str">
        <f aca="false">IF(C1771="","",C1771*IF(Settings!$B$23=Settings!$C$6,1,IF(Settings!$B$23="USD",1/INDEX(Settings!$B$29:$B$40,MONTH(A1771)),INDEX(Settings!$B$29:$B$40,MONTH(A1771)))))</f>
        <v/>
      </c>
    </row>
    <row r="1772" customFormat="false" ht="15" hidden="false" customHeight="false" outlineLevel="0" collapsed="false">
      <c r="H1772" s="0" t="str">
        <f aca="false">IF(B1772="","",IF(COUNTIF(Campaigns!$A$7:$A$300,B1772)&gt;0,"✓","⚠ add to Campaigns tab"))</f>
        <v/>
      </c>
      <c r="I1772" s="84" t="str">
        <f aca="false">IF(C1772="","",C1772*IF(Settings!$B$23=Settings!$C$6,1,IF(Settings!$B$23="USD",1/INDEX(Settings!$B$29:$B$40,MONTH(A1772)),INDEX(Settings!$B$29:$B$40,MONTH(A1772)))))</f>
        <v/>
      </c>
    </row>
    <row r="1773" customFormat="false" ht="15" hidden="false" customHeight="false" outlineLevel="0" collapsed="false">
      <c r="H1773" s="0" t="str">
        <f aca="false">IF(B1773="","",IF(COUNTIF(Campaigns!$A$7:$A$300,B1773)&gt;0,"✓","⚠ add to Campaigns tab"))</f>
        <v/>
      </c>
      <c r="I1773" s="84" t="str">
        <f aca="false">IF(C1773="","",C1773*IF(Settings!$B$23=Settings!$C$6,1,IF(Settings!$B$23="USD",1/INDEX(Settings!$B$29:$B$40,MONTH(A1773)),INDEX(Settings!$B$29:$B$40,MONTH(A1773)))))</f>
        <v/>
      </c>
    </row>
    <row r="1774" customFormat="false" ht="15" hidden="false" customHeight="false" outlineLevel="0" collapsed="false">
      <c r="H1774" s="0" t="str">
        <f aca="false">IF(B1774="","",IF(COUNTIF(Campaigns!$A$7:$A$300,B1774)&gt;0,"✓","⚠ add to Campaigns tab"))</f>
        <v/>
      </c>
      <c r="I1774" s="84" t="str">
        <f aca="false">IF(C1774="","",C1774*IF(Settings!$B$23=Settings!$C$6,1,IF(Settings!$B$23="USD",1/INDEX(Settings!$B$29:$B$40,MONTH(A1774)),INDEX(Settings!$B$29:$B$40,MONTH(A1774)))))</f>
        <v/>
      </c>
    </row>
    <row r="1775" customFormat="false" ht="15" hidden="false" customHeight="false" outlineLevel="0" collapsed="false">
      <c r="H1775" s="0" t="str">
        <f aca="false">IF(B1775="","",IF(COUNTIF(Campaigns!$A$7:$A$300,B1775)&gt;0,"✓","⚠ add to Campaigns tab"))</f>
        <v/>
      </c>
      <c r="I1775" s="84" t="str">
        <f aca="false">IF(C1775="","",C1775*IF(Settings!$B$23=Settings!$C$6,1,IF(Settings!$B$23="USD",1/INDEX(Settings!$B$29:$B$40,MONTH(A1775)),INDEX(Settings!$B$29:$B$40,MONTH(A1775)))))</f>
        <v/>
      </c>
    </row>
    <row r="1776" customFormat="false" ht="15" hidden="false" customHeight="false" outlineLevel="0" collapsed="false">
      <c r="H1776" s="0" t="str">
        <f aca="false">IF(B1776="","",IF(COUNTIF(Campaigns!$A$7:$A$300,B1776)&gt;0,"✓","⚠ add to Campaigns tab"))</f>
        <v/>
      </c>
      <c r="I1776" s="84" t="str">
        <f aca="false">IF(C1776="","",C1776*IF(Settings!$B$23=Settings!$C$6,1,IF(Settings!$B$23="USD",1/INDEX(Settings!$B$29:$B$40,MONTH(A1776)),INDEX(Settings!$B$29:$B$40,MONTH(A1776)))))</f>
        <v/>
      </c>
    </row>
    <row r="1777" customFormat="false" ht="15" hidden="false" customHeight="false" outlineLevel="0" collapsed="false">
      <c r="H1777" s="0" t="str">
        <f aca="false">IF(B1777="","",IF(COUNTIF(Campaigns!$A$7:$A$300,B1777)&gt;0,"✓","⚠ add to Campaigns tab"))</f>
        <v/>
      </c>
      <c r="I1777" s="84" t="str">
        <f aca="false">IF(C1777="","",C1777*IF(Settings!$B$23=Settings!$C$6,1,IF(Settings!$B$23="USD",1/INDEX(Settings!$B$29:$B$40,MONTH(A1777)),INDEX(Settings!$B$29:$B$40,MONTH(A1777)))))</f>
        <v/>
      </c>
    </row>
    <row r="1778" customFormat="false" ht="15" hidden="false" customHeight="false" outlineLevel="0" collapsed="false">
      <c r="H1778" s="0" t="str">
        <f aca="false">IF(B1778="","",IF(COUNTIF(Campaigns!$A$7:$A$300,B1778)&gt;0,"✓","⚠ add to Campaigns tab"))</f>
        <v/>
      </c>
      <c r="I1778" s="84" t="str">
        <f aca="false">IF(C1778="","",C1778*IF(Settings!$B$23=Settings!$C$6,1,IF(Settings!$B$23="USD",1/INDEX(Settings!$B$29:$B$40,MONTH(A1778)),INDEX(Settings!$B$29:$B$40,MONTH(A1778)))))</f>
        <v/>
      </c>
    </row>
    <row r="1779" customFormat="false" ht="15" hidden="false" customHeight="false" outlineLevel="0" collapsed="false">
      <c r="H1779" s="0" t="str">
        <f aca="false">IF(B1779="","",IF(COUNTIF(Campaigns!$A$7:$A$300,B1779)&gt;0,"✓","⚠ add to Campaigns tab"))</f>
        <v/>
      </c>
      <c r="I1779" s="84" t="str">
        <f aca="false">IF(C1779="","",C1779*IF(Settings!$B$23=Settings!$C$6,1,IF(Settings!$B$23="USD",1/INDEX(Settings!$B$29:$B$40,MONTH(A1779)),INDEX(Settings!$B$29:$B$40,MONTH(A1779)))))</f>
        <v/>
      </c>
    </row>
    <row r="1780" customFormat="false" ht="15" hidden="false" customHeight="false" outlineLevel="0" collapsed="false">
      <c r="H1780" s="0" t="str">
        <f aca="false">IF(B1780="","",IF(COUNTIF(Campaigns!$A$7:$A$300,B1780)&gt;0,"✓","⚠ add to Campaigns tab"))</f>
        <v/>
      </c>
      <c r="I1780" s="84" t="str">
        <f aca="false">IF(C1780="","",C1780*IF(Settings!$B$23=Settings!$C$6,1,IF(Settings!$B$23="USD",1/INDEX(Settings!$B$29:$B$40,MONTH(A1780)),INDEX(Settings!$B$29:$B$40,MONTH(A1780)))))</f>
        <v/>
      </c>
    </row>
    <row r="1781" customFormat="false" ht="15" hidden="false" customHeight="false" outlineLevel="0" collapsed="false">
      <c r="H1781" s="0" t="str">
        <f aca="false">IF(B1781="","",IF(COUNTIF(Campaigns!$A$7:$A$300,B1781)&gt;0,"✓","⚠ add to Campaigns tab"))</f>
        <v/>
      </c>
      <c r="I1781" s="84" t="str">
        <f aca="false">IF(C1781="","",C1781*IF(Settings!$B$23=Settings!$C$6,1,IF(Settings!$B$23="USD",1/INDEX(Settings!$B$29:$B$40,MONTH(A1781)),INDEX(Settings!$B$29:$B$40,MONTH(A1781)))))</f>
        <v/>
      </c>
    </row>
    <row r="1782" customFormat="false" ht="15" hidden="false" customHeight="false" outlineLevel="0" collapsed="false">
      <c r="H1782" s="0" t="str">
        <f aca="false">IF(B1782="","",IF(COUNTIF(Campaigns!$A$7:$A$300,B1782)&gt;0,"✓","⚠ add to Campaigns tab"))</f>
        <v/>
      </c>
      <c r="I1782" s="84" t="str">
        <f aca="false">IF(C1782="","",C1782*IF(Settings!$B$23=Settings!$C$6,1,IF(Settings!$B$23="USD",1/INDEX(Settings!$B$29:$B$40,MONTH(A1782)),INDEX(Settings!$B$29:$B$40,MONTH(A1782)))))</f>
        <v/>
      </c>
    </row>
    <row r="1783" customFormat="false" ht="15" hidden="false" customHeight="false" outlineLevel="0" collapsed="false">
      <c r="H1783" s="0" t="str">
        <f aca="false">IF(B1783="","",IF(COUNTIF(Campaigns!$A$7:$A$300,B1783)&gt;0,"✓","⚠ add to Campaigns tab"))</f>
        <v/>
      </c>
      <c r="I1783" s="84" t="str">
        <f aca="false">IF(C1783="","",C1783*IF(Settings!$B$23=Settings!$C$6,1,IF(Settings!$B$23="USD",1/INDEX(Settings!$B$29:$B$40,MONTH(A1783)),INDEX(Settings!$B$29:$B$40,MONTH(A1783)))))</f>
        <v/>
      </c>
    </row>
    <row r="1784" customFormat="false" ht="15" hidden="false" customHeight="false" outlineLevel="0" collapsed="false">
      <c r="H1784" s="0" t="str">
        <f aca="false">IF(B1784="","",IF(COUNTIF(Campaigns!$A$7:$A$300,B1784)&gt;0,"✓","⚠ add to Campaigns tab"))</f>
        <v/>
      </c>
      <c r="I1784" s="84" t="str">
        <f aca="false">IF(C1784="","",C1784*IF(Settings!$B$23=Settings!$C$6,1,IF(Settings!$B$23="USD",1/INDEX(Settings!$B$29:$B$40,MONTH(A1784)),INDEX(Settings!$B$29:$B$40,MONTH(A1784)))))</f>
        <v/>
      </c>
    </row>
    <row r="1785" customFormat="false" ht="15" hidden="false" customHeight="false" outlineLevel="0" collapsed="false">
      <c r="H1785" s="0" t="str">
        <f aca="false">IF(B1785="","",IF(COUNTIF(Campaigns!$A$7:$A$300,B1785)&gt;0,"✓","⚠ add to Campaigns tab"))</f>
        <v/>
      </c>
      <c r="I1785" s="84" t="str">
        <f aca="false">IF(C1785="","",C1785*IF(Settings!$B$23=Settings!$C$6,1,IF(Settings!$B$23="USD",1/INDEX(Settings!$B$29:$B$40,MONTH(A1785)),INDEX(Settings!$B$29:$B$40,MONTH(A1785)))))</f>
        <v/>
      </c>
    </row>
    <row r="1786" customFormat="false" ht="15" hidden="false" customHeight="false" outlineLevel="0" collapsed="false">
      <c r="H1786" s="0" t="str">
        <f aca="false">IF(B1786="","",IF(COUNTIF(Campaigns!$A$7:$A$300,B1786)&gt;0,"✓","⚠ add to Campaigns tab"))</f>
        <v/>
      </c>
      <c r="I1786" s="84" t="str">
        <f aca="false">IF(C1786="","",C1786*IF(Settings!$B$23=Settings!$C$6,1,IF(Settings!$B$23="USD",1/INDEX(Settings!$B$29:$B$40,MONTH(A1786)),INDEX(Settings!$B$29:$B$40,MONTH(A1786)))))</f>
        <v/>
      </c>
    </row>
    <row r="1787" customFormat="false" ht="15" hidden="false" customHeight="false" outlineLevel="0" collapsed="false">
      <c r="H1787" s="0" t="str">
        <f aca="false">IF(B1787="","",IF(COUNTIF(Campaigns!$A$7:$A$300,B1787)&gt;0,"✓","⚠ add to Campaigns tab"))</f>
        <v/>
      </c>
      <c r="I1787" s="84" t="str">
        <f aca="false">IF(C1787="","",C1787*IF(Settings!$B$23=Settings!$C$6,1,IF(Settings!$B$23="USD",1/INDEX(Settings!$B$29:$B$40,MONTH(A1787)),INDEX(Settings!$B$29:$B$40,MONTH(A1787)))))</f>
        <v/>
      </c>
    </row>
    <row r="1788" customFormat="false" ht="15" hidden="false" customHeight="false" outlineLevel="0" collapsed="false">
      <c r="H1788" s="0" t="str">
        <f aca="false">IF(B1788="","",IF(COUNTIF(Campaigns!$A$7:$A$300,B1788)&gt;0,"✓","⚠ add to Campaigns tab"))</f>
        <v/>
      </c>
      <c r="I1788" s="84" t="str">
        <f aca="false">IF(C1788="","",C1788*IF(Settings!$B$23=Settings!$C$6,1,IF(Settings!$B$23="USD",1/INDEX(Settings!$B$29:$B$40,MONTH(A1788)),INDEX(Settings!$B$29:$B$40,MONTH(A1788)))))</f>
        <v/>
      </c>
    </row>
    <row r="1789" customFormat="false" ht="15" hidden="false" customHeight="false" outlineLevel="0" collapsed="false">
      <c r="H1789" s="0" t="str">
        <f aca="false">IF(B1789="","",IF(COUNTIF(Campaigns!$A$7:$A$300,B1789)&gt;0,"✓","⚠ add to Campaigns tab"))</f>
        <v/>
      </c>
      <c r="I1789" s="84" t="str">
        <f aca="false">IF(C1789="","",C1789*IF(Settings!$B$23=Settings!$C$6,1,IF(Settings!$B$23="USD",1/INDEX(Settings!$B$29:$B$40,MONTH(A1789)),INDEX(Settings!$B$29:$B$40,MONTH(A1789)))))</f>
        <v/>
      </c>
    </row>
    <row r="1790" customFormat="false" ht="15" hidden="false" customHeight="false" outlineLevel="0" collapsed="false">
      <c r="H1790" s="0" t="str">
        <f aca="false">IF(B1790="","",IF(COUNTIF(Campaigns!$A$7:$A$300,B1790)&gt;0,"✓","⚠ add to Campaigns tab"))</f>
        <v/>
      </c>
      <c r="I1790" s="84" t="str">
        <f aca="false">IF(C1790="","",C1790*IF(Settings!$B$23=Settings!$C$6,1,IF(Settings!$B$23="USD",1/INDEX(Settings!$B$29:$B$40,MONTH(A1790)),INDEX(Settings!$B$29:$B$40,MONTH(A1790)))))</f>
        <v/>
      </c>
    </row>
    <row r="1791" customFormat="false" ht="15" hidden="false" customHeight="false" outlineLevel="0" collapsed="false">
      <c r="H1791" s="0" t="str">
        <f aca="false">IF(B1791="","",IF(COUNTIF(Campaigns!$A$7:$A$300,B1791)&gt;0,"✓","⚠ add to Campaigns tab"))</f>
        <v/>
      </c>
      <c r="I1791" s="84" t="str">
        <f aca="false">IF(C1791="","",C1791*IF(Settings!$B$23=Settings!$C$6,1,IF(Settings!$B$23="USD",1/INDEX(Settings!$B$29:$B$40,MONTH(A1791)),INDEX(Settings!$B$29:$B$40,MONTH(A1791)))))</f>
        <v/>
      </c>
    </row>
    <row r="1792" customFormat="false" ht="15" hidden="false" customHeight="false" outlineLevel="0" collapsed="false">
      <c r="H1792" s="0" t="str">
        <f aca="false">IF(B1792="","",IF(COUNTIF(Campaigns!$A$7:$A$300,B1792)&gt;0,"✓","⚠ add to Campaigns tab"))</f>
        <v/>
      </c>
      <c r="I1792" s="84" t="str">
        <f aca="false">IF(C1792="","",C1792*IF(Settings!$B$23=Settings!$C$6,1,IF(Settings!$B$23="USD",1/INDEX(Settings!$B$29:$B$40,MONTH(A1792)),INDEX(Settings!$B$29:$B$40,MONTH(A1792)))))</f>
        <v/>
      </c>
    </row>
    <row r="1793" customFormat="false" ht="15" hidden="false" customHeight="false" outlineLevel="0" collapsed="false">
      <c r="H1793" s="0" t="str">
        <f aca="false">IF(B1793="","",IF(COUNTIF(Campaigns!$A$7:$A$300,B1793)&gt;0,"✓","⚠ add to Campaigns tab"))</f>
        <v/>
      </c>
      <c r="I1793" s="84" t="str">
        <f aca="false">IF(C1793="","",C1793*IF(Settings!$B$23=Settings!$C$6,1,IF(Settings!$B$23="USD",1/INDEX(Settings!$B$29:$B$40,MONTH(A1793)),INDEX(Settings!$B$29:$B$40,MONTH(A1793)))))</f>
        <v/>
      </c>
    </row>
    <row r="1794" customFormat="false" ht="15" hidden="false" customHeight="false" outlineLevel="0" collapsed="false">
      <c r="H1794" s="0" t="str">
        <f aca="false">IF(B1794="","",IF(COUNTIF(Campaigns!$A$7:$A$300,B1794)&gt;0,"✓","⚠ add to Campaigns tab"))</f>
        <v/>
      </c>
      <c r="I1794" s="84" t="str">
        <f aca="false">IF(C1794="","",C1794*IF(Settings!$B$23=Settings!$C$6,1,IF(Settings!$B$23="USD",1/INDEX(Settings!$B$29:$B$40,MONTH(A1794)),INDEX(Settings!$B$29:$B$40,MONTH(A1794)))))</f>
        <v/>
      </c>
    </row>
    <row r="1795" customFormat="false" ht="15" hidden="false" customHeight="false" outlineLevel="0" collapsed="false">
      <c r="H1795" s="0" t="str">
        <f aca="false">IF(B1795="","",IF(COUNTIF(Campaigns!$A$7:$A$300,B1795)&gt;0,"✓","⚠ add to Campaigns tab"))</f>
        <v/>
      </c>
      <c r="I1795" s="84" t="str">
        <f aca="false">IF(C1795="","",C1795*IF(Settings!$B$23=Settings!$C$6,1,IF(Settings!$B$23="USD",1/INDEX(Settings!$B$29:$B$40,MONTH(A1795)),INDEX(Settings!$B$29:$B$40,MONTH(A1795)))))</f>
        <v/>
      </c>
    </row>
    <row r="1796" customFormat="false" ht="15" hidden="false" customHeight="false" outlineLevel="0" collapsed="false">
      <c r="H1796" s="0" t="str">
        <f aca="false">IF(B1796="","",IF(COUNTIF(Campaigns!$A$7:$A$300,B1796)&gt;0,"✓","⚠ add to Campaigns tab"))</f>
        <v/>
      </c>
      <c r="I1796" s="84" t="str">
        <f aca="false">IF(C1796="","",C1796*IF(Settings!$B$23=Settings!$C$6,1,IF(Settings!$B$23="USD",1/INDEX(Settings!$B$29:$B$40,MONTH(A1796)),INDEX(Settings!$B$29:$B$40,MONTH(A1796)))))</f>
        <v/>
      </c>
    </row>
    <row r="1797" customFormat="false" ht="15" hidden="false" customHeight="false" outlineLevel="0" collapsed="false">
      <c r="H1797" s="0" t="str">
        <f aca="false">IF(B1797="","",IF(COUNTIF(Campaigns!$A$7:$A$300,B1797)&gt;0,"✓","⚠ add to Campaigns tab"))</f>
        <v/>
      </c>
      <c r="I1797" s="84" t="str">
        <f aca="false">IF(C1797="","",C1797*IF(Settings!$B$23=Settings!$C$6,1,IF(Settings!$B$23="USD",1/INDEX(Settings!$B$29:$B$40,MONTH(A1797)),INDEX(Settings!$B$29:$B$40,MONTH(A1797)))))</f>
        <v/>
      </c>
    </row>
    <row r="1798" customFormat="false" ht="15" hidden="false" customHeight="false" outlineLevel="0" collapsed="false">
      <c r="H1798" s="0" t="str">
        <f aca="false">IF(B1798="","",IF(COUNTIF(Campaigns!$A$7:$A$300,B1798)&gt;0,"✓","⚠ add to Campaigns tab"))</f>
        <v/>
      </c>
      <c r="I1798" s="84" t="str">
        <f aca="false">IF(C1798="","",C1798*IF(Settings!$B$23=Settings!$C$6,1,IF(Settings!$B$23="USD",1/INDEX(Settings!$B$29:$B$40,MONTH(A1798)),INDEX(Settings!$B$29:$B$40,MONTH(A1798)))))</f>
        <v/>
      </c>
    </row>
    <row r="1799" customFormat="false" ht="15" hidden="false" customHeight="false" outlineLevel="0" collapsed="false">
      <c r="H1799" s="0" t="str">
        <f aca="false">IF(B1799="","",IF(COUNTIF(Campaigns!$A$7:$A$300,B1799)&gt;0,"✓","⚠ add to Campaigns tab"))</f>
        <v/>
      </c>
      <c r="I1799" s="84" t="str">
        <f aca="false">IF(C1799="","",C1799*IF(Settings!$B$23=Settings!$C$6,1,IF(Settings!$B$23="USD",1/INDEX(Settings!$B$29:$B$40,MONTH(A1799)),INDEX(Settings!$B$29:$B$40,MONTH(A1799)))))</f>
        <v/>
      </c>
    </row>
    <row r="1800" customFormat="false" ht="15" hidden="false" customHeight="false" outlineLevel="0" collapsed="false">
      <c r="H1800" s="0" t="str">
        <f aca="false">IF(B1800="","",IF(COUNTIF(Campaigns!$A$7:$A$300,B1800)&gt;0,"✓","⚠ add to Campaigns tab"))</f>
        <v/>
      </c>
      <c r="I1800" s="84" t="str">
        <f aca="false">IF(C1800="","",C1800*IF(Settings!$B$23=Settings!$C$6,1,IF(Settings!$B$23="USD",1/INDEX(Settings!$B$29:$B$40,MONTH(A1800)),INDEX(Settings!$B$29:$B$40,MONTH(A1800)))))</f>
        <v/>
      </c>
    </row>
    <row r="1801" customFormat="false" ht="15" hidden="false" customHeight="false" outlineLevel="0" collapsed="false">
      <c r="H1801" s="0" t="str">
        <f aca="false">IF(B1801="","",IF(COUNTIF(Campaigns!$A$7:$A$300,B1801)&gt;0,"✓","⚠ add to Campaigns tab"))</f>
        <v/>
      </c>
      <c r="I1801" s="84" t="str">
        <f aca="false">IF(C1801="","",C1801*IF(Settings!$B$23=Settings!$C$6,1,IF(Settings!$B$23="USD",1/INDEX(Settings!$B$29:$B$40,MONTH(A1801)),INDEX(Settings!$B$29:$B$40,MONTH(A1801)))))</f>
        <v/>
      </c>
    </row>
    <row r="1802" customFormat="false" ht="15" hidden="false" customHeight="false" outlineLevel="0" collapsed="false">
      <c r="H1802" s="0" t="str">
        <f aca="false">IF(B1802="","",IF(COUNTIF(Campaigns!$A$7:$A$300,B1802)&gt;0,"✓","⚠ add to Campaigns tab"))</f>
        <v/>
      </c>
      <c r="I1802" s="84" t="str">
        <f aca="false">IF(C1802="","",C1802*IF(Settings!$B$23=Settings!$C$6,1,IF(Settings!$B$23="USD",1/INDEX(Settings!$B$29:$B$40,MONTH(A1802)),INDEX(Settings!$B$29:$B$40,MONTH(A1802)))))</f>
        <v/>
      </c>
    </row>
    <row r="1803" customFormat="false" ht="15" hidden="false" customHeight="false" outlineLevel="0" collapsed="false">
      <c r="H1803" s="0" t="str">
        <f aca="false">IF(B1803="","",IF(COUNTIF(Campaigns!$A$7:$A$300,B1803)&gt;0,"✓","⚠ add to Campaigns tab"))</f>
        <v/>
      </c>
      <c r="I1803" s="84" t="str">
        <f aca="false">IF(C1803="","",C1803*IF(Settings!$B$23=Settings!$C$6,1,IF(Settings!$B$23="USD",1/INDEX(Settings!$B$29:$B$40,MONTH(A1803)),INDEX(Settings!$B$29:$B$40,MONTH(A1803)))))</f>
        <v/>
      </c>
    </row>
    <row r="1804" customFormat="false" ht="15" hidden="false" customHeight="false" outlineLevel="0" collapsed="false">
      <c r="H1804" s="0" t="str">
        <f aca="false">IF(B1804="","",IF(COUNTIF(Campaigns!$A$7:$A$300,B1804)&gt;0,"✓","⚠ add to Campaigns tab"))</f>
        <v/>
      </c>
      <c r="I1804" s="84" t="str">
        <f aca="false">IF(C1804="","",C1804*IF(Settings!$B$23=Settings!$C$6,1,IF(Settings!$B$23="USD",1/INDEX(Settings!$B$29:$B$40,MONTH(A1804)),INDEX(Settings!$B$29:$B$40,MONTH(A1804)))))</f>
        <v/>
      </c>
    </row>
    <row r="1805" customFormat="false" ht="15" hidden="false" customHeight="false" outlineLevel="0" collapsed="false">
      <c r="H1805" s="0" t="str">
        <f aca="false">IF(B1805="","",IF(COUNTIF(Campaigns!$A$7:$A$300,B1805)&gt;0,"✓","⚠ add to Campaigns tab"))</f>
        <v/>
      </c>
      <c r="I1805" s="84" t="str">
        <f aca="false">IF(C1805="","",C1805*IF(Settings!$B$23=Settings!$C$6,1,IF(Settings!$B$23="USD",1/INDEX(Settings!$B$29:$B$40,MONTH(A1805)),INDEX(Settings!$B$29:$B$40,MONTH(A1805)))))</f>
        <v/>
      </c>
    </row>
    <row r="1806" customFormat="false" ht="15" hidden="false" customHeight="false" outlineLevel="0" collapsed="false">
      <c r="H1806" s="0" t="str">
        <f aca="false">IF(B1806="","",IF(COUNTIF(Campaigns!$A$7:$A$300,B1806)&gt;0,"✓","⚠ add to Campaigns tab"))</f>
        <v/>
      </c>
      <c r="I1806" s="84" t="str">
        <f aca="false">IF(C1806="","",C1806*IF(Settings!$B$23=Settings!$C$6,1,IF(Settings!$B$23="USD",1/INDEX(Settings!$B$29:$B$40,MONTH(A1806)),INDEX(Settings!$B$29:$B$40,MONTH(A1806)))))</f>
        <v/>
      </c>
    </row>
    <row r="1807" customFormat="false" ht="15" hidden="false" customHeight="false" outlineLevel="0" collapsed="false">
      <c r="H1807" s="0" t="str">
        <f aca="false">IF(B1807="","",IF(COUNTIF(Campaigns!$A$7:$A$300,B1807)&gt;0,"✓","⚠ add to Campaigns tab"))</f>
        <v/>
      </c>
      <c r="I1807" s="84" t="str">
        <f aca="false">IF(C1807="","",C1807*IF(Settings!$B$23=Settings!$C$6,1,IF(Settings!$B$23="USD",1/INDEX(Settings!$B$29:$B$40,MONTH(A1807)),INDEX(Settings!$B$29:$B$40,MONTH(A1807)))))</f>
        <v/>
      </c>
    </row>
    <row r="1808" customFormat="false" ht="15" hidden="false" customHeight="false" outlineLevel="0" collapsed="false">
      <c r="H1808" s="0" t="str">
        <f aca="false">IF(B1808="","",IF(COUNTIF(Campaigns!$A$7:$A$300,B1808)&gt;0,"✓","⚠ add to Campaigns tab"))</f>
        <v/>
      </c>
      <c r="I1808" s="84" t="str">
        <f aca="false">IF(C1808="","",C1808*IF(Settings!$B$23=Settings!$C$6,1,IF(Settings!$B$23="USD",1/INDEX(Settings!$B$29:$B$40,MONTH(A1808)),INDEX(Settings!$B$29:$B$40,MONTH(A1808)))))</f>
        <v/>
      </c>
    </row>
    <row r="1809" customFormat="false" ht="15" hidden="false" customHeight="false" outlineLevel="0" collapsed="false">
      <c r="H1809" s="0" t="str">
        <f aca="false">IF(B1809="","",IF(COUNTIF(Campaigns!$A$7:$A$300,B1809)&gt;0,"✓","⚠ add to Campaigns tab"))</f>
        <v/>
      </c>
      <c r="I1809" s="84" t="str">
        <f aca="false">IF(C1809="","",C1809*IF(Settings!$B$23=Settings!$C$6,1,IF(Settings!$B$23="USD",1/INDEX(Settings!$B$29:$B$40,MONTH(A1809)),INDEX(Settings!$B$29:$B$40,MONTH(A1809)))))</f>
        <v/>
      </c>
    </row>
    <row r="1810" customFormat="false" ht="15" hidden="false" customHeight="false" outlineLevel="0" collapsed="false">
      <c r="H1810" s="0" t="str">
        <f aca="false">IF(B1810="","",IF(COUNTIF(Campaigns!$A$7:$A$300,B1810)&gt;0,"✓","⚠ add to Campaigns tab"))</f>
        <v/>
      </c>
      <c r="I1810" s="84" t="str">
        <f aca="false">IF(C1810="","",C1810*IF(Settings!$B$23=Settings!$C$6,1,IF(Settings!$B$23="USD",1/INDEX(Settings!$B$29:$B$40,MONTH(A1810)),INDEX(Settings!$B$29:$B$40,MONTH(A1810)))))</f>
        <v/>
      </c>
    </row>
    <row r="1811" customFormat="false" ht="15" hidden="false" customHeight="false" outlineLevel="0" collapsed="false">
      <c r="H1811" s="0" t="str">
        <f aca="false">IF(B1811="","",IF(COUNTIF(Campaigns!$A$7:$A$300,B1811)&gt;0,"✓","⚠ add to Campaigns tab"))</f>
        <v/>
      </c>
      <c r="I1811" s="84" t="str">
        <f aca="false">IF(C1811="","",C1811*IF(Settings!$B$23=Settings!$C$6,1,IF(Settings!$B$23="USD",1/INDEX(Settings!$B$29:$B$40,MONTH(A1811)),INDEX(Settings!$B$29:$B$40,MONTH(A1811)))))</f>
        <v/>
      </c>
    </row>
    <row r="1812" customFormat="false" ht="15" hidden="false" customHeight="false" outlineLevel="0" collapsed="false">
      <c r="H1812" s="0" t="str">
        <f aca="false">IF(B1812="","",IF(COUNTIF(Campaigns!$A$7:$A$300,B1812)&gt;0,"✓","⚠ add to Campaigns tab"))</f>
        <v/>
      </c>
      <c r="I1812" s="84" t="str">
        <f aca="false">IF(C1812="","",C1812*IF(Settings!$B$23=Settings!$C$6,1,IF(Settings!$B$23="USD",1/INDEX(Settings!$B$29:$B$40,MONTH(A1812)),INDEX(Settings!$B$29:$B$40,MONTH(A1812)))))</f>
        <v/>
      </c>
    </row>
    <row r="1813" customFormat="false" ht="15" hidden="false" customHeight="false" outlineLevel="0" collapsed="false">
      <c r="H1813" s="0" t="str">
        <f aca="false">IF(B1813="","",IF(COUNTIF(Campaigns!$A$7:$A$300,B1813)&gt;0,"✓","⚠ add to Campaigns tab"))</f>
        <v/>
      </c>
      <c r="I1813" s="84" t="str">
        <f aca="false">IF(C1813="","",C1813*IF(Settings!$B$23=Settings!$C$6,1,IF(Settings!$B$23="USD",1/INDEX(Settings!$B$29:$B$40,MONTH(A1813)),INDEX(Settings!$B$29:$B$40,MONTH(A1813)))))</f>
        <v/>
      </c>
    </row>
    <row r="1814" customFormat="false" ht="15" hidden="false" customHeight="false" outlineLevel="0" collapsed="false">
      <c r="H1814" s="0" t="str">
        <f aca="false">IF(B1814="","",IF(COUNTIF(Campaigns!$A$7:$A$300,B1814)&gt;0,"✓","⚠ add to Campaigns tab"))</f>
        <v/>
      </c>
      <c r="I1814" s="84" t="str">
        <f aca="false">IF(C1814="","",C1814*IF(Settings!$B$23=Settings!$C$6,1,IF(Settings!$B$23="USD",1/INDEX(Settings!$B$29:$B$40,MONTH(A1814)),INDEX(Settings!$B$29:$B$40,MONTH(A1814)))))</f>
        <v/>
      </c>
    </row>
    <row r="1815" customFormat="false" ht="15" hidden="false" customHeight="false" outlineLevel="0" collapsed="false">
      <c r="H1815" s="0" t="str">
        <f aca="false">IF(B1815="","",IF(COUNTIF(Campaigns!$A$7:$A$300,B1815)&gt;0,"✓","⚠ add to Campaigns tab"))</f>
        <v/>
      </c>
      <c r="I1815" s="84" t="str">
        <f aca="false">IF(C1815="","",C1815*IF(Settings!$B$23=Settings!$C$6,1,IF(Settings!$B$23="USD",1/INDEX(Settings!$B$29:$B$40,MONTH(A1815)),INDEX(Settings!$B$29:$B$40,MONTH(A1815)))))</f>
        <v/>
      </c>
    </row>
    <row r="1816" customFormat="false" ht="15" hidden="false" customHeight="false" outlineLevel="0" collapsed="false">
      <c r="H1816" s="0" t="str">
        <f aca="false">IF(B1816="","",IF(COUNTIF(Campaigns!$A$7:$A$300,B1816)&gt;0,"✓","⚠ add to Campaigns tab"))</f>
        <v/>
      </c>
      <c r="I1816" s="84" t="str">
        <f aca="false">IF(C1816="","",C1816*IF(Settings!$B$23=Settings!$C$6,1,IF(Settings!$B$23="USD",1/INDEX(Settings!$B$29:$B$40,MONTH(A1816)),INDEX(Settings!$B$29:$B$40,MONTH(A1816)))))</f>
        <v/>
      </c>
    </row>
    <row r="1817" customFormat="false" ht="15" hidden="false" customHeight="false" outlineLevel="0" collapsed="false">
      <c r="H1817" s="0" t="str">
        <f aca="false">IF(B1817="","",IF(COUNTIF(Campaigns!$A$7:$A$300,B1817)&gt;0,"✓","⚠ add to Campaigns tab"))</f>
        <v/>
      </c>
      <c r="I1817" s="84" t="str">
        <f aca="false">IF(C1817="","",C1817*IF(Settings!$B$23=Settings!$C$6,1,IF(Settings!$B$23="USD",1/INDEX(Settings!$B$29:$B$40,MONTH(A1817)),INDEX(Settings!$B$29:$B$40,MONTH(A1817)))))</f>
        <v/>
      </c>
    </row>
    <row r="1818" customFormat="false" ht="15" hidden="false" customHeight="false" outlineLevel="0" collapsed="false">
      <c r="H1818" s="0" t="str">
        <f aca="false">IF(B1818="","",IF(COUNTIF(Campaigns!$A$7:$A$300,B1818)&gt;0,"✓","⚠ add to Campaigns tab"))</f>
        <v/>
      </c>
      <c r="I1818" s="84" t="str">
        <f aca="false">IF(C1818="","",C1818*IF(Settings!$B$23=Settings!$C$6,1,IF(Settings!$B$23="USD",1/INDEX(Settings!$B$29:$B$40,MONTH(A1818)),INDEX(Settings!$B$29:$B$40,MONTH(A1818)))))</f>
        <v/>
      </c>
    </row>
    <row r="1819" customFormat="false" ht="15" hidden="false" customHeight="false" outlineLevel="0" collapsed="false">
      <c r="H1819" s="0" t="str">
        <f aca="false">IF(B1819="","",IF(COUNTIF(Campaigns!$A$7:$A$300,B1819)&gt;0,"✓","⚠ add to Campaigns tab"))</f>
        <v/>
      </c>
      <c r="I1819" s="84" t="str">
        <f aca="false">IF(C1819="","",C1819*IF(Settings!$B$23=Settings!$C$6,1,IF(Settings!$B$23="USD",1/INDEX(Settings!$B$29:$B$40,MONTH(A1819)),INDEX(Settings!$B$29:$B$40,MONTH(A1819)))))</f>
        <v/>
      </c>
    </row>
    <row r="1820" customFormat="false" ht="15" hidden="false" customHeight="false" outlineLevel="0" collapsed="false">
      <c r="H1820" s="0" t="str">
        <f aca="false">IF(B1820="","",IF(COUNTIF(Campaigns!$A$7:$A$300,B1820)&gt;0,"✓","⚠ add to Campaigns tab"))</f>
        <v/>
      </c>
      <c r="I1820" s="84" t="str">
        <f aca="false">IF(C1820="","",C1820*IF(Settings!$B$23=Settings!$C$6,1,IF(Settings!$B$23="USD",1/INDEX(Settings!$B$29:$B$40,MONTH(A1820)),INDEX(Settings!$B$29:$B$40,MONTH(A1820)))))</f>
        <v/>
      </c>
    </row>
    <row r="1821" customFormat="false" ht="15" hidden="false" customHeight="false" outlineLevel="0" collapsed="false">
      <c r="H1821" s="0" t="str">
        <f aca="false">IF(B1821="","",IF(COUNTIF(Campaigns!$A$7:$A$300,B1821)&gt;0,"✓","⚠ add to Campaigns tab"))</f>
        <v/>
      </c>
      <c r="I1821" s="84" t="str">
        <f aca="false">IF(C1821="","",C1821*IF(Settings!$B$23=Settings!$C$6,1,IF(Settings!$B$23="USD",1/INDEX(Settings!$B$29:$B$40,MONTH(A1821)),INDEX(Settings!$B$29:$B$40,MONTH(A1821)))))</f>
        <v/>
      </c>
    </row>
    <row r="1822" customFormat="false" ht="15" hidden="false" customHeight="false" outlineLevel="0" collapsed="false">
      <c r="H1822" s="0" t="str">
        <f aca="false">IF(B1822="","",IF(COUNTIF(Campaigns!$A$7:$A$300,B1822)&gt;0,"✓","⚠ add to Campaigns tab"))</f>
        <v/>
      </c>
      <c r="I1822" s="84" t="str">
        <f aca="false">IF(C1822="","",C1822*IF(Settings!$B$23=Settings!$C$6,1,IF(Settings!$B$23="USD",1/INDEX(Settings!$B$29:$B$40,MONTH(A1822)),INDEX(Settings!$B$29:$B$40,MONTH(A1822)))))</f>
        <v/>
      </c>
    </row>
    <row r="1823" customFormat="false" ht="15" hidden="false" customHeight="false" outlineLevel="0" collapsed="false">
      <c r="H1823" s="0" t="str">
        <f aca="false">IF(B1823="","",IF(COUNTIF(Campaigns!$A$7:$A$300,B1823)&gt;0,"✓","⚠ add to Campaigns tab"))</f>
        <v/>
      </c>
      <c r="I1823" s="84" t="str">
        <f aca="false">IF(C1823="","",C1823*IF(Settings!$B$23=Settings!$C$6,1,IF(Settings!$B$23="USD",1/INDEX(Settings!$B$29:$B$40,MONTH(A1823)),INDEX(Settings!$B$29:$B$40,MONTH(A1823)))))</f>
        <v/>
      </c>
    </row>
    <row r="1824" customFormat="false" ht="15" hidden="false" customHeight="false" outlineLevel="0" collapsed="false">
      <c r="H1824" s="0" t="str">
        <f aca="false">IF(B1824="","",IF(COUNTIF(Campaigns!$A$7:$A$300,B1824)&gt;0,"✓","⚠ add to Campaigns tab"))</f>
        <v/>
      </c>
      <c r="I1824" s="84" t="str">
        <f aca="false">IF(C1824="","",C1824*IF(Settings!$B$23=Settings!$C$6,1,IF(Settings!$B$23="USD",1/INDEX(Settings!$B$29:$B$40,MONTH(A1824)),INDEX(Settings!$B$29:$B$40,MONTH(A1824)))))</f>
        <v/>
      </c>
    </row>
    <row r="1825" customFormat="false" ht="15" hidden="false" customHeight="false" outlineLevel="0" collapsed="false">
      <c r="H1825" s="0" t="str">
        <f aca="false">IF(B1825="","",IF(COUNTIF(Campaigns!$A$7:$A$300,B1825)&gt;0,"✓","⚠ add to Campaigns tab"))</f>
        <v/>
      </c>
      <c r="I1825" s="84" t="str">
        <f aca="false">IF(C1825="","",C1825*IF(Settings!$B$23=Settings!$C$6,1,IF(Settings!$B$23="USD",1/INDEX(Settings!$B$29:$B$40,MONTH(A1825)),INDEX(Settings!$B$29:$B$40,MONTH(A1825)))))</f>
        <v/>
      </c>
    </row>
    <row r="1826" customFormat="false" ht="15" hidden="false" customHeight="false" outlineLevel="0" collapsed="false">
      <c r="H1826" s="0" t="str">
        <f aca="false">IF(B1826="","",IF(COUNTIF(Campaigns!$A$7:$A$300,B1826)&gt;0,"✓","⚠ add to Campaigns tab"))</f>
        <v/>
      </c>
      <c r="I1826" s="84" t="str">
        <f aca="false">IF(C1826="","",C1826*IF(Settings!$B$23=Settings!$C$6,1,IF(Settings!$B$23="USD",1/INDEX(Settings!$B$29:$B$40,MONTH(A1826)),INDEX(Settings!$B$29:$B$40,MONTH(A1826)))))</f>
        <v/>
      </c>
    </row>
    <row r="1827" customFormat="false" ht="15" hidden="false" customHeight="false" outlineLevel="0" collapsed="false">
      <c r="H1827" s="0" t="str">
        <f aca="false">IF(B1827="","",IF(COUNTIF(Campaigns!$A$7:$A$300,B1827)&gt;0,"✓","⚠ add to Campaigns tab"))</f>
        <v/>
      </c>
      <c r="I1827" s="84" t="str">
        <f aca="false">IF(C1827="","",C1827*IF(Settings!$B$23=Settings!$C$6,1,IF(Settings!$B$23="USD",1/INDEX(Settings!$B$29:$B$40,MONTH(A1827)),INDEX(Settings!$B$29:$B$40,MONTH(A1827)))))</f>
        <v/>
      </c>
    </row>
    <row r="1828" customFormat="false" ht="15" hidden="false" customHeight="false" outlineLevel="0" collapsed="false">
      <c r="H1828" s="0" t="str">
        <f aca="false">IF(B1828="","",IF(COUNTIF(Campaigns!$A$7:$A$300,B1828)&gt;0,"✓","⚠ add to Campaigns tab"))</f>
        <v/>
      </c>
      <c r="I1828" s="84" t="str">
        <f aca="false">IF(C1828="","",C1828*IF(Settings!$B$23=Settings!$C$6,1,IF(Settings!$B$23="USD",1/INDEX(Settings!$B$29:$B$40,MONTH(A1828)),INDEX(Settings!$B$29:$B$40,MONTH(A1828)))))</f>
        <v/>
      </c>
    </row>
    <row r="1829" customFormat="false" ht="15" hidden="false" customHeight="false" outlineLevel="0" collapsed="false">
      <c r="H1829" s="0" t="str">
        <f aca="false">IF(B1829="","",IF(COUNTIF(Campaigns!$A$7:$A$300,B1829)&gt;0,"✓","⚠ add to Campaigns tab"))</f>
        <v/>
      </c>
      <c r="I1829" s="84" t="str">
        <f aca="false">IF(C1829="","",C1829*IF(Settings!$B$23=Settings!$C$6,1,IF(Settings!$B$23="USD",1/INDEX(Settings!$B$29:$B$40,MONTH(A1829)),INDEX(Settings!$B$29:$B$40,MONTH(A1829)))))</f>
        <v/>
      </c>
    </row>
    <row r="1830" customFormat="false" ht="15" hidden="false" customHeight="false" outlineLevel="0" collapsed="false">
      <c r="H1830" s="0" t="str">
        <f aca="false">IF(B1830="","",IF(COUNTIF(Campaigns!$A$7:$A$300,B1830)&gt;0,"✓","⚠ add to Campaigns tab"))</f>
        <v/>
      </c>
      <c r="I1830" s="84" t="str">
        <f aca="false">IF(C1830="","",C1830*IF(Settings!$B$23=Settings!$C$6,1,IF(Settings!$B$23="USD",1/INDEX(Settings!$B$29:$B$40,MONTH(A1830)),INDEX(Settings!$B$29:$B$40,MONTH(A1830)))))</f>
        <v/>
      </c>
    </row>
    <row r="1831" customFormat="false" ht="15" hidden="false" customHeight="false" outlineLevel="0" collapsed="false">
      <c r="H1831" s="0" t="str">
        <f aca="false">IF(B1831="","",IF(COUNTIF(Campaigns!$A$7:$A$300,B1831)&gt;0,"✓","⚠ add to Campaigns tab"))</f>
        <v/>
      </c>
      <c r="I1831" s="84" t="str">
        <f aca="false">IF(C1831="","",C1831*IF(Settings!$B$23=Settings!$C$6,1,IF(Settings!$B$23="USD",1/INDEX(Settings!$B$29:$B$40,MONTH(A1831)),INDEX(Settings!$B$29:$B$40,MONTH(A1831)))))</f>
        <v/>
      </c>
    </row>
    <row r="1832" customFormat="false" ht="15" hidden="false" customHeight="false" outlineLevel="0" collapsed="false">
      <c r="H1832" s="0" t="str">
        <f aca="false">IF(B1832="","",IF(COUNTIF(Campaigns!$A$7:$A$300,B1832)&gt;0,"✓","⚠ add to Campaigns tab"))</f>
        <v/>
      </c>
      <c r="I1832" s="84" t="str">
        <f aca="false">IF(C1832="","",C1832*IF(Settings!$B$23=Settings!$C$6,1,IF(Settings!$B$23="USD",1/INDEX(Settings!$B$29:$B$40,MONTH(A1832)),INDEX(Settings!$B$29:$B$40,MONTH(A1832)))))</f>
        <v/>
      </c>
    </row>
    <row r="1833" customFormat="false" ht="15" hidden="false" customHeight="false" outlineLevel="0" collapsed="false">
      <c r="H1833" s="0" t="str">
        <f aca="false">IF(B1833="","",IF(COUNTIF(Campaigns!$A$7:$A$300,B1833)&gt;0,"✓","⚠ add to Campaigns tab"))</f>
        <v/>
      </c>
      <c r="I1833" s="84" t="str">
        <f aca="false">IF(C1833="","",C1833*IF(Settings!$B$23=Settings!$C$6,1,IF(Settings!$B$23="USD",1/INDEX(Settings!$B$29:$B$40,MONTH(A1833)),INDEX(Settings!$B$29:$B$40,MONTH(A1833)))))</f>
        <v/>
      </c>
    </row>
    <row r="1834" customFormat="false" ht="15" hidden="false" customHeight="false" outlineLevel="0" collapsed="false">
      <c r="H1834" s="0" t="str">
        <f aca="false">IF(B1834="","",IF(COUNTIF(Campaigns!$A$7:$A$300,B1834)&gt;0,"✓","⚠ add to Campaigns tab"))</f>
        <v/>
      </c>
      <c r="I1834" s="84" t="str">
        <f aca="false">IF(C1834="","",C1834*IF(Settings!$B$23=Settings!$C$6,1,IF(Settings!$B$23="USD",1/INDEX(Settings!$B$29:$B$40,MONTH(A1834)),INDEX(Settings!$B$29:$B$40,MONTH(A1834)))))</f>
        <v/>
      </c>
    </row>
    <row r="1835" customFormat="false" ht="15" hidden="false" customHeight="false" outlineLevel="0" collapsed="false">
      <c r="H1835" s="0" t="str">
        <f aca="false">IF(B1835="","",IF(COUNTIF(Campaigns!$A$7:$A$300,B1835)&gt;0,"✓","⚠ add to Campaigns tab"))</f>
        <v/>
      </c>
      <c r="I1835" s="84" t="str">
        <f aca="false">IF(C1835="","",C1835*IF(Settings!$B$23=Settings!$C$6,1,IF(Settings!$B$23="USD",1/INDEX(Settings!$B$29:$B$40,MONTH(A1835)),INDEX(Settings!$B$29:$B$40,MONTH(A1835)))))</f>
        <v/>
      </c>
    </row>
    <row r="1836" customFormat="false" ht="15" hidden="false" customHeight="false" outlineLevel="0" collapsed="false">
      <c r="H1836" s="0" t="str">
        <f aca="false">IF(B1836="","",IF(COUNTIF(Campaigns!$A$7:$A$300,B1836)&gt;0,"✓","⚠ add to Campaigns tab"))</f>
        <v/>
      </c>
      <c r="I1836" s="84" t="str">
        <f aca="false">IF(C1836="","",C1836*IF(Settings!$B$23=Settings!$C$6,1,IF(Settings!$B$23="USD",1/INDEX(Settings!$B$29:$B$40,MONTH(A1836)),INDEX(Settings!$B$29:$B$40,MONTH(A1836)))))</f>
        <v/>
      </c>
    </row>
    <row r="1837" customFormat="false" ht="15" hidden="false" customHeight="false" outlineLevel="0" collapsed="false">
      <c r="H1837" s="0" t="str">
        <f aca="false">IF(B1837="","",IF(COUNTIF(Campaigns!$A$7:$A$300,B1837)&gt;0,"✓","⚠ add to Campaigns tab"))</f>
        <v/>
      </c>
      <c r="I1837" s="84" t="str">
        <f aca="false">IF(C1837="","",C1837*IF(Settings!$B$23=Settings!$C$6,1,IF(Settings!$B$23="USD",1/INDEX(Settings!$B$29:$B$40,MONTH(A1837)),INDEX(Settings!$B$29:$B$40,MONTH(A1837)))))</f>
        <v/>
      </c>
    </row>
    <row r="1838" customFormat="false" ht="15" hidden="false" customHeight="false" outlineLevel="0" collapsed="false">
      <c r="H1838" s="0" t="str">
        <f aca="false">IF(B1838="","",IF(COUNTIF(Campaigns!$A$7:$A$300,B1838)&gt;0,"✓","⚠ add to Campaigns tab"))</f>
        <v/>
      </c>
      <c r="I1838" s="84" t="str">
        <f aca="false">IF(C1838="","",C1838*IF(Settings!$B$23=Settings!$C$6,1,IF(Settings!$B$23="USD",1/INDEX(Settings!$B$29:$B$40,MONTH(A1838)),INDEX(Settings!$B$29:$B$40,MONTH(A1838)))))</f>
        <v/>
      </c>
    </row>
    <row r="1839" customFormat="false" ht="15" hidden="false" customHeight="false" outlineLevel="0" collapsed="false">
      <c r="H1839" s="0" t="str">
        <f aca="false">IF(B1839="","",IF(COUNTIF(Campaigns!$A$7:$A$300,B1839)&gt;0,"✓","⚠ add to Campaigns tab"))</f>
        <v/>
      </c>
      <c r="I1839" s="84" t="str">
        <f aca="false">IF(C1839="","",C1839*IF(Settings!$B$23=Settings!$C$6,1,IF(Settings!$B$23="USD",1/INDEX(Settings!$B$29:$B$40,MONTH(A1839)),INDEX(Settings!$B$29:$B$40,MONTH(A1839)))))</f>
        <v/>
      </c>
    </row>
    <row r="1840" customFormat="false" ht="15" hidden="false" customHeight="false" outlineLevel="0" collapsed="false">
      <c r="H1840" s="0" t="str">
        <f aca="false">IF(B1840="","",IF(COUNTIF(Campaigns!$A$7:$A$300,B1840)&gt;0,"✓","⚠ add to Campaigns tab"))</f>
        <v/>
      </c>
      <c r="I1840" s="84" t="str">
        <f aca="false">IF(C1840="","",C1840*IF(Settings!$B$23=Settings!$C$6,1,IF(Settings!$B$23="USD",1/INDEX(Settings!$B$29:$B$40,MONTH(A1840)),INDEX(Settings!$B$29:$B$40,MONTH(A1840)))))</f>
        <v/>
      </c>
    </row>
    <row r="1841" customFormat="false" ht="15" hidden="false" customHeight="false" outlineLevel="0" collapsed="false">
      <c r="H1841" s="0" t="str">
        <f aca="false">IF(B1841="","",IF(COUNTIF(Campaigns!$A$7:$A$300,B1841)&gt;0,"✓","⚠ add to Campaigns tab"))</f>
        <v/>
      </c>
      <c r="I1841" s="84" t="str">
        <f aca="false">IF(C1841="","",C1841*IF(Settings!$B$23=Settings!$C$6,1,IF(Settings!$B$23="USD",1/INDEX(Settings!$B$29:$B$40,MONTH(A1841)),INDEX(Settings!$B$29:$B$40,MONTH(A1841)))))</f>
        <v/>
      </c>
    </row>
    <row r="1842" customFormat="false" ht="15" hidden="false" customHeight="false" outlineLevel="0" collapsed="false">
      <c r="H1842" s="0" t="str">
        <f aca="false">IF(B1842="","",IF(COUNTIF(Campaigns!$A$7:$A$300,B1842)&gt;0,"✓","⚠ add to Campaigns tab"))</f>
        <v/>
      </c>
      <c r="I1842" s="84" t="str">
        <f aca="false">IF(C1842="","",C1842*IF(Settings!$B$23=Settings!$C$6,1,IF(Settings!$B$23="USD",1/INDEX(Settings!$B$29:$B$40,MONTH(A1842)),INDEX(Settings!$B$29:$B$40,MONTH(A1842)))))</f>
        <v/>
      </c>
    </row>
    <row r="1843" customFormat="false" ht="15" hidden="false" customHeight="false" outlineLevel="0" collapsed="false">
      <c r="H1843" s="0" t="str">
        <f aca="false">IF(B1843="","",IF(COUNTIF(Campaigns!$A$7:$A$300,B1843)&gt;0,"✓","⚠ add to Campaigns tab"))</f>
        <v/>
      </c>
      <c r="I1843" s="84" t="str">
        <f aca="false">IF(C1843="","",C1843*IF(Settings!$B$23=Settings!$C$6,1,IF(Settings!$B$23="USD",1/INDEX(Settings!$B$29:$B$40,MONTH(A1843)),INDEX(Settings!$B$29:$B$40,MONTH(A1843)))))</f>
        <v/>
      </c>
    </row>
    <row r="1844" customFormat="false" ht="15" hidden="false" customHeight="false" outlineLevel="0" collapsed="false">
      <c r="H1844" s="0" t="str">
        <f aca="false">IF(B1844="","",IF(COUNTIF(Campaigns!$A$7:$A$300,B1844)&gt;0,"✓","⚠ add to Campaigns tab"))</f>
        <v/>
      </c>
      <c r="I1844" s="84" t="str">
        <f aca="false">IF(C1844="","",C1844*IF(Settings!$B$23=Settings!$C$6,1,IF(Settings!$B$23="USD",1/INDEX(Settings!$B$29:$B$40,MONTH(A1844)),INDEX(Settings!$B$29:$B$40,MONTH(A1844)))))</f>
        <v/>
      </c>
    </row>
    <row r="1845" customFormat="false" ht="15" hidden="false" customHeight="false" outlineLevel="0" collapsed="false">
      <c r="H1845" s="0" t="str">
        <f aca="false">IF(B1845="","",IF(COUNTIF(Campaigns!$A$7:$A$300,B1845)&gt;0,"✓","⚠ add to Campaigns tab"))</f>
        <v/>
      </c>
      <c r="I1845" s="84" t="str">
        <f aca="false">IF(C1845="","",C1845*IF(Settings!$B$23=Settings!$C$6,1,IF(Settings!$B$23="USD",1/INDEX(Settings!$B$29:$B$40,MONTH(A1845)),INDEX(Settings!$B$29:$B$40,MONTH(A1845)))))</f>
        <v/>
      </c>
    </row>
    <row r="1846" customFormat="false" ht="15" hidden="false" customHeight="false" outlineLevel="0" collapsed="false">
      <c r="H1846" s="0" t="str">
        <f aca="false">IF(B1846="","",IF(COUNTIF(Campaigns!$A$7:$A$300,B1846)&gt;0,"✓","⚠ add to Campaigns tab"))</f>
        <v/>
      </c>
      <c r="I1846" s="84" t="str">
        <f aca="false">IF(C1846="","",C1846*IF(Settings!$B$23=Settings!$C$6,1,IF(Settings!$B$23="USD",1/INDEX(Settings!$B$29:$B$40,MONTH(A1846)),INDEX(Settings!$B$29:$B$40,MONTH(A1846)))))</f>
        <v/>
      </c>
    </row>
    <row r="1847" customFormat="false" ht="15" hidden="false" customHeight="false" outlineLevel="0" collapsed="false">
      <c r="H1847" s="0" t="str">
        <f aca="false">IF(B1847="","",IF(COUNTIF(Campaigns!$A$7:$A$300,B1847)&gt;0,"✓","⚠ add to Campaigns tab"))</f>
        <v/>
      </c>
      <c r="I1847" s="84" t="str">
        <f aca="false">IF(C1847="","",C1847*IF(Settings!$B$23=Settings!$C$6,1,IF(Settings!$B$23="USD",1/INDEX(Settings!$B$29:$B$40,MONTH(A1847)),INDEX(Settings!$B$29:$B$40,MONTH(A1847)))))</f>
        <v/>
      </c>
    </row>
    <row r="1848" customFormat="false" ht="15" hidden="false" customHeight="false" outlineLevel="0" collapsed="false">
      <c r="H1848" s="0" t="str">
        <f aca="false">IF(B1848="","",IF(COUNTIF(Campaigns!$A$7:$A$300,B1848)&gt;0,"✓","⚠ add to Campaigns tab"))</f>
        <v/>
      </c>
      <c r="I1848" s="84" t="str">
        <f aca="false">IF(C1848="","",C1848*IF(Settings!$B$23=Settings!$C$6,1,IF(Settings!$B$23="USD",1/INDEX(Settings!$B$29:$B$40,MONTH(A1848)),INDEX(Settings!$B$29:$B$40,MONTH(A1848)))))</f>
        <v/>
      </c>
    </row>
    <row r="1849" customFormat="false" ht="15" hidden="false" customHeight="false" outlineLevel="0" collapsed="false">
      <c r="H1849" s="0" t="str">
        <f aca="false">IF(B1849="","",IF(COUNTIF(Campaigns!$A$7:$A$300,B1849)&gt;0,"✓","⚠ add to Campaigns tab"))</f>
        <v/>
      </c>
      <c r="I1849" s="84" t="str">
        <f aca="false">IF(C1849="","",C1849*IF(Settings!$B$23=Settings!$C$6,1,IF(Settings!$B$23="USD",1/INDEX(Settings!$B$29:$B$40,MONTH(A1849)),INDEX(Settings!$B$29:$B$40,MONTH(A1849)))))</f>
        <v/>
      </c>
    </row>
    <row r="1850" customFormat="false" ht="15" hidden="false" customHeight="false" outlineLevel="0" collapsed="false">
      <c r="H1850" s="0" t="str">
        <f aca="false">IF(B1850="","",IF(COUNTIF(Campaigns!$A$7:$A$300,B1850)&gt;0,"✓","⚠ add to Campaigns tab"))</f>
        <v/>
      </c>
      <c r="I1850" s="84" t="str">
        <f aca="false">IF(C1850="","",C1850*IF(Settings!$B$23=Settings!$C$6,1,IF(Settings!$B$23="USD",1/INDEX(Settings!$B$29:$B$40,MONTH(A1850)),INDEX(Settings!$B$29:$B$40,MONTH(A1850)))))</f>
        <v/>
      </c>
    </row>
    <row r="1851" customFormat="false" ht="15" hidden="false" customHeight="false" outlineLevel="0" collapsed="false">
      <c r="H1851" s="0" t="str">
        <f aca="false">IF(B1851="","",IF(COUNTIF(Campaigns!$A$7:$A$300,B1851)&gt;0,"✓","⚠ add to Campaigns tab"))</f>
        <v/>
      </c>
      <c r="I1851" s="84" t="str">
        <f aca="false">IF(C1851="","",C1851*IF(Settings!$B$23=Settings!$C$6,1,IF(Settings!$B$23="USD",1/INDEX(Settings!$B$29:$B$40,MONTH(A1851)),INDEX(Settings!$B$29:$B$40,MONTH(A1851)))))</f>
        <v/>
      </c>
    </row>
    <row r="1852" customFormat="false" ht="15" hidden="false" customHeight="false" outlineLevel="0" collapsed="false">
      <c r="H1852" s="0" t="str">
        <f aca="false">IF(B1852="","",IF(COUNTIF(Campaigns!$A$7:$A$300,B1852)&gt;0,"✓","⚠ add to Campaigns tab"))</f>
        <v/>
      </c>
      <c r="I1852" s="84" t="str">
        <f aca="false">IF(C1852="","",C1852*IF(Settings!$B$23=Settings!$C$6,1,IF(Settings!$B$23="USD",1/INDEX(Settings!$B$29:$B$40,MONTH(A1852)),INDEX(Settings!$B$29:$B$40,MONTH(A1852)))))</f>
        <v/>
      </c>
    </row>
    <row r="1853" customFormat="false" ht="15" hidden="false" customHeight="false" outlineLevel="0" collapsed="false">
      <c r="H1853" s="0" t="str">
        <f aca="false">IF(B1853="","",IF(COUNTIF(Campaigns!$A$7:$A$300,B1853)&gt;0,"✓","⚠ add to Campaigns tab"))</f>
        <v/>
      </c>
      <c r="I1853" s="84" t="str">
        <f aca="false">IF(C1853="","",C1853*IF(Settings!$B$23=Settings!$C$6,1,IF(Settings!$B$23="USD",1/INDEX(Settings!$B$29:$B$40,MONTH(A1853)),INDEX(Settings!$B$29:$B$40,MONTH(A1853)))))</f>
        <v/>
      </c>
    </row>
    <row r="1854" customFormat="false" ht="15" hidden="false" customHeight="false" outlineLevel="0" collapsed="false">
      <c r="H1854" s="0" t="str">
        <f aca="false">IF(B1854="","",IF(COUNTIF(Campaigns!$A$7:$A$300,B1854)&gt;0,"✓","⚠ add to Campaigns tab"))</f>
        <v/>
      </c>
      <c r="I1854" s="84" t="str">
        <f aca="false">IF(C1854="","",C1854*IF(Settings!$B$23=Settings!$C$6,1,IF(Settings!$B$23="USD",1/INDEX(Settings!$B$29:$B$40,MONTH(A1854)),INDEX(Settings!$B$29:$B$40,MONTH(A1854)))))</f>
        <v/>
      </c>
    </row>
    <row r="1855" customFormat="false" ht="15" hidden="false" customHeight="false" outlineLevel="0" collapsed="false">
      <c r="H1855" s="0" t="str">
        <f aca="false">IF(B1855="","",IF(COUNTIF(Campaigns!$A$7:$A$300,B1855)&gt;0,"✓","⚠ add to Campaigns tab"))</f>
        <v/>
      </c>
      <c r="I1855" s="84" t="str">
        <f aca="false">IF(C1855="","",C1855*IF(Settings!$B$23=Settings!$C$6,1,IF(Settings!$B$23="USD",1/INDEX(Settings!$B$29:$B$40,MONTH(A1855)),INDEX(Settings!$B$29:$B$40,MONTH(A1855)))))</f>
        <v/>
      </c>
    </row>
    <row r="1856" customFormat="false" ht="15" hidden="false" customHeight="false" outlineLevel="0" collapsed="false">
      <c r="H1856" s="0" t="str">
        <f aca="false">IF(B1856="","",IF(COUNTIF(Campaigns!$A$7:$A$300,B1856)&gt;0,"✓","⚠ add to Campaigns tab"))</f>
        <v/>
      </c>
      <c r="I1856" s="84" t="str">
        <f aca="false">IF(C1856="","",C1856*IF(Settings!$B$23=Settings!$C$6,1,IF(Settings!$B$23="USD",1/INDEX(Settings!$B$29:$B$40,MONTH(A1856)),INDEX(Settings!$B$29:$B$40,MONTH(A1856)))))</f>
        <v/>
      </c>
    </row>
    <row r="1857" customFormat="false" ht="15" hidden="false" customHeight="false" outlineLevel="0" collapsed="false">
      <c r="H1857" s="0" t="str">
        <f aca="false">IF(B1857="","",IF(COUNTIF(Campaigns!$A$7:$A$300,B1857)&gt;0,"✓","⚠ add to Campaigns tab"))</f>
        <v/>
      </c>
      <c r="I1857" s="84" t="str">
        <f aca="false">IF(C1857="","",C1857*IF(Settings!$B$23=Settings!$C$6,1,IF(Settings!$B$23="USD",1/INDEX(Settings!$B$29:$B$40,MONTH(A1857)),INDEX(Settings!$B$29:$B$40,MONTH(A1857)))))</f>
        <v/>
      </c>
    </row>
    <row r="1858" customFormat="false" ht="15" hidden="false" customHeight="false" outlineLevel="0" collapsed="false">
      <c r="H1858" s="0" t="str">
        <f aca="false">IF(B1858="","",IF(COUNTIF(Campaigns!$A$7:$A$300,B1858)&gt;0,"✓","⚠ add to Campaigns tab"))</f>
        <v/>
      </c>
      <c r="I1858" s="84" t="str">
        <f aca="false">IF(C1858="","",C1858*IF(Settings!$B$23=Settings!$C$6,1,IF(Settings!$B$23="USD",1/INDEX(Settings!$B$29:$B$40,MONTH(A1858)),INDEX(Settings!$B$29:$B$40,MONTH(A1858)))))</f>
        <v/>
      </c>
    </row>
    <row r="1859" customFormat="false" ht="15" hidden="false" customHeight="false" outlineLevel="0" collapsed="false">
      <c r="H1859" s="0" t="str">
        <f aca="false">IF(B1859="","",IF(COUNTIF(Campaigns!$A$7:$A$300,B1859)&gt;0,"✓","⚠ add to Campaigns tab"))</f>
        <v/>
      </c>
      <c r="I1859" s="84" t="str">
        <f aca="false">IF(C1859="","",C1859*IF(Settings!$B$23=Settings!$C$6,1,IF(Settings!$B$23="USD",1/INDEX(Settings!$B$29:$B$40,MONTH(A1859)),INDEX(Settings!$B$29:$B$40,MONTH(A1859)))))</f>
        <v/>
      </c>
    </row>
    <row r="1860" customFormat="false" ht="15" hidden="false" customHeight="false" outlineLevel="0" collapsed="false">
      <c r="H1860" s="0" t="str">
        <f aca="false">IF(B1860="","",IF(COUNTIF(Campaigns!$A$7:$A$300,B1860)&gt;0,"✓","⚠ add to Campaigns tab"))</f>
        <v/>
      </c>
      <c r="I1860" s="84" t="str">
        <f aca="false">IF(C1860="","",C1860*IF(Settings!$B$23=Settings!$C$6,1,IF(Settings!$B$23="USD",1/INDEX(Settings!$B$29:$B$40,MONTH(A1860)),INDEX(Settings!$B$29:$B$40,MONTH(A1860)))))</f>
        <v/>
      </c>
    </row>
    <row r="1861" customFormat="false" ht="15" hidden="false" customHeight="false" outlineLevel="0" collapsed="false">
      <c r="H1861" s="0" t="str">
        <f aca="false">IF(B1861="","",IF(COUNTIF(Campaigns!$A$7:$A$300,B1861)&gt;0,"✓","⚠ add to Campaigns tab"))</f>
        <v/>
      </c>
      <c r="I1861" s="84" t="str">
        <f aca="false">IF(C1861="","",C1861*IF(Settings!$B$23=Settings!$C$6,1,IF(Settings!$B$23="USD",1/INDEX(Settings!$B$29:$B$40,MONTH(A1861)),INDEX(Settings!$B$29:$B$40,MONTH(A1861)))))</f>
        <v/>
      </c>
    </row>
    <row r="1862" customFormat="false" ht="15" hidden="false" customHeight="false" outlineLevel="0" collapsed="false">
      <c r="H1862" s="0" t="str">
        <f aca="false">IF(B1862="","",IF(COUNTIF(Campaigns!$A$7:$A$300,B1862)&gt;0,"✓","⚠ add to Campaigns tab"))</f>
        <v/>
      </c>
      <c r="I1862" s="84" t="str">
        <f aca="false">IF(C1862="","",C1862*IF(Settings!$B$23=Settings!$C$6,1,IF(Settings!$B$23="USD",1/INDEX(Settings!$B$29:$B$40,MONTH(A1862)),INDEX(Settings!$B$29:$B$40,MONTH(A1862)))))</f>
        <v/>
      </c>
    </row>
    <row r="1863" customFormat="false" ht="15" hidden="false" customHeight="false" outlineLevel="0" collapsed="false">
      <c r="H1863" s="0" t="str">
        <f aca="false">IF(B1863="","",IF(COUNTIF(Campaigns!$A$7:$A$300,B1863)&gt;0,"✓","⚠ add to Campaigns tab"))</f>
        <v/>
      </c>
      <c r="I1863" s="84" t="str">
        <f aca="false">IF(C1863="","",C1863*IF(Settings!$B$23=Settings!$C$6,1,IF(Settings!$B$23="USD",1/INDEX(Settings!$B$29:$B$40,MONTH(A1863)),INDEX(Settings!$B$29:$B$40,MONTH(A1863)))))</f>
        <v/>
      </c>
    </row>
    <row r="1864" customFormat="false" ht="15" hidden="false" customHeight="false" outlineLevel="0" collapsed="false">
      <c r="H1864" s="0" t="str">
        <f aca="false">IF(B1864="","",IF(COUNTIF(Campaigns!$A$7:$A$300,B1864)&gt;0,"✓","⚠ add to Campaigns tab"))</f>
        <v/>
      </c>
      <c r="I1864" s="84" t="str">
        <f aca="false">IF(C1864="","",C1864*IF(Settings!$B$23=Settings!$C$6,1,IF(Settings!$B$23="USD",1/INDEX(Settings!$B$29:$B$40,MONTH(A1864)),INDEX(Settings!$B$29:$B$40,MONTH(A1864)))))</f>
        <v/>
      </c>
    </row>
    <row r="1865" customFormat="false" ht="15" hidden="false" customHeight="false" outlineLevel="0" collapsed="false">
      <c r="H1865" s="0" t="str">
        <f aca="false">IF(B1865="","",IF(COUNTIF(Campaigns!$A$7:$A$300,B1865)&gt;0,"✓","⚠ add to Campaigns tab"))</f>
        <v/>
      </c>
      <c r="I1865" s="84" t="str">
        <f aca="false">IF(C1865="","",C1865*IF(Settings!$B$23=Settings!$C$6,1,IF(Settings!$B$23="USD",1/INDEX(Settings!$B$29:$B$40,MONTH(A1865)),INDEX(Settings!$B$29:$B$40,MONTH(A1865)))))</f>
        <v/>
      </c>
    </row>
    <row r="1866" customFormat="false" ht="15" hidden="false" customHeight="false" outlineLevel="0" collapsed="false">
      <c r="H1866" s="0" t="str">
        <f aca="false">IF(B1866="","",IF(COUNTIF(Campaigns!$A$7:$A$300,B1866)&gt;0,"✓","⚠ add to Campaigns tab"))</f>
        <v/>
      </c>
      <c r="I1866" s="84" t="str">
        <f aca="false">IF(C1866="","",C1866*IF(Settings!$B$23=Settings!$C$6,1,IF(Settings!$B$23="USD",1/INDEX(Settings!$B$29:$B$40,MONTH(A1866)),INDEX(Settings!$B$29:$B$40,MONTH(A1866)))))</f>
        <v/>
      </c>
    </row>
    <row r="1867" customFormat="false" ht="15" hidden="false" customHeight="false" outlineLevel="0" collapsed="false">
      <c r="H1867" s="0" t="str">
        <f aca="false">IF(B1867="","",IF(COUNTIF(Campaigns!$A$7:$A$300,B1867)&gt;0,"✓","⚠ add to Campaigns tab"))</f>
        <v/>
      </c>
      <c r="I1867" s="84" t="str">
        <f aca="false">IF(C1867="","",C1867*IF(Settings!$B$23=Settings!$C$6,1,IF(Settings!$B$23="USD",1/INDEX(Settings!$B$29:$B$40,MONTH(A1867)),INDEX(Settings!$B$29:$B$40,MONTH(A1867)))))</f>
        <v/>
      </c>
    </row>
    <row r="1868" customFormat="false" ht="15" hidden="false" customHeight="false" outlineLevel="0" collapsed="false">
      <c r="H1868" s="0" t="str">
        <f aca="false">IF(B1868="","",IF(COUNTIF(Campaigns!$A$7:$A$300,B1868)&gt;0,"✓","⚠ add to Campaigns tab"))</f>
        <v/>
      </c>
      <c r="I1868" s="84" t="str">
        <f aca="false">IF(C1868="","",C1868*IF(Settings!$B$23=Settings!$C$6,1,IF(Settings!$B$23="USD",1/INDEX(Settings!$B$29:$B$40,MONTH(A1868)),INDEX(Settings!$B$29:$B$40,MONTH(A1868)))))</f>
        <v/>
      </c>
    </row>
    <row r="1869" customFormat="false" ht="15" hidden="false" customHeight="false" outlineLevel="0" collapsed="false">
      <c r="H1869" s="0" t="str">
        <f aca="false">IF(B1869="","",IF(COUNTIF(Campaigns!$A$7:$A$300,B1869)&gt;0,"✓","⚠ add to Campaigns tab"))</f>
        <v/>
      </c>
      <c r="I1869" s="84" t="str">
        <f aca="false">IF(C1869="","",C1869*IF(Settings!$B$23=Settings!$C$6,1,IF(Settings!$B$23="USD",1/INDEX(Settings!$B$29:$B$40,MONTH(A1869)),INDEX(Settings!$B$29:$B$40,MONTH(A1869)))))</f>
        <v/>
      </c>
    </row>
    <row r="1870" customFormat="false" ht="15" hidden="false" customHeight="false" outlineLevel="0" collapsed="false">
      <c r="H1870" s="0" t="str">
        <f aca="false">IF(B1870="","",IF(COUNTIF(Campaigns!$A$7:$A$300,B1870)&gt;0,"✓","⚠ add to Campaigns tab"))</f>
        <v/>
      </c>
      <c r="I1870" s="84" t="str">
        <f aca="false">IF(C1870="","",C1870*IF(Settings!$B$23=Settings!$C$6,1,IF(Settings!$B$23="USD",1/INDEX(Settings!$B$29:$B$40,MONTH(A1870)),INDEX(Settings!$B$29:$B$40,MONTH(A1870)))))</f>
        <v/>
      </c>
    </row>
    <row r="1871" customFormat="false" ht="15" hidden="false" customHeight="false" outlineLevel="0" collapsed="false">
      <c r="H1871" s="0" t="str">
        <f aca="false">IF(B1871="","",IF(COUNTIF(Campaigns!$A$7:$A$300,B1871)&gt;0,"✓","⚠ add to Campaigns tab"))</f>
        <v/>
      </c>
      <c r="I1871" s="84" t="str">
        <f aca="false">IF(C1871="","",C1871*IF(Settings!$B$23=Settings!$C$6,1,IF(Settings!$B$23="USD",1/INDEX(Settings!$B$29:$B$40,MONTH(A1871)),INDEX(Settings!$B$29:$B$40,MONTH(A1871)))))</f>
        <v/>
      </c>
    </row>
    <row r="1872" customFormat="false" ht="15" hidden="false" customHeight="false" outlineLevel="0" collapsed="false">
      <c r="H1872" s="0" t="str">
        <f aca="false">IF(B1872="","",IF(COUNTIF(Campaigns!$A$7:$A$300,B1872)&gt;0,"✓","⚠ add to Campaigns tab"))</f>
        <v/>
      </c>
      <c r="I1872" s="84" t="str">
        <f aca="false">IF(C1872="","",C1872*IF(Settings!$B$23=Settings!$C$6,1,IF(Settings!$B$23="USD",1/INDEX(Settings!$B$29:$B$40,MONTH(A1872)),INDEX(Settings!$B$29:$B$40,MONTH(A1872)))))</f>
        <v/>
      </c>
    </row>
    <row r="1873" customFormat="false" ht="15" hidden="false" customHeight="false" outlineLevel="0" collapsed="false">
      <c r="H1873" s="0" t="str">
        <f aca="false">IF(B1873="","",IF(COUNTIF(Campaigns!$A$7:$A$300,B1873)&gt;0,"✓","⚠ add to Campaigns tab"))</f>
        <v/>
      </c>
      <c r="I1873" s="84" t="str">
        <f aca="false">IF(C1873="","",C1873*IF(Settings!$B$23=Settings!$C$6,1,IF(Settings!$B$23="USD",1/INDEX(Settings!$B$29:$B$40,MONTH(A1873)),INDEX(Settings!$B$29:$B$40,MONTH(A1873)))))</f>
        <v/>
      </c>
    </row>
    <row r="1874" customFormat="false" ht="15" hidden="false" customHeight="false" outlineLevel="0" collapsed="false">
      <c r="H1874" s="0" t="str">
        <f aca="false">IF(B1874="","",IF(COUNTIF(Campaigns!$A$7:$A$300,B1874)&gt;0,"✓","⚠ add to Campaigns tab"))</f>
        <v/>
      </c>
      <c r="I1874" s="84" t="str">
        <f aca="false">IF(C1874="","",C1874*IF(Settings!$B$23=Settings!$C$6,1,IF(Settings!$B$23="USD",1/INDEX(Settings!$B$29:$B$40,MONTH(A1874)),INDEX(Settings!$B$29:$B$40,MONTH(A1874)))))</f>
        <v/>
      </c>
    </row>
    <row r="1875" customFormat="false" ht="15" hidden="false" customHeight="false" outlineLevel="0" collapsed="false">
      <c r="H1875" s="0" t="str">
        <f aca="false">IF(B1875="","",IF(COUNTIF(Campaigns!$A$7:$A$300,B1875)&gt;0,"✓","⚠ add to Campaigns tab"))</f>
        <v/>
      </c>
      <c r="I1875" s="84" t="str">
        <f aca="false">IF(C1875="","",C1875*IF(Settings!$B$23=Settings!$C$6,1,IF(Settings!$B$23="USD",1/INDEX(Settings!$B$29:$B$40,MONTH(A1875)),INDEX(Settings!$B$29:$B$40,MONTH(A1875)))))</f>
        <v/>
      </c>
    </row>
    <row r="1876" customFormat="false" ht="15" hidden="false" customHeight="false" outlineLevel="0" collapsed="false">
      <c r="H1876" s="0" t="str">
        <f aca="false">IF(B1876="","",IF(COUNTIF(Campaigns!$A$7:$A$300,B1876)&gt;0,"✓","⚠ add to Campaigns tab"))</f>
        <v/>
      </c>
      <c r="I1876" s="84" t="str">
        <f aca="false">IF(C1876="","",C1876*IF(Settings!$B$23=Settings!$C$6,1,IF(Settings!$B$23="USD",1/INDEX(Settings!$B$29:$B$40,MONTH(A1876)),INDEX(Settings!$B$29:$B$40,MONTH(A1876)))))</f>
        <v/>
      </c>
    </row>
    <row r="1877" customFormat="false" ht="15" hidden="false" customHeight="false" outlineLevel="0" collapsed="false">
      <c r="H1877" s="0" t="str">
        <f aca="false">IF(B1877="","",IF(COUNTIF(Campaigns!$A$7:$A$300,B1877)&gt;0,"✓","⚠ add to Campaigns tab"))</f>
        <v/>
      </c>
      <c r="I1877" s="84" t="str">
        <f aca="false">IF(C1877="","",C1877*IF(Settings!$B$23=Settings!$C$6,1,IF(Settings!$B$23="USD",1/INDEX(Settings!$B$29:$B$40,MONTH(A1877)),INDEX(Settings!$B$29:$B$40,MONTH(A1877)))))</f>
        <v/>
      </c>
    </row>
    <row r="1878" customFormat="false" ht="15" hidden="false" customHeight="false" outlineLevel="0" collapsed="false">
      <c r="H1878" s="0" t="str">
        <f aca="false">IF(B1878="","",IF(COUNTIF(Campaigns!$A$7:$A$300,B1878)&gt;0,"✓","⚠ add to Campaigns tab"))</f>
        <v/>
      </c>
      <c r="I1878" s="84" t="str">
        <f aca="false">IF(C1878="","",C1878*IF(Settings!$B$23=Settings!$C$6,1,IF(Settings!$B$23="USD",1/INDEX(Settings!$B$29:$B$40,MONTH(A1878)),INDEX(Settings!$B$29:$B$40,MONTH(A1878)))))</f>
        <v/>
      </c>
    </row>
    <row r="1879" customFormat="false" ht="15" hidden="false" customHeight="false" outlineLevel="0" collapsed="false">
      <c r="H1879" s="0" t="str">
        <f aca="false">IF(B1879="","",IF(COUNTIF(Campaigns!$A$7:$A$300,B1879)&gt;0,"✓","⚠ add to Campaigns tab"))</f>
        <v/>
      </c>
      <c r="I1879" s="84" t="str">
        <f aca="false">IF(C1879="","",C1879*IF(Settings!$B$23=Settings!$C$6,1,IF(Settings!$B$23="USD",1/INDEX(Settings!$B$29:$B$40,MONTH(A1879)),INDEX(Settings!$B$29:$B$40,MONTH(A1879)))))</f>
        <v/>
      </c>
    </row>
    <row r="1880" customFormat="false" ht="15" hidden="false" customHeight="false" outlineLevel="0" collapsed="false">
      <c r="H1880" s="0" t="str">
        <f aca="false">IF(B1880="","",IF(COUNTIF(Campaigns!$A$7:$A$300,B1880)&gt;0,"✓","⚠ add to Campaigns tab"))</f>
        <v/>
      </c>
      <c r="I1880" s="84" t="str">
        <f aca="false">IF(C1880="","",C1880*IF(Settings!$B$23=Settings!$C$6,1,IF(Settings!$B$23="USD",1/INDEX(Settings!$B$29:$B$40,MONTH(A1880)),INDEX(Settings!$B$29:$B$40,MONTH(A1880)))))</f>
        <v/>
      </c>
    </row>
    <row r="1881" customFormat="false" ht="15" hidden="false" customHeight="false" outlineLevel="0" collapsed="false">
      <c r="H1881" s="0" t="str">
        <f aca="false">IF(B1881="","",IF(COUNTIF(Campaigns!$A$7:$A$300,B1881)&gt;0,"✓","⚠ add to Campaigns tab"))</f>
        <v/>
      </c>
      <c r="I1881" s="84" t="str">
        <f aca="false">IF(C1881="","",C1881*IF(Settings!$B$23=Settings!$C$6,1,IF(Settings!$B$23="USD",1/INDEX(Settings!$B$29:$B$40,MONTH(A1881)),INDEX(Settings!$B$29:$B$40,MONTH(A1881)))))</f>
        <v/>
      </c>
    </row>
    <row r="1882" customFormat="false" ht="15" hidden="false" customHeight="false" outlineLevel="0" collapsed="false">
      <c r="H1882" s="0" t="str">
        <f aca="false">IF(B1882="","",IF(COUNTIF(Campaigns!$A$7:$A$300,B1882)&gt;0,"✓","⚠ add to Campaigns tab"))</f>
        <v/>
      </c>
      <c r="I1882" s="84" t="str">
        <f aca="false">IF(C1882="","",C1882*IF(Settings!$B$23=Settings!$C$6,1,IF(Settings!$B$23="USD",1/INDEX(Settings!$B$29:$B$40,MONTH(A1882)),INDEX(Settings!$B$29:$B$40,MONTH(A1882)))))</f>
        <v/>
      </c>
    </row>
    <row r="1883" customFormat="false" ht="15" hidden="false" customHeight="false" outlineLevel="0" collapsed="false">
      <c r="H1883" s="0" t="str">
        <f aca="false">IF(B1883="","",IF(COUNTIF(Campaigns!$A$7:$A$300,B1883)&gt;0,"✓","⚠ add to Campaigns tab"))</f>
        <v/>
      </c>
      <c r="I1883" s="84" t="str">
        <f aca="false">IF(C1883="","",C1883*IF(Settings!$B$23=Settings!$C$6,1,IF(Settings!$B$23="USD",1/INDEX(Settings!$B$29:$B$40,MONTH(A1883)),INDEX(Settings!$B$29:$B$40,MONTH(A1883)))))</f>
        <v/>
      </c>
    </row>
    <row r="1884" customFormat="false" ht="15" hidden="false" customHeight="false" outlineLevel="0" collapsed="false">
      <c r="H1884" s="0" t="str">
        <f aca="false">IF(B1884="","",IF(COUNTIF(Campaigns!$A$7:$A$300,B1884)&gt;0,"✓","⚠ add to Campaigns tab"))</f>
        <v/>
      </c>
      <c r="I1884" s="84" t="str">
        <f aca="false">IF(C1884="","",C1884*IF(Settings!$B$23=Settings!$C$6,1,IF(Settings!$B$23="USD",1/INDEX(Settings!$B$29:$B$40,MONTH(A1884)),INDEX(Settings!$B$29:$B$40,MONTH(A1884)))))</f>
        <v/>
      </c>
    </row>
    <row r="1885" customFormat="false" ht="15" hidden="false" customHeight="false" outlineLevel="0" collapsed="false">
      <c r="H1885" s="0" t="str">
        <f aca="false">IF(B1885="","",IF(COUNTIF(Campaigns!$A$7:$A$300,B1885)&gt;0,"✓","⚠ add to Campaigns tab"))</f>
        <v/>
      </c>
      <c r="I1885" s="84" t="str">
        <f aca="false">IF(C1885="","",C1885*IF(Settings!$B$23=Settings!$C$6,1,IF(Settings!$B$23="USD",1/INDEX(Settings!$B$29:$B$40,MONTH(A1885)),INDEX(Settings!$B$29:$B$40,MONTH(A1885)))))</f>
        <v/>
      </c>
    </row>
    <row r="1886" customFormat="false" ht="15" hidden="false" customHeight="false" outlineLevel="0" collapsed="false">
      <c r="H1886" s="0" t="str">
        <f aca="false">IF(B1886="","",IF(COUNTIF(Campaigns!$A$7:$A$300,B1886)&gt;0,"✓","⚠ add to Campaigns tab"))</f>
        <v/>
      </c>
      <c r="I1886" s="84" t="str">
        <f aca="false">IF(C1886="","",C1886*IF(Settings!$B$23=Settings!$C$6,1,IF(Settings!$B$23="USD",1/INDEX(Settings!$B$29:$B$40,MONTH(A1886)),INDEX(Settings!$B$29:$B$40,MONTH(A1886)))))</f>
        <v/>
      </c>
    </row>
    <row r="1887" customFormat="false" ht="15" hidden="false" customHeight="false" outlineLevel="0" collapsed="false">
      <c r="H1887" s="0" t="str">
        <f aca="false">IF(B1887="","",IF(COUNTIF(Campaigns!$A$7:$A$300,B1887)&gt;0,"✓","⚠ add to Campaigns tab"))</f>
        <v/>
      </c>
      <c r="I1887" s="84" t="str">
        <f aca="false">IF(C1887="","",C1887*IF(Settings!$B$23=Settings!$C$6,1,IF(Settings!$B$23="USD",1/INDEX(Settings!$B$29:$B$40,MONTH(A1887)),INDEX(Settings!$B$29:$B$40,MONTH(A1887)))))</f>
        <v/>
      </c>
    </row>
    <row r="1888" customFormat="false" ht="15" hidden="false" customHeight="false" outlineLevel="0" collapsed="false">
      <c r="H1888" s="0" t="str">
        <f aca="false">IF(B1888="","",IF(COUNTIF(Campaigns!$A$7:$A$300,B1888)&gt;0,"✓","⚠ add to Campaigns tab"))</f>
        <v/>
      </c>
      <c r="I1888" s="84" t="str">
        <f aca="false">IF(C1888="","",C1888*IF(Settings!$B$23=Settings!$C$6,1,IF(Settings!$B$23="USD",1/INDEX(Settings!$B$29:$B$40,MONTH(A1888)),INDEX(Settings!$B$29:$B$40,MONTH(A1888)))))</f>
        <v/>
      </c>
    </row>
    <row r="1889" customFormat="false" ht="15" hidden="false" customHeight="false" outlineLevel="0" collapsed="false">
      <c r="H1889" s="0" t="str">
        <f aca="false">IF(B1889="","",IF(COUNTIF(Campaigns!$A$7:$A$300,B1889)&gt;0,"✓","⚠ add to Campaigns tab"))</f>
        <v/>
      </c>
      <c r="I1889" s="84" t="str">
        <f aca="false">IF(C1889="","",C1889*IF(Settings!$B$23=Settings!$C$6,1,IF(Settings!$B$23="USD",1/INDEX(Settings!$B$29:$B$40,MONTH(A1889)),INDEX(Settings!$B$29:$B$40,MONTH(A1889)))))</f>
        <v/>
      </c>
    </row>
    <row r="1890" customFormat="false" ht="15" hidden="false" customHeight="false" outlineLevel="0" collapsed="false">
      <c r="H1890" s="0" t="str">
        <f aca="false">IF(B1890="","",IF(COUNTIF(Campaigns!$A$7:$A$300,B1890)&gt;0,"✓","⚠ add to Campaigns tab"))</f>
        <v/>
      </c>
      <c r="I1890" s="84" t="str">
        <f aca="false">IF(C1890="","",C1890*IF(Settings!$B$23=Settings!$C$6,1,IF(Settings!$B$23="USD",1/INDEX(Settings!$B$29:$B$40,MONTH(A1890)),INDEX(Settings!$B$29:$B$40,MONTH(A1890)))))</f>
        <v/>
      </c>
    </row>
    <row r="1891" customFormat="false" ht="15" hidden="false" customHeight="false" outlineLevel="0" collapsed="false">
      <c r="H1891" s="0" t="str">
        <f aca="false">IF(B1891="","",IF(COUNTIF(Campaigns!$A$7:$A$300,B1891)&gt;0,"✓","⚠ add to Campaigns tab"))</f>
        <v/>
      </c>
      <c r="I1891" s="84" t="str">
        <f aca="false">IF(C1891="","",C1891*IF(Settings!$B$23=Settings!$C$6,1,IF(Settings!$B$23="USD",1/INDEX(Settings!$B$29:$B$40,MONTH(A1891)),INDEX(Settings!$B$29:$B$40,MONTH(A1891)))))</f>
        <v/>
      </c>
    </row>
    <row r="1892" customFormat="false" ht="15" hidden="false" customHeight="false" outlineLevel="0" collapsed="false">
      <c r="H1892" s="0" t="str">
        <f aca="false">IF(B1892="","",IF(COUNTIF(Campaigns!$A$7:$A$300,B1892)&gt;0,"✓","⚠ add to Campaigns tab"))</f>
        <v/>
      </c>
      <c r="I1892" s="84" t="str">
        <f aca="false">IF(C1892="","",C1892*IF(Settings!$B$23=Settings!$C$6,1,IF(Settings!$B$23="USD",1/INDEX(Settings!$B$29:$B$40,MONTH(A1892)),INDEX(Settings!$B$29:$B$40,MONTH(A1892)))))</f>
        <v/>
      </c>
    </row>
    <row r="1893" customFormat="false" ht="15" hidden="false" customHeight="false" outlineLevel="0" collapsed="false">
      <c r="H1893" s="0" t="str">
        <f aca="false">IF(B1893="","",IF(COUNTIF(Campaigns!$A$7:$A$300,B1893)&gt;0,"✓","⚠ add to Campaigns tab"))</f>
        <v/>
      </c>
      <c r="I1893" s="84" t="str">
        <f aca="false">IF(C1893="","",C1893*IF(Settings!$B$23=Settings!$C$6,1,IF(Settings!$B$23="USD",1/INDEX(Settings!$B$29:$B$40,MONTH(A1893)),INDEX(Settings!$B$29:$B$40,MONTH(A1893)))))</f>
        <v/>
      </c>
    </row>
    <row r="1894" customFormat="false" ht="15" hidden="false" customHeight="false" outlineLevel="0" collapsed="false">
      <c r="H1894" s="0" t="str">
        <f aca="false">IF(B1894="","",IF(COUNTIF(Campaigns!$A$7:$A$300,B1894)&gt;0,"✓","⚠ add to Campaigns tab"))</f>
        <v/>
      </c>
      <c r="I1894" s="84" t="str">
        <f aca="false">IF(C1894="","",C1894*IF(Settings!$B$23=Settings!$C$6,1,IF(Settings!$B$23="USD",1/INDEX(Settings!$B$29:$B$40,MONTH(A1894)),INDEX(Settings!$B$29:$B$40,MONTH(A1894)))))</f>
        <v/>
      </c>
    </row>
    <row r="1895" customFormat="false" ht="15" hidden="false" customHeight="false" outlineLevel="0" collapsed="false">
      <c r="H1895" s="0" t="str">
        <f aca="false">IF(B1895="","",IF(COUNTIF(Campaigns!$A$7:$A$300,B1895)&gt;0,"✓","⚠ add to Campaigns tab"))</f>
        <v/>
      </c>
      <c r="I1895" s="84" t="str">
        <f aca="false">IF(C1895="","",C1895*IF(Settings!$B$23=Settings!$C$6,1,IF(Settings!$B$23="USD",1/INDEX(Settings!$B$29:$B$40,MONTH(A1895)),INDEX(Settings!$B$29:$B$40,MONTH(A1895)))))</f>
        <v/>
      </c>
    </row>
    <row r="1896" customFormat="false" ht="15" hidden="false" customHeight="false" outlineLevel="0" collapsed="false">
      <c r="H1896" s="0" t="str">
        <f aca="false">IF(B1896="","",IF(COUNTIF(Campaigns!$A$7:$A$300,B1896)&gt;0,"✓","⚠ add to Campaigns tab"))</f>
        <v/>
      </c>
      <c r="I1896" s="84" t="str">
        <f aca="false">IF(C1896="","",C1896*IF(Settings!$B$23=Settings!$C$6,1,IF(Settings!$B$23="USD",1/INDEX(Settings!$B$29:$B$40,MONTH(A1896)),INDEX(Settings!$B$29:$B$40,MONTH(A1896)))))</f>
        <v/>
      </c>
    </row>
    <row r="1897" customFormat="false" ht="15" hidden="false" customHeight="false" outlineLevel="0" collapsed="false">
      <c r="H1897" s="0" t="str">
        <f aca="false">IF(B1897="","",IF(COUNTIF(Campaigns!$A$7:$A$300,B1897)&gt;0,"✓","⚠ add to Campaigns tab"))</f>
        <v/>
      </c>
      <c r="I1897" s="84" t="str">
        <f aca="false">IF(C1897="","",C1897*IF(Settings!$B$23=Settings!$C$6,1,IF(Settings!$B$23="USD",1/INDEX(Settings!$B$29:$B$40,MONTH(A1897)),INDEX(Settings!$B$29:$B$40,MONTH(A1897)))))</f>
        <v/>
      </c>
    </row>
    <row r="1898" customFormat="false" ht="15" hidden="false" customHeight="false" outlineLevel="0" collapsed="false">
      <c r="H1898" s="0" t="str">
        <f aca="false">IF(B1898="","",IF(COUNTIF(Campaigns!$A$7:$A$300,B1898)&gt;0,"✓","⚠ add to Campaigns tab"))</f>
        <v/>
      </c>
      <c r="I1898" s="84" t="str">
        <f aca="false">IF(C1898="","",C1898*IF(Settings!$B$23=Settings!$C$6,1,IF(Settings!$B$23="USD",1/INDEX(Settings!$B$29:$B$40,MONTH(A1898)),INDEX(Settings!$B$29:$B$40,MONTH(A1898)))))</f>
        <v/>
      </c>
    </row>
    <row r="1899" customFormat="false" ht="15" hidden="false" customHeight="false" outlineLevel="0" collapsed="false">
      <c r="H1899" s="0" t="str">
        <f aca="false">IF(B1899="","",IF(COUNTIF(Campaigns!$A$7:$A$300,B1899)&gt;0,"✓","⚠ add to Campaigns tab"))</f>
        <v/>
      </c>
      <c r="I1899" s="84" t="str">
        <f aca="false">IF(C1899="","",C1899*IF(Settings!$B$23=Settings!$C$6,1,IF(Settings!$B$23="USD",1/INDEX(Settings!$B$29:$B$40,MONTH(A1899)),INDEX(Settings!$B$29:$B$40,MONTH(A1899)))))</f>
        <v/>
      </c>
    </row>
    <row r="1900" customFormat="false" ht="15" hidden="false" customHeight="false" outlineLevel="0" collapsed="false">
      <c r="H1900" s="0" t="str">
        <f aca="false">IF(B1900="","",IF(COUNTIF(Campaigns!$A$7:$A$300,B1900)&gt;0,"✓","⚠ add to Campaigns tab"))</f>
        <v/>
      </c>
      <c r="I1900" s="84" t="str">
        <f aca="false">IF(C1900="","",C1900*IF(Settings!$B$23=Settings!$C$6,1,IF(Settings!$B$23="USD",1/INDEX(Settings!$B$29:$B$40,MONTH(A1900)),INDEX(Settings!$B$29:$B$40,MONTH(A1900)))))</f>
        <v/>
      </c>
    </row>
    <row r="1901" customFormat="false" ht="15" hidden="false" customHeight="false" outlineLevel="0" collapsed="false">
      <c r="H1901" s="0" t="str">
        <f aca="false">IF(B1901="","",IF(COUNTIF(Campaigns!$A$7:$A$300,B1901)&gt;0,"✓","⚠ add to Campaigns tab"))</f>
        <v/>
      </c>
      <c r="I1901" s="84" t="str">
        <f aca="false">IF(C1901="","",C1901*IF(Settings!$B$23=Settings!$C$6,1,IF(Settings!$B$23="USD",1/INDEX(Settings!$B$29:$B$40,MONTH(A1901)),INDEX(Settings!$B$29:$B$40,MONTH(A1901)))))</f>
        <v/>
      </c>
    </row>
    <row r="1902" customFormat="false" ht="15" hidden="false" customHeight="false" outlineLevel="0" collapsed="false">
      <c r="H1902" s="0" t="str">
        <f aca="false">IF(B1902="","",IF(COUNTIF(Campaigns!$A$7:$A$300,B1902)&gt;0,"✓","⚠ add to Campaigns tab"))</f>
        <v/>
      </c>
      <c r="I1902" s="84" t="str">
        <f aca="false">IF(C1902="","",C1902*IF(Settings!$B$23=Settings!$C$6,1,IF(Settings!$B$23="USD",1/INDEX(Settings!$B$29:$B$40,MONTH(A1902)),INDEX(Settings!$B$29:$B$40,MONTH(A1902)))))</f>
        <v/>
      </c>
    </row>
    <row r="1903" customFormat="false" ht="15" hidden="false" customHeight="false" outlineLevel="0" collapsed="false">
      <c r="H1903" s="0" t="str">
        <f aca="false">IF(B1903="","",IF(COUNTIF(Campaigns!$A$7:$A$300,B1903)&gt;0,"✓","⚠ add to Campaigns tab"))</f>
        <v/>
      </c>
      <c r="I1903" s="84" t="str">
        <f aca="false">IF(C1903="","",C1903*IF(Settings!$B$23=Settings!$C$6,1,IF(Settings!$B$23="USD",1/INDEX(Settings!$B$29:$B$40,MONTH(A1903)),INDEX(Settings!$B$29:$B$40,MONTH(A1903)))))</f>
        <v/>
      </c>
    </row>
    <row r="1904" customFormat="false" ht="15" hidden="false" customHeight="false" outlineLevel="0" collapsed="false">
      <c r="H1904" s="0" t="str">
        <f aca="false">IF(B1904="","",IF(COUNTIF(Campaigns!$A$7:$A$300,B1904)&gt;0,"✓","⚠ add to Campaigns tab"))</f>
        <v/>
      </c>
      <c r="I1904" s="84" t="str">
        <f aca="false">IF(C1904="","",C1904*IF(Settings!$B$23=Settings!$C$6,1,IF(Settings!$B$23="USD",1/INDEX(Settings!$B$29:$B$40,MONTH(A1904)),INDEX(Settings!$B$29:$B$40,MONTH(A1904)))))</f>
        <v/>
      </c>
    </row>
    <row r="1905" customFormat="false" ht="15" hidden="false" customHeight="false" outlineLevel="0" collapsed="false">
      <c r="H1905" s="0" t="str">
        <f aca="false">IF(B1905="","",IF(COUNTIF(Campaigns!$A$7:$A$300,B1905)&gt;0,"✓","⚠ add to Campaigns tab"))</f>
        <v/>
      </c>
      <c r="I1905" s="84" t="str">
        <f aca="false">IF(C1905="","",C1905*IF(Settings!$B$23=Settings!$C$6,1,IF(Settings!$B$23="USD",1/INDEX(Settings!$B$29:$B$40,MONTH(A1905)),INDEX(Settings!$B$29:$B$40,MONTH(A1905)))))</f>
        <v/>
      </c>
    </row>
    <row r="1906" customFormat="false" ht="15" hidden="false" customHeight="false" outlineLevel="0" collapsed="false">
      <c r="H1906" s="0" t="str">
        <f aca="false">IF(B1906="","",IF(COUNTIF(Campaigns!$A$7:$A$300,B1906)&gt;0,"✓","⚠ add to Campaigns tab"))</f>
        <v/>
      </c>
      <c r="I1906" s="84" t="str">
        <f aca="false">IF(C1906="","",C1906*IF(Settings!$B$23=Settings!$C$6,1,IF(Settings!$B$23="USD",1/INDEX(Settings!$B$29:$B$40,MONTH(A1906)),INDEX(Settings!$B$29:$B$40,MONTH(A1906)))))</f>
        <v/>
      </c>
    </row>
    <row r="1907" customFormat="false" ht="15" hidden="false" customHeight="false" outlineLevel="0" collapsed="false">
      <c r="H1907" s="0" t="str">
        <f aca="false">IF(B1907="","",IF(COUNTIF(Campaigns!$A$7:$A$300,B1907)&gt;0,"✓","⚠ add to Campaigns tab"))</f>
        <v/>
      </c>
      <c r="I1907" s="84" t="str">
        <f aca="false">IF(C1907="","",C1907*IF(Settings!$B$23=Settings!$C$6,1,IF(Settings!$B$23="USD",1/INDEX(Settings!$B$29:$B$40,MONTH(A1907)),INDEX(Settings!$B$29:$B$40,MONTH(A1907)))))</f>
        <v/>
      </c>
    </row>
    <row r="1908" customFormat="false" ht="15" hidden="false" customHeight="false" outlineLevel="0" collapsed="false">
      <c r="H1908" s="0" t="str">
        <f aca="false">IF(B1908="","",IF(COUNTIF(Campaigns!$A$7:$A$300,B1908)&gt;0,"✓","⚠ add to Campaigns tab"))</f>
        <v/>
      </c>
      <c r="I1908" s="84" t="str">
        <f aca="false">IF(C1908="","",C1908*IF(Settings!$B$23=Settings!$C$6,1,IF(Settings!$B$23="USD",1/INDEX(Settings!$B$29:$B$40,MONTH(A1908)),INDEX(Settings!$B$29:$B$40,MONTH(A1908)))))</f>
        <v/>
      </c>
    </row>
    <row r="1909" customFormat="false" ht="15" hidden="false" customHeight="false" outlineLevel="0" collapsed="false">
      <c r="H1909" s="0" t="str">
        <f aca="false">IF(B1909="","",IF(COUNTIF(Campaigns!$A$7:$A$300,B1909)&gt;0,"✓","⚠ add to Campaigns tab"))</f>
        <v/>
      </c>
      <c r="I1909" s="84" t="str">
        <f aca="false">IF(C1909="","",C1909*IF(Settings!$B$23=Settings!$C$6,1,IF(Settings!$B$23="USD",1/INDEX(Settings!$B$29:$B$40,MONTH(A1909)),INDEX(Settings!$B$29:$B$40,MONTH(A1909)))))</f>
        <v/>
      </c>
    </row>
    <row r="1910" customFormat="false" ht="15" hidden="false" customHeight="false" outlineLevel="0" collapsed="false">
      <c r="H1910" s="0" t="str">
        <f aca="false">IF(B1910="","",IF(COUNTIF(Campaigns!$A$7:$A$300,B1910)&gt;0,"✓","⚠ add to Campaigns tab"))</f>
        <v/>
      </c>
      <c r="I1910" s="84" t="str">
        <f aca="false">IF(C1910="","",C1910*IF(Settings!$B$23=Settings!$C$6,1,IF(Settings!$B$23="USD",1/INDEX(Settings!$B$29:$B$40,MONTH(A1910)),INDEX(Settings!$B$29:$B$40,MONTH(A1910)))))</f>
        <v/>
      </c>
    </row>
    <row r="1911" customFormat="false" ht="15" hidden="false" customHeight="false" outlineLevel="0" collapsed="false">
      <c r="H1911" s="0" t="str">
        <f aca="false">IF(B1911="","",IF(COUNTIF(Campaigns!$A$7:$A$300,B1911)&gt;0,"✓","⚠ add to Campaigns tab"))</f>
        <v/>
      </c>
      <c r="I1911" s="84" t="str">
        <f aca="false">IF(C1911="","",C1911*IF(Settings!$B$23=Settings!$C$6,1,IF(Settings!$B$23="USD",1/INDEX(Settings!$B$29:$B$40,MONTH(A1911)),INDEX(Settings!$B$29:$B$40,MONTH(A1911)))))</f>
        <v/>
      </c>
    </row>
    <row r="1912" customFormat="false" ht="15" hidden="false" customHeight="false" outlineLevel="0" collapsed="false">
      <c r="H1912" s="0" t="str">
        <f aca="false">IF(B1912="","",IF(COUNTIF(Campaigns!$A$7:$A$300,B1912)&gt;0,"✓","⚠ add to Campaigns tab"))</f>
        <v/>
      </c>
      <c r="I1912" s="84" t="str">
        <f aca="false">IF(C1912="","",C1912*IF(Settings!$B$23=Settings!$C$6,1,IF(Settings!$B$23="USD",1/INDEX(Settings!$B$29:$B$40,MONTH(A1912)),INDEX(Settings!$B$29:$B$40,MONTH(A1912)))))</f>
        <v/>
      </c>
    </row>
    <row r="1913" customFormat="false" ht="15" hidden="false" customHeight="false" outlineLevel="0" collapsed="false">
      <c r="H1913" s="0" t="str">
        <f aca="false">IF(B1913="","",IF(COUNTIF(Campaigns!$A$7:$A$300,B1913)&gt;0,"✓","⚠ add to Campaigns tab"))</f>
        <v/>
      </c>
      <c r="I1913" s="84" t="str">
        <f aca="false">IF(C1913="","",C1913*IF(Settings!$B$23=Settings!$C$6,1,IF(Settings!$B$23="USD",1/INDEX(Settings!$B$29:$B$40,MONTH(A1913)),INDEX(Settings!$B$29:$B$40,MONTH(A1913)))))</f>
        <v/>
      </c>
    </row>
    <row r="1914" customFormat="false" ht="15" hidden="false" customHeight="false" outlineLevel="0" collapsed="false">
      <c r="H1914" s="0" t="str">
        <f aca="false">IF(B1914="","",IF(COUNTIF(Campaigns!$A$7:$A$300,B1914)&gt;0,"✓","⚠ add to Campaigns tab"))</f>
        <v/>
      </c>
      <c r="I1914" s="84" t="str">
        <f aca="false">IF(C1914="","",C1914*IF(Settings!$B$23=Settings!$C$6,1,IF(Settings!$B$23="USD",1/INDEX(Settings!$B$29:$B$40,MONTH(A1914)),INDEX(Settings!$B$29:$B$40,MONTH(A1914)))))</f>
        <v/>
      </c>
    </row>
    <row r="1915" customFormat="false" ht="15" hidden="false" customHeight="false" outlineLevel="0" collapsed="false">
      <c r="H1915" s="0" t="str">
        <f aca="false">IF(B1915="","",IF(COUNTIF(Campaigns!$A$7:$A$300,B1915)&gt;0,"✓","⚠ add to Campaigns tab"))</f>
        <v/>
      </c>
      <c r="I1915" s="84" t="str">
        <f aca="false">IF(C1915="","",C1915*IF(Settings!$B$23=Settings!$C$6,1,IF(Settings!$B$23="USD",1/INDEX(Settings!$B$29:$B$40,MONTH(A1915)),INDEX(Settings!$B$29:$B$40,MONTH(A1915)))))</f>
        <v/>
      </c>
    </row>
    <row r="1916" customFormat="false" ht="15" hidden="false" customHeight="false" outlineLevel="0" collapsed="false">
      <c r="H1916" s="0" t="str">
        <f aca="false">IF(B1916="","",IF(COUNTIF(Campaigns!$A$7:$A$300,B1916)&gt;0,"✓","⚠ add to Campaigns tab"))</f>
        <v/>
      </c>
      <c r="I1916" s="84" t="str">
        <f aca="false">IF(C1916="","",C1916*IF(Settings!$B$23=Settings!$C$6,1,IF(Settings!$B$23="USD",1/INDEX(Settings!$B$29:$B$40,MONTH(A1916)),INDEX(Settings!$B$29:$B$40,MONTH(A1916)))))</f>
        <v/>
      </c>
    </row>
    <row r="1917" customFormat="false" ht="15" hidden="false" customHeight="false" outlineLevel="0" collapsed="false">
      <c r="H1917" s="0" t="str">
        <f aca="false">IF(B1917="","",IF(COUNTIF(Campaigns!$A$7:$A$300,B1917)&gt;0,"✓","⚠ add to Campaigns tab"))</f>
        <v/>
      </c>
      <c r="I1917" s="84" t="str">
        <f aca="false">IF(C1917="","",C1917*IF(Settings!$B$23=Settings!$C$6,1,IF(Settings!$B$23="USD",1/INDEX(Settings!$B$29:$B$40,MONTH(A1917)),INDEX(Settings!$B$29:$B$40,MONTH(A1917)))))</f>
        <v/>
      </c>
    </row>
    <row r="1918" customFormat="false" ht="15" hidden="false" customHeight="false" outlineLevel="0" collapsed="false">
      <c r="H1918" s="0" t="str">
        <f aca="false">IF(B1918="","",IF(COUNTIF(Campaigns!$A$7:$A$300,B1918)&gt;0,"✓","⚠ add to Campaigns tab"))</f>
        <v/>
      </c>
      <c r="I1918" s="84" t="str">
        <f aca="false">IF(C1918="","",C1918*IF(Settings!$B$23=Settings!$C$6,1,IF(Settings!$B$23="USD",1/INDEX(Settings!$B$29:$B$40,MONTH(A1918)),INDEX(Settings!$B$29:$B$40,MONTH(A1918)))))</f>
        <v/>
      </c>
    </row>
    <row r="1919" customFormat="false" ht="15" hidden="false" customHeight="false" outlineLevel="0" collapsed="false">
      <c r="H1919" s="0" t="str">
        <f aca="false">IF(B1919="","",IF(COUNTIF(Campaigns!$A$7:$A$300,B1919)&gt;0,"✓","⚠ add to Campaigns tab"))</f>
        <v/>
      </c>
      <c r="I1919" s="84" t="str">
        <f aca="false">IF(C1919="","",C1919*IF(Settings!$B$23=Settings!$C$6,1,IF(Settings!$B$23="USD",1/INDEX(Settings!$B$29:$B$40,MONTH(A1919)),INDEX(Settings!$B$29:$B$40,MONTH(A1919)))))</f>
        <v/>
      </c>
    </row>
    <row r="1920" customFormat="false" ht="15" hidden="false" customHeight="false" outlineLevel="0" collapsed="false">
      <c r="H1920" s="0" t="str">
        <f aca="false">IF(B1920="","",IF(COUNTIF(Campaigns!$A$7:$A$300,B1920)&gt;0,"✓","⚠ add to Campaigns tab"))</f>
        <v/>
      </c>
      <c r="I1920" s="84" t="str">
        <f aca="false">IF(C1920="","",C1920*IF(Settings!$B$23=Settings!$C$6,1,IF(Settings!$B$23="USD",1/INDEX(Settings!$B$29:$B$40,MONTH(A1920)),INDEX(Settings!$B$29:$B$40,MONTH(A1920)))))</f>
        <v/>
      </c>
    </row>
    <row r="1921" customFormat="false" ht="15" hidden="false" customHeight="false" outlineLevel="0" collapsed="false">
      <c r="H1921" s="0" t="str">
        <f aca="false">IF(B1921="","",IF(COUNTIF(Campaigns!$A$7:$A$300,B1921)&gt;0,"✓","⚠ add to Campaigns tab"))</f>
        <v/>
      </c>
      <c r="I1921" s="84" t="str">
        <f aca="false">IF(C1921="","",C1921*IF(Settings!$B$23=Settings!$C$6,1,IF(Settings!$B$23="USD",1/INDEX(Settings!$B$29:$B$40,MONTH(A1921)),INDEX(Settings!$B$29:$B$40,MONTH(A1921)))))</f>
        <v/>
      </c>
    </row>
    <row r="1922" customFormat="false" ht="15" hidden="false" customHeight="false" outlineLevel="0" collapsed="false">
      <c r="H1922" s="0" t="str">
        <f aca="false">IF(B1922="","",IF(COUNTIF(Campaigns!$A$7:$A$300,B1922)&gt;0,"✓","⚠ add to Campaigns tab"))</f>
        <v/>
      </c>
      <c r="I1922" s="84" t="str">
        <f aca="false">IF(C1922="","",C1922*IF(Settings!$B$23=Settings!$C$6,1,IF(Settings!$B$23="USD",1/INDEX(Settings!$B$29:$B$40,MONTH(A1922)),INDEX(Settings!$B$29:$B$40,MONTH(A1922)))))</f>
        <v/>
      </c>
    </row>
    <row r="1923" customFormat="false" ht="15" hidden="false" customHeight="false" outlineLevel="0" collapsed="false">
      <c r="H1923" s="0" t="str">
        <f aca="false">IF(B1923="","",IF(COUNTIF(Campaigns!$A$7:$A$300,B1923)&gt;0,"✓","⚠ add to Campaigns tab"))</f>
        <v/>
      </c>
      <c r="I1923" s="84" t="str">
        <f aca="false">IF(C1923="","",C1923*IF(Settings!$B$23=Settings!$C$6,1,IF(Settings!$B$23="USD",1/INDEX(Settings!$B$29:$B$40,MONTH(A1923)),INDEX(Settings!$B$29:$B$40,MONTH(A1923)))))</f>
        <v/>
      </c>
    </row>
    <row r="1924" customFormat="false" ht="15" hidden="false" customHeight="false" outlineLevel="0" collapsed="false">
      <c r="H1924" s="0" t="str">
        <f aca="false">IF(B1924="","",IF(COUNTIF(Campaigns!$A$7:$A$300,B1924)&gt;0,"✓","⚠ add to Campaigns tab"))</f>
        <v/>
      </c>
      <c r="I1924" s="84" t="str">
        <f aca="false">IF(C1924="","",C1924*IF(Settings!$B$23=Settings!$C$6,1,IF(Settings!$B$23="USD",1/INDEX(Settings!$B$29:$B$40,MONTH(A1924)),INDEX(Settings!$B$29:$B$40,MONTH(A1924)))))</f>
        <v/>
      </c>
    </row>
    <row r="1925" customFormat="false" ht="15" hidden="false" customHeight="false" outlineLevel="0" collapsed="false">
      <c r="H1925" s="0" t="str">
        <f aca="false">IF(B1925="","",IF(COUNTIF(Campaigns!$A$7:$A$300,B1925)&gt;0,"✓","⚠ add to Campaigns tab"))</f>
        <v/>
      </c>
      <c r="I1925" s="84" t="str">
        <f aca="false">IF(C1925="","",C1925*IF(Settings!$B$23=Settings!$C$6,1,IF(Settings!$B$23="USD",1/INDEX(Settings!$B$29:$B$40,MONTH(A1925)),INDEX(Settings!$B$29:$B$40,MONTH(A1925)))))</f>
        <v/>
      </c>
    </row>
    <row r="1926" customFormat="false" ht="15" hidden="false" customHeight="false" outlineLevel="0" collapsed="false">
      <c r="H1926" s="0" t="str">
        <f aca="false">IF(B1926="","",IF(COUNTIF(Campaigns!$A$7:$A$300,B1926)&gt;0,"✓","⚠ add to Campaigns tab"))</f>
        <v/>
      </c>
      <c r="I1926" s="84" t="str">
        <f aca="false">IF(C1926="","",C1926*IF(Settings!$B$23=Settings!$C$6,1,IF(Settings!$B$23="USD",1/INDEX(Settings!$B$29:$B$40,MONTH(A1926)),INDEX(Settings!$B$29:$B$40,MONTH(A1926)))))</f>
        <v/>
      </c>
    </row>
    <row r="1927" customFormat="false" ht="15" hidden="false" customHeight="false" outlineLevel="0" collapsed="false">
      <c r="H1927" s="0" t="str">
        <f aca="false">IF(B1927="","",IF(COUNTIF(Campaigns!$A$7:$A$300,B1927)&gt;0,"✓","⚠ add to Campaigns tab"))</f>
        <v/>
      </c>
      <c r="I1927" s="84" t="str">
        <f aca="false">IF(C1927="","",C1927*IF(Settings!$B$23=Settings!$C$6,1,IF(Settings!$B$23="USD",1/INDEX(Settings!$B$29:$B$40,MONTH(A1927)),INDEX(Settings!$B$29:$B$40,MONTH(A1927)))))</f>
        <v/>
      </c>
    </row>
    <row r="1928" customFormat="false" ht="15" hidden="false" customHeight="false" outlineLevel="0" collapsed="false">
      <c r="H1928" s="0" t="str">
        <f aca="false">IF(B1928="","",IF(COUNTIF(Campaigns!$A$7:$A$300,B1928)&gt;0,"✓","⚠ add to Campaigns tab"))</f>
        <v/>
      </c>
      <c r="I1928" s="84" t="str">
        <f aca="false">IF(C1928="","",C1928*IF(Settings!$B$23=Settings!$C$6,1,IF(Settings!$B$23="USD",1/INDEX(Settings!$B$29:$B$40,MONTH(A1928)),INDEX(Settings!$B$29:$B$40,MONTH(A1928)))))</f>
        <v/>
      </c>
    </row>
    <row r="1929" customFormat="false" ht="15" hidden="false" customHeight="false" outlineLevel="0" collapsed="false">
      <c r="H1929" s="0" t="str">
        <f aca="false">IF(B1929="","",IF(COUNTIF(Campaigns!$A$7:$A$300,B1929)&gt;0,"✓","⚠ add to Campaigns tab"))</f>
        <v/>
      </c>
      <c r="I1929" s="84" t="str">
        <f aca="false">IF(C1929="","",C1929*IF(Settings!$B$23=Settings!$C$6,1,IF(Settings!$B$23="USD",1/INDEX(Settings!$B$29:$B$40,MONTH(A1929)),INDEX(Settings!$B$29:$B$40,MONTH(A1929)))))</f>
        <v/>
      </c>
    </row>
    <row r="1930" customFormat="false" ht="15" hidden="false" customHeight="false" outlineLevel="0" collapsed="false">
      <c r="H1930" s="0" t="str">
        <f aca="false">IF(B1930="","",IF(COUNTIF(Campaigns!$A$7:$A$300,B1930)&gt;0,"✓","⚠ add to Campaigns tab"))</f>
        <v/>
      </c>
      <c r="I1930" s="84" t="str">
        <f aca="false">IF(C1930="","",C1930*IF(Settings!$B$23=Settings!$C$6,1,IF(Settings!$B$23="USD",1/INDEX(Settings!$B$29:$B$40,MONTH(A1930)),INDEX(Settings!$B$29:$B$40,MONTH(A1930)))))</f>
        <v/>
      </c>
    </row>
    <row r="1931" customFormat="false" ht="15" hidden="false" customHeight="false" outlineLevel="0" collapsed="false">
      <c r="H1931" s="0" t="str">
        <f aca="false">IF(B1931="","",IF(COUNTIF(Campaigns!$A$7:$A$300,B1931)&gt;0,"✓","⚠ add to Campaigns tab"))</f>
        <v/>
      </c>
      <c r="I1931" s="84" t="str">
        <f aca="false">IF(C1931="","",C1931*IF(Settings!$B$23=Settings!$C$6,1,IF(Settings!$B$23="USD",1/INDEX(Settings!$B$29:$B$40,MONTH(A1931)),INDEX(Settings!$B$29:$B$40,MONTH(A1931)))))</f>
        <v/>
      </c>
    </row>
    <row r="1932" customFormat="false" ht="15" hidden="false" customHeight="false" outlineLevel="0" collapsed="false">
      <c r="H1932" s="0" t="str">
        <f aca="false">IF(B1932="","",IF(COUNTIF(Campaigns!$A$7:$A$300,B1932)&gt;0,"✓","⚠ add to Campaigns tab"))</f>
        <v/>
      </c>
      <c r="I1932" s="84" t="str">
        <f aca="false">IF(C1932="","",C1932*IF(Settings!$B$23=Settings!$C$6,1,IF(Settings!$B$23="USD",1/INDEX(Settings!$B$29:$B$40,MONTH(A1932)),INDEX(Settings!$B$29:$B$40,MONTH(A1932)))))</f>
        <v/>
      </c>
    </row>
    <row r="1933" customFormat="false" ht="15" hidden="false" customHeight="false" outlineLevel="0" collapsed="false">
      <c r="H1933" s="0" t="str">
        <f aca="false">IF(B1933="","",IF(COUNTIF(Campaigns!$A$7:$A$300,B1933)&gt;0,"✓","⚠ add to Campaigns tab"))</f>
        <v/>
      </c>
      <c r="I1933" s="84" t="str">
        <f aca="false">IF(C1933="","",C1933*IF(Settings!$B$23=Settings!$C$6,1,IF(Settings!$B$23="USD",1/INDEX(Settings!$B$29:$B$40,MONTH(A1933)),INDEX(Settings!$B$29:$B$40,MONTH(A1933)))))</f>
        <v/>
      </c>
    </row>
    <row r="1934" customFormat="false" ht="15" hidden="false" customHeight="false" outlineLevel="0" collapsed="false">
      <c r="H1934" s="0" t="str">
        <f aca="false">IF(B1934="","",IF(COUNTIF(Campaigns!$A$7:$A$300,B1934)&gt;0,"✓","⚠ add to Campaigns tab"))</f>
        <v/>
      </c>
      <c r="I1934" s="84" t="str">
        <f aca="false">IF(C1934="","",C1934*IF(Settings!$B$23=Settings!$C$6,1,IF(Settings!$B$23="USD",1/INDEX(Settings!$B$29:$B$40,MONTH(A1934)),INDEX(Settings!$B$29:$B$40,MONTH(A1934)))))</f>
        <v/>
      </c>
    </row>
    <row r="1935" customFormat="false" ht="15" hidden="false" customHeight="false" outlineLevel="0" collapsed="false">
      <c r="H1935" s="0" t="str">
        <f aca="false">IF(B1935="","",IF(COUNTIF(Campaigns!$A$7:$A$300,B1935)&gt;0,"✓","⚠ add to Campaigns tab"))</f>
        <v/>
      </c>
      <c r="I1935" s="84" t="str">
        <f aca="false">IF(C1935="","",C1935*IF(Settings!$B$23=Settings!$C$6,1,IF(Settings!$B$23="USD",1/INDEX(Settings!$B$29:$B$40,MONTH(A1935)),INDEX(Settings!$B$29:$B$40,MONTH(A1935)))))</f>
        <v/>
      </c>
    </row>
    <row r="1936" customFormat="false" ht="15" hidden="false" customHeight="false" outlineLevel="0" collapsed="false">
      <c r="H1936" s="0" t="str">
        <f aca="false">IF(B1936="","",IF(COUNTIF(Campaigns!$A$7:$A$300,B1936)&gt;0,"✓","⚠ add to Campaigns tab"))</f>
        <v/>
      </c>
      <c r="I1936" s="84" t="str">
        <f aca="false">IF(C1936="","",C1936*IF(Settings!$B$23=Settings!$C$6,1,IF(Settings!$B$23="USD",1/INDEX(Settings!$B$29:$B$40,MONTH(A1936)),INDEX(Settings!$B$29:$B$40,MONTH(A1936)))))</f>
        <v/>
      </c>
    </row>
    <row r="1937" customFormat="false" ht="15" hidden="false" customHeight="false" outlineLevel="0" collapsed="false">
      <c r="H1937" s="0" t="str">
        <f aca="false">IF(B1937="","",IF(COUNTIF(Campaigns!$A$7:$A$300,B1937)&gt;0,"✓","⚠ add to Campaigns tab"))</f>
        <v/>
      </c>
      <c r="I1937" s="84" t="str">
        <f aca="false">IF(C1937="","",C1937*IF(Settings!$B$23=Settings!$C$6,1,IF(Settings!$B$23="USD",1/INDEX(Settings!$B$29:$B$40,MONTH(A1937)),INDEX(Settings!$B$29:$B$40,MONTH(A1937)))))</f>
        <v/>
      </c>
    </row>
    <row r="1938" customFormat="false" ht="15" hidden="false" customHeight="false" outlineLevel="0" collapsed="false">
      <c r="H1938" s="0" t="str">
        <f aca="false">IF(B1938="","",IF(COUNTIF(Campaigns!$A$7:$A$300,B1938)&gt;0,"✓","⚠ add to Campaigns tab"))</f>
        <v/>
      </c>
      <c r="I1938" s="84" t="str">
        <f aca="false">IF(C1938="","",C1938*IF(Settings!$B$23=Settings!$C$6,1,IF(Settings!$B$23="USD",1/INDEX(Settings!$B$29:$B$40,MONTH(A1938)),INDEX(Settings!$B$29:$B$40,MONTH(A1938)))))</f>
        <v/>
      </c>
    </row>
    <row r="1939" customFormat="false" ht="15" hidden="false" customHeight="false" outlineLevel="0" collapsed="false">
      <c r="H1939" s="0" t="str">
        <f aca="false">IF(B1939="","",IF(COUNTIF(Campaigns!$A$7:$A$300,B1939)&gt;0,"✓","⚠ add to Campaigns tab"))</f>
        <v/>
      </c>
      <c r="I1939" s="84" t="str">
        <f aca="false">IF(C1939="","",C1939*IF(Settings!$B$23=Settings!$C$6,1,IF(Settings!$B$23="USD",1/INDEX(Settings!$B$29:$B$40,MONTH(A1939)),INDEX(Settings!$B$29:$B$40,MONTH(A1939)))))</f>
        <v/>
      </c>
    </row>
    <row r="1940" customFormat="false" ht="15" hidden="false" customHeight="false" outlineLevel="0" collapsed="false">
      <c r="H1940" s="0" t="str">
        <f aca="false">IF(B1940="","",IF(COUNTIF(Campaigns!$A$7:$A$300,B1940)&gt;0,"✓","⚠ add to Campaigns tab"))</f>
        <v/>
      </c>
      <c r="I1940" s="84" t="str">
        <f aca="false">IF(C1940="","",C1940*IF(Settings!$B$23=Settings!$C$6,1,IF(Settings!$B$23="USD",1/INDEX(Settings!$B$29:$B$40,MONTH(A1940)),INDEX(Settings!$B$29:$B$40,MONTH(A1940)))))</f>
        <v/>
      </c>
    </row>
    <row r="1941" customFormat="false" ht="15" hidden="false" customHeight="false" outlineLevel="0" collapsed="false">
      <c r="H1941" s="0" t="str">
        <f aca="false">IF(B1941="","",IF(COUNTIF(Campaigns!$A$7:$A$300,B1941)&gt;0,"✓","⚠ add to Campaigns tab"))</f>
        <v/>
      </c>
      <c r="I1941" s="84" t="str">
        <f aca="false">IF(C1941="","",C1941*IF(Settings!$B$23=Settings!$C$6,1,IF(Settings!$B$23="USD",1/INDEX(Settings!$B$29:$B$40,MONTH(A1941)),INDEX(Settings!$B$29:$B$40,MONTH(A1941)))))</f>
        <v/>
      </c>
    </row>
    <row r="1942" customFormat="false" ht="15" hidden="false" customHeight="false" outlineLevel="0" collapsed="false">
      <c r="H1942" s="0" t="str">
        <f aca="false">IF(B1942="","",IF(COUNTIF(Campaigns!$A$7:$A$300,B1942)&gt;0,"✓","⚠ add to Campaigns tab"))</f>
        <v/>
      </c>
      <c r="I1942" s="84" t="str">
        <f aca="false">IF(C1942="","",C1942*IF(Settings!$B$23=Settings!$C$6,1,IF(Settings!$B$23="USD",1/INDEX(Settings!$B$29:$B$40,MONTH(A1942)),INDEX(Settings!$B$29:$B$40,MONTH(A1942)))))</f>
        <v/>
      </c>
    </row>
    <row r="1943" customFormat="false" ht="15" hidden="false" customHeight="false" outlineLevel="0" collapsed="false">
      <c r="H1943" s="0" t="str">
        <f aca="false">IF(B1943="","",IF(COUNTIF(Campaigns!$A$7:$A$300,B1943)&gt;0,"✓","⚠ add to Campaigns tab"))</f>
        <v/>
      </c>
      <c r="I1943" s="84" t="str">
        <f aca="false">IF(C1943="","",C1943*IF(Settings!$B$23=Settings!$C$6,1,IF(Settings!$B$23="USD",1/INDEX(Settings!$B$29:$B$40,MONTH(A1943)),INDEX(Settings!$B$29:$B$40,MONTH(A1943)))))</f>
        <v/>
      </c>
    </row>
    <row r="1944" customFormat="false" ht="15" hidden="false" customHeight="false" outlineLevel="0" collapsed="false">
      <c r="H1944" s="0" t="str">
        <f aca="false">IF(B1944="","",IF(COUNTIF(Campaigns!$A$7:$A$300,B1944)&gt;0,"✓","⚠ add to Campaigns tab"))</f>
        <v/>
      </c>
      <c r="I1944" s="84" t="str">
        <f aca="false">IF(C1944="","",C1944*IF(Settings!$B$23=Settings!$C$6,1,IF(Settings!$B$23="USD",1/INDEX(Settings!$B$29:$B$40,MONTH(A1944)),INDEX(Settings!$B$29:$B$40,MONTH(A1944)))))</f>
        <v/>
      </c>
    </row>
    <row r="1945" customFormat="false" ht="15" hidden="false" customHeight="false" outlineLevel="0" collapsed="false">
      <c r="H1945" s="0" t="str">
        <f aca="false">IF(B1945="","",IF(COUNTIF(Campaigns!$A$7:$A$300,B1945)&gt;0,"✓","⚠ add to Campaigns tab"))</f>
        <v/>
      </c>
      <c r="I1945" s="84" t="str">
        <f aca="false">IF(C1945="","",C1945*IF(Settings!$B$23=Settings!$C$6,1,IF(Settings!$B$23="USD",1/INDEX(Settings!$B$29:$B$40,MONTH(A1945)),INDEX(Settings!$B$29:$B$40,MONTH(A1945)))))</f>
        <v/>
      </c>
    </row>
    <row r="1946" customFormat="false" ht="15" hidden="false" customHeight="false" outlineLevel="0" collapsed="false">
      <c r="H1946" s="0" t="str">
        <f aca="false">IF(B1946="","",IF(COUNTIF(Campaigns!$A$7:$A$300,B1946)&gt;0,"✓","⚠ add to Campaigns tab"))</f>
        <v/>
      </c>
      <c r="I1946" s="84" t="str">
        <f aca="false">IF(C1946="","",C1946*IF(Settings!$B$23=Settings!$C$6,1,IF(Settings!$B$23="USD",1/INDEX(Settings!$B$29:$B$40,MONTH(A1946)),INDEX(Settings!$B$29:$B$40,MONTH(A1946)))))</f>
        <v/>
      </c>
    </row>
    <row r="1947" customFormat="false" ht="15" hidden="false" customHeight="false" outlineLevel="0" collapsed="false">
      <c r="H1947" s="0" t="str">
        <f aca="false">IF(B1947="","",IF(COUNTIF(Campaigns!$A$7:$A$300,B1947)&gt;0,"✓","⚠ add to Campaigns tab"))</f>
        <v/>
      </c>
      <c r="I1947" s="84" t="str">
        <f aca="false">IF(C1947="","",C1947*IF(Settings!$B$23=Settings!$C$6,1,IF(Settings!$B$23="USD",1/INDEX(Settings!$B$29:$B$40,MONTH(A1947)),INDEX(Settings!$B$29:$B$40,MONTH(A1947)))))</f>
        <v/>
      </c>
    </row>
    <row r="1948" customFormat="false" ht="15" hidden="false" customHeight="false" outlineLevel="0" collapsed="false">
      <c r="H1948" s="0" t="str">
        <f aca="false">IF(B1948="","",IF(COUNTIF(Campaigns!$A$7:$A$300,B1948)&gt;0,"✓","⚠ add to Campaigns tab"))</f>
        <v/>
      </c>
      <c r="I1948" s="84" t="str">
        <f aca="false">IF(C1948="","",C1948*IF(Settings!$B$23=Settings!$C$6,1,IF(Settings!$B$23="USD",1/INDEX(Settings!$B$29:$B$40,MONTH(A1948)),INDEX(Settings!$B$29:$B$40,MONTH(A1948)))))</f>
        <v/>
      </c>
    </row>
    <row r="1949" customFormat="false" ht="15" hidden="false" customHeight="false" outlineLevel="0" collapsed="false">
      <c r="H1949" s="0" t="str">
        <f aca="false">IF(B1949="","",IF(COUNTIF(Campaigns!$A$7:$A$300,B1949)&gt;0,"✓","⚠ add to Campaigns tab"))</f>
        <v/>
      </c>
      <c r="I1949" s="84" t="str">
        <f aca="false">IF(C1949="","",C1949*IF(Settings!$B$23=Settings!$C$6,1,IF(Settings!$B$23="USD",1/INDEX(Settings!$B$29:$B$40,MONTH(A1949)),INDEX(Settings!$B$29:$B$40,MONTH(A1949)))))</f>
        <v/>
      </c>
    </row>
    <row r="1950" customFormat="false" ht="15" hidden="false" customHeight="false" outlineLevel="0" collapsed="false">
      <c r="H1950" s="0" t="str">
        <f aca="false">IF(B1950="","",IF(COUNTIF(Campaigns!$A$7:$A$300,B1950)&gt;0,"✓","⚠ add to Campaigns tab"))</f>
        <v/>
      </c>
      <c r="I1950" s="84" t="str">
        <f aca="false">IF(C1950="","",C1950*IF(Settings!$B$23=Settings!$C$6,1,IF(Settings!$B$23="USD",1/INDEX(Settings!$B$29:$B$40,MONTH(A1950)),INDEX(Settings!$B$29:$B$40,MONTH(A1950)))))</f>
        <v/>
      </c>
    </row>
    <row r="1951" customFormat="false" ht="15" hidden="false" customHeight="false" outlineLevel="0" collapsed="false">
      <c r="H1951" s="0" t="str">
        <f aca="false">IF(B1951="","",IF(COUNTIF(Campaigns!$A$7:$A$300,B1951)&gt;0,"✓","⚠ add to Campaigns tab"))</f>
        <v/>
      </c>
      <c r="I1951" s="84" t="str">
        <f aca="false">IF(C1951="","",C1951*IF(Settings!$B$23=Settings!$C$6,1,IF(Settings!$B$23="USD",1/INDEX(Settings!$B$29:$B$40,MONTH(A1951)),INDEX(Settings!$B$29:$B$40,MONTH(A1951)))))</f>
        <v/>
      </c>
    </row>
    <row r="1952" customFormat="false" ht="15" hidden="false" customHeight="false" outlineLevel="0" collapsed="false">
      <c r="H1952" s="0" t="str">
        <f aca="false">IF(B1952="","",IF(COUNTIF(Campaigns!$A$7:$A$300,B1952)&gt;0,"✓","⚠ add to Campaigns tab"))</f>
        <v/>
      </c>
      <c r="I1952" s="84" t="str">
        <f aca="false">IF(C1952="","",C1952*IF(Settings!$B$23=Settings!$C$6,1,IF(Settings!$B$23="USD",1/INDEX(Settings!$B$29:$B$40,MONTH(A1952)),INDEX(Settings!$B$29:$B$40,MONTH(A1952)))))</f>
        <v/>
      </c>
    </row>
    <row r="1953" customFormat="false" ht="15" hidden="false" customHeight="false" outlineLevel="0" collapsed="false">
      <c r="H1953" s="0" t="str">
        <f aca="false">IF(B1953="","",IF(COUNTIF(Campaigns!$A$7:$A$300,B1953)&gt;0,"✓","⚠ add to Campaigns tab"))</f>
        <v/>
      </c>
      <c r="I1953" s="84" t="str">
        <f aca="false">IF(C1953="","",C1953*IF(Settings!$B$23=Settings!$C$6,1,IF(Settings!$B$23="USD",1/INDEX(Settings!$B$29:$B$40,MONTH(A1953)),INDEX(Settings!$B$29:$B$40,MONTH(A1953)))))</f>
        <v/>
      </c>
    </row>
    <row r="1954" customFormat="false" ht="15" hidden="false" customHeight="false" outlineLevel="0" collapsed="false">
      <c r="H1954" s="0" t="str">
        <f aca="false">IF(B1954="","",IF(COUNTIF(Campaigns!$A$7:$A$300,B1954)&gt;0,"✓","⚠ add to Campaigns tab"))</f>
        <v/>
      </c>
      <c r="I1954" s="84" t="str">
        <f aca="false">IF(C1954="","",C1954*IF(Settings!$B$23=Settings!$C$6,1,IF(Settings!$B$23="USD",1/INDEX(Settings!$B$29:$B$40,MONTH(A1954)),INDEX(Settings!$B$29:$B$40,MONTH(A1954)))))</f>
        <v/>
      </c>
    </row>
    <row r="1955" customFormat="false" ht="15" hidden="false" customHeight="false" outlineLevel="0" collapsed="false">
      <c r="H1955" s="0" t="str">
        <f aca="false">IF(B1955="","",IF(COUNTIF(Campaigns!$A$7:$A$300,B1955)&gt;0,"✓","⚠ add to Campaigns tab"))</f>
        <v/>
      </c>
      <c r="I1955" s="84" t="str">
        <f aca="false">IF(C1955="","",C1955*IF(Settings!$B$23=Settings!$C$6,1,IF(Settings!$B$23="USD",1/INDEX(Settings!$B$29:$B$40,MONTH(A1955)),INDEX(Settings!$B$29:$B$40,MONTH(A1955)))))</f>
        <v/>
      </c>
    </row>
    <row r="1956" customFormat="false" ht="15" hidden="false" customHeight="false" outlineLevel="0" collapsed="false">
      <c r="H1956" s="0" t="str">
        <f aca="false">IF(B1956="","",IF(COUNTIF(Campaigns!$A$7:$A$300,B1956)&gt;0,"✓","⚠ add to Campaigns tab"))</f>
        <v/>
      </c>
      <c r="I1956" s="84" t="str">
        <f aca="false">IF(C1956="","",C1956*IF(Settings!$B$23=Settings!$C$6,1,IF(Settings!$B$23="USD",1/INDEX(Settings!$B$29:$B$40,MONTH(A1956)),INDEX(Settings!$B$29:$B$40,MONTH(A1956)))))</f>
        <v/>
      </c>
    </row>
    <row r="1957" customFormat="false" ht="15" hidden="false" customHeight="false" outlineLevel="0" collapsed="false">
      <c r="H1957" s="0" t="str">
        <f aca="false">IF(B1957="","",IF(COUNTIF(Campaigns!$A$7:$A$300,B1957)&gt;0,"✓","⚠ add to Campaigns tab"))</f>
        <v/>
      </c>
      <c r="I1957" s="84" t="str">
        <f aca="false">IF(C1957="","",C1957*IF(Settings!$B$23=Settings!$C$6,1,IF(Settings!$B$23="USD",1/INDEX(Settings!$B$29:$B$40,MONTH(A1957)),INDEX(Settings!$B$29:$B$40,MONTH(A1957)))))</f>
        <v/>
      </c>
    </row>
    <row r="1958" customFormat="false" ht="15" hidden="false" customHeight="false" outlineLevel="0" collapsed="false">
      <c r="H1958" s="0" t="str">
        <f aca="false">IF(B1958="","",IF(COUNTIF(Campaigns!$A$7:$A$300,B1958)&gt;0,"✓","⚠ add to Campaigns tab"))</f>
        <v/>
      </c>
      <c r="I1958" s="84" t="str">
        <f aca="false">IF(C1958="","",C1958*IF(Settings!$B$23=Settings!$C$6,1,IF(Settings!$B$23="USD",1/INDEX(Settings!$B$29:$B$40,MONTH(A1958)),INDEX(Settings!$B$29:$B$40,MONTH(A1958)))))</f>
        <v/>
      </c>
    </row>
    <row r="1959" customFormat="false" ht="15" hidden="false" customHeight="false" outlineLevel="0" collapsed="false">
      <c r="H1959" s="0" t="str">
        <f aca="false">IF(B1959="","",IF(COUNTIF(Campaigns!$A$7:$A$300,B1959)&gt;0,"✓","⚠ add to Campaigns tab"))</f>
        <v/>
      </c>
      <c r="I1959" s="84" t="str">
        <f aca="false">IF(C1959="","",C1959*IF(Settings!$B$23=Settings!$C$6,1,IF(Settings!$B$23="USD",1/INDEX(Settings!$B$29:$B$40,MONTH(A1959)),INDEX(Settings!$B$29:$B$40,MONTH(A1959)))))</f>
        <v/>
      </c>
    </row>
    <row r="1960" customFormat="false" ht="15" hidden="false" customHeight="false" outlineLevel="0" collapsed="false">
      <c r="H1960" s="0" t="str">
        <f aca="false">IF(B1960="","",IF(COUNTIF(Campaigns!$A$7:$A$300,B1960)&gt;0,"✓","⚠ add to Campaigns tab"))</f>
        <v/>
      </c>
      <c r="I1960" s="84" t="str">
        <f aca="false">IF(C1960="","",C1960*IF(Settings!$B$23=Settings!$C$6,1,IF(Settings!$B$23="USD",1/INDEX(Settings!$B$29:$B$40,MONTH(A1960)),INDEX(Settings!$B$29:$B$40,MONTH(A1960)))))</f>
        <v/>
      </c>
    </row>
    <row r="1961" customFormat="false" ht="15" hidden="false" customHeight="false" outlineLevel="0" collapsed="false">
      <c r="H1961" s="0" t="str">
        <f aca="false">IF(B1961="","",IF(COUNTIF(Campaigns!$A$7:$A$300,B1961)&gt;0,"✓","⚠ add to Campaigns tab"))</f>
        <v/>
      </c>
      <c r="I1961" s="84" t="str">
        <f aca="false">IF(C1961="","",C1961*IF(Settings!$B$23=Settings!$C$6,1,IF(Settings!$B$23="USD",1/INDEX(Settings!$B$29:$B$40,MONTH(A1961)),INDEX(Settings!$B$29:$B$40,MONTH(A1961)))))</f>
        <v/>
      </c>
    </row>
    <row r="1962" customFormat="false" ht="15" hidden="false" customHeight="false" outlineLevel="0" collapsed="false">
      <c r="H1962" s="0" t="str">
        <f aca="false">IF(B1962="","",IF(COUNTIF(Campaigns!$A$7:$A$300,B1962)&gt;0,"✓","⚠ add to Campaigns tab"))</f>
        <v/>
      </c>
      <c r="I1962" s="84" t="str">
        <f aca="false">IF(C1962="","",C1962*IF(Settings!$B$23=Settings!$C$6,1,IF(Settings!$B$23="USD",1/INDEX(Settings!$B$29:$B$40,MONTH(A1962)),INDEX(Settings!$B$29:$B$40,MONTH(A1962)))))</f>
        <v/>
      </c>
    </row>
    <row r="1963" customFormat="false" ht="15" hidden="false" customHeight="false" outlineLevel="0" collapsed="false">
      <c r="H1963" s="0" t="str">
        <f aca="false">IF(B1963="","",IF(COUNTIF(Campaigns!$A$7:$A$300,B1963)&gt;0,"✓","⚠ add to Campaigns tab"))</f>
        <v/>
      </c>
      <c r="I1963" s="84" t="str">
        <f aca="false">IF(C1963="","",C1963*IF(Settings!$B$23=Settings!$C$6,1,IF(Settings!$B$23="USD",1/INDEX(Settings!$B$29:$B$40,MONTH(A1963)),INDEX(Settings!$B$29:$B$40,MONTH(A1963)))))</f>
        <v/>
      </c>
    </row>
    <row r="1964" customFormat="false" ht="15" hidden="false" customHeight="false" outlineLevel="0" collapsed="false">
      <c r="H1964" s="0" t="str">
        <f aca="false">IF(B1964="","",IF(COUNTIF(Campaigns!$A$7:$A$300,B1964)&gt;0,"✓","⚠ add to Campaigns tab"))</f>
        <v/>
      </c>
      <c r="I1964" s="84" t="str">
        <f aca="false">IF(C1964="","",C1964*IF(Settings!$B$23=Settings!$C$6,1,IF(Settings!$B$23="USD",1/INDEX(Settings!$B$29:$B$40,MONTH(A1964)),INDEX(Settings!$B$29:$B$40,MONTH(A1964)))))</f>
        <v/>
      </c>
    </row>
    <row r="1965" customFormat="false" ht="15" hidden="false" customHeight="false" outlineLevel="0" collapsed="false">
      <c r="H1965" s="0" t="str">
        <f aca="false">IF(B1965="","",IF(COUNTIF(Campaigns!$A$7:$A$300,B1965)&gt;0,"✓","⚠ add to Campaigns tab"))</f>
        <v/>
      </c>
      <c r="I1965" s="84" t="str">
        <f aca="false">IF(C1965="","",C1965*IF(Settings!$B$23=Settings!$C$6,1,IF(Settings!$B$23="USD",1/INDEX(Settings!$B$29:$B$40,MONTH(A1965)),INDEX(Settings!$B$29:$B$40,MONTH(A1965)))))</f>
        <v/>
      </c>
    </row>
    <row r="1966" customFormat="false" ht="15" hidden="false" customHeight="false" outlineLevel="0" collapsed="false">
      <c r="H1966" s="0" t="str">
        <f aca="false">IF(B1966="","",IF(COUNTIF(Campaigns!$A$7:$A$300,B1966)&gt;0,"✓","⚠ add to Campaigns tab"))</f>
        <v/>
      </c>
      <c r="I1966" s="84" t="str">
        <f aca="false">IF(C1966="","",C1966*IF(Settings!$B$23=Settings!$C$6,1,IF(Settings!$B$23="USD",1/INDEX(Settings!$B$29:$B$40,MONTH(A1966)),INDEX(Settings!$B$29:$B$40,MONTH(A1966)))))</f>
        <v/>
      </c>
    </row>
    <row r="1967" customFormat="false" ht="15" hidden="false" customHeight="false" outlineLevel="0" collapsed="false">
      <c r="H1967" s="0" t="str">
        <f aca="false">IF(B1967="","",IF(COUNTIF(Campaigns!$A$7:$A$300,B1967)&gt;0,"✓","⚠ add to Campaigns tab"))</f>
        <v/>
      </c>
      <c r="I1967" s="84" t="str">
        <f aca="false">IF(C1967="","",C1967*IF(Settings!$B$23=Settings!$C$6,1,IF(Settings!$B$23="USD",1/INDEX(Settings!$B$29:$B$40,MONTH(A1967)),INDEX(Settings!$B$29:$B$40,MONTH(A1967)))))</f>
        <v/>
      </c>
    </row>
    <row r="1968" customFormat="false" ht="15" hidden="false" customHeight="false" outlineLevel="0" collapsed="false">
      <c r="H1968" s="0" t="str">
        <f aca="false">IF(B1968="","",IF(COUNTIF(Campaigns!$A$7:$A$300,B1968)&gt;0,"✓","⚠ add to Campaigns tab"))</f>
        <v/>
      </c>
      <c r="I1968" s="84" t="str">
        <f aca="false">IF(C1968="","",C1968*IF(Settings!$B$23=Settings!$C$6,1,IF(Settings!$B$23="USD",1/INDEX(Settings!$B$29:$B$40,MONTH(A1968)),INDEX(Settings!$B$29:$B$40,MONTH(A1968)))))</f>
        <v/>
      </c>
    </row>
    <row r="1969" customFormat="false" ht="15" hidden="false" customHeight="false" outlineLevel="0" collapsed="false">
      <c r="H1969" s="0" t="str">
        <f aca="false">IF(B1969="","",IF(COUNTIF(Campaigns!$A$7:$A$300,B1969)&gt;0,"✓","⚠ add to Campaigns tab"))</f>
        <v/>
      </c>
      <c r="I1969" s="84" t="str">
        <f aca="false">IF(C1969="","",C1969*IF(Settings!$B$23=Settings!$C$6,1,IF(Settings!$B$23="USD",1/INDEX(Settings!$B$29:$B$40,MONTH(A1969)),INDEX(Settings!$B$29:$B$40,MONTH(A1969)))))</f>
        <v/>
      </c>
    </row>
    <row r="1970" customFormat="false" ht="15" hidden="false" customHeight="false" outlineLevel="0" collapsed="false">
      <c r="H1970" s="0" t="str">
        <f aca="false">IF(B1970="","",IF(COUNTIF(Campaigns!$A$7:$A$300,B1970)&gt;0,"✓","⚠ add to Campaigns tab"))</f>
        <v/>
      </c>
      <c r="I1970" s="84" t="str">
        <f aca="false">IF(C1970="","",C1970*IF(Settings!$B$23=Settings!$C$6,1,IF(Settings!$B$23="USD",1/INDEX(Settings!$B$29:$B$40,MONTH(A1970)),INDEX(Settings!$B$29:$B$40,MONTH(A1970)))))</f>
        <v/>
      </c>
    </row>
    <row r="1971" customFormat="false" ht="15" hidden="false" customHeight="false" outlineLevel="0" collapsed="false">
      <c r="H1971" s="0" t="str">
        <f aca="false">IF(B1971="","",IF(COUNTIF(Campaigns!$A$7:$A$300,B1971)&gt;0,"✓","⚠ add to Campaigns tab"))</f>
        <v/>
      </c>
      <c r="I1971" s="84" t="str">
        <f aca="false">IF(C1971="","",C1971*IF(Settings!$B$23=Settings!$C$6,1,IF(Settings!$B$23="USD",1/INDEX(Settings!$B$29:$B$40,MONTH(A1971)),INDEX(Settings!$B$29:$B$40,MONTH(A1971)))))</f>
        <v/>
      </c>
    </row>
    <row r="1972" customFormat="false" ht="15" hidden="false" customHeight="false" outlineLevel="0" collapsed="false">
      <c r="H1972" s="0" t="str">
        <f aca="false">IF(B1972="","",IF(COUNTIF(Campaigns!$A$7:$A$300,B1972)&gt;0,"✓","⚠ add to Campaigns tab"))</f>
        <v/>
      </c>
      <c r="I1972" s="84" t="str">
        <f aca="false">IF(C1972="","",C1972*IF(Settings!$B$23=Settings!$C$6,1,IF(Settings!$B$23="USD",1/INDEX(Settings!$B$29:$B$40,MONTH(A1972)),INDEX(Settings!$B$29:$B$40,MONTH(A1972)))))</f>
        <v/>
      </c>
    </row>
    <row r="1973" customFormat="false" ht="15" hidden="false" customHeight="false" outlineLevel="0" collapsed="false">
      <c r="H1973" s="0" t="str">
        <f aca="false">IF(B1973="","",IF(COUNTIF(Campaigns!$A$7:$A$300,B1973)&gt;0,"✓","⚠ add to Campaigns tab"))</f>
        <v/>
      </c>
      <c r="I1973" s="84" t="str">
        <f aca="false">IF(C1973="","",C1973*IF(Settings!$B$23=Settings!$C$6,1,IF(Settings!$B$23="USD",1/INDEX(Settings!$B$29:$B$40,MONTH(A1973)),INDEX(Settings!$B$29:$B$40,MONTH(A1973)))))</f>
        <v/>
      </c>
    </row>
    <row r="1974" customFormat="false" ht="15" hidden="false" customHeight="false" outlineLevel="0" collapsed="false">
      <c r="H1974" s="0" t="str">
        <f aca="false">IF(B1974="","",IF(COUNTIF(Campaigns!$A$7:$A$300,B1974)&gt;0,"✓","⚠ add to Campaigns tab"))</f>
        <v/>
      </c>
      <c r="I1974" s="84" t="str">
        <f aca="false">IF(C1974="","",C1974*IF(Settings!$B$23=Settings!$C$6,1,IF(Settings!$B$23="USD",1/INDEX(Settings!$B$29:$B$40,MONTH(A1974)),INDEX(Settings!$B$29:$B$40,MONTH(A1974)))))</f>
        <v/>
      </c>
    </row>
    <row r="1975" customFormat="false" ht="15" hidden="false" customHeight="false" outlineLevel="0" collapsed="false">
      <c r="H1975" s="0" t="str">
        <f aca="false">IF(B1975="","",IF(COUNTIF(Campaigns!$A$7:$A$300,B1975)&gt;0,"✓","⚠ add to Campaigns tab"))</f>
        <v/>
      </c>
      <c r="I1975" s="84" t="str">
        <f aca="false">IF(C1975="","",C1975*IF(Settings!$B$23=Settings!$C$6,1,IF(Settings!$B$23="USD",1/INDEX(Settings!$B$29:$B$40,MONTH(A1975)),INDEX(Settings!$B$29:$B$40,MONTH(A1975)))))</f>
        <v/>
      </c>
    </row>
    <row r="1976" customFormat="false" ht="15" hidden="false" customHeight="false" outlineLevel="0" collapsed="false">
      <c r="H1976" s="0" t="str">
        <f aca="false">IF(B1976="","",IF(COUNTIF(Campaigns!$A$7:$A$300,B1976)&gt;0,"✓","⚠ add to Campaigns tab"))</f>
        <v/>
      </c>
      <c r="I1976" s="84" t="str">
        <f aca="false">IF(C1976="","",C1976*IF(Settings!$B$23=Settings!$C$6,1,IF(Settings!$B$23="USD",1/INDEX(Settings!$B$29:$B$40,MONTH(A1976)),INDEX(Settings!$B$29:$B$40,MONTH(A1976)))))</f>
        <v/>
      </c>
    </row>
    <row r="1977" customFormat="false" ht="15" hidden="false" customHeight="false" outlineLevel="0" collapsed="false">
      <c r="H1977" s="0" t="str">
        <f aca="false">IF(B1977="","",IF(COUNTIF(Campaigns!$A$7:$A$300,B1977)&gt;0,"✓","⚠ add to Campaigns tab"))</f>
        <v/>
      </c>
      <c r="I1977" s="84" t="str">
        <f aca="false">IF(C1977="","",C1977*IF(Settings!$B$23=Settings!$C$6,1,IF(Settings!$B$23="USD",1/INDEX(Settings!$B$29:$B$40,MONTH(A1977)),INDEX(Settings!$B$29:$B$40,MONTH(A1977)))))</f>
        <v/>
      </c>
    </row>
    <row r="1978" customFormat="false" ht="15" hidden="false" customHeight="false" outlineLevel="0" collapsed="false">
      <c r="H1978" s="0" t="str">
        <f aca="false">IF(B1978="","",IF(COUNTIF(Campaigns!$A$7:$A$300,B1978)&gt;0,"✓","⚠ add to Campaigns tab"))</f>
        <v/>
      </c>
      <c r="I1978" s="84" t="str">
        <f aca="false">IF(C1978="","",C1978*IF(Settings!$B$23=Settings!$C$6,1,IF(Settings!$B$23="USD",1/INDEX(Settings!$B$29:$B$40,MONTH(A1978)),INDEX(Settings!$B$29:$B$40,MONTH(A1978)))))</f>
        <v/>
      </c>
    </row>
    <row r="1979" customFormat="false" ht="15" hidden="false" customHeight="false" outlineLevel="0" collapsed="false">
      <c r="H1979" s="0" t="str">
        <f aca="false">IF(B1979="","",IF(COUNTIF(Campaigns!$A$7:$A$300,B1979)&gt;0,"✓","⚠ add to Campaigns tab"))</f>
        <v/>
      </c>
      <c r="I1979" s="84" t="str">
        <f aca="false">IF(C1979="","",C1979*IF(Settings!$B$23=Settings!$C$6,1,IF(Settings!$B$23="USD",1/INDEX(Settings!$B$29:$B$40,MONTH(A1979)),INDEX(Settings!$B$29:$B$40,MONTH(A1979)))))</f>
        <v/>
      </c>
    </row>
    <row r="1980" customFormat="false" ht="15" hidden="false" customHeight="false" outlineLevel="0" collapsed="false">
      <c r="H1980" s="0" t="str">
        <f aca="false">IF(B1980="","",IF(COUNTIF(Campaigns!$A$7:$A$300,B1980)&gt;0,"✓","⚠ add to Campaigns tab"))</f>
        <v/>
      </c>
      <c r="I1980" s="84" t="str">
        <f aca="false">IF(C1980="","",C1980*IF(Settings!$B$23=Settings!$C$6,1,IF(Settings!$B$23="USD",1/INDEX(Settings!$B$29:$B$40,MONTH(A1980)),INDEX(Settings!$B$29:$B$40,MONTH(A1980)))))</f>
        <v/>
      </c>
    </row>
    <row r="1981" customFormat="false" ht="15" hidden="false" customHeight="false" outlineLevel="0" collapsed="false">
      <c r="H1981" s="0" t="str">
        <f aca="false">IF(B1981="","",IF(COUNTIF(Campaigns!$A$7:$A$300,B1981)&gt;0,"✓","⚠ add to Campaigns tab"))</f>
        <v/>
      </c>
      <c r="I1981" s="84" t="str">
        <f aca="false">IF(C1981="","",C1981*IF(Settings!$B$23=Settings!$C$6,1,IF(Settings!$B$23="USD",1/INDEX(Settings!$B$29:$B$40,MONTH(A1981)),INDEX(Settings!$B$29:$B$40,MONTH(A1981)))))</f>
        <v/>
      </c>
    </row>
    <row r="1982" customFormat="false" ht="15" hidden="false" customHeight="false" outlineLevel="0" collapsed="false">
      <c r="H1982" s="0" t="str">
        <f aca="false">IF(B1982="","",IF(COUNTIF(Campaigns!$A$7:$A$300,B1982)&gt;0,"✓","⚠ add to Campaigns tab"))</f>
        <v/>
      </c>
      <c r="I1982" s="84" t="str">
        <f aca="false">IF(C1982="","",C1982*IF(Settings!$B$23=Settings!$C$6,1,IF(Settings!$B$23="USD",1/INDEX(Settings!$B$29:$B$40,MONTH(A1982)),INDEX(Settings!$B$29:$B$40,MONTH(A1982)))))</f>
        <v/>
      </c>
    </row>
    <row r="1983" customFormat="false" ht="15" hidden="false" customHeight="false" outlineLevel="0" collapsed="false">
      <c r="H1983" s="0" t="str">
        <f aca="false">IF(B1983="","",IF(COUNTIF(Campaigns!$A$7:$A$300,B1983)&gt;0,"✓","⚠ add to Campaigns tab"))</f>
        <v/>
      </c>
      <c r="I1983" s="84" t="str">
        <f aca="false">IF(C1983="","",C1983*IF(Settings!$B$23=Settings!$C$6,1,IF(Settings!$B$23="USD",1/INDEX(Settings!$B$29:$B$40,MONTH(A1983)),INDEX(Settings!$B$29:$B$40,MONTH(A1983)))))</f>
        <v/>
      </c>
    </row>
    <row r="1984" customFormat="false" ht="15" hidden="false" customHeight="false" outlineLevel="0" collapsed="false">
      <c r="H1984" s="0" t="str">
        <f aca="false">IF(B1984="","",IF(COUNTIF(Campaigns!$A$7:$A$300,B1984)&gt;0,"✓","⚠ add to Campaigns tab"))</f>
        <v/>
      </c>
      <c r="I1984" s="84" t="str">
        <f aca="false">IF(C1984="","",C1984*IF(Settings!$B$23=Settings!$C$6,1,IF(Settings!$B$23="USD",1/INDEX(Settings!$B$29:$B$40,MONTH(A1984)),INDEX(Settings!$B$29:$B$40,MONTH(A1984)))))</f>
        <v/>
      </c>
    </row>
    <row r="1985" customFormat="false" ht="15" hidden="false" customHeight="false" outlineLevel="0" collapsed="false">
      <c r="H1985" s="0" t="str">
        <f aca="false">IF(B1985="","",IF(COUNTIF(Campaigns!$A$7:$A$300,B1985)&gt;0,"✓","⚠ add to Campaigns tab"))</f>
        <v/>
      </c>
      <c r="I1985" s="84" t="str">
        <f aca="false">IF(C1985="","",C1985*IF(Settings!$B$23=Settings!$C$6,1,IF(Settings!$B$23="USD",1/INDEX(Settings!$B$29:$B$40,MONTH(A1985)),INDEX(Settings!$B$29:$B$40,MONTH(A1985)))))</f>
        <v/>
      </c>
    </row>
    <row r="1986" customFormat="false" ht="15" hidden="false" customHeight="false" outlineLevel="0" collapsed="false">
      <c r="H1986" s="0" t="str">
        <f aca="false">IF(B1986="","",IF(COUNTIF(Campaigns!$A$7:$A$300,B1986)&gt;0,"✓","⚠ add to Campaigns tab"))</f>
        <v/>
      </c>
      <c r="I1986" s="84" t="str">
        <f aca="false">IF(C1986="","",C1986*IF(Settings!$B$23=Settings!$C$6,1,IF(Settings!$B$23="USD",1/INDEX(Settings!$B$29:$B$40,MONTH(A1986)),INDEX(Settings!$B$29:$B$40,MONTH(A1986)))))</f>
        <v/>
      </c>
    </row>
    <row r="1987" customFormat="false" ht="15" hidden="false" customHeight="false" outlineLevel="0" collapsed="false">
      <c r="H1987" s="0" t="str">
        <f aca="false">IF(B1987="","",IF(COUNTIF(Campaigns!$A$7:$A$300,B1987)&gt;0,"✓","⚠ add to Campaigns tab"))</f>
        <v/>
      </c>
      <c r="I1987" s="84" t="str">
        <f aca="false">IF(C1987="","",C1987*IF(Settings!$B$23=Settings!$C$6,1,IF(Settings!$B$23="USD",1/INDEX(Settings!$B$29:$B$40,MONTH(A1987)),INDEX(Settings!$B$29:$B$40,MONTH(A1987)))))</f>
        <v/>
      </c>
    </row>
    <row r="1988" customFormat="false" ht="15" hidden="false" customHeight="false" outlineLevel="0" collapsed="false">
      <c r="H1988" s="0" t="str">
        <f aca="false">IF(B1988="","",IF(COUNTIF(Campaigns!$A$7:$A$300,B1988)&gt;0,"✓","⚠ add to Campaigns tab"))</f>
        <v/>
      </c>
      <c r="I1988" s="84" t="str">
        <f aca="false">IF(C1988="","",C1988*IF(Settings!$B$23=Settings!$C$6,1,IF(Settings!$B$23="USD",1/INDEX(Settings!$B$29:$B$40,MONTH(A1988)),INDEX(Settings!$B$29:$B$40,MONTH(A1988)))))</f>
        <v/>
      </c>
    </row>
    <row r="1989" customFormat="false" ht="15" hidden="false" customHeight="false" outlineLevel="0" collapsed="false">
      <c r="H1989" s="0" t="str">
        <f aca="false">IF(B1989="","",IF(COUNTIF(Campaigns!$A$7:$A$300,B1989)&gt;0,"✓","⚠ add to Campaigns tab"))</f>
        <v/>
      </c>
      <c r="I1989" s="84" t="str">
        <f aca="false">IF(C1989="","",C1989*IF(Settings!$B$23=Settings!$C$6,1,IF(Settings!$B$23="USD",1/INDEX(Settings!$B$29:$B$40,MONTH(A1989)),INDEX(Settings!$B$29:$B$40,MONTH(A1989)))))</f>
        <v/>
      </c>
    </row>
    <row r="1990" customFormat="false" ht="15" hidden="false" customHeight="false" outlineLevel="0" collapsed="false">
      <c r="H1990" s="0" t="str">
        <f aca="false">IF(B1990="","",IF(COUNTIF(Campaigns!$A$7:$A$300,B1990)&gt;0,"✓","⚠ add to Campaigns tab"))</f>
        <v/>
      </c>
      <c r="I1990" s="84" t="str">
        <f aca="false">IF(C1990="","",C1990*IF(Settings!$B$23=Settings!$C$6,1,IF(Settings!$B$23="USD",1/INDEX(Settings!$B$29:$B$40,MONTH(A1990)),INDEX(Settings!$B$29:$B$40,MONTH(A1990)))))</f>
        <v/>
      </c>
    </row>
    <row r="1991" customFormat="false" ht="15" hidden="false" customHeight="false" outlineLevel="0" collapsed="false">
      <c r="H1991" s="0" t="str">
        <f aca="false">IF(B1991="","",IF(COUNTIF(Campaigns!$A$7:$A$300,B1991)&gt;0,"✓","⚠ add to Campaigns tab"))</f>
        <v/>
      </c>
      <c r="I1991" s="84" t="str">
        <f aca="false">IF(C1991="","",C1991*IF(Settings!$B$23=Settings!$C$6,1,IF(Settings!$B$23="USD",1/INDEX(Settings!$B$29:$B$40,MONTH(A1991)),INDEX(Settings!$B$29:$B$40,MONTH(A1991)))))</f>
        <v/>
      </c>
    </row>
    <row r="1992" customFormat="false" ht="15" hidden="false" customHeight="false" outlineLevel="0" collapsed="false">
      <c r="H1992" s="0" t="str">
        <f aca="false">IF(B1992="","",IF(COUNTIF(Campaigns!$A$7:$A$300,B1992)&gt;0,"✓","⚠ add to Campaigns tab"))</f>
        <v/>
      </c>
      <c r="I1992" s="84" t="str">
        <f aca="false">IF(C1992="","",C1992*IF(Settings!$B$23=Settings!$C$6,1,IF(Settings!$B$23="USD",1/INDEX(Settings!$B$29:$B$40,MONTH(A1992)),INDEX(Settings!$B$29:$B$40,MONTH(A1992)))))</f>
        <v/>
      </c>
    </row>
    <row r="1993" customFormat="false" ht="15" hidden="false" customHeight="false" outlineLevel="0" collapsed="false">
      <c r="H1993" s="0" t="str">
        <f aca="false">IF(B1993="","",IF(COUNTIF(Campaigns!$A$7:$A$300,B1993)&gt;0,"✓","⚠ add to Campaigns tab"))</f>
        <v/>
      </c>
      <c r="I1993" s="84" t="str">
        <f aca="false">IF(C1993="","",C1993*IF(Settings!$B$23=Settings!$C$6,1,IF(Settings!$B$23="USD",1/INDEX(Settings!$B$29:$B$40,MONTH(A1993)),INDEX(Settings!$B$29:$B$40,MONTH(A1993)))))</f>
        <v/>
      </c>
    </row>
    <row r="1994" customFormat="false" ht="15" hidden="false" customHeight="false" outlineLevel="0" collapsed="false">
      <c r="H1994" s="0" t="str">
        <f aca="false">IF(B1994="","",IF(COUNTIF(Campaigns!$A$7:$A$300,B1994)&gt;0,"✓","⚠ add to Campaigns tab"))</f>
        <v/>
      </c>
      <c r="I1994" s="84" t="str">
        <f aca="false">IF(C1994="","",C1994*IF(Settings!$B$23=Settings!$C$6,1,IF(Settings!$B$23="USD",1/INDEX(Settings!$B$29:$B$40,MONTH(A1994)),INDEX(Settings!$B$29:$B$40,MONTH(A1994)))))</f>
        <v/>
      </c>
    </row>
    <row r="1995" customFormat="false" ht="15" hidden="false" customHeight="false" outlineLevel="0" collapsed="false">
      <c r="H1995" s="0" t="str">
        <f aca="false">IF(B1995="","",IF(COUNTIF(Campaigns!$A$7:$A$300,B1995)&gt;0,"✓","⚠ add to Campaigns tab"))</f>
        <v/>
      </c>
      <c r="I1995" s="84" t="str">
        <f aca="false">IF(C1995="","",C1995*IF(Settings!$B$23=Settings!$C$6,1,IF(Settings!$B$23="USD",1/INDEX(Settings!$B$29:$B$40,MONTH(A1995)),INDEX(Settings!$B$29:$B$40,MONTH(A1995)))))</f>
        <v/>
      </c>
    </row>
    <row r="1996" customFormat="false" ht="15" hidden="false" customHeight="false" outlineLevel="0" collapsed="false">
      <c r="H1996" s="0" t="str">
        <f aca="false">IF(B1996="","",IF(COUNTIF(Campaigns!$A$7:$A$300,B1996)&gt;0,"✓","⚠ add to Campaigns tab"))</f>
        <v/>
      </c>
      <c r="I1996" s="84" t="str">
        <f aca="false">IF(C1996="","",C1996*IF(Settings!$B$23=Settings!$C$6,1,IF(Settings!$B$23="USD",1/INDEX(Settings!$B$29:$B$40,MONTH(A1996)),INDEX(Settings!$B$29:$B$40,MONTH(A1996)))))</f>
        <v/>
      </c>
    </row>
    <row r="1997" customFormat="false" ht="15" hidden="false" customHeight="false" outlineLevel="0" collapsed="false">
      <c r="H1997" s="0" t="str">
        <f aca="false">IF(B1997="","",IF(COUNTIF(Campaigns!$A$7:$A$300,B1997)&gt;0,"✓","⚠ add to Campaigns tab"))</f>
        <v/>
      </c>
      <c r="I1997" s="84" t="str">
        <f aca="false">IF(C1997="","",C1997*IF(Settings!$B$23=Settings!$C$6,1,IF(Settings!$B$23="USD",1/INDEX(Settings!$B$29:$B$40,MONTH(A1997)),INDEX(Settings!$B$29:$B$40,MONTH(A1997)))))</f>
        <v/>
      </c>
    </row>
    <row r="1998" customFormat="false" ht="15" hidden="false" customHeight="false" outlineLevel="0" collapsed="false">
      <c r="H1998" s="0" t="str">
        <f aca="false">IF(B1998="","",IF(COUNTIF(Campaigns!$A$7:$A$300,B1998)&gt;0,"✓","⚠ add to Campaigns tab"))</f>
        <v/>
      </c>
      <c r="I1998" s="84" t="str">
        <f aca="false">IF(C1998="","",C1998*IF(Settings!$B$23=Settings!$C$6,1,IF(Settings!$B$23="USD",1/INDEX(Settings!$B$29:$B$40,MONTH(A1998)),INDEX(Settings!$B$29:$B$40,MONTH(A1998)))))</f>
        <v/>
      </c>
    </row>
    <row r="1999" customFormat="false" ht="15" hidden="false" customHeight="false" outlineLevel="0" collapsed="false">
      <c r="H1999" s="0" t="str">
        <f aca="false">IF(B1999="","",IF(COUNTIF(Campaigns!$A$7:$A$300,B1999)&gt;0,"✓","⚠ add to Campaigns tab"))</f>
        <v/>
      </c>
      <c r="I1999" s="84" t="str">
        <f aca="false">IF(C1999="","",C1999*IF(Settings!$B$23=Settings!$C$6,1,IF(Settings!$B$23="USD",1/INDEX(Settings!$B$29:$B$40,MONTH(A1999)),INDEX(Settings!$B$29:$B$40,MONTH(A1999)))))</f>
        <v/>
      </c>
    </row>
    <row r="2000" customFormat="false" ht="15" hidden="false" customHeight="false" outlineLevel="0" collapsed="false">
      <c r="H2000" s="0" t="str">
        <f aca="false">IF(B2000="","",IF(COUNTIF(Campaigns!$A$7:$A$300,B2000)&gt;0,"✓","⚠ add to Campaigns tab"))</f>
        <v/>
      </c>
      <c r="I2000" s="84" t="str">
        <f aca="false">IF(C2000="","",C2000*IF(Settings!$B$23=Settings!$C$6,1,IF(Settings!$B$23="USD",1/INDEX(Settings!$B$29:$B$40,MONTH(A2000)),INDEX(Settings!$B$29:$B$40,MONTH(A2000)))))</f>
        <v/>
      </c>
    </row>
    <row r="2001" customFormat="false" ht="15" hidden="false" customHeight="false" outlineLevel="0" collapsed="false">
      <c r="H2001" s="0" t="str">
        <f aca="false">IF(B2001="","",IF(COUNTIF(Campaigns!$A$7:$A$300,B2001)&gt;0,"✓","⚠ add to Campaigns tab"))</f>
        <v/>
      </c>
      <c r="I2001" s="84" t="str">
        <f aca="false">IF(C2001="","",C2001*IF(Settings!$B$23=Settings!$C$6,1,IF(Settings!$B$23="USD",1/INDEX(Settings!$B$29:$B$40,MONTH(A2001)),INDEX(Settings!$B$29:$B$40,MONTH(A2001)))))</f>
        <v/>
      </c>
    </row>
    <row r="2002" customFormat="false" ht="15" hidden="false" customHeight="false" outlineLevel="0" collapsed="false">
      <c r="H2002" s="0" t="str">
        <f aca="false">IF(B2002="","",IF(COUNTIF(Campaigns!$A$7:$A$300,B2002)&gt;0,"✓","⚠ add to Campaigns tab"))</f>
        <v/>
      </c>
      <c r="I2002" s="84" t="str">
        <f aca="false">IF(C2002="","",C2002*IF(Settings!$B$23=Settings!$C$6,1,IF(Settings!$B$23="USD",1/INDEX(Settings!$B$29:$B$40,MONTH(A2002)),INDEX(Settings!$B$29:$B$40,MONTH(A2002)))))</f>
        <v/>
      </c>
    </row>
    <row r="2003" customFormat="false" ht="15" hidden="false" customHeight="false" outlineLevel="0" collapsed="false">
      <c r="H2003" s="0" t="str">
        <f aca="false">IF(B2003="","",IF(COUNTIF(Campaigns!$A$7:$A$300,B2003)&gt;0,"✓","⚠ add to Campaigns tab"))</f>
        <v/>
      </c>
      <c r="I2003" s="84" t="str">
        <f aca="false">IF(C2003="","",C2003*IF(Settings!$B$23=Settings!$C$6,1,IF(Settings!$B$23="USD",1/INDEX(Settings!$B$29:$B$40,MONTH(A2003)),INDEX(Settings!$B$29:$B$40,MONTH(A2003)))))</f>
        <v/>
      </c>
    </row>
    <row r="2004" customFormat="false" ht="15" hidden="false" customHeight="false" outlineLevel="0" collapsed="false">
      <c r="H2004" s="0" t="str">
        <f aca="false">IF(B2004="","",IF(COUNTIF(Campaigns!$A$7:$A$300,B2004)&gt;0,"✓","⚠ add to Campaigns tab"))</f>
        <v/>
      </c>
      <c r="I2004" s="84" t="str">
        <f aca="false">IF(C2004="","",C2004*IF(Settings!$B$23=Settings!$C$6,1,IF(Settings!$B$23="USD",1/INDEX(Settings!$B$29:$B$40,MONTH(A2004)),INDEX(Settings!$B$29:$B$40,MONTH(A2004)))))</f>
        <v/>
      </c>
    </row>
    <row r="2005" customFormat="false" ht="15" hidden="false" customHeight="false" outlineLevel="0" collapsed="false">
      <c r="H2005" s="0" t="str">
        <f aca="false">IF(B2005="","",IF(COUNTIF(Campaigns!$A$7:$A$300,B2005)&gt;0,"✓","⚠ add to Campaigns tab"))</f>
        <v/>
      </c>
      <c r="I2005" s="84" t="str">
        <f aca="false">IF(C2005="","",C2005*IF(Settings!$B$23=Settings!$C$6,1,IF(Settings!$B$23="USD",1/INDEX(Settings!$B$29:$B$40,MONTH(A2005)),INDEX(Settings!$B$29:$B$40,MONTH(A2005)))))</f>
        <v/>
      </c>
    </row>
    <row r="2006" customFormat="false" ht="15" hidden="false" customHeight="false" outlineLevel="0" collapsed="false">
      <c r="H2006" s="0" t="str">
        <f aca="false">IF(B2006="","",IF(COUNTIF(Campaigns!$A$7:$A$300,B2006)&gt;0,"✓","⚠ add to Campaigns tab"))</f>
        <v/>
      </c>
      <c r="I2006" s="84" t="str">
        <f aca="false">IF(C2006="","",C2006*IF(Settings!$B$23=Settings!$C$6,1,IF(Settings!$B$23="USD",1/INDEX(Settings!$B$29:$B$40,MONTH(A2006)),INDEX(Settings!$B$29:$B$40,MONTH(A2006)))))</f>
        <v/>
      </c>
    </row>
    <row r="2007" customFormat="false" ht="15" hidden="false" customHeight="false" outlineLevel="0" collapsed="false">
      <c r="H2007" s="0" t="str">
        <f aca="false">IF(B2007="","",IF(COUNTIF(Campaigns!$A$7:$A$300,B2007)&gt;0,"✓","⚠ add to Campaigns tab"))</f>
        <v/>
      </c>
      <c r="I2007" s="84" t="str">
        <f aca="false">IF(C2007="","",C2007*IF(Settings!$B$23=Settings!$C$6,1,IF(Settings!$B$23="USD",1/INDEX(Settings!$B$29:$B$40,MONTH(A2007)),INDEX(Settings!$B$29:$B$40,MONTH(A2007)))))</f>
        <v/>
      </c>
    </row>
    <row r="2008" customFormat="false" ht="15" hidden="false" customHeight="false" outlineLevel="0" collapsed="false">
      <c r="H2008" s="0" t="str">
        <f aca="false">IF(B2008="","",IF(COUNTIF(Campaigns!$A$7:$A$300,B2008)&gt;0,"✓","⚠ add to Campaigns tab"))</f>
        <v/>
      </c>
      <c r="I2008" s="84" t="str">
        <f aca="false">IF(C2008="","",C2008*IF(Settings!$B$23=Settings!$C$6,1,IF(Settings!$B$23="USD",1/INDEX(Settings!$B$29:$B$40,MONTH(A2008)),INDEX(Settings!$B$29:$B$40,MONTH(A2008)))))</f>
        <v/>
      </c>
    </row>
    <row r="2009" customFormat="false" ht="15" hidden="false" customHeight="false" outlineLevel="0" collapsed="false">
      <c r="H2009" s="0" t="str">
        <f aca="false">IF(B2009="","",IF(COUNTIF(Campaigns!$A$7:$A$300,B2009)&gt;0,"✓","⚠ add to Campaigns tab"))</f>
        <v/>
      </c>
      <c r="I2009" s="84" t="str">
        <f aca="false">IF(C2009="","",C2009*IF(Settings!$B$23=Settings!$C$6,1,IF(Settings!$B$23="USD",1/INDEX(Settings!$B$29:$B$40,MONTH(A2009)),INDEX(Settings!$B$29:$B$40,MONTH(A2009)))))</f>
        <v/>
      </c>
    </row>
    <row r="2010" customFormat="false" ht="15" hidden="false" customHeight="false" outlineLevel="0" collapsed="false">
      <c r="H2010" s="0" t="str">
        <f aca="false">IF(B2010="","",IF(COUNTIF(Campaigns!$A$7:$A$300,B2010)&gt;0,"✓","⚠ add to Campaigns tab"))</f>
        <v/>
      </c>
      <c r="I2010" s="84" t="str">
        <f aca="false">IF(C2010="","",C2010*IF(Settings!$B$23=Settings!$C$6,1,IF(Settings!$B$23="USD",1/INDEX(Settings!$B$29:$B$40,MONTH(A2010)),INDEX(Settings!$B$29:$B$40,MONTH(A2010)))))</f>
        <v/>
      </c>
    </row>
    <row r="2011" customFormat="false" ht="15" hidden="false" customHeight="false" outlineLevel="0" collapsed="false">
      <c r="H2011" s="0" t="str">
        <f aca="false">IF(B2011="","",IF(COUNTIF(Campaigns!$A$7:$A$300,B2011)&gt;0,"✓","⚠ add to Campaigns tab"))</f>
        <v/>
      </c>
      <c r="I2011" s="84" t="str">
        <f aca="false">IF(C2011="","",C2011*IF(Settings!$B$23=Settings!$C$6,1,IF(Settings!$B$23="USD",1/INDEX(Settings!$B$29:$B$40,MONTH(A2011)),INDEX(Settings!$B$29:$B$40,MONTH(A2011)))))</f>
        <v/>
      </c>
    </row>
    <row r="2012" customFormat="false" ht="15" hidden="false" customHeight="false" outlineLevel="0" collapsed="false">
      <c r="H2012" s="0" t="str">
        <f aca="false">IF(B2012="","",IF(COUNTIF(Campaigns!$A$7:$A$300,B2012)&gt;0,"✓","⚠ add to Campaigns tab"))</f>
        <v/>
      </c>
      <c r="I2012" s="84" t="str">
        <f aca="false">IF(C2012="","",C2012*IF(Settings!$B$23=Settings!$C$6,1,IF(Settings!$B$23="USD",1/INDEX(Settings!$B$29:$B$40,MONTH(A2012)),INDEX(Settings!$B$29:$B$40,MONTH(A2012)))))</f>
        <v/>
      </c>
    </row>
    <row r="2013" customFormat="false" ht="15" hidden="false" customHeight="false" outlineLevel="0" collapsed="false">
      <c r="H2013" s="0" t="str">
        <f aca="false">IF(B2013="","",IF(COUNTIF(Campaigns!$A$7:$A$300,B2013)&gt;0,"✓","⚠ add to Campaigns tab"))</f>
        <v/>
      </c>
      <c r="I2013" s="84" t="str">
        <f aca="false">IF(C2013="","",C2013*IF(Settings!$B$23=Settings!$C$6,1,IF(Settings!$B$23="USD",1/INDEX(Settings!$B$29:$B$40,MONTH(A2013)),INDEX(Settings!$B$29:$B$40,MONTH(A2013)))))</f>
        <v/>
      </c>
    </row>
    <row r="2014" customFormat="false" ht="15" hidden="false" customHeight="false" outlineLevel="0" collapsed="false">
      <c r="H2014" s="0" t="str">
        <f aca="false">IF(B2014="","",IF(COUNTIF(Campaigns!$A$7:$A$300,B2014)&gt;0,"✓","⚠ add to Campaigns tab"))</f>
        <v/>
      </c>
      <c r="I2014" s="84" t="str">
        <f aca="false">IF(C2014="","",C2014*IF(Settings!$B$23=Settings!$C$6,1,IF(Settings!$B$23="USD",1/INDEX(Settings!$B$29:$B$40,MONTH(A2014)),INDEX(Settings!$B$29:$B$40,MONTH(A2014)))))</f>
        <v/>
      </c>
    </row>
    <row r="2015" customFormat="false" ht="15" hidden="false" customHeight="false" outlineLevel="0" collapsed="false">
      <c r="H2015" s="0" t="str">
        <f aca="false">IF(B2015="","",IF(COUNTIF(Campaigns!$A$7:$A$300,B2015)&gt;0,"✓","⚠ add to Campaigns tab"))</f>
        <v/>
      </c>
      <c r="I2015" s="84" t="str">
        <f aca="false">IF(C2015="","",C2015*IF(Settings!$B$23=Settings!$C$6,1,IF(Settings!$B$23="USD",1/INDEX(Settings!$B$29:$B$40,MONTH(A2015)),INDEX(Settings!$B$29:$B$40,MONTH(A2015)))))</f>
        <v/>
      </c>
    </row>
    <row r="2016" customFormat="false" ht="15" hidden="false" customHeight="false" outlineLevel="0" collapsed="false">
      <c r="H2016" s="0" t="str">
        <f aca="false">IF(B2016="","",IF(COUNTIF(Campaigns!$A$7:$A$300,B2016)&gt;0,"✓","⚠ add to Campaigns tab"))</f>
        <v/>
      </c>
      <c r="I2016" s="84" t="str">
        <f aca="false">IF(C2016="","",C2016*IF(Settings!$B$23=Settings!$C$6,1,IF(Settings!$B$23="USD",1/INDEX(Settings!$B$29:$B$40,MONTH(A2016)),INDEX(Settings!$B$29:$B$40,MONTH(A2016)))))</f>
        <v/>
      </c>
    </row>
    <row r="2017" customFormat="false" ht="15" hidden="false" customHeight="false" outlineLevel="0" collapsed="false">
      <c r="H2017" s="0" t="str">
        <f aca="false">IF(B2017="","",IF(COUNTIF(Campaigns!$A$7:$A$300,B2017)&gt;0,"✓","⚠ add to Campaigns tab"))</f>
        <v/>
      </c>
      <c r="I2017" s="84" t="str">
        <f aca="false">IF(C2017="","",C2017*IF(Settings!$B$23=Settings!$C$6,1,IF(Settings!$B$23="USD",1/INDEX(Settings!$B$29:$B$40,MONTH(A2017)),INDEX(Settings!$B$29:$B$40,MONTH(A2017)))))</f>
        <v/>
      </c>
    </row>
    <row r="2018" customFormat="false" ht="15" hidden="false" customHeight="false" outlineLevel="0" collapsed="false">
      <c r="H2018" s="0" t="str">
        <f aca="false">IF(B2018="","",IF(COUNTIF(Campaigns!$A$7:$A$300,B2018)&gt;0,"✓","⚠ add to Campaigns tab"))</f>
        <v/>
      </c>
      <c r="I2018" s="84" t="str">
        <f aca="false">IF(C2018="","",C2018*IF(Settings!$B$23=Settings!$C$6,1,IF(Settings!$B$23="USD",1/INDEX(Settings!$B$29:$B$40,MONTH(A2018)),INDEX(Settings!$B$29:$B$40,MONTH(A2018)))))</f>
        <v/>
      </c>
    </row>
    <row r="2019" customFormat="false" ht="15" hidden="false" customHeight="false" outlineLevel="0" collapsed="false">
      <c r="H2019" s="0" t="str">
        <f aca="false">IF(B2019="","",IF(COUNTIF(Campaigns!$A$7:$A$300,B2019)&gt;0,"✓","⚠ add to Campaigns tab"))</f>
        <v/>
      </c>
      <c r="I2019" s="84" t="str">
        <f aca="false">IF(C2019="","",C2019*IF(Settings!$B$23=Settings!$C$6,1,IF(Settings!$B$23="USD",1/INDEX(Settings!$B$29:$B$40,MONTH(A2019)),INDEX(Settings!$B$29:$B$40,MONTH(A2019)))))</f>
        <v/>
      </c>
    </row>
    <row r="2020" customFormat="false" ht="15" hidden="false" customHeight="false" outlineLevel="0" collapsed="false">
      <c r="H2020" s="0" t="str">
        <f aca="false">IF(B2020="","",IF(COUNTIF(Campaigns!$A$7:$A$300,B2020)&gt;0,"✓","⚠ add to Campaigns tab"))</f>
        <v/>
      </c>
      <c r="I2020" s="84" t="str">
        <f aca="false">IF(C2020="","",C2020*IF(Settings!$B$23=Settings!$C$6,1,IF(Settings!$B$23="USD",1/INDEX(Settings!$B$29:$B$40,MONTH(A2020)),INDEX(Settings!$B$29:$B$40,MONTH(A2020)))))</f>
        <v/>
      </c>
    </row>
    <row r="2021" customFormat="false" ht="15" hidden="false" customHeight="false" outlineLevel="0" collapsed="false">
      <c r="H2021" s="0" t="str">
        <f aca="false">IF(B2021="","",IF(COUNTIF(Campaigns!$A$7:$A$300,B2021)&gt;0,"✓","⚠ add to Campaigns tab"))</f>
        <v/>
      </c>
      <c r="I2021" s="84" t="str">
        <f aca="false">IF(C2021="","",C2021*IF(Settings!$B$23=Settings!$C$6,1,IF(Settings!$B$23="USD",1/INDEX(Settings!$B$29:$B$40,MONTH(A2021)),INDEX(Settings!$B$29:$B$40,MONTH(A2021)))))</f>
        <v/>
      </c>
    </row>
    <row r="2022" customFormat="false" ht="15" hidden="false" customHeight="false" outlineLevel="0" collapsed="false">
      <c r="H2022" s="0" t="str">
        <f aca="false">IF(B2022="","",IF(COUNTIF(Campaigns!$A$7:$A$300,B2022)&gt;0,"✓","⚠ add to Campaigns tab"))</f>
        <v/>
      </c>
      <c r="I2022" s="84" t="str">
        <f aca="false">IF(C2022="","",C2022*IF(Settings!$B$23=Settings!$C$6,1,IF(Settings!$B$23="USD",1/INDEX(Settings!$B$29:$B$40,MONTH(A2022)),INDEX(Settings!$B$29:$B$40,MONTH(A2022)))))</f>
        <v/>
      </c>
    </row>
    <row r="2023" customFormat="false" ht="15" hidden="false" customHeight="false" outlineLevel="0" collapsed="false">
      <c r="H2023" s="0" t="str">
        <f aca="false">IF(B2023="","",IF(COUNTIF(Campaigns!$A$7:$A$300,B2023)&gt;0,"✓","⚠ add to Campaigns tab"))</f>
        <v/>
      </c>
      <c r="I2023" s="84" t="str">
        <f aca="false">IF(C2023="","",C2023*IF(Settings!$B$23=Settings!$C$6,1,IF(Settings!$B$23="USD",1/INDEX(Settings!$B$29:$B$40,MONTH(A2023)),INDEX(Settings!$B$29:$B$40,MONTH(A2023)))))</f>
        <v/>
      </c>
    </row>
    <row r="2024" customFormat="false" ht="15" hidden="false" customHeight="false" outlineLevel="0" collapsed="false">
      <c r="H2024" s="0" t="str">
        <f aca="false">IF(B2024="","",IF(COUNTIF(Campaigns!$A$7:$A$300,B2024)&gt;0,"✓","⚠ add to Campaigns tab"))</f>
        <v/>
      </c>
      <c r="I2024" s="84" t="str">
        <f aca="false">IF(C2024="","",C2024*IF(Settings!$B$23=Settings!$C$6,1,IF(Settings!$B$23="USD",1/INDEX(Settings!$B$29:$B$40,MONTH(A2024)),INDEX(Settings!$B$29:$B$40,MONTH(A2024)))))</f>
        <v/>
      </c>
    </row>
    <row r="2025" customFormat="false" ht="15" hidden="false" customHeight="false" outlineLevel="0" collapsed="false">
      <c r="H2025" s="0" t="str">
        <f aca="false">IF(B2025="","",IF(COUNTIF(Campaigns!$A$7:$A$300,B2025)&gt;0,"✓","⚠ add to Campaigns tab"))</f>
        <v/>
      </c>
      <c r="I2025" s="84" t="str">
        <f aca="false">IF(C2025="","",C2025*IF(Settings!$B$23=Settings!$C$6,1,IF(Settings!$B$23="USD",1/INDEX(Settings!$B$29:$B$40,MONTH(A2025)),INDEX(Settings!$B$29:$B$40,MONTH(A2025)))))</f>
        <v/>
      </c>
    </row>
    <row r="2026" customFormat="false" ht="15" hidden="false" customHeight="false" outlineLevel="0" collapsed="false">
      <c r="H2026" s="0" t="str">
        <f aca="false">IF(B2026="","",IF(COUNTIF(Campaigns!$A$7:$A$300,B2026)&gt;0,"✓","⚠ add to Campaigns tab"))</f>
        <v/>
      </c>
      <c r="I2026" s="84" t="str">
        <f aca="false">IF(C2026="","",C2026*IF(Settings!$B$23=Settings!$C$6,1,IF(Settings!$B$23="USD",1/INDEX(Settings!$B$29:$B$40,MONTH(A2026)),INDEX(Settings!$B$29:$B$40,MONTH(A2026)))))</f>
        <v/>
      </c>
    </row>
    <row r="2027" customFormat="false" ht="15" hidden="false" customHeight="false" outlineLevel="0" collapsed="false">
      <c r="H2027" s="0" t="str">
        <f aca="false">IF(B2027="","",IF(COUNTIF(Campaigns!$A$7:$A$300,B2027)&gt;0,"✓","⚠ add to Campaigns tab"))</f>
        <v/>
      </c>
      <c r="I2027" s="84" t="str">
        <f aca="false">IF(C2027="","",C2027*IF(Settings!$B$23=Settings!$C$6,1,IF(Settings!$B$23="USD",1/INDEX(Settings!$B$29:$B$40,MONTH(A2027)),INDEX(Settings!$B$29:$B$40,MONTH(A2027)))))</f>
        <v/>
      </c>
    </row>
    <row r="2028" customFormat="false" ht="15" hidden="false" customHeight="false" outlineLevel="0" collapsed="false">
      <c r="H2028" s="0" t="str">
        <f aca="false">IF(B2028="","",IF(COUNTIF(Campaigns!$A$7:$A$300,B2028)&gt;0,"✓","⚠ add to Campaigns tab"))</f>
        <v/>
      </c>
      <c r="I2028" s="84" t="str">
        <f aca="false">IF(C2028="","",C2028*IF(Settings!$B$23=Settings!$C$6,1,IF(Settings!$B$23="USD",1/INDEX(Settings!$B$29:$B$40,MONTH(A2028)),INDEX(Settings!$B$29:$B$40,MONTH(A2028)))))</f>
        <v/>
      </c>
    </row>
    <row r="2029" customFormat="false" ht="15" hidden="false" customHeight="false" outlineLevel="0" collapsed="false">
      <c r="H2029" s="0" t="str">
        <f aca="false">IF(B2029="","",IF(COUNTIF(Campaigns!$A$7:$A$300,B2029)&gt;0,"✓","⚠ add to Campaigns tab"))</f>
        <v/>
      </c>
      <c r="I2029" s="84" t="str">
        <f aca="false">IF(C2029="","",C2029*IF(Settings!$B$23=Settings!$C$6,1,IF(Settings!$B$23="USD",1/INDEX(Settings!$B$29:$B$40,MONTH(A2029)),INDEX(Settings!$B$29:$B$40,MONTH(A2029)))))</f>
        <v/>
      </c>
    </row>
    <row r="2030" customFormat="false" ht="15" hidden="false" customHeight="false" outlineLevel="0" collapsed="false">
      <c r="H2030" s="0" t="str">
        <f aca="false">IF(B2030="","",IF(COUNTIF(Campaigns!$A$7:$A$300,B2030)&gt;0,"✓","⚠ add to Campaigns tab"))</f>
        <v/>
      </c>
      <c r="I2030" s="84" t="str">
        <f aca="false">IF(C2030="","",C2030*IF(Settings!$B$23=Settings!$C$6,1,IF(Settings!$B$23="USD",1/INDEX(Settings!$B$29:$B$40,MONTH(A2030)),INDEX(Settings!$B$29:$B$40,MONTH(A2030)))))</f>
        <v/>
      </c>
    </row>
    <row r="2031" customFormat="false" ht="15" hidden="false" customHeight="false" outlineLevel="0" collapsed="false">
      <c r="H2031" s="0" t="str">
        <f aca="false">IF(B2031="","",IF(COUNTIF(Campaigns!$A$7:$A$300,B2031)&gt;0,"✓","⚠ add to Campaigns tab"))</f>
        <v/>
      </c>
      <c r="I2031" s="84" t="str">
        <f aca="false">IF(C2031="","",C2031*IF(Settings!$B$23=Settings!$C$6,1,IF(Settings!$B$23="USD",1/INDEX(Settings!$B$29:$B$40,MONTH(A2031)),INDEX(Settings!$B$29:$B$40,MONTH(A2031)))))</f>
        <v/>
      </c>
    </row>
    <row r="2032" customFormat="false" ht="15" hidden="false" customHeight="false" outlineLevel="0" collapsed="false">
      <c r="H2032" s="0" t="str">
        <f aca="false">IF(B2032="","",IF(COUNTIF(Campaigns!$A$7:$A$300,B2032)&gt;0,"✓","⚠ add to Campaigns tab"))</f>
        <v/>
      </c>
      <c r="I2032" s="84" t="str">
        <f aca="false">IF(C2032="","",C2032*IF(Settings!$B$23=Settings!$C$6,1,IF(Settings!$B$23="USD",1/INDEX(Settings!$B$29:$B$40,MONTH(A2032)),INDEX(Settings!$B$29:$B$40,MONTH(A2032)))))</f>
        <v/>
      </c>
    </row>
    <row r="2033" customFormat="false" ht="15" hidden="false" customHeight="false" outlineLevel="0" collapsed="false">
      <c r="H2033" s="0" t="str">
        <f aca="false">IF(B2033="","",IF(COUNTIF(Campaigns!$A$7:$A$300,B2033)&gt;0,"✓","⚠ add to Campaigns tab"))</f>
        <v/>
      </c>
      <c r="I2033" s="84" t="str">
        <f aca="false">IF(C2033="","",C2033*IF(Settings!$B$23=Settings!$C$6,1,IF(Settings!$B$23="USD",1/INDEX(Settings!$B$29:$B$40,MONTH(A2033)),INDEX(Settings!$B$29:$B$40,MONTH(A2033)))))</f>
        <v/>
      </c>
    </row>
    <row r="2034" customFormat="false" ht="15" hidden="false" customHeight="false" outlineLevel="0" collapsed="false">
      <c r="H2034" s="0" t="str">
        <f aca="false">IF(B2034="","",IF(COUNTIF(Campaigns!$A$7:$A$300,B2034)&gt;0,"✓","⚠ add to Campaigns tab"))</f>
        <v/>
      </c>
      <c r="I2034" s="84" t="str">
        <f aca="false">IF(C2034="","",C2034*IF(Settings!$B$23=Settings!$C$6,1,IF(Settings!$B$23="USD",1/INDEX(Settings!$B$29:$B$40,MONTH(A2034)),INDEX(Settings!$B$29:$B$40,MONTH(A2034)))))</f>
        <v/>
      </c>
    </row>
    <row r="2035" customFormat="false" ht="15" hidden="false" customHeight="false" outlineLevel="0" collapsed="false">
      <c r="H2035" s="0" t="str">
        <f aca="false">IF(B2035="","",IF(COUNTIF(Campaigns!$A$7:$A$300,B2035)&gt;0,"✓","⚠ add to Campaigns tab"))</f>
        <v/>
      </c>
      <c r="I2035" s="84" t="str">
        <f aca="false">IF(C2035="","",C2035*IF(Settings!$B$23=Settings!$C$6,1,IF(Settings!$B$23="USD",1/INDEX(Settings!$B$29:$B$40,MONTH(A2035)),INDEX(Settings!$B$29:$B$40,MONTH(A2035)))))</f>
        <v/>
      </c>
    </row>
    <row r="2036" customFormat="false" ht="15" hidden="false" customHeight="false" outlineLevel="0" collapsed="false">
      <c r="H2036" s="0" t="str">
        <f aca="false">IF(B2036="","",IF(COUNTIF(Campaigns!$A$7:$A$300,B2036)&gt;0,"✓","⚠ add to Campaigns tab"))</f>
        <v/>
      </c>
      <c r="I2036" s="84" t="str">
        <f aca="false">IF(C2036="","",C2036*IF(Settings!$B$23=Settings!$C$6,1,IF(Settings!$B$23="USD",1/INDEX(Settings!$B$29:$B$40,MONTH(A2036)),INDEX(Settings!$B$29:$B$40,MONTH(A2036)))))</f>
        <v/>
      </c>
    </row>
    <row r="2037" customFormat="false" ht="15" hidden="false" customHeight="false" outlineLevel="0" collapsed="false">
      <c r="H2037" s="0" t="str">
        <f aca="false">IF(B2037="","",IF(COUNTIF(Campaigns!$A$7:$A$300,B2037)&gt;0,"✓","⚠ add to Campaigns tab"))</f>
        <v/>
      </c>
      <c r="I2037" s="84" t="str">
        <f aca="false">IF(C2037="","",C2037*IF(Settings!$B$23=Settings!$C$6,1,IF(Settings!$B$23="USD",1/INDEX(Settings!$B$29:$B$40,MONTH(A2037)),INDEX(Settings!$B$29:$B$40,MONTH(A2037)))))</f>
        <v/>
      </c>
    </row>
    <row r="2038" customFormat="false" ht="15" hidden="false" customHeight="false" outlineLevel="0" collapsed="false">
      <c r="H2038" s="0" t="str">
        <f aca="false">IF(B2038="","",IF(COUNTIF(Campaigns!$A$7:$A$300,B2038)&gt;0,"✓","⚠ add to Campaigns tab"))</f>
        <v/>
      </c>
      <c r="I2038" s="84" t="str">
        <f aca="false">IF(C2038="","",C2038*IF(Settings!$B$23=Settings!$C$6,1,IF(Settings!$B$23="USD",1/INDEX(Settings!$B$29:$B$40,MONTH(A2038)),INDEX(Settings!$B$29:$B$40,MONTH(A2038)))))</f>
        <v/>
      </c>
    </row>
    <row r="2039" customFormat="false" ht="15" hidden="false" customHeight="false" outlineLevel="0" collapsed="false">
      <c r="H2039" s="0" t="str">
        <f aca="false">IF(B2039="","",IF(COUNTIF(Campaigns!$A$7:$A$300,B2039)&gt;0,"✓","⚠ add to Campaigns tab"))</f>
        <v/>
      </c>
      <c r="I2039" s="84" t="str">
        <f aca="false">IF(C2039="","",C2039*IF(Settings!$B$23=Settings!$C$6,1,IF(Settings!$B$23="USD",1/INDEX(Settings!$B$29:$B$40,MONTH(A2039)),INDEX(Settings!$B$29:$B$40,MONTH(A2039)))))</f>
        <v/>
      </c>
    </row>
    <row r="2040" customFormat="false" ht="15" hidden="false" customHeight="false" outlineLevel="0" collapsed="false">
      <c r="H2040" s="0" t="str">
        <f aca="false">IF(B2040="","",IF(COUNTIF(Campaigns!$A$7:$A$300,B2040)&gt;0,"✓","⚠ add to Campaigns tab"))</f>
        <v/>
      </c>
      <c r="I2040" s="84" t="str">
        <f aca="false">IF(C2040="","",C2040*IF(Settings!$B$23=Settings!$C$6,1,IF(Settings!$B$23="USD",1/INDEX(Settings!$B$29:$B$40,MONTH(A2040)),INDEX(Settings!$B$29:$B$40,MONTH(A2040)))))</f>
        <v/>
      </c>
    </row>
    <row r="2041" customFormat="false" ht="15" hidden="false" customHeight="false" outlineLevel="0" collapsed="false">
      <c r="H2041" s="0" t="str">
        <f aca="false">IF(B2041="","",IF(COUNTIF(Campaigns!$A$7:$A$300,B2041)&gt;0,"✓","⚠ add to Campaigns tab"))</f>
        <v/>
      </c>
      <c r="I2041" s="84" t="str">
        <f aca="false">IF(C2041="","",C2041*IF(Settings!$B$23=Settings!$C$6,1,IF(Settings!$B$23="USD",1/INDEX(Settings!$B$29:$B$40,MONTH(A2041)),INDEX(Settings!$B$29:$B$40,MONTH(A2041)))))</f>
        <v/>
      </c>
    </row>
    <row r="2042" customFormat="false" ht="15" hidden="false" customHeight="false" outlineLevel="0" collapsed="false">
      <c r="H2042" s="0" t="str">
        <f aca="false">IF(B2042="","",IF(COUNTIF(Campaigns!$A$7:$A$300,B2042)&gt;0,"✓","⚠ add to Campaigns tab"))</f>
        <v/>
      </c>
      <c r="I2042" s="84" t="str">
        <f aca="false">IF(C2042="","",C2042*IF(Settings!$B$23=Settings!$C$6,1,IF(Settings!$B$23="USD",1/INDEX(Settings!$B$29:$B$40,MONTH(A2042)),INDEX(Settings!$B$29:$B$40,MONTH(A2042)))))</f>
        <v/>
      </c>
    </row>
    <row r="2043" customFormat="false" ht="15" hidden="false" customHeight="false" outlineLevel="0" collapsed="false">
      <c r="H2043" s="0" t="str">
        <f aca="false">IF(B2043="","",IF(COUNTIF(Campaigns!$A$7:$A$300,B2043)&gt;0,"✓","⚠ add to Campaigns tab"))</f>
        <v/>
      </c>
      <c r="I2043" s="84" t="str">
        <f aca="false">IF(C2043="","",C2043*IF(Settings!$B$23=Settings!$C$6,1,IF(Settings!$B$23="USD",1/INDEX(Settings!$B$29:$B$40,MONTH(A2043)),INDEX(Settings!$B$29:$B$40,MONTH(A2043)))))</f>
        <v/>
      </c>
    </row>
    <row r="2044" customFormat="false" ht="15" hidden="false" customHeight="false" outlineLevel="0" collapsed="false">
      <c r="H2044" s="0" t="str">
        <f aca="false">IF(B2044="","",IF(COUNTIF(Campaigns!$A$7:$A$300,B2044)&gt;0,"✓","⚠ add to Campaigns tab"))</f>
        <v/>
      </c>
      <c r="I2044" s="84" t="str">
        <f aca="false">IF(C2044="","",C2044*IF(Settings!$B$23=Settings!$C$6,1,IF(Settings!$B$23="USD",1/INDEX(Settings!$B$29:$B$40,MONTH(A2044)),INDEX(Settings!$B$29:$B$40,MONTH(A2044)))))</f>
        <v/>
      </c>
    </row>
    <row r="2045" customFormat="false" ht="15" hidden="false" customHeight="false" outlineLevel="0" collapsed="false">
      <c r="H2045" s="0" t="str">
        <f aca="false">IF(B2045="","",IF(COUNTIF(Campaigns!$A$7:$A$300,B2045)&gt;0,"✓","⚠ add to Campaigns tab"))</f>
        <v/>
      </c>
      <c r="I2045" s="84" t="str">
        <f aca="false">IF(C2045="","",C2045*IF(Settings!$B$23=Settings!$C$6,1,IF(Settings!$B$23="USD",1/INDEX(Settings!$B$29:$B$40,MONTH(A2045)),INDEX(Settings!$B$29:$B$40,MONTH(A2045)))))</f>
        <v/>
      </c>
    </row>
    <row r="2046" customFormat="false" ht="15" hidden="false" customHeight="false" outlineLevel="0" collapsed="false">
      <c r="H2046" s="0" t="str">
        <f aca="false">IF(B2046="","",IF(COUNTIF(Campaigns!$A$7:$A$300,B2046)&gt;0,"✓","⚠ add to Campaigns tab"))</f>
        <v/>
      </c>
      <c r="I2046" s="84" t="str">
        <f aca="false">IF(C2046="","",C2046*IF(Settings!$B$23=Settings!$C$6,1,IF(Settings!$B$23="USD",1/INDEX(Settings!$B$29:$B$40,MONTH(A2046)),INDEX(Settings!$B$29:$B$40,MONTH(A2046)))))</f>
        <v/>
      </c>
    </row>
    <row r="2047" customFormat="false" ht="15" hidden="false" customHeight="false" outlineLevel="0" collapsed="false">
      <c r="H2047" s="0" t="str">
        <f aca="false">IF(B2047="","",IF(COUNTIF(Campaigns!$A$7:$A$300,B2047)&gt;0,"✓","⚠ add to Campaigns tab"))</f>
        <v/>
      </c>
      <c r="I2047" s="84" t="str">
        <f aca="false">IF(C2047="","",C2047*IF(Settings!$B$23=Settings!$C$6,1,IF(Settings!$B$23="USD",1/INDEX(Settings!$B$29:$B$40,MONTH(A2047)),INDEX(Settings!$B$29:$B$40,MONTH(A2047)))))</f>
        <v/>
      </c>
    </row>
    <row r="2048" customFormat="false" ht="15" hidden="false" customHeight="false" outlineLevel="0" collapsed="false">
      <c r="H2048" s="0" t="str">
        <f aca="false">IF(B2048="","",IF(COUNTIF(Campaigns!$A$7:$A$300,B2048)&gt;0,"✓","⚠ add to Campaigns tab"))</f>
        <v/>
      </c>
      <c r="I2048" s="84" t="str">
        <f aca="false">IF(C2048="","",C2048*IF(Settings!$B$23=Settings!$C$6,1,IF(Settings!$B$23="USD",1/INDEX(Settings!$B$29:$B$40,MONTH(A2048)),INDEX(Settings!$B$29:$B$40,MONTH(A2048)))))</f>
        <v/>
      </c>
    </row>
    <row r="2049" customFormat="false" ht="15" hidden="false" customHeight="false" outlineLevel="0" collapsed="false">
      <c r="H2049" s="0" t="str">
        <f aca="false">IF(B2049="","",IF(COUNTIF(Campaigns!$A$7:$A$300,B2049)&gt;0,"✓","⚠ add to Campaigns tab"))</f>
        <v/>
      </c>
      <c r="I2049" s="84" t="str">
        <f aca="false">IF(C2049="","",C2049*IF(Settings!$B$23=Settings!$C$6,1,IF(Settings!$B$23="USD",1/INDEX(Settings!$B$29:$B$40,MONTH(A2049)),INDEX(Settings!$B$29:$B$40,MONTH(A2049)))))</f>
        <v/>
      </c>
    </row>
    <row r="2050" customFormat="false" ht="15" hidden="false" customHeight="false" outlineLevel="0" collapsed="false">
      <c r="H2050" s="0" t="str">
        <f aca="false">IF(B2050="","",IF(COUNTIF(Campaigns!$A$7:$A$300,B2050)&gt;0,"✓","⚠ add to Campaigns tab"))</f>
        <v/>
      </c>
      <c r="I2050" s="84" t="str">
        <f aca="false">IF(C2050="","",C2050*IF(Settings!$B$23=Settings!$C$6,1,IF(Settings!$B$23="USD",1/INDEX(Settings!$B$29:$B$40,MONTH(A2050)),INDEX(Settings!$B$29:$B$40,MONTH(A2050)))))</f>
        <v/>
      </c>
    </row>
    <row r="2051" customFormat="false" ht="15" hidden="false" customHeight="false" outlineLevel="0" collapsed="false">
      <c r="H2051" s="0" t="str">
        <f aca="false">IF(B2051="","",IF(COUNTIF(Campaigns!$A$7:$A$300,B2051)&gt;0,"✓","⚠ add to Campaigns tab"))</f>
        <v/>
      </c>
      <c r="I2051" s="84" t="str">
        <f aca="false">IF(C2051="","",C2051*IF(Settings!$B$23=Settings!$C$6,1,IF(Settings!$B$23="USD",1/INDEX(Settings!$B$29:$B$40,MONTH(A2051)),INDEX(Settings!$B$29:$B$40,MONTH(A2051)))))</f>
        <v/>
      </c>
    </row>
    <row r="2052" customFormat="false" ht="15" hidden="false" customHeight="false" outlineLevel="0" collapsed="false">
      <c r="H2052" s="0" t="str">
        <f aca="false">IF(B2052="","",IF(COUNTIF(Campaigns!$A$7:$A$300,B2052)&gt;0,"✓","⚠ add to Campaigns tab"))</f>
        <v/>
      </c>
      <c r="I2052" s="84" t="str">
        <f aca="false">IF(C2052="","",C2052*IF(Settings!$B$23=Settings!$C$6,1,IF(Settings!$B$23="USD",1/INDEX(Settings!$B$29:$B$40,MONTH(A2052)),INDEX(Settings!$B$29:$B$40,MONTH(A2052)))))</f>
        <v/>
      </c>
    </row>
    <row r="2053" customFormat="false" ht="15" hidden="false" customHeight="false" outlineLevel="0" collapsed="false">
      <c r="H2053" s="0" t="str">
        <f aca="false">IF(B2053="","",IF(COUNTIF(Campaigns!$A$7:$A$300,B2053)&gt;0,"✓","⚠ add to Campaigns tab"))</f>
        <v/>
      </c>
      <c r="I2053" s="84" t="str">
        <f aca="false">IF(C2053="","",C2053*IF(Settings!$B$23=Settings!$C$6,1,IF(Settings!$B$23="USD",1/INDEX(Settings!$B$29:$B$40,MONTH(A2053)),INDEX(Settings!$B$29:$B$40,MONTH(A2053)))))</f>
        <v/>
      </c>
    </row>
    <row r="2054" customFormat="false" ht="15" hidden="false" customHeight="false" outlineLevel="0" collapsed="false">
      <c r="H2054" s="0" t="str">
        <f aca="false">IF(B2054="","",IF(COUNTIF(Campaigns!$A$7:$A$300,B2054)&gt;0,"✓","⚠ add to Campaigns tab"))</f>
        <v/>
      </c>
      <c r="I2054" s="84" t="str">
        <f aca="false">IF(C2054="","",C2054*IF(Settings!$B$23=Settings!$C$6,1,IF(Settings!$B$23="USD",1/INDEX(Settings!$B$29:$B$40,MONTH(A2054)),INDEX(Settings!$B$29:$B$40,MONTH(A2054)))))</f>
        <v/>
      </c>
    </row>
    <row r="2055" customFormat="false" ht="15" hidden="false" customHeight="false" outlineLevel="0" collapsed="false">
      <c r="H2055" s="0" t="str">
        <f aca="false">IF(B2055="","",IF(COUNTIF(Campaigns!$A$7:$A$300,B2055)&gt;0,"✓","⚠ add to Campaigns tab"))</f>
        <v/>
      </c>
      <c r="I2055" s="84" t="str">
        <f aca="false">IF(C2055="","",C2055*IF(Settings!$B$23=Settings!$C$6,1,IF(Settings!$B$23="USD",1/INDEX(Settings!$B$29:$B$40,MONTH(A2055)),INDEX(Settings!$B$29:$B$40,MONTH(A2055)))))</f>
        <v/>
      </c>
    </row>
    <row r="2056" customFormat="false" ht="15" hidden="false" customHeight="false" outlineLevel="0" collapsed="false">
      <c r="H2056" s="0" t="str">
        <f aca="false">IF(B2056="","",IF(COUNTIF(Campaigns!$A$7:$A$300,B2056)&gt;0,"✓","⚠ add to Campaigns tab"))</f>
        <v/>
      </c>
      <c r="I2056" s="84" t="str">
        <f aca="false">IF(C2056="","",C2056*IF(Settings!$B$23=Settings!$C$6,1,IF(Settings!$B$23="USD",1/INDEX(Settings!$B$29:$B$40,MONTH(A2056)),INDEX(Settings!$B$29:$B$40,MONTH(A2056)))))</f>
        <v/>
      </c>
    </row>
    <row r="2057" customFormat="false" ht="15" hidden="false" customHeight="false" outlineLevel="0" collapsed="false">
      <c r="H2057" s="0" t="str">
        <f aca="false">IF(B2057="","",IF(COUNTIF(Campaigns!$A$7:$A$300,B2057)&gt;0,"✓","⚠ add to Campaigns tab"))</f>
        <v/>
      </c>
      <c r="I2057" s="84" t="str">
        <f aca="false">IF(C2057="","",C2057*IF(Settings!$B$23=Settings!$C$6,1,IF(Settings!$B$23="USD",1/INDEX(Settings!$B$29:$B$40,MONTH(A2057)),INDEX(Settings!$B$29:$B$40,MONTH(A2057)))))</f>
        <v/>
      </c>
    </row>
    <row r="2058" customFormat="false" ht="15" hidden="false" customHeight="false" outlineLevel="0" collapsed="false">
      <c r="H2058" s="0" t="str">
        <f aca="false">IF(B2058="","",IF(COUNTIF(Campaigns!$A$7:$A$300,B2058)&gt;0,"✓","⚠ add to Campaigns tab"))</f>
        <v/>
      </c>
      <c r="I2058" s="84" t="str">
        <f aca="false">IF(C2058="","",C2058*IF(Settings!$B$23=Settings!$C$6,1,IF(Settings!$B$23="USD",1/INDEX(Settings!$B$29:$B$40,MONTH(A2058)),INDEX(Settings!$B$29:$B$40,MONTH(A2058)))))</f>
        <v/>
      </c>
    </row>
    <row r="2059" customFormat="false" ht="15" hidden="false" customHeight="false" outlineLevel="0" collapsed="false">
      <c r="H2059" s="0" t="str">
        <f aca="false">IF(B2059="","",IF(COUNTIF(Campaigns!$A$7:$A$300,B2059)&gt;0,"✓","⚠ add to Campaigns tab"))</f>
        <v/>
      </c>
      <c r="I2059" s="84" t="str">
        <f aca="false">IF(C2059="","",C2059*IF(Settings!$B$23=Settings!$C$6,1,IF(Settings!$B$23="USD",1/INDEX(Settings!$B$29:$B$40,MONTH(A2059)),INDEX(Settings!$B$29:$B$40,MONTH(A2059)))))</f>
        <v/>
      </c>
    </row>
    <row r="2060" customFormat="false" ht="15" hidden="false" customHeight="false" outlineLevel="0" collapsed="false">
      <c r="H2060" s="0" t="str">
        <f aca="false">IF(B2060="","",IF(COUNTIF(Campaigns!$A$7:$A$300,B2060)&gt;0,"✓","⚠ add to Campaigns tab"))</f>
        <v/>
      </c>
      <c r="I2060" s="84" t="str">
        <f aca="false">IF(C2060="","",C2060*IF(Settings!$B$23=Settings!$C$6,1,IF(Settings!$B$23="USD",1/INDEX(Settings!$B$29:$B$40,MONTH(A2060)),INDEX(Settings!$B$29:$B$40,MONTH(A2060)))))</f>
        <v/>
      </c>
    </row>
    <row r="2061" customFormat="false" ht="15" hidden="false" customHeight="false" outlineLevel="0" collapsed="false">
      <c r="H2061" s="0" t="str">
        <f aca="false">IF(B2061="","",IF(COUNTIF(Campaigns!$A$7:$A$300,B2061)&gt;0,"✓","⚠ add to Campaigns tab"))</f>
        <v/>
      </c>
      <c r="I2061" s="84" t="str">
        <f aca="false">IF(C2061="","",C2061*IF(Settings!$B$23=Settings!$C$6,1,IF(Settings!$B$23="USD",1/INDEX(Settings!$B$29:$B$40,MONTH(A2061)),INDEX(Settings!$B$29:$B$40,MONTH(A2061)))))</f>
        <v/>
      </c>
    </row>
    <row r="2062" customFormat="false" ht="15" hidden="false" customHeight="false" outlineLevel="0" collapsed="false">
      <c r="H2062" s="0" t="str">
        <f aca="false">IF(B2062="","",IF(COUNTIF(Campaigns!$A$7:$A$300,B2062)&gt;0,"✓","⚠ add to Campaigns tab"))</f>
        <v/>
      </c>
      <c r="I2062" s="84" t="str">
        <f aca="false">IF(C2062="","",C2062*IF(Settings!$B$23=Settings!$C$6,1,IF(Settings!$B$23="USD",1/INDEX(Settings!$B$29:$B$40,MONTH(A2062)),INDEX(Settings!$B$29:$B$40,MONTH(A2062)))))</f>
        <v/>
      </c>
    </row>
    <row r="2063" customFormat="false" ht="15" hidden="false" customHeight="false" outlineLevel="0" collapsed="false">
      <c r="H2063" s="0" t="str">
        <f aca="false">IF(B2063="","",IF(COUNTIF(Campaigns!$A$7:$A$300,B2063)&gt;0,"✓","⚠ add to Campaigns tab"))</f>
        <v/>
      </c>
      <c r="I2063" s="84" t="str">
        <f aca="false">IF(C2063="","",C2063*IF(Settings!$B$23=Settings!$C$6,1,IF(Settings!$B$23="USD",1/INDEX(Settings!$B$29:$B$40,MONTH(A2063)),INDEX(Settings!$B$29:$B$40,MONTH(A2063)))))</f>
        <v/>
      </c>
    </row>
    <row r="2064" customFormat="false" ht="15" hidden="false" customHeight="false" outlineLevel="0" collapsed="false">
      <c r="H2064" s="0" t="str">
        <f aca="false">IF(B2064="","",IF(COUNTIF(Campaigns!$A$7:$A$300,B2064)&gt;0,"✓","⚠ add to Campaigns tab"))</f>
        <v/>
      </c>
      <c r="I2064" s="84" t="str">
        <f aca="false">IF(C2064="","",C2064*IF(Settings!$B$23=Settings!$C$6,1,IF(Settings!$B$23="USD",1/INDEX(Settings!$B$29:$B$40,MONTH(A2064)),INDEX(Settings!$B$29:$B$40,MONTH(A2064)))))</f>
        <v/>
      </c>
    </row>
    <row r="2065" customFormat="false" ht="15" hidden="false" customHeight="false" outlineLevel="0" collapsed="false">
      <c r="H2065" s="0" t="str">
        <f aca="false">IF(B2065="","",IF(COUNTIF(Campaigns!$A$7:$A$300,B2065)&gt;0,"✓","⚠ add to Campaigns tab"))</f>
        <v/>
      </c>
      <c r="I2065" s="84" t="str">
        <f aca="false">IF(C2065="","",C2065*IF(Settings!$B$23=Settings!$C$6,1,IF(Settings!$B$23="USD",1/INDEX(Settings!$B$29:$B$40,MONTH(A2065)),INDEX(Settings!$B$29:$B$40,MONTH(A2065)))))</f>
        <v/>
      </c>
    </row>
    <row r="2066" customFormat="false" ht="15" hidden="false" customHeight="false" outlineLevel="0" collapsed="false">
      <c r="H2066" s="0" t="str">
        <f aca="false">IF(B2066="","",IF(COUNTIF(Campaigns!$A$7:$A$300,B2066)&gt;0,"✓","⚠ add to Campaigns tab"))</f>
        <v/>
      </c>
      <c r="I2066" s="84" t="str">
        <f aca="false">IF(C2066="","",C2066*IF(Settings!$B$23=Settings!$C$6,1,IF(Settings!$B$23="USD",1/INDEX(Settings!$B$29:$B$40,MONTH(A2066)),INDEX(Settings!$B$29:$B$40,MONTH(A2066)))))</f>
        <v/>
      </c>
    </row>
    <row r="2067" customFormat="false" ht="15" hidden="false" customHeight="false" outlineLevel="0" collapsed="false">
      <c r="H2067" s="0" t="str">
        <f aca="false">IF(B2067="","",IF(COUNTIF(Campaigns!$A$7:$A$300,B2067)&gt;0,"✓","⚠ add to Campaigns tab"))</f>
        <v/>
      </c>
      <c r="I2067" s="84" t="str">
        <f aca="false">IF(C2067="","",C2067*IF(Settings!$B$23=Settings!$C$6,1,IF(Settings!$B$23="USD",1/INDEX(Settings!$B$29:$B$40,MONTH(A2067)),INDEX(Settings!$B$29:$B$40,MONTH(A2067)))))</f>
        <v/>
      </c>
    </row>
    <row r="2068" customFormat="false" ht="15" hidden="false" customHeight="false" outlineLevel="0" collapsed="false">
      <c r="H2068" s="0" t="str">
        <f aca="false">IF(B2068="","",IF(COUNTIF(Campaigns!$A$7:$A$300,B2068)&gt;0,"✓","⚠ add to Campaigns tab"))</f>
        <v/>
      </c>
      <c r="I2068" s="84" t="str">
        <f aca="false">IF(C2068="","",C2068*IF(Settings!$B$23=Settings!$C$6,1,IF(Settings!$B$23="USD",1/INDEX(Settings!$B$29:$B$40,MONTH(A2068)),INDEX(Settings!$B$29:$B$40,MONTH(A2068)))))</f>
        <v/>
      </c>
    </row>
    <row r="2069" customFormat="false" ht="15" hidden="false" customHeight="false" outlineLevel="0" collapsed="false">
      <c r="H2069" s="0" t="str">
        <f aca="false">IF(B2069="","",IF(COUNTIF(Campaigns!$A$7:$A$300,B2069)&gt;0,"✓","⚠ add to Campaigns tab"))</f>
        <v/>
      </c>
      <c r="I2069" s="84" t="str">
        <f aca="false">IF(C2069="","",C2069*IF(Settings!$B$23=Settings!$C$6,1,IF(Settings!$B$23="USD",1/INDEX(Settings!$B$29:$B$40,MONTH(A2069)),INDEX(Settings!$B$29:$B$40,MONTH(A2069)))))</f>
        <v/>
      </c>
    </row>
    <row r="2070" customFormat="false" ht="15" hidden="false" customHeight="false" outlineLevel="0" collapsed="false">
      <c r="H2070" s="0" t="str">
        <f aca="false">IF(B2070="","",IF(COUNTIF(Campaigns!$A$7:$A$300,B2070)&gt;0,"✓","⚠ add to Campaigns tab"))</f>
        <v/>
      </c>
      <c r="I2070" s="84" t="str">
        <f aca="false">IF(C2070="","",C2070*IF(Settings!$B$23=Settings!$C$6,1,IF(Settings!$B$23="USD",1/INDEX(Settings!$B$29:$B$40,MONTH(A2070)),INDEX(Settings!$B$29:$B$40,MONTH(A2070)))))</f>
        <v/>
      </c>
    </row>
    <row r="2071" customFormat="false" ht="15" hidden="false" customHeight="false" outlineLevel="0" collapsed="false">
      <c r="H2071" s="0" t="str">
        <f aca="false">IF(B2071="","",IF(COUNTIF(Campaigns!$A$7:$A$300,B2071)&gt;0,"✓","⚠ add to Campaigns tab"))</f>
        <v/>
      </c>
      <c r="I2071" s="84" t="str">
        <f aca="false">IF(C2071="","",C2071*IF(Settings!$B$23=Settings!$C$6,1,IF(Settings!$B$23="USD",1/INDEX(Settings!$B$29:$B$40,MONTH(A2071)),INDEX(Settings!$B$29:$B$40,MONTH(A2071)))))</f>
        <v/>
      </c>
    </row>
    <row r="2072" customFormat="false" ht="15" hidden="false" customHeight="false" outlineLevel="0" collapsed="false">
      <c r="H2072" s="0" t="str">
        <f aca="false">IF(B2072="","",IF(COUNTIF(Campaigns!$A$7:$A$300,B2072)&gt;0,"✓","⚠ add to Campaigns tab"))</f>
        <v/>
      </c>
      <c r="I2072" s="84" t="str">
        <f aca="false">IF(C2072="","",C2072*IF(Settings!$B$23=Settings!$C$6,1,IF(Settings!$B$23="USD",1/INDEX(Settings!$B$29:$B$40,MONTH(A2072)),INDEX(Settings!$B$29:$B$40,MONTH(A2072)))))</f>
        <v/>
      </c>
    </row>
    <row r="2073" customFormat="false" ht="15" hidden="false" customHeight="false" outlineLevel="0" collapsed="false">
      <c r="H2073" s="0" t="str">
        <f aca="false">IF(B2073="","",IF(COUNTIF(Campaigns!$A$7:$A$300,B2073)&gt;0,"✓","⚠ add to Campaigns tab"))</f>
        <v/>
      </c>
      <c r="I2073" s="84" t="str">
        <f aca="false">IF(C2073="","",C2073*IF(Settings!$B$23=Settings!$C$6,1,IF(Settings!$B$23="USD",1/INDEX(Settings!$B$29:$B$40,MONTH(A2073)),INDEX(Settings!$B$29:$B$40,MONTH(A2073)))))</f>
        <v/>
      </c>
    </row>
    <row r="2074" customFormat="false" ht="15" hidden="false" customHeight="false" outlineLevel="0" collapsed="false">
      <c r="H2074" s="0" t="str">
        <f aca="false">IF(B2074="","",IF(COUNTIF(Campaigns!$A$7:$A$300,B2074)&gt;0,"✓","⚠ add to Campaigns tab"))</f>
        <v/>
      </c>
      <c r="I2074" s="84" t="str">
        <f aca="false">IF(C2074="","",C2074*IF(Settings!$B$23=Settings!$C$6,1,IF(Settings!$B$23="USD",1/INDEX(Settings!$B$29:$B$40,MONTH(A2074)),INDEX(Settings!$B$29:$B$40,MONTH(A2074)))))</f>
        <v/>
      </c>
    </row>
    <row r="2075" customFormat="false" ht="15" hidden="false" customHeight="false" outlineLevel="0" collapsed="false">
      <c r="H2075" s="0" t="str">
        <f aca="false">IF(B2075="","",IF(COUNTIF(Campaigns!$A$7:$A$300,B2075)&gt;0,"✓","⚠ add to Campaigns tab"))</f>
        <v/>
      </c>
      <c r="I2075" s="84" t="str">
        <f aca="false">IF(C2075="","",C2075*IF(Settings!$B$23=Settings!$C$6,1,IF(Settings!$B$23="USD",1/INDEX(Settings!$B$29:$B$40,MONTH(A2075)),INDEX(Settings!$B$29:$B$40,MONTH(A2075)))))</f>
        <v/>
      </c>
    </row>
    <row r="2076" customFormat="false" ht="15" hidden="false" customHeight="false" outlineLevel="0" collapsed="false">
      <c r="H2076" s="0" t="str">
        <f aca="false">IF(B2076="","",IF(COUNTIF(Campaigns!$A$7:$A$300,B2076)&gt;0,"✓","⚠ add to Campaigns tab"))</f>
        <v/>
      </c>
      <c r="I2076" s="84" t="str">
        <f aca="false">IF(C2076="","",C2076*IF(Settings!$B$23=Settings!$C$6,1,IF(Settings!$B$23="USD",1/INDEX(Settings!$B$29:$B$40,MONTH(A2076)),INDEX(Settings!$B$29:$B$40,MONTH(A2076)))))</f>
        <v/>
      </c>
    </row>
    <row r="2077" customFormat="false" ht="15" hidden="false" customHeight="false" outlineLevel="0" collapsed="false">
      <c r="H2077" s="0" t="str">
        <f aca="false">IF(B2077="","",IF(COUNTIF(Campaigns!$A$7:$A$300,B2077)&gt;0,"✓","⚠ add to Campaigns tab"))</f>
        <v/>
      </c>
      <c r="I2077" s="84" t="str">
        <f aca="false">IF(C2077="","",C2077*IF(Settings!$B$23=Settings!$C$6,1,IF(Settings!$B$23="USD",1/INDEX(Settings!$B$29:$B$40,MONTH(A2077)),INDEX(Settings!$B$29:$B$40,MONTH(A2077)))))</f>
        <v/>
      </c>
    </row>
    <row r="2078" customFormat="false" ht="15" hidden="false" customHeight="false" outlineLevel="0" collapsed="false">
      <c r="H2078" s="0" t="str">
        <f aca="false">IF(B2078="","",IF(COUNTIF(Campaigns!$A$7:$A$300,B2078)&gt;0,"✓","⚠ add to Campaigns tab"))</f>
        <v/>
      </c>
      <c r="I2078" s="84" t="str">
        <f aca="false">IF(C2078="","",C2078*IF(Settings!$B$23=Settings!$C$6,1,IF(Settings!$B$23="USD",1/INDEX(Settings!$B$29:$B$40,MONTH(A2078)),INDEX(Settings!$B$29:$B$40,MONTH(A2078)))))</f>
        <v/>
      </c>
    </row>
    <row r="2079" customFormat="false" ht="15" hidden="false" customHeight="false" outlineLevel="0" collapsed="false">
      <c r="H2079" s="0" t="str">
        <f aca="false">IF(B2079="","",IF(COUNTIF(Campaigns!$A$7:$A$300,B2079)&gt;0,"✓","⚠ add to Campaigns tab"))</f>
        <v/>
      </c>
      <c r="I2079" s="84" t="str">
        <f aca="false">IF(C2079="","",C2079*IF(Settings!$B$23=Settings!$C$6,1,IF(Settings!$B$23="USD",1/INDEX(Settings!$B$29:$B$40,MONTH(A2079)),INDEX(Settings!$B$29:$B$40,MONTH(A2079)))))</f>
        <v/>
      </c>
    </row>
    <row r="2080" customFormat="false" ht="15" hidden="false" customHeight="false" outlineLevel="0" collapsed="false">
      <c r="H2080" s="0" t="str">
        <f aca="false">IF(B2080="","",IF(COUNTIF(Campaigns!$A$7:$A$300,B2080)&gt;0,"✓","⚠ add to Campaigns tab"))</f>
        <v/>
      </c>
      <c r="I2080" s="84" t="str">
        <f aca="false">IF(C2080="","",C2080*IF(Settings!$B$23=Settings!$C$6,1,IF(Settings!$B$23="USD",1/INDEX(Settings!$B$29:$B$40,MONTH(A2080)),INDEX(Settings!$B$29:$B$40,MONTH(A2080)))))</f>
        <v/>
      </c>
    </row>
    <row r="2081" customFormat="false" ht="15" hidden="false" customHeight="false" outlineLevel="0" collapsed="false">
      <c r="H2081" s="0" t="str">
        <f aca="false">IF(B2081="","",IF(COUNTIF(Campaigns!$A$7:$A$300,B2081)&gt;0,"✓","⚠ add to Campaigns tab"))</f>
        <v/>
      </c>
      <c r="I2081" s="84" t="str">
        <f aca="false">IF(C2081="","",C2081*IF(Settings!$B$23=Settings!$C$6,1,IF(Settings!$B$23="USD",1/INDEX(Settings!$B$29:$B$40,MONTH(A2081)),INDEX(Settings!$B$29:$B$40,MONTH(A2081)))))</f>
        <v/>
      </c>
    </row>
    <row r="2082" customFormat="false" ht="15" hidden="false" customHeight="false" outlineLevel="0" collapsed="false">
      <c r="H2082" s="0" t="str">
        <f aca="false">IF(B2082="","",IF(COUNTIF(Campaigns!$A$7:$A$300,B2082)&gt;0,"✓","⚠ add to Campaigns tab"))</f>
        <v/>
      </c>
      <c r="I2082" s="84" t="str">
        <f aca="false">IF(C2082="","",C2082*IF(Settings!$B$23=Settings!$C$6,1,IF(Settings!$B$23="USD",1/INDEX(Settings!$B$29:$B$40,MONTH(A2082)),INDEX(Settings!$B$29:$B$40,MONTH(A2082)))))</f>
        <v/>
      </c>
    </row>
    <row r="2083" customFormat="false" ht="15" hidden="false" customHeight="false" outlineLevel="0" collapsed="false">
      <c r="H2083" s="0" t="str">
        <f aca="false">IF(B2083="","",IF(COUNTIF(Campaigns!$A$7:$A$300,B2083)&gt;0,"✓","⚠ add to Campaigns tab"))</f>
        <v/>
      </c>
      <c r="I2083" s="84" t="str">
        <f aca="false">IF(C2083="","",C2083*IF(Settings!$B$23=Settings!$C$6,1,IF(Settings!$B$23="USD",1/INDEX(Settings!$B$29:$B$40,MONTH(A2083)),INDEX(Settings!$B$29:$B$40,MONTH(A2083)))))</f>
        <v/>
      </c>
    </row>
    <row r="2084" customFormat="false" ht="15" hidden="false" customHeight="false" outlineLevel="0" collapsed="false">
      <c r="H2084" s="0" t="str">
        <f aca="false">IF(B2084="","",IF(COUNTIF(Campaigns!$A$7:$A$300,B2084)&gt;0,"✓","⚠ add to Campaigns tab"))</f>
        <v/>
      </c>
      <c r="I2084" s="84" t="str">
        <f aca="false">IF(C2084="","",C2084*IF(Settings!$B$23=Settings!$C$6,1,IF(Settings!$B$23="USD",1/INDEX(Settings!$B$29:$B$40,MONTH(A2084)),INDEX(Settings!$B$29:$B$40,MONTH(A2084)))))</f>
        <v/>
      </c>
    </row>
    <row r="2085" customFormat="false" ht="15" hidden="false" customHeight="false" outlineLevel="0" collapsed="false">
      <c r="H2085" s="0" t="str">
        <f aca="false">IF(B2085="","",IF(COUNTIF(Campaigns!$A$7:$A$300,B2085)&gt;0,"✓","⚠ add to Campaigns tab"))</f>
        <v/>
      </c>
      <c r="I2085" s="84" t="str">
        <f aca="false">IF(C2085="","",C2085*IF(Settings!$B$23=Settings!$C$6,1,IF(Settings!$B$23="USD",1/INDEX(Settings!$B$29:$B$40,MONTH(A2085)),INDEX(Settings!$B$29:$B$40,MONTH(A2085)))))</f>
        <v/>
      </c>
    </row>
    <row r="2086" customFormat="false" ht="15" hidden="false" customHeight="false" outlineLevel="0" collapsed="false">
      <c r="H2086" s="0" t="str">
        <f aca="false">IF(B2086="","",IF(COUNTIF(Campaigns!$A$7:$A$300,B2086)&gt;0,"✓","⚠ add to Campaigns tab"))</f>
        <v/>
      </c>
      <c r="I2086" s="84" t="str">
        <f aca="false">IF(C2086="","",C2086*IF(Settings!$B$23=Settings!$C$6,1,IF(Settings!$B$23="USD",1/INDEX(Settings!$B$29:$B$40,MONTH(A2086)),INDEX(Settings!$B$29:$B$40,MONTH(A2086)))))</f>
        <v/>
      </c>
    </row>
    <row r="2087" customFormat="false" ht="15" hidden="false" customHeight="false" outlineLevel="0" collapsed="false">
      <c r="H2087" s="0" t="str">
        <f aca="false">IF(B2087="","",IF(COUNTIF(Campaigns!$A$7:$A$300,B2087)&gt;0,"✓","⚠ add to Campaigns tab"))</f>
        <v/>
      </c>
      <c r="I2087" s="84" t="str">
        <f aca="false">IF(C2087="","",C2087*IF(Settings!$B$23=Settings!$C$6,1,IF(Settings!$B$23="USD",1/INDEX(Settings!$B$29:$B$40,MONTH(A2087)),INDEX(Settings!$B$29:$B$40,MONTH(A2087)))))</f>
        <v/>
      </c>
    </row>
    <row r="2088" customFormat="false" ht="15" hidden="false" customHeight="false" outlineLevel="0" collapsed="false">
      <c r="H2088" s="0" t="str">
        <f aca="false">IF(B2088="","",IF(COUNTIF(Campaigns!$A$7:$A$300,B2088)&gt;0,"✓","⚠ add to Campaigns tab"))</f>
        <v/>
      </c>
      <c r="I2088" s="84" t="str">
        <f aca="false">IF(C2088="","",C2088*IF(Settings!$B$23=Settings!$C$6,1,IF(Settings!$B$23="USD",1/INDEX(Settings!$B$29:$B$40,MONTH(A2088)),INDEX(Settings!$B$29:$B$40,MONTH(A2088)))))</f>
        <v/>
      </c>
    </row>
    <row r="2089" customFormat="false" ht="15" hidden="false" customHeight="false" outlineLevel="0" collapsed="false">
      <c r="H2089" s="0" t="str">
        <f aca="false">IF(B2089="","",IF(COUNTIF(Campaigns!$A$7:$A$300,B2089)&gt;0,"✓","⚠ add to Campaigns tab"))</f>
        <v/>
      </c>
      <c r="I2089" s="84" t="str">
        <f aca="false">IF(C2089="","",C2089*IF(Settings!$B$23=Settings!$C$6,1,IF(Settings!$B$23="USD",1/INDEX(Settings!$B$29:$B$40,MONTH(A2089)),INDEX(Settings!$B$29:$B$40,MONTH(A2089)))))</f>
        <v/>
      </c>
    </row>
    <row r="2090" customFormat="false" ht="15" hidden="false" customHeight="false" outlineLevel="0" collapsed="false">
      <c r="H2090" s="0" t="str">
        <f aca="false">IF(B2090="","",IF(COUNTIF(Campaigns!$A$7:$A$300,B2090)&gt;0,"✓","⚠ add to Campaigns tab"))</f>
        <v/>
      </c>
      <c r="I2090" s="84" t="str">
        <f aca="false">IF(C2090="","",C2090*IF(Settings!$B$23=Settings!$C$6,1,IF(Settings!$B$23="USD",1/INDEX(Settings!$B$29:$B$40,MONTH(A2090)),INDEX(Settings!$B$29:$B$40,MONTH(A2090)))))</f>
        <v/>
      </c>
    </row>
    <row r="2091" customFormat="false" ht="15" hidden="false" customHeight="false" outlineLevel="0" collapsed="false">
      <c r="H2091" s="0" t="str">
        <f aca="false">IF(B2091="","",IF(COUNTIF(Campaigns!$A$7:$A$300,B2091)&gt;0,"✓","⚠ add to Campaigns tab"))</f>
        <v/>
      </c>
      <c r="I2091" s="84" t="str">
        <f aca="false">IF(C2091="","",C2091*IF(Settings!$B$23=Settings!$C$6,1,IF(Settings!$B$23="USD",1/INDEX(Settings!$B$29:$B$40,MONTH(A2091)),INDEX(Settings!$B$29:$B$40,MONTH(A2091)))))</f>
        <v/>
      </c>
    </row>
    <row r="2092" customFormat="false" ht="15" hidden="false" customHeight="false" outlineLevel="0" collapsed="false">
      <c r="H2092" s="0" t="str">
        <f aca="false">IF(B2092="","",IF(COUNTIF(Campaigns!$A$7:$A$300,B2092)&gt;0,"✓","⚠ add to Campaigns tab"))</f>
        <v/>
      </c>
      <c r="I2092" s="84" t="str">
        <f aca="false">IF(C2092="","",C2092*IF(Settings!$B$23=Settings!$C$6,1,IF(Settings!$B$23="USD",1/INDEX(Settings!$B$29:$B$40,MONTH(A2092)),INDEX(Settings!$B$29:$B$40,MONTH(A2092)))))</f>
        <v/>
      </c>
    </row>
    <row r="2093" customFormat="false" ht="15" hidden="false" customHeight="false" outlineLevel="0" collapsed="false">
      <c r="H2093" s="0" t="str">
        <f aca="false">IF(B2093="","",IF(COUNTIF(Campaigns!$A$7:$A$300,B2093)&gt;0,"✓","⚠ add to Campaigns tab"))</f>
        <v/>
      </c>
      <c r="I2093" s="84" t="str">
        <f aca="false">IF(C2093="","",C2093*IF(Settings!$B$23=Settings!$C$6,1,IF(Settings!$B$23="USD",1/INDEX(Settings!$B$29:$B$40,MONTH(A2093)),INDEX(Settings!$B$29:$B$40,MONTH(A2093)))))</f>
        <v/>
      </c>
    </row>
    <row r="2094" customFormat="false" ht="15" hidden="false" customHeight="false" outlineLevel="0" collapsed="false">
      <c r="H2094" s="0" t="str">
        <f aca="false">IF(B2094="","",IF(COUNTIF(Campaigns!$A$7:$A$300,B2094)&gt;0,"✓","⚠ add to Campaigns tab"))</f>
        <v/>
      </c>
      <c r="I2094" s="84" t="str">
        <f aca="false">IF(C2094="","",C2094*IF(Settings!$B$23=Settings!$C$6,1,IF(Settings!$B$23="USD",1/INDEX(Settings!$B$29:$B$40,MONTH(A2094)),INDEX(Settings!$B$29:$B$40,MONTH(A2094)))))</f>
        <v/>
      </c>
    </row>
    <row r="2095" customFormat="false" ht="15" hidden="false" customHeight="false" outlineLevel="0" collapsed="false">
      <c r="H2095" s="0" t="str">
        <f aca="false">IF(B2095="","",IF(COUNTIF(Campaigns!$A$7:$A$300,B2095)&gt;0,"✓","⚠ add to Campaigns tab"))</f>
        <v/>
      </c>
      <c r="I2095" s="84" t="str">
        <f aca="false">IF(C2095="","",C2095*IF(Settings!$B$23=Settings!$C$6,1,IF(Settings!$B$23="USD",1/INDEX(Settings!$B$29:$B$40,MONTH(A2095)),INDEX(Settings!$B$29:$B$40,MONTH(A2095)))))</f>
        <v/>
      </c>
    </row>
    <row r="2096" customFormat="false" ht="15" hidden="false" customHeight="false" outlineLevel="0" collapsed="false">
      <c r="H2096" s="0" t="str">
        <f aca="false">IF(B2096="","",IF(COUNTIF(Campaigns!$A$7:$A$300,B2096)&gt;0,"✓","⚠ add to Campaigns tab"))</f>
        <v/>
      </c>
      <c r="I2096" s="84" t="str">
        <f aca="false">IF(C2096="","",C2096*IF(Settings!$B$23=Settings!$C$6,1,IF(Settings!$B$23="USD",1/INDEX(Settings!$B$29:$B$40,MONTH(A2096)),INDEX(Settings!$B$29:$B$40,MONTH(A2096)))))</f>
        <v/>
      </c>
    </row>
    <row r="2097" customFormat="false" ht="15" hidden="false" customHeight="false" outlineLevel="0" collapsed="false">
      <c r="H2097" s="0" t="str">
        <f aca="false">IF(B2097="","",IF(COUNTIF(Campaigns!$A$7:$A$300,B2097)&gt;0,"✓","⚠ add to Campaigns tab"))</f>
        <v/>
      </c>
      <c r="I2097" s="84" t="str">
        <f aca="false">IF(C2097="","",C2097*IF(Settings!$B$23=Settings!$C$6,1,IF(Settings!$B$23="USD",1/INDEX(Settings!$B$29:$B$40,MONTH(A2097)),INDEX(Settings!$B$29:$B$40,MONTH(A2097)))))</f>
        <v/>
      </c>
    </row>
    <row r="2098" customFormat="false" ht="15" hidden="false" customHeight="false" outlineLevel="0" collapsed="false">
      <c r="H2098" s="0" t="str">
        <f aca="false">IF(B2098="","",IF(COUNTIF(Campaigns!$A$7:$A$300,B2098)&gt;0,"✓","⚠ add to Campaigns tab"))</f>
        <v/>
      </c>
      <c r="I2098" s="84" t="str">
        <f aca="false">IF(C2098="","",C2098*IF(Settings!$B$23=Settings!$C$6,1,IF(Settings!$B$23="USD",1/INDEX(Settings!$B$29:$B$40,MONTH(A2098)),INDEX(Settings!$B$29:$B$40,MONTH(A2098)))))</f>
        <v/>
      </c>
    </row>
    <row r="2099" customFormat="false" ht="15" hidden="false" customHeight="false" outlineLevel="0" collapsed="false">
      <c r="H2099" s="0" t="str">
        <f aca="false">IF(B2099="","",IF(COUNTIF(Campaigns!$A$7:$A$300,B2099)&gt;0,"✓","⚠ add to Campaigns tab"))</f>
        <v/>
      </c>
      <c r="I2099" s="84" t="str">
        <f aca="false">IF(C2099="","",C2099*IF(Settings!$B$23=Settings!$C$6,1,IF(Settings!$B$23="USD",1/INDEX(Settings!$B$29:$B$40,MONTH(A2099)),INDEX(Settings!$B$29:$B$40,MONTH(A2099)))))</f>
        <v/>
      </c>
    </row>
    <row r="2100" customFormat="false" ht="15" hidden="false" customHeight="false" outlineLevel="0" collapsed="false">
      <c r="H2100" s="0" t="str">
        <f aca="false">IF(B2100="","",IF(COUNTIF(Campaigns!$A$7:$A$300,B2100)&gt;0,"✓","⚠ add to Campaigns tab"))</f>
        <v/>
      </c>
      <c r="I2100" s="84" t="str">
        <f aca="false">IF(C2100="","",C2100*IF(Settings!$B$23=Settings!$C$6,1,IF(Settings!$B$23="USD",1/INDEX(Settings!$B$29:$B$40,MONTH(A2100)),INDEX(Settings!$B$29:$B$40,MONTH(A2100)))))</f>
        <v/>
      </c>
    </row>
    <row r="2101" customFormat="false" ht="15" hidden="false" customHeight="false" outlineLevel="0" collapsed="false">
      <c r="H2101" s="0" t="str">
        <f aca="false">IF(B2101="","",IF(COUNTIF(Campaigns!$A$7:$A$300,B2101)&gt;0,"✓","⚠ add to Campaigns tab"))</f>
        <v/>
      </c>
      <c r="I2101" s="84" t="str">
        <f aca="false">IF(C2101="","",C2101*IF(Settings!$B$23=Settings!$C$6,1,IF(Settings!$B$23="USD",1/INDEX(Settings!$B$29:$B$40,MONTH(A2101)),INDEX(Settings!$B$29:$B$40,MONTH(A2101)))))</f>
        <v/>
      </c>
    </row>
    <row r="2102" customFormat="false" ht="15" hidden="false" customHeight="false" outlineLevel="0" collapsed="false">
      <c r="H2102" s="0" t="str">
        <f aca="false">IF(B2102="","",IF(COUNTIF(Campaigns!$A$7:$A$300,B2102)&gt;0,"✓","⚠ add to Campaigns tab"))</f>
        <v/>
      </c>
      <c r="I2102" s="84" t="str">
        <f aca="false">IF(C2102="","",C2102*IF(Settings!$B$23=Settings!$C$6,1,IF(Settings!$B$23="USD",1/INDEX(Settings!$B$29:$B$40,MONTH(A2102)),INDEX(Settings!$B$29:$B$40,MONTH(A2102)))))</f>
        <v/>
      </c>
    </row>
    <row r="2103" customFormat="false" ht="15" hidden="false" customHeight="false" outlineLevel="0" collapsed="false">
      <c r="H2103" s="0" t="str">
        <f aca="false">IF(B2103="","",IF(COUNTIF(Campaigns!$A$7:$A$300,B2103)&gt;0,"✓","⚠ add to Campaigns tab"))</f>
        <v/>
      </c>
      <c r="I2103" s="84" t="str">
        <f aca="false">IF(C2103="","",C2103*IF(Settings!$B$23=Settings!$C$6,1,IF(Settings!$B$23="USD",1/INDEX(Settings!$B$29:$B$40,MONTH(A2103)),INDEX(Settings!$B$29:$B$40,MONTH(A2103)))))</f>
        <v/>
      </c>
    </row>
    <row r="2104" customFormat="false" ht="15" hidden="false" customHeight="false" outlineLevel="0" collapsed="false">
      <c r="H2104" s="0" t="str">
        <f aca="false">IF(B2104="","",IF(COUNTIF(Campaigns!$A$7:$A$300,B2104)&gt;0,"✓","⚠ add to Campaigns tab"))</f>
        <v/>
      </c>
      <c r="I2104" s="84" t="str">
        <f aca="false">IF(C2104="","",C2104*IF(Settings!$B$23=Settings!$C$6,1,IF(Settings!$B$23="USD",1/INDEX(Settings!$B$29:$B$40,MONTH(A2104)),INDEX(Settings!$B$29:$B$40,MONTH(A2104)))))</f>
        <v/>
      </c>
    </row>
    <row r="2105" customFormat="false" ht="15" hidden="false" customHeight="false" outlineLevel="0" collapsed="false">
      <c r="H2105" s="0" t="str">
        <f aca="false">IF(B2105="","",IF(COUNTIF(Campaigns!$A$7:$A$300,B2105)&gt;0,"✓","⚠ add to Campaigns tab"))</f>
        <v/>
      </c>
      <c r="I2105" s="84" t="str">
        <f aca="false">IF(C2105="","",C2105*IF(Settings!$B$23=Settings!$C$6,1,IF(Settings!$B$23="USD",1/INDEX(Settings!$B$29:$B$40,MONTH(A2105)),INDEX(Settings!$B$29:$B$40,MONTH(A2105)))))</f>
        <v/>
      </c>
    </row>
    <row r="2106" customFormat="false" ht="15" hidden="false" customHeight="false" outlineLevel="0" collapsed="false">
      <c r="H2106" s="0" t="str">
        <f aca="false">IF(B2106="","",IF(COUNTIF(Campaigns!$A$7:$A$300,B2106)&gt;0,"✓","⚠ add to Campaigns tab"))</f>
        <v/>
      </c>
      <c r="I2106" s="84" t="str">
        <f aca="false">IF(C2106="","",C2106*IF(Settings!$B$23=Settings!$C$6,1,IF(Settings!$B$23="USD",1/INDEX(Settings!$B$29:$B$40,MONTH(A2106)),INDEX(Settings!$B$29:$B$40,MONTH(A2106)))))</f>
        <v/>
      </c>
    </row>
    <row r="2107" customFormat="false" ht="15" hidden="false" customHeight="false" outlineLevel="0" collapsed="false">
      <c r="H2107" s="0" t="str">
        <f aca="false">IF(B2107="","",IF(COUNTIF(Campaigns!$A$7:$A$300,B2107)&gt;0,"✓","⚠ add to Campaigns tab"))</f>
        <v/>
      </c>
      <c r="I2107" s="84" t="str">
        <f aca="false">IF(C2107="","",C2107*IF(Settings!$B$23=Settings!$C$6,1,IF(Settings!$B$23="USD",1/INDEX(Settings!$B$29:$B$40,MONTH(A2107)),INDEX(Settings!$B$29:$B$40,MONTH(A2107)))))</f>
        <v/>
      </c>
    </row>
    <row r="2108" customFormat="false" ht="15" hidden="false" customHeight="false" outlineLevel="0" collapsed="false">
      <c r="H2108" s="0" t="str">
        <f aca="false">IF(B2108="","",IF(COUNTIF(Campaigns!$A$7:$A$300,B2108)&gt;0,"✓","⚠ add to Campaigns tab"))</f>
        <v/>
      </c>
      <c r="I2108" s="84" t="str">
        <f aca="false">IF(C2108="","",C2108*IF(Settings!$B$23=Settings!$C$6,1,IF(Settings!$B$23="USD",1/INDEX(Settings!$B$29:$B$40,MONTH(A2108)),INDEX(Settings!$B$29:$B$40,MONTH(A2108)))))</f>
        <v/>
      </c>
    </row>
    <row r="2109" customFormat="false" ht="15" hidden="false" customHeight="false" outlineLevel="0" collapsed="false">
      <c r="H2109" s="0" t="str">
        <f aca="false">IF(B2109="","",IF(COUNTIF(Campaigns!$A$7:$A$300,B2109)&gt;0,"✓","⚠ add to Campaigns tab"))</f>
        <v/>
      </c>
      <c r="I2109" s="84" t="str">
        <f aca="false">IF(C2109="","",C2109*IF(Settings!$B$23=Settings!$C$6,1,IF(Settings!$B$23="USD",1/INDEX(Settings!$B$29:$B$40,MONTH(A2109)),INDEX(Settings!$B$29:$B$40,MONTH(A2109)))))</f>
        <v/>
      </c>
    </row>
    <row r="2110" customFormat="false" ht="15" hidden="false" customHeight="false" outlineLevel="0" collapsed="false">
      <c r="H2110" s="0" t="str">
        <f aca="false">IF(B2110="","",IF(COUNTIF(Campaigns!$A$7:$A$300,B2110)&gt;0,"✓","⚠ add to Campaigns tab"))</f>
        <v/>
      </c>
      <c r="I2110" s="84" t="str">
        <f aca="false">IF(C2110="","",C2110*IF(Settings!$B$23=Settings!$C$6,1,IF(Settings!$B$23="USD",1/INDEX(Settings!$B$29:$B$40,MONTH(A2110)),INDEX(Settings!$B$29:$B$40,MONTH(A2110)))))</f>
        <v/>
      </c>
    </row>
    <row r="2111" customFormat="false" ht="15" hidden="false" customHeight="false" outlineLevel="0" collapsed="false">
      <c r="H2111" s="0" t="str">
        <f aca="false">IF(B2111="","",IF(COUNTIF(Campaigns!$A$7:$A$300,B2111)&gt;0,"✓","⚠ add to Campaigns tab"))</f>
        <v/>
      </c>
      <c r="I2111" s="84" t="str">
        <f aca="false">IF(C2111="","",C2111*IF(Settings!$B$23=Settings!$C$6,1,IF(Settings!$B$23="USD",1/INDEX(Settings!$B$29:$B$40,MONTH(A2111)),INDEX(Settings!$B$29:$B$40,MONTH(A2111)))))</f>
        <v/>
      </c>
    </row>
    <row r="2112" customFormat="false" ht="15" hidden="false" customHeight="false" outlineLevel="0" collapsed="false">
      <c r="H2112" s="0" t="str">
        <f aca="false">IF(B2112="","",IF(COUNTIF(Campaigns!$A$7:$A$300,B2112)&gt;0,"✓","⚠ add to Campaigns tab"))</f>
        <v/>
      </c>
      <c r="I2112" s="84" t="str">
        <f aca="false">IF(C2112="","",C2112*IF(Settings!$B$23=Settings!$C$6,1,IF(Settings!$B$23="USD",1/INDEX(Settings!$B$29:$B$40,MONTH(A2112)),INDEX(Settings!$B$29:$B$40,MONTH(A2112)))))</f>
        <v/>
      </c>
    </row>
    <row r="2113" customFormat="false" ht="15" hidden="false" customHeight="false" outlineLevel="0" collapsed="false">
      <c r="H2113" s="0" t="str">
        <f aca="false">IF(B2113="","",IF(COUNTIF(Campaigns!$A$7:$A$300,B2113)&gt;0,"✓","⚠ add to Campaigns tab"))</f>
        <v/>
      </c>
      <c r="I2113" s="84" t="str">
        <f aca="false">IF(C2113="","",C2113*IF(Settings!$B$23=Settings!$C$6,1,IF(Settings!$B$23="USD",1/INDEX(Settings!$B$29:$B$40,MONTH(A2113)),INDEX(Settings!$B$29:$B$40,MONTH(A2113)))))</f>
        <v/>
      </c>
    </row>
    <row r="2114" customFormat="false" ht="15" hidden="false" customHeight="false" outlineLevel="0" collapsed="false">
      <c r="H2114" s="0" t="str">
        <f aca="false">IF(B2114="","",IF(COUNTIF(Campaigns!$A$7:$A$300,B2114)&gt;0,"✓","⚠ add to Campaigns tab"))</f>
        <v/>
      </c>
      <c r="I2114" s="84" t="str">
        <f aca="false">IF(C2114="","",C2114*IF(Settings!$B$23=Settings!$C$6,1,IF(Settings!$B$23="USD",1/INDEX(Settings!$B$29:$B$40,MONTH(A2114)),INDEX(Settings!$B$29:$B$40,MONTH(A2114)))))</f>
        <v/>
      </c>
    </row>
    <row r="2115" customFormat="false" ht="15" hidden="false" customHeight="false" outlineLevel="0" collapsed="false">
      <c r="H2115" s="0" t="str">
        <f aca="false">IF(B2115="","",IF(COUNTIF(Campaigns!$A$7:$A$300,B2115)&gt;0,"✓","⚠ add to Campaigns tab"))</f>
        <v/>
      </c>
      <c r="I2115" s="84" t="str">
        <f aca="false">IF(C2115="","",C2115*IF(Settings!$B$23=Settings!$C$6,1,IF(Settings!$B$23="USD",1/INDEX(Settings!$B$29:$B$40,MONTH(A2115)),INDEX(Settings!$B$29:$B$40,MONTH(A2115)))))</f>
        <v/>
      </c>
    </row>
    <row r="2116" customFormat="false" ht="15" hidden="false" customHeight="false" outlineLevel="0" collapsed="false">
      <c r="H2116" s="0" t="str">
        <f aca="false">IF(B2116="","",IF(COUNTIF(Campaigns!$A$7:$A$300,B2116)&gt;0,"✓","⚠ add to Campaigns tab"))</f>
        <v/>
      </c>
      <c r="I2116" s="84" t="str">
        <f aca="false">IF(C2116="","",C2116*IF(Settings!$B$23=Settings!$C$6,1,IF(Settings!$B$23="USD",1/INDEX(Settings!$B$29:$B$40,MONTH(A2116)),INDEX(Settings!$B$29:$B$40,MONTH(A2116)))))</f>
        <v/>
      </c>
    </row>
    <row r="2117" customFormat="false" ht="15" hidden="false" customHeight="false" outlineLevel="0" collapsed="false">
      <c r="H2117" s="0" t="str">
        <f aca="false">IF(B2117="","",IF(COUNTIF(Campaigns!$A$7:$A$300,B2117)&gt;0,"✓","⚠ add to Campaigns tab"))</f>
        <v/>
      </c>
      <c r="I2117" s="84" t="str">
        <f aca="false">IF(C2117="","",C2117*IF(Settings!$B$23=Settings!$C$6,1,IF(Settings!$B$23="USD",1/INDEX(Settings!$B$29:$B$40,MONTH(A2117)),INDEX(Settings!$B$29:$B$40,MONTH(A2117)))))</f>
        <v/>
      </c>
    </row>
    <row r="2118" customFormat="false" ht="15" hidden="false" customHeight="false" outlineLevel="0" collapsed="false">
      <c r="H2118" s="0" t="str">
        <f aca="false">IF(B2118="","",IF(COUNTIF(Campaigns!$A$7:$A$300,B2118)&gt;0,"✓","⚠ add to Campaigns tab"))</f>
        <v/>
      </c>
      <c r="I2118" s="84" t="str">
        <f aca="false">IF(C2118="","",C2118*IF(Settings!$B$23=Settings!$C$6,1,IF(Settings!$B$23="USD",1/INDEX(Settings!$B$29:$B$40,MONTH(A2118)),INDEX(Settings!$B$29:$B$40,MONTH(A2118)))))</f>
        <v/>
      </c>
    </row>
    <row r="2119" customFormat="false" ht="15" hidden="false" customHeight="false" outlineLevel="0" collapsed="false">
      <c r="H2119" s="0" t="str">
        <f aca="false">IF(B2119="","",IF(COUNTIF(Campaigns!$A$7:$A$300,B2119)&gt;0,"✓","⚠ add to Campaigns tab"))</f>
        <v/>
      </c>
      <c r="I2119" s="84" t="str">
        <f aca="false">IF(C2119="","",C2119*IF(Settings!$B$23=Settings!$C$6,1,IF(Settings!$B$23="USD",1/INDEX(Settings!$B$29:$B$40,MONTH(A2119)),INDEX(Settings!$B$29:$B$40,MONTH(A2119)))))</f>
        <v/>
      </c>
    </row>
    <row r="2120" customFormat="false" ht="15" hidden="false" customHeight="false" outlineLevel="0" collapsed="false">
      <c r="H2120" s="0" t="str">
        <f aca="false">IF(B2120="","",IF(COUNTIF(Campaigns!$A$7:$A$300,B2120)&gt;0,"✓","⚠ add to Campaigns tab"))</f>
        <v/>
      </c>
      <c r="I2120" s="84" t="str">
        <f aca="false">IF(C2120="","",C2120*IF(Settings!$B$23=Settings!$C$6,1,IF(Settings!$B$23="USD",1/INDEX(Settings!$B$29:$B$40,MONTH(A2120)),INDEX(Settings!$B$29:$B$40,MONTH(A2120)))))</f>
        <v/>
      </c>
    </row>
    <row r="2121" customFormat="false" ht="15" hidden="false" customHeight="false" outlineLevel="0" collapsed="false">
      <c r="H2121" s="0" t="str">
        <f aca="false">IF(B2121="","",IF(COUNTIF(Campaigns!$A$7:$A$300,B2121)&gt;0,"✓","⚠ add to Campaigns tab"))</f>
        <v/>
      </c>
      <c r="I2121" s="84" t="str">
        <f aca="false">IF(C2121="","",C2121*IF(Settings!$B$23=Settings!$C$6,1,IF(Settings!$B$23="USD",1/INDEX(Settings!$B$29:$B$40,MONTH(A2121)),INDEX(Settings!$B$29:$B$40,MONTH(A2121)))))</f>
        <v/>
      </c>
    </row>
    <row r="2122" customFormat="false" ht="15" hidden="false" customHeight="false" outlineLevel="0" collapsed="false">
      <c r="H2122" s="0" t="str">
        <f aca="false">IF(B2122="","",IF(COUNTIF(Campaigns!$A$7:$A$300,B2122)&gt;0,"✓","⚠ add to Campaigns tab"))</f>
        <v/>
      </c>
      <c r="I2122" s="84" t="str">
        <f aca="false">IF(C2122="","",C2122*IF(Settings!$B$23=Settings!$C$6,1,IF(Settings!$B$23="USD",1/INDEX(Settings!$B$29:$B$40,MONTH(A2122)),INDEX(Settings!$B$29:$B$40,MONTH(A2122)))))</f>
        <v/>
      </c>
    </row>
    <row r="2123" customFormat="false" ht="15" hidden="false" customHeight="false" outlineLevel="0" collapsed="false">
      <c r="H2123" s="0" t="str">
        <f aca="false">IF(B2123="","",IF(COUNTIF(Campaigns!$A$7:$A$300,B2123)&gt;0,"✓","⚠ add to Campaigns tab"))</f>
        <v/>
      </c>
      <c r="I2123" s="84" t="str">
        <f aca="false">IF(C2123="","",C2123*IF(Settings!$B$23=Settings!$C$6,1,IF(Settings!$B$23="USD",1/INDEX(Settings!$B$29:$B$40,MONTH(A2123)),INDEX(Settings!$B$29:$B$40,MONTH(A2123)))))</f>
        <v/>
      </c>
    </row>
    <row r="2124" customFormat="false" ht="15" hidden="false" customHeight="false" outlineLevel="0" collapsed="false">
      <c r="H2124" s="0" t="str">
        <f aca="false">IF(B2124="","",IF(COUNTIF(Campaigns!$A$7:$A$300,B2124)&gt;0,"✓","⚠ add to Campaigns tab"))</f>
        <v/>
      </c>
      <c r="I2124" s="84" t="str">
        <f aca="false">IF(C2124="","",C2124*IF(Settings!$B$23=Settings!$C$6,1,IF(Settings!$B$23="USD",1/INDEX(Settings!$B$29:$B$40,MONTH(A2124)),INDEX(Settings!$B$29:$B$40,MONTH(A2124)))))</f>
        <v/>
      </c>
    </row>
    <row r="2125" customFormat="false" ht="15" hidden="false" customHeight="false" outlineLevel="0" collapsed="false">
      <c r="H2125" s="0" t="str">
        <f aca="false">IF(B2125="","",IF(COUNTIF(Campaigns!$A$7:$A$300,B2125)&gt;0,"✓","⚠ add to Campaigns tab"))</f>
        <v/>
      </c>
      <c r="I2125" s="84" t="str">
        <f aca="false">IF(C2125="","",C2125*IF(Settings!$B$23=Settings!$C$6,1,IF(Settings!$B$23="USD",1/INDEX(Settings!$B$29:$B$40,MONTH(A2125)),INDEX(Settings!$B$29:$B$40,MONTH(A2125)))))</f>
        <v/>
      </c>
    </row>
    <row r="2126" customFormat="false" ht="15" hidden="false" customHeight="false" outlineLevel="0" collapsed="false">
      <c r="H2126" s="0" t="str">
        <f aca="false">IF(B2126="","",IF(COUNTIF(Campaigns!$A$7:$A$300,B2126)&gt;0,"✓","⚠ add to Campaigns tab"))</f>
        <v/>
      </c>
      <c r="I2126" s="84" t="str">
        <f aca="false">IF(C2126="","",C2126*IF(Settings!$B$23=Settings!$C$6,1,IF(Settings!$B$23="USD",1/INDEX(Settings!$B$29:$B$40,MONTH(A2126)),INDEX(Settings!$B$29:$B$40,MONTH(A2126)))))</f>
        <v/>
      </c>
    </row>
    <row r="2127" customFormat="false" ht="15" hidden="false" customHeight="false" outlineLevel="0" collapsed="false">
      <c r="H2127" s="0" t="str">
        <f aca="false">IF(B2127="","",IF(COUNTIF(Campaigns!$A$7:$A$300,B2127)&gt;0,"✓","⚠ add to Campaigns tab"))</f>
        <v/>
      </c>
      <c r="I2127" s="84" t="str">
        <f aca="false">IF(C2127="","",C2127*IF(Settings!$B$23=Settings!$C$6,1,IF(Settings!$B$23="USD",1/INDEX(Settings!$B$29:$B$40,MONTH(A2127)),INDEX(Settings!$B$29:$B$40,MONTH(A2127)))))</f>
        <v/>
      </c>
    </row>
    <row r="2128" customFormat="false" ht="15" hidden="false" customHeight="false" outlineLevel="0" collapsed="false">
      <c r="H2128" s="0" t="str">
        <f aca="false">IF(B2128="","",IF(COUNTIF(Campaigns!$A$7:$A$300,B2128)&gt;0,"✓","⚠ add to Campaigns tab"))</f>
        <v/>
      </c>
      <c r="I2128" s="84" t="str">
        <f aca="false">IF(C2128="","",C2128*IF(Settings!$B$23=Settings!$C$6,1,IF(Settings!$B$23="USD",1/INDEX(Settings!$B$29:$B$40,MONTH(A2128)),INDEX(Settings!$B$29:$B$40,MONTH(A2128)))))</f>
        <v/>
      </c>
    </row>
    <row r="2129" customFormat="false" ht="15" hidden="false" customHeight="false" outlineLevel="0" collapsed="false">
      <c r="H2129" s="0" t="str">
        <f aca="false">IF(B2129="","",IF(COUNTIF(Campaigns!$A$7:$A$300,B2129)&gt;0,"✓","⚠ add to Campaigns tab"))</f>
        <v/>
      </c>
      <c r="I2129" s="84" t="str">
        <f aca="false">IF(C2129="","",C2129*IF(Settings!$B$23=Settings!$C$6,1,IF(Settings!$B$23="USD",1/INDEX(Settings!$B$29:$B$40,MONTH(A2129)),INDEX(Settings!$B$29:$B$40,MONTH(A2129)))))</f>
        <v/>
      </c>
    </row>
    <row r="2130" customFormat="false" ht="15" hidden="false" customHeight="false" outlineLevel="0" collapsed="false">
      <c r="H2130" s="0" t="str">
        <f aca="false">IF(B2130="","",IF(COUNTIF(Campaigns!$A$7:$A$300,B2130)&gt;0,"✓","⚠ add to Campaigns tab"))</f>
        <v/>
      </c>
      <c r="I2130" s="84" t="str">
        <f aca="false">IF(C2130="","",C2130*IF(Settings!$B$23=Settings!$C$6,1,IF(Settings!$B$23="USD",1/INDEX(Settings!$B$29:$B$40,MONTH(A2130)),INDEX(Settings!$B$29:$B$40,MONTH(A2130)))))</f>
        <v/>
      </c>
    </row>
    <row r="2131" customFormat="false" ht="15" hidden="false" customHeight="false" outlineLevel="0" collapsed="false">
      <c r="H2131" s="0" t="str">
        <f aca="false">IF(B2131="","",IF(COUNTIF(Campaigns!$A$7:$A$300,B2131)&gt;0,"✓","⚠ add to Campaigns tab"))</f>
        <v/>
      </c>
      <c r="I2131" s="84" t="str">
        <f aca="false">IF(C2131="","",C2131*IF(Settings!$B$23=Settings!$C$6,1,IF(Settings!$B$23="USD",1/INDEX(Settings!$B$29:$B$40,MONTH(A2131)),INDEX(Settings!$B$29:$B$40,MONTH(A2131)))))</f>
        <v/>
      </c>
    </row>
    <row r="2132" customFormat="false" ht="15" hidden="false" customHeight="false" outlineLevel="0" collapsed="false">
      <c r="H2132" s="0" t="str">
        <f aca="false">IF(B2132="","",IF(COUNTIF(Campaigns!$A$7:$A$300,B2132)&gt;0,"✓","⚠ add to Campaigns tab"))</f>
        <v/>
      </c>
      <c r="I2132" s="84" t="str">
        <f aca="false">IF(C2132="","",C2132*IF(Settings!$B$23=Settings!$C$6,1,IF(Settings!$B$23="USD",1/INDEX(Settings!$B$29:$B$40,MONTH(A2132)),INDEX(Settings!$B$29:$B$40,MONTH(A2132)))))</f>
        <v/>
      </c>
    </row>
    <row r="2133" customFormat="false" ht="15" hidden="false" customHeight="false" outlineLevel="0" collapsed="false">
      <c r="H2133" s="0" t="str">
        <f aca="false">IF(B2133="","",IF(COUNTIF(Campaigns!$A$7:$A$300,B2133)&gt;0,"✓","⚠ add to Campaigns tab"))</f>
        <v/>
      </c>
      <c r="I2133" s="84" t="str">
        <f aca="false">IF(C2133="","",C2133*IF(Settings!$B$23=Settings!$C$6,1,IF(Settings!$B$23="USD",1/INDEX(Settings!$B$29:$B$40,MONTH(A2133)),INDEX(Settings!$B$29:$B$40,MONTH(A2133)))))</f>
        <v/>
      </c>
    </row>
    <row r="2134" customFormat="false" ht="15" hidden="false" customHeight="false" outlineLevel="0" collapsed="false">
      <c r="H2134" s="0" t="str">
        <f aca="false">IF(B2134="","",IF(COUNTIF(Campaigns!$A$7:$A$300,B2134)&gt;0,"✓","⚠ add to Campaigns tab"))</f>
        <v/>
      </c>
      <c r="I2134" s="84" t="str">
        <f aca="false">IF(C2134="","",C2134*IF(Settings!$B$23=Settings!$C$6,1,IF(Settings!$B$23="USD",1/INDEX(Settings!$B$29:$B$40,MONTH(A2134)),INDEX(Settings!$B$29:$B$40,MONTH(A2134)))))</f>
        <v/>
      </c>
    </row>
    <row r="2135" customFormat="false" ht="15" hidden="false" customHeight="false" outlineLevel="0" collapsed="false">
      <c r="H2135" s="0" t="str">
        <f aca="false">IF(B2135="","",IF(COUNTIF(Campaigns!$A$7:$A$300,B2135)&gt;0,"✓","⚠ add to Campaigns tab"))</f>
        <v/>
      </c>
      <c r="I2135" s="84" t="str">
        <f aca="false">IF(C2135="","",C2135*IF(Settings!$B$23=Settings!$C$6,1,IF(Settings!$B$23="USD",1/INDEX(Settings!$B$29:$B$40,MONTH(A2135)),INDEX(Settings!$B$29:$B$40,MONTH(A2135)))))</f>
        <v/>
      </c>
    </row>
    <row r="2136" customFormat="false" ht="15" hidden="false" customHeight="false" outlineLevel="0" collapsed="false">
      <c r="H2136" s="0" t="str">
        <f aca="false">IF(B2136="","",IF(COUNTIF(Campaigns!$A$7:$A$300,B2136)&gt;0,"✓","⚠ add to Campaigns tab"))</f>
        <v/>
      </c>
      <c r="I2136" s="84" t="str">
        <f aca="false">IF(C2136="","",C2136*IF(Settings!$B$23=Settings!$C$6,1,IF(Settings!$B$23="USD",1/INDEX(Settings!$B$29:$B$40,MONTH(A2136)),INDEX(Settings!$B$29:$B$40,MONTH(A2136)))))</f>
        <v/>
      </c>
    </row>
    <row r="2137" customFormat="false" ht="15" hidden="false" customHeight="false" outlineLevel="0" collapsed="false">
      <c r="H2137" s="0" t="str">
        <f aca="false">IF(B2137="","",IF(COUNTIF(Campaigns!$A$7:$A$300,B2137)&gt;0,"✓","⚠ add to Campaigns tab"))</f>
        <v/>
      </c>
      <c r="I2137" s="84" t="str">
        <f aca="false">IF(C2137="","",C2137*IF(Settings!$B$23=Settings!$C$6,1,IF(Settings!$B$23="USD",1/INDEX(Settings!$B$29:$B$40,MONTH(A2137)),INDEX(Settings!$B$29:$B$40,MONTH(A2137)))))</f>
        <v/>
      </c>
    </row>
    <row r="2138" customFormat="false" ht="15" hidden="false" customHeight="false" outlineLevel="0" collapsed="false">
      <c r="H2138" s="0" t="str">
        <f aca="false">IF(B2138="","",IF(COUNTIF(Campaigns!$A$7:$A$300,B2138)&gt;0,"✓","⚠ add to Campaigns tab"))</f>
        <v/>
      </c>
      <c r="I2138" s="84" t="str">
        <f aca="false">IF(C2138="","",C2138*IF(Settings!$B$23=Settings!$C$6,1,IF(Settings!$B$23="USD",1/INDEX(Settings!$B$29:$B$40,MONTH(A2138)),INDEX(Settings!$B$29:$B$40,MONTH(A2138)))))</f>
        <v/>
      </c>
    </row>
    <row r="2139" customFormat="false" ht="15" hidden="false" customHeight="false" outlineLevel="0" collapsed="false">
      <c r="H2139" s="0" t="str">
        <f aca="false">IF(B2139="","",IF(COUNTIF(Campaigns!$A$7:$A$300,B2139)&gt;0,"✓","⚠ add to Campaigns tab"))</f>
        <v/>
      </c>
      <c r="I2139" s="84" t="str">
        <f aca="false">IF(C2139="","",C2139*IF(Settings!$B$23=Settings!$C$6,1,IF(Settings!$B$23="USD",1/INDEX(Settings!$B$29:$B$40,MONTH(A2139)),INDEX(Settings!$B$29:$B$40,MONTH(A2139)))))</f>
        <v/>
      </c>
    </row>
    <row r="2140" customFormat="false" ht="15" hidden="false" customHeight="false" outlineLevel="0" collapsed="false">
      <c r="H2140" s="0" t="str">
        <f aca="false">IF(B2140="","",IF(COUNTIF(Campaigns!$A$7:$A$300,B2140)&gt;0,"✓","⚠ add to Campaigns tab"))</f>
        <v/>
      </c>
      <c r="I2140" s="84" t="str">
        <f aca="false">IF(C2140="","",C2140*IF(Settings!$B$23=Settings!$C$6,1,IF(Settings!$B$23="USD",1/INDEX(Settings!$B$29:$B$40,MONTH(A2140)),INDEX(Settings!$B$29:$B$40,MONTH(A2140)))))</f>
        <v/>
      </c>
    </row>
    <row r="2141" customFormat="false" ht="15" hidden="false" customHeight="false" outlineLevel="0" collapsed="false">
      <c r="H2141" s="0" t="str">
        <f aca="false">IF(B2141="","",IF(COUNTIF(Campaigns!$A$7:$A$300,B2141)&gt;0,"✓","⚠ add to Campaigns tab"))</f>
        <v/>
      </c>
      <c r="I2141" s="84" t="str">
        <f aca="false">IF(C2141="","",C2141*IF(Settings!$B$23=Settings!$C$6,1,IF(Settings!$B$23="USD",1/INDEX(Settings!$B$29:$B$40,MONTH(A2141)),INDEX(Settings!$B$29:$B$40,MONTH(A2141)))))</f>
        <v/>
      </c>
    </row>
    <row r="2142" customFormat="false" ht="15" hidden="false" customHeight="false" outlineLevel="0" collapsed="false">
      <c r="H2142" s="0" t="str">
        <f aca="false">IF(B2142="","",IF(COUNTIF(Campaigns!$A$7:$A$300,B2142)&gt;0,"✓","⚠ add to Campaigns tab"))</f>
        <v/>
      </c>
      <c r="I2142" s="84" t="str">
        <f aca="false">IF(C2142="","",C2142*IF(Settings!$B$23=Settings!$C$6,1,IF(Settings!$B$23="USD",1/INDEX(Settings!$B$29:$B$40,MONTH(A2142)),INDEX(Settings!$B$29:$B$40,MONTH(A2142)))))</f>
        <v/>
      </c>
    </row>
    <row r="2143" customFormat="false" ht="15" hidden="false" customHeight="false" outlineLevel="0" collapsed="false">
      <c r="H2143" s="0" t="str">
        <f aca="false">IF(B2143="","",IF(COUNTIF(Campaigns!$A$7:$A$300,B2143)&gt;0,"✓","⚠ add to Campaigns tab"))</f>
        <v/>
      </c>
      <c r="I2143" s="84" t="str">
        <f aca="false">IF(C2143="","",C2143*IF(Settings!$B$23=Settings!$C$6,1,IF(Settings!$B$23="USD",1/INDEX(Settings!$B$29:$B$40,MONTH(A2143)),INDEX(Settings!$B$29:$B$40,MONTH(A2143)))))</f>
        <v/>
      </c>
    </row>
    <row r="2144" customFormat="false" ht="15" hidden="false" customHeight="false" outlineLevel="0" collapsed="false">
      <c r="H2144" s="0" t="str">
        <f aca="false">IF(B2144="","",IF(COUNTIF(Campaigns!$A$7:$A$300,B2144)&gt;0,"✓","⚠ add to Campaigns tab"))</f>
        <v/>
      </c>
      <c r="I2144" s="84" t="str">
        <f aca="false">IF(C2144="","",C2144*IF(Settings!$B$23=Settings!$C$6,1,IF(Settings!$B$23="USD",1/INDEX(Settings!$B$29:$B$40,MONTH(A2144)),INDEX(Settings!$B$29:$B$40,MONTH(A2144)))))</f>
        <v/>
      </c>
    </row>
    <row r="2145" customFormat="false" ht="15" hidden="false" customHeight="false" outlineLevel="0" collapsed="false">
      <c r="H2145" s="0" t="str">
        <f aca="false">IF(B2145="","",IF(COUNTIF(Campaigns!$A$7:$A$300,B2145)&gt;0,"✓","⚠ add to Campaigns tab"))</f>
        <v/>
      </c>
      <c r="I2145" s="84" t="str">
        <f aca="false">IF(C2145="","",C2145*IF(Settings!$B$23=Settings!$C$6,1,IF(Settings!$B$23="USD",1/INDEX(Settings!$B$29:$B$40,MONTH(A2145)),INDEX(Settings!$B$29:$B$40,MONTH(A2145)))))</f>
        <v/>
      </c>
    </row>
    <row r="2146" customFormat="false" ht="15" hidden="false" customHeight="false" outlineLevel="0" collapsed="false">
      <c r="H2146" s="0" t="str">
        <f aca="false">IF(B2146="","",IF(COUNTIF(Campaigns!$A$7:$A$300,B2146)&gt;0,"✓","⚠ add to Campaigns tab"))</f>
        <v/>
      </c>
      <c r="I2146" s="84" t="str">
        <f aca="false">IF(C2146="","",C2146*IF(Settings!$B$23=Settings!$C$6,1,IF(Settings!$B$23="USD",1/INDEX(Settings!$B$29:$B$40,MONTH(A2146)),INDEX(Settings!$B$29:$B$40,MONTH(A2146)))))</f>
        <v/>
      </c>
    </row>
    <row r="2147" customFormat="false" ht="15" hidden="false" customHeight="false" outlineLevel="0" collapsed="false">
      <c r="H2147" s="0" t="str">
        <f aca="false">IF(B2147="","",IF(COUNTIF(Campaigns!$A$7:$A$300,B2147)&gt;0,"✓","⚠ add to Campaigns tab"))</f>
        <v/>
      </c>
      <c r="I2147" s="84" t="str">
        <f aca="false">IF(C2147="","",C2147*IF(Settings!$B$23=Settings!$C$6,1,IF(Settings!$B$23="USD",1/INDEX(Settings!$B$29:$B$40,MONTH(A2147)),INDEX(Settings!$B$29:$B$40,MONTH(A2147)))))</f>
        <v/>
      </c>
    </row>
    <row r="2148" customFormat="false" ht="15" hidden="false" customHeight="false" outlineLevel="0" collapsed="false">
      <c r="H2148" s="0" t="str">
        <f aca="false">IF(B2148="","",IF(COUNTIF(Campaigns!$A$7:$A$300,B2148)&gt;0,"✓","⚠ add to Campaigns tab"))</f>
        <v/>
      </c>
      <c r="I2148" s="84" t="str">
        <f aca="false">IF(C2148="","",C2148*IF(Settings!$B$23=Settings!$C$6,1,IF(Settings!$B$23="USD",1/INDEX(Settings!$B$29:$B$40,MONTH(A2148)),INDEX(Settings!$B$29:$B$40,MONTH(A2148)))))</f>
        <v/>
      </c>
    </row>
    <row r="2149" customFormat="false" ht="15" hidden="false" customHeight="false" outlineLevel="0" collapsed="false">
      <c r="H2149" s="0" t="str">
        <f aca="false">IF(B2149="","",IF(COUNTIF(Campaigns!$A$7:$A$300,B2149)&gt;0,"✓","⚠ add to Campaigns tab"))</f>
        <v/>
      </c>
      <c r="I2149" s="84" t="str">
        <f aca="false">IF(C2149="","",C2149*IF(Settings!$B$23=Settings!$C$6,1,IF(Settings!$B$23="USD",1/INDEX(Settings!$B$29:$B$40,MONTH(A2149)),INDEX(Settings!$B$29:$B$40,MONTH(A2149)))))</f>
        <v/>
      </c>
    </row>
    <row r="2150" customFormat="false" ht="15" hidden="false" customHeight="false" outlineLevel="0" collapsed="false">
      <c r="H2150" s="0" t="str">
        <f aca="false">IF(B2150="","",IF(COUNTIF(Campaigns!$A$7:$A$300,B2150)&gt;0,"✓","⚠ add to Campaigns tab"))</f>
        <v/>
      </c>
      <c r="I2150" s="84" t="str">
        <f aca="false">IF(C2150="","",C2150*IF(Settings!$B$23=Settings!$C$6,1,IF(Settings!$B$23="USD",1/INDEX(Settings!$B$29:$B$40,MONTH(A2150)),INDEX(Settings!$B$29:$B$40,MONTH(A2150)))))</f>
        <v/>
      </c>
    </row>
    <row r="2151" customFormat="false" ht="15" hidden="false" customHeight="false" outlineLevel="0" collapsed="false">
      <c r="H2151" s="0" t="str">
        <f aca="false">IF(B2151="","",IF(COUNTIF(Campaigns!$A$7:$A$300,B2151)&gt;0,"✓","⚠ add to Campaigns tab"))</f>
        <v/>
      </c>
      <c r="I2151" s="84" t="str">
        <f aca="false">IF(C2151="","",C2151*IF(Settings!$B$23=Settings!$C$6,1,IF(Settings!$B$23="USD",1/INDEX(Settings!$B$29:$B$40,MONTH(A2151)),INDEX(Settings!$B$29:$B$40,MONTH(A2151)))))</f>
        <v/>
      </c>
    </row>
    <row r="2152" customFormat="false" ht="15" hidden="false" customHeight="false" outlineLevel="0" collapsed="false">
      <c r="H2152" s="0" t="str">
        <f aca="false">IF(B2152="","",IF(COUNTIF(Campaigns!$A$7:$A$300,B2152)&gt;0,"✓","⚠ add to Campaigns tab"))</f>
        <v/>
      </c>
      <c r="I2152" s="84" t="str">
        <f aca="false">IF(C2152="","",C2152*IF(Settings!$B$23=Settings!$C$6,1,IF(Settings!$B$23="USD",1/INDEX(Settings!$B$29:$B$40,MONTH(A2152)),INDEX(Settings!$B$29:$B$40,MONTH(A2152)))))</f>
        <v/>
      </c>
    </row>
    <row r="2153" customFormat="false" ht="15" hidden="false" customHeight="false" outlineLevel="0" collapsed="false">
      <c r="H2153" s="0" t="str">
        <f aca="false">IF(B2153="","",IF(COUNTIF(Campaigns!$A$7:$A$300,B2153)&gt;0,"✓","⚠ add to Campaigns tab"))</f>
        <v/>
      </c>
      <c r="I2153" s="84" t="str">
        <f aca="false">IF(C2153="","",C2153*IF(Settings!$B$23=Settings!$C$6,1,IF(Settings!$B$23="USD",1/INDEX(Settings!$B$29:$B$40,MONTH(A2153)),INDEX(Settings!$B$29:$B$40,MONTH(A2153)))))</f>
        <v/>
      </c>
    </row>
    <row r="2154" customFormat="false" ht="15" hidden="false" customHeight="false" outlineLevel="0" collapsed="false">
      <c r="H2154" s="0" t="str">
        <f aca="false">IF(B2154="","",IF(COUNTIF(Campaigns!$A$7:$A$300,B2154)&gt;0,"✓","⚠ add to Campaigns tab"))</f>
        <v/>
      </c>
      <c r="I2154" s="84" t="str">
        <f aca="false">IF(C2154="","",C2154*IF(Settings!$B$23=Settings!$C$6,1,IF(Settings!$B$23="USD",1/INDEX(Settings!$B$29:$B$40,MONTH(A2154)),INDEX(Settings!$B$29:$B$40,MONTH(A2154)))))</f>
        <v/>
      </c>
    </row>
    <row r="2155" customFormat="false" ht="15" hidden="false" customHeight="false" outlineLevel="0" collapsed="false">
      <c r="H2155" s="0" t="str">
        <f aca="false">IF(B2155="","",IF(COUNTIF(Campaigns!$A$7:$A$300,B2155)&gt;0,"✓","⚠ add to Campaigns tab"))</f>
        <v/>
      </c>
      <c r="I2155" s="84" t="str">
        <f aca="false">IF(C2155="","",C2155*IF(Settings!$B$23=Settings!$C$6,1,IF(Settings!$B$23="USD",1/INDEX(Settings!$B$29:$B$40,MONTH(A2155)),INDEX(Settings!$B$29:$B$40,MONTH(A2155)))))</f>
        <v/>
      </c>
    </row>
    <row r="2156" customFormat="false" ht="15" hidden="false" customHeight="false" outlineLevel="0" collapsed="false">
      <c r="H2156" s="0" t="str">
        <f aca="false">IF(B2156="","",IF(COUNTIF(Campaigns!$A$7:$A$300,B2156)&gt;0,"✓","⚠ add to Campaigns tab"))</f>
        <v/>
      </c>
      <c r="I2156" s="84" t="str">
        <f aca="false">IF(C2156="","",C2156*IF(Settings!$B$23=Settings!$C$6,1,IF(Settings!$B$23="USD",1/INDEX(Settings!$B$29:$B$40,MONTH(A2156)),INDEX(Settings!$B$29:$B$40,MONTH(A2156)))))</f>
        <v/>
      </c>
    </row>
    <row r="2157" customFormat="false" ht="15" hidden="false" customHeight="false" outlineLevel="0" collapsed="false">
      <c r="H2157" s="0" t="str">
        <f aca="false">IF(B2157="","",IF(COUNTIF(Campaigns!$A$7:$A$300,B2157)&gt;0,"✓","⚠ add to Campaigns tab"))</f>
        <v/>
      </c>
      <c r="I2157" s="84" t="str">
        <f aca="false">IF(C2157="","",C2157*IF(Settings!$B$23=Settings!$C$6,1,IF(Settings!$B$23="USD",1/INDEX(Settings!$B$29:$B$40,MONTH(A2157)),INDEX(Settings!$B$29:$B$40,MONTH(A2157)))))</f>
        <v/>
      </c>
    </row>
    <row r="2158" customFormat="false" ht="15" hidden="false" customHeight="false" outlineLevel="0" collapsed="false">
      <c r="H2158" s="0" t="str">
        <f aca="false">IF(B2158="","",IF(COUNTIF(Campaigns!$A$7:$A$300,B2158)&gt;0,"✓","⚠ add to Campaigns tab"))</f>
        <v/>
      </c>
      <c r="I2158" s="84" t="str">
        <f aca="false">IF(C2158="","",C2158*IF(Settings!$B$23=Settings!$C$6,1,IF(Settings!$B$23="USD",1/INDEX(Settings!$B$29:$B$40,MONTH(A2158)),INDEX(Settings!$B$29:$B$40,MONTH(A2158)))))</f>
        <v/>
      </c>
    </row>
    <row r="2159" customFormat="false" ht="15" hidden="false" customHeight="false" outlineLevel="0" collapsed="false">
      <c r="H2159" s="0" t="str">
        <f aca="false">IF(B2159="","",IF(COUNTIF(Campaigns!$A$7:$A$300,B2159)&gt;0,"✓","⚠ add to Campaigns tab"))</f>
        <v/>
      </c>
      <c r="I2159" s="84" t="str">
        <f aca="false">IF(C2159="","",C2159*IF(Settings!$B$23=Settings!$C$6,1,IF(Settings!$B$23="USD",1/INDEX(Settings!$B$29:$B$40,MONTH(A2159)),INDEX(Settings!$B$29:$B$40,MONTH(A2159)))))</f>
        <v/>
      </c>
    </row>
    <row r="2160" customFormat="false" ht="15" hidden="false" customHeight="false" outlineLevel="0" collapsed="false">
      <c r="H2160" s="0" t="str">
        <f aca="false">IF(B2160="","",IF(COUNTIF(Campaigns!$A$7:$A$300,B2160)&gt;0,"✓","⚠ add to Campaigns tab"))</f>
        <v/>
      </c>
      <c r="I2160" s="84" t="str">
        <f aca="false">IF(C2160="","",C2160*IF(Settings!$B$23=Settings!$C$6,1,IF(Settings!$B$23="USD",1/INDEX(Settings!$B$29:$B$40,MONTH(A2160)),INDEX(Settings!$B$29:$B$40,MONTH(A2160)))))</f>
        <v/>
      </c>
    </row>
    <row r="2161" customFormat="false" ht="15" hidden="false" customHeight="false" outlineLevel="0" collapsed="false">
      <c r="H2161" s="0" t="str">
        <f aca="false">IF(B2161="","",IF(COUNTIF(Campaigns!$A$7:$A$300,B2161)&gt;0,"✓","⚠ add to Campaigns tab"))</f>
        <v/>
      </c>
      <c r="I2161" s="84" t="str">
        <f aca="false">IF(C2161="","",C2161*IF(Settings!$B$23=Settings!$C$6,1,IF(Settings!$B$23="USD",1/INDEX(Settings!$B$29:$B$40,MONTH(A2161)),INDEX(Settings!$B$29:$B$40,MONTH(A2161)))))</f>
        <v/>
      </c>
    </row>
    <row r="2162" customFormat="false" ht="15" hidden="false" customHeight="false" outlineLevel="0" collapsed="false">
      <c r="H2162" s="0" t="str">
        <f aca="false">IF(B2162="","",IF(COUNTIF(Campaigns!$A$7:$A$300,B2162)&gt;0,"✓","⚠ add to Campaigns tab"))</f>
        <v/>
      </c>
      <c r="I2162" s="84" t="str">
        <f aca="false">IF(C2162="","",C2162*IF(Settings!$B$23=Settings!$C$6,1,IF(Settings!$B$23="USD",1/INDEX(Settings!$B$29:$B$40,MONTH(A2162)),INDEX(Settings!$B$29:$B$40,MONTH(A2162)))))</f>
        <v/>
      </c>
    </row>
    <row r="2163" customFormat="false" ht="15" hidden="false" customHeight="false" outlineLevel="0" collapsed="false">
      <c r="H2163" s="0" t="str">
        <f aca="false">IF(B2163="","",IF(COUNTIF(Campaigns!$A$7:$A$300,B2163)&gt;0,"✓","⚠ add to Campaigns tab"))</f>
        <v/>
      </c>
      <c r="I2163" s="84" t="str">
        <f aca="false">IF(C2163="","",C2163*IF(Settings!$B$23=Settings!$C$6,1,IF(Settings!$B$23="USD",1/INDEX(Settings!$B$29:$B$40,MONTH(A2163)),INDEX(Settings!$B$29:$B$40,MONTH(A2163)))))</f>
        <v/>
      </c>
    </row>
    <row r="2164" customFormat="false" ht="15" hidden="false" customHeight="false" outlineLevel="0" collapsed="false">
      <c r="H2164" s="0" t="str">
        <f aca="false">IF(B2164="","",IF(COUNTIF(Campaigns!$A$7:$A$300,B2164)&gt;0,"✓","⚠ add to Campaigns tab"))</f>
        <v/>
      </c>
      <c r="I2164" s="84" t="str">
        <f aca="false">IF(C2164="","",C2164*IF(Settings!$B$23=Settings!$C$6,1,IF(Settings!$B$23="USD",1/INDEX(Settings!$B$29:$B$40,MONTH(A2164)),INDEX(Settings!$B$29:$B$40,MONTH(A2164)))))</f>
        <v/>
      </c>
    </row>
    <row r="2165" customFormat="false" ht="15" hidden="false" customHeight="false" outlineLevel="0" collapsed="false">
      <c r="H2165" s="0" t="str">
        <f aca="false">IF(B2165="","",IF(COUNTIF(Campaigns!$A$7:$A$300,B2165)&gt;0,"✓","⚠ add to Campaigns tab"))</f>
        <v/>
      </c>
      <c r="I2165" s="84" t="str">
        <f aca="false">IF(C2165="","",C2165*IF(Settings!$B$23=Settings!$C$6,1,IF(Settings!$B$23="USD",1/INDEX(Settings!$B$29:$B$40,MONTH(A2165)),INDEX(Settings!$B$29:$B$40,MONTH(A2165)))))</f>
        <v/>
      </c>
    </row>
    <row r="2166" customFormat="false" ht="15" hidden="false" customHeight="false" outlineLevel="0" collapsed="false">
      <c r="H2166" s="0" t="str">
        <f aca="false">IF(B2166="","",IF(COUNTIF(Campaigns!$A$7:$A$300,B2166)&gt;0,"✓","⚠ add to Campaigns tab"))</f>
        <v/>
      </c>
      <c r="I2166" s="84" t="str">
        <f aca="false">IF(C2166="","",C2166*IF(Settings!$B$23=Settings!$C$6,1,IF(Settings!$B$23="USD",1/INDEX(Settings!$B$29:$B$40,MONTH(A2166)),INDEX(Settings!$B$29:$B$40,MONTH(A2166)))))</f>
        <v/>
      </c>
    </row>
    <row r="2167" customFormat="false" ht="15" hidden="false" customHeight="false" outlineLevel="0" collapsed="false">
      <c r="H2167" s="0" t="str">
        <f aca="false">IF(B2167="","",IF(COUNTIF(Campaigns!$A$7:$A$300,B2167)&gt;0,"✓","⚠ add to Campaigns tab"))</f>
        <v/>
      </c>
      <c r="I2167" s="84" t="str">
        <f aca="false">IF(C2167="","",C2167*IF(Settings!$B$23=Settings!$C$6,1,IF(Settings!$B$23="USD",1/INDEX(Settings!$B$29:$B$40,MONTH(A2167)),INDEX(Settings!$B$29:$B$40,MONTH(A2167)))))</f>
        <v/>
      </c>
    </row>
    <row r="2168" customFormat="false" ht="15" hidden="false" customHeight="false" outlineLevel="0" collapsed="false">
      <c r="H2168" s="0" t="str">
        <f aca="false">IF(B2168="","",IF(COUNTIF(Campaigns!$A$7:$A$300,B2168)&gt;0,"✓","⚠ add to Campaigns tab"))</f>
        <v/>
      </c>
      <c r="I2168" s="84" t="str">
        <f aca="false">IF(C2168="","",C2168*IF(Settings!$B$23=Settings!$C$6,1,IF(Settings!$B$23="USD",1/INDEX(Settings!$B$29:$B$40,MONTH(A2168)),INDEX(Settings!$B$29:$B$40,MONTH(A2168)))))</f>
        <v/>
      </c>
    </row>
    <row r="2169" customFormat="false" ht="15" hidden="false" customHeight="false" outlineLevel="0" collapsed="false">
      <c r="H2169" s="0" t="str">
        <f aca="false">IF(B2169="","",IF(COUNTIF(Campaigns!$A$7:$A$300,B2169)&gt;0,"✓","⚠ add to Campaigns tab"))</f>
        <v/>
      </c>
      <c r="I2169" s="84" t="str">
        <f aca="false">IF(C2169="","",C2169*IF(Settings!$B$23=Settings!$C$6,1,IF(Settings!$B$23="USD",1/INDEX(Settings!$B$29:$B$40,MONTH(A2169)),INDEX(Settings!$B$29:$B$40,MONTH(A2169)))))</f>
        <v/>
      </c>
    </row>
    <row r="2170" customFormat="false" ht="15" hidden="false" customHeight="false" outlineLevel="0" collapsed="false">
      <c r="H2170" s="0" t="str">
        <f aca="false">IF(B2170="","",IF(COUNTIF(Campaigns!$A$7:$A$300,B2170)&gt;0,"✓","⚠ add to Campaigns tab"))</f>
        <v/>
      </c>
      <c r="I2170" s="84" t="str">
        <f aca="false">IF(C2170="","",C2170*IF(Settings!$B$23=Settings!$C$6,1,IF(Settings!$B$23="USD",1/INDEX(Settings!$B$29:$B$40,MONTH(A2170)),INDEX(Settings!$B$29:$B$40,MONTH(A2170)))))</f>
        <v/>
      </c>
    </row>
    <row r="2171" customFormat="false" ht="15" hidden="false" customHeight="false" outlineLevel="0" collapsed="false">
      <c r="H2171" s="0" t="str">
        <f aca="false">IF(B2171="","",IF(COUNTIF(Campaigns!$A$7:$A$300,B2171)&gt;0,"✓","⚠ add to Campaigns tab"))</f>
        <v/>
      </c>
      <c r="I2171" s="84" t="str">
        <f aca="false">IF(C2171="","",C2171*IF(Settings!$B$23=Settings!$C$6,1,IF(Settings!$B$23="USD",1/INDEX(Settings!$B$29:$B$40,MONTH(A2171)),INDEX(Settings!$B$29:$B$40,MONTH(A2171)))))</f>
        <v/>
      </c>
    </row>
    <row r="2172" customFormat="false" ht="15" hidden="false" customHeight="false" outlineLevel="0" collapsed="false">
      <c r="H2172" s="0" t="str">
        <f aca="false">IF(B2172="","",IF(COUNTIF(Campaigns!$A$7:$A$300,B2172)&gt;0,"✓","⚠ add to Campaigns tab"))</f>
        <v/>
      </c>
      <c r="I2172" s="84" t="str">
        <f aca="false">IF(C2172="","",C2172*IF(Settings!$B$23=Settings!$C$6,1,IF(Settings!$B$23="USD",1/INDEX(Settings!$B$29:$B$40,MONTH(A2172)),INDEX(Settings!$B$29:$B$40,MONTH(A2172)))))</f>
        <v/>
      </c>
    </row>
    <row r="2173" customFormat="false" ht="15" hidden="false" customHeight="false" outlineLevel="0" collapsed="false">
      <c r="H2173" s="0" t="str">
        <f aca="false">IF(B2173="","",IF(COUNTIF(Campaigns!$A$7:$A$300,B2173)&gt;0,"✓","⚠ add to Campaigns tab"))</f>
        <v/>
      </c>
      <c r="I2173" s="84" t="str">
        <f aca="false">IF(C2173="","",C2173*IF(Settings!$B$23=Settings!$C$6,1,IF(Settings!$B$23="USD",1/INDEX(Settings!$B$29:$B$40,MONTH(A2173)),INDEX(Settings!$B$29:$B$40,MONTH(A2173)))))</f>
        <v/>
      </c>
    </row>
    <row r="2174" customFormat="false" ht="15" hidden="false" customHeight="false" outlineLevel="0" collapsed="false">
      <c r="H2174" s="0" t="str">
        <f aca="false">IF(B2174="","",IF(COUNTIF(Campaigns!$A$7:$A$300,B2174)&gt;0,"✓","⚠ add to Campaigns tab"))</f>
        <v/>
      </c>
      <c r="I2174" s="84" t="str">
        <f aca="false">IF(C2174="","",C2174*IF(Settings!$B$23=Settings!$C$6,1,IF(Settings!$B$23="USD",1/INDEX(Settings!$B$29:$B$40,MONTH(A2174)),INDEX(Settings!$B$29:$B$40,MONTH(A2174)))))</f>
        <v/>
      </c>
    </row>
    <row r="2175" customFormat="false" ht="15" hidden="false" customHeight="false" outlineLevel="0" collapsed="false">
      <c r="H2175" s="0" t="str">
        <f aca="false">IF(B2175="","",IF(COUNTIF(Campaigns!$A$7:$A$300,B2175)&gt;0,"✓","⚠ add to Campaigns tab"))</f>
        <v/>
      </c>
      <c r="I2175" s="84" t="str">
        <f aca="false">IF(C2175="","",C2175*IF(Settings!$B$23=Settings!$C$6,1,IF(Settings!$B$23="USD",1/INDEX(Settings!$B$29:$B$40,MONTH(A2175)),INDEX(Settings!$B$29:$B$40,MONTH(A2175)))))</f>
        <v/>
      </c>
    </row>
    <row r="2176" customFormat="false" ht="15" hidden="false" customHeight="false" outlineLevel="0" collapsed="false">
      <c r="H2176" s="0" t="str">
        <f aca="false">IF(B2176="","",IF(COUNTIF(Campaigns!$A$7:$A$300,B2176)&gt;0,"✓","⚠ add to Campaigns tab"))</f>
        <v/>
      </c>
      <c r="I2176" s="84" t="str">
        <f aca="false">IF(C2176="","",C2176*IF(Settings!$B$23=Settings!$C$6,1,IF(Settings!$B$23="USD",1/INDEX(Settings!$B$29:$B$40,MONTH(A2176)),INDEX(Settings!$B$29:$B$40,MONTH(A2176)))))</f>
        <v/>
      </c>
    </row>
    <row r="2177" customFormat="false" ht="15" hidden="false" customHeight="false" outlineLevel="0" collapsed="false">
      <c r="H2177" s="0" t="str">
        <f aca="false">IF(B2177="","",IF(COUNTIF(Campaigns!$A$7:$A$300,B2177)&gt;0,"✓","⚠ add to Campaigns tab"))</f>
        <v/>
      </c>
      <c r="I2177" s="84" t="str">
        <f aca="false">IF(C2177="","",C2177*IF(Settings!$B$23=Settings!$C$6,1,IF(Settings!$B$23="USD",1/INDEX(Settings!$B$29:$B$40,MONTH(A2177)),INDEX(Settings!$B$29:$B$40,MONTH(A2177)))))</f>
        <v/>
      </c>
    </row>
    <row r="2178" customFormat="false" ht="15" hidden="false" customHeight="false" outlineLevel="0" collapsed="false">
      <c r="H2178" s="0" t="str">
        <f aca="false">IF(B2178="","",IF(COUNTIF(Campaigns!$A$7:$A$300,B2178)&gt;0,"✓","⚠ add to Campaigns tab"))</f>
        <v/>
      </c>
      <c r="I2178" s="84" t="str">
        <f aca="false">IF(C2178="","",C2178*IF(Settings!$B$23=Settings!$C$6,1,IF(Settings!$B$23="USD",1/INDEX(Settings!$B$29:$B$40,MONTH(A2178)),INDEX(Settings!$B$29:$B$40,MONTH(A2178)))))</f>
        <v/>
      </c>
    </row>
    <row r="2179" customFormat="false" ht="15" hidden="false" customHeight="false" outlineLevel="0" collapsed="false">
      <c r="H2179" s="0" t="str">
        <f aca="false">IF(B2179="","",IF(COUNTIF(Campaigns!$A$7:$A$300,B2179)&gt;0,"✓","⚠ add to Campaigns tab"))</f>
        <v/>
      </c>
      <c r="I2179" s="84" t="str">
        <f aca="false">IF(C2179="","",C2179*IF(Settings!$B$23=Settings!$C$6,1,IF(Settings!$B$23="USD",1/INDEX(Settings!$B$29:$B$40,MONTH(A2179)),INDEX(Settings!$B$29:$B$40,MONTH(A2179)))))</f>
        <v/>
      </c>
    </row>
    <row r="2180" customFormat="false" ht="15" hidden="false" customHeight="false" outlineLevel="0" collapsed="false">
      <c r="H2180" s="0" t="str">
        <f aca="false">IF(B2180="","",IF(COUNTIF(Campaigns!$A$7:$A$300,B2180)&gt;0,"✓","⚠ add to Campaigns tab"))</f>
        <v/>
      </c>
      <c r="I2180" s="84" t="str">
        <f aca="false">IF(C2180="","",C2180*IF(Settings!$B$23=Settings!$C$6,1,IF(Settings!$B$23="USD",1/INDEX(Settings!$B$29:$B$40,MONTH(A2180)),INDEX(Settings!$B$29:$B$40,MONTH(A2180)))))</f>
        <v/>
      </c>
    </row>
    <row r="2181" customFormat="false" ht="15" hidden="false" customHeight="false" outlineLevel="0" collapsed="false">
      <c r="H2181" s="0" t="str">
        <f aca="false">IF(B2181="","",IF(COUNTIF(Campaigns!$A$7:$A$300,B2181)&gt;0,"✓","⚠ add to Campaigns tab"))</f>
        <v/>
      </c>
      <c r="I2181" s="84" t="str">
        <f aca="false">IF(C2181="","",C2181*IF(Settings!$B$23=Settings!$C$6,1,IF(Settings!$B$23="USD",1/INDEX(Settings!$B$29:$B$40,MONTH(A2181)),INDEX(Settings!$B$29:$B$40,MONTH(A2181)))))</f>
        <v/>
      </c>
    </row>
    <row r="2182" customFormat="false" ht="15" hidden="false" customHeight="false" outlineLevel="0" collapsed="false">
      <c r="H2182" s="0" t="str">
        <f aca="false">IF(B2182="","",IF(COUNTIF(Campaigns!$A$7:$A$300,B2182)&gt;0,"✓","⚠ add to Campaigns tab"))</f>
        <v/>
      </c>
      <c r="I2182" s="84" t="str">
        <f aca="false">IF(C2182="","",C2182*IF(Settings!$B$23=Settings!$C$6,1,IF(Settings!$B$23="USD",1/INDEX(Settings!$B$29:$B$40,MONTH(A2182)),INDEX(Settings!$B$29:$B$40,MONTH(A2182)))))</f>
        <v/>
      </c>
    </row>
    <row r="2183" customFormat="false" ht="15" hidden="false" customHeight="false" outlineLevel="0" collapsed="false">
      <c r="H2183" s="0" t="str">
        <f aca="false">IF(B2183="","",IF(COUNTIF(Campaigns!$A$7:$A$300,B2183)&gt;0,"✓","⚠ add to Campaigns tab"))</f>
        <v/>
      </c>
      <c r="I2183" s="84" t="str">
        <f aca="false">IF(C2183="","",C2183*IF(Settings!$B$23=Settings!$C$6,1,IF(Settings!$B$23="USD",1/INDEX(Settings!$B$29:$B$40,MONTH(A2183)),INDEX(Settings!$B$29:$B$40,MONTH(A2183)))))</f>
        <v/>
      </c>
    </row>
    <row r="2184" customFormat="false" ht="15" hidden="false" customHeight="false" outlineLevel="0" collapsed="false">
      <c r="H2184" s="0" t="str">
        <f aca="false">IF(B2184="","",IF(COUNTIF(Campaigns!$A$7:$A$300,B2184)&gt;0,"✓","⚠ add to Campaigns tab"))</f>
        <v/>
      </c>
      <c r="I2184" s="84" t="str">
        <f aca="false">IF(C2184="","",C2184*IF(Settings!$B$23=Settings!$C$6,1,IF(Settings!$B$23="USD",1/INDEX(Settings!$B$29:$B$40,MONTH(A2184)),INDEX(Settings!$B$29:$B$40,MONTH(A2184)))))</f>
        <v/>
      </c>
    </row>
    <row r="2185" customFormat="false" ht="15" hidden="false" customHeight="false" outlineLevel="0" collapsed="false">
      <c r="H2185" s="0" t="str">
        <f aca="false">IF(B2185="","",IF(COUNTIF(Campaigns!$A$7:$A$300,B2185)&gt;0,"✓","⚠ add to Campaigns tab"))</f>
        <v/>
      </c>
      <c r="I2185" s="84" t="str">
        <f aca="false">IF(C2185="","",C2185*IF(Settings!$B$23=Settings!$C$6,1,IF(Settings!$B$23="USD",1/INDEX(Settings!$B$29:$B$40,MONTH(A2185)),INDEX(Settings!$B$29:$B$40,MONTH(A2185)))))</f>
        <v/>
      </c>
    </row>
    <row r="2186" customFormat="false" ht="15" hidden="false" customHeight="false" outlineLevel="0" collapsed="false">
      <c r="H2186" s="0" t="str">
        <f aca="false">IF(B2186="","",IF(COUNTIF(Campaigns!$A$7:$A$300,B2186)&gt;0,"✓","⚠ add to Campaigns tab"))</f>
        <v/>
      </c>
      <c r="I2186" s="84" t="str">
        <f aca="false">IF(C2186="","",C2186*IF(Settings!$B$23=Settings!$C$6,1,IF(Settings!$B$23="USD",1/INDEX(Settings!$B$29:$B$40,MONTH(A2186)),INDEX(Settings!$B$29:$B$40,MONTH(A2186)))))</f>
        <v/>
      </c>
    </row>
    <row r="2187" customFormat="false" ht="15" hidden="false" customHeight="false" outlineLevel="0" collapsed="false">
      <c r="H2187" s="0" t="str">
        <f aca="false">IF(B2187="","",IF(COUNTIF(Campaigns!$A$7:$A$300,B2187)&gt;0,"✓","⚠ add to Campaigns tab"))</f>
        <v/>
      </c>
      <c r="I2187" s="84" t="str">
        <f aca="false">IF(C2187="","",C2187*IF(Settings!$B$23=Settings!$C$6,1,IF(Settings!$B$23="USD",1/INDEX(Settings!$B$29:$B$40,MONTH(A2187)),INDEX(Settings!$B$29:$B$40,MONTH(A2187)))))</f>
        <v/>
      </c>
    </row>
    <row r="2188" customFormat="false" ht="15" hidden="false" customHeight="false" outlineLevel="0" collapsed="false">
      <c r="H2188" s="0" t="str">
        <f aca="false">IF(B2188="","",IF(COUNTIF(Campaigns!$A$7:$A$300,B2188)&gt;0,"✓","⚠ add to Campaigns tab"))</f>
        <v/>
      </c>
      <c r="I2188" s="84" t="str">
        <f aca="false">IF(C2188="","",C2188*IF(Settings!$B$23=Settings!$C$6,1,IF(Settings!$B$23="USD",1/INDEX(Settings!$B$29:$B$40,MONTH(A2188)),INDEX(Settings!$B$29:$B$40,MONTH(A2188)))))</f>
        <v/>
      </c>
    </row>
    <row r="2189" customFormat="false" ht="15" hidden="false" customHeight="false" outlineLevel="0" collapsed="false">
      <c r="H2189" s="0" t="str">
        <f aca="false">IF(B2189="","",IF(COUNTIF(Campaigns!$A$7:$A$300,B2189)&gt;0,"✓","⚠ add to Campaigns tab"))</f>
        <v/>
      </c>
      <c r="I2189" s="84" t="str">
        <f aca="false">IF(C2189="","",C2189*IF(Settings!$B$23=Settings!$C$6,1,IF(Settings!$B$23="USD",1/INDEX(Settings!$B$29:$B$40,MONTH(A2189)),INDEX(Settings!$B$29:$B$40,MONTH(A2189)))))</f>
        <v/>
      </c>
    </row>
    <row r="2190" customFormat="false" ht="15" hidden="false" customHeight="false" outlineLevel="0" collapsed="false">
      <c r="H2190" s="0" t="str">
        <f aca="false">IF(B2190="","",IF(COUNTIF(Campaigns!$A$7:$A$300,B2190)&gt;0,"✓","⚠ add to Campaigns tab"))</f>
        <v/>
      </c>
      <c r="I2190" s="84" t="str">
        <f aca="false">IF(C2190="","",C2190*IF(Settings!$B$23=Settings!$C$6,1,IF(Settings!$B$23="USD",1/INDEX(Settings!$B$29:$B$40,MONTH(A2190)),INDEX(Settings!$B$29:$B$40,MONTH(A2190)))))</f>
        <v/>
      </c>
    </row>
    <row r="2191" customFormat="false" ht="15" hidden="false" customHeight="false" outlineLevel="0" collapsed="false">
      <c r="H2191" s="0" t="str">
        <f aca="false">IF(B2191="","",IF(COUNTIF(Campaigns!$A$7:$A$300,B2191)&gt;0,"✓","⚠ add to Campaigns tab"))</f>
        <v/>
      </c>
      <c r="I2191" s="84" t="str">
        <f aca="false">IF(C2191="","",C2191*IF(Settings!$B$23=Settings!$C$6,1,IF(Settings!$B$23="USD",1/INDEX(Settings!$B$29:$B$40,MONTH(A2191)),INDEX(Settings!$B$29:$B$40,MONTH(A2191)))))</f>
        <v/>
      </c>
    </row>
    <row r="2192" customFormat="false" ht="15" hidden="false" customHeight="false" outlineLevel="0" collapsed="false">
      <c r="H2192" s="0" t="str">
        <f aca="false">IF(B2192="","",IF(COUNTIF(Campaigns!$A$7:$A$300,B2192)&gt;0,"✓","⚠ add to Campaigns tab"))</f>
        <v/>
      </c>
      <c r="I2192" s="84" t="str">
        <f aca="false">IF(C2192="","",C2192*IF(Settings!$B$23=Settings!$C$6,1,IF(Settings!$B$23="USD",1/INDEX(Settings!$B$29:$B$40,MONTH(A2192)),INDEX(Settings!$B$29:$B$40,MONTH(A2192)))))</f>
        <v/>
      </c>
    </row>
    <row r="2193" customFormat="false" ht="15" hidden="false" customHeight="false" outlineLevel="0" collapsed="false">
      <c r="H2193" s="0" t="str">
        <f aca="false">IF(B2193="","",IF(COUNTIF(Campaigns!$A$7:$A$300,B2193)&gt;0,"✓","⚠ add to Campaigns tab"))</f>
        <v/>
      </c>
      <c r="I2193" s="84" t="str">
        <f aca="false">IF(C2193="","",C2193*IF(Settings!$B$23=Settings!$C$6,1,IF(Settings!$B$23="USD",1/INDEX(Settings!$B$29:$B$40,MONTH(A2193)),INDEX(Settings!$B$29:$B$40,MONTH(A2193)))))</f>
        <v/>
      </c>
    </row>
    <row r="2194" customFormat="false" ht="15" hidden="false" customHeight="false" outlineLevel="0" collapsed="false">
      <c r="H2194" s="0" t="str">
        <f aca="false">IF(B2194="","",IF(COUNTIF(Campaigns!$A$7:$A$300,B2194)&gt;0,"✓","⚠ add to Campaigns tab"))</f>
        <v/>
      </c>
      <c r="I2194" s="84" t="str">
        <f aca="false">IF(C2194="","",C2194*IF(Settings!$B$23=Settings!$C$6,1,IF(Settings!$B$23="USD",1/INDEX(Settings!$B$29:$B$40,MONTH(A2194)),INDEX(Settings!$B$29:$B$40,MONTH(A2194)))))</f>
        <v/>
      </c>
    </row>
    <row r="2195" customFormat="false" ht="15" hidden="false" customHeight="false" outlineLevel="0" collapsed="false">
      <c r="H2195" s="0" t="str">
        <f aca="false">IF(B2195="","",IF(COUNTIF(Campaigns!$A$7:$A$300,B2195)&gt;0,"✓","⚠ add to Campaigns tab"))</f>
        <v/>
      </c>
      <c r="I2195" s="84" t="str">
        <f aca="false">IF(C2195="","",C2195*IF(Settings!$B$23=Settings!$C$6,1,IF(Settings!$B$23="USD",1/INDEX(Settings!$B$29:$B$40,MONTH(A2195)),INDEX(Settings!$B$29:$B$40,MONTH(A2195)))))</f>
        <v/>
      </c>
    </row>
    <row r="2196" customFormat="false" ht="15" hidden="false" customHeight="false" outlineLevel="0" collapsed="false">
      <c r="H2196" s="0" t="str">
        <f aca="false">IF(B2196="","",IF(COUNTIF(Campaigns!$A$7:$A$300,B2196)&gt;0,"✓","⚠ add to Campaigns tab"))</f>
        <v/>
      </c>
      <c r="I2196" s="84" t="str">
        <f aca="false">IF(C2196="","",C2196*IF(Settings!$B$23=Settings!$C$6,1,IF(Settings!$B$23="USD",1/INDEX(Settings!$B$29:$B$40,MONTH(A2196)),INDEX(Settings!$B$29:$B$40,MONTH(A2196)))))</f>
        <v/>
      </c>
    </row>
    <row r="2197" customFormat="false" ht="15" hidden="false" customHeight="false" outlineLevel="0" collapsed="false">
      <c r="H2197" s="0" t="str">
        <f aca="false">IF(B2197="","",IF(COUNTIF(Campaigns!$A$7:$A$300,B2197)&gt;0,"✓","⚠ add to Campaigns tab"))</f>
        <v/>
      </c>
      <c r="I2197" s="84" t="str">
        <f aca="false">IF(C2197="","",C2197*IF(Settings!$B$23=Settings!$C$6,1,IF(Settings!$B$23="USD",1/INDEX(Settings!$B$29:$B$40,MONTH(A2197)),INDEX(Settings!$B$29:$B$40,MONTH(A2197)))))</f>
        <v/>
      </c>
    </row>
    <row r="2198" customFormat="false" ht="15" hidden="false" customHeight="false" outlineLevel="0" collapsed="false">
      <c r="H2198" s="0" t="str">
        <f aca="false">IF(B2198="","",IF(COUNTIF(Campaigns!$A$7:$A$300,B2198)&gt;0,"✓","⚠ add to Campaigns tab"))</f>
        <v/>
      </c>
      <c r="I2198" s="84" t="str">
        <f aca="false">IF(C2198="","",C2198*IF(Settings!$B$23=Settings!$C$6,1,IF(Settings!$B$23="USD",1/INDEX(Settings!$B$29:$B$40,MONTH(A2198)),INDEX(Settings!$B$29:$B$40,MONTH(A2198)))))</f>
        <v/>
      </c>
    </row>
    <row r="2199" customFormat="false" ht="15" hidden="false" customHeight="false" outlineLevel="0" collapsed="false">
      <c r="H2199" s="0" t="str">
        <f aca="false">IF(B2199="","",IF(COUNTIF(Campaigns!$A$7:$A$300,B2199)&gt;0,"✓","⚠ add to Campaigns tab"))</f>
        <v/>
      </c>
      <c r="I2199" s="84" t="str">
        <f aca="false">IF(C2199="","",C2199*IF(Settings!$B$23=Settings!$C$6,1,IF(Settings!$B$23="USD",1/INDEX(Settings!$B$29:$B$40,MONTH(A2199)),INDEX(Settings!$B$29:$B$40,MONTH(A2199)))))</f>
        <v/>
      </c>
    </row>
    <row r="2200" customFormat="false" ht="15" hidden="false" customHeight="false" outlineLevel="0" collapsed="false">
      <c r="H2200" s="0" t="str">
        <f aca="false">IF(B2200="","",IF(COUNTIF(Campaigns!$A$7:$A$300,B2200)&gt;0,"✓","⚠ add to Campaigns tab"))</f>
        <v/>
      </c>
      <c r="I2200" s="84" t="str">
        <f aca="false">IF(C2200="","",C2200*IF(Settings!$B$23=Settings!$C$6,1,IF(Settings!$B$23="USD",1/INDEX(Settings!$B$29:$B$40,MONTH(A2200)),INDEX(Settings!$B$29:$B$40,MONTH(A2200)))))</f>
        <v/>
      </c>
    </row>
    <row r="2201" customFormat="false" ht="15" hidden="false" customHeight="false" outlineLevel="0" collapsed="false">
      <c r="H2201" s="0" t="str">
        <f aca="false">IF(B2201="","",IF(COUNTIF(Campaigns!$A$7:$A$300,B2201)&gt;0,"✓","⚠ add to Campaigns tab"))</f>
        <v/>
      </c>
      <c r="I2201" s="84" t="str">
        <f aca="false">IF(C2201="","",C2201*IF(Settings!$B$23=Settings!$C$6,1,IF(Settings!$B$23="USD",1/INDEX(Settings!$B$29:$B$40,MONTH(A2201)),INDEX(Settings!$B$29:$B$40,MONTH(A2201)))))</f>
        <v/>
      </c>
    </row>
    <row r="2202" customFormat="false" ht="15" hidden="false" customHeight="false" outlineLevel="0" collapsed="false">
      <c r="H2202" s="0" t="str">
        <f aca="false">IF(B2202="","",IF(COUNTIF(Campaigns!$A$7:$A$300,B2202)&gt;0,"✓","⚠ add to Campaigns tab"))</f>
        <v/>
      </c>
      <c r="I2202" s="84" t="str">
        <f aca="false">IF(C2202="","",C2202*IF(Settings!$B$23=Settings!$C$6,1,IF(Settings!$B$23="USD",1/INDEX(Settings!$B$29:$B$40,MONTH(A2202)),INDEX(Settings!$B$29:$B$40,MONTH(A2202)))))</f>
        <v/>
      </c>
    </row>
    <row r="2203" customFormat="false" ht="15" hidden="false" customHeight="false" outlineLevel="0" collapsed="false">
      <c r="H2203" s="0" t="str">
        <f aca="false">IF(B2203="","",IF(COUNTIF(Campaigns!$A$7:$A$300,B2203)&gt;0,"✓","⚠ add to Campaigns tab"))</f>
        <v/>
      </c>
      <c r="I2203" s="84" t="str">
        <f aca="false">IF(C2203="","",C2203*IF(Settings!$B$23=Settings!$C$6,1,IF(Settings!$B$23="USD",1/INDEX(Settings!$B$29:$B$40,MONTH(A2203)),INDEX(Settings!$B$29:$B$40,MONTH(A2203)))))</f>
        <v/>
      </c>
    </row>
    <row r="2204" customFormat="false" ht="15" hidden="false" customHeight="false" outlineLevel="0" collapsed="false">
      <c r="H2204" s="0" t="str">
        <f aca="false">IF(B2204="","",IF(COUNTIF(Campaigns!$A$7:$A$300,B2204)&gt;0,"✓","⚠ add to Campaigns tab"))</f>
        <v/>
      </c>
      <c r="I2204" s="84" t="str">
        <f aca="false">IF(C2204="","",C2204*IF(Settings!$B$23=Settings!$C$6,1,IF(Settings!$B$23="USD",1/INDEX(Settings!$B$29:$B$40,MONTH(A2204)),INDEX(Settings!$B$29:$B$40,MONTH(A2204)))))</f>
        <v/>
      </c>
    </row>
    <row r="2205" customFormat="false" ht="15" hidden="false" customHeight="false" outlineLevel="0" collapsed="false">
      <c r="H2205" s="0" t="str">
        <f aca="false">IF(B2205="","",IF(COUNTIF(Campaigns!$A$7:$A$300,B2205)&gt;0,"✓","⚠ add to Campaigns tab"))</f>
        <v/>
      </c>
      <c r="I2205" s="84" t="str">
        <f aca="false">IF(C2205="","",C2205*IF(Settings!$B$23=Settings!$C$6,1,IF(Settings!$B$23="USD",1/INDEX(Settings!$B$29:$B$40,MONTH(A2205)),INDEX(Settings!$B$29:$B$40,MONTH(A2205)))))</f>
        <v/>
      </c>
    </row>
    <row r="2206" customFormat="false" ht="15" hidden="false" customHeight="false" outlineLevel="0" collapsed="false">
      <c r="H2206" s="0" t="str">
        <f aca="false">IF(B2206="","",IF(COUNTIF(Campaigns!$A$7:$A$300,B2206)&gt;0,"✓","⚠ add to Campaigns tab"))</f>
        <v/>
      </c>
      <c r="I2206" s="84" t="str">
        <f aca="false">IF(C2206="","",C2206*IF(Settings!$B$23=Settings!$C$6,1,IF(Settings!$B$23="USD",1/INDEX(Settings!$B$29:$B$40,MONTH(A2206)),INDEX(Settings!$B$29:$B$40,MONTH(A2206)))))</f>
        <v/>
      </c>
    </row>
    <row r="2207" customFormat="false" ht="15" hidden="false" customHeight="false" outlineLevel="0" collapsed="false">
      <c r="H2207" s="0" t="str">
        <f aca="false">IF(B2207="","",IF(COUNTIF(Campaigns!$A$7:$A$300,B2207)&gt;0,"✓","⚠ add to Campaigns tab"))</f>
        <v/>
      </c>
      <c r="I2207" s="84" t="str">
        <f aca="false">IF(C2207="","",C2207*IF(Settings!$B$23=Settings!$C$6,1,IF(Settings!$B$23="USD",1/INDEX(Settings!$B$29:$B$40,MONTH(A2207)),INDEX(Settings!$B$29:$B$40,MONTH(A2207)))))</f>
        <v/>
      </c>
    </row>
    <row r="2208" customFormat="false" ht="15" hidden="false" customHeight="false" outlineLevel="0" collapsed="false">
      <c r="H2208" s="0" t="str">
        <f aca="false">IF(B2208="","",IF(COUNTIF(Campaigns!$A$7:$A$300,B2208)&gt;0,"✓","⚠ add to Campaigns tab"))</f>
        <v/>
      </c>
      <c r="I2208" s="84" t="str">
        <f aca="false">IF(C2208="","",C2208*IF(Settings!$B$23=Settings!$C$6,1,IF(Settings!$B$23="USD",1/INDEX(Settings!$B$29:$B$40,MONTH(A2208)),INDEX(Settings!$B$29:$B$40,MONTH(A2208)))))</f>
        <v/>
      </c>
    </row>
    <row r="2209" customFormat="false" ht="15" hidden="false" customHeight="false" outlineLevel="0" collapsed="false">
      <c r="H2209" s="0" t="str">
        <f aca="false">IF(B2209="","",IF(COUNTIF(Campaigns!$A$7:$A$300,B2209)&gt;0,"✓","⚠ add to Campaigns tab"))</f>
        <v/>
      </c>
      <c r="I2209" s="84" t="str">
        <f aca="false">IF(C2209="","",C2209*IF(Settings!$B$23=Settings!$C$6,1,IF(Settings!$B$23="USD",1/INDEX(Settings!$B$29:$B$40,MONTH(A2209)),INDEX(Settings!$B$29:$B$40,MONTH(A2209)))))</f>
        <v/>
      </c>
    </row>
    <row r="2210" customFormat="false" ht="15" hidden="false" customHeight="false" outlineLevel="0" collapsed="false">
      <c r="H2210" s="0" t="str">
        <f aca="false">IF(B2210="","",IF(COUNTIF(Campaigns!$A$7:$A$300,B2210)&gt;0,"✓","⚠ add to Campaigns tab"))</f>
        <v/>
      </c>
      <c r="I2210" s="84" t="str">
        <f aca="false">IF(C2210="","",C2210*IF(Settings!$B$23=Settings!$C$6,1,IF(Settings!$B$23="USD",1/INDEX(Settings!$B$29:$B$40,MONTH(A2210)),INDEX(Settings!$B$29:$B$40,MONTH(A2210)))))</f>
        <v/>
      </c>
    </row>
    <row r="2211" customFormat="false" ht="15" hidden="false" customHeight="false" outlineLevel="0" collapsed="false">
      <c r="H2211" s="0" t="str">
        <f aca="false">IF(B2211="","",IF(COUNTIF(Campaigns!$A$7:$A$300,B2211)&gt;0,"✓","⚠ add to Campaigns tab"))</f>
        <v/>
      </c>
      <c r="I2211" s="84" t="str">
        <f aca="false">IF(C2211="","",C2211*IF(Settings!$B$23=Settings!$C$6,1,IF(Settings!$B$23="USD",1/INDEX(Settings!$B$29:$B$40,MONTH(A2211)),INDEX(Settings!$B$29:$B$40,MONTH(A2211)))))</f>
        <v/>
      </c>
    </row>
    <row r="2212" customFormat="false" ht="15" hidden="false" customHeight="false" outlineLevel="0" collapsed="false">
      <c r="H2212" s="0" t="str">
        <f aca="false">IF(B2212="","",IF(COUNTIF(Campaigns!$A$7:$A$300,B2212)&gt;0,"✓","⚠ add to Campaigns tab"))</f>
        <v/>
      </c>
      <c r="I2212" s="84" t="str">
        <f aca="false">IF(C2212="","",C2212*IF(Settings!$B$23=Settings!$C$6,1,IF(Settings!$B$23="USD",1/INDEX(Settings!$B$29:$B$40,MONTH(A2212)),INDEX(Settings!$B$29:$B$40,MONTH(A2212)))))</f>
        <v/>
      </c>
    </row>
    <row r="2213" customFormat="false" ht="15" hidden="false" customHeight="false" outlineLevel="0" collapsed="false">
      <c r="H2213" s="0" t="str">
        <f aca="false">IF(B2213="","",IF(COUNTIF(Campaigns!$A$7:$A$300,B2213)&gt;0,"✓","⚠ add to Campaigns tab"))</f>
        <v/>
      </c>
      <c r="I2213" s="84" t="str">
        <f aca="false">IF(C2213="","",C2213*IF(Settings!$B$23=Settings!$C$6,1,IF(Settings!$B$23="USD",1/INDEX(Settings!$B$29:$B$40,MONTH(A2213)),INDEX(Settings!$B$29:$B$40,MONTH(A2213)))))</f>
        <v/>
      </c>
    </row>
    <row r="2214" customFormat="false" ht="15" hidden="false" customHeight="false" outlineLevel="0" collapsed="false">
      <c r="H2214" s="0" t="str">
        <f aca="false">IF(B2214="","",IF(COUNTIF(Campaigns!$A$7:$A$300,B2214)&gt;0,"✓","⚠ add to Campaigns tab"))</f>
        <v/>
      </c>
      <c r="I2214" s="84" t="str">
        <f aca="false">IF(C2214="","",C2214*IF(Settings!$B$23=Settings!$C$6,1,IF(Settings!$B$23="USD",1/INDEX(Settings!$B$29:$B$40,MONTH(A2214)),INDEX(Settings!$B$29:$B$40,MONTH(A2214)))))</f>
        <v/>
      </c>
    </row>
    <row r="2215" customFormat="false" ht="15" hidden="false" customHeight="false" outlineLevel="0" collapsed="false">
      <c r="H2215" s="0" t="str">
        <f aca="false">IF(B2215="","",IF(COUNTIF(Campaigns!$A$7:$A$300,B2215)&gt;0,"✓","⚠ add to Campaigns tab"))</f>
        <v/>
      </c>
      <c r="I2215" s="84" t="str">
        <f aca="false">IF(C2215="","",C2215*IF(Settings!$B$23=Settings!$C$6,1,IF(Settings!$B$23="USD",1/INDEX(Settings!$B$29:$B$40,MONTH(A2215)),INDEX(Settings!$B$29:$B$40,MONTH(A2215)))))</f>
        <v/>
      </c>
    </row>
    <row r="2216" customFormat="false" ht="15" hidden="false" customHeight="false" outlineLevel="0" collapsed="false">
      <c r="H2216" s="0" t="str">
        <f aca="false">IF(B2216="","",IF(COUNTIF(Campaigns!$A$7:$A$300,B2216)&gt;0,"✓","⚠ add to Campaigns tab"))</f>
        <v/>
      </c>
      <c r="I2216" s="84" t="str">
        <f aca="false">IF(C2216="","",C2216*IF(Settings!$B$23=Settings!$C$6,1,IF(Settings!$B$23="USD",1/INDEX(Settings!$B$29:$B$40,MONTH(A2216)),INDEX(Settings!$B$29:$B$40,MONTH(A2216)))))</f>
        <v/>
      </c>
    </row>
    <row r="2217" customFormat="false" ht="15" hidden="false" customHeight="false" outlineLevel="0" collapsed="false">
      <c r="H2217" s="0" t="str">
        <f aca="false">IF(B2217="","",IF(COUNTIF(Campaigns!$A$7:$A$300,B2217)&gt;0,"✓","⚠ add to Campaigns tab"))</f>
        <v/>
      </c>
      <c r="I2217" s="84" t="str">
        <f aca="false">IF(C2217="","",C2217*IF(Settings!$B$23=Settings!$C$6,1,IF(Settings!$B$23="USD",1/INDEX(Settings!$B$29:$B$40,MONTH(A2217)),INDEX(Settings!$B$29:$B$40,MONTH(A2217)))))</f>
        <v/>
      </c>
    </row>
    <row r="2218" customFormat="false" ht="15" hidden="false" customHeight="false" outlineLevel="0" collapsed="false">
      <c r="H2218" s="0" t="str">
        <f aca="false">IF(B2218="","",IF(COUNTIF(Campaigns!$A$7:$A$300,B2218)&gt;0,"✓","⚠ add to Campaigns tab"))</f>
        <v/>
      </c>
      <c r="I2218" s="84" t="str">
        <f aca="false">IF(C2218="","",C2218*IF(Settings!$B$23=Settings!$C$6,1,IF(Settings!$B$23="USD",1/INDEX(Settings!$B$29:$B$40,MONTH(A2218)),INDEX(Settings!$B$29:$B$40,MONTH(A2218)))))</f>
        <v/>
      </c>
    </row>
    <row r="2219" customFormat="false" ht="15" hidden="false" customHeight="false" outlineLevel="0" collapsed="false">
      <c r="H2219" s="0" t="str">
        <f aca="false">IF(B2219="","",IF(COUNTIF(Campaigns!$A$7:$A$300,B2219)&gt;0,"✓","⚠ add to Campaigns tab"))</f>
        <v/>
      </c>
      <c r="I2219" s="84" t="str">
        <f aca="false">IF(C2219="","",C2219*IF(Settings!$B$23=Settings!$C$6,1,IF(Settings!$B$23="USD",1/INDEX(Settings!$B$29:$B$40,MONTH(A2219)),INDEX(Settings!$B$29:$B$40,MONTH(A2219)))))</f>
        <v/>
      </c>
    </row>
    <row r="2220" customFormat="false" ht="15" hidden="false" customHeight="false" outlineLevel="0" collapsed="false">
      <c r="H2220" s="0" t="str">
        <f aca="false">IF(B2220="","",IF(COUNTIF(Campaigns!$A$7:$A$300,B2220)&gt;0,"✓","⚠ add to Campaigns tab"))</f>
        <v/>
      </c>
      <c r="I2220" s="84" t="str">
        <f aca="false">IF(C2220="","",C2220*IF(Settings!$B$23=Settings!$C$6,1,IF(Settings!$B$23="USD",1/INDEX(Settings!$B$29:$B$40,MONTH(A2220)),INDEX(Settings!$B$29:$B$40,MONTH(A2220)))))</f>
        <v/>
      </c>
    </row>
    <row r="2221" customFormat="false" ht="15" hidden="false" customHeight="false" outlineLevel="0" collapsed="false">
      <c r="H2221" s="0" t="str">
        <f aca="false">IF(B2221="","",IF(COUNTIF(Campaigns!$A$7:$A$300,B2221)&gt;0,"✓","⚠ add to Campaigns tab"))</f>
        <v/>
      </c>
      <c r="I2221" s="84" t="str">
        <f aca="false">IF(C2221="","",C2221*IF(Settings!$B$23=Settings!$C$6,1,IF(Settings!$B$23="USD",1/INDEX(Settings!$B$29:$B$40,MONTH(A2221)),INDEX(Settings!$B$29:$B$40,MONTH(A2221)))))</f>
        <v/>
      </c>
    </row>
    <row r="2222" customFormat="false" ht="15" hidden="false" customHeight="false" outlineLevel="0" collapsed="false">
      <c r="H2222" s="0" t="str">
        <f aca="false">IF(B2222="","",IF(COUNTIF(Campaigns!$A$7:$A$300,B2222)&gt;0,"✓","⚠ add to Campaigns tab"))</f>
        <v/>
      </c>
      <c r="I2222" s="84" t="str">
        <f aca="false">IF(C2222="","",C2222*IF(Settings!$B$23=Settings!$C$6,1,IF(Settings!$B$23="USD",1/INDEX(Settings!$B$29:$B$40,MONTH(A2222)),INDEX(Settings!$B$29:$B$40,MONTH(A2222)))))</f>
        <v/>
      </c>
    </row>
    <row r="2223" customFormat="false" ht="15" hidden="false" customHeight="false" outlineLevel="0" collapsed="false">
      <c r="H2223" s="0" t="str">
        <f aca="false">IF(B2223="","",IF(COUNTIF(Campaigns!$A$7:$A$300,B2223)&gt;0,"✓","⚠ add to Campaigns tab"))</f>
        <v/>
      </c>
      <c r="I2223" s="84" t="str">
        <f aca="false">IF(C2223="","",C2223*IF(Settings!$B$23=Settings!$C$6,1,IF(Settings!$B$23="USD",1/INDEX(Settings!$B$29:$B$40,MONTH(A2223)),INDEX(Settings!$B$29:$B$40,MONTH(A2223)))))</f>
        <v/>
      </c>
    </row>
    <row r="2224" customFormat="false" ht="15" hidden="false" customHeight="false" outlineLevel="0" collapsed="false">
      <c r="H2224" s="0" t="str">
        <f aca="false">IF(B2224="","",IF(COUNTIF(Campaigns!$A$7:$A$300,B2224)&gt;0,"✓","⚠ add to Campaigns tab"))</f>
        <v/>
      </c>
      <c r="I2224" s="84" t="str">
        <f aca="false">IF(C2224="","",C2224*IF(Settings!$B$23=Settings!$C$6,1,IF(Settings!$B$23="USD",1/INDEX(Settings!$B$29:$B$40,MONTH(A2224)),INDEX(Settings!$B$29:$B$40,MONTH(A2224)))))</f>
        <v/>
      </c>
    </row>
    <row r="2225" customFormat="false" ht="15" hidden="false" customHeight="false" outlineLevel="0" collapsed="false">
      <c r="H2225" s="0" t="str">
        <f aca="false">IF(B2225="","",IF(COUNTIF(Campaigns!$A$7:$A$300,B2225)&gt;0,"✓","⚠ add to Campaigns tab"))</f>
        <v/>
      </c>
      <c r="I2225" s="84" t="str">
        <f aca="false">IF(C2225="","",C2225*IF(Settings!$B$23=Settings!$C$6,1,IF(Settings!$B$23="USD",1/INDEX(Settings!$B$29:$B$40,MONTH(A2225)),INDEX(Settings!$B$29:$B$40,MONTH(A2225)))))</f>
        <v/>
      </c>
    </row>
    <row r="2226" customFormat="false" ht="15" hidden="false" customHeight="false" outlineLevel="0" collapsed="false">
      <c r="H2226" s="0" t="str">
        <f aca="false">IF(B2226="","",IF(COUNTIF(Campaigns!$A$7:$A$300,B2226)&gt;0,"✓","⚠ add to Campaigns tab"))</f>
        <v/>
      </c>
      <c r="I2226" s="84" t="str">
        <f aca="false">IF(C2226="","",C2226*IF(Settings!$B$23=Settings!$C$6,1,IF(Settings!$B$23="USD",1/INDEX(Settings!$B$29:$B$40,MONTH(A2226)),INDEX(Settings!$B$29:$B$40,MONTH(A2226)))))</f>
        <v/>
      </c>
    </row>
    <row r="2227" customFormat="false" ht="15" hidden="false" customHeight="false" outlineLevel="0" collapsed="false">
      <c r="H2227" s="0" t="str">
        <f aca="false">IF(B2227="","",IF(COUNTIF(Campaigns!$A$7:$A$300,B2227)&gt;0,"✓","⚠ add to Campaigns tab"))</f>
        <v/>
      </c>
      <c r="I2227" s="84" t="str">
        <f aca="false">IF(C2227="","",C2227*IF(Settings!$B$23=Settings!$C$6,1,IF(Settings!$B$23="USD",1/INDEX(Settings!$B$29:$B$40,MONTH(A2227)),INDEX(Settings!$B$29:$B$40,MONTH(A2227)))))</f>
        <v/>
      </c>
    </row>
    <row r="2228" customFormat="false" ht="15" hidden="false" customHeight="false" outlineLevel="0" collapsed="false">
      <c r="H2228" s="0" t="str">
        <f aca="false">IF(B2228="","",IF(COUNTIF(Campaigns!$A$7:$A$300,B2228)&gt;0,"✓","⚠ add to Campaigns tab"))</f>
        <v/>
      </c>
      <c r="I2228" s="84" t="str">
        <f aca="false">IF(C2228="","",C2228*IF(Settings!$B$23=Settings!$C$6,1,IF(Settings!$B$23="USD",1/INDEX(Settings!$B$29:$B$40,MONTH(A2228)),INDEX(Settings!$B$29:$B$40,MONTH(A2228)))))</f>
        <v/>
      </c>
    </row>
    <row r="2229" customFormat="false" ht="15" hidden="false" customHeight="false" outlineLevel="0" collapsed="false">
      <c r="H2229" s="0" t="str">
        <f aca="false">IF(B2229="","",IF(COUNTIF(Campaigns!$A$7:$A$300,B2229)&gt;0,"✓","⚠ add to Campaigns tab"))</f>
        <v/>
      </c>
      <c r="I2229" s="84" t="str">
        <f aca="false">IF(C2229="","",C2229*IF(Settings!$B$23=Settings!$C$6,1,IF(Settings!$B$23="USD",1/INDEX(Settings!$B$29:$B$40,MONTH(A2229)),INDEX(Settings!$B$29:$B$40,MONTH(A2229)))))</f>
        <v/>
      </c>
    </row>
    <row r="2230" customFormat="false" ht="15" hidden="false" customHeight="false" outlineLevel="0" collapsed="false">
      <c r="H2230" s="0" t="str">
        <f aca="false">IF(B2230="","",IF(COUNTIF(Campaigns!$A$7:$A$300,B2230)&gt;0,"✓","⚠ add to Campaigns tab"))</f>
        <v/>
      </c>
      <c r="I2230" s="84" t="str">
        <f aca="false">IF(C2230="","",C2230*IF(Settings!$B$23=Settings!$C$6,1,IF(Settings!$B$23="USD",1/INDEX(Settings!$B$29:$B$40,MONTH(A2230)),INDEX(Settings!$B$29:$B$40,MONTH(A2230)))))</f>
        <v/>
      </c>
    </row>
    <row r="2231" customFormat="false" ht="15" hidden="false" customHeight="false" outlineLevel="0" collapsed="false">
      <c r="H2231" s="0" t="str">
        <f aca="false">IF(B2231="","",IF(COUNTIF(Campaigns!$A$7:$A$300,B2231)&gt;0,"✓","⚠ add to Campaigns tab"))</f>
        <v/>
      </c>
      <c r="I2231" s="84" t="str">
        <f aca="false">IF(C2231="","",C2231*IF(Settings!$B$23=Settings!$C$6,1,IF(Settings!$B$23="USD",1/INDEX(Settings!$B$29:$B$40,MONTH(A2231)),INDEX(Settings!$B$29:$B$40,MONTH(A2231)))))</f>
        <v/>
      </c>
    </row>
    <row r="2232" customFormat="false" ht="15" hidden="false" customHeight="false" outlineLevel="0" collapsed="false">
      <c r="H2232" s="0" t="str">
        <f aca="false">IF(B2232="","",IF(COUNTIF(Campaigns!$A$7:$A$300,B2232)&gt;0,"✓","⚠ add to Campaigns tab"))</f>
        <v/>
      </c>
      <c r="I2232" s="84" t="str">
        <f aca="false">IF(C2232="","",C2232*IF(Settings!$B$23=Settings!$C$6,1,IF(Settings!$B$23="USD",1/INDEX(Settings!$B$29:$B$40,MONTH(A2232)),INDEX(Settings!$B$29:$B$40,MONTH(A2232)))))</f>
        <v/>
      </c>
    </row>
    <row r="2233" customFormat="false" ht="15" hidden="false" customHeight="false" outlineLevel="0" collapsed="false">
      <c r="H2233" s="0" t="str">
        <f aca="false">IF(B2233="","",IF(COUNTIF(Campaigns!$A$7:$A$300,B2233)&gt;0,"✓","⚠ add to Campaigns tab"))</f>
        <v/>
      </c>
      <c r="I2233" s="84" t="str">
        <f aca="false">IF(C2233="","",C2233*IF(Settings!$B$23=Settings!$C$6,1,IF(Settings!$B$23="USD",1/INDEX(Settings!$B$29:$B$40,MONTH(A2233)),INDEX(Settings!$B$29:$B$40,MONTH(A2233)))))</f>
        <v/>
      </c>
    </row>
    <row r="2234" customFormat="false" ht="15" hidden="false" customHeight="false" outlineLevel="0" collapsed="false">
      <c r="H2234" s="0" t="str">
        <f aca="false">IF(B2234="","",IF(COUNTIF(Campaigns!$A$7:$A$300,B2234)&gt;0,"✓","⚠ add to Campaigns tab"))</f>
        <v/>
      </c>
      <c r="I2234" s="84" t="str">
        <f aca="false">IF(C2234="","",C2234*IF(Settings!$B$23=Settings!$C$6,1,IF(Settings!$B$23="USD",1/INDEX(Settings!$B$29:$B$40,MONTH(A2234)),INDEX(Settings!$B$29:$B$40,MONTH(A2234)))))</f>
        <v/>
      </c>
    </row>
    <row r="2235" customFormat="false" ht="15" hidden="false" customHeight="false" outlineLevel="0" collapsed="false">
      <c r="H2235" s="0" t="str">
        <f aca="false">IF(B2235="","",IF(COUNTIF(Campaigns!$A$7:$A$300,B2235)&gt;0,"✓","⚠ add to Campaigns tab"))</f>
        <v/>
      </c>
      <c r="I2235" s="84" t="str">
        <f aca="false">IF(C2235="","",C2235*IF(Settings!$B$23=Settings!$C$6,1,IF(Settings!$B$23="USD",1/INDEX(Settings!$B$29:$B$40,MONTH(A2235)),INDEX(Settings!$B$29:$B$40,MONTH(A2235)))))</f>
        <v/>
      </c>
    </row>
    <row r="2236" customFormat="false" ht="15" hidden="false" customHeight="false" outlineLevel="0" collapsed="false">
      <c r="H2236" s="0" t="str">
        <f aca="false">IF(B2236="","",IF(COUNTIF(Campaigns!$A$7:$A$300,B2236)&gt;0,"✓","⚠ add to Campaigns tab"))</f>
        <v/>
      </c>
      <c r="I2236" s="84" t="str">
        <f aca="false">IF(C2236="","",C2236*IF(Settings!$B$23=Settings!$C$6,1,IF(Settings!$B$23="USD",1/INDEX(Settings!$B$29:$B$40,MONTH(A2236)),INDEX(Settings!$B$29:$B$40,MONTH(A2236)))))</f>
        <v/>
      </c>
    </row>
    <row r="2237" customFormat="false" ht="15" hidden="false" customHeight="false" outlineLevel="0" collapsed="false">
      <c r="H2237" s="0" t="str">
        <f aca="false">IF(B2237="","",IF(COUNTIF(Campaigns!$A$7:$A$300,B2237)&gt;0,"✓","⚠ add to Campaigns tab"))</f>
        <v/>
      </c>
      <c r="I2237" s="84" t="str">
        <f aca="false">IF(C2237="","",C2237*IF(Settings!$B$23=Settings!$C$6,1,IF(Settings!$B$23="USD",1/INDEX(Settings!$B$29:$B$40,MONTH(A2237)),INDEX(Settings!$B$29:$B$40,MONTH(A2237)))))</f>
        <v/>
      </c>
    </row>
    <row r="2238" customFormat="false" ht="15" hidden="false" customHeight="false" outlineLevel="0" collapsed="false">
      <c r="H2238" s="0" t="str">
        <f aca="false">IF(B2238="","",IF(COUNTIF(Campaigns!$A$7:$A$300,B2238)&gt;0,"✓","⚠ add to Campaigns tab"))</f>
        <v/>
      </c>
      <c r="I2238" s="84" t="str">
        <f aca="false">IF(C2238="","",C2238*IF(Settings!$B$23=Settings!$C$6,1,IF(Settings!$B$23="USD",1/INDEX(Settings!$B$29:$B$40,MONTH(A2238)),INDEX(Settings!$B$29:$B$40,MONTH(A2238)))))</f>
        <v/>
      </c>
    </row>
    <row r="2239" customFormat="false" ht="15" hidden="false" customHeight="false" outlineLevel="0" collapsed="false">
      <c r="H2239" s="0" t="str">
        <f aca="false">IF(B2239="","",IF(COUNTIF(Campaigns!$A$7:$A$300,B2239)&gt;0,"✓","⚠ add to Campaigns tab"))</f>
        <v/>
      </c>
      <c r="I2239" s="84" t="str">
        <f aca="false">IF(C2239="","",C2239*IF(Settings!$B$23=Settings!$C$6,1,IF(Settings!$B$23="USD",1/INDEX(Settings!$B$29:$B$40,MONTH(A2239)),INDEX(Settings!$B$29:$B$40,MONTH(A2239)))))</f>
        <v/>
      </c>
    </row>
    <row r="2240" customFormat="false" ht="15" hidden="false" customHeight="false" outlineLevel="0" collapsed="false">
      <c r="H2240" s="0" t="str">
        <f aca="false">IF(B2240="","",IF(COUNTIF(Campaigns!$A$7:$A$300,B2240)&gt;0,"✓","⚠ add to Campaigns tab"))</f>
        <v/>
      </c>
      <c r="I2240" s="84" t="str">
        <f aca="false">IF(C2240="","",C2240*IF(Settings!$B$23=Settings!$C$6,1,IF(Settings!$B$23="USD",1/INDEX(Settings!$B$29:$B$40,MONTH(A2240)),INDEX(Settings!$B$29:$B$40,MONTH(A2240)))))</f>
        <v/>
      </c>
    </row>
    <row r="2241" customFormat="false" ht="15" hidden="false" customHeight="false" outlineLevel="0" collapsed="false">
      <c r="H2241" s="0" t="str">
        <f aca="false">IF(B2241="","",IF(COUNTIF(Campaigns!$A$7:$A$300,B2241)&gt;0,"✓","⚠ add to Campaigns tab"))</f>
        <v/>
      </c>
      <c r="I2241" s="84" t="str">
        <f aca="false">IF(C2241="","",C2241*IF(Settings!$B$23=Settings!$C$6,1,IF(Settings!$B$23="USD",1/INDEX(Settings!$B$29:$B$40,MONTH(A2241)),INDEX(Settings!$B$29:$B$40,MONTH(A2241)))))</f>
        <v/>
      </c>
    </row>
    <row r="2242" customFormat="false" ht="15" hidden="false" customHeight="false" outlineLevel="0" collapsed="false">
      <c r="H2242" s="0" t="str">
        <f aca="false">IF(B2242="","",IF(COUNTIF(Campaigns!$A$7:$A$300,B2242)&gt;0,"✓","⚠ add to Campaigns tab"))</f>
        <v/>
      </c>
      <c r="I2242" s="84" t="str">
        <f aca="false">IF(C2242="","",C2242*IF(Settings!$B$23=Settings!$C$6,1,IF(Settings!$B$23="USD",1/INDEX(Settings!$B$29:$B$40,MONTH(A2242)),INDEX(Settings!$B$29:$B$40,MONTH(A2242)))))</f>
        <v/>
      </c>
    </row>
    <row r="2243" customFormat="false" ht="15" hidden="false" customHeight="false" outlineLevel="0" collapsed="false">
      <c r="H2243" s="0" t="str">
        <f aca="false">IF(B2243="","",IF(COUNTIF(Campaigns!$A$7:$A$300,B2243)&gt;0,"✓","⚠ add to Campaigns tab"))</f>
        <v/>
      </c>
      <c r="I2243" s="84" t="str">
        <f aca="false">IF(C2243="","",C2243*IF(Settings!$B$23=Settings!$C$6,1,IF(Settings!$B$23="USD",1/INDEX(Settings!$B$29:$B$40,MONTH(A2243)),INDEX(Settings!$B$29:$B$40,MONTH(A2243)))))</f>
        <v/>
      </c>
    </row>
    <row r="2244" customFormat="false" ht="15" hidden="false" customHeight="false" outlineLevel="0" collapsed="false">
      <c r="H2244" s="0" t="str">
        <f aca="false">IF(B2244="","",IF(COUNTIF(Campaigns!$A$7:$A$300,B2244)&gt;0,"✓","⚠ add to Campaigns tab"))</f>
        <v/>
      </c>
      <c r="I2244" s="84" t="str">
        <f aca="false">IF(C2244="","",C2244*IF(Settings!$B$23=Settings!$C$6,1,IF(Settings!$B$23="USD",1/INDEX(Settings!$B$29:$B$40,MONTH(A2244)),INDEX(Settings!$B$29:$B$40,MONTH(A2244)))))</f>
        <v/>
      </c>
    </row>
    <row r="2245" customFormat="false" ht="15" hidden="false" customHeight="false" outlineLevel="0" collapsed="false">
      <c r="H2245" s="0" t="str">
        <f aca="false">IF(B2245="","",IF(COUNTIF(Campaigns!$A$7:$A$300,B2245)&gt;0,"✓","⚠ add to Campaigns tab"))</f>
        <v/>
      </c>
      <c r="I2245" s="84" t="str">
        <f aca="false">IF(C2245="","",C2245*IF(Settings!$B$23=Settings!$C$6,1,IF(Settings!$B$23="USD",1/INDEX(Settings!$B$29:$B$40,MONTH(A2245)),INDEX(Settings!$B$29:$B$40,MONTH(A2245)))))</f>
        <v/>
      </c>
    </row>
    <row r="2246" customFormat="false" ht="15" hidden="false" customHeight="false" outlineLevel="0" collapsed="false">
      <c r="H2246" s="0" t="str">
        <f aca="false">IF(B2246="","",IF(COUNTIF(Campaigns!$A$7:$A$300,B2246)&gt;0,"✓","⚠ add to Campaigns tab"))</f>
        <v/>
      </c>
      <c r="I2246" s="84" t="str">
        <f aca="false">IF(C2246="","",C2246*IF(Settings!$B$23=Settings!$C$6,1,IF(Settings!$B$23="USD",1/INDEX(Settings!$B$29:$B$40,MONTH(A2246)),INDEX(Settings!$B$29:$B$40,MONTH(A2246)))))</f>
        <v/>
      </c>
    </row>
    <row r="2247" customFormat="false" ht="15" hidden="false" customHeight="false" outlineLevel="0" collapsed="false">
      <c r="H2247" s="0" t="str">
        <f aca="false">IF(B2247="","",IF(COUNTIF(Campaigns!$A$7:$A$300,B2247)&gt;0,"✓","⚠ add to Campaigns tab"))</f>
        <v/>
      </c>
      <c r="I2247" s="84" t="str">
        <f aca="false">IF(C2247="","",C2247*IF(Settings!$B$23=Settings!$C$6,1,IF(Settings!$B$23="USD",1/INDEX(Settings!$B$29:$B$40,MONTH(A2247)),INDEX(Settings!$B$29:$B$40,MONTH(A2247)))))</f>
        <v/>
      </c>
    </row>
    <row r="2248" customFormat="false" ht="15" hidden="false" customHeight="false" outlineLevel="0" collapsed="false">
      <c r="H2248" s="0" t="str">
        <f aca="false">IF(B2248="","",IF(COUNTIF(Campaigns!$A$7:$A$300,B2248)&gt;0,"✓","⚠ add to Campaigns tab"))</f>
        <v/>
      </c>
      <c r="I2248" s="84" t="str">
        <f aca="false">IF(C2248="","",C2248*IF(Settings!$B$23=Settings!$C$6,1,IF(Settings!$B$23="USD",1/INDEX(Settings!$B$29:$B$40,MONTH(A2248)),INDEX(Settings!$B$29:$B$40,MONTH(A2248)))))</f>
        <v/>
      </c>
    </row>
    <row r="2249" customFormat="false" ht="15" hidden="false" customHeight="false" outlineLevel="0" collapsed="false">
      <c r="H2249" s="0" t="str">
        <f aca="false">IF(B2249="","",IF(COUNTIF(Campaigns!$A$7:$A$300,B2249)&gt;0,"✓","⚠ add to Campaigns tab"))</f>
        <v/>
      </c>
      <c r="I2249" s="84" t="str">
        <f aca="false">IF(C2249="","",C2249*IF(Settings!$B$23=Settings!$C$6,1,IF(Settings!$B$23="USD",1/INDEX(Settings!$B$29:$B$40,MONTH(A2249)),INDEX(Settings!$B$29:$B$40,MONTH(A2249)))))</f>
        <v/>
      </c>
    </row>
    <row r="2250" customFormat="false" ht="15" hidden="false" customHeight="false" outlineLevel="0" collapsed="false">
      <c r="H2250" s="0" t="str">
        <f aca="false">IF(B2250="","",IF(COUNTIF(Campaigns!$A$7:$A$300,B2250)&gt;0,"✓","⚠ add to Campaigns tab"))</f>
        <v/>
      </c>
      <c r="I2250" s="84" t="str">
        <f aca="false">IF(C2250="","",C2250*IF(Settings!$B$23=Settings!$C$6,1,IF(Settings!$B$23="USD",1/INDEX(Settings!$B$29:$B$40,MONTH(A2250)),INDEX(Settings!$B$29:$B$40,MONTH(A2250)))))</f>
        <v/>
      </c>
    </row>
    <row r="2251" customFormat="false" ht="15" hidden="false" customHeight="false" outlineLevel="0" collapsed="false">
      <c r="H2251" s="0" t="str">
        <f aca="false">IF(B2251="","",IF(COUNTIF(Campaigns!$A$7:$A$300,B2251)&gt;0,"✓","⚠ add to Campaigns tab"))</f>
        <v/>
      </c>
      <c r="I2251" s="84" t="str">
        <f aca="false">IF(C2251="","",C2251*IF(Settings!$B$23=Settings!$C$6,1,IF(Settings!$B$23="USD",1/INDEX(Settings!$B$29:$B$40,MONTH(A2251)),INDEX(Settings!$B$29:$B$40,MONTH(A2251)))))</f>
        <v/>
      </c>
    </row>
    <row r="2252" customFormat="false" ht="15" hidden="false" customHeight="false" outlineLevel="0" collapsed="false">
      <c r="H2252" s="0" t="str">
        <f aca="false">IF(B2252="","",IF(COUNTIF(Campaigns!$A$7:$A$300,B2252)&gt;0,"✓","⚠ add to Campaigns tab"))</f>
        <v/>
      </c>
      <c r="I2252" s="84" t="str">
        <f aca="false">IF(C2252="","",C2252*IF(Settings!$B$23=Settings!$C$6,1,IF(Settings!$B$23="USD",1/INDEX(Settings!$B$29:$B$40,MONTH(A2252)),INDEX(Settings!$B$29:$B$40,MONTH(A2252)))))</f>
        <v/>
      </c>
    </row>
    <row r="2253" customFormat="false" ht="15" hidden="false" customHeight="false" outlineLevel="0" collapsed="false">
      <c r="H2253" s="0" t="str">
        <f aca="false">IF(B2253="","",IF(COUNTIF(Campaigns!$A$7:$A$300,B2253)&gt;0,"✓","⚠ add to Campaigns tab"))</f>
        <v/>
      </c>
      <c r="I2253" s="84" t="str">
        <f aca="false">IF(C2253="","",C2253*IF(Settings!$B$23=Settings!$C$6,1,IF(Settings!$B$23="USD",1/INDEX(Settings!$B$29:$B$40,MONTH(A2253)),INDEX(Settings!$B$29:$B$40,MONTH(A2253)))))</f>
        <v/>
      </c>
    </row>
    <row r="2254" customFormat="false" ht="15" hidden="false" customHeight="false" outlineLevel="0" collapsed="false">
      <c r="H2254" s="0" t="str">
        <f aca="false">IF(B2254="","",IF(COUNTIF(Campaigns!$A$7:$A$300,B2254)&gt;0,"✓","⚠ add to Campaigns tab"))</f>
        <v/>
      </c>
      <c r="I2254" s="84" t="str">
        <f aca="false">IF(C2254="","",C2254*IF(Settings!$B$23=Settings!$C$6,1,IF(Settings!$B$23="USD",1/INDEX(Settings!$B$29:$B$40,MONTH(A2254)),INDEX(Settings!$B$29:$B$40,MONTH(A2254)))))</f>
        <v/>
      </c>
    </row>
    <row r="2255" customFormat="false" ht="15" hidden="false" customHeight="false" outlineLevel="0" collapsed="false">
      <c r="H2255" s="0" t="str">
        <f aca="false">IF(B2255="","",IF(COUNTIF(Campaigns!$A$7:$A$300,B2255)&gt;0,"✓","⚠ add to Campaigns tab"))</f>
        <v/>
      </c>
      <c r="I2255" s="84" t="str">
        <f aca="false">IF(C2255="","",C2255*IF(Settings!$B$23=Settings!$C$6,1,IF(Settings!$B$23="USD",1/INDEX(Settings!$B$29:$B$40,MONTH(A2255)),INDEX(Settings!$B$29:$B$40,MONTH(A2255)))))</f>
        <v/>
      </c>
    </row>
    <row r="2256" customFormat="false" ht="15" hidden="false" customHeight="false" outlineLevel="0" collapsed="false">
      <c r="H2256" s="0" t="str">
        <f aca="false">IF(B2256="","",IF(COUNTIF(Campaigns!$A$7:$A$300,B2256)&gt;0,"✓","⚠ add to Campaigns tab"))</f>
        <v/>
      </c>
      <c r="I2256" s="84" t="str">
        <f aca="false">IF(C2256="","",C2256*IF(Settings!$B$23=Settings!$C$6,1,IF(Settings!$B$23="USD",1/INDEX(Settings!$B$29:$B$40,MONTH(A2256)),INDEX(Settings!$B$29:$B$40,MONTH(A2256)))))</f>
        <v/>
      </c>
    </row>
    <row r="2257" customFormat="false" ht="15" hidden="false" customHeight="false" outlineLevel="0" collapsed="false">
      <c r="H2257" s="0" t="str">
        <f aca="false">IF(B2257="","",IF(COUNTIF(Campaigns!$A$7:$A$300,B2257)&gt;0,"✓","⚠ add to Campaigns tab"))</f>
        <v/>
      </c>
      <c r="I2257" s="84" t="str">
        <f aca="false">IF(C2257="","",C2257*IF(Settings!$B$23=Settings!$C$6,1,IF(Settings!$B$23="USD",1/INDEX(Settings!$B$29:$B$40,MONTH(A2257)),INDEX(Settings!$B$29:$B$40,MONTH(A2257)))))</f>
        <v/>
      </c>
    </row>
    <row r="2258" customFormat="false" ht="15" hidden="false" customHeight="false" outlineLevel="0" collapsed="false">
      <c r="H2258" s="0" t="str">
        <f aca="false">IF(B2258="","",IF(COUNTIF(Campaigns!$A$7:$A$300,B2258)&gt;0,"✓","⚠ add to Campaigns tab"))</f>
        <v/>
      </c>
      <c r="I2258" s="84" t="str">
        <f aca="false">IF(C2258="","",C2258*IF(Settings!$B$23=Settings!$C$6,1,IF(Settings!$B$23="USD",1/INDEX(Settings!$B$29:$B$40,MONTH(A2258)),INDEX(Settings!$B$29:$B$40,MONTH(A2258)))))</f>
        <v/>
      </c>
    </row>
    <row r="2259" customFormat="false" ht="15" hidden="false" customHeight="false" outlineLevel="0" collapsed="false">
      <c r="H2259" s="0" t="str">
        <f aca="false">IF(B2259="","",IF(COUNTIF(Campaigns!$A$7:$A$300,B2259)&gt;0,"✓","⚠ add to Campaigns tab"))</f>
        <v/>
      </c>
      <c r="I2259" s="84" t="str">
        <f aca="false">IF(C2259="","",C2259*IF(Settings!$B$23=Settings!$C$6,1,IF(Settings!$B$23="USD",1/INDEX(Settings!$B$29:$B$40,MONTH(A2259)),INDEX(Settings!$B$29:$B$40,MONTH(A2259)))))</f>
        <v/>
      </c>
    </row>
    <row r="2260" customFormat="false" ht="15" hidden="false" customHeight="false" outlineLevel="0" collapsed="false">
      <c r="H2260" s="0" t="str">
        <f aca="false">IF(B2260="","",IF(COUNTIF(Campaigns!$A$7:$A$300,B2260)&gt;0,"✓","⚠ add to Campaigns tab"))</f>
        <v/>
      </c>
      <c r="I2260" s="84" t="str">
        <f aca="false">IF(C2260="","",C2260*IF(Settings!$B$23=Settings!$C$6,1,IF(Settings!$B$23="USD",1/INDEX(Settings!$B$29:$B$40,MONTH(A2260)),INDEX(Settings!$B$29:$B$40,MONTH(A2260)))))</f>
        <v/>
      </c>
    </row>
    <row r="2261" customFormat="false" ht="15" hidden="false" customHeight="false" outlineLevel="0" collapsed="false">
      <c r="H2261" s="0" t="str">
        <f aca="false">IF(B2261="","",IF(COUNTIF(Campaigns!$A$7:$A$300,B2261)&gt;0,"✓","⚠ add to Campaigns tab"))</f>
        <v/>
      </c>
      <c r="I2261" s="84" t="str">
        <f aca="false">IF(C2261="","",C2261*IF(Settings!$B$23=Settings!$C$6,1,IF(Settings!$B$23="USD",1/INDEX(Settings!$B$29:$B$40,MONTH(A2261)),INDEX(Settings!$B$29:$B$40,MONTH(A2261)))))</f>
        <v/>
      </c>
    </row>
    <row r="2262" customFormat="false" ht="15" hidden="false" customHeight="false" outlineLevel="0" collapsed="false">
      <c r="H2262" s="0" t="str">
        <f aca="false">IF(B2262="","",IF(COUNTIF(Campaigns!$A$7:$A$300,B2262)&gt;0,"✓","⚠ add to Campaigns tab"))</f>
        <v/>
      </c>
      <c r="I2262" s="84" t="str">
        <f aca="false">IF(C2262="","",C2262*IF(Settings!$B$23=Settings!$C$6,1,IF(Settings!$B$23="USD",1/INDEX(Settings!$B$29:$B$40,MONTH(A2262)),INDEX(Settings!$B$29:$B$40,MONTH(A2262)))))</f>
        <v/>
      </c>
    </row>
    <row r="2263" customFormat="false" ht="15" hidden="false" customHeight="false" outlineLevel="0" collapsed="false">
      <c r="H2263" s="0" t="str">
        <f aca="false">IF(B2263="","",IF(COUNTIF(Campaigns!$A$7:$A$300,B2263)&gt;0,"✓","⚠ add to Campaigns tab"))</f>
        <v/>
      </c>
      <c r="I2263" s="84" t="str">
        <f aca="false">IF(C2263="","",C2263*IF(Settings!$B$23=Settings!$C$6,1,IF(Settings!$B$23="USD",1/INDEX(Settings!$B$29:$B$40,MONTH(A2263)),INDEX(Settings!$B$29:$B$40,MONTH(A2263)))))</f>
        <v/>
      </c>
    </row>
    <row r="2264" customFormat="false" ht="15" hidden="false" customHeight="false" outlineLevel="0" collapsed="false">
      <c r="H2264" s="0" t="str">
        <f aca="false">IF(B2264="","",IF(COUNTIF(Campaigns!$A$7:$A$300,B2264)&gt;0,"✓","⚠ add to Campaigns tab"))</f>
        <v/>
      </c>
      <c r="I2264" s="84" t="str">
        <f aca="false">IF(C2264="","",C2264*IF(Settings!$B$23=Settings!$C$6,1,IF(Settings!$B$23="USD",1/INDEX(Settings!$B$29:$B$40,MONTH(A2264)),INDEX(Settings!$B$29:$B$40,MONTH(A2264)))))</f>
        <v/>
      </c>
    </row>
    <row r="2265" customFormat="false" ht="15" hidden="false" customHeight="false" outlineLevel="0" collapsed="false">
      <c r="H2265" s="0" t="str">
        <f aca="false">IF(B2265="","",IF(COUNTIF(Campaigns!$A$7:$A$300,B2265)&gt;0,"✓","⚠ add to Campaigns tab"))</f>
        <v/>
      </c>
      <c r="I2265" s="84" t="str">
        <f aca="false">IF(C2265="","",C2265*IF(Settings!$B$23=Settings!$C$6,1,IF(Settings!$B$23="USD",1/INDEX(Settings!$B$29:$B$40,MONTH(A2265)),INDEX(Settings!$B$29:$B$40,MONTH(A2265)))))</f>
        <v/>
      </c>
    </row>
    <row r="2266" customFormat="false" ht="15" hidden="false" customHeight="false" outlineLevel="0" collapsed="false">
      <c r="H2266" s="0" t="str">
        <f aca="false">IF(B2266="","",IF(COUNTIF(Campaigns!$A$7:$A$300,B2266)&gt;0,"✓","⚠ add to Campaigns tab"))</f>
        <v/>
      </c>
      <c r="I2266" s="84" t="str">
        <f aca="false">IF(C2266="","",C2266*IF(Settings!$B$23=Settings!$C$6,1,IF(Settings!$B$23="USD",1/INDEX(Settings!$B$29:$B$40,MONTH(A2266)),INDEX(Settings!$B$29:$B$40,MONTH(A2266)))))</f>
        <v/>
      </c>
    </row>
    <row r="2267" customFormat="false" ht="15" hidden="false" customHeight="false" outlineLevel="0" collapsed="false">
      <c r="H2267" s="0" t="str">
        <f aca="false">IF(B2267="","",IF(COUNTIF(Campaigns!$A$7:$A$300,B2267)&gt;0,"✓","⚠ add to Campaigns tab"))</f>
        <v/>
      </c>
      <c r="I2267" s="84" t="str">
        <f aca="false">IF(C2267="","",C2267*IF(Settings!$B$23=Settings!$C$6,1,IF(Settings!$B$23="USD",1/INDEX(Settings!$B$29:$B$40,MONTH(A2267)),INDEX(Settings!$B$29:$B$40,MONTH(A2267)))))</f>
        <v/>
      </c>
    </row>
    <row r="2268" customFormat="false" ht="15" hidden="false" customHeight="false" outlineLevel="0" collapsed="false">
      <c r="H2268" s="0" t="str">
        <f aca="false">IF(B2268="","",IF(COUNTIF(Campaigns!$A$7:$A$300,B2268)&gt;0,"✓","⚠ add to Campaigns tab"))</f>
        <v/>
      </c>
      <c r="I2268" s="84" t="str">
        <f aca="false">IF(C2268="","",C2268*IF(Settings!$B$23=Settings!$C$6,1,IF(Settings!$B$23="USD",1/INDEX(Settings!$B$29:$B$40,MONTH(A2268)),INDEX(Settings!$B$29:$B$40,MONTH(A2268)))))</f>
        <v/>
      </c>
    </row>
    <row r="2269" customFormat="false" ht="15" hidden="false" customHeight="false" outlineLevel="0" collapsed="false">
      <c r="H2269" s="0" t="str">
        <f aca="false">IF(B2269="","",IF(COUNTIF(Campaigns!$A$7:$A$300,B2269)&gt;0,"✓","⚠ add to Campaigns tab"))</f>
        <v/>
      </c>
      <c r="I2269" s="84" t="str">
        <f aca="false">IF(C2269="","",C2269*IF(Settings!$B$23=Settings!$C$6,1,IF(Settings!$B$23="USD",1/INDEX(Settings!$B$29:$B$40,MONTH(A2269)),INDEX(Settings!$B$29:$B$40,MONTH(A2269)))))</f>
        <v/>
      </c>
    </row>
    <row r="2270" customFormat="false" ht="15" hidden="false" customHeight="false" outlineLevel="0" collapsed="false">
      <c r="H2270" s="0" t="str">
        <f aca="false">IF(B2270="","",IF(COUNTIF(Campaigns!$A$7:$A$300,B2270)&gt;0,"✓","⚠ add to Campaigns tab"))</f>
        <v/>
      </c>
      <c r="I2270" s="84" t="str">
        <f aca="false">IF(C2270="","",C2270*IF(Settings!$B$23=Settings!$C$6,1,IF(Settings!$B$23="USD",1/INDEX(Settings!$B$29:$B$40,MONTH(A2270)),INDEX(Settings!$B$29:$B$40,MONTH(A2270)))))</f>
        <v/>
      </c>
    </row>
    <row r="2271" customFormat="false" ht="15" hidden="false" customHeight="false" outlineLevel="0" collapsed="false">
      <c r="H2271" s="0" t="str">
        <f aca="false">IF(B2271="","",IF(COUNTIF(Campaigns!$A$7:$A$300,B2271)&gt;0,"✓","⚠ add to Campaigns tab"))</f>
        <v/>
      </c>
      <c r="I2271" s="84" t="str">
        <f aca="false">IF(C2271="","",C2271*IF(Settings!$B$23=Settings!$C$6,1,IF(Settings!$B$23="USD",1/INDEX(Settings!$B$29:$B$40,MONTH(A2271)),INDEX(Settings!$B$29:$B$40,MONTH(A2271)))))</f>
        <v/>
      </c>
    </row>
    <row r="2272" customFormat="false" ht="15" hidden="false" customHeight="false" outlineLevel="0" collapsed="false">
      <c r="H2272" s="0" t="str">
        <f aca="false">IF(B2272="","",IF(COUNTIF(Campaigns!$A$7:$A$300,B2272)&gt;0,"✓","⚠ add to Campaigns tab"))</f>
        <v/>
      </c>
      <c r="I2272" s="84" t="str">
        <f aca="false">IF(C2272="","",C2272*IF(Settings!$B$23=Settings!$C$6,1,IF(Settings!$B$23="USD",1/INDEX(Settings!$B$29:$B$40,MONTH(A2272)),INDEX(Settings!$B$29:$B$40,MONTH(A2272)))))</f>
        <v/>
      </c>
    </row>
    <row r="2273" customFormat="false" ht="15" hidden="false" customHeight="false" outlineLevel="0" collapsed="false">
      <c r="H2273" s="0" t="str">
        <f aca="false">IF(B2273="","",IF(COUNTIF(Campaigns!$A$7:$A$300,B2273)&gt;0,"✓","⚠ add to Campaigns tab"))</f>
        <v/>
      </c>
      <c r="I2273" s="84" t="str">
        <f aca="false">IF(C2273="","",C2273*IF(Settings!$B$23=Settings!$C$6,1,IF(Settings!$B$23="USD",1/INDEX(Settings!$B$29:$B$40,MONTH(A2273)),INDEX(Settings!$B$29:$B$40,MONTH(A2273)))))</f>
        <v/>
      </c>
    </row>
    <row r="2274" customFormat="false" ht="15" hidden="false" customHeight="false" outlineLevel="0" collapsed="false">
      <c r="H2274" s="0" t="str">
        <f aca="false">IF(B2274="","",IF(COUNTIF(Campaigns!$A$7:$A$300,B2274)&gt;0,"✓","⚠ add to Campaigns tab"))</f>
        <v/>
      </c>
      <c r="I2274" s="84" t="str">
        <f aca="false">IF(C2274="","",C2274*IF(Settings!$B$23=Settings!$C$6,1,IF(Settings!$B$23="USD",1/INDEX(Settings!$B$29:$B$40,MONTH(A2274)),INDEX(Settings!$B$29:$B$40,MONTH(A2274)))))</f>
        <v/>
      </c>
    </row>
    <row r="2275" customFormat="false" ht="15" hidden="false" customHeight="false" outlineLevel="0" collapsed="false">
      <c r="H2275" s="0" t="str">
        <f aca="false">IF(B2275="","",IF(COUNTIF(Campaigns!$A$7:$A$300,B2275)&gt;0,"✓","⚠ add to Campaigns tab"))</f>
        <v/>
      </c>
      <c r="I2275" s="84" t="str">
        <f aca="false">IF(C2275="","",C2275*IF(Settings!$B$23=Settings!$C$6,1,IF(Settings!$B$23="USD",1/INDEX(Settings!$B$29:$B$40,MONTH(A2275)),INDEX(Settings!$B$29:$B$40,MONTH(A2275)))))</f>
        <v/>
      </c>
    </row>
    <row r="2276" customFormat="false" ht="15" hidden="false" customHeight="false" outlineLevel="0" collapsed="false">
      <c r="H2276" s="0" t="str">
        <f aca="false">IF(B2276="","",IF(COUNTIF(Campaigns!$A$7:$A$300,B2276)&gt;0,"✓","⚠ add to Campaigns tab"))</f>
        <v/>
      </c>
      <c r="I2276" s="84" t="str">
        <f aca="false">IF(C2276="","",C2276*IF(Settings!$B$23=Settings!$C$6,1,IF(Settings!$B$23="USD",1/INDEX(Settings!$B$29:$B$40,MONTH(A2276)),INDEX(Settings!$B$29:$B$40,MONTH(A2276)))))</f>
        <v/>
      </c>
    </row>
    <row r="2277" customFormat="false" ht="15" hidden="false" customHeight="false" outlineLevel="0" collapsed="false">
      <c r="H2277" s="0" t="str">
        <f aca="false">IF(B2277="","",IF(COUNTIF(Campaigns!$A$7:$A$300,B2277)&gt;0,"✓","⚠ add to Campaigns tab"))</f>
        <v/>
      </c>
      <c r="I2277" s="84" t="str">
        <f aca="false">IF(C2277="","",C2277*IF(Settings!$B$23=Settings!$C$6,1,IF(Settings!$B$23="USD",1/INDEX(Settings!$B$29:$B$40,MONTH(A2277)),INDEX(Settings!$B$29:$B$40,MONTH(A2277)))))</f>
        <v/>
      </c>
    </row>
    <row r="2278" customFormat="false" ht="15" hidden="false" customHeight="false" outlineLevel="0" collapsed="false">
      <c r="H2278" s="0" t="str">
        <f aca="false">IF(B2278="","",IF(COUNTIF(Campaigns!$A$7:$A$300,B2278)&gt;0,"✓","⚠ add to Campaigns tab"))</f>
        <v/>
      </c>
      <c r="I2278" s="84" t="str">
        <f aca="false">IF(C2278="","",C2278*IF(Settings!$B$23=Settings!$C$6,1,IF(Settings!$B$23="USD",1/INDEX(Settings!$B$29:$B$40,MONTH(A2278)),INDEX(Settings!$B$29:$B$40,MONTH(A2278)))))</f>
        <v/>
      </c>
    </row>
    <row r="2279" customFormat="false" ht="15" hidden="false" customHeight="false" outlineLevel="0" collapsed="false">
      <c r="H2279" s="0" t="str">
        <f aca="false">IF(B2279="","",IF(COUNTIF(Campaigns!$A$7:$A$300,B2279)&gt;0,"✓","⚠ add to Campaigns tab"))</f>
        <v/>
      </c>
      <c r="I2279" s="84" t="str">
        <f aca="false">IF(C2279="","",C2279*IF(Settings!$B$23=Settings!$C$6,1,IF(Settings!$B$23="USD",1/INDEX(Settings!$B$29:$B$40,MONTH(A2279)),INDEX(Settings!$B$29:$B$40,MONTH(A2279)))))</f>
        <v/>
      </c>
    </row>
    <row r="2280" customFormat="false" ht="15" hidden="false" customHeight="false" outlineLevel="0" collapsed="false">
      <c r="H2280" s="0" t="str">
        <f aca="false">IF(B2280="","",IF(COUNTIF(Campaigns!$A$7:$A$300,B2280)&gt;0,"✓","⚠ add to Campaigns tab"))</f>
        <v/>
      </c>
      <c r="I2280" s="84" t="str">
        <f aca="false">IF(C2280="","",C2280*IF(Settings!$B$23=Settings!$C$6,1,IF(Settings!$B$23="USD",1/INDEX(Settings!$B$29:$B$40,MONTH(A2280)),INDEX(Settings!$B$29:$B$40,MONTH(A2280)))))</f>
        <v/>
      </c>
    </row>
    <row r="2281" customFormat="false" ht="15" hidden="false" customHeight="false" outlineLevel="0" collapsed="false">
      <c r="H2281" s="0" t="str">
        <f aca="false">IF(B2281="","",IF(COUNTIF(Campaigns!$A$7:$A$300,B2281)&gt;0,"✓","⚠ add to Campaigns tab"))</f>
        <v/>
      </c>
      <c r="I2281" s="84" t="str">
        <f aca="false">IF(C2281="","",C2281*IF(Settings!$B$23=Settings!$C$6,1,IF(Settings!$B$23="USD",1/INDEX(Settings!$B$29:$B$40,MONTH(A2281)),INDEX(Settings!$B$29:$B$40,MONTH(A2281)))))</f>
        <v/>
      </c>
    </row>
    <row r="2282" customFormat="false" ht="15" hidden="false" customHeight="false" outlineLevel="0" collapsed="false">
      <c r="H2282" s="0" t="str">
        <f aca="false">IF(B2282="","",IF(COUNTIF(Campaigns!$A$7:$A$300,B2282)&gt;0,"✓","⚠ add to Campaigns tab"))</f>
        <v/>
      </c>
      <c r="I2282" s="84" t="str">
        <f aca="false">IF(C2282="","",C2282*IF(Settings!$B$23=Settings!$C$6,1,IF(Settings!$B$23="USD",1/INDEX(Settings!$B$29:$B$40,MONTH(A2282)),INDEX(Settings!$B$29:$B$40,MONTH(A2282)))))</f>
        <v/>
      </c>
    </row>
    <row r="2283" customFormat="false" ht="15" hidden="false" customHeight="false" outlineLevel="0" collapsed="false">
      <c r="H2283" s="0" t="str">
        <f aca="false">IF(B2283="","",IF(COUNTIF(Campaigns!$A$7:$A$300,B2283)&gt;0,"✓","⚠ add to Campaigns tab"))</f>
        <v/>
      </c>
      <c r="I2283" s="84" t="str">
        <f aca="false">IF(C2283="","",C2283*IF(Settings!$B$23=Settings!$C$6,1,IF(Settings!$B$23="USD",1/INDEX(Settings!$B$29:$B$40,MONTH(A2283)),INDEX(Settings!$B$29:$B$40,MONTH(A2283)))))</f>
        <v/>
      </c>
    </row>
    <row r="2284" customFormat="false" ht="15" hidden="false" customHeight="false" outlineLevel="0" collapsed="false">
      <c r="H2284" s="0" t="str">
        <f aca="false">IF(B2284="","",IF(COUNTIF(Campaigns!$A$7:$A$300,B2284)&gt;0,"✓","⚠ add to Campaigns tab"))</f>
        <v/>
      </c>
      <c r="I2284" s="84" t="str">
        <f aca="false">IF(C2284="","",C2284*IF(Settings!$B$23=Settings!$C$6,1,IF(Settings!$B$23="USD",1/INDEX(Settings!$B$29:$B$40,MONTH(A2284)),INDEX(Settings!$B$29:$B$40,MONTH(A2284)))))</f>
        <v/>
      </c>
    </row>
    <row r="2285" customFormat="false" ht="15" hidden="false" customHeight="false" outlineLevel="0" collapsed="false">
      <c r="H2285" s="0" t="str">
        <f aca="false">IF(B2285="","",IF(COUNTIF(Campaigns!$A$7:$A$300,B2285)&gt;0,"✓","⚠ add to Campaigns tab"))</f>
        <v/>
      </c>
      <c r="I2285" s="84" t="str">
        <f aca="false">IF(C2285="","",C2285*IF(Settings!$B$23=Settings!$C$6,1,IF(Settings!$B$23="USD",1/INDEX(Settings!$B$29:$B$40,MONTH(A2285)),INDEX(Settings!$B$29:$B$40,MONTH(A2285)))))</f>
        <v/>
      </c>
    </row>
    <row r="2286" customFormat="false" ht="15" hidden="false" customHeight="false" outlineLevel="0" collapsed="false">
      <c r="H2286" s="0" t="str">
        <f aca="false">IF(B2286="","",IF(COUNTIF(Campaigns!$A$7:$A$300,B2286)&gt;0,"✓","⚠ add to Campaigns tab"))</f>
        <v/>
      </c>
      <c r="I2286" s="84" t="str">
        <f aca="false">IF(C2286="","",C2286*IF(Settings!$B$23=Settings!$C$6,1,IF(Settings!$B$23="USD",1/INDEX(Settings!$B$29:$B$40,MONTH(A2286)),INDEX(Settings!$B$29:$B$40,MONTH(A2286)))))</f>
        <v/>
      </c>
    </row>
    <row r="2287" customFormat="false" ht="15" hidden="false" customHeight="false" outlineLevel="0" collapsed="false">
      <c r="H2287" s="0" t="str">
        <f aca="false">IF(B2287="","",IF(COUNTIF(Campaigns!$A$7:$A$300,B2287)&gt;0,"✓","⚠ add to Campaigns tab"))</f>
        <v/>
      </c>
      <c r="I2287" s="84" t="str">
        <f aca="false">IF(C2287="","",C2287*IF(Settings!$B$23=Settings!$C$6,1,IF(Settings!$B$23="USD",1/INDEX(Settings!$B$29:$B$40,MONTH(A2287)),INDEX(Settings!$B$29:$B$40,MONTH(A2287)))))</f>
        <v/>
      </c>
    </row>
    <row r="2288" customFormat="false" ht="15" hidden="false" customHeight="false" outlineLevel="0" collapsed="false">
      <c r="H2288" s="0" t="str">
        <f aca="false">IF(B2288="","",IF(COUNTIF(Campaigns!$A$7:$A$300,B2288)&gt;0,"✓","⚠ add to Campaigns tab"))</f>
        <v/>
      </c>
      <c r="I2288" s="84" t="str">
        <f aca="false">IF(C2288="","",C2288*IF(Settings!$B$23=Settings!$C$6,1,IF(Settings!$B$23="USD",1/INDEX(Settings!$B$29:$B$40,MONTH(A2288)),INDEX(Settings!$B$29:$B$40,MONTH(A2288)))))</f>
        <v/>
      </c>
    </row>
    <row r="2289" customFormat="false" ht="15" hidden="false" customHeight="false" outlineLevel="0" collapsed="false">
      <c r="H2289" s="0" t="str">
        <f aca="false">IF(B2289="","",IF(COUNTIF(Campaigns!$A$7:$A$300,B2289)&gt;0,"✓","⚠ add to Campaigns tab"))</f>
        <v/>
      </c>
      <c r="I2289" s="84" t="str">
        <f aca="false">IF(C2289="","",C2289*IF(Settings!$B$23=Settings!$C$6,1,IF(Settings!$B$23="USD",1/INDEX(Settings!$B$29:$B$40,MONTH(A2289)),INDEX(Settings!$B$29:$B$40,MONTH(A2289)))))</f>
        <v/>
      </c>
    </row>
    <row r="2290" customFormat="false" ht="15" hidden="false" customHeight="false" outlineLevel="0" collapsed="false">
      <c r="H2290" s="0" t="str">
        <f aca="false">IF(B2290="","",IF(COUNTIF(Campaigns!$A$7:$A$300,B2290)&gt;0,"✓","⚠ add to Campaigns tab"))</f>
        <v/>
      </c>
      <c r="I2290" s="84" t="str">
        <f aca="false">IF(C2290="","",C2290*IF(Settings!$B$23=Settings!$C$6,1,IF(Settings!$B$23="USD",1/INDEX(Settings!$B$29:$B$40,MONTH(A2290)),INDEX(Settings!$B$29:$B$40,MONTH(A2290)))))</f>
        <v/>
      </c>
    </row>
    <row r="2291" customFormat="false" ht="15" hidden="false" customHeight="false" outlineLevel="0" collapsed="false">
      <c r="H2291" s="0" t="str">
        <f aca="false">IF(B2291="","",IF(COUNTIF(Campaigns!$A$7:$A$300,B2291)&gt;0,"✓","⚠ add to Campaigns tab"))</f>
        <v/>
      </c>
      <c r="I2291" s="84" t="str">
        <f aca="false">IF(C2291="","",C2291*IF(Settings!$B$23=Settings!$C$6,1,IF(Settings!$B$23="USD",1/INDEX(Settings!$B$29:$B$40,MONTH(A2291)),INDEX(Settings!$B$29:$B$40,MONTH(A2291)))))</f>
        <v/>
      </c>
    </row>
    <row r="2292" customFormat="false" ht="15" hidden="false" customHeight="false" outlineLevel="0" collapsed="false">
      <c r="H2292" s="0" t="str">
        <f aca="false">IF(B2292="","",IF(COUNTIF(Campaigns!$A$7:$A$300,B2292)&gt;0,"✓","⚠ add to Campaigns tab"))</f>
        <v/>
      </c>
      <c r="I2292" s="84" t="str">
        <f aca="false">IF(C2292="","",C2292*IF(Settings!$B$23=Settings!$C$6,1,IF(Settings!$B$23="USD",1/INDEX(Settings!$B$29:$B$40,MONTH(A2292)),INDEX(Settings!$B$29:$B$40,MONTH(A2292)))))</f>
        <v/>
      </c>
    </row>
    <row r="2293" customFormat="false" ht="15" hidden="false" customHeight="false" outlineLevel="0" collapsed="false">
      <c r="H2293" s="0" t="str">
        <f aca="false">IF(B2293="","",IF(COUNTIF(Campaigns!$A$7:$A$300,B2293)&gt;0,"✓","⚠ add to Campaigns tab"))</f>
        <v/>
      </c>
      <c r="I2293" s="84" t="str">
        <f aca="false">IF(C2293="","",C2293*IF(Settings!$B$23=Settings!$C$6,1,IF(Settings!$B$23="USD",1/INDEX(Settings!$B$29:$B$40,MONTH(A2293)),INDEX(Settings!$B$29:$B$40,MONTH(A2293)))))</f>
        <v/>
      </c>
    </row>
    <row r="2294" customFormat="false" ht="15" hidden="false" customHeight="false" outlineLevel="0" collapsed="false">
      <c r="H2294" s="0" t="str">
        <f aca="false">IF(B2294="","",IF(COUNTIF(Campaigns!$A$7:$A$300,B2294)&gt;0,"✓","⚠ add to Campaigns tab"))</f>
        <v/>
      </c>
      <c r="I2294" s="84" t="str">
        <f aca="false">IF(C2294="","",C2294*IF(Settings!$B$23=Settings!$C$6,1,IF(Settings!$B$23="USD",1/INDEX(Settings!$B$29:$B$40,MONTH(A2294)),INDEX(Settings!$B$29:$B$40,MONTH(A2294)))))</f>
        <v/>
      </c>
    </row>
    <row r="2295" customFormat="false" ht="15" hidden="false" customHeight="false" outlineLevel="0" collapsed="false">
      <c r="H2295" s="0" t="str">
        <f aca="false">IF(B2295="","",IF(COUNTIF(Campaigns!$A$7:$A$300,B2295)&gt;0,"✓","⚠ add to Campaigns tab"))</f>
        <v/>
      </c>
      <c r="I2295" s="84" t="str">
        <f aca="false">IF(C2295="","",C2295*IF(Settings!$B$23=Settings!$C$6,1,IF(Settings!$B$23="USD",1/INDEX(Settings!$B$29:$B$40,MONTH(A2295)),INDEX(Settings!$B$29:$B$40,MONTH(A2295)))))</f>
        <v/>
      </c>
    </row>
    <row r="2296" customFormat="false" ht="15" hidden="false" customHeight="false" outlineLevel="0" collapsed="false">
      <c r="H2296" s="0" t="str">
        <f aca="false">IF(B2296="","",IF(COUNTIF(Campaigns!$A$7:$A$300,B2296)&gt;0,"✓","⚠ add to Campaigns tab"))</f>
        <v/>
      </c>
      <c r="I2296" s="84" t="str">
        <f aca="false">IF(C2296="","",C2296*IF(Settings!$B$23=Settings!$C$6,1,IF(Settings!$B$23="USD",1/INDEX(Settings!$B$29:$B$40,MONTH(A2296)),INDEX(Settings!$B$29:$B$40,MONTH(A2296)))))</f>
        <v/>
      </c>
    </row>
    <row r="2297" customFormat="false" ht="15" hidden="false" customHeight="false" outlineLevel="0" collapsed="false">
      <c r="H2297" s="0" t="str">
        <f aca="false">IF(B2297="","",IF(COUNTIF(Campaigns!$A$7:$A$300,B2297)&gt;0,"✓","⚠ add to Campaigns tab"))</f>
        <v/>
      </c>
      <c r="I2297" s="84" t="str">
        <f aca="false">IF(C2297="","",C2297*IF(Settings!$B$23=Settings!$C$6,1,IF(Settings!$B$23="USD",1/INDEX(Settings!$B$29:$B$40,MONTH(A2297)),INDEX(Settings!$B$29:$B$40,MONTH(A2297)))))</f>
        <v/>
      </c>
    </row>
    <row r="2298" customFormat="false" ht="15" hidden="false" customHeight="false" outlineLevel="0" collapsed="false">
      <c r="H2298" s="0" t="str">
        <f aca="false">IF(B2298="","",IF(COUNTIF(Campaigns!$A$7:$A$300,B2298)&gt;0,"✓","⚠ add to Campaigns tab"))</f>
        <v/>
      </c>
      <c r="I2298" s="84" t="str">
        <f aca="false">IF(C2298="","",C2298*IF(Settings!$B$23=Settings!$C$6,1,IF(Settings!$B$23="USD",1/INDEX(Settings!$B$29:$B$40,MONTH(A2298)),INDEX(Settings!$B$29:$B$40,MONTH(A2298)))))</f>
        <v/>
      </c>
    </row>
    <row r="2299" customFormat="false" ht="15" hidden="false" customHeight="false" outlineLevel="0" collapsed="false">
      <c r="H2299" s="0" t="str">
        <f aca="false">IF(B2299="","",IF(COUNTIF(Campaigns!$A$7:$A$300,B2299)&gt;0,"✓","⚠ add to Campaigns tab"))</f>
        <v/>
      </c>
      <c r="I2299" s="84" t="str">
        <f aca="false">IF(C2299="","",C2299*IF(Settings!$B$23=Settings!$C$6,1,IF(Settings!$B$23="USD",1/INDEX(Settings!$B$29:$B$40,MONTH(A2299)),INDEX(Settings!$B$29:$B$40,MONTH(A2299)))))</f>
        <v/>
      </c>
    </row>
    <row r="2300" customFormat="false" ht="15" hidden="false" customHeight="false" outlineLevel="0" collapsed="false">
      <c r="H2300" s="0" t="str">
        <f aca="false">IF(B2300="","",IF(COUNTIF(Campaigns!$A$7:$A$300,B2300)&gt;0,"✓","⚠ add to Campaigns tab"))</f>
        <v/>
      </c>
      <c r="I2300" s="84" t="str">
        <f aca="false">IF(C2300="","",C2300*IF(Settings!$B$23=Settings!$C$6,1,IF(Settings!$B$23="USD",1/INDEX(Settings!$B$29:$B$40,MONTH(A2300)),INDEX(Settings!$B$29:$B$40,MONTH(A2300)))))</f>
        <v/>
      </c>
    </row>
    <row r="2301" customFormat="false" ht="15" hidden="false" customHeight="false" outlineLevel="0" collapsed="false">
      <c r="H2301" s="0" t="str">
        <f aca="false">IF(B2301="","",IF(COUNTIF(Campaigns!$A$7:$A$300,B2301)&gt;0,"✓","⚠ add to Campaigns tab"))</f>
        <v/>
      </c>
      <c r="I2301" s="84" t="str">
        <f aca="false">IF(C2301="","",C2301*IF(Settings!$B$23=Settings!$C$6,1,IF(Settings!$B$23="USD",1/INDEX(Settings!$B$29:$B$40,MONTH(A2301)),INDEX(Settings!$B$29:$B$40,MONTH(A2301)))))</f>
        <v/>
      </c>
    </row>
    <row r="2302" customFormat="false" ht="15" hidden="false" customHeight="false" outlineLevel="0" collapsed="false">
      <c r="H2302" s="0" t="str">
        <f aca="false">IF(B2302="","",IF(COUNTIF(Campaigns!$A$7:$A$300,B2302)&gt;0,"✓","⚠ add to Campaigns tab"))</f>
        <v/>
      </c>
      <c r="I2302" s="84" t="str">
        <f aca="false">IF(C2302="","",C2302*IF(Settings!$B$23=Settings!$C$6,1,IF(Settings!$B$23="USD",1/INDEX(Settings!$B$29:$B$40,MONTH(A2302)),INDEX(Settings!$B$29:$B$40,MONTH(A2302)))))</f>
        <v/>
      </c>
    </row>
    <row r="2303" customFormat="false" ht="15" hidden="false" customHeight="false" outlineLevel="0" collapsed="false">
      <c r="H2303" s="0" t="str">
        <f aca="false">IF(B2303="","",IF(COUNTIF(Campaigns!$A$7:$A$300,B2303)&gt;0,"✓","⚠ add to Campaigns tab"))</f>
        <v/>
      </c>
      <c r="I2303" s="84" t="str">
        <f aca="false">IF(C2303="","",C2303*IF(Settings!$B$23=Settings!$C$6,1,IF(Settings!$B$23="USD",1/INDEX(Settings!$B$29:$B$40,MONTH(A2303)),INDEX(Settings!$B$29:$B$40,MONTH(A2303)))))</f>
        <v/>
      </c>
    </row>
    <row r="2304" customFormat="false" ht="15" hidden="false" customHeight="false" outlineLevel="0" collapsed="false">
      <c r="H2304" s="0" t="str">
        <f aca="false">IF(B2304="","",IF(COUNTIF(Campaigns!$A$7:$A$300,B2304)&gt;0,"✓","⚠ add to Campaigns tab"))</f>
        <v/>
      </c>
      <c r="I2304" s="84" t="str">
        <f aca="false">IF(C2304="","",C2304*IF(Settings!$B$23=Settings!$C$6,1,IF(Settings!$B$23="USD",1/INDEX(Settings!$B$29:$B$40,MONTH(A2304)),INDEX(Settings!$B$29:$B$40,MONTH(A2304)))))</f>
        <v/>
      </c>
    </row>
    <row r="2305" customFormat="false" ht="15" hidden="false" customHeight="false" outlineLevel="0" collapsed="false">
      <c r="H2305" s="0" t="str">
        <f aca="false">IF(B2305="","",IF(COUNTIF(Campaigns!$A$7:$A$300,B2305)&gt;0,"✓","⚠ add to Campaigns tab"))</f>
        <v/>
      </c>
      <c r="I2305" s="84" t="str">
        <f aca="false">IF(C2305="","",C2305*IF(Settings!$B$23=Settings!$C$6,1,IF(Settings!$B$23="USD",1/INDEX(Settings!$B$29:$B$40,MONTH(A2305)),INDEX(Settings!$B$29:$B$40,MONTH(A2305)))))</f>
        <v/>
      </c>
    </row>
    <row r="2306" customFormat="false" ht="15" hidden="false" customHeight="false" outlineLevel="0" collapsed="false">
      <c r="H2306" s="0" t="str">
        <f aca="false">IF(B2306="","",IF(COUNTIF(Campaigns!$A$7:$A$300,B2306)&gt;0,"✓","⚠ add to Campaigns tab"))</f>
        <v/>
      </c>
      <c r="I2306" s="84" t="str">
        <f aca="false">IF(C2306="","",C2306*IF(Settings!$B$23=Settings!$C$6,1,IF(Settings!$B$23="USD",1/INDEX(Settings!$B$29:$B$40,MONTH(A2306)),INDEX(Settings!$B$29:$B$40,MONTH(A2306)))))</f>
        <v/>
      </c>
    </row>
    <row r="2307" customFormat="false" ht="15" hidden="false" customHeight="false" outlineLevel="0" collapsed="false">
      <c r="H2307" s="0" t="str">
        <f aca="false">IF(B2307="","",IF(COUNTIF(Campaigns!$A$7:$A$300,B2307)&gt;0,"✓","⚠ add to Campaigns tab"))</f>
        <v/>
      </c>
      <c r="I2307" s="84" t="str">
        <f aca="false">IF(C2307="","",C2307*IF(Settings!$B$23=Settings!$C$6,1,IF(Settings!$B$23="USD",1/INDEX(Settings!$B$29:$B$40,MONTH(A2307)),INDEX(Settings!$B$29:$B$40,MONTH(A2307)))))</f>
        <v/>
      </c>
    </row>
    <row r="2308" customFormat="false" ht="15" hidden="false" customHeight="false" outlineLevel="0" collapsed="false">
      <c r="H2308" s="0" t="str">
        <f aca="false">IF(B2308="","",IF(COUNTIF(Campaigns!$A$7:$A$300,B2308)&gt;0,"✓","⚠ add to Campaigns tab"))</f>
        <v/>
      </c>
      <c r="I2308" s="84" t="str">
        <f aca="false">IF(C2308="","",C2308*IF(Settings!$B$23=Settings!$C$6,1,IF(Settings!$B$23="USD",1/INDEX(Settings!$B$29:$B$40,MONTH(A2308)),INDEX(Settings!$B$29:$B$40,MONTH(A2308)))))</f>
        <v/>
      </c>
    </row>
    <row r="2309" customFormat="false" ht="15" hidden="false" customHeight="false" outlineLevel="0" collapsed="false">
      <c r="H2309" s="0" t="str">
        <f aca="false">IF(B2309="","",IF(COUNTIF(Campaigns!$A$7:$A$300,B2309)&gt;0,"✓","⚠ add to Campaigns tab"))</f>
        <v/>
      </c>
      <c r="I2309" s="84" t="str">
        <f aca="false">IF(C2309="","",C2309*IF(Settings!$B$23=Settings!$C$6,1,IF(Settings!$B$23="USD",1/INDEX(Settings!$B$29:$B$40,MONTH(A2309)),INDEX(Settings!$B$29:$B$40,MONTH(A2309)))))</f>
        <v/>
      </c>
    </row>
    <row r="2310" customFormat="false" ht="15" hidden="false" customHeight="false" outlineLevel="0" collapsed="false">
      <c r="H2310" s="0" t="str">
        <f aca="false">IF(B2310="","",IF(COUNTIF(Campaigns!$A$7:$A$300,B2310)&gt;0,"✓","⚠ add to Campaigns tab"))</f>
        <v/>
      </c>
      <c r="I2310" s="84" t="str">
        <f aca="false">IF(C2310="","",C2310*IF(Settings!$B$23=Settings!$C$6,1,IF(Settings!$B$23="USD",1/INDEX(Settings!$B$29:$B$40,MONTH(A2310)),INDEX(Settings!$B$29:$B$40,MONTH(A2310)))))</f>
        <v/>
      </c>
    </row>
    <row r="2311" customFormat="false" ht="15" hidden="false" customHeight="false" outlineLevel="0" collapsed="false">
      <c r="H2311" s="0" t="str">
        <f aca="false">IF(B2311="","",IF(COUNTIF(Campaigns!$A$7:$A$300,B2311)&gt;0,"✓","⚠ add to Campaigns tab"))</f>
        <v/>
      </c>
      <c r="I2311" s="84" t="str">
        <f aca="false">IF(C2311="","",C2311*IF(Settings!$B$23=Settings!$C$6,1,IF(Settings!$B$23="USD",1/INDEX(Settings!$B$29:$B$40,MONTH(A2311)),INDEX(Settings!$B$29:$B$40,MONTH(A2311)))))</f>
        <v/>
      </c>
    </row>
    <row r="2312" customFormat="false" ht="15" hidden="false" customHeight="false" outlineLevel="0" collapsed="false">
      <c r="H2312" s="0" t="str">
        <f aca="false">IF(B2312="","",IF(COUNTIF(Campaigns!$A$7:$A$300,B2312)&gt;0,"✓","⚠ add to Campaigns tab"))</f>
        <v/>
      </c>
      <c r="I2312" s="84" t="str">
        <f aca="false">IF(C2312="","",C2312*IF(Settings!$B$23=Settings!$C$6,1,IF(Settings!$B$23="USD",1/INDEX(Settings!$B$29:$B$40,MONTH(A2312)),INDEX(Settings!$B$29:$B$40,MONTH(A2312)))))</f>
        <v/>
      </c>
    </row>
    <row r="2313" customFormat="false" ht="15" hidden="false" customHeight="false" outlineLevel="0" collapsed="false">
      <c r="H2313" s="0" t="str">
        <f aca="false">IF(B2313="","",IF(COUNTIF(Campaigns!$A$7:$A$300,B2313)&gt;0,"✓","⚠ add to Campaigns tab"))</f>
        <v/>
      </c>
      <c r="I2313" s="84" t="str">
        <f aca="false">IF(C2313="","",C2313*IF(Settings!$B$23=Settings!$C$6,1,IF(Settings!$B$23="USD",1/INDEX(Settings!$B$29:$B$40,MONTH(A2313)),INDEX(Settings!$B$29:$B$40,MONTH(A2313)))))</f>
        <v/>
      </c>
    </row>
    <row r="2314" customFormat="false" ht="15" hidden="false" customHeight="false" outlineLevel="0" collapsed="false">
      <c r="H2314" s="0" t="str">
        <f aca="false">IF(B2314="","",IF(COUNTIF(Campaigns!$A$7:$A$300,B2314)&gt;0,"✓","⚠ add to Campaigns tab"))</f>
        <v/>
      </c>
      <c r="I2314" s="84" t="str">
        <f aca="false">IF(C2314="","",C2314*IF(Settings!$B$23=Settings!$C$6,1,IF(Settings!$B$23="USD",1/INDEX(Settings!$B$29:$B$40,MONTH(A2314)),INDEX(Settings!$B$29:$B$40,MONTH(A2314)))))</f>
        <v/>
      </c>
    </row>
    <row r="2315" customFormat="false" ht="15" hidden="false" customHeight="false" outlineLevel="0" collapsed="false">
      <c r="H2315" s="0" t="str">
        <f aca="false">IF(B2315="","",IF(COUNTIF(Campaigns!$A$7:$A$300,B2315)&gt;0,"✓","⚠ add to Campaigns tab"))</f>
        <v/>
      </c>
      <c r="I2315" s="84" t="str">
        <f aca="false">IF(C2315="","",C2315*IF(Settings!$B$23=Settings!$C$6,1,IF(Settings!$B$23="USD",1/INDEX(Settings!$B$29:$B$40,MONTH(A2315)),INDEX(Settings!$B$29:$B$40,MONTH(A2315)))))</f>
        <v/>
      </c>
    </row>
    <row r="2316" customFormat="false" ht="15" hidden="false" customHeight="false" outlineLevel="0" collapsed="false">
      <c r="H2316" s="0" t="str">
        <f aca="false">IF(B2316="","",IF(COUNTIF(Campaigns!$A$7:$A$300,B2316)&gt;0,"✓","⚠ add to Campaigns tab"))</f>
        <v/>
      </c>
      <c r="I2316" s="84" t="str">
        <f aca="false">IF(C2316="","",C2316*IF(Settings!$B$23=Settings!$C$6,1,IF(Settings!$B$23="USD",1/INDEX(Settings!$B$29:$B$40,MONTH(A2316)),INDEX(Settings!$B$29:$B$40,MONTH(A2316)))))</f>
        <v/>
      </c>
    </row>
    <row r="2317" customFormat="false" ht="15" hidden="false" customHeight="false" outlineLevel="0" collapsed="false">
      <c r="H2317" s="0" t="str">
        <f aca="false">IF(B2317="","",IF(COUNTIF(Campaigns!$A$7:$A$300,B2317)&gt;0,"✓","⚠ add to Campaigns tab"))</f>
        <v/>
      </c>
      <c r="I2317" s="84" t="str">
        <f aca="false">IF(C2317="","",C2317*IF(Settings!$B$23=Settings!$C$6,1,IF(Settings!$B$23="USD",1/INDEX(Settings!$B$29:$B$40,MONTH(A2317)),INDEX(Settings!$B$29:$B$40,MONTH(A2317)))))</f>
        <v/>
      </c>
    </row>
    <row r="2318" customFormat="false" ht="15" hidden="false" customHeight="false" outlineLevel="0" collapsed="false">
      <c r="H2318" s="0" t="str">
        <f aca="false">IF(B2318="","",IF(COUNTIF(Campaigns!$A$7:$A$300,B2318)&gt;0,"✓","⚠ add to Campaigns tab"))</f>
        <v/>
      </c>
      <c r="I2318" s="84" t="str">
        <f aca="false">IF(C2318="","",C2318*IF(Settings!$B$23=Settings!$C$6,1,IF(Settings!$B$23="USD",1/INDEX(Settings!$B$29:$B$40,MONTH(A2318)),INDEX(Settings!$B$29:$B$40,MONTH(A2318)))))</f>
        <v/>
      </c>
    </row>
    <row r="2319" customFormat="false" ht="15" hidden="false" customHeight="false" outlineLevel="0" collapsed="false">
      <c r="H2319" s="0" t="str">
        <f aca="false">IF(B2319="","",IF(COUNTIF(Campaigns!$A$7:$A$300,B2319)&gt;0,"✓","⚠ add to Campaigns tab"))</f>
        <v/>
      </c>
      <c r="I2319" s="84" t="str">
        <f aca="false">IF(C2319="","",C2319*IF(Settings!$B$23=Settings!$C$6,1,IF(Settings!$B$23="USD",1/INDEX(Settings!$B$29:$B$40,MONTH(A2319)),INDEX(Settings!$B$29:$B$40,MONTH(A2319)))))</f>
        <v/>
      </c>
    </row>
    <row r="2320" customFormat="false" ht="15" hidden="false" customHeight="false" outlineLevel="0" collapsed="false">
      <c r="H2320" s="0" t="str">
        <f aca="false">IF(B2320="","",IF(COUNTIF(Campaigns!$A$7:$A$300,B2320)&gt;0,"✓","⚠ add to Campaigns tab"))</f>
        <v/>
      </c>
      <c r="I2320" s="84" t="str">
        <f aca="false">IF(C2320="","",C2320*IF(Settings!$B$23=Settings!$C$6,1,IF(Settings!$B$23="USD",1/INDEX(Settings!$B$29:$B$40,MONTH(A2320)),INDEX(Settings!$B$29:$B$40,MONTH(A2320)))))</f>
        <v/>
      </c>
    </row>
    <row r="2321" customFormat="false" ht="15" hidden="false" customHeight="false" outlineLevel="0" collapsed="false">
      <c r="H2321" s="0" t="str">
        <f aca="false">IF(B2321="","",IF(COUNTIF(Campaigns!$A$7:$A$300,B2321)&gt;0,"✓","⚠ add to Campaigns tab"))</f>
        <v/>
      </c>
      <c r="I2321" s="84" t="str">
        <f aca="false">IF(C2321="","",C2321*IF(Settings!$B$23=Settings!$C$6,1,IF(Settings!$B$23="USD",1/INDEX(Settings!$B$29:$B$40,MONTH(A2321)),INDEX(Settings!$B$29:$B$40,MONTH(A2321)))))</f>
        <v/>
      </c>
    </row>
    <row r="2322" customFormat="false" ht="15" hidden="false" customHeight="false" outlineLevel="0" collapsed="false">
      <c r="H2322" s="0" t="str">
        <f aca="false">IF(B2322="","",IF(COUNTIF(Campaigns!$A$7:$A$300,B2322)&gt;0,"✓","⚠ add to Campaigns tab"))</f>
        <v/>
      </c>
      <c r="I2322" s="84" t="str">
        <f aca="false">IF(C2322="","",C2322*IF(Settings!$B$23=Settings!$C$6,1,IF(Settings!$B$23="USD",1/INDEX(Settings!$B$29:$B$40,MONTH(A2322)),INDEX(Settings!$B$29:$B$40,MONTH(A2322)))))</f>
        <v/>
      </c>
    </row>
    <row r="2323" customFormat="false" ht="15" hidden="false" customHeight="false" outlineLevel="0" collapsed="false">
      <c r="H2323" s="0" t="str">
        <f aca="false">IF(B2323="","",IF(COUNTIF(Campaigns!$A$7:$A$300,B2323)&gt;0,"✓","⚠ add to Campaigns tab"))</f>
        <v/>
      </c>
      <c r="I2323" s="84" t="str">
        <f aca="false">IF(C2323="","",C2323*IF(Settings!$B$23=Settings!$C$6,1,IF(Settings!$B$23="USD",1/INDEX(Settings!$B$29:$B$40,MONTH(A2323)),INDEX(Settings!$B$29:$B$40,MONTH(A2323)))))</f>
        <v/>
      </c>
    </row>
    <row r="2324" customFormat="false" ht="15" hidden="false" customHeight="false" outlineLevel="0" collapsed="false">
      <c r="H2324" s="0" t="str">
        <f aca="false">IF(B2324="","",IF(COUNTIF(Campaigns!$A$7:$A$300,B2324)&gt;0,"✓","⚠ add to Campaigns tab"))</f>
        <v/>
      </c>
      <c r="I2324" s="84" t="str">
        <f aca="false">IF(C2324="","",C2324*IF(Settings!$B$23=Settings!$C$6,1,IF(Settings!$B$23="USD",1/INDEX(Settings!$B$29:$B$40,MONTH(A2324)),INDEX(Settings!$B$29:$B$40,MONTH(A2324)))))</f>
        <v/>
      </c>
    </row>
    <row r="2325" customFormat="false" ht="15" hidden="false" customHeight="false" outlineLevel="0" collapsed="false">
      <c r="H2325" s="0" t="str">
        <f aca="false">IF(B2325="","",IF(COUNTIF(Campaigns!$A$7:$A$300,B2325)&gt;0,"✓","⚠ add to Campaigns tab"))</f>
        <v/>
      </c>
      <c r="I2325" s="84" t="str">
        <f aca="false">IF(C2325="","",C2325*IF(Settings!$B$23=Settings!$C$6,1,IF(Settings!$B$23="USD",1/INDEX(Settings!$B$29:$B$40,MONTH(A2325)),INDEX(Settings!$B$29:$B$40,MONTH(A2325)))))</f>
        <v/>
      </c>
    </row>
    <row r="2326" customFormat="false" ht="15" hidden="false" customHeight="false" outlineLevel="0" collapsed="false">
      <c r="H2326" s="0" t="str">
        <f aca="false">IF(B2326="","",IF(COUNTIF(Campaigns!$A$7:$A$300,B2326)&gt;0,"✓","⚠ add to Campaigns tab"))</f>
        <v/>
      </c>
      <c r="I2326" s="84" t="str">
        <f aca="false">IF(C2326="","",C2326*IF(Settings!$B$23=Settings!$C$6,1,IF(Settings!$B$23="USD",1/INDEX(Settings!$B$29:$B$40,MONTH(A2326)),INDEX(Settings!$B$29:$B$40,MONTH(A2326)))))</f>
        <v/>
      </c>
    </row>
    <row r="2327" customFormat="false" ht="15" hidden="false" customHeight="false" outlineLevel="0" collapsed="false">
      <c r="H2327" s="0" t="str">
        <f aca="false">IF(B2327="","",IF(COUNTIF(Campaigns!$A$7:$A$300,B2327)&gt;0,"✓","⚠ add to Campaigns tab"))</f>
        <v/>
      </c>
      <c r="I2327" s="84" t="str">
        <f aca="false">IF(C2327="","",C2327*IF(Settings!$B$23=Settings!$C$6,1,IF(Settings!$B$23="USD",1/INDEX(Settings!$B$29:$B$40,MONTH(A2327)),INDEX(Settings!$B$29:$B$40,MONTH(A2327)))))</f>
        <v/>
      </c>
    </row>
    <row r="2328" customFormat="false" ht="15" hidden="false" customHeight="false" outlineLevel="0" collapsed="false">
      <c r="H2328" s="0" t="str">
        <f aca="false">IF(B2328="","",IF(COUNTIF(Campaigns!$A$7:$A$300,B2328)&gt;0,"✓","⚠ add to Campaigns tab"))</f>
        <v/>
      </c>
      <c r="I2328" s="84" t="str">
        <f aca="false">IF(C2328="","",C2328*IF(Settings!$B$23=Settings!$C$6,1,IF(Settings!$B$23="USD",1/INDEX(Settings!$B$29:$B$40,MONTH(A2328)),INDEX(Settings!$B$29:$B$40,MONTH(A2328)))))</f>
        <v/>
      </c>
    </row>
    <row r="2329" customFormat="false" ht="15" hidden="false" customHeight="false" outlineLevel="0" collapsed="false">
      <c r="H2329" s="0" t="str">
        <f aca="false">IF(B2329="","",IF(COUNTIF(Campaigns!$A$7:$A$300,B2329)&gt;0,"✓","⚠ add to Campaigns tab"))</f>
        <v/>
      </c>
      <c r="I2329" s="84" t="str">
        <f aca="false">IF(C2329="","",C2329*IF(Settings!$B$23=Settings!$C$6,1,IF(Settings!$B$23="USD",1/INDEX(Settings!$B$29:$B$40,MONTH(A2329)),INDEX(Settings!$B$29:$B$40,MONTH(A2329)))))</f>
        <v/>
      </c>
    </row>
    <row r="2330" customFormat="false" ht="15" hidden="false" customHeight="false" outlineLevel="0" collapsed="false">
      <c r="H2330" s="0" t="str">
        <f aca="false">IF(B2330="","",IF(COUNTIF(Campaigns!$A$7:$A$300,B2330)&gt;0,"✓","⚠ add to Campaigns tab"))</f>
        <v/>
      </c>
      <c r="I2330" s="84" t="str">
        <f aca="false">IF(C2330="","",C2330*IF(Settings!$B$23=Settings!$C$6,1,IF(Settings!$B$23="USD",1/INDEX(Settings!$B$29:$B$40,MONTH(A2330)),INDEX(Settings!$B$29:$B$40,MONTH(A2330)))))</f>
        <v/>
      </c>
    </row>
    <row r="2331" customFormat="false" ht="15" hidden="false" customHeight="false" outlineLevel="0" collapsed="false">
      <c r="H2331" s="0" t="str">
        <f aca="false">IF(B2331="","",IF(COUNTIF(Campaigns!$A$7:$A$300,B2331)&gt;0,"✓","⚠ add to Campaigns tab"))</f>
        <v/>
      </c>
      <c r="I2331" s="84" t="str">
        <f aca="false">IF(C2331="","",C2331*IF(Settings!$B$23=Settings!$C$6,1,IF(Settings!$B$23="USD",1/INDEX(Settings!$B$29:$B$40,MONTH(A2331)),INDEX(Settings!$B$29:$B$40,MONTH(A2331)))))</f>
        <v/>
      </c>
    </row>
    <row r="2332" customFormat="false" ht="15" hidden="false" customHeight="false" outlineLevel="0" collapsed="false">
      <c r="H2332" s="0" t="str">
        <f aca="false">IF(B2332="","",IF(COUNTIF(Campaigns!$A$7:$A$300,B2332)&gt;0,"✓","⚠ add to Campaigns tab"))</f>
        <v/>
      </c>
      <c r="I2332" s="84" t="str">
        <f aca="false">IF(C2332="","",C2332*IF(Settings!$B$23=Settings!$C$6,1,IF(Settings!$B$23="USD",1/INDEX(Settings!$B$29:$B$40,MONTH(A2332)),INDEX(Settings!$B$29:$B$40,MONTH(A2332)))))</f>
        <v/>
      </c>
    </row>
    <row r="2333" customFormat="false" ht="15" hidden="false" customHeight="false" outlineLevel="0" collapsed="false">
      <c r="H2333" s="0" t="str">
        <f aca="false">IF(B2333="","",IF(COUNTIF(Campaigns!$A$7:$A$300,B2333)&gt;0,"✓","⚠ add to Campaigns tab"))</f>
        <v/>
      </c>
      <c r="I2333" s="84" t="str">
        <f aca="false">IF(C2333="","",C2333*IF(Settings!$B$23=Settings!$C$6,1,IF(Settings!$B$23="USD",1/INDEX(Settings!$B$29:$B$40,MONTH(A2333)),INDEX(Settings!$B$29:$B$40,MONTH(A2333)))))</f>
        <v/>
      </c>
    </row>
    <row r="2334" customFormat="false" ht="15" hidden="false" customHeight="false" outlineLevel="0" collapsed="false">
      <c r="H2334" s="0" t="str">
        <f aca="false">IF(B2334="","",IF(COUNTIF(Campaigns!$A$7:$A$300,B2334)&gt;0,"✓","⚠ add to Campaigns tab"))</f>
        <v/>
      </c>
      <c r="I2334" s="84" t="str">
        <f aca="false">IF(C2334="","",C2334*IF(Settings!$B$23=Settings!$C$6,1,IF(Settings!$B$23="USD",1/INDEX(Settings!$B$29:$B$40,MONTH(A2334)),INDEX(Settings!$B$29:$B$40,MONTH(A2334)))))</f>
        <v/>
      </c>
    </row>
    <row r="2335" customFormat="false" ht="15" hidden="false" customHeight="false" outlineLevel="0" collapsed="false">
      <c r="H2335" s="0" t="str">
        <f aca="false">IF(B2335="","",IF(COUNTIF(Campaigns!$A$7:$A$300,B2335)&gt;0,"✓","⚠ add to Campaigns tab"))</f>
        <v/>
      </c>
      <c r="I2335" s="84" t="str">
        <f aca="false">IF(C2335="","",C2335*IF(Settings!$B$23=Settings!$C$6,1,IF(Settings!$B$23="USD",1/INDEX(Settings!$B$29:$B$40,MONTH(A2335)),INDEX(Settings!$B$29:$B$40,MONTH(A2335)))))</f>
        <v/>
      </c>
    </row>
    <row r="2336" customFormat="false" ht="15" hidden="false" customHeight="false" outlineLevel="0" collapsed="false">
      <c r="H2336" s="0" t="str">
        <f aca="false">IF(B2336="","",IF(COUNTIF(Campaigns!$A$7:$A$300,B2336)&gt;0,"✓","⚠ add to Campaigns tab"))</f>
        <v/>
      </c>
      <c r="I2336" s="84" t="str">
        <f aca="false">IF(C2336="","",C2336*IF(Settings!$B$23=Settings!$C$6,1,IF(Settings!$B$23="USD",1/INDEX(Settings!$B$29:$B$40,MONTH(A2336)),INDEX(Settings!$B$29:$B$40,MONTH(A2336)))))</f>
        <v/>
      </c>
    </row>
    <row r="2337" customFormat="false" ht="15" hidden="false" customHeight="false" outlineLevel="0" collapsed="false">
      <c r="H2337" s="0" t="str">
        <f aca="false">IF(B2337="","",IF(COUNTIF(Campaigns!$A$7:$A$300,B2337)&gt;0,"✓","⚠ add to Campaigns tab"))</f>
        <v/>
      </c>
      <c r="I2337" s="84" t="str">
        <f aca="false">IF(C2337="","",C2337*IF(Settings!$B$23=Settings!$C$6,1,IF(Settings!$B$23="USD",1/INDEX(Settings!$B$29:$B$40,MONTH(A2337)),INDEX(Settings!$B$29:$B$40,MONTH(A2337)))))</f>
        <v/>
      </c>
    </row>
    <row r="2338" customFormat="false" ht="15" hidden="false" customHeight="false" outlineLevel="0" collapsed="false">
      <c r="H2338" s="0" t="str">
        <f aca="false">IF(B2338="","",IF(COUNTIF(Campaigns!$A$7:$A$300,B2338)&gt;0,"✓","⚠ add to Campaigns tab"))</f>
        <v/>
      </c>
      <c r="I2338" s="84" t="str">
        <f aca="false">IF(C2338="","",C2338*IF(Settings!$B$23=Settings!$C$6,1,IF(Settings!$B$23="USD",1/INDEX(Settings!$B$29:$B$40,MONTH(A2338)),INDEX(Settings!$B$29:$B$40,MONTH(A2338)))))</f>
        <v/>
      </c>
    </row>
    <row r="2339" customFormat="false" ht="15" hidden="false" customHeight="false" outlineLevel="0" collapsed="false">
      <c r="H2339" s="0" t="str">
        <f aca="false">IF(B2339="","",IF(COUNTIF(Campaigns!$A$7:$A$300,B2339)&gt;0,"✓","⚠ add to Campaigns tab"))</f>
        <v/>
      </c>
      <c r="I2339" s="84" t="str">
        <f aca="false">IF(C2339="","",C2339*IF(Settings!$B$23=Settings!$C$6,1,IF(Settings!$B$23="USD",1/INDEX(Settings!$B$29:$B$40,MONTH(A2339)),INDEX(Settings!$B$29:$B$40,MONTH(A2339)))))</f>
        <v/>
      </c>
    </row>
    <row r="2340" customFormat="false" ht="15" hidden="false" customHeight="false" outlineLevel="0" collapsed="false">
      <c r="H2340" s="0" t="str">
        <f aca="false">IF(B2340="","",IF(COUNTIF(Campaigns!$A$7:$A$300,B2340)&gt;0,"✓","⚠ add to Campaigns tab"))</f>
        <v/>
      </c>
      <c r="I2340" s="84" t="str">
        <f aca="false">IF(C2340="","",C2340*IF(Settings!$B$23=Settings!$C$6,1,IF(Settings!$B$23="USD",1/INDEX(Settings!$B$29:$B$40,MONTH(A2340)),INDEX(Settings!$B$29:$B$40,MONTH(A2340)))))</f>
        <v/>
      </c>
    </row>
    <row r="2341" customFormat="false" ht="15" hidden="false" customHeight="false" outlineLevel="0" collapsed="false">
      <c r="H2341" s="0" t="str">
        <f aca="false">IF(B2341="","",IF(COUNTIF(Campaigns!$A$7:$A$300,B2341)&gt;0,"✓","⚠ add to Campaigns tab"))</f>
        <v/>
      </c>
      <c r="I2341" s="84" t="str">
        <f aca="false">IF(C2341="","",C2341*IF(Settings!$B$23=Settings!$C$6,1,IF(Settings!$B$23="USD",1/INDEX(Settings!$B$29:$B$40,MONTH(A2341)),INDEX(Settings!$B$29:$B$40,MONTH(A2341)))))</f>
        <v/>
      </c>
    </row>
    <row r="2342" customFormat="false" ht="15" hidden="false" customHeight="false" outlineLevel="0" collapsed="false">
      <c r="H2342" s="0" t="str">
        <f aca="false">IF(B2342="","",IF(COUNTIF(Campaigns!$A$7:$A$300,B2342)&gt;0,"✓","⚠ add to Campaigns tab"))</f>
        <v/>
      </c>
      <c r="I2342" s="84" t="str">
        <f aca="false">IF(C2342="","",C2342*IF(Settings!$B$23=Settings!$C$6,1,IF(Settings!$B$23="USD",1/INDEX(Settings!$B$29:$B$40,MONTH(A2342)),INDEX(Settings!$B$29:$B$40,MONTH(A2342)))))</f>
        <v/>
      </c>
    </row>
    <row r="2343" customFormat="false" ht="15" hidden="false" customHeight="false" outlineLevel="0" collapsed="false">
      <c r="H2343" s="0" t="str">
        <f aca="false">IF(B2343="","",IF(COUNTIF(Campaigns!$A$7:$A$300,B2343)&gt;0,"✓","⚠ add to Campaigns tab"))</f>
        <v/>
      </c>
      <c r="I2343" s="84" t="str">
        <f aca="false">IF(C2343="","",C2343*IF(Settings!$B$23=Settings!$C$6,1,IF(Settings!$B$23="USD",1/INDEX(Settings!$B$29:$B$40,MONTH(A2343)),INDEX(Settings!$B$29:$B$40,MONTH(A2343)))))</f>
        <v/>
      </c>
    </row>
    <row r="2344" customFormat="false" ht="15" hidden="false" customHeight="false" outlineLevel="0" collapsed="false">
      <c r="H2344" s="0" t="str">
        <f aca="false">IF(B2344="","",IF(COUNTIF(Campaigns!$A$7:$A$300,B2344)&gt;0,"✓","⚠ add to Campaigns tab"))</f>
        <v/>
      </c>
      <c r="I2344" s="84" t="str">
        <f aca="false">IF(C2344="","",C2344*IF(Settings!$B$23=Settings!$C$6,1,IF(Settings!$B$23="USD",1/INDEX(Settings!$B$29:$B$40,MONTH(A2344)),INDEX(Settings!$B$29:$B$40,MONTH(A2344)))))</f>
        <v/>
      </c>
    </row>
    <row r="2345" customFormat="false" ht="15" hidden="false" customHeight="false" outlineLevel="0" collapsed="false">
      <c r="H2345" s="0" t="str">
        <f aca="false">IF(B2345="","",IF(COUNTIF(Campaigns!$A$7:$A$300,B2345)&gt;0,"✓","⚠ add to Campaigns tab"))</f>
        <v/>
      </c>
      <c r="I2345" s="84" t="str">
        <f aca="false">IF(C2345="","",C2345*IF(Settings!$B$23=Settings!$C$6,1,IF(Settings!$B$23="USD",1/INDEX(Settings!$B$29:$B$40,MONTH(A2345)),INDEX(Settings!$B$29:$B$40,MONTH(A2345)))))</f>
        <v/>
      </c>
    </row>
    <row r="2346" customFormat="false" ht="15" hidden="false" customHeight="false" outlineLevel="0" collapsed="false">
      <c r="H2346" s="0" t="str">
        <f aca="false">IF(B2346="","",IF(COUNTIF(Campaigns!$A$7:$A$300,B2346)&gt;0,"✓","⚠ add to Campaigns tab"))</f>
        <v/>
      </c>
      <c r="I2346" s="84" t="str">
        <f aca="false">IF(C2346="","",C2346*IF(Settings!$B$23=Settings!$C$6,1,IF(Settings!$B$23="USD",1/INDEX(Settings!$B$29:$B$40,MONTH(A2346)),INDEX(Settings!$B$29:$B$40,MONTH(A2346)))))</f>
        <v/>
      </c>
    </row>
    <row r="2347" customFormat="false" ht="15" hidden="false" customHeight="false" outlineLevel="0" collapsed="false">
      <c r="H2347" s="0" t="str">
        <f aca="false">IF(B2347="","",IF(COUNTIF(Campaigns!$A$7:$A$300,B2347)&gt;0,"✓","⚠ add to Campaigns tab"))</f>
        <v/>
      </c>
      <c r="I2347" s="84" t="str">
        <f aca="false">IF(C2347="","",C2347*IF(Settings!$B$23=Settings!$C$6,1,IF(Settings!$B$23="USD",1/INDEX(Settings!$B$29:$B$40,MONTH(A2347)),INDEX(Settings!$B$29:$B$40,MONTH(A2347)))))</f>
        <v/>
      </c>
    </row>
    <row r="2348" customFormat="false" ht="15" hidden="false" customHeight="false" outlineLevel="0" collapsed="false">
      <c r="H2348" s="0" t="str">
        <f aca="false">IF(B2348="","",IF(COUNTIF(Campaigns!$A$7:$A$300,B2348)&gt;0,"✓","⚠ add to Campaigns tab"))</f>
        <v/>
      </c>
      <c r="I2348" s="84" t="str">
        <f aca="false">IF(C2348="","",C2348*IF(Settings!$B$23=Settings!$C$6,1,IF(Settings!$B$23="USD",1/INDEX(Settings!$B$29:$B$40,MONTH(A2348)),INDEX(Settings!$B$29:$B$40,MONTH(A2348)))))</f>
        <v/>
      </c>
    </row>
    <row r="2349" customFormat="false" ht="15" hidden="false" customHeight="false" outlineLevel="0" collapsed="false">
      <c r="H2349" s="0" t="str">
        <f aca="false">IF(B2349="","",IF(COUNTIF(Campaigns!$A$7:$A$300,B2349)&gt;0,"✓","⚠ add to Campaigns tab"))</f>
        <v/>
      </c>
      <c r="I2349" s="84" t="str">
        <f aca="false">IF(C2349="","",C2349*IF(Settings!$B$23=Settings!$C$6,1,IF(Settings!$B$23="USD",1/INDEX(Settings!$B$29:$B$40,MONTH(A2349)),INDEX(Settings!$B$29:$B$40,MONTH(A2349)))))</f>
        <v/>
      </c>
    </row>
    <row r="2350" customFormat="false" ht="15" hidden="false" customHeight="false" outlineLevel="0" collapsed="false">
      <c r="H2350" s="0" t="str">
        <f aca="false">IF(B2350="","",IF(COUNTIF(Campaigns!$A$7:$A$300,B2350)&gt;0,"✓","⚠ add to Campaigns tab"))</f>
        <v/>
      </c>
      <c r="I2350" s="84" t="str">
        <f aca="false">IF(C2350="","",C2350*IF(Settings!$B$23=Settings!$C$6,1,IF(Settings!$B$23="USD",1/INDEX(Settings!$B$29:$B$40,MONTH(A2350)),INDEX(Settings!$B$29:$B$40,MONTH(A2350)))))</f>
        <v/>
      </c>
    </row>
    <row r="2351" customFormat="false" ht="15" hidden="false" customHeight="false" outlineLevel="0" collapsed="false">
      <c r="H2351" s="0" t="str">
        <f aca="false">IF(B2351="","",IF(COUNTIF(Campaigns!$A$7:$A$300,B2351)&gt;0,"✓","⚠ add to Campaigns tab"))</f>
        <v/>
      </c>
      <c r="I2351" s="84" t="str">
        <f aca="false">IF(C2351="","",C2351*IF(Settings!$B$23=Settings!$C$6,1,IF(Settings!$B$23="USD",1/INDEX(Settings!$B$29:$B$40,MONTH(A2351)),INDEX(Settings!$B$29:$B$40,MONTH(A2351)))))</f>
        <v/>
      </c>
    </row>
    <row r="2352" customFormat="false" ht="15" hidden="false" customHeight="false" outlineLevel="0" collapsed="false">
      <c r="H2352" s="0" t="str">
        <f aca="false">IF(B2352="","",IF(COUNTIF(Campaigns!$A$7:$A$300,B2352)&gt;0,"✓","⚠ add to Campaigns tab"))</f>
        <v/>
      </c>
      <c r="I2352" s="84" t="str">
        <f aca="false">IF(C2352="","",C2352*IF(Settings!$B$23=Settings!$C$6,1,IF(Settings!$B$23="USD",1/INDEX(Settings!$B$29:$B$40,MONTH(A2352)),INDEX(Settings!$B$29:$B$40,MONTH(A2352)))))</f>
        <v/>
      </c>
    </row>
    <row r="2353" customFormat="false" ht="15" hidden="false" customHeight="false" outlineLevel="0" collapsed="false">
      <c r="H2353" s="0" t="str">
        <f aca="false">IF(B2353="","",IF(COUNTIF(Campaigns!$A$7:$A$300,B2353)&gt;0,"✓","⚠ add to Campaigns tab"))</f>
        <v/>
      </c>
      <c r="I2353" s="84" t="str">
        <f aca="false">IF(C2353="","",C2353*IF(Settings!$B$23=Settings!$C$6,1,IF(Settings!$B$23="USD",1/INDEX(Settings!$B$29:$B$40,MONTH(A2353)),INDEX(Settings!$B$29:$B$40,MONTH(A2353)))))</f>
        <v/>
      </c>
    </row>
    <row r="2354" customFormat="false" ht="15" hidden="false" customHeight="false" outlineLevel="0" collapsed="false">
      <c r="H2354" s="0" t="str">
        <f aca="false">IF(B2354="","",IF(COUNTIF(Campaigns!$A$7:$A$300,B2354)&gt;0,"✓","⚠ add to Campaigns tab"))</f>
        <v/>
      </c>
      <c r="I2354" s="84" t="str">
        <f aca="false">IF(C2354="","",C2354*IF(Settings!$B$23=Settings!$C$6,1,IF(Settings!$B$23="USD",1/INDEX(Settings!$B$29:$B$40,MONTH(A2354)),INDEX(Settings!$B$29:$B$40,MONTH(A2354)))))</f>
        <v/>
      </c>
    </row>
    <row r="2355" customFormat="false" ht="15" hidden="false" customHeight="false" outlineLevel="0" collapsed="false">
      <c r="H2355" s="0" t="str">
        <f aca="false">IF(B2355="","",IF(COUNTIF(Campaigns!$A$7:$A$300,B2355)&gt;0,"✓","⚠ add to Campaigns tab"))</f>
        <v/>
      </c>
      <c r="I2355" s="84" t="str">
        <f aca="false">IF(C2355="","",C2355*IF(Settings!$B$23=Settings!$C$6,1,IF(Settings!$B$23="USD",1/INDEX(Settings!$B$29:$B$40,MONTH(A2355)),INDEX(Settings!$B$29:$B$40,MONTH(A2355)))))</f>
        <v/>
      </c>
    </row>
    <row r="2356" customFormat="false" ht="15" hidden="false" customHeight="false" outlineLevel="0" collapsed="false">
      <c r="H2356" s="0" t="str">
        <f aca="false">IF(B2356="","",IF(COUNTIF(Campaigns!$A$7:$A$300,B2356)&gt;0,"✓","⚠ add to Campaigns tab"))</f>
        <v/>
      </c>
      <c r="I2356" s="84" t="str">
        <f aca="false">IF(C2356="","",C2356*IF(Settings!$B$23=Settings!$C$6,1,IF(Settings!$B$23="USD",1/INDEX(Settings!$B$29:$B$40,MONTH(A2356)),INDEX(Settings!$B$29:$B$40,MONTH(A2356)))))</f>
        <v/>
      </c>
    </row>
    <row r="2357" customFormat="false" ht="15" hidden="false" customHeight="false" outlineLevel="0" collapsed="false">
      <c r="H2357" s="0" t="str">
        <f aca="false">IF(B2357="","",IF(COUNTIF(Campaigns!$A$7:$A$300,B2357)&gt;0,"✓","⚠ add to Campaigns tab"))</f>
        <v/>
      </c>
      <c r="I2357" s="84" t="str">
        <f aca="false">IF(C2357="","",C2357*IF(Settings!$B$23=Settings!$C$6,1,IF(Settings!$B$23="USD",1/INDEX(Settings!$B$29:$B$40,MONTH(A2357)),INDEX(Settings!$B$29:$B$40,MONTH(A2357)))))</f>
        <v/>
      </c>
    </row>
    <row r="2358" customFormat="false" ht="15" hidden="false" customHeight="false" outlineLevel="0" collapsed="false">
      <c r="H2358" s="0" t="str">
        <f aca="false">IF(B2358="","",IF(COUNTIF(Campaigns!$A$7:$A$300,B2358)&gt;0,"✓","⚠ add to Campaigns tab"))</f>
        <v/>
      </c>
      <c r="I2358" s="84" t="str">
        <f aca="false">IF(C2358="","",C2358*IF(Settings!$B$23=Settings!$C$6,1,IF(Settings!$B$23="USD",1/INDEX(Settings!$B$29:$B$40,MONTH(A2358)),INDEX(Settings!$B$29:$B$40,MONTH(A2358)))))</f>
        <v/>
      </c>
    </row>
    <row r="2359" customFormat="false" ht="15" hidden="false" customHeight="false" outlineLevel="0" collapsed="false">
      <c r="H2359" s="0" t="str">
        <f aca="false">IF(B2359="","",IF(COUNTIF(Campaigns!$A$7:$A$300,B2359)&gt;0,"✓","⚠ add to Campaigns tab"))</f>
        <v/>
      </c>
      <c r="I2359" s="84" t="str">
        <f aca="false">IF(C2359="","",C2359*IF(Settings!$B$23=Settings!$C$6,1,IF(Settings!$B$23="USD",1/INDEX(Settings!$B$29:$B$40,MONTH(A2359)),INDEX(Settings!$B$29:$B$40,MONTH(A2359)))))</f>
        <v/>
      </c>
    </row>
    <row r="2360" customFormat="false" ht="15" hidden="false" customHeight="false" outlineLevel="0" collapsed="false">
      <c r="H2360" s="0" t="str">
        <f aca="false">IF(B2360="","",IF(COUNTIF(Campaigns!$A$7:$A$300,B2360)&gt;0,"✓","⚠ add to Campaigns tab"))</f>
        <v/>
      </c>
      <c r="I2360" s="84" t="str">
        <f aca="false">IF(C2360="","",C2360*IF(Settings!$B$23=Settings!$C$6,1,IF(Settings!$B$23="USD",1/INDEX(Settings!$B$29:$B$40,MONTH(A2360)),INDEX(Settings!$B$29:$B$40,MONTH(A2360)))))</f>
        <v/>
      </c>
    </row>
    <row r="2361" customFormat="false" ht="15" hidden="false" customHeight="false" outlineLevel="0" collapsed="false">
      <c r="H2361" s="0" t="str">
        <f aca="false">IF(B2361="","",IF(COUNTIF(Campaigns!$A$7:$A$300,B2361)&gt;0,"✓","⚠ add to Campaigns tab"))</f>
        <v/>
      </c>
      <c r="I2361" s="84" t="str">
        <f aca="false">IF(C2361="","",C2361*IF(Settings!$B$23=Settings!$C$6,1,IF(Settings!$B$23="USD",1/INDEX(Settings!$B$29:$B$40,MONTH(A2361)),INDEX(Settings!$B$29:$B$40,MONTH(A2361)))))</f>
        <v/>
      </c>
    </row>
    <row r="2362" customFormat="false" ht="15" hidden="false" customHeight="false" outlineLevel="0" collapsed="false">
      <c r="H2362" s="0" t="str">
        <f aca="false">IF(B2362="","",IF(COUNTIF(Campaigns!$A$7:$A$300,B2362)&gt;0,"✓","⚠ add to Campaigns tab"))</f>
        <v/>
      </c>
      <c r="I2362" s="84" t="str">
        <f aca="false">IF(C2362="","",C2362*IF(Settings!$B$23=Settings!$C$6,1,IF(Settings!$B$23="USD",1/INDEX(Settings!$B$29:$B$40,MONTH(A2362)),INDEX(Settings!$B$29:$B$40,MONTH(A2362)))))</f>
        <v/>
      </c>
    </row>
    <row r="2363" customFormat="false" ht="15" hidden="false" customHeight="false" outlineLevel="0" collapsed="false">
      <c r="H2363" s="0" t="str">
        <f aca="false">IF(B2363="","",IF(COUNTIF(Campaigns!$A$7:$A$300,B2363)&gt;0,"✓","⚠ add to Campaigns tab"))</f>
        <v/>
      </c>
      <c r="I2363" s="84" t="str">
        <f aca="false">IF(C2363="","",C2363*IF(Settings!$B$23=Settings!$C$6,1,IF(Settings!$B$23="USD",1/INDEX(Settings!$B$29:$B$40,MONTH(A2363)),INDEX(Settings!$B$29:$B$40,MONTH(A2363)))))</f>
        <v/>
      </c>
    </row>
    <row r="2364" customFormat="false" ht="15" hidden="false" customHeight="false" outlineLevel="0" collapsed="false">
      <c r="H2364" s="0" t="str">
        <f aca="false">IF(B2364="","",IF(COUNTIF(Campaigns!$A$7:$A$300,B2364)&gt;0,"✓","⚠ add to Campaigns tab"))</f>
        <v/>
      </c>
      <c r="I2364" s="84" t="str">
        <f aca="false">IF(C2364="","",C2364*IF(Settings!$B$23=Settings!$C$6,1,IF(Settings!$B$23="USD",1/INDEX(Settings!$B$29:$B$40,MONTH(A2364)),INDEX(Settings!$B$29:$B$40,MONTH(A2364)))))</f>
        <v/>
      </c>
    </row>
    <row r="2365" customFormat="false" ht="15" hidden="false" customHeight="false" outlineLevel="0" collapsed="false">
      <c r="H2365" s="0" t="str">
        <f aca="false">IF(B2365="","",IF(COUNTIF(Campaigns!$A$7:$A$300,B2365)&gt;0,"✓","⚠ add to Campaigns tab"))</f>
        <v/>
      </c>
      <c r="I2365" s="84" t="str">
        <f aca="false">IF(C2365="","",C2365*IF(Settings!$B$23=Settings!$C$6,1,IF(Settings!$B$23="USD",1/INDEX(Settings!$B$29:$B$40,MONTH(A2365)),INDEX(Settings!$B$29:$B$40,MONTH(A2365)))))</f>
        <v/>
      </c>
    </row>
    <row r="2366" customFormat="false" ht="15" hidden="false" customHeight="false" outlineLevel="0" collapsed="false">
      <c r="H2366" s="0" t="str">
        <f aca="false">IF(B2366="","",IF(COUNTIF(Campaigns!$A$7:$A$300,B2366)&gt;0,"✓","⚠ add to Campaigns tab"))</f>
        <v/>
      </c>
      <c r="I2366" s="84" t="str">
        <f aca="false">IF(C2366="","",C2366*IF(Settings!$B$23=Settings!$C$6,1,IF(Settings!$B$23="USD",1/INDEX(Settings!$B$29:$B$40,MONTH(A2366)),INDEX(Settings!$B$29:$B$40,MONTH(A2366)))))</f>
        <v/>
      </c>
    </row>
    <row r="2367" customFormat="false" ht="15" hidden="false" customHeight="false" outlineLevel="0" collapsed="false">
      <c r="H2367" s="0" t="str">
        <f aca="false">IF(B2367="","",IF(COUNTIF(Campaigns!$A$7:$A$300,B2367)&gt;0,"✓","⚠ add to Campaigns tab"))</f>
        <v/>
      </c>
      <c r="I2367" s="84" t="str">
        <f aca="false">IF(C2367="","",C2367*IF(Settings!$B$23=Settings!$C$6,1,IF(Settings!$B$23="USD",1/INDEX(Settings!$B$29:$B$40,MONTH(A2367)),INDEX(Settings!$B$29:$B$40,MONTH(A2367)))))</f>
        <v/>
      </c>
    </row>
    <row r="2368" customFormat="false" ht="15" hidden="false" customHeight="false" outlineLevel="0" collapsed="false">
      <c r="H2368" s="0" t="str">
        <f aca="false">IF(B2368="","",IF(COUNTIF(Campaigns!$A$7:$A$300,B2368)&gt;0,"✓","⚠ add to Campaigns tab"))</f>
        <v/>
      </c>
      <c r="I2368" s="84" t="str">
        <f aca="false">IF(C2368="","",C2368*IF(Settings!$B$23=Settings!$C$6,1,IF(Settings!$B$23="USD",1/INDEX(Settings!$B$29:$B$40,MONTH(A2368)),INDEX(Settings!$B$29:$B$40,MONTH(A2368)))))</f>
        <v/>
      </c>
    </row>
    <row r="2369" customFormat="false" ht="15" hidden="false" customHeight="false" outlineLevel="0" collapsed="false">
      <c r="H2369" s="0" t="str">
        <f aca="false">IF(B2369="","",IF(COUNTIF(Campaigns!$A$7:$A$300,B2369)&gt;0,"✓","⚠ add to Campaigns tab"))</f>
        <v/>
      </c>
      <c r="I2369" s="84" t="str">
        <f aca="false">IF(C2369="","",C2369*IF(Settings!$B$23=Settings!$C$6,1,IF(Settings!$B$23="USD",1/INDEX(Settings!$B$29:$B$40,MONTH(A2369)),INDEX(Settings!$B$29:$B$40,MONTH(A2369)))))</f>
        <v/>
      </c>
    </row>
    <row r="2370" customFormat="false" ht="15" hidden="false" customHeight="false" outlineLevel="0" collapsed="false">
      <c r="H2370" s="0" t="str">
        <f aca="false">IF(B2370="","",IF(COUNTIF(Campaigns!$A$7:$A$300,B2370)&gt;0,"✓","⚠ add to Campaigns tab"))</f>
        <v/>
      </c>
      <c r="I2370" s="84" t="str">
        <f aca="false">IF(C2370="","",C2370*IF(Settings!$B$23=Settings!$C$6,1,IF(Settings!$B$23="USD",1/INDEX(Settings!$B$29:$B$40,MONTH(A2370)),INDEX(Settings!$B$29:$B$40,MONTH(A2370)))))</f>
        <v/>
      </c>
    </row>
    <row r="2371" customFormat="false" ht="15" hidden="false" customHeight="false" outlineLevel="0" collapsed="false">
      <c r="H2371" s="0" t="str">
        <f aca="false">IF(B2371="","",IF(COUNTIF(Campaigns!$A$7:$A$300,B2371)&gt;0,"✓","⚠ add to Campaigns tab"))</f>
        <v/>
      </c>
      <c r="I2371" s="84" t="str">
        <f aca="false">IF(C2371="","",C2371*IF(Settings!$B$23=Settings!$C$6,1,IF(Settings!$B$23="USD",1/INDEX(Settings!$B$29:$B$40,MONTH(A2371)),INDEX(Settings!$B$29:$B$40,MONTH(A2371)))))</f>
        <v/>
      </c>
    </row>
    <row r="2372" customFormat="false" ht="15" hidden="false" customHeight="false" outlineLevel="0" collapsed="false">
      <c r="H2372" s="0" t="str">
        <f aca="false">IF(B2372="","",IF(COUNTIF(Campaigns!$A$7:$A$300,B2372)&gt;0,"✓","⚠ add to Campaigns tab"))</f>
        <v/>
      </c>
      <c r="I2372" s="84" t="str">
        <f aca="false">IF(C2372="","",C2372*IF(Settings!$B$23=Settings!$C$6,1,IF(Settings!$B$23="USD",1/INDEX(Settings!$B$29:$B$40,MONTH(A2372)),INDEX(Settings!$B$29:$B$40,MONTH(A2372)))))</f>
        <v/>
      </c>
    </row>
    <row r="2373" customFormat="false" ht="15" hidden="false" customHeight="false" outlineLevel="0" collapsed="false">
      <c r="H2373" s="0" t="str">
        <f aca="false">IF(B2373="","",IF(COUNTIF(Campaigns!$A$7:$A$300,B2373)&gt;0,"✓","⚠ add to Campaigns tab"))</f>
        <v/>
      </c>
      <c r="I2373" s="84" t="str">
        <f aca="false">IF(C2373="","",C2373*IF(Settings!$B$23=Settings!$C$6,1,IF(Settings!$B$23="USD",1/INDEX(Settings!$B$29:$B$40,MONTH(A2373)),INDEX(Settings!$B$29:$B$40,MONTH(A2373)))))</f>
        <v/>
      </c>
    </row>
    <row r="2374" customFormat="false" ht="15" hidden="false" customHeight="false" outlineLevel="0" collapsed="false">
      <c r="H2374" s="0" t="str">
        <f aca="false">IF(B2374="","",IF(COUNTIF(Campaigns!$A$7:$A$300,B2374)&gt;0,"✓","⚠ add to Campaigns tab"))</f>
        <v/>
      </c>
      <c r="I2374" s="84" t="str">
        <f aca="false">IF(C2374="","",C2374*IF(Settings!$B$23=Settings!$C$6,1,IF(Settings!$B$23="USD",1/INDEX(Settings!$B$29:$B$40,MONTH(A2374)),INDEX(Settings!$B$29:$B$40,MONTH(A2374)))))</f>
        <v/>
      </c>
    </row>
    <row r="2375" customFormat="false" ht="15" hidden="false" customHeight="false" outlineLevel="0" collapsed="false">
      <c r="H2375" s="0" t="str">
        <f aca="false">IF(B2375="","",IF(COUNTIF(Campaigns!$A$7:$A$300,B2375)&gt;0,"✓","⚠ add to Campaigns tab"))</f>
        <v/>
      </c>
      <c r="I2375" s="84" t="str">
        <f aca="false">IF(C2375="","",C2375*IF(Settings!$B$23=Settings!$C$6,1,IF(Settings!$B$23="USD",1/INDEX(Settings!$B$29:$B$40,MONTH(A2375)),INDEX(Settings!$B$29:$B$40,MONTH(A2375)))))</f>
        <v/>
      </c>
    </row>
    <row r="2376" customFormat="false" ht="15" hidden="false" customHeight="false" outlineLevel="0" collapsed="false">
      <c r="H2376" s="0" t="str">
        <f aca="false">IF(B2376="","",IF(COUNTIF(Campaigns!$A$7:$A$300,B2376)&gt;0,"✓","⚠ add to Campaigns tab"))</f>
        <v/>
      </c>
      <c r="I2376" s="84" t="str">
        <f aca="false">IF(C2376="","",C2376*IF(Settings!$B$23=Settings!$C$6,1,IF(Settings!$B$23="USD",1/INDEX(Settings!$B$29:$B$40,MONTH(A2376)),INDEX(Settings!$B$29:$B$40,MONTH(A2376)))))</f>
        <v/>
      </c>
    </row>
    <row r="2377" customFormat="false" ht="15" hidden="false" customHeight="false" outlineLevel="0" collapsed="false">
      <c r="H2377" s="0" t="str">
        <f aca="false">IF(B2377="","",IF(COUNTIF(Campaigns!$A$7:$A$300,B2377)&gt;0,"✓","⚠ add to Campaigns tab"))</f>
        <v/>
      </c>
      <c r="I2377" s="84" t="str">
        <f aca="false">IF(C2377="","",C2377*IF(Settings!$B$23=Settings!$C$6,1,IF(Settings!$B$23="USD",1/INDEX(Settings!$B$29:$B$40,MONTH(A2377)),INDEX(Settings!$B$29:$B$40,MONTH(A2377)))))</f>
        <v/>
      </c>
    </row>
    <row r="2378" customFormat="false" ht="15" hidden="false" customHeight="false" outlineLevel="0" collapsed="false">
      <c r="H2378" s="0" t="str">
        <f aca="false">IF(B2378="","",IF(COUNTIF(Campaigns!$A$7:$A$300,B2378)&gt;0,"✓","⚠ add to Campaigns tab"))</f>
        <v/>
      </c>
      <c r="I2378" s="84" t="str">
        <f aca="false">IF(C2378="","",C2378*IF(Settings!$B$23=Settings!$C$6,1,IF(Settings!$B$23="USD",1/INDEX(Settings!$B$29:$B$40,MONTH(A2378)),INDEX(Settings!$B$29:$B$40,MONTH(A2378)))))</f>
        <v/>
      </c>
    </row>
    <row r="2379" customFormat="false" ht="15" hidden="false" customHeight="false" outlineLevel="0" collapsed="false">
      <c r="H2379" s="0" t="str">
        <f aca="false">IF(B2379="","",IF(COUNTIF(Campaigns!$A$7:$A$300,B2379)&gt;0,"✓","⚠ add to Campaigns tab"))</f>
        <v/>
      </c>
      <c r="I2379" s="84" t="str">
        <f aca="false">IF(C2379="","",C2379*IF(Settings!$B$23=Settings!$C$6,1,IF(Settings!$B$23="USD",1/INDEX(Settings!$B$29:$B$40,MONTH(A2379)),INDEX(Settings!$B$29:$B$40,MONTH(A2379)))))</f>
        <v/>
      </c>
    </row>
    <row r="2380" customFormat="false" ht="15" hidden="false" customHeight="false" outlineLevel="0" collapsed="false">
      <c r="H2380" s="0" t="str">
        <f aca="false">IF(B2380="","",IF(COUNTIF(Campaigns!$A$7:$A$300,B2380)&gt;0,"✓","⚠ add to Campaigns tab"))</f>
        <v/>
      </c>
      <c r="I2380" s="84" t="str">
        <f aca="false">IF(C2380="","",C2380*IF(Settings!$B$23=Settings!$C$6,1,IF(Settings!$B$23="USD",1/INDEX(Settings!$B$29:$B$40,MONTH(A2380)),INDEX(Settings!$B$29:$B$40,MONTH(A2380)))))</f>
        <v/>
      </c>
    </row>
    <row r="2381" customFormat="false" ht="15" hidden="false" customHeight="false" outlineLevel="0" collapsed="false">
      <c r="H2381" s="0" t="str">
        <f aca="false">IF(B2381="","",IF(COUNTIF(Campaigns!$A$7:$A$300,B2381)&gt;0,"✓","⚠ add to Campaigns tab"))</f>
        <v/>
      </c>
      <c r="I2381" s="84" t="str">
        <f aca="false">IF(C2381="","",C2381*IF(Settings!$B$23=Settings!$C$6,1,IF(Settings!$B$23="USD",1/INDEX(Settings!$B$29:$B$40,MONTH(A2381)),INDEX(Settings!$B$29:$B$40,MONTH(A2381)))))</f>
        <v/>
      </c>
    </row>
    <row r="2382" customFormat="false" ht="15" hidden="false" customHeight="false" outlineLevel="0" collapsed="false">
      <c r="H2382" s="0" t="str">
        <f aca="false">IF(B2382="","",IF(COUNTIF(Campaigns!$A$7:$A$300,B2382)&gt;0,"✓","⚠ add to Campaigns tab"))</f>
        <v/>
      </c>
      <c r="I2382" s="84" t="str">
        <f aca="false">IF(C2382="","",C2382*IF(Settings!$B$23=Settings!$C$6,1,IF(Settings!$B$23="USD",1/INDEX(Settings!$B$29:$B$40,MONTH(A2382)),INDEX(Settings!$B$29:$B$40,MONTH(A2382)))))</f>
        <v/>
      </c>
    </row>
    <row r="2383" customFormat="false" ht="15" hidden="false" customHeight="false" outlineLevel="0" collapsed="false">
      <c r="H2383" s="0" t="str">
        <f aca="false">IF(B2383="","",IF(COUNTIF(Campaigns!$A$7:$A$300,B2383)&gt;0,"✓","⚠ add to Campaigns tab"))</f>
        <v/>
      </c>
      <c r="I2383" s="84" t="str">
        <f aca="false">IF(C2383="","",C2383*IF(Settings!$B$23=Settings!$C$6,1,IF(Settings!$B$23="USD",1/INDEX(Settings!$B$29:$B$40,MONTH(A2383)),INDEX(Settings!$B$29:$B$40,MONTH(A2383)))))</f>
        <v/>
      </c>
    </row>
    <row r="2384" customFormat="false" ht="15" hidden="false" customHeight="false" outlineLevel="0" collapsed="false">
      <c r="H2384" s="0" t="str">
        <f aca="false">IF(B2384="","",IF(COUNTIF(Campaigns!$A$7:$A$300,B2384)&gt;0,"✓","⚠ add to Campaigns tab"))</f>
        <v/>
      </c>
      <c r="I2384" s="84" t="str">
        <f aca="false">IF(C2384="","",C2384*IF(Settings!$B$23=Settings!$C$6,1,IF(Settings!$B$23="USD",1/INDEX(Settings!$B$29:$B$40,MONTH(A2384)),INDEX(Settings!$B$29:$B$40,MONTH(A2384)))))</f>
        <v/>
      </c>
    </row>
    <row r="2385" customFormat="false" ht="15" hidden="false" customHeight="false" outlineLevel="0" collapsed="false">
      <c r="H2385" s="0" t="str">
        <f aca="false">IF(B2385="","",IF(COUNTIF(Campaigns!$A$7:$A$300,B2385)&gt;0,"✓","⚠ add to Campaigns tab"))</f>
        <v/>
      </c>
      <c r="I2385" s="84" t="str">
        <f aca="false">IF(C2385="","",C2385*IF(Settings!$B$23=Settings!$C$6,1,IF(Settings!$B$23="USD",1/INDEX(Settings!$B$29:$B$40,MONTH(A2385)),INDEX(Settings!$B$29:$B$40,MONTH(A2385)))))</f>
        <v/>
      </c>
    </row>
    <row r="2386" customFormat="false" ht="15" hidden="false" customHeight="false" outlineLevel="0" collapsed="false">
      <c r="H2386" s="0" t="str">
        <f aca="false">IF(B2386="","",IF(COUNTIF(Campaigns!$A$7:$A$300,B2386)&gt;0,"✓","⚠ add to Campaigns tab"))</f>
        <v/>
      </c>
      <c r="I2386" s="84" t="str">
        <f aca="false">IF(C2386="","",C2386*IF(Settings!$B$23=Settings!$C$6,1,IF(Settings!$B$23="USD",1/INDEX(Settings!$B$29:$B$40,MONTH(A2386)),INDEX(Settings!$B$29:$B$40,MONTH(A2386)))))</f>
        <v/>
      </c>
    </row>
    <row r="2387" customFormat="false" ht="15" hidden="false" customHeight="false" outlineLevel="0" collapsed="false">
      <c r="H2387" s="0" t="str">
        <f aca="false">IF(B2387="","",IF(COUNTIF(Campaigns!$A$7:$A$300,B2387)&gt;0,"✓","⚠ add to Campaigns tab"))</f>
        <v/>
      </c>
      <c r="I2387" s="84" t="str">
        <f aca="false">IF(C2387="","",C2387*IF(Settings!$B$23=Settings!$C$6,1,IF(Settings!$B$23="USD",1/INDEX(Settings!$B$29:$B$40,MONTH(A2387)),INDEX(Settings!$B$29:$B$40,MONTH(A2387)))))</f>
        <v/>
      </c>
    </row>
    <row r="2388" customFormat="false" ht="15" hidden="false" customHeight="false" outlineLevel="0" collapsed="false">
      <c r="H2388" s="0" t="str">
        <f aca="false">IF(B2388="","",IF(COUNTIF(Campaigns!$A$7:$A$300,B2388)&gt;0,"✓","⚠ add to Campaigns tab"))</f>
        <v/>
      </c>
      <c r="I2388" s="84" t="str">
        <f aca="false">IF(C2388="","",C2388*IF(Settings!$B$23=Settings!$C$6,1,IF(Settings!$B$23="USD",1/INDEX(Settings!$B$29:$B$40,MONTH(A2388)),INDEX(Settings!$B$29:$B$40,MONTH(A2388)))))</f>
        <v/>
      </c>
    </row>
    <row r="2389" customFormat="false" ht="15" hidden="false" customHeight="false" outlineLevel="0" collapsed="false">
      <c r="H2389" s="0" t="str">
        <f aca="false">IF(B2389="","",IF(COUNTIF(Campaigns!$A$7:$A$300,B2389)&gt;0,"✓","⚠ add to Campaigns tab"))</f>
        <v/>
      </c>
      <c r="I2389" s="84" t="str">
        <f aca="false">IF(C2389="","",C2389*IF(Settings!$B$23=Settings!$C$6,1,IF(Settings!$B$23="USD",1/INDEX(Settings!$B$29:$B$40,MONTH(A2389)),INDEX(Settings!$B$29:$B$40,MONTH(A2389)))))</f>
        <v/>
      </c>
    </row>
    <row r="2390" customFormat="false" ht="15" hidden="false" customHeight="false" outlineLevel="0" collapsed="false">
      <c r="H2390" s="0" t="str">
        <f aca="false">IF(B2390="","",IF(COUNTIF(Campaigns!$A$7:$A$300,B2390)&gt;0,"✓","⚠ add to Campaigns tab"))</f>
        <v/>
      </c>
      <c r="I2390" s="84" t="str">
        <f aca="false">IF(C2390="","",C2390*IF(Settings!$B$23=Settings!$C$6,1,IF(Settings!$B$23="USD",1/INDEX(Settings!$B$29:$B$40,MONTH(A2390)),INDEX(Settings!$B$29:$B$40,MONTH(A2390)))))</f>
        <v/>
      </c>
    </row>
    <row r="2391" customFormat="false" ht="15" hidden="false" customHeight="false" outlineLevel="0" collapsed="false">
      <c r="H2391" s="0" t="str">
        <f aca="false">IF(B2391="","",IF(COUNTIF(Campaigns!$A$7:$A$300,B2391)&gt;0,"✓","⚠ add to Campaigns tab"))</f>
        <v/>
      </c>
      <c r="I2391" s="84" t="str">
        <f aca="false">IF(C2391="","",C2391*IF(Settings!$B$23=Settings!$C$6,1,IF(Settings!$B$23="USD",1/INDEX(Settings!$B$29:$B$40,MONTH(A2391)),INDEX(Settings!$B$29:$B$40,MONTH(A2391)))))</f>
        <v/>
      </c>
    </row>
    <row r="2392" customFormat="false" ht="15" hidden="false" customHeight="false" outlineLevel="0" collapsed="false">
      <c r="H2392" s="0" t="str">
        <f aca="false">IF(B2392="","",IF(COUNTIF(Campaigns!$A$7:$A$300,B2392)&gt;0,"✓","⚠ add to Campaigns tab"))</f>
        <v/>
      </c>
      <c r="I2392" s="84" t="str">
        <f aca="false">IF(C2392="","",C2392*IF(Settings!$B$23=Settings!$C$6,1,IF(Settings!$B$23="USD",1/INDEX(Settings!$B$29:$B$40,MONTH(A2392)),INDEX(Settings!$B$29:$B$40,MONTH(A2392)))))</f>
        <v/>
      </c>
    </row>
    <row r="2393" customFormat="false" ht="15" hidden="false" customHeight="false" outlineLevel="0" collapsed="false">
      <c r="H2393" s="0" t="str">
        <f aca="false">IF(B2393="","",IF(COUNTIF(Campaigns!$A$7:$A$300,B2393)&gt;0,"✓","⚠ add to Campaigns tab"))</f>
        <v/>
      </c>
      <c r="I2393" s="84" t="str">
        <f aca="false">IF(C2393="","",C2393*IF(Settings!$B$23=Settings!$C$6,1,IF(Settings!$B$23="USD",1/INDEX(Settings!$B$29:$B$40,MONTH(A2393)),INDEX(Settings!$B$29:$B$40,MONTH(A2393)))))</f>
        <v/>
      </c>
    </row>
    <row r="2394" customFormat="false" ht="15" hidden="false" customHeight="false" outlineLevel="0" collapsed="false">
      <c r="H2394" s="0" t="str">
        <f aca="false">IF(B2394="","",IF(COUNTIF(Campaigns!$A$7:$A$300,B2394)&gt;0,"✓","⚠ add to Campaigns tab"))</f>
        <v/>
      </c>
      <c r="I2394" s="84" t="str">
        <f aca="false">IF(C2394="","",C2394*IF(Settings!$B$23=Settings!$C$6,1,IF(Settings!$B$23="USD",1/INDEX(Settings!$B$29:$B$40,MONTH(A2394)),INDEX(Settings!$B$29:$B$40,MONTH(A2394)))))</f>
        <v/>
      </c>
    </row>
    <row r="2395" customFormat="false" ht="15" hidden="false" customHeight="false" outlineLevel="0" collapsed="false">
      <c r="H2395" s="0" t="str">
        <f aca="false">IF(B2395="","",IF(COUNTIF(Campaigns!$A$7:$A$300,B2395)&gt;0,"✓","⚠ add to Campaigns tab"))</f>
        <v/>
      </c>
      <c r="I2395" s="84" t="str">
        <f aca="false">IF(C2395="","",C2395*IF(Settings!$B$23=Settings!$C$6,1,IF(Settings!$B$23="USD",1/INDEX(Settings!$B$29:$B$40,MONTH(A2395)),INDEX(Settings!$B$29:$B$40,MONTH(A2395)))))</f>
        <v/>
      </c>
    </row>
    <row r="2396" customFormat="false" ht="15" hidden="false" customHeight="false" outlineLevel="0" collapsed="false">
      <c r="H2396" s="0" t="str">
        <f aca="false">IF(B2396="","",IF(COUNTIF(Campaigns!$A$7:$A$300,B2396)&gt;0,"✓","⚠ add to Campaigns tab"))</f>
        <v/>
      </c>
      <c r="I2396" s="84" t="str">
        <f aca="false">IF(C2396="","",C2396*IF(Settings!$B$23=Settings!$C$6,1,IF(Settings!$B$23="USD",1/INDEX(Settings!$B$29:$B$40,MONTH(A2396)),INDEX(Settings!$B$29:$B$40,MONTH(A2396)))))</f>
        <v/>
      </c>
    </row>
    <row r="2397" customFormat="false" ht="15" hidden="false" customHeight="false" outlineLevel="0" collapsed="false">
      <c r="H2397" s="0" t="str">
        <f aca="false">IF(B2397="","",IF(COUNTIF(Campaigns!$A$7:$A$300,B2397)&gt;0,"✓","⚠ add to Campaigns tab"))</f>
        <v/>
      </c>
      <c r="I2397" s="84" t="str">
        <f aca="false">IF(C2397="","",C2397*IF(Settings!$B$23=Settings!$C$6,1,IF(Settings!$B$23="USD",1/INDEX(Settings!$B$29:$B$40,MONTH(A2397)),INDEX(Settings!$B$29:$B$40,MONTH(A2397)))))</f>
        <v/>
      </c>
    </row>
    <row r="2398" customFormat="false" ht="15" hidden="false" customHeight="false" outlineLevel="0" collapsed="false">
      <c r="H2398" s="0" t="str">
        <f aca="false">IF(B2398="","",IF(COUNTIF(Campaigns!$A$7:$A$300,B2398)&gt;0,"✓","⚠ add to Campaigns tab"))</f>
        <v/>
      </c>
      <c r="I2398" s="84" t="str">
        <f aca="false">IF(C2398="","",C2398*IF(Settings!$B$23=Settings!$C$6,1,IF(Settings!$B$23="USD",1/INDEX(Settings!$B$29:$B$40,MONTH(A2398)),INDEX(Settings!$B$29:$B$40,MONTH(A2398)))))</f>
        <v/>
      </c>
    </row>
    <row r="2399" customFormat="false" ht="15" hidden="false" customHeight="false" outlineLevel="0" collapsed="false">
      <c r="H2399" s="0" t="str">
        <f aca="false">IF(B2399="","",IF(COUNTIF(Campaigns!$A$7:$A$300,B2399)&gt;0,"✓","⚠ add to Campaigns tab"))</f>
        <v/>
      </c>
      <c r="I2399" s="84" t="str">
        <f aca="false">IF(C2399="","",C2399*IF(Settings!$B$23=Settings!$C$6,1,IF(Settings!$B$23="USD",1/INDEX(Settings!$B$29:$B$40,MONTH(A2399)),INDEX(Settings!$B$29:$B$40,MONTH(A2399)))))</f>
        <v/>
      </c>
    </row>
    <row r="2400" customFormat="false" ht="15" hidden="false" customHeight="false" outlineLevel="0" collapsed="false">
      <c r="H2400" s="0" t="str">
        <f aca="false">IF(B2400="","",IF(COUNTIF(Campaigns!$A$7:$A$300,B2400)&gt;0,"✓","⚠ add to Campaigns tab"))</f>
        <v/>
      </c>
      <c r="I2400" s="84" t="str">
        <f aca="false">IF(C2400="","",C2400*IF(Settings!$B$23=Settings!$C$6,1,IF(Settings!$B$23="USD",1/INDEX(Settings!$B$29:$B$40,MONTH(A2400)),INDEX(Settings!$B$29:$B$40,MONTH(A2400)))))</f>
        <v/>
      </c>
    </row>
    <row r="2401" customFormat="false" ht="15" hidden="false" customHeight="false" outlineLevel="0" collapsed="false">
      <c r="H2401" s="0" t="str">
        <f aca="false">IF(B2401="","",IF(COUNTIF(Campaigns!$A$7:$A$300,B2401)&gt;0,"✓","⚠ add to Campaigns tab"))</f>
        <v/>
      </c>
      <c r="I2401" s="84" t="str">
        <f aca="false">IF(C2401="","",C2401*IF(Settings!$B$23=Settings!$C$6,1,IF(Settings!$B$23="USD",1/INDEX(Settings!$B$29:$B$40,MONTH(A2401)),INDEX(Settings!$B$29:$B$40,MONTH(A2401)))))</f>
        <v/>
      </c>
    </row>
    <row r="2402" customFormat="false" ht="15" hidden="false" customHeight="false" outlineLevel="0" collapsed="false">
      <c r="H2402" s="0" t="str">
        <f aca="false">IF(B2402="","",IF(COUNTIF(Campaigns!$A$7:$A$300,B2402)&gt;0,"✓","⚠ add to Campaigns tab"))</f>
        <v/>
      </c>
      <c r="I2402" s="84" t="str">
        <f aca="false">IF(C2402="","",C2402*IF(Settings!$B$23=Settings!$C$6,1,IF(Settings!$B$23="USD",1/INDEX(Settings!$B$29:$B$40,MONTH(A2402)),INDEX(Settings!$B$29:$B$40,MONTH(A2402)))))</f>
        <v/>
      </c>
    </row>
    <row r="2403" customFormat="false" ht="15" hidden="false" customHeight="false" outlineLevel="0" collapsed="false">
      <c r="H2403" s="0" t="str">
        <f aca="false">IF(B2403="","",IF(COUNTIF(Campaigns!$A$7:$A$300,B2403)&gt;0,"✓","⚠ add to Campaigns tab"))</f>
        <v/>
      </c>
      <c r="I2403" s="84" t="str">
        <f aca="false">IF(C2403="","",C2403*IF(Settings!$B$23=Settings!$C$6,1,IF(Settings!$B$23="USD",1/INDEX(Settings!$B$29:$B$40,MONTH(A2403)),INDEX(Settings!$B$29:$B$40,MONTH(A2403)))))</f>
        <v/>
      </c>
    </row>
    <row r="2404" customFormat="false" ht="15" hidden="false" customHeight="false" outlineLevel="0" collapsed="false">
      <c r="H2404" s="0" t="str">
        <f aca="false">IF(B2404="","",IF(COUNTIF(Campaigns!$A$7:$A$300,B2404)&gt;0,"✓","⚠ add to Campaigns tab"))</f>
        <v/>
      </c>
      <c r="I2404" s="84" t="str">
        <f aca="false">IF(C2404="","",C2404*IF(Settings!$B$23=Settings!$C$6,1,IF(Settings!$B$23="USD",1/INDEX(Settings!$B$29:$B$40,MONTH(A2404)),INDEX(Settings!$B$29:$B$40,MONTH(A2404)))))</f>
        <v/>
      </c>
    </row>
    <row r="2405" customFormat="false" ht="15" hidden="false" customHeight="false" outlineLevel="0" collapsed="false">
      <c r="H2405" s="0" t="str">
        <f aca="false">IF(B2405="","",IF(COUNTIF(Campaigns!$A$7:$A$300,B2405)&gt;0,"✓","⚠ add to Campaigns tab"))</f>
        <v/>
      </c>
      <c r="I2405" s="84" t="str">
        <f aca="false">IF(C2405="","",C2405*IF(Settings!$B$23=Settings!$C$6,1,IF(Settings!$B$23="USD",1/INDEX(Settings!$B$29:$B$40,MONTH(A2405)),INDEX(Settings!$B$29:$B$40,MONTH(A2405)))))</f>
        <v/>
      </c>
    </row>
    <row r="2406" customFormat="false" ht="15" hidden="false" customHeight="false" outlineLevel="0" collapsed="false">
      <c r="H2406" s="0" t="str">
        <f aca="false">IF(B2406="","",IF(COUNTIF(Campaigns!$A$7:$A$300,B2406)&gt;0,"✓","⚠ add to Campaigns tab"))</f>
        <v/>
      </c>
      <c r="I2406" s="84" t="str">
        <f aca="false">IF(C2406="","",C2406*IF(Settings!$B$23=Settings!$C$6,1,IF(Settings!$B$23="USD",1/INDEX(Settings!$B$29:$B$40,MONTH(A2406)),INDEX(Settings!$B$29:$B$40,MONTH(A2406)))))</f>
        <v/>
      </c>
    </row>
    <row r="2407" customFormat="false" ht="15" hidden="false" customHeight="false" outlineLevel="0" collapsed="false">
      <c r="H2407" s="0" t="str">
        <f aca="false">IF(B2407="","",IF(COUNTIF(Campaigns!$A$7:$A$300,B2407)&gt;0,"✓","⚠ add to Campaigns tab"))</f>
        <v/>
      </c>
      <c r="I2407" s="84" t="str">
        <f aca="false">IF(C2407="","",C2407*IF(Settings!$B$23=Settings!$C$6,1,IF(Settings!$B$23="USD",1/INDEX(Settings!$B$29:$B$40,MONTH(A2407)),INDEX(Settings!$B$29:$B$40,MONTH(A2407)))))</f>
        <v/>
      </c>
    </row>
    <row r="2408" customFormat="false" ht="15" hidden="false" customHeight="false" outlineLevel="0" collapsed="false">
      <c r="H2408" s="0" t="str">
        <f aca="false">IF(B2408="","",IF(COUNTIF(Campaigns!$A$7:$A$300,B2408)&gt;0,"✓","⚠ add to Campaigns tab"))</f>
        <v/>
      </c>
      <c r="I2408" s="84" t="str">
        <f aca="false">IF(C2408="","",C2408*IF(Settings!$B$23=Settings!$C$6,1,IF(Settings!$B$23="USD",1/INDEX(Settings!$B$29:$B$40,MONTH(A2408)),INDEX(Settings!$B$29:$B$40,MONTH(A2408)))))</f>
        <v/>
      </c>
    </row>
    <row r="2409" customFormat="false" ht="15" hidden="false" customHeight="false" outlineLevel="0" collapsed="false">
      <c r="H2409" s="0" t="str">
        <f aca="false">IF(B2409="","",IF(COUNTIF(Campaigns!$A$7:$A$300,B2409)&gt;0,"✓","⚠ add to Campaigns tab"))</f>
        <v/>
      </c>
      <c r="I2409" s="84" t="str">
        <f aca="false">IF(C2409="","",C2409*IF(Settings!$B$23=Settings!$C$6,1,IF(Settings!$B$23="USD",1/INDEX(Settings!$B$29:$B$40,MONTH(A2409)),INDEX(Settings!$B$29:$B$40,MONTH(A2409)))))</f>
        <v/>
      </c>
    </row>
    <row r="2410" customFormat="false" ht="15" hidden="false" customHeight="false" outlineLevel="0" collapsed="false">
      <c r="H2410" s="0" t="str">
        <f aca="false">IF(B2410="","",IF(COUNTIF(Campaigns!$A$7:$A$300,B2410)&gt;0,"✓","⚠ add to Campaigns tab"))</f>
        <v/>
      </c>
      <c r="I2410" s="84" t="str">
        <f aca="false">IF(C2410="","",C2410*IF(Settings!$B$23=Settings!$C$6,1,IF(Settings!$B$23="USD",1/INDEX(Settings!$B$29:$B$40,MONTH(A2410)),INDEX(Settings!$B$29:$B$40,MONTH(A2410)))))</f>
        <v/>
      </c>
    </row>
    <row r="2411" customFormat="false" ht="15" hidden="false" customHeight="false" outlineLevel="0" collapsed="false">
      <c r="H2411" s="0" t="str">
        <f aca="false">IF(B2411="","",IF(COUNTIF(Campaigns!$A$7:$A$300,B2411)&gt;0,"✓","⚠ add to Campaigns tab"))</f>
        <v/>
      </c>
      <c r="I2411" s="84" t="str">
        <f aca="false">IF(C2411="","",C2411*IF(Settings!$B$23=Settings!$C$6,1,IF(Settings!$B$23="USD",1/INDEX(Settings!$B$29:$B$40,MONTH(A2411)),INDEX(Settings!$B$29:$B$40,MONTH(A2411)))))</f>
        <v/>
      </c>
    </row>
    <row r="2412" customFormat="false" ht="15" hidden="false" customHeight="false" outlineLevel="0" collapsed="false">
      <c r="H2412" s="0" t="str">
        <f aca="false">IF(B2412="","",IF(COUNTIF(Campaigns!$A$7:$A$300,B2412)&gt;0,"✓","⚠ add to Campaigns tab"))</f>
        <v/>
      </c>
      <c r="I2412" s="84" t="str">
        <f aca="false">IF(C2412="","",C2412*IF(Settings!$B$23=Settings!$C$6,1,IF(Settings!$B$23="USD",1/INDEX(Settings!$B$29:$B$40,MONTH(A2412)),INDEX(Settings!$B$29:$B$40,MONTH(A2412)))))</f>
        <v/>
      </c>
    </row>
    <row r="2413" customFormat="false" ht="15" hidden="false" customHeight="false" outlineLevel="0" collapsed="false">
      <c r="H2413" s="0" t="str">
        <f aca="false">IF(B2413="","",IF(COUNTIF(Campaigns!$A$7:$A$300,B2413)&gt;0,"✓","⚠ add to Campaigns tab"))</f>
        <v/>
      </c>
      <c r="I2413" s="84" t="str">
        <f aca="false">IF(C2413="","",C2413*IF(Settings!$B$23=Settings!$C$6,1,IF(Settings!$B$23="USD",1/INDEX(Settings!$B$29:$B$40,MONTH(A2413)),INDEX(Settings!$B$29:$B$40,MONTH(A2413)))))</f>
        <v/>
      </c>
    </row>
    <row r="2414" customFormat="false" ht="15" hidden="false" customHeight="false" outlineLevel="0" collapsed="false">
      <c r="H2414" s="0" t="str">
        <f aca="false">IF(B2414="","",IF(COUNTIF(Campaigns!$A$7:$A$300,B2414)&gt;0,"✓","⚠ add to Campaigns tab"))</f>
        <v/>
      </c>
      <c r="I2414" s="84" t="str">
        <f aca="false">IF(C2414="","",C2414*IF(Settings!$B$23=Settings!$C$6,1,IF(Settings!$B$23="USD",1/INDEX(Settings!$B$29:$B$40,MONTH(A2414)),INDEX(Settings!$B$29:$B$40,MONTH(A2414)))))</f>
        <v/>
      </c>
    </row>
    <row r="2415" customFormat="false" ht="15" hidden="false" customHeight="false" outlineLevel="0" collapsed="false">
      <c r="H2415" s="0" t="str">
        <f aca="false">IF(B2415="","",IF(COUNTIF(Campaigns!$A$7:$A$300,B2415)&gt;0,"✓","⚠ add to Campaigns tab"))</f>
        <v/>
      </c>
      <c r="I2415" s="84" t="str">
        <f aca="false">IF(C2415="","",C2415*IF(Settings!$B$23=Settings!$C$6,1,IF(Settings!$B$23="USD",1/INDEX(Settings!$B$29:$B$40,MONTH(A2415)),INDEX(Settings!$B$29:$B$40,MONTH(A2415)))))</f>
        <v/>
      </c>
    </row>
    <row r="2416" customFormat="false" ht="15" hidden="false" customHeight="false" outlineLevel="0" collapsed="false">
      <c r="H2416" s="0" t="str">
        <f aca="false">IF(B2416="","",IF(COUNTIF(Campaigns!$A$7:$A$300,B2416)&gt;0,"✓","⚠ add to Campaigns tab"))</f>
        <v/>
      </c>
      <c r="I2416" s="84" t="str">
        <f aca="false">IF(C2416="","",C2416*IF(Settings!$B$23=Settings!$C$6,1,IF(Settings!$B$23="USD",1/INDEX(Settings!$B$29:$B$40,MONTH(A2416)),INDEX(Settings!$B$29:$B$40,MONTH(A2416)))))</f>
        <v/>
      </c>
    </row>
    <row r="2417" customFormat="false" ht="15" hidden="false" customHeight="false" outlineLevel="0" collapsed="false">
      <c r="H2417" s="0" t="str">
        <f aca="false">IF(B2417="","",IF(COUNTIF(Campaigns!$A$7:$A$300,B2417)&gt;0,"✓","⚠ add to Campaigns tab"))</f>
        <v/>
      </c>
      <c r="I2417" s="84" t="str">
        <f aca="false">IF(C2417="","",C2417*IF(Settings!$B$23=Settings!$C$6,1,IF(Settings!$B$23="USD",1/INDEX(Settings!$B$29:$B$40,MONTH(A2417)),INDEX(Settings!$B$29:$B$40,MONTH(A2417)))))</f>
        <v/>
      </c>
    </row>
    <row r="2418" customFormat="false" ht="15" hidden="false" customHeight="false" outlineLevel="0" collapsed="false">
      <c r="H2418" s="0" t="str">
        <f aca="false">IF(B2418="","",IF(COUNTIF(Campaigns!$A$7:$A$300,B2418)&gt;0,"✓","⚠ add to Campaigns tab"))</f>
        <v/>
      </c>
      <c r="I2418" s="84" t="str">
        <f aca="false">IF(C2418="","",C2418*IF(Settings!$B$23=Settings!$C$6,1,IF(Settings!$B$23="USD",1/INDEX(Settings!$B$29:$B$40,MONTH(A2418)),INDEX(Settings!$B$29:$B$40,MONTH(A2418)))))</f>
        <v/>
      </c>
    </row>
    <row r="2419" customFormat="false" ht="15" hidden="false" customHeight="false" outlineLevel="0" collapsed="false">
      <c r="H2419" s="0" t="str">
        <f aca="false">IF(B2419="","",IF(COUNTIF(Campaigns!$A$7:$A$300,B2419)&gt;0,"✓","⚠ add to Campaigns tab"))</f>
        <v/>
      </c>
      <c r="I2419" s="84" t="str">
        <f aca="false">IF(C2419="","",C2419*IF(Settings!$B$23=Settings!$C$6,1,IF(Settings!$B$23="USD",1/INDEX(Settings!$B$29:$B$40,MONTH(A2419)),INDEX(Settings!$B$29:$B$40,MONTH(A2419)))))</f>
        <v/>
      </c>
    </row>
    <row r="2420" customFormat="false" ht="15" hidden="false" customHeight="false" outlineLevel="0" collapsed="false">
      <c r="H2420" s="0" t="str">
        <f aca="false">IF(B2420="","",IF(COUNTIF(Campaigns!$A$7:$A$300,B2420)&gt;0,"✓","⚠ add to Campaigns tab"))</f>
        <v/>
      </c>
      <c r="I2420" s="84" t="str">
        <f aca="false">IF(C2420="","",C2420*IF(Settings!$B$23=Settings!$C$6,1,IF(Settings!$B$23="USD",1/INDEX(Settings!$B$29:$B$40,MONTH(A2420)),INDEX(Settings!$B$29:$B$40,MONTH(A2420)))))</f>
        <v/>
      </c>
    </row>
    <row r="2421" customFormat="false" ht="15" hidden="false" customHeight="false" outlineLevel="0" collapsed="false">
      <c r="H2421" s="0" t="str">
        <f aca="false">IF(B2421="","",IF(COUNTIF(Campaigns!$A$7:$A$300,B2421)&gt;0,"✓","⚠ add to Campaigns tab"))</f>
        <v/>
      </c>
      <c r="I2421" s="84" t="str">
        <f aca="false">IF(C2421="","",C2421*IF(Settings!$B$23=Settings!$C$6,1,IF(Settings!$B$23="USD",1/INDEX(Settings!$B$29:$B$40,MONTH(A2421)),INDEX(Settings!$B$29:$B$40,MONTH(A2421)))))</f>
        <v/>
      </c>
    </row>
    <row r="2422" customFormat="false" ht="15" hidden="false" customHeight="false" outlineLevel="0" collapsed="false">
      <c r="H2422" s="0" t="str">
        <f aca="false">IF(B2422="","",IF(COUNTIF(Campaigns!$A$7:$A$300,B2422)&gt;0,"✓","⚠ add to Campaigns tab"))</f>
        <v/>
      </c>
      <c r="I2422" s="84" t="str">
        <f aca="false">IF(C2422="","",C2422*IF(Settings!$B$23=Settings!$C$6,1,IF(Settings!$B$23="USD",1/INDEX(Settings!$B$29:$B$40,MONTH(A2422)),INDEX(Settings!$B$29:$B$40,MONTH(A2422)))))</f>
        <v/>
      </c>
    </row>
    <row r="2423" customFormat="false" ht="15" hidden="false" customHeight="false" outlineLevel="0" collapsed="false">
      <c r="H2423" s="0" t="str">
        <f aca="false">IF(B2423="","",IF(COUNTIF(Campaigns!$A$7:$A$300,B2423)&gt;0,"✓","⚠ add to Campaigns tab"))</f>
        <v/>
      </c>
      <c r="I2423" s="84" t="str">
        <f aca="false">IF(C2423="","",C2423*IF(Settings!$B$23=Settings!$C$6,1,IF(Settings!$B$23="USD",1/INDEX(Settings!$B$29:$B$40,MONTH(A2423)),INDEX(Settings!$B$29:$B$40,MONTH(A2423)))))</f>
        <v/>
      </c>
    </row>
    <row r="2424" customFormat="false" ht="15" hidden="false" customHeight="false" outlineLevel="0" collapsed="false">
      <c r="H2424" s="0" t="str">
        <f aca="false">IF(B2424="","",IF(COUNTIF(Campaigns!$A$7:$A$300,B2424)&gt;0,"✓","⚠ add to Campaigns tab"))</f>
        <v/>
      </c>
      <c r="I2424" s="84" t="str">
        <f aca="false">IF(C2424="","",C2424*IF(Settings!$B$23=Settings!$C$6,1,IF(Settings!$B$23="USD",1/INDEX(Settings!$B$29:$B$40,MONTH(A2424)),INDEX(Settings!$B$29:$B$40,MONTH(A2424)))))</f>
        <v/>
      </c>
    </row>
    <row r="2425" customFormat="false" ht="15" hidden="false" customHeight="false" outlineLevel="0" collapsed="false">
      <c r="H2425" s="0" t="str">
        <f aca="false">IF(B2425="","",IF(COUNTIF(Campaigns!$A$7:$A$300,B2425)&gt;0,"✓","⚠ add to Campaigns tab"))</f>
        <v/>
      </c>
      <c r="I2425" s="84" t="str">
        <f aca="false">IF(C2425="","",C2425*IF(Settings!$B$23=Settings!$C$6,1,IF(Settings!$B$23="USD",1/INDEX(Settings!$B$29:$B$40,MONTH(A2425)),INDEX(Settings!$B$29:$B$40,MONTH(A2425)))))</f>
        <v/>
      </c>
    </row>
    <row r="2426" customFormat="false" ht="15" hidden="false" customHeight="false" outlineLevel="0" collapsed="false">
      <c r="H2426" s="0" t="str">
        <f aca="false">IF(B2426="","",IF(COUNTIF(Campaigns!$A$7:$A$300,B2426)&gt;0,"✓","⚠ add to Campaigns tab"))</f>
        <v/>
      </c>
      <c r="I2426" s="84" t="str">
        <f aca="false">IF(C2426="","",C2426*IF(Settings!$B$23=Settings!$C$6,1,IF(Settings!$B$23="USD",1/INDEX(Settings!$B$29:$B$40,MONTH(A2426)),INDEX(Settings!$B$29:$B$40,MONTH(A2426)))))</f>
        <v/>
      </c>
    </row>
    <row r="2427" customFormat="false" ht="15" hidden="false" customHeight="false" outlineLevel="0" collapsed="false">
      <c r="H2427" s="0" t="str">
        <f aca="false">IF(B2427="","",IF(COUNTIF(Campaigns!$A$7:$A$300,B2427)&gt;0,"✓","⚠ add to Campaigns tab"))</f>
        <v/>
      </c>
      <c r="I2427" s="84" t="str">
        <f aca="false">IF(C2427="","",C2427*IF(Settings!$B$23=Settings!$C$6,1,IF(Settings!$B$23="USD",1/INDEX(Settings!$B$29:$B$40,MONTH(A2427)),INDEX(Settings!$B$29:$B$40,MONTH(A2427)))))</f>
        <v/>
      </c>
    </row>
    <row r="2428" customFormat="false" ht="15" hidden="false" customHeight="false" outlineLevel="0" collapsed="false">
      <c r="H2428" s="0" t="str">
        <f aca="false">IF(B2428="","",IF(COUNTIF(Campaigns!$A$7:$A$300,B2428)&gt;0,"✓","⚠ add to Campaigns tab"))</f>
        <v/>
      </c>
      <c r="I2428" s="84" t="str">
        <f aca="false">IF(C2428="","",C2428*IF(Settings!$B$23=Settings!$C$6,1,IF(Settings!$B$23="USD",1/INDEX(Settings!$B$29:$B$40,MONTH(A2428)),INDEX(Settings!$B$29:$B$40,MONTH(A2428)))))</f>
        <v/>
      </c>
    </row>
    <row r="2429" customFormat="false" ht="15" hidden="false" customHeight="false" outlineLevel="0" collapsed="false">
      <c r="H2429" s="0" t="str">
        <f aca="false">IF(B2429="","",IF(COUNTIF(Campaigns!$A$7:$A$300,B2429)&gt;0,"✓","⚠ add to Campaigns tab"))</f>
        <v/>
      </c>
      <c r="I2429" s="84" t="str">
        <f aca="false">IF(C2429="","",C2429*IF(Settings!$B$23=Settings!$C$6,1,IF(Settings!$B$23="USD",1/INDEX(Settings!$B$29:$B$40,MONTH(A2429)),INDEX(Settings!$B$29:$B$40,MONTH(A2429)))))</f>
        <v/>
      </c>
    </row>
    <row r="2430" customFormat="false" ht="15" hidden="false" customHeight="false" outlineLevel="0" collapsed="false">
      <c r="H2430" s="0" t="str">
        <f aca="false">IF(B2430="","",IF(COUNTIF(Campaigns!$A$7:$A$300,B2430)&gt;0,"✓","⚠ add to Campaigns tab"))</f>
        <v/>
      </c>
      <c r="I2430" s="84" t="str">
        <f aca="false">IF(C2430="","",C2430*IF(Settings!$B$23=Settings!$C$6,1,IF(Settings!$B$23="USD",1/INDEX(Settings!$B$29:$B$40,MONTH(A2430)),INDEX(Settings!$B$29:$B$40,MONTH(A2430)))))</f>
        <v/>
      </c>
    </row>
    <row r="2431" customFormat="false" ht="15" hidden="false" customHeight="false" outlineLevel="0" collapsed="false">
      <c r="H2431" s="0" t="str">
        <f aca="false">IF(B2431="","",IF(COUNTIF(Campaigns!$A$7:$A$300,B2431)&gt;0,"✓","⚠ add to Campaigns tab"))</f>
        <v/>
      </c>
      <c r="I2431" s="84" t="str">
        <f aca="false">IF(C2431="","",C2431*IF(Settings!$B$23=Settings!$C$6,1,IF(Settings!$B$23="USD",1/INDEX(Settings!$B$29:$B$40,MONTH(A2431)),INDEX(Settings!$B$29:$B$40,MONTH(A2431)))))</f>
        <v/>
      </c>
    </row>
    <row r="2432" customFormat="false" ht="15" hidden="false" customHeight="false" outlineLevel="0" collapsed="false">
      <c r="H2432" s="0" t="str">
        <f aca="false">IF(B2432="","",IF(COUNTIF(Campaigns!$A$7:$A$300,B2432)&gt;0,"✓","⚠ add to Campaigns tab"))</f>
        <v/>
      </c>
      <c r="I2432" s="84" t="str">
        <f aca="false">IF(C2432="","",C2432*IF(Settings!$B$23=Settings!$C$6,1,IF(Settings!$B$23="USD",1/INDEX(Settings!$B$29:$B$40,MONTH(A2432)),INDEX(Settings!$B$29:$B$40,MONTH(A2432)))))</f>
        <v/>
      </c>
    </row>
    <row r="2433" customFormat="false" ht="15" hidden="false" customHeight="false" outlineLevel="0" collapsed="false">
      <c r="H2433" s="0" t="str">
        <f aca="false">IF(B2433="","",IF(COUNTIF(Campaigns!$A$7:$A$300,B2433)&gt;0,"✓","⚠ add to Campaigns tab"))</f>
        <v/>
      </c>
      <c r="I2433" s="84" t="str">
        <f aca="false">IF(C2433="","",C2433*IF(Settings!$B$23=Settings!$C$6,1,IF(Settings!$B$23="USD",1/INDEX(Settings!$B$29:$B$40,MONTH(A2433)),INDEX(Settings!$B$29:$B$40,MONTH(A2433)))))</f>
        <v/>
      </c>
    </row>
    <row r="2434" customFormat="false" ht="15" hidden="false" customHeight="false" outlineLevel="0" collapsed="false">
      <c r="H2434" s="0" t="str">
        <f aca="false">IF(B2434="","",IF(COUNTIF(Campaigns!$A$7:$A$300,B2434)&gt;0,"✓","⚠ add to Campaigns tab"))</f>
        <v/>
      </c>
      <c r="I2434" s="84" t="str">
        <f aca="false">IF(C2434="","",C2434*IF(Settings!$B$23=Settings!$C$6,1,IF(Settings!$B$23="USD",1/INDEX(Settings!$B$29:$B$40,MONTH(A2434)),INDEX(Settings!$B$29:$B$40,MONTH(A2434)))))</f>
        <v/>
      </c>
    </row>
    <row r="2435" customFormat="false" ht="15" hidden="false" customHeight="false" outlineLevel="0" collapsed="false">
      <c r="H2435" s="0" t="str">
        <f aca="false">IF(B2435="","",IF(COUNTIF(Campaigns!$A$7:$A$300,B2435)&gt;0,"✓","⚠ add to Campaigns tab"))</f>
        <v/>
      </c>
      <c r="I2435" s="84" t="str">
        <f aca="false">IF(C2435="","",C2435*IF(Settings!$B$23=Settings!$C$6,1,IF(Settings!$B$23="USD",1/INDEX(Settings!$B$29:$B$40,MONTH(A2435)),INDEX(Settings!$B$29:$B$40,MONTH(A2435)))))</f>
        <v/>
      </c>
    </row>
    <row r="2436" customFormat="false" ht="15" hidden="false" customHeight="false" outlineLevel="0" collapsed="false">
      <c r="H2436" s="0" t="str">
        <f aca="false">IF(B2436="","",IF(COUNTIF(Campaigns!$A$7:$A$300,B2436)&gt;0,"✓","⚠ add to Campaigns tab"))</f>
        <v/>
      </c>
      <c r="I2436" s="84" t="str">
        <f aca="false">IF(C2436="","",C2436*IF(Settings!$B$23=Settings!$C$6,1,IF(Settings!$B$23="USD",1/INDEX(Settings!$B$29:$B$40,MONTH(A2436)),INDEX(Settings!$B$29:$B$40,MONTH(A2436)))))</f>
        <v/>
      </c>
    </row>
    <row r="2437" customFormat="false" ht="15" hidden="false" customHeight="false" outlineLevel="0" collapsed="false">
      <c r="H2437" s="0" t="str">
        <f aca="false">IF(B2437="","",IF(COUNTIF(Campaigns!$A$7:$A$300,B2437)&gt;0,"✓","⚠ add to Campaigns tab"))</f>
        <v/>
      </c>
      <c r="I2437" s="84" t="str">
        <f aca="false">IF(C2437="","",C2437*IF(Settings!$B$23=Settings!$C$6,1,IF(Settings!$B$23="USD",1/INDEX(Settings!$B$29:$B$40,MONTH(A2437)),INDEX(Settings!$B$29:$B$40,MONTH(A2437)))))</f>
        <v/>
      </c>
    </row>
    <row r="2438" customFormat="false" ht="15" hidden="false" customHeight="false" outlineLevel="0" collapsed="false">
      <c r="H2438" s="0" t="str">
        <f aca="false">IF(B2438="","",IF(COUNTIF(Campaigns!$A$7:$A$300,B2438)&gt;0,"✓","⚠ add to Campaigns tab"))</f>
        <v/>
      </c>
      <c r="I2438" s="84" t="str">
        <f aca="false">IF(C2438="","",C2438*IF(Settings!$B$23=Settings!$C$6,1,IF(Settings!$B$23="USD",1/INDEX(Settings!$B$29:$B$40,MONTH(A2438)),INDEX(Settings!$B$29:$B$40,MONTH(A2438)))))</f>
        <v/>
      </c>
    </row>
    <row r="2439" customFormat="false" ht="15" hidden="false" customHeight="false" outlineLevel="0" collapsed="false">
      <c r="H2439" s="0" t="str">
        <f aca="false">IF(B2439="","",IF(COUNTIF(Campaigns!$A$7:$A$300,B2439)&gt;0,"✓","⚠ add to Campaigns tab"))</f>
        <v/>
      </c>
      <c r="I2439" s="84" t="str">
        <f aca="false">IF(C2439="","",C2439*IF(Settings!$B$23=Settings!$C$6,1,IF(Settings!$B$23="USD",1/INDEX(Settings!$B$29:$B$40,MONTH(A2439)),INDEX(Settings!$B$29:$B$40,MONTH(A2439)))))</f>
        <v/>
      </c>
    </row>
    <row r="2440" customFormat="false" ht="15" hidden="false" customHeight="false" outlineLevel="0" collapsed="false">
      <c r="H2440" s="0" t="str">
        <f aca="false">IF(B2440="","",IF(COUNTIF(Campaigns!$A$7:$A$300,B2440)&gt;0,"✓","⚠ add to Campaigns tab"))</f>
        <v/>
      </c>
      <c r="I2440" s="84" t="str">
        <f aca="false">IF(C2440="","",C2440*IF(Settings!$B$23=Settings!$C$6,1,IF(Settings!$B$23="USD",1/INDEX(Settings!$B$29:$B$40,MONTH(A2440)),INDEX(Settings!$B$29:$B$40,MONTH(A2440)))))</f>
        <v/>
      </c>
    </row>
    <row r="2441" customFormat="false" ht="15" hidden="false" customHeight="false" outlineLevel="0" collapsed="false">
      <c r="H2441" s="0" t="str">
        <f aca="false">IF(B2441="","",IF(COUNTIF(Campaigns!$A$7:$A$300,B2441)&gt;0,"✓","⚠ add to Campaigns tab"))</f>
        <v/>
      </c>
      <c r="I2441" s="84" t="str">
        <f aca="false">IF(C2441="","",C2441*IF(Settings!$B$23=Settings!$C$6,1,IF(Settings!$B$23="USD",1/INDEX(Settings!$B$29:$B$40,MONTH(A2441)),INDEX(Settings!$B$29:$B$40,MONTH(A2441)))))</f>
        <v/>
      </c>
    </row>
    <row r="2442" customFormat="false" ht="15" hidden="false" customHeight="false" outlineLevel="0" collapsed="false">
      <c r="H2442" s="0" t="str">
        <f aca="false">IF(B2442="","",IF(COUNTIF(Campaigns!$A$7:$A$300,B2442)&gt;0,"✓","⚠ add to Campaigns tab"))</f>
        <v/>
      </c>
      <c r="I2442" s="84" t="str">
        <f aca="false">IF(C2442="","",C2442*IF(Settings!$B$23=Settings!$C$6,1,IF(Settings!$B$23="USD",1/INDEX(Settings!$B$29:$B$40,MONTH(A2442)),INDEX(Settings!$B$29:$B$40,MONTH(A2442)))))</f>
        <v/>
      </c>
    </row>
    <row r="2443" customFormat="false" ht="15" hidden="false" customHeight="false" outlineLevel="0" collapsed="false">
      <c r="H2443" s="0" t="str">
        <f aca="false">IF(B2443="","",IF(COUNTIF(Campaigns!$A$7:$A$300,B2443)&gt;0,"✓","⚠ add to Campaigns tab"))</f>
        <v/>
      </c>
      <c r="I2443" s="84" t="str">
        <f aca="false">IF(C2443="","",C2443*IF(Settings!$B$23=Settings!$C$6,1,IF(Settings!$B$23="USD",1/INDEX(Settings!$B$29:$B$40,MONTH(A2443)),INDEX(Settings!$B$29:$B$40,MONTH(A2443)))))</f>
        <v/>
      </c>
    </row>
    <row r="2444" customFormat="false" ht="15" hidden="false" customHeight="false" outlineLevel="0" collapsed="false">
      <c r="H2444" s="0" t="str">
        <f aca="false">IF(B2444="","",IF(COUNTIF(Campaigns!$A$7:$A$300,B2444)&gt;0,"✓","⚠ add to Campaigns tab"))</f>
        <v/>
      </c>
      <c r="I2444" s="84" t="str">
        <f aca="false">IF(C2444="","",C2444*IF(Settings!$B$23=Settings!$C$6,1,IF(Settings!$B$23="USD",1/INDEX(Settings!$B$29:$B$40,MONTH(A2444)),INDEX(Settings!$B$29:$B$40,MONTH(A2444)))))</f>
        <v/>
      </c>
    </row>
    <row r="2445" customFormat="false" ht="15" hidden="false" customHeight="false" outlineLevel="0" collapsed="false">
      <c r="H2445" s="0" t="str">
        <f aca="false">IF(B2445="","",IF(COUNTIF(Campaigns!$A$7:$A$300,B2445)&gt;0,"✓","⚠ add to Campaigns tab"))</f>
        <v/>
      </c>
      <c r="I2445" s="84" t="str">
        <f aca="false">IF(C2445="","",C2445*IF(Settings!$B$23=Settings!$C$6,1,IF(Settings!$B$23="USD",1/INDEX(Settings!$B$29:$B$40,MONTH(A2445)),INDEX(Settings!$B$29:$B$40,MONTH(A2445)))))</f>
        <v/>
      </c>
    </row>
    <row r="2446" customFormat="false" ht="15" hidden="false" customHeight="false" outlineLevel="0" collapsed="false">
      <c r="H2446" s="0" t="str">
        <f aca="false">IF(B2446="","",IF(COUNTIF(Campaigns!$A$7:$A$300,B2446)&gt;0,"✓","⚠ add to Campaigns tab"))</f>
        <v/>
      </c>
      <c r="I2446" s="84" t="str">
        <f aca="false">IF(C2446="","",C2446*IF(Settings!$B$23=Settings!$C$6,1,IF(Settings!$B$23="USD",1/INDEX(Settings!$B$29:$B$40,MONTH(A2446)),INDEX(Settings!$B$29:$B$40,MONTH(A2446)))))</f>
        <v/>
      </c>
    </row>
    <row r="2447" customFormat="false" ht="15" hidden="false" customHeight="false" outlineLevel="0" collapsed="false">
      <c r="H2447" s="0" t="str">
        <f aca="false">IF(B2447="","",IF(COUNTIF(Campaigns!$A$7:$A$300,B2447)&gt;0,"✓","⚠ add to Campaigns tab"))</f>
        <v/>
      </c>
      <c r="I2447" s="84" t="str">
        <f aca="false">IF(C2447="","",C2447*IF(Settings!$B$23=Settings!$C$6,1,IF(Settings!$B$23="USD",1/INDEX(Settings!$B$29:$B$40,MONTH(A2447)),INDEX(Settings!$B$29:$B$40,MONTH(A2447)))))</f>
        <v/>
      </c>
    </row>
    <row r="2448" customFormat="false" ht="15" hidden="false" customHeight="false" outlineLevel="0" collapsed="false">
      <c r="H2448" s="0" t="str">
        <f aca="false">IF(B2448="","",IF(COUNTIF(Campaigns!$A$7:$A$300,B2448)&gt;0,"✓","⚠ add to Campaigns tab"))</f>
        <v/>
      </c>
      <c r="I2448" s="84" t="str">
        <f aca="false">IF(C2448="","",C2448*IF(Settings!$B$23=Settings!$C$6,1,IF(Settings!$B$23="USD",1/INDEX(Settings!$B$29:$B$40,MONTH(A2448)),INDEX(Settings!$B$29:$B$40,MONTH(A2448)))))</f>
        <v/>
      </c>
    </row>
    <row r="2449" customFormat="false" ht="15" hidden="false" customHeight="false" outlineLevel="0" collapsed="false">
      <c r="H2449" s="0" t="str">
        <f aca="false">IF(B2449="","",IF(COUNTIF(Campaigns!$A$7:$A$300,B2449)&gt;0,"✓","⚠ add to Campaigns tab"))</f>
        <v/>
      </c>
      <c r="I2449" s="84" t="str">
        <f aca="false">IF(C2449="","",C2449*IF(Settings!$B$23=Settings!$C$6,1,IF(Settings!$B$23="USD",1/INDEX(Settings!$B$29:$B$40,MONTH(A2449)),INDEX(Settings!$B$29:$B$40,MONTH(A2449)))))</f>
        <v/>
      </c>
    </row>
    <row r="2450" customFormat="false" ht="15" hidden="false" customHeight="false" outlineLevel="0" collapsed="false">
      <c r="H2450" s="0" t="str">
        <f aca="false">IF(B2450="","",IF(COUNTIF(Campaigns!$A$7:$A$300,B2450)&gt;0,"✓","⚠ add to Campaigns tab"))</f>
        <v/>
      </c>
      <c r="I2450" s="84" t="str">
        <f aca="false">IF(C2450="","",C2450*IF(Settings!$B$23=Settings!$C$6,1,IF(Settings!$B$23="USD",1/INDEX(Settings!$B$29:$B$40,MONTH(A2450)),INDEX(Settings!$B$29:$B$40,MONTH(A2450)))))</f>
        <v/>
      </c>
    </row>
    <row r="2451" customFormat="false" ht="15" hidden="false" customHeight="false" outlineLevel="0" collapsed="false">
      <c r="H2451" s="0" t="str">
        <f aca="false">IF(B2451="","",IF(COUNTIF(Campaigns!$A$7:$A$300,B2451)&gt;0,"✓","⚠ add to Campaigns tab"))</f>
        <v/>
      </c>
      <c r="I2451" s="84" t="str">
        <f aca="false">IF(C2451="","",C2451*IF(Settings!$B$23=Settings!$C$6,1,IF(Settings!$B$23="USD",1/INDEX(Settings!$B$29:$B$40,MONTH(A2451)),INDEX(Settings!$B$29:$B$40,MONTH(A2451)))))</f>
        <v/>
      </c>
    </row>
    <row r="2452" customFormat="false" ht="15" hidden="false" customHeight="false" outlineLevel="0" collapsed="false">
      <c r="H2452" s="0" t="str">
        <f aca="false">IF(B2452="","",IF(COUNTIF(Campaigns!$A$7:$A$300,B2452)&gt;0,"✓","⚠ add to Campaigns tab"))</f>
        <v/>
      </c>
      <c r="I2452" s="84" t="str">
        <f aca="false">IF(C2452="","",C2452*IF(Settings!$B$23=Settings!$C$6,1,IF(Settings!$B$23="USD",1/INDEX(Settings!$B$29:$B$40,MONTH(A2452)),INDEX(Settings!$B$29:$B$40,MONTH(A2452)))))</f>
        <v/>
      </c>
    </row>
    <row r="2453" customFormat="false" ht="15" hidden="false" customHeight="false" outlineLevel="0" collapsed="false">
      <c r="H2453" s="0" t="str">
        <f aca="false">IF(B2453="","",IF(COUNTIF(Campaigns!$A$7:$A$300,B2453)&gt;0,"✓","⚠ add to Campaigns tab"))</f>
        <v/>
      </c>
      <c r="I2453" s="84" t="str">
        <f aca="false">IF(C2453="","",C2453*IF(Settings!$B$23=Settings!$C$6,1,IF(Settings!$B$23="USD",1/INDEX(Settings!$B$29:$B$40,MONTH(A2453)),INDEX(Settings!$B$29:$B$40,MONTH(A2453)))))</f>
        <v/>
      </c>
    </row>
    <row r="2454" customFormat="false" ht="15" hidden="false" customHeight="false" outlineLevel="0" collapsed="false">
      <c r="H2454" s="0" t="str">
        <f aca="false">IF(B2454="","",IF(COUNTIF(Campaigns!$A$7:$A$300,B2454)&gt;0,"✓","⚠ add to Campaigns tab"))</f>
        <v/>
      </c>
      <c r="I2454" s="84" t="str">
        <f aca="false">IF(C2454="","",C2454*IF(Settings!$B$23=Settings!$C$6,1,IF(Settings!$B$23="USD",1/INDEX(Settings!$B$29:$B$40,MONTH(A2454)),INDEX(Settings!$B$29:$B$40,MONTH(A2454)))))</f>
        <v/>
      </c>
    </row>
    <row r="2455" customFormat="false" ht="15" hidden="false" customHeight="false" outlineLevel="0" collapsed="false">
      <c r="H2455" s="0" t="str">
        <f aca="false">IF(B2455="","",IF(COUNTIF(Campaigns!$A$7:$A$300,B2455)&gt;0,"✓","⚠ add to Campaigns tab"))</f>
        <v/>
      </c>
      <c r="I2455" s="84" t="str">
        <f aca="false">IF(C2455="","",C2455*IF(Settings!$B$23=Settings!$C$6,1,IF(Settings!$B$23="USD",1/INDEX(Settings!$B$29:$B$40,MONTH(A2455)),INDEX(Settings!$B$29:$B$40,MONTH(A2455)))))</f>
        <v/>
      </c>
    </row>
    <row r="2456" customFormat="false" ht="15" hidden="false" customHeight="false" outlineLevel="0" collapsed="false">
      <c r="H2456" s="0" t="str">
        <f aca="false">IF(B2456="","",IF(COUNTIF(Campaigns!$A$7:$A$300,B2456)&gt;0,"✓","⚠ add to Campaigns tab"))</f>
        <v/>
      </c>
      <c r="I2456" s="84" t="str">
        <f aca="false">IF(C2456="","",C2456*IF(Settings!$B$23=Settings!$C$6,1,IF(Settings!$B$23="USD",1/INDEX(Settings!$B$29:$B$40,MONTH(A2456)),INDEX(Settings!$B$29:$B$40,MONTH(A2456)))))</f>
        <v/>
      </c>
    </row>
    <row r="2457" customFormat="false" ht="15" hidden="false" customHeight="false" outlineLevel="0" collapsed="false">
      <c r="H2457" s="0" t="str">
        <f aca="false">IF(B2457="","",IF(COUNTIF(Campaigns!$A$7:$A$300,B2457)&gt;0,"✓","⚠ add to Campaigns tab"))</f>
        <v/>
      </c>
      <c r="I2457" s="84" t="str">
        <f aca="false">IF(C2457="","",C2457*IF(Settings!$B$23=Settings!$C$6,1,IF(Settings!$B$23="USD",1/INDEX(Settings!$B$29:$B$40,MONTH(A2457)),INDEX(Settings!$B$29:$B$40,MONTH(A2457)))))</f>
        <v/>
      </c>
    </row>
    <row r="2458" customFormat="false" ht="15" hidden="false" customHeight="false" outlineLevel="0" collapsed="false">
      <c r="H2458" s="0" t="str">
        <f aca="false">IF(B2458="","",IF(COUNTIF(Campaigns!$A$7:$A$300,B2458)&gt;0,"✓","⚠ add to Campaigns tab"))</f>
        <v/>
      </c>
      <c r="I2458" s="84" t="str">
        <f aca="false">IF(C2458="","",C2458*IF(Settings!$B$23=Settings!$C$6,1,IF(Settings!$B$23="USD",1/INDEX(Settings!$B$29:$B$40,MONTH(A2458)),INDEX(Settings!$B$29:$B$40,MONTH(A2458)))))</f>
        <v/>
      </c>
    </row>
    <row r="2459" customFormat="false" ht="15" hidden="false" customHeight="false" outlineLevel="0" collapsed="false">
      <c r="H2459" s="0" t="str">
        <f aca="false">IF(B2459="","",IF(COUNTIF(Campaigns!$A$7:$A$300,B2459)&gt;0,"✓","⚠ add to Campaigns tab"))</f>
        <v/>
      </c>
      <c r="I2459" s="84" t="str">
        <f aca="false">IF(C2459="","",C2459*IF(Settings!$B$23=Settings!$C$6,1,IF(Settings!$B$23="USD",1/INDEX(Settings!$B$29:$B$40,MONTH(A2459)),INDEX(Settings!$B$29:$B$40,MONTH(A2459)))))</f>
        <v/>
      </c>
    </row>
    <row r="2460" customFormat="false" ht="15" hidden="false" customHeight="false" outlineLevel="0" collapsed="false">
      <c r="H2460" s="0" t="str">
        <f aca="false">IF(B2460="","",IF(COUNTIF(Campaigns!$A$7:$A$300,B2460)&gt;0,"✓","⚠ add to Campaigns tab"))</f>
        <v/>
      </c>
      <c r="I2460" s="84" t="str">
        <f aca="false">IF(C2460="","",C2460*IF(Settings!$B$23=Settings!$C$6,1,IF(Settings!$B$23="USD",1/INDEX(Settings!$B$29:$B$40,MONTH(A2460)),INDEX(Settings!$B$29:$B$40,MONTH(A2460)))))</f>
        <v/>
      </c>
    </row>
    <row r="2461" customFormat="false" ht="15" hidden="false" customHeight="false" outlineLevel="0" collapsed="false">
      <c r="H2461" s="0" t="str">
        <f aca="false">IF(B2461="","",IF(COUNTIF(Campaigns!$A$7:$A$300,B2461)&gt;0,"✓","⚠ add to Campaigns tab"))</f>
        <v/>
      </c>
      <c r="I2461" s="84" t="str">
        <f aca="false">IF(C2461="","",C2461*IF(Settings!$B$23=Settings!$C$6,1,IF(Settings!$B$23="USD",1/INDEX(Settings!$B$29:$B$40,MONTH(A2461)),INDEX(Settings!$B$29:$B$40,MONTH(A2461)))))</f>
        <v/>
      </c>
    </row>
    <row r="2462" customFormat="false" ht="15" hidden="false" customHeight="false" outlineLevel="0" collapsed="false">
      <c r="H2462" s="0" t="str">
        <f aca="false">IF(B2462="","",IF(COUNTIF(Campaigns!$A$7:$A$300,B2462)&gt;0,"✓","⚠ add to Campaigns tab"))</f>
        <v/>
      </c>
      <c r="I2462" s="84" t="str">
        <f aca="false">IF(C2462="","",C2462*IF(Settings!$B$23=Settings!$C$6,1,IF(Settings!$B$23="USD",1/INDEX(Settings!$B$29:$B$40,MONTH(A2462)),INDEX(Settings!$B$29:$B$40,MONTH(A2462)))))</f>
        <v/>
      </c>
    </row>
    <row r="2463" customFormat="false" ht="15" hidden="false" customHeight="false" outlineLevel="0" collapsed="false">
      <c r="H2463" s="0" t="str">
        <f aca="false">IF(B2463="","",IF(COUNTIF(Campaigns!$A$7:$A$300,B2463)&gt;0,"✓","⚠ add to Campaigns tab"))</f>
        <v/>
      </c>
      <c r="I2463" s="84" t="str">
        <f aca="false">IF(C2463="","",C2463*IF(Settings!$B$23=Settings!$C$6,1,IF(Settings!$B$23="USD",1/INDEX(Settings!$B$29:$B$40,MONTH(A2463)),INDEX(Settings!$B$29:$B$40,MONTH(A2463)))))</f>
        <v/>
      </c>
    </row>
    <row r="2464" customFormat="false" ht="15" hidden="false" customHeight="false" outlineLevel="0" collapsed="false">
      <c r="H2464" s="0" t="str">
        <f aca="false">IF(B2464="","",IF(COUNTIF(Campaigns!$A$7:$A$300,B2464)&gt;0,"✓","⚠ add to Campaigns tab"))</f>
        <v/>
      </c>
      <c r="I2464" s="84" t="str">
        <f aca="false">IF(C2464="","",C2464*IF(Settings!$B$23=Settings!$C$6,1,IF(Settings!$B$23="USD",1/INDEX(Settings!$B$29:$B$40,MONTH(A2464)),INDEX(Settings!$B$29:$B$40,MONTH(A2464)))))</f>
        <v/>
      </c>
    </row>
    <row r="2465" customFormat="false" ht="15" hidden="false" customHeight="false" outlineLevel="0" collapsed="false">
      <c r="H2465" s="0" t="str">
        <f aca="false">IF(B2465="","",IF(COUNTIF(Campaigns!$A$7:$A$300,B2465)&gt;0,"✓","⚠ add to Campaigns tab"))</f>
        <v/>
      </c>
      <c r="I2465" s="84" t="str">
        <f aca="false">IF(C2465="","",C2465*IF(Settings!$B$23=Settings!$C$6,1,IF(Settings!$B$23="USD",1/INDEX(Settings!$B$29:$B$40,MONTH(A2465)),INDEX(Settings!$B$29:$B$40,MONTH(A2465)))))</f>
        <v/>
      </c>
    </row>
    <row r="2466" customFormat="false" ht="15" hidden="false" customHeight="false" outlineLevel="0" collapsed="false">
      <c r="H2466" s="0" t="str">
        <f aca="false">IF(B2466="","",IF(COUNTIF(Campaigns!$A$7:$A$300,B2466)&gt;0,"✓","⚠ add to Campaigns tab"))</f>
        <v/>
      </c>
      <c r="I2466" s="84" t="str">
        <f aca="false">IF(C2466="","",C2466*IF(Settings!$B$23=Settings!$C$6,1,IF(Settings!$B$23="USD",1/INDEX(Settings!$B$29:$B$40,MONTH(A2466)),INDEX(Settings!$B$29:$B$40,MONTH(A2466)))))</f>
        <v/>
      </c>
    </row>
    <row r="2467" customFormat="false" ht="15" hidden="false" customHeight="false" outlineLevel="0" collapsed="false">
      <c r="H2467" s="0" t="str">
        <f aca="false">IF(B2467="","",IF(COUNTIF(Campaigns!$A$7:$A$300,B2467)&gt;0,"✓","⚠ add to Campaigns tab"))</f>
        <v/>
      </c>
      <c r="I2467" s="84" t="str">
        <f aca="false">IF(C2467="","",C2467*IF(Settings!$B$23=Settings!$C$6,1,IF(Settings!$B$23="USD",1/INDEX(Settings!$B$29:$B$40,MONTH(A2467)),INDEX(Settings!$B$29:$B$40,MONTH(A2467)))))</f>
        <v/>
      </c>
    </row>
    <row r="2468" customFormat="false" ht="15" hidden="false" customHeight="false" outlineLevel="0" collapsed="false">
      <c r="H2468" s="0" t="str">
        <f aca="false">IF(B2468="","",IF(COUNTIF(Campaigns!$A$7:$A$300,B2468)&gt;0,"✓","⚠ add to Campaigns tab"))</f>
        <v/>
      </c>
      <c r="I2468" s="84" t="str">
        <f aca="false">IF(C2468="","",C2468*IF(Settings!$B$23=Settings!$C$6,1,IF(Settings!$B$23="USD",1/INDEX(Settings!$B$29:$B$40,MONTH(A2468)),INDEX(Settings!$B$29:$B$40,MONTH(A2468)))))</f>
        <v/>
      </c>
    </row>
    <row r="2469" customFormat="false" ht="15" hidden="false" customHeight="false" outlineLevel="0" collapsed="false">
      <c r="H2469" s="0" t="str">
        <f aca="false">IF(B2469="","",IF(COUNTIF(Campaigns!$A$7:$A$300,B2469)&gt;0,"✓","⚠ add to Campaigns tab"))</f>
        <v/>
      </c>
      <c r="I2469" s="84" t="str">
        <f aca="false">IF(C2469="","",C2469*IF(Settings!$B$23=Settings!$C$6,1,IF(Settings!$B$23="USD",1/INDEX(Settings!$B$29:$B$40,MONTH(A2469)),INDEX(Settings!$B$29:$B$40,MONTH(A2469)))))</f>
        <v/>
      </c>
    </row>
    <row r="2470" customFormat="false" ht="15" hidden="false" customHeight="false" outlineLevel="0" collapsed="false">
      <c r="H2470" s="0" t="str">
        <f aca="false">IF(B2470="","",IF(COUNTIF(Campaigns!$A$7:$A$300,B2470)&gt;0,"✓","⚠ add to Campaigns tab"))</f>
        <v/>
      </c>
      <c r="I2470" s="84" t="str">
        <f aca="false">IF(C2470="","",C2470*IF(Settings!$B$23=Settings!$C$6,1,IF(Settings!$B$23="USD",1/INDEX(Settings!$B$29:$B$40,MONTH(A2470)),INDEX(Settings!$B$29:$B$40,MONTH(A2470)))))</f>
        <v/>
      </c>
    </row>
    <row r="2471" customFormat="false" ht="15" hidden="false" customHeight="false" outlineLevel="0" collapsed="false">
      <c r="H2471" s="0" t="str">
        <f aca="false">IF(B2471="","",IF(COUNTIF(Campaigns!$A$7:$A$300,B2471)&gt;0,"✓","⚠ add to Campaigns tab"))</f>
        <v/>
      </c>
      <c r="I2471" s="84" t="str">
        <f aca="false">IF(C2471="","",C2471*IF(Settings!$B$23=Settings!$C$6,1,IF(Settings!$B$23="USD",1/INDEX(Settings!$B$29:$B$40,MONTH(A2471)),INDEX(Settings!$B$29:$B$40,MONTH(A2471)))))</f>
        <v/>
      </c>
    </row>
    <row r="2472" customFormat="false" ht="15" hidden="false" customHeight="false" outlineLevel="0" collapsed="false">
      <c r="H2472" s="0" t="str">
        <f aca="false">IF(B2472="","",IF(COUNTIF(Campaigns!$A$7:$A$300,B2472)&gt;0,"✓","⚠ add to Campaigns tab"))</f>
        <v/>
      </c>
      <c r="I2472" s="84" t="str">
        <f aca="false">IF(C2472="","",C2472*IF(Settings!$B$23=Settings!$C$6,1,IF(Settings!$B$23="USD",1/INDEX(Settings!$B$29:$B$40,MONTH(A2472)),INDEX(Settings!$B$29:$B$40,MONTH(A2472)))))</f>
        <v/>
      </c>
    </row>
    <row r="2473" customFormat="false" ht="15" hidden="false" customHeight="false" outlineLevel="0" collapsed="false">
      <c r="H2473" s="0" t="str">
        <f aca="false">IF(B2473="","",IF(COUNTIF(Campaigns!$A$7:$A$300,B2473)&gt;0,"✓","⚠ add to Campaigns tab"))</f>
        <v/>
      </c>
      <c r="I2473" s="84" t="str">
        <f aca="false">IF(C2473="","",C2473*IF(Settings!$B$23=Settings!$C$6,1,IF(Settings!$B$23="USD",1/INDEX(Settings!$B$29:$B$40,MONTH(A2473)),INDEX(Settings!$B$29:$B$40,MONTH(A2473)))))</f>
        <v/>
      </c>
    </row>
    <row r="2474" customFormat="false" ht="15" hidden="false" customHeight="false" outlineLevel="0" collapsed="false">
      <c r="H2474" s="0" t="str">
        <f aca="false">IF(B2474="","",IF(COUNTIF(Campaigns!$A$7:$A$300,B2474)&gt;0,"✓","⚠ add to Campaigns tab"))</f>
        <v/>
      </c>
      <c r="I2474" s="84" t="str">
        <f aca="false">IF(C2474="","",C2474*IF(Settings!$B$23=Settings!$C$6,1,IF(Settings!$B$23="USD",1/INDEX(Settings!$B$29:$B$40,MONTH(A2474)),INDEX(Settings!$B$29:$B$40,MONTH(A2474)))))</f>
        <v/>
      </c>
    </row>
    <row r="2475" customFormat="false" ht="15" hidden="false" customHeight="false" outlineLevel="0" collapsed="false">
      <c r="H2475" s="0" t="str">
        <f aca="false">IF(B2475="","",IF(COUNTIF(Campaigns!$A$7:$A$300,B2475)&gt;0,"✓","⚠ add to Campaigns tab"))</f>
        <v/>
      </c>
      <c r="I2475" s="84" t="str">
        <f aca="false">IF(C2475="","",C2475*IF(Settings!$B$23=Settings!$C$6,1,IF(Settings!$B$23="USD",1/INDEX(Settings!$B$29:$B$40,MONTH(A2475)),INDEX(Settings!$B$29:$B$40,MONTH(A2475)))))</f>
        <v/>
      </c>
    </row>
    <row r="2476" customFormat="false" ht="15" hidden="false" customHeight="false" outlineLevel="0" collapsed="false">
      <c r="H2476" s="0" t="str">
        <f aca="false">IF(B2476="","",IF(COUNTIF(Campaigns!$A$7:$A$300,B2476)&gt;0,"✓","⚠ add to Campaigns tab"))</f>
        <v/>
      </c>
      <c r="I2476" s="84" t="str">
        <f aca="false">IF(C2476="","",C2476*IF(Settings!$B$23=Settings!$C$6,1,IF(Settings!$B$23="USD",1/INDEX(Settings!$B$29:$B$40,MONTH(A2476)),INDEX(Settings!$B$29:$B$40,MONTH(A2476)))))</f>
        <v/>
      </c>
    </row>
    <row r="2477" customFormat="false" ht="15" hidden="false" customHeight="false" outlineLevel="0" collapsed="false">
      <c r="H2477" s="0" t="str">
        <f aca="false">IF(B2477="","",IF(COUNTIF(Campaigns!$A$7:$A$300,B2477)&gt;0,"✓","⚠ add to Campaigns tab"))</f>
        <v/>
      </c>
      <c r="I2477" s="84" t="str">
        <f aca="false">IF(C2477="","",C2477*IF(Settings!$B$23=Settings!$C$6,1,IF(Settings!$B$23="USD",1/INDEX(Settings!$B$29:$B$40,MONTH(A2477)),INDEX(Settings!$B$29:$B$40,MONTH(A2477)))))</f>
        <v/>
      </c>
    </row>
    <row r="2478" customFormat="false" ht="15" hidden="false" customHeight="false" outlineLevel="0" collapsed="false">
      <c r="H2478" s="0" t="str">
        <f aca="false">IF(B2478="","",IF(COUNTIF(Campaigns!$A$7:$A$300,B2478)&gt;0,"✓","⚠ add to Campaigns tab"))</f>
        <v/>
      </c>
      <c r="I2478" s="84" t="str">
        <f aca="false">IF(C2478="","",C2478*IF(Settings!$B$23=Settings!$C$6,1,IF(Settings!$B$23="USD",1/INDEX(Settings!$B$29:$B$40,MONTH(A2478)),INDEX(Settings!$B$29:$B$40,MONTH(A2478)))))</f>
        <v/>
      </c>
    </row>
    <row r="2479" customFormat="false" ht="15" hidden="false" customHeight="false" outlineLevel="0" collapsed="false">
      <c r="H2479" s="0" t="str">
        <f aca="false">IF(B2479="","",IF(COUNTIF(Campaigns!$A$7:$A$300,B2479)&gt;0,"✓","⚠ add to Campaigns tab"))</f>
        <v/>
      </c>
      <c r="I2479" s="84" t="str">
        <f aca="false">IF(C2479="","",C2479*IF(Settings!$B$23=Settings!$C$6,1,IF(Settings!$B$23="USD",1/INDEX(Settings!$B$29:$B$40,MONTH(A2479)),INDEX(Settings!$B$29:$B$40,MONTH(A2479)))))</f>
        <v/>
      </c>
    </row>
    <row r="2480" customFormat="false" ht="15" hidden="false" customHeight="false" outlineLevel="0" collapsed="false">
      <c r="H2480" s="0" t="str">
        <f aca="false">IF(B2480="","",IF(COUNTIF(Campaigns!$A$7:$A$300,B2480)&gt;0,"✓","⚠ add to Campaigns tab"))</f>
        <v/>
      </c>
      <c r="I2480" s="84" t="str">
        <f aca="false">IF(C2480="","",C2480*IF(Settings!$B$23=Settings!$C$6,1,IF(Settings!$B$23="USD",1/INDEX(Settings!$B$29:$B$40,MONTH(A2480)),INDEX(Settings!$B$29:$B$40,MONTH(A2480)))))</f>
        <v/>
      </c>
    </row>
    <row r="2481" customFormat="false" ht="15" hidden="false" customHeight="false" outlineLevel="0" collapsed="false">
      <c r="H2481" s="0" t="str">
        <f aca="false">IF(B2481="","",IF(COUNTIF(Campaigns!$A$7:$A$300,B2481)&gt;0,"✓","⚠ add to Campaigns tab"))</f>
        <v/>
      </c>
      <c r="I2481" s="84" t="str">
        <f aca="false">IF(C2481="","",C2481*IF(Settings!$B$23=Settings!$C$6,1,IF(Settings!$B$23="USD",1/INDEX(Settings!$B$29:$B$40,MONTH(A2481)),INDEX(Settings!$B$29:$B$40,MONTH(A2481)))))</f>
        <v/>
      </c>
    </row>
    <row r="2482" customFormat="false" ht="15" hidden="false" customHeight="false" outlineLevel="0" collapsed="false">
      <c r="H2482" s="0" t="str">
        <f aca="false">IF(B2482="","",IF(COUNTIF(Campaigns!$A$7:$A$300,B2482)&gt;0,"✓","⚠ add to Campaigns tab"))</f>
        <v/>
      </c>
      <c r="I2482" s="84" t="str">
        <f aca="false">IF(C2482="","",C2482*IF(Settings!$B$23=Settings!$C$6,1,IF(Settings!$B$23="USD",1/INDEX(Settings!$B$29:$B$40,MONTH(A2482)),INDEX(Settings!$B$29:$B$40,MONTH(A2482)))))</f>
        <v/>
      </c>
    </row>
    <row r="2483" customFormat="false" ht="15" hidden="false" customHeight="false" outlineLevel="0" collapsed="false">
      <c r="H2483" s="0" t="str">
        <f aca="false">IF(B2483="","",IF(COUNTIF(Campaigns!$A$7:$A$300,B2483)&gt;0,"✓","⚠ add to Campaigns tab"))</f>
        <v/>
      </c>
      <c r="I2483" s="84" t="str">
        <f aca="false">IF(C2483="","",C2483*IF(Settings!$B$23=Settings!$C$6,1,IF(Settings!$B$23="USD",1/INDEX(Settings!$B$29:$B$40,MONTH(A2483)),INDEX(Settings!$B$29:$B$40,MONTH(A2483)))))</f>
        <v/>
      </c>
    </row>
    <row r="2484" customFormat="false" ht="15" hidden="false" customHeight="false" outlineLevel="0" collapsed="false">
      <c r="H2484" s="0" t="str">
        <f aca="false">IF(B2484="","",IF(COUNTIF(Campaigns!$A$7:$A$300,B2484)&gt;0,"✓","⚠ add to Campaigns tab"))</f>
        <v/>
      </c>
      <c r="I2484" s="84" t="str">
        <f aca="false">IF(C2484="","",C2484*IF(Settings!$B$23=Settings!$C$6,1,IF(Settings!$B$23="USD",1/INDEX(Settings!$B$29:$B$40,MONTH(A2484)),INDEX(Settings!$B$29:$B$40,MONTH(A2484)))))</f>
        <v/>
      </c>
    </row>
    <row r="2485" customFormat="false" ht="15" hidden="false" customHeight="false" outlineLevel="0" collapsed="false">
      <c r="H2485" s="0" t="str">
        <f aca="false">IF(B2485="","",IF(COUNTIF(Campaigns!$A$7:$A$300,B2485)&gt;0,"✓","⚠ add to Campaigns tab"))</f>
        <v/>
      </c>
      <c r="I2485" s="84" t="str">
        <f aca="false">IF(C2485="","",C2485*IF(Settings!$B$23=Settings!$C$6,1,IF(Settings!$B$23="USD",1/INDEX(Settings!$B$29:$B$40,MONTH(A2485)),INDEX(Settings!$B$29:$B$40,MONTH(A2485)))))</f>
        <v/>
      </c>
    </row>
    <row r="2486" customFormat="false" ht="15" hidden="false" customHeight="false" outlineLevel="0" collapsed="false">
      <c r="H2486" s="0" t="str">
        <f aca="false">IF(B2486="","",IF(COUNTIF(Campaigns!$A$7:$A$300,B2486)&gt;0,"✓","⚠ add to Campaigns tab"))</f>
        <v/>
      </c>
      <c r="I2486" s="84" t="str">
        <f aca="false">IF(C2486="","",C2486*IF(Settings!$B$23=Settings!$C$6,1,IF(Settings!$B$23="USD",1/INDEX(Settings!$B$29:$B$40,MONTH(A2486)),INDEX(Settings!$B$29:$B$40,MONTH(A2486)))))</f>
        <v/>
      </c>
    </row>
    <row r="2487" customFormat="false" ht="15" hidden="false" customHeight="false" outlineLevel="0" collapsed="false">
      <c r="H2487" s="0" t="str">
        <f aca="false">IF(B2487="","",IF(COUNTIF(Campaigns!$A$7:$A$300,B2487)&gt;0,"✓","⚠ add to Campaigns tab"))</f>
        <v/>
      </c>
      <c r="I2487" s="84" t="str">
        <f aca="false">IF(C2487="","",C2487*IF(Settings!$B$23=Settings!$C$6,1,IF(Settings!$B$23="USD",1/INDEX(Settings!$B$29:$B$40,MONTH(A2487)),INDEX(Settings!$B$29:$B$40,MONTH(A2487)))))</f>
        <v/>
      </c>
    </row>
    <row r="2488" customFormat="false" ht="15" hidden="false" customHeight="false" outlineLevel="0" collapsed="false">
      <c r="H2488" s="0" t="str">
        <f aca="false">IF(B2488="","",IF(COUNTIF(Campaigns!$A$7:$A$300,B2488)&gt;0,"✓","⚠ add to Campaigns tab"))</f>
        <v/>
      </c>
      <c r="I2488" s="84" t="str">
        <f aca="false">IF(C2488="","",C2488*IF(Settings!$B$23=Settings!$C$6,1,IF(Settings!$B$23="USD",1/INDEX(Settings!$B$29:$B$40,MONTH(A2488)),INDEX(Settings!$B$29:$B$40,MONTH(A2488)))))</f>
        <v/>
      </c>
    </row>
    <row r="2489" customFormat="false" ht="15" hidden="false" customHeight="false" outlineLevel="0" collapsed="false">
      <c r="H2489" s="0" t="str">
        <f aca="false">IF(B2489="","",IF(COUNTIF(Campaigns!$A$7:$A$300,B2489)&gt;0,"✓","⚠ add to Campaigns tab"))</f>
        <v/>
      </c>
      <c r="I2489" s="84" t="str">
        <f aca="false">IF(C2489="","",C2489*IF(Settings!$B$23=Settings!$C$6,1,IF(Settings!$B$23="USD",1/INDEX(Settings!$B$29:$B$40,MONTH(A2489)),INDEX(Settings!$B$29:$B$40,MONTH(A2489)))))</f>
        <v/>
      </c>
    </row>
    <row r="2490" customFormat="false" ht="15" hidden="false" customHeight="false" outlineLevel="0" collapsed="false">
      <c r="H2490" s="0" t="str">
        <f aca="false">IF(B2490="","",IF(COUNTIF(Campaigns!$A$7:$A$300,B2490)&gt;0,"✓","⚠ add to Campaigns tab"))</f>
        <v/>
      </c>
      <c r="I2490" s="84" t="str">
        <f aca="false">IF(C2490="","",C2490*IF(Settings!$B$23=Settings!$C$6,1,IF(Settings!$B$23="USD",1/INDEX(Settings!$B$29:$B$40,MONTH(A2490)),INDEX(Settings!$B$29:$B$40,MONTH(A2490)))))</f>
        <v/>
      </c>
    </row>
    <row r="2491" customFormat="false" ht="15" hidden="false" customHeight="false" outlineLevel="0" collapsed="false">
      <c r="H2491" s="0" t="str">
        <f aca="false">IF(B2491="","",IF(COUNTIF(Campaigns!$A$7:$A$300,B2491)&gt;0,"✓","⚠ add to Campaigns tab"))</f>
        <v/>
      </c>
      <c r="I2491" s="84" t="str">
        <f aca="false">IF(C2491="","",C2491*IF(Settings!$B$23=Settings!$C$6,1,IF(Settings!$B$23="USD",1/INDEX(Settings!$B$29:$B$40,MONTH(A2491)),INDEX(Settings!$B$29:$B$40,MONTH(A2491)))))</f>
        <v/>
      </c>
    </row>
    <row r="2492" customFormat="false" ht="15" hidden="false" customHeight="false" outlineLevel="0" collapsed="false">
      <c r="H2492" s="0" t="str">
        <f aca="false">IF(B2492="","",IF(COUNTIF(Campaigns!$A$7:$A$300,B2492)&gt;0,"✓","⚠ add to Campaigns tab"))</f>
        <v/>
      </c>
      <c r="I2492" s="84" t="str">
        <f aca="false">IF(C2492="","",C2492*IF(Settings!$B$23=Settings!$C$6,1,IF(Settings!$B$23="USD",1/INDEX(Settings!$B$29:$B$40,MONTH(A2492)),INDEX(Settings!$B$29:$B$40,MONTH(A2492)))))</f>
        <v/>
      </c>
    </row>
    <row r="2493" customFormat="false" ht="15" hidden="false" customHeight="false" outlineLevel="0" collapsed="false">
      <c r="H2493" s="0" t="str">
        <f aca="false">IF(B2493="","",IF(COUNTIF(Campaigns!$A$7:$A$300,B2493)&gt;0,"✓","⚠ add to Campaigns tab"))</f>
        <v/>
      </c>
      <c r="I2493" s="84" t="str">
        <f aca="false">IF(C2493="","",C2493*IF(Settings!$B$23=Settings!$C$6,1,IF(Settings!$B$23="USD",1/INDEX(Settings!$B$29:$B$40,MONTH(A2493)),INDEX(Settings!$B$29:$B$40,MONTH(A2493)))))</f>
        <v/>
      </c>
    </row>
    <row r="2494" customFormat="false" ht="15" hidden="false" customHeight="false" outlineLevel="0" collapsed="false">
      <c r="H2494" s="0" t="str">
        <f aca="false">IF(B2494="","",IF(COUNTIF(Campaigns!$A$7:$A$300,B2494)&gt;0,"✓","⚠ add to Campaigns tab"))</f>
        <v/>
      </c>
      <c r="I2494" s="84" t="str">
        <f aca="false">IF(C2494="","",C2494*IF(Settings!$B$23=Settings!$C$6,1,IF(Settings!$B$23="USD",1/INDEX(Settings!$B$29:$B$40,MONTH(A2494)),INDEX(Settings!$B$29:$B$40,MONTH(A2494)))))</f>
        <v/>
      </c>
    </row>
    <row r="2495" customFormat="false" ht="15" hidden="false" customHeight="false" outlineLevel="0" collapsed="false">
      <c r="H2495" s="0" t="str">
        <f aca="false">IF(B2495="","",IF(COUNTIF(Campaigns!$A$7:$A$300,B2495)&gt;0,"✓","⚠ add to Campaigns tab"))</f>
        <v/>
      </c>
      <c r="I2495" s="84" t="str">
        <f aca="false">IF(C2495="","",C2495*IF(Settings!$B$23=Settings!$C$6,1,IF(Settings!$B$23="USD",1/INDEX(Settings!$B$29:$B$40,MONTH(A2495)),INDEX(Settings!$B$29:$B$40,MONTH(A2495)))))</f>
        <v/>
      </c>
    </row>
    <row r="2496" customFormat="false" ht="15" hidden="false" customHeight="false" outlineLevel="0" collapsed="false">
      <c r="H2496" s="0" t="str">
        <f aca="false">IF(B2496="","",IF(COUNTIF(Campaigns!$A$7:$A$300,B2496)&gt;0,"✓","⚠ add to Campaigns tab"))</f>
        <v/>
      </c>
      <c r="I2496" s="84" t="str">
        <f aca="false">IF(C2496="","",C2496*IF(Settings!$B$23=Settings!$C$6,1,IF(Settings!$B$23="USD",1/INDEX(Settings!$B$29:$B$40,MONTH(A2496)),INDEX(Settings!$B$29:$B$40,MONTH(A2496)))))</f>
        <v/>
      </c>
    </row>
    <row r="2497" customFormat="false" ht="15" hidden="false" customHeight="false" outlineLevel="0" collapsed="false">
      <c r="H2497" s="0" t="str">
        <f aca="false">IF(B2497="","",IF(COUNTIF(Campaigns!$A$7:$A$300,B2497)&gt;0,"✓","⚠ add to Campaigns tab"))</f>
        <v/>
      </c>
      <c r="I2497" s="84" t="str">
        <f aca="false">IF(C2497="","",C2497*IF(Settings!$B$23=Settings!$C$6,1,IF(Settings!$B$23="USD",1/INDEX(Settings!$B$29:$B$40,MONTH(A2497)),INDEX(Settings!$B$29:$B$40,MONTH(A2497)))))</f>
        <v/>
      </c>
    </row>
    <row r="2498" customFormat="false" ht="15" hidden="false" customHeight="false" outlineLevel="0" collapsed="false">
      <c r="H2498" s="0" t="str">
        <f aca="false">IF(B2498="","",IF(COUNTIF(Campaigns!$A$7:$A$300,B2498)&gt;0,"✓","⚠ add to Campaigns tab"))</f>
        <v/>
      </c>
      <c r="I2498" s="84" t="str">
        <f aca="false">IF(C2498="","",C2498*IF(Settings!$B$23=Settings!$C$6,1,IF(Settings!$B$23="USD",1/INDEX(Settings!$B$29:$B$40,MONTH(A2498)),INDEX(Settings!$B$29:$B$40,MONTH(A2498)))))</f>
        <v/>
      </c>
    </row>
    <row r="2499" customFormat="false" ht="15" hidden="false" customHeight="false" outlineLevel="0" collapsed="false">
      <c r="H2499" s="0" t="str">
        <f aca="false">IF(B2499="","",IF(COUNTIF(Campaigns!$A$7:$A$300,B2499)&gt;0,"✓","⚠ add to Campaigns tab"))</f>
        <v/>
      </c>
      <c r="I2499" s="84" t="str">
        <f aca="false">IF(C2499="","",C2499*IF(Settings!$B$23=Settings!$C$6,1,IF(Settings!$B$23="USD",1/INDEX(Settings!$B$29:$B$40,MONTH(A2499)),INDEX(Settings!$B$29:$B$40,MONTH(A2499)))))</f>
        <v/>
      </c>
    </row>
    <row r="2500" customFormat="false" ht="15" hidden="false" customHeight="false" outlineLevel="0" collapsed="false">
      <c r="H2500" s="0" t="str">
        <f aca="false">IF(B2500="","",IF(COUNTIF(Campaigns!$A$7:$A$300,B2500)&gt;0,"✓","⚠ add to Campaigns tab"))</f>
        <v/>
      </c>
      <c r="I2500" s="84" t="str">
        <f aca="false">IF(C2500="","",C2500*IF(Settings!$B$23=Settings!$C$6,1,IF(Settings!$B$23="USD",1/INDEX(Settings!$B$29:$B$40,MONTH(A2500)),INDEX(Settings!$B$29:$B$40,MONTH(A2500)))))</f>
        <v/>
      </c>
    </row>
    <row r="2501" customFormat="false" ht="15" hidden="false" customHeight="false" outlineLevel="0" collapsed="false">
      <c r="H2501" s="0" t="str">
        <f aca="false">IF(B2501="","",IF(COUNTIF(Campaigns!$A$7:$A$300,B2501)&gt;0,"✓","⚠ add to Campaigns tab"))</f>
        <v/>
      </c>
      <c r="I2501" s="84" t="str">
        <f aca="false">IF(C2501="","",C2501*IF(Settings!$B$23=Settings!$C$6,1,IF(Settings!$B$23="USD",1/INDEX(Settings!$B$29:$B$40,MONTH(A2501)),INDEX(Settings!$B$29:$B$40,MONTH(A2501)))))</f>
        <v/>
      </c>
    </row>
    <row r="2502" customFormat="false" ht="15" hidden="false" customHeight="false" outlineLevel="0" collapsed="false">
      <c r="H2502" s="0" t="str">
        <f aca="false">IF(B2502="","",IF(COUNTIF(Campaigns!$A$7:$A$300,B2502)&gt;0,"✓","⚠ add to Campaigns tab"))</f>
        <v/>
      </c>
      <c r="I2502" s="84" t="str">
        <f aca="false">IF(C2502="","",C2502*IF(Settings!$B$23=Settings!$C$6,1,IF(Settings!$B$23="USD",1/INDEX(Settings!$B$29:$B$40,MONTH(A2502)),INDEX(Settings!$B$29:$B$40,MONTH(A2502)))))</f>
        <v/>
      </c>
    </row>
    <row r="2503" customFormat="false" ht="15" hidden="false" customHeight="false" outlineLevel="0" collapsed="false">
      <c r="H2503" s="0" t="str">
        <f aca="false">IF(B2503="","",IF(COUNTIF(Campaigns!$A$7:$A$300,B2503)&gt;0,"✓","⚠ add to Campaigns tab"))</f>
        <v/>
      </c>
      <c r="I2503" s="84" t="str">
        <f aca="false">IF(C2503="","",C2503*IF(Settings!$B$23=Settings!$C$6,1,IF(Settings!$B$23="USD",1/INDEX(Settings!$B$29:$B$40,MONTH(A2503)),INDEX(Settings!$B$29:$B$40,MONTH(A2503)))))</f>
        <v/>
      </c>
    </row>
    <row r="2504" customFormat="false" ht="15" hidden="false" customHeight="false" outlineLevel="0" collapsed="false">
      <c r="H2504" s="0" t="str">
        <f aca="false">IF(B2504="","",IF(COUNTIF(Campaigns!$A$7:$A$300,B2504)&gt;0,"✓","⚠ add to Campaigns tab"))</f>
        <v/>
      </c>
      <c r="I2504" s="84" t="str">
        <f aca="false">IF(C2504="","",C2504*IF(Settings!$B$23=Settings!$C$6,1,IF(Settings!$B$23="USD",1/INDEX(Settings!$B$29:$B$40,MONTH(A2504)),INDEX(Settings!$B$29:$B$40,MONTH(A2504)))))</f>
        <v/>
      </c>
    </row>
    <row r="2505" customFormat="false" ht="15" hidden="false" customHeight="false" outlineLevel="0" collapsed="false">
      <c r="H2505" s="0" t="str">
        <f aca="false">IF(B2505="","",IF(COUNTIF(Campaigns!$A$7:$A$300,B2505)&gt;0,"✓","⚠ add to Campaigns tab"))</f>
        <v/>
      </c>
      <c r="I2505" s="84" t="str">
        <f aca="false">IF(C2505="","",C2505*IF(Settings!$B$23=Settings!$C$6,1,IF(Settings!$B$23="USD",1/INDEX(Settings!$B$29:$B$40,MONTH(A2505)),INDEX(Settings!$B$29:$B$40,MONTH(A2505)))))</f>
        <v/>
      </c>
    </row>
    <row r="2506" customFormat="false" ht="15" hidden="false" customHeight="false" outlineLevel="0" collapsed="false">
      <c r="H2506" s="0" t="str">
        <f aca="false">IF(B2506="","",IF(COUNTIF(Campaigns!$A$7:$A$300,B2506)&gt;0,"✓","⚠ add to Campaigns tab"))</f>
        <v/>
      </c>
      <c r="I2506" s="84" t="str">
        <f aca="false">IF(C2506="","",C2506*IF(Settings!$B$23=Settings!$C$6,1,IF(Settings!$B$23="USD",1/INDEX(Settings!$B$29:$B$40,MONTH(A2506)),INDEX(Settings!$B$29:$B$40,MONTH(A2506)))))</f>
        <v/>
      </c>
    </row>
    <row r="2507" customFormat="false" ht="15" hidden="false" customHeight="false" outlineLevel="0" collapsed="false">
      <c r="H2507" s="0" t="str">
        <f aca="false">IF(B2507="","",IF(COUNTIF(Campaigns!$A$7:$A$300,B2507)&gt;0,"✓","⚠ add to Campaigns tab"))</f>
        <v/>
      </c>
      <c r="I2507" s="84" t="str">
        <f aca="false">IF(C2507="","",C2507*IF(Settings!$B$23=Settings!$C$6,1,IF(Settings!$B$23="USD",1/INDEX(Settings!$B$29:$B$40,MONTH(A2507)),INDEX(Settings!$B$29:$B$40,MONTH(A2507)))))</f>
        <v/>
      </c>
    </row>
    <row r="2508" customFormat="false" ht="15" hidden="false" customHeight="false" outlineLevel="0" collapsed="false">
      <c r="H2508" s="0" t="str">
        <f aca="false">IF(B2508="","",IF(COUNTIF(Campaigns!$A$7:$A$300,B2508)&gt;0,"✓","⚠ add to Campaigns tab"))</f>
        <v/>
      </c>
      <c r="I2508" s="84" t="str">
        <f aca="false">IF(C2508="","",C2508*IF(Settings!$B$23=Settings!$C$6,1,IF(Settings!$B$23="USD",1/INDEX(Settings!$B$29:$B$40,MONTH(A2508)),INDEX(Settings!$B$29:$B$40,MONTH(A2508)))))</f>
        <v/>
      </c>
    </row>
    <row r="2509" customFormat="false" ht="15" hidden="false" customHeight="false" outlineLevel="0" collapsed="false">
      <c r="H2509" s="0" t="str">
        <f aca="false">IF(B2509="","",IF(COUNTIF(Campaigns!$A$7:$A$300,B2509)&gt;0,"✓","⚠ add to Campaigns tab"))</f>
        <v/>
      </c>
      <c r="I2509" s="84" t="str">
        <f aca="false">IF(C2509="","",C2509*IF(Settings!$B$23=Settings!$C$6,1,IF(Settings!$B$23="USD",1/INDEX(Settings!$B$29:$B$40,MONTH(A2509)),INDEX(Settings!$B$29:$B$40,MONTH(A2509)))))</f>
        <v/>
      </c>
    </row>
    <row r="2510" customFormat="false" ht="15" hidden="false" customHeight="false" outlineLevel="0" collapsed="false">
      <c r="H2510" s="0" t="str">
        <f aca="false">IF(B2510="","",IF(COUNTIF(Campaigns!$A$7:$A$300,B2510)&gt;0,"✓","⚠ add to Campaigns tab"))</f>
        <v/>
      </c>
      <c r="I2510" s="84" t="str">
        <f aca="false">IF(C2510="","",C2510*IF(Settings!$B$23=Settings!$C$6,1,IF(Settings!$B$23="USD",1/INDEX(Settings!$B$29:$B$40,MONTH(A2510)),INDEX(Settings!$B$29:$B$40,MONTH(A2510)))))</f>
        <v/>
      </c>
    </row>
    <row r="2511" customFormat="false" ht="15" hidden="false" customHeight="false" outlineLevel="0" collapsed="false">
      <c r="H2511" s="0" t="str">
        <f aca="false">IF(B2511="","",IF(COUNTIF(Campaigns!$A$7:$A$300,B2511)&gt;0,"✓","⚠ add to Campaigns tab"))</f>
        <v/>
      </c>
      <c r="I2511" s="84" t="str">
        <f aca="false">IF(C2511="","",C2511*IF(Settings!$B$23=Settings!$C$6,1,IF(Settings!$B$23="USD",1/INDEX(Settings!$B$29:$B$40,MONTH(A2511)),INDEX(Settings!$B$29:$B$40,MONTH(A2511)))))</f>
        <v/>
      </c>
    </row>
    <row r="2512" customFormat="false" ht="15" hidden="false" customHeight="false" outlineLevel="0" collapsed="false">
      <c r="H2512" s="0" t="str">
        <f aca="false">IF(B2512="","",IF(COUNTIF(Campaigns!$A$7:$A$300,B2512)&gt;0,"✓","⚠ add to Campaigns tab"))</f>
        <v/>
      </c>
      <c r="I2512" s="84" t="str">
        <f aca="false">IF(C2512="","",C2512*IF(Settings!$B$23=Settings!$C$6,1,IF(Settings!$B$23="USD",1/INDEX(Settings!$B$29:$B$40,MONTH(A2512)),INDEX(Settings!$B$29:$B$40,MONTH(A2512)))))</f>
        <v/>
      </c>
    </row>
    <row r="2513" customFormat="false" ht="15" hidden="false" customHeight="false" outlineLevel="0" collapsed="false">
      <c r="H2513" s="0" t="str">
        <f aca="false">IF(B2513="","",IF(COUNTIF(Campaigns!$A$7:$A$300,B2513)&gt;0,"✓","⚠ add to Campaigns tab"))</f>
        <v/>
      </c>
      <c r="I2513" s="84" t="str">
        <f aca="false">IF(C2513="","",C2513*IF(Settings!$B$23=Settings!$C$6,1,IF(Settings!$B$23="USD",1/INDEX(Settings!$B$29:$B$40,MONTH(A2513)),INDEX(Settings!$B$29:$B$40,MONTH(A2513)))))</f>
        <v/>
      </c>
    </row>
    <row r="2514" customFormat="false" ht="15" hidden="false" customHeight="false" outlineLevel="0" collapsed="false">
      <c r="H2514" s="0" t="str">
        <f aca="false">IF(B2514="","",IF(COUNTIF(Campaigns!$A$7:$A$300,B2514)&gt;0,"✓","⚠ add to Campaigns tab"))</f>
        <v/>
      </c>
      <c r="I2514" s="84" t="str">
        <f aca="false">IF(C2514="","",C2514*IF(Settings!$B$23=Settings!$C$6,1,IF(Settings!$B$23="USD",1/INDEX(Settings!$B$29:$B$40,MONTH(A2514)),INDEX(Settings!$B$29:$B$40,MONTH(A2514)))))</f>
        <v/>
      </c>
    </row>
    <row r="2515" customFormat="false" ht="15" hidden="false" customHeight="false" outlineLevel="0" collapsed="false">
      <c r="H2515" s="0" t="str">
        <f aca="false">IF(B2515="","",IF(COUNTIF(Campaigns!$A$7:$A$300,B2515)&gt;0,"✓","⚠ add to Campaigns tab"))</f>
        <v/>
      </c>
      <c r="I2515" s="84" t="str">
        <f aca="false">IF(C2515="","",C2515*IF(Settings!$B$23=Settings!$C$6,1,IF(Settings!$B$23="USD",1/INDEX(Settings!$B$29:$B$40,MONTH(A2515)),INDEX(Settings!$B$29:$B$40,MONTH(A2515)))))</f>
        <v/>
      </c>
    </row>
    <row r="2516" customFormat="false" ht="15" hidden="false" customHeight="false" outlineLevel="0" collapsed="false">
      <c r="H2516" s="0" t="str">
        <f aca="false">IF(B2516="","",IF(COUNTIF(Campaigns!$A$7:$A$300,B2516)&gt;0,"✓","⚠ add to Campaigns tab"))</f>
        <v/>
      </c>
      <c r="I2516" s="84" t="str">
        <f aca="false">IF(C2516="","",C2516*IF(Settings!$B$23=Settings!$C$6,1,IF(Settings!$B$23="USD",1/INDEX(Settings!$B$29:$B$40,MONTH(A2516)),INDEX(Settings!$B$29:$B$40,MONTH(A2516)))))</f>
        <v/>
      </c>
    </row>
    <row r="2517" customFormat="false" ht="15" hidden="false" customHeight="false" outlineLevel="0" collapsed="false">
      <c r="H2517" s="0" t="str">
        <f aca="false">IF(B2517="","",IF(COUNTIF(Campaigns!$A$7:$A$300,B2517)&gt;0,"✓","⚠ add to Campaigns tab"))</f>
        <v/>
      </c>
      <c r="I2517" s="84" t="str">
        <f aca="false">IF(C2517="","",C2517*IF(Settings!$B$23=Settings!$C$6,1,IF(Settings!$B$23="USD",1/INDEX(Settings!$B$29:$B$40,MONTH(A2517)),INDEX(Settings!$B$29:$B$40,MONTH(A2517)))))</f>
        <v/>
      </c>
    </row>
    <row r="2518" customFormat="false" ht="15" hidden="false" customHeight="false" outlineLevel="0" collapsed="false">
      <c r="H2518" s="0" t="str">
        <f aca="false">IF(B2518="","",IF(COUNTIF(Campaigns!$A$7:$A$300,B2518)&gt;0,"✓","⚠ add to Campaigns tab"))</f>
        <v/>
      </c>
      <c r="I2518" s="84" t="str">
        <f aca="false">IF(C2518="","",C2518*IF(Settings!$B$23=Settings!$C$6,1,IF(Settings!$B$23="USD",1/INDEX(Settings!$B$29:$B$40,MONTH(A2518)),INDEX(Settings!$B$29:$B$40,MONTH(A2518)))))</f>
        <v/>
      </c>
    </row>
    <row r="2519" customFormat="false" ht="15" hidden="false" customHeight="false" outlineLevel="0" collapsed="false">
      <c r="H2519" s="0" t="str">
        <f aca="false">IF(B2519="","",IF(COUNTIF(Campaigns!$A$7:$A$300,B2519)&gt;0,"✓","⚠ add to Campaigns tab"))</f>
        <v/>
      </c>
      <c r="I2519" s="84" t="str">
        <f aca="false">IF(C2519="","",C2519*IF(Settings!$B$23=Settings!$C$6,1,IF(Settings!$B$23="USD",1/INDEX(Settings!$B$29:$B$40,MONTH(A2519)),INDEX(Settings!$B$29:$B$40,MONTH(A2519)))))</f>
        <v/>
      </c>
    </row>
    <row r="2520" customFormat="false" ht="15" hidden="false" customHeight="false" outlineLevel="0" collapsed="false">
      <c r="H2520" s="0" t="str">
        <f aca="false">IF(B2520="","",IF(COUNTIF(Campaigns!$A$7:$A$300,B2520)&gt;0,"✓","⚠ add to Campaigns tab"))</f>
        <v/>
      </c>
      <c r="I2520" s="84" t="str">
        <f aca="false">IF(C2520="","",C2520*IF(Settings!$B$23=Settings!$C$6,1,IF(Settings!$B$23="USD",1/INDEX(Settings!$B$29:$B$40,MONTH(A2520)),INDEX(Settings!$B$29:$B$40,MONTH(A2520)))))</f>
        <v/>
      </c>
    </row>
    <row r="2521" customFormat="false" ht="15" hidden="false" customHeight="false" outlineLevel="0" collapsed="false">
      <c r="H2521" s="0" t="str">
        <f aca="false">IF(B2521="","",IF(COUNTIF(Campaigns!$A$7:$A$300,B2521)&gt;0,"✓","⚠ add to Campaigns tab"))</f>
        <v/>
      </c>
      <c r="I2521" s="84" t="str">
        <f aca="false">IF(C2521="","",C2521*IF(Settings!$B$23=Settings!$C$6,1,IF(Settings!$B$23="USD",1/INDEX(Settings!$B$29:$B$40,MONTH(A2521)),INDEX(Settings!$B$29:$B$40,MONTH(A2521)))))</f>
        <v/>
      </c>
    </row>
    <row r="2522" customFormat="false" ht="15" hidden="false" customHeight="false" outlineLevel="0" collapsed="false">
      <c r="H2522" s="0" t="str">
        <f aca="false">IF(B2522="","",IF(COUNTIF(Campaigns!$A$7:$A$300,B2522)&gt;0,"✓","⚠ add to Campaigns tab"))</f>
        <v/>
      </c>
      <c r="I2522" s="84" t="str">
        <f aca="false">IF(C2522="","",C2522*IF(Settings!$B$23=Settings!$C$6,1,IF(Settings!$B$23="USD",1/INDEX(Settings!$B$29:$B$40,MONTH(A2522)),INDEX(Settings!$B$29:$B$40,MONTH(A2522)))))</f>
        <v/>
      </c>
    </row>
    <row r="2523" customFormat="false" ht="15" hidden="false" customHeight="false" outlineLevel="0" collapsed="false">
      <c r="H2523" s="0" t="str">
        <f aca="false">IF(B2523="","",IF(COUNTIF(Campaigns!$A$7:$A$300,B2523)&gt;0,"✓","⚠ add to Campaigns tab"))</f>
        <v/>
      </c>
      <c r="I2523" s="84" t="str">
        <f aca="false">IF(C2523="","",C2523*IF(Settings!$B$23=Settings!$C$6,1,IF(Settings!$B$23="USD",1/INDEX(Settings!$B$29:$B$40,MONTH(A2523)),INDEX(Settings!$B$29:$B$40,MONTH(A2523)))))</f>
        <v/>
      </c>
    </row>
    <row r="2524" customFormat="false" ht="15" hidden="false" customHeight="false" outlineLevel="0" collapsed="false">
      <c r="H2524" s="0" t="str">
        <f aca="false">IF(B2524="","",IF(COUNTIF(Campaigns!$A$7:$A$300,B2524)&gt;0,"✓","⚠ add to Campaigns tab"))</f>
        <v/>
      </c>
      <c r="I2524" s="84" t="str">
        <f aca="false">IF(C2524="","",C2524*IF(Settings!$B$23=Settings!$C$6,1,IF(Settings!$B$23="USD",1/INDEX(Settings!$B$29:$B$40,MONTH(A2524)),INDEX(Settings!$B$29:$B$40,MONTH(A2524)))))</f>
        <v/>
      </c>
    </row>
    <row r="2525" customFormat="false" ht="15" hidden="false" customHeight="false" outlineLevel="0" collapsed="false">
      <c r="H2525" s="0" t="str">
        <f aca="false">IF(B2525="","",IF(COUNTIF(Campaigns!$A$7:$A$300,B2525)&gt;0,"✓","⚠ add to Campaigns tab"))</f>
        <v/>
      </c>
      <c r="I2525" s="84" t="str">
        <f aca="false">IF(C2525="","",C2525*IF(Settings!$B$23=Settings!$C$6,1,IF(Settings!$B$23="USD",1/INDEX(Settings!$B$29:$B$40,MONTH(A2525)),INDEX(Settings!$B$29:$B$40,MONTH(A2525)))))</f>
        <v/>
      </c>
    </row>
    <row r="2526" customFormat="false" ht="15" hidden="false" customHeight="false" outlineLevel="0" collapsed="false">
      <c r="H2526" s="0" t="str">
        <f aca="false">IF(B2526="","",IF(COUNTIF(Campaigns!$A$7:$A$300,B2526)&gt;0,"✓","⚠ add to Campaigns tab"))</f>
        <v/>
      </c>
      <c r="I2526" s="84" t="str">
        <f aca="false">IF(C2526="","",C2526*IF(Settings!$B$23=Settings!$C$6,1,IF(Settings!$B$23="USD",1/INDEX(Settings!$B$29:$B$40,MONTH(A2526)),INDEX(Settings!$B$29:$B$40,MONTH(A2526)))))</f>
        <v/>
      </c>
    </row>
    <row r="2527" customFormat="false" ht="15" hidden="false" customHeight="false" outlineLevel="0" collapsed="false">
      <c r="H2527" s="0" t="str">
        <f aca="false">IF(B2527="","",IF(COUNTIF(Campaigns!$A$7:$A$300,B2527)&gt;0,"✓","⚠ add to Campaigns tab"))</f>
        <v/>
      </c>
      <c r="I2527" s="84" t="str">
        <f aca="false">IF(C2527="","",C2527*IF(Settings!$B$23=Settings!$C$6,1,IF(Settings!$B$23="USD",1/INDEX(Settings!$B$29:$B$40,MONTH(A2527)),INDEX(Settings!$B$29:$B$40,MONTH(A2527)))))</f>
        <v/>
      </c>
    </row>
    <row r="2528" customFormat="false" ht="15" hidden="false" customHeight="false" outlineLevel="0" collapsed="false">
      <c r="H2528" s="0" t="str">
        <f aca="false">IF(B2528="","",IF(COUNTIF(Campaigns!$A$7:$A$300,B2528)&gt;0,"✓","⚠ add to Campaigns tab"))</f>
        <v/>
      </c>
      <c r="I2528" s="84" t="str">
        <f aca="false">IF(C2528="","",C2528*IF(Settings!$B$23=Settings!$C$6,1,IF(Settings!$B$23="USD",1/INDEX(Settings!$B$29:$B$40,MONTH(A2528)),INDEX(Settings!$B$29:$B$40,MONTH(A2528)))))</f>
        <v/>
      </c>
    </row>
    <row r="2529" customFormat="false" ht="15" hidden="false" customHeight="false" outlineLevel="0" collapsed="false">
      <c r="H2529" s="0" t="str">
        <f aca="false">IF(B2529="","",IF(COUNTIF(Campaigns!$A$7:$A$300,B2529)&gt;0,"✓","⚠ add to Campaigns tab"))</f>
        <v/>
      </c>
      <c r="I2529" s="84" t="str">
        <f aca="false">IF(C2529="","",C2529*IF(Settings!$B$23=Settings!$C$6,1,IF(Settings!$B$23="USD",1/INDEX(Settings!$B$29:$B$40,MONTH(A2529)),INDEX(Settings!$B$29:$B$40,MONTH(A2529)))))</f>
        <v/>
      </c>
    </row>
    <row r="2530" customFormat="false" ht="15" hidden="false" customHeight="false" outlineLevel="0" collapsed="false">
      <c r="H2530" s="0" t="str">
        <f aca="false">IF(B2530="","",IF(COUNTIF(Campaigns!$A$7:$A$300,B2530)&gt;0,"✓","⚠ add to Campaigns tab"))</f>
        <v/>
      </c>
      <c r="I2530" s="84" t="str">
        <f aca="false">IF(C2530="","",C2530*IF(Settings!$B$23=Settings!$C$6,1,IF(Settings!$B$23="USD",1/INDEX(Settings!$B$29:$B$40,MONTH(A2530)),INDEX(Settings!$B$29:$B$40,MONTH(A2530)))))</f>
        <v/>
      </c>
    </row>
    <row r="2531" customFormat="false" ht="15" hidden="false" customHeight="false" outlineLevel="0" collapsed="false">
      <c r="H2531" s="0" t="str">
        <f aca="false">IF(B2531="","",IF(COUNTIF(Campaigns!$A$7:$A$300,B2531)&gt;0,"✓","⚠ add to Campaigns tab"))</f>
        <v/>
      </c>
      <c r="I2531" s="84" t="str">
        <f aca="false">IF(C2531="","",C2531*IF(Settings!$B$23=Settings!$C$6,1,IF(Settings!$B$23="USD",1/INDEX(Settings!$B$29:$B$40,MONTH(A2531)),INDEX(Settings!$B$29:$B$40,MONTH(A2531)))))</f>
        <v/>
      </c>
    </row>
    <row r="2532" customFormat="false" ht="15" hidden="false" customHeight="false" outlineLevel="0" collapsed="false">
      <c r="H2532" s="0" t="str">
        <f aca="false">IF(B2532="","",IF(COUNTIF(Campaigns!$A$7:$A$300,B2532)&gt;0,"✓","⚠ add to Campaigns tab"))</f>
        <v/>
      </c>
      <c r="I2532" s="84" t="str">
        <f aca="false">IF(C2532="","",C2532*IF(Settings!$B$23=Settings!$C$6,1,IF(Settings!$B$23="USD",1/INDEX(Settings!$B$29:$B$40,MONTH(A2532)),INDEX(Settings!$B$29:$B$40,MONTH(A2532)))))</f>
        <v/>
      </c>
    </row>
    <row r="2533" customFormat="false" ht="15" hidden="false" customHeight="false" outlineLevel="0" collapsed="false">
      <c r="H2533" s="0" t="str">
        <f aca="false">IF(B2533="","",IF(COUNTIF(Campaigns!$A$7:$A$300,B2533)&gt;0,"✓","⚠ add to Campaigns tab"))</f>
        <v/>
      </c>
      <c r="I2533" s="84" t="str">
        <f aca="false">IF(C2533="","",C2533*IF(Settings!$B$23=Settings!$C$6,1,IF(Settings!$B$23="USD",1/INDEX(Settings!$B$29:$B$40,MONTH(A2533)),INDEX(Settings!$B$29:$B$40,MONTH(A2533)))))</f>
        <v/>
      </c>
    </row>
    <row r="2534" customFormat="false" ht="15" hidden="false" customHeight="false" outlineLevel="0" collapsed="false">
      <c r="H2534" s="0" t="str">
        <f aca="false">IF(B2534="","",IF(COUNTIF(Campaigns!$A$7:$A$300,B2534)&gt;0,"✓","⚠ add to Campaigns tab"))</f>
        <v/>
      </c>
      <c r="I2534" s="84" t="str">
        <f aca="false">IF(C2534="","",C2534*IF(Settings!$B$23=Settings!$C$6,1,IF(Settings!$B$23="USD",1/INDEX(Settings!$B$29:$B$40,MONTH(A2534)),INDEX(Settings!$B$29:$B$40,MONTH(A2534)))))</f>
        <v/>
      </c>
    </row>
    <row r="2535" customFormat="false" ht="15" hidden="false" customHeight="false" outlineLevel="0" collapsed="false">
      <c r="H2535" s="0" t="str">
        <f aca="false">IF(B2535="","",IF(COUNTIF(Campaigns!$A$7:$A$300,B2535)&gt;0,"✓","⚠ add to Campaigns tab"))</f>
        <v/>
      </c>
      <c r="I2535" s="84" t="str">
        <f aca="false">IF(C2535="","",C2535*IF(Settings!$B$23=Settings!$C$6,1,IF(Settings!$B$23="USD",1/INDEX(Settings!$B$29:$B$40,MONTH(A2535)),INDEX(Settings!$B$29:$B$40,MONTH(A2535)))))</f>
        <v/>
      </c>
    </row>
    <row r="2536" customFormat="false" ht="15" hidden="false" customHeight="false" outlineLevel="0" collapsed="false">
      <c r="H2536" s="0" t="str">
        <f aca="false">IF(B2536="","",IF(COUNTIF(Campaigns!$A$7:$A$300,B2536)&gt;0,"✓","⚠ add to Campaigns tab"))</f>
        <v/>
      </c>
      <c r="I2536" s="84" t="str">
        <f aca="false">IF(C2536="","",C2536*IF(Settings!$B$23=Settings!$C$6,1,IF(Settings!$B$23="USD",1/INDEX(Settings!$B$29:$B$40,MONTH(A2536)),INDEX(Settings!$B$29:$B$40,MONTH(A2536)))))</f>
        <v/>
      </c>
    </row>
    <row r="2537" customFormat="false" ht="15" hidden="false" customHeight="false" outlineLevel="0" collapsed="false">
      <c r="H2537" s="0" t="str">
        <f aca="false">IF(B2537="","",IF(COUNTIF(Campaigns!$A$7:$A$300,B2537)&gt;0,"✓","⚠ add to Campaigns tab"))</f>
        <v/>
      </c>
      <c r="I2537" s="84" t="str">
        <f aca="false">IF(C2537="","",C2537*IF(Settings!$B$23=Settings!$C$6,1,IF(Settings!$B$23="USD",1/INDEX(Settings!$B$29:$B$40,MONTH(A2537)),INDEX(Settings!$B$29:$B$40,MONTH(A2537)))))</f>
        <v/>
      </c>
    </row>
    <row r="2538" customFormat="false" ht="15" hidden="false" customHeight="false" outlineLevel="0" collapsed="false">
      <c r="H2538" s="0" t="str">
        <f aca="false">IF(B2538="","",IF(COUNTIF(Campaigns!$A$7:$A$300,B2538)&gt;0,"✓","⚠ add to Campaigns tab"))</f>
        <v/>
      </c>
      <c r="I2538" s="84" t="str">
        <f aca="false">IF(C2538="","",C2538*IF(Settings!$B$23=Settings!$C$6,1,IF(Settings!$B$23="USD",1/INDEX(Settings!$B$29:$B$40,MONTH(A2538)),INDEX(Settings!$B$29:$B$40,MONTH(A2538)))))</f>
        <v/>
      </c>
    </row>
    <row r="2539" customFormat="false" ht="15" hidden="false" customHeight="false" outlineLevel="0" collapsed="false">
      <c r="H2539" s="0" t="str">
        <f aca="false">IF(B2539="","",IF(COUNTIF(Campaigns!$A$7:$A$300,B2539)&gt;0,"✓","⚠ add to Campaigns tab"))</f>
        <v/>
      </c>
      <c r="I2539" s="84" t="str">
        <f aca="false">IF(C2539="","",C2539*IF(Settings!$B$23=Settings!$C$6,1,IF(Settings!$B$23="USD",1/INDEX(Settings!$B$29:$B$40,MONTH(A2539)),INDEX(Settings!$B$29:$B$40,MONTH(A2539)))))</f>
        <v/>
      </c>
    </row>
    <row r="2540" customFormat="false" ht="15" hidden="false" customHeight="false" outlineLevel="0" collapsed="false">
      <c r="H2540" s="0" t="str">
        <f aca="false">IF(B2540="","",IF(COUNTIF(Campaigns!$A$7:$A$300,B2540)&gt;0,"✓","⚠ add to Campaigns tab"))</f>
        <v/>
      </c>
      <c r="I2540" s="84" t="str">
        <f aca="false">IF(C2540="","",C2540*IF(Settings!$B$23=Settings!$C$6,1,IF(Settings!$B$23="USD",1/INDEX(Settings!$B$29:$B$40,MONTH(A2540)),INDEX(Settings!$B$29:$B$40,MONTH(A2540)))))</f>
        <v/>
      </c>
    </row>
    <row r="2541" customFormat="false" ht="15" hidden="false" customHeight="false" outlineLevel="0" collapsed="false">
      <c r="H2541" s="0" t="str">
        <f aca="false">IF(B2541="","",IF(COUNTIF(Campaigns!$A$7:$A$300,B2541)&gt;0,"✓","⚠ add to Campaigns tab"))</f>
        <v/>
      </c>
      <c r="I2541" s="84" t="str">
        <f aca="false">IF(C2541="","",C2541*IF(Settings!$B$23=Settings!$C$6,1,IF(Settings!$B$23="USD",1/INDEX(Settings!$B$29:$B$40,MONTH(A2541)),INDEX(Settings!$B$29:$B$40,MONTH(A2541)))))</f>
        <v/>
      </c>
    </row>
    <row r="2542" customFormat="false" ht="15" hidden="false" customHeight="false" outlineLevel="0" collapsed="false">
      <c r="H2542" s="0" t="str">
        <f aca="false">IF(B2542="","",IF(COUNTIF(Campaigns!$A$7:$A$300,B2542)&gt;0,"✓","⚠ add to Campaigns tab"))</f>
        <v/>
      </c>
      <c r="I2542" s="84" t="str">
        <f aca="false">IF(C2542="","",C2542*IF(Settings!$B$23=Settings!$C$6,1,IF(Settings!$B$23="USD",1/INDEX(Settings!$B$29:$B$40,MONTH(A2542)),INDEX(Settings!$B$29:$B$40,MONTH(A2542)))))</f>
        <v/>
      </c>
    </row>
    <row r="2543" customFormat="false" ht="15" hidden="false" customHeight="false" outlineLevel="0" collapsed="false">
      <c r="H2543" s="0" t="str">
        <f aca="false">IF(B2543="","",IF(COUNTIF(Campaigns!$A$7:$A$300,B2543)&gt;0,"✓","⚠ add to Campaigns tab"))</f>
        <v/>
      </c>
      <c r="I2543" s="84" t="str">
        <f aca="false">IF(C2543="","",C2543*IF(Settings!$B$23=Settings!$C$6,1,IF(Settings!$B$23="USD",1/INDEX(Settings!$B$29:$B$40,MONTH(A2543)),INDEX(Settings!$B$29:$B$40,MONTH(A2543)))))</f>
        <v/>
      </c>
    </row>
    <row r="2544" customFormat="false" ht="15" hidden="false" customHeight="false" outlineLevel="0" collapsed="false">
      <c r="H2544" s="0" t="str">
        <f aca="false">IF(B2544="","",IF(COUNTIF(Campaigns!$A$7:$A$300,B2544)&gt;0,"✓","⚠ add to Campaigns tab"))</f>
        <v/>
      </c>
      <c r="I2544" s="84" t="str">
        <f aca="false">IF(C2544="","",C2544*IF(Settings!$B$23=Settings!$C$6,1,IF(Settings!$B$23="USD",1/INDEX(Settings!$B$29:$B$40,MONTH(A2544)),INDEX(Settings!$B$29:$B$40,MONTH(A2544)))))</f>
        <v/>
      </c>
    </row>
    <row r="2545" customFormat="false" ht="15" hidden="false" customHeight="false" outlineLevel="0" collapsed="false">
      <c r="H2545" s="0" t="str">
        <f aca="false">IF(B2545="","",IF(COUNTIF(Campaigns!$A$7:$A$300,B2545)&gt;0,"✓","⚠ add to Campaigns tab"))</f>
        <v/>
      </c>
      <c r="I2545" s="84" t="str">
        <f aca="false">IF(C2545="","",C2545*IF(Settings!$B$23=Settings!$C$6,1,IF(Settings!$B$23="USD",1/INDEX(Settings!$B$29:$B$40,MONTH(A2545)),INDEX(Settings!$B$29:$B$40,MONTH(A2545)))))</f>
        <v/>
      </c>
    </row>
    <row r="2546" customFormat="false" ht="15" hidden="false" customHeight="false" outlineLevel="0" collapsed="false">
      <c r="H2546" s="0" t="str">
        <f aca="false">IF(B2546="","",IF(COUNTIF(Campaigns!$A$7:$A$300,B2546)&gt;0,"✓","⚠ add to Campaigns tab"))</f>
        <v/>
      </c>
      <c r="I2546" s="84" t="str">
        <f aca="false">IF(C2546="","",C2546*IF(Settings!$B$23=Settings!$C$6,1,IF(Settings!$B$23="USD",1/INDEX(Settings!$B$29:$B$40,MONTH(A2546)),INDEX(Settings!$B$29:$B$40,MONTH(A2546)))))</f>
        <v/>
      </c>
    </row>
    <row r="2547" customFormat="false" ht="15" hidden="false" customHeight="false" outlineLevel="0" collapsed="false">
      <c r="H2547" s="0" t="str">
        <f aca="false">IF(B2547="","",IF(COUNTIF(Campaigns!$A$7:$A$300,B2547)&gt;0,"✓","⚠ add to Campaigns tab"))</f>
        <v/>
      </c>
      <c r="I2547" s="84" t="str">
        <f aca="false">IF(C2547="","",C2547*IF(Settings!$B$23=Settings!$C$6,1,IF(Settings!$B$23="USD",1/INDEX(Settings!$B$29:$B$40,MONTH(A2547)),INDEX(Settings!$B$29:$B$40,MONTH(A2547)))))</f>
        <v/>
      </c>
    </row>
    <row r="2548" customFormat="false" ht="15" hidden="false" customHeight="false" outlineLevel="0" collapsed="false">
      <c r="H2548" s="0" t="str">
        <f aca="false">IF(B2548="","",IF(COUNTIF(Campaigns!$A$7:$A$300,B2548)&gt;0,"✓","⚠ add to Campaigns tab"))</f>
        <v/>
      </c>
      <c r="I2548" s="84" t="str">
        <f aca="false">IF(C2548="","",C2548*IF(Settings!$B$23=Settings!$C$6,1,IF(Settings!$B$23="USD",1/INDEX(Settings!$B$29:$B$40,MONTH(A2548)),INDEX(Settings!$B$29:$B$40,MONTH(A2548)))))</f>
        <v/>
      </c>
    </row>
    <row r="2549" customFormat="false" ht="15" hidden="false" customHeight="false" outlineLevel="0" collapsed="false">
      <c r="H2549" s="0" t="str">
        <f aca="false">IF(B2549="","",IF(COUNTIF(Campaigns!$A$7:$A$300,B2549)&gt;0,"✓","⚠ add to Campaigns tab"))</f>
        <v/>
      </c>
      <c r="I2549" s="84" t="str">
        <f aca="false">IF(C2549="","",C2549*IF(Settings!$B$23=Settings!$C$6,1,IF(Settings!$B$23="USD",1/INDEX(Settings!$B$29:$B$40,MONTH(A2549)),INDEX(Settings!$B$29:$B$40,MONTH(A2549)))))</f>
        <v/>
      </c>
    </row>
    <row r="2550" customFormat="false" ht="15" hidden="false" customHeight="false" outlineLevel="0" collapsed="false">
      <c r="H2550" s="0" t="str">
        <f aca="false">IF(B2550="","",IF(COUNTIF(Campaigns!$A$7:$A$300,B2550)&gt;0,"✓","⚠ add to Campaigns tab"))</f>
        <v/>
      </c>
      <c r="I2550" s="84" t="str">
        <f aca="false">IF(C2550="","",C2550*IF(Settings!$B$23=Settings!$C$6,1,IF(Settings!$B$23="USD",1/INDEX(Settings!$B$29:$B$40,MONTH(A2550)),INDEX(Settings!$B$29:$B$40,MONTH(A2550)))))</f>
        <v/>
      </c>
    </row>
    <row r="2551" customFormat="false" ht="15" hidden="false" customHeight="false" outlineLevel="0" collapsed="false">
      <c r="H2551" s="0" t="str">
        <f aca="false">IF(B2551="","",IF(COUNTIF(Campaigns!$A$7:$A$300,B2551)&gt;0,"✓","⚠ add to Campaigns tab"))</f>
        <v/>
      </c>
      <c r="I2551" s="84" t="str">
        <f aca="false">IF(C2551="","",C2551*IF(Settings!$B$23=Settings!$C$6,1,IF(Settings!$B$23="USD",1/INDEX(Settings!$B$29:$B$40,MONTH(A2551)),INDEX(Settings!$B$29:$B$40,MONTH(A2551)))))</f>
        <v/>
      </c>
    </row>
    <row r="2552" customFormat="false" ht="15" hidden="false" customHeight="false" outlineLevel="0" collapsed="false">
      <c r="H2552" s="0" t="str">
        <f aca="false">IF(B2552="","",IF(COUNTIF(Campaigns!$A$7:$A$300,B2552)&gt;0,"✓","⚠ add to Campaigns tab"))</f>
        <v/>
      </c>
      <c r="I2552" s="84" t="str">
        <f aca="false">IF(C2552="","",C2552*IF(Settings!$B$23=Settings!$C$6,1,IF(Settings!$B$23="USD",1/INDEX(Settings!$B$29:$B$40,MONTH(A2552)),INDEX(Settings!$B$29:$B$40,MONTH(A2552)))))</f>
        <v/>
      </c>
    </row>
    <row r="2553" customFormat="false" ht="15" hidden="false" customHeight="false" outlineLevel="0" collapsed="false">
      <c r="H2553" s="0" t="str">
        <f aca="false">IF(B2553="","",IF(COUNTIF(Campaigns!$A$7:$A$300,B2553)&gt;0,"✓","⚠ add to Campaigns tab"))</f>
        <v/>
      </c>
      <c r="I2553" s="84" t="str">
        <f aca="false">IF(C2553="","",C2553*IF(Settings!$B$23=Settings!$C$6,1,IF(Settings!$B$23="USD",1/INDEX(Settings!$B$29:$B$40,MONTH(A2553)),INDEX(Settings!$B$29:$B$40,MONTH(A2553)))))</f>
        <v/>
      </c>
    </row>
    <row r="2554" customFormat="false" ht="15" hidden="false" customHeight="false" outlineLevel="0" collapsed="false">
      <c r="H2554" s="0" t="str">
        <f aca="false">IF(B2554="","",IF(COUNTIF(Campaigns!$A$7:$A$300,B2554)&gt;0,"✓","⚠ add to Campaigns tab"))</f>
        <v/>
      </c>
      <c r="I2554" s="84" t="str">
        <f aca="false">IF(C2554="","",C2554*IF(Settings!$B$23=Settings!$C$6,1,IF(Settings!$B$23="USD",1/INDEX(Settings!$B$29:$B$40,MONTH(A2554)),INDEX(Settings!$B$29:$B$40,MONTH(A2554)))))</f>
        <v/>
      </c>
    </row>
    <row r="2555" customFormat="false" ht="15" hidden="false" customHeight="false" outlineLevel="0" collapsed="false">
      <c r="H2555" s="0" t="str">
        <f aca="false">IF(B2555="","",IF(COUNTIF(Campaigns!$A$7:$A$300,B2555)&gt;0,"✓","⚠ add to Campaigns tab"))</f>
        <v/>
      </c>
      <c r="I2555" s="84" t="str">
        <f aca="false">IF(C2555="","",C2555*IF(Settings!$B$23=Settings!$C$6,1,IF(Settings!$B$23="USD",1/INDEX(Settings!$B$29:$B$40,MONTH(A2555)),INDEX(Settings!$B$29:$B$40,MONTH(A2555)))))</f>
        <v/>
      </c>
    </row>
    <row r="2556" customFormat="false" ht="15" hidden="false" customHeight="false" outlineLevel="0" collapsed="false">
      <c r="H2556" s="0" t="str">
        <f aca="false">IF(B2556="","",IF(COUNTIF(Campaigns!$A$7:$A$300,B2556)&gt;0,"✓","⚠ add to Campaigns tab"))</f>
        <v/>
      </c>
      <c r="I2556" s="84" t="str">
        <f aca="false">IF(C2556="","",C2556*IF(Settings!$B$23=Settings!$C$6,1,IF(Settings!$B$23="USD",1/INDEX(Settings!$B$29:$B$40,MONTH(A2556)),INDEX(Settings!$B$29:$B$40,MONTH(A2556)))))</f>
        <v/>
      </c>
    </row>
    <row r="2557" customFormat="false" ht="15" hidden="false" customHeight="false" outlineLevel="0" collapsed="false">
      <c r="H2557" s="0" t="str">
        <f aca="false">IF(B2557="","",IF(COUNTIF(Campaigns!$A$7:$A$300,B2557)&gt;0,"✓","⚠ add to Campaigns tab"))</f>
        <v/>
      </c>
      <c r="I2557" s="84" t="str">
        <f aca="false">IF(C2557="","",C2557*IF(Settings!$B$23=Settings!$C$6,1,IF(Settings!$B$23="USD",1/INDEX(Settings!$B$29:$B$40,MONTH(A2557)),INDEX(Settings!$B$29:$B$40,MONTH(A2557)))))</f>
        <v/>
      </c>
    </row>
    <row r="2558" customFormat="false" ht="15" hidden="false" customHeight="false" outlineLevel="0" collapsed="false">
      <c r="H2558" s="0" t="str">
        <f aca="false">IF(B2558="","",IF(COUNTIF(Campaigns!$A$7:$A$300,B2558)&gt;0,"✓","⚠ add to Campaigns tab"))</f>
        <v/>
      </c>
      <c r="I2558" s="84" t="str">
        <f aca="false">IF(C2558="","",C2558*IF(Settings!$B$23=Settings!$C$6,1,IF(Settings!$B$23="USD",1/INDEX(Settings!$B$29:$B$40,MONTH(A2558)),INDEX(Settings!$B$29:$B$40,MONTH(A2558)))))</f>
        <v/>
      </c>
    </row>
    <row r="2559" customFormat="false" ht="15" hidden="false" customHeight="false" outlineLevel="0" collapsed="false">
      <c r="H2559" s="0" t="str">
        <f aca="false">IF(B2559="","",IF(COUNTIF(Campaigns!$A$7:$A$300,B2559)&gt;0,"✓","⚠ add to Campaigns tab"))</f>
        <v/>
      </c>
      <c r="I2559" s="84" t="str">
        <f aca="false">IF(C2559="","",C2559*IF(Settings!$B$23=Settings!$C$6,1,IF(Settings!$B$23="USD",1/INDEX(Settings!$B$29:$B$40,MONTH(A2559)),INDEX(Settings!$B$29:$B$40,MONTH(A2559)))))</f>
        <v/>
      </c>
    </row>
    <row r="2560" customFormat="false" ht="15" hidden="false" customHeight="false" outlineLevel="0" collapsed="false">
      <c r="H2560" s="0" t="str">
        <f aca="false">IF(B2560="","",IF(COUNTIF(Campaigns!$A$7:$A$300,B2560)&gt;0,"✓","⚠ add to Campaigns tab"))</f>
        <v/>
      </c>
      <c r="I2560" s="84" t="str">
        <f aca="false">IF(C2560="","",C2560*IF(Settings!$B$23=Settings!$C$6,1,IF(Settings!$B$23="USD",1/INDEX(Settings!$B$29:$B$40,MONTH(A2560)),INDEX(Settings!$B$29:$B$40,MONTH(A2560)))))</f>
        <v/>
      </c>
    </row>
    <row r="2561" customFormat="false" ht="15" hidden="false" customHeight="false" outlineLevel="0" collapsed="false">
      <c r="H2561" s="0" t="str">
        <f aca="false">IF(B2561="","",IF(COUNTIF(Campaigns!$A$7:$A$300,B2561)&gt;0,"✓","⚠ add to Campaigns tab"))</f>
        <v/>
      </c>
      <c r="I2561" s="84" t="str">
        <f aca="false">IF(C2561="","",C2561*IF(Settings!$B$23=Settings!$C$6,1,IF(Settings!$B$23="USD",1/INDEX(Settings!$B$29:$B$40,MONTH(A2561)),INDEX(Settings!$B$29:$B$40,MONTH(A2561)))))</f>
        <v/>
      </c>
    </row>
    <row r="2562" customFormat="false" ht="15" hidden="false" customHeight="false" outlineLevel="0" collapsed="false">
      <c r="H2562" s="0" t="str">
        <f aca="false">IF(B2562="","",IF(COUNTIF(Campaigns!$A$7:$A$300,B2562)&gt;0,"✓","⚠ add to Campaigns tab"))</f>
        <v/>
      </c>
      <c r="I2562" s="84" t="str">
        <f aca="false">IF(C2562="","",C2562*IF(Settings!$B$23=Settings!$C$6,1,IF(Settings!$B$23="USD",1/INDEX(Settings!$B$29:$B$40,MONTH(A2562)),INDEX(Settings!$B$29:$B$40,MONTH(A2562)))))</f>
        <v/>
      </c>
    </row>
    <row r="2563" customFormat="false" ht="15" hidden="false" customHeight="false" outlineLevel="0" collapsed="false">
      <c r="H2563" s="0" t="str">
        <f aca="false">IF(B2563="","",IF(COUNTIF(Campaigns!$A$7:$A$300,B2563)&gt;0,"✓","⚠ add to Campaigns tab"))</f>
        <v/>
      </c>
      <c r="I2563" s="84" t="str">
        <f aca="false">IF(C2563="","",C2563*IF(Settings!$B$23=Settings!$C$6,1,IF(Settings!$B$23="USD",1/INDEX(Settings!$B$29:$B$40,MONTH(A2563)),INDEX(Settings!$B$29:$B$40,MONTH(A2563)))))</f>
        <v/>
      </c>
    </row>
    <row r="2564" customFormat="false" ht="15" hidden="false" customHeight="false" outlineLevel="0" collapsed="false">
      <c r="H2564" s="0" t="str">
        <f aca="false">IF(B2564="","",IF(COUNTIF(Campaigns!$A$7:$A$300,B2564)&gt;0,"✓","⚠ add to Campaigns tab"))</f>
        <v/>
      </c>
      <c r="I2564" s="84" t="str">
        <f aca="false">IF(C2564="","",C2564*IF(Settings!$B$23=Settings!$C$6,1,IF(Settings!$B$23="USD",1/INDEX(Settings!$B$29:$B$40,MONTH(A2564)),INDEX(Settings!$B$29:$B$40,MONTH(A2564)))))</f>
        <v/>
      </c>
    </row>
    <row r="2565" customFormat="false" ht="15" hidden="false" customHeight="false" outlineLevel="0" collapsed="false">
      <c r="H2565" s="0" t="str">
        <f aca="false">IF(B2565="","",IF(COUNTIF(Campaigns!$A$7:$A$300,B2565)&gt;0,"✓","⚠ add to Campaigns tab"))</f>
        <v/>
      </c>
      <c r="I2565" s="84" t="str">
        <f aca="false">IF(C2565="","",C2565*IF(Settings!$B$23=Settings!$C$6,1,IF(Settings!$B$23="USD",1/INDEX(Settings!$B$29:$B$40,MONTH(A2565)),INDEX(Settings!$B$29:$B$40,MONTH(A2565)))))</f>
        <v/>
      </c>
    </row>
    <row r="2566" customFormat="false" ht="15" hidden="false" customHeight="false" outlineLevel="0" collapsed="false">
      <c r="H2566" s="0" t="str">
        <f aca="false">IF(B2566="","",IF(COUNTIF(Campaigns!$A$7:$A$300,B2566)&gt;0,"✓","⚠ add to Campaigns tab"))</f>
        <v/>
      </c>
      <c r="I2566" s="84" t="str">
        <f aca="false">IF(C2566="","",C2566*IF(Settings!$B$23=Settings!$C$6,1,IF(Settings!$B$23="USD",1/INDEX(Settings!$B$29:$B$40,MONTH(A2566)),INDEX(Settings!$B$29:$B$40,MONTH(A2566)))))</f>
        <v/>
      </c>
    </row>
    <row r="2567" customFormat="false" ht="15" hidden="false" customHeight="false" outlineLevel="0" collapsed="false">
      <c r="H2567" s="0" t="str">
        <f aca="false">IF(B2567="","",IF(COUNTIF(Campaigns!$A$7:$A$300,B2567)&gt;0,"✓","⚠ add to Campaigns tab"))</f>
        <v/>
      </c>
      <c r="I2567" s="84" t="str">
        <f aca="false">IF(C2567="","",C2567*IF(Settings!$B$23=Settings!$C$6,1,IF(Settings!$B$23="USD",1/INDEX(Settings!$B$29:$B$40,MONTH(A2567)),INDEX(Settings!$B$29:$B$40,MONTH(A2567)))))</f>
        <v/>
      </c>
    </row>
    <row r="2568" customFormat="false" ht="15" hidden="false" customHeight="false" outlineLevel="0" collapsed="false">
      <c r="H2568" s="0" t="str">
        <f aca="false">IF(B2568="","",IF(COUNTIF(Campaigns!$A$7:$A$300,B2568)&gt;0,"✓","⚠ add to Campaigns tab"))</f>
        <v/>
      </c>
      <c r="I2568" s="84" t="str">
        <f aca="false">IF(C2568="","",C2568*IF(Settings!$B$23=Settings!$C$6,1,IF(Settings!$B$23="USD",1/INDEX(Settings!$B$29:$B$40,MONTH(A2568)),INDEX(Settings!$B$29:$B$40,MONTH(A2568)))))</f>
        <v/>
      </c>
    </row>
    <row r="2569" customFormat="false" ht="15" hidden="false" customHeight="false" outlineLevel="0" collapsed="false">
      <c r="H2569" s="0" t="str">
        <f aca="false">IF(B2569="","",IF(COUNTIF(Campaigns!$A$7:$A$300,B2569)&gt;0,"✓","⚠ add to Campaigns tab"))</f>
        <v/>
      </c>
      <c r="I2569" s="84" t="str">
        <f aca="false">IF(C2569="","",C2569*IF(Settings!$B$23=Settings!$C$6,1,IF(Settings!$B$23="USD",1/INDEX(Settings!$B$29:$B$40,MONTH(A2569)),INDEX(Settings!$B$29:$B$40,MONTH(A2569)))))</f>
        <v/>
      </c>
    </row>
    <row r="2570" customFormat="false" ht="15" hidden="false" customHeight="false" outlineLevel="0" collapsed="false">
      <c r="H2570" s="0" t="str">
        <f aca="false">IF(B2570="","",IF(COUNTIF(Campaigns!$A$7:$A$300,B2570)&gt;0,"✓","⚠ add to Campaigns tab"))</f>
        <v/>
      </c>
      <c r="I2570" s="84" t="str">
        <f aca="false">IF(C2570="","",C2570*IF(Settings!$B$23=Settings!$C$6,1,IF(Settings!$B$23="USD",1/INDEX(Settings!$B$29:$B$40,MONTH(A2570)),INDEX(Settings!$B$29:$B$40,MONTH(A2570)))))</f>
        <v/>
      </c>
    </row>
    <row r="2571" customFormat="false" ht="15" hidden="false" customHeight="false" outlineLevel="0" collapsed="false">
      <c r="H2571" s="0" t="str">
        <f aca="false">IF(B2571="","",IF(COUNTIF(Campaigns!$A$7:$A$300,B2571)&gt;0,"✓","⚠ add to Campaigns tab"))</f>
        <v/>
      </c>
      <c r="I2571" s="84" t="str">
        <f aca="false">IF(C2571="","",C2571*IF(Settings!$B$23=Settings!$C$6,1,IF(Settings!$B$23="USD",1/INDEX(Settings!$B$29:$B$40,MONTH(A2571)),INDEX(Settings!$B$29:$B$40,MONTH(A2571)))))</f>
        <v/>
      </c>
    </row>
    <row r="2572" customFormat="false" ht="15" hidden="false" customHeight="false" outlineLevel="0" collapsed="false">
      <c r="H2572" s="0" t="str">
        <f aca="false">IF(B2572="","",IF(COUNTIF(Campaigns!$A$7:$A$300,B2572)&gt;0,"✓","⚠ add to Campaigns tab"))</f>
        <v/>
      </c>
      <c r="I2572" s="84" t="str">
        <f aca="false">IF(C2572="","",C2572*IF(Settings!$B$23=Settings!$C$6,1,IF(Settings!$B$23="USD",1/INDEX(Settings!$B$29:$B$40,MONTH(A2572)),INDEX(Settings!$B$29:$B$40,MONTH(A2572)))))</f>
        <v/>
      </c>
    </row>
    <row r="2573" customFormat="false" ht="15" hidden="false" customHeight="false" outlineLevel="0" collapsed="false">
      <c r="H2573" s="0" t="str">
        <f aca="false">IF(B2573="","",IF(COUNTIF(Campaigns!$A$7:$A$300,B2573)&gt;0,"✓","⚠ add to Campaigns tab"))</f>
        <v/>
      </c>
      <c r="I2573" s="84" t="str">
        <f aca="false">IF(C2573="","",C2573*IF(Settings!$B$23=Settings!$C$6,1,IF(Settings!$B$23="USD",1/INDEX(Settings!$B$29:$B$40,MONTH(A2573)),INDEX(Settings!$B$29:$B$40,MONTH(A2573)))))</f>
        <v/>
      </c>
    </row>
    <row r="2574" customFormat="false" ht="15" hidden="false" customHeight="false" outlineLevel="0" collapsed="false">
      <c r="H2574" s="0" t="str">
        <f aca="false">IF(B2574="","",IF(COUNTIF(Campaigns!$A$7:$A$300,B2574)&gt;0,"✓","⚠ add to Campaigns tab"))</f>
        <v/>
      </c>
      <c r="I2574" s="84" t="str">
        <f aca="false">IF(C2574="","",C2574*IF(Settings!$B$23=Settings!$C$6,1,IF(Settings!$B$23="USD",1/INDEX(Settings!$B$29:$B$40,MONTH(A2574)),INDEX(Settings!$B$29:$B$40,MONTH(A2574)))))</f>
        <v/>
      </c>
    </row>
    <row r="2575" customFormat="false" ht="15" hidden="false" customHeight="false" outlineLevel="0" collapsed="false">
      <c r="H2575" s="0" t="str">
        <f aca="false">IF(B2575="","",IF(COUNTIF(Campaigns!$A$7:$A$300,B2575)&gt;0,"✓","⚠ add to Campaigns tab"))</f>
        <v/>
      </c>
      <c r="I2575" s="84" t="str">
        <f aca="false">IF(C2575="","",C2575*IF(Settings!$B$23=Settings!$C$6,1,IF(Settings!$B$23="USD",1/INDEX(Settings!$B$29:$B$40,MONTH(A2575)),INDEX(Settings!$B$29:$B$40,MONTH(A2575)))))</f>
        <v/>
      </c>
    </row>
    <row r="2576" customFormat="false" ht="15" hidden="false" customHeight="false" outlineLevel="0" collapsed="false">
      <c r="H2576" s="0" t="str">
        <f aca="false">IF(B2576="","",IF(COUNTIF(Campaigns!$A$7:$A$300,B2576)&gt;0,"✓","⚠ add to Campaigns tab"))</f>
        <v/>
      </c>
      <c r="I2576" s="84" t="str">
        <f aca="false">IF(C2576="","",C2576*IF(Settings!$B$23=Settings!$C$6,1,IF(Settings!$B$23="USD",1/INDEX(Settings!$B$29:$B$40,MONTH(A2576)),INDEX(Settings!$B$29:$B$40,MONTH(A2576)))))</f>
        <v/>
      </c>
    </row>
    <row r="2577" customFormat="false" ht="15" hidden="false" customHeight="false" outlineLevel="0" collapsed="false">
      <c r="H2577" s="0" t="str">
        <f aca="false">IF(B2577="","",IF(COUNTIF(Campaigns!$A$7:$A$300,B2577)&gt;0,"✓","⚠ add to Campaigns tab"))</f>
        <v/>
      </c>
      <c r="I2577" s="84" t="str">
        <f aca="false">IF(C2577="","",C2577*IF(Settings!$B$23=Settings!$C$6,1,IF(Settings!$B$23="USD",1/INDEX(Settings!$B$29:$B$40,MONTH(A2577)),INDEX(Settings!$B$29:$B$40,MONTH(A2577)))))</f>
        <v/>
      </c>
    </row>
    <row r="2578" customFormat="false" ht="15" hidden="false" customHeight="false" outlineLevel="0" collapsed="false">
      <c r="H2578" s="0" t="str">
        <f aca="false">IF(B2578="","",IF(COUNTIF(Campaigns!$A$7:$A$300,B2578)&gt;0,"✓","⚠ add to Campaigns tab"))</f>
        <v/>
      </c>
      <c r="I2578" s="84" t="str">
        <f aca="false">IF(C2578="","",C2578*IF(Settings!$B$23=Settings!$C$6,1,IF(Settings!$B$23="USD",1/INDEX(Settings!$B$29:$B$40,MONTH(A2578)),INDEX(Settings!$B$29:$B$40,MONTH(A2578)))))</f>
        <v/>
      </c>
    </row>
    <row r="2579" customFormat="false" ht="15" hidden="false" customHeight="false" outlineLevel="0" collapsed="false">
      <c r="H2579" s="0" t="str">
        <f aca="false">IF(B2579="","",IF(COUNTIF(Campaigns!$A$7:$A$300,B2579)&gt;0,"✓","⚠ add to Campaigns tab"))</f>
        <v/>
      </c>
      <c r="I2579" s="84" t="str">
        <f aca="false">IF(C2579="","",C2579*IF(Settings!$B$23=Settings!$C$6,1,IF(Settings!$B$23="USD",1/INDEX(Settings!$B$29:$B$40,MONTH(A2579)),INDEX(Settings!$B$29:$B$40,MONTH(A2579)))))</f>
        <v/>
      </c>
    </row>
    <row r="2580" customFormat="false" ht="15" hidden="false" customHeight="false" outlineLevel="0" collapsed="false">
      <c r="H2580" s="0" t="str">
        <f aca="false">IF(B2580="","",IF(COUNTIF(Campaigns!$A$7:$A$300,B2580)&gt;0,"✓","⚠ add to Campaigns tab"))</f>
        <v/>
      </c>
      <c r="I2580" s="84" t="str">
        <f aca="false">IF(C2580="","",C2580*IF(Settings!$B$23=Settings!$C$6,1,IF(Settings!$B$23="USD",1/INDEX(Settings!$B$29:$B$40,MONTH(A2580)),INDEX(Settings!$B$29:$B$40,MONTH(A2580)))))</f>
        <v/>
      </c>
    </row>
    <row r="2581" customFormat="false" ht="15" hidden="false" customHeight="false" outlineLevel="0" collapsed="false">
      <c r="H2581" s="0" t="str">
        <f aca="false">IF(B2581="","",IF(COUNTIF(Campaigns!$A$7:$A$300,B2581)&gt;0,"✓","⚠ add to Campaigns tab"))</f>
        <v/>
      </c>
      <c r="I2581" s="84" t="str">
        <f aca="false">IF(C2581="","",C2581*IF(Settings!$B$23=Settings!$C$6,1,IF(Settings!$B$23="USD",1/INDEX(Settings!$B$29:$B$40,MONTH(A2581)),INDEX(Settings!$B$29:$B$40,MONTH(A2581)))))</f>
        <v/>
      </c>
    </row>
    <row r="2582" customFormat="false" ht="15" hidden="false" customHeight="false" outlineLevel="0" collapsed="false">
      <c r="H2582" s="0" t="str">
        <f aca="false">IF(B2582="","",IF(COUNTIF(Campaigns!$A$7:$A$300,B2582)&gt;0,"✓","⚠ add to Campaigns tab"))</f>
        <v/>
      </c>
      <c r="I2582" s="84" t="str">
        <f aca="false">IF(C2582="","",C2582*IF(Settings!$B$23=Settings!$C$6,1,IF(Settings!$B$23="USD",1/INDEX(Settings!$B$29:$B$40,MONTH(A2582)),INDEX(Settings!$B$29:$B$40,MONTH(A2582)))))</f>
        <v/>
      </c>
    </row>
    <row r="2583" customFormat="false" ht="15" hidden="false" customHeight="false" outlineLevel="0" collapsed="false">
      <c r="H2583" s="0" t="str">
        <f aca="false">IF(B2583="","",IF(COUNTIF(Campaigns!$A$7:$A$300,B2583)&gt;0,"✓","⚠ add to Campaigns tab"))</f>
        <v/>
      </c>
      <c r="I2583" s="84" t="str">
        <f aca="false">IF(C2583="","",C2583*IF(Settings!$B$23=Settings!$C$6,1,IF(Settings!$B$23="USD",1/INDEX(Settings!$B$29:$B$40,MONTH(A2583)),INDEX(Settings!$B$29:$B$40,MONTH(A2583)))))</f>
        <v/>
      </c>
    </row>
    <row r="2584" customFormat="false" ht="15" hidden="false" customHeight="false" outlineLevel="0" collapsed="false">
      <c r="H2584" s="0" t="str">
        <f aca="false">IF(B2584="","",IF(COUNTIF(Campaigns!$A$7:$A$300,B2584)&gt;0,"✓","⚠ add to Campaigns tab"))</f>
        <v/>
      </c>
      <c r="I2584" s="84" t="str">
        <f aca="false">IF(C2584="","",C2584*IF(Settings!$B$23=Settings!$C$6,1,IF(Settings!$B$23="USD",1/INDEX(Settings!$B$29:$B$40,MONTH(A2584)),INDEX(Settings!$B$29:$B$40,MONTH(A2584)))))</f>
        <v/>
      </c>
    </row>
    <row r="2585" customFormat="false" ht="15" hidden="false" customHeight="false" outlineLevel="0" collapsed="false">
      <c r="H2585" s="0" t="str">
        <f aca="false">IF(B2585="","",IF(COUNTIF(Campaigns!$A$7:$A$300,B2585)&gt;0,"✓","⚠ add to Campaigns tab"))</f>
        <v/>
      </c>
      <c r="I2585" s="84" t="str">
        <f aca="false">IF(C2585="","",C2585*IF(Settings!$B$23=Settings!$C$6,1,IF(Settings!$B$23="USD",1/INDEX(Settings!$B$29:$B$40,MONTH(A2585)),INDEX(Settings!$B$29:$B$40,MONTH(A2585)))))</f>
        <v/>
      </c>
    </row>
    <row r="2586" customFormat="false" ht="15" hidden="false" customHeight="false" outlineLevel="0" collapsed="false">
      <c r="H2586" s="0" t="str">
        <f aca="false">IF(B2586="","",IF(COUNTIF(Campaigns!$A$7:$A$300,B2586)&gt;0,"✓","⚠ add to Campaigns tab"))</f>
        <v/>
      </c>
      <c r="I2586" s="84" t="str">
        <f aca="false">IF(C2586="","",C2586*IF(Settings!$B$23=Settings!$C$6,1,IF(Settings!$B$23="USD",1/INDEX(Settings!$B$29:$B$40,MONTH(A2586)),INDEX(Settings!$B$29:$B$40,MONTH(A2586)))))</f>
        <v/>
      </c>
    </row>
    <row r="2587" customFormat="false" ht="15" hidden="false" customHeight="false" outlineLevel="0" collapsed="false">
      <c r="H2587" s="0" t="str">
        <f aca="false">IF(B2587="","",IF(COUNTIF(Campaigns!$A$7:$A$300,B2587)&gt;0,"✓","⚠ add to Campaigns tab"))</f>
        <v/>
      </c>
      <c r="I2587" s="84" t="str">
        <f aca="false">IF(C2587="","",C2587*IF(Settings!$B$23=Settings!$C$6,1,IF(Settings!$B$23="USD",1/INDEX(Settings!$B$29:$B$40,MONTH(A2587)),INDEX(Settings!$B$29:$B$40,MONTH(A2587)))))</f>
        <v/>
      </c>
    </row>
    <row r="2588" customFormat="false" ht="15" hidden="false" customHeight="false" outlineLevel="0" collapsed="false">
      <c r="H2588" s="0" t="str">
        <f aca="false">IF(B2588="","",IF(COUNTIF(Campaigns!$A$7:$A$300,B2588)&gt;0,"✓","⚠ add to Campaigns tab"))</f>
        <v/>
      </c>
      <c r="I2588" s="84" t="str">
        <f aca="false">IF(C2588="","",C2588*IF(Settings!$B$23=Settings!$C$6,1,IF(Settings!$B$23="USD",1/INDEX(Settings!$B$29:$B$40,MONTH(A2588)),INDEX(Settings!$B$29:$B$40,MONTH(A2588)))))</f>
        <v/>
      </c>
    </row>
    <row r="2589" customFormat="false" ht="15" hidden="false" customHeight="false" outlineLevel="0" collapsed="false">
      <c r="H2589" s="0" t="str">
        <f aca="false">IF(B2589="","",IF(COUNTIF(Campaigns!$A$7:$A$300,B2589)&gt;0,"✓","⚠ add to Campaigns tab"))</f>
        <v/>
      </c>
      <c r="I2589" s="84" t="str">
        <f aca="false">IF(C2589="","",C2589*IF(Settings!$B$23=Settings!$C$6,1,IF(Settings!$B$23="USD",1/INDEX(Settings!$B$29:$B$40,MONTH(A2589)),INDEX(Settings!$B$29:$B$40,MONTH(A2589)))))</f>
        <v/>
      </c>
    </row>
    <row r="2590" customFormat="false" ht="15" hidden="false" customHeight="false" outlineLevel="0" collapsed="false">
      <c r="H2590" s="0" t="str">
        <f aca="false">IF(B2590="","",IF(COUNTIF(Campaigns!$A$7:$A$300,B2590)&gt;0,"✓","⚠ add to Campaigns tab"))</f>
        <v/>
      </c>
      <c r="I2590" s="84" t="str">
        <f aca="false">IF(C2590="","",C2590*IF(Settings!$B$23=Settings!$C$6,1,IF(Settings!$B$23="USD",1/INDEX(Settings!$B$29:$B$40,MONTH(A2590)),INDEX(Settings!$B$29:$B$40,MONTH(A2590)))))</f>
        <v/>
      </c>
    </row>
    <row r="2591" customFormat="false" ht="15" hidden="false" customHeight="false" outlineLevel="0" collapsed="false">
      <c r="H2591" s="0" t="str">
        <f aca="false">IF(B2591="","",IF(COUNTIF(Campaigns!$A$7:$A$300,B2591)&gt;0,"✓","⚠ add to Campaigns tab"))</f>
        <v/>
      </c>
      <c r="I2591" s="84" t="str">
        <f aca="false">IF(C2591="","",C2591*IF(Settings!$B$23=Settings!$C$6,1,IF(Settings!$B$23="USD",1/INDEX(Settings!$B$29:$B$40,MONTH(A2591)),INDEX(Settings!$B$29:$B$40,MONTH(A2591)))))</f>
        <v/>
      </c>
    </row>
    <row r="2592" customFormat="false" ht="15" hidden="false" customHeight="false" outlineLevel="0" collapsed="false">
      <c r="H2592" s="0" t="str">
        <f aca="false">IF(B2592="","",IF(COUNTIF(Campaigns!$A$7:$A$300,B2592)&gt;0,"✓","⚠ add to Campaigns tab"))</f>
        <v/>
      </c>
      <c r="I2592" s="84" t="str">
        <f aca="false">IF(C2592="","",C2592*IF(Settings!$B$23=Settings!$C$6,1,IF(Settings!$B$23="USD",1/INDEX(Settings!$B$29:$B$40,MONTH(A2592)),INDEX(Settings!$B$29:$B$40,MONTH(A2592)))))</f>
        <v/>
      </c>
    </row>
    <row r="2593" customFormat="false" ht="15" hidden="false" customHeight="false" outlineLevel="0" collapsed="false">
      <c r="H2593" s="0" t="str">
        <f aca="false">IF(B2593="","",IF(COUNTIF(Campaigns!$A$7:$A$300,B2593)&gt;0,"✓","⚠ add to Campaigns tab"))</f>
        <v/>
      </c>
      <c r="I2593" s="84" t="str">
        <f aca="false">IF(C2593="","",C2593*IF(Settings!$B$23=Settings!$C$6,1,IF(Settings!$B$23="USD",1/INDEX(Settings!$B$29:$B$40,MONTH(A2593)),INDEX(Settings!$B$29:$B$40,MONTH(A2593)))))</f>
        <v/>
      </c>
    </row>
    <row r="2594" customFormat="false" ht="15" hidden="false" customHeight="false" outlineLevel="0" collapsed="false">
      <c r="H2594" s="0" t="str">
        <f aca="false">IF(B2594="","",IF(COUNTIF(Campaigns!$A$7:$A$300,B2594)&gt;0,"✓","⚠ add to Campaigns tab"))</f>
        <v/>
      </c>
      <c r="I2594" s="84" t="str">
        <f aca="false">IF(C2594="","",C2594*IF(Settings!$B$23=Settings!$C$6,1,IF(Settings!$B$23="USD",1/INDEX(Settings!$B$29:$B$40,MONTH(A2594)),INDEX(Settings!$B$29:$B$40,MONTH(A2594)))))</f>
        <v/>
      </c>
    </row>
    <row r="2595" customFormat="false" ht="15" hidden="false" customHeight="false" outlineLevel="0" collapsed="false">
      <c r="H2595" s="0" t="str">
        <f aca="false">IF(B2595="","",IF(COUNTIF(Campaigns!$A$7:$A$300,B2595)&gt;0,"✓","⚠ add to Campaigns tab"))</f>
        <v/>
      </c>
      <c r="I2595" s="84" t="str">
        <f aca="false">IF(C2595="","",C2595*IF(Settings!$B$23=Settings!$C$6,1,IF(Settings!$B$23="USD",1/INDEX(Settings!$B$29:$B$40,MONTH(A2595)),INDEX(Settings!$B$29:$B$40,MONTH(A2595)))))</f>
        <v/>
      </c>
    </row>
    <row r="2596" customFormat="false" ht="15" hidden="false" customHeight="false" outlineLevel="0" collapsed="false">
      <c r="H2596" s="0" t="str">
        <f aca="false">IF(B2596="","",IF(COUNTIF(Campaigns!$A$7:$A$300,B2596)&gt;0,"✓","⚠ add to Campaigns tab"))</f>
        <v/>
      </c>
      <c r="I2596" s="84" t="str">
        <f aca="false">IF(C2596="","",C2596*IF(Settings!$B$23=Settings!$C$6,1,IF(Settings!$B$23="USD",1/INDEX(Settings!$B$29:$B$40,MONTH(A2596)),INDEX(Settings!$B$29:$B$40,MONTH(A2596)))))</f>
        <v/>
      </c>
    </row>
    <row r="2597" customFormat="false" ht="15" hidden="false" customHeight="false" outlineLevel="0" collapsed="false">
      <c r="H2597" s="0" t="str">
        <f aca="false">IF(B2597="","",IF(COUNTIF(Campaigns!$A$7:$A$300,B2597)&gt;0,"✓","⚠ add to Campaigns tab"))</f>
        <v/>
      </c>
      <c r="I2597" s="84" t="str">
        <f aca="false">IF(C2597="","",C2597*IF(Settings!$B$23=Settings!$C$6,1,IF(Settings!$B$23="USD",1/INDEX(Settings!$B$29:$B$40,MONTH(A2597)),INDEX(Settings!$B$29:$B$40,MONTH(A2597)))))</f>
        <v/>
      </c>
    </row>
    <row r="2598" customFormat="false" ht="15" hidden="false" customHeight="false" outlineLevel="0" collapsed="false">
      <c r="H2598" s="0" t="str">
        <f aca="false">IF(B2598="","",IF(COUNTIF(Campaigns!$A$7:$A$300,B2598)&gt;0,"✓","⚠ add to Campaigns tab"))</f>
        <v/>
      </c>
      <c r="I2598" s="84" t="str">
        <f aca="false">IF(C2598="","",C2598*IF(Settings!$B$23=Settings!$C$6,1,IF(Settings!$B$23="USD",1/INDEX(Settings!$B$29:$B$40,MONTH(A2598)),INDEX(Settings!$B$29:$B$40,MONTH(A2598)))))</f>
        <v/>
      </c>
    </row>
    <row r="2599" customFormat="false" ht="15" hidden="false" customHeight="false" outlineLevel="0" collapsed="false">
      <c r="H2599" s="0" t="str">
        <f aca="false">IF(B2599="","",IF(COUNTIF(Campaigns!$A$7:$A$300,B2599)&gt;0,"✓","⚠ add to Campaigns tab"))</f>
        <v/>
      </c>
      <c r="I2599" s="84" t="str">
        <f aca="false">IF(C2599="","",C2599*IF(Settings!$B$23=Settings!$C$6,1,IF(Settings!$B$23="USD",1/INDEX(Settings!$B$29:$B$40,MONTH(A2599)),INDEX(Settings!$B$29:$B$40,MONTH(A2599)))))</f>
        <v/>
      </c>
    </row>
    <row r="2600" customFormat="false" ht="15" hidden="false" customHeight="false" outlineLevel="0" collapsed="false">
      <c r="H2600" s="0" t="str">
        <f aca="false">IF(B2600="","",IF(COUNTIF(Campaigns!$A$7:$A$300,B2600)&gt;0,"✓","⚠ add to Campaigns tab"))</f>
        <v/>
      </c>
      <c r="I2600" s="84" t="str">
        <f aca="false">IF(C2600="","",C2600*IF(Settings!$B$23=Settings!$C$6,1,IF(Settings!$B$23="USD",1/INDEX(Settings!$B$29:$B$40,MONTH(A2600)),INDEX(Settings!$B$29:$B$40,MONTH(A2600)))))</f>
        <v/>
      </c>
    </row>
    <row r="2601" customFormat="false" ht="15" hidden="false" customHeight="false" outlineLevel="0" collapsed="false">
      <c r="H2601" s="0" t="str">
        <f aca="false">IF(B2601="","",IF(COUNTIF(Campaigns!$A$7:$A$300,B2601)&gt;0,"✓","⚠ add to Campaigns tab"))</f>
        <v/>
      </c>
      <c r="I2601" s="84" t="str">
        <f aca="false">IF(C2601="","",C2601*IF(Settings!$B$23=Settings!$C$6,1,IF(Settings!$B$23="USD",1/INDEX(Settings!$B$29:$B$40,MONTH(A2601)),INDEX(Settings!$B$29:$B$40,MONTH(A2601)))))</f>
        <v/>
      </c>
    </row>
    <row r="2602" customFormat="false" ht="15" hidden="false" customHeight="false" outlineLevel="0" collapsed="false">
      <c r="H2602" s="0" t="str">
        <f aca="false">IF(B2602="","",IF(COUNTIF(Campaigns!$A$7:$A$300,B2602)&gt;0,"✓","⚠ add to Campaigns tab"))</f>
        <v/>
      </c>
      <c r="I2602" s="84" t="str">
        <f aca="false">IF(C2602="","",C2602*IF(Settings!$B$23=Settings!$C$6,1,IF(Settings!$B$23="USD",1/INDEX(Settings!$B$29:$B$40,MONTH(A2602)),INDEX(Settings!$B$29:$B$40,MONTH(A2602)))))</f>
        <v/>
      </c>
    </row>
    <row r="2603" customFormat="false" ht="15" hidden="false" customHeight="false" outlineLevel="0" collapsed="false">
      <c r="H2603" s="0" t="str">
        <f aca="false">IF(B2603="","",IF(COUNTIF(Campaigns!$A$7:$A$300,B2603)&gt;0,"✓","⚠ add to Campaigns tab"))</f>
        <v/>
      </c>
      <c r="I2603" s="84" t="str">
        <f aca="false">IF(C2603="","",C2603*IF(Settings!$B$23=Settings!$C$6,1,IF(Settings!$B$23="USD",1/INDEX(Settings!$B$29:$B$40,MONTH(A2603)),INDEX(Settings!$B$29:$B$40,MONTH(A2603)))))</f>
        <v/>
      </c>
    </row>
    <row r="2604" customFormat="false" ht="15" hidden="false" customHeight="false" outlineLevel="0" collapsed="false">
      <c r="H2604" s="0" t="str">
        <f aca="false">IF(B2604="","",IF(COUNTIF(Campaigns!$A$7:$A$300,B2604)&gt;0,"✓","⚠ add to Campaigns tab"))</f>
        <v/>
      </c>
      <c r="I2604" s="84" t="str">
        <f aca="false">IF(C2604="","",C2604*IF(Settings!$B$23=Settings!$C$6,1,IF(Settings!$B$23="USD",1/INDEX(Settings!$B$29:$B$40,MONTH(A2604)),INDEX(Settings!$B$29:$B$40,MONTH(A2604)))))</f>
        <v/>
      </c>
    </row>
    <row r="2605" customFormat="false" ht="15" hidden="false" customHeight="false" outlineLevel="0" collapsed="false">
      <c r="H2605" s="0" t="str">
        <f aca="false">IF(B2605="","",IF(COUNTIF(Campaigns!$A$7:$A$300,B2605)&gt;0,"✓","⚠ add to Campaigns tab"))</f>
        <v/>
      </c>
      <c r="I2605" s="84" t="str">
        <f aca="false">IF(C2605="","",C2605*IF(Settings!$B$23=Settings!$C$6,1,IF(Settings!$B$23="USD",1/INDEX(Settings!$B$29:$B$40,MONTH(A2605)),INDEX(Settings!$B$29:$B$40,MONTH(A2605)))))</f>
        <v/>
      </c>
    </row>
    <row r="2606" customFormat="false" ht="15" hidden="false" customHeight="false" outlineLevel="0" collapsed="false">
      <c r="H2606" s="0" t="str">
        <f aca="false">IF(B2606="","",IF(COUNTIF(Campaigns!$A$7:$A$300,B2606)&gt;0,"✓","⚠ add to Campaigns tab"))</f>
        <v/>
      </c>
      <c r="I2606" s="84" t="str">
        <f aca="false">IF(C2606="","",C2606*IF(Settings!$B$23=Settings!$C$6,1,IF(Settings!$B$23="USD",1/INDEX(Settings!$B$29:$B$40,MONTH(A2606)),INDEX(Settings!$B$29:$B$40,MONTH(A2606)))))</f>
        <v/>
      </c>
    </row>
    <row r="2607" customFormat="false" ht="15" hidden="false" customHeight="false" outlineLevel="0" collapsed="false">
      <c r="H2607" s="0" t="str">
        <f aca="false">IF(B2607="","",IF(COUNTIF(Campaigns!$A$7:$A$300,B2607)&gt;0,"✓","⚠ add to Campaigns tab"))</f>
        <v/>
      </c>
      <c r="I2607" s="84" t="str">
        <f aca="false">IF(C2607="","",C2607*IF(Settings!$B$23=Settings!$C$6,1,IF(Settings!$B$23="USD",1/INDEX(Settings!$B$29:$B$40,MONTH(A2607)),INDEX(Settings!$B$29:$B$40,MONTH(A2607)))))</f>
        <v/>
      </c>
    </row>
    <row r="2608" customFormat="false" ht="15" hidden="false" customHeight="false" outlineLevel="0" collapsed="false">
      <c r="H2608" s="0" t="str">
        <f aca="false">IF(B2608="","",IF(COUNTIF(Campaigns!$A$7:$A$300,B2608)&gt;0,"✓","⚠ add to Campaigns tab"))</f>
        <v/>
      </c>
      <c r="I2608" s="84" t="str">
        <f aca="false">IF(C2608="","",C2608*IF(Settings!$B$23=Settings!$C$6,1,IF(Settings!$B$23="USD",1/INDEX(Settings!$B$29:$B$40,MONTH(A2608)),INDEX(Settings!$B$29:$B$40,MONTH(A2608)))))</f>
        <v/>
      </c>
    </row>
    <row r="2609" customFormat="false" ht="15" hidden="false" customHeight="false" outlineLevel="0" collapsed="false">
      <c r="H2609" s="0" t="str">
        <f aca="false">IF(B2609="","",IF(COUNTIF(Campaigns!$A$7:$A$300,B2609)&gt;0,"✓","⚠ add to Campaigns tab"))</f>
        <v/>
      </c>
      <c r="I2609" s="84" t="str">
        <f aca="false">IF(C2609="","",C2609*IF(Settings!$B$23=Settings!$C$6,1,IF(Settings!$B$23="USD",1/INDEX(Settings!$B$29:$B$40,MONTH(A2609)),INDEX(Settings!$B$29:$B$40,MONTH(A2609)))))</f>
        <v/>
      </c>
    </row>
    <row r="2610" customFormat="false" ht="15" hidden="false" customHeight="false" outlineLevel="0" collapsed="false">
      <c r="H2610" s="0" t="str">
        <f aca="false">IF(B2610="","",IF(COUNTIF(Campaigns!$A$7:$A$300,B2610)&gt;0,"✓","⚠ add to Campaigns tab"))</f>
        <v/>
      </c>
      <c r="I2610" s="84" t="str">
        <f aca="false">IF(C2610="","",C2610*IF(Settings!$B$23=Settings!$C$6,1,IF(Settings!$B$23="USD",1/INDEX(Settings!$B$29:$B$40,MONTH(A2610)),INDEX(Settings!$B$29:$B$40,MONTH(A2610)))))</f>
        <v/>
      </c>
    </row>
    <row r="2611" customFormat="false" ht="15" hidden="false" customHeight="false" outlineLevel="0" collapsed="false">
      <c r="H2611" s="0" t="str">
        <f aca="false">IF(B2611="","",IF(COUNTIF(Campaigns!$A$7:$A$300,B2611)&gt;0,"✓","⚠ add to Campaigns tab"))</f>
        <v/>
      </c>
      <c r="I2611" s="84" t="str">
        <f aca="false">IF(C2611="","",C2611*IF(Settings!$B$23=Settings!$C$6,1,IF(Settings!$B$23="USD",1/INDEX(Settings!$B$29:$B$40,MONTH(A2611)),INDEX(Settings!$B$29:$B$40,MONTH(A2611)))))</f>
        <v/>
      </c>
    </row>
    <row r="2612" customFormat="false" ht="15" hidden="false" customHeight="false" outlineLevel="0" collapsed="false">
      <c r="H2612" s="0" t="str">
        <f aca="false">IF(B2612="","",IF(COUNTIF(Campaigns!$A$7:$A$300,B2612)&gt;0,"✓","⚠ add to Campaigns tab"))</f>
        <v/>
      </c>
      <c r="I2612" s="84" t="str">
        <f aca="false">IF(C2612="","",C2612*IF(Settings!$B$23=Settings!$C$6,1,IF(Settings!$B$23="USD",1/INDEX(Settings!$B$29:$B$40,MONTH(A2612)),INDEX(Settings!$B$29:$B$40,MONTH(A2612)))))</f>
        <v/>
      </c>
    </row>
    <row r="2613" customFormat="false" ht="15" hidden="false" customHeight="false" outlineLevel="0" collapsed="false">
      <c r="H2613" s="0" t="str">
        <f aca="false">IF(B2613="","",IF(COUNTIF(Campaigns!$A$7:$A$300,B2613)&gt;0,"✓","⚠ add to Campaigns tab"))</f>
        <v/>
      </c>
      <c r="I2613" s="84" t="str">
        <f aca="false">IF(C2613="","",C2613*IF(Settings!$B$23=Settings!$C$6,1,IF(Settings!$B$23="USD",1/INDEX(Settings!$B$29:$B$40,MONTH(A2613)),INDEX(Settings!$B$29:$B$40,MONTH(A2613)))))</f>
        <v/>
      </c>
    </row>
    <row r="2614" customFormat="false" ht="15" hidden="false" customHeight="false" outlineLevel="0" collapsed="false">
      <c r="H2614" s="0" t="str">
        <f aca="false">IF(B2614="","",IF(COUNTIF(Campaigns!$A$7:$A$300,B2614)&gt;0,"✓","⚠ add to Campaigns tab"))</f>
        <v/>
      </c>
      <c r="I2614" s="84" t="str">
        <f aca="false">IF(C2614="","",C2614*IF(Settings!$B$23=Settings!$C$6,1,IF(Settings!$B$23="USD",1/INDEX(Settings!$B$29:$B$40,MONTH(A2614)),INDEX(Settings!$B$29:$B$40,MONTH(A2614)))))</f>
        <v/>
      </c>
    </row>
    <row r="2615" customFormat="false" ht="15" hidden="false" customHeight="false" outlineLevel="0" collapsed="false">
      <c r="H2615" s="0" t="str">
        <f aca="false">IF(B2615="","",IF(COUNTIF(Campaigns!$A$7:$A$300,B2615)&gt;0,"✓","⚠ add to Campaigns tab"))</f>
        <v/>
      </c>
      <c r="I2615" s="84" t="str">
        <f aca="false">IF(C2615="","",C2615*IF(Settings!$B$23=Settings!$C$6,1,IF(Settings!$B$23="USD",1/INDEX(Settings!$B$29:$B$40,MONTH(A2615)),INDEX(Settings!$B$29:$B$40,MONTH(A2615)))))</f>
        <v/>
      </c>
    </row>
    <row r="2616" customFormat="false" ht="15" hidden="false" customHeight="false" outlineLevel="0" collapsed="false">
      <c r="H2616" s="0" t="str">
        <f aca="false">IF(B2616="","",IF(COUNTIF(Campaigns!$A$7:$A$300,B2616)&gt;0,"✓","⚠ add to Campaigns tab"))</f>
        <v/>
      </c>
      <c r="I2616" s="84" t="str">
        <f aca="false">IF(C2616="","",C2616*IF(Settings!$B$23=Settings!$C$6,1,IF(Settings!$B$23="USD",1/INDEX(Settings!$B$29:$B$40,MONTH(A2616)),INDEX(Settings!$B$29:$B$40,MONTH(A2616)))))</f>
        <v/>
      </c>
    </row>
    <row r="2617" customFormat="false" ht="15" hidden="false" customHeight="false" outlineLevel="0" collapsed="false">
      <c r="H2617" s="0" t="str">
        <f aca="false">IF(B2617="","",IF(COUNTIF(Campaigns!$A$7:$A$300,B2617)&gt;0,"✓","⚠ add to Campaigns tab"))</f>
        <v/>
      </c>
      <c r="I2617" s="84" t="str">
        <f aca="false">IF(C2617="","",C2617*IF(Settings!$B$23=Settings!$C$6,1,IF(Settings!$B$23="USD",1/INDEX(Settings!$B$29:$B$40,MONTH(A2617)),INDEX(Settings!$B$29:$B$40,MONTH(A2617)))))</f>
        <v/>
      </c>
    </row>
    <row r="2618" customFormat="false" ht="15" hidden="false" customHeight="false" outlineLevel="0" collapsed="false">
      <c r="H2618" s="0" t="str">
        <f aca="false">IF(B2618="","",IF(COUNTIF(Campaigns!$A$7:$A$300,B2618)&gt;0,"✓","⚠ add to Campaigns tab"))</f>
        <v/>
      </c>
      <c r="I2618" s="84" t="str">
        <f aca="false">IF(C2618="","",C2618*IF(Settings!$B$23=Settings!$C$6,1,IF(Settings!$B$23="USD",1/INDEX(Settings!$B$29:$B$40,MONTH(A2618)),INDEX(Settings!$B$29:$B$40,MONTH(A2618)))))</f>
        <v/>
      </c>
    </row>
    <row r="2619" customFormat="false" ht="15" hidden="false" customHeight="false" outlineLevel="0" collapsed="false">
      <c r="H2619" s="0" t="str">
        <f aca="false">IF(B2619="","",IF(COUNTIF(Campaigns!$A$7:$A$300,B2619)&gt;0,"✓","⚠ add to Campaigns tab"))</f>
        <v/>
      </c>
      <c r="I2619" s="84" t="str">
        <f aca="false">IF(C2619="","",C2619*IF(Settings!$B$23=Settings!$C$6,1,IF(Settings!$B$23="USD",1/INDEX(Settings!$B$29:$B$40,MONTH(A2619)),INDEX(Settings!$B$29:$B$40,MONTH(A2619)))))</f>
        <v/>
      </c>
    </row>
    <row r="2620" customFormat="false" ht="15" hidden="false" customHeight="false" outlineLevel="0" collapsed="false">
      <c r="H2620" s="0" t="str">
        <f aca="false">IF(B2620="","",IF(COUNTIF(Campaigns!$A$7:$A$300,B2620)&gt;0,"✓","⚠ add to Campaigns tab"))</f>
        <v/>
      </c>
      <c r="I2620" s="84" t="str">
        <f aca="false">IF(C2620="","",C2620*IF(Settings!$B$23=Settings!$C$6,1,IF(Settings!$B$23="USD",1/INDEX(Settings!$B$29:$B$40,MONTH(A2620)),INDEX(Settings!$B$29:$B$40,MONTH(A2620)))))</f>
        <v/>
      </c>
    </row>
    <row r="2621" customFormat="false" ht="15" hidden="false" customHeight="false" outlineLevel="0" collapsed="false">
      <c r="H2621" s="0" t="str">
        <f aca="false">IF(B2621="","",IF(COUNTIF(Campaigns!$A$7:$A$300,B2621)&gt;0,"✓","⚠ add to Campaigns tab"))</f>
        <v/>
      </c>
      <c r="I2621" s="84" t="str">
        <f aca="false">IF(C2621="","",C2621*IF(Settings!$B$23=Settings!$C$6,1,IF(Settings!$B$23="USD",1/INDEX(Settings!$B$29:$B$40,MONTH(A2621)),INDEX(Settings!$B$29:$B$40,MONTH(A2621)))))</f>
        <v/>
      </c>
    </row>
    <row r="2622" customFormat="false" ht="15" hidden="false" customHeight="false" outlineLevel="0" collapsed="false">
      <c r="H2622" s="0" t="str">
        <f aca="false">IF(B2622="","",IF(COUNTIF(Campaigns!$A$7:$A$300,B2622)&gt;0,"✓","⚠ add to Campaigns tab"))</f>
        <v/>
      </c>
      <c r="I2622" s="84" t="str">
        <f aca="false">IF(C2622="","",C2622*IF(Settings!$B$23=Settings!$C$6,1,IF(Settings!$B$23="USD",1/INDEX(Settings!$B$29:$B$40,MONTH(A2622)),INDEX(Settings!$B$29:$B$40,MONTH(A2622)))))</f>
        <v/>
      </c>
    </row>
    <row r="2623" customFormat="false" ht="15" hidden="false" customHeight="false" outlineLevel="0" collapsed="false">
      <c r="H2623" s="0" t="str">
        <f aca="false">IF(B2623="","",IF(COUNTIF(Campaigns!$A$7:$A$300,B2623)&gt;0,"✓","⚠ add to Campaigns tab"))</f>
        <v/>
      </c>
      <c r="I2623" s="84" t="str">
        <f aca="false">IF(C2623="","",C2623*IF(Settings!$B$23=Settings!$C$6,1,IF(Settings!$B$23="USD",1/INDEX(Settings!$B$29:$B$40,MONTH(A2623)),INDEX(Settings!$B$29:$B$40,MONTH(A2623)))))</f>
        <v/>
      </c>
    </row>
    <row r="2624" customFormat="false" ht="15" hidden="false" customHeight="false" outlineLevel="0" collapsed="false">
      <c r="H2624" s="0" t="str">
        <f aca="false">IF(B2624="","",IF(COUNTIF(Campaigns!$A$7:$A$300,B2624)&gt;0,"✓","⚠ add to Campaigns tab"))</f>
        <v/>
      </c>
      <c r="I2624" s="84" t="str">
        <f aca="false">IF(C2624="","",C2624*IF(Settings!$B$23=Settings!$C$6,1,IF(Settings!$B$23="USD",1/INDEX(Settings!$B$29:$B$40,MONTH(A2624)),INDEX(Settings!$B$29:$B$40,MONTH(A2624)))))</f>
        <v/>
      </c>
    </row>
    <row r="2625" customFormat="false" ht="15" hidden="false" customHeight="false" outlineLevel="0" collapsed="false">
      <c r="H2625" s="0" t="str">
        <f aca="false">IF(B2625="","",IF(COUNTIF(Campaigns!$A$7:$A$300,B2625)&gt;0,"✓","⚠ add to Campaigns tab"))</f>
        <v/>
      </c>
      <c r="I2625" s="84" t="str">
        <f aca="false">IF(C2625="","",C2625*IF(Settings!$B$23=Settings!$C$6,1,IF(Settings!$B$23="USD",1/INDEX(Settings!$B$29:$B$40,MONTH(A2625)),INDEX(Settings!$B$29:$B$40,MONTH(A2625)))))</f>
        <v/>
      </c>
    </row>
    <row r="2626" customFormat="false" ht="15" hidden="false" customHeight="false" outlineLevel="0" collapsed="false">
      <c r="H2626" s="0" t="str">
        <f aca="false">IF(B2626="","",IF(COUNTIF(Campaigns!$A$7:$A$300,B2626)&gt;0,"✓","⚠ add to Campaigns tab"))</f>
        <v/>
      </c>
      <c r="I2626" s="84" t="str">
        <f aca="false">IF(C2626="","",C2626*IF(Settings!$B$23=Settings!$C$6,1,IF(Settings!$B$23="USD",1/INDEX(Settings!$B$29:$B$40,MONTH(A2626)),INDEX(Settings!$B$29:$B$40,MONTH(A2626)))))</f>
        <v/>
      </c>
    </row>
    <row r="2627" customFormat="false" ht="15" hidden="false" customHeight="false" outlineLevel="0" collapsed="false">
      <c r="H2627" s="0" t="str">
        <f aca="false">IF(B2627="","",IF(COUNTIF(Campaigns!$A$7:$A$300,B2627)&gt;0,"✓","⚠ add to Campaigns tab"))</f>
        <v/>
      </c>
      <c r="I2627" s="84" t="str">
        <f aca="false">IF(C2627="","",C2627*IF(Settings!$B$23=Settings!$C$6,1,IF(Settings!$B$23="USD",1/INDEX(Settings!$B$29:$B$40,MONTH(A2627)),INDEX(Settings!$B$29:$B$40,MONTH(A2627)))))</f>
        <v/>
      </c>
    </row>
    <row r="2628" customFormat="false" ht="15" hidden="false" customHeight="false" outlineLevel="0" collapsed="false">
      <c r="H2628" s="0" t="str">
        <f aca="false">IF(B2628="","",IF(COUNTIF(Campaigns!$A$7:$A$300,B2628)&gt;0,"✓","⚠ add to Campaigns tab"))</f>
        <v/>
      </c>
      <c r="I2628" s="84" t="str">
        <f aca="false">IF(C2628="","",C2628*IF(Settings!$B$23=Settings!$C$6,1,IF(Settings!$B$23="USD",1/INDEX(Settings!$B$29:$B$40,MONTH(A2628)),INDEX(Settings!$B$29:$B$40,MONTH(A2628)))))</f>
        <v/>
      </c>
    </row>
    <row r="2629" customFormat="false" ht="15" hidden="false" customHeight="false" outlineLevel="0" collapsed="false">
      <c r="H2629" s="0" t="str">
        <f aca="false">IF(B2629="","",IF(COUNTIF(Campaigns!$A$7:$A$300,B2629)&gt;0,"✓","⚠ add to Campaigns tab"))</f>
        <v/>
      </c>
      <c r="I2629" s="84" t="str">
        <f aca="false">IF(C2629="","",C2629*IF(Settings!$B$23=Settings!$C$6,1,IF(Settings!$B$23="USD",1/INDEX(Settings!$B$29:$B$40,MONTH(A2629)),INDEX(Settings!$B$29:$B$40,MONTH(A2629)))))</f>
        <v/>
      </c>
    </row>
    <row r="2630" customFormat="false" ht="15" hidden="false" customHeight="false" outlineLevel="0" collapsed="false">
      <c r="H2630" s="0" t="str">
        <f aca="false">IF(B2630="","",IF(COUNTIF(Campaigns!$A$7:$A$300,B2630)&gt;0,"✓","⚠ add to Campaigns tab"))</f>
        <v/>
      </c>
      <c r="I2630" s="84" t="str">
        <f aca="false">IF(C2630="","",C2630*IF(Settings!$B$23=Settings!$C$6,1,IF(Settings!$B$23="USD",1/INDEX(Settings!$B$29:$B$40,MONTH(A2630)),INDEX(Settings!$B$29:$B$40,MONTH(A2630)))))</f>
        <v/>
      </c>
    </row>
    <row r="2631" customFormat="false" ht="15" hidden="false" customHeight="false" outlineLevel="0" collapsed="false">
      <c r="H2631" s="0" t="str">
        <f aca="false">IF(B2631="","",IF(COUNTIF(Campaigns!$A$7:$A$300,B2631)&gt;0,"✓","⚠ add to Campaigns tab"))</f>
        <v/>
      </c>
      <c r="I2631" s="84" t="str">
        <f aca="false">IF(C2631="","",C2631*IF(Settings!$B$23=Settings!$C$6,1,IF(Settings!$B$23="USD",1/INDEX(Settings!$B$29:$B$40,MONTH(A2631)),INDEX(Settings!$B$29:$B$40,MONTH(A2631)))))</f>
        <v/>
      </c>
    </row>
    <row r="2632" customFormat="false" ht="15" hidden="false" customHeight="false" outlineLevel="0" collapsed="false">
      <c r="H2632" s="0" t="str">
        <f aca="false">IF(B2632="","",IF(COUNTIF(Campaigns!$A$7:$A$300,B2632)&gt;0,"✓","⚠ add to Campaigns tab"))</f>
        <v/>
      </c>
      <c r="I2632" s="84" t="str">
        <f aca="false">IF(C2632="","",C2632*IF(Settings!$B$23=Settings!$C$6,1,IF(Settings!$B$23="USD",1/INDEX(Settings!$B$29:$B$40,MONTH(A2632)),INDEX(Settings!$B$29:$B$40,MONTH(A2632)))))</f>
        <v/>
      </c>
    </row>
    <row r="2633" customFormat="false" ht="15" hidden="false" customHeight="false" outlineLevel="0" collapsed="false">
      <c r="H2633" s="0" t="str">
        <f aca="false">IF(B2633="","",IF(COUNTIF(Campaigns!$A$7:$A$300,B2633)&gt;0,"✓","⚠ add to Campaigns tab"))</f>
        <v/>
      </c>
      <c r="I2633" s="84" t="str">
        <f aca="false">IF(C2633="","",C2633*IF(Settings!$B$23=Settings!$C$6,1,IF(Settings!$B$23="USD",1/INDEX(Settings!$B$29:$B$40,MONTH(A2633)),INDEX(Settings!$B$29:$B$40,MONTH(A2633)))))</f>
        <v/>
      </c>
    </row>
    <row r="2634" customFormat="false" ht="15" hidden="false" customHeight="false" outlineLevel="0" collapsed="false">
      <c r="H2634" s="0" t="str">
        <f aca="false">IF(B2634="","",IF(COUNTIF(Campaigns!$A$7:$A$300,B2634)&gt;0,"✓","⚠ add to Campaigns tab"))</f>
        <v/>
      </c>
      <c r="I2634" s="84" t="str">
        <f aca="false">IF(C2634="","",C2634*IF(Settings!$B$23=Settings!$C$6,1,IF(Settings!$B$23="USD",1/INDEX(Settings!$B$29:$B$40,MONTH(A2634)),INDEX(Settings!$B$29:$B$40,MONTH(A2634)))))</f>
        <v/>
      </c>
    </row>
    <row r="2635" customFormat="false" ht="15" hidden="false" customHeight="false" outlineLevel="0" collapsed="false">
      <c r="H2635" s="0" t="str">
        <f aca="false">IF(B2635="","",IF(COUNTIF(Campaigns!$A$7:$A$300,B2635)&gt;0,"✓","⚠ add to Campaigns tab"))</f>
        <v/>
      </c>
      <c r="I2635" s="84" t="str">
        <f aca="false">IF(C2635="","",C2635*IF(Settings!$B$23=Settings!$C$6,1,IF(Settings!$B$23="USD",1/INDEX(Settings!$B$29:$B$40,MONTH(A2635)),INDEX(Settings!$B$29:$B$40,MONTH(A2635)))))</f>
        <v/>
      </c>
    </row>
    <row r="2636" customFormat="false" ht="15" hidden="false" customHeight="false" outlineLevel="0" collapsed="false">
      <c r="H2636" s="0" t="str">
        <f aca="false">IF(B2636="","",IF(COUNTIF(Campaigns!$A$7:$A$300,B2636)&gt;0,"✓","⚠ add to Campaigns tab"))</f>
        <v/>
      </c>
      <c r="I2636" s="84" t="str">
        <f aca="false">IF(C2636="","",C2636*IF(Settings!$B$23=Settings!$C$6,1,IF(Settings!$B$23="USD",1/INDEX(Settings!$B$29:$B$40,MONTH(A2636)),INDEX(Settings!$B$29:$B$40,MONTH(A2636)))))</f>
        <v/>
      </c>
    </row>
    <row r="2637" customFormat="false" ht="15" hidden="false" customHeight="false" outlineLevel="0" collapsed="false">
      <c r="H2637" s="0" t="str">
        <f aca="false">IF(B2637="","",IF(COUNTIF(Campaigns!$A$7:$A$300,B2637)&gt;0,"✓","⚠ add to Campaigns tab"))</f>
        <v/>
      </c>
      <c r="I2637" s="84" t="str">
        <f aca="false">IF(C2637="","",C2637*IF(Settings!$B$23=Settings!$C$6,1,IF(Settings!$B$23="USD",1/INDEX(Settings!$B$29:$B$40,MONTH(A2637)),INDEX(Settings!$B$29:$B$40,MONTH(A2637)))))</f>
        <v/>
      </c>
    </row>
    <row r="2638" customFormat="false" ht="15" hidden="false" customHeight="false" outlineLevel="0" collapsed="false">
      <c r="H2638" s="0" t="str">
        <f aca="false">IF(B2638="","",IF(COUNTIF(Campaigns!$A$7:$A$300,B2638)&gt;0,"✓","⚠ add to Campaigns tab"))</f>
        <v/>
      </c>
      <c r="I2638" s="84" t="str">
        <f aca="false">IF(C2638="","",C2638*IF(Settings!$B$23=Settings!$C$6,1,IF(Settings!$B$23="USD",1/INDEX(Settings!$B$29:$B$40,MONTH(A2638)),INDEX(Settings!$B$29:$B$40,MONTH(A2638)))))</f>
        <v/>
      </c>
    </row>
    <row r="2639" customFormat="false" ht="15" hidden="false" customHeight="false" outlineLevel="0" collapsed="false">
      <c r="H2639" s="0" t="str">
        <f aca="false">IF(B2639="","",IF(COUNTIF(Campaigns!$A$7:$A$300,B2639)&gt;0,"✓","⚠ add to Campaigns tab"))</f>
        <v/>
      </c>
      <c r="I2639" s="84" t="str">
        <f aca="false">IF(C2639="","",C2639*IF(Settings!$B$23=Settings!$C$6,1,IF(Settings!$B$23="USD",1/INDEX(Settings!$B$29:$B$40,MONTH(A2639)),INDEX(Settings!$B$29:$B$40,MONTH(A2639)))))</f>
        <v/>
      </c>
    </row>
    <row r="2640" customFormat="false" ht="15" hidden="false" customHeight="false" outlineLevel="0" collapsed="false">
      <c r="H2640" s="0" t="str">
        <f aca="false">IF(B2640="","",IF(COUNTIF(Campaigns!$A$7:$A$300,B2640)&gt;0,"✓","⚠ add to Campaigns tab"))</f>
        <v/>
      </c>
      <c r="I2640" s="84" t="str">
        <f aca="false">IF(C2640="","",C2640*IF(Settings!$B$23=Settings!$C$6,1,IF(Settings!$B$23="USD",1/INDEX(Settings!$B$29:$B$40,MONTH(A2640)),INDEX(Settings!$B$29:$B$40,MONTH(A2640)))))</f>
        <v/>
      </c>
    </row>
    <row r="2641" customFormat="false" ht="15" hidden="false" customHeight="false" outlineLevel="0" collapsed="false">
      <c r="H2641" s="0" t="str">
        <f aca="false">IF(B2641="","",IF(COUNTIF(Campaigns!$A$7:$A$300,B2641)&gt;0,"✓","⚠ add to Campaigns tab"))</f>
        <v/>
      </c>
      <c r="I2641" s="84" t="str">
        <f aca="false">IF(C2641="","",C2641*IF(Settings!$B$23=Settings!$C$6,1,IF(Settings!$B$23="USD",1/INDEX(Settings!$B$29:$B$40,MONTH(A2641)),INDEX(Settings!$B$29:$B$40,MONTH(A2641)))))</f>
        <v/>
      </c>
    </row>
    <row r="2642" customFormat="false" ht="15" hidden="false" customHeight="false" outlineLevel="0" collapsed="false">
      <c r="H2642" s="0" t="str">
        <f aca="false">IF(B2642="","",IF(COUNTIF(Campaigns!$A$7:$A$300,B2642)&gt;0,"✓","⚠ add to Campaigns tab"))</f>
        <v/>
      </c>
      <c r="I2642" s="84" t="str">
        <f aca="false">IF(C2642="","",C2642*IF(Settings!$B$23=Settings!$C$6,1,IF(Settings!$B$23="USD",1/INDEX(Settings!$B$29:$B$40,MONTH(A2642)),INDEX(Settings!$B$29:$B$40,MONTH(A2642)))))</f>
        <v/>
      </c>
    </row>
    <row r="2643" customFormat="false" ht="15" hidden="false" customHeight="false" outlineLevel="0" collapsed="false">
      <c r="H2643" s="0" t="str">
        <f aca="false">IF(B2643="","",IF(COUNTIF(Campaigns!$A$7:$A$300,B2643)&gt;0,"✓","⚠ add to Campaigns tab"))</f>
        <v/>
      </c>
      <c r="I2643" s="84" t="str">
        <f aca="false">IF(C2643="","",C2643*IF(Settings!$B$23=Settings!$C$6,1,IF(Settings!$B$23="USD",1/INDEX(Settings!$B$29:$B$40,MONTH(A2643)),INDEX(Settings!$B$29:$B$40,MONTH(A2643)))))</f>
        <v/>
      </c>
    </row>
    <row r="2644" customFormat="false" ht="15" hidden="false" customHeight="false" outlineLevel="0" collapsed="false">
      <c r="H2644" s="0" t="str">
        <f aca="false">IF(B2644="","",IF(COUNTIF(Campaigns!$A$7:$A$300,B2644)&gt;0,"✓","⚠ add to Campaigns tab"))</f>
        <v/>
      </c>
      <c r="I2644" s="84" t="str">
        <f aca="false">IF(C2644="","",C2644*IF(Settings!$B$23=Settings!$C$6,1,IF(Settings!$B$23="USD",1/INDEX(Settings!$B$29:$B$40,MONTH(A2644)),INDEX(Settings!$B$29:$B$40,MONTH(A2644)))))</f>
        <v/>
      </c>
    </row>
    <row r="2645" customFormat="false" ht="15" hidden="false" customHeight="false" outlineLevel="0" collapsed="false">
      <c r="H2645" s="0" t="str">
        <f aca="false">IF(B2645="","",IF(COUNTIF(Campaigns!$A$7:$A$300,B2645)&gt;0,"✓","⚠ add to Campaigns tab"))</f>
        <v/>
      </c>
      <c r="I2645" s="84" t="str">
        <f aca="false">IF(C2645="","",C2645*IF(Settings!$B$23=Settings!$C$6,1,IF(Settings!$B$23="USD",1/INDEX(Settings!$B$29:$B$40,MONTH(A2645)),INDEX(Settings!$B$29:$B$40,MONTH(A2645)))))</f>
        <v/>
      </c>
    </row>
    <row r="2646" customFormat="false" ht="15" hidden="false" customHeight="false" outlineLevel="0" collapsed="false">
      <c r="H2646" s="0" t="str">
        <f aca="false">IF(B2646="","",IF(COUNTIF(Campaigns!$A$7:$A$300,B2646)&gt;0,"✓","⚠ add to Campaigns tab"))</f>
        <v/>
      </c>
      <c r="I2646" s="84" t="str">
        <f aca="false">IF(C2646="","",C2646*IF(Settings!$B$23=Settings!$C$6,1,IF(Settings!$B$23="USD",1/INDEX(Settings!$B$29:$B$40,MONTH(A2646)),INDEX(Settings!$B$29:$B$40,MONTH(A2646)))))</f>
        <v/>
      </c>
    </row>
    <row r="2647" customFormat="false" ht="15" hidden="false" customHeight="false" outlineLevel="0" collapsed="false">
      <c r="H2647" s="0" t="str">
        <f aca="false">IF(B2647="","",IF(COUNTIF(Campaigns!$A$7:$A$300,B2647)&gt;0,"✓","⚠ add to Campaigns tab"))</f>
        <v/>
      </c>
      <c r="I2647" s="84" t="str">
        <f aca="false">IF(C2647="","",C2647*IF(Settings!$B$23=Settings!$C$6,1,IF(Settings!$B$23="USD",1/INDEX(Settings!$B$29:$B$40,MONTH(A2647)),INDEX(Settings!$B$29:$B$40,MONTH(A2647)))))</f>
        <v/>
      </c>
    </row>
    <row r="2648" customFormat="false" ht="15" hidden="false" customHeight="false" outlineLevel="0" collapsed="false">
      <c r="H2648" s="0" t="str">
        <f aca="false">IF(B2648="","",IF(COUNTIF(Campaigns!$A$7:$A$300,B2648)&gt;0,"✓","⚠ add to Campaigns tab"))</f>
        <v/>
      </c>
      <c r="I2648" s="84" t="str">
        <f aca="false">IF(C2648="","",C2648*IF(Settings!$B$23=Settings!$C$6,1,IF(Settings!$B$23="USD",1/INDEX(Settings!$B$29:$B$40,MONTH(A2648)),INDEX(Settings!$B$29:$B$40,MONTH(A2648)))))</f>
        <v/>
      </c>
    </row>
    <row r="2649" customFormat="false" ht="15" hidden="false" customHeight="false" outlineLevel="0" collapsed="false">
      <c r="H2649" s="0" t="str">
        <f aca="false">IF(B2649="","",IF(COUNTIF(Campaigns!$A$7:$A$300,B2649)&gt;0,"✓","⚠ add to Campaigns tab"))</f>
        <v/>
      </c>
      <c r="I2649" s="84" t="str">
        <f aca="false">IF(C2649="","",C2649*IF(Settings!$B$23=Settings!$C$6,1,IF(Settings!$B$23="USD",1/INDEX(Settings!$B$29:$B$40,MONTH(A2649)),INDEX(Settings!$B$29:$B$40,MONTH(A2649)))))</f>
        <v/>
      </c>
    </row>
    <row r="2650" customFormat="false" ht="15" hidden="false" customHeight="false" outlineLevel="0" collapsed="false">
      <c r="H2650" s="0" t="str">
        <f aca="false">IF(B2650="","",IF(COUNTIF(Campaigns!$A$7:$A$300,B2650)&gt;0,"✓","⚠ add to Campaigns tab"))</f>
        <v/>
      </c>
      <c r="I2650" s="84" t="str">
        <f aca="false">IF(C2650="","",C2650*IF(Settings!$B$23=Settings!$C$6,1,IF(Settings!$B$23="USD",1/INDEX(Settings!$B$29:$B$40,MONTH(A2650)),INDEX(Settings!$B$29:$B$40,MONTH(A2650)))))</f>
        <v/>
      </c>
    </row>
    <row r="2651" customFormat="false" ht="15" hidden="false" customHeight="false" outlineLevel="0" collapsed="false">
      <c r="H2651" s="0" t="str">
        <f aca="false">IF(B2651="","",IF(COUNTIF(Campaigns!$A$7:$A$300,B2651)&gt;0,"✓","⚠ add to Campaigns tab"))</f>
        <v/>
      </c>
      <c r="I2651" s="84" t="str">
        <f aca="false">IF(C2651="","",C2651*IF(Settings!$B$23=Settings!$C$6,1,IF(Settings!$B$23="USD",1/INDEX(Settings!$B$29:$B$40,MONTH(A2651)),INDEX(Settings!$B$29:$B$40,MONTH(A2651)))))</f>
        <v/>
      </c>
    </row>
    <row r="2652" customFormat="false" ht="15" hidden="false" customHeight="false" outlineLevel="0" collapsed="false">
      <c r="H2652" s="0" t="str">
        <f aca="false">IF(B2652="","",IF(COUNTIF(Campaigns!$A$7:$A$300,B2652)&gt;0,"✓","⚠ add to Campaigns tab"))</f>
        <v/>
      </c>
      <c r="I2652" s="84" t="str">
        <f aca="false">IF(C2652="","",C2652*IF(Settings!$B$23=Settings!$C$6,1,IF(Settings!$B$23="USD",1/INDEX(Settings!$B$29:$B$40,MONTH(A2652)),INDEX(Settings!$B$29:$B$40,MONTH(A2652)))))</f>
        <v/>
      </c>
    </row>
    <row r="2653" customFormat="false" ht="15" hidden="false" customHeight="false" outlineLevel="0" collapsed="false">
      <c r="H2653" s="0" t="str">
        <f aca="false">IF(B2653="","",IF(COUNTIF(Campaigns!$A$7:$A$300,B2653)&gt;0,"✓","⚠ add to Campaigns tab"))</f>
        <v/>
      </c>
      <c r="I2653" s="84" t="str">
        <f aca="false">IF(C2653="","",C2653*IF(Settings!$B$23=Settings!$C$6,1,IF(Settings!$B$23="USD",1/INDEX(Settings!$B$29:$B$40,MONTH(A2653)),INDEX(Settings!$B$29:$B$40,MONTH(A2653)))))</f>
        <v/>
      </c>
    </row>
    <row r="2654" customFormat="false" ht="15" hidden="false" customHeight="false" outlineLevel="0" collapsed="false">
      <c r="H2654" s="0" t="str">
        <f aca="false">IF(B2654="","",IF(COUNTIF(Campaigns!$A$7:$A$300,B2654)&gt;0,"✓","⚠ add to Campaigns tab"))</f>
        <v/>
      </c>
      <c r="I2654" s="84" t="str">
        <f aca="false">IF(C2654="","",C2654*IF(Settings!$B$23=Settings!$C$6,1,IF(Settings!$B$23="USD",1/INDEX(Settings!$B$29:$B$40,MONTH(A2654)),INDEX(Settings!$B$29:$B$40,MONTH(A2654)))))</f>
        <v/>
      </c>
    </row>
    <row r="2655" customFormat="false" ht="15" hidden="false" customHeight="false" outlineLevel="0" collapsed="false">
      <c r="H2655" s="0" t="str">
        <f aca="false">IF(B2655="","",IF(COUNTIF(Campaigns!$A$7:$A$300,B2655)&gt;0,"✓","⚠ add to Campaigns tab"))</f>
        <v/>
      </c>
      <c r="I2655" s="84" t="str">
        <f aca="false">IF(C2655="","",C2655*IF(Settings!$B$23=Settings!$C$6,1,IF(Settings!$B$23="USD",1/INDEX(Settings!$B$29:$B$40,MONTH(A2655)),INDEX(Settings!$B$29:$B$40,MONTH(A2655)))))</f>
        <v/>
      </c>
    </row>
    <row r="2656" customFormat="false" ht="15" hidden="false" customHeight="false" outlineLevel="0" collapsed="false">
      <c r="H2656" s="0" t="str">
        <f aca="false">IF(B2656="","",IF(COUNTIF(Campaigns!$A$7:$A$300,B2656)&gt;0,"✓","⚠ add to Campaigns tab"))</f>
        <v/>
      </c>
      <c r="I2656" s="84" t="str">
        <f aca="false">IF(C2656="","",C2656*IF(Settings!$B$23=Settings!$C$6,1,IF(Settings!$B$23="USD",1/INDEX(Settings!$B$29:$B$40,MONTH(A2656)),INDEX(Settings!$B$29:$B$40,MONTH(A2656)))))</f>
        <v/>
      </c>
    </row>
    <row r="2657" customFormat="false" ht="15" hidden="false" customHeight="false" outlineLevel="0" collapsed="false">
      <c r="H2657" s="0" t="str">
        <f aca="false">IF(B2657="","",IF(COUNTIF(Campaigns!$A$7:$A$300,B2657)&gt;0,"✓","⚠ add to Campaigns tab"))</f>
        <v/>
      </c>
      <c r="I2657" s="84" t="str">
        <f aca="false">IF(C2657="","",C2657*IF(Settings!$B$23=Settings!$C$6,1,IF(Settings!$B$23="USD",1/INDEX(Settings!$B$29:$B$40,MONTH(A2657)),INDEX(Settings!$B$29:$B$40,MONTH(A2657)))))</f>
        <v/>
      </c>
    </row>
    <row r="2658" customFormat="false" ht="15" hidden="false" customHeight="false" outlineLevel="0" collapsed="false">
      <c r="H2658" s="0" t="str">
        <f aca="false">IF(B2658="","",IF(COUNTIF(Campaigns!$A$7:$A$300,B2658)&gt;0,"✓","⚠ add to Campaigns tab"))</f>
        <v/>
      </c>
      <c r="I2658" s="84" t="str">
        <f aca="false">IF(C2658="","",C2658*IF(Settings!$B$23=Settings!$C$6,1,IF(Settings!$B$23="USD",1/INDEX(Settings!$B$29:$B$40,MONTH(A2658)),INDEX(Settings!$B$29:$B$40,MONTH(A2658)))))</f>
        <v/>
      </c>
    </row>
    <row r="2659" customFormat="false" ht="15" hidden="false" customHeight="false" outlineLevel="0" collapsed="false">
      <c r="H2659" s="0" t="str">
        <f aca="false">IF(B2659="","",IF(COUNTIF(Campaigns!$A$7:$A$300,B2659)&gt;0,"✓","⚠ add to Campaigns tab"))</f>
        <v/>
      </c>
      <c r="I2659" s="84" t="str">
        <f aca="false">IF(C2659="","",C2659*IF(Settings!$B$23=Settings!$C$6,1,IF(Settings!$B$23="USD",1/INDEX(Settings!$B$29:$B$40,MONTH(A2659)),INDEX(Settings!$B$29:$B$40,MONTH(A2659)))))</f>
        <v/>
      </c>
    </row>
    <row r="2660" customFormat="false" ht="15" hidden="false" customHeight="false" outlineLevel="0" collapsed="false">
      <c r="H2660" s="0" t="str">
        <f aca="false">IF(B2660="","",IF(COUNTIF(Campaigns!$A$7:$A$300,B2660)&gt;0,"✓","⚠ add to Campaigns tab"))</f>
        <v/>
      </c>
      <c r="I2660" s="84" t="str">
        <f aca="false">IF(C2660="","",C2660*IF(Settings!$B$23=Settings!$C$6,1,IF(Settings!$B$23="USD",1/INDEX(Settings!$B$29:$B$40,MONTH(A2660)),INDEX(Settings!$B$29:$B$40,MONTH(A2660)))))</f>
        <v/>
      </c>
    </row>
    <row r="2661" customFormat="false" ht="15" hidden="false" customHeight="false" outlineLevel="0" collapsed="false">
      <c r="H2661" s="0" t="str">
        <f aca="false">IF(B2661="","",IF(COUNTIF(Campaigns!$A$7:$A$300,B2661)&gt;0,"✓","⚠ add to Campaigns tab"))</f>
        <v/>
      </c>
      <c r="I2661" s="84" t="str">
        <f aca="false">IF(C2661="","",C2661*IF(Settings!$B$23=Settings!$C$6,1,IF(Settings!$B$23="USD",1/INDEX(Settings!$B$29:$B$40,MONTH(A2661)),INDEX(Settings!$B$29:$B$40,MONTH(A2661)))))</f>
        <v/>
      </c>
    </row>
    <row r="2662" customFormat="false" ht="15" hidden="false" customHeight="false" outlineLevel="0" collapsed="false">
      <c r="H2662" s="0" t="str">
        <f aca="false">IF(B2662="","",IF(COUNTIF(Campaigns!$A$7:$A$300,B2662)&gt;0,"✓","⚠ add to Campaigns tab"))</f>
        <v/>
      </c>
      <c r="I2662" s="84" t="str">
        <f aca="false">IF(C2662="","",C2662*IF(Settings!$B$23=Settings!$C$6,1,IF(Settings!$B$23="USD",1/INDEX(Settings!$B$29:$B$40,MONTH(A2662)),INDEX(Settings!$B$29:$B$40,MONTH(A2662)))))</f>
        <v/>
      </c>
    </row>
    <row r="2663" customFormat="false" ht="15" hidden="false" customHeight="false" outlineLevel="0" collapsed="false">
      <c r="H2663" s="0" t="str">
        <f aca="false">IF(B2663="","",IF(COUNTIF(Campaigns!$A$7:$A$300,B2663)&gt;0,"✓","⚠ add to Campaigns tab"))</f>
        <v/>
      </c>
      <c r="I2663" s="84" t="str">
        <f aca="false">IF(C2663="","",C2663*IF(Settings!$B$23=Settings!$C$6,1,IF(Settings!$B$23="USD",1/INDEX(Settings!$B$29:$B$40,MONTH(A2663)),INDEX(Settings!$B$29:$B$40,MONTH(A2663)))))</f>
        <v/>
      </c>
    </row>
    <row r="2664" customFormat="false" ht="15" hidden="false" customHeight="false" outlineLevel="0" collapsed="false">
      <c r="H2664" s="0" t="str">
        <f aca="false">IF(B2664="","",IF(COUNTIF(Campaigns!$A$7:$A$300,B2664)&gt;0,"✓","⚠ add to Campaigns tab"))</f>
        <v/>
      </c>
      <c r="I2664" s="84" t="str">
        <f aca="false">IF(C2664="","",C2664*IF(Settings!$B$23=Settings!$C$6,1,IF(Settings!$B$23="USD",1/INDEX(Settings!$B$29:$B$40,MONTH(A2664)),INDEX(Settings!$B$29:$B$40,MONTH(A2664)))))</f>
        <v/>
      </c>
    </row>
    <row r="2665" customFormat="false" ht="15" hidden="false" customHeight="false" outlineLevel="0" collapsed="false">
      <c r="H2665" s="0" t="str">
        <f aca="false">IF(B2665="","",IF(COUNTIF(Campaigns!$A$7:$A$300,B2665)&gt;0,"✓","⚠ add to Campaigns tab"))</f>
        <v/>
      </c>
      <c r="I2665" s="84" t="str">
        <f aca="false">IF(C2665="","",C2665*IF(Settings!$B$23=Settings!$C$6,1,IF(Settings!$B$23="USD",1/INDEX(Settings!$B$29:$B$40,MONTH(A2665)),INDEX(Settings!$B$29:$B$40,MONTH(A2665)))))</f>
        <v/>
      </c>
    </row>
    <row r="2666" customFormat="false" ht="15" hidden="false" customHeight="false" outlineLevel="0" collapsed="false">
      <c r="H2666" s="0" t="str">
        <f aca="false">IF(B2666="","",IF(COUNTIF(Campaigns!$A$7:$A$300,B2666)&gt;0,"✓","⚠ add to Campaigns tab"))</f>
        <v/>
      </c>
      <c r="I2666" s="84" t="str">
        <f aca="false">IF(C2666="","",C2666*IF(Settings!$B$23=Settings!$C$6,1,IF(Settings!$B$23="USD",1/INDEX(Settings!$B$29:$B$40,MONTH(A2666)),INDEX(Settings!$B$29:$B$40,MONTH(A2666)))))</f>
        <v/>
      </c>
    </row>
    <row r="2667" customFormat="false" ht="15" hidden="false" customHeight="false" outlineLevel="0" collapsed="false">
      <c r="H2667" s="0" t="str">
        <f aca="false">IF(B2667="","",IF(COUNTIF(Campaigns!$A$7:$A$300,B2667)&gt;0,"✓","⚠ add to Campaigns tab"))</f>
        <v/>
      </c>
      <c r="I2667" s="84" t="str">
        <f aca="false">IF(C2667="","",C2667*IF(Settings!$B$23=Settings!$C$6,1,IF(Settings!$B$23="USD",1/INDEX(Settings!$B$29:$B$40,MONTH(A2667)),INDEX(Settings!$B$29:$B$40,MONTH(A2667)))))</f>
        <v/>
      </c>
    </row>
    <row r="2668" customFormat="false" ht="15" hidden="false" customHeight="false" outlineLevel="0" collapsed="false">
      <c r="H2668" s="0" t="str">
        <f aca="false">IF(B2668="","",IF(COUNTIF(Campaigns!$A$7:$A$300,B2668)&gt;0,"✓","⚠ add to Campaigns tab"))</f>
        <v/>
      </c>
      <c r="I2668" s="84" t="str">
        <f aca="false">IF(C2668="","",C2668*IF(Settings!$B$23=Settings!$C$6,1,IF(Settings!$B$23="USD",1/INDEX(Settings!$B$29:$B$40,MONTH(A2668)),INDEX(Settings!$B$29:$B$40,MONTH(A2668)))))</f>
        <v/>
      </c>
    </row>
    <row r="2669" customFormat="false" ht="15" hidden="false" customHeight="false" outlineLevel="0" collapsed="false">
      <c r="H2669" s="0" t="str">
        <f aca="false">IF(B2669="","",IF(COUNTIF(Campaigns!$A$7:$A$300,B2669)&gt;0,"✓","⚠ add to Campaigns tab"))</f>
        <v/>
      </c>
      <c r="I2669" s="84" t="str">
        <f aca="false">IF(C2669="","",C2669*IF(Settings!$B$23=Settings!$C$6,1,IF(Settings!$B$23="USD",1/INDEX(Settings!$B$29:$B$40,MONTH(A2669)),INDEX(Settings!$B$29:$B$40,MONTH(A2669)))))</f>
        <v/>
      </c>
    </row>
    <row r="2670" customFormat="false" ht="15" hidden="false" customHeight="false" outlineLevel="0" collapsed="false">
      <c r="H2670" s="0" t="str">
        <f aca="false">IF(B2670="","",IF(COUNTIF(Campaigns!$A$7:$A$300,B2670)&gt;0,"✓","⚠ add to Campaigns tab"))</f>
        <v/>
      </c>
      <c r="I2670" s="84" t="str">
        <f aca="false">IF(C2670="","",C2670*IF(Settings!$B$23=Settings!$C$6,1,IF(Settings!$B$23="USD",1/INDEX(Settings!$B$29:$B$40,MONTH(A2670)),INDEX(Settings!$B$29:$B$40,MONTH(A2670)))))</f>
        <v/>
      </c>
    </row>
    <row r="2671" customFormat="false" ht="15" hidden="false" customHeight="false" outlineLevel="0" collapsed="false">
      <c r="H2671" s="0" t="str">
        <f aca="false">IF(B2671="","",IF(COUNTIF(Campaigns!$A$7:$A$300,B2671)&gt;0,"✓","⚠ add to Campaigns tab"))</f>
        <v/>
      </c>
      <c r="I2671" s="84" t="str">
        <f aca="false">IF(C2671="","",C2671*IF(Settings!$B$23=Settings!$C$6,1,IF(Settings!$B$23="USD",1/INDEX(Settings!$B$29:$B$40,MONTH(A2671)),INDEX(Settings!$B$29:$B$40,MONTH(A2671)))))</f>
        <v/>
      </c>
    </row>
    <row r="2672" customFormat="false" ht="15" hidden="false" customHeight="false" outlineLevel="0" collapsed="false">
      <c r="H2672" s="0" t="str">
        <f aca="false">IF(B2672="","",IF(COUNTIF(Campaigns!$A$7:$A$300,B2672)&gt;0,"✓","⚠ add to Campaigns tab"))</f>
        <v/>
      </c>
      <c r="I2672" s="84" t="str">
        <f aca="false">IF(C2672="","",C2672*IF(Settings!$B$23=Settings!$C$6,1,IF(Settings!$B$23="USD",1/INDEX(Settings!$B$29:$B$40,MONTH(A2672)),INDEX(Settings!$B$29:$B$40,MONTH(A2672)))))</f>
        <v/>
      </c>
    </row>
    <row r="2673" customFormat="false" ht="15" hidden="false" customHeight="false" outlineLevel="0" collapsed="false">
      <c r="H2673" s="0" t="str">
        <f aca="false">IF(B2673="","",IF(COUNTIF(Campaigns!$A$7:$A$300,B2673)&gt;0,"✓","⚠ add to Campaigns tab"))</f>
        <v/>
      </c>
      <c r="I2673" s="84" t="str">
        <f aca="false">IF(C2673="","",C2673*IF(Settings!$B$23=Settings!$C$6,1,IF(Settings!$B$23="USD",1/INDEX(Settings!$B$29:$B$40,MONTH(A2673)),INDEX(Settings!$B$29:$B$40,MONTH(A2673)))))</f>
        <v/>
      </c>
    </row>
    <row r="2674" customFormat="false" ht="15" hidden="false" customHeight="false" outlineLevel="0" collapsed="false">
      <c r="H2674" s="0" t="str">
        <f aca="false">IF(B2674="","",IF(COUNTIF(Campaigns!$A$7:$A$300,B2674)&gt;0,"✓","⚠ add to Campaigns tab"))</f>
        <v/>
      </c>
      <c r="I2674" s="84" t="str">
        <f aca="false">IF(C2674="","",C2674*IF(Settings!$B$23=Settings!$C$6,1,IF(Settings!$B$23="USD",1/INDEX(Settings!$B$29:$B$40,MONTH(A2674)),INDEX(Settings!$B$29:$B$40,MONTH(A2674)))))</f>
        <v/>
      </c>
    </row>
    <row r="2675" customFormat="false" ht="15" hidden="false" customHeight="false" outlineLevel="0" collapsed="false">
      <c r="H2675" s="0" t="str">
        <f aca="false">IF(B2675="","",IF(COUNTIF(Campaigns!$A$7:$A$300,B2675)&gt;0,"✓","⚠ add to Campaigns tab"))</f>
        <v/>
      </c>
      <c r="I2675" s="84" t="str">
        <f aca="false">IF(C2675="","",C2675*IF(Settings!$B$23=Settings!$C$6,1,IF(Settings!$B$23="USD",1/INDEX(Settings!$B$29:$B$40,MONTH(A2675)),INDEX(Settings!$B$29:$B$40,MONTH(A2675)))))</f>
        <v/>
      </c>
    </row>
    <row r="2676" customFormat="false" ht="15" hidden="false" customHeight="false" outlineLevel="0" collapsed="false">
      <c r="H2676" s="0" t="str">
        <f aca="false">IF(B2676="","",IF(COUNTIF(Campaigns!$A$7:$A$300,B2676)&gt;0,"✓","⚠ add to Campaigns tab"))</f>
        <v/>
      </c>
      <c r="I2676" s="84" t="str">
        <f aca="false">IF(C2676="","",C2676*IF(Settings!$B$23=Settings!$C$6,1,IF(Settings!$B$23="USD",1/INDEX(Settings!$B$29:$B$40,MONTH(A2676)),INDEX(Settings!$B$29:$B$40,MONTH(A2676)))))</f>
        <v/>
      </c>
    </row>
    <row r="2677" customFormat="false" ht="15" hidden="false" customHeight="false" outlineLevel="0" collapsed="false">
      <c r="H2677" s="0" t="str">
        <f aca="false">IF(B2677="","",IF(COUNTIF(Campaigns!$A$7:$A$300,B2677)&gt;0,"✓","⚠ add to Campaigns tab"))</f>
        <v/>
      </c>
      <c r="I2677" s="84" t="str">
        <f aca="false">IF(C2677="","",C2677*IF(Settings!$B$23=Settings!$C$6,1,IF(Settings!$B$23="USD",1/INDEX(Settings!$B$29:$B$40,MONTH(A2677)),INDEX(Settings!$B$29:$B$40,MONTH(A2677)))))</f>
        <v/>
      </c>
    </row>
    <row r="2678" customFormat="false" ht="15" hidden="false" customHeight="false" outlineLevel="0" collapsed="false">
      <c r="H2678" s="0" t="str">
        <f aca="false">IF(B2678="","",IF(COUNTIF(Campaigns!$A$7:$A$300,B2678)&gt;0,"✓","⚠ add to Campaigns tab"))</f>
        <v/>
      </c>
      <c r="I2678" s="84" t="str">
        <f aca="false">IF(C2678="","",C2678*IF(Settings!$B$23=Settings!$C$6,1,IF(Settings!$B$23="USD",1/INDEX(Settings!$B$29:$B$40,MONTH(A2678)),INDEX(Settings!$B$29:$B$40,MONTH(A2678)))))</f>
        <v/>
      </c>
    </row>
    <row r="2679" customFormat="false" ht="15" hidden="false" customHeight="false" outlineLevel="0" collapsed="false">
      <c r="H2679" s="0" t="str">
        <f aca="false">IF(B2679="","",IF(COUNTIF(Campaigns!$A$7:$A$300,B2679)&gt;0,"✓","⚠ add to Campaigns tab"))</f>
        <v/>
      </c>
      <c r="I2679" s="84" t="str">
        <f aca="false">IF(C2679="","",C2679*IF(Settings!$B$23=Settings!$C$6,1,IF(Settings!$B$23="USD",1/INDEX(Settings!$B$29:$B$40,MONTH(A2679)),INDEX(Settings!$B$29:$B$40,MONTH(A2679)))))</f>
        <v/>
      </c>
    </row>
    <row r="2680" customFormat="false" ht="15" hidden="false" customHeight="false" outlineLevel="0" collapsed="false">
      <c r="H2680" s="0" t="str">
        <f aca="false">IF(B2680="","",IF(COUNTIF(Campaigns!$A$7:$A$300,B2680)&gt;0,"✓","⚠ add to Campaigns tab"))</f>
        <v/>
      </c>
      <c r="I2680" s="84" t="str">
        <f aca="false">IF(C2680="","",C2680*IF(Settings!$B$23=Settings!$C$6,1,IF(Settings!$B$23="USD",1/INDEX(Settings!$B$29:$B$40,MONTH(A2680)),INDEX(Settings!$B$29:$B$40,MONTH(A2680)))))</f>
        <v/>
      </c>
    </row>
    <row r="2681" customFormat="false" ht="15" hidden="false" customHeight="false" outlineLevel="0" collapsed="false">
      <c r="H2681" s="0" t="str">
        <f aca="false">IF(B2681="","",IF(COUNTIF(Campaigns!$A$7:$A$300,B2681)&gt;0,"✓","⚠ add to Campaigns tab"))</f>
        <v/>
      </c>
      <c r="I2681" s="84" t="str">
        <f aca="false">IF(C2681="","",C2681*IF(Settings!$B$23=Settings!$C$6,1,IF(Settings!$B$23="USD",1/INDEX(Settings!$B$29:$B$40,MONTH(A2681)),INDEX(Settings!$B$29:$B$40,MONTH(A2681)))))</f>
        <v/>
      </c>
    </row>
    <row r="2682" customFormat="false" ht="15" hidden="false" customHeight="false" outlineLevel="0" collapsed="false">
      <c r="H2682" s="0" t="str">
        <f aca="false">IF(B2682="","",IF(COUNTIF(Campaigns!$A$7:$A$300,B2682)&gt;0,"✓","⚠ add to Campaigns tab"))</f>
        <v/>
      </c>
      <c r="I2682" s="84" t="str">
        <f aca="false">IF(C2682="","",C2682*IF(Settings!$B$23=Settings!$C$6,1,IF(Settings!$B$23="USD",1/INDEX(Settings!$B$29:$B$40,MONTH(A2682)),INDEX(Settings!$B$29:$B$40,MONTH(A2682)))))</f>
        <v/>
      </c>
    </row>
    <row r="2683" customFormat="false" ht="15" hidden="false" customHeight="false" outlineLevel="0" collapsed="false">
      <c r="H2683" s="0" t="str">
        <f aca="false">IF(B2683="","",IF(COUNTIF(Campaigns!$A$7:$A$300,B2683)&gt;0,"✓","⚠ add to Campaigns tab"))</f>
        <v/>
      </c>
      <c r="I2683" s="84" t="str">
        <f aca="false">IF(C2683="","",C2683*IF(Settings!$B$23=Settings!$C$6,1,IF(Settings!$B$23="USD",1/INDEX(Settings!$B$29:$B$40,MONTH(A2683)),INDEX(Settings!$B$29:$B$40,MONTH(A2683)))))</f>
        <v/>
      </c>
    </row>
    <row r="2684" customFormat="false" ht="15" hidden="false" customHeight="false" outlineLevel="0" collapsed="false">
      <c r="H2684" s="0" t="str">
        <f aca="false">IF(B2684="","",IF(COUNTIF(Campaigns!$A$7:$A$300,B2684)&gt;0,"✓","⚠ add to Campaigns tab"))</f>
        <v/>
      </c>
      <c r="I2684" s="84" t="str">
        <f aca="false">IF(C2684="","",C2684*IF(Settings!$B$23=Settings!$C$6,1,IF(Settings!$B$23="USD",1/INDEX(Settings!$B$29:$B$40,MONTH(A2684)),INDEX(Settings!$B$29:$B$40,MONTH(A2684)))))</f>
        <v/>
      </c>
    </row>
    <row r="2685" customFormat="false" ht="15" hidden="false" customHeight="false" outlineLevel="0" collapsed="false">
      <c r="H2685" s="0" t="str">
        <f aca="false">IF(B2685="","",IF(COUNTIF(Campaigns!$A$7:$A$300,B2685)&gt;0,"✓","⚠ add to Campaigns tab"))</f>
        <v/>
      </c>
      <c r="I2685" s="84" t="str">
        <f aca="false">IF(C2685="","",C2685*IF(Settings!$B$23=Settings!$C$6,1,IF(Settings!$B$23="USD",1/INDEX(Settings!$B$29:$B$40,MONTH(A2685)),INDEX(Settings!$B$29:$B$40,MONTH(A2685)))))</f>
        <v/>
      </c>
    </row>
    <row r="2686" customFormat="false" ht="15" hidden="false" customHeight="false" outlineLevel="0" collapsed="false">
      <c r="H2686" s="0" t="str">
        <f aca="false">IF(B2686="","",IF(COUNTIF(Campaigns!$A$7:$A$300,B2686)&gt;0,"✓","⚠ add to Campaigns tab"))</f>
        <v/>
      </c>
      <c r="I2686" s="84" t="str">
        <f aca="false">IF(C2686="","",C2686*IF(Settings!$B$23=Settings!$C$6,1,IF(Settings!$B$23="USD",1/INDEX(Settings!$B$29:$B$40,MONTH(A2686)),INDEX(Settings!$B$29:$B$40,MONTH(A2686)))))</f>
        <v/>
      </c>
    </row>
    <row r="2687" customFormat="false" ht="15" hidden="false" customHeight="false" outlineLevel="0" collapsed="false">
      <c r="H2687" s="0" t="str">
        <f aca="false">IF(B2687="","",IF(COUNTIF(Campaigns!$A$7:$A$300,B2687)&gt;0,"✓","⚠ add to Campaigns tab"))</f>
        <v/>
      </c>
      <c r="I2687" s="84" t="str">
        <f aca="false">IF(C2687="","",C2687*IF(Settings!$B$23=Settings!$C$6,1,IF(Settings!$B$23="USD",1/INDEX(Settings!$B$29:$B$40,MONTH(A2687)),INDEX(Settings!$B$29:$B$40,MONTH(A2687)))))</f>
        <v/>
      </c>
    </row>
    <row r="2688" customFormat="false" ht="15" hidden="false" customHeight="false" outlineLevel="0" collapsed="false">
      <c r="H2688" s="0" t="str">
        <f aca="false">IF(B2688="","",IF(COUNTIF(Campaigns!$A$7:$A$300,B2688)&gt;0,"✓","⚠ add to Campaigns tab"))</f>
        <v/>
      </c>
      <c r="I2688" s="84" t="str">
        <f aca="false">IF(C2688="","",C2688*IF(Settings!$B$23=Settings!$C$6,1,IF(Settings!$B$23="USD",1/INDEX(Settings!$B$29:$B$40,MONTH(A2688)),INDEX(Settings!$B$29:$B$40,MONTH(A2688)))))</f>
        <v/>
      </c>
    </row>
    <row r="2689" customFormat="false" ht="15" hidden="false" customHeight="false" outlineLevel="0" collapsed="false">
      <c r="H2689" s="0" t="str">
        <f aca="false">IF(B2689="","",IF(COUNTIF(Campaigns!$A$7:$A$300,B2689)&gt;0,"✓","⚠ add to Campaigns tab"))</f>
        <v/>
      </c>
      <c r="I2689" s="84" t="str">
        <f aca="false">IF(C2689="","",C2689*IF(Settings!$B$23=Settings!$C$6,1,IF(Settings!$B$23="USD",1/INDEX(Settings!$B$29:$B$40,MONTH(A2689)),INDEX(Settings!$B$29:$B$40,MONTH(A2689)))))</f>
        <v/>
      </c>
    </row>
    <row r="2690" customFormat="false" ht="15" hidden="false" customHeight="false" outlineLevel="0" collapsed="false">
      <c r="H2690" s="0" t="str">
        <f aca="false">IF(B2690="","",IF(COUNTIF(Campaigns!$A$7:$A$300,B2690)&gt;0,"✓","⚠ add to Campaigns tab"))</f>
        <v/>
      </c>
      <c r="I2690" s="84" t="str">
        <f aca="false">IF(C2690="","",C2690*IF(Settings!$B$23=Settings!$C$6,1,IF(Settings!$B$23="USD",1/INDEX(Settings!$B$29:$B$40,MONTH(A2690)),INDEX(Settings!$B$29:$B$40,MONTH(A2690)))))</f>
        <v/>
      </c>
    </row>
    <row r="2691" customFormat="false" ht="15" hidden="false" customHeight="false" outlineLevel="0" collapsed="false">
      <c r="H2691" s="0" t="str">
        <f aca="false">IF(B2691="","",IF(COUNTIF(Campaigns!$A$7:$A$300,B2691)&gt;0,"✓","⚠ add to Campaigns tab"))</f>
        <v/>
      </c>
      <c r="I2691" s="84" t="str">
        <f aca="false">IF(C2691="","",C2691*IF(Settings!$B$23=Settings!$C$6,1,IF(Settings!$B$23="USD",1/INDEX(Settings!$B$29:$B$40,MONTH(A2691)),INDEX(Settings!$B$29:$B$40,MONTH(A2691)))))</f>
        <v/>
      </c>
    </row>
    <row r="2692" customFormat="false" ht="15" hidden="false" customHeight="false" outlineLevel="0" collapsed="false">
      <c r="H2692" s="0" t="str">
        <f aca="false">IF(B2692="","",IF(COUNTIF(Campaigns!$A$7:$A$300,B2692)&gt;0,"✓","⚠ add to Campaigns tab"))</f>
        <v/>
      </c>
      <c r="I2692" s="84" t="str">
        <f aca="false">IF(C2692="","",C2692*IF(Settings!$B$23=Settings!$C$6,1,IF(Settings!$B$23="USD",1/INDEX(Settings!$B$29:$B$40,MONTH(A2692)),INDEX(Settings!$B$29:$B$40,MONTH(A2692)))))</f>
        <v/>
      </c>
    </row>
    <row r="2693" customFormat="false" ht="15" hidden="false" customHeight="false" outlineLevel="0" collapsed="false">
      <c r="H2693" s="0" t="str">
        <f aca="false">IF(B2693="","",IF(COUNTIF(Campaigns!$A$7:$A$300,B2693)&gt;0,"✓","⚠ add to Campaigns tab"))</f>
        <v/>
      </c>
      <c r="I2693" s="84" t="str">
        <f aca="false">IF(C2693="","",C2693*IF(Settings!$B$23=Settings!$C$6,1,IF(Settings!$B$23="USD",1/INDEX(Settings!$B$29:$B$40,MONTH(A2693)),INDEX(Settings!$B$29:$B$40,MONTH(A2693)))))</f>
        <v/>
      </c>
    </row>
    <row r="2694" customFormat="false" ht="15" hidden="false" customHeight="false" outlineLevel="0" collapsed="false">
      <c r="H2694" s="0" t="str">
        <f aca="false">IF(B2694="","",IF(COUNTIF(Campaigns!$A$7:$A$300,B2694)&gt;0,"✓","⚠ add to Campaigns tab"))</f>
        <v/>
      </c>
      <c r="I2694" s="84" t="str">
        <f aca="false">IF(C2694="","",C2694*IF(Settings!$B$23=Settings!$C$6,1,IF(Settings!$B$23="USD",1/INDEX(Settings!$B$29:$B$40,MONTH(A2694)),INDEX(Settings!$B$29:$B$40,MONTH(A2694)))))</f>
        <v/>
      </c>
    </row>
    <row r="2695" customFormat="false" ht="15" hidden="false" customHeight="false" outlineLevel="0" collapsed="false">
      <c r="H2695" s="0" t="str">
        <f aca="false">IF(B2695="","",IF(COUNTIF(Campaigns!$A$7:$A$300,B2695)&gt;0,"✓","⚠ add to Campaigns tab"))</f>
        <v/>
      </c>
      <c r="I2695" s="84" t="str">
        <f aca="false">IF(C2695="","",C2695*IF(Settings!$B$23=Settings!$C$6,1,IF(Settings!$B$23="USD",1/INDEX(Settings!$B$29:$B$40,MONTH(A2695)),INDEX(Settings!$B$29:$B$40,MONTH(A2695)))))</f>
        <v/>
      </c>
    </row>
    <row r="2696" customFormat="false" ht="15" hidden="false" customHeight="false" outlineLevel="0" collapsed="false">
      <c r="H2696" s="0" t="str">
        <f aca="false">IF(B2696="","",IF(COUNTIF(Campaigns!$A$7:$A$300,B2696)&gt;0,"✓","⚠ add to Campaigns tab"))</f>
        <v/>
      </c>
      <c r="I2696" s="84" t="str">
        <f aca="false">IF(C2696="","",C2696*IF(Settings!$B$23=Settings!$C$6,1,IF(Settings!$B$23="USD",1/INDEX(Settings!$B$29:$B$40,MONTH(A2696)),INDEX(Settings!$B$29:$B$40,MONTH(A2696)))))</f>
        <v/>
      </c>
    </row>
    <row r="2697" customFormat="false" ht="15" hidden="false" customHeight="false" outlineLevel="0" collapsed="false">
      <c r="H2697" s="0" t="str">
        <f aca="false">IF(B2697="","",IF(COUNTIF(Campaigns!$A$7:$A$300,B2697)&gt;0,"✓","⚠ add to Campaigns tab"))</f>
        <v/>
      </c>
      <c r="I2697" s="84" t="str">
        <f aca="false">IF(C2697="","",C2697*IF(Settings!$B$23=Settings!$C$6,1,IF(Settings!$B$23="USD",1/INDEX(Settings!$B$29:$B$40,MONTH(A2697)),INDEX(Settings!$B$29:$B$40,MONTH(A2697)))))</f>
        <v/>
      </c>
    </row>
    <row r="2698" customFormat="false" ht="15" hidden="false" customHeight="false" outlineLevel="0" collapsed="false">
      <c r="H2698" s="0" t="str">
        <f aca="false">IF(B2698="","",IF(COUNTIF(Campaigns!$A$7:$A$300,B2698)&gt;0,"✓","⚠ add to Campaigns tab"))</f>
        <v/>
      </c>
      <c r="I2698" s="84" t="str">
        <f aca="false">IF(C2698="","",C2698*IF(Settings!$B$23=Settings!$C$6,1,IF(Settings!$B$23="USD",1/INDEX(Settings!$B$29:$B$40,MONTH(A2698)),INDEX(Settings!$B$29:$B$40,MONTH(A2698)))))</f>
        <v/>
      </c>
    </row>
    <row r="2699" customFormat="false" ht="15" hidden="false" customHeight="false" outlineLevel="0" collapsed="false">
      <c r="H2699" s="0" t="str">
        <f aca="false">IF(B2699="","",IF(COUNTIF(Campaigns!$A$7:$A$300,B2699)&gt;0,"✓","⚠ add to Campaigns tab"))</f>
        <v/>
      </c>
      <c r="I2699" s="84" t="str">
        <f aca="false">IF(C2699="","",C2699*IF(Settings!$B$23=Settings!$C$6,1,IF(Settings!$B$23="USD",1/INDEX(Settings!$B$29:$B$40,MONTH(A2699)),INDEX(Settings!$B$29:$B$40,MONTH(A2699)))))</f>
        <v/>
      </c>
    </row>
    <row r="2700" customFormat="false" ht="15" hidden="false" customHeight="false" outlineLevel="0" collapsed="false">
      <c r="H2700" s="0" t="str">
        <f aca="false">IF(B2700="","",IF(COUNTIF(Campaigns!$A$7:$A$300,B2700)&gt;0,"✓","⚠ add to Campaigns tab"))</f>
        <v/>
      </c>
      <c r="I2700" s="84" t="str">
        <f aca="false">IF(C2700="","",C2700*IF(Settings!$B$23=Settings!$C$6,1,IF(Settings!$B$23="USD",1/INDEX(Settings!$B$29:$B$40,MONTH(A2700)),INDEX(Settings!$B$29:$B$40,MONTH(A2700)))))</f>
        <v/>
      </c>
    </row>
    <row r="2701" customFormat="false" ht="15" hidden="false" customHeight="false" outlineLevel="0" collapsed="false">
      <c r="H2701" s="0" t="str">
        <f aca="false">IF(B2701="","",IF(COUNTIF(Campaigns!$A$7:$A$300,B2701)&gt;0,"✓","⚠ add to Campaigns tab"))</f>
        <v/>
      </c>
      <c r="I2701" s="84" t="str">
        <f aca="false">IF(C2701="","",C2701*IF(Settings!$B$23=Settings!$C$6,1,IF(Settings!$B$23="USD",1/INDEX(Settings!$B$29:$B$40,MONTH(A2701)),INDEX(Settings!$B$29:$B$40,MONTH(A2701)))))</f>
        <v/>
      </c>
    </row>
    <row r="2702" customFormat="false" ht="15" hidden="false" customHeight="false" outlineLevel="0" collapsed="false">
      <c r="H2702" s="0" t="str">
        <f aca="false">IF(B2702="","",IF(COUNTIF(Campaigns!$A$7:$A$300,B2702)&gt;0,"✓","⚠ add to Campaigns tab"))</f>
        <v/>
      </c>
      <c r="I2702" s="84" t="str">
        <f aca="false">IF(C2702="","",C2702*IF(Settings!$B$23=Settings!$C$6,1,IF(Settings!$B$23="USD",1/INDEX(Settings!$B$29:$B$40,MONTH(A2702)),INDEX(Settings!$B$29:$B$40,MONTH(A2702)))))</f>
        <v/>
      </c>
    </row>
    <row r="2703" customFormat="false" ht="15" hidden="false" customHeight="false" outlineLevel="0" collapsed="false">
      <c r="H2703" s="0" t="str">
        <f aca="false">IF(B2703="","",IF(COUNTIF(Campaigns!$A$7:$A$300,B2703)&gt;0,"✓","⚠ add to Campaigns tab"))</f>
        <v/>
      </c>
      <c r="I2703" s="84" t="str">
        <f aca="false">IF(C2703="","",C2703*IF(Settings!$B$23=Settings!$C$6,1,IF(Settings!$B$23="USD",1/INDEX(Settings!$B$29:$B$40,MONTH(A2703)),INDEX(Settings!$B$29:$B$40,MONTH(A2703)))))</f>
        <v/>
      </c>
    </row>
    <row r="2704" customFormat="false" ht="15" hidden="false" customHeight="false" outlineLevel="0" collapsed="false">
      <c r="H2704" s="0" t="str">
        <f aca="false">IF(B2704="","",IF(COUNTIF(Campaigns!$A$7:$A$300,B2704)&gt;0,"✓","⚠ add to Campaigns tab"))</f>
        <v/>
      </c>
      <c r="I2704" s="84" t="str">
        <f aca="false">IF(C2704="","",C2704*IF(Settings!$B$23=Settings!$C$6,1,IF(Settings!$B$23="USD",1/INDEX(Settings!$B$29:$B$40,MONTH(A2704)),INDEX(Settings!$B$29:$B$40,MONTH(A2704)))))</f>
        <v/>
      </c>
    </row>
    <row r="2705" customFormat="false" ht="15" hidden="false" customHeight="false" outlineLevel="0" collapsed="false">
      <c r="H2705" s="0" t="str">
        <f aca="false">IF(B2705="","",IF(COUNTIF(Campaigns!$A$7:$A$300,B2705)&gt;0,"✓","⚠ add to Campaigns tab"))</f>
        <v/>
      </c>
      <c r="I2705" s="84" t="str">
        <f aca="false">IF(C2705="","",C2705*IF(Settings!$B$23=Settings!$C$6,1,IF(Settings!$B$23="USD",1/INDEX(Settings!$B$29:$B$40,MONTH(A2705)),INDEX(Settings!$B$29:$B$40,MONTH(A2705)))))</f>
        <v/>
      </c>
    </row>
    <row r="2706" customFormat="false" ht="15" hidden="false" customHeight="false" outlineLevel="0" collapsed="false">
      <c r="H2706" s="0" t="str">
        <f aca="false">IF(B2706="","",IF(COUNTIF(Campaigns!$A$7:$A$300,B2706)&gt;0,"✓","⚠ add to Campaigns tab"))</f>
        <v/>
      </c>
      <c r="I2706" s="84" t="str">
        <f aca="false">IF(C2706="","",C2706*IF(Settings!$B$23=Settings!$C$6,1,IF(Settings!$B$23="USD",1/INDEX(Settings!$B$29:$B$40,MONTH(A2706)),INDEX(Settings!$B$29:$B$40,MONTH(A2706)))))</f>
        <v/>
      </c>
    </row>
    <row r="2707" customFormat="false" ht="15" hidden="false" customHeight="false" outlineLevel="0" collapsed="false">
      <c r="H2707" s="0" t="str">
        <f aca="false">IF(B2707="","",IF(COUNTIF(Campaigns!$A$7:$A$300,B2707)&gt;0,"✓","⚠ add to Campaigns tab"))</f>
        <v/>
      </c>
      <c r="I2707" s="84" t="str">
        <f aca="false">IF(C2707="","",C2707*IF(Settings!$B$23=Settings!$C$6,1,IF(Settings!$B$23="USD",1/INDEX(Settings!$B$29:$B$40,MONTH(A2707)),INDEX(Settings!$B$29:$B$40,MONTH(A2707)))))</f>
        <v/>
      </c>
    </row>
    <row r="2708" customFormat="false" ht="15" hidden="false" customHeight="false" outlineLevel="0" collapsed="false">
      <c r="H2708" s="0" t="str">
        <f aca="false">IF(B2708="","",IF(COUNTIF(Campaigns!$A$7:$A$300,B2708)&gt;0,"✓","⚠ add to Campaigns tab"))</f>
        <v/>
      </c>
      <c r="I2708" s="84" t="str">
        <f aca="false">IF(C2708="","",C2708*IF(Settings!$B$23=Settings!$C$6,1,IF(Settings!$B$23="USD",1/INDEX(Settings!$B$29:$B$40,MONTH(A2708)),INDEX(Settings!$B$29:$B$40,MONTH(A2708)))))</f>
        <v/>
      </c>
    </row>
    <row r="2709" customFormat="false" ht="15" hidden="false" customHeight="false" outlineLevel="0" collapsed="false">
      <c r="H2709" s="0" t="str">
        <f aca="false">IF(B2709="","",IF(COUNTIF(Campaigns!$A$7:$A$300,B2709)&gt;0,"✓","⚠ add to Campaigns tab"))</f>
        <v/>
      </c>
      <c r="I2709" s="84" t="str">
        <f aca="false">IF(C2709="","",C2709*IF(Settings!$B$23=Settings!$C$6,1,IF(Settings!$B$23="USD",1/INDEX(Settings!$B$29:$B$40,MONTH(A2709)),INDEX(Settings!$B$29:$B$40,MONTH(A2709)))))</f>
        <v/>
      </c>
    </row>
    <row r="2710" customFormat="false" ht="15" hidden="false" customHeight="false" outlineLevel="0" collapsed="false">
      <c r="H2710" s="0" t="str">
        <f aca="false">IF(B2710="","",IF(COUNTIF(Campaigns!$A$7:$A$300,B2710)&gt;0,"✓","⚠ add to Campaigns tab"))</f>
        <v/>
      </c>
      <c r="I2710" s="84" t="str">
        <f aca="false">IF(C2710="","",C2710*IF(Settings!$B$23=Settings!$C$6,1,IF(Settings!$B$23="USD",1/INDEX(Settings!$B$29:$B$40,MONTH(A2710)),INDEX(Settings!$B$29:$B$40,MONTH(A2710)))))</f>
        <v/>
      </c>
    </row>
    <row r="2711" customFormat="false" ht="15" hidden="false" customHeight="false" outlineLevel="0" collapsed="false">
      <c r="H2711" s="0" t="str">
        <f aca="false">IF(B2711="","",IF(COUNTIF(Campaigns!$A$7:$A$300,B2711)&gt;0,"✓","⚠ add to Campaigns tab"))</f>
        <v/>
      </c>
      <c r="I2711" s="84" t="str">
        <f aca="false">IF(C2711="","",C2711*IF(Settings!$B$23=Settings!$C$6,1,IF(Settings!$B$23="USD",1/INDEX(Settings!$B$29:$B$40,MONTH(A2711)),INDEX(Settings!$B$29:$B$40,MONTH(A2711)))))</f>
        <v/>
      </c>
    </row>
    <row r="2712" customFormat="false" ht="15" hidden="false" customHeight="false" outlineLevel="0" collapsed="false">
      <c r="H2712" s="0" t="str">
        <f aca="false">IF(B2712="","",IF(COUNTIF(Campaigns!$A$7:$A$300,B2712)&gt;0,"✓","⚠ add to Campaigns tab"))</f>
        <v/>
      </c>
      <c r="I2712" s="84" t="str">
        <f aca="false">IF(C2712="","",C2712*IF(Settings!$B$23=Settings!$C$6,1,IF(Settings!$B$23="USD",1/INDEX(Settings!$B$29:$B$40,MONTH(A2712)),INDEX(Settings!$B$29:$B$40,MONTH(A2712)))))</f>
        <v/>
      </c>
    </row>
    <row r="2713" customFormat="false" ht="15" hidden="false" customHeight="false" outlineLevel="0" collapsed="false">
      <c r="H2713" s="0" t="str">
        <f aca="false">IF(B2713="","",IF(COUNTIF(Campaigns!$A$7:$A$300,B2713)&gt;0,"✓","⚠ add to Campaigns tab"))</f>
        <v/>
      </c>
      <c r="I2713" s="84" t="str">
        <f aca="false">IF(C2713="","",C2713*IF(Settings!$B$23=Settings!$C$6,1,IF(Settings!$B$23="USD",1/INDEX(Settings!$B$29:$B$40,MONTH(A2713)),INDEX(Settings!$B$29:$B$40,MONTH(A2713)))))</f>
        <v/>
      </c>
    </row>
    <row r="2714" customFormat="false" ht="15" hidden="false" customHeight="false" outlineLevel="0" collapsed="false">
      <c r="H2714" s="0" t="str">
        <f aca="false">IF(B2714="","",IF(COUNTIF(Campaigns!$A$7:$A$300,B2714)&gt;0,"✓","⚠ add to Campaigns tab"))</f>
        <v/>
      </c>
      <c r="I2714" s="84" t="str">
        <f aca="false">IF(C2714="","",C2714*IF(Settings!$B$23=Settings!$C$6,1,IF(Settings!$B$23="USD",1/INDEX(Settings!$B$29:$B$40,MONTH(A2714)),INDEX(Settings!$B$29:$B$40,MONTH(A2714)))))</f>
        <v/>
      </c>
    </row>
    <row r="2715" customFormat="false" ht="15" hidden="false" customHeight="false" outlineLevel="0" collapsed="false">
      <c r="H2715" s="0" t="str">
        <f aca="false">IF(B2715="","",IF(COUNTIF(Campaigns!$A$7:$A$300,B2715)&gt;0,"✓","⚠ add to Campaigns tab"))</f>
        <v/>
      </c>
      <c r="I2715" s="84" t="str">
        <f aca="false">IF(C2715="","",C2715*IF(Settings!$B$23=Settings!$C$6,1,IF(Settings!$B$23="USD",1/INDEX(Settings!$B$29:$B$40,MONTH(A2715)),INDEX(Settings!$B$29:$B$40,MONTH(A2715)))))</f>
        <v/>
      </c>
    </row>
    <row r="2716" customFormat="false" ht="15" hidden="false" customHeight="false" outlineLevel="0" collapsed="false">
      <c r="H2716" s="0" t="str">
        <f aca="false">IF(B2716="","",IF(COUNTIF(Campaigns!$A$7:$A$300,B2716)&gt;0,"✓","⚠ add to Campaigns tab"))</f>
        <v/>
      </c>
      <c r="I2716" s="84" t="str">
        <f aca="false">IF(C2716="","",C2716*IF(Settings!$B$23=Settings!$C$6,1,IF(Settings!$B$23="USD",1/INDEX(Settings!$B$29:$B$40,MONTH(A2716)),INDEX(Settings!$B$29:$B$40,MONTH(A2716)))))</f>
        <v/>
      </c>
    </row>
    <row r="2717" customFormat="false" ht="15" hidden="false" customHeight="false" outlineLevel="0" collapsed="false">
      <c r="H2717" s="0" t="str">
        <f aca="false">IF(B2717="","",IF(COUNTIF(Campaigns!$A$7:$A$300,B2717)&gt;0,"✓","⚠ add to Campaigns tab"))</f>
        <v/>
      </c>
      <c r="I2717" s="84" t="str">
        <f aca="false">IF(C2717="","",C2717*IF(Settings!$B$23=Settings!$C$6,1,IF(Settings!$B$23="USD",1/INDEX(Settings!$B$29:$B$40,MONTH(A2717)),INDEX(Settings!$B$29:$B$40,MONTH(A2717)))))</f>
        <v/>
      </c>
    </row>
    <row r="2718" customFormat="false" ht="15" hidden="false" customHeight="false" outlineLevel="0" collapsed="false">
      <c r="H2718" s="0" t="str">
        <f aca="false">IF(B2718="","",IF(COUNTIF(Campaigns!$A$7:$A$300,B2718)&gt;0,"✓","⚠ add to Campaigns tab"))</f>
        <v/>
      </c>
      <c r="I2718" s="84" t="str">
        <f aca="false">IF(C2718="","",C2718*IF(Settings!$B$23=Settings!$C$6,1,IF(Settings!$B$23="USD",1/INDEX(Settings!$B$29:$B$40,MONTH(A2718)),INDEX(Settings!$B$29:$B$40,MONTH(A2718)))))</f>
        <v/>
      </c>
    </row>
    <row r="2719" customFormat="false" ht="15" hidden="false" customHeight="false" outlineLevel="0" collapsed="false">
      <c r="H2719" s="0" t="str">
        <f aca="false">IF(B2719="","",IF(COUNTIF(Campaigns!$A$7:$A$300,B2719)&gt;0,"✓","⚠ add to Campaigns tab"))</f>
        <v/>
      </c>
      <c r="I2719" s="84" t="str">
        <f aca="false">IF(C2719="","",C2719*IF(Settings!$B$23=Settings!$C$6,1,IF(Settings!$B$23="USD",1/INDEX(Settings!$B$29:$B$40,MONTH(A2719)),INDEX(Settings!$B$29:$B$40,MONTH(A2719)))))</f>
        <v/>
      </c>
    </row>
    <row r="2720" customFormat="false" ht="15" hidden="false" customHeight="false" outlineLevel="0" collapsed="false">
      <c r="H2720" s="0" t="str">
        <f aca="false">IF(B2720="","",IF(COUNTIF(Campaigns!$A$7:$A$300,B2720)&gt;0,"✓","⚠ add to Campaigns tab"))</f>
        <v/>
      </c>
      <c r="I2720" s="84" t="str">
        <f aca="false">IF(C2720="","",C2720*IF(Settings!$B$23=Settings!$C$6,1,IF(Settings!$B$23="USD",1/INDEX(Settings!$B$29:$B$40,MONTH(A2720)),INDEX(Settings!$B$29:$B$40,MONTH(A2720)))))</f>
        <v/>
      </c>
    </row>
    <row r="2721" customFormat="false" ht="15" hidden="false" customHeight="false" outlineLevel="0" collapsed="false">
      <c r="H2721" s="0" t="str">
        <f aca="false">IF(B2721="","",IF(COUNTIF(Campaigns!$A$7:$A$300,B2721)&gt;0,"✓","⚠ add to Campaigns tab"))</f>
        <v/>
      </c>
      <c r="I2721" s="84" t="str">
        <f aca="false">IF(C2721="","",C2721*IF(Settings!$B$23=Settings!$C$6,1,IF(Settings!$B$23="USD",1/INDEX(Settings!$B$29:$B$40,MONTH(A2721)),INDEX(Settings!$B$29:$B$40,MONTH(A2721)))))</f>
        <v/>
      </c>
    </row>
    <row r="2722" customFormat="false" ht="15" hidden="false" customHeight="false" outlineLevel="0" collapsed="false">
      <c r="H2722" s="0" t="str">
        <f aca="false">IF(B2722="","",IF(COUNTIF(Campaigns!$A$7:$A$300,B2722)&gt;0,"✓","⚠ add to Campaigns tab"))</f>
        <v/>
      </c>
      <c r="I2722" s="84" t="str">
        <f aca="false">IF(C2722="","",C2722*IF(Settings!$B$23=Settings!$C$6,1,IF(Settings!$B$23="USD",1/INDEX(Settings!$B$29:$B$40,MONTH(A2722)),INDEX(Settings!$B$29:$B$40,MONTH(A2722)))))</f>
        <v/>
      </c>
    </row>
    <row r="2723" customFormat="false" ht="15" hidden="false" customHeight="false" outlineLevel="0" collapsed="false">
      <c r="H2723" s="0" t="str">
        <f aca="false">IF(B2723="","",IF(COUNTIF(Campaigns!$A$7:$A$300,B2723)&gt;0,"✓","⚠ add to Campaigns tab"))</f>
        <v/>
      </c>
      <c r="I2723" s="84" t="str">
        <f aca="false">IF(C2723="","",C2723*IF(Settings!$B$23=Settings!$C$6,1,IF(Settings!$B$23="USD",1/INDEX(Settings!$B$29:$B$40,MONTH(A2723)),INDEX(Settings!$B$29:$B$40,MONTH(A2723)))))</f>
        <v/>
      </c>
    </row>
    <row r="2724" customFormat="false" ht="15" hidden="false" customHeight="false" outlineLevel="0" collapsed="false">
      <c r="H2724" s="0" t="str">
        <f aca="false">IF(B2724="","",IF(COUNTIF(Campaigns!$A$7:$A$300,B2724)&gt;0,"✓","⚠ add to Campaigns tab"))</f>
        <v/>
      </c>
      <c r="I2724" s="84" t="str">
        <f aca="false">IF(C2724="","",C2724*IF(Settings!$B$23=Settings!$C$6,1,IF(Settings!$B$23="USD",1/INDEX(Settings!$B$29:$B$40,MONTH(A2724)),INDEX(Settings!$B$29:$B$40,MONTH(A2724)))))</f>
        <v/>
      </c>
    </row>
    <row r="2725" customFormat="false" ht="15" hidden="false" customHeight="false" outlineLevel="0" collapsed="false">
      <c r="H2725" s="0" t="str">
        <f aca="false">IF(B2725="","",IF(COUNTIF(Campaigns!$A$7:$A$300,B2725)&gt;0,"✓","⚠ add to Campaigns tab"))</f>
        <v/>
      </c>
      <c r="I2725" s="84" t="str">
        <f aca="false">IF(C2725="","",C2725*IF(Settings!$B$23=Settings!$C$6,1,IF(Settings!$B$23="USD",1/INDEX(Settings!$B$29:$B$40,MONTH(A2725)),INDEX(Settings!$B$29:$B$40,MONTH(A2725)))))</f>
        <v/>
      </c>
    </row>
    <row r="2726" customFormat="false" ht="15" hidden="false" customHeight="false" outlineLevel="0" collapsed="false">
      <c r="H2726" s="0" t="str">
        <f aca="false">IF(B2726="","",IF(COUNTIF(Campaigns!$A$7:$A$300,B2726)&gt;0,"✓","⚠ add to Campaigns tab"))</f>
        <v/>
      </c>
      <c r="I2726" s="84" t="str">
        <f aca="false">IF(C2726="","",C2726*IF(Settings!$B$23=Settings!$C$6,1,IF(Settings!$B$23="USD",1/INDEX(Settings!$B$29:$B$40,MONTH(A2726)),INDEX(Settings!$B$29:$B$40,MONTH(A2726)))))</f>
        <v/>
      </c>
    </row>
    <row r="2727" customFormat="false" ht="15" hidden="false" customHeight="false" outlineLevel="0" collapsed="false">
      <c r="H2727" s="0" t="str">
        <f aca="false">IF(B2727="","",IF(COUNTIF(Campaigns!$A$7:$A$300,B2727)&gt;0,"✓","⚠ add to Campaigns tab"))</f>
        <v/>
      </c>
      <c r="I2727" s="84" t="str">
        <f aca="false">IF(C2727="","",C2727*IF(Settings!$B$23=Settings!$C$6,1,IF(Settings!$B$23="USD",1/INDEX(Settings!$B$29:$B$40,MONTH(A2727)),INDEX(Settings!$B$29:$B$40,MONTH(A2727)))))</f>
        <v/>
      </c>
    </row>
    <row r="2728" customFormat="false" ht="15" hidden="false" customHeight="false" outlineLevel="0" collapsed="false">
      <c r="H2728" s="0" t="str">
        <f aca="false">IF(B2728="","",IF(COUNTIF(Campaigns!$A$7:$A$300,B2728)&gt;0,"✓","⚠ add to Campaigns tab"))</f>
        <v/>
      </c>
      <c r="I2728" s="84" t="str">
        <f aca="false">IF(C2728="","",C2728*IF(Settings!$B$23=Settings!$C$6,1,IF(Settings!$B$23="USD",1/INDEX(Settings!$B$29:$B$40,MONTH(A2728)),INDEX(Settings!$B$29:$B$40,MONTH(A2728)))))</f>
        <v/>
      </c>
    </row>
    <row r="2729" customFormat="false" ht="15" hidden="false" customHeight="false" outlineLevel="0" collapsed="false">
      <c r="H2729" s="0" t="str">
        <f aca="false">IF(B2729="","",IF(COUNTIF(Campaigns!$A$7:$A$300,B2729)&gt;0,"✓","⚠ add to Campaigns tab"))</f>
        <v/>
      </c>
      <c r="I2729" s="84" t="str">
        <f aca="false">IF(C2729="","",C2729*IF(Settings!$B$23=Settings!$C$6,1,IF(Settings!$B$23="USD",1/INDEX(Settings!$B$29:$B$40,MONTH(A2729)),INDEX(Settings!$B$29:$B$40,MONTH(A2729)))))</f>
        <v/>
      </c>
    </row>
    <row r="2730" customFormat="false" ht="15" hidden="false" customHeight="false" outlineLevel="0" collapsed="false">
      <c r="H2730" s="0" t="str">
        <f aca="false">IF(B2730="","",IF(COUNTIF(Campaigns!$A$7:$A$300,B2730)&gt;0,"✓","⚠ add to Campaigns tab"))</f>
        <v/>
      </c>
      <c r="I2730" s="84" t="str">
        <f aca="false">IF(C2730="","",C2730*IF(Settings!$B$23=Settings!$C$6,1,IF(Settings!$B$23="USD",1/INDEX(Settings!$B$29:$B$40,MONTH(A2730)),INDEX(Settings!$B$29:$B$40,MONTH(A2730)))))</f>
        <v/>
      </c>
    </row>
    <row r="2731" customFormat="false" ht="15" hidden="false" customHeight="false" outlineLevel="0" collapsed="false">
      <c r="H2731" s="0" t="str">
        <f aca="false">IF(B2731="","",IF(COUNTIF(Campaigns!$A$7:$A$300,B2731)&gt;0,"✓","⚠ add to Campaigns tab"))</f>
        <v/>
      </c>
      <c r="I2731" s="84" t="str">
        <f aca="false">IF(C2731="","",C2731*IF(Settings!$B$23=Settings!$C$6,1,IF(Settings!$B$23="USD",1/INDEX(Settings!$B$29:$B$40,MONTH(A2731)),INDEX(Settings!$B$29:$B$40,MONTH(A2731)))))</f>
        <v/>
      </c>
    </row>
    <row r="2732" customFormat="false" ht="15" hidden="false" customHeight="false" outlineLevel="0" collapsed="false">
      <c r="H2732" s="0" t="str">
        <f aca="false">IF(B2732="","",IF(COUNTIF(Campaigns!$A$7:$A$300,B2732)&gt;0,"✓","⚠ add to Campaigns tab"))</f>
        <v/>
      </c>
      <c r="I2732" s="84" t="str">
        <f aca="false">IF(C2732="","",C2732*IF(Settings!$B$23=Settings!$C$6,1,IF(Settings!$B$23="USD",1/INDEX(Settings!$B$29:$B$40,MONTH(A2732)),INDEX(Settings!$B$29:$B$40,MONTH(A2732)))))</f>
        <v/>
      </c>
    </row>
    <row r="2733" customFormat="false" ht="15" hidden="false" customHeight="false" outlineLevel="0" collapsed="false">
      <c r="H2733" s="0" t="str">
        <f aca="false">IF(B2733="","",IF(COUNTIF(Campaigns!$A$7:$A$300,B2733)&gt;0,"✓","⚠ add to Campaigns tab"))</f>
        <v/>
      </c>
      <c r="I2733" s="84" t="str">
        <f aca="false">IF(C2733="","",C2733*IF(Settings!$B$23=Settings!$C$6,1,IF(Settings!$B$23="USD",1/INDEX(Settings!$B$29:$B$40,MONTH(A2733)),INDEX(Settings!$B$29:$B$40,MONTH(A2733)))))</f>
        <v/>
      </c>
    </row>
    <row r="2734" customFormat="false" ht="15" hidden="false" customHeight="false" outlineLevel="0" collapsed="false">
      <c r="H2734" s="0" t="str">
        <f aca="false">IF(B2734="","",IF(COUNTIF(Campaigns!$A$7:$A$300,B2734)&gt;0,"✓","⚠ add to Campaigns tab"))</f>
        <v/>
      </c>
      <c r="I2734" s="84" t="str">
        <f aca="false">IF(C2734="","",C2734*IF(Settings!$B$23=Settings!$C$6,1,IF(Settings!$B$23="USD",1/INDEX(Settings!$B$29:$B$40,MONTH(A2734)),INDEX(Settings!$B$29:$B$40,MONTH(A2734)))))</f>
        <v/>
      </c>
    </row>
    <row r="2735" customFormat="false" ht="15" hidden="false" customHeight="false" outlineLevel="0" collapsed="false">
      <c r="H2735" s="0" t="str">
        <f aca="false">IF(B2735="","",IF(COUNTIF(Campaigns!$A$7:$A$300,B2735)&gt;0,"✓","⚠ add to Campaigns tab"))</f>
        <v/>
      </c>
      <c r="I2735" s="84" t="str">
        <f aca="false">IF(C2735="","",C2735*IF(Settings!$B$23=Settings!$C$6,1,IF(Settings!$B$23="USD",1/INDEX(Settings!$B$29:$B$40,MONTH(A2735)),INDEX(Settings!$B$29:$B$40,MONTH(A2735)))))</f>
        <v/>
      </c>
    </row>
    <row r="2736" customFormat="false" ht="15" hidden="false" customHeight="false" outlineLevel="0" collapsed="false">
      <c r="H2736" s="0" t="str">
        <f aca="false">IF(B2736="","",IF(COUNTIF(Campaigns!$A$7:$A$300,B2736)&gt;0,"✓","⚠ add to Campaigns tab"))</f>
        <v/>
      </c>
      <c r="I2736" s="84" t="str">
        <f aca="false">IF(C2736="","",C2736*IF(Settings!$B$23=Settings!$C$6,1,IF(Settings!$B$23="USD",1/INDEX(Settings!$B$29:$B$40,MONTH(A2736)),INDEX(Settings!$B$29:$B$40,MONTH(A2736)))))</f>
        <v/>
      </c>
    </row>
    <row r="2737" customFormat="false" ht="15" hidden="false" customHeight="false" outlineLevel="0" collapsed="false">
      <c r="H2737" s="0" t="str">
        <f aca="false">IF(B2737="","",IF(COUNTIF(Campaigns!$A$7:$A$300,B2737)&gt;0,"✓","⚠ add to Campaigns tab"))</f>
        <v/>
      </c>
      <c r="I2737" s="84" t="str">
        <f aca="false">IF(C2737="","",C2737*IF(Settings!$B$23=Settings!$C$6,1,IF(Settings!$B$23="USD",1/INDEX(Settings!$B$29:$B$40,MONTH(A2737)),INDEX(Settings!$B$29:$B$40,MONTH(A2737)))))</f>
        <v/>
      </c>
    </row>
    <row r="2738" customFormat="false" ht="15" hidden="false" customHeight="false" outlineLevel="0" collapsed="false">
      <c r="H2738" s="0" t="str">
        <f aca="false">IF(B2738="","",IF(COUNTIF(Campaigns!$A$7:$A$300,B2738)&gt;0,"✓","⚠ add to Campaigns tab"))</f>
        <v/>
      </c>
      <c r="I2738" s="84" t="str">
        <f aca="false">IF(C2738="","",C2738*IF(Settings!$B$23=Settings!$C$6,1,IF(Settings!$B$23="USD",1/INDEX(Settings!$B$29:$B$40,MONTH(A2738)),INDEX(Settings!$B$29:$B$40,MONTH(A2738)))))</f>
        <v/>
      </c>
    </row>
    <row r="2739" customFormat="false" ht="15" hidden="false" customHeight="false" outlineLevel="0" collapsed="false">
      <c r="H2739" s="0" t="str">
        <f aca="false">IF(B2739="","",IF(COUNTIF(Campaigns!$A$7:$A$300,B2739)&gt;0,"✓","⚠ add to Campaigns tab"))</f>
        <v/>
      </c>
      <c r="I2739" s="84" t="str">
        <f aca="false">IF(C2739="","",C2739*IF(Settings!$B$23=Settings!$C$6,1,IF(Settings!$B$23="USD",1/INDEX(Settings!$B$29:$B$40,MONTH(A2739)),INDEX(Settings!$B$29:$B$40,MONTH(A2739)))))</f>
        <v/>
      </c>
    </row>
    <row r="2740" customFormat="false" ht="15" hidden="false" customHeight="false" outlineLevel="0" collapsed="false">
      <c r="H2740" s="0" t="str">
        <f aca="false">IF(B2740="","",IF(COUNTIF(Campaigns!$A$7:$A$300,B2740)&gt;0,"✓","⚠ add to Campaigns tab"))</f>
        <v/>
      </c>
      <c r="I2740" s="84" t="str">
        <f aca="false">IF(C2740="","",C2740*IF(Settings!$B$23=Settings!$C$6,1,IF(Settings!$B$23="USD",1/INDEX(Settings!$B$29:$B$40,MONTH(A2740)),INDEX(Settings!$B$29:$B$40,MONTH(A2740)))))</f>
        <v/>
      </c>
    </row>
    <row r="2741" customFormat="false" ht="15" hidden="false" customHeight="false" outlineLevel="0" collapsed="false">
      <c r="H2741" s="0" t="str">
        <f aca="false">IF(B2741="","",IF(COUNTIF(Campaigns!$A$7:$A$300,B2741)&gt;0,"✓","⚠ add to Campaigns tab"))</f>
        <v/>
      </c>
      <c r="I2741" s="84" t="str">
        <f aca="false">IF(C2741="","",C2741*IF(Settings!$B$23=Settings!$C$6,1,IF(Settings!$B$23="USD",1/INDEX(Settings!$B$29:$B$40,MONTH(A2741)),INDEX(Settings!$B$29:$B$40,MONTH(A2741)))))</f>
        <v/>
      </c>
    </row>
    <row r="2742" customFormat="false" ht="15" hidden="false" customHeight="false" outlineLevel="0" collapsed="false">
      <c r="H2742" s="0" t="str">
        <f aca="false">IF(B2742="","",IF(COUNTIF(Campaigns!$A$7:$A$300,B2742)&gt;0,"✓","⚠ add to Campaigns tab"))</f>
        <v/>
      </c>
      <c r="I2742" s="84" t="str">
        <f aca="false">IF(C2742="","",C2742*IF(Settings!$B$23=Settings!$C$6,1,IF(Settings!$B$23="USD",1/INDEX(Settings!$B$29:$B$40,MONTH(A2742)),INDEX(Settings!$B$29:$B$40,MONTH(A2742)))))</f>
        <v/>
      </c>
    </row>
    <row r="2743" customFormat="false" ht="15" hidden="false" customHeight="false" outlineLevel="0" collapsed="false">
      <c r="H2743" s="0" t="str">
        <f aca="false">IF(B2743="","",IF(COUNTIF(Campaigns!$A$7:$A$300,B2743)&gt;0,"✓","⚠ add to Campaigns tab"))</f>
        <v/>
      </c>
      <c r="I2743" s="84" t="str">
        <f aca="false">IF(C2743="","",C2743*IF(Settings!$B$23=Settings!$C$6,1,IF(Settings!$B$23="USD",1/INDEX(Settings!$B$29:$B$40,MONTH(A2743)),INDEX(Settings!$B$29:$B$40,MONTH(A2743)))))</f>
        <v/>
      </c>
    </row>
    <row r="2744" customFormat="false" ht="15" hidden="false" customHeight="false" outlineLevel="0" collapsed="false">
      <c r="H2744" s="0" t="str">
        <f aca="false">IF(B2744="","",IF(COUNTIF(Campaigns!$A$7:$A$300,B2744)&gt;0,"✓","⚠ add to Campaigns tab"))</f>
        <v/>
      </c>
      <c r="I2744" s="84" t="str">
        <f aca="false">IF(C2744="","",C2744*IF(Settings!$B$23=Settings!$C$6,1,IF(Settings!$B$23="USD",1/INDEX(Settings!$B$29:$B$40,MONTH(A2744)),INDEX(Settings!$B$29:$B$40,MONTH(A2744)))))</f>
        <v/>
      </c>
    </row>
    <row r="2745" customFormat="false" ht="15" hidden="false" customHeight="false" outlineLevel="0" collapsed="false">
      <c r="H2745" s="0" t="str">
        <f aca="false">IF(B2745="","",IF(COUNTIF(Campaigns!$A$7:$A$300,B2745)&gt;0,"✓","⚠ add to Campaigns tab"))</f>
        <v/>
      </c>
      <c r="I2745" s="84" t="str">
        <f aca="false">IF(C2745="","",C2745*IF(Settings!$B$23=Settings!$C$6,1,IF(Settings!$B$23="USD",1/INDEX(Settings!$B$29:$B$40,MONTH(A2745)),INDEX(Settings!$B$29:$B$40,MONTH(A2745)))))</f>
        <v/>
      </c>
    </row>
    <row r="2746" customFormat="false" ht="15" hidden="false" customHeight="false" outlineLevel="0" collapsed="false">
      <c r="H2746" s="0" t="str">
        <f aca="false">IF(B2746="","",IF(COUNTIF(Campaigns!$A$7:$A$300,B2746)&gt;0,"✓","⚠ add to Campaigns tab"))</f>
        <v/>
      </c>
      <c r="I2746" s="84" t="str">
        <f aca="false">IF(C2746="","",C2746*IF(Settings!$B$23=Settings!$C$6,1,IF(Settings!$B$23="USD",1/INDEX(Settings!$B$29:$B$40,MONTH(A2746)),INDEX(Settings!$B$29:$B$40,MONTH(A2746)))))</f>
        <v/>
      </c>
    </row>
    <row r="2747" customFormat="false" ht="15" hidden="false" customHeight="false" outlineLevel="0" collapsed="false">
      <c r="H2747" s="0" t="str">
        <f aca="false">IF(B2747="","",IF(COUNTIF(Campaigns!$A$7:$A$300,B2747)&gt;0,"✓","⚠ add to Campaigns tab"))</f>
        <v/>
      </c>
      <c r="I2747" s="84" t="str">
        <f aca="false">IF(C2747="","",C2747*IF(Settings!$B$23=Settings!$C$6,1,IF(Settings!$B$23="USD",1/INDEX(Settings!$B$29:$B$40,MONTH(A2747)),INDEX(Settings!$B$29:$B$40,MONTH(A2747)))))</f>
        <v/>
      </c>
    </row>
    <row r="2748" customFormat="false" ht="15" hidden="false" customHeight="false" outlineLevel="0" collapsed="false">
      <c r="H2748" s="0" t="str">
        <f aca="false">IF(B2748="","",IF(COUNTIF(Campaigns!$A$7:$A$300,B2748)&gt;0,"✓","⚠ add to Campaigns tab"))</f>
        <v/>
      </c>
      <c r="I2748" s="84" t="str">
        <f aca="false">IF(C2748="","",C2748*IF(Settings!$B$23=Settings!$C$6,1,IF(Settings!$B$23="USD",1/INDEX(Settings!$B$29:$B$40,MONTH(A2748)),INDEX(Settings!$B$29:$B$40,MONTH(A2748)))))</f>
        <v/>
      </c>
    </row>
    <row r="2749" customFormat="false" ht="15" hidden="false" customHeight="false" outlineLevel="0" collapsed="false">
      <c r="H2749" s="0" t="str">
        <f aca="false">IF(B2749="","",IF(COUNTIF(Campaigns!$A$7:$A$300,B2749)&gt;0,"✓","⚠ add to Campaigns tab"))</f>
        <v/>
      </c>
      <c r="I2749" s="84" t="str">
        <f aca="false">IF(C2749="","",C2749*IF(Settings!$B$23=Settings!$C$6,1,IF(Settings!$B$23="USD",1/INDEX(Settings!$B$29:$B$40,MONTH(A2749)),INDEX(Settings!$B$29:$B$40,MONTH(A2749)))))</f>
        <v/>
      </c>
    </row>
    <row r="2750" customFormat="false" ht="15" hidden="false" customHeight="false" outlineLevel="0" collapsed="false">
      <c r="H2750" s="0" t="str">
        <f aca="false">IF(B2750="","",IF(COUNTIF(Campaigns!$A$7:$A$300,B2750)&gt;0,"✓","⚠ add to Campaigns tab"))</f>
        <v/>
      </c>
      <c r="I2750" s="84" t="str">
        <f aca="false">IF(C2750="","",C2750*IF(Settings!$B$23=Settings!$C$6,1,IF(Settings!$B$23="USD",1/INDEX(Settings!$B$29:$B$40,MONTH(A2750)),INDEX(Settings!$B$29:$B$40,MONTH(A2750)))))</f>
        <v/>
      </c>
    </row>
    <row r="2751" customFormat="false" ht="15" hidden="false" customHeight="false" outlineLevel="0" collapsed="false">
      <c r="H2751" s="0" t="str">
        <f aca="false">IF(B2751="","",IF(COUNTIF(Campaigns!$A$7:$A$300,B2751)&gt;0,"✓","⚠ add to Campaigns tab"))</f>
        <v/>
      </c>
      <c r="I2751" s="84" t="str">
        <f aca="false">IF(C2751="","",C2751*IF(Settings!$B$23=Settings!$C$6,1,IF(Settings!$B$23="USD",1/INDEX(Settings!$B$29:$B$40,MONTH(A2751)),INDEX(Settings!$B$29:$B$40,MONTH(A2751)))))</f>
        <v/>
      </c>
    </row>
    <row r="2752" customFormat="false" ht="15" hidden="false" customHeight="false" outlineLevel="0" collapsed="false">
      <c r="H2752" s="0" t="str">
        <f aca="false">IF(B2752="","",IF(COUNTIF(Campaigns!$A$7:$A$300,B2752)&gt;0,"✓","⚠ add to Campaigns tab"))</f>
        <v/>
      </c>
      <c r="I2752" s="84" t="str">
        <f aca="false">IF(C2752="","",C2752*IF(Settings!$B$23=Settings!$C$6,1,IF(Settings!$B$23="USD",1/INDEX(Settings!$B$29:$B$40,MONTH(A2752)),INDEX(Settings!$B$29:$B$40,MONTH(A2752)))))</f>
        <v/>
      </c>
    </row>
    <row r="2753" customFormat="false" ht="15" hidden="false" customHeight="false" outlineLevel="0" collapsed="false">
      <c r="H2753" s="0" t="str">
        <f aca="false">IF(B2753="","",IF(COUNTIF(Campaigns!$A$7:$A$300,B2753)&gt;0,"✓","⚠ add to Campaigns tab"))</f>
        <v/>
      </c>
      <c r="I2753" s="84" t="str">
        <f aca="false">IF(C2753="","",C2753*IF(Settings!$B$23=Settings!$C$6,1,IF(Settings!$B$23="USD",1/INDEX(Settings!$B$29:$B$40,MONTH(A2753)),INDEX(Settings!$B$29:$B$40,MONTH(A2753)))))</f>
        <v/>
      </c>
    </row>
    <row r="2754" customFormat="false" ht="15" hidden="false" customHeight="false" outlineLevel="0" collapsed="false">
      <c r="H2754" s="0" t="str">
        <f aca="false">IF(B2754="","",IF(COUNTIF(Campaigns!$A$7:$A$300,B2754)&gt;0,"✓","⚠ add to Campaigns tab"))</f>
        <v/>
      </c>
      <c r="I2754" s="84" t="str">
        <f aca="false">IF(C2754="","",C2754*IF(Settings!$B$23=Settings!$C$6,1,IF(Settings!$B$23="USD",1/INDEX(Settings!$B$29:$B$40,MONTH(A2754)),INDEX(Settings!$B$29:$B$40,MONTH(A2754)))))</f>
        <v/>
      </c>
    </row>
    <row r="2755" customFormat="false" ht="15" hidden="false" customHeight="false" outlineLevel="0" collapsed="false">
      <c r="H2755" s="0" t="str">
        <f aca="false">IF(B2755="","",IF(COUNTIF(Campaigns!$A$7:$A$300,B2755)&gt;0,"✓","⚠ add to Campaigns tab"))</f>
        <v/>
      </c>
      <c r="I2755" s="84" t="str">
        <f aca="false">IF(C2755="","",C2755*IF(Settings!$B$23=Settings!$C$6,1,IF(Settings!$B$23="USD",1/INDEX(Settings!$B$29:$B$40,MONTH(A2755)),INDEX(Settings!$B$29:$B$40,MONTH(A2755)))))</f>
        <v/>
      </c>
    </row>
    <row r="2756" customFormat="false" ht="15" hidden="false" customHeight="false" outlineLevel="0" collapsed="false">
      <c r="H2756" s="0" t="str">
        <f aca="false">IF(B2756="","",IF(COUNTIF(Campaigns!$A$7:$A$300,B2756)&gt;0,"✓","⚠ add to Campaigns tab"))</f>
        <v/>
      </c>
      <c r="I2756" s="84" t="str">
        <f aca="false">IF(C2756="","",C2756*IF(Settings!$B$23=Settings!$C$6,1,IF(Settings!$B$23="USD",1/INDEX(Settings!$B$29:$B$40,MONTH(A2756)),INDEX(Settings!$B$29:$B$40,MONTH(A2756)))))</f>
        <v/>
      </c>
    </row>
    <row r="2757" customFormat="false" ht="15" hidden="false" customHeight="false" outlineLevel="0" collapsed="false">
      <c r="H2757" s="0" t="str">
        <f aca="false">IF(B2757="","",IF(COUNTIF(Campaigns!$A$7:$A$300,B2757)&gt;0,"✓","⚠ add to Campaigns tab"))</f>
        <v/>
      </c>
      <c r="I2757" s="84" t="str">
        <f aca="false">IF(C2757="","",C2757*IF(Settings!$B$23=Settings!$C$6,1,IF(Settings!$B$23="USD",1/INDEX(Settings!$B$29:$B$40,MONTH(A2757)),INDEX(Settings!$B$29:$B$40,MONTH(A2757)))))</f>
        <v/>
      </c>
    </row>
    <row r="2758" customFormat="false" ht="15" hidden="false" customHeight="false" outlineLevel="0" collapsed="false">
      <c r="H2758" s="0" t="str">
        <f aca="false">IF(B2758="","",IF(COUNTIF(Campaigns!$A$7:$A$300,B2758)&gt;0,"✓","⚠ add to Campaigns tab"))</f>
        <v/>
      </c>
      <c r="I2758" s="84" t="str">
        <f aca="false">IF(C2758="","",C2758*IF(Settings!$B$23=Settings!$C$6,1,IF(Settings!$B$23="USD",1/INDEX(Settings!$B$29:$B$40,MONTH(A2758)),INDEX(Settings!$B$29:$B$40,MONTH(A2758)))))</f>
        <v/>
      </c>
    </row>
    <row r="2759" customFormat="false" ht="15" hidden="false" customHeight="false" outlineLevel="0" collapsed="false">
      <c r="H2759" s="0" t="str">
        <f aca="false">IF(B2759="","",IF(COUNTIF(Campaigns!$A$7:$A$300,B2759)&gt;0,"✓","⚠ add to Campaigns tab"))</f>
        <v/>
      </c>
      <c r="I2759" s="84" t="str">
        <f aca="false">IF(C2759="","",C2759*IF(Settings!$B$23=Settings!$C$6,1,IF(Settings!$B$23="USD",1/INDEX(Settings!$B$29:$B$40,MONTH(A2759)),INDEX(Settings!$B$29:$B$40,MONTH(A2759)))))</f>
        <v/>
      </c>
    </row>
    <row r="2760" customFormat="false" ht="15" hidden="false" customHeight="false" outlineLevel="0" collapsed="false">
      <c r="H2760" s="0" t="str">
        <f aca="false">IF(B2760="","",IF(COUNTIF(Campaigns!$A$7:$A$300,B2760)&gt;0,"✓","⚠ add to Campaigns tab"))</f>
        <v/>
      </c>
      <c r="I2760" s="84" t="str">
        <f aca="false">IF(C2760="","",C2760*IF(Settings!$B$23=Settings!$C$6,1,IF(Settings!$B$23="USD",1/INDEX(Settings!$B$29:$B$40,MONTH(A2760)),INDEX(Settings!$B$29:$B$40,MONTH(A2760)))))</f>
        <v/>
      </c>
    </row>
    <row r="2761" customFormat="false" ht="15" hidden="false" customHeight="false" outlineLevel="0" collapsed="false">
      <c r="H2761" s="0" t="str">
        <f aca="false">IF(B2761="","",IF(COUNTIF(Campaigns!$A$7:$A$300,B2761)&gt;0,"✓","⚠ add to Campaigns tab"))</f>
        <v/>
      </c>
      <c r="I2761" s="84" t="str">
        <f aca="false">IF(C2761="","",C2761*IF(Settings!$B$23=Settings!$C$6,1,IF(Settings!$B$23="USD",1/INDEX(Settings!$B$29:$B$40,MONTH(A2761)),INDEX(Settings!$B$29:$B$40,MONTH(A2761)))))</f>
        <v/>
      </c>
    </row>
    <row r="2762" customFormat="false" ht="15" hidden="false" customHeight="false" outlineLevel="0" collapsed="false">
      <c r="H2762" s="0" t="str">
        <f aca="false">IF(B2762="","",IF(COUNTIF(Campaigns!$A$7:$A$300,B2762)&gt;0,"✓","⚠ add to Campaigns tab"))</f>
        <v/>
      </c>
      <c r="I2762" s="84" t="str">
        <f aca="false">IF(C2762="","",C2762*IF(Settings!$B$23=Settings!$C$6,1,IF(Settings!$B$23="USD",1/INDEX(Settings!$B$29:$B$40,MONTH(A2762)),INDEX(Settings!$B$29:$B$40,MONTH(A2762)))))</f>
        <v/>
      </c>
    </row>
    <row r="2763" customFormat="false" ht="15" hidden="false" customHeight="false" outlineLevel="0" collapsed="false">
      <c r="H2763" s="0" t="str">
        <f aca="false">IF(B2763="","",IF(COUNTIF(Campaigns!$A$7:$A$300,B2763)&gt;0,"✓","⚠ add to Campaigns tab"))</f>
        <v/>
      </c>
      <c r="I2763" s="84" t="str">
        <f aca="false">IF(C2763="","",C2763*IF(Settings!$B$23=Settings!$C$6,1,IF(Settings!$B$23="USD",1/INDEX(Settings!$B$29:$B$40,MONTH(A2763)),INDEX(Settings!$B$29:$B$40,MONTH(A2763)))))</f>
        <v/>
      </c>
    </row>
    <row r="2764" customFormat="false" ht="15" hidden="false" customHeight="false" outlineLevel="0" collapsed="false">
      <c r="H2764" s="0" t="str">
        <f aca="false">IF(B2764="","",IF(COUNTIF(Campaigns!$A$7:$A$300,B2764)&gt;0,"✓","⚠ add to Campaigns tab"))</f>
        <v/>
      </c>
      <c r="I2764" s="84" t="str">
        <f aca="false">IF(C2764="","",C2764*IF(Settings!$B$23=Settings!$C$6,1,IF(Settings!$B$23="USD",1/INDEX(Settings!$B$29:$B$40,MONTH(A2764)),INDEX(Settings!$B$29:$B$40,MONTH(A2764)))))</f>
        <v/>
      </c>
    </row>
    <row r="2765" customFormat="false" ht="15" hidden="false" customHeight="false" outlineLevel="0" collapsed="false">
      <c r="H2765" s="0" t="str">
        <f aca="false">IF(B2765="","",IF(COUNTIF(Campaigns!$A$7:$A$300,B2765)&gt;0,"✓","⚠ add to Campaigns tab"))</f>
        <v/>
      </c>
      <c r="I2765" s="84" t="str">
        <f aca="false">IF(C2765="","",C2765*IF(Settings!$B$23=Settings!$C$6,1,IF(Settings!$B$23="USD",1/INDEX(Settings!$B$29:$B$40,MONTH(A2765)),INDEX(Settings!$B$29:$B$40,MONTH(A2765)))))</f>
        <v/>
      </c>
    </row>
    <row r="2766" customFormat="false" ht="15" hidden="false" customHeight="false" outlineLevel="0" collapsed="false">
      <c r="H2766" s="0" t="str">
        <f aca="false">IF(B2766="","",IF(COUNTIF(Campaigns!$A$7:$A$300,B2766)&gt;0,"✓","⚠ add to Campaigns tab"))</f>
        <v/>
      </c>
      <c r="I2766" s="84" t="str">
        <f aca="false">IF(C2766="","",C2766*IF(Settings!$B$23=Settings!$C$6,1,IF(Settings!$B$23="USD",1/INDEX(Settings!$B$29:$B$40,MONTH(A2766)),INDEX(Settings!$B$29:$B$40,MONTH(A2766)))))</f>
        <v/>
      </c>
    </row>
    <row r="2767" customFormat="false" ht="15" hidden="false" customHeight="false" outlineLevel="0" collapsed="false">
      <c r="H2767" s="0" t="str">
        <f aca="false">IF(B2767="","",IF(COUNTIF(Campaigns!$A$7:$A$300,B2767)&gt;0,"✓","⚠ add to Campaigns tab"))</f>
        <v/>
      </c>
      <c r="I2767" s="84" t="str">
        <f aca="false">IF(C2767="","",C2767*IF(Settings!$B$23=Settings!$C$6,1,IF(Settings!$B$23="USD",1/INDEX(Settings!$B$29:$B$40,MONTH(A2767)),INDEX(Settings!$B$29:$B$40,MONTH(A2767)))))</f>
        <v/>
      </c>
    </row>
    <row r="2768" customFormat="false" ht="15" hidden="false" customHeight="false" outlineLevel="0" collapsed="false">
      <c r="H2768" s="0" t="str">
        <f aca="false">IF(B2768="","",IF(COUNTIF(Campaigns!$A$7:$A$300,B2768)&gt;0,"✓","⚠ add to Campaigns tab"))</f>
        <v/>
      </c>
      <c r="I2768" s="84" t="str">
        <f aca="false">IF(C2768="","",C2768*IF(Settings!$B$23=Settings!$C$6,1,IF(Settings!$B$23="USD",1/INDEX(Settings!$B$29:$B$40,MONTH(A2768)),INDEX(Settings!$B$29:$B$40,MONTH(A2768)))))</f>
        <v/>
      </c>
    </row>
    <row r="2769" customFormat="false" ht="15" hidden="false" customHeight="false" outlineLevel="0" collapsed="false">
      <c r="H2769" s="0" t="str">
        <f aca="false">IF(B2769="","",IF(COUNTIF(Campaigns!$A$7:$A$300,B2769)&gt;0,"✓","⚠ add to Campaigns tab"))</f>
        <v/>
      </c>
      <c r="I2769" s="84" t="str">
        <f aca="false">IF(C2769="","",C2769*IF(Settings!$B$23=Settings!$C$6,1,IF(Settings!$B$23="USD",1/INDEX(Settings!$B$29:$B$40,MONTH(A2769)),INDEX(Settings!$B$29:$B$40,MONTH(A2769)))))</f>
        <v/>
      </c>
    </row>
    <row r="2770" customFormat="false" ht="15" hidden="false" customHeight="false" outlineLevel="0" collapsed="false">
      <c r="H2770" s="0" t="str">
        <f aca="false">IF(B2770="","",IF(COUNTIF(Campaigns!$A$7:$A$300,B2770)&gt;0,"✓","⚠ add to Campaigns tab"))</f>
        <v/>
      </c>
      <c r="I2770" s="84" t="str">
        <f aca="false">IF(C2770="","",C2770*IF(Settings!$B$23=Settings!$C$6,1,IF(Settings!$B$23="USD",1/INDEX(Settings!$B$29:$B$40,MONTH(A2770)),INDEX(Settings!$B$29:$B$40,MONTH(A2770)))))</f>
        <v/>
      </c>
    </row>
    <row r="2771" customFormat="false" ht="15" hidden="false" customHeight="false" outlineLevel="0" collapsed="false">
      <c r="H2771" s="0" t="str">
        <f aca="false">IF(B2771="","",IF(COUNTIF(Campaigns!$A$7:$A$300,B2771)&gt;0,"✓","⚠ add to Campaigns tab"))</f>
        <v/>
      </c>
      <c r="I2771" s="84" t="str">
        <f aca="false">IF(C2771="","",C2771*IF(Settings!$B$23=Settings!$C$6,1,IF(Settings!$B$23="USD",1/INDEX(Settings!$B$29:$B$40,MONTH(A2771)),INDEX(Settings!$B$29:$B$40,MONTH(A2771)))))</f>
        <v/>
      </c>
    </row>
    <row r="2772" customFormat="false" ht="15" hidden="false" customHeight="false" outlineLevel="0" collapsed="false">
      <c r="H2772" s="0" t="str">
        <f aca="false">IF(B2772="","",IF(COUNTIF(Campaigns!$A$7:$A$300,B2772)&gt;0,"✓","⚠ add to Campaigns tab"))</f>
        <v/>
      </c>
      <c r="I2772" s="84" t="str">
        <f aca="false">IF(C2772="","",C2772*IF(Settings!$B$23=Settings!$C$6,1,IF(Settings!$B$23="USD",1/INDEX(Settings!$B$29:$B$40,MONTH(A2772)),INDEX(Settings!$B$29:$B$40,MONTH(A2772)))))</f>
        <v/>
      </c>
    </row>
    <row r="2773" customFormat="false" ht="15" hidden="false" customHeight="false" outlineLevel="0" collapsed="false">
      <c r="H2773" s="0" t="str">
        <f aca="false">IF(B2773="","",IF(COUNTIF(Campaigns!$A$7:$A$300,B2773)&gt;0,"✓","⚠ add to Campaigns tab"))</f>
        <v/>
      </c>
      <c r="I2773" s="84" t="str">
        <f aca="false">IF(C2773="","",C2773*IF(Settings!$B$23=Settings!$C$6,1,IF(Settings!$B$23="USD",1/INDEX(Settings!$B$29:$B$40,MONTH(A2773)),INDEX(Settings!$B$29:$B$40,MONTH(A2773)))))</f>
        <v/>
      </c>
    </row>
    <row r="2774" customFormat="false" ht="15" hidden="false" customHeight="false" outlineLevel="0" collapsed="false">
      <c r="H2774" s="0" t="str">
        <f aca="false">IF(B2774="","",IF(COUNTIF(Campaigns!$A$7:$A$300,B2774)&gt;0,"✓","⚠ add to Campaigns tab"))</f>
        <v/>
      </c>
      <c r="I2774" s="84" t="str">
        <f aca="false">IF(C2774="","",C2774*IF(Settings!$B$23=Settings!$C$6,1,IF(Settings!$B$23="USD",1/INDEX(Settings!$B$29:$B$40,MONTH(A2774)),INDEX(Settings!$B$29:$B$40,MONTH(A2774)))))</f>
        <v/>
      </c>
    </row>
    <row r="2775" customFormat="false" ht="15" hidden="false" customHeight="false" outlineLevel="0" collapsed="false">
      <c r="H2775" s="0" t="str">
        <f aca="false">IF(B2775="","",IF(COUNTIF(Campaigns!$A$7:$A$300,B2775)&gt;0,"✓","⚠ add to Campaigns tab"))</f>
        <v/>
      </c>
      <c r="I2775" s="84" t="str">
        <f aca="false">IF(C2775="","",C2775*IF(Settings!$B$23=Settings!$C$6,1,IF(Settings!$B$23="USD",1/INDEX(Settings!$B$29:$B$40,MONTH(A2775)),INDEX(Settings!$B$29:$B$40,MONTH(A2775)))))</f>
        <v/>
      </c>
    </row>
    <row r="2776" customFormat="false" ht="15" hidden="false" customHeight="false" outlineLevel="0" collapsed="false">
      <c r="H2776" s="0" t="str">
        <f aca="false">IF(B2776="","",IF(COUNTIF(Campaigns!$A$7:$A$300,B2776)&gt;0,"✓","⚠ add to Campaigns tab"))</f>
        <v/>
      </c>
      <c r="I2776" s="84" t="str">
        <f aca="false">IF(C2776="","",C2776*IF(Settings!$B$23=Settings!$C$6,1,IF(Settings!$B$23="USD",1/INDEX(Settings!$B$29:$B$40,MONTH(A2776)),INDEX(Settings!$B$29:$B$40,MONTH(A2776)))))</f>
        <v/>
      </c>
    </row>
    <row r="2777" customFormat="false" ht="15" hidden="false" customHeight="false" outlineLevel="0" collapsed="false">
      <c r="H2777" s="0" t="str">
        <f aca="false">IF(B2777="","",IF(COUNTIF(Campaigns!$A$7:$A$300,B2777)&gt;0,"✓","⚠ add to Campaigns tab"))</f>
        <v/>
      </c>
      <c r="I2777" s="84" t="str">
        <f aca="false">IF(C2777="","",C2777*IF(Settings!$B$23=Settings!$C$6,1,IF(Settings!$B$23="USD",1/INDEX(Settings!$B$29:$B$40,MONTH(A2777)),INDEX(Settings!$B$29:$B$40,MONTH(A2777)))))</f>
        <v/>
      </c>
    </row>
    <row r="2778" customFormat="false" ht="15" hidden="false" customHeight="false" outlineLevel="0" collapsed="false">
      <c r="H2778" s="0" t="str">
        <f aca="false">IF(B2778="","",IF(COUNTIF(Campaigns!$A$7:$A$300,B2778)&gt;0,"✓","⚠ add to Campaigns tab"))</f>
        <v/>
      </c>
      <c r="I2778" s="84" t="str">
        <f aca="false">IF(C2778="","",C2778*IF(Settings!$B$23=Settings!$C$6,1,IF(Settings!$B$23="USD",1/INDEX(Settings!$B$29:$B$40,MONTH(A2778)),INDEX(Settings!$B$29:$B$40,MONTH(A2778)))))</f>
        <v/>
      </c>
    </row>
    <row r="2779" customFormat="false" ht="15" hidden="false" customHeight="false" outlineLevel="0" collapsed="false">
      <c r="H2779" s="0" t="str">
        <f aca="false">IF(B2779="","",IF(COUNTIF(Campaigns!$A$7:$A$300,B2779)&gt;0,"✓","⚠ add to Campaigns tab"))</f>
        <v/>
      </c>
      <c r="I2779" s="84" t="str">
        <f aca="false">IF(C2779="","",C2779*IF(Settings!$B$23=Settings!$C$6,1,IF(Settings!$B$23="USD",1/INDEX(Settings!$B$29:$B$40,MONTH(A2779)),INDEX(Settings!$B$29:$B$40,MONTH(A2779)))))</f>
        <v/>
      </c>
    </row>
    <row r="2780" customFormat="false" ht="15" hidden="false" customHeight="false" outlineLevel="0" collapsed="false">
      <c r="H2780" s="0" t="str">
        <f aca="false">IF(B2780="","",IF(COUNTIF(Campaigns!$A$7:$A$300,B2780)&gt;0,"✓","⚠ add to Campaigns tab"))</f>
        <v/>
      </c>
      <c r="I2780" s="84" t="str">
        <f aca="false">IF(C2780="","",C2780*IF(Settings!$B$23=Settings!$C$6,1,IF(Settings!$B$23="USD",1/INDEX(Settings!$B$29:$B$40,MONTH(A2780)),INDEX(Settings!$B$29:$B$40,MONTH(A2780)))))</f>
        <v/>
      </c>
    </row>
    <row r="2781" customFormat="false" ht="15" hidden="false" customHeight="false" outlineLevel="0" collapsed="false">
      <c r="H2781" s="0" t="str">
        <f aca="false">IF(B2781="","",IF(COUNTIF(Campaigns!$A$7:$A$300,B2781)&gt;0,"✓","⚠ add to Campaigns tab"))</f>
        <v/>
      </c>
      <c r="I2781" s="84" t="str">
        <f aca="false">IF(C2781="","",C2781*IF(Settings!$B$23=Settings!$C$6,1,IF(Settings!$B$23="USD",1/INDEX(Settings!$B$29:$B$40,MONTH(A2781)),INDEX(Settings!$B$29:$B$40,MONTH(A2781)))))</f>
        <v/>
      </c>
    </row>
    <row r="2782" customFormat="false" ht="15" hidden="false" customHeight="false" outlineLevel="0" collapsed="false">
      <c r="H2782" s="0" t="str">
        <f aca="false">IF(B2782="","",IF(COUNTIF(Campaigns!$A$7:$A$300,B2782)&gt;0,"✓","⚠ add to Campaigns tab"))</f>
        <v/>
      </c>
      <c r="I2782" s="84" t="str">
        <f aca="false">IF(C2782="","",C2782*IF(Settings!$B$23=Settings!$C$6,1,IF(Settings!$B$23="USD",1/INDEX(Settings!$B$29:$B$40,MONTH(A2782)),INDEX(Settings!$B$29:$B$40,MONTH(A2782)))))</f>
        <v/>
      </c>
    </row>
    <row r="2783" customFormat="false" ht="15" hidden="false" customHeight="false" outlineLevel="0" collapsed="false">
      <c r="H2783" s="0" t="str">
        <f aca="false">IF(B2783="","",IF(COUNTIF(Campaigns!$A$7:$A$300,B2783)&gt;0,"✓","⚠ add to Campaigns tab"))</f>
        <v/>
      </c>
      <c r="I2783" s="84" t="str">
        <f aca="false">IF(C2783="","",C2783*IF(Settings!$B$23=Settings!$C$6,1,IF(Settings!$B$23="USD",1/INDEX(Settings!$B$29:$B$40,MONTH(A2783)),INDEX(Settings!$B$29:$B$40,MONTH(A2783)))))</f>
        <v/>
      </c>
    </row>
    <row r="2784" customFormat="false" ht="15" hidden="false" customHeight="false" outlineLevel="0" collapsed="false">
      <c r="H2784" s="0" t="str">
        <f aca="false">IF(B2784="","",IF(COUNTIF(Campaigns!$A$7:$A$300,B2784)&gt;0,"✓","⚠ add to Campaigns tab"))</f>
        <v/>
      </c>
      <c r="I2784" s="84" t="str">
        <f aca="false">IF(C2784="","",C2784*IF(Settings!$B$23=Settings!$C$6,1,IF(Settings!$B$23="USD",1/INDEX(Settings!$B$29:$B$40,MONTH(A2784)),INDEX(Settings!$B$29:$B$40,MONTH(A2784)))))</f>
        <v/>
      </c>
    </row>
    <row r="2785" customFormat="false" ht="15" hidden="false" customHeight="false" outlineLevel="0" collapsed="false">
      <c r="H2785" s="0" t="str">
        <f aca="false">IF(B2785="","",IF(COUNTIF(Campaigns!$A$7:$A$300,B2785)&gt;0,"✓","⚠ add to Campaigns tab"))</f>
        <v/>
      </c>
      <c r="I2785" s="84" t="str">
        <f aca="false">IF(C2785="","",C2785*IF(Settings!$B$23=Settings!$C$6,1,IF(Settings!$B$23="USD",1/INDEX(Settings!$B$29:$B$40,MONTH(A2785)),INDEX(Settings!$B$29:$B$40,MONTH(A2785)))))</f>
        <v/>
      </c>
    </row>
    <row r="2786" customFormat="false" ht="15" hidden="false" customHeight="false" outlineLevel="0" collapsed="false">
      <c r="H2786" s="0" t="str">
        <f aca="false">IF(B2786="","",IF(COUNTIF(Campaigns!$A$7:$A$300,B2786)&gt;0,"✓","⚠ add to Campaigns tab"))</f>
        <v/>
      </c>
      <c r="I2786" s="84" t="str">
        <f aca="false">IF(C2786="","",C2786*IF(Settings!$B$23=Settings!$C$6,1,IF(Settings!$B$23="USD",1/INDEX(Settings!$B$29:$B$40,MONTH(A2786)),INDEX(Settings!$B$29:$B$40,MONTH(A2786)))))</f>
        <v/>
      </c>
    </row>
    <row r="2787" customFormat="false" ht="15" hidden="false" customHeight="false" outlineLevel="0" collapsed="false">
      <c r="H2787" s="0" t="str">
        <f aca="false">IF(B2787="","",IF(COUNTIF(Campaigns!$A$7:$A$300,B2787)&gt;0,"✓","⚠ add to Campaigns tab"))</f>
        <v/>
      </c>
      <c r="I2787" s="84" t="str">
        <f aca="false">IF(C2787="","",C2787*IF(Settings!$B$23=Settings!$C$6,1,IF(Settings!$B$23="USD",1/INDEX(Settings!$B$29:$B$40,MONTH(A2787)),INDEX(Settings!$B$29:$B$40,MONTH(A2787)))))</f>
        <v/>
      </c>
    </row>
    <row r="2788" customFormat="false" ht="15" hidden="false" customHeight="false" outlineLevel="0" collapsed="false">
      <c r="H2788" s="0" t="str">
        <f aca="false">IF(B2788="","",IF(COUNTIF(Campaigns!$A$7:$A$300,B2788)&gt;0,"✓","⚠ add to Campaigns tab"))</f>
        <v/>
      </c>
      <c r="I2788" s="84" t="str">
        <f aca="false">IF(C2788="","",C2788*IF(Settings!$B$23=Settings!$C$6,1,IF(Settings!$B$23="USD",1/INDEX(Settings!$B$29:$B$40,MONTH(A2788)),INDEX(Settings!$B$29:$B$40,MONTH(A2788)))))</f>
        <v/>
      </c>
    </row>
    <row r="2789" customFormat="false" ht="15" hidden="false" customHeight="false" outlineLevel="0" collapsed="false">
      <c r="H2789" s="0" t="str">
        <f aca="false">IF(B2789="","",IF(COUNTIF(Campaigns!$A$7:$A$300,B2789)&gt;0,"✓","⚠ add to Campaigns tab"))</f>
        <v/>
      </c>
      <c r="I2789" s="84" t="str">
        <f aca="false">IF(C2789="","",C2789*IF(Settings!$B$23=Settings!$C$6,1,IF(Settings!$B$23="USD",1/INDEX(Settings!$B$29:$B$40,MONTH(A2789)),INDEX(Settings!$B$29:$B$40,MONTH(A2789)))))</f>
        <v/>
      </c>
    </row>
    <row r="2790" customFormat="false" ht="15" hidden="false" customHeight="false" outlineLevel="0" collapsed="false">
      <c r="H2790" s="0" t="str">
        <f aca="false">IF(B2790="","",IF(COUNTIF(Campaigns!$A$7:$A$300,B2790)&gt;0,"✓","⚠ add to Campaigns tab"))</f>
        <v/>
      </c>
      <c r="I2790" s="84" t="str">
        <f aca="false">IF(C2790="","",C2790*IF(Settings!$B$23=Settings!$C$6,1,IF(Settings!$B$23="USD",1/INDEX(Settings!$B$29:$B$40,MONTH(A2790)),INDEX(Settings!$B$29:$B$40,MONTH(A2790)))))</f>
        <v/>
      </c>
    </row>
    <row r="2791" customFormat="false" ht="15" hidden="false" customHeight="false" outlineLevel="0" collapsed="false">
      <c r="H2791" s="0" t="str">
        <f aca="false">IF(B2791="","",IF(COUNTIF(Campaigns!$A$7:$A$300,B2791)&gt;0,"✓","⚠ add to Campaigns tab"))</f>
        <v/>
      </c>
      <c r="I2791" s="84" t="str">
        <f aca="false">IF(C2791="","",C2791*IF(Settings!$B$23=Settings!$C$6,1,IF(Settings!$B$23="USD",1/INDEX(Settings!$B$29:$B$40,MONTH(A2791)),INDEX(Settings!$B$29:$B$40,MONTH(A2791)))))</f>
        <v/>
      </c>
    </row>
    <row r="2792" customFormat="false" ht="15" hidden="false" customHeight="false" outlineLevel="0" collapsed="false">
      <c r="H2792" s="0" t="str">
        <f aca="false">IF(B2792="","",IF(COUNTIF(Campaigns!$A$7:$A$300,B2792)&gt;0,"✓","⚠ add to Campaigns tab"))</f>
        <v/>
      </c>
      <c r="I2792" s="84" t="str">
        <f aca="false">IF(C2792="","",C2792*IF(Settings!$B$23=Settings!$C$6,1,IF(Settings!$B$23="USD",1/INDEX(Settings!$B$29:$B$40,MONTH(A2792)),INDEX(Settings!$B$29:$B$40,MONTH(A2792)))))</f>
        <v/>
      </c>
    </row>
    <row r="2793" customFormat="false" ht="15" hidden="false" customHeight="false" outlineLevel="0" collapsed="false">
      <c r="H2793" s="0" t="str">
        <f aca="false">IF(B2793="","",IF(COUNTIF(Campaigns!$A$7:$A$300,B2793)&gt;0,"✓","⚠ add to Campaigns tab"))</f>
        <v/>
      </c>
      <c r="I2793" s="84" t="str">
        <f aca="false">IF(C2793="","",C2793*IF(Settings!$B$23=Settings!$C$6,1,IF(Settings!$B$23="USD",1/INDEX(Settings!$B$29:$B$40,MONTH(A2793)),INDEX(Settings!$B$29:$B$40,MONTH(A2793)))))</f>
        <v/>
      </c>
    </row>
    <row r="2794" customFormat="false" ht="15" hidden="false" customHeight="false" outlineLevel="0" collapsed="false">
      <c r="H2794" s="0" t="str">
        <f aca="false">IF(B2794="","",IF(COUNTIF(Campaigns!$A$7:$A$300,B2794)&gt;0,"✓","⚠ add to Campaigns tab"))</f>
        <v/>
      </c>
      <c r="I2794" s="84" t="str">
        <f aca="false">IF(C2794="","",C2794*IF(Settings!$B$23=Settings!$C$6,1,IF(Settings!$B$23="USD",1/INDEX(Settings!$B$29:$B$40,MONTH(A2794)),INDEX(Settings!$B$29:$B$40,MONTH(A2794)))))</f>
        <v/>
      </c>
    </row>
    <row r="2795" customFormat="false" ht="15" hidden="false" customHeight="false" outlineLevel="0" collapsed="false">
      <c r="H2795" s="0" t="str">
        <f aca="false">IF(B2795="","",IF(COUNTIF(Campaigns!$A$7:$A$300,B2795)&gt;0,"✓","⚠ add to Campaigns tab"))</f>
        <v/>
      </c>
      <c r="I2795" s="84" t="str">
        <f aca="false">IF(C2795="","",C2795*IF(Settings!$B$23=Settings!$C$6,1,IF(Settings!$B$23="USD",1/INDEX(Settings!$B$29:$B$40,MONTH(A2795)),INDEX(Settings!$B$29:$B$40,MONTH(A2795)))))</f>
        <v/>
      </c>
    </row>
    <row r="2796" customFormat="false" ht="15" hidden="false" customHeight="false" outlineLevel="0" collapsed="false">
      <c r="H2796" s="0" t="str">
        <f aca="false">IF(B2796="","",IF(COUNTIF(Campaigns!$A$7:$A$300,B2796)&gt;0,"✓","⚠ add to Campaigns tab"))</f>
        <v/>
      </c>
      <c r="I2796" s="84" t="str">
        <f aca="false">IF(C2796="","",C2796*IF(Settings!$B$23=Settings!$C$6,1,IF(Settings!$B$23="USD",1/INDEX(Settings!$B$29:$B$40,MONTH(A2796)),INDEX(Settings!$B$29:$B$40,MONTH(A2796)))))</f>
        <v/>
      </c>
    </row>
    <row r="2797" customFormat="false" ht="15" hidden="false" customHeight="false" outlineLevel="0" collapsed="false">
      <c r="H2797" s="0" t="str">
        <f aca="false">IF(B2797="","",IF(COUNTIF(Campaigns!$A$7:$A$300,B2797)&gt;0,"✓","⚠ add to Campaigns tab"))</f>
        <v/>
      </c>
      <c r="I2797" s="84" t="str">
        <f aca="false">IF(C2797="","",C2797*IF(Settings!$B$23=Settings!$C$6,1,IF(Settings!$B$23="USD",1/INDEX(Settings!$B$29:$B$40,MONTH(A2797)),INDEX(Settings!$B$29:$B$40,MONTH(A2797)))))</f>
        <v/>
      </c>
    </row>
    <row r="2798" customFormat="false" ht="15" hidden="false" customHeight="false" outlineLevel="0" collapsed="false">
      <c r="H2798" s="0" t="str">
        <f aca="false">IF(B2798="","",IF(COUNTIF(Campaigns!$A$7:$A$300,B2798)&gt;0,"✓","⚠ add to Campaigns tab"))</f>
        <v/>
      </c>
      <c r="I2798" s="84" t="str">
        <f aca="false">IF(C2798="","",C2798*IF(Settings!$B$23=Settings!$C$6,1,IF(Settings!$B$23="USD",1/INDEX(Settings!$B$29:$B$40,MONTH(A2798)),INDEX(Settings!$B$29:$B$40,MONTH(A2798)))))</f>
        <v/>
      </c>
    </row>
    <row r="2799" customFormat="false" ht="15" hidden="false" customHeight="false" outlineLevel="0" collapsed="false">
      <c r="H2799" s="0" t="str">
        <f aca="false">IF(B2799="","",IF(COUNTIF(Campaigns!$A$7:$A$300,B2799)&gt;0,"✓","⚠ add to Campaigns tab"))</f>
        <v/>
      </c>
      <c r="I2799" s="84" t="str">
        <f aca="false">IF(C2799="","",C2799*IF(Settings!$B$23=Settings!$C$6,1,IF(Settings!$B$23="USD",1/INDEX(Settings!$B$29:$B$40,MONTH(A2799)),INDEX(Settings!$B$29:$B$40,MONTH(A2799)))))</f>
        <v/>
      </c>
    </row>
    <row r="2800" customFormat="false" ht="15" hidden="false" customHeight="false" outlineLevel="0" collapsed="false">
      <c r="H2800" s="0" t="str">
        <f aca="false">IF(B2800="","",IF(COUNTIF(Campaigns!$A$7:$A$300,B2800)&gt;0,"✓","⚠ add to Campaigns tab"))</f>
        <v/>
      </c>
      <c r="I2800" s="84" t="str">
        <f aca="false">IF(C2800="","",C2800*IF(Settings!$B$23=Settings!$C$6,1,IF(Settings!$B$23="USD",1/INDEX(Settings!$B$29:$B$40,MONTH(A2800)),INDEX(Settings!$B$29:$B$40,MONTH(A2800)))))</f>
        <v/>
      </c>
    </row>
    <row r="2801" customFormat="false" ht="15" hidden="false" customHeight="false" outlineLevel="0" collapsed="false">
      <c r="H2801" s="0" t="str">
        <f aca="false">IF(B2801="","",IF(COUNTIF(Campaigns!$A$7:$A$300,B2801)&gt;0,"✓","⚠ add to Campaigns tab"))</f>
        <v/>
      </c>
      <c r="I2801" s="84" t="str">
        <f aca="false">IF(C2801="","",C2801*IF(Settings!$B$23=Settings!$C$6,1,IF(Settings!$B$23="USD",1/INDEX(Settings!$B$29:$B$40,MONTH(A2801)),INDEX(Settings!$B$29:$B$40,MONTH(A2801)))))</f>
        <v/>
      </c>
    </row>
    <row r="2802" customFormat="false" ht="15" hidden="false" customHeight="false" outlineLevel="0" collapsed="false">
      <c r="H2802" s="0" t="str">
        <f aca="false">IF(B2802="","",IF(COUNTIF(Campaigns!$A$7:$A$300,B2802)&gt;0,"✓","⚠ add to Campaigns tab"))</f>
        <v/>
      </c>
      <c r="I2802" s="84" t="str">
        <f aca="false">IF(C2802="","",C2802*IF(Settings!$B$23=Settings!$C$6,1,IF(Settings!$B$23="USD",1/INDEX(Settings!$B$29:$B$40,MONTH(A2802)),INDEX(Settings!$B$29:$B$40,MONTH(A2802)))))</f>
        <v/>
      </c>
    </row>
    <row r="2803" customFormat="false" ht="15" hidden="false" customHeight="false" outlineLevel="0" collapsed="false">
      <c r="H2803" s="0" t="str">
        <f aca="false">IF(B2803="","",IF(COUNTIF(Campaigns!$A$7:$A$300,B2803)&gt;0,"✓","⚠ add to Campaigns tab"))</f>
        <v/>
      </c>
      <c r="I2803" s="84" t="str">
        <f aca="false">IF(C2803="","",C2803*IF(Settings!$B$23=Settings!$C$6,1,IF(Settings!$B$23="USD",1/INDEX(Settings!$B$29:$B$40,MONTH(A2803)),INDEX(Settings!$B$29:$B$40,MONTH(A2803)))))</f>
        <v/>
      </c>
    </row>
    <row r="2804" customFormat="false" ht="15" hidden="false" customHeight="false" outlineLevel="0" collapsed="false">
      <c r="H2804" s="0" t="str">
        <f aca="false">IF(B2804="","",IF(COUNTIF(Campaigns!$A$7:$A$300,B2804)&gt;0,"✓","⚠ add to Campaigns tab"))</f>
        <v/>
      </c>
      <c r="I2804" s="84" t="str">
        <f aca="false">IF(C2804="","",C2804*IF(Settings!$B$23=Settings!$C$6,1,IF(Settings!$B$23="USD",1/INDEX(Settings!$B$29:$B$40,MONTH(A2804)),INDEX(Settings!$B$29:$B$40,MONTH(A2804)))))</f>
        <v/>
      </c>
    </row>
    <row r="2805" customFormat="false" ht="15" hidden="false" customHeight="false" outlineLevel="0" collapsed="false">
      <c r="H2805" s="0" t="str">
        <f aca="false">IF(B2805="","",IF(COUNTIF(Campaigns!$A$7:$A$300,B2805)&gt;0,"✓","⚠ add to Campaigns tab"))</f>
        <v/>
      </c>
      <c r="I2805" s="84" t="str">
        <f aca="false">IF(C2805="","",C2805*IF(Settings!$B$23=Settings!$C$6,1,IF(Settings!$B$23="USD",1/INDEX(Settings!$B$29:$B$40,MONTH(A2805)),INDEX(Settings!$B$29:$B$40,MONTH(A2805)))))</f>
        <v/>
      </c>
    </row>
    <row r="2806" customFormat="false" ht="15" hidden="false" customHeight="false" outlineLevel="0" collapsed="false">
      <c r="H2806" s="0" t="str">
        <f aca="false">IF(B2806="","",IF(COUNTIF(Campaigns!$A$7:$A$300,B2806)&gt;0,"✓","⚠ add to Campaigns tab"))</f>
        <v/>
      </c>
      <c r="I2806" s="84" t="str">
        <f aca="false">IF(C2806="","",C2806*IF(Settings!$B$23=Settings!$C$6,1,IF(Settings!$B$23="USD",1/INDEX(Settings!$B$29:$B$40,MONTH(A2806)),INDEX(Settings!$B$29:$B$40,MONTH(A2806)))))</f>
        <v/>
      </c>
    </row>
    <row r="2807" customFormat="false" ht="15" hidden="false" customHeight="false" outlineLevel="0" collapsed="false">
      <c r="H2807" s="0" t="str">
        <f aca="false">IF(B2807="","",IF(COUNTIF(Campaigns!$A$7:$A$300,B2807)&gt;0,"✓","⚠ add to Campaigns tab"))</f>
        <v/>
      </c>
      <c r="I2807" s="84" t="str">
        <f aca="false">IF(C2807="","",C2807*IF(Settings!$B$23=Settings!$C$6,1,IF(Settings!$B$23="USD",1/INDEX(Settings!$B$29:$B$40,MONTH(A2807)),INDEX(Settings!$B$29:$B$40,MONTH(A2807)))))</f>
        <v/>
      </c>
    </row>
    <row r="2808" customFormat="false" ht="15" hidden="false" customHeight="false" outlineLevel="0" collapsed="false">
      <c r="H2808" s="0" t="str">
        <f aca="false">IF(B2808="","",IF(COUNTIF(Campaigns!$A$7:$A$300,B2808)&gt;0,"✓","⚠ add to Campaigns tab"))</f>
        <v/>
      </c>
      <c r="I2808" s="84" t="str">
        <f aca="false">IF(C2808="","",C2808*IF(Settings!$B$23=Settings!$C$6,1,IF(Settings!$B$23="USD",1/INDEX(Settings!$B$29:$B$40,MONTH(A2808)),INDEX(Settings!$B$29:$B$40,MONTH(A2808)))))</f>
        <v/>
      </c>
    </row>
    <row r="2809" customFormat="false" ht="15" hidden="false" customHeight="false" outlineLevel="0" collapsed="false">
      <c r="H2809" s="0" t="str">
        <f aca="false">IF(B2809="","",IF(COUNTIF(Campaigns!$A$7:$A$300,B2809)&gt;0,"✓","⚠ add to Campaigns tab"))</f>
        <v/>
      </c>
      <c r="I2809" s="84" t="str">
        <f aca="false">IF(C2809="","",C2809*IF(Settings!$B$23=Settings!$C$6,1,IF(Settings!$B$23="USD",1/INDEX(Settings!$B$29:$B$40,MONTH(A2809)),INDEX(Settings!$B$29:$B$40,MONTH(A2809)))))</f>
        <v/>
      </c>
    </row>
    <row r="2810" customFormat="false" ht="15" hidden="false" customHeight="false" outlineLevel="0" collapsed="false">
      <c r="H2810" s="0" t="str">
        <f aca="false">IF(B2810="","",IF(COUNTIF(Campaigns!$A$7:$A$300,B2810)&gt;0,"✓","⚠ add to Campaigns tab"))</f>
        <v/>
      </c>
      <c r="I2810" s="84" t="str">
        <f aca="false">IF(C2810="","",C2810*IF(Settings!$B$23=Settings!$C$6,1,IF(Settings!$B$23="USD",1/INDEX(Settings!$B$29:$B$40,MONTH(A2810)),INDEX(Settings!$B$29:$B$40,MONTH(A2810)))))</f>
        <v/>
      </c>
    </row>
    <row r="2811" customFormat="false" ht="15" hidden="false" customHeight="false" outlineLevel="0" collapsed="false">
      <c r="H2811" s="0" t="str">
        <f aca="false">IF(B2811="","",IF(COUNTIF(Campaigns!$A$7:$A$300,B2811)&gt;0,"✓","⚠ add to Campaigns tab"))</f>
        <v/>
      </c>
      <c r="I2811" s="84" t="str">
        <f aca="false">IF(C2811="","",C2811*IF(Settings!$B$23=Settings!$C$6,1,IF(Settings!$B$23="USD",1/INDEX(Settings!$B$29:$B$40,MONTH(A2811)),INDEX(Settings!$B$29:$B$40,MONTH(A2811)))))</f>
        <v/>
      </c>
    </row>
    <row r="2812" customFormat="false" ht="15" hidden="false" customHeight="false" outlineLevel="0" collapsed="false">
      <c r="H2812" s="0" t="str">
        <f aca="false">IF(B2812="","",IF(COUNTIF(Campaigns!$A$7:$A$300,B2812)&gt;0,"✓","⚠ add to Campaigns tab"))</f>
        <v/>
      </c>
      <c r="I2812" s="84" t="str">
        <f aca="false">IF(C2812="","",C2812*IF(Settings!$B$23=Settings!$C$6,1,IF(Settings!$B$23="USD",1/INDEX(Settings!$B$29:$B$40,MONTH(A2812)),INDEX(Settings!$B$29:$B$40,MONTH(A2812)))))</f>
        <v/>
      </c>
    </row>
    <row r="2813" customFormat="false" ht="15" hidden="false" customHeight="false" outlineLevel="0" collapsed="false">
      <c r="H2813" s="0" t="str">
        <f aca="false">IF(B2813="","",IF(COUNTIF(Campaigns!$A$7:$A$300,B2813)&gt;0,"✓","⚠ add to Campaigns tab"))</f>
        <v/>
      </c>
      <c r="I2813" s="84" t="str">
        <f aca="false">IF(C2813="","",C2813*IF(Settings!$B$23=Settings!$C$6,1,IF(Settings!$B$23="USD",1/INDEX(Settings!$B$29:$B$40,MONTH(A2813)),INDEX(Settings!$B$29:$B$40,MONTH(A2813)))))</f>
        <v/>
      </c>
    </row>
    <row r="2814" customFormat="false" ht="15" hidden="false" customHeight="false" outlineLevel="0" collapsed="false">
      <c r="H2814" s="0" t="str">
        <f aca="false">IF(B2814="","",IF(COUNTIF(Campaigns!$A$7:$A$300,B2814)&gt;0,"✓","⚠ add to Campaigns tab"))</f>
        <v/>
      </c>
      <c r="I2814" s="84" t="str">
        <f aca="false">IF(C2814="","",C2814*IF(Settings!$B$23=Settings!$C$6,1,IF(Settings!$B$23="USD",1/INDEX(Settings!$B$29:$B$40,MONTH(A2814)),INDEX(Settings!$B$29:$B$40,MONTH(A2814)))))</f>
        <v/>
      </c>
    </row>
    <row r="2815" customFormat="false" ht="15" hidden="false" customHeight="false" outlineLevel="0" collapsed="false">
      <c r="H2815" s="0" t="str">
        <f aca="false">IF(B2815="","",IF(COUNTIF(Campaigns!$A$7:$A$300,B2815)&gt;0,"✓","⚠ add to Campaigns tab"))</f>
        <v/>
      </c>
      <c r="I2815" s="84" t="str">
        <f aca="false">IF(C2815="","",C2815*IF(Settings!$B$23=Settings!$C$6,1,IF(Settings!$B$23="USD",1/INDEX(Settings!$B$29:$B$40,MONTH(A2815)),INDEX(Settings!$B$29:$B$40,MONTH(A2815)))))</f>
        <v/>
      </c>
    </row>
    <row r="2816" customFormat="false" ht="15" hidden="false" customHeight="false" outlineLevel="0" collapsed="false">
      <c r="H2816" s="0" t="str">
        <f aca="false">IF(B2816="","",IF(COUNTIF(Campaigns!$A$7:$A$300,B2816)&gt;0,"✓","⚠ add to Campaigns tab"))</f>
        <v/>
      </c>
      <c r="I2816" s="84" t="str">
        <f aca="false">IF(C2816="","",C2816*IF(Settings!$B$23=Settings!$C$6,1,IF(Settings!$B$23="USD",1/INDEX(Settings!$B$29:$B$40,MONTH(A2816)),INDEX(Settings!$B$29:$B$40,MONTH(A2816)))))</f>
        <v/>
      </c>
    </row>
    <row r="2817" customFormat="false" ht="15" hidden="false" customHeight="false" outlineLevel="0" collapsed="false">
      <c r="H2817" s="0" t="str">
        <f aca="false">IF(B2817="","",IF(COUNTIF(Campaigns!$A$7:$A$300,B2817)&gt;0,"✓","⚠ add to Campaigns tab"))</f>
        <v/>
      </c>
      <c r="I2817" s="84" t="str">
        <f aca="false">IF(C2817="","",C2817*IF(Settings!$B$23=Settings!$C$6,1,IF(Settings!$B$23="USD",1/INDEX(Settings!$B$29:$B$40,MONTH(A2817)),INDEX(Settings!$B$29:$B$40,MONTH(A2817)))))</f>
        <v/>
      </c>
    </row>
    <row r="2818" customFormat="false" ht="15" hidden="false" customHeight="false" outlineLevel="0" collapsed="false">
      <c r="H2818" s="0" t="str">
        <f aca="false">IF(B2818="","",IF(COUNTIF(Campaigns!$A$7:$A$300,B2818)&gt;0,"✓","⚠ add to Campaigns tab"))</f>
        <v/>
      </c>
      <c r="I2818" s="84" t="str">
        <f aca="false">IF(C2818="","",C2818*IF(Settings!$B$23=Settings!$C$6,1,IF(Settings!$B$23="USD",1/INDEX(Settings!$B$29:$B$40,MONTH(A2818)),INDEX(Settings!$B$29:$B$40,MONTH(A2818)))))</f>
        <v/>
      </c>
    </row>
    <row r="2819" customFormat="false" ht="15" hidden="false" customHeight="false" outlineLevel="0" collapsed="false">
      <c r="H2819" s="0" t="str">
        <f aca="false">IF(B2819="","",IF(COUNTIF(Campaigns!$A$7:$A$300,B2819)&gt;0,"✓","⚠ add to Campaigns tab"))</f>
        <v/>
      </c>
      <c r="I2819" s="84" t="str">
        <f aca="false">IF(C2819="","",C2819*IF(Settings!$B$23=Settings!$C$6,1,IF(Settings!$B$23="USD",1/INDEX(Settings!$B$29:$B$40,MONTH(A2819)),INDEX(Settings!$B$29:$B$40,MONTH(A2819)))))</f>
        <v/>
      </c>
    </row>
    <row r="2820" customFormat="false" ht="15" hidden="false" customHeight="false" outlineLevel="0" collapsed="false">
      <c r="H2820" s="0" t="str">
        <f aca="false">IF(B2820="","",IF(COUNTIF(Campaigns!$A$7:$A$300,B2820)&gt;0,"✓","⚠ add to Campaigns tab"))</f>
        <v/>
      </c>
      <c r="I2820" s="84" t="str">
        <f aca="false">IF(C2820="","",C2820*IF(Settings!$B$23=Settings!$C$6,1,IF(Settings!$B$23="USD",1/INDEX(Settings!$B$29:$B$40,MONTH(A2820)),INDEX(Settings!$B$29:$B$40,MONTH(A2820)))))</f>
        <v/>
      </c>
    </row>
    <row r="2821" customFormat="false" ht="15" hidden="false" customHeight="false" outlineLevel="0" collapsed="false">
      <c r="H2821" s="0" t="str">
        <f aca="false">IF(B2821="","",IF(COUNTIF(Campaigns!$A$7:$A$300,B2821)&gt;0,"✓","⚠ add to Campaigns tab"))</f>
        <v/>
      </c>
      <c r="I2821" s="84" t="str">
        <f aca="false">IF(C2821="","",C2821*IF(Settings!$B$23=Settings!$C$6,1,IF(Settings!$B$23="USD",1/INDEX(Settings!$B$29:$B$40,MONTH(A2821)),INDEX(Settings!$B$29:$B$40,MONTH(A2821)))))</f>
        <v/>
      </c>
    </row>
    <row r="2822" customFormat="false" ht="15" hidden="false" customHeight="false" outlineLevel="0" collapsed="false">
      <c r="H2822" s="0" t="str">
        <f aca="false">IF(B2822="","",IF(COUNTIF(Campaigns!$A$7:$A$300,B2822)&gt;0,"✓","⚠ add to Campaigns tab"))</f>
        <v/>
      </c>
      <c r="I2822" s="84" t="str">
        <f aca="false">IF(C2822="","",C2822*IF(Settings!$B$23=Settings!$C$6,1,IF(Settings!$B$23="USD",1/INDEX(Settings!$B$29:$B$40,MONTH(A2822)),INDEX(Settings!$B$29:$B$40,MONTH(A2822)))))</f>
        <v/>
      </c>
    </row>
    <row r="2823" customFormat="false" ht="15" hidden="false" customHeight="false" outlineLevel="0" collapsed="false">
      <c r="H2823" s="0" t="str">
        <f aca="false">IF(B2823="","",IF(COUNTIF(Campaigns!$A$7:$A$300,B2823)&gt;0,"✓","⚠ add to Campaigns tab"))</f>
        <v/>
      </c>
      <c r="I2823" s="84" t="str">
        <f aca="false">IF(C2823="","",C2823*IF(Settings!$B$23=Settings!$C$6,1,IF(Settings!$B$23="USD",1/INDEX(Settings!$B$29:$B$40,MONTH(A2823)),INDEX(Settings!$B$29:$B$40,MONTH(A2823)))))</f>
        <v/>
      </c>
    </row>
    <row r="2824" customFormat="false" ht="15" hidden="false" customHeight="false" outlineLevel="0" collapsed="false">
      <c r="H2824" s="0" t="str">
        <f aca="false">IF(B2824="","",IF(COUNTIF(Campaigns!$A$7:$A$300,B2824)&gt;0,"✓","⚠ add to Campaigns tab"))</f>
        <v/>
      </c>
      <c r="I2824" s="84" t="str">
        <f aca="false">IF(C2824="","",C2824*IF(Settings!$B$23=Settings!$C$6,1,IF(Settings!$B$23="USD",1/INDEX(Settings!$B$29:$B$40,MONTH(A2824)),INDEX(Settings!$B$29:$B$40,MONTH(A2824)))))</f>
        <v/>
      </c>
    </row>
    <row r="2825" customFormat="false" ht="15" hidden="false" customHeight="false" outlineLevel="0" collapsed="false">
      <c r="H2825" s="0" t="str">
        <f aca="false">IF(B2825="","",IF(COUNTIF(Campaigns!$A$7:$A$300,B2825)&gt;0,"✓","⚠ add to Campaigns tab"))</f>
        <v/>
      </c>
      <c r="I2825" s="84" t="str">
        <f aca="false">IF(C2825="","",C2825*IF(Settings!$B$23=Settings!$C$6,1,IF(Settings!$B$23="USD",1/INDEX(Settings!$B$29:$B$40,MONTH(A2825)),INDEX(Settings!$B$29:$B$40,MONTH(A2825)))))</f>
        <v/>
      </c>
    </row>
    <row r="2826" customFormat="false" ht="15" hidden="false" customHeight="false" outlineLevel="0" collapsed="false">
      <c r="H2826" s="0" t="str">
        <f aca="false">IF(B2826="","",IF(COUNTIF(Campaigns!$A$7:$A$300,B2826)&gt;0,"✓","⚠ add to Campaigns tab"))</f>
        <v/>
      </c>
      <c r="I2826" s="84" t="str">
        <f aca="false">IF(C2826="","",C2826*IF(Settings!$B$23=Settings!$C$6,1,IF(Settings!$B$23="USD",1/INDEX(Settings!$B$29:$B$40,MONTH(A2826)),INDEX(Settings!$B$29:$B$40,MONTH(A2826)))))</f>
        <v/>
      </c>
    </row>
    <row r="2827" customFormat="false" ht="15" hidden="false" customHeight="false" outlineLevel="0" collapsed="false">
      <c r="H2827" s="0" t="str">
        <f aca="false">IF(B2827="","",IF(COUNTIF(Campaigns!$A$7:$A$300,B2827)&gt;0,"✓","⚠ add to Campaigns tab"))</f>
        <v/>
      </c>
      <c r="I2827" s="84" t="str">
        <f aca="false">IF(C2827="","",C2827*IF(Settings!$B$23=Settings!$C$6,1,IF(Settings!$B$23="USD",1/INDEX(Settings!$B$29:$B$40,MONTH(A2827)),INDEX(Settings!$B$29:$B$40,MONTH(A2827)))))</f>
        <v/>
      </c>
    </row>
    <row r="2828" customFormat="false" ht="15" hidden="false" customHeight="false" outlineLevel="0" collapsed="false">
      <c r="H2828" s="0" t="str">
        <f aca="false">IF(B2828="","",IF(COUNTIF(Campaigns!$A$7:$A$300,B2828)&gt;0,"✓","⚠ add to Campaigns tab"))</f>
        <v/>
      </c>
      <c r="I2828" s="84" t="str">
        <f aca="false">IF(C2828="","",C2828*IF(Settings!$B$23=Settings!$C$6,1,IF(Settings!$B$23="USD",1/INDEX(Settings!$B$29:$B$40,MONTH(A2828)),INDEX(Settings!$B$29:$B$40,MONTH(A2828)))))</f>
        <v/>
      </c>
    </row>
    <row r="2829" customFormat="false" ht="15" hidden="false" customHeight="false" outlineLevel="0" collapsed="false">
      <c r="H2829" s="0" t="str">
        <f aca="false">IF(B2829="","",IF(COUNTIF(Campaigns!$A$7:$A$300,B2829)&gt;0,"✓","⚠ add to Campaigns tab"))</f>
        <v/>
      </c>
      <c r="I2829" s="84" t="str">
        <f aca="false">IF(C2829="","",C2829*IF(Settings!$B$23=Settings!$C$6,1,IF(Settings!$B$23="USD",1/INDEX(Settings!$B$29:$B$40,MONTH(A2829)),INDEX(Settings!$B$29:$B$40,MONTH(A2829)))))</f>
        <v/>
      </c>
    </row>
    <row r="2830" customFormat="false" ht="15" hidden="false" customHeight="false" outlineLevel="0" collapsed="false">
      <c r="H2830" s="0" t="str">
        <f aca="false">IF(B2830="","",IF(COUNTIF(Campaigns!$A$7:$A$300,B2830)&gt;0,"✓","⚠ add to Campaigns tab"))</f>
        <v/>
      </c>
      <c r="I2830" s="84" t="str">
        <f aca="false">IF(C2830="","",C2830*IF(Settings!$B$23=Settings!$C$6,1,IF(Settings!$B$23="USD",1/INDEX(Settings!$B$29:$B$40,MONTH(A2830)),INDEX(Settings!$B$29:$B$40,MONTH(A2830)))))</f>
        <v/>
      </c>
    </row>
    <row r="2831" customFormat="false" ht="15" hidden="false" customHeight="false" outlineLevel="0" collapsed="false">
      <c r="H2831" s="0" t="str">
        <f aca="false">IF(B2831="","",IF(COUNTIF(Campaigns!$A$7:$A$300,B2831)&gt;0,"✓","⚠ add to Campaigns tab"))</f>
        <v/>
      </c>
      <c r="I2831" s="84" t="str">
        <f aca="false">IF(C2831="","",C2831*IF(Settings!$B$23=Settings!$C$6,1,IF(Settings!$B$23="USD",1/INDEX(Settings!$B$29:$B$40,MONTH(A2831)),INDEX(Settings!$B$29:$B$40,MONTH(A2831)))))</f>
        <v/>
      </c>
    </row>
    <row r="2832" customFormat="false" ht="15" hidden="false" customHeight="false" outlineLevel="0" collapsed="false">
      <c r="H2832" s="0" t="str">
        <f aca="false">IF(B2832="","",IF(COUNTIF(Campaigns!$A$7:$A$300,B2832)&gt;0,"✓","⚠ add to Campaigns tab"))</f>
        <v/>
      </c>
      <c r="I2832" s="84" t="str">
        <f aca="false">IF(C2832="","",C2832*IF(Settings!$B$23=Settings!$C$6,1,IF(Settings!$B$23="USD",1/INDEX(Settings!$B$29:$B$40,MONTH(A2832)),INDEX(Settings!$B$29:$B$40,MONTH(A2832)))))</f>
        <v/>
      </c>
    </row>
    <row r="2833" customFormat="false" ht="15" hidden="false" customHeight="false" outlineLevel="0" collapsed="false">
      <c r="H2833" s="0" t="str">
        <f aca="false">IF(B2833="","",IF(COUNTIF(Campaigns!$A$7:$A$300,B2833)&gt;0,"✓","⚠ add to Campaigns tab"))</f>
        <v/>
      </c>
      <c r="I2833" s="84" t="str">
        <f aca="false">IF(C2833="","",C2833*IF(Settings!$B$23=Settings!$C$6,1,IF(Settings!$B$23="USD",1/INDEX(Settings!$B$29:$B$40,MONTH(A2833)),INDEX(Settings!$B$29:$B$40,MONTH(A2833)))))</f>
        <v/>
      </c>
    </row>
    <row r="2834" customFormat="false" ht="15" hidden="false" customHeight="false" outlineLevel="0" collapsed="false">
      <c r="H2834" s="0" t="str">
        <f aca="false">IF(B2834="","",IF(COUNTIF(Campaigns!$A$7:$A$300,B2834)&gt;0,"✓","⚠ add to Campaigns tab"))</f>
        <v/>
      </c>
      <c r="I2834" s="84" t="str">
        <f aca="false">IF(C2834="","",C2834*IF(Settings!$B$23=Settings!$C$6,1,IF(Settings!$B$23="USD",1/INDEX(Settings!$B$29:$B$40,MONTH(A2834)),INDEX(Settings!$B$29:$B$40,MONTH(A2834)))))</f>
        <v/>
      </c>
    </row>
    <row r="2835" customFormat="false" ht="15" hidden="false" customHeight="false" outlineLevel="0" collapsed="false">
      <c r="H2835" s="0" t="str">
        <f aca="false">IF(B2835="","",IF(COUNTIF(Campaigns!$A$7:$A$300,B2835)&gt;0,"✓","⚠ add to Campaigns tab"))</f>
        <v/>
      </c>
      <c r="I2835" s="84" t="str">
        <f aca="false">IF(C2835="","",C2835*IF(Settings!$B$23=Settings!$C$6,1,IF(Settings!$B$23="USD",1/INDEX(Settings!$B$29:$B$40,MONTH(A2835)),INDEX(Settings!$B$29:$B$40,MONTH(A2835)))))</f>
        <v/>
      </c>
    </row>
    <row r="2836" customFormat="false" ht="15" hidden="false" customHeight="false" outlineLevel="0" collapsed="false">
      <c r="H2836" s="0" t="str">
        <f aca="false">IF(B2836="","",IF(COUNTIF(Campaigns!$A$7:$A$300,B2836)&gt;0,"✓","⚠ add to Campaigns tab"))</f>
        <v/>
      </c>
      <c r="I2836" s="84" t="str">
        <f aca="false">IF(C2836="","",C2836*IF(Settings!$B$23=Settings!$C$6,1,IF(Settings!$B$23="USD",1/INDEX(Settings!$B$29:$B$40,MONTH(A2836)),INDEX(Settings!$B$29:$B$40,MONTH(A2836)))))</f>
        <v/>
      </c>
    </row>
    <row r="2837" customFormat="false" ht="15" hidden="false" customHeight="false" outlineLevel="0" collapsed="false">
      <c r="H2837" s="0" t="str">
        <f aca="false">IF(B2837="","",IF(COUNTIF(Campaigns!$A$7:$A$300,B2837)&gt;0,"✓","⚠ add to Campaigns tab"))</f>
        <v/>
      </c>
      <c r="I2837" s="84" t="str">
        <f aca="false">IF(C2837="","",C2837*IF(Settings!$B$23=Settings!$C$6,1,IF(Settings!$B$23="USD",1/INDEX(Settings!$B$29:$B$40,MONTH(A2837)),INDEX(Settings!$B$29:$B$40,MONTH(A2837)))))</f>
        <v/>
      </c>
    </row>
    <row r="2838" customFormat="false" ht="15" hidden="false" customHeight="false" outlineLevel="0" collapsed="false">
      <c r="H2838" s="0" t="str">
        <f aca="false">IF(B2838="","",IF(COUNTIF(Campaigns!$A$7:$A$300,B2838)&gt;0,"✓","⚠ add to Campaigns tab"))</f>
        <v/>
      </c>
      <c r="I2838" s="84" t="str">
        <f aca="false">IF(C2838="","",C2838*IF(Settings!$B$23=Settings!$C$6,1,IF(Settings!$B$23="USD",1/INDEX(Settings!$B$29:$B$40,MONTH(A2838)),INDEX(Settings!$B$29:$B$40,MONTH(A2838)))))</f>
        <v/>
      </c>
    </row>
    <row r="2839" customFormat="false" ht="15" hidden="false" customHeight="false" outlineLevel="0" collapsed="false">
      <c r="H2839" s="0" t="str">
        <f aca="false">IF(B2839="","",IF(COUNTIF(Campaigns!$A$7:$A$300,B2839)&gt;0,"✓","⚠ add to Campaigns tab"))</f>
        <v/>
      </c>
      <c r="I2839" s="84" t="str">
        <f aca="false">IF(C2839="","",C2839*IF(Settings!$B$23=Settings!$C$6,1,IF(Settings!$B$23="USD",1/INDEX(Settings!$B$29:$B$40,MONTH(A2839)),INDEX(Settings!$B$29:$B$40,MONTH(A2839)))))</f>
        <v/>
      </c>
    </row>
    <row r="2840" customFormat="false" ht="15" hidden="false" customHeight="false" outlineLevel="0" collapsed="false">
      <c r="H2840" s="0" t="str">
        <f aca="false">IF(B2840="","",IF(COUNTIF(Campaigns!$A$7:$A$300,B2840)&gt;0,"✓","⚠ add to Campaigns tab"))</f>
        <v/>
      </c>
      <c r="I2840" s="84" t="str">
        <f aca="false">IF(C2840="","",C2840*IF(Settings!$B$23=Settings!$C$6,1,IF(Settings!$B$23="USD",1/INDEX(Settings!$B$29:$B$40,MONTH(A2840)),INDEX(Settings!$B$29:$B$40,MONTH(A2840)))))</f>
        <v/>
      </c>
    </row>
    <row r="2841" customFormat="false" ht="15" hidden="false" customHeight="false" outlineLevel="0" collapsed="false">
      <c r="H2841" s="0" t="str">
        <f aca="false">IF(B2841="","",IF(COUNTIF(Campaigns!$A$7:$A$300,B2841)&gt;0,"✓","⚠ add to Campaigns tab"))</f>
        <v/>
      </c>
      <c r="I2841" s="84" t="str">
        <f aca="false">IF(C2841="","",C2841*IF(Settings!$B$23=Settings!$C$6,1,IF(Settings!$B$23="USD",1/INDEX(Settings!$B$29:$B$40,MONTH(A2841)),INDEX(Settings!$B$29:$B$40,MONTH(A2841)))))</f>
        <v/>
      </c>
    </row>
    <row r="2842" customFormat="false" ht="15" hidden="false" customHeight="false" outlineLevel="0" collapsed="false">
      <c r="H2842" s="0" t="str">
        <f aca="false">IF(B2842="","",IF(COUNTIF(Campaigns!$A$7:$A$300,B2842)&gt;0,"✓","⚠ add to Campaigns tab"))</f>
        <v/>
      </c>
      <c r="I2842" s="84" t="str">
        <f aca="false">IF(C2842="","",C2842*IF(Settings!$B$23=Settings!$C$6,1,IF(Settings!$B$23="USD",1/INDEX(Settings!$B$29:$B$40,MONTH(A2842)),INDEX(Settings!$B$29:$B$40,MONTH(A2842)))))</f>
        <v/>
      </c>
    </row>
    <row r="2843" customFormat="false" ht="15" hidden="false" customHeight="false" outlineLevel="0" collapsed="false">
      <c r="H2843" s="0" t="str">
        <f aca="false">IF(B2843="","",IF(COUNTIF(Campaigns!$A$7:$A$300,B2843)&gt;0,"✓","⚠ add to Campaigns tab"))</f>
        <v/>
      </c>
      <c r="I2843" s="84" t="str">
        <f aca="false">IF(C2843="","",C2843*IF(Settings!$B$23=Settings!$C$6,1,IF(Settings!$B$23="USD",1/INDEX(Settings!$B$29:$B$40,MONTH(A2843)),INDEX(Settings!$B$29:$B$40,MONTH(A2843)))))</f>
        <v/>
      </c>
    </row>
    <row r="2844" customFormat="false" ht="15" hidden="false" customHeight="false" outlineLevel="0" collapsed="false">
      <c r="H2844" s="0" t="str">
        <f aca="false">IF(B2844="","",IF(COUNTIF(Campaigns!$A$7:$A$300,B2844)&gt;0,"✓","⚠ add to Campaigns tab"))</f>
        <v/>
      </c>
      <c r="I2844" s="84" t="str">
        <f aca="false">IF(C2844="","",C2844*IF(Settings!$B$23=Settings!$C$6,1,IF(Settings!$B$23="USD",1/INDEX(Settings!$B$29:$B$40,MONTH(A2844)),INDEX(Settings!$B$29:$B$40,MONTH(A2844)))))</f>
        <v/>
      </c>
    </row>
    <row r="2845" customFormat="false" ht="15" hidden="false" customHeight="false" outlineLevel="0" collapsed="false">
      <c r="H2845" s="0" t="str">
        <f aca="false">IF(B2845="","",IF(COUNTIF(Campaigns!$A$7:$A$300,B2845)&gt;0,"✓","⚠ add to Campaigns tab"))</f>
        <v/>
      </c>
      <c r="I2845" s="84" t="str">
        <f aca="false">IF(C2845="","",C2845*IF(Settings!$B$23=Settings!$C$6,1,IF(Settings!$B$23="USD",1/INDEX(Settings!$B$29:$B$40,MONTH(A2845)),INDEX(Settings!$B$29:$B$40,MONTH(A2845)))))</f>
        <v/>
      </c>
    </row>
    <row r="2846" customFormat="false" ht="15" hidden="false" customHeight="false" outlineLevel="0" collapsed="false">
      <c r="H2846" s="0" t="str">
        <f aca="false">IF(B2846="","",IF(COUNTIF(Campaigns!$A$7:$A$300,B2846)&gt;0,"✓","⚠ add to Campaigns tab"))</f>
        <v/>
      </c>
      <c r="I2846" s="84" t="str">
        <f aca="false">IF(C2846="","",C2846*IF(Settings!$B$23=Settings!$C$6,1,IF(Settings!$B$23="USD",1/INDEX(Settings!$B$29:$B$40,MONTH(A2846)),INDEX(Settings!$B$29:$B$40,MONTH(A2846)))))</f>
        <v/>
      </c>
    </row>
    <row r="2847" customFormat="false" ht="15" hidden="false" customHeight="false" outlineLevel="0" collapsed="false">
      <c r="H2847" s="0" t="str">
        <f aca="false">IF(B2847="","",IF(COUNTIF(Campaigns!$A$7:$A$300,B2847)&gt;0,"✓","⚠ add to Campaigns tab"))</f>
        <v/>
      </c>
      <c r="I2847" s="84" t="str">
        <f aca="false">IF(C2847="","",C2847*IF(Settings!$B$23=Settings!$C$6,1,IF(Settings!$B$23="USD",1/INDEX(Settings!$B$29:$B$40,MONTH(A2847)),INDEX(Settings!$B$29:$B$40,MONTH(A2847)))))</f>
        <v/>
      </c>
    </row>
    <row r="2848" customFormat="false" ht="15" hidden="false" customHeight="false" outlineLevel="0" collapsed="false">
      <c r="H2848" s="0" t="str">
        <f aca="false">IF(B2848="","",IF(COUNTIF(Campaigns!$A$7:$A$300,B2848)&gt;0,"✓","⚠ add to Campaigns tab"))</f>
        <v/>
      </c>
      <c r="I2848" s="84" t="str">
        <f aca="false">IF(C2848="","",C2848*IF(Settings!$B$23=Settings!$C$6,1,IF(Settings!$B$23="USD",1/INDEX(Settings!$B$29:$B$40,MONTH(A2848)),INDEX(Settings!$B$29:$B$40,MONTH(A2848)))))</f>
        <v/>
      </c>
    </row>
    <row r="2849" customFormat="false" ht="15" hidden="false" customHeight="false" outlineLevel="0" collapsed="false">
      <c r="H2849" s="0" t="str">
        <f aca="false">IF(B2849="","",IF(COUNTIF(Campaigns!$A$7:$A$300,B2849)&gt;0,"✓","⚠ add to Campaigns tab"))</f>
        <v/>
      </c>
      <c r="I2849" s="84" t="str">
        <f aca="false">IF(C2849="","",C2849*IF(Settings!$B$23=Settings!$C$6,1,IF(Settings!$B$23="USD",1/INDEX(Settings!$B$29:$B$40,MONTH(A2849)),INDEX(Settings!$B$29:$B$40,MONTH(A2849)))))</f>
        <v/>
      </c>
    </row>
    <row r="2850" customFormat="false" ht="15" hidden="false" customHeight="false" outlineLevel="0" collapsed="false">
      <c r="H2850" s="0" t="str">
        <f aca="false">IF(B2850="","",IF(COUNTIF(Campaigns!$A$7:$A$300,B2850)&gt;0,"✓","⚠ add to Campaigns tab"))</f>
        <v/>
      </c>
      <c r="I2850" s="84" t="str">
        <f aca="false">IF(C2850="","",C2850*IF(Settings!$B$23=Settings!$C$6,1,IF(Settings!$B$23="USD",1/INDEX(Settings!$B$29:$B$40,MONTH(A2850)),INDEX(Settings!$B$29:$B$40,MONTH(A2850)))))</f>
        <v/>
      </c>
    </row>
    <row r="2851" customFormat="false" ht="15" hidden="false" customHeight="false" outlineLevel="0" collapsed="false">
      <c r="H2851" s="0" t="str">
        <f aca="false">IF(B2851="","",IF(COUNTIF(Campaigns!$A$7:$A$300,B2851)&gt;0,"✓","⚠ add to Campaigns tab"))</f>
        <v/>
      </c>
      <c r="I2851" s="84" t="str">
        <f aca="false">IF(C2851="","",C2851*IF(Settings!$B$23=Settings!$C$6,1,IF(Settings!$B$23="USD",1/INDEX(Settings!$B$29:$B$40,MONTH(A2851)),INDEX(Settings!$B$29:$B$40,MONTH(A2851)))))</f>
        <v/>
      </c>
    </row>
    <row r="2852" customFormat="false" ht="15" hidden="false" customHeight="false" outlineLevel="0" collapsed="false">
      <c r="H2852" s="0" t="str">
        <f aca="false">IF(B2852="","",IF(COUNTIF(Campaigns!$A$7:$A$300,B2852)&gt;0,"✓","⚠ add to Campaigns tab"))</f>
        <v/>
      </c>
      <c r="I2852" s="84" t="str">
        <f aca="false">IF(C2852="","",C2852*IF(Settings!$B$23=Settings!$C$6,1,IF(Settings!$B$23="USD",1/INDEX(Settings!$B$29:$B$40,MONTH(A2852)),INDEX(Settings!$B$29:$B$40,MONTH(A2852)))))</f>
        <v/>
      </c>
    </row>
    <row r="2853" customFormat="false" ht="15" hidden="false" customHeight="false" outlineLevel="0" collapsed="false">
      <c r="H2853" s="0" t="str">
        <f aca="false">IF(B2853="","",IF(COUNTIF(Campaigns!$A$7:$A$300,B2853)&gt;0,"✓","⚠ add to Campaigns tab"))</f>
        <v/>
      </c>
      <c r="I2853" s="84" t="str">
        <f aca="false">IF(C2853="","",C2853*IF(Settings!$B$23=Settings!$C$6,1,IF(Settings!$B$23="USD",1/INDEX(Settings!$B$29:$B$40,MONTH(A2853)),INDEX(Settings!$B$29:$B$40,MONTH(A2853)))))</f>
        <v/>
      </c>
    </row>
    <row r="2854" customFormat="false" ht="15" hidden="false" customHeight="false" outlineLevel="0" collapsed="false">
      <c r="H2854" s="0" t="str">
        <f aca="false">IF(B2854="","",IF(COUNTIF(Campaigns!$A$7:$A$300,B2854)&gt;0,"✓","⚠ add to Campaigns tab"))</f>
        <v/>
      </c>
      <c r="I2854" s="84" t="str">
        <f aca="false">IF(C2854="","",C2854*IF(Settings!$B$23=Settings!$C$6,1,IF(Settings!$B$23="USD",1/INDEX(Settings!$B$29:$B$40,MONTH(A2854)),INDEX(Settings!$B$29:$B$40,MONTH(A2854)))))</f>
        <v/>
      </c>
    </row>
    <row r="2855" customFormat="false" ht="15" hidden="false" customHeight="false" outlineLevel="0" collapsed="false">
      <c r="H2855" s="0" t="str">
        <f aca="false">IF(B2855="","",IF(COUNTIF(Campaigns!$A$7:$A$300,B2855)&gt;0,"✓","⚠ add to Campaigns tab"))</f>
        <v/>
      </c>
      <c r="I2855" s="84" t="str">
        <f aca="false">IF(C2855="","",C2855*IF(Settings!$B$23=Settings!$C$6,1,IF(Settings!$B$23="USD",1/INDEX(Settings!$B$29:$B$40,MONTH(A2855)),INDEX(Settings!$B$29:$B$40,MONTH(A2855)))))</f>
        <v/>
      </c>
    </row>
    <row r="2856" customFormat="false" ht="15" hidden="false" customHeight="false" outlineLevel="0" collapsed="false">
      <c r="H2856" s="0" t="str">
        <f aca="false">IF(B2856="","",IF(COUNTIF(Campaigns!$A$7:$A$300,B2856)&gt;0,"✓","⚠ add to Campaigns tab"))</f>
        <v/>
      </c>
      <c r="I2856" s="84" t="str">
        <f aca="false">IF(C2856="","",C2856*IF(Settings!$B$23=Settings!$C$6,1,IF(Settings!$B$23="USD",1/INDEX(Settings!$B$29:$B$40,MONTH(A2856)),INDEX(Settings!$B$29:$B$40,MONTH(A2856)))))</f>
        <v/>
      </c>
    </row>
    <row r="2857" customFormat="false" ht="15" hidden="false" customHeight="false" outlineLevel="0" collapsed="false">
      <c r="H2857" s="0" t="str">
        <f aca="false">IF(B2857="","",IF(COUNTIF(Campaigns!$A$7:$A$300,B2857)&gt;0,"✓","⚠ add to Campaigns tab"))</f>
        <v/>
      </c>
      <c r="I2857" s="84" t="str">
        <f aca="false">IF(C2857="","",C2857*IF(Settings!$B$23=Settings!$C$6,1,IF(Settings!$B$23="USD",1/INDEX(Settings!$B$29:$B$40,MONTH(A2857)),INDEX(Settings!$B$29:$B$40,MONTH(A2857)))))</f>
        <v/>
      </c>
    </row>
    <row r="2858" customFormat="false" ht="15" hidden="false" customHeight="false" outlineLevel="0" collapsed="false">
      <c r="H2858" s="0" t="str">
        <f aca="false">IF(B2858="","",IF(COUNTIF(Campaigns!$A$7:$A$300,B2858)&gt;0,"✓","⚠ add to Campaigns tab"))</f>
        <v/>
      </c>
      <c r="I2858" s="84" t="str">
        <f aca="false">IF(C2858="","",C2858*IF(Settings!$B$23=Settings!$C$6,1,IF(Settings!$B$23="USD",1/INDEX(Settings!$B$29:$B$40,MONTH(A2858)),INDEX(Settings!$B$29:$B$40,MONTH(A2858)))))</f>
        <v/>
      </c>
    </row>
    <row r="2859" customFormat="false" ht="15" hidden="false" customHeight="false" outlineLevel="0" collapsed="false">
      <c r="H2859" s="0" t="str">
        <f aca="false">IF(B2859="","",IF(COUNTIF(Campaigns!$A$7:$A$300,B2859)&gt;0,"✓","⚠ add to Campaigns tab"))</f>
        <v/>
      </c>
      <c r="I2859" s="84" t="str">
        <f aca="false">IF(C2859="","",C2859*IF(Settings!$B$23=Settings!$C$6,1,IF(Settings!$B$23="USD",1/INDEX(Settings!$B$29:$B$40,MONTH(A2859)),INDEX(Settings!$B$29:$B$40,MONTH(A2859)))))</f>
        <v/>
      </c>
    </row>
    <row r="2860" customFormat="false" ht="15" hidden="false" customHeight="false" outlineLevel="0" collapsed="false">
      <c r="H2860" s="0" t="str">
        <f aca="false">IF(B2860="","",IF(COUNTIF(Campaigns!$A$7:$A$300,B2860)&gt;0,"✓","⚠ add to Campaigns tab"))</f>
        <v/>
      </c>
      <c r="I2860" s="84" t="str">
        <f aca="false">IF(C2860="","",C2860*IF(Settings!$B$23=Settings!$C$6,1,IF(Settings!$B$23="USD",1/INDEX(Settings!$B$29:$B$40,MONTH(A2860)),INDEX(Settings!$B$29:$B$40,MONTH(A2860)))))</f>
        <v/>
      </c>
    </row>
    <row r="2861" customFormat="false" ht="15" hidden="false" customHeight="false" outlineLevel="0" collapsed="false">
      <c r="H2861" s="0" t="str">
        <f aca="false">IF(B2861="","",IF(COUNTIF(Campaigns!$A$7:$A$300,B2861)&gt;0,"✓","⚠ add to Campaigns tab"))</f>
        <v/>
      </c>
      <c r="I2861" s="84" t="str">
        <f aca="false">IF(C2861="","",C2861*IF(Settings!$B$23=Settings!$C$6,1,IF(Settings!$B$23="USD",1/INDEX(Settings!$B$29:$B$40,MONTH(A2861)),INDEX(Settings!$B$29:$B$40,MONTH(A2861)))))</f>
        <v/>
      </c>
    </row>
    <row r="2862" customFormat="false" ht="15" hidden="false" customHeight="false" outlineLevel="0" collapsed="false">
      <c r="H2862" s="0" t="str">
        <f aca="false">IF(B2862="","",IF(COUNTIF(Campaigns!$A$7:$A$300,B2862)&gt;0,"✓","⚠ add to Campaigns tab"))</f>
        <v/>
      </c>
      <c r="I2862" s="84" t="str">
        <f aca="false">IF(C2862="","",C2862*IF(Settings!$B$23=Settings!$C$6,1,IF(Settings!$B$23="USD",1/INDEX(Settings!$B$29:$B$40,MONTH(A2862)),INDEX(Settings!$B$29:$B$40,MONTH(A2862)))))</f>
        <v/>
      </c>
    </row>
    <row r="2863" customFormat="false" ht="15" hidden="false" customHeight="false" outlineLevel="0" collapsed="false">
      <c r="H2863" s="0" t="str">
        <f aca="false">IF(B2863="","",IF(COUNTIF(Campaigns!$A$7:$A$300,B2863)&gt;0,"✓","⚠ add to Campaigns tab"))</f>
        <v/>
      </c>
      <c r="I2863" s="84" t="str">
        <f aca="false">IF(C2863="","",C2863*IF(Settings!$B$23=Settings!$C$6,1,IF(Settings!$B$23="USD",1/INDEX(Settings!$B$29:$B$40,MONTH(A2863)),INDEX(Settings!$B$29:$B$40,MONTH(A2863)))))</f>
        <v/>
      </c>
    </row>
    <row r="2864" customFormat="false" ht="15" hidden="false" customHeight="false" outlineLevel="0" collapsed="false">
      <c r="H2864" s="0" t="str">
        <f aca="false">IF(B2864="","",IF(COUNTIF(Campaigns!$A$7:$A$300,B2864)&gt;0,"✓","⚠ add to Campaigns tab"))</f>
        <v/>
      </c>
      <c r="I2864" s="84" t="str">
        <f aca="false">IF(C2864="","",C2864*IF(Settings!$B$23=Settings!$C$6,1,IF(Settings!$B$23="USD",1/INDEX(Settings!$B$29:$B$40,MONTH(A2864)),INDEX(Settings!$B$29:$B$40,MONTH(A2864)))))</f>
        <v/>
      </c>
    </row>
    <row r="2865" customFormat="false" ht="15" hidden="false" customHeight="false" outlineLevel="0" collapsed="false">
      <c r="H2865" s="0" t="str">
        <f aca="false">IF(B2865="","",IF(COUNTIF(Campaigns!$A$7:$A$300,B2865)&gt;0,"✓","⚠ add to Campaigns tab"))</f>
        <v/>
      </c>
      <c r="I2865" s="84" t="str">
        <f aca="false">IF(C2865="","",C2865*IF(Settings!$B$23=Settings!$C$6,1,IF(Settings!$B$23="USD",1/INDEX(Settings!$B$29:$B$40,MONTH(A2865)),INDEX(Settings!$B$29:$B$40,MONTH(A2865)))))</f>
        <v/>
      </c>
    </row>
    <row r="2866" customFormat="false" ht="15" hidden="false" customHeight="false" outlineLevel="0" collapsed="false">
      <c r="H2866" s="0" t="str">
        <f aca="false">IF(B2866="","",IF(COUNTIF(Campaigns!$A$7:$A$300,B2866)&gt;0,"✓","⚠ add to Campaigns tab"))</f>
        <v/>
      </c>
      <c r="I2866" s="84" t="str">
        <f aca="false">IF(C2866="","",C2866*IF(Settings!$B$23=Settings!$C$6,1,IF(Settings!$B$23="USD",1/INDEX(Settings!$B$29:$B$40,MONTH(A2866)),INDEX(Settings!$B$29:$B$40,MONTH(A2866)))))</f>
        <v/>
      </c>
    </row>
    <row r="2867" customFormat="false" ht="15" hidden="false" customHeight="false" outlineLevel="0" collapsed="false">
      <c r="H2867" s="0" t="str">
        <f aca="false">IF(B2867="","",IF(COUNTIF(Campaigns!$A$7:$A$300,B2867)&gt;0,"✓","⚠ add to Campaigns tab"))</f>
        <v/>
      </c>
      <c r="I2867" s="84" t="str">
        <f aca="false">IF(C2867="","",C2867*IF(Settings!$B$23=Settings!$C$6,1,IF(Settings!$B$23="USD",1/INDEX(Settings!$B$29:$B$40,MONTH(A2867)),INDEX(Settings!$B$29:$B$40,MONTH(A2867)))))</f>
        <v/>
      </c>
    </row>
    <row r="2868" customFormat="false" ht="15" hidden="false" customHeight="false" outlineLevel="0" collapsed="false">
      <c r="H2868" s="0" t="str">
        <f aca="false">IF(B2868="","",IF(COUNTIF(Campaigns!$A$7:$A$300,B2868)&gt;0,"✓","⚠ add to Campaigns tab"))</f>
        <v/>
      </c>
      <c r="I2868" s="84" t="str">
        <f aca="false">IF(C2868="","",C2868*IF(Settings!$B$23=Settings!$C$6,1,IF(Settings!$B$23="USD",1/INDEX(Settings!$B$29:$B$40,MONTH(A2868)),INDEX(Settings!$B$29:$B$40,MONTH(A2868)))))</f>
        <v/>
      </c>
    </row>
    <row r="2869" customFormat="false" ht="15" hidden="false" customHeight="false" outlineLevel="0" collapsed="false">
      <c r="H2869" s="0" t="str">
        <f aca="false">IF(B2869="","",IF(COUNTIF(Campaigns!$A$7:$A$300,B2869)&gt;0,"✓","⚠ add to Campaigns tab"))</f>
        <v/>
      </c>
      <c r="I2869" s="84" t="str">
        <f aca="false">IF(C2869="","",C2869*IF(Settings!$B$23=Settings!$C$6,1,IF(Settings!$B$23="USD",1/INDEX(Settings!$B$29:$B$40,MONTH(A2869)),INDEX(Settings!$B$29:$B$40,MONTH(A2869)))))</f>
        <v/>
      </c>
    </row>
    <row r="2870" customFormat="false" ht="15" hidden="false" customHeight="false" outlineLevel="0" collapsed="false">
      <c r="H2870" s="0" t="str">
        <f aca="false">IF(B2870="","",IF(COUNTIF(Campaigns!$A$7:$A$300,B2870)&gt;0,"✓","⚠ add to Campaigns tab"))</f>
        <v/>
      </c>
      <c r="I2870" s="84" t="str">
        <f aca="false">IF(C2870="","",C2870*IF(Settings!$B$23=Settings!$C$6,1,IF(Settings!$B$23="USD",1/INDEX(Settings!$B$29:$B$40,MONTH(A2870)),INDEX(Settings!$B$29:$B$40,MONTH(A2870)))))</f>
        <v/>
      </c>
    </row>
    <row r="2871" customFormat="false" ht="15" hidden="false" customHeight="false" outlineLevel="0" collapsed="false">
      <c r="H2871" s="0" t="str">
        <f aca="false">IF(B2871="","",IF(COUNTIF(Campaigns!$A$7:$A$300,B2871)&gt;0,"✓","⚠ add to Campaigns tab"))</f>
        <v/>
      </c>
      <c r="I2871" s="84" t="str">
        <f aca="false">IF(C2871="","",C2871*IF(Settings!$B$23=Settings!$C$6,1,IF(Settings!$B$23="USD",1/INDEX(Settings!$B$29:$B$40,MONTH(A2871)),INDEX(Settings!$B$29:$B$40,MONTH(A2871)))))</f>
        <v/>
      </c>
    </row>
    <row r="2872" customFormat="false" ht="15" hidden="false" customHeight="false" outlineLevel="0" collapsed="false">
      <c r="H2872" s="0" t="str">
        <f aca="false">IF(B2872="","",IF(COUNTIF(Campaigns!$A$7:$A$300,B2872)&gt;0,"✓","⚠ add to Campaigns tab"))</f>
        <v/>
      </c>
      <c r="I2872" s="84" t="str">
        <f aca="false">IF(C2872="","",C2872*IF(Settings!$B$23=Settings!$C$6,1,IF(Settings!$B$23="USD",1/INDEX(Settings!$B$29:$B$40,MONTH(A2872)),INDEX(Settings!$B$29:$B$40,MONTH(A2872)))))</f>
        <v/>
      </c>
    </row>
    <row r="2873" customFormat="false" ht="15" hidden="false" customHeight="false" outlineLevel="0" collapsed="false">
      <c r="H2873" s="0" t="str">
        <f aca="false">IF(B2873="","",IF(COUNTIF(Campaigns!$A$7:$A$300,B2873)&gt;0,"✓","⚠ add to Campaigns tab"))</f>
        <v/>
      </c>
      <c r="I2873" s="84" t="str">
        <f aca="false">IF(C2873="","",C2873*IF(Settings!$B$23=Settings!$C$6,1,IF(Settings!$B$23="USD",1/INDEX(Settings!$B$29:$B$40,MONTH(A2873)),INDEX(Settings!$B$29:$B$40,MONTH(A2873)))))</f>
        <v/>
      </c>
    </row>
    <row r="2874" customFormat="false" ht="15" hidden="false" customHeight="false" outlineLevel="0" collapsed="false">
      <c r="H2874" s="0" t="str">
        <f aca="false">IF(B2874="","",IF(COUNTIF(Campaigns!$A$7:$A$300,B2874)&gt;0,"✓","⚠ add to Campaigns tab"))</f>
        <v/>
      </c>
      <c r="I2874" s="84" t="str">
        <f aca="false">IF(C2874="","",C2874*IF(Settings!$B$23=Settings!$C$6,1,IF(Settings!$B$23="USD",1/INDEX(Settings!$B$29:$B$40,MONTH(A2874)),INDEX(Settings!$B$29:$B$40,MONTH(A2874)))))</f>
        <v/>
      </c>
    </row>
    <row r="2875" customFormat="false" ht="15" hidden="false" customHeight="false" outlineLevel="0" collapsed="false">
      <c r="H2875" s="0" t="str">
        <f aca="false">IF(B2875="","",IF(COUNTIF(Campaigns!$A$7:$A$300,B2875)&gt;0,"✓","⚠ add to Campaigns tab"))</f>
        <v/>
      </c>
      <c r="I2875" s="84" t="str">
        <f aca="false">IF(C2875="","",C2875*IF(Settings!$B$23=Settings!$C$6,1,IF(Settings!$B$23="USD",1/INDEX(Settings!$B$29:$B$40,MONTH(A2875)),INDEX(Settings!$B$29:$B$40,MONTH(A2875)))))</f>
        <v/>
      </c>
    </row>
    <row r="2876" customFormat="false" ht="15" hidden="false" customHeight="false" outlineLevel="0" collapsed="false">
      <c r="H2876" s="0" t="str">
        <f aca="false">IF(B2876="","",IF(COUNTIF(Campaigns!$A$7:$A$300,B2876)&gt;0,"✓","⚠ add to Campaigns tab"))</f>
        <v/>
      </c>
      <c r="I2876" s="84" t="str">
        <f aca="false">IF(C2876="","",C2876*IF(Settings!$B$23=Settings!$C$6,1,IF(Settings!$B$23="USD",1/INDEX(Settings!$B$29:$B$40,MONTH(A2876)),INDEX(Settings!$B$29:$B$40,MONTH(A2876)))))</f>
        <v/>
      </c>
    </row>
    <row r="2877" customFormat="false" ht="15" hidden="false" customHeight="false" outlineLevel="0" collapsed="false">
      <c r="H2877" s="0" t="str">
        <f aca="false">IF(B2877="","",IF(COUNTIF(Campaigns!$A$7:$A$300,B2877)&gt;0,"✓","⚠ add to Campaigns tab"))</f>
        <v/>
      </c>
      <c r="I2877" s="84" t="str">
        <f aca="false">IF(C2877="","",C2877*IF(Settings!$B$23=Settings!$C$6,1,IF(Settings!$B$23="USD",1/INDEX(Settings!$B$29:$B$40,MONTH(A2877)),INDEX(Settings!$B$29:$B$40,MONTH(A2877)))))</f>
        <v/>
      </c>
    </row>
    <row r="2878" customFormat="false" ht="15" hidden="false" customHeight="false" outlineLevel="0" collapsed="false">
      <c r="H2878" s="0" t="str">
        <f aca="false">IF(B2878="","",IF(COUNTIF(Campaigns!$A$7:$A$300,B2878)&gt;0,"✓","⚠ add to Campaigns tab"))</f>
        <v/>
      </c>
      <c r="I2878" s="84" t="str">
        <f aca="false">IF(C2878="","",C2878*IF(Settings!$B$23=Settings!$C$6,1,IF(Settings!$B$23="USD",1/INDEX(Settings!$B$29:$B$40,MONTH(A2878)),INDEX(Settings!$B$29:$B$40,MONTH(A2878)))))</f>
        <v/>
      </c>
    </row>
    <row r="2879" customFormat="false" ht="15" hidden="false" customHeight="false" outlineLevel="0" collapsed="false">
      <c r="H2879" s="0" t="str">
        <f aca="false">IF(B2879="","",IF(COUNTIF(Campaigns!$A$7:$A$300,B2879)&gt;0,"✓","⚠ add to Campaigns tab"))</f>
        <v/>
      </c>
      <c r="I2879" s="84" t="str">
        <f aca="false">IF(C2879="","",C2879*IF(Settings!$B$23=Settings!$C$6,1,IF(Settings!$B$23="USD",1/INDEX(Settings!$B$29:$B$40,MONTH(A2879)),INDEX(Settings!$B$29:$B$40,MONTH(A2879)))))</f>
        <v/>
      </c>
    </row>
    <row r="2880" customFormat="false" ht="15" hidden="false" customHeight="false" outlineLevel="0" collapsed="false">
      <c r="H2880" s="0" t="str">
        <f aca="false">IF(B2880="","",IF(COUNTIF(Campaigns!$A$7:$A$300,B2880)&gt;0,"✓","⚠ add to Campaigns tab"))</f>
        <v/>
      </c>
      <c r="I2880" s="84" t="str">
        <f aca="false">IF(C2880="","",C2880*IF(Settings!$B$23=Settings!$C$6,1,IF(Settings!$B$23="USD",1/INDEX(Settings!$B$29:$B$40,MONTH(A2880)),INDEX(Settings!$B$29:$B$40,MONTH(A2880)))))</f>
        <v/>
      </c>
    </row>
    <row r="2881" customFormat="false" ht="15" hidden="false" customHeight="false" outlineLevel="0" collapsed="false">
      <c r="H2881" s="0" t="str">
        <f aca="false">IF(B2881="","",IF(COUNTIF(Campaigns!$A$7:$A$300,B2881)&gt;0,"✓","⚠ add to Campaigns tab"))</f>
        <v/>
      </c>
      <c r="I2881" s="84" t="str">
        <f aca="false">IF(C2881="","",C2881*IF(Settings!$B$23=Settings!$C$6,1,IF(Settings!$B$23="USD",1/INDEX(Settings!$B$29:$B$40,MONTH(A2881)),INDEX(Settings!$B$29:$B$40,MONTH(A2881)))))</f>
        <v/>
      </c>
    </row>
    <row r="2882" customFormat="false" ht="15" hidden="false" customHeight="false" outlineLevel="0" collapsed="false">
      <c r="H2882" s="0" t="str">
        <f aca="false">IF(B2882="","",IF(COUNTIF(Campaigns!$A$7:$A$300,B2882)&gt;0,"✓","⚠ add to Campaigns tab"))</f>
        <v/>
      </c>
      <c r="I2882" s="84" t="str">
        <f aca="false">IF(C2882="","",C2882*IF(Settings!$B$23=Settings!$C$6,1,IF(Settings!$B$23="USD",1/INDEX(Settings!$B$29:$B$40,MONTH(A2882)),INDEX(Settings!$B$29:$B$40,MONTH(A2882)))))</f>
        <v/>
      </c>
    </row>
    <row r="2883" customFormat="false" ht="15" hidden="false" customHeight="false" outlineLevel="0" collapsed="false">
      <c r="H2883" s="0" t="str">
        <f aca="false">IF(B2883="","",IF(COUNTIF(Campaigns!$A$7:$A$300,B2883)&gt;0,"✓","⚠ add to Campaigns tab"))</f>
        <v/>
      </c>
      <c r="I2883" s="84" t="str">
        <f aca="false">IF(C2883="","",C2883*IF(Settings!$B$23=Settings!$C$6,1,IF(Settings!$B$23="USD",1/INDEX(Settings!$B$29:$B$40,MONTH(A2883)),INDEX(Settings!$B$29:$B$40,MONTH(A2883)))))</f>
        <v/>
      </c>
    </row>
    <row r="2884" customFormat="false" ht="15" hidden="false" customHeight="false" outlineLevel="0" collapsed="false">
      <c r="H2884" s="0" t="str">
        <f aca="false">IF(B2884="","",IF(COUNTIF(Campaigns!$A$7:$A$300,B2884)&gt;0,"✓","⚠ add to Campaigns tab"))</f>
        <v/>
      </c>
      <c r="I2884" s="84" t="str">
        <f aca="false">IF(C2884="","",C2884*IF(Settings!$B$23=Settings!$C$6,1,IF(Settings!$B$23="USD",1/INDEX(Settings!$B$29:$B$40,MONTH(A2884)),INDEX(Settings!$B$29:$B$40,MONTH(A2884)))))</f>
        <v/>
      </c>
    </row>
    <row r="2885" customFormat="false" ht="15" hidden="false" customHeight="false" outlineLevel="0" collapsed="false">
      <c r="H2885" s="0" t="str">
        <f aca="false">IF(B2885="","",IF(COUNTIF(Campaigns!$A$7:$A$300,B2885)&gt;0,"✓","⚠ add to Campaigns tab"))</f>
        <v/>
      </c>
      <c r="I2885" s="84" t="str">
        <f aca="false">IF(C2885="","",C2885*IF(Settings!$B$23=Settings!$C$6,1,IF(Settings!$B$23="USD",1/INDEX(Settings!$B$29:$B$40,MONTH(A2885)),INDEX(Settings!$B$29:$B$40,MONTH(A2885)))))</f>
        <v/>
      </c>
    </row>
    <row r="2886" customFormat="false" ht="15" hidden="false" customHeight="false" outlineLevel="0" collapsed="false">
      <c r="H2886" s="0" t="str">
        <f aca="false">IF(B2886="","",IF(COUNTIF(Campaigns!$A$7:$A$300,B2886)&gt;0,"✓","⚠ add to Campaigns tab"))</f>
        <v/>
      </c>
      <c r="I2886" s="84" t="str">
        <f aca="false">IF(C2886="","",C2886*IF(Settings!$B$23=Settings!$C$6,1,IF(Settings!$B$23="USD",1/INDEX(Settings!$B$29:$B$40,MONTH(A2886)),INDEX(Settings!$B$29:$B$40,MONTH(A2886)))))</f>
        <v/>
      </c>
    </row>
    <row r="2887" customFormat="false" ht="15" hidden="false" customHeight="false" outlineLevel="0" collapsed="false">
      <c r="H2887" s="0" t="str">
        <f aca="false">IF(B2887="","",IF(COUNTIF(Campaigns!$A$7:$A$300,B2887)&gt;0,"✓","⚠ add to Campaigns tab"))</f>
        <v/>
      </c>
      <c r="I2887" s="84" t="str">
        <f aca="false">IF(C2887="","",C2887*IF(Settings!$B$23=Settings!$C$6,1,IF(Settings!$B$23="USD",1/INDEX(Settings!$B$29:$B$40,MONTH(A2887)),INDEX(Settings!$B$29:$B$40,MONTH(A2887)))))</f>
        <v/>
      </c>
    </row>
    <row r="2888" customFormat="false" ht="15" hidden="false" customHeight="false" outlineLevel="0" collapsed="false">
      <c r="H2888" s="0" t="str">
        <f aca="false">IF(B2888="","",IF(COUNTIF(Campaigns!$A$7:$A$300,B2888)&gt;0,"✓","⚠ add to Campaigns tab"))</f>
        <v/>
      </c>
      <c r="I2888" s="84" t="str">
        <f aca="false">IF(C2888="","",C2888*IF(Settings!$B$23=Settings!$C$6,1,IF(Settings!$B$23="USD",1/INDEX(Settings!$B$29:$B$40,MONTH(A2888)),INDEX(Settings!$B$29:$B$40,MONTH(A2888)))))</f>
        <v/>
      </c>
    </row>
    <row r="2889" customFormat="false" ht="15" hidden="false" customHeight="false" outlineLevel="0" collapsed="false">
      <c r="H2889" s="0" t="str">
        <f aca="false">IF(B2889="","",IF(COUNTIF(Campaigns!$A$7:$A$300,B2889)&gt;0,"✓","⚠ add to Campaigns tab"))</f>
        <v/>
      </c>
      <c r="I2889" s="84" t="str">
        <f aca="false">IF(C2889="","",C2889*IF(Settings!$B$23=Settings!$C$6,1,IF(Settings!$B$23="USD",1/INDEX(Settings!$B$29:$B$40,MONTH(A2889)),INDEX(Settings!$B$29:$B$40,MONTH(A2889)))))</f>
        <v/>
      </c>
    </row>
    <row r="2890" customFormat="false" ht="15" hidden="false" customHeight="false" outlineLevel="0" collapsed="false">
      <c r="H2890" s="0" t="str">
        <f aca="false">IF(B2890="","",IF(COUNTIF(Campaigns!$A$7:$A$300,B2890)&gt;0,"✓","⚠ add to Campaigns tab"))</f>
        <v/>
      </c>
      <c r="I2890" s="84" t="str">
        <f aca="false">IF(C2890="","",C2890*IF(Settings!$B$23=Settings!$C$6,1,IF(Settings!$B$23="USD",1/INDEX(Settings!$B$29:$B$40,MONTH(A2890)),INDEX(Settings!$B$29:$B$40,MONTH(A2890)))))</f>
        <v/>
      </c>
    </row>
    <row r="2891" customFormat="false" ht="15" hidden="false" customHeight="false" outlineLevel="0" collapsed="false">
      <c r="H2891" s="0" t="str">
        <f aca="false">IF(B2891="","",IF(COUNTIF(Campaigns!$A$7:$A$300,B2891)&gt;0,"✓","⚠ add to Campaigns tab"))</f>
        <v/>
      </c>
      <c r="I2891" s="84" t="str">
        <f aca="false">IF(C2891="","",C2891*IF(Settings!$B$23=Settings!$C$6,1,IF(Settings!$B$23="USD",1/INDEX(Settings!$B$29:$B$40,MONTH(A2891)),INDEX(Settings!$B$29:$B$40,MONTH(A2891)))))</f>
        <v/>
      </c>
    </row>
    <row r="2892" customFormat="false" ht="15" hidden="false" customHeight="false" outlineLevel="0" collapsed="false">
      <c r="H2892" s="0" t="str">
        <f aca="false">IF(B2892="","",IF(COUNTIF(Campaigns!$A$7:$A$300,B2892)&gt;0,"✓","⚠ add to Campaigns tab"))</f>
        <v/>
      </c>
      <c r="I2892" s="84" t="str">
        <f aca="false">IF(C2892="","",C2892*IF(Settings!$B$23=Settings!$C$6,1,IF(Settings!$B$23="USD",1/INDEX(Settings!$B$29:$B$40,MONTH(A2892)),INDEX(Settings!$B$29:$B$40,MONTH(A2892)))))</f>
        <v/>
      </c>
    </row>
    <row r="2893" customFormat="false" ht="15" hidden="false" customHeight="false" outlineLevel="0" collapsed="false">
      <c r="H2893" s="0" t="str">
        <f aca="false">IF(B2893="","",IF(COUNTIF(Campaigns!$A$7:$A$300,B2893)&gt;0,"✓","⚠ add to Campaigns tab"))</f>
        <v/>
      </c>
      <c r="I2893" s="84" t="str">
        <f aca="false">IF(C2893="","",C2893*IF(Settings!$B$23=Settings!$C$6,1,IF(Settings!$B$23="USD",1/INDEX(Settings!$B$29:$B$40,MONTH(A2893)),INDEX(Settings!$B$29:$B$40,MONTH(A2893)))))</f>
        <v/>
      </c>
    </row>
    <row r="2894" customFormat="false" ht="15" hidden="false" customHeight="false" outlineLevel="0" collapsed="false">
      <c r="H2894" s="0" t="str">
        <f aca="false">IF(B2894="","",IF(COUNTIF(Campaigns!$A$7:$A$300,B2894)&gt;0,"✓","⚠ add to Campaigns tab"))</f>
        <v/>
      </c>
      <c r="I2894" s="84" t="str">
        <f aca="false">IF(C2894="","",C2894*IF(Settings!$B$23=Settings!$C$6,1,IF(Settings!$B$23="USD",1/INDEX(Settings!$B$29:$B$40,MONTH(A2894)),INDEX(Settings!$B$29:$B$40,MONTH(A2894)))))</f>
        <v/>
      </c>
    </row>
    <row r="2895" customFormat="false" ht="15" hidden="false" customHeight="false" outlineLevel="0" collapsed="false">
      <c r="H2895" s="0" t="str">
        <f aca="false">IF(B2895="","",IF(COUNTIF(Campaigns!$A$7:$A$300,B2895)&gt;0,"✓","⚠ add to Campaigns tab"))</f>
        <v/>
      </c>
      <c r="I2895" s="84" t="str">
        <f aca="false">IF(C2895="","",C2895*IF(Settings!$B$23=Settings!$C$6,1,IF(Settings!$B$23="USD",1/INDEX(Settings!$B$29:$B$40,MONTH(A2895)),INDEX(Settings!$B$29:$B$40,MONTH(A2895)))))</f>
        <v/>
      </c>
    </row>
    <row r="2896" customFormat="false" ht="15" hidden="false" customHeight="false" outlineLevel="0" collapsed="false">
      <c r="H2896" s="0" t="str">
        <f aca="false">IF(B2896="","",IF(COUNTIF(Campaigns!$A$7:$A$300,B2896)&gt;0,"✓","⚠ add to Campaigns tab"))</f>
        <v/>
      </c>
      <c r="I2896" s="84" t="str">
        <f aca="false">IF(C2896="","",C2896*IF(Settings!$B$23=Settings!$C$6,1,IF(Settings!$B$23="USD",1/INDEX(Settings!$B$29:$B$40,MONTH(A2896)),INDEX(Settings!$B$29:$B$40,MONTH(A2896)))))</f>
        <v/>
      </c>
    </row>
    <row r="2897" customFormat="false" ht="15" hidden="false" customHeight="false" outlineLevel="0" collapsed="false">
      <c r="H2897" s="0" t="str">
        <f aca="false">IF(B2897="","",IF(COUNTIF(Campaigns!$A$7:$A$300,B2897)&gt;0,"✓","⚠ add to Campaigns tab"))</f>
        <v/>
      </c>
      <c r="I2897" s="84" t="str">
        <f aca="false">IF(C2897="","",C2897*IF(Settings!$B$23=Settings!$C$6,1,IF(Settings!$B$23="USD",1/INDEX(Settings!$B$29:$B$40,MONTH(A2897)),INDEX(Settings!$B$29:$B$40,MONTH(A2897)))))</f>
        <v/>
      </c>
    </row>
    <row r="2898" customFormat="false" ht="15" hidden="false" customHeight="false" outlineLevel="0" collapsed="false">
      <c r="H2898" s="0" t="str">
        <f aca="false">IF(B2898="","",IF(COUNTIF(Campaigns!$A$7:$A$300,B2898)&gt;0,"✓","⚠ add to Campaigns tab"))</f>
        <v/>
      </c>
      <c r="I2898" s="84" t="str">
        <f aca="false">IF(C2898="","",C2898*IF(Settings!$B$23=Settings!$C$6,1,IF(Settings!$B$23="USD",1/INDEX(Settings!$B$29:$B$40,MONTH(A2898)),INDEX(Settings!$B$29:$B$40,MONTH(A2898)))))</f>
        <v/>
      </c>
    </row>
    <row r="2899" customFormat="false" ht="15" hidden="false" customHeight="false" outlineLevel="0" collapsed="false">
      <c r="H2899" s="0" t="str">
        <f aca="false">IF(B2899="","",IF(COUNTIF(Campaigns!$A$7:$A$300,B2899)&gt;0,"✓","⚠ add to Campaigns tab"))</f>
        <v/>
      </c>
      <c r="I2899" s="84" t="str">
        <f aca="false">IF(C2899="","",C2899*IF(Settings!$B$23=Settings!$C$6,1,IF(Settings!$B$23="USD",1/INDEX(Settings!$B$29:$B$40,MONTH(A2899)),INDEX(Settings!$B$29:$B$40,MONTH(A2899)))))</f>
        <v/>
      </c>
    </row>
    <row r="2900" customFormat="false" ht="15" hidden="false" customHeight="false" outlineLevel="0" collapsed="false">
      <c r="H2900" s="0" t="str">
        <f aca="false">IF(B2900="","",IF(COUNTIF(Campaigns!$A$7:$A$300,B2900)&gt;0,"✓","⚠ add to Campaigns tab"))</f>
        <v/>
      </c>
      <c r="I2900" s="84" t="str">
        <f aca="false">IF(C2900="","",C2900*IF(Settings!$B$23=Settings!$C$6,1,IF(Settings!$B$23="USD",1/INDEX(Settings!$B$29:$B$40,MONTH(A2900)),INDEX(Settings!$B$29:$B$40,MONTH(A2900)))))</f>
        <v/>
      </c>
    </row>
    <row r="2901" customFormat="false" ht="15" hidden="false" customHeight="false" outlineLevel="0" collapsed="false">
      <c r="H2901" s="0" t="str">
        <f aca="false">IF(B2901="","",IF(COUNTIF(Campaigns!$A$7:$A$300,B2901)&gt;0,"✓","⚠ add to Campaigns tab"))</f>
        <v/>
      </c>
      <c r="I2901" s="84" t="str">
        <f aca="false">IF(C2901="","",C2901*IF(Settings!$B$23=Settings!$C$6,1,IF(Settings!$B$23="USD",1/INDEX(Settings!$B$29:$B$40,MONTH(A2901)),INDEX(Settings!$B$29:$B$40,MONTH(A2901)))))</f>
        <v/>
      </c>
    </row>
    <row r="2902" customFormat="false" ht="15" hidden="false" customHeight="false" outlineLevel="0" collapsed="false">
      <c r="H2902" s="0" t="str">
        <f aca="false">IF(B2902="","",IF(COUNTIF(Campaigns!$A$7:$A$300,B2902)&gt;0,"✓","⚠ add to Campaigns tab"))</f>
        <v/>
      </c>
      <c r="I2902" s="84" t="str">
        <f aca="false">IF(C2902="","",C2902*IF(Settings!$B$23=Settings!$C$6,1,IF(Settings!$B$23="USD",1/INDEX(Settings!$B$29:$B$40,MONTH(A2902)),INDEX(Settings!$B$29:$B$40,MONTH(A2902)))))</f>
        <v/>
      </c>
    </row>
    <row r="2903" customFormat="false" ht="15" hidden="false" customHeight="false" outlineLevel="0" collapsed="false">
      <c r="H2903" s="0" t="str">
        <f aca="false">IF(B2903="","",IF(COUNTIF(Campaigns!$A$7:$A$300,B2903)&gt;0,"✓","⚠ add to Campaigns tab"))</f>
        <v/>
      </c>
      <c r="I2903" s="84" t="str">
        <f aca="false">IF(C2903="","",C2903*IF(Settings!$B$23=Settings!$C$6,1,IF(Settings!$B$23="USD",1/INDEX(Settings!$B$29:$B$40,MONTH(A2903)),INDEX(Settings!$B$29:$B$40,MONTH(A2903)))))</f>
        <v/>
      </c>
    </row>
    <row r="2904" customFormat="false" ht="15" hidden="false" customHeight="false" outlineLevel="0" collapsed="false">
      <c r="H2904" s="0" t="str">
        <f aca="false">IF(B2904="","",IF(COUNTIF(Campaigns!$A$7:$A$300,B2904)&gt;0,"✓","⚠ add to Campaigns tab"))</f>
        <v/>
      </c>
      <c r="I2904" s="84" t="str">
        <f aca="false">IF(C2904="","",C2904*IF(Settings!$B$23=Settings!$C$6,1,IF(Settings!$B$23="USD",1/INDEX(Settings!$B$29:$B$40,MONTH(A2904)),INDEX(Settings!$B$29:$B$40,MONTH(A2904)))))</f>
        <v/>
      </c>
    </row>
    <row r="2905" customFormat="false" ht="15" hidden="false" customHeight="false" outlineLevel="0" collapsed="false">
      <c r="H2905" s="0" t="str">
        <f aca="false">IF(B2905="","",IF(COUNTIF(Campaigns!$A$7:$A$300,B2905)&gt;0,"✓","⚠ add to Campaigns tab"))</f>
        <v/>
      </c>
      <c r="I2905" s="84" t="str">
        <f aca="false">IF(C2905="","",C2905*IF(Settings!$B$23=Settings!$C$6,1,IF(Settings!$B$23="USD",1/INDEX(Settings!$B$29:$B$40,MONTH(A2905)),INDEX(Settings!$B$29:$B$40,MONTH(A2905)))))</f>
        <v/>
      </c>
    </row>
    <row r="2906" customFormat="false" ht="15" hidden="false" customHeight="false" outlineLevel="0" collapsed="false">
      <c r="H2906" s="0" t="str">
        <f aca="false">IF(B2906="","",IF(COUNTIF(Campaigns!$A$7:$A$300,B2906)&gt;0,"✓","⚠ add to Campaigns tab"))</f>
        <v/>
      </c>
      <c r="I2906" s="84" t="str">
        <f aca="false">IF(C2906="","",C2906*IF(Settings!$B$23=Settings!$C$6,1,IF(Settings!$B$23="USD",1/INDEX(Settings!$B$29:$B$40,MONTH(A2906)),INDEX(Settings!$B$29:$B$40,MONTH(A2906)))))</f>
        <v/>
      </c>
    </row>
    <row r="2907" customFormat="false" ht="15" hidden="false" customHeight="false" outlineLevel="0" collapsed="false">
      <c r="H2907" s="0" t="str">
        <f aca="false">IF(B2907="","",IF(COUNTIF(Campaigns!$A$7:$A$300,B2907)&gt;0,"✓","⚠ add to Campaigns tab"))</f>
        <v/>
      </c>
      <c r="I2907" s="84" t="str">
        <f aca="false">IF(C2907="","",C2907*IF(Settings!$B$23=Settings!$C$6,1,IF(Settings!$B$23="USD",1/INDEX(Settings!$B$29:$B$40,MONTH(A2907)),INDEX(Settings!$B$29:$B$40,MONTH(A2907)))))</f>
        <v/>
      </c>
    </row>
    <row r="2908" customFormat="false" ht="15" hidden="false" customHeight="false" outlineLevel="0" collapsed="false">
      <c r="H2908" s="0" t="str">
        <f aca="false">IF(B2908="","",IF(COUNTIF(Campaigns!$A$7:$A$300,B2908)&gt;0,"✓","⚠ add to Campaigns tab"))</f>
        <v/>
      </c>
      <c r="I2908" s="84" t="str">
        <f aca="false">IF(C2908="","",C2908*IF(Settings!$B$23=Settings!$C$6,1,IF(Settings!$B$23="USD",1/INDEX(Settings!$B$29:$B$40,MONTH(A2908)),INDEX(Settings!$B$29:$B$40,MONTH(A2908)))))</f>
        <v/>
      </c>
    </row>
    <row r="2909" customFormat="false" ht="15" hidden="false" customHeight="false" outlineLevel="0" collapsed="false">
      <c r="H2909" s="0" t="str">
        <f aca="false">IF(B2909="","",IF(COUNTIF(Campaigns!$A$7:$A$300,B2909)&gt;0,"✓","⚠ add to Campaigns tab"))</f>
        <v/>
      </c>
      <c r="I2909" s="84" t="str">
        <f aca="false">IF(C2909="","",C2909*IF(Settings!$B$23=Settings!$C$6,1,IF(Settings!$B$23="USD",1/INDEX(Settings!$B$29:$B$40,MONTH(A2909)),INDEX(Settings!$B$29:$B$40,MONTH(A2909)))))</f>
        <v/>
      </c>
    </row>
    <row r="2910" customFormat="false" ht="15" hidden="false" customHeight="false" outlineLevel="0" collapsed="false">
      <c r="H2910" s="0" t="str">
        <f aca="false">IF(B2910="","",IF(COUNTIF(Campaigns!$A$7:$A$300,B2910)&gt;0,"✓","⚠ add to Campaigns tab"))</f>
        <v/>
      </c>
      <c r="I2910" s="84" t="str">
        <f aca="false">IF(C2910="","",C2910*IF(Settings!$B$23=Settings!$C$6,1,IF(Settings!$B$23="USD",1/INDEX(Settings!$B$29:$B$40,MONTH(A2910)),INDEX(Settings!$B$29:$B$40,MONTH(A2910)))))</f>
        <v/>
      </c>
    </row>
    <row r="2911" customFormat="false" ht="15" hidden="false" customHeight="false" outlineLevel="0" collapsed="false">
      <c r="H2911" s="0" t="str">
        <f aca="false">IF(B2911="","",IF(COUNTIF(Campaigns!$A$7:$A$300,B2911)&gt;0,"✓","⚠ add to Campaigns tab"))</f>
        <v/>
      </c>
      <c r="I2911" s="84" t="str">
        <f aca="false">IF(C2911="","",C2911*IF(Settings!$B$23=Settings!$C$6,1,IF(Settings!$B$23="USD",1/INDEX(Settings!$B$29:$B$40,MONTH(A2911)),INDEX(Settings!$B$29:$B$40,MONTH(A2911)))))</f>
        <v/>
      </c>
    </row>
    <row r="2912" customFormat="false" ht="15" hidden="false" customHeight="false" outlineLevel="0" collapsed="false">
      <c r="H2912" s="0" t="str">
        <f aca="false">IF(B2912="","",IF(COUNTIF(Campaigns!$A$7:$A$300,B2912)&gt;0,"✓","⚠ add to Campaigns tab"))</f>
        <v/>
      </c>
      <c r="I2912" s="84" t="str">
        <f aca="false">IF(C2912="","",C2912*IF(Settings!$B$23=Settings!$C$6,1,IF(Settings!$B$23="USD",1/INDEX(Settings!$B$29:$B$40,MONTH(A2912)),INDEX(Settings!$B$29:$B$40,MONTH(A2912)))))</f>
        <v/>
      </c>
    </row>
    <row r="2913" customFormat="false" ht="15" hidden="false" customHeight="false" outlineLevel="0" collapsed="false">
      <c r="H2913" s="0" t="str">
        <f aca="false">IF(B2913="","",IF(COUNTIF(Campaigns!$A$7:$A$300,B2913)&gt;0,"✓","⚠ add to Campaigns tab"))</f>
        <v/>
      </c>
      <c r="I2913" s="84" t="str">
        <f aca="false">IF(C2913="","",C2913*IF(Settings!$B$23=Settings!$C$6,1,IF(Settings!$B$23="USD",1/INDEX(Settings!$B$29:$B$40,MONTH(A2913)),INDEX(Settings!$B$29:$B$40,MONTH(A2913)))))</f>
        <v/>
      </c>
    </row>
    <row r="2914" customFormat="false" ht="15" hidden="false" customHeight="false" outlineLevel="0" collapsed="false">
      <c r="H2914" s="0" t="str">
        <f aca="false">IF(B2914="","",IF(COUNTIF(Campaigns!$A$7:$A$300,B2914)&gt;0,"✓","⚠ add to Campaigns tab"))</f>
        <v/>
      </c>
      <c r="I2914" s="84" t="str">
        <f aca="false">IF(C2914="","",C2914*IF(Settings!$B$23=Settings!$C$6,1,IF(Settings!$B$23="USD",1/INDEX(Settings!$B$29:$B$40,MONTH(A2914)),INDEX(Settings!$B$29:$B$40,MONTH(A2914)))))</f>
        <v/>
      </c>
    </row>
    <row r="2915" customFormat="false" ht="15" hidden="false" customHeight="false" outlineLevel="0" collapsed="false">
      <c r="H2915" s="0" t="str">
        <f aca="false">IF(B2915="","",IF(COUNTIF(Campaigns!$A$7:$A$300,B2915)&gt;0,"✓","⚠ add to Campaigns tab"))</f>
        <v/>
      </c>
      <c r="I2915" s="84" t="str">
        <f aca="false">IF(C2915="","",C2915*IF(Settings!$B$23=Settings!$C$6,1,IF(Settings!$B$23="USD",1/INDEX(Settings!$B$29:$B$40,MONTH(A2915)),INDEX(Settings!$B$29:$B$40,MONTH(A2915)))))</f>
        <v/>
      </c>
    </row>
    <row r="2916" customFormat="false" ht="15" hidden="false" customHeight="false" outlineLevel="0" collapsed="false">
      <c r="H2916" s="0" t="str">
        <f aca="false">IF(B2916="","",IF(COUNTIF(Campaigns!$A$7:$A$300,B2916)&gt;0,"✓","⚠ add to Campaigns tab"))</f>
        <v/>
      </c>
      <c r="I2916" s="84" t="str">
        <f aca="false">IF(C2916="","",C2916*IF(Settings!$B$23=Settings!$C$6,1,IF(Settings!$B$23="USD",1/INDEX(Settings!$B$29:$B$40,MONTH(A2916)),INDEX(Settings!$B$29:$B$40,MONTH(A2916)))))</f>
        <v/>
      </c>
    </row>
    <row r="2917" customFormat="false" ht="15" hidden="false" customHeight="false" outlineLevel="0" collapsed="false">
      <c r="H2917" s="0" t="str">
        <f aca="false">IF(B2917="","",IF(COUNTIF(Campaigns!$A$7:$A$300,B2917)&gt;0,"✓","⚠ add to Campaigns tab"))</f>
        <v/>
      </c>
      <c r="I2917" s="84" t="str">
        <f aca="false">IF(C2917="","",C2917*IF(Settings!$B$23=Settings!$C$6,1,IF(Settings!$B$23="USD",1/INDEX(Settings!$B$29:$B$40,MONTH(A2917)),INDEX(Settings!$B$29:$B$40,MONTH(A2917)))))</f>
        <v/>
      </c>
    </row>
    <row r="2918" customFormat="false" ht="15" hidden="false" customHeight="false" outlineLevel="0" collapsed="false">
      <c r="H2918" s="0" t="str">
        <f aca="false">IF(B2918="","",IF(COUNTIF(Campaigns!$A$7:$A$300,B2918)&gt;0,"✓","⚠ add to Campaigns tab"))</f>
        <v/>
      </c>
      <c r="I2918" s="84" t="str">
        <f aca="false">IF(C2918="","",C2918*IF(Settings!$B$23=Settings!$C$6,1,IF(Settings!$B$23="USD",1/INDEX(Settings!$B$29:$B$40,MONTH(A2918)),INDEX(Settings!$B$29:$B$40,MONTH(A2918)))))</f>
        <v/>
      </c>
    </row>
    <row r="2919" customFormat="false" ht="15" hidden="false" customHeight="false" outlineLevel="0" collapsed="false">
      <c r="H2919" s="0" t="str">
        <f aca="false">IF(B2919="","",IF(COUNTIF(Campaigns!$A$7:$A$300,B2919)&gt;0,"✓","⚠ add to Campaigns tab"))</f>
        <v/>
      </c>
      <c r="I2919" s="84" t="str">
        <f aca="false">IF(C2919="","",C2919*IF(Settings!$B$23=Settings!$C$6,1,IF(Settings!$B$23="USD",1/INDEX(Settings!$B$29:$B$40,MONTH(A2919)),INDEX(Settings!$B$29:$B$40,MONTH(A2919)))))</f>
        <v/>
      </c>
    </row>
    <row r="2920" customFormat="false" ht="15" hidden="false" customHeight="false" outlineLevel="0" collapsed="false">
      <c r="H2920" s="0" t="str">
        <f aca="false">IF(B2920="","",IF(COUNTIF(Campaigns!$A$7:$A$300,B2920)&gt;0,"✓","⚠ add to Campaigns tab"))</f>
        <v/>
      </c>
      <c r="I2920" s="84" t="str">
        <f aca="false">IF(C2920="","",C2920*IF(Settings!$B$23=Settings!$C$6,1,IF(Settings!$B$23="USD",1/INDEX(Settings!$B$29:$B$40,MONTH(A2920)),INDEX(Settings!$B$29:$B$40,MONTH(A2920)))))</f>
        <v/>
      </c>
    </row>
    <row r="2921" customFormat="false" ht="15" hidden="false" customHeight="false" outlineLevel="0" collapsed="false">
      <c r="H2921" s="0" t="str">
        <f aca="false">IF(B2921="","",IF(COUNTIF(Campaigns!$A$7:$A$300,B2921)&gt;0,"✓","⚠ add to Campaigns tab"))</f>
        <v/>
      </c>
      <c r="I2921" s="84" t="str">
        <f aca="false">IF(C2921="","",C2921*IF(Settings!$B$23=Settings!$C$6,1,IF(Settings!$B$23="USD",1/INDEX(Settings!$B$29:$B$40,MONTH(A2921)),INDEX(Settings!$B$29:$B$40,MONTH(A2921)))))</f>
        <v/>
      </c>
    </row>
    <row r="2922" customFormat="false" ht="15" hidden="false" customHeight="false" outlineLevel="0" collapsed="false">
      <c r="H2922" s="0" t="str">
        <f aca="false">IF(B2922="","",IF(COUNTIF(Campaigns!$A$7:$A$300,B2922)&gt;0,"✓","⚠ add to Campaigns tab"))</f>
        <v/>
      </c>
      <c r="I2922" s="84" t="str">
        <f aca="false">IF(C2922="","",C2922*IF(Settings!$B$23=Settings!$C$6,1,IF(Settings!$B$23="USD",1/INDEX(Settings!$B$29:$B$40,MONTH(A2922)),INDEX(Settings!$B$29:$B$40,MONTH(A2922)))))</f>
        <v/>
      </c>
    </row>
    <row r="2923" customFormat="false" ht="15" hidden="false" customHeight="false" outlineLevel="0" collapsed="false">
      <c r="H2923" s="0" t="str">
        <f aca="false">IF(B2923="","",IF(COUNTIF(Campaigns!$A$7:$A$300,B2923)&gt;0,"✓","⚠ add to Campaigns tab"))</f>
        <v/>
      </c>
      <c r="I2923" s="84" t="str">
        <f aca="false">IF(C2923="","",C2923*IF(Settings!$B$23=Settings!$C$6,1,IF(Settings!$B$23="USD",1/INDEX(Settings!$B$29:$B$40,MONTH(A2923)),INDEX(Settings!$B$29:$B$40,MONTH(A2923)))))</f>
        <v/>
      </c>
    </row>
    <row r="2924" customFormat="false" ht="15" hidden="false" customHeight="false" outlineLevel="0" collapsed="false">
      <c r="H2924" s="0" t="str">
        <f aca="false">IF(B2924="","",IF(COUNTIF(Campaigns!$A$7:$A$300,B2924)&gt;0,"✓","⚠ add to Campaigns tab"))</f>
        <v/>
      </c>
      <c r="I2924" s="84" t="str">
        <f aca="false">IF(C2924="","",C2924*IF(Settings!$B$23=Settings!$C$6,1,IF(Settings!$B$23="USD",1/INDEX(Settings!$B$29:$B$40,MONTH(A2924)),INDEX(Settings!$B$29:$B$40,MONTH(A2924)))))</f>
        <v/>
      </c>
    </row>
    <row r="2925" customFormat="false" ht="15" hidden="false" customHeight="false" outlineLevel="0" collapsed="false">
      <c r="H2925" s="0" t="str">
        <f aca="false">IF(B2925="","",IF(COUNTIF(Campaigns!$A$7:$A$300,B2925)&gt;0,"✓","⚠ add to Campaigns tab"))</f>
        <v/>
      </c>
      <c r="I2925" s="84" t="str">
        <f aca="false">IF(C2925="","",C2925*IF(Settings!$B$23=Settings!$C$6,1,IF(Settings!$B$23="USD",1/INDEX(Settings!$B$29:$B$40,MONTH(A2925)),INDEX(Settings!$B$29:$B$40,MONTH(A2925)))))</f>
        <v/>
      </c>
    </row>
    <row r="2926" customFormat="false" ht="15" hidden="false" customHeight="false" outlineLevel="0" collapsed="false">
      <c r="H2926" s="0" t="str">
        <f aca="false">IF(B2926="","",IF(COUNTIF(Campaigns!$A$7:$A$300,B2926)&gt;0,"✓","⚠ add to Campaigns tab"))</f>
        <v/>
      </c>
      <c r="I2926" s="84" t="str">
        <f aca="false">IF(C2926="","",C2926*IF(Settings!$B$23=Settings!$C$6,1,IF(Settings!$B$23="USD",1/INDEX(Settings!$B$29:$B$40,MONTH(A2926)),INDEX(Settings!$B$29:$B$40,MONTH(A2926)))))</f>
        <v/>
      </c>
    </row>
    <row r="2927" customFormat="false" ht="15" hidden="false" customHeight="false" outlineLevel="0" collapsed="false">
      <c r="H2927" s="0" t="str">
        <f aca="false">IF(B2927="","",IF(COUNTIF(Campaigns!$A$7:$A$300,B2927)&gt;0,"✓","⚠ add to Campaigns tab"))</f>
        <v/>
      </c>
      <c r="I2927" s="84" t="str">
        <f aca="false">IF(C2927="","",C2927*IF(Settings!$B$23=Settings!$C$6,1,IF(Settings!$B$23="USD",1/INDEX(Settings!$B$29:$B$40,MONTH(A2927)),INDEX(Settings!$B$29:$B$40,MONTH(A2927)))))</f>
        <v/>
      </c>
    </row>
    <row r="2928" customFormat="false" ht="15" hidden="false" customHeight="false" outlineLevel="0" collapsed="false">
      <c r="H2928" s="0" t="str">
        <f aca="false">IF(B2928="","",IF(COUNTIF(Campaigns!$A$7:$A$300,B2928)&gt;0,"✓","⚠ add to Campaigns tab"))</f>
        <v/>
      </c>
      <c r="I2928" s="84" t="str">
        <f aca="false">IF(C2928="","",C2928*IF(Settings!$B$23=Settings!$C$6,1,IF(Settings!$B$23="USD",1/INDEX(Settings!$B$29:$B$40,MONTH(A2928)),INDEX(Settings!$B$29:$B$40,MONTH(A2928)))))</f>
        <v/>
      </c>
    </row>
    <row r="2929" customFormat="false" ht="15" hidden="false" customHeight="false" outlineLevel="0" collapsed="false">
      <c r="H2929" s="0" t="str">
        <f aca="false">IF(B2929="","",IF(COUNTIF(Campaigns!$A$7:$A$300,B2929)&gt;0,"✓","⚠ add to Campaigns tab"))</f>
        <v/>
      </c>
      <c r="I2929" s="84" t="str">
        <f aca="false">IF(C2929="","",C2929*IF(Settings!$B$23=Settings!$C$6,1,IF(Settings!$B$23="USD",1/INDEX(Settings!$B$29:$B$40,MONTH(A2929)),INDEX(Settings!$B$29:$B$40,MONTH(A2929)))))</f>
        <v/>
      </c>
    </row>
    <row r="2930" customFormat="false" ht="15" hidden="false" customHeight="false" outlineLevel="0" collapsed="false">
      <c r="H2930" s="0" t="str">
        <f aca="false">IF(B2930="","",IF(COUNTIF(Campaigns!$A$7:$A$300,B2930)&gt;0,"✓","⚠ add to Campaigns tab"))</f>
        <v/>
      </c>
      <c r="I2930" s="84" t="str">
        <f aca="false">IF(C2930="","",C2930*IF(Settings!$B$23=Settings!$C$6,1,IF(Settings!$B$23="USD",1/INDEX(Settings!$B$29:$B$40,MONTH(A2930)),INDEX(Settings!$B$29:$B$40,MONTH(A2930)))))</f>
        <v/>
      </c>
    </row>
    <row r="2931" customFormat="false" ht="15" hidden="false" customHeight="false" outlineLevel="0" collapsed="false">
      <c r="H2931" s="0" t="str">
        <f aca="false">IF(B2931="","",IF(COUNTIF(Campaigns!$A$7:$A$300,B2931)&gt;0,"✓","⚠ add to Campaigns tab"))</f>
        <v/>
      </c>
      <c r="I2931" s="84" t="str">
        <f aca="false">IF(C2931="","",C2931*IF(Settings!$B$23=Settings!$C$6,1,IF(Settings!$B$23="USD",1/INDEX(Settings!$B$29:$B$40,MONTH(A2931)),INDEX(Settings!$B$29:$B$40,MONTH(A2931)))))</f>
        <v/>
      </c>
    </row>
    <row r="2932" customFormat="false" ht="15" hidden="false" customHeight="false" outlineLevel="0" collapsed="false">
      <c r="H2932" s="0" t="str">
        <f aca="false">IF(B2932="","",IF(COUNTIF(Campaigns!$A$7:$A$300,B2932)&gt;0,"✓","⚠ add to Campaigns tab"))</f>
        <v/>
      </c>
      <c r="I2932" s="84" t="str">
        <f aca="false">IF(C2932="","",C2932*IF(Settings!$B$23=Settings!$C$6,1,IF(Settings!$B$23="USD",1/INDEX(Settings!$B$29:$B$40,MONTH(A2932)),INDEX(Settings!$B$29:$B$40,MONTH(A2932)))))</f>
        <v/>
      </c>
    </row>
    <row r="2933" customFormat="false" ht="15" hidden="false" customHeight="false" outlineLevel="0" collapsed="false">
      <c r="H2933" s="0" t="str">
        <f aca="false">IF(B2933="","",IF(COUNTIF(Campaigns!$A$7:$A$300,B2933)&gt;0,"✓","⚠ add to Campaigns tab"))</f>
        <v/>
      </c>
      <c r="I2933" s="84" t="str">
        <f aca="false">IF(C2933="","",C2933*IF(Settings!$B$23=Settings!$C$6,1,IF(Settings!$B$23="USD",1/INDEX(Settings!$B$29:$B$40,MONTH(A2933)),INDEX(Settings!$B$29:$B$40,MONTH(A2933)))))</f>
        <v/>
      </c>
    </row>
    <row r="2934" customFormat="false" ht="15" hidden="false" customHeight="false" outlineLevel="0" collapsed="false">
      <c r="H2934" s="0" t="str">
        <f aca="false">IF(B2934="","",IF(COUNTIF(Campaigns!$A$7:$A$300,B2934)&gt;0,"✓","⚠ add to Campaigns tab"))</f>
        <v/>
      </c>
      <c r="I2934" s="84" t="str">
        <f aca="false">IF(C2934="","",C2934*IF(Settings!$B$23=Settings!$C$6,1,IF(Settings!$B$23="USD",1/INDEX(Settings!$B$29:$B$40,MONTH(A2934)),INDEX(Settings!$B$29:$B$40,MONTH(A2934)))))</f>
        <v/>
      </c>
    </row>
    <row r="2935" customFormat="false" ht="15" hidden="false" customHeight="false" outlineLevel="0" collapsed="false">
      <c r="H2935" s="0" t="str">
        <f aca="false">IF(B2935="","",IF(COUNTIF(Campaigns!$A$7:$A$300,B2935)&gt;0,"✓","⚠ add to Campaigns tab"))</f>
        <v/>
      </c>
      <c r="I2935" s="84" t="str">
        <f aca="false">IF(C2935="","",C2935*IF(Settings!$B$23=Settings!$C$6,1,IF(Settings!$B$23="USD",1/INDEX(Settings!$B$29:$B$40,MONTH(A2935)),INDEX(Settings!$B$29:$B$40,MONTH(A2935)))))</f>
        <v/>
      </c>
    </row>
    <row r="2936" customFormat="false" ht="15" hidden="false" customHeight="false" outlineLevel="0" collapsed="false">
      <c r="H2936" s="0" t="str">
        <f aca="false">IF(B2936="","",IF(COUNTIF(Campaigns!$A$7:$A$300,B2936)&gt;0,"✓","⚠ add to Campaigns tab"))</f>
        <v/>
      </c>
      <c r="I2936" s="84" t="str">
        <f aca="false">IF(C2936="","",C2936*IF(Settings!$B$23=Settings!$C$6,1,IF(Settings!$B$23="USD",1/INDEX(Settings!$B$29:$B$40,MONTH(A2936)),INDEX(Settings!$B$29:$B$40,MONTH(A2936)))))</f>
        <v/>
      </c>
    </row>
    <row r="2937" customFormat="false" ht="15" hidden="false" customHeight="false" outlineLevel="0" collapsed="false">
      <c r="H2937" s="0" t="str">
        <f aca="false">IF(B2937="","",IF(COUNTIF(Campaigns!$A$7:$A$300,B2937)&gt;0,"✓","⚠ add to Campaigns tab"))</f>
        <v/>
      </c>
      <c r="I2937" s="84" t="str">
        <f aca="false">IF(C2937="","",C2937*IF(Settings!$B$23=Settings!$C$6,1,IF(Settings!$B$23="USD",1/INDEX(Settings!$B$29:$B$40,MONTH(A2937)),INDEX(Settings!$B$29:$B$40,MONTH(A2937)))))</f>
        <v/>
      </c>
    </row>
    <row r="2938" customFormat="false" ht="15" hidden="false" customHeight="false" outlineLevel="0" collapsed="false">
      <c r="H2938" s="0" t="str">
        <f aca="false">IF(B2938="","",IF(COUNTIF(Campaigns!$A$7:$A$300,B2938)&gt;0,"✓","⚠ add to Campaigns tab"))</f>
        <v/>
      </c>
      <c r="I2938" s="84" t="str">
        <f aca="false">IF(C2938="","",C2938*IF(Settings!$B$23=Settings!$C$6,1,IF(Settings!$B$23="USD",1/INDEX(Settings!$B$29:$B$40,MONTH(A2938)),INDEX(Settings!$B$29:$B$40,MONTH(A2938)))))</f>
        <v/>
      </c>
    </row>
    <row r="2939" customFormat="false" ht="15" hidden="false" customHeight="false" outlineLevel="0" collapsed="false">
      <c r="H2939" s="0" t="str">
        <f aca="false">IF(B2939="","",IF(COUNTIF(Campaigns!$A$7:$A$300,B2939)&gt;0,"✓","⚠ add to Campaigns tab"))</f>
        <v/>
      </c>
      <c r="I2939" s="84" t="str">
        <f aca="false">IF(C2939="","",C2939*IF(Settings!$B$23=Settings!$C$6,1,IF(Settings!$B$23="USD",1/INDEX(Settings!$B$29:$B$40,MONTH(A2939)),INDEX(Settings!$B$29:$B$40,MONTH(A2939)))))</f>
        <v/>
      </c>
    </row>
    <row r="2940" customFormat="false" ht="15" hidden="false" customHeight="false" outlineLevel="0" collapsed="false">
      <c r="H2940" s="0" t="str">
        <f aca="false">IF(B2940="","",IF(COUNTIF(Campaigns!$A$7:$A$300,B2940)&gt;0,"✓","⚠ add to Campaigns tab"))</f>
        <v/>
      </c>
      <c r="I2940" s="84" t="str">
        <f aca="false">IF(C2940="","",C2940*IF(Settings!$B$23=Settings!$C$6,1,IF(Settings!$B$23="USD",1/INDEX(Settings!$B$29:$B$40,MONTH(A2940)),INDEX(Settings!$B$29:$B$40,MONTH(A2940)))))</f>
        <v/>
      </c>
    </row>
    <row r="2941" customFormat="false" ht="15" hidden="false" customHeight="false" outlineLevel="0" collapsed="false">
      <c r="H2941" s="0" t="str">
        <f aca="false">IF(B2941="","",IF(COUNTIF(Campaigns!$A$7:$A$300,B2941)&gt;0,"✓","⚠ add to Campaigns tab"))</f>
        <v/>
      </c>
      <c r="I2941" s="84" t="str">
        <f aca="false">IF(C2941="","",C2941*IF(Settings!$B$23=Settings!$C$6,1,IF(Settings!$B$23="USD",1/INDEX(Settings!$B$29:$B$40,MONTH(A2941)),INDEX(Settings!$B$29:$B$40,MONTH(A2941)))))</f>
        <v/>
      </c>
    </row>
    <row r="2942" customFormat="false" ht="15" hidden="false" customHeight="false" outlineLevel="0" collapsed="false">
      <c r="H2942" s="0" t="str">
        <f aca="false">IF(B2942="","",IF(COUNTIF(Campaigns!$A$7:$A$300,B2942)&gt;0,"✓","⚠ add to Campaigns tab"))</f>
        <v/>
      </c>
      <c r="I2942" s="84" t="str">
        <f aca="false">IF(C2942="","",C2942*IF(Settings!$B$23=Settings!$C$6,1,IF(Settings!$B$23="USD",1/INDEX(Settings!$B$29:$B$40,MONTH(A2942)),INDEX(Settings!$B$29:$B$40,MONTH(A2942)))))</f>
        <v/>
      </c>
    </row>
    <row r="2943" customFormat="false" ht="15" hidden="false" customHeight="false" outlineLevel="0" collapsed="false">
      <c r="H2943" s="0" t="str">
        <f aca="false">IF(B2943="","",IF(COUNTIF(Campaigns!$A$7:$A$300,B2943)&gt;0,"✓","⚠ add to Campaigns tab"))</f>
        <v/>
      </c>
      <c r="I2943" s="84" t="str">
        <f aca="false">IF(C2943="","",C2943*IF(Settings!$B$23=Settings!$C$6,1,IF(Settings!$B$23="USD",1/INDEX(Settings!$B$29:$B$40,MONTH(A2943)),INDEX(Settings!$B$29:$B$40,MONTH(A2943)))))</f>
        <v/>
      </c>
    </row>
    <row r="2944" customFormat="false" ht="15" hidden="false" customHeight="false" outlineLevel="0" collapsed="false">
      <c r="H2944" s="0" t="str">
        <f aca="false">IF(B2944="","",IF(COUNTIF(Campaigns!$A$7:$A$300,B2944)&gt;0,"✓","⚠ add to Campaigns tab"))</f>
        <v/>
      </c>
      <c r="I2944" s="84" t="str">
        <f aca="false">IF(C2944="","",C2944*IF(Settings!$B$23=Settings!$C$6,1,IF(Settings!$B$23="USD",1/INDEX(Settings!$B$29:$B$40,MONTH(A2944)),INDEX(Settings!$B$29:$B$40,MONTH(A2944)))))</f>
        <v/>
      </c>
    </row>
    <row r="2945" customFormat="false" ht="15" hidden="false" customHeight="false" outlineLevel="0" collapsed="false">
      <c r="H2945" s="0" t="str">
        <f aca="false">IF(B2945="","",IF(COUNTIF(Campaigns!$A$7:$A$300,B2945)&gt;0,"✓","⚠ add to Campaigns tab"))</f>
        <v/>
      </c>
      <c r="I2945" s="84" t="str">
        <f aca="false">IF(C2945="","",C2945*IF(Settings!$B$23=Settings!$C$6,1,IF(Settings!$B$23="USD",1/INDEX(Settings!$B$29:$B$40,MONTH(A2945)),INDEX(Settings!$B$29:$B$40,MONTH(A2945)))))</f>
        <v/>
      </c>
    </row>
    <row r="2946" customFormat="false" ht="15" hidden="false" customHeight="false" outlineLevel="0" collapsed="false">
      <c r="H2946" s="0" t="str">
        <f aca="false">IF(B2946="","",IF(COUNTIF(Campaigns!$A$7:$A$300,B2946)&gt;0,"✓","⚠ add to Campaigns tab"))</f>
        <v/>
      </c>
      <c r="I2946" s="84" t="str">
        <f aca="false">IF(C2946="","",C2946*IF(Settings!$B$23=Settings!$C$6,1,IF(Settings!$B$23="USD",1/INDEX(Settings!$B$29:$B$40,MONTH(A2946)),INDEX(Settings!$B$29:$B$40,MONTH(A2946)))))</f>
        <v/>
      </c>
    </row>
    <row r="2947" customFormat="false" ht="15" hidden="false" customHeight="false" outlineLevel="0" collapsed="false">
      <c r="H2947" s="0" t="str">
        <f aca="false">IF(B2947="","",IF(COUNTIF(Campaigns!$A$7:$A$300,B2947)&gt;0,"✓","⚠ add to Campaigns tab"))</f>
        <v/>
      </c>
      <c r="I2947" s="84" t="str">
        <f aca="false">IF(C2947="","",C2947*IF(Settings!$B$23=Settings!$C$6,1,IF(Settings!$B$23="USD",1/INDEX(Settings!$B$29:$B$40,MONTH(A2947)),INDEX(Settings!$B$29:$B$40,MONTH(A2947)))))</f>
        <v/>
      </c>
    </row>
    <row r="2948" customFormat="false" ht="15" hidden="false" customHeight="false" outlineLevel="0" collapsed="false">
      <c r="H2948" s="0" t="str">
        <f aca="false">IF(B2948="","",IF(COUNTIF(Campaigns!$A$7:$A$300,B2948)&gt;0,"✓","⚠ add to Campaigns tab"))</f>
        <v/>
      </c>
      <c r="I2948" s="84" t="str">
        <f aca="false">IF(C2948="","",C2948*IF(Settings!$B$23=Settings!$C$6,1,IF(Settings!$B$23="USD",1/INDEX(Settings!$B$29:$B$40,MONTH(A2948)),INDEX(Settings!$B$29:$B$40,MONTH(A2948)))))</f>
        <v/>
      </c>
    </row>
    <row r="2949" customFormat="false" ht="15" hidden="false" customHeight="false" outlineLevel="0" collapsed="false">
      <c r="H2949" s="0" t="str">
        <f aca="false">IF(B2949="","",IF(COUNTIF(Campaigns!$A$7:$A$300,B2949)&gt;0,"✓","⚠ add to Campaigns tab"))</f>
        <v/>
      </c>
      <c r="I2949" s="84" t="str">
        <f aca="false">IF(C2949="","",C2949*IF(Settings!$B$23=Settings!$C$6,1,IF(Settings!$B$23="USD",1/INDEX(Settings!$B$29:$B$40,MONTH(A2949)),INDEX(Settings!$B$29:$B$40,MONTH(A2949)))))</f>
        <v/>
      </c>
    </row>
    <row r="2950" customFormat="false" ht="15" hidden="false" customHeight="false" outlineLevel="0" collapsed="false">
      <c r="H2950" s="0" t="str">
        <f aca="false">IF(B2950="","",IF(COUNTIF(Campaigns!$A$7:$A$300,B2950)&gt;0,"✓","⚠ add to Campaigns tab"))</f>
        <v/>
      </c>
      <c r="I2950" s="84" t="str">
        <f aca="false">IF(C2950="","",C2950*IF(Settings!$B$23=Settings!$C$6,1,IF(Settings!$B$23="USD",1/INDEX(Settings!$B$29:$B$40,MONTH(A2950)),INDEX(Settings!$B$29:$B$40,MONTH(A2950)))))</f>
        <v/>
      </c>
    </row>
    <row r="2951" customFormat="false" ht="15" hidden="false" customHeight="false" outlineLevel="0" collapsed="false">
      <c r="H2951" s="0" t="str">
        <f aca="false">IF(B2951="","",IF(COUNTIF(Campaigns!$A$7:$A$300,B2951)&gt;0,"✓","⚠ add to Campaigns tab"))</f>
        <v/>
      </c>
      <c r="I2951" s="84" t="str">
        <f aca="false">IF(C2951="","",C2951*IF(Settings!$B$23=Settings!$C$6,1,IF(Settings!$B$23="USD",1/INDEX(Settings!$B$29:$B$40,MONTH(A2951)),INDEX(Settings!$B$29:$B$40,MONTH(A2951)))))</f>
        <v/>
      </c>
    </row>
    <row r="2952" customFormat="false" ht="15" hidden="false" customHeight="false" outlineLevel="0" collapsed="false">
      <c r="H2952" s="0" t="str">
        <f aca="false">IF(B2952="","",IF(COUNTIF(Campaigns!$A$7:$A$300,B2952)&gt;0,"✓","⚠ add to Campaigns tab"))</f>
        <v/>
      </c>
      <c r="I2952" s="84" t="str">
        <f aca="false">IF(C2952="","",C2952*IF(Settings!$B$23=Settings!$C$6,1,IF(Settings!$B$23="USD",1/INDEX(Settings!$B$29:$B$40,MONTH(A2952)),INDEX(Settings!$B$29:$B$40,MONTH(A2952)))))</f>
        <v/>
      </c>
    </row>
    <row r="2953" customFormat="false" ht="15" hidden="false" customHeight="false" outlineLevel="0" collapsed="false">
      <c r="H2953" s="0" t="str">
        <f aca="false">IF(B2953="","",IF(COUNTIF(Campaigns!$A$7:$A$300,B2953)&gt;0,"✓","⚠ add to Campaigns tab"))</f>
        <v/>
      </c>
      <c r="I2953" s="84" t="str">
        <f aca="false">IF(C2953="","",C2953*IF(Settings!$B$23=Settings!$C$6,1,IF(Settings!$B$23="USD",1/INDEX(Settings!$B$29:$B$40,MONTH(A2953)),INDEX(Settings!$B$29:$B$40,MONTH(A2953)))))</f>
        <v/>
      </c>
    </row>
    <row r="2954" customFormat="false" ht="15" hidden="false" customHeight="false" outlineLevel="0" collapsed="false">
      <c r="H2954" s="0" t="str">
        <f aca="false">IF(B2954="","",IF(COUNTIF(Campaigns!$A$7:$A$300,B2954)&gt;0,"✓","⚠ add to Campaigns tab"))</f>
        <v/>
      </c>
      <c r="I2954" s="84" t="str">
        <f aca="false">IF(C2954="","",C2954*IF(Settings!$B$23=Settings!$C$6,1,IF(Settings!$B$23="USD",1/INDEX(Settings!$B$29:$B$40,MONTH(A2954)),INDEX(Settings!$B$29:$B$40,MONTH(A2954)))))</f>
        <v/>
      </c>
    </row>
    <row r="2955" customFormat="false" ht="15" hidden="false" customHeight="false" outlineLevel="0" collapsed="false">
      <c r="H2955" s="0" t="str">
        <f aca="false">IF(B2955="","",IF(COUNTIF(Campaigns!$A$7:$A$300,B2955)&gt;0,"✓","⚠ add to Campaigns tab"))</f>
        <v/>
      </c>
      <c r="I2955" s="84" t="str">
        <f aca="false">IF(C2955="","",C2955*IF(Settings!$B$23=Settings!$C$6,1,IF(Settings!$B$23="USD",1/INDEX(Settings!$B$29:$B$40,MONTH(A2955)),INDEX(Settings!$B$29:$B$40,MONTH(A2955)))))</f>
        <v/>
      </c>
    </row>
    <row r="2956" customFormat="false" ht="15" hidden="false" customHeight="false" outlineLevel="0" collapsed="false">
      <c r="H2956" s="0" t="str">
        <f aca="false">IF(B2956="","",IF(COUNTIF(Campaigns!$A$7:$A$300,B2956)&gt;0,"✓","⚠ add to Campaigns tab"))</f>
        <v/>
      </c>
      <c r="I2956" s="84" t="str">
        <f aca="false">IF(C2956="","",C2956*IF(Settings!$B$23=Settings!$C$6,1,IF(Settings!$B$23="USD",1/INDEX(Settings!$B$29:$B$40,MONTH(A2956)),INDEX(Settings!$B$29:$B$40,MONTH(A2956)))))</f>
        <v/>
      </c>
    </row>
    <row r="2957" customFormat="false" ht="15" hidden="false" customHeight="false" outlineLevel="0" collapsed="false">
      <c r="H2957" s="0" t="str">
        <f aca="false">IF(B2957="","",IF(COUNTIF(Campaigns!$A$7:$A$300,B2957)&gt;0,"✓","⚠ add to Campaigns tab"))</f>
        <v/>
      </c>
      <c r="I2957" s="84" t="str">
        <f aca="false">IF(C2957="","",C2957*IF(Settings!$B$23=Settings!$C$6,1,IF(Settings!$B$23="USD",1/INDEX(Settings!$B$29:$B$40,MONTH(A2957)),INDEX(Settings!$B$29:$B$40,MONTH(A2957)))))</f>
        <v/>
      </c>
    </row>
    <row r="2958" customFormat="false" ht="15" hidden="false" customHeight="false" outlineLevel="0" collapsed="false">
      <c r="H2958" s="0" t="str">
        <f aca="false">IF(B2958="","",IF(COUNTIF(Campaigns!$A$7:$A$300,B2958)&gt;0,"✓","⚠ add to Campaigns tab"))</f>
        <v/>
      </c>
      <c r="I2958" s="84" t="str">
        <f aca="false">IF(C2958="","",C2958*IF(Settings!$B$23=Settings!$C$6,1,IF(Settings!$B$23="USD",1/INDEX(Settings!$B$29:$B$40,MONTH(A2958)),INDEX(Settings!$B$29:$B$40,MONTH(A2958)))))</f>
        <v/>
      </c>
    </row>
    <row r="2959" customFormat="false" ht="15" hidden="false" customHeight="false" outlineLevel="0" collapsed="false">
      <c r="H2959" s="0" t="str">
        <f aca="false">IF(B2959="","",IF(COUNTIF(Campaigns!$A$7:$A$300,B2959)&gt;0,"✓","⚠ add to Campaigns tab"))</f>
        <v/>
      </c>
      <c r="I2959" s="84" t="str">
        <f aca="false">IF(C2959="","",C2959*IF(Settings!$B$23=Settings!$C$6,1,IF(Settings!$B$23="USD",1/INDEX(Settings!$B$29:$B$40,MONTH(A2959)),INDEX(Settings!$B$29:$B$40,MONTH(A2959)))))</f>
        <v/>
      </c>
    </row>
    <row r="2960" customFormat="false" ht="15" hidden="false" customHeight="false" outlineLevel="0" collapsed="false">
      <c r="H2960" s="0" t="str">
        <f aca="false">IF(B2960="","",IF(COUNTIF(Campaigns!$A$7:$A$300,B2960)&gt;0,"✓","⚠ add to Campaigns tab"))</f>
        <v/>
      </c>
      <c r="I2960" s="84" t="str">
        <f aca="false">IF(C2960="","",C2960*IF(Settings!$B$23=Settings!$C$6,1,IF(Settings!$B$23="USD",1/INDEX(Settings!$B$29:$B$40,MONTH(A2960)),INDEX(Settings!$B$29:$B$40,MONTH(A2960)))))</f>
        <v/>
      </c>
    </row>
    <row r="2961" customFormat="false" ht="15" hidden="false" customHeight="false" outlineLevel="0" collapsed="false">
      <c r="H2961" s="0" t="str">
        <f aca="false">IF(B2961="","",IF(COUNTIF(Campaigns!$A$7:$A$300,B2961)&gt;0,"✓","⚠ add to Campaigns tab"))</f>
        <v/>
      </c>
      <c r="I2961" s="84" t="str">
        <f aca="false">IF(C2961="","",C2961*IF(Settings!$B$23=Settings!$C$6,1,IF(Settings!$B$23="USD",1/INDEX(Settings!$B$29:$B$40,MONTH(A2961)),INDEX(Settings!$B$29:$B$40,MONTH(A2961)))))</f>
        <v/>
      </c>
    </row>
    <row r="2962" customFormat="false" ht="15" hidden="false" customHeight="false" outlineLevel="0" collapsed="false">
      <c r="H2962" s="0" t="str">
        <f aca="false">IF(B2962="","",IF(COUNTIF(Campaigns!$A$7:$A$300,B2962)&gt;0,"✓","⚠ add to Campaigns tab"))</f>
        <v/>
      </c>
      <c r="I2962" s="84" t="str">
        <f aca="false">IF(C2962="","",C2962*IF(Settings!$B$23=Settings!$C$6,1,IF(Settings!$B$23="USD",1/INDEX(Settings!$B$29:$B$40,MONTH(A2962)),INDEX(Settings!$B$29:$B$40,MONTH(A2962)))))</f>
        <v/>
      </c>
    </row>
    <row r="2963" customFormat="false" ht="15" hidden="false" customHeight="false" outlineLevel="0" collapsed="false">
      <c r="H2963" s="0" t="str">
        <f aca="false">IF(B2963="","",IF(COUNTIF(Campaigns!$A$7:$A$300,B2963)&gt;0,"✓","⚠ add to Campaigns tab"))</f>
        <v/>
      </c>
      <c r="I2963" s="84" t="str">
        <f aca="false">IF(C2963="","",C2963*IF(Settings!$B$23=Settings!$C$6,1,IF(Settings!$B$23="USD",1/INDEX(Settings!$B$29:$B$40,MONTH(A2963)),INDEX(Settings!$B$29:$B$40,MONTH(A2963)))))</f>
        <v/>
      </c>
    </row>
    <row r="2964" customFormat="false" ht="15" hidden="false" customHeight="false" outlineLevel="0" collapsed="false">
      <c r="H2964" s="0" t="str">
        <f aca="false">IF(B2964="","",IF(COUNTIF(Campaigns!$A$7:$A$300,B2964)&gt;0,"✓","⚠ add to Campaigns tab"))</f>
        <v/>
      </c>
      <c r="I2964" s="84" t="str">
        <f aca="false">IF(C2964="","",C2964*IF(Settings!$B$23=Settings!$C$6,1,IF(Settings!$B$23="USD",1/INDEX(Settings!$B$29:$B$40,MONTH(A2964)),INDEX(Settings!$B$29:$B$40,MONTH(A2964)))))</f>
        <v/>
      </c>
    </row>
    <row r="2965" customFormat="false" ht="15" hidden="false" customHeight="false" outlineLevel="0" collapsed="false">
      <c r="H2965" s="0" t="str">
        <f aca="false">IF(B2965="","",IF(COUNTIF(Campaigns!$A$7:$A$300,B2965)&gt;0,"✓","⚠ add to Campaigns tab"))</f>
        <v/>
      </c>
      <c r="I2965" s="84" t="str">
        <f aca="false">IF(C2965="","",C2965*IF(Settings!$B$23=Settings!$C$6,1,IF(Settings!$B$23="USD",1/INDEX(Settings!$B$29:$B$40,MONTH(A2965)),INDEX(Settings!$B$29:$B$40,MONTH(A2965)))))</f>
        <v/>
      </c>
    </row>
    <row r="2966" customFormat="false" ht="15" hidden="false" customHeight="false" outlineLevel="0" collapsed="false">
      <c r="H2966" s="0" t="str">
        <f aca="false">IF(B2966="","",IF(COUNTIF(Campaigns!$A$7:$A$300,B2966)&gt;0,"✓","⚠ add to Campaigns tab"))</f>
        <v/>
      </c>
      <c r="I2966" s="84" t="str">
        <f aca="false">IF(C2966="","",C2966*IF(Settings!$B$23=Settings!$C$6,1,IF(Settings!$B$23="USD",1/INDEX(Settings!$B$29:$B$40,MONTH(A2966)),INDEX(Settings!$B$29:$B$40,MONTH(A2966)))))</f>
        <v/>
      </c>
    </row>
    <row r="2967" customFormat="false" ht="15" hidden="false" customHeight="false" outlineLevel="0" collapsed="false">
      <c r="H2967" s="0" t="str">
        <f aca="false">IF(B2967="","",IF(COUNTIF(Campaigns!$A$7:$A$300,B2967)&gt;0,"✓","⚠ add to Campaigns tab"))</f>
        <v/>
      </c>
      <c r="I2967" s="84" t="str">
        <f aca="false">IF(C2967="","",C2967*IF(Settings!$B$23=Settings!$C$6,1,IF(Settings!$B$23="USD",1/INDEX(Settings!$B$29:$B$40,MONTH(A2967)),INDEX(Settings!$B$29:$B$40,MONTH(A2967)))))</f>
        <v/>
      </c>
    </row>
    <row r="2968" customFormat="false" ht="15" hidden="false" customHeight="false" outlineLevel="0" collapsed="false">
      <c r="H2968" s="0" t="str">
        <f aca="false">IF(B2968="","",IF(COUNTIF(Campaigns!$A$7:$A$300,B2968)&gt;0,"✓","⚠ add to Campaigns tab"))</f>
        <v/>
      </c>
      <c r="I2968" s="84" t="str">
        <f aca="false">IF(C2968="","",C2968*IF(Settings!$B$23=Settings!$C$6,1,IF(Settings!$B$23="USD",1/INDEX(Settings!$B$29:$B$40,MONTH(A2968)),INDEX(Settings!$B$29:$B$40,MONTH(A2968)))))</f>
        <v/>
      </c>
    </row>
    <row r="2969" customFormat="false" ht="15" hidden="false" customHeight="false" outlineLevel="0" collapsed="false">
      <c r="H2969" s="0" t="str">
        <f aca="false">IF(B2969="","",IF(COUNTIF(Campaigns!$A$7:$A$300,B2969)&gt;0,"✓","⚠ add to Campaigns tab"))</f>
        <v/>
      </c>
      <c r="I2969" s="84" t="str">
        <f aca="false">IF(C2969="","",C2969*IF(Settings!$B$23=Settings!$C$6,1,IF(Settings!$B$23="USD",1/INDEX(Settings!$B$29:$B$40,MONTH(A2969)),INDEX(Settings!$B$29:$B$40,MONTH(A2969)))))</f>
        <v/>
      </c>
    </row>
    <row r="2970" customFormat="false" ht="15" hidden="false" customHeight="false" outlineLevel="0" collapsed="false">
      <c r="H2970" s="0" t="str">
        <f aca="false">IF(B2970="","",IF(COUNTIF(Campaigns!$A$7:$A$300,B2970)&gt;0,"✓","⚠ add to Campaigns tab"))</f>
        <v/>
      </c>
      <c r="I2970" s="84" t="str">
        <f aca="false">IF(C2970="","",C2970*IF(Settings!$B$23=Settings!$C$6,1,IF(Settings!$B$23="USD",1/INDEX(Settings!$B$29:$B$40,MONTH(A2970)),INDEX(Settings!$B$29:$B$40,MONTH(A2970)))))</f>
        <v/>
      </c>
    </row>
    <row r="2971" customFormat="false" ht="15" hidden="false" customHeight="false" outlineLevel="0" collapsed="false">
      <c r="H2971" s="0" t="str">
        <f aca="false">IF(B2971="","",IF(COUNTIF(Campaigns!$A$7:$A$300,B2971)&gt;0,"✓","⚠ add to Campaigns tab"))</f>
        <v/>
      </c>
      <c r="I2971" s="84" t="str">
        <f aca="false">IF(C2971="","",C2971*IF(Settings!$B$23=Settings!$C$6,1,IF(Settings!$B$23="USD",1/INDEX(Settings!$B$29:$B$40,MONTH(A2971)),INDEX(Settings!$B$29:$B$40,MONTH(A2971)))))</f>
        <v/>
      </c>
    </row>
    <row r="2972" customFormat="false" ht="15" hidden="false" customHeight="false" outlineLevel="0" collapsed="false">
      <c r="H2972" s="0" t="str">
        <f aca="false">IF(B2972="","",IF(COUNTIF(Campaigns!$A$7:$A$300,B2972)&gt;0,"✓","⚠ add to Campaigns tab"))</f>
        <v/>
      </c>
      <c r="I2972" s="84" t="str">
        <f aca="false">IF(C2972="","",C2972*IF(Settings!$B$23=Settings!$C$6,1,IF(Settings!$B$23="USD",1/INDEX(Settings!$B$29:$B$40,MONTH(A2972)),INDEX(Settings!$B$29:$B$40,MONTH(A2972)))))</f>
        <v/>
      </c>
    </row>
    <row r="2973" customFormat="false" ht="15" hidden="false" customHeight="false" outlineLevel="0" collapsed="false">
      <c r="H2973" s="0" t="str">
        <f aca="false">IF(B2973="","",IF(COUNTIF(Campaigns!$A$7:$A$300,B2973)&gt;0,"✓","⚠ add to Campaigns tab"))</f>
        <v/>
      </c>
      <c r="I2973" s="84" t="str">
        <f aca="false">IF(C2973="","",C2973*IF(Settings!$B$23=Settings!$C$6,1,IF(Settings!$B$23="USD",1/INDEX(Settings!$B$29:$B$40,MONTH(A2973)),INDEX(Settings!$B$29:$B$40,MONTH(A2973)))))</f>
        <v/>
      </c>
    </row>
    <row r="2974" customFormat="false" ht="15" hidden="false" customHeight="false" outlineLevel="0" collapsed="false">
      <c r="H2974" s="0" t="str">
        <f aca="false">IF(B2974="","",IF(COUNTIF(Campaigns!$A$7:$A$300,B2974)&gt;0,"✓","⚠ add to Campaigns tab"))</f>
        <v/>
      </c>
      <c r="I2974" s="84" t="str">
        <f aca="false">IF(C2974="","",C2974*IF(Settings!$B$23=Settings!$C$6,1,IF(Settings!$B$23="USD",1/INDEX(Settings!$B$29:$B$40,MONTH(A2974)),INDEX(Settings!$B$29:$B$40,MONTH(A2974)))))</f>
        <v/>
      </c>
    </row>
    <row r="2975" customFormat="false" ht="15" hidden="false" customHeight="false" outlineLevel="0" collapsed="false">
      <c r="H2975" s="0" t="str">
        <f aca="false">IF(B2975="","",IF(COUNTIF(Campaigns!$A$7:$A$300,B2975)&gt;0,"✓","⚠ add to Campaigns tab"))</f>
        <v/>
      </c>
      <c r="I2975" s="84" t="str">
        <f aca="false">IF(C2975="","",C2975*IF(Settings!$B$23=Settings!$C$6,1,IF(Settings!$B$23="USD",1/INDEX(Settings!$B$29:$B$40,MONTH(A2975)),INDEX(Settings!$B$29:$B$40,MONTH(A2975)))))</f>
        <v/>
      </c>
    </row>
    <row r="2976" customFormat="false" ht="15" hidden="false" customHeight="false" outlineLevel="0" collapsed="false">
      <c r="H2976" s="0" t="str">
        <f aca="false">IF(B2976="","",IF(COUNTIF(Campaigns!$A$7:$A$300,B2976)&gt;0,"✓","⚠ add to Campaigns tab"))</f>
        <v/>
      </c>
      <c r="I2976" s="84" t="str">
        <f aca="false">IF(C2976="","",C2976*IF(Settings!$B$23=Settings!$C$6,1,IF(Settings!$B$23="USD",1/INDEX(Settings!$B$29:$B$40,MONTH(A2976)),INDEX(Settings!$B$29:$B$40,MONTH(A2976)))))</f>
        <v/>
      </c>
    </row>
    <row r="2977" customFormat="false" ht="15" hidden="false" customHeight="false" outlineLevel="0" collapsed="false">
      <c r="H2977" s="0" t="str">
        <f aca="false">IF(B2977="","",IF(COUNTIF(Campaigns!$A$7:$A$300,B2977)&gt;0,"✓","⚠ add to Campaigns tab"))</f>
        <v/>
      </c>
      <c r="I2977" s="84" t="str">
        <f aca="false">IF(C2977="","",C2977*IF(Settings!$B$23=Settings!$C$6,1,IF(Settings!$B$23="USD",1/INDEX(Settings!$B$29:$B$40,MONTH(A2977)),INDEX(Settings!$B$29:$B$40,MONTH(A2977)))))</f>
        <v/>
      </c>
    </row>
    <row r="2978" customFormat="false" ht="15" hidden="false" customHeight="false" outlineLevel="0" collapsed="false">
      <c r="H2978" s="0" t="str">
        <f aca="false">IF(B2978="","",IF(COUNTIF(Campaigns!$A$7:$A$300,B2978)&gt;0,"✓","⚠ add to Campaigns tab"))</f>
        <v/>
      </c>
      <c r="I2978" s="84" t="str">
        <f aca="false">IF(C2978="","",C2978*IF(Settings!$B$23=Settings!$C$6,1,IF(Settings!$B$23="USD",1/INDEX(Settings!$B$29:$B$40,MONTH(A2978)),INDEX(Settings!$B$29:$B$40,MONTH(A2978)))))</f>
        <v/>
      </c>
    </row>
    <row r="2979" customFormat="false" ht="15" hidden="false" customHeight="false" outlineLevel="0" collapsed="false">
      <c r="H2979" s="0" t="str">
        <f aca="false">IF(B2979="","",IF(COUNTIF(Campaigns!$A$7:$A$300,B2979)&gt;0,"✓","⚠ add to Campaigns tab"))</f>
        <v/>
      </c>
      <c r="I2979" s="84" t="str">
        <f aca="false">IF(C2979="","",C2979*IF(Settings!$B$23=Settings!$C$6,1,IF(Settings!$B$23="USD",1/INDEX(Settings!$B$29:$B$40,MONTH(A2979)),INDEX(Settings!$B$29:$B$40,MONTH(A2979)))))</f>
        <v/>
      </c>
    </row>
    <row r="2980" customFormat="false" ht="15" hidden="false" customHeight="false" outlineLevel="0" collapsed="false">
      <c r="H2980" s="0" t="str">
        <f aca="false">IF(B2980="","",IF(COUNTIF(Campaigns!$A$7:$A$300,B2980)&gt;0,"✓","⚠ add to Campaigns tab"))</f>
        <v/>
      </c>
      <c r="I2980" s="84" t="str">
        <f aca="false">IF(C2980="","",C2980*IF(Settings!$B$23=Settings!$C$6,1,IF(Settings!$B$23="USD",1/INDEX(Settings!$B$29:$B$40,MONTH(A2980)),INDEX(Settings!$B$29:$B$40,MONTH(A2980)))))</f>
        <v/>
      </c>
    </row>
    <row r="2981" customFormat="false" ht="15" hidden="false" customHeight="false" outlineLevel="0" collapsed="false">
      <c r="H2981" s="0" t="str">
        <f aca="false">IF(B2981="","",IF(COUNTIF(Campaigns!$A$7:$A$300,B2981)&gt;0,"✓","⚠ add to Campaigns tab"))</f>
        <v/>
      </c>
      <c r="I2981" s="84" t="str">
        <f aca="false">IF(C2981="","",C2981*IF(Settings!$B$23=Settings!$C$6,1,IF(Settings!$B$23="USD",1/INDEX(Settings!$B$29:$B$40,MONTH(A2981)),INDEX(Settings!$B$29:$B$40,MONTH(A2981)))))</f>
        <v/>
      </c>
    </row>
    <row r="2982" customFormat="false" ht="15" hidden="false" customHeight="false" outlineLevel="0" collapsed="false">
      <c r="H2982" s="0" t="str">
        <f aca="false">IF(B2982="","",IF(COUNTIF(Campaigns!$A$7:$A$300,B2982)&gt;0,"✓","⚠ add to Campaigns tab"))</f>
        <v/>
      </c>
      <c r="I2982" s="84" t="str">
        <f aca="false">IF(C2982="","",C2982*IF(Settings!$B$23=Settings!$C$6,1,IF(Settings!$B$23="USD",1/INDEX(Settings!$B$29:$B$40,MONTH(A2982)),INDEX(Settings!$B$29:$B$40,MONTH(A2982)))))</f>
        <v/>
      </c>
    </row>
    <row r="2983" customFormat="false" ht="15" hidden="false" customHeight="false" outlineLevel="0" collapsed="false">
      <c r="H2983" s="0" t="str">
        <f aca="false">IF(B2983="","",IF(COUNTIF(Campaigns!$A$7:$A$300,B2983)&gt;0,"✓","⚠ add to Campaigns tab"))</f>
        <v/>
      </c>
      <c r="I2983" s="84" t="str">
        <f aca="false">IF(C2983="","",C2983*IF(Settings!$B$23=Settings!$C$6,1,IF(Settings!$B$23="USD",1/INDEX(Settings!$B$29:$B$40,MONTH(A2983)),INDEX(Settings!$B$29:$B$40,MONTH(A2983)))))</f>
        <v/>
      </c>
    </row>
    <row r="2984" customFormat="false" ht="15" hidden="false" customHeight="false" outlineLevel="0" collapsed="false">
      <c r="H2984" s="0" t="str">
        <f aca="false">IF(B2984="","",IF(COUNTIF(Campaigns!$A$7:$A$300,B2984)&gt;0,"✓","⚠ add to Campaigns tab"))</f>
        <v/>
      </c>
      <c r="I2984" s="84" t="str">
        <f aca="false">IF(C2984="","",C2984*IF(Settings!$B$23=Settings!$C$6,1,IF(Settings!$B$23="USD",1/INDEX(Settings!$B$29:$B$40,MONTH(A2984)),INDEX(Settings!$B$29:$B$40,MONTH(A2984)))))</f>
        <v/>
      </c>
    </row>
    <row r="2985" customFormat="false" ht="15" hidden="false" customHeight="false" outlineLevel="0" collapsed="false">
      <c r="H2985" s="0" t="str">
        <f aca="false">IF(B2985="","",IF(COUNTIF(Campaigns!$A$7:$A$300,B2985)&gt;0,"✓","⚠ add to Campaigns tab"))</f>
        <v/>
      </c>
      <c r="I2985" s="84" t="str">
        <f aca="false">IF(C2985="","",C2985*IF(Settings!$B$23=Settings!$C$6,1,IF(Settings!$B$23="USD",1/INDEX(Settings!$B$29:$B$40,MONTH(A2985)),INDEX(Settings!$B$29:$B$40,MONTH(A2985)))))</f>
        <v/>
      </c>
    </row>
    <row r="2986" customFormat="false" ht="15" hidden="false" customHeight="false" outlineLevel="0" collapsed="false">
      <c r="H2986" s="0" t="str">
        <f aca="false">IF(B2986="","",IF(COUNTIF(Campaigns!$A$7:$A$300,B2986)&gt;0,"✓","⚠ add to Campaigns tab"))</f>
        <v/>
      </c>
      <c r="I2986" s="84" t="str">
        <f aca="false">IF(C2986="","",C2986*IF(Settings!$B$23=Settings!$C$6,1,IF(Settings!$B$23="USD",1/INDEX(Settings!$B$29:$B$40,MONTH(A2986)),INDEX(Settings!$B$29:$B$40,MONTH(A2986)))))</f>
        <v/>
      </c>
    </row>
    <row r="2987" customFormat="false" ht="15" hidden="false" customHeight="false" outlineLevel="0" collapsed="false">
      <c r="H2987" s="0" t="str">
        <f aca="false">IF(B2987="","",IF(COUNTIF(Campaigns!$A$7:$A$300,B2987)&gt;0,"✓","⚠ add to Campaigns tab"))</f>
        <v/>
      </c>
      <c r="I2987" s="84" t="str">
        <f aca="false">IF(C2987="","",C2987*IF(Settings!$B$23=Settings!$C$6,1,IF(Settings!$B$23="USD",1/INDEX(Settings!$B$29:$B$40,MONTH(A2987)),INDEX(Settings!$B$29:$B$40,MONTH(A2987)))))</f>
        <v/>
      </c>
    </row>
    <row r="2988" customFormat="false" ht="15" hidden="false" customHeight="false" outlineLevel="0" collapsed="false">
      <c r="H2988" s="0" t="str">
        <f aca="false">IF(B2988="","",IF(COUNTIF(Campaigns!$A$7:$A$300,B2988)&gt;0,"✓","⚠ add to Campaigns tab"))</f>
        <v/>
      </c>
      <c r="I2988" s="84" t="str">
        <f aca="false">IF(C2988="","",C2988*IF(Settings!$B$23=Settings!$C$6,1,IF(Settings!$B$23="USD",1/INDEX(Settings!$B$29:$B$40,MONTH(A2988)),INDEX(Settings!$B$29:$B$40,MONTH(A2988)))))</f>
        <v/>
      </c>
    </row>
    <row r="2989" customFormat="false" ht="15" hidden="false" customHeight="false" outlineLevel="0" collapsed="false">
      <c r="H2989" s="0" t="str">
        <f aca="false">IF(B2989="","",IF(COUNTIF(Campaigns!$A$7:$A$300,B2989)&gt;0,"✓","⚠ add to Campaigns tab"))</f>
        <v/>
      </c>
      <c r="I2989" s="84" t="str">
        <f aca="false">IF(C2989="","",C2989*IF(Settings!$B$23=Settings!$C$6,1,IF(Settings!$B$23="USD",1/INDEX(Settings!$B$29:$B$40,MONTH(A2989)),INDEX(Settings!$B$29:$B$40,MONTH(A2989)))))</f>
        <v/>
      </c>
    </row>
    <row r="2990" customFormat="false" ht="15" hidden="false" customHeight="false" outlineLevel="0" collapsed="false">
      <c r="H2990" s="0" t="str">
        <f aca="false">IF(B2990="","",IF(COUNTIF(Campaigns!$A$7:$A$300,B2990)&gt;0,"✓","⚠ add to Campaigns tab"))</f>
        <v/>
      </c>
      <c r="I2990" s="84" t="str">
        <f aca="false">IF(C2990="","",C2990*IF(Settings!$B$23=Settings!$C$6,1,IF(Settings!$B$23="USD",1/INDEX(Settings!$B$29:$B$40,MONTH(A2990)),INDEX(Settings!$B$29:$B$40,MONTH(A2990)))))</f>
        <v/>
      </c>
    </row>
    <row r="2991" customFormat="false" ht="15" hidden="false" customHeight="false" outlineLevel="0" collapsed="false">
      <c r="H2991" s="0" t="str">
        <f aca="false">IF(B2991="","",IF(COUNTIF(Campaigns!$A$7:$A$300,B2991)&gt;0,"✓","⚠ add to Campaigns tab"))</f>
        <v/>
      </c>
      <c r="I2991" s="84" t="str">
        <f aca="false">IF(C2991="","",C2991*IF(Settings!$B$23=Settings!$C$6,1,IF(Settings!$B$23="USD",1/INDEX(Settings!$B$29:$B$40,MONTH(A2991)),INDEX(Settings!$B$29:$B$40,MONTH(A2991)))))</f>
        <v/>
      </c>
    </row>
    <row r="2992" customFormat="false" ht="15" hidden="false" customHeight="false" outlineLevel="0" collapsed="false">
      <c r="H2992" s="0" t="str">
        <f aca="false">IF(B2992="","",IF(COUNTIF(Campaigns!$A$7:$A$300,B2992)&gt;0,"✓","⚠ add to Campaigns tab"))</f>
        <v/>
      </c>
      <c r="I2992" s="84" t="str">
        <f aca="false">IF(C2992="","",C2992*IF(Settings!$B$23=Settings!$C$6,1,IF(Settings!$B$23="USD",1/INDEX(Settings!$B$29:$B$40,MONTH(A2992)),INDEX(Settings!$B$29:$B$40,MONTH(A2992)))))</f>
        <v/>
      </c>
    </row>
    <row r="2993" customFormat="false" ht="15" hidden="false" customHeight="false" outlineLevel="0" collapsed="false">
      <c r="H2993" s="0" t="str">
        <f aca="false">IF(B2993="","",IF(COUNTIF(Campaigns!$A$7:$A$300,B2993)&gt;0,"✓","⚠ add to Campaigns tab"))</f>
        <v/>
      </c>
      <c r="I2993" s="84" t="str">
        <f aca="false">IF(C2993="","",C2993*IF(Settings!$B$23=Settings!$C$6,1,IF(Settings!$B$23="USD",1/INDEX(Settings!$B$29:$B$40,MONTH(A2993)),INDEX(Settings!$B$29:$B$40,MONTH(A2993)))))</f>
        <v/>
      </c>
    </row>
    <row r="2994" customFormat="false" ht="15" hidden="false" customHeight="false" outlineLevel="0" collapsed="false">
      <c r="H2994" s="0" t="str">
        <f aca="false">IF(B2994="","",IF(COUNTIF(Campaigns!$A$7:$A$300,B2994)&gt;0,"✓","⚠ add to Campaigns tab"))</f>
        <v/>
      </c>
      <c r="I2994" s="84" t="str">
        <f aca="false">IF(C2994="","",C2994*IF(Settings!$B$23=Settings!$C$6,1,IF(Settings!$B$23="USD",1/INDEX(Settings!$B$29:$B$40,MONTH(A2994)),INDEX(Settings!$B$29:$B$40,MONTH(A2994)))))</f>
        <v/>
      </c>
    </row>
    <row r="2995" customFormat="false" ht="15" hidden="false" customHeight="false" outlineLevel="0" collapsed="false">
      <c r="H2995" s="0" t="str">
        <f aca="false">IF(B2995="","",IF(COUNTIF(Campaigns!$A$7:$A$300,B2995)&gt;0,"✓","⚠ add to Campaigns tab"))</f>
        <v/>
      </c>
      <c r="I2995" s="84" t="str">
        <f aca="false">IF(C2995="","",C2995*IF(Settings!$B$23=Settings!$C$6,1,IF(Settings!$B$23="USD",1/INDEX(Settings!$B$29:$B$40,MONTH(A2995)),INDEX(Settings!$B$29:$B$40,MONTH(A2995)))))</f>
        <v/>
      </c>
    </row>
    <row r="2996" customFormat="false" ht="15" hidden="false" customHeight="false" outlineLevel="0" collapsed="false">
      <c r="H2996" s="0" t="str">
        <f aca="false">IF(B2996="","",IF(COUNTIF(Campaigns!$A$7:$A$300,B2996)&gt;0,"✓","⚠ add to Campaigns tab"))</f>
        <v/>
      </c>
      <c r="I2996" s="84" t="str">
        <f aca="false">IF(C2996="","",C2996*IF(Settings!$B$23=Settings!$C$6,1,IF(Settings!$B$23="USD",1/INDEX(Settings!$B$29:$B$40,MONTH(A2996)),INDEX(Settings!$B$29:$B$40,MONTH(A2996)))))</f>
        <v/>
      </c>
    </row>
    <row r="2997" customFormat="false" ht="15" hidden="false" customHeight="false" outlineLevel="0" collapsed="false">
      <c r="H2997" s="0" t="str">
        <f aca="false">IF(B2997="","",IF(COUNTIF(Campaigns!$A$7:$A$300,B2997)&gt;0,"✓","⚠ add to Campaigns tab"))</f>
        <v/>
      </c>
      <c r="I2997" s="84" t="str">
        <f aca="false">IF(C2997="","",C2997*IF(Settings!$B$23=Settings!$C$6,1,IF(Settings!$B$23="USD",1/INDEX(Settings!$B$29:$B$40,MONTH(A2997)),INDEX(Settings!$B$29:$B$40,MONTH(A2997)))))</f>
        <v/>
      </c>
    </row>
    <row r="2998" customFormat="false" ht="15" hidden="false" customHeight="false" outlineLevel="0" collapsed="false">
      <c r="H2998" s="0" t="str">
        <f aca="false">IF(B2998="","",IF(COUNTIF(Campaigns!$A$7:$A$300,B2998)&gt;0,"✓","⚠ add to Campaigns tab"))</f>
        <v/>
      </c>
      <c r="I2998" s="84" t="str">
        <f aca="false">IF(C2998="","",C2998*IF(Settings!$B$23=Settings!$C$6,1,IF(Settings!$B$23="USD",1/INDEX(Settings!$B$29:$B$40,MONTH(A2998)),INDEX(Settings!$B$29:$B$40,MONTH(A2998)))))</f>
        <v/>
      </c>
    </row>
    <row r="2999" customFormat="false" ht="15" hidden="false" customHeight="false" outlineLevel="0" collapsed="false">
      <c r="H2999" s="0" t="str">
        <f aca="false">IF(B2999="","",IF(COUNTIF(Campaigns!$A$7:$A$300,B2999)&gt;0,"✓","⚠ add to Campaigns tab"))</f>
        <v/>
      </c>
      <c r="I2999" s="84" t="str">
        <f aca="false">IF(C2999="","",C2999*IF(Settings!$B$23=Settings!$C$6,1,IF(Settings!$B$23="USD",1/INDEX(Settings!$B$29:$B$40,MONTH(A2999)),INDEX(Settings!$B$29:$B$40,MONTH(A2999)))))</f>
        <v/>
      </c>
    </row>
    <row r="3000" customFormat="false" ht="15" hidden="false" customHeight="false" outlineLevel="0" collapsed="false">
      <c r="H3000" s="0" t="str">
        <f aca="false">IF(B3000="","",IF(COUNTIF(Campaigns!$A$7:$A$300,B3000)&gt;0,"✓","⚠ add to Campaigns tab"))</f>
        <v/>
      </c>
      <c r="I3000" s="84" t="str">
        <f aca="false">IF(C3000="","",C3000*IF(Settings!$B$23=Settings!$C$6,1,IF(Settings!$B$23="USD",1/INDEX(Settings!$B$29:$B$40,MONTH(A3000)),INDEX(Settings!$B$29:$B$40,MONTH(A3000)))))</f>
        <v/>
      </c>
    </row>
    <row r="3001" customFormat="false" ht="15" hidden="false" customHeight="false" outlineLevel="0" collapsed="false">
      <c r="H3001" s="0" t="str">
        <f aca="false">IF(B3001="","",IF(COUNTIF(Campaigns!$A$7:$A$300,B3001)&gt;0,"✓","⚠ add to Campaigns tab"))</f>
        <v/>
      </c>
      <c r="I3001" s="84" t="str">
        <f aca="false">IF(C3001="","",C3001*IF(Settings!$B$23=Settings!$C$6,1,IF(Settings!$B$23="USD",1/INDEX(Settings!$B$29:$B$40,MONTH(A3001)),INDEX(Settings!$B$29:$B$40,MONTH(A3001)))))</f>
        <v/>
      </c>
    </row>
    <row r="3002" customFormat="false" ht="15" hidden="false" customHeight="false" outlineLevel="0" collapsed="false">
      <c r="H3002" s="0" t="str">
        <f aca="false">IF(B3002="","",IF(COUNTIF(Campaigns!$A$7:$A$300,B3002)&gt;0,"✓","⚠ add to Campaigns tab"))</f>
        <v/>
      </c>
      <c r="I3002" s="84" t="str">
        <f aca="false">IF(C3002="","",C3002*IF(Settings!$B$23=Settings!$C$6,1,IF(Settings!$B$23="USD",1/INDEX(Settings!$B$29:$B$40,MONTH(A3002)),INDEX(Settings!$B$29:$B$40,MONTH(A3002)))))</f>
        <v/>
      </c>
    </row>
    <row r="3003" customFormat="false" ht="15" hidden="false" customHeight="false" outlineLevel="0" collapsed="false">
      <c r="H3003" s="0" t="str">
        <f aca="false">IF(B3003="","",IF(COUNTIF(Campaigns!$A$7:$A$300,B3003)&gt;0,"✓","⚠ add to Campaigns tab"))</f>
        <v/>
      </c>
      <c r="I3003" s="84" t="str">
        <f aca="false">IF(C3003="","",C3003*IF(Settings!$B$23=Settings!$C$6,1,IF(Settings!$B$23="USD",1/INDEX(Settings!$B$29:$B$40,MONTH(A3003)),INDEX(Settings!$B$29:$B$40,MONTH(A3003)))))</f>
        <v/>
      </c>
    </row>
    <row r="3004" customFormat="false" ht="15" hidden="false" customHeight="false" outlineLevel="0" collapsed="false">
      <c r="H3004" s="0" t="str">
        <f aca="false">IF(B3004="","",IF(COUNTIF(Campaigns!$A$7:$A$300,B3004)&gt;0,"✓","⚠ add to Campaigns tab"))</f>
        <v/>
      </c>
      <c r="I3004" s="84" t="str">
        <f aca="false">IF(C3004="","",C3004*IF(Settings!$B$23=Settings!$C$6,1,IF(Settings!$B$23="USD",1/INDEX(Settings!$B$29:$B$40,MONTH(A3004)),INDEX(Settings!$B$29:$B$40,MONTH(A3004)))))</f>
        <v/>
      </c>
    </row>
    <row r="3005" customFormat="false" ht="15" hidden="false" customHeight="false" outlineLevel="0" collapsed="false">
      <c r="H3005" s="0" t="str">
        <f aca="false">IF(B3005="","",IF(COUNTIF(Campaigns!$A$7:$A$300,B3005)&gt;0,"✓","⚠ add to Campaigns tab"))</f>
        <v/>
      </c>
      <c r="I3005" s="84" t="str">
        <f aca="false">IF(C3005="","",C3005*IF(Settings!$B$23=Settings!$C$6,1,IF(Settings!$B$23="USD",1/INDEX(Settings!$B$29:$B$40,MONTH(A3005)),INDEX(Settings!$B$29:$B$40,MONTH(A3005)))))</f>
        <v/>
      </c>
    </row>
    <row r="3006" customFormat="false" ht="15" hidden="false" customHeight="false" outlineLevel="0" collapsed="false">
      <c r="H3006" s="0" t="str">
        <f aca="false">IF(B3006="","",IF(COUNTIF(Campaigns!$A$7:$A$300,B3006)&gt;0,"✓","⚠ add to Campaigns tab"))</f>
        <v/>
      </c>
      <c r="I3006" s="84" t="str">
        <f aca="false">IF(C3006="","",C3006*IF(Settings!$B$23=Settings!$C$6,1,IF(Settings!$B$23="USD",1/INDEX(Settings!$B$29:$B$40,MONTH(A3006)),INDEX(Settings!$B$29:$B$40,MONTH(A3006)))))</f>
        <v/>
      </c>
    </row>
    <row r="3007" customFormat="false" ht="15" hidden="false" customHeight="false" outlineLevel="0" collapsed="false">
      <c r="H3007" s="0" t="str">
        <f aca="false">IF(B3007="","",IF(COUNTIF(Campaigns!$A$7:$A$300,B3007)&gt;0,"✓","⚠ add to Campaigns tab"))</f>
        <v/>
      </c>
      <c r="I3007" s="84" t="str">
        <f aca="false">IF(C3007="","",C3007*IF(Settings!$B$23=Settings!$C$6,1,IF(Settings!$B$23="USD",1/INDEX(Settings!$B$29:$B$40,MONTH(A3007)),INDEX(Settings!$B$29:$B$40,MONTH(A3007)))))</f>
        <v/>
      </c>
    </row>
    <row r="3008" customFormat="false" ht="15" hidden="false" customHeight="false" outlineLevel="0" collapsed="false">
      <c r="H3008" s="0" t="str">
        <f aca="false">IF(B3008="","",IF(COUNTIF(Campaigns!$A$7:$A$300,B3008)&gt;0,"✓","⚠ add to Campaigns tab"))</f>
        <v/>
      </c>
      <c r="I3008" s="84" t="str">
        <f aca="false">IF(C3008="","",C3008*IF(Settings!$B$23=Settings!$C$6,1,IF(Settings!$B$23="USD",1/INDEX(Settings!$B$29:$B$40,MONTH(A3008)),INDEX(Settings!$B$29:$B$40,MONTH(A3008)))))</f>
        <v/>
      </c>
    </row>
    <row r="3009" customFormat="false" ht="15" hidden="false" customHeight="false" outlineLevel="0" collapsed="false">
      <c r="H3009" s="0" t="str">
        <f aca="false">IF(B3009="","",IF(COUNTIF(Campaigns!$A$7:$A$300,B3009)&gt;0,"✓","⚠ add to Campaigns tab"))</f>
        <v/>
      </c>
      <c r="I3009" s="84" t="str">
        <f aca="false">IF(C3009="","",C3009*IF(Settings!$B$23=Settings!$C$6,1,IF(Settings!$B$23="USD",1/INDEX(Settings!$B$29:$B$40,MONTH(A3009)),INDEX(Settings!$B$29:$B$40,MONTH(A3009)))))</f>
        <v/>
      </c>
    </row>
    <row r="3010" customFormat="false" ht="15" hidden="false" customHeight="false" outlineLevel="0" collapsed="false">
      <c r="H3010" s="0" t="str">
        <f aca="false">IF(B3010="","",IF(COUNTIF(Campaigns!$A$7:$A$300,B3010)&gt;0,"✓","⚠ add to Campaigns tab"))</f>
        <v/>
      </c>
      <c r="I3010" s="84" t="str">
        <f aca="false">IF(C3010="","",C3010*IF(Settings!$B$23=Settings!$C$6,1,IF(Settings!$B$23="USD",1/INDEX(Settings!$B$29:$B$40,MONTH(A3010)),INDEX(Settings!$B$29:$B$40,MONTH(A3010)))))</f>
        <v/>
      </c>
    </row>
    <row r="3011" customFormat="false" ht="15" hidden="false" customHeight="false" outlineLevel="0" collapsed="false">
      <c r="H3011" s="0" t="str">
        <f aca="false">IF(B3011="","",IF(COUNTIF(Campaigns!$A$7:$A$300,B3011)&gt;0,"✓","⚠ add to Campaigns tab"))</f>
        <v/>
      </c>
      <c r="I3011" s="84" t="str">
        <f aca="false">IF(C3011="","",C3011*IF(Settings!$B$23=Settings!$C$6,1,IF(Settings!$B$23="USD",1/INDEX(Settings!$B$29:$B$40,MONTH(A3011)),INDEX(Settings!$B$29:$B$40,MONTH(A3011)))))</f>
        <v/>
      </c>
    </row>
    <row r="3012" customFormat="false" ht="15" hidden="false" customHeight="false" outlineLevel="0" collapsed="false">
      <c r="H3012" s="0" t="str">
        <f aca="false">IF(B3012="","",IF(COUNTIF(Campaigns!$A$7:$A$300,B3012)&gt;0,"✓","⚠ add to Campaigns tab"))</f>
        <v/>
      </c>
      <c r="I3012" s="84" t="str">
        <f aca="false">IF(C3012="","",C3012*IF(Settings!$B$23=Settings!$C$6,1,IF(Settings!$B$23="USD",1/INDEX(Settings!$B$29:$B$40,MONTH(A3012)),INDEX(Settings!$B$29:$B$40,MONTH(A3012)))))</f>
        <v/>
      </c>
    </row>
    <row r="3013" customFormat="false" ht="15" hidden="false" customHeight="false" outlineLevel="0" collapsed="false">
      <c r="H3013" s="0" t="str">
        <f aca="false">IF(B3013="","",IF(COUNTIF(Campaigns!$A$7:$A$300,B3013)&gt;0,"✓","⚠ add to Campaigns tab"))</f>
        <v/>
      </c>
      <c r="I3013" s="84" t="str">
        <f aca="false">IF(C3013="","",C3013*IF(Settings!$B$23=Settings!$C$6,1,IF(Settings!$B$23="USD",1/INDEX(Settings!$B$29:$B$40,MONTH(A3013)),INDEX(Settings!$B$29:$B$40,MONTH(A3013)))))</f>
        <v/>
      </c>
    </row>
    <row r="3014" customFormat="false" ht="15" hidden="false" customHeight="false" outlineLevel="0" collapsed="false">
      <c r="H3014" s="0" t="str">
        <f aca="false">IF(B3014="","",IF(COUNTIF(Campaigns!$A$7:$A$300,B3014)&gt;0,"✓","⚠ add to Campaigns tab"))</f>
        <v/>
      </c>
      <c r="I3014" s="84" t="str">
        <f aca="false">IF(C3014="","",C3014*IF(Settings!$B$23=Settings!$C$6,1,IF(Settings!$B$23="USD",1/INDEX(Settings!$B$29:$B$40,MONTH(A3014)),INDEX(Settings!$B$29:$B$40,MONTH(A3014)))))</f>
        <v/>
      </c>
    </row>
    <row r="3015" customFormat="false" ht="15" hidden="false" customHeight="false" outlineLevel="0" collapsed="false">
      <c r="H3015" s="0" t="str">
        <f aca="false">IF(B3015="","",IF(COUNTIF(Campaigns!$A$7:$A$300,B3015)&gt;0,"✓","⚠ add to Campaigns tab"))</f>
        <v/>
      </c>
      <c r="I3015" s="84" t="str">
        <f aca="false">IF(C3015="","",C3015*IF(Settings!$B$23=Settings!$C$6,1,IF(Settings!$B$23="USD",1/INDEX(Settings!$B$29:$B$40,MONTH(A3015)),INDEX(Settings!$B$29:$B$40,MONTH(A3015)))))</f>
        <v/>
      </c>
    </row>
    <row r="3016" customFormat="false" ht="15" hidden="false" customHeight="false" outlineLevel="0" collapsed="false">
      <c r="H3016" s="0" t="str">
        <f aca="false">IF(B3016="","",IF(COUNTIF(Campaigns!$A$7:$A$300,B3016)&gt;0,"✓","⚠ add to Campaigns tab"))</f>
        <v/>
      </c>
      <c r="I3016" s="84" t="str">
        <f aca="false">IF(C3016="","",C3016*IF(Settings!$B$23=Settings!$C$6,1,IF(Settings!$B$23="USD",1/INDEX(Settings!$B$29:$B$40,MONTH(A3016)),INDEX(Settings!$B$29:$B$40,MONTH(A3016)))))</f>
        <v/>
      </c>
    </row>
    <row r="3017" customFormat="false" ht="15" hidden="false" customHeight="false" outlineLevel="0" collapsed="false">
      <c r="H3017" s="0" t="str">
        <f aca="false">IF(B3017="","",IF(COUNTIF(Campaigns!$A$7:$A$300,B3017)&gt;0,"✓","⚠ add to Campaigns tab"))</f>
        <v/>
      </c>
      <c r="I3017" s="84" t="str">
        <f aca="false">IF(C3017="","",C3017*IF(Settings!$B$23=Settings!$C$6,1,IF(Settings!$B$23="USD",1/INDEX(Settings!$B$29:$B$40,MONTH(A3017)),INDEX(Settings!$B$29:$B$40,MONTH(A3017)))))</f>
        <v/>
      </c>
    </row>
    <row r="3018" customFormat="false" ht="15" hidden="false" customHeight="false" outlineLevel="0" collapsed="false">
      <c r="H3018" s="0" t="str">
        <f aca="false">IF(B3018="","",IF(COUNTIF(Campaigns!$A$7:$A$300,B3018)&gt;0,"✓","⚠ add to Campaigns tab"))</f>
        <v/>
      </c>
      <c r="I3018" s="84" t="str">
        <f aca="false">IF(C3018="","",C3018*IF(Settings!$B$23=Settings!$C$6,1,IF(Settings!$B$23="USD",1/INDEX(Settings!$B$29:$B$40,MONTH(A3018)),INDEX(Settings!$B$29:$B$40,MONTH(A3018)))))</f>
        <v/>
      </c>
    </row>
    <row r="3019" customFormat="false" ht="15" hidden="false" customHeight="false" outlineLevel="0" collapsed="false">
      <c r="H3019" s="0" t="str">
        <f aca="false">IF(B3019="","",IF(COUNTIF(Campaigns!$A$7:$A$300,B3019)&gt;0,"✓","⚠ add to Campaigns tab"))</f>
        <v/>
      </c>
      <c r="I3019" s="84" t="str">
        <f aca="false">IF(C3019="","",C3019*IF(Settings!$B$23=Settings!$C$6,1,IF(Settings!$B$23="USD",1/INDEX(Settings!$B$29:$B$40,MONTH(A3019)),INDEX(Settings!$B$29:$B$40,MONTH(A3019)))))</f>
        <v/>
      </c>
    </row>
    <row r="3020" customFormat="false" ht="15" hidden="false" customHeight="false" outlineLevel="0" collapsed="false">
      <c r="H3020" s="0" t="str">
        <f aca="false">IF(B3020="","",IF(COUNTIF(Campaigns!$A$7:$A$300,B3020)&gt;0,"✓","⚠ add to Campaigns tab"))</f>
        <v/>
      </c>
      <c r="I3020" s="84" t="str">
        <f aca="false">IF(C3020="","",C3020*IF(Settings!$B$23=Settings!$C$6,1,IF(Settings!$B$23="USD",1/INDEX(Settings!$B$29:$B$40,MONTH(A3020)),INDEX(Settings!$B$29:$B$40,MONTH(A3020)))))</f>
        <v/>
      </c>
    </row>
    <row r="3021" customFormat="false" ht="15" hidden="false" customHeight="false" outlineLevel="0" collapsed="false">
      <c r="H3021" s="0" t="str">
        <f aca="false">IF(B3021="","",IF(COUNTIF(Campaigns!$A$7:$A$300,B3021)&gt;0,"✓","⚠ add to Campaigns tab"))</f>
        <v/>
      </c>
      <c r="I3021" s="84" t="str">
        <f aca="false">IF(C3021="","",C3021*IF(Settings!$B$23=Settings!$C$6,1,IF(Settings!$B$23="USD",1/INDEX(Settings!$B$29:$B$40,MONTH(A3021)),INDEX(Settings!$B$29:$B$40,MONTH(A3021)))))</f>
        <v/>
      </c>
    </row>
    <row r="3022" customFormat="false" ht="15" hidden="false" customHeight="false" outlineLevel="0" collapsed="false">
      <c r="H3022" s="0" t="str">
        <f aca="false">IF(B3022="","",IF(COUNTIF(Campaigns!$A$7:$A$300,B3022)&gt;0,"✓","⚠ add to Campaigns tab"))</f>
        <v/>
      </c>
      <c r="I3022" s="84" t="str">
        <f aca="false">IF(C3022="","",C3022*IF(Settings!$B$23=Settings!$C$6,1,IF(Settings!$B$23="USD",1/INDEX(Settings!$B$29:$B$40,MONTH(A3022)),INDEX(Settings!$B$29:$B$40,MONTH(A3022)))))</f>
        <v/>
      </c>
    </row>
    <row r="3023" customFormat="false" ht="15" hidden="false" customHeight="false" outlineLevel="0" collapsed="false">
      <c r="H3023" s="0" t="str">
        <f aca="false">IF(B3023="","",IF(COUNTIF(Campaigns!$A$7:$A$300,B3023)&gt;0,"✓","⚠ add to Campaigns tab"))</f>
        <v/>
      </c>
      <c r="I3023" s="84" t="str">
        <f aca="false">IF(C3023="","",C3023*IF(Settings!$B$23=Settings!$C$6,1,IF(Settings!$B$23="USD",1/INDEX(Settings!$B$29:$B$40,MONTH(A3023)),INDEX(Settings!$B$29:$B$40,MONTH(A3023)))))</f>
        <v/>
      </c>
    </row>
    <row r="3024" customFormat="false" ht="15" hidden="false" customHeight="false" outlineLevel="0" collapsed="false">
      <c r="H3024" s="0" t="str">
        <f aca="false">IF(B3024="","",IF(COUNTIF(Campaigns!$A$7:$A$300,B3024)&gt;0,"✓","⚠ add to Campaigns tab"))</f>
        <v/>
      </c>
      <c r="I3024" s="84" t="str">
        <f aca="false">IF(C3024="","",C3024*IF(Settings!$B$23=Settings!$C$6,1,IF(Settings!$B$23="USD",1/INDEX(Settings!$B$29:$B$40,MONTH(A3024)),INDEX(Settings!$B$29:$B$40,MONTH(A3024)))))</f>
        <v/>
      </c>
    </row>
    <row r="3025" customFormat="false" ht="15" hidden="false" customHeight="false" outlineLevel="0" collapsed="false">
      <c r="H3025" s="0" t="str">
        <f aca="false">IF(B3025="","",IF(COUNTIF(Campaigns!$A$7:$A$300,B3025)&gt;0,"✓","⚠ add to Campaigns tab"))</f>
        <v/>
      </c>
      <c r="I3025" s="84" t="str">
        <f aca="false">IF(C3025="","",C3025*IF(Settings!$B$23=Settings!$C$6,1,IF(Settings!$B$23="USD",1/INDEX(Settings!$B$29:$B$40,MONTH(A3025)),INDEX(Settings!$B$29:$B$40,MONTH(A3025)))))</f>
        <v/>
      </c>
    </row>
    <row r="3026" customFormat="false" ht="15" hidden="false" customHeight="false" outlineLevel="0" collapsed="false">
      <c r="H3026" s="0" t="str">
        <f aca="false">IF(B3026="","",IF(COUNTIF(Campaigns!$A$7:$A$300,B3026)&gt;0,"✓","⚠ add to Campaigns tab"))</f>
        <v/>
      </c>
      <c r="I3026" s="84" t="str">
        <f aca="false">IF(C3026="","",C3026*IF(Settings!$B$23=Settings!$C$6,1,IF(Settings!$B$23="USD",1/INDEX(Settings!$B$29:$B$40,MONTH(A3026)),INDEX(Settings!$B$29:$B$40,MONTH(A3026)))))</f>
        <v/>
      </c>
    </row>
    <row r="3027" customFormat="false" ht="15" hidden="false" customHeight="false" outlineLevel="0" collapsed="false">
      <c r="H3027" s="0" t="str">
        <f aca="false">IF(B3027="","",IF(COUNTIF(Campaigns!$A$7:$A$300,B3027)&gt;0,"✓","⚠ add to Campaigns tab"))</f>
        <v/>
      </c>
      <c r="I3027" s="84" t="str">
        <f aca="false">IF(C3027="","",C3027*IF(Settings!$B$23=Settings!$C$6,1,IF(Settings!$B$23="USD",1/INDEX(Settings!$B$29:$B$40,MONTH(A3027)),INDEX(Settings!$B$29:$B$40,MONTH(A3027)))))</f>
        <v/>
      </c>
    </row>
    <row r="3028" customFormat="false" ht="15" hidden="false" customHeight="false" outlineLevel="0" collapsed="false">
      <c r="H3028" s="0" t="str">
        <f aca="false">IF(B3028="","",IF(COUNTIF(Campaigns!$A$7:$A$300,B3028)&gt;0,"✓","⚠ add to Campaigns tab"))</f>
        <v/>
      </c>
      <c r="I3028" s="84" t="str">
        <f aca="false">IF(C3028="","",C3028*IF(Settings!$B$23=Settings!$C$6,1,IF(Settings!$B$23="USD",1/INDEX(Settings!$B$29:$B$40,MONTH(A3028)),INDEX(Settings!$B$29:$B$40,MONTH(A3028)))))</f>
        <v/>
      </c>
    </row>
    <row r="3029" customFormat="false" ht="15" hidden="false" customHeight="false" outlineLevel="0" collapsed="false">
      <c r="H3029" s="0" t="str">
        <f aca="false">IF(B3029="","",IF(COUNTIF(Campaigns!$A$7:$A$300,B3029)&gt;0,"✓","⚠ add to Campaigns tab"))</f>
        <v/>
      </c>
      <c r="I3029" s="84" t="str">
        <f aca="false">IF(C3029="","",C3029*IF(Settings!$B$23=Settings!$C$6,1,IF(Settings!$B$23="USD",1/INDEX(Settings!$B$29:$B$40,MONTH(A3029)),INDEX(Settings!$B$29:$B$40,MONTH(A3029)))))</f>
        <v/>
      </c>
    </row>
    <row r="3030" customFormat="false" ht="15" hidden="false" customHeight="false" outlineLevel="0" collapsed="false">
      <c r="H3030" s="0" t="str">
        <f aca="false">IF(B3030="","",IF(COUNTIF(Campaigns!$A$7:$A$300,B3030)&gt;0,"✓","⚠ add to Campaigns tab"))</f>
        <v/>
      </c>
      <c r="I3030" s="84" t="str">
        <f aca="false">IF(C3030="","",C3030*IF(Settings!$B$23=Settings!$C$6,1,IF(Settings!$B$23="USD",1/INDEX(Settings!$B$29:$B$40,MONTH(A3030)),INDEX(Settings!$B$29:$B$40,MONTH(A3030)))))</f>
        <v/>
      </c>
    </row>
    <row r="3031" customFormat="false" ht="15" hidden="false" customHeight="false" outlineLevel="0" collapsed="false">
      <c r="H3031" s="0" t="str">
        <f aca="false">IF(B3031="","",IF(COUNTIF(Campaigns!$A$7:$A$300,B3031)&gt;0,"✓","⚠ add to Campaigns tab"))</f>
        <v/>
      </c>
      <c r="I3031" s="84" t="str">
        <f aca="false">IF(C3031="","",C3031*IF(Settings!$B$23=Settings!$C$6,1,IF(Settings!$B$23="USD",1/INDEX(Settings!$B$29:$B$40,MONTH(A3031)),INDEX(Settings!$B$29:$B$40,MONTH(A3031)))))</f>
        <v/>
      </c>
    </row>
    <row r="3032" customFormat="false" ht="15" hidden="false" customHeight="false" outlineLevel="0" collapsed="false">
      <c r="H3032" s="0" t="str">
        <f aca="false">IF(B3032="","",IF(COUNTIF(Campaigns!$A$7:$A$300,B3032)&gt;0,"✓","⚠ add to Campaigns tab"))</f>
        <v/>
      </c>
      <c r="I3032" s="84" t="str">
        <f aca="false">IF(C3032="","",C3032*IF(Settings!$B$23=Settings!$C$6,1,IF(Settings!$B$23="USD",1/INDEX(Settings!$B$29:$B$40,MONTH(A3032)),INDEX(Settings!$B$29:$B$40,MONTH(A3032)))))</f>
        <v/>
      </c>
    </row>
    <row r="3033" customFormat="false" ht="15" hidden="false" customHeight="false" outlineLevel="0" collapsed="false">
      <c r="H3033" s="0" t="str">
        <f aca="false">IF(B3033="","",IF(COUNTIF(Campaigns!$A$7:$A$300,B3033)&gt;0,"✓","⚠ add to Campaigns tab"))</f>
        <v/>
      </c>
      <c r="I3033" s="84" t="str">
        <f aca="false">IF(C3033="","",C3033*IF(Settings!$B$23=Settings!$C$6,1,IF(Settings!$B$23="USD",1/INDEX(Settings!$B$29:$B$40,MONTH(A3033)),INDEX(Settings!$B$29:$B$40,MONTH(A3033)))))</f>
        <v/>
      </c>
    </row>
    <row r="3034" customFormat="false" ht="15" hidden="false" customHeight="false" outlineLevel="0" collapsed="false">
      <c r="H3034" s="0" t="str">
        <f aca="false">IF(B3034="","",IF(COUNTIF(Campaigns!$A$7:$A$300,B3034)&gt;0,"✓","⚠ add to Campaigns tab"))</f>
        <v/>
      </c>
      <c r="I3034" s="84" t="str">
        <f aca="false">IF(C3034="","",C3034*IF(Settings!$B$23=Settings!$C$6,1,IF(Settings!$B$23="USD",1/INDEX(Settings!$B$29:$B$40,MONTH(A3034)),INDEX(Settings!$B$29:$B$40,MONTH(A3034)))))</f>
        <v/>
      </c>
    </row>
    <row r="3035" customFormat="false" ht="15" hidden="false" customHeight="false" outlineLevel="0" collapsed="false">
      <c r="H3035" s="0" t="str">
        <f aca="false">IF(B3035="","",IF(COUNTIF(Campaigns!$A$7:$A$300,B3035)&gt;0,"✓","⚠ add to Campaigns tab"))</f>
        <v/>
      </c>
      <c r="I3035" s="84" t="str">
        <f aca="false">IF(C3035="","",C3035*IF(Settings!$B$23=Settings!$C$6,1,IF(Settings!$B$23="USD",1/INDEX(Settings!$B$29:$B$40,MONTH(A3035)),INDEX(Settings!$B$29:$B$40,MONTH(A3035)))))</f>
        <v/>
      </c>
    </row>
    <row r="3036" customFormat="false" ht="15" hidden="false" customHeight="false" outlineLevel="0" collapsed="false">
      <c r="H3036" s="0" t="str">
        <f aca="false">IF(B3036="","",IF(COUNTIF(Campaigns!$A$7:$A$300,B3036)&gt;0,"✓","⚠ add to Campaigns tab"))</f>
        <v/>
      </c>
      <c r="I3036" s="84" t="str">
        <f aca="false">IF(C3036="","",C3036*IF(Settings!$B$23=Settings!$C$6,1,IF(Settings!$B$23="USD",1/INDEX(Settings!$B$29:$B$40,MONTH(A3036)),INDEX(Settings!$B$29:$B$40,MONTH(A3036)))))</f>
        <v/>
      </c>
    </row>
    <row r="3037" customFormat="false" ht="15" hidden="false" customHeight="false" outlineLevel="0" collapsed="false">
      <c r="H3037" s="0" t="str">
        <f aca="false">IF(B3037="","",IF(COUNTIF(Campaigns!$A$7:$A$300,B3037)&gt;0,"✓","⚠ add to Campaigns tab"))</f>
        <v/>
      </c>
      <c r="I3037" s="84" t="str">
        <f aca="false">IF(C3037="","",C3037*IF(Settings!$B$23=Settings!$C$6,1,IF(Settings!$B$23="USD",1/INDEX(Settings!$B$29:$B$40,MONTH(A3037)),INDEX(Settings!$B$29:$B$40,MONTH(A3037)))))</f>
        <v/>
      </c>
    </row>
    <row r="3038" customFormat="false" ht="15" hidden="false" customHeight="false" outlineLevel="0" collapsed="false">
      <c r="H3038" s="0" t="str">
        <f aca="false">IF(B3038="","",IF(COUNTIF(Campaigns!$A$7:$A$300,B3038)&gt;0,"✓","⚠ add to Campaigns tab"))</f>
        <v/>
      </c>
      <c r="I3038" s="84" t="str">
        <f aca="false">IF(C3038="","",C3038*IF(Settings!$B$23=Settings!$C$6,1,IF(Settings!$B$23="USD",1/INDEX(Settings!$B$29:$B$40,MONTH(A3038)),INDEX(Settings!$B$29:$B$40,MONTH(A3038)))))</f>
        <v/>
      </c>
    </row>
    <row r="3039" customFormat="false" ht="15" hidden="false" customHeight="false" outlineLevel="0" collapsed="false">
      <c r="H3039" s="0" t="str">
        <f aca="false">IF(B3039="","",IF(COUNTIF(Campaigns!$A$7:$A$300,B3039)&gt;0,"✓","⚠ add to Campaigns tab"))</f>
        <v/>
      </c>
      <c r="I3039" s="84" t="str">
        <f aca="false">IF(C3039="","",C3039*IF(Settings!$B$23=Settings!$C$6,1,IF(Settings!$B$23="USD",1/INDEX(Settings!$B$29:$B$40,MONTH(A3039)),INDEX(Settings!$B$29:$B$40,MONTH(A3039)))))</f>
        <v/>
      </c>
    </row>
    <row r="3040" customFormat="false" ht="15" hidden="false" customHeight="false" outlineLevel="0" collapsed="false">
      <c r="H3040" s="0" t="str">
        <f aca="false">IF(B3040="","",IF(COUNTIF(Campaigns!$A$7:$A$300,B3040)&gt;0,"✓","⚠ add to Campaigns tab"))</f>
        <v/>
      </c>
      <c r="I3040" s="84" t="str">
        <f aca="false">IF(C3040="","",C3040*IF(Settings!$B$23=Settings!$C$6,1,IF(Settings!$B$23="USD",1/INDEX(Settings!$B$29:$B$40,MONTH(A3040)),INDEX(Settings!$B$29:$B$40,MONTH(A3040)))))</f>
        <v/>
      </c>
    </row>
    <row r="3041" customFormat="false" ht="15" hidden="false" customHeight="false" outlineLevel="0" collapsed="false">
      <c r="H3041" s="0" t="str">
        <f aca="false">IF(B3041="","",IF(COUNTIF(Campaigns!$A$7:$A$300,B3041)&gt;0,"✓","⚠ add to Campaigns tab"))</f>
        <v/>
      </c>
      <c r="I3041" s="84" t="str">
        <f aca="false">IF(C3041="","",C3041*IF(Settings!$B$23=Settings!$C$6,1,IF(Settings!$B$23="USD",1/INDEX(Settings!$B$29:$B$40,MONTH(A3041)),INDEX(Settings!$B$29:$B$40,MONTH(A3041)))))</f>
        <v/>
      </c>
    </row>
    <row r="3042" customFormat="false" ht="15" hidden="false" customHeight="false" outlineLevel="0" collapsed="false">
      <c r="H3042" s="0" t="str">
        <f aca="false">IF(B3042="","",IF(COUNTIF(Campaigns!$A$7:$A$300,B3042)&gt;0,"✓","⚠ add to Campaigns tab"))</f>
        <v/>
      </c>
      <c r="I3042" s="84" t="str">
        <f aca="false">IF(C3042="","",C3042*IF(Settings!$B$23=Settings!$C$6,1,IF(Settings!$B$23="USD",1/INDEX(Settings!$B$29:$B$40,MONTH(A3042)),INDEX(Settings!$B$29:$B$40,MONTH(A3042)))))</f>
        <v/>
      </c>
    </row>
    <row r="3043" customFormat="false" ht="15" hidden="false" customHeight="false" outlineLevel="0" collapsed="false">
      <c r="H3043" s="0" t="str">
        <f aca="false">IF(B3043="","",IF(COUNTIF(Campaigns!$A$7:$A$300,B3043)&gt;0,"✓","⚠ add to Campaigns tab"))</f>
        <v/>
      </c>
      <c r="I3043" s="84" t="str">
        <f aca="false">IF(C3043="","",C3043*IF(Settings!$B$23=Settings!$C$6,1,IF(Settings!$B$23="USD",1/INDEX(Settings!$B$29:$B$40,MONTH(A3043)),INDEX(Settings!$B$29:$B$40,MONTH(A3043)))))</f>
        <v/>
      </c>
    </row>
    <row r="3044" customFormat="false" ht="15" hidden="false" customHeight="false" outlineLevel="0" collapsed="false">
      <c r="H3044" s="0" t="str">
        <f aca="false">IF(B3044="","",IF(COUNTIF(Campaigns!$A$7:$A$300,B3044)&gt;0,"✓","⚠ add to Campaigns tab"))</f>
        <v/>
      </c>
      <c r="I3044" s="84" t="str">
        <f aca="false">IF(C3044="","",C3044*IF(Settings!$B$23=Settings!$C$6,1,IF(Settings!$B$23="USD",1/INDEX(Settings!$B$29:$B$40,MONTH(A3044)),INDEX(Settings!$B$29:$B$40,MONTH(A3044)))))</f>
        <v/>
      </c>
    </row>
    <row r="3045" customFormat="false" ht="15" hidden="false" customHeight="false" outlineLevel="0" collapsed="false">
      <c r="H3045" s="0" t="str">
        <f aca="false">IF(B3045="","",IF(COUNTIF(Campaigns!$A$7:$A$300,B3045)&gt;0,"✓","⚠ add to Campaigns tab"))</f>
        <v/>
      </c>
      <c r="I3045" s="84" t="str">
        <f aca="false">IF(C3045="","",C3045*IF(Settings!$B$23=Settings!$C$6,1,IF(Settings!$B$23="USD",1/INDEX(Settings!$B$29:$B$40,MONTH(A3045)),INDEX(Settings!$B$29:$B$40,MONTH(A3045)))))</f>
        <v/>
      </c>
    </row>
    <row r="3046" customFormat="false" ht="15" hidden="false" customHeight="false" outlineLevel="0" collapsed="false">
      <c r="H3046" s="0" t="str">
        <f aca="false">IF(B3046="","",IF(COUNTIF(Campaigns!$A$7:$A$300,B3046)&gt;0,"✓","⚠ add to Campaigns tab"))</f>
        <v/>
      </c>
      <c r="I3046" s="84" t="str">
        <f aca="false">IF(C3046="","",C3046*IF(Settings!$B$23=Settings!$C$6,1,IF(Settings!$B$23="USD",1/INDEX(Settings!$B$29:$B$40,MONTH(A3046)),INDEX(Settings!$B$29:$B$40,MONTH(A3046)))))</f>
        <v/>
      </c>
    </row>
    <row r="3047" customFormat="false" ht="15" hidden="false" customHeight="false" outlineLevel="0" collapsed="false">
      <c r="H3047" s="0" t="str">
        <f aca="false">IF(B3047="","",IF(COUNTIF(Campaigns!$A$7:$A$300,B3047)&gt;0,"✓","⚠ add to Campaigns tab"))</f>
        <v/>
      </c>
      <c r="I3047" s="84" t="str">
        <f aca="false">IF(C3047="","",C3047*IF(Settings!$B$23=Settings!$C$6,1,IF(Settings!$B$23="USD",1/INDEX(Settings!$B$29:$B$40,MONTH(A3047)),INDEX(Settings!$B$29:$B$40,MONTH(A3047)))))</f>
        <v/>
      </c>
    </row>
    <row r="3048" customFormat="false" ht="15" hidden="false" customHeight="false" outlineLevel="0" collapsed="false">
      <c r="H3048" s="0" t="str">
        <f aca="false">IF(B3048="","",IF(COUNTIF(Campaigns!$A$7:$A$300,B3048)&gt;0,"✓","⚠ add to Campaigns tab"))</f>
        <v/>
      </c>
      <c r="I3048" s="84" t="str">
        <f aca="false">IF(C3048="","",C3048*IF(Settings!$B$23=Settings!$C$6,1,IF(Settings!$B$23="USD",1/INDEX(Settings!$B$29:$B$40,MONTH(A3048)),INDEX(Settings!$B$29:$B$40,MONTH(A3048)))))</f>
        <v/>
      </c>
    </row>
    <row r="3049" customFormat="false" ht="15" hidden="false" customHeight="false" outlineLevel="0" collapsed="false">
      <c r="H3049" s="0" t="str">
        <f aca="false">IF(B3049="","",IF(COUNTIF(Campaigns!$A$7:$A$300,B3049)&gt;0,"✓","⚠ add to Campaigns tab"))</f>
        <v/>
      </c>
      <c r="I3049" s="84" t="str">
        <f aca="false">IF(C3049="","",C3049*IF(Settings!$B$23=Settings!$C$6,1,IF(Settings!$B$23="USD",1/INDEX(Settings!$B$29:$B$40,MONTH(A3049)),INDEX(Settings!$B$29:$B$40,MONTH(A3049)))))</f>
        <v/>
      </c>
    </row>
    <row r="3050" customFormat="false" ht="15" hidden="false" customHeight="false" outlineLevel="0" collapsed="false">
      <c r="H3050" s="0" t="str">
        <f aca="false">IF(B3050="","",IF(COUNTIF(Campaigns!$A$7:$A$300,B3050)&gt;0,"✓","⚠ add to Campaigns tab"))</f>
        <v/>
      </c>
      <c r="I3050" s="84" t="str">
        <f aca="false">IF(C3050="","",C3050*IF(Settings!$B$23=Settings!$C$6,1,IF(Settings!$B$23="USD",1/INDEX(Settings!$B$29:$B$40,MONTH(A3050)),INDEX(Settings!$B$29:$B$40,MONTH(A3050)))))</f>
        <v/>
      </c>
    </row>
    <row r="3051" customFormat="false" ht="15" hidden="false" customHeight="false" outlineLevel="0" collapsed="false">
      <c r="H3051" s="0" t="str">
        <f aca="false">IF(B3051="","",IF(COUNTIF(Campaigns!$A$7:$A$300,B3051)&gt;0,"✓","⚠ add to Campaigns tab"))</f>
        <v/>
      </c>
      <c r="I3051" s="84" t="str">
        <f aca="false">IF(C3051="","",C3051*IF(Settings!$B$23=Settings!$C$6,1,IF(Settings!$B$23="USD",1/INDEX(Settings!$B$29:$B$40,MONTH(A3051)),INDEX(Settings!$B$29:$B$40,MONTH(A3051)))))</f>
        <v/>
      </c>
    </row>
    <row r="3052" customFormat="false" ht="15" hidden="false" customHeight="false" outlineLevel="0" collapsed="false">
      <c r="H3052" s="0" t="str">
        <f aca="false">IF(B3052="","",IF(COUNTIF(Campaigns!$A$7:$A$300,B3052)&gt;0,"✓","⚠ add to Campaigns tab"))</f>
        <v/>
      </c>
      <c r="I3052" s="84" t="str">
        <f aca="false">IF(C3052="","",C3052*IF(Settings!$B$23=Settings!$C$6,1,IF(Settings!$B$23="USD",1/INDEX(Settings!$B$29:$B$40,MONTH(A3052)),INDEX(Settings!$B$29:$B$40,MONTH(A3052)))))</f>
        <v/>
      </c>
    </row>
    <row r="3053" customFormat="false" ht="15" hidden="false" customHeight="false" outlineLevel="0" collapsed="false">
      <c r="H3053" s="0" t="str">
        <f aca="false">IF(B3053="","",IF(COUNTIF(Campaigns!$A$7:$A$300,B3053)&gt;0,"✓","⚠ add to Campaigns tab"))</f>
        <v/>
      </c>
      <c r="I3053" s="84" t="str">
        <f aca="false">IF(C3053="","",C3053*IF(Settings!$B$23=Settings!$C$6,1,IF(Settings!$B$23="USD",1/INDEX(Settings!$B$29:$B$40,MONTH(A3053)),INDEX(Settings!$B$29:$B$40,MONTH(A3053)))))</f>
        <v/>
      </c>
    </row>
    <row r="3054" customFormat="false" ht="15" hidden="false" customHeight="false" outlineLevel="0" collapsed="false">
      <c r="H3054" s="0" t="str">
        <f aca="false">IF(B3054="","",IF(COUNTIF(Campaigns!$A$7:$A$300,B3054)&gt;0,"✓","⚠ add to Campaigns tab"))</f>
        <v/>
      </c>
      <c r="I3054" s="84" t="str">
        <f aca="false">IF(C3054="","",C3054*IF(Settings!$B$23=Settings!$C$6,1,IF(Settings!$B$23="USD",1/INDEX(Settings!$B$29:$B$40,MONTH(A3054)),INDEX(Settings!$B$29:$B$40,MONTH(A3054)))))</f>
        <v/>
      </c>
    </row>
    <row r="3055" customFormat="false" ht="15" hidden="false" customHeight="false" outlineLevel="0" collapsed="false">
      <c r="H3055" s="0" t="str">
        <f aca="false">IF(B3055="","",IF(COUNTIF(Campaigns!$A$7:$A$300,B3055)&gt;0,"✓","⚠ add to Campaigns tab"))</f>
        <v/>
      </c>
      <c r="I3055" s="84" t="str">
        <f aca="false">IF(C3055="","",C3055*IF(Settings!$B$23=Settings!$C$6,1,IF(Settings!$B$23="USD",1/INDEX(Settings!$B$29:$B$40,MONTH(A3055)),INDEX(Settings!$B$29:$B$40,MONTH(A3055)))))</f>
        <v/>
      </c>
    </row>
    <row r="3056" customFormat="false" ht="15" hidden="false" customHeight="false" outlineLevel="0" collapsed="false">
      <c r="H3056" s="0" t="str">
        <f aca="false">IF(B3056="","",IF(COUNTIF(Campaigns!$A$7:$A$300,B3056)&gt;0,"✓","⚠ add to Campaigns tab"))</f>
        <v/>
      </c>
      <c r="I3056" s="84" t="str">
        <f aca="false">IF(C3056="","",C3056*IF(Settings!$B$23=Settings!$C$6,1,IF(Settings!$B$23="USD",1/INDEX(Settings!$B$29:$B$40,MONTH(A3056)),INDEX(Settings!$B$29:$B$40,MONTH(A3056)))))</f>
        <v/>
      </c>
    </row>
    <row r="3057" customFormat="false" ht="15" hidden="false" customHeight="false" outlineLevel="0" collapsed="false">
      <c r="H3057" s="0" t="str">
        <f aca="false">IF(B3057="","",IF(COUNTIF(Campaigns!$A$7:$A$300,B3057)&gt;0,"✓","⚠ add to Campaigns tab"))</f>
        <v/>
      </c>
      <c r="I3057" s="84" t="str">
        <f aca="false">IF(C3057="","",C3057*IF(Settings!$B$23=Settings!$C$6,1,IF(Settings!$B$23="USD",1/INDEX(Settings!$B$29:$B$40,MONTH(A3057)),INDEX(Settings!$B$29:$B$40,MONTH(A3057)))))</f>
        <v/>
      </c>
    </row>
    <row r="3058" customFormat="false" ht="15" hidden="false" customHeight="false" outlineLevel="0" collapsed="false">
      <c r="H3058" s="0" t="str">
        <f aca="false">IF(B3058="","",IF(COUNTIF(Campaigns!$A$7:$A$300,B3058)&gt;0,"✓","⚠ add to Campaigns tab"))</f>
        <v/>
      </c>
      <c r="I3058" s="84" t="str">
        <f aca="false">IF(C3058="","",C3058*IF(Settings!$B$23=Settings!$C$6,1,IF(Settings!$B$23="USD",1/INDEX(Settings!$B$29:$B$40,MONTH(A3058)),INDEX(Settings!$B$29:$B$40,MONTH(A3058)))))</f>
        <v/>
      </c>
    </row>
    <row r="3059" customFormat="false" ht="15" hidden="false" customHeight="false" outlineLevel="0" collapsed="false">
      <c r="H3059" s="0" t="str">
        <f aca="false">IF(B3059="","",IF(COUNTIF(Campaigns!$A$7:$A$300,B3059)&gt;0,"✓","⚠ add to Campaigns tab"))</f>
        <v/>
      </c>
      <c r="I3059" s="84" t="str">
        <f aca="false">IF(C3059="","",C3059*IF(Settings!$B$23=Settings!$C$6,1,IF(Settings!$B$23="USD",1/INDEX(Settings!$B$29:$B$40,MONTH(A3059)),INDEX(Settings!$B$29:$B$40,MONTH(A3059)))))</f>
        <v/>
      </c>
    </row>
    <row r="3060" customFormat="false" ht="15" hidden="false" customHeight="false" outlineLevel="0" collapsed="false">
      <c r="H3060" s="0" t="str">
        <f aca="false">IF(B3060="","",IF(COUNTIF(Campaigns!$A$7:$A$300,B3060)&gt;0,"✓","⚠ add to Campaigns tab"))</f>
        <v/>
      </c>
      <c r="I3060" s="84" t="str">
        <f aca="false">IF(C3060="","",C3060*IF(Settings!$B$23=Settings!$C$6,1,IF(Settings!$B$23="USD",1/INDEX(Settings!$B$29:$B$40,MONTH(A3060)),INDEX(Settings!$B$29:$B$40,MONTH(A3060)))))</f>
        <v/>
      </c>
    </row>
    <row r="3061" customFormat="false" ht="15" hidden="false" customHeight="false" outlineLevel="0" collapsed="false">
      <c r="H3061" s="0" t="str">
        <f aca="false">IF(B3061="","",IF(COUNTIF(Campaigns!$A$7:$A$300,B3061)&gt;0,"✓","⚠ add to Campaigns tab"))</f>
        <v/>
      </c>
      <c r="I3061" s="84" t="str">
        <f aca="false">IF(C3061="","",C3061*IF(Settings!$B$23=Settings!$C$6,1,IF(Settings!$B$23="USD",1/INDEX(Settings!$B$29:$B$40,MONTH(A3061)),INDEX(Settings!$B$29:$B$40,MONTH(A3061)))))</f>
        <v/>
      </c>
    </row>
    <row r="3062" customFormat="false" ht="15" hidden="false" customHeight="false" outlineLevel="0" collapsed="false">
      <c r="H3062" s="0" t="str">
        <f aca="false">IF(B3062="","",IF(COUNTIF(Campaigns!$A$7:$A$300,B3062)&gt;0,"✓","⚠ add to Campaigns tab"))</f>
        <v/>
      </c>
      <c r="I3062" s="84" t="str">
        <f aca="false">IF(C3062="","",C3062*IF(Settings!$B$23=Settings!$C$6,1,IF(Settings!$B$23="USD",1/INDEX(Settings!$B$29:$B$40,MONTH(A3062)),INDEX(Settings!$B$29:$B$40,MONTH(A3062)))))</f>
        <v/>
      </c>
    </row>
    <row r="3063" customFormat="false" ht="15" hidden="false" customHeight="false" outlineLevel="0" collapsed="false">
      <c r="H3063" s="0" t="str">
        <f aca="false">IF(B3063="","",IF(COUNTIF(Campaigns!$A$7:$A$300,B3063)&gt;0,"✓","⚠ add to Campaigns tab"))</f>
        <v/>
      </c>
      <c r="I3063" s="84" t="str">
        <f aca="false">IF(C3063="","",C3063*IF(Settings!$B$23=Settings!$C$6,1,IF(Settings!$B$23="USD",1/INDEX(Settings!$B$29:$B$40,MONTH(A3063)),INDEX(Settings!$B$29:$B$40,MONTH(A3063)))))</f>
        <v/>
      </c>
    </row>
    <row r="3064" customFormat="false" ht="15" hidden="false" customHeight="false" outlineLevel="0" collapsed="false">
      <c r="H3064" s="0" t="str">
        <f aca="false">IF(B3064="","",IF(COUNTIF(Campaigns!$A$7:$A$300,B3064)&gt;0,"✓","⚠ add to Campaigns tab"))</f>
        <v/>
      </c>
      <c r="I3064" s="84" t="str">
        <f aca="false">IF(C3064="","",C3064*IF(Settings!$B$23=Settings!$C$6,1,IF(Settings!$B$23="USD",1/INDEX(Settings!$B$29:$B$40,MONTH(A3064)),INDEX(Settings!$B$29:$B$40,MONTH(A3064)))))</f>
        <v/>
      </c>
    </row>
    <row r="3065" customFormat="false" ht="15" hidden="false" customHeight="false" outlineLevel="0" collapsed="false">
      <c r="H3065" s="0" t="str">
        <f aca="false">IF(B3065="","",IF(COUNTIF(Campaigns!$A$7:$A$300,B3065)&gt;0,"✓","⚠ add to Campaigns tab"))</f>
        <v/>
      </c>
      <c r="I3065" s="84" t="str">
        <f aca="false">IF(C3065="","",C3065*IF(Settings!$B$23=Settings!$C$6,1,IF(Settings!$B$23="USD",1/INDEX(Settings!$B$29:$B$40,MONTH(A3065)),INDEX(Settings!$B$29:$B$40,MONTH(A3065)))))</f>
        <v/>
      </c>
    </row>
    <row r="3066" customFormat="false" ht="15" hidden="false" customHeight="false" outlineLevel="0" collapsed="false">
      <c r="H3066" s="0" t="str">
        <f aca="false">IF(B3066="","",IF(COUNTIF(Campaigns!$A$7:$A$300,B3066)&gt;0,"✓","⚠ add to Campaigns tab"))</f>
        <v/>
      </c>
      <c r="I3066" s="84" t="str">
        <f aca="false">IF(C3066="","",C3066*IF(Settings!$B$23=Settings!$C$6,1,IF(Settings!$B$23="USD",1/INDEX(Settings!$B$29:$B$40,MONTH(A3066)),INDEX(Settings!$B$29:$B$40,MONTH(A3066)))))</f>
        <v/>
      </c>
    </row>
    <row r="3067" customFormat="false" ht="15" hidden="false" customHeight="false" outlineLevel="0" collapsed="false">
      <c r="H3067" s="0" t="str">
        <f aca="false">IF(B3067="","",IF(COUNTIF(Campaigns!$A$7:$A$300,B3067)&gt;0,"✓","⚠ add to Campaigns tab"))</f>
        <v/>
      </c>
      <c r="I3067" s="84" t="str">
        <f aca="false">IF(C3067="","",C3067*IF(Settings!$B$23=Settings!$C$6,1,IF(Settings!$B$23="USD",1/INDEX(Settings!$B$29:$B$40,MONTH(A3067)),INDEX(Settings!$B$29:$B$40,MONTH(A3067)))))</f>
        <v/>
      </c>
    </row>
    <row r="3068" customFormat="false" ht="15" hidden="false" customHeight="false" outlineLevel="0" collapsed="false">
      <c r="H3068" s="0" t="str">
        <f aca="false">IF(B3068="","",IF(COUNTIF(Campaigns!$A$7:$A$300,B3068)&gt;0,"✓","⚠ add to Campaigns tab"))</f>
        <v/>
      </c>
      <c r="I3068" s="84" t="str">
        <f aca="false">IF(C3068="","",C3068*IF(Settings!$B$23=Settings!$C$6,1,IF(Settings!$B$23="USD",1/INDEX(Settings!$B$29:$B$40,MONTH(A3068)),INDEX(Settings!$B$29:$B$40,MONTH(A3068)))))</f>
        <v/>
      </c>
    </row>
    <row r="3069" customFormat="false" ht="15" hidden="false" customHeight="false" outlineLevel="0" collapsed="false">
      <c r="H3069" s="0" t="str">
        <f aca="false">IF(B3069="","",IF(COUNTIF(Campaigns!$A$7:$A$300,B3069)&gt;0,"✓","⚠ add to Campaigns tab"))</f>
        <v/>
      </c>
      <c r="I3069" s="84" t="str">
        <f aca="false">IF(C3069="","",C3069*IF(Settings!$B$23=Settings!$C$6,1,IF(Settings!$B$23="USD",1/INDEX(Settings!$B$29:$B$40,MONTH(A3069)),INDEX(Settings!$B$29:$B$40,MONTH(A3069)))))</f>
        <v/>
      </c>
    </row>
    <row r="3070" customFormat="false" ht="15" hidden="false" customHeight="false" outlineLevel="0" collapsed="false">
      <c r="H3070" s="0" t="str">
        <f aca="false">IF(B3070="","",IF(COUNTIF(Campaigns!$A$7:$A$300,B3070)&gt;0,"✓","⚠ add to Campaigns tab"))</f>
        <v/>
      </c>
      <c r="I3070" s="84" t="str">
        <f aca="false">IF(C3070="","",C3070*IF(Settings!$B$23=Settings!$C$6,1,IF(Settings!$B$23="USD",1/INDEX(Settings!$B$29:$B$40,MONTH(A3070)),INDEX(Settings!$B$29:$B$40,MONTH(A3070)))))</f>
        <v/>
      </c>
    </row>
    <row r="3071" customFormat="false" ht="15" hidden="false" customHeight="false" outlineLevel="0" collapsed="false">
      <c r="H3071" s="0" t="str">
        <f aca="false">IF(B3071="","",IF(COUNTIF(Campaigns!$A$7:$A$300,B3071)&gt;0,"✓","⚠ add to Campaigns tab"))</f>
        <v/>
      </c>
      <c r="I3071" s="84" t="str">
        <f aca="false">IF(C3071="","",C3071*IF(Settings!$B$23=Settings!$C$6,1,IF(Settings!$B$23="USD",1/INDEX(Settings!$B$29:$B$40,MONTH(A3071)),INDEX(Settings!$B$29:$B$40,MONTH(A3071)))))</f>
        <v/>
      </c>
    </row>
    <row r="3072" customFormat="false" ht="15" hidden="false" customHeight="false" outlineLevel="0" collapsed="false">
      <c r="H3072" s="0" t="str">
        <f aca="false">IF(B3072="","",IF(COUNTIF(Campaigns!$A$7:$A$300,B3072)&gt;0,"✓","⚠ add to Campaigns tab"))</f>
        <v/>
      </c>
      <c r="I3072" s="84" t="str">
        <f aca="false">IF(C3072="","",C3072*IF(Settings!$B$23=Settings!$C$6,1,IF(Settings!$B$23="USD",1/INDEX(Settings!$B$29:$B$40,MONTH(A3072)),INDEX(Settings!$B$29:$B$40,MONTH(A3072)))))</f>
        <v/>
      </c>
    </row>
    <row r="3073" customFormat="false" ht="15" hidden="false" customHeight="false" outlineLevel="0" collapsed="false">
      <c r="H3073" s="0" t="str">
        <f aca="false">IF(B3073="","",IF(COUNTIF(Campaigns!$A$7:$A$300,B3073)&gt;0,"✓","⚠ add to Campaigns tab"))</f>
        <v/>
      </c>
      <c r="I3073" s="84" t="str">
        <f aca="false">IF(C3073="","",C3073*IF(Settings!$B$23=Settings!$C$6,1,IF(Settings!$B$23="USD",1/INDEX(Settings!$B$29:$B$40,MONTH(A3073)),INDEX(Settings!$B$29:$B$40,MONTH(A3073)))))</f>
        <v/>
      </c>
    </row>
    <row r="3074" customFormat="false" ht="15" hidden="false" customHeight="false" outlineLevel="0" collapsed="false">
      <c r="H3074" s="0" t="str">
        <f aca="false">IF(B3074="","",IF(COUNTIF(Campaigns!$A$7:$A$300,B3074)&gt;0,"✓","⚠ add to Campaigns tab"))</f>
        <v/>
      </c>
      <c r="I3074" s="84" t="str">
        <f aca="false">IF(C3074="","",C3074*IF(Settings!$B$23=Settings!$C$6,1,IF(Settings!$B$23="USD",1/INDEX(Settings!$B$29:$B$40,MONTH(A3074)),INDEX(Settings!$B$29:$B$40,MONTH(A3074)))))</f>
        <v/>
      </c>
    </row>
    <row r="3075" customFormat="false" ht="15" hidden="false" customHeight="false" outlineLevel="0" collapsed="false">
      <c r="H3075" s="0" t="str">
        <f aca="false">IF(B3075="","",IF(COUNTIF(Campaigns!$A$7:$A$300,B3075)&gt;0,"✓","⚠ add to Campaigns tab"))</f>
        <v/>
      </c>
      <c r="I3075" s="84" t="str">
        <f aca="false">IF(C3075="","",C3075*IF(Settings!$B$23=Settings!$C$6,1,IF(Settings!$B$23="USD",1/INDEX(Settings!$B$29:$B$40,MONTH(A3075)),INDEX(Settings!$B$29:$B$40,MONTH(A3075)))))</f>
        <v/>
      </c>
    </row>
    <row r="3076" customFormat="false" ht="15" hidden="false" customHeight="false" outlineLevel="0" collapsed="false">
      <c r="H3076" s="0" t="str">
        <f aca="false">IF(B3076="","",IF(COUNTIF(Campaigns!$A$7:$A$300,B3076)&gt;0,"✓","⚠ add to Campaigns tab"))</f>
        <v/>
      </c>
      <c r="I3076" s="84" t="str">
        <f aca="false">IF(C3076="","",C3076*IF(Settings!$B$23=Settings!$C$6,1,IF(Settings!$B$23="USD",1/INDEX(Settings!$B$29:$B$40,MONTH(A3076)),INDEX(Settings!$B$29:$B$40,MONTH(A3076)))))</f>
        <v/>
      </c>
    </row>
    <row r="3077" customFormat="false" ht="15" hidden="false" customHeight="false" outlineLevel="0" collapsed="false">
      <c r="H3077" s="0" t="str">
        <f aca="false">IF(B3077="","",IF(COUNTIF(Campaigns!$A$7:$A$300,B3077)&gt;0,"✓","⚠ add to Campaigns tab"))</f>
        <v/>
      </c>
      <c r="I3077" s="84" t="str">
        <f aca="false">IF(C3077="","",C3077*IF(Settings!$B$23=Settings!$C$6,1,IF(Settings!$B$23="USD",1/INDEX(Settings!$B$29:$B$40,MONTH(A3077)),INDEX(Settings!$B$29:$B$40,MONTH(A3077)))))</f>
        <v/>
      </c>
    </row>
    <row r="3078" customFormat="false" ht="15" hidden="false" customHeight="false" outlineLevel="0" collapsed="false">
      <c r="H3078" s="0" t="str">
        <f aca="false">IF(B3078="","",IF(COUNTIF(Campaigns!$A$7:$A$300,B3078)&gt;0,"✓","⚠ add to Campaigns tab"))</f>
        <v/>
      </c>
      <c r="I3078" s="84" t="str">
        <f aca="false">IF(C3078="","",C3078*IF(Settings!$B$23=Settings!$C$6,1,IF(Settings!$B$23="USD",1/INDEX(Settings!$B$29:$B$40,MONTH(A3078)),INDEX(Settings!$B$29:$B$40,MONTH(A3078)))))</f>
        <v/>
      </c>
    </row>
    <row r="3079" customFormat="false" ht="15" hidden="false" customHeight="false" outlineLevel="0" collapsed="false">
      <c r="H3079" s="0" t="str">
        <f aca="false">IF(B3079="","",IF(COUNTIF(Campaigns!$A$7:$A$300,B3079)&gt;0,"✓","⚠ add to Campaigns tab"))</f>
        <v/>
      </c>
      <c r="I3079" s="84" t="str">
        <f aca="false">IF(C3079="","",C3079*IF(Settings!$B$23=Settings!$C$6,1,IF(Settings!$B$23="USD",1/INDEX(Settings!$B$29:$B$40,MONTH(A3079)),INDEX(Settings!$B$29:$B$40,MONTH(A3079)))))</f>
        <v/>
      </c>
    </row>
    <row r="3080" customFormat="false" ht="15" hidden="false" customHeight="false" outlineLevel="0" collapsed="false">
      <c r="H3080" s="0" t="str">
        <f aca="false">IF(B3080="","",IF(COUNTIF(Campaigns!$A$7:$A$300,B3080)&gt;0,"✓","⚠ add to Campaigns tab"))</f>
        <v/>
      </c>
      <c r="I3080" s="84" t="str">
        <f aca="false">IF(C3080="","",C3080*IF(Settings!$B$23=Settings!$C$6,1,IF(Settings!$B$23="USD",1/INDEX(Settings!$B$29:$B$40,MONTH(A3080)),INDEX(Settings!$B$29:$B$40,MONTH(A3080)))))</f>
        <v/>
      </c>
    </row>
    <row r="3081" customFormat="false" ht="15" hidden="false" customHeight="false" outlineLevel="0" collapsed="false">
      <c r="H3081" s="0" t="str">
        <f aca="false">IF(B3081="","",IF(COUNTIF(Campaigns!$A$7:$A$300,B3081)&gt;0,"✓","⚠ add to Campaigns tab"))</f>
        <v/>
      </c>
      <c r="I3081" s="84" t="str">
        <f aca="false">IF(C3081="","",C3081*IF(Settings!$B$23=Settings!$C$6,1,IF(Settings!$B$23="USD",1/INDEX(Settings!$B$29:$B$40,MONTH(A3081)),INDEX(Settings!$B$29:$B$40,MONTH(A3081)))))</f>
        <v/>
      </c>
    </row>
    <row r="3082" customFormat="false" ht="15" hidden="false" customHeight="false" outlineLevel="0" collapsed="false">
      <c r="H3082" s="0" t="str">
        <f aca="false">IF(B3082="","",IF(COUNTIF(Campaigns!$A$7:$A$300,B3082)&gt;0,"✓","⚠ add to Campaigns tab"))</f>
        <v/>
      </c>
      <c r="I3082" s="84" t="str">
        <f aca="false">IF(C3082="","",C3082*IF(Settings!$B$23=Settings!$C$6,1,IF(Settings!$B$23="USD",1/INDEX(Settings!$B$29:$B$40,MONTH(A3082)),INDEX(Settings!$B$29:$B$40,MONTH(A3082)))))</f>
        <v/>
      </c>
    </row>
    <row r="3083" customFormat="false" ht="15" hidden="false" customHeight="false" outlineLevel="0" collapsed="false">
      <c r="H3083" s="0" t="str">
        <f aca="false">IF(B3083="","",IF(COUNTIF(Campaigns!$A$7:$A$300,B3083)&gt;0,"✓","⚠ add to Campaigns tab"))</f>
        <v/>
      </c>
      <c r="I3083" s="84" t="str">
        <f aca="false">IF(C3083="","",C3083*IF(Settings!$B$23=Settings!$C$6,1,IF(Settings!$B$23="USD",1/INDEX(Settings!$B$29:$B$40,MONTH(A3083)),INDEX(Settings!$B$29:$B$40,MONTH(A3083)))))</f>
        <v/>
      </c>
    </row>
    <row r="3084" customFormat="false" ht="15" hidden="false" customHeight="false" outlineLevel="0" collapsed="false">
      <c r="H3084" s="0" t="str">
        <f aca="false">IF(B3084="","",IF(COUNTIF(Campaigns!$A$7:$A$300,B3084)&gt;0,"✓","⚠ add to Campaigns tab"))</f>
        <v/>
      </c>
      <c r="I3084" s="84" t="str">
        <f aca="false">IF(C3084="","",C3084*IF(Settings!$B$23=Settings!$C$6,1,IF(Settings!$B$23="USD",1/INDEX(Settings!$B$29:$B$40,MONTH(A3084)),INDEX(Settings!$B$29:$B$40,MONTH(A3084)))))</f>
        <v/>
      </c>
    </row>
    <row r="3085" customFormat="false" ht="15" hidden="false" customHeight="false" outlineLevel="0" collapsed="false">
      <c r="H3085" s="0" t="str">
        <f aca="false">IF(B3085="","",IF(COUNTIF(Campaigns!$A$7:$A$300,B3085)&gt;0,"✓","⚠ add to Campaigns tab"))</f>
        <v/>
      </c>
      <c r="I3085" s="84" t="str">
        <f aca="false">IF(C3085="","",C3085*IF(Settings!$B$23=Settings!$C$6,1,IF(Settings!$B$23="USD",1/INDEX(Settings!$B$29:$B$40,MONTH(A3085)),INDEX(Settings!$B$29:$B$40,MONTH(A3085)))))</f>
        <v/>
      </c>
    </row>
    <row r="3086" customFormat="false" ht="15" hidden="false" customHeight="false" outlineLevel="0" collapsed="false">
      <c r="H3086" s="0" t="str">
        <f aca="false">IF(B3086="","",IF(COUNTIF(Campaigns!$A$7:$A$300,B3086)&gt;0,"✓","⚠ add to Campaigns tab"))</f>
        <v/>
      </c>
      <c r="I3086" s="84" t="str">
        <f aca="false">IF(C3086="","",C3086*IF(Settings!$B$23=Settings!$C$6,1,IF(Settings!$B$23="USD",1/INDEX(Settings!$B$29:$B$40,MONTH(A3086)),INDEX(Settings!$B$29:$B$40,MONTH(A3086)))))</f>
        <v/>
      </c>
    </row>
    <row r="3087" customFormat="false" ht="15" hidden="false" customHeight="false" outlineLevel="0" collapsed="false">
      <c r="H3087" s="0" t="str">
        <f aca="false">IF(B3087="","",IF(COUNTIF(Campaigns!$A$7:$A$300,B3087)&gt;0,"✓","⚠ add to Campaigns tab"))</f>
        <v/>
      </c>
      <c r="I3087" s="84" t="str">
        <f aca="false">IF(C3087="","",C3087*IF(Settings!$B$23=Settings!$C$6,1,IF(Settings!$B$23="USD",1/INDEX(Settings!$B$29:$B$40,MONTH(A3087)),INDEX(Settings!$B$29:$B$40,MONTH(A3087)))))</f>
        <v/>
      </c>
    </row>
    <row r="3088" customFormat="false" ht="15" hidden="false" customHeight="false" outlineLevel="0" collapsed="false">
      <c r="H3088" s="0" t="str">
        <f aca="false">IF(B3088="","",IF(COUNTIF(Campaigns!$A$7:$A$300,B3088)&gt;0,"✓","⚠ add to Campaigns tab"))</f>
        <v/>
      </c>
      <c r="I3088" s="84" t="str">
        <f aca="false">IF(C3088="","",C3088*IF(Settings!$B$23=Settings!$C$6,1,IF(Settings!$B$23="USD",1/INDEX(Settings!$B$29:$B$40,MONTH(A3088)),INDEX(Settings!$B$29:$B$40,MONTH(A3088)))))</f>
        <v/>
      </c>
    </row>
    <row r="3089" customFormat="false" ht="15" hidden="false" customHeight="false" outlineLevel="0" collapsed="false">
      <c r="H3089" s="0" t="str">
        <f aca="false">IF(B3089="","",IF(COUNTIF(Campaigns!$A$7:$A$300,B3089)&gt;0,"✓","⚠ add to Campaigns tab"))</f>
        <v/>
      </c>
      <c r="I3089" s="84" t="str">
        <f aca="false">IF(C3089="","",C3089*IF(Settings!$B$23=Settings!$C$6,1,IF(Settings!$B$23="USD",1/INDEX(Settings!$B$29:$B$40,MONTH(A3089)),INDEX(Settings!$B$29:$B$40,MONTH(A3089)))))</f>
        <v/>
      </c>
    </row>
    <row r="3090" customFormat="false" ht="15" hidden="false" customHeight="false" outlineLevel="0" collapsed="false">
      <c r="H3090" s="0" t="str">
        <f aca="false">IF(B3090="","",IF(COUNTIF(Campaigns!$A$7:$A$300,B3090)&gt;0,"✓","⚠ add to Campaigns tab"))</f>
        <v/>
      </c>
      <c r="I3090" s="84" t="str">
        <f aca="false">IF(C3090="","",C3090*IF(Settings!$B$23=Settings!$C$6,1,IF(Settings!$B$23="USD",1/INDEX(Settings!$B$29:$B$40,MONTH(A3090)),INDEX(Settings!$B$29:$B$40,MONTH(A3090)))))</f>
        <v/>
      </c>
    </row>
    <row r="3091" customFormat="false" ht="15" hidden="false" customHeight="false" outlineLevel="0" collapsed="false">
      <c r="H3091" s="0" t="str">
        <f aca="false">IF(B3091="","",IF(COUNTIF(Campaigns!$A$7:$A$300,B3091)&gt;0,"✓","⚠ add to Campaigns tab"))</f>
        <v/>
      </c>
      <c r="I3091" s="84" t="str">
        <f aca="false">IF(C3091="","",C3091*IF(Settings!$B$23=Settings!$C$6,1,IF(Settings!$B$23="USD",1/INDEX(Settings!$B$29:$B$40,MONTH(A3091)),INDEX(Settings!$B$29:$B$40,MONTH(A3091)))))</f>
        <v/>
      </c>
    </row>
    <row r="3092" customFormat="false" ht="15" hidden="false" customHeight="false" outlineLevel="0" collapsed="false">
      <c r="H3092" s="0" t="str">
        <f aca="false">IF(B3092="","",IF(COUNTIF(Campaigns!$A$7:$A$300,B3092)&gt;0,"✓","⚠ add to Campaigns tab"))</f>
        <v/>
      </c>
      <c r="I3092" s="84" t="str">
        <f aca="false">IF(C3092="","",C3092*IF(Settings!$B$23=Settings!$C$6,1,IF(Settings!$B$23="USD",1/INDEX(Settings!$B$29:$B$40,MONTH(A3092)),INDEX(Settings!$B$29:$B$40,MONTH(A3092)))))</f>
        <v/>
      </c>
    </row>
    <row r="3093" customFormat="false" ht="15" hidden="false" customHeight="false" outlineLevel="0" collapsed="false">
      <c r="H3093" s="0" t="str">
        <f aca="false">IF(B3093="","",IF(COUNTIF(Campaigns!$A$7:$A$300,B3093)&gt;0,"✓","⚠ add to Campaigns tab"))</f>
        <v/>
      </c>
      <c r="I3093" s="84" t="str">
        <f aca="false">IF(C3093="","",C3093*IF(Settings!$B$23=Settings!$C$6,1,IF(Settings!$B$23="USD",1/INDEX(Settings!$B$29:$B$40,MONTH(A3093)),INDEX(Settings!$B$29:$B$40,MONTH(A3093)))))</f>
        <v/>
      </c>
    </row>
    <row r="3094" customFormat="false" ht="15" hidden="false" customHeight="false" outlineLevel="0" collapsed="false">
      <c r="H3094" s="0" t="str">
        <f aca="false">IF(B3094="","",IF(COUNTIF(Campaigns!$A$7:$A$300,B3094)&gt;0,"✓","⚠ add to Campaigns tab"))</f>
        <v/>
      </c>
      <c r="I3094" s="84" t="str">
        <f aca="false">IF(C3094="","",C3094*IF(Settings!$B$23=Settings!$C$6,1,IF(Settings!$B$23="USD",1/INDEX(Settings!$B$29:$B$40,MONTH(A3094)),INDEX(Settings!$B$29:$B$40,MONTH(A3094)))))</f>
        <v/>
      </c>
    </row>
    <row r="3095" customFormat="false" ht="15" hidden="false" customHeight="false" outlineLevel="0" collapsed="false">
      <c r="H3095" s="0" t="str">
        <f aca="false">IF(B3095="","",IF(COUNTIF(Campaigns!$A$7:$A$300,B3095)&gt;0,"✓","⚠ add to Campaigns tab"))</f>
        <v/>
      </c>
      <c r="I3095" s="84" t="str">
        <f aca="false">IF(C3095="","",C3095*IF(Settings!$B$23=Settings!$C$6,1,IF(Settings!$B$23="USD",1/INDEX(Settings!$B$29:$B$40,MONTH(A3095)),INDEX(Settings!$B$29:$B$40,MONTH(A3095)))))</f>
        <v/>
      </c>
    </row>
    <row r="3096" customFormat="false" ht="15" hidden="false" customHeight="false" outlineLevel="0" collapsed="false">
      <c r="H3096" s="0" t="str">
        <f aca="false">IF(B3096="","",IF(COUNTIF(Campaigns!$A$7:$A$300,B3096)&gt;0,"✓","⚠ add to Campaigns tab"))</f>
        <v/>
      </c>
      <c r="I3096" s="84" t="str">
        <f aca="false">IF(C3096="","",C3096*IF(Settings!$B$23=Settings!$C$6,1,IF(Settings!$B$23="USD",1/INDEX(Settings!$B$29:$B$40,MONTH(A3096)),INDEX(Settings!$B$29:$B$40,MONTH(A3096)))))</f>
        <v/>
      </c>
    </row>
    <row r="3097" customFormat="false" ht="15" hidden="false" customHeight="false" outlineLevel="0" collapsed="false">
      <c r="H3097" s="0" t="str">
        <f aca="false">IF(B3097="","",IF(COUNTIF(Campaigns!$A$7:$A$300,B3097)&gt;0,"✓","⚠ add to Campaigns tab"))</f>
        <v/>
      </c>
      <c r="I3097" s="84" t="str">
        <f aca="false">IF(C3097="","",C3097*IF(Settings!$B$23=Settings!$C$6,1,IF(Settings!$B$23="USD",1/INDEX(Settings!$B$29:$B$40,MONTH(A3097)),INDEX(Settings!$B$29:$B$40,MONTH(A3097)))))</f>
        <v/>
      </c>
    </row>
    <row r="3098" customFormat="false" ht="15" hidden="false" customHeight="false" outlineLevel="0" collapsed="false">
      <c r="H3098" s="0" t="str">
        <f aca="false">IF(B3098="","",IF(COUNTIF(Campaigns!$A$7:$A$300,B3098)&gt;0,"✓","⚠ add to Campaigns tab"))</f>
        <v/>
      </c>
      <c r="I3098" s="84" t="str">
        <f aca="false">IF(C3098="","",C3098*IF(Settings!$B$23=Settings!$C$6,1,IF(Settings!$B$23="USD",1/INDEX(Settings!$B$29:$B$40,MONTH(A3098)),INDEX(Settings!$B$29:$B$40,MONTH(A3098)))))</f>
        <v/>
      </c>
    </row>
    <row r="3099" customFormat="false" ht="15" hidden="false" customHeight="false" outlineLevel="0" collapsed="false">
      <c r="H3099" s="0" t="str">
        <f aca="false">IF(B3099="","",IF(COUNTIF(Campaigns!$A$7:$A$300,B3099)&gt;0,"✓","⚠ add to Campaigns tab"))</f>
        <v/>
      </c>
      <c r="I3099" s="84" t="str">
        <f aca="false">IF(C3099="","",C3099*IF(Settings!$B$23=Settings!$C$6,1,IF(Settings!$B$23="USD",1/INDEX(Settings!$B$29:$B$40,MONTH(A3099)),INDEX(Settings!$B$29:$B$40,MONTH(A3099)))))</f>
        <v/>
      </c>
    </row>
    <row r="3100" customFormat="false" ht="15" hidden="false" customHeight="false" outlineLevel="0" collapsed="false">
      <c r="H3100" s="0" t="str">
        <f aca="false">IF(B3100="","",IF(COUNTIF(Campaigns!$A$7:$A$300,B3100)&gt;0,"✓","⚠ add to Campaigns tab"))</f>
        <v/>
      </c>
      <c r="I3100" s="84" t="str">
        <f aca="false">IF(C3100="","",C3100*IF(Settings!$B$23=Settings!$C$6,1,IF(Settings!$B$23="USD",1/INDEX(Settings!$B$29:$B$40,MONTH(A3100)),INDEX(Settings!$B$29:$B$40,MONTH(A3100)))))</f>
        <v/>
      </c>
    </row>
    <row r="3101" customFormat="false" ht="15" hidden="false" customHeight="false" outlineLevel="0" collapsed="false">
      <c r="H3101" s="0" t="str">
        <f aca="false">IF(B3101="","",IF(COUNTIF(Campaigns!$A$7:$A$300,B3101)&gt;0,"✓","⚠ add to Campaigns tab"))</f>
        <v/>
      </c>
      <c r="I3101" s="84" t="str">
        <f aca="false">IF(C3101="","",C3101*IF(Settings!$B$23=Settings!$C$6,1,IF(Settings!$B$23="USD",1/INDEX(Settings!$B$29:$B$40,MONTH(A3101)),INDEX(Settings!$B$29:$B$40,MONTH(A3101)))))</f>
        <v/>
      </c>
    </row>
    <row r="3102" customFormat="false" ht="15" hidden="false" customHeight="false" outlineLevel="0" collapsed="false">
      <c r="H3102" s="0" t="str">
        <f aca="false">IF(B3102="","",IF(COUNTIF(Campaigns!$A$7:$A$300,B3102)&gt;0,"✓","⚠ add to Campaigns tab"))</f>
        <v/>
      </c>
      <c r="I3102" s="84" t="str">
        <f aca="false">IF(C3102="","",C3102*IF(Settings!$B$23=Settings!$C$6,1,IF(Settings!$B$23="USD",1/INDEX(Settings!$B$29:$B$40,MONTH(A3102)),INDEX(Settings!$B$29:$B$40,MONTH(A3102)))))</f>
        <v/>
      </c>
    </row>
    <row r="3103" customFormat="false" ht="15" hidden="false" customHeight="false" outlineLevel="0" collapsed="false">
      <c r="H3103" s="0" t="str">
        <f aca="false">IF(B3103="","",IF(COUNTIF(Campaigns!$A$7:$A$300,B3103)&gt;0,"✓","⚠ add to Campaigns tab"))</f>
        <v/>
      </c>
      <c r="I3103" s="84" t="str">
        <f aca="false">IF(C3103="","",C3103*IF(Settings!$B$23=Settings!$C$6,1,IF(Settings!$B$23="USD",1/INDEX(Settings!$B$29:$B$40,MONTH(A3103)),INDEX(Settings!$B$29:$B$40,MONTH(A3103)))))</f>
        <v/>
      </c>
    </row>
    <row r="3104" customFormat="false" ht="15" hidden="false" customHeight="false" outlineLevel="0" collapsed="false">
      <c r="H3104" s="0" t="str">
        <f aca="false">IF(B3104="","",IF(COUNTIF(Campaigns!$A$7:$A$300,B3104)&gt;0,"✓","⚠ add to Campaigns tab"))</f>
        <v/>
      </c>
      <c r="I3104" s="84" t="str">
        <f aca="false">IF(C3104="","",C3104*IF(Settings!$B$23=Settings!$C$6,1,IF(Settings!$B$23="USD",1/INDEX(Settings!$B$29:$B$40,MONTH(A3104)),INDEX(Settings!$B$29:$B$40,MONTH(A3104)))))</f>
        <v/>
      </c>
    </row>
    <row r="3105" customFormat="false" ht="15" hidden="false" customHeight="false" outlineLevel="0" collapsed="false">
      <c r="H3105" s="0" t="str">
        <f aca="false">IF(B3105="","",IF(COUNTIF(Campaigns!$A$7:$A$300,B3105)&gt;0,"✓","⚠ add to Campaigns tab"))</f>
        <v/>
      </c>
      <c r="I3105" s="84" t="str">
        <f aca="false">IF(C3105="","",C3105*IF(Settings!$B$23=Settings!$C$6,1,IF(Settings!$B$23="USD",1/INDEX(Settings!$B$29:$B$40,MONTH(A3105)),INDEX(Settings!$B$29:$B$40,MONTH(A3105)))))</f>
        <v/>
      </c>
    </row>
    <row r="3106" customFormat="false" ht="15" hidden="false" customHeight="false" outlineLevel="0" collapsed="false">
      <c r="H3106" s="0" t="str">
        <f aca="false">IF(B3106="","",IF(COUNTIF(Campaigns!$A$7:$A$300,B3106)&gt;0,"✓","⚠ add to Campaigns tab"))</f>
        <v/>
      </c>
      <c r="I3106" s="84" t="str">
        <f aca="false">IF(C3106="","",C3106*IF(Settings!$B$23=Settings!$C$6,1,IF(Settings!$B$23="USD",1/INDEX(Settings!$B$29:$B$40,MONTH(A3106)),INDEX(Settings!$B$29:$B$40,MONTH(A3106)))))</f>
        <v/>
      </c>
    </row>
    <row r="3107" customFormat="false" ht="15" hidden="false" customHeight="false" outlineLevel="0" collapsed="false">
      <c r="H3107" s="0" t="str">
        <f aca="false">IF(B3107="","",IF(COUNTIF(Campaigns!$A$7:$A$300,B3107)&gt;0,"✓","⚠ add to Campaigns tab"))</f>
        <v/>
      </c>
      <c r="I3107" s="84" t="str">
        <f aca="false">IF(C3107="","",C3107*IF(Settings!$B$23=Settings!$C$6,1,IF(Settings!$B$23="USD",1/INDEX(Settings!$B$29:$B$40,MONTH(A3107)),INDEX(Settings!$B$29:$B$40,MONTH(A3107)))))</f>
        <v/>
      </c>
    </row>
    <row r="3108" customFormat="false" ht="15" hidden="false" customHeight="false" outlineLevel="0" collapsed="false">
      <c r="H3108" s="0" t="str">
        <f aca="false">IF(B3108="","",IF(COUNTIF(Campaigns!$A$7:$A$300,B3108)&gt;0,"✓","⚠ add to Campaigns tab"))</f>
        <v/>
      </c>
      <c r="I3108" s="84" t="str">
        <f aca="false">IF(C3108="","",C3108*IF(Settings!$B$23=Settings!$C$6,1,IF(Settings!$B$23="USD",1/INDEX(Settings!$B$29:$B$40,MONTH(A3108)),INDEX(Settings!$B$29:$B$40,MONTH(A3108)))))</f>
        <v/>
      </c>
    </row>
    <row r="3109" customFormat="false" ht="15" hidden="false" customHeight="false" outlineLevel="0" collapsed="false">
      <c r="H3109" s="0" t="str">
        <f aca="false">IF(B3109="","",IF(COUNTIF(Campaigns!$A$7:$A$300,B3109)&gt;0,"✓","⚠ add to Campaigns tab"))</f>
        <v/>
      </c>
      <c r="I3109" s="84" t="str">
        <f aca="false">IF(C3109="","",C3109*IF(Settings!$B$23=Settings!$C$6,1,IF(Settings!$B$23="USD",1/INDEX(Settings!$B$29:$B$40,MONTH(A3109)),INDEX(Settings!$B$29:$B$40,MONTH(A3109)))))</f>
        <v/>
      </c>
    </row>
    <row r="3110" customFormat="false" ht="15" hidden="false" customHeight="false" outlineLevel="0" collapsed="false">
      <c r="H3110" s="0" t="str">
        <f aca="false">IF(B3110="","",IF(COUNTIF(Campaigns!$A$7:$A$300,B3110)&gt;0,"✓","⚠ add to Campaigns tab"))</f>
        <v/>
      </c>
      <c r="I3110" s="84" t="str">
        <f aca="false">IF(C3110="","",C3110*IF(Settings!$B$23=Settings!$C$6,1,IF(Settings!$B$23="USD",1/INDEX(Settings!$B$29:$B$40,MONTH(A3110)),INDEX(Settings!$B$29:$B$40,MONTH(A3110)))))</f>
        <v/>
      </c>
    </row>
    <row r="3111" customFormat="false" ht="15" hidden="false" customHeight="false" outlineLevel="0" collapsed="false">
      <c r="H3111" s="0" t="str">
        <f aca="false">IF(B3111="","",IF(COUNTIF(Campaigns!$A$7:$A$300,B3111)&gt;0,"✓","⚠ add to Campaigns tab"))</f>
        <v/>
      </c>
      <c r="I3111" s="84" t="str">
        <f aca="false">IF(C3111="","",C3111*IF(Settings!$B$23=Settings!$C$6,1,IF(Settings!$B$23="USD",1/INDEX(Settings!$B$29:$B$40,MONTH(A3111)),INDEX(Settings!$B$29:$B$40,MONTH(A3111)))))</f>
        <v/>
      </c>
    </row>
    <row r="3112" customFormat="false" ht="15" hidden="false" customHeight="false" outlineLevel="0" collapsed="false">
      <c r="H3112" s="0" t="str">
        <f aca="false">IF(B3112="","",IF(COUNTIF(Campaigns!$A$7:$A$300,B3112)&gt;0,"✓","⚠ add to Campaigns tab"))</f>
        <v/>
      </c>
      <c r="I3112" s="84" t="str">
        <f aca="false">IF(C3112="","",C3112*IF(Settings!$B$23=Settings!$C$6,1,IF(Settings!$B$23="USD",1/INDEX(Settings!$B$29:$B$40,MONTH(A3112)),INDEX(Settings!$B$29:$B$40,MONTH(A3112)))))</f>
        <v/>
      </c>
    </row>
    <row r="3113" customFormat="false" ht="15" hidden="false" customHeight="false" outlineLevel="0" collapsed="false">
      <c r="H3113" s="0" t="str">
        <f aca="false">IF(B3113="","",IF(COUNTIF(Campaigns!$A$7:$A$300,B3113)&gt;0,"✓","⚠ add to Campaigns tab"))</f>
        <v/>
      </c>
      <c r="I3113" s="84" t="str">
        <f aca="false">IF(C3113="","",C3113*IF(Settings!$B$23=Settings!$C$6,1,IF(Settings!$B$23="USD",1/INDEX(Settings!$B$29:$B$40,MONTH(A3113)),INDEX(Settings!$B$29:$B$40,MONTH(A3113)))))</f>
        <v/>
      </c>
    </row>
    <row r="3114" customFormat="false" ht="15" hidden="false" customHeight="false" outlineLevel="0" collapsed="false">
      <c r="H3114" s="0" t="str">
        <f aca="false">IF(B3114="","",IF(COUNTIF(Campaigns!$A$7:$A$300,B3114)&gt;0,"✓","⚠ add to Campaigns tab"))</f>
        <v/>
      </c>
      <c r="I3114" s="84" t="str">
        <f aca="false">IF(C3114="","",C3114*IF(Settings!$B$23=Settings!$C$6,1,IF(Settings!$B$23="USD",1/INDEX(Settings!$B$29:$B$40,MONTH(A3114)),INDEX(Settings!$B$29:$B$40,MONTH(A3114)))))</f>
        <v/>
      </c>
    </row>
    <row r="3115" customFormat="false" ht="15" hidden="false" customHeight="false" outlineLevel="0" collapsed="false">
      <c r="H3115" s="0" t="str">
        <f aca="false">IF(B3115="","",IF(COUNTIF(Campaigns!$A$7:$A$300,B3115)&gt;0,"✓","⚠ add to Campaigns tab"))</f>
        <v/>
      </c>
      <c r="I3115" s="84" t="str">
        <f aca="false">IF(C3115="","",C3115*IF(Settings!$B$23=Settings!$C$6,1,IF(Settings!$B$23="USD",1/INDEX(Settings!$B$29:$B$40,MONTH(A3115)),INDEX(Settings!$B$29:$B$40,MONTH(A3115)))))</f>
        <v/>
      </c>
    </row>
    <row r="3116" customFormat="false" ht="15" hidden="false" customHeight="false" outlineLevel="0" collapsed="false">
      <c r="H3116" s="0" t="str">
        <f aca="false">IF(B3116="","",IF(COUNTIF(Campaigns!$A$7:$A$300,B3116)&gt;0,"✓","⚠ add to Campaigns tab"))</f>
        <v/>
      </c>
      <c r="I3116" s="84" t="str">
        <f aca="false">IF(C3116="","",C3116*IF(Settings!$B$23=Settings!$C$6,1,IF(Settings!$B$23="USD",1/INDEX(Settings!$B$29:$B$40,MONTH(A3116)),INDEX(Settings!$B$29:$B$40,MONTH(A3116)))))</f>
        <v/>
      </c>
    </row>
    <row r="3117" customFormat="false" ht="15" hidden="false" customHeight="false" outlineLevel="0" collapsed="false">
      <c r="H3117" s="0" t="str">
        <f aca="false">IF(B3117="","",IF(COUNTIF(Campaigns!$A$7:$A$300,B3117)&gt;0,"✓","⚠ add to Campaigns tab"))</f>
        <v/>
      </c>
      <c r="I3117" s="84" t="str">
        <f aca="false">IF(C3117="","",C3117*IF(Settings!$B$23=Settings!$C$6,1,IF(Settings!$B$23="USD",1/INDEX(Settings!$B$29:$B$40,MONTH(A3117)),INDEX(Settings!$B$29:$B$40,MONTH(A3117)))))</f>
        <v/>
      </c>
    </row>
    <row r="3118" customFormat="false" ht="15" hidden="false" customHeight="false" outlineLevel="0" collapsed="false">
      <c r="H3118" s="0" t="str">
        <f aca="false">IF(B3118="","",IF(COUNTIF(Campaigns!$A$7:$A$300,B3118)&gt;0,"✓","⚠ add to Campaigns tab"))</f>
        <v/>
      </c>
      <c r="I3118" s="84" t="str">
        <f aca="false">IF(C3118="","",C3118*IF(Settings!$B$23=Settings!$C$6,1,IF(Settings!$B$23="USD",1/INDEX(Settings!$B$29:$B$40,MONTH(A3118)),INDEX(Settings!$B$29:$B$40,MONTH(A3118)))))</f>
        <v/>
      </c>
    </row>
    <row r="3119" customFormat="false" ht="15" hidden="false" customHeight="false" outlineLevel="0" collapsed="false">
      <c r="H3119" s="0" t="str">
        <f aca="false">IF(B3119="","",IF(COUNTIF(Campaigns!$A$7:$A$300,B3119)&gt;0,"✓","⚠ add to Campaigns tab"))</f>
        <v/>
      </c>
      <c r="I3119" s="84" t="str">
        <f aca="false">IF(C3119="","",C3119*IF(Settings!$B$23=Settings!$C$6,1,IF(Settings!$B$23="USD",1/INDEX(Settings!$B$29:$B$40,MONTH(A3119)),INDEX(Settings!$B$29:$B$40,MONTH(A3119)))))</f>
        <v/>
      </c>
    </row>
    <row r="3120" customFormat="false" ht="15" hidden="false" customHeight="false" outlineLevel="0" collapsed="false">
      <c r="H3120" s="0" t="str">
        <f aca="false">IF(B3120="","",IF(COUNTIF(Campaigns!$A$7:$A$300,B3120)&gt;0,"✓","⚠ add to Campaigns tab"))</f>
        <v/>
      </c>
      <c r="I3120" s="84" t="str">
        <f aca="false">IF(C3120="","",C3120*IF(Settings!$B$23=Settings!$C$6,1,IF(Settings!$B$23="USD",1/INDEX(Settings!$B$29:$B$40,MONTH(A3120)),INDEX(Settings!$B$29:$B$40,MONTH(A3120)))))</f>
        <v/>
      </c>
    </row>
    <row r="3121" customFormat="false" ht="15" hidden="false" customHeight="false" outlineLevel="0" collapsed="false">
      <c r="H3121" s="0" t="str">
        <f aca="false">IF(B3121="","",IF(COUNTIF(Campaigns!$A$7:$A$300,B3121)&gt;0,"✓","⚠ add to Campaigns tab"))</f>
        <v/>
      </c>
      <c r="I3121" s="84" t="str">
        <f aca="false">IF(C3121="","",C3121*IF(Settings!$B$23=Settings!$C$6,1,IF(Settings!$B$23="USD",1/INDEX(Settings!$B$29:$B$40,MONTH(A3121)),INDEX(Settings!$B$29:$B$40,MONTH(A3121)))))</f>
        <v/>
      </c>
    </row>
    <row r="3122" customFormat="false" ht="15" hidden="false" customHeight="false" outlineLevel="0" collapsed="false">
      <c r="H3122" s="0" t="str">
        <f aca="false">IF(B3122="","",IF(COUNTIF(Campaigns!$A$7:$A$300,B3122)&gt;0,"✓","⚠ add to Campaigns tab"))</f>
        <v/>
      </c>
      <c r="I3122" s="84" t="str">
        <f aca="false">IF(C3122="","",C3122*IF(Settings!$B$23=Settings!$C$6,1,IF(Settings!$B$23="USD",1/INDEX(Settings!$B$29:$B$40,MONTH(A3122)),INDEX(Settings!$B$29:$B$40,MONTH(A3122)))))</f>
        <v/>
      </c>
    </row>
    <row r="3123" customFormat="false" ht="15" hidden="false" customHeight="false" outlineLevel="0" collapsed="false">
      <c r="H3123" s="0" t="str">
        <f aca="false">IF(B3123="","",IF(COUNTIF(Campaigns!$A$7:$A$300,B3123)&gt;0,"✓","⚠ add to Campaigns tab"))</f>
        <v/>
      </c>
      <c r="I3123" s="84" t="str">
        <f aca="false">IF(C3123="","",C3123*IF(Settings!$B$23=Settings!$C$6,1,IF(Settings!$B$23="USD",1/INDEX(Settings!$B$29:$B$40,MONTH(A3123)),INDEX(Settings!$B$29:$B$40,MONTH(A3123)))))</f>
        <v/>
      </c>
    </row>
    <row r="3124" customFormat="false" ht="15" hidden="false" customHeight="false" outlineLevel="0" collapsed="false">
      <c r="H3124" s="0" t="str">
        <f aca="false">IF(B3124="","",IF(COUNTIF(Campaigns!$A$7:$A$300,B3124)&gt;0,"✓","⚠ add to Campaigns tab"))</f>
        <v/>
      </c>
      <c r="I3124" s="84" t="str">
        <f aca="false">IF(C3124="","",C3124*IF(Settings!$B$23=Settings!$C$6,1,IF(Settings!$B$23="USD",1/INDEX(Settings!$B$29:$B$40,MONTH(A3124)),INDEX(Settings!$B$29:$B$40,MONTH(A3124)))))</f>
        <v/>
      </c>
    </row>
    <row r="3125" customFormat="false" ht="15" hidden="false" customHeight="false" outlineLevel="0" collapsed="false">
      <c r="H3125" s="0" t="str">
        <f aca="false">IF(B3125="","",IF(COUNTIF(Campaigns!$A$7:$A$300,B3125)&gt;0,"✓","⚠ add to Campaigns tab"))</f>
        <v/>
      </c>
      <c r="I3125" s="84" t="str">
        <f aca="false">IF(C3125="","",C3125*IF(Settings!$B$23=Settings!$C$6,1,IF(Settings!$B$23="USD",1/INDEX(Settings!$B$29:$B$40,MONTH(A3125)),INDEX(Settings!$B$29:$B$40,MONTH(A3125)))))</f>
        <v/>
      </c>
    </row>
    <row r="3126" customFormat="false" ht="15" hidden="false" customHeight="false" outlineLevel="0" collapsed="false">
      <c r="H3126" s="0" t="str">
        <f aca="false">IF(B3126="","",IF(COUNTIF(Campaigns!$A$7:$A$300,B3126)&gt;0,"✓","⚠ add to Campaigns tab"))</f>
        <v/>
      </c>
      <c r="I3126" s="84" t="str">
        <f aca="false">IF(C3126="","",C3126*IF(Settings!$B$23=Settings!$C$6,1,IF(Settings!$B$23="USD",1/INDEX(Settings!$B$29:$B$40,MONTH(A3126)),INDEX(Settings!$B$29:$B$40,MONTH(A3126)))))</f>
        <v/>
      </c>
    </row>
    <row r="3127" customFormat="false" ht="15" hidden="false" customHeight="false" outlineLevel="0" collapsed="false">
      <c r="H3127" s="0" t="str">
        <f aca="false">IF(B3127="","",IF(COUNTIF(Campaigns!$A$7:$A$300,B3127)&gt;0,"✓","⚠ add to Campaigns tab"))</f>
        <v/>
      </c>
      <c r="I3127" s="84" t="str">
        <f aca="false">IF(C3127="","",C3127*IF(Settings!$B$23=Settings!$C$6,1,IF(Settings!$B$23="USD",1/INDEX(Settings!$B$29:$B$40,MONTH(A3127)),INDEX(Settings!$B$29:$B$40,MONTH(A3127)))))</f>
        <v/>
      </c>
    </row>
    <row r="3128" customFormat="false" ht="15" hidden="false" customHeight="false" outlineLevel="0" collapsed="false">
      <c r="H3128" s="0" t="str">
        <f aca="false">IF(B3128="","",IF(COUNTIF(Campaigns!$A$7:$A$300,B3128)&gt;0,"✓","⚠ add to Campaigns tab"))</f>
        <v/>
      </c>
      <c r="I3128" s="84" t="str">
        <f aca="false">IF(C3128="","",C3128*IF(Settings!$B$23=Settings!$C$6,1,IF(Settings!$B$23="USD",1/INDEX(Settings!$B$29:$B$40,MONTH(A3128)),INDEX(Settings!$B$29:$B$40,MONTH(A3128)))))</f>
        <v/>
      </c>
    </row>
    <row r="3129" customFormat="false" ht="15" hidden="false" customHeight="false" outlineLevel="0" collapsed="false">
      <c r="H3129" s="0" t="str">
        <f aca="false">IF(B3129="","",IF(COUNTIF(Campaigns!$A$7:$A$300,B3129)&gt;0,"✓","⚠ add to Campaigns tab"))</f>
        <v/>
      </c>
      <c r="I3129" s="84" t="str">
        <f aca="false">IF(C3129="","",C3129*IF(Settings!$B$23=Settings!$C$6,1,IF(Settings!$B$23="USD",1/INDEX(Settings!$B$29:$B$40,MONTH(A3129)),INDEX(Settings!$B$29:$B$40,MONTH(A3129)))))</f>
        <v/>
      </c>
    </row>
    <row r="3130" customFormat="false" ht="15" hidden="false" customHeight="false" outlineLevel="0" collapsed="false">
      <c r="H3130" s="0" t="str">
        <f aca="false">IF(B3130="","",IF(COUNTIF(Campaigns!$A$7:$A$300,B3130)&gt;0,"✓","⚠ add to Campaigns tab"))</f>
        <v/>
      </c>
      <c r="I3130" s="84" t="str">
        <f aca="false">IF(C3130="","",C3130*IF(Settings!$B$23=Settings!$C$6,1,IF(Settings!$B$23="USD",1/INDEX(Settings!$B$29:$B$40,MONTH(A3130)),INDEX(Settings!$B$29:$B$40,MONTH(A3130)))))</f>
        <v/>
      </c>
    </row>
    <row r="3131" customFormat="false" ht="15" hidden="false" customHeight="false" outlineLevel="0" collapsed="false">
      <c r="H3131" s="0" t="str">
        <f aca="false">IF(B3131="","",IF(COUNTIF(Campaigns!$A$7:$A$300,B3131)&gt;0,"✓","⚠ add to Campaigns tab"))</f>
        <v/>
      </c>
      <c r="I3131" s="84" t="str">
        <f aca="false">IF(C3131="","",C3131*IF(Settings!$B$23=Settings!$C$6,1,IF(Settings!$B$23="USD",1/INDEX(Settings!$B$29:$B$40,MONTH(A3131)),INDEX(Settings!$B$29:$B$40,MONTH(A3131)))))</f>
        <v/>
      </c>
    </row>
    <row r="3132" customFormat="false" ht="15" hidden="false" customHeight="false" outlineLevel="0" collapsed="false">
      <c r="H3132" s="0" t="str">
        <f aca="false">IF(B3132="","",IF(COUNTIF(Campaigns!$A$7:$A$300,B3132)&gt;0,"✓","⚠ add to Campaigns tab"))</f>
        <v/>
      </c>
      <c r="I3132" s="84" t="str">
        <f aca="false">IF(C3132="","",C3132*IF(Settings!$B$23=Settings!$C$6,1,IF(Settings!$B$23="USD",1/INDEX(Settings!$B$29:$B$40,MONTH(A3132)),INDEX(Settings!$B$29:$B$40,MONTH(A3132)))))</f>
        <v/>
      </c>
    </row>
    <row r="3133" customFormat="false" ht="15" hidden="false" customHeight="false" outlineLevel="0" collapsed="false">
      <c r="H3133" s="0" t="str">
        <f aca="false">IF(B3133="","",IF(COUNTIF(Campaigns!$A$7:$A$300,B3133)&gt;0,"✓","⚠ add to Campaigns tab"))</f>
        <v/>
      </c>
      <c r="I3133" s="84" t="str">
        <f aca="false">IF(C3133="","",C3133*IF(Settings!$B$23=Settings!$C$6,1,IF(Settings!$B$23="USD",1/INDEX(Settings!$B$29:$B$40,MONTH(A3133)),INDEX(Settings!$B$29:$B$40,MONTH(A3133)))))</f>
        <v/>
      </c>
    </row>
    <row r="3134" customFormat="false" ht="15" hidden="false" customHeight="false" outlineLevel="0" collapsed="false">
      <c r="H3134" s="0" t="str">
        <f aca="false">IF(B3134="","",IF(COUNTIF(Campaigns!$A$7:$A$300,B3134)&gt;0,"✓","⚠ add to Campaigns tab"))</f>
        <v/>
      </c>
      <c r="I3134" s="84" t="str">
        <f aca="false">IF(C3134="","",C3134*IF(Settings!$B$23=Settings!$C$6,1,IF(Settings!$B$23="USD",1/INDEX(Settings!$B$29:$B$40,MONTH(A3134)),INDEX(Settings!$B$29:$B$40,MONTH(A3134)))))</f>
        <v/>
      </c>
    </row>
    <row r="3135" customFormat="false" ht="15" hidden="false" customHeight="false" outlineLevel="0" collapsed="false">
      <c r="H3135" s="0" t="str">
        <f aca="false">IF(B3135="","",IF(COUNTIF(Campaigns!$A$7:$A$300,B3135)&gt;0,"✓","⚠ add to Campaigns tab"))</f>
        <v/>
      </c>
      <c r="I3135" s="84" t="str">
        <f aca="false">IF(C3135="","",C3135*IF(Settings!$B$23=Settings!$C$6,1,IF(Settings!$B$23="USD",1/INDEX(Settings!$B$29:$B$40,MONTH(A3135)),INDEX(Settings!$B$29:$B$40,MONTH(A3135)))))</f>
        <v/>
      </c>
    </row>
    <row r="3136" customFormat="false" ht="15" hidden="false" customHeight="false" outlineLevel="0" collapsed="false">
      <c r="H3136" s="0" t="str">
        <f aca="false">IF(B3136="","",IF(COUNTIF(Campaigns!$A$7:$A$300,B3136)&gt;0,"✓","⚠ add to Campaigns tab"))</f>
        <v/>
      </c>
      <c r="I3136" s="84" t="str">
        <f aca="false">IF(C3136="","",C3136*IF(Settings!$B$23=Settings!$C$6,1,IF(Settings!$B$23="USD",1/INDEX(Settings!$B$29:$B$40,MONTH(A3136)),INDEX(Settings!$B$29:$B$40,MONTH(A3136)))))</f>
        <v/>
      </c>
    </row>
    <row r="3137" customFormat="false" ht="15" hidden="false" customHeight="false" outlineLevel="0" collapsed="false">
      <c r="H3137" s="0" t="str">
        <f aca="false">IF(B3137="","",IF(COUNTIF(Campaigns!$A$7:$A$300,B3137)&gt;0,"✓","⚠ add to Campaigns tab"))</f>
        <v/>
      </c>
      <c r="I3137" s="84" t="str">
        <f aca="false">IF(C3137="","",C3137*IF(Settings!$B$23=Settings!$C$6,1,IF(Settings!$B$23="USD",1/INDEX(Settings!$B$29:$B$40,MONTH(A3137)),INDEX(Settings!$B$29:$B$40,MONTH(A3137)))))</f>
        <v/>
      </c>
    </row>
    <row r="3138" customFormat="false" ht="15" hidden="false" customHeight="false" outlineLevel="0" collapsed="false">
      <c r="H3138" s="0" t="str">
        <f aca="false">IF(B3138="","",IF(COUNTIF(Campaigns!$A$7:$A$300,B3138)&gt;0,"✓","⚠ add to Campaigns tab"))</f>
        <v/>
      </c>
      <c r="I3138" s="84" t="str">
        <f aca="false">IF(C3138="","",C3138*IF(Settings!$B$23=Settings!$C$6,1,IF(Settings!$B$23="USD",1/INDEX(Settings!$B$29:$B$40,MONTH(A3138)),INDEX(Settings!$B$29:$B$40,MONTH(A3138)))))</f>
        <v/>
      </c>
    </row>
    <row r="3139" customFormat="false" ht="15" hidden="false" customHeight="false" outlineLevel="0" collapsed="false">
      <c r="H3139" s="0" t="str">
        <f aca="false">IF(B3139="","",IF(COUNTIF(Campaigns!$A$7:$A$300,B3139)&gt;0,"✓","⚠ add to Campaigns tab"))</f>
        <v/>
      </c>
      <c r="I3139" s="84" t="str">
        <f aca="false">IF(C3139="","",C3139*IF(Settings!$B$23=Settings!$C$6,1,IF(Settings!$B$23="USD",1/INDEX(Settings!$B$29:$B$40,MONTH(A3139)),INDEX(Settings!$B$29:$B$40,MONTH(A3139)))))</f>
        <v/>
      </c>
    </row>
    <row r="3140" customFormat="false" ht="15" hidden="false" customHeight="false" outlineLevel="0" collapsed="false">
      <c r="H3140" s="0" t="str">
        <f aca="false">IF(B3140="","",IF(COUNTIF(Campaigns!$A$7:$A$300,B3140)&gt;0,"✓","⚠ add to Campaigns tab"))</f>
        <v/>
      </c>
      <c r="I3140" s="84" t="str">
        <f aca="false">IF(C3140="","",C3140*IF(Settings!$B$23=Settings!$C$6,1,IF(Settings!$B$23="USD",1/INDEX(Settings!$B$29:$B$40,MONTH(A3140)),INDEX(Settings!$B$29:$B$40,MONTH(A3140)))))</f>
        <v/>
      </c>
    </row>
    <row r="3141" customFormat="false" ht="15" hidden="false" customHeight="false" outlineLevel="0" collapsed="false">
      <c r="H3141" s="0" t="str">
        <f aca="false">IF(B3141="","",IF(COUNTIF(Campaigns!$A$7:$A$300,B3141)&gt;0,"✓","⚠ add to Campaigns tab"))</f>
        <v/>
      </c>
      <c r="I3141" s="84" t="str">
        <f aca="false">IF(C3141="","",C3141*IF(Settings!$B$23=Settings!$C$6,1,IF(Settings!$B$23="USD",1/INDEX(Settings!$B$29:$B$40,MONTH(A3141)),INDEX(Settings!$B$29:$B$40,MONTH(A3141)))))</f>
        <v/>
      </c>
    </row>
    <row r="3142" customFormat="false" ht="15" hidden="false" customHeight="false" outlineLevel="0" collapsed="false">
      <c r="H3142" s="0" t="str">
        <f aca="false">IF(B3142="","",IF(COUNTIF(Campaigns!$A$7:$A$300,B3142)&gt;0,"✓","⚠ add to Campaigns tab"))</f>
        <v/>
      </c>
      <c r="I3142" s="84" t="str">
        <f aca="false">IF(C3142="","",C3142*IF(Settings!$B$23=Settings!$C$6,1,IF(Settings!$B$23="USD",1/INDEX(Settings!$B$29:$B$40,MONTH(A3142)),INDEX(Settings!$B$29:$B$40,MONTH(A3142)))))</f>
        <v/>
      </c>
    </row>
    <row r="3143" customFormat="false" ht="15" hidden="false" customHeight="false" outlineLevel="0" collapsed="false">
      <c r="H3143" s="0" t="str">
        <f aca="false">IF(B3143="","",IF(COUNTIF(Campaigns!$A$7:$A$300,B3143)&gt;0,"✓","⚠ add to Campaigns tab"))</f>
        <v/>
      </c>
      <c r="I3143" s="84" t="str">
        <f aca="false">IF(C3143="","",C3143*IF(Settings!$B$23=Settings!$C$6,1,IF(Settings!$B$23="USD",1/INDEX(Settings!$B$29:$B$40,MONTH(A3143)),INDEX(Settings!$B$29:$B$40,MONTH(A3143)))))</f>
        <v/>
      </c>
    </row>
    <row r="3144" customFormat="false" ht="15" hidden="false" customHeight="false" outlineLevel="0" collapsed="false">
      <c r="H3144" s="0" t="str">
        <f aca="false">IF(B3144="","",IF(COUNTIF(Campaigns!$A$7:$A$300,B3144)&gt;0,"✓","⚠ add to Campaigns tab"))</f>
        <v/>
      </c>
      <c r="I3144" s="84" t="str">
        <f aca="false">IF(C3144="","",C3144*IF(Settings!$B$23=Settings!$C$6,1,IF(Settings!$B$23="USD",1/INDEX(Settings!$B$29:$B$40,MONTH(A3144)),INDEX(Settings!$B$29:$B$40,MONTH(A3144)))))</f>
        <v/>
      </c>
    </row>
    <row r="3145" customFormat="false" ht="15" hidden="false" customHeight="false" outlineLevel="0" collapsed="false">
      <c r="H3145" s="0" t="str">
        <f aca="false">IF(B3145="","",IF(COUNTIF(Campaigns!$A$7:$A$300,B3145)&gt;0,"✓","⚠ add to Campaigns tab"))</f>
        <v/>
      </c>
      <c r="I3145" s="84" t="str">
        <f aca="false">IF(C3145="","",C3145*IF(Settings!$B$23=Settings!$C$6,1,IF(Settings!$B$23="USD",1/INDEX(Settings!$B$29:$B$40,MONTH(A3145)),INDEX(Settings!$B$29:$B$40,MONTH(A3145)))))</f>
        <v/>
      </c>
    </row>
    <row r="3146" customFormat="false" ht="15" hidden="false" customHeight="false" outlineLevel="0" collapsed="false">
      <c r="H3146" s="0" t="str">
        <f aca="false">IF(B3146="","",IF(COUNTIF(Campaigns!$A$7:$A$300,B3146)&gt;0,"✓","⚠ add to Campaigns tab"))</f>
        <v/>
      </c>
      <c r="I3146" s="84" t="str">
        <f aca="false">IF(C3146="","",C3146*IF(Settings!$B$23=Settings!$C$6,1,IF(Settings!$B$23="USD",1/INDEX(Settings!$B$29:$B$40,MONTH(A3146)),INDEX(Settings!$B$29:$B$40,MONTH(A3146)))))</f>
        <v/>
      </c>
    </row>
    <row r="3147" customFormat="false" ht="15" hidden="false" customHeight="false" outlineLevel="0" collapsed="false">
      <c r="H3147" s="0" t="str">
        <f aca="false">IF(B3147="","",IF(COUNTIF(Campaigns!$A$7:$A$300,B3147)&gt;0,"✓","⚠ add to Campaigns tab"))</f>
        <v/>
      </c>
      <c r="I3147" s="84" t="str">
        <f aca="false">IF(C3147="","",C3147*IF(Settings!$B$23=Settings!$C$6,1,IF(Settings!$B$23="USD",1/INDEX(Settings!$B$29:$B$40,MONTH(A3147)),INDEX(Settings!$B$29:$B$40,MONTH(A3147)))))</f>
        <v/>
      </c>
    </row>
    <row r="3148" customFormat="false" ht="15" hidden="false" customHeight="false" outlineLevel="0" collapsed="false">
      <c r="H3148" s="0" t="str">
        <f aca="false">IF(B3148="","",IF(COUNTIF(Campaigns!$A$7:$A$300,B3148)&gt;0,"✓","⚠ add to Campaigns tab"))</f>
        <v/>
      </c>
      <c r="I3148" s="84" t="str">
        <f aca="false">IF(C3148="","",C3148*IF(Settings!$B$23=Settings!$C$6,1,IF(Settings!$B$23="USD",1/INDEX(Settings!$B$29:$B$40,MONTH(A3148)),INDEX(Settings!$B$29:$B$40,MONTH(A3148)))))</f>
        <v/>
      </c>
    </row>
    <row r="3149" customFormat="false" ht="15" hidden="false" customHeight="false" outlineLevel="0" collapsed="false">
      <c r="H3149" s="0" t="str">
        <f aca="false">IF(B3149="","",IF(COUNTIF(Campaigns!$A$7:$A$300,B3149)&gt;0,"✓","⚠ add to Campaigns tab"))</f>
        <v/>
      </c>
      <c r="I3149" s="84" t="str">
        <f aca="false">IF(C3149="","",C3149*IF(Settings!$B$23=Settings!$C$6,1,IF(Settings!$B$23="USD",1/INDEX(Settings!$B$29:$B$40,MONTH(A3149)),INDEX(Settings!$B$29:$B$40,MONTH(A3149)))))</f>
        <v/>
      </c>
    </row>
    <row r="3150" customFormat="false" ht="15" hidden="false" customHeight="false" outlineLevel="0" collapsed="false">
      <c r="H3150" s="0" t="str">
        <f aca="false">IF(B3150="","",IF(COUNTIF(Campaigns!$A$7:$A$300,B3150)&gt;0,"✓","⚠ add to Campaigns tab"))</f>
        <v/>
      </c>
      <c r="I3150" s="84" t="str">
        <f aca="false">IF(C3150="","",C3150*IF(Settings!$B$23=Settings!$C$6,1,IF(Settings!$B$23="USD",1/INDEX(Settings!$B$29:$B$40,MONTH(A3150)),INDEX(Settings!$B$29:$B$40,MONTH(A3150)))))</f>
        <v/>
      </c>
    </row>
    <row r="3151" customFormat="false" ht="15" hidden="false" customHeight="false" outlineLevel="0" collapsed="false">
      <c r="H3151" s="0" t="str">
        <f aca="false">IF(B3151="","",IF(COUNTIF(Campaigns!$A$7:$A$300,B3151)&gt;0,"✓","⚠ add to Campaigns tab"))</f>
        <v/>
      </c>
      <c r="I3151" s="84" t="str">
        <f aca="false">IF(C3151="","",C3151*IF(Settings!$B$23=Settings!$C$6,1,IF(Settings!$B$23="USD",1/INDEX(Settings!$B$29:$B$40,MONTH(A3151)),INDEX(Settings!$B$29:$B$40,MONTH(A3151)))))</f>
        <v/>
      </c>
    </row>
    <row r="3152" customFormat="false" ht="15" hidden="false" customHeight="false" outlineLevel="0" collapsed="false">
      <c r="H3152" s="0" t="str">
        <f aca="false">IF(B3152="","",IF(COUNTIF(Campaigns!$A$7:$A$300,B3152)&gt;0,"✓","⚠ add to Campaigns tab"))</f>
        <v/>
      </c>
      <c r="I3152" s="84" t="str">
        <f aca="false">IF(C3152="","",C3152*IF(Settings!$B$23=Settings!$C$6,1,IF(Settings!$B$23="USD",1/INDEX(Settings!$B$29:$B$40,MONTH(A3152)),INDEX(Settings!$B$29:$B$40,MONTH(A3152)))))</f>
        <v/>
      </c>
    </row>
    <row r="3153" customFormat="false" ht="15" hidden="false" customHeight="false" outlineLevel="0" collapsed="false">
      <c r="H3153" s="0" t="str">
        <f aca="false">IF(B3153="","",IF(COUNTIF(Campaigns!$A$7:$A$300,B3153)&gt;0,"✓","⚠ add to Campaigns tab"))</f>
        <v/>
      </c>
      <c r="I3153" s="84" t="str">
        <f aca="false">IF(C3153="","",C3153*IF(Settings!$B$23=Settings!$C$6,1,IF(Settings!$B$23="USD",1/INDEX(Settings!$B$29:$B$40,MONTH(A3153)),INDEX(Settings!$B$29:$B$40,MONTH(A3153)))))</f>
        <v/>
      </c>
    </row>
    <row r="3154" customFormat="false" ht="15" hidden="false" customHeight="false" outlineLevel="0" collapsed="false">
      <c r="H3154" s="0" t="str">
        <f aca="false">IF(B3154="","",IF(COUNTIF(Campaigns!$A$7:$A$300,B3154)&gt;0,"✓","⚠ add to Campaigns tab"))</f>
        <v/>
      </c>
      <c r="I3154" s="84" t="str">
        <f aca="false">IF(C3154="","",C3154*IF(Settings!$B$23=Settings!$C$6,1,IF(Settings!$B$23="USD",1/INDEX(Settings!$B$29:$B$40,MONTH(A3154)),INDEX(Settings!$B$29:$B$40,MONTH(A3154)))))</f>
        <v/>
      </c>
    </row>
    <row r="3155" customFormat="false" ht="15" hidden="false" customHeight="false" outlineLevel="0" collapsed="false">
      <c r="H3155" s="0" t="str">
        <f aca="false">IF(B3155="","",IF(COUNTIF(Campaigns!$A$7:$A$300,B3155)&gt;0,"✓","⚠ add to Campaigns tab"))</f>
        <v/>
      </c>
      <c r="I3155" s="84" t="str">
        <f aca="false">IF(C3155="","",C3155*IF(Settings!$B$23=Settings!$C$6,1,IF(Settings!$B$23="USD",1/INDEX(Settings!$B$29:$B$40,MONTH(A3155)),INDEX(Settings!$B$29:$B$40,MONTH(A3155)))))</f>
        <v/>
      </c>
    </row>
    <row r="3156" customFormat="false" ht="15" hidden="false" customHeight="false" outlineLevel="0" collapsed="false">
      <c r="H3156" s="0" t="str">
        <f aca="false">IF(B3156="","",IF(COUNTIF(Campaigns!$A$7:$A$300,B3156)&gt;0,"✓","⚠ add to Campaigns tab"))</f>
        <v/>
      </c>
      <c r="I3156" s="84" t="str">
        <f aca="false">IF(C3156="","",C3156*IF(Settings!$B$23=Settings!$C$6,1,IF(Settings!$B$23="USD",1/INDEX(Settings!$B$29:$B$40,MONTH(A3156)),INDEX(Settings!$B$29:$B$40,MONTH(A3156)))))</f>
        <v/>
      </c>
    </row>
    <row r="3157" customFormat="false" ht="15" hidden="false" customHeight="false" outlineLevel="0" collapsed="false">
      <c r="H3157" s="0" t="str">
        <f aca="false">IF(B3157="","",IF(COUNTIF(Campaigns!$A$7:$A$300,B3157)&gt;0,"✓","⚠ add to Campaigns tab"))</f>
        <v/>
      </c>
      <c r="I3157" s="84" t="str">
        <f aca="false">IF(C3157="","",C3157*IF(Settings!$B$23=Settings!$C$6,1,IF(Settings!$B$23="USD",1/INDEX(Settings!$B$29:$B$40,MONTH(A3157)),INDEX(Settings!$B$29:$B$40,MONTH(A3157)))))</f>
        <v/>
      </c>
    </row>
    <row r="3158" customFormat="false" ht="15" hidden="false" customHeight="false" outlineLevel="0" collapsed="false">
      <c r="H3158" s="0" t="str">
        <f aca="false">IF(B3158="","",IF(COUNTIF(Campaigns!$A$7:$A$300,B3158)&gt;0,"✓","⚠ add to Campaigns tab"))</f>
        <v/>
      </c>
      <c r="I3158" s="84" t="str">
        <f aca="false">IF(C3158="","",C3158*IF(Settings!$B$23=Settings!$C$6,1,IF(Settings!$B$23="USD",1/INDEX(Settings!$B$29:$B$40,MONTH(A3158)),INDEX(Settings!$B$29:$B$40,MONTH(A3158)))))</f>
        <v/>
      </c>
    </row>
    <row r="3159" customFormat="false" ht="15" hidden="false" customHeight="false" outlineLevel="0" collapsed="false">
      <c r="H3159" s="0" t="str">
        <f aca="false">IF(B3159="","",IF(COUNTIF(Campaigns!$A$7:$A$300,B3159)&gt;0,"✓","⚠ add to Campaigns tab"))</f>
        <v/>
      </c>
      <c r="I3159" s="84" t="str">
        <f aca="false">IF(C3159="","",C3159*IF(Settings!$B$23=Settings!$C$6,1,IF(Settings!$B$23="USD",1/INDEX(Settings!$B$29:$B$40,MONTH(A3159)),INDEX(Settings!$B$29:$B$40,MONTH(A3159)))))</f>
        <v/>
      </c>
    </row>
    <row r="3160" customFormat="false" ht="15" hidden="false" customHeight="false" outlineLevel="0" collapsed="false">
      <c r="H3160" s="0" t="str">
        <f aca="false">IF(B3160="","",IF(COUNTIF(Campaigns!$A$7:$A$300,B3160)&gt;0,"✓","⚠ add to Campaigns tab"))</f>
        <v/>
      </c>
      <c r="I3160" s="84" t="str">
        <f aca="false">IF(C3160="","",C3160*IF(Settings!$B$23=Settings!$C$6,1,IF(Settings!$B$23="USD",1/INDEX(Settings!$B$29:$B$40,MONTH(A3160)),INDEX(Settings!$B$29:$B$40,MONTH(A3160)))))</f>
        <v/>
      </c>
    </row>
    <row r="3161" customFormat="false" ht="15" hidden="false" customHeight="false" outlineLevel="0" collapsed="false">
      <c r="H3161" s="0" t="str">
        <f aca="false">IF(B3161="","",IF(COUNTIF(Campaigns!$A$7:$A$300,B3161)&gt;0,"✓","⚠ add to Campaigns tab"))</f>
        <v/>
      </c>
      <c r="I3161" s="84" t="str">
        <f aca="false">IF(C3161="","",C3161*IF(Settings!$B$23=Settings!$C$6,1,IF(Settings!$B$23="USD",1/INDEX(Settings!$B$29:$B$40,MONTH(A3161)),INDEX(Settings!$B$29:$B$40,MONTH(A3161)))))</f>
        <v/>
      </c>
    </row>
    <row r="3162" customFormat="false" ht="15" hidden="false" customHeight="false" outlineLevel="0" collapsed="false">
      <c r="H3162" s="0" t="str">
        <f aca="false">IF(B3162="","",IF(COUNTIF(Campaigns!$A$7:$A$300,B3162)&gt;0,"✓","⚠ add to Campaigns tab"))</f>
        <v/>
      </c>
      <c r="I3162" s="84" t="str">
        <f aca="false">IF(C3162="","",C3162*IF(Settings!$B$23=Settings!$C$6,1,IF(Settings!$B$23="USD",1/INDEX(Settings!$B$29:$B$40,MONTH(A3162)),INDEX(Settings!$B$29:$B$40,MONTH(A3162)))))</f>
        <v/>
      </c>
    </row>
    <row r="3163" customFormat="false" ht="15" hidden="false" customHeight="false" outlineLevel="0" collapsed="false">
      <c r="H3163" s="0" t="str">
        <f aca="false">IF(B3163="","",IF(COUNTIF(Campaigns!$A$7:$A$300,B3163)&gt;0,"✓","⚠ add to Campaigns tab"))</f>
        <v/>
      </c>
      <c r="I3163" s="84" t="str">
        <f aca="false">IF(C3163="","",C3163*IF(Settings!$B$23=Settings!$C$6,1,IF(Settings!$B$23="USD",1/INDEX(Settings!$B$29:$B$40,MONTH(A3163)),INDEX(Settings!$B$29:$B$40,MONTH(A3163)))))</f>
        <v/>
      </c>
    </row>
    <row r="3164" customFormat="false" ht="15" hidden="false" customHeight="false" outlineLevel="0" collapsed="false">
      <c r="H3164" s="0" t="str">
        <f aca="false">IF(B3164="","",IF(COUNTIF(Campaigns!$A$7:$A$300,B3164)&gt;0,"✓","⚠ add to Campaigns tab"))</f>
        <v/>
      </c>
      <c r="I3164" s="84" t="str">
        <f aca="false">IF(C3164="","",C3164*IF(Settings!$B$23=Settings!$C$6,1,IF(Settings!$B$23="USD",1/INDEX(Settings!$B$29:$B$40,MONTH(A3164)),INDEX(Settings!$B$29:$B$40,MONTH(A3164)))))</f>
        <v/>
      </c>
    </row>
    <row r="3165" customFormat="false" ht="15" hidden="false" customHeight="false" outlineLevel="0" collapsed="false">
      <c r="H3165" s="0" t="str">
        <f aca="false">IF(B3165="","",IF(COUNTIF(Campaigns!$A$7:$A$300,B3165)&gt;0,"✓","⚠ add to Campaigns tab"))</f>
        <v/>
      </c>
      <c r="I3165" s="84" t="str">
        <f aca="false">IF(C3165="","",C3165*IF(Settings!$B$23=Settings!$C$6,1,IF(Settings!$B$23="USD",1/INDEX(Settings!$B$29:$B$40,MONTH(A3165)),INDEX(Settings!$B$29:$B$40,MONTH(A3165)))))</f>
        <v/>
      </c>
    </row>
    <row r="3166" customFormat="false" ht="15" hidden="false" customHeight="false" outlineLevel="0" collapsed="false">
      <c r="H3166" s="0" t="str">
        <f aca="false">IF(B3166="","",IF(COUNTIF(Campaigns!$A$7:$A$300,B3166)&gt;0,"✓","⚠ add to Campaigns tab"))</f>
        <v/>
      </c>
      <c r="I3166" s="84" t="str">
        <f aca="false">IF(C3166="","",C3166*IF(Settings!$B$23=Settings!$C$6,1,IF(Settings!$B$23="USD",1/INDEX(Settings!$B$29:$B$40,MONTH(A3166)),INDEX(Settings!$B$29:$B$40,MONTH(A3166)))))</f>
        <v/>
      </c>
    </row>
    <row r="3167" customFormat="false" ht="15" hidden="false" customHeight="false" outlineLevel="0" collapsed="false">
      <c r="H3167" s="0" t="str">
        <f aca="false">IF(B3167="","",IF(COUNTIF(Campaigns!$A$7:$A$300,B3167)&gt;0,"✓","⚠ add to Campaigns tab"))</f>
        <v/>
      </c>
      <c r="I3167" s="84" t="str">
        <f aca="false">IF(C3167="","",C3167*IF(Settings!$B$23=Settings!$C$6,1,IF(Settings!$B$23="USD",1/INDEX(Settings!$B$29:$B$40,MONTH(A3167)),INDEX(Settings!$B$29:$B$40,MONTH(A3167)))))</f>
        <v/>
      </c>
    </row>
    <row r="3168" customFormat="false" ht="15" hidden="false" customHeight="false" outlineLevel="0" collapsed="false">
      <c r="H3168" s="0" t="str">
        <f aca="false">IF(B3168="","",IF(COUNTIF(Campaigns!$A$7:$A$300,B3168)&gt;0,"✓","⚠ add to Campaigns tab"))</f>
        <v/>
      </c>
      <c r="I3168" s="84" t="str">
        <f aca="false">IF(C3168="","",C3168*IF(Settings!$B$23=Settings!$C$6,1,IF(Settings!$B$23="USD",1/INDEX(Settings!$B$29:$B$40,MONTH(A3168)),INDEX(Settings!$B$29:$B$40,MONTH(A3168)))))</f>
        <v/>
      </c>
    </row>
    <row r="3169" customFormat="false" ht="15" hidden="false" customHeight="false" outlineLevel="0" collapsed="false">
      <c r="H3169" s="0" t="str">
        <f aca="false">IF(B3169="","",IF(COUNTIF(Campaigns!$A$7:$A$300,B3169)&gt;0,"✓","⚠ add to Campaigns tab"))</f>
        <v/>
      </c>
      <c r="I3169" s="84" t="str">
        <f aca="false">IF(C3169="","",C3169*IF(Settings!$B$23=Settings!$C$6,1,IF(Settings!$B$23="USD",1/INDEX(Settings!$B$29:$B$40,MONTH(A3169)),INDEX(Settings!$B$29:$B$40,MONTH(A3169)))))</f>
        <v/>
      </c>
    </row>
    <row r="3170" customFormat="false" ht="15" hidden="false" customHeight="false" outlineLevel="0" collapsed="false">
      <c r="H3170" s="0" t="str">
        <f aca="false">IF(B3170="","",IF(COUNTIF(Campaigns!$A$7:$A$300,B3170)&gt;0,"✓","⚠ add to Campaigns tab"))</f>
        <v/>
      </c>
      <c r="I3170" s="84" t="str">
        <f aca="false">IF(C3170="","",C3170*IF(Settings!$B$23=Settings!$C$6,1,IF(Settings!$B$23="USD",1/INDEX(Settings!$B$29:$B$40,MONTH(A3170)),INDEX(Settings!$B$29:$B$40,MONTH(A3170)))))</f>
        <v/>
      </c>
    </row>
    <row r="3171" customFormat="false" ht="15" hidden="false" customHeight="false" outlineLevel="0" collapsed="false">
      <c r="H3171" s="0" t="str">
        <f aca="false">IF(B3171="","",IF(COUNTIF(Campaigns!$A$7:$A$300,B3171)&gt;0,"✓","⚠ add to Campaigns tab"))</f>
        <v/>
      </c>
      <c r="I3171" s="84" t="str">
        <f aca="false">IF(C3171="","",C3171*IF(Settings!$B$23=Settings!$C$6,1,IF(Settings!$B$23="USD",1/INDEX(Settings!$B$29:$B$40,MONTH(A3171)),INDEX(Settings!$B$29:$B$40,MONTH(A3171)))))</f>
        <v/>
      </c>
    </row>
    <row r="3172" customFormat="false" ht="15" hidden="false" customHeight="false" outlineLevel="0" collapsed="false">
      <c r="H3172" s="0" t="str">
        <f aca="false">IF(B3172="","",IF(COUNTIF(Campaigns!$A$7:$A$300,B3172)&gt;0,"✓","⚠ add to Campaigns tab"))</f>
        <v/>
      </c>
      <c r="I3172" s="84" t="str">
        <f aca="false">IF(C3172="","",C3172*IF(Settings!$B$23=Settings!$C$6,1,IF(Settings!$B$23="USD",1/INDEX(Settings!$B$29:$B$40,MONTH(A3172)),INDEX(Settings!$B$29:$B$40,MONTH(A3172)))))</f>
        <v/>
      </c>
    </row>
    <row r="3173" customFormat="false" ht="15" hidden="false" customHeight="false" outlineLevel="0" collapsed="false">
      <c r="H3173" s="0" t="str">
        <f aca="false">IF(B3173="","",IF(COUNTIF(Campaigns!$A$7:$A$300,B3173)&gt;0,"✓","⚠ add to Campaigns tab"))</f>
        <v/>
      </c>
      <c r="I3173" s="84" t="str">
        <f aca="false">IF(C3173="","",C3173*IF(Settings!$B$23=Settings!$C$6,1,IF(Settings!$B$23="USD",1/INDEX(Settings!$B$29:$B$40,MONTH(A3173)),INDEX(Settings!$B$29:$B$40,MONTH(A3173)))))</f>
        <v/>
      </c>
    </row>
    <row r="3174" customFormat="false" ht="15" hidden="false" customHeight="false" outlineLevel="0" collapsed="false">
      <c r="H3174" s="0" t="str">
        <f aca="false">IF(B3174="","",IF(COUNTIF(Campaigns!$A$7:$A$300,B3174)&gt;0,"✓","⚠ add to Campaigns tab"))</f>
        <v/>
      </c>
      <c r="I3174" s="84" t="str">
        <f aca="false">IF(C3174="","",C3174*IF(Settings!$B$23=Settings!$C$6,1,IF(Settings!$B$23="USD",1/INDEX(Settings!$B$29:$B$40,MONTH(A3174)),INDEX(Settings!$B$29:$B$40,MONTH(A3174)))))</f>
        <v/>
      </c>
    </row>
    <row r="3175" customFormat="false" ht="15" hidden="false" customHeight="false" outlineLevel="0" collapsed="false">
      <c r="H3175" s="0" t="str">
        <f aca="false">IF(B3175="","",IF(COUNTIF(Campaigns!$A$7:$A$300,B3175)&gt;0,"✓","⚠ add to Campaigns tab"))</f>
        <v/>
      </c>
      <c r="I3175" s="84" t="str">
        <f aca="false">IF(C3175="","",C3175*IF(Settings!$B$23=Settings!$C$6,1,IF(Settings!$B$23="USD",1/INDEX(Settings!$B$29:$B$40,MONTH(A3175)),INDEX(Settings!$B$29:$B$40,MONTH(A3175)))))</f>
        <v/>
      </c>
    </row>
    <row r="3176" customFormat="false" ht="15" hidden="false" customHeight="false" outlineLevel="0" collapsed="false">
      <c r="H3176" s="0" t="str">
        <f aca="false">IF(B3176="","",IF(COUNTIF(Campaigns!$A$7:$A$300,B3176)&gt;0,"✓","⚠ add to Campaigns tab"))</f>
        <v/>
      </c>
      <c r="I3176" s="84" t="str">
        <f aca="false">IF(C3176="","",C3176*IF(Settings!$B$23=Settings!$C$6,1,IF(Settings!$B$23="USD",1/INDEX(Settings!$B$29:$B$40,MONTH(A3176)),INDEX(Settings!$B$29:$B$40,MONTH(A3176)))))</f>
        <v/>
      </c>
    </row>
    <row r="3177" customFormat="false" ht="15" hidden="false" customHeight="false" outlineLevel="0" collapsed="false">
      <c r="H3177" s="0" t="str">
        <f aca="false">IF(B3177="","",IF(COUNTIF(Campaigns!$A$7:$A$300,B3177)&gt;0,"✓","⚠ add to Campaigns tab"))</f>
        <v/>
      </c>
      <c r="I3177" s="84" t="str">
        <f aca="false">IF(C3177="","",C3177*IF(Settings!$B$23=Settings!$C$6,1,IF(Settings!$B$23="USD",1/INDEX(Settings!$B$29:$B$40,MONTH(A3177)),INDEX(Settings!$B$29:$B$40,MONTH(A3177)))))</f>
        <v/>
      </c>
    </row>
    <row r="3178" customFormat="false" ht="15" hidden="false" customHeight="false" outlineLevel="0" collapsed="false">
      <c r="H3178" s="0" t="str">
        <f aca="false">IF(B3178="","",IF(COUNTIF(Campaigns!$A$7:$A$300,B3178)&gt;0,"✓","⚠ add to Campaigns tab"))</f>
        <v/>
      </c>
      <c r="I3178" s="84" t="str">
        <f aca="false">IF(C3178="","",C3178*IF(Settings!$B$23=Settings!$C$6,1,IF(Settings!$B$23="USD",1/INDEX(Settings!$B$29:$B$40,MONTH(A3178)),INDEX(Settings!$B$29:$B$40,MONTH(A3178)))))</f>
        <v/>
      </c>
    </row>
    <row r="3179" customFormat="false" ht="15" hidden="false" customHeight="false" outlineLevel="0" collapsed="false">
      <c r="H3179" s="0" t="str">
        <f aca="false">IF(B3179="","",IF(COUNTIF(Campaigns!$A$7:$A$300,B3179)&gt;0,"✓","⚠ add to Campaigns tab"))</f>
        <v/>
      </c>
      <c r="I3179" s="84" t="str">
        <f aca="false">IF(C3179="","",C3179*IF(Settings!$B$23=Settings!$C$6,1,IF(Settings!$B$23="USD",1/INDEX(Settings!$B$29:$B$40,MONTH(A3179)),INDEX(Settings!$B$29:$B$40,MONTH(A3179)))))</f>
        <v/>
      </c>
    </row>
    <row r="3180" customFormat="false" ht="15" hidden="false" customHeight="false" outlineLevel="0" collapsed="false">
      <c r="H3180" s="0" t="str">
        <f aca="false">IF(B3180="","",IF(COUNTIF(Campaigns!$A$7:$A$300,B3180)&gt;0,"✓","⚠ add to Campaigns tab"))</f>
        <v/>
      </c>
      <c r="I3180" s="84" t="str">
        <f aca="false">IF(C3180="","",C3180*IF(Settings!$B$23=Settings!$C$6,1,IF(Settings!$B$23="USD",1/INDEX(Settings!$B$29:$B$40,MONTH(A3180)),INDEX(Settings!$B$29:$B$40,MONTH(A3180)))))</f>
        <v/>
      </c>
    </row>
    <row r="3181" customFormat="false" ht="15" hidden="false" customHeight="false" outlineLevel="0" collapsed="false">
      <c r="H3181" s="0" t="str">
        <f aca="false">IF(B3181="","",IF(COUNTIF(Campaigns!$A$7:$A$300,B3181)&gt;0,"✓","⚠ add to Campaigns tab"))</f>
        <v/>
      </c>
      <c r="I3181" s="84" t="str">
        <f aca="false">IF(C3181="","",C3181*IF(Settings!$B$23=Settings!$C$6,1,IF(Settings!$B$23="USD",1/INDEX(Settings!$B$29:$B$40,MONTH(A3181)),INDEX(Settings!$B$29:$B$40,MONTH(A3181)))))</f>
        <v/>
      </c>
    </row>
    <row r="3182" customFormat="false" ht="15" hidden="false" customHeight="false" outlineLevel="0" collapsed="false">
      <c r="H3182" s="0" t="str">
        <f aca="false">IF(B3182="","",IF(COUNTIF(Campaigns!$A$7:$A$300,B3182)&gt;0,"✓","⚠ add to Campaigns tab"))</f>
        <v/>
      </c>
      <c r="I3182" s="84" t="str">
        <f aca="false">IF(C3182="","",C3182*IF(Settings!$B$23=Settings!$C$6,1,IF(Settings!$B$23="USD",1/INDEX(Settings!$B$29:$B$40,MONTH(A3182)),INDEX(Settings!$B$29:$B$40,MONTH(A3182)))))</f>
        <v/>
      </c>
    </row>
    <row r="3183" customFormat="false" ht="15" hidden="false" customHeight="false" outlineLevel="0" collapsed="false">
      <c r="H3183" s="0" t="str">
        <f aca="false">IF(B3183="","",IF(COUNTIF(Campaigns!$A$7:$A$300,B3183)&gt;0,"✓","⚠ add to Campaigns tab"))</f>
        <v/>
      </c>
      <c r="I3183" s="84" t="str">
        <f aca="false">IF(C3183="","",C3183*IF(Settings!$B$23=Settings!$C$6,1,IF(Settings!$B$23="USD",1/INDEX(Settings!$B$29:$B$40,MONTH(A3183)),INDEX(Settings!$B$29:$B$40,MONTH(A3183)))))</f>
        <v/>
      </c>
    </row>
    <row r="3184" customFormat="false" ht="15" hidden="false" customHeight="false" outlineLevel="0" collapsed="false">
      <c r="H3184" s="0" t="str">
        <f aca="false">IF(B3184="","",IF(COUNTIF(Campaigns!$A$7:$A$300,B3184)&gt;0,"✓","⚠ add to Campaigns tab"))</f>
        <v/>
      </c>
      <c r="I3184" s="84" t="str">
        <f aca="false">IF(C3184="","",C3184*IF(Settings!$B$23=Settings!$C$6,1,IF(Settings!$B$23="USD",1/INDEX(Settings!$B$29:$B$40,MONTH(A3184)),INDEX(Settings!$B$29:$B$40,MONTH(A3184)))))</f>
        <v/>
      </c>
    </row>
    <row r="3185" customFormat="false" ht="15" hidden="false" customHeight="false" outlineLevel="0" collapsed="false">
      <c r="H3185" s="0" t="str">
        <f aca="false">IF(B3185="","",IF(COUNTIF(Campaigns!$A$7:$A$300,B3185)&gt;0,"✓","⚠ add to Campaigns tab"))</f>
        <v/>
      </c>
      <c r="I3185" s="84" t="str">
        <f aca="false">IF(C3185="","",C3185*IF(Settings!$B$23=Settings!$C$6,1,IF(Settings!$B$23="USD",1/INDEX(Settings!$B$29:$B$40,MONTH(A3185)),INDEX(Settings!$B$29:$B$40,MONTH(A3185)))))</f>
        <v/>
      </c>
    </row>
    <row r="3186" customFormat="false" ht="15" hidden="false" customHeight="false" outlineLevel="0" collapsed="false">
      <c r="H3186" s="0" t="str">
        <f aca="false">IF(B3186="","",IF(COUNTIF(Campaigns!$A$7:$A$300,B3186)&gt;0,"✓","⚠ add to Campaigns tab"))</f>
        <v/>
      </c>
      <c r="I3186" s="84" t="str">
        <f aca="false">IF(C3186="","",C3186*IF(Settings!$B$23=Settings!$C$6,1,IF(Settings!$B$23="USD",1/INDEX(Settings!$B$29:$B$40,MONTH(A3186)),INDEX(Settings!$B$29:$B$40,MONTH(A3186)))))</f>
        <v/>
      </c>
    </row>
    <row r="3187" customFormat="false" ht="15" hidden="false" customHeight="false" outlineLevel="0" collapsed="false">
      <c r="H3187" s="0" t="str">
        <f aca="false">IF(B3187="","",IF(COUNTIF(Campaigns!$A$7:$A$300,B3187)&gt;0,"✓","⚠ add to Campaigns tab"))</f>
        <v/>
      </c>
      <c r="I3187" s="84" t="str">
        <f aca="false">IF(C3187="","",C3187*IF(Settings!$B$23=Settings!$C$6,1,IF(Settings!$B$23="USD",1/INDEX(Settings!$B$29:$B$40,MONTH(A3187)),INDEX(Settings!$B$29:$B$40,MONTH(A3187)))))</f>
        <v/>
      </c>
    </row>
    <row r="3188" customFormat="false" ht="15" hidden="false" customHeight="false" outlineLevel="0" collapsed="false">
      <c r="H3188" s="0" t="str">
        <f aca="false">IF(B3188="","",IF(COUNTIF(Campaigns!$A$7:$A$300,B3188)&gt;0,"✓","⚠ add to Campaigns tab"))</f>
        <v/>
      </c>
      <c r="I3188" s="84" t="str">
        <f aca="false">IF(C3188="","",C3188*IF(Settings!$B$23=Settings!$C$6,1,IF(Settings!$B$23="USD",1/INDEX(Settings!$B$29:$B$40,MONTH(A3188)),INDEX(Settings!$B$29:$B$40,MONTH(A3188)))))</f>
        <v/>
      </c>
    </row>
    <row r="3189" customFormat="false" ht="15" hidden="false" customHeight="false" outlineLevel="0" collapsed="false">
      <c r="H3189" s="0" t="str">
        <f aca="false">IF(B3189="","",IF(COUNTIF(Campaigns!$A$7:$A$300,B3189)&gt;0,"✓","⚠ add to Campaigns tab"))</f>
        <v/>
      </c>
      <c r="I3189" s="84" t="str">
        <f aca="false">IF(C3189="","",C3189*IF(Settings!$B$23=Settings!$C$6,1,IF(Settings!$B$23="USD",1/INDEX(Settings!$B$29:$B$40,MONTH(A3189)),INDEX(Settings!$B$29:$B$40,MONTH(A3189)))))</f>
        <v/>
      </c>
    </row>
    <row r="3190" customFormat="false" ht="15" hidden="false" customHeight="false" outlineLevel="0" collapsed="false">
      <c r="H3190" s="0" t="str">
        <f aca="false">IF(B3190="","",IF(COUNTIF(Campaigns!$A$7:$A$300,B3190)&gt;0,"✓","⚠ add to Campaigns tab"))</f>
        <v/>
      </c>
      <c r="I3190" s="84" t="str">
        <f aca="false">IF(C3190="","",C3190*IF(Settings!$B$23=Settings!$C$6,1,IF(Settings!$B$23="USD",1/INDEX(Settings!$B$29:$B$40,MONTH(A3190)),INDEX(Settings!$B$29:$B$40,MONTH(A3190)))))</f>
        <v/>
      </c>
    </row>
    <row r="3191" customFormat="false" ht="15" hidden="false" customHeight="false" outlineLevel="0" collapsed="false">
      <c r="H3191" s="0" t="str">
        <f aca="false">IF(B3191="","",IF(COUNTIF(Campaigns!$A$7:$A$300,B3191)&gt;0,"✓","⚠ add to Campaigns tab"))</f>
        <v/>
      </c>
      <c r="I3191" s="84" t="str">
        <f aca="false">IF(C3191="","",C3191*IF(Settings!$B$23=Settings!$C$6,1,IF(Settings!$B$23="USD",1/INDEX(Settings!$B$29:$B$40,MONTH(A3191)),INDEX(Settings!$B$29:$B$40,MONTH(A3191)))))</f>
        <v/>
      </c>
    </row>
    <row r="3192" customFormat="false" ht="15" hidden="false" customHeight="false" outlineLevel="0" collapsed="false">
      <c r="H3192" s="0" t="str">
        <f aca="false">IF(B3192="","",IF(COUNTIF(Campaigns!$A$7:$A$300,B3192)&gt;0,"✓","⚠ add to Campaigns tab"))</f>
        <v/>
      </c>
      <c r="I3192" s="84" t="str">
        <f aca="false">IF(C3192="","",C3192*IF(Settings!$B$23=Settings!$C$6,1,IF(Settings!$B$23="USD",1/INDEX(Settings!$B$29:$B$40,MONTH(A3192)),INDEX(Settings!$B$29:$B$40,MONTH(A3192)))))</f>
        <v/>
      </c>
    </row>
    <row r="3193" customFormat="false" ht="15" hidden="false" customHeight="false" outlineLevel="0" collapsed="false">
      <c r="H3193" s="0" t="str">
        <f aca="false">IF(B3193="","",IF(COUNTIF(Campaigns!$A$7:$A$300,B3193)&gt;0,"✓","⚠ add to Campaigns tab"))</f>
        <v/>
      </c>
      <c r="I3193" s="84" t="str">
        <f aca="false">IF(C3193="","",C3193*IF(Settings!$B$23=Settings!$C$6,1,IF(Settings!$B$23="USD",1/INDEX(Settings!$B$29:$B$40,MONTH(A3193)),INDEX(Settings!$B$29:$B$40,MONTH(A3193)))))</f>
        <v/>
      </c>
    </row>
    <row r="3194" customFormat="false" ht="15" hidden="false" customHeight="false" outlineLevel="0" collapsed="false">
      <c r="H3194" s="0" t="str">
        <f aca="false">IF(B3194="","",IF(COUNTIF(Campaigns!$A$7:$A$300,B3194)&gt;0,"✓","⚠ add to Campaigns tab"))</f>
        <v/>
      </c>
      <c r="I3194" s="84" t="str">
        <f aca="false">IF(C3194="","",C3194*IF(Settings!$B$23=Settings!$C$6,1,IF(Settings!$B$23="USD",1/INDEX(Settings!$B$29:$B$40,MONTH(A3194)),INDEX(Settings!$B$29:$B$40,MONTH(A3194)))))</f>
        <v/>
      </c>
    </row>
    <row r="3195" customFormat="false" ht="15" hidden="false" customHeight="false" outlineLevel="0" collapsed="false">
      <c r="H3195" s="0" t="str">
        <f aca="false">IF(B3195="","",IF(COUNTIF(Campaigns!$A$7:$A$300,B3195)&gt;0,"✓","⚠ add to Campaigns tab"))</f>
        <v/>
      </c>
      <c r="I3195" s="84" t="str">
        <f aca="false">IF(C3195="","",C3195*IF(Settings!$B$23=Settings!$C$6,1,IF(Settings!$B$23="USD",1/INDEX(Settings!$B$29:$B$40,MONTH(A3195)),INDEX(Settings!$B$29:$B$40,MONTH(A3195)))))</f>
        <v/>
      </c>
    </row>
    <row r="3196" customFormat="false" ht="15" hidden="false" customHeight="false" outlineLevel="0" collapsed="false">
      <c r="H3196" s="0" t="str">
        <f aca="false">IF(B3196="","",IF(COUNTIF(Campaigns!$A$7:$A$300,B3196)&gt;0,"✓","⚠ add to Campaigns tab"))</f>
        <v/>
      </c>
      <c r="I3196" s="84" t="str">
        <f aca="false">IF(C3196="","",C3196*IF(Settings!$B$23=Settings!$C$6,1,IF(Settings!$B$23="USD",1/INDEX(Settings!$B$29:$B$40,MONTH(A3196)),INDEX(Settings!$B$29:$B$40,MONTH(A3196)))))</f>
        <v/>
      </c>
    </row>
    <row r="3197" customFormat="false" ht="15" hidden="false" customHeight="false" outlineLevel="0" collapsed="false">
      <c r="H3197" s="0" t="str">
        <f aca="false">IF(B3197="","",IF(COUNTIF(Campaigns!$A$7:$A$300,B3197)&gt;0,"✓","⚠ add to Campaigns tab"))</f>
        <v/>
      </c>
      <c r="I3197" s="84" t="str">
        <f aca="false">IF(C3197="","",C3197*IF(Settings!$B$23=Settings!$C$6,1,IF(Settings!$B$23="USD",1/INDEX(Settings!$B$29:$B$40,MONTH(A3197)),INDEX(Settings!$B$29:$B$40,MONTH(A3197)))))</f>
        <v/>
      </c>
    </row>
    <row r="3198" customFormat="false" ht="15" hidden="false" customHeight="false" outlineLevel="0" collapsed="false">
      <c r="H3198" s="0" t="str">
        <f aca="false">IF(B3198="","",IF(COUNTIF(Campaigns!$A$7:$A$300,B3198)&gt;0,"✓","⚠ add to Campaigns tab"))</f>
        <v/>
      </c>
      <c r="I3198" s="84" t="str">
        <f aca="false">IF(C3198="","",C3198*IF(Settings!$B$23=Settings!$C$6,1,IF(Settings!$B$23="USD",1/INDEX(Settings!$B$29:$B$40,MONTH(A3198)),INDEX(Settings!$B$29:$B$40,MONTH(A3198)))))</f>
        <v/>
      </c>
    </row>
    <row r="3199" customFormat="false" ht="15" hidden="false" customHeight="false" outlineLevel="0" collapsed="false">
      <c r="H3199" s="0" t="str">
        <f aca="false">IF(B3199="","",IF(COUNTIF(Campaigns!$A$7:$A$300,B3199)&gt;0,"✓","⚠ add to Campaigns tab"))</f>
        <v/>
      </c>
      <c r="I3199" s="84" t="str">
        <f aca="false">IF(C3199="","",C3199*IF(Settings!$B$23=Settings!$C$6,1,IF(Settings!$B$23="USD",1/INDEX(Settings!$B$29:$B$40,MONTH(A3199)),INDEX(Settings!$B$29:$B$40,MONTH(A3199)))))</f>
        <v/>
      </c>
    </row>
    <row r="3200" customFormat="false" ht="15" hidden="false" customHeight="false" outlineLevel="0" collapsed="false">
      <c r="H3200" s="0" t="str">
        <f aca="false">IF(B3200="","",IF(COUNTIF(Campaigns!$A$7:$A$300,B3200)&gt;0,"✓","⚠ add to Campaigns tab"))</f>
        <v/>
      </c>
      <c r="I3200" s="84" t="str">
        <f aca="false">IF(C3200="","",C3200*IF(Settings!$B$23=Settings!$C$6,1,IF(Settings!$B$23="USD",1/INDEX(Settings!$B$29:$B$40,MONTH(A3200)),INDEX(Settings!$B$29:$B$40,MONTH(A3200)))))</f>
        <v/>
      </c>
    </row>
    <row r="3201" customFormat="false" ht="15" hidden="false" customHeight="false" outlineLevel="0" collapsed="false">
      <c r="H3201" s="0" t="str">
        <f aca="false">IF(B3201="","",IF(COUNTIF(Campaigns!$A$7:$A$300,B3201)&gt;0,"✓","⚠ add to Campaigns tab"))</f>
        <v/>
      </c>
      <c r="I3201" s="84" t="str">
        <f aca="false">IF(C3201="","",C3201*IF(Settings!$B$23=Settings!$C$6,1,IF(Settings!$B$23="USD",1/INDEX(Settings!$B$29:$B$40,MONTH(A3201)),INDEX(Settings!$B$29:$B$40,MONTH(A3201)))))</f>
        <v/>
      </c>
    </row>
    <row r="3202" customFormat="false" ht="15" hidden="false" customHeight="false" outlineLevel="0" collapsed="false">
      <c r="H3202" s="0" t="str">
        <f aca="false">IF(B3202="","",IF(COUNTIF(Campaigns!$A$7:$A$300,B3202)&gt;0,"✓","⚠ add to Campaigns tab"))</f>
        <v/>
      </c>
      <c r="I3202" s="84" t="str">
        <f aca="false">IF(C3202="","",C3202*IF(Settings!$B$23=Settings!$C$6,1,IF(Settings!$B$23="USD",1/INDEX(Settings!$B$29:$B$40,MONTH(A3202)),INDEX(Settings!$B$29:$B$40,MONTH(A3202)))))</f>
        <v/>
      </c>
    </row>
    <row r="3203" customFormat="false" ht="15" hidden="false" customHeight="false" outlineLevel="0" collapsed="false">
      <c r="H3203" s="0" t="str">
        <f aca="false">IF(B3203="","",IF(COUNTIF(Campaigns!$A$7:$A$300,B3203)&gt;0,"✓","⚠ add to Campaigns tab"))</f>
        <v/>
      </c>
      <c r="I3203" s="84" t="str">
        <f aca="false">IF(C3203="","",C3203*IF(Settings!$B$23=Settings!$C$6,1,IF(Settings!$B$23="USD",1/INDEX(Settings!$B$29:$B$40,MONTH(A3203)),INDEX(Settings!$B$29:$B$40,MONTH(A3203)))))</f>
        <v/>
      </c>
    </row>
    <row r="3204" customFormat="false" ht="15" hidden="false" customHeight="false" outlineLevel="0" collapsed="false">
      <c r="H3204" s="0" t="str">
        <f aca="false">IF(B3204="","",IF(COUNTIF(Campaigns!$A$7:$A$300,B3204)&gt;0,"✓","⚠ add to Campaigns tab"))</f>
        <v/>
      </c>
      <c r="I3204" s="84" t="str">
        <f aca="false">IF(C3204="","",C3204*IF(Settings!$B$23=Settings!$C$6,1,IF(Settings!$B$23="USD",1/INDEX(Settings!$B$29:$B$40,MONTH(A3204)),INDEX(Settings!$B$29:$B$40,MONTH(A3204)))))</f>
        <v/>
      </c>
    </row>
    <row r="3205" customFormat="false" ht="15" hidden="false" customHeight="false" outlineLevel="0" collapsed="false">
      <c r="H3205" s="0" t="str">
        <f aca="false">IF(B3205="","",IF(COUNTIF(Campaigns!$A$7:$A$300,B3205)&gt;0,"✓","⚠ add to Campaigns tab"))</f>
        <v/>
      </c>
      <c r="I3205" s="84" t="str">
        <f aca="false">IF(C3205="","",C3205*IF(Settings!$B$23=Settings!$C$6,1,IF(Settings!$B$23="USD",1/INDEX(Settings!$B$29:$B$40,MONTH(A3205)),INDEX(Settings!$B$29:$B$40,MONTH(A3205)))))</f>
        <v/>
      </c>
    </row>
    <row r="3206" customFormat="false" ht="15" hidden="false" customHeight="false" outlineLevel="0" collapsed="false">
      <c r="H3206" s="0" t="str">
        <f aca="false">IF(B3206="","",IF(COUNTIF(Campaigns!$A$7:$A$300,B3206)&gt;0,"✓","⚠ add to Campaigns tab"))</f>
        <v/>
      </c>
      <c r="I3206" s="84" t="str">
        <f aca="false">IF(C3206="","",C3206*IF(Settings!$B$23=Settings!$C$6,1,IF(Settings!$B$23="USD",1/INDEX(Settings!$B$29:$B$40,MONTH(A3206)),INDEX(Settings!$B$29:$B$40,MONTH(A3206)))))</f>
        <v/>
      </c>
    </row>
    <row r="3207" customFormat="false" ht="15" hidden="false" customHeight="false" outlineLevel="0" collapsed="false">
      <c r="H3207" s="0" t="str">
        <f aca="false">IF(B3207="","",IF(COUNTIF(Campaigns!$A$7:$A$300,B3207)&gt;0,"✓","⚠ add to Campaigns tab"))</f>
        <v/>
      </c>
      <c r="I3207" s="84" t="str">
        <f aca="false">IF(C3207="","",C3207*IF(Settings!$B$23=Settings!$C$6,1,IF(Settings!$B$23="USD",1/INDEX(Settings!$B$29:$B$40,MONTH(A3207)),INDEX(Settings!$B$29:$B$40,MONTH(A3207)))))</f>
        <v/>
      </c>
    </row>
    <row r="3208" customFormat="false" ht="15" hidden="false" customHeight="false" outlineLevel="0" collapsed="false">
      <c r="H3208" s="0" t="str">
        <f aca="false">IF(B3208="","",IF(COUNTIF(Campaigns!$A$7:$A$300,B3208)&gt;0,"✓","⚠ add to Campaigns tab"))</f>
        <v/>
      </c>
      <c r="I3208" s="84" t="str">
        <f aca="false">IF(C3208="","",C3208*IF(Settings!$B$23=Settings!$C$6,1,IF(Settings!$B$23="USD",1/INDEX(Settings!$B$29:$B$40,MONTH(A3208)),INDEX(Settings!$B$29:$B$40,MONTH(A3208)))))</f>
        <v/>
      </c>
    </row>
    <row r="3209" customFormat="false" ht="15" hidden="false" customHeight="false" outlineLevel="0" collapsed="false">
      <c r="H3209" s="0" t="str">
        <f aca="false">IF(B3209="","",IF(COUNTIF(Campaigns!$A$7:$A$300,B3209)&gt;0,"✓","⚠ add to Campaigns tab"))</f>
        <v/>
      </c>
      <c r="I3209" s="84" t="str">
        <f aca="false">IF(C3209="","",C3209*IF(Settings!$B$23=Settings!$C$6,1,IF(Settings!$B$23="USD",1/INDEX(Settings!$B$29:$B$40,MONTH(A3209)),INDEX(Settings!$B$29:$B$40,MONTH(A3209)))))</f>
        <v/>
      </c>
    </row>
    <row r="3210" customFormat="false" ht="15" hidden="false" customHeight="false" outlineLevel="0" collapsed="false">
      <c r="H3210" s="0" t="str">
        <f aca="false">IF(B3210="","",IF(COUNTIF(Campaigns!$A$7:$A$300,B3210)&gt;0,"✓","⚠ add to Campaigns tab"))</f>
        <v/>
      </c>
      <c r="I3210" s="84" t="str">
        <f aca="false">IF(C3210="","",C3210*IF(Settings!$B$23=Settings!$C$6,1,IF(Settings!$B$23="USD",1/INDEX(Settings!$B$29:$B$40,MONTH(A3210)),INDEX(Settings!$B$29:$B$40,MONTH(A3210)))))</f>
        <v/>
      </c>
    </row>
    <row r="3211" customFormat="false" ht="15" hidden="false" customHeight="false" outlineLevel="0" collapsed="false">
      <c r="H3211" s="0" t="str">
        <f aca="false">IF(B3211="","",IF(COUNTIF(Campaigns!$A$7:$A$300,B3211)&gt;0,"✓","⚠ add to Campaigns tab"))</f>
        <v/>
      </c>
      <c r="I3211" s="84" t="str">
        <f aca="false">IF(C3211="","",C3211*IF(Settings!$B$23=Settings!$C$6,1,IF(Settings!$B$23="USD",1/INDEX(Settings!$B$29:$B$40,MONTH(A3211)),INDEX(Settings!$B$29:$B$40,MONTH(A3211)))))</f>
        <v/>
      </c>
    </row>
    <row r="3212" customFormat="false" ht="15" hidden="false" customHeight="false" outlineLevel="0" collapsed="false">
      <c r="H3212" s="0" t="str">
        <f aca="false">IF(B3212="","",IF(COUNTIF(Campaigns!$A$7:$A$300,B3212)&gt;0,"✓","⚠ add to Campaigns tab"))</f>
        <v/>
      </c>
      <c r="I3212" s="84" t="str">
        <f aca="false">IF(C3212="","",C3212*IF(Settings!$B$23=Settings!$C$6,1,IF(Settings!$B$23="USD",1/INDEX(Settings!$B$29:$B$40,MONTH(A3212)),INDEX(Settings!$B$29:$B$40,MONTH(A3212)))))</f>
        <v/>
      </c>
    </row>
    <row r="3213" customFormat="false" ht="15" hidden="false" customHeight="false" outlineLevel="0" collapsed="false">
      <c r="H3213" s="0" t="str">
        <f aca="false">IF(B3213="","",IF(COUNTIF(Campaigns!$A$7:$A$300,B3213)&gt;0,"✓","⚠ add to Campaigns tab"))</f>
        <v/>
      </c>
      <c r="I3213" s="84" t="str">
        <f aca="false">IF(C3213="","",C3213*IF(Settings!$B$23=Settings!$C$6,1,IF(Settings!$B$23="USD",1/INDEX(Settings!$B$29:$B$40,MONTH(A3213)),INDEX(Settings!$B$29:$B$40,MONTH(A3213)))))</f>
        <v/>
      </c>
    </row>
    <row r="3214" customFormat="false" ht="15" hidden="false" customHeight="false" outlineLevel="0" collapsed="false">
      <c r="H3214" s="0" t="str">
        <f aca="false">IF(B3214="","",IF(COUNTIF(Campaigns!$A$7:$A$300,B3214)&gt;0,"✓","⚠ add to Campaigns tab"))</f>
        <v/>
      </c>
      <c r="I3214" s="84" t="str">
        <f aca="false">IF(C3214="","",C3214*IF(Settings!$B$23=Settings!$C$6,1,IF(Settings!$B$23="USD",1/INDEX(Settings!$B$29:$B$40,MONTH(A3214)),INDEX(Settings!$B$29:$B$40,MONTH(A3214)))))</f>
        <v/>
      </c>
    </row>
    <row r="3215" customFormat="false" ht="15" hidden="false" customHeight="false" outlineLevel="0" collapsed="false">
      <c r="H3215" s="0" t="str">
        <f aca="false">IF(B3215="","",IF(COUNTIF(Campaigns!$A$7:$A$300,B3215)&gt;0,"✓","⚠ add to Campaigns tab"))</f>
        <v/>
      </c>
      <c r="I3215" s="84" t="str">
        <f aca="false">IF(C3215="","",C3215*IF(Settings!$B$23=Settings!$C$6,1,IF(Settings!$B$23="USD",1/INDEX(Settings!$B$29:$B$40,MONTH(A3215)),INDEX(Settings!$B$29:$B$40,MONTH(A3215)))))</f>
        <v/>
      </c>
    </row>
    <row r="3216" customFormat="false" ht="15" hidden="false" customHeight="false" outlineLevel="0" collapsed="false">
      <c r="H3216" s="0" t="str">
        <f aca="false">IF(B3216="","",IF(COUNTIF(Campaigns!$A$7:$A$300,B3216)&gt;0,"✓","⚠ add to Campaigns tab"))</f>
        <v/>
      </c>
      <c r="I3216" s="84" t="str">
        <f aca="false">IF(C3216="","",C3216*IF(Settings!$B$23=Settings!$C$6,1,IF(Settings!$B$23="USD",1/INDEX(Settings!$B$29:$B$40,MONTH(A3216)),INDEX(Settings!$B$29:$B$40,MONTH(A3216)))))</f>
        <v/>
      </c>
    </row>
    <row r="3217" customFormat="false" ht="15" hidden="false" customHeight="false" outlineLevel="0" collapsed="false">
      <c r="H3217" s="0" t="str">
        <f aca="false">IF(B3217="","",IF(COUNTIF(Campaigns!$A$7:$A$300,B3217)&gt;0,"✓","⚠ add to Campaigns tab"))</f>
        <v/>
      </c>
      <c r="I3217" s="84" t="str">
        <f aca="false">IF(C3217="","",C3217*IF(Settings!$B$23=Settings!$C$6,1,IF(Settings!$B$23="USD",1/INDEX(Settings!$B$29:$B$40,MONTH(A3217)),INDEX(Settings!$B$29:$B$40,MONTH(A3217)))))</f>
        <v/>
      </c>
    </row>
    <row r="3218" customFormat="false" ht="15" hidden="false" customHeight="false" outlineLevel="0" collapsed="false">
      <c r="H3218" s="0" t="str">
        <f aca="false">IF(B3218="","",IF(COUNTIF(Campaigns!$A$7:$A$300,B3218)&gt;0,"✓","⚠ add to Campaigns tab"))</f>
        <v/>
      </c>
      <c r="I3218" s="84" t="str">
        <f aca="false">IF(C3218="","",C3218*IF(Settings!$B$23=Settings!$C$6,1,IF(Settings!$B$23="USD",1/INDEX(Settings!$B$29:$B$40,MONTH(A3218)),INDEX(Settings!$B$29:$B$40,MONTH(A3218)))))</f>
        <v/>
      </c>
    </row>
    <row r="3219" customFormat="false" ht="15" hidden="false" customHeight="false" outlineLevel="0" collapsed="false">
      <c r="H3219" s="0" t="str">
        <f aca="false">IF(B3219="","",IF(COUNTIF(Campaigns!$A$7:$A$300,B3219)&gt;0,"✓","⚠ add to Campaigns tab"))</f>
        <v/>
      </c>
      <c r="I3219" s="84" t="str">
        <f aca="false">IF(C3219="","",C3219*IF(Settings!$B$23=Settings!$C$6,1,IF(Settings!$B$23="USD",1/INDEX(Settings!$B$29:$B$40,MONTH(A3219)),INDEX(Settings!$B$29:$B$40,MONTH(A3219)))))</f>
        <v/>
      </c>
    </row>
    <row r="3220" customFormat="false" ht="15" hidden="false" customHeight="false" outlineLevel="0" collapsed="false">
      <c r="H3220" s="0" t="str">
        <f aca="false">IF(B3220="","",IF(COUNTIF(Campaigns!$A$7:$A$300,B3220)&gt;0,"✓","⚠ add to Campaigns tab"))</f>
        <v/>
      </c>
      <c r="I3220" s="84" t="str">
        <f aca="false">IF(C3220="","",C3220*IF(Settings!$B$23=Settings!$C$6,1,IF(Settings!$B$23="USD",1/INDEX(Settings!$B$29:$B$40,MONTH(A3220)),INDEX(Settings!$B$29:$B$40,MONTH(A3220)))))</f>
        <v/>
      </c>
    </row>
    <row r="3221" customFormat="false" ht="15" hidden="false" customHeight="false" outlineLevel="0" collapsed="false">
      <c r="H3221" s="0" t="str">
        <f aca="false">IF(B3221="","",IF(COUNTIF(Campaigns!$A$7:$A$300,B3221)&gt;0,"✓","⚠ add to Campaigns tab"))</f>
        <v/>
      </c>
      <c r="I3221" s="84" t="str">
        <f aca="false">IF(C3221="","",C3221*IF(Settings!$B$23=Settings!$C$6,1,IF(Settings!$B$23="USD",1/INDEX(Settings!$B$29:$B$40,MONTH(A3221)),INDEX(Settings!$B$29:$B$40,MONTH(A3221)))))</f>
        <v/>
      </c>
    </row>
    <row r="3222" customFormat="false" ht="15" hidden="false" customHeight="false" outlineLevel="0" collapsed="false">
      <c r="H3222" s="0" t="str">
        <f aca="false">IF(B3222="","",IF(COUNTIF(Campaigns!$A$7:$A$300,B3222)&gt;0,"✓","⚠ add to Campaigns tab"))</f>
        <v/>
      </c>
      <c r="I3222" s="84" t="str">
        <f aca="false">IF(C3222="","",C3222*IF(Settings!$B$23=Settings!$C$6,1,IF(Settings!$B$23="USD",1/INDEX(Settings!$B$29:$B$40,MONTH(A3222)),INDEX(Settings!$B$29:$B$40,MONTH(A3222)))))</f>
        <v/>
      </c>
    </row>
    <row r="3223" customFormat="false" ht="15" hidden="false" customHeight="false" outlineLevel="0" collapsed="false">
      <c r="H3223" s="0" t="str">
        <f aca="false">IF(B3223="","",IF(COUNTIF(Campaigns!$A$7:$A$300,B3223)&gt;0,"✓","⚠ add to Campaigns tab"))</f>
        <v/>
      </c>
      <c r="I3223" s="84" t="str">
        <f aca="false">IF(C3223="","",C3223*IF(Settings!$B$23=Settings!$C$6,1,IF(Settings!$B$23="USD",1/INDEX(Settings!$B$29:$B$40,MONTH(A3223)),INDEX(Settings!$B$29:$B$40,MONTH(A3223)))))</f>
        <v/>
      </c>
    </row>
    <row r="3224" customFormat="false" ht="15" hidden="false" customHeight="false" outlineLevel="0" collapsed="false">
      <c r="H3224" s="0" t="str">
        <f aca="false">IF(B3224="","",IF(COUNTIF(Campaigns!$A$7:$A$300,B3224)&gt;0,"✓","⚠ add to Campaigns tab"))</f>
        <v/>
      </c>
      <c r="I3224" s="84" t="str">
        <f aca="false">IF(C3224="","",C3224*IF(Settings!$B$23=Settings!$C$6,1,IF(Settings!$B$23="USD",1/INDEX(Settings!$B$29:$B$40,MONTH(A3224)),INDEX(Settings!$B$29:$B$40,MONTH(A3224)))))</f>
        <v/>
      </c>
    </row>
    <row r="3225" customFormat="false" ht="15" hidden="false" customHeight="false" outlineLevel="0" collapsed="false">
      <c r="H3225" s="0" t="str">
        <f aca="false">IF(B3225="","",IF(COUNTIF(Campaigns!$A$7:$A$300,B3225)&gt;0,"✓","⚠ add to Campaigns tab"))</f>
        <v/>
      </c>
      <c r="I3225" s="84" t="str">
        <f aca="false">IF(C3225="","",C3225*IF(Settings!$B$23=Settings!$C$6,1,IF(Settings!$B$23="USD",1/INDEX(Settings!$B$29:$B$40,MONTH(A3225)),INDEX(Settings!$B$29:$B$40,MONTH(A3225)))))</f>
        <v/>
      </c>
    </row>
    <row r="3226" customFormat="false" ht="15" hidden="false" customHeight="false" outlineLevel="0" collapsed="false">
      <c r="H3226" s="0" t="str">
        <f aca="false">IF(B3226="","",IF(COUNTIF(Campaigns!$A$7:$A$300,B3226)&gt;0,"✓","⚠ add to Campaigns tab"))</f>
        <v/>
      </c>
      <c r="I3226" s="84" t="str">
        <f aca="false">IF(C3226="","",C3226*IF(Settings!$B$23=Settings!$C$6,1,IF(Settings!$B$23="USD",1/INDEX(Settings!$B$29:$B$40,MONTH(A3226)),INDEX(Settings!$B$29:$B$40,MONTH(A3226)))))</f>
        <v/>
      </c>
    </row>
    <row r="3227" customFormat="false" ht="15" hidden="false" customHeight="false" outlineLevel="0" collapsed="false">
      <c r="H3227" s="0" t="str">
        <f aca="false">IF(B3227="","",IF(COUNTIF(Campaigns!$A$7:$A$300,B3227)&gt;0,"✓","⚠ add to Campaigns tab"))</f>
        <v/>
      </c>
      <c r="I3227" s="84" t="str">
        <f aca="false">IF(C3227="","",C3227*IF(Settings!$B$23=Settings!$C$6,1,IF(Settings!$B$23="USD",1/INDEX(Settings!$B$29:$B$40,MONTH(A3227)),INDEX(Settings!$B$29:$B$40,MONTH(A3227)))))</f>
        <v/>
      </c>
    </row>
    <row r="3228" customFormat="false" ht="15" hidden="false" customHeight="false" outlineLevel="0" collapsed="false">
      <c r="H3228" s="0" t="str">
        <f aca="false">IF(B3228="","",IF(COUNTIF(Campaigns!$A$7:$A$300,B3228)&gt;0,"✓","⚠ add to Campaigns tab"))</f>
        <v/>
      </c>
      <c r="I3228" s="84" t="str">
        <f aca="false">IF(C3228="","",C3228*IF(Settings!$B$23=Settings!$C$6,1,IF(Settings!$B$23="USD",1/INDEX(Settings!$B$29:$B$40,MONTH(A3228)),INDEX(Settings!$B$29:$B$40,MONTH(A3228)))))</f>
        <v/>
      </c>
    </row>
    <row r="3229" customFormat="false" ht="15" hidden="false" customHeight="false" outlineLevel="0" collapsed="false">
      <c r="H3229" s="0" t="str">
        <f aca="false">IF(B3229="","",IF(COUNTIF(Campaigns!$A$7:$A$300,B3229)&gt;0,"✓","⚠ add to Campaigns tab"))</f>
        <v/>
      </c>
      <c r="I3229" s="84" t="str">
        <f aca="false">IF(C3229="","",C3229*IF(Settings!$B$23=Settings!$C$6,1,IF(Settings!$B$23="USD",1/INDEX(Settings!$B$29:$B$40,MONTH(A3229)),INDEX(Settings!$B$29:$B$40,MONTH(A3229)))))</f>
        <v/>
      </c>
    </row>
    <row r="3230" customFormat="false" ht="15" hidden="false" customHeight="false" outlineLevel="0" collapsed="false">
      <c r="H3230" s="0" t="str">
        <f aca="false">IF(B3230="","",IF(COUNTIF(Campaigns!$A$7:$A$300,B3230)&gt;0,"✓","⚠ add to Campaigns tab"))</f>
        <v/>
      </c>
      <c r="I3230" s="84" t="str">
        <f aca="false">IF(C3230="","",C3230*IF(Settings!$B$23=Settings!$C$6,1,IF(Settings!$B$23="USD",1/INDEX(Settings!$B$29:$B$40,MONTH(A3230)),INDEX(Settings!$B$29:$B$40,MONTH(A3230)))))</f>
        <v/>
      </c>
    </row>
    <row r="3231" customFormat="false" ht="15" hidden="false" customHeight="false" outlineLevel="0" collapsed="false">
      <c r="H3231" s="0" t="str">
        <f aca="false">IF(B3231="","",IF(COUNTIF(Campaigns!$A$7:$A$300,B3231)&gt;0,"✓","⚠ add to Campaigns tab"))</f>
        <v/>
      </c>
      <c r="I3231" s="84" t="str">
        <f aca="false">IF(C3231="","",C3231*IF(Settings!$B$23=Settings!$C$6,1,IF(Settings!$B$23="USD",1/INDEX(Settings!$B$29:$B$40,MONTH(A3231)),INDEX(Settings!$B$29:$B$40,MONTH(A3231)))))</f>
        <v/>
      </c>
    </row>
    <row r="3232" customFormat="false" ht="15" hidden="false" customHeight="false" outlineLevel="0" collapsed="false">
      <c r="H3232" s="0" t="str">
        <f aca="false">IF(B3232="","",IF(COUNTIF(Campaigns!$A$7:$A$300,B3232)&gt;0,"✓","⚠ add to Campaigns tab"))</f>
        <v/>
      </c>
      <c r="I3232" s="84" t="str">
        <f aca="false">IF(C3232="","",C3232*IF(Settings!$B$23=Settings!$C$6,1,IF(Settings!$B$23="USD",1/INDEX(Settings!$B$29:$B$40,MONTH(A3232)),INDEX(Settings!$B$29:$B$40,MONTH(A3232)))))</f>
        <v/>
      </c>
    </row>
    <row r="3233" customFormat="false" ht="15" hidden="false" customHeight="false" outlineLevel="0" collapsed="false">
      <c r="H3233" s="0" t="str">
        <f aca="false">IF(B3233="","",IF(COUNTIF(Campaigns!$A$7:$A$300,B3233)&gt;0,"✓","⚠ add to Campaigns tab"))</f>
        <v/>
      </c>
      <c r="I3233" s="84" t="str">
        <f aca="false">IF(C3233="","",C3233*IF(Settings!$B$23=Settings!$C$6,1,IF(Settings!$B$23="USD",1/INDEX(Settings!$B$29:$B$40,MONTH(A3233)),INDEX(Settings!$B$29:$B$40,MONTH(A3233)))))</f>
        <v/>
      </c>
    </row>
    <row r="3234" customFormat="false" ht="15" hidden="false" customHeight="false" outlineLevel="0" collapsed="false">
      <c r="H3234" s="0" t="str">
        <f aca="false">IF(B3234="","",IF(COUNTIF(Campaigns!$A$7:$A$300,B3234)&gt;0,"✓","⚠ add to Campaigns tab"))</f>
        <v/>
      </c>
      <c r="I3234" s="84" t="str">
        <f aca="false">IF(C3234="","",C3234*IF(Settings!$B$23=Settings!$C$6,1,IF(Settings!$B$23="USD",1/INDEX(Settings!$B$29:$B$40,MONTH(A3234)),INDEX(Settings!$B$29:$B$40,MONTH(A3234)))))</f>
        <v/>
      </c>
    </row>
    <row r="3235" customFormat="false" ht="15" hidden="false" customHeight="false" outlineLevel="0" collapsed="false">
      <c r="H3235" s="0" t="str">
        <f aca="false">IF(B3235="","",IF(COUNTIF(Campaigns!$A$7:$A$300,B3235)&gt;0,"✓","⚠ add to Campaigns tab"))</f>
        <v/>
      </c>
      <c r="I3235" s="84" t="str">
        <f aca="false">IF(C3235="","",C3235*IF(Settings!$B$23=Settings!$C$6,1,IF(Settings!$B$23="USD",1/INDEX(Settings!$B$29:$B$40,MONTH(A3235)),INDEX(Settings!$B$29:$B$40,MONTH(A3235)))))</f>
        <v/>
      </c>
    </row>
    <row r="3236" customFormat="false" ht="15" hidden="false" customHeight="false" outlineLevel="0" collapsed="false">
      <c r="H3236" s="0" t="str">
        <f aca="false">IF(B3236="","",IF(COUNTIF(Campaigns!$A$7:$A$300,B3236)&gt;0,"✓","⚠ add to Campaigns tab"))</f>
        <v/>
      </c>
      <c r="I3236" s="84" t="str">
        <f aca="false">IF(C3236="","",C3236*IF(Settings!$B$23=Settings!$C$6,1,IF(Settings!$B$23="USD",1/INDEX(Settings!$B$29:$B$40,MONTH(A3236)),INDEX(Settings!$B$29:$B$40,MONTH(A3236)))))</f>
        <v/>
      </c>
    </row>
    <row r="3237" customFormat="false" ht="15" hidden="false" customHeight="false" outlineLevel="0" collapsed="false">
      <c r="H3237" s="0" t="str">
        <f aca="false">IF(B3237="","",IF(COUNTIF(Campaigns!$A$7:$A$300,B3237)&gt;0,"✓","⚠ add to Campaigns tab"))</f>
        <v/>
      </c>
      <c r="I3237" s="84" t="str">
        <f aca="false">IF(C3237="","",C3237*IF(Settings!$B$23=Settings!$C$6,1,IF(Settings!$B$23="USD",1/INDEX(Settings!$B$29:$B$40,MONTH(A3237)),INDEX(Settings!$B$29:$B$40,MONTH(A3237)))))</f>
        <v/>
      </c>
    </row>
    <row r="3238" customFormat="false" ht="15" hidden="false" customHeight="false" outlineLevel="0" collapsed="false">
      <c r="H3238" s="0" t="str">
        <f aca="false">IF(B3238="","",IF(COUNTIF(Campaigns!$A$7:$A$300,B3238)&gt;0,"✓","⚠ add to Campaigns tab"))</f>
        <v/>
      </c>
      <c r="I3238" s="84" t="str">
        <f aca="false">IF(C3238="","",C3238*IF(Settings!$B$23=Settings!$C$6,1,IF(Settings!$B$23="USD",1/INDEX(Settings!$B$29:$B$40,MONTH(A3238)),INDEX(Settings!$B$29:$B$40,MONTH(A3238)))))</f>
        <v/>
      </c>
    </row>
    <row r="3239" customFormat="false" ht="15" hidden="false" customHeight="false" outlineLevel="0" collapsed="false">
      <c r="H3239" s="0" t="str">
        <f aca="false">IF(B3239="","",IF(COUNTIF(Campaigns!$A$7:$A$300,B3239)&gt;0,"✓","⚠ add to Campaigns tab"))</f>
        <v/>
      </c>
      <c r="I3239" s="84" t="str">
        <f aca="false">IF(C3239="","",C3239*IF(Settings!$B$23=Settings!$C$6,1,IF(Settings!$B$23="USD",1/INDEX(Settings!$B$29:$B$40,MONTH(A3239)),INDEX(Settings!$B$29:$B$40,MONTH(A3239)))))</f>
        <v/>
      </c>
    </row>
    <row r="3240" customFormat="false" ht="15" hidden="false" customHeight="false" outlineLevel="0" collapsed="false">
      <c r="H3240" s="0" t="str">
        <f aca="false">IF(B3240="","",IF(COUNTIF(Campaigns!$A$7:$A$300,B3240)&gt;0,"✓","⚠ add to Campaigns tab"))</f>
        <v/>
      </c>
      <c r="I3240" s="84" t="str">
        <f aca="false">IF(C3240="","",C3240*IF(Settings!$B$23=Settings!$C$6,1,IF(Settings!$B$23="USD",1/INDEX(Settings!$B$29:$B$40,MONTH(A3240)),INDEX(Settings!$B$29:$B$40,MONTH(A3240)))))</f>
        <v/>
      </c>
    </row>
    <row r="3241" customFormat="false" ht="15" hidden="false" customHeight="false" outlineLevel="0" collapsed="false">
      <c r="H3241" s="0" t="str">
        <f aca="false">IF(B3241="","",IF(COUNTIF(Campaigns!$A$7:$A$300,B3241)&gt;0,"✓","⚠ add to Campaigns tab"))</f>
        <v/>
      </c>
      <c r="I3241" s="84" t="str">
        <f aca="false">IF(C3241="","",C3241*IF(Settings!$B$23=Settings!$C$6,1,IF(Settings!$B$23="USD",1/INDEX(Settings!$B$29:$B$40,MONTH(A3241)),INDEX(Settings!$B$29:$B$40,MONTH(A3241)))))</f>
        <v/>
      </c>
    </row>
    <row r="3242" customFormat="false" ht="15" hidden="false" customHeight="false" outlineLevel="0" collapsed="false">
      <c r="H3242" s="0" t="str">
        <f aca="false">IF(B3242="","",IF(COUNTIF(Campaigns!$A$7:$A$300,B3242)&gt;0,"✓","⚠ add to Campaigns tab"))</f>
        <v/>
      </c>
      <c r="I3242" s="84" t="str">
        <f aca="false">IF(C3242="","",C3242*IF(Settings!$B$23=Settings!$C$6,1,IF(Settings!$B$23="USD",1/INDEX(Settings!$B$29:$B$40,MONTH(A3242)),INDEX(Settings!$B$29:$B$40,MONTH(A3242)))))</f>
        <v/>
      </c>
    </row>
    <row r="3243" customFormat="false" ht="15" hidden="false" customHeight="false" outlineLevel="0" collapsed="false">
      <c r="H3243" s="0" t="str">
        <f aca="false">IF(B3243="","",IF(COUNTIF(Campaigns!$A$7:$A$300,B3243)&gt;0,"✓","⚠ add to Campaigns tab"))</f>
        <v/>
      </c>
      <c r="I3243" s="84" t="str">
        <f aca="false">IF(C3243="","",C3243*IF(Settings!$B$23=Settings!$C$6,1,IF(Settings!$B$23="USD",1/INDEX(Settings!$B$29:$B$40,MONTH(A3243)),INDEX(Settings!$B$29:$B$40,MONTH(A3243)))))</f>
        <v/>
      </c>
    </row>
    <row r="3244" customFormat="false" ht="15" hidden="false" customHeight="false" outlineLevel="0" collapsed="false">
      <c r="H3244" s="0" t="str">
        <f aca="false">IF(B3244="","",IF(COUNTIF(Campaigns!$A$7:$A$300,B3244)&gt;0,"✓","⚠ add to Campaigns tab"))</f>
        <v/>
      </c>
      <c r="I3244" s="84" t="str">
        <f aca="false">IF(C3244="","",C3244*IF(Settings!$B$23=Settings!$C$6,1,IF(Settings!$B$23="USD",1/INDEX(Settings!$B$29:$B$40,MONTH(A3244)),INDEX(Settings!$B$29:$B$40,MONTH(A3244)))))</f>
        <v/>
      </c>
    </row>
    <row r="3245" customFormat="false" ht="15" hidden="false" customHeight="false" outlineLevel="0" collapsed="false">
      <c r="H3245" s="0" t="str">
        <f aca="false">IF(B3245="","",IF(COUNTIF(Campaigns!$A$7:$A$300,B3245)&gt;0,"✓","⚠ add to Campaigns tab"))</f>
        <v/>
      </c>
      <c r="I3245" s="84" t="str">
        <f aca="false">IF(C3245="","",C3245*IF(Settings!$B$23=Settings!$C$6,1,IF(Settings!$B$23="USD",1/INDEX(Settings!$B$29:$B$40,MONTH(A3245)),INDEX(Settings!$B$29:$B$40,MONTH(A3245)))))</f>
        <v/>
      </c>
    </row>
    <row r="3246" customFormat="false" ht="15" hidden="false" customHeight="false" outlineLevel="0" collapsed="false">
      <c r="H3246" s="0" t="str">
        <f aca="false">IF(B3246="","",IF(COUNTIF(Campaigns!$A$7:$A$300,B3246)&gt;0,"✓","⚠ add to Campaigns tab"))</f>
        <v/>
      </c>
      <c r="I3246" s="84" t="str">
        <f aca="false">IF(C3246="","",C3246*IF(Settings!$B$23=Settings!$C$6,1,IF(Settings!$B$23="USD",1/INDEX(Settings!$B$29:$B$40,MONTH(A3246)),INDEX(Settings!$B$29:$B$40,MONTH(A3246)))))</f>
        <v/>
      </c>
    </row>
    <row r="3247" customFormat="false" ht="15" hidden="false" customHeight="false" outlineLevel="0" collapsed="false">
      <c r="H3247" s="0" t="str">
        <f aca="false">IF(B3247="","",IF(COUNTIF(Campaigns!$A$7:$A$300,B3247)&gt;0,"✓","⚠ add to Campaigns tab"))</f>
        <v/>
      </c>
      <c r="I3247" s="84" t="str">
        <f aca="false">IF(C3247="","",C3247*IF(Settings!$B$23=Settings!$C$6,1,IF(Settings!$B$23="USD",1/INDEX(Settings!$B$29:$B$40,MONTH(A3247)),INDEX(Settings!$B$29:$B$40,MONTH(A3247)))))</f>
        <v/>
      </c>
    </row>
    <row r="3248" customFormat="false" ht="15" hidden="false" customHeight="false" outlineLevel="0" collapsed="false">
      <c r="H3248" s="0" t="str">
        <f aca="false">IF(B3248="","",IF(COUNTIF(Campaigns!$A$7:$A$300,B3248)&gt;0,"✓","⚠ add to Campaigns tab"))</f>
        <v/>
      </c>
      <c r="I3248" s="84" t="str">
        <f aca="false">IF(C3248="","",C3248*IF(Settings!$B$23=Settings!$C$6,1,IF(Settings!$B$23="USD",1/INDEX(Settings!$B$29:$B$40,MONTH(A3248)),INDEX(Settings!$B$29:$B$40,MONTH(A3248)))))</f>
        <v/>
      </c>
    </row>
    <row r="3249" customFormat="false" ht="15" hidden="false" customHeight="false" outlineLevel="0" collapsed="false">
      <c r="H3249" s="0" t="str">
        <f aca="false">IF(B3249="","",IF(COUNTIF(Campaigns!$A$7:$A$300,B3249)&gt;0,"✓","⚠ add to Campaigns tab"))</f>
        <v/>
      </c>
      <c r="I3249" s="84" t="str">
        <f aca="false">IF(C3249="","",C3249*IF(Settings!$B$23=Settings!$C$6,1,IF(Settings!$B$23="USD",1/INDEX(Settings!$B$29:$B$40,MONTH(A3249)),INDEX(Settings!$B$29:$B$40,MONTH(A3249)))))</f>
        <v/>
      </c>
    </row>
    <row r="3250" customFormat="false" ht="15" hidden="false" customHeight="false" outlineLevel="0" collapsed="false">
      <c r="H3250" s="0" t="str">
        <f aca="false">IF(B3250="","",IF(COUNTIF(Campaigns!$A$7:$A$300,B3250)&gt;0,"✓","⚠ add to Campaigns tab"))</f>
        <v/>
      </c>
      <c r="I3250" s="84" t="str">
        <f aca="false">IF(C3250="","",C3250*IF(Settings!$B$23=Settings!$C$6,1,IF(Settings!$B$23="USD",1/INDEX(Settings!$B$29:$B$40,MONTH(A3250)),INDEX(Settings!$B$29:$B$40,MONTH(A3250)))))</f>
        <v/>
      </c>
    </row>
    <row r="3251" customFormat="false" ht="15" hidden="false" customHeight="false" outlineLevel="0" collapsed="false">
      <c r="H3251" s="0" t="str">
        <f aca="false">IF(B3251="","",IF(COUNTIF(Campaigns!$A$7:$A$300,B3251)&gt;0,"✓","⚠ add to Campaigns tab"))</f>
        <v/>
      </c>
      <c r="I3251" s="84" t="str">
        <f aca="false">IF(C3251="","",C3251*IF(Settings!$B$23=Settings!$C$6,1,IF(Settings!$B$23="USD",1/INDEX(Settings!$B$29:$B$40,MONTH(A3251)),INDEX(Settings!$B$29:$B$40,MONTH(A3251)))))</f>
        <v/>
      </c>
    </row>
    <row r="3252" customFormat="false" ht="15" hidden="false" customHeight="false" outlineLevel="0" collapsed="false">
      <c r="H3252" s="0" t="str">
        <f aca="false">IF(B3252="","",IF(COUNTIF(Campaigns!$A$7:$A$300,B3252)&gt;0,"✓","⚠ add to Campaigns tab"))</f>
        <v/>
      </c>
      <c r="I3252" s="84" t="str">
        <f aca="false">IF(C3252="","",C3252*IF(Settings!$B$23=Settings!$C$6,1,IF(Settings!$B$23="USD",1/INDEX(Settings!$B$29:$B$40,MONTH(A3252)),INDEX(Settings!$B$29:$B$40,MONTH(A3252)))))</f>
        <v/>
      </c>
    </row>
    <row r="3253" customFormat="false" ht="15" hidden="false" customHeight="false" outlineLevel="0" collapsed="false">
      <c r="H3253" s="0" t="str">
        <f aca="false">IF(B3253="","",IF(COUNTIF(Campaigns!$A$7:$A$300,B3253)&gt;0,"✓","⚠ add to Campaigns tab"))</f>
        <v/>
      </c>
      <c r="I3253" s="84" t="str">
        <f aca="false">IF(C3253="","",C3253*IF(Settings!$B$23=Settings!$C$6,1,IF(Settings!$B$23="USD",1/INDEX(Settings!$B$29:$B$40,MONTH(A3253)),INDEX(Settings!$B$29:$B$40,MONTH(A3253)))))</f>
        <v/>
      </c>
    </row>
    <row r="3254" customFormat="false" ht="15" hidden="false" customHeight="false" outlineLevel="0" collapsed="false">
      <c r="H3254" s="0" t="str">
        <f aca="false">IF(B3254="","",IF(COUNTIF(Campaigns!$A$7:$A$300,B3254)&gt;0,"✓","⚠ add to Campaigns tab"))</f>
        <v/>
      </c>
      <c r="I3254" s="84" t="str">
        <f aca="false">IF(C3254="","",C3254*IF(Settings!$B$23=Settings!$C$6,1,IF(Settings!$B$23="USD",1/INDEX(Settings!$B$29:$B$40,MONTH(A3254)),INDEX(Settings!$B$29:$B$40,MONTH(A3254)))))</f>
        <v/>
      </c>
    </row>
    <row r="3255" customFormat="false" ht="15" hidden="false" customHeight="false" outlineLevel="0" collapsed="false">
      <c r="H3255" s="0" t="str">
        <f aca="false">IF(B3255="","",IF(COUNTIF(Campaigns!$A$7:$A$300,B3255)&gt;0,"✓","⚠ add to Campaigns tab"))</f>
        <v/>
      </c>
      <c r="I3255" s="84" t="str">
        <f aca="false">IF(C3255="","",C3255*IF(Settings!$B$23=Settings!$C$6,1,IF(Settings!$B$23="USD",1/INDEX(Settings!$B$29:$B$40,MONTH(A3255)),INDEX(Settings!$B$29:$B$40,MONTH(A3255)))))</f>
        <v/>
      </c>
    </row>
    <row r="3256" customFormat="false" ht="15" hidden="false" customHeight="false" outlineLevel="0" collapsed="false">
      <c r="H3256" s="0" t="str">
        <f aca="false">IF(B3256="","",IF(COUNTIF(Campaigns!$A$7:$A$300,B3256)&gt;0,"✓","⚠ add to Campaigns tab"))</f>
        <v/>
      </c>
      <c r="I3256" s="84" t="str">
        <f aca="false">IF(C3256="","",C3256*IF(Settings!$B$23=Settings!$C$6,1,IF(Settings!$B$23="USD",1/INDEX(Settings!$B$29:$B$40,MONTH(A3256)),INDEX(Settings!$B$29:$B$40,MONTH(A3256)))))</f>
        <v/>
      </c>
    </row>
    <row r="3257" customFormat="false" ht="15" hidden="false" customHeight="false" outlineLevel="0" collapsed="false">
      <c r="H3257" s="0" t="str">
        <f aca="false">IF(B3257="","",IF(COUNTIF(Campaigns!$A$7:$A$300,B3257)&gt;0,"✓","⚠ add to Campaigns tab"))</f>
        <v/>
      </c>
      <c r="I3257" s="84" t="str">
        <f aca="false">IF(C3257="","",C3257*IF(Settings!$B$23=Settings!$C$6,1,IF(Settings!$B$23="USD",1/INDEX(Settings!$B$29:$B$40,MONTH(A3257)),INDEX(Settings!$B$29:$B$40,MONTH(A3257)))))</f>
        <v/>
      </c>
    </row>
    <row r="3258" customFormat="false" ht="15" hidden="false" customHeight="false" outlineLevel="0" collapsed="false">
      <c r="H3258" s="0" t="str">
        <f aca="false">IF(B3258="","",IF(COUNTIF(Campaigns!$A$7:$A$300,B3258)&gt;0,"✓","⚠ add to Campaigns tab"))</f>
        <v/>
      </c>
      <c r="I3258" s="84" t="str">
        <f aca="false">IF(C3258="","",C3258*IF(Settings!$B$23=Settings!$C$6,1,IF(Settings!$B$23="USD",1/INDEX(Settings!$B$29:$B$40,MONTH(A3258)),INDEX(Settings!$B$29:$B$40,MONTH(A3258)))))</f>
        <v/>
      </c>
    </row>
    <row r="3259" customFormat="false" ht="15" hidden="false" customHeight="false" outlineLevel="0" collapsed="false">
      <c r="H3259" s="0" t="str">
        <f aca="false">IF(B3259="","",IF(COUNTIF(Campaigns!$A$7:$A$300,B3259)&gt;0,"✓","⚠ add to Campaigns tab"))</f>
        <v/>
      </c>
      <c r="I3259" s="84" t="str">
        <f aca="false">IF(C3259="","",C3259*IF(Settings!$B$23=Settings!$C$6,1,IF(Settings!$B$23="USD",1/INDEX(Settings!$B$29:$B$40,MONTH(A3259)),INDEX(Settings!$B$29:$B$40,MONTH(A3259)))))</f>
        <v/>
      </c>
    </row>
    <row r="3260" customFormat="false" ht="15" hidden="false" customHeight="false" outlineLevel="0" collapsed="false">
      <c r="H3260" s="0" t="str">
        <f aca="false">IF(B3260="","",IF(COUNTIF(Campaigns!$A$7:$A$300,B3260)&gt;0,"✓","⚠ add to Campaigns tab"))</f>
        <v/>
      </c>
      <c r="I3260" s="84" t="str">
        <f aca="false">IF(C3260="","",C3260*IF(Settings!$B$23=Settings!$C$6,1,IF(Settings!$B$23="USD",1/INDEX(Settings!$B$29:$B$40,MONTH(A3260)),INDEX(Settings!$B$29:$B$40,MONTH(A3260)))))</f>
        <v/>
      </c>
    </row>
    <row r="3261" customFormat="false" ht="15" hidden="false" customHeight="false" outlineLevel="0" collapsed="false">
      <c r="H3261" s="0" t="str">
        <f aca="false">IF(B3261="","",IF(COUNTIF(Campaigns!$A$7:$A$300,B3261)&gt;0,"✓","⚠ add to Campaigns tab"))</f>
        <v/>
      </c>
      <c r="I3261" s="84" t="str">
        <f aca="false">IF(C3261="","",C3261*IF(Settings!$B$23=Settings!$C$6,1,IF(Settings!$B$23="USD",1/INDEX(Settings!$B$29:$B$40,MONTH(A3261)),INDEX(Settings!$B$29:$B$40,MONTH(A3261)))))</f>
        <v/>
      </c>
    </row>
    <row r="3262" customFormat="false" ht="15" hidden="false" customHeight="false" outlineLevel="0" collapsed="false">
      <c r="H3262" s="0" t="str">
        <f aca="false">IF(B3262="","",IF(COUNTIF(Campaigns!$A$7:$A$300,B3262)&gt;0,"✓","⚠ add to Campaigns tab"))</f>
        <v/>
      </c>
      <c r="I3262" s="84" t="str">
        <f aca="false">IF(C3262="","",C3262*IF(Settings!$B$23=Settings!$C$6,1,IF(Settings!$B$23="USD",1/INDEX(Settings!$B$29:$B$40,MONTH(A3262)),INDEX(Settings!$B$29:$B$40,MONTH(A3262)))))</f>
        <v/>
      </c>
    </row>
    <row r="3263" customFormat="false" ht="15" hidden="false" customHeight="false" outlineLevel="0" collapsed="false">
      <c r="H3263" s="0" t="str">
        <f aca="false">IF(B3263="","",IF(COUNTIF(Campaigns!$A$7:$A$300,B3263)&gt;0,"✓","⚠ add to Campaigns tab"))</f>
        <v/>
      </c>
      <c r="I3263" s="84" t="str">
        <f aca="false">IF(C3263="","",C3263*IF(Settings!$B$23=Settings!$C$6,1,IF(Settings!$B$23="USD",1/INDEX(Settings!$B$29:$B$40,MONTH(A3263)),INDEX(Settings!$B$29:$B$40,MONTH(A3263)))))</f>
        <v/>
      </c>
    </row>
    <row r="3264" customFormat="false" ht="15" hidden="false" customHeight="false" outlineLevel="0" collapsed="false">
      <c r="H3264" s="0" t="str">
        <f aca="false">IF(B3264="","",IF(COUNTIF(Campaigns!$A$7:$A$300,B3264)&gt;0,"✓","⚠ add to Campaigns tab"))</f>
        <v/>
      </c>
      <c r="I3264" s="84" t="str">
        <f aca="false">IF(C3264="","",C3264*IF(Settings!$B$23=Settings!$C$6,1,IF(Settings!$B$23="USD",1/INDEX(Settings!$B$29:$B$40,MONTH(A3264)),INDEX(Settings!$B$29:$B$40,MONTH(A3264)))))</f>
        <v/>
      </c>
    </row>
    <row r="3265" customFormat="false" ht="15" hidden="false" customHeight="false" outlineLevel="0" collapsed="false">
      <c r="H3265" s="0" t="str">
        <f aca="false">IF(B3265="","",IF(COUNTIF(Campaigns!$A$7:$A$300,B3265)&gt;0,"✓","⚠ add to Campaigns tab"))</f>
        <v/>
      </c>
      <c r="I3265" s="84" t="str">
        <f aca="false">IF(C3265="","",C3265*IF(Settings!$B$23=Settings!$C$6,1,IF(Settings!$B$23="USD",1/INDEX(Settings!$B$29:$B$40,MONTH(A3265)),INDEX(Settings!$B$29:$B$40,MONTH(A3265)))))</f>
        <v/>
      </c>
    </row>
    <row r="3266" customFormat="false" ht="15" hidden="false" customHeight="false" outlineLevel="0" collapsed="false">
      <c r="H3266" s="0" t="str">
        <f aca="false">IF(B3266="","",IF(COUNTIF(Campaigns!$A$7:$A$300,B3266)&gt;0,"✓","⚠ add to Campaigns tab"))</f>
        <v/>
      </c>
      <c r="I3266" s="84" t="str">
        <f aca="false">IF(C3266="","",C3266*IF(Settings!$B$23=Settings!$C$6,1,IF(Settings!$B$23="USD",1/INDEX(Settings!$B$29:$B$40,MONTH(A3266)),INDEX(Settings!$B$29:$B$40,MONTH(A3266)))))</f>
        <v/>
      </c>
    </row>
    <row r="3267" customFormat="false" ht="15" hidden="false" customHeight="false" outlineLevel="0" collapsed="false">
      <c r="H3267" s="0" t="str">
        <f aca="false">IF(B3267="","",IF(COUNTIF(Campaigns!$A$7:$A$300,B3267)&gt;0,"✓","⚠ add to Campaigns tab"))</f>
        <v/>
      </c>
      <c r="I3267" s="84" t="str">
        <f aca="false">IF(C3267="","",C3267*IF(Settings!$B$23=Settings!$C$6,1,IF(Settings!$B$23="USD",1/INDEX(Settings!$B$29:$B$40,MONTH(A3267)),INDEX(Settings!$B$29:$B$40,MONTH(A3267)))))</f>
        <v/>
      </c>
    </row>
    <row r="3268" customFormat="false" ht="15" hidden="false" customHeight="false" outlineLevel="0" collapsed="false">
      <c r="H3268" s="0" t="str">
        <f aca="false">IF(B3268="","",IF(COUNTIF(Campaigns!$A$7:$A$300,B3268)&gt;0,"✓","⚠ add to Campaigns tab"))</f>
        <v/>
      </c>
      <c r="I3268" s="84" t="str">
        <f aca="false">IF(C3268="","",C3268*IF(Settings!$B$23=Settings!$C$6,1,IF(Settings!$B$23="USD",1/INDEX(Settings!$B$29:$B$40,MONTH(A3268)),INDEX(Settings!$B$29:$B$40,MONTH(A3268)))))</f>
        <v/>
      </c>
    </row>
    <row r="3269" customFormat="false" ht="15" hidden="false" customHeight="false" outlineLevel="0" collapsed="false">
      <c r="H3269" s="0" t="str">
        <f aca="false">IF(B3269="","",IF(COUNTIF(Campaigns!$A$7:$A$300,B3269)&gt;0,"✓","⚠ add to Campaigns tab"))</f>
        <v/>
      </c>
      <c r="I3269" s="84" t="str">
        <f aca="false">IF(C3269="","",C3269*IF(Settings!$B$23=Settings!$C$6,1,IF(Settings!$B$23="USD",1/INDEX(Settings!$B$29:$B$40,MONTH(A3269)),INDEX(Settings!$B$29:$B$40,MONTH(A3269)))))</f>
        <v/>
      </c>
    </row>
    <row r="3270" customFormat="false" ht="15" hidden="false" customHeight="false" outlineLevel="0" collapsed="false">
      <c r="H3270" s="0" t="str">
        <f aca="false">IF(B3270="","",IF(COUNTIF(Campaigns!$A$7:$A$300,B3270)&gt;0,"✓","⚠ add to Campaigns tab"))</f>
        <v/>
      </c>
      <c r="I3270" s="84" t="str">
        <f aca="false">IF(C3270="","",C3270*IF(Settings!$B$23=Settings!$C$6,1,IF(Settings!$B$23="USD",1/INDEX(Settings!$B$29:$B$40,MONTH(A3270)),INDEX(Settings!$B$29:$B$40,MONTH(A3270)))))</f>
        <v/>
      </c>
    </row>
    <row r="3271" customFormat="false" ht="15" hidden="false" customHeight="false" outlineLevel="0" collapsed="false">
      <c r="H3271" s="0" t="str">
        <f aca="false">IF(B3271="","",IF(COUNTIF(Campaigns!$A$7:$A$300,B3271)&gt;0,"✓","⚠ add to Campaigns tab"))</f>
        <v/>
      </c>
      <c r="I3271" s="84" t="str">
        <f aca="false">IF(C3271="","",C3271*IF(Settings!$B$23=Settings!$C$6,1,IF(Settings!$B$23="USD",1/INDEX(Settings!$B$29:$B$40,MONTH(A3271)),INDEX(Settings!$B$29:$B$40,MONTH(A3271)))))</f>
        <v/>
      </c>
    </row>
    <row r="3272" customFormat="false" ht="15" hidden="false" customHeight="false" outlineLevel="0" collapsed="false">
      <c r="H3272" s="0" t="str">
        <f aca="false">IF(B3272="","",IF(COUNTIF(Campaigns!$A$7:$A$300,B3272)&gt;0,"✓","⚠ add to Campaigns tab"))</f>
        <v/>
      </c>
      <c r="I3272" s="84" t="str">
        <f aca="false">IF(C3272="","",C3272*IF(Settings!$B$23=Settings!$C$6,1,IF(Settings!$B$23="USD",1/INDEX(Settings!$B$29:$B$40,MONTH(A3272)),INDEX(Settings!$B$29:$B$40,MONTH(A3272)))))</f>
        <v/>
      </c>
    </row>
    <row r="3273" customFormat="false" ht="15" hidden="false" customHeight="false" outlineLevel="0" collapsed="false">
      <c r="H3273" s="0" t="str">
        <f aca="false">IF(B3273="","",IF(COUNTIF(Campaigns!$A$7:$A$300,B3273)&gt;0,"✓","⚠ add to Campaigns tab"))</f>
        <v/>
      </c>
      <c r="I3273" s="84" t="str">
        <f aca="false">IF(C3273="","",C3273*IF(Settings!$B$23=Settings!$C$6,1,IF(Settings!$B$23="USD",1/INDEX(Settings!$B$29:$B$40,MONTH(A3273)),INDEX(Settings!$B$29:$B$40,MONTH(A3273)))))</f>
        <v/>
      </c>
    </row>
    <row r="3274" customFormat="false" ht="15" hidden="false" customHeight="false" outlineLevel="0" collapsed="false">
      <c r="H3274" s="0" t="str">
        <f aca="false">IF(B3274="","",IF(COUNTIF(Campaigns!$A$7:$A$300,B3274)&gt;0,"✓","⚠ add to Campaigns tab"))</f>
        <v/>
      </c>
      <c r="I3274" s="84" t="str">
        <f aca="false">IF(C3274="","",C3274*IF(Settings!$B$23=Settings!$C$6,1,IF(Settings!$B$23="USD",1/INDEX(Settings!$B$29:$B$40,MONTH(A3274)),INDEX(Settings!$B$29:$B$40,MONTH(A3274)))))</f>
        <v/>
      </c>
    </row>
    <row r="3275" customFormat="false" ht="15" hidden="false" customHeight="false" outlineLevel="0" collapsed="false">
      <c r="H3275" s="0" t="str">
        <f aca="false">IF(B3275="","",IF(COUNTIF(Campaigns!$A$7:$A$300,B3275)&gt;0,"✓","⚠ add to Campaigns tab"))</f>
        <v/>
      </c>
      <c r="I3275" s="84" t="str">
        <f aca="false">IF(C3275="","",C3275*IF(Settings!$B$23=Settings!$C$6,1,IF(Settings!$B$23="USD",1/INDEX(Settings!$B$29:$B$40,MONTH(A3275)),INDEX(Settings!$B$29:$B$40,MONTH(A3275)))))</f>
        <v/>
      </c>
    </row>
    <row r="3276" customFormat="false" ht="15" hidden="false" customHeight="false" outlineLevel="0" collapsed="false">
      <c r="H3276" s="0" t="str">
        <f aca="false">IF(B3276="","",IF(COUNTIF(Campaigns!$A$7:$A$300,B3276)&gt;0,"✓","⚠ add to Campaigns tab"))</f>
        <v/>
      </c>
      <c r="I3276" s="84" t="str">
        <f aca="false">IF(C3276="","",C3276*IF(Settings!$B$23=Settings!$C$6,1,IF(Settings!$B$23="USD",1/INDEX(Settings!$B$29:$B$40,MONTH(A3276)),INDEX(Settings!$B$29:$B$40,MONTH(A3276)))))</f>
        <v/>
      </c>
    </row>
    <row r="3277" customFormat="false" ht="15" hidden="false" customHeight="false" outlineLevel="0" collapsed="false">
      <c r="H3277" s="0" t="str">
        <f aca="false">IF(B3277="","",IF(COUNTIF(Campaigns!$A$7:$A$300,B3277)&gt;0,"✓","⚠ add to Campaigns tab"))</f>
        <v/>
      </c>
      <c r="I3277" s="84" t="str">
        <f aca="false">IF(C3277="","",C3277*IF(Settings!$B$23=Settings!$C$6,1,IF(Settings!$B$23="USD",1/INDEX(Settings!$B$29:$B$40,MONTH(A3277)),INDEX(Settings!$B$29:$B$40,MONTH(A3277)))))</f>
        <v/>
      </c>
    </row>
    <row r="3278" customFormat="false" ht="15" hidden="false" customHeight="false" outlineLevel="0" collapsed="false">
      <c r="H3278" s="0" t="str">
        <f aca="false">IF(B3278="","",IF(COUNTIF(Campaigns!$A$7:$A$300,B3278)&gt;0,"✓","⚠ add to Campaigns tab"))</f>
        <v/>
      </c>
      <c r="I3278" s="84" t="str">
        <f aca="false">IF(C3278="","",C3278*IF(Settings!$B$23=Settings!$C$6,1,IF(Settings!$B$23="USD",1/INDEX(Settings!$B$29:$B$40,MONTH(A3278)),INDEX(Settings!$B$29:$B$40,MONTH(A3278)))))</f>
        <v/>
      </c>
    </row>
    <row r="3279" customFormat="false" ht="15" hidden="false" customHeight="false" outlineLevel="0" collapsed="false">
      <c r="H3279" s="0" t="str">
        <f aca="false">IF(B3279="","",IF(COUNTIF(Campaigns!$A$7:$A$300,B3279)&gt;0,"✓","⚠ add to Campaigns tab"))</f>
        <v/>
      </c>
      <c r="I3279" s="84" t="str">
        <f aca="false">IF(C3279="","",C3279*IF(Settings!$B$23=Settings!$C$6,1,IF(Settings!$B$23="USD",1/INDEX(Settings!$B$29:$B$40,MONTH(A3279)),INDEX(Settings!$B$29:$B$40,MONTH(A3279)))))</f>
        <v/>
      </c>
    </row>
    <row r="3280" customFormat="false" ht="15" hidden="false" customHeight="false" outlineLevel="0" collapsed="false">
      <c r="H3280" s="0" t="str">
        <f aca="false">IF(B3280="","",IF(COUNTIF(Campaigns!$A$7:$A$300,B3280)&gt;0,"✓","⚠ add to Campaigns tab"))</f>
        <v/>
      </c>
      <c r="I3280" s="84" t="str">
        <f aca="false">IF(C3280="","",C3280*IF(Settings!$B$23=Settings!$C$6,1,IF(Settings!$B$23="USD",1/INDEX(Settings!$B$29:$B$40,MONTH(A3280)),INDEX(Settings!$B$29:$B$40,MONTH(A3280)))))</f>
        <v/>
      </c>
    </row>
    <row r="3281" customFormat="false" ht="15" hidden="false" customHeight="false" outlineLevel="0" collapsed="false">
      <c r="H3281" s="0" t="str">
        <f aca="false">IF(B3281="","",IF(COUNTIF(Campaigns!$A$7:$A$300,B3281)&gt;0,"✓","⚠ add to Campaigns tab"))</f>
        <v/>
      </c>
      <c r="I3281" s="84" t="str">
        <f aca="false">IF(C3281="","",C3281*IF(Settings!$B$23=Settings!$C$6,1,IF(Settings!$B$23="USD",1/INDEX(Settings!$B$29:$B$40,MONTH(A3281)),INDEX(Settings!$B$29:$B$40,MONTH(A3281)))))</f>
        <v/>
      </c>
    </row>
    <row r="3282" customFormat="false" ht="15" hidden="false" customHeight="false" outlineLevel="0" collapsed="false">
      <c r="H3282" s="0" t="str">
        <f aca="false">IF(B3282="","",IF(COUNTIF(Campaigns!$A$7:$A$300,B3282)&gt;0,"✓","⚠ add to Campaigns tab"))</f>
        <v/>
      </c>
      <c r="I3282" s="84" t="str">
        <f aca="false">IF(C3282="","",C3282*IF(Settings!$B$23=Settings!$C$6,1,IF(Settings!$B$23="USD",1/INDEX(Settings!$B$29:$B$40,MONTH(A3282)),INDEX(Settings!$B$29:$B$40,MONTH(A3282)))))</f>
        <v/>
      </c>
    </row>
    <row r="3283" customFormat="false" ht="15" hidden="false" customHeight="false" outlineLevel="0" collapsed="false">
      <c r="H3283" s="0" t="str">
        <f aca="false">IF(B3283="","",IF(COUNTIF(Campaigns!$A$7:$A$300,B3283)&gt;0,"✓","⚠ add to Campaigns tab"))</f>
        <v/>
      </c>
      <c r="I3283" s="84" t="str">
        <f aca="false">IF(C3283="","",C3283*IF(Settings!$B$23=Settings!$C$6,1,IF(Settings!$B$23="USD",1/INDEX(Settings!$B$29:$B$40,MONTH(A3283)),INDEX(Settings!$B$29:$B$40,MONTH(A3283)))))</f>
        <v/>
      </c>
    </row>
    <row r="3284" customFormat="false" ht="15" hidden="false" customHeight="false" outlineLevel="0" collapsed="false">
      <c r="H3284" s="0" t="str">
        <f aca="false">IF(B3284="","",IF(COUNTIF(Campaigns!$A$7:$A$300,B3284)&gt;0,"✓","⚠ add to Campaigns tab"))</f>
        <v/>
      </c>
      <c r="I3284" s="84" t="str">
        <f aca="false">IF(C3284="","",C3284*IF(Settings!$B$23=Settings!$C$6,1,IF(Settings!$B$23="USD",1/INDEX(Settings!$B$29:$B$40,MONTH(A3284)),INDEX(Settings!$B$29:$B$40,MONTH(A3284)))))</f>
        <v/>
      </c>
    </row>
    <row r="3285" customFormat="false" ht="15" hidden="false" customHeight="false" outlineLevel="0" collapsed="false">
      <c r="H3285" s="0" t="str">
        <f aca="false">IF(B3285="","",IF(COUNTIF(Campaigns!$A$7:$A$300,B3285)&gt;0,"✓","⚠ add to Campaigns tab"))</f>
        <v/>
      </c>
      <c r="I3285" s="84" t="str">
        <f aca="false">IF(C3285="","",C3285*IF(Settings!$B$23=Settings!$C$6,1,IF(Settings!$B$23="USD",1/INDEX(Settings!$B$29:$B$40,MONTH(A3285)),INDEX(Settings!$B$29:$B$40,MONTH(A3285)))))</f>
        <v/>
      </c>
    </row>
    <row r="3286" customFormat="false" ht="15" hidden="false" customHeight="false" outlineLevel="0" collapsed="false">
      <c r="H3286" s="0" t="str">
        <f aca="false">IF(B3286="","",IF(COUNTIF(Campaigns!$A$7:$A$300,B3286)&gt;0,"✓","⚠ add to Campaigns tab"))</f>
        <v/>
      </c>
      <c r="I3286" s="84" t="str">
        <f aca="false">IF(C3286="","",C3286*IF(Settings!$B$23=Settings!$C$6,1,IF(Settings!$B$23="USD",1/INDEX(Settings!$B$29:$B$40,MONTH(A3286)),INDEX(Settings!$B$29:$B$40,MONTH(A3286)))))</f>
        <v/>
      </c>
    </row>
    <row r="3287" customFormat="false" ht="15" hidden="false" customHeight="false" outlineLevel="0" collapsed="false">
      <c r="H3287" s="0" t="str">
        <f aca="false">IF(B3287="","",IF(COUNTIF(Campaigns!$A$7:$A$300,B3287)&gt;0,"✓","⚠ add to Campaigns tab"))</f>
        <v/>
      </c>
      <c r="I3287" s="84" t="str">
        <f aca="false">IF(C3287="","",C3287*IF(Settings!$B$23=Settings!$C$6,1,IF(Settings!$B$23="USD",1/INDEX(Settings!$B$29:$B$40,MONTH(A3287)),INDEX(Settings!$B$29:$B$40,MONTH(A3287)))))</f>
        <v/>
      </c>
    </row>
    <row r="3288" customFormat="false" ht="15" hidden="false" customHeight="false" outlineLevel="0" collapsed="false">
      <c r="H3288" s="0" t="str">
        <f aca="false">IF(B3288="","",IF(COUNTIF(Campaigns!$A$7:$A$300,B3288)&gt;0,"✓","⚠ add to Campaigns tab"))</f>
        <v/>
      </c>
      <c r="I3288" s="84" t="str">
        <f aca="false">IF(C3288="","",C3288*IF(Settings!$B$23=Settings!$C$6,1,IF(Settings!$B$23="USD",1/INDEX(Settings!$B$29:$B$40,MONTH(A3288)),INDEX(Settings!$B$29:$B$40,MONTH(A3288)))))</f>
        <v/>
      </c>
    </row>
    <row r="3289" customFormat="false" ht="15" hidden="false" customHeight="false" outlineLevel="0" collapsed="false">
      <c r="H3289" s="0" t="str">
        <f aca="false">IF(B3289="","",IF(COUNTIF(Campaigns!$A$7:$A$300,B3289)&gt;0,"✓","⚠ add to Campaigns tab"))</f>
        <v/>
      </c>
      <c r="I3289" s="84" t="str">
        <f aca="false">IF(C3289="","",C3289*IF(Settings!$B$23=Settings!$C$6,1,IF(Settings!$B$23="USD",1/INDEX(Settings!$B$29:$B$40,MONTH(A3289)),INDEX(Settings!$B$29:$B$40,MONTH(A3289)))))</f>
        <v/>
      </c>
    </row>
    <row r="3290" customFormat="false" ht="15" hidden="false" customHeight="false" outlineLevel="0" collapsed="false">
      <c r="H3290" s="0" t="str">
        <f aca="false">IF(B3290="","",IF(COUNTIF(Campaigns!$A$7:$A$300,B3290)&gt;0,"✓","⚠ add to Campaigns tab"))</f>
        <v/>
      </c>
      <c r="I3290" s="84" t="str">
        <f aca="false">IF(C3290="","",C3290*IF(Settings!$B$23=Settings!$C$6,1,IF(Settings!$B$23="USD",1/INDEX(Settings!$B$29:$B$40,MONTH(A3290)),INDEX(Settings!$B$29:$B$40,MONTH(A3290)))))</f>
        <v/>
      </c>
    </row>
    <row r="3291" customFormat="false" ht="15" hidden="false" customHeight="false" outlineLevel="0" collapsed="false">
      <c r="H3291" s="0" t="str">
        <f aca="false">IF(B3291="","",IF(COUNTIF(Campaigns!$A$7:$A$300,B3291)&gt;0,"✓","⚠ add to Campaigns tab"))</f>
        <v/>
      </c>
      <c r="I3291" s="84" t="str">
        <f aca="false">IF(C3291="","",C3291*IF(Settings!$B$23=Settings!$C$6,1,IF(Settings!$B$23="USD",1/INDEX(Settings!$B$29:$B$40,MONTH(A3291)),INDEX(Settings!$B$29:$B$40,MONTH(A3291)))))</f>
        <v/>
      </c>
    </row>
    <row r="3292" customFormat="false" ht="15" hidden="false" customHeight="false" outlineLevel="0" collapsed="false">
      <c r="H3292" s="0" t="str">
        <f aca="false">IF(B3292="","",IF(COUNTIF(Campaigns!$A$7:$A$300,B3292)&gt;0,"✓","⚠ add to Campaigns tab"))</f>
        <v/>
      </c>
      <c r="I3292" s="84" t="str">
        <f aca="false">IF(C3292="","",C3292*IF(Settings!$B$23=Settings!$C$6,1,IF(Settings!$B$23="USD",1/INDEX(Settings!$B$29:$B$40,MONTH(A3292)),INDEX(Settings!$B$29:$B$40,MONTH(A3292)))))</f>
        <v/>
      </c>
    </row>
    <row r="3293" customFormat="false" ht="15" hidden="false" customHeight="false" outlineLevel="0" collapsed="false">
      <c r="H3293" s="0" t="str">
        <f aca="false">IF(B3293="","",IF(COUNTIF(Campaigns!$A$7:$A$300,B3293)&gt;0,"✓","⚠ add to Campaigns tab"))</f>
        <v/>
      </c>
      <c r="I3293" s="84" t="str">
        <f aca="false">IF(C3293="","",C3293*IF(Settings!$B$23=Settings!$C$6,1,IF(Settings!$B$23="USD",1/INDEX(Settings!$B$29:$B$40,MONTH(A3293)),INDEX(Settings!$B$29:$B$40,MONTH(A3293)))))</f>
        <v/>
      </c>
    </row>
    <row r="3294" customFormat="false" ht="15" hidden="false" customHeight="false" outlineLevel="0" collapsed="false">
      <c r="H3294" s="0" t="str">
        <f aca="false">IF(B3294="","",IF(COUNTIF(Campaigns!$A$7:$A$300,B3294)&gt;0,"✓","⚠ add to Campaigns tab"))</f>
        <v/>
      </c>
      <c r="I3294" s="84" t="str">
        <f aca="false">IF(C3294="","",C3294*IF(Settings!$B$23=Settings!$C$6,1,IF(Settings!$B$23="USD",1/INDEX(Settings!$B$29:$B$40,MONTH(A3294)),INDEX(Settings!$B$29:$B$40,MONTH(A3294)))))</f>
        <v/>
      </c>
    </row>
    <row r="3295" customFormat="false" ht="15" hidden="false" customHeight="false" outlineLevel="0" collapsed="false">
      <c r="H3295" s="0" t="str">
        <f aca="false">IF(B3295="","",IF(COUNTIF(Campaigns!$A$7:$A$300,B3295)&gt;0,"✓","⚠ add to Campaigns tab"))</f>
        <v/>
      </c>
      <c r="I3295" s="84" t="str">
        <f aca="false">IF(C3295="","",C3295*IF(Settings!$B$23=Settings!$C$6,1,IF(Settings!$B$23="USD",1/INDEX(Settings!$B$29:$B$40,MONTH(A3295)),INDEX(Settings!$B$29:$B$40,MONTH(A3295)))))</f>
        <v/>
      </c>
    </row>
    <row r="3296" customFormat="false" ht="15" hidden="false" customHeight="false" outlineLevel="0" collapsed="false">
      <c r="H3296" s="0" t="str">
        <f aca="false">IF(B3296="","",IF(COUNTIF(Campaigns!$A$7:$A$300,B3296)&gt;0,"✓","⚠ add to Campaigns tab"))</f>
        <v/>
      </c>
      <c r="I3296" s="84" t="str">
        <f aca="false">IF(C3296="","",C3296*IF(Settings!$B$23=Settings!$C$6,1,IF(Settings!$B$23="USD",1/INDEX(Settings!$B$29:$B$40,MONTH(A3296)),INDEX(Settings!$B$29:$B$40,MONTH(A3296)))))</f>
        <v/>
      </c>
    </row>
    <row r="3297" customFormat="false" ht="15" hidden="false" customHeight="false" outlineLevel="0" collapsed="false">
      <c r="H3297" s="0" t="str">
        <f aca="false">IF(B3297="","",IF(COUNTIF(Campaigns!$A$7:$A$300,B3297)&gt;0,"✓","⚠ add to Campaigns tab"))</f>
        <v/>
      </c>
      <c r="I3297" s="84" t="str">
        <f aca="false">IF(C3297="","",C3297*IF(Settings!$B$23=Settings!$C$6,1,IF(Settings!$B$23="USD",1/INDEX(Settings!$B$29:$B$40,MONTH(A3297)),INDEX(Settings!$B$29:$B$40,MONTH(A3297)))))</f>
        <v/>
      </c>
    </row>
    <row r="3298" customFormat="false" ht="15" hidden="false" customHeight="false" outlineLevel="0" collapsed="false">
      <c r="H3298" s="0" t="str">
        <f aca="false">IF(B3298="","",IF(COUNTIF(Campaigns!$A$7:$A$300,B3298)&gt;0,"✓","⚠ add to Campaigns tab"))</f>
        <v/>
      </c>
      <c r="I3298" s="84" t="str">
        <f aca="false">IF(C3298="","",C3298*IF(Settings!$B$23=Settings!$C$6,1,IF(Settings!$B$23="USD",1/INDEX(Settings!$B$29:$B$40,MONTH(A3298)),INDEX(Settings!$B$29:$B$40,MONTH(A3298)))))</f>
        <v/>
      </c>
    </row>
    <row r="3299" customFormat="false" ht="15" hidden="false" customHeight="false" outlineLevel="0" collapsed="false">
      <c r="H3299" s="0" t="str">
        <f aca="false">IF(B3299="","",IF(COUNTIF(Campaigns!$A$7:$A$300,B3299)&gt;0,"✓","⚠ add to Campaigns tab"))</f>
        <v/>
      </c>
      <c r="I3299" s="84" t="str">
        <f aca="false">IF(C3299="","",C3299*IF(Settings!$B$23=Settings!$C$6,1,IF(Settings!$B$23="USD",1/INDEX(Settings!$B$29:$B$40,MONTH(A3299)),INDEX(Settings!$B$29:$B$40,MONTH(A3299)))))</f>
        <v/>
      </c>
    </row>
    <row r="3300" customFormat="false" ht="15" hidden="false" customHeight="false" outlineLevel="0" collapsed="false">
      <c r="H3300" s="0" t="str">
        <f aca="false">IF(B3300="","",IF(COUNTIF(Campaigns!$A$7:$A$300,B3300)&gt;0,"✓","⚠ add to Campaigns tab"))</f>
        <v/>
      </c>
      <c r="I3300" s="84" t="str">
        <f aca="false">IF(C3300="","",C3300*IF(Settings!$B$23=Settings!$C$6,1,IF(Settings!$B$23="USD",1/INDEX(Settings!$B$29:$B$40,MONTH(A3300)),INDEX(Settings!$B$29:$B$40,MONTH(A3300)))))</f>
        <v/>
      </c>
    </row>
    <row r="3301" customFormat="false" ht="15" hidden="false" customHeight="false" outlineLevel="0" collapsed="false">
      <c r="H3301" s="0" t="str">
        <f aca="false">IF(B3301="","",IF(COUNTIF(Campaigns!$A$7:$A$300,B3301)&gt;0,"✓","⚠ add to Campaigns tab"))</f>
        <v/>
      </c>
      <c r="I3301" s="84" t="str">
        <f aca="false">IF(C3301="","",C3301*IF(Settings!$B$23=Settings!$C$6,1,IF(Settings!$B$23="USD",1/INDEX(Settings!$B$29:$B$40,MONTH(A3301)),INDEX(Settings!$B$29:$B$40,MONTH(A3301)))))</f>
        <v/>
      </c>
    </row>
    <row r="3302" customFormat="false" ht="15" hidden="false" customHeight="false" outlineLevel="0" collapsed="false">
      <c r="H3302" s="0" t="str">
        <f aca="false">IF(B3302="","",IF(COUNTIF(Campaigns!$A$7:$A$300,B3302)&gt;0,"✓","⚠ add to Campaigns tab"))</f>
        <v/>
      </c>
      <c r="I3302" s="84" t="str">
        <f aca="false">IF(C3302="","",C3302*IF(Settings!$B$23=Settings!$C$6,1,IF(Settings!$B$23="USD",1/INDEX(Settings!$B$29:$B$40,MONTH(A3302)),INDEX(Settings!$B$29:$B$40,MONTH(A3302)))))</f>
        <v/>
      </c>
    </row>
    <row r="3303" customFormat="false" ht="15" hidden="false" customHeight="false" outlineLevel="0" collapsed="false">
      <c r="H3303" s="0" t="str">
        <f aca="false">IF(B3303="","",IF(COUNTIF(Campaigns!$A$7:$A$300,B3303)&gt;0,"✓","⚠ add to Campaigns tab"))</f>
        <v/>
      </c>
      <c r="I3303" s="84" t="str">
        <f aca="false">IF(C3303="","",C3303*IF(Settings!$B$23=Settings!$C$6,1,IF(Settings!$B$23="USD",1/INDEX(Settings!$B$29:$B$40,MONTH(A3303)),INDEX(Settings!$B$29:$B$40,MONTH(A3303)))))</f>
        <v/>
      </c>
    </row>
    <row r="3304" customFormat="false" ht="15" hidden="false" customHeight="false" outlineLevel="0" collapsed="false">
      <c r="H3304" s="0" t="str">
        <f aca="false">IF(B3304="","",IF(COUNTIF(Campaigns!$A$7:$A$300,B3304)&gt;0,"✓","⚠ add to Campaigns tab"))</f>
        <v/>
      </c>
      <c r="I3304" s="84" t="str">
        <f aca="false">IF(C3304="","",C3304*IF(Settings!$B$23=Settings!$C$6,1,IF(Settings!$B$23="USD",1/INDEX(Settings!$B$29:$B$40,MONTH(A3304)),INDEX(Settings!$B$29:$B$40,MONTH(A3304)))))</f>
        <v/>
      </c>
    </row>
    <row r="3305" customFormat="false" ht="15" hidden="false" customHeight="false" outlineLevel="0" collapsed="false">
      <c r="H3305" s="0" t="str">
        <f aca="false">IF(B3305="","",IF(COUNTIF(Campaigns!$A$7:$A$300,B3305)&gt;0,"✓","⚠ add to Campaigns tab"))</f>
        <v/>
      </c>
      <c r="I3305" s="84" t="str">
        <f aca="false">IF(C3305="","",C3305*IF(Settings!$B$23=Settings!$C$6,1,IF(Settings!$B$23="USD",1/INDEX(Settings!$B$29:$B$40,MONTH(A3305)),INDEX(Settings!$B$29:$B$40,MONTH(A3305)))))</f>
        <v/>
      </c>
    </row>
    <row r="3306" customFormat="false" ht="15" hidden="false" customHeight="false" outlineLevel="0" collapsed="false">
      <c r="H3306" s="0" t="str">
        <f aca="false">IF(B3306="","",IF(COUNTIF(Campaigns!$A$7:$A$300,B3306)&gt;0,"✓","⚠ add to Campaigns tab"))</f>
        <v/>
      </c>
      <c r="I3306" s="84" t="str">
        <f aca="false">IF(C3306="","",C3306*IF(Settings!$B$23=Settings!$C$6,1,IF(Settings!$B$23="USD",1/INDEX(Settings!$B$29:$B$40,MONTH(A3306)),INDEX(Settings!$B$29:$B$40,MONTH(A3306)))))</f>
        <v/>
      </c>
    </row>
    <row r="3307" customFormat="false" ht="15" hidden="false" customHeight="false" outlineLevel="0" collapsed="false">
      <c r="H3307" s="0" t="str">
        <f aca="false">IF(B3307="","",IF(COUNTIF(Campaigns!$A$7:$A$300,B3307)&gt;0,"✓","⚠ add to Campaigns tab"))</f>
        <v/>
      </c>
      <c r="I3307" s="84" t="str">
        <f aca="false">IF(C3307="","",C3307*IF(Settings!$B$23=Settings!$C$6,1,IF(Settings!$B$23="USD",1/INDEX(Settings!$B$29:$B$40,MONTH(A3307)),INDEX(Settings!$B$29:$B$40,MONTH(A3307)))))</f>
        <v/>
      </c>
    </row>
    <row r="3308" customFormat="false" ht="15" hidden="false" customHeight="false" outlineLevel="0" collapsed="false">
      <c r="H3308" s="0" t="str">
        <f aca="false">IF(B3308="","",IF(COUNTIF(Campaigns!$A$7:$A$300,B3308)&gt;0,"✓","⚠ add to Campaigns tab"))</f>
        <v/>
      </c>
      <c r="I3308" s="84" t="str">
        <f aca="false">IF(C3308="","",C3308*IF(Settings!$B$23=Settings!$C$6,1,IF(Settings!$B$23="USD",1/INDEX(Settings!$B$29:$B$40,MONTH(A3308)),INDEX(Settings!$B$29:$B$40,MONTH(A3308)))))</f>
        <v/>
      </c>
    </row>
    <row r="3309" customFormat="false" ht="15" hidden="false" customHeight="false" outlineLevel="0" collapsed="false">
      <c r="H3309" s="0" t="str">
        <f aca="false">IF(B3309="","",IF(COUNTIF(Campaigns!$A$7:$A$300,B3309)&gt;0,"✓","⚠ add to Campaigns tab"))</f>
        <v/>
      </c>
      <c r="I3309" s="84" t="str">
        <f aca="false">IF(C3309="","",C3309*IF(Settings!$B$23=Settings!$C$6,1,IF(Settings!$B$23="USD",1/INDEX(Settings!$B$29:$B$40,MONTH(A3309)),INDEX(Settings!$B$29:$B$40,MONTH(A3309)))))</f>
        <v/>
      </c>
    </row>
    <row r="3310" customFormat="false" ht="15" hidden="false" customHeight="false" outlineLevel="0" collapsed="false">
      <c r="H3310" s="0" t="str">
        <f aca="false">IF(B3310="","",IF(COUNTIF(Campaigns!$A$7:$A$300,B3310)&gt;0,"✓","⚠ add to Campaigns tab"))</f>
        <v/>
      </c>
      <c r="I3310" s="84" t="str">
        <f aca="false">IF(C3310="","",C3310*IF(Settings!$B$23=Settings!$C$6,1,IF(Settings!$B$23="USD",1/INDEX(Settings!$B$29:$B$40,MONTH(A3310)),INDEX(Settings!$B$29:$B$40,MONTH(A3310)))))</f>
        <v/>
      </c>
    </row>
    <row r="3311" customFormat="false" ht="15" hidden="false" customHeight="false" outlineLevel="0" collapsed="false">
      <c r="H3311" s="0" t="str">
        <f aca="false">IF(B3311="","",IF(COUNTIF(Campaigns!$A$7:$A$300,B3311)&gt;0,"✓","⚠ add to Campaigns tab"))</f>
        <v/>
      </c>
      <c r="I3311" s="84" t="str">
        <f aca="false">IF(C3311="","",C3311*IF(Settings!$B$23=Settings!$C$6,1,IF(Settings!$B$23="USD",1/INDEX(Settings!$B$29:$B$40,MONTH(A3311)),INDEX(Settings!$B$29:$B$40,MONTH(A3311)))))</f>
        <v/>
      </c>
    </row>
    <row r="3312" customFormat="false" ht="15" hidden="false" customHeight="false" outlineLevel="0" collapsed="false">
      <c r="H3312" s="0" t="str">
        <f aca="false">IF(B3312="","",IF(COUNTIF(Campaigns!$A$7:$A$300,B3312)&gt;0,"✓","⚠ add to Campaigns tab"))</f>
        <v/>
      </c>
      <c r="I3312" s="84" t="str">
        <f aca="false">IF(C3312="","",C3312*IF(Settings!$B$23=Settings!$C$6,1,IF(Settings!$B$23="USD",1/INDEX(Settings!$B$29:$B$40,MONTH(A3312)),INDEX(Settings!$B$29:$B$40,MONTH(A3312)))))</f>
        <v/>
      </c>
    </row>
    <row r="3313" customFormat="false" ht="15" hidden="false" customHeight="false" outlineLevel="0" collapsed="false">
      <c r="H3313" s="0" t="str">
        <f aca="false">IF(B3313="","",IF(COUNTIF(Campaigns!$A$7:$A$300,B3313)&gt;0,"✓","⚠ add to Campaigns tab"))</f>
        <v/>
      </c>
      <c r="I3313" s="84" t="str">
        <f aca="false">IF(C3313="","",C3313*IF(Settings!$B$23=Settings!$C$6,1,IF(Settings!$B$23="USD",1/INDEX(Settings!$B$29:$B$40,MONTH(A3313)),INDEX(Settings!$B$29:$B$40,MONTH(A3313)))))</f>
        <v/>
      </c>
    </row>
    <row r="3314" customFormat="false" ht="15" hidden="false" customHeight="false" outlineLevel="0" collapsed="false">
      <c r="H3314" s="0" t="str">
        <f aca="false">IF(B3314="","",IF(COUNTIF(Campaigns!$A$7:$A$300,B3314)&gt;0,"✓","⚠ add to Campaigns tab"))</f>
        <v/>
      </c>
      <c r="I3314" s="84" t="str">
        <f aca="false">IF(C3314="","",C3314*IF(Settings!$B$23=Settings!$C$6,1,IF(Settings!$B$23="USD",1/INDEX(Settings!$B$29:$B$40,MONTH(A3314)),INDEX(Settings!$B$29:$B$40,MONTH(A3314)))))</f>
        <v/>
      </c>
    </row>
    <row r="3315" customFormat="false" ht="15" hidden="false" customHeight="false" outlineLevel="0" collapsed="false">
      <c r="H3315" s="0" t="str">
        <f aca="false">IF(B3315="","",IF(COUNTIF(Campaigns!$A$7:$A$300,B3315)&gt;0,"✓","⚠ add to Campaigns tab"))</f>
        <v/>
      </c>
      <c r="I3315" s="84" t="str">
        <f aca="false">IF(C3315="","",C3315*IF(Settings!$B$23=Settings!$C$6,1,IF(Settings!$B$23="USD",1/INDEX(Settings!$B$29:$B$40,MONTH(A3315)),INDEX(Settings!$B$29:$B$40,MONTH(A3315)))))</f>
        <v/>
      </c>
    </row>
    <row r="3316" customFormat="false" ht="15" hidden="false" customHeight="false" outlineLevel="0" collapsed="false">
      <c r="H3316" s="0" t="str">
        <f aca="false">IF(B3316="","",IF(COUNTIF(Campaigns!$A$7:$A$300,B3316)&gt;0,"✓","⚠ add to Campaigns tab"))</f>
        <v/>
      </c>
      <c r="I3316" s="84" t="str">
        <f aca="false">IF(C3316="","",C3316*IF(Settings!$B$23=Settings!$C$6,1,IF(Settings!$B$23="USD",1/INDEX(Settings!$B$29:$B$40,MONTH(A3316)),INDEX(Settings!$B$29:$B$40,MONTH(A3316)))))</f>
        <v/>
      </c>
    </row>
    <row r="3317" customFormat="false" ht="15" hidden="false" customHeight="false" outlineLevel="0" collapsed="false">
      <c r="H3317" s="0" t="str">
        <f aca="false">IF(B3317="","",IF(COUNTIF(Campaigns!$A$7:$A$300,B3317)&gt;0,"✓","⚠ add to Campaigns tab"))</f>
        <v/>
      </c>
      <c r="I3317" s="84" t="str">
        <f aca="false">IF(C3317="","",C3317*IF(Settings!$B$23=Settings!$C$6,1,IF(Settings!$B$23="USD",1/INDEX(Settings!$B$29:$B$40,MONTH(A3317)),INDEX(Settings!$B$29:$B$40,MONTH(A3317)))))</f>
        <v/>
      </c>
    </row>
    <row r="3318" customFormat="false" ht="15" hidden="false" customHeight="false" outlineLevel="0" collapsed="false">
      <c r="H3318" s="0" t="str">
        <f aca="false">IF(B3318="","",IF(COUNTIF(Campaigns!$A$7:$A$300,B3318)&gt;0,"✓","⚠ add to Campaigns tab"))</f>
        <v/>
      </c>
      <c r="I3318" s="84" t="str">
        <f aca="false">IF(C3318="","",C3318*IF(Settings!$B$23=Settings!$C$6,1,IF(Settings!$B$23="USD",1/INDEX(Settings!$B$29:$B$40,MONTH(A3318)),INDEX(Settings!$B$29:$B$40,MONTH(A3318)))))</f>
        <v/>
      </c>
    </row>
    <row r="3319" customFormat="false" ht="15" hidden="false" customHeight="false" outlineLevel="0" collapsed="false">
      <c r="H3319" s="0" t="str">
        <f aca="false">IF(B3319="","",IF(COUNTIF(Campaigns!$A$7:$A$300,B3319)&gt;0,"✓","⚠ add to Campaigns tab"))</f>
        <v/>
      </c>
      <c r="I3319" s="84" t="str">
        <f aca="false">IF(C3319="","",C3319*IF(Settings!$B$23=Settings!$C$6,1,IF(Settings!$B$23="USD",1/INDEX(Settings!$B$29:$B$40,MONTH(A3319)),INDEX(Settings!$B$29:$B$40,MONTH(A3319)))))</f>
        <v/>
      </c>
    </row>
    <row r="3320" customFormat="false" ht="15" hidden="false" customHeight="false" outlineLevel="0" collapsed="false">
      <c r="H3320" s="0" t="str">
        <f aca="false">IF(B3320="","",IF(COUNTIF(Campaigns!$A$7:$A$300,B3320)&gt;0,"✓","⚠ add to Campaigns tab"))</f>
        <v/>
      </c>
      <c r="I3320" s="84" t="str">
        <f aca="false">IF(C3320="","",C3320*IF(Settings!$B$23=Settings!$C$6,1,IF(Settings!$B$23="USD",1/INDEX(Settings!$B$29:$B$40,MONTH(A3320)),INDEX(Settings!$B$29:$B$40,MONTH(A3320)))))</f>
        <v/>
      </c>
    </row>
    <row r="3321" customFormat="false" ht="15" hidden="false" customHeight="false" outlineLevel="0" collapsed="false">
      <c r="H3321" s="0" t="str">
        <f aca="false">IF(B3321="","",IF(COUNTIF(Campaigns!$A$7:$A$300,B3321)&gt;0,"✓","⚠ add to Campaigns tab"))</f>
        <v/>
      </c>
      <c r="I3321" s="84" t="str">
        <f aca="false">IF(C3321="","",C3321*IF(Settings!$B$23=Settings!$C$6,1,IF(Settings!$B$23="USD",1/INDEX(Settings!$B$29:$B$40,MONTH(A3321)),INDEX(Settings!$B$29:$B$40,MONTH(A3321)))))</f>
        <v/>
      </c>
    </row>
    <row r="3322" customFormat="false" ht="15" hidden="false" customHeight="false" outlineLevel="0" collapsed="false">
      <c r="H3322" s="0" t="str">
        <f aca="false">IF(B3322="","",IF(COUNTIF(Campaigns!$A$7:$A$300,B3322)&gt;0,"✓","⚠ add to Campaigns tab"))</f>
        <v/>
      </c>
      <c r="I3322" s="84" t="str">
        <f aca="false">IF(C3322="","",C3322*IF(Settings!$B$23=Settings!$C$6,1,IF(Settings!$B$23="USD",1/INDEX(Settings!$B$29:$B$40,MONTH(A3322)),INDEX(Settings!$B$29:$B$40,MONTH(A3322)))))</f>
        <v/>
      </c>
    </row>
    <row r="3323" customFormat="false" ht="15" hidden="false" customHeight="false" outlineLevel="0" collapsed="false">
      <c r="H3323" s="0" t="str">
        <f aca="false">IF(B3323="","",IF(COUNTIF(Campaigns!$A$7:$A$300,B3323)&gt;0,"✓","⚠ add to Campaigns tab"))</f>
        <v/>
      </c>
      <c r="I3323" s="84" t="str">
        <f aca="false">IF(C3323="","",C3323*IF(Settings!$B$23=Settings!$C$6,1,IF(Settings!$B$23="USD",1/INDEX(Settings!$B$29:$B$40,MONTH(A3323)),INDEX(Settings!$B$29:$B$40,MONTH(A3323)))))</f>
        <v/>
      </c>
    </row>
    <row r="3324" customFormat="false" ht="15" hidden="false" customHeight="false" outlineLevel="0" collapsed="false">
      <c r="H3324" s="0" t="str">
        <f aca="false">IF(B3324="","",IF(COUNTIF(Campaigns!$A$7:$A$300,B3324)&gt;0,"✓","⚠ add to Campaigns tab"))</f>
        <v/>
      </c>
      <c r="I3324" s="84" t="str">
        <f aca="false">IF(C3324="","",C3324*IF(Settings!$B$23=Settings!$C$6,1,IF(Settings!$B$23="USD",1/INDEX(Settings!$B$29:$B$40,MONTH(A3324)),INDEX(Settings!$B$29:$B$40,MONTH(A3324)))))</f>
        <v/>
      </c>
    </row>
    <row r="3325" customFormat="false" ht="15" hidden="false" customHeight="false" outlineLevel="0" collapsed="false">
      <c r="H3325" s="0" t="str">
        <f aca="false">IF(B3325="","",IF(COUNTIF(Campaigns!$A$7:$A$300,B3325)&gt;0,"✓","⚠ add to Campaigns tab"))</f>
        <v/>
      </c>
      <c r="I3325" s="84" t="str">
        <f aca="false">IF(C3325="","",C3325*IF(Settings!$B$23=Settings!$C$6,1,IF(Settings!$B$23="USD",1/INDEX(Settings!$B$29:$B$40,MONTH(A3325)),INDEX(Settings!$B$29:$B$40,MONTH(A3325)))))</f>
        <v/>
      </c>
    </row>
    <row r="3326" customFormat="false" ht="15" hidden="false" customHeight="false" outlineLevel="0" collapsed="false">
      <c r="H3326" s="0" t="str">
        <f aca="false">IF(B3326="","",IF(COUNTIF(Campaigns!$A$7:$A$300,B3326)&gt;0,"✓","⚠ add to Campaigns tab"))</f>
        <v/>
      </c>
      <c r="I3326" s="84" t="str">
        <f aca="false">IF(C3326="","",C3326*IF(Settings!$B$23=Settings!$C$6,1,IF(Settings!$B$23="USD",1/INDEX(Settings!$B$29:$B$40,MONTH(A3326)),INDEX(Settings!$B$29:$B$40,MONTH(A3326)))))</f>
        <v/>
      </c>
    </row>
    <row r="3327" customFormat="false" ht="15" hidden="false" customHeight="false" outlineLevel="0" collapsed="false">
      <c r="H3327" s="0" t="str">
        <f aca="false">IF(B3327="","",IF(COUNTIF(Campaigns!$A$7:$A$300,B3327)&gt;0,"✓","⚠ add to Campaigns tab"))</f>
        <v/>
      </c>
      <c r="I3327" s="84" t="str">
        <f aca="false">IF(C3327="","",C3327*IF(Settings!$B$23=Settings!$C$6,1,IF(Settings!$B$23="USD",1/INDEX(Settings!$B$29:$B$40,MONTH(A3327)),INDEX(Settings!$B$29:$B$40,MONTH(A3327)))))</f>
        <v/>
      </c>
    </row>
    <row r="3328" customFormat="false" ht="15" hidden="false" customHeight="false" outlineLevel="0" collapsed="false">
      <c r="H3328" s="0" t="str">
        <f aca="false">IF(B3328="","",IF(COUNTIF(Campaigns!$A$7:$A$300,B3328)&gt;0,"✓","⚠ add to Campaigns tab"))</f>
        <v/>
      </c>
      <c r="I3328" s="84" t="str">
        <f aca="false">IF(C3328="","",C3328*IF(Settings!$B$23=Settings!$C$6,1,IF(Settings!$B$23="USD",1/INDEX(Settings!$B$29:$B$40,MONTH(A3328)),INDEX(Settings!$B$29:$B$40,MONTH(A3328)))))</f>
        <v/>
      </c>
    </row>
    <row r="3329" customFormat="false" ht="15" hidden="false" customHeight="false" outlineLevel="0" collapsed="false">
      <c r="H3329" s="0" t="str">
        <f aca="false">IF(B3329="","",IF(COUNTIF(Campaigns!$A$7:$A$300,B3329)&gt;0,"✓","⚠ add to Campaigns tab"))</f>
        <v/>
      </c>
      <c r="I3329" s="84" t="str">
        <f aca="false">IF(C3329="","",C3329*IF(Settings!$B$23=Settings!$C$6,1,IF(Settings!$B$23="USD",1/INDEX(Settings!$B$29:$B$40,MONTH(A3329)),INDEX(Settings!$B$29:$B$40,MONTH(A3329)))))</f>
        <v/>
      </c>
    </row>
    <row r="3330" customFormat="false" ht="15" hidden="false" customHeight="false" outlineLevel="0" collapsed="false">
      <c r="H3330" s="0" t="str">
        <f aca="false">IF(B3330="","",IF(COUNTIF(Campaigns!$A$7:$A$300,B3330)&gt;0,"✓","⚠ add to Campaigns tab"))</f>
        <v/>
      </c>
      <c r="I3330" s="84" t="str">
        <f aca="false">IF(C3330="","",C3330*IF(Settings!$B$23=Settings!$C$6,1,IF(Settings!$B$23="USD",1/INDEX(Settings!$B$29:$B$40,MONTH(A3330)),INDEX(Settings!$B$29:$B$40,MONTH(A3330)))))</f>
        <v/>
      </c>
    </row>
    <row r="3331" customFormat="false" ht="15" hidden="false" customHeight="false" outlineLevel="0" collapsed="false">
      <c r="H3331" s="0" t="str">
        <f aca="false">IF(B3331="","",IF(COUNTIF(Campaigns!$A$7:$A$300,B3331)&gt;0,"✓","⚠ add to Campaigns tab"))</f>
        <v/>
      </c>
      <c r="I3331" s="84" t="str">
        <f aca="false">IF(C3331="","",C3331*IF(Settings!$B$23=Settings!$C$6,1,IF(Settings!$B$23="USD",1/INDEX(Settings!$B$29:$B$40,MONTH(A3331)),INDEX(Settings!$B$29:$B$40,MONTH(A3331)))))</f>
        <v/>
      </c>
    </row>
    <row r="3332" customFormat="false" ht="15" hidden="false" customHeight="false" outlineLevel="0" collapsed="false">
      <c r="H3332" s="0" t="str">
        <f aca="false">IF(B3332="","",IF(COUNTIF(Campaigns!$A$7:$A$300,B3332)&gt;0,"✓","⚠ add to Campaigns tab"))</f>
        <v/>
      </c>
      <c r="I3332" s="84" t="str">
        <f aca="false">IF(C3332="","",C3332*IF(Settings!$B$23=Settings!$C$6,1,IF(Settings!$B$23="USD",1/INDEX(Settings!$B$29:$B$40,MONTH(A3332)),INDEX(Settings!$B$29:$B$40,MONTH(A3332)))))</f>
        <v/>
      </c>
    </row>
    <row r="3333" customFormat="false" ht="15" hidden="false" customHeight="false" outlineLevel="0" collapsed="false">
      <c r="H3333" s="0" t="str">
        <f aca="false">IF(B3333="","",IF(COUNTIF(Campaigns!$A$7:$A$300,B3333)&gt;0,"✓","⚠ add to Campaigns tab"))</f>
        <v/>
      </c>
      <c r="I3333" s="84" t="str">
        <f aca="false">IF(C3333="","",C3333*IF(Settings!$B$23=Settings!$C$6,1,IF(Settings!$B$23="USD",1/INDEX(Settings!$B$29:$B$40,MONTH(A3333)),INDEX(Settings!$B$29:$B$40,MONTH(A3333)))))</f>
        <v/>
      </c>
    </row>
    <row r="3334" customFormat="false" ht="15" hidden="false" customHeight="false" outlineLevel="0" collapsed="false">
      <c r="H3334" s="0" t="str">
        <f aca="false">IF(B3334="","",IF(COUNTIF(Campaigns!$A$7:$A$300,B3334)&gt;0,"✓","⚠ add to Campaigns tab"))</f>
        <v/>
      </c>
      <c r="I3334" s="84" t="str">
        <f aca="false">IF(C3334="","",C3334*IF(Settings!$B$23=Settings!$C$6,1,IF(Settings!$B$23="USD",1/INDEX(Settings!$B$29:$B$40,MONTH(A3334)),INDEX(Settings!$B$29:$B$40,MONTH(A3334)))))</f>
        <v/>
      </c>
    </row>
    <row r="3335" customFormat="false" ht="15" hidden="false" customHeight="false" outlineLevel="0" collapsed="false">
      <c r="H3335" s="0" t="str">
        <f aca="false">IF(B3335="","",IF(COUNTIF(Campaigns!$A$7:$A$300,B3335)&gt;0,"✓","⚠ add to Campaigns tab"))</f>
        <v/>
      </c>
      <c r="I3335" s="84" t="str">
        <f aca="false">IF(C3335="","",C3335*IF(Settings!$B$23=Settings!$C$6,1,IF(Settings!$B$23="USD",1/INDEX(Settings!$B$29:$B$40,MONTH(A3335)),INDEX(Settings!$B$29:$B$40,MONTH(A3335)))))</f>
        <v/>
      </c>
    </row>
    <row r="3336" customFormat="false" ht="15" hidden="false" customHeight="false" outlineLevel="0" collapsed="false">
      <c r="H3336" s="0" t="str">
        <f aca="false">IF(B3336="","",IF(COUNTIF(Campaigns!$A$7:$A$300,B3336)&gt;0,"✓","⚠ add to Campaigns tab"))</f>
        <v/>
      </c>
      <c r="I3336" s="84" t="str">
        <f aca="false">IF(C3336="","",C3336*IF(Settings!$B$23=Settings!$C$6,1,IF(Settings!$B$23="USD",1/INDEX(Settings!$B$29:$B$40,MONTH(A3336)),INDEX(Settings!$B$29:$B$40,MONTH(A3336)))))</f>
        <v/>
      </c>
    </row>
    <row r="3337" customFormat="false" ht="15" hidden="false" customHeight="false" outlineLevel="0" collapsed="false">
      <c r="H3337" s="0" t="str">
        <f aca="false">IF(B3337="","",IF(COUNTIF(Campaigns!$A$7:$A$300,B3337)&gt;0,"✓","⚠ add to Campaigns tab"))</f>
        <v/>
      </c>
      <c r="I3337" s="84" t="str">
        <f aca="false">IF(C3337="","",C3337*IF(Settings!$B$23=Settings!$C$6,1,IF(Settings!$B$23="USD",1/INDEX(Settings!$B$29:$B$40,MONTH(A3337)),INDEX(Settings!$B$29:$B$40,MONTH(A3337)))))</f>
        <v/>
      </c>
    </row>
    <row r="3338" customFormat="false" ht="15" hidden="false" customHeight="false" outlineLevel="0" collapsed="false">
      <c r="H3338" s="0" t="str">
        <f aca="false">IF(B3338="","",IF(COUNTIF(Campaigns!$A$7:$A$300,B3338)&gt;0,"✓","⚠ add to Campaigns tab"))</f>
        <v/>
      </c>
      <c r="I3338" s="84" t="str">
        <f aca="false">IF(C3338="","",C3338*IF(Settings!$B$23=Settings!$C$6,1,IF(Settings!$B$23="USD",1/INDEX(Settings!$B$29:$B$40,MONTH(A3338)),INDEX(Settings!$B$29:$B$40,MONTH(A3338)))))</f>
        <v/>
      </c>
    </row>
    <row r="3339" customFormat="false" ht="15" hidden="false" customHeight="false" outlineLevel="0" collapsed="false">
      <c r="H3339" s="0" t="str">
        <f aca="false">IF(B3339="","",IF(COUNTIF(Campaigns!$A$7:$A$300,B3339)&gt;0,"✓","⚠ add to Campaigns tab"))</f>
        <v/>
      </c>
      <c r="I3339" s="84" t="str">
        <f aca="false">IF(C3339="","",C3339*IF(Settings!$B$23=Settings!$C$6,1,IF(Settings!$B$23="USD",1/INDEX(Settings!$B$29:$B$40,MONTH(A3339)),INDEX(Settings!$B$29:$B$40,MONTH(A3339)))))</f>
        <v/>
      </c>
    </row>
    <row r="3340" customFormat="false" ht="15" hidden="false" customHeight="false" outlineLevel="0" collapsed="false">
      <c r="H3340" s="0" t="str">
        <f aca="false">IF(B3340="","",IF(COUNTIF(Campaigns!$A$7:$A$300,B3340)&gt;0,"✓","⚠ add to Campaigns tab"))</f>
        <v/>
      </c>
      <c r="I3340" s="84" t="str">
        <f aca="false">IF(C3340="","",C3340*IF(Settings!$B$23=Settings!$C$6,1,IF(Settings!$B$23="USD",1/INDEX(Settings!$B$29:$B$40,MONTH(A3340)),INDEX(Settings!$B$29:$B$40,MONTH(A3340)))))</f>
        <v/>
      </c>
    </row>
    <row r="3341" customFormat="false" ht="15" hidden="false" customHeight="false" outlineLevel="0" collapsed="false">
      <c r="H3341" s="0" t="str">
        <f aca="false">IF(B3341="","",IF(COUNTIF(Campaigns!$A$7:$A$300,B3341)&gt;0,"✓","⚠ add to Campaigns tab"))</f>
        <v/>
      </c>
      <c r="I3341" s="84" t="str">
        <f aca="false">IF(C3341="","",C3341*IF(Settings!$B$23=Settings!$C$6,1,IF(Settings!$B$23="USD",1/INDEX(Settings!$B$29:$B$40,MONTH(A3341)),INDEX(Settings!$B$29:$B$40,MONTH(A3341)))))</f>
        <v/>
      </c>
    </row>
    <row r="3342" customFormat="false" ht="15" hidden="false" customHeight="false" outlineLevel="0" collapsed="false">
      <c r="H3342" s="0" t="str">
        <f aca="false">IF(B3342="","",IF(COUNTIF(Campaigns!$A$7:$A$300,B3342)&gt;0,"✓","⚠ add to Campaigns tab"))</f>
        <v/>
      </c>
      <c r="I3342" s="84" t="str">
        <f aca="false">IF(C3342="","",C3342*IF(Settings!$B$23=Settings!$C$6,1,IF(Settings!$B$23="USD",1/INDEX(Settings!$B$29:$B$40,MONTH(A3342)),INDEX(Settings!$B$29:$B$40,MONTH(A3342)))))</f>
        <v/>
      </c>
    </row>
    <row r="3343" customFormat="false" ht="15" hidden="false" customHeight="false" outlineLevel="0" collapsed="false">
      <c r="H3343" s="0" t="str">
        <f aca="false">IF(B3343="","",IF(COUNTIF(Campaigns!$A$7:$A$300,B3343)&gt;0,"✓","⚠ add to Campaigns tab"))</f>
        <v/>
      </c>
      <c r="I3343" s="84" t="str">
        <f aca="false">IF(C3343="","",C3343*IF(Settings!$B$23=Settings!$C$6,1,IF(Settings!$B$23="USD",1/INDEX(Settings!$B$29:$B$40,MONTH(A3343)),INDEX(Settings!$B$29:$B$40,MONTH(A3343)))))</f>
        <v/>
      </c>
    </row>
    <row r="3344" customFormat="false" ht="15" hidden="false" customHeight="false" outlineLevel="0" collapsed="false">
      <c r="H3344" s="0" t="str">
        <f aca="false">IF(B3344="","",IF(COUNTIF(Campaigns!$A$7:$A$300,B3344)&gt;0,"✓","⚠ add to Campaigns tab"))</f>
        <v/>
      </c>
      <c r="I3344" s="84" t="str">
        <f aca="false">IF(C3344="","",C3344*IF(Settings!$B$23=Settings!$C$6,1,IF(Settings!$B$23="USD",1/INDEX(Settings!$B$29:$B$40,MONTH(A3344)),INDEX(Settings!$B$29:$B$40,MONTH(A3344)))))</f>
        <v/>
      </c>
    </row>
    <row r="3345" customFormat="false" ht="15" hidden="false" customHeight="false" outlineLevel="0" collapsed="false">
      <c r="H3345" s="0" t="str">
        <f aca="false">IF(B3345="","",IF(COUNTIF(Campaigns!$A$7:$A$300,B3345)&gt;0,"✓","⚠ add to Campaigns tab"))</f>
        <v/>
      </c>
      <c r="I3345" s="84" t="str">
        <f aca="false">IF(C3345="","",C3345*IF(Settings!$B$23=Settings!$C$6,1,IF(Settings!$B$23="USD",1/INDEX(Settings!$B$29:$B$40,MONTH(A3345)),INDEX(Settings!$B$29:$B$40,MONTH(A3345)))))</f>
        <v/>
      </c>
    </row>
    <row r="3346" customFormat="false" ht="15" hidden="false" customHeight="false" outlineLevel="0" collapsed="false">
      <c r="H3346" s="0" t="str">
        <f aca="false">IF(B3346="","",IF(COUNTIF(Campaigns!$A$7:$A$300,B3346)&gt;0,"✓","⚠ add to Campaigns tab"))</f>
        <v/>
      </c>
      <c r="I3346" s="84" t="str">
        <f aca="false">IF(C3346="","",C3346*IF(Settings!$B$23=Settings!$C$6,1,IF(Settings!$B$23="USD",1/INDEX(Settings!$B$29:$B$40,MONTH(A3346)),INDEX(Settings!$B$29:$B$40,MONTH(A3346)))))</f>
        <v/>
      </c>
    </row>
    <row r="3347" customFormat="false" ht="15" hidden="false" customHeight="false" outlineLevel="0" collapsed="false">
      <c r="H3347" s="0" t="str">
        <f aca="false">IF(B3347="","",IF(COUNTIF(Campaigns!$A$7:$A$300,B3347)&gt;0,"✓","⚠ add to Campaigns tab"))</f>
        <v/>
      </c>
      <c r="I3347" s="84" t="str">
        <f aca="false">IF(C3347="","",C3347*IF(Settings!$B$23=Settings!$C$6,1,IF(Settings!$B$23="USD",1/INDEX(Settings!$B$29:$B$40,MONTH(A3347)),INDEX(Settings!$B$29:$B$40,MONTH(A3347)))))</f>
        <v/>
      </c>
    </row>
    <row r="3348" customFormat="false" ht="15" hidden="false" customHeight="false" outlineLevel="0" collapsed="false">
      <c r="H3348" s="0" t="str">
        <f aca="false">IF(B3348="","",IF(COUNTIF(Campaigns!$A$7:$A$300,B3348)&gt;0,"✓","⚠ add to Campaigns tab"))</f>
        <v/>
      </c>
      <c r="I3348" s="84" t="str">
        <f aca="false">IF(C3348="","",C3348*IF(Settings!$B$23=Settings!$C$6,1,IF(Settings!$B$23="USD",1/INDEX(Settings!$B$29:$B$40,MONTH(A3348)),INDEX(Settings!$B$29:$B$40,MONTH(A3348)))))</f>
        <v/>
      </c>
    </row>
    <row r="3349" customFormat="false" ht="15" hidden="false" customHeight="false" outlineLevel="0" collapsed="false">
      <c r="H3349" s="0" t="str">
        <f aca="false">IF(B3349="","",IF(COUNTIF(Campaigns!$A$7:$A$300,B3349)&gt;0,"✓","⚠ add to Campaigns tab"))</f>
        <v/>
      </c>
      <c r="I3349" s="84" t="str">
        <f aca="false">IF(C3349="","",C3349*IF(Settings!$B$23=Settings!$C$6,1,IF(Settings!$B$23="USD",1/INDEX(Settings!$B$29:$B$40,MONTH(A3349)),INDEX(Settings!$B$29:$B$40,MONTH(A3349)))))</f>
        <v/>
      </c>
    </row>
    <row r="3350" customFormat="false" ht="15" hidden="false" customHeight="false" outlineLevel="0" collapsed="false">
      <c r="H3350" s="0" t="str">
        <f aca="false">IF(B3350="","",IF(COUNTIF(Campaigns!$A$7:$A$300,B3350)&gt;0,"✓","⚠ add to Campaigns tab"))</f>
        <v/>
      </c>
      <c r="I3350" s="84" t="str">
        <f aca="false">IF(C3350="","",C3350*IF(Settings!$B$23=Settings!$C$6,1,IF(Settings!$B$23="USD",1/INDEX(Settings!$B$29:$B$40,MONTH(A3350)),INDEX(Settings!$B$29:$B$40,MONTH(A3350)))))</f>
        <v/>
      </c>
    </row>
    <row r="3351" customFormat="false" ht="15" hidden="false" customHeight="false" outlineLevel="0" collapsed="false">
      <c r="H3351" s="0" t="str">
        <f aca="false">IF(B3351="","",IF(COUNTIF(Campaigns!$A$7:$A$300,B3351)&gt;0,"✓","⚠ add to Campaigns tab"))</f>
        <v/>
      </c>
      <c r="I3351" s="84" t="str">
        <f aca="false">IF(C3351="","",C3351*IF(Settings!$B$23=Settings!$C$6,1,IF(Settings!$B$23="USD",1/INDEX(Settings!$B$29:$B$40,MONTH(A3351)),INDEX(Settings!$B$29:$B$40,MONTH(A3351)))))</f>
        <v/>
      </c>
    </row>
    <row r="3352" customFormat="false" ht="15" hidden="false" customHeight="false" outlineLevel="0" collapsed="false">
      <c r="H3352" s="0" t="str">
        <f aca="false">IF(B3352="","",IF(COUNTIF(Campaigns!$A$7:$A$300,B3352)&gt;0,"✓","⚠ add to Campaigns tab"))</f>
        <v/>
      </c>
      <c r="I3352" s="84" t="str">
        <f aca="false">IF(C3352="","",C3352*IF(Settings!$B$23=Settings!$C$6,1,IF(Settings!$B$23="USD",1/INDEX(Settings!$B$29:$B$40,MONTH(A3352)),INDEX(Settings!$B$29:$B$40,MONTH(A3352)))))</f>
        <v/>
      </c>
    </row>
    <row r="3353" customFormat="false" ht="15" hidden="false" customHeight="false" outlineLevel="0" collapsed="false">
      <c r="H3353" s="0" t="str">
        <f aca="false">IF(B3353="","",IF(COUNTIF(Campaigns!$A$7:$A$300,B3353)&gt;0,"✓","⚠ add to Campaigns tab"))</f>
        <v/>
      </c>
      <c r="I3353" s="84" t="str">
        <f aca="false">IF(C3353="","",C3353*IF(Settings!$B$23=Settings!$C$6,1,IF(Settings!$B$23="USD",1/INDEX(Settings!$B$29:$B$40,MONTH(A3353)),INDEX(Settings!$B$29:$B$40,MONTH(A3353)))))</f>
        <v/>
      </c>
    </row>
    <row r="3354" customFormat="false" ht="15" hidden="false" customHeight="false" outlineLevel="0" collapsed="false">
      <c r="H3354" s="0" t="str">
        <f aca="false">IF(B3354="","",IF(COUNTIF(Campaigns!$A$7:$A$300,B3354)&gt;0,"✓","⚠ add to Campaigns tab"))</f>
        <v/>
      </c>
      <c r="I3354" s="84" t="str">
        <f aca="false">IF(C3354="","",C3354*IF(Settings!$B$23=Settings!$C$6,1,IF(Settings!$B$23="USD",1/INDEX(Settings!$B$29:$B$40,MONTH(A3354)),INDEX(Settings!$B$29:$B$40,MONTH(A3354)))))</f>
        <v/>
      </c>
    </row>
    <row r="3355" customFormat="false" ht="15" hidden="false" customHeight="false" outlineLevel="0" collapsed="false">
      <c r="H3355" s="0" t="str">
        <f aca="false">IF(B3355="","",IF(COUNTIF(Campaigns!$A$7:$A$300,B3355)&gt;0,"✓","⚠ add to Campaigns tab"))</f>
        <v/>
      </c>
      <c r="I3355" s="84" t="str">
        <f aca="false">IF(C3355="","",C3355*IF(Settings!$B$23=Settings!$C$6,1,IF(Settings!$B$23="USD",1/INDEX(Settings!$B$29:$B$40,MONTH(A3355)),INDEX(Settings!$B$29:$B$40,MONTH(A3355)))))</f>
        <v/>
      </c>
    </row>
    <row r="3356" customFormat="false" ht="15" hidden="false" customHeight="false" outlineLevel="0" collapsed="false">
      <c r="H3356" s="0" t="str">
        <f aca="false">IF(B3356="","",IF(COUNTIF(Campaigns!$A$7:$A$300,B3356)&gt;0,"✓","⚠ add to Campaigns tab"))</f>
        <v/>
      </c>
      <c r="I3356" s="84" t="str">
        <f aca="false">IF(C3356="","",C3356*IF(Settings!$B$23=Settings!$C$6,1,IF(Settings!$B$23="USD",1/INDEX(Settings!$B$29:$B$40,MONTH(A3356)),INDEX(Settings!$B$29:$B$40,MONTH(A3356)))))</f>
        <v/>
      </c>
    </row>
    <row r="3357" customFormat="false" ht="15" hidden="false" customHeight="false" outlineLevel="0" collapsed="false">
      <c r="H3357" s="0" t="str">
        <f aca="false">IF(B3357="","",IF(COUNTIF(Campaigns!$A$7:$A$300,B3357)&gt;0,"✓","⚠ add to Campaigns tab"))</f>
        <v/>
      </c>
      <c r="I3357" s="84" t="str">
        <f aca="false">IF(C3357="","",C3357*IF(Settings!$B$23=Settings!$C$6,1,IF(Settings!$B$23="USD",1/INDEX(Settings!$B$29:$B$40,MONTH(A3357)),INDEX(Settings!$B$29:$B$40,MONTH(A3357)))))</f>
        <v/>
      </c>
    </row>
    <row r="3358" customFormat="false" ht="15" hidden="false" customHeight="false" outlineLevel="0" collapsed="false">
      <c r="H3358" s="0" t="str">
        <f aca="false">IF(B3358="","",IF(COUNTIF(Campaigns!$A$7:$A$300,B3358)&gt;0,"✓","⚠ add to Campaigns tab"))</f>
        <v/>
      </c>
      <c r="I3358" s="84" t="str">
        <f aca="false">IF(C3358="","",C3358*IF(Settings!$B$23=Settings!$C$6,1,IF(Settings!$B$23="USD",1/INDEX(Settings!$B$29:$B$40,MONTH(A3358)),INDEX(Settings!$B$29:$B$40,MONTH(A3358)))))</f>
        <v/>
      </c>
    </row>
    <row r="3359" customFormat="false" ht="15" hidden="false" customHeight="false" outlineLevel="0" collapsed="false">
      <c r="H3359" s="0" t="str">
        <f aca="false">IF(B3359="","",IF(COUNTIF(Campaigns!$A$7:$A$300,B3359)&gt;0,"✓","⚠ add to Campaigns tab"))</f>
        <v/>
      </c>
      <c r="I3359" s="84" t="str">
        <f aca="false">IF(C3359="","",C3359*IF(Settings!$B$23=Settings!$C$6,1,IF(Settings!$B$23="USD",1/INDEX(Settings!$B$29:$B$40,MONTH(A3359)),INDEX(Settings!$B$29:$B$40,MONTH(A3359)))))</f>
        <v/>
      </c>
    </row>
    <row r="3360" customFormat="false" ht="15" hidden="false" customHeight="false" outlineLevel="0" collapsed="false">
      <c r="H3360" s="0" t="str">
        <f aca="false">IF(B3360="","",IF(COUNTIF(Campaigns!$A$7:$A$300,B3360)&gt;0,"✓","⚠ add to Campaigns tab"))</f>
        <v/>
      </c>
      <c r="I3360" s="84" t="str">
        <f aca="false">IF(C3360="","",C3360*IF(Settings!$B$23=Settings!$C$6,1,IF(Settings!$B$23="USD",1/INDEX(Settings!$B$29:$B$40,MONTH(A3360)),INDEX(Settings!$B$29:$B$40,MONTH(A3360)))))</f>
        <v/>
      </c>
    </row>
    <row r="3361" customFormat="false" ht="15" hidden="false" customHeight="false" outlineLevel="0" collapsed="false">
      <c r="H3361" s="0" t="str">
        <f aca="false">IF(B3361="","",IF(COUNTIF(Campaigns!$A$7:$A$300,B3361)&gt;0,"✓","⚠ add to Campaigns tab"))</f>
        <v/>
      </c>
      <c r="I3361" s="84" t="str">
        <f aca="false">IF(C3361="","",C3361*IF(Settings!$B$23=Settings!$C$6,1,IF(Settings!$B$23="USD",1/INDEX(Settings!$B$29:$B$40,MONTH(A3361)),INDEX(Settings!$B$29:$B$40,MONTH(A3361)))))</f>
        <v/>
      </c>
    </row>
    <row r="3362" customFormat="false" ht="15" hidden="false" customHeight="false" outlineLevel="0" collapsed="false">
      <c r="H3362" s="0" t="str">
        <f aca="false">IF(B3362="","",IF(COUNTIF(Campaigns!$A$7:$A$300,B3362)&gt;0,"✓","⚠ add to Campaigns tab"))</f>
        <v/>
      </c>
      <c r="I3362" s="84" t="str">
        <f aca="false">IF(C3362="","",C3362*IF(Settings!$B$23=Settings!$C$6,1,IF(Settings!$B$23="USD",1/INDEX(Settings!$B$29:$B$40,MONTH(A3362)),INDEX(Settings!$B$29:$B$40,MONTH(A3362)))))</f>
        <v/>
      </c>
    </row>
    <row r="3363" customFormat="false" ht="15" hidden="false" customHeight="false" outlineLevel="0" collapsed="false">
      <c r="H3363" s="0" t="str">
        <f aca="false">IF(B3363="","",IF(COUNTIF(Campaigns!$A$7:$A$300,B3363)&gt;0,"✓","⚠ add to Campaigns tab"))</f>
        <v/>
      </c>
      <c r="I3363" s="84" t="str">
        <f aca="false">IF(C3363="","",C3363*IF(Settings!$B$23=Settings!$C$6,1,IF(Settings!$B$23="USD",1/INDEX(Settings!$B$29:$B$40,MONTH(A3363)),INDEX(Settings!$B$29:$B$40,MONTH(A3363)))))</f>
        <v/>
      </c>
    </row>
    <row r="3364" customFormat="false" ht="15" hidden="false" customHeight="false" outlineLevel="0" collapsed="false">
      <c r="H3364" s="0" t="str">
        <f aca="false">IF(B3364="","",IF(COUNTIF(Campaigns!$A$7:$A$300,B3364)&gt;0,"✓","⚠ add to Campaigns tab"))</f>
        <v/>
      </c>
      <c r="I3364" s="84" t="str">
        <f aca="false">IF(C3364="","",C3364*IF(Settings!$B$23=Settings!$C$6,1,IF(Settings!$B$23="USD",1/INDEX(Settings!$B$29:$B$40,MONTH(A3364)),INDEX(Settings!$B$29:$B$40,MONTH(A3364)))))</f>
        <v/>
      </c>
    </row>
    <row r="3365" customFormat="false" ht="15" hidden="false" customHeight="false" outlineLevel="0" collapsed="false">
      <c r="H3365" s="0" t="str">
        <f aca="false">IF(B3365="","",IF(COUNTIF(Campaigns!$A$7:$A$300,B3365)&gt;0,"✓","⚠ add to Campaigns tab"))</f>
        <v/>
      </c>
      <c r="I3365" s="84" t="str">
        <f aca="false">IF(C3365="","",C3365*IF(Settings!$B$23=Settings!$C$6,1,IF(Settings!$B$23="USD",1/INDEX(Settings!$B$29:$B$40,MONTH(A3365)),INDEX(Settings!$B$29:$B$40,MONTH(A3365)))))</f>
        <v/>
      </c>
    </row>
    <row r="3366" customFormat="false" ht="15" hidden="false" customHeight="false" outlineLevel="0" collapsed="false">
      <c r="H3366" s="0" t="str">
        <f aca="false">IF(B3366="","",IF(COUNTIF(Campaigns!$A$7:$A$300,B3366)&gt;0,"✓","⚠ add to Campaigns tab"))</f>
        <v/>
      </c>
      <c r="I3366" s="84" t="str">
        <f aca="false">IF(C3366="","",C3366*IF(Settings!$B$23=Settings!$C$6,1,IF(Settings!$B$23="USD",1/INDEX(Settings!$B$29:$B$40,MONTH(A3366)),INDEX(Settings!$B$29:$B$40,MONTH(A3366)))))</f>
        <v/>
      </c>
    </row>
    <row r="3367" customFormat="false" ht="15" hidden="false" customHeight="false" outlineLevel="0" collapsed="false">
      <c r="H3367" s="0" t="str">
        <f aca="false">IF(B3367="","",IF(COUNTIF(Campaigns!$A$7:$A$300,B3367)&gt;0,"✓","⚠ add to Campaigns tab"))</f>
        <v/>
      </c>
      <c r="I3367" s="84" t="str">
        <f aca="false">IF(C3367="","",C3367*IF(Settings!$B$23=Settings!$C$6,1,IF(Settings!$B$23="USD",1/INDEX(Settings!$B$29:$B$40,MONTH(A3367)),INDEX(Settings!$B$29:$B$40,MONTH(A3367)))))</f>
        <v/>
      </c>
    </row>
    <row r="3368" customFormat="false" ht="15" hidden="false" customHeight="false" outlineLevel="0" collapsed="false">
      <c r="H3368" s="0" t="str">
        <f aca="false">IF(B3368="","",IF(COUNTIF(Campaigns!$A$7:$A$300,B3368)&gt;0,"✓","⚠ add to Campaigns tab"))</f>
        <v/>
      </c>
      <c r="I3368" s="84" t="str">
        <f aca="false">IF(C3368="","",C3368*IF(Settings!$B$23=Settings!$C$6,1,IF(Settings!$B$23="USD",1/INDEX(Settings!$B$29:$B$40,MONTH(A3368)),INDEX(Settings!$B$29:$B$40,MONTH(A3368)))))</f>
        <v/>
      </c>
    </row>
    <row r="3369" customFormat="false" ht="15" hidden="false" customHeight="false" outlineLevel="0" collapsed="false">
      <c r="H3369" s="0" t="str">
        <f aca="false">IF(B3369="","",IF(COUNTIF(Campaigns!$A$7:$A$300,B3369)&gt;0,"✓","⚠ add to Campaigns tab"))</f>
        <v/>
      </c>
      <c r="I3369" s="84" t="str">
        <f aca="false">IF(C3369="","",C3369*IF(Settings!$B$23=Settings!$C$6,1,IF(Settings!$B$23="USD",1/INDEX(Settings!$B$29:$B$40,MONTH(A3369)),INDEX(Settings!$B$29:$B$40,MONTH(A3369)))))</f>
        <v/>
      </c>
    </row>
    <row r="3370" customFormat="false" ht="15" hidden="false" customHeight="false" outlineLevel="0" collapsed="false">
      <c r="H3370" s="0" t="str">
        <f aca="false">IF(B3370="","",IF(COUNTIF(Campaigns!$A$7:$A$300,B3370)&gt;0,"✓","⚠ add to Campaigns tab"))</f>
        <v/>
      </c>
      <c r="I3370" s="84" t="str">
        <f aca="false">IF(C3370="","",C3370*IF(Settings!$B$23=Settings!$C$6,1,IF(Settings!$B$23="USD",1/INDEX(Settings!$B$29:$B$40,MONTH(A3370)),INDEX(Settings!$B$29:$B$40,MONTH(A3370)))))</f>
        <v/>
      </c>
    </row>
    <row r="3371" customFormat="false" ht="15" hidden="false" customHeight="false" outlineLevel="0" collapsed="false">
      <c r="H3371" s="0" t="str">
        <f aca="false">IF(B3371="","",IF(COUNTIF(Campaigns!$A$7:$A$300,B3371)&gt;0,"✓","⚠ add to Campaigns tab"))</f>
        <v/>
      </c>
      <c r="I3371" s="84" t="str">
        <f aca="false">IF(C3371="","",C3371*IF(Settings!$B$23=Settings!$C$6,1,IF(Settings!$B$23="USD",1/INDEX(Settings!$B$29:$B$40,MONTH(A3371)),INDEX(Settings!$B$29:$B$40,MONTH(A3371)))))</f>
        <v/>
      </c>
    </row>
    <row r="3372" customFormat="false" ht="15" hidden="false" customHeight="false" outlineLevel="0" collapsed="false">
      <c r="H3372" s="0" t="str">
        <f aca="false">IF(B3372="","",IF(COUNTIF(Campaigns!$A$7:$A$300,B3372)&gt;0,"✓","⚠ add to Campaigns tab"))</f>
        <v/>
      </c>
      <c r="I3372" s="84" t="str">
        <f aca="false">IF(C3372="","",C3372*IF(Settings!$B$23=Settings!$C$6,1,IF(Settings!$B$23="USD",1/INDEX(Settings!$B$29:$B$40,MONTH(A3372)),INDEX(Settings!$B$29:$B$40,MONTH(A3372)))))</f>
        <v/>
      </c>
    </row>
    <row r="3373" customFormat="false" ht="15" hidden="false" customHeight="false" outlineLevel="0" collapsed="false">
      <c r="H3373" s="0" t="str">
        <f aca="false">IF(B3373="","",IF(COUNTIF(Campaigns!$A$7:$A$300,B3373)&gt;0,"✓","⚠ add to Campaigns tab"))</f>
        <v/>
      </c>
      <c r="I3373" s="84" t="str">
        <f aca="false">IF(C3373="","",C3373*IF(Settings!$B$23=Settings!$C$6,1,IF(Settings!$B$23="USD",1/INDEX(Settings!$B$29:$B$40,MONTH(A3373)),INDEX(Settings!$B$29:$B$40,MONTH(A3373)))))</f>
        <v/>
      </c>
    </row>
    <row r="3374" customFormat="false" ht="15" hidden="false" customHeight="false" outlineLevel="0" collapsed="false">
      <c r="H3374" s="0" t="str">
        <f aca="false">IF(B3374="","",IF(COUNTIF(Campaigns!$A$7:$A$300,B3374)&gt;0,"✓","⚠ add to Campaigns tab"))</f>
        <v/>
      </c>
      <c r="I3374" s="84" t="str">
        <f aca="false">IF(C3374="","",C3374*IF(Settings!$B$23=Settings!$C$6,1,IF(Settings!$B$23="USD",1/INDEX(Settings!$B$29:$B$40,MONTH(A3374)),INDEX(Settings!$B$29:$B$40,MONTH(A3374)))))</f>
        <v/>
      </c>
    </row>
    <row r="3375" customFormat="false" ht="15" hidden="false" customHeight="false" outlineLevel="0" collapsed="false">
      <c r="H3375" s="0" t="str">
        <f aca="false">IF(B3375="","",IF(COUNTIF(Campaigns!$A$7:$A$300,B3375)&gt;0,"✓","⚠ add to Campaigns tab"))</f>
        <v/>
      </c>
      <c r="I3375" s="84" t="str">
        <f aca="false">IF(C3375="","",C3375*IF(Settings!$B$23=Settings!$C$6,1,IF(Settings!$B$23="USD",1/INDEX(Settings!$B$29:$B$40,MONTH(A3375)),INDEX(Settings!$B$29:$B$40,MONTH(A3375)))))</f>
        <v/>
      </c>
    </row>
    <row r="3376" customFormat="false" ht="15" hidden="false" customHeight="false" outlineLevel="0" collapsed="false">
      <c r="H3376" s="0" t="str">
        <f aca="false">IF(B3376="","",IF(COUNTIF(Campaigns!$A$7:$A$300,B3376)&gt;0,"✓","⚠ add to Campaigns tab"))</f>
        <v/>
      </c>
      <c r="I3376" s="84" t="str">
        <f aca="false">IF(C3376="","",C3376*IF(Settings!$B$23=Settings!$C$6,1,IF(Settings!$B$23="USD",1/INDEX(Settings!$B$29:$B$40,MONTH(A3376)),INDEX(Settings!$B$29:$B$40,MONTH(A3376)))))</f>
        <v/>
      </c>
    </row>
    <row r="3377" customFormat="false" ht="15" hidden="false" customHeight="false" outlineLevel="0" collapsed="false">
      <c r="H3377" s="0" t="str">
        <f aca="false">IF(B3377="","",IF(COUNTIF(Campaigns!$A$7:$A$300,B3377)&gt;0,"✓","⚠ add to Campaigns tab"))</f>
        <v/>
      </c>
      <c r="I3377" s="84" t="str">
        <f aca="false">IF(C3377="","",C3377*IF(Settings!$B$23=Settings!$C$6,1,IF(Settings!$B$23="USD",1/INDEX(Settings!$B$29:$B$40,MONTH(A3377)),INDEX(Settings!$B$29:$B$40,MONTH(A3377)))))</f>
        <v/>
      </c>
    </row>
    <row r="3378" customFormat="false" ht="15" hidden="false" customHeight="false" outlineLevel="0" collapsed="false">
      <c r="H3378" s="0" t="str">
        <f aca="false">IF(B3378="","",IF(COUNTIF(Campaigns!$A$7:$A$300,B3378)&gt;0,"✓","⚠ add to Campaigns tab"))</f>
        <v/>
      </c>
      <c r="I3378" s="84" t="str">
        <f aca="false">IF(C3378="","",C3378*IF(Settings!$B$23=Settings!$C$6,1,IF(Settings!$B$23="USD",1/INDEX(Settings!$B$29:$B$40,MONTH(A3378)),INDEX(Settings!$B$29:$B$40,MONTH(A3378)))))</f>
        <v/>
      </c>
    </row>
    <row r="3379" customFormat="false" ht="15" hidden="false" customHeight="false" outlineLevel="0" collapsed="false">
      <c r="H3379" s="0" t="str">
        <f aca="false">IF(B3379="","",IF(COUNTIF(Campaigns!$A$7:$A$300,B3379)&gt;0,"✓","⚠ add to Campaigns tab"))</f>
        <v/>
      </c>
      <c r="I3379" s="84" t="str">
        <f aca="false">IF(C3379="","",C3379*IF(Settings!$B$23=Settings!$C$6,1,IF(Settings!$B$23="USD",1/INDEX(Settings!$B$29:$B$40,MONTH(A3379)),INDEX(Settings!$B$29:$B$40,MONTH(A3379)))))</f>
        <v/>
      </c>
    </row>
    <row r="3380" customFormat="false" ht="15" hidden="false" customHeight="false" outlineLevel="0" collapsed="false">
      <c r="H3380" s="0" t="str">
        <f aca="false">IF(B3380="","",IF(COUNTIF(Campaigns!$A$7:$A$300,B3380)&gt;0,"✓","⚠ add to Campaigns tab"))</f>
        <v/>
      </c>
      <c r="I3380" s="84" t="str">
        <f aca="false">IF(C3380="","",C3380*IF(Settings!$B$23=Settings!$C$6,1,IF(Settings!$B$23="USD",1/INDEX(Settings!$B$29:$B$40,MONTH(A3380)),INDEX(Settings!$B$29:$B$40,MONTH(A3380)))))</f>
        <v/>
      </c>
    </row>
    <row r="3381" customFormat="false" ht="15" hidden="false" customHeight="false" outlineLevel="0" collapsed="false">
      <c r="H3381" s="0" t="str">
        <f aca="false">IF(B3381="","",IF(COUNTIF(Campaigns!$A$7:$A$300,B3381)&gt;0,"✓","⚠ add to Campaigns tab"))</f>
        <v/>
      </c>
      <c r="I3381" s="84" t="str">
        <f aca="false">IF(C3381="","",C3381*IF(Settings!$B$23=Settings!$C$6,1,IF(Settings!$B$23="USD",1/INDEX(Settings!$B$29:$B$40,MONTH(A3381)),INDEX(Settings!$B$29:$B$40,MONTH(A3381)))))</f>
        <v/>
      </c>
    </row>
    <row r="3382" customFormat="false" ht="15" hidden="false" customHeight="false" outlineLevel="0" collapsed="false">
      <c r="H3382" s="0" t="str">
        <f aca="false">IF(B3382="","",IF(COUNTIF(Campaigns!$A$7:$A$300,B3382)&gt;0,"✓","⚠ add to Campaigns tab"))</f>
        <v/>
      </c>
      <c r="I3382" s="84" t="str">
        <f aca="false">IF(C3382="","",C3382*IF(Settings!$B$23=Settings!$C$6,1,IF(Settings!$B$23="USD",1/INDEX(Settings!$B$29:$B$40,MONTH(A3382)),INDEX(Settings!$B$29:$B$40,MONTH(A3382)))))</f>
        <v/>
      </c>
    </row>
    <row r="3383" customFormat="false" ht="15" hidden="false" customHeight="false" outlineLevel="0" collapsed="false">
      <c r="H3383" s="0" t="str">
        <f aca="false">IF(B3383="","",IF(COUNTIF(Campaigns!$A$7:$A$300,B3383)&gt;0,"✓","⚠ add to Campaigns tab"))</f>
        <v/>
      </c>
      <c r="I3383" s="84" t="str">
        <f aca="false">IF(C3383="","",C3383*IF(Settings!$B$23=Settings!$C$6,1,IF(Settings!$B$23="USD",1/INDEX(Settings!$B$29:$B$40,MONTH(A3383)),INDEX(Settings!$B$29:$B$40,MONTH(A3383)))))</f>
        <v/>
      </c>
    </row>
    <row r="3384" customFormat="false" ht="15" hidden="false" customHeight="false" outlineLevel="0" collapsed="false">
      <c r="H3384" s="0" t="str">
        <f aca="false">IF(B3384="","",IF(COUNTIF(Campaigns!$A$7:$A$300,B3384)&gt;0,"✓","⚠ add to Campaigns tab"))</f>
        <v/>
      </c>
      <c r="I3384" s="84" t="str">
        <f aca="false">IF(C3384="","",C3384*IF(Settings!$B$23=Settings!$C$6,1,IF(Settings!$B$23="USD",1/INDEX(Settings!$B$29:$B$40,MONTH(A3384)),INDEX(Settings!$B$29:$B$40,MONTH(A3384)))))</f>
        <v/>
      </c>
    </row>
    <row r="3385" customFormat="false" ht="15" hidden="false" customHeight="false" outlineLevel="0" collapsed="false">
      <c r="H3385" s="0" t="str">
        <f aca="false">IF(B3385="","",IF(COUNTIF(Campaigns!$A$7:$A$300,B3385)&gt;0,"✓","⚠ add to Campaigns tab"))</f>
        <v/>
      </c>
      <c r="I3385" s="84" t="str">
        <f aca="false">IF(C3385="","",C3385*IF(Settings!$B$23=Settings!$C$6,1,IF(Settings!$B$23="USD",1/INDEX(Settings!$B$29:$B$40,MONTH(A3385)),INDEX(Settings!$B$29:$B$40,MONTH(A3385)))))</f>
        <v/>
      </c>
    </row>
    <row r="3386" customFormat="false" ht="15" hidden="false" customHeight="false" outlineLevel="0" collapsed="false">
      <c r="H3386" s="0" t="str">
        <f aca="false">IF(B3386="","",IF(COUNTIF(Campaigns!$A$7:$A$300,B3386)&gt;0,"✓","⚠ add to Campaigns tab"))</f>
        <v/>
      </c>
      <c r="I3386" s="84" t="str">
        <f aca="false">IF(C3386="","",C3386*IF(Settings!$B$23=Settings!$C$6,1,IF(Settings!$B$23="USD",1/INDEX(Settings!$B$29:$B$40,MONTH(A3386)),INDEX(Settings!$B$29:$B$40,MONTH(A3386)))))</f>
        <v/>
      </c>
    </row>
    <row r="3387" customFormat="false" ht="15" hidden="false" customHeight="false" outlineLevel="0" collapsed="false">
      <c r="H3387" s="0" t="str">
        <f aca="false">IF(B3387="","",IF(COUNTIF(Campaigns!$A$7:$A$300,B3387)&gt;0,"✓","⚠ add to Campaigns tab"))</f>
        <v/>
      </c>
      <c r="I3387" s="84" t="str">
        <f aca="false">IF(C3387="","",C3387*IF(Settings!$B$23=Settings!$C$6,1,IF(Settings!$B$23="USD",1/INDEX(Settings!$B$29:$B$40,MONTH(A3387)),INDEX(Settings!$B$29:$B$40,MONTH(A3387)))))</f>
        <v/>
      </c>
    </row>
    <row r="3388" customFormat="false" ht="15" hidden="false" customHeight="false" outlineLevel="0" collapsed="false">
      <c r="H3388" s="0" t="str">
        <f aca="false">IF(B3388="","",IF(COUNTIF(Campaigns!$A$7:$A$300,B3388)&gt;0,"✓","⚠ add to Campaigns tab"))</f>
        <v/>
      </c>
      <c r="I3388" s="84" t="str">
        <f aca="false">IF(C3388="","",C3388*IF(Settings!$B$23=Settings!$C$6,1,IF(Settings!$B$23="USD",1/INDEX(Settings!$B$29:$B$40,MONTH(A3388)),INDEX(Settings!$B$29:$B$40,MONTH(A3388)))))</f>
        <v/>
      </c>
    </row>
    <row r="3389" customFormat="false" ht="15" hidden="false" customHeight="false" outlineLevel="0" collapsed="false">
      <c r="H3389" s="0" t="str">
        <f aca="false">IF(B3389="","",IF(COUNTIF(Campaigns!$A$7:$A$300,B3389)&gt;0,"✓","⚠ add to Campaigns tab"))</f>
        <v/>
      </c>
      <c r="I3389" s="84" t="str">
        <f aca="false">IF(C3389="","",C3389*IF(Settings!$B$23=Settings!$C$6,1,IF(Settings!$B$23="USD",1/INDEX(Settings!$B$29:$B$40,MONTH(A3389)),INDEX(Settings!$B$29:$B$40,MONTH(A3389)))))</f>
        <v/>
      </c>
    </row>
    <row r="3390" customFormat="false" ht="15" hidden="false" customHeight="false" outlineLevel="0" collapsed="false">
      <c r="H3390" s="0" t="str">
        <f aca="false">IF(B3390="","",IF(COUNTIF(Campaigns!$A$7:$A$300,B3390)&gt;0,"✓","⚠ add to Campaigns tab"))</f>
        <v/>
      </c>
      <c r="I3390" s="84" t="str">
        <f aca="false">IF(C3390="","",C3390*IF(Settings!$B$23=Settings!$C$6,1,IF(Settings!$B$23="USD",1/INDEX(Settings!$B$29:$B$40,MONTH(A3390)),INDEX(Settings!$B$29:$B$40,MONTH(A3390)))))</f>
        <v/>
      </c>
    </row>
    <row r="3391" customFormat="false" ht="15" hidden="false" customHeight="false" outlineLevel="0" collapsed="false">
      <c r="H3391" s="0" t="str">
        <f aca="false">IF(B3391="","",IF(COUNTIF(Campaigns!$A$7:$A$300,B3391)&gt;0,"✓","⚠ add to Campaigns tab"))</f>
        <v/>
      </c>
      <c r="I3391" s="84" t="str">
        <f aca="false">IF(C3391="","",C3391*IF(Settings!$B$23=Settings!$C$6,1,IF(Settings!$B$23="USD",1/INDEX(Settings!$B$29:$B$40,MONTH(A3391)),INDEX(Settings!$B$29:$B$40,MONTH(A3391)))))</f>
        <v/>
      </c>
    </row>
    <row r="3392" customFormat="false" ht="15" hidden="false" customHeight="false" outlineLevel="0" collapsed="false">
      <c r="H3392" s="0" t="str">
        <f aca="false">IF(B3392="","",IF(COUNTIF(Campaigns!$A$7:$A$300,B3392)&gt;0,"✓","⚠ add to Campaigns tab"))</f>
        <v/>
      </c>
      <c r="I3392" s="84" t="str">
        <f aca="false">IF(C3392="","",C3392*IF(Settings!$B$23=Settings!$C$6,1,IF(Settings!$B$23="USD",1/INDEX(Settings!$B$29:$B$40,MONTH(A3392)),INDEX(Settings!$B$29:$B$40,MONTH(A3392)))))</f>
        <v/>
      </c>
    </row>
    <row r="3393" customFormat="false" ht="15" hidden="false" customHeight="false" outlineLevel="0" collapsed="false">
      <c r="H3393" s="0" t="str">
        <f aca="false">IF(B3393="","",IF(COUNTIF(Campaigns!$A$7:$A$300,B3393)&gt;0,"✓","⚠ add to Campaigns tab"))</f>
        <v/>
      </c>
      <c r="I3393" s="84" t="str">
        <f aca="false">IF(C3393="","",C3393*IF(Settings!$B$23=Settings!$C$6,1,IF(Settings!$B$23="USD",1/INDEX(Settings!$B$29:$B$40,MONTH(A3393)),INDEX(Settings!$B$29:$B$40,MONTH(A3393)))))</f>
        <v/>
      </c>
    </row>
    <row r="3394" customFormat="false" ht="15" hidden="false" customHeight="false" outlineLevel="0" collapsed="false">
      <c r="H3394" s="0" t="str">
        <f aca="false">IF(B3394="","",IF(COUNTIF(Campaigns!$A$7:$A$300,B3394)&gt;0,"✓","⚠ add to Campaigns tab"))</f>
        <v/>
      </c>
      <c r="I3394" s="84" t="str">
        <f aca="false">IF(C3394="","",C3394*IF(Settings!$B$23=Settings!$C$6,1,IF(Settings!$B$23="USD",1/INDEX(Settings!$B$29:$B$40,MONTH(A3394)),INDEX(Settings!$B$29:$B$40,MONTH(A3394)))))</f>
        <v/>
      </c>
    </row>
    <row r="3395" customFormat="false" ht="15" hidden="false" customHeight="false" outlineLevel="0" collapsed="false">
      <c r="H3395" s="0" t="str">
        <f aca="false">IF(B3395="","",IF(COUNTIF(Campaigns!$A$7:$A$300,B3395)&gt;0,"✓","⚠ add to Campaigns tab"))</f>
        <v/>
      </c>
      <c r="I3395" s="84" t="str">
        <f aca="false">IF(C3395="","",C3395*IF(Settings!$B$23=Settings!$C$6,1,IF(Settings!$B$23="USD",1/INDEX(Settings!$B$29:$B$40,MONTH(A3395)),INDEX(Settings!$B$29:$B$40,MONTH(A3395)))))</f>
        <v/>
      </c>
    </row>
    <row r="3396" customFormat="false" ht="15" hidden="false" customHeight="false" outlineLevel="0" collapsed="false">
      <c r="H3396" s="0" t="str">
        <f aca="false">IF(B3396="","",IF(COUNTIF(Campaigns!$A$7:$A$300,B3396)&gt;0,"✓","⚠ add to Campaigns tab"))</f>
        <v/>
      </c>
      <c r="I3396" s="84" t="str">
        <f aca="false">IF(C3396="","",C3396*IF(Settings!$B$23=Settings!$C$6,1,IF(Settings!$B$23="USD",1/INDEX(Settings!$B$29:$B$40,MONTH(A3396)),INDEX(Settings!$B$29:$B$40,MONTH(A3396)))))</f>
        <v/>
      </c>
    </row>
    <row r="3397" customFormat="false" ht="15" hidden="false" customHeight="false" outlineLevel="0" collapsed="false">
      <c r="H3397" s="0" t="str">
        <f aca="false">IF(B3397="","",IF(COUNTIF(Campaigns!$A$7:$A$300,B3397)&gt;0,"✓","⚠ add to Campaigns tab"))</f>
        <v/>
      </c>
      <c r="I3397" s="84" t="str">
        <f aca="false">IF(C3397="","",C3397*IF(Settings!$B$23=Settings!$C$6,1,IF(Settings!$B$23="USD",1/INDEX(Settings!$B$29:$B$40,MONTH(A3397)),INDEX(Settings!$B$29:$B$40,MONTH(A3397)))))</f>
        <v/>
      </c>
    </row>
    <row r="3398" customFormat="false" ht="15" hidden="false" customHeight="false" outlineLevel="0" collapsed="false">
      <c r="H3398" s="0" t="str">
        <f aca="false">IF(B3398="","",IF(COUNTIF(Campaigns!$A$7:$A$300,B3398)&gt;0,"✓","⚠ add to Campaigns tab"))</f>
        <v/>
      </c>
      <c r="I3398" s="84" t="str">
        <f aca="false">IF(C3398="","",C3398*IF(Settings!$B$23=Settings!$C$6,1,IF(Settings!$B$23="USD",1/INDEX(Settings!$B$29:$B$40,MONTH(A3398)),INDEX(Settings!$B$29:$B$40,MONTH(A3398)))))</f>
        <v/>
      </c>
    </row>
    <row r="3399" customFormat="false" ht="15" hidden="false" customHeight="false" outlineLevel="0" collapsed="false">
      <c r="H3399" s="0" t="str">
        <f aca="false">IF(B3399="","",IF(COUNTIF(Campaigns!$A$7:$A$300,B3399)&gt;0,"✓","⚠ add to Campaigns tab"))</f>
        <v/>
      </c>
      <c r="I3399" s="84" t="str">
        <f aca="false">IF(C3399="","",C3399*IF(Settings!$B$23=Settings!$C$6,1,IF(Settings!$B$23="USD",1/INDEX(Settings!$B$29:$B$40,MONTH(A3399)),INDEX(Settings!$B$29:$B$40,MONTH(A3399)))))</f>
        <v/>
      </c>
    </row>
    <row r="3400" customFormat="false" ht="15" hidden="false" customHeight="false" outlineLevel="0" collapsed="false">
      <c r="H3400" s="0" t="str">
        <f aca="false">IF(B3400="","",IF(COUNTIF(Campaigns!$A$7:$A$300,B3400)&gt;0,"✓","⚠ add to Campaigns tab"))</f>
        <v/>
      </c>
      <c r="I3400" s="84" t="str">
        <f aca="false">IF(C3400="","",C3400*IF(Settings!$B$23=Settings!$C$6,1,IF(Settings!$B$23="USD",1/INDEX(Settings!$B$29:$B$40,MONTH(A3400)),INDEX(Settings!$B$29:$B$40,MONTH(A3400)))))</f>
        <v/>
      </c>
    </row>
    <row r="3401" customFormat="false" ht="15" hidden="false" customHeight="false" outlineLevel="0" collapsed="false">
      <c r="H3401" s="0" t="str">
        <f aca="false">IF(B3401="","",IF(COUNTIF(Campaigns!$A$7:$A$300,B3401)&gt;0,"✓","⚠ add to Campaigns tab"))</f>
        <v/>
      </c>
      <c r="I3401" s="84" t="str">
        <f aca="false">IF(C3401="","",C3401*IF(Settings!$B$23=Settings!$C$6,1,IF(Settings!$B$23="USD",1/INDEX(Settings!$B$29:$B$40,MONTH(A3401)),INDEX(Settings!$B$29:$B$40,MONTH(A3401)))))</f>
        <v/>
      </c>
    </row>
    <row r="3402" customFormat="false" ht="15" hidden="false" customHeight="false" outlineLevel="0" collapsed="false">
      <c r="H3402" s="0" t="str">
        <f aca="false">IF(B3402="","",IF(COUNTIF(Campaigns!$A$7:$A$300,B3402)&gt;0,"✓","⚠ add to Campaigns tab"))</f>
        <v/>
      </c>
      <c r="I3402" s="84" t="str">
        <f aca="false">IF(C3402="","",C3402*IF(Settings!$B$23=Settings!$C$6,1,IF(Settings!$B$23="USD",1/INDEX(Settings!$B$29:$B$40,MONTH(A3402)),INDEX(Settings!$B$29:$B$40,MONTH(A3402)))))</f>
        <v/>
      </c>
    </row>
    <row r="3403" customFormat="false" ht="15" hidden="false" customHeight="false" outlineLevel="0" collapsed="false">
      <c r="H3403" s="0" t="str">
        <f aca="false">IF(B3403="","",IF(COUNTIF(Campaigns!$A$7:$A$300,B3403)&gt;0,"✓","⚠ add to Campaigns tab"))</f>
        <v/>
      </c>
      <c r="I3403" s="84" t="str">
        <f aca="false">IF(C3403="","",C3403*IF(Settings!$B$23=Settings!$C$6,1,IF(Settings!$B$23="USD",1/INDEX(Settings!$B$29:$B$40,MONTH(A3403)),INDEX(Settings!$B$29:$B$40,MONTH(A3403)))))</f>
        <v/>
      </c>
    </row>
    <row r="3404" customFormat="false" ht="15" hidden="false" customHeight="false" outlineLevel="0" collapsed="false">
      <c r="H3404" s="0" t="str">
        <f aca="false">IF(B3404="","",IF(COUNTIF(Campaigns!$A$7:$A$300,B3404)&gt;0,"✓","⚠ add to Campaigns tab"))</f>
        <v/>
      </c>
      <c r="I3404" s="84" t="str">
        <f aca="false">IF(C3404="","",C3404*IF(Settings!$B$23=Settings!$C$6,1,IF(Settings!$B$23="USD",1/INDEX(Settings!$B$29:$B$40,MONTH(A3404)),INDEX(Settings!$B$29:$B$40,MONTH(A3404)))))</f>
        <v/>
      </c>
    </row>
    <row r="3405" customFormat="false" ht="15" hidden="false" customHeight="false" outlineLevel="0" collapsed="false">
      <c r="H3405" s="0" t="str">
        <f aca="false">IF(B3405="","",IF(COUNTIF(Campaigns!$A$7:$A$300,B3405)&gt;0,"✓","⚠ add to Campaigns tab"))</f>
        <v/>
      </c>
      <c r="I3405" s="84" t="str">
        <f aca="false">IF(C3405="","",C3405*IF(Settings!$B$23=Settings!$C$6,1,IF(Settings!$B$23="USD",1/INDEX(Settings!$B$29:$B$40,MONTH(A3405)),INDEX(Settings!$B$29:$B$40,MONTH(A3405)))))</f>
        <v/>
      </c>
    </row>
    <row r="3406" customFormat="false" ht="15" hidden="false" customHeight="false" outlineLevel="0" collapsed="false">
      <c r="H3406" s="0" t="str">
        <f aca="false">IF(B3406="","",IF(COUNTIF(Campaigns!$A$7:$A$300,B3406)&gt;0,"✓","⚠ add to Campaigns tab"))</f>
        <v/>
      </c>
      <c r="I3406" s="84" t="str">
        <f aca="false">IF(C3406="","",C3406*IF(Settings!$B$23=Settings!$C$6,1,IF(Settings!$B$23="USD",1/INDEX(Settings!$B$29:$B$40,MONTH(A3406)),INDEX(Settings!$B$29:$B$40,MONTH(A3406)))))</f>
        <v/>
      </c>
    </row>
    <row r="3407" customFormat="false" ht="15" hidden="false" customHeight="false" outlineLevel="0" collapsed="false">
      <c r="H3407" s="0" t="str">
        <f aca="false">IF(B3407="","",IF(COUNTIF(Campaigns!$A$7:$A$300,B3407)&gt;0,"✓","⚠ add to Campaigns tab"))</f>
        <v/>
      </c>
      <c r="I3407" s="84" t="str">
        <f aca="false">IF(C3407="","",C3407*IF(Settings!$B$23=Settings!$C$6,1,IF(Settings!$B$23="USD",1/INDEX(Settings!$B$29:$B$40,MONTH(A3407)),INDEX(Settings!$B$29:$B$40,MONTH(A3407)))))</f>
        <v/>
      </c>
    </row>
    <row r="3408" customFormat="false" ht="15" hidden="false" customHeight="false" outlineLevel="0" collapsed="false">
      <c r="H3408" s="0" t="str">
        <f aca="false">IF(B3408="","",IF(COUNTIF(Campaigns!$A$7:$A$300,B3408)&gt;0,"✓","⚠ add to Campaigns tab"))</f>
        <v/>
      </c>
      <c r="I3408" s="84" t="str">
        <f aca="false">IF(C3408="","",C3408*IF(Settings!$B$23=Settings!$C$6,1,IF(Settings!$B$23="USD",1/INDEX(Settings!$B$29:$B$40,MONTH(A3408)),INDEX(Settings!$B$29:$B$40,MONTH(A3408)))))</f>
        <v/>
      </c>
    </row>
    <row r="3409" customFormat="false" ht="15" hidden="false" customHeight="false" outlineLevel="0" collapsed="false">
      <c r="H3409" s="0" t="str">
        <f aca="false">IF(B3409="","",IF(COUNTIF(Campaigns!$A$7:$A$300,B3409)&gt;0,"✓","⚠ add to Campaigns tab"))</f>
        <v/>
      </c>
      <c r="I3409" s="84" t="str">
        <f aca="false">IF(C3409="","",C3409*IF(Settings!$B$23=Settings!$C$6,1,IF(Settings!$B$23="USD",1/INDEX(Settings!$B$29:$B$40,MONTH(A3409)),INDEX(Settings!$B$29:$B$40,MONTH(A3409)))))</f>
        <v/>
      </c>
    </row>
    <row r="3410" customFormat="false" ht="15" hidden="false" customHeight="false" outlineLevel="0" collapsed="false">
      <c r="H3410" s="0" t="str">
        <f aca="false">IF(B3410="","",IF(COUNTIF(Campaigns!$A$7:$A$300,B3410)&gt;0,"✓","⚠ add to Campaigns tab"))</f>
        <v/>
      </c>
      <c r="I3410" s="84" t="str">
        <f aca="false">IF(C3410="","",C3410*IF(Settings!$B$23=Settings!$C$6,1,IF(Settings!$B$23="USD",1/INDEX(Settings!$B$29:$B$40,MONTH(A3410)),INDEX(Settings!$B$29:$B$40,MONTH(A3410)))))</f>
        <v/>
      </c>
    </row>
    <row r="3411" customFormat="false" ht="15" hidden="false" customHeight="false" outlineLevel="0" collapsed="false">
      <c r="H3411" s="0" t="str">
        <f aca="false">IF(B3411="","",IF(COUNTIF(Campaigns!$A$7:$A$300,B3411)&gt;0,"✓","⚠ add to Campaigns tab"))</f>
        <v/>
      </c>
      <c r="I3411" s="84" t="str">
        <f aca="false">IF(C3411="","",C3411*IF(Settings!$B$23=Settings!$C$6,1,IF(Settings!$B$23="USD",1/INDEX(Settings!$B$29:$B$40,MONTH(A3411)),INDEX(Settings!$B$29:$B$40,MONTH(A3411)))))</f>
        <v/>
      </c>
    </row>
    <row r="3412" customFormat="false" ht="15" hidden="false" customHeight="false" outlineLevel="0" collapsed="false">
      <c r="H3412" s="0" t="str">
        <f aca="false">IF(B3412="","",IF(COUNTIF(Campaigns!$A$7:$A$300,B3412)&gt;0,"✓","⚠ add to Campaigns tab"))</f>
        <v/>
      </c>
      <c r="I3412" s="84" t="str">
        <f aca="false">IF(C3412="","",C3412*IF(Settings!$B$23=Settings!$C$6,1,IF(Settings!$B$23="USD",1/INDEX(Settings!$B$29:$B$40,MONTH(A3412)),INDEX(Settings!$B$29:$B$40,MONTH(A3412)))))</f>
        <v/>
      </c>
    </row>
    <row r="3413" customFormat="false" ht="15" hidden="false" customHeight="false" outlineLevel="0" collapsed="false">
      <c r="H3413" s="0" t="str">
        <f aca="false">IF(B3413="","",IF(COUNTIF(Campaigns!$A$7:$A$300,B3413)&gt;0,"✓","⚠ add to Campaigns tab"))</f>
        <v/>
      </c>
      <c r="I3413" s="84" t="str">
        <f aca="false">IF(C3413="","",C3413*IF(Settings!$B$23=Settings!$C$6,1,IF(Settings!$B$23="USD",1/INDEX(Settings!$B$29:$B$40,MONTH(A3413)),INDEX(Settings!$B$29:$B$40,MONTH(A3413)))))</f>
        <v/>
      </c>
    </row>
    <row r="3414" customFormat="false" ht="15" hidden="false" customHeight="false" outlineLevel="0" collapsed="false">
      <c r="H3414" s="0" t="str">
        <f aca="false">IF(B3414="","",IF(COUNTIF(Campaigns!$A$7:$A$300,B3414)&gt;0,"✓","⚠ add to Campaigns tab"))</f>
        <v/>
      </c>
      <c r="I3414" s="84" t="str">
        <f aca="false">IF(C3414="","",C3414*IF(Settings!$B$23=Settings!$C$6,1,IF(Settings!$B$23="USD",1/INDEX(Settings!$B$29:$B$40,MONTH(A3414)),INDEX(Settings!$B$29:$B$40,MONTH(A3414)))))</f>
        <v/>
      </c>
    </row>
    <row r="3415" customFormat="false" ht="15" hidden="false" customHeight="false" outlineLevel="0" collapsed="false">
      <c r="H3415" s="0" t="str">
        <f aca="false">IF(B3415="","",IF(COUNTIF(Campaigns!$A$7:$A$300,B3415)&gt;0,"✓","⚠ add to Campaigns tab"))</f>
        <v/>
      </c>
      <c r="I3415" s="84" t="str">
        <f aca="false">IF(C3415="","",C3415*IF(Settings!$B$23=Settings!$C$6,1,IF(Settings!$B$23="USD",1/INDEX(Settings!$B$29:$B$40,MONTH(A3415)),INDEX(Settings!$B$29:$B$40,MONTH(A3415)))))</f>
        <v/>
      </c>
    </row>
    <row r="3416" customFormat="false" ht="15" hidden="false" customHeight="false" outlineLevel="0" collapsed="false">
      <c r="H3416" s="0" t="str">
        <f aca="false">IF(B3416="","",IF(COUNTIF(Campaigns!$A$7:$A$300,B3416)&gt;0,"✓","⚠ add to Campaigns tab"))</f>
        <v/>
      </c>
      <c r="I3416" s="84" t="str">
        <f aca="false">IF(C3416="","",C3416*IF(Settings!$B$23=Settings!$C$6,1,IF(Settings!$B$23="USD",1/INDEX(Settings!$B$29:$B$40,MONTH(A3416)),INDEX(Settings!$B$29:$B$40,MONTH(A3416)))))</f>
        <v/>
      </c>
    </row>
    <row r="3417" customFormat="false" ht="15" hidden="false" customHeight="false" outlineLevel="0" collapsed="false">
      <c r="H3417" s="0" t="str">
        <f aca="false">IF(B3417="","",IF(COUNTIF(Campaigns!$A$7:$A$300,B3417)&gt;0,"✓","⚠ add to Campaigns tab"))</f>
        <v/>
      </c>
      <c r="I3417" s="84" t="str">
        <f aca="false">IF(C3417="","",C3417*IF(Settings!$B$23=Settings!$C$6,1,IF(Settings!$B$23="USD",1/INDEX(Settings!$B$29:$B$40,MONTH(A3417)),INDEX(Settings!$B$29:$B$40,MONTH(A3417)))))</f>
        <v/>
      </c>
    </row>
    <row r="3418" customFormat="false" ht="15" hidden="false" customHeight="false" outlineLevel="0" collapsed="false">
      <c r="H3418" s="0" t="str">
        <f aca="false">IF(B3418="","",IF(COUNTIF(Campaigns!$A$7:$A$300,B3418)&gt;0,"✓","⚠ add to Campaigns tab"))</f>
        <v/>
      </c>
      <c r="I3418" s="84" t="str">
        <f aca="false">IF(C3418="","",C3418*IF(Settings!$B$23=Settings!$C$6,1,IF(Settings!$B$23="USD",1/INDEX(Settings!$B$29:$B$40,MONTH(A3418)),INDEX(Settings!$B$29:$B$40,MONTH(A3418)))))</f>
        <v/>
      </c>
    </row>
    <row r="3419" customFormat="false" ht="15" hidden="false" customHeight="false" outlineLevel="0" collapsed="false">
      <c r="H3419" s="0" t="str">
        <f aca="false">IF(B3419="","",IF(COUNTIF(Campaigns!$A$7:$A$300,B3419)&gt;0,"✓","⚠ add to Campaigns tab"))</f>
        <v/>
      </c>
      <c r="I3419" s="84" t="str">
        <f aca="false">IF(C3419="","",C3419*IF(Settings!$B$23=Settings!$C$6,1,IF(Settings!$B$23="USD",1/INDEX(Settings!$B$29:$B$40,MONTH(A3419)),INDEX(Settings!$B$29:$B$40,MONTH(A3419)))))</f>
        <v/>
      </c>
    </row>
    <row r="3420" customFormat="false" ht="15" hidden="false" customHeight="false" outlineLevel="0" collapsed="false">
      <c r="H3420" s="0" t="str">
        <f aca="false">IF(B3420="","",IF(COUNTIF(Campaigns!$A$7:$A$300,B3420)&gt;0,"✓","⚠ add to Campaigns tab"))</f>
        <v/>
      </c>
      <c r="I3420" s="84" t="str">
        <f aca="false">IF(C3420="","",C3420*IF(Settings!$B$23=Settings!$C$6,1,IF(Settings!$B$23="USD",1/INDEX(Settings!$B$29:$B$40,MONTH(A3420)),INDEX(Settings!$B$29:$B$40,MONTH(A3420)))))</f>
        <v/>
      </c>
    </row>
    <row r="3421" customFormat="false" ht="15" hidden="false" customHeight="false" outlineLevel="0" collapsed="false">
      <c r="H3421" s="0" t="str">
        <f aca="false">IF(B3421="","",IF(COUNTIF(Campaigns!$A$7:$A$300,B3421)&gt;0,"✓","⚠ add to Campaigns tab"))</f>
        <v/>
      </c>
      <c r="I3421" s="84" t="str">
        <f aca="false">IF(C3421="","",C3421*IF(Settings!$B$23=Settings!$C$6,1,IF(Settings!$B$23="USD",1/INDEX(Settings!$B$29:$B$40,MONTH(A3421)),INDEX(Settings!$B$29:$B$40,MONTH(A3421)))))</f>
        <v/>
      </c>
    </row>
    <row r="3422" customFormat="false" ht="15" hidden="false" customHeight="false" outlineLevel="0" collapsed="false">
      <c r="H3422" s="0" t="str">
        <f aca="false">IF(B3422="","",IF(COUNTIF(Campaigns!$A$7:$A$300,B3422)&gt;0,"✓","⚠ add to Campaigns tab"))</f>
        <v/>
      </c>
      <c r="I3422" s="84" t="str">
        <f aca="false">IF(C3422="","",C3422*IF(Settings!$B$23=Settings!$C$6,1,IF(Settings!$B$23="USD",1/INDEX(Settings!$B$29:$B$40,MONTH(A3422)),INDEX(Settings!$B$29:$B$40,MONTH(A3422)))))</f>
        <v/>
      </c>
    </row>
    <row r="3423" customFormat="false" ht="15" hidden="false" customHeight="false" outlineLevel="0" collapsed="false">
      <c r="H3423" s="0" t="str">
        <f aca="false">IF(B3423="","",IF(COUNTIF(Campaigns!$A$7:$A$300,B3423)&gt;0,"✓","⚠ add to Campaigns tab"))</f>
        <v/>
      </c>
      <c r="I3423" s="84" t="str">
        <f aca="false">IF(C3423="","",C3423*IF(Settings!$B$23=Settings!$C$6,1,IF(Settings!$B$23="USD",1/INDEX(Settings!$B$29:$B$40,MONTH(A3423)),INDEX(Settings!$B$29:$B$40,MONTH(A3423)))))</f>
        <v/>
      </c>
    </row>
    <row r="3424" customFormat="false" ht="15" hidden="false" customHeight="false" outlineLevel="0" collapsed="false">
      <c r="H3424" s="0" t="str">
        <f aca="false">IF(B3424="","",IF(COUNTIF(Campaigns!$A$7:$A$300,B3424)&gt;0,"✓","⚠ add to Campaigns tab"))</f>
        <v/>
      </c>
      <c r="I3424" s="84" t="str">
        <f aca="false">IF(C3424="","",C3424*IF(Settings!$B$23=Settings!$C$6,1,IF(Settings!$B$23="USD",1/INDEX(Settings!$B$29:$B$40,MONTH(A3424)),INDEX(Settings!$B$29:$B$40,MONTH(A3424)))))</f>
        <v/>
      </c>
    </row>
    <row r="3425" customFormat="false" ht="15" hidden="false" customHeight="false" outlineLevel="0" collapsed="false">
      <c r="H3425" s="0" t="str">
        <f aca="false">IF(B3425="","",IF(COUNTIF(Campaigns!$A$7:$A$300,B3425)&gt;0,"✓","⚠ add to Campaigns tab"))</f>
        <v/>
      </c>
      <c r="I3425" s="84" t="str">
        <f aca="false">IF(C3425="","",C3425*IF(Settings!$B$23=Settings!$C$6,1,IF(Settings!$B$23="USD",1/INDEX(Settings!$B$29:$B$40,MONTH(A3425)),INDEX(Settings!$B$29:$B$40,MONTH(A3425)))))</f>
        <v/>
      </c>
    </row>
    <row r="3426" customFormat="false" ht="15" hidden="false" customHeight="false" outlineLevel="0" collapsed="false">
      <c r="H3426" s="0" t="str">
        <f aca="false">IF(B3426="","",IF(COUNTIF(Campaigns!$A$7:$A$300,B3426)&gt;0,"✓","⚠ add to Campaigns tab"))</f>
        <v/>
      </c>
      <c r="I3426" s="84" t="str">
        <f aca="false">IF(C3426="","",C3426*IF(Settings!$B$23=Settings!$C$6,1,IF(Settings!$B$23="USD",1/INDEX(Settings!$B$29:$B$40,MONTH(A3426)),INDEX(Settings!$B$29:$B$40,MONTH(A3426)))))</f>
        <v/>
      </c>
    </row>
    <row r="3427" customFormat="false" ht="15" hidden="false" customHeight="false" outlineLevel="0" collapsed="false">
      <c r="H3427" s="0" t="str">
        <f aca="false">IF(B3427="","",IF(COUNTIF(Campaigns!$A$7:$A$300,B3427)&gt;0,"✓","⚠ add to Campaigns tab"))</f>
        <v/>
      </c>
      <c r="I3427" s="84" t="str">
        <f aca="false">IF(C3427="","",C3427*IF(Settings!$B$23=Settings!$C$6,1,IF(Settings!$B$23="USD",1/INDEX(Settings!$B$29:$B$40,MONTH(A3427)),INDEX(Settings!$B$29:$B$40,MONTH(A3427)))))</f>
        <v/>
      </c>
    </row>
    <row r="3428" customFormat="false" ht="15" hidden="false" customHeight="false" outlineLevel="0" collapsed="false">
      <c r="H3428" s="0" t="str">
        <f aca="false">IF(B3428="","",IF(COUNTIF(Campaigns!$A$7:$A$300,B3428)&gt;0,"✓","⚠ add to Campaigns tab"))</f>
        <v/>
      </c>
      <c r="I3428" s="84" t="str">
        <f aca="false">IF(C3428="","",C3428*IF(Settings!$B$23=Settings!$C$6,1,IF(Settings!$B$23="USD",1/INDEX(Settings!$B$29:$B$40,MONTH(A3428)),INDEX(Settings!$B$29:$B$40,MONTH(A3428)))))</f>
        <v/>
      </c>
    </row>
    <row r="3429" customFormat="false" ht="15" hidden="false" customHeight="false" outlineLevel="0" collapsed="false">
      <c r="H3429" s="0" t="str">
        <f aca="false">IF(B3429="","",IF(COUNTIF(Campaigns!$A$7:$A$300,B3429)&gt;0,"✓","⚠ add to Campaigns tab"))</f>
        <v/>
      </c>
      <c r="I3429" s="84" t="str">
        <f aca="false">IF(C3429="","",C3429*IF(Settings!$B$23=Settings!$C$6,1,IF(Settings!$B$23="USD",1/INDEX(Settings!$B$29:$B$40,MONTH(A3429)),INDEX(Settings!$B$29:$B$40,MONTH(A3429)))))</f>
        <v/>
      </c>
    </row>
    <row r="3430" customFormat="false" ht="15" hidden="false" customHeight="false" outlineLevel="0" collapsed="false">
      <c r="H3430" s="0" t="str">
        <f aca="false">IF(B3430="","",IF(COUNTIF(Campaigns!$A$7:$A$300,B3430)&gt;0,"✓","⚠ add to Campaigns tab"))</f>
        <v/>
      </c>
      <c r="I3430" s="84" t="str">
        <f aca="false">IF(C3430="","",C3430*IF(Settings!$B$23=Settings!$C$6,1,IF(Settings!$B$23="USD",1/INDEX(Settings!$B$29:$B$40,MONTH(A3430)),INDEX(Settings!$B$29:$B$40,MONTH(A3430)))))</f>
        <v/>
      </c>
    </row>
    <row r="3431" customFormat="false" ht="15" hidden="false" customHeight="false" outlineLevel="0" collapsed="false">
      <c r="H3431" s="0" t="str">
        <f aca="false">IF(B3431="","",IF(COUNTIF(Campaigns!$A$7:$A$300,B3431)&gt;0,"✓","⚠ add to Campaigns tab"))</f>
        <v/>
      </c>
      <c r="I3431" s="84" t="str">
        <f aca="false">IF(C3431="","",C3431*IF(Settings!$B$23=Settings!$C$6,1,IF(Settings!$B$23="USD",1/INDEX(Settings!$B$29:$B$40,MONTH(A3431)),INDEX(Settings!$B$29:$B$40,MONTH(A3431)))))</f>
        <v/>
      </c>
    </row>
    <row r="3432" customFormat="false" ht="15" hidden="false" customHeight="false" outlineLevel="0" collapsed="false">
      <c r="H3432" s="0" t="str">
        <f aca="false">IF(B3432="","",IF(COUNTIF(Campaigns!$A$7:$A$300,B3432)&gt;0,"✓","⚠ add to Campaigns tab"))</f>
        <v/>
      </c>
      <c r="I3432" s="84" t="str">
        <f aca="false">IF(C3432="","",C3432*IF(Settings!$B$23=Settings!$C$6,1,IF(Settings!$B$23="USD",1/INDEX(Settings!$B$29:$B$40,MONTH(A3432)),INDEX(Settings!$B$29:$B$40,MONTH(A3432)))))</f>
        <v/>
      </c>
    </row>
    <row r="3433" customFormat="false" ht="15" hidden="false" customHeight="false" outlineLevel="0" collapsed="false">
      <c r="H3433" s="0" t="str">
        <f aca="false">IF(B3433="","",IF(COUNTIF(Campaigns!$A$7:$A$300,B3433)&gt;0,"✓","⚠ add to Campaigns tab"))</f>
        <v/>
      </c>
      <c r="I3433" s="84" t="str">
        <f aca="false">IF(C3433="","",C3433*IF(Settings!$B$23=Settings!$C$6,1,IF(Settings!$B$23="USD",1/INDEX(Settings!$B$29:$B$40,MONTH(A3433)),INDEX(Settings!$B$29:$B$40,MONTH(A3433)))))</f>
        <v/>
      </c>
    </row>
    <row r="3434" customFormat="false" ht="15" hidden="false" customHeight="false" outlineLevel="0" collapsed="false">
      <c r="H3434" s="0" t="str">
        <f aca="false">IF(B3434="","",IF(COUNTIF(Campaigns!$A$7:$A$300,B3434)&gt;0,"✓","⚠ add to Campaigns tab"))</f>
        <v/>
      </c>
      <c r="I3434" s="84" t="str">
        <f aca="false">IF(C3434="","",C3434*IF(Settings!$B$23=Settings!$C$6,1,IF(Settings!$B$23="USD",1/INDEX(Settings!$B$29:$B$40,MONTH(A3434)),INDEX(Settings!$B$29:$B$40,MONTH(A3434)))))</f>
        <v/>
      </c>
    </row>
    <row r="3435" customFormat="false" ht="15" hidden="false" customHeight="false" outlineLevel="0" collapsed="false">
      <c r="H3435" s="0" t="str">
        <f aca="false">IF(B3435="","",IF(COUNTIF(Campaigns!$A$7:$A$300,B3435)&gt;0,"✓","⚠ add to Campaigns tab"))</f>
        <v/>
      </c>
      <c r="I3435" s="84" t="str">
        <f aca="false">IF(C3435="","",C3435*IF(Settings!$B$23=Settings!$C$6,1,IF(Settings!$B$23="USD",1/INDEX(Settings!$B$29:$B$40,MONTH(A3435)),INDEX(Settings!$B$29:$B$40,MONTH(A3435)))))</f>
        <v/>
      </c>
    </row>
    <row r="3436" customFormat="false" ht="15" hidden="false" customHeight="false" outlineLevel="0" collapsed="false">
      <c r="H3436" s="0" t="str">
        <f aca="false">IF(B3436="","",IF(COUNTIF(Campaigns!$A$7:$A$300,B3436)&gt;0,"✓","⚠ add to Campaigns tab"))</f>
        <v/>
      </c>
      <c r="I3436" s="84" t="str">
        <f aca="false">IF(C3436="","",C3436*IF(Settings!$B$23=Settings!$C$6,1,IF(Settings!$B$23="USD",1/INDEX(Settings!$B$29:$B$40,MONTH(A3436)),INDEX(Settings!$B$29:$B$40,MONTH(A3436)))))</f>
        <v/>
      </c>
    </row>
    <row r="3437" customFormat="false" ht="15" hidden="false" customHeight="false" outlineLevel="0" collapsed="false">
      <c r="H3437" s="0" t="str">
        <f aca="false">IF(B3437="","",IF(COUNTIF(Campaigns!$A$7:$A$300,B3437)&gt;0,"✓","⚠ add to Campaigns tab"))</f>
        <v/>
      </c>
      <c r="I3437" s="84" t="str">
        <f aca="false">IF(C3437="","",C3437*IF(Settings!$B$23=Settings!$C$6,1,IF(Settings!$B$23="USD",1/INDEX(Settings!$B$29:$B$40,MONTH(A3437)),INDEX(Settings!$B$29:$B$40,MONTH(A3437)))))</f>
        <v/>
      </c>
    </row>
    <row r="3438" customFormat="false" ht="15" hidden="false" customHeight="false" outlineLevel="0" collapsed="false">
      <c r="H3438" s="0" t="str">
        <f aca="false">IF(B3438="","",IF(COUNTIF(Campaigns!$A$7:$A$300,B3438)&gt;0,"✓","⚠ add to Campaigns tab"))</f>
        <v/>
      </c>
      <c r="I3438" s="84" t="str">
        <f aca="false">IF(C3438="","",C3438*IF(Settings!$B$23=Settings!$C$6,1,IF(Settings!$B$23="USD",1/INDEX(Settings!$B$29:$B$40,MONTH(A3438)),INDEX(Settings!$B$29:$B$40,MONTH(A3438)))))</f>
        <v/>
      </c>
    </row>
    <row r="3439" customFormat="false" ht="15" hidden="false" customHeight="false" outlineLevel="0" collapsed="false">
      <c r="H3439" s="0" t="str">
        <f aca="false">IF(B3439="","",IF(COUNTIF(Campaigns!$A$7:$A$300,B3439)&gt;0,"✓","⚠ add to Campaigns tab"))</f>
        <v/>
      </c>
      <c r="I3439" s="84" t="str">
        <f aca="false">IF(C3439="","",C3439*IF(Settings!$B$23=Settings!$C$6,1,IF(Settings!$B$23="USD",1/INDEX(Settings!$B$29:$B$40,MONTH(A3439)),INDEX(Settings!$B$29:$B$40,MONTH(A3439)))))</f>
        <v/>
      </c>
    </row>
    <row r="3440" customFormat="false" ht="15" hidden="false" customHeight="false" outlineLevel="0" collapsed="false">
      <c r="H3440" s="0" t="str">
        <f aca="false">IF(B3440="","",IF(COUNTIF(Campaigns!$A$7:$A$300,B3440)&gt;0,"✓","⚠ add to Campaigns tab"))</f>
        <v/>
      </c>
      <c r="I3440" s="84" t="str">
        <f aca="false">IF(C3440="","",C3440*IF(Settings!$B$23=Settings!$C$6,1,IF(Settings!$B$23="USD",1/INDEX(Settings!$B$29:$B$40,MONTH(A3440)),INDEX(Settings!$B$29:$B$40,MONTH(A3440)))))</f>
        <v/>
      </c>
    </row>
    <row r="3441" customFormat="false" ht="15" hidden="false" customHeight="false" outlineLevel="0" collapsed="false">
      <c r="H3441" s="0" t="str">
        <f aca="false">IF(B3441="","",IF(COUNTIF(Campaigns!$A$7:$A$300,B3441)&gt;0,"✓","⚠ add to Campaigns tab"))</f>
        <v/>
      </c>
      <c r="I3441" s="84" t="str">
        <f aca="false">IF(C3441="","",C3441*IF(Settings!$B$23=Settings!$C$6,1,IF(Settings!$B$23="USD",1/INDEX(Settings!$B$29:$B$40,MONTH(A3441)),INDEX(Settings!$B$29:$B$40,MONTH(A3441)))))</f>
        <v/>
      </c>
    </row>
    <row r="3442" customFormat="false" ht="15" hidden="false" customHeight="false" outlineLevel="0" collapsed="false">
      <c r="H3442" s="0" t="str">
        <f aca="false">IF(B3442="","",IF(COUNTIF(Campaigns!$A$7:$A$300,B3442)&gt;0,"✓","⚠ add to Campaigns tab"))</f>
        <v/>
      </c>
      <c r="I3442" s="84" t="str">
        <f aca="false">IF(C3442="","",C3442*IF(Settings!$B$23=Settings!$C$6,1,IF(Settings!$B$23="USD",1/INDEX(Settings!$B$29:$B$40,MONTH(A3442)),INDEX(Settings!$B$29:$B$40,MONTH(A3442)))))</f>
        <v/>
      </c>
    </row>
    <row r="3443" customFormat="false" ht="15" hidden="false" customHeight="false" outlineLevel="0" collapsed="false">
      <c r="H3443" s="0" t="str">
        <f aca="false">IF(B3443="","",IF(COUNTIF(Campaigns!$A$7:$A$300,B3443)&gt;0,"✓","⚠ add to Campaigns tab"))</f>
        <v/>
      </c>
      <c r="I3443" s="84" t="str">
        <f aca="false">IF(C3443="","",C3443*IF(Settings!$B$23=Settings!$C$6,1,IF(Settings!$B$23="USD",1/INDEX(Settings!$B$29:$B$40,MONTH(A3443)),INDEX(Settings!$B$29:$B$40,MONTH(A3443)))))</f>
        <v/>
      </c>
    </row>
    <row r="3444" customFormat="false" ht="15" hidden="false" customHeight="false" outlineLevel="0" collapsed="false">
      <c r="H3444" s="0" t="str">
        <f aca="false">IF(B3444="","",IF(COUNTIF(Campaigns!$A$7:$A$300,B3444)&gt;0,"✓","⚠ add to Campaigns tab"))</f>
        <v/>
      </c>
      <c r="I3444" s="84" t="str">
        <f aca="false">IF(C3444="","",C3444*IF(Settings!$B$23=Settings!$C$6,1,IF(Settings!$B$23="USD",1/INDEX(Settings!$B$29:$B$40,MONTH(A3444)),INDEX(Settings!$B$29:$B$40,MONTH(A3444)))))</f>
        <v/>
      </c>
    </row>
    <row r="3445" customFormat="false" ht="15" hidden="false" customHeight="false" outlineLevel="0" collapsed="false">
      <c r="H3445" s="0" t="str">
        <f aca="false">IF(B3445="","",IF(COUNTIF(Campaigns!$A$7:$A$300,B3445)&gt;0,"✓","⚠ add to Campaigns tab"))</f>
        <v/>
      </c>
      <c r="I3445" s="84" t="str">
        <f aca="false">IF(C3445="","",C3445*IF(Settings!$B$23=Settings!$C$6,1,IF(Settings!$B$23="USD",1/INDEX(Settings!$B$29:$B$40,MONTH(A3445)),INDEX(Settings!$B$29:$B$40,MONTH(A3445)))))</f>
        <v/>
      </c>
    </row>
    <row r="3446" customFormat="false" ht="15" hidden="false" customHeight="false" outlineLevel="0" collapsed="false">
      <c r="H3446" s="0" t="str">
        <f aca="false">IF(B3446="","",IF(COUNTIF(Campaigns!$A$7:$A$300,B3446)&gt;0,"✓","⚠ add to Campaigns tab"))</f>
        <v/>
      </c>
      <c r="I3446" s="84" t="str">
        <f aca="false">IF(C3446="","",C3446*IF(Settings!$B$23=Settings!$C$6,1,IF(Settings!$B$23="USD",1/INDEX(Settings!$B$29:$B$40,MONTH(A3446)),INDEX(Settings!$B$29:$B$40,MONTH(A3446)))))</f>
        <v/>
      </c>
    </row>
    <row r="3447" customFormat="false" ht="15" hidden="false" customHeight="false" outlineLevel="0" collapsed="false">
      <c r="H3447" s="0" t="str">
        <f aca="false">IF(B3447="","",IF(COUNTIF(Campaigns!$A$7:$A$300,B3447)&gt;0,"✓","⚠ add to Campaigns tab"))</f>
        <v/>
      </c>
      <c r="I3447" s="84" t="str">
        <f aca="false">IF(C3447="","",C3447*IF(Settings!$B$23=Settings!$C$6,1,IF(Settings!$B$23="USD",1/INDEX(Settings!$B$29:$B$40,MONTH(A3447)),INDEX(Settings!$B$29:$B$40,MONTH(A3447)))))</f>
        <v/>
      </c>
    </row>
    <row r="3448" customFormat="false" ht="15" hidden="false" customHeight="false" outlineLevel="0" collapsed="false">
      <c r="H3448" s="0" t="str">
        <f aca="false">IF(B3448="","",IF(COUNTIF(Campaigns!$A$7:$A$300,B3448)&gt;0,"✓","⚠ add to Campaigns tab"))</f>
        <v/>
      </c>
      <c r="I3448" s="84" t="str">
        <f aca="false">IF(C3448="","",C3448*IF(Settings!$B$23=Settings!$C$6,1,IF(Settings!$B$23="USD",1/INDEX(Settings!$B$29:$B$40,MONTH(A3448)),INDEX(Settings!$B$29:$B$40,MONTH(A3448)))))</f>
        <v/>
      </c>
    </row>
    <row r="3449" customFormat="false" ht="15" hidden="false" customHeight="false" outlineLevel="0" collapsed="false">
      <c r="H3449" s="0" t="str">
        <f aca="false">IF(B3449="","",IF(COUNTIF(Campaigns!$A$7:$A$300,B3449)&gt;0,"✓","⚠ add to Campaigns tab"))</f>
        <v/>
      </c>
      <c r="I3449" s="84" t="str">
        <f aca="false">IF(C3449="","",C3449*IF(Settings!$B$23=Settings!$C$6,1,IF(Settings!$B$23="USD",1/INDEX(Settings!$B$29:$B$40,MONTH(A3449)),INDEX(Settings!$B$29:$B$40,MONTH(A3449)))))</f>
        <v/>
      </c>
    </row>
    <row r="3450" customFormat="false" ht="15" hidden="false" customHeight="false" outlineLevel="0" collapsed="false">
      <c r="H3450" s="0" t="str">
        <f aca="false">IF(B3450="","",IF(COUNTIF(Campaigns!$A$7:$A$300,B3450)&gt;0,"✓","⚠ add to Campaigns tab"))</f>
        <v/>
      </c>
      <c r="I3450" s="84" t="str">
        <f aca="false">IF(C3450="","",C3450*IF(Settings!$B$23=Settings!$C$6,1,IF(Settings!$B$23="USD",1/INDEX(Settings!$B$29:$B$40,MONTH(A3450)),INDEX(Settings!$B$29:$B$40,MONTH(A3450)))))</f>
        <v/>
      </c>
    </row>
    <row r="3451" customFormat="false" ht="15" hidden="false" customHeight="false" outlineLevel="0" collapsed="false">
      <c r="H3451" s="0" t="str">
        <f aca="false">IF(B3451="","",IF(COUNTIF(Campaigns!$A$7:$A$300,B3451)&gt;0,"✓","⚠ add to Campaigns tab"))</f>
        <v/>
      </c>
      <c r="I3451" s="84" t="str">
        <f aca="false">IF(C3451="","",C3451*IF(Settings!$B$23=Settings!$C$6,1,IF(Settings!$B$23="USD",1/INDEX(Settings!$B$29:$B$40,MONTH(A3451)),INDEX(Settings!$B$29:$B$40,MONTH(A3451)))))</f>
        <v/>
      </c>
    </row>
    <row r="3452" customFormat="false" ht="15" hidden="false" customHeight="false" outlineLevel="0" collapsed="false">
      <c r="H3452" s="0" t="str">
        <f aca="false">IF(B3452="","",IF(COUNTIF(Campaigns!$A$7:$A$300,B3452)&gt;0,"✓","⚠ add to Campaigns tab"))</f>
        <v/>
      </c>
      <c r="I3452" s="84" t="str">
        <f aca="false">IF(C3452="","",C3452*IF(Settings!$B$23=Settings!$C$6,1,IF(Settings!$B$23="USD",1/INDEX(Settings!$B$29:$B$40,MONTH(A3452)),INDEX(Settings!$B$29:$B$40,MONTH(A3452)))))</f>
        <v/>
      </c>
    </row>
    <row r="3453" customFormat="false" ht="15" hidden="false" customHeight="false" outlineLevel="0" collapsed="false">
      <c r="H3453" s="0" t="str">
        <f aca="false">IF(B3453="","",IF(COUNTIF(Campaigns!$A$7:$A$300,B3453)&gt;0,"✓","⚠ add to Campaigns tab"))</f>
        <v/>
      </c>
      <c r="I3453" s="84" t="str">
        <f aca="false">IF(C3453="","",C3453*IF(Settings!$B$23=Settings!$C$6,1,IF(Settings!$B$23="USD",1/INDEX(Settings!$B$29:$B$40,MONTH(A3453)),INDEX(Settings!$B$29:$B$40,MONTH(A3453)))))</f>
        <v/>
      </c>
    </row>
    <row r="3454" customFormat="false" ht="15" hidden="false" customHeight="false" outlineLevel="0" collapsed="false">
      <c r="H3454" s="0" t="str">
        <f aca="false">IF(B3454="","",IF(COUNTIF(Campaigns!$A$7:$A$300,B3454)&gt;0,"✓","⚠ add to Campaigns tab"))</f>
        <v/>
      </c>
      <c r="I3454" s="84" t="str">
        <f aca="false">IF(C3454="","",C3454*IF(Settings!$B$23=Settings!$C$6,1,IF(Settings!$B$23="USD",1/INDEX(Settings!$B$29:$B$40,MONTH(A3454)),INDEX(Settings!$B$29:$B$40,MONTH(A3454)))))</f>
        <v/>
      </c>
    </row>
    <row r="3455" customFormat="false" ht="15" hidden="false" customHeight="false" outlineLevel="0" collapsed="false">
      <c r="H3455" s="0" t="str">
        <f aca="false">IF(B3455="","",IF(COUNTIF(Campaigns!$A$7:$A$300,B3455)&gt;0,"✓","⚠ add to Campaigns tab"))</f>
        <v/>
      </c>
      <c r="I3455" s="84" t="str">
        <f aca="false">IF(C3455="","",C3455*IF(Settings!$B$23=Settings!$C$6,1,IF(Settings!$B$23="USD",1/INDEX(Settings!$B$29:$B$40,MONTH(A3455)),INDEX(Settings!$B$29:$B$40,MONTH(A3455)))))</f>
        <v/>
      </c>
    </row>
    <row r="3456" customFormat="false" ht="15" hidden="false" customHeight="false" outlineLevel="0" collapsed="false">
      <c r="H3456" s="0" t="str">
        <f aca="false">IF(B3456="","",IF(COUNTIF(Campaigns!$A$7:$A$300,B3456)&gt;0,"✓","⚠ add to Campaigns tab"))</f>
        <v/>
      </c>
      <c r="I3456" s="84" t="str">
        <f aca="false">IF(C3456="","",C3456*IF(Settings!$B$23=Settings!$C$6,1,IF(Settings!$B$23="USD",1/INDEX(Settings!$B$29:$B$40,MONTH(A3456)),INDEX(Settings!$B$29:$B$40,MONTH(A3456)))))</f>
        <v/>
      </c>
    </row>
    <row r="3457" customFormat="false" ht="15" hidden="false" customHeight="false" outlineLevel="0" collapsed="false">
      <c r="H3457" s="0" t="str">
        <f aca="false">IF(B3457="","",IF(COUNTIF(Campaigns!$A$7:$A$300,B3457)&gt;0,"✓","⚠ add to Campaigns tab"))</f>
        <v/>
      </c>
      <c r="I3457" s="84" t="str">
        <f aca="false">IF(C3457="","",C3457*IF(Settings!$B$23=Settings!$C$6,1,IF(Settings!$B$23="USD",1/INDEX(Settings!$B$29:$B$40,MONTH(A3457)),INDEX(Settings!$B$29:$B$40,MONTH(A3457)))))</f>
        <v/>
      </c>
    </row>
    <row r="3458" customFormat="false" ht="15" hidden="false" customHeight="false" outlineLevel="0" collapsed="false">
      <c r="H3458" s="0" t="str">
        <f aca="false">IF(B3458="","",IF(COUNTIF(Campaigns!$A$7:$A$300,B3458)&gt;0,"✓","⚠ add to Campaigns tab"))</f>
        <v/>
      </c>
      <c r="I3458" s="84" t="str">
        <f aca="false">IF(C3458="","",C3458*IF(Settings!$B$23=Settings!$C$6,1,IF(Settings!$B$23="USD",1/INDEX(Settings!$B$29:$B$40,MONTH(A3458)),INDEX(Settings!$B$29:$B$40,MONTH(A3458)))))</f>
        <v/>
      </c>
    </row>
    <row r="3459" customFormat="false" ht="15" hidden="false" customHeight="false" outlineLevel="0" collapsed="false">
      <c r="H3459" s="0" t="str">
        <f aca="false">IF(B3459="","",IF(COUNTIF(Campaigns!$A$7:$A$300,B3459)&gt;0,"✓","⚠ add to Campaigns tab"))</f>
        <v/>
      </c>
      <c r="I3459" s="84" t="str">
        <f aca="false">IF(C3459="","",C3459*IF(Settings!$B$23=Settings!$C$6,1,IF(Settings!$B$23="USD",1/INDEX(Settings!$B$29:$B$40,MONTH(A3459)),INDEX(Settings!$B$29:$B$40,MONTH(A3459)))))</f>
        <v/>
      </c>
    </row>
    <row r="3460" customFormat="false" ht="15" hidden="false" customHeight="false" outlineLevel="0" collapsed="false">
      <c r="H3460" s="0" t="str">
        <f aca="false">IF(B3460="","",IF(COUNTIF(Campaigns!$A$7:$A$300,B3460)&gt;0,"✓","⚠ add to Campaigns tab"))</f>
        <v/>
      </c>
      <c r="I3460" s="84" t="str">
        <f aca="false">IF(C3460="","",C3460*IF(Settings!$B$23=Settings!$C$6,1,IF(Settings!$B$23="USD",1/INDEX(Settings!$B$29:$B$40,MONTH(A3460)),INDEX(Settings!$B$29:$B$40,MONTH(A3460)))))</f>
        <v/>
      </c>
    </row>
    <row r="3461" customFormat="false" ht="15" hidden="false" customHeight="false" outlineLevel="0" collapsed="false">
      <c r="H3461" s="0" t="str">
        <f aca="false">IF(B3461="","",IF(COUNTIF(Campaigns!$A$7:$A$300,B3461)&gt;0,"✓","⚠ add to Campaigns tab"))</f>
        <v/>
      </c>
      <c r="I3461" s="84" t="str">
        <f aca="false">IF(C3461="","",C3461*IF(Settings!$B$23=Settings!$C$6,1,IF(Settings!$B$23="USD",1/INDEX(Settings!$B$29:$B$40,MONTH(A3461)),INDEX(Settings!$B$29:$B$40,MONTH(A3461)))))</f>
        <v/>
      </c>
    </row>
    <row r="3462" customFormat="false" ht="15" hidden="false" customHeight="false" outlineLevel="0" collapsed="false">
      <c r="H3462" s="0" t="str">
        <f aca="false">IF(B3462="","",IF(COUNTIF(Campaigns!$A$7:$A$300,B3462)&gt;0,"✓","⚠ add to Campaigns tab"))</f>
        <v/>
      </c>
      <c r="I3462" s="84" t="str">
        <f aca="false">IF(C3462="","",C3462*IF(Settings!$B$23=Settings!$C$6,1,IF(Settings!$B$23="USD",1/INDEX(Settings!$B$29:$B$40,MONTH(A3462)),INDEX(Settings!$B$29:$B$40,MONTH(A3462)))))</f>
        <v/>
      </c>
    </row>
    <row r="3463" customFormat="false" ht="15" hidden="false" customHeight="false" outlineLevel="0" collapsed="false">
      <c r="H3463" s="0" t="str">
        <f aca="false">IF(B3463="","",IF(COUNTIF(Campaigns!$A$7:$A$300,B3463)&gt;0,"✓","⚠ add to Campaigns tab"))</f>
        <v/>
      </c>
      <c r="I3463" s="84" t="str">
        <f aca="false">IF(C3463="","",C3463*IF(Settings!$B$23=Settings!$C$6,1,IF(Settings!$B$23="USD",1/INDEX(Settings!$B$29:$B$40,MONTH(A3463)),INDEX(Settings!$B$29:$B$40,MONTH(A3463)))))</f>
        <v/>
      </c>
    </row>
    <row r="3464" customFormat="false" ht="15" hidden="false" customHeight="false" outlineLevel="0" collapsed="false">
      <c r="H3464" s="0" t="str">
        <f aca="false">IF(B3464="","",IF(COUNTIF(Campaigns!$A$7:$A$300,B3464)&gt;0,"✓","⚠ add to Campaigns tab"))</f>
        <v/>
      </c>
      <c r="I3464" s="84" t="str">
        <f aca="false">IF(C3464="","",C3464*IF(Settings!$B$23=Settings!$C$6,1,IF(Settings!$B$23="USD",1/INDEX(Settings!$B$29:$B$40,MONTH(A3464)),INDEX(Settings!$B$29:$B$40,MONTH(A3464)))))</f>
        <v/>
      </c>
    </row>
    <row r="3465" customFormat="false" ht="15" hidden="false" customHeight="false" outlineLevel="0" collapsed="false">
      <c r="H3465" s="0" t="str">
        <f aca="false">IF(B3465="","",IF(COUNTIF(Campaigns!$A$7:$A$300,B3465)&gt;0,"✓","⚠ add to Campaigns tab"))</f>
        <v/>
      </c>
      <c r="I3465" s="84" t="str">
        <f aca="false">IF(C3465="","",C3465*IF(Settings!$B$23=Settings!$C$6,1,IF(Settings!$B$23="USD",1/INDEX(Settings!$B$29:$B$40,MONTH(A3465)),INDEX(Settings!$B$29:$B$40,MONTH(A3465)))))</f>
        <v/>
      </c>
    </row>
    <row r="3466" customFormat="false" ht="15" hidden="false" customHeight="false" outlineLevel="0" collapsed="false">
      <c r="H3466" s="0" t="str">
        <f aca="false">IF(B3466="","",IF(COUNTIF(Campaigns!$A$7:$A$300,B3466)&gt;0,"✓","⚠ add to Campaigns tab"))</f>
        <v/>
      </c>
      <c r="I3466" s="84" t="str">
        <f aca="false">IF(C3466="","",C3466*IF(Settings!$B$23=Settings!$C$6,1,IF(Settings!$B$23="USD",1/INDEX(Settings!$B$29:$B$40,MONTH(A3466)),INDEX(Settings!$B$29:$B$40,MONTH(A3466)))))</f>
        <v/>
      </c>
    </row>
    <row r="3467" customFormat="false" ht="15" hidden="false" customHeight="false" outlineLevel="0" collapsed="false">
      <c r="H3467" s="0" t="str">
        <f aca="false">IF(B3467="","",IF(COUNTIF(Campaigns!$A$7:$A$300,B3467)&gt;0,"✓","⚠ add to Campaigns tab"))</f>
        <v/>
      </c>
      <c r="I3467" s="84" t="str">
        <f aca="false">IF(C3467="","",C3467*IF(Settings!$B$23=Settings!$C$6,1,IF(Settings!$B$23="USD",1/INDEX(Settings!$B$29:$B$40,MONTH(A3467)),INDEX(Settings!$B$29:$B$40,MONTH(A3467)))))</f>
        <v/>
      </c>
    </row>
    <row r="3468" customFormat="false" ht="15" hidden="false" customHeight="false" outlineLevel="0" collapsed="false">
      <c r="H3468" s="0" t="str">
        <f aca="false">IF(B3468="","",IF(COUNTIF(Campaigns!$A$7:$A$300,B3468)&gt;0,"✓","⚠ add to Campaigns tab"))</f>
        <v/>
      </c>
      <c r="I3468" s="84" t="str">
        <f aca="false">IF(C3468="","",C3468*IF(Settings!$B$23=Settings!$C$6,1,IF(Settings!$B$23="USD",1/INDEX(Settings!$B$29:$B$40,MONTH(A3468)),INDEX(Settings!$B$29:$B$40,MONTH(A3468)))))</f>
        <v/>
      </c>
    </row>
    <row r="3469" customFormat="false" ht="15" hidden="false" customHeight="false" outlineLevel="0" collapsed="false">
      <c r="H3469" s="0" t="str">
        <f aca="false">IF(B3469="","",IF(COUNTIF(Campaigns!$A$7:$A$300,B3469)&gt;0,"✓","⚠ add to Campaigns tab"))</f>
        <v/>
      </c>
      <c r="I3469" s="84" t="str">
        <f aca="false">IF(C3469="","",C3469*IF(Settings!$B$23=Settings!$C$6,1,IF(Settings!$B$23="USD",1/INDEX(Settings!$B$29:$B$40,MONTH(A3469)),INDEX(Settings!$B$29:$B$40,MONTH(A3469)))))</f>
        <v/>
      </c>
    </row>
    <row r="3470" customFormat="false" ht="15" hidden="false" customHeight="false" outlineLevel="0" collapsed="false">
      <c r="H3470" s="0" t="str">
        <f aca="false">IF(B3470="","",IF(COUNTIF(Campaigns!$A$7:$A$300,B3470)&gt;0,"✓","⚠ add to Campaigns tab"))</f>
        <v/>
      </c>
      <c r="I3470" s="84" t="str">
        <f aca="false">IF(C3470="","",C3470*IF(Settings!$B$23=Settings!$C$6,1,IF(Settings!$B$23="USD",1/INDEX(Settings!$B$29:$B$40,MONTH(A3470)),INDEX(Settings!$B$29:$B$40,MONTH(A3470)))))</f>
        <v/>
      </c>
    </row>
    <row r="3471" customFormat="false" ht="15" hidden="false" customHeight="false" outlineLevel="0" collapsed="false">
      <c r="H3471" s="0" t="str">
        <f aca="false">IF(B3471="","",IF(COUNTIF(Campaigns!$A$7:$A$300,B3471)&gt;0,"✓","⚠ add to Campaigns tab"))</f>
        <v/>
      </c>
      <c r="I3471" s="84" t="str">
        <f aca="false">IF(C3471="","",C3471*IF(Settings!$B$23=Settings!$C$6,1,IF(Settings!$B$23="USD",1/INDEX(Settings!$B$29:$B$40,MONTH(A3471)),INDEX(Settings!$B$29:$B$40,MONTH(A3471)))))</f>
        <v/>
      </c>
    </row>
    <row r="3472" customFormat="false" ht="15" hidden="false" customHeight="false" outlineLevel="0" collapsed="false">
      <c r="H3472" s="0" t="str">
        <f aca="false">IF(B3472="","",IF(COUNTIF(Campaigns!$A$7:$A$300,B3472)&gt;0,"✓","⚠ add to Campaigns tab"))</f>
        <v/>
      </c>
      <c r="I3472" s="84" t="str">
        <f aca="false">IF(C3472="","",C3472*IF(Settings!$B$23=Settings!$C$6,1,IF(Settings!$B$23="USD",1/INDEX(Settings!$B$29:$B$40,MONTH(A3472)),INDEX(Settings!$B$29:$B$40,MONTH(A3472)))))</f>
        <v/>
      </c>
    </row>
    <row r="3473" customFormat="false" ht="15" hidden="false" customHeight="false" outlineLevel="0" collapsed="false">
      <c r="H3473" s="0" t="str">
        <f aca="false">IF(B3473="","",IF(COUNTIF(Campaigns!$A$7:$A$300,B3473)&gt;0,"✓","⚠ add to Campaigns tab"))</f>
        <v/>
      </c>
      <c r="I3473" s="84" t="str">
        <f aca="false">IF(C3473="","",C3473*IF(Settings!$B$23=Settings!$C$6,1,IF(Settings!$B$23="USD",1/INDEX(Settings!$B$29:$B$40,MONTH(A3473)),INDEX(Settings!$B$29:$B$40,MONTH(A3473)))))</f>
        <v/>
      </c>
    </row>
    <row r="3474" customFormat="false" ht="15" hidden="false" customHeight="false" outlineLevel="0" collapsed="false">
      <c r="H3474" s="0" t="str">
        <f aca="false">IF(B3474="","",IF(COUNTIF(Campaigns!$A$7:$A$300,B3474)&gt;0,"✓","⚠ add to Campaigns tab"))</f>
        <v/>
      </c>
      <c r="I3474" s="84" t="str">
        <f aca="false">IF(C3474="","",C3474*IF(Settings!$B$23=Settings!$C$6,1,IF(Settings!$B$23="USD",1/INDEX(Settings!$B$29:$B$40,MONTH(A3474)),INDEX(Settings!$B$29:$B$40,MONTH(A3474)))))</f>
        <v/>
      </c>
    </row>
    <row r="3475" customFormat="false" ht="15" hidden="false" customHeight="false" outlineLevel="0" collapsed="false">
      <c r="H3475" s="0" t="str">
        <f aca="false">IF(B3475="","",IF(COUNTIF(Campaigns!$A$7:$A$300,B3475)&gt;0,"✓","⚠ add to Campaigns tab"))</f>
        <v/>
      </c>
      <c r="I3475" s="84" t="str">
        <f aca="false">IF(C3475="","",C3475*IF(Settings!$B$23=Settings!$C$6,1,IF(Settings!$B$23="USD",1/INDEX(Settings!$B$29:$B$40,MONTH(A3475)),INDEX(Settings!$B$29:$B$40,MONTH(A3475)))))</f>
        <v/>
      </c>
    </row>
    <row r="3476" customFormat="false" ht="15" hidden="false" customHeight="false" outlineLevel="0" collapsed="false">
      <c r="H3476" s="0" t="str">
        <f aca="false">IF(B3476="","",IF(COUNTIF(Campaigns!$A$7:$A$300,B3476)&gt;0,"✓","⚠ add to Campaigns tab"))</f>
        <v/>
      </c>
      <c r="I3476" s="84" t="str">
        <f aca="false">IF(C3476="","",C3476*IF(Settings!$B$23=Settings!$C$6,1,IF(Settings!$B$23="USD",1/INDEX(Settings!$B$29:$B$40,MONTH(A3476)),INDEX(Settings!$B$29:$B$40,MONTH(A3476)))))</f>
        <v/>
      </c>
    </row>
    <row r="3477" customFormat="false" ht="15" hidden="false" customHeight="false" outlineLevel="0" collapsed="false">
      <c r="H3477" s="0" t="str">
        <f aca="false">IF(B3477="","",IF(COUNTIF(Campaigns!$A$7:$A$300,B3477)&gt;0,"✓","⚠ add to Campaigns tab"))</f>
        <v/>
      </c>
      <c r="I3477" s="84" t="str">
        <f aca="false">IF(C3477="","",C3477*IF(Settings!$B$23=Settings!$C$6,1,IF(Settings!$B$23="USD",1/INDEX(Settings!$B$29:$B$40,MONTH(A3477)),INDEX(Settings!$B$29:$B$40,MONTH(A3477)))))</f>
        <v/>
      </c>
    </row>
    <row r="3478" customFormat="false" ht="15" hidden="false" customHeight="false" outlineLevel="0" collapsed="false">
      <c r="H3478" s="0" t="str">
        <f aca="false">IF(B3478="","",IF(COUNTIF(Campaigns!$A$7:$A$300,B3478)&gt;0,"✓","⚠ add to Campaigns tab"))</f>
        <v/>
      </c>
      <c r="I3478" s="84" t="str">
        <f aca="false">IF(C3478="","",C3478*IF(Settings!$B$23=Settings!$C$6,1,IF(Settings!$B$23="USD",1/INDEX(Settings!$B$29:$B$40,MONTH(A3478)),INDEX(Settings!$B$29:$B$40,MONTH(A3478)))))</f>
        <v/>
      </c>
    </row>
    <row r="3479" customFormat="false" ht="15" hidden="false" customHeight="false" outlineLevel="0" collapsed="false">
      <c r="H3479" s="0" t="str">
        <f aca="false">IF(B3479="","",IF(COUNTIF(Campaigns!$A$7:$A$300,B3479)&gt;0,"✓","⚠ add to Campaigns tab"))</f>
        <v/>
      </c>
      <c r="I3479" s="84" t="str">
        <f aca="false">IF(C3479="","",C3479*IF(Settings!$B$23=Settings!$C$6,1,IF(Settings!$B$23="USD",1/INDEX(Settings!$B$29:$B$40,MONTH(A3479)),INDEX(Settings!$B$29:$B$40,MONTH(A3479)))))</f>
        <v/>
      </c>
    </row>
    <row r="3480" customFormat="false" ht="15" hidden="false" customHeight="false" outlineLevel="0" collapsed="false">
      <c r="H3480" s="0" t="str">
        <f aca="false">IF(B3480="","",IF(COUNTIF(Campaigns!$A$7:$A$300,B3480)&gt;0,"✓","⚠ add to Campaigns tab"))</f>
        <v/>
      </c>
      <c r="I3480" s="84" t="str">
        <f aca="false">IF(C3480="","",C3480*IF(Settings!$B$23=Settings!$C$6,1,IF(Settings!$B$23="USD",1/INDEX(Settings!$B$29:$B$40,MONTH(A3480)),INDEX(Settings!$B$29:$B$40,MONTH(A3480)))))</f>
        <v/>
      </c>
    </row>
    <row r="3481" customFormat="false" ht="15" hidden="false" customHeight="false" outlineLevel="0" collapsed="false">
      <c r="H3481" s="0" t="str">
        <f aca="false">IF(B3481="","",IF(COUNTIF(Campaigns!$A$7:$A$300,B3481)&gt;0,"✓","⚠ add to Campaigns tab"))</f>
        <v/>
      </c>
      <c r="I3481" s="84" t="str">
        <f aca="false">IF(C3481="","",C3481*IF(Settings!$B$23=Settings!$C$6,1,IF(Settings!$B$23="USD",1/INDEX(Settings!$B$29:$B$40,MONTH(A3481)),INDEX(Settings!$B$29:$B$40,MONTH(A3481)))))</f>
        <v/>
      </c>
    </row>
    <row r="3482" customFormat="false" ht="15" hidden="false" customHeight="false" outlineLevel="0" collapsed="false">
      <c r="H3482" s="0" t="str">
        <f aca="false">IF(B3482="","",IF(COUNTIF(Campaigns!$A$7:$A$300,B3482)&gt;0,"✓","⚠ add to Campaigns tab"))</f>
        <v/>
      </c>
      <c r="I3482" s="84" t="str">
        <f aca="false">IF(C3482="","",C3482*IF(Settings!$B$23=Settings!$C$6,1,IF(Settings!$B$23="USD",1/INDEX(Settings!$B$29:$B$40,MONTH(A3482)),INDEX(Settings!$B$29:$B$40,MONTH(A3482)))))</f>
        <v/>
      </c>
    </row>
    <row r="3483" customFormat="false" ht="15" hidden="false" customHeight="false" outlineLevel="0" collapsed="false">
      <c r="H3483" s="0" t="str">
        <f aca="false">IF(B3483="","",IF(COUNTIF(Campaigns!$A$7:$A$300,B3483)&gt;0,"✓","⚠ add to Campaigns tab"))</f>
        <v/>
      </c>
      <c r="I3483" s="84" t="str">
        <f aca="false">IF(C3483="","",C3483*IF(Settings!$B$23=Settings!$C$6,1,IF(Settings!$B$23="USD",1/INDEX(Settings!$B$29:$B$40,MONTH(A3483)),INDEX(Settings!$B$29:$B$40,MONTH(A3483)))))</f>
        <v/>
      </c>
    </row>
    <row r="3484" customFormat="false" ht="15" hidden="false" customHeight="false" outlineLevel="0" collapsed="false">
      <c r="H3484" s="0" t="str">
        <f aca="false">IF(B3484="","",IF(COUNTIF(Campaigns!$A$7:$A$300,B3484)&gt;0,"✓","⚠ add to Campaigns tab"))</f>
        <v/>
      </c>
      <c r="I3484" s="84" t="str">
        <f aca="false">IF(C3484="","",C3484*IF(Settings!$B$23=Settings!$C$6,1,IF(Settings!$B$23="USD",1/INDEX(Settings!$B$29:$B$40,MONTH(A3484)),INDEX(Settings!$B$29:$B$40,MONTH(A3484)))))</f>
        <v/>
      </c>
    </row>
    <row r="3485" customFormat="false" ht="15" hidden="false" customHeight="false" outlineLevel="0" collapsed="false">
      <c r="H3485" s="0" t="str">
        <f aca="false">IF(B3485="","",IF(COUNTIF(Campaigns!$A$7:$A$300,B3485)&gt;0,"✓","⚠ add to Campaigns tab"))</f>
        <v/>
      </c>
      <c r="I3485" s="84" t="str">
        <f aca="false">IF(C3485="","",C3485*IF(Settings!$B$23=Settings!$C$6,1,IF(Settings!$B$23="USD",1/INDEX(Settings!$B$29:$B$40,MONTH(A3485)),INDEX(Settings!$B$29:$B$40,MONTH(A3485)))))</f>
        <v/>
      </c>
    </row>
    <row r="3486" customFormat="false" ht="15" hidden="false" customHeight="false" outlineLevel="0" collapsed="false">
      <c r="H3486" s="0" t="str">
        <f aca="false">IF(B3486="","",IF(COUNTIF(Campaigns!$A$7:$A$300,B3486)&gt;0,"✓","⚠ add to Campaigns tab"))</f>
        <v/>
      </c>
      <c r="I3486" s="84" t="str">
        <f aca="false">IF(C3486="","",C3486*IF(Settings!$B$23=Settings!$C$6,1,IF(Settings!$B$23="USD",1/INDEX(Settings!$B$29:$B$40,MONTH(A3486)),INDEX(Settings!$B$29:$B$40,MONTH(A3486)))))</f>
        <v/>
      </c>
    </row>
    <row r="3487" customFormat="false" ht="15" hidden="false" customHeight="false" outlineLevel="0" collapsed="false">
      <c r="H3487" s="0" t="str">
        <f aca="false">IF(B3487="","",IF(COUNTIF(Campaigns!$A$7:$A$300,B3487)&gt;0,"✓","⚠ add to Campaigns tab"))</f>
        <v/>
      </c>
      <c r="I3487" s="84" t="str">
        <f aca="false">IF(C3487="","",C3487*IF(Settings!$B$23=Settings!$C$6,1,IF(Settings!$B$23="USD",1/INDEX(Settings!$B$29:$B$40,MONTH(A3487)),INDEX(Settings!$B$29:$B$40,MONTH(A3487)))))</f>
        <v/>
      </c>
    </row>
    <row r="3488" customFormat="false" ht="15" hidden="false" customHeight="false" outlineLevel="0" collapsed="false">
      <c r="H3488" s="0" t="str">
        <f aca="false">IF(B3488="","",IF(COUNTIF(Campaigns!$A$7:$A$300,B3488)&gt;0,"✓","⚠ add to Campaigns tab"))</f>
        <v/>
      </c>
      <c r="I3488" s="84" t="str">
        <f aca="false">IF(C3488="","",C3488*IF(Settings!$B$23=Settings!$C$6,1,IF(Settings!$B$23="USD",1/INDEX(Settings!$B$29:$B$40,MONTH(A3488)),INDEX(Settings!$B$29:$B$40,MONTH(A3488)))))</f>
        <v/>
      </c>
    </row>
    <row r="3489" customFormat="false" ht="15" hidden="false" customHeight="false" outlineLevel="0" collapsed="false">
      <c r="H3489" s="0" t="str">
        <f aca="false">IF(B3489="","",IF(COUNTIF(Campaigns!$A$7:$A$300,B3489)&gt;0,"✓","⚠ add to Campaigns tab"))</f>
        <v/>
      </c>
      <c r="I3489" s="84" t="str">
        <f aca="false">IF(C3489="","",C3489*IF(Settings!$B$23=Settings!$C$6,1,IF(Settings!$B$23="USD",1/INDEX(Settings!$B$29:$B$40,MONTH(A3489)),INDEX(Settings!$B$29:$B$40,MONTH(A3489)))))</f>
        <v/>
      </c>
    </row>
    <row r="3490" customFormat="false" ht="15" hidden="false" customHeight="false" outlineLevel="0" collapsed="false">
      <c r="H3490" s="0" t="str">
        <f aca="false">IF(B3490="","",IF(COUNTIF(Campaigns!$A$7:$A$300,B3490)&gt;0,"✓","⚠ add to Campaigns tab"))</f>
        <v/>
      </c>
      <c r="I3490" s="84" t="str">
        <f aca="false">IF(C3490="","",C3490*IF(Settings!$B$23=Settings!$C$6,1,IF(Settings!$B$23="USD",1/INDEX(Settings!$B$29:$B$40,MONTH(A3490)),INDEX(Settings!$B$29:$B$40,MONTH(A3490)))))</f>
        <v/>
      </c>
    </row>
    <row r="3491" customFormat="false" ht="15" hidden="false" customHeight="false" outlineLevel="0" collapsed="false">
      <c r="H3491" s="0" t="str">
        <f aca="false">IF(B3491="","",IF(COUNTIF(Campaigns!$A$7:$A$300,B3491)&gt;0,"✓","⚠ add to Campaigns tab"))</f>
        <v/>
      </c>
      <c r="I3491" s="84" t="str">
        <f aca="false">IF(C3491="","",C3491*IF(Settings!$B$23=Settings!$C$6,1,IF(Settings!$B$23="USD",1/INDEX(Settings!$B$29:$B$40,MONTH(A3491)),INDEX(Settings!$B$29:$B$40,MONTH(A3491)))))</f>
        <v/>
      </c>
    </row>
    <row r="3492" customFormat="false" ht="15" hidden="false" customHeight="false" outlineLevel="0" collapsed="false">
      <c r="H3492" s="0" t="str">
        <f aca="false">IF(B3492="","",IF(COUNTIF(Campaigns!$A$7:$A$300,B3492)&gt;0,"✓","⚠ add to Campaigns tab"))</f>
        <v/>
      </c>
      <c r="I3492" s="84" t="str">
        <f aca="false">IF(C3492="","",C3492*IF(Settings!$B$23=Settings!$C$6,1,IF(Settings!$B$23="USD",1/INDEX(Settings!$B$29:$B$40,MONTH(A3492)),INDEX(Settings!$B$29:$B$40,MONTH(A3492)))))</f>
        <v/>
      </c>
    </row>
    <row r="3493" customFormat="false" ht="15" hidden="false" customHeight="false" outlineLevel="0" collapsed="false">
      <c r="H3493" s="0" t="str">
        <f aca="false">IF(B3493="","",IF(COUNTIF(Campaigns!$A$7:$A$300,B3493)&gt;0,"✓","⚠ add to Campaigns tab"))</f>
        <v/>
      </c>
      <c r="I3493" s="84" t="str">
        <f aca="false">IF(C3493="","",C3493*IF(Settings!$B$23=Settings!$C$6,1,IF(Settings!$B$23="USD",1/INDEX(Settings!$B$29:$B$40,MONTH(A3493)),INDEX(Settings!$B$29:$B$40,MONTH(A3493)))))</f>
        <v/>
      </c>
    </row>
    <row r="3494" customFormat="false" ht="15" hidden="false" customHeight="false" outlineLevel="0" collapsed="false">
      <c r="H3494" s="0" t="str">
        <f aca="false">IF(B3494="","",IF(COUNTIF(Campaigns!$A$7:$A$300,B3494)&gt;0,"✓","⚠ add to Campaigns tab"))</f>
        <v/>
      </c>
      <c r="I3494" s="84" t="str">
        <f aca="false">IF(C3494="","",C3494*IF(Settings!$B$23=Settings!$C$6,1,IF(Settings!$B$23="USD",1/INDEX(Settings!$B$29:$B$40,MONTH(A3494)),INDEX(Settings!$B$29:$B$40,MONTH(A3494)))))</f>
        <v/>
      </c>
    </row>
    <row r="3495" customFormat="false" ht="15" hidden="false" customHeight="false" outlineLevel="0" collapsed="false">
      <c r="H3495" s="0" t="str">
        <f aca="false">IF(B3495="","",IF(COUNTIF(Campaigns!$A$7:$A$300,B3495)&gt;0,"✓","⚠ add to Campaigns tab"))</f>
        <v/>
      </c>
      <c r="I3495" s="84" t="str">
        <f aca="false">IF(C3495="","",C3495*IF(Settings!$B$23=Settings!$C$6,1,IF(Settings!$B$23="USD",1/INDEX(Settings!$B$29:$B$40,MONTH(A3495)),INDEX(Settings!$B$29:$B$40,MONTH(A3495)))))</f>
        <v/>
      </c>
    </row>
    <row r="3496" customFormat="false" ht="15" hidden="false" customHeight="false" outlineLevel="0" collapsed="false">
      <c r="H3496" s="0" t="str">
        <f aca="false">IF(B3496="","",IF(COUNTIF(Campaigns!$A$7:$A$300,B3496)&gt;0,"✓","⚠ add to Campaigns tab"))</f>
        <v/>
      </c>
      <c r="I3496" s="84" t="str">
        <f aca="false">IF(C3496="","",C3496*IF(Settings!$B$23=Settings!$C$6,1,IF(Settings!$B$23="USD",1/INDEX(Settings!$B$29:$B$40,MONTH(A3496)),INDEX(Settings!$B$29:$B$40,MONTH(A3496)))))</f>
        <v/>
      </c>
    </row>
    <row r="3497" customFormat="false" ht="15" hidden="false" customHeight="false" outlineLevel="0" collapsed="false">
      <c r="H3497" s="0" t="str">
        <f aca="false">IF(B3497="","",IF(COUNTIF(Campaigns!$A$7:$A$300,B3497)&gt;0,"✓","⚠ add to Campaigns tab"))</f>
        <v/>
      </c>
      <c r="I3497" s="84" t="str">
        <f aca="false">IF(C3497="","",C3497*IF(Settings!$B$23=Settings!$C$6,1,IF(Settings!$B$23="USD",1/INDEX(Settings!$B$29:$B$40,MONTH(A3497)),INDEX(Settings!$B$29:$B$40,MONTH(A3497)))))</f>
        <v/>
      </c>
    </row>
    <row r="3498" customFormat="false" ht="15" hidden="false" customHeight="false" outlineLevel="0" collapsed="false">
      <c r="H3498" s="0" t="str">
        <f aca="false">IF(B3498="","",IF(COUNTIF(Campaigns!$A$7:$A$300,B3498)&gt;0,"✓","⚠ add to Campaigns tab"))</f>
        <v/>
      </c>
      <c r="I3498" s="84" t="str">
        <f aca="false">IF(C3498="","",C3498*IF(Settings!$B$23=Settings!$C$6,1,IF(Settings!$B$23="USD",1/INDEX(Settings!$B$29:$B$40,MONTH(A3498)),INDEX(Settings!$B$29:$B$40,MONTH(A3498)))))</f>
        <v/>
      </c>
    </row>
    <row r="3499" customFormat="false" ht="15" hidden="false" customHeight="false" outlineLevel="0" collapsed="false">
      <c r="H3499" s="0" t="str">
        <f aca="false">IF(B3499="","",IF(COUNTIF(Campaigns!$A$7:$A$300,B3499)&gt;0,"✓","⚠ add to Campaigns tab"))</f>
        <v/>
      </c>
      <c r="I3499" s="84" t="str">
        <f aca="false">IF(C3499="","",C3499*IF(Settings!$B$23=Settings!$C$6,1,IF(Settings!$B$23="USD",1/INDEX(Settings!$B$29:$B$40,MONTH(A3499)),INDEX(Settings!$B$29:$B$40,MONTH(A3499)))))</f>
        <v/>
      </c>
    </row>
    <row r="3500" customFormat="false" ht="15" hidden="false" customHeight="false" outlineLevel="0" collapsed="false">
      <c r="H3500" s="0" t="str">
        <f aca="false">IF(B3500="","",IF(COUNTIF(Campaigns!$A$7:$A$300,B3500)&gt;0,"✓","⚠ add to Campaigns tab"))</f>
        <v/>
      </c>
      <c r="I3500" s="84" t="str">
        <f aca="false">IF(C3500="","",C3500*IF(Settings!$B$23=Settings!$C$6,1,IF(Settings!$B$23="USD",1/INDEX(Settings!$B$29:$B$40,MONTH(A3500)),INDEX(Settings!$B$29:$B$40,MONTH(A3500)))))</f>
        <v/>
      </c>
    </row>
    <row r="3501" customFormat="false" ht="15" hidden="false" customHeight="false" outlineLevel="0" collapsed="false">
      <c r="H3501" s="0" t="str">
        <f aca="false">IF(B3501="","",IF(COUNTIF(Campaigns!$A$7:$A$300,B3501)&gt;0,"✓","⚠ add to Campaigns tab"))</f>
        <v/>
      </c>
      <c r="I3501" s="84" t="str">
        <f aca="false">IF(C3501="","",C3501*IF(Settings!$B$23=Settings!$C$6,1,IF(Settings!$B$23="USD",1/INDEX(Settings!$B$29:$B$40,MONTH(A3501)),INDEX(Settings!$B$29:$B$40,MONTH(A3501)))))</f>
        <v/>
      </c>
    </row>
    <row r="3502" customFormat="false" ht="15" hidden="false" customHeight="false" outlineLevel="0" collapsed="false">
      <c r="H3502" s="0" t="str">
        <f aca="false">IF(B3502="","",IF(COUNTIF(Campaigns!$A$7:$A$300,B3502)&gt;0,"✓","⚠ add to Campaigns tab"))</f>
        <v/>
      </c>
      <c r="I3502" s="84" t="str">
        <f aca="false">IF(C3502="","",C3502*IF(Settings!$B$23=Settings!$C$6,1,IF(Settings!$B$23="USD",1/INDEX(Settings!$B$29:$B$40,MONTH(A3502)),INDEX(Settings!$B$29:$B$40,MONTH(A3502)))))</f>
        <v/>
      </c>
    </row>
    <row r="3503" customFormat="false" ht="15" hidden="false" customHeight="false" outlineLevel="0" collapsed="false">
      <c r="H3503" s="0" t="str">
        <f aca="false">IF(B3503="","",IF(COUNTIF(Campaigns!$A$7:$A$300,B3503)&gt;0,"✓","⚠ add to Campaigns tab"))</f>
        <v/>
      </c>
      <c r="I3503" s="84" t="str">
        <f aca="false">IF(C3503="","",C3503*IF(Settings!$B$23=Settings!$C$6,1,IF(Settings!$B$23="USD",1/INDEX(Settings!$B$29:$B$40,MONTH(A3503)),INDEX(Settings!$B$29:$B$40,MONTH(A3503)))))</f>
        <v/>
      </c>
    </row>
    <row r="3504" customFormat="false" ht="15" hidden="false" customHeight="false" outlineLevel="0" collapsed="false">
      <c r="H3504" s="0" t="str">
        <f aca="false">IF(B3504="","",IF(COUNTIF(Campaigns!$A$7:$A$300,B3504)&gt;0,"✓","⚠ add to Campaigns tab"))</f>
        <v/>
      </c>
      <c r="I3504" s="84" t="str">
        <f aca="false">IF(C3504="","",C3504*IF(Settings!$B$23=Settings!$C$6,1,IF(Settings!$B$23="USD",1/INDEX(Settings!$B$29:$B$40,MONTH(A3504)),INDEX(Settings!$B$29:$B$40,MONTH(A3504)))))</f>
        <v/>
      </c>
    </row>
    <row r="3505" customFormat="false" ht="15" hidden="false" customHeight="false" outlineLevel="0" collapsed="false">
      <c r="H3505" s="0" t="str">
        <f aca="false">IF(B3505="","",IF(COUNTIF(Campaigns!$A$7:$A$300,B3505)&gt;0,"✓","⚠ add to Campaigns tab"))</f>
        <v/>
      </c>
      <c r="I3505" s="84" t="str">
        <f aca="false">IF(C3505="","",C3505*IF(Settings!$B$23=Settings!$C$6,1,IF(Settings!$B$23="USD",1/INDEX(Settings!$B$29:$B$40,MONTH(A3505)),INDEX(Settings!$B$29:$B$40,MONTH(A3505)))))</f>
        <v/>
      </c>
    </row>
    <row r="3506" customFormat="false" ht="15" hidden="false" customHeight="false" outlineLevel="0" collapsed="false">
      <c r="H3506" s="0" t="str">
        <f aca="false">IF(B3506="","",IF(COUNTIF(Campaigns!$A$7:$A$300,B3506)&gt;0,"✓","⚠ add to Campaigns tab"))</f>
        <v/>
      </c>
      <c r="I3506" s="84" t="str">
        <f aca="false">IF(C3506="","",C3506*IF(Settings!$B$23=Settings!$C$6,1,IF(Settings!$B$23="USD",1/INDEX(Settings!$B$29:$B$40,MONTH(A3506)),INDEX(Settings!$B$29:$B$40,MONTH(A3506)))))</f>
        <v/>
      </c>
    </row>
    <row r="3507" customFormat="false" ht="15" hidden="false" customHeight="false" outlineLevel="0" collapsed="false">
      <c r="H3507" s="0" t="str">
        <f aca="false">IF(B3507="","",IF(COUNTIF(Campaigns!$A$7:$A$300,B3507)&gt;0,"✓","⚠ add to Campaigns tab"))</f>
        <v/>
      </c>
      <c r="I3507" s="84" t="str">
        <f aca="false">IF(C3507="","",C3507*IF(Settings!$B$23=Settings!$C$6,1,IF(Settings!$B$23="USD",1/INDEX(Settings!$B$29:$B$40,MONTH(A3507)),INDEX(Settings!$B$29:$B$40,MONTH(A3507)))))</f>
        <v/>
      </c>
    </row>
    <row r="3508" customFormat="false" ht="15" hidden="false" customHeight="false" outlineLevel="0" collapsed="false">
      <c r="H3508" s="0" t="str">
        <f aca="false">IF(B3508="","",IF(COUNTIF(Campaigns!$A$7:$A$300,B3508)&gt;0,"✓","⚠ add to Campaigns tab"))</f>
        <v/>
      </c>
      <c r="I3508" s="84" t="str">
        <f aca="false">IF(C3508="","",C3508*IF(Settings!$B$23=Settings!$C$6,1,IF(Settings!$B$23="USD",1/INDEX(Settings!$B$29:$B$40,MONTH(A3508)),INDEX(Settings!$B$29:$B$40,MONTH(A3508)))))</f>
        <v/>
      </c>
    </row>
    <row r="3509" customFormat="false" ht="15" hidden="false" customHeight="false" outlineLevel="0" collapsed="false">
      <c r="H3509" s="0" t="str">
        <f aca="false">IF(B3509="","",IF(COUNTIF(Campaigns!$A$7:$A$300,B3509)&gt;0,"✓","⚠ add to Campaigns tab"))</f>
        <v/>
      </c>
      <c r="I3509" s="84" t="str">
        <f aca="false">IF(C3509="","",C3509*IF(Settings!$B$23=Settings!$C$6,1,IF(Settings!$B$23="USD",1/INDEX(Settings!$B$29:$B$40,MONTH(A3509)),INDEX(Settings!$B$29:$B$40,MONTH(A3509)))))</f>
        <v/>
      </c>
    </row>
    <row r="3510" customFormat="false" ht="15" hidden="false" customHeight="false" outlineLevel="0" collapsed="false">
      <c r="H3510" s="0" t="str">
        <f aca="false">IF(B3510="","",IF(COUNTIF(Campaigns!$A$7:$A$300,B3510)&gt;0,"✓","⚠ add to Campaigns tab"))</f>
        <v/>
      </c>
      <c r="I3510" s="84" t="str">
        <f aca="false">IF(C3510="","",C3510*IF(Settings!$B$23=Settings!$C$6,1,IF(Settings!$B$23="USD",1/INDEX(Settings!$B$29:$B$40,MONTH(A3510)),INDEX(Settings!$B$29:$B$40,MONTH(A3510)))))</f>
        <v/>
      </c>
    </row>
    <row r="3511" customFormat="false" ht="15" hidden="false" customHeight="false" outlineLevel="0" collapsed="false">
      <c r="H3511" s="0" t="str">
        <f aca="false">IF(B3511="","",IF(COUNTIF(Campaigns!$A$7:$A$300,B3511)&gt;0,"✓","⚠ add to Campaigns tab"))</f>
        <v/>
      </c>
      <c r="I3511" s="84" t="str">
        <f aca="false">IF(C3511="","",C3511*IF(Settings!$B$23=Settings!$C$6,1,IF(Settings!$B$23="USD",1/INDEX(Settings!$B$29:$B$40,MONTH(A3511)),INDEX(Settings!$B$29:$B$40,MONTH(A3511)))))</f>
        <v/>
      </c>
    </row>
    <row r="3512" customFormat="false" ht="15" hidden="false" customHeight="false" outlineLevel="0" collapsed="false">
      <c r="H3512" s="0" t="str">
        <f aca="false">IF(B3512="","",IF(COUNTIF(Campaigns!$A$7:$A$300,B3512)&gt;0,"✓","⚠ add to Campaigns tab"))</f>
        <v/>
      </c>
      <c r="I3512" s="84" t="str">
        <f aca="false">IF(C3512="","",C3512*IF(Settings!$B$23=Settings!$C$6,1,IF(Settings!$B$23="USD",1/INDEX(Settings!$B$29:$B$40,MONTH(A3512)),INDEX(Settings!$B$29:$B$40,MONTH(A3512)))))</f>
        <v/>
      </c>
    </row>
    <row r="3513" customFormat="false" ht="15" hidden="false" customHeight="false" outlineLevel="0" collapsed="false">
      <c r="H3513" s="0" t="str">
        <f aca="false">IF(B3513="","",IF(COUNTIF(Campaigns!$A$7:$A$300,B3513)&gt;0,"✓","⚠ add to Campaigns tab"))</f>
        <v/>
      </c>
      <c r="I3513" s="84" t="str">
        <f aca="false">IF(C3513="","",C3513*IF(Settings!$B$23=Settings!$C$6,1,IF(Settings!$B$23="USD",1/INDEX(Settings!$B$29:$B$40,MONTH(A3513)),INDEX(Settings!$B$29:$B$40,MONTH(A3513)))))</f>
        <v/>
      </c>
    </row>
    <row r="3514" customFormat="false" ht="15" hidden="false" customHeight="false" outlineLevel="0" collapsed="false">
      <c r="H3514" s="0" t="str">
        <f aca="false">IF(B3514="","",IF(COUNTIF(Campaigns!$A$7:$A$300,B3514)&gt;0,"✓","⚠ add to Campaigns tab"))</f>
        <v/>
      </c>
      <c r="I3514" s="84" t="str">
        <f aca="false">IF(C3514="","",C3514*IF(Settings!$B$23=Settings!$C$6,1,IF(Settings!$B$23="USD",1/INDEX(Settings!$B$29:$B$40,MONTH(A3514)),INDEX(Settings!$B$29:$B$40,MONTH(A3514)))))</f>
        <v/>
      </c>
    </row>
    <row r="3515" customFormat="false" ht="15" hidden="false" customHeight="false" outlineLevel="0" collapsed="false">
      <c r="H3515" s="0" t="str">
        <f aca="false">IF(B3515="","",IF(COUNTIF(Campaigns!$A$7:$A$300,B3515)&gt;0,"✓","⚠ add to Campaigns tab"))</f>
        <v/>
      </c>
      <c r="I3515" s="84" t="str">
        <f aca="false">IF(C3515="","",C3515*IF(Settings!$B$23=Settings!$C$6,1,IF(Settings!$B$23="USD",1/INDEX(Settings!$B$29:$B$40,MONTH(A3515)),INDEX(Settings!$B$29:$B$40,MONTH(A3515)))))</f>
        <v/>
      </c>
    </row>
    <row r="3516" customFormat="false" ht="15" hidden="false" customHeight="false" outlineLevel="0" collapsed="false">
      <c r="H3516" s="0" t="str">
        <f aca="false">IF(B3516="","",IF(COUNTIF(Campaigns!$A$7:$A$300,B3516)&gt;0,"✓","⚠ add to Campaigns tab"))</f>
        <v/>
      </c>
      <c r="I3516" s="84" t="str">
        <f aca="false">IF(C3516="","",C3516*IF(Settings!$B$23=Settings!$C$6,1,IF(Settings!$B$23="USD",1/INDEX(Settings!$B$29:$B$40,MONTH(A3516)),INDEX(Settings!$B$29:$B$40,MONTH(A3516)))))</f>
        <v/>
      </c>
    </row>
    <row r="3517" customFormat="false" ht="15" hidden="false" customHeight="false" outlineLevel="0" collapsed="false">
      <c r="H3517" s="0" t="str">
        <f aca="false">IF(B3517="","",IF(COUNTIF(Campaigns!$A$7:$A$300,B3517)&gt;0,"✓","⚠ add to Campaigns tab"))</f>
        <v/>
      </c>
      <c r="I3517" s="84" t="str">
        <f aca="false">IF(C3517="","",C3517*IF(Settings!$B$23=Settings!$C$6,1,IF(Settings!$B$23="USD",1/INDEX(Settings!$B$29:$B$40,MONTH(A3517)),INDEX(Settings!$B$29:$B$40,MONTH(A3517)))))</f>
        <v/>
      </c>
    </row>
    <row r="3518" customFormat="false" ht="15" hidden="false" customHeight="false" outlineLevel="0" collapsed="false">
      <c r="H3518" s="0" t="str">
        <f aca="false">IF(B3518="","",IF(COUNTIF(Campaigns!$A$7:$A$300,B3518)&gt;0,"✓","⚠ add to Campaigns tab"))</f>
        <v/>
      </c>
      <c r="I3518" s="84" t="str">
        <f aca="false">IF(C3518="","",C3518*IF(Settings!$B$23=Settings!$C$6,1,IF(Settings!$B$23="USD",1/INDEX(Settings!$B$29:$B$40,MONTH(A3518)),INDEX(Settings!$B$29:$B$40,MONTH(A3518)))))</f>
        <v/>
      </c>
    </row>
    <row r="3519" customFormat="false" ht="15" hidden="false" customHeight="false" outlineLevel="0" collapsed="false">
      <c r="H3519" s="0" t="str">
        <f aca="false">IF(B3519="","",IF(COUNTIF(Campaigns!$A$7:$A$300,B3519)&gt;0,"✓","⚠ add to Campaigns tab"))</f>
        <v/>
      </c>
      <c r="I3519" s="84" t="str">
        <f aca="false">IF(C3519="","",C3519*IF(Settings!$B$23=Settings!$C$6,1,IF(Settings!$B$23="USD",1/INDEX(Settings!$B$29:$B$40,MONTH(A3519)),INDEX(Settings!$B$29:$B$40,MONTH(A3519)))))</f>
        <v/>
      </c>
    </row>
    <row r="3520" customFormat="false" ht="15" hidden="false" customHeight="false" outlineLevel="0" collapsed="false">
      <c r="H3520" s="0" t="str">
        <f aca="false">IF(B3520="","",IF(COUNTIF(Campaigns!$A$7:$A$300,B3520)&gt;0,"✓","⚠ add to Campaigns tab"))</f>
        <v/>
      </c>
      <c r="I3520" s="84" t="str">
        <f aca="false">IF(C3520="","",C3520*IF(Settings!$B$23=Settings!$C$6,1,IF(Settings!$B$23="USD",1/INDEX(Settings!$B$29:$B$40,MONTH(A3520)),INDEX(Settings!$B$29:$B$40,MONTH(A3520)))))</f>
        <v/>
      </c>
    </row>
    <row r="3521" customFormat="false" ht="15" hidden="false" customHeight="false" outlineLevel="0" collapsed="false">
      <c r="H3521" s="0" t="str">
        <f aca="false">IF(B3521="","",IF(COUNTIF(Campaigns!$A$7:$A$300,B3521)&gt;0,"✓","⚠ add to Campaigns tab"))</f>
        <v/>
      </c>
      <c r="I3521" s="84" t="str">
        <f aca="false">IF(C3521="","",C3521*IF(Settings!$B$23=Settings!$C$6,1,IF(Settings!$B$23="USD",1/INDEX(Settings!$B$29:$B$40,MONTH(A3521)),INDEX(Settings!$B$29:$B$40,MONTH(A3521)))))</f>
        <v/>
      </c>
    </row>
    <row r="3522" customFormat="false" ht="15" hidden="false" customHeight="false" outlineLevel="0" collapsed="false">
      <c r="H3522" s="0" t="str">
        <f aca="false">IF(B3522="","",IF(COUNTIF(Campaigns!$A$7:$A$300,B3522)&gt;0,"✓","⚠ add to Campaigns tab"))</f>
        <v/>
      </c>
      <c r="I3522" s="84" t="str">
        <f aca="false">IF(C3522="","",C3522*IF(Settings!$B$23=Settings!$C$6,1,IF(Settings!$B$23="USD",1/INDEX(Settings!$B$29:$B$40,MONTH(A3522)),INDEX(Settings!$B$29:$B$40,MONTH(A3522)))))</f>
        <v/>
      </c>
    </row>
    <row r="3523" customFormat="false" ht="15" hidden="false" customHeight="false" outlineLevel="0" collapsed="false">
      <c r="H3523" s="0" t="str">
        <f aca="false">IF(B3523="","",IF(COUNTIF(Campaigns!$A$7:$A$300,B3523)&gt;0,"✓","⚠ add to Campaigns tab"))</f>
        <v/>
      </c>
      <c r="I3523" s="84" t="str">
        <f aca="false">IF(C3523="","",C3523*IF(Settings!$B$23=Settings!$C$6,1,IF(Settings!$B$23="USD",1/INDEX(Settings!$B$29:$B$40,MONTH(A3523)),INDEX(Settings!$B$29:$B$40,MONTH(A3523)))))</f>
        <v/>
      </c>
    </row>
    <row r="3524" customFormat="false" ht="15" hidden="false" customHeight="false" outlineLevel="0" collapsed="false">
      <c r="H3524" s="0" t="str">
        <f aca="false">IF(B3524="","",IF(COUNTIF(Campaigns!$A$7:$A$300,B3524)&gt;0,"✓","⚠ add to Campaigns tab"))</f>
        <v/>
      </c>
      <c r="I3524" s="84" t="str">
        <f aca="false">IF(C3524="","",C3524*IF(Settings!$B$23=Settings!$C$6,1,IF(Settings!$B$23="USD",1/INDEX(Settings!$B$29:$B$40,MONTH(A3524)),INDEX(Settings!$B$29:$B$40,MONTH(A3524)))))</f>
        <v/>
      </c>
    </row>
    <row r="3525" customFormat="false" ht="15" hidden="false" customHeight="false" outlineLevel="0" collapsed="false">
      <c r="H3525" s="0" t="str">
        <f aca="false">IF(B3525="","",IF(COUNTIF(Campaigns!$A$7:$A$300,B3525)&gt;0,"✓","⚠ add to Campaigns tab"))</f>
        <v/>
      </c>
      <c r="I3525" s="84" t="str">
        <f aca="false">IF(C3525="","",C3525*IF(Settings!$B$23=Settings!$C$6,1,IF(Settings!$B$23="USD",1/INDEX(Settings!$B$29:$B$40,MONTH(A3525)),INDEX(Settings!$B$29:$B$40,MONTH(A3525)))))</f>
        <v/>
      </c>
    </row>
    <row r="3526" customFormat="false" ht="15" hidden="false" customHeight="false" outlineLevel="0" collapsed="false">
      <c r="H3526" s="0" t="str">
        <f aca="false">IF(B3526="","",IF(COUNTIF(Campaigns!$A$7:$A$300,B3526)&gt;0,"✓","⚠ add to Campaigns tab"))</f>
        <v/>
      </c>
      <c r="I3526" s="84" t="str">
        <f aca="false">IF(C3526="","",C3526*IF(Settings!$B$23=Settings!$C$6,1,IF(Settings!$B$23="USD",1/INDEX(Settings!$B$29:$B$40,MONTH(A3526)),INDEX(Settings!$B$29:$B$40,MONTH(A3526)))))</f>
        <v/>
      </c>
    </row>
    <row r="3527" customFormat="false" ht="15" hidden="false" customHeight="false" outlineLevel="0" collapsed="false">
      <c r="H3527" s="0" t="str">
        <f aca="false">IF(B3527="","",IF(COUNTIF(Campaigns!$A$7:$A$300,B3527)&gt;0,"✓","⚠ add to Campaigns tab"))</f>
        <v/>
      </c>
      <c r="I3527" s="84" t="str">
        <f aca="false">IF(C3527="","",C3527*IF(Settings!$B$23=Settings!$C$6,1,IF(Settings!$B$23="USD",1/INDEX(Settings!$B$29:$B$40,MONTH(A3527)),INDEX(Settings!$B$29:$B$40,MONTH(A3527)))))</f>
        <v/>
      </c>
    </row>
    <row r="3528" customFormat="false" ht="15" hidden="false" customHeight="false" outlineLevel="0" collapsed="false">
      <c r="H3528" s="0" t="str">
        <f aca="false">IF(B3528="","",IF(COUNTIF(Campaigns!$A$7:$A$300,B3528)&gt;0,"✓","⚠ add to Campaigns tab"))</f>
        <v/>
      </c>
      <c r="I3528" s="84" t="str">
        <f aca="false">IF(C3528="","",C3528*IF(Settings!$B$23=Settings!$C$6,1,IF(Settings!$B$23="USD",1/INDEX(Settings!$B$29:$B$40,MONTH(A3528)),INDEX(Settings!$B$29:$B$40,MONTH(A3528)))))</f>
        <v/>
      </c>
    </row>
    <row r="3529" customFormat="false" ht="15" hidden="false" customHeight="false" outlineLevel="0" collapsed="false">
      <c r="H3529" s="0" t="str">
        <f aca="false">IF(B3529="","",IF(COUNTIF(Campaigns!$A$7:$A$300,B3529)&gt;0,"✓","⚠ add to Campaigns tab"))</f>
        <v/>
      </c>
      <c r="I3529" s="84" t="str">
        <f aca="false">IF(C3529="","",C3529*IF(Settings!$B$23=Settings!$C$6,1,IF(Settings!$B$23="USD",1/INDEX(Settings!$B$29:$B$40,MONTH(A3529)),INDEX(Settings!$B$29:$B$40,MONTH(A3529)))))</f>
        <v/>
      </c>
    </row>
    <row r="3530" customFormat="false" ht="15" hidden="false" customHeight="false" outlineLevel="0" collapsed="false">
      <c r="H3530" s="0" t="str">
        <f aca="false">IF(B3530="","",IF(COUNTIF(Campaigns!$A$7:$A$300,B3530)&gt;0,"✓","⚠ add to Campaigns tab"))</f>
        <v/>
      </c>
      <c r="I3530" s="84" t="str">
        <f aca="false">IF(C3530="","",C3530*IF(Settings!$B$23=Settings!$C$6,1,IF(Settings!$B$23="USD",1/INDEX(Settings!$B$29:$B$40,MONTH(A3530)),INDEX(Settings!$B$29:$B$40,MONTH(A3530)))))</f>
        <v/>
      </c>
    </row>
    <row r="3531" customFormat="false" ht="15" hidden="false" customHeight="false" outlineLevel="0" collapsed="false">
      <c r="H3531" s="0" t="str">
        <f aca="false">IF(B3531="","",IF(COUNTIF(Campaigns!$A$7:$A$300,B3531)&gt;0,"✓","⚠ add to Campaigns tab"))</f>
        <v/>
      </c>
      <c r="I3531" s="84" t="str">
        <f aca="false">IF(C3531="","",C3531*IF(Settings!$B$23=Settings!$C$6,1,IF(Settings!$B$23="USD",1/INDEX(Settings!$B$29:$B$40,MONTH(A3531)),INDEX(Settings!$B$29:$B$40,MONTH(A3531)))))</f>
        <v/>
      </c>
    </row>
    <row r="3532" customFormat="false" ht="15" hidden="false" customHeight="false" outlineLevel="0" collapsed="false">
      <c r="H3532" s="0" t="str">
        <f aca="false">IF(B3532="","",IF(COUNTIF(Campaigns!$A$7:$A$300,B3532)&gt;0,"✓","⚠ add to Campaigns tab"))</f>
        <v/>
      </c>
      <c r="I3532" s="84" t="str">
        <f aca="false">IF(C3532="","",C3532*IF(Settings!$B$23=Settings!$C$6,1,IF(Settings!$B$23="USD",1/INDEX(Settings!$B$29:$B$40,MONTH(A3532)),INDEX(Settings!$B$29:$B$40,MONTH(A3532)))))</f>
        <v/>
      </c>
    </row>
    <row r="3533" customFormat="false" ht="15" hidden="false" customHeight="false" outlineLevel="0" collapsed="false">
      <c r="H3533" s="0" t="str">
        <f aca="false">IF(B3533="","",IF(COUNTIF(Campaigns!$A$7:$A$300,B3533)&gt;0,"✓","⚠ add to Campaigns tab"))</f>
        <v/>
      </c>
      <c r="I3533" s="84" t="str">
        <f aca="false">IF(C3533="","",C3533*IF(Settings!$B$23=Settings!$C$6,1,IF(Settings!$B$23="USD",1/INDEX(Settings!$B$29:$B$40,MONTH(A3533)),INDEX(Settings!$B$29:$B$40,MONTH(A3533)))))</f>
        <v/>
      </c>
    </row>
    <row r="3534" customFormat="false" ht="15" hidden="false" customHeight="false" outlineLevel="0" collapsed="false">
      <c r="H3534" s="0" t="str">
        <f aca="false">IF(B3534="","",IF(COUNTIF(Campaigns!$A$7:$A$300,B3534)&gt;0,"✓","⚠ add to Campaigns tab"))</f>
        <v/>
      </c>
      <c r="I3534" s="84" t="str">
        <f aca="false">IF(C3534="","",C3534*IF(Settings!$B$23=Settings!$C$6,1,IF(Settings!$B$23="USD",1/INDEX(Settings!$B$29:$B$40,MONTH(A3534)),INDEX(Settings!$B$29:$B$40,MONTH(A3534)))))</f>
        <v/>
      </c>
    </row>
    <row r="3535" customFormat="false" ht="15" hidden="false" customHeight="false" outlineLevel="0" collapsed="false">
      <c r="H3535" s="0" t="str">
        <f aca="false">IF(B3535="","",IF(COUNTIF(Campaigns!$A$7:$A$300,B3535)&gt;0,"✓","⚠ add to Campaigns tab"))</f>
        <v/>
      </c>
      <c r="I3535" s="84" t="str">
        <f aca="false">IF(C3535="","",C3535*IF(Settings!$B$23=Settings!$C$6,1,IF(Settings!$B$23="USD",1/INDEX(Settings!$B$29:$B$40,MONTH(A3535)),INDEX(Settings!$B$29:$B$40,MONTH(A3535)))))</f>
        <v/>
      </c>
    </row>
    <row r="3536" customFormat="false" ht="15" hidden="false" customHeight="false" outlineLevel="0" collapsed="false">
      <c r="H3536" s="0" t="str">
        <f aca="false">IF(B3536="","",IF(COUNTIF(Campaigns!$A$7:$A$300,B3536)&gt;0,"✓","⚠ add to Campaigns tab"))</f>
        <v/>
      </c>
      <c r="I3536" s="84" t="str">
        <f aca="false">IF(C3536="","",C3536*IF(Settings!$B$23=Settings!$C$6,1,IF(Settings!$B$23="USD",1/INDEX(Settings!$B$29:$B$40,MONTH(A3536)),INDEX(Settings!$B$29:$B$40,MONTH(A3536)))))</f>
        <v/>
      </c>
    </row>
    <row r="3537" customFormat="false" ht="15" hidden="false" customHeight="false" outlineLevel="0" collapsed="false">
      <c r="H3537" s="0" t="str">
        <f aca="false">IF(B3537="","",IF(COUNTIF(Campaigns!$A$7:$A$300,B3537)&gt;0,"✓","⚠ add to Campaigns tab"))</f>
        <v/>
      </c>
      <c r="I3537" s="84" t="str">
        <f aca="false">IF(C3537="","",C3537*IF(Settings!$B$23=Settings!$C$6,1,IF(Settings!$B$23="USD",1/INDEX(Settings!$B$29:$B$40,MONTH(A3537)),INDEX(Settings!$B$29:$B$40,MONTH(A3537)))))</f>
        <v/>
      </c>
    </row>
    <row r="3538" customFormat="false" ht="15" hidden="false" customHeight="false" outlineLevel="0" collapsed="false">
      <c r="H3538" s="0" t="str">
        <f aca="false">IF(B3538="","",IF(COUNTIF(Campaigns!$A$7:$A$300,B3538)&gt;0,"✓","⚠ add to Campaigns tab"))</f>
        <v/>
      </c>
      <c r="I3538" s="84" t="str">
        <f aca="false">IF(C3538="","",C3538*IF(Settings!$B$23=Settings!$C$6,1,IF(Settings!$B$23="USD",1/INDEX(Settings!$B$29:$B$40,MONTH(A3538)),INDEX(Settings!$B$29:$B$40,MONTH(A3538)))))</f>
        <v/>
      </c>
    </row>
    <row r="3539" customFormat="false" ht="15" hidden="false" customHeight="false" outlineLevel="0" collapsed="false">
      <c r="H3539" s="0" t="str">
        <f aca="false">IF(B3539="","",IF(COUNTIF(Campaigns!$A$7:$A$300,B3539)&gt;0,"✓","⚠ add to Campaigns tab"))</f>
        <v/>
      </c>
      <c r="I3539" s="84" t="str">
        <f aca="false">IF(C3539="","",C3539*IF(Settings!$B$23=Settings!$C$6,1,IF(Settings!$B$23="USD",1/INDEX(Settings!$B$29:$B$40,MONTH(A3539)),INDEX(Settings!$B$29:$B$40,MONTH(A3539)))))</f>
        <v/>
      </c>
    </row>
    <row r="3540" customFormat="false" ht="15" hidden="false" customHeight="false" outlineLevel="0" collapsed="false">
      <c r="H3540" s="0" t="str">
        <f aca="false">IF(B3540="","",IF(COUNTIF(Campaigns!$A$7:$A$300,B3540)&gt;0,"✓","⚠ add to Campaigns tab"))</f>
        <v/>
      </c>
      <c r="I3540" s="84" t="str">
        <f aca="false">IF(C3540="","",C3540*IF(Settings!$B$23=Settings!$C$6,1,IF(Settings!$B$23="USD",1/INDEX(Settings!$B$29:$B$40,MONTH(A3540)),INDEX(Settings!$B$29:$B$40,MONTH(A3540)))))</f>
        <v/>
      </c>
    </row>
    <row r="3541" customFormat="false" ht="15" hidden="false" customHeight="false" outlineLevel="0" collapsed="false">
      <c r="H3541" s="0" t="str">
        <f aca="false">IF(B3541="","",IF(COUNTIF(Campaigns!$A$7:$A$300,B3541)&gt;0,"✓","⚠ add to Campaigns tab"))</f>
        <v/>
      </c>
      <c r="I3541" s="84" t="str">
        <f aca="false">IF(C3541="","",C3541*IF(Settings!$B$23=Settings!$C$6,1,IF(Settings!$B$23="USD",1/INDEX(Settings!$B$29:$B$40,MONTH(A3541)),INDEX(Settings!$B$29:$B$40,MONTH(A3541)))))</f>
        <v/>
      </c>
    </row>
    <row r="3542" customFormat="false" ht="15" hidden="false" customHeight="false" outlineLevel="0" collapsed="false">
      <c r="H3542" s="0" t="str">
        <f aca="false">IF(B3542="","",IF(COUNTIF(Campaigns!$A$7:$A$300,B3542)&gt;0,"✓","⚠ add to Campaigns tab"))</f>
        <v/>
      </c>
      <c r="I3542" s="84" t="str">
        <f aca="false">IF(C3542="","",C3542*IF(Settings!$B$23=Settings!$C$6,1,IF(Settings!$B$23="USD",1/INDEX(Settings!$B$29:$B$40,MONTH(A3542)),INDEX(Settings!$B$29:$B$40,MONTH(A3542)))))</f>
        <v/>
      </c>
    </row>
    <row r="3543" customFormat="false" ht="15" hidden="false" customHeight="false" outlineLevel="0" collapsed="false">
      <c r="H3543" s="0" t="str">
        <f aca="false">IF(B3543="","",IF(COUNTIF(Campaigns!$A$7:$A$300,B3543)&gt;0,"✓","⚠ add to Campaigns tab"))</f>
        <v/>
      </c>
      <c r="I3543" s="84" t="str">
        <f aca="false">IF(C3543="","",C3543*IF(Settings!$B$23=Settings!$C$6,1,IF(Settings!$B$23="USD",1/INDEX(Settings!$B$29:$B$40,MONTH(A3543)),INDEX(Settings!$B$29:$B$40,MONTH(A3543)))))</f>
        <v/>
      </c>
    </row>
    <row r="3544" customFormat="false" ht="15" hidden="false" customHeight="false" outlineLevel="0" collapsed="false">
      <c r="H3544" s="0" t="str">
        <f aca="false">IF(B3544="","",IF(COUNTIF(Campaigns!$A$7:$A$300,B3544)&gt;0,"✓","⚠ add to Campaigns tab"))</f>
        <v/>
      </c>
      <c r="I3544" s="84" t="str">
        <f aca="false">IF(C3544="","",C3544*IF(Settings!$B$23=Settings!$C$6,1,IF(Settings!$B$23="USD",1/INDEX(Settings!$B$29:$B$40,MONTH(A3544)),INDEX(Settings!$B$29:$B$40,MONTH(A3544)))))</f>
        <v/>
      </c>
    </row>
    <row r="3545" customFormat="false" ht="15" hidden="false" customHeight="false" outlineLevel="0" collapsed="false">
      <c r="H3545" s="0" t="str">
        <f aca="false">IF(B3545="","",IF(COUNTIF(Campaigns!$A$7:$A$300,B3545)&gt;0,"✓","⚠ add to Campaigns tab"))</f>
        <v/>
      </c>
      <c r="I3545" s="84" t="str">
        <f aca="false">IF(C3545="","",C3545*IF(Settings!$B$23=Settings!$C$6,1,IF(Settings!$B$23="USD",1/INDEX(Settings!$B$29:$B$40,MONTH(A3545)),INDEX(Settings!$B$29:$B$40,MONTH(A3545)))))</f>
        <v/>
      </c>
    </row>
    <row r="3546" customFormat="false" ht="15" hidden="false" customHeight="false" outlineLevel="0" collapsed="false">
      <c r="H3546" s="0" t="str">
        <f aca="false">IF(B3546="","",IF(COUNTIF(Campaigns!$A$7:$A$300,B3546)&gt;0,"✓","⚠ add to Campaigns tab"))</f>
        <v/>
      </c>
      <c r="I3546" s="84" t="str">
        <f aca="false">IF(C3546="","",C3546*IF(Settings!$B$23=Settings!$C$6,1,IF(Settings!$B$23="USD",1/INDEX(Settings!$B$29:$B$40,MONTH(A3546)),INDEX(Settings!$B$29:$B$40,MONTH(A3546)))))</f>
        <v/>
      </c>
    </row>
    <row r="3547" customFormat="false" ht="15" hidden="false" customHeight="false" outlineLevel="0" collapsed="false">
      <c r="H3547" s="0" t="str">
        <f aca="false">IF(B3547="","",IF(COUNTIF(Campaigns!$A$7:$A$300,B3547)&gt;0,"✓","⚠ add to Campaigns tab"))</f>
        <v/>
      </c>
      <c r="I3547" s="84" t="str">
        <f aca="false">IF(C3547="","",C3547*IF(Settings!$B$23=Settings!$C$6,1,IF(Settings!$B$23="USD",1/INDEX(Settings!$B$29:$B$40,MONTH(A3547)),INDEX(Settings!$B$29:$B$40,MONTH(A3547)))))</f>
        <v/>
      </c>
    </row>
    <row r="3548" customFormat="false" ht="15" hidden="false" customHeight="false" outlineLevel="0" collapsed="false">
      <c r="H3548" s="0" t="str">
        <f aca="false">IF(B3548="","",IF(COUNTIF(Campaigns!$A$7:$A$300,B3548)&gt;0,"✓","⚠ add to Campaigns tab"))</f>
        <v/>
      </c>
      <c r="I3548" s="84" t="str">
        <f aca="false">IF(C3548="","",C3548*IF(Settings!$B$23=Settings!$C$6,1,IF(Settings!$B$23="USD",1/INDEX(Settings!$B$29:$B$40,MONTH(A3548)),INDEX(Settings!$B$29:$B$40,MONTH(A3548)))))</f>
        <v/>
      </c>
    </row>
    <row r="3549" customFormat="false" ht="15" hidden="false" customHeight="false" outlineLevel="0" collapsed="false">
      <c r="H3549" s="0" t="str">
        <f aca="false">IF(B3549="","",IF(COUNTIF(Campaigns!$A$7:$A$300,B3549)&gt;0,"✓","⚠ add to Campaigns tab"))</f>
        <v/>
      </c>
      <c r="I3549" s="84" t="str">
        <f aca="false">IF(C3549="","",C3549*IF(Settings!$B$23=Settings!$C$6,1,IF(Settings!$B$23="USD",1/INDEX(Settings!$B$29:$B$40,MONTH(A3549)),INDEX(Settings!$B$29:$B$40,MONTH(A3549)))))</f>
        <v/>
      </c>
    </row>
    <row r="3550" customFormat="false" ht="15" hidden="false" customHeight="false" outlineLevel="0" collapsed="false">
      <c r="H3550" s="0" t="str">
        <f aca="false">IF(B3550="","",IF(COUNTIF(Campaigns!$A$7:$A$300,B3550)&gt;0,"✓","⚠ add to Campaigns tab"))</f>
        <v/>
      </c>
      <c r="I3550" s="84" t="str">
        <f aca="false">IF(C3550="","",C3550*IF(Settings!$B$23=Settings!$C$6,1,IF(Settings!$B$23="USD",1/INDEX(Settings!$B$29:$B$40,MONTH(A3550)),INDEX(Settings!$B$29:$B$40,MONTH(A3550)))))</f>
        <v/>
      </c>
    </row>
    <row r="3551" customFormat="false" ht="15" hidden="false" customHeight="false" outlineLevel="0" collapsed="false">
      <c r="H3551" s="0" t="str">
        <f aca="false">IF(B3551="","",IF(COUNTIF(Campaigns!$A$7:$A$300,B3551)&gt;0,"✓","⚠ add to Campaigns tab"))</f>
        <v/>
      </c>
      <c r="I3551" s="84" t="str">
        <f aca="false">IF(C3551="","",C3551*IF(Settings!$B$23=Settings!$C$6,1,IF(Settings!$B$23="USD",1/INDEX(Settings!$B$29:$B$40,MONTH(A3551)),INDEX(Settings!$B$29:$B$40,MONTH(A3551)))))</f>
        <v/>
      </c>
    </row>
    <row r="3552" customFormat="false" ht="15" hidden="false" customHeight="false" outlineLevel="0" collapsed="false">
      <c r="H3552" s="0" t="str">
        <f aca="false">IF(B3552="","",IF(COUNTIF(Campaigns!$A$7:$A$300,B3552)&gt;0,"✓","⚠ add to Campaigns tab"))</f>
        <v/>
      </c>
      <c r="I3552" s="84" t="str">
        <f aca="false">IF(C3552="","",C3552*IF(Settings!$B$23=Settings!$C$6,1,IF(Settings!$B$23="USD",1/INDEX(Settings!$B$29:$B$40,MONTH(A3552)),INDEX(Settings!$B$29:$B$40,MONTH(A3552)))))</f>
        <v/>
      </c>
    </row>
    <row r="3553" customFormat="false" ht="15" hidden="false" customHeight="false" outlineLevel="0" collapsed="false">
      <c r="H3553" s="0" t="str">
        <f aca="false">IF(B3553="","",IF(COUNTIF(Campaigns!$A$7:$A$300,B3553)&gt;0,"✓","⚠ add to Campaigns tab"))</f>
        <v/>
      </c>
      <c r="I3553" s="84" t="str">
        <f aca="false">IF(C3553="","",C3553*IF(Settings!$B$23=Settings!$C$6,1,IF(Settings!$B$23="USD",1/INDEX(Settings!$B$29:$B$40,MONTH(A3553)),INDEX(Settings!$B$29:$B$40,MONTH(A3553)))))</f>
        <v/>
      </c>
    </row>
    <row r="3554" customFormat="false" ht="15" hidden="false" customHeight="false" outlineLevel="0" collapsed="false">
      <c r="H3554" s="0" t="str">
        <f aca="false">IF(B3554="","",IF(COUNTIF(Campaigns!$A$7:$A$300,B3554)&gt;0,"✓","⚠ add to Campaigns tab"))</f>
        <v/>
      </c>
      <c r="I3554" s="84" t="str">
        <f aca="false">IF(C3554="","",C3554*IF(Settings!$B$23=Settings!$C$6,1,IF(Settings!$B$23="USD",1/INDEX(Settings!$B$29:$B$40,MONTH(A3554)),INDEX(Settings!$B$29:$B$40,MONTH(A3554)))))</f>
        <v/>
      </c>
    </row>
    <row r="3555" customFormat="false" ht="15" hidden="false" customHeight="false" outlineLevel="0" collapsed="false">
      <c r="H3555" s="0" t="str">
        <f aca="false">IF(B3555="","",IF(COUNTIF(Campaigns!$A$7:$A$300,B3555)&gt;0,"✓","⚠ add to Campaigns tab"))</f>
        <v/>
      </c>
      <c r="I3555" s="84" t="str">
        <f aca="false">IF(C3555="","",C3555*IF(Settings!$B$23=Settings!$C$6,1,IF(Settings!$B$23="USD",1/INDEX(Settings!$B$29:$B$40,MONTH(A3555)),INDEX(Settings!$B$29:$B$40,MONTH(A3555)))))</f>
        <v/>
      </c>
    </row>
    <row r="3556" customFormat="false" ht="15" hidden="false" customHeight="false" outlineLevel="0" collapsed="false">
      <c r="H3556" s="0" t="str">
        <f aca="false">IF(B3556="","",IF(COUNTIF(Campaigns!$A$7:$A$300,B3556)&gt;0,"✓","⚠ add to Campaigns tab"))</f>
        <v/>
      </c>
      <c r="I3556" s="84" t="str">
        <f aca="false">IF(C3556="","",C3556*IF(Settings!$B$23=Settings!$C$6,1,IF(Settings!$B$23="USD",1/INDEX(Settings!$B$29:$B$40,MONTH(A3556)),INDEX(Settings!$B$29:$B$40,MONTH(A3556)))))</f>
        <v/>
      </c>
    </row>
    <row r="3557" customFormat="false" ht="15" hidden="false" customHeight="false" outlineLevel="0" collapsed="false">
      <c r="H3557" s="0" t="str">
        <f aca="false">IF(B3557="","",IF(COUNTIF(Campaigns!$A$7:$A$300,B3557)&gt;0,"✓","⚠ add to Campaigns tab"))</f>
        <v/>
      </c>
      <c r="I3557" s="84" t="str">
        <f aca="false">IF(C3557="","",C3557*IF(Settings!$B$23=Settings!$C$6,1,IF(Settings!$B$23="USD",1/INDEX(Settings!$B$29:$B$40,MONTH(A3557)),INDEX(Settings!$B$29:$B$40,MONTH(A3557)))))</f>
        <v/>
      </c>
    </row>
    <row r="3558" customFormat="false" ht="15" hidden="false" customHeight="false" outlineLevel="0" collapsed="false">
      <c r="H3558" s="0" t="str">
        <f aca="false">IF(B3558="","",IF(COUNTIF(Campaigns!$A$7:$A$300,B3558)&gt;0,"✓","⚠ add to Campaigns tab"))</f>
        <v/>
      </c>
      <c r="I3558" s="84" t="str">
        <f aca="false">IF(C3558="","",C3558*IF(Settings!$B$23=Settings!$C$6,1,IF(Settings!$B$23="USD",1/INDEX(Settings!$B$29:$B$40,MONTH(A3558)),INDEX(Settings!$B$29:$B$40,MONTH(A3558)))))</f>
        <v/>
      </c>
    </row>
    <row r="3559" customFormat="false" ht="15" hidden="false" customHeight="false" outlineLevel="0" collapsed="false">
      <c r="H3559" s="0" t="str">
        <f aca="false">IF(B3559="","",IF(COUNTIF(Campaigns!$A$7:$A$300,B3559)&gt;0,"✓","⚠ add to Campaigns tab"))</f>
        <v/>
      </c>
      <c r="I3559" s="84" t="str">
        <f aca="false">IF(C3559="","",C3559*IF(Settings!$B$23=Settings!$C$6,1,IF(Settings!$B$23="USD",1/INDEX(Settings!$B$29:$B$40,MONTH(A3559)),INDEX(Settings!$B$29:$B$40,MONTH(A3559)))))</f>
        <v/>
      </c>
    </row>
    <row r="3560" customFormat="false" ht="15" hidden="false" customHeight="false" outlineLevel="0" collapsed="false">
      <c r="H3560" s="0" t="str">
        <f aca="false">IF(B3560="","",IF(COUNTIF(Campaigns!$A$7:$A$300,B3560)&gt;0,"✓","⚠ add to Campaigns tab"))</f>
        <v/>
      </c>
      <c r="I3560" s="84" t="str">
        <f aca="false">IF(C3560="","",C3560*IF(Settings!$B$23=Settings!$C$6,1,IF(Settings!$B$23="USD",1/INDEX(Settings!$B$29:$B$40,MONTH(A3560)),INDEX(Settings!$B$29:$B$40,MONTH(A3560)))))</f>
        <v/>
      </c>
    </row>
    <row r="3561" customFormat="false" ht="15" hidden="false" customHeight="false" outlineLevel="0" collapsed="false">
      <c r="H3561" s="0" t="str">
        <f aca="false">IF(B3561="","",IF(COUNTIF(Campaigns!$A$7:$A$300,B3561)&gt;0,"✓","⚠ add to Campaigns tab"))</f>
        <v/>
      </c>
      <c r="I3561" s="84" t="str">
        <f aca="false">IF(C3561="","",C3561*IF(Settings!$B$23=Settings!$C$6,1,IF(Settings!$B$23="USD",1/INDEX(Settings!$B$29:$B$40,MONTH(A3561)),INDEX(Settings!$B$29:$B$40,MONTH(A3561)))))</f>
        <v/>
      </c>
    </row>
    <row r="3562" customFormat="false" ht="15" hidden="false" customHeight="false" outlineLevel="0" collapsed="false">
      <c r="H3562" s="0" t="str">
        <f aca="false">IF(B3562="","",IF(COUNTIF(Campaigns!$A$7:$A$300,B3562)&gt;0,"✓","⚠ add to Campaigns tab"))</f>
        <v/>
      </c>
      <c r="I3562" s="84" t="str">
        <f aca="false">IF(C3562="","",C3562*IF(Settings!$B$23=Settings!$C$6,1,IF(Settings!$B$23="USD",1/INDEX(Settings!$B$29:$B$40,MONTH(A3562)),INDEX(Settings!$B$29:$B$40,MONTH(A3562)))))</f>
        <v/>
      </c>
    </row>
    <row r="3563" customFormat="false" ht="15" hidden="false" customHeight="false" outlineLevel="0" collapsed="false">
      <c r="H3563" s="0" t="str">
        <f aca="false">IF(B3563="","",IF(COUNTIF(Campaigns!$A$7:$A$300,B3563)&gt;0,"✓","⚠ add to Campaigns tab"))</f>
        <v/>
      </c>
      <c r="I3563" s="84" t="str">
        <f aca="false">IF(C3563="","",C3563*IF(Settings!$B$23=Settings!$C$6,1,IF(Settings!$B$23="USD",1/INDEX(Settings!$B$29:$B$40,MONTH(A3563)),INDEX(Settings!$B$29:$B$40,MONTH(A3563)))))</f>
        <v/>
      </c>
    </row>
    <row r="3564" customFormat="false" ht="15" hidden="false" customHeight="false" outlineLevel="0" collapsed="false">
      <c r="H3564" s="0" t="str">
        <f aca="false">IF(B3564="","",IF(COUNTIF(Campaigns!$A$7:$A$300,B3564)&gt;0,"✓","⚠ add to Campaigns tab"))</f>
        <v/>
      </c>
      <c r="I3564" s="84" t="str">
        <f aca="false">IF(C3564="","",C3564*IF(Settings!$B$23=Settings!$C$6,1,IF(Settings!$B$23="USD",1/INDEX(Settings!$B$29:$B$40,MONTH(A3564)),INDEX(Settings!$B$29:$B$40,MONTH(A3564)))))</f>
        <v/>
      </c>
    </row>
    <row r="3565" customFormat="false" ht="15" hidden="false" customHeight="false" outlineLevel="0" collapsed="false">
      <c r="H3565" s="0" t="str">
        <f aca="false">IF(B3565="","",IF(COUNTIF(Campaigns!$A$7:$A$300,B3565)&gt;0,"✓","⚠ add to Campaigns tab"))</f>
        <v/>
      </c>
      <c r="I3565" s="84" t="str">
        <f aca="false">IF(C3565="","",C3565*IF(Settings!$B$23=Settings!$C$6,1,IF(Settings!$B$23="USD",1/INDEX(Settings!$B$29:$B$40,MONTH(A3565)),INDEX(Settings!$B$29:$B$40,MONTH(A3565)))))</f>
        <v/>
      </c>
    </row>
    <row r="3566" customFormat="false" ht="15" hidden="false" customHeight="false" outlineLevel="0" collapsed="false">
      <c r="H3566" s="0" t="str">
        <f aca="false">IF(B3566="","",IF(COUNTIF(Campaigns!$A$7:$A$300,B3566)&gt;0,"✓","⚠ add to Campaigns tab"))</f>
        <v/>
      </c>
      <c r="I3566" s="84" t="str">
        <f aca="false">IF(C3566="","",C3566*IF(Settings!$B$23=Settings!$C$6,1,IF(Settings!$B$23="USD",1/INDEX(Settings!$B$29:$B$40,MONTH(A3566)),INDEX(Settings!$B$29:$B$40,MONTH(A3566)))))</f>
        <v/>
      </c>
    </row>
    <row r="3567" customFormat="false" ht="15" hidden="false" customHeight="false" outlineLevel="0" collapsed="false">
      <c r="H3567" s="0" t="str">
        <f aca="false">IF(B3567="","",IF(COUNTIF(Campaigns!$A$7:$A$300,B3567)&gt;0,"✓","⚠ add to Campaigns tab"))</f>
        <v/>
      </c>
      <c r="I3567" s="84" t="str">
        <f aca="false">IF(C3567="","",C3567*IF(Settings!$B$23=Settings!$C$6,1,IF(Settings!$B$23="USD",1/INDEX(Settings!$B$29:$B$40,MONTH(A3567)),INDEX(Settings!$B$29:$B$40,MONTH(A3567)))))</f>
        <v/>
      </c>
    </row>
    <row r="3568" customFormat="false" ht="15" hidden="false" customHeight="false" outlineLevel="0" collapsed="false">
      <c r="H3568" s="0" t="str">
        <f aca="false">IF(B3568="","",IF(COUNTIF(Campaigns!$A$7:$A$300,B3568)&gt;0,"✓","⚠ add to Campaigns tab"))</f>
        <v/>
      </c>
      <c r="I3568" s="84" t="str">
        <f aca="false">IF(C3568="","",C3568*IF(Settings!$B$23=Settings!$C$6,1,IF(Settings!$B$23="USD",1/INDEX(Settings!$B$29:$B$40,MONTH(A3568)),INDEX(Settings!$B$29:$B$40,MONTH(A3568)))))</f>
        <v/>
      </c>
    </row>
    <row r="3569" customFormat="false" ht="15" hidden="false" customHeight="false" outlineLevel="0" collapsed="false">
      <c r="H3569" s="0" t="str">
        <f aca="false">IF(B3569="","",IF(COUNTIF(Campaigns!$A$7:$A$300,B3569)&gt;0,"✓","⚠ add to Campaigns tab"))</f>
        <v/>
      </c>
      <c r="I3569" s="84" t="str">
        <f aca="false">IF(C3569="","",C3569*IF(Settings!$B$23=Settings!$C$6,1,IF(Settings!$B$23="USD",1/INDEX(Settings!$B$29:$B$40,MONTH(A3569)),INDEX(Settings!$B$29:$B$40,MONTH(A3569)))))</f>
        <v/>
      </c>
    </row>
    <row r="3570" customFormat="false" ht="15" hidden="false" customHeight="false" outlineLevel="0" collapsed="false">
      <c r="H3570" s="0" t="str">
        <f aca="false">IF(B3570="","",IF(COUNTIF(Campaigns!$A$7:$A$300,B3570)&gt;0,"✓","⚠ add to Campaigns tab"))</f>
        <v/>
      </c>
      <c r="I3570" s="84" t="str">
        <f aca="false">IF(C3570="","",C3570*IF(Settings!$B$23=Settings!$C$6,1,IF(Settings!$B$23="USD",1/INDEX(Settings!$B$29:$B$40,MONTH(A3570)),INDEX(Settings!$B$29:$B$40,MONTH(A3570)))))</f>
        <v/>
      </c>
    </row>
    <row r="3571" customFormat="false" ht="15" hidden="false" customHeight="false" outlineLevel="0" collapsed="false">
      <c r="H3571" s="0" t="str">
        <f aca="false">IF(B3571="","",IF(COUNTIF(Campaigns!$A$7:$A$300,B3571)&gt;0,"✓","⚠ add to Campaigns tab"))</f>
        <v/>
      </c>
      <c r="I3571" s="84" t="str">
        <f aca="false">IF(C3571="","",C3571*IF(Settings!$B$23=Settings!$C$6,1,IF(Settings!$B$23="USD",1/INDEX(Settings!$B$29:$B$40,MONTH(A3571)),INDEX(Settings!$B$29:$B$40,MONTH(A3571)))))</f>
        <v/>
      </c>
    </row>
    <row r="3572" customFormat="false" ht="15" hidden="false" customHeight="false" outlineLevel="0" collapsed="false">
      <c r="H3572" s="0" t="str">
        <f aca="false">IF(B3572="","",IF(COUNTIF(Campaigns!$A$7:$A$300,B3572)&gt;0,"✓","⚠ add to Campaigns tab"))</f>
        <v/>
      </c>
      <c r="I3572" s="84" t="str">
        <f aca="false">IF(C3572="","",C3572*IF(Settings!$B$23=Settings!$C$6,1,IF(Settings!$B$23="USD",1/INDEX(Settings!$B$29:$B$40,MONTH(A3572)),INDEX(Settings!$B$29:$B$40,MONTH(A3572)))))</f>
        <v/>
      </c>
    </row>
    <row r="3573" customFormat="false" ht="15" hidden="false" customHeight="false" outlineLevel="0" collapsed="false">
      <c r="H3573" s="0" t="str">
        <f aca="false">IF(B3573="","",IF(COUNTIF(Campaigns!$A$7:$A$300,B3573)&gt;0,"✓","⚠ add to Campaigns tab"))</f>
        <v/>
      </c>
      <c r="I3573" s="84" t="str">
        <f aca="false">IF(C3573="","",C3573*IF(Settings!$B$23=Settings!$C$6,1,IF(Settings!$B$23="USD",1/INDEX(Settings!$B$29:$B$40,MONTH(A3573)),INDEX(Settings!$B$29:$B$40,MONTH(A3573)))))</f>
        <v/>
      </c>
    </row>
    <row r="3574" customFormat="false" ht="15" hidden="false" customHeight="false" outlineLevel="0" collapsed="false">
      <c r="H3574" s="0" t="str">
        <f aca="false">IF(B3574="","",IF(COUNTIF(Campaigns!$A$7:$A$300,B3574)&gt;0,"✓","⚠ add to Campaigns tab"))</f>
        <v/>
      </c>
      <c r="I3574" s="84" t="str">
        <f aca="false">IF(C3574="","",C3574*IF(Settings!$B$23=Settings!$C$6,1,IF(Settings!$B$23="USD",1/INDEX(Settings!$B$29:$B$40,MONTH(A3574)),INDEX(Settings!$B$29:$B$40,MONTH(A3574)))))</f>
        <v/>
      </c>
    </row>
    <row r="3575" customFormat="false" ht="15" hidden="false" customHeight="false" outlineLevel="0" collapsed="false">
      <c r="H3575" s="0" t="str">
        <f aca="false">IF(B3575="","",IF(COUNTIF(Campaigns!$A$7:$A$300,B3575)&gt;0,"✓","⚠ add to Campaigns tab"))</f>
        <v/>
      </c>
      <c r="I3575" s="84" t="str">
        <f aca="false">IF(C3575="","",C3575*IF(Settings!$B$23=Settings!$C$6,1,IF(Settings!$B$23="USD",1/INDEX(Settings!$B$29:$B$40,MONTH(A3575)),INDEX(Settings!$B$29:$B$40,MONTH(A3575)))))</f>
        <v/>
      </c>
    </row>
    <row r="3576" customFormat="false" ht="15" hidden="false" customHeight="false" outlineLevel="0" collapsed="false">
      <c r="H3576" s="0" t="str">
        <f aca="false">IF(B3576="","",IF(COUNTIF(Campaigns!$A$7:$A$300,B3576)&gt;0,"✓","⚠ add to Campaigns tab"))</f>
        <v/>
      </c>
      <c r="I3576" s="84" t="str">
        <f aca="false">IF(C3576="","",C3576*IF(Settings!$B$23=Settings!$C$6,1,IF(Settings!$B$23="USD",1/INDEX(Settings!$B$29:$B$40,MONTH(A3576)),INDEX(Settings!$B$29:$B$40,MONTH(A3576)))))</f>
        <v/>
      </c>
    </row>
    <row r="3577" customFormat="false" ht="15" hidden="false" customHeight="false" outlineLevel="0" collapsed="false">
      <c r="H3577" s="0" t="str">
        <f aca="false">IF(B3577="","",IF(COUNTIF(Campaigns!$A$7:$A$300,B3577)&gt;0,"✓","⚠ add to Campaigns tab"))</f>
        <v/>
      </c>
      <c r="I3577" s="84" t="str">
        <f aca="false">IF(C3577="","",C3577*IF(Settings!$B$23=Settings!$C$6,1,IF(Settings!$B$23="USD",1/INDEX(Settings!$B$29:$B$40,MONTH(A3577)),INDEX(Settings!$B$29:$B$40,MONTH(A3577)))))</f>
        <v/>
      </c>
    </row>
    <row r="3578" customFormat="false" ht="15" hidden="false" customHeight="false" outlineLevel="0" collapsed="false">
      <c r="H3578" s="0" t="str">
        <f aca="false">IF(B3578="","",IF(COUNTIF(Campaigns!$A$7:$A$300,B3578)&gt;0,"✓","⚠ add to Campaigns tab"))</f>
        <v/>
      </c>
      <c r="I3578" s="84" t="str">
        <f aca="false">IF(C3578="","",C3578*IF(Settings!$B$23=Settings!$C$6,1,IF(Settings!$B$23="USD",1/INDEX(Settings!$B$29:$B$40,MONTH(A3578)),INDEX(Settings!$B$29:$B$40,MONTH(A3578)))))</f>
        <v/>
      </c>
    </row>
    <row r="3579" customFormat="false" ht="15" hidden="false" customHeight="false" outlineLevel="0" collapsed="false">
      <c r="H3579" s="0" t="str">
        <f aca="false">IF(B3579="","",IF(COUNTIF(Campaigns!$A$7:$A$300,B3579)&gt;0,"✓","⚠ add to Campaigns tab"))</f>
        <v/>
      </c>
      <c r="I3579" s="84" t="str">
        <f aca="false">IF(C3579="","",C3579*IF(Settings!$B$23=Settings!$C$6,1,IF(Settings!$B$23="USD",1/INDEX(Settings!$B$29:$B$40,MONTH(A3579)),INDEX(Settings!$B$29:$B$40,MONTH(A3579)))))</f>
        <v/>
      </c>
    </row>
    <row r="3580" customFormat="false" ht="15" hidden="false" customHeight="false" outlineLevel="0" collapsed="false">
      <c r="H3580" s="0" t="str">
        <f aca="false">IF(B3580="","",IF(COUNTIF(Campaigns!$A$7:$A$300,B3580)&gt;0,"✓","⚠ add to Campaigns tab"))</f>
        <v/>
      </c>
      <c r="I3580" s="84" t="str">
        <f aca="false">IF(C3580="","",C3580*IF(Settings!$B$23=Settings!$C$6,1,IF(Settings!$B$23="USD",1/INDEX(Settings!$B$29:$B$40,MONTH(A3580)),INDEX(Settings!$B$29:$B$40,MONTH(A3580)))))</f>
        <v/>
      </c>
    </row>
    <row r="3581" customFormat="false" ht="15" hidden="false" customHeight="false" outlineLevel="0" collapsed="false">
      <c r="H3581" s="0" t="str">
        <f aca="false">IF(B3581="","",IF(COUNTIF(Campaigns!$A$7:$A$300,B3581)&gt;0,"✓","⚠ add to Campaigns tab"))</f>
        <v/>
      </c>
      <c r="I3581" s="84" t="str">
        <f aca="false">IF(C3581="","",C3581*IF(Settings!$B$23=Settings!$C$6,1,IF(Settings!$B$23="USD",1/INDEX(Settings!$B$29:$B$40,MONTH(A3581)),INDEX(Settings!$B$29:$B$40,MONTH(A3581)))))</f>
        <v/>
      </c>
    </row>
    <row r="3582" customFormat="false" ht="15" hidden="false" customHeight="false" outlineLevel="0" collapsed="false">
      <c r="H3582" s="0" t="str">
        <f aca="false">IF(B3582="","",IF(COUNTIF(Campaigns!$A$7:$A$300,B3582)&gt;0,"✓","⚠ add to Campaigns tab"))</f>
        <v/>
      </c>
      <c r="I3582" s="84" t="str">
        <f aca="false">IF(C3582="","",C3582*IF(Settings!$B$23=Settings!$C$6,1,IF(Settings!$B$23="USD",1/INDEX(Settings!$B$29:$B$40,MONTH(A3582)),INDEX(Settings!$B$29:$B$40,MONTH(A3582)))))</f>
        <v/>
      </c>
    </row>
    <row r="3583" customFormat="false" ht="15" hidden="false" customHeight="false" outlineLevel="0" collapsed="false">
      <c r="H3583" s="0" t="str">
        <f aca="false">IF(B3583="","",IF(COUNTIF(Campaigns!$A$7:$A$300,B3583)&gt;0,"✓","⚠ add to Campaigns tab"))</f>
        <v/>
      </c>
      <c r="I3583" s="84" t="str">
        <f aca="false">IF(C3583="","",C3583*IF(Settings!$B$23=Settings!$C$6,1,IF(Settings!$B$23="USD",1/INDEX(Settings!$B$29:$B$40,MONTH(A3583)),INDEX(Settings!$B$29:$B$40,MONTH(A3583)))))</f>
        <v/>
      </c>
    </row>
    <row r="3584" customFormat="false" ht="15" hidden="false" customHeight="false" outlineLevel="0" collapsed="false">
      <c r="H3584" s="0" t="str">
        <f aca="false">IF(B3584="","",IF(COUNTIF(Campaigns!$A$7:$A$300,B3584)&gt;0,"✓","⚠ add to Campaigns tab"))</f>
        <v/>
      </c>
      <c r="I3584" s="84" t="str">
        <f aca="false">IF(C3584="","",C3584*IF(Settings!$B$23=Settings!$C$6,1,IF(Settings!$B$23="USD",1/INDEX(Settings!$B$29:$B$40,MONTH(A3584)),INDEX(Settings!$B$29:$B$40,MONTH(A3584)))))</f>
        <v/>
      </c>
    </row>
    <row r="3585" customFormat="false" ht="15" hidden="false" customHeight="false" outlineLevel="0" collapsed="false">
      <c r="H3585" s="0" t="str">
        <f aca="false">IF(B3585="","",IF(COUNTIF(Campaigns!$A$7:$A$300,B3585)&gt;0,"✓","⚠ add to Campaigns tab"))</f>
        <v/>
      </c>
      <c r="I3585" s="84" t="str">
        <f aca="false">IF(C3585="","",C3585*IF(Settings!$B$23=Settings!$C$6,1,IF(Settings!$B$23="USD",1/INDEX(Settings!$B$29:$B$40,MONTH(A3585)),INDEX(Settings!$B$29:$B$40,MONTH(A3585)))))</f>
        <v/>
      </c>
    </row>
    <row r="3586" customFormat="false" ht="15" hidden="false" customHeight="false" outlineLevel="0" collapsed="false">
      <c r="H3586" s="0" t="str">
        <f aca="false">IF(B3586="","",IF(COUNTIF(Campaigns!$A$7:$A$300,B3586)&gt;0,"✓","⚠ add to Campaigns tab"))</f>
        <v/>
      </c>
      <c r="I3586" s="84" t="str">
        <f aca="false">IF(C3586="","",C3586*IF(Settings!$B$23=Settings!$C$6,1,IF(Settings!$B$23="USD",1/INDEX(Settings!$B$29:$B$40,MONTH(A3586)),INDEX(Settings!$B$29:$B$40,MONTH(A3586)))))</f>
        <v/>
      </c>
    </row>
    <row r="3587" customFormat="false" ht="15" hidden="false" customHeight="false" outlineLevel="0" collapsed="false">
      <c r="H3587" s="0" t="str">
        <f aca="false">IF(B3587="","",IF(COUNTIF(Campaigns!$A$7:$A$300,B3587)&gt;0,"✓","⚠ add to Campaigns tab"))</f>
        <v/>
      </c>
      <c r="I3587" s="84" t="str">
        <f aca="false">IF(C3587="","",C3587*IF(Settings!$B$23=Settings!$C$6,1,IF(Settings!$B$23="USD",1/INDEX(Settings!$B$29:$B$40,MONTH(A3587)),INDEX(Settings!$B$29:$B$40,MONTH(A3587)))))</f>
        <v/>
      </c>
    </row>
    <row r="3588" customFormat="false" ht="15" hidden="false" customHeight="false" outlineLevel="0" collapsed="false">
      <c r="H3588" s="0" t="str">
        <f aca="false">IF(B3588="","",IF(COUNTIF(Campaigns!$A$7:$A$300,B3588)&gt;0,"✓","⚠ add to Campaigns tab"))</f>
        <v/>
      </c>
      <c r="I3588" s="84" t="str">
        <f aca="false">IF(C3588="","",C3588*IF(Settings!$B$23=Settings!$C$6,1,IF(Settings!$B$23="USD",1/INDEX(Settings!$B$29:$B$40,MONTH(A3588)),INDEX(Settings!$B$29:$B$40,MONTH(A3588)))))</f>
        <v/>
      </c>
    </row>
    <row r="3589" customFormat="false" ht="15" hidden="false" customHeight="false" outlineLevel="0" collapsed="false">
      <c r="H3589" s="0" t="str">
        <f aca="false">IF(B3589="","",IF(COUNTIF(Campaigns!$A$7:$A$300,B3589)&gt;0,"✓","⚠ add to Campaigns tab"))</f>
        <v/>
      </c>
      <c r="I3589" s="84" t="str">
        <f aca="false">IF(C3589="","",C3589*IF(Settings!$B$23=Settings!$C$6,1,IF(Settings!$B$23="USD",1/INDEX(Settings!$B$29:$B$40,MONTH(A3589)),INDEX(Settings!$B$29:$B$40,MONTH(A3589)))))</f>
        <v/>
      </c>
    </row>
    <row r="3590" customFormat="false" ht="15" hidden="false" customHeight="false" outlineLevel="0" collapsed="false">
      <c r="H3590" s="0" t="str">
        <f aca="false">IF(B3590="","",IF(COUNTIF(Campaigns!$A$7:$A$300,B3590)&gt;0,"✓","⚠ add to Campaigns tab"))</f>
        <v/>
      </c>
      <c r="I3590" s="84" t="str">
        <f aca="false">IF(C3590="","",C3590*IF(Settings!$B$23=Settings!$C$6,1,IF(Settings!$B$23="USD",1/INDEX(Settings!$B$29:$B$40,MONTH(A3590)),INDEX(Settings!$B$29:$B$40,MONTH(A3590)))))</f>
        <v/>
      </c>
    </row>
    <row r="3591" customFormat="false" ht="15" hidden="false" customHeight="false" outlineLevel="0" collapsed="false">
      <c r="H3591" s="0" t="str">
        <f aca="false">IF(B3591="","",IF(COUNTIF(Campaigns!$A$7:$A$300,B3591)&gt;0,"✓","⚠ add to Campaigns tab"))</f>
        <v/>
      </c>
      <c r="I3591" s="84" t="str">
        <f aca="false">IF(C3591="","",C3591*IF(Settings!$B$23=Settings!$C$6,1,IF(Settings!$B$23="USD",1/INDEX(Settings!$B$29:$B$40,MONTH(A3591)),INDEX(Settings!$B$29:$B$40,MONTH(A3591)))))</f>
        <v/>
      </c>
    </row>
    <row r="3592" customFormat="false" ht="15" hidden="false" customHeight="false" outlineLevel="0" collapsed="false">
      <c r="H3592" s="0" t="str">
        <f aca="false">IF(B3592="","",IF(COUNTIF(Campaigns!$A$7:$A$300,B3592)&gt;0,"✓","⚠ add to Campaigns tab"))</f>
        <v/>
      </c>
      <c r="I3592" s="84" t="str">
        <f aca="false">IF(C3592="","",C3592*IF(Settings!$B$23=Settings!$C$6,1,IF(Settings!$B$23="USD",1/INDEX(Settings!$B$29:$B$40,MONTH(A3592)),INDEX(Settings!$B$29:$B$40,MONTH(A3592)))))</f>
        <v/>
      </c>
    </row>
    <row r="3593" customFormat="false" ht="15" hidden="false" customHeight="false" outlineLevel="0" collapsed="false">
      <c r="H3593" s="0" t="str">
        <f aca="false">IF(B3593="","",IF(COUNTIF(Campaigns!$A$7:$A$300,B3593)&gt;0,"✓","⚠ add to Campaigns tab"))</f>
        <v/>
      </c>
      <c r="I3593" s="84" t="str">
        <f aca="false">IF(C3593="","",C3593*IF(Settings!$B$23=Settings!$C$6,1,IF(Settings!$B$23="USD",1/INDEX(Settings!$B$29:$B$40,MONTH(A3593)),INDEX(Settings!$B$29:$B$40,MONTH(A3593)))))</f>
        <v/>
      </c>
    </row>
    <row r="3594" customFormat="false" ht="15" hidden="false" customHeight="false" outlineLevel="0" collapsed="false">
      <c r="H3594" s="0" t="str">
        <f aca="false">IF(B3594="","",IF(COUNTIF(Campaigns!$A$7:$A$300,B3594)&gt;0,"✓","⚠ add to Campaigns tab"))</f>
        <v/>
      </c>
      <c r="I3594" s="84" t="str">
        <f aca="false">IF(C3594="","",C3594*IF(Settings!$B$23=Settings!$C$6,1,IF(Settings!$B$23="USD",1/INDEX(Settings!$B$29:$B$40,MONTH(A3594)),INDEX(Settings!$B$29:$B$40,MONTH(A3594)))))</f>
        <v/>
      </c>
    </row>
    <row r="3595" customFormat="false" ht="15" hidden="false" customHeight="false" outlineLevel="0" collapsed="false">
      <c r="H3595" s="0" t="str">
        <f aca="false">IF(B3595="","",IF(COUNTIF(Campaigns!$A$7:$A$300,B3595)&gt;0,"✓","⚠ add to Campaigns tab"))</f>
        <v/>
      </c>
      <c r="I3595" s="84" t="str">
        <f aca="false">IF(C3595="","",C3595*IF(Settings!$B$23=Settings!$C$6,1,IF(Settings!$B$23="USD",1/INDEX(Settings!$B$29:$B$40,MONTH(A3595)),INDEX(Settings!$B$29:$B$40,MONTH(A3595)))))</f>
        <v/>
      </c>
    </row>
    <row r="3596" customFormat="false" ht="15" hidden="false" customHeight="false" outlineLevel="0" collapsed="false">
      <c r="H3596" s="0" t="str">
        <f aca="false">IF(B3596="","",IF(COUNTIF(Campaigns!$A$7:$A$300,B3596)&gt;0,"✓","⚠ add to Campaigns tab"))</f>
        <v/>
      </c>
      <c r="I3596" s="84" t="str">
        <f aca="false">IF(C3596="","",C3596*IF(Settings!$B$23=Settings!$C$6,1,IF(Settings!$B$23="USD",1/INDEX(Settings!$B$29:$B$40,MONTH(A3596)),INDEX(Settings!$B$29:$B$40,MONTH(A3596)))))</f>
        <v/>
      </c>
    </row>
    <row r="3597" customFormat="false" ht="15" hidden="false" customHeight="false" outlineLevel="0" collapsed="false">
      <c r="H3597" s="0" t="str">
        <f aca="false">IF(B3597="","",IF(COUNTIF(Campaigns!$A$7:$A$300,B3597)&gt;0,"✓","⚠ add to Campaigns tab"))</f>
        <v/>
      </c>
      <c r="I3597" s="84" t="str">
        <f aca="false">IF(C3597="","",C3597*IF(Settings!$B$23=Settings!$C$6,1,IF(Settings!$B$23="USD",1/INDEX(Settings!$B$29:$B$40,MONTH(A3597)),INDEX(Settings!$B$29:$B$40,MONTH(A3597)))))</f>
        <v/>
      </c>
    </row>
    <row r="3598" customFormat="false" ht="15" hidden="false" customHeight="false" outlineLevel="0" collapsed="false">
      <c r="H3598" s="0" t="str">
        <f aca="false">IF(B3598="","",IF(COUNTIF(Campaigns!$A$7:$A$300,B3598)&gt;0,"✓","⚠ add to Campaigns tab"))</f>
        <v/>
      </c>
      <c r="I3598" s="84" t="str">
        <f aca="false">IF(C3598="","",C3598*IF(Settings!$B$23=Settings!$C$6,1,IF(Settings!$B$23="USD",1/INDEX(Settings!$B$29:$B$40,MONTH(A3598)),INDEX(Settings!$B$29:$B$40,MONTH(A3598)))))</f>
        <v/>
      </c>
    </row>
    <row r="3599" customFormat="false" ht="15" hidden="false" customHeight="false" outlineLevel="0" collapsed="false">
      <c r="H3599" s="0" t="str">
        <f aca="false">IF(B3599="","",IF(COUNTIF(Campaigns!$A$7:$A$300,B3599)&gt;0,"✓","⚠ add to Campaigns tab"))</f>
        <v/>
      </c>
      <c r="I3599" s="84" t="str">
        <f aca="false">IF(C3599="","",C3599*IF(Settings!$B$23=Settings!$C$6,1,IF(Settings!$B$23="USD",1/INDEX(Settings!$B$29:$B$40,MONTH(A3599)),INDEX(Settings!$B$29:$B$40,MONTH(A3599)))))</f>
        <v/>
      </c>
    </row>
    <row r="3600" customFormat="false" ht="15" hidden="false" customHeight="false" outlineLevel="0" collapsed="false">
      <c r="H3600" s="0" t="str">
        <f aca="false">IF(B3600="","",IF(COUNTIF(Campaigns!$A$7:$A$300,B3600)&gt;0,"✓","⚠ add to Campaigns tab"))</f>
        <v/>
      </c>
      <c r="I3600" s="84" t="str">
        <f aca="false">IF(C3600="","",C3600*IF(Settings!$B$23=Settings!$C$6,1,IF(Settings!$B$23="USD",1/INDEX(Settings!$B$29:$B$40,MONTH(A3600)),INDEX(Settings!$B$29:$B$40,MONTH(A3600)))))</f>
        <v/>
      </c>
    </row>
    <row r="3601" customFormat="false" ht="15" hidden="false" customHeight="false" outlineLevel="0" collapsed="false">
      <c r="H3601" s="0" t="str">
        <f aca="false">IF(B3601="","",IF(COUNTIF(Campaigns!$A$7:$A$300,B3601)&gt;0,"✓","⚠ add to Campaigns tab"))</f>
        <v/>
      </c>
      <c r="I3601" s="84" t="str">
        <f aca="false">IF(C3601="","",C3601*IF(Settings!$B$23=Settings!$C$6,1,IF(Settings!$B$23="USD",1/INDEX(Settings!$B$29:$B$40,MONTH(A3601)),INDEX(Settings!$B$29:$B$40,MONTH(A3601)))))</f>
        <v/>
      </c>
    </row>
    <row r="3602" customFormat="false" ht="15" hidden="false" customHeight="false" outlineLevel="0" collapsed="false">
      <c r="H3602" s="0" t="str">
        <f aca="false">IF(B3602="","",IF(COUNTIF(Campaigns!$A$7:$A$300,B3602)&gt;0,"✓","⚠ add to Campaigns tab"))</f>
        <v/>
      </c>
      <c r="I3602" s="84" t="str">
        <f aca="false">IF(C3602="","",C3602*IF(Settings!$B$23=Settings!$C$6,1,IF(Settings!$B$23="USD",1/INDEX(Settings!$B$29:$B$40,MONTH(A3602)),INDEX(Settings!$B$29:$B$40,MONTH(A3602)))))</f>
        <v/>
      </c>
    </row>
    <row r="3603" customFormat="false" ht="15" hidden="false" customHeight="false" outlineLevel="0" collapsed="false">
      <c r="H3603" s="0" t="str">
        <f aca="false">IF(B3603="","",IF(COUNTIF(Campaigns!$A$7:$A$300,B3603)&gt;0,"✓","⚠ add to Campaigns tab"))</f>
        <v/>
      </c>
      <c r="I3603" s="84" t="str">
        <f aca="false">IF(C3603="","",C3603*IF(Settings!$B$23=Settings!$C$6,1,IF(Settings!$B$23="USD",1/INDEX(Settings!$B$29:$B$40,MONTH(A3603)),INDEX(Settings!$B$29:$B$40,MONTH(A3603)))))</f>
        <v/>
      </c>
    </row>
    <row r="3604" customFormat="false" ht="15" hidden="false" customHeight="false" outlineLevel="0" collapsed="false">
      <c r="H3604" s="0" t="str">
        <f aca="false">IF(B3604="","",IF(COUNTIF(Campaigns!$A$7:$A$300,B3604)&gt;0,"✓","⚠ add to Campaigns tab"))</f>
        <v/>
      </c>
      <c r="I3604" s="84" t="str">
        <f aca="false">IF(C3604="","",C3604*IF(Settings!$B$23=Settings!$C$6,1,IF(Settings!$B$23="USD",1/INDEX(Settings!$B$29:$B$40,MONTH(A3604)),INDEX(Settings!$B$29:$B$40,MONTH(A3604)))))</f>
        <v/>
      </c>
    </row>
    <row r="3605" customFormat="false" ht="15" hidden="false" customHeight="false" outlineLevel="0" collapsed="false">
      <c r="H3605" s="0" t="str">
        <f aca="false">IF(B3605="","",IF(COUNTIF(Campaigns!$A$7:$A$300,B3605)&gt;0,"✓","⚠ add to Campaigns tab"))</f>
        <v/>
      </c>
      <c r="I3605" s="84" t="str">
        <f aca="false">IF(C3605="","",C3605*IF(Settings!$B$23=Settings!$C$6,1,IF(Settings!$B$23="USD",1/INDEX(Settings!$B$29:$B$40,MONTH(A3605)),INDEX(Settings!$B$29:$B$40,MONTH(A3605)))))</f>
        <v/>
      </c>
    </row>
    <row r="3606" customFormat="false" ht="15" hidden="false" customHeight="false" outlineLevel="0" collapsed="false">
      <c r="H3606" s="0" t="str">
        <f aca="false">IF(B3606="","",IF(COUNTIF(Campaigns!$A$7:$A$300,B3606)&gt;0,"✓","⚠ add to Campaigns tab"))</f>
        <v/>
      </c>
      <c r="I3606" s="84" t="str">
        <f aca="false">IF(C3606="","",C3606*IF(Settings!$B$23=Settings!$C$6,1,IF(Settings!$B$23="USD",1/INDEX(Settings!$B$29:$B$40,MONTH(A3606)),INDEX(Settings!$B$29:$B$40,MONTH(A3606)))))</f>
        <v/>
      </c>
    </row>
    <row r="3607" customFormat="false" ht="15" hidden="false" customHeight="false" outlineLevel="0" collapsed="false">
      <c r="H3607" s="0" t="str">
        <f aca="false">IF(B3607="","",IF(COUNTIF(Campaigns!$A$7:$A$300,B3607)&gt;0,"✓","⚠ add to Campaigns tab"))</f>
        <v/>
      </c>
      <c r="I3607" s="84" t="str">
        <f aca="false">IF(C3607="","",C3607*IF(Settings!$B$23=Settings!$C$6,1,IF(Settings!$B$23="USD",1/INDEX(Settings!$B$29:$B$40,MONTH(A3607)),INDEX(Settings!$B$29:$B$40,MONTH(A3607)))))</f>
        <v/>
      </c>
    </row>
    <row r="3608" customFormat="false" ht="15" hidden="false" customHeight="false" outlineLevel="0" collapsed="false">
      <c r="H3608" s="0" t="str">
        <f aca="false">IF(B3608="","",IF(COUNTIF(Campaigns!$A$7:$A$300,B3608)&gt;0,"✓","⚠ add to Campaigns tab"))</f>
        <v/>
      </c>
      <c r="I3608" s="84" t="str">
        <f aca="false">IF(C3608="","",C3608*IF(Settings!$B$23=Settings!$C$6,1,IF(Settings!$B$23="USD",1/INDEX(Settings!$B$29:$B$40,MONTH(A3608)),INDEX(Settings!$B$29:$B$40,MONTH(A3608)))))</f>
        <v/>
      </c>
    </row>
    <row r="3609" customFormat="false" ht="15" hidden="false" customHeight="false" outlineLevel="0" collapsed="false">
      <c r="H3609" s="0" t="str">
        <f aca="false">IF(B3609="","",IF(COUNTIF(Campaigns!$A$7:$A$300,B3609)&gt;0,"✓","⚠ add to Campaigns tab"))</f>
        <v/>
      </c>
      <c r="I3609" s="84" t="str">
        <f aca="false">IF(C3609="","",C3609*IF(Settings!$B$23=Settings!$C$6,1,IF(Settings!$B$23="USD",1/INDEX(Settings!$B$29:$B$40,MONTH(A3609)),INDEX(Settings!$B$29:$B$40,MONTH(A3609)))))</f>
        <v/>
      </c>
    </row>
    <row r="3610" customFormat="false" ht="15" hidden="false" customHeight="false" outlineLevel="0" collapsed="false">
      <c r="H3610" s="0" t="str">
        <f aca="false">IF(B3610="","",IF(COUNTIF(Campaigns!$A$7:$A$300,B3610)&gt;0,"✓","⚠ add to Campaigns tab"))</f>
        <v/>
      </c>
      <c r="I3610" s="84" t="str">
        <f aca="false">IF(C3610="","",C3610*IF(Settings!$B$23=Settings!$C$6,1,IF(Settings!$B$23="USD",1/INDEX(Settings!$B$29:$B$40,MONTH(A3610)),INDEX(Settings!$B$29:$B$40,MONTH(A3610)))))</f>
        <v/>
      </c>
    </row>
    <row r="3611" customFormat="false" ht="15" hidden="false" customHeight="false" outlineLevel="0" collapsed="false">
      <c r="H3611" s="0" t="str">
        <f aca="false">IF(B3611="","",IF(COUNTIF(Campaigns!$A$7:$A$300,B3611)&gt;0,"✓","⚠ add to Campaigns tab"))</f>
        <v/>
      </c>
      <c r="I3611" s="84" t="str">
        <f aca="false">IF(C3611="","",C3611*IF(Settings!$B$23=Settings!$C$6,1,IF(Settings!$B$23="USD",1/INDEX(Settings!$B$29:$B$40,MONTH(A3611)),INDEX(Settings!$B$29:$B$40,MONTH(A3611)))))</f>
        <v/>
      </c>
    </row>
    <row r="3612" customFormat="false" ht="15" hidden="false" customHeight="false" outlineLevel="0" collapsed="false">
      <c r="H3612" s="0" t="str">
        <f aca="false">IF(B3612="","",IF(COUNTIF(Campaigns!$A$7:$A$300,B3612)&gt;0,"✓","⚠ add to Campaigns tab"))</f>
        <v/>
      </c>
      <c r="I3612" s="84" t="str">
        <f aca="false">IF(C3612="","",C3612*IF(Settings!$B$23=Settings!$C$6,1,IF(Settings!$B$23="USD",1/INDEX(Settings!$B$29:$B$40,MONTH(A3612)),INDEX(Settings!$B$29:$B$40,MONTH(A3612)))))</f>
        <v/>
      </c>
    </row>
    <row r="3613" customFormat="false" ht="15" hidden="false" customHeight="false" outlineLevel="0" collapsed="false">
      <c r="H3613" s="0" t="str">
        <f aca="false">IF(B3613="","",IF(COUNTIF(Campaigns!$A$7:$A$300,B3613)&gt;0,"✓","⚠ add to Campaigns tab"))</f>
        <v/>
      </c>
      <c r="I3613" s="84" t="str">
        <f aca="false">IF(C3613="","",C3613*IF(Settings!$B$23=Settings!$C$6,1,IF(Settings!$B$23="USD",1/INDEX(Settings!$B$29:$B$40,MONTH(A3613)),INDEX(Settings!$B$29:$B$40,MONTH(A3613)))))</f>
        <v/>
      </c>
    </row>
    <row r="3614" customFormat="false" ht="15" hidden="false" customHeight="false" outlineLevel="0" collapsed="false">
      <c r="H3614" s="0" t="str">
        <f aca="false">IF(B3614="","",IF(COUNTIF(Campaigns!$A$7:$A$300,B3614)&gt;0,"✓","⚠ add to Campaigns tab"))</f>
        <v/>
      </c>
      <c r="I3614" s="84" t="str">
        <f aca="false">IF(C3614="","",C3614*IF(Settings!$B$23=Settings!$C$6,1,IF(Settings!$B$23="USD",1/INDEX(Settings!$B$29:$B$40,MONTH(A3614)),INDEX(Settings!$B$29:$B$40,MONTH(A3614)))))</f>
        <v/>
      </c>
    </row>
    <row r="3615" customFormat="false" ht="15" hidden="false" customHeight="false" outlineLevel="0" collapsed="false">
      <c r="H3615" s="0" t="str">
        <f aca="false">IF(B3615="","",IF(COUNTIF(Campaigns!$A$7:$A$300,B3615)&gt;0,"✓","⚠ add to Campaigns tab"))</f>
        <v/>
      </c>
      <c r="I3615" s="84" t="str">
        <f aca="false">IF(C3615="","",C3615*IF(Settings!$B$23=Settings!$C$6,1,IF(Settings!$B$23="USD",1/INDEX(Settings!$B$29:$B$40,MONTH(A3615)),INDEX(Settings!$B$29:$B$40,MONTH(A3615)))))</f>
        <v/>
      </c>
    </row>
    <row r="3616" customFormat="false" ht="15" hidden="false" customHeight="false" outlineLevel="0" collapsed="false">
      <c r="H3616" s="0" t="str">
        <f aca="false">IF(B3616="","",IF(COUNTIF(Campaigns!$A$7:$A$300,B3616)&gt;0,"✓","⚠ add to Campaigns tab"))</f>
        <v/>
      </c>
      <c r="I3616" s="84" t="str">
        <f aca="false">IF(C3616="","",C3616*IF(Settings!$B$23=Settings!$C$6,1,IF(Settings!$B$23="USD",1/INDEX(Settings!$B$29:$B$40,MONTH(A3616)),INDEX(Settings!$B$29:$B$40,MONTH(A3616)))))</f>
        <v/>
      </c>
    </row>
    <row r="3617" customFormat="false" ht="15" hidden="false" customHeight="false" outlineLevel="0" collapsed="false">
      <c r="H3617" s="0" t="str">
        <f aca="false">IF(B3617="","",IF(COUNTIF(Campaigns!$A$7:$A$300,B3617)&gt;0,"✓","⚠ add to Campaigns tab"))</f>
        <v/>
      </c>
      <c r="I3617" s="84" t="str">
        <f aca="false">IF(C3617="","",C3617*IF(Settings!$B$23=Settings!$C$6,1,IF(Settings!$B$23="USD",1/INDEX(Settings!$B$29:$B$40,MONTH(A3617)),INDEX(Settings!$B$29:$B$40,MONTH(A3617)))))</f>
        <v/>
      </c>
    </row>
    <row r="3618" customFormat="false" ht="15" hidden="false" customHeight="false" outlineLevel="0" collapsed="false">
      <c r="H3618" s="0" t="str">
        <f aca="false">IF(B3618="","",IF(COUNTIF(Campaigns!$A$7:$A$300,B3618)&gt;0,"✓","⚠ add to Campaigns tab"))</f>
        <v/>
      </c>
      <c r="I3618" s="84" t="str">
        <f aca="false">IF(C3618="","",C3618*IF(Settings!$B$23=Settings!$C$6,1,IF(Settings!$B$23="USD",1/INDEX(Settings!$B$29:$B$40,MONTH(A3618)),INDEX(Settings!$B$29:$B$40,MONTH(A3618)))))</f>
        <v/>
      </c>
    </row>
    <row r="3619" customFormat="false" ht="15" hidden="false" customHeight="false" outlineLevel="0" collapsed="false">
      <c r="H3619" s="0" t="str">
        <f aca="false">IF(B3619="","",IF(COUNTIF(Campaigns!$A$7:$A$300,B3619)&gt;0,"✓","⚠ add to Campaigns tab"))</f>
        <v/>
      </c>
      <c r="I3619" s="84" t="str">
        <f aca="false">IF(C3619="","",C3619*IF(Settings!$B$23=Settings!$C$6,1,IF(Settings!$B$23="USD",1/INDEX(Settings!$B$29:$B$40,MONTH(A3619)),INDEX(Settings!$B$29:$B$40,MONTH(A3619)))))</f>
        <v/>
      </c>
    </row>
    <row r="3620" customFormat="false" ht="15" hidden="false" customHeight="false" outlineLevel="0" collapsed="false">
      <c r="H3620" s="0" t="str">
        <f aca="false">IF(B3620="","",IF(COUNTIF(Campaigns!$A$7:$A$300,B3620)&gt;0,"✓","⚠ add to Campaigns tab"))</f>
        <v/>
      </c>
      <c r="I3620" s="84" t="str">
        <f aca="false">IF(C3620="","",C3620*IF(Settings!$B$23=Settings!$C$6,1,IF(Settings!$B$23="USD",1/INDEX(Settings!$B$29:$B$40,MONTH(A3620)),INDEX(Settings!$B$29:$B$40,MONTH(A3620)))))</f>
        <v/>
      </c>
    </row>
    <row r="3621" customFormat="false" ht="15" hidden="false" customHeight="false" outlineLevel="0" collapsed="false">
      <c r="H3621" s="0" t="str">
        <f aca="false">IF(B3621="","",IF(COUNTIF(Campaigns!$A$7:$A$300,B3621)&gt;0,"✓","⚠ add to Campaigns tab"))</f>
        <v/>
      </c>
      <c r="I3621" s="84" t="str">
        <f aca="false">IF(C3621="","",C3621*IF(Settings!$B$23=Settings!$C$6,1,IF(Settings!$B$23="USD",1/INDEX(Settings!$B$29:$B$40,MONTH(A3621)),INDEX(Settings!$B$29:$B$40,MONTH(A3621)))))</f>
        <v/>
      </c>
    </row>
    <row r="3622" customFormat="false" ht="15" hidden="false" customHeight="false" outlineLevel="0" collapsed="false">
      <c r="H3622" s="0" t="str">
        <f aca="false">IF(B3622="","",IF(COUNTIF(Campaigns!$A$7:$A$300,B3622)&gt;0,"✓","⚠ add to Campaigns tab"))</f>
        <v/>
      </c>
      <c r="I3622" s="84" t="str">
        <f aca="false">IF(C3622="","",C3622*IF(Settings!$B$23=Settings!$C$6,1,IF(Settings!$B$23="USD",1/INDEX(Settings!$B$29:$B$40,MONTH(A3622)),INDEX(Settings!$B$29:$B$40,MONTH(A3622)))))</f>
        <v/>
      </c>
    </row>
    <row r="3623" customFormat="false" ht="15" hidden="false" customHeight="false" outlineLevel="0" collapsed="false">
      <c r="H3623" s="0" t="str">
        <f aca="false">IF(B3623="","",IF(COUNTIF(Campaigns!$A$7:$A$300,B3623)&gt;0,"✓","⚠ add to Campaigns tab"))</f>
        <v/>
      </c>
      <c r="I3623" s="84" t="str">
        <f aca="false">IF(C3623="","",C3623*IF(Settings!$B$23=Settings!$C$6,1,IF(Settings!$B$23="USD",1/INDEX(Settings!$B$29:$B$40,MONTH(A3623)),INDEX(Settings!$B$29:$B$40,MONTH(A3623)))))</f>
        <v/>
      </c>
    </row>
    <row r="3624" customFormat="false" ht="15" hidden="false" customHeight="false" outlineLevel="0" collapsed="false">
      <c r="H3624" s="0" t="str">
        <f aca="false">IF(B3624="","",IF(COUNTIF(Campaigns!$A$7:$A$300,B3624)&gt;0,"✓","⚠ add to Campaigns tab"))</f>
        <v/>
      </c>
      <c r="I3624" s="84" t="str">
        <f aca="false">IF(C3624="","",C3624*IF(Settings!$B$23=Settings!$C$6,1,IF(Settings!$B$23="USD",1/INDEX(Settings!$B$29:$B$40,MONTH(A3624)),INDEX(Settings!$B$29:$B$40,MONTH(A3624)))))</f>
        <v/>
      </c>
    </row>
    <row r="3625" customFormat="false" ht="15" hidden="false" customHeight="false" outlineLevel="0" collapsed="false">
      <c r="H3625" s="0" t="str">
        <f aca="false">IF(B3625="","",IF(COUNTIF(Campaigns!$A$7:$A$300,B3625)&gt;0,"✓","⚠ add to Campaigns tab"))</f>
        <v/>
      </c>
      <c r="I3625" s="84" t="str">
        <f aca="false">IF(C3625="","",C3625*IF(Settings!$B$23=Settings!$C$6,1,IF(Settings!$B$23="USD",1/INDEX(Settings!$B$29:$B$40,MONTH(A3625)),INDEX(Settings!$B$29:$B$40,MONTH(A3625)))))</f>
        <v/>
      </c>
    </row>
    <row r="3626" customFormat="false" ht="15" hidden="false" customHeight="false" outlineLevel="0" collapsed="false">
      <c r="H3626" s="0" t="str">
        <f aca="false">IF(B3626="","",IF(COUNTIF(Campaigns!$A$7:$A$300,B3626)&gt;0,"✓","⚠ add to Campaigns tab"))</f>
        <v/>
      </c>
      <c r="I3626" s="84" t="str">
        <f aca="false">IF(C3626="","",C3626*IF(Settings!$B$23=Settings!$C$6,1,IF(Settings!$B$23="USD",1/INDEX(Settings!$B$29:$B$40,MONTH(A3626)),INDEX(Settings!$B$29:$B$40,MONTH(A3626)))))</f>
        <v/>
      </c>
    </row>
    <row r="3627" customFormat="false" ht="15" hidden="false" customHeight="false" outlineLevel="0" collapsed="false">
      <c r="H3627" s="0" t="str">
        <f aca="false">IF(B3627="","",IF(COUNTIF(Campaigns!$A$7:$A$300,B3627)&gt;0,"✓","⚠ add to Campaigns tab"))</f>
        <v/>
      </c>
      <c r="I3627" s="84" t="str">
        <f aca="false">IF(C3627="","",C3627*IF(Settings!$B$23=Settings!$C$6,1,IF(Settings!$B$23="USD",1/INDEX(Settings!$B$29:$B$40,MONTH(A3627)),INDEX(Settings!$B$29:$B$40,MONTH(A3627)))))</f>
        <v/>
      </c>
    </row>
    <row r="3628" customFormat="false" ht="15" hidden="false" customHeight="false" outlineLevel="0" collapsed="false">
      <c r="H3628" s="0" t="str">
        <f aca="false">IF(B3628="","",IF(COUNTIF(Campaigns!$A$7:$A$300,B3628)&gt;0,"✓","⚠ add to Campaigns tab"))</f>
        <v/>
      </c>
      <c r="I3628" s="84" t="str">
        <f aca="false">IF(C3628="","",C3628*IF(Settings!$B$23=Settings!$C$6,1,IF(Settings!$B$23="USD",1/INDEX(Settings!$B$29:$B$40,MONTH(A3628)),INDEX(Settings!$B$29:$B$40,MONTH(A3628)))))</f>
        <v/>
      </c>
    </row>
    <row r="3629" customFormat="false" ht="15" hidden="false" customHeight="false" outlineLevel="0" collapsed="false">
      <c r="H3629" s="0" t="str">
        <f aca="false">IF(B3629="","",IF(COUNTIF(Campaigns!$A$7:$A$300,B3629)&gt;0,"✓","⚠ add to Campaigns tab"))</f>
        <v/>
      </c>
      <c r="I3629" s="84" t="str">
        <f aca="false">IF(C3629="","",C3629*IF(Settings!$B$23=Settings!$C$6,1,IF(Settings!$B$23="USD",1/INDEX(Settings!$B$29:$B$40,MONTH(A3629)),INDEX(Settings!$B$29:$B$40,MONTH(A3629)))))</f>
        <v/>
      </c>
    </row>
    <row r="3630" customFormat="false" ht="15" hidden="false" customHeight="false" outlineLevel="0" collapsed="false">
      <c r="H3630" s="0" t="str">
        <f aca="false">IF(B3630="","",IF(COUNTIF(Campaigns!$A$7:$A$300,B3630)&gt;0,"✓","⚠ add to Campaigns tab"))</f>
        <v/>
      </c>
      <c r="I3630" s="84" t="str">
        <f aca="false">IF(C3630="","",C3630*IF(Settings!$B$23=Settings!$C$6,1,IF(Settings!$B$23="USD",1/INDEX(Settings!$B$29:$B$40,MONTH(A3630)),INDEX(Settings!$B$29:$B$40,MONTH(A3630)))))</f>
        <v/>
      </c>
    </row>
    <row r="3631" customFormat="false" ht="15" hidden="false" customHeight="false" outlineLevel="0" collapsed="false">
      <c r="H3631" s="0" t="str">
        <f aca="false">IF(B3631="","",IF(COUNTIF(Campaigns!$A$7:$A$300,B3631)&gt;0,"✓","⚠ add to Campaigns tab"))</f>
        <v/>
      </c>
      <c r="I3631" s="84" t="str">
        <f aca="false">IF(C3631="","",C3631*IF(Settings!$B$23=Settings!$C$6,1,IF(Settings!$B$23="USD",1/INDEX(Settings!$B$29:$B$40,MONTH(A3631)),INDEX(Settings!$B$29:$B$40,MONTH(A3631)))))</f>
        <v/>
      </c>
    </row>
    <row r="3632" customFormat="false" ht="15" hidden="false" customHeight="false" outlineLevel="0" collapsed="false">
      <c r="H3632" s="0" t="str">
        <f aca="false">IF(B3632="","",IF(COUNTIF(Campaigns!$A$7:$A$300,B3632)&gt;0,"✓","⚠ add to Campaigns tab"))</f>
        <v/>
      </c>
      <c r="I3632" s="84" t="str">
        <f aca="false">IF(C3632="","",C3632*IF(Settings!$B$23=Settings!$C$6,1,IF(Settings!$B$23="USD",1/INDEX(Settings!$B$29:$B$40,MONTH(A3632)),INDEX(Settings!$B$29:$B$40,MONTH(A3632)))))</f>
        <v/>
      </c>
    </row>
    <row r="3633" customFormat="false" ht="15" hidden="false" customHeight="false" outlineLevel="0" collapsed="false">
      <c r="H3633" s="0" t="str">
        <f aca="false">IF(B3633="","",IF(COUNTIF(Campaigns!$A$7:$A$300,B3633)&gt;0,"✓","⚠ add to Campaigns tab"))</f>
        <v/>
      </c>
      <c r="I3633" s="84" t="str">
        <f aca="false">IF(C3633="","",C3633*IF(Settings!$B$23=Settings!$C$6,1,IF(Settings!$B$23="USD",1/INDEX(Settings!$B$29:$B$40,MONTH(A3633)),INDEX(Settings!$B$29:$B$40,MONTH(A3633)))))</f>
        <v/>
      </c>
    </row>
    <row r="3634" customFormat="false" ht="15" hidden="false" customHeight="false" outlineLevel="0" collapsed="false">
      <c r="H3634" s="0" t="str">
        <f aca="false">IF(B3634="","",IF(COUNTIF(Campaigns!$A$7:$A$300,B3634)&gt;0,"✓","⚠ add to Campaigns tab"))</f>
        <v/>
      </c>
      <c r="I3634" s="84" t="str">
        <f aca="false">IF(C3634="","",C3634*IF(Settings!$B$23=Settings!$C$6,1,IF(Settings!$B$23="USD",1/INDEX(Settings!$B$29:$B$40,MONTH(A3634)),INDEX(Settings!$B$29:$B$40,MONTH(A3634)))))</f>
        <v/>
      </c>
    </row>
    <row r="3635" customFormat="false" ht="15" hidden="false" customHeight="false" outlineLevel="0" collapsed="false">
      <c r="H3635" s="0" t="str">
        <f aca="false">IF(B3635="","",IF(COUNTIF(Campaigns!$A$7:$A$300,B3635)&gt;0,"✓","⚠ add to Campaigns tab"))</f>
        <v/>
      </c>
      <c r="I3635" s="84" t="str">
        <f aca="false">IF(C3635="","",C3635*IF(Settings!$B$23=Settings!$C$6,1,IF(Settings!$B$23="USD",1/INDEX(Settings!$B$29:$B$40,MONTH(A3635)),INDEX(Settings!$B$29:$B$40,MONTH(A3635)))))</f>
        <v/>
      </c>
    </row>
    <row r="3636" customFormat="false" ht="15" hidden="false" customHeight="false" outlineLevel="0" collapsed="false">
      <c r="H3636" s="0" t="str">
        <f aca="false">IF(B3636="","",IF(COUNTIF(Campaigns!$A$7:$A$300,B3636)&gt;0,"✓","⚠ add to Campaigns tab"))</f>
        <v/>
      </c>
      <c r="I3636" s="84" t="str">
        <f aca="false">IF(C3636="","",C3636*IF(Settings!$B$23=Settings!$C$6,1,IF(Settings!$B$23="USD",1/INDEX(Settings!$B$29:$B$40,MONTH(A3636)),INDEX(Settings!$B$29:$B$40,MONTH(A3636)))))</f>
        <v/>
      </c>
    </row>
    <row r="3637" customFormat="false" ht="15" hidden="false" customHeight="false" outlineLevel="0" collapsed="false">
      <c r="H3637" s="0" t="str">
        <f aca="false">IF(B3637="","",IF(COUNTIF(Campaigns!$A$7:$A$300,B3637)&gt;0,"✓","⚠ add to Campaigns tab"))</f>
        <v/>
      </c>
      <c r="I3637" s="84" t="str">
        <f aca="false">IF(C3637="","",C3637*IF(Settings!$B$23=Settings!$C$6,1,IF(Settings!$B$23="USD",1/INDEX(Settings!$B$29:$B$40,MONTH(A3637)),INDEX(Settings!$B$29:$B$40,MONTH(A3637)))))</f>
        <v/>
      </c>
    </row>
    <row r="3638" customFormat="false" ht="15" hidden="false" customHeight="false" outlineLevel="0" collapsed="false">
      <c r="H3638" s="0" t="str">
        <f aca="false">IF(B3638="","",IF(COUNTIF(Campaigns!$A$7:$A$300,B3638)&gt;0,"✓","⚠ add to Campaigns tab"))</f>
        <v/>
      </c>
      <c r="I3638" s="84" t="str">
        <f aca="false">IF(C3638="","",C3638*IF(Settings!$B$23=Settings!$C$6,1,IF(Settings!$B$23="USD",1/INDEX(Settings!$B$29:$B$40,MONTH(A3638)),INDEX(Settings!$B$29:$B$40,MONTH(A3638)))))</f>
        <v/>
      </c>
    </row>
    <row r="3639" customFormat="false" ht="15" hidden="false" customHeight="false" outlineLevel="0" collapsed="false">
      <c r="H3639" s="0" t="str">
        <f aca="false">IF(B3639="","",IF(COUNTIF(Campaigns!$A$7:$A$300,B3639)&gt;0,"✓","⚠ add to Campaigns tab"))</f>
        <v/>
      </c>
      <c r="I3639" s="84" t="str">
        <f aca="false">IF(C3639="","",C3639*IF(Settings!$B$23=Settings!$C$6,1,IF(Settings!$B$23="USD",1/INDEX(Settings!$B$29:$B$40,MONTH(A3639)),INDEX(Settings!$B$29:$B$40,MONTH(A3639)))))</f>
        <v/>
      </c>
    </row>
    <row r="3640" customFormat="false" ht="15" hidden="false" customHeight="false" outlineLevel="0" collapsed="false">
      <c r="H3640" s="0" t="str">
        <f aca="false">IF(B3640="","",IF(COUNTIF(Campaigns!$A$7:$A$300,B3640)&gt;0,"✓","⚠ add to Campaigns tab"))</f>
        <v/>
      </c>
      <c r="I3640" s="84" t="str">
        <f aca="false">IF(C3640="","",C3640*IF(Settings!$B$23=Settings!$C$6,1,IF(Settings!$B$23="USD",1/INDEX(Settings!$B$29:$B$40,MONTH(A3640)),INDEX(Settings!$B$29:$B$40,MONTH(A3640)))))</f>
        <v/>
      </c>
    </row>
    <row r="3641" customFormat="false" ht="15" hidden="false" customHeight="false" outlineLevel="0" collapsed="false">
      <c r="H3641" s="0" t="str">
        <f aca="false">IF(B3641="","",IF(COUNTIF(Campaigns!$A$7:$A$300,B3641)&gt;0,"✓","⚠ add to Campaigns tab"))</f>
        <v/>
      </c>
      <c r="I3641" s="84" t="str">
        <f aca="false">IF(C3641="","",C3641*IF(Settings!$B$23=Settings!$C$6,1,IF(Settings!$B$23="USD",1/INDEX(Settings!$B$29:$B$40,MONTH(A3641)),INDEX(Settings!$B$29:$B$40,MONTH(A3641)))))</f>
        <v/>
      </c>
    </row>
    <row r="3642" customFormat="false" ht="15" hidden="false" customHeight="false" outlineLevel="0" collapsed="false">
      <c r="H3642" s="0" t="str">
        <f aca="false">IF(B3642="","",IF(COUNTIF(Campaigns!$A$7:$A$300,B3642)&gt;0,"✓","⚠ add to Campaigns tab"))</f>
        <v/>
      </c>
      <c r="I3642" s="84" t="str">
        <f aca="false">IF(C3642="","",C3642*IF(Settings!$B$23=Settings!$C$6,1,IF(Settings!$B$23="USD",1/INDEX(Settings!$B$29:$B$40,MONTH(A3642)),INDEX(Settings!$B$29:$B$40,MONTH(A3642)))))</f>
        <v/>
      </c>
    </row>
    <row r="3643" customFormat="false" ht="15" hidden="false" customHeight="false" outlineLevel="0" collapsed="false">
      <c r="H3643" s="0" t="str">
        <f aca="false">IF(B3643="","",IF(COUNTIF(Campaigns!$A$7:$A$300,B3643)&gt;0,"✓","⚠ add to Campaigns tab"))</f>
        <v/>
      </c>
      <c r="I3643" s="84" t="str">
        <f aca="false">IF(C3643="","",C3643*IF(Settings!$B$23=Settings!$C$6,1,IF(Settings!$B$23="USD",1/INDEX(Settings!$B$29:$B$40,MONTH(A3643)),INDEX(Settings!$B$29:$B$40,MONTH(A3643)))))</f>
        <v/>
      </c>
    </row>
    <row r="3644" customFormat="false" ht="15" hidden="false" customHeight="false" outlineLevel="0" collapsed="false">
      <c r="H3644" s="0" t="str">
        <f aca="false">IF(B3644="","",IF(COUNTIF(Campaigns!$A$7:$A$300,B3644)&gt;0,"✓","⚠ add to Campaigns tab"))</f>
        <v/>
      </c>
      <c r="I3644" s="84" t="str">
        <f aca="false">IF(C3644="","",C3644*IF(Settings!$B$23=Settings!$C$6,1,IF(Settings!$B$23="USD",1/INDEX(Settings!$B$29:$B$40,MONTH(A3644)),INDEX(Settings!$B$29:$B$40,MONTH(A3644)))))</f>
        <v/>
      </c>
    </row>
    <row r="3645" customFormat="false" ht="15" hidden="false" customHeight="false" outlineLevel="0" collapsed="false">
      <c r="H3645" s="0" t="str">
        <f aca="false">IF(B3645="","",IF(COUNTIF(Campaigns!$A$7:$A$300,B3645)&gt;0,"✓","⚠ add to Campaigns tab"))</f>
        <v/>
      </c>
      <c r="I3645" s="84" t="str">
        <f aca="false">IF(C3645="","",C3645*IF(Settings!$B$23=Settings!$C$6,1,IF(Settings!$B$23="USD",1/INDEX(Settings!$B$29:$B$40,MONTH(A3645)),INDEX(Settings!$B$29:$B$40,MONTH(A3645)))))</f>
        <v/>
      </c>
    </row>
    <row r="3646" customFormat="false" ht="15" hidden="false" customHeight="false" outlineLevel="0" collapsed="false">
      <c r="H3646" s="0" t="str">
        <f aca="false">IF(B3646="","",IF(COUNTIF(Campaigns!$A$7:$A$300,B3646)&gt;0,"✓","⚠ add to Campaigns tab"))</f>
        <v/>
      </c>
      <c r="I3646" s="84" t="str">
        <f aca="false">IF(C3646="","",C3646*IF(Settings!$B$23=Settings!$C$6,1,IF(Settings!$B$23="USD",1/INDEX(Settings!$B$29:$B$40,MONTH(A3646)),INDEX(Settings!$B$29:$B$40,MONTH(A3646)))))</f>
        <v/>
      </c>
    </row>
    <row r="3647" customFormat="false" ht="15" hidden="false" customHeight="false" outlineLevel="0" collapsed="false">
      <c r="H3647" s="0" t="str">
        <f aca="false">IF(B3647="","",IF(COUNTIF(Campaigns!$A$7:$A$300,B3647)&gt;0,"✓","⚠ add to Campaigns tab"))</f>
        <v/>
      </c>
      <c r="I3647" s="84" t="str">
        <f aca="false">IF(C3647="","",C3647*IF(Settings!$B$23=Settings!$C$6,1,IF(Settings!$B$23="USD",1/INDEX(Settings!$B$29:$B$40,MONTH(A3647)),INDEX(Settings!$B$29:$B$40,MONTH(A3647)))))</f>
        <v/>
      </c>
    </row>
    <row r="3648" customFormat="false" ht="15" hidden="false" customHeight="false" outlineLevel="0" collapsed="false">
      <c r="H3648" s="0" t="str">
        <f aca="false">IF(B3648="","",IF(COUNTIF(Campaigns!$A$7:$A$300,B3648)&gt;0,"✓","⚠ add to Campaigns tab"))</f>
        <v/>
      </c>
      <c r="I3648" s="84" t="str">
        <f aca="false">IF(C3648="","",C3648*IF(Settings!$B$23=Settings!$C$6,1,IF(Settings!$B$23="USD",1/INDEX(Settings!$B$29:$B$40,MONTH(A3648)),INDEX(Settings!$B$29:$B$40,MONTH(A3648)))))</f>
        <v/>
      </c>
    </row>
    <row r="3649" customFormat="false" ht="15" hidden="false" customHeight="false" outlineLevel="0" collapsed="false">
      <c r="H3649" s="0" t="str">
        <f aca="false">IF(B3649="","",IF(COUNTIF(Campaigns!$A$7:$A$300,B3649)&gt;0,"✓","⚠ add to Campaigns tab"))</f>
        <v/>
      </c>
      <c r="I3649" s="84" t="str">
        <f aca="false">IF(C3649="","",C3649*IF(Settings!$B$23=Settings!$C$6,1,IF(Settings!$B$23="USD",1/INDEX(Settings!$B$29:$B$40,MONTH(A3649)),INDEX(Settings!$B$29:$B$40,MONTH(A3649)))))</f>
        <v/>
      </c>
    </row>
    <row r="3650" customFormat="false" ht="15" hidden="false" customHeight="false" outlineLevel="0" collapsed="false">
      <c r="H3650" s="0" t="str">
        <f aca="false">IF(B3650="","",IF(COUNTIF(Campaigns!$A$7:$A$300,B3650)&gt;0,"✓","⚠ add to Campaigns tab"))</f>
        <v/>
      </c>
      <c r="I3650" s="84" t="str">
        <f aca="false">IF(C3650="","",C3650*IF(Settings!$B$23=Settings!$C$6,1,IF(Settings!$B$23="USD",1/INDEX(Settings!$B$29:$B$40,MONTH(A3650)),INDEX(Settings!$B$29:$B$40,MONTH(A3650)))))</f>
        <v/>
      </c>
    </row>
    <row r="3651" customFormat="false" ht="15" hidden="false" customHeight="false" outlineLevel="0" collapsed="false">
      <c r="H3651" s="0" t="str">
        <f aca="false">IF(B3651="","",IF(COUNTIF(Campaigns!$A$7:$A$300,B3651)&gt;0,"✓","⚠ add to Campaigns tab"))</f>
        <v/>
      </c>
      <c r="I3651" s="84" t="str">
        <f aca="false">IF(C3651="","",C3651*IF(Settings!$B$23=Settings!$C$6,1,IF(Settings!$B$23="USD",1/INDEX(Settings!$B$29:$B$40,MONTH(A3651)),INDEX(Settings!$B$29:$B$40,MONTH(A3651)))))</f>
        <v/>
      </c>
    </row>
    <row r="3652" customFormat="false" ht="15" hidden="false" customHeight="false" outlineLevel="0" collapsed="false">
      <c r="H3652" s="0" t="str">
        <f aca="false">IF(B3652="","",IF(COUNTIF(Campaigns!$A$7:$A$300,B3652)&gt;0,"✓","⚠ add to Campaigns tab"))</f>
        <v/>
      </c>
      <c r="I3652" s="84" t="str">
        <f aca="false">IF(C3652="","",C3652*IF(Settings!$B$23=Settings!$C$6,1,IF(Settings!$B$23="USD",1/INDEX(Settings!$B$29:$B$40,MONTH(A3652)),INDEX(Settings!$B$29:$B$40,MONTH(A3652)))))</f>
        <v/>
      </c>
    </row>
    <row r="3653" customFormat="false" ht="15" hidden="false" customHeight="false" outlineLevel="0" collapsed="false">
      <c r="H3653" s="0" t="str">
        <f aca="false">IF(B3653="","",IF(COUNTIF(Campaigns!$A$7:$A$300,B3653)&gt;0,"✓","⚠ add to Campaigns tab"))</f>
        <v/>
      </c>
      <c r="I3653" s="84" t="str">
        <f aca="false">IF(C3653="","",C3653*IF(Settings!$B$23=Settings!$C$6,1,IF(Settings!$B$23="USD",1/INDEX(Settings!$B$29:$B$40,MONTH(A3653)),INDEX(Settings!$B$29:$B$40,MONTH(A3653)))))</f>
        <v/>
      </c>
    </row>
    <row r="3654" customFormat="false" ht="15" hidden="false" customHeight="false" outlineLevel="0" collapsed="false">
      <c r="H3654" s="0" t="str">
        <f aca="false">IF(B3654="","",IF(COUNTIF(Campaigns!$A$7:$A$300,B3654)&gt;0,"✓","⚠ add to Campaigns tab"))</f>
        <v/>
      </c>
      <c r="I3654" s="84" t="str">
        <f aca="false">IF(C3654="","",C3654*IF(Settings!$B$23=Settings!$C$6,1,IF(Settings!$B$23="USD",1/INDEX(Settings!$B$29:$B$40,MONTH(A3654)),INDEX(Settings!$B$29:$B$40,MONTH(A3654)))))</f>
        <v/>
      </c>
    </row>
    <row r="3655" customFormat="false" ht="15" hidden="false" customHeight="false" outlineLevel="0" collapsed="false">
      <c r="H3655" s="0" t="str">
        <f aca="false">IF(B3655="","",IF(COUNTIF(Campaigns!$A$7:$A$300,B3655)&gt;0,"✓","⚠ add to Campaigns tab"))</f>
        <v/>
      </c>
      <c r="I3655" s="84" t="str">
        <f aca="false">IF(C3655="","",C3655*IF(Settings!$B$23=Settings!$C$6,1,IF(Settings!$B$23="USD",1/INDEX(Settings!$B$29:$B$40,MONTH(A3655)),INDEX(Settings!$B$29:$B$40,MONTH(A3655)))))</f>
        <v/>
      </c>
    </row>
    <row r="3656" customFormat="false" ht="15" hidden="false" customHeight="false" outlineLevel="0" collapsed="false">
      <c r="H3656" s="0" t="str">
        <f aca="false">IF(B3656="","",IF(COUNTIF(Campaigns!$A$7:$A$300,B3656)&gt;0,"✓","⚠ add to Campaigns tab"))</f>
        <v/>
      </c>
      <c r="I3656" s="84" t="str">
        <f aca="false">IF(C3656="","",C3656*IF(Settings!$B$23=Settings!$C$6,1,IF(Settings!$B$23="USD",1/INDEX(Settings!$B$29:$B$40,MONTH(A3656)),INDEX(Settings!$B$29:$B$40,MONTH(A3656)))))</f>
        <v/>
      </c>
    </row>
    <row r="3657" customFormat="false" ht="15" hidden="false" customHeight="false" outlineLevel="0" collapsed="false">
      <c r="H3657" s="0" t="str">
        <f aca="false">IF(B3657="","",IF(COUNTIF(Campaigns!$A$7:$A$300,B3657)&gt;0,"✓","⚠ add to Campaigns tab"))</f>
        <v/>
      </c>
      <c r="I3657" s="84" t="str">
        <f aca="false">IF(C3657="","",C3657*IF(Settings!$B$23=Settings!$C$6,1,IF(Settings!$B$23="USD",1/INDEX(Settings!$B$29:$B$40,MONTH(A3657)),INDEX(Settings!$B$29:$B$40,MONTH(A3657)))))</f>
        <v/>
      </c>
    </row>
    <row r="3658" customFormat="false" ht="15" hidden="false" customHeight="false" outlineLevel="0" collapsed="false">
      <c r="H3658" s="0" t="str">
        <f aca="false">IF(B3658="","",IF(COUNTIF(Campaigns!$A$7:$A$300,B3658)&gt;0,"✓","⚠ add to Campaigns tab"))</f>
        <v/>
      </c>
      <c r="I3658" s="84" t="str">
        <f aca="false">IF(C3658="","",C3658*IF(Settings!$B$23=Settings!$C$6,1,IF(Settings!$B$23="USD",1/INDEX(Settings!$B$29:$B$40,MONTH(A3658)),INDEX(Settings!$B$29:$B$40,MONTH(A3658)))))</f>
        <v/>
      </c>
    </row>
    <row r="3659" customFormat="false" ht="15" hidden="false" customHeight="false" outlineLevel="0" collapsed="false">
      <c r="H3659" s="0" t="str">
        <f aca="false">IF(B3659="","",IF(COUNTIF(Campaigns!$A$7:$A$300,B3659)&gt;0,"✓","⚠ add to Campaigns tab"))</f>
        <v/>
      </c>
      <c r="I3659" s="84" t="str">
        <f aca="false">IF(C3659="","",C3659*IF(Settings!$B$23=Settings!$C$6,1,IF(Settings!$B$23="USD",1/INDEX(Settings!$B$29:$B$40,MONTH(A3659)),INDEX(Settings!$B$29:$B$40,MONTH(A3659)))))</f>
        <v/>
      </c>
    </row>
    <row r="3660" customFormat="false" ht="15" hidden="false" customHeight="false" outlineLevel="0" collapsed="false">
      <c r="H3660" s="0" t="str">
        <f aca="false">IF(B3660="","",IF(COUNTIF(Campaigns!$A$7:$A$300,B3660)&gt;0,"✓","⚠ add to Campaigns tab"))</f>
        <v/>
      </c>
      <c r="I3660" s="84" t="str">
        <f aca="false">IF(C3660="","",C3660*IF(Settings!$B$23=Settings!$C$6,1,IF(Settings!$B$23="USD",1/INDEX(Settings!$B$29:$B$40,MONTH(A3660)),INDEX(Settings!$B$29:$B$40,MONTH(A3660)))))</f>
        <v/>
      </c>
    </row>
    <row r="3661" customFormat="false" ht="15" hidden="false" customHeight="false" outlineLevel="0" collapsed="false">
      <c r="H3661" s="0" t="str">
        <f aca="false">IF(B3661="","",IF(COUNTIF(Campaigns!$A$7:$A$300,B3661)&gt;0,"✓","⚠ add to Campaigns tab"))</f>
        <v/>
      </c>
      <c r="I3661" s="84" t="str">
        <f aca="false">IF(C3661="","",C3661*IF(Settings!$B$23=Settings!$C$6,1,IF(Settings!$B$23="USD",1/INDEX(Settings!$B$29:$B$40,MONTH(A3661)),INDEX(Settings!$B$29:$B$40,MONTH(A3661)))))</f>
        <v/>
      </c>
    </row>
    <row r="3662" customFormat="false" ht="15" hidden="false" customHeight="false" outlineLevel="0" collapsed="false">
      <c r="H3662" s="0" t="str">
        <f aca="false">IF(B3662="","",IF(COUNTIF(Campaigns!$A$7:$A$300,B3662)&gt;0,"✓","⚠ add to Campaigns tab"))</f>
        <v/>
      </c>
      <c r="I3662" s="84" t="str">
        <f aca="false">IF(C3662="","",C3662*IF(Settings!$B$23=Settings!$C$6,1,IF(Settings!$B$23="USD",1/INDEX(Settings!$B$29:$B$40,MONTH(A3662)),INDEX(Settings!$B$29:$B$40,MONTH(A3662)))))</f>
        <v/>
      </c>
    </row>
    <row r="3663" customFormat="false" ht="15" hidden="false" customHeight="false" outlineLevel="0" collapsed="false">
      <c r="H3663" s="0" t="str">
        <f aca="false">IF(B3663="","",IF(COUNTIF(Campaigns!$A$7:$A$300,B3663)&gt;0,"✓","⚠ add to Campaigns tab"))</f>
        <v/>
      </c>
      <c r="I3663" s="84" t="str">
        <f aca="false">IF(C3663="","",C3663*IF(Settings!$B$23=Settings!$C$6,1,IF(Settings!$B$23="USD",1/INDEX(Settings!$B$29:$B$40,MONTH(A3663)),INDEX(Settings!$B$29:$B$40,MONTH(A3663)))))</f>
        <v/>
      </c>
    </row>
    <row r="3664" customFormat="false" ht="15" hidden="false" customHeight="false" outlineLevel="0" collapsed="false">
      <c r="H3664" s="0" t="str">
        <f aca="false">IF(B3664="","",IF(COUNTIF(Campaigns!$A$7:$A$300,B3664)&gt;0,"✓","⚠ add to Campaigns tab"))</f>
        <v/>
      </c>
      <c r="I3664" s="84" t="str">
        <f aca="false">IF(C3664="","",C3664*IF(Settings!$B$23=Settings!$C$6,1,IF(Settings!$B$23="USD",1/INDEX(Settings!$B$29:$B$40,MONTH(A3664)),INDEX(Settings!$B$29:$B$40,MONTH(A3664)))))</f>
        <v/>
      </c>
    </row>
    <row r="3665" customFormat="false" ht="15" hidden="false" customHeight="false" outlineLevel="0" collapsed="false">
      <c r="H3665" s="0" t="str">
        <f aca="false">IF(B3665="","",IF(COUNTIF(Campaigns!$A$7:$A$300,B3665)&gt;0,"✓","⚠ add to Campaigns tab"))</f>
        <v/>
      </c>
      <c r="I3665" s="84" t="str">
        <f aca="false">IF(C3665="","",C3665*IF(Settings!$B$23=Settings!$C$6,1,IF(Settings!$B$23="USD",1/INDEX(Settings!$B$29:$B$40,MONTH(A3665)),INDEX(Settings!$B$29:$B$40,MONTH(A3665)))))</f>
        <v/>
      </c>
    </row>
    <row r="3666" customFormat="false" ht="15" hidden="false" customHeight="false" outlineLevel="0" collapsed="false">
      <c r="H3666" s="0" t="str">
        <f aca="false">IF(B3666="","",IF(COUNTIF(Campaigns!$A$7:$A$300,B3666)&gt;0,"✓","⚠ add to Campaigns tab"))</f>
        <v/>
      </c>
      <c r="I3666" s="84" t="str">
        <f aca="false">IF(C3666="","",C3666*IF(Settings!$B$23=Settings!$C$6,1,IF(Settings!$B$23="USD",1/INDEX(Settings!$B$29:$B$40,MONTH(A3666)),INDEX(Settings!$B$29:$B$40,MONTH(A3666)))))</f>
        <v/>
      </c>
    </row>
    <row r="3667" customFormat="false" ht="15" hidden="false" customHeight="false" outlineLevel="0" collapsed="false">
      <c r="H3667" s="0" t="str">
        <f aca="false">IF(B3667="","",IF(COUNTIF(Campaigns!$A$7:$A$300,B3667)&gt;0,"✓","⚠ add to Campaigns tab"))</f>
        <v/>
      </c>
      <c r="I3667" s="84" t="str">
        <f aca="false">IF(C3667="","",C3667*IF(Settings!$B$23=Settings!$C$6,1,IF(Settings!$B$23="USD",1/INDEX(Settings!$B$29:$B$40,MONTH(A3667)),INDEX(Settings!$B$29:$B$40,MONTH(A3667)))))</f>
        <v/>
      </c>
    </row>
    <row r="3668" customFormat="false" ht="15" hidden="false" customHeight="false" outlineLevel="0" collapsed="false">
      <c r="H3668" s="0" t="str">
        <f aca="false">IF(B3668="","",IF(COUNTIF(Campaigns!$A$7:$A$300,B3668)&gt;0,"✓","⚠ add to Campaigns tab"))</f>
        <v/>
      </c>
      <c r="I3668" s="84" t="str">
        <f aca="false">IF(C3668="","",C3668*IF(Settings!$B$23=Settings!$C$6,1,IF(Settings!$B$23="USD",1/INDEX(Settings!$B$29:$B$40,MONTH(A3668)),INDEX(Settings!$B$29:$B$40,MONTH(A3668)))))</f>
        <v/>
      </c>
    </row>
    <row r="3669" customFormat="false" ht="15" hidden="false" customHeight="false" outlineLevel="0" collapsed="false">
      <c r="H3669" s="0" t="str">
        <f aca="false">IF(B3669="","",IF(COUNTIF(Campaigns!$A$7:$A$300,B3669)&gt;0,"✓","⚠ add to Campaigns tab"))</f>
        <v/>
      </c>
      <c r="I3669" s="84" t="str">
        <f aca="false">IF(C3669="","",C3669*IF(Settings!$B$23=Settings!$C$6,1,IF(Settings!$B$23="USD",1/INDEX(Settings!$B$29:$B$40,MONTH(A3669)),INDEX(Settings!$B$29:$B$40,MONTH(A3669)))))</f>
        <v/>
      </c>
    </row>
    <row r="3670" customFormat="false" ht="15" hidden="false" customHeight="false" outlineLevel="0" collapsed="false">
      <c r="H3670" s="0" t="str">
        <f aca="false">IF(B3670="","",IF(COUNTIF(Campaigns!$A$7:$A$300,B3670)&gt;0,"✓","⚠ add to Campaigns tab"))</f>
        <v/>
      </c>
      <c r="I3670" s="84" t="str">
        <f aca="false">IF(C3670="","",C3670*IF(Settings!$B$23=Settings!$C$6,1,IF(Settings!$B$23="USD",1/INDEX(Settings!$B$29:$B$40,MONTH(A3670)),INDEX(Settings!$B$29:$B$40,MONTH(A3670)))))</f>
        <v/>
      </c>
    </row>
    <row r="3671" customFormat="false" ht="15" hidden="false" customHeight="false" outlineLevel="0" collapsed="false">
      <c r="H3671" s="0" t="str">
        <f aca="false">IF(B3671="","",IF(COUNTIF(Campaigns!$A$7:$A$300,B3671)&gt;0,"✓","⚠ add to Campaigns tab"))</f>
        <v/>
      </c>
      <c r="I3671" s="84" t="str">
        <f aca="false">IF(C3671="","",C3671*IF(Settings!$B$23=Settings!$C$6,1,IF(Settings!$B$23="USD",1/INDEX(Settings!$B$29:$B$40,MONTH(A3671)),INDEX(Settings!$B$29:$B$40,MONTH(A3671)))))</f>
        <v/>
      </c>
    </row>
    <row r="3672" customFormat="false" ht="15" hidden="false" customHeight="false" outlineLevel="0" collapsed="false">
      <c r="H3672" s="0" t="str">
        <f aca="false">IF(B3672="","",IF(COUNTIF(Campaigns!$A$7:$A$300,B3672)&gt;0,"✓","⚠ add to Campaigns tab"))</f>
        <v/>
      </c>
      <c r="I3672" s="84" t="str">
        <f aca="false">IF(C3672="","",C3672*IF(Settings!$B$23=Settings!$C$6,1,IF(Settings!$B$23="USD",1/INDEX(Settings!$B$29:$B$40,MONTH(A3672)),INDEX(Settings!$B$29:$B$40,MONTH(A3672)))))</f>
        <v/>
      </c>
    </row>
    <row r="3673" customFormat="false" ht="15" hidden="false" customHeight="false" outlineLevel="0" collapsed="false">
      <c r="H3673" s="0" t="str">
        <f aca="false">IF(B3673="","",IF(COUNTIF(Campaigns!$A$7:$A$300,B3673)&gt;0,"✓","⚠ add to Campaigns tab"))</f>
        <v/>
      </c>
      <c r="I3673" s="84" t="str">
        <f aca="false">IF(C3673="","",C3673*IF(Settings!$B$23=Settings!$C$6,1,IF(Settings!$B$23="USD",1/INDEX(Settings!$B$29:$B$40,MONTH(A3673)),INDEX(Settings!$B$29:$B$40,MONTH(A3673)))))</f>
        <v/>
      </c>
    </row>
    <row r="3674" customFormat="false" ht="15" hidden="false" customHeight="false" outlineLevel="0" collapsed="false">
      <c r="H3674" s="0" t="str">
        <f aca="false">IF(B3674="","",IF(COUNTIF(Campaigns!$A$7:$A$300,B3674)&gt;0,"✓","⚠ add to Campaigns tab"))</f>
        <v/>
      </c>
      <c r="I3674" s="84" t="str">
        <f aca="false">IF(C3674="","",C3674*IF(Settings!$B$23=Settings!$C$6,1,IF(Settings!$B$23="USD",1/INDEX(Settings!$B$29:$B$40,MONTH(A3674)),INDEX(Settings!$B$29:$B$40,MONTH(A3674)))))</f>
        <v/>
      </c>
    </row>
    <row r="3675" customFormat="false" ht="15" hidden="false" customHeight="false" outlineLevel="0" collapsed="false">
      <c r="H3675" s="0" t="str">
        <f aca="false">IF(B3675="","",IF(COUNTIF(Campaigns!$A$7:$A$300,B3675)&gt;0,"✓","⚠ add to Campaigns tab"))</f>
        <v/>
      </c>
      <c r="I3675" s="84" t="str">
        <f aca="false">IF(C3675="","",C3675*IF(Settings!$B$23=Settings!$C$6,1,IF(Settings!$B$23="USD",1/INDEX(Settings!$B$29:$B$40,MONTH(A3675)),INDEX(Settings!$B$29:$B$40,MONTH(A3675)))))</f>
        <v/>
      </c>
    </row>
    <row r="3676" customFormat="false" ht="15" hidden="false" customHeight="false" outlineLevel="0" collapsed="false">
      <c r="H3676" s="0" t="str">
        <f aca="false">IF(B3676="","",IF(COUNTIF(Campaigns!$A$7:$A$300,B3676)&gt;0,"✓","⚠ add to Campaigns tab"))</f>
        <v/>
      </c>
      <c r="I3676" s="84" t="str">
        <f aca="false">IF(C3676="","",C3676*IF(Settings!$B$23=Settings!$C$6,1,IF(Settings!$B$23="USD",1/INDEX(Settings!$B$29:$B$40,MONTH(A3676)),INDEX(Settings!$B$29:$B$40,MONTH(A3676)))))</f>
        <v/>
      </c>
    </row>
    <row r="3677" customFormat="false" ht="15" hidden="false" customHeight="false" outlineLevel="0" collapsed="false">
      <c r="H3677" s="0" t="str">
        <f aca="false">IF(B3677="","",IF(COUNTIF(Campaigns!$A$7:$A$300,B3677)&gt;0,"✓","⚠ add to Campaigns tab"))</f>
        <v/>
      </c>
      <c r="I3677" s="84" t="str">
        <f aca="false">IF(C3677="","",C3677*IF(Settings!$B$23=Settings!$C$6,1,IF(Settings!$B$23="USD",1/INDEX(Settings!$B$29:$B$40,MONTH(A3677)),INDEX(Settings!$B$29:$B$40,MONTH(A3677)))))</f>
        <v/>
      </c>
    </row>
    <row r="3678" customFormat="false" ht="15" hidden="false" customHeight="false" outlineLevel="0" collapsed="false">
      <c r="H3678" s="0" t="str">
        <f aca="false">IF(B3678="","",IF(COUNTIF(Campaigns!$A$7:$A$300,B3678)&gt;0,"✓","⚠ add to Campaigns tab"))</f>
        <v/>
      </c>
      <c r="I3678" s="84" t="str">
        <f aca="false">IF(C3678="","",C3678*IF(Settings!$B$23=Settings!$C$6,1,IF(Settings!$B$23="USD",1/INDEX(Settings!$B$29:$B$40,MONTH(A3678)),INDEX(Settings!$B$29:$B$40,MONTH(A3678)))))</f>
        <v/>
      </c>
    </row>
    <row r="3679" customFormat="false" ht="15" hidden="false" customHeight="false" outlineLevel="0" collapsed="false">
      <c r="H3679" s="0" t="str">
        <f aca="false">IF(B3679="","",IF(COUNTIF(Campaigns!$A$7:$A$300,B3679)&gt;0,"✓","⚠ add to Campaigns tab"))</f>
        <v/>
      </c>
      <c r="I3679" s="84" t="str">
        <f aca="false">IF(C3679="","",C3679*IF(Settings!$B$23=Settings!$C$6,1,IF(Settings!$B$23="USD",1/INDEX(Settings!$B$29:$B$40,MONTH(A3679)),INDEX(Settings!$B$29:$B$40,MONTH(A3679)))))</f>
        <v/>
      </c>
    </row>
    <row r="3680" customFormat="false" ht="15" hidden="false" customHeight="false" outlineLevel="0" collapsed="false">
      <c r="H3680" s="0" t="str">
        <f aca="false">IF(B3680="","",IF(COUNTIF(Campaigns!$A$7:$A$300,B3680)&gt;0,"✓","⚠ add to Campaigns tab"))</f>
        <v/>
      </c>
      <c r="I3680" s="84" t="str">
        <f aca="false">IF(C3680="","",C3680*IF(Settings!$B$23=Settings!$C$6,1,IF(Settings!$B$23="USD",1/INDEX(Settings!$B$29:$B$40,MONTH(A3680)),INDEX(Settings!$B$29:$B$40,MONTH(A3680)))))</f>
        <v/>
      </c>
    </row>
    <row r="3681" customFormat="false" ht="15" hidden="false" customHeight="false" outlineLevel="0" collapsed="false">
      <c r="H3681" s="0" t="str">
        <f aca="false">IF(B3681="","",IF(COUNTIF(Campaigns!$A$7:$A$300,B3681)&gt;0,"✓","⚠ add to Campaigns tab"))</f>
        <v/>
      </c>
      <c r="I3681" s="84" t="str">
        <f aca="false">IF(C3681="","",C3681*IF(Settings!$B$23=Settings!$C$6,1,IF(Settings!$B$23="USD",1/INDEX(Settings!$B$29:$B$40,MONTH(A3681)),INDEX(Settings!$B$29:$B$40,MONTH(A3681)))))</f>
        <v/>
      </c>
    </row>
    <row r="3682" customFormat="false" ht="15" hidden="false" customHeight="false" outlineLevel="0" collapsed="false">
      <c r="H3682" s="0" t="str">
        <f aca="false">IF(B3682="","",IF(COUNTIF(Campaigns!$A$7:$A$300,B3682)&gt;0,"✓","⚠ add to Campaigns tab"))</f>
        <v/>
      </c>
      <c r="I3682" s="84" t="str">
        <f aca="false">IF(C3682="","",C3682*IF(Settings!$B$23=Settings!$C$6,1,IF(Settings!$B$23="USD",1/INDEX(Settings!$B$29:$B$40,MONTH(A3682)),INDEX(Settings!$B$29:$B$40,MONTH(A3682)))))</f>
        <v/>
      </c>
    </row>
    <row r="3683" customFormat="false" ht="15" hidden="false" customHeight="false" outlineLevel="0" collapsed="false">
      <c r="H3683" s="0" t="str">
        <f aca="false">IF(B3683="","",IF(COUNTIF(Campaigns!$A$7:$A$300,B3683)&gt;0,"✓","⚠ add to Campaigns tab"))</f>
        <v/>
      </c>
      <c r="I3683" s="84" t="str">
        <f aca="false">IF(C3683="","",C3683*IF(Settings!$B$23=Settings!$C$6,1,IF(Settings!$B$23="USD",1/INDEX(Settings!$B$29:$B$40,MONTH(A3683)),INDEX(Settings!$B$29:$B$40,MONTH(A3683)))))</f>
        <v/>
      </c>
    </row>
    <row r="3684" customFormat="false" ht="15" hidden="false" customHeight="false" outlineLevel="0" collapsed="false">
      <c r="H3684" s="0" t="str">
        <f aca="false">IF(B3684="","",IF(COUNTIF(Campaigns!$A$7:$A$300,B3684)&gt;0,"✓","⚠ add to Campaigns tab"))</f>
        <v/>
      </c>
      <c r="I3684" s="84" t="str">
        <f aca="false">IF(C3684="","",C3684*IF(Settings!$B$23=Settings!$C$6,1,IF(Settings!$B$23="USD",1/INDEX(Settings!$B$29:$B$40,MONTH(A3684)),INDEX(Settings!$B$29:$B$40,MONTH(A3684)))))</f>
        <v/>
      </c>
    </row>
    <row r="3685" customFormat="false" ht="15" hidden="false" customHeight="false" outlineLevel="0" collapsed="false">
      <c r="H3685" s="0" t="str">
        <f aca="false">IF(B3685="","",IF(COUNTIF(Campaigns!$A$7:$A$300,B3685)&gt;0,"✓","⚠ add to Campaigns tab"))</f>
        <v/>
      </c>
      <c r="I3685" s="84" t="str">
        <f aca="false">IF(C3685="","",C3685*IF(Settings!$B$23=Settings!$C$6,1,IF(Settings!$B$23="USD",1/INDEX(Settings!$B$29:$B$40,MONTH(A3685)),INDEX(Settings!$B$29:$B$40,MONTH(A3685)))))</f>
        <v/>
      </c>
    </row>
    <row r="3686" customFormat="false" ht="15" hidden="false" customHeight="false" outlineLevel="0" collapsed="false">
      <c r="H3686" s="0" t="str">
        <f aca="false">IF(B3686="","",IF(COUNTIF(Campaigns!$A$7:$A$300,B3686)&gt;0,"✓","⚠ add to Campaigns tab"))</f>
        <v/>
      </c>
      <c r="I3686" s="84" t="str">
        <f aca="false">IF(C3686="","",C3686*IF(Settings!$B$23=Settings!$C$6,1,IF(Settings!$B$23="USD",1/INDEX(Settings!$B$29:$B$40,MONTH(A3686)),INDEX(Settings!$B$29:$B$40,MONTH(A3686)))))</f>
        <v/>
      </c>
    </row>
    <row r="3687" customFormat="false" ht="15" hidden="false" customHeight="false" outlineLevel="0" collapsed="false">
      <c r="H3687" s="0" t="str">
        <f aca="false">IF(B3687="","",IF(COUNTIF(Campaigns!$A$7:$A$300,B3687)&gt;0,"✓","⚠ add to Campaigns tab"))</f>
        <v/>
      </c>
      <c r="I3687" s="84" t="str">
        <f aca="false">IF(C3687="","",C3687*IF(Settings!$B$23=Settings!$C$6,1,IF(Settings!$B$23="USD",1/INDEX(Settings!$B$29:$B$40,MONTH(A3687)),INDEX(Settings!$B$29:$B$40,MONTH(A3687)))))</f>
        <v/>
      </c>
    </row>
    <row r="3688" customFormat="false" ht="15" hidden="false" customHeight="false" outlineLevel="0" collapsed="false">
      <c r="H3688" s="0" t="str">
        <f aca="false">IF(B3688="","",IF(COUNTIF(Campaigns!$A$7:$A$300,B3688)&gt;0,"✓","⚠ add to Campaigns tab"))</f>
        <v/>
      </c>
      <c r="I3688" s="84" t="str">
        <f aca="false">IF(C3688="","",C3688*IF(Settings!$B$23=Settings!$C$6,1,IF(Settings!$B$23="USD",1/INDEX(Settings!$B$29:$B$40,MONTH(A3688)),INDEX(Settings!$B$29:$B$40,MONTH(A3688)))))</f>
        <v/>
      </c>
    </row>
    <row r="3689" customFormat="false" ht="15" hidden="false" customHeight="false" outlineLevel="0" collapsed="false">
      <c r="H3689" s="0" t="str">
        <f aca="false">IF(B3689="","",IF(COUNTIF(Campaigns!$A$7:$A$300,B3689)&gt;0,"✓","⚠ add to Campaigns tab"))</f>
        <v/>
      </c>
      <c r="I3689" s="84" t="str">
        <f aca="false">IF(C3689="","",C3689*IF(Settings!$B$23=Settings!$C$6,1,IF(Settings!$B$23="USD",1/INDEX(Settings!$B$29:$B$40,MONTH(A3689)),INDEX(Settings!$B$29:$B$40,MONTH(A3689)))))</f>
        <v/>
      </c>
    </row>
    <row r="3690" customFormat="false" ht="15" hidden="false" customHeight="false" outlineLevel="0" collapsed="false">
      <c r="H3690" s="0" t="str">
        <f aca="false">IF(B3690="","",IF(COUNTIF(Campaigns!$A$7:$A$300,B3690)&gt;0,"✓","⚠ add to Campaigns tab"))</f>
        <v/>
      </c>
      <c r="I3690" s="84" t="str">
        <f aca="false">IF(C3690="","",C3690*IF(Settings!$B$23=Settings!$C$6,1,IF(Settings!$B$23="USD",1/INDEX(Settings!$B$29:$B$40,MONTH(A3690)),INDEX(Settings!$B$29:$B$40,MONTH(A3690)))))</f>
        <v/>
      </c>
    </row>
    <row r="3691" customFormat="false" ht="15" hidden="false" customHeight="false" outlineLevel="0" collapsed="false">
      <c r="H3691" s="0" t="str">
        <f aca="false">IF(B3691="","",IF(COUNTIF(Campaigns!$A$7:$A$300,B3691)&gt;0,"✓","⚠ add to Campaigns tab"))</f>
        <v/>
      </c>
      <c r="I3691" s="84" t="str">
        <f aca="false">IF(C3691="","",C3691*IF(Settings!$B$23=Settings!$C$6,1,IF(Settings!$B$23="USD",1/INDEX(Settings!$B$29:$B$40,MONTH(A3691)),INDEX(Settings!$B$29:$B$40,MONTH(A3691)))))</f>
        <v/>
      </c>
    </row>
    <row r="3692" customFormat="false" ht="15" hidden="false" customHeight="false" outlineLevel="0" collapsed="false">
      <c r="H3692" s="0" t="str">
        <f aca="false">IF(B3692="","",IF(COUNTIF(Campaigns!$A$7:$A$300,B3692)&gt;0,"✓","⚠ add to Campaigns tab"))</f>
        <v/>
      </c>
      <c r="I3692" s="84" t="str">
        <f aca="false">IF(C3692="","",C3692*IF(Settings!$B$23=Settings!$C$6,1,IF(Settings!$B$23="USD",1/INDEX(Settings!$B$29:$B$40,MONTH(A3692)),INDEX(Settings!$B$29:$B$40,MONTH(A3692)))))</f>
        <v/>
      </c>
    </row>
    <row r="3693" customFormat="false" ht="15" hidden="false" customHeight="false" outlineLevel="0" collapsed="false">
      <c r="H3693" s="0" t="str">
        <f aca="false">IF(B3693="","",IF(COUNTIF(Campaigns!$A$7:$A$300,B3693)&gt;0,"✓","⚠ add to Campaigns tab"))</f>
        <v/>
      </c>
      <c r="I3693" s="84" t="str">
        <f aca="false">IF(C3693="","",C3693*IF(Settings!$B$23=Settings!$C$6,1,IF(Settings!$B$23="USD",1/INDEX(Settings!$B$29:$B$40,MONTH(A3693)),INDEX(Settings!$B$29:$B$40,MONTH(A3693)))))</f>
        <v/>
      </c>
    </row>
    <row r="3694" customFormat="false" ht="15" hidden="false" customHeight="false" outlineLevel="0" collapsed="false">
      <c r="H3694" s="0" t="str">
        <f aca="false">IF(B3694="","",IF(COUNTIF(Campaigns!$A$7:$A$300,B3694)&gt;0,"✓","⚠ add to Campaigns tab"))</f>
        <v/>
      </c>
      <c r="I3694" s="84" t="str">
        <f aca="false">IF(C3694="","",C3694*IF(Settings!$B$23=Settings!$C$6,1,IF(Settings!$B$23="USD",1/INDEX(Settings!$B$29:$B$40,MONTH(A3694)),INDEX(Settings!$B$29:$B$40,MONTH(A3694)))))</f>
        <v/>
      </c>
    </row>
    <row r="3695" customFormat="false" ht="15" hidden="false" customHeight="false" outlineLevel="0" collapsed="false">
      <c r="H3695" s="0" t="str">
        <f aca="false">IF(B3695="","",IF(COUNTIF(Campaigns!$A$7:$A$300,B3695)&gt;0,"✓","⚠ add to Campaigns tab"))</f>
        <v/>
      </c>
      <c r="I3695" s="84" t="str">
        <f aca="false">IF(C3695="","",C3695*IF(Settings!$B$23=Settings!$C$6,1,IF(Settings!$B$23="USD",1/INDEX(Settings!$B$29:$B$40,MONTH(A3695)),INDEX(Settings!$B$29:$B$40,MONTH(A3695)))))</f>
        <v/>
      </c>
    </row>
    <row r="3696" customFormat="false" ht="15" hidden="false" customHeight="false" outlineLevel="0" collapsed="false">
      <c r="H3696" s="0" t="str">
        <f aca="false">IF(B3696="","",IF(COUNTIF(Campaigns!$A$7:$A$300,B3696)&gt;0,"✓","⚠ add to Campaigns tab"))</f>
        <v/>
      </c>
      <c r="I3696" s="84" t="str">
        <f aca="false">IF(C3696="","",C3696*IF(Settings!$B$23=Settings!$C$6,1,IF(Settings!$B$23="USD",1/INDEX(Settings!$B$29:$B$40,MONTH(A3696)),INDEX(Settings!$B$29:$B$40,MONTH(A3696)))))</f>
        <v/>
      </c>
    </row>
    <row r="3697" customFormat="false" ht="15" hidden="false" customHeight="false" outlineLevel="0" collapsed="false">
      <c r="H3697" s="0" t="str">
        <f aca="false">IF(B3697="","",IF(COUNTIF(Campaigns!$A$7:$A$300,B3697)&gt;0,"✓","⚠ add to Campaigns tab"))</f>
        <v/>
      </c>
      <c r="I3697" s="84" t="str">
        <f aca="false">IF(C3697="","",C3697*IF(Settings!$B$23=Settings!$C$6,1,IF(Settings!$B$23="USD",1/INDEX(Settings!$B$29:$B$40,MONTH(A3697)),INDEX(Settings!$B$29:$B$40,MONTH(A3697)))))</f>
        <v/>
      </c>
    </row>
    <row r="3698" customFormat="false" ht="15" hidden="false" customHeight="false" outlineLevel="0" collapsed="false">
      <c r="H3698" s="0" t="str">
        <f aca="false">IF(B3698="","",IF(COUNTIF(Campaigns!$A$7:$A$300,B3698)&gt;0,"✓","⚠ add to Campaigns tab"))</f>
        <v/>
      </c>
      <c r="I3698" s="84" t="str">
        <f aca="false">IF(C3698="","",C3698*IF(Settings!$B$23=Settings!$C$6,1,IF(Settings!$B$23="USD",1/INDEX(Settings!$B$29:$B$40,MONTH(A3698)),INDEX(Settings!$B$29:$B$40,MONTH(A3698)))))</f>
        <v/>
      </c>
    </row>
    <row r="3699" customFormat="false" ht="15" hidden="false" customHeight="false" outlineLevel="0" collapsed="false">
      <c r="H3699" s="0" t="str">
        <f aca="false">IF(B3699="","",IF(COUNTIF(Campaigns!$A$7:$A$300,B3699)&gt;0,"✓","⚠ add to Campaigns tab"))</f>
        <v/>
      </c>
      <c r="I3699" s="84" t="str">
        <f aca="false">IF(C3699="","",C3699*IF(Settings!$B$23=Settings!$C$6,1,IF(Settings!$B$23="USD",1/INDEX(Settings!$B$29:$B$40,MONTH(A3699)),INDEX(Settings!$B$29:$B$40,MONTH(A3699)))))</f>
        <v/>
      </c>
    </row>
    <row r="3700" customFormat="false" ht="15" hidden="false" customHeight="false" outlineLevel="0" collapsed="false">
      <c r="H3700" s="0" t="str">
        <f aca="false">IF(B3700="","",IF(COUNTIF(Campaigns!$A$7:$A$300,B3700)&gt;0,"✓","⚠ add to Campaigns tab"))</f>
        <v/>
      </c>
      <c r="I3700" s="84" t="str">
        <f aca="false">IF(C3700="","",C3700*IF(Settings!$B$23=Settings!$C$6,1,IF(Settings!$B$23="USD",1/INDEX(Settings!$B$29:$B$40,MONTH(A3700)),INDEX(Settings!$B$29:$B$40,MONTH(A3700)))))</f>
        <v/>
      </c>
    </row>
    <row r="3701" customFormat="false" ht="15" hidden="false" customHeight="false" outlineLevel="0" collapsed="false">
      <c r="H3701" s="0" t="str">
        <f aca="false">IF(B3701="","",IF(COUNTIF(Campaigns!$A$7:$A$300,B3701)&gt;0,"✓","⚠ add to Campaigns tab"))</f>
        <v/>
      </c>
      <c r="I3701" s="84" t="str">
        <f aca="false">IF(C3701="","",C3701*IF(Settings!$B$23=Settings!$C$6,1,IF(Settings!$B$23="USD",1/INDEX(Settings!$B$29:$B$40,MONTH(A3701)),INDEX(Settings!$B$29:$B$40,MONTH(A3701)))))</f>
        <v/>
      </c>
    </row>
    <row r="3702" customFormat="false" ht="15" hidden="false" customHeight="false" outlineLevel="0" collapsed="false">
      <c r="H3702" s="0" t="str">
        <f aca="false">IF(B3702="","",IF(COUNTIF(Campaigns!$A$7:$A$300,B3702)&gt;0,"✓","⚠ add to Campaigns tab"))</f>
        <v/>
      </c>
      <c r="I3702" s="84" t="str">
        <f aca="false">IF(C3702="","",C3702*IF(Settings!$B$23=Settings!$C$6,1,IF(Settings!$B$23="USD",1/INDEX(Settings!$B$29:$B$40,MONTH(A3702)),INDEX(Settings!$B$29:$B$40,MONTH(A3702)))))</f>
        <v/>
      </c>
    </row>
    <row r="3703" customFormat="false" ht="15" hidden="false" customHeight="false" outlineLevel="0" collapsed="false">
      <c r="H3703" s="0" t="str">
        <f aca="false">IF(B3703="","",IF(COUNTIF(Campaigns!$A$7:$A$300,B3703)&gt;0,"✓","⚠ add to Campaigns tab"))</f>
        <v/>
      </c>
      <c r="I3703" s="84" t="str">
        <f aca="false">IF(C3703="","",C3703*IF(Settings!$B$23=Settings!$C$6,1,IF(Settings!$B$23="USD",1/INDEX(Settings!$B$29:$B$40,MONTH(A3703)),INDEX(Settings!$B$29:$B$40,MONTH(A3703)))))</f>
        <v/>
      </c>
    </row>
    <row r="3704" customFormat="false" ht="15" hidden="false" customHeight="false" outlineLevel="0" collapsed="false">
      <c r="H3704" s="0" t="str">
        <f aca="false">IF(B3704="","",IF(COUNTIF(Campaigns!$A$7:$A$300,B3704)&gt;0,"✓","⚠ add to Campaigns tab"))</f>
        <v/>
      </c>
      <c r="I3704" s="84" t="str">
        <f aca="false">IF(C3704="","",C3704*IF(Settings!$B$23=Settings!$C$6,1,IF(Settings!$B$23="USD",1/INDEX(Settings!$B$29:$B$40,MONTH(A3704)),INDEX(Settings!$B$29:$B$40,MONTH(A3704)))))</f>
        <v/>
      </c>
    </row>
    <row r="3705" customFormat="false" ht="15" hidden="false" customHeight="false" outlineLevel="0" collapsed="false">
      <c r="H3705" s="0" t="str">
        <f aca="false">IF(B3705="","",IF(COUNTIF(Campaigns!$A$7:$A$300,B3705)&gt;0,"✓","⚠ add to Campaigns tab"))</f>
        <v/>
      </c>
      <c r="I3705" s="84" t="str">
        <f aca="false">IF(C3705="","",C3705*IF(Settings!$B$23=Settings!$C$6,1,IF(Settings!$B$23="USD",1/INDEX(Settings!$B$29:$B$40,MONTH(A3705)),INDEX(Settings!$B$29:$B$40,MONTH(A3705)))))</f>
        <v/>
      </c>
    </row>
    <row r="3706" customFormat="false" ht="15" hidden="false" customHeight="false" outlineLevel="0" collapsed="false">
      <c r="H3706" s="0" t="str">
        <f aca="false">IF(B3706="","",IF(COUNTIF(Campaigns!$A$7:$A$300,B3706)&gt;0,"✓","⚠ add to Campaigns tab"))</f>
        <v/>
      </c>
      <c r="I3706" s="84" t="str">
        <f aca="false">IF(C3706="","",C3706*IF(Settings!$B$23=Settings!$C$6,1,IF(Settings!$B$23="USD",1/INDEX(Settings!$B$29:$B$40,MONTH(A3706)),INDEX(Settings!$B$29:$B$40,MONTH(A3706)))))</f>
        <v/>
      </c>
    </row>
    <row r="3707" customFormat="false" ht="15" hidden="false" customHeight="false" outlineLevel="0" collapsed="false">
      <c r="H3707" s="0" t="str">
        <f aca="false">IF(B3707="","",IF(COUNTIF(Campaigns!$A$7:$A$300,B3707)&gt;0,"✓","⚠ add to Campaigns tab"))</f>
        <v/>
      </c>
      <c r="I3707" s="84" t="str">
        <f aca="false">IF(C3707="","",C3707*IF(Settings!$B$23=Settings!$C$6,1,IF(Settings!$B$23="USD",1/INDEX(Settings!$B$29:$B$40,MONTH(A3707)),INDEX(Settings!$B$29:$B$40,MONTH(A3707)))))</f>
        <v/>
      </c>
    </row>
    <row r="3708" customFormat="false" ht="15" hidden="false" customHeight="false" outlineLevel="0" collapsed="false">
      <c r="H3708" s="0" t="str">
        <f aca="false">IF(B3708="","",IF(COUNTIF(Campaigns!$A$7:$A$300,B3708)&gt;0,"✓","⚠ add to Campaigns tab"))</f>
        <v/>
      </c>
      <c r="I3708" s="84" t="str">
        <f aca="false">IF(C3708="","",C3708*IF(Settings!$B$23=Settings!$C$6,1,IF(Settings!$B$23="USD",1/INDEX(Settings!$B$29:$B$40,MONTH(A3708)),INDEX(Settings!$B$29:$B$40,MONTH(A3708)))))</f>
        <v/>
      </c>
    </row>
    <row r="3709" customFormat="false" ht="15" hidden="false" customHeight="false" outlineLevel="0" collapsed="false">
      <c r="H3709" s="0" t="str">
        <f aca="false">IF(B3709="","",IF(COUNTIF(Campaigns!$A$7:$A$300,B3709)&gt;0,"✓","⚠ add to Campaigns tab"))</f>
        <v/>
      </c>
      <c r="I3709" s="84" t="str">
        <f aca="false">IF(C3709="","",C3709*IF(Settings!$B$23=Settings!$C$6,1,IF(Settings!$B$23="USD",1/INDEX(Settings!$B$29:$B$40,MONTH(A3709)),INDEX(Settings!$B$29:$B$40,MONTH(A3709)))))</f>
        <v/>
      </c>
    </row>
    <row r="3710" customFormat="false" ht="15" hidden="false" customHeight="false" outlineLevel="0" collapsed="false">
      <c r="H3710" s="0" t="str">
        <f aca="false">IF(B3710="","",IF(COUNTIF(Campaigns!$A$7:$A$300,B3710)&gt;0,"✓","⚠ add to Campaigns tab"))</f>
        <v/>
      </c>
      <c r="I3710" s="84" t="str">
        <f aca="false">IF(C3710="","",C3710*IF(Settings!$B$23=Settings!$C$6,1,IF(Settings!$B$23="USD",1/INDEX(Settings!$B$29:$B$40,MONTH(A3710)),INDEX(Settings!$B$29:$B$40,MONTH(A3710)))))</f>
        <v/>
      </c>
    </row>
    <row r="3711" customFormat="false" ht="15" hidden="false" customHeight="false" outlineLevel="0" collapsed="false">
      <c r="H3711" s="0" t="str">
        <f aca="false">IF(B3711="","",IF(COUNTIF(Campaigns!$A$7:$A$300,B3711)&gt;0,"✓","⚠ add to Campaigns tab"))</f>
        <v/>
      </c>
      <c r="I3711" s="84" t="str">
        <f aca="false">IF(C3711="","",C3711*IF(Settings!$B$23=Settings!$C$6,1,IF(Settings!$B$23="USD",1/INDEX(Settings!$B$29:$B$40,MONTH(A3711)),INDEX(Settings!$B$29:$B$40,MONTH(A3711)))))</f>
        <v/>
      </c>
    </row>
    <row r="3712" customFormat="false" ht="15" hidden="false" customHeight="false" outlineLevel="0" collapsed="false">
      <c r="H3712" s="0" t="str">
        <f aca="false">IF(B3712="","",IF(COUNTIF(Campaigns!$A$7:$A$300,B3712)&gt;0,"✓","⚠ add to Campaigns tab"))</f>
        <v/>
      </c>
      <c r="I3712" s="84" t="str">
        <f aca="false">IF(C3712="","",C3712*IF(Settings!$B$23=Settings!$C$6,1,IF(Settings!$B$23="USD",1/INDEX(Settings!$B$29:$B$40,MONTH(A3712)),INDEX(Settings!$B$29:$B$40,MONTH(A3712)))))</f>
        <v/>
      </c>
    </row>
    <row r="3713" customFormat="false" ht="15" hidden="false" customHeight="false" outlineLevel="0" collapsed="false">
      <c r="H3713" s="0" t="str">
        <f aca="false">IF(B3713="","",IF(COUNTIF(Campaigns!$A$7:$A$300,B3713)&gt;0,"✓","⚠ add to Campaigns tab"))</f>
        <v/>
      </c>
      <c r="I3713" s="84" t="str">
        <f aca="false">IF(C3713="","",C3713*IF(Settings!$B$23=Settings!$C$6,1,IF(Settings!$B$23="USD",1/INDEX(Settings!$B$29:$B$40,MONTH(A3713)),INDEX(Settings!$B$29:$B$40,MONTH(A3713)))))</f>
        <v/>
      </c>
    </row>
    <row r="3714" customFormat="false" ht="15" hidden="false" customHeight="false" outlineLevel="0" collapsed="false">
      <c r="H3714" s="0" t="str">
        <f aca="false">IF(B3714="","",IF(COUNTIF(Campaigns!$A$7:$A$300,B3714)&gt;0,"✓","⚠ add to Campaigns tab"))</f>
        <v/>
      </c>
      <c r="I3714" s="84" t="str">
        <f aca="false">IF(C3714="","",C3714*IF(Settings!$B$23=Settings!$C$6,1,IF(Settings!$B$23="USD",1/INDEX(Settings!$B$29:$B$40,MONTH(A3714)),INDEX(Settings!$B$29:$B$40,MONTH(A3714)))))</f>
        <v/>
      </c>
    </row>
    <row r="3715" customFormat="false" ht="15" hidden="false" customHeight="false" outlineLevel="0" collapsed="false">
      <c r="H3715" s="0" t="str">
        <f aca="false">IF(B3715="","",IF(COUNTIF(Campaigns!$A$7:$A$300,B3715)&gt;0,"✓","⚠ add to Campaigns tab"))</f>
        <v/>
      </c>
      <c r="I3715" s="84" t="str">
        <f aca="false">IF(C3715="","",C3715*IF(Settings!$B$23=Settings!$C$6,1,IF(Settings!$B$23="USD",1/INDEX(Settings!$B$29:$B$40,MONTH(A3715)),INDEX(Settings!$B$29:$B$40,MONTH(A3715)))))</f>
        <v/>
      </c>
    </row>
    <row r="3716" customFormat="false" ht="15" hidden="false" customHeight="false" outlineLevel="0" collapsed="false">
      <c r="H3716" s="0" t="str">
        <f aca="false">IF(B3716="","",IF(COUNTIF(Campaigns!$A$7:$A$300,B3716)&gt;0,"✓","⚠ add to Campaigns tab"))</f>
        <v/>
      </c>
      <c r="I3716" s="84" t="str">
        <f aca="false">IF(C3716="","",C3716*IF(Settings!$B$23=Settings!$C$6,1,IF(Settings!$B$23="USD",1/INDEX(Settings!$B$29:$B$40,MONTH(A3716)),INDEX(Settings!$B$29:$B$40,MONTH(A3716)))))</f>
        <v/>
      </c>
    </row>
    <row r="3717" customFormat="false" ht="15" hidden="false" customHeight="false" outlineLevel="0" collapsed="false">
      <c r="H3717" s="0" t="str">
        <f aca="false">IF(B3717="","",IF(COUNTIF(Campaigns!$A$7:$A$300,B3717)&gt;0,"✓","⚠ add to Campaigns tab"))</f>
        <v/>
      </c>
      <c r="I3717" s="84" t="str">
        <f aca="false">IF(C3717="","",C3717*IF(Settings!$B$23=Settings!$C$6,1,IF(Settings!$B$23="USD",1/INDEX(Settings!$B$29:$B$40,MONTH(A3717)),INDEX(Settings!$B$29:$B$40,MONTH(A3717)))))</f>
        <v/>
      </c>
    </row>
    <row r="3718" customFormat="false" ht="15" hidden="false" customHeight="false" outlineLevel="0" collapsed="false">
      <c r="H3718" s="0" t="str">
        <f aca="false">IF(B3718="","",IF(COUNTIF(Campaigns!$A$7:$A$300,B3718)&gt;0,"✓","⚠ add to Campaigns tab"))</f>
        <v/>
      </c>
      <c r="I3718" s="84" t="str">
        <f aca="false">IF(C3718="","",C3718*IF(Settings!$B$23=Settings!$C$6,1,IF(Settings!$B$23="USD",1/INDEX(Settings!$B$29:$B$40,MONTH(A3718)),INDEX(Settings!$B$29:$B$40,MONTH(A3718)))))</f>
        <v/>
      </c>
    </row>
    <row r="3719" customFormat="false" ht="15" hidden="false" customHeight="false" outlineLevel="0" collapsed="false">
      <c r="H3719" s="0" t="str">
        <f aca="false">IF(B3719="","",IF(COUNTIF(Campaigns!$A$7:$A$300,B3719)&gt;0,"✓","⚠ add to Campaigns tab"))</f>
        <v/>
      </c>
      <c r="I3719" s="84" t="str">
        <f aca="false">IF(C3719="","",C3719*IF(Settings!$B$23=Settings!$C$6,1,IF(Settings!$B$23="USD",1/INDEX(Settings!$B$29:$B$40,MONTH(A3719)),INDEX(Settings!$B$29:$B$40,MONTH(A3719)))))</f>
        <v/>
      </c>
    </row>
    <row r="3720" customFormat="false" ht="15" hidden="false" customHeight="false" outlineLevel="0" collapsed="false">
      <c r="H3720" s="0" t="str">
        <f aca="false">IF(B3720="","",IF(COUNTIF(Campaigns!$A$7:$A$300,B3720)&gt;0,"✓","⚠ add to Campaigns tab"))</f>
        <v/>
      </c>
      <c r="I3720" s="84" t="str">
        <f aca="false">IF(C3720="","",C3720*IF(Settings!$B$23=Settings!$C$6,1,IF(Settings!$B$23="USD",1/INDEX(Settings!$B$29:$B$40,MONTH(A3720)),INDEX(Settings!$B$29:$B$40,MONTH(A3720)))))</f>
        <v/>
      </c>
    </row>
    <row r="3721" customFormat="false" ht="15" hidden="false" customHeight="false" outlineLevel="0" collapsed="false">
      <c r="H3721" s="0" t="str">
        <f aca="false">IF(B3721="","",IF(COUNTIF(Campaigns!$A$7:$A$300,B3721)&gt;0,"✓","⚠ add to Campaigns tab"))</f>
        <v/>
      </c>
      <c r="I3721" s="84" t="str">
        <f aca="false">IF(C3721="","",C3721*IF(Settings!$B$23=Settings!$C$6,1,IF(Settings!$B$23="USD",1/INDEX(Settings!$B$29:$B$40,MONTH(A3721)),INDEX(Settings!$B$29:$B$40,MONTH(A3721)))))</f>
        <v/>
      </c>
    </row>
    <row r="3722" customFormat="false" ht="15" hidden="false" customHeight="false" outlineLevel="0" collapsed="false">
      <c r="H3722" s="0" t="str">
        <f aca="false">IF(B3722="","",IF(COUNTIF(Campaigns!$A$7:$A$300,B3722)&gt;0,"✓","⚠ add to Campaigns tab"))</f>
        <v/>
      </c>
      <c r="I3722" s="84" t="str">
        <f aca="false">IF(C3722="","",C3722*IF(Settings!$B$23=Settings!$C$6,1,IF(Settings!$B$23="USD",1/INDEX(Settings!$B$29:$B$40,MONTH(A3722)),INDEX(Settings!$B$29:$B$40,MONTH(A3722)))))</f>
        <v/>
      </c>
    </row>
    <row r="3723" customFormat="false" ht="15" hidden="false" customHeight="false" outlineLevel="0" collapsed="false">
      <c r="H3723" s="0" t="str">
        <f aca="false">IF(B3723="","",IF(COUNTIF(Campaigns!$A$7:$A$300,B3723)&gt;0,"✓","⚠ add to Campaigns tab"))</f>
        <v/>
      </c>
      <c r="I3723" s="84" t="str">
        <f aca="false">IF(C3723="","",C3723*IF(Settings!$B$23=Settings!$C$6,1,IF(Settings!$B$23="USD",1/INDEX(Settings!$B$29:$B$40,MONTH(A3723)),INDEX(Settings!$B$29:$B$40,MONTH(A3723)))))</f>
        <v/>
      </c>
    </row>
    <row r="3724" customFormat="false" ht="15" hidden="false" customHeight="false" outlineLevel="0" collapsed="false">
      <c r="H3724" s="0" t="str">
        <f aca="false">IF(B3724="","",IF(COUNTIF(Campaigns!$A$7:$A$300,B3724)&gt;0,"✓","⚠ add to Campaigns tab"))</f>
        <v/>
      </c>
      <c r="I3724" s="84" t="str">
        <f aca="false">IF(C3724="","",C3724*IF(Settings!$B$23=Settings!$C$6,1,IF(Settings!$B$23="USD",1/INDEX(Settings!$B$29:$B$40,MONTH(A3724)),INDEX(Settings!$B$29:$B$40,MONTH(A3724)))))</f>
        <v/>
      </c>
    </row>
    <row r="3725" customFormat="false" ht="15" hidden="false" customHeight="false" outlineLevel="0" collapsed="false">
      <c r="H3725" s="0" t="str">
        <f aca="false">IF(B3725="","",IF(COUNTIF(Campaigns!$A$7:$A$300,B3725)&gt;0,"✓","⚠ add to Campaigns tab"))</f>
        <v/>
      </c>
      <c r="I3725" s="84" t="str">
        <f aca="false">IF(C3725="","",C3725*IF(Settings!$B$23=Settings!$C$6,1,IF(Settings!$B$23="USD",1/INDEX(Settings!$B$29:$B$40,MONTH(A3725)),INDEX(Settings!$B$29:$B$40,MONTH(A3725)))))</f>
        <v/>
      </c>
    </row>
    <row r="3726" customFormat="false" ht="15" hidden="false" customHeight="false" outlineLevel="0" collapsed="false">
      <c r="H3726" s="0" t="str">
        <f aca="false">IF(B3726="","",IF(COUNTIF(Campaigns!$A$7:$A$300,B3726)&gt;0,"✓","⚠ add to Campaigns tab"))</f>
        <v/>
      </c>
      <c r="I3726" s="84" t="str">
        <f aca="false">IF(C3726="","",C3726*IF(Settings!$B$23=Settings!$C$6,1,IF(Settings!$B$23="USD",1/INDEX(Settings!$B$29:$B$40,MONTH(A3726)),INDEX(Settings!$B$29:$B$40,MONTH(A3726)))))</f>
        <v/>
      </c>
    </row>
    <row r="3727" customFormat="false" ht="15" hidden="false" customHeight="false" outlineLevel="0" collapsed="false">
      <c r="H3727" s="0" t="str">
        <f aca="false">IF(B3727="","",IF(COUNTIF(Campaigns!$A$7:$A$300,B3727)&gt;0,"✓","⚠ add to Campaigns tab"))</f>
        <v/>
      </c>
      <c r="I3727" s="84" t="str">
        <f aca="false">IF(C3727="","",C3727*IF(Settings!$B$23=Settings!$C$6,1,IF(Settings!$B$23="USD",1/INDEX(Settings!$B$29:$B$40,MONTH(A3727)),INDEX(Settings!$B$29:$B$40,MONTH(A3727)))))</f>
        <v/>
      </c>
    </row>
    <row r="3728" customFormat="false" ht="15" hidden="false" customHeight="false" outlineLevel="0" collapsed="false">
      <c r="H3728" s="0" t="str">
        <f aca="false">IF(B3728="","",IF(COUNTIF(Campaigns!$A$7:$A$300,B3728)&gt;0,"✓","⚠ add to Campaigns tab"))</f>
        <v/>
      </c>
      <c r="I3728" s="84" t="str">
        <f aca="false">IF(C3728="","",C3728*IF(Settings!$B$23=Settings!$C$6,1,IF(Settings!$B$23="USD",1/INDEX(Settings!$B$29:$B$40,MONTH(A3728)),INDEX(Settings!$B$29:$B$40,MONTH(A3728)))))</f>
        <v/>
      </c>
    </row>
    <row r="3729" customFormat="false" ht="15" hidden="false" customHeight="false" outlineLevel="0" collapsed="false">
      <c r="H3729" s="0" t="str">
        <f aca="false">IF(B3729="","",IF(COUNTIF(Campaigns!$A$7:$A$300,B3729)&gt;0,"✓","⚠ add to Campaigns tab"))</f>
        <v/>
      </c>
      <c r="I3729" s="84" t="str">
        <f aca="false">IF(C3729="","",C3729*IF(Settings!$B$23=Settings!$C$6,1,IF(Settings!$B$23="USD",1/INDEX(Settings!$B$29:$B$40,MONTH(A3729)),INDEX(Settings!$B$29:$B$40,MONTH(A3729)))))</f>
        <v/>
      </c>
    </row>
    <row r="3730" customFormat="false" ht="15" hidden="false" customHeight="false" outlineLevel="0" collapsed="false">
      <c r="H3730" s="0" t="str">
        <f aca="false">IF(B3730="","",IF(COUNTIF(Campaigns!$A$7:$A$300,B3730)&gt;0,"✓","⚠ add to Campaigns tab"))</f>
        <v/>
      </c>
      <c r="I3730" s="84" t="str">
        <f aca="false">IF(C3730="","",C3730*IF(Settings!$B$23=Settings!$C$6,1,IF(Settings!$B$23="USD",1/INDEX(Settings!$B$29:$B$40,MONTH(A3730)),INDEX(Settings!$B$29:$B$40,MONTH(A3730)))))</f>
        <v/>
      </c>
    </row>
    <row r="3731" customFormat="false" ht="15" hidden="false" customHeight="false" outlineLevel="0" collapsed="false">
      <c r="H3731" s="0" t="str">
        <f aca="false">IF(B3731="","",IF(COUNTIF(Campaigns!$A$7:$A$300,B3731)&gt;0,"✓","⚠ add to Campaigns tab"))</f>
        <v/>
      </c>
      <c r="I3731" s="84" t="str">
        <f aca="false">IF(C3731="","",C3731*IF(Settings!$B$23=Settings!$C$6,1,IF(Settings!$B$23="USD",1/INDEX(Settings!$B$29:$B$40,MONTH(A3731)),INDEX(Settings!$B$29:$B$40,MONTH(A3731)))))</f>
        <v/>
      </c>
    </row>
    <row r="3732" customFormat="false" ht="15" hidden="false" customHeight="false" outlineLevel="0" collapsed="false">
      <c r="H3732" s="0" t="str">
        <f aca="false">IF(B3732="","",IF(COUNTIF(Campaigns!$A$7:$A$300,B3732)&gt;0,"✓","⚠ add to Campaigns tab"))</f>
        <v/>
      </c>
      <c r="I3732" s="84" t="str">
        <f aca="false">IF(C3732="","",C3732*IF(Settings!$B$23=Settings!$C$6,1,IF(Settings!$B$23="USD",1/INDEX(Settings!$B$29:$B$40,MONTH(A3732)),INDEX(Settings!$B$29:$B$40,MONTH(A3732)))))</f>
        <v/>
      </c>
    </row>
    <row r="3733" customFormat="false" ht="15" hidden="false" customHeight="false" outlineLevel="0" collapsed="false">
      <c r="H3733" s="0" t="str">
        <f aca="false">IF(B3733="","",IF(COUNTIF(Campaigns!$A$7:$A$300,B3733)&gt;0,"✓","⚠ add to Campaigns tab"))</f>
        <v/>
      </c>
      <c r="I3733" s="84" t="str">
        <f aca="false">IF(C3733="","",C3733*IF(Settings!$B$23=Settings!$C$6,1,IF(Settings!$B$23="USD",1/INDEX(Settings!$B$29:$B$40,MONTH(A3733)),INDEX(Settings!$B$29:$B$40,MONTH(A3733)))))</f>
        <v/>
      </c>
    </row>
    <row r="3734" customFormat="false" ht="15" hidden="false" customHeight="false" outlineLevel="0" collapsed="false">
      <c r="H3734" s="0" t="str">
        <f aca="false">IF(B3734="","",IF(COUNTIF(Campaigns!$A$7:$A$300,B3734)&gt;0,"✓","⚠ add to Campaigns tab"))</f>
        <v/>
      </c>
      <c r="I3734" s="84" t="str">
        <f aca="false">IF(C3734="","",C3734*IF(Settings!$B$23=Settings!$C$6,1,IF(Settings!$B$23="USD",1/INDEX(Settings!$B$29:$B$40,MONTH(A3734)),INDEX(Settings!$B$29:$B$40,MONTH(A3734)))))</f>
        <v/>
      </c>
    </row>
    <row r="3735" customFormat="false" ht="15" hidden="false" customHeight="false" outlineLevel="0" collapsed="false">
      <c r="H3735" s="0" t="str">
        <f aca="false">IF(B3735="","",IF(COUNTIF(Campaigns!$A$7:$A$300,B3735)&gt;0,"✓","⚠ add to Campaigns tab"))</f>
        <v/>
      </c>
      <c r="I3735" s="84" t="str">
        <f aca="false">IF(C3735="","",C3735*IF(Settings!$B$23=Settings!$C$6,1,IF(Settings!$B$23="USD",1/INDEX(Settings!$B$29:$B$40,MONTH(A3735)),INDEX(Settings!$B$29:$B$40,MONTH(A3735)))))</f>
        <v/>
      </c>
    </row>
    <row r="3736" customFormat="false" ht="15" hidden="false" customHeight="false" outlineLevel="0" collapsed="false">
      <c r="H3736" s="0" t="str">
        <f aca="false">IF(B3736="","",IF(COUNTIF(Campaigns!$A$7:$A$300,B3736)&gt;0,"✓","⚠ add to Campaigns tab"))</f>
        <v/>
      </c>
      <c r="I3736" s="84" t="str">
        <f aca="false">IF(C3736="","",C3736*IF(Settings!$B$23=Settings!$C$6,1,IF(Settings!$B$23="USD",1/INDEX(Settings!$B$29:$B$40,MONTH(A3736)),INDEX(Settings!$B$29:$B$40,MONTH(A3736)))))</f>
        <v/>
      </c>
    </row>
    <row r="3737" customFormat="false" ht="15" hidden="false" customHeight="false" outlineLevel="0" collapsed="false">
      <c r="H3737" s="0" t="str">
        <f aca="false">IF(B3737="","",IF(COUNTIF(Campaigns!$A$7:$A$300,B3737)&gt;0,"✓","⚠ add to Campaigns tab"))</f>
        <v/>
      </c>
      <c r="I3737" s="84" t="str">
        <f aca="false">IF(C3737="","",C3737*IF(Settings!$B$23=Settings!$C$6,1,IF(Settings!$B$23="USD",1/INDEX(Settings!$B$29:$B$40,MONTH(A3737)),INDEX(Settings!$B$29:$B$40,MONTH(A3737)))))</f>
        <v/>
      </c>
    </row>
    <row r="3738" customFormat="false" ht="15" hidden="false" customHeight="false" outlineLevel="0" collapsed="false">
      <c r="H3738" s="0" t="str">
        <f aca="false">IF(B3738="","",IF(COUNTIF(Campaigns!$A$7:$A$300,B3738)&gt;0,"✓","⚠ add to Campaigns tab"))</f>
        <v/>
      </c>
      <c r="I3738" s="84" t="str">
        <f aca="false">IF(C3738="","",C3738*IF(Settings!$B$23=Settings!$C$6,1,IF(Settings!$B$23="USD",1/INDEX(Settings!$B$29:$B$40,MONTH(A3738)),INDEX(Settings!$B$29:$B$40,MONTH(A3738)))))</f>
        <v/>
      </c>
    </row>
    <row r="3739" customFormat="false" ht="15" hidden="false" customHeight="false" outlineLevel="0" collapsed="false">
      <c r="H3739" s="0" t="str">
        <f aca="false">IF(B3739="","",IF(COUNTIF(Campaigns!$A$7:$A$300,B3739)&gt;0,"✓","⚠ add to Campaigns tab"))</f>
        <v/>
      </c>
      <c r="I3739" s="84" t="str">
        <f aca="false">IF(C3739="","",C3739*IF(Settings!$B$23=Settings!$C$6,1,IF(Settings!$B$23="USD",1/INDEX(Settings!$B$29:$B$40,MONTH(A3739)),INDEX(Settings!$B$29:$B$40,MONTH(A3739)))))</f>
        <v/>
      </c>
    </row>
    <row r="3740" customFormat="false" ht="15" hidden="false" customHeight="false" outlineLevel="0" collapsed="false">
      <c r="H3740" s="0" t="str">
        <f aca="false">IF(B3740="","",IF(COUNTIF(Campaigns!$A$7:$A$300,B3740)&gt;0,"✓","⚠ add to Campaigns tab"))</f>
        <v/>
      </c>
      <c r="I3740" s="84" t="str">
        <f aca="false">IF(C3740="","",C3740*IF(Settings!$B$23=Settings!$C$6,1,IF(Settings!$B$23="USD",1/INDEX(Settings!$B$29:$B$40,MONTH(A3740)),INDEX(Settings!$B$29:$B$40,MONTH(A3740)))))</f>
        <v/>
      </c>
    </row>
    <row r="3741" customFormat="false" ht="15" hidden="false" customHeight="false" outlineLevel="0" collapsed="false">
      <c r="H3741" s="0" t="str">
        <f aca="false">IF(B3741="","",IF(COUNTIF(Campaigns!$A$7:$A$300,B3741)&gt;0,"✓","⚠ add to Campaigns tab"))</f>
        <v/>
      </c>
      <c r="I3741" s="84" t="str">
        <f aca="false">IF(C3741="","",C3741*IF(Settings!$B$23=Settings!$C$6,1,IF(Settings!$B$23="USD",1/INDEX(Settings!$B$29:$B$40,MONTH(A3741)),INDEX(Settings!$B$29:$B$40,MONTH(A3741)))))</f>
        <v/>
      </c>
    </row>
    <row r="3742" customFormat="false" ht="15" hidden="false" customHeight="false" outlineLevel="0" collapsed="false">
      <c r="H3742" s="0" t="str">
        <f aca="false">IF(B3742="","",IF(COUNTIF(Campaigns!$A$7:$A$300,B3742)&gt;0,"✓","⚠ add to Campaigns tab"))</f>
        <v/>
      </c>
      <c r="I3742" s="84" t="str">
        <f aca="false">IF(C3742="","",C3742*IF(Settings!$B$23=Settings!$C$6,1,IF(Settings!$B$23="USD",1/INDEX(Settings!$B$29:$B$40,MONTH(A3742)),INDEX(Settings!$B$29:$B$40,MONTH(A3742)))))</f>
        <v/>
      </c>
    </row>
    <row r="3743" customFormat="false" ht="15" hidden="false" customHeight="false" outlineLevel="0" collapsed="false">
      <c r="H3743" s="0" t="str">
        <f aca="false">IF(B3743="","",IF(COUNTIF(Campaigns!$A$7:$A$300,B3743)&gt;0,"✓","⚠ add to Campaigns tab"))</f>
        <v/>
      </c>
      <c r="I3743" s="84" t="str">
        <f aca="false">IF(C3743="","",C3743*IF(Settings!$B$23=Settings!$C$6,1,IF(Settings!$B$23="USD",1/INDEX(Settings!$B$29:$B$40,MONTH(A3743)),INDEX(Settings!$B$29:$B$40,MONTH(A3743)))))</f>
        <v/>
      </c>
    </row>
    <row r="3744" customFormat="false" ht="15" hidden="false" customHeight="false" outlineLevel="0" collapsed="false">
      <c r="H3744" s="0" t="str">
        <f aca="false">IF(B3744="","",IF(COUNTIF(Campaigns!$A$7:$A$300,B3744)&gt;0,"✓","⚠ add to Campaigns tab"))</f>
        <v/>
      </c>
      <c r="I3744" s="84" t="str">
        <f aca="false">IF(C3744="","",C3744*IF(Settings!$B$23=Settings!$C$6,1,IF(Settings!$B$23="USD",1/INDEX(Settings!$B$29:$B$40,MONTH(A3744)),INDEX(Settings!$B$29:$B$40,MONTH(A3744)))))</f>
        <v/>
      </c>
    </row>
    <row r="3745" customFormat="false" ht="15" hidden="false" customHeight="false" outlineLevel="0" collapsed="false">
      <c r="H3745" s="0" t="str">
        <f aca="false">IF(B3745="","",IF(COUNTIF(Campaigns!$A$7:$A$300,B3745)&gt;0,"✓","⚠ add to Campaigns tab"))</f>
        <v/>
      </c>
      <c r="I3745" s="84" t="str">
        <f aca="false">IF(C3745="","",C3745*IF(Settings!$B$23=Settings!$C$6,1,IF(Settings!$B$23="USD",1/INDEX(Settings!$B$29:$B$40,MONTH(A3745)),INDEX(Settings!$B$29:$B$40,MONTH(A3745)))))</f>
        <v/>
      </c>
    </row>
    <row r="3746" customFormat="false" ht="15" hidden="false" customHeight="false" outlineLevel="0" collapsed="false">
      <c r="H3746" s="0" t="str">
        <f aca="false">IF(B3746="","",IF(COUNTIF(Campaigns!$A$7:$A$300,B3746)&gt;0,"✓","⚠ add to Campaigns tab"))</f>
        <v/>
      </c>
      <c r="I3746" s="84" t="str">
        <f aca="false">IF(C3746="","",C3746*IF(Settings!$B$23=Settings!$C$6,1,IF(Settings!$B$23="USD",1/INDEX(Settings!$B$29:$B$40,MONTH(A3746)),INDEX(Settings!$B$29:$B$40,MONTH(A3746)))))</f>
        <v/>
      </c>
    </row>
    <row r="3747" customFormat="false" ht="15" hidden="false" customHeight="false" outlineLevel="0" collapsed="false">
      <c r="H3747" s="0" t="str">
        <f aca="false">IF(B3747="","",IF(COUNTIF(Campaigns!$A$7:$A$300,B3747)&gt;0,"✓","⚠ add to Campaigns tab"))</f>
        <v/>
      </c>
      <c r="I3747" s="84" t="str">
        <f aca="false">IF(C3747="","",C3747*IF(Settings!$B$23=Settings!$C$6,1,IF(Settings!$B$23="USD",1/INDEX(Settings!$B$29:$B$40,MONTH(A3747)),INDEX(Settings!$B$29:$B$40,MONTH(A3747)))))</f>
        <v/>
      </c>
    </row>
    <row r="3748" customFormat="false" ht="15" hidden="false" customHeight="false" outlineLevel="0" collapsed="false">
      <c r="H3748" s="0" t="str">
        <f aca="false">IF(B3748="","",IF(COUNTIF(Campaigns!$A$7:$A$300,B3748)&gt;0,"✓","⚠ add to Campaigns tab"))</f>
        <v/>
      </c>
      <c r="I3748" s="84" t="str">
        <f aca="false">IF(C3748="","",C3748*IF(Settings!$B$23=Settings!$C$6,1,IF(Settings!$B$23="USD",1/INDEX(Settings!$B$29:$B$40,MONTH(A3748)),INDEX(Settings!$B$29:$B$40,MONTH(A3748)))))</f>
        <v/>
      </c>
    </row>
    <row r="3749" customFormat="false" ht="15" hidden="false" customHeight="false" outlineLevel="0" collapsed="false">
      <c r="H3749" s="0" t="str">
        <f aca="false">IF(B3749="","",IF(COUNTIF(Campaigns!$A$7:$A$300,B3749)&gt;0,"✓","⚠ add to Campaigns tab"))</f>
        <v/>
      </c>
      <c r="I3749" s="84" t="str">
        <f aca="false">IF(C3749="","",C3749*IF(Settings!$B$23=Settings!$C$6,1,IF(Settings!$B$23="USD",1/INDEX(Settings!$B$29:$B$40,MONTH(A3749)),INDEX(Settings!$B$29:$B$40,MONTH(A3749)))))</f>
        <v/>
      </c>
    </row>
    <row r="3750" customFormat="false" ht="15" hidden="false" customHeight="false" outlineLevel="0" collapsed="false">
      <c r="H3750" s="0" t="str">
        <f aca="false">IF(B3750="","",IF(COUNTIF(Campaigns!$A$7:$A$300,B3750)&gt;0,"✓","⚠ add to Campaigns tab"))</f>
        <v/>
      </c>
      <c r="I3750" s="84" t="str">
        <f aca="false">IF(C3750="","",C3750*IF(Settings!$B$23=Settings!$C$6,1,IF(Settings!$B$23="USD",1/INDEX(Settings!$B$29:$B$40,MONTH(A3750)),INDEX(Settings!$B$29:$B$40,MONTH(A3750)))))</f>
        <v/>
      </c>
    </row>
    <row r="3751" customFormat="false" ht="15" hidden="false" customHeight="false" outlineLevel="0" collapsed="false">
      <c r="H3751" s="0" t="str">
        <f aca="false">IF(B3751="","",IF(COUNTIF(Campaigns!$A$7:$A$300,B3751)&gt;0,"✓","⚠ add to Campaigns tab"))</f>
        <v/>
      </c>
      <c r="I3751" s="84" t="str">
        <f aca="false">IF(C3751="","",C3751*IF(Settings!$B$23=Settings!$C$6,1,IF(Settings!$B$23="USD",1/INDEX(Settings!$B$29:$B$40,MONTH(A3751)),INDEX(Settings!$B$29:$B$40,MONTH(A3751)))))</f>
        <v/>
      </c>
    </row>
    <row r="3752" customFormat="false" ht="15" hidden="false" customHeight="false" outlineLevel="0" collapsed="false">
      <c r="H3752" s="0" t="str">
        <f aca="false">IF(B3752="","",IF(COUNTIF(Campaigns!$A$7:$A$300,B3752)&gt;0,"✓","⚠ add to Campaigns tab"))</f>
        <v/>
      </c>
      <c r="I3752" s="84" t="str">
        <f aca="false">IF(C3752="","",C3752*IF(Settings!$B$23=Settings!$C$6,1,IF(Settings!$B$23="USD",1/INDEX(Settings!$B$29:$B$40,MONTH(A3752)),INDEX(Settings!$B$29:$B$40,MONTH(A3752)))))</f>
        <v/>
      </c>
    </row>
    <row r="3753" customFormat="false" ht="15" hidden="false" customHeight="false" outlineLevel="0" collapsed="false">
      <c r="H3753" s="0" t="str">
        <f aca="false">IF(B3753="","",IF(COUNTIF(Campaigns!$A$7:$A$300,B3753)&gt;0,"✓","⚠ add to Campaigns tab"))</f>
        <v/>
      </c>
      <c r="I3753" s="84" t="str">
        <f aca="false">IF(C3753="","",C3753*IF(Settings!$B$23=Settings!$C$6,1,IF(Settings!$B$23="USD",1/INDEX(Settings!$B$29:$B$40,MONTH(A3753)),INDEX(Settings!$B$29:$B$40,MONTH(A3753)))))</f>
        <v/>
      </c>
    </row>
    <row r="3754" customFormat="false" ht="15" hidden="false" customHeight="false" outlineLevel="0" collapsed="false">
      <c r="H3754" s="0" t="str">
        <f aca="false">IF(B3754="","",IF(COUNTIF(Campaigns!$A$7:$A$300,B3754)&gt;0,"✓","⚠ add to Campaigns tab"))</f>
        <v/>
      </c>
      <c r="I3754" s="84" t="str">
        <f aca="false">IF(C3754="","",C3754*IF(Settings!$B$23=Settings!$C$6,1,IF(Settings!$B$23="USD",1/INDEX(Settings!$B$29:$B$40,MONTH(A3754)),INDEX(Settings!$B$29:$B$40,MONTH(A3754)))))</f>
        <v/>
      </c>
    </row>
    <row r="3755" customFormat="false" ht="15" hidden="false" customHeight="false" outlineLevel="0" collapsed="false">
      <c r="H3755" s="0" t="str">
        <f aca="false">IF(B3755="","",IF(COUNTIF(Campaigns!$A$7:$A$300,B3755)&gt;0,"✓","⚠ add to Campaigns tab"))</f>
        <v/>
      </c>
      <c r="I3755" s="84" t="str">
        <f aca="false">IF(C3755="","",C3755*IF(Settings!$B$23=Settings!$C$6,1,IF(Settings!$B$23="USD",1/INDEX(Settings!$B$29:$B$40,MONTH(A3755)),INDEX(Settings!$B$29:$B$40,MONTH(A3755)))))</f>
        <v/>
      </c>
    </row>
    <row r="3756" customFormat="false" ht="15" hidden="false" customHeight="false" outlineLevel="0" collapsed="false">
      <c r="H3756" s="0" t="str">
        <f aca="false">IF(B3756="","",IF(COUNTIF(Campaigns!$A$7:$A$300,B3756)&gt;0,"✓","⚠ add to Campaigns tab"))</f>
        <v/>
      </c>
      <c r="I3756" s="84" t="str">
        <f aca="false">IF(C3756="","",C3756*IF(Settings!$B$23=Settings!$C$6,1,IF(Settings!$B$23="USD",1/INDEX(Settings!$B$29:$B$40,MONTH(A3756)),INDEX(Settings!$B$29:$B$40,MONTH(A3756)))))</f>
        <v/>
      </c>
    </row>
    <row r="3757" customFormat="false" ht="15" hidden="false" customHeight="false" outlineLevel="0" collapsed="false">
      <c r="H3757" s="0" t="str">
        <f aca="false">IF(B3757="","",IF(COUNTIF(Campaigns!$A$7:$A$300,B3757)&gt;0,"✓","⚠ add to Campaigns tab"))</f>
        <v/>
      </c>
      <c r="I3757" s="84" t="str">
        <f aca="false">IF(C3757="","",C3757*IF(Settings!$B$23=Settings!$C$6,1,IF(Settings!$B$23="USD",1/INDEX(Settings!$B$29:$B$40,MONTH(A3757)),INDEX(Settings!$B$29:$B$40,MONTH(A3757)))))</f>
        <v/>
      </c>
    </row>
    <row r="3758" customFormat="false" ht="15" hidden="false" customHeight="false" outlineLevel="0" collapsed="false">
      <c r="H3758" s="0" t="str">
        <f aca="false">IF(B3758="","",IF(COUNTIF(Campaigns!$A$7:$A$300,B3758)&gt;0,"✓","⚠ add to Campaigns tab"))</f>
        <v/>
      </c>
      <c r="I3758" s="84" t="str">
        <f aca="false">IF(C3758="","",C3758*IF(Settings!$B$23=Settings!$C$6,1,IF(Settings!$B$23="USD",1/INDEX(Settings!$B$29:$B$40,MONTH(A3758)),INDEX(Settings!$B$29:$B$40,MONTH(A3758)))))</f>
        <v/>
      </c>
    </row>
    <row r="3759" customFormat="false" ht="15" hidden="false" customHeight="false" outlineLevel="0" collapsed="false">
      <c r="H3759" s="0" t="str">
        <f aca="false">IF(B3759="","",IF(COUNTIF(Campaigns!$A$7:$A$300,B3759)&gt;0,"✓","⚠ add to Campaigns tab"))</f>
        <v/>
      </c>
      <c r="I3759" s="84" t="str">
        <f aca="false">IF(C3759="","",C3759*IF(Settings!$B$23=Settings!$C$6,1,IF(Settings!$B$23="USD",1/INDEX(Settings!$B$29:$B$40,MONTH(A3759)),INDEX(Settings!$B$29:$B$40,MONTH(A3759)))))</f>
        <v/>
      </c>
    </row>
    <row r="3760" customFormat="false" ht="15" hidden="false" customHeight="false" outlineLevel="0" collapsed="false">
      <c r="H3760" s="0" t="str">
        <f aca="false">IF(B3760="","",IF(COUNTIF(Campaigns!$A$7:$A$300,B3760)&gt;0,"✓","⚠ add to Campaigns tab"))</f>
        <v/>
      </c>
      <c r="I3760" s="84" t="str">
        <f aca="false">IF(C3760="","",C3760*IF(Settings!$B$23=Settings!$C$6,1,IF(Settings!$B$23="USD",1/INDEX(Settings!$B$29:$B$40,MONTH(A3760)),INDEX(Settings!$B$29:$B$40,MONTH(A3760)))))</f>
        <v/>
      </c>
    </row>
    <row r="3761" customFormat="false" ht="15" hidden="false" customHeight="false" outlineLevel="0" collapsed="false">
      <c r="H3761" s="0" t="str">
        <f aca="false">IF(B3761="","",IF(COUNTIF(Campaigns!$A$7:$A$300,B3761)&gt;0,"✓","⚠ add to Campaigns tab"))</f>
        <v/>
      </c>
      <c r="I3761" s="84" t="str">
        <f aca="false">IF(C3761="","",C3761*IF(Settings!$B$23=Settings!$C$6,1,IF(Settings!$B$23="USD",1/INDEX(Settings!$B$29:$B$40,MONTH(A3761)),INDEX(Settings!$B$29:$B$40,MONTH(A3761)))))</f>
        <v/>
      </c>
    </row>
    <row r="3762" customFormat="false" ht="15" hidden="false" customHeight="false" outlineLevel="0" collapsed="false">
      <c r="H3762" s="0" t="str">
        <f aca="false">IF(B3762="","",IF(COUNTIF(Campaigns!$A$7:$A$300,B3762)&gt;0,"✓","⚠ add to Campaigns tab"))</f>
        <v/>
      </c>
      <c r="I3762" s="84" t="str">
        <f aca="false">IF(C3762="","",C3762*IF(Settings!$B$23=Settings!$C$6,1,IF(Settings!$B$23="USD",1/INDEX(Settings!$B$29:$B$40,MONTH(A3762)),INDEX(Settings!$B$29:$B$40,MONTH(A3762)))))</f>
        <v/>
      </c>
    </row>
    <row r="3763" customFormat="false" ht="15" hidden="false" customHeight="false" outlineLevel="0" collapsed="false">
      <c r="H3763" s="0" t="str">
        <f aca="false">IF(B3763="","",IF(COUNTIF(Campaigns!$A$7:$A$300,B3763)&gt;0,"✓","⚠ add to Campaigns tab"))</f>
        <v/>
      </c>
      <c r="I3763" s="84" t="str">
        <f aca="false">IF(C3763="","",C3763*IF(Settings!$B$23=Settings!$C$6,1,IF(Settings!$B$23="USD",1/INDEX(Settings!$B$29:$B$40,MONTH(A3763)),INDEX(Settings!$B$29:$B$40,MONTH(A3763)))))</f>
        <v/>
      </c>
    </row>
    <row r="3764" customFormat="false" ht="15" hidden="false" customHeight="false" outlineLevel="0" collapsed="false">
      <c r="H3764" s="0" t="str">
        <f aca="false">IF(B3764="","",IF(COUNTIF(Campaigns!$A$7:$A$300,B3764)&gt;0,"✓","⚠ add to Campaigns tab"))</f>
        <v/>
      </c>
      <c r="I3764" s="84" t="str">
        <f aca="false">IF(C3764="","",C3764*IF(Settings!$B$23=Settings!$C$6,1,IF(Settings!$B$23="USD",1/INDEX(Settings!$B$29:$B$40,MONTH(A3764)),INDEX(Settings!$B$29:$B$40,MONTH(A3764)))))</f>
        <v/>
      </c>
    </row>
    <row r="3765" customFormat="false" ht="15" hidden="false" customHeight="false" outlineLevel="0" collapsed="false">
      <c r="H3765" s="0" t="str">
        <f aca="false">IF(B3765="","",IF(COUNTIF(Campaigns!$A$7:$A$300,B3765)&gt;0,"✓","⚠ add to Campaigns tab"))</f>
        <v/>
      </c>
      <c r="I3765" s="84" t="str">
        <f aca="false">IF(C3765="","",C3765*IF(Settings!$B$23=Settings!$C$6,1,IF(Settings!$B$23="USD",1/INDEX(Settings!$B$29:$B$40,MONTH(A3765)),INDEX(Settings!$B$29:$B$40,MONTH(A3765)))))</f>
        <v/>
      </c>
    </row>
    <row r="3766" customFormat="false" ht="15" hidden="false" customHeight="false" outlineLevel="0" collapsed="false">
      <c r="H3766" s="0" t="str">
        <f aca="false">IF(B3766="","",IF(COUNTIF(Campaigns!$A$7:$A$300,B3766)&gt;0,"✓","⚠ add to Campaigns tab"))</f>
        <v/>
      </c>
      <c r="I3766" s="84" t="str">
        <f aca="false">IF(C3766="","",C3766*IF(Settings!$B$23=Settings!$C$6,1,IF(Settings!$B$23="USD",1/INDEX(Settings!$B$29:$B$40,MONTH(A3766)),INDEX(Settings!$B$29:$B$40,MONTH(A3766)))))</f>
        <v/>
      </c>
    </row>
    <row r="3767" customFormat="false" ht="15" hidden="false" customHeight="false" outlineLevel="0" collapsed="false">
      <c r="H3767" s="0" t="str">
        <f aca="false">IF(B3767="","",IF(COUNTIF(Campaigns!$A$7:$A$300,B3767)&gt;0,"✓","⚠ add to Campaigns tab"))</f>
        <v/>
      </c>
      <c r="I3767" s="84" t="str">
        <f aca="false">IF(C3767="","",C3767*IF(Settings!$B$23=Settings!$C$6,1,IF(Settings!$B$23="USD",1/INDEX(Settings!$B$29:$B$40,MONTH(A3767)),INDEX(Settings!$B$29:$B$40,MONTH(A3767)))))</f>
        <v/>
      </c>
    </row>
    <row r="3768" customFormat="false" ht="15" hidden="false" customHeight="false" outlineLevel="0" collapsed="false">
      <c r="H3768" s="0" t="str">
        <f aca="false">IF(B3768="","",IF(COUNTIF(Campaigns!$A$7:$A$300,B3768)&gt;0,"✓","⚠ add to Campaigns tab"))</f>
        <v/>
      </c>
      <c r="I3768" s="84" t="str">
        <f aca="false">IF(C3768="","",C3768*IF(Settings!$B$23=Settings!$C$6,1,IF(Settings!$B$23="USD",1/INDEX(Settings!$B$29:$B$40,MONTH(A3768)),INDEX(Settings!$B$29:$B$40,MONTH(A3768)))))</f>
        <v/>
      </c>
    </row>
    <row r="3769" customFormat="false" ht="15" hidden="false" customHeight="false" outlineLevel="0" collapsed="false">
      <c r="H3769" s="0" t="str">
        <f aca="false">IF(B3769="","",IF(COUNTIF(Campaigns!$A$7:$A$300,B3769)&gt;0,"✓","⚠ add to Campaigns tab"))</f>
        <v/>
      </c>
      <c r="I3769" s="84" t="str">
        <f aca="false">IF(C3769="","",C3769*IF(Settings!$B$23=Settings!$C$6,1,IF(Settings!$B$23="USD",1/INDEX(Settings!$B$29:$B$40,MONTH(A3769)),INDEX(Settings!$B$29:$B$40,MONTH(A3769)))))</f>
        <v/>
      </c>
    </row>
    <row r="3770" customFormat="false" ht="15" hidden="false" customHeight="false" outlineLevel="0" collapsed="false">
      <c r="H3770" s="0" t="str">
        <f aca="false">IF(B3770="","",IF(COUNTIF(Campaigns!$A$7:$A$300,B3770)&gt;0,"✓","⚠ add to Campaigns tab"))</f>
        <v/>
      </c>
      <c r="I3770" s="84" t="str">
        <f aca="false">IF(C3770="","",C3770*IF(Settings!$B$23=Settings!$C$6,1,IF(Settings!$B$23="USD",1/INDEX(Settings!$B$29:$B$40,MONTH(A3770)),INDEX(Settings!$B$29:$B$40,MONTH(A3770)))))</f>
        <v/>
      </c>
    </row>
    <row r="3771" customFormat="false" ht="15" hidden="false" customHeight="false" outlineLevel="0" collapsed="false">
      <c r="H3771" s="0" t="str">
        <f aca="false">IF(B3771="","",IF(COUNTIF(Campaigns!$A$7:$A$300,B3771)&gt;0,"✓","⚠ add to Campaigns tab"))</f>
        <v/>
      </c>
      <c r="I3771" s="84" t="str">
        <f aca="false">IF(C3771="","",C3771*IF(Settings!$B$23=Settings!$C$6,1,IF(Settings!$B$23="USD",1/INDEX(Settings!$B$29:$B$40,MONTH(A3771)),INDEX(Settings!$B$29:$B$40,MONTH(A3771)))))</f>
        <v/>
      </c>
    </row>
    <row r="3772" customFormat="false" ht="15" hidden="false" customHeight="false" outlineLevel="0" collapsed="false">
      <c r="H3772" s="0" t="str">
        <f aca="false">IF(B3772="","",IF(COUNTIF(Campaigns!$A$7:$A$300,B3772)&gt;0,"✓","⚠ add to Campaigns tab"))</f>
        <v/>
      </c>
      <c r="I3772" s="84" t="str">
        <f aca="false">IF(C3772="","",C3772*IF(Settings!$B$23=Settings!$C$6,1,IF(Settings!$B$23="USD",1/INDEX(Settings!$B$29:$B$40,MONTH(A3772)),INDEX(Settings!$B$29:$B$40,MONTH(A3772)))))</f>
        <v/>
      </c>
    </row>
    <row r="3773" customFormat="false" ht="15" hidden="false" customHeight="false" outlineLevel="0" collapsed="false">
      <c r="H3773" s="0" t="str">
        <f aca="false">IF(B3773="","",IF(COUNTIF(Campaigns!$A$7:$A$300,B3773)&gt;0,"✓","⚠ add to Campaigns tab"))</f>
        <v/>
      </c>
      <c r="I3773" s="84" t="str">
        <f aca="false">IF(C3773="","",C3773*IF(Settings!$B$23=Settings!$C$6,1,IF(Settings!$B$23="USD",1/INDEX(Settings!$B$29:$B$40,MONTH(A3773)),INDEX(Settings!$B$29:$B$40,MONTH(A3773)))))</f>
        <v/>
      </c>
    </row>
    <row r="3774" customFormat="false" ht="15" hidden="false" customHeight="false" outlineLevel="0" collapsed="false">
      <c r="H3774" s="0" t="str">
        <f aca="false">IF(B3774="","",IF(COUNTIF(Campaigns!$A$7:$A$300,B3774)&gt;0,"✓","⚠ add to Campaigns tab"))</f>
        <v/>
      </c>
      <c r="I3774" s="84" t="str">
        <f aca="false">IF(C3774="","",C3774*IF(Settings!$B$23=Settings!$C$6,1,IF(Settings!$B$23="USD",1/INDEX(Settings!$B$29:$B$40,MONTH(A3774)),INDEX(Settings!$B$29:$B$40,MONTH(A3774)))))</f>
        <v/>
      </c>
    </row>
    <row r="3775" customFormat="false" ht="15" hidden="false" customHeight="false" outlineLevel="0" collapsed="false">
      <c r="H3775" s="0" t="str">
        <f aca="false">IF(B3775="","",IF(COUNTIF(Campaigns!$A$7:$A$300,B3775)&gt;0,"✓","⚠ add to Campaigns tab"))</f>
        <v/>
      </c>
      <c r="I3775" s="84" t="str">
        <f aca="false">IF(C3775="","",C3775*IF(Settings!$B$23=Settings!$C$6,1,IF(Settings!$B$23="USD",1/INDEX(Settings!$B$29:$B$40,MONTH(A3775)),INDEX(Settings!$B$29:$B$40,MONTH(A3775)))))</f>
        <v/>
      </c>
    </row>
    <row r="3776" customFormat="false" ht="15" hidden="false" customHeight="false" outlineLevel="0" collapsed="false">
      <c r="H3776" s="0" t="str">
        <f aca="false">IF(B3776="","",IF(COUNTIF(Campaigns!$A$7:$A$300,B3776)&gt;0,"✓","⚠ add to Campaigns tab"))</f>
        <v/>
      </c>
      <c r="I3776" s="84" t="str">
        <f aca="false">IF(C3776="","",C3776*IF(Settings!$B$23=Settings!$C$6,1,IF(Settings!$B$23="USD",1/INDEX(Settings!$B$29:$B$40,MONTH(A3776)),INDEX(Settings!$B$29:$B$40,MONTH(A3776)))))</f>
        <v/>
      </c>
    </row>
    <row r="3777" customFormat="false" ht="15" hidden="false" customHeight="false" outlineLevel="0" collapsed="false">
      <c r="H3777" s="0" t="str">
        <f aca="false">IF(B3777="","",IF(COUNTIF(Campaigns!$A$7:$A$300,B3777)&gt;0,"✓","⚠ add to Campaigns tab"))</f>
        <v/>
      </c>
      <c r="I3777" s="84" t="str">
        <f aca="false">IF(C3777="","",C3777*IF(Settings!$B$23=Settings!$C$6,1,IF(Settings!$B$23="USD",1/INDEX(Settings!$B$29:$B$40,MONTH(A3777)),INDEX(Settings!$B$29:$B$40,MONTH(A3777)))))</f>
        <v/>
      </c>
    </row>
    <row r="3778" customFormat="false" ht="15" hidden="false" customHeight="false" outlineLevel="0" collapsed="false">
      <c r="H3778" s="0" t="str">
        <f aca="false">IF(B3778="","",IF(COUNTIF(Campaigns!$A$7:$A$300,B3778)&gt;0,"✓","⚠ add to Campaigns tab"))</f>
        <v/>
      </c>
      <c r="I3778" s="84" t="str">
        <f aca="false">IF(C3778="","",C3778*IF(Settings!$B$23=Settings!$C$6,1,IF(Settings!$B$23="USD",1/INDEX(Settings!$B$29:$B$40,MONTH(A3778)),INDEX(Settings!$B$29:$B$40,MONTH(A3778)))))</f>
        <v/>
      </c>
    </row>
    <row r="3779" customFormat="false" ht="15" hidden="false" customHeight="false" outlineLevel="0" collapsed="false">
      <c r="H3779" s="0" t="str">
        <f aca="false">IF(B3779="","",IF(COUNTIF(Campaigns!$A$7:$A$300,B3779)&gt;0,"✓","⚠ add to Campaigns tab"))</f>
        <v/>
      </c>
      <c r="I3779" s="84" t="str">
        <f aca="false">IF(C3779="","",C3779*IF(Settings!$B$23=Settings!$C$6,1,IF(Settings!$B$23="USD",1/INDEX(Settings!$B$29:$B$40,MONTH(A3779)),INDEX(Settings!$B$29:$B$40,MONTH(A3779)))))</f>
        <v/>
      </c>
    </row>
    <row r="3780" customFormat="false" ht="15" hidden="false" customHeight="false" outlineLevel="0" collapsed="false">
      <c r="H3780" s="0" t="str">
        <f aca="false">IF(B3780="","",IF(COUNTIF(Campaigns!$A$7:$A$300,B3780)&gt;0,"✓","⚠ add to Campaigns tab"))</f>
        <v/>
      </c>
      <c r="I3780" s="84" t="str">
        <f aca="false">IF(C3780="","",C3780*IF(Settings!$B$23=Settings!$C$6,1,IF(Settings!$B$23="USD",1/INDEX(Settings!$B$29:$B$40,MONTH(A3780)),INDEX(Settings!$B$29:$B$40,MONTH(A3780)))))</f>
        <v/>
      </c>
    </row>
    <row r="3781" customFormat="false" ht="15" hidden="false" customHeight="false" outlineLevel="0" collapsed="false">
      <c r="H3781" s="0" t="str">
        <f aca="false">IF(B3781="","",IF(COUNTIF(Campaigns!$A$7:$A$300,B3781)&gt;0,"✓","⚠ add to Campaigns tab"))</f>
        <v/>
      </c>
      <c r="I3781" s="84" t="str">
        <f aca="false">IF(C3781="","",C3781*IF(Settings!$B$23=Settings!$C$6,1,IF(Settings!$B$23="USD",1/INDEX(Settings!$B$29:$B$40,MONTH(A3781)),INDEX(Settings!$B$29:$B$40,MONTH(A3781)))))</f>
        <v/>
      </c>
    </row>
    <row r="3782" customFormat="false" ht="15" hidden="false" customHeight="false" outlineLevel="0" collapsed="false">
      <c r="H3782" s="0" t="str">
        <f aca="false">IF(B3782="","",IF(COUNTIF(Campaigns!$A$7:$A$300,B3782)&gt;0,"✓","⚠ add to Campaigns tab"))</f>
        <v/>
      </c>
      <c r="I3782" s="84" t="str">
        <f aca="false">IF(C3782="","",C3782*IF(Settings!$B$23=Settings!$C$6,1,IF(Settings!$B$23="USD",1/INDEX(Settings!$B$29:$B$40,MONTH(A3782)),INDEX(Settings!$B$29:$B$40,MONTH(A3782)))))</f>
        <v/>
      </c>
    </row>
    <row r="3783" customFormat="false" ht="15" hidden="false" customHeight="false" outlineLevel="0" collapsed="false">
      <c r="H3783" s="0" t="str">
        <f aca="false">IF(B3783="","",IF(COUNTIF(Campaigns!$A$7:$A$300,B3783)&gt;0,"✓","⚠ add to Campaigns tab"))</f>
        <v/>
      </c>
      <c r="I3783" s="84" t="str">
        <f aca="false">IF(C3783="","",C3783*IF(Settings!$B$23=Settings!$C$6,1,IF(Settings!$B$23="USD",1/INDEX(Settings!$B$29:$B$40,MONTH(A3783)),INDEX(Settings!$B$29:$B$40,MONTH(A3783)))))</f>
        <v/>
      </c>
    </row>
    <row r="3784" customFormat="false" ht="15" hidden="false" customHeight="false" outlineLevel="0" collapsed="false">
      <c r="H3784" s="0" t="str">
        <f aca="false">IF(B3784="","",IF(COUNTIF(Campaigns!$A$7:$A$300,B3784)&gt;0,"✓","⚠ add to Campaigns tab"))</f>
        <v/>
      </c>
      <c r="I3784" s="84" t="str">
        <f aca="false">IF(C3784="","",C3784*IF(Settings!$B$23=Settings!$C$6,1,IF(Settings!$B$23="USD",1/INDEX(Settings!$B$29:$B$40,MONTH(A3784)),INDEX(Settings!$B$29:$B$40,MONTH(A3784)))))</f>
        <v/>
      </c>
    </row>
    <row r="3785" customFormat="false" ht="15" hidden="false" customHeight="false" outlineLevel="0" collapsed="false">
      <c r="H3785" s="0" t="str">
        <f aca="false">IF(B3785="","",IF(COUNTIF(Campaigns!$A$7:$A$300,B3785)&gt;0,"✓","⚠ add to Campaigns tab"))</f>
        <v/>
      </c>
      <c r="I3785" s="84" t="str">
        <f aca="false">IF(C3785="","",C3785*IF(Settings!$B$23=Settings!$C$6,1,IF(Settings!$B$23="USD",1/INDEX(Settings!$B$29:$B$40,MONTH(A3785)),INDEX(Settings!$B$29:$B$40,MONTH(A3785)))))</f>
        <v/>
      </c>
    </row>
    <row r="3786" customFormat="false" ht="15" hidden="false" customHeight="false" outlineLevel="0" collapsed="false">
      <c r="H3786" s="0" t="str">
        <f aca="false">IF(B3786="","",IF(COUNTIF(Campaigns!$A$7:$A$300,B3786)&gt;0,"✓","⚠ add to Campaigns tab"))</f>
        <v/>
      </c>
      <c r="I3786" s="84" t="str">
        <f aca="false">IF(C3786="","",C3786*IF(Settings!$B$23=Settings!$C$6,1,IF(Settings!$B$23="USD",1/INDEX(Settings!$B$29:$B$40,MONTH(A3786)),INDEX(Settings!$B$29:$B$40,MONTH(A3786)))))</f>
        <v/>
      </c>
    </row>
    <row r="3787" customFormat="false" ht="15" hidden="false" customHeight="false" outlineLevel="0" collapsed="false">
      <c r="H3787" s="0" t="str">
        <f aca="false">IF(B3787="","",IF(COUNTIF(Campaigns!$A$7:$A$300,B3787)&gt;0,"✓","⚠ add to Campaigns tab"))</f>
        <v/>
      </c>
      <c r="I3787" s="84" t="str">
        <f aca="false">IF(C3787="","",C3787*IF(Settings!$B$23=Settings!$C$6,1,IF(Settings!$B$23="USD",1/INDEX(Settings!$B$29:$B$40,MONTH(A3787)),INDEX(Settings!$B$29:$B$40,MONTH(A3787)))))</f>
        <v/>
      </c>
    </row>
    <row r="3788" customFormat="false" ht="15" hidden="false" customHeight="false" outlineLevel="0" collapsed="false">
      <c r="H3788" s="0" t="str">
        <f aca="false">IF(B3788="","",IF(COUNTIF(Campaigns!$A$7:$A$300,B3788)&gt;0,"✓","⚠ add to Campaigns tab"))</f>
        <v/>
      </c>
      <c r="I3788" s="84" t="str">
        <f aca="false">IF(C3788="","",C3788*IF(Settings!$B$23=Settings!$C$6,1,IF(Settings!$B$23="USD",1/INDEX(Settings!$B$29:$B$40,MONTH(A3788)),INDEX(Settings!$B$29:$B$40,MONTH(A3788)))))</f>
        <v/>
      </c>
    </row>
    <row r="3789" customFormat="false" ht="15" hidden="false" customHeight="false" outlineLevel="0" collapsed="false">
      <c r="H3789" s="0" t="str">
        <f aca="false">IF(B3789="","",IF(COUNTIF(Campaigns!$A$7:$A$300,B3789)&gt;0,"✓","⚠ add to Campaigns tab"))</f>
        <v/>
      </c>
      <c r="I3789" s="84" t="str">
        <f aca="false">IF(C3789="","",C3789*IF(Settings!$B$23=Settings!$C$6,1,IF(Settings!$B$23="USD",1/INDEX(Settings!$B$29:$B$40,MONTH(A3789)),INDEX(Settings!$B$29:$B$40,MONTH(A3789)))))</f>
        <v/>
      </c>
    </row>
    <row r="3790" customFormat="false" ht="15" hidden="false" customHeight="false" outlineLevel="0" collapsed="false">
      <c r="H3790" s="0" t="str">
        <f aca="false">IF(B3790="","",IF(COUNTIF(Campaigns!$A$7:$A$300,B3790)&gt;0,"✓","⚠ add to Campaigns tab"))</f>
        <v/>
      </c>
      <c r="I3790" s="84" t="str">
        <f aca="false">IF(C3790="","",C3790*IF(Settings!$B$23=Settings!$C$6,1,IF(Settings!$B$23="USD",1/INDEX(Settings!$B$29:$B$40,MONTH(A3790)),INDEX(Settings!$B$29:$B$40,MONTH(A3790)))))</f>
        <v/>
      </c>
    </row>
    <row r="3791" customFormat="false" ht="15" hidden="false" customHeight="false" outlineLevel="0" collapsed="false">
      <c r="H3791" s="0" t="str">
        <f aca="false">IF(B3791="","",IF(COUNTIF(Campaigns!$A$7:$A$300,B3791)&gt;0,"✓","⚠ add to Campaigns tab"))</f>
        <v/>
      </c>
      <c r="I3791" s="84" t="str">
        <f aca="false">IF(C3791="","",C3791*IF(Settings!$B$23=Settings!$C$6,1,IF(Settings!$B$23="USD",1/INDEX(Settings!$B$29:$B$40,MONTH(A3791)),INDEX(Settings!$B$29:$B$40,MONTH(A3791)))))</f>
        <v/>
      </c>
    </row>
    <row r="3792" customFormat="false" ht="15" hidden="false" customHeight="false" outlineLevel="0" collapsed="false">
      <c r="H3792" s="0" t="str">
        <f aca="false">IF(B3792="","",IF(COUNTIF(Campaigns!$A$7:$A$300,B3792)&gt;0,"✓","⚠ add to Campaigns tab"))</f>
        <v/>
      </c>
      <c r="I3792" s="84" t="str">
        <f aca="false">IF(C3792="","",C3792*IF(Settings!$B$23=Settings!$C$6,1,IF(Settings!$B$23="USD",1/INDEX(Settings!$B$29:$B$40,MONTH(A3792)),INDEX(Settings!$B$29:$B$40,MONTH(A3792)))))</f>
        <v/>
      </c>
    </row>
    <row r="3793" customFormat="false" ht="15" hidden="false" customHeight="false" outlineLevel="0" collapsed="false">
      <c r="H3793" s="0" t="str">
        <f aca="false">IF(B3793="","",IF(COUNTIF(Campaigns!$A$7:$A$300,B3793)&gt;0,"✓","⚠ add to Campaigns tab"))</f>
        <v/>
      </c>
      <c r="I3793" s="84" t="str">
        <f aca="false">IF(C3793="","",C3793*IF(Settings!$B$23=Settings!$C$6,1,IF(Settings!$B$23="USD",1/INDEX(Settings!$B$29:$B$40,MONTH(A3793)),INDEX(Settings!$B$29:$B$40,MONTH(A3793)))))</f>
        <v/>
      </c>
    </row>
    <row r="3794" customFormat="false" ht="15" hidden="false" customHeight="false" outlineLevel="0" collapsed="false">
      <c r="H3794" s="0" t="str">
        <f aca="false">IF(B3794="","",IF(COUNTIF(Campaigns!$A$7:$A$300,B3794)&gt;0,"✓","⚠ add to Campaigns tab"))</f>
        <v/>
      </c>
      <c r="I3794" s="84" t="str">
        <f aca="false">IF(C3794="","",C3794*IF(Settings!$B$23=Settings!$C$6,1,IF(Settings!$B$23="USD",1/INDEX(Settings!$B$29:$B$40,MONTH(A3794)),INDEX(Settings!$B$29:$B$40,MONTH(A3794)))))</f>
        <v/>
      </c>
    </row>
    <row r="3795" customFormat="false" ht="15" hidden="false" customHeight="false" outlineLevel="0" collapsed="false">
      <c r="H3795" s="0" t="str">
        <f aca="false">IF(B3795="","",IF(COUNTIF(Campaigns!$A$7:$A$300,B3795)&gt;0,"✓","⚠ add to Campaigns tab"))</f>
        <v/>
      </c>
      <c r="I3795" s="84" t="str">
        <f aca="false">IF(C3795="","",C3795*IF(Settings!$B$23=Settings!$C$6,1,IF(Settings!$B$23="USD",1/INDEX(Settings!$B$29:$B$40,MONTH(A3795)),INDEX(Settings!$B$29:$B$40,MONTH(A3795)))))</f>
        <v/>
      </c>
    </row>
    <row r="3796" customFormat="false" ht="15" hidden="false" customHeight="false" outlineLevel="0" collapsed="false">
      <c r="H3796" s="0" t="str">
        <f aca="false">IF(B3796="","",IF(COUNTIF(Campaigns!$A$7:$A$300,B3796)&gt;0,"✓","⚠ add to Campaigns tab"))</f>
        <v/>
      </c>
      <c r="I3796" s="84" t="str">
        <f aca="false">IF(C3796="","",C3796*IF(Settings!$B$23=Settings!$C$6,1,IF(Settings!$B$23="USD",1/INDEX(Settings!$B$29:$B$40,MONTH(A3796)),INDEX(Settings!$B$29:$B$40,MONTH(A3796)))))</f>
        <v/>
      </c>
    </row>
    <row r="3797" customFormat="false" ht="15" hidden="false" customHeight="false" outlineLevel="0" collapsed="false">
      <c r="H3797" s="0" t="str">
        <f aca="false">IF(B3797="","",IF(COUNTIF(Campaigns!$A$7:$A$300,B3797)&gt;0,"✓","⚠ add to Campaigns tab"))</f>
        <v/>
      </c>
      <c r="I3797" s="84" t="str">
        <f aca="false">IF(C3797="","",C3797*IF(Settings!$B$23=Settings!$C$6,1,IF(Settings!$B$23="USD",1/INDEX(Settings!$B$29:$B$40,MONTH(A3797)),INDEX(Settings!$B$29:$B$40,MONTH(A3797)))))</f>
        <v/>
      </c>
    </row>
    <row r="3798" customFormat="false" ht="15" hidden="false" customHeight="false" outlineLevel="0" collapsed="false">
      <c r="H3798" s="0" t="str">
        <f aca="false">IF(B3798="","",IF(COUNTIF(Campaigns!$A$7:$A$300,B3798)&gt;0,"✓","⚠ add to Campaigns tab"))</f>
        <v/>
      </c>
      <c r="I3798" s="84" t="str">
        <f aca="false">IF(C3798="","",C3798*IF(Settings!$B$23=Settings!$C$6,1,IF(Settings!$B$23="USD",1/INDEX(Settings!$B$29:$B$40,MONTH(A3798)),INDEX(Settings!$B$29:$B$40,MONTH(A3798)))))</f>
        <v/>
      </c>
    </row>
    <row r="3799" customFormat="false" ht="15" hidden="false" customHeight="false" outlineLevel="0" collapsed="false">
      <c r="H3799" s="0" t="str">
        <f aca="false">IF(B3799="","",IF(COUNTIF(Campaigns!$A$7:$A$300,B3799)&gt;0,"✓","⚠ add to Campaigns tab"))</f>
        <v/>
      </c>
      <c r="I3799" s="84" t="str">
        <f aca="false">IF(C3799="","",C3799*IF(Settings!$B$23=Settings!$C$6,1,IF(Settings!$B$23="USD",1/INDEX(Settings!$B$29:$B$40,MONTH(A3799)),INDEX(Settings!$B$29:$B$40,MONTH(A3799)))))</f>
        <v/>
      </c>
    </row>
    <row r="3800" customFormat="false" ht="15" hidden="false" customHeight="false" outlineLevel="0" collapsed="false">
      <c r="H3800" s="0" t="str">
        <f aca="false">IF(B3800="","",IF(COUNTIF(Campaigns!$A$7:$A$300,B3800)&gt;0,"✓","⚠ add to Campaigns tab"))</f>
        <v/>
      </c>
      <c r="I3800" s="84" t="str">
        <f aca="false">IF(C3800="","",C3800*IF(Settings!$B$23=Settings!$C$6,1,IF(Settings!$B$23="USD",1/INDEX(Settings!$B$29:$B$40,MONTH(A3800)),INDEX(Settings!$B$29:$B$40,MONTH(A3800)))))</f>
        <v/>
      </c>
    </row>
    <row r="3801" customFormat="false" ht="15" hidden="false" customHeight="false" outlineLevel="0" collapsed="false">
      <c r="H3801" s="0" t="str">
        <f aca="false">IF(B3801="","",IF(COUNTIF(Campaigns!$A$7:$A$300,B3801)&gt;0,"✓","⚠ add to Campaigns tab"))</f>
        <v/>
      </c>
      <c r="I3801" s="84" t="str">
        <f aca="false">IF(C3801="","",C3801*IF(Settings!$B$23=Settings!$C$6,1,IF(Settings!$B$23="USD",1/INDEX(Settings!$B$29:$B$40,MONTH(A3801)),INDEX(Settings!$B$29:$B$40,MONTH(A3801)))))</f>
        <v/>
      </c>
    </row>
    <row r="3802" customFormat="false" ht="15" hidden="false" customHeight="false" outlineLevel="0" collapsed="false">
      <c r="H3802" s="0" t="str">
        <f aca="false">IF(B3802="","",IF(COUNTIF(Campaigns!$A$7:$A$300,B3802)&gt;0,"✓","⚠ add to Campaigns tab"))</f>
        <v/>
      </c>
      <c r="I3802" s="84" t="str">
        <f aca="false">IF(C3802="","",C3802*IF(Settings!$B$23=Settings!$C$6,1,IF(Settings!$B$23="USD",1/INDEX(Settings!$B$29:$B$40,MONTH(A3802)),INDEX(Settings!$B$29:$B$40,MONTH(A3802)))))</f>
        <v/>
      </c>
    </row>
    <row r="3803" customFormat="false" ht="15" hidden="false" customHeight="false" outlineLevel="0" collapsed="false">
      <c r="H3803" s="0" t="str">
        <f aca="false">IF(B3803="","",IF(COUNTIF(Campaigns!$A$7:$A$300,B3803)&gt;0,"✓","⚠ add to Campaigns tab"))</f>
        <v/>
      </c>
      <c r="I3803" s="84" t="str">
        <f aca="false">IF(C3803="","",C3803*IF(Settings!$B$23=Settings!$C$6,1,IF(Settings!$B$23="USD",1/INDEX(Settings!$B$29:$B$40,MONTH(A3803)),INDEX(Settings!$B$29:$B$40,MONTH(A3803)))))</f>
        <v/>
      </c>
    </row>
    <row r="3804" customFormat="false" ht="15" hidden="false" customHeight="false" outlineLevel="0" collapsed="false">
      <c r="H3804" s="0" t="str">
        <f aca="false">IF(B3804="","",IF(COUNTIF(Campaigns!$A$7:$A$300,B3804)&gt;0,"✓","⚠ add to Campaigns tab"))</f>
        <v/>
      </c>
      <c r="I3804" s="84" t="str">
        <f aca="false">IF(C3804="","",C3804*IF(Settings!$B$23=Settings!$C$6,1,IF(Settings!$B$23="USD",1/INDEX(Settings!$B$29:$B$40,MONTH(A3804)),INDEX(Settings!$B$29:$B$40,MONTH(A3804)))))</f>
        <v/>
      </c>
    </row>
    <row r="3805" customFormat="false" ht="15" hidden="false" customHeight="false" outlineLevel="0" collapsed="false">
      <c r="H3805" s="0" t="str">
        <f aca="false">IF(B3805="","",IF(COUNTIF(Campaigns!$A$7:$A$300,B3805)&gt;0,"✓","⚠ add to Campaigns tab"))</f>
        <v/>
      </c>
      <c r="I3805" s="84" t="str">
        <f aca="false">IF(C3805="","",C3805*IF(Settings!$B$23=Settings!$C$6,1,IF(Settings!$B$23="USD",1/INDEX(Settings!$B$29:$B$40,MONTH(A3805)),INDEX(Settings!$B$29:$B$40,MONTH(A3805)))))</f>
        <v/>
      </c>
    </row>
    <row r="3806" customFormat="false" ht="15" hidden="false" customHeight="false" outlineLevel="0" collapsed="false">
      <c r="H3806" s="0" t="str">
        <f aca="false">IF(B3806="","",IF(COUNTIF(Campaigns!$A$7:$A$300,B3806)&gt;0,"✓","⚠ add to Campaigns tab"))</f>
        <v/>
      </c>
      <c r="I3806" s="84" t="str">
        <f aca="false">IF(C3806="","",C3806*IF(Settings!$B$23=Settings!$C$6,1,IF(Settings!$B$23="USD",1/INDEX(Settings!$B$29:$B$40,MONTH(A3806)),INDEX(Settings!$B$29:$B$40,MONTH(A3806)))))</f>
        <v/>
      </c>
    </row>
    <row r="3807" customFormat="false" ht="15" hidden="false" customHeight="false" outlineLevel="0" collapsed="false">
      <c r="H3807" s="0" t="str">
        <f aca="false">IF(B3807="","",IF(COUNTIF(Campaigns!$A$7:$A$300,B3807)&gt;0,"✓","⚠ add to Campaigns tab"))</f>
        <v/>
      </c>
      <c r="I3807" s="84" t="str">
        <f aca="false">IF(C3807="","",C3807*IF(Settings!$B$23=Settings!$C$6,1,IF(Settings!$B$23="USD",1/INDEX(Settings!$B$29:$B$40,MONTH(A3807)),INDEX(Settings!$B$29:$B$40,MONTH(A3807)))))</f>
        <v/>
      </c>
    </row>
    <row r="3808" customFormat="false" ht="15" hidden="false" customHeight="false" outlineLevel="0" collapsed="false">
      <c r="H3808" s="0" t="str">
        <f aca="false">IF(B3808="","",IF(COUNTIF(Campaigns!$A$7:$A$300,B3808)&gt;0,"✓","⚠ add to Campaigns tab"))</f>
        <v/>
      </c>
      <c r="I3808" s="84" t="str">
        <f aca="false">IF(C3808="","",C3808*IF(Settings!$B$23=Settings!$C$6,1,IF(Settings!$B$23="USD",1/INDEX(Settings!$B$29:$B$40,MONTH(A3808)),INDEX(Settings!$B$29:$B$40,MONTH(A3808)))))</f>
        <v/>
      </c>
    </row>
    <row r="3809" customFormat="false" ht="15" hidden="false" customHeight="false" outlineLevel="0" collapsed="false">
      <c r="H3809" s="0" t="str">
        <f aca="false">IF(B3809="","",IF(COUNTIF(Campaigns!$A$7:$A$300,B3809)&gt;0,"✓","⚠ add to Campaigns tab"))</f>
        <v/>
      </c>
      <c r="I3809" s="84" t="str">
        <f aca="false">IF(C3809="","",C3809*IF(Settings!$B$23=Settings!$C$6,1,IF(Settings!$B$23="USD",1/INDEX(Settings!$B$29:$B$40,MONTH(A3809)),INDEX(Settings!$B$29:$B$40,MONTH(A3809)))))</f>
        <v/>
      </c>
    </row>
    <row r="3810" customFormat="false" ht="15" hidden="false" customHeight="false" outlineLevel="0" collapsed="false">
      <c r="H3810" s="0" t="str">
        <f aca="false">IF(B3810="","",IF(COUNTIF(Campaigns!$A$7:$A$300,B3810)&gt;0,"✓","⚠ add to Campaigns tab"))</f>
        <v/>
      </c>
      <c r="I3810" s="84" t="str">
        <f aca="false">IF(C3810="","",C3810*IF(Settings!$B$23=Settings!$C$6,1,IF(Settings!$B$23="USD",1/INDEX(Settings!$B$29:$B$40,MONTH(A3810)),INDEX(Settings!$B$29:$B$40,MONTH(A3810)))))</f>
        <v/>
      </c>
    </row>
    <row r="3811" customFormat="false" ht="15" hidden="false" customHeight="false" outlineLevel="0" collapsed="false">
      <c r="H3811" s="0" t="str">
        <f aca="false">IF(B3811="","",IF(COUNTIF(Campaigns!$A$7:$A$300,B3811)&gt;0,"✓","⚠ add to Campaigns tab"))</f>
        <v/>
      </c>
      <c r="I3811" s="84" t="str">
        <f aca="false">IF(C3811="","",C3811*IF(Settings!$B$23=Settings!$C$6,1,IF(Settings!$B$23="USD",1/INDEX(Settings!$B$29:$B$40,MONTH(A3811)),INDEX(Settings!$B$29:$B$40,MONTH(A3811)))))</f>
        <v/>
      </c>
    </row>
    <row r="3812" customFormat="false" ht="15" hidden="false" customHeight="false" outlineLevel="0" collapsed="false">
      <c r="H3812" s="0" t="str">
        <f aca="false">IF(B3812="","",IF(COUNTIF(Campaigns!$A$7:$A$300,B3812)&gt;0,"✓","⚠ add to Campaigns tab"))</f>
        <v/>
      </c>
      <c r="I3812" s="84" t="str">
        <f aca="false">IF(C3812="","",C3812*IF(Settings!$B$23=Settings!$C$6,1,IF(Settings!$B$23="USD",1/INDEX(Settings!$B$29:$B$40,MONTH(A3812)),INDEX(Settings!$B$29:$B$40,MONTH(A3812)))))</f>
        <v/>
      </c>
    </row>
    <row r="3813" customFormat="false" ht="15" hidden="false" customHeight="false" outlineLevel="0" collapsed="false">
      <c r="H3813" s="0" t="str">
        <f aca="false">IF(B3813="","",IF(COUNTIF(Campaigns!$A$7:$A$300,B3813)&gt;0,"✓","⚠ add to Campaigns tab"))</f>
        <v/>
      </c>
      <c r="I3813" s="84" t="str">
        <f aca="false">IF(C3813="","",C3813*IF(Settings!$B$23=Settings!$C$6,1,IF(Settings!$B$23="USD",1/INDEX(Settings!$B$29:$B$40,MONTH(A3813)),INDEX(Settings!$B$29:$B$40,MONTH(A3813)))))</f>
        <v/>
      </c>
    </row>
    <row r="3814" customFormat="false" ht="15" hidden="false" customHeight="false" outlineLevel="0" collapsed="false">
      <c r="H3814" s="0" t="str">
        <f aca="false">IF(B3814="","",IF(COUNTIF(Campaigns!$A$7:$A$300,B3814)&gt;0,"✓","⚠ add to Campaigns tab"))</f>
        <v/>
      </c>
      <c r="I3814" s="84" t="str">
        <f aca="false">IF(C3814="","",C3814*IF(Settings!$B$23=Settings!$C$6,1,IF(Settings!$B$23="USD",1/INDEX(Settings!$B$29:$B$40,MONTH(A3814)),INDEX(Settings!$B$29:$B$40,MONTH(A3814)))))</f>
        <v/>
      </c>
    </row>
    <row r="3815" customFormat="false" ht="15" hidden="false" customHeight="false" outlineLevel="0" collapsed="false">
      <c r="H3815" s="0" t="str">
        <f aca="false">IF(B3815="","",IF(COUNTIF(Campaigns!$A$7:$A$300,B3815)&gt;0,"✓","⚠ add to Campaigns tab"))</f>
        <v/>
      </c>
      <c r="I3815" s="84" t="str">
        <f aca="false">IF(C3815="","",C3815*IF(Settings!$B$23=Settings!$C$6,1,IF(Settings!$B$23="USD",1/INDEX(Settings!$B$29:$B$40,MONTH(A3815)),INDEX(Settings!$B$29:$B$40,MONTH(A3815)))))</f>
        <v/>
      </c>
    </row>
    <row r="3816" customFormat="false" ht="15" hidden="false" customHeight="false" outlineLevel="0" collapsed="false">
      <c r="H3816" s="0" t="str">
        <f aca="false">IF(B3816="","",IF(COUNTIF(Campaigns!$A$7:$A$300,B3816)&gt;0,"✓","⚠ add to Campaigns tab"))</f>
        <v/>
      </c>
      <c r="I3816" s="84" t="str">
        <f aca="false">IF(C3816="","",C3816*IF(Settings!$B$23=Settings!$C$6,1,IF(Settings!$B$23="USD",1/INDEX(Settings!$B$29:$B$40,MONTH(A3816)),INDEX(Settings!$B$29:$B$40,MONTH(A3816)))))</f>
        <v/>
      </c>
    </row>
    <row r="3817" customFormat="false" ht="15" hidden="false" customHeight="false" outlineLevel="0" collapsed="false">
      <c r="H3817" s="0" t="str">
        <f aca="false">IF(B3817="","",IF(COUNTIF(Campaigns!$A$7:$A$300,B3817)&gt;0,"✓","⚠ add to Campaigns tab"))</f>
        <v/>
      </c>
      <c r="I3817" s="84" t="str">
        <f aca="false">IF(C3817="","",C3817*IF(Settings!$B$23=Settings!$C$6,1,IF(Settings!$B$23="USD",1/INDEX(Settings!$B$29:$B$40,MONTH(A3817)),INDEX(Settings!$B$29:$B$40,MONTH(A3817)))))</f>
        <v/>
      </c>
    </row>
    <row r="3818" customFormat="false" ht="15" hidden="false" customHeight="false" outlineLevel="0" collapsed="false">
      <c r="H3818" s="0" t="str">
        <f aca="false">IF(B3818="","",IF(COUNTIF(Campaigns!$A$7:$A$300,B3818)&gt;0,"✓","⚠ add to Campaigns tab"))</f>
        <v/>
      </c>
      <c r="I3818" s="84" t="str">
        <f aca="false">IF(C3818="","",C3818*IF(Settings!$B$23=Settings!$C$6,1,IF(Settings!$B$23="USD",1/INDEX(Settings!$B$29:$B$40,MONTH(A3818)),INDEX(Settings!$B$29:$B$40,MONTH(A3818)))))</f>
        <v/>
      </c>
    </row>
    <row r="3819" customFormat="false" ht="15" hidden="false" customHeight="false" outlineLevel="0" collapsed="false">
      <c r="H3819" s="0" t="str">
        <f aca="false">IF(B3819="","",IF(COUNTIF(Campaigns!$A$7:$A$300,B3819)&gt;0,"✓","⚠ add to Campaigns tab"))</f>
        <v/>
      </c>
      <c r="I3819" s="84" t="str">
        <f aca="false">IF(C3819="","",C3819*IF(Settings!$B$23=Settings!$C$6,1,IF(Settings!$B$23="USD",1/INDEX(Settings!$B$29:$B$40,MONTH(A3819)),INDEX(Settings!$B$29:$B$40,MONTH(A3819)))))</f>
        <v/>
      </c>
    </row>
    <row r="3820" customFormat="false" ht="15" hidden="false" customHeight="false" outlineLevel="0" collapsed="false">
      <c r="H3820" s="0" t="str">
        <f aca="false">IF(B3820="","",IF(COUNTIF(Campaigns!$A$7:$A$300,B3820)&gt;0,"✓","⚠ add to Campaigns tab"))</f>
        <v/>
      </c>
      <c r="I3820" s="84" t="str">
        <f aca="false">IF(C3820="","",C3820*IF(Settings!$B$23=Settings!$C$6,1,IF(Settings!$B$23="USD",1/INDEX(Settings!$B$29:$B$40,MONTH(A3820)),INDEX(Settings!$B$29:$B$40,MONTH(A3820)))))</f>
        <v/>
      </c>
    </row>
    <row r="3821" customFormat="false" ht="15" hidden="false" customHeight="false" outlineLevel="0" collapsed="false">
      <c r="H3821" s="0" t="str">
        <f aca="false">IF(B3821="","",IF(COUNTIF(Campaigns!$A$7:$A$300,B3821)&gt;0,"✓","⚠ add to Campaigns tab"))</f>
        <v/>
      </c>
      <c r="I3821" s="84" t="str">
        <f aca="false">IF(C3821="","",C3821*IF(Settings!$B$23=Settings!$C$6,1,IF(Settings!$B$23="USD",1/INDEX(Settings!$B$29:$B$40,MONTH(A3821)),INDEX(Settings!$B$29:$B$40,MONTH(A3821)))))</f>
        <v/>
      </c>
    </row>
    <row r="3822" customFormat="false" ht="15" hidden="false" customHeight="false" outlineLevel="0" collapsed="false">
      <c r="H3822" s="0" t="str">
        <f aca="false">IF(B3822="","",IF(COUNTIF(Campaigns!$A$7:$A$300,B3822)&gt;0,"✓","⚠ add to Campaigns tab"))</f>
        <v/>
      </c>
      <c r="I3822" s="84" t="str">
        <f aca="false">IF(C3822="","",C3822*IF(Settings!$B$23=Settings!$C$6,1,IF(Settings!$B$23="USD",1/INDEX(Settings!$B$29:$B$40,MONTH(A3822)),INDEX(Settings!$B$29:$B$40,MONTH(A3822)))))</f>
        <v/>
      </c>
    </row>
    <row r="3823" customFormat="false" ht="15" hidden="false" customHeight="false" outlineLevel="0" collapsed="false">
      <c r="H3823" s="0" t="str">
        <f aca="false">IF(B3823="","",IF(COUNTIF(Campaigns!$A$7:$A$300,B3823)&gt;0,"✓","⚠ add to Campaigns tab"))</f>
        <v/>
      </c>
      <c r="I3823" s="84" t="str">
        <f aca="false">IF(C3823="","",C3823*IF(Settings!$B$23=Settings!$C$6,1,IF(Settings!$B$23="USD",1/INDEX(Settings!$B$29:$B$40,MONTH(A3823)),INDEX(Settings!$B$29:$B$40,MONTH(A3823)))))</f>
        <v/>
      </c>
    </row>
    <row r="3824" customFormat="false" ht="15" hidden="false" customHeight="false" outlineLevel="0" collapsed="false">
      <c r="H3824" s="0" t="str">
        <f aca="false">IF(B3824="","",IF(COUNTIF(Campaigns!$A$7:$A$300,B3824)&gt;0,"✓","⚠ add to Campaigns tab"))</f>
        <v/>
      </c>
      <c r="I3824" s="84" t="str">
        <f aca="false">IF(C3824="","",C3824*IF(Settings!$B$23=Settings!$C$6,1,IF(Settings!$B$23="USD",1/INDEX(Settings!$B$29:$B$40,MONTH(A3824)),INDEX(Settings!$B$29:$B$40,MONTH(A3824)))))</f>
        <v/>
      </c>
    </row>
    <row r="3825" customFormat="false" ht="15" hidden="false" customHeight="false" outlineLevel="0" collapsed="false">
      <c r="H3825" s="0" t="str">
        <f aca="false">IF(B3825="","",IF(COUNTIF(Campaigns!$A$7:$A$300,B3825)&gt;0,"✓","⚠ add to Campaigns tab"))</f>
        <v/>
      </c>
      <c r="I3825" s="84" t="str">
        <f aca="false">IF(C3825="","",C3825*IF(Settings!$B$23=Settings!$C$6,1,IF(Settings!$B$23="USD",1/INDEX(Settings!$B$29:$B$40,MONTH(A3825)),INDEX(Settings!$B$29:$B$40,MONTH(A3825)))))</f>
        <v/>
      </c>
    </row>
    <row r="3826" customFormat="false" ht="15" hidden="false" customHeight="false" outlineLevel="0" collapsed="false">
      <c r="H3826" s="0" t="str">
        <f aca="false">IF(B3826="","",IF(COUNTIF(Campaigns!$A$7:$A$300,B3826)&gt;0,"✓","⚠ add to Campaigns tab"))</f>
        <v/>
      </c>
      <c r="I3826" s="84" t="str">
        <f aca="false">IF(C3826="","",C3826*IF(Settings!$B$23=Settings!$C$6,1,IF(Settings!$B$23="USD",1/INDEX(Settings!$B$29:$B$40,MONTH(A3826)),INDEX(Settings!$B$29:$B$40,MONTH(A3826)))))</f>
        <v/>
      </c>
    </row>
    <row r="3827" customFormat="false" ht="15" hidden="false" customHeight="false" outlineLevel="0" collapsed="false">
      <c r="H3827" s="0" t="str">
        <f aca="false">IF(B3827="","",IF(COUNTIF(Campaigns!$A$7:$A$300,B3827)&gt;0,"✓","⚠ add to Campaigns tab"))</f>
        <v/>
      </c>
      <c r="I3827" s="84" t="str">
        <f aca="false">IF(C3827="","",C3827*IF(Settings!$B$23=Settings!$C$6,1,IF(Settings!$B$23="USD",1/INDEX(Settings!$B$29:$B$40,MONTH(A3827)),INDEX(Settings!$B$29:$B$40,MONTH(A3827)))))</f>
        <v/>
      </c>
    </row>
    <row r="3828" customFormat="false" ht="15" hidden="false" customHeight="false" outlineLevel="0" collapsed="false">
      <c r="H3828" s="0" t="str">
        <f aca="false">IF(B3828="","",IF(COUNTIF(Campaigns!$A$7:$A$300,B3828)&gt;0,"✓","⚠ add to Campaigns tab"))</f>
        <v/>
      </c>
      <c r="I3828" s="84" t="str">
        <f aca="false">IF(C3828="","",C3828*IF(Settings!$B$23=Settings!$C$6,1,IF(Settings!$B$23="USD",1/INDEX(Settings!$B$29:$B$40,MONTH(A3828)),INDEX(Settings!$B$29:$B$40,MONTH(A3828)))))</f>
        <v/>
      </c>
    </row>
    <row r="3829" customFormat="false" ht="15" hidden="false" customHeight="false" outlineLevel="0" collapsed="false">
      <c r="H3829" s="0" t="str">
        <f aca="false">IF(B3829="","",IF(COUNTIF(Campaigns!$A$7:$A$300,B3829)&gt;0,"✓","⚠ add to Campaigns tab"))</f>
        <v/>
      </c>
      <c r="I3829" s="84" t="str">
        <f aca="false">IF(C3829="","",C3829*IF(Settings!$B$23=Settings!$C$6,1,IF(Settings!$B$23="USD",1/INDEX(Settings!$B$29:$B$40,MONTH(A3829)),INDEX(Settings!$B$29:$B$40,MONTH(A3829)))))</f>
        <v/>
      </c>
    </row>
    <row r="3830" customFormat="false" ht="15" hidden="false" customHeight="false" outlineLevel="0" collapsed="false">
      <c r="H3830" s="0" t="str">
        <f aca="false">IF(B3830="","",IF(COUNTIF(Campaigns!$A$7:$A$300,B3830)&gt;0,"✓","⚠ add to Campaigns tab"))</f>
        <v/>
      </c>
      <c r="I3830" s="84" t="str">
        <f aca="false">IF(C3830="","",C3830*IF(Settings!$B$23=Settings!$C$6,1,IF(Settings!$B$23="USD",1/INDEX(Settings!$B$29:$B$40,MONTH(A3830)),INDEX(Settings!$B$29:$B$40,MONTH(A3830)))))</f>
        <v/>
      </c>
    </row>
    <row r="3831" customFormat="false" ht="15" hidden="false" customHeight="false" outlineLevel="0" collapsed="false">
      <c r="H3831" s="0" t="str">
        <f aca="false">IF(B3831="","",IF(COUNTIF(Campaigns!$A$7:$A$300,B3831)&gt;0,"✓","⚠ add to Campaigns tab"))</f>
        <v/>
      </c>
      <c r="I3831" s="84" t="str">
        <f aca="false">IF(C3831="","",C3831*IF(Settings!$B$23=Settings!$C$6,1,IF(Settings!$B$23="USD",1/INDEX(Settings!$B$29:$B$40,MONTH(A3831)),INDEX(Settings!$B$29:$B$40,MONTH(A3831)))))</f>
        <v/>
      </c>
    </row>
    <row r="3832" customFormat="false" ht="15" hidden="false" customHeight="false" outlineLevel="0" collapsed="false">
      <c r="H3832" s="0" t="str">
        <f aca="false">IF(B3832="","",IF(COUNTIF(Campaigns!$A$7:$A$300,B3832)&gt;0,"✓","⚠ add to Campaigns tab"))</f>
        <v/>
      </c>
      <c r="I3832" s="84" t="str">
        <f aca="false">IF(C3832="","",C3832*IF(Settings!$B$23=Settings!$C$6,1,IF(Settings!$B$23="USD",1/INDEX(Settings!$B$29:$B$40,MONTH(A3832)),INDEX(Settings!$B$29:$B$40,MONTH(A3832)))))</f>
        <v/>
      </c>
    </row>
    <row r="3833" customFormat="false" ht="15" hidden="false" customHeight="false" outlineLevel="0" collapsed="false">
      <c r="H3833" s="0" t="str">
        <f aca="false">IF(B3833="","",IF(COUNTIF(Campaigns!$A$7:$A$300,B3833)&gt;0,"✓","⚠ add to Campaigns tab"))</f>
        <v/>
      </c>
      <c r="I3833" s="84" t="str">
        <f aca="false">IF(C3833="","",C3833*IF(Settings!$B$23=Settings!$C$6,1,IF(Settings!$B$23="USD",1/INDEX(Settings!$B$29:$B$40,MONTH(A3833)),INDEX(Settings!$B$29:$B$40,MONTH(A3833)))))</f>
        <v/>
      </c>
    </row>
    <row r="3834" customFormat="false" ht="15" hidden="false" customHeight="false" outlineLevel="0" collapsed="false">
      <c r="H3834" s="0" t="str">
        <f aca="false">IF(B3834="","",IF(COUNTIF(Campaigns!$A$7:$A$300,B3834)&gt;0,"✓","⚠ add to Campaigns tab"))</f>
        <v/>
      </c>
      <c r="I3834" s="84" t="str">
        <f aca="false">IF(C3834="","",C3834*IF(Settings!$B$23=Settings!$C$6,1,IF(Settings!$B$23="USD",1/INDEX(Settings!$B$29:$B$40,MONTH(A3834)),INDEX(Settings!$B$29:$B$40,MONTH(A3834)))))</f>
        <v/>
      </c>
    </row>
    <row r="3835" customFormat="false" ht="15" hidden="false" customHeight="false" outlineLevel="0" collapsed="false">
      <c r="H3835" s="0" t="str">
        <f aca="false">IF(B3835="","",IF(COUNTIF(Campaigns!$A$7:$A$300,B3835)&gt;0,"✓","⚠ add to Campaigns tab"))</f>
        <v/>
      </c>
      <c r="I3835" s="84" t="str">
        <f aca="false">IF(C3835="","",C3835*IF(Settings!$B$23=Settings!$C$6,1,IF(Settings!$B$23="USD",1/INDEX(Settings!$B$29:$B$40,MONTH(A3835)),INDEX(Settings!$B$29:$B$40,MONTH(A3835)))))</f>
        <v/>
      </c>
    </row>
    <row r="3836" customFormat="false" ht="15" hidden="false" customHeight="false" outlineLevel="0" collapsed="false">
      <c r="H3836" s="0" t="str">
        <f aca="false">IF(B3836="","",IF(COUNTIF(Campaigns!$A$7:$A$300,B3836)&gt;0,"✓","⚠ add to Campaigns tab"))</f>
        <v/>
      </c>
      <c r="I3836" s="84" t="str">
        <f aca="false">IF(C3836="","",C3836*IF(Settings!$B$23=Settings!$C$6,1,IF(Settings!$B$23="USD",1/INDEX(Settings!$B$29:$B$40,MONTH(A3836)),INDEX(Settings!$B$29:$B$40,MONTH(A3836)))))</f>
        <v/>
      </c>
    </row>
    <row r="3837" customFormat="false" ht="15" hidden="false" customHeight="false" outlineLevel="0" collapsed="false">
      <c r="H3837" s="0" t="str">
        <f aca="false">IF(B3837="","",IF(COUNTIF(Campaigns!$A$7:$A$300,B3837)&gt;0,"✓","⚠ add to Campaigns tab"))</f>
        <v/>
      </c>
      <c r="I3837" s="84" t="str">
        <f aca="false">IF(C3837="","",C3837*IF(Settings!$B$23=Settings!$C$6,1,IF(Settings!$B$23="USD",1/INDEX(Settings!$B$29:$B$40,MONTH(A3837)),INDEX(Settings!$B$29:$B$40,MONTH(A3837)))))</f>
        <v/>
      </c>
    </row>
    <row r="3838" customFormat="false" ht="15" hidden="false" customHeight="false" outlineLevel="0" collapsed="false">
      <c r="H3838" s="0" t="str">
        <f aca="false">IF(B3838="","",IF(COUNTIF(Campaigns!$A$7:$A$300,B3838)&gt;0,"✓","⚠ add to Campaigns tab"))</f>
        <v/>
      </c>
      <c r="I3838" s="84" t="str">
        <f aca="false">IF(C3838="","",C3838*IF(Settings!$B$23=Settings!$C$6,1,IF(Settings!$B$23="USD",1/INDEX(Settings!$B$29:$B$40,MONTH(A3838)),INDEX(Settings!$B$29:$B$40,MONTH(A3838)))))</f>
        <v/>
      </c>
    </row>
    <row r="3839" customFormat="false" ht="15" hidden="false" customHeight="false" outlineLevel="0" collapsed="false">
      <c r="H3839" s="0" t="str">
        <f aca="false">IF(B3839="","",IF(COUNTIF(Campaigns!$A$7:$A$300,B3839)&gt;0,"✓","⚠ add to Campaigns tab"))</f>
        <v/>
      </c>
      <c r="I3839" s="84" t="str">
        <f aca="false">IF(C3839="","",C3839*IF(Settings!$B$23=Settings!$C$6,1,IF(Settings!$B$23="USD",1/INDEX(Settings!$B$29:$B$40,MONTH(A3839)),INDEX(Settings!$B$29:$B$40,MONTH(A3839)))))</f>
        <v/>
      </c>
    </row>
    <row r="3840" customFormat="false" ht="15" hidden="false" customHeight="false" outlineLevel="0" collapsed="false">
      <c r="H3840" s="0" t="str">
        <f aca="false">IF(B3840="","",IF(COUNTIF(Campaigns!$A$7:$A$300,B3840)&gt;0,"✓","⚠ add to Campaigns tab"))</f>
        <v/>
      </c>
      <c r="I3840" s="84" t="str">
        <f aca="false">IF(C3840="","",C3840*IF(Settings!$B$23=Settings!$C$6,1,IF(Settings!$B$23="USD",1/INDEX(Settings!$B$29:$B$40,MONTH(A3840)),INDEX(Settings!$B$29:$B$40,MONTH(A3840)))))</f>
        <v/>
      </c>
    </row>
    <row r="3841" customFormat="false" ht="15" hidden="false" customHeight="false" outlineLevel="0" collapsed="false">
      <c r="H3841" s="0" t="str">
        <f aca="false">IF(B3841="","",IF(COUNTIF(Campaigns!$A$7:$A$300,B3841)&gt;0,"✓","⚠ add to Campaigns tab"))</f>
        <v/>
      </c>
      <c r="I3841" s="84" t="str">
        <f aca="false">IF(C3841="","",C3841*IF(Settings!$B$23=Settings!$C$6,1,IF(Settings!$B$23="USD",1/INDEX(Settings!$B$29:$B$40,MONTH(A3841)),INDEX(Settings!$B$29:$B$40,MONTH(A3841)))))</f>
        <v/>
      </c>
    </row>
    <row r="3842" customFormat="false" ht="15" hidden="false" customHeight="false" outlineLevel="0" collapsed="false">
      <c r="H3842" s="0" t="str">
        <f aca="false">IF(B3842="","",IF(COUNTIF(Campaigns!$A$7:$A$300,B3842)&gt;0,"✓","⚠ add to Campaigns tab"))</f>
        <v/>
      </c>
      <c r="I3842" s="84" t="str">
        <f aca="false">IF(C3842="","",C3842*IF(Settings!$B$23=Settings!$C$6,1,IF(Settings!$B$23="USD",1/INDEX(Settings!$B$29:$B$40,MONTH(A3842)),INDEX(Settings!$B$29:$B$40,MONTH(A3842)))))</f>
        <v/>
      </c>
    </row>
    <row r="3843" customFormat="false" ht="15" hidden="false" customHeight="false" outlineLevel="0" collapsed="false">
      <c r="H3843" s="0" t="str">
        <f aca="false">IF(B3843="","",IF(COUNTIF(Campaigns!$A$7:$A$300,B3843)&gt;0,"✓","⚠ add to Campaigns tab"))</f>
        <v/>
      </c>
      <c r="I3843" s="84" t="str">
        <f aca="false">IF(C3843="","",C3843*IF(Settings!$B$23=Settings!$C$6,1,IF(Settings!$B$23="USD",1/INDEX(Settings!$B$29:$B$40,MONTH(A3843)),INDEX(Settings!$B$29:$B$40,MONTH(A3843)))))</f>
        <v/>
      </c>
    </row>
    <row r="3844" customFormat="false" ht="15" hidden="false" customHeight="false" outlineLevel="0" collapsed="false">
      <c r="H3844" s="0" t="str">
        <f aca="false">IF(B3844="","",IF(COUNTIF(Campaigns!$A$7:$A$300,B3844)&gt;0,"✓","⚠ add to Campaigns tab"))</f>
        <v/>
      </c>
      <c r="I3844" s="84" t="str">
        <f aca="false">IF(C3844="","",C3844*IF(Settings!$B$23=Settings!$C$6,1,IF(Settings!$B$23="USD",1/INDEX(Settings!$B$29:$B$40,MONTH(A3844)),INDEX(Settings!$B$29:$B$40,MONTH(A3844)))))</f>
        <v/>
      </c>
    </row>
    <row r="3845" customFormat="false" ht="15" hidden="false" customHeight="false" outlineLevel="0" collapsed="false">
      <c r="H3845" s="0" t="str">
        <f aca="false">IF(B3845="","",IF(COUNTIF(Campaigns!$A$7:$A$300,B3845)&gt;0,"✓","⚠ add to Campaigns tab"))</f>
        <v/>
      </c>
      <c r="I3845" s="84" t="str">
        <f aca="false">IF(C3845="","",C3845*IF(Settings!$B$23=Settings!$C$6,1,IF(Settings!$B$23="USD",1/INDEX(Settings!$B$29:$B$40,MONTH(A3845)),INDEX(Settings!$B$29:$B$40,MONTH(A3845)))))</f>
        <v/>
      </c>
    </row>
    <row r="3846" customFormat="false" ht="15" hidden="false" customHeight="false" outlineLevel="0" collapsed="false">
      <c r="H3846" s="0" t="str">
        <f aca="false">IF(B3846="","",IF(COUNTIF(Campaigns!$A$7:$A$300,B3846)&gt;0,"✓","⚠ add to Campaigns tab"))</f>
        <v/>
      </c>
      <c r="I3846" s="84" t="str">
        <f aca="false">IF(C3846="","",C3846*IF(Settings!$B$23=Settings!$C$6,1,IF(Settings!$B$23="USD",1/INDEX(Settings!$B$29:$B$40,MONTH(A3846)),INDEX(Settings!$B$29:$B$40,MONTH(A3846)))))</f>
        <v/>
      </c>
    </row>
    <row r="3847" customFormat="false" ht="15" hidden="false" customHeight="false" outlineLevel="0" collapsed="false">
      <c r="H3847" s="0" t="str">
        <f aca="false">IF(B3847="","",IF(COUNTIF(Campaigns!$A$7:$A$300,B3847)&gt;0,"✓","⚠ add to Campaigns tab"))</f>
        <v/>
      </c>
      <c r="I3847" s="84" t="str">
        <f aca="false">IF(C3847="","",C3847*IF(Settings!$B$23=Settings!$C$6,1,IF(Settings!$B$23="USD",1/INDEX(Settings!$B$29:$B$40,MONTH(A3847)),INDEX(Settings!$B$29:$B$40,MONTH(A3847)))))</f>
        <v/>
      </c>
    </row>
    <row r="3848" customFormat="false" ht="15" hidden="false" customHeight="false" outlineLevel="0" collapsed="false">
      <c r="H3848" s="0" t="str">
        <f aca="false">IF(B3848="","",IF(COUNTIF(Campaigns!$A$7:$A$300,B3848)&gt;0,"✓","⚠ add to Campaigns tab"))</f>
        <v/>
      </c>
      <c r="I3848" s="84" t="str">
        <f aca="false">IF(C3848="","",C3848*IF(Settings!$B$23=Settings!$C$6,1,IF(Settings!$B$23="USD",1/INDEX(Settings!$B$29:$B$40,MONTH(A3848)),INDEX(Settings!$B$29:$B$40,MONTH(A3848)))))</f>
        <v/>
      </c>
    </row>
    <row r="3849" customFormat="false" ht="15" hidden="false" customHeight="false" outlineLevel="0" collapsed="false">
      <c r="H3849" s="0" t="str">
        <f aca="false">IF(B3849="","",IF(COUNTIF(Campaigns!$A$7:$A$300,B3849)&gt;0,"✓","⚠ add to Campaigns tab"))</f>
        <v/>
      </c>
      <c r="I3849" s="84" t="str">
        <f aca="false">IF(C3849="","",C3849*IF(Settings!$B$23=Settings!$C$6,1,IF(Settings!$B$23="USD",1/INDEX(Settings!$B$29:$B$40,MONTH(A3849)),INDEX(Settings!$B$29:$B$40,MONTH(A3849)))))</f>
        <v/>
      </c>
    </row>
    <row r="3850" customFormat="false" ht="15" hidden="false" customHeight="false" outlineLevel="0" collapsed="false">
      <c r="H3850" s="0" t="str">
        <f aca="false">IF(B3850="","",IF(COUNTIF(Campaigns!$A$7:$A$300,B3850)&gt;0,"✓","⚠ add to Campaigns tab"))</f>
        <v/>
      </c>
      <c r="I3850" s="84" t="str">
        <f aca="false">IF(C3850="","",C3850*IF(Settings!$B$23=Settings!$C$6,1,IF(Settings!$B$23="USD",1/INDEX(Settings!$B$29:$B$40,MONTH(A3850)),INDEX(Settings!$B$29:$B$40,MONTH(A3850)))))</f>
        <v/>
      </c>
    </row>
    <row r="3851" customFormat="false" ht="15" hidden="false" customHeight="false" outlineLevel="0" collapsed="false">
      <c r="H3851" s="0" t="str">
        <f aca="false">IF(B3851="","",IF(COUNTIF(Campaigns!$A$7:$A$300,B3851)&gt;0,"✓","⚠ add to Campaigns tab"))</f>
        <v/>
      </c>
      <c r="I3851" s="84" t="str">
        <f aca="false">IF(C3851="","",C3851*IF(Settings!$B$23=Settings!$C$6,1,IF(Settings!$B$23="USD",1/INDEX(Settings!$B$29:$B$40,MONTH(A3851)),INDEX(Settings!$B$29:$B$40,MONTH(A3851)))))</f>
        <v/>
      </c>
    </row>
    <row r="3852" customFormat="false" ht="15" hidden="false" customHeight="false" outlineLevel="0" collapsed="false">
      <c r="H3852" s="0" t="str">
        <f aca="false">IF(B3852="","",IF(COUNTIF(Campaigns!$A$7:$A$300,B3852)&gt;0,"✓","⚠ add to Campaigns tab"))</f>
        <v/>
      </c>
      <c r="I3852" s="84" t="str">
        <f aca="false">IF(C3852="","",C3852*IF(Settings!$B$23=Settings!$C$6,1,IF(Settings!$B$23="USD",1/INDEX(Settings!$B$29:$B$40,MONTH(A3852)),INDEX(Settings!$B$29:$B$40,MONTH(A3852)))))</f>
        <v/>
      </c>
    </row>
    <row r="3853" customFormat="false" ht="15" hidden="false" customHeight="false" outlineLevel="0" collapsed="false">
      <c r="H3853" s="0" t="str">
        <f aca="false">IF(B3853="","",IF(COUNTIF(Campaigns!$A$7:$A$300,B3853)&gt;0,"✓","⚠ add to Campaigns tab"))</f>
        <v/>
      </c>
      <c r="I3853" s="84" t="str">
        <f aca="false">IF(C3853="","",C3853*IF(Settings!$B$23=Settings!$C$6,1,IF(Settings!$B$23="USD",1/INDEX(Settings!$B$29:$B$40,MONTH(A3853)),INDEX(Settings!$B$29:$B$40,MONTH(A3853)))))</f>
        <v/>
      </c>
    </row>
    <row r="3854" customFormat="false" ht="15" hidden="false" customHeight="false" outlineLevel="0" collapsed="false">
      <c r="H3854" s="0" t="str">
        <f aca="false">IF(B3854="","",IF(COUNTIF(Campaigns!$A$7:$A$300,B3854)&gt;0,"✓","⚠ add to Campaigns tab"))</f>
        <v/>
      </c>
      <c r="I3854" s="84" t="str">
        <f aca="false">IF(C3854="","",C3854*IF(Settings!$B$23=Settings!$C$6,1,IF(Settings!$B$23="USD",1/INDEX(Settings!$B$29:$B$40,MONTH(A3854)),INDEX(Settings!$B$29:$B$40,MONTH(A3854)))))</f>
        <v/>
      </c>
    </row>
    <row r="3855" customFormat="false" ht="15" hidden="false" customHeight="false" outlineLevel="0" collapsed="false">
      <c r="H3855" s="0" t="str">
        <f aca="false">IF(B3855="","",IF(COUNTIF(Campaigns!$A$7:$A$300,B3855)&gt;0,"✓","⚠ add to Campaigns tab"))</f>
        <v/>
      </c>
      <c r="I3855" s="84" t="str">
        <f aca="false">IF(C3855="","",C3855*IF(Settings!$B$23=Settings!$C$6,1,IF(Settings!$B$23="USD",1/INDEX(Settings!$B$29:$B$40,MONTH(A3855)),INDEX(Settings!$B$29:$B$40,MONTH(A3855)))))</f>
        <v/>
      </c>
    </row>
    <row r="3856" customFormat="false" ht="15" hidden="false" customHeight="false" outlineLevel="0" collapsed="false">
      <c r="H3856" s="0" t="str">
        <f aca="false">IF(B3856="","",IF(COUNTIF(Campaigns!$A$7:$A$300,B3856)&gt;0,"✓","⚠ add to Campaigns tab"))</f>
        <v/>
      </c>
      <c r="I3856" s="84" t="str">
        <f aca="false">IF(C3856="","",C3856*IF(Settings!$B$23=Settings!$C$6,1,IF(Settings!$B$23="USD",1/INDEX(Settings!$B$29:$B$40,MONTH(A3856)),INDEX(Settings!$B$29:$B$40,MONTH(A3856)))))</f>
        <v/>
      </c>
    </row>
    <row r="3857" customFormat="false" ht="15" hidden="false" customHeight="false" outlineLevel="0" collapsed="false">
      <c r="H3857" s="0" t="str">
        <f aca="false">IF(B3857="","",IF(COUNTIF(Campaigns!$A$7:$A$300,B3857)&gt;0,"✓","⚠ add to Campaigns tab"))</f>
        <v/>
      </c>
      <c r="I3857" s="84" t="str">
        <f aca="false">IF(C3857="","",C3857*IF(Settings!$B$23=Settings!$C$6,1,IF(Settings!$B$23="USD",1/INDEX(Settings!$B$29:$B$40,MONTH(A3857)),INDEX(Settings!$B$29:$B$40,MONTH(A3857)))))</f>
        <v/>
      </c>
    </row>
    <row r="3858" customFormat="false" ht="15" hidden="false" customHeight="false" outlineLevel="0" collapsed="false">
      <c r="H3858" s="0" t="str">
        <f aca="false">IF(B3858="","",IF(COUNTIF(Campaigns!$A$7:$A$300,B3858)&gt;0,"✓","⚠ add to Campaigns tab"))</f>
        <v/>
      </c>
      <c r="I3858" s="84" t="str">
        <f aca="false">IF(C3858="","",C3858*IF(Settings!$B$23=Settings!$C$6,1,IF(Settings!$B$23="USD",1/INDEX(Settings!$B$29:$B$40,MONTH(A3858)),INDEX(Settings!$B$29:$B$40,MONTH(A3858)))))</f>
        <v/>
      </c>
    </row>
    <row r="3859" customFormat="false" ht="15" hidden="false" customHeight="false" outlineLevel="0" collapsed="false">
      <c r="H3859" s="0" t="str">
        <f aca="false">IF(B3859="","",IF(COUNTIF(Campaigns!$A$7:$A$300,B3859)&gt;0,"✓","⚠ add to Campaigns tab"))</f>
        <v/>
      </c>
      <c r="I3859" s="84" t="str">
        <f aca="false">IF(C3859="","",C3859*IF(Settings!$B$23=Settings!$C$6,1,IF(Settings!$B$23="USD",1/INDEX(Settings!$B$29:$B$40,MONTH(A3859)),INDEX(Settings!$B$29:$B$40,MONTH(A3859)))))</f>
        <v/>
      </c>
    </row>
    <row r="3860" customFormat="false" ht="15" hidden="false" customHeight="false" outlineLevel="0" collapsed="false">
      <c r="H3860" s="0" t="str">
        <f aca="false">IF(B3860="","",IF(COUNTIF(Campaigns!$A$7:$A$300,B3860)&gt;0,"✓","⚠ add to Campaigns tab"))</f>
        <v/>
      </c>
      <c r="I3860" s="84" t="str">
        <f aca="false">IF(C3860="","",C3860*IF(Settings!$B$23=Settings!$C$6,1,IF(Settings!$B$23="USD",1/INDEX(Settings!$B$29:$B$40,MONTH(A3860)),INDEX(Settings!$B$29:$B$40,MONTH(A3860)))))</f>
        <v/>
      </c>
    </row>
    <row r="3861" customFormat="false" ht="15" hidden="false" customHeight="false" outlineLevel="0" collapsed="false">
      <c r="H3861" s="0" t="str">
        <f aca="false">IF(B3861="","",IF(COUNTIF(Campaigns!$A$7:$A$300,B3861)&gt;0,"✓","⚠ add to Campaigns tab"))</f>
        <v/>
      </c>
      <c r="I3861" s="84" t="str">
        <f aca="false">IF(C3861="","",C3861*IF(Settings!$B$23=Settings!$C$6,1,IF(Settings!$B$23="USD",1/INDEX(Settings!$B$29:$B$40,MONTH(A3861)),INDEX(Settings!$B$29:$B$40,MONTH(A3861)))))</f>
        <v/>
      </c>
    </row>
    <row r="3862" customFormat="false" ht="15" hidden="false" customHeight="false" outlineLevel="0" collapsed="false">
      <c r="H3862" s="0" t="str">
        <f aca="false">IF(B3862="","",IF(COUNTIF(Campaigns!$A$7:$A$300,B3862)&gt;0,"✓","⚠ add to Campaigns tab"))</f>
        <v/>
      </c>
      <c r="I3862" s="84" t="str">
        <f aca="false">IF(C3862="","",C3862*IF(Settings!$B$23=Settings!$C$6,1,IF(Settings!$B$23="USD",1/INDEX(Settings!$B$29:$B$40,MONTH(A3862)),INDEX(Settings!$B$29:$B$40,MONTH(A3862)))))</f>
        <v/>
      </c>
    </row>
    <row r="3863" customFormat="false" ht="15" hidden="false" customHeight="false" outlineLevel="0" collapsed="false">
      <c r="H3863" s="0" t="str">
        <f aca="false">IF(B3863="","",IF(COUNTIF(Campaigns!$A$7:$A$300,B3863)&gt;0,"✓","⚠ add to Campaigns tab"))</f>
        <v/>
      </c>
      <c r="I3863" s="84" t="str">
        <f aca="false">IF(C3863="","",C3863*IF(Settings!$B$23=Settings!$C$6,1,IF(Settings!$B$23="USD",1/INDEX(Settings!$B$29:$B$40,MONTH(A3863)),INDEX(Settings!$B$29:$B$40,MONTH(A3863)))))</f>
        <v/>
      </c>
    </row>
    <row r="3864" customFormat="false" ht="15" hidden="false" customHeight="false" outlineLevel="0" collapsed="false">
      <c r="H3864" s="0" t="str">
        <f aca="false">IF(B3864="","",IF(COUNTIF(Campaigns!$A$7:$A$300,B3864)&gt;0,"✓","⚠ add to Campaigns tab"))</f>
        <v/>
      </c>
      <c r="I3864" s="84" t="str">
        <f aca="false">IF(C3864="","",C3864*IF(Settings!$B$23=Settings!$C$6,1,IF(Settings!$B$23="USD",1/INDEX(Settings!$B$29:$B$40,MONTH(A3864)),INDEX(Settings!$B$29:$B$40,MONTH(A3864)))))</f>
        <v/>
      </c>
    </row>
    <row r="3865" customFormat="false" ht="15" hidden="false" customHeight="false" outlineLevel="0" collapsed="false">
      <c r="H3865" s="0" t="str">
        <f aca="false">IF(B3865="","",IF(COUNTIF(Campaigns!$A$7:$A$300,B3865)&gt;0,"✓","⚠ add to Campaigns tab"))</f>
        <v/>
      </c>
      <c r="I3865" s="84" t="str">
        <f aca="false">IF(C3865="","",C3865*IF(Settings!$B$23=Settings!$C$6,1,IF(Settings!$B$23="USD",1/INDEX(Settings!$B$29:$B$40,MONTH(A3865)),INDEX(Settings!$B$29:$B$40,MONTH(A3865)))))</f>
        <v/>
      </c>
    </row>
    <row r="3866" customFormat="false" ht="15" hidden="false" customHeight="false" outlineLevel="0" collapsed="false">
      <c r="H3866" s="0" t="str">
        <f aca="false">IF(B3866="","",IF(COUNTIF(Campaigns!$A$7:$A$300,B3866)&gt;0,"✓","⚠ add to Campaigns tab"))</f>
        <v/>
      </c>
      <c r="I3866" s="84" t="str">
        <f aca="false">IF(C3866="","",C3866*IF(Settings!$B$23=Settings!$C$6,1,IF(Settings!$B$23="USD",1/INDEX(Settings!$B$29:$B$40,MONTH(A3866)),INDEX(Settings!$B$29:$B$40,MONTH(A3866)))))</f>
        <v/>
      </c>
    </row>
    <row r="3867" customFormat="false" ht="15" hidden="false" customHeight="false" outlineLevel="0" collapsed="false">
      <c r="H3867" s="0" t="str">
        <f aca="false">IF(B3867="","",IF(COUNTIF(Campaigns!$A$7:$A$300,B3867)&gt;0,"✓","⚠ add to Campaigns tab"))</f>
        <v/>
      </c>
      <c r="I3867" s="84" t="str">
        <f aca="false">IF(C3867="","",C3867*IF(Settings!$B$23=Settings!$C$6,1,IF(Settings!$B$23="USD",1/INDEX(Settings!$B$29:$B$40,MONTH(A3867)),INDEX(Settings!$B$29:$B$40,MONTH(A3867)))))</f>
        <v/>
      </c>
    </row>
    <row r="3868" customFormat="false" ht="15" hidden="false" customHeight="false" outlineLevel="0" collapsed="false">
      <c r="H3868" s="0" t="str">
        <f aca="false">IF(B3868="","",IF(COUNTIF(Campaigns!$A$7:$A$300,B3868)&gt;0,"✓","⚠ add to Campaigns tab"))</f>
        <v/>
      </c>
      <c r="I3868" s="84" t="str">
        <f aca="false">IF(C3868="","",C3868*IF(Settings!$B$23=Settings!$C$6,1,IF(Settings!$B$23="USD",1/INDEX(Settings!$B$29:$B$40,MONTH(A3868)),INDEX(Settings!$B$29:$B$40,MONTH(A3868)))))</f>
        <v/>
      </c>
    </row>
    <row r="3869" customFormat="false" ht="15" hidden="false" customHeight="false" outlineLevel="0" collapsed="false">
      <c r="H3869" s="0" t="str">
        <f aca="false">IF(B3869="","",IF(COUNTIF(Campaigns!$A$7:$A$300,B3869)&gt;0,"✓","⚠ add to Campaigns tab"))</f>
        <v/>
      </c>
      <c r="I3869" s="84" t="str">
        <f aca="false">IF(C3869="","",C3869*IF(Settings!$B$23=Settings!$C$6,1,IF(Settings!$B$23="USD",1/INDEX(Settings!$B$29:$B$40,MONTH(A3869)),INDEX(Settings!$B$29:$B$40,MONTH(A3869)))))</f>
        <v/>
      </c>
    </row>
    <row r="3870" customFormat="false" ht="15" hidden="false" customHeight="false" outlineLevel="0" collapsed="false">
      <c r="H3870" s="0" t="str">
        <f aca="false">IF(B3870="","",IF(COUNTIF(Campaigns!$A$7:$A$300,B3870)&gt;0,"✓","⚠ add to Campaigns tab"))</f>
        <v/>
      </c>
      <c r="I3870" s="84" t="str">
        <f aca="false">IF(C3870="","",C3870*IF(Settings!$B$23=Settings!$C$6,1,IF(Settings!$B$23="USD",1/INDEX(Settings!$B$29:$B$40,MONTH(A3870)),INDEX(Settings!$B$29:$B$40,MONTH(A3870)))))</f>
        <v/>
      </c>
    </row>
    <row r="3871" customFormat="false" ht="15" hidden="false" customHeight="false" outlineLevel="0" collapsed="false">
      <c r="H3871" s="0" t="str">
        <f aca="false">IF(B3871="","",IF(COUNTIF(Campaigns!$A$7:$A$300,B3871)&gt;0,"✓","⚠ add to Campaigns tab"))</f>
        <v/>
      </c>
      <c r="I3871" s="84" t="str">
        <f aca="false">IF(C3871="","",C3871*IF(Settings!$B$23=Settings!$C$6,1,IF(Settings!$B$23="USD",1/INDEX(Settings!$B$29:$B$40,MONTH(A3871)),INDEX(Settings!$B$29:$B$40,MONTH(A3871)))))</f>
        <v/>
      </c>
    </row>
    <row r="3872" customFormat="false" ht="15" hidden="false" customHeight="false" outlineLevel="0" collapsed="false">
      <c r="H3872" s="0" t="str">
        <f aca="false">IF(B3872="","",IF(COUNTIF(Campaigns!$A$7:$A$300,B3872)&gt;0,"✓","⚠ add to Campaigns tab"))</f>
        <v/>
      </c>
      <c r="I3872" s="84" t="str">
        <f aca="false">IF(C3872="","",C3872*IF(Settings!$B$23=Settings!$C$6,1,IF(Settings!$B$23="USD",1/INDEX(Settings!$B$29:$B$40,MONTH(A3872)),INDEX(Settings!$B$29:$B$40,MONTH(A3872)))))</f>
        <v/>
      </c>
    </row>
    <row r="3873" customFormat="false" ht="15" hidden="false" customHeight="false" outlineLevel="0" collapsed="false">
      <c r="H3873" s="0" t="str">
        <f aca="false">IF(B3873="","",IF(COUNTIF(Campaigns!$A$7:$A$300,B3873)&gt;0,"✓","⚠ add to Campaigns tab"))</f>
        <v/>
      </c>
      <c r="I3873" s="84" t="str">
        <f aca="false">IF(C3873="","",C3873*IF(Settings!$B$23=Settings!$C$6,1,IF(Settings!$B$23="USD",1/INDEX(Settings!$B$29:$B$40,MONTH(A3873)),INDEX(Settings!$B$29:$B$40,MONTH(A3873)))))</f>
        <v/>
      </c>
    </row>
    <row r="3874" customFormat="false" ht="15" hidden="false" customHeight="false" outlineLevel="0" collapsed="false">
      <c r="H3874" s="0" t="str">
        <f aca="false">IF(B3874="","",IF(COUNTIF(Campaigns!$A$7:$A$300,B3874)&gt;0,"✓","⚠ add to Campaigns tab"))</f>
        <v/>
      </c>
      <c r="I3874" s="84" t="str">
        <f aca="false">IF(C3874="","",C3874*IF(Settings!$B$23=Settings!$C$6,1,IF(Settings!$B$23="USD",1/INDEX(Settings!$B$29:$B$40,MONTH(A3874)),INDEX(Settings!$B$29:$B$40,MONTH(A3874)))))</f>
        <v/>
      </c>
    </row>
    <row r="3875" customFormat="false" ht="15" hidden="false" customHeight="false" outlineLevel="0" collapsed="false">
      <c r="H3875" s="0" t="str">
        <f aca="false">IF(B3875="","",IF(COUNTIF(Campaigns!$A$7:$A$300,B3875)&gt;0,"✓","⚠ add to Campaigns tab"))</f>
        <v/>
      </c>
      <c r="I3875" s="84" t="str">
        <f aca="false">IF(C3875="","",C3875*IF(Settings!$B$23=Settings!$C$6,1,IF(Settings!$B$23="USD",1/INDEX(Settings!$B$29:$B$40,MONTH(A3875)),INDEX(Settings!$B$29:$B$40,MONTH(A3875)))))</f>
        <v/>
      </c>
    </row>
    <row r="3876" customFormat="false" ht="15" hidden="false" customHeight="false" outlineLevel="0" collapsed="false">
      <c r="H3876" s="0" t="str">
        <f aca="false">IF(B3876="","",IF(COUNTIF(Campaigns!$A$7:$A$300,B3876)&gt;0,"✓","⚠ add to Campaigns tab"))</f>
        <v/>
      </c>
      <c r="I3876" s="84" t="str">
        <f aca="false">IF(C3876="","",C3876*IF(Settings!$B$23=Settings!$C$6,1,IF(Settings!$B$23="USD",1/INDEX(Settings!$B$29:$B$40,MONTH(A3876)),INDEX(Settings!$B$29:$B$40,MONTH(A3876)))))</f>
        <v/>
      </c>
    </row>
    <row r="3877" customFormat="false" ht="15" hidden="false" customHeight="false" outlineLevel="0" collapsed="false">
      <c r="H3877" s="0" t="str">
        <f aca="false">IF(B3877="","",IF(COUNTIF(Campaigns!$A$7:$A$300,B3877)&gt;0,"✓","⚠ add to Campaigns tab"))</f>
        <v/>
      </c>
      <c r="I3877" s="84" t="str">
        <f aca="false">IF(C3877="","",C3877*IF(Settings!$B$23=Settings!$C$6,1,IF(Settings!$B$23="USD",1/INDEX(Settings!$B$29:$B$40,MONTH(A3877)),INDEX(Settings!$B$29:$B$40,MONTH(A3877)))))</f>
        <v/>
      </c>
    </row>
    <row r="3878" customFormat="false" ht="15" hidden="false" customHeight="false" outlineLevel="0" collapsed="false">
      <c r="H3878" s="0" t="str">
        <f aca="false">IF(B3878="","",IF(COUNTIF(Campaigns!$A$7:$A$300,B3878)&gt;0,"✓","⚠ add to Campaigns tab"))</f>
        <v/>
      </c>
      <c r="I3878" s="84" t="str">
        <f aca="false">IF(C3878="","",C3878*IF(Settings!$B$23=Settings!$C$6,1,IF(Settings!$B$23="USD",1/INDEX(Settings!$B$29:$B$40,MONTH(A3878)),INDEX(Settings!$B$29:$B$40,MONTH(A3878)))))</f>
        <v/>
      </c>
    </row>
    <row r="3879" customFormat="false" ht="15" hidden="false" customHeight="false" outlineLevel="0" collapsed="false">
      <c r="H3879" s="0" t="str">
        <f aca="false">IF(B3879="","",IF(COUNTIF(Campaigns!$A$7:$A$300,B3879)&gt;0,"✓","⚠ add to Campaigns tab"))</f>
        <v/>
      </c>
      <c r="I3879" s="84" t="str">
        <f aca="false">IF(C3879="","",C3879*IF(Settings!$B$23=Settings!$C$6,1,IF(Settings!$B$23="USD",1/INDEX(Settings!$B$29:$B$40,MONTH(A3879)),INDEX(Settings!$B$29:$B$40,MONTH(A3879)))))</f>
        <v/>
      </c>
    </row>
    <row r="3880" customFormat="false" ht="15" hidden="false" customHeight="false" outlineLevel="0" collapsed="false">
      <c r="H3880" s="0" t="str">
        <f aca="false">IF(B3880="","",IF(COUNTIF(Campaigns!$A$7:$A$300,B3880)&gt;0,"✓","⚠ add to Campaigns tab"))</f>
        <v/>
      </c>
      <c r="I3880" s="84" t="str">
        <f aca="false">IF(C3880="","",C3880*IF(Settings!$B$23=Settings!$C$6,1,IF(Settings!$B$23="USD",1/INDEX(Settings!$B$29:$B$40,MONTH(A3880)),INDEX(Settings!$B$29:$B$40,MONTH(A3880)))))</f>
        <v/>
      </c>
    </row>
    <row r="3881" customFormat="false" ht="15" hidden="false" customHeight="false" outlineLevel="0" collapsed="false">
      <c r="H3881" s="0" t="str">
        <f aca="false">IF(B3881="","",IF(COUNTIF(Campaigns!$A$7:$A$300,B3881)&gt;0,"✓","⚠ add to Campaigns tab"))</f>
        <v/>
      </c>
      <c r="I3881" s="84" t="str">
        <f aca="false">IF(C3881="","",C3881*IF(Settings!$B$23=Settings!$C$6,1,IF(Settings!$B$23="USD",1/INDEX(Settings!$B$29:$B$40,MONTH(A3881)),INDEX(Settings!$B$29:$B$40,MONTH(A3881)))))</f>
        <v/>
      </c>
    </row>
    <row r="3882" customFormat="false" ht="15" hidden="false" customHeight="false" outlineLevel="0" collapsed="false">
      <c r="H3882" s="0" t="str">
        <f aca="false">IF(B3882="","",IF(COUNTIF(Campaigns!$A$7:$A$300,B3882)&gt;0,"✓","⚠ add to Campaigns tab"))</f>
        <v/>
      </c>
      <c r="I3882" s="84" t="str">
        <f aca="false">IF(C3882="","",C3882*IF(Settings!$B$23=Settings!$C$6,1,IF(Settings!$B$23="USD",1/INDEX(Settings!$B$29:$B$40,MONTH(A3882)),INDEX(Settings!$B$29:$B$40,MONTH(A3882)))))</f>
        <v/>
      </c>
    </row>
    <row r="3883" customFormat="false" ht="15" hidden="false" customHeight="false" outlineLevel="0" collapsed="false">
      <c r="H3883" s="0" t="str">
        <f aca="false">IF(B3883="","",IF(COUNTIF(Campaigns!$A$7:$A$300,B3883)&gt;0,"✓","⚠ add to Campaigns tab"))</f>
        <v/>
      </c>
      <c r="I3883" s="84" t="str">
        <f aca="false">IF(C3883="","",C3883*IF(Settings!$B$23=Settings!$C$6,1,IF(Settings!$B$23="USD",1/INDEX(Settings!$B$29:$B$40,MONTH(A3883)),INDEX(Settings!$B$29:$B$40,MONTH(A3883)))))</f>
        <v/>
      </c>
    </row>
    <row r="3884" customFormat="false" ht="15" hidden="false" customHeight="false" outlineLevel="0" collapsed="false">
      <c r="H3884" s="0" t="str">
        <f aca="false">IF(B3884="","",IF(COUNTIF(Campaigns!$A$7:$A$300,B3884)&gt;0,"✓","⚠ add to Campaigns tab"))</f>
        <v/>
      </c>
      <c r="I3884" s="84" t="str">
        <f aca="false">IF(C3884="","",C3884*IF(Settings!$B$23=Settings!$C$6,1,IF(Settings!$B$23="USD",1/INDEX(Settings!$B$29:$B$40,MONTH(A3884)),INDEX(Settings!$B$29:$B$40,MONTH(A3884)))))</f>
        <v/>
      </c>
    </row>
    <row r="3885" customFormat="false" ht="15" hidden="false" customHeight="false" outlineLevel="0" collapsed="false">
      <c r="H3885" s="0" t="str">
        <f aca="false">IF(B3885="","",IF(COUNTIF(Campaigns!$A$7:$A$300,B3885)&gt;0,"✓","⚠ add to Campaigns tab"))</f>
        <v/>
      </c>
      <c r="I3885" s="84" t="str">
        <f aca="false">IF(C3885="","",C3885*IF(Settings!$B$23=Settings!$C$6,1,IF(Settings!$B$23="USD",1/INDEX(Settings!$B$29:$B$40,MONTH(A3885)),INDEX(Settings!$B$29:$B$40,MONTH(A3885)))))</f>
        <v/>
      </c>
    </row>
    <row r="3886" customFormat="false" ht="15" hidden="false" customHeight="false" outlineLevel="0" collapsed="false">
      <c r="H3886" s="0" t="str">
        <f aca="false">IF(B3886="","",IF(COUNTIF(Campaigns!$A$7:$A$300,B3886)&gt;0,"✓","⚠ add to Campaigns tab"))</f>
        <v/>
      </c>
      <c r="I3886" s="84" t="str">
        <f aca="false">IF(C3886="","",C3886*IF(Settings!$B$23=Settings!$C$6,1,IF(Settings!$B$23="USD",1/INDEX(Settings!$B$29:$B$40,MONTH(A3886)),INDEX(Settings!$B$29:$B$40,MONTH(A3886)))))</f>
        <v/>
      </c>
    </row>
    <row r="3887" customFormat="false" ht="15" hidden="false" customHeight="false" outlineLevel="0" collapsed="false">
      <c r="H3887" s="0" t="str">
        <f aca="false">IF(B3887="","",IF(COUNTIF(Campaigns!$A$7:$A$300,B3887)&gt;0,"✓","⚠ add to Campaigns tab"))</f>
        <v/>
      </c>
      <c r="I3887" s="84" t="str">
        <f aca="false">IF(C3887="","",C3887*IF(Settings!$B$23=Settings!$C$6,1,IF(Settings!$B$23="USD",1/INDEX(Settings!$B$29:$B$40,MONTH(A3887)),INDEX(Settings!$B$29:$B$40,MONTH(A3887)))))</f>
        <v/>
      </c>
    </row>
    <row r="3888" customFormat="false" ht="15" hidden="false" customHeight="false" outlineLevel="0" collapsed="false">
      <c r="H3888" s="0" t="str">
        <f aca="false">IF(B3888="","",IF(COUNTIF(Campaigns!$A$7:$A$300,B3888)&gt;0,"✓","⚠ add to Campaigns tab"))</f>
        <v/>
      </c>
      <c r="I3888" s="84" t="str">
        <f aca="false">IF(C3888="","",C3888*IF(Settings!$B$23=Settings!$C$6,1,IF(Settings!$B$23="USD",1/INDEX(Settings!$B$29:$B$40,MONTH(A3888)),INDEX(Settings!$B$29:$B$40,MONTH(A3888)))))</f>
        <v/>
      </c>
    </row>
    <row r="3889" customFormat="false" ht="15" hidden="false" customHeight="false" outlineLevel="0" collapsed="false">
      <c r="H3889" s="0" t="str">
        <f aca="false">IF(B3889="","",IF(COUNTIF(Campaigns!$A$7:$A$300,B3889)&gt;0,"✓","⚠ add to Campaigns tab"))</f>
        <v/>
      </c>
      <c r="I3889" s="84" t="str">
        <f aca="false">IF(C3889="","",C3889*IF(Settings!$B$23=Settings!$C$6,1,IF(Settings!$B$23="USD",1/INDEX(Settings!$B$29:$B$40,MONTH(A3889)),INDEX(Settings!$B$29:$B$40,MONTH(A3889)))))</f>
        <v/>
      </c>
    </row>
    <row r="3890" customFormat="false" ht="15" hidden="false" customHeight="false" outlineLevel="0" collapsed="false">
      <c r="H3890" s="0" t="str">
        <f aca="false">IF(B3890="","",IF(COUNTIF(Campaigns!$A$7:$A$300,B3890)&gt;0,"✓","⚠ add to Campaigns tab"))</f>
        <v/>
      </c>
      <c r="I3890" s="84" t="str">
        <f aca="false">IF(C3890="","",C3890*IF(Settings!$B$23=Settings!$C$6,1,IF(Settings!$B$23="USD",1/INDEX(Settings!$B$29:$B$40,MONTH(A3890)),INDEX(Settings!$B$29:$B$40,MONTH(A3890)))))</f>
        <v/>
      </c>
    </row>
    <row r="3891" customFormat="false" ht="15" hidden="false" customHeight="false" outlineLevel="0" collapsed="false">
      <c r="H3891" s="0" t="str">
        <f aca="false">IF(B3891="","",IF(COUNTIF(Campaigns!$A$7:$A$300,B3891)&gt;0,"✓","⚠ add to Campaigns tab"))</f>
        <v/>
      </c>
      <c r="I3891" s="84" t="str">
        <f aca="false">IF(C3891="","",C3891*IF(Settings!$B$23=Settings!$C$6,1,IF(Settings!$B$23="USD",1/INDEX(Settings!$B$29:$B$40,MONTH(A3891)),INDEX(Settings!$B$29:$B$40,MONTH(A3891)))))</f>
        <v/>
      </c>
    </row>
    <row r="3892" customFormat="false" ht="15" hidden="false" customHeight="false" outlineLevel="0" collapsed="false">
      <c r="H3892" s="0" t="str">
        <f aca="false">IF(B3892="","",IF(COUNTIF(Campaigns!$A$7:$A$300,B3892)&gt;0,"✓","⚠ add to Campaigns tab"))</f>
        <v/>
      </c>
      <c r="I3892" s="84" t="str">
        <f aca="false">IF(C3892="","",C3892*IF(Settings!$B$23=Settings!$C$6,1,IF(Settings!$B$23="USD",1/INDEX(Settings!$B$29:$B$40,MONTH(A3892)),INDEX(Settings!$B$29:$B$40,MONTH(A3892)))))</f>
        <v/>
      </c>
    </row>
    <row r="3893" customFormat="false" ht="15" hidden="false" customHeight="false" outlineLevel="0" collapsed="false">
      <c r="H3893" s="0" t="str">
        <f aca="false">IF(B3893="","",IF(COUNTIF(Campaigns!$A$7:$A$300,B3893)&gt;0,"✓","⚠ add to Campaigns tab"))</f>
        <v/>
      </c>
      <c r="I3893" s="84" t="str">
        <f aca="false">IF(C3893="","",C3893*IF(Settings!$B$23=Settings!$C$6,1,IF(Settings!$B$23="USD",1/INDEX(Settings!$B$29:$B$40,MONTH(A3893)),INDEX(Settings!$B$29:$B$40,MONTH(A3893)))))</f>
        <v/>
      </c>
    </row>
    <row r="3894" customFormat="false" ht="15" hidden="false" customHeight="false" outlineLevel="0" collapsed="false">
      <c r="H3894" s="0" t="str">
        <f aca="false">IF(B3894="","",IF(COUNTIF(Campaigns!$A$7:$A$300,B3894)&gt;0,"✓","⚠ add to Campaigns tab"))</f>
        <v/>
      </c>
      <c r="I3894" s="84" t="str">
        <f aca="false">IF(C3894="","",C3894*IF(Settings!$B$23=Settings!$C$6,1,IF(Settings!$B$23="USD",1/INDEX(Settings!$B$29:$B$40,MONTH(A3894)),INDEX(Settings!$B$29:$B$40,MONTH(A3894)))))</f>
        <v/>
      </c>
    </row>
    <row r="3895" customFormat="false" ht="15" hidden="false" customHeight="false" outlineLevel="0" collapsed="false">
      <c r="H3895" s="0" t="str">
        <f aca="false">IF(B3895="","",IF(COUNTIF(Campaigns!$A$7:$A$300,B3895)&gt;0,"✓","⚠ add to Campaigns tab"))</f>
        <v/>
      </c>
      <c r="I3895" s="84" t="str">
        <f aca="false">IF(C3895="","",C3895*IF(Settings!$B$23=Settings!$C$6,1,IF(Settings!$B$23="USD",1/INDEX(Settings!$B$29:$B$40,MONTH(A3895)),INDEX(Settings!$B$29:$B$40,MONTH(A3895)))))</f>
        <v/>
      </c>
    </row>
    <row r="3896" customFormat="false" ht="15" hidden="false" customHeight="false" outlineLevel="0" collapsed="false">
      <c r="H3896" s="0" t="str">
        <f aca="false">IF(B3896="","",IF(COUNTIF(Campaigns!$A$7:$A$300,B3896)&gt;0,"✓","⚠ add to Campaigns tab"))</f>
        <v/>
      </c>
      <c r="I3896" s="84" t="str">
        <f aca="false">IF(C3896="","",C3896*IF(Settings!$B$23=Settings!$C$6,1,IF(Settings!$B$23="USD",1/INDEX(Settings!$B$29:$B$40,MONTH(A3896)),INDEX(Settings!$B$29:$B$40,MONTH(A3896)))))</f>
        <v/>
      </c>
    </row>
    <row r="3897" customFormat="false" ht="15" hidden="false" customHeight="false" outlineLevel="0" collapsed="false">
      <c r="H3897" s="0" t="str">
        <f aca="false">IF(B3897="","",IF(COUNTIF(Campaigns!$A$7:$A$300,B3897)&gt;0,"✓","⚠ add to Campaigns tab"))</f>
        <v/>
      </c>
      <c r="I3897" s="84" t="str">
        <f aca="false">IF(C3897="","",C3897*IF(Settings!$B$23=Settings!$C$6,1,IF(Settings!$B$23="USD",1/INDEX(Settings!$B$29:$B$40,MONTH(A3897)),INDEX(Settings!$B$29:$B$40,MONTH(A3897)))))</f>
        <v/>
      </c>
    </row>
    <row r="3898" customFormat="false" ht="15" hidden="false" customHeight="false" outlineLevel="0" collapsed="false">
      <c r="H3898" s="0" t="str">
        <f aca="false">IF(B3898="","",IF(COUNTIF(Campaigns!$A$7:$A$300,B3898)&gt;0,"✓","⚠ add to Campaigns tab"))</f>
        <v/>
      </c>
      <c r="I3898" s="84" t="str">
        <f aca="false">IF(C3898="","",C3898*IF(Settings!$B$23=Settings!$C$6,1,IF(Settings!$B$23="USD",1/INDEX(Settings!$B$29:$B$40,MONTH(A3898)),INDEX(Settings!$B$29:$B$40,MONTH(A3898)))))</f>
        <v/>
      </c>
    </row>
    <row r="3899" customFormat="false" ht="15" hidden="false" customHeight="false" outlineLevel="0" collapsed="false">
      <c r="H3899" s="0" t="str">
        <f aca="false">IF(B3899="","",IF(COUNTIF(Campaigns!$A$7:$A$300,B3899)&gt;0,"✓","⚠ add to Campaigns tab"))</f>
        <v/>
      </c>
      <c r="I3899" s="84" t="str">
        <f aca="false">IF(C3899="","",C3899*IF(Settings!$B$23=Settings!$C$6,1,IF(Settings!$B$23="USD",1/INDEX(Settings!$B$29:$B$40,MONTH(A3899)),INDEX(Settings!$B$29:$B$40,MONTH(A3899)))))</f>
        <v/>
      </c>
    </row>
    <row r="3900" customFormat="false" ht="15" hidden="false" customHeight="false" outlineLevel="0" collapsed="false">
      <c r="H3900" s="0" t="str">
        <f aca="false">IF(B3900="","",IF(COUNTIF(Campaigns!$A$7:$A$300,B3900)&gt;0,"✓","⚠ add to Campaigns tab"))</f>
        <v/>
      </c>
      <c r="I3900" s="84" t="str">
        <f aca="false">IF(C3900="","",C3900*IF(Settings!$B$23=Settings!$C$6,1,IF(Settings!$B$23="USD",1/INDEX(Settings!$B$29:$B$40,MONTH(A3900)),INDEX(Settings!$B$29:$B$40,MONTH(A3900)))))</f>
        <v/>
      </c>
    </row>
    <row r="3901" customFormat="false" ht="15" hidden="false" customHeight="false" outlineLevel="0" collapsed="false">
      <c r="H3901" s="0" t="str">
        <f aca="false">IF(B3901="","",IF(COUNTIF(Campaigns!$A$7:$A$300,B3901)&gt;0,"✓","⚠ add to Campaigns tab"))</f>
        <v/>
      </c>
      <c r="I3901" s="84" t="str">
        <f aca="false">IF(C3901="","",C3901*IF(Settings!$B$23=Settings!$C$6,1,IF(Settings!$B$23="USD",1/INDEX(Settings!$B$29:$B$40,MONTH(A3901)),INDEX(Settings!$B$29:$B$40,MONTH(A3901)))))</f>
        <v/>
      </c>
    </row>
    <row r="3902" customFormat="false" ht="15" hidden="false" customHeight="false" outlineLevel="0" collapsed="false">
      <c r="H3902" s="0" t="str">
        <f aca="false">IF(B3902="","",IF(COUNTIF(Campaigns!$A$7:$A$300,B3902)&gt;0,"✓","⚠ add to Campaigns tab"))</f>
        <v/>
      </c>
      <c r="I3902" s="84" t="str">
        <f aca="false">IF(C3902="","",C3902*IF(Settings!$B$23=Settings!$C$6,1,IF(Settings!$B$23="USD",1/INDEX(Settings!$B$29:$B$40,MONTH(A3902)),INDEX(Settings!$B$29:$B$40,MONTH(A3902)))))</f>
        <v/>
      </c>
    </row>
    <row r="3903" customFormat="false" ht="15" hidden="false" customHeight="false" outlineLevel="0" collapsed="false">
      <c r="H3903" s="0" t="str">
        <f aca="false">IF(B3903="","",IF(COUNTIF(Campaigns!$A$7:$A$300,B3903)&gt;0,"✓","⚠ add to Campaigns tab"))</f>
        <v/>
      </c>
      <c r="I3903" s="84" t="str">
        <f aca="false">IF(C3903="","",C3903*IF(Settings!$B$23=Settings!$C$6,1,IF(Settings!$B$23="USD",1/INDEX(Settings!$B$29:$B$40,MONTH(A3903)),INDEX(Settings!$B$29:$B$40,MONTH(A3903)))))</f>
        <v/>
      </c>
    </row>
    <row r="3904" customFormat="false" ht="15" hidden="false" customHeight="false" outlineLevel="0" collapsed="false">
      <c r="H3904" s="0" t="str">
        <f aca="false">IF(B3904="","",IF(COUNTIF(Campaigns!$A$7:$A$300,B3904)&gt;0,"✓","⚠ add to Campaigns tab"))</f>
        <v/>
      </c>
      <c r="I3904" s="84" t="str">
        <f aca="false">IF(C3904="","",C3904*IF(Settings!$B$23=Settings!$C$6,1,IF(Settings!$B$23="USD",1/INDEX(Settings!$B$29:$B$40,MONTH(A3904)),INDEX(Settings!$B$29:$B$40,MONTH(A3904)))))</f>
        <v/>
      </c>
    </row>
    <row r="3905" customFormat="false" ht="15" hidden="false" customHeight="false" outlineLevel="0" collapsed="false">
      <c r="H3905" s="0" t="str">
        <f aca="false">IF(B3905="","",IF(COUNTIF(Campaigns!$A$7:$A$300,B3905)&gt;0,"✓","⚠ add to Campaigns tab"))</f>
        <v/>
      </c>
      <c r="I3905" s="84" t="str">
        <f aca="false">IF(C3905="","",C3905*IF(Settings!$B$23=Settings!$C$6,1,IF(Settings!$B$23="USD",1/INDEX(Settings!$B$29:$B$40,MONTH(A3905)),INDEX(Settings!$B$29:$B$40,MONTH(A3905)))))</f>
        <v/>
      </c>
    </row>
    <row r="3906" customFormat="false" ht="15" hidden="false" customHeight="false" outlineLevel="0" collapsed="false">
      <c r="H3906" s="0" t="str">
        <f aca="false">IF(B3906="","",IF(COUNTIF(Campaigns!$A$7:$A$300,B3906)&gt;0,"✓","⚠ add to Campaigns tab"))</f>
        <v/>
      </c>
      <c r="I3906" s="84" t="str">
        <f aca="false">IF(C3906="","",C3906*IF(Settings!$B$23=Settings!$C$6,1,IF(Settings!$B$23="USD",1/INDEX(Settings!$B$29:$B$40,MONTH(A3906)),INDEX(Settings!$B$29:$B$40,MONTH(A3906)))))</f>
        <v/>
      </c>
    </row>
    <row r="3907" customFormat="false" ht="15" hidden="false" customHeight="false" outlineLevel="0" collapsed="false">
      <c r="H3907" s="0" t="str">
        <f aca="false">IF(B3907="","",IF(COUNTIF(Campaigns!$A$7:$A$300,B3907)&gt;0,"✓","⚠ add to Campaigns tab"))</f>
        <v/>
      </c>
      <c r="I3907" s="84" t="str">
        <f aca="false">IF(C3907="","",C3907*IF(Settings!$B$23=Settings!$C$6,1,IF(Settings!$B$23="USD",1/INDEX(Settings!$B$29:$B$40,MONTH(A3907)),INDEX(Settings!$B$29:$B$40,MONTH(A3907)))))</f>
        <v/>
      </c>
    </row>
    <row r="3908" customFormat="false" ht="15" hidden="false" customHeight="false" outlineLevel="0" collapsed="false">
      <c r="H3908" s="0" t="str">
        <f aca="false">IF(B3908="","",IF(COUNTIF(Campaigns!$A$7:$A$300,B3908)&gt;0,"✓","⚠ add to Campaigns tab"))</f>
        <v/>
      </c>
      <c r="I3908" s="84" t="str">
        <f aca="false">IF(C3908="","",C3908*IF(Settings!$B$23=Settings!$C$6,1,IF(Settings!$B$23="USD",1/INDEX(Settings!$B$29:$B$40,MONTH(A3908)),INDEX(Settings!$B$29:$B$40,MONTH(A3908)))))</f>
        <v/>
      </c>
    </row>
    <row r="3909" customFormat="false" ht="15" hidden="false" customHeight="false" outlineLevel="0" collapsed="false">
      <c r="H3909" s="0" t="str">
        <f aca="false">IF(B3909="","",IF(COUNTIF(Campaigns!$A$7:$A$300,B3909)&gt;0,"✓","⚠ add to Campaigns tab"))</f>
        <v/>
      </c>
      <c r="I3909" s="84" t="str">
        <f aca="false">IF(C3909="","",C3909*IF(Settings!$B$23=Settings!$C$6,1,IF(Settings!$B$23="USD",1/INDEX(Settings!$B$29:$B$40,MONTH(A3909)),INDEX(Settings!$B$29:$B$40,MONTH(A3909)))))</f>
        <v/>
      </c>
    </row>
    <row r="3910" customFormat="false" ht="15" hidden="false" customHeight="false" outlineLevel="0" collapsed="false">
      <c r="H3910" s="0" t="str">
        <f aca="false">IF(B3910="","",IF(COUNTIF(Campaigns!$A$7:$A$300,B3910)&gt;0,"✓","⚠ add to Campaigns tab"))</f>
        <v/>
      </c>
      <c r="I3910" s="84" t="str">
        <f aca="false">IF(C3910="","",C3910*IF(Settings!$B$23=Settings!$C$6,1,IF(Settings!$B$23="USD",1/INDEX(Settings!$B$29:$B$40,MONTH(A3910)),INDEX(Settings!$B$29:$B$40,MONTH(A3910)))))</f>
        <v/>
      </c>
    </row>
    <row r="3911" customFormat="false" ht="15" hidden="false" customHeight="false" outlineLevel="0" collapsed="false">
      <c r="H3911" s="0" t="str">
        <f aca="false">IF(B3911="","",IF(COUNTIF(Campaigns!$A$7:$A$300,B3911)&gt;0,"✓","⚠ add to Campaigns tab"))</f>
        <v/>
      </c>
      <c r="I3911" s="84" t="str">
        <f aca="false">IF(C3911="","",C3911*IF(Settings!$B$23=Settings!$C$6,1,IF(Settings!$B$23="USD",1/INDEX(Settings!$B$29:$B$40,MONTH(A3911)),INDEX(Settings!$B$29:$B$40,MONTH(A3911)))))</f>
        <v/>
      </c>
    </row>
    <row r="3912" customFormat="false" ht="15" hidden="false" customHeight="false" outlineLevel="0" collapsed="false">
      <c r="H3912" s="0" t="str">
        <f aca="false">IF(B3912="","",IF(COUNTIF(Campaigns!$A$7:$A$300,B3912)&gt;0,"✓","⚠ add to Campaigns tab"))</f>
        <v/>
      </c>
      <c r="I3912" s="84" t="str">
        <f aca="false">IF(C3912="","",C3912*IF(Settings!$B$23=Settings!$C$6,1,IF(Settings!$B$23="USD",1/INDEX(Settings!$B$29:$B$40,MONTH(A3912)),INDEX(Settings!$B$29:$B$40,MONTH(A3912)))))</f>
        <v/>
      </c>
    </row>
    <row r="3913" customFormat="false" ht="15" hidden="false" customHeight="false" outlineLevel="0" collapsed="false">
      <c r="H3913" s="0" t="str">
        <f aca="false">IF(B3913="","",IF(COUNTIF(Campaigns!$A$7:$A$300,B3913)&gt;0,"✓","⚠ add to Campaigns tab"))</f>
        <v/>
      </c>
      <c r="I3913" s="84" t="str">
        <f aca="false">IF(C3913="","",C3913*IF(Settings!$B$23=Settings!$C$6,1,IF(Settings!$B$23="USD",1/INDEX(Settings!$B$29:$B$40,MONTH(A3913)),INDEX(Settings!$B$29:$B$40,MONTH(A3913)))))</f>
        <v/>
      </c>
    </row>
    <row r="3914" customFormat="false" ht="15" hidden="false" customHeight="false" outlineLevel="0" collapsed="false">
      <c r="H3914" s="0" t="str">
        <f aca="false">IF(B3914="","",IF(COUNTIF(Campaigns!$A$7:$A$300,B3914)&gt;0,"✓","⚠ add to Campaigns tab"))</f>
        <v/>
      </c>
      <c r="I3914" s="84" t="str">
        <f aca="false">IF(C3914="","",C3914*IF(Settings!$B$23=Settings!$C$6,1,IF(Settings!$B$23="USD",1/INDEX(Settings!$B$29:$B$40,MONTH(A3914)),INDEX(Settings!$B$29:$B$40,MONTH(A3914)))))</f>
        <v/>
      </c>
    </row>
    <row r="3915" customFormat="false" ht="15" hidden="false" customHeight="false" outlineLevel="0" collapsed="false">
      <c r="H3915" s="0" t="str">
        <f aca="false">IF(B3915="","",IF(COUNTIF(Campaigns!$A$7:$A$300,B3915)&gt;0,"✓","⚠ add to Campaigns tab"))</f>
        <v/>
      </c>
      <c r="I3915" s="84" t="str">
        <f aca="false">IF(C3915="","",C3915*IF(Settings!$B$23=Settings!$C$6,1,IF(Settings!$B$23="USD",1/INDEX(Settings!$B$29:$B$40,MONTH(A3915)),INDEX(Settings!$B$29:$B$40,MONTH(A3915)))))</f>
        <v/>
      </c>
    </row>
    <row r="3916" customFormat="false" ht="15" hidden="false" customHeight="false" outlineLevel="0" collapsed="false">
      <c r="H3916" s="0" t="str">
        <f aca="false">IF(B3916="","",IF(COUNTIF(Campaigns!$A$7:$A$300,B3916)&gt;0,"✓","⚠ add to Campaigns tab"))</f>
        <v/>
      </c>
      <c r="I3916" s="84" t="str">
        <f aca="false">IF(C3916="","",C3916*IF(Settings!$B$23=Settings!$C$6,1,IF(Settings!$B$23="USD",1/INDEX(Settings!$B$29:$B$40,MONTH(A3916)),INDEX(Settings!$B$29:$B$40,MONTH(A3916)))))</f>
        <v/>
      </c>
    </row>
    <row r="3917" customFormat="false" ht="15" hidden="false" customHeight="false" outlineLevel="0" collapsed="false">
      <c r="H3917" s="0" t="str">
        <f aca="false">IF(B3917="","",IF(COUNTIF(Campaigns!$A$7:$A$300,B3917)&gt;0,"✓","⚠ add to Campaigns tab"))</f>
        <v/>
      </c>
      <c r="I3917" s="84" t="str">
        <f aca="false">IF(C3917="","",C3917*IF(Settings!$B$23=Settings!$C$6,1,IF(Settings!$B$23="USD",1/INDEX(Settings!$B$29:$B$40,MONTH(A3917)),INDEX(Settings!$B$29:$B$40,MONTH(A3917)))))</f>
        <v/>
      </c>
    </row>
    <row r="3918" customFormat="false" ht="15" hidden="false" customHeight="false" outlineLevel="0" collapsed="false">
      <c r="H3918" s="0" t="str">
        <f aca="false">IF(B3918="","",IF(COUNTIF(Campaigns!$A$7:$A$300,B3918)&gt;0,"✓","⚠ add to Campaigns tab"))</f>
        <v/>
      </c>
      <c r="I3918" s="84" t="str">
        <f aca="false">IF(C3918="","",C3918*IF(Settings!$B$23=Settings!$C$6,1,IF(Settings!$B$23="USD",1/INDEX(Settings!$B$29:$B$40,MONTH(A3918)),INDEX(Settings!$B$29:$B$40,MONTH(A3918)))))</f>
        <v/>
      </c>
    </row>
    <row r="3919" customFormat="false" ht="15" hidden="false" customHeight="false" outlineLevel="0" collapsed="false">
      <c r="H3919" s="0" t="str">
        <f aca="false">IF(B3919="","",IF(COUNTIF(Campaigns!$A$7:$A$300,B3919)&gt;0,"✓","⚠ add to Campaigns tab"))</f>
        <v/>
      </c>
      <c r="I3919" s="84" t="str">
        <f aca="false">IF(C3919="","",C3919*IF(Settings!$B$23=Settings!$C$6,1,IF(Settings!$B$23="USD",1/INDEX(Settings!$B$29:$B$40,MONTH(A3919)),INDEX(Settings!$B$29:$B$40,MONTH(A3919)))))</f>
        <v/>
      </c>
    </row>
    <row r="3920" customFormat="false" ht="15" hidden="false" customHeight="false" outlineLevel="0" collapsed="false">
      <c r="H3920" s="0" t="str">
        <f aca="false">IF(B3920="","",IF(COUNTIF(Campaigns!$A$7:$A$300,B3920)&gt;0,"✓","⚠ add to Campaigns tab"))</f>
        <v/>
      </c>
      <c r="I3920" s="84" t="str">
        <f aca="false">IF(C3920="","",C3920*IF(Settings!$B$23=Settings!$C$6,1,IF(Settings!$B$23="USD",1/INDEX(Settings!$B$29:$B$40,MONTH(A3920)),INDEX(Settings!$B$29:$B$40,MONTH(A3920)))))</f>
        <v/>
      </c>
    </row>
    <row r="3921" customFormat="false" ht="15" hidden="false" customHeight="false" outlineLevel="0" collapsed="false">
      <c r="H3921" s="0" t="str">
        <f aca="false">IF(B3921="","",IF(COUNTIF(Campaigns!$A$7:$A$300,B3921)&gt;0,"✓","⚠ add to Campaigns tab"))</f>
        <v/>
      </c>
      <c r="I3921" s="84" t="str">
        <f aca="false">IF(C3921="","",C3921*IF(Settings!$B$23=Settings!$C$6,1,IF(Settings!$B$23="USD",1/INDEX(Settings!$B$29:$B$40,MONTH(A3921)),INDEX(Settings!$B$29:$B$40,MONTH(A3921)))))</f>
        <v/>
      </c>
    </row>
    <row r="3922" customFormat="false" ht="15" hidden="false" customHeight="false" outlineLevel="0" collapsed="false">
      <c r="H3922" s="0" t="str">
        <f aca="false">IF(B3922="","",IF(COUNTIF(Campaigns!$A$7:$A$300,B3922)&gt;0,"✓","⚠ add to Campaigns tab"))</f>
        <v/>
      </c>
      <c r="I3922" s="84" t="str">
        <f aca="false">IF(C3922="","",C3922*IF(Settings!$B$23=Settings!$C$6,1,IF(Settings!$B$23="USD",1/INDEX(Settings!$B$29:$B$40,MONTH(A3922)),INDEX(Settings!$B$29:$B$40,MONTH(A3922)))))</f>
        <v/>
      </c>
    </row>
    <row r="3923" customFormat="false" ht="15" hidden="false" customHeight="false" outlineLevel="0" collapsed="false">
      <c r="H3923" s="0" t="str">
        <f aca="false">IF(B3923="","",IF(COUNTIF(Campaigns!$A$7:$A$300,B3923)&gt;0,"✓","⚠ add to Campaigns tab"))</f>
        <v/>
      </c>
      <c r="I3923" s="84" t="str">
        <f aca="false">IF(C3923="","",C3923*IF(Settings!$B$23=Settings!$C$6,1,IF(Settings!$B$23="USD",1/INDEX(Settings!$B$29:$B$40,MONTH(A3923)),INDEX(Settings!$B$29:$B$40,MONTH(A3923)))))</f>
        <v/>
      </c>
    </row>
    <row r="3924" customFormat="false" ht="15" hidden="false" customHeight="false" outlineLevel="0" collapsed="false">
      <c r="H3924" s="0" t="str">
        <f aca="false">IF(B3924="","",IF(COUNTIF(Campaigns!$A$7:$A$300,B3924)&gt;0,"✓","⚠ add to Campaigns tab"))</f>
        <v/>
      </c>
      <c r="I3924" s="84" t="str">
        <f aca="false">IF(C3924="","",C3924*IF(Settings!$B$23=Settings!$C$6,1,IF(Settings!$B$23="USD",1/INDEX(Settings!$B$29:$B$40,MONTH(A3924)),INDEX(Settings!$B$29:$B$40,MONTH(A3924)))))</f>
        <v/>
      </c>
    </row>
    <row r="3925" customFormat="false" ht="15" hidden="false" customHeight="false" outlineLevel="0" collapsed="false">
      <c r="H3925" s="0" t="str">
        <f aca="false">IF(B3925="","",IF(COUNTIF(Campaigns!$A$7:$A$300,B3925)&gt;0,"✓","⚠ add to Campaigns tab"))</f>
        <v/>
      </c>
      <c r="I3925" s="84" t="str">
        <f aca="false">IF(C3925="","",C3925*IF(Settings!$B$23=Settings!$C$6,1,IF(Settings!$B$23="USD",1/INDEX(Settings!$B$29:$B$40,MONTH(A3925)),INDEX(Settings!$B$29:$B$40,MONTH(A3925)))))</f>
        <v/>
      </c>
    </row>
    <row r="3926" customFormat="false" ht="15" hidden="false" customHeight="false" outlineLevel="0" collapsed="false">
      <c r="H3926" s="0" t="str">
        <f aca="false">IF(B3926="","",IF(COUNTIF(Campaigns!$A$7:$A$300,B3926)&gt;0,"✓","⚠ add to Campaigns tab"))</f>
        <v/>
      </c>
      <c r="I3926" s="84" t="str">
        <f aca="false">IF(C3926="","",C3926*IF(Settings!$B$23=Settings!$C$6,1,IF(Settings!$B$23="USD",1/INDEX(Settings!$B$29:$B$40,MONTH(A3926)),INDEX(Settings!$B$29:$B$40,MONTH(A3926)))))</f>
        <v/>
      </c>
    </row>
    <row r="3927" customFormat="false" ht="15" hidden="false" customHeight="false" outlineLevel="0" collapsed="false">
      <c r="H3927" s="0" t="str">
        <f aca="false">IF(B3927="","",IF(COUNTIF(Campaigns!$A$7:$A$300,B3927)&gt;0,"✓","⚠ add to Campaigns tab"))</f>
        <v/>
      </c>
      <c r="I3927" s="84" t="str">
        <f aca="false">IF(C3927="","",C3927*IF(Settings!$B$23=Settings!$C$6,1,IF(Settings!$B$23="USD",1/INDEX(Settings!$B$29:$B$40,MONTH(A3927)),INDEX(Settings!$B$29:$B$40,MONTH(A3927)))))</f>
        <v/>
      </c>
    </row>
    <row r="3928" customFormat="false" ht="15" hidden="false" customHeight="false" outlineLevel="0" collapsed="false">
      <c r="H3928" s="0" t="str">
        <f aca="false">IF(B3928="","",IF(COUNTIF(Campaigns!$A$7:$A$300,B3928)&gt;0,"✓","⚠ add to Campaigns tab"))</f>
        <v/>
      </c>
      <c r="I3928" s="84" t="str">
        <f aca="false">IF(C3928="","",C3928*IF(Settings!$B$23=Settings!$C$6,1,IF(Settings!$B$23="USD",1/INDEX(Settings!$B$29:$B$40,MONTH(A3928)),INDEX(Settings!$B$29:$B$40,MONTH(A3928)))))</f>
        <v/>
      </c>
    </row>
    <row r="3929" customFormat="false" ht="15" hidden="false" customHeight="false" outlineLevel="0" collapsed="false">
      <c r="H3929" s="0" t="str">
        <f aca="false">IF(B3929="","",IF(COUNTIF(Campaigns!$A$7:$A$300,B3929)&gt;0,"✓","⚠ add to Campaigns tab"))</f>
        <v/>
      </c>
      <c r="I3929" s="84" t="str">
        <f aca="false">IF(C3929="","",C3929*IF(Settings!$B$23=Settings!$C$6,1,IF(Settings!$B$23="USD",1/INDEX(Settings!$B$29:$B$40,MONTH(A3929)),INDEX(Settings!$B$29:$B$40,MONTH(A3929)))))</f>
        <v/>
      </c>
    </row>
    <row r="3930" customFormat="false" ht="15" hidden="false" customHeight="false" outlineLevel="0" collapsed="false">
      <c r="H3930" s="0" t="str">
        <f aca="false">IF(B3930="","",IF(COUNTIF(Campaigns!$A$7:$A$300,B3930)&gt;0,"✓","⚠ add to Campaigns tab"))</f>
        <v/>
      </c>
      <c r="I3930" s="84" t="str">
        <f aca="false">IF(C3930="","",C3930*IF(Settings!$B$23=Settings!$C$6,1,IF(Settings!$B$23="USD",1/INDEX(Settings!$B$29:$B$40,MONTH(A3930)),INDEX(Settings!$B$29:$B$40,MONTH(A3930)))))</f>
        <v/>
      </c>
    </row>
    <row r="3931" customFormat="false" ht="15" hidden="false" customHeight="false" outlineLevel="0" collapsed="false">
      <c r="H3931" s="0" t="str">
        <f aca="false">IF(B3931="","",IF(COUNTIF(Campaigns!$A$7:$A$300,B3931)&gt;0,"✓","⚠ add to Campaigns tab"))</f>
        <v/>
      </c>
      <c r="I3931" s="84" t="str">
        <f aca="false">IF(C3931="","",C3931*IF(Settings!$B$23=Settings!$C$6,1,IF(Settings!$B$23="USD",1/INDEX(Settings!$B$29:$B$40,MONTH(A3931)),INDEX(Settings!$B$29:$B$40,MONTH(A3931)))))</f>
        <v/>
      </c>
    </row>
    <row r="3932" customFormat="false" ht="15" hidden="false" customHeight="false" outlineLevel="0" collapsed="false">
      <c r="H3932" s="0" t="str">
        <f aca="false">IF(B3932="","",IF(COUNTIF(Campaigns!$A$7:$A$300,B3932)&gt;0,"✓","⚠ add to Campaigns tab"))</f>
        <v/>
      </c>
      <c r="I3932" s="84" t="str">
        <f aca="false">IF(C3932="","",C3932*IF(Settings!$B$23=Settings!$C$6,1,IF(Settings!$B$23="USD",1/INDEX(Settings!$B$29:$B$40,MONTH(A3932)),INDEX(Settings!$B$29:$B$40,MONTH(A3932)))))</f>
        <v/>
      </c>
    </row>
    <row r="3933" customFormat="false" ht="15" hidden="false" customHeight="false" outlineLevel="0" collapsed="false">
      <c r="H3933" s="0" t="str">
        <f aca="false">IF(B3933="","",IF(COUNTIF(Campaigns!$A$7:$A$300,B3933)&gt;0,"✓","⚠ add to Campaigns tab"))</f>
        <v/>
      </c>
      <c r="I3933" s="84" t="str">
        <f aca="false">IF(C3933="","",C3933*IF(Settings!$B$23=Settings!$C$6,1,IF(Settings!$B$23="USD",1/INDEX(Settings!$B$29:$B$40,MONTH(A3933)),INDEX(Settings!$B$29:$B$40,MONTH(A3933)))))</f>
        <v/>
      </c>
    </row>
    <row r="3934" customFormat="false" ht="15" hidden="false" customHeight="false" outlineLevel="0" collapsed="false">
      <c r="H3934" s="0" t="str">
        <f aca="false">IF(B3934="","",IF(COUNTIF(Campaigns!$A$7:$A$300,B3934)&gt;0,"✓","⚠ add to Campaigns tab"))</f>
        <v/>
      </c>
      <c r="I3934" s="84" t="str">
        <f aca="false">IF(C3934="","",C3934*IF(Settings!$B$23=Settings!$C$6,1,IF(Settings!$B$23="USD",1/INDEX(Settings!$B$29:$B$40,MONTH(A3934)),INDEX(Settings!$B$29:$B$40,MONTH(A3934)))))</f>
        <v/>
      </c>
    </row>
    <row r="3935" customFormat="false" ht="15" hidden="false" customHeight="false" outlineLevel="0" collapsed="false">
      <c r="H3935" s="0" t="str">
        <f aca="false">IF(B3935="","",IF(COUNTIF(Campaigns!$A$7:$A$300,B3935)&gt;0,"✓","⚠ add to Campaigns tab"))</f>
        <v/>
      </c>
      <c r="I3935" s="84" t="str">
        <f aca="false">IF(C3935="","",C3935*IF(Settings!$B$23=Settings!$C$6,1,IF(Settings!$B$23="USD",1/INDEX(Settings!$B$29:$B$40,MONTH(A3935)),INDEX(Settings!$B$29:$B$40,MONTH(A3935)))))</f>
        <v/>
      </c>
    </row>
    <row r="3936" customFormat="false" ht="15" hidden="false" customHeight="false" outlineLevel="0" collapsed="false">
      <c r="H3936" s="0" t="str">
        <f aca="false">IF(B3936="","",IF(COUNTIF(Campaigns!$A$7:$A$300,B3936)&gt;0,"✓","⚠ add to Campaigns tab"))</f>
        <v/>
      </c>
      <c r="I3936" s="84" t="str">
        <f aca="false">IF(C3936="","",C3936*IF(Settings!$B$23=Settings!$C$6,1,IF(Settings!$B$23="USD",1/INDEX(Settings!$B$29:$B$40,MONTH(A3936)),INDEX(Settings!$B$29:$B$40,MONTH(A3936)))))</f>
        <v/>
      </c>
    </row>
    <row r="3937" customFormat="false" ht="15" hidden="false" customHeight="false" outlineLevel="0" collapsed="false">
      <c r="H3937" s="0" t="str">
        <f aca="false">IF(B3937="","",IF(COUNTIF(Campaigns!$A$7:$A$300,B3937)&gt;0,"✓","⚠ add to Campaigns tab"))</f>
        <v/>
      </c>
      <c r="I3937" s="84" t="str">
        <f aca="false">IF(C3937="","",C3937*IF(Settings!$B$23=Settings!$C$6,1,IF(Settings!$B$23="USD",1/INDEX(Settings!$B$29:$B$40,MONTH(A3937)),INDEX(Settings!$B$29:$B$40,MONTH(A3937)))))</f>
        <v/>
      </c>
    </row>
    <row r="3938" customFormat="false" ht="15" hidden="false" customHeight="false" outlineLevel="0" collapsed="false">
      <c r="H3938" s="0" t="str">
        <f aca="false">IF(B3938="","",IF(COUNTIF(Campaigns!$A$7:$A$300,B3938)&gt;0,"✓","⚠ add to Campaigns tab"))</f>
        <v/>
      </c>
      <c r="I3938" s="84" t="str">
        <f aca="false">IF(C3938="","",C3938*IF(Settings!$B$23=Settings!$C$6,1,IF(Settings!$B$23="USD",1/INDEX(Settings!$B$29:$B$40,MONTH(A3938)),INDEX(Settings!$B$29:$B$40,MONTH(A3938)))))</f>
        <v/>
      </c>
    </row>
    <row r="3939" customFormat="false" ht="15" hidden="false" customHeight="false" outlineLevel="0" collapsed="false">
      <c r="H3939" s="0" t="str">
        <f aca="false">IF(B3939="","",IF(COUNTIF(Campaigns!$A$7:$A$300,B3939)&gt;0,"✓","⚠ add to Campaigns tab"))</f>
        <v/>
      </c>
      <c r="I3939" s="84" t="str">
        <f aca="false">IF(C3939="","",C3939*IF(Settings!$B$23=Settings!$C$6,1,IF(Settings!$B$23="USD",1/INDEX(Settings!$B$29:$B$40,MONTH(A3939)),INDEX(Settings!$B$29:$B$40,MONTH(A3939)))))</f>
        <v/>
      </c>
    </row>
    <row r="3940" customFormat="false" ht="15" hidden="false" customHeight="false" outlineLevel="0" collapsed="false">
      <c r="H3940" s="0" t="str">
        <f aca="false">IF(B3940="","",IF(COUNTIF(Campaigns!$A$7:$A$300,B3940)&gt;0,"✓","⚠ add to Campaigns tab"))</f>
        <v/>
      </c>
      <c r="I3940" s="84" t="str">
        <f aca="false">IF(C3940="","",C3940*IF(Settings!$B$23=Settings!$C$6,1,IF(Settings!$B$23="USD",1/INDEX(Settings!$B$29:$B$40,MONTH(A3940)),INDEX(Settings!$B$29:$B$40,MONTH(A3940)))))</f>
        <v/>
      </c>
    </row>
    <row r="3941" customFormat="false" ht="15" hidden="false" customHeight="false" outlineLevel="0" collapsed="false">
      <c r="H3941" s="0" t="str">
        <f aca="false">IF(B3941="","",IF(COUNTIF(Campaigns!$A$7:$A$300,B3941)&gt;0,"✓","⚠ add to Campaigns tab"))</f>
        <v/>
      </c>
      <c r="I3941" s="84" t="str">
        <f aca="false">IF(C3941="","",C3941*IF(Settings!$B$23=Settings!$C$6,1,IF(Settings!$B$23="USD",1/INDEX(Settings!$B$29:$B$40,MONTH(A3941)),INDEX(Settings!$B$29:$B$40,MONTH(A3941)))))</f>
        <v/>
      </c>
    </row>
    <row r="3942" customFormat="false" ht="15" hidden="false" customHeight="false" outlineLevel="0" collapsed="false">
      <c r="H3942" s="0" t="str">
        <f aca="false">IF(B3942="","",IF(COUNTIF(Campaigns!$A$7:$A$300,B3942)&gt;0,"✓","⚠ add to Campaigns tab"))</f>
        <v/>
      </c>
      <c r="I3942" s="84" t="str">
        <f aca="false">IF(C3942="","",C3942*IF(Settings!$B$23=Settings!$C$6,1,IF(Settings!$B$23="USD",1/INDEX(Settings!$B$29:$B$40,MONTH(A3942)),INDEX(Settings!$B$29:$B$40,MONTH(A3942)))))</f>
        <v/>
      </c>
    </row>
    <row r="3943" customFormat="false" ht="15" hidden="false" customHeight="false" outlineLevel="0" collapsed="false">
      <c r="H3943" s="0" t="str">
        <f aca="false">IF(B3943="","",IF(COUNTIF(Campaigns!$A$7:$A$300,B3943)&gt;0,"✓","⚠ add to Campaigns tab"))</f>
        <v/>
      </c>
      <c r="I3943" s="84" t="str">
        <f aca="false">IF(C3943="","",C3943*IF(Settings!$B$23=Settings!$C$6,1,IF(Settings!$B$23="USD",1/INDEX(Settings!$B$29:$B$40,MONTH(A3943)),INDEX(Settings!$B$29:$B$40,MONTH(A3943)))))</f>
        <v/>
      </c>
    </row>
    <row r="3944" customFormat="false" ht="15" hidden="false" customHeight="false" outlineLevel="0" collapsed="false">
      <c r="H3944" s="0" t="str">
        <f aca="false">IF(B3944="","",IF(COUNTIF(Campaigns!$A$7:$A$300,B3944)&gt;0,"✓","⚠ add to Campaigns tab"))</f>
        <v/>
      </c>
      <c r="I3944" s="84" t="str">
        <f aca="false">IF(C3944="","",C3944*IF(Settings!$B$23=Settings!$C$6,1,IF(Settings!$B$23="USD",1/INDEX(Settings!$B$29:$B$40,MONTH(A3944)),INDEX(Settings!$B$29:$B$40,MONTH(A3944)))))</f>
        <v/>
      </c>
    </row>
    <row r="3945" customFormat="false" ht="15" hidden="false" customHeight="false" outlineLevel="0" collapsed="false">
      <c r="H3945" s="0" t="str">
        <f aca="false">IF(B3945="","",IF(COUNTIF(Campaigns!$A$7:$A$300,B3945)&gt;0,"✓","⚠ add to Campaigns tab"))</f>
        <v/>
      </c>
      <c r="I3945" s="84" t="str">
        <f aca="false">IF(C3945="","",C3945*IF(Settings!$B$23=Settings!$C$6,1,IF(Settings!$B$23="USD",1/INDEX(Settings!$B$29:$B$40,MONTH(A3945)),INDEX(Settings!$B$29:$B$40,MONTH(A3945)))))</f>
        <v/>
      </c>
    </row>
    <row r="3946" customFormat="false" ht="15" hidden="false" customHeight="false" outlineLevel="0" collapsed="false">
      <c r="H3946" s="0" t="str">
        <f aca="false">IF(B3946="","",IF(COUNTIF(Campaigns!$A$7:$A$300,B3946)&gt;0,"✓","⚠ add to Campaigns tab"))</f>
        <v/>
      </c>
      <c r="I3946" s="84" t="str">
        <f aca="false">IF(C3946="","",C3946*IF(Settings!$B$23=Settings!$C$6,1,IF(Settings!$B$23="USD",1/INDEX(Settings!$B$29:$B$40,MONTH(A3946)),INDEX(Settings!$B$29:$B$40,MONTH(A3946)))))</f>
        <v/>
      </c>
    </row>
    <row r="3947" customFormat="false" ht="15" hidden="false" customHeight="false" outlineLevel="0" collapsed="false">
      <c r="H3947" s="0" t="str">
        <f aca="false">IF(B3947="","",IF(COUNTIF(Campaigns!$A$7:$A$300,B3947)&gt;0,"✓","⚠ add to Campaigns tab"))</f>
        <v/>
      </c>
      <c r="I3947" s="84" t="str">
        <f aca="false">IF(C3947="","",C3947*IF(Settings!$B$23=Settings!$C$6,1,IF(Settings!$B$23="USD",1/INDEX(Settings!$B$29:$B$40,MONTH(A3947)),INDEX(Settings!$B$29:$B$40,MONTH(A3947)))))</f>
        <v/>
      </c>
    </row>
    <row r="3948" customFormat="false" ht="15" hidden="false" customHeight="false" outlineLevel="0" collapsed="false">
      <c r="H3948" s="0" t="str">
        <f aca="false">IF(B3948="","",IF(COUNTIF(Campaigns!$A$7:$A$300,B3948)&gt;0,"✓","⚠ add to Campaigns tab"))</f>
        <v/>
      </c>
      <c r="I3948" s="84" t="str">
        <f aca="false">IF(C3948="","",C3948*IF(Settings!$B$23=Settings!$C$6,1,IF(Settings!$B$23="USD",1/INDEX(Settings!$B$29:$B$40,MONTH(A3948)),INDEX(Settings!$B$29:$B$40,MONTH(A3948)))))</f>
        <v/>
      </c>
    </row>
    <row r="3949" customFormat="false" ht="15" hidden="false" customHeight="false" outlineLevel="0" collapsed="false">
      <c r="H3949" s="0" t="str">
        <f aca="false">IF(B3949="","",IF(COUNTIF(Campaigns!$A$7:$A$300,B3949)&gt;0,"✓","⚠ add to Campaigns tab"))</f>
        <v/>
      </c>
      <c r="I3949" s="84" t="str">
        <f aca="false">IF(C3949="","",C3949*IF(Settings!$B$23=Settings!$C$6,1,IF(Settings!$B$23="USD",1/INDEX(Settings!$B$29:$B$40,MONTH(A3949)),INDEX(Settings!$B$29:$B$40,MONTH(A3949)))))</f>
        <v/>
      </c>
    </row>
    <row r="3950" customFormat="false" ht="15" hidden="false" customHeight="false" outlineLevel="0" collapsed="false">
      <c r="H3950" s="0" t="str">
        <f aca="false">IF(B3950="","",IF(COUNTIF(Campaigns!$A$7:$A$300,B3950)&gt;0,"✓","⚠ add to Campaigns tab"))</f>
        <v/>
      </c>
      <c r="I3950" s="84" t="str">
        <f aca="false">IF(C3950="","",C3950*IF(Settings!$B$23=Settings!$C$6,1,IF(Settings!$B$23="USD",1/INDEX(Settings!$B$29:$B$40,MONTH(A3950)),INDEX(Settings!$B$29:$B$40,MONTH(A3950)))))</f>
        <v/>
      </c>
    </row>
    <row r="3951" customFormat="false" ht="15" hidden="false" customHeight="false" outlineLevel="0" collapsed="false">
      <c r="H3951" s="0" t="str">
        <f aca="false">IF(B3951="","",IF(COUNTIF(Campaigns!$A$7:$A$300,B3951)&gt;0,"✓","⚠ add to Campaigns tab"))</f>
        <v/>
      </c>
      <c r="I3951" s="84" t="str">
        <f aca="false">IF(C3951="","",C3951*IF(Settings!$B$23=Settings!$C$6,1,IF(Settings!$B$23="USD",1/INDEX(Settings!$B$29:$B$40,MONTH(A3951)),INDEX(Settings!$B$29:$B$40,MONTH(A3951)))))</f>
        <v/>
      </c>
    </row>
    <row r="3952" customFormat="false" ht="15" hidden="false" customHeight="false" outlineLevel="0" collapsed="false">
      <c r="H3952" s="0" t="str">
        <f aca="false">IF(B3952="","",IF(COUNTIF(Campaigns!$A$7:$A$300,B3952)&gt;0,"✓","⚠ add to Campaigns tab"))</f>
        <v/>
      </c>
      <c r="I3952" s="84" t="str">
        <f aca="false">IF(C3952="","",C3952*IF(Settings!$B$23=Settings!$C$6,1,IF(Settings!$B$23="USD",1/INDEX(Settings!$B$29:$B$40,MONTH(A3952)),INDEX(Settings!$B$29:$B$40,MONTH(A3952)))))</f>
        <v/>
      </c>
    </row>
    <row r="3953" customFormat="false" ht="15" hidden="false" customHeight="false" outlineLevel="0" collapsed="false">
      <c r="H3953" s="0" t="str">
        <f aca="false">IF(B3953="","",IF(COUNTIF(Campaigns!$A$7:$A$300,B3953)&gt;0,"✓","⚠ add to Campaigns tab"))</f>
        <v/>
      </c>
      <c r="I3953" s="84" t="str">
        <f aca="false">IF(C3953="","",C3953*IF(Settings!$B$23=Settings!$C$6,1,IF(Settings!$B$23="USD",1/INDEX(Settings!$B$29:$B$40,MONTH(A3953)),INDEX(Settings!$B$29:$B$40,MONTH(A3953)))))</f>
        <v/>
      </c>
    </row>
    <row r="3954" customFormat="false" ht="15" hidden="false" customHeight="false" outlineLevel="0" collapsed="false">
      <c r="H3954" s="0" t="str">
        <f aca="false">IF(B3954="","",IF(COUNTIF(Campaigns!$A$7:$A$300,B3954)&gt;0,"✓","⚠ add to Campaigns tab"))</f>
        <v/>
      </c>
      <c r="I3954" s="84" t="str">
        <f aca="false">IF(C3954="","",C3954*IF(Settings!$B$23=Settings!$C$6,1,IF(Settings!$B$23="USD",1/INDEX(Settings!$B$29:$B$40,MONTH(A3954)),INDEX(Settings!$B$29:$B$40,MONTH(A3954)))))</f>
        <v/>
      </c>
    </row>
    <row r="3955" customFormat="false" ht="15" hidden="false" customHeight="false" outlineLevel="0" collapsed="false">
      <c r="H3955" s="0" t="str">
        <f aca="false">IF(B3955="","",IF(COUNTIF(Campaigns!$A$7:$A$300,B3955)&gt;0,"✓","⚠ add to Campaigns tab"))</f>
        <v/>
      </c>
      <c r="I3955" s="84" t="str">
        <f aca="false">IF(C3955="","",C3955*IF(Settings!$B$23=Settings!$C$6,1,IF(Settings!$B$23="USD",1/INDEX(Settings!$B$29:$B$40,MONTH(A3955)),INDEX(Settings!$B$29:$B$40,MONTH(A3955)))))</f>
        <v/>
      </c>
    </row>
    <row r="3956" customFormat="false" ht="15" hidden="false" customHeight="false" outlineLevel="0" collapsed="false">
      <c r="H3956" s="0" t="str">
        <f aca="false">IF(B3956="","",IF(COUNTIF(Campaigns!$A$7:$A$300,B3956)&gt;0,"✓","⚠ add to Campaigns tab"))</f>
        <v/>
      </c>
      <c r="I3956" s="84" t="str">
        <f aca="false">IF(C3956="","",C3956*IF(Settings!$B$23=Settings!$C$6,1,IF(Settings!$B$23="USD",1/INDEX(Settings!$B$29:$B$40,MONTH(A3956)),INDEX(Settings!$B$29:$B$40,MONTH(A3956)))))</f>
        <v/>
      </c>
    </row>
    <row r="3957" customFormat="false" ht="15" hidden="false" customHeight="false" outlineLevel="0" collapsed="false">
      <c r="H3957" s="0" t="str">
        <f aca="false">IF(B3957="","",IF(COUNTIF(Campaigns!$A$7:$A$300,B3957)&gt;0,"✓","⚠ add to Campaigns tab"))</f>
        <v/>
      </c>
      <c r="I3957" s="84" t="str">
        <f aca="false">IF(C3957="","",C3957*IF(Settings!$B$23=Settings!$C$6,1,IF(Settings!$B$23="USD",1/INDEX(Settings!$B$29:$B$40,MONTH(A3957)),INDEX(Settings!$B$29:$B$40,MONTH(A3957)))))</f>
        <v/>
      </c>
    </row>
    <row r="3958" customFormat="false" ht="15" hidden="false" customHeight="false" outlineLevel="0" collapsed="false">
      <c r="H3958" s="0" t="str">
        <f aca="false">IF(B3958="","",IF(COUNTIF(Campaigns!$A$7:$A$300,B3958)&gt;0,"✓","⚠ add to Campaigns tab"))</f>
        <v/>
      </c>
      <c r="I3958" s="84" t="str">
        <f aca="false">IF(C3958="","",C3958*IF(Settings!$B$23=Settings!$C$6,1,IF(Settings!$B$23="USD",1/INDEX(Settings!$B$29:$B$40,MONTH(A3958)),INDEX(Settings!$B$29:$B$40,MONTH(A3958)))))</f>
        <v/>
      </c>
    </row>
    <row r="3959" customFormat="false" ht="15" hidden="false" customHeight="false" outlineLevel="0" collapsed="false">
      <c r="H3959" s="0" t="str">
        <f aca="false">IF(B3959="","",IF(COUNTIF(Campaigns!$A$7:$A$300,B3959)&gt;0,"✓","⚠ add to Campaigns tab"))</f>
        <v/>
      </c>
      <c r="I3959" s="84" t="str">
        <f aca="false">IF(C3959="","",C3959*IF(Settings!$B$23=Settings!$C$6,1,IF(Settings!$B$23="USD",1/INDEX(Settings!$B$29:$B$40,MONTH(A3959)),INDEX(Settings!$B$29:$B$40,MONTH(A3959)))))</f>
        <v/>
      </c>
    </row>
    <row r="3960" customFormat="false" ht="15" hidden="false" customHeight="false" outlineLevel="0" collapsed="false">
      <c r="H3960" s="0" t="str">
        <f aca="false">IF(B3960="","",IF(COUNTIF(Campaigns!$A$7:$A$300,B3960)&gt;0,"✓","⚠ add to Campaigns tab"))</f>
        <v/>
      </c>
      <c r="I3960" s="84" t="str">
        <f aca="false">IF(C3960="","",C3960*IF(Settings!$B$23=Settings!$C$6,1,IF(Settings!$B$23="USD",1/INDEX(Settings!$B$29:$B$40,MONTH(A3960)),INDEX(Settings!$B$29:$B$40,MONTH(A3960)))))</f>
        <v/>
      </c>
    </row>
    <row r="3961" customFormat="false" ht="15" hidden="false" customHeight="false" outlineLevel="0" collapsed="false">
      <c r="H3961" s="0" t="str">
        <f aca="false">IF(B3961="","",IF(COUNTIF(Campaigns!$A$7:$A$300,B3961)&gt;0,"✓","⚠ add to Campaigns tab"))</f>
        <v/>
      </c>
      <c r="I3961" s="84" t="str">
        <f aca="false">IF(C3961="","",C3961*IF(Settings!$B$23=Settings!$C$6,1,IF(Settings!$B$23="USD",1/INDEX(Settings!$B$29:$B$40,MONTH(A3961)),INDEX(Settings!$B$29:$B$40,MONTH(A3961)))))</f>
        <v/>
      </c>
    </row>
    <row r="3962" customFormat="false" ht="15" hidden="false" customHeight="false" outlineLevel="0" collapsed="false">
      <c r="H3962" s="0" t="str">
        <f aca="false">IF(B3962="","",IF(COUNTIF(Campaigns!$A$7:$A$300,B3962)&gt;0,"✓","⚠ add to Campaigns tab"))</f>
        <v/>
      </c>
      <c r="I3962" s="84" t="str">
        <f aca="false">IF(C3962="","",C3962*IF(Settings!$B$23=Settings!$C$6,1,IF(Settings!$B$23="USD",1/INDEX(Settings!$B$29:$B$40,MONTH(A3962)),INDEX(Settings!$B$29:$B$40,MONTH(A3962)))))</f>
        <v/>
      </c>
    </row>
    <row r="3963" customFormat="false" ht="15" hidden="false" customHeight="false" outlineLevel="0" collapsed="false">
      <c r="H3963" s="0" t="str">
        <f aca="false">IF(B3963="","",IF(COUNTIF(Campaigns!$A$7:$A$300,B3963)&gt;0,"✓","⚠ add to Campaigns tab"))</f>
        <v/>
      </c>
      <c r="I3963" s="84" t="str">
        <f aca="false">IF(C3963="","",C3963*IF(Settings!$B$23=Settings!$C$6,1,IF(Settings!$B$23="USD",1/INDEX(Settings!$B$29:$B$40,MONTH(A3963)),INDEX(Settings!$B$29:$B$40,MONTH(A3963)))))</f>
        <v/>
      </c>
    </row>
    <row r="3964" customFormat="false" ht="15" hidden="false" customHeight="false" outlineLevel="0" collapsed="false">
      <c r="H3964" s="0" t="str">
        <f aca="false">IF(B3964="","",IF(COUNTIF(Campaigns!$A$7:$A$300,B3964)&gt;0,"✓","⚠ add to Campaigns tab"))</f>
        <v/>
      </c>
      <c r="I3964" s="84" t="str">
        <f aca="false">IF(C3964="","",C3964*IF(Settings!$B$23=Settings!$C$6,1,IF(Settings!$B$23="USD",1/INDEX(Settings!$B$29:$B$40,MONTH(A3964)),INDEX(Settings!$B$29:$B$40,MONTH(A3964)))))</f>
        <v/>
      </c>
    </row>
    <row r="3965" customFormat="false" ht="15" hidden="false" customHeight="false" outlineLevel="0" collapsed="false">
      <c r="H3965" s="0" t="str">
        <f aca="false">IF(B3965="","",IF(COUNTIF(Campaigns!$A$7:$A$300,B3965)&gt;0,"✓","⚠ add to Campaigns tab"))</f>
        <v/>
      </c>
      <c r="I3965" s="84" t="str">
        <f aca="false">IF(C3965="","",C3965*IF(Settings!$B$23=Settings!$C$6,1,IF(Settings!$B$23="USD",1/INDEX(Settings!$B$29:$B$40,MONTH(A3965)),INDEX(Settings!$B$29:$B$40,MONTH(A3965)))))</f>
        <v/>
      </c>
    </row>
    <row r="3966" customFormat="false" ht="15" hidden="false" customHeight="false" outlineLevel="0" collapsed="false">
      <c r="H3966" s="0" t="str">
        <f aca="false">IF(B3966="","",IF(COUNTIF(Campaigns!$A$7:$A$300,B3966)&gt;0,"✓","⚠ add to Campaigns tab"))</f>
        <v/>
      </c>
      <c r="I3966" s="84" t="str">
        <f aca="false">IF(C3966="","",C3966*IF(Settings!$B$23=Settings!$C$6,1,IF(Settings!$B$23="USD",1/INDEX(Settings!$B$29:$B$40,MONTH(A3966)),INDEX(Settings!$B$29:$B$40,MONTH(A3966)))))</f>
        <v/>
      </c>
    </row>
    <row r="3967" customFormat="false" ht="15" hidden="false" customHeight="false" outlineLevel="0" collapsed="false">
      <c r="H3967" s="0" t="str">
        <f aca="false">IF(B3967="","",IF(COUNTIF(Campaigns!$A$7:$A$300,B3967)&gt;0,"✓","⚠ add to Campaigns tab"))</f>
        <v/>
      </c>
      <c r="I3967" s="84" t="str">
        <f aca="false">IF(C3967="","",C3967*IF(Settings!$B$23=Settings!$C$6,1,IF(Settings!$B$23="USD",1/INDEX(Settings!$B$29:$B$40,MONTH(A3967)),INDEX(Settings!$B$29:$B$40,MONTH(A3967)))))</f>
        <v/>
      </c>
    </row>
    <row r="3968" customFormat="false" ht="15" hidden="false" customHeight="false" outlineLevel="0" collapsed="false">
      <c r="H3968" s="0" t="str">
        <f aca="false">IF(B3968="","",IF(COUNTIF(Campaigns!$A$7:$A$300,B3968)&gt;0,"✓","⚠ add to Campaigns tab"))</f>
        <v/>
      </c>
      <c r="I3968" s="84" t="str">
        <f aca="false">IF(C3968="","",C3968*IF(Settings!$B$23=Settings!$C$6,1,IF(Settings!$B$23="USD",1/INDEX(Settings!$B$29:$B$40,MONTH(A3968)),INDEX(Settings!$B$29:$B$40,MONTH(A3968)))))</f>
        <v/>
      </c>
    </row>
    <row r="3969" customFormat="false" ht="15" hidden="false" customHeight="false" outlineLevel="0" collapsed="false">
      <c r="H3969" s="0" t="str">
        <f aca="false">IF(B3969="","",IF(COUNTIF(Campaigns!$A$7:$A$300,B3969)&gt;0,"✓","⚠ add to Campaigns tab"))</f>
        <v/>
      </c>
      <c r="I3969" s="84" t="str">
        <f aca="false">IF(C3969="","",C3969*IF(Settings!$B$23=Settings!$C$6,1,IF(Settings!$B$23="USD",1/INDEX(Settings!$B$29:$B$40,MONTH(A3969)),INDEX(Settings!$B$29:$B$40,MONTH(A3969)))))</f>
        <v/>
      </c>
    </row>
    <row r="3970" customFormat="false" ht="15" hidden="false" customHeight="false" outlineLevel="0" collapsed="false">
      <c r="H3970" s="0" t="str">
        <f aca="false">IF(B3970="","",IF(COUNTIF(Campaigns!$A$7:$A$300,B3970)&gt;0,"✓","⚠ add to Campaigns tab"))</f>
        <v/>
      </c>
      <c r="I3970" s="84" t="str">
        <f aca="false">IF(C3970="","",C3970*IF(Settings!$B$23=Settings!$C$6,1,IF(Settings!$B$23="USD",1/INDEX(Settings!$B$29:$B$40,MONTH(A3970)),INDEX(Settings!$B$29:$B$40,MONTH(A3970)))))</f>
        <v/>
      </c>
    </row>
    <row r="3971" customFormat="false" ht="15" hidden="false" customHeight="false" outlineLevel="0" collapsed="false">
      <c r="H3971" s="0" t="str">
        <f aca="false">IF(B3971="","",IF(COUNTIF(Campaigns!$A$7:$A$300,B3971)&gt;0,"✓","⚠ add to Campaigns tab"))</f>
        <v/>
      </c>
      <c r="I3971" s="84" t="str">
        <f aca="false">IF(C3971="","",C3971*IF(Settings!$B$23=Settings!$C$6,1,IF(Settings!$B$23="USD",1/INDEX(Settings!$B$29:$B$40,MONTH(A3971)),INDEX(Settings!$B$29:$B$40,MONTH(A3971)))))</f>
        <v/>
      </c>
    </row>
    <row r="3972" customFormat="false" ht="15" hidden="false" customHeight="false" outlineLevel="0" collapsed="false">
      <c r="H3972" s="0" t="str">
        <f aca="false">IF(B3972="","",IF(COUNTIF(Campaigns!$A$7:$A$300,B3972)&gt;0,"✓","⚠ add to Campaigns tab"))</f>
        <v/>
      </c>
      <c r="I3972" s="84" t="str">
        <f aca="false">IF(C3972="","",C3972*IF(Settings!$B$23=Settings!$C$6,1,IF(Settings!$B$23="USD",1/INDEX(Settings!$B$29:$B$40,MONTH(A3972)),INDEX(Settings!$B$29:$B$40,MONTH(A3972)))))</f>
        <v/>
      </c>
    </row>
    <row r="3973" customFormat="false" ht="15" hidden="false" customHeight="false" outlineLevel="0" collapsed="false">
      <c r="H3973" s="0" t="str">
        <f aca="false">IF(B3973="","",IF(COUNTIF(Campaigns!$A$7:$A$300,B3973)&gt;0,"✓","⚠ add to Campaigns tab"))</f>
        <v/>
      </c>
      <c r="I3973" s="84" t="str">
        <f aca="false">IF(C3973="","",C3973*IF(Settings!$B$23=Settings!$C$6,1,IF(Settings!$B$23="USD",1/INDEX(Settings!$B$29:$B$40,MONTH(A3973)),INDEX(Settings!$B$29:$B$40,MONTH(A3973)))))</f>
        <v/>
      </c>
    </row>
    <row r="3974" customFormat="false" ht="15" hidden="false" customHeight="false" outlineLevel="0" collapsed="false">
      <c r="H3974" s="0" t="str">
        <f aca="false">IF(B3974="","",IF(COUNTIF(Campaigns!$A$7:$A$300,B3974)&gt;0,"✓","⚠ add to Campaigns tab"))</f>
        <v/>
      </c>
      <c r="I3974" s="84" t="str">
        <f aca="false">IF(C3974="","",C3974*IF(Settings!$B$23=Settings!$C$6,1,IF(Settings!$B$23="USD",1/INDEX(Settings!$B$29:$B$40,MONTH(A3974)),INDEX(Settings!$B$29:$B$40,MONTH(A3974)))))</f>
        <v/>
      </c>
    </row>
    <row r="3975" customFormat="false" ht="15" hidden="false" customHeight="false" outlineLevel="0" collapsed="false">
      <c r="H3975" s="0" t="str">
        <f aca="false">IF(B3975="","",IF(COUNTIF(Campaigns!$A$7:$A$300,B3975)&gt;0,"✓","⚠ add to Campaigns tab"))</f>
        <v/>
      </c>
      <c r="I3975" s="84" t="str">
        <f aca="false">IF(C3975="","",C3975*IF(Settings!$B$23=Settings!$C$6,1,IF(Settings!$B$23="USD",1/INDEX(Settings!$B$29:$B$40,MONTH(A3975)),INDEX(Settings!$B$29:$B$40,MONTH(A3975)))))</f>
        <v/>
      </c>
    </row>
    <row r="3976" customFormat="false" ht="15" hidden="false" customHeight="false" outlineLevel="0" collapsed="false">
      <c r="H3976" s="0" t="str">
        <f aca="false">IF(B3976="","",IF(COUNTIF(Campaigns!$A$7:$A$300,B3976)&gt;0,"✓","⚠ add to Campaigns tab"))</f>
        <v/>
      </c>
      <c r="I3976" s="84" t="str">
        <f aca="false">IF(C3976="","",C3976*IF(Settings!$B$23=Settings!$C$6,1,IF(Settings!$B$23="USD",1/INDEX(Settings!$B$29:$B$40,MONTH(A3976)),INDEX(Settings!$B$29:$B$40,MONTH(A3976)))))</f>
        <v/>
      </c>
    </row>
    <row r="3977" customFormat="false" ht="15" hidden="false" customHeight="false" outlineLevel="0" collapsed="false">
      <c r="H3977" s="0" t="str">
        <f aca="false">IF(B3977="","",IF(COUNTIF(Campaigns!$A$7:$A$300,B3977)&gt;0,"✓","⚠ add to Campaigns tab"))</f>
        <v/>
      </c>
      <c r="I3977" s="84" t="str">
        <f aca="false">IF(C3977="","",C3977*IF(Settings!$B$23=Settings!$C$6,1,IF(Settings!$B$23="USD",1/INDEX(Settings!$B$29:$B$40,MONTH(A3977)),INDEX(Settings!$B$29:$B$40,MONTH(A3977)))))</f>
        <v/>
      </c>
    </row>
    <row r="3978" customFormat="false" ht="15" hidden="false" customHeight="false" outlineLevel="0" collapsed="false">
      <c r="H3978" s="0" t="str">
        <f aca="false">IF(B3978="","",IF(COUNTIF(Campaigns!$A$7:$A$300,B3978)&gt;0,"✓","⚠ add to Campaigns tab"))</f>
        <v/>
      </c>
      <c r="I3978" s="84" t="str">
        <f aca="false">IF(C3978="","",C3978*IF(Settings!$B$23=Settings!$C$6,1,IF(Settings!$B$23="USD",1/INDEX(Settings!$B$29:$B$40,MONTH(A3978)),INDEX(Settings!$B$29:$B$40,MONTH(A3978)))))</f>
        <v/>
      </c>
    </row>
    <row r="3979" customFormat="false" ht="15" hidden="false" customHeight="false" outlineLevel="0" collapsed="false">
      <c r="H3979" s="0" t="str">
        <f aca="false">IF(B3979="","",IF(COUNTIF(Campaigns!$A$7:$A$300,B3979)&gt;0,"✓","⚠ add to Campaigns tab"))</f>
        <v/>
      </c>
      <c r="I3979" s="84" t="str">
        <f aca="false">IF(C3979="","",C3979*IF(Settings!$B$23=Settings!$C$6,1,IF(Settings!$B$23="USD",1/INDEX(Settings!$B$29:$B$40,MONTH(A3979)),INDEX(Settings!$B$29:$B$40,MONTH(A3979)))))</f>
        <v/>
      </c>
    </row>
    <row r="3980" customFormat="false" ht="15" hidden="false" customHeight="false" outlineLevel="0" collapsed="false">
      <c r="H3980" s="0" t="str">
        <f aca="false">IF(B3980="","",IF(COUNTIF(Campaigns!$A$7:$A$300,B3980)&gt;0,"✓","⚠ add to Campaigns tab"))</f>
        <v/>
      </c>
      <c r="I3980" s="84" t="str">
        <f aca="false">IF(C3980="","",C3980*IF(Settings!$B$23=Settings!$C$6,1,IF(Settings!$B$23="USD",1/INDEX(Settings!$B$29:$B$40,MONTH(A3980)),INDEX(Settings!$B$29:$B$40,MONTH(A3980)))))</f>
        <v/>
      </c>
    </row>
    <row r="3981" customFormat="false" ht="15" hidden="false" customHeight="false" outlineLevel="0" collapsed="false">
      <c r="H3981" s="0" t="str">
        <f aca="false">IF(B3981="","",IF(COUNTIF(Campaigns!$A$7:$A$300,B3981)&gt;0,"✓","⚠ add to Campaigns tab"))</f>
        <v/>
      </c>
      <c r="I3981" s="84" t="str">
        <f aca="false">IF(C3981="","",C3981*IF(Settings!$B$23=Settings!$C$6,1,IF(Settings!$B$23="USD",1/INDEX(Settings!$B$29:$B$40,MONTH(A3981)),INDEX(Settings!$B$29:$B$40,MONTH(A3981)))))</f>
        <v/>
      </c>
    </row>
    <row r="3982" customFormat="false" ht="15" hidden="false" customHeight="false" outlineLevel="0" collapsed="false">
      <c r="H3982" s="0" t="str">
        <f aca="false">IF(B3982="","",IF(COUNTIF(Campaigns!$A$7:$A$300,B3982)&gt;0,"✓","⚠ add to Campaigns tab"))</f>
        <v/>
      </c>
      <c r="I3982" s="84" t="str">
        <f aca="false">IF(C3982="","",C3982*IF(Settings!$B$23=Settings!$C$6,1,IF(Settings!$B$23="USD",1/INDEX(Settings!$B$29:$B$40,MONTH(A3982)),INDEX(Settings!$B$29:$B$40,MONTH(A3982)))))</f>
        <v/>
      </c>
    </row>
    <row r="3983" customFormat="false" ht="15" hidden="false" customHeight="false" outlineLevel="0" collapsed="false">
      <c r="H3983" s="0" t="str">
        <f aca="false">IF(B3983="","",IF(COUNTIF(Campaigns!$A$7:$A$300,B3983)&gt;0,"✓","⚠ add to Campaigns tab"))</f>
        <v/>
      </c>
      <c r="I3983" s="84" t="str">
        <f aca="false">IF(C3983="","",C3983*IF(Settings!$B$23=Settings!$C$6,1,IF(Settings!$B$23="USD",1/INDEX(Settings!$B$29:$B$40,MONTH(A3983)),INDEX(Settings!$B$29:$B$40,MONTH(A3983)))))</f>
        <v/>
      </c>
    </row>
    <row r="3984" customFormat="false" ht="15" hidden="false" customHeight="false" outlineLevel="0" collapsed="false">
      <c r="H3984" s="0" t="str">
        <f aca="false">IF(B3984="","",IF(COUNTIF(Campaigns!$A$7:$A$300,B3984)&gt;0,"✓","⚠ add to Campaigns tab"))</f>
        <v/>
      </c>
      <c r="I3984" s="84" t="str">
        <f aca="false">IF(C3984="","",C3984*IF(Settings!$B$23=Settings!$C$6,1,IF(Settings!$B$23="USD",1/INDEX(Settings!$B$29:$B$40,MONTH(A3984)),INDEX(Settings!$B$29:$B$40,MONTH(A3984)))))</f>
        <v/>
      </c>
    </row>
    <row r="3985" customFormat="false" ht="15" hidden="false" customHeight="false" outlineLevel="0" collapsed="false">
      <c r="H3985" s="0" t="str">
        <f aca="false">IF(B3985="","",IF(COUNTIF(Campaigns!$A$7:$A$300,B3985)&gt;0,"✓","⚠ add to Campaigns tab"))</f>
        <v/>
      </c>
      <c r="I3985" s="84" t="str">
        <f aca="false">IF(C3985="","",C3985*IF(Settings!$B$23=Settings!$C$6,1,IF(Settings!$B$23="USD",1/INDEX(Settings!$B$29:$B$40,MONTH(A3985)),INDEX(Settings!$B$29:$B$40,MONTH(A3985)))))</f>
        <v/>
      </c>
    </row>
    <row r="3986" customFormat="false" ht="15" hidden="false" customHeight="false" outlineLevel="0" collapsed="false">
      <c r="H3986" s="0" t="str">
        <f aca="false">IF(B3986="","",IF(COUNTIF(Campaigns!$A$7:$A$300,B3986)&gt;0,"✓","⚠ add to Campaigns tab"))</f>
        <v/>
      </c>
      <c r="I3986" s="84" t="str">
        <f aca="false">IF(C3986="","",C3986*IF(Settings!$B$23=Settings!$C$6,1,IF(Settings!$B$23="USD",1/INDEX(Settings!$B$29:$B$40,MONTH(A3986)),INDEX(Settings!$B$29:$B$40,MONTH(A3986)))))</f>
        <v/>
      </c>
    </row>
    <row r="3987" customFormat="false" ht="15" hidden="false" customHeight="false" outlineLevel="0" collapsed="false">
      <c r="H3987" s="0" t="str">
        <f aca="false">IF(B3987="","",IF(COUNTIF(Campaigns!$A$7:$A$300,B3987)&gt;0,"✓","⚠ add to Campaigns tab"))</f>
        <v/>
      </c>
      <c r="I3987" s="84" t="str">
        <f aca="false">IF(C3987="","",C3987*IF(Settings!$B$23=Settings!$C$6,1,IF(Settings!$B$23="USD",1/INDEX(Settings!$B$29:$B$40,MONTH(A3987)),INDEX(Settings!$B$29:$B$40,MONTH(A3987)))))</f>
        <v/>
      </c>
    </row>
    <row r="3988" customFormat="false" ht="15" hidden="false" customHeight="false" outlineLevel="0" collapsed="false">
      <c r="H3988" s="0" t="str">
        <f aca="false">IF(B3988="","",IF(COUNTIF(Campaigns!$A$7:$A$300,B3988)&gt;0,"✓","⚠ add to Campaigns tab"))</f>
        <v/>
      </c>
      <c r="I3988" s="84" t="str">
        <f aca="false">IF(C3988="","",C3988*IF(Settings!$B$23=Settings!$C$6,1,IF(Settings!$B$23="USD",1/INDEX(Settings!$B$29:$B$40,MONTH(A3988)),INDEX(Settings!$B$29:$B$40,MONTH(A3988)))))</f>
        <v/>
      </c>
    </row>
    <row r="3989" customFormat="false" ht="15" hidden="false" customHeight="false" outlineLevel="0" collapsed="false">
      <c r="H3989" s="0" t="str">
        <f aca="false">IF(B3989="","",IF(COUNTIF(Campaigns!$A$7:$A$300,B3989)&gt;0,"✓","⚠ add to Campaigns tab"))</f>
        <v/>
      </c>
      <c r="I3989" s="84" t="str">
        <f aca="false">IF(C3989="","",C3989*IF(Settings!$B$23=Settings!$C$6,1,IF(Settings!$B$23="USD",1/INDEX(Settings!$B$29:$B$40,MONTH(A3989)),INDEX(Settings!$B$29:$B$40,MONTH(A3989)))))</f>
        <v/>
      </c>
    </row>
    <row r="3990" customFormat="false" ht="15" hidden="false" customHeight="false" outlineLevel="0" collapsed="false">
      <c r="H3990" s="0" t="str">
        <f aca="false">IF(B3990="","",IF(COUNTIF(Campaigns!$A$7:$A$300,B3990)&gt;0,"✓","⚠ add to Campaigns tab"))</f>
        <v/>
      </c>
      <c r="I3990" s="84" t="str">
        <f aca="false">IF(C3990="","",C3990*IF(Settings!$B$23=Settings!$C$6,1,IF(Settings!$B$23="USD",1/INDEX(Settings!$B$29:$B$40,MONTH(A3990)),INDEX(Settings!$B$29:$B$40,MONTH(A3990)))))</f>
        <v/>
      </c>
    </row>
    <row r="3991" customFormat="false" ht="15" hidden="false" customHeight="false" outlineLevel="0" collapsed="false">
      <c r="H3991" s="0" t="str">
        <f aca="false">IF(B3991="","",IF(COUNTIF(Campaigns!$A$7:$A$300,B3991)&gt;0,"✓","⚠ add to Campaigns tab"))</f>
        <v/>
      </c>
      <c r="I3991" s="84" t="str">
        <f aca="false">IF(C3991="","",C3991*IF(Settings!$B$23=Settings!$C$6,1,IF(Settings!$B$23="USD",1/INDEX(Settings!$B$29:$B$40,MONTH(A3991)),INDEX(Settings!$B$29:$B$40,MONTH(A3991)))))</f>
        <v/>
      </c>
    </row>
    <row r="3992" customFormat="false" ht="15" hidden="false" customHeight="false" outlineLevel="0" collapsed="false">
      <c r="H3992" s="0" t="str">
        <f aca="false">IF(B3992="","",IF(COUNTIF(Campaigns!$A$7:$A$300,B3992)&gt;0,"✓","⚠ add to Campaigns tab"))</f>
        <v/>
      </c>
      <c r="I3992" s="84" t="str">
        <f aca="false">IF(C3992="","",C3992*IF(Settings!$B$23=Settings!$C$6,1,IF(Settings!$B$23="USD",1/INDEX(Settings!$B$29:$B$40,MONTH(A3992)),INDEX(Settings!$B$29:$B$40,MONTH(A3992)))))</f>
        <v/>
      </c>
    </row>
    <row r="3993" customFormat="false" ht="15" hidden="false" customHeight="false" outlineLevel="0" collapsed="false">
      <c r="H3993" s="0" t="str">
        <f aca="false">IF(B3993="","",IF(COUNTIF(Campaigns!$A$7:$A$300,B3993)&gt;0,"✓","⚠ add to Campaigns tab"))</f>
        <v/>
      </c>
      <c r="I3993" s="84" t="str">
        <f aca="false">IF(C3993="","",C3993*IF(Settings!$B$23=Settings!$C$6,1,IF(Settings!$B$23="USD",1/INDEX(Settings!$B$29:$B$40,MONTH(A3993)),INDEX(Settings!$B$29:$B$40,MONTH(A3993)))))</f>
        <v/>
      </c>
    </row>
    <row r="3994" customFormat="false" ht="15" hidden="false" customHeight="false" outlineLevel="0" collapsed="false">
      <c r="H3994" s="0" t="str">
        <f aca="false">IF(B3994="","",IF(COUNTIF(Campaigns!$A$7:$A$300,B3994)&gt;0,"✓","⚠ add to Campaigns tab"))</f>
        <v/>
      </c>
      <c r="I3994" s="84" t="str">
        <f aca="false">IF(C3994="","",C3994*IF(Settings!$B$23=Settings!$C$6,1,IF(Settings!$B$23="USD",1/INDEX(Settings!$B$29:$B$40,MONTH(A3994)),INDEX(Settings!$B$29:$B$40,MONTH(A3994)))))</f>
        <v/>
      </c>
    </row>
    <row r="3995" customFormat="false" ht="15" hidden="false" customHeight="false" outlineLevel="0" collapsed="false">
      <c r="H3995" s="0" t="str">
        <f aca="false">IF(B3995="","",IF(COUNTIF(Campaigns!$A$7:$A$300,B3995)&gt;0,"✓","⚠ add to Campaigns tab"))</f>
        <v/>
      </c>
      <c r="I3995" s="84" t="str">
        <f aca="false">IF(C3995="","",C3995*IF(Settings!$B$23=Settings!$C$6,1,IF(Settings!$B$23="USD",1/INDEX(Settings!$B$29:$B$40,MONTH(A3995)),INDEX(Settings!$B$29:$B$40,MONTH(A3995)))))</f>
        <v/>
      </c>
    </row>
    <row r="3996" customFormat="false" ht="15" hidden="false" customHeight="false" outlineLevel="0" collapsed="false">
      <c r="H3996" s="0" t="str">
        <f aca="false">IF(B3996="","",IF(COUNTIF(Campaigns!$A$7:$A$300,B3996)&gt;0,"✓","⚠ add to Campaigns tab"))</f>
        <v/>
      </c>
      <c r="I3996" s="84" t="str">
        <f aca="false">IF(C3996="","",C3996*IF(Settings!$B$23=Settings!$C$6,1,IF(Settings!$B$23="USD",1/INDEX(Settings!$B$29:$B$40,MONTH(A3996)),INDEX(Settings!$B$29:$B$40,MONTH(A3996)))))</f>
        <v/>
      </c>
    </row>
    <row r="3997" customFormat="false" ht="15" hidden="false" customHeight="false" outlineLevel="0" collapsed="false">
      <c r="H3997" s="0" t="str">
        <f aca="false">IF(B3997="","",IF(COUNTIF(Campaigns!$A$7:$A$300,B3997)&gt;0,"✓","⚠ add to Campaigns tab"))</f>
        <v/>
      </c>
      <c r="I3997" s="84" t="str">
        <f aca="false">IF(C3997="","",C3997*IF(Settings!$B$23=Settings!$C$6,1,IF(Settings!$B$23="USD",1/INDEX(Settings!$B$29:$B$40,MONTH(A3997)),INDEX(Settings!$B$29:$B$40,MONTH(A3997)))))</f>
        <v/>
      </c>
    </row>
    <row r="3998" customFormat="false" ht="15" hidden="false" customHeight="false" outlineLevel="0" collapsed="false">
      <c r="H3998" s="0" t="str">
        <f aca="false">IF(B3998="","",IF(COUNTIF(Campaigns!$A$7:$A$300,B3998)&gt;0,"✓","⚠ add to Campaigns tab"))</f>
        <v/>
      </c>
      <c r="I3998" s="84" t="str">
        <f aca="false">IF(C3998="","",C3998*IF(Settings!$B$23=Settings!$C$6,1,IF(Settings!$B$23="USD",1/INDEX(Settings!$B$29:$B$40,MONTH(A3998)),INDEX(Settings!$B$29:$B$40,MONTH(A3998)))))</f>
        <v/>
      </c>
    </row>
    <row r="3999" customFormat="false" ht="15" hidden="false" customHeight="false" outlineLevel="0" collapsed="false">
      <c r="H3999" s="0" t="str">
        <f aca="false">IF(B3999="","",IF(COUNTIF(Campaigns!$A$7:$A$300,B3999)&gt;0,"✓","⚠ add to Campaigns tab"))</f>
        <v/>
      </c>
      <c r="I3999" s="84" t="str">
        <f aca="false">IF(C3999="","",C3999*IF(Settings!$B$23=Settings!$C$6,1,IF(Settings!$B$23="USD",1/INDEX(Settings!$B$29:$B$40,MONTH(A3999)),INDEX(Settings!$B$29:$B$40,MONTH(A3999)))))</f>
        <v/>
      </c>
    </row>
    <row r="4000" customFormat="false" ht="15" hidden="false" customHeight="false" outlineLevel="0" collapsed="false">
      <c r="H4000" s="0" t="str">
        <f aca="false">IF(B4000="","",IF(COUNTIF(Campaigns!$A$7:$A$300,B4000)&gt;0,"✓","⚠ add to Campaigns tab"))</f>
        <v/>
      </c>
      <c r="I4000" s="84" t="str">
        <f aca="false">IF(C4000="","",C4000*IF(Settings!$B$23=Settings!$C$6,1,IF(Settings!$B$23="USD",1/INDEX(Settings!$B$29:$B$40,MONTH(A4000)),INDEX(Settings!$B$29:$B$40,MONTH(A4000)))))</f>
        <v/>
      </c>
    </row>
    <row r="4001" customFormat="false" ht="15" hidden="false" customHeight="false" outlineLevel="0" collapsed="false">
      <c r="H4001" s="0" t="str">
        <f aca="false">IF(B4001="","",IF(COUNTIF(Campaigns!$A$7:$A$300,B4001)&gt;0,"✓","⚠ add to Campaigns tab"))</f>
        <v/>
      </c>
      <c r="I4001" s="84" t="str">
        <f aca="false">IF(C4001="","",C4001*IF(Settings!$B$23=Settings!$C$6,1,IF(Settings!$B$23="USD",1/INDEX(Settings!$B$29:$B$40,MONTH(A4001)),INDEX(Settings!$B$29:$B$40,MONTH(A4001)))))</f>
        <v/>
      </c>
    </row>
    <row r="4002" customFormat="false" ht="15" hidden="false" customHeight="false" outlineLevel="0" collapsed="false">
      <c r="H4002" s="0" t="str">
        <f aca="false">IF(B4002="","",IF(COUNTIF(Campaigns!$A$7:$A$300,B4002)&gt;0,"✓","⚠ add to Campaigns tab"))</f>
        <v/>
      </c>
      <c r="I4002" s="84" t="str">
        <f aca="false">IF(C4002="","",C4002*IF(Settings!$B$23=Settings!$C$6,1,IF(Settings!$B$23="USD",1/INDEX(Settings!$B$29:$B$40,MONTH(A4002)),INDEX(Settings!$B$29:$B$40,MONTH(A4002)))))</f>
        <v/>
      </c>
    </row>
    <row r="4003" customFormat="false" ht="15" hidden="false" customHeight="false" outlineLevel="0" collapsed="false">
      <c r="H4003" s="0" t="str">
        <f aca="false">IF(B4003="","",IF(COUNTIF(Campaigns!$A$7:$A$300,B4003)&gt;0,"✓","⚠ add to Campaigns tab"))</f>
        <v/>
      </c>
      <c r="I4003" s="84" t="str">
        <f aca="false">IF(C4003="","",C4003*IF(Settings!$B$23=Settings!$C$6,1,IF(Settings!$B$23="USD",1/INDEX(Settings!$B$29:$B$40,MONTH(A4003)),INDEX(Settings!$B$29:$B$40,MONTH(A4003)))))</f>
        <v/>
      </c>
    </row>
    <row r="4004" customFormat="false" ht="15" hidden="false" customHeight="false" outlineLevel="0" collapsed="false">
      <c r="H4004" s="0" t="str">
        <f aca="false">IF(B4004="","",IF(COUNTIF(Campaigns!$A$7:$A$300,B4004)&gt;0,"✓","⚠ add to Campaigns tab"))</f>
        <v/>
      </c>
      <c r="I4004" s="84" t="str">
        <f aca="false">IF(C4004="","",C4004*IF(Settings!$B$23=Settings!$C$6,1,IF(Settings!$B$23="USD",1/INDEX(Settings!$B$29:$B$40,MONTH(A4004)),INDEX(Settings!$B$29:$B$40,MONTH(A4004)))))</f>
        <v/>
      </c>
    </row>
    <row r="4005" customFormat="false" ht="15" hidden="false" customHeight="false" outlineLevel="0" collapsed="false">
      <c r="H4005" s="0" t="str">
        <f aca="false">IF(B4005="","",IF(COUNTIF(Campaigns!$A$7:$A$300,B4005)&gt;0,"✓","⚠ add to Campaigns tab"))</f>
        <v/>
      </c>
      <c r="I4005" s="84" t="str">
        <f aca="false">IF(C4005="","",C4005*IF(Settings!$B$23=Settings!$C$6,1,IF(Settings!$B$23="USD",1/INDEX(Settings!$B$29:$B$40,MONTH(A4005)),INDEX(Settings!$B$29:$B$40,MONTH(A4005)))))</f>
        <v/>
      </c>
    </row>
    <row r="4006" customFormat="false" ht="15" hidden="false" customHeight="false" outlineLevel="0" collapsed="false">
      <c r="H4006" s="0" t="str">
        <f aca="false">IF(B4006="","",IF(COUNTIF(Campaigns!$A$7:$A$300,B4006)&gt;0,"✓","⚠ add to Campaigns tab"))</f>
        <v/>
      </c>
      <c r="I4006" s="84" t="str">
        <f aca="false">IF(C4006="","",C4006*IF(Settings!$B$23=Settings!$C$6,1,IF(Settings!$B$23="USD",1/INDEX(Settings!$B$29:$B$40,MONTH(A4006)),INDEX(Settings!$B$29:$B$40,MONTH(A4006)))))</f>
        <v/>
      </c>
    </row>
    <row r="4007" customFormat="false" ht="15" hidden="false" customHeight="false" outlineLevel="0" collapsed="false">
      <c r="H4007" s="0" t="str">
        <f aca="false">IF(B4007="","",IF(COUNTIF(Campaigns!$A$7:$A$300,B4007)&gt;0,"✓","⚠ add to Campaigns tab"))</f>
        <v/>
      </c>
      <c r="I4007" s="84" t="str">
        <f aca="false">IF(C4007="","",C4007*IF(Settings!$B$23=Settings!$C$6,1,IF(Settings!$B$23="USD",1/INDEX(Settings!$B$29:$B$40,MONTH(A4007)),INDEX(Settings!$B$29:$B$40,MONTH(A4007)))))</f>
        <v/>
      </c>
    </row>
    <row r="4008" customFormat="false" ht="15" hidden="false" customHeight="false" outlineLevel="0" collapsed="false">
      <c r="H4008" s="0" t="str">
        <f aca="false">IF(B4008="","",IF(COUNTIF(Campaigns!$A$7:$A$300,B4008)&gt;0,"✓","⚠ add to Campaigns tab"))</f>
        <v/>
      </c>
      <c r="I4008" s="84" t="str">
        <f aca="false">IF(C4008="","",C4008*IF(Settings!$B$23=Settings!$C$6,1,IF(Settings!$B$23="USD",1/INDEX(Settings!$B$29:$B$40,MONTH(A4008)),INDEX(Settings!$B$29:$B$40,MONTH(A4008)))))</f>
        <v/>
      </c>
    </row>
    <row r="4009" customFormat="false" ht="15" hidden="false" customHeight="false" outlineLevel="0" collapsed="false">
      <c r="H4009" s="0" t="str">
        <f aca="false">IF(B4009="","",IF(COUNTIF(Campaigns!$A$7:$A$300,B4009)&gt;0,"✓","⚠ add to Campaigns tab"))</f>
        <v/>
      </c>
      <c r="I4009" s="84" t="str">
        <f aca="false">IF(C4009="","",C4009*IF(Settings!$B$23=Settings!$C$6,1,IF(Settings!$B$23="USD",1/INDEX(Settings!$B$29:$B$40,MONTH(A4009)),INDEX(Settings!$B$29:$B$40,MONTH(A4009)))))</f>
        <v/>
      </c>
    </row>
    <row r="4010" customFormat="false" ht="15" hidden="false" customHeight="false" outlineLevel="0" collapsed="false">
      <c r="H4010" s="0" t="str">
        <f aca="false">IF(B4010="","",IF(COUNTIF(Campaigns!$A$7:$A$300,B4010)&gt;0,"✓","⚠ add to Campaigns tab"))</f>
        <v/>
      </c>
      <c r="I4010" s="84" t="str">
        <f aca="false">IF(C4010="","",C4010*IF(Settings!$B$23=Settings!$C$6,1,IF(Settings!$B$23="USD",1/INDEX(Settings!$B$29:$B$40,MONTH(A4010)),INDEX(Settings!$B$29:$B$40,MONTH(A4010)))))</f>
        <v/>
      </c>
    </row>
    <row r="4011" customFormat="false" ht="15" hidden="false" customHeight="false" outlineLevel="0" collapsed="false">
      <c r="H4011" s="0" t="str">
        <f aca="false">IF(B4011="","",IF(COUNTIF(Campaigns!$A$7:$A$300,B4011)&gt;0,"✓","⚠ add to Campaigns tab"))</f>
        <v/>
      </c>
      <c r="I4011" s="84" t="str">
        <f aca="false">IF(C4011="","",C4011*IF(Settings!$B$23=Settings!$C$6,1,IF(Settings!$B$23="USD",1/INDEX(Settings!$B$29:$B$40,MONTH(A4011)),INDEX(Settings!$B$29:$B$40,MONTH(A4011)))))</f>
        <v/>
      </c>
    </row>
    <row r="4012" customFormat="false" ht="15" hidden="false" customHeight="false" outlineLevel="0" collapsed="false">
      <c r="H4012" s="0" t="str">
        <f aca="false">IF(B4012="","",IF(COUNTIF(Campaigns!$A$7:$A$300,B4012)&gt;0,"✓","⚠ add to Campaigns tab"))</f>
        <v/>
      </c>
      <c r="I4012" s="84" t="str">
        <f aca="false">IF(C4012="","",C4012*IF(Settings!$B$23=Settings!$C$6,1,IF(Settings!$B$23="USD",1/INDEX(Settings!$B$29:$B$40,MONTH(A4012)),INDEX(Settings!$B$29:$B$40,MONTH(A4012)))))</f>
        <v/>
      </c>
    </row>
    <row r="4013" customFormat="false" ht="15" hidden="false" customHeight="false" outlineLevel="0" collapsed="false">
      <c r="H4013" s="0" t="str">
        <f aca="false">IF(B4013="","",IF(COUNTIF(Campaigns!$A$7:$A$300,B4013)&gt;0,"✓","⚠ add to Campaigns tab"))</f>
        <v/>
      </c>
      <c r="I4013" s="84" t="str">
        <f aca="false">IF(C4013="","",C4013*IF(Settings!$B$23=Settings!$C$6,1,IF(Settings!$B$23="USD",1/INDEX(Settings!$B$29:$B$40,MONTH(A4013)),INDEX(Settings!$B$29:$B$40,MONTH(A4013)))))</f>
        <v/>
      </c>
    </row>
    <row r="4014" customFormat="false" ht="15" hidden="false" customHeight="false" outlineLevel="0" collapsed="false">
      <c r="H4014" s="0" t="str">
        <f aca="false">IF(B4014="","",IF(COUNTIF(Campaigns!$A$7:$A$300,B4014)&gt;0,"✓","⚠ add to Campaigns tab"))</f>
        <v/>
      </c>
      <c r="I4014" s="84" t="str">
        <f aca="false">IF(C4014="","",C4014*IF(Settings!$B$23=Settings!$C$6,1,IF(Settings!$B$23="USD",1/INDEX(Settings!$B$29:$B$40,MONTH(A4014)),INDEX(Settings!$B$29:$B$40,MONTH(A4014)))))</f>
        <v/>
      </c>
    </row>
    <row r="4015" customFormat="false" ht="15" hidden="false" customHeight="false" outlineLevel="0" collapsed="false">
      <c r="H4015" s="0" t="str">
        <f aca="false">IF(B4015="","",IF(COUNTIF(Campaigns!$A$7:$A$300,B4015)&gt;0,"✓","⚠ add to Campaigns tab"))</f>
        <v/>
      </c>
      <c r="I4015" s="84" t="str">
        <f aca="false">IF(C4015="","",C4015*IF(Settings!$B$23=Settings!$C$6,1,IF(Settings!$B$23="USD",1/INDEX(Settings!$B$29:$B$40,MONTH(A4015)),INDEX(Settings!$B$29:$B$40,MONTH(A4015)))))</f>
        <v/>
      </c>
    </row>
    <row r="4016" customFormat="false" ht="15" hidden="false" customHeight="false" outlineLevel="0" collapsed="false">
      <c r="H4016" s="0" t="str">
        <f aca="false">IF(B4016="","",IF(COUNTIF(Campaigns!$A$7:$A$300,B4016)&gt;0,"✓","⚠ add to Campaigns tab"))</f>
        <v/>
      </c>
      <c r="I4016" s="84" t="str">
        <f aca="false">IF(C4016="","",C4016*IF(Settings!$B$23=Settings!$C$6,1,IF(Settings!$B$23="USD",1/INDEX(Settings!$B$29:$B$40,MONTH(A4016)),INDEX(Settings!$B$29:$B$40,MONTH(A4016)))))</f>
        <v/>
      </c>
    </row>
    <row r="4017" customFormat="false" ht="15" hidden="false" customHeight="false" outlineLevel="0" collapsed="false">
      <c r="H4017" s="0" t="str">
        <f aca="false">IF(B4017="","",IF(COUNTIF(Campaigns!$A$7:$A$300,B4017)&gt;0,"✓","⚠ add to Campaigns tab"))</f>
        <v/>
      </c>
      <c r="I4017" s="84" t="str">
        <f aca="false">IF(C4017="","",C4017*IF(Settings!$B$23=Settings!$C$6,1,IF(Settings!$B$23="USD",1/INDEX(Settings!$B$29:$B$40,MONTH(A4017)),INDEX(Settings!$B$29:$B$40,MONTH(A4017)))))</f>
        <v/>
      </c>
    </row>
    <row r="4018" customFormat="false" ht="15" hidden="false" customHeight="false" outlineLevel="0" collapsed="false">
      <c r="H4018" s="0" t="str">
        <f aca="false">IF(B4018="","",IF(COUNTIF(Campaigns!$A$7:$A$300,B4018)&gt;0,"✓","⚠ add to Campaigns tab"))</f>
        <v/>
      </c>
      <c r="I4018" s="84" t="str">
        <f aca="false">IF(C4018="","",C4018*IF(Settings!$B$23=Settings!$C$6,1,IF(Settings!$B$23="USD",1/INDEX(Settings!$B$29:$B$40,MONTH(A4018)),INDEX(Settings!$B$29:$B$40,MONTH(A4018)))))</f>
        <v/>
      </c>
    </row>
    <row r="4019" customFormat="false" ht="15" hidden="false" customHeight="false" outlineLevel="0" collapsed="false">
      <c r="H4019" s="0" t="str">
        <f aca="false">IF(B4019="","",IF(COUNTIF(Campaigns!$A$7:$A$300,B4019)&gt;0,"✓","⚠ add to Campaigns tab"))</f>
        <v/>
      </c>
      <c r="I4019" s="84" t="str">
        <f aca="false">IF(C4019="","",C4019*IF(Settings!$B$23=Settings!$C$6,1,IF(Settings!$B$23="USD",1/INDEX(Settings!$B$29:$B$40,MONTH(A4019)),INDEX(Settings!$B$29:$B$40,MONTH(A4019)))))</f>
        <v/>
      </c>
    </row>
    <row r="4020" customFormat="false" ht="15" hidden="false" customHeight="false" outlineLevel="0" collapsed="false">
      <c r="H4020" s="0" t="str">
        <f aca="false">IF(B4020="","",IF(COUNTIF(Campaigns!$A$7:$A$300,B4020)&gt;0,"✓","⚠ add to Campaigns tab"))</f>
        <v/>
      </c>
      <c r="I4020" s="84" t="str">
        <f aca="false">IF(C4020="","",C4020*IF(Settings!$B$23=Settings!$C$6,1,IF(Settings!$B$23="USD",1/INDEX(Settings!$B$29:$B$40,MONTH(A4020)),INDEX(Settings!$B$29:$B$40,MONTH(A4020)))))</f>
        <v/>
      </c>
    </row>
    <row r="4021" customFormat="false" ht="15" hidden="false" customHeight="false" outlineLevel="0" collapsed="false">
      <c r="H4021" s="0" t="str">
        <f aca="false">IF(B4021="","",IF(COUNTIF(Campaigns!$A$7:$A$300,B4021)&gt;0,"✓","⚠ add to Campaigns tab"))</f>
        <v/>
      </c>
      <c r="I4021" s="84" t="str">
        <f aca="false">IF(C4021="","",C4021*IF(Settings!$B$23=Settings!$C$6,1,IF(Settings!$B$23="USD",1/INDEX(Settings!$B$29:$B$40,MONTH(A4021)),INDEX(Settings!$B$29:$B$40,MONTH(A4021)))))</f>
        <v/>
      </c>
    </row>
    <row r="4022" customFormat="false" ht="15" hidden="false" customHeight="false" outlineLevel="0" collapsed="false">
      <c r="H4022" s="0" t="str">
        <f aca="false">IF(B4022="","",IF(COUNTIF(Campaigns!$A$7:$A$300,B4022)&gt;0,"✓","⚠ add to Campaigns tab"))</f>
        <v/>
      </c>
      <c r="I4022" s="84" t="str">
        <f aca="false">IF(C4022="","",C4022*IF(Settings!$B$23=Settings!$C$6,1,IF(Settings!$B$23="USD",1/INDEX(Settings!$B$29:$B$40,MONTH(A4022)),INDEX(Settings!$B$29:$B$40,MONTH(A4022)))))</f>
        <v/>
      </c>
    </row>
    <row r="4023" customFormat="false" ht="15" hidden="false" customHeight="false" outlineLevel="0" collapsed="false">
      <c r="H4023" s="0" t="str">
        <f aca="false">IF(B4023="","",IF(COUNTIF(Campaigns!$A$7:$A$300,B4023)&gt;0,"✓","⚠ add to Campaigns tab"))</f>
        <v/>
      </c>
      <c r="I4023" s="84" t="str">
        <f aca="false">IF(C4023="","",C4023*IF(Settings!$B$23=Settings!$C$6,1,IF(Settings!$B$23="USD",1/INDEX(Settings!$B$29:$B$40,MONTH(A4023)),INDEX(Settings!$B$29:$B$40,MONTH(A4023)))))</f>
        <v/>
      </c>
    </row>
    <row r="4024" customFormat="false" ht="15" hidden="false" customHeight="false" outlineLevel="0" collapsed="false">
      <c r="H4024" s="0" t="str">
        <f aca="false">IF(B4024="","",IF(COUNTIF(Campaigns!$A$7:$A$300,B4024)&gt;0,"✓","⚠ add to Campaigns tab"))</f>
        <v/>
      </c>
      <c r="I4024" s="84" t="str">
        <f aca="false">IF(C4024="","",C4024*IF(Settings!$B$23=Settings!$C$6,1,IF(Settings!$B$23="USD",1/INDEX(Settings!$B$29:$B$40,MONTH(A4024)),INDEX(Settings!$B$29:$B$40,MONTH(A4024)))))</f>
        <v/>
      </c>
    </row>
    <row r="4025" customFormat="false" ht="15" hidden="false" customHeight="false" outlineLevel="0" collapsed="false">
      <c r="H4025" s="0" t="str">
        <f aca="false">IF(B4025="","",IF(COUNTIF(Campaigns!$A$7:$A$300,B4025)&gt;0,"✓","⚠ add to Campaigns tab"))</f>
        <v/>
      </c>
      <c r="I4025" s="84" t="str">
        <f aca="false">IF(C4025="","",C4025*IF(Settings!$B$23=Settings!$C$6,1,IF(Settings!$B$23="USD",1/INDEX(Settings!$B$29:$B$40,MONTH(A4025)),INDEX(Settings!$B$29:$B$40,MONTH(A4025)))))</f>
        <v/>
      </c>
    </row>
    <row r="4026" customFormat="false" ht="15" hidden="false" customHeight="false" outlineLevel="0" collapsed="false">
      <c r="H4026" s="0" t="str">
        <f aca="false">IF(B4026="","",IF(COUNTIF(Campaigns!$A$7:$A$300,B4026)&gt;0,"✓","⚠ add to Campaigns tab"))</f>
        <v/>
      </c>
      <c r="I4026" s="84" t="str">
        <f aca="false">IF(C4026="","",C4026*IF(Settings!$B$23=Settings!$C$6,1,IF(Settings!$B$23="USD",1/INDEX(Settings!$B$29:$B$40,MONTH(A4026)),INDEX(Settings!$B$29:$B$40,MONTH(A4026)))))</f>
        <v/>
      </c>
    </row>
    <row r="4027" customFormat="false" ht="15" hidden="false" customHeight="false" outlineLevel="0" collapsed="false">
      <c r="H4027" s="0" t="str">
        <f aca="false">IF(B4027="","",IF(COUNTIF(Campaigns!$A$7:$A$300,B4027)&gt;0,"✓","⚠ add to Campaigns tab"))</f>
        <v/>
      </c>
      <c r="I4027" s="84" t="str">
        <f aca="false">IF(C4027="","",C4027*IF(Settings!$B$23=Settings!$C$6,1,IF(Settings!$B$23="USD",1/INDEX(Settings!$B$29:$B$40,MONTH(A4027)),INDEX(Settings!$B$29:$B$40,MONTH(A4027)))))</f>
        <v/>
      </c>
    </row>
    <row r="4028" customFormat="false" ht="15" hidden="false" customHeight="false" outlineLevel="0" collapsed="false">
      <c r="H4028" s="0" t="str">
        <f aca="false">IF(B4028="","",IF(COUNTIF(Campaigns!$A$7:$A$300,B4028)&gt;0,"✓","⚠ add to Campaigns tab"))</f>
        <v/>
      </c>
      <c r="I4028" s="84" t="str">
        <f aca="false">IF(C4028="","",C4028*IF(Settings!$B$23=Settings!$C$6,1,IF(Settings!$B$23="USD",1/INDEX(Settings!$B$29:$B$40,MONTH(A4028)),INDEX(Settings!$B$29:$B$40,MONTH(A4028)))))</f>
        <v/>
      </c>
    </row>
    <row r="4029" customFormat="false" ht="15" hidden="false" customHeight="false" outlineLevel="0" collapsed="false">
      <c r="H4029" s="0" t="str">
        <f aca="false">IF(B4029="","",IF(COUNTIF(Campaigns!$A$7:$A$300,B4029)&gt;0,"✓","⚠ add to Campaigns tab"))</f>
        <v/>
      </c>
      <c r="I4029" s="84" t="str">
        <f aca="false">IF(C4029="","",C4029*IF(Settings!$B$23=Settings!$C$6,1,IF(Settings!$B$23="USD",1/INDEX(Settings!$B$29:$B$40,MONTH(A4029)),INDEX(Settings!$B$29:$B$40,MONTH(A4029)))))</f>
        <v/>
      </c>
    </row>
    <row r="4030" customFormat="false" ht="15" hidden="false" customHeight="false" outlineLevel="0" collapsed="false">
      <c r="H4030" s="0" t="str">
        <f aca="false">IF(B4030="","",IF(COUNTIF(Campaigns!$A$7:$A$300,B4030)&gt;0,"✓","⚠ add to Campaigns tab"))</f>
        <v/>
      </c>
      <c r="I4030" s="84" t="str">
        <f aca="false">IF(C4030="","",C4030*IF(Settings!$B$23=Settings!$C$6,1,IF(Settings!$B$23="USD",1/INDEX(Settings!$B$29:$B$40,MONTH(A4030)),INDEX(Settings!$B$29:$B$40,MONTH(A4030)))))</f>
        <v/>
      </c>
    </row>
    <row r="4031" customFormat="false" ht="15" hidden="false" customHeight="false" outlineLevel="0" collapsed="false">
      <c r="H4031" s="0" t="str">
        <f aca="false">IF(B4031="","",IF(COUNTIF(Campaigns!$A$7:$A$300,B4031)&gt;0,"✓","⚠ add to Campaigns tab"))</f>
        <v/>
      </c>
      <c r="I4031" s="84" t="str">
        <f aca="false">IF(C4031="","",C4031*IF(Settings!$B$23=Settings!$C$6,1,IF(Settings!$B$23="USD",1/INDEX(Settings!$B$29:$B$40,MONTH(A4031)),INDEX(Settings!$B$29:$B$40,MONTH(A4031)))))</f>
        <v/>
      </c>
    </row>
    <row r="4032" customFormat="false" ht="15" hidden="false" customHeight="false" outlineLevel="0" collapsed="false">
      <c r="H4032" s="0" t="str">
        <f aca="false">IF(B4032="","",IF(COUNTIF(Campaigns!$A$7:$A$300,B4032)&gt;0,"✓","⚠ add to Campaigns tab"))</f>
        <v/>
      </c>
      <c r="I4032" s="84" t="str">
        <f aca="false">IF(C4032="","",C4032*IF(Settings!$B$23=Settings!$C$6,1,IF(Settings!$B$23="USD",1/INDEX(Settings!$B$29:$B$40,MONTH(A4032)),INDEX(Settings!$B$29:$B$40,MONTH(A4032)))))</f>
        <v/>
      </c>
    </row>
    <row r="4033" customFormat="false" ht="15" hidden="false" customHeight="false" outlineLevel="0" collapsed="false">
      <c r="H4033" s="0" t="str">
        <f aca="false">IF(B4033="","",IF(COUNTIF(Campaigns!$A$7:$A$300,B4033)&gt;0,"✓","⚠ add to Campaigns tab"))</f>
        <v/>
      </c>
      <c r="I4033" s="84" t="str">
        <f aca="false">IF(C4033="","",C4033*IF(Settings!$B$23=Settings!$C$6,1,IF(Settings!$B$23="USD",1/INDEX(Settings!$B$29:$B$40,MONTH(A4033)),INDEX(Settings!$B$29:$B$40,MONTH(A4033)))))</f>
        <v/>
      </c>
    </row>
    <row r="4034" customFormat="false" ht="15" hidden="false" customHeight="false" outlineLevel="0" collapsed="false">
      <c r="H4034" s="0" t="str">
        <f aca="false">IF(B4034="","",IF(COUNTIF(Campaigns!$A$7:$A$300,B4034)&gt;0,"✓","⚠ add to Campaigns tab"))</f>
        <v/>
      </c>
      <c r="I4034" s="84" t="str">
        <f aca="false">IF(C4034="","",C4034*IF(Settings!$B$23=Settings!$C$6,1,IF(Settings!$B$23="USD",1/INDEX(Settings!$B$29:$B$40,MONTH(A4034)),INDEX(Settings!$B$29:$B$40,MONTH(A4034)))))</f>
        <v/>
      </c>
    </row>
    <row r="4035" customFormat="false" ht="15" hidden="false" customHeight="false" outlineLevel="0" collapsed="false">
      <c r="H4035" s="0" t="str">
        <f aca="false">IF(B4035="","",IF(COUNTIF(Campaigns!$A$7:$A$300,B4035)&gt;0,"✓","⚠ add to Campaigns tab"))</f>
        <v/>
      </c>
      <c r="I4035" s="84" t="str">
        <f aca="false">IF(C4035="","",C4035*IF(Settings!$B$23=Settings!$C$6,1,IF(Settings!$B$23="USD",1/INDEX(Settings!$B$29:$B$40,MONTH(A4035)),INDEX(Settings!$B$29:$B$40,MONTH(A4035)))))</f>
        <v/>
      </c>
    </row>
    <row r="4036" customFormat="false" ht="15" hidden="false" customHeight="false" outlineLevel="0" collapsed="false">
      <c r="H4036" s="0" t="str">
        <f aca="false">IF(B4036="","",IF(COUNTIF(Campaigns!$A$7:$A$300,B4036)&gt;0,"✓","⚠ add to Campaigns tab"))</f>
        <v/>
      </c>
      <c r="I4036" s="84" t="str">
        <f aca="false">IF(C4036="","",C4036*IF(Settings!$B$23=Settings!$C$6,1,IF(Settings!$B$23="USD",1/INDEX(Settings!$B$29:$B$40,MONTH(A4036)),INDEX(Settings!$B$29:$B$40,MONTH(A4036)))))</f>
        <v/>
      </c>
    </row>
    <row r="4037" customFormat="false" ht="15" hidden="false" customHeight="false" outlineLevel="0" collapsed="false">
      <c r="H4037" s="0" t="str">
        <f aca="false">IF(B4037="","",IF(COUNTIF(Campaigns!$A$7:$A$300,B4037)&gt;0,"✓","⚠ add to Campaigns tab"))</f>
        <v/>
      </c>
      <c r="I4037" s="84" t="str">
        <f aca="false">IF(C4037="","",C4037*IF(Settings!$B$23=Settings!$C$6,1,IF(Settings!$B$23="USD",1/INDEX(Settings!$B$29:$B$40,MONTH(A4037)),INDEX(Settings!$B$29:$B$40,MONTH(A4037)))))</f>
        <v/>
      </c>
    </row>
    <row r="4038" customFormat="false" ht="15" hidden="false" customHeight="false" outlineLevel="0" collapsed="false">
      <c r="H4038" s="0" t="str">
        <f aca="false">IF(B4038="","",IF(COUNTIF(Campaigns!$A$7:$A$300,B4038)&gt;0,"✓","⚠ add to Campaigns tab"))</f>
        <v/>
      </c>
      <c r="I4038" s="84" t="str">
        <f aca="false">IF(C4038="","",C4038*IF(Settings!$B$23=Settings!$C$6,1,IF(Settings!$B$23="USD",1/INDEX(Settings!$B$29:$B$40,MONTH(A4038)),INDEX(Settings!$B$29:$B$40,MONTH(A4038)))))</f>
        <v/>
      </c>
    </row>
    <row r="4039" customFormat="false" ht="15" hidden="false" customHeight="false" outlineLevel="0" collapsed="false">
      <c r="H4039" s="0" t="str">
        <f aca="false">IF(B4039="","",IF(COUNTIF(Campaigns!$A$7:$A$300,B4039)&gt;0,"✓","⚠ add to Campaigns tab"))</f>
        <v/>
      </c>
      <c r="I4039" s="84" t="str">
        <f aca="false">IF(C4039="","",C4039*IF(Settings!$B$23=Settings!$C$6,1,IF(Settings!$B$23="USD",1/INDEX(Settings!$B$29:$B$40,MONTH(A4039)),INDEX(Settings!$B$29:$B$40,MONTH(A4039)))))</f>
        <v/>
      </c>
    </row>
    <row r="4040" customFormat="false" ht="15" hidden="false" customHeight="false" outlineLevel="0" collapsed="false">
      <c r="H4040" s="0" t="str">
        <f aca="false">IF(B4040="","",IF(COUNTIF(Campaigns!$A$7:$A$300,B4040)&gt;0,"✓","⚠ add to Campaigns tab"))</f>
        <v/>
      </c>
      <c r="I4040" s="84" t="str">
        <f aca="false">IF(C4040="","",C4040*IF(Settings!$B$23=Settings!$C$6,1,IF(Settings!$B$23="USD",1/INDEX(Settings!$B$29:$B$40,MONTH(A4040)),INDEX(Settings!$B$29:$B$40,MONTH(A4040)))))</f>
        <v/>
      </c>
    </row>
    <row r="4041" customFormat="false" ht="15" hidden="false" customHeight="false" outlineLevel="0" collapsed="false">
      <c r="H4041" s="0" t="str">
        <f aca="false">IF(B4041="","",IF(COUNTIF(Campaigns!$A$7:$A$300,B4041)&gt;0,"✓","⚠ add to Campaigns tab"))</f>
        <v/>
      </c>
      <c r="I4041" s="84" t="str">
        <f aca="false">IF(C4041="","",C4041*IF(Settings!$B$23=Settings!$C$6,1,IF(Settings!$B$23="USD",1/INDEX(Settings!$B$29:$B$40,MONTH(A4041)),INDEX(Settings!$B$29:$B$40,MONTH(A4041)))))</f>
        <v/>
      </c>
    </row>
    <row r="4042" customFormat="false" ht="15" hidden="false" customHeight="false" outlineLevel="0" collapsed="false">
      <c r="H4042" s="0" t="str">
        <f aca="false">IF(B4042="","",IF(COUNTIF(Campaigns!$A$7:$A$300,B4042)&gt;0,"✓","⚠ add to Campaigns tab"))</f>
        <v/>
      </c>
      <c r="I4042" s="84" t="str">
        <f aca="false">IF(C4042="","",C4042*IF(Settings!$B$23=Settings!$C$6,1,IF(Settings!$B$23="USD",1/INDEX(Settings!$B$29:$B$40,MONTH(A4042)),INDEX(Settings!$B$29:$B$40,MONTH(A4042)))))</f>
        <v/>
      </c>
    </row>
    <row r="4043" customFormat="false" ht="15" hidden="false" customHeight="false" outlineLevel="0" collapsed="false">
      <c r="H4043" s="0" t="str">
        <f aca="false">IF(B4043="","",IF(COUNTIF(Campaigns!$A$7:$A$300,B4043)&gt;0,"✓","⚠ add to Campaigns tab"))</f>
        <v/>
      </c>
      <c r="I4043" s="84" t="str">
        <f aca="false">IF(C4043="","",C4043*IF(Settings!$B$23=Settings!$C$6,1,IF(Settings!$B$23="USD",1/INDEX(Settings!$B$29:$B$40,MONTH(A4043)),INDEX(Settings!$B$29:$B$40,MONTH(A4043)))))</f>
        <v/>
      </c>
    </row>
    <row r="4044" customFormat="false" ht="15" hidden="false" customHeight="false" outlineLevel="0" collapsed="false">
      <c r="H4044" s="0" t="str">
        <f aca="false">IF(B4044="","",IF(COUNTIF(Campaigns!$A$7:$A$300,B4044)&gt;0,"✓","⚠ add to Campaigns tab"))</f>
        <v/>
      </c>
      <c r="I4044" s="84" t="str">
        <f aca="false">IF(C4044="","",C4044*IF(Settings!$B$23=Settings!$C$6,1,IF(Settings!$B$23="USD",1/INDEX(Settings!$B$29:$B$40,MONTH(A4044)),INDEX(Settings!$B$29:$B$40,MONTH(A4044)))))</f>
        <v/>
      </c>
    </row>
    <row r="4045" customFormat="false" ht="15" hidden="false" customHeight="false" outlineLevel="0" collapsed="false">
      <c r="H4045" s="0" t="str">
        <f aca="false">IF(B4045="","",IF(COUNTIF(Campaigns!$A$7:$A$300,B4045)&gt;0,"✓","⚠ add to Campaigns tab"))</f>
        <v/>
      </c>
      <c r="I4045" s="84" t="str">
        <f aca="false">IF(C4045="","",C4045*IF(Settings!$B$23=Settings!$C$6,1,IF(Settings!$B$23="USD",1/INDEX(Settings!$B$29:$B$40,MONTH(A4045)),INDEX(Settings!$B$29:$B$40,MONTH(A4045)))))</f>
        <v/>
      </c>
    </row>
    <row r="4046" customFormat="false" ht="15" hidden="false" customHeight="false" outlineLevel="0" collapsed="false">
      <c r="H4046" s="0" t="str">
        <f aca="false">IF(B4046="","",IF(COUNTIF(Campaigns!$A$7:$A$300,B4046)&gt;0,"✓","⚠ add to Campaigns tab"))</f>
        <v/>
      </c>
      <c r="I4046" s="84" t="str">
        <f aca="false">IF(C4046="","",C4046*IF(Settings!$B$23=Settings!$C$6,1,IF(Settings!$B$23="USD",1/INDEX(Settings!$B$29:$B$40,MONTH(A4046)),INDEX(Settings!$B$29:$B$40,MONTH(A4046)))))</f>
        <v/>
      </c>
    </row>
    <row r="4047" customFormat="false" ht="15" hidden="false" customHeight="false" outlineLevel="0" collapsed="false">
      <c r="H4047" s="0" t="str">
        <f aca="false">IF(B4047="","",IF(COUNTIF(Campaigns!$A$7:$A$300,B4047)&gt;0,"✓","⚠ add to Campaigns tab"))</f>
        <v/>
      </c>
      <c r="I4047" s="84" t="str">
        <f aca="false">IF(C4047="","",C4047*IF(Settings!$B$23=Settings!$C$6,1,IF(Settings!$B$23="USD",1/INDEX(Settings!$B$29:$B$40,MONTH(A4047)),INDEX(Settings!$B$29:$B$40,MONTH(A4047)))))</f>
        <v/>
      </c>
    </row>
    <row r="4048" customFormat="false" ht="15" hidden="false" customHeight="false" outlineLevel="0" collapsed="false">
      <c r="H4048" s="0" t="str">
        <f aca="false">IF(B4048="","",IF(COUNTIF(Campaigns!$A$7:$A$300,B4048)&gt;0,"✓","⚠ add to Campaigns tab"))</f>
        <v/>
      </c>
      <c r="I4048" s="84" t="str">
        <f aca="false">IF(C4048="","",C4048*IF(Settings!$B$23=Settings!$C$6,1,IF(Settings!$B$23="USD",1/INDEX(Settings!$B$29:$B$40,MONTH(A4048)),INDEX(Settings!$B$29:$B$40,MONTH(A4048)))))</f>
        <v/>
      </c>
    </row>
    <row r="4049" customFormat="false" ht="15" hidden="false" customHeight="false" outlineLevel="0" collapsed="false">
      <c r="H4049" s="0" t="str">
        <f aca="false">IF(B4049="","",IF(COUNTIF(Campaigns!$A$7:$A$300,B4049)&gt;0,"✓","⚠ add to Campaigns tab"))</f>
        <v/>
      </c>
      <c r="I4049" s="84" t="str">
        <f aca="false">IF(C4049="","",C4049*IF(Settings!$B$23=Settings!$C$6,1,IF(Settings!$B$23="USD",1/INDEX(Settings!$B$29:$B$40,MONTH(A4049)),INDEX(Settings!$B$29:$B$40,MONTH(A4049)))))</f>
        <v/>
      </c>
    </row>
    <row r="4050" customFormat="false" ht="15" hidden="false" customHeight="false" outlineLevel="0" collapsed="false">
      <c r="H4050" s="0" t="str">
        <f aca="false">IF(B4050="","",IF(COUNTIF(Campaigns!$A$7:$A$300,B4050)&gt;0,"✓","⚠ add to Campaigns tab"))</f>
        <v/>
      </c>
      <c r="I4050" s="84" t="str">
        <f aca="false">IF(C4050="","",C4050*IF(Settings!$B$23=Settings!$C$6,1,IF(Settings!$B$23="USD",1/INDEX(Settings!$B$29:$B$40,MONTH(A4050)),INDEX(Settings!$B$29:$B$40,MONTH(A4050)))))</f>
        <v/>
      </c>
    </row>
    <row r="4051" customFormat="false" ht="15" hidden="false" customHeight="false" outlineLevel="0" collapsed="false">
      <c r="H4051" s="0" t="str">
        <f aca="false">IF(B4051="","",IF(COUNTIF(Campaigns!$A$7:$A$300,B4051)&gt;0,"✓","⚠ add to Campaigns tab"))</f>
        <v/>
      </c>
      <c r="I4051" s="84" t="str">
        <f aca="false">IF(C4051="","",C4051*IF(Settings!$B$23=Settings!$C$6,1,IF(Settings!$B$23="USD",1/INDEX(Settings!$B$29:$B$40,MONTH(A4051)),INDEX(Settings!$B$29:$B$40,MONTH(A4051)))))</f>
        <v/>
      </c>
    </row>
    <row r="4052" customFormat="false" ht="15" hidden="false" customHeight="false" outlineLevel="0" collapsed="false">
      <c r="H4052" s="0" t="str">
        <f aca="false">IF(B4052="","",IF(COUNTIF(Campaigns!$A$7:$A$300,B4052)&gt;0,"✓","⚠ add to Campaigns tab"))</f>
        <v/>
      </c>
      <c r="I4052" s="84" t="str">
        <f aca="false">IF(C4052="","",C4052*IF(Settings!$B$23=Settings!$C$6,1,IF(Settings!$B$23="USD",1/INDEX(Settings!$B$29:$B$40,MONTH(A4052)),INDEX(Settings!$B$29:$B$40,MONTH(A4052)))))</f>
        <v/>
      </c>
    </row>
    <row r="4053" customFormat="false" ht="15" hidden="false" customHeight="false" outlineLevel="0" collapsed="false">
      <c r="H4053" s="0" t="str">
        <f aca="false">IF(B4053="","",IF(COUNTIF(Campaigns!$A$7:$A$300,B4053)&gt;0,"✓","⚠ add to Campaigns tab"))</f>
        <v/>
      </c>
      <c r="I4053" s="84" t="str">
        <f aca="false">IF(C4053="","",C4053*IF(Settings!$B$23=Settings!$C$6,1,IF(Settings!$B$23="USD",1/INDEX(Settings!$B$29:$B$40,MONTH(A4053)),INDEX(Settings!$B$29:$B$40,MONTH(A4053)))))</f>
        <v/>
      </c>
    </row>
    <row r="4054" customFormat="false" ht="15" hidden="false" customHeight="false" outlineLevel="0" collapsed="false">
      <c r="H4054" s="0" t="str">
        <f aca="false">IF(B4054="","",IF(COUNTIF(Campaigns!$A$7:$A$300,B4054)&gt;0,"✓","⚠ add to Campaigns tab"))</f>
        <v/>
      </c>
      <c r="I4054" s="84" t="str">
        <f aca="false">IF(C4054="","",C4054*IF(Settings!$B$23=Settings!$C$6,1,IF(Settings!$B$23="USD",1/INDEX(Settings!$B$29:$B$40,MONTH(A4054)),INDEX(Settings!$B$29:$B$40,MONTH(A4054)))))</f>
        <v/>
      </c>
    </row>
    <row r="4055" customFormat="false" ht="15" hidden="false" customHeight="false" outlineLevel="0" collapsed="false">
      <c r="H4055" s="0" t="str">
        <f aca="false">IF(B4055="","",IF(COUNTIF(Campaigns!$A$7:$A$300,B4055)&gt;0,"✓","⚠ add to Campaigns tab"))</f>
        <v/>
      </c>
      <c r="I4055" s="84" t="str">
        <f aca="false">IF(C4055="","",C4055*IF(Settings!$B$23=Settings!$C$6,1,IF(Settings!$B$23="USD",1/INDEX(Settings!$B$29:$B$40,MONTH(A4055)),INDEX(Settings!$B$29:$B$40,MONTH(A4055)))))</f>
        <v/>
      </c>
    </row>
    <row r="4056" customFormat="false" ht="15" hidden="false" customHeight="false" outlineLevel="0" collapsed="false">
      <c r="H4056" s="0" t="str">
        <f aca="false">IF(B4056="","",IF(COUNTIF(Campaigns!$A$7:$A$300,B4056)&gt;0,"✓","⚠ add to Campaigns tab"))</f>
        <v/>
      </c>
      <c r="I4056" s="84" t="str">
        <f aca="false">IF(C4056="","",C4056*IF(Settings!$B$23=Settings!$C$6,1,IF(Settings!$B$23="USD",1/INDEX(Settings!$B$29:$B$40,MONTH(A4056)),INDEX(Settings!$B$29:$B$40,MONTH(A4056)))))</f>
        <v/>
      </c>
    </row>
    <row r="4057" customFormat="false" ht="15" hidden="false" customHeight="false" outlineLevel="0" collapsed="false">
      <c r="H4057" s="0" t="str">
        <f aca="false">IF(B4057="","",IF(COUNTIF(Campaigns!$A$7:$A$300,B4057)&gt;0,"✓","⚠ add to Campaigns tab"))</f>
        <v/>
      </c>
      <c r="I4057" s="84" t="str">
        <f aca="false">IF(C4057="","",C4057*IF(Settings!$B$23=Settings!$C$6,1,IF(Settings!$B$23="USD",1/INDEX(Settings!$B$29:$B$40,MONTH(A4057)),INDEX(Settings!$B$29:$B$40,MONTH(A4057)))))</f>
        <v/>
      </c>
    </row>
    <row r="4058" customFormat="false" ht="15" hidden="false" customHeight="false" outlineLevel="0" collapsed="false">
      <c r="H4058" s="0" t="str">
        <f aca="false">IF(B4058="","",IF(COUNTIF(Campaigns!$A$7:$A$300,B4058)&gt;0,"✓","⚠ add to Campaigns tab"))</f>
        <v/>
      </c>
      <c r="I4058" s="84" t="str">
        <f aca="false">IF(C4058="","",C4058*IF(Settings!$B$23=Settings!$C$6,1,IF(Settings!$B$23="USD",1/INDEX(Settings!$B$29:$B$40,MONTH(A4058)),INDEX(Settings!$B$29:$B$40,MONTH(A4058)))))</f>
        <v/>
      </c>
    </row>
    <row r="4059" customFormat="false" ht="15" hidden="false" customHeight="false" outlineLevel="0" collapsed="false">
      <c r="H4059" s="0" t="str">
        <f aca="false">IF(B4059="","",IF(COUNTIF(Campaigns!$A$7:$A$300,B4059)&gt;0,"✓","⚠ add to Campaigns tab"))</f>
        <v/>
      </c>
      <c r="I4059" s="84" t="str">
        <f aca="false">IF(C4059="","",C4059*IF(Settings!$B$23=Settings!$C$6,1,IF(Settings!$B$23="USD",1/INDEX(Settings!$B$29:$B$40,MONTH(A4059)),INDEX(Settings!$B$29:$B$40,MONTH(A4059)))))</f>
        <v/>
      </c>
    </row>
    <row r="4060" customFormat="false" ht="15" hidden="false" customHeight="false" outlineLevel="0" collapsed="false">
      <c r="H4060" s="0" t="str">
        <f aca="false">IF(B4060="","",IF(COUNTIF(Campaigns!$A$7:$A$300,B4060)&gt;0,"✓","⚠ add to Campaigns tab"))</f>
        <v/>
      </c>
      <c r="I4060" s="84" t="str">
        <f aca="false">IF(C4060="","",C4060*IF(Settings!$B$23=Settings!$C$6,1,IF(Settings!$B$23="USD",1/INDEX(Settings!$B$29:$B$40,MONTH(A4060)),INDEX(Settings!$B$29:$B$40,MONTH(A4060)))))</f>
        <v/>
      </c>
    </row>
    <row r="4061" customFormat="false" ht="15" hidden="false" customHeight="false" outlineLevel="0" collapsed="false">
      <c r="H4061" s="0" t="str">
        <f aca="false">IF(B4061="","",IF(COUNTIF(Campaigns!$A$7:$A$300,B4061)&gt;0,"✓","⚠ add to Campaigns tab"))</f>
        <v/>
      </c>
      <c r="I4061" s="84" t="str">
        <f aca="false">IF(C4061="","",C4061*IF(Settings!$B$23=Settings!$C$6,1,IF(Settings!$B$23="USD",1/INDEX(Settings!$B$29:$B$40,MONTH(A4061)),INDEX(Settings!$B$29:$B$40,MONTH(A4061)))))</f>
        <v/>
      </c>
    </row>
    <row r="4062" customFormat="false" ht="15" hidden="false" customHeight="false" outlineLevel="0" collapsed="false">
      <c r="H4062" s="0" t="str">
        <f aca="false">IF(B4062="","",IF(COUNTIF(Campaigns!$A$7:$A$300,B4062)&gt;0,"✓","⚠ add to Campaigns tab"))</f>
        <v/>
      </c>
      <c r="I4062" s="84" t="str">
        <f aca="false">IF(C4062="","",C4062*IF(Settings!$B$23=Settings!$C$6,1,IF(Settings!$B$23="USD",1/INDEX(Settings!$B$29:$B$40,MONTH(A4062)),INDEX(Settings!$B$29:$B$40,MONTH(A4062)))))</f>
        <v/>
      </c>
    </row>
    <row r="4063" customFormat="false" ht="15" hidden="false" customHeight="false" outlineLevel="0" collapsed="false">
      <c r="H4063" s="0" t="str">
        <f aca="false">IF(B4063="","",IF(COUNTIF(Campaigns!$A$7:$A$300,B4063)&gt;0,"✓","⚠ add to Campaigns tab"))</f>
        <v/>
      </c>
      <c r="I4063" s="84" t="str">
        <f aca="false">IF(C4063="","",C4063*IF(Settings!$B$23=Settings!$C$6,1,IF(Settings!$B$23="USD",1/INDEX(Settings!$B$29:$B$40,MONTH(A4063)),INDEX(Settings!$B$29:$B$40,MONTH(A4063)))))</f>
        <v/>
      </c>
    </row>
    <row r="4064" customFormat="false" ht="15" hidden="false" customHeight="false" outlineLevel="0" collapsed="false">
      <c r="H4064" s="0" t="str">
        <f aca="false">IF(B4064="","",IF(COUNTIF(Campaigns!$A$7:$A$300,B4064)&gt;0,"✓","⚠ add to Campaigns tab"))</f>
        <v/>
      </c>
      <c r="I4064" s="84" t="str">
        <f aca="false">IF(C4064="","",C4064*IF(Settings!$B$23=Settings!$C$6,1,IF(Settings!$B$23="USD",1/INDEX(Settings!$B$29:$B$40,MONTH(A4064)),INDEX(Settings!$B$29:$B$40,MONTH(A4064)))))</f>
        <v/>
      </c>
    </row>
    <row r="4065" customFormat="false" ht="15" hidden="false" customHeight="false" outlineLevel="0" collapsed="false">
      <c r="H4065" s="0" t="str">
        <f aca="false">IF(B4065="","",IF(COUNTIF(Campaigns!$A$7:$A$300,B4065)&gt;0,"✓","⚠ add to Campaigns tab"))</f>
        <v/>
      </c>
      <c r="I4065" s="84" t="str">
        <f aca="false">IF(C4065="","",C4065*IF(Settings!$B$23=Settings!$C$6,1,IF(Settings!$B$23="USD",1/INDEX(Settings!$B$29:$B$40,MONTH(A4065)),INDEX(Settings!$B$29:$B$40,MONTH(A4065)))))</f>
        <v/>
      </c>
    </row>
    <row r="4066" customFormat="false" ht="15" hidden="false" customHeight="false" outlineLevel="0" collapsed="false">
      <c r="H4066" s="0" t="str">
        <f aca="false">IF(B4066="","",IF(COUNTIF(Campaigns!$A$7:$A$300,B4066)&gt;0,"✓","⚠ add to Campaigns tab"))</f>
        <v/>
      </c>
      <c r="I4066" s="84" t="str">
        <f aca="false">IF(C4066="","",C4066*IF(Settings!$B$23=Settings!$C$6,1,IF(Settings!$B$23="USD",1/INDEX(Settings!$B$29:$B$40,MONTH(A4066)),INDEX(Settings!$B$29:$B$40,MONTH(A4066)))))</f>
        <v/>
      </c>
    </row>
    <row r="4067" customFormat="false" ht="15" hidden="false" customHeight="false" outlineLevel="0" collapsed="false">
      <c r="H4067" s="0" t="str">
        <f aca="false">IF(B4067="","",IF(COUNTIF(Campaigns!$A$7:$A$300,B4067)&gt;0,"✓","⚠ add to Campaigns tab"))</f>
        <v/>
      </c>
      <c r="I4067" s="84" t="str">
        <f aca="false">IF(C4067="","",C4067*IF(Settings!$B$23=Settings!$C$6,1,IF(Settings!$B$23="USD",1/INDEX(Settings!$B$29:$B$40,MONTH(A4067)),INDEX(Settings!$B$29:$B$40,MONTH(A4067)))))</f>
        <v/>
      </c>
    </row>
    <row r="4068" customFormat="false" ht="15" hidden="false" customHeight="false" outlineLevel="0" collapsed="false">
      <c r="H4068" s="0" t="str">
        <f aca="false">IF(B4068="","",IF(COUNTIF(Campaigns!$A$7:$A$300,B4068)&gt;0,"✓","⚠ add to Campaigns tab"))</f>
        <v/>
      </c>
      <c r="I4068" s="84" t="str">
        <f aca="false">IF(C4068="","",C4068*IF(Settings!$B$23=Settings!$C$6,1,IF(Settings!$B$23="USD",1/INDEX(Settings!$B$29:$B$40,MONTH(A4068)),INDEX(Settings!$B$29:$B$40,MONTH(A4068)))))</f>
        <v/>
      </c>
    </row>
    <row r="4069" customFormat="false" ht="15" hidden="false" customHeight="false" outlineLevel="0" collapsed="false">
      <c r="H4069" s="0" t="str">
        <f aca="false">IF(B4069="","",IF(COUNTIF(Campaigns!$A$7:$A$300,B4069)&gt;0,"✓","⚠ add to Campaigns tab"))</f>
        <v/>
      </c>
      <c r="I4069" s="84" t="str">
        <f aca="false">IF(C4069="","",C4069*IF(Settings!$B$23=Settings!$C$6,1,IF(Settings!$B$23="USD",1/INDEX(Settings!$B$29:$B$40,MONTH(A4069)),INDEX(Settings!$B$29:$B$40,MONTH(A4069)))))</f>
        <v/>
      </c>
    </row>
    <row r="4070" customFormat="false" ht="15" hidden="false" customHeight="false" outlineLevel="0" collapsed="false">
      <c r="H4070" s="0" t="str">
        <f aca="false">IF(B4070="","",IF(COUNTIF(Campaigns!$A$7:$A$300,B4070)&gt;0,"✓","⚠ add to Campaigns tab"))</f>
        <v/>
      </c>
      <c r="I4070" s="84" t="str">
        <f aca="false">IF(C4070="","",C4070*IF(Settings!$B$23=Settings!$C$6,1,IF(Settings!$B$23="USD",1/INDEX(Settings!$B$29:$B$40,MONTH(A4070)),INDEX(Settings!$B$29:$B$40,MONTH(A4070)))))</f>
        <v/>
      </c>
    </row>
    <row r="4071" customFormat="false" ht="15" hidden="false" customHeight="false" outlineLevel="0" collapsed="false">
      <c r="H4071" s="0" t="str">
        <f aca="false">IF(B4071="","",IF(COUNTIF(Campaigns!$A$7:$A$300,B4071)&gt;0,"✓","⚠ add to Campaigns tab"))</f>
        <v/>
      </c>
      <c r="I4071" s="84" t="str">
        <f aca="false">IF(C4071="","",C4071*IF(Settings!$B$23=Settings!$C$6,1,IF(Settings!$B$23="USD",1/INDEX(Settings!$B$29:$B$40,MONTH(A4071)),INDEX(Settings!$B$29:$B$40,MONTH(A4071)))))</f>
        <v/>
      </c>
    </row>
    <row r="4072" customFormat="false" ht="15" hidden="false" customHeight="false" outlineLevel="0" collapsed="false">
      <c r="H4072" s="0" t="str">
        <f aca="false">IF(B4072="","",IF(COUNTIF(Campaigns!$A$7:$A$300,B4072)&gt;0,"✓","⚠ add to Campaigns tab"))</f>
        <v/>
      </c>
      <c r="I4072" s="84" t="str">
        <f aca="false">IF(C4072="","",C4072*IF(Settings!$B$23=Settings!$C$6,1,IF(Settings!$B$23="USD",1/INDEX(Settings!$B$29:$B$40,MONTH(A4072)),INDEX(Settings!$B$29:$B$40,MONTH(A4072)))))</f>
        <v/>
      </c>
    </row>
    <row r="4073" customFormat="false" ht="15" hidden="false" customHeight="false" outlineLevel="0" collapsed="false">
      <c r="H4073" s="0" t="str">
        <f aca="false">IF(B4073="","",IF(COUNTIF(Campaigns!$A$7:$A$300,B4073)&gt;0,"✓","⚠ add to Campaigns tab"))</f>
        <v/>
      </c>
      <c r="I4073" s="84" t="str">
        <f aca="false">IF(C4073="","",C4073*IF(Settings!$B$23=Settings!$C$6,1,IF(Settings!$B$23="USD",1/INDEX(Settings!$B$29:$B$40,MONTH(A4073)),INDEX(Settings!$B$29:$B$40,MONTH(A4073)))))</f>
        <v/>
      </c>
    </row>
    <row r="4074" customFormat="false" ht="15" hidden="false" customHeight="false" outlineLevel="0" collapsed="false">
      <c r="H4074" s="0" t="str">
        <f aca="false">IF(B4074="","",IF(COUNTIF(Campaigns!$A$7:$A$300,B4074)&gt;0,"✓","⚠ add to Campaigns tab"))</f>
        <v/>
      </c>
      <c r="I4074" s="84" t="str">
        <f aca="false">IF(C4074="","",C4074*IF(Settings!$B$23=Settings!$C$6,1,IF(Settings!$B$23="USD",1/INDEX(Settings!$B$29:$B$40,MONTH(A4074)),INDEX(Settings!$B$29:$B$40,MONTH(A4074)))))</f>
        <v/>
      </c>
    </row>
    <row r="4075" customFormat="false" ht="15" hidden="false" customHeight="false" outlineLevel="0" collapsed="false">
      <c r="H4075" s="0" t="str">
        <f aca="false">IF(B4075="","",IF(COUNTIF(Campaigns!$A$7:$A$300,B4075)&gt;0,"✓","⚠ add to Campaigns tab"))</f>
        <v/>
      </c>
      <c r="I4075" s="84" t="str">
        <f aca="false">IF(C4075="","",C4075*IF(Settings!$B$23=Settings!$C$6,1,IF(Settings!$B$23="USD",1/INDEX(Settings!$B$29:$B$40,MONTH(A4075)),INDEX(Settings!$B$29:$B$40,MONTH(A4075)))))</f>
        <v/>
      </c>
    </row>
    <row r="4076" customFormat="false" ht="15" hidden="false" customHeight="false" outlineLevel="0" collapsed="false">
      <c r="H4076" s="0" t="str">
        <f aca="false">IF(B4076="","",IF(COUNTIF(Campaigns!$A$7:$A$300,B4076)&gt;0,"✓","⚠ add to Campaigns tab"))</f>
        <v/>
      </c>
      <c r="I4076" s="84" t="str">
        <f aca="false">IF(C4076="","",C4076*IF(Settings!$B$23=Settings!$C$6,1,IF(Settings!$B$23="USD",1/INDEX(Settings!$B$29:$B$40,MONTH(A4076)),INDEX(Settings!$B$29:$B$40,MONTH(A4076)))))</f>
        <v/>
      </c>
    </row>
    <row r="4077" customFormat="false" ht="15" hidden="false" customHeight="false" outlineLevel="0" collapsed="false">
      <c r="H4077" s="0" t="str">
        <f aca="false">IF(B4077="","",IF(COUNTIF(Campaigns!$A$7:$A$300,B4077)&gt;0,"✓","⚠ add to Campaigns tab"))</f>
        <v/>
      </c>
      <c r="I4077" s="84" t="str">
        <f aca="false">IF(C4077="","",C4077*IF(Settings!$B$23=Settings!$C$6,1,IF(Settings!$B$23="USD",1/INDEX(Settings!$B$29:$B$40,MONTH(A4077)),INDEX(Settings!$B$29:$B$40,MONTH(A4077)))))</f>
        <v/>
      </c>
    </row>
    <row r="4078" customFormat="false" ht="15" hidden="false" customHeight="false" outlineLevel="0" collapsed="false">
      <c r="H4078" s="0" t="str">
        <f aca="false">IF(B4078="","",IF(COUNTIF(Campaigns!$A$7:$A$300,B4078)&gt;0,"✓","⚠ add to Campaigns tab"))</f>
        <v/>
      </c>
      <c r="I4078" s="84" t="str">
        <f aca="false">IF(C4078="","",C4078*IF(Settings!$B$23=Settings!$C$6,1,IF(Settings!$B$23="USD",1/INDEX(Settings!$B$29:$B$40,MONTH(A4078)),INDEX(Settings!$B$29:$B$40,MONTH(A4078)))))</f>
        <v/>
      </c>
    </row>
    <row r="4079" customFormat="false" ht="15" hidden="false" customHeight="false" outlineLevel="0" collapsed="false">
      <c r="H4079" s="0" t="str">
        <f aca="false">IF(B4079="","",IF(COUNTIF(Campaigns!$A$7:$A$300,B4079)&gt;0,"✓","⚠ add to Campaigns tab"))</f>
        <v/>
      </c>
      <c r="I4079" s="84" t="str">
        <f aca="false">IF(C4079="","",C4079*IF(Settings!$B$23=Settings!$C$6,1,IF(Settings!$B$23="USD",1/INDEX(Settings!$B$29:$B$40,MONTH(A4079)),INDEX(Settings!$B$29:$B$40,MONTH(A4079)))))</f>
        <v/>
      </c>
    </row>
    <row r="4080" customFormat="false" ht="15" hidden="false" customHeight="false" outlineLevel="0" collapsed="false">
      <c r="H4080" s="0" t="str">
        <f aca="false">IF(B4080="","",IF(COUNTIF(Campaigns!$A$7:$A$300,B4080)&gt;0,"✓","⚠ add to Campaigns tab"))</f>
        <v/>
      </c>
      <c r="I4080" s="84" t="str">
        <f aca="false">IF(C4080="","",C4080*IF(Settings!$B$23=Settings!$C$6,1,IF(Settings!$B$23="USD",1/INDEX(Settings!$B$29:$B$40,MONTH(A4080)),INDEX(Settings!$B$29:$B$40,MONTH(A4080)))))</f>
        <v/>
      </c>
    </row>
    <row r="4081" customFormat="false" ht="15" hidden="false" customHeight="false" outlineLevel="0" collapsed="false">
      <c r="H4081" s="0" t="str">
        <f aca="false">IF(B4081="","",IF(COUNTIF(Campaigns!$A$7:$A$300,B4081)&gt;0,"✓","⚠ add to Campaigns tab"))</f>
        <v/>
      </c>
      <c r="I4081" s="84" t="str">
        <f aca="false">IF(C4081="","",C4081*IF(Settings!$B$23=Settings!$C$6,1,IF(Settings!$B$23="USD",1/INDEX(Settings!$B$29:$B$40,MONTH(A4081)),INDEX(Settings!$B$29:$B$40,MONTH(A4081)))))</f>
        <v/>
      </c>
    </row>
    <row r="4082" customFormat="false" ht="15" hidden="false" customHeight="false" outlineLevel="0" collapsed="false">
      <c r="H4082" s="0" t="str">
        <f aca="false">IF(B4082="","",IF(COUNTIF(Campaigns!$A$7:$A$300,B4082)&gt;0,"✓","⚠ add to Campaigns tab"))</f>
        <v/>
      </c>
      <c r="I4082" s="84" t="str">
        <f aca="false">IF(C4082="","",C4082*IF(Settings!$B$23=Settings!$C$6,1,IF(Settings!$B$23="USD",1/INDEX(Settings!$B$29:$B$40,MONTH(A4082)),INDEX(Settings!$B$29:$B$40,MONTH(A4082)))))</f>
        <v/>
      </c>
    </row>
    <row r="4083" customFormat="false" ht="15" hidden="false" customHeight="false" outlineLevel="0" collapsed="false">
      <c r="H4083" s="0" t="str">
        <f aca="false">IF(B4083="","",IF(COUNTIF(Campaigns!$A$7:$A$300,B4083)&gt;0,"✓","⚠ add to Campaigns tab"))</f>
        <v/>
      </c>
      <c r="I4083" s="84" t="str">
        <f aca="false">IF(C4083="","",C4083*IF(Settings!$B$23=Settings!$C$6,1,IF(Settings!$B$23="USD",1/INDEX(Settings!$B$29:$B$40,MONTH(A4083)),INDEX(Settings!$B$29:$B$40,MONTH(A4083)))))</f>
        <v/>
      </c>
    </row>
    <row r="4084" customFormat="false" ht="15" hidden="false" customHeight="false" outlineLevel="0" collapsed="false">
      <c r="H4084" s="0" t="str">
        <f aca="false">IF(B4084="","",IF(COUNTIF(Campaigns!$A$7:$A$300,B4084)&gt;0,"✓","⚠ add to Campaigns tab"))</f>
        <v/>
      </c>
      <c r="I4084" s="84" t="str">
        <f aca="false">IF(C4084="","",C4084*IF(Settings!$B$23=Settings!$C$6,1,IF(Settings!$B$23="USD",1/INDEX(Settings!$B$29:$B$40,MONTH(A4084)),INDEX(Settings!$B$29:$B$40,MONTH(A4084)))))</f>
        <v/>
      </c>
    </row>
    <row r="4085" customFormat="false" ht="15" hidden="false" customHeight="false" outlineLevel="0" collapsed="false">
      <c r="H4085" s="0" t="str">
        <f aca="false">IF(B4085="","",IF(COUNTIF(Campaigns!$A$7:$A$300,B4085)&gt;0,"✓","⚠ add to Campaigns tab"))</f>
        <v/>
      </c>
      <c r="I4085" s="84" t="str">
        <f aca="false">IF(C4085="","",C4085*IF(Settings!$B$23=Settings!$C$6,1,IF(Settings!$B$23="USD",1/INDEX(Settings!$B$29:$B$40,MONTH(A4085)),INDEX(Settings!$B$29:$B$40,MONTH(A4085)))))</f>
        <v/>
      </c>
    </row>
    <row r="4086" customFormat="false" ht="15" hidden="false" customHeight="false" outlineLevel="0" collapsed="false">
      <c r="H4086" s="0" t="str">
        <f aca="false">IF(B4086="","",IF(COUNTIF(Campaigns!$A$7:$A$300,B4086)&gt;0,"✓","⚠ add to Campaigns tab"))</f>
        <v/>
      </c>
      <c r="I4086" s="84" t="str">
        <f aca="false">IF(C4086="","",C4086*IF(Settings!$B$23=Settings!$C$6,1,IF(Settings!$B$23="USD",1/INDEX(Settings!$B$29:$B$40,MONTH(A4086)),INDEX(Settings!$B$29:$B$40,MONTH(A4086)))))</f>
        <v/>
      </c>
    </row>
    <row r="4087" customFormat="false" ht="15" hidden="false" customHeight="false" outlineLevel="0" collapsed="false">
      <c r="H4087" s="0" t="str">
        <f aca="false">IF(B4087="","",IF(COUNTIF(Campaigns!$A$7:$A$300,B4087)&gt;0,"✓","⚠ add to Campaigns tab"))</f>
        <v/>
      </c>
      <c r="I4087" s="84" t="str">
        <f aca="false">IF(C4087="","",C4087*IF(Settings!$B$23=Settings!$C$6,1,IF(Settings!$B$23="USD",1/INDEX(Settings!$B$29:$B$40,MONTH(A4087)),INDEX(Settings!$B$29:$B$40,MONTH(A4087)))))</f>
        <v/>
      </c>
    </row>
    <row r="4088" customFormat="false" ht="15" hidden="false" customHeight="false" outlineLevel="0" collapsed="false">
      <c r="H4088" s="0" t="str">
        <f aca="false">IF(B4088="","",IF(COUNTIF(Campaigns!$A$7:$A$300,B4088)&gt;0,"✓","⚠ add to Campaigns tab"))</f>
        <v/>
      </c>
      <c r="I4088" s="84" t="str">
        <f aca="false">IF(C4088="","",C4088*IF(Settings!$B$23=Settings!$C$6,1,IF(Settings!$B$23="USD",1/INDEX(Settings!$B$29:$B$40,MONTH(A4088)),INDEX(Settings!$B$29:$B$40,MONTH(A4088)))))</f>
        <v/>
      </c>
    </row>
    <row r="4089" customFormat="false" ht="15" hidden="false" customHeight="false" outlineLevel="0" collapsed="false">
      <c r="H4089" s="0" t="str">
        <f aca="false">IF(B4089="","",IF(COUNTIF(Campaigns!$A$7:$A$300,B4089)&gt;0,"✓","⚠ add to Campaigns tab"))</f>
        <v/>
      </c>
      <c r="I4089" s="84" t="str">
        <f aca="false">IF(C4089="","",C4089*IF(Settings!$B$23=Settings!$C$6,1,IF(Settings!$B$23="USD",1/INDEX(Settings!$B$29:$B$40,MONTH(A4089)),INDEX(Settings!$B$29:$B$40,MONTH(A4089)))))</f>
        <v/>
      </c>
    </row>
    <row r="4090" customFormat="false" ht="15" hidden="false" customHeight="false" outlineLevel="0" collapsed="false">
      <c r="H4090" s="0" t="str">
        <f aca="false">IF(B4090="","",IF(COUNTIF(Campaigns!$A$7:$A$300,B4090)&gt;0,"✓","⚠ add to Campaigns tab"))</f>
        <v/>
      </c>
      <c r="I4090" s="84" t="str">
        <f aca="false">IF(C4090="","",C4090*IF(Settings!$B$23=Settings!$C$6,1,IF(Settings!$B$23="USD",1/INDEX(Settings!$B$29:$B$40,MONTH(A4090)),INDEX(Settings!$B$29:$B$40,MONTH(A4090)))))</f>
        <v/>
      </c>
    </row>
    <row r="4091" customFormat="false" ht="15" hidden="false" customHeight="false" outlineLevel="0" collapsed="false">
      <c r="H4091" s="0" t="str">
        <f aca="false">IF(B4091="","",IF(COUNTIF(Campaigns!$A$7:$A$300,B4091)&gt;0,"✓","⚠ add to Campaigns tab"))</f>
        <v/>
      </c>
      <c r="I4091" s="84" t="str">
        <f aca="false">IF(C4091="","",C4091*IF(Settings!$B$23=Settings!$C$6,1,IF(Settings!$B$23="USD",1/INDEX(Settings!$B$29:$B$40,MONTH(A4091)),INDEX(Settings!$B$29:$B$40,MONTH(A4091)))))</f>
        <v/>
      </c>
    </row>
    <row r="4092" customFormat="false" ht="15" hidden="false" customHeight="false" outlineLevel="0" collapsed="false">
      <c r="H4092" s="0" t="str">
        <f aca="false">IF(B4092="","",IF(COUNTIF(Campaigns!$A$7:$A$300,B4092)&gt;0,"✓","⚠ add to Campaigns tab"))</f>
        <v/>
      </c>
      <c r="I4092" s="84" t="str">
        <f aca="false">IF(C4092="","",C4092*IF(Settings!$B$23=Settings!$C$6,1,IF(Settings!$B$23="USD",1/INDEX(Settings!$B$29:$B$40,MONTH(A4092)),INDEX(Settings!$B$29:$B$40,MONTH(A4092)))))</f>
        <v/>
      </c>
    </row>
    <row r="4093" customFormat="false" ht="15" hidden="false" customHeight="false" outlineLevel="0" collapsed="false">
      <c r="H4093" s="0" t="str">
        <f aca="false">IF(B4093="","",IF(COUNTIF(Campaigns!$A$7:$A$300,B4093)&gt;0,"✓","⚠ add to Campaigns tab"))</f>
        <v/>
      </c>
      <c r="I4093" s="84" t="str">
        <f aca="false">IF(C4093="","",C4093*IF(Settings!$B$23=Settings!$C$6,1,IF(Settings!$B$23="USD",1/INDEX(Settings!$B$29:$B$40,MONTH(A4093)),INDEX(Settings!$B$29:$B$40,MONTH(A4093)))))</f>
        <v/>
      </c>
    </row>
    <row r="4094" customFormat="false" ht="15" hidden="false" customHeight="false" outlineLevel="0" collapsed="false">
      <c r="H4094" s="0" t="str">
        <f aca="false">IF(B4094="","",IF(COUNTIF(Campaigns!$A$7:$A$300,B4094)&gt;0,"✓","⚠ add to Campaigns tab"))</f>
        <v/>
      </c>
      <c r="I4094" s="84" t="str">
        <f aca="false">IF(C4094="","",C4094*IF(Settings!$B$23=Settings!$C$6,1,IF(Settings!$B$23="USD",1/INDEX(Settings!$B$29:$B$40,MONTH(A4094)),INDEX(Settings!$B$29:$B$40,MONTH(A4094)))))</f>
        <v/>
      </c>
    </row>
    <row r="4095" customFormat="false" ht="15" hidden="false" customHeight="false" outlineLevel="0" collapsed="false">
      <c r="H4095" s="0" t="str">
        <f aca="false">IF(B4095="","",IF(COUNTIF(Campaigns!$A$7:$A$300,B4095)&gt;0,"✓","⚠ add to Campaigns tab"))</f>
        <v/>
      </c>
      <c r="I4095" s="84" t="str">
        <f aca="false">IF(C4095="","",C4095*IF(Settings!$B$23=Settings!$C$6,1,IF(Settings!$B$23="USD",1/INDEX(Settings!$B$29:$B$40,MONTH(A4095)),INDEX(Settings!$B$29:$B$40,MONTH(A4095)))))</f>
        <v/>
      </c>
    </row>
    <row r="4096" customFormat="false" ht="15" hidden="false" customHeight="false" outlineLevel="0" collapsed="false">
      <c r="H4096" s="0" t="str">
        <f aca="false">IF(B4096="","",IF(COUNTIF(Campaigns!$A$7:$A$300,B4096)&gt;0,"✓","⚠ add to Campaigns tab"))</f>
        <v/>
      </c>
      <c r="I4096" s="84" t="str">
        <f aca="false">IF(C4096="","",C4096*IF(Settings!$B$23=Settings!$C$6,1,IF(Settings!$B$23="USD",1/INDEX(Settings!$B$29:$B$40,MONTH(A4096)),INDEX(Settings!$B$29:$B$40,MONTH(A4096)))))</f>
        <v/>
      </c>
    </row>
    <row r="4097" customFormat="false" ht="15" hidden="false" customHeight="false" outlineLevel="0" collapsed="false">
      <c r="H4097" s="0" t="str">
        <f aca="false">IF(B4097="","",IF(COUNTIF(Campaigns!$A$7:$A$300,B4097)&gt;0,"✓","⚠ add to Campaigns tab"))</f>
        <v/>
      </c>
      <c r="I4097" s="84" t="str">
        <f aca="false">IF(C4097="","",C4097*IF(Settings!$B$23=Settings!$C$6,1,IF(Settings!$B$23="USD",1/INDEX(Settings!$B$29:$B$40,MONTH(A4097)),INDEX(Settings!$B$29:$B$40,MONTH(A4097)))))</f>
        <v/>
      </c>
    </row>
    <row r="4098" customFormat="false" ht="15" hidden="false" customHeight="false" outlineLevel="0" collapsed="false">
      <c r="H4098" s="0" t="str">
        <f aca="false">IF(B4098="","",IF(COUNTIF(Campaigns!$A$7:$A$300,B4098)&gt;0,"✓","⚠ add to Campaigns tab"))</f>
        <v/>
      </c>
      <c r="I4098" s="84" t="str">
        <f aca="false">IF(C4098="","",C4098*IF(Settings!$B$23=Settings!$C$6,1,IF(Settings!$B$23="USD",1/INDEX(Settings!$B$29:$B$40,MONTH(A4098)),INDEX(Settings!$B$29:$B$40,MONTH(A4098)))))</f>
        <v/>
      </c>
    </row>
    <row r="4099" customFormat="false" ht="15" hidden="false" customHeight="false" outlineLevel="0" collapsed="false">
      <c r="H4099" s="0" t="str">
        <f aca="false">IF(B4099="","",IF(COUNTIF(Campaigns!$A$7:$A$300,B4099)&gt;0,"✓","⚠ add to Campaigns tab"))</f>
        <v/>
      </c>
      <c r="I4099" s="84" t="str">
        <f aca="false">IF(C4099="","",C4099*IF(Settings!$B$23=Settings!$C$6,1,IF(Settings!$B$23="USD",1/INDEX(Settings!$B$29:$B$40,MONTH(A4099)),INDEX(Settings!$B$29:$B$40,MONTH(A4099)))))</f>
        <v/>
      </c>
    </row>
    <row r="4100" customFormat="false" ht="15" hidden="false" customHeight="false" outlineLevel="0" collapsed="false">
      <c r="H4100" s="0" t="str">
        <f aca="false">IF(B4100="","",IF(COUNTIF(Campaigns!$A$7:$A$300,B4100)&gt;0,"✓","⚠ add to Campaigns tab"))</f>
        <v/>
      </c>
      <c r="I4100" s="84" t="str">
        <f aca="false">IF(C4100="","",C4100*IF(Settings!$B$23=Settings!$C$6,1,IF(Settings!$B$23="USD",1/INDEX(Settings!$B$29:$B$40,MONTH(A4100)),INDEX(Settings!$B$29:$B$40,MONTH(A4100)))))</f>
        <v/>
      </c>
    </row>
    <row r="4101" customFormat="false" ht="15" hidden="false" customHeight="false" outlineLevel="0" collapsed="false">
      <c r="H4101" s="0" t="str">
        <f aca="false">IF(B4101="","",IF(COUNTIF(Campaigns!$A$7:$A$300,B4101)&gt;0,"✓","⚠ add to Campaigns tab"))</f>
        <v/>
      </c>
      <c r="I4101" s="84" t="str">
        <f aca="false">IF(C4101="","",C4101*IF(Settings!$B$23=Settings!$C$6,1,IF(Settings!$B$23="USD",1/INDEX(Settings!$B$29:$B$40,MONTH(A4101)),INDEX(Settings!$B$29:$B$40,MONTH(A4101)))))</f>
        <v/>
      </c>
    </row>
    <row r="4102" customFormat="false" ht="15" hidden="false" customHeight="false" outlineLevel="0" collapsed="false">
      <c r="H4102" s="0" t="str">
        <f aca="false">IF(B4102="","",IF(COUNTIF(Campaigns!$A$7:$A$300,B4102)&gt;0,"✓","⚠ add to Campaigns tab"))</f>
        <v/>
      </c>
      <c r="I4102" s="84" t="str">
        <f aca="false">IF(C4102="","",C4102*IF(Settings!$B$23=Settings!$C$6,1,IF(Settings!$B$23="USD",1/INDEX(Settings!$B$29:$B$40,MONTH(A4102)),INDEX(Settings!$B$29:$B$40,MONTH(A4102)))))</f>
        <v/>
      </c>
    </row>
    <row r="4103" customFormat="false" ht="15" hidden="false" customHeight="false" outlineLevel="0" collapsed="false">
      <c r="H4103" s="0" t="str">
        <f aca="false">IF(B4103="","",IF(COUNTIF(Campaigns!$A$7:$A$300,B4103)&gt;0,"✓","⚠ add to Campaigns tab"))</f>
        <v/>
      </c>
      <c r="I4103" s="84" t="str">
        <f aca="false">IF(C4103="","",C4103*IF(Settings!$B$23=Settings!$C$6,1,IF(Settings!$B$23="USD",1/INDEX(Settings!$B$29:$B$40,MONTH(A4103)),INDEX(Settings!$B$29:$B$40,MONTH(A4103)))))</f>
        <v/>
      </c>
    </row>
    <row r="4104" customFormat="false" ht="15" hidden="false" customHeight="false" outlineLevel="0" collapsed="false">
      <c r="H4104" s="0" t="str">
        <f aca="false">IF(B4104="","",IF(COUNTIF(Campaigns!$A$7:$A$300,B4104)&gt;0,"✓","⚠ add to Campaigns tab"))</f>
        <v/>
      </c>
      <c r="I4104" s="84" t="str">
        <f aca="false">IF(C4104="","",C4104*IF(Settings!$B$23=Settings!$C$6,1,IF(Settings!$B$23="USD",1/INDEX(Settings!$B$29:$B$40,MONTH(A4104)),INDEX(Settings!$B$29:$B$40,MONTH(A4104)))))</f>
        <v/>
      </c>
    </row>
    <row r="4105" customFormat="false" ht="15" hidden="false" customHeight="false" outlineLevel="0" collapsed="false">
      <c r="H4105" s="0" t="str">
        <f aca="false">IF(B4105="","",IF(COUNTIF(Campaigns!$A$7:$A$300,B4105)&gt;0,"✓","⚠ add to Campaigns tab"))</f>
        <v/>
      </c>
      <c r="I4105" s="84" t="str">
        <f aca="false">IF(C4105="","",C4105*IF(Settings!$B$23=Settings!$C$6,1,IF(Settings!$B$23="USD",1/INDEX(Settings!$B$29:$B$40,MONTH(A4105)),INDEX(Settings!$B$29:$B$40,MONTH(A4105)))))</f>
        <v/>
      </c>
    </row>
    <row r="4106" customFormat="false" ht="15" hidden="false" customHeight="false" outlineLevel="0" collapsed="false">
      <c r="H4106" s="0" t="str">
        <f aca="false">IF(B4106="","",IF(COUNTIF(Campaigns!$A$7:$A$300,B4106)&gt;0,"✓","⚠ add to Campaigns tab"))</f>
        <v/>
      </c>
      <c r="I4106" s="84" t="str">
        <f aca="false">IF(C4106="","",C4106*IF(Settings!$B$23=Settings!$C$6,1,IF(Settings!$B$23="USD",1/INDEX(Settings!$B$29:$B$40,MONTH(A4106)),INDEX(Settings!$B$29:$B$40,MONTH(A4106)))))</f>
        <v/>
      </c>
    </row>
    <row r="4107" customFormat="false" ht="15" hidden="false" customHeight="false" outlineLevel="0" collapsed="false">
      <c r="H4107" s="0" t="str">
        <f aca="false">IF(B4107="","",IF(COUNTIF(Campaigns!$A$7:$A$300,B4107)&gt;0,"✓","⚠ add to Campaigns tab"))</f>
        <v/>
      </c>
      <c r="I4107" s="84" t="str">
        <f aca="false">IF(C4107="","",C4107*IF(Settings!$B$23=Settings!$C$6,1,IF(Settings!$B$23="USD",1/INDEX(Settings!$B$29:$B$40,MONTH(A4107)),INDEX(Settings!$B$29:$B$40,MONTH(A4107)))))</f>
        <v/>
      </c>
    </row>
    <row r="4108" customFormat="false" ht="15" hidden="false" customHeight="false" outlineLevel="0" collapsed="false">
      <c r="H4108" s="0" t="str">
        <f aca="false">IF(B4108="","",IF(COUNTIF(Campaigns!$A$7:$A$300,B4108)&gt;0,"✓","⚠ add to Campaigns tab"))</f>
        <v/>
      </c>
      <c r="I4108" s="84" t="str">
        <f aca="false">IF(C4108="","",C4108*IF(Settings!$B$23=Settings!$C$6,1,IF(Settings!$B$23="USD",1/INDEX(Settings!$B$29:$B$40,MONTH(A4108)),INDEX(Settings!$B$29:$B$40,MONTH(A4108)))))</f>
        <v/>
      </c>
    </row>
    <row r="4109" customFormat="false" ht="15" hidden="false" customHeight="false" outlineLevel="0" collapsed="false">
      <c r="H4109" s="0" t="str">
        <f aca="false">IF(B4109="","",IF(COUNTIF(Campaigns!$A$7:$A$300,B4109)&gt;0,"✓","⚠ add to Campaigns tab"))</f>
        <v/>
      </c>
      <c r="I4109" s="84" t="str">
        <f aca="false">IF(C4109="","",C4109*IF(Settings!$B$23=Settings!$C$6,1,IF(Settings!$B$23="USD",1/INDEX(Settings!$B$29:$B$40,MONTH(A4109)),INDEX(Settings!$B$29:$B$40,MONTH(A4109)))))</f>
        <v/>
      </c>
    </row>
    <row r="4110" customFormat="false" ht="15" hidden="false" customHeight="false" outlineLevel="0" collapsed="false">
      <c r="H4110" s="0" t="str">
        <f aca="false">IF(B4110="","",IF(COUNTIF(Campaigns!$A$7:$A$300,B4110)&gt;0,"✓","⚠ add to Campaigns tab"))</f>
        <v/>
      </c>
      <c r="I4110" s="84" t="str">
        <f aca="false">IF(C4110="","",C4110*IF(Settings!$B$23=Settings!$C$6,1,IF(Settings!$B$23="USD",1/INDEX(Settings!$B$29:$B$40,MONTH(A4110)),INDEX(Settings!$B$29:$B$40,MONTH(A4110)))))</f>
        <v/>
      </c>
    </row>
    <row r="4111" customFormat="false" ht="15" hidden="false" customHeight="false" outlineLevel="0" collapsed="false">
      <c r="H4111" s="0" t="str">
        <f aca="false">IF(B4111="","",IF(COUNTIF(Campaigns!$A$7:$A$300,B4111)&gt;0,"✓","⚠ add to Campaigns tab"))</f>
        <v/>
      </c>
      <c r="I4111" s="84" t="str">
        <f aca="false">IF(C4111="","",C4111*IF(Settings!$B$23=Settings!$C$6,1,IF(Settings!$B$23="USD",1/INDEX(Settings!$B$29:$B$40,MONTH(A4111)),INDEX(Settings!$B$29:$B$40,MONTH(A4111)))))</f>
        <v/>
      </c>
    </row>
    <row r="4112" customFormat="false" ht="15" hidden="false" customHeight="false" outlineLevel="0" collapsed="false">
      <c r="H4112" s="0" t="str">
        <f aca="false">IF(B4112="","",IF(COUNTIF(Campaigns!$A$7:$A$300,B4112)&gt;0,"✓","⚠ add to Campaigns tab"))</f>
        <v/>
      </c>
      <c r="I4112" s="84" t="str">
        <f aca="false">IF(C4112="","",C4112*IF(Settings!$B$23=Settings!$C$6,1,IF(Settings!$B$23="USD",1/INDEX(Settings!$B$29:$B$40,MONTH(A4112)),INDEX(Settings!$B$29:$B$40,MONTH(A4112)))))</f>
        <v/>
      </c>
    </row>
    <row r="4113" customFormat="false" ht="15" hidden="false" customHeight="false" outlineLevel="0" collapsed="false">
      <c r="H4113" s="0" t="str">
        <f aca="false">IF(B4113="","",IF(COUNTIF(Campaigns!$A$7:$A$300,B4113)&gt;0,"✓","⚠ add to Campaigns tab"))</f>
        <v/>
      </c>
      <c r="I4113" s="84" t="str">
        <f aca="false">IF(C4113="","",C4113*IF(Settings!$B$23=Settings!$C$6,1,IF(Settings!$B$23="USD",1/INDEX(Settings!$B$29:$B$40,MONTH(A4113)),INDEX(Settings!$B$29:$B$40,MONTH(A4113)))))</f>
        <v/>
      </c>
    </row>
    <row r="4114" customFormat="false" ht="15" hidden="false" customHeight="false" outlineLevel="0" collapsed="false">
      <c r="H4114" s="0" t="str">
        <f aca="false">IF(B4114="","",IF(COUNTIF(Campaigns!$A$7:$A$300,B4114)&gt;0,"✓","⚠ add to Campaigns tab"))</f>
        <v/>
      </c>
      <c r="I4114" s="84" t="str">
        <f aca="false">IF(C4114="","",C4114*IF(Settings!$B$23=Settings!$C$6,1,IF(Settings!$B$23="USD",1/INDEX(Settings!$B$29:$B$40,MONTH(A4114)),INDEX(Settings!$B$29:$B$40,MONTH(A4114)))))</f>
        <v/>
      </c>
    </row>
    <row r="4115" customFormat="false" ht="15" hidden="false" customHeight="false" outlineLevel="0" collapsed="false">
      <c r="H4115" s="0" t="str">
        <f aca="false">IF(B4115="","",IF(COUNTIF(Campaigns!$A$7:$A$300,B4115)&gt;0,"✓","⚠ add to Campaigns tab"))</f>
        <v/>
      </c>
      <c r="I4115" s="84" t="str">
        <f aca="false">IF(C4115="","",C4115*IF(Settings!$B$23=Settings!$C$6,1,IF(Settings!$B$23="USD",1/INDEX(Settings!$B$29:$B$40,MONTH(A4115)),INDEX(Settings!$B$29:$B$40,MONTH(A4115)))))</f>
        <v/>
      </c>
    </row>
    <row r="4116" customFormat="false" ht="15" hidden="false" customHeight="false" outlineLevel="0" collapsed="false">
      <c r="H4116" s="0" t="str">
        <f aca="false">IF(B4116="","",IF(COUNTIF(Campaigns!$A$7:$A$300,B4116)&gt;0,"✓","⚠ add to Campaigns tab"))</f>
        <v/>
      </c>
      <c r="I4116" s="84" t="str">
        <f aca="false">IF(C4116="","",C4116*IF(Settings!$B$23=Settings!$C$6,1,IF(Settings!$B$23="USD",1/INDEX(Settings!$B$29:$B$40,MONTH(A4116)),INDEX(Settings!$B$29:$B$40,MONTH(A4116)))))</f>
        <v/>
      </c>
    </row>
    <row r="4117" customFormat="false" ht="15" hidden="false" customHeight="false" outlineLevel="0" collapsed="false">
      <c r="H4117" s="0" t="str">
        <f aca="false">IF(B4117="","",IF(COUNTIF(Campaigns!$A$7:$A$300,B4117)&gt;0,"✓","⚠ add to Campaigns tab"))</f>
        <v/>
      </c>
      <c r="I4117" s="84" t="str">
        <f aca="false">IF(C4117="","",C4117*IF(Settings!$B$23=Settings!$C$6,1,IF(Settings!$B$23="USD",1/INDEX(Settings!$B$29:$B$40,MONTH(A4117)),INDEX(Settings!$B$29:$B$40,MONTH(A4117)))))</f>
        <v/>
      </c>
    </row>
    <row r="4118" customFormat="false" ht="15" hidden="false" customHeight="false" outlineLevel="0" collapsed="false">
      <c r="H4118" s="0" t="str">
        <f aca="false">IF(B4118="","",IF(COUNTIF(Campaigns!$A$7:$A$300,B4118)&gt;0,"✓","⚠ add to Campaigns tab"))</f>
        <v/>
      </c>
      <c r="I4118" s="84" t="str">
        <f aca="false">IF(C4118="","",C4118*IF(Settings!$B$23=Settings!$C$6,1,IF(Settings!$B$23="USD",1/INDEX(Settings!$B$29:$B$40,MONTH(A4118)),INDEX(Settings!$B$29:$B$40,MONTH(A4118)))))</f>
        <v/>
      </c>
    </row>
    <row r="4119" customFormat="false" ht="15" hidden="false" customHeight="false" outlineLevel="0" collapsed="false">
      <c r="H4119" s="0" t="str">
        <f aca="false">IF(B4119="","",IF(COUNTIF(Campaigns!$A$7:$A$300,B4119)&gt;0,"✓","⚠ add to Campaigns tab"))</f>
        <v/>
      </c>
      <c r="I4119" s="84" t="str">
        <f aca="false">IF(C4119="","",C4119*IF(Settings!$B$23=Settings!$C$6,1,IF(Settings!$B$23="USD",1/INDEX(Settings!$B$29:$B$40,MONTH(A4119)),INDEX(Settings!$B$29:$B$40,MONTH(A4119)))))</f>
        <v/>
      </c>
    </row>
    <row r="4120" customFormat="false" ht="15" hidden="false" customHeight="false" outlineLevel="0" collapsed="false">
      <c r="H4120" s="0" t="str">
        <f aca="false">IF(B4120="","",IF(COUNTIF(Campaigns!$A$7:$A$300,B4120)&gt;0,"✓","⚠ add to Campaigns tab"))</f>
        <v/>
      </c>
      <c r="I4120" s="84" t="str">
        <f aca="false">IF(C4120="","",C4120*IF(Settings!$B$23=Settings!$C$6,1,IF(Settings!$B$23="USD",1/INDEX(Settings!$B$29:$B$40,MONTH(A4120)),INDEX(Settings!$B$29:$B$40,MONTH(A4120)))))</f>
        <v/>
      </c>
    </row>
    <row r="4121" customFormat="false" ht="15" hidden="false" customHeight="false" outlineLevel="0" collapsed="false">
      <c r="H4121" s="0" t="str">
        <f aca="false">IF(B4121="","",IF(COUNTIF(Campaigns!$A$7:$A$300,B4121)&gt;0,"✓","⚠ add to Campaigns tab"))</f>
        <v/>
      </c>
      <c r="I4121" s="84" t="str">
        <f aca="false">IF(C4121="","",C4121*IF(Settings!$B$23=Settings!$C$6,1,IF(Settings!$B$23="USD",1/INDEX(Settings!$B$29:$B$40,MONTH(A4121)),INDEX(Settings!$B$29:$B$40,MONTH(A4121)))))</f>
        <v/>
      </c>
    </row>
    <row r="4122" customFormat="false" ht="15" hidden="false" customHeight="false" outlineLevel="0" collapsed="false">
      <c r="H4122" s="0" t="str">
        <f aca="false">IF(B4122="","",IF(COUNTIF(Campaigns!$A$7:$A$300,B4122)&gt;0,"✓","⚠ add to Campaigns tab"))</f>
        <v/>
      </c>
      <c r="I4122" s="84" t="str">
        <f aca="false">IF(C4122="","",C4122*IF(Settings!$B$23=Settings!$C$6,1,IF(Settings!$B$23="USD",1/INDEX(Settings!$B$29:$B$40,MONTH(A4122)),INDEX(Settings!$B$29:$B$40,MONTH(A4122)))))</f>
        <v/>
      </c>
    </row>
    <row r="4123" customFormat="false" ht="15" hidden="false" customHeight="false" outlineLevel="0" collapsed="false">
      <c r="H4123" s="0" t="str">
        <f aca="false">IF(B4123="","",IF(COUNTIF(Campaigns!$A$7:$A$300,B4123)&gt;0,"✓","⚠ add to Campaigns tab"))</f>
        <v/>
      </c>
      <c r="I4123" s="84" t="str">
        <f aca="false">IF(C4123="","",C4123*IF(Settings!$B$23=Settings!$C$6,1,IF(Settings!$B$23="USD",1/INDEX(Settings!$B$29:$B$40,MONTH(A4123)),INDEX(Settings!$B$29:$B$40,MONTH(A4123)))))</f>
        <v/>
      </c>
    </row>
    <row r="4124" customFormat="false" ht="15" hidden="false" customHeight="false" outlineLevel="0" collapsed="false">
      <c r="H4124" s="0" t="str">
        <f aca="false">IF(B4124="","",IF(COUNTIF(Campaigns!$A$7:$A$300,B4124)&gt;0,"✓","⚠ add to Campaigns tab"))</f>
        <v/>
      </c>
      <c r="I4124" s="84" t="str">
        <f aca="false">IF(C4124="","",C4124*IF(Settings!$B$23=Settings!$C$6,1,IF(Settings!$B$23="USD",1/INDEX(Settings!$B$29:$B$40,MONTH(A4124)),INDEX(Settings!$B$29:$B$40,MONTH(A4124)))))</f>
        <v/>
      </c>
    </row>
    <row r="4125" customFormat="false" ht="15" hidden="false" customHeight="false" outlineLevel="0" collapsed="false">
      <c r="H4125" s="0" t="str">
        <f aca="false">IF(B4125="","",IF(COUNTIF(Campaigns!$A$7:$A$300,B4125)&gt;0,"✓","⚠ add to Campaigns tab"))</f>
        <v/>
      </c>
      <c r="I4125" s="84" t="str">
        <f aca="false">IF(C4125="","",C4125*IF(Settings!$B$23=Settings!$C$6,1,IF(Settings!$B$23="USD",1/INDEX(Settings!$B$29:$B$40,MONTH(A4125)),INDEX(Settings!$B$29:$B$40,MONTH(A4125)))))</f>
        <v/>
      </c>
    </row>
    <row r="4126" customFormat="false" ht="15" hidden="false" customHeight="false" outlineLevel="0" collapsed="false">
      <c r="H4126" s="0" t="str">
        <f aca="false">IF(B4126="","",IF(COUNTIF(Campaigns!$A$7:$A$300,B4126)&gt;0,"✓","⚠ add to Campaigns tab"))</f>
        <v/>
      </c>
      <c r="I4126" s="84" t="str">
        <f aca="false">IF(C4126="","",C4126*IF(Settings!$B$23=Settings!$C$6,1,IF(Settings!$B$23="USD",1/INDEX(Settings!$B$29:$B$40,MONTH(A4126)),INDEX(Settings!$B$29:$B$40,MONTH(A4126)))))</f>
        <v/>
      </c>
    </row>
    <row r="4127" customFormat="false" ht="15" hidden="false" customHeight="false" outlineLevel="0" collapsed="false">
      <c r="H4127" s="0" t="str">
        <f aca="false">IF(B4127="","",IF(COUNTIF(Campaigns!$A$7:$A$300,B4127)&gt;0,"✓","⚠ add to Campaigns tab"))</f>
        <v/>
      </c>
      <c r="I4127" s="84" t="str">
        <f aca="false">IF(C4127="","",C4127*IF(Settings!$B$23=Settings!$C$6,1,IF(Settings!$B$23="USD",1/INDEX(Settings!$B$29:$B$40,MONTH(A4127)),INDEX(Settings!$B$29:$B$40,MONTH(A4127)))))</f>
        <v/>
      </c>
    </row>
    <row r="4128" customFormat="false" ht="15" hidden="false" customHeight="false" outlineLevel="0" collapsed="false">
      <c r="H4128" s="0" t="str">
        <f aca="false">IF(B4128="","",IF(COUNTIF(Campaigns!$A$7:$A$300,B4128)&gt;0,"✓","⚠ add to Campaigns tab"))</f>
        <v/>
      </c>
      <c r="I4128" s="84" t="str">
        <f aca="false">IF(C4128="","",C4128*IF(Settings!$B$23=Settings!$C$6,1,IF(Settings!$B$23="USD",1/INDEX(Settings!$B$29:$B$40,MONTH(A4128)),INDEX(Settings!$B$29:$B$40,MONTH(A4128)))))</f>
        <v/>
      </c>
    </row>
    <row r="4129" customFormat="false" ht="15" hidden="false" customHeight="false" outlineLevel="0" collapsed="false">
      <c r="H4129" s="0" t="str">
        <f aca="false">IF(B4129="","",IF(COUNTIF(Campaigns!$A$7:$A$300,B4129)&gt;0,"✓","⚠ add to Campaigns tab"))</f>
        <v/>
      </c>
      <c r="I4129" s="84" t="str">
        <f aca="false">IF(C4129="","",C4129*IF(Settings!$B$23=Settings!$C$6,1,IF(Settings!$B$23="USD",1/INDEX(Settings!$B$29:$B$40,MONTH(A4129)),INDEX(Settings!$B$29:$B$40,MONTH(A4129)))))</f>
        <v/>
      </c>
    </row>
    <row r="4130" customFormat="false" ht="15" hidden="false" customHeight="false" outlineLevel="0" collapsed="false">
      <c r="H4130" s="0" t="str">
        <f aca="false">IF(B4130="","",IF(COUNTIF(Campaigns!$A$7:$A$300,B4130)&gt;0,"✓","⚠ add to Campaigns tab"))</f>
        <v/>
      </c>
      <c r="I4130" s="84" t="str">
        <f aca="false">IF(C4130="","",C4130*IF(Settings!$B$23=Settings!$C$6,1,IF(Settings!$B$23="USD",1/INDEX(Settings!$B$29:$B$40,MONTH(A4130)),INDEX(Settings!$B$29:$B$40,MONTH(A4130)))))</f>
        <v/>
      </c>
    </row>
    <row r="4131" customFormat="false" ht="15" hidden="false" customHeight="false" outlineLevel="0" collapsed="false">
      <c r="H4131" s="0" t="str">
        <f aca="false">IF(B4131="","",IF(COUNTIF(Campaigns!$A$7:$A$300,B4131)&gt;0,"✓","⚠ add to Campaigns tab"))</f>
        <v/>
      </c>
      <c r="I4131" s="84" t="str">
        <f aca="false">IF(C4131="","",C4131*IF(Settings!$B$23=Settings!$C$6,1,IF(Settings!$B$23="USD",1/INDEX(Settings!$B$29:$B$40,MONTH(A4131)),INDEX(Settings!$B$29:$B$40,MONTH(A4131)))))</f>
        <v/>
      </c>
    </row>
    <row r="4132" customFormat="false" ht="15" hidden="false" customHeight="false" outlineLevel="0" collapsed="false">
      <c r="H4132" s="0" t="str">
        <f aca="false">IF(B4132="","",IF(COUNTIF(Campaigns!$A$7:$A$300,B4132)&gt;0,"✓","⚠ add to Campaigns tab"))</f>
        <v/>
      </c>
      <c r="I4132" s="84" t="str">
        <f aca="false">IF(C4132="","",C4132*IF(Settings!$B$23=Settings!$C$6,1,IF(Settings!$B$23="USD",1/INDEX(Settings!$B$29:$B$40,MONTH(A4132)),INDEX(Settings!$B$29:$B$40,MONTH(A4132)))))</f>
        <v/>
      </c>
    </row>
    <row r="4133" customFormat="false" ht="15" hidden="false" customHeight="false" outlineLevel="0" collapsed="false">
      <c r="H4133" s="0" t="str">
        <f aca="false">IF(B4133="","",IF(COUNTIF(Campaigns!$A$7:$A$300,B4133)&gt;0,"✓","⚠ add to Campaigns tab"))</f>
        <v/>
      </c>
      <c r="I4133" s="84" t="str">
        <f aca="false">IF(C4133="","",C4133*IF(Settings!$B$23=Settings!$C$6,1,IF(Settings!$B$23="USD",1/INDEX(Settings!$B$29:$B$40,MONTH(A4133)),INDEX(Settings!$B$29:$B$40,MONTH(A4133)))))</f>
        <v/>
      </c>
    </row>
    <row r="4134" customFormat="false" ht="15" hidden="false" customHeight="false" outlineLevel="0" collapsed="false">
      <c r="H4134" s="0" t="str">
        <f aca="false">IF(B4134="","",IF(COUNTIF(Campaigns!$A$7:$A$300,B4134)&gt;0,"✓","⚠ add to Campaigns tab"))</f>
        <v/>
      </c>
      <c r="I4134" s="84" t="str">
        <f aca="false">IF(C4134="","",C4134*IF(Settings!$B$23=Settings!$C$6,1,IF(Settings!$B$23="USD",1/INDEX(Settings!$B$29:$B$40,MONTH(A4134)),INDEX(Settings!$B$29:$B$40,MONTH(A4134)))))</f>
        <v/>
      </c>
    </row>
    <row r="4135" customFormat="false" ht="15" hidden="false" customHeight="false" outlineLevel="0" collapsed="false">
      <c r="H4135" s="0" t="str">
        <f aca="false">IF(B4135="","",IF(COUNTIF(Campaigns!$A$7:$A$300,B4135)&gt;0,"✓","⚠ add to Campaigns tab"))</f>
        <v/>
      </c>
      <c r="I4135" s="84" t="str">
        <f aca="false">IF(C4135="","",C4135*IF(Settings!$B$23=Settings!$C$6,1,IF(Settings!$B$23="USD",1/INDEX(Settings!$B$29:$B$40,MONTH(A4135)),INDEX(Settings!$B$29:$B$40,MONTH(A4135)))))</f>
        <v/>
      </c>
    </row>
    <row r="4136" customFormat="false" ht="15" hidden="false" customHeight="false" outlineLevel="0" collapsed="false">
      <c r="H4136" s="0" t="str">
        <f aca="false">IF(B4136="","",IF(COUNTIF(Campaigns!$A$7:$A$300,B4136)&gt;0,"✓","⚠ add to Campaigns tab"))</f>
        <v/>
      </c>
      <c r="I4136" s="84" t="str">
        <f aca="false">IF(C4136="","",C4136*IF(Settings!$B$23=Settings!$C$6,1,IF(Settings!$B$23="USD",1/INDEX(Settings!$B$29:$B$40,MONTH(A4136)),INDEX(Settings!$B$29:$B$40,MONTH(A4136)))))</f>
        <v/>
      </c>
    </row>
    <row r="4137" customFormat="false" ht="15" hidden="false" customHeight="false" outlineLevel="0" collapsed="false">
      <c r="H4137" s="0" t="str">
        <f aca="false">IF(B4137="","",IF(COUNTIF(Campaigns!$A$7:$A$300,B4137)&gt;0,"✓","⚠ add to Campaigns tab"))</f>
        <v/>
      </c>
      <c r="I4137" s="84" t="str">
        <f aca="false">IF(C4137="","",C4137*IF(Settings!$B$23=Settings!$C$6,1,IF(Settings!$B$23="USD",1/INDEX(Settings!$B$29:$B$40,MONTH(A4137)),INDEX(Settings!$B$29:$B$40,MONTH(A4137)))))</f>
        <v/>
      </c>
    </row>
    <row r="4138" customFormat="false" ht="15" hidden="false" customHeight="false" outlineLevel="0" collapsed="false">
      <c r="H4138" s="0" t="str">
        <f aca="false">IF(B4138="","",IF(COUNTIF(Campaigns!$A$7:$A$300,B4138)&gt;0,"✓","⚠ add to Campaigns tab"))</f>
        <v/>
      </c>
      <c r="I4138" s="84" t="str">
        <f aca="false">IF(C4138="","",C4138*IF(Settings!$B$23=Settings!$C$6,1,IF(Settings!$B$23="USD",1/INDEX(Settings!$B$29:$B$40,MONTH(A4138)),INDEX(Settings!$B$29:$B$40,MONTH(A4138)))))</f>
        <v/>
      </c>
    </row>
    <row r="4139" customFormat="false" ht="15" hidden="false" customHeight="false" outlineLevel="0" collapsed="false">
      <c r="H4139" s="0" t="str">
        <f aca="false">IF(B4139="","",IF(COUNTIF(Campaigns!$A$7:$A$300,B4139)&gt;0,"✓","⚠ add to Campaigns tab"))</f>
        <v/>
      </c>
      <c r="I4139" s="84" t="str">
        <f aca="false">IF(C4139="","",C4139*IF(Settings!$B$23=Settings!$C$6,1,IF(Settings!$B$23="USD",1/INDEX(Settings!$B$29:$B$40,MONTH(A4139)),INDEX(Settings!$B$29:$B$40,MONTH(A4139)))))</f>
        <v/>
      </c>
    </row>
    <row r="4140" customFormat="false" ht="15" hidden="false" customHeight="false" outlineLevel="0" collapsed="false">
      <c r="H4140" s="0" t="str">
        <f aca="false">IF(B4140="","",IF(COUNTIF(Campaigns!$A$7:$A$300,B4140)&gt;0,"✓","⚠ add to Campaigns tab"))</f>
        <v/>
      </c>
      <c r="I4140" s="84" t="str">
        <f aca="false">IF(C4140="","",C4140*IF(Settings!$B$23=Settings!$C$6,1,IF(Settings!$B$23="USD",1/INDEX(Settings!$B$29:$B$40,MONTH(A4140)),INDEX(Settings!$B$29:$B$40,MONTH(A4140)))))</f>
        <v/>
      </c>
    </row>
    <row r="4141" customFormat="false" ht="15" hidden="false" customHeight="false" outlineLevel="0" collapsed="false">
      <c r="H4141" s="0" t="str">
        <f aca="false">IF(B4141="","",IF(COUNTIF(Campaigns!$A$7:$A$300,B4141)&gt;0,"✓","⚠ add to Campaigns tab"))</f>
        <v/>
      </c>
      <c r="I4141" s="84" t="str">
        <f aca="false">IF(C4141="","",C4141*IF(Settings!$B$23=Settings!$C$6,1,IF(Settings!$B$23="USD",1/INDEX(Settings!$B$29:$B$40,MONTH(A4141)),INDEX(Settings!$B$29:$B$40,MONTH(A4141)))))</f>
        <v/>
      </c>
    </row>
    <row r="4142" customFormat="false" ht="15" hidden="false" customHeight="false" outlineLevel="0" collapsed="false">
      <c r="H4142" s="0" t="str">
        <f aca="false">IF(B4142="","",IF(COUNTIF(Campaigns!$A$7:$A$300,B4142)&gt;0,"✓","⚠ add to Campaigns tab"))</f>
        <v/>
      </c>
      <c r="I4142" s="84" t="str">
        <f aca="false">IF(C4142="","",C4142*IF(Settings!$B$23=Settings!$C$6,1,IF(Settings!$B$23="USD",1/INDEX(Settings!$B$29:$B$40,MONTH(A4142)),INDEX(Settings!$B$29:$B$40,MONTH(A4142)))))</f>
        <v/>
      </c>
    </row>
    <row r="4143" customFormat="false" ht="15" hidden="false" customHeight="false" outlineLevel="0" collapsed="false">
      <c r="H4143" s="0" t="str">
        <f aca="false">IF(B4143="","",IF(COUNTIF(Campaigns!$A$7:$A$300,B4143)&gt;0,"✓","⚠ add to Campaigns tab"))</f>
        <v/>
      </c>
      <c r="I4143" s="84" t="str">
        <f aca="false">IF(C4143="","",C4143*IF(Settings!$B$23=Settings!$C$6,1,IF(Settings!$B$23="USD",1/INDEX(Settings!$B$29:$B$40,MONTH(A4143)),INDEX(Settings!$B$29:$B$40,MONTH(A4143)))))</f>
        <v/>
      </c>
    </row>
    <row r="4144" customFormat="false" ht="15" hidden="false" customHeight="false" outlineLevel="0" collapsed="false">
      <c r="H4144" s="0" t="str">
        <f aca="false">IF(B4144="","",IF(COUNTIF(Campaigns!$A$7:$A$300,B4144)&gt;0,"✓","⚠ add to Campaigns tab"))</f>
        <v/>
      </c>
      <c r="I4144" s="84" t="str">
        <f aca="false">IF(C4144="","",C4144*IF(Settings!$B$23=Settings!$C$6,1,IF(Settings!$B$23="USD",1/INDEX(Settings!$B$29:$B$40,MONTH(A4144)),INDEX(Settings!$B$29:$B$40,MONTH(A4144)))))</f>
        <v/>
      </c>
    </row>
    <row r="4145" customFormat="false" ht="15" hidden="false" customHeight="false" outlineLevel="0" collapsed="false">
      <c r="H4145" s="0" t="str">
        <f aca="false">IF(B4145="","",IF(COUNTIF(Campaigns!$A$7:$A$300,B4145)&gt;0,"✓","⚠ add to Campaigns tab"))</f>
        <v/>
      </c>
      <c r="I4145" s="84" t="str">
        <f aca="false">IF(C4145="","",C4145*IF(Settings!$B$23=Settings!$C$6,1,IF(Settings!$B$23="USD",1/INDEX(Settings!$B$29:$B$40,MONTH(A4145)),INDEX(Settings!$B$29:$B$40,MONTH(A4145)))))</f>
        <v/>
      </c>
    </row>
    <row r="4146" customFormat="false" ht="15" hidden="false" customHeight="false" outlineLevel="0" collapsed="false">
      <c r="H4146" s="0" t="str">
        <f aca="false">IF(B4146="","",IF(COUNTIF(Campaigns!$A$7:$A$300,B4146)&gt;0,"✓","⚠ add to Campaigns tab"))</f>
        <v/>
      </c>
      <c r="I4146" s="84" t="str">
        <f aca="false">IF(C4146="","",C4146*IF(Settings!$B$23=Settings!$C$6,1,IF(Settings!$B$23="USD",1/INDEX(Settings!$B$29:$B$40,MONTH(A4146)),INDEX(Settings!$B$29:$B$40,MONTH(A4146)))))</f>
        <v/>
      </c>
    </row>
    <row r="4147" customFormat="false" ht="15" hidden="false" customHeight="false" outlineLevel="0" collapsed="false">
      <c r="H4147" s="0" t="str">
        <f aca="false">IF(B4147="","",IF(COUNTIF(Campaigns!$A$7:$A$300,B4147)&gt;0,"✓","⚠ add to Campaigns tab"))</f>
        <v/>
      </c>
      <c r="I4147" s="84" t="str">
        <f aca="false">IF(C4147="","",C4147*IF(Settings!$B$23=Settings!$C$6,1,IF(Settings!$B$23="USD",1/INDEX(Settings!$B$29:$B$40,MONTH(A4147)),INDEX(Settings!$B$29:$B$40,MONTH(A4147)))))</f>
        <v/>
      </c>
    </row>
    <row r="4148" customFormat="false" ht="15" hidden="false" customHeight="false" outlineLevel="0" collapsed="false">
      <c r="H4148" s="0" t="str">
        <f aca="false">IF(B4148="","",IF(COUNTIF(Campaigns!$A$7:$A$300,B4148)&gt;0,"✓","⚠ add to Campaigns tab"))</f>
        <v/>
      </c>
      <c r="I4148" s="84" t="str">
        <f aca="false">IF(C4148="","",C4148*IF(Settings!$B$23=Settings!$C$6,1,IF(Settings!$B$23="USD",1/INDEX(Settings!$B$29:$B$40,MONTH(A4148)),INDEX(Settings!$B$29:$B$40,MONTH(A4148)))))</f>
        <v/>
      </c>
    </row>
    <row r="4149" customFormat="false" ht="15" hidden="false" customHeight="false" outlineLevel="0" collapsed="false">
      <c r="H4149" s="0" t="str">
        <f aca="false">IF(B4149="","",IF(COUNTIF(Campaigns!$A$7:$A$300,B4149)&gt;0,"✓","⚠ add to Campaigns tab"))</f>
        <v/>
      </c>
      <c r="I4149" s="84" t="str">
        <f aca="false">IF(C4149="","",C4149*IF(Settings!$B$23=Settings!$C$6,1,IF(Settings!$B$23="USD",1/INDEX(Settings!$B$29:$B$40,MONTH(A4149)),INDEX(Settings!$B$29:$B$40,MONTH(A4149)))))</f>
        <v/>
      </c>
    </row>
    <row r="4150" customFormat="false" ht="15" hidden="false" customHeight="false" outlineLevel="0" collapsed="false">
      <c r="H4150" s="0" t="str">
        <f aca="false">IF(B4150="","",IF(COUNTIF(Campaigns!$A$7:$A$300,B4150)&gt;0,"✓","⚠ add to Campaigns tab"))</f>
        <v/>
      </c>
      <c r="I4150" s="84" t="str">
        <f aca="false">IF(C4150="","",C4150*IF(Settings!$B$23=Settings!$C$6,1,IF(Settings!$B$23="USD",1/INDEX(Settings!$B$29:$B$40,MONTH(A4150)),INDEX(Settings!$B$29:$B$40,MONTH(A4150)))))</f>
        <v/>
      </c>
    </row>
    <row r="4151" customFormat="false" ht="15" hidden="false" customHeight="false" outlineLevel="0" collapsed="false">
      <c r="H4151" s="0" t="str">
        <f aca="false">IF(B4151="","",IF(COUNTIF(Campaigns!$A$7:$A$300,B4151)&gt;0,"✓","⚠ add to Campaigns tab"))</f>
        <v/>
      </c>
      <c r="I4151" s="84" t="str">
        <f aca="false">IF(C4151="","",C4151*IF(Settings!$B$23=Settings!$C$6,1,IF(Settings!$B$23="USD",1/INDEX(Settings!$B$29:$B$40,MONTH(A4151)),INDEX(Settings!$B$29:$B$40,MONTH(A4151)))))</f>
        <v/>
      </c>
    </row>
    <row r="4152" customFormat="false" ht="15" hidden="false" customHeight="false" outlineLevel="0" collapsed="false">
      <c r="H4152" s="0" t="str">
        <f aca="false">IF(B4152="","",IF(COUNTIF(Campaigns!$A$7:$A$300,B4152)&gt;0,"✓","⚠ add to Campaigns tab"))</f>
        <v/>
      </c>
      <c r="I4152" s="84" t="str">
        <f aca="false">IF(C4152="","",C4152*IF(Settings!$B$23=Settings!$C$6,1,IF(Settings!$B$23="USD",1/INDEX(Settings!$B$29:$B$40,MONTH(A4152)),INDEX(Settings!$B$29:$B$40,MONTH(A4152)))))</f>
        <v/>
      </c>
    </row>
    <row r="4153" customFormat="false" ht="15" hidden="false" customHeight="false" outlineLevel="0" collapsed="false">
      <c r="H4153" s="0" t="str">
        <f aca="false">IF(B4153="","",IF(COUNTIF(Campaigns!$A$7:$A$300,B4153)&gt;0,"✓","⚠ add to Campaigns tab"))</f>
        <v/>
      </c>
      <c r="I4153" s="84" t="str">
        <f aca="false">IF(C4153="","",C4153*IF(Settings!$B$23=Settings!$C$6,1,IF(Settings!$B$23="USD",1/INDEX(Settings!$B$29:$B$40,MONTH(A4153)),INDEX(Settings!$B$29:$B$40,MONTH(A4153)))))</f>
        <v/>
      </c>
    </row>
    <row r="4154" customFormat="false" ht="15" hidden="false" customHeight="false" outlineLevel="0" collapsed="false">
      <c r="H4154" s="0" t="str">
        <f aca="false">IF(B4154="","",IF(COUNTIF(Campaigns!$A$7:$A$300,B4154)&gt;0,"✓","⚠ add to Campaigns tab"))</f>
        <v/>
      </c>
      <c r="I4154" s="84" t="str">
        <f aca="false">IF(C4154="","",C4154*IF(Settings!$B$23=Settings!$C$6,1,IF(Settings!$B$23="USD",1/INDEX(Settings!$B$29:$B$40,MONTH(A4154)),INDEX(Settings!$B$29:$B$40,MONTH(A4154)))))</f>
        <v/>
      </c>
    </row>
    <row r="4155" customFormat="false" ht="15" hidden="false" customHeight="false" outlineLevel="0" collapsed="false">
      <c r="H4155" s="0" t="str">
        <f aca="false">IF(B4155="","",IF(COUNTIF(Campaigns!$A$7:$A$300,B4155)&gt;0,"✓","⚠ add to Campaigns tab"))</f>
        <v/>
      </c>
      <c r="I4155" s="84" t="str">
        <f aca="false">IF(C4155="","",C4155*IF(Settings!$B$23=Settings!$C$6,1,IF(Settings!$B$23="USD",1/INDEX(Settings!$B$29:$B$40,MONTH(A4155)),INDEX(Settings!$B$29:$B$40,MONTH(A4155)))))</f>
        <v/>
      </c>
    </row>
    <row r="4156" customFormat="false" ht="15" hidden="false" customHeight="false" outlineLevel="0" collapsed="false">
      <c r="H4156" s="0" t="str">
        <f aca="false">IF(B4156="","",IF(COUNTIF(Campaigns!$A$7:$A$300,B4156)&gt;0,"✓","⚠ add to Campaigns tab"))</f>
        <v/>
      </c>
      <c r="I4156" s="84" t="str">
        <f aca="false">IF(C4156="","",C4156*IF(Settings!$B$23=Settings!$C$6,1,IF(Settings!$B$23="USD",1/INDEX(Settings!$B$29:$B$40,MONTH(A4156)),INDEX(Settings!$B$29:$B$40,MONTH(A4156)))))</f>
        <v/>
      </c>
    </row>
    <row r="4157" customFormat="false" ht="15" hidden="false" customHeight="false" outlineLevel="0" collapsed="false">
      <c r="H4157" s="0" t="str">
        <f aca="false">IF(B4157="","",IF(COUNTIF(Campaigns!$A$7:$A$300,B4157)&gt;0,"✓","⚠ add to Campaigns tab"))</f>
        <v/>
      </c>
      <c r="I4157" s="84" t="str">
        <f aca="false">IF(C4157="","",C4157*IF(Settings!$B$23=Settings!$C$6,1,IF(Settings!$B$23="USD",1/INDEX(Settings!$B$29:$B$40,MONTH(A4157)),INDEX(Settings!$B$29:$B$40,MONTH(A4157)))))</f>
        <v/>
      </c>
    </row>
    <row r="4158" customFormat="false" ht="15" hidden="false" customHeight="false" outlineLevel="0" collapsed="false">
      <c r="H4158" s="0" t="str">
        <f aca="false">IF(B4158="","",IF(COUNTIF(Campaigns!$A$7:$A$300,B4158)&gt;0,"✓","⚠ add to Campaigns tab"))</f>
        <v/>
      </c>
      <c r="I4158" s="84" t="str">
        <f aca="false">IF(C4158="","",C4158*IF(Settings!$B$23=Settings!$C$6,1,IF(Settings!$B$23="USD",1/INDEX(Settings!$B$29:$B$40,MONTH(A4158)),INDEX(Settings!$B$29:$B$40,MONTH(A4158)))))</f>
        <v/>
      </c>
    </row>
    <row r="4159" customFormat="false" ht="15" hidden="false" customHeight="false" outlineLevel="0" collapsed="false">
      <c r="H4159" s="0" t="str">
        <f aca="false">IF(B4159="","",IF(COUNTIF(Campaigns!$A$7:$A$300,B4159)&gt;0,"✓","⚠ add to Campaigns tab"))</f>
        <v/>
      </c>
      <c r="I4159" s="84" t="str">
        <f aca="false">IF(C4159="","",C4159*IF(Settings!$B$23=Settings!$C$6,1,IF(Settings!$B$23="USD",1/INDEX(Settings!$B$29:$B$40,MONTH(A4159)),INDEX(Settings!$B$29:$B$40,MONTH(A4159)))))</f>
        <v/>
      </c>
    </row>
    <row r="4160" customFormat="false" ht="15" hidden="false" customHeight="false" outlineLevel="0" collapsed="false">
      <c r="H4160" s="0" t="str">
        <f aca="false">IF(B4160="","",IF(COUNTIF(Campaigns!$A$7:$A$300,B4160)&gt;0,"✓","⚠ add to Campaigns tab"))</f>
        <v/>
      </c>
      <c r="I4160" s="84" t="str">
        <f aca="false">IF(C4160="","",C4160*IF(Settings!$B$23=Settings!$C$6,1,IF(Settings!$B$23="USD",1/INDEX(Settings!$B$29:$B$40,MONTH(A4160)),INDEX(Settings!$B$29:$B$40,MONTH(A4160)))))</f>
        <v/>
      </c>
    </row>
    <row r="4161" customFormat="false" ht="15" hidden="false" customHeight="false" outlineLevel="0" collapsed="false">
      <c r="H4161" s="0" t="str">
        <f aca="false">IF(B4161="","",IF(COUNTIF(Campaigns!$A$7:$A$300,B4161)&gt;0,"✓","⚠ add to Campaigns tab"))</f>
        <v/>
      </c>
      <c r="I4161" s="84" t="str">
        <f aca="false">IF(C4161="","",C4161*IF(Settings!$B$23=Settings!$C$6,1,IF(Settings!$B$23="USD",1/INDEX(Settings!$B$29:$B$40,MONTH(A4161)),INDEX(Settings!$B$29:$B$40,MONTH(A4161)))))</f>
        <v/>
      </c>
    </row>
    <row r="4162" customFormat="false" ht="15" hidden="false" customHeight="false" outlineLevel="0" collapsed="false">
      <c r="H4162" s="0" t="str">
        <f aca="false">IF(B4162="","",IF(COUNTIF(Campaigns!$A$7:$A$300,B4162)&gt;0,"✓","⚠ add to Campaigns tab"))</f>
        <v/>
      </c>
      <c r="I4162" s="84" t="str">
        <f aca="false">IF(C4162="","",C4162*IF(Settings!$B$23=Settings!$C$6,1,IF(Settings!$B$23="USD",1/INDEX(Settings!$B$29:$B$40,MONTH(A4162)),INDEX(Settings!$B$29:$B$40,MONTH(A4162)))))</f>
        <v/>
      </c>
    </row>
    <row r="4163" customFormat="false" ht="15" hidden="false" customHeight="false" outlineLevel="0" collapsed="false">
      <c r="H4163" s="0" t="str">
        <f aca="false">IF(B4163="","",IF(COUNTIF(Campaigns!$A$7:$A$300,B4163)&gt;0,"✓","⚠ add to Campaigns tab"))</f>
        <v/>
      </c>
      <c r="I4163" s="84" t="str">
        <f aca="false">IF(C4163="","",C4163*IF(Settings!$B$23=Settings!$C$6,1,IF(Settings!$B$23="USD",1/INDEX(Settings!$B$29:$B$40,MONTH(A4163)),INDEX(Settings!$B$29:$B$40,MONTH(A4163)))))</f>
        <v/>
      </c>
    </row>
    <row r="4164" customFormat="false" ht="15" hidden="false" customHeight="false" outlineLevel="0" collapsed="false">
      <c r="H4164" s="0" t="str">
        <f aca="false">IF(B4164="","",IF(COUNTIF(Campaigns!$A$7:$A$300,B4164)&gt;0,"✓","⚠ add to Campaigns tab"))</f>
        <v/>
      </c>
      <c r="I4164" s="84" t="str">
        <f aca="false">IF(C4164="","",C4164*IF(Settings!$B$23=Settings!$C$6,1,IF(Settings!$B$23="USD",1/INDEX(Settings!$B$29:$B$40,MONTH(A4164)),INDEX(Settings!$B$29:$B$40,MONTH(A4164)))))</f>
        <v/>
      </c>
    </row>
    <row r="4165" customFormat="false" ht="15" hidden="false" customHeight="false" outlineLevel="0" collapsed="false">
      <c r="H4165" s="0" t="str">
        <f aca="false">IF(B4165="","",IF(COUNTIF(Campaigns!$A$7:$A$300,B4165)&gt;0,"✓","⚠ add to Campaigns tab"))</f>
        <v/>
      </c>
      <c r="I4165" s="84" t="str">
        <f aca="false">IF(C4165="","",C4165*IF(Settings!$B$23=Settings!$C$6,1,IF(Settings!$B$23="USD",1/INDEX(Settings!$B$29:$B$40,MONTH(A4165)),INDEX(Settings!$B$29:$B$40,MONTH(A4165)))))</f>
        <v/>
      </c>
    </row>
    <row r="4166" customFormat="false" ht="15" hidden="false" customHeight="false" outlineLevel="0" collapsed="false">
      <c r="H4166" s="0" t="str">
        <f aca="false">IF(B4166="","",IF(COUNTIF(Campaigns!$A$7:$A$300,B4166)&gt;0,"✓","⚠ add to Campaigns tab"))</f>
        <v/>
      </c>
      <c r="I4166" s="84" t="str">
        <f aca="false">IF(C4166="","",C4166*IF(Settings!$B$23=Settings!$C$6,1,IF(Settings!$B$23="USD",1/INDEX(Settings!$B$29:$B$40,MONTH(A4166)),INDEX(Settings!$B$29:$B$40,MONTH(A4166)))))</f>
        <v/>
      </c>
    </row>
    <row r="4167" customFormat="false" ht="15" hidden="false" customHeight="false" outlineLevel="0" collapsed="false">
      <c r="H4167" s="0" t="str">
        <f aca="false">IF(B4167="","",IF(COUNTIF(Campaigns!$A$7:$A$300,B4167)&gt;0,"✓","⚠ add to Campaigns tab"))</f>
        <v/>
      </c>
      <c r="I4167" s="84" t="str">
        <f aca="false">IF(C4167="","",C4167*IF(Settings!$B$23=Settings!$C$6,1,IF(Settings!$B$23="USD",1/INDEX(Settings!$B$29:$B$40,MONTH(A4167)),INDEX(Settings!$B$29:$B$40,MONTH(A4167)))))</f>
        <v/>
      </c>
    </row>
    <row r="4168" customFormat="false" ht="15" hidden="false" customHeight="false" outlineLevel="0" collapsed="false">
      <c r="H4168" s="0" t="str">
        <f aca="false">IF(B4168="","",IF(COUNTIF(Campaigns!$A$7:$A$300,B4168)&gt;0,"✓","⚠ add to Campaigns tab"))</f>
        <v/>
      </c>
      <c r="I4168" s="84" t="str">
        <f aca="false">IF(C4168="","",C4168*IF(Settings!$B$23=Settings!$C$6,1,IF(Settings!$B$23="USD",1/INDEX(Settings!$B$29:$B$40,MONTH(A4168)),INDEX(Settings!$B$29:$B$40,MONTH(A4168)))))</f>
        <v/>
      </c>
    </row>
    <row r="4169" customFormat="false" ht="15" hidden="false" customHeight="false" outlineLevel="0" collapsed="false">
      <c r="H4169" s="0" t="str">
        <f aca="false">IF(B4169="","",IF(COUNTIF(Campaigns!$A$7:$A$300,B4169)&gt;0,"✓","⚠ add to Campaigns tab"))</f>
        <v/>
      </c>
      <c r="I4169" s="84" t="str">
        <f aca="false">IF(C4169="","",C4169*IF(Settings!$B$23=Settings!$C$6,1,IF(Settings!$B$23="USD",1/INDEX(Settings!$B$29:$B$40,MONTH(A4169)),INDEX(Settings!$B$29:$B$40,MONTH(A4169)))))</f>
        <v/>
      </c>
    </row>
    <row r="4170" customFormat="false" ht="15" hidden="false" customHeight="false" outlineLevel="0" collapsed="false">
      <c r="H4170" s="0" t="str">
        <f aca="false">IF(B4170="","",IF(COUNTIF(Campaigns!$A$7:$A$300,B4170)&gt;0,"✓","⚠ add to Campaigns tab"))</f>
        <v/>
      </c>
      <c r="I4170" s="84" t="str">
        <f aca="false">IF(C4170="","",C4170*IF(Settings!$B$23=Settings!$C$6,1,IF(Settings!$B$23="USD",1/INDEX(Settings!$B$29:$B$40,MONTH(A4170)),INDEX(Settings!$B$29:$B$40,MONTH(A4170)))))</f>
        <v/>
      </c>
    </row>
    <row r="4171" customFormat="false" ht="15" hidden="false" customHeight="false" outlineLevel="0" collapsed="false">
      <c r="H4171" s="0" t="str">
        <f aca="false">IF(B4171="","",IF(COUNTIF(Campaigns!$A$7:$A$300,B4171)&gt;0,"✓","⚠ add to Campaigns tab"))</f>
        <v/>
      </c>
      <c r="I4171" s="84" t="str">
        <f aca="false">IF(C4171="","",C4171*IF(Settings!$B$23=Settings!$C$6,1,IF(Settings!$B$23="USD",1/INDEX(Settings!$B$29:$B$40,MONTH(A4171)),INDEX(Settings!$B$29:$B$40,MONTH(A4171)))))</f>
        <v/>
      </c>
    </row>
    <row r="4172" customFormat="false" ht="15" hidden="false" customHeight="false" outlineLevel="0" collapsed="false">
      <c r="H4172" s="0" t="str">
        <f aca="false">IF(B4172="","",IF(COUNTIF(Campaigns!$A$7:$A$300,B4172)&gt;0,"✓","⚠ add to Campaigns tab"))</f>
        <v/>
      </c>
      <c r="I4172" s="84" t="str">
        <f aca="false">IF(C4172="","",C4172*IF(Settings!$B$23=Settings!$C$6,1,IF(Settings!$B$23="USD",1/INDEX(Settings!$B$29:$B$40,MONTH(A4172)),INDEX(Settings!$B$29:$B$40,MONTH(A4172)))))</f>
        <v/>
      </c>
    </row>
    <row r="4173" customFormat="false" ht="15" hidden="false" customHeight="false" outlineLevel="0" collapsed="false">
      <c r="H4173" s="0" t="str">
        <f aca="false">IF(B4173="","",IF(COUNTIF(Campaigns!$A$7:$A$300,B4173)&gt;0,"✓","⚠ add to Campaigns tab"))</f>
        <v/>
      </c>
      <c r="I4173" s="84" t="str">
        <f aca="false">IF(C4173="","",C4173*IF(Settings!$B$23=Settings!$C$6,1,IF(Settings!$B$23="USD",1/INDEX(Settings!$B$29:$B$40,MONTH(A4173)),INDEX(Settings!$B$29:$B$40,MONTH(A4173)))))</f>
        <v/>
      </c>
    </row>
    <row r="4174" customFormat="false" ht="15" hidden="false" customHeight="false" outlineLevel="0" collapsed="false">
      <c r="H4174" s="0" t="str">
        <f aca="false">IF(B4174="","",IF(COUNTIF(Campaigns!$A$7:$A$300,B4174)&gt;0,"✓","⚠ add to Campaigns tab"))</f>
        <v/>
      </c>
      <c r="I4174" s="84" t="str">
        <f aca="false">IF(C4174="","",C4174*IF(Settings!$B$23=Settings!$C$6,1,IF(Settings!$B$23="USD",1/INDEX(Settings!$B$29:$B$40,MONTH(A4174)),INDEX(Settings!$B$29:$B$40,MONTH(A4174)))))</f>
        <v/>
      </c>
    </row>
    <row r="4175" customFormat="false" ht="15" hidden="false" customHeight="false" outlineLevel="0" collapsed="false">
      <c r="H4175" s="0" t="str">
        <f aca="false">IF(B4175="","",IF(COUNTIF(Campaigns!$A$7:$A$300,B4175)&gt;0,"✓","⚠ add to Campaigns tab"))</f>
        <v/>
      </c>
      <c r="I4175" s="84" t="str">
        <f aca="false">IF(C4175="","",C4175*IF(Settings!$B$23=Settings!$C$6,1,IF(Settings!$B$23="USD",1/INDEX(Settings!$B$29:$B$40,MONTH(A4175)),INDEX(Settings!$B$29:$B$40,MONTH(A4175)))))</f>
        <v/>
      </c>
    </row>
    <row r="4176" customFormat="false" ht="15" hidden="false" customHeight="false" outlineLevel="0" collapsed="false">
      <c r="H4176" s="0" t="str">
        <f aca="false">IF(B4176="","",IF(COUNTIF(Campaigns!$A$7:$A$300,B4176)&gt;0,"✓","⚠ add to Campaigns tab"))</f>
        <v/>
      </c>
      <c r="I4176" s="84" t="str">
        <f aca="false">IF(C4176="","",C4176*IF(Settings!$B$23=Settings!$C$6,1,IF(Settings!$B$23="USD",1/INDEX(Settings!$B$29:$B$40,MONTH(A4176)),INDEX(Settings!$B$29:$B$40,MONTH(A4176)))))</f>
        <v/>
      </c>
    </row>
    <row r="4177" customFormat="false" ht="15" hidden="false" customHeight="false" outlineLevel="0" collapsed="false">
      <c r="H4177" s="0" t="str">
        <f aca="false">IF(B4177="","",IF(COUNTIF(Campaigns!$A$7:$A$300,B4177)&gt;0,"✓","⚠ add to Campaigns tab"))</f>
        <v/>
      </c>
      <c r="I4177" s="84" t="str">
        <f aca="false">IF(C4177="","",C4177*IF(Settings!$B$23=Settings!$C$6,1,IF(Settings!$B$23="USD",1/INDEX(Settings!$B$29:$B$40,MONTH(A4177)),INDEX(Settings!$B$29:$B$40,MONTH(A4177)))))</f>
        <v/>
      </c>
    </row>
    <row r="4178" customFormat="false" ht="15" hidden="false" customHeight="false" outlineLevel="0" collapsed="false">
      <c r="H4178" s="0" t="str">
        <f aca="false">IF(B4178="","",IF(COUNTIF(Campaigns!$A$7:$A$300,B4178)&gt;0,"✓","⚠ add to Campaigns tab"))</f>
        <v/>
      </c>
      <c r="I4178" s="84" t="str">
        <f aca="false">IF(C4178="","",C4178*IF(Settings!$B$23=Settings!$C$6,1,IF(Settings!$B$23="USD",1/INDEX(Settings!$B$29:$B$40,MONTH(A4178)),INDEX(Settings!$B$29:$B$40,MONTH(A4178)))))</f>
        <v/>
      </c>
    </row>
    <row r="4179" customFormat="false" ht="15" hidden="false" customHeight="false" outlineLevel="0" collapsed="false">
      <c r="H4179" s="0" t="str">
        <f aca="false">IF(B4179="","",IF(COUNTIF(Campaigns!$A$7:$A$300,B4179)&gt;0,"✓","⚠ add to Campaigns tab"))</f>
        <v/>
      </c>
      <c r="I4179" s="84" t="str">
        <f aca="false">IF(C4179="","",C4179*IF(Settings!$B$23=Settings!$C$6,1,IF(Settings!$B$23="USD",1/INDEX(Settings!$B$29:$B$40,MONTH(A4179)),INDEX(Settings!$B$29:$B$40,MONTH(A4179)))))</f>
        <v/>
      </c>
    </row>
    <row r="4180" customFormat="false" ht="15" hidden="false" customHeight="false" outlineLevel="0" collapsed="false">
      <c r="H4180" s="0" t="str">
        <f aca="false">IF(B4180="","",IF(COUNTIF(Campaigns!$A$7:$A$300,B4180)&gt;0,"✓","⚠ add to Campaigns tab"))</f>
        <v/>
      </c>
      <c r="I4180" s="84" t="str">
        <f aca="false">IF(C4180="","",C4180*IF(Settings!$B$23=Settings!$C$6,1,IF(Settings!$B$23="USD",1/INDEX(Settings!$B$29:$B$40,MONTH(A4180)),INDEX(Settings!$B$29:$B$40,MONTH(A4180)))))</f>
        <v/>
      </c>
    </row>
    <row r="4181" customFormat="false" ht="15" hidden="false" customHeight="false" outlineLevel="0" collapsed="false">
      <c r="H4181" s="0" t="str">
        <f aca="false">IF(B4181="","",IF(COUNTIF(Campaigns!$A$7:$A$300,B4181)&gt;0,"✓","⚠ add to Campaigns tab"))</f>
        <v/>
      </c>
      <c r="I4181" s="84" t="str">
        <f aca="false">IF(C4181="","",C4181*IF(Settings!$B$23=Settings!$C$6,1,IF(Settings!$B$23="USD",1/INDEX(Settings!$B$29:$B$40,MONTH(A4181)),INDEX(Settings!$B$29:$B$40,MONTH(A4181)))))</f>
        <v/>
      </c>
    </row>
    <row r="4182" customFormat="false" ht="15" hidden="false" customHeight="false" outlineLevel="0" collapsed="false">
      <c r="H4182" s="0" t="str">
        <f aca="false">IF(B4182="","",IF(COUNTIF(Campaigns!$A$7:$A$300,B4182)&gt;0,"✓","⚠ add to Campaigns tab"))</f>
        <v/>
      </c>
      <c r="I4182" s="84" t="str">
        <f aca="false">IF(C4182="","",C4182*IF(Settings!$B$23=Settings!$C$6,1,IF(Settings!$B$23="USD",1/INDEX(Settings!$B$29:$B$40,MONTH(A4182)),INDEX(Settings!$B$29:$B$40,MONTH(A4182)))))</f>
        <v/>
      </c>
    </row>
    <row r="4183" customFormat="false" ht="15" hidden="false" customHeight="false" outlineLevel="0" collapsed="false">
      <c r="H4183" s="0" t="str">
        <f aca="false">IF(B4183="","",IF(COUNTIF(Campaigns!$A$7:$A$300,B4183)&gt;0,"✓","⚠ add to Campaigns tab"))</f>
        <v/>
      </c>
      <c r="I4183" s="84" t="str">
        <f aca="false">IF(C4183="","",C4183*IF(Settings!$B$23=Settings!$C$6,1,IF(Settings!$B$23="USD",1/INDEX(Settings!$B$29:$B$40,MONTH(A4183)),INDEX(Settings!$B$29:$B$40,MONTH(A4183)))))</f>
        <v/>
      </c>
    </row>
    <row r="4184" customFormat="false" ht="15" hidden="false" customHeight="false" outlineLevel="0" collapsed="false">
      <c r="H4184" s="0" t="str">
        <f aca="false">IF(B4184="","",IF(COUNTIF(Campaigns!$A$7:$A$300,B4184)&gt;0,"✓","⚠ add to Campaigns tab"))</f>
        <v/>
      </c>
      <c r="I4184" s="84" t="str">
        <f aca="false">IF(C4184="","",C4184*IF(Settings!$B$23=Settings!$C$6,1,IF(Settings!$B$23="USD",1/INDEX(Settings!$B$29:$B$40,MONTH(A4184)),INDEX(Settings!$B$29:$B$40,MONTH(A4184)))))</f>
        <v/>
      </c>
    </row>
    <row r="4185" customFormat="false" ht="15" hidden="false" customHeight="false" outlineLevel="0" collapsed="false">
      <c r="H4185" s="0" t="str">
        <f aca="false">IF(B4185="","",IF(COUNTIF(Campaigns!$A$7:$A$300,B4185)&gt;0,"✓","⚠ add to Campaigns tab"))</f>
        <v/>
      </c>
      <c r="I4185" s="84" t="str">
        <f aca="false">IF(C4185="","",C4185*IF(Settings!$B$23=Settings!$C$6,1,IF(Settings!$B$23="USD",1/INDEX(Settings!$B$29:$B$40,MONTH(A4185)),INDEX(Settings!$B$29:$B$40,MONTH(A4185)))))</f>
        <v/>
      </c>
    </row>
    <row r="4186" customFormat="false" ht="15" hidden="false" customHeight="false" outlineLevel="0" collapsed="false">
      <c r="H4186" s="0" t="str">
        <f aca="false">IF(B4186="","",IF(COUNTIF(Campaigns!$A$7:$A$300,B4186)&gt;0,"✓","⚠ add to Campaigns tab"))</f>
        <v/>
      </c>
      <c r="I4186" s="84" t="str">
        <f aca="false">IF(C4186="","",C4186*IF(Settings!$B$23=Settings!$C$6,1,IF(Settings!$B$23="USD",1/INDEX(Settings!$B$29:$B$40,MONTH(A4186)),INDEX(Settings!$B$29:$B$40,MONTH(A4186)))))</f>
        <v/>
      </c>
    </row>
    <row r="4187" customFormat="false" ht="15" hidden="false" customHeight="false" outlineLevel="0" collapsed="false">
      <c r="H4187" s="0" t="str">
        <f aca="false">IF(B4187="","",IF(COUNTIF(Campaigns!$A$7:$A$300,B4187)&gt;0,"✓","⚠ add to Campaigns tab"))</f>
        <v/>
      </c>
      <c r="I4187" s="84" t="str">
        <f aca="false">IF(C4187="","",C4187*IF(Settings!$B$23=Settings!$C$6,1,IF(Settings!$B$23="USD",1/INDEX(Settings!$B$29:$B$40,MONTH(A4187)),INDEX(Settings!$B$29:$B$40,MONTH(A4187)))))</f>
        <v/>
      </c>
    </row>
    <row r="4188" customFormat="false" ht="15" hidden="false" customHeight="false" outlineLevel="0" collapsed="false">
      <c r="H4188" s="0" t="str">
        <f aca="false">IF(B4188="","",IF(COUNTIF(Campaigns!$A$7:$A$300,B4188)&gt;0,"✓","⚠ add to Campaigns tab"))</f>
        <v/>
      </c>
      <c r="I4188" s="84" t="str">
        <f aca="false">IF(C4188="","",C4188*IF(Settings!$B$23=Settings!$C$6,1,IF(Settings!$B$23="USD",1/INDEX(Settings!$B$29:$B$40,MONTH(A4188)),INDEX(Settings!$B$29:$B$40,MONTH(A4188)))))</f>
        <v/>
      </c>
    </row>
    <row r="4189" customFormat="false" ht="15" hidden="false" customHeight="false" outlineLevel="0" collapsed="false">
      <c r="H4189" s="0" t="str">
        <f aca="false">IF(B4189="","",IF(COUNTIF(Campaigns!$A$7:$A$300,B4189)&gt;0,"✓","⚠ add to Campaigns tab"))</f>
        <v/>
      </c>
      <c r="I4189" s="84" t="str">
        <f aca="false">IF(C4189="","",C4189*IF(Settings!$B$23=Settings!$C$6,1,IF(Settings!$B$23="USD",1/INDEX(Settings!$B$29:$B$40,MONTH(A4189)),INDEX(Settings!$B$29:$B$40,MONTH(A4189)))))</f>
        <v/>
      </c>
    </row>
    <row r="4190" customFormat="false" ht="15" hidden="false" customHeight="false" outlineLevel="0" collapsed="false">
      <c r="H4190" s="0" t="str">
        <f aca="false">IF(B4190="","",IF(COUNTIF(Campaigns!$A$7:$A$300,B4190)&gt;0,"✓","⚠ add to Campaigns tab"))</f>
        <v/>
      </c>
      <c r="I4190" s="84" t="str">
        <f aca="false">IF(C4190="","",C4190*IF(Settings!$B$23=Settings!$C$6,1,IF(Settings!$B$23="USD",1/INDEX(Settings!$B$29:$B$40,MONTH(A4190)),INDEX(Settings!$B$29:$B$40,MONTH(A4190)))))</f>
        <v/>
      </c>
    </row>
    <row r="4191" customFormat="false" ht="15" hidden="false" customHeight="false" outlineLevel="0" collapsed="false">
      <c r="H4191" s="0" t="str">
        <f aca="false">IF(B4191="","",IF(COUNTIF(Campaigns!$A$7:$A$300,B4191)&gt;0,"✓","⚠ add to Campaigns tab"))</f>
        <v/>
      </c>
      <c r="I4191" s="84" t="str">
        <f aca="false">IF(C4191="","",C4191*IF(Settings!$B$23=Settings!$C$6,1,IF(Settings!$B$23="USD",1/INDEX(Settings!$B$29:$B$40,MONTH(A4191)),INDEX(Settings!$B$29:$B$40,MONTH(A4191)))))</f>
        <v/>
      </c>
    </row>
    <row r="4192" customFormat="false" ht="15" hidden="false" customHeight="false" outlineLevel="0" collapsed="false">
      <c r="H4192" s="0" t="str">
        <f aca="false">IF(B4192="","",IF(COUNTIF(Campaigns!$A$7:$A$300,B4192)&gt;0,"✓","⚠ add to Campaigns tab"))</f>
        <v/>
      </c>
      <c r="I4192" s="84" t="str">
        <f aca="false">IF(C4192="","",C4192*IF(Settings!$B$23=Settings!$C$6,1,IF(Settings!$B$23="USD",1/INDEX(Settings!$B$29:$B$40,MONTH(A4192)),INDEX(Settings!$B$29:$B$40,MONTH(A4192)))))</f>
        <v/>
      </c>
    </row>
    <row r="4193" customFormat="false" ht="15" hidden="false" customHeight="false" outlineLevel="0" collapsed="false">
      <c r="H4193" s="0" t="str">
        <f aca="false">IF(B4193="","",IF(COUNTIF(Campaigns!$A$7:$A$300,B4193)&gt;0,"✓","⚠ add to Campaigns tab"))</f>
        <v/>
      </c>
      <c r="I4193" s="84" t="str">
        <f aca="false">IF(C4193="","",C4193*IF(Settings!$B$23=Settings!$C$6,1,IF(Settings!$B$23="USD",1/INDEX(Settings!$B$29:$B$40,MONTH(A4193)),INDEX(Settings!$B$29:$B$40,MONTH(A4193)))))</f>
        <v/>
      </c>
    </row>
    <row r="4194" customFormat="false" ht="15" hidden="false" customHeight="false" outlineLevel="0" collapsed="false">
      <c r="H4194" s="0" t="str">
        <f aca="false">IF(B4194="","",IF(COUNTIF(Campaigns!$A$7:$A$300,B4194)&gt;0,"✓","⚠ add to Campaigns tab"))</f>
        <v/>
      </c>
      <c r="I4194" s="84" t="str">
        <f aca="false">IF(C4194="","",C4194*IF(Settings!$B$23=Settings!$C$6,1,IF(Settings!$B$23="USD",1/INDEX(Settings!$B$29:$B$40,MONTH(A4194)),INDEX(Settings!$B$29:$B$40,MONTH(A4194)))))</f>
        <v/>
      </c>
    </row>
    <row r="4195" customFormat="false" ht="15" hidden="false" customHeight="false" outlineLevel="0" collapsed="false">
      <c r="H4195" s="0" t="str">
        <f aca="false">IF(B4195="","",IF(COUNTIF(Campaigns!$A$7:$A$300,B4195)&gt;0,"✓","⚠ add to Campaigns tab"))</f>
        <v/>
      </c>
      <c r="I4195" s="84" t="str">
        <f aca="false">IF(C4195="","",C4195*IF(Settings!$B$23=Settings!$C$6,1,IF(Settings!$B$23="USD",1/INDEX(Settings!$B$29:$B$40,MONTH(A4195)),INDEX(Settings!$B$29:$B$40,MONTH(A4195)))))</f>
        <v/>
      </c>
    </row>
    <row r="4196" customFormat="false" ht="15" hidden="false" customHeight="false" outlineLevel="0" collapsed="false">
      <c r="H4196" s="0" t="str">
        <f aca="false">IF(B4196="","",IF(COUNTIF(Campaigns!$A$7:$A$300,B4196)&gt;0,"✓","⚠ add to Campaigns tab"))</f>
        <v/>
      </c>
      <c r="I4196" s="84" t="str">
        <f aca="false">IF(C4196="","",C4196*IF(Settings!$B$23=Settings!$C$6,1,IF(Settings!$B$23="USD",1/INDEX(Settings!$B$29:$B$40,MONTH(A4196)),INDEX(Settings!$B$29:$B$40,MONTH(A4196)))))</f>
        <v/>
      </c>
    </row>
    <row r="4197" customFormat="false" ht="15" hidden="false" customHeight="false" outlineLevel="0" collapsed="false">
      <c r="H4197" s="0" t="str">
        <f aca="false">IF(B4197="","",IF(COUNTIF(Campaigns!$A$7:$A$300,B4197)&gt;0,"✓","⚠ add to Campaigns tab"))</f>
        <v/>
      </c>
      <c r="I4197" s="84" t="str">
        <f aca="false">IF(C4197="","",C4197*IF(Settings!$B$23=Settings!$C$6,1,IF(Settings!$B$23="USD",1/INDEX(Settings!$B$29:$B$40,MONTH(A4197)),INDEX(Settings!$B$29:$B$40,MONTH(A4197)))))</f>
        <v/>
      </c>
    </row>
    <row r="4198" customFormat="false" ht="15" hidden="false" customHeight="false" outlineLevel="0" collapsed="false">
      <c r="H4198" s="0" t="str">
        <f aca="false">IF(B4198="","",IF(COUNTIF(Campaigns!$A$7:$A$300,B4198)&gt;0,"✓","⚠ add to Campaigns tab"))</f>
        <v/>
      </c>
      <c r="I4198" s="84" t="str">
        <f aca="false">IF(C4198="","",C4198*IF(Settings!$B$23=Settings!$C$6,1,IF(Settings!$B$23="USD",1/INDEX(Settings!$B$29:$B$40,MONTH(A4198)),INDEX(Settings!$B$29:$B$40,MONTH(A4198)))))</f>
        <v/>
      </c>
    </row>
    <row r="4199" customFormat="false" ht="15" hidden="false" customHeight="false" outlineLevel="0" collapsed="false">
      <c r="H4199" s="0" t="str">
        <f aca="false">IF(B4199="","",IF(COUNTIF(Campaigns!$A$7:$A$300,B4199)&gt;0,"✓","⚠ add to Campaigns tab"))</f>
        <v/>
      </c>
      <c r="I4199" s="84" t="str">
        <f aca="false">IF(C4199="","",C4199*IF(Settings!$B$23=Settings!$C$6,1,IF(Settings!$B$23="USD",1/INDEX(Settings!$B$29:$B$40,MONTH(A4199)),INDEX(Settings!$B$29:$B$40,MONTH(A4199)))))</f>
        <v/>
      </c>
    </row>
    <row r="4200" customFormat="false" ht="15" hidden="false" customHeight="false" outlineLevel="0" collapsed="false">
      <c r="H4200" s="0" t="str">
        <f aca="false">IF(B4200="","",IF(COUNTIF(Campaigns!$A$7:$A$300,B4200)&gt;0,"✓","⚠ add to Campaigns tab"))</f>
        <v/>
      </c>
      <c r="I4200" s="84" t="str">
        <f aca="false">IF(C4200="","",C4200*IF(Settings!$B$23=Settings!$C$6,1,IF(Settings!$B$23="USD",1/INDEX(Settings!$B$29:$B$40,MONTH(A4200)),INDEX(Settings!$B$29:$B$40,MONTH(A4200)))))</f>
        <v/>
      </c>
    </row>
    <row r="4201" customFormat="false" ht="15" hidden="false" customHeight="false" outlineLevel="0" collapsed="false">
      <c r="H4201" s="0" t="str">
        <f aca="false">IF(B4201="","",IF(COUNTIF(Campaigns!$A$7:$A$300,B4201)&gt;0,"✓","⚠ add to Campaigns tab"))</f>
        <v/>
      </c>
      <c r="I4201" s="84" t="str">
        <f aca="false">IF(C4201="","",C4201*IF(Settings!$B$23=Settings!$C$6,1,IF(Settings!$B$23="USD",1/INDEX(Settings!$B$29:$B$40,MONTH(A4201)),INDEX(Settings!$B$29:$B$40,MONTH(A4201)))))</f>
        <v/>
      </c>
    </row>
    <row r="4202" customFormat="false" ht="15" hidden="false" customHeight="false" outlineLevel="0" collapsed="false">
      <c r="H4202" s="0" t="str">
        <f aca="false">IF(B4202="","",IF(COUNTIF(Campaigns!$A$7:$A$300,B4202)&gt;0,"✓","⚠ add to Campaigns tab"))</f>
        <v/>
      </c>
      <c r="I4202" s="84" t="str">
        <f aca="false">IF(C4202="","",C4202*IF(Settings!$B$23=Settings!$C$6,1,IF(Settings!$B$23="USD",1/INDEX(Settings!$B$29:$B$40,MONTH(A4202)),INDEX(Settings!$B$29:$B$40,MONTH(A4202)))))</f>
        <v/>
      </c>
    </row>
    <row r="4203" customFormat="false" ht="15" hidden="false" customHeight="false" outlineLevel="0" collapsed="false">
      <c r="H4203" s="0" t="str">
        <f aca="false">IF(B4203="","",IF(COUNTIF(Campaigns!$A$7:$A$300,B4203)&gt;0,"✓","⚠ add to Campaigns tab"))</f>
        <v/>
      </c>
      <c r="I4203" s="84" t="str">
        <f aca="false">IF(C4203="","",C4203*IF(Settings!$B$23=Settings!$C$6,1,IF(Settings!$B$23="USD",1/INDEX(Settings!$B$29:$B$40,MONTH(A4203)),INDEX(Settings!$B$29:$B$40,MONTH(A4203)))))</f>
        <v/>
      </c>
    </row>
    <row r="4204" customFormat="false" ht="15" hidden="false" customHeight="false" outlineLevel="0" collapsed="false">
      <c r="H4204" s="0" t="str">
        <f aca="false">IF(B4204="","",IF(COUNTIF(Campaigns!$A$7:$A$300,B4204)&gt;0,"✓","⚠ add to Campaigns tab"))</f>
        <v/>
      </c>
      <c r="I4204" s="84" t="str">
        <f aca="false">IF(C4204="","",C4204*IF(Settings!$B$23=Settings!$C$6,1,IF(Settings!$B$23="USD",1/INDEX(Settings!$B$29:$B$40,MONTH(A4204)),INDEX(Settings!$B$29:$B$40,MONTH(A4204)))))</f>
        <v/>
      </c>
    </row>
    <row r="4205" customFormat="false" ht="15" hidden="false" customHeight="false" outlineLevel="0" collapsed="false">
      <c r="H4205" s="0" t="str">
        <f aca="false">IF(B4205="","",IF(COUNTIF(Campaigns!$A$7:$A$300,B4205)&gt;0,"✓","⚠ add to Campaigns tab"))</f>
        <v/>
      </c>
      <c r="I4205" s="84" t="str">
        <f aca="false">IF(C4205="","",C4205*IF(Settings!$B$23=Settings!$C$6,1,IF(Settings!$B$23="USD",1/INDEX(Settings!$B$29:$B$40,MONTH(A4205)),INDEX(Settings!$B$29:$B$40,MONTH(A4205)))))</f>
        <v/>
      </c>
    </row>
    <row r="4206" customFormat="false" ht="15" hidden="false" customHeight="false" outlineLevel="0" collapsed="false">
      <c r="H4206" s="0" t="str">
        <f aca="false">IF(B4206="","",IF(COUNTIF(Campaigns!$A$7:$A$300,B4206)&gt;0,"✓","⚠ add to Campaigns tab"))</f>
        <v/>
      </c>
      <c r="I4206" s="84" t="str">
        <f aca="false">IF(C4206="","",C4206*IF(Settings!$B$23=Settings!$C$6,1,IF(Settings!$B$23="USD",1/INDEX(Settings!$B$29:$B$40,MONTH(A4206)),INDEX(Settings!$B$29:$B$40,MONTH(A4206)))))</f>
        <v/>
      </c>
    </row>
    <row r="4207" customFormat="false" ht="15" hidden="false" customHeight="false" outlineLevel="0" collapsed="false">
      <c r="H4207" s="0" t="str">
        <f aca="false">IF(B4207="","",IF(COUNTIF(Campaigns!$A$7:$A$300,B4207)&gt;0,"✓","⚠ add to Campaigns tab"))</f>
        <v/>
      </c>
      <c r="I4207" s="84" t="str">
        <f aca="false">IF(C4207="","",C4207*IF(Settings!$B$23=Settings!$C$6,1,IF(Settings!$B$23="USD",1/INDEX(Settings!$B$29:$B$40,MONTH(A4207)),INDEX(Settings!$B$29:$B$40,MONTH(A4207)))))</f>
        <v/>
      </c>
    </row>
    <row r="4208" customFormat="false" ht="15" hidden="false" customHeight="false" outlineLevel="0" collapsed="false">
      <c r="H4208" s="0" t="str">
        <f aca="false">IF(B4208="","",IF(COUNTIF(Campaigns!$A$7:$A$300,B4208)&gt;0,"✓","⚠ add to Campaigns tab"))</f>
        <v/>
      </c>
      <c r="I4208" s="84" t="str">
        <f aca="false">IF(C4208="","",C4208*IF(Settings!$B$23=Settings!$C$6,1,IF(Settings!$B$23="USD",1/INDEX(Settings!$B$29:$B$40,MONTH(A4208)),INDEX(Settings!$B$29:$B$40,MONTH(A4208)))))</f>
        <v/>
      </c>
    </row>
    <row r="4209" customFormat="false" ht="15" hidden="false" customHeight="false" outlineLevel="0" collapsed="false">
      <c r="H4209" s="0" t="str">
        <f aca="false">IF(B4209="","",IF(COUNTIF(Campaigns!$A$7:$A$300,B4209)&gt;0,"✓","⚠ add to Campaigns tab"))</f>
        <v/>
      </c>
      <c r="I4209" s="84" t="str">
        <f aca="false">IF(C4209="","",C4209*IF(Settings!$B$23=Settings!$C$6,1,IF(Settings!$B$23="USD",1/INDEX(Settings!$B$29:$B$40,MONTH(A4209)),INDEX(Settings!$B$29:$B$40,MONTH(A4209)))))</f>
        <v/>
      </c>
    </row>
    <row r="4210" customFormat="false" ht="15" hidden="false" customHeight="false" outlineLevel="0" collapsed="false">
      <c r="H4210" s="0" t="str">
        <f aca="false">IF(B4210="","",IF(COUNTIF(Campaigns!$A$7:$A$300,B4210)&gt;0,"✓","⚠ add to Campaigns tab"))</f>
        <v/>
      </c>
      <c r="I4210" s="84" t="str">
        <f aca="false">IF(C4210="","",C4210*IF(Settings!$B$23=Settings!$C$6,1,IF(Settings!$B$23="USD",1/INDEX(Settings!$B$29:$B$40,MONTH(A4210)),INDEX(Settings!$B$29:$B$40,MONTH(A4210)))))</f>
        <v/>
      </c>
    </row>
    <row r="4211" customFormat="false" ht="15" hidden="false" customHeight="false" outlineLevel="0" collapsed="false">
      <c r="H4211" s="0" t="str">
        <f aca="false">IF(B4211="","",IF(COUNTIF(Campaigns!$A$7:$A$300,B4211)&gt;0,"✓","⚠ add to Campaigns tab"))</f>
        <v/>
      </c>
      <c r="I4211" s="84" t="str">
        <f aca="false">IF(C4211="","",C4211*IF(Settings!$B$23=Settings!$C$6,1,IF(Settings!$B$23="USD",1/INDEX(Settings!$B$29:$B$40,MONTH(A4211)),INDEX(Settings!$B$29:$B$40,MONTH(A4211)))))</f>
        <v/>
      </c>
    </row>
    <row r="4212" customFormat="false" ht="15" hidden="false" customHeight="false" outlineLevel="0" collapsed="false">
      <c r="H4212" s="0" t="str">
        <f aca="false">IF(B4212="","",IF(COUNTIF(Campaigns!$A$7:$A$300,B4212)&gt;0,"✓","⚠ add to Campaigns tab"))</f>
        <v/>
      </c>
      <c r="I4212" s="84" t="str">
        <f aca="false">IF(C4212="","",C4212*IF(Settings!$B$23=Settings!$C$6,1,IF(Settings!$B$23="USD",1/INDEX(Settings!$B$29:$B$40,MONTH(A4212)),INDEX(Settings!$B$29:$B$40,MONTH(A4212)))))</f>
        <v/>
      </c>
    </row>
    <row r="4213" customFormat="false" ht="15" hidden="false" customHeight="false" outlineLevel="0" collapsed="false">
      <c r="H4213" s="0" t="str">
        <f aca="false">IF(B4213="","",IF(COUNTIF(Campaigns!$A$7:$A$300,B4213)&gt;0,"✓","⚠ add to Campaigns tab"))</f>
        <v/>
      </c>
      <c r="I4213" s="84" t="str">
        <f aca="false">IF(C4213="","",C4213*IF(Settings!$B$23=Settings!$C$6,1,IF(Settings!$B$23="USD",1/INDEX(Settings!$B$29:$B$40,MONTH(A4213)),INDEX(Settings!$B$29:$B$40,MONTH(A4213)))))</f>
        <v/>
      </c>
    </row>
    <row r="4214" customFormat="false" ht="15" hidden="false" customHeight="false" outlineLevel="0" collapsed="false">
      <c r="H4214" s="0" t="str">
        <f aca="false">IF(B4214="","",IF(COUNTIF(Campaigns!$A$7:$A$300,B4214)&gt;0,"✓","⚠ add to Campaigns tab"))</f>
        <v/>
      </c>
      <c r="I4214" s="84" t="str">
        <f aca="false">IF(C4214="","",C4214*IF(Settings!$B$23=Settings!$C$6,1,IF(Settings!$B$23="USD",1/INDEX(Settings!$B$29:$B$40,MONTH(A4214)),INDEX(Settings!$B$29:$B$40,MONTH(A4214)))))</f>
        <v/>
      </c>
    </row>
    <row r="4215" customFormat="false" ht="15" hidden="false" customHeight="false" outlineLevel="0" collapsed="false">
      <c r="H4215" s="0" t="str">
        <f aca="false">IF(B4215="","",IF(COUNTIF(Campaigns!$A$7:$A$300,B4215)&gt;0,"✓","⚠ add to Campaigns tab"))</f>
        <v/>
      </c>
      <c r="I4215" s="84" t="str">
        <f aca="false">IF(C4215="","",C4215*IF(Settings!$B$23=Settings!$C$6,1,IF(Settings!$B$23="USD",1/INDEX(Settings!$B$29:$B$40,MONTH(A4215)),INDEX(Settings!$B$29:$B$40,MONTH(A4215)))))</f>
        <v/>
      </c>
    </row>
    <row r="4216" customFormat="false" ht="15" hidden="false" customHeight="false" outlineLevel="0" collapsed="false">
      <c r="H4216" s="0" t="str">
        <f aca="false">IF(B4216="","",IF(COUNTIF(Campaigns!$A$7:$A$300,B4216)&gt;0,"✓","⚠ add to Campaigns tab"))</f>
        <v/>
      </c>
      <c r="I4216" s="84" t="str">
        <f aca="false">IF(C4216="","",C4216*IF(Settings!$B$23=Settings!$C$6,1,IF(Settings!$B$23="USD",1/INDEX(Settings!$B$29:$B$40,MONTH(A4216)),INDEX(Settings!$B$29:$B$40,MONTH(A4216)))))</f>
        <v/>
      </c>
    </row>
    <row r="4217" customFormat="false" ht="15" hidden="false" customHeight="false" outlineLevel="0" collapsed="false">
      <c r="H4217" s="0" t="str">
        <f aca="false">IF(B4217="","",IF(COUNTIF(Campaigns!$A$7:$A$300,B4217)&gt;0,"✓","⚠ add to Campaigns tab"))</f>
        <v/>
      </c>
      <c r="I4217" s="84" t="str">
        <f aca="false">IF(C4217="","",C4217*IF(Settings!$B$23=Settings!$C$6,1,IF(Settings!$B$23="USD",1/INDEX(Settings!$B$29:$B$40,MONTH(A4217)),INDEX(Settings!$B$29:$B$40,MONTH(A4217)))))</f>
        <v/>
      </c>
    </row>
    <row r="4218" customFormat="false" ht="15" hidden="false" customHeight="false" outlineLevel="0" collapsed="false">
      <c r="H4218" s="0" t="str">
        <f aca="false">IF(B4218="","",IF(COUNTIF(Campaigns!$A$7:$A$300,B4218)&gt;0,"✓","⚠ add to Campaigns tab"))</f>
        <v/>
      </c>
      <c r="I4218" s="84" t="str">
        <f aca="false">IF(C4218="","",C4218*IF(Settings!$B$23=Settings!$C$6,1,IF(Settings!$B$23="USD",1/INDEX(Settings!$B$29:$B$40,MONTH(A4218)),INDEX(Settings!$B$29:$B$40,MONTH(A4218)))))</f>
        <v/>
      </c>
    </row>
    <row r="4219" customFormat="false" ht="15" hidden="false" customHeight="false" outlineLevel="0" collapsed="false">
      <c r="H4219" s="0" t="str">
        <f aca="false">IF(B4219="","",IF(COUNTIF(Campaigns!$A$7:$A$300,B4219)&gt;0,"✓","⚠ add to Campaigns tab"))</f>
        <v/>
      </c>
      <c r="I4219" s="84" t="str">
        <f aca="false">IF(C4219="","",C4219*IF(Settings!$B$23=Settings!$C$6,1,IF(Settings!$B$23="USD",1/INDEX(Settings!$B$29:$B$40,MONTH(A4219)),INDEX(Settings!$B$29:$B$40,MONTH(A4219)))))</f>
        <v/>
      </c>
    </row>
    <row r="4220" customFormat="false" ht="15" hidden="false" customHeight="false" outlineLevel="0" collapsed="false">
      <c r="H4220" s="0" t="str">
        <f aca="false">IF(B4220="","",IF(COUNTIF(Campaigns!$A$7:$A$300,B4220)&gt;0,"✓","⚠ add to Campaigns tab"))</f>
        <v/>
      </c>
      <c r="I4220" s="84" t="str">
        <f aca="false">IF(C4220="","",C4220*IF(Settings!$B$23=Settings!$C$6,1,IF(Settings!$B$23="USD",1/INDEX(Settings!$B$29:$B$40,MONTH(A4220)),INDEX(Settings!$B$29:$B$40,MONTH(A4220)))))</f>
        <v/>
      </c>
    </row>
    <row r="4221" customFormat="false" ht="15" hidden="false" customHeight="false" outlineLevel="0" collapsed="false">
      <c r="H4221" s="0" t="str">
        <f aca="false">IF(B4221="","",IF(COUNTIF(Campaigns!$A$7:$A$300,B4221)&gt;0,"✓","⚠ add to Campaigns tab"))</f>
        <v/>
      </c>
      <c r="I4221" s="84" t="str">
        <f aca="false">IF(C4221="","",C4221*IF(Settings!$B$23=Settings!$C$6,1,IF(Settings!$B$23="USD",1/INDEX(Settings!$B$29:$B$40,MONTH(A4221)),INDEX(Settings!$B$29:$B$40,MONTH(A4221)))))</f>
        <v/>
      </c>
    </row>
    <row r="4222" customFormat="false" ht="15" hidden="false" customHeight="false" outlineLevel="0" collapsed="false">
      <c r="H4222" s="0" t="str">
        <f aca="false">IF(B4222="","",IF(COUNTIF(Campaigns!$A$7:$A$300,B4222)&gt;0,"✓","⚠ add to Campaigns tab"))</f>
        <v/>
      </c>
      <c r="I4222" s="84" t="str">
        <f aca="false">IF(C4222="","",C4222*IF(Settings!$B$23=Settings!$C$6,1,IF(Settings!$B$23="USD",1/INDEX(Settings!$B$29:$B$40,MONTH(A4222)),INDEX(Settings!$B$29:$B$40,MONTH(A4222)))))</f>
        <v/>
      </c>
    </row>
    <row r="4223" customFormat="false" ht="15" hidden="false" customHeight="false" outlineLevel="0" collapsed="false">
      <c r="H4223" s="0" t="str">
        <f aca="false">IF(B4223="","",IF(COUNTIF(Campaigns!$A$7:$A$300,B4223)&gt;0,"✓","⚠ add to Campaigns tab"))</f>
        <v/>
      </c>
      <c r="I4223" s="84" t="str">
        <f aca="false">IF(C4223="","",C4223*IF(Settings!$B$23=Settings!$C$6,1,IF(Settings!$B$23="USD",1/INDEX(Settings!$B$29:$B$40,MONTH(A4223)),INDEX(Settings!$B$29:$B$40,MONTH(A4223)))))</f>
        <v/>
      </c>
    </row>
    <row r="4224" customFormat="false" ht="15" hidden="false" customHeight="false" outlineLevel="0" collapsed="false">
      <c r="H4224" s="0" t="str">
        <f aca="false">IF(B4224="","",IF(COUNTIF(Campaigns!$A$7:$A$300,B4224)&gt;0,"✓","⚠ add to Campaigns tab"))</f>
        <v/>
      </c>
      <c r="I4224" s="84" t="str">
        <f aca="false">IF(C4224="","",C4224*IF(Settings!$B$23=Settings!$C$6,1,IF(Settings!$B$23="USD",1/INDEX(Settings!$B$29:$B$40,MONTH(A4224)),INDEX(Settings!$B$29:$B$40,MONTH(A4224)))))</f>
        <v/>
      </c>
    </row>
    <row r="4225" customFormat="false" ht="15" hidden="false" customHeight="false" outlineLevel="0" collapsed="false">
      <c r="H4225" s="0" t="str">
        <f aca="false">IF(B4225="","",IF(COUNTIF(Campaigns!$A$7:$A$300,B4225)&gt;0,"✓","⚠ add to Campaigns tab"))</f>
        <v/>
      </c>
      <c r="I4225" s="84" t="str">
        <f aca="false">IF(C4225="","",C4225*IF(Settings!$B$23=Settings!$C$6,1,IF(Settings!$B$23="USD",1/INDEX(Settings!$B$29:$B$40,MONTH(A4225)),INDEX(Settings!$B$29:$B$40,MONTH(A4225)))))</f>
        <v/>
      </c>
    </row>
    <row r="4226" customFormat="false" ht="15" hidden="false" customHeight="false" outlineLevel="0" collapsed="false">
      <c r="H4226" s="0" t="str">
        <f aca="false">IF(B4226="","",IF(COUNTIF(Campaigns!$A$7:$A$300,B4226)&gt;0,"✓","⚠ add to Campaigns tab"))</f>
        <v/>
      </c>
      <c r="I4226" s="84" t="str">
        <f aca="false">IF(C4226="","",C4226*IF(Settings!$B$23=Settings!$C$6,1,IF(Settings!$B$23="USD",1/INDEX(Settings!$B$29:$B$40,MONTH(A4226)),INDEX(Settings!$B$29:$B$40,MONTH(A4226)))))</f>
        <v/>
      </c>
    </row>
    <row r="4227" customFormat="false" ht="15" hidden="false" customHeight="false" outlineLevel="0" collapsed="false">
      <c r="H4227" s="0" t="str">
        <f aca="false">IF(B4227="","",IF(COUNTIF(Campaigns!$A$7:$A$300,B4227)&gt;0,"✓","⚠ add to Campaigns tab"))</f>
        <v/>
      </c>
      <c r="I4227" s="84" t="str">
        <f aca="false">IF(C4227="","",C4227*IF(Settings!$B$23=Settings!$C$6,1,IF(Settings!$B$23="USD",1/INDEX(Settings!$B$29:$B$40,MONTH(A4227)),INDEX(Settings!$B$29:$B$40,MONTH(A4227)))))</f>
        <v/>
      </c>
    </row>
    <row r="4228" customFormat="false" ht="15" hidden="false" customHeight="false" outlineLevel="0" collapsed="false">
      <c r="H4228" s="0" t="str">
        <f aca="false">IF(B4228="","",IF(COUNTIF(Campaigns!$A$7:$A$300,B4228)&gt;0,"✓","⚠ add to Campaigns tab"))</f>
        <v/>
      </c>
      <c r="I4228" s="84" t="str">
        <f aca="false">IF(C4228="","",C4228*IF(Settings!$B$23=Settings!$C$6,1,IF(Settings!$B$23="USD",1/INDEX(Settings!$B$29:$B$40,MONTH(A4228)),INDEX(Settings!$B$29:$B$40,MONTH(A4228)))))</f>
        <v/>
      </c>
    </row>
    <row r="4229" customFormat="false" ht="15" hidden="false" customHeight="false" outlineLevel="0" collapsed="false">
      <c r="H4229" s="0" t="str">
        <f aca="false">IF(B4229="","",IF(COUNTIF(Campaigns!$A$7:$A$300,B4229)&gt;0,"✓","⚠ add to Campaigns tab"))</f>
        <v/>
      </c>
      <c r="I4229" s="84" t="str">
        <f aca="false">IF(C4229="","",C4229*IF(Settings!$B$23=Settings!$C$6,1,IF(Settings!$B$23="USD",1/INDEX(Settings!$B$29:$B$40,MONTH(A4229)),INDEX(Settings!$B$29:$B$40,MONTH(A4229)))))</f>
        <v/>
      </c>
    </row>
    <row r="4230" customFormat="false" ht="15" hidden="false" customHeight="false" outlineLevel="0" collapsed="false">
      <c r="H4230" s="0" t="str">
        <f aca="false">IF(B4230="","",IF(COUNTIF(Campaigns!$A$7:$A$300,B4230)&gt;0,"✓","⚠ add to Campaigns tab"))</f>
        <v/>
      </c>
      <c r="I4230" s="84" t="str">
        <f aca="false">IF(C4230="","",C4230*IF(Settings!$B$23=Settings!$C$6,1,IF(Settings!$B$23="USD",1/INDEX(Settings!$B$29:$B$40,MONTH(A4230)),INDEX(Settings!$B$29:$B$40,MONTH(A4230)))))</f>
        <v/>
      </c>
    </row>
    <row r="4231" customFormat="false" ht="15" hidden="false" customHeight="false" outlineLevel="0" collapsed="false">
      <c r="H4231" s="0" t="str">
        <f aca="false">IF(B4231="","",IF(COUNTIF(Campaigns!$A$7:$A$300,B4231)&gt;0,"✓","⚠ add to Campaigns tab"))</f>
        <v/>
      </c>
      <c r="I4231" s="84" t="str">
        <f aca="false">IF(C4231="","",C4231*IF(Settings!$B$23=Settings!$C$6,1,IF(Settings!$B$23="USD",1/INDEX(Settings!$B$29:$B$40,MONTH(A4231)),INDEX(Settings!$B$29:$B$40,MONTH(A4231)))))</f>
        <v/>
      </c>
    </row>
    <row r="4232" customFormat="false" ht="15" hidden="false" customHeight="false" outlineLevel="0" collapsed="false">
      <c r="H4232" s="0" t="str">
        <f aca="false">IF(B4232="","",IF(COUNTIF(Campaigns!$A$7:$A$300,B4232)&gt;0,"✓","⚠ add to Campaigns tab"))</f>
        <v/>
      </c>
      <c r="I4232" s="84" t="str">
        <f aca="false">IF(C4232="","",C4232*IF(Settings!$B$23=Settings!$C$6,1,IF(Settings!$B$23="USD",1/INDEX(Settings!$B$29:$B$40,MONTH(A4232)),INDEX(Settings!$B$29:$B$40,MONTH(A4232)))))</f>
        <v/>
      </c>
    </row>
    <row r="4233" customFormat="false" ht="15" hidden="false" customHeight="false" outlineLevel="0" collapsed="false">
      <c r="H4233" s="0" t="str">
        <f aca="false">IF(B4233="","",IF(COUNTIF(Campaigns!$A$7:$A$300,B4233)&gt;0,"✓","⚠ add to Campaigns tab"))</f>
        <v/>
      </c>
      <c r="I4233" s="84" t="str">
        <f aca="false">IF(C4233="","",C4233*IF(Settings!$B$23=Settings!$C$6,1,IF(Settings!$B$23="USD",1/INDEX(Settings!$B$29:$B$40,MONTH(A4233)),INDEX(Settings!$B$29:$B$40,MONTH(A4233)))))</f>
        <v/>
      </c>
    </row>
    <row r="4234" customFormat="false" ht="15" hidden="false" customHeight="false" outlineLevel="0" collapsed="false">
      <c r="H4234" s="0" t="str">
        <f aca="false">IF(B4234="","",IF(COUNTIF(Campaigns!$A$7:$A$300,B4234)&gt;0,"✓","⚠ add to Campaigns tab"))</f>
        <v/>
      </c>
      <c r="I4234" s="84" t="str">
        <f aca="false">IF(C4234="","",C4234*IF(Settings!$B$23=Settings!$C$6,1,IF(Settings!$B$23="USD",1/INDEX(Settings!$B$29:$B$40,MONTH(A4234)),INDEX(Settings!$B$29:$B$40,MONTH(A4234)))))</f>
        <v/>
      </c>
    </row>
    <row r="4235" customFormat="false" ht="15" hidden="false" customHeight="false" outlineLevel="0" collapsed="false">
      <c r="H4235" s="0" t="str">
        <f aca="false">IF(B4235="","",IF(COUNTIF(Campaigns!$A$7:$A$300,B4235)&gt;0,"✓","⚠ add to Campaigns tab"))</f>
        <v/>
      </c>
      <c r="I4235" s="84" t="str">
        <f aca="false">IF(C4235="","",C4235*IF(Settings!$B$23=Settings!$C$6,1,IF(Settings!$B$23="USD",1/INDEX(Settings!$B$29:$B$40,MONTH(A4235)),INDEX(Settings!$B$29:$B$40,MONTH(A4235)))))</f>
        <v/>
      </c>
    </row>
    <row r="4236" customFormat="false" ht="15" hidden="false" customHeight="false" outlineLevel="0" collapsed="false">
      <c r="H4236" s="0" t="str">
        <f aca="false">IF(B4236="","",IF(COUNTIF(Campaigns!$A$7:$A$300,B4236)&gt;0,"✓","⚠ add to Campaigns tab"))</f>
        <v/>
      </c>
      <c r="I4236" s="84" t="str">
        <f aca="false">IF(C4236="","",C4236*IF(Settings!$B$23=Settings!$C$6,1,IF(Settings!$B$23="USD",1/INDEX(Settings!$B$29:$B$40,MONTH(A4236)),INDEX(Settings!$B$29:$B$40,MONTH(A4236)))))</f>
        <v/>
      </c>
    </row>
    <row r="4237" customFormat="false" ht="15" hidden="false" customHeight="false" outlineLevel="0" collapsed="false">
      <c r="H4237" s="0" t="str">
        <f aca="false">IF(B4237="","",IF(COUNTIF(Campaigns!$A$7:$A$300,B4237)&gt;0,"✓","⚠ add to Campaigns tab"))</f>
        <v/>
      </c>
      <c r="I4237" s="84" t="str">
        <f aca="false">IF(C4237="","",C4237*IF(Settings!$B$23=Settings!$C$6,1,IF(Settings!$B$23="USD",1/INDEX(Settings!$B$29:$B$40,MONTH(A4237)),INDEX(Settings!$B$29:$B$40,MONTH(A4237)))))</f>
        <v/>
      </c>
    </row>
    <row r="4238" customFormat="false" ht="15" hidden="false" customHeight="false" outlineLevel="0" collapsed="false">
      <c r="H4238" s="0" t="str">
        <f aca="false">IF(B4238="","",IF(COUNTIF(Campaigns!$A$7:$A$300,B4238)&gt;0,"✓","⚠ add to Campaigns tab"))</f>
        <v/>
      </c>
      <c r="I4238" s="84" t="str">
        <f aca="false">IF(C4238="","",C4238*IF(Settings!$B$23=Settings!$C$6,1,IF(Settings!$B$23="USD",1/INDEX(Settings!$B$29:$B$40,MONTH(A4238)),INDEX(Settings!$B$29:$B$40,MONTH(A4238)))))</f>
        <v/>
      </c>
    </row>
    <row r="4239" customFormat="false" ht="15" hidden="false" customHeight="false" outlineLevel="0" collapsed="false">
      <c r="H4239" s="0" t="str">
        <f aca="false">IF(B4239="","",IF(COUNTIF(Campaigns!$A$7:$A$300,B4239)&gt;0,"✓","⚠ add to Campaigns tab"))</f>
        <v/>
      </c>
      <c r="I4239" s="84" t="str">
        <f aca="false">IF(C4239="","",C4239*IF(Settings!$B$23=Settings!$C$6,1,IF(Settings!$B$23="USD",1/INDEX(Settings!$B$29:$B$40,MONTH(A4239)),INDEX(Settings!$B$29:$B$40,MONTH(A4239)))))</f>
        <v/>
      </c>
    </row>
    <row r="4240" customFormat="false" ht="15" hidden="false" customHeight="false" outlineLevel="0" collapsed="false">
      <c r="H4240" s="0" t="str">
        <f aca="false">IF(B4240="","",IF(COUNTIF(Campaigns!$A$7:$A$300,B4240)&gt;0,"✓","⚠ add to Campaigns tab"))</f>
        <v/>
      </c>
      <c r="I4240" s="84" t="str">
        <f aca="false">IF(C4240="","",C4240*IF(Settings!$B$23=Settings!$C$6,1,IF(Settings!$B$23="USD",1/INDEX(Settings!$B$29:$B$40,MONTH(A4240)),INDEX(Settings!$B$29:$B$40,MONTH(A4240)))))</f>
        <v/>
      </c>
    </row>
    <row r="4241" customFormat="false" ht="15" hidden="false" customHeight="false" outlineLevel="0" collapsed="false">
      <c r="H4241" s="0" t="str">
        <f aca="false">IF(B4241="","",IF(COUNTIF(Campaigns!$A$7:$A$300,B4241)&gt;0,"✓","⚠ add to Campaigns tab"))</f>
        <v/>
      </c>
      <c r="I4241" s="84" t="str">
        <f aca="false">IF(C4241="","",C4241*IF(Settings!$B$23=Settings!$C$6,1,IF(Settings!$B$23="USD",1/INDEX(Settings!$B$29:$B$40,MONTH(A4241)),INDEX(Settings!$B$29:$B$40,MONTH(A4241)))))</f>
        <v/>
      </c>
    </row>
    <row r="4242" customFormat="false" ht="15" hidden="false" customHeight="false" outlineLevel="0" collapsed="false">
      <c r="H4242" s="0" t="str">
        <f aca="false">IF(B4242="","",IF(COUNTIF(Campaigns!$A$7:$A$300,B4242)&gt;0,"✓","⚠ add to Campaigns tab"))</f>
        <v/>
      </c>
      <c r="I4242" s="84" t="str">
        <f aca="false">IF(C4242="","",C4242*IF(Settings!$B$23=Settings!$C$6,1,IF(Settings!$B$23="USD",1/INDEX(Settings!$B$29:$B$40,MONTH(A4242)),INDEX(Settings!$B$29:$B$40,MONTH(A4242)))))</f>
        <v/>
      </c>
    </row>
    <row r="4243" customFormat="false" ht="15" hidden="false" customHeight="false" outlineLevel="0" collapsed="false">
      <c r="H4243" s="0" t="str">
        <f aca="false">IF(B4243="","",IF(COUNTIF(Campaigns!$A$7:$A$300,B4243)&gt;0,"✓","⚠ add to Campaigns tab"))</f>
        <v/>
      </c>
      <c r="I4243" s="84" t="str">
        <f aca="false">IF(C4243="","",C4243*IF(Settings!$B$23=Settings!$C$6,1,IF(Settings!$B$23="USD",1/INDEX(Settings!$B$29:$B$40,MONTH(A4243)),INDEX(Settings!$B$29:$B$40,MONTH(A4243)))))</f>
        <v/>
      </c>
    </row>
    <row r="4244" customFormat="false" ht="15" hidden="false" customHeight="false" outlineLevel="0" collapsed="false">
      <c r="H4244" s="0" t="str">
        <f aca="false">IF(B4244="","",IF(COUNTIF(Campaigns!$A$7:$A$300,B4244)&gt;0,"✓","⚠ add to Campaigns tab"))</f>
        <v/>
      </c>
      <c r="I4244" s="84" t="str">
        <f aca="false">IF(C4244="","",C4244*IF(Settings!$B$23=Settings!$C$6,1,IF(Settings!$B$23="USD",1/INDEX(Settings!$B$29:$B$40,MONTH(A4244)),INDEX(Settings!$B$29:$B$40,MONTH(A4244)))))</f>
        <v/>
      </c>
    </row>
    <row r="4245" customFormat="false" ht="15" hidden="false" customHeight="false" outlineLevel="0" collapsed="false">
      <c r="H4245" s="0" t="str">
        <f aca="false">IF(B4245="","",IF(COUNTIF(Campaigns!$A$7:$A$300,B4245)&gt;0,"✓","⚠ add to Campaigns tab"))</f>
        <v/>
      </c>
      <c r="I4245" s="84" t="str">
        <f aca="false">IF(C4245="","",C4245*IF(Settings!$B$23=Settings!$C$6,1,IF(Settings!$B$23="USD",1/INDEX(Settings!$B$29:$B$40,MONTH(A4245)),INDEX(Settings!$B$29:$B$40,MONTH(A4245)))))</f>
        <v/>
      </c>
    </row>
    <row r="4246" customFormat="false" ht="15" hidden="false" customHeight="false" outlineLevel="0" collapsed="false">
      <c r="H4246" s="0" t="str">
        <f aca="false">IF(B4246="","",IF(COUNTIF(Campaigns!$A$7:$A$300,B4246)&gt;0,"✓","⚠ add to Campaigns tab"))</f>
        <v/>
      </c>
      <c r="I4246" s="84" t="str">
        <f aca="false">IF(C4246="","",C4246*IF(Settings!$B$23=Settings!$C$6,1,IF(Settings!$B$23="USD",1/INDEX(Settings!$B$29:$B$40,MONTH(A4246)),INDEX(Settings!$B$29:$B$40,MONTH(A4246)))))</f>
        <v/>
      </c>
    </row>
    <row r="4247" customFormat="false" ht="15" hidden="false" customHeight="false" outlineLevel="0" collapsed="false">
      <c r="H4247" s="0" t="str">
        <f aca="false">IF(B4247="","",IF(COUNTIF(Campaigns!$A$7:$A$300,B4247)&gt;0,"✓","⚠ add to Campaigns tab"))</f>
        <v/>
      </c>
      <c r="I4247" s="84" t="str">
        <f aca="false">IF(C4247="","",C4247*IF(Settings!$B$23=Settings!$C$6,1,IF(Settings!$B$23="USD",1/INDEX(Settings!$B$29:$B$40,MONTH(A4247)),INDEX(Settings!$B$29:$B$40,MONTH(A4247)))))</f>
        <v/>
      </c>
    </row>
    <row r="4248" customFormat="false" ht="15" hidden="false" customHeight="false" outlineLevel="0" collapsed="false">
      <c r="H4248" s="0" t="str">
        <f aca="false">IF(B4248="","",IF(COUNTIF(Campaigns!$A$7:$A$300,B4248)&gt;0,"✓","⚠ add to Campaigns tab"))</f>
        <v/>
      </c>
      <c r="I4248" s="84" t="str">
        <f aca="false">IF(C4248="","",C4248*IF(Settings!$B$23=Settings!$C$6,1,IF(Settings!$B$23="USD",1/INDEX(Settings!$B$29:$B$40,MONTH(A4248)),INDEX(Settings!$B$29:$B$40,MONTH(A4248)))))</f>
        <v/>
      </c>
    </row>
    <row r="4249" customFormat="false" ht="15" hidden="false" customHeight="false" outlineLevel="0" collapsed="false">
      <c r="H4249" s="0" t="str">
        <f aca="false">IF(B4249="","",IF(COUNTIF(Campaigns!$A$7:$A$300,B4249)&gt;0,"✓","⚠ add to Campaigns tab"))</f>
        <v/>
      </c>
      <c r="I4249" s="84" t="str">
        <f aca="false">IF(C4249="","",C4249*IF(Settings!$B$23=Settings!$C$6,1,IF(Settings!$B$23="USD",1/INDEX(Settings!$B$29:$B$40,MONTH(A4249)),INDEX(Settings!$B$29:$B$40,MONTH(A4249)))))</f>
        <v/>
      </c>
    </row>
    <row r="4250" customFormat="false" ht="15" hidden="false" customHeight="false" outlineLevel="0" collapsed="false">
      <c r="H4250" s="0" t="str">
        <f aca="false">IF(B4250="","",IF(COUNTIF(Campaigns!$A$7:$A$300,B4250)&gt;0,"✓","⚠ add to Campaigns tab"))</f>
        <v/>
      </c>
      <c r="I4250" s="84" t="str">
        <f aca="false">IF(C4250="","",C4250*IF(Settings!$B$23=Settings!$C$6,1,IF(Settings!$B$23="USD",1/INDEX(Settings!$B$29:$B$40,MONTH(A4250)),INDEX(Settings!$B$29:$B$40,MONTH(A4250)))))</f>
        <v/>
      </c>
    </row>
    <row r="4251" customFormat="false" ht="15" hidden="false" customHeight="false" outlineLevel="0" collapsed="false">
      <c r="H4251" s="0" t="str">
        <f aca="false">IF(B4251="","",IF(COUNTIF(Campaigns!$A$7:$A$300,B4251)&gt;0,"✓","⚠ add to Campaigns tab"))</f>
        <v/>
      </c>
      <c r="I4251" s="84" t="str">
        <f aca="false">IF(C4251="","",C4251*IF(Settings!$B$23=Settings!$C$6,1,IF(Settings!$B$23="USD",1/INDEX(Settings!$B$29:$B$40,MONTH(A4251)),INDEX(Settings!$B$29:$B$40,MONTH(A4251)))))</f>
        <v/>
      </c>
    </row>
    <row r="4252" customFormat="false" ht="15" hidden="false" customHeight="false" outlineLevel="0" collapsed="false">
      <c r="H4252" s="0" t="str">
        <f aca="false">IF(B4252="","",IF(COUNTIF(Campaigns!$A$7:$A$300,B4252)&gt;0,"✓","⚠ add to Campaigns tab"))</f>
        <v/>
      </c>
      <c r="I4252" s="84" t="str">
        <f aca="false">IF(C4252="","",C4252*IF(Settings!$B$23=Settings!$C$6,1,IF(Settings!$B$23="USD",1/INDEX(Settings!$B$29:$B$40,MONTH(A4252)),INDEX(Settings!$B$29:$B$40,MONTH(A4252)))))</f>
        <v/>
      </c>
    </row>
    <row r="4253" customFormat="false" ht="15" hidden="false" customHeight="false" outlineLevel="0" collapsed="false">
      <c r="H4253" s="0" t="str">
        <f aca="false">IF(B4253="","",IF(COUNTIF(Campaigns!$A$7:$A$300,B4253)&gt;0,"✓","⚠ add to Campaigns tab"))</f>
        <v/>
      </c>
      <c r="I4253" s="84" t="str">
        <f aca="false">IF(C4253="","",C4253*IF(Settings!$B$23=Settings!$C$6,1,IF(Settings!$B$23="USD",1/INDEX(Settings!$B$29:$B$40,MONTH(A4253)),INDEX(Settings!$B$29:$B$40,MONTH(A4253)))))</f>
        <v/>
      </c>
    </row>
    <row r="4254" customFormat="false" ht="15" hidden="false" customHeight="false" outlineLevel="0" collapsed="false">
      <c r="H4254" s="0" t="str">
        <f aca="false">IF(B4254="","",IF(COUNTIF(Campaigns!$A$7:$A$300,B4254)&gt;0,"✓","⚠ add to Campaigns tab"))</f>
        <v/>
      </c>
      <c r="I4254" s="84" t="str">
        <f aca="false">IF(C4254="","",C4254*IF(Settings!$B$23=Settings!$C$6,1,IF(Settings!$B$23="USD",1/INDEX(Settings!$B$29:$B$40,MONTH(A4254)),INDEX(Settings!$B$29:$B$40,MONTH(A4254)))))</f>
        <v/>
      </c>
    </row>
    <row r="4255" customFormat="false" ht="15" hidden="false" customHeight="false" outlineLevel="0" collapsed="false">
      <c r="H4255" s="0" t="str">
        <f aca="false">IF(B4255="","",IF(COUNTIF(Campaigns!$A$7:$A$300,B4255)&gt;0,"✓","⚠ add to Campaigns tab"))</f>
        <v/>
      </c>
      <c r="I4255" s="84" t="str">
        <f aca="false">IF(C4255="","",C4255*IF(Settings!$B$23=Settings!$C$6,1,IF(Settings!$B$23="USD",1/INDEX(Settings!$B$29:$B$40,MONTH(A4255)),INDEX(Settings!$B$29:$B$40,MONTH(A4255)))))</f>
        <v/>
      </c>
    </row>
    <row r="4256" customFormat="false" ht="15" hidden="false" customHeight="false" outlineLevel="0" collapsed="false">
      <c r="H4256" s="0" t="str">
        <f aca="false">IF(B4256="","",IF(COUNTIF(Campaigns!$A$7:$A$300,B4256)&gt;0,"✓","⚠ add to Campaigns tab"))</f>
        <v/>
      </c>
      <c r="I4256" s="84" t="str">
        <f aca="false">IF(C4256="","",C4256*IF(Settings!$B$23=Settings!$C$6,1,IF(Settings!$B$23="USD",1/INDEX(Settings!$B$29:$B$40,MONTH(A4256)),INDEX(Settings!$B$29:$B$40,MONTH(A4256)))))</f>
        <v/>
      </c>
    </row>
    <row r="4257" customFormat="false" ht="15" hidden="false" customHeight="false" outlineLevel="0" collapsed="false">
      <c r="H4257" s="0" t="str">
        <f aca="false">IF(B4257="","",IF(COUNTIF(Campaigns!$A$7:$A$300,B4257)&gt;0,"✓","⚠ add to Campaigns tab"))</f>
        <v/>
      </c>
      <c r="I4257" s="84" t="str">
        <f aca="false">IF(C4257="","",C4257*IF(Settings!$B$23=Settings!$C$6,1,IF(Settings!$B$23="USD",1/INDEX(Settings!$B$29:$B$40,MONTH(A4257)),INDEX(Settings!$B$29:$B$40,MONTH(A4257)))))</f>
        <v/>
      </c>
    </row>
    <row r="4258" customFormat="false" ht="15" hidden="false" customHeight="false" outlineLevel="0" collapsed="false">
      <c r="H4258" s="0" t="str">
        <f aca="false">IF(B4258="","",IF(COUNTIF(Campaigns!$A$7:$A$300,B4258)&gt;0,"✓","⚠ add to Campaigns tab"))</f>
        <v/>
      </c>
      <c r="I4258" s="84" t="str">
        <f aca="false">IF(C4258="","",C4258*IF(Settings!$B$23=Settings!$C$6,1,IF(Settings!$B$23="USD",1/INDEX(Settings!$B$29:$B$40,MONTH(A4258)),INDEX(Settings!$B$29:$B$40,MONTH(A4258)))))</f>
        <v/>
      </c>
    </row>
    <row r="4259" customFormat="false" ht="15" hidden="false" customHeight="false" outlineLevel="0" collapsed="false">
      <c r="H4259" s="0" t="str">
        <f aca="false">IF(B4259="","",IF(COUNTIF(Campaigns!$A$7:$A$300,B4259)&gt;0,"✓","⚠ add to Campaigns tab"))</f>
        <v/>
      </c>
      <c r="I4259" s="84" t="str">
        <f aca="false">IF(C4259="","",C4259*IF(Settings!$B$23=Settings!$C$6,1,IF(Settings!$B$23="USD",1/INDEX(Settings!$B$29:$B$40,MONTH(A4259)),INDEX(Settings!$B$29:$B$40,MONTH(A4259)))))</f>
        <v/>
      </c>
    </row>
    <row r="4260" customFormat="false" ht="15" hidden="false" customHeight="false" outlineLevel="0" collapsed="false">
      <c r="H4260" s="0" t="str">
        <f aca="false">IF(B4260="","",IF(COUNTIF(Campaigns!$A$7:$A$300,B4260)&gt;0,"✓","⚠ add to Campaigns tab"))</f>
        <v/>
      </c>
      <c r="I4260" s="84" t="str">
        <f aca="false">IF(C4260="","",C4260*IF(Settings!$B$23=Settings!$C$6,1,IF(Settings!$B$23="USD",1/INDEX(Settings!$B$29:$B$40,MONTH(A4260)),INDEX(Settings!$B$29:$B$40,MONTH(A4260)))))</f>
        <v/>
      </c>
    </row>
    <row r="4261" customFormat="false" ht="15" hidden="false" customHeight="false" outlineLevel="0" collapsed="false">
      <c r="H4261" s="0" t="str">
        <f aca="false">IF(B4261="","",IF(COUNTIF(Campaigns!$A$7:$A$300,B4261)&gt;0,"✓","⚠ add to Campaigns tab"))</f>
        <v/>
      </c>
      <c r="I4261" s="84" t="str">
        <f aca="false">IF(C4261="","",C4261*IF(Settings!$B$23=Settings!$C$6,1,IF(Settings!$B$23="USD",1/INDEX(Settings!$B$29:$B$40,MONTH(A4261)),INDEX(Settings!$B$29:$B$40,MONTH(A4261)))))</f>
        <v/>
      </c>
    </row>
    <row r="4262" customFormat="false" ht="15" hidden="false" customHeight="false" outlineLevel="0" collapsed="false">
      <c r="H4262" s="0" t="str">
        <f aca="false">IF(B4262="","",IF(COUNTIF(Campaigns!$A$7:$A$300,B4262)&gt;0,"✓","⚠ add to Campaigns tab"))</f>
        <v/>
      </c>
      <c r="I4262" s="84" t="str">
        <f aca="false">IF(C4262="","",C4262*IF(Settings!$B$23=Settings!$C$6,1,IF(Settings!$B$23="USD",1/INDEX(Settings!$B$29:$B$40,MONTH(A4262)),INDEX(Settings!$B$29:$B$40,MONTH(A4262)))))</f>
        <v/>
      </c>
    </row>
    <row r="4263" customFormat="false" ht="15" hidden="false" customHeight="false" outlineLevel="0" collapsed="false">
      <c r="H4263" s="0" t="str">
        <f aca="false">IF(B4263="","",IF(COUNTIF(Campaigns!$A$7:$A$300,B4263)&gt;0,"✓","⚠ add to Campaigns tab"))</f>
        <v/>
      </c>
      <c r="I4263" s="84" t="str">
        <f aca="false">IF(C4263="","",C4263*IF(Settings!$B$23=Settings!$C$6,1,IF(Settings!$B$23="USD",1/INDEX(Settings!$B$29:$B$40,MONTH(A4263)),INDEX(Settings!$B$29:$B$40,MONTH(A4263)))))</f>
        <v/>
      </c>
    </row>
    <row r="4264" customFormat="false" ht="15" hidden="false" customHeight="false" outlineLevel="0" collapsed="false">
      <c r="H4264" s="0" t="str">
        <f aca="false">IF(B4264="","",IF(COUNTIF(Campaigns!$A$7:$A$300,B4264)&gt;0,"✓","⚠ add to Campaigns tab"))</f>
        <v/>
      </c>
      <c r="I4264" s="84" t="str">
        <f aca="false">IF(C4264="","",C4264*IF(Settings!$B$23=Settings!$C$6,1,IF(Settings!$B$23="USD",1/INDEX(Settings!$B$29:$B$40,MONTH(A4264)),INDEX(Settings!$B$29:$B$40,MONTH(A4264)))))</f>
        <v/>
      </c>
    </row>
    <row r="4265" customFormat="false" ht="15" hidden="false" customHeight="false" outlineLevel="0" collapsed="false">
      <c r="H4265" s="0" t="str">
        <f aca="false">IF(B4265="","",IF(COUNTIF(Campaigns!$A$7:$A$300,B4265)&gt;0,"✓","⚠ add to Campaigns tab"))</f>
        <v/>
      </c>
      <c r="I4265" s="84" t="str">
        <f aca="false">IF(C4265="","",C4265*IF(Settings!$B$23=Settings!$C$6,1,IF(Settings!$B$23="USD",1/INDEX(Settings!$B$29:$B$40,MONTH(A4265)),INDEX(Settings!$B$29:$B$40,MONTH(A4265)))))</f>
        <v/>
      </c>
    </row>
    <row r="4266" customFormat="false" ht="15" hidden="false" customHeight="false" outlineLevel="0" collapsed="false">
      <c r="H4266" s="0" t="str">
        <f aca="false">IF(B4266="","",IF(COUNTIF(Campaigns!$A$7:$A$300,B4266)&gt;0,"✓","⚠ add to Campaigns tab"))</f>
        <v/>
      </c>
      <c r="I4266" s="84" t="str">
        <f aca="false">IF(C4266="","",C4266*IF(Settings!$B$23=Settings!$C$6,1,IF(Settings!$B$23="USD",1/INDEX(Settings!$B$29:$B$40,MONTH(A4266)),INDEX(Settings!$B$29:$B$40,MONTH(A4266)))))</f>
        <v/>
      </c>
    </row>
    <row r="4267" customFormat="false" ht="15" hidden="false" customHeight="false" outlineLevel="0" collapsed="false">
      <c r="H4267" s="0" t="str">
        <f aca="false">IF(B4267="","",IF(COUNTIF(Campaigns!$A$7:$A$300,B4267)&gt;0,"✓","⚠ add to Campaigns tab"))</f>
        <v/>
      </c>
      <c r="I4267" s="84" t="str">
        <f aca="false">IF(C4267="","",C4267*IF(Settings!$B$23=Settings!$C$6,1,IF(Settings!$B$23="USD",1/INDEX(Settings!$B$29:$B$40,MONTH(A4267)),INDEX(Settings!$B$29:$B$40,MONTH(A4267)))))</f>
        <v/>
      </c>
    </row>
    <row r="4268" customFormat="false" ht="15" hidden="false" customHeight="false" outlineLevel="0" collapsed="false">
      <c r="H4268" s="0" t="str">
        <f aca="false">IF(B4268="","",IF(COUNTIF(Campaigns!$A$7:$A$300,B4268)&gt;0,"✓","⚠ add to Campaigns tab"))</f>
        <v/>
      </c>
      <c r="I4268" s="84" t="str">
        <f aca="false">IF(C4268="","",C4268*IF(Settings!$B$23=Settings!$C$6,1,IF(Settings!$B$23="USD",1/INDEX(Settings!$B$29:$B$40,MONTH(A4268)),INDEX(Settings!$B$29:$B$40,MONTH(A4268)))))</f>
        <v/>
      </c>
    </row>
    <row r="4269" customFormat="false" ht="15" hidden="false" customHeight="false" outlineLevel="0" collapsed="false">
      <c r="H4269" s="0" t="str">
        <f aca="false">IF(B4269="","",IF(COUNTIF(Campaigns!$A$7:$A$300,B4269)&gt;0,"✓","⚠ add to Campaigns tab"))</f>
        <v/>
      </c>
      <c r="I4269" s="84" t="str">
        <f aca="false">IF(C4269="","",C4269*IF(Settings!$B$23=Settings!$C$6,1,IF(Settings!$B$23="USD",1/INDEX(Settings!$B$29:$B$40,MONTH(A4269)),INDEX(Settings!$B$29:$B$40,MONTH(A4269)))))</f>
        <v/>
      </c>
    </row>
    <row r="4270" customFormat="false" ht="15" hidden="false" customHeight="false" outlineLevel="0" collapsed="false">
      <c r="H4270" s="0" t="str">
        <f aca="false">IF(B4270="","",IF(COUNTIF(Campaigns!$A$7:$A$300,B4270)&gt;0,"✓","⚠ add to Campaigns tab"))</f>
        <v/>
      </c>
      <c r="I4270" s="84" t="str">
        <f aca="false">IF(C4270="","",C4270*IF(Settings!$B$23=Settings!$C$6,1,IF(Settings!$B$23="USD",1/INDEX(Settings!$B$29:$B$40,MONTH(A4270)),INDEX(Settings!$B$29:$B$40,MONTH(A4270)))))</f>
        <v/>
      </c>
    </row>
    <row r="4271" customFormat="false" ht="15" hidden="false" customHeight="false" outlineLevel="0" collapsed="false">
      <c r="H4271" s="0" t="str">
        <f aca="false">IF(B4271="","",IF(COUNTIF(Campaigns!$A$7:$A$300,B4271)&gt;0,"✓","⚠ add to Campaigns tab"))</f>
        <v/>
      </c>
      <c r="I4271" s="84" t="str">
        <f aca="false">IF(C4271="","",C4271*IF(Settings!$B$23=Settings!$C$6,1,IF(Settings!$B$23="USD",1/INDEX(Settings!$B$29:$B$40,MONTH(A4271)),INDEX(Settings!$B$29:$B$40,MONTH(A4271)))))</f>
        <v/>
      </c>
    </row>
    <row r="4272" customFormat="false" ht="15" hidden="false" customHeight="false" outlineLevel="0" collapsed="false">
      <c r="H4272" s="0" t="str">
        <f aca="false">IF(B4272="","",IF(COUNTIF(Campaigns!$A$7:$A$300,B4272)&gt;0,"✓","⚠ add to Campaigns tab"))</f>
        <v/>
      </c>
      <c r="I4272" s="84" t="str">
        <f aca="false">IF(C4272="","",C4272*IF(Settings!$B$23=Settings!$C$6,1,IF(Settings!$B$23="USD",1/INDEX(Settings!$B$29:$B$40,MONTH(A4272)),INDEX(Settings!$B$29:$B$40,MONTH(A4272)))))</f>
        <v/>
      </c>
    </row>
    <row r="4273" customFormat="false" ht="15" hidden="false" customHeight="false" outlineLevel="0" collapsed="false">
      <c r="H4273" s="0" t="str">
        <f aca="false">IF(B4273="","",IF(COUNTIF(Campaigns!$A$7:$A$300,B4273)&gt;0,"✓","⚠ add to Campaigns tab"))</f>
        <v/>
      </c>
      <c r="I4273" s="84" t="str">
        <f aca="false">IF(C4273="","",C4273*IF(Settings!$B$23=Settings!$C$6,1,IF(Settings!$B$23="USD",1/INDEX(Settings!$B$29:$B$40,MONTH(A4273)),INDEX(Settings!$B$29:$B$40,MONTH(A4273)))))</f>
        <v/>
      </c>
    </row>
    <row r="4274" customFormat="false" ht="15" hidden="false" customHeight="false" outlineLevel="0" collapsed="false">
      <c r="H4274" s="0" t="str">
        <f aca="false">IF(B4274="","",IF(COUNTIF(Campaigns!$A$7:$A$300,B4274)&gt;0,"✓","⚠ add to Campaigns tab"))</f>
        <v/>
      </c>
      <c r="I4274" s="84" t="str">
        <f aca="false">IF(C4274="","",C4274*IF(Settings!$B$23=Settings!$C$6,1,IF(Settings!$B$23="USD",1/INDEX(Settings!$B$29:$B$40,MONTH(A4274)),INDEX(Settings!$B$29:$B$40,MONTH(A4274)))))</f>
        <v/>
      </c>
    </row>
    <row r="4275" customFormat="false" ht="15" hidden="false" customHeight="false" outlineLevel="0" collapsed="false">
      <c r="H4275" s="0" t="str">
        <f aca="false">IF(B4275="","",IF(COUNTIF(Campaigns!$A$7:$A$300,B4275)&gt;0,"✓","⚠ add to Campaigns tab"))</f>
        <v/>
      </c>
      <c r="I4275" s="84" t="str">
        <f aca="false">IF(C4275="","",C4275*IF(Settings!$B$23=Settings!$C$6,1,IF(Settings!$B$23="USD",1/INDEX(Settings!$B$29:$B$40,MONTH(A4275)),INDEX(Settings!$B$29:$B$40,MONTH(A4275)))))</f>
        <v/>
      </c>
    </row>
    <row r="4276" customFormat="false" ht="15" hidden="false" customHeight="false" outlineLevel="0" collapsed="false">
      <c r="H4276" s="0" t="str">
        <f aca="false">IF(B4276="","",IF(COUNTIF(Campaigns!$A$7:$A$300,B4276)&gt;0,"✓","⚠ add to Campaigns tab"))</f>
        <v/>
      </c>
      <c r="I4276" s="84" t="str">
        <f aca="false">IF(C4276="","",C4276*IF(Settings!$B$23=Settings!$C$6,1,IF(Settings!$B$23="USD",1/INDEX(Settings!$B$29:$B$40,MONTH(A4276)),INDEX(Settings!$B$29:$B$40,MONTH(A4276)))))</f>
        <v/>
      </c>
    </row>
    <row r="4277" customFormat="false" ht="15" hidden="false" customHeight="false" outlineLevel="0" collapsed="false">
      <c r="H4277" s="0" t="str">
        <f aca="false">IF(B4277="","",IF(COUNTIF(Campaigns!$A$7:$A$300,B4277)&gt;0,"✓","⚠ add to Campaigns tab"))</f>
        <v/>
      </c>
      <c r="I4277" s="84" t="str">
        <f aca="false">IF(C4277="","",C4277*IF(Settings!$B$23=Settings!$C$6,1,IF(Settings!$B$23="USD",1/INDEX(Settings!$B$29:$B$40,MONTH(A4277)),INDEX(Settings!$B$29:$B$40,MONTH(A4277)))))</f>
        <v/>
      </c>
    </row>
    <row r="4278" customFormat="false" ht="15" hidden="false" customHeight="false" outlineLevel="0" collapsed="false">
      <c r="H4278" s="0" t="str">
        <f aca="false">IF(B4278="","",IF(COUNTIF(Campaigns!$A$7:$A$300,B4278)&gt;0,"✓","⚠ add to Campaigns tab"))</f>
        <v/>
      </c>
      <c r="I4278" s="84" t="str">
        <f aca="false">IF(C4278="","",C4278*IF(Settings!$B$23=Settings!$C$6,1,IF(Settings!$B$23="USD",1/INDEX(Settings!$B$29:$B$40,MONTH(A4278)),INDEX(Settings!$B$29:$B$40,MONTH(A4278)))))</f>
        <v/>
      </c>
    </row>
    <row r="4279" customFormat="false" ht="15" hidden="false" customHeight="false" outlineLevel="0" collapsed="false">
      <c r="H4279" s="0" t="str">
        <f aca="false">IF(B4279="","",IF(COUNTIF(Campaigns!$A$7:$A$300,B4279)&gt;0,"✓","⚠ add to Campaigns tab"))</f>
        <v/>
      </c>
      <c r="I4279" s="84" t="str">
        <f aca="false">IF(C4279="","",C4279*IF(Settings!$B$23=Settings!$C$6,1,IF(Settings!$B$23="USD",1/INDEX(Settings!$B$29:$B$40,MONTH(A4279)),INDEX(Settings!$B$29:$B$40,MONTH(A4279)))))</f>
        <v/>
      </c>
    </row>
    <row r="4280" customFormat="false" ht="15" hidden="false" customHeight="false" outlineLevel="0" collapsed="false">
      <c r="H4280" s="0" t="str">
        <f aca="false">IF(B4280="","",IF(COUNTIF(Campaigns!$A$7:$A$300,B4280)&gt;0,"✓","⚠ add to Campaigns tab"))</f>
        <v/>
      </c>
      <c r="I4280" s="84" t="str">
        <f aca="false">IF(C4280="","",C4280*IF(Settings!$B$23=Settings!$C$6,1,IF(Settings!$B$23="USD",1/INDEX(Settings!$B$29:$B$40,MONTH(A4280)),INDEX(Settings!$B$29:$B$40,MONTH(A4280)))))</f>
        <v/>
      </c>
    </row>
    <row r="4281" customFormat="false" ht="15" hidden="false" customHeight="false" outlineLevel="0" collapsed="false">
      <c r="H4281" s="0" t="str">
        <f aca="false">IF(B4281="","",IF(COUNTIF(Campaigns!$A$7:$A$300,B4281)&gt;0,"✓","⚠ add to Campaigns tab"))</f>
        <v/>
      </c>
      <c r="I4281" s="84" t="str">
        <f aca="false">IF(C4281="","",C4281*IF(Settings!$B$23=Settings!$C$6,1,IF(Settings!$B$23="USD",1/INDEX(Settings!$B$29:$B$40,MONTH(A4281)),INDEX(Settings!$B$29:$B$40,MONTH(A4281)))))</f>
        <v/>
      </c>
    </row>
    <row r="4282" customFormat="false" ht="15" hidden="false" customHeight="false" outlineLevel="0" collapsed="false">
      <c r="H4282" s="0" t="str">
        <f aca="false">IF(B4282="","",IF(COUNTIF(Campaigns!$A$7:$A$300,B4282)&gt;0,"✓","⚠ add to Campaigns tab"))</f>
        <v/>
      </c>
      <c r="I4282" s="84" t="str">
        <f aca="false">IF(C4282="","",C4282*IF(Settings!$B$23=Settings!$C$6,1,IF(Settings!$B$23="USD",1/INDEX(Settings!$B$29:$B$40,MONTH(A4282)),INDEX(Settings!$B$29:$B$40,MONTH(A4282)))))</f>
        <v/>
      </c>
    </row>
    <row r="4283" customFormat="false" ht="15" hidden="false" customHeight="false" outlineLevel="0" collapsed="false">
      <c r="H4283" s="0" t="str">
        <f aca="false">IF(B4283="","",IF(COUNTIF(Campaigns!$A$7:$A$300,B4283)&gt;0,"✓","⚠ add to Campaigns tab"))</f>
        <v/>
      </c>
      <c r="I4283" s="84" t="str">
        <f aca="false">IF(C4283="","",C4283*IF(Settings!$B$23=Settings!$C$6,1,IF(Settings!$B$23="USD",1/INDEX(Settings!$B$29:$B$40,MONTH(A4283)),INDEX(Settings!$B$29:$B$40,MONTH(A4283)))))</f>
        <v/>
      </c>
    </row>
    <row r="4284" customFormat="false" ht="15" hidden="false" customHeight="false" outlineLevel="0" collapsed="false">
      <c r="H4284" s="0" t="str">
        <f aca="false">IF(B4284="","",IF(COUNTIF(Campaigns!$A$7:$A$300,B4284)&gt;0,"✓","⚠ add to Campaigns tab"))</f>
        <v/>
      </c>
      <c r="I4284" s="84" t="str">
        <f aca="false">IF(C4284="","",C4284*IF(Settings!$B$23=Settings!$C$6,1,IF(Settings!$B$23="USD",1/INDEX(Settings!$B$29:$B$40,MONTH(A4284)),INDEX(Settings!$B$29:$B$40,MONTH(A4284)))))</f>
        <v/>
      </c>
    </row>
    <row r="4285" customFormat="false" ht="15" hidden="false" customHeight="false" outlineLevel="0" collapsed="false">
      <c r="H4285" s="0" t="str">
        <f aca="false">IF(B4285="","",IF(COUNTIF(Campaigns!$A$7:$A$300,B4285)&gt;0,"✓","⚠ add to Campaigns tab"))</f>
        <v/>
      </c>
      <c r="I4285" s="84" t="str">
        <f aca="false">IF(C4285="","",C4285*IF(Settings!$B$23=Settings!$C$6,1,IF(Settings!$B$23="USD",1/INDEX(Settings!$B$29:$B$40,MONTH(A4285)),INDEX(Settings!$B$29:$B$40,MONTH(A4285)))))</f>
        <v/>
      </c>
    </row>
    <row r="4286" customFormat="false" ht="15" hidden="false" customHeight="false" outlineLevel="0" collapsed="false">
      <c r="H4286" s="0" t="str">
        <f aca="false">IF(B4286="","",IF(COUNTIF(Campaigns!$A$7:$A$300,B4286)&gt;0,"✓","⚠ add to Campaigns tab"))</f>
        <v/>
      </c>
      <c r="I4286" s="84" t="str">
        <f aca="false">IF(C4286="","",C4286*IF(Settings!$B$23=Settings!$C$6,1,IF(Settings!$B$23="USD",1/INDEX(Settings!$B$29:$B$40,MONTH(A4286)),INDEX(Settings!$B$29:$B$40,MONTH(A4286)))))</f>
        <v/>
      </c>
    </row>
    <row r="4287" customFormat="false" ht="15" hidden="false" customHeight="false" outlineLevel="0" collapsed="false">
      <c r="H4287" s="0" t="str">
        <f aca="false">IF(B4287="","",IF(COUNTIF(Campaigns!$A$7:$A$300,B4287)&gt;0,"✓","⚠ add to Campaigns tab"))</f>
        <v/>
      </c>
      <c r="I4287" s="84" t="str">
        <f aca="false">IF(C4287="","",C4287*IF(Settings!$B$23=Settings!$C$6,1,IF(Settings!$B$23="USD",1/INDEX(Settings!$B$29:$B$40,MONTH(A4287)),INDEX(Settings!$B$29:$B$40,MONTH(A4287)))))</f>
        <v/>
      </c>
    </row>
    <row r="4288" customFormat="false" ht="15" hidden="false" customHeight="false" outlineLevel="0" collapsed="false">
      <c r="H4288" s="0" t="str">
        <f aca="false">IF(B4288="","",IF(COUNTIF(Campaigns!$A$7:$A$300,B4288)&gt;0,"✓","⚠ add to Campaigns tab"))</f>
        <v/>
      </c>
      <c r="I4288" s="84" t="str">
        <f aca="false">IF(C4288="","",C4288*IF(Settings!$B$23=Settings!$C$6,1,IF(Settings!$B$23="USD",1/INDEX(Settings!$B$29:$B$40,MONTH(A4288)),INDEX(Settings!$B$29:$B$40,MONTH(A4288)))))</f>
        <v/>
      </c>
    </row>
    <row r="4289" customFormat="false" ht="15" hidden="false" customHeight="false" outlineLevel="0" collapsed="false">
      <c r="H4289" s="0" t="str">
        <f aca="false">IF(B4289="","",IF(COUNTIF(Campaigns!$A$7:$A$300,B4289)&gt;0,"✓","⚠ add to Campaigns tab"))</f>
        <v/>
      </c>
      <c r="I4289" s="84" t="str">
        <f aca="false">IF(C4289="","",C4289*IF(Settings!$B$23=Settings!$C$6,1,IF(Settings!$B$23="USD",1/INDEX(Settings!$B$29:$B$40,MONTH(A4289)),INDEX(Settings!$B$29:$B$40,MONTH(A4289)))))</f>
        <v/>
      </c>
    </row>
    <row r="4290" customFormat="false" ht="15" hidden="false" customHeight="false" outlineLevel="0" collapsed="false">
      <c r="H4290" s="0" t="str">
        <f aca="false">IF(B4290="","",IF(COUNTIF(Campaigns!$A$7:$A$300,B4290)&gt;0,"✓","⚠ add to Campaigns tab"))</f>
        <v/>
      </c>
      <c r="I4290" s="84" t="str">
        <f aca="false">IF(C4290="","",C4290*IF(Settings!$B$23=Settings!$C$6,1,IF(Settings!$B$23="USD",1/INDEX(Settings!$B$29:$B$40,MONTH(A4290)),INDEX(Settings!$B$29:$B$40,MONTH(A4290)))))</f>
        <v/>
      </c>
    </row>
    <row r="4291" customFormat="false" ht="15" hidden="false" customHeight="false" outlineLevel="0" collapsed="false">
      <c r="H4291" s="0" t="str">
        <f aca="false">IF(B4291="","",IF(COUNTIF(Campaigns!$A$7:$A$300,B4291)&gt;0,"✓","⚠ add to Campaigns tab"))</f>
        <v/>
      </c>
      <c r="I4291" s="84" t="str">
        <f aca="false">IF(C4291="","",C4291*IF(Settings!$B$23=Settings!$C$6,1,IF(Settings!$B$23="USD",1/INDEX(Settings!$B$29:$B$40,MONTH(A4291)),INDEX(Settings!$B$29:$B$40,MONTH(A4291)))))</f>
        <v/>
      </c>
    </row>
    <row r="4292" customFormat="false" ht="15" hidden="false" customHeight="false" outlineLevel="0" collapsed="false">
      <c r="H4292" s="0" t="str">
        <f aca="false">IF(B4292="","",IF(COUNTIF(Campaigns!$A$7:$A$300,B4292)&gt;0,"✓","⚠ add to Campaigns tab"))</f>
        <v/>
      </c>
      <c r="I4292" s="84" t="str">
        <f aca="false">IF(C4292="","",C4292*IF(Settings!$B$23=Settings!$C$6,1,IF(Settings!$B$23="USD",1/INDEX(Settings!$B$29:$B$40,MONTH(A4292)),INDEX(Settings!$B$29:$B$40,MONTH(A4292)))))</f>
        <v/>
      </c>
    </row>
    <row r="4293" customFormat="false" ht="15" hidden="false" customHeight="false" outlineLevel="0" collapsed="false">
      <c r="H4293" s="0" t="str">
        <f aca="false">IF(B4293="","",IF(COUNTIF(Campaigns!$A$7:$A$300,B4293)&gt;0,"✓","⚠ add to Campaigns tab"))</f>
        <v/>
      </c>
      <c r="I4293" s="84" t="str">
        <f aca="false">IF(C4293="","",C4293*IF(Settings!$B$23=Settings!$C$6,1,IF(Settings!$B$23="USD",1/INDEX(Settings!$B$29:$B$40,MONTH(A4293)),INDEX(Settings!$B$29:$B$40,MONTH(A4293)))))</f>
        <v/>
      </c>
    </row>
    <row r="4294" customFormat="false" ht="15" hidden="false" customHeight="false" outlineLevel="0" collapsed="false">
      <c r="H4294" s="0" t="str">
        <f aca="false">IF(B4294="","",IF(COUNTIF(Campaigns!$A$7:$A$300,B4294)&gt;0,"✓","⚠ add to Campaigns tab"))</f>
        <v/>
      </c>
      <c r="I4294" s="84" t="str">
        <f aca="false">IF(C4294="","",C4294*IF(Settings!$B$23=Settings!$C$6,1,IF(Settings!$B$23="USD",1/INDEX(Settings!$B$29:$B$40,MONTH(A4294)),INDEX(Settings!$B$29:$B$40,MONTH(A4294)))))</f>
        <v/>
      </c>
    </row>
    <row r="4295" customFormat="false" ht="15" hidden="false" customHeight="false" outlineLevel="0" collapsed="false">
      <c r="H4295" s="0" t="str">
        <f aca="false">IF(B4295="","",IF(COUNTIF(Campaigns!$A$7:$A$300,B4295)&gt;0,"✓","⚠ add to Campaigns tab"))</f>
        <v/>
      </c>
      <c r="I4295" s="84" t="str">
        <f aca="false">IF(C4295="","",C4295*IF(Settings!$B$23=Settings!$C$6,1,IF(Settings!$B$23="USD",1/INDEX(Settings!$B$29:$B$40,MONTH(A4295)),INDEX(Settings!$B$29:$B$40,MONTH(A4295)))))</f>
        <v/>
      </c>
    </row>
    <row r="4296" customFormat="false" ht="15" hidden="false" customHeight="false" outlineLevel="0" collapsed="false">
      <c r="H4296" s="0" t="str">
        <f aca="false">IF(B4296="","",IF(COUNTIF(Campaigns!$A$7:$A$300,B4296)&gt;0,"✓","⚠ add to Campaigns tab"))</f>
        <v/>
      </c>
      <c r="I4296" s="84" t="str">
        <f aca="false">IF(C4296="","",C4296*IF(Settings!$B$23=Settings!$C$6,1,IF(Settings!$B$23="USD",1/INDEX(Settings!$B$29:$B$40,MONTH(A4296)),INDEX(Settings!$B$29:$B$40,MONTH(A4296)))))</f>
        <v/>
      </c>
    </row>
    <row r="4297" customFormat="false" ht="15" hidden="false" customHeight="false" outlineLevel="0" collapsed="false">
      <c r="H4297" s="0" t="str">
        <f aca="false">IF(B4297="","",IF(COUNTIF(Campaigns!$A$7:$A$300,B4297)&gt;0,"✓","⚠ add to Campaigns tab"))</f>
        <v/>
      </c>
      <c r="I4297" s="84" t="str">
        <f aca="false">IF(C4297="","",C4297*IF(Settings!$B$23=Settings!$C$6,1,IF(Settings!$B$23="USD",1/INDEX(Settings!$B$29:$B$40,MONTH(A4297)),INDEX(Settings!$B$29:$B$40,MONTH(A4297)))))</f>
        <v/>
      </c>
    </row>
    <row r="4298" customFormat="false" ht="15" hidden="false" customHeight="false" outlineLevel="0" collapsed="false">
      <c r="H4298" s="0" t="str">
        <f aca="false">IF(B4298="","",IF(COUNTIF(Campaigns!$A$7:$A$300,B4298)&gt;0,"✓","⚠ add to Campaigns tab"))</f>
        <v/>
      </c>
      <c r="I4298" s="84" t="str">
        <f aca="false">IF(C4298="","",C4298*IF(Settings!$B$23=Settings!$C$6,1,IF(Settings!$B$23="USD",1/INDEX(Settings!$B$29:$B$40,MONTH(A4298)),INDEX(Settings!$B$29:$B$40,MONTH(A4298)))))</f>
        <v/>
      </c>
    </row>
    <row r="4299" customFormat="false" ht="15" hidden="false" customHeight="false" outlineLevel="0" collapsed="false">
      <c r="H4299" s="0" t="str">
        <f aca="false">IF(B4299="","",IF(COUNTIF(Campaigns!$A$7:$A$300,B4299)&gt;0,"✓","⚠ add to Campaigns tab"))</f>
        <v/>
      </c>
      <c r="I4299" s="84" t="str">
        <f aca="false">IF(C4299="","",C4299*IF(Settings!$B$23=Settings!$C$6,1,IF(Settings!$B$23="USD",1/INDEX(Settings!$B$29:$B$40,MONTH(A4299)),INDEX(Settings!$B$29:$B$40,MONTH(A4299)))))</f>
        <v/>
      </c>
    </row>
    <row r="4300" customFormat="false" ht="15" hidden="false" customHeight="false" outlineLevel="0" collapsed="false">
      <c r="H4300" s="0" t="str">
        <f aca="false">IF(B4300="","",IF(COUNTIF(Campaigns!$A$7:$A$300,B4300)&gt;0,"✓","⚠ add to Campaigns tab"))</f>
        <v/>
      </c>
      <c r="I4300" s="84" t="str">
        <f aca="false">IF(C4300="","",C4300*IF(Settings!$B$23=Settings!$C$6,1,IF(Settings!$B$23="USD",1/INDEX(Settings!$B$29:$B$40,MONTH(A4300)),INDEX(Settings!$B$29:$B$40,MONTH(A4300)))))</f>
        <v/>
      </c>
    </row>
    <row r="4301" customFormat="false" ht="15" hidden="false" customHeight="false" outlineLevel="0" collapsed="false">
      <c r="H4301" s="0" t="str">
        <f aca="false">IF(B4301="","",IF(COUNTIF(Campaigns!$A$7:$A$300,B4301)&gt;0,"✓","⚠ add to Campaigns tab"))</f>
        <v/>
      </c>
      <c r="I4301" s="84" t="str">
        <f aca="false">IF(C4301="","",C4301*IF(Settings!$B$23=Settings!$C$6,1,IF(Settings!$B$23="USD",1/INDEX(Settings!$B$29:$B$40,MONTH(A4301)),INDEX(Settings!$B$29:$B$40,MONTH(A4301)))))</f>
        <v/>
      </c>
    </row>
    <row r="4302" customFormat="false" ht="15" hidden="false" customHeight="false" outlineLevel="0" collapsed="false">
      <c r="H4302" s="0" t="str">
        <f aca="false">IF(B4302="","",IF(COUNTIF(Campaigns!$A$7:$A$300,B4302)&gt;0,"✓","⚠ add to Campaigns tab"))</f>
        <v/>
      </c>
      <c r="I4302" s="84" t="str">
        <f aca="false">IF(C4302="","",C4302*IF(Settings!$B$23=Settings!$C$6,1,IF(Settings!$B$23="USD",1/INDEX(Settings!$B$29:$B$40,MONTH(A4302)),INDEX(Settings!$B$29:$B$40,MONTH(A4302)))))</f>
        <v/>
      </c>
    </row>
    <row r="4303" customFormat="false" ht="15" hidden="false" customHeight="false" outlineLevel="0" collapsed="false">
      <c r="H4303" s="0" t="str">
        <f aca="false">IF(B4303="","",IF(COUNTIF(Campaigns!$A$7:$A$300,B4303)&gt;0,"✓","⚠ add to Campaigns tab"))</f>
        <v/>
      </c>
      <c r="I4303" s="84" t="str">
        <f aca="false">IF(C4303="","",C4303*IF(Settings!$B$23=Settings!$C$6,1,IF(Settings!$B$23="USD",1/INDEX(Settings!$B$29:$B$40,MONTH(A4303)),INDEX(Settings!$B$29:$B$40,MONTH(A4303)))))</f>
        <v/>
      </c>
    </row>
    <row r="4304" customFormat="false" ht="15" hidden="false" customHeight="false" outlineLevel="0" collapsed="false">
      <c r="H4304" s="0" t="str">
        <f aca="false">IF(B4304="","",IF(COUNTIF(Campaigns!$A$7:$A$300,B4304)&gt;0,"✓","⚠ add to Campaigns tab"))</f>
        <v/>
      </c>
      <c r="I4304" s="84" t="str">
        <f aca="false">IF(C4304="","",C4304*IF(Settings!$B$23=Settings!$C$6,1,IF(Settings!$B$23="USD",1/INDEX(Settings!$B$29:$B$40,MONTH(A4304)),INDEX(Settings!$B$29:$B$40,MONTH(A4304)))))</f>
        <v/>
      </c>
    </row>
    <row r="4305" customFormat="false" ht="15" hidden="false" customHeight="false" outlineLevel="0" collapsed="false">
      <c r="H4305" s="0" t="str">
        <f aca="false">IF(B4305="","",IF(COUNTIF(Campaigns!$A$7:$A$300,B4305)&gt;0,"✓","⚠ add to Campaigns tab"))</f>
        <v/>
      </c>
      <c r="I4305" s="84" t="str">
        <f aca="false">IF(C4305="","",C4305*IF(Settings!$B$23=Settings!$C$6,1,IF(Settings!$B$23="USD",1/INDEX(Settings!$B$29:$B$40,MONTH(A4305)),INDEX(Settings!$B$29:$B$40,MONTH(A4305)))))</f>
        <v/>
      </c>
    </row>
    <row r="4306" customFormat="false" ht="15" hidden="false" customHeight="false" outlineLevel="0" collapsed="false">
      <c r="H4306" s="0" t="str">
        <f aca="false">IF(B4306="","",IF(COUNTIF(Campaigns!$A$7:$A$300,B4306)&gt;0,"✓","⚠ add to Campaigns tab"))</f>
        <v/>
      </c>
      <c r="I4306" s="84" t="str">
        <f aca="false">IF(C4306="","",C4306*IF(Settings!$B$23=Settings!$C$6,1,IF(Settings!$B$23="USD",1/INDEX(Settings!$B$29:$B$40,MONTH(A4306)),INDEX(Settings!$B$29:$B$40,MONTH(A4306)))))</f>
        <v/>
      </c>
    </row>
    <row r="4307" customFormat="false" ht="15" hidden="false" customHeight="false" outlineLevel="0" collapsed="false">
      <c r="H4307" s="0" t="str">
        <f aca="false">IF(B4307="","",IF(COUNTIF(Campaigns!$A$7:$A$300,B4307)&gt;0,"✓","⚠ add to Campaigns tab"))</f>
        <v/>
      </c>
      <c r="I4307" s="84" t="str">
        <f aca="false">IF(C4307="","",C4307*IF(Settings!$B$23=Settings!$C$6,1,IF(Settings!$B$23="USD",1/INDEX(Settings!$B$29:$B$40,MONTH(A4307)),INDEX(Settings!$B$29:$B$40,MONTH(A4307)))))</f>
        <v/>
      </c>
    </row>
    <row r="4308" customFormat="false" ht="15" hidden="false" customHeight="false" outlineLevel="0" collapsed="false">
      <c r="H4308" s="0" t="str">
        <f aca="false">IF(B4308="","",IF(COUNTIF(Campaigns!$A$7:$A$300,B4308)&gt;0,"✓","⚠ add to Campaigns tab"))</f>
        <v/>
      </c>
      <c r="I4308" s="84" t="str">
        <f aca="false">IF(C4308="","",C4308*IF(Settings!$B$23=Settings!$C$6,1,IF(Settings!$B$23="USD",1/INDEX(Settings!$B$29:$B$40,MONTH(A4308)),INDEX(Settings!$B$29:$B$40,MONTH(A4308)))))</f>
        <v/>
      </c>
    </row>
    <row r="4309" customFormat="false" ht="15" hidden="false" customHeight="false" outlineLevel="0" collapsed="false">
      <c r="H4309" s="0" t="str">
        <f aca="false">IF(B4309="","",IF(COUNTIF(Campaigns!$A$7:$A$300,B4309)&gt;0,"✓","⚠ add to Campaigns tab"))</f>
        <v/>
      </c>
      <c r="I4309" s="84" t="str">
        <f aca="false">IF(C4309="","",C4309*IF(Settings!$B$23=Settings!$C$6,1,IF(Settings!$B$23="USD",1/INDEX(Settings!$B$29:$B$40,MONTH(A4309)),INDEX(Settings!$B$29:$B$40,MONTH(A4309)))))</f>
        <v/>
      </c>
    </row>
    <row r="4310" customFormat="false" ht="15" hidden="false" customHeight="false" outlineLevel="0" collapsed="false">
      <c r="H4310" s="0" t="str">
        <f aca="false">IF(B4310="","",IF(COUNTIF(Campaigns!$A$7:$A$300,B4310)&gt;0,"✓","⚠ add to Campaigns tab"))</f>
        <v/>
      </c>
      <c r="I4310" s="84" t="str">
        <f aca="false">IF(C4310="","",C4310*IF(Settings!$B$23=Settings!$C$6,1,IF(Settings!$B$23="USD",1/INDEX(Settings!$B$29:$B$40,MONTH(A4310)),INDEX(Settings!$B$29:$B$40,MONTH(A4310)))))</f>
        <v/>
      </c>
    </row>
    <row r="4311" customFormat="false" ht="15" hidden="false" customHeight="false" outlineLevel="0" collapsed="false">
      <c r="H4311" s="0" t="str">
        <f aca="false">IF(B4311="","",IF(COUNTIF(Campaigns!$A$7:$A$300,B4311)&gt;0,"✓","⚠ add to Campaigns tab"))</f>
        <v/>
      </c>
      <c r="I4311" s="84" t="str">
        <f aca="false">IF(C4311="","",C4311*IF(Settings!$B$23=Settings!$C$6,1,IF(Settings!$B$23="USD",1/INDEX(Settings!$B$29:$B$40,MONTH(A4311)),INDEX(Settings!$B$29:$B$40,MONTH(A4311)))))</f>
        <v/>
      </c>
    </row>
    <row r="4312" customFormat="false" ht="15" hidden="false" customHeight="false" outlineLevel="0" collapsed="false">
      <c r="H4312" s="0" t="str">
        <f aca="false">IF(B4312="","",IF(COUNTIF(Campaigns!$A$7:$A$300,B4312)&gt;0,"✓","⚠ add to Campaigns tab"))</f>
        <v/>
      </c>
      <c r="I4312" s="84" t="str">
        <f aca="false">IF(C4312="","",C4312*IF(Settings!$B$23=Settings!$C$6,1,IF(Settings!$B$23="USD",1/INDEX(Settings!$B$29:$B$40,MONTH(A4312)),INDEX(Settings!$B$29:$B$40,MONTH(A4312)))))</f>
        <v/>
      </c>
    </row>
    <row r="4313" customFormat="false" ht="15" hidden="false" customHeight="false" outlineLevel="0" collapsed="false">
      <c r="H4313" s="0" t="str">
        <f aca="false">IF(B4313="","",IF(COUNTIF(Campaigns!$A$7:$A$300,B4313)&gt;0,"✓","⚠ add to Campaigns tab"))</f>
        <v/>
      </c>
      <c r="I4313" s="84" t="str">
        <f aca="false">IF(C4313="","",C4313*IF(Settings!$B$23=Settings!$C$6,1,IF(Settings!$B$23="USD",1/INDEX(Settings!$B$29:$B$40,MONTH(A4313)),INDEX(Settings!$B$29:$B$40,MONTH(A4313)))))</f>
        <v/>
      </c>
    </row>
    <row r="4314" customFormat="false" ht="15" hidden="false" customHeight="false" outlineLevel="0" collapsed="false">
      <c r="H4314" s="0" t="str">
        <f aca="false">IF(B4314="","",IF(COUNTIF(Campaigns!$A$7:$A$300,B4314)&gt;0,"✓","⚠ add to Campaigns tab"))</f>
        <v/>
      </c>
      <c r="I4314" s="84" t="str">
        <f aca="false">IF(C4314="","",C4314*IF(Settings!$B$23=Settings!$C$6,1,IF(Settings!$B$23="USD",1/INDEX(Settings!$B$29:$B$40,MONTH(A4314)),INDEX(Settings!$B$29:$B$40,MONTH(A4314)))))</f>
        <v/>
      </c>
    </row>
    <row r="4315" customFormat="false" ht="15" hidden="false" customHeight="false" outlineLevel="0" collapsed="false">
      <c r="H4315" s="0" t="str">
        <f aca="false">IF(B4315="","",IF(COUNTIF(Campaigns!$A$7:$A$300,B4315)&gt;0,"✓","⚠ add to Campaigns tab"))</f>
        <v/>
      </c>
      <c r="I4315" s="84" t="str">
        <f aca="false">IF(C4315="","",C4315*IF(Settings!$B$23=Settings!$C$6,1,IF(Settings!$B$23="USD",1/INDEX(Settings!$B$29:$B$40,MONTH(A4315)),INDEX(Settings!$B$29:$B$40,MONTH(A4315)))))</f>
        <v/>
      </c>
    </row>
    <row r="4316" customFormat="false" ht="15" hidden="false" customHeight="false" outlineLevel="0" collapsed="false">
      <c r="H4316" s="0" t="str">
        <f aca="false">IF(B4316="","",IF(COUNTIF(Campaigns!$A$7:$A$300,B4316)&gt;0,"✓","⚠ add to Campaigns tab"))</f>
        <v/>
      </c>
      <c r="I4316" s="84" t="str">
        <f aca="false">IF(C4316="","",C4316*IF(Settings!$B$23=Settings!$C$6,1,IF(Settings!$B$23="USD",1/INDEX(Settings!$B$29:$B$40,MONTH(A4316)),INDEX(Settings!$B$29:$B$40,MONTH(A4316)))))</f>
        <v/>
      </c>
    </row>
    <row r="4317" customFormat="false" ht="15" hidden="false" customHeight="false" outlineLevel="0" collapsed="false">
      <c r="H4317" s="0" t="str">
        <f aca="false">IF(B4317="","",IF(COUNTIF(Campaigns!$A$7:$A$300,B4317)&gt;0,"✓","⚠ add to Campaigns tab"))</f>
        <v/>
      </c>
      <c r="I4317" s="84" t="str">
        <f aca="false">IF(C4317="","",C4317*IF(Settings!$B$23=Settings!$C$6,1,IF(Settings!$B$23="USD",1/INDEX(Settings!$B$29:$B$40,MONTH(A4317)),INDEX(Settings!$B$29:$B$40,MONTH(A4317)))))</f>
        <v/>
      </c>
    </row>
    <row r="4318" customFormat="false" ht="15" hidden="false" customHeight="false" outlineLevel="0" collapsed="false">
      <c r="H4318" s="0" t="str">
        <f aca="false">IF(B4318="","",IF(COUNTIF(Campaigns!$A$7:$A$300,B4318)&gt;0,"✓","⚠ add to Campaigns tab"))</f>
        <v/>
      </c>
      <c r="I4318" s="84" t="str">
        <f aca="false">IF(C4318="","",C4318*IF(Settings!$B$23=Settings!$C$6,1,IF(Settings!$B$23="USD",1/INDEX(Settings!$B$29:$B$40,MONTH(A4318)),INDEX(Settings!$B$29:$B$40,MONTH(A4318)))))</f>
        <v/>
      </c>
    </row>
    <row r="4319" customFormat="false" ht="15" hidden="false" customHeight="false" outlineLevel="0" collapsed="false">
      <c r="H4319" s="0" t="str">
        <f aca="false">IF(B4319="","",IF(COUNTIF(Campaigns!$A$7:$A$300,B4319)&gt;0,"✓","⚠ add to Campaigns tab"))</f>
        <v/>
      </c>
      <c r="I4319" s="84" t="str">
        <f aca="false">IF(C4319="","",C4319*IF(Settings!$B$23=Settings!$C$6,1,IF(Settings!$B$23="USD",1/INDEX(Settings!$B$29:$B$40,MONTH(A4319)),INDEX(Settings!$B$29:$B$40,MONTH(A4319)))))</f>
        <v/>
      </c>
    </row>
    <row r="4320" customFormat="false" ht="15" hidden="false" customHeight="false" outlineLevel="0" collapsed="false">
      <c r="H4320" s="0" t="str">
        <f aca="false">IF(B4320="","",IF(COUNTIF(Campaigns!$A$7:$A$300,B4320)&gt;0,"✓","⚠ add to Campaigns tab"))</f>
        <v/>
      </c>
      <c r="I4320" s="84" t="str">
        <f aca="false">IF(C4320="","",C4320*IF(Settings!$B$23=Settings!$C$6,1,IF(Settings!$B$23="USD",1/INDEX(Settings!$B$29:$B$40,MONTH(A4320)),INDEX(Settings!$B$29:$B$40,MONTH(A4320)))))</f>
        <v/>
      </c>
    </row>
    <row r="4321" customFormat="false" ht="15" hidden="false" customHeight="false" outlineLevel="0" collapsed="false">
      <c r="H4321" s="0" t="str">
        <f aca="false">IF(B4321="","",IF(COUNTIF(Campaigns!$A$7:$A$300,B4321)&gt;0,"✓","⚠ add to Campaigns tab"))</f>
        <v/>
      </c>
      <c r="I4321" s="84" t="str">
        <f aca="false">IF(C4321="","",C4321*IF(Settings!$B$23=Settings!$C$6,1,IF(Settings!$B$23="USD",1/INDEX(Settings!$B$29:$B$40,MONTH(A4321)),INDEX(Settings!$B$29:$B$40,MONTH(A4321)))))</f>
        <v/>
      </c>
    </row>
    <row r="4322" customFormat="false" ht="15" hidden="false" customHeight="false" outlineLevel="0" collapsed="false">
      <c r="H4322" s="0" t="str">
        <f aca="false">IF(B4322="","",IF(COUNTIF(Campaigns!$A$7:$A$300,B4322)&gt;0,"✓","⚠ add to Campaigns tab"))</f>
        <v/>
      </c>
      <c r="I4322" s="84" t="str">
        <f aca="false">IF(C4322="","",C4322*IF(Settings!$B$23=Settings!$C$6,1,IF(Settings!$B$23="USD",1/INDEX(Settings!$B$29:$B$40,MONTH(A4322)),INDEX(Settings!$B$29:$B$40,MONTH(A4322)))))</f>
        <v/>
      </c>
    </row>
    <row r="4323" customFormat="false" ht="15" hidden="false" customHeight="false" outlineLevel="0" collapsed="false">
      <c r="H4323" s="0" t="str">
        <f aca="false">IF(B4323="","",IF(COUNTIF(Campaigns!$A$7:$A$300,B4323)&gt;0,"✓","⚠ add to Campaigns tab"))</f>
        <v/>
      </c>
      <c r="I4323" s="84" t="str">
        <f aca="false">IF(C4323="","",C4323*IF(Settings!$B$23=Settings!$C$6,1,IF(Settings!$B$23="USD",1/INDEX(Settings!$B$29:$B$40,MONTH(A4323)),INDEX(Settings!$B$29:$B$40,MONTH(A4323)))))</f>
        <v/>
      </c>
    </row>
    <row r="4324" customFormat="false" ht="15" hidden="false" customHeight="false" outlineLevel="0" collapsed="false">
      <c r="H4324" s="0" t="str">
        <f aca="false">IF(B4324="","",IF(COUNTIF(Campaigns!$A$7:$A$300,B4324)&gt;0,"✓","⚠ add to Campaigns tab"))</f>
        <v/>
      </c>
      <c r="I4324" s="84" t="str">
        <f aca="false">IF(C4324="","",C4324*IF(Settings!$B$23=Settings!$C$6,1,IF(Settings!$B$23="USD",1/INDEX(Settings!$B$29:$B$40,MONTH(A4324)),INDEX(Settings!$B$29:$B$40,MONTH(A4324)))))</f>
        <v/>
      </c>
    </row>
    <row r="4325" customFormat="false" ht="15" hidden="false" customHeight="false" outlineLevel="0" collapsed="false">
      <c r="H4325" s="0" t="str">
        <f aca="false">IF(B4325="","",IF(COUNTIF(Campaigns!$A$7:$A$300,B4325)&gt;0,"✓","⚠ add to Campaigns tab"))</f>
        <v/>
      </c>
      <c r="I4325" s="84" t="str">
        <f aca="false">IF(C4325="","",C4325*IF(Settings!$B$23=Settings!$C$6,1,IF(Settings!$B$23="USD",1/INDEX(Settings!$B$29:$B$40,MONTH(A4325)),INDEX(Settings!$B$29:$B$40,MONTH(A4325)))))</f>
        <v/>
      </c>
    </row>
    <row r="4326" customFormat="false" ht="15" hidden="false" customHeight="false" outlineLevel="0" collapsed="false">
      <c r="H4326" s="0" t="str">
        <f aca="false">IF(B4326="","",IF(COUNTIF(Campaigns!$A$7:$A$300,B4326)&gt;0,"✓","⚠ add to Campaigns tab"))</f>
        <v/>
      </c>
      <c r="I4326" s="84" t="str">
        <f aca="false">IF(C4326="","",C4326*IF(Settings!$B$23=Settings!$C$6,1,IF(Settings!$B$23="USD",1/INDEX(Settings!$B$29:$B$40,MONTH(A4326)),INDEX(Settings!$B$29:$B$40,MONTH(A4326)))))</f>
        <v/>
      </c>
    </row>
    <row r="4327" customFormat="false" ht="15" hidden="false" customHeight="false" outlineLevel="0" collapsed="false">
      <c r="H4327" s="0" t="str">
        <f aca="false">IF(B4327="","",IF(COUNTIF(Campaigns!$A$7:$A$300,B4327)&gt;0,"✓","⚠ add to Campaigns tab"))</f>
        <v/>
      </c>
      <c r="I4327" s="84" t="str">
        <f aca="false">IF(C4327="","",C4327*IF(Settings!$B$23=Settings!$C$6,1,IF(Settings!$B$23="USD",1/INDEX(Settings!$B$29:$B$40,MONTH(A4327)),INDEX(Settings!$B$29:$B$40,MONTH(A4327)))))</f>
        <v/>
      </c>
    </row>
    <row r="4328" customFormat="false" ht="15" hidden="false" customHeight="false" outlineLevel="0" collapsed="false">
      <c r="H4328" s="0" t="str">
        <f aca="false">IF(B4328="","",IF(COUNTIF(Campaigns!$A$7:$A$300,B4328)&gt;0,"✓","⚠ add to Campaigns tab"))</f>
        <v/>
      </c>
      <c r="I4328" s="84" t="str">
        <f aca="false">IF(C4328="","",C4328*IF(Settings!$B$23=Settings!$C$6,1,IF(Settings!$B$23="USD",1/INDEX(Settings!$B$29:$B$40,MONTH(A4328)),INDEX(Settings!$B$29:$B$40,MONTH(A4328)))))</f>
        <v/>
      </c>
    </row>
    <row r="4329" customFormat="false" ht="15" hidden="false" customHeight="false" outlineLevel="0" collapsed="false">
      <c r="H4329" s="0" t="str">
        <f aca="false">IF(B4329="","",IF(COUNTIF(Campaigns!$A$7:$A$300,B4329)&gt;0,"✓","⚠ add to Campaigns tab"))</f>
        <v/>
      </c>
      <c r="I4329" s="84" t="str">
        <f aca="false">IF(C4329="","",C4329*IF(Settings!$B$23=Settings!$C$6,1,IF(Settings!$B$23="USD",1/INDEX(Settings!$B$29:$B$40,MONTH(A4329)),INDEX(Settings!$B$29:$B$40,MONTH(A4329)))))</f>
        <v/>
      </c>
    </row>
    <row r="4330" customFormat="false" ht="15" hidden="false" customHeight="false" outlineLevel="0" collapsed="false">
      <c r="H4330" s="0" t="str">
        <f aca="false">IF(B4330="","",IF(COUNTIF(Campaigns!$A$7:$A$300,B4330)&gt;0,"✓","⚠ add to Campaigns tab"))</f>
        <v/>
      </c>
      <c r="I4330" s="84" t="str">
        <f aca="false">IF(C4330="","",C4330*IF(Settings!$B$23=Settings!$C$6,1,IF(Settings!$B$23="USD",1/INDEX(Settings!$B$29:$B$40,MONTH(A4330)),INDEX(Settings!$B$29:$B$40,MONTH(A4330)))))</f>
        <v/>
      </c>
    </row>
    <row r="4331" customFormat="false" ht="15" hidden="false" customHeight="false" outlineLevel="0" collapsed="false">
      <c r="H4331" s="0" t="str">
        <f aca="false">IF(B4331="","",IF(COUNTIF(Campaigns!$A$7:$A$300,B4331)&gt;0,"✓","⚠ add to Campaigns tab"))</f>
        <v/>
      </c>
      <c r="I4331" s="84" t="str">
        <f aca="false">IF(C4331="","",C4331*IF(Settings!$B$23=Settings!$C$6,1,IF(Settings!$B$23="USD",1/INDEX(Settings!$B$29:$B$40,MONTH(A4331)),INDEX(Settings!$B$29:$B$40,MONTH(A4331)))))</f>
        <v/>
      </c>
    </row>
    <row r="4332" customFormat="false" ht="15" hidden="false" customHeight="false" outlineLevel="0" collapsed="false">
      <c r="H4332" s="0" t="str">
        <f aca="false">IF(B4332="","",IF(COUNTIF(Campaigns!$A$7:$A$300,B4332)&gt;0,"✓","⚠ add to Campaigns tab"))</f>
        <v/>
      </c>
      <c r="I4332" s="84" t="str">
        <f aca="false">IF(C4332="","",C4332*IF(Settings!$B$23=Settings!$C$6,1,IF(Settings!$B$23="USD",1/INDEX(Settings!$B$29:$B$40,MONTH(A4332)),INDEX(Settings!$B$29:$B$40,MONTH(A4332)))))</f>
        <v/>
      </c>
    </row>
    <row r="4333" customFormat="false" ht="15" hidden="false" customHeight="false" outlineLevel="0" collapsed="false">
      <c r="H4333" s="0" t="str">
        <f aca="false">IF(B4333="","",IF(COUNTIF(Campaigns!$A$7:$A$300,B4333)&gt;0,"✓","⚠ add to Campaigns tab"))</f>
        <v/>
      </c>
      <c r="I4333" s="84" t="str">
        <f aca="false">IF(C4333="","",C4333*IF(Settings!$B$23=Settings!$C$6,1,IF(Settings!$B$23="USD",1/INDEX(Settings!$B$29:$B$40,MONTH(A4333)),INDEX(Settings!$B$29:$B$40,MONTH(A4333)))))</f>
        <v/>
      </c>
    </row>
    <row r="4334" customFormat="false" ht="15" hidden="false" customHeight="false" outlineLevel="0" collapsed="false">
      <c r="H4334" s="0" t="str">
        <f aca="false">IF(B4334="","",IF(COUNTIF(Campaigns!$A$7:$A$300,B4334)&gt;0,"✓","⚠ add to Campaigns tab"))</f>
        <v/>
      </c>
      <c r="I4334" s="84" t="str">
        <f aca="false">IF(C4334="","",C4334*IF(Settings!$B$23=Settings!$C$6,1,IF(Settings!$B$23="USD",1/INDEX(Settings!$B$29:$B$40,MONTH(A4334)),INDEX(Settings!$B$29:$B$40,MONTH(A4334)))))</f>
        <v/>
      </c>
    </row>
    <row r="4335" customFormat="false" ht="15" hidden="false" customHeight="false" outlineLevel="0" collapsed="false">
      <c r="H4335" s="0" t="str">
        <f aca="false">IF(B4335="","",IF(COUNTIF(Campaigns!$A$7:$A$300,B4335)&gt;0,"✓","⚠ add to Campaigns tab"))</f>
        <v/>
      </c>
      <c r="I4335" s="84" t="str">
        <f aca="false">IF(C4335="","",C4335*IF(Settings!$B$23=Settings!$C$6,1,IF(Settings!$B$23="USD",1/INDEX(Settings!$B$29:$B$40,MONTH(A4335)),INDEX(Settings!$B$29:$B$40,MONTH(A4335)))))</f>
        <v/>
      </c>
    </row>
    <row r="4336" customFormat="false" ht="15" hidden="false" customHeight="false" outlineLevel="0" collapsed="false">
      <c r="H4336" s="0" t="str">
        <f aca="false">IF(B4336="","",IF(COUNTIF(Campaigns!$A$7:$A$300,B4336)&gt;0,"✓","⚠ add to Campaigns tab"))</f>
        <v/>
      </c>
      <c r="I4336" s="84" t="str">
        <f aca="false">IF(C4336="","",C4336*IF(Settings!$B$23=Settings!$C$6,1,IF(Settings!$B$23="USD",1/INDEX(Settings!$B$29:$B$40,MONTH(A4336)),INDEX(Settings!$B$29:$B$40,MONTH(A4336)))))</f>
        <v/>
      </c>
    </row>
    <row r="4337" customFormat="false" ht="15" hidden="false" customHeight="false" outlineLevel="0" collapsed="false">
      <c r="H4337" s="0" t="str">
        <f aca="false">IF(B4337="","",IF(COUNTIF(Campaigns!$A$7:$A$300,B4337)&gt;0,"✓","⚠ add to Campaigns tab"))</f>
        <v/>
      </c>
      <c r="I4337" s="84" t="str">
        <f aca="false">IF(C4337="","",C4337*IF(Settings!$B$23=Settings!$C$6,1,IF(Settings!$B$23="USD",1/INDEX(Settings!$B$29:$B$40,MONTH(A4337)),INDEX(Settings!$B$29:$B$40,MONTH(A4337)))))</f>
        <v/>
      </c>
    </row>
    <row r="4338" customFormat="false" ht="15" hidden="false" customHeight="false" outlineLevel="0" collapsed="false">
      <c r="H4338" s="0" t="str">
        <f aca="false">IF(B4338="","",IF(COUNTIF(Campaigns!$A$7:$A$300,B4338)&gt;0,"✓","⚠ add to Campaigns tab"))</f>
        <v/>
      </c>
      <c r="I4338" s="84" t="str">
        <f aca="false">IF(C4338="","",C4338*IF(Settings!$B$23=Settings!$C$6,1,IF(Settings!$B$23="USD",1/INDEX(Settings!$B$29:$B$40,MONTH(A4338)),INDEX(Settings!$B$29:$B$40,MONTH(A4338)))))</f>
        <v/>
      </c>
    </row>
    <row r="4339" customFormat="false" ht="15" hidden="false" customHeight="false" outlineLevel="0" collapsed="false">
      <c r="H4339" s="0" t="str">
        <f aca="false">IF(B4339="","",IF(COUNTIF(Campaigns!$A$7:$A$300,B4339)&gt;0,"✓","⚠ add to Campaigns tab"))</f>
        <v/>
      </c>
      <c r="I4339" s="84" t="str">
        <f aca="false">IF(C4339="","",C4339*IF(Settings!$B$23=Settings!$C$6,1,IF(Settings!$B$23="USD",1/INDEX(Settings!$B$29:$B$40,MONTH(A4339)),INDEX(Settings!$B$29:$B$40,MONTH(A4339)))))</f>
        <v/>
      </c>
    </row>
    <row r="4340" customFormat="false" ht="15" hidden="false" customHeight="false" outlineLevel="0" collapsed="false">
      <c r="H4340" s="0" t="str">
        <f aca="false">IF(B4340="","",IF(COUNTIF(Campaigns!$A$7:$A$300,B4340)&gt;0,"✓","⚠ add to Campaigns tab"))</f>
        <v/>
      </c>
      <c r="I4340" s="84" t="str">
        <f aca="false">IF(C4340="","",C4340*IF(Settings!$B$23=Settings!$C$6,1,IF(Settings!$B$23="USD",1/INDEX(Settings!$B$29:$B$40,MONTH(A4340)),INDEX(Settings!$B$29:$B$40,MONTH(A4340)))))</f>
        <v/>
      </c>
    </row>
    <row r="4341" customFormat="false" ht="15" hidden="false" customHeight="false" outlineLevel="0" collapsed="false">
      <c r="H4341" s="0" t="str">
        <f aca="false">IF(B4341="","",IF(COUNTIF(Campaigns!$A$7:$A$300,B4341)&gt;0,"✓","⚠ add to Campaigns tab"))</f>
        <v/>
      </c>
      <c r="I4341" s="84" t="str">
        <f aca="false">IF(C4341="","",C4341*IF(Settings!$B$23=Settings!$C$6,1,IF(Settings!$B$23="USD",1/INDEX(Settings!$B$29:$B$40,MONTH(A4341)),INDEX(Settings!$B$29:$B$40,MONTH(A4341)))))</f>
        <v/>
      </c>
    </row>
    <row r="4342" customFormat="false" ht="15" hidden="false" customHeight="false" outlineLevel="0" collapsed="false">
      <c r="H4342" s="0" t="str">
        <f aca="false">IF(B4342="","",IF(COUNTIF(Campaigns!$A$7:$A$300,B4342)&gt;0,"✓","⚠ add to Campaigns tab"))</f>
        <v/>
      </c>
      <c r="I4342" s="84" t="str">
        <f aca="false">IF(C4342="","",C4342*IF(Settings!$B$23=Settings!$C$6,1,IF(Settings!$B$23="USD",1/INDEX(Settings!$B$29:$B$40,MONTH(A4342)),INDEX(Settings!$B$29:$B$40,MONTH(A4342)))))</f>
        <v/>
      </c>
    </row>
    <row r="4343" customFormat="false" ht="15" hidden="false" customHeight="false" outlineLevel="0" collapsed="false">
      <c r="H4343" s="0" t="str">
        <f aca="false">IF(B4343="","",IF(COUNTIF(Campaigns!$A$7:$A$300,B4343)&gt;0,"✓","⚠ add to Campaigns tab"))</f>
        <v/>
      </c>
      <c r="I4343" s="84" t="str">
        <f aca="false">IF(C4343="","",C4343*IF(Settings!$B$23=Settings!$C$6,1,IF(Settings!$B$23="USD",1/INDEX(Settings!$B$29:$B$40,MONTH(A4343)),INDEX(Settings!$B$29:$B$40,MONTH(A4343)))))</f>
        <v/>
      </c>
    </row>
    <row r="4344" customFormat="false" ht="15" hidden="false" customHeight="false" outlineLevel="0" collapsed="false">
      <c r="H4344" s="0" t="str">
        <f aca="false">IF(B4344="","",IF(COUNTIF(Campaigns!$A$7:$A$300,B4344)&gt;0,"✓","⚠ add to Campaigns tab"))</f>
        <v/>
      </c>
      <c r="I4344" s="84" t="str">
        <f aca="false">IF(C4344="","",C4344*IF(Settings!$B$23=Settings!$C$6,1,IF(Settings!$B$23="USD",1/INDEX(Settings!$B$29:$B$40,MONTH(A4344)),INDEX(Settings!$B$29:$B$40,MONTH(A4344)))))</f>
        <v/>
      </c>
    </row>
    <row r="4345" customFormat="false" ht="15" hidden="false" customHeight="false" outlineLevel="0" collapsed="false">
      <c r="H4345" s="0" t="str">
        <f aca="false">IF(B4345="","",IF(COUNTIF(Campaigns!$A$7:$A$300,B4345)&gt;0,"✓","⚠ add to Campaigns tab"))</f>
        <v/>
      </c>
      <c r="I4345" s="84" t="str">
        <f aca="false">IF(C4345="","",C4345*IF(Settings!$B$23=Settings!$C$6,1,IF(Settings!$B$23="USD",1/INDEX(Settings!$B$29:$B$40,MONTH(A4345)),INDEX(Settings!$B$29:$B$40,MONTH(A4345)))))</f>
        <v/>
      </c>
    </row>
    <row r="4346" customFormat="false" ht="15" hidden="false" customHeight="false" outlineLevel="0" collapsed="false">
      <c r="H4346" s="0" t="str">
        <f aca="false">IF(B4346="","",IF(COUNTIF(Campaigns!$A$7:$A$300,B4346)&gt;0,"✓","⚠ add to Campaigns tab"))</f>
        <v/>
      </c>
      <c r="I4346" s="84" t="str">
        <f aca="false">IF(C4346="","",C4346*IF(Settings!$B$23=Settings!$C$6,1,IF(Settings!$B$23="USD",1/INDEX(Settings!$B$29:$B$40,MONTH(A4346)),INDEX(Settings!$B$29:$B$40,MONTH(A4346)))))</f>
        <v/>
      </c>
    </row>
    <row r="4347" customFormat="false" ht="15" hidden="false" customHeight="false" outlineLevel="0" collapsed="false">
      <c r="H4347" s="0" t="str">
        <f aca="false">IF(B4347="","",IF(COUNTIF(Campaigns!$A$7:$A$300,B4347)&gt;0,"✓","⚠ add to Campaigns tab"))</f>
        <v/>
      </c>
      <c r="I4347" s="84" t="str">
        <f aca="false">IF(C4347="","",C4347*IF(Settings!$B$23=Settings!$C$6,1,IF(Settings!$B$23="USD",1/INDEX(Settings!$B$29:$B$40,MONTH(A4347)),INDEX(Settings!$B$29:$B$40,MONTH(A4347)))))</f>
        <v/>
      </c>
    </row>
    <row r="4348" customFormat="false" ht="15" hidden="false" customHeight="false" outlineLevel="0" collapsed="false">
      <c r="H4348" s="0" t="str">
        <f aca="false">IF(B4348="","",IF(COUNTIF(Campaigns!$A$7:$A$300,B4348)&gt;0,"✓","⚠ add to Campaigns tab"))</f>
        <v/>
      </c>
      <c r="I4348" s="84" t="str">
        <f aca="false">IF(C4348="","",C4348*IF(Settings!$B$23=Settings!$C$6,1,IF(Settings!$B$23="USD",1/INDEX(Settings!$B$29:$B$40,MONTH(A4348)),INDEX(Settings!$B$29:$B$40,MONTH(A4348)))))</f>
        <v/>
      </c>
    </row>
    <row r="4349" customFormat="false" ht="15" hidden="false" customHeight="false" outlineLevel="0" collapsed="false">
      <c r="H4349" s="0" t="str">
        <f aca="false">IF(B4349="","",IF(COUNTIF(Campaigns!$A$7:$A$300,B4349)&gt;0,"✓","⚠ add to Campaigns tab"))</f>
        <v/>
      </c>
      <c r="I4349" s="84" t="str">
        <f aca="false">IF(C4349="","",C4349*IF(Settings!$B$23=Settings!$C$6,1,IF(Settings!$B$23="USD",1/INDEX(Settings!$B$29:$B$40,MONTH(A4349)),INDEX(Settings!$B$29:$B$40,MONTH(A4349)))))</f>
        <v/>
      </c>
    </row>
    <row r="4350" customFormat="false" ht="15" hidden="false" customHeight="false" outlineLevel="0" collapsed="false">
      <c r="H4350" s="0" t="str">
        <f aca="false">IF(B4350="","",IF(COUNTIF(Campaigns!$A$7:$A$300,B4350)&gt;0,"✓","⚠ add to Campaigns tab"))</f>
        <v/>
      </c>
      <c r="I4350" s="84" t="str">
        <f aca="false">IF(C4350="","",C4350*IF(Settings!$B$23=Settings!$C$6,1,IF(Settings!$B$23="USD",1/INDEX(Settings!$B$29:$B$40,MONTH(A4350)),INDEX(Settings!$B$29:$B$40,MONTH(A4350)))))</f>
        <v/>
      </c>
    </row>
    <row r="4351" customFormat="false" ht="15" hidden="false" customHeight="false" outlineLevel="0" collapsed="false">
      <c r="H4351" s="0" t="str">
        <f aca="false">IF(B4351="","",IF(COUNTIF(Campaigns!$A$7:$A$300,B4351)&gt;0,"✓","⚠ add to Campaigns tab"))</f>
        <v/>
      </c>
      <c r="I4351" s="84" t="str">
        <f aca="false">IF(C4351="","",C4351*IF(Settings!$B$23=Settings!$C$6,1,IF(Settings!$B$23="USD",1/INDEX(Settings!$B$29:$B$40,MONTH(A4351)),INDEX(Settings!$B$29:$B$40,MONTH(A4351)))))</f>
        <v/>
      </c>
    </row>
    <row r="4352" customFormat="false" ht="15" hidden="false" customHeight="false" outlineLevel="0" collapsed="false">
      <c r="H4352" s="0" t="str">
        <f aca="false">IF(B4352="","",IF(COUNTIF(Campaigns!$A$7:$A$300,B4352)&gt;0,"✓","⚠ add to Campaigns tab"))</f>
        <v/>
      </c>
      <c r="I4352" s="84" t="str">
        <f aca="false">IF(C4352="","",C4352*IF(Settings!$B$23=Settings!$C$6,1,IF(Settings!$B$23="USD",1/INDEX(Settings!$B$29:$B$40,MONTH(A4352)),INDEX(Settings!$B$29:$B$40,MONTH(A4352)))))</f>
        <v/>
      </c>
    </row>
    <row r="4353" customFormat="false" ht="15" hidden="false" customHeight="false" outlineLevel="0" collapsed="false">
      <c r="H4353" s="0" t="str">
        <f aca="false">IF(B4353="","",IF(COUNTIF(Campaigns!$A$7:$A$300,B4353)&gt;0,"✓","⚠ add to Campaigns tab"))</f>
        <v/>
      </c>
      <c r="I4353" s="84" t="str">
        <f aca="false">IF(C4353="","",C4353*IF(Settings!$B$23=Settings!$C$6,1,IF(Settings!$B$23="USD",1/INDEX(Settings!$B$29:$B$40,MONTH(A4353)),INDEX(Settings!$B$29:$B$40,MONTH(A4353)))))</f>
        <v/>
      </c>
    </row>
    <row r="4354" customFormat="false" ht="15" hidden="false" customHeight="false" outlineLevel="0" collapsed="false">
      <c r="H4354" s="0" t="str">
        <f aca="false">IF(B4354="","",IF(COUNTIF(Campaigns!$A$7:$A$300,B4354)&gt;0,"✓","⚠ add to Campaigns tab"))</f>
        <v/>
      </c>
      <c r="I4354" s="84" t="str">
        <f aca="false">IF(C4354="","",C4354*IF(Settings!$B$23=Settings!$C$6,1,IF(Settings!$B$23="USD",1/INDEX(Settings!$B$29:$B$40,MONTH(A4354)),INDEX(Settings!$B$29:$B$40,MONTH(A4354)))))</f>
        <v/>
      </c>
    </row>
    <row r="4355" customFormat="false" ht="15" hidden="false" customHeight="false" outlineLevel="0" collapsed="false">
      <c r="H4355" s="0" t="str">
        <f aca="false">IF(B4355="","",IF(COUNTIF(Campaigns!$A$7:$A$300,B4355)&gt;0,"✓","⚠ add to Campaigns tab"))</f>
        <v/>
      </c>
      <c r="I4355" s="84" t="str">
        <f aca="false">IF(C4355="","",C4355*IF(Settings!$B$23=Settings!$C$6,1,IF(Settings!$B$23="USD",1/INDEX(Settings!$B$29:$B$40,MONTH(A4355)),INDEX(Settings!$B$29:$B$40,MONTH(A4355)))))</f>
        <v/>
      </c>
    </row>
    <row r="4356" customFormat="false" ht="15" hidden="false" customHeight="false" outlineLevel="0" collapsed="false">
      <c r="H4356" s="0" t="str">
        <f aca="false">IF(B4356="","",IF(COUNTIF(Campaigns!$A$7:$A$300,B4356)&gt;0,"✓","⚠ add to Campaigns tab"))</f>
        <v/>
      </c>
      <c r="I4356" s="84" t="str">
        <f aca="false">IF(C4356="","",C4356*IF(Settings!$B$23=Settings!$C$6,1,IF(Settings!$B$23="USD",1/INDEX(Settings!$B$29:$B$40,MONTH(A4356)),INDEX(Settings!$B$29:$B$40,MONTH(A4356)))))</f>
        <v/>
      </c>
    </row>
    <row r="4357" customFormat="false" ht="15" hidden="false" customHeight="false" outlineLevel="0" collapsed="false">
      <c r="H4357" s="0" t="str">
        <f aca="false">IF(B4357="","",IF(COUNTIF(Campaigns!$A$7:$A$300,B4357)&gt;0,"✓","⚠ add to Campaigns tab"))</f>
        <v/>
      </c>
      <c r="I4357" s="84" t="str">
        <f aca="false">IF(C4357="","",C4357*IF(Settings!$B$23=Settings!$C$6,1,IF(Settings!$B$23="USD",1/INDEX(Settings!$B$29:$B$40,MONTH(A4357)),INDEX(Settings!$B$29:$B$40,MONTH(A4357)))))</f>
        <v/>
      </c>
    </row>
    <row r="4358" customFormat="false" ht="15" hidden="false" customHeight="false" outlineLevel="0" collapsed="false">
      <c r="H4358" s="0" t="str">
        <f aca="false">IF(B4358="","",IF(COUNTIF(Campaigns!$A$7:$A$300,B4358)&gt;0,"✓","⚠ add to Campaigns tab"))</f>
        <v/>
      </c>
      <c r="I4358" s="84" t="str">
        <f aca="false">IF(C4358="","",C4358*IF(Settings!$B$23=Settings!$C$6,1,IF(Settings!$B$23="USD",1/INDEX(Settings!$B$29:$B$40,MONTH(A4358)),INDEX(Settings!$B$29:$B$40,MONTH(A4358)))))</f>
        <v/>
      </c>
    </row>
    <row r="4359" customFormat="false" ht="15" hidden="false" customHeight="false" outlineLevel="0" collapsed="false">
      <c r="H4359" s="0" t="str">
        <f aca="false">IF(B4359="","",IF(COUNTIF(Campaigns!$A$7:$A$300,B4359)&gt;0,"✓","⚠ add to Campaigns tab"))</f>
        <v/>
      </c>
      <c r="I4359" s="84" t="str">
        <f aca="false">IF(C4359="","",C4359*IF(Settings!$B$23=Settings!$C$6,1,IF(Settings!$B$23="USD",1/INDEX(Settings!$B$29:$B$40,MONTH(A4359)),INDEX(Settings!$B$29:$B$40,MONTH(A4359)))))</f>
        <v/>
      </c>
    </row>
    <row r="4360" customFormat="false" ht="15" hidden="false" customHeight="false" outlineLevel="0" collapsed="false">
      <c r="H4360" s="0" t="str">
        <f aca="false">IF(B4360="","",IF(COUNTIF(Campaigns!$A$7:$A$300,B4360)&gt;0,"✓","⚠ add to Campaigns tab"))</f>
        <v/>
      </c>
      <c r="I4360" s="84" t="str">
        <f aca="false">IF(C4360="","",C4360*IF(Settings!$B$23=Settings!$C$6,1,IF(Settings!$B$23="USD",1/INDEX(Settings!$B$29:$B$40,MONTH(A4360)),INDEX(Settings!$B$29:$B$40,MONTH(A4360)))))</f>
        <v/>
      </c>
    </row>
    <row r="4361" customFormat="false" ht="15" hidden="false" customHeight="false" outlineLevel="0" collapsed="false">
      <c r="H4361" s="0" t="str">
        <f aca="false">IF(B4361="","",IF(COUNTIF(Campaigns!$A$7:$A$300,B4361)&gt;0,"✓","⚠ add to Campaigns tab"))</f>
        <v/>
      </c>
      <c r="I4361" s="84" t="str">
        <f aca="false">IF(C4361="","",C4361*IF(Settings!$B$23=Settings!$C$6,1,IF(Settings!$B$23="USD",1/INDEX(Settings!$B$29:$B$40,MONTH(A4361)),INDEX(Settings!$B$29:$B$40,MONTH(A4361)))))</f>
        <v/>
      </c>
    </row>
    <row r="4362" customFormat="false" ht="15" hidden="false" customHeight="false" outlineLevel="0" collapsed="false">
      <c r="H4362" s="0" t="str">
        <f aca="false">IF(B4362="","",IF(COUNTIF(Campaigns!$A$7:$A$300,B4362)&gt;0,"✓","⚠ add to Campaigns tab"))</f>
        <v/>
      </c>
      <c r="I4362" s="84" t="str">
        <f aca="false">IF(C4362="","",C4362*IF(Settings!$B$23=Settings!$C$6,1,IF(Settings!$B$23="USD",1/INDEX(Settings!$B$29:$B$40,MONTH(A4362)),INDEX(Settings!$B$29:$B$40,MONTH(A4362)))))</f>
        <v/>
      </c>
    </row>
    <row r="4363" customFormat="false" ht="15" hidden="false" customHeight="false" outlineLevel="0" collapsed="false">
      <c r="H4363" s="0" t="str">
        <f aca="false">IF(B4363="","",IF(COUNTIF(Campaigns!$A$7:$A$300,B4363)&gt;0,"✓","⚠ add to Campaigns tab"))</f>
        <v/>
      </c>
      <c r="I4363" s="84" t="str">
        <f aca="false">IF(C4363="","",C4363*IF(Settings!$B$23=Settings!$C$6,1,IF(Settings!$B$23="USD",1/INDEX(Settings!$B$29:$B$40,MONTH(A4363)),INDEX(Settings!$B$29:$B$40,MONTH(A4363)))))</f>
        <v/>
      </c>
    </row>
    <row r="4364" customFormat="false" ht="15" hidden="false" customHeight="false" outlineLevel="0" collapsed="false">
      <c r="H4364" s="0" t="str">
        <f aca="false">IF(B4364="","",IF(COUNTIF(Campaigns!$A$7:$A$300,B4364)&gt;0,"✓","⚠ add to Campaigns tab"))</f>
        <v/>
      </c>
      <c r="I4364" s="84" t="str">
        <f aca="false">IF(C4364="","",C4364*IF(Settings!$B$23=Settings!$C$6,1,IF(Settings!$B$23="USD",1/INDEX(Settings!$B$29:$B$40,MONTH(A4364)),INDEX(Settings!$B$29:$B$40,MONTH(A4364)))))</f>
        <v/>
      </c>
    </row>
    <row r="4365" customFormat="false" ht="15" hidden="false" customHeight="false" outlineLevel="0" collapsed="false">
      <c r="H4365" s="0" t="str">
        <f aca="false">IF(B4365="","",IF(COUNTIF(Campaigns!$A$7:$A$300,B4365)&gt;0,"✓","⚠ add to Campaigns tab"))</f>
        <v/>
      </c>
      <c r="I4365" s="84" t="str">
        <f aca="false">IF(C4365="","",C4365*IF(Settings!$B$23=Settings!$C$6,1,IF(Settings!$B$23="USD",1/INDEX(Settings!$B$29:$B$40,MONTH(A4365)),INDEX(Settings!$B$29:$B$40,MONTH(A4365)))))</f>
        <v/>
      </c>
    </row>
    <row r="4366" customFormat="false" ht="15" hidden="false" customHeight="false" outlineLevel="0" collapsed="false">
      <c r="H4366" s="0" t="str">
        <f aca="false">IF(B4366="","",IF(COUNTIF(Campaigns!$A$7:$A$300,B4366)&gt;0,"✓","⚠ add to Campaigns tab"))</f>
        <v/>
      </c>
      <c r="I4366" s="84" t="str">
        <f aca="false">IF(C4366="","",C4366*IF(Settings!$B$23=Settings!$C$6,1,IF(Settings!$B$23="USD",1/INDEX(Settings!$B$29:$B$40,MONTH(A4366)),INDEX(Settings!$B$29:$B$40,MONTH(A4366)))))</f>
        <v/>
      </c>
    </row>
    <row r="4367" customFormat="false" ht="15" hidden="false" customHeight="false" outlineLevel="0" collapsed="false">
      <c r="H4367" s="0" t="str">
        <f aca="false">IF(B4367="","",IF(COUNTIF(Campaigns!$A$7:$A$300,B4367)&gt;0,"✓","⚠ add to Campaigns tab"))</f>
        <v/>
      </c>
      <c r="I4367" s="84" t="str">
        <f aca="false">IF(C4367="","",C4367*IF(Settings!$B$23=Settings!$C$6,1,IF(Settings!$B$23="USD",1/INDEX(Settings!$B$29:$B$40,MONTH(A4367)),INDEX(Settings!$B$29:$B$40,MONTH(A4367)))))</f>
        <v/>
      </c>
    </row>
    <row r="4368" customFormat="false" ht="15" hidden="false" customHeight="false" outlineLevel="0" collapsed="false">
      <c r="H4368" s="0" t="str">
        <f aca="false">IF(B4368="","",IF(COUNTIF(Campaigns!$A$7:$A$300,B4368)&gt;0,"✓","⚠ add to Campaigns tab"))</f>
        <v/>
      </c>
      <c r="I4368" s="84" t="str">
        <f aca="false">IF(C4368="","",C4368*IF(Settings!$B$23=Settings!$C$6,1,IF(Settings!$B$23="USD",1/INDEX(Settings!$B$29:$B$40,MONTH(A4368)),INDEX(Settings!$B$29:$B$40,MONTH(A4368)))))</f>
        <v/>
      </c>
    </row>
    <row r="4369" customFormat="false" ht="15" hidden="false" customHeight="false" outlineLevel="0" collapsed="false">
      <c r="H4369" s="0" t="str">
        <f aca="false">IF(B4369="","",IF(COUNTIF(Campaigns!$A$7:$A$300,B4369)&gt;0,"✓","⚠ add to Campaigns tab"))</f>
        <v/>
      </c>
      <c r="I4369" s="84" t="str">
        <f aca="false">IF(C4369="","",C4369*IF(Settings!$B$23=Settings!$C$6,1,IF(Settings!$B$23="USD",1/INDEX(Settings!$B$29:$B$40,MONTH(A4369)),INDEX(Settings!$B$29:$B$40,MONTH(A4369)))))</f>
        <v/>
      </c>
    </row>
    <row r="4370" customFormat="false" ht="15" hidden="false" customHeight="false" outlineLevel="0" collapsed="false">
      <c r="H4370" s="0" t="str">
        <f aca="false">IF(B4370="","",IF(COUNTIF(Campaigns!$A$7:$A$300,B4370)&gt;0,"✓","⚠ add to Campaigns tab"))</f>
        <v/>
      </c>
      <c r="I4370" s="84" t="str">
        <f aca="false">IF(C4370="","",C4370*IF(Settings!$B$23=Settings!$C$6,1,IF(Settings!$B$23="USD",1/INDEX(Settings!$B$29:$B$40,MONTH(A4370)),INDEX(Settings!$B$29:$B$40,MONTH(A4370)))))</f>
        <v/>
      </c>
    </row>
    <row r="4371" customFormat="false" ht="15" hidden="false" customHeight="false" outlineLevel="0" collapsed="false">
      <c r="H4371" s="0" t="str">
        <f aca="false">IF(B4371="","",IF(COUNTIF(Campaigns!$A$7:$A$300,B4371)&gt;0,"✓","⚠ add to Campaigns tab"))</f>
        <v/>
      </c>
      <c r="I4371" s="84" t="str">
        <f aca="false">IF(C4371="","",C4371*IF(Settings!$B$23=Settings!$C$6,1,IF(Settings!$B$23="USD",1/INDEX(Settings!$B$29:$B$40,MONTH(A4371)),INDEX(Settings!$B$29:$B$40,MONTH(A4371)))))</f>
        <v/>
      </c>
    </row>
    <row r="4372" customFormat="false" ht="15" hidden="false" customHeight="false" outlineLevel="0" collapsed="false">
      <c r="H4372" s="0" t="str">
        <f aca="false">IF(B4372="","",IF(COUNTIF(Campaigns!$A$7:$A$300,B4372)&gt;0,"✓","⚠ add to Campaigns tab"))</f>
        <v/>
      </c>
      <c r="I4372" s="84" t="str">
        <f aca="false">IF(C4372="","",C4372*IF(Settings!$B$23=Settings!$C$6,1,IF(Settings!$B$23="USD",1/INDEX(Settings!$B$29:$B$40,MONTH(A4372)),INDEX(Settings!$B$29:$B$40,MONTH(A4372)))))</f>
        <v/>
      </c>
    </row>
    <row r="4373" customFormat="false" ht="15" hidden="false" customHeight="false" outlineLevel="0" collapsed="false">
      <c r="H4373" s="0" t="str">
        <f aca="false">IF(B4373="","",IF(COUNTIF(Campaigns!$A$7:$A$300,B4373)&gt;0,"✓","⚠ add to Campaigns tab"))</f>
        <v/>
      </c>
      <c r="I4373" s="84" t="str">
        <f aca="false">IF(C4373="","",C4373*IF(Settings!$B$23=Settings!$C$6,1,IF(Settings!$B$23="USD",1/INDEX(Settings!$B$29:$B$40,MONTH(A4373)),INDEX(Settings!$B$29:$B$40,MONTH(A4373)))))</f>
        <v/>
      </c>
    </row>
    <row r="4374" customFormat="false" ht="15" hidden="false" customHeight="false" outlineLevel="0" collapsed="false">
      <c r="H4374" s="0" t="str">
        <f aca="false">IF(B4374="","",IF(COUNTIF(Campaigns!$A$7:$A$300,B4374)&gt;0,"✓","⚠ add to Campaigns tab"))</f>
        <v/>
      </c>
      <c r="I4374" s="84" t="str">
        <f aca="false">IF(C4374="","",C4374*IF(Settings!$B$23=Settings!$C$6,1,IF(Settings!$B$23="USD",1/INDEX(Settings!$B$29:$B$40,MONTH(A4374)),INDEX(Settings!$B$29:$B$40,MONTH(A4374)))))</f>
        <v/>
      </c>
    </row>
    <row r="4375" customFormat="false" ht="15" hidden="false" customHeight="false" outlineLevel="0" collapsed="false">
      <c r="H4375" s="0" t="str">
        <f aca="false">IF(B4375="","",IF(COUNTIF(Campaigns!$A$7:$A$300,B4375)&gt;0,"✓","⚠ add to Campaigns tab"))</f>
        <v/>
      </c>
      <c r="I4375" s="84" t="str">
        <f aca="false">IF(C4375="","",C4375*IF(Settings!$B$23=Settings!$C$6,1,IF(Settings!$B$23="USD",1/INDEX(Settings!$B$29:$B$40,MONTH(A4375)),INDEX(Settings!$B$29:$B$40,MONTH(A4375)))))</f>
        <v/>
      </c>
    </row>
    <row r="4376" customFormat="false" ht="15" hidden="false" customHeight="false" outlineLevel="0" collapsed="false">
      <c r="H4376" s="0" t="str">
        <f aca="false">IF(B4376="","",IF(COUNTIF(Campaigns!$A$7:$A$300,B4376)&gt;0,"✓","⚠ add to Campaigns tab"))</f>
        <v/>
      </c>
      <c r="I4376" s="84" t="str">
        <f aca="false">IF(C4376="","",C4376*IF(Settings!$B$23=Settings!$C$6,1,IF(Settings!$B$23="USD",1/INDEX(Settings!$B$29:$B$40,MONTH(A4376)),INDEX(Settings!$B$29:$B$40,MONTH(A4376)))))</f>
        <v/>
      </c>
    </row>
    <row r="4377" customFormat="false" ht="15" hidden="false" customHeight="false" outlineLevel="0" collapsed="false">
      <c r="H4377" s="0" t="str">
        <f aca="false">IF(B4377="","",IF(COUNTIF(Campaigns!$A$7:$A$300,B4377)&gt;0,"✓","⚠ add to Campaigns tab"))</f>
        <v/>
      </c>
      <c r="I4377" s="84" t="str">
        <f aca="false">IF(C4377="","",C4377*IF(Settings!$B$23=Settings!$C$6,1,IF(Settings!$B$23="USD",1/INDEX(Settings!$B$29:$B$40,MONTH(A4377)),INDEX(Settings!$B$29:$B$40,MONTH(A4377)))))</f>
        <v/>
      </c>
    </row>
    <row r="4378" customFormat="false" ht="15" hidden="false" customHeight="false" outlineLevel="0" collapsed="false">
      <c r="H4378" s="0" t="str">
        <f aca="false">IF(B4378="","",IF(COUNTIF(Campaigns!$A$7:$A$300,B4378)&gt;0,"✓","⚠ add to Campaigns tab"))</f>
        <v/>
      </c>
      <c r="I4378" s="84" t="str">
        <f aca="false">IF(C4378="","",C4378*IF(Settings!$B$23=Settings!$C$6,1,IF(Settings!$B$23="USD",1/INDEX(Settings!$B$29:$B$40,MONTH(A4378)),INDEX(Settings!$B$29:$B$40,MONTH(A4378)))))</f>
        <v/>
      </c>
    </row>
    <row r="4379" customFormat="false" ht="15" hidden="false" customHeight="false" outlineLevel="0" collapsed="false">
      <c r="H4379" s="0" t="str">
        <f aca="false">IF(B4379="","",IF(COUNTIF(Campaigns!$A$7:$A$300,B4379)&gt;0,"✓","⚠ add to Campaigns tab"))</f>
        <v/>
      </c>
      <c r="I4379" s="84" t="str">
        <f aca="false">IF(C4379="","",C4379*IF(Settings!$B$23=Settings!$C$6,1,IF(Settings!$B$23="USD",1/INDEX(Settings!$B$29:$B$40,MONTH(A4379)),INDEX(Settings!$B$29:$B$40,MONTH(A4379)))))</f>
        <v/>
      </c>
    </row>
    <row r="4380" customFormat="false" ht="15" hidden="false" customHeight="false" outlineLevel="0" collapsed="false">
      <c r="H4380" s="0" t="str">
        <f aca="false">IF(B4380="","",IF(COUNTIF(Campaigns!$A$7:$A$300,B4380)&gt;0,"✓","⚠ add to Campaigns tab"))</f>
        <v/>
      </c>
      <c r="I4380" s="84" t="str">
        <f aca="false">IF(C4380="","",C4380*IF(Settings!$B$23=Settings!$C$6,1,IF(Settings!$B$23="USD",1/INDEX(Settings!$B$29:$B$40,MONTH(A4380)),INDEX(Settings!$B$29:$B$40,MONTH(A4380)))))</f>
        <v/>
      </c>
    </row>
    <row r="4381" customFormat="false" ht="15" hidden="false" customHeight="false" outlineLevel="0" collapsed="false">
      <c r="H4381" s="0" t="str">
        <f aca="false">IF(B4381="","",IF(COUNTIF(Campaigns!$A$7:$A$300,B4381)&gt;0,"✓","⚠ add to Campaigns tab"))</f>
        <v/>
      </c>
      <c r="I4381" s="84" t="str">
        <f aca="false">IF(C4381="","",C4381*IF(Settings!$B$23=Settings!$C$6,1,IF(Settings!$B$23="USD",1/INDEX(Settings!$B$29:$B$40,MONTH(A4381)),INDEX(Settings!$B$29:$B$40,MONTH(A4381)))))</f>
        <v/>
      </c>
    </row>
    <row r="4382" customFormat="false" ht="15" hidden="false" customHeight="false" outlineLevel="0" collapsed="false">
      <c r="H4382" s="0" t="str">
        <f aca="false">IF(B4382="","",IF(COUNTIF(Campaigns!$A$7:$A$300,B4382)&gt;0,"✓","⚠ add to Campaigns tab"))</f>
        <v/>
      </c>
      <c r="I4382" s="84" t="str">
        <f aca="false">IF(C4382="","",C4382*IF(Settings!$B$23=Settings!$C$6,1,IF(Settings!$B$23="USD",1/INDEX(Settings!$B$29:$B$40,MONTH(A4382)),INDEX(Settings!$B$29:$B$40,MONTH(A4382)))))</f>
        <v/>
      </c>
    </row>
    <row r="4383" customFormat="false" ht="15" hidden="false" customHeight="false" outlineLevel="0" collapsed="false">
      <c r="H4383" s="0" t="str">
        <f aca="false">IF(B4383="","",IF(COUNTIF(Campaigns!$A$7:$A$300,B4383)&gt;0,"✓","⚠ add to Campaigns tab"))</f>
        <v/>
      </c>
      <c r="I4383" s="84" t="str">
        <f aca="false">IF(C4383="","",C4383*IF(Settings!$B$23=Settings!$C$6,1,IF(Settings!$B$23="USD",1/INDEX(Settings!$B$29:$B$40,MONTH(A4383)),INDEX(Settings!$B$29:$B$40,MONTH(A4383)))))</f>
        <v/>
      </c>
    </row>
    <row r="4384" customFormat="false" ht="15" hidden="false" customHeight="false" outlineLevel="0" collapsed="false">
      <c r="H4384" s="0" t="str">
        <f aca="false">IF(B4384="","",IF(COUNTIF(Campaigns!$A$7:$A$300,B4384)&gt;0,"✓","⚠ add to Campaigns tab"))</f>
        <v/>
      </c>
      <c r="I4384" s="84" t="str">
        <f aca="false">IF(C4384="","",C4384*IF(Settings!$B$23=Settings!$C$6,1,IF(Settings!$B$23="USD",1/INDEX(Settings!$B$29:$B$40,MONTH(A4384)),INDEX(Settings!$B$29:$B$40,MONTH(A4384)))))</f>
        <v/>
      </c>
    </row>
    <row r="4385" customFormat="false" ht="15" hidden="false" customHeight="false" outlineLevel="0" collapsed="false">
      <c r="H4385" s="0" t="str">
        <f aca="false">IF(B4385="","",IF(COUNTIF(Campaigns!$A$7:$A$300,B4385)&gt;0,"✓","⚠ add to Campaigns tab"))</f>
        <v/>
      </c>
      <c r="I4385" s="84" t="str">
        <f aca="false">IF(C4385="","",C4385*IF(Settings!$B$23=Settings!$C$6,1,IF(Settings!$B$23="USD",1/INDEX(Settings!$B$29:$B$40,MONTH(A4385)),INDEX(Settings!$B$29:$B$40,MONTH(A4385)))))</f>
        <v/>
      </c>
    </row>
    <row r="4386" customFormat="false" ht="15" hidden="false" customHeight="false" outlineLevel="0" collapsed="false">
      <c r="H4386" s="0" t="str">
        <f aca="false">IF(B4386="","",IF(COUNTIF(Campaigns!$A$7:$A$300,B4386)&gt;0,"✓","⚠ add to Campaigns tab"))</f>
        <v/>
      </c>
      <c r="I4386" s="84" t="str">
        <f aca="false">IF(C4386="","",C4386*IF(Settings!$B$23=Settings!$C$6,1,IF(Settings!$B$23="USD",1/INDEX(Settings!$B$29:$B$40,MONTH(A4386)),INDEX(Settings!$B$29:$B$40,MONTH(A4386)))))</f>
        <v/>
      </c>
    </row>
    <row r="4387" customFormat="false" ht="15" hidden="false" customHeight="false" outlineLevel="0" collapsed="false">
      <c r="H4387" s="0" t="str">
        <f aca="false">IF(B4387="","",IF(COUNTIF(Campaigns!$A$7:$A$300,B4387)&gt;0,"✓","⚠ add to Campaigns tab"))</f>
        <v/>
      </c>
      <c r="I4387" s="84" t="str">
        <f aca="false">IF(C4387="","",C4387*IF(Settings!$B$23=Settings!$C$6,1,IF(Settings!$B$23="USD",1/INDEX(Settings!$B$29:$B$40,MONTH(A4387)),INDEX(Settings!$B$29:$B$40,MONTH(A4387)))))</f>
        <v/>
      </c>
    </row>
    <row r="4388" customFormat="false" ht="15" hidden="false" customHeight="false" outlineLevel="0" collapsed="false">
      <c r="H4388" s="0" t="str">
        <f aca="false">IF(B4388="","",IF(COUNTIF(Campaigns!$A$7:$A$300,B4388)&gt;0,"✓","⚠ add to Campaigns tab"))</f>
        <v/>
      </c>
      <c r="I4388" s="84" t="str">
        <f aca="false">IF(C4388="","",C4388*IF(Settings!$B$23=Settings!$C$6,1,IF(Settings!$B$23="USD",1/INDEX(Settings!$B$29:$B$40,MONTH(A4388)),INDEX(Settings!$B$29:$B$40,MONTH(A4388)))))</f>
        <v/>
      </c>
    </row>
    <row r="4389" customFormat="false" ht="15" hidden="false" customHeight="false" outlineLevel="0" collapsed="false">
      <c r="H4389" s="0" t="str">
        <f aca="false">IF(B4389="","",IF(COUNTIF(Campaigns!$A$7:$A$300,B4389)&gt;0,"✓","⚠ add to Campaigns tab"))</f>
        <v/>
      </c>
      <c r="I4389" s="84" t="str">
        <f aca="false">IF(C4389="","",C4389*IF(Settings!$B$23=Settings!$C$6,1,IF(Settings!$B$23="USD",1/INDEX(Settings!$B$29:$B$40,MONTH(A4389)),INDEX(Settings!$B$29:$B$40,MONTH(A4389)))))</f>
        <v/>
      </c>
    </row>
    <row r="4390" customFormat="false" ht="15" hidden="false" customHeight="false" outlineLevel="0" collapsed="false">
      <c r="H4390" s="0" t="str">
        <f aca="false">IF(B4390="","",IF(COUNTIF(Campaigns!$A$7:$A$300,B4390)&gt;0,"✓","⚠ add to Campaigns tab"))</f>
        <v/>
      </c>
      <c r="I4390" s="84" t="str">
        <f aca="false">IF(C4390="","",C4390*IF(Settings!$B$23=Settings!$C$6,1,IF(Settings!$B$23="USD",1/INDEX(Settings!$B$29:$B$40,MONTH(A4390)),INDEX(Settings!$B$29:$B$40,MONTH(A4390)))))</f>
        <v/>
      </c>
    </row>
    <row r="4391" customFormat="false" ht="15" hidden="false" customHeight="false" outlineLevel="0" collapsed="false">
      <c r="H4391" s="0" t="str">
        <f aca="false">IF(B4391="","",IF(COUNTIF(Campaigns!$A$7:$A$300,B4391)&gt;0,"✓","⚠ add to Campaigns tab"))</f>
        <v/>
      </c>
      <c r="I4391" s="84" t="str">
        <f aca="false">IF(C4391="","",C4391*IF(Settings!$B$23=Settings!$C$6,1,IF(Settings!$B$23="USD",1/INDEX(Settings!$B$29:$B$40,MONTH(A4391)),INDEX(Settings!$B$29:$B$40,MONTH(A4391)))))</f>
        <v/>
      </c>
    </row>
    <row r="4392" customFormat="false" ht="15" hidden="false" customHeight="false" outlineLevel="0" collapsed="false">
      <c r="H4392" s="0" t="str">
        <f aca="false">IF(B4392="","",IF(COUNTIF(Campaigns!$A$7:$A$300,B4392)&gt;0,"✓","⚠ add to Campaigns tab"))</f>
        <v/>
      </c>
      <c r="I4392" s="84" t="str">
        <f aca="false">IF(C4392="","",C4392*IF(Settings!$B$23=Settings!$C$6,1,IF(Settings!$B$23="USD",1/INDEX(Settings!$B$29:$B$40,MONTH(A4392)),INDEX(Settings!$B$29:$B$40,MONTH(A4392)))))</f>
        <v/>
      </c>
    </row>
    <row r="4393" customFormat="false" ht="15" hidden="false" customHeight="false" outlineLevel="0" collapsed="false">
      <c r="H4393" s="0" t="str">
        <f aca="false">IF(B4393="","",IF(COUNTIF(Campaigns!$A$7:$A$300,B4393)&gt;0,"✓","⚠ add to Campaigns tab"))</f>
        <v/>
      </c>
      <c r="I4393" s="84" t="str">
        <f aca="false">IF(C4393="","",C4393*IF(Settings!$B$23=Settings!$C$6,1,IF(Settings!$B$23="USD",1/INDEX(Settings!$B$29:$B$40,MONTH(A4393)),INDEX(Settings!$B$29:$B$40,MONTH(A4393)))))</f>
        <v/>
      </c>
    </row>
    <row r="4394" customFormat="false" ht="15" hidden="false" customHeight="false" outlineLevel="0" collapsed="false">
      <c r="H4394" s="0" t="str">
        <f aca="false">IF(B4394="","",IF(COUNTIF(Campaigns!$A$7:$A$300,B4394)&gt;0,"✓","⚠ add to Campaigns tab"))</f>
        <v/>
      </c>
      <c r="I4394" s="84" t="str">
        <f aca="false">IF(C4394="","",C4394*IF(Settings!$B$23=Settings!$C$6,1,IF(Settings!$B$23="USD",1/INDEX(Settings!$B$29:$B$40,MONTH(A4394)),INDEX(Settings!$B$29:$B$40,MONTH(A4394)))))</f>
        <v/>
      </c>
    </row>
    <row r="4395" customFormat="false" ht="15" hidden="false" customHeight="false" outlineLevel="0" collapsed="false">
      <c r="H4395" s="0" t="str">
        <f aca="false">IF(B4395="","",IF(COUNTIF(Campaigns!$A$7:$A$300,B4395)&gt;0,"✓","⚠ add to Campaigns tab"))</f>
        <v/>
      </c>
      <c r="I4395" s="84" t="str">
        <f aca="false">IF(C4395="","",C4395*IF(Settings!$B$23=Settings!$C$6,1,IF(Settings!$B$23="USD",1/INDEX(Settings!$B$29:$B$40,MONTH(A4395)),INDEX(Settings!$B$29:$B$40,MONTH(A4395)))))</f>
        <v/>
      </c>
    </row>
    <row r="4396" customFormat="false" ht="15" hidden="false" customHeight="false" outlineLevel="0" collapsed="false">
      <c r="H4396" s="0" t="str">
        <f aca="false">IF(B4396="","",IF(COUNTIF(Campaigns!$A$7:$A$300,B4396)&gt;0,"✓","⚠ add to Campaigns tab"))</f>
        <v/>
      </c>
      <c r="I4396" s="84" t="str">
        <f aca="false">IF(C4396="","",C4396*IF(Settings!$B$23=Settings!$C$6,1,IF(Settings!$B$23="USD",1/INDEX(Settings!$B$29:$B$40,MONTH(A4396)),INDEX(Settings!$B$29:$B$40,MONTH(A4396)))))</f>
        <v/>
      </c>
    </row>
    <row r="4397" customFormat="false" ht="15" hidden="false" customHeight="false" outlineLevel="0" collapsed="false">
      <c r="H4397" s="0" t="str">
        <f aca="false">IF(B4397="","",IF(COUNTIF(Campaigns!$A$7:$A$300,B4397)&gt;0,"✓","⚠ add to Campaigns tab"))</f>
        <v/>
      </c>
      <c r="I4397" s="84" t="str">
        <f aca="false">IF(C4397="","",C4397*IF(Settings!$B$23=Settings!$C$6,1,IF(Settings!$B$23="USD",1/INDEX(Settings!$B$29:$B$40,MONTH(A4397)),INDEX(Settings!$B$29:$B$40,MONTH(A4397)))))</f>
        <v/>
      </c>
    </row>
    <row r="4398" customFormat="false" ht="15" hidden="false" customHeight="false" outlineLevel="0" collapsed="false">
      <c r="H4398" s="0" t="str">
        <f aca="false">IF(B4398="","",IF(COUNTIF(Campaigns!$A$7:$A$300,B4398)&gt;0,"✓","⚠ add to Campaigns tab"))</f>
        <v/>
      </c>
      <c r="I4398" s="84" t="str">
        <f aca="false">IF(C4398="","",C4398*IF(Settings!$B$23=Settings!$C$6,1,IF(Settings!$B$23="USD",1/INDEX(Settings!$B$29:$B$40,MONTH(A4398)),INDEX(Settings!$B$29:$B$40,MONTH(A4398)))))</f>
        <v/>
      </c>
    </row>
    <row r="4399" customFormat="false" ht="15" hidden="false" customHeight="false" outlineLevel="0" collapsed="false">
      <c r="H4399" s="0" t="str">
        <f aca="false">IF(B4399="","",IF(COUNTIF(Campaigns!$A$7:$A$300,B4399)&gt;0,"✓","⚠ add to Campaigns tab"))</f>
        <v/>
      </c>
      <c r="I4399" s="84" t="str">
        <f aca="false">IF(C4399="","",C4399*IF(Settings!$B$23=Settings!$C$6,1,IF(Settings!$B$23="USD",1/INDEX(Settings!$B$29:$B$40,MONTH(A4399)),INDEX(Settings!$B$29:$B$40,MONTH(A4399)))))</f>
        <v/>
      </c>
    </row>
    <row r="4400" customFormat="false" ht="15" hidden="false" customHeight="false" outlineLevel="0" collapsed="false">
      <c r="H4400" s="0" t="str">
        <f aca="false">IF(B4400="","",IF(COUNTIF(Campaigns!$A$7:$A$300,B4400)&gt;0,"✓","⚠ add to Campaigns tab"))</f>
        <v/>
      </c>
      <c r="I4400" s="84" t="str">
        <f aca="false">IF(C4400="","",C4400*IF(Settings!$B$23=Settings!$C$6,1,IF(Settings!$B$23="USD",1/INDEX(Settings!$B$29:$B$40,MONTH(A4400)),INDEX(Settings!$B$29:$B$40,MONTH(A4400)))))</f>
        <v/>
      </c>
    </row>
    <row r="4401" customFormat="false" ht="15" hidden="false" customHeight="false" outlineLevel="0" collapsed="false">
      <c r="H4401" s="0" t="str">
        <f aca="false">IF(B4401="","",IF(COUNTIF(Campaigns!$A$7:$A$300,B4401)&gt;0,"✓","⚠ add to Campaigns tab"))</f>
        <v/>
      </c>
      <c r="I4401" s="84" t="str">
        <f aca="false">IF(C4401="","",C4401*IF(Settings!$B$23=Settings!$C$6,1,IF(Settings!$B$23="USD",1/INDEX(Settings!$B$29:$B$40,MONTH(A4401)),INDEX(Settings!$B$29:$B$40,MONTH(A4401)))))</f>
        <v/>
      </c>
    </row>
    <row r="4402" customFormat="false" ht="15" hidden="false" customHeight="false" outlineLevel="0" collapsed="false">
      <c r="H4402" s="0" t="str">
        <f aca="false">IF(B4402="","",IF(COUNTIF(Campaigns!$A$7:$A$300,B4402)&gt;0,"✓","⚠ add to Campaigns tab"))</f>
        <v/>
      </c>
      <c r="I4402" s="84" t="str">
        <f aca="false">IF(C4402="","",C4402*IF(Settings!$B$23=Settings!$C$6,1,IF(Settings!$B$23="USD",1/INDEX(Settings!$B$29:$B$40,MONTH(A4402)),INDEX(Settings!$B$29:$B$40,MONTH(A4402)))))</f>
        <v/>
      </c>
    </row>
    <row r="4403" customFormat="false" ht="15" hidden="false" customHeight="false" outlineLevel="0" collapsed="false">
      <c r="H4403" s="0" t="str">
        <f aca="false">IF(B4403="","",IF(COUNTIF(Campaigns!$A$7:$A$300,B4403)&gt;0,"✓","⚠ add to Campaigns tab"))</f>
        <v/>
      </c>
      <c r="I4403" s="84" t="str">
        <f aca="false">IF(C4403="","",C4403*IF(Settings!$B$23=Settings!$C$6,1,IF(Settings!$B$23="USD",1/INDEX(Settings!$B$29:$B$40,MONTH(A4403)),INDEX(Settings!$B$29:$B$40,MONTH(A4403)))))</f>
        <v/>
      </c>
    </row>
    <row r="4404" customFormat="false" ht="15" hidden="false" customHeight="false" outlineLevel="0" collapsed="false">
      <c r="H4404" s="0" t="str">
        <f aca="false">IF(B4404="","",IF(COUNTIF(Campaigns!$A$7:$A$300,B4404)&gt;0,"✓","⚠ add to Campaigns tab"))</f>
        <v/>
      </c>
      <c r="I4404" s="84" t="str">
        <f aca="false">IF(C4404="","",C4404*IF(Settings!$B$23=Settings!$C$6,1,IF(Settings!$B$23="USD",1/INDEX(Settings!$B$29:$B$40,MONTH(A4404)),INDEX(Settings!$B$29:$B$40,MONTH(A4404)))))</f>
        <v/>
      </c>
    </row>
    <row r="4405" customFormat="false" ht="15" hidden="false" customHeight="false" outlineLevel="0" collapsed="false">
      <c r="H4405" s="0" t="str">
        <f aca="false">IF(B4405="","",IF(COUNTIF(Campaigns!$A$7:$A$300,B4405)&gt;0,"✓","⚠ add to Campaigns tab"))</f>
        <v/>
      </c>
      <c r="I4405" s="84" t="str">
        <f aca="false">IF(C4405="","",C4405*IF(Settings!$B$23=Settings!$C$6,1,IF(Settings!$B$23="USD",1/INDEX(Settings!$B$29:$B$40,MONTH(A4405)),INDEX(Settings!$B$29:$B$40,MONTH(A4405)))))</f>
        <v/>
      </c>
    </row>
    <row r="4406" customFormat="false" ht="15" hidden="false" customHeight="false" outlineLevel="0" collapsed="false">
      <c r="H4406" s="0" t="str">
        <f aca="false">IF(B4406="","",IF(COUNTIF(Campaigns!$A$7:$A$300,B4406)&gt;0,"✓","⚠ add to Campaigns tab"))</f>
        <v/>
      </c>
      <c r="I4406" s="84" t="str">
        <f aca="false">IF(C4406="","",C4406*IF(Settings!$B$23=Settings!$C$6,1,IF(Settings!$B$23="USD",1/INDEX(Settings!$B$29:$B$40,MONTH(A4406)),INDEX(Settings!$B$29:$B$40,MONTH(A4406)))))</f>
        <v/>
      </c>
    </row>
    <row r="4407" customFormat="false" ht="15" hidden="false" customHeight="false" outlineLevel="0" collapsed="false">
      <c r="H4407" s="0" t="str">
        <f aca="false">IF(B4407="","",IF(COUNTIF(Campaigns!$A$7:$A$300,B4407)&gt;0,"✓","⚠ add to Campaigns tab"))</f>
        <v/>
      </c>
      <c r="I4407" s="84" t="str">
        <f aca="false">IF(C4407="","",C4407*IF(Settings!$B$23=Settings!$C$6,1,IF(Settings!$B$23="USD",1/INDEX(Settings!$B$29:$B$40,MONTH(A4407)),INDEX(Settings!$B$29:$B$40,MONTH(A4407)))))</f>
        <v/>
      </c>
    </row>
    <row r="4408" customFormat="false" ht="15" hidden="false" customHeight="false" outlineLevel="0" collapsed="false">
      <c r="H4408" s="0" t="str">
        <f aca="false">IF(B4408="","",IF(COUNTIF(Campaigns!$A$7:$A$300,B4408)&gt;0,"✓","⚠ add to Campaigns tab"))</f>
        <v/>
      </c>
      <c r="I4408" s="84" t="str">
        <f aca="false">IF(C4408="","",C4408*IF(Settings!$B$23=Settings!$C$6,1,IF(Settings!$B$23="USD",1/INDEX(Settings!$B$29:$B$40,MONTH(A4408)),INDEX(Settings!$B$29:$B$40,MONTH(A4408)))))</f>
        <v/>
      </c>
    </row>
    <row r="4409" customFormat="false" ht="15" hidden="false" customHeight="false" outlineLevel="0" collapsed="false">
      <c r="H4409" s="0" t="str">
        <f aca="false">IF(B4409="","",IF(COUNTIF(Campaigns!$A$7:$A$300,B4409)&gt;0,"✓","⚠ add to Campaigns tab"))</f>
        <v/>
      </c>
      <c r="I4409" s="84" t="str">
        <f aca="false">IF(C4409="","",C4409*IF(Settings!$B$23=Settings!$C$6,1,IF(Settings!$B$23="USD",1/INDEX(Settings!$B$29:$B$40,MONTH(A4409)),INDEX(Settings!$B$29:$B$40,MONTH(A4409)))))</f>
        <v/>
      </c>
    </row>
    <row r="4410" customFormat="false" ht="15" hidden="false" customHeight="false" outlineLevel="0" collapsed="false">
      <c r="H4410" s="0" t="str">
        <f aca="false">IF(B4410="","",IF(COUNTIF(Campaigns!$A$7:$A$300,B4410)&gt;0,"✓","⚠ add to Campaigns tab"))</f>
        <v/>
      </c>
      <c r="I4410" s="84" t="str">
        <f aca="false">IF(C4410="","",C4410*IF(Settings!$B$23=Settings!$C$6,1,IF(Settings!$B$23="USD",1/INDEX(Settings!$B$29:$B$40,MONTH(A4410)),INDEX(Settings!$B$29:$B$40,MONTH(A4410)))))</f>
        <v/>
      </c>
    </row>
    <row r="4411" customFormat="false" ht="15" hidden="false" customHeight="false" outlineLevel="0" collapsed="false">
      <c r="H4411" s="0" t="str">
        <f aca="false">IF(B4411="","",IF(COUNTIF(Campaigns!$A$7:$A$300,B4411)&gt;0,"✓","⚠ add to Campaigns tab"))</f>
        <v/>
      </c>
      <c r="I4411" s="84" t="str">
        <f aca="false">IF(C4411="","",C4411*IF(Settings!$B$23=Settings!$C$6,1,IF(Settings!$B$23="USD",1/INDEX(Settings!$B$29:$B$40,MONTH(A4411)),INDEX(Settings!$B$29:$B$40,MONTH(A4411)))))</f>
        <v/>
      </c>
    </row>
    <row r="4412" customFormat="false" ht="15" hidden="false" customHeight="false" outlineLevel="0" collapsed="false">
      <c r="H4412" s="0" t="str">
        <f aca="false">IF(B4412="","",IF(COUNTIF(Campaigns!$A$7:$A$300,B4412)&gt;0,"✓","⚠ add to Campaigns tab"))</f>
        <v/>
      </c>
      <c r="I4412" s="84" t="str">
        <f aca="false">IF(C4412="","",C4412*IF(Settings!$B$23=Settings!$C$6,1,IF(Settings!$B$23="USD",1/INDEX(Settings!$B$29:$B$40,MONTH(A4412)),INDEX(Settings!$B$29:$B$40,MONTH(A4412)))))</f>
        <v/>
      </c>
    </row>
    <row r="4413" customFormat="false" ht="15" hidden="false" customHeight="false" outlineLevel="0" collapsed="false">
      <c r="H4413" s="0" t="str">
        <f aca="false">IF(B4413="","",IF(COUNTIF(Campaigns!$A$7:$A$300,B4413)&gt;0,"✓","⚠ add to Campaigns tab"))</f>
        <v/>
      </c>
      <c r="I4413" s="84" t="str">
        <f aca="false">IF(C4413="","",C4413*IF(Settings!$B$23=Settings!$C$6,1,IF(Settings!$B$23="USD",1/INDEX(Settings!$B$29:$B$40,MONTH(A4413)),INDEX(Settings!$B$29:$B$40,MONTH(A4413)))))</f>
        <v/>
      </c>
    </row>
    <row r="4414" customFormat="false" ht="15" hidden="false" customHeight="false" outlineLevel="0" collapsed="false">
      <c r="H4414" s="0" t="str">
        <f aca="false">IF(B4414="","",IF(COUNTIF(Campaigns!$A$7:$A$300,B4414)&gt;0,"✓","⚠ add to Campaigns tab"))</f>
        <v/>
      </c>
      <c r="I4414" s="84" t="str">
        <f aca="false">IF(C4414="","",C4414*IF(Settings!$B$23=Settings!$C$6,1,IF(Settings!$B$23="USD",1/INDEX(Settings!$B$29:$B$40,MONTH(A4414)),INDEX(Settings!$B$29:$B$40,MONTH(A4414)))))</f>
        <v/>
      </c>
    </row>
    <row r="4415" customFormat="false" ht="15" hidden="false" customHeight="false" outlineLevel="0" collapsed="false">
      <c r="H4415" s="0" t="str">
        <f aca="false">IF(B4415="","",IF(COUNTIF(Campaigns!$A$7:$A$300,B4415)&gt;0,"✓","⚠ add to Campaigns tab"))</f>
        <v/>
      </c>
      <c r="I4415" s="84" t="str">
        <f aca="false">IF(C4415="","",C4415*IF(Settings!$B$23=Settings!$C$6,1,IF(Settings!$B$23="USD",1/INDEX(Settings!$B$29:$B$40,MONTH(A4415)),INDEX(Settings!$B$29:$B$40,MONTH(A4415)))))</f>
        <v/>
      </c>
    </row>
    <row r="4416" customFormat="false" ht="15" hidden="false" customHeight="false" outlineLevel="0" collapsed="false">
      <c r="H4416" s="0" t="str">
        <f aca="false">IF(B4416="","",IF(COUNTIF(Campaigns!$A$7:$A$300,B4416)&gt;0,"✓","⚠ add to Campaigns tab"))</f>
        <v/>
      </c>
      <c r="I4416" s="84" t="str">
        <f aca="false">IF(C4416="","",C4416*IF(Settings!$B$23=Settings!$C$6,1,IF(Settings!$B$23="USD",1/INDEX(Settings!$B$29:$B$40,MONTH(A4416)),INDEX(Settings!$B$29:$B$40,MONTH(A4416)))))</f>
        <v/>
      </c>
    </row>
    <row r="4417" customFormat="false" ht="15" hidden="false" customHeight="false" outlineLevel="0" collapsed="false">
      <c r="H4417" s="0" t="str">
        <f aca="false">IF(B4417="","",IF(COUNTIF(Campaigns!$A$7:$A$300,B4417)&gt;0,"✓","⚠ add to Campaigns tab"))</f>
        <v/>
      </c>
      <c r="I4417" s="84" t="str">
        <f aca="false">IF(C4417="","",C4417*IF(Settings!$B$23=Settings!$C$6,1,IF(Settings!$B$23="USD",1/INDEX(Settings!$B$29:$B$40,MONTH(A4417)),INDEX(Settings!$B$29:$B$40,MONTH(A4417)))))</f>
        <v/>
      </c>
    </row>
    <row r="4418" customFormat="false" ht="15" hidden="false" customHeight="false" outlineLevel="0" collapsed="false">
      <c r="H4418" s="0" t="str">
        <f aca="false">IF(B4418="","",IF(COUNTIF(Campaigns!$A$7:$A$300,B4418)&gt;0,"✓","⚠ add to Campaigns tab"))</f>
        <v/>
      </c>
      <c r="I4418" s="84" t="str">
        <f aca="false">IF(C4418="","",C4418*IF(Settings!$B$23=Settings!$C$6,1,IF(Settings!$B$23="USD",1/INDEX(Settings!$B$29:$B$40,MONTH(A4418)),INDEX(Settings!$B$29:$B$40,MONTH(A4418)))))</f>
        <v/>
      </c>
    </row>
    <row r="4419" customFormat="false" ht="15" hidden="false" customHeight="false" outlineLevel="0" collapsed="false">
      <c r="H4419" s="0" t="str">
        <f aca="false">IF(B4419="","",IF(COUNTIF(Campaigns!$A$7:$A$300,B4419)&gt;0,"✓","⚠ add to Campaigns tab"))</f>
        <v/>
      </c>
      <c r="I4419" s="84" t="str">
        <f aca="false">IF(C4419="","",C4419*IF(Settings!$B$23=Settings!$C$6,1,IF(Settings!$B$23="USD",1/INDEX(Settings!$B$29:$B$40,MONTH(A4419)),INDEX(Settings!$B$29:$B$40,MONTH(A4419)))))</f>
        <v/>
      </c>
    </row>
    <row r="4420" customFormat="false" ht="15" hidden="false" customHeight="false" outlineLevel="0" collapsed="false">
      <c r="H4420" s="0" t="str">
        <f aca="false">IF(B4420="","",IF(COUNTIF(Campaigns!$A$7:$A$300,B4420)&gt;0,"✓","⚠ add to Campaigns tab"))</f>
        <v/>
      </c>
      <c r="I4420" s="84" t="str">
        <f aca="false">IF(C4420="","",C4420*IF(Settings!$B$23=Settings!$C$6,1,IF(Settings!$B$23="USD",1/INDEX(Settings!$B$29:$B$40,MONTH(A4420)),INDEX(Settings!$B$29:$B$40,MONTH(A4420)))))</f>
        <v/>
      </c>
    </row>
    <row r="4421" customFormat="false" ht="15" hidden="false" customHeight="false" outlineLevel="0" collapsed="false">
      <c r="H4421" s="0" t="str">
        <f aca="false">IF(B4421="","",IF(COUNTIF(Campaigns!$A$7:$A$300,B4421)&gt;0,"✓","⚠ add to Campaigns tab"))</f>
        <v/>
      </c>
      <c r="I4421" s="84" t="str">
        <f aca="false">IF(C4421="","",C4421*IF(Settings!$B$23=Settings!$C$6,1,IF(Settings!$B$23="USD",1/INDEX(Settings!$B$29:$B$40,MONTH(A4421)),INDEX(Settings!$B$29:$B$40,MONTH(A4421)))))</f>
        <v/>
      </c>
    </row>
    <row r="4422" customFormat="false" ht="15" hidden="false" customHeight="false" outlineLevel="0" collapsed="false">
      <c r="H4422" s="0" t="str">
        <f aca="false">IF(B4422="","",IF(COUNTIF(Campaigns!$A$7:$A$300,B4422)&gt;0,"✓","⚠ add to Campaigns tab"))</f>
        <v/>
      </c>
      <c r="I4422" s="84" t="str">
        <f aca="false">IF(C4422="","",C4422*IF(Settings!$B$23=Settings!$C$6,1,IF(Settings!$B$23="USD",1/INDEX(Settings!$B$29:$B$40,MONTH(A4422)),INDEX(Settings!$B$29:$B$40,MONTH(A4422)))))</f>
        <v/>
      </c>
    </row>
    <row r="4423" customFormat="false" ht="15" hidden="false" customHeight="false" outlineLevel="0" collapsed="false">
      <c r="H4423" s="0" t="str">
        <f aca="false">IF(B4423="","",IF(COUNTIF(Campaigns!$A$7:$A$300,B4423)&gt;0,"✓","⚠ add to Campaigns tab"))</f>
        <v/>
      </c>
      <c r="I4423" s="84" t="str">
        <f aca="false">IF(C4423="","",C4423*IF(Settings!$B$23=Settings!$C$6,1,IF(Settings!$B$23="USD",1/INDEX(Settings!$B$29:$B$40,MONTH(A4423)),INDEX(Settings!$B$29:$B$40,MONTH(A4423)))))</f>
        <v/>
      </c>
    </row>
    <row r="4424" customFormat="false" ht="15" hidden="false" customHeight="false" outlineLevel="0" collapsed="false">
      <c r="H4424" s="0" t="str">
        <f aca="false">IF(B4424="","",IF(COUNTIF(Campaigns!$A$7:$A$300,B4424)&gt;0,"✓","⚠ add to Campaigns tab"))</f>
        <v/>
      </c>
      <c r="I4424" s="84" t="str">
        <f aca="false">IF(C4424="","",C4424*IF(Settings!$B$23=Settings!$C$6,1,IF(Settings!$B$23="USD",1/INDEX(Settings!$B$29:$B$40,MONTH(A4424)),INDEX(Settings!$B$29:$B$40,MONTH(A4424)))))</f>
        <v/>
      </c>
    </row>
    <row r="4425" customFormat="false" ht="15" hidden="false" customHeight="false" outlineLevel="0" collapsed="false">
      <c r="H4425" s="0" t="str">
        <f aca="false">IF(B4425="","",IF(COUNTIF(Campaigns!$A$7:$A$300,B4425)&gt;0,"✓","⚠ add to Campaigns tab"))</f>
        <v/>
      </c>
      <c r="I4425" s="84" t="str">
        <f aca="false">IF(C4425="","",C4425*IF(Settings!$B$23=Settings!$C$6,1,IF(Settings!$B$23="USD",1/INDEX(Settings!$B$29:$B$40,MONTH(A4425)),INDEX(Settings!$B$29:$B$40,MONTH(A4425)))))</f>
        <v/>
      </c>
    </row>
    <row r="4426" customFormat="false" ht="15" hidden="false" customHeight="false" outlineLevel="0" collapsed="false">
      <c r="H4426" s="0" t="str">
        <f aca="false">IF(B4426="","",IF(COUNTIF(Campaigns!$A$7:$A$300,B4426)&gt;0,"✓","⚠ add to Campaigns tab"))</f>
        <v/>
      </c>
      <c r="I4426" s="84" t="str">
        <f aca="false">IF(C4426="","",C4426*IF(Settings!$B$23=Settings!$C$6,1,IF(Settings!$B$23="USD",1/INDEX(Settings!$B$29:$B$40,MONTH(A4426)),INDEX(Settings!$B$29:$B$40,MONTH(A4426)))))</f>
        <v/>
      </c>
    </row>
    <row r="4427" customFormat="false" ht="15" hidden="false" customHeight="false" outlineLevel="0" collapsed="false">
      <c r="H4427" s="0" t="str">
        <f aca="false">IF(B4427="","",IF(COUNTIF(Campaigns!$A$7:$A$300,B4427)&gt;0,"✓","⚠ add to Campaigns tab"))</f>
        <v/>
      </c>
      <c r="I4427" s="84" t="str">
        <f aca="false">IF(C4427="","",C4427*IF(Settings!$B$23=Settings!$C$6,1,IF(Settings!$B$23="USD",1/INDEX(Settings!$B$29:$B$40,MONTH(A4427)),INDEX(Settings!$B$29:$B$40,MONTH(A4427)))))</f>
        <v/>
      </c>
    </row>
    <row r="4428" customFormat="false" ht="15" hidden="false" customHeight="false" outlineLevel="0" collapsed="false">
      <c r="H4428" s="0" t="str">
        <f aca="false">IF(B4428="","",IF(COUNTIF(Campaigns!$A$7:$A$300,B4428)&gt;0,"✓","⚠ add to Campaigns tab"))</f>
        <v/>
      </c>
      <c r="I4428" s="84" t="str">
        <f aca="false">IF(C4428="","",C4428*IF(Settings!$B$23=Settings!$C$6,1,IF(Settings!$B$23="USD",1/INDEX(Settings!$B$29:$B$40,MONTH(A4428)),INDEX(Settings!$B$29:$B$40,MONTH(A4428)))))</f>
        <v/>
      </c>
    </row>
    <row r="4429" customFormat="false" ht="15" hidden="false" customHeight="false" outlineLevel="0" collapsed="false">
      <c r="H4429" s="0" t="str">
        <f aca="false">IF(B4429="","",IF(COUNTIF(Campaigns!$A$7:$A$300,B4429)&gt;0,"✓","⚠ add to Campaigns tab"))</f>
        <v/>
      </c>
      <c r="I4429" s="84" t="str">
        <f aca="false">IF(C4429="","",C4429*IF(Settings!$B$23=Settings!$C$6,1,IF(Settings!$B$23="USD",1/INDEX(Settings!$B$29:$B$40,MONTH(A4429)),INDEX(Settings!$B$29:$B$40,MONTH(A4429)))))</f>
        <v/>
      </c>
    </row>
    <row r="4430" customFormat="false" ht="15" hidden="false" customHeight="false" outlineLevel="0" collapsed="false">
      <c r="H4430" s="0" t="str">
        <f aca="false">IF(B4430="","",IF(COUNTIF(Campaigns!$A$7:$A$300,B4430)&gt;0,"✓","⚠ add to Campaigns tab"))</f>
        <v/>
      </c>
      <c r="I4430" s="84" t="str">
        <f aca="false">IF(C4430="","",C4430*IF(Settings!$B$23=Settings!$C$6,1,IF(Settings!$B$23="USD",1/INDEX(Settings!$B$29:$B$40,MONTH(A4430)),INDEX(Settings!$B$29:$B$40,MONTH(A4430)))))</f>
        <v/>
      </c>
    </row>
    <row r="4431" customFormat="false" ht="15" hidden="false" customHeight="false" outlineLevel="0" collapsed="false">
      <c r="H4431" s="0" t="str">
        <f aca="false">IF(B4431="","",IF(COUNTIF(Campaigns!$A$7:$A$300,B4431)&gt;0,"✓","⚠ add to Campaigns tab"))</f>
        <v/>
      </c>
      <c r="I4431" s="84" t="str">
        <f aca="false">IF(C4431="","",C4431*IF(Settings!$B$23=Settings!$C$6,1,IF(Settings!$B$23="USD",1/INDEX(Settings!$B$29:$B$40,MONTH(A4431)),INDEX(Settings!$B$29:$B$40,MONTH(A4431)))))</f>
        <v/>
      </c>
    </row>
    <row r="4432" customFormat="false" ht="15" hidden="false" customHeight="false" outlineLevel="0" collapsed="false">
      <c r="H4432" s="0" t="str">
        <f aca="false">IF(B4432="","",IF(COUNTIF(Campaigns!$A$7:$A$300,B4432)&gt;0,"✓","⚠ add to Campaigns tab"))</f>
        <v/>
      </c>
      <c r="I4432" s="84" t="str">
        <f aca="false">IF(C4432="","",C4432*IF(Settings!$B$23=Settings!$C$6,1,IF(Settings!$B$23="USD",1/INDEX(Settings!$B$29:$B$40,MONTH(A4432)),INDEX(Settings!$B$29:$B$40,MONTH(A4432)))))</f>
        <v/>
      </c>
    </row>
    <row r="4433" customFormat="false" ht="15" hidden="false" customHeight="false" outlineLevel="0" collapsed="false">
      <c r="H4433" s="0" t="str">
        <f aca="false">IF(B4433="","",IF(COUNTIF(Campaigns!$A$7:$A$300,B4433)&gt;0,"✓","⚠ add to Campaigns tab"))</f>
        <v/>
      </c>
      <c r="I4433" s="84" t="str">
        <f aca="false">IF(C4433="","",C4433*IF(Settings!$B$23=Settings!$C$6,1,IF(Settings!$B$23="USD",1/INDEX(Settings!$B$29:$B$40,MONTH(A4433)),INDEX(Settings!$B$29:$B$40,MONTH(A4433)))))</f>
        <v/>
      </c>
    </row>
    <row r="4434" customFormat="false" ht="15" hidden="false" customHeight="false" outlineLevel="0" collapsed="false">
      <c r="H4434" s="0" t="str">
        <f aca="false">IF(B4434="","",IF(COUNTIF(Campaigns!$A$7:$A$300,B4434)&gt;0,"✓","⚠ add to Campaigns tab"))</f>
        <v/>
      </c>
      <c r="I4434" s="84" t="str">
        <f aca="false">IF(C4434="","",C4434*IF(Settings!$B$23=Settings!$C$6,1,IF(Settings!$B$23="USD",1/INDEX(Settings!$B$29:$B$40,MONTH(A4434)),INDEX(Settings!$B$29:$B$40,MONTH(A4434)))))</f>
        <v/>
      </c>
    </row>
    <row r="4435" customFormat="false" ht="15" hidden="false" customHeight="false" outlineLevel="0" collapsed="false">
      <c r="H4435" s="0" t="str">
        <f aca="false">IF(B4435="","",IF(COUNTIF(Campaigns!$A$7:$A$300,B4435)&gt;0,"✓","⚠ add to Campaigns tab"))</f>
        <v/>
      </c>
      <c r="I4435" s="84" t="str">
        <f aca="false">IF(C4435="","",C4435*IF(Settings!$B$23=Settings!$C$6,1,IF(Settings!$B$23="USD",1/INDEX(Settings!$B$29:$B$40,MONTH(A4435)),INDEX(Settings!$B$29:$B$40,MONTH(A4435)))))</f>
        <v/>
      </c>
    </row>
    <row r="4436" customFormat="false" ht="15" hidden="false" customHeight="false" outlineLevel="0" collapsed="false">
      <c r="H4436" s="0" t="str">
        <f aca="false">IF(B4436="","",IF(COUNTIF(Campaigns!$A$7:$A$300,B4436)&gt;0,"✓","⚠ add to Campaigns tab"))</f>
        <v/>
      </c>
      <c r="I4436" s="84" t="str">
        <f aca="false">IF(C4436="","",C4436*IF(Settings!$B$23=Settings!$C$6,1,IF(Settings!$B$23="USD",1/INDEX(Settings!$B$29:$B$40,MONTH(A4436)),INDEX(Settings!$B$29:$B$40,MONTH(A4436)))))</f>
        <v/>
      </c>
    </row>
    <row r="4437" customFormat="false" ht="15" hidden="false" customHeight="false" outlineLevel="0" collapsed="false">
      <c r="H4437" s="0" t="str">
        <f aca="false">IF(B4437="","",IF(COUNTIF(Campaigns!$A$7:$A$300,B4437)&gt;0,"✓","⚠ add to Campaigns tab"))</f>
        <v/>
      </c>
      <c r="I4437" s="84" t="str">
        <f aca="false">IF(C4437="","",C4437*IF(Settings!$B$23=Settings!$C$6,1,IF(Settings!$B$23="USD",1/INDEX(Settings!$B$29:$B$40,MONTH(A4437)),INDEX(Settings!$B$29:$B$40,MONTH(A4437)))))</f>
        <v/>
      </c>
    </row>
    <row r="4438" customFormat="false" ht="15" hidden="false" customHeight="false" outlineLevel="0" collapsed="false">
      <c r="H4438" s="0" t="str">
        <f aca="false">IF(B4438="","",IF(COUNTIF(Campaigns!$A$7:$A$300,B4438)&gt;0,"✓","⚠ add to Campaigns tab"))</f>
        <v/>
      </c>
      <c r="I4438" s="84" t="str">
        <f aca="false">IF(C4438="","",C4438*IF(Settings!$B$23=Settings!$C$6,1,IF(Settings!$B$23="USD",1/INDEX(Settings!$B$29:$B$40,MONTH(A4438)),INDEX(Settings!$B$29:$B$40,MONTH(A4438)))))</f>
        <v/>
      </c>
    </row>
    <row r="4439" customFormat="false" ht="15" hidden="false" customHeight="false" outlineLevel="0" collapsed="false">
      <c r="H4439" s="0" t="str">
        <f aca="false">IF(B4439="","",IF(COUNTIF(Campaigns!$A$7:$A$300,B4439)&gt;0,"✓","⚠ add to Campaigns tab"))</f>
        <v/>
      </c>
      <c r="I4439" s="84" t="str">
        <f aca="false">IF(C4439="","",C4439*IF(Settings!$B$23=Settings!$C$6,1,IF(Settings!$B$23="USD",1/INDEX(Settings!$B$29:$B$40,MONTH(A4439)),INDEX(Settings!$B$29:$B$40,MONTH(A4439)))))</f>
        <v/>
      </c>
    </row>
    <row r="4440" customFormat="false" ht="15" hidden="false" customHeight="false" outlineLevel="0" collapsed="false">
      <c r="H4440" s="0" t="str">
        <f aca="false">IF(B4440="","",IF(COUNTIF(Campaigns!$A$7:$A$300,B4440)&gt;0,"✓","⚠ add to Campaigns tab"))</f>
        <v/>
      </c>
      <c r="I4440" s="84" t="str">
        <f aca="false">IF(C4440="","",C4440*IF(Settings!$B$23=Settings!$C$6,1,IF(Settings!$B$23="USD",1/INDEX(Settings!$B$29:$B$40,MONTH(A4440)),INDEX(Settings!$B$29:$B$40,MONTH(A4440)))))</f>
        <v/>
      </c>
    </row>
    <row r="4441" customFormat="false" ht="15" hidden="false" customHeight="false" outlineLevel="0" collapsed="false">
      <c r="H4441" s="0" t="str">
        <f aca="false">IF(B4441="","",IF(COUNTIF(Campaigns!$A$7:$A$300,B4441)&gt;0,"✓","⚠ add to Campaigns tab"))</f>
        <v/>
      </c>
      <c r="I4441" s="84" t="str">
        <f aca="false">IF(C4441="","",C4441*IF(Settings!$B$23=Settings!$C$6,1,IF(Settings!$B$23="USD",1/INDEX(Settings!$B$29:$B$40,MONTH(A4441)),INDEX(Settings!$B$29:$B$40,MONTH(A4441)))))</f>
        <v/>
      </c>
    </row>
    <row r="4442" customFormat="false" ht="15" hidden="false" customHeight="false" outlineLevel="0" collapsed="false">
      <c r="H4442" s="0" t="str">
        <f aca="false">IF(B4442="","",IF(COUNTIF(Campaigns!$A$7:$A$300,B4442)&gt;0,"✓","⚠ add to Campaigns tab"))</f>
        <v/>
      </c>
      <c r="I4442" s="84" t="str">
        <f aca="false">IF(C4442="","",C4442*IF(Settings!$B$23=Settings!$C$6,1,IF(Settings!$B$23="USD",1/INDEX(Settings!$B$29:$B$40,MONTH(A4442)),INDEX(Settings!$B$29:$B$40,MONTH(A4442)))))</f>
        <v/>
      </c>
    </row>
    <row r="4443" customFormat="false" ht="15" hidden="false" customHeight="false" outlineLevel="0" collapsed="false">
      <c r="H4443" s="0" t="str">
        <f aca="false">IF(B4443="","",IF(COUNTIF(Campaigns!$A$7:$A$300,B4443)&gt;0,"✓","⚠ add to Campaigns tab"))</f>
        <v/>
      </c>
      <c r="I4443" s="84" t="str">
        <f aca="false">IF(C4443="","",C4443*IF(Settings!$B$23=Settings!$C$6,1,IF(Settings!$B$23="USD",1/INDEX(Settings!$B$29:$B$40,MONTH(A4443)),INDEX(Settings!$B$29:$B$40,MONTH(A4443)))))</f>
        <v/>
      </c>
    </row>
    <row r="4444" customFormat="false" ht="15" hidden="false" customHeight="false" outlineLevel="0" collapsed="false">
      <c r="H4444" s="0" t="str">
        <f aca="false">IF(B4444="","",IF(COUNTIF(Campaigns!$A$7:$A$300,B4444)&gt;0,"✓","⚠ add to Campaigns tab"))</f>
        <v/>
      </c>
      <c r="I4444" s="84" t="str">
        <f aca="false">IF(C4444="","",C4444*IF(Settings!$B$23=Settings!$C$6,1,IF(Settings!$B$23="USD",1/INDEX(Settings!$B$29:$B$40,MONTH(A4444)),INDEX(Settings!$B$29:$B$40,MONTH(A4444)))))</f>
        <v/>
      </c>
    </row>
    <row r="4445" customFormat="false" ht="15" hidden="false" customHeight="false" outlineLevel="0" collapsed="false">
      <c r="H4445" s="0" t="str">
        <f aca="false">IF(B4445="","",IF(COUNTIF(Campaigns!$A$7:$A$300,B4445)&gt;0,"✓","⚠ add to Campaigns tab"))</f>
        <v/>
      </c>
      <c r="I4445" s="84" t="str">
        <f aca="false">IF(C4445="","",C4445*IF(Settings!$B$23=Settings!$C$6,1,IF(Settings!$B$23="USD",1/INDEX(Settings!$B$29:$B$40,MONTH(A4445)),INDEX(Settings!$B$29:$B$40,MONTH(A4445)))))</f>
        <v/>
      </c>
    </row>
    <row r="4446" customFormat="false" ht="15" hidden="false" customHeight="false" outlineLevel="0" collapsed="false">
      <c r="H4446" s="0" t="str">
        <f aca="false">IF(B4446="","",IF(COUNTIF(Campaigns!$A$7:$A$300,B4446)&gt;0,"✓","⚠ add to Campaigns tab"))</f>
        <v/>
      </c>
      <c r="I4446" s="84" t="str">
        <f aca="false">IF(C4446="","",C4446*IF(Settings!$B$23=Settings!$C$6,1,IF(Settings!$B$23="USD",1/INDEX(Settings!$B$29:$B$40,MONTH(A4446)),INDEX(Settings!$B$29:$B$40,MONTH(A4446)))))</f>
        <v/>
      </c>
    </row>
    <row r="4447" customFormat="false" ht="15" hidden="false" customHeight="false" outlineLevel="0" collapsed="false">
      <c r="H4447" s="0" t="str">
        <f aca="false">IF(B4447="","",IF(COUNTIF(Campaigns!$A$7:$A$300,B4447)&gt;0,"✓","⚠ add to Campaigns tab"))</f>
        <v/>
      </c>
      <c r="I4447" s="84" t="str">
        <f aca="false">IF(C4447="","",C4447*IF(Settings!$B$23=Settings!$C$6,1,IF(Settings!$B$23="USD",1/INDEX(Settings!$B$29:$B$40,MONTH(A4447)),INDEX(Settings!$B$29:$B$40,MONTH(A4447)))))</f>
        <v/>
      </c>
    </row>
    <row r="4448" customFormat="false" ht="15" hidden="false" customHeight="false" outlineLevel="0" collapsed="false">
      <c r="H4448" s="0" t="str">
        <f aca="false">IF(B4448="","",IF(COUNTIF(Campaigns!$A$7:$A$300,B4448)&gt;0,"✓","⚠ add to Campaigns tab"))</f>
        <v/>
      </c>
      <c r="I4448" s="84" t="str">
        <f aca="false">IF(C4448="","",C4448*IF(Settings!$B$23=Settings!$C$6,1,IF(Settings!$B$23="USD",1/INDEX(Settings!$B$29:$B$40,MONTH(A4448)),INDEX(Settings!$B$29:$B$40,MONTH(A4448)))))</f>
        <v/>
      </c>
    </row>
    <row r="4449" customFormat="false" ht="15" hidden="false" customHeight="false" outlineLevel="0" collapsed="false">
      <c r="H4449" s="0" t="str">
        <f aca="false">IF(B4449="","",IF(COUNTIF(Campaigns!$A$7:$A$300,B4449)&gt;0,"✓","⚠ add to Campaigns tab"))</f>
        <v/>
      </c>
      <c r="I4449" s="84" t="str">
        <f aca="false">IF(C4449="","",C4449*IF(Settings!$B$23=Settings!$C$6,1,IF(Settings!$B$23="USD",1/INDEX(Settings!$B$29:$B$40,MONTH(A4449)),INDEX(Settings!$B$29:$B$40,MONTH(A4449)))))</f>
        <v/>
      </c>
    </row>
    <row r="4450" customFormat="false" ht="15" hidden="false" customHeight="false" outlineLevel="0" collapsed="false">
      <c r="H4450" s="0" t="str">
        <f aca="false">IF(B4450="","",IF(COUNTIF(Campaigns!$A$7:$A$300,B4450)&gt;0,"✓","⚠ add to Campaigns tab"))</f>
        <v/>
      </c>
      <c r="I4450" s="84" t="str">
        <f aca="false">IF(C4450="","",C4450*IF(Settings!$B$23=Settings!$C$6,1,IF(Settings!$B$23="USD",1/INDEX(Settings!$B$29:$B$40,MONTH(A4450)),INDEX(Settings!$B$29:$B$40,MONTH(A4450)))))</f>
        <v/>
      </c>
    </row>
    <row r="4451" customFormat="false" ht="15" hidden="false" customHeight="false" outlineLevel="0" collapsed="false">
      <c r="H4451" s="0" t="str">
        <f aca="false">IF(B4451="","",IF(COUNTIF(Campaigns!$A$7:$A$300,B4451)&gt;0,"✓","⚠ add to Campaigns tab"))</f>
        <v/>
      </c>
      <c r="I4451" s="84" t="str">
        <f aca="false">IF(C4451="","",C4451*IF(Settings!$B$23=Settings!$C$6,1,IF(Settings!$B$23="USD",1/INDEX(Settings!$B$29:$B$40,MONTH(A4451)),INDEX(Settings!$B$29:$B$40,MONTH(A4451)))))</f>
        <v/>
      </c>
    </row>
    <row r="4452" customFormat="false" ht="15" hidden="false" customHeight="false" outlineLevel="0" collapsed="false">
      <c r="H4452" s="0" t="str">
        <f aca="false">IF(B4452="","",IF(COUNTIF(Campaigns!$A$7:$A$300,B4452)&gt;0,"✓","⚠ add to Campaigns tab"))</f>
        <v/>
      </c>
      <c r="I4452" s="84" t="str">
        <f aca="false">IF(C4452="","",C4452*IF(Settings!$B$23=Settings!$C$6,1,IF(Settings!$B$23="USD",1/INDEX(Settings!$B$29:$B$40,MONTH(A4452)),INDEX(Settings!$B$29:$B$40,MONTH(A4452)))))</f>
        <v/>
      </c>
    </row>
    <row r="4453" customFormat="false" ht="15" hidden="false" customHeight="false" outlineLevel="0" collapsed="false">
      <c r="H4453" s="0" t="str">
        <f aca="false">IF(B4453="","",IF(COUNTIF(Campaigns!$A$7:$A$300,B4453)&gt;0,"✓","⚠ add to Campaigns tab"))</f>
        <v/>
      </c>
      <c r="I4453" s="84" t="str">
        <f aca="false">IF(C4453="","",C4453*IF(Settings!$B$23=Settings!$C$6,1,IF(Settings!$B$23="USD",1/INDEX(Settings!$B$29:$B$40,MONTH(A4453)),INDEX(Settings!$B$29:$B$40,MONTH(A4453)))))</f>
        <v/>
      </c>
    </row>
    <row r="4454" customFormat="false" ht="15" hidden="false" customHeight="false" outlineLevel="0" collapsed="false">
      <c r="H4454" s="0" t="str">
        <f aca="false">IF(B4454="","",IF(COUNTIF(Campaigns!$A$7:$A$300,B4454)&gt;0,"✓","⚠ add to Campaigns tab"))</f>
        <v/>
      </c>
      <c r="I4454" s="84" t="str">
        <f aca="false">IF(C4454="","",C4454*IF(Settings!$B$23=Settings!$C$6,1,IF(Settings!$B$23="USD",1/INDEX(Settings!$B$29:$B$40,MONTH(A4454)),INDEX(Settings!$B$29:$B$40,MONTH(A4454)))))</f>
        <v/>
      </c>
    </row>
    <row r="4455" customFormat="false" ht="15" hidden="false" customHeight="false" outlineLevel="0" collapsed="false">
      <c r="H4455" s="0" t="str">
        <f aca="false">IF(B4455="","",IF(COUNTIF(Campaigns!$A$7:$A$300,B4455)&gt;0,"✓","⚠ add to Campaigns tab"))</f>
        <v/>
      </c>
      <c r="I4455" s="84" t="str">
        <f aca="false">IF(C4455="","",C4455*IF(Settings!$B$23=Settings!$C$6,1,IF(Settings!$B$23="USD",1/INDEX(Settings!$B$29:$B$40,MONTH(A4455)),INDEX(Settings!$B$29:$B$40,MONTH(A4455)))))</f>
        <v/>
      </c>
    </row>
    <row r="4456" customFormat="false" ht="15" hidden="false" customHeight="false" outlineLevel="0" collapsed="false">
      <c r="H4456" s="0" t="str">
        <f aca="false">IF(B4456="","",IF(COUNTIF(Campaigns!$A$7:$A$300,B4456)&gt;0,"✓","⚠ add to Campaigns tab"))</f>
        <v/>
      </c>
      <c r="I4456" s="84" t="str">
        <f aca="false">IF(C4456="","",C4456*IF(Settings!$B$23=Settings!$C$6,1,IF(Settings!$B$23="USD",1/INDEX(Settings!$B$29:$B$40,MONTH(A4456)),INDEX(Settings!$B$29:$B$40,MONTH(A4456)))))</f>
        <v/>
      </c>
    </row>
    <row r="4457" customFormat="false" ht="15" hidden="false" customHeight="false" outlineLevel="0" collapsed="false">
      <c r="H4457" s="0" t="str">
        <f aca="false">IF(B4457="","",IF(COUNTIF(Campaigns!$A$7:$A$300,B4457)&gt;0,"✓","⚠ add to Campaigns tab"))</f>
        <v/>
      </c>
      <c r="I4457" s="84" t="str">
        <f aca="false">IF(C4457="","",C4457*IF(Settings!$B$23=Settings!$C$6,1,IF(Settings!$B$23="USD",1/INDEX(Settings!$B$29:$B$40,MONTH(A4457)),INDEX(Settings!$B$29:$B$40,MONTH(A4457)))))</f>
        <v/>
      </c>
    </row>
    <row r="4458" customFormat="false" ht="15" hidden="false" customHeight="false" outlineLevel="0" collapsed="false">
      <c r="H4458" s="0" t="str">
        <f aca="false">IF(B4458="","",IF(COUNTIF(Campaigns!$A$7:$A$300,B4458)&gt;0,"✓","⚠ add to Campaigns tab"))</f>
        <v/>
      </c>
      <c r="I4458" s="84" t="str">
        <f aca="false">IF(C4458="","",C4458*IF(Settings!$B$23=Settings!$C$6,1,IF(Settings!$B$23="USD",1/INDEX(Settings!$B$29:$B$40,MONTH(A4458)),INDEX(Settings!$B$29:$B$40,MONTH(A4458)))))</f>
        <v/>
      </c>
    </row>
    <row r="4459" customFormat="false" ht="15" hidden="false" customHeight="false" outlineLevel="0" collapsed="false">
      <c r="H4459" s="0" t="str">
        <f aca="false">IF(B4459="","",IF(COUNTIF(Campaigns!$A$7:$A$300,B4459)&gt;0,"✓","⚠ add to Campaigns tab"))</f>
        <v/>
      </c>
      <c r="I4459" s="84" t="str">
        <f aca="false">IF(C4459="","",C4459*IF(Settings!$B$23=Settings!$C$6,1,IF(Settings!$B$23="USD",1/INDEX(Settings!$B$29:$B$40,MONTH(A4459)),INDEX(Settings!$B$29:$B$40,MONTH(A4459)))))</f>
        <v/>
      </c>
    </row>
    <row r="4460" customFormat="false" ht="15" hidden="false" customHeight="false" outlineLevel="0" collapsed="false">
      <c r="H4460" s="0" t="str">
        <f aca="false">IF(B4460="","",IF(COUNTIF(Campaigns!$A$7:$A$300,B4460)&gt;0,"✓","⚠ add to Campaigns tab"))</f>
        <v/>
      </c>
      <c r="I4460" s="84" t="str">
        <f aca="false">IF(C4460="","",C4460*IF(Settings!$B$23=Settings!$C$6,1,IF(Settings!$B$23="USD",1/INDEX(Settings!$B$29:$B$40,MONTH(A4460)),INDEX(Settings!$B$29:$B$40,MONTH(A4460)))))</f>
        <v/>
      </c>
    </row>
    <row r="4461" customFormat="false" ht="15" hidden="false" customHeight="false" outlineLevel="0" collapsed="false">
      <c r="H4461" s="0" t="str">
        <f aca="false">IF(B4461="","",IF(COUNTIF(Campaigns!$A$7:$A$300,B4461)&gt;0,"✓","⚠ add to Campaigns tab"))</f>
        <v/>
      </c>
      <c r="I4461" s="84" t="str">
        <f aca="false">IF(C4461="","",C4461*IF(Settings!$B$23=Settings!$C$6,1,IF(Settings!$B$23="USD",1/INDEX(Settings!$B$29:$B$40,MONTH(A4461)),INDEX(Settings!$B$29:$B$40,MONTH(A4461)))))</f>
        <v/>
      </c>
    </row>
    <row r="4462" customFormat="false" ht="15" hidden="false" customHeight="false" outlineLevel="0" collapsed="false">
      <c r="H4462" s="0" t="str">
        <f aca="false">IF(B4462="","",IF(COUNTIF(Campaigns!$A$7:$A$300,B4462)&gt;0,"✓","⚠ add to Campaigns tab"))</f>
        <v/>
      </c>
      <c r="I4462" s="84" t="str">
        <f aca="false">IF(C4462="","",C4462*IF(Settings!$B$23=Settings!$C$6,1,IF(Settings!$B$23="USD",1/INDEX(Settings!$B$29:$B$40,MONTH(A4462)),INDEX(Settings!$B$29:$B$40,MONTH(A4462)))))</f>
        <v/>
      </c>
    </row>
    <row r="4463" customFormat="false" ht="15" hidden="false" customHeight="false" outlineLevel="0" collapsed="false">
      <c r="H4463" s="0" t="str">
        <f aca="false">IF(B4463="","",IF(COUNTIF(Campaigns!$A$7:$A$300,B4463)&gt;0,"✓","⚠ add to Campaigns tab"))</f>
        <v/>
      </c>
      <c r="I4463" s="84" t="str">
        <f aca="false">IF(C4463="","",C4463*IF(Settings!$B$23=Settings!$C$6,1,IF(Settings!$B$23="USD",1/INDEX(Settings!$B$29:$B$40,MONTH(A4463)),INDEX(Settings!$B$29:$B$40,MONTH(A4463)))))</f>
        <v/>
      </c>
    </row>
    <row r="4464" customFormat="false" ht="15" hidden="false" customHeight="false" outlineLevel="0" collapsed="false">
      <c r="H4464" s="0" t="str">
        <f aca="false">IF(B4464="","",IF(COUNTIF(Campaigns!$A$7:$A$300,B4464)&gt;0,"✓","⚠ add to Campaigns tab"))</f>
        <v/>
      </c>
      <c r="I4464" s="84" t="str">
        <f aca="false">IF(C4464="","",C4464*IF(Settings!$B$23=Settings!$C$6,1,IF(Settings!$B$23="USD",1/INDEX(Settings!$B$29:$B$40,MONTH(A4464)),INDEX(Settings!$B$29:$B$40,MONTH(A4464)))))</f>
        <v/>
      </c>
    </row>
    <row r="4465" customFormat="false" ht="15" hidden="false" customHeight="false" outlineLevel="0" collapsed="false">
      <c r="H4465" s="0" t="str">
        <f aca="false">IF(B4465="","",IF(COUNTIF(Campaigns!$A$7:$A$300,B4465)&gt;0,"✓","⚠ add to Campaigns tab"))</f>
        <v/>
      </c>
      <c r="I4465" s="84" t="str">
        <f aca="false">IF(C4465="","",C4465*IF(Settings!$B$23=Settings!$C$6,1,IF(Settings!$B$23="USD",1/INDEX(Settings!$B$29:$B$40,MONTH(A4465)),INDEX(Settings!$B$29:$B$40,MONTH(A4465)))))</f>
        <v/>
      </c>
    </row>
    <row r="4466" customFormat="false" ht="15" hidden="false" customHeight="false" outlineLevel="0" collapsed="false">
      <c r="H4466" s="0" t="str">
        <f aca="false">IF(B4466="","",IF(COUNTIF(Campaigns!$A$7:$A$300,B4466)&gt;0,"✓","⚠ add to Campaigns tab"))</f>
        <v/>
      </c>
      <c r="I4466" s="84" t="str">
        <f aca="false">IF(C4466="","",C4466*IF(Settings!$B$23=Settings!$C$6,1,IF(Settings!$B$23="USD",1/INDEX(Settings!$B$29:$B$40,MONTH(A4466)),INDEX(Settings!$B$29:$B$40,MONTH(A4466)))))</f>
        <v/>
      </c>
    </row>
    <row r="4467" customFormat="false" ht="15" hidden="false" customHeight="false" outlineLevel="0" collapsed="false">
      <c r="H4467" s="0" t="str">
        <f aca="false">IF(B4467="","",IF(COUNTIF(Campaigns!$A$7:$A$300,B4467)&gt;0,"✓","⚠ add to Campaigns tab"))</f>
        <v/>
      </c>
      <c r="I4467" s="84" t="str">
        <f aca="false">IF(C4467="","",C4467*IF(Settings!$B$23=Settings!$C$6,1,IF(Settings!$B$23="USD",1/INDEX(Settings!$B$29:$B$40,MONTH(A4467)),INDEX(Settings!$B$29:$B$40,MONTH(A4467)))))</f>
        <v/>
      </c>
    </row>
    <row r="4468" customFormat="false" ht="15" hidden="false" customHeight="false" outlineLevel="0" collapsed="false">
      <c r="H4468" s="0" t="str">
        <f aca="false">IF(B4468="","",IF(COUNTIF(Campaigns!$A$7:$A$300,B4468)&gt;0,"✓","⚠ add to Campaigns tab"))</f>
        <v/>
      </c>
      <c r="I4468" s="84" t="str">
        <f aca="false">IF(C4468="","",C4468*IF(Settings!$B$23=Settings!$C$6,1,IF(Settings!$B$23="USD",1/INDEX(Settings!$B$29:$B$40,MONTH(A4468)),INDEX(Settings!$B$29:$B$40,MONTH(A4468)))))</f>
        <v/>
      </c>
    </row>
    <row r="4469" customFormat="false" ht="15" hidden="false" customHeight="false" outlineLevel="0" collapsed="false">
      <c r="H4469" s="0" t="str">
        <f aca="false">IF(B4469="","",IF(COUNTIF(Campaigns!$A$7:$A$300,B4469)&gt;0,"✓","⚠ add to Campaigns tab"))</f>
        <v/>
      </c>
      <c r="I4469" s="84" t="str">
        <f aca="false">IF(C4469="","",C4469*IF(Settings!$B$23=Settings!$C$6,1,IF(Settings!$B$23="USD",1/INDEX(Settings!$B$29:$B$40,MONTH(A4469)),INDEX(Settings!$B$29:$B$40,MONTH(A4469)))))</f>
        <v/>
      </c>
    </row>
    <row r="4470" customFormat="false" ht="15" hidden="false" customHeight="false" outlineLevel="0" collapsed="false">
      <c r="H4470" s="0" t="str">
        <f aca="false">IF(B4470="","",IF(COUNTIF(Campaigns!$A$7:$A$300,B4470)&gt;0,"✓","⚠ add to Campaigns tab"))</f>
        <v/>
      </c>
      <c r="I4470" s="84" t="str">
        <f aca="false">IF(C4470="","",C4470*IF(Settings!$B$23=Settings!$C$6,1,IF(Settings!$B$23="USD",1/INDEX(Settings!$B$29:$B$40,MONTH(A4470)),INDEX(Settings!$B$29:$B$40,MONTH(A4470)))))</f>
        <v/>
      </c>
    </row>
    <row r="4471" customFormat="false" ht="15" hidden="false" customHeight="false" outlineLevel="0" collapsed="false">
      <c r="H4471" s="0" t="str">
        <f aca="false">IF(B4471="","",IF(COUNTIF(Campaigns!$A$7:$A$300,B4471)&gt;0,"✓","⚠ add to Campaigns tab"))</f>
        <v/>
      </c>
      <c r="I4471" s="84" t="str">
        <f aca="false">IF(C4471="","",C4471*IF(Settings!$B$23=Settings!$C$6,1,IF(Settings!$B$23="USD",1/INDEX(Settings!$B$29:$B$40,MONTH(A4471)),INDEX(Settings!$B$29:$B$40,MONTH(A4471)))))</f>
        <v/>
      </c>
    </row>
    <row r="4472" customFormat="false" ht="15" hidden="false" customHeight="false" outlineLevel="0" collapsed="false">
      <c r="H4472" s="0" t="str">
        <f aca="false">IF(B4472="","",IF(COUNTIF(Campaigns!$A$7:$A$300,B4472)&gt;0,"✓","⚠ add to Campaigns tab"))</f>
        <v/>
      </c>
      <c r="I4472" s="84" t="str">
        <f aca="false">IF(C4472="","",C4472*IF(Settings!$B$23=Settings!$C$6,1,IF(Settings!$B$23="USD",1/INDEX(Settings!$B$29:$B$40,MONTH(A4472)),INDEX(Settings!$B$29:$B$40,MONTH(A4472)))))</f>
        <v/>
      </c>
    </row>
    <row r="4473" customFormat="false" ht="15" hidden="false" customHeight="false" outlineLevel="0" collapsed="false">
      <c r="H4473" s="0" t="str">
        <f aca="false">IF(B4473="","",IF(COUNTIF(Campaigns!$A$7:$A$300,B4473)&gt;0,"✓","⚠ add to Campaigns tab"))</f>
        <v/>
      </c>
      <c r="I4473" s="84" t="str">
        <f aca="false">IF(C4473="","",C4473*IF(Settings!$B$23=Settings!$C$6,1,IF(Settings!$B$23="USD",1/INDEX(Settings!$B$29:$B$40,MONTH(A4473)),INDEX(Settings!$B$29:$B$40,MONTH(A4473)))))</f>
        <v/>
      </c>
    </row>
    <row r="4474" customFormat="false" ht="15" hidden="false" customHeight="false" outlineLevel="0" collapsed="false">
      <c r="H4474" s="0" t="str">
        <f aca="false">IF(B4474="","",IF(COUNTIF(Campaigns!$A$7:$A$300,B4474)&gt;0,"✓","⚠ add to Campaigns tab"))</f>
        <v/>
      </c>
      <c r="I4474" s="84" t="str">
        <f aca="false">IF(C4474="","",C4474*IF(Settings!$B$23=Settings!$C$6,1,IF(Settings!$B$23="USD",1/INDEX(Settings!$B$29:$B$40,MONTH(A4474)),INDEX(Settings!$B$29:$B$40,MONTH(A4474)))))</f>
        <v/>
      </c>
    </row>
    <row r="4475" customFormat="false" ht="15" hidden="false" customHeight="false" outlineLevel="0" collapsed="false">
      <c r="H4475" s="0" t="str">
        <f aca="false">IF(B4475="","",IF(COUNTIF(Campaigns!$A$7:$A$300,B4475)&gt;0,"✓","⚠ add to Campaigns tab"))</f>
        <v/>
      </c>
      <c r="I4475" s="84" t="str">
        <f aca="false">IF(C4475="","",C4475*IF(Settings!$B$23=Settings!$C$6,1,IF(Settings!$B$23="USD",1/INDEX(Settings!$B$29:$B$40,MONTH(A4475)),INDEX(Settings!$B$29:$B$40,MONTH(A4475)))))</f>
        <v/>
      </c>
    </row>
    <row r="4476" customFormat="false" ht="15" hidden="false" customHeight="false" outlineLevel="0" collapsed="false">
      <c r="H4476" s="0" t="str">
        <f aca="false">IF(B4476="","",IF(COUNTIF(Campaigns!$A$7:$A$300,B4476)&gt;0,"✓","⚠ add to Campaigns tab"))</f>
        <v/>
      </c>
      <c r="I4476" s="84" t="str">
        <f aca="false">IF(C4476="","",C4476*IF(Settings!$B$23=Settings!$C$6,1,IF(Settings!$B$23="USD",1/INDEX(Settings!$B$29:$B$40,MONTH(A4476)),INDEX(Settings!$B$29:$B$40,MONTH(A4476)))))</f>
        <v/>
      </c>
    </row>
    <row r="4477" customFormat="false" ht="15" hidden="false" customHeight="false" outlineLevel="0" collapsed="false">
      <c r="H4477" s="0" t="str">
        <f aca="false">IF(B4477="","",IF(COUNTIF(Campaigns!$A$7:$A$300,B4477)&gt;0,"✓","⚠ add to Campaigns tab"))</f>
        <v/>
      </c>
      <c r="I4477" s="84" t="str">
        <f aca="false">IF(C4477="","",C4477*IF(Settings!$B$23=Settings!$C$6,1,IF(Settings!$B$23="USD",1/INDEX(Settings!$B$29:$B$40,MONTH(A4477)),INDEX(Settings!$B$29:$B$40,MONTH(A4477)))))</f>
        <v/>
      </c>
    </row>
    <row r="4478" customFormat="false" ht="15" hidden="false" customHeight="false" outlineLevel="0" collapsed="false">
      <c r="H4478" s="0" t="str">
        <f aca="false">IF(B4478="","",IF(COUNTIF(Campaigns!$A$7:$A$300,B4478)&gt;0,"✓","⚠ add to Campaigns tab"))</f>
        <v/>
      </c>
      <c r="I4478" s="84" t="str">
        <f aca="false">IF(C4478="","",C4478*IF(Settings!$B$23=Settings!$C$6,1,IF(Settings!$B$23="USD",1/INDEX(Settings!$B$29:$B$40,MONTH(A4478)),INDEX(Settings!$B$29:$B$40,MONTH(A4478)))))</f>
        <v/>
      </c>
    </row>
    <row r="4479" customFormat="false" ht="15" hidden="false" customHeight="false" outlineLevel="0" collapsed="false">
      <c r="H4479" s="0" t="str">
        <f aca="false">IF(B4479="","",IF(COUNTIF(Campaigns!$A$7:$A$300,B4479)&gt;0,"✓","⚠ add to Campaigns tab"))</f>
        <v/>
      </c>
      <c r="I4479" s="84" t="str">
        <f aca="false">IF(C4479="","",C4479*IF(Settings!$B$23=Settings!$C$6,1,IF(Settings!$B$23="USD",1/INDEX(Settings!$B$29:$B$40,MONTH(A4479)),INDEX(Settings!$B$29:$B$40,MONTH(A4479)))))</f>
        <v/>
      </c>
    </row>
    <row r="4480" customFormat="false" ht="15" hidden="false" customHeight="false" outlineLevel="0" collapsed="false">
      <c r="H4480" s="0" t="str">
        <f aca="false">IF(B4480="","",IF(COUNTIF(Campaigns!$A$7:$A$300,B4480)&gt;0,"✓","⚠ add to Campaigns tab"))</f>
        <v/>
      </c>
      <c r="I4480" s="84" t="str">
        <f aca="false">IF(C4480="","",C4480*IF(Settings!$B$23=Settings!$C$6,1,IF(Settings!$B$23="USD",1/INDEX(Settings!$B$29:$B$40,MONTH(A4480)),INDEX(Settings!$B$29:$B$40,MONTH(A4480)))))</f>
        <v/>
      </c>
    </row>
    <row r="4481" customFormat="false" ht="15" hidden="false" customHeight="false" outlineLevel="0" collapsed="false">
      <c r="H4481" s="0" t="str">
        <f aca="false">IF(B4481="","",IF(COUNTIF(Campaigns!$A$7:$A$300,B4481)&gt;0,"✓","⚠ add to Campaigns tab"))</f>
        <v/>
      </c>
      <c r="I4481" s="84" t="str">
        <f aca="false">IF(C4481="","",C4481*IF(Settings!$B$23=Settings!$C$6,1,IF(Settings!$B$23="USD",1/INDEX(Settings!$B$29:$B$40,MONTH(A4481)),INDEX(Settings!$B$29:$B$40,MONTH(A4481)))))</f>
        <v/>
      </c>
    </row>
    <row r="4482" customFormat="false" ht="15" hidden="false" customHeight="false" outlineLevel="0" collapsed="false">
      <c r="H4482" s="0" t="str">
        <f aca="false">IF(B4482="","",IF(COUNTIF(Campaigns!$A$7:$A$300,B4482)&gt;0,"✓","⚠ add to Campaigns tab"))</f>
        <v/>
      </c>
      <c r="I4482" s="84" t="str">
        <f aca="false">IF(C4482="","",C4482*IF(Settings!$B$23=Settings!$C$6,1,IF(Settings!$B$23="USD",1/INDEX(Settings!$B$29:$B$40,MONTH(A4482)),INDEX(Settings!$B$29:$B$40,MONTH(A4482)))))</f>
        <v/>
      </c>
    </row>
    <row r="4483" customFormat="false" ht="15" hidden="false" customHeight="false" outlineLevel="0" collapsed="false">
      <c r="H4483" s="0" t="str">
        <f aca="false">IF(B4483="","",IF(COUNTIF(Campaigns!$A$7:$A$300,B4483)&gt;0,"✓","⚠ add to Campaigns tab"))</f>
        <v/>
      </c>
      <c r="I4483" s="84" t="str">
        <f aca="false">IF(C4483="","",C4483*IF(Settings!$B$23=Settings!$C$6,1,IF(Settings!$B$23="USD",1/INDEX(Settings!$B$29:$B$40,MONTH(A4483)),INDEX(Settings!$B$29:$B$40,MONTH(A4483)))))</f>
        <v/>
      </c>
    </row>
    <row r="4484" customFormat="false" ht="15" hidden="false" customHeight="false" outlineLevel="0" collapsed="false">
      <c r="H4484" s="0" t="str">
        <f aca="false">IF(B4484="","",IF(COUNTIF(Campaigns!$A$7:$A$300,B4484)&gt;0,"✓","⚠ add to Campaigns tab"))</f>
        <v/>
      </c>
      <c r="I4484" s="84" t="str">
        <f aca="false">IF(C4484="","",C4484*IF(Settings!$B$23=Settings!$C$6,1,IF(Settings!$B$23="USD",1/INDEX(Settings!$B$29:$B$40,MONTH(A4484)),INDEX(Settings!$B$29:$B$40,MONTH(A4484)))))</f>
        <v/>
      </c>
    </row>
    <row r="4485" customFormat="false" ht="15" hidden="false" customHeight="false" outlineLevel="0" collapsed="false">
      <c r="H4485" s="0" t="str">
        <f aca="false">IF(B4485="","",IF(COUNTIF(Campaigns!$A$7:$A$300,B4485)&gt;0,"✓","⚠ add to Campaigns tab"))</f>
        <v/>
      </c>
      <c r="I4485" s="84" t="str">
        <f aca="false">IF(C4485="","",C4485*IF(Settings!$B$23=Settings!$C$6,1,IF(Settings!$B$23="USD",1/INDEX(Settings!$B$29:$B$40,MONTH(A4485)),INDEX(Settings!$B$29:$B$40,MONTH(A4485)))))</f>
        <v/>
      </c>
    </row>
    <row r="4486" customFormat="false" ht="15" hidden="false" customHeight="false" outlineLevel="0" collapsed="false">
      <c r="H4486" s="0" t="str">
        <f aca="false">IF(B4486="","",IF(COUNTIF(Campaigns!$A$7:$A$300,B4486)&gt;0,"✓","⚠ add to Campaigns tab"))</f>
        <v/>
      </c>
      <c r="I4486" s="84" t="str">
        <f aca="false">IF(C4486="","",C4486*IF(Settings!$B$23=Settings!$C$6,1,IF(Settings!$B$23="USD",1/INDEX(Settings!$B$29:$B$40,MONTH(A4486)),INDEX(Settings!$B$29:$B$40,MONTH(A4486)))))</f>
        <v/>
      </c>
    </row>
    <row r="4487" customFormat="false" ht="15" hidden="false" customHeight="false" outlineLevel="0" collapsed="false">
      <c r="H4487" s="0" t="str">
        <f aca="false">IF(B4487="","",IF(COUNTIF(Campaigns!$A$7:$A$300,B4487)&gt;0,"✓","⚠ add to Campaigns tab"))</f>
        <v/>
      </c>
      <c r="I4487" s="84" t="str">
        <f aca="false">IF(C4487="","",C4487*IF(Settings!$B$23=Settings!$C$6,1,IF(Settings!$B$23="USD",1/INDEX(Settings!$B$29:$B$40,MONTH(A4487)),INDEX(Settings!$B$29:$B$40,MONTH(A4487)))))</f>
        <v/>
      </c>
    </row>
    <row r="4488" customFormat="false" ht="15" hidden="false" customHeight="false" outlineLevel="0" collapsed="false">
      <c r="H4488" s="0" t="str">
        <f aca="false">IF(B4488="","",IF(COUNTIF(Campaigns!$A$7:$A$300,B4488)&gt;0,"✓","⚠ add to Campaigns tab"))</f>
        <v/>
      </c>
      <c r="I4488" s="84" t="str">
        <f aca="false">IF(C4488="","",C4488*IF(Settings!$B$23=Settings!$C$6,1,IF(Settings!$B$23="USD",1/INDEX(Settings!$B$29:$B$40,MONTH(A4488)),INDEX(Settings!$B$29:$B$40,MONTH(A4488)))))</f>
        <v/>
      </c>
    </row>
    <row r="4489" customFormat="false" ht="15" hidden="false" customHeight="false" outlineLevel="0" collapsed="false">
      <c r="H4489" s="0" t="str">
        <f aca="false">IF(B4489="","",IF(COUNTIF(Campaigns!$A$7:$A$300,B4489)&gt;0,"✓","⚠ add to Campaigns tab"))</f>
        <v/>
      </c>
      <c r="I4489" s="84" t="str">
        <f aca="false">IF(C4489="","",C4489*IF(Settings!$B$23=Settings!$C$6,1,IF(Settings!$B$23="USD",1/INDEX(Settings!$B$29:$B$40,MONTH(A4489)),INDEX(Settings!$B$29:$B$40,MONTH(A4489)))))</f>
        <v/>
      </c>
    </row>
    <row r="4490" customFormat="false" ht="15" hidden="false" customHeight="false" outlineLevel="0" collapsed="false">
      <c r="H4490" s="0" t="str">
        <f aca="false">IF(B4490="","",IF(COUNTIF(Campaigns!$A$7:$A$300,B4490)&gt;0,"✓","⚠ add to Campaigns tab"))</f>
        <v/>
      </c>
      <c r="I4490" s="84" t="str">
        <f aca="false">IF(C4490="","",C4490*IF(Settings!$B$23=Settings!$C$6,1,IF(Settings!$B$23="USD",1/INDEX(Settings!$B$29:$B$40,MONTH(A4490)),INDEX(Settings!$B$29:$B$40,MONTH(A4490)))))</f>
        <v/>
      </c>
    </row>
    <row r="4491" customFormat="false" ht="15" hidden="false" customHeight="false" outlineLevel="0" collapsed="false">
      <c r="H4491" s="0" t="str">
        <f aca="false">IF(B4491="","",IF(COUNTIF(Campaigns!$A$7:$A$300,B4491)&gt;0,"✓","⚠ add to Campaigns tab"))</f>
        <v/>
      </c>
      <c r="I4491" s="84" t="str">
        <f aca="false">IF(C4491="","",C4491*IF(Settings!$B$23=Settings!$C$6,1,IF(Settings!$B$23="USD",1/INDEX(Settings!$B$29:$B$40,MONTH(A4491)),INDEX(Settings!$B$29:$B$40,MONTH(A4491)))))</f>
        <v/>
      </c>
    </row>
    <row r="4492" customFormat="false" ht="15" hidden="false" customHeight="false" outlineLevel="0" collapsed="false">
      <c r="H4492" s="0" t="str">
        <f aca="false">IF(B4492="","",IF(COUNTIF(Campaigns!$A$7:$A$300,B4492)&gt;0,"✓","⚠ add to Campaigns tab"))</f>
        <v/>
      </c>
      <c r="I4492" s="84" t="str">
        <f aca="false">IF(C4492="","",C4492*IF(Settings!$B$23=Settings!$C$6,1,IF(Settings!$B$23="USD",1/INDEX(Settings!$B$29:$B$40,MONTH(A4492)),INDEX(Settings!$B$29:$B$40,MONTH(A4492)))))</f>
        <v/>
      </c>
    </row>
    <row r="4493" customFormat="false" ht="15" hidden="false" customHeight="false" outlineLevel="0" collapsed="false">
      <c r="H4493" s="0" t="str">
        <f aca="false">IF(B4493="","",IF(COUNTIF(Campaigns!$A$7:$A$300,B4493)&gt;0,"✓","⚠ add to Campaigns tab"))</f>
        <v/>
      </c>
      <c r="I4493" s="84" t="str">
        <f aca="false">IF(C4493="","",C4493*IF(Settings!$B$23=Settings!$C$6,1,IF(Settings!$B$23="USD",1/INDEX(Settings!$B$29:$B$40,MONTH(A4493)),INDEX(Settings!$B$29:$B$40,MONTH(A4493)))))</f>
        <v/>
      </c>
    </row>
    <row r="4494" customFormat="false" ht="15" hidden="false" customHeight="false" outlineLevel="0" collapsed="false">
      <c r="H4494" s="0" t="str">
        <f aca="false">IF(B4494="","",IF(COUNTIF(Campaigns!$A$7:$A$300,B4494)&gt;0,"✓","⚠ add to Campaigns tab"))</f>
        <v/>
      </c>
      <c r="I4494" s="84" t="str">
        <f aca="false">IF(C4494="","",C4494*IF(Settings!$B$23=Settings!$C$6,1,IF(Settings!$B$23="USD",1/INDEX(Settings!$B$29:$B$40,MONTH(A4494)),INDEX(Settings!$B$29:$B$40,MONTH(A4494)))))</f>
        <v/>
      </c>
    </row>
    <row r="4495" customFormat="false" ht="15" hidden="false" customHeight="false" outlineLevel="0" collapsed="false">
      <c r="H4495" s="0" t="str">
        <f aca="false">IF(B4495="","",IF(COUNTIF(Campaigns!$A$7:$A$300,B4495)&gt;0,"✓","⚠ add to Campaigns tab"))</f>
        <v/>
      </c>
      <c r="I4495" s="84" t="str">
        <f aca="false">IF(C4495="","",C4495*IF(Settings!$B$23=Settings!$C$6,1,IF(Settings!$B$23="USD",1/INDEX(Settings!$B$29:$B$40,MONTH(A4495)),INDEX(Settings!$B$29:$B$40,MONTH(A4495)))))</f>
        <v/>
      </c>
    </row>
    <row r="4496" customFormat="false" ht="15" hidden="false" customHeight="false" outlineLevel="0" collapsed="false">
      <c r="H4496" s="0" t="str">
        <f aca="false">IF(B4496="","",IF(COUNTIF(Campaigns!$A$7:$A$300,B4496)&gt;0,"✓","⚠ add to Campaigns tab"))</f>
        <v/>
      </c>
      <c r="I4496" s="84" t="str">
        <f aca="false">IF(C4496="","",C4496*IF(Settings!$B$23=Settings!$C$6,1,IF(Settings!$B$23="USD",1/INDEX(Settings!$B$29:$B$40,MONTH(A4496)),INDEX(Settings!$B$29:$B$40,MONTH(A4496)))))</f>
        <v/>
      </c>
    </row>
    <row r="4497" customFormat="false" ht="15" hidden="false" customHeight="false" outlineLevel="0" collapsed="false">
      <c r="H4497" s="0" t="str">
        <f aca="false">IF(B4497="","",IF(COUNTIF(Campaigns!$A$7:$A$300,B4497)&gt;0,"✓","⚠ add to Campaigns tab"))</f>
        <v/>
      </c>
      <c r="I4497" s="84" t="str">
        <f aca="false">IF(C4497="","",C4497*IF(Settings!$B$23=Settings!$C$6,1,IF(Settings!$B$23="USD",1/INDEX(Settings!$B$29:$B$40,MONTH(A4497)),INDEX(Settings!$B$29:$B$40,MONTH(A4497)))))</f>
        <v/>
      </c>
    </row>
    <row r="4498" customFormat="false" ht="15" hidden="false" customHeight="false" outlineLevel="0" collapsed="false">
      <c r="H4498" s="0" t="str">
        <f aca="false">IF(B4498="","",IF(COUNTIF(Campaigns!$A$7:$A$300,B4498)&gt;0,"✓","⚠ add to Campaigns tab"))</f>
        <v/>
      </c>
      <c r="I4498" s="84" t="str">
        <f aca="false">IF(C4498="","",C4498*IF(Settings!$B$23=Settings!$C$6,1,IF(Settings!$B$23="USD",1/INDEX(Settings!$B$29:$B$40,MONTH(A4498)),INDEX(Settings!$B$29:$B$40,MONTH(A4498)))))</f>
        <v/>
      </c>
    </row>
    <row r="4499" customFormat="false" ht="15" hidden="false" customHeight="false" outlineLevel="0" collapsed="false">
      <c r="H4499" s="0" t="str">
        <f aca="false">IF(B4499="","",IF(COUNTIF(Campaigns!$A$7:$A$300,B4499)&gt;0,"✓","⚠ add to Campaigns tab"))</f>
        <v/>
      </c>
      <c r="I4499" s="84" t="str">
        <f aca="false">IF(C4499="","",C4499*IF(Settings!$B$23=Settings!$C$6,1,IF(Settings!$B$23="USD",1/INDEX(Settings!$B$29:$B$40,MONTH(A4499)),INDEX(Settings!$B$29:$B$40,MONTH(A4499)))))</f>
        <v/>
      </c>
    </row>
    <row r="4500" customFormat="false" ht="15" hidden="false" customHeight="false" outlineLevel="0" collapsed="false">
      <c r="H4500" s="0" t="str">
        <f aca="false">IF(B4500="","",IF(COUNTIF(Campaigns!$A$7:$A$300,B4500)&gt;0,"✓","⚠ add to Campaigns tab"))</f>
        <v/>
      </c>
      <c r="I4500" s="84" t="str">
        <f aca="false">IF(C4500="","",C4500*IF(Settings!$B$23=Settings!$C$6,1,IF(Settings!$B$23="USD",1/INDEX(Settings!$B$29:$B$40,MONTH(A4500)),INDEX(Settings!$B$29:$B$40,MONTH(A4500)))))</f>
        <v/>
      </c>
    </row>
    <row r="4501" customFormat="false" ht="15" hidden="false" customHeight="false" outlineLevel="0" collapsed="false">
      <c r="H4501" s="0" t="str">
        <f aca="false">IF(B4501="","",IF(COUNTIF(Campaigns!$A$7:$A$300,B4501)&gt;0,"✓","⚠ add to Campaigns tab"))</f>
        <v/>
      </c>
      <c r="I4501" s="84" t="str">
        <f aca="false">IF(C4501="","",C4501*IF(Settings!$B$23=Settings!$C$6,1,IF(Settings!$B$23="USD",1/INDEX(Settings!$B$29:$B$40,MONTH(A4501)),INDEX(Settings!$B$29:$B$40,MONTH(A4501)))))</f>
        <v/>
      </c>
    </row>
    <row r="4502" customFormat="false" ht="15" hidden="false" customHeight="false" outlineLevel="0" collapsed="false">
      <c r="H4502" s="0" t="str">
        <f aca="false">IF(B4502="","",IF(COUNTIF(Campaigns!$A$7:$A$300,B4502)&gt;0,"✓","⚠ add to Campaigns tab"))</f>
        <v/>
      </c>
      <c r="I4502" s="84" t="str">
        <f aca="false">IF(C4502="","",C4502*IF(Settings!$B$23=Settings!$C$6,1,IF(Settings!$B$23="USD",1/INDEX(Settings!$B$29:$B$40,MONTH(A4502)),INDEX(Settings!$B$29:$B$40,MONTH(A4502)))))</f>
        <v/>
      </c>
    </row>
    <row r="4503" customFormat="false" ht="15" hidden="false" customHeight="false" outlineLevel="0" collapsed="false">
      <c r="H4503" s="0" t="str">
        <f aca="false">IF(B4503="","",IF(COUNTIF(Campaigns!$A$7:$A$300,B4503)&gt;0,"✓","⚠ add to Campaigns tab"))</f>
        <v/>
      </c>
      <c r="I4503" s="84" t="str">
        <f aca="false">IF(C4503="","",C4503*IF(Settings!$B$23=Settings!$C$6,1,IF(Settings!$B$23="USD",1/INDEX(Settings!$B$29:$B$40,MONTH(A4503)),INDEX(Settings!$B$29:$B$40,MONTH(A4503)))))</f>
        <v/>
      </c>
    </row>
    <row r="4504" customFormat="false" ht="15" hidden="false" customHeight="false" outlineLevel="0" collapsed="false">
      <c r="H4504" s="0" t="str">
        <f aca="false">IF(B4504="","",IF(COUNTIF(Campaigns!$A$7:$A$300,B4504)&gt;0,"✓","⚠ add to Campaigns tab"))</f>
        <v/>
      </c>
      <c r="I4504" s="84" t="str">
        <f aca="false">IF(C4504="","",C4504*IF(Settings!$B$23=Settings!$C$6,1,IF(Settings!$B$23="USD",1/INDEX(Settings!$B$29:$B$40,MONTH(A4504)),INDEX(Settings!$B$29:$B$40,MONTH(A4504)))))</f>
        <v/>
      </c>
    </row>
    <row r="4505" customFormat="false" ht="15" hidden="false" customHeight="false" outlineLevel="0" collapsed="false">
      <c r="H4505" s="0" t="str">
        <f aca="false">IF(B4505="","",IF(COUNTIF(Campaigns!$A$7:$A$300,B4505)&gt;0,"✓","⚠ add to Campaigns tab"))</f>
        <v/>
      </c>
      <c r="I4505" s="84" t="str">
        <f aca="false">IF(C4505="","",C4505*IF(Settings!$B$23=Settings!$C$6,1,IF(Settings!$B$23="USD",1/INDEX(Settings!$B$29:$B$40,MONTH(A4505)),INDEX(Settings!$B$29:$B$40,MONTH(A4505)))))</f>
        <v/>
      </c>
    </row>
    <row r="4506" customFormat="false" ht="15" hidden="false" customHeight="false" outlineLevel="0" collapsed="false">
      <c r="H4506" s="0" t="str">
        <f aca="false">IF(B4506="","",IF(COUNTIF(Campaigns!$A$7:$A$300,B4506)&gt;0,"✓","⚠ add to Campaigns tab"))</f>
        <v/>
      </c>
      <c r="I4506" s="84" t="str">
        <f aca="false">IF(C4506="","",C4506*IF(Settings!$B$23=Settings!$C$6,1,IF(Settings!$B$23="USD",1/INDEX(Settings!$B$29:$B$40,MONTH(A4506)),INDEX(Settings!$B$29:$B$40,MONTH(A4506)))))</f>
        <v/>
      </c>
    </row>
    <row r="4507" customFormat="false" ht="15" hidden="false" customHeight="false" outlineLevel="0" collapsed="false">
      <c r="H4507" s="0" t="str">
        <f aca="false">IF(B4507="","",IF(COUNTIF(Campaigns!$A$7:$A$300,B4507)&gt;0,"✓","⚠ add to Campaigns tab"))</f>
        <v/>
      </c>
      <c r="I4507" s="84" t="str">
        <f aca="false">IF(C4507="","",C4507*IF(Settings!$B$23=Settings!$C$6,1,IF(Settings!$B$23="USD",1/INDEX(Settings!$B$29:$B$40,MONTH(A4507)),INDEX(Settings!$B$29:$B$40,MONTH(A4507)))))</f>
        <v/>
      </c>
    </row>
    <row r="4508" customFormat="false" ht="15" hidden="false" customHeight="false" outlineLevel="0" collapsed="false">
      <c r="H4508" s="0" t="str">
        <f aca="false">IF(B4508="","",IF(COUNTIF(Campaigns!$A$7:$A$300,B4508)&gt;0,"✓","⚠ add to Campaigns tab"))</f>
        <v/>
      </c>
      <c r="I4508" s="84" t="str">
        <f aca="false">IF(C4508="","",C4508*IF(Settings!$B$23=Settings!$C$6,1,IF(Settings!$B$23="USD",1/INDEX(Settings!$B$29:$B$40,MONTH(A4508)),INDEX(Settings!$B$29:$B$40,MONTH(A4508)))))</f>
        <v/>
      </c>
    </row>
    <row r="4509" customFormat="false" ht="15" hidden="false" customHeight="false" outlineLevel="0" collapsed="false">
      <c r="H4509" s="0" t="str">
        <f aca="false">IF(B4509="","",IF(COUNTIF(Campaigns!$A$7:$A$300,B4509)&gt;0,"✓","⚠ add to Campaigns tab"))</f>
        <v/>
      </c>
      <c r="I4509" s="84" t="str">
        <f aca="false">IF(C4509="","",C4509*IF(Settings!$B$23=Settings!$C$6,1,IF(Settings!$B$23="USD",1/INDEX(Settings!$B$29:$B$40,MONTH(A4509)),INDEX(Settings!$B$29:$B$40,MONTH(A4509)))))</f>
        <v/>
      </c>
    </row>
    <row r="4510" customFormat="false" ht="15" hidden="false" customHeight="false" outlineLevel="0" collapsed="false">
      <c r="H4510" s="0" t="str">
        <f aca="false">IF(B4510="","",IF(COUNTIF(Campaigns!$A$7:$A$300,B4510)&gt;0,"✓","⚠ add to Campaigns tab"))</f>
        <v/>
      </c>
      <c r="I4510" s="84" t="str">
        <f aca="false">IF(C4510="","",C4510*IF(Settings!$B$23=Settings!$C$6,1,IF(Settings!$B$23="USD",1/INDEX(Settings!$B$29:$B$40,MONTH(A4510)),INDEX(Settings!$B$29:$B$40,MONTH(A4510)))))</f>
        <v/>
      </c>
    </row>
    <row r="4511" customFormat="false" ht="15" hidden="false" customHeight="false" outlineLevel="0" collapsed="false">
      <c r="H4511" s="0" t="str">
        <f aca="false">IF(B4511="","",IF(COUNTIF(Campaigns!$A$7:$A$300,B4511)&gt;0,"✓","⚠ add to Campaigns tab"))</f>
        <v/>
      </c>
      <c r="I4511" s="84" t="str">
        <f aca="false">IF(C4511="","",C4511*IF(Settings!$B$23=Settings!$C$6,1,IF(Settings!$B$23="USD",1/INDEX(Settings!$B$29:$B$40,MONTH(A4511)),INDEX(Settings!$B$29:$B$40,MONTH(A4511)))))</f>
        <v/>
      </c>
    </row>
    <row r="4512" customFormat="false" ht="15" hidden="false" customHeight="false" outlineLevel="0" collapsed="false">
      <c r="H4512" s="0" t="str">
        <f aca="false">IF(B4512="","",IF(COUNTIF(Campaigns!$A$7:$A$300,B4512)&gt;0,"✓","⚠ add to Campaigns tab"))</f>
        <v/>
      </c>
      <c r="I4512" s="84" t="str">
        <f aca="false">IF(C4512="","",C4512*IF(Settings!$B$23=Settings!$C$6,1,IF(Settings!$B$23="USD",1/INDEX(Settings!$B$29:$B$40,MONTH(A4512)),INDEX(Settings!$B$29:$B$40,MONTH(A4512)))))</f>
        <v/>
      </c>
    </row>
    <row r="4513" customFormat="false" ht="15" hidden="false" customHeight="false" outlineLevel="0" collapsed="false">
      <c r="H4513" s="0" t="str">
        <f aca="false">IF(B4513="","",IF(COUNTIF(Campaigns!$A$7:$A$300,B4513)&gt;0,"✓","⚠ add to Campaigns tab"))</f>
        <v/>
      </c>
      <c r="I4513" s="84" t="str">
        <f aca="false">IF(C4513="","",C4513*IF(Settings!$B$23=Settings!$C$6,1,IF(Settings!$B$23="USD",1/INDEX(Settings!$B$29:$B$40,MONTH(A4513)),INDEX(Settings!$B$29:$B$40,MONTH(A4513)))))</f>
        <v/>
      </c>
    </row>
    <row r="4514" customFormat="false" ht="15" hidden="false" customHeight="false" outlineLevel="0" collapsed="false">
      <c r="H4514" s="0" t="str">
        <f aca="false">IF(B4514="","",IF(COUNTIF(Campaigns!$A$7:$A$300,B4514)&gt;0,"✓","⚠ add to Campaigns tab"))</f>
        <v/>
      </c>
      <c r="I4514" s="84" t="str">
        <f aca="false">IF(C4514="","",C4514*IF(Settings!$B$23=Settings!$C$6,1,IF(Settings!$B$23="USD",1/INDEX(Settings!$B$29:$B$40,MONTH(A4514)),INDEX(Settings!$B$29:$B$40,MONTH(A4514)))))</f>
        <v/>
      </c>
    </row>
    <row r="4515" customFormat="false" ht="15" hidden="false" customHeight="false" outlineLevel="0" collapsed="false">
      <c r="H4515" s="0" t="str">
        <f aca="false">IF(B4515="","",IF(COUNTIF(Campaigns!$A$7:$A$300,B4515)&gt;0,"✓","⚠ add to Campaigns tab"))</f>
        <v/>
      </c>
      <c r="I4515" s="84" t="str">
        <f aca="false">IF(C4515="","",C4515*IF(Settings!$B$23=Settings!$C$6,1,IF(Settings!$B$23="USD",1/INDEX(Settings!$B$29:$B$40,MONTH(A4515)),INDEX(Settings!$B$29:$B$40,MONTH(A4515)))))</f>
        <v/>
      </c>
    </row>
    <row r="4516" customFormat="false" ht="15" hidden="false" customHeight="false" outlineLevel="0" collapsed="false">
      <c r="H4516" s="0" t="str">
        <f aca="false">IF(B4516="","",IF(COUNTIF(Campaigns!$A$7:$A$300,B4516)&gt;0,"✓","⚠ add to Campaigns tab"))</f>
        <v/>
      </c>
      <c r="I4516" s="84" t="str">
        <f aca="false">IF(C4516="","",C4516*IF(Settings!$B$23=Settings!$C$6,1,IF(Settings!$B$23="USD",1/INDEX(Settings!$B$29:$B$40,MONTH(A4516)),INDEX(Settings!$B$29:$B$40,MONTH(A4516)))))</f>
        <v/>
      </c>
    </row>
    <row r="4517" customFormat="false" ht="15" hidden="false" customHeight="false" outlineLevel="0" collapsed="false">
      <c r="H4517" s="0" t="str">
        <f aca="false">IF(B4517="","",IF(COUNTIF(Campaigns!$A$7:$A$300,B4517)&gt;0,"✓","⚠ add to Campaigns tab"))</f>
        <v/>
      </c>
      <c r="I4517" s="84" t="str">
        <f aca="false">IF(C4517="","",C4517*IF(Settings!$B$23=Settings!$C$6,1,IF(Settings!$B$23="USD",1/INDEX(Settings!$B$29:$B$40,MONTH(A4517)),INDEX(Settings!$B$29:$B$40,MONTH(A4517)))))</f>
        <v/>
      </c>
    </row>
    <row r="4518" customFormat="false" ht="15" hidden="false" customHeight="false" outlineLevel="0" collapsed="false">
      <c r="H4518" s="0" t="str">
        <f aca="false">IF(B4518="","",IF(COUNTIF(Campaigns!$A$7:$A$300,B4518)&gt;0,"✓","⚠ add to Campaigns tab"))</f>
        <v/>
      </c>
      <c r="I4518" s="84" t="str">
        <f aca="false">IF(C4518="","",C4518*IF(Settings!$B$23=Settings!$C$6,1,IF(Settings!$B$23="USD",1/INDEX(Settings!$B$29:$B$40,MONTH(A4518)),INDEX(Settings!$B$29:$B$40,MONTH(A4518)))))</f>
        <v/>
      </c>
    </row>
    <row r="4519" customFormat="false" ht="15" hidden="false" customHeight="false" outlineLevel="0" collapsed="false">
      <c r="H4519" s="0" t="str">
        <f aca="false">IF(B4519="","",IF(COUNTIF(Campaigns!$A$7:$A$300,B4519)&gt;0,"✓","⚠ add to Campaigns tab"))</f>
        <v/>
      </c>
      <c r="I4519" s="84" t="str">
        <f aca="false">IF(C4519="","",C4519*IF(Settings!$B$23=Settings!$C$6,1,IF(Settings!$B$23="USD",1/INDEX(Settings!$B$29:$B$40,MONTH(A4519)),INDEX(Settings!$B$29:$B$40,MONTH(A4519)))))</f>
        <v/>
      </c>
    </row>
    <row r="4520" customFormat="false" ht="15" hidden="false" customHeight="false" outlineLevel="0" collapsed="false">
      <c r="H4520" s="0" t="str">
        <f aca="false">IF(B4520="","",IF(COUNTIF(Campaigns!$A$7:$A$300,B4520)&gt;0,"✓","⚠ add to Campaigns tab"))</f>
        <v/>
      </c>
      <c r="I4520" s="84" t="str">
        <f aca="false">IF(C4520="","",C4520*IF(Settings!$B$23=Settings!$C$6,1,IF(Settings!$B$23="USD",1/INDEX(Settings!$B$29:$B$40,MONTH(A4520)),INDEX(Settings!$B$29:$B$40,MONTH(A4520)))))</f>
        <v/>
      </c>
    </row>
    <row r="4521" customFormat="false" ht="15" hidden="false" customHeight="false" outlineLevel="0" collapsed="false">
      <c r="H4521" s="0" t="str">
        <f aca="false">IF(B4521="","",IF(COUNTIF(Campaigns!$A$7:$A$300,B4521)&gt;0,"✓","⚠ add to Campaigns tab"))</f>
        <v/>
      </c>
      <c r="I4521" s="84" t="str">
        <f aca="false">IF(C4521="","",C4521*IF(Settings!$B$23=Settings!$C$6,1,IF(Settings!$B$23="USD",1/INDEX(Settings!$B$29:$B$40,MONTH(A4521)),INDEX(Settings!$B$29:$B$40,MONTH(A4521)))))</f>
        <v/>
      </c>
    </row>
    <row r="4522" customFormat="false" ht="15" hidden="false" customHeight="false" outlineLevel="0" collapsed="false">
      <c r="H4522" s="0" t="str">
        <f aca="false">IF(B4522="","",IF(COUNTIF(Campaigns!$A$7:$A$300,B4522)&gt;0,"✓","⚠ add to Campaigns tab"))</f>
        <v/>
      </c>
      <c r="I4522" s="84" t="str">
        <f aca="false">IF(C4522="","",C4522*IF(Settings!$B$23=Settings!$C$6,1,IF(Settings!$B$23="USD",1/INDEX(Settings!$B$29:$B$40,MONTH(A4522)),INDEX(Settings!$B$29:$B$40,MONTH(A4522)))))</f>
        <v/>
      </c>
    </row>
    <row r="4523" customFormat="false" ht="15" hidden="false" customHeight="false" outlineLevel="0" collapsed="false">
      <c r="H4523" s="0" t="str">
        <f aca="false">IF(B4523="","",IF(COUNTIF(Campaigns!$A$7:$A$300,B4523)&gt;0,"✓","⚠ add to Campaigns tab"))</f>
        <v/>
      </c>
      <c r="I4523" s="84" t="str">
        <f aca="false">IF(C4523="","",C4523*IF(Settings!$B$23=Settings!$C$6,1,IF(Settings!$B$23="USD",1/INDEX(Settings!$B$29:$B$40,MONTH(A4523)),INDEX(Settings!$B$29:$B$40,MONTH(A4523)))))</f>
        <v/>
      </c>
    </row>
    <row r="4524" customFormat="false" ht="15" hidden="false" customHeight="false" outlineLevel="0" collapsed="false">
      <c r="H4524" s="0" t="str">
        <f aca="false">IF(B4524="","",IF(COUNTIF(Campaigns!$A$7:$A$300,B4524)&gt;0,"✓","⚠ add to Campaigns tab"))</f>
        <v/>
      </c>
      <c r="I4524" s="84" t="str">
        <f aca="false">IF(C4524="","",C4524*IF(Settings!$B$23=Settings!$C$6,1,IF(Settings!$B$23="USD",1/INDEX(Settings!$B$29:$B$40,MONTH(A4524)),INDEX(Settings!$B$29:$B$40,MONTH(A4524)))))</f>
        <v/>
      </c>
    </row>
    <row r="4525" customFormat="false" ht="15" hidden="false" customHeight="false" outlineLevel="0" collapsed="false">
      <c r="H4525" s="0" t="str">
        <f aca="false">IF(B4525="","",IF(COUNTIF(Campaigns!$A$7:$A$300,B4525)&gt;0,"✓","⚠ add to Campaigns tab"))</f>
        <v/>
      </c>
      <c r="I4525" s="84" t="str">
        <f aca="false">IF(C4525="","",C4525*IF(Settings!$B$23=Settings!$C$6,1,IF(Settings!$B$23="USD",1/INDEX(Settings!$B$29:$B$40,MONTH(A4525)),INDEX(Settings!$B$29:$B$40,MONTH(A4525)))))</f>
        <v/>
      </c>
    </row>
    <row r="4526" customFormat="false" ht="15" hidden="false" customHeight="false" outlineLevel="0" collapsed="false">
      <c r="H4526" s="0" t="str">
        <f aca="false">IF(B4526="","",IF(COUNTIF(Campaigns!$A$7:$A$300,B4526)&gt;0,"✓","⚠ add to Campaigns tab"))</f>
        <v/>
      </c>
      <c r="I4526" s="84" t="str">
        <f aca="false">IF(C4526="","",C4526*IF(Settings!$B$23=Settings!$C$6,1,IF(Settings!$B$23="USD",1/INDEX(Settings!$B$29:$B$40,MONTH(A4526)),INDEX(Settings!$B$29:$B$40,MONTH(A4526)))))</f>
        <v/>
      </c>
    </row>
    <row r="4527" customFormat="false" ht="15" hidden="false" customHeight="false" outlineLevel="0" collapsed="false">
      <c r="H4527" s="0" t="str">
        <f aca="false">IF(B4527="","",IF(COUNTIF(Campaigns!$A$7:$A$300,B4527)&gt;0,"✓","⚠ add to Campaigns tab"))</f>
        <v/>
      </c>
      <c r="I4527" s="84" t="str">
        <f aca="false">IF(C4527="","",C4527*IF(Settings!$B$23=Settings!$C$6,1,IF(Settings!$B$23="USD",1/INDEX(Settings!$B$29:$B$40,MONTH(A4527)),INDEX(Settings!$B$29:$B$40,MONTH(A4527)))))</f>
        <v/>
      </c>
    </row>
    <row r="4528" customFormat="false" ht="15" hidden="false" customHeight="false" outlineLevel="0" collapsed="false">
      <c r="H4528" s="0" t="str">
        <f aca="false">IF(B4528="","",IF(COUNTIF(Campaigns!$A$7:$A$300,B4528)&gt;0,"✓","⚠ add to Campaigns tab"))</f>
        <v/>
      </c>
      <c r="I4528" s="84" t="str">
        <f aca="false">IF(C4528="","",C4528*IF(Settings!$B$23=Settings!$C$6,1,IF(Settings!$B$23="USD",1/INDEX(Settings!$B$29:$B$40,MONTH(A4528)),INDEX(Settings!$B$29:$B$40,MONTH(A4528)))))</f>
        <v/>
      </c>
    </row>
    <row r="4529" customFormat="false" ht="15" hidden="false" customHeight="false" outlineLevel="0" collapsed="false">
      <c r="H4529" s="0" t="str">
        <f aca="false">IF(B4529="","",IF(COUNTIF(Campaigns!$A$7:$A$300,B4529)&gt;0,"✓","⚠ add to Campaigns tab"))</f>
        <v/>
      </c>
      <c r="I4529" s="84" t="str">
        <f aca="false">IF(C4529="","",C4529*IF(Settings!$B$23=Settings!$C$6,1,IF(Settings!$B$23="USD",1/INDEX(Settings!$B$29:$B$40,MONTH(A4529)),INDEX(Settings!$B$29:$B$40,MONTH(A4529)))))</f>
        <v/>
      </c>
    </row>
    <row r="4530" customFormat="false" ht="15" hidden="false" customHeight="false" outlineLevel="0" collapsed="false">
      <c r="H4530" s="0" t="str">
        <f aca="false">IF(B4530="","",IF(COUNTIF(Campaigns!$A$7:$A$300,B4530)&gt;0,"✓","⚠ add to Campaigns tab"))</f>
        <v/>
      </c>
      <c r="I4530" s="84" t="str">
        <f aca="false">IF(C4530="","",C4530*IF(Settings!$B$23=Settings!$C$6,1,IF(Settings!$B$23="USD",1/INDEX(Settings!$B$29:$B$40,MONTH(A4530)),INDEX(Settings!$B$29:$B$40,MONTH(A4530)))))</f>
        <v/>
      </c>
    </row>
    <row r="4531" customFormat="false" ht="15" hidden="false" customHeight="false" outlineLevel="0" collapsed="false">
      <c r="H4531" s="0" t="str">
        <f aca="false">IF(B4531="","",IF(COUNTIF(Campaigns!$A$7:$A$300,B4531)&gt;0,"✓","⚠ add to Campaigns tab"))</f>
        <v/>
      </c>
      <c r="I4531" s="84" t="str">
        <f aca="false">IF(C4531="","",C4531*IF(Settings!$B$23=Settings!$C$6,1,IF(Settings!$B$23="USD",1/INDEX(Settings!$B$29:$B$40,MONTH(A4531)),INDEX(Settings!$B$29:$B$40,MONTH(A4531)))))</f>
        <v/>
      </c>
    </row>
    <row r="4532" customFormat="false" ht="15" hidden="false" customHeight="false" outlineLevel="0" collapsed="false">
      <c r="H4532" s="0" t="str">
        <f aca="false">IF(B4532="","",IF(COUNTIF(Campaigns!$A$7:$A$300,B4532)&gt;0,"✓","⚠ add to Campaigns tab"))</f>
        <v/>
      </c>
      <c r="I4532" s="84" t="str">
        <f aca="false">IF(C4532="","",C4532*IF(Settings!$B$23=Settings!$C$6,1,IF(Settings!$B$23="USD",1/INDEX(Settings!$B$29:$B$40,MONTH(A4532)),INDEX(Settings!$B$29:$B$40,MONTH(A4532)))))</f>
        <v/>
      </c>
    </row>
    <row r="4533" customFormat="false" ht="15" hidden="false" customHeight="false" outlineLevel="0" collapsed="false">
      <c r="H4533" s="0" t="str">
        <f aca="false">IF(B4533="","",IF(COUNTIF(Campaigns!$A$7:$A$300,B4533)&gt;0,"✓","⚠ add to Campaigns tab"))</f>
        <v/>
      </c>
      <c r="I4533" s="84" t="str">
        <f aca="false">IF(C4533="","",C4533*IF(Settings!$B$23=Settings!$C$6,1,IF(Settings!$B$23="USD",1/INDEX(Settings!$B$29:$B$40,MONTH(A4533)),INDEX(Settings!$B$29:$B$40,MONTH(A4533)))))</f>
        <v/>
      </c>
    </row>
    <row r="4534" customFormat="false" ht="15" hidden="false" customHeight="false" outlineLevel="0" collapsed="false">
      <c r="H4534" s="0" t="str">
        <f aca="false">IF(B4534="","",IF(COUNTIF(Campaigns!$A$7:$A$300,B4534)&gt;0,"✓","⚠ add to Campaigns tab"))</f>
        <v/>
      </c>
      <c r="I4534" s="84" t="str">
        <f aca="false">IF(C4534="","",C4534*IF(Settings!$B$23=Settings!$C$6,1,IF(Settings!$B$23="USD",1/INDEX(Settings!$B$29:$B$40,MONTH(A4534)),INDEX(Settings!$B$29:$B$40,MONTH(A4534)))))</f>
        <v/>
      </c>
    </row>
    <row r="4535" customFormat="false" ht="15" hidden="false" customHeight="false" outlineLevel="0" collapsed="false">
      <c r="H4535" s="0" t="str">
        <f aca="false">IF(B4535="","",IF(COUNTIF(Campaigns!$A$7:$A$300,B4535)&gt;0,"✓","⚠ add to Campaigns tab"))</f>
        <v/>
      </c>
      <c r="I4535" s="84" t="str">
        <f aca="false">IF(C4535="","",C4535*IF(Settings!$B$23=Settings!$C$6,1,IF(Settings!$B$23="USD",1/INDEX(Settings!$B$29:$B$40,MONTH(A4535)),INDEX(Settings!$B$29:$B$40,MONTH(A4535)))))</f>
        <v/>
      </c>
    </row>
    <row r="4536" customFormat="false" ht="15" hidden="false" customHeight="false" outlineLevel="0" collapsed="false">
      <c r="H4536" s="0" t="str">
        <f aca="false">IF(B4536="","",IF(COUNTIF(Campaigns!$A$7:$A$300,B4536)&gt;0,"✓","⚠ add to Campaigns tab"))</f>
        <v/>
      </c>
      <c r="I4536" s="84" t="str">
        <f aca="false">IF(C4536="","",C4536*IF(Settings!$B$23=Settings!$C$6,1,IF(Settings!$B$23="USD",1/INDEX(Settings!$B$29:$B$40,MONTH(A4536)),INDEX(Settings!$B$29:$B$40,MONTH(A4536)))))</f>
        <v/>
      </c>
    </row>
    <row r="4537" customFormat="false" ht="15" hidden="false" customHeight="false" outlineLevel="0" collapsed="false">
      <c r="H4537" s="0" t="str">
        <f aca="false">IF(B4537="","",IF(COUNTIF(Campaigns!$A$7:$A$300,B4537)&gt;0,"✓","⚠ add to Campaigns tab"))</f>
        <v/>
      </c>
      <c r="I4537" s="84" t="str">
        <f aca="false">IF(C4537="","",C4537*IF(Settings!$B$23=Settings!$C$6,1,IF(Settings!$B$23="USD",1/INDEX(Settings!$B$29:$B$40,MONTH(A4537)),INDEX(Settings!$B$29:$B$40,MONTH(A4537)))))</f>
        <v/>
      </c>
    </row>
    <row r="4538" customFormat="false" ht="15" hidden="false" customHeight="false" outlineLevel="0" collapsed="false">
      <c r="H4538" s="0" t="str">
        <f aca="false">IF(B4538="","",IF(COUNTIF(Campaigns!$A$7:$A$300,B4538)&gt;0,"✓","⚠ add to Campaigns tab"))</f>
        <v/>
      </c>
      <c r="I4538" s="84" t="str">
        <f aca="false">IF(C4538="","",C4538*IF(Settings!$B$23=Settings!$C$6,1,IF(Settings!$B$23="USD",1/INDEX(Settings!$B$29:$B$40,MONTH(A4538)),INDEX(Settings!$B$29:$B$40,MONTH(A4538)))))</f>
        <v/>
      </c>
    </row>
    <row r="4539" customFormat="false" ht="15" hidden="false" customHeight="false" outlineLevel="0" collapsed="false">
      <c r="H4539" s="0" t="str">
        <f aca="false">IF(B4539="","",IF(COUNTIF(Campaigns!$A$7:$A$300,B4539)&gt;0,"✓","⚠ add to Campaigns tab"))</f>
        <v/>
      </c>
      <c r="I4539" s="84" t="str">
        <f aca="false">IF(C4539="","",C4539*IF(Settings!$B$23=Settings!$C$6,1,IF(Settings!$B$23="USD",1/INDEX(Settings!$B$29:$B$40,MONTH(A4539)),INDEX(Settings!$B$29:$B$40,MONTH(A4539)))))</f>
        <v/>
      </c>
    </row>
    <row r="4540" customFormat="false" ht="15" hidden="false" customHeight="false" outlineLevel="0" collapsed="false">
      <c r="H4540" s="0" t="str">
        <f aca="false">IF(B4540="","",IF(COUNTIF(Campaigns!$A$7:$A$300,B4540)&gt;0,"✓","⚠ add to Campaigns tab"))</f>
        <v/>
      </c>
      <c r="I4540" s="84" t="str">
        <f aca="false">IF(C4540="","",C4540*IF(Settings!$B$23=Settings!$C$6,1,IF(Settings!$B$23="USD",1/INDEX(Settings!$B$29:$B$40,MONTH(A4540)),INDEX(Settings!$B$29:$B$40,MONTH(A4540)))))</f>
        <v/>
      </c>
    </row>
    <row r="4541" customFormat="false" ht="15" hidden="false" customHeight="false" outlineLevel="0" collapsed="false">
      <c r="H4541" s="0" t="str">
        <f aca="false">IF(B4541="","",IF(COUNTIF(Campaigns!$A$7:$A$300,B4541)&gt;0,"✓","⚠ add to Campaigns tab"))</f>
        <v/>
      </c>
      <c r="I4541" s="84" t="str">
        <f aca="false">IF(C4541="","",C4541*IF(Settings!$B$23=Settings!$C$6,1,IF(Settings!$B$23="USD",1/INDEX(Settings!$B$29:$B$40,MONTH(A4541)),INDEX(Settings!$B$29:$B$40,MONTH(A4541)))))</f>
        <v/>
      </c>
    </row>
    <row r="4542" customFormat="false" ht="15" hidden="false" customHeight="false" outlineLevel="0" collapsed="false">
      <c r="H4542" s="0" t="str">
        <f aca="false">IF(B4542="","",IF(COUNTIF(Campaigns!$A$7:$A$300,B4542)&gt;0,"✓","⚠ add to Campaigns tab"))</f>
        <v/>
      </c>
      <c r="I4542" s="84" t="str">
        <f aca="false">IF(C4542="","",C4542*IF(Settings!$B$23=Settings!$C$6,1,IF(Settings!$B$23="USD",1/INDEX(Settings!$B$29:$B$40,MONTH(A4542)),INDEX(Settings!$B$29:$B$40,MONTH(A4542)))))</f>
        <v/>
      </c>
    </row>
    <row r="4543" customFormat="false" ht="15" hidden="false" customHeight="false" outlineLevel="0" collapsed="false">
      <c r="H4543" s="0" t="str">
        <f aca="false">IF(B4543="","",IF(COUNTIF(Campaigns!$A$7:$A$300,B4543)&gt;0,"✓","⚠ add to Campaigns tab"))</f>
        <v/>
      </c>
      <c r="I4543" s="84" t="str">
        <f aca="false">IF(C4543="","",C4543*IF(Settings!$B$23=Settings!$C$6,1,IF(Settings!$B$23="USD",1/INDEX(Settings!$B$29:$B$40,MONTH(A4543)),INDEX(Settings!$B$29:$B$40,MONTH(A4543)))))</f>
        <v/>
      </c>
    </row>
    <row r="4544" customFormat="false" ht="15" hidden="false" customHeight="false" outlineLevel="0" collapsed="false">
      <c r="H4544" s="0" t="str">
        <f aca="false">IF(B4544="","",IF(COUNTIF(Campaigns!$A$7:$A$300,B4544)&gt;0,"✓","⚠ add to Campaigns tab"))</f>
        <v/>
      </c>
      <c r="I4544" s="84" t="str">
        <f aca="false">IF(C4544="","",C4544*IF(Settings!$B$23=Settings!$C$6,1,IF(Settings!$B$23="USD",1/INDEX(Settings!$B$29:$B$40,MONTH(A4544)),INDEX(Settings!$B$29:$B$40,MONTH(A4544)))))</f>
        <v/>
      </c>
    </row>
    <row r="4545" customFormat="false" ht="15" hidden="false" customHeight="false" outlineLevel="0" collapsed="false">
      <c r="H4545" s="0" t="str">
        <f aca="false">IF(B4545="","",IF(COUNTIF(Campaigns!$A$7:$A$300,B4545)&gt;0,"✓","⚠ add to Campaigns tab"))</f>
        <v/>
      </c>
      <c r="I4545" s="84" t="str">
        <f aca="false">IF(C4545="","",C4545*IF(Settings!$B$23=Settings!$C$6,1,IF(Settings!$B$23="USD",1/INDEX(Settings!$B$29:$B$40,MONTH(A4545)),INDEX(Settings!$B$29:$B$40,MONTH(A4545)))))</f>
        <v/>
      </c>
    </row>
    <row r="4546" customFormat="false" ht="15" hidden="false" customHeight="false" outlineLevel="0" collapsed="false">
      <c r="H4546" s="0" t="str">
        <f aca="false">IF(B4546="","",IF(COUNTIF(Campaigns!$A$7:$A$300,B4546)&gt;0,"✓","⚠ add to Campaigns tab"))</f>
        <v/>
      </c>
      <c r="I4546" s="84" t="str">
        <f aca="false">IF(C4546="","",C4546*IF(Settings!$B$23=Settings!$C$6,1,IF(Settings!$B$23="USD",1/INDEX(Settings!$B$29:$B$40,MONTH(A4546)),INDEX(Settings!$B$29:$B$40,MONTH(A4546)))))</f>
        <v/>
      </c>
    </row>
    <row r="4547" customFormat="false" ht="15" hidden="false" customHeight="false" outlineLevel="0" collapsed="false">
      <c r="H4547" s="0" t="str">
        <f aca="false">IF(B4547="","",IF(COUNTIF(Campaigns!$A$7:$A$300,B4547)&gt;0,"✓","⚠ add to Campaigns tab"))</f>
        <v/>
      </c>
      <c r="I4547" s="84" t="str">
        <f aca="false">IF(C4547="","",C4547*IF(Settings!$B$23=Settings!$C$6,1,IF(Settings!$B$23="USD",1/INDEX(Settings!$B$29:$B$40,MONTH(A4547)),INDEX(Settings!$B$29:$B$40,MONTH(A4547)))))</f>
        <v/>
      </c>
    </row>
    <row r="4548" customFormat="false" ht="15" hidden="false" customHeight="false" outlineLevel="0" collapsed="false">
      <c r="H4548" s="0" t="str">
        <f aca="false">IF(B4548="","",IF(COUNTIF(Campaigns!$A$7:$A$300,B4548)&gt;0,"✓","⚠ add to Campaigns tab"))</f>
        <v/>
      </c>
      <c r="I4548" s="84" t="str">
        <f aca="false">IF(C4548="","",C4548*IF(Settings!$B$23=Settings!$C$6,1,IF(Settings!$B$23="USD",1/INDEX(Settings!$B$29:$B$40,MONTH(A4548)),INDEX(Settings!$B$29:$B$40,MONTH(A4548)))))</f>
        <v/>
      </c>
    </row>
    <row r="4549" customFormat="false" ht="15" hidden="false" customHeight="false" outlineLevel="0" collapsed="false">
      <c r="H4549" s="0" t="str">
        <f aca="false">IF(B4549="","",IF(COUNTIF(Campaigns!$A$7:$A$300,B4549)&gt;0,"✓","⚠ add to Campaigns tab"))</f>
        <v/>
      </c>
      <c r="I4549" s="84" t="str">
        <f aca="false">IF(C4549="","",C4549*IF(Settings!$B$23=Settings!$C$6,1,IF(Settings!$B$23="USD",1/INDEX(Settings!$B$29:$B$40,MONTH(A4549)),INDEX(Settings!$B$29:$B$40,MONTH(A4549)))))</f>
        <v/>
      </c>
    </row>
    <row r="4550" customFormat="false" ht="15" hidden="false" customHeight="false" outlineLevel="0" collapsed="false">
      <c r="H4550" s="0" t="str">
        <f aca="false">IF(B4550="","",IF(COUNTIF(Campaigns!$A$7:$A$300,B4550)&gt;0,"✓","⚠ add to Campaigns tab"))</f>
        <v/>
      </c>
      <c r="I4550" s="84" t="str">
        <f aca="false">IF(C4550="","",C4550*IF(Settings!$B$23=Settings!$C$6,1,IF(Settings!$B$23="USD",1/INDEX(Settings!$B$29:$B$40,MONTH(A4550)),INDEX(Settings!$B$29:$B$40,MONTH(A4550)))))</f>
        <v/>
      </c>
    </row>
    <row r="4551" customFormat="false" ht="15" hidden="false" customHeight="false" outlineLevel="0" collapsed="false">
      <c r="H4551" s="0" t="str">
        <f aca="false">IF(B4551="","",IF(COUNTIF(Campaigns!$A$7:$A$300,B4551)&gt;0,"✓","⚠ add to Campaigns tab"))</f>
        <v/>
      </c>
      <c r="I4551" s="84" t="str">
        <f aca="false">IF(C4551="","",C4551*IF(Settings!$B$23=Settings!$C$6,1,IF(Settings!$B$23="USD",1/INDEX(Settings!$B$29:$B$40,MONTH(A4551)),INDEX(Settings!$B$29:$B$40,MONTH(A4551)))))</f>
        <v/>
      </c>
    </row>
    <row r="4552" customFormat="false" ht="15" hidden="false" customHeight="false" outlineLevel="0" collapsed="false">
      <c r="H4552" s="0" t="str">
        <f aca="false">IF(B4552="","",IF(COUNTIF(Campaigns!$A$7:$A$300,B4552)&gt;0,"✓","⚠ add to Campaigns tab"))</f>
        <v/>
      </c>
      <c r="I4552" s="84" t="str">
        <f aca="false">IF(C4552="","",C4552*IF(Settings!$B$23=Settings!$C$6,1,IF(Settings!$B$23="USD",1/INDEX(Settings!$B$29:$B$40,MONTH(A4552)),INDEX(Settings!$B$29:$B$40,MONTH(A4552)))))</f>
        <v/>
      </c>
    </row>
    <row r="4553" customFormat="false" ht="15" hidden="false" customHeight="false" outlineLevel="0" collapsed="false">
      <c r="H4553" s="0" t="str">
        <f aca="false">IF(B4553="","",IF(COUNTIF(Campaigns!$A$7:$A$300,B4553)&gt;0,"✓","⚠ add to Campaigns tab"))</f>
        <v/>
      </c>
      <c r="I4553" s="84" t="str">
        <f aca="false">IF(C4553="","",C4553*IF(Settings!$B$23=Settings!$C$6,1,IF(Settings!$B$23="USD",1/INDEX(Settings!$B$29:$B$40,MONTH(A4553)),INDEX(Settings!$B$29:$B$40,MONTH(A4553)))))</f>
        <v/>
      </c>
    </row>
    <row r="4554" customFormat="false" ht="15" hidden="false" customHeight="false" outlineLevel="0" collapsed="false">
      <c r="H4554" s="0" t="str">
        <f aca="false">IF(B4554="","",IF(COUNTIF(Campaigns!$A$7:$A$300,B4554)&gt;0,"✓","⚠ add to Campaigns tab"))</f>
        <v/>
      </c>
      <c r="I4554" s="84" t="str">
        <f aca="false">IF(C4554="","",C4554*IF(Settings!$B$23=Settings!$C$6,1,IF(Settings!$B$23="USD",1/INDEX(Settings!$B$29:$B$40,MONTH(A4554)),INDEX(Settings!$B$29:$B$40,MONTH(A4554)))))</f>
        <v/>
      </c>
    </row>
    <row r="4555" customFormat="false" ht="15" hidden="false" customHeight="false" outlineLevel="0" collapsed="false">
      <c r="H4555" s="0" t="str">
        <f aca="false">IF(B4555="","",IF(COUNTIF(Campaigns!$A$7:$A$300,B4555)&gt;0,"✓","⚠ add to Campaigns tab"))</f>
        <v/>
      </c>
      <c r="I4555" s="84" t="str">
        <f aca="false">IF(C4555="","",C4555*IF(Settings!$B$23=Settings!$C$6,1,IF(Settings!$B$23="USD",1/INDEX(Settings!$B$29:$B$40,MONTH(A4555)),INDEX(Settings!$B$29:$B$40,MONTH(A4555)))))</f>
        <v/>
      </c>
    </row>
    <row r="4556" customFormat="false" ht="15" hidden="false" customHeight="false" outlineLevel="0" collapsed="false">
      <c r="H4556" s="0" t="str">
        <f aca="false">IF(B4556="","",IF(COUNTIF(Campaigns!$A$7:$A$300,B4556)&gt;0,"✓","⚠ add to Campaigns tab"))</f>
        <v/>
      </c>
      <c r="I4556" s="84" t="str">
        <f aca="false">IF(C4556="","",C4556*IF(Settings!$B$23=Settings!$C$6,1,IF(Settings!$B$23="USD",1/INDEX(Settings!$B$29:$B$40,MONTH(A4556)),INDEX(Settings!$B$29:$B$40,MONTH(A4556)))))</f>
        <v/>
      </c>
    </row>
    <row r="4557" customFormat="false" ht="15" hidden="false" customHeight="false" outlineLevel="0" collapsed="false">
      <c r="H4557" s="0" t="str">
        <f aca="false">IF(B4557="","",IF(COUNTIF(Campaigns!$A$7:$A$300,B4557)&gt;0,"✓","⚠ add to Campaigns tab"))</f>
        <v/>
      </c>
      <c r="I4557" s="84" t="str">
        <f aca="false">IF(C4557="","",C4557*IF(Settings!$B$23=Settings!$C$6,1,IF(Settings!$B$23="USD",1/INDEX(Settings!$B$29:$B$40,MONTH(A4557)),INDEX(Settings!$B$29:$B$40,MONTH(A4557)))))</f>
        <v/>
      </c>
    </row>
    <row r="4558" customFormat="false" ht="15" hidden="false" customHeight="false" outlineLevel="0" collapsed="false">
      <c r="H4558" s="0" t="str">
        <f aca="false">IF(B4558="","",IF(COUNTIF(Campaigns!$A$7:$A$300,B4558)&gt;0,"✓","⚠ add to Campaigns tab"))</f>
        <v/>
      </c>
      <c r="I4558" s="84" t="str">
        <f aca="false">IF(C4558="","",C4558*IF(Settings!$B$23=Settings!$C$6,1,IF(Settings!$B$23="USD",1/INDEX(Settings!$B$29:$B$40,MONTH(A4558)),INDEX(Settings!$B$29:$B$40,MONTH(A4558)))))</f>
        <v/>
      </c>
    </row>
    <row r="4559" customFormat="false" ht="15" hidden="false" customHeight="false" outlineLevel="0" collapsed="false">
      <c r="H4559" s="0" t="str">
        <f aca="false">IF(B4559="","",IF(COUNTIF(Campaigns!$A$7:$A$300,B4559)&gt;0,"✓","⚠ add to Campaigns tab"))</f>
        <v/>
      </c>
      <c r="I4559" s="84" t="str">
        <f aca="false">IF(C4559="","",C4559*IF(Settings!$B$23=Settings!$C$6,1,IF(Settings!$B$23="USD",1/INDEX(Settings!$B$29:$B$40,MONTH(A4559)),INDEX(Settings!$B$29:$B$40,MONTH(A4559)))))</f>
        <v/>
      </c>
    </row>
    <row r="4560" customFormat="false" ht="15" hidden="false" customHeight="false" outlineLevel="0" collapsed="false">
      <c r="H4560" s="0" t="str">
        <f aca="false">IF(B4560="","",IF(COUNTIF(Campaigns!$A$7:$A$300,B4560)&gt;0,"✓","⚠ add to Campaigns tab"))</f>
        <v/>
      </c>
      <c r="I4560" s="84" t="str">
        <f aca="false">IF(C4560="","",C4560*IF(Settings!$B$23=Settings!$C$6,1,IF(Settings!$B$23="USD",1/INDEX(Settings!$B$29:$B$40,MONTH(A4560)),INDEX(Settings!$B$29:$B$40,MONTH(A4560)))))</f>
        <v/>
      </c>
    </row>
    <row r="4561" customFormat="false" ht="15" hidden="false" customHeight="false" outlineLevel="0" collapsed="false">
      <c r="H4561" s="0" t="str">
        <f aca="false">IF(B4561="","",IF(COUNTIF(Campaigns!$A$7:$A$300,B4561)&gt;0,"✓","⚠ add to Campaigns tab"))</f>
        <v/>
      </c>
      <c r="I4561" s="84" t="str">
        <f aca="false">IF(C4561="","",C4561*IF(Settings!$B$23=Settings!$C$6,1,IF(Settings!$B$23="USD",1/INDEX(Settings!$B$29:$B$40,MONTH(A4561)),INDEX(Settings!$B$29:$B$40,MONTH(A4561)))))</f>
        <v/>
      </c>
    </row>
    <row r="4562" customFormat="false" ht="15" hidden="false" customHeight="false" outlineLevel="0" collapsed="false">
      <c r="H4562" s="0" t="str">
        <f aca="false">IF(B4562="","",IF(COUNTIF(Campaigns!$A$7:$A$300,B4562)&gt;0,"✓","⚠ add to Campaigns tab"))</f>
        <v/>
      </c>
      <c r="I4562" s="84" t="str">
        <f aca="false">IF(C4562="","",C4562*IF(Settings!$B$23=Settings!$C$6,1,IF(Settings!$B$23="USD",1/INDEX(Settings!$B$29:$B$40,MONTH(A4562)),INDEX(Settings!$B$29:$B$40,MONTH(A4562)))))</f>
        <v/>
      </c>
    </row>
    <row r="4563" customFormat="false" ht="15" hidden="false" customHeight="false" outlineLevel="0" collapsed="false">
      <c r="H4563" s="0" t="str">
        <f aca="false">IF(B4563="","",IF(COUNTIF(Campaigns!$A$7:$A$300,B4563)&gt;0,"✓","⚠ add to Campaigns tab"))</f>
        <v/>
      </c>
      <c r="I4563" s="84" t="str">
        <f aca="false">IF(C4563="","",C4563*IF(Settings!$B$23=Settings!$C$6,1,IF(Settings!$B$23="USD",1/INDEX(Settings!$B$29:$B$40,MONTH(A4563)),INDEX(Settings!$B$29:$B$40,MONTH(A4563)))))</f>
        <v/>
      </c>
    </row>
    <row r="4564" customFormat="false" ht="15" hidden="false" customHeight="false" outlineLevel="0" collapsed="false">
      <c r="H4564" s="0" t="str">
        <f aca="false">IF(B4564="","",IF(COUNTIF(Campaigns!$A$7:$A$300,B4564)&gt;0,"✓","⚠ add to Campaigns tab"))</f>
        <v/>
      </c>
      <c r="I4564" s="84" t="str">
        <f aca="false">IF(C4564="","",C4564*IF(Settings!$B$23=Settings!$C$6,1,IF(Settings!$B$23="USD",1/INDEX(Settings!$B$29:$B$40,MONTH(A4564)),INDEX(Settings!$B$29:$B$40,MONTH(A4564)))))</f>
        <v/>
      </c>
    </row>
    <row r="4565" customFormat="false" ht="15" hidden="false" customHeight="false" outlineLevel="0" collapsed="false">
      <c r="H4565" s="0" t="str">
        <f aca="false">IF(B4565="","",IF(COUNTIF(Campaigns!$A$7:$A$300,B4565)&gt;0,"✓","⚠ add to Campaigns tab"))</f>
        <v/>
      </c>
      <c r="I4565" s="84" t="str">
        <f aca="false">IF(C4565="","",C4565*IF(Settings!$B$23=Settings!$C$6,1,IF(Settings!$B$23="USD",1/INDEX(Settings!$B$29:$B$40,MONTH(A4565)),INDEX(Settings!$B$29:$B$40,MONTH(A4565)))))</f>
        <v/>
      </c>
    </row>
    <row r="4566" customFormat="false" ht="15" hidden="false" customHeight="false" outlineLevel="0" collapsed="false">
      <c r="H4566" s="0" t="str">
        <f aca="false">IF(B4566="","",IF(COUNTIF(Campaigns!$A$7:$A$300,B4566)&gt;0,"✓","⚠ add to Campaigns tab"))</f>
        <v/>
      </c>
      <c r="I4566" s="84" t="str">
        <f aca="false">IF(C4566="","",C4566*IF(Settings!$B$23=Settings!$C$6,1,IF(Settings!$B$23="USD",1/INDEX(Settings!$B$29:$B$40,MONTH(A4566)),INDEX(Settings!$B$29:$B$40,MONTH(A4566)))))</f>
        <v/>
      </c>
    </row>
    <row r="4567" customFormat="false" ht="15" hidden="false" customHeight="false" outlineLevel="0" collapsed="false">
      <c r="H4567" s="0" t="str">
        <f aca="false">IF(B4567="","",IF(COUNTIF(Campaigns!$A$7:$A$300,B4567)&gt;0,"✓","⚠ add to Campaigns tab"))</f>
        <v/>
      </c>
      <c r="I4567" s="84" t="str">
        <f aca="false">IF(C4567="","",C4567*IF(Settings!$B$23=Settings!$C$6,1,IF(Settings!$B$23="USD",1/INDEX(Settings!$B$29:$B$40,MONTH(A4567)),INDEX(Settings!$B$29:$B$40,MONTH(A4567)))))</f>
        <v/>
      </c>
    </row>
    <row r="4568" customFormat="false" ht="15" hidden="false" customHeight="false" outlineLevel="0" collapsed="false">
      <c r="H4568" s="0" t="str">
        <f aca="false">IF(B4568="","",IF(COUNTIF(Campaigns!$A$7:$A$300,B4568)&gt;0,"✓","⚠ add to Campaigns tab"))</f>
        <v/>
      </c>
      <c r="I4568" s="84" t="str">
        <f aca="false">IF(C4568="","",C4568*IF(Settings!$B$23=Settings!$C$6,1,IF(Settings!$B$23="USD",1/INDEX(Settings!$B$29:$B$40,MONTH(A4568)),INDEX(Settings!$B$29:$B$40,MONTH(A4568)))))</f>
        <v/>
      </c>
    </row>
    <row r="4569" customFormat="false" ht="15" hidden="false" customHeight="false" outlineLevel="0" collapsed="false">
      <c r="H4569" s="0" t="str">
        <f aca="false">IF(B4569="","",IF(COUNTIF(Campaigns!$A$7:$A$300,B4569)&gt;0,"✓","⚠ add to Campaigns tab"))</f>
        <v/>
      </c>
      <c r="I4569" s="84" t="str">
        <f aca="false">IF(C4569="","",C4569*IF(Settings!$B$23=Settings!$C$6,1,IF(Settings!$B$23="USD",1/INDEX(Settings!$B$29:$B$40,MONTH(A4569)),INDEX(Settings!$B$29:$B$40,MONTH(A4569)))))</f>
        <v/>
      </c>
    </row>
    <row r="4570" customFormat="false" ht="15" hidden="false" customHeight="false" outlineLevel="0" collapsed="false">
      <c r="H4570" s="0" t="str">
        <f aca="false">IF(B4570="","",IF(COUNTIF(Campaigns!$A$7:$A$300,B4570)&gt;0,"✓","⚠ add to Campaigns tab"))</f>
        <v/>
      </c>
      <c r="I4570" s="84" t="str">
        <f aca="false">IF(C4570="","",C4570*IF(Settings!$B$23=Settings!$C$6,1,IF(Settings!$B$23="USD",1/INDEX(Settings!$B$29:$B$40,MONTH(A4570)),INDEX(Settings!$B$29:$B$40,MONTH(A4570)))))</f>
        <v/>
      </c>
    </row>
    <row r="4571" customFormat="false" ht="15" hidden="false" customHeight="false" outlineLevel="0" collapsed="false">
      <c r="H4571" s="0" t="str">
        <f aca="false">IF(B4571="","",IF(COUNTIF(Campaigns!$A$7:$A$300,B4571)&gt;0,"✓","⚠ add to Campaigns tab"))</f>
        <v/>
      </c>
      <c r="I4571" s="84" t="str">
        <f aca="false">IF(C4571="","",C4571*IF(Settings!$B$23=Settings!$C$6,1,IF(Settings!$B$23="USD",1/INDEX(Settings!$B$29:$B$40,MONTH(A4571)),INDEX(Settings!$B$29:$B$40,MONTH(A4571)))))</f>
        <v/>
      </c>
    </row>
    <row r="4572" customFormat="false" ht="15" hidden="false" customHeight="false" outlineLevel="0" collapsed="false">
      <c r="H4572" s="0" t="str">
        <f aca="false">IF(B4572="","",IF(COUNTIF(Campaigns!$A$7:$A$300,B4572)&gt;0,"✓","⚠ add to Campaigns tab"))</f>
        <v/>
      </c>
      <c r="I4572" s="84" t="str">
        <f aca="false">IF(C4572="","",C4572*IF(Settings!$B$23=Settings!$C$6,1,IF(Settings!$B$23="USD",1/INDEX(Settings!$B$29:$B$40,MONTH(A4572)),INDEX(Settings!$B$29:$B$40,MONTH(A4572)))))</f>
        <v/>
      </c>
    </row>
    <row r="4573" customFormat="false" ht="15" hidden="false" customHeight="false" outlineLevel="0" collapsed="false">
      <c r="H4573" s="0" t="str">
        <f aca="false">IF(B4573="","",IF(COUNTIF(Campaigns!$A$7:$A$300,B4573)&gt;0,"✓","⚠ add to Campaigns tab"))</f>
        <v/>
      </c>
      <c r="I4573" s="84" t="str">
        <f aca="false">IF(C4573="","",C4573*IF(Settings!$B$23=Settings!$C$6,1,IF(Settings!$B$23="USD",1/INDEX(Settings!$B$29:$B$40,MONTH(A4573)),INDEX(Settings!$B$29:$B$40,MONTH(A4573)))))</f>
        <v/>
      </c>
    </row>
    <row r="4574" customFormat="false" ht="15" hidden="false" customHeight="false" outlineLevel="0" collapsed="false">
      <c r="H4574" s="0" t="str">
        <f aca="false">IF(B4574="","",IF(COUNTIF(Campaigns!$A$7:$A$300,B4574)&gt;0,"✓","⚠ add to Campaigns tab"))</f>
        <v/>
      </c>
      <c r="I4574" s="84" t="str">
        <f aca="false">IF(C4574="","",C4574*IF(Settings!$B$23=Settings!$C$6,1,IF(Settings!$B$23="USD",1/INDEX(Settings!$B$29:$B$40,MONTH(A4574)),INDEX(Settings!$B$29:$B$40,MONTH(A4574)))))</f>
        <v/>
      </c>
    </row>
    <row r="4575" customFormat="false" ht="15" hidden="false" customHeight="false" outlineLevel="0" collapsed="false">
      <c r="H4575" s="0" t="str">
        <f aca="false">IF(B4575="","",IF(COUNTIF(Campaigns!$A$7:$A$300,B4575)&gt;0,"✓","⚠ add to Campaigns tab"))</f>
        <v/>
      </c>
      <c r="I4575" s="84" t="str">
        <f aca="false">IF(C4575="","",C4575*IF(Settings!$B$23=Settings!$C$6,1,IF(Settings!$B$23="USD",1/INDEX(Settings!$B$29:$B$40,MONTH(A4575)),INDEX(Settings!$B$29:$B$40,MONTH(A4575)))))</f>
        <v/>
      </c>
    </row>
    <row r="4576" customFormat="false" ht="15" hidden="false" customHeight="false" outlineLevel="0" collapsed="false">
      <c r="H4576" s="0" t="str">
        <f aca="false">IF(B4576="","",IF(COUNTIF(Campaigns!$A$7:$A$300,B4576)&gt;0,"✓","⚠ add to Campaigns tab"))</f>
        <v/>
      </c>
      <c r="I4576" s="84" t="str">
        <f aca="false">IF(C4576="","",C4576*IF(Settings!$B$23=Settings!$C$6,1,IF(Settings!$B$23="USD",1/INDEX(Settings!$B$29:$B$40,MONTH(A4576)),INDEX(Settings!$B$29:$B$40,MONTH(A4576)))))</f>
        <v/>
      </c>
    </row>
    <row r="4577" customFormat="false" ht="15" hidden="false" customHeight="false" outlineLevel="0" collapsed="false">
      <c r="H4577" s="0" t="str">
        <f aca="false">IF(B4577="","",IF(COUNTIF(Campaigns!$A$7:$A$300,B4577)&gt;0,"✓","⚠ add to Campaigns tab"))</f>
        <v/>
      </c>
      <c r="I4577" s="84" t="str">
        <f aca="false">IF(C4577="","",C4577*IF(Settings!$B$23=Settings!$C$6,1,IF(Settings!$B$23="USD",1/INDEX(Settings!$B$29:$B$40,MONTH(A4577)),INDEX(Settings!$B$29:$B$40,MONTH(A4577)))))</f>
        <v/>
      </c>
    </row>
    <row r="4578" customFormat="false" ht="15" hidden="false" customHeight="false" outlineLevel="0" collapsed="false">
      <c r="H4578" s="0" t="str">
        <f aca="false">IF(B4578="","",IF(COUNTIF(Campaigns!$A$7:$A$300,B4578)&gt;0,"✓","⚠ add to Campaigns tab"))</f>
        <v/>
      </c>
      <c r="I4578" s="84" t="str">
        <f aca="false">IF(C4578="","",C4578*IF(Settings!$B$23=Settings!$C$6,1,IF(Settings!$B$23="USD",1/INDEX(Settings!$B$29:$B$40,MONTH(A4578)),INDEX(Settings!$B$29:$B$40,MONTH(A4578)))))</f>
        <v/>
      </c>
    </row>
    <row r="4579" customFormat="false" ht="15" hidden="false" customHeight="false" outlineLevel="0" collapsed="false">
      <c r="H4579" s="0" t="str">
        <f aca="false">IF(B4579="","",IF(COUNTIF(Campaigns!$A$7:$A$300,B4579)&gt;0,"✓","⚠ add to Campaigns tab"))</f>
        <v/>
      </c>
      <c r="I4579" s="84" t="str">
        <f aca="false">IF(C4579="","",C4579*IF(Settings!$B$23=Settings!$C$6,1,IF(Settings!$B$23="USD",1/INDEX(Settings!$B$29:$B$40,MONTH(A4579)),INDEX(Settings!$B$29:$B$40,MONTH(A4579)))))</f>
        <v/>
      </c>
    </row>
    <row r="4580" customFormat="false" ht="15" hidden="false" customHeight="false" outlineLevel="0" collapsed="false">
      <c r="H4580" s="0" t="str">
        <f aca="false">IF(B4580="","",IF(COUNTIF(Campaigns!$A$7:$A$300,B4580)&gt;0,"✓","⚠ add to Campaigns tab"))</f>
        <v/>
      </c>
      <c r="I4580" s="84" t="str">
        <f aca="false">IF(C4580="","",C4580*IF(Settings!$B$23=Settings!$C$6,1,IF(Settings!$B$23="USD",1/INDEX(Settings!$B$29:$B$40,MONTH(A4580)),INDEX(Settings!$B$29:$B$40,MONTH(A4580)))))</f>
        <v/>
      </c>
    </row>
    <row r="4581" customFormat="false" ht="15" hidden="false" customHeight="false" outlineLevel="0" collapsed="false">
      <c r="H4581" s="0" t="str">
        <f aca="false">IF(B4581="","",IF(COUNTIF(Campaigns!$A$7:$A$300,B4581)&gt;0,"✓","⚠ add to Campaigns tab"))</f>
        <v/>
      </c>
      <c r="I4581" s="84" t="str">
        <f aca="false">IF(C4581="","",C4581*IF(Settings!$B$23=Settings!$C$6,1,IF(Settings!$B$23="USD",1/INDEX(Settings!$B$29:$B$40,MONTH(A4581)),INDEX(Settings!$B$29:$B$40,MONTH(A4581)))))</f>
        <v/>
      </c>
    </row>
    <row r="4582" customFormat="false" ht="15" hidden="false" customHeight="false" outlineLevel="0" collapsed="false">
      <c r="H4582" s="0" t="str">
        <f aca="false">IF(B4582="","",IF(COUNTIF(Campaigns!$A$7:$A$300,B4582)&gt;0,"✓","⚠ add to Campaigns tab"))</f>
        <v/>
      </c>
      <c r="I4582" s="84" t="str">
        <f aca="false">IF(C4582="","",C4582*IF(Settings!$B$23=Settings!$C$6,1,IF(Settings!$B$23="USD",1/INDEX(Settings!$B$29:$B$40,MONTH(A4582)),INDEX(Settings!$B$29:$B$40,MONTH(A4582)))))</f>
        <v/>
      </c>
    </row>
    <row r="4583" customFormat="false" ht="15" hidden="false" customHeight="false" outlineLevel="0" collapsed="false">
      <c r="H4583" s="0" t="str">
        <f aca="false">IF(B4583="","",IF(COUNTIF(Campaigns!$A$7:$A$300,B4583)&gt;0,"✓","⚠ add to Campaigns tab"))</f>
        <v/>
      </c>
      <c r="I4583" s="84" t="str">
        <f aca="false">IF(C4583="","",C4583*IF(Settings!$B$23=Settings!$C$6,1,IF(Settings!$B$23="USD",1/INDEX(Settings!$B$29:$B$40,MONTH(A4583)),INDEX(Settings!$B$29:$B$40,MONTH(A4583)))))</f>
        <v/>
      </c>
    </row>
    <row r="4584" customFormat="false" ht="15" hidden="false" customHeight="false" outlineLevel="0" collapsed="false">
      <c r="H4584" s="0" t="str">
        <f aca="false">IF(B4584="","",IF(COUNTIF(Campaigns!$A$7:$A$300,B4584)&gt;0,"✓","⚠ add to Campaigns tab"))</f>
        <v/>
      </c>
      <c r="I4584" s="84" t="str">
        <f aca="false">IF(C4584="","",C4584*IF(Settings!$B$23=Settings!$C$6,1,IF(Settings!$B$23="USD",1/INDEX(Settings!$B$29:$B$40,MONTH(A4584)),INDEX(Settings!$B$29:$B$40,MONTH(A4584)))))</f>
        <v/>
      </c>
    </row>
    <row r="4585" customFormat="false" ht="15" hidden="false" customHeight="false" outlineLevel="0" collapsed="false">
      <c r="H4585" s="0" t="str">
        <f aca="false">IF(B4585="","",IF(COUNTIF(Campaigns!$A$7:$A$300,B4585)&gt;0,"✓","⚠ add to Campaigns tab"))</f>
        <v/>
      </c>
      <c r="I4585" s="84" t="str">
        <f aca="false">IF(C4585="","",C4585*IF(Settings!$B$23=Settings!$C$6,1,IF(Settings!$B$23="USD",1/INDEX(Settings!$B$29:$B$40,MONTH(A4585)),INDEX(Settings!$B$29:$B$40,MONTH(A4585)))))</f>
        <v/>
      </c>
    </row>
    <row r="4586" customFormat="false" ht="15" hidden="false" customHeight="false" outlineLevel="0" collapsed="false">
      <c r="H4586" s="0" t="str">
        <f aca="false">IF(B4586="","",IF(COUNTIF(Campaigns!$A$7:$A$300,B4586)&gt;0,"✓","⚠ add to Campaigns tab"))</f>
        <v/>
      </c>
      <c r="I4586" s="84" t="str">
        <f aca="false">IF(C4586="","",C4586*IF(Settings!$B$23=Settings!$C$6,1,IF(Settings!$B$23="USD",1/INDEX(Settings!$B$29:$B$40,MONTH(A4586)),INDEX(Settings!$B$29:$B$40,MONTH(A4586)))))</f>
        <v/>
      </c>
    </row>
    <row r="4587" customFormat="false" ht="15" hidden="false" customHeight="false" outlineLevel="0" collapsed="false">
      <c r="H4587" s="0" t="str">
        <f aca="false">IF(B4587="","",IF(COUNTIF(Campaigns!$A$7:$A$300,B4587)&gt;0,"✓","⚠ add to Campaigns tab"))</f>
        <v/>
      </c>
      <c r="I4587" s="84" t="str">
        <f aca="false">IF(C4587="","",C4587*IF(Settings!$B$23=Settings!$C$6,1,IF(Settings!$B$23="USD",1/INDEX(Settings!$B$29:$B$40,MONTH(A4587)),INDEX(Settings!$B$29:$B$40,MONTH(A4587)))))</f>
        <v/>
      </c>
    </row>
    <row r="4588" customFormat="false" ht="15" hidden="false" customHeight="false" outlineLevel="0" collapsed="false">
      <c r="H4588" s="0" t="str">
        <f aca="false">IF(B4588="","",IF(COUNTIF(Campaigns!$A$7:$A$300,B4588)&gt;0,"✓","⚠ add to Campaigns tab"))</f>
        <v/>
      </c>
      <c r="I4588" s="84" t="str">
        <f aca="false">IF(C4588="","",C4588*IF(Settings!$B$23=Settings!$C$6,1,IF(Settings!$B$23="USD",1/INDEX(Settings!$B$29:$B$40,MONTH(A4588)),INDEX(Settings!$B$29:$B$40,MONTH(A4588)))))</f>
        <v/>
      </c>
    </row>
    <row r="4589" customFormat="false" ht="15" hidden="false" customHeight="false" outlineLevel="0" collapsed="false">
      <c r="H4589" s="0" t="str">
        <f aca="false">IF(B4589="","",IF(COUNTIF(Campaigns!$A$7:$A$300,B4589)&gt;0,"✓","⚠ add to Campaigns tab"))</f>
        <v/>
      </c>
      <c r="I4589" s="84" t="str">
        <f aca="false">IF(C4589="","",C4589*IF(Settings!$B$23=Settings!$C$6,1,IF(Settings!$B$23="USD",1/INDEX(Settings!$B$29:$B$40,MONTH(A4589)),INDEX(Settings!$B$29:$B$40,MONTH(A4589)))))</f>
        <v/>
      </c>
    </row>
    <row r="4590" customFormat="false" ht="15" hidden="false" customHeight="false" outlineLevel="0" collapsed="false">
      <c r="H4590" s="0" t="str">
        <f aca="false">IF(B4590="","",IF(COUNTIF(Campaigns!$A$7:$A$300,B4590)&gt;0,"✓","⚠ add to Campaigns tab"))</f>
        <v/>
      </c>
      <c r="I4590" s="84" t="str">
        <f aca="false">IF(C4590="","",C4590*IF(Settings!$B$23=Settings!$C$6,1,IF(Settings!$B$23="USD",1/INDEX(Settings!$B$29:$B$40,MONTH(A4590)),INDEX(Settings!$B$29:$B$40,MONTH(A4590)))))</f>
        <v/>
      </c>
    </row>
    <row r="4591" customFormat="false" ht="15" hidden="false" customHeight="false" outlineLevel="0" collapsed="false">
      <c r="H4591" s="0" t="str">
        <f aca="false">IF(B4591="","",IF(COUNTIF(Campaigns!$A$7:$A$300,B4591)&gt;0,"✓","⚠ add to Campaigns tab"))</f>
        <v/>
      </c>
      <c r="I4591" s="84" t="str">
        <f aca="false">IF(C4591="","",C4591*IF(Settings!$B$23=Settings!$C$6,1,IF(Settings!$B$23="USD",1/INDEX(Settings!$B$29:$B$40,MONTH(A4591)),INDEX(Settings!$B$29:$B$40,MONTH(A4591)))))</f>
        <v/>
      </c>
    </row>
    <row r="4592" customFormat="false" ht="15" hidden="false" customHeight="false" outlineLevel="0" collapsed="false">
      <c r="H4592" s="0" t="str">
        <f aca="false">IF(B4592="","",IF(COUNTIF(Campaigns!$A$7:$A$300,B4592)&gt;0,"✓","⚠ add to Campaigns tab"))</f>
        <v/>
      </c>
      <c r="I4592" s="84" t="str">
        <f aca="false">IF(C4592="","",C4592*IF(Settings!$B$23=Settings!$C$6,1,IF(Settings!$B$23="USD",1/INDEX(Settings!$B$29:$B$40,MONTH(A4592)),INDEX(Settings!$B$29:$B$40,MONTH(A4592)))))</f>
        <v/>
      </c>
    </row>
    <row r="4593" customFormat="false" ht="15" hidden="false" customHeight="false" outlineLevel="0" collapsed="false">
      <c r="H4593" s="0" t="str">
        <f aca="false">IF(B4593="","",IF(COUNTIF(Campaigns!$A$7:$A$300,B4593)&gt;0,"✓","⚠ add to Campaigns tab"))</f>
        <v/>
      </c>
      <c r="I4593" s="84" t="str">
        <f aca="false">IF(C4593="","",C4593*IF(Settings!$B$23=Settings!$C$6,1,IF(Settings!$B$23="USD",1/INDEX(Settings!$B$29:$B$40,MONTH(A4593)),INDEX(Settings!$B$29:$B$40,MONTH(A4593)))))</f>
        <v/>
      </c>
    </row>
    <row r="4594" customFormat="false" ht="15" hidden="false" customHeight="false" outlineLevel="0" collapsed="false">
      <c r="H4594" s="0" t="str">
        <f aca="false">IF(B4594="","",IF(COUNTIF(Campaigns!$A$7:$A$300,B4594)&gt;0,"✓","⚠ add to Campaigns tab"))</f>
        <v/>
      </c>
      <c r="I4594" s="84" t="str">
        <f aca="false">IF(C4594="","",C4594*IF(Settings!$B$23=Settings!$C$6,1,IF(Settings!$B$23="USD",1/INDEX(Settings!$B$29:$B$40,MONTH(A4594)),INDEX(Settings!$B$29:$B$40,MONTH(A4594)))))</f>
        <v/>
      </c>
    </row>
    <row r="4595" customFormat="false" ht="15" hidden="false" customHeight="false" outlineLevel="0" collapsed="false">
      <c r="H4595" s="0" t="str">
        <f aca="false">IF(B4595="","",IF(COUNTIF(Campaigns!$A$7:$A$300,B4595)&gt;0,"✓","⚠ add to Campaigns tab"))</f>
        <v/>
      </c>
      <c r="I4595" s="84" t="str">
        <f aca="false">IF(C4595="","",C4595*IF(Settings!$B$23=Settings!$C$6,1,IF(Settings!$B$23="USD",1/INDEX(Settings!$B$29:$B$40,MONTH(A4595)),INDEX(Settings!$B$29:$B$40,MONTH(A4595)))))</f>
        <v/>
      </c>
    </row>
    <row r="4596" customFormat="false" ht="15" hidden="false" customHeight="false" outlineLevel="0" collapsed="false">
      <c r="H4596" s="0" t="str">
        <f aca="false">IF(B4596="","",IF(COUNTIF(Campaigns!$A$7:$A$300,B4596)&gt;0,"✓","⚠ add to Campaigns tab"))</f>
        <v/>
      </c>
      <c r="I4596" s="84" t="str">
        <f aca="false">IF(C4596="","",C4596*IF(Settings!$B$23=Settings!$C$6,1,IF(Settings!$B$23="USD",1/INDEX(Settings!$B$29:$B$40,MONTH(A4596)),INDEX(Settings!$B$29:$B$40,MONTH(A4596)))))</f>
        <v/>
      </c>
    </row>
    <row r="4597" customFormat="false" ht="15" hidden="false" customHeight="false" outlineLevel="0" collapsed="false">
      <c r="H4597" s="0" t="str">
        <f aca="false">IF(B4597="","",IF(COUNTIF(Campaigns!$A$7:$A$300,B4597)&gt;0,"✓","⚠ add to Campaigns tab"))</f>
        <v/>
      </c>
      <c r="I4597" s="84" t="str">
        <f aca="false">IF(C4597="","",C4597*IF(Settings!$B$23=Settings!$C$6,1,IF(Settings!$B$23="USD",1/INDEX(Settings!$B$29:$B$40,MONTH(A4597)),INDEX(Settings!$B$29:$B$40,MONTH(A4597)))))</f>
        <v/>
      </c>
    </row>
    <row r="4598" customFormat="false" ht="15" hidden="false" customHeight="false" outlineLevel="0" collapsed="false">
      <c r="H4598" s="0" t="str">
        <f aca="false">IF(B4598="","",IF(COUNTIF(Campaigns!$A$7:$A$300,B4598)&gt;0,"✓","⚠ add to Campaigns tab"))</f>
        <v/>
      </c>
      <c r="I4598" s="84" t="str">
        <f aca="false">IF(C4598="","",C4598*IF(Settings!$B$23=Settings!$C$6,1,IF(Settings!$B$23="USD",1/INDEX(Settings!$B$29:$B$40,MONTH(A4598)),INDEX(Settings!$B$29:$B$40,MONTH(A4598)))))</f>
        <v/>
      </c>
    </row>
    <row r="4599" customFormat="false" ht="15" hidden="false" customHeight="false" outlineLevel="0" collapsed="false">
      <c r="H4599" s="0" t="str">
        <f aca="false">IF(B4599="","",IF(COUNTIF(Campaigns!$A$7:$A$300,B4599)&gt;0,"✓","⚠ add to Campaigns tab"))</f>
        <v/>
      </c>
      <c r="I4599" s="84" t="str">
        <f aca="false">IF(C4599="","",C4599*IF(Settings!$B$23=Settings!$C$6,1,IF(Settings!$B$23="USD",1/INDEX(Settings!$B$29:$B$40,MONTH(A4599)),INDEX(Settings!$B$29:$B$40,MONTH(A4599)))))</f>
        <v/>
      </c>
    </row>
    <row r="4600" customFormat="false" ht="15" hidden="false" customHeight="false" outlineLevel="0" collapsed="false">
      <c r="H4600" s="0" t="str">
        <f aca="false">IF(B4600="","",IF(COUNTIF(Campaigns!$A$7:$A$300,B4600)&gt;0,"✓","⚠ add to Campaigns tab"))</f>
        <v/>
      </c>
      <c r="I4600" s="84" t="str">
        <f aca="false">IF(C4600="","",C4600*IF(Settings!$B$23=Settings!$C$6,1,IF(Settings!$B$23="USD",1/INDEX(Settings!$B$29:$B$40,MONTH(A4600)),INDEX(Settings!$B$29:$B$40,MONTH(A4600)))))</f>
        <v/>
      </c>
    </row>
    <row r="4601" customFormat="false" ht="15" hidden="false" customHeight="false" outlineLevel="0" collapsed="false">
      <c r="H4601" s="0" t="str">
        <f aca="false">IF(B4601="","",IF(COUNTIF(Campaigns!$A$7:$A$300,B4601)&gt;0,"✓","⚠ add to Campaigns tab"))</f>
        <v/>
      </c>
      <c r="I4601" s="84" t="str">
        <f aca="false">IF(C4601="","",C4601*IF(Settings!$B$23=Settings!$C$6,1,IF(Settings!$B$23="USD",1/INDEX(Settings!$B$29:$B$40,MONTH(A4601)),INDEX(Settings!$B$29:$B$40,MONTH(A4601)))))</f>
        <v/>
      </c>
    </row>
    <row r="4602" customFormat="false" ht="15" hidden="false" customHeight="false" outlineLevel="0" collapsed="false">
      <c r="H4602" s="0" t="str">
        <f aca="false">IF(B4602="","",IF(COUNTIF(Campaigns!$A$7:$A$300,B4602)&gt;0,"✓","⚠ add to Campaigns tab"))</f>
        <v/>
      </c>
      <c r="I4602" s="84" t="str">
        <f aca="false">IF(C4602="","",C4602*IF(Settings!$B$23=Settings!$C$6,1,IF(Settings!$B$23="USD",1/INDEX(Settings!$B$29:$B$40,MONTH(A4602)),INDEX(Settings!$B$29:$B$40,MONTH(A4602)))))</f>
        <v/>
      </c>
    </row>
    <row r="4603" customFormat="false" ht="15" hidden="false" customHeight="false" outlineLevel="0" collapsed="false">
      <c r="H4603" s="0" t="str">
        <f aca="false">IF(B4603="","",IF(COUNTIF(Campaigns!$A$7:$A$300,B4603)&gt;0,"✓","⚠ add to Campaigns tab"))</f>
        <v/>
      </c>
      <c r="I4603" s="84" t="str">
        <f aca="false">IF(C4603="","",C4603*IF(Settings!$B$23=Settings!$C$6,1,IF(Settings!$B$23="USD",1/INDEX(Settings!$B$29:$B$40,MONTH(A4603)),INDEX(Settings!$B$29:$B$40,MONTH(A4603)))))</f>
        <v/>
      </c>
    </row>
    <row r="4604" customFormat="false" ht="15" hidden="false" customHeight="false" outlineLevel="0" collapsed="false">
      <c r="H4604" s="0" t="str">
        <f aca="false">IF(B4604="","",IF(COUNTIF(Campaigns!$A$7:$A$300,B4604)&gt;0,"✓","⚠ add to Campaigns tab"))</f>
        <v/>
      </c>
      <c r="I4604" s="84" t="str">
        <f aca="false">IF(C4604="","",C4604*IF(Settings!$B$23=Settings!$C$6,1,IF(Settings!$B$23="USD",1/INDEX(Settings!$B$29:$B$40,MONTH(A4604)),INDEX(Settings!$B$29:$B$40,MONTH(A4604)))))</f>
        <v/>
      </c>
    </row>
    <row r="4605" customFormat="false" ht="15" hidden="false" customHeight="false" outlineLevel="0" collapsed="false">
      <c r="H4605" s="0" t="str">
        <f aca="false">IF(B4605="","",IF(COUNTIF(Campaigns!$A$7:$A$300,B4605)&gt;0,"✓","⚠ add to Campaigns tab"))</f>
        <v/>
      </c>
      <c r="I4605" s="84" t="str">
        <f aca="false">IF(C4605="","",C4605*IF(Settings!$B$23=Settings!$C$6,1,IF(Settings!$B$23="USD",1/INDEX(Settings!$B$29:$B$40,MONTH(A4605)),INDEX(Settings!$B$29:$B$40,MONTH(A4605)))))</f>
        <v/>
      </c>
    </row>
    <row r="4606" customFormat="false" ht="15" hidden="false" customHeight="false" outlineLevel="0" collapsed="false">
      <c r="H4606" s="0" t="str">
        <f aca="false">IF(B4606="","",IF(COUNTIF(Campaigns!$A$7:$A$300,B4606)&gt;0,"✓","⚠ add to Campaigns tab"))</f>
        <v/>
      </c>
      <c r="I4606" s="84" t="str">
        <f aca="false">IF(C4606="","",C4606*IF(Settings!$B$23=Settings!$C$6,1,IF(Settings!$B$23="USD",1/INDEX(Settings!$B$29:$B$40,MONTH(A4606)),INDEX(Settings!$B$29:$B$40,MONTH(A4606)))))</f>
        <v/>
      </c>
    </row>
    <row r="4607" customFormat="false" ht="15" hidden="false" customHeight="false" outlineLevel="0" collapsed="false">
      <c r="H4607" s="0" t="str">
        <f aca="false">IF(B4607="","",IF(COUNTIF(Campaigns!$A$7:$A$300,B4607)&gt;0,"✓","⚠ add to Campaigns tab"))</f>
        <v/>
      </c>
      <c r="I4607" s="84" t="str">
        <f aca="false">IF(C4607="","",C4607*IF(Settings!$B$23=Settings!$C$6,1,IF(Settings!$B$23="USD",1/INDEX(Settings!$B$29:$B$40,MONTH(A4607)),INDEX(Settings!$B$29:$B$40,MONTH(A4607)))))</f>
        <v/>
      </c>
    </row>
    <row r="4608" customFormat="false" ht="15" hidden="false" customHeight="false" outlineLevel="0" collapsed="false">
      <c r="H4608" s="0" t="str">
        <f aca="false">IF(B4608="","",IF(COUNTIF(Campaigns!$A$7:$A$300,B4608)&gt;0,"✓","⚠ add to Campaigns tab"))</f>
        <v/>
      </c>
      <c r="I4608" s="84" t="str">
        <f aca="false">IF(C4608="","",C4608*IF(Settings!$B$23=Settings!$C$6,1,IF(Settings!$B$23="USD",1/INDEX(Settings!$B$29:$B$40,MONTH(A4608)),INDEX(Settings!$B$29:$B$40,MONTH(A4608)))))</f>
        <v/>
      </c>
    </row>
    <row r="4609" customFormat="false" ht="15" hidden="false" customHeight="false" outlineLevel="0" collapsed="false">
      <c r="H4609" s="0" t="str">
        <f aca="false">IF(B4609="","",IF(COUNTIF(Campaigns!$A$7:$A$300,B4609)&gt;0,"✓","⚠ add to Campaigns tab"))</f>
        <v/>
      </c>
      <c r="I4609" s="84" t="str">
        <f aca="false">IF(C4609="","",C4609*IF(Settings!$B$23=Settings!$C$6,1,IF(Settings!$B$23="USD",1/INDEX(Settings!$B$29:$B$40,MONTH(A4609)),INDEX(Settings!$B$29:$B$40,MONTH(A4609)))))</f>
        <v/>
      </c>
    </row>
    <row r="4610" customFormat="false" ht="15" hidden="false" customHeight="false" outlineLevel="0" collapsed="false">
      <c r="H4610" s="0" t="str">
        <f aca="false">IF(B4610="","",IF(COUNTIF(Campaigns!$A$7:$A$300,B4610)&gt;0,"✓","⚠ add to Campaigns tab"))</f>
        <v/>
      </c>
      <c r="I4610" s="84" t="str">
        <f aca="false">IF(C4610="","",C4610*IF(Settings!$B$23=Settings!$C$6,1,IF(Settings!$B$23="USD",1/INDEX(Settings!$B$29:$B$40,MONTH(A4610)),INDEX(Settings!$B$29:$B$40,MONTH(A4610)))))</f>
        <v/>
      </c>
    </row>
    <row r="4611" customFormat="false" ht="15" hidden="false" customHeight="false" outlineLevel="0" collapsed="false">
      <c r="H4611" s="0" t="str">
        <f aca="false">IF(B4611="","",IF(COUNTIF(Campaigns!$A$7:$A$300,B4611)&gt;0,"✓","⚠ add to Campaigns tab"))</f>
        <v/>
      </c>
      <c r="I4611" s="84" t="str">
        <f aca="false">IF(C4611="","",C4611*IF(Settings!$B$23=Settings!$C$6,1,IF(Settings!$B$23="USD",1/INDEX(Settings!$B$29:$B$40,MONTH(A4611)),INDEX(Settings!$B$29:$B$40,MONTH(A4611)))))</f>
        <v/>
      </c>
    </row>
    <row r="4612" customFormat="false" ht="15" hidden="false" customHeight="false" outlineLevel="0" collapsed="false">
      <c r="H4612" s="0" t="str">
        <f aca="false">IF(B4612="","",IF(COUNTIF(Campaigns!$A$7:$A$300,B4612)&gt;0,"✓","⚠ add to Campaigns tab"))</f>
        <v/>
      </c>
      <c r="I4612" s="84" t="str">
        <f aca="false">IF(C4612="","",C4612*IF(Settings!$B$23=Settings!$C$6,1,IF(Settings!$B$23="USD",1/INDEX(Settings!$B$29:$B$40,MONTH(A4612)),INDEX(Settings!$B$29:$B$40,MONTH(A4612)))))</f>
        <v/>
      </c>
    </row>
    <row r="4613" customFormat="false" ht="15" hidden="false" customHeight="false" outlineLevel="0" collapsed="false">
      <c r="H4613" s="0" t="str">
        <f aca="false">IF(B4613="","",IF(COUNTIF(Campaigns!$A$7:$A$300,B4613)&gt;0,"✓","⚠ add to Campaigns tab"))</f>
        <v/>
      </c>
      <c r="I4613" s="84" t="str">
        <f aca="false">IF(C4613="","",C4613*IF(Settings!$B$23=Settings!$C$6,1,IF(Settings!$B$23="USD",1/INDEX(Settings!$B$29:$B$40,MONTH(A4613)),INDEX(Settings!$B$29:$B$40,MONTH(A4613)))))</f>
        <v/>
      </c>
    </row>
    <row r="4614" customFormat="false" ht="15" hidden="false" customHeight="false" outlineLevel="0" collapsed="false">
      <c r="H4614" s="0" t="str">
        <f aca="false">IF(B4614="","",IF(COUNTIF(Campaigns!$A$7:$A$300,B4614)&gt;0,"✓","⚠ add to Campaigns tab"))</f>
        <v/>
      </c>
      <c r="I4614" s="84" t="str">
        <f aca="false">IF(C4614="","",C4614*IF(Settings!$B$23=Settings!$C$6,1,IF(Settings!$B$23="USD",1/INDEX(Settings!$B$29:$B$40,MONTH(A4614)),INDEX(Settings!$B$29:$B$40,MONTH(A4614)))))</f>
        <v/>
      </c>
    </row>
    <row r="4615" customFormat="false" ht="15" hidden="false" customHeight="false" outlineLevel="0" collapsed="false">
      <c r="H4615" s="0" t="str">
        <f aca="false">IF(B4615="","",IF(COUNTIF(Campaigns!$A$7:$A$300,B4615)&gt;0,"✓","⚠ add to Campaigns tab"))</f>
        <v/>
      </c>
      <c r="I4615" s="84" t="str">
        <f aca="false">IF(C4615="","",C4615*IF(Settings!$B$23=Settings!$C$6,1,IF(Settings!$B$23="USD",1/INDEX(Settings!$B$29:$B$40,MONTH(A4615)),INDEX(Settings!$B$29:$B$40,MONTH(A4615)))))</f>
        <v/>
      </c>
    </row>
    <row r="4616" customFormat="false" ht="15" hidden="false" customHeight="false" outlineLevel="0" collapsed="false">
      <c r="H4616" s="0" t="str">
        <f aca="false">IF(B4616="","",IF(COUNTIF(Campaigns!$A$7:$A$300,B4616)&gt;0,"✓","⚠ add to Campaigns tab"))</f>
        <v/>
      </c>
      <c r="I4616" s="84" t="str">
        <f aca="false">IF(C4616="","",C4616*IF(Settings!$B$23=Settings!$C$6,1,IF(Settings!$B$23="USD",1/INDEX(Settings!$B$29:$B$40,MONTH(A4616)),INDEX(Settings!$B$29:$B$40,MONTH(A4616)))))</f>
        <v/>
      </c>
    </row>
    <row r="4617" customFormat="false" ht="15" hidden="false" customHeight="false" outlineLevel="0" collapsed="false">
      <c r="H4617" s="0" t="str">
        <f aca="false">IF(B4617="","",IF(COUNTIF(Campaigns!$A$7:$A$300,B4617)&gt;0,"✓","⚠ add to Campaigns tab"))</f>
        <v/>
      </c>
      <c r="I4617" s="84" t="str">
        <f aca="false">IF(C4617="","",C4617*IF(Settings!$B$23=Settings!$C$6,1,IF(Settings!$B$23="USD",1/INDEX(Settings!$B$29:$B$40,MONTH(A4617)),INDEX(Settings!$B$29:$B$40,MONTH(A4617)))))</f>
        <v/>
      </c>
    </row>
    <row r="4618" customFormat="false" ht="15" hidden="false" customHeight="false" outlineLevel="0" collapsed="false">
      <c r="H4618" s="0" t="str">
        <f aca="false">IF(B4618="","",IF(COUNTIF(Campaigns!$A$7:$A$300,B4618)&gt;0,"✓","⚠ add to Campaigns tab"))</f>
        <v/>
      </c>
      <c r="I4618" s="84" t="str">
        <f aca="false">IF(C4618="","",C4618*IF(Settings!$B$23=Settings!$C$6,1,IF(Settings!$B$23="USD",1/INDEX(Settings!$B$29:$B$40,MONTH(A4618)),INDEX(Settings!$B$29:$B$40,MONTH(A4618)))))</f>
        <v/>
      </c>
    </row>
    <row r="4619" customFormat="false" ht="15" hidden="false" customHeight="false" outlineLevel="0" collapsed="false">
      <c r="H4619" s="0" t="str">
        <f aca="false">IF(B4619="","",IF(COUNTIF(Campaigns!$A$7:$A$300,B4619)&gt;0,"✓","⚠ add to Campaigns tab"))</f>
        <v/>
      </c>
      <c r="I4619" s="84" t="str">
        <f aca="false">IF(C4619="","",C4619*IF(Settings!$B$23=Settings!$C$6,1,IF(Settings!$B$23="USD",1/INDEX(Settings!$B$29:$B$40,MONTH(A4619)),INDEX(Settings!$B$29:$B$40,MONTH(A4619)))))</f>
        <v/>
      </c>
    </row>
    <row r="4620" customFormat="false" ht="15" hidden="false" customHeight="false" outlineLevel="0" collapsed="false">
      <c r="H4620" s="0" t="str">
        <f aca="false">IF(B4620="","",IF(COUNTIF(Campaigns!$A$7:$A$300,B4620)&gt;0,"✓","⚠ add to Campaigns tab"))</f>
        <v/>
      </c>
      <c r="I4620" s="84" t="str">
        <f aca="false">IF(C4620="","",C4620*IF(Settings!$B$23=Settings!$C$6,1,IF(Settings!$B$23="USD",1/INDEX(Settings!$B$29:$B$40,MONTH(A4620)),INDEX(Settings!$B$29:$B$40,MONTH(A4620)))))</f>
        <v/>
      </c>
    </row>
    <row r="4621" customFormat="false" ht="15" hidden="false" customHeight="false" outlineLevel="0" collapsed="false">
      <c r="H4621" s="0" t="str">
        <f aca="false">IF(B4621="","",IF(COUNTIF(Campaigns!$A$7:$A$300,B4621)&gt;0,"✓","⚠ add to Campaigns tab"))</f>
        <v/>
      </c>
      <c r="I4621" s="84" t="str">
        <f aca="false">IF(C4621="","",C4621*IF(Settings!$B$23=Settings!$C$6,1,IF(Settings!$B$23="USD",1/INDEX(Settings!$B$29:$B$40,MONTH(A4621)),INDEX(Settings!$B$29:$B$40,MONTH(A4621)))))</f>
        <v/>
      </c>
    </row>
    <row r="4622" customFormat="false" ht="15" hidden="false" customHeight="false" outlineLevel="0" collapsed="false">
      <c r="H4622" s="0" t="str">
        <f aca="false">IF(B4622="","",IF(COUNTIF(Campaigns!$A$7:$A$300,B4622)&gt;0,"✓","⚠ add to Campaigns tab"))</f>
        <v/>
      </c>
      <c r="I4622" s="84" t="str">
        <f aca="false">IF(C4622="","",C4622*IF(Settings!$B$23=Settings!$C$6,1,IF(Settings!$B$23="USD",1/INDEX(Settings!$B$29:$B$40,MONTH(A4622)),INDEX(Settings!$B$29:$B$40,MONTH(A4622)))))</f>
        <v/>
      </c>
    </row>
    <row r="4623" customFormat="false" ht="15" hidden="false" customHeight="false" outlineLevel="0" collapsed="false">
      <c r="H4623" s="0" t="str">
        <f aca="false">IF(B4623="","",IF(COUNTIF(Campaigns!$A$7:$A$300,B4623)&gt;0,"✓","⚠ add to Campaigns tab"))</f>
        <v/>
      </c>
      <c r="I4623" s="84" t="str">
        <f aca="false">IF(C4623="","",C4623*IF(Settings!$B$23=Settings!$C$6,1,IF(Settings!$B$23="USD",1/INDEX(Settings!$B$29:$B$40,MONTH(A4623)),INDEX(Settings!$B$29:$B$40,MONTH(A4623)))))</f>
        <v/>
      </c>
    </row>
    <row r="4624" customFormat="false" ht="15" hidden="false" customHeight="false" outlineLevel="0" collapsed="false">
      <c r="H4624" s="0" t="str">
        <f aca="false">IF(B4624="","",IF(COUNTIF(Campaigns!$A$7:$A$300,B4624)&gt;0,"✓","⚠ add to Campaigns tab"))</f>
        <v/>
      </c>
      <c r="I4624" s="84" t="str">
        <f aca="false">IF(C4624="","",C4624*IF(Settings!$B$23=Settings!$C$6,1,IF(Settings!$B$23="USD",1/INDEX(Settings!$B$29:$B$40,MONTH(A4624)),INDEX(Settings!$B$29:$B$40,MONTH(A4624)))))</f>
        <v/>
      </c>
    </row>
    <row r="4625" customFormat="false" ht="15" hidden="false" customHeight="false" outlineLevel="0" collapsed="false">
      <c r="H4625" s="0" t="str">
        <f aca="false">IF(B4625="","",IF(COUNTIF(Campaigns!$A$7:$A$300,B4625)&gt;0,"✓","⚠ add to Campaigns tab"))</f>
        <v/>
      </c>
      <c r="I4625" s="84" t="str">
        <f aca="false">IF(C4625="","",C4625*IF(Settings!$B$23=Settings!$C$6,1,IF(Settings!$B$23="USD",1/INDEX(Settings!$B$29:$B$40,MONTH(A4625)),INDEX(Settings!$B$29:$B$40,MONTH(A4625)))))</f>
        <v/>
      </c>
    </row>
    <row r="4626" customFormat="false" ht="15" hidden="false" customHeight="false" outlineLevel="0" collapsed="false">
      <c r="H4626" s="0" t="str">
        <f aca="false">IF(B4626="","",IF(COUNTIF(Campaigns!$A$7:$A$300,B4626)&gt;0,"✓","⚠ add to Campaigns tab"))</f>
        <v/>
      </c>
      <c r="I4626" s="84" t="str">
        <f aca="false">IF(C4626="","",C4626*IF(Settings!$B$23=Settings!$C$6,1,IF(Settings!$B$23="USD",1/INDEX(Settings!$B$29:$B$40,MONTH(A4626)),INDEX(Settings!$B$29:$B$40,MONTH(A4626)))))</f>
        <v/>
      </c>
    </row>
    <row r="4627" customFormat="false" ht="15" hidden="false" customHeight="false" outlineLevel="0" collapsed="false">
      <c r="H4627" s="0" t="str">
        <f aca="false">IF(B4627="","",IF(COUNTIF(Campaigns!$A$7:$A$300,B4627)&gt;0,"✓","⚠ add to Campaigns tab"))</f>
        <v/>
      </c>
      <c r="I4627" s="84" t="str">
        <f aca="false">IF(C4627="","",C4627*IF(Settings!$B$23=Settings!$C$6,1,IF(Settings!$B$23="USD",1/INDEX(Settings!$B$29:$B$40,MONTH(A4627)),INDEX(Settings!$B$29:$B$40,MONTH(A4627)))))</f>
        <v/>
      </c>
    </row>
    <row r="4628" customFormat="false" ht="15" hidden="false" customHeight="false" outlineLevel="0" collapsed="false">
      <c r="H4628" s="0" t="str">
        <f aca="false">IF(B4628="","",IF(COUNTIF(Campaigns!$A$7:$A$300,B4628)&gt;0,"✓","⚠ add to Campaigns tab"))</f>
        <v/>
      </c>
      <c r="I4628" s="84" t="str">
        <f aca="false">IF(C4628="","",C4628*IF(Settings!$B$23=Settings!$C$6,1,IF(Settings!$B$23="USD",1/INDEX(Settings!$B$29:$B$40,MONTH(A4628)),INDEX(Settings!$B$29:$B$40,MONTH(A4628)))))</f>
        <v/>
      </c>
    </row>
    <row r="4629" customFormat="false" ht="15" hidden="false" customHeight="false" outlineLevel="0" collapsed="false">
      <c r="H4629" s="0" t="str">
        <f aca="false">IF(B4629="","",IF(COUNTIF(Campaigns!$A$7:$A$300,B4629)&gt;0,"✓","⚠ add to Campaigns tab"))</f>
        <v/>
      </c>
      <c r="I4629" s="84" t="str">
        <f aca="false">IF(C4629="","",C4629*IF(Settings!$B$23=Settings!$C$6,1,IF(Settings!$B$23="USD",1/INDEX(Settings!$B$29:$B$40,MONTH(A4629)),INDEX(Settings!$B$29:$B$40,MONTH(A4629)))))</f>
        <v/>
      </c>
    </row>
    <row r="4630" customFormat="false" ht="15" hidden="false" customHeight="false" outlineLevel="0" collapsed="false">
      <c r="H4630" s="0" t="str">
        <f aca="false">IF(B4630="","",IF(COUNTIF(Campaigns!$A$7:$A$300,B4630)&gt;0,"✓","⚠ add to Campaigns tab"))</f>
        <v/>
      </c>
      <c r="I4630" s="84" t="str">
        <f aca="false">IF(C4630="","",C4630*IF(Settings!$B$23=Settings!$C$6,1,IF(Settings!$B$23="USD",1/INDEX(Settings!$B$29:$B$40,MONTH(A4630)),INDEX(Settings!$B$29:$B$40,MONTH(A4630)))))</f>
        <v/>
      </c>
    </row>
    <row r="4631" customFormat="false" ht="15" hidden="false" customHeight="false" outlineLevel="0" collapsed="false">
      <c r="H4631" s="0" t="str">
        <f aca="false">IF(B4631="","",IF(COUNTIF(Campaigns!$A$7:$A$300,B4631)&gt;0,"✓","⚠ add to Campaigns tab"))</f>
        <v/>
      </c>
      <c r="I4631" s="84" t="str">
        <f aca="false">IF(C4631="","",C4631*IF(Settings!$B$23=Settings!$C$6,1,IF(Settings!$B$23="USD",1/INDEX(Settings!$B$29:$B$40,MONTH(A4631)),INDEX(Settings!$B$29:$B$40,MONTH(A4631)))))</f>
        <v/>
      </c>
    </row>
    <row r="4632" customFormat="false" ht="15" hidden="false" customHeight="false" outlineLevel="0" collapsed="false">
      <c r="H4632" s="0" t="str">
        <f aca="false">IF(B4632="","",IF(COUNTIF(Campaigns!$A$7:$A$300,B4632)&gt;0,"✓","⚠ add to Campaigns tab"))</f>
        <v/>
      </c>
      <c r="I4632" s="84" t="str">
        <f aca="false">IF(C4632="","",C4632*IF(Settings!$B$23=Settings!$C$6,1,IF(Settings!$B$23="USD",1/INDEX(Settings!$B$29:$B$40,MONTH(A4632)),INDEX(Settings!$B$29:$B$40,MONTH(A4632)))))</f>
        <v/>
      </c>
    </row>
    <row r="4633" customFormat="false" ht="15" hidden="false" customHeight="false" outlineLevel="0" collapsed="false">
      <c r="H4633" s="0" t="str">
        <f aca="false">IF(B4633="","",IF(COUNTIF(Campaigns!$A$7:$A$300,B4633)&gt;0,"✓","⚠ add to Campaigns tab"))</f>
        <v/>
      </c>
      <c r="I4633" s="84" t="str">
        <f aca="false">IF(C4633="","",C4633*IF(Settings!$B$23=Settings!$C$6,1,IF(Settings!$B$23="USD",1/INDEX(Settings!$B$29:$B$40,MONTH(A4633)),INDEX(Settings!$B$29:$B$40,MONTH(A4633)))))</f>
        <v/>
      </c>
    </row>
    <row r="4634" customFormat="false" ht="15" hidden="false" customHeight="false" outlineLevel="0" collapsed="false">
      <c r="H4634" s="0" t="str">
        <f aca="false">IF(B4634="","",IF(COUNTIF(Campaigns!$A$7:$A$300,B4634)&gt;0,"✓","⚠ add to Campaigns tab"))</f>
        <v/>
      </c>
      <c r="I4634" s="84" t="str">
        <f aca="false">IF(C4634="","",C4634*IF(Settings!$B$23=Settings!$C$6,1,IF(Settings!$B$23="USD",1/INDEX(Settings!$B$29:$B$40,MONTH(A4634)),INDEX(Settings!$B$29:$B$40,MONTH(A4634)))))</f>
        <v/>
      </c>
    </row>
    <row r="4635" customFormat="false" ht="15" hidden="false" customHeight="false" outlineLevel="0" collapsed="false">
      <c r="H4635" s="0" t="str">
        <f aca="false">IF(B4635="","",IF(COUNTIF(Campaigns!$A$7:$A$300,B4635)&gt;0,"✓","⚠ add to Campaigns tab"))</f>
        <v/>
      </c>
      <c r="I4635" s="84" t="str">
        <f aca="false">IF(C4635="","",C4635*IF(Settings!$B$23=Settings!$C$6,1,IF(Settings!$B$23="USD",1/INDEX(Settings!$B$29:$B$40,MONTH(A4635)),INDEX(Settings!$B$29:$B$40,MONTH(A4635)))))</f>
        <v/>
      </c>
    </row>
    <row r="4636" customFormat="false" ht="15" hidden="false" customHeight="false" outlineLevel="0" collapsed="false">
      <c r="H4636" s="0" t="str">
        <f aca="false">IF(B4636="","",IF(COUNTIF(Campaigns!$A$7:$A$300,B4636)&gt;0,"✓","⚠ add to Campaigns tab"))</f>
        <v/>
      </c>
      <c r="I4636" s="84" t="str">
        <f aca="false">IF(C4636="","",C4636*IF(Settings!$B$23=Settings!$C$6,1,IF(Settings!$B$23="USD",1/INDEX(Settings!$B$29:$B$40,MONTH(A4636)),INDEX(Settings!$B$29:$B$40,MONTH(A4636)))))</f>
        <v/>
      </c>
    </row>
    <row r="4637" customFormat="false" ht="15" hidden="false" customHeight="false" outlineLevel="0" collapsed="false">
      <c r="H4637" s="0" t="str">
        <f aca="false">IF(B4637="","",IF(COUNTIF(Campaigns!$A$7:$A$300,B4637)&gt;0,"✓","⚠ add to Campaigns tab"))</f>
        <v/>
      </c>
      <c r="I4637" s="84" t="str">
        <f aca="false">IF(C4637="","",C4637*IF(Settings!$B$23=Settings!$C$6,1,IF(Settings!$B$23="USD",1/INDEX(Settings!$B$29:$B$40,MONTH(A4637)),INDEX(Settings!$B$29:$B$40,MONTH(A4637)))))</f>
        <v/>
      </c>
    </row>
    <row r="4638" customFormat="false" ht="15" hidden="false" customHeight="false" outlineLevel="0" collapsed="false">
      <c r="H4638" s="0" t="str">
        <f aca="false">IF(B4638="","",IF(COUNTIF(Campaigns!$A$7:$A$300,B4638)&gt;0,"✓","⚠ add to Campaigns tab"))</f>
        <v/>
      </c>
      <c r="I4638" s="84" t="str">
        <f aca="false">IF(C4638="","",C4638*IF(Settings!$B$23=Settings!$C$6,1,IF(Settings!$B$23="USD",1/INDEX(Settings!$B$29:$B$40,MONTH(A4638)),INDEX(Settings!$B$29:$B$40,MONTH(A4638)))))</f>
        <v/>
      </c>
    </row>
    <row r="4639" customFormat="false" ht="15" hidden="false" customHeight="false" outlineLevel="0" collapsed="false">
      <c r="H4639" s="0" t="str">
        <f aca="false">IF(B4639="","",IF(COUNTIF(Campaigns!$A$7:$A$300,B4639)&gt;0,"✓","⚠ add to Campaigns tab"))</f>
        <v/>
      </c>
      <c r="I4639" s="84" t="str">
        <f aca="false">IF(C4639="","",C4639*IF(Settings!$B$23=Settings!$C$6,1,IF(Settings!$B$23="USD",1/INDEX(Settings!$B$29:$B$40,MONTH(A4639)),INDEX(Settings!$B$29:$B$40,MONTH(A4639)))))</f>
        <v/>
      </c>
    </row>
    <row r="4640" customFormat="false" ht="15" hidden="false" customHeight="false" outlineLevel="0" collapsed="false">
      <c r="H4640" s="0" t="str">
        <f aca="false">IF(B4640="","",IF(COUNTIF(Campaigns!$A$7:$A$300,B4640)&gt;0,"✓","⚠ add to Campaigns tab"))</f>
        <v/>
      </c>
      <c r="I4640" s="84" t="str">
        <f aca="false">IF(C4640="","",C4640*IF(Settings!$B$23=Settings!$C$6,1,IF(Settings!$B$23="USD",1/INDEX(Settings!$B$29:$B$40,MONTH(A4640)),INDEX(Settings!$B$29:$B$40,MONTH(A4640)))))</f>
        <v/>
      </c>
    </row>
    <row r="4641" customFormat="false" ht="15" hidden="false" customHeight="false" outlineLevel="0" collapsed="false">
      <c r="H4641" s="0" t="str">
        <f aca="false">IF(B4641="","",IF(COUNTIF(Campaigns!$A$7:$A$300,B4641)&gt;0,"✓","⚠ add to Campaigns tab"))</f>
        <v/>
      </c>
      <c r="I4641" s="84" t="str">
        <f aca="false">IF(C4641="","",C4641*IF(Settings!$B$23=Settings!$C$6,1,IF(Settings!$B$23="USD",1/INDEX(Settings!$B$29:$B$40,MONTH(A4641)),INDEX(Settings!$B$29:$B$40,MONTH(A4641)))))</f>
        <v/>
      </c>
    </row>
    <row r="4642" customFormat="false" ht="15" hidden="false" customHeight="false" outlineLevel="0" collapsed="false">
      <c r="H4642" s="0" t="str">
        <f aca="false">IF(B4642="","",IF(COUNTIF(Campaigns!$A$7:$A$300,B4642)&gt;0,"✓","⚠ add to Campaigns tab"))</f>
        <v/>
      </c>
      <c r="I4642" s="84" t="str">
        <f aca="false">IF(C4642="","",C4642*IF(Settings!$B$23=Settings!$C$6,1,IF(Settings!$B$23="USD",1/INDEX(Settings!$B$29:$B$40,MONTH(A4642)),INDEX(Settings!$B$29:$B$40,MONTH(A4642)))))</f>
        <v/>
      </c>
    </row>
    <row r="4643" customFormat="false" ht="15" hidden="false" customHeight="false" outlineLevel="0" collapsed="false">
      <c r="H4643" s="0" t="str">
        <f aca="false">IF(B4643="","",IF(COUNTIF(Campaigns!$A$7:$A$300,B4643)&gt;0,"✓","⚠ add to Campaigns tab"))</f>
        <v/>
      </c>
      <c r="I4643" s="84" t="str">
        <f aca="false">IF(C4643="","",C4643*IF(Settings!$B$23=Settings!$C$6,1,IF(Settings!$B$23="USD",1/INDEX(Settings!$B$29:$B$40,MONTH(A4643)),INDEX(Settings!$B$29:$B$40,MONTH(A4643)))))</f>
        <v/>
      </c>
    </row>
    <row r="4644" customFormat="false" ht="15" hidden="false" customHeight="false" outlineLevel="0" collapsed="false">
      <c r="H4644" s="0" t="str">
        <f aca="false">IF(B4644="","",IF(COUNTIF(Campaigns!$A$7:$A$300,B4644)&gt;0,"✓","⚠ add to Campaigns tab"))</f>
        <v/>
      </c>
      <c r="I4644" s="84" t="str">
        <f aca="false">IF(C4644="","",C4644*IF(Settings!$B$23=Settings!$C$6,1,IF(Settings!$B$23="USD",1/INDEX(Settings!$B$29:$B$40,MONTH(A4644)),INDEX(Settings!$B$29:$B$40,MONTH(A4644)))))</f>
        <v/>
      </c>
    </row>
    <row r="4645" customFormat="false" ht="15" hidden="false" customHeight="false" outlineLevel="0" collapsed="false">
      <c r="H4645" s="0" t="str">
        <f aca="false">IF(B4645="","",IF(COUNTIF(Campaigns!$A$7:$A$300,B4645)&gt;0,"✓","⚠ add to Campaigns tab"))</f>
        <v/>
      </c>
      <c r="I4645" s="84" t="str">
        <f aca="false">IF(C4645="","",C4645*IF(Settings!$B$23=Settings!$C$6,1,IF(Settings!$B$23="USD",1/INDEX(Settings!$B$29:$B$40,MONTH(A4645)),INDEX(Settings!$B$29:$B$40,MONTH(A4645)))))</f>
        <v/>
      </c>
    </row>
    <row r="4646" customFormat="false" ht="15" hidden="false" customHeight="false" outlineLevel="0" collapsed="false">
      <c r="H4646" s="0" t="str">
        <f aca="false">IF(B4646="","",IF(COUNTIF(Campaigns!$A$7:$A$300,B4646)&gt;0,"✓","⚠ add to Campaigns tab"))</f>
        <v/>
      </c>
      <c r="I4646" s="84" t="str">
        <f aca="false">IF(C4646="","",C4646*IF(Settings!$B$23=Settings!$C$6,1,IF(Settings!$B$23="USD",1/INDEX(Settings!$B$29:$B$40,MONTH(A4646)),INDEX(Settings!$B$29:$B$40,MONTH(A4646)))))</f>
        <v/>
      </c>
    </row>
    <row r="4647" customFormat="false" ht="15" hidden="false" customHeight="false" outlineLevel="0" collapsed="false">
      <c r="H4647" s="0" t="str">
        <f aca="false">IF(B4647="","",IF(COUNTIF(Campaigns!$A$7:$A$300,B4647)&gt;0,"✓","⚠ add to Campaigns tab"))</f>
        <v/>
      </c>
      <c r="I4647" s="84" t="str">
        <f aca="false">IF(C4647="","",C4647*IF(Settings!$B$23=Settings!$C$6,1,IF(Settings!$B$23="USD",1/INDEX(Settings!$B$29:$B$40,MONTH(A4647)),INDEX(Settings!$B$29:$B$40,MONTH(A4647)))))</f>
        <v/>
      </c>
    </row>
    <row r="4648" customFormat="false" ht="15" hidden="false" customHeight="false" outlineLevel="0" collapsed="false">
      <c r="H4648" s="0" t="str">
        <f aca="false">IF(B4648="","",IF(COUNTIF(Campaigns!$A$7:$A$300,B4648)&gt;0,"✓","⚠ add to Campaigns tab"))</f>
        <v/>
      </c>
      <c r="I4648" s="84" t="str">
        <f aca="false">IF(C4648="","",C4648*IF(Settings!$B$23=Settings!$C$6,1,IF(Settings!$B$23="USD",1/INDEX(Settings!$B$29:$B$40,MONTH(A4648)),INDEX(Settings!$B$29:$B$40,MONTH(A4648)))))</f>
        <v/>
      </c>
    </row>
    <row r="4649" customFormat="false" ht="15" hidden="false" customHeight="false" outlineLevel="0" collapsed="false">
      <c r="H4649" s="0" t="str">
        <f aca="false">IF(B4649="","",IF(COUNTIF(Campaigns!$A$7:$A$300,B4649)&gt;0,"✓","⚠ add to Campaigns tab"))</f>
        <v/>
      </c>
      <c r="I4649" s="84" t="str">
        <f aca="false">IF(C4649="","",C4649*IF(Settings!$B$23=Settings!$C$6,1,IF(Settings!$B$23="USD",1/INDEX(Settings!$B$29:$B$40,MONTH(A4649)),INDEX(Settings!$B$29:$B$40,MONTH(A4649)))))</f>
        <v/>
      </c>
    </row>
    <row r="4650" customFormat="false" ht="15" hidden="false" customHeight="false" outlineLevel="0" collapsed="false">
      <c r="H4650" s="0" t="str">
        <f aca="false">IF(B4650="","",IF(COUNTIF(Campaigns!$A$7:$A$300,B4650)&gt;0,"✓","⚠ add to Campaigns tab"))</f>
        <v/>
      </c>
      <c r="I4650" s="84" t="str">
        <f aca="false">IF(C4650="","",C4650*IF(Settings!$B$23=Settings!$C$6,1,IF(Settings!$B$23="USD",1/INDEX(Settings!$B$29:$B$40,MONTH(A4650)),INDEX(Settings!$B$29:$B$40,MONTH(A4650)))))</f>
        <v/>
      </c>
    </row>
    <row r="4651" customFormat="false" ht="15" hidden="false" customHeight="false" outlineLevel="0" collapsed="false">
      <c r="H4651" s="0" t="str">
        <f aca="false">IF(B4651="","",IF(COUNTIF(Campaigns!$A$7:$A$300,B4651)&gt;0,"✓","⚠ add to Campaigns tab"))</f>
        <v/>
      </c>
      <c r="I4651" s="84" t="str">
        <f aca="false">IF(C4651="","",C4651*IF(Settings!$B$23=Settings!$C$6,1,IF(Settings!$B$23="USD",1/INDEX(Settings!$B$29:$B$40,MONTH(A4651)),INDEX(Settings!$B$29:$B$40,MONTH(A4651)))))</f>
        <v/>
      </c>
    </row>
    <row r="4652" customFormat="false" ht="15" hidden="false" customHeight="false" outlineLevel="0" collapsed="false">
      <c r="H4652" s="0" t="str">
        <f aca="false">IF(B4652="","",IF(COUNTIF(Campaigns!$A$7:$A$300,B4652)&gt;0,"✓","⚠ add to Campaigns tab"))</f>
        <v/>
      </c>
      <c r="I4652" s="84" t="str">
        <f aca="false">IF(C4652="","",C4652*IF(Settings!$B$23=Settings!$C$6,1,IF(Settings!$B$23="USD",1/INDEX(Settings!$B$29:$B$40,MONTH(A4652)),INDEX(Settings!$B$29:$B$40,MONTH(A4652)))))</f>
        <v/>
      </c>
    </row>
    <row r="4653" customFormat="false" ht="15" hidden="false" customHeight="false" outlineLevel="0" collapsed="false">
      <c r="H4653" s="0" t="str">
        <f aca="false">IF(B4653="","",IF(COUNTIF(Campaigns!$A$7:$A$300,B4653)&gt;0,"✓","⚠ add to Campaigns tab"))</f>
        <v/>
      </c>
      <c r="I4653" s="84" t="str">
        <f aca="false">IF(C4653="","",C4653*IF(Settings!$B$23=Settings!$C$6,1,IF(Settings!$B$23="USD",1/INDEX(Settings!$B$29:$B$40,MONTH(A4653)),INDEX(Settings!$B$29:$B$40,MONTH(A4653)))))</f>
        <v/>
      </c>
    </row>
    <row r="4654" customFormat="false" ht="15" hidden="false" customHeight="false" outlineLevel="0" collapsed="false">
      <c r="H4654" s="0" t="str">
        <f aca="false">IF(B4654="","",IF(COUNTIF(Campaigns!$A$7:$A$300,B4654)&gt;0,"✓","⚠ add to Campaigns tab"))</f>
        <v/>
      </c>
      <c r="I4654" s="84" t="str">
        <f aca="false">IF(C4654="","",C4654*IF(Settings!$B$23=Settings!$C$6,1,IF(Settings!$B$23="USD",1/INDEX(Settings!$B$29:$B$40,MONTH(A4654)),INDEX(Settings!$B$29:$B$40,MONTH(A4654)))))</f>
        <v/>
      </c>
    </row>
    <row r="4655" customFormat="false" ht="15" hidden="false" customHeight="false" outlineLevel="0" collapsed="false">
      <c r="H4655" s="0" t="str">
        <f aca="false">IF(B4655="","",IF(COUNTIF(Campaigns!$A$7:$A$300,B4655)&gt;0,"✓","⚠ add to Campaigns tab"))</f>
        <v/>
      </c>
      <c r="I4655" s="84" t="str">
        <f aca="false">IF(C4655="","",C4655*IF(Settings!$B$23=Settings!$C$6,1,IF(Settings!$B$23="USD",1/INDEX(Settings!$B$29:$B$40,MONTH(A4655)),INDEX(Settings!$B$29:$B$40,MONTH(A4655)))))</f>
        <v/>
      </c>
    </row>
    <row r="4656" customFormat="false" ht="15" hidden="false" customHeight="false" outlineLevel="0" collapsed="false">
      <c r="H4656" s="0" t="str">
        <f aca="false">IF(B4656="","",IF(COUNTIF(Campaigns!$A$7:$A$300,B4656)&gt;0,"✓","⚠ add to Campaigns tab"))</f>
        <v/>
      </c>
      <c r="I4656" s="84" t="str">
        <f aca="false">IF(C4656="","",C4656*IF(Settings!$B$23=Settings!$C$6,1,IF(Settings!$B$23="USD",1/INDEX(Settings!$B$29:$B$40,MONTH(A4656)),INDEX(Settings!$B$29:$B$40,MONTH(A4656)))))</f>
        <v/>
      </c>
    </row>
    <row r="4657" customFormat="false" ht="15" hidden="false" customHeight="false" outlineLevel="0" collapsed="false">
      <c r="H4657" s="0" t="str">
        <f aca="false">IF(B4657="","",IF(COUNTIF(Campaigns!$A$7:$A$300,B4657)&gt;0,"✓","⚠ add to Campaigns tab"))</f>
        <v/>
      </c>
      <c r="I4657" s="84" t="str">
        <f aca="false">IF(C4657="","",C4657*IF(Settings!$B$23=Settings!$C$6,1,IF(Settings!$B$23="USD",1/INDEX(Settings!$B$29:$B$40,MONTH(A4657)),INDEX(Settings!$B$29:$B$40,MONTH(A4657)))))</f>
        <v/>
      </c>
    </row>
    <row r="4658" customFormat="false" ht="15" hidden="false" customHeight="false" outlineLevel="0" collapsed="false">
      <c r="H4658" s="0" t="str">
        <f aca="false">IF(B4658="","",IF(COUNTIF(Campaigns!$A$7:$A$300,B4658)&gt;0,"✓","⚠ add to Campaigns tab"))</f>
        <v/>
      </c>
      <c r="I4658" s="84" t="str">
        <f aca="false">IF(C4658="","",C4658*IF(Settings!$B$23=Settings!$C$6,1,IF(Settings!$B$23="USD",1/INDEX(Settings!$B$29:$B$40,MONTH(A4658)),INDEX(Settings!$B$29:$B$40,MONTH(A4658)))))</f>
        <v/>
      </c>
    </row>
    <row r="4659" customFormat="false" ht="15" hidden="false" customHeight="false" outlineLevel="0" collapsed="false">
      <c r="H4659" s="0" t="str">
        <f aca="false">IF(B4659="","",IF(COUNTIF(Campaigns!$A$7:$A$300,B4659)&gt;0,"✓","⚠ add to Campaigns tab"))</f>
        <v/>
      </c>
      <c r="I4659" s="84" t="str">
        <f aca="false">IF(C4659="","",C4659*IF(Settings!$B$23=Settings!$C$6,1,IF(Settings!$B$23="USD",1/INDEX(Settings!$B$29:$B$40,MONTH(A4659)),INDEX(Settings!$B$29:$B$40,MONTH(A4659)))))</f>
        <v/>
      </c>
    </row>
    <row r="4660" customFormat="false" ht="15" hidden="false" customHeight="false" outlineLevel="0" collapsed="false">
      <c r="H4660" s="0" t="str">
        <f aca="false">IF(B4660="","",IF(COUNTIF(Campaigns!$A$7:$A$300,B4660)&gt;0,"✓","⚠ add to Campaigns tab"))</f>
        <v/>
      </c>
      <c r="I4660" s="84" t="str">
        <f aca="false">IF(C4660="","",C4660*IF(Settings!$B$23=Settings!$C$6,1,IF(Settings!$B$23="USD",1/INDEX(Settings!$B$29:$B$40,MONTH(A4660)),INDEX(Settings!$B$29:$B$40,MONTH(A4660)))))</f>
        <v/>
      </c>
    </row>
    <row r="4661" customFormat="false" ht="15" hidden="false" customHeight="false" outlineLevel="0" collapsed="false">
      <c r="H4661" s="0" t="str">
        <f aca="false">IF(B4661="","",IF(COUNTIF(Campaigns!$A$7:$A$300,B4661)&gt;0,"✓","⚠ add to Campaigns tab"))</f>
        <v/>
      </c>
      <c r="I4661" s="84" t="str">
        <f aca="false">IF(C4661="","",C4661*IF(Settings!$B$23=Settings!$C$6,1,IF(Settings!$B$23="USD",1/INDEX(Settings!$B$29:$B$40,MONTH(A4661)),INDEX(Settings!$B$29:$B$40,MONTH(A4661)))))</f>
        <v/>
      </c>
    </row>
    <row r="4662" customFormat="false" ht="15" hidden="false" customHeight="false" outlineLevel="0" collapsed="false">
      <c r="H4662" s="0" t="str">
        <f aca="false">IF(B4662="","",IF(COUNTIF(Campaigns!$A$7:$A$300,B4662)&gt;0,"✓","⚠ add to Campaigns tab"))</f>
        <v/>
      </c>
      <c r="I4662" s="84" t="str">
        <f aca="false">IF(C4662="","",C4662*IF(Settings!$B$23=Settings!$C$6,1,IF(Settings!$B$23="USD",1/INDEX(Settings!$B$29:$B$40,MONTH(A4662)),INDEX(Settings!$B$29:$B$40,MONTH(A4662)))))</f>
        <v/>
      </c>
    </row>
    <row r="4663" customFormat="false" ht="15" hidden="false" customHeight="false" outlineLevel="0" collapsed="false">
      <c r="H4663" s="0" t="str">
        <f aca="false">IF(B4663="","",IF(COUNTIF(Campaigns!$A$7:$A$300,B4663)&gt;0,"✓","⚠ add to Campaigns tab"))</f>
        <v/>
      </c>
      <c r="I4663" s="84" t="str">
        <f aca="false">IF(C4663="","",C4663*IF(Settings!$B$23=Settings!$C$6,1,IF(Settings!$B$23="USD",1/INDEX(Settings!$B$29:$B$40,MONTH(A4663)),INDEX(Settings!$B$29:$B$40,MONTH(A4663)))))</f>
        <v/>
      </c>
    </row>
    <row r="4664" customFormat="false" ht="15" hidden="false" customHeight="false" outlineLevel="0" collapsed="false">
      <c r="H4664" s="0" t="str">
        <f aca="false">IF(B4664="","",IF(COUNTIF(Campaigns!$A$7:$A$300,B4664)&gt;0,"✓","⚠ add to Campaigns tab"))</f>
        <v/>
      </c>
      <c r="I4664" s="84" t="str">
        <f aca="false">IF(C4664="","",C4664*IF(Settings!$B$23=Settings!$C$6,1,IF(Settings!$B$23="USD",1/INDEX(Settings!$B$29:$B$40,MONTH(A4664)),INDEX(Settings!$B$29:$B$40,MONTH(A4664)))))</f>
        <v/>
      </c>
    </row>
    <row r="4665" customFormat="false" ht="15" hidden="false" customHeight="false" outlineLevel="0" collapsed="false">
      <c r="H4665" s="0" t="str">
        <f aca="false">IF(B4665="","",IF(COUNTIF(Campaigns!$A$7:$A$300,B4665)&gt;0,"✓","⚠ add to Campaigns tab"))</f>
        <v/>
      </c>
      <c r="I4665" s="84" t="str">
        <f aca="false">IF(C4665="","",C4665*IF(Settings!$B$23=Settings!$C$6,1,IF(Settings!$B$23="USD",1/INDEX(Settings!$B$29:$B$40,MONTH(A4665)),INDEX(Settings!$B$29:$B$40,MONTH(A4665)))))</f>
        <v/>
      </c>
    </row>
    <row r="4666" customFormat="false" ht="15" hidden="false" customHeight="false" outlineLevel="0" collapsed="false">
      <c r="H4666" s="0" t="str">
        <f aca="false">IF(B4666="","",IF(COUNTIF(Campaigns!$A$7:$A$300,B4666)&gt;0,"✓","⚠ add to Campaigns tab"))</f>
        <v/>
      </c>
      <c r="I4666" s="84" t="str">
        <f aca="false">IF(C4666="","",C4666*IF(Settings!$B$23=Settings!$C$6,1,IF(Settings!$B$23="USD",1/INDEX(Settings!$B$29:$B$40,MONTH(A4666)),INDEX(Settings!$B$29:$B$40,MONTH(A4666)))))</f>
        <v/>
      </c>
    </row>
    <row r="4667" customFormat="false" ht="15" hidden="false" customHeight="false" outlineLevel="0" collapsed="false">
      <c r="H4667" s="0" t="str">
        <f aca="false">IF(B4667="","",IF(COUNTIF(Campaigns!$A$7:$A$300,B4667)&gt;0,"✓","⚠ add to Campaigns tab"))</f>
        <v/>
      </c>
      <c r="I4667" s="84" t="str">
        <f aca="false">IF(C4667="","",C4667*IF(Settings!$B$23=Settings!$C$6,1,IF(Settings!$B$23="USD",1/INDEX(Settings!$B$29:$B$40,MONTH(A4667)),INDEX(Settings!$B$29:$B$40,MONTH(A4667)))))</f>
        <v/>
      </c>
    </row>
    <row r="4668" customFormat="false" ht="15" hidden="false" customHeight="false" outlineLevel="0" collapsed="false">
      <c r="H4668" s="0" t="str">
        <f aca="false">IF(B4668="","",IF(COUNTIF(Campaigns!$A$7:$A$300,B4668)&gt;0,"✓","⚠ add to Campaigns tab"))</f>
        <v/>
      </c>
      <c r="I4668" s="84" t="str">
        <f aca="false">IF(C4668="","",C4668*IF(Settings!$B$23=Settings!$C$6,1,IF(Settings!$B$23="USD",1/INDEX(Settings!$B$29:$B$40,MONTH(A4668)),INDEX(Settings!$B$29:$B$40,MONTH(A4668)))))</f>
        <v/>
      </c>
    </row>
    <row r="4669" customFormat="false" ht="15" hidden="false" customHeight="false" outlineLevel="0" collapsed="false">
      <c r="H4669" s="0" t="str">
        <f aca="false">IF(B4669="","",IF(COUNTIF(Campaigns!$A$7:$A$300,B4669)&gt;0,"✓","⚠ add to Campaigns tab"))</f>
        <v/>
      </c>
      <c r="I4669" s="84" t="str">
        <f aca="false">IF(C4669="","",C4669*IF(Settings!$B$23=Settings!$C$6,1,IF(Settings!$B$23="USD",1/INDEX(Settings!$B$29:$B$40,MONTH(A4669)),INDEX(Settings!$B$29:$B$40,MONTH(A4669)))))</f>
        <v/>
      </c>
    </row>
    <row r="4670" customFormat="false" ht="15" hidden="false" customHeight="false" outlineLevel="0" collapsed="false">
      <c r="H4670" s="0" t="str">
        <f aca="false">IF(B4670="","",IF(COUNTIF(Campaigns!$A$7:$A$300,B4670)&gt;0,"✓","⚠ add to Campaigns tab"))</f>
        <v/>
      </c>
      <c r="I4670" s="84" t="str">
        <f aca="false">IF(C4670="","",C4670*IF(Settings!$B$23=Settings!$C$6,1,IF(Settings!$B$23="USD",1/INDEX(Settings!$B$29:$B$40,MONTH(A4670)),INDEX(Settings!$B$29:$B$40,MONTH(A4670)))))</f>
        <v/>
      </c>
    </row>
    <row r="4671" customFormat="false" ht="15" hidden="false" customHeight="false" outlineLevel="0" collapsed="false">
      <c r="H4671" s="0" t="str">
        <f aca="false">IF(B4671="","",IF(COUNTIF(Campaigns!$A$7:$A$300,B4671)&gt;0,"✓","⚠ add to Campaigns tab"))</f>
        <v/>
      </c>
      <c r="I4671" s="84" t="str">
        <f aca="false">IF(C4671="","",C4671*IF(Settings!$B$23=Settings!$C$6,1,IF(Settings!$B$23="USD",1/INDEX(Settings!$B$29:$B$40,MONTH(A4671)),INDEX(Settings!$B$29:$B$40,MONTH(A4671)))))</f>
        <v/>
      </c>
    </row>
    <row r="4672" customFormat="false" ht="15" hidden="false" customHeight="false" outlineLevel="0" collapsed="false">
      <c r="H4672" s="0" t="str">
        <f aca="false">IF(B4672="","",IF(COUNTIF(Campaigns!$A$7:$A$300,B4672)&gt;0,"✓","⚠ add to Campaigns tab"))</f>
        <v/>
      </c>
      <c r="I4672" s="84" t="str">
        <f aca="false">IF(C4672="","",C4672*IF(Settings!$B$23=Settings!$C$6,1,IF(Settings!$B$23="USD",1/INDEX(Settings!$B$29:$B$40,MONTH(A4672)),INDEX(Settings!$B$29:$B$40,MONTH(A4672)))))</f>
        <v/>
      </c>
    </row>
    <row r="4673" customFormat="false" ht="15" hidden="false" customHeight="false" outlineLevel="0" collapsed="false">
      <c r="H4673" s="0" t="str">
        <f aca="false">IF(B4673="","",IF(COUNTIF(Campaigns!$A$7:$A$300,B4673)&gt;0,"✓","⚠ add to Campaigns tab"))</f>
        <v/>
      </c>
      <c r="I4673" s="84" t="str">
        <f aca="false">IF(C4673="","",C4673*IF(Settings!$B$23=Settings!$C$6,1,IF(Settings!$B$23="USD",1/INDEX(Settings!$B$29:$B$40,MONTH(A4673)),INDEX(Settings!$B$29:$B$40,MONTH(A4673)))))</f>
        <v/>
      </c>
    </row>
    <row r="4674" customFormat="false" ht="15" hidden="false" customHeight="false" outlineLevel="0" collapsed="false">
      <c r="H4674" s="0" t="str">
        <f aca="false">IF(B4674="","",IF(COUNTIF(Campaigns!$A$7:$A$300,B4674)&gt;0,"✓","⚠ add to Campaigns tab"))</f>
        <v/>
      </c>
      <c r="I4674" s="84" t="str">
        <f aca="false">IF(C4674="","",C4674*IF(Settings!$B$23=Settings!$C$6,1,IF(Settings!$B$23="USD",1/INDEX(Settings!$B$29:$B$40,MONTH(A4674)),INDEX(Settings!$B$29:$B$40,MONTH(A4674)))))</f>
        <v/>
      </c>
    </row>
    <row r="4675" customFormat="false" ht="15" hidden="false" customHeight="false" outlineLevel="0" collapsed="false">
      <c r="H4675" s="0" t="str">
        <f aca="false">IF(B4675="","",IF(COUNTIF(Campaigns!$A$7:$A$300,B4675)&gt;0,"✓","⚠ add to Campaigns tab"))</f>
        <v/>
      </c>
      <c r="I4675" s="84" t="str">
        <f aca="false">IF(C4675="","",C4675*IF(Settings!$B$23=Settings!$C$6,1,IF(Settings!$B$23="USD",1/INDEX(Settings!$B$29:$B$40,MONTH(A4675)),INDEX(Settings!$B$29:$B$40,MONTH(A4675)))))</f>
        <v/>
      </c>
    </row>
    <row r="4676" customFormat="false" ht="15" hidden="false" customHeight="false" outlineLevel="0" collapsed="false">
      <c r="H4676" s="0" t="str">
        <f aca="false">IF(B4676="","",IF(COUNTIF(Campaigns!$A$7:$A$300,B4676)&gt;0,"✓","⚠ add to Campaigns tab"))</f>
        <v/>
      </c>
      <c r="I4676" s="84" t="str">
        <f aca="false">IF(C4676="","",C4676*IF(Settings!$B$23=Settings!$C$6,1,IF(Settings!$B$23="USD",1/INDEX(Settings!$B$29:$B$40,MONTH(A4676)),INDEX(Settings!$B$29:$B$40,MONTH(A4676)))))</f>
        <v/>
      </c>
    </row>
    <row r="4677" customFormat="false" ht="15" hidden="false" customHeight="false" outlineLevel="0" collapsed="false">
      <c r="H4677" s="0" t="str">
        <f aca="false">IF(B4677="","",IF(COUNTIF(Campaigns!$A$7:$A$300,B4677)&gt;0,"✓","⚠ add to Campaigns tab"))</f>
        <v/>
      </c>
      <c r="I4677" s="84" t="str">
        <f aca="false">IF(C4677="","",C4677*IF(Settings!$B$23=Settings!$C$6,1,IF(Settings!$B$23="USD",1/INDEX(Settings!$B$29:$B$40,MONTH(A4677)),INDEX(Settings!$B$29:$B$40,MONTH(A4677)))))</f>
        <v/>
      </c>
    </row>
    <row r="4678" customFormat="false" ht="15" hidden="false" customHeight="false" outlineLevel="0" collapsed="false">
      <c r="H4678" s="0" t="str">
        <f aca="false">IF(B4678="","",IF(COUNTIF(Campaigns!$A$7:$A$300,B4678)&gt;0,"✓","⚠ add to Campaigns tab"))</f>
        <v/>
      </c>
      <c r="I4678" s="84" t="str">
        <f aca="false">IF(C4678="","",C4678*IF(Settings!$B$23=Settings!$C$6,1,IF(Settings!$B$23="USD",1/INDEX(Settings!$B$29:$B$40,MONTH(A4678)),INDEX(Settings!$B$29:$B$40,MONTH(A4678)))))</f>
        <v/>
      </c>
    </row>
    <row r="4679" customFormat="false" ht="15" hidden="false" customHeight="false" outlineLevel="0" collapsed="false">
      <c r="H4679" s="0" t="str">
        <f aca="false">IF(B4679="","",IF(COUNTIF(Campaigns!$A$7:$A$300,B4679)&gt;0,"✓","⚠ add to Campaigns tab"))</f>
        <v/>
      </c>
      <c r="I4679" s="84" t="str">
        <f aca="false">IF(C4679="","",C4679*IF(Settings!$B$23=Settings!$C$6,1,IF(Settings!$B$23="USD",1/INDEX(Settings!$B$29:$B$40,MONTH(A4679)),INDEX(Settings!$B$29:$B$40,MONTH(A4679)))))</f>
        <v/>
      </c>
    </row>
    <row r="4680" customFormat="false" ht="15" hidden="false" customHeight="false" outlineLevel="0" collapsed="false">
      <c r="H4680" s="0" t="str">
        <f aca="false">IF(B4680="","",IF(COUNTIF(Campaigns!$A$7:$A$300,B4680)&gt;0,"✓","⚠ add to Campaigns tab"))</f>
        <v/>
      </c>
      <c r="I4680" s="84" t="str">
        <f aca="false">IF(C4680="","",C4680*IF(Settings!$B$23=Settings!$C$6,1,IF(Settings!$B$23="USD",1/INDEX(Settings!$B$29:$B$40,MONTH(A4680)),INDEX(Settings!$B$29:$B$40,MONTH(A4680)))))</f>
        <v/>
      </c>
    </row>
    <row r="4681" customFormat="false" ht="15" hidden="false" customHeight="false" outlineLevel="0" collapsed="false">
      <c r="H4681" s="0" t="str">
        <f aca="false">IF(B4681="","",IF(COUNTIF(Campaigns!$A$7:$A$300,B4681)&gt;0,"✓","⚠ add to Campaigns tab"))</f>
        <v/>
      </c>
      <c r="I4681" s="84" t="str">
        <f aca="false">IF(C4681="","",C4681*IF(Settings!$B$23=Settings!$C$6,1,IF(Settings!$B$23="USD",1/INDEX(Settings!$B$29:$B$40,MONTH(A4681)),INDEX(Settings!$B$29:$B$40,MONTH(A4681)))))</f>
        <v/>
      </c>
    </row>
    <row r="4682" customFormat="false" ht="15" hidden="false" customHeight="false" outlineLevel="0" collapsed="false">
      <c r="H4682" s="0" t="str">
        <f aca="false">IF(B4682="","",IF(COUNTIF(Campaigns!$A$7:$A$300,B4682)&gt;0,"✓","⚠ add to Campaigns tab"))</f>
        <v/>
      </c>
      <c r="I4682" s="84" t="str">
        <f aca="false">IF(C4682="","",C4682*IF(Settings!$B$23=Settings!$C$6,1,IF(Settings!$B$23="USD",1/INDEX(Settings!$B$29:$B$40,MONTH(A4682)),INDEX(Settings!$B$29:$B$40,MONTH(A4682)))))</f>
        <v/>
      </c>
    </row>
    <row r="4683" customFormat="false" ht="15" hidden="false" customHeight="false" outlineLevel="0" collapsed="false">
      <c r="H4683" s="0" t="str">
        <f aca="false">IF(B4683="","",IF(COUNTIF(Campaigns!$A$7:$A$300,B4683)&gt;0,"✓","⚠ add to Campaigns tab"))</f>
        <v/>
      </c>
      <c r="I4683" s="84" t="str">
        <f aca="false">IF(C4683="","",C4683*IF(Settings!$B$23=Settings!$C$6,1,IF(Settings!$B$23="USD",1/INDEX(Settings!$B$29:$B$40,MONTH(A4683)),INDEX(Settings!$B$29:$B$40,MONTH(A4683)))))</f>
        <v/>
      </c>
    </row>
    <row r="4684" customFormat="false" ht="15" hidden="false" customHeight="false" outlineLevel="0" collapsed="false">
      <c r="H4684" s="0" t="str">
        <f aca="false">IF(B4684="","",IF(COUNTIF(Campaigns!$A$7:$A$300,B4684)&gt;0,"✓","⚠ add to Campaigns tab"))</f>
        <v/>
      </c>
      <c r="I4684" s="84" t="str">
        <f aca="false">IF(C4684="","",C4684*IF(Settings!$B$23=Settings!$C$6,1,IF(Settings!$B$23="USD",1/INDEX(Settings!$B$29:$B$40,MONTH(A4684)),INDEX(Settings!$B$29:$B$40,MONTH(A4684)))))</f>
        <v/>
      </c>
    </row>
    <row r="4685" customFormat="false" ht="15" hidden="false" customHeight="false" outlineLevel="0" collapsed="false">
      <c r="H4685" s="0" t="str">
        <f aca="false">IF(B4685="","",IF(COUNTIF(Campaigns!$A$7:$A$300,B4685)&gt;0,"✓","⚠ add to Campaigns tab"))</f>
        <v/>
      </c>
      <c r="I4685" s="84" t="str">
        <f aca="false">IF(C4685="","",C4685*IF(Settings!$B$23=Settings!$C$6,1,IF(Settings!$B$23="USD",1/INDEX(Settings!$B$29:$B$40,MONTH(A4685)),INDEX(Settings!$B$29:$B$40,MONTH(A4685)))))</f>
        <v/>
      </c>
    </row>
    <row r="4686" customFormat="false" ht="15" hidden="false" customHeight="false" outlineLevel="0" collapsed="false">
      <c r="H4686" s="0" t="str">
        <f aca="false">IF(B4686="","",IF(COUNTIF(Campaigns!$A$7:$A$300,B4686)&gt;0,"✓","⚠ add to Campaigns tab"))</f>
        <v/>
      </c>
      <c r="I4686" s="84" t="str">
        <f aca="false">IF(C4686="","",C4686*IF(Settings!$B$23=Settings!$C$6,1,IF(Settings!$B$23="USD",1/INDEX(Settings!$B$29:$B$40,MONTH(A4686)),INDEX(Settings!$B$29:$B$40,MONTH(A4686)))))</f>
        <v/>
      </c>
    </row>
    <row r="4687" customFormat="false" ht="15" hidden="false" customHeight="false" outlineLevel="0" collapsed="false">
      <c r="H4687" s="0" t="str">
        <f aca="false">IF(B4687="","",IF(COUNTIF(Campaigns!$A$7:$A$300,B4687)&gt;0,"✓","⚠ add to Campaigns tab"))</f>
        <v/>
      </c>
      <c r="I4687" s="84" t="str">
        <f aca="false">IF(C4687="","",C4687*IF(Settings!$B$23=Settings!$C$6,1,IF(Settings!$B$23="USD",1/INDEX(Settings!$B$29:$B$40,MONTH(A4687)),INDEX(Settings!$B$29:$B$40,MONTH(A4687)))))</f>
        <v/>
      </c>
    </row>
    <row r="4688" customFormat="false" ht="15" hidden="false" customHeight="false" outlineLevel="0" collapsed="false">
      <c r="H4688" s="0" t="str">
        <f aca="false">IF(B4688="","",IF(COUNTIF(Campaigns!$A$7:$A$300,B4688)&gt;0,"✓","⚠ add to Campaigns tab"))</f>
        <v/>
      </c>
      <c r="I4688" s="84" t="str">
        <f aca="false">IF(C4688="","",C4688*IF(Settings!$B$23=Settings!$C$6,1,IF(Settings!$B$23="USD",1/INDEX(Settings!$B$29:$B$40,MONTH(A4688)),INDEX(Settings!$B$29:$B$40,MONTH(A4688)))))</f>
        <v/>
      </c>
    </row>
    <row r="4689" customFormat="false" ht="15" hidden="false" customHeight="false" outlineLevel="0" collapsed="false">
      <c r="H4689" s="0" t="str">
        <f aca="false">IF(B4689="","",IF(COUNTIF(Campaigns!$A$7:$A$300,B4689)&gt;0,"✓","⚠ add to Campaigns tab"))</f>
        <v/>
      </c>
      <c r="I4689" s="84" t="str">
        <f aca="false">IF(C4689="","",C4689*IF(Settings!$B$23=Settings!$C$6,1,IF(Settings!$B$23="USD",1/INDEX(Settings!$B$29:$B$40,MONTH(A4689)),INDEX(Settings!$B$29:$B$40,MONTH(A4689)))))</f>
        <v/>
      </c>
    </row>
    <row r="4690" customFormat="false" ht="15" hidden="false" customHeight="false" outlineLevel="0" collapsed="false">
      <c r="H4690" s="0" t="str">
        <f aca="false">IF(B4690="","",IF(COUNTIF(Campaigns!$A$7:$A$300,B4690)&gt;0,"✓","⚠ add to Campaigns tab"))</f>
        <v/>
      </c>
      <c r="I4690" s="84" t="str">
        <f aca="false">IF(C4690="","",C4690*IF(Settings!$B$23=Settings!$C$6,1,IF(Settings!$B$23="USD",1/INDEX(Settings!$B$29:$B$40,MONTH(A4690)),INDEX(Settings!$B$29:$B$40,MONTH(A4690)))))</f>
        <v/>
      </c>
    </row>
    <row r="4691" customFormat="false" ht="15" hidden="false" customHeight="false" outlineLevel="0" collapsed="false">
      <c r="H4691" s="0" t="str">
        <f aca="false">IF(B4691="","",IF(COUNTIF(Campaigns!$A$7:$A$300,B4691)&gt;0,"✓","⚠ add to Campaigns tab"))</f>
        <v/>
      </c>
      <c r="I4691" s="84" t="str">
        <f aca="false">IF(C4691="","",C4691*IF(Settings!$B$23=Settings!$C$6,1,IF(Settings!$B$23="USD",1/INDEX(Settings!$B$29:$B$40,MONTH(A4691)),INDEX(Settings!$B$29:$B$40,MONTH(A4691)))))</f>
        <v/>
      </c>
    </row>
    <row r="4692" customFormat="false" ht="15" hidden="false" customHeight="false" outlineLevel="0" collapsed="false">
      <c r="H4692" s="0" t="str">
        <f aca="false">IF(B4692="","",IF(COUNTIF(Campaigns!$A$7:$A$300,B4692)&gt;0,"✓","⚠ add to Campaigns tab"))</f>
        <v/>
      </c>
      <c r="I4692" s="84" t="str">
        <f aca="false">IF(C4692="","",C4692*IF(Settings!$B$23=Settings!$C$6,1,IF(Settings!$B$23="USD",1/INDEX(Settings!$B$29:$B$40,MONTH(A4692)),INDEX(Settings!$B$29:$B$40,MONTH(A4692)))))</f>
        <v/>
      </c>
    </row>
    <row r="4693" customFormat="false" ht="15" hidden="false" customHeight="false" outlineLevel="0" collapsed="false">
      <c r="H4693" s="0" t="str">
        <f aca="false">IF(B4693="","",IF(COUNTIF(Campaigns!$A$7:$A$300,B4693)&gt;0,"✓","⚠ add to Campaigns tab"))</f>
        <v/>
      </c>
      <c r="I4693" s="84" t="str">
        <f aca="false">IF(C4693="","",C4693*IF(Settings!$B$23=Settings!$C$6,1,IF(Settings!$B$23="USD",1/INDEX(Settings!$B$29:$B$40,MONTH(A4693)),INDEX(Settings!$B$29:$B$40,MONTH(A4693)))))</f>
        <v/>
      </c>
    </row>
    <row r="4694" customFormat="false" ht="15" hidden="false" customHeight="false" outlineLevel="0" collapsed="false">
      <c r="H4694" s="0" t="str">
        <f aca="false">IF(B4694="","",IF(COUNTIF(Campaigns!$A$7:$A$300,B4694)&gt;0,"✓","⚠ add to Campaigns tab"))</f>
        <v/>
      </c>
      <c r="I4694" s="84" t="str">
        <f aca="false">IF(C4694="","",C4694*IF(Settings!$B$23=Settings!$C$6,1,IF(Settings!$B$23="USD",1/INDEX(Settings!$B$29:$B$40,MONTH(A4694)),INDEX(Settings!$B$29:$B$40,MONTH(A4694)))))</f>
        <v/>
      </c>
    </row>
    <row r="4695" customFormat="false" ht="15" hidden="false" customHeight="false" outlineLevel="0" collapsed="false">
      <c r="H4695" s="0" t="str">
        <f aca="false">IF(B4695="","",IF(COUNTIF(Campaigns!$A$7:$A$300,B4695)&gt;0,"✓","⚠ add to Campaigns tab"))</f>
        <v/>
      </c>
      <c r="I4695" s="84" t="str">
        <f aca="false">IF(C4695="","",C4695*IF(Settings!$B$23=Settings!$C$6,1,IF(Settings!$B$23="USD",1/INDEX(Settings!$B$29:$B$40,MONTH(A4695)),INDEX(Settings!$B$29:$B$40,MONTH(A4695)))))</f>
        <v/>
      </c>
    </row>
    <row r="4696" customFormat="false" ht="15" hidden="false" customHeight="false" outlineLevel="0" collapsed="false">
      <c r="H4696" s="0" t="str">
        <f aca="false">IF(B4696="","",IF(COUNTIF(Campaigns!$A$7:$A$300,B4696)&gt;0,"✓","⚠ add to Campaigns tab"))</f>
        <v/>
      </c>
      <c r="I4696" s="84" t="str">
        <f aca="false">IF(C4696="","",C4696*IF(Settings!$B$23=Settings!$C$6,1,IF(Settings!$B$23="USD",1/INDEX(Settings!$B$29:$B$40,MONTH(A4696)),INDEX(Settings!$B$29:$B$40,MONTH(A4696)))))</f>
        <v/>
      </c>
    </row>
    <row r="4697" customFormat="false" ht="15" hidden="false" customHeight="false" outlineLevel="0" collapsed="false">
      <c r="H4697" s="0" t="str">
        <f aca="false">IF(B4697="","",IF(COUNTIF(Campaigns!$A$7:$A$300,B4697)&gt;0,"✓","⚠ add to Campaigns tab"))</f>
        <v/>
      </c>
      <c r="I4697" s="84" t="str">
        <f aca="false">IF(C4697="","",C4697*IF(Settings!$B$23=Settings!$C$6,1,IF(Settings!$B$23="USD",1/INDEX(Settings!$B$29:$B$40,MONTH(A4697)),INDEX(Settings!$B$29:$B$40,MONTH(A4697)))))</f>
        <v/>
      </c>
    </row>
    <row r="4698" customFormat="false" ht="15" hidden="false" customHeight="false" outlineLevel="0" collapsed="false">
      <c r="H4698" s="0" t="str">
        <f aca="false">IF(B4698="","",IF(COUNTIF(Campaigns!$A$7:$A$300,B4698)&gt;0,"✓","⚠ add to Campaigns tab"))</f>
        <v/>
      </c>
      <c r="I4698" s="84" t="str">
        <f aca="false">IF(C4698="","",C4698*IF(Settings!$B$23=Settings!$C$6,1,IF(Settings!$B$23="USD",1/INDEX(Settings!$B$29:$B$40,MONTH(A4698)),INDEX(Settings!$B$29:$B$40,MONTH(A4698)))))</f>
        <v/>
      </c>
    </row>
    <row r="4699" customFormat="false" ht="15" hidden="false" customHeight="false" outlineLevel="0" collapsed="false">
      <c r="H4699" s="0" t="str">
        <f aca="false">IF(B4699="","",IF(COUNTIF(Campaigns!$A$7:$A$300,B4699)&gt;0,"✓","⚠ add to Campaigns tab"))</f>
        <v/>
      </c>
      <c r="I4699" s="84" t="str">
        <f aca="false">IF(C4699="","",C4699*IF(Settings!$B$23=Settings!$C$6,1,IF(Settings!$B$23="USD",1/INDEX(Settings!$B$29:$B$40,MONTH(A4699)),INDEX(Settings!$B$29:$B$40,MONTH(A4699)))))</f>
        <v/>
      </c>
    </row>
    <row r="4700" customFormat="false" ht="15" hidden="false" customHeight="false" outlineLevel="0" collapsed="false">
      <c r="H4700" s="0" t="str">
        <f aca="false">IF(B4700="","",IF(COUNTIF(Campaigns!$A$7:$A$300,B4700)&gt;0,"✓","⚠ add to Campaigns tab"))</f>
        <v/>
      </c>
      <c r="I4700" s="84" t="str">
        <f aca="false">IF(C4700="","",C4700*IF(Settings!$B$23=Settings!$C$6,1,IF(Settings!$B$23="USD",1/INDEX(Settings!$B$29:$B$40,MONTH(A4700)),INDEX(Settings!$B$29:$B$40,MONTH(A4700)))))</f>
        <v/>
      </c>
    </row>
    <row r="4701" customFormat="false" ht="15" hidden="false" customHeight="false" outlineLevel="0" collapsed="false">
      <c r="H4701" s="0" t="str">
        <f aca="false">IF(B4701="","",IF(COUNTIF(Campaigns!$A$7:$A$300,B4701)&gt;0,"✓","⚠ add to Campaigns tab"))</f>
        <v/>
      </c>
      <c r="I4701" s="84" t="str">
        <f aca="false">IF(C4701="","",C4701*IF(Settings!$B$23=Settings!$C$6,1,IF(Settings!$B$23="USD",1/INDEX(Settings!$B$29:$B$40,MONTH(A4701)),INDEX(Settings!$B$29:$B$40,MONTH(A4701)))))</f>
        <v/>
      </c>
    </row>
    <row r="4702" customFormat="false" ht="15" hidden="false" customHeight="false" outlineLevel="0" collapsed="false">
      <c r="H4702" s="0" t="str">
        <f aca="false">IF(B4702="","",IF(COUNTIF(Campaigns!$A$7:$A$300,B4702)&gt;0,"✓","⚠ add to Campaigns tab"))</f>
        <v/>
      </c>
      <c r="I4702" s="84" t="str">
        <f aca="false">IF(C4702="","",C4702*IF(Settings!$B$23=Settings!$C$6,1,IF(Settings!$B$23="USD",1/INDEX(Settings!$B$29:$B$40,MONTH(A4702)),INDEX(Settings!$B$29:$B$40,MONTH(A4702)))))</f>
        <v/>
      </c>
    </row>
    <row r="4703" customFormat="false" ht="15" hidden="false" customHeight="false" outlineLevel="0" collapsed="false">
      <c r="H4703" s="0" t="str">
        <f aca="false">IF(B4703="","",IF(COUNTIF(Campaigns!$A$7:$A$300,B4703)&gt;0,"✓","⚠ add to Campaigns tab"))</f>
        <v/>
      </c>
      <c r="I4703" s="84" t="str">
        <f aca="false">IF(C4703="","",C4703*IF(Settings!$B$23=Settings!$C$6,1,IF(Settings!$B$23="USD",1/INDEX(Settings!$B$29:$B$40,MONTH(A4703)),INDEX(Settings!$B$29:$B$40,MONTH(A4703)))))</f>
        <v/>
      </c>
    </row>
    <row r="4704" customFormat="false" ht="15" hidden="false" customHeight="false" outlineLevel="0" collapsed="false">
      <c r="H4704" s="0" t="str">
        <f aca="false">IF(B4704="","",IF(COUNTIF(Campaigns!$A$7:$A$300,B4704)&gt;0,"✓","⚠ add to Campaigns tab"))</f>
        <v/>
      </c>
      <c r="I4704" s="84" t="str">
        <f aca="false">IF(C4704="","",C4704*IF(Settings!$B$23=Settings!$C$6,1,IF(Settings!$B$23="USD",1/INDEX(Settings!$B$29:$B$40,MONTH(A4704)),INDEX(Settings!$B$29:$B$40,MONTH(A4704)))))</f>
        <v/>
      </c>
    </row>
    <row r="4705" customFormat="false" ht="15" hidden="false" customHeight="false" outlineLevel="0" collapsed="false">
      <c r="H4705" s="0" t="str">
        <f aca="false">IF(B4705="","",IF(COUNTIF(Campaigns!$A$7:$A$300,B4705)&gt;0,"✓","⚠ add to Campaigns tab"))</f>
        <v/>
      </c>
      <c r="I4705" s="84" t="str">
        <f aca="false">IF(C4705="","",C4705*IF(Settings!$B$23=Settings!$C$6,1,IF(Settings!$B$23="USD",1/INDEX(Settings!$B$29:$B$40,MONTH(A4705)),INDEX(Settings!$B$29:$B$40,MONTH(A4705)))))</f>
        <v/>
      </c>
    </row>
    <row r="4706" customFormat="false" ht="15" hidden="false" customHeight="false" outlineLevel="0" collapsed="false">
      <c r="H4706" s="0" t="str">
        <f aca="false">IF(B4706="","",IF(COUNTIF(Campaigns!$A$7:$A$300,B4706)&gt;0,"✓","⚠ add to Campaigns tab"))</f>
        <v/>
      </c>
      <c r="I4706" s="84" t="str">
        <f aca="false">IF(C4706="","",C4706*IF(Settings!$B$23=Settings!$C$6,1,IF(Settings!$B$23="USD",1/INDEX(Settings!$B$29:$B$40,MONTH(A4706)),INDEX(Settings!$B$29:$B$40,MONTH(A4706)))))</f>
        <v/>
      </c>
    </row>
    <row r="4707" customFormat="false" ht="15" hidden="false" customHeight="false" outlineLevel="0" collapsed="false">
      <c r="H4707" s="0" t="str">
        <f aca="false">IF(B4707="","",IF(COUNTIF(Campaigns!$A$7:$A$300,B4707)&gt;0,"✓","⚠ add to Campaigns tab"))</f>
        <v/>
      </c>
      <c r="I4707" s="84" t="str">
        <f aca="false">IF(C4707="","",C4707*IF(Settings!$B$23=Settings!$C$6,1,IF(Settings!$B$23="USD",1/INDEX(Settings!$B$29:$B$40,MONTH(A4707)),INDEX(Settings!$B$29:$B$40,MONTH(A4707)))))</f>
        <v/>
      </c>
    </row>
    <row r="4708" customFormat="false" ht="15" hidden="false" customHeight="false" outlineLevel="0" collapsed="false">
      <c r="H4708" s="0" t="str">
        <f aca="false">IF(B4708="","",IF(COUNTIF(Campaigns!$A$7:$A$300,B4708)&gt;0,"✓","⚠ add to Campaigns tab"))</f>
        <v/>
      </c>
      <c r="I4708" s="84" t="str">
        <f aca="false">IF(C4708="","",C4708*IF(Settings!$B$23=Settings!$C$6,1,IF(Settings!$B$23="USD",1/INDEX(Settings!$B$29:$B$40,MONTH(A4708)),INDEX(Settings!$B$29:$B$40,MONTH(A4708)))))</f>
        <v/>
      </c>
    </row>
    <row r="4709" customFormat="false" ht="15" hidden="false" customHeight="false" outlineLevel="0" collapsed="false">
      <c r="H4709" s="0" t="str">
        <f aca="false">IF(B4709="","",IF(COUNTIF(Campaigns!$A$7:$A$300,B4709)&gt;0,"✓","⚠ add to Campaigns tab"))</f>
        <v/>
      </c>
      <c r="I4709" s="84" t="str">
        <f aca="false">IF(C4709="","",C4709*IF(Settings!$B$23=Settings!$C$6,1,IF(Settings!$B$23="USD",1/INDEX(Settings!$B$29:$B$40,MONTH(A4709)),INDEX(Settings!$B$29:$B$40,MONTH(A4709)))))</f>
        <v/>
      </c>
    </row>
    <row r="4710" customFormat="false" ht="15" hidden="false" customHeight="false" outlineLevel="0" collapsed="false">
      <c r="H4710" s="0" t="str">
        <f aca="false">IF(B4710="","",IF(COUNTIF(Campaigns!$A$7:$A$300,B4710)&gt;0,"✓","⚠ add to Campaigns tab"))</f>
        <v/>
      </c>
      <c r="I4710" s="84" t="str">
        <f aca="false">IF(C4710="","",C4710*IF(Settings!$B$23=Settings!$C$6,1,IF(Settings!$B$23="USD",1/INDEX(Settings!$B$29:$B$40,MONTH(A4710)),INDEX(Settings!$B$29:$B$40,MONTH(A4710)))))</f>
        <v/>
      </c>
    </row>
    <row r="4711" customFormat="false" ht="15" hidden="false" customHeight="false" outlineLevel="0" collapsed="false">
      <c r="H4711" s="0" t="str">
        <f aca="false">IF(B4711="","",IF(COUNTIF(Campaigns!$A$7:$A$300,B4711)&gt;0,"✓","⚠ add to Campaigns tab"))</f>
        <v/>
      </c>
      <c r="I4711" s="84" t="str">
        <f aca="false">IF(C4711="","",C4711*IF(Settings!$B$23=Settings!$C$6,1,IF(Settings!$B$23="USD",1/INDEX(Settings!$B$29:$B$40,MONTH(A4711)),INDEX(Settings!$B$29:$B$40,MONTH(A4711)))))</f>
        <v/>
      </c>
    </row>
    <row r="4712" customFormat="false" ht="15" hidden="false" customHeight="false" outlineLevel="0" collapsed="false">
      <c r="H4712" s="0" t="str">
        <f aca="false">IF(B4712="","",IF(COUNTIF(Campaigns!$A$7:$A$300,B4712)&gt;0,"✓","⚠ add to Campaigns tab"))</f>
        <v/>
      </c>
      <c r="I4712" s="84" t="str">
        <f aca="false">IF(C4712="","",C4712*IF(Settings!$B$23=Settings!$C$6,1,IF(Settings!$B$23="USD",1/INDEX(Settings!$B$29:$B$40,MONTH(A4712)),INDEX(Settings!$B$29:$B$40,MONTH(A4712)))))</f>
        <v/>
      </c>
    </row>
    <row r="4713" customFormat="false" ht="15" hidden="false" customHeight="false" outlineLevel="0" collapsed="false">
      <c r="H4713" s="0" t="str">
        <f aca="false">IF(B4713="","",IF(COUNTIF(Campaigns!$A$7:$A$300,B4713)&gt;0,"✓","⚠ add to Campaigns tab"))</f>
        <v/>
      </c>
      <c r="I4713" s="84" t="str">
        <f aca="false">IF(C4713="","",C4713*IF(Settings!$B$23=Settings!$C$6,1,IF(Settings!$B$23="USD",1/INDEX(Settings!$B$29:$B$40,MONTH(A4713)),INDEX(Settings!$B$29:$B$40,MONTH(A4713)))))</f>
        <v/>
      </c>
    </row>
    <row r="4714" customFormat="false" ht="15" hidden="false" customHeight="false" outlineLevel="0" collapsed="false">
      <c r="H4714" s="0" t="str">
        <f aca="false">IF(B4714="","",IF(COUNTIF(Campaigns!$A$7:$A$300,B4714)&gt;0,"✓","⚠ add to Campaigns tab"))</f>
        <v/>
      </c>
      <c r="I4714" s="84" t="str">
        <f aca="false">IF(C4714="","",C4714*IF(Settings!$B$23=Settings!$C$6,1,IF(Settings!$B$23="USD",1/INDEX(Settings!$B$29:$B$40,MONTH(A4714)),INDEX(Settings!$B$29:$B$40,MONTH(A4714)))))</f>
        <v/>
      </c>
    </row>
    <row r="4715" customFormat="false" ht="15" hidden="false" customHeight="false" outlineLevel="0" collapsed="false">
      <c r="H4715" s="0" t="str">
        <f aca="false">IF(B4715="","",IF(COUNTIF(Campaigns!$A$7:$A$300,B4715)&gt;0,"✓","⚠ add to Campaigns tab"))</f>
        <v/>
      </c>
      <c r="I4715" s="84" t="str">
        <f aca="false">IF(C4715="","",C4715*IF(Settings!$B$23=Settings!$C$6,1,IF(Settings!$B$23="USD",1/INDEX(Settings!$B$29:$B$40,MONTH(A4715)),INDEX(Settings!$B$29:$B$40,MONTH(A4715)))))</f>
        <v/>
      </c>
    </row>
    <row r="4716" customFormat="false" ht="15" hidden="false" customHeight="false" outlineLevel="0" collapsed="false">
      <c r="H4716" s="0" t="str">
        <f aca="false">IF(B4716="","",IF(COUNTIF(Campaigns!$A$7:$A$300,B4716)&gt;0,"✓","⚠ add to Campaigns tab"))</f>
        <v/>
      </c>
      <c r="I4716" s="84" t="str">
        <f aca="false">IF(C4716="","",C4716*IF(Settings!$B$23=Settings!$C$6,1,IF(Settings!$B$23="USD",1/INDEX(Settings!$B$29:$B$40,MONTH(A4716)),INDEX(Settings!$B$29:$B$40,MONTH(A4716)))))</f>
        <v/>
      </c>
    </row>
    <row r="4717" customFormat="false" ht="15" hidden="false" customHeight="false" outlineLevel="0" collapsed="false">
      <c r="H4717" s="0" t="str">
        <f aca="false">IF(B4717="","",IF(COUNTIF(Campaigns!$A$7:$A$300,B4717)&gt;0,"✓","⚠ add to Campaigns tab"))</f>
        <v/>
      </c>
      <c r="I4717" s="84" t="str">
        <f aca="false">IF(C4717="","",C4717*IF(Settings!$B$23=Settings!$C$6,1,IF(Settings!$B$23="USD",1/INDEX(Settings!$B$29:$B$40,MONTH(A4717)),INDEX(Settings!$B$29:$B$40,MONTH(A4717)))))</f>
        <v/>
      </c>
    </row>
    <row r="4718" customFormat="false" ht="15" hidden="false" customHeight="false" outlineLevel="0" collapsed="false">
      <c r="H4718" s="0" t="str">
        <f aca="false">IF(B4718="","",IF(COUNTIF(Campaigns!$A$7:$A$300,B4718)&gt;0,"✓","⚠ add to Campaigns tab"))</f>
        <v/>
      </c>
      <c r="I4718" s="84" t="str">
        <f aca="false">IF(C4718="","",C4718*IF(Settings!$B$23=Settings!$C$6,1,IF(Settings!$B$23="USD",1/INDEX(Settings!$B$29:$B$40,MONTH(A4718)),INDEX(Settings!$B$29:$B$40,MONTH(A4718)))))</f>
        <v/>
      </c>
    </row>
    <row r="4719" customFormat="false" ht="15" hidden="false" customHeight="false" outlineLevel="0" collapsed="false">
      <c r="H4719" s="0" t="str">
        <f aca="false">IF(B4719="","",IF(COUNTIF(Campaigns!$A$7:$A$300,B4719)&gt;0,"✓","⚠ add to Campaigns tab"))</f>
        <v/>
      </c>
      <c r="I4719" s="84" t="str">
        <f aca="false">IF(C4719="","",C4719*IF(Settings!$B$23=Settings!$C$6,1,IF(Settings!$B$23="USD",1/INDEX(Settings!$B$29:$B$40,MONTH(A4719)),INDEX(Settings!$B$29:$B$40,MONTH(A4719)))))</f>
        <v/>
      </c>
    </row>
    <row r="4720" customFormat="false" ht="15" hidden="false" customHeight="false" outlineLevel="0" collapsed="false">
      <c r="H4720" s="0" t="str">
        <f aca="false">IF(B4720="","",IF(COUNTIF(Campaigns!$A$7:$A$300,B4720)&gt;0,"✓","⚠ add to Campaigns tab"))</f>
        <v/>
      </c>
      <c r="I4720" s="84" t="str">
        <f aca="false">IF(C4720="","",C4720*IF(Settings!$B$23=Settings!$C$6,1,IF(Settings!$B$23="USD",1/INDEX(Settings!$B$29:$B$40,MONTH(A4720)),INDEX(Settings!$B$29:$B$40,MONTH(A4720)))))</f>
        <v/>
      </c>
    </row>
    <row r="4721" customFormat="false" ht="15" hidden="false" customHeight="false" outlineLevel="0" collapsed="false">
      <c r="H4721" s="0" t="str">
        <f aca="false">IF(B4721="","",IF(COUNTIF(Campaigns!$A$7:$A$300,B4721)&gt;0,"✓","⚠ add to Campaigns tab"))</f>
        <v/>
      </c>
      <c r="I4721" s="84" t="str">
        <f aca="false">IF(C4721="","",C4721*IF(Settings!$B$23=Settings!$C$6,1,IF(Settings!$B$23="USD",1/INDEX(Settings!$B$29:$B$40,MONTH(A4721)),INDEX(Settings!$B$29:$B$40,MONTH(A4721)))))</f>
        <v/>
      </c>
    </row>
    <row r="4722" customFormat="false" ht="15" hidden="false" customHeight="false" outlineLevel="0" collapsed="false">
      <c r="H4722" s="0" t="str">
        <f aca="false">IF(B4722="","",IF(COUNTIF(Campaigns!$A$7:$A$300,B4722)&gt;0,"✓","⚠ add to Campaigns tab"))</f>
        <v/>
      </c>
      <c r="I4722" s="84" t="str">
        <f aca="false">IF(C4722="","",C4722*IF(Settings!$B$23=Settings!$C$6,1,IF(Settings!$B$23="USD",1/INDEX(Settings!$B$29:$B$40,MONTH(A4722)),INDEX(Settings!$B$29:$B$40,MONTH(A4722)))))</f>
        <v/>
      </c>
    </row>
    <row r="4723" customFormat="false" ht="15" hidden="false" customHeight="false" outlineLevel="0" collapsed="false">
      <c r="H4723" s="0" t="str">
        <f aca="false">IF(B4723="","",IF(COUNTIF(Campaigns!$A$7:$A$300,B4723)&gt;0,"✓","⚠ add to Campaigns tab"))</f>
        <v/>
      </c>
      <c r="I4723" s="84" t="str">
        <f aca="false">IF(C4723="","",C4723*IF(Settings!$B$23=Settings!$C$6,1,IF(Settings!$B$23="USD",1/INDEX(Settings!$B$29:$B$40,MONTH(A4723)),INDEX(Settings!$B$29:$B$40,MONTH(A4723)))))</f>
        <v/>
      </c>
    </row>
    <row r="4724" customFormat="false" ht="15" hidden="false" customHeight="false" outlineLevel="0" collapsed="false">
      <c r="H4724" s="0" t="str">
        <f aca="false">IF(B4724="","",IF(COUNTIF(Campaigns!$A$7:$A$300,B4724)&gt;0,"✓","⚠ add to Campaigns tab"))</f>
        <v/>
      </c>
      <c r="I4724" s="84" t="str">
        <f aca="false">IF(C4724="","",C4724*IF(Settings!$B$23=Settings!$C$6,1,IF(Settings!$B$23="USD",1/INDEX(Settings!$B$29:$B$40,MONTH(A4724)),INDEX(Settings!$B$29:$B$40,MONTH(A4724)))))</f>
        <v/>
      </c>
    </row>
    <row r="4725" customFormat="false" ht="15" hidden="false" customHeight="false" outlineLevel="0" collapsed="false">
      <c r="H4725" s="0" t="str">
        <f aca="false">IF(B4725="","",IF(COUNTIF(Campaigns!$A$7:$A$300,B4725)&gt;0,"✓","⚠ add to Campaigns tab"))</f>
        <v/>
      </c>
      <c r="I4725" s="84" t="str">
        <f aca="false">IF(C4725="","",C4725*IF(Settings!$B$23=Settings!$C$6,1,IF(Settings!$B$23="USD",1/INDEX(Settings!$B$29:$B$40,MONTH(A4725)),INDEX(Settings!$B$29:$B$40,MONTH(A4725)))))</f>
        <v/>
      </c>
    </row>
    <row r="4726" customFormat="false" ht="15" hidden="false" customHeight="false" outlineLevel="0" collapsed="false">
      <c r="H4726" s="0" t="str">
        <f aca="false">IF(B4726="","",IF(COUNTIF(Campaigns!$A$7:$A$300,B4726)&gt;0,"✓","⚠ add to Campaigns tab"))</f>
        <v/>
      </c>
      <c r="I4726" s="84" t="str">
        <f aca="false">IF(C4726="","",C4726*IF(Settings!$B$23=Settings!$C$6,1,IF(Settings!$B$23="USD",1/INDEX(Settings!$B$29:$B$40,MONTH(A4726)),INDEX(Settings!$B$29:$B$40,MONTH(A4726)))))</f>
        <v/>
      </c>
    </row>
    <row r="4727" customFormat="false" ht="15" hidden="false" customHeight="false" outlineLevel="0" collapsed="false">
      <c r="H4727" s="0" t="str">
        <f aca="false">IF(B4727="","",IF(COUNTIF(Campaigns!$A$7:$A$300,B4727)&gt;0,"✓","⚠ add to Campaigns tab"))</f>
        <v/>
      </c>
      <c r="I4727" s="84" t="str">
        <f aca="false">IF(C4727="","",C4727*IF(Settings!$B$23=Settings!$C$6,1,IF(Settings!$B$23="USD",1/INDEX(Settings!$B$29:$B$40,MONTH(A4727)),INDEX(Settings!$B$29:$B$40,MONTH(A4727)))))</f>
        <v/>
      </c>
    </row>
    <row r="4728" customFormat="false" ht="15" hidden="false" customHeight="false" outlineLevel="0" collapsed="false">
      <c r="H4728" s="0" t="str">
        <f aca="false">IF(B4728="","",IF(COUNTIF(Campaigns!$A$7:$A$300,B4728)&gt;0,"✓","⚠ add to Campaigns tab"))</f>
        <v/>
      </c>
      <c r="I4728" s="84" t="str">
        <f aca="false">IF(C4728="","",C4728*IF(Settings!$B$23=Settings!$C$6,1,IF(Settings!$B$23="USD",1/INDEX(Settings!$B$29:$B$40,MONTH(A4728)),INDEX(Settings!$B$29:$B$40,MONTH(A4728)))))</f>
        <v/>
      </c>
    </row>
    <row r="4729" customFormat="false" ht="15" hidden="false" customHeight="false" outlineLevel="0" collapsed="false">
      <c r="H4729" s="0" t="str">
        <f aca="false">IF(B4729="","",IF(COUNTIF(Campaigns!$A$7:$A$300,B4729)&gt;0,"✓","⚠ add to Campaigns tab"))</f>
        <v/>
      </c>
      <c r="I4729" s="84" t="str">
        <f aca="false">IF(C4729="","",C4729*IF(Settings!$B$23=Settings!$C$6,1,IF(Settings!$B$23="USD",1/INDEX(Settings!$B$29:$B$40,MONTH(A4729)),INDEX(Settings!$B$29:$B$40,MONTH(A4729)))))</f>
        <v/>
      </c>
    </row>
    <row r="4730" customFormat="false" ht="15" hidden="false" customHeight="false" outlineLevel="0" collapsed="false">
      <c r="H4730" s="0" t="str">
        <f aca="false">IF(B4730="","",IF(COUNTIF(Campaigns!$A$7:$A$300,B4730)&gt;0,"✓","⚠ add to Campaigns tab"))</f>
        <v/>
      </c>
      <c r="I4730" s="84" t="str">
        <f aca="false">IF(C4730="","",C4730*IF(Settings!$B$23=Settings!$C$6,1,IF(Settings!$B$23="USD",1/INDEX(Settings!$B$29:$B$40,MONTH(A4730)),INDEX(Settings!$B$29:$B$40,MONTH(A4730)))))</f>
        <v/>
      </c>
    </row>
    <row r="4731" customFormat="false" ht="15" hidden="false" customHeight="false" outlineLevel="0" collapsed="false">
      <c r="H4731" s="0" t="str">
        <f aca="false">IF(B4731="","",IF(COUNTIF(Campaigns!$A$7:$A$300,B4731)&gt;0,"✓","⚠ add to Campaigns tab"))</f>
        <v/>
      </c>
      <c r="I4731" s="84" t="str">
        <f aca="false">IF(C4731="","",C4731*IF(Settings!$B$23=Settings!$C$6,1,IF(Settings!$B$23="USD",1/INDEX(Settings!$B$29:$B$40,MONTH(A4731)),INDEX(Settings!$B$29:$B$40,MONTH(A4731)))))</f>
        <v/>
      </c>
    </row>
    <row r="4732" customFormat="false" ht="15" hidden="false" customHeight="false" outlineLevel="0" collapsed="false">
      <c r="H4732" s="0" t="str">
        <f aca="false">IF(B4732="","",IF(COUNTIF(Campaigns!$A$7:$A$300,B4732)&gt;0,"✓","⚠ add to Campaigns tab"))</f>
        <v/>
      </c>
      <c r="I4732" s="84" t="str">
        <f aca="false">IF(C4732="","",C4732*IF(Settings!$B$23=Settings!$C$6,1,IF(Settings!$B$23="USD",1/INDEX(Settings!$B$29:$B$40,MONTH(A4732)),INDEX(Settings!$B$29:$B$40,MONTH(A4732)))))</f>
        <v/>
      </c>
    </row>
    <row r="4733" customFormat="false" ht="15" hidden="false" customHeight="false" outlineLevel="0" collapsed="false">
      <c r="H4733" s="0" t="str">
        <f aca="false">IF(B4733="","",IF(COUNTIF(Campaigns!$A$7:$A$300,B4733)&gt;0,"✓","⚠ add to Campaigns tab"))</f>
        <v/>
      </c>
      <c r="I4733" s="84" t="str">
        <f aca="false">IF(C4733="","",C4733*IF(Settings!$B$23=Settings!$C$6,1,IF(Settings!$B$23="USD",1/INDEX(Settings!$B$29:$B$40,MONTH(A4733)),INDEX(Settings!$B$29:$B$40,MONTH(A4733)))))</f>
        <v/>
      </c>
    </row>
    <row r="4734" customFormat="false" ht="15" hidden="false" customHeight="false" outlineLevel="0" collapsed="false">
      <c r="H4734" s="0" t="str">
        <f aca="false">IF(B4734="","",IF(COUNTIF(Campaigns!$A$7:$A$300,B4734)&gt;0,"✓","⚠ add to Campaigns tab"))</f>
        <v/>
      </c>
      <c r="I4734" s="84" t="str">
        <f aca="false">IF(C4734="","",C4734*IF(Settings!$B$23=Settings!$C$6,1,IF(Settings!$B$23="USD",1/INDEX(Settings!$B$29:$B$40,MONTH(A4734)),INDEX(Settings!$B$29:$B$40,MONTH(A4734)))))</f>
        <v/>
      </c>
    </row>
    <row r="4735" customFormat="false" ht="15" hidden="false" customHeight="false" outlineLevel="0" collapsed="false">
      <c r="H4735" s="0" t="str">
        <f aca="false">IF(B4735="","",IF(COUNTIF(Campaigns!$A$7:$A$300,B4735)&gt;0,"✓","⚠ add to Campaigns tab"))</f>
        <v/>
      </c>
      <c r="I4735" s="84" t="str">
        <f aca="false">IF(C4735="","",C4735*IF(Settings!$B$23=Settings!$C$6,1,IF(Settings!$B$23="USD",1/INDEX(Settings!$B$29:$B$40,MONTH(A4735)),INDEX(Settings!$B$29:$B$40,MONTH(A4735)))))</f>
        <v/>
      </c>
    </row>
    <row r="4736" customFormat="false" ht="15" hidden="false" customHeight="false" outlineLevel="0" collapsed="false">
      <c r="H4736" s="0" t="str">
        <f aca="false">IF(B4736="","",IF(COUNTIF(Campaigns!$A$7:$A$300,B4736)&gt;0,"✓","⚠ add to Campaigns tab"))</f>
        <v/>
      </c>
      <c r="I4736" s="84" t="str">
        <f aca="false">IF(C4736="","",C4736*IF(Settings!$B$23=Settings!$C$6,1,IF(Settings!$B$23="USD",1/INDEX(Settings!$B$29:$B$40,MONTH(A4736)),INDEX(Settings!$B$29:$B$40,MONTH(A4736)))))</f>
        <v/>
      </c>
    </row>
    <row r="4737" customFormat="false" ht="15" hidden="false" customHeight="false" outlineLevel="0" collapsed="false">
      <c r="H4737" s="0" t="str">
        <f aca="false">IF(B4737="","",IF(COUNTIF(Campaigns!$A$7:$A$300,B4737)&gt;0,"✓","⚠ add to Campaigns tab"))</f>
        <v/>
      </c>
      <c r="I4737" s="84" t="str">
        <f aca="false">IF(C4737="","",C4737*IF(Settings!$B$23=Settings!$C$6,1,IF(Settings!$B$23="USD",1/INDEX(Settings!$B$29:$B$40,MONTH(A4737)),INDEX(Settings!$B$29:$B$40,MONTH(A4737)))))</f>
        <v/>
      </c>
    </row>
    <row r="4738" customFormat="false" ht="15" hidden="false" customHeight="false" outlineLevel="0" collapsed="false">
      <c r="H4738" s="0" t="str">
        <f aca="false">IF(B4738="","",IF(COUNTIF(Campaigns!$A$7:$A$300,B4738)&gt;0,"✓","⚠ add to Campaigns tab"))</f>
        <v/>
      </c>
      <c r="I4738" s="84" t="str">
        <f aca="false">IF(C4738="","",C4738*IF(Settings!$B$23=Settings!$C$6,1,IF(Settings!$B$23="USD",1/INDEX(Settings!$B$29:$B$40,MONTH(A4738)),INDEX(Settings!$B$29:$B$40,MONTH(A4738)))))</f>
        <v/>
      </c>
    </row>
    <row r="4739" customFormat="false" ht="15" hidden="false" customHeight="false" outlineLevel="0" collapsed="false">
      <c r="H4739" s="0" t="str">
        <f aca="false">IF(B4739="","",IF(COUNTIF(Campaigns!$A$7:$A$300,B4739)&gt;0,"✓","⚠ add to Campaigns tab"))</f>
        <v/>
      </c>
      <c r="I4739" s="84" t="str">
        <f aca="false">IF(C4739="","",C4739*IF(Settings!$B$23=Settings!$C$6,1,IF(Settings!$B$23="USD",1/INDEX(Settings!$B$29:$B$40,MONTH(A4739)),INDEX(Settings!$B$29:$B$40,MONTH(A4739)))))</f>
        <v/>
      </c>
    </row>
    <row r="4740" customFormat="false" ht="15" hidden="false" customHeight="false" outlineLevel="0" collapsed="false">
      <c r="H4740" s="0" t="str">
        <f aca="false">IF(B4740="","",IF(COUNTIF(Campaigns!$A$7:$A$300,B4740)&gt;0,"✓","⚠ add to Campaigns tab"))</f>
        <v/>
      </c>
      <c r="I4740" s="84" t="str">
        <f aca="false">IF(C4740="","",C4740*IF(Settings!$B$23=Settings!$C$6,1,IF(Settings!$B$23="USD",1/INDEX(Settings!$B$29:$B$40,MONTH(A4740)),INDEX(Settings!$B$29:$B$40,MONTH(A4740)))))</f>
        <v/>
      </c>
    </row>
    <row r="4741" customFormat="false" ht="15" hidden="false" customHeight="false" outlineLevel="0" collapsed="false">
      <c r="H4741" s="0" t="str">
        <f aca="false">IF(B4741="","",IF(COUNTIF(Campaigns!$A$7:$A$300,B4741)&gt;0,"✓","⚠ add to Campaigns tab"))</f>
        <v/>
      </c>
      <c r="I4741" s="84" t="str">
        <f aca="false">IF(C4741="","",C4741*IF(Settings!$B$23=Settings!$C$6,1,IF(Settings!$B$23="USD",1/INDEX(Settings!$B$29:$B$40,MONTH(A4741)),INDEX(Settings!$B$29:$B$40,MONTH(A4741)))))</f>
        <v/>
      </c>
    </row>
    <row r="4742" customFormat="false" ht="15" hidden="false" customHeight="false" outlineLevel="0" collapsed="false">
      <c r="H4742" s="0" t="str">
        <f aca="false">IF(B4742="","",IF(COUNTIF(Campaigns!$A$7:$A$300,B4742)&gt;0,"✓","⚠ add to Campaigns tab"))</f>
        <v/>
      </c>
      <c r="I4742" s="84" t="str">
        <f aca="false">IF(C4742="","",C4742*IF(Settings!$B$23=Settings!$C$6,1,IF(Settings!$B$23="USD",1/INDEX(Settings!$B$29:$B$40,MONTH(A4742)),INDEX(Settings!$B$29:$B$40,MONTH(A4742)))))</f>
        <v/>
      </c>
    </row>
    <row r="4743" customFormat="false" ht="15" hidden="false" customHeight="false" outlineLevel="0" collapsed="false">
      <c r="H4743" s="0" t="str">
        <f aca="false">IF(B4743="","",IF(COUNTIF(Campaigns!$A$7:$A$300,B4743)&gt;0,"✓","⚠ add to Campaigns tab"))</f>
        <v/>
      </c>
      <c r="I4743" s="84" t="str">
        <f aca="false">IF(C4743="","",C4743*IF(Settings!$B$23=Settings!$C$6,1,IF(Settings!$B$23="USD",1/INDEX(Settings!$B$29:$B$40,MONTH(A4743)),INDEX(Settings!$B$29:$B$40,MONTH(A4743)))))</f>
        <v/>
      </c>
    </row>
    <row r="4744" customFormat="false" ht="15" hidden="false" customHeight="false" outlineLevel="0" collapsed="false">
      <c r="H4744" s="0" t="str">
        <f aca="false">IF(B4744="","",IF(COUNTIF(Campaigns!$A$7:$A$300,B4744)&gt;0,"✓","⚠ add to Campaigns tab"))</f>
        <v/>
      </c>
      <c r="I4744" s="84" t="str">
        <f aca="false">IF(C4744="","",C4744*IF(Settings!$B$23=Settings!$C$6,1,IF(Settings!$B$23="USD",1/INDEX(Settings!$B$29:$B$40,MONTH(A4744)),INDEX(Settings!$B$29:$B$40,MONTH(A4744)))))</f>
        <v/>
      </c>
    </row>
    <row r="4745" customFormat="false" ht="15" hidden="false" customHeight="false" outlineLevel="0" collapsed="false">
      <c r="H4745" s="0" t="str">
        <f aca="false">IF(B4745="","",IF(COUNTIF(Campaigns!$A$7:$A$300,B4745)&gt;0,"✓","⚠ add to Campaigns tab"))</f>
        <v/>
      </c>
      <c r="I4745" s="84" t="str">
        <f aca="false">IF(C4745="","",C4745*IF(Settings!$B$23=Settings!$C$6,1,IF(Settings!$B$23="USD",1/INDEX(Settings!$B$29:$B$40,MONTH(A4745)),INDEX(Settings!$B$29:$B$40,MONTH(A4745)))))</f>
        <v/>
      </c>
    </row>
    <row r="4746" customFormat="false" ht="15" hidden="false" customHeight="false" outlineLevel="0" collapsed="false">
      <c r="H4746" s="0" t="str">
        <f aca="false">IF(B4746="","",IF(COUNTIF(Campaigns!$A$7:$A$300,B4746)&gt;0,"✓","⚠ add to Campaigns tab"))</f>
        <v/>
      </c>
      <c r="I4746" s="84" t="str">
        <f aca="false">IF(C4746="","",C4746*IF(Settings!$B$23=Settings!$C$6,1,IF(Settings!$B$23="USD",1/INDEX(Settings!$B$29:$B$40,MONTH(A4746)),INDEX(Settings!$B$29:$B$40,MONTH(A4746)))))</f>
        <v/>
      </c>
    </row>
    <row r="4747" customFormat="false" ht="15" hidden="false" customHeight="false" outlineLevel="0" collapsed="false">
      <c r="H4747" s="0" t="str">
        <f aca="false">IF(B4747="","",IF(COUNTIF(Campaigns!$A$7:$A$300,B4747)&gt;0,"✓","⚠ add to Campaigns tab"))</f>
        <v/>
      </c>
      <c r="I4747" s="84" t="str">
        <f aca="false">IF(C4747="","",C4747*IF(Settings!$B$23=Settings!$C$6,1,IF(Settings!$B$23="USD",1/INDEX(Settings!$B$29:$B$40,MONTH(A4747)),INDEX(Settings!$B$29:$B$40,MONTH(A4747)))))</f>
        <v/>
      </c>
    </row>
    <row r="4748" customFormat="false" ht="15" hidden="false" customHeight="false" outlineLevel="0" collapsed="false">
      <c r="H4748" s="0" t="str">
        <f aca="false">IF(B4748="","",IF(COUNTIF(Campaigns!$A$7:$A$300,B4748)&gt;0,"✓","⚠ add to Campaigns tab"))</f>
        <v/>
      </c>
      <c r="I4748" s="84" t="str">
        <f aca="false">IF(C4748="","",C4748*IF(Settings!$B$23=Settings!$C$6,1,IF(Settings!$B$23="USD",1/INDEX(Settings!$B$29:$B$40,MONTH(A4748)),INDEX(Settings!$B$29:$B$40,MONTH(A4748)))))</f>
        <v/>
      </c>
    </row>
    <row r="4749" customFormat="false" ht="15" hidden="false" customHeight="false" outlineLevel="0" collapsed="false">
      <c r="H4749" s="0" t="str">
        <f aca="false">IF(B4749="","",IF(COUNTIF(Campaigns!$A$7:$A$300,B4749)&gt;0,"✓","⚠ add to Campaigns tab"))</f>
        <v/>
      </c>
      <c r="I4749" s="84" t="str">
        <f aca="false">IF(C4749="","",C4749*IF(Settings!$B$23=Settings!$C$6,1,IF(Settings!$B$23="USD",1/INDEX(Settings!$B$29:$B$40,MONTH(A4749)),INDEX(Settings!$B$29:$B$40,MONTH(A4749)))))</f>
        <v/>
      </c>
    </row>
    <row r="4750" customFormat="false" ht="15" hidden="false" customHeight="false" outlineLevel="0" collapsed="false">
      <c r="H4750" s="0" t="str">
        <f aca="false">IF(B4750="","",IF(COUNTIF(Campaigns!$A$7:$A$300,B4750)&gt;0,"✓","⚠ add to Campaigns tab"))</f>
        <v/>
      </c>
      <c r="I4750" s="84" t="str">
        <f aca="false">IF(C4750="","",C4750*IF(Settings!$B$23=Settings!$C$6,1,IF(Settings!$B$23="USD",1/INDEX(Settings!$B$29:$B$40,MONTH(A4750)),INDEX(Settings!$B$29:$B$40,MONTH(A4750)))))</f>
        <v/>
      </c>
    </row>
    <row r="4751" customFormat="false" ht="15" hidden="false" customHeight="false" outlineLevel="0" collapsed="false">
      <c r="H4751" s="0" t="str">
        <f aca="false">IF(B4751="","",IF(COUNTIF(Campaigns!$A$7:$A$300,B4751)&gt;0,"✓","⚠ add to Campaigns tab"))</f>
        <v/>
      </c>
      <c r="I4751" s="84" t="str">
        <f aca="false">IF(C4751="","",C4751*IF(Settings!$B$23=Settings!$C$6,1,IF(Settings!$B$23="USD",1/INDEX(Settings!$B$29:$B$40,MONTH(A4751)),INDEX(Settings!$B$29:$B$40,MONTH(A4751)))))</f>
        <v/>
      </c>
    </row>
    <row r="4752" customFormat="false" ht="15" hidden="false" customHeight="false" outlineLevel="0" collapsed="false">
      <c r="H4752" s="0" t="str">
        <f aca="false">IF(B4752="","",IF(COUNTIF(Campaigns!$A$7:$A$300,B4752)&gt;0,"✓","⚠ add to Campaigns tab"))</f>
        <v/>
      </c>
      <c r="I4752" s="84" t="str">
        <f aca="false">IF(C4752="","",C4752*IF(Settings!$B$23=Settings!$C$6,1,IF(Settings!$B$23="USD",1/INDEX(Settings!$B$29:$B$40,MONTH(A4752)),INDEX(Settings!$B$29:$B$40,MONTH(A4752)))))</f>
        <v/>
      </c>
    </row>
    <row r="4753" customFormat="false" ht="15" hidden="false" customHeight="false" outlineLevel="0" collapsed="false">
      <c r="H4753" s="0" t="str">
        <f aca="false">IF(B4753="","",IF(COUNTIF(Campaigns!$A$7:$A$300,B4753)&gt;0,"✓","⚠ add to Campaigns tab"))</f>
        <v/>
      </c>
      <c r="I4753" s="84" t="str">
        <f aca="false">IF(C4753="","",C4753*IF(Settings!$B$23=Settings!$C$6,1,IF(Settings!$B$23="USD",1/INDEX(Settings!$B$29:$B$40,MONTH(A4753)),INDEX(Settings!$B$29:$B$40,MONTH(A4753)))))</f>
        <v/>
      </c>
    </row>
    <row r="4754" customFormat="false" ht="15" hidden="false" customHeight="false" outlineLevel="0" collapsed="false">
      <c r="H4754" s="0" t="str">
        <f aca="false">IF(B4754="","",IF(COUNTIF(Campaigns!$A$7:$A$300,B4754)&gt;0,"✓","⚠ add to Campaigns tab"))</f>
        <v/>
      </c>
      <c r="I4754" s="84" t="str">
        <f aca="false">IF(C4754="","",C4754*IF(Settings!$B$23=Settings!$C$6,1,IF(Settings!$B$23="USD",1/INDEX(Settings!$B$29:$B$40,MONTH(A4754)),INDEX(Settings!$B$29:$B$40,MONTH(A4754)))))</f>
        <v/>
      </c>
    </row>
    <row r="4755" customFormat="false" ht="15" hidden="false" customHeight="false" outlineLevel="0" collapsed="false">
      <c r="H4755" s="0" t="str">
        <f aca="false">IF(B4755="","",IF(COUNTIF(Campaigns!$A$7:$A$300,B4755)&gt;0,"✓","⚠ add to Campaigns tab"))</f>
        <v/>
      </c>
      <c r="I4755" s="84" t="str">
        <f aca="false">IF(C4755="","",C4755*IF(Settings!$B$23=Settings!$C$6,1,IF(Settings!$B$23="USD",1/INDEX(Settings!$B$29:$B$40,MONTH(A4755)),INDEX(Settings!$B$29:$B$40,MONTH(A4755)))))</f>
        <v/>
      </c>
    </row>
    <row r="4756" customFormat="false" ht="15" hidden="false" customHeight="false" outlineLevel="0" collapsed="false">
      <c r="H4756" s="0" t="str">
        <f aca="false">IF(B4756="","",IF(COUNTIF(Campaigns!$A$7:$A$300,B4756)&gt;0,"✓","⚠ add to Campaigns tab"))</f>
        <v/>
      </c>
      <c r="I4756" s="84" t="str">
        <f aca="false">IF(C4756="","",C4756*IF(Settings!$B$23=Settings!$C$6,1,IF(Settings!$B$23="USD",1/INDEX(Settings!$B$29:$B$40,MONTH(A4756)),INDEX(Settings!$B$29:$B$40,MONTH(A4756)))))</f>
        <v/>
      </c>
    </row>
    <row r="4757" customFormat="false" ht="15" hidden="false" customHeight="false" outlineLevel="0" collapsed="false">
      <c r="H4757" s="0" t="str">
        <f aca="false">IF(B4757="","",IF(COUNTIF(Campaigns!$A$7:$A$300,B4757)&gt;0,"✓","⚠ add to Campaigns tab"))</f>
        <v/>
      </c>
      <c r="I4757" s="84" t="str">
        <f aca="false">IF(C4757="","",C4757*IF(Settings!$B$23=Settings!$C$6,1,IF(Settings!$B$23="USD",1/INDEX(Settings!$B$29:$B$40,MONTH(A4757)),INDEX(Settings!$B$29:$B$40,MONTH(A4757)))))</f>
        <v/>
      </c>
    </row>
    <row r="4758" customFormat="false" ht="15" hidden="false" customHeight="false" outlineLevel="0" collapsed="false">
      <c r="H4758" s="0" t="str">
        <f aca="false">IF(B4758="","",IF(COUNTIF(Campaigns!$A$7:$A$300,B4758)&gt;0,"✓","⚠ add to Campaigns tab"))</f>
        <v/>
      </c>
      <c r="I4758" s="84" t="str">
        <f aca="false">IF(C4758="","",C4758*IF(Settings!$B$23=Settings!$C$6,1,IF(Settings!$B$23="USD",1/INDEX(Settings!$B$29:$B$40,MONTH(A4758)),INDEX(Settings!$B$29:$B$40,MONTH(A4758)))))</f>
        <v/>
      </c>
    </row>
    <row r="4759" customFormat="false" ht="15" hidden="false" customHeight="false" outlineLevel="0" collapsed="false">
      <c r="H4759" s="0" t="str">
        <f aca="false">IF(B4759="","",IF(COUNTIF(Campaigns!$A$7:$A$300,B4759)&gt;0,"✓","⚠ add to Campaigns tab"))</f>
        <v/>
      </c>
      <c r="I4759" s="84" t="str">
        <f aca="false">IF(C4759="","",C4759*IF(Settings!$B$23=Settings!$C$6,1,IF(Settings!$B$23="USD",1/INDEX(Settings!$B$29:$B$40,MONTH(A4759)),INDEX(Settings!$B$29:$B$40,MONTH(A4759)))))</f>
        <v/>
      </c>
    </row>
    <row r="4760" customFormat="false" ht="15" hidden="false" customHeight="false" outlineLevel="0" collapsed="false">
      <c r="H4760" s="0" t="str">
        <f aca="false">IF(B4760="","",IF(COUNTIF(Campaigns!$A$7:$A$300,B4760)&gt;0,"✓","⚠ add to Campaigns tab"))</f>
        <v/>
      </c>
      <c r="I4760" s="84" t="str">
        <f aca="false">IF(C4760="","",C4760*IF(Settings!$B$23=Settings!$C$6,1,IF(Settings!$B$23="USD",1/INDEX(Settings!$B$29:$B$40,MONTH(A4760)),INDEX(Settings!$B$29:$B$40,MONTH(A4760)))))</f>
        <v/>
      </c>
    </row>
    <row r="4761" customFormat="false" ht="15" hidden="false" customHeight="false" outlineLevel="0" collapsed="false">
      <c r="H4761" s="0" t="str">
        <f aca="false">IF(B4761="","",IF(COUNTIF(Campaigns!$A$7:$A$300,B4761)&gt;0,"✓","⚠ add to Campaigns tab"))</f>
        <v/>
      </c>
      <c r="I4761" s="84" t="str">
        <f aca="false">IF(C4761="","",C4761*IF(Settings!$B$23=Settings!$C$6,1,IF(Settings!$B$23="USD",1/INDEX(Settings!$B$29:$B$40,MONTH(A4761)),INDEX(Settings!$B$29:$B$40,MONTH(A4761)))))</f>
        <v/>
      </c>
    </row>
    <row r="4762" customFormat="false" ht="15" hidden="false" customHeight="false" outlineLevel="0" collapsed="false">
      <c r="H4762" s="0" t="str">
        <f aca="false">IF(B4762="","",IF(COUNTIF(Campaigns!$A$7:$A$300,B4762)&gt;0,"✓","⚠ add to Campaigns tab"))</f>
        <v/>
      </c>
      <c r="I4762" s="84" t="str">
        <f aca="false">IF(C4762="","",C4762*IF(Settings!$B$23=Settings!$C$6,1,IF(Settings!$B$23="USD",1/INDEX(Settings!$B$29:$B$40,MONTH(A4762)),INDEX(Settings!$B$29:$B$40,MONTH(A4762)))))</f>
        <v/>
      </c>
    </row>
    <row r="4763" customFormat="false" ht="15" hidden="false" customHeight="false" outlineLevel="0" collapsed="false">
      <c r="H4763" s="0" t="str">
        <f aca="false">IF(B4763="","",IF(COUNTIF(Campaigns!$A$7:$A$300,B4763)&gt;0,"✓","⚠ add to Campaigns tab"))</f>
        <v/>
      </c>
      <c r="I4763" s="84" t="str">
        <f aca="false">IF(C4763="","",C4763*IF(Settings!$B$23=Settings!$C$6,1,IF(Settings!$B$23="USD",1/INDEX(Settings!$B$29:$B$40,MONTH(A4763)),INDEX(Settings!$B$29:$B$40,MONTH(A4763)))))</f>
        <v/>
      </c>
    </row>
    <row r="4764" customFormat="false" ht="15" hidden="false" customHeight="false" outlineLevel="0" collapsed="false">
      <c r="H4764" s="0" t="str">
        <f aca="false">IF(B4764="","",IF(COUNTIF(Campaigns!$A$7:$A$300,B4764)&gt;0,"✓","⚠ add to Campaigns tab"))</f>
        <v/>
      </c>
      <c r="I4764" s="84" t="str">
        <f aca="false">IF(C4764="","",C4764*IF(Settings!$B$23=Settings!$C$6,1,IF(Settings!$B$23="USD",1/INDEX(Settings!$B$29:$B$40,MONTH(A4764)),INDEX(Settings!$B$29:$B$40,MONTH(A4764)))))</f>
        <v/>
      </c>
    </row>
    <row r="4765" customFormat="false" ht="15" hidden="false" customHeight="false" outlineLevel="0" collapsed="false">
      <c r="H4765" s="0" t="str">
        <f aca="false">IF(B4765="","",IF(COUNTIF(Campaigns!$A$7:$A$300,B4765)&gt;0,"✓","⚠ add to Campaigns tab"))</f>
        <v/>
      </c>
      <c r="I4765" s="84" t="str">
        <f aca="false">IF(C4765="","",C4765*IF(Settings!$B$23=Settings!$C$6,1,IF(Settings!$B$23="USD",1/INDEX(Settings!$B$29:$B$40,MONTH(A4765)),INDEX(Settings!$B$29:$B$40,MONTH(A4765)))))</f>
        <v/>
      </c>
    </row>
    <row r="4766" customFormat="false" ht="15" hidden="false" customHeight="false" outlineLevel="0" collapsed="false">
      <c r="H4766" s="0" t="str">
        <f aca="false">IF(B4766="","",IF(COUNTIF(Campaigns!$A$7:$A$300,B4766)&gt;0,"✓","⚠ add to Campaigns tab"))</f>
        <v/>
      </c>
      <c r="I4766" s="84" t="str">
        <f aca="false">IF(C4766="","",C4766*IF(Settings!$B$23=Settings!$C$6,1,IF(Settings!$B$23="USD",1/INDEX(Settings!$B$29:$B$40,MONTH(A4766)),INDEX(Settings!$B$29:$B$40,MONTH(A4766)))))</f>
        <v/>
      </c>
    </row>
    <row r="4767" customFormat="false" ht="15" hidden="false" customHeight="false" outlineLevel="0" collapsed="false">
      <c r="H4767" s="0" t="str">
        <f aca="false">IF(B4767="","",IF(COUNTIF(Campaigns!$A$7:$A$300,B4767)&gt;0,"✓","⚠ add to Campaigns tab"))</f>
        <v/>
      </c>
      <c r="I4767" s="84" t="str">
        <f aca="false">IF(C4767="","",C4767*IF(Settings!$B$23=Settings!$C$6,1,IF(Settings!$B$23="USD",1/INDEX(Settings!$B$29:$B$40,MONTH(A4767)),INDEX(Settings!$B$29:$B$40,MONTH(A4767)))))</f>
        <v/>
      </c>
    </row>
    <row r="4768" customFormat="false" ht="15" hidden="false" customHeight="false" outlineLevel="0" collapsed="false">
      <c r="H4768" s="0" t="str">
        <f aca="false">IF(B4768="","",IF(COUNTIF(Campaigns!$A$7:$A$300,B4768)&gt;0,"✓","⚠ add to Campaigns tab"))</f>
        <v/>
      </c>
      <c r="I4768" s="84" t="str">
        <f aca="false">IF(C4768="","",C4768*IF(Settings!$B$23=Settings!$C$6,1,IF(Settings!$B$23="USD",1/INDEX(Settings!$B$29:$B$40,MONTH(A4768)),INDEX(Settings!$B$29:$B$40,MONTH(A4768)))))</f>
        <v/>
      </c>
    </row>
    <row r="4769" customFormat="false" ht="15" hidden="false" customHeight="false" outlineLevel="0" collapsed="false">
      <c r="H4769" s="0" t="str">
        <f aca="false">IF(B4769="","",IF(COUNTIF(Campaigns!$A$7:$A$300,B4769)&gt;0,"✓","⚠ add to Campaigns tab"))</f>
        <v/>
      </c>
      <c r="I4769" s="84" t="str">
        <f aca="false">IF(C4769="","",C4769*IF(Settings!$B$23=Settings!$C$6,1,IF(Settings!$B$23="USD",1/INDEX(Settings!$B$29:$B$40,MONTH(A4769)),INDEX(Settings!$B$29:$B$40,MONTH(A4769)))))</f>
        <v/>
      </c>
    </row>
    <row r="4770" customFormat="false" ht="15" hidden="false" customHeight="false" outlineLevel="0" collapsed="false">
      <c r="H4770" s="0" t="str">
        <f aca="false">IF(B4770="","",IF(COUNTIF(Campaigns!$A$7:$A$300,B4770)&gt;0,"✓","⚠ add to Campaigns tab"))</f>
        <v/>
      </c>
      <c r="I4770" s="84" t="str">
        <f aca="false">IF(C4770="","",C4770*IF(Settings!$B$23=Settings!$C$6,1,IF(Settings!$B$23="USD",1/INDEX(Settings!$B$29:$B$40,MONTH(A4770)),INDEX(Settings!$B$29:$B$40,MONTH(A4770)))))</f>
        <v/>
      </c>
    </row>
    <row r="4771" customFormat="false" ht="15" hidden="false" customHeight="false" outlineLevel="0" collapsed="false">
      <c r="H4771" s="0" t="str">
        <f aca="false">IF(B4771="","",IF(COUNTIF(Campaigns!$A$7:$A$300,B4771)&gt;0,"✓","⚠ add to Campaigns tab"))</f>
        <v/>
      </c>
      <c r="I4771" s="84" t="str">
        <f aca="false">IF(C4771="","",C4771*IF(Settings!$B$23=Settings!$C$6,1,IF(Settings!$B$23="USD",1/INDEX(Settings!$B$29:$B$40,MONTH(A4771)),INDEX(Settings!$B$29:$B$40,MONTH(A4771)))))</f>
        <v/>
      </c>
    </row>
    <row r="4772" customFormat="false" ht="15" hidden="false" customHeight="false" outlineLevel="0" collapsed="false">
      <c r="H4772" s="0" t="str">
        <f aca="false">IF(B4772="","",IF(COUNTIF(Campaigns!$A$7:$A$300,B4772)&gt;0,"✓","⚠ add to Campaigns tab"))</f>
        <v/>
      </c>
      <c r="I4772" s="84" t="str">
        <f aca="false">IF(C4772="","",C4772*IF(Settings!$B$23=Settings!$C$6,1,IF(Settings!$B$23="USD",1/INDEX(Settings!$B$29:$B$40,MONTH(A4772)),INDEX(Settings!$B$29:$B$40,MONTH(A4772)))))</f>
        <v/>
      </c>
    </row>
    <row r="4773" customFormat="false" ht="15" hidden="false" customHeight="false" outlineLevel="0" collapsed="false">
      <c r="H4773" s="0" t="str">
        <f aca="false">IF(B4773="","",IF(COUNTIF(Campaigns!$A$7:$A$300,B4773)&gt;0,"✓","⚠ add to Campaigns tab"))</f>
        <v/>
      </c>
      <c r="I4773" s="84" t="str">
        <f aca="false">IF(C4773="","",C4773*IF(Settings!$B$23=Settings!$C$6,1,IF(Settings!$B$23="USD",1/INDEX(Settings!$B$29:$B$40,MONTH(A4773)),INDEX(Settings!$B$29:$B$40,MONTH(A4773)))))</f>
        <v/>
      </c>
    </row>
    <row r="4774" customFormat="false" ht="15" hidden="false" customHeight="false" outlineLevel="0" collapsed="false">
      <c r="H4774" s="0" t="str">
        <f aca="false">IF(B4774="","",IF(COUNTIF(Campaigns!$A$7:$A$300,B4774)&gt;0,"✓","⚠ add to Campaigns tab"))</f>
        <v/>
      </c>
      <c r="I4774" s="84" t="str">
        <f aca="false">IF(C4774="","",C4774*IF(Settings!$B$23=Settings!$C$6,1,IF(Settings!$B$23="USD",1/INDEX(Settings!$B$29:$B$40,MONTH(A4774)),INDEX(Settings!$B$29:$B$40,MONTH(A4774)))))</f>
        <v/>
      </c>
    </row>
    <row r="4775" customFormat="false" ht="15" hidden="false" customHeight="false" outlineLevel="0" collapsed="false">
      <c r="H4775" s="0" t="str">
        <f aca="false">IF(B4775="","",IF(COUNTIF(Campaigns!$A$7:$A$300,B4775)&gt;0,"✓","⚠ add to Campaigns tab"))</f>
        <v/>
      </c>
      <c r="I4775" s="84" t="str">
        <f aca="false">IF(C4775="","",C4775*IF(Settings!$B$23=Settings!$C$6,1,IF(Settings!$B$23="USD",1/INDEX(Settings!$B$29:$B$40,MONTH(A4775)),INDEX(Settings!$B$29:$B$40,MONTH(A4775)))))</f>
        <v/>
      </c>
    </row>
    <row r="4776" customFormat="false" ht="15" hidden="false" customHeight="false" outlineLevel="0" collapsed="false">
      <c r="H4776" s="0" t="str">
        <f aca="false">IF(B4776="","",IF(COUNTIF(Campaigns!$A$7:$A$300,B4776)&gt;0,"✓","⚠ add to Campaigns tab"))</f>
        <v/>
      </c>
      <c r="I4776" s="84" t="str">
        <f aca="false">IF(C4776="","",C4776*IF(Settings!$B$23=Settings!$C$6,1,IF(Settings!$B$23="USD",1/INDEX(Settings!$B$29:$B$40,MONTH(A4776)),INDEX(Settings!$B$29:$B$40,MONTH(A4776)))))</f>
        <v/>
      </c>
    </row>
    <row r="4777" customFormat="false" ht="15" hidden="false" customHeight="false" outlineLevel="0" collapsed="false">
      <c r="H4777" s="0" t="str">
        <f aca="false">IF(B4777="","",IF(COUNTIF(Campaigns!$A$7:$A$300,B4777)&gt;0,"✓","⚠ add to Campaigns tab"))</f>
        <v/>
      </c>
      <c r="I4777" s="84" t="str">
        <f aca="false">IF(C4777="","",C4777*IF(Settings!$B$23=Settings!$C$6,1,IF(Settings!$B$23="USD",1/INDEX(Settings!$B$29:$B$40,MONTH(A4777)),INDEX(Settings!$B$29:$B$40,MONTH(A4777)))))</f>
        <v/>
      </c>
    </row>
    <row r="4778" customFormat="false" ht="15" hidden="false" customHeight="false" outlineLevel="0" collapsed="false">
      <c r="H4778" s="0" t="str">
        <f aca="false">IF(B4778="","",IF(COUNTIF(Campaigns!$A$7:$A$300,B4778)&gt;0,"✓","⚠ add to Campaigns tab"))</f>
        <v/>
      </c>
      <c r="I4778" s="84" t="str">
        <f aca="false">IF(C4778="","",C4778*IF(Settings!$B$23=Settings!$C$6,1,IF(Settings!$B$23="USD",1/INDEX(Settings!$B$29:$B$40,MONTH(A4778)),INDEX(Settings!$B$29:$B$40,MONTH(A4778)))))</f>
        <v/>
      </c>
    </row>
    <row r="4779" customFormat="false" ht="15" hidden="false" customHeight="false" outlineLevel="0" collapsed="false">
      <c r="H4779" s="0" t="str">
        <f aca="false">IF(B4779="","",IF(COUNTIF(Campaigns!$A$7:$A$300,B4779)&gt;0,"✓","⚠ add to Campaigns tab"))</f>
        <v/>
      </c>
      <c r="I4779" s="84" t="str">
        <f aca="false">IF(C4779="","",C4779*IF(Settings!$B$23=Settings!$C$6,1,IF(Settings!$B$23="USD",1/INDEX(Settings!$B$29:$B$40,MONTH(A4779)),INDEX(Settings!$B$29:$B$40,MONTH(A4779)))))</f>
        <v/>
      </c>
    </row>
    <row r="4780" customFormat="false" ht="15" hidden="false" customHeight="false" outlineLevel="0" collapsed="false">
      <c r="H4780" s="0" t="str">
        <f aca="false">IF(B4780="","",IF(COUNTIF(Campaigns!$A$7:$A$300,B4780)&gt;0,"✓","⚠ add to Campaigns tab"))</f>
        <v/>
      </c>
      <c r="I4780" s="84" t="str">
        <f aca="false">IF(C4780="","",C4780*IF(Settings!$B$23=Settings!$C$6,1,IF(Settings!$B$23="USD",1/INDEX(Settings!$B$29:$B$40,MONTH(A4780)),INDEX(Settings!$B$29:$B$40,MONTH(A4780)))))</f>
        <v/>
      </c>
    </row>
    <row r="4781" customFormat="false" ht="15" hidden="false" customHeight="false" outlineLevel="0" collapsed="false">
      <c r="H4781" s="0" t="str">
        <f aca="false">IF(B4781="","",IF(COUNTIF(Campaigns!$A$7:$A$300,B4781)&gt;0,"✓","⚠ add to Campaigns tab"))</f>
        <v/>
      </c>
      <c r="I4781" s="84" t="str">
        <f aca="false">IF(C4781="","",C4781*IF(Settings!$B$23=Settings!$C$6,1,IF(Settings!$B$23="USD",1/INDEX(Settings!$B$29:$B$40,MONTH(A4781)),INDEX(Settings!$B$29:$B$40,MONTH(A4781)))))</f>
        <v/>
      </c>
    </row>
    <row r="4782" customFormat="false" ht="15" hidden="false" customHeight="false" outlineLevel="0" collapsed="false">
      <c r="H4782" s="0" t="str">
        <f aca="false">IF(B4782="","",IF(COUNTIF(Campaigns!$A$7:$A$300,B4782)&gt;0,"✓","⚠ add to Campaigns tab"))</f>
        <v/>
      </c>
      <c r="I4782" s="84" t="str">
        <f aca="false">IF(C4782="","",C4782*IF(Settings!$B$23=Settings!$C$6,1,IF(Settings!$B$23="USD",1/INDEX(Settings!$B$29:$B$40,MONTH(A4782)),INDEX(Settings!$B$29:$B$40,MONTH(A4782)))))</f>
        <v/>
      </c>
    </row>
    <row r="4783" customFormat="false" ht="15" hidden="false" customHeight="false" outlineLevel="0" collapsed="false">
      <c r="H4783" s="0" t="str">
        <f aca="false">IF(B4783="","",IF(COUNTIF(Campaigns!$A$7:$A$300,B4783)&gt;0,"✓","⚠ add to Campaigns tab"))</f>
        <v/>
      </c>
      <c r="I4783" s="84" t="str">
        <f aca="false">IF(C4783="","",C4783*IF(Settings!$B$23=Settings!$C$6,1,IF(Settings!$B$23="USD",1/INDEX(Settings!$B$29:$B$40,MONTH(A4783)),INDEX(Settings!$B$29:$B$40,MONTH(A4783)))))</f>
        <v/>
      </c>
    </row>
    <row r="4784" customFormat="false" ht="15" hidden="false" customHeight="false" outlineLevel="0" collapsed="false">
      <c r="H4784" s="0" t="str">
        <f aca="false">IF(B4784="","",IF(COUNTIF(Campaigns!$A$7:$A$300,B4784)&gt;0,"✓","⚠ add to Campaigns tab"))</f>
        <v/>
      </c>
      <c r="I4784" s="84" t="str">
        <f aca="false">IF(C4784="","",C4784*IF(Settings!$B$23=Settings!$C$6,1,IF(Settings!$B$23="USD",1/INDEX(Settings!$B$29:$B$40,MONTH(A4784)),INDEX(Settings!$B$29:$B$40,MONTH(A4784)))))</f>
        <v/>
      </c>
    </row>
    <row r="4785" customFormat="false" ht="15" hidden="false" customHeight="false" outlineLevel="0" collapsed="false">
      <c r="H4785" s="0" t="str">
        <f aca="false">IF(B4785="","",IF(COUNTIF(Campaigns!$A$7:$A$300,B4785)&gt;0,"✓","⚠ add to Campaigns tab"))</f>
        <v/>
      </c>
      <c r="I4785" s="84" t="str">
        <f aca="false">IF(C4785="","",C4785*IF(Settings!$B$23=Settings!$C$6,1,IF(Settings!$B$23="USD",1/INDEX(Settings!$B$29:$B$40,MONTH(A4785)),INDEX(Settings!$B$29:$B$40,MONTH(A4785)))))</f>
        <v/>
      </c>
    </row>
    <row r="4786" customFormat="false" ht="15" hidden="false" customHeight="false" outlineLevel="0" collapsed="false">
      <c r="H4786" s="0" t="str">
        <f aca="false">IF(B4786="","",IF(COUNTIF(Campaigns!$A$7:$A$300,B4786)&gt;0,"✓","⚠ add to Campaigns tab"))</f>
        <v/>
      </c>
      <c r="I4786" s="84" t="str">
        <f aca="false">IF(C4786="","",C4786*IF(Settings!$B$23=Settings!$C$6,1,IF(Settings!$B$23="USD",1/INDEX(Settings!$B$29:$B$40,MONTH(A4786)),INDEX(Settings!$B$29:$B$40,MONTH(A4786)))))</f>
        <v/>
      </c>
    </row>
    <row r="4787" customFormat="false" ht="15" hidden="false" customHeight="false" outlineLevel="0" collapsed="false">
      <c r="H4787" s="0" t="str">
        <f aca="false">IF(B4787="","",IF(COUNTIF(Campaigns!$A$7:$A$300,B4787)&gt;0,"✓","⚠ add to Campaigns tab"))</f>
        <v/>
      </c>
      <c r="I4787" s="84" t="str">
        <f aca="false">IF(C4787="","",C4787*IF(Settings!$B$23=Settings!$C$6,1,IF(Settings!$B$23="USD",1/INDEX(Settings!$B$29:$B$40,MONTH(A4787)),INDEX(Settings!$B$29:$B$40,MONTH(A4787)))))</f>
        <v/>
      </c>
    </row>
    <row r="4788" customFormat="false" ht="15" hidden="false" customHeight="false" outlineLevel="0" collapsed="false">
      <c r="H4788" s="0" t="str">
        <f aca="false">IF(B4788="","",IF(COUNTIF(Campaigns!$A$7:$A$300,B4788)&gt;0,"✓","⚠ add to Campaigns tab"))</f>
        <v/>
      </c>
      <c r="I4788" s="84" t="str">
        <f aca="false">IF(C4788="","",C4788*IF(Settings!$B$23=Settings!$C$6,1,IF(Settings!$B$23="USD",1/INDEX(Settings!$B$29:$B$40,MONTH(A4788)),INDEX(Settings!$B$29:$B$40,MONTH(A4788)))))</f>
        <v/>
      </c>
    </row>
    <row r="4789" customFormat="false" ht="15" hidden="false" customHeight="false" outlineLevel="0" collapsed="false">
      <c r="H4789" s="0" t="str">
        <f aca="false">IF(B4789="","",IF(COUNTIF(Campaigns!$A$7:$A$300,B4789)&gt;0,"✓","⚠ add to Campaigns tab"))</f>
        <v/>
      </c>
      <c r="I4789" s="84" t="str">
        <f aca="false">IF(C4789="","",C4789*IF(Settings!$B$23=Settings!$C$6,1,IF(Settings!$B$23="USD",1/INDEX(Settings!$B$29:$B$40,MONTH(A4789)),INDEX(Settings!$B$29:$B$40,MONTH(A4789)))))</f>
        <v/>
      </c>
    </row>
    <row r="4790" customFormat="false" ht="15" hidden="false" customHeight="false" outlineLevel="0" collapsed="false">
      <c r="H4790" s="0" t="str">
        <f aca="false">IF(B4790="","",IF(COUNTIF(Campaigns!$A$7:$A$300,B4790)&gt;0,"✓","⚠ add to Campaigns tab"))</f>
        <v/>
      </c>
      <c r="I4790" s="84" t="str">
        <f aca="false">IF(C4790="","",C4790*IF(Settings!$B$23=Settings!$C$6,1,IF(Settings!$B$23="USD",1/INDEX(Settings!$B$29:$B$40,MONTH(A4790)),INDEX(Settings!$B$29:$B$40,MONTH(A4790)))))</f>
        <v/>
      </c>
    </row>
    <row r="4791" customFormat="false" ht="15" hidden="false" customHeight="false" outlineLevel="0" collapsed="false">
      <c r="H4791" s="0" t="str">
        <f aca="false">IF(B4791="","",IF(COUNTIF(Campaigns!$A$7:$A$300,B4791)&gt;0,"✓","⚠ add to Campaigns tab"))</f>
        <v/>
      </c>
      <c r="I4791" s="84" t="str">
        <f aca="false">IF(C4791="","",C4791*IF(Settings!$B$23=Settings!$C$6,1,IF(Settings!$B$23="USD",1/INDEX(Settings!$B$29:$B$40,MONTH(A4791)),INDEX(Settings!$B$29:$B$40,MONTH(A4791)))))</f>
        <v/>
      </c>
    </row>
    <row r="4792" customFormat="false" ht="15" hidden="false" customHeight="false" outlineLevel="0" collapsed="false">
      <c r="H4792" s="0" t="str">
        <f aca="false">IF(B4792="","",IF(COUNTIF(Campaigns!$A$7:$A$300,B4792)&gt;0,"✓","⚠ add to Campaigns tab"))</f>
        <v/>
      </c>
      <c r="I4792" s="84" t="str">
        <f aca="false">IF(C4792="","",C4792*IF(Settings!$B$23=Settings!$C$6,1,IF(Settings!$B$23="USD",1/INDEX(Settings!$B$29:$B$40,MONTH(A4792)),INDEX(Settings!$B$29:$B$40,MONTH(A4792)))))</f>
        <v/>
      </c>
    </row>
    <row r="4793" customFormat="false" ht="15" hidden="false" customHeight="false" outlineLevel="0" collapsed="false">
      <c r="H4793" s="0" t="str">
        <f aca="false">IF(B4793="","",IF(COUNTIF(Campaigns!$A$7:$A$300,B4793)&gt;0,"✓","⚠ add to Campaigns tab"))</f>
        <v/>
      </c>
      <c r="I4793" s="84" t="str">
        <f aca="false">IF(C4793="","",C4793*IF(Settings!$B$23=Settings!$C$6,1,IF(Settings!$B$23="USD",1/INDEX(Settings!$B$29:$B$40,MONTH(A4793)),INDEX(Settings!$B$29:$B$40,MONTH(A4793)))))</f>
        <v/>
      </c>
    </row>
    <row r="4794" customFormat="false" ht="15" hidden="false" customHeight="false" outlineLevel="0" collapsed="false">
      <c r="H4794" s="0" t="str">
        <f aca="false">IF(B4794="","",IF(COUNTIF(Campaigns!$A$7:$A$300,B4794)&gt;0,"✓","⚠ add to Campaigns tab"))</f>
        <v/>
      </c>
      <c r="I4794" s="84" t="str">
        <f aca="false">IF(C4794="","",C4794*IF(Settings!$B$23=Settings!$C$6,1,IF(Settings!$B$23="USD",1/INDEX(Settings!$B$29:$B$40,MONTH(A4794)),INDEX(Settings!$B$29:$B$40,MONTH(A4794)))))</f>
        <v/>
      </c>
    </row>
    <row r="4795" customFormat="false" ht="15" hidden="false" customHeight="false" outlineLevel="0" collapsed="false">
      <c r="H4795" s="0" t="str">
        <f aca="false">IF(B4795="","",IF(COUNTIF(Campaigns!$A$7:$A$300,B4795)&gt;0,"✓","⚠ add to Campaigns tab"))</f>
        <v/>
      </c>
      <c r="I4795" s="84" t="str">
        <f aca="false">IF(C4795="","",C4795*IF(Settings!$B$23=Settings!$C$6,1,IF(Settings!$B$23="USD",1/INDEX(Settings!$B$29:$B$40,MONTH(A4795)),INDEX(Settings!$B$29:$B$40,MONTH(A4795)))))</f>
        <v/>
      </c>
    </row>
    <row r="4796" customFormat="false" ht="15" hidden="false" customHeight="false" outlineLevel="0" collapsed="false">
      <c r="H4796" s="0" t="str">
        <f aca="false">IF(B4796="","",IF(COUNTIF(Campaigns!$A$7:$A$300,B4796)&gt;0,"✓","⚠ add to Campaigns tab"))</f>
        <v/>
      </c>
      <c r="I4796" s="84" t="str">
        <f aca="false">IF(C4796="","",C4796*IF(Settings!$B$23=Settings!$C$6,1,IF(Settings!$B$23="USD",1/INDEX(Settings!$B$29:$B$40,MONTH(A4796)),INDEX(Settings!$B$29:$B$40,MONTH(A4796)))))</f>
        <v/>
      </c>
    </row>
    <row r="4797" customFormat="false" ht="15" hidden="false" customHeight="false" outlineLevel="0" collapsed="false">
      <c r="H4797" s="0" t="str">
        <f aca="false">IF(B4797="","",IF(COUNTIF(Campaigns!$A$7:$A$300,B4797)&gt;0,"✓","⚠ add to Campaigns tab"))</f>
        <v/>
      </c>
      <c r="I4797" s="84" t="str">
        <f aca="false">IF(C4797="","",C4797*IF(Settings!$B$23=Settings!$C$6,1,IF(Settings!$B$23="USD",1/INDEX(Settings!$B$29:$B$40,MONTH(A4797)),INDEX(Settings!$B$29:$B$40,MONTH(A4797)))))</f>
        <v/>
      </c>
    </row>
    <row r="4798" customFormat="false" ht="15" hidden="false" customHeight="false" outlineLevel="0" collapsed="false">
      <c r="H4798" s="0" t="str">
        <f aca="false">IF(B4798="","",IF(COUNTIF(Campaigns!$A$7:$A$300,B4798)&gt;0,"✓","⚠ add to Campaigns tab"))</f>
        <v/>
      </c>
      <c r="I4798" s="84" t="str">
        <f aca="false">IF(C4798="","",C4798*IF(Settings!$B$23=Settings!$C$6,1,IF(Settings!$B$23="USD",1/INDEX(Settings!$B$29:$B$40,MONTH(A4798)),INDEX(Settings!$B$29:$B$40,MONTH(A4798)))))</f>
        <v/>
      </c>
    </row>
    <row r="4799" customFormat="false" ht="15" hidden="false" customHeight="false" outlineLevel="0" collapsed="false">
      <c r="H4799" s="0" t="str">
        <f aca="false">IF(B4799="","",IF(COUNTIF(Campaigns!$A$7:$A$300,B4799)&gt;0,"✓","⚠ add to Campaigns tab"))</f>
        <v/>
      </c>
      <c r="I4799" s="84" t="str">
        <f aca="false">IF(C4799="","",C4799*IF(Settings!$B$23=Settings!$C$6,1,IF(Settings!$B$23="USD",1/INDEX(Settings!$B$29:$B$40,MONTH(A4799)),INDEX(Settings!$B$29:$B$40,MONTH(A4799)))))</f>
        <v/>
      </c>
    </row>
    <row r="4800" customFormat="false" ht="15" hidden="false" customHeight="false" outlineLevel="0" collapsed="false">
      <c r="H4800" s="0" t="str">
        <f aca="false">IF(B4800="","",IF(COUNTIF(Campaigns!$A$7:$A$300,B4800)&gt;0,"✓","⚠ add to Campaigns tab"))</f>
        <v/>
      </c>
      <c r="I4800" s="84" t="str">
        <f aca="false">IF(C4800="","",C4800*IF(Settings!$B$23=Settings!$C$6,1,IF(Settings!$B$23="USD",1/INDEX(Settings!$B$29:$B$40,MONTH(A4800)),INDEX(Settings!$B$29:$B$40,MONTH(A4800)))))</f>
        <v/>
      </c>
    </row>
    <row r="4801" customFormat="false" ht="15" hidden="false" customHeight="false" outlineLevel="0" collapsed="false">
      <c r="H4801" s="0" t="str">
        <f aca="false">IF(B4801="","",IF(COUNTIF(Campaigns!$A$7:$A$300,B4801)&gt;0,"✓","⚠ add to Campaigns tab"))</f>
        <v/>
      </c>
      <c r="I4801" s="84" t="str">
        <f aca="false">IF(C4801="","",C4801*IF(Settings!$B$23=Settings!$C$6,1,IF(Settings!$B$23="USD",1/INDEX(Settings!$B$29:$B$40,MONTH(A4801)),INDEX(Settings!$B$29:$B$40,MONTH(A4801)))))</f>
        <v/>
      </c>
    </row>
    <row r="4802" customFormat="false" ht="15" hidden="false" customHeight="false" outlineLevel="0" collapsed="false">
      <c r="H4802" s="0" t="str">
        <f aca="false">IF(B4802="","",IF(COUNTIF(Campaigns!$A$7:$A$300,B4802)&gt;0,"✓","⚠ add to Campaigns tab"))</f>
        <v/>
      </c>
      <c r="I4802" s="84" t="str">
        <f aca="false">IF(C4802="","",C4802*IF(Settings!$B$23=Settings!$C$6,1,IF(Settings!$B$23="USD",1/INDEX(Settings!$B$29:$B$40,MONTH(A4802)),INDEX(Settings!$B$29:$B$40,MONTH(A4802)))))</f>
        <v/>
      </c>
    </row>
    <row r="4803" customFormat="false" ht="15" hidden="false" customHeight="false" outlineLevel="0" collapsed="false">
      <c r="H4803" s="0" t="str">
        <f aca="false">IF(B4803="","",IF(COUNTIF(Campaigns!$A$7:$A$300,B4803)&gt;0,"✓","⚠ add to Campaigns tab"))</f>
        <v/>
      </c>
      <c r="I4803" s="84" t="str">
        <f aca="false">IF(C4803="","",C4803*IF(Settings!$B$23=Settings!$C$6,1,IF(Settings!$B$23="USD",1/INDEX(Settings!$B$29:$B$40,MONTH(A4803)),INDEX(Settings!$B$29:$B$40,MONTH(A4803)))))</f>
        <v/>
      </c>
    </row>
    <row r="4804" customFormat="false" ht="15" hidden="false" customHeight="false" outlineLevel="0" collapsed="false">
      <c r="H4804" s="0" t="str">
        <f aca="false">IF(B4804="","",IF(COUNTIF(Campaigns!$A$7:$A$300,B4804)&gt;0,"✓","⚠ add to Campaigns tab"))</f>
        <v/>
      </c>
      <c r="I4804" s="84" t="str">
        <f aca="false">IF(C4804="","",C4804*IF(Settings!$B$23=Settings!$C$6,1,IF(Settings!$B$23="USD",1/INDEX(Settings!$B$29:$B$40,MONTH(A4804)),INDEX(Settings!$B$29:$B$40,MONTH(A4804)))))</f>
        <v/>
      </c>
    </row>
    <row r="4805" customFormat="false" ht="15" hidden="false" customHeight="false" outlineLevel="0" collapsed="false">
      <c r="H4805" s="0" t="str">
        <f aca="false">IF(B4805="","",IF(COUNTIF(Campaigns!$A$7:$A$300,B4805)&gt;0,"✓","⚠ add to Campaigns tab"))</f>
        <v/>
      </c>
      <c r="I4805" s="84" t="str">
        <f aca="false">IF(C4805="","",C4805*IF(Settings!$B$23=Settings!$C$6,1,IF(Settings!$B$23="USD",1/INDEX(Settings!$B$29:$B$40,MONTH(A4805)),INDEX(Settings!$B$29:$B$40,MONTH(A4805)))))</f>
        <v/>
      </c>
    </row>
    <row r="4806" customFormat="false" ht="15" hidden="false" customHeight="false" outlineLevel="0" collapsed="false">
      <c r="H4806" s="0" t="str">
        <f aca="false">IF(B4806="","",IF(COUNTIF(Campaigns!$A$7:$A$300,B4806)&gt;0,"✓","⚠ add to Campaigns tab"))</f>
        <v/>
      </c>
      <c r="I4806" s="84" t="str">
        <f aca="false">IF(C4806="","",C4806*IF(Settings!$B$23=Settings!$C$6,1,IF(Settings!$B$23="USD",1/INDEX(Settings!$B$29:$B$40,MONTH(A4806)),INDEX(Settings!$B$29:$B$40,MONTH(A4806)))))</f>
        <v/>
      </c>
    </row>
    <row r="4807" customFormat="false" ht="15" hidden="false" customHeight="false" outlineLevel="0" collapsed="false">
      <c r="H4807" s="0" t="str">
        <f aca="false">IF(B4807="","",IF(COUNTIF(Campaigns!$A$7:$A$300,B4807)&gt;0,"✓","⚠ add to Campaigns tab"))</f>
        <v/>
      </c>
      <c r="I4807" s="84" t="str">
        <f aca="false">IF(C4807="","",C4807*IF(Settings!$B$23=Settings!$C$6,1,IF(Settings!$B$23="USD",1/INDEX(Settings!$B$29:$B$40,MONTH(A4807)),INDEX(Settings!$B$29:$B$40,MONTH(A4807)))))</f>
        <v/>
      </c>
    </row>
    <row r="4808" customFormat="false" ht="15" hidden="false" customHeight="false" outlineLevel="0" collapsed="false">
      <c r="H4808" s="0" t="str">
        <f aca="false">IF(B4808="","",IF(COUNTIF(Campaigns!$A$7:$A$300,B4808)&gt;0,"✓","⚠ add to Campaigns tab"))</f>
        <v/>
      </c>
      <c r="I4808" s="84" t="str">
        <f aca="false">IF(C4808="","",C4808*IF(Settings!$B$23=Settings!$C$6,1,IF(Settings!$B$23="USD",1/INDEX(Settings!$B$29:$B$40,MONTH(A4808)),INDEX(Settings!$B$29:$B$40,MONTH(A4808)))))</f>
        <v/>
      </c>
    </row>
    <row r="4809" customFormat="false" ht="15" hidden="false" customHeight="false" outlineLevel="0" collapsed="false">
      <c r="H4809" s="0" t="str">
        <f aca="false">IF(B4809="","",IF(COUNTIF(Campaigns!$A$7:$A$300,B4809)&gt;0,"✓","⚠ add to Campaigns tab"))</f>
        <v/>
      </c>
      <c r="I4809" s="84" t="str">
        <f aca="false">IF(C4809="","",C4809*IF(Settings!$B$23=Settings!$C$6,1,IF(Settings!$B$23="USD",1/INDEX(Settings!$B$29:$B$40,MONTH(A4809)),INDEX(Settings!$B$29:$B$40,MONTH(A4809)))))</f>
        <v/>
      </c>
    </row>
    <row r="4810" customFormat="false" ht="15" hidden="false" customHeight="false" outlineLevel="0" collapsed="false">
      <c r="H4810" s="0" t="str">
        <f aca="false">IF(B4810="","",IF(COUNTIF(Campaigns!$A$7:$A$300,B4810)&gt;0,"✓","⚠ add to Campaigns tab"))</f>
        <v/>
      </c>
      <c r="I4810" s="84" t="str">
        <f aca="false">IF(C4810="","",C4810*IF(Settings!$B$23=Settings!$C$6,1,IF(Settings!$B$23="USD",1/INDEX(Settings!$B$29:$B$40,MONTH(A4810)),INDEX(Settings!$B$29:$B$40,MONTH(A4810)))))</f>
        <v/>
      </c>
    </row>
    <row r="4811" customFormat="false" ht="15" hidden="false" customHeight="false" outlineLevel="0" collapsed="false">
      <c r="H4811" s="0" t="str">
        <f aca="false">IF(B4811="","",IF(COUNTIF(Campaigns!$A$7:$A$300,B4811)&gt;0,"✓","⚠ add to Campaigns tab"))</f>
        <v/>
      </c>
      <c r="I4811" s="84" t="str">
        <f aca="false">IF(C4811="","",C4811*IF(Settings!$B$23=Settings!$C$6,1,IF(Settings!$B$23="USD",1/INDEX(Settings!$B$29:$B$40,MONTH(A4811)),INDEX(Settings!$B$29:$B$40,MONTH(A4811)))))</f>
        <v/>
      </c>
    </row>
    <row r="4812" customFormat="false" ht="15" hidden="false" customHeight="false" outlineLevel="0" collapsed="false">
      <c r="H4812" s="0" t="str">
        <f aca="false">IF(B4812="","",IF(COUNTIF(Campaigns!$A$7:$A$300,B4812)&gt;0,"✓","⚠ add to Campaigns tab"))</f>
        <v/>
      </c>
      <c r="I4812" s="84" t="str">
        <f aca="false">IF(C4812="","",C4812*IF(Settings!$B$23=Settings!$C$6,1,IF(Settings!$B$23="USD",1/INDEX(Settings!$B$29:$B$40,MONTH(A4812)),INDEX(Settings!$B$29:$B$40,MONTH(A4812)))))</f>
        <v/>
      </c>
    </row>
    <row r="4813" customFormat="false" ht="15" hidden="false" customHeight="false" outlineLevel="0" collapsed="false">
      <c r="H4813" s="0" t="str">
        <f aca="false">IF(B4813="","",IF(COUNTIF(Campaigns!$A$7:$A$300,B4813)&gt;0,"✓","⚠ add to Campaigns tab"))</f>
        <v/>
      </c>
      <c r="I4813" s="84" t="str">
        <f aca="false">IF(C4813="","",C4813*IF(Settings!$B$23=Settings!$C$6,1,IF(Settings!$B$23="USD",1/INDEX(Settings!$B$29:$B$40,MONTH(A4813)),INDEX(Settings!$B$29:$B$40,MONTH(A4813)))))</f>
        <v/>
      </c>
    </row>
    <row r="4814" customFormat="false" ht="15" hidden="false" customHeight="false" outlineLevel="0" collapsed="false">
      <c r="H4814" s="0" t="str">
        <f aca="false">IF(B4814="","",IF(COUNTIF(Campaigns!$A$7:$A$300,B4814)&gt;0,"✓","⚠ add to Campaigns tab"))</f>
        <v/>
      </c>
      <c r="I4814" s="84" t="str">
        <f aca="false">IF(C4814="","",C4814*IF(Settings!$B$23=Settings!$C$6,1,IF(Settings!$B$23="USD",1/INDEX(Settings!$B$29:$B$40,MONTH(A4814)),INDEX(Settings!$B$29:$B$40,MONTH(A4814)))))</f>
        <v/>
      </c>
    </row>
    <row r="4815" customFormat="false" ht="15" hidden="false" customHeight="false" outlineLevel="0" collapsed="false">
      <c r="H4815" s="0" t="str">
        <f aca="false">IF(B4815="","",IF(COUNTIF(Campaigns!$A$7:$A$300,B4815)&gt;0,"✓","⚠ add to Campaigns tab"))</f>
        <v/>
      </c>
      <c r="I4815" s="84" t="str">
        <f aca="false">IF(C4815="","",C4815*IF(Settings!$B$23=Settings!$C$6,1,IF(Settings!$B$23="USD",1/INDEX(Settings!$B$29:$B$40,MONTH(A4815)),INDEX(Settings!$B$29:$B$40,MONTH(A4815)))))</f>
        <v/>
      </c>
    </row>
    <row r="4816" customFormat="false" ht="15" hidden="false" customHeight="false" outlineLevel="0" collapsed="false">
      <c r="H4816" s="0" t="str">
        <f aca="false">IF(B4816="","",IF(COUNTIF(Campaigns!$A$7:$A$300,B4816)&gt;0,"✓","⚠ add to Campaigns tab"))</f>
        <v/>
      </c>
      <c r="I4816" s="84" t="str">
        <f aca="false">IF(C4816="","",C4816*IF(Settings!$B$23=Settings!$C$6,1,IF(Settings!$B$23="USD",1/INDEX(Settings!$B$29:$B$40,MONTH(A4816)),INDEX(Settings!$B$29:$B$40,MONTH(A4816)))))</f>
        <v/>
      </c>
    </row>
    <row r="4817" customFormat="false" ht="15" hidden="false" customHeight="false" outlineLevel="0" collapsed="false">
      <c r="H4817" s="0" t="str">
        <f aca="false">IF(B4817="","",IF(COUNTIF(Campaigns!$A$7:$A$300,B4817)&gt;0,"✓","⚠ add to Campaigns tab"))</f>
        <v/>
      </c>
      <c r="I4817" s="84" t="str">
        <f aca="false">IF(C4817="","",C4817*IF(Settings!$B$23=Settings!$C$6,1,IF(Settings!$B$23="USD",1/INDEX(Settings!$B$29:$B$40,MONTH(A4817)),INDEX(Settings!$B$29:$B$40,MONTH(A4817)))))</f>
        <v/>
      </c>
    </row>
    <row r="4818" customFormat="false" ht="15" hidden="false" customHeight="false" outlineLevel="0" collapsed="false">
      <c r="H4818" s="0" t="str">
        <f aca="false">IF(B4818="","",IF(COUNTIF(Campaigns!$A$7:$A$300,B4818)&gt;0,"✓","⚠ add to Campaigns tab"))</f>
        <v/>
      </c>
      <c r="I4818" s="84" t="str">
        <f aca="false">IF(C4818="","",C4818*IF(Settings!$B$23=Settings!$C$6,1,IF(Settings!$B$23="USD",1/INDEX(Settings!$B$29:$B$40,MONTH(A4818)),INDEX(Settings!$B$29:$B$40,MONTH(A4818)))))</f>
        <v/>
      </c>
    </row>
    <row r="4819" customFormat="false" ht="15" hidden="false" customHeight="false" outlineLevel="0" collapsed="false">
      <c r="H4819" s="0" t="str">
        <f aca="false">IF(B4819="","",IF(COUNTIF(Campaigns!$A$7:$A$300,B4819)&gt;0,"✓","⚠ add to Campaigns tab"))</f>
        <v/>
      </c>
      <c r="I4819" s="84" t="str">
        <f aca="false">IF(C4819="","",C4819*IF(Settings!$B$23=Settings!$C$6,1,IF(Settings!$B$23="USD",1/INDEX(Settings!$B$29:$B$40,MONTH(A4819)),INDEX(Settings!$B$29:$B$40,MONTH(A4819)))))</f>
        <v/>
      </c>
    </row>
    <row r="4820" customFormat="false" ht="15" hidden="false" customHeight="false" outlineLevel="0" collapsed="false">
      <c r="H4820" s="0" t="str">
        <f aca="false">IF(B4820="","",IF(COUNTIF(Campaigns!$A$7:$A$300,B4820)&gt;0,"✓","⚠ add to Campaigns tab"))</f>
        <v/>
      </c>
      <c r="I4820" s="84" t="str">
        <f aca="false">IF(C4820="","",C4820*IF(Settings!$B$23=Settings!$C$6,1,IF(Settings!$B$23="USD",1/INDEX(Settings!$B$29:$B$40,MONTH(A4820)),INDEX(Settings!$B$29:$B$40,MONTH(A4820)))))</f>
        <v/>
      </c>
    </row>
    <row r="4821" customFormat="false" ht="15" hidden="false" customHeight="false" outlineLevel="0" collapsed="false">
      <c r="H4821" s="0" t="str">
        <f aca="false">IF(B4821="","",IF(COUNTIF(Campaigns!$A$7:$A$300,B4821)&gt;0,"✓","⚠ add to Campaigns tab"))</f>
        <v/>
      </c>
      <c r="I4821" s="84" t="str">
        <f aca="false">IF(C4821="","",C4821*IF(Settings!$B$23=Settings!$C$6,1,IF(Settings!$B$23="USD",1/INDEX(Settings!$B$29:$B$40,MONTH(A4821)),INDEX(Settings!$B$29:$B$40,MONTH(A4821)))))</f>
        <v/>
      </c>
    </row>
    <row r="4822" customFormat="false" ht="15" hidden="false" customHeight="false" outlineLevel="0" collapsed="false">
      <c r="H4822" s="0" t="str">
        <f aca="false">IF(B4822="","",IF(COUNTIF(Campaigns!$A$7:$A$300,B4822)&gt;0,"✓","⚠ add to Campaigns tab"))</f>
        <v/>
      </c>
      <c r="I4822" s="84" t="str">
        <f aca="false">IF(C4822="","",C4822*IF(Settings!$B$23=Settings!$C$6,1,IF(Settings!$B$23="USD",1/INDEX(Settings!$B$29:$B$40,MONTH(A4822)),INDEX(Settings!$B$29:$B$40,MONTH(A4822)))))</f>
        <v/>
      </c>
    </row>
    <row r="4823" customFormat="false" ht="15" hidden="false" customHeight="false" outlineLevel="0" collapsed="false">
      <c r="H4823" s="0" t="str">
        <f aca="false">IF(B4823="","",IF(COUNTIF(Campaigns!$A$7:$A$300,B4823)&gt;0,"✓","⚠ add to Campaigns tab"))</f>
        <v/>
      </c>
      <c r="I4823" s="84" t="str">
        <f aca="false">IF(C4823="","",C4823*IF(Settings!$B$23=Settings!$C$6,1,IF(Settings!$B$23="USD",1/INDEX(Settings!$B$29:$B$40,MONTH(A4823)),INDEX(Settings!$B$29:$B$40,MONTH(A4823)))))</f>
        <v/>
      </c>
    </row>
    <row r="4824" customFormat="false" ht="15" hidden="false" customHeight="false" outlineLevel="0" collapsed="false">
      <c r="H4824" s="0" t="str">
        <f aca="false">IF(B4824="","",IF(COUNTIF(Campaigns!$A$7:$A$300,B4824)&gt;0,"✓","⚠ add to Campaigns tab"))</f>
        <v/>
      </c>
      <c r="I4824" s="84" t="str">
        <f aca="false">IF(C4824="","",C4824*IF(Settings!$B$23=Settings!$C$6,1,IF(Settings!$B$23="USD",1/INDEX(Settings!$B$29:$B$40,MONTH(A4824)),INDEX(Settings!$B$29:$B$40,MONTH(A4824)))))</f>
        <v/>
      </c>
    </row>
    <row r="4825" customFormat="false" ht="15" hidden="false" customHeight="false" outlineLevel="0" collapsed="false">
      <c r="H4825" s="0" t="str">
        <f aca="false">IF(B4825="","",IF(COUNTIF(Campaigns!$A$7:$A$300,B4825)&gt;0,"✓","⚠ add to Campaigns tab"))</f>
        <v/>
      </c>
      <c r="I4825" s="84" t="str">
        <f aca="false">IF(C4825="","",C4825*IF(Settings!$B$23=Settings!$C$6,1,IF(Settings!$B$23="USD",1/INDEX(Settings!$B$29:$B$40,MONTH(A4825)),INDEX(Settings!$B$29:$B$40,MONTH(A4825)))))</f>
        <v/>
      </c>
    </row>
    <row r="4826" customFormat="false" ht="15" hidden="false" customHeight="false" outlineLevel="0" collapsed="false">
      <c r="H4826" s="0" t="str">
        <f aca="false">IF(B4826="","",IF(COUNTIF(Campaigns!$A$7:$A$300,B4826)&gt;0,"✓","⚠ add to Campaigns tab"))</f>
        <v/>
      </c>
      <c r="I4826" s="84" t="str">
        <f aca="false">IF(C4826="","",C4826*IF(Settings!$B$23=Settings!$C$6,1,IF(Settings!$B$23="USD",1/INDEX(Settings!$B$29:$B$40,MONTH(A4826)),INDEX(Settings!$B$29:$B$40,MONTH(A4826)))))</f>
        <v/>
      </c>
    </row>
    <row r="4827" customFormat="false" ht="15" hidden="false" customHeight="false" outlineLevel="0" collapsed="false">
      <c r="H4827" s="0" t="str">
        <f aca="false">IF(B4827="","",IF(COUNTIF(Campaigns!$A$7:$A$300,B4827)&gt;0,"✓","⚠ add to Campaigns tab"))</f>
        <v/>
      </c>
      <c r="I4827" s="84" t="str">
        <f aca="false">IF(C4827="","",C4827*IF(Settings!$B$23=Settings!$C$6,1,IF(Settings!$B$23="USD",1/INDEX(Settings!$B$29:$B$40,MONTH(A4827)),INDEX(Settings!$B$29:$B$40,MONTH(A4827)))))</f>
        <v/>
      </c>
    </row>
    <row r="4828" customFormat="false" ht="15" hidden="false" customHeight="false" outlineLevel="0" collapsed="false">
      <c r="H4828" s="0" t="str">
        <f aca="false">IF(B4828="","",IF(COUNTIF(Campaigns!$A$7:$A$300,B4828)&gt;0,"✓","⚠ add to Campaigns tab"))</f>
        <v/>
      </c>
      <c r="I4828" s="84" t="str">
        <f aca="false">IF(C4828="","",C4828*IF(Settings!$B$23=Settings!$C$6,1,IF(Settings!$B$23="USD",1/INDEX(Settings!$B$29:$B$40,MONTH(A4828)),INDEX(Settings!$B$29:$B$40,MONTH(A4828)))))</f>
        <v/>
      </c>
    </row>
    <row r="4829" customFormat="false" ht="15" hidden="false" customHeight="false" outlineLevel="0" collapsed="false">
      <c r="H4829" s="0" t="str">
        <f aca="false">IF(B4829="","",IF(COUNTIF(Campaigns!$A$7:$A$300,B4829)&gt;0,"✓","⚠ add to Campaigns tab"))</f>
        <v/>
      </c>
      <c r="I4829" s="84" t="str">
        <f aca="false">IF(C4829="","",C4829*IF(Settings!$B$23=Settings!$C$6,1,IF(Settings!$B$23="USD",1/INDEX(Settings!$B$29:$B$40,MONTH(A4829)),INDEX(Settings!$B$29:$B$40,MONTH(A4829)))))</f>
        <v/>
      </c>
    </row>
    <row r="4830" customFormat="false" ht="15" hidden="false" customHeight="false" outlineLevel="0" collapsed="false">
      <c r="H4830" s="0" t="str">
        <f aca="false">IF(B4830="","",IF(COUNTIF(Campaigns!$A$7:$A$300,B4830)&gt;0,"✓","⚠ add to Campaigns tab"))</f>
        <v/>
      </c>
      <c r="I4830" s="84" t="str">
        <f aca="false">IF(C4830="","",C4830*IF(Settings!$B$23=Settings!$C$6,1,IF(Settings!$B$23="USD",1/INDEX(Settings!$B$29:$B$40,MONTH(A4830)),INDEX(Settings!$B$29:$B$40,MONTH(A4830)))))</f>
        <v/>
      </c>
    </row>
    <row r="4831" customFormat="false" ht="15" hidden="false" customHeight="false" outlineLevel="0" collapsed="false">
      <c r="H4831" s="0" t="str">
        <f aca="false">IF(B4831="","",IF(COUNTIF(Campaigns!$A$7:$A$300,B4831)&gt;0,"✓","⚠ add to Campaigns tab"))</f>
        <v/>
      </c>
      <c r="I4831" s="84" t="str">
        <f aca="false">IF(C4831="","",C4831*IF(Settings!$B$23=Settings!$C$6,1,IF(Settings!$B$23="USD",1/INDEX(Settings!$B$29:$B$40,MONTH(A4831)),INDEX(Settings!$B$29:$B$40,MONTH(A4831)))))</f>
        <v/>
      </c>
    </row>
    <row r="4832" customFormat="false" ht="15" hidden="false" customHeight="false" outlineLevel="0" collapsed="false">
      <c r="H4832" s="0" t="str">
        <f aca="false">IF(B4832="","",IF(COUNTIF(Campaigns!$A$7:$A$300,B4832)&gt;0,"✓","⚠ add to Campaigns tab"))</f>
        <v/>
      </c>
      <c r="I4832" s="84" t="str">
        <f aca="false">IF(C4832="","",C4832*IF(Settings!$B$23=Settings!$C$6,1,IF(Settings!$B$23="USD",1/INDEX(Settings!$B$29:$B$40,MONTH(A4832)),INDEX(Settings!$B$29:$B$40,MONTH(A4832)))))</f>
        <v/>
      </c>
    </row>
    <row r="4833" customFormat="false" ht="15" hidden="false" customHeight="false" outlineLevel="0" collapsed="false">
      <c r="H4833" s="0" t="str">
        <f aca="false">IF(B4833="","",IF(COUNTIF(Campaigns!$A$7:$A$300,B4833)&gt;0,"✓","⚠ add to Campaigns tab"))</f>
        <v/>
      </c>
      <c r="I4833" s="84" t="str">
        <f aca="false">IF(C4833="","",C4833*IF(Settings!$B$23=Settings!$C$6,1,IF(Settings!$B$23="USD",1/INDEX(Settings!$B$29:$B$40,MONTH(A4833)),INDEX(Settings!$B$29:$B$40,MONTH(A4833)))))</f>
        <v/>
      </c>
    </row>
    <row r="4834" customFormat="false" ht="15" hidden="false" customHeight="false" outlineLevel="0" collapsed="false">
      <c r="H4834" s="0" t="str">
        <f aca="false">IF(B4834="","",IF(COUNTIF(Campaigns!$A$7:$A$300,B4834)&gt;0,"✓","⚠ add to Campaigns tab"))</f>
        <v/>
      </c>
      <c r="I4834" s="84" t="str">
        <f aca="false">IF(C4834="","",C4834*IF(Settings!$B$23=Settings!$C$6,1,IF(Settings!$B$23="USD",1/INDEX(Settings!$B$29:$B$40,MONTH(A4834)),INDEX(Settings!$B$29:$B$40,MONTH(A4834)))))</f>
        <v/>
      </c>
    </row>
    <row r="4835" customFormat="false" ht="15" hidden="false" customHeight="false" outlineLevel="0" collapsed="false">
      <c r="H4835" s="0" t="str">
        <f aca="false">IF(B4835="","",IF(COUNTIF(Campaigns!$A$7:$A$300,B4835)&gt;0,"✓","⚠ add to Campaigns tab"))</f>
        <v/>
      </c>
      <c r="I4835" s="84" t="str">
        <f aca="false">IF(C4835="","",C4835*IF(Settings!$B$23=Settings!$C$6,1,IF(Settings!$B$23="USD",1/INDEX(Settings!$B$29:$B$40,MONTH(A4835)),INDEX(Settings!$B$29:$B$40,MONTH(A4835)))))</f>
        <v/>
      </c>
    </row>
    <row r="4836" customFormat="false" ht="15" hidden="false" customHeight="false" outlineLevel="0" collapsed="false">
      <c r="H4836" s="0" t="str">
        <f aca="false">IF(B4836="","",IF(COUNTIF(Campaigns!$A$7:$A$300,B4836)&gt;0,"✓","⚠ add to Campaigns tab"))</f>
        <v/>
      </c>
      <c r="I4836" s="84" t="str">
        <f aca="false">IF(C4836="","",C4836*IF(Settings!$B$23=Settings!$C$6,1,IF(Settings!$B$23="USD",1/INDEX(Settings!$B$29:$B$40,MONTH(A4836)),INDEX(Settings!$B$29:$B$40,MONTH(A4836)))))</f>
        <v/>
      </c>
    </row>
    <row r="4837" customFormat="false" ht="15" hidden="false" customHeight="false" outlineLevel="0" collapsed="false">
      <c r="H4837" s="0" t="str">
        <f aca="false">IF(B4837="","",IF(COUNTIF(Campaigns!$A$7:$A$300,B4837)&gt;0,"✓","⚠ add to Campaigns tab"))</f>
        <v/>
      </c>
      <c r="I4837" s="84" t="str">
        <f aca="false">IF(C4837="","",C4837*IF(Settings!$B$23=Settings!$C$6,1,IF(Settings!$B$23="USD",1/INDEX(Settings!$B$29:$B$40,MONTH(A4837)),INDEX(Settings!$B$29:$B$40,MONTH(A4837)))))</f>
        <v/>
      </c>
    </row>
    <row r="4838" customFormat="false" ht="15" hidden="false" customHeight="false" outlineLevel="0" collapsed="false">
      <c r="H4838" s="0" t="str">
        <f aca="false">IF(B4838="","",IF(COUNTIF(Campaigns!$A$7:$A$300,B4838)&gt;0,"✓","⚠ add to Campaigns tab"))</f>
        <v/>
      </c>
      <c r="I4838" s="84" t="str">
        <f aca="false">IF(C4838="","",C4838*IF(Settings!$B$23=Settings!$C$6,1,IF(Settings!$B$23="USD",1/INDEX(Settings!$B$29:$B$40,MONTH(A4838)),INDEX(Settings!$B$29:$B$40,MONTH(A4838)))))</f>
        <v/>
      </c>
    </row>
    <row r="4839" customFormat="false" ht="15" hidden="false" customHeight="false" outlineLevel="0" collapsed="false">
      <c r="H4839" s="0" t="str">
        <f aca="false">IF(B4839="","",IF(COUNTIF(Campaigns!$A$7:$A$300,B4839)&gt;0,"✓","⚠ add to Campaigns tab"))</f>
        <v/>
      </c>
      <c r="I4839" s="84" t="str">
        <f aca="false">IF(C4839="","",C4839*IF(Settings!$B$23=Settings!$C$6,1,IF(Settings!$B$23="USD",1/INDEX(Settings!$B$29:$B$40,MONTH(A4839)),INDEX(Settings!$B$29:$B$40,MONTH(A4839)))))</f>
        <v/>
      </c>
    </row>
    <row r="4840" customFormat="false" ht="15" hidden="false" customHeight="false" outlineLevel="0" collapsed="false">
      <c r="H4840" s="0" t="str">
        <f aca="false">IF(B4840="","",IF(COUNTIF(Campaigns!$A$7:$A$300,B4840)&gt;0,"✓","⚠ add to Campaigns tab"))</f>
        <v/>
      </c>
      <c r="I4840" s="84" t="str">
        <f aca="false">IF(C4840="","",C4840*IF(Settings!$B$23=Settings!$C$6,1,IF(Settings!$B$23="USD",1/INDEX(Settings!$B$29:$B$40,MONTH(A4840)),INDEX(Settings!$B$29:$B$40,MONTH(A4840)))))</f>
        <v/>
      </c>
    </row>
    <row r="4841" customFormat="false" ht="15" hidden="false" customHeight="false" outlineLevel="0" collapsed="false">
      <c r="H4841" s="0" t="str">
        <f aca="false">IF(B4841="","",IF(COUNTIF(Campaigns!$A$7:$A$300,B4841)&gt;0,"✓","⚠ add to Campaigns tab"))</f>
        <v/>
      </c>
      <c r="I4841" s="84" t="str">
        <f aca="false">IF(C4841="","",C4841*IF(Settings!$B$23=Settings!$C$6,1,IF(Settings!$B$23="USD",1/INDEX(Settings!$B$29:$B$40,MONTH(A4841)),INDEX(Settings!$B$29:$B$40,MONTH(A4841)))))</f>
        <v/>
      </c>
    </row>
    <row r="4842" customFormat="false" ht="15" hidden="false" customHeight="false" outlineLevel="0" collapsed="false">
      <c r="H4842" s="0" t="str">
        <f aca="false">IF(B4842="","",IF(COUNTIF(Campaigns!$A$7:$A$300,B4842)&gt;0,"✓","⚠ add to Campaigns tab"))</f>
        <v/>
      </c>
      <c r="I4842" s="84" t="str">
        <f aca="false">IF(C4842="","",C4842*IF(Settings!$B$23=Settings!$C$6,1,IF(Settings!$B$23="USD",1/INDEX(Settings!$B$29:$B$40,MONTH(A4842)),INDEX(Settings!$B$29:$B$40,MONTH(A4842)))))</f>
        <v/>
      </c>
    </row>
    <row r="4843" customFormat="false" ht="15" hidden="false" customHeight="false" outlineLevel="0" collapsed="false">
      <c r="H4843" s="0" t="str">
        <f aca="false">IF(B4843="","",IF(COUNTIF(Campaigns!$A$7:$A$300,B4843)&gt;0,"✓","⚠ add to Campaigns tab"))</f>
        <v/>
      </c>
      <c r="I4843" s="84" t="str">
        <f aca="false">IF(C4843="","",C4843*IF(Settings!$B$23=Settings!$C$6,1,IF(Settings!$B$23="USD",1/INDEX(Settings!$B$29:$B$40,MONTH(A4843)),INDEX(Settings!$B$29:$B$40,MONTH(A4843)))))</f>
        <v/>
      </c>
    </row>
    <row r="4844" customFormat="false" ht="15" hidden="false" customHeight="false" outlineLevel="0" collapsed="false">
      <c r="H4844" s="0" t="str">
        <f aca="false">IF(B4844="","",IF(COUNTIF(Campaigns!$A$7:$A$300,B4844)&gt;0,"✓","⚠ add to Campaigns tab"))</f>
        <v/>
      </c>
      <c r="I4844" s="84" t="str">
        <f aca="false">IF(C4844="","",C4844*IF(Settings!$B$23=Settings!$C$6,1,IF(Settings!$B$23="USD",1/INDEX(Settings!$B$29:$B$40,MONTH(A4844)),INDEX(Settings!$B$29:$B$40,MONTH(A4844)))))</f>
        <v/>
      </c>
    </row>
    <row r="4845" customFormat="false" ht="15" hidden="false" customHeight="false" outlineLevel="0" collapsed="false">
      <c r="H4845" s="0" t="str">
        <f aca="false">IF(B4845="","",IF(COUNTIF(Campaigns!$A$7:$A$300,B4845)&gt;0,"✓","⚠ add to Campaigns tab"))</f>
        <v/>
      </c>
      <c r="I4845" s="84" t="str">
        <f aca="false">IF(C4845="","",C4845*IF(Settings!$B$23=Settings!$C$6,1,IF(Settings!$B$23="USD",1/INDEX(Settings!$B$29:$B$40,MONTH(A4845)),INDEX(Settings!$B$29:$B$40,MONTH(A4845)))))</f>
        <v/>
      </c>
    </row>
    <row r="4846" customFormat="false" ht="15" hidden="false" customHeight="false" outlineLevel="0" collapsed="false">
      <c r="H4846" s="0" t="str">
        <f aca="false">IF(B4846="","",IF(COUNTIF(Campaigns!$A$7:$A$300,B4846)&gt;0,"✓","⚠ add to Campaigns tab"))</f>
        <v/>
      </c>
      <c r="I4846" s="84" t="str">
        <f aca="false">IF(C4846="","",C4846*IF(Settings!$B$23=Settings!$C$6,1,IF(Settings!$B$23="USD",1/INDEX(Settings!$B$29:$B$40,MONTH(A4846)),INDEX(Settings!$B$29:$B$40,MONTH(A4846)))))</f>
        <v/>
      </c>
    </row>
    <row r="4847" customFormat="false" ht="15" hidden="false" customHeight="false" outlineLevel="0" collapsed="false">
      <c r="H4847" s="0" t="str">
        <f aca="false">IF(B4847="","",IF(COUNTIF(Campaigns!$A$7:$A$300,B4847)&gt;0,"✓","⚠ add to Campaigns tab"))</f>
        <v/>
      </c>
      <c r="I4847" s="84" t="str">
        <f aca="false">IF(C4847="","",C4847*IF(Settings!$B$23=Settings!$C$6,1,IF(Settings!$B$23="USD",1/INDEX(Settings!$B$29:$B$40,MONTH(A4847)),INDEX(Settings!$B$29:$B$40,MONTH(A4847)))))</f>
        <v/>
      </c>
    </row>
    <row r="4848" customFormat="false" ht="15" hidden="false" customHeight="false" outlineLevel="0" collapsed="false">
      <c r="H4848" s="0" t="str">
        <f aca="false">IF(B4848="","",IF(COUNTIF(Campaigns!$A$7:$A$300,B4848)&gt;0,"✓","⚠ add to Campaigns tab"))</f>
        <v/>
      </c>
      <c r="I4848" s="84" t="str">
        <f aca="false">IF(C4848="","",C4848*IF(Settings!$B$23=Settings!$C$6,1,IF(Settings!$B$23="USD",1/INDEX(Settings!$B$29:$B$40,MONTH(A4848)),INDEX(Settings!$B$29:$B$40,MONTH(A4848)))))</f>
        <v/>
      </c>
    </row>
    <row r="4849" customFormat="false" ht="15" hidden="false" customHeight="false" outlineLevel="0" collapsed="false">
      <c r="H4849" s="0" t="str">
        <f aca="false">IF(B4849="","",IF(COUNTIF(Campaigns!$A$7:$A$300,B4849)&gt;0,"✓","⚠ add to Campaigns tab"))</f>
        <v/>
      </c>
      <c r="I4849" s="84" t="str">
        <f aca="false">IF(C4849="","",C4849*IF(Settings!$B$23=Settings!$C$6,1,IF(Settings!$B$23="USD",1/INDEX(Settings!$B$29:$B$40,MONTH(A4849)),INDEX(Settings!$B$29:$B$40,MONTH(A4849)))))</f>
        <v/>
      </c>
    </row>
    <row r="4850" customFormat="false" ht="15" hidden="false" customHeight="false" outlineLevel="0" collapsed="false">
      <c r="H4850" s="0" t="str">
        <f aca="false">IF(B4850="","",IF(COUNTIF(Campaigns!$A$7:$A$300,B4850)&gt;0,"✓","⚠ add to Campaigns tab"))</f>
        <v/>
      </c>
      <c r="I4850" s="84" t="str">
        <f aca="false">IF(C4850="","",C4850*IF(Settings!$B$23=Settings!$C$6,1,IF(Settings!$B$23="USD",1/INDEX(Settings!$B$29:$B$40,MONTH(A4850)),INDEX(Settings!$B$29:$B$40,MONTH(A4850)))))</f>
        <v/>
      </c>
    </row>
    <row r="4851" customFormat="false" ht="15" hidden="false" customHeight="false" outlineLevel="0" collapsed="false">
      <c r="H4851" s="0" t="str">
        <f aca="false">IF(B4851="","",IF(COUNTIF(Campaigns!$A$7:$A$300,B4851)&gt;0,"✓","⚠ add to Campaigns tab"))</f>
        <v/>
      </c>
      <c r="I4851" s="84" t="str">
        <f aca="false">IF(C4851="","",C4851*IF(Settings!$B$23=Settings!$C$6,1,IF(Settings!$B$23="USD",1/INDEX(Settings!$B$29:$B$40,MONTH(A4851)),INDEX(Settings!$B$29:$B$40,MONTH(A4851)))))</f>
        <v/>
      </c>
    </row>
    <row r="4852" customFormat="false" ht="15" hidden="false" customHeight="false" outlineLevel="0" collapsed="false">
      <c r="H4852" s="0" t="str">
        <f aca="false">IF(B4852="","",IF(COUNTIF(Campaigns!$A$7:$A$300,B4852)&gt;0,"✓","⚠ add to Campaigns tab"))</f>
        <v/>
      </c>
      <c r="I4852" s="84" t="str">
        <f aca="false">IF(C4852="","",C4852*IF(Settings!$B$23=Settings!$C$6,1,IF(Settings!$B$23="USD",1/INDEX(Settings!$B$29:$B$40,MONTH(A4852)),INDEX(Settings!$B$29:$B$40,MONTH(A4852)))))</f>
        <v/>
      </c>
    </row>
    <row r="4853" customFormat="false" ht="15" hidden="false" customHeight="false" outlineLevel="0" collapsed="false">
      <c r="H4853" s="0" t="str">
        <f aca="false">IF(B4853="","",IF(COUNTIF(Campaigns!$A$7:$A$300,B4853)&gt;0,"✓","⚠ add to Campaigns tab"))</f>
        <v/>
      </c>
      <c r="I4853" s="84" t="str">
        <f aca="false">IF(C4853="","",C4853*IF(Settings!$B$23=Settings!$C$6,1,IF(Settings!$B$23="USD",1/INDEX(Settings!$B$29:$B$40,MONTH(A4853)),INDEX(Settings!$B$29:$B$40,MONTH(A4853)))))</f>
        <v/>
      </c>
    </row>
    <row r="4854" customFormat="false" ht="15" hidden="false" customHeight="false" outlineLevel="0" collapsed="false">
      <c r="H4854" s="0" t="str">
        <f aca="false">IF(B4854="","",IF(COUNTIF(Campaigns!$A$7:$A$300,B4854)&gt;0,"✓","⚠ add to Campaigns tab"))</f>
        <v/>
      </c>
      <c r="I4854" s="84" t="str">
        <f aca="false">IF(C4854="","",C4854*IF(Settings!$B$23=Settings!$C$6,1,IF(Settings!$B$23="USD",1/INDEX(Settings!$B$29:$B$40,MONTH(A4854)),INDEX(Settings!$B$29:$B$40,MONTH(A4854)))))</f>
        <v/>
      </c>
    </row>
    <row r="4855" customFormat="false" ht="15" hidden="false" customHeight="false" outlineLevel="0" collapsed="false">
      <c r="H4855" s="0" t="str">
        <f aca="false">IF(B4855="","",IF(COUNTIF(Campaigns!$A$7:$A$300,B4855)&gt;0,"✓","⚠ add to Campaigns tab"))</f>
        <v/>
      </c>
      <c r="I4855" s="84" t="str">
        <f aca="false">IF(C4855="","",C4855*IF(Settings!$B$23=Settings!$C$6,1,IF(Settings!$B$23="USD",1/INDEX(Settings!$B$29:$B$40,MONTH(A4855)),INDEX(Settings!$B$29:$B$40,MONTH(A4855)))))</f>
        <v/>
      </c>
    </row>
    <row r="4856" customFormat="false" ht="15" hidden="false" customHeight="false" outlineLevel="0" collapsed="false">
      <c r="H4856" s="0" t="str">
        <f aca="false">IF(B4856="","",IF(COUNTIF(Campaigns!$A$7:$A$300,B4856)&gt;0,"✓","⚠ add to Campaigns tab"))</f>
        <v/>
      </c>
      <c r="I4856" s="84" t="str">
        <f aca="false">IF(C4856="","",C4856*IF(Settings!$B$23=Settings!$C$6,1,IF(Settings!$B$23="USD",1/INDEX(Settings!$B$29:$B$40,MONTH(A4856)),INDEX(Settings!$B$29:$B$40,MONTH(A4856)))))</f>
        <v/>
      </c>
    </row>
    <row r="4857" customFormat="false" ht="15" hidden="false" customHeight="false" outlineLevel="0" collapsed="false">
      <c r="H4857" s="0" t="str">
        <f aca="false">IF(B4857="","",IF(COUNTIF(Campaigns!$A$7:$A$300,B4857)&gt;0,"✓","⚠ add to Campaigns tab"))</f>
        <v/>
      </c>
      <c r="I4857" s="84" t="str">
        <f aca="false">IF(C4857="","",C4857*IF(Settings!$B$23=Settings!$C$6,1,IF(Settings!$B$23="USD",1/INDEX(Settings!$B$29:$B$40,MONTH(A4857)),INDEX(Settings!$B$29:$B$40,MONTH(A4857)))))</f>
        <v/>
      </c>
    </row>
    <row r="4858" customFormat="false" ht="15" hidden="false" customHeight="false" outlineLevel="0" collapsed="false">
      <c r="H4858" s="0" t="str">
        <f aca="false">IF(B4858="","",IF(COUNTIF(Campaigns!$A$7:$A$300,B4858)&gt;0,"✓","⚠ add to Campaigns tab"))</f>
        <v/>
      </c>
      <c r="I4858" s="84" t="str">
        <f aca="false">IF(C4858="","",C4858*IF(Settings!$B$23=Settings!$C$6,1,IF(Settings!$B$23="USD",1/INDEX(Settings!$B$29:$B$40,MONTH(A4858)),INDEX(Settings!$B$29:$B$40,MONTH(A4858)))))</f>
        <v/>
      </c>
    </row>
    <row r="4859" customFormat="false" ht="15" hidden="false" customHeight="false" outlineLevel="0" collapsed="false">
      <c r="H4859" s="0" t="str">
        <f aca="false">IF(B4859="","",IF(COUNTIF(Campaigns!$A$7:$A$300,B4859)&gt;0,"✓","⚠ add to Campaigns tab"))</f>
        <v/>
      </c>
      <c r="I4859" s="84" t="str">
        <f aca="false">IF(C4859="","",C4859*IF(Settings!$B$23=Settings!$C$6,1,IF(Settings!$B$23="USD",1/INDEX(Settings!$B$29:$B$40,MONTH(A4859)),INDEX(Settings!$B$29:$B$40,MONTH(A4859)))))</f>
        <v/>
      </c>
    </row>
    <row r="4860" customFormat="false" ht="15" hidden="false" customHeight="false" outlineLevel="0" collapsed="false">
      <c r="H4860" s="0" t="str">
        <f aca="false">IF(B4860="","",IF(COUNTIF(Campaigns!$A$7:$A$300,B4860)&gt;0,"✓","⚠ add to Campaigns tab"))</f>
        <v/>
      </c>
      <c r="I4860" s="84" t="str">
        <f aca="false">IF(C4860="","",C4860*IF(Settings!$B$23=Settings!$C$6,1,IF(Settings!$B$23="USD",1/INDEX(Settings!$B$29:$B$40,MONTH(A4860)),INDEX(Settings!$B$29:$B$40,MONTH(A4860)))))</f>
        <v/>
      </c>
    </row>
    <row r="4861" customFormat="false" ht="15" hidden="false" customHeight="false" outlineLevel="0" collapsed="false">
      <c r="H4861" s="0" t="str">
        <f aca="false">IF(B4861="","",IF(COUNTIF(Campaigns!$A$7:$A$300,B4861)&gt;0,"✓","⚠ add to Campaigns tab"))</f>
        <v/>
      </c>
      <c r="I4861" s="84" t="str">
        <f aca="false">IF(C4861="","",C4861*IF(Settings!$B$23=Settings!$C$6,1,IF(Settings!$B$23="USD",1/INDEX(Settings!$B$29:$B$40,MONTH(A4861)),INDEX(Settings!$B$29:$B$40,MONTH(A4861)))))</f>
        <v/>
      </c>
    </row>
    <row r="4862" customFormat="false" ht="15" hidden="false" customHeight="false" outlineLevel="0" collapsed="false">
      <c r="H4862" s="0" t="str">
        <f aca="false">IF(B4862="","",IF(COUNTIF(Campaigns!$A$7:$A$300,B4862)&gt;0,"✓","⚠ add to Campaigns tab"))</f>
        <v/>
      </c>
      <c r="I4862" s="84" t="str">
        <f aca="false">IF(C4862="","",C4862*IF(Settings!$B$23=Settings!$C$6,1,IF(Settings!$B$23="USD",1/INDEX(Settings!$B$29:$B$40,MONTH(A4862)),INDEX(Settings!$B$29:$B$40,MONTH(A4862)))))</f>
        <v/>
      </c>
    </row>
    <row r="4863" customFormat="false" ht="15" hidden="false" customHeight="false" outlineLevel="0" collapsed="false">
      <c r="H4863" s="0" t="str">
        <f aca="false">IF(B4863="","",IF(COUNTIF(Campaigns!$A$7:$A$300,B4863)&gt;0,"✓","⚠ add to Campaigns tab"))</f>
        <v/>
      </c>
      <c r="I4863" s="84" t="str">
        <f aca="false">IF(C4863="","",C4863*IF(Settings!$B$23=Settings!$C$6,1,IF(Settings!$B$23="USD",1/INDEX(Settings!$B$29:$B$40,MONTH(A4863)),INDEX(Settings!$B$29:$B$40,MONTH(A4863)))))</f>
        <v/>
      </c>
    </row>
    <row r="4864" customFormat="false" ht="15" hidden="false" customHeight="false" outlineLevel="0" collapsed="false">
      <c r="H4864" s="0" t="str">
        <f aca="false">IF(B4864="","",IF(COUNTIF(Campaigns!$A$7:$A$300,B4864)&gt;0,"✓","⚠ add to Campaigns tab"))</f>
        <v/>
      </c>
      <c r="I4864" s="84" t="str">
        <f aca="false">IF(C4864="","",C4864*IF(Settings!$B$23=Settings!$C$6,1,IF(Settings!$B$23="USD",1/INDEX(Settings!$B$29:$B$40,MONTH(A4864)),INDEX(Settings!$B$29:$B$40,MONTH(A4864)))))</f>
        <v/>
      </c>
    </row>
    <row r="4865" customFormat="false" ht="15" hidden="false" customHeight="false" outlineLevel="0" collapsed="false">
      <c r="H4865" s="0" t="str">
        <f aca="false">IF(B4865="","",IF(COUNTIF(Campaigns!$A$7:$A$300,B4865)&gt;0,"✓","⚠ add to Campaigns tab"))</f>
        <v/>
      </c>
      <c r="I4865" s="84" t="str">
        <f aca="false">IF(C4865="","",C4865*IF(Settings!$B$23=Settings!$C$6,1,IF(Settings!$B$23="USD",1/INDEX(Settings!$B$29:$B$40,MONTH(A4865)),INDEX(Settings!$B$29:$B$40,MONTH(A4865)))))</f>
        <v/>
      </c>
    </row>
    <row r="4866" customFormat="false" ht="15" hidden="false" customHeight="false" outlineLevel="0" collapsed="false">
      <c r="H4866" s="0" t="str">
        <f aca="false">IF(B4866="","",IF(COUNTIF(Campaigns!$A$7:$A$300,B4866)&gt;0,"✓","⚠ add to Campaigns tab"))</f>
        <v/>
      </c>
      <c r="I4866" s="84" t="str">
        <f aca="false">IF(C4866="","",C4866*IF(Settings!$B$23=Settings!$C$6,1,IF(Settings!$B$23="USD",1/INDEX(Settings!$B$29:$B$40,MONTH(A4866)),INDEX(Settings!$B$29:$B$40,MONTH(A4866)))))</f>
        <v/>
      </c>
    </row>
    <row r="4867" customFormat="false" ht="15" hidden="false" customHeight="false" outlineLevel="0" collapsed="false">
      <c r="H4867" s="0" t="str">
        <f aca="false">IF(B4867="","",IF(COUNTIF(Campaigns!$A$7:$A$300,B4867)&gt;0,"✓","⚠ add to Campaigns tab"))</f>
        <v/>
      </c>
      <c r="I4867" s="84" t="str">
        <f aca="false">IF(C4867="","",C4867*IF(Settings!$B$23=Settings!$C$6,1,IF(Settings!$B$23="USD",1/INDEX(Settings!$B$29:$B$40,MONTH(A4867)),INDEX(Settings!$B$29:$B$40,MONTH(A4867)))))</f>
        <v/>
      </c>
    </row>
    <row r="4868" customFormat="false" ht="15" hidden="false" customHeight="false" outlineLevel="0" collapsed="false">
      <c r="H4868" s="0" t="str">
        <f aca="false">IF(B4868="","",IF(COUNTIF(Campaigns!$A$7:$A$300,B4868)&gt;0,"✓","⚠ add to Campaigns tab"))</f>
        <v/>
      </c>
      <c r="I4868" s="84" t="str">
        <f aca="false">IF(C4868="","",C4868*IF(Settings!$B$23=Settings!$C$6,1,IF(Settings!$B$23="USD",1/INDEX(Settings!$B$29:$B$40,MONTH(A4868)),INDEX(Settings!$B$29:$B$40,MONTH(A4868)))))</f>
        <v/>
      </c>
    </row>
    <row r="4869" customFormat="false" ht="15" hidden="false" customHeight="false" outlineLevel="0" collapsed="false">
      <c r="H4869" s="0" t="str">
        <f aca="false">IF(B4869="","",IF(COUNTIF(Campaigns!$A$7:$A$300,B4869)&gt;0,"✓","⚠ add to Campaigns tab"))</f>
        <v/>
      </c>
      <c r="I4869" s="84" t="str">
        <f aca="false">IF(C4869="","",C4869*IF(Settings!$B$23=Settings!$C$6,1,IF(Settings!$B$23="USD",1/INDEX(Settings!$B$29:$B$40,MONTH(A4869)),INDEX(Settings!$B$29:$B$40,MONTH(A4869)))))</f>
        <v/>
      </c>
    </row>
    <row r="4870" customFormat="false" ht="15" hidden="false" customHeight="false" outlineLevel="0" collapsed="false">
      <c r="H4870" s="0" t="str">
        <f aca="false">IF(B4870="","",IF(COUNTIF(Campaigns!$A$7:$A$300,B4870)&gt;0,"✓","⚠ add to Campaigns tab"))</f>
        <v/>
      </c>
      <c r="I4870" s="84" t="str">
        <f aca="false">IF(C4870="","",C4870*IF(Settings!$B$23=Settings!$C$6,1,IF(Settings!$B$23="USD",1/INDEX(Settings!$B$29:$B$40,MONTH(A4870)),INDEX(Settings!$B$29:$B$40,MONTH(A4870)))))</f>
        <v/>
      </c>
    </row>
    <row r="4871" customFormat="false" ht="15" hidden="false" customHeight="false" outlineLevel="0" collapsed="false">
      <c r="H4871" s="0" t="str">
        <f aca="false">IF(B4871="","",IF(COUNTIF(Campaigns!$A$7:$A$300,B4871)&gt;0,"✓","⚠ add to Campaigns tab"))</f>
        <v/>
      </c>
      <c r="I4871" s="84" t="str">
        <f aca="false">IF(C4871="","",C4871*IF(Settings!$B$23=Settings!$C$6,1,IF(Settings!$B$23="USD",1/INDEX(Settings!$B$29:$B$40,MONTH(A4871)),INDEX(Settings!$B$29:$B$40,MONTH(A4871)))))</f>
        <v/>
      </c>
    </row>
    <row r="4872" customFormat="false" ht="15" hidden="false" customHeight="false" outlineLevel="0" collapsed="false">
      <c r="H4872" s="0" t="str">
        <f aca="false">IF(B4872="","",IF(COUNTIF(Campaigns!$A$7:$A$300,B4872)&gt;0,"✓","⚠ add to Campaigns tab"))</f>
        <v/>
      </c>
      <c r="I4872" s="84" t="str">
        <f aca="false">IF(C4872="","",C4872*IF(Settings!$B$23=Settings!$C$6,1,IF(Settings!$B$23="USD",1/INDEX(Settings!$B$29:$B$40,MONTH(A4872)),INDEX(Settings!$B$29:$B$40,MONTH(A4872)))))</f>
        <v/>
      </c>
    </row>
    <row r="4873" customFormat="false" ht="15" hidden="false" customHeight="false" outlineLevel="0" collapsed="false">
      <c r="H4873" s="0" t="str">
        <f aca="false">IF(B4873="","",IF(COUNTIF(Campaigns!$A$7:$A$300,B4873)&gt;0,"✓","⚠ add to Campaigns tab"))</f>
        <v/>
      </c>
      <c r="I4873" s="84" t="str">
        <f aca="false">IF(C4873="","",C4873*IF(Settings!$B$23=Settings!$C$6,1,IF(Settings!$B$23="USD",1/INDEX(Settings!$B$29:$B$40,MONTH(A4873)),INDEX(Settings!$B$29:$B$40,MONTH(A4873)))))</f>
        <v/>
      </c>
    </row>
    <row r="4874" customFormat="false" ht="15" hidden="false" customHeight="false" outlineLevel="0" collapsed="false">
      <c r="H4874" s="0" t="str">
        <f aca="false">IF(B4874="","",IF(COUNTIF(Campaigns!$A$7:$A$300,B4874)&gt;0,"✓","⚠ add to Campaigns tab"))</f>
        <v/>
      </c>
      <c r="I4874" s="84" t="str">
        <f aca="false">IF(C4874="","",C4874*IF(Settings!$B$23=Settings!$C$6,1,IF(Settings!$B$23="USD",1/INDEX(Settings!$B$29:$B$40,MONTH(A4874)),INDEX(Settings!$B$29:$B$40,MONTH(A4874)))))</f>
        <v/>
      </c>
    </row>
    <row r="4875" customFormat="false" ht="15" hidden="false" customHeight="false" outlineLevel="0" collapsed="false">
      <c r="H4875" s="0" t="str">
        <f aca="false">IF(B4875="","",IF(COUNTIF(Campaigns!$A$7:$A$300,B4875)&gt;0,"✓","⚠ add to Campaigns tab"))</f>
        <v/>
      </c>
      <c r="I4875" s="84" t="str">
        <f aca="false">IF(C4875="","",C4875*IF(Settings!$B$23=Settings!$C$6,1,IF(Settings!$B$23="USD",1/INDEX(Settings!$B$29:$B$40,MONTH(A4875)),INDEX(Settings!$B$29:$B$40,MONTH(A4875)))))</f>
        <v/>
      </c>
    </row>
    <row r="4876" customFormat="false" ht="15" hidden="false" customHeight="false" outlineLevel="0" collapsed="false">
      <c r="H4876" s="0" t="str">
        <f aca="false">IF(B4876="","",IF(COUNTIF(Campaigns!$A$7:$A$300,B4876)&gt;0,"✓","⚠ add to Campaigns tab"))</f>
        <v/>
      </c>
      <c r="I4876" s="84" t="str">
        <f aca="false">IF(C4876="","",C4876*IF(Settings!$B$23=Settings!$C$6,1,IF(Settings!$B$23="USD",1/INDEX(Settings!$B$29:$B$40,MONTH(A4876)),INDEX(Settings!$B$29:$B$40,MONTH(A4876)))))</f>
        <v/>
      </c>
    </row>
    <row r="4877" customFormat="false" ht="15" hidden="false" customHeight="false" outlineLevel="0" collapsed="false">
      <c r="H4877" s="0" t="str">
        <f aca="false">IF(B4877="","",IF(COUNTIF(Campaigns!$A$7:$A$300,B4877)&gt;0,"✓","⚠ add to Campaigns tab"))</f>
        <v/>
      </c>
      <c r="I4877" s="84" t="str">
        <f aca="false">IF(C4877="","",C4877*IF(Settings!$B$23=Settings!$C$6,1,IF(Settings!$B$23="USD",1/INDEX(Settings!$B$29:$B$40,MONTH(A4877)),INDEX(Settings!$B$29:$B$40,MONTH(A4877)))))</f>
        <v/>
      </c>
    </row>
    <row r="4878" customFormat="false" ht="15" hidden="false" customHeight="false" outlineLevel="0" collapsed="false">
      <c r="H4878" s="0" t="str">
        <f aca="false">IF(B4878="","",IF(COUNTIF(Campaigns!$A$7:$A$300,B4878)&gt;0,"✓","⚠ add to Campaigns tab"))</f>
        <v/>
      </c>
      <c r="I4878" s="84" t="str">
        <f aca="false">IF(C4878="","",C4878*IF(Settings!$B$23=Settings!$C$6,1,IF(Settings!$B$23="USD",1/INDEX(Settings!$B$29:$B$40,MONTH(A4878)),INDEX(Settings!$B$29:$B$40,MONTH(A4878)))))</f>
        <v/>
      </c>
    </row>
    <row r="4879" customFormat="false" ht="15" hidden="false" customHeight="false" outlineLevel="0" collapsed="false">
      <c r="H4879" s="0" t="str">
        <f aca="false">IF(B4879="","",IF(COUNTIF(Campaigns!$A$7:$A$300,B4879)&gt;0,"✓","⚠ add to Campaigns tab"))</f>
        <v/>
      </c>
      <c r="I4879" s="84" t="str">
        <f aca="false">IF(C4879="","",C4879*IF(Settings!$B$23=Settings!$C$6,1,IF(Settings!$B$23="USD",1/INDEX(Settings!$B$29:$B$40,MONTH(A4879)),INDEX(Settings!$B$29:$B$40,MONTH(A4879)))))</f>
        <v/>
      </c>
    </row>
    <row r="4880" customFormat="false" ht="15" hidden="false" customHeight="false" outlineLevel="0" collapsed="false">
      <c r="H4880" s="0" t="str">
        <f aca="false">IF(B4880="","",IF(COUNTIF(Campaigns!$A$7:$A$300,B4880)&gt;0,"✓","⚠ add to Campaigns tab"))</f>
        <v/>
      </c>
      <c r="I4880" s="84" t="str">
        <f aca="false">IF(C4880="","",C4880*IF(Settings!$B$23=Settings!$C$6,1,IF(Settings!$B$23="USD",1/INDEX(Settings!$B$29:$B$40,MONTH(A4880)),INDEX(Settings!$B$29:$B$40,MONTH(A4880)))))</f>
        <v/>
      </c>
    </row>
    <row r="4881" customFormat="false" ht="15" hidden="false" customHeight="false" outlineLevel="0" collapsed="false">
      <c r="H4881" s="0" t="str">
        <f aca="false">IF(B4881="","",IF(COUNTIF(Campaigns!$A$7:$A$300,B4881)&gt;0,"✓","⚠ add to Campaigns tab"))</f>
        <v/>
      </c>
      <c r="I4881" s="84" t="str">
        <f aca="false">IF(C4881="","",C4881*IF(Settings!$B$23=Settings!$C$6,1,IF(Settings!$B$23="USD",1/INDEX(Settings!$B$29:$B$40,MONTH(A4881)),INDEX(Settings!$B$29:$B$40,MONTH(A4881)))))</f>
        <v/>
      </c>
    </row>
    <row r="4882" customFormat="false" ht="15" hidden="false" customHeight="false" outlineLevel="0" collapsed="false">
      <c r="H4882" s="0" t="str">
        <f aca="false">IF(B4882="","",IF(COUNTIF(Campaigns!$A$7:$A$300,B4882)&gt;0,"✓","⚠ add to Campaigns tab"))</f>
        <v/>
      </c>
      <c r="I4882" s="84" t="str">
        <f aca="false">IF(C4882="","",C4882*IF(Settings!$B$23=Settings!$C$6,1,IF(Settings!$B$23="USD",1/INDEX(Settings!$B$29:$B$40,MONTH(A4882)),INDEX(Settings!$B$29:$B$40,MONTH(A4882)))))</f>
        <v/>
      </c>
    </row>
    <row r="4883" customFormat="false" ht="15" hidden="false" customHeight="false" outlineLevel="0" collapsed="false">
      <c r="H4883" s="0" t="str">
        <f aca="false">IF(B4883="","",IF(COUNTIF(Campaigns!$A$7:$A$300,B4883)&gt;0,"✓","⚠ add to Campaigns tab"))</f>
        <v/>
      </c>
      <c r="I4883" s="84" t="str">
        <f aca="false">IF(C4883="","",C4883*IF(Settings!$B$23=Settings!$C$6,1,IF(Settings!$B$23="USD",1/INDEX(Settings!$B$29:$B$40,MONTH(A4883)),INDEX(Settings!$B$29:$B$40,MONTH(A4883)))))</f>
        <v/>
      </c>
    </row>
    <row r="4884" customFormat="false" ht="15" hidden="false" customHeight="false" outlineLevel="0" collapsed="false">
      <c r="H4884" s="0" t="str">
        <f aca="false">IF(B4884="","",IF(COUNTIF(Campaigns!$A$7:$A$300,B4884)&gt;0,"✓","⚠ add to Campaigns tab"))</f>
        <v/>
      </c>
      <c r="I4884" s="84" t="str">
        <f aca="false">IF(C4884="","",C4884*IF(Settings!$B$23=Settings!$C$6,1,IF(Settings!$B$23="USD",1/INDEX(Settings!$B$29:$B$40,MONTH(A4884)),INDEX(Settings!$B$29:$B$40,MONTH(A4884)))))</f>
        <v/>
      </c>
    </row>
    <row r="4885" customFormat="false" ht="15" hidden="false" customHeight="false" outlineLevel="0" collapsed="false">
      <c r="H4885" s="0" t="str">
        <f aca="false">IF(B4885="","",IF(COUNTIF(Campaigns!$A$7:$A$300,B4885)&gt;0,"✓","⚠ add to Campaigns tab"))</f>
        <v/>
      </c>
      <c r="I4885" s="84" t="str">
        <f aca="false">IF(C4885="","",C4885*IF(Settings!$B$23=Settings!$C$6,1,IF(Settings!$B$23="USD",1/INDEX(Settings!$B$29:$B$40,MONTH(A4885)),INDEX(Settings!$B$29:$B$40,MONTH(A4885)))))</f>
        <v/>
      </c>
    </row>
    <row r="4886" customFormat="false" ht="15" hidden="false" customHeight="false" outlineLevel="0" collapsed="false">
      <c r="H4886" s="0" t="str">
        <f aca="false">IF(B4886="","",IF(COUNTIF(Campaigns!$A$7:$A$300,B4886)&gt;0,"✓","⚠ add to Campaigns tab"))</f>
        <v/>
      </c>
      <c r="I4886" s="84" t="str">
        <f aca="false">IF(C4886="","",C4886*IF(Settings!$B$23=Settings!$C$6,1,IF(Settings!$B$23="USD",1/INDEX(Settings!$B$29:$B$40,MONTH(A4886)),INDEX(Settings!$B$29:$B$40,MONTH(A4886)))))</f>
        <v/>
      </c>
    </row>
    <row r="4887" customFormat="false" ht="15" hidden="false" customHeight="false" outlineLevel="0" collapsed="false">
      <c r="H4887" s="0" t="str">
        <f aca="false">IF(B4887="","",IF(COUNTIF(Campaigns!$A$7:$A$300,B4887)&gt;0,"✓","⚠ add to Campaigns tab"))</f>
        <v/>
      </c>
      <c r="I4887" s="84" t="str">
        <f aca="false">IF(C4887="","",C4887*IF(Settings!$B$23=Settings!$C$6,1,IF(Settings!$B$23="USD",1/INDEX(Settings!$B$29:$B$40,MONTH(A4887)),INDEX(Settings!$B$29:$B$40,MONTH(A4887)))))</f>
        <v/>
      </c>
    </row>
    <row r="4888" customFormat="false" ht="15" hidden="false" customHeight="false" outlineLevel="0" collapsed="false">
      <c r="H4888" s="0" t="str">
        <f aca="false">IF(B4888="","",IF(COUNTIF(Campaigns!$A$7:$A$300,B4888)&gt;0,"✓","⚠ add to Campaigns tab"))</f>
        <v/>
      </c>
      <c r="I4888" s="84" t="str">
        <f aca="false">IF(C4888="","",C4888*IF(Settings!$B$23=Settings!$C$6,1,IF(Settings!$B$23="USD",1/INDEX(Settings!$B$29:$B$40,MONTH(A4888)),INDEX(Settings!$B$29:$B$40,MONTH(A4888)))))</f>
        <v/>
      </c>
    </row>
    <row r="4889" customFormat="false" ht="15" hidden="false" customHeight="false" outlineLevel="0" collapsed="false">
      <c r="H4889" s="0" t="str">
        <f aca="false">IF(B4889="","",IF(COUNTIF(Campaigns!$A$7:$A$300,B4889)&gt;0,"✓","⚠ add to Campaigns tab"))</f>
        <v/>
      </c>
      <c r="I4889" s="84" t="str">
        <f aca="false">IF(C4889="","",C4889*IF(Settings!$B$23=Settings!$C$6,1,IF(Settings!$B$23="USD",1/INDEX(Settings!$B$29:$B$40,MONTH(A4889)),INDEX(Settings!$B$29:$B$40,MONTH(A4889)))))</f>
        <v/>
      </c>
    </row>
    <row r="4890" customFormat="false" ht="15" hidden="false" customHeight="false" outlineLevel="0" collapsed="false">
      <c r="H4890" s="0" t="str">
        <f aca="false">IF(B4890="","",IF(COUNTIF(Campaigns!$A$7:$A$300,B4890)&gt;0,"✓","⚠ add to Campaigns tab"))</f>
        <v/>
      </c>
      <c r="I4890" s="84" t="str">
        <f aca="false">IF(C4890="","",C4890*IF(Settings!$B$23=Settings!$C$6,1,IF(Settings!$B$23="USD",1/INDEX(Settings!$B$29:$B$40,MONTH(A4890)),INDEX(Settings!$B$29:$B$40,MONTH(A4890)))))</f>
        <v/>
      </c>
    </row>
    <row r="4891" customFormat="false" ht="15" hidden="false" customHeight="false" outlineLevel="0" collapsed="false">
      <c r="H4891" s="0" t="str">
        <f aca="false">IF(B4891="","",IF(COUNTIF(Campaigns!$A$7:$A$300,B4891)&gt;0,"✓","⚠ add to Campaigns tab"))</f>
        <v/>
      </c>
      <c r="I4891" s="84" t="str">
        <f aca="false">IF(C4891="","",C4891*IF(Settings!$B$23=Settings!$C$6,1,IF(Settings!$B$23="USD",1/INDEX(Settings!$B$29:$B$40,MONTH(A4891)),INDEX(Settings!$B$29:$B$40,MONTH(A4891)))))</f>
        <v/>
      </c>
    </row>
    <row r="4892" customFormat="false" ht="15" hidden="false" customHeight="false" outlineLevel="0" collapsed="false">
      <c r="H4892" s="0" t="str">
        <f aca="false">IF(B4892="","",IF(COUNTIF(Campaigns!$A$7:$A$300,B4892)&gt;0,"✓","⚠ add to Campaigns tab"))</f>
        <v/>
      </c>
      <c r="I4892" s="84" t="str">
        <f aca="false">IF(C4892="","",C4892*IF(Settings!$B$23=Settings!$C$6,1,IF(Settings!$B$23="USD",1/INDEX(Settings!$B$29:$B$40,MONTH(A4892)),INDEX(Settings!$B$29:$B$40,MONTH(A4892)))))</f>
        <v/>
      </c>
    </row>
    <row r="4893" customFormat="false" ht="15" hidden="false" customHeight="false" outlineLevel="0" collapsed="false">
      <c r="H4893" s="0" t="str">
        <f aca="false">IF(B4893="","",IF(COUNTIF(Campaigns!$A$7:$A$300,B4893)&gt;0,"✓","⚠ add to Campaigns tab"))</f>
        <v/>
      </c>
      <c r="I4893" s="84" t="str">
        <f aca="false">IF(C4893="","",C4893*IF(Settings!$B$23=Settings!$C$6,1,IF(Settings!$B$23="USD",1/INDEX(Settings!$B$29:$B$40,MONTH(A4893)),INDEX(Settings!$B$29:$B$40,MONTH(A4893)))))</f>
        <v/>
      </c>
    </row>
    <row r="4894" customFormat="false" ht="15" hidden="false" customHeight="false" outlineLevel="0" collapsed="false">
      <c r="H4894" s="0" t="str">
        <f aca="false">IF(B4894="","",IF(COUNTIF(Campaigns!$A$7:$A$300,B4894)&gt;0,"✓","⚠ add to Campaigns tab"))</f>
        <v/>
      </c>
      <c r="I4894" s="84" t="str">
        <f aca="false">IF(C4894="","",C4894*IF(Settings!$B$23=Settings!$C$6,1,IF(Settings!$B$23="USD",1/INDEX(Settings!$B$29:$B$40,MONTH(A4894)),INDEX(Settings!$B$29:$B$40,MONTH(A4894)))))</f>
        <v/>
      </c>
    </row>
    <row r="4895" customFormat="false" ht="15" hidden="false" customHeight="false" outlineLevel="0" collapsed="false">
      <c r="H4895" s="0" t="str">
        <f aca="false">IF(B4895="","",IF(COUNTIF(Campaigns!$A$7:$A$300,B4895)&gt;0,"✓","⚠ add to Campaigns tab"))</f>
        <v/>
      </c>
      <c r="I4895" s="84" t="str">
        <f aca="false">IF(C4895="","",C4895*IF(Settings!$B$23=Settings!$C$6,1,IF(Settings!$B$23="USD",1/INDEX(Settings!$B$29:$B$40,MONTH(A4895)),INDEX(Settings!$B$29:$B$40,MONTH(A4895)))))</f>
        <v/>
      </c>
    </row>
    <row r="4896" customFormat="false" ht="15" hidden="false" customHeight="false" outlineLevel="0" collapsed="false">
      <c r="H4896" s="0" t="str">
        <f aca="false">IF(B4896="","",IF(COUNTIF(Campaigns!$A$7:$A$300,B4896)&gt;0,"✓","⚠ add to Campaigns tab"))</f>
        <v/>
      </c>
      <c r="I4896" s="84" t="str">
        <f aca="false">IF(C4896="","",C4896*IF(Settings!$B$23=Settings!$C$6,1,IF(Settings!$B$23="USD",1/INDEX(Settings!$B$29:$B$40,MONTH(A4896)),INDEX(Settings!$B$29:$B$40,MONTH(A4896)))))</f>
        <v/>
      </c>
    </row>
    <row r="4897" customFormat="false" ht="15" hidden="false" customHeight="false" outlineLevel="0" collapsed="false">
      <c r="H4897" s="0" t="str">
        <f aca="false">IF(B4897="","",IF(COUNTIF(Campaigns!$A$7:$A$300,B4897)&gt;0,"✓","⚠ add to Campaigns tab"))</f>
        <v/>
      </c>
      <c r="I4897" s="84" t="str">
        <f aca="false">IF(C4897="","",C4897*IF(Settings!$B$23=Settings!$C$6,1,IF(Settings!$B$23="USD",1/INDEX(Settings!$B$29:$B$40,MONTH(A4897)),INDEX(Settings!$B$29:$B$40,MONTH(A4897)))))</f>
        <v/>
      </c>
    </row>
    <row r="4898" customFormat="false" ht="15" hidden="false" customHeight="false" outlineLevel="0" collapsed="false">
      <c r="H4898" s="0" t="str">
        <f aca="false">IF(B4898="","",IF(COUNTIF(Campaigns!$A$7:$A$300,B4898)&gt;0,"✓","⚠ add to Campaigns tab"))</f>
        <v/>
      </c>
      <c r="I4898" s="84" t="str">
        <f aca="false">IF(C4898="","",C4898*IF(Settings!$B$23=Settings!$C$6,1,IF(Settings!$B$23="USD",1/INDEX(Settings!$B$29:$B$40,MONTH(A4898)),INDEX(Settings!$B$29:$B$40,MONTH(A4898)))))</f>
        <v/>
      </c>
    </row>
    <row r="4899" customFormat="false" ht="15" hidden="false" customHeight="false" outlineLevel="0" collapsed="false">
      <c r="H4899" s="0" t="str">
        <f aca="false">IF(B4899="","",IF(COUNTIF(Campaigns!$A$7:$A$300,B4899)&gt;0,"✓","⚠ add to Campaigns tab"))</f>
        <v/>
      </c>
      <c r="I4899" s="84" t="str">
        <f aca="false">IF(C4899="","",C4899*IF(Settings!$B$23=Settings!$C$6,1,IF(Settings!$B$23="USD",1/INDEX(Settings!$B$29:$B$40,MONTH(A4899)),INDEX(Settings!$B$29:$B$40,MONTH(A4899)))))</f>
        <v/>
      </c>
    </row>
    <row r="4900" customFormat="false" ht="15" hidden="false" customHeight="false" outlineLevel="0" collapsed="false">
      <c r="H4900" s="0" t="str">
        <f aca="false">IF(B4900="","",IF(COUNTIF(Campaigns!$A$7:$A$300,B4900)&gt;0,"✓","⚠ add to Campaigns tab"))</f>
        <v/>
      </c>
      <c r="I4900" s="84" t="str">
        <f aca="false">IF(C4900="","",C4900*IF(Settings!$B$23=Settings!$C$6,1,IF(Settings!$B$23="USD",1/INDEX(Settings!$B$29:$B$40,MONTH(A4900)),INDEX(Settings!$B$29:$B$40,MONTH(A4900)))))</f>
        <v/>
      </c>
    </row>
    <row r="4901" customFormat="false" ht="15" hidden="false" customHeight="false" outlineLevel="0" collapsed="false">
      <c r="H4901" s="0" t="str">
        <f aca="false">IF(B4901="","",IF(COUNTIF(Campaigns!$A$7:$A$300,B4901)&gt;0,"✓","⚠ add to Campaigns tab"))</f>
        <v/>
      </c>
      <c r="I4901" s="84" t="str">
        <f aca="false">IF(C4901="","",C4901*IF(Settings!$B$23=Settings!$C$6,1,IF(Settings!$B$23="USD",1/INDEX(Settings!$B$29:$B$40,MONTH(A4901)),INDEX(Settings!$B$29:$B$40,MONTH(A4901)))))</f>
        <v/>
      </c>
    </row>
    <row r="4902" customFormat="false" ht="15" hidden="false" customHeight="false" outlineLevel="0" collapsed="false">
      <c r="H4902" s="0" t="str">
        <f aca="false">IF(B4902="","",IF(COUNTIF(Campaigns!$A$7:$A$300,B4902)&gt;0,"✓","⚠ add to Campaigns tab"))</f>
        <v/>
      </c>
      <c r="I4902" s="84" t="str">
        <f aca="false">IF(C4902="","",C4902*IF(Settings!$B$23=Settings!$C$6,1,IF(Settings!$B$23="USD",1/INDEX(Settings!$B$29:$B$40,MONTH(A4902)),INDEX(Settings!$B$29:$B$40,MONTH(A4902)))))</f>
        <v/>
      </c>
    </row>
    <row r="4903" customFormat="false" ht="15" hidden="false" customHeight="false" outlineLevel="0" collapsed="false">
      <c r="H4903" s="0" t="str">
        <f aca="false">IF(B4903="","",IF(COUNTIF(Campaigns!$A$7:$A$300,B4903)&gt;0,"✓","⚠ add to Campaigns tab"))</f>
        <v/>
      </c>
      <c r="I4903" s="84" t="str">
        <f aca="false">IF(C4903="","",C4903*IF(Settings!$B$23=Settings!$C$6,1,IF(Settings!$B$23="USD",1/INDEX(Settings!$B$29:$B$40,MONTH(A4903)),INDEX(Settings!$B$29:$B$40,MONTH(A4903)))))</f>
        <v/>
      </c>
    </row>
    <row r="4904" customFormat="false" ht="15" hidden="false" customHeight="false" outlineLevel="0" collapsed="false">
      <c r="H4904" s="0" t="str">
        <f aca="false">IF(B4904="","",IF(COUNTIF(Campaigns!$A$7:$A$300,B4904)&gt;0,"✓","⚠ add to Campaigns tab"))</f>
        <v/>
      </c>
      <c r="I4904" s="84" t="str">
        <f aca="false">IF(C4904="","",C4904*IF(Settings!$B$23=Settings!$C$6,1,IF(Settings!$B$23="USD",1/INDEX(Settings!$B$29:$B$40,MONTH(A4904)),INDEX(Settings!$B$29:$B$40,MONTH(A4904)))))</f>
        <v/>
      </c>
    </row>
    <row r="4905" customFormat="false" ht="15" hidden="false" customHeight="false" outlineLevel="0" collapsed="false">
      <c r="H4905" s="0" t="str">
        <f aca="false">IF(B4905="","",IF(COUNTIF(Campaigns!$A$7:$A$300,B4905)&gt;0,"✓","⚠ add to Campaigns tab"))</f>
        <v/>
      </c>
      <c r="I4905" s="84" t="str">
        <f aca="false">IF(C4905="","",C4905*IF(Settings!$B$23=Settings!$C$6,1,IF(Settings!$B$23="USD",1/INDEX(Settings!$B$29:$B$40,MONTH(A4905)),INDEX(Settings!$B$29:$B$40,MONTH(A4905)))))</f>
        <v/>
      </c>
    </row>
    <row r="4906" customFormat="false" ht="15" hidden="false" customHeight="false" outlineLevel="0" collapsed="false">
      <c r="H4906" s="0" t="str">
        <f aca="false">IF(B4906="","",IF(COUNTIF(Campaigns!$A$7:$A$300,B4906)&gt;0,"✓","⚠ add to Campaigns tab"))</f>
        <v/>
      </c>
      <c r="I4906" s="84" t="str">
        <f aca="false">IF(C4906="","",C4906*IF(Settings!$B$23=Settings!$C$6,1,IF(Settings!$B$23="USD",1/INDEX(Settings!$B$29:$B$40,MONTH(A4906)),INDEX(Settings!$B$29:$B$40,MONTH(A4906)))))</f>
        <v/>
      </c>
    </row>
    <row r="4907" customFormat="false" ht="15" hidden="false" customHeight="false" outlineLevel="0" collapsed="false">
      <c r="H4907" s="0" t="str">
        <f aca="false">IF(B4907="","",IF(COUNTIF(Campaigns!$A$7:$A$300,B4907)&gt;0,"✓","⚠ add to Campaigns tab"))</f>
        <v/>
      </c>
      <c r="I4907" s="84" t="str">
        <f aca="false">IF(C4907="","",C4907*IF(Settings!$B$23=Settings!$C$6,1,IF(Settings!$B$23="USD",1/INDEX(Settings!$B$29:$B$40,MONTH(A4907)),INDEX(Settings!$B$29:$B$40,MONTH(A4907)))))</f>
        <v/>
      </c>
    </row>
    <row r="4908" customFormat="false" ht="15" hidden="false" customHeight="false" outlineLevel="0" collapsed="false">
      <c r="H4908" s="0" t="str">
        <f aca="false">IF(B4908="","",IF(COUNTIF(Campaigns!$A$7:$A$300,B4908)&gt;0,"✓","⚠ add to Campaigns tab"))</f>
        <v/>
      </c>
      <c r="I4908" s="84" t="str">
        <f aca="false">IF(C4908="","",C4908*IF(Settings!$B$23=Settings!$C$6,1,IF(Settings!$B$23="USD",1/INDEX(Settings!$B$29:$B$40,MONTH(A4908)),INDEX(Settings!$B$29:$B$40,MONTH(A4908)))))</f>
        <v/>
      </c>
    </row>
    <row r="4909" customFormat="false" ht="15" hidden="false" customHeight="false" outlineLevel="0" collapsed="false">
      <c r="H4909" s="0" t="str">
        <f aca="false">IF(B4909="","",IF(COUNTIF(Campaigns!$A$7:$A$300,B4909)&gt;0,"✓","⚠ add to Campaigns tab"))</f>
        <v/>
      </c>
      <c r="I4909" s="84" t="str">
        <f aca="false">IF(C4909="","",C4909*IF(Settings!$B$23=Settings!$C$6,1,IF(Settings!$B$23="USD",1/INDEX(Settings!$B$29:$B$40,MONTH(A4909)),INDEX(Settings!$B$29:$B$40,MONTH(A4909)))))</f>
        <v/>
      </c>
    </row>
    <row r="4910" customFormat="false" ht="15" hidden="false" customHeight="false" outlineLevel="0" collapsed="false">
      <c r="H4910" s="0" t="str">
        <f aca="false">IF(B4910="","",IF(COUNTIF(Campaigns!$A$7:$A$300,B4910)&gt;0,"✓","⚠ add to Campaigns tab"))</f>
        <v/>
      </c>
      <c r="I4910" s="84" t="str">
        <f aca="false">IF(C4910="","",C4910*IF(Settings!$B$23=Settings!$C$6,1,IF(Settings!$B$23="USD",1/INDEX(Settings!$B$29:$B$40,MONTH(A4910)),INDEX(Settings!$B$29:$B$40,MONTH(A4910)))))</f>
        <v/>
      </c>
    </row>
    <row r="4911" customFormat="false" ht="15" hidden="false" customHeight="false" outlineLevel="0" collapsed="false">
      <c r="H4911" s="0" t="str">
        <f aca="false">IF(B4911="","",IF(COUNTIF(Campaigns!$A$7:$A$300,B4911)&gt;0,"✓","⚠ add to Campaigns tab"))</f>
        <v/>
      </c>
      <c r="I4911" s="84" t="str">
        <f aca="false">IF(C4911="","",C4911*IF(Settings!$B$23=Settings!$C$6,1,IF(Settings!$B$23="USD",1/INDEX(Settings!$B$29:$B$40,MONTH(A4911)),INDEX(Settings!$B$29:$B$40,MONTH(A4911)))))</f>
        <v/>
      </c>
    </row>
    <row r="4912" customFormat="false" ht="15" hidden="false" customHeight="false" outlineLevel="0" collapsed="false">
      <c r="H4912" s="0" t="str">
        <f aca="false">IF(B4912="","",IF(COUNTIF(Campaigns!$A$7:$A$300,B4912)&gt;0,"✓","⚠ add to Campaigns tab"))</f>
        <v/>
      </c>
      <c r="I4912" s="84" t="str">
        <f aca="false">IF(C4912="","",C4912*IF(Settings!$B$23=Settings!$C$6,1,IF(Settings!$B$23="USD",1/INDEX(Settings!$B$29:$B$40,MONTH(A4912)),INDEX(Settings!$B$29:$B$40,MONTH(A4912)))))</f>
        <v/>
      </c>
    </row>
    <row r="4913" customFormat="false" ht="15" hidden="false" customHeight="false" outlineLevel="0" collapsed="false">
      <c r="H4913" s="0" t="str">
        <f aca="false">IF(B4913="","",IF(COUNTIF(Campaigns!$A$7:$A$300,B4913)&gt;0,"✓","⚠ add to Campaigns tab"))</f>
        <v/>
      </c>
      <c r="I4913" s="84" t="str">
        <f aca="false">IF(C4913="","",C4913*IF(Settings!$B$23=Settings!$C$6,1,IF(Settings!$B$23="USD",1/INDEX(Settings!$B$29:$B$40,MONTH(A4913)),INDEX(Settings!$B$29:$B$40,MONTH(A4913)))))</f>
        <v/>
      </c>
    </row>
    <row r="4914" customFormat="false" ht="15" hidden="false" customHeight="false" outlineLevel="0" collapsed="false">
      <c r="H4914" s="0" t="str">
        <f aca="false">IF(B4914="","",IF(COUNTIF(Campaigns!$A$7:$A$300,B4914)&gt;0,"✓","⚠ add to Campaigns tab"))</f>
        <v/>
      </c>
      <c r="I4914" s="84" t="str">
        <f aca="false">IF(C4914="","",C4914*IF(Settings!$B$23=Settings!$C$6,1,IF(Settings!$B$23="USD",1/INDEX(Settings!$B$29:$B$40,MONTH(A4914)),INDEX(Settings!$B$29:$B$40,MONTH(A4914)))))</f>
        <v/>
      </c>
    </row>
    <row r="4915" customFormat="false" ht="15" hidden="false" customHeight="false" outlineLevel="0" collapsed="false">
      <c r="H4915" s="0" t="str">
        <f aca="false">IF(B4915="","",IF(COUNTIF(Campaigns!$A$7:$A$300,B4915)&gt;0,"✓","⚠ add to Campaigns tab"))</f>
        <v/>
      </c>
      <c r="I4915" s="84" t="str">
        <f aca="false">IF(C4915="","",C4915*IF(Settings!$B$23=Settings!$C$6,1,IF(Settings!$B$23="USD",1/INDEX(Settings!$B$29:$B$40,MONTH(A4915)),INDEX(Settings!$B$29:$B$40,MONTH(A4915)))))</f>
        <v/>
      </c>
    </row>
    <row r="4916" customFormat="false" ht="15" hidden="false" customHeight="false" outlineLevel="0" collapsed="false">
      <c r="H4916" s="0" t="str">
        <f aca="false">IF(B4916="","",IF(COUNTIF(Campaigns!$A$7:$A$300,B4916)&gt;0,"✓","⚠ add to Campaigns tab"))</f>
        <v/>
      </c>
      <c r="I4916" s="84" t="str">
        <f aca="false">IF(C4916="","",C4916*IF(Settings!$B$23=Settings!$C$6,1,IF(Settings!$B$23="USD",1/INDEX(Settings!$B$29:$B$40,MONTH(A4916)),INDEX(Settings!$B$29:$B$40,MONTH(A4916)))))</f>
        <v/>
      </c>
    </row>
    <row r="4917" customFormat="false" ht="15" hidden="false" customHeight="false" outlineLevel="0" collapsed="false">
      <c r="H4917" s="0" t="str">
        <f aca="false">IF(B4917="","",IF(COUNTIF(Campaigns!$A$7:$A$300,B4917)&gt;0,"✓","⚠ add to Campaigns tab"))</f>
        <v/>
      </c>
      <c r="I4917" s="84" t="str">
        <f aca="false">IF(C4917="","",C4917*IF(Settings!$B$23=Settings!$C$6,1,IF(Settings!$B$23="USD",1/INDEX(Settings!$B$29:$B$40,MONTH(A4917)),INDEX(Settings!$B$29:$B$40,MONTH(A4917)))))</f>
        <v/>
      </c>
    </row>
    <row r="4918" customFormat="false" ht="15" hidden="false" customHeight="false" outlineLevel="0" collapsed="false">
      <c r="H4918" s="0" t="str">
        <f aca="false">IF(B4918="","",IF(COUNTIF(Campaigns!$A$7:$A$300,B4918)&gt;0,"✓","⚠ add to Campaigns tab"))</f>
        <v/>
      </c>
      <c r="I4918" s="84" t="str">
        <f aca="false">IF(C4918="","",C4918*IF(Settings!$B$23=Settings!$C$6,1,IF(Settings!$B$23="USD",1/INDEX(Settings!$B$29:$B$40,MONTH(A4918)),INDEX(Settings!$B$29:$B$40,MONTH(A4918)))))</f>
        <v/>
      </c>
    </row>
    <row r="4919" customFormat="false" ht="15" hidden="false" customHeight="false" outlineLevel="0" collapsed="false">
      <c r="H4919" s="0" t="str">
        <f aca="false">IF(B4919="","",IF(COUNTIF(Campaigns!$A$7:$A$300,B4919)&gt;0,"✓","⚠ add to Campaigns tab"))</f>
        <v/>
      </c>
      <c r="I4919" s="84" t="str">
        <f aca="false">IF(C4919="","",C4919*IF(Settings!$B$23=Settings!$C$6,1,IF(Settings!$B$23="USD",1/INDEX(Settings!$B$29:$B$40,MONTH(A4919)),INDEX(Settings!$B$29:$B$40,MONTH(A4919)))))</f>
        <v/>
      </c>
    </row>
    <row r="4920" customFormat="false" ht="15" hidden="false" customHeight="false" outlineLevel="0" collapsed="false">
      <c r="H4920" s="0" t="str">
        <f aca="false">IF(B4920="","",IF(COUNTIF(Campaigns!$A$7:$A$300,B4920)&gt;0,"✓","⚠ add to Campaigns tab"))</f>
        <v/>
      </c>
      <c r="I4920" s="84" t="str">
        <f aca="false">IF(C4920="","",C4920*IF(Settings!$B$23=Settings!$C$6,1,IF(Settings!$B$23="USD",1/INDEX(Settings!$B$29:$B$40,MONTH(A4920)),INDEX(Settings!$B$29:$B$40,MONTH(A4920)))))</f>
        <v/>
      </c>
    </row>
    <row r="4921" customFormat="false" ht="15" hidden="false" customHeight="false" outlineLevel="0" collapsed="false">
      <c r="H4921" s="0" t="str">
        <f aca="false">IF(B4921="","",IF(COUNTIF(Campaigns!$A$7:$A$300,B4921)&gt;0,"✓","⚠ add to Campaigns tab"))</f>
        <v/>
      </c>
      <c r="I4921" s="84" t="str">
        <f aca="false">IF(C4921="","",C4921*IF(Settings!$B$23=Settings!$C$6,1,IF(Settings!$B$23="USD",1/INDEX(Settings!$B$29:$B$40,MONTH(A4921)),INDEX(Settings!$B$29:$B$40,MONTH(A4921)))))</f>
        <v/>
      </c>
    </row>
    <row r="4922" customFormat="false" ht="15" hidden="false" customHeight="false" outlineLevel="0" collapsed="false">
      <c r="H4922" s="0" t="str">
        <f aca="false">IF(B4922="","",IF(COUNTIF(Campaigns!$A$7:$A$300,B4922)&gt;0,"✓","⚠ add to Campaigns tab"))</f>
        <v/>
      </c>
      <c r="I4922" s="84" t="str">
        <f aca="false">IF(C4922="","",C4922*IF(Settings!$B$23=Settings!$C$6,1,IF(Settings!$B$23="USD",1/INDEX(Settings!$B$29:$B$40,MONTH(A4922)),INDEX(Settings!$B$29:$B$40,MONTH(A4922)))))</f>
        <v/>
      </c>
    </row>
    <row r="4923" customFormat="false" ht="15" hidden="false" customHeight="false" outlineLevel="0" collapsed="false">
      <c r="H4923" s="0" t="str">
        <f aca="false">IF(B4923="","",IF(COUNTIF(Campaigns!$A$7:$A$300,B4923)&gt;0,"✓","⚠ add to Campaigns tab"))</f>
        <v/>
      </c>
      <c r="I4923" s="84" t="str">
        <f aca="false">IF(C4923="","",C4923*IF(Settings!$B$23=Settings!$C$6,1,IF(Settings!$B$23="USD",1/INDEX(Settings!$B$29:$B$40,MONTH(A4923)),INDEX(Settings!$B$29:$B$40,MONTH(A4923)))))</f>
        <v/>
      </c>
    </row>
    <row r="4924" customFormat="false" ht="15" hidden="false" customHeight="false" outlineLevel="0" collapsed="false">
      <c r="H4924" s="0" t="str">
        <f aca="false">IF(B4924="","",IF(COUNTIF(Campaigns!$A$7:$A$300,B4924)&gt;0,"✓","⚠ add to Campaigns tab"))</f>
        <v/>
      </c>
      <c r="I4924" s="84" t="str">
        <f aca="false">IF(C4924="","",C4924*IF(Settings!$B$23=Settings!$C$6,1,IF(Settings!$B$23="USD",1/INDEX(Settings!$B$29:$B$40,MONTH(A4924)),INDEX(Settings!$B$29:$B$40,MONTH(A4924)))))</f>
        <v/>
      </c>
    </row>
    <row r="4925" customFormat="false" ht="15" hidden="false" customHeight="false" outlineLevel="0" collapsed="false">
      <c r="H4925" s="0" t="str">
        <f aca="false">IF(B4925="","",IF(COUNTIF(Campaigns!$A$7:$A$300,B4925)&gt;0,"✓","⚠ add to Campaigns tab"))</f>
        <v/>
      </c>
      <c r="I4925" s="84" t="str">
        <f aca="false">IF(C4925="","",C4925*IF(Settings!$B$23=Settings!$C$6,1,IF(Settings!$B$23="USD",1/INDEX(Settings!$B$29:$B$40,MONTH(A4925)),INDEX(Settings!$B$29:$B$40,MONTH(A4925)))))</f>
        <v/>
      </c>
    </row>
    <row r="4926" customFormat="false" ht="15" hidden="false" customHeight="false" outlineLevel="0" collapsed="false">
      <c r="H4926" s="0" t="str">
        <f aca="false">IF(B4926="","",IF(COUNTIF(Campaigns!$A$7:$A$300,B4926)&gt;0,"✓","⚠ add to Campaigns tab"))</f>
        <v/>
      </c>
      <c r="I4926" s="84" t="str">
        <f aca="false">IF(C4926="","",C4926*IF(Settings!$B$23=Settings!$C$6,1,IF(Settings!$B$23="USD",1/INDEX(Settings!$B$29:$B$40,MONTH(A4926)),INDEX(Settings!$B$29:$B$40,MONTH(A4926)))))</f>
        <v/>
      </c>
    </row>
    <row r="4927" customFormat="false" ht="15" hidden="false" customHeight="false" outlineLevel="0" collapsed="false">
      <c r="H4927" s="0" t="str">
        <f aca="false">IF(B4927="","",IF(COUNTIF(Campaigns!$A$7:$A$300,B4927)&gt;0,"✓","⚠ add to Campaigns tab"))</f>
        <v/>
      </c>
      <c r="I4927" s="84" t="str">
        <f aca="false">IF(C4927="","",C4927*IF(Settings!$B$23=Settings!$C$6,1,IF(Settings!$B$23="USD",1/INDEX(Settings!$B$29:$B$40,MONTH(A4927)),INDEX(Settings!$B$29:$B$40,MONTH(A4927)))))</f>
        <v/>
      </c>
    </row>
    <row r="4928" customFormat="false" ht="15" hidden="false" customHeight="false" outlineLevel="0" collapsed="false">
      <c r="H4928" s="0" t="str">
        <f aca="false">IF(B4928="","",IF(COUNTIF(Campaigns!$A$7:$A$300,B4928)&gt;0,"✓","⚠ add to Campaigns tab"))</f>
        <v/>
      </c>
      <c r="I4928" s="84" t="str">
        <f aca="false">IF(C4928="","",C4928*IF(Settings!$B$23=Settings!$C$6,1,IF(Settings!$B$23="USD",1/INDEX(Settings!$B$29:$B$40,MONTH(A4928)),INDEX(Settings!$B$29:$B$40,MONTH(A4928)))))</f>
        <v/>
      </c>
    </row>
    <row r="4929" customFormat="false" ht="15" hidden="false" customHeight="false" outlineLevel="0" collapsed="false">
      <c r="H4929" s="0" t="str">
        <f aca="false">IF(B4929="","",IF(COUNTIF(Campaigns!$A$7:$A$300,B4929)&gt;0,"✓","⚠ add to Campaigns tab"))</f>
        <v/>
      </c>
      <c r="I4929" s="84" t="str">
        <f aca="false">IF(C4929="","",C4929*IF(Settings!$B$23=Settings!$C$6,1,IF(Settings!$B$23="USD",1/INDEX(Settings!$B$29:$B$40,MONTH(A4929)),INDEX(Settings!$B$29:$B$40,MONTH(A4929)))))</f>
        <v/>
      </c>
    </row>
    <row r="4930" customFormat="false" ht="15" hidden="false" customHeight="false" outlineLevel="0" collapsed="false">
      <c r="H4930" s="0" t="str">
        <f aca="false">IF(B4930="","",IF(COUNTIF(Campaigns!$A$7:$A$300,B4930)&gt;0,"✓","⚠ add to Campaigns tab"))</f>
        <v/>
      </c>
      <c r="I4930" s="84" t="str">
        <f aca="false">IF(C4930="","",C4930*IF(Settings!$B$23=Settings!$C$6,1,IF(Settings!$B$23="USD",1/INDEX(Settings!$B$29:$B$40,MONTH(A4930)),INDEX(Settings!$B$29:$B$40,MONTH(A4930)))))</f>
        <v/>
      </c>
    </row>
    <row r="4931" customFormat="false" ht="15" hidden="false" customHeight="false" outlineLevel="0" collapsed="false">
      <c r="H4931" s="0" t="str">
        <f aca="false">IF(B4931="","",IF(COUNTIF(Campaigns!$A$7:$A$300,B4931)&gt;0,"✓","⚠ add to Campaigns tab"))</f>
        <v/>
      </c>
      <c r="I4931" s="84" t="str">
        <f aca="false">IF(C4931="","",C4931*IF(Settings!$B$23=Settings!$C$6,1,IF(Settings!$B$23="USD",1/INDEX(Settings!$B$29:$B$40,MONTH(A4931)),INDEX(Settings!$B$29:$B$40,MONTH(A4931)))))</f>
        <v/>
      </c>
    </row>
    <row r="4932" customFormat="false" ht="15" hidden="false" customHeight="false" outlineLevel="0" collapsed="false">
      <c r="H4932" s="0" t="str">
        <f aca="false">IF(B4932="","",IF(COUNTIF(Campaigns!$A$7:$A$300,B4932)&gt;0,"✓","⚠ add to Campaigns tab"))</f>
        <v/>
      </c>
      <c r="I4932" s="84" t="str">
        <f aca="false">IF(C4932="","",C4932*IF(Settings!$B$23=Settings!$C$6,1,IF(Settings!$B$23="USD",1/INDEX(Settings!$B$29:$B$40,MONTH(A4932)),INDEX(Settings!$B$29:$B$40,MONTH(A4932)))))</f>
        <v/>
      </c>
    </row>
    <row r="4933" customFormat="false" ht="15" hidden="false" customHeight="false" outlineLevel="0" collapsed="false">
      <c r="H4933" s="0" t="str">
        <f aca="false">IF(B4933="","",IF(COUNTIF(Campaigns!$A$7:$A$300,B4933)&gt;0,"✓","⚠ add to Campaigns tab"))</f>
        <v/>
      </c>
      <c r="I4933" s="84" t="str">
        <f aca="false">IF(C4933="","",C4933*IF(Settings!$B$23=Settings!$C$6,1,IF(Settings!$B$23="USD",1/INDEX(Settings!$B$29:$B$40,MONTH(A4933)),INDEX(Settings!$B$29:$B$40,MONTH(A4933)))))</f>
        <v/>
      </c>
    </row>
    <row r="4934" customFormat="false" ht="15" hidden="false" customHeight="false" outlineLevel="0" collapsed="false">
      <c r="H4934" s="0" t="str">
        <f aca="false">IF(B4934="","",IF(COUNTIF(Campaigns!$A$7:$A$300,B4934)&gt;0,"✓","⚠ add to Campaigns tab"))</f>
        <v/>
      </c>
      <c r="I4934" s="84" t="str">
        <f aca="false">IF(C4934="","",C4934*IF(Settings!$B$23=Settings!$C$6,1,IF(Settings!$B$23="USD",1/INDEX(Settings!$B$29:$B$40,MONTH(A4934)),INDEX(Settings!$B$29:$B$40,MONTH(A4934)))))</f>
        <v/>
      </c>
    </row>
    <row r="4935" customFormat="false" ht="15" hidden="false" customHeight="false" outlineLevel="0" collapsed="false">
      <c r="H4935" s="0" t="str">
        <f aca="false">IF(B4935="","",IF(COUNTIF(Campaigns!$A$7:$A$300,B4935)&gt;0,"✓","⚠ add to Campaigns tab"))</f>
        <v/>
      </c>
      <c r="I4935" s="84" t="str">
        <f aca="false">IF(C4935="","",C4935*IF(Settings!$B$23=Settings!$C$6,1,IF(Settings!$B$23="USD",1/INDEX(Settings!$B$29:$B$40,MONTH(A4935)),INDEX(Settings!$B$29:$B$40,MONTH(A4935)))))</f>
        <v/>
      </c>
    </row>
    <row r="4936" customFormat="false" ht="15" hidden="false" customHeight="false" outlineLevel="0" collapsed="false">
      <c r="H4936" s="0" t="str">
        <f aca="false">IF(B4936="","",IF(COUNTIF(Campaigns!$A$7:$A$300,B4936)&gt;0,"✓","⚠ add to Campaigns tab"))</f>
        <v/>
      </c>
      <c r="I4936" s="84" t="str">
        <f aca="false">IF(C4936="","",C4936*IF(Settings!$B$23=Settings!$C$6,1,IF(Settings!$B$23="USD",1/INDEX(Settings!$B$29:$B$40,MONTH(A4936)),INDEX(Settings!$B$29:$B$40,MONTH(A4936)))))</f>
        <v/>
      </c>
    </row>
    <row r="4937" customFormat="false" ht="15" hidden="false" customHeight="false" outlineLevel="0" collapsed="false">
      <c r="H4937" s="0" t="str">
        <f aca="false">IF(B4937="","",IF(COUNTIF(Campaigns!$A$7:$A$300,B4937)&gt;0,"✓","⚠ add to Campaigns tab"))</f>
        <v/>
      </c>
      <c r="I4937" s="84" t="str">
        <f aca="false">IF(C4937="","",C4937*IF(Settings!$B$23=Settings!$C$6,1,IF(Settings!$B$23="USD",1/INDEX(Settings!$B$29:$B$40,MONTH(A4937)),INDEX(Settings!$B$29:$B$40,MONTH(A4937)))))</f>
        <v/>
      </c>
    </row>
    <row r="4938" customFormat="false" ht="15" hidden="false" customHeight="false" outlineLevel="0" collapsed="false">
      <c r="H4938" s="0" t="str">
        <f aca="false">IF(B4938="","",IF(COUNTIF(Campaigns!$A$7:$A$300,B4938)&gt;0,"✓","⚠ add to Campaigns tab"))</f>
        <v/>
      </c>
      <c r="I4938" s="84" t="str">
        <f aca="false">IF(C4938="","",C4938*IF(Settings!$B$23=Settings!$C$6,1,IF(Settings!$B$23="USD",1/INDEX(Settings!$B$29:$B$40,MONTH(A4938)),INDEX(Settings!$B$29:$B$40,MONTH(A4938)))))</f>
        <v/>
      </c>
    </row>
    <row r="4939" customFormat="false" ht="15" hidden="false" customHeight="false" outlineLevel="0" collapsed="false">
      <c r="H4939" s="0" t="str">
        <f aca="false">IF(B4939="","",IF(COUNTIF(Campaigns!$A$7:$A$300,B4939)&gt;0,"✓","⚠ add to Campaigns tab"))</f>
        <v/>
      </c>
      <c r="I4939" s="84" t="str">
        <f aca="false">IF(C4939="","",C4939*IF(Settings!$B$23=Settings!$C$6,1,IF(Settings!$B$23="USD",1/INDEX(Settings!$B$29:$B$40,MONTH(A4939)),INDEX(Settings!$B$29:$B$40,MONTH(A4939)))))</f>
        <v/>
      </c>
    </row>
    <row r="4940" customFormat="false" ht="15" hidden="false" customHeight="false" outlineLevel="0" collapsed="false">
      <c r="H4940" s="0" t="str">
        <f aca="false">IF(B4940="","",IF(COUNTIF(Campaigns!$A$7:$A$300,B4940)&gt;0,"✓","⚠ add to Campaigns tab"))</f>
        <v/>
      </c>
      <c r="I4940" s="84" t="str">
        <f aca="false">IF(C4940="","",C4940*IF(Settings!$B$23=Settings!$C$6,1,IF(Settings!$B$23="USD",1/INDEX(Settings!$B$29:$B$40,MONTH(A4940)),INDEX(Settings!$B$29:$B$40,MONTH(A4940)))))</f>
        <v/>
      </c>
    </row>
    <row r="4941" customFormat="false" ht="15" hidden="false" customHeight="false" outlineLevel="0" collapsed="false">
      <c r="H4941" s="0" t="str">
        <f aca="false">IF(B4941="","",IF(COUNTIF(Campaigns!$A$7:$A$300,B4941)&gt;0,"✓","⚠ add to Campaigns tab"))</f>
        <v/>
      </c>
      <c r="I4941" s="84" t="str">
        <f aca="false">IF(C4941="","",C4941*IF(Settings!$B$23=Settings!$C$6,1,IF(Settings!$B$23="USD",1/INDEX(Settings!$B$29:$B$40,MONTH(A4941)),INDEX(Settings!$B$29:$B$40,MONTH(A4941)))))</f>
        <v/>
      </c>
    </row>
    <row r="4942" customFormat="false" ht="15" hidden="false" customHeight="false" outlineLevel="0" collapsed="false">
      <c r="H4942" s="0" t="str">
        <f aca="false">IF(B4942="","",IF(COUNTIF(Campaigns!$A$7:$A$300,B4942)&gt;0,"✓","⚠ add to Campaigns tab"))</f>
        <v/>
      </c>
      <c r="I4942" s="84" t="str">
        <f aca="false">IF(C4942="","",C4942*IF(Settings!$B$23=Settings!$C$6,1,IF(Settings!$B$23="USD",1/INDEX(Settings!$B$29:$B$40,MONTH(A4942)),INDEX(Settings!$B$29:$B$40,MONTH(A4942)))))</f>
        <v/>
      </c>
    </row>
    <row r="4943" customFormat="false" ht="15" hidden="false" customHeight="false" outlineLevel="0" collapsed="false">
      <c r="H4943" s="0" t="str">
        <f aca="false">IF(B4943="","",IF(COUNTIF(Campaigns!$A$7:$A$300,B4943)&gt;0,"✓","⚠ add to Campaigns tab"))</f>
        <v/>
      </c>
      <c r="I4943" s="84" t="str">
        <f aca="false">IF(C4943="","",C4943*IF(Settings!$B$23=Settings!$C$6,1,IF(Settings!$B$23="USD",1/INDEX(Settings!$B$29:$B$40,MONTH(A4943)),INDEX(Settings!$B$29:$B$40,MONTH(A4943)))))</f>
        <v/>
      </c>
    </row>
    <row r="4944" customFormat="false" ht="15" hidden="false" customHeight="false" outlineLevel="0" collapsed="false">
      <c r="H4944" s="0" t="str">
        <f aca="false">IF(B4944="","",IF(COUNTIF(Campaigns!$A$7:$A$300,B4944)&gt;0,"✓","⚠ add to Campaigns tab"))</f>
        <v/>
      </c>
      <c r="I4944" s="84" t="str">
        <f aca="false">IF(C4944="","",C4944*IF(Settings!$B$23=Settings!$C$6,1,IF(Settings!$B$23="USD",1/INDEX(Settings!$B$29:$B$40,MONTH(A4944)),INDEX(Settings!$B$29:$B$40,MONTH(A4944)))))</f>
        <v/>
      </c>
    </row>
    <row r="4945" customFormat="false" ht="15" hidden="false" customHeight="false" outlineLevel="0" collapsed="false">
      <c r="H4945" s="0" t="str">
        <f aca="false">IF(B4945="","",IF(COUNTIF(Campaigns!$A$7:$A$300,B4945)&gt;0,"✓","⚠ add to Campaigns tab"))</f>
        <v/>
      </c>
      <c r="I4945" s="84" t="str">
        <f aca="false">IF(C4945="","",C4945*IF(Settings!$B$23=Settings!$C$6,1,IF(Settings!$B$23="USD",1/INDEX(Settings!$B$29:$B$40,MONTH(A4945)),INDEX(Settings!$B$29:$B$40,MONTH(A4945)))))</f>
        <v/>
      </c>
    </row>
    <row r="4946" customFormat="false" ht="15" hidden="false" customHeight="false" outlineLevel="0" collapsed="false">
      <c r="H4946" s="0" t="str">
        <f aca="false">IF(B4946="","",IF(COUNTIF(Campaigns!$A$7:$A$300,B4946)&gt;0,"✓","⚠ add to Campaigns tab"))</f>
        <v/>
      </c>
      <c r="I4946" s="84" t="str">
        <f aca="false">IF(C4946="","",C4946*IF(Settings!$B$23=Settings!$C$6,1,IF(Settings!$B$23="USD",1/INDEX(Settings!$B$29:$B$40,MONTH(A4946)),INDEX(Settings!$B$29:$B$40,MONTH(A4946)))))</f>
        <v/>
      </c>
    </row>
    <row r="4947" customFormat="false" ht="15" hidden="false" customHeight="false" outlineLevel="0" collapsed="false">
      <c r="H4947" s="0" t="str">
        <f aca="false">IF(B4947="","",IF(COUNTIF(Campaigns!$A$7:$A$300,B4947)&gt;0,"✓","⚠ add to Campaigns tab"))</f>
        <v/>
      </c>
      <c r="I4947" s="84" t="str">
        <f aca="false">IF(C4947="","",C4947*IF(Settings!$B$23=Settings!$C$6,1,IF(Settings!$B$23="USD",1/INDEX(Settings!$B$29:$B$40,MONTH(A4947)),INDEX(Settings!$B$29:$B$40,MONTH(A4947)))))</f>
        <v/>
      </c>
    </row>
    <row r="4948" customFormat="false" ht="15" hidden="false" customHeight="false" outlineLevel="0" collapsed="false">
      <c r="H4948" s="0" t="str">
        <f aca="false">IF(B4948="","",IF(COUNTIF(Campaigns!$A$7:$A$300,B4948)&gt;0,"✓","⚠ add to Campaigns tab"))</f>
        <v/>
      </c>
      <c r="I4948" s="84" t="str">
        <f aca="false">IF(C4948="","",C4948*IF(Settings!$B$23=Settings!$C$6,1,IF(Settings!$B$23="USD",1/INDEX(Settings!$B$29:$B$40,MONTH(A4948)),INDEX(Settings!$B$29:$B$40,MONTH(A4948)))))</f>
        <v/>
      </c>
    </row>
    <row r="4949" customFormat="false" ht="15" hidden="false" customHeight="false" outlineLevel="0" collapsed="false">
      <c r="H4949" s="0" t="str">
        <f aca="false">IF(B4949="","",IF(COUNTIF(Campaigns!$A$7:$A$300,B4949)&gt;0,"✓","⚠ add to Campaigns tab"))</f>
        <v/>
      </c>
      <c r="I4949" s="84" t="str">
        <f aca="false">IF(C4949="","",C4949*IF(Settings!$B$23=Settings!$C$6,1,IF(Settings!$B$23="USD",1/INDEX(Settings!$B$29:$B$40,MONTH(A4949)),INDEX(Settings!$B$29:$B$40,MONTH(A4949)))))</f>
        <v/>
      </c>
    </row>
    <row r="4950" customFormat="false" ht="15" hidden="false" customHeight="false" outlineLevel="0" collapsed="false">
      <c r="H4950" s="0" t="str">
        <f aca="false">IF(B4950="","",IF(COUNTIF(Campaigns!$A$7:$A$300,B4950)&gt;0,"✓","⚠ add to Campaigns tab"))</f>
        <v/>
      </c>
      <c r="I4950" s="84" t="str">
        <f aca="false">IF(C4950="","",C4950*IF(Settings!$B$23=Settings!$C$6,1,IF(Settings!$B$23="USD",1/INDEX(Settings!$B$29:$B$40,MONTH(A4950)),INDEX(Settings!$B$29:$B$40,MONTH(A4950)))))</f>
        <v/>
      </c>
    </row>
    <row r="4951" customFormat="false" ht="15" hidden="false" customHeight="false" outlineLevel="0" collapsed="false">
      <c r="H4951" s="0" t="str">
        <f aca="false">IF(B4951="","",IF(COUNTIF(Campaigns!$A$7:$A$300,B4951)&gt;0,"✓","⚠ add to Campaigns tab"))</f>
        <v/>
      </c>
      <c r="I4951" s="84" t="str">
        <f aca="false">IF(C4951="","",C4951*IF(Settings!$B$23=Settings!$C$6,1,IF(Settings!$B$23="USD",1/INDEX(Settings!$B$29:$B$40,MONTH(A4951)),INDEX(Settings!$B$29:$B$40,MONTH(A4951)))))</f>
        <v/>
      </c>
    </row>
    <row r="4952" customFormat="false" ht="15" hidden="false" customHeight="false" outlineLevel="0" collapsed="false">
      <c r="H4952" s="0" t="str">
        <f aca="false">IF(B4952="","",IF(COUNTIF(Campaigns!$A$7:$A$300,B4952)&gt;0,"✓","⚠ add to Campaigns tab"))</f>
        <v/>
      </c>
      <c r="I4952" s="84" t="str">
        <f aca="false">IF(C4952="","",C4952*IF(Settings!$B$23=Settings!$C$6,1,IF(Settings!$B$23="USD",1/INDEX(Settings!$B$29:$B$40,MONTH(A4952)),INDEX(Settings!$B$29:$B$40,MONTH(A4952)))))</f>
        <v/>
      </c>
    </row>
    <row r="4953" customFormat="false" ht="15" hidden="false" customHeight="false" outlineLevel="0" collapsed="false">
      <c r="H4953" s="0" t="str">
        <f aca="false">IF(B4953="","",IF(COUNTIF(Campaigns!$A$7:$A$300,B4953)&gt;0,"✓","⚠ add to Campaigns tab"))</f>
        <v/>
      </c>
      <c r="I4953" s="84" t="str">
        <f aca="false">IF(C4953="","",C4953*IF(Settings!$B$23=Settings!$C$6,1,IF(Settings!$B$23="USD",1/INDEX(Settings!$B$29:$B$40,MONTH(A4953)),INDEX(Settings!$B$29:$B$40,MONTH(A4953)))))</f>
        <v/>
      </c>
    </row>
    <row r="4954" customFormat="false" ht="15" hidden="false" customHeight="false" outlineLevel="0" collapsed="false">
      <c r="H4954" s="0" t="str">
        <f aca="false">IF(B4954="","",IF(COUNTIF(Campaigns!$A$7:$A$300,B4954)&gt;0,"✓","⚠ add to Campaigns tab"))</f>
        <v/>
      </c>
      <c r="I4954" s="84" t="str">
        <f aca="false">IF(C4954="","",C4954*IF(Settings!$B$23=Settings!$C$6,1,IF(Settings!$B$23="USD",1/INDEX(Settings!$B$29:$B$40,MONTH(A4954)),INDEX(Settings!$B$29:$B$40,MONTH(A4954)))))</f>
        <v/>
      </c>
    </row>
    <row r="4955" customFormat="false" ht="15" hidden="false" customHeight="false" outlineLevel="0" collapsed="false">
      <c r="H4955" s="0" t="str">
        <f aca="false">IF(B4955="","",IF(COUNTIF(Campaigns!$A$7:$A$300,B4955)&gt;0,"✓","⚠ add to Campaigns tab"))</f>
        <v/>
      </c>
      <c r="I4955" s="84" t="str">
        <f aca="false">IF(C4955="","",C4955*IF(Settings!$B$23=Settings!$C$6,1,IF(Settings!$B$23="USD",1/INDEX(Settings!$B$29:$B$40,MONTH(A4955)),INDEX(Settings!$B$29:$B$40,MONTH(A4955)))))</f>
        <v/>
      </c>
    </row>
    <row r="4956" customFormat="false" ht="15" hidden="false" customHeight="false" outlineLevel="0" collapsed="false">
      <c r="H4956" s="0" t="str">
        <f aca="false">IF(B4956="","",IF(COUNTIF(Campaigns!$A$7:$A$300,B4956)&gt;0,"✓","⚠ add to Campaigns tab"))</f>
        <v/>
      </c>
      <c r="I4956" s="84" t="str">
        <f aca="false">IF(C4956="","",C4956*IF(Settings!$B$23=Settings!$C$6,1,IF(Settings!$B$23="USD",1/INDEX(Settings!$B$29:$B$40,MONTH(A4956)),INDEX(Settings!$B$29:$B$40,MONTH(A4956)))))</f>
        <v/>
      </c>
    </row>
    <row r="4957" customFormat="false" ht="15" hidden="false" customHeight="false" outlineLevel="0" collapsed="false">
      <c r="H4957" s="0" t="str">
        <f aca="false">IF(B4957="","",IF(COUNTIF(Campaigns!$A$7:$A$300,B4957)&gt;0,"✓","⚠ add to Campaigns tab"))</f>
        <v/>
      </c>
      <c r="I4957" s="84" t="str">
        <f aca="false">IF(C4957="","",C4957*IF(Settings!$B$23=Settings!$C$6,1,IF(Settings!$B$23="USD",1/INDEX(Settings!$B$29:$B$40,MONTH(A4957)),INDEX(Settings!$B$29:$B$40,MONTH(A4957)))))</f>
        <v/>
      </c>
    </row>
    <row r="4958" customFormat="false" ht="15" hidden="false" customHeight="false" outlineLevel="0" collapsed="false">
      <c r="H4958" s="0" t="str">
        <f aca="false">IF(B4958="","",IF(COUNTIF(Campaigns!$A$7:$A$300,B4958)&gt;0,"✓","⚠ add to Campaigns tab"))</f>
        <v/>
      </c>
      <c r="I4958" s="84" t="str">
        <f aca="false">IF(C4958="","",C4958*IF(Settings!$B$23=Settings!$C$6,1,IF(Settings!$B$23="USD",1/INDEX(Settings!$B$29:$B$40,MONTH(A4958)),INDEX(Settings!$B$29:$B$40,MONTH(A4958)))))</f>
        <v/>
      </c>
    </row>
    <row r="4959" customFormat="false" ht="15" hidden="false" customHeight="false" outlineLevel="0" collapsed="false">
      <c r="H4959" s="0" t="str">
        <f aca="false">IF(B4959="","",IF(COUNTIF(Campaigns!$A$7:$A$300,B4959)&gt;0,"✓","⚠ add to Campaigns tab"))</f>
        <v/>
      </c>
      <c r="I4959" s="84" t="str">
        <f aca="false">IF(C4959="","",C4959*IF(Settings!$B$23=Settings!$C$6,1,IF(Settings!$B$23="USD",1/INDEX(Settings!$B$29:$B$40,MONTH(A4959)),INDEX(Settings!$B$29:$B$40,MONTH(A4959)))))</f>
        <v/>
      </c>
    </row>
    <row r="4960" customFormat="false" ht="15" hidden="false" customHeight="false" outlineLevel="0" collapsed="false">
      <c r="H4960" s="0" t="str">
        <f aca="false">IF(B4960="","",IF(COUNTIF(Campaigns!$A$7:$A$300,B4960)&gt;0,"✓","⚠ add to Campaigns tab"))</f>
        <v/>
      </c>
      <c r="I4960" s="84" t="str">
        <f aca="false">IF(C4960="","",C4960*IF(Settings!$B$23=Settings!$C$6,1,IF(Settings!$B$23="USD",1/INDEX(Settings!$B$29:$B$40,MONTH(A4960)),INDEX(Settings!$B$29:$B$40,MONTH(A4960)))))</f>
        <v/>
      </c>
    </row>
    <row r="4961" customFormat="false" ht="15" hidden="false" customHeight="false" outlineLevel="0" collapsed="false">
      <c r="H4961" s="0" t="str">
        <f aca="false">IF(B4961="","",IF(COUNTIF(Campaigns!$A$7:$A$300,B4961)&gt;0,"✓","⚠ add to Campaigns tab"))</f>
        <v/>
      </c>
      <c r="I4961" s="84" t="str">
        <f aca="false">IF(C4961="","",C4961*IF(Settings!$B$23=Settings!$C$6,1,IF(Settings!$B$23="USD",1/INDEX(Settings!$B$29:$B$40,MONTH(A4961)),INDEX(Settings!$B$29:$B$40,MONTH(A4961)))))</f>
        <v/>
      </c>
    </row>
    <row r="4962" customFormat="false" ht="15" hidden="false" customHeight="false" outlineLevel="0" collapsed="false">
      <c r="H4962" s="0" t="str">
        <f aca="false">IF(B4962="","",IF(COUNTIF(Campaigns!$A$7:$A$300,B4962)&gt;0,"✓","⚠ add to Campaigns tab"))</f>
        <v/>
      </c>
      <c r="I4962" s="84" t="str">
        <f aca="false">IF(C4962="","",C4962*IF(Settings!$B$23=Settings!$C$6,1,IF(Settings!$B$23="USD",1/INDEX(Settings!$B$29:$B$40,MONTH(A4962)),INDEX(Settings!$B$29:$B$40,MONTH(A4962)))))</f>
        <v/>
      </c>
    </row>
    <row r="4963" customFormat="false" ht="15" hidden="false" customHeight="false" outlineLevel="0" collapsed="false">
      <c r="H4963" s="0" t="str">
        <f aca="false">IF(B4963="","",IF(COUNTIF(Campaigns!$A$7:$A$300,B4963)&gt;0,"✓","⚠ add to Campaigns tab"))</f>
        <v/>
      </c>
      <c r="I4963" s="84" t="str">
        <f aca="false">IF(C4963="","",C4963*IF(Settings!$B$23=Settings!$C$6,1,IF(Settings!$B$23="USD",1/INDEX(Settings!$B$29:$B$40,MONTH(A4963)),INDEX(Settings!$B$29:$B$40,MONTH(A4963)))))</f>
        <v/>
      </c>
    </row>
    <row r="4964" customFormat="false" ht="15" hidden="false" customHeight="false" outlineLevel="0" collapsed="false">
      <c r="H4964" s="0" t="str">
        <f aca="false">IF(B4964="","",IF(COUNTIF(Campaigns!$A$7:$A$300,B4964)&gt;0,"✓","⚠ add to Campaigns tab"))</f>
        <v/>
      </c>
      <c r="I4964" s="84" t="str">
        <f aca="false">IF(C4964="","",C4964*IF(Settings!$B$23=Settings!$C$6,1,IF(Settings!$B$23="USD",1/INDEX(Settings!$B$29:$B$40,MONTH(A4964)),INDEX(Settings!$B$29:$B$40,MONTH(A4964)))))</f>
        <v/>
      </c>
    </row>
    <row r="4965" customFormat="false" ht="15" hidden="false" customHeight="false" outlineLevel="0" collapsed="false">
      <c r="H4965" s="0" t="str">
        <f aca="false">IF(B4965="","",IF(COUNTIF(Campaigns!$A$7:$A$300,B4965)&gt;0,"✓","⚠ add to Campaigns tab"))</f>
        <v/>
      </c>
      <c r="I4965" s="84" t="str">
        <f aca="false">IF(C4965="","",C4965*IF(Settings!$B$23=Settings!$C$6,1,IF(Settings!$B$23="USD",1/INDEX(Settings!$B$29:$B$40,MONTH(A4965)),INDEX(Settings!$B$29:$B$40,MONTH(A4965)))))</f>
        <v/>
      </c>
    </row>
    <row r="4966" customFormat="false" ht="15" hidden="false" customHeight="false" outlineLevel="0" collapsed="false">
      <c r="H4966" s="0" t="str">
        <f aca="false">IF(B4966="","",IF(COUNTIF(Campaigns!$A$7:$A$300,B4966)&gt;0,"✓","⚠ add to Campaigns tab"))</f>
        <v/>
      </c>
      <c r="I4966" s="84" t="str">
        <f aca="false">IF(C4966="","",C4966*IF(Settings!$B$23=Settings!$C$6,1,IF(Settings!$B$23="USD",1/INDEX(Settings!$B$29:$B$40,MONTH(A4966)),INDEX(Settings!$B$29:$B$40,MONTH(A4966)))))</f>
        <v/>
      </c>
    </row>
    <row r="4967" customFormat="false" ht="15" hidden="false" customHeight="false" outlineLevel="0" collapsed="false">
      <c r="H4967" s="0" t="str">
        <f aca="false">IF(B4967="","",IF(COUNTIF(Campaigns!$A$7:$A$300,B4967)&gt;0,"✓","⚠ add to Campaigns tab"))</f>
        <v/>
      </c>
      <c r="I4967" s="84" t="str">
        <f aca="false">IF(C4967="","",C4967*IF(Settings!$B$23=Settings!$C$6,1,IF(Settings!$B$23="USD",1/INDEX(Settings!$B$29:$B$40,MONTH(A4967)),INDEX(Settings!$B$29:$B$40,MONTH(A4967)))))</f>
        <v/>
      </c>
    </row>
    <row r="4968" customFormat="false" ht="15" hidden="false" customHeight="false" outlineLevel="0" collapsed="false">
      <c r="H4968" s="0" t="str">
        <f aca="false">IF(B4968="","",IF(COUNTIF(Campaigns!$A$7:$A$300,B4968)&gt;0,"✓","⚠ add to Campaigns tab"))</f>
        <v/>
      </c>
      <c r="I4968" s="84" t="str">
        <f aca="false">IF(C4968="","",C4968*IF(Settings!$B$23=Settings!$C$6,1,IF(Settings!$B$23="USD",1/INDEX(Settings!$B$29:$B$40,MONTH(A4968)),INDEX(Settings!$B$29:$B$40,MONTH(A4968)))))</f>
        <v/>
      </c>
    </row>
    <row r="4969" customFormat="false" ht="15" hidden="false" customHeight="false" outlineLevel="0" collapsed="false">
      <c r="H4969" s="0" t="str">
        <f aca="false">IF(B4969="","",IF(COUNTIF(Campaigns!$A$7:$A$300,B4969)&gt;0,"✓","⚠ add to Campaigns tab"))</f>
        <v/>
      </c>
      <c r="I4969" s="84" t="str">
        <f aca="false">IF(C4969="","",C4969*IF(Settings!$B$23=Settings!$C$6,1,IF(Settings!$B$23="USD",1/INDEX(Settings!$B$29:$B$40,MONTH(A4969)),INDEX(Settings!$B$29:$B$40,MONTH(A4969)))))</f>
        <v/>
      </c>
    </row>
    <row r="4970" customFormat="false" ht="15" hidden="false" customHeight="false" outlineLevel="0" collapsed="false">
      <c r="H4970" s="0" t="str">
        <f aca="false">IF(B4970="","",IF(COUNTIF(Campaigns!$A$7:$A$300,B4970)&gt;0,"✓","⚠ add to Campaigns tab"))</f>
        <v/>
      </c>
      <c r="I4970" s="84" t="str">
        <f aca="false">IF(C4970="","",C4970*IF(Settings!$B$23=Settings!$C$6,1,IF(Settings!$B$23="USD",1/INDEX(Settings!$B$29:$B$40,MONTH(A4970)),INDEX(Settings!$B$29:$B$40,MONTH(A4970)))))</f>
        <v/>
      </c>
    </row>
    <row r="4971" customFormat="false" ht="15" hidden="false" customHeight="false" outlineLevel="0" collapsed="false">
      <c r="H4971" s="0" t="str">
        <f aca="false">IF(B4971="","",IF(COUNTIF(Campaigns!$A$7:$A$300,B4971)&gt;0,"✓","⚠ add to Campaigns tab"))</f>
        <v/>
      </c>
      <c r="I4971" s="84" t="str">
        <f aca="false">IF(C4971="","",C4971*IF(Settings!$B$23=Settings!$C$6,1,IF(Settings!$B$23="USD",1/INDEX(Settings!$B$29:$B$40,MONTH(A4971)),INDEX(Settings!$B$29:$B$40,MONTH(A4971)))))</f>
        <v/>
      </c>
    </row>
    <row r="4972" customFormat="false" ht="15" hidden="false" customHeight="false" outlineLevel="0" collapsed="false">
      <c r="H4972" s="0" t="str">
        <f aca="false">IF(B4972="","",IF(COUNTIF(Campaigns!$A$7:$A$300,B4972)&gt;0,"✓","⚠ add to Campaigns tab"))</f>
        <v/>
      </c>
      <c r="I4972" s="84" t="str">
        <f aca="false">IF(C4972="","",C4972*IF(Settings!$B$23=Settings!$C$6,1,IF(Settings!$B$23="USD",1/INDEX(Settings!$B$29:$B$40,MONTH(A4972)),INDEX(Settings!$B$29:$B$40,MONTH(A4972)))))</f>
        <v/>
      </c>
    </row>
    <row r="4973" customFormat="false" ht="15" hidden="false" customHeight="false" outlineLevel="0" collapsed="false">
      <c r="H4973" s="0" t="str">
        <f aca="false">IF(B4973="","",IF(COUNTIF(Campaigns!$A$7:$A$300,B4973)&gt;0,"✓","⚠ add to Campaigns tab"))</f>
        <v/>
      </c>
      <c r="I4973" s="84" t="str">
        <f aca="false">IF(C4973="","",C4973*IF(Settings!$B$23=Settings!$C$6,1,IF(Settings!$B$23="USD",1/INDEX(Settings!$B$29:$B$40,MONTH(A4973)),INDEX(Settings!$B$29:$B$40,MONTH(A4973)))))</f>
        <v/>
      </c>
    </row>
    <row r="4974" customFormat="false" ht="15" hidden="false" customHeight="false" outlineLevel="0" collapsed="false">
      <c r="H4974" s="0" t="str">
        <f aca="false">IF(B4974="","",IF(COUNTIF(Campaigns!$A$7:$A$300,B4974)&gt;0,"✓","⚠ add to Campaigns tab"))</f>
        <v/>
      </c>
      <c r="I4974" s="84" t="str">
        <f aca="false">IF(C4974="","",C4974*IF(Settings!$B$23=Settings!$C$6,1,IF(Settings!$B$23="USD",1/INDEX(Settings!$B$29:$B$40,MONTH(A4974)),INDEX(Settings!$B$29:$B$40,MONTH(A4974)))))</f>
        <v/>
      </c>
    </row>
    <row r="4975" customFormat="false" ht="15" hidden="false" customHeight="false" outlineLevel="0" collapsed="false">
      <c r="H4975" s="0" t="str">
        <f aca="false">IF(B4975="","",IF(COUNTIF(Campaigns!$A$7:$A$300,B4975)&gt;0,"✓","⚠ add to Campaigns tab"))</f>
        <v/>
      </c>
      <c r="I4975" s="84" t="str">
        <f aca="false">IF(C4975="","",C4975*IF(Settings!$B$23=Settings!$C$6,1,IF(Settings!$B$23="USD",1/INDEX(Settings!$B$29:$B$40,MONTH(A4975)),INDEX(Settings!$B$29:$B$40,MONTH(A4975)))))</f>
        <v/>
      </c>
    </row>
    <row r="4976" customFormat="false" ht="15" hidden="false" customHeight="false" outlineLevel="0" collapsed="false">
      <c r="H4976" s="0" t="str">
        <f aca="false">IF(B4976="","",IF(COUNTIF(Campaigns!$A$7:$A$300,B4976)&gt;0,"✓","⚠ add to Campaigns tab"))</f>
        <v/>
      </c>
      <c r="I4976" s="84" t="str">
        <f aca="false">IF(C4976="","",C4976*IF(Settings!$B$23=Settings!$C$6,1,IF(Settings!$B$23="USD",1/INDEX(Settings!$B$29:$B$40,MONTH(A4976)),INDEX(Settings!$B$29:$B$40,MONTH(A4976)))))</f>
        <v/>
      </c>
    </row>
    <row r="4977" customFormat="false" ht="15" hidden="false" customHeight="false" outlineLevel="0" collapsed="false">
      <c r="H4977" s="0" t="str">
        <f aca="false">IF(B4977="","",IF(COUNTIF(Campaigns!$A$7:$A$300,B4977)&gt;0,"✓","⚠ add to Campaigns tab"))</f>
        <v/>
      </c>
      <c r="I4977" s="84" t="str">
        <f aca="false">IF(C4977="","",C4977*IF(Settings!$B$23=Settings!$C$6,1,IF(Settings!$B$23="USD",1/INDEX(Settings!$B$29:$B$40,MONTH(A4977)),INDEX(Settings!$B$29:$B$40,MONTH(A4977)))))</f>
        <v/>
      </c>
    </row>
    <row r="4978" customFormat="false" ht="15" hidden="false" customHeight="false" outlineLevel="0" collapsed="false">
      <c r="H4978" s="0" t="str">
        <f aca="false">IF(B4978="","",IF(COUNTIF(Campaigns!$A$7:$A$300,B4978)&gt;0,"✓","⚠ add to Campaigns tab"))</f>
        <v/>
      </c>
      <c r="I4978" s="84" t="str">
        <f aca="false">IF(C4978="","",C4978*IF(Settings!$B$23=Settings!$C$6,1,IF(Settings!$B$23="USD",1/INDEX(Settings!$B$29:$B$40,MONTH(A4978)),INDEX(Settings!$B$29:$B$40,MONTH(A4978)))))</f>
        <v/>
      </c>
    </row>
    <row r="4979" customFormat="false" ht="15" hidden="false" customHeight="false" outlineLevel="0" collapsed="false">
      <c r="H4979" s="0" t="str">
        <f aca="false">IF(B4979="","",IF(COUNTIF(Campaigns!$A$7:$A$300,B4979)&gt;0,"✓","⚠ add to Campaigns tab"))</f>
        <v/>
      </c>
      <c r="I4979" s="84" t="str">
        <f aca="false">IF(C4979="","",C4979*IF(Settings!$B$23=Settings!$C$6,1,IF(Settings!$B$23="USD",1/INDEX(Settings!$B$29:$B$40,MONTH(A4979)),INDEX(Settings!$B$29:$B$40,MONTH(A4979)))))</f>
        <v/>
      </c>
    </row>
    <row r="4980" customFormat="false" ht="15" hidden="false" customHeight="false" outlineLevel="0" collapsed="false">
      <c r="H4980" s="0" t="str">
        <f aca="false">IF(B4980="","",IF(COUNTIF(Campaigns!$A$7:$A$300,B4980)&gt;0,"✓","⚠ add to Campaigns tab"))</f>
        <v/>
      </c>
      <c r="I4980" s="84" t="str">
        <f aca="false">IF(C4980="","",C4980*IF(Settings!$B$23=Settings!$C$6,1,IF(Settings!$B$23="USD",1/INDEX(Settings!$B$29:$B$40,MONTH(A4980)),INDEX(Settings!$B$29:$B$40,MONTH(A4980)))))</f>
        <v/>
      </c>
    </row>
    <row r="4981" customFormat="false" ht="15" hidden="false" customHeight="false" outlineLevel="0" collapsed="false">
      <c r="H4981" s="0" t="str">
        <f aca="false">IF(B4981="","",IF(COUNTIF(Campaigns!$A$7:$A$300,B4981)&gt;0,"✓","⚠ add to Campaigns tab"))</f>
        <v/>
      </c>
      <c r="I4981" s="84" t="str">
        <f aca="false">IF(C4981="","",C4981*IF(Settings!$B$23=Settings!$C$6,1,IF(Settings!$B$23="USD",1/INDEX(Settings!$B$29:$B$40,MONTH(A4981)),INDEX(Settings!$B$29:$B$40,MONTH(A4981)))))</f>
        <v/>
      </c>
    </row>
    <row r="4982" customFormat="false" ht="15" hidden="false" customHeight="false" outlineLevel="0" collapsed="false">
      <c r="H4982" s="0" t="str">
        <f aca="false">IF(B4982="","",IF(COUNTIF(Campaigns!$A$7:$A$300,B4982)&gt;0,"✓","⚠ add to Campaigns tab"))</f>
        <v/>
      </c>
      <c r="I4982" s="84" t="str">
        <f aca="false">IF(C4982="","",C4982*IF(Settings!$B$23=Settings!$C$6,1,IF(Settings!$B$23="USD",1/INDEX(Settings!$B$29:$B$40,MONTH(A4982)),INDEX(Settings!$B$29:$B$40,MONTH(A4982)))))</f>
        <v/>
      </c>
    </row>
    <row r="4983" customFormat="false" ht="15" hidden="false" customHeight="false" outlineLevel="0" collapsed="false">
      <c r="H4983" s="0" t="str">
        <f aca="false">IF(B4983="","",IF(COUNTIF(Campaigns!$A$7:$A$300,B4983)&gt;0,"✓","⚠ add to Campaigns tab"))</f>
        <v/>
      </c>
      <c r="I4983" s="84" t="str">
        <f aca="false">IF(C4983="","",C4983*IF(Settings!$B$23=Settings!$C$6,1,IF(Settings!$B$23="USD",1/INDEX(Settings!$B$29:$B$40,MONTH(A4983)),INDEX(Settings!$B$29:$B$40,MONTH(A4983)))))</f>
        <v/>
      </c>
    </row>
    <row r="4984" customFormat="false" ht="15" hidden="false" customHeight="false" outlineLevel="0" collapsed="false">
      <c r="H4984" s="0" t="str">
        <f aca="false">IF(B4984="","",IF(COUNTIF(Campaigns!$A$7:$A$300,B4984)&gt;0,"✓","⚠ add to Campaigns tab"))</f>
        <v/>
      </c>
      <c r="I4984" s="84" t="str">
        <f aca="false">IF(C4984="","",C4984*IF(Settings!$B$23=Settings!$C$6,1,IF(Settings!$B$23="USD",1/INDEX(Settings!$B$29:$B$40,MONTH(A4984)),INDEX(Settings!$B$29:$B$40,MONTH(A4984)))))</f>
        <v/>
      </c>
    </row>
    <row r="4985" customFormat="false" ht="15" hidden="false" customHeight="false" outlineLevel="0" collapsed="false">
      <c r="H4985" s="0" t="str">
        <f aca="false">IF(B4985="","",IF(COUNTIF(Campaigns!$A$7:$A$300,B4985)&gt;0,"✓","⚠ add to Campaigns tab"))</f>
        <v/>
      </c>
      <c r="I4985" s="84" t="str">
        <f aca="false">IF(C4985="","",C4985*IF(Settings!$B$23=Settings!$C$6,1,IF(Settings!$B$23="USD",1/INDEX(Settings!$B$29:$B$40,MONTH(A4985)),INDEX(Settings!$B$29:$B$40,MONTH(A4985)))))</f>
        <v/>
      </c>
    </row>
    <row r="4986" customFormat="false" ht="15" hidden="false" customHeight="false" outlineLevel="0" collapsed="false">
      <c r="H4986" s="0" t="str">
        <f aca="false">IF(B4986="","",IF(COUNTIF(Campaigns!$A$7:$A$300,B4986)&gt;0,"✓","⚠ add to Campaigns tab"))</f>
        <v/>
      </c>
      <c r="I4986" s="84" t="str">
        <f aca="false">IF(C4986="","",C4986*IF(Settings!$B$23=Settings!$C$6,1,IF(Settings!$B$23="USD",1/INDEX(Settings!$B$29:$B$40,MONTH(A4986)),INDEX(Settings!$B$29:$B$40,MONTH(A4986)))))</f>
        <v/>
      </c>
    </row>
    <row r="4987" customFormat="false" ht="15" hidden="false" customHeight="false" outlineLevel="0" collapsed="false">
      <c r="H4987" s="0" t="str">
        <f aca="false">IF(B4987="","",IF(COUNTIF(Campaigns!$A$7:$A$300,B4987)&gt;0,"✓","⚠ add to Campaigns tab"))</f>
        <v/>
      </c>
      <c r="I4987" s="84" t="str">
        <f aca="false">IF(C4987="","",C4987*IF(Settings!$B$23=Settings!$C$6,1,IF(Settings!$B$23="USD",1/INDEX(Settings!$B$29:$B$40,MONTH(A4987)),INDEX(Settings!$B$29:$B$40,MONTH(A4987)))))</f>
        <v/>
      </c>
    </row>
    <row r="4988" customFormat="false" ht="15" hidden="false" customHeight="false" outlineLevel="0" collapsed="false">
      <c r="H4988" s="0" t="str">
        <f aca="false">IF(B4988="","",IF(COUNTIF(Campaigns!$A$7:$A$300,B4988)&gt;0,"✓","⚠ add to Campaigns tab"))</f>
        <v/>
      </c>
      <c r="I4988" s="84" t="str">
        <f aca="false">IF(C4988="","",C4988*IF(Settings!$B$23=Settings!$C$6,1,IF(Settings!$B$23="USD",1/INDEX(Settings!$B$29:$B$40,MONTH(A4988)),INDEX(Settings!$B$29:$B$40,MONTH(A4988)))))</f>
        <v/>
      </c>
    </row>
    <row r="4989" customFormat="false" ht="15" hidden="false" customHeight="false" outlineLevel="0" collapsed="false">
      <c r="H4989" s="0" t="str">
        <f aca="false">IF(B4989="","",IF(COUNTIF(Campaigns!$A$7:$A$300,B4989)&gt;0,"✓","⚠ add to Campaigns tab"))</f>
        <v/>
      </c>
      <c r="I4989" s="84" t="str">
        <f aca="false">IF(C4989="","",C4989*IF(Settings!$B$23=Settings!$C$6,1,IF(Settings!$B$23="USD",1/INDEX(Settings!$B$29:$B$40,MONTH(A4989)),INDEX(Settings!$B$29:$B$40,MONTH(A4989)))))</f>
        <v/>
      </c>
    </row>
    <row r="4990" customFormat="false" ht="15" hidden="false" customHeight="false" outlineLevel="0" collapsed="false">
      <c r="H4990" s="0" t="str">
        <f aca="false">IF(B4990="","",IF(COUNTIF(Campaigns!$A$7:$A$300,B4990)&gt;0,"✓","⚠ add to Campaigns tab"))</f>
        <v/>
      </c>
      <c r="I4990" s="84" t="str">
        <f aca="false">IF(C4990="","",C4990*IF(Settings!$B$23=Settings!$C$6,1,IF(Settings!$B$23="USD",1/INDEX(Settings!$B$29:$B$40,MONTH(A4990)),INDEX(Settings!$B$29:$B$40,MONTH(A4990)))))</f>
        <v/>
      </c>
    </row>
    <row r="4991" customFormat="false" ht="15" hidden="false" customHeight="false" outlineLevel="0" collapsed="false">
      <c r="H4991" s="0" t="str">
        <f aca="false">IF(B4991="","",IF(COUNTIF(Campaigns!$A$7:$A$300,B4991)&gt;0,"✓","⚠ add to Campaigns tab"))</f>
        <v/>
      </c>
      <c r="I4991" s="84" t="str">
        <f aca="false">IF(C4991="","",C4991*IF(Settings!$B$23=Settings!$C$6,1,IF(Settings!$B$23="USD",1/INDEX(Settings!$B$29:$B$40,MONTH(A4991)),INDEX(Settings!$B$29:$B$40,MONTH(A4991)))))</f>
        <v/>
      </c>
    </row>
    <row r="4992" customFormat="false" ht="15" hidden="false" customHeight="false" outlineLevel="0" collapsed="false">
      <c r="H4992" s="0" t="str">
        <f aca="false">IF(B4992="","",IF(COUNTIF(Campaigns!$A$7:$A$300,B4992)&gt;0,"✓","⚠ add to Campaigns tab"))</f>
        <v/>
      </c>
      <c r="I4992" s="84" t="str">
        <f aca="false">IF(C4992="","",C4992*IF(Settings!$B$23=Settings!$C$6,1,IF(Settings!$B$23="USD",1/INDEX(Settings!$B$29:$B$40,MONTH(A4992)),INDEX(Settings!$B$29:$B$40,MONTH(A4992)))))</f>
        <v/>
      </c>
    </row>
    <row r="4993" customFormat="false" ht="15" hidden="false" customHeight="false" outlineLevel="0" collapsed="false">
      <c r="H4993" s="0" t="str">
        <f aca="false">IF(B4993="","",IF(COUNTIF(Campaigns!$A$7:$A$300,B4993)&gt;0,"✓","⚠ add to Campaigns tab"))</f>
        <v/>
      </c>
      <c r="I4993" s="84" t="str">
        <f aca="false">IF(C4993="","",C4993*IF(Settings!$B$23=Settings!$C$6,1,IF(Settings!$B$23="USD",1/INDEX(Settings!$B$29:$B$40,MONTH(A4993)),INDEX(Settings!$B$29:$B$40,MONTH(A4993)))))</f>
        <v/>
      </c>
    </row>
    <row r="4994" customFormat="false" ht="15" hidden="false" customHeight="false" outlineLevel="0" collapsed="false">
      <c r="H4994" s="0" t="str">
        <f aca="false">IF(B4994="","",IF(COUNTIF(Campaigns!$A$7:$A$300,B4994)&gt;0,"✓","⚠ add to Campaigns tab"))</f>
        <v/>
      </c>
      <c r="I4994" s="84" t="str">
        <f aca="false">IF(C4994="","",C4994*IF(Settings!$B$23=Settings!$C$6,1,IF(Settings!$B$23="USD",1/INDEX(Settings!$B$29:$B$40,MONTH(A4994)),INDEX(Settings!$B$29:$B$40,MONTH(A4994)))))</f>
        <v/>
      </c>
    </row>
    <row r="4995" customFormat="false" ht="15" hidden="false" customHeight="false" outlineLevel="0" collapsed="false">
      <c r="H4995" s="0" t="str">
        <f aca="false">IF(B4995="","",IF(COUNTIF(Campaigns!$A$7:$A$300,B4995)&gt;0,"✓","⚠ add to Campaigns tab"))</f>
        <v/>
      </c>
      <c r="I4995" s="84" t="str">
        <f aca="false">IF(C4995="","",C4995*IF(Settings!$B$23=Settings!$C$6,1,IF(Settings!$B$23="USD",1/INDEX(Settings!$B$29:$B$40,MONTH(A4995)),INDEX(Settings!$B$29:$B$40,MONTH(A4995)))))</f>
        <v/>
      </c>
    </row>
    <row r="4996" customFormat="false" ht="15" hidden="false" customHeight="false" outlineLevel="0" collapsed="false">
      <c r="H4996" s="0" t="str">
        <f aca="false">IF(B4996="","",IF(COUNTIF(Campaigns!$A$7:$A$300,B4996)&gt;0,"✓","⚠ add to Campaigns tab"))</f>
        <v/>
      </c>
      <c r="I4996" s="84" t="str">
        <f aca="false">IF(C4996="","",C4996*IF(Settings!$B$23=Settings!$C$6,1,IF(Settings!$B$23="USD",1/INDEX(Settings!$B$29:$B$40,MONTH(A4996)),INDEX(Settings!$B$29:$B$40,MONTH(A4996)))))</f>
        <v/>
      </c>
    </row>
    <row r="4997" customFormat="false" ht="15" hidden="false" customHeight="false" outlineLevel="0" collapsed="false">
      <c r="H4997" s="0" t="str">
        <f aca="false">IF(B4997="","",IF(COUNTIF(Campaigns!$A$7:$A$300,B4997)&gt;0,"✓","⚠ add to Campaigns tab"))</f>
        <v/>
      </c>
      <c r="I4997" s="84" t="str">
        <f aca="false">IF(C4997="","",C4997*IF(Settings!$B$23=Settings!$C$6,1,IF(Settings!$B$23="USD",1/INDEX(Settings!$B$29:$B$40,MONTH(A4997)),INDEX(Settings!$B$29:$B$40,MONTH(A4997)))))</f>
        <v/>
      </c>
    </row>
    <row r="4998" customFormat="false" ht="15" hidden="false" customHeight="false" outlineLevel="0" collapsed="false">
      <c r="H4998" s="0" t="str">
        <f aca="false">IF(B4998="","",IF(COUNTIF(Campaigns!$A$7:$A$300,B4998)&gt;0,"✓","⚠ add to Campaigns tab"))</f>
        <v/>
      </c>
      <c r="I4998" s="84" t="str">
        <f aca="false">IF(C4998="","",C4998*IF(Settings!$B$23=Settings!$C$6,1,IF(Settings!$B$23="USD",1/INDEX(Settings!$B$29:$B$40,MONTH(A4998)),INDEX(Settings!$B$29:$B$40,MONTH(A4998)))))</f>
        <v/>
      </c>
    </row>
    <row r="4999" customFormat="false" ht="15" hidden="false" customHeight="false" outlineLevel="0" collapsed="false">
      <c r="H4999" s="0" t="str">
        <f aca="false">IF(B4999="","",IF(COUNTIF(Campaigns!$A$7:$A$300,B4999)&gt;0,"✓","⚠ add to Campaigns tab"))</f>
        <v/>
      </c>
      <c r="I4999" s="84" t="str">
        <f aca="false">IF(C4999="","",C4999*IF(Settings!$B$23=Settings!$C$6,1,IF(Settings!$B$23="USD",1/INDEX(Settings!$B$29:$B$40,MONTH(A4999)),INDEX(Settings!$B$29:$B$40,MONTH(A4999)))))</f>
        <v/>
      </c>
    </row>
    <row r="5000" customFormat="false" ht="15" hidden="false" customHeight="false" outlineLevel="0" collapsed="false">
      <c r="H5000" s="0" t="str">
        <f aca="false">IF(B5000="","",IF(COUNTIF(Campaigns!$A$7:$A$300,B5000)&gt;0,"✓","⚠ add to Campaigns tab"))</f>
        <v/>
      </c>
      <c r="I5000" s="84" t="str">
        <f aca="false">IF(C5000="","",C5000*IF(Settings!$B$23=Settings!$C$6,1,IF(Settings!$B$23="USD",1/INDEX(Settings!$B$29:$B$40,MONTH(A5000)),INDEX(Settings!$B$29:$B$40,MONTH(A5000)))))</f>
        <v/>
      </c>
    </row>
    <row r="5001" customFormat="false" ht="15" hidden="false" customHeight="false" outlineLevel="0" collapsed="false">
      <c r="H5001" s="0" t="str">
        <f aca="false">IF(B5001="","",IF(COUNTIF(Campaigns!$A$7:$A$300,B5001)&gt;0,"✓","⚠ add to Campaigns tab"))</f>
        <v/>
      </c>
      <c r="I5001" s="84" t="str">
        <f aca="false">IF(C5001="","",C5001*IF(Settings!$B$23=Settings!$C$6,1,IF(Settings!$B$23="USD",1/INDEX(Settings!$B$29:$B$40,MONTH(A5001)),INDEX(Settings!$B$29:$B$40,MONTH(A5001)))))</f>
        <v/>
      </c>
    </row>
    <row r="5002" customFormat="false" ht="15" hidden="false" customHeight="false" outlineLevel="0" collapsed="false">
      <c r="H5002" s="0" t="str">
        <f aca="false">IF(B5002="","",IF(COUNTIF(Campaigns!$A$7:$A$300,B5002)&gt;0,"✓","⚠ add to Campaigns tab"))</f>
        <v/>
      </c>
      <c r="I5002" s="84" t="str">
        <f aca="false">IF(C5002="","",C5002*IF(Settings!$B$23=Settings!$C$6,1,IF(Settings!$B$23="USD",1/INDEX(Settings!$B$29:$B$40,MONTH(A5002)),INDEX(Settings!$B$29:$B$40,MONTH(A5002)))))</f>
        <v/>
      </c>
    </row>
    <row r="5003" customFormat="false" ht="15" hidden="false" customHeight="false" outlineLevel="0" collapsed="false">
      <c r="H5003" s="0" t="str">
        <f aca="false">IF(B5003="","",IF(COUNTIF(Campaigns!$A$7:$A$300,B5003)&gt;0,"✓","⚠ add to Campaigns tab"))</f>
        <v/>
      </c>
      <c r="I5003" s="84" t="str">
        <f aca="false">IF(C5003="","",C5003*IF(Settings!$B$23=Settings!$C$6,1,IF(Settings!$B$23="USD",1/INDEX(Settings!$B$29:$B$40,MONTH(A5003)),INDEX(Settings!$B$29:$B$40,MONTH(A5003)))))</f>
        <v/>
      </c>
    </row>
    <row r="5004" customFormat="false" ht="15" hidden="false" customHeight="false" outlineLevel="0" collapsed="false">
      <c r="H5004" s="0" t="str">
        <f aca="false">IF(B5004="","",IF(COUNTIF(Campaigns!$A$7:$A$300,B5004)&gt;0,"✓","⚠ add to Campaigns tab"))</f>
        <v/>
      </c>
      <c r="I5004" s="84" t="str">
        <f aca="false">IF(C5004="","",C5004*IF(Settings!$B$23=Settings!$C$6,1,IF(Settings!$B$23="USD",1/INDEX(Settings!$B$29:$B$40,MONTH(A5004)),INDEX(Settings!$B$29:$B$40,MONTH(A5004)))))</f>
        <v/>
      </c>
    </row>
    <row r="5005" customFormat="false" ht="15" hidden="false" customHeight="false" outlineLevel="0" collapsed="false">
      <c r="H5005" s="0" t="str">
        <f aca="false">IF(B5005="","",IF(COUNTIF(Campaigns!$A$7:$A$300,B5005)&gt;0,"✓","⚠ add to Campaigns tab"))</f>
        <v/>
      </c>
      <c r="I5005" s="84" t="str">
        <f aca="false">IF(C5005="","",C5005*IF(Settings!$B$23=Settings!$C$6,1,IF(Settings!$B$23="USD",1/INDEX(Settings!$B$29:$B$40,MONTH(A5005)),INDEX(Settings!$B$29:$B$40,MONTH(A5005)))))</f>
        <v/>
      </c>
    </row>
    <row r="5006" customFormat="false" ht="15" hidden="false" customHeight="false" outlineLevel="0" collapsed="false">
      <c r="H5006" s="0" t="str">
        <f aca="false">IF(B5006="","",IF(COUNTIF(Campaigns!$A$7:$A$300,B5006)&gt;0,"✓","⚠ add to Campaigns tab"))</f>
        <v/>
      </c>
      <c r="I5006" s="84" t="str">
        <f aca="false">IF(C5006="","",C5006*IF(Settings!$B$23=Settings!$C$6,1,IF(Settings!$B$23="USD",1/INDEX(Settings!$B$29:$B$40,MONTH(A5006)),INDEX(Settings!$B$29:$B$40,MONTH(A5006)))))</f>
        <v/>
      </c>
    </row>
    <row r="5007" customFormat="false" ht="15" hidden="false" customHeight="false" outlineLevel="0" collapsed="false">
      <c r="H5007" s="0" t="str">
        <f aca="false">IF(B5007="","",IF(COUNTIF(Campaigns!$A$7:$A$300,B5007)&gt;0,"✓","⚠ add to Campaigns tab"))</f>
        <v/>
      </c>
      <c r="I5007" s="84" t="str">
        <f aca="false">IF(C5007="","",C5007*IF(Settings!$B$23=Settings!$C$6,1,IF(Settings!$B$23="USD",1/INDEX(Settings!$B$29:$B$40,MONTH(A5007)),INDEX(Settings!$B$29:$B$40,MONTH(A5007)))))</f>
        <v/>
      </c>
    </row>
    <row r="5008" customFormat="false" ht="15" hidden="false" customHeight="false" outlineLevel="0" collapsed="false">
      <c r="H5008" s="0" t="str">
        <f aca="false">IF(B5008="","",IF(COUNTIF(Campaigns!$A$7:$A$300,B5008)&gt;0,"✓","⚠ add to Campaigns tab"))</f>
        <v/>
      </c>
      <c r="I5008" s="84" t="str">
        <f aca="false">IF(C5008="","",C5008*IF(Settings!$B$23=Settings!$C$6,1,IF(Settings!$B$23="USD",1/INDEX(Settings!$B$29:$B$40,MONTH(A5008)),INDEX(Settings!$B$29:$B$40,MONTH(A5008)))))</f>
        <v/>
      </c>
    </row>
    <row r="5009" customFormat="false" ht="15" hidden="false" customHeight="false" outlineLevel="0" collapsed="false">
      <c r="H5009" s="0" t="str">
        <f aca="false">IF(B5009="","",IF(COUNTIF(Campaigns!$A$7:$A$300,B5009)&gt;0,"✓","⚠ add to Campaigns tab"))</f>
        <v/>
      </c>
      <c r="I5009" s="84" t="str">
        <f aca="false">IF(C5009="","",C5009*IF(Settings!$B$23=Settings!$C$6,1,IF(Settings!$B$23="USD",1/INDEX(Settings!$B$29:$B$40,MONTH(A5009)),INDEX(Settings!$B$29:$B$40,MONTH(A5009)))))</f>
        <v/>
      </c>
    </row>
    <row r="5010" customFormat="false" ht="15" hidden="false" customHeight="false" outlineLevel="0" collapsed="false">
      <c r="H5010" s="0" t="str">
        <f aca="false">IF(B5010="","",IF(COUNTIF(Campaigns!$A$7:$A$300,B5010)&gt;0,"✓","⚠ add to Campaigns tab"))</f>
        <v/>
      </c>
      <c r="I5010" s="84" t="str">
        <f aca="false">IF(C5010="","",C5010*IF(Settings!$B$23=Settings!$C$6,1,IF(Settings!$B$23="USD",1/INDEX(Settings!$B$29:$B$40,MONTH(A5010)),INDEX(Settings!$B$29:$B$40,MONTH(A5010)))))</f>
        <v/>
      </c>
    </row>
    <row r="5011" customFormat="false" ht="15" hidden="false" customHeight="false" outlineLevel="0" collapsed="false">
      <c r="H5011" s="0" t="str">
        <f aca="false">IF(B5011="","",IF(COUNTIF(Campaigns!$A$7:$A$300,B5011)&gt;0,"✓","⚠ add to Campaigns tab"))</f>
        <v/>
      </c>
      <c r="I5011" s="84" t="str">
        <f aca="false">IF(C5011="","",C5011*IF(Settings!$B$23=Settings!$C$6,1,IF(Settings!$B$23="USD",1/INDEX(Settings!$B$29:$B$40,MONTH(A5011)),INDEX(Settings!$B$29:$B$40,MONTH(A5011)))))</f>
        <v/>
      </c>
    </row>
    <row r="5012" customFormat="false" ht="15" hidden="false" customHeight="false" outlineLevel="0" collapsed="false">
      <c r="H5012" s="0" t="str">
        <f aca="false">IF(B5012="","",IF(COUNTIF(Campaigns!$A$7:$A$300,B5012)&gt;0,"✓","⚠ add to Campaigns tab"))</f>
        <v/>
      </c>
      <c r="I5012" s="84" t="str">
        <f aca="false">IF(C5012="","",C5012*IF(Settings!$B$23=Settings!$C$6,1,IF(Settings!$B$23="USD",1/INDEX(Settings!$B$29:$B$40,MONTH(A5012)),INDEX(Settings!$B$29:$B$40,MONTH(A5012)))))</f>
        <v/>
      </c>
    </row>
    <row r="5013" customFormat="false" ht="15" hidden="false" customHeight="false" outlineLevel="0" collapsed="false">
      <c r="H5013" s="0" t="str">
        <f aca="false">IF(B5013="","",IF(COUNTIF(Campaigns!$A$7:$A$300,B5013)&gt;0,"✓","⚠ add to Campaigns tab"))</f>
        <v/>
      </c>
      <c r="I5013" s="84" t="str">
        <f aca="false">IF(C5013="","",C5013*IF(Settings!$B$23=Settings!$C$6,1,IF(Settings!$B$23="USD",1/INDEX(Settings!$B$29:$B$40,MONTH(A5013)),INDEX(Settings!$B$29:$B$40,MONTH(A5013)))))</f>
        <v/>
      </c>
    </row>
    <row r="5014" customFormat="false" ht="15" hidden="false" customHeight="false" outlineLevel="0" collapsed="false">
      <c r="H5014" s="0" t="str">
        <f aca="false">IF(B5014="","",IF(COUNTIF(Campaigns!$A$7:$A$300,B5014)&gt;0,"✓","⚠ add to Campaigns tab"))</f>
        <v/>
      </c>
      <c r="I5014" s="84" t="str">
        <f aca="false">IF(C5014="","",C5014*IF(Settings!$B$23=Settings!$C$6,1,IF(Settings!$B$23="USD",1/INDEX(Settings!$B$29:$B$40,MONTH(A5014)),INDEX(Settings!$B$29:$B$40,MONTH(A5014)))))</f>
        <v/>
      </c>
    </row>
    <row r="5015" customFormat="false" ht="15" hidden="false" customHeight="false" outlineLevel="0" collapsed="false">
      <c r="H5015" s="0" t="str">
        <f aca="false">IF(B5015="","",IF(COUNTIF(Campaigns!$A$7:$A$300,B5015)&gt;0,"✓","⚠ add to Campaigns tab"))</f>
        <v/>
      </c>
      <c r="I5015" s="84" t="str">
        <f aca="false">IF(C5015="","",C5015*IF(Settings!$B$23=Settings!$C$6,1,IF(Settings!$B$23="USD",1/INDEX(Settings!$B$29:$B$40,MONTH(A5015)),INDEX(Settings!$B$29:$B$40,MONTH(A5015)))))</f>
        <v/>
      </c>
    </row>
    <row r="5016" customFormat="false" ht="15" hidden="false" customHeight="false" outlineLevel="0" collapsed="false">
      <c r="H5016" s="0" t="str">
        <f aca="false">IF(B5016="","",IF(COUNTIF(Campaigns!$A$7:$A$300,B5016)&gt;0,"✓","⚠ add to Campaigns tab"))</f>
        <v/>
      </c>
      <c r="I5016" s="84" t="str">
        <f aca="false">IF(C5016="","",C5016*IF(Settings!$B$23=Settings!$C$6,1,IF(Settings!$B$23="USD",1/INDEX(Settings!$B$29:$B$40,MONTH(A5016)),INDEX(Settings!$B$29:$B$40,MONTH(A5016)))))</f>
        <v/>
      </c>
    </row>
    <row r="5017" customFormat="false" ht="15" hidden="false" customHeight="false" outlineLevel="0" collapsed="false">
      <c r="H5017" s="0" t="str">
        <f aca="false">IF(B5017="","",IF(COUNTIF(Campaigns!$A$7:$A$300,B5017)&gt;0,"✓","⚠ add to Campaigns tab"))</f>
        <v/>
      </c>
      <c r="I5017" s="84" t="str">
        <f aca="false">IF(C5017="","",C5017*IF(Settings!$B$23=Settings!$C$6,1,IF(Settings!$B$23="USD",1/INDEX(Settings!$B$29:$B$40,MONTH(A5017)),INDEX(Settings!$B$29:$B$40,MONTH(A5017)))))</f>
        <v/>
      </c>
    </row>
    <row r="5018" customFormat="false" ht="15" hidden="false" customHeight="false" outlineLevel="0" collapsed="false">
      <c r="H5018" s="0" t="str">
        <f aca="false">IF(B5018="","",IF(COUNTIF(Campaigns!$A$7:$A$300,B5018)&gt;0,"✓","⚠ add to Campaigns tab"))</f>
        <v/>
      </c>
      <c r="I5018" s="84" t="str">
        <f aca="false">IF(C5018="","",C5018*IF(Settings!$B$23=Settings!$C$6,1,IF(Settings!$B$23="USD",1/INDEX(Settings!$B$29:$B$40,MONTH(A5018)),INDEX(Settings!$B$29:$B$40,MONTH(A5018)))))</f>
        <v/>
      </c>
    </row>
    <row r="5019" customFormat="false" ht="15" hidden="false" customHeight="false" outlineLevel="0" collapsed="false">
      <c r="H5019" s="0" t="str">
        <f aca="false">IF(B5019="","",IF(COUNTIF(Campaigns!$A$7:$A$300,B5019)&gt;0,"✓","⚠ add to Campaigns tab"))</f>
        <v/>
      </c>
      <c r="I5019" s="84" t="str">
        <f aca="false">IF(C5019="","",C5019*IF(Settings!$B$23=Settings!$C$6,1,IF(Settings!$B$23="USD",1/INDEX(Settings!$B$29:$B$40,MONTH(A5019)),INDEX(Settings!$B$29:$B$40,MONTH(A5019)))))</f>
        <v/>
      </c>
    </row>
    <row r="5020" customFormat="false" ht="15" hidden="false" customHeight="false" outlineLevel="0" collapsed="false">
      <c r="H5020" s="0" t="str">
        <f aca="false">IF(B5020="","",IF(COUNTIF(Campaigns!$A$7:$A$300,B5020)&gt;0,"✓","⚠ add to Campaigns tab"))</f>
        <v/>
      </c>
      <c r="I5020" s="84" t="str">
        <f aca="false">IF(C5020="","",C5020*IF(Settings!$B$23=Settings!$C$6,1,IF(Settings!$B$23="USD",1/INDEX(Settings!$B$29:$B$40,MONTH(A5020)),INDEX(Settings!$B$29:$B$40,MONTH(A5020)))))</f>
        <v/>
      </c>
    </row>
    <row r="5021" customFormat="false" ht="15" hidden="false" customHeight="false" outlineLevel="0" collapsed="false">
      <c r="H5021" s="0" t="str">
        <f aca="false">IF(B5021="","",IF(COUNTIF(Campaigns!$A$7:$A$300,B5021)&gt;0,"✓","⚠ add to Campaigns tab"))</f>
        <v/>
      </c>
      <c r="I5021" s="84" t="str">
        <f aca="false">IF(C5021="","",C5021*IF(Settings!$B$23=Settings!$C$6,1,IF(Settings!$B$23="USD",1/INDEX(Settings!$B$29:$B$40,MONTH(A5021)),INDEX(Settings!$B$29:$B$40,MONTH(A5021)))))</f>
        <v/>
      </c>
    </row>
    <row r="5022" customFormat="false" ht="15" hidden="false" customHeight="false" outlineLevel="0" collapsed="false">
      <c r="H5022" s="0" t="str">
        <f aca="false">IF(B5022="","",IF(COUNTIF(Campaigns!$A$7:$A$300,B5022)&gt;0,"✓","⚠ add to Campaigns tab"))</f>
        <v/>
      </c>
      <c r="I5022" s="84" t="str">
        <f aca="false">IF(C5022="","",C5022*IF(Settings!$B$23=Settings!$C$6,1,IF(Settings!$B$23="USD",1/INDEX(Settings!$B$29:$B$40,MONTH(A5022)),INDEX(Settings!$B$29:$B$40,MONTH(A5022)))))</f>
        <v/>
      </c>
    </row>
    <row r="5023" customFormat="false" ht="15" hidden="false" customHeight="false" outlineLevel="0" collapsed="false">
      <c r="H5023" s="0" t="str">
        <f aca="false">IF(B5023="","",IF(COUNTIF(Campaigns!$A$7:$A$300,B5023)&gt;0,"✓","⚠ add to Campaigns tab"))</f>
        <v/>
      </c>
      <c r="I5023" s="84" t="str">
        <f aca="false">IF(C5023="","",C5023*IF(Settings!$B$23=Settings!$C$6,1,IF(Settings!$B$23="USD",1/INDEX(Settings!$B$29:$B$40,MONTH(A5023)),INDEX(Settings!$B$29:$B$40,MONTH(A5023)))))</f>
        <v/>
      </c>
    </row>
    <row r="5024" customFormat="false" ht="15" hidden="false" customHeight="false" outlineLevel="0" collapsed="false">
      <c r="H5024" s="0" t="str">
        <f aca="false">IF(B5024="","",IF(COUNTIF(Campaigns!$A$7:$A$300,B5024)&gt;0,"✓","⚠ add to Campaigns tab"))</f>
        <v/>
      </c>
      <c r="I5024" s="84" t="str">
        <f aca="false">IF(C5024="","",C5024*IF(Settings!$B$23=Settings!$C$6,1,IF(Settings!$B$23="USD",1/INDEX(Settings!$B$29:$B$40,MONTH(A5024)),INDEX(Settings!$B$29:$B$40,MONTH(A5024)))))</f>
        <v/>
      </c>
    </row>
    <row r="5025" customFormat="false" ht="15" hidden="false" customHeight="false" outlineLevel="0" collapsed="false">
      <c r="H5025" s="0" t="str">
        <f aca="false">IF(B5025="","",IF(COUNTIF(Campaigns!$A$7:$A$300,B5025)&gt;0,"✓","⚠ add to Campaigns tab"))</f>
        <v/>
      </c>
      <c r="I5025" s="84" t="str">
        <f aca="false">IF(C5025="","",C5025*IF(Settings!$B$23=Settings!$C$6,1,IF(Settings!$B$23="USD",1/INDEX(Settings!$B$29:$B$40,MONTH(A5025)),INDEX(Settings!$B$29:$B$40,MONTH(A5025)))))</f>
        <v/>
      </c>
    </row>
    <row r="5026" customFormat="false" ht="15" hidden="false" customHeight="false" outlineLevel="0" collapsed="false">
      <c r="H5026" s="0" t="str">
        <f aca="false">IF(B5026="","",IF(COUNTIF(Campaigns!$A$7:$A$300,B5026)&gt;0,"✓","⚠ add to Campaigns tab"))</f>
        <v/>
      </c>
      <c r="I5026" s="84" t="str">
        <f aca="false">IF(C5026="","",C5026*IF(Settings!$B$23=Settings!$C$6,1,IF(Settings!$B$23="USD",1/INDEX(Settings!$B$29:$B$40,MONTH(A5026)),INDEX(Settings!$B$29:$B$40,MONTH(A5026)))))</f>
        <v/>
      </c>
    </row>
    <row r="5027" customFormat="false" ht="15" hidden="false" customHeight="false" outlineLevel="0" collapsed="false">
      <c r="H5027" s="0" t="str">
        <f aca="false">IF(B5027="","",IF(COUNTIF(Campaigns!$A$7:$A$300,B5027)&gt;0,"✓","⚠ add to Campaigns tab"))</f>
        <v/>
      </c>
      <c r="I5027" s="84" t="str">
        <f aca="false">IF(C5027="","",C5027*IF(Settings!$B$23=Settings!$C$6,1,IF(Settings!$B$23="USD",1/INDEX(Settings!$B$29:$B$40,MONTH(A5027)),INDEX(Settings!$B$29:$B$40,MONTH(A5027)))))</f>
        <v/>
      </c>
    </row>
    <row r="5028" customFormat="false" ht="15" hidden="false" customHeight="false" outlineLevel="0" collapsed="false">
      <c r="H5028" s="0" t="str">
        <f aca="false">IF(B5028="","",IF(COUNTIF(Campaigns!$A$7:$A$300,B5028)&gt;0,"✓","⚠ add to Campaigns tab"))</f>
        <v/>
      </c>
      <c r="I5028" s="84" t="str">
        <f aca="false">IF(C5028="","",C5028*IF(Settings!$B$23=Settings!$C$6,1,IF(Settings!$B$23="USD",1/INDEX(Settings!$B$29:$B$40,MONTH(A5028)),INDEX(Settings!$B$29:$B$40,MONTH(A5028)))))</f>
        <v/>
      </c>
    </row>
    <row r="5029" customFormat="false" ht="15" hidden="false" customHeight="false" outlineLevel="0" collapsed="false">
      <c r="H5029" s="0" t="str">
        <f aca="false">IF(B5029="","",IF(COUNTIF(Campaigns!$A$7:$A$300,B5029)&gt;0,"✓","⚠ add to Campaigns tab"))</f>
        <v/>
      </c>
      <c r="I5029" s="84" t="str">
        <f aca="false">IF(C5029="","",C5029*IF(Settings!$B$23=Settings!$C$6,1,IF(Settings!$B$23="USD",1/INDEX(Settings!$B$29:$B$40,MONTH(A5029)),INDEX(Settings!$B$29:$B$40,MONTH(A5029)))))</f>
        <v/>
      </c>
    </row>
    <row r="5030" customFormat="false" ht="15" hidden="false" customHeight="false" outlineLevel="0" collapsed="false">
      <c r="H5030" s="0" t="str">
        <f aca="false">IF(B5030="","",IF(COUNTIF(Campaigns!$A$7:$A$300,B5030)&gt;0,"✓","⚠ add to Campaigns tab"))</f>
        <v/>
      </c>
      <c r="I5030" s="84" t="str">
        <f aca="false">IF(C5030="","",C5030*IF(Settings!$B$23=Settings!$C$6,1,IF(Settings!$B$23="USD",1/INDEX(Settings!$B$29:$B$40,MONTH(A5030)),INDEX(Settings!$B$29:$B$40,MONTH(A5030)))))</f>
        <v/>
      </c>
    </row>
    <row r="5031" customFormat="false" ht="15" hidden="false" customHeight="false" outlineLevel="0" collapsed="false">
      <c r="H5031" s="0" t="str">
        <f aca="false">IF(B5031="","",IF(COUNTIF(Campaigns!$A$7:$A$300,B5031)&gt;0,"✓","⚠ add to Campaigns tab"))</f>
        <v/>
      </c>
      <c r="I5031" s="84" t="str">
        <f aca="false">IF(C5031="","",C5031*IF(Settings!$B$23=Settings!$C$6,1,IF(Settings!$B$23="USD",1/INDEX(Settings!$B$29:$B$40,MONTH(A5031)),INDEX(Settings!$B$29:$B$40,MONTH(A5031)))))</f>
        <v/>
      </c>
    </row>
    <row r="5032" customFormat="false" ht="15" hidden="false" customHeight="false" outlineLevel="0" collapsed="false">
      <c r="H5032" s="0" t="str">
        <f aca="false">IF(B5032="","",IF(COUNTIF(Campaigns!$A$7:$A$300,B5032)&gt;0,"✓","⚠ add to Campaigns tab"))</f>
        <v/>
      </c>
      <c r="I5032" s="84" t="str">
        <f aca="false">IF(C5032="","",C5032*IF(Settings!$B$23=Settings!$C$6,1,IF(Settings!$B$23="USD",1/INDEX(Settings!$B$29:$B$40,MONTH(A5032)),INDEX(Settings!$B$29:$B$40,MONTH(A5032)))))</f>
        <v/>
      </c>
    </row>
    <row r="5033" customFormat="false" ht="15" hidden="false" customHeight="false" outlineLevel="0" collapsed="false">
      <c r="H5033" s="0" t="str">
        <f aca="false">IF(B5033="","",IF(COUNTIF(Campaigns!$A$7:$A$300,B5033)&gt;0,"✓","⚠ add to Campaigns tab"))</f>
        <v/>
      </c>
      <c r="I5033" s="84" t="str">
        <f aca="false">IF(C5033="","",C5033*IF(Settings!$B$23=Settings!$C$6,1,IF(Settings!$B$23="USD",1/INDEX(Settings!$B$29:$B$40,MONTH(A5033)),INDEX(Settings!$B$29:$B$40,MONTH(A5033)))))</f>
        <v/>
      </c>
    </row>
    <row r="5034" customFormat="false" ht="15" hidden="false" customHeight="false" outlineLevel="0" collapsed="false">
      <c r="H5034" s="0" t="str">
        <f aca="false">IF(B5034="","",IF(COUNTIF(Campaigns!$A$7:$A$300,B5034)&gt;0,"✓","⚠ add to Campaigns tab"))</f>
        <v/>
      </c>
      <c r="I5034" s="84" t="str">
        <f aca="false">IF(C5034="","",C5034*IF(Settings!$B$23=Settings!$C$6,1,IF(Settings!$B$23="USD",1/INDEX(Settings!$B$29:$B$40,MONTH(A5034)),INDEX(Settings!$B$29:$B$40,MONTH(A5034)))))</f>
        <v/>
      </c>
    </row>
    <row r="5035" customFormat="false" ht="15" hidden="false" customHeight="false" outlineLevel="0" collapsed="false">
      <c r="H5035" s="0" t="str">
        <f aca="false">IF(B5035="","",IF(COUNTIF(Campaigns!$A$7:$A$300,B5035)&gt;0,"✓","⚠ add to Campaigns tab"))</f>
        <v/>
      </c>
      <c r="I5035" s="84" t="str">
        <f aca="false">IF(C5035="","",C5035*IF(Settings!$B$23=Settings!$C$6,1,IF(Settings!$B$23="USD",1/INDEX(Settings!$B$29:$B$40,MONTH(A5035)),INDEX(Settings!$B$29:$B$40,MONTH(A5035)))))</f>
        <v/>
      </c>
    </row>
    <row r="5036" customFormat="false" ht="15" hidden="false" customHeight="false" outlineLevel="0" collapsed="false">
      <c r="H5036" s="0" t="str">
        <f aca="false">IF(B5036="","",IF(COUNTIF(Campaigns!$A$7:$A$300,B5036)&gt;0,"✓","⚠ add to Campaigns tab"))</f>
        <v/>
      </c>
      <c r="I5036" s="84" t="str">
        <f aca="false">IF(C5036="","",C5036*IF(Settings!$B$23=Settings!$C$6,1,IF(Settings!$B$23="USD",1/INDEX(Settings!$B$29:$B$40,MONTH(A5036)),INDEX(Settings!$B$29:$B$40,MONTH(A5036)))))</f>
        <v/>
      </c>
    </row>
    <row r="5037" customFormat="false" ht="15" hidden="false" customHeight="false" outlineLevel="0" collapsed="false">
      <c r="H5037" s="0" t="str">
        <f aca="false">IF(B5037="","",IF(COUNTIF(Campaigns!$A$7:$A$300,B5037)&gt;0,"✓","⚠ add to Campaigns tab"))</f>
        <v/>
      </c>
      <c r="I5037" s="84" t="str">
        <f aca="false">IF(C5037="","",C5037*IF(Settings!$B$23=Settings!$C$6,1,IF(Settings!$B$23="USD",1/INDEX(Settings!$B$29:$B$40,MONTH(A5037)),INDEX(Settings!$B$29:$B$40,MONTH(A5037)))))</f>
        <v/>
      </c>
    </row>
    <row r="5038" customFormat="false" ht="15" hidden="false" customHeight="false" outlineLevel="0" collapsed="false">
      <c r="H5038" s="0" t="str">
        <f aca="false">IF(B5038="","",IF(COUNTIF(Campaigns!$A$7:$A$300,B5038)&gt;0,"✓","⚠ add to Campaigns tab"))</f>
        <v/>
      </c>
      <c r="I5038" s="84" t="str">
        <f aca="false">IF(C5038="","",C5038*IF(Settings!$B$23=Settings!$C$6,1,IF(Settings!$B$23="USD",1/INDEX(Settings!$B$29:$B$40,MONTH(A5038)),INDEX(Settings!$B$29:$B$40,MONTH(A5038)))))</f>
        <v/>
      </c>
    </row>
    <row r="5039" customFormat="false" ht="15" hidden="false" customHeight="false" outlineLevel="0" collapsed="false">
      <c r="H5039" s="0" t="str">
        <f aca="false">IF(B5039="","",IF(COUNTIF(Campaigns!$A$7:$A$300,B5039)&gt;0,"✓","⚠ add to Campaigns tab"))</f>
        <v/>
      </c>
      <c r="I5039" s="84" t="str">
        <f aca="false">IF(C5039="","",C5039*IF(Settings!$B$23=Settings!$C$6,1,IF(Settings!$B$23="USD",1/INDEX(Settings!$B$29:$B$40,MONTH(A5039)),INDEX(Settings!$B$29:$B$40,MONTH(A5039)))))</f>
        <v/>
      </c>
    </row>
    <row r="5040" customFormat="false" ht="15" hidden="false" customHeight="false" outlineLevel="0" collapsed="false">
      <c r="H5040" s="0" t="str">
        <f aca="false">IF(B5040="","",IF(COUNTIF(Campaigns!$A$7:$A$300,B5040)&gt;0,"✓","⚠ add to Campaigns tab"))</f>
        <v/>
      </c>
      <c r="I5040" s="84" t="str">
        <f aca="false">IF(C5040="","",C5040*IF(Settings!$B$23=Settings!$C$6,1,IF(Settings!$B$23="USD",1/INDEX(Settings!$B$29:$B$40,MONTH(A5040)),INDEX(Settings!$B$29:$B$40,MONTH(A5040)))))</f>
        <v/>
      </c>
    </row>
    <row r="5041" customFormat="false" ht="15" hidden="false" customHeight="false" outlineLevel="0" collapsed="false">
      <c r="H5041" s="0" t="str">
        <f aca="false">IF(B5041="","",IF(COUNTIF(Campaigns!$A$7:$A$300,B5041)&gt;0,"✓","⚠ add to Campaigns tab"))</f>
        <v/>
      </c>
      <c r="I5041" s="84" t="str">
        <f aca="false">IF(C5041="","",C5041*IF(Settings!$B$23=Settings!$C$6,1,IF(Settings!$B$23="USD",1/INDEX(Settings!$B$29:$B$40,MONTH(A5041)),INDEX(Settings!$B$29:$B$40,MONTH(A5041)))))</f>
        <v/>
      </c>
    </row>
    <row r="5042" customFormat="false" ht="15" hidden="false" customHeight="false" outlineLevel="0" collapsed="false">
      <c r="H5042" s="0" t="str">
        <f aca="false">IF(B5042="","",IF(COUNTIF(Campaigns!$A$7:$A$300,B5042)&gt;0,"✓","⚠ add to Campaigns tab"))</f>
        <v/>
      </c>
      <c r="I5042" s="84" t="str">
        <f aca="false">IF(C5042="","",C5042*IF(Settings!$B$23=Settings!$C$6,1,IF(Settings!$B$23="USD",1/INDEX(Settings!$B$29:$B$40,MONTH(A5042)),INDEX(Settings!$B$29:$B$40,MONTH(A5042)))))</f>
        <v/>
      </c>
    </row>
    <row r="5043" customFormat="false" ht="15" hidden="false" customHeight="false" outlineLevel="0" collapsed="false">
      <c r="H5043" s="0" t="str">
        <f aca="false">IF(B5043="","",IF(COUNTIF(Campaigns!$A$7:$A$300,B5043)&gt;0,"✓","⚠ add to Campaigns tab"))</f>
        <v/>
      </c>
      <c r="I5043" s="84" t="str">
        <f aca="false">IF(C5043="","",C5043*IF(Settings!$B$23=Settings!$C$6,1,IF(Settings!$B$23="USD",1/INDEX(Settings!$B$29:$B$40,MONTH(A5043)),INDEX(Settings!$B$29:$B$40,MONTH(A5043)))))</f>
        <v/>
      </c>
    </row>
    <row r="5044" customFormat="false" ht="15" hidden="false" customHeight="false" outlineLevel="0" collapsed="false">
      <c r="H5044" s="0" t="str">
        <f aca="false">IF(B5044="","",IF(COUNTIF(Campaigns!$A$7:$A$300,B5044)&gt;0,"✓","⚠ add to Campaigns tab"))</f>
        <v/>
      </c>
      <c r="I5044" s="84" t="str">
        <f aca="false">IF(C5044="","",C5044*IF(Settings!$B$23=Settings!$C$6,1,IF(Settings!$B$23="USD",1/INDEX(Settings!$B$29:$B$40,MONTH(A5044)),INDEX(Settings!$B$29:$B$40,MONTH(A5044)))))</f>
        <v/>
      </c>
    </row>
    <row r="5045" customFormat="false" ht="15" hidden="false" customHeight="false" outlineLevel="0" collapsed="false">
      <c r="H5045" s="0" t="str">
        <f aca="false">IF(B5045="","",IF(COUNTIF(Campaigns!$A$7:$A$300,B5045)&gt;0,"✓","⚠ add to Campaigns tab"))</f>
        <v/>
      </c>
      <c r="I5045" s="84" t="str">
        <f aca="false">IF(C5045="","",C5045*IF(Settings!$B$23=Settings!$C$6,1,IF(Settings!$B$23="USD",1/INDEX(Settings!$B$29:$B$40,MONTH(A5045)),INDEX(Settings!$B$29:$B$40,MONTH(A5045)))))</f>
        <v/>
      </c>
    </row>
    <row r="5046" customFormat="false" ht="15" hidden="false" customHeight="false" outlineLevel="0" collapsed="false">
      <c r="H5046" s="0" t="str">
        <f aca="false">IF(B5046="","",IF(COUNTIF(Campaigns!$A$7:$A$300,B5046)&gt;0,"✓","⚠ add to Campaigns tab"))</f>
        <v/>
      </c>
      <c r="I5046" s="84" t="str">
        <f aca="false">IF(C5046="","",C5046*IF(Settings!$B$23=Settings!$C$6,1,IF(Settings!$B$23="USD",1/INDEX(Settings!$B$29:$B$40,MONTH(A5046)),INDEX(Settings!$B$29:$B$40,MONTH(A5046)))))</f>
        <v/>
      </c>
    </row>
    <row r="5047" customFormat="false" ht="15" hidden="false" customHeight="false" outlineLevel="0" collapsed="false">
      <c r="H5047" s="0" t="str">
        <f aca="false">IF(B5047="","",IF(COUNTIF(Campaigns!$A$7:$A$300,B5047)&gt;0,"✓","⚠ add to Campaigns tab"))</f>
        <v/>
      </c>
      <c r="I5047" s="84" t="str">
        <f aca="false">IF(C5047="","",C5047*IF(Settings!$B$23=Settings!$C$6,1,IF(Settings!$B$23="USD",1/INDEX(Settings!$B$29:$B$40,MONTH(A5047)),INDEX(Settings!$B$29:$B$40,MONTH(A5047)))))</f>
        <v/>
      </c>
    </row>
    <row r="5048" customFormat="false" ht="15" hidden="false" customHeight="false" outlineLevel="0" collapsed="false">
      <c r="H5048" s="0" t="str">
        <f aca="false">IF(B5048="","",IF(COUNTIF(Campaigns!$A$7:$A$300,B5048)&gt;0,"✓","⚠ add to Campaigns tab"))</f>
        <v/>
      </c>
      <c r="I5048" s="84" t="str">
        <f aca="false">IF(C5048="","",C5048*IF(Settings!$B$23=Settings!$C$6,1,IF(Settings!$B$23="USD",1/INDEX(Settings!$B$29:$B$40,MONTH(A5048)),INDEX(Settings!$B$29:$B$40,MONTH(A5048)))))</f>
        <v/>
      </c>
    </row>
    <row r="5049" customFormat="false" ht="15" hidden="false" customHeight="false" outlineLevel="0" collapsed="false">
      <c r="H5049" s="0" t="str">
        <f aca="false">IF(B5049="","",IF(COUNTIF(Campaigns!$A$7:$A$300,B5049)&gt;0,"✓","⚠ add to Campaigns tab"))</f>
        <v/>
      </c>
      <c r="I5049" s="84" t="str">
        <f aca="false">IF(C5049="","",C5049*IF(Settings!$B$23=Settings!$C$6,1,IF(Settings!$B$23="USD",1/INDEX(Settings!$B$29:$B$40,MONTH(A5049)),INDEX(Settings!$B$29:$B$40,MONTH(A5049)))))</f>
        <v/>
      </c>
    </row>
    <row r="5050" customFormat="false" ht="15" hidden="false" customHeight="false" outlineLevel="0" collapsed="false">
      <c r="H5050" s="0" t="str">
        <f aca="false">IF(B5050="","",IF(COUNTIF(Campaigns!$A$7:$A$300,B5050)&gt;0,"✓","⚠ add to Campaigns tab"))</f>
        <v/>
      </c>
      <c r="I5050" s="84" t="str">
        <f aca="false">IF(C5050="","",C5050*IF(Settings!$B$23=Settings!$C$6,1,IF(Settings!$B$23="USD",1/INDEX(Settings!$B$29:$B$40,MONTH(A5050)),INDEX(Settings!$B$29:$B$40,MONTH(A5050)))))</f>
        <v/>
      </c>
    </row>
    <row r="5051" customFormat="false" ht="15" hidden="false" customHeight="false" outlineLevel="0" collapsed="false">
      <c r="H5051" s="0" t="str">
        <f aca="false">IF(B5051="","",IF(COUNTIF(Campaigns!$A$7:$A$300,B5051)&gt;0,"✓","⚠ add to Campaigns tab"))</f>
        <v/>
      </c>
      <c r="I5051" s="84" t="str">
        <f aca="false">IF(C5051="","",C5051*IF(Settings!$B$23=Settings!$C$6,1,IF(Settings!$B$23="USD",1/INDEX(Settings!$B$29:$B$40,MONTH(A5051)),INDEX(Settings!$B$29:$B$40,MONTH(A5051)))))</f>
        <v/>
      </c>
    </row>
    <row r="5052" customFormat="false" ht="15" hidden="false" customHeight="false" outlineLevel="0" collapsed="false">
      <c r="H5052" s="0" t="str">
        <f aca="false">IF(B5052="","",IF(COUNTIF(Campaigns!$A$7:$A$300,B5052)&gt;0,"✓","⚠ add to Campaigns tab"))</f>
        <v/>
      </c>
      <c r="I5052" s="84" t="str">
        <f aca="false">IF(C5052="","",C5052*IF(Settings!$B$23=Settings!$C$6,1,IF(Settings!$B$23="USD",1/INDEX(Settings!$B$29:$B$40,MONTH(A5052)),INDEX(Settings!$B$29:$B$40,MONTH(A5052)))))</f>
        <v/>
      </c>
    </row>
    <row r="5053" customFormat="false" ht="15" hidden="false" customHeight="false" outlineLevel="0" collapsed="false">
      <c r="H5053" s="0" t="str">
        <f aca="false">IF(B5053="","",IF(COUNTIF(Campaigns!$A$7:$A$300,B5053)&gt;0,"✓","⚠ add to Campaigns tab"))</f>
        <v/>
      </c>
      <c r="I5053" s="84" t="str">
        <f aca="false">IF(C5053="","",C5053*IF(Settings!$B$23=Settings!$C$6,1,IF(Settings!$B$23="USD",1/INDEX(Settings!$B$29:$B$40,MONTH(A5053)),INDEX(Settings!$B$29:$B$40,MONTH(A5053)))))</f>
        <v/>
      </c>
    </row>
    <row r="5054" customFormat="false" ht="15" hidden="false" customHeight="false" outlineLevel="0" collapsed="false">
      <c r="H5054" s="0" t="str">
        <f aca="false">IF(B5054="","",IF(COUNTIF(Campaigns!$A$7:$A$300,B5054)&gt;0,"✓","⚠ add to Campaigns tab"))</f>
        <v/>
      </c>
      <c r="I5054" s="84" t="str">
        <f aca="false">IF(C5054="","",C5054*IF(Settings!$B$23=Settings!$C$6,1,IF(Settings!$B$23="USD",1/INDEX(Settings!$B$29:$B$40,MONTH(A5054)),INDEX(Settings!$B$29:$B$40,MONTH(A5054)))))</f>
        <v/>
      </c>
    </row>
    <row r="5055" customFormat="false" ht="15" hidden="false" customHeight="false" outlineLevel="0" collapsed="false">
      <c r="H5055" s="0" t="str">
        <f aca="false">IF(B5055="","",IF(COUNTIF(Campaigns!$A$7:$A$300,B5055)&gt;0,"✓","⚠ add to Campaigns tab"))</f>
        <v/>
      </c>
      <c r="I5055" s="84" t="str">
        <f aca="false">IF(C5055="","",C5055*IF(Settings!$B$23=Settings!$C$6,1,IF(Settings!$B$23="USD",1/INDEX(Settings!$B$29:$B$40,MONTH(A5055)),INDEX(Settings!$B$29:$B$40,MONTH(A5055)))))</f>
        <v/>
      </c>
    </row>
    <row r="5056" customFormat="false" ht="15" hidden="false" customHeight="false" outlineLevel="0" collapsed="false">
      <c r="H5056" s="0" t="str">
        <f aca="false">IF(B5056="","",IF(COUNTIF(Campaigns!$A$7:$A$300,B5056)&gt;0,"✓","⚠ add to Campaigns tab"))</f>
        <v/>
      </c>
      <c r="I5056" s="84" t="str">
        <f aca="false">IF(C5056="","",C5056*IF(Settings!$B$23=Settings!$C$6,1,IF(Settings!$B$23="USD",1/INDEX(Settings!$B$29:$B$40,MONTH(A5056)),INDEX(Settings!$B$29:$B$40,MONTH(A5056)))))</f>
        <v/>
      </c>
    </row>
    <row r="5057" customFormat="false" ht="15" hidden="false" customHeight="false" outlineLevel="0" collapsed="false">
      <c r="H5057" s="0" t="str">
        <f aca="false">IF(B5057="","",IF(COUNTIF(Campaigns!$A$7:$A$300,B5057)&gt;0,"✓","⚠ add to Campaigns tab"))</f>
        <v/>
      </c>
      <c r="I5057" s="84" t="str">
        <f aca="false">IF(C5057="","",C5057*IF(Settings!$B$23=Settings!$C$6,1,IF(Settings!$B$23="USD",1/INDEX(Settings!$B$29:$B$40,MONTH(A5057)),INDEX(Settings!$B$29:$B$40,MONTH(A5057)))))</f>
        <v/>
      </c>
    </row>
    <row r="5058" customFormat="false" ht="15" hidden="false" customHeight="false" outlineLevel="0" collapsed="false">
      <c r="H5058" s="0" t="str">
        <f aca="false">IF(B5058="","",IF(COUNTIF(Campaigns!$A$7:$A$300,B5058)&gt;0,"✓","⚠ add to Campaigns tab"))</f>
        <v/>
      </c>
      <c r="I5058" s="84" t="str">
        <f aca="false">IF(C5058="","",C5058*IF(Settings!$B$23=Settings!$C$6,1,IF(Settings!$B$23="USD",1/INDEX(Settings!$B$29:$B$40,MONTH(A5058)),INDEX(Settings!$B$29:$B$40,MONTH(A5058)))))</f>
        <v/>
      </c>
    </row>
    <row r="5059" customFormat="false" ht="15" hidden="false" customHeight="false" outlineLevel="0" collapsed="false">
      <c r="H5059" s="0" t="str">
        <f aca="false">IF(B5059="","",IF(COUNTIF(Campaigns!$A$7:$A$300,B5059)&gt;0,"✓","⚠ add to Campaigns tab"))</f>
        <v/>
      </c>
      <c r="I5059" s="84" t="str">
        <f aca="false">IF(C5059="","",C5059*IF(Settings!$B$23=Settings!$C$6,1,IF(Settings!$B$23="USD",1/INDEX(Settings!$B$29:$B$40,MONTH(A5059)),INDEX(Settings!$B$29:$B$40,MONTH(A5059)))))</f>
        <v/>
      </c>
    </row>
    <row r="5060" customFormat="false" ht="15" hidden="false" customHeight="false" outlineLevel="0" collapsed="false">
      <c r="H5060" s="0" t="str">
        <f aca="false">IF(B5060="","",IF(COUNTIF(Campaigns!$A$7:$A$300,B5060)&gt;0,"✓","⚠ add to Campaigns tab"))</f>
        <v/>
      </c>
      <c r="I5060" s="84" t="str">
        <f aca="false">IF(C5060="","",C5060*IF(Settings!$B$23=Settings!$C$6,1,IF(Settings!$B$23="USD",1/INDEX(Settings!$B$29:$B$40,MONTH(A5060)),INDEX(Settings!$B$29:$B$40,MONTH(A5060)))))</f>
        <v/>
      </c>
    </row>
    <row r="5061" customFormat="false" ht="15" hidden="false" customHeight="false" outlineLevel="0" collapsed="false">
      <c r="H5061" s="0" t="str">
        <f aca="false">IF(B5061="","",IF(COUNTIF(Campaigns!$A$7:$A$300,B5061)&gt;0,"✓","⚠ add to Campaigns tab"))</f>
        <v/>
      </c>
      <c r="I5061" s="84" t="str">
        <f aca="false">IF(C5061="","",C5061*IF(Settings!$B$23=Settings!$C$6,1,IF(Settings!$B$23="USD",1/INDEX(Settings!$B$29:$B$40,MONTH(A5061)),INDEX(Settings!$B$29:$B$40,MONTH(A5061)))))</f>
        <v/>
      </c>
    </row>
    <row r="5062" customFormat="false" ht="15" hidden="false" customHeight="false" outlineLevel="0" collapsed="false">
      <c r="H5062" s="0" t="str">
        <f aca="false">IF(B5062="","",IF(COUNTIF(Campaigns!$A$7:$A$300,B5062)&gt;0,"✓","⚠ add to Campaigns tab"))</f>
        <v/>
      </c>
      <c r="I5062" s="84" t="str">
        <f aca="false">IF(C5062="","",C5062*IF(Settings!$B$23=Settings!$C$6,1,IF(Settings!$B$23="USD",1/INDEX(Settings!$B$29:$B$40,MONTH(A5062)),INDEX(Settings!$B$29:$B$40,MONTH(A5062)))))</f>
        <v/>
      </c>
    </row>
    <row r="5063" customFormat="false" ht="15" hidden="false" customHeight="false" outlineLevel="0" collapsed="false">
      <c r="H5063" s="0" t="str">
        <f aca="false">IF(B5063="","",IF(COUNTIF(Campaigns!$A$7:$A$300,B5063)&gt;0,"✓","⚠ add to Campaigns tab"))</f>
        <v/>
      </c>
      <c r="I5063" s="84" t="str">
        <f aca="false">IF(C5063="","",C5063*IF(Settings!$B$23=Settings!$C$6,1,IF(Settings!$B$23="USD",1/INDEX(Settings!$B$29:$B$40,MONTH(A5063)),INDEX(Settings!$B$29:$B$40,MONTH(A5063)))))</f>
        <v/>
      </c>
    </row>
    <row r="5064" customFormat="false" ht="15" hidden="false" customHeight="false" outlineLevel="0" collapsed="false">
      <c r="H5064" s="0" t="str">
        <f aca="false">IF(B5064="","",IF(COUNTIF(Campaigns!$A$7:$A$300,B5064)&gt;0,"✓","⚠ add to Campaigns tab"))</f>
        <v/>
      </c>
      <c r="I5064" s="84" t="str">
        <f aca="false">IF(C5064="","",C5064*IF(Settings!$B$23=Settings!$C$6,1,IF(Settings!$B$23="USD",1/INDEX(Settings!$B$29:$B$40,MONTH(A5064)),INDEX(Settings!$B$29:$B$40,MONTH(A5064)))))</f>
        <v/>
      </c>
    </row>
    <row r="5065" customFormat="false" ht="15" hidden="false" customHeight="false" outlineLevel="0" collapsed="false">
      <c r="H5065" s="0" t="str">
        <f aca="false">IF(B5065="","",IF(COUNTIF(Campaigns!$A$7:$A$300,B5065)&gt;0,"✓","⚠ add to Campaigns tab"))</f>
        <v/>
      </c>
      <c r="I5065" s="84" t="str">
        <f aca="false">IF(C5065="","",C5065*IF(Settings!$B$23=Settings!$C$6,1,IF(Settings!$B$23="USD",1/INDEX(Settings!$B$29:$B$40,MONTH(A5065)),INDEX(Settings!$B$29:$B$40,MONTH(A5065)))))</f>
        <v/>
      </c>
    </row>
    <row r="5066" customFormat="false" ht="15" hidden="false" customHeight="false" outlineLevel="0" collapsed="false">
      <c r="H5066" s="0" t="str">
        <f aca="false">IF(B5066="","",IF(COUNTIF(Campaigns!$A$7:$A$300,B5066)&gt;0,"✓","⚠ add to Campaigns tab"))</f>
        <v/>
      </c>
      <c r="I5066" s="84" t="str">
        <f aca="false">IF(C5066="","",C5066*IF(Settings!$B$23=Settings!$C$6,1,IF(Settings!$B$23="USD",1/INDEX(Settings!$B$29:$B$40,MONTH(A5066)),INDEX(Settings!$B$29:$B$40,MONTH(A5066)))))</f>
        <v/>
      </c>
    </row>
    <row r="5067" customFormat="false" ht="15" hidden="false" customHeight="false" outlineLevel="0" collapsed="false">
      <c r="H5067" s="0" t="str">
        <f aca="false">IF(B5067="","",IF(COUNTIF(Campaigns!$A$7:$A$300,B5067)&gt;0,"✓","⚠ add to Campaigns tab"))</f>
        <v/>
      </c>
      <c r="I5067" s="84" t="str">
        <f aca="false">IF(C5067="","",C5067*IF(Settings!$B$23=Settings!$C$6,1,IF(Settings!$B$23="USD",1/INDEX(Settings!$B$29:$B$40,MONTH(A5067)),INDEX(Settings!$B$29:$B$40,MONTH(A5067)))))</f>
        <v/>
      </c>
    </row>
    <row r="5068" customFormat="false" ht="15" hidden="false" customHeight="false" outlineLevel="0" collapsed="false">
      <c r="H5068" s="0" t="str">
        <f aca="false">IF(B5068="","",IF(COUNTIF(Campaigns!$A$7:$A$300,B5068)&gt;0,"✓","⚠ add to Campaigns tab"))</f>
        <v/>
      </c>
      <c r="I5068" s="84" t="str">
        <f aca="false">IF(C5068="","",C5068*IF(Settings!$B$23=Settings!$C$6,1,IF(Settings!$B$23="USD",1/INDEX(Settings!$B$29:$B$40,MONTH(A5068)),INDEX(Settings!$B$29:$B$40,MONTH(A5068)))))</f>
        <v/>
      </c>
    </row>
    <row r="5069" customFormat="false" ht="15" hidden="false" customHeight="false" outlineLevel="0" collapsed="false">
      <c r="H5069" s="0" t="str">
        <f aca="false">IF(B5069="","",IF(COUNTIF(Campaigns!$A$7:$A$300,B5069)&gt;0,"✓","⚠ add to Campaigns tab"))</f>
        <v/>
      </c>
      <c r="I5069" s="84" t="str">
        <f aca="false">IF(C5069="","",C5069*IF(Settings!$B$23=Settings!$C$6,1,IF(Settings!$B$23="USD",1/INDEX(Settings!$B$29:$B$40,MONTH(A5069)),INDEX(Settings!$B$29:$B$40,MONTH(A5069)))))</f>
        <v/>
      </c>
    </row>
    <row r="5070" customFormat="false" ht="15" hidden="false" customHeight="false" outlineLevel="0" collapsed="false">
      <c r="H5070" s="0" t="str">
        <f aca="false">IF(B5070="","",IF(COUNTIF(Campaigns!$A$7:$A$300,B5070)&gt;0,"✓","⚠ add to Campaigns tab"))</f>
        <v/>
      </c>
      <c r="I5070" s="84" t="str">
        <f aca="false">IF(C5070="","",C5070*IF(Settings!$B$23=Settings!$C$6,1,IF(Settings!$B$23="USD",1/INDEX(Settings!$B$29:$B$40,MONTH(A5070)),INDEX(Settings!$B$29:$B$40,MONTH(A5070)))))</f>
        <v/>
      </c>
    </row>
    <row r="5071" customFormat="false" ht="15" hidden="false" customHeight="false" outlineLevel="0" collapsed="false">
      <c r="H5071" s="0" t="str">
        <f aca="false">IF(B5071="","",IF(COUNTIF(Campaigns!$A$7:$A$300,B5071)&gt;0,"✓","⚠ add to Campaigns tab"))</f>
        <v/>
      </c>
      <c r="I5071" s="84" t="str">
        <f aca="false">IF(C5071="","",C5071*IF(Settings!$B$23=Settings!$C$6,1,IF(Settings!$B$23="USD",1/INDEX(Settings!$B$29:$B$40,MONTH(A5071)),INDEX(Settings!$B$29:$B$40,MONTH(A5071)))))</f>
        <v/>
      </c>
    </row>
    <row r="5072" customFormat="false" ht="15" hidden="false" customHeight="false" outlineLevel="0" collapsed="false">
      <c r="H5072" s="0" t="str">
        <f aca="false">IF(B5072="","",IF(COUNTIF(Campaigns!$A$7:$A$300,B5072)&gt;0,"✓","⚠ add to Campaigns tab"))</f>
        <v/>
      </c>
      <c r="I5072" s="84" t="str">
        <f aca="false">IF(C5072="","",C5072*IF(Settings!$B$23=Settings!$C$6,1,IF(Settings!$B$23="USD",1/INDEX(Settings!$B$29:$B$40,MONTH(A5072)),INDEX(Settings!$B$29:$B$40,MONTH(A5072)))))</f>
        <v/>
      </c>
    </row>
    <row r="5073" customFormat="false" ht="15" hidden="false" customHeight="false" outlineLevel="0" collapsed="false">
      <c r="H5073" s="0" t="str">
        <f aca="false">IF(B5073="","",IF(COUNTIF(Campaigns!$A$7:$A$300,B5073)&gt;0,"✓","⚠ add to Campaigns tab"))</f>
        <v/>
      </c>
      <c r="I5073" s="84" t="str">
        <f aca="false">IF(C5073="","",C5073*IF(Settings!$B$23=Settings!$C$6,1,IF(Settings!$B$23="USD",1/INDEX(Settings!$B$29:$B$40,MONTH(A5073)),INDEX(Settings!$B$29:$B$40,MONTH(A5073)))))</f>
        <v/>
      </c>
    </row>
    <row r="5074" customFormat="false" ht="15" hidden="false" customHeight="false" outlineLevel="0" collapsed="false">
      <c r="H5074" s="0" t="str">
        <f aca="false">IF(B5074="","",IF(COUNTIF(Campaigns!$A$7:$A$300,B5074)&gt;0,"✓","⚠ add to Campaigns tab"))</f>
        <v/>
      </c>
      <c r="I5074" s="84" t="str">
        <f aca="false">IF(C5074="","",C5074*IF(Settings!$B$23=Settings!$C$6,1,IF(Settings!$B$23="USD",1/INDEX(Settings!$B$29:$B$40,MONTH(A5074)),INDEX(Settings!$B$29:$B$40,MONTH(A5074)))))</f>
        <v/>
      </c>
    </row>
    <row r="5075" customFormat="false" ht="15" hidden="false" customHeight="false" outlineLevel="0" collapsed="false">
      <c r="H5075" s="0" t="str">
        <f aca="false">IF(B5075="","",IF(COUNTIF(Campaigns!$A$7:$A$300,B5075)&gt;0,"✓","⚠ add to Campaigns tab"))</f>
        <v/>
      </c>
      <c r="I5075" s="84" t="str">
        <f aca="false">IF(C5075="","",C5075*IF(Settings!$B$23=Settings!$C$6,1,IF(Settings!$B$23="USD",1/INDEX(Settings!$B$29:$B$40,MONTH(A5075)),INDEX(Settings!$B$29:$B$40,MONTH(A5075)))))</f>
        <v/>
      </c>
    </row>
    <row r="5076" customFormat="false" ht="15" hidden="false" customHeight="false" outlineLevel="0" collapsed="false">
      <c r="H5076" s="0" t="str">
        <f aca="false">IF(B5076="","",IF(COUNTIF(Campaigns!$A$7:$A$300,B5076)&gt;0,"✓","⚠ add to Campaigns tab"))</f>
        <v/>
      </c>
      <c r="I5076" s="84" t="str">
        <f aca="false">IF(C5076="","",C5076*IF(Settings!$B$23=Settings!$C$6,1,IF(Settings!$B$23="USD",1/INDEX(Settings!$B$29:$B$40,MONTH(A5076)),INDEX(Settings!$B$29:$B$40,MONTH(A5076)))))</f>
        <v/>
      </c>
    </row>
    <row r="5077" customFormat="false" ht="15" hidden="false" customHeight="false" outlineLevel="0" collapsed="false">
      <c r="H5077" s="0" t="str">
        <f aca="false">IF(B5077="","",IF(COUNTIF(Campaigns!$A$7:$A$300,B5077)&gt;0,"✓","⚠ add to Campaigns tab"))</f>
        <v/>
      </c>
      <c r="I5077" s="84" t="str">
        <f aca="false">IF(C5077="","",C5077*IF(Settings!$B$23=Settings!$C$6,1,IF(Settings!$B$23="USD",1/INDEX(Settings!$B$29:$B$40,MONTH(A5077)),INDEX(Settings!$B$29:$B$40,MONTH(A5077)))))</f>
        <v/>
      </c>
    </row>
    <row r="5078" customFormat="false" ht="15" hidden="false" customHeight="false" outlineLevel="0" collapsed="false">
      <c r="H5078" s="0" t="str">
        <f aca="false">IF(B5078="","",IF(COUNTIF(Campaigns!$A$7:$A$300,B5078)&gt;0,"✓","⚠ add to Campaigns tab"))</f>
        <v/>
      </c>
      <c r="I5078" s="84" t="str">
        <f aca="false">IF(C5078="","",C5078*IF(Settings!$B$23=Settings!$C$6,1,IF(Settings!$B$23="USD",1/INDEX(Settings!$B$29:$B$40,MONTH(A5078)),INDEX(Settings!$B$29:$B$40,MONTH(A5078)))))</f>
        <v/>
      </c>
    </row>
    <row r="5079" customFormat="false" ht="15" hidden="false" customHeight="false" outlineLevel="0" collapsed="false">
      <c r="H5079" s="0" t="str">
        <f aca="false">IF(B5079="","",IF(COUNTIF(Campaigns!$A$7:$A$300,B5079)&gt;0,"✓","⚠ add to Campaigns tab"))</f>
        <v/>
      </c>
      <c r="I5079" s="84" t="str">
        <f aca="false">IF(C5079="","",C5079*IF(Settings!$B$23=Settings!$C$6,1,IF(Settings!$B$23="USD",1/INDEX(Settings!$B$29:$B$40,MONTH(A5079)),INDEX(Settings!$B$29:$B$40,MONTH(A5079)))))</f>
        <v/>
      </c>
    </row>
    <row r="5080" customFormat="false" ht="15" hidden="false" customHeight="false" outlineLevel="0" collapsed="false">
      <c r="H5080" s="0" t="str">
        <f aca="false">IF(B5080="","",IF(COUNTIF(Campaigns!$A$7:$A$300,B5080)&gt;0,"✓","⚠ add to Campaigns tab"))</f>
        <v/>
      </c>
      <c r="I5080" s="84" t="str">
        <f aca="false">IF(C5080="","",C5080*IF(Settings!$B$23=Settings!$C$6,1,IF(Settings!$B$23="USD",1/INDEX(Settings!$B$29:$B$40,MONTH(A5080)),INDEX(Settings!$B$29:$B$40,MONTH(A5080)))))</f>
        <v/>
      </c>
    </row>
    <row r="5081" customFormat="false" ht="15" hidden="false" customHeight="false" outlineLevel="0" collapsed="false">
      <c r="H5081" s="0" t="str">
        <f aca="false">IF(B5081="","",IF(COUNTIF(Campaigns!$A$7:$A$300,B5081)&gt;0,"✓","⚠ add to Campaigns tab"))</f>
        <v/>
      </c>
      <c r="I5081" s="84" t="str">
        <f aca="false">IF(C5081="","",C5081*IF(Settings!$B$23=Settings!$C$6,1,IF(Settings!$B$23="USD",1/INDEX(Settings!$B$29:$B$40,MONTH(A5081)),INDEX(Settings!$B$29:$B$40,MONTH(A5081)))))</f>
        <v/>
      </c>
    </row>
    <row r="5082" customFormat="false" ht="15" hidden="false" customHeight="false" outlineLevel="0" collapsed="false">
      <c r="H5082" s="0" t="str">
        <f aca="false">IF(B5082="","",IF(COUNTIF(Campaigns!$A$7:$A$300,B5082)&gt;0,"✓","⚠ add to Campaigns tab"))</f>
        <v/>
      </c>
      <c r="I5082" s="84" t="str">
        <f aca="false">IF(C5082="","",C5082*IF(Settings!$B$23=Settings!$C$6,1,IF(Settings!$B$23="USD",1/INDEX(Settings!$B$29:$B$40,MONTH(A5082)),INDEX(Settings!$B$29:$B$40,MONTH(A5082)))))</f>
        <v/>
      </c>
    </row>
    <row r="5083" customFormat="false" ht="15" hidden="false" customHeight="false" outlineLevel="0" collapsed="false">
      <c r="H5083" s="0" t="str">
        <f aca="false">IF(B5083="","",IF(COUNTIF(Campaigns!$A$7:$A$300,B5083)&gt;0,"✓","⚠ add to Campaigns tab"))</f>
        <v/>
      </c>
      <c r="I5083" s="84" t="str">
        <f aca="false">IF(C5083="","",C5083*IF(Settings!$B$23=Settings!$C$6,1,IF(Settings!$B$23="USD",1/INDEX(Settings!$B$29:$B$40,MONTH(A5083)),INDEX(Settings!$B$29:$B$40,MONTH(A5083)))))</f>
        <v/>
      </c>
    </row>
    <row r="5084" customFormat="false" ht="15" hidden="false" customHeight="false" outlineLevel="0" collapsed="false">
      <c r="H5084" s="0" t="str">
        <f aca="false">IF(B5084="","",IF(COUNTIF(Campaigns!$A$7:$A$300,B5084)&gt;0,"✓","⚠ add to Campaigns tab"))</f>
        <v/>
      </c>
      <c r="I5084" s="84" t="str">
        <f aca="false">IF(C5084="","",C5084*IF(Settings!$B$23=Settings!$C$6,1,IF(Settings!$B$23="USD",1/INDEX(Settings!$B$29:$B$40,MONTH(A5084)),INDEX(Settings!$B$29:$B$40,MONTH(A5084)))))</f>
        <v/>
      </c>
    </row>
    <row r="5085" customFormat="false" ht="15" hidden="false" customHeight="false" outlineLevel="0" collapsed="false">
      <c r="H5085" s="0" t="str">
        <f aca="false">IF(B5085="","",IF(COUNTIF(Campaigns!$A$7:$A$300,B5085)&gt;0,"✓","⚠ add to Campaigns tab"))</f>
        <v/>
      </c>
      <c r="I5085" s="84" t="str">
        <f aca="false">IF(C5085="","",C5085*IF(Settings!$B$23=Settings!$C$6,1,IF(Settings!$B$23="USD",1/INDEX(Settings!$B$29:$B$40,MONTH(A5085)),INDEX(Settings!$B$29:$B$40,MONTH(A5085)))))</f>
        <v/>
      </c>
    </row>
    <row r="5086" customFormat="false" ht="15" hidden="false" customHeight="false" outlineLevel="0" collapsed="false">
      <c r="H5086" s="0" t="str">
        <f aca="false">IF(B5086="","",IF(COUNTIF(Campaigns!$A$7:$A$300,B5086)&gt;0,"✓","⚠ add to Campaigns tab"))</f>
        <v/>
      </c>
      <c r="I5086" s="84" t="str">
        <f aca="false">IF(C5086="","",C5086*IF(Settings!$B$23=Settings!$C$6,1,IF(Settings!$B$23="USD",1/INDEX(Settings!$B$29:$B$40,MONTH(A5086)),INDEX(Settings!$B$29:$B$40,MONTH(A5086)))))</f>
        <v/>
      </c>
    </row>
    <row r="5087" customFormat="false" ht="15" hidden="false" customHeight="false" outlineLevel="0" collapsed="false">
      <c r="H5087" s="0" t="str">
        <f aca="false">IF(B5087="","",IF(COUNTIF(Campaigns!$A$7:$A$300,B5087)&gt;0,"✓","⚠ add to Campaigns tab"))</f>
        <v/>
      </c>
      <c r="I5087" s="84" t="str">
        <f aca="false">IF(C5087="","",C5087*IF(Settings!$B$23=Settings!$C$6,1,IF(Settings!$B$23="USD",1/INDEX(Settings!$B$29:$B$40,MONTH(A5087)),INDEX(Settings!$B$29:$B$40,MONTH(A5087)))))</f>
        <v/>
      </c>
    </row>
    <row r="5088" customFormat="false" ht="15" hidden="false" customHeight="false" outlineLevel="0" collapsed="false">
      <c r="H5088" s="0" t="str">
        <f aca="false">IF(B5088="","",IF(COUNTIF(Campaigns!$A$7:$A$300,B5088)&gt;0,"✓","⚠ add to Campaigns tab"))</f>
        <v/>
      </c>
      <c r="I5088" s="84" t="str">
        <f aca="false">IF(C5088="","",C5088*IF(Settings!$B$23=Settings!$C$6,1,IF(Settings!$B$23="USD",1/INDEX(Settings!$B$29:$B$40,MONTH(A5088)),INDEX(Settings!$B$29:$B$40,MONTH(A5088)))))</f>
        <v/>
      </c>
    </row>
    <row r="5089" customFormat="false" ht="15" hidden="false" customHeight="false" outlineLevel="0" collapsed="false">
      <c r="H5089" s="0" t="str">
        <f aca="false">IF(B5089="","",IF(COUNTIF(Campaigns!$A$7:$A$300,B5089)&gt;0,"✓","⚠ add to Campaigns tab"))</f>
        <v/>
      </c>
      <c r="I5089" s="84" t="str">
        <f aca="false">IF(C5089="","",C5089*IF(Settings!$B$23=Settings!$C$6,1,IF(Settings!$B$23="USD",1/INDEX(Settings!$B$29:$B$40,MONTH(A5089)),INDEX(Settings!$B$29:$B$40,MONTH(A5089)))))</f>
        <v/>
      </c>
    </row>
    <row r="5090" customFormat="false" ht="15" hidden="false" customHeight="false" outlineLevel="0" collapsed="false">
      <c r="H5090" s="0" t="str">
        <f aca="false">IF(B5090="","",IF(COUNTIF(Campaigns!$A$7:$A$300,B5090)&gt;0,"✓","⚠ add to Campaigns tab"))</f>
        <v/>
      </c>
      <c r="I5090" s="84" t="str">
        <f aca="false">IF(C5090="","",C5090*IF(Settings!$B$23=Settings!$C$6,1,IF(Settings!$B$23="USD",1/INDEX(Settings!$B$29:$B$40,MONTH(A5090)),INDEX(Settings!$B$29:$B$40,MONTH(A5090)))))</f>
        <v/>
      </c>
    </row>
    <row r="5091" customFormat="false" ht="15" hidden="false" customHeight="false" outlineLevel="0" collapsed="false">
      <c r="H5091" s="0" t="str">
        <f aca="false">IF(B5091="","",IF(COUNTIF(Campaigns!$A$7:$A$300,B5091)&gt;0,"✓","⚠ add to Campaigns tab"))</f>
        <v/>
      </c>
      <c r="I5091" s="84" t="str">
        <f aca="false">IF(C5091="","",C5091*IF(Settings!$B$23=Settings!$C$6,1,IF(Settings!$B$23="USD",1/INDEX(Settings!$B$29:$B$40,MONTH(A5091)),INDEX(Settings!$B$29:$B$40,MONTH(A5091)))))</f>
        <v/>
      </c>
    </row>
    <row r="5092" customFormat="false" ht="15" hidden="false" customHeight="false" outlineLevel="0" collapsed="false">
      <c r="H5092" s="0" t="str">
        <f aca="false">IF(B5092="","",IF(COUNTIF(Campaigns!$A$7:$A$300,B5092)&gt;0,"✓","⚠ add to Campaigns tab"))</f>
        <v/>
      </c>
      <c r="I5092" s="84" t="str">
        <f aca="false">IF(C5092="","",C5092*IF(Settings!$B$23=Settings!$C$6,1,IF(Settings!$B$23="USD",1/INDEX(Settings!$B$29:$B$40,MONTH(A5092)),INDEX(Settings!$B$29:$B$40,MONTH(A5092)))))</f>
        <v/>
      </c>
    </row>
    <row r="5093" customFormat="false" ht="15" hidden="false" customHeight="false" outlineLevel="0" collapsed="false">
      <c r="H5093" s="0" t="str">
        <f aca="false">IF(B5093="","",IF(COUNTIF(Campaigns!$A$7:$A$300,B5093)&gt;0,"✓","⚠ add to Campaigns tab"))</f>
        <v/>
      </c>
      <c r="I5093" s="84" t="str">
        <f aca="false">IF(C5093="","",C5093*IF(Settings!$B$23=Settings!$C$6,1,IF(Settings!$B$23="USD",1/INDEX(Settings!$B$29:$B$40,MONTH(A5093)),INDEX(Settings!$B$29:$B$40,MONTH(A5093)))))</f>
        <v/>
      </c>
    </row>
    <row r="5094" customFormat="false" ht="15" hidden="false" customHeight="false" outlineLevel="0" collapsed="false">
      <c r="H5094" s="0" t="str">
        <f aca="false">IF(B5094="","",IF(COUNTIF(Campaigns!$A$7:$A$300,B5094)&gt;0,"✓","⚠ add to Campaigns tab"))</f>
        <v/>
      </c>
      <c r="I5094" s="84" t="str">
        <f aca="false">IF(C5094="","",C5094*IF(Settings!$B$23=Settings!$C$6,1,IF(Settings!$B$23="USD",1/INDEX(Settings!$B$29:$B$40,MONTH(A5094)),INDEX(Settings!$B$29:$B$40,MONTH(A5094)))))</f>
        <v/>
      </c>
    </row>
    <row r="5095" customFormat="false" ht="15" hidden="false" customHeight="false" outlineLevel="0" collapsed="false">
      <c r="H5095" s="0" t="str">
        <f aca="false">IF(B5095="","",IF(COUNTIF(Campaigns!$A$7:$A$300,B5095)&gt;0,"✓","⚠ add to Campaigns tab"))</f>
        <v/>
      </c>
      <c r="I5095" s="84" t="str">
        <f aca="false">IF(C5095="","",C5095*IF(Settings!$B$23=Settings!$C$6,1,IF(Settings!$B$23="USD",1/INDEX(Settings!$B$29:$B$40,MONTH(A5095)),INDEX(Settings!$B$29:$B$40,MONTH(A5095)))))</f>
        <v/>
      </c>
    </row>
    <row r="5096" customFormat="false" ht="15" hidden="false" customHeight="false" outlineLevel="0" collapsed="false">
      <c r="H5096" s="0" t="str">
        <f aca="false">IF(B5096="","",IF(COUNTIF(Campaigns!$A$7:$A$300,B5096)&gt;0,"✓","⚠ add to Campaigns tab"))</f>
        <v/>
      </c>
      <c r="I5096" s="84" t="str">
        <f aca="false">IF(C5096="","",C5096*IF(Settings!$B$23=Settings!$C$6,1,IF(Settings!$B$23="USD",1/INDEX(Settings!$B$29:$B$40,MONTH(A5096)),INDEX(Settings!$B$29:$B$40,MONTH(A5096)))))</f>
        <v/>
      </c>
    </row>
    <row r="5097" customFormat="false" ht="15" hidden="false" customHeight="false" outlineLevel="0" collapsed="false">
      <c r="H5097" s="0" t="str">
        <f aca="false">IF(B5097="","",IF(COUNTIF(Campaigns!$A$7:$A$300,B5097)&gt;0,"✓","⚠ add to Campaigns tab"))</f>
        <v/>
      </c>
      <c r="I5097" s="84" t="str">
        <f aca="false">IF(C5097="","",C5097*IF(Settings!$B$23=Settings!$C$6,1,IF(Settings!$B$23="USD",1/INDEX(Settings!$B$29:$B$40,MONTH(A5097)),INDEX(Settings!$B$29:$B$40,MONTH(A5097)))))</f>
        <v/>
      </c>
    </row>
    <row r="5098" customFormat="false" ht="15" hidden="false" customHeight="false" outlineLevel="0" collapsed="false">
      <c r="H5098" s="0" t="str">
        <f aca="false">IF(B5098="","",IF(COUNTIF(Campaigns!$A$7:$A$300,B5098)&gt;0,"✓","⚠ add to Campaigns tab"))</f>
        <v/>
      </c>
      <c r="I5098" s="84" t="str">
        <f aca="false">IF(C5098="","",C5098*IF(Settings!$B$23=Settings!$C$6,1,IF(Settings!$B$23="USD",1/INDEX(Settings!$B$29:$B$40,MONTH(A5098)),INDEX(Settings!$B$29:$B$40,MONTH(A5098)))))</f>
        <v/>
      </c>
    </row>
    <row r="5099" customFormat="false" ht="15" hidden="false" customHeight="false" outlineLevel="0" collapsed="false">
      <c r="H5099" s="0" t="str">
        <f aca="false">IF(B5099="","",IF(COUNTIF(Campaigns!$A$7:$A$300,B5099)&gt;0,"✓","⚠ add to Campaigns tab"))</f>
        <v/>
      </c>
      <c r="I5099" s="84" t="str">
        <f aca="false">IF(C5099="","",C5099*IF(Settings!$B$23=Settings!$C$6,1,IF(Settings!$B$23="USD",1/INDEX(Settings!$B$29:$B$40,MONTH(A5099)),INDEX(Settings!$B$29:$B$40,MONTH(A5099)))))</f>
        <v/>
      </c>
    </row>
    <row r="5100" customFormat="false" ht="15" hidden="false" customHeight="false" outlineLevel="0" collapsed="false">
      <c r="H5100" s="0" t="str">
        <f aca="false">IF(B5100="","",IF(COUNTIF(Campaigns!$A$7:$A$300,B5100)&gt;0,"✓","⚠ add to Campaigns tab"))</f>
        <v/>
      </c>
      <c r="I5100" s="84" t="str">
        <f aca="false">IF(C5100="","",C5100*IF(Settings!$B$23=Settings!$C$6,1,IF(Settings!$B$23="USD",1/INDEX(Settings!$B$29:$B$40,MONTH(A5100)),INDEX(Settings!$B$29:$B$40,MONTH(A5100)))))</f>
        <v/>
      </c>
    </row>
    <row r="5101" customFormat="false" ht="15" hidden="false" customHeight="false" outlineLevel="0" collapsed="false">
      <c r="H5101" s="0" t="str">
        <f aca="false">IF(B5101="","",IF(COUNTIF(Campaigns!$A$7:$A$300,B5101)&gt;0,"✓","⚠ add to Campaigns tab"))</f>
        <v/>
      </c>
      <c r="I5101" s="84" t="str">
        <f aca="false">IF(C5101="","",C5101*IF(Settings!$B$23=Settings!$C$6,1,IF(Settings!$B$23="USD",1/INDEX(Settings!$B$29:$B$40,MONTH(A5101)),INDEX(Settings!$B$29:$B$40,MONTH(A5101)))))</f>
        <v/>
      </c>
    </row>
    <row r="5102" customFormat="false" ht="15" hidden="false" customHeight="false" outlineLevel="0" collapsed="false">
      <c r="H5102" s="0" t="str">
        <f aca="false">IF(B5102="","",IF(COUNTIF(Campaigns!$A$7:$A$300,B5102)&gt;0,"✓","⚠ add to Campaigns tab"))</f>
        <v/>
      </c>
      <c r="I5102" s="84" t="str">
        <f aca="false">IF(C5102="","",C5102*IF(Settings!$B$23=Settings!$C$6,1,IF(Settings!$B$23="USD",1/INDEX(Settings!$B$29:$B$40,MONTH(A5102)),INDEX(Settings!$B$29:$B$40,MONTH(A5102)))))</f>
        <v/>
      </c>
    </row>
    <row r="5103" customFormat="false" ht="15" hidden="false" customHeight="false" outlineLevel="0" collapsed="false">
      <c r="H5103" s="0" t="str">
        <f aca="false">IF(B5103="","",IF(COUNTIF(Campaigns!$A$7:$A$300,B5103)&gt;0,"✓","⚠ add to Campaigns tab"))</f>
        <v/>
      </c>
      <c r="I5103" s="84" t="str">
        <f aca="false">IF(C5103="","",C5103*IF(Settings!$B$23=Settings!$C$6,1,IF(Settings!$B$23="USD",1/INDEX(Settings!$B$29:$B$40,MONTH(A5103)),INDEX(Settings!$B$29:$B$40,MONTH(A5103)))))</f>
        <v/>
      </c>
    </row>
    <row r="5104" customFormat="false" ht="15" hidden="false" customHeight="false" outlineLevel="0" collapsed="false">
      <c r="H5104" s="0" t="str">
        <f aca="false">IF(B5104="","",IF(COUNTIF(Campaigns!$A$7:$A$300,B5104)&gt;0,"✓","⚠ add to Campaigns tab"))</f>
        <v/>
      </c>
      <c r="I5104" s="84" t="str">
        <f aca="false">IF(C5104="","",C5104*IF(Settings!$B$23=Settings!$C$6,1,IF(Settings!$B$23="USD",1/INDEX(Settings!$B$29:$B$40,MONTH(A5104)),INDEX(Settings!$B$29:$B$40,MONTH(A5104)))))</f>
        <v/>
      </c>
    </row>
    <row r="5105" customFormat="false" ht="15" hidden="false" customHeight="false" outlineLevel="0" collapsed="false">
      <c r="H5105" s="0" t="str">
        <f aca="false">IF(B5105="","",IF(COUNTIF(Campaigns!$A$7:$A$300,B5105)&gt;0,"✓","⚠ add to Campaigns tab"))</f>
        <v/>
      </c>
      <c r="I5105" s="84" t="str">
        <f aca="false">IF(C5105="","",C5105*IF(Settings!$B$23=Settings!$C$6,1,IF(Settings!$B$23="USD",1/INDEX(Settings!$B$29:$B$40,MONTH(A5105)),INDEX(Settings!$B$29:$B$40,MONTH(A5105)))))</f>
        <v/>
      </c>
    </row>
    <row r="5106" customFormat="false" ht="15" hidden="false" customHeight="false" outlineLevel="0" collapsed="false">
      <c r="H5106" s="0" t="str">
        <f aca="false">IF(B5106="","",IF(COUNTIF(Campaigns!$A$7:$A$300,B5106)&gt;0,"✓","⚠ add to Campaigns tab"))</f>
        <v/>
      </c>
      <c r="I5106" s="84" t="str">
        <f aca="false">IF(C5106="","",C5106*IF(Settings!$B$23=Settings!$C$6,1,IF(Settings!$B$23="USD",1/INDEX(Settings!$B$29:$B$40,MONTH(A5106)),INDEX(Settings!$B$29:$B$40,MONTH(A5106)))))</f>
        <v/>
      </c>
    </row>
    <row r="5107" customFormat="false" ht="15" hidden="false" customHeight="false" outlineLevel="0" collapsed="false">
      <c r="H5107" s="0" t="str">
        <f aca="false">IF(B5107="","",IF(COUNTIF(Campaigns!$A$7:$A$300,B5107)&gt;0,"✓","⚠ add to Campaigns tab"))</f>
        <v/>
      </c>
      <c r="I5107" s="84" t="str">
        <f aca="false">IF(C5107="","",C5107*IF(Settings!$B$23=Settings!$C$6,1,IF(Settings!$B$23="USD",1/INDEX(Settings!$B$29:$B$40,MONTH(A5107)),INDEX(Settings!$B$29:$B$40,MONTH(A5107)))))</f>
        <v/>
      </c>
    </row>
    <row r="5108" customFormat="false" ht="15" hidden="false" customHeight="false" outlineLevel="0" collapsed="false">
      <c r="H5108" s="0" t="str">
        <f aca="false">IF(B5108="","",IF(COUNTIF(Campaigns!$A$7:$A$300,B5108)&gt;0,"✓","⚠ add to Campaigns tab"))</f>
        <v/>
      </c>
      <c r="I5108" s="84" t="str">
        <f aca="false">IF(C5108="","",C5108*IF(Settings!$B$23=Settings!$C$6,1,IF(Settings!$B$23="USD",1/INDEX(Settings!$B$29:$B$40,MONTH(A5108)),INDEX(Settings!$B$29:$B$40,MONTH(A5108)))))</f>
        <v/>
      </c>
    </row>
    <row r="5109" customFormat="false" ht="15" hidden="false" customHeight="false" outlineLevel="0" collapsed="false">
      <c r="H5109" s="0" t="str">
        <f aca="false">IF(B5109="","",IF(COUNTIF(Campaigns!$A$7:$A$300,B5109)&gt;0,"✓","⚠ add to Campaigns tab"))</f>
        <v/>
      </c>
      <c r="I5109" s="84" t="str">
        <f aca="false">IF(C5109="","",C5109*IF(Settings!$B$23=Settings!$C$6,1,IF(Settings!$B$23="USD",1/INDEX(Settings!$B$29:$B$40,MONTH(A5109)),INDEX(Settings!$B$29:$B$40,MONTH(A5109)))))</f>
        <v/>
      </c>
    </row>
    <row r="5110" customFormat="false" ht="15" hidden="false" customHeight="false" outlineLevel="0" collapsed="false">
      <c r="H5110" s="0" t="str">
        <f aca="false">IF(B5110="","",IF(COUNTIF(Campaigns!$A$7:$A$300,B5110)&gt;0,"✓","⚠ add to Campaigns tab"))</f>
        <v/>
      </c>
      <c r="I5110" s="84" t="str">
        <f aca="false">IF(C5110="","",C5110*IF(Settings!$B$23=Settings!$C$6,1,IF(Settings!$B$23="USD",1/INDEX(Settings!$B$29:$B$40,MONTH(A5110)),INDEX(Settings!$B$29:$B$40,MONTH(A5110)))))</f>
        <v/>
      </c>
    </row>
    <row r="5111" customFormat="false" ht="15" hidden="false" customHeight="false" outlineLevel="0" collapsed="false">
      <c r="H5111" s="0" t="str">
        <f aca="false">IF(B5111="","",IF(COUNTIF(Campaigns!$A$7:$A$300,B5111)&gt;0,"✓","⚠ add to Campaigns tab"))</f>
        <v/>
      </c>
      <c r="I5111" s="84" t="str">
        <f aca="false">IF(C5111="","",C5111*IF(Settings!$B$23=Settings!$C$6,1,IF(Settings!$B$23="USD",1/INDEX(Settings!$B$29:$B$40,MONTH(A5111)),INDEX(Settings!$B$29:$B$40,MONTH(A5111)))))</f>
        <v/>
      </c>
    </row>
    <row r="5112" customFormat="false" ht="15" hidden="false" customHeight="false" outlineLevel="0" collapsed="false">
      <c r="H5112" s="0" t="str">
        <f aca="false">IF(B5112="","",IF(COUNTIF(Campaigns!$A$7:$A$300,B5112)&gt;0,"✓","⚠ add to Campaigns tab"))</f>
        <v/>
      </c>
      <c r="I5112" s="84" t="str">
        <f aca="false">IF(C5112="","",C5112*IF(Settings!$B$23=Settings!$C$6,1,IF(Settings!$B$23="USD",1/INDEX(Settings!$B$29:$B$40,MONTH(A5112)),INDEX(Settings!$B$29:$B$40,MONTH(A5112)))))</f>
        <v/>
      </c>
    </row>
    <row r="5113" customFormat="false" ht="15" hidden="false" customHeight="false" outlineLevel="0" collapsed="false">
      <c r="H5113" s="0" t="str">
        <f aca="false">IF(B5113="","",IF(COUNTIF(Campaigns!$A$7:$A$300,B5113)&gt;0,"✓","⚠ add to Campaigns tab"))</f>
        <v/>
      </c>
      <c r="I5113" s="84" t="str">
        <f aca="false">IF(C5113="","",C5113*IF(Settings!$B$23=Settings!$C$6,1,IF(Settings!$B$23="USD",1/INDEX(Settings!$B$29:$B$40,MONTH(A5113)),INDEX(Settings!$B$29:$B$40,MONTH(A5113)))))</f>
        <v/>
      </c>
    </row>
    <row r="5114" customFormat="false" ht="15" hidden="false" customHeight="false" outlineLevel="0" collapsed="false">
      <c r="H5114" s="0" t="str">
        <f aca="false">IF(B5114="","",IF(COUNTIF(Campaigns!$A$7:$A$300,B5114)&gt;0,"✓","⚠ add to Campaigns tab"))</f>
        <v/>
      </c>
      <c r="I5114" s="84" t="str">
        <f aca="false">IF(C5114="","",C5114*IF(Settings!$B$23=Settings!$C$6,1,IF(Settings!$B$23="USD",1/INDEX(Settings!$B$29:$B$40,MONTH(A5114)),INDEX(Settings!$B$29:$B$40,MONTH(A5114)))))</f>
        <v/>
      </c>
    </row>
    <row r="5115" customFormat="false" ht="15" hidden="false" customHeight="false" outlineLevel="0" collapsed="false">
      <c r="H5115" s="0" t="str">
        <f aca="false">IF(B5115="","",IF(COUNTIF(Campaigns!$A$7:$A$300,B5115)&gt;0,"✓","⚠ add to Campaigns tab"))</f>
        <v/>
      </c>
      <c r="I5115" s="84" t="str">
        <f aca="false">IF(C5115="","",C5115*IF(Settings!$B$23=Settings!$C$6,1,IF(Settings!$B$23="USD",1/INDEX(Settings!$B$29:$B$40,MONTH(A5115)),INDEX(Settings!$B$29:$B$40,MONTH(A5115)))))</f>
        <v/>
      </c>
    </row>
    <row r="5116" customFormat="false" ht="15" hidden="false" customHeight="false" outlineLevel="0" collapsed="false">
      <c r="H5116" s="0" t="str">
        <f aca="false">IF(B5116="","",IF(COUNTIF(Campaigns!$A$7:$A$300,B5116)&gt;0,"✓","⚠ add to Campaigns tab"))</f>
        <v/>
      </c>
      <c r="I5116" s="84" t="str">
        <f aca="false">IF(C5116="","",C5116*IF(Settings!$B$23=Settings!$C$6,1,IF(Settings!$B$23="USD",1/INDEX(Settings!$B$29:$B$40,MONTH(A5116)),INDEX(Settings!$B$29:$B$40,MONTH(A5116)))))</f>
        <v/>
      </c>
    </row>
    <row r="5117" customFormat="false" ht="15" hidden="false" customHeight="false" outlineLevel="0" collapsed="false">
      <c r="H5117" s="0" t="str">
        <f aca="false">IF(B5117="","",IF(COUNTIF(Campaigns!$A$7:$A$300,B5117)&gt;0,"✓","⚠ add to Campaigns tab"))</f>
        <v/>
      </c>
      <c r="I5117" s="84" t="str">
        <f aca="false">IF(C5117="","",C5117*IF(Settings!$B$23=Settings!$C$6,1,IF(Settings!$B$23="USD",1/INDEX(Settings!$B$29:$B$40,MONTH(A5117)),INDEX(Settings!$B$29:$B$40,MONTH(A5117)))))</f>
        <v/>
      </c>
    </row>
    <row r="5118" customFormat="false" ht="15" hidden="false" customHeight="false" outlineLevel="0" collapsed="false">
      <c r="H5118" s="0" t="str">
        <f aca="false">IF(B5118="","",IF(COUNTIF(Campaigns!$A$7:$A$300,B5118)&gt;0,"✓","⚠ add to Campaigns tab"))</f>
        <v/>
      </c>
      <c r="I5118" s="84" t="str">
        <f aca="false">IF(C5118="","",C5118*IF(Settings!$B$23=Settings!$C$6,1,IF(Settings!$B$23="USD",1/INDEX(Settings!$B$29:$B$40,MONTH(A5118)),INDEX(Settings!$B$29:$B$40,MONTH(A5118)))))</f>
        <v/>
      </c>
    </row>
    <row r="5119" customFormat="false" ht="15" hidden="false" customHeight="false" outlineLevel="0" collapsed="false">
      <c r="H5119" s="0" t="str">
        <f aca="false">IF(B5119="","",IF(COUNTIF(Campaigns!$A$7:$A$300,B5119)&gt;0,"✓","⚠ add to Campaigns tab"))</f>
        <v/>
      </c>
      <c r="I5119" s="84" t="str">
        <f aca="false">IF(C5119="","",C5119*IF(Settings!$B$23=Settings!$C$6,1,IF(Settings!$B$23="USD",1/INDEX(Settings!$B$29:$B$40,MONTH(A5119)),INDEX(Settings!$B$29:$B$40,MONTH(A5119)))))</f>
        <v/>
      </c>
    </row>
    <row r="5120" customFormat="false" ht="15" hidden="false" customHeight="false" outlineLevel="0" collapsed="false">
      <c r="H5120" s="0" t="str">
        <f aca="false">IF(B5120="","",IF(COUNTIF(Campaigns!$A$7:$A$300,B5120)&gt;0,"✓","⚠ add to Campaigns tab"))</f>
        <v/>
      </c>
      <c r="I5120" s="84" t="str">
        <f aca="false">IF(C5120="","",C5120*IF(Settings!$B$23=Settings!$C$6,1,IF(Settings!$B$23="USD",1/INDEX(Settings!$B$29:$B$40,MONTH(A5120)),INDEX(Settings!$B$29:$B$40,MONTH(A5120)))))</f>
        <v/>
      </c>
    </row>
    <row r="5121" customFormat="false" ht="15" hidden="false" customHeight="false" outlineLevel="0" collapsed="false">
      <c r="H5121" s="0" t="str">
        <f aca="false">IF(B5121="","",IF(COUNTIF(Campaigns!$A$7:$A$300,B5121)&gt;0,"✓","⚠ add to Campaigns tab"))</f>
        <v/>
      </c>
      <c r="I5121" s="84" t="str">
        <f aca="false">IF(C5121="","",C5121*IF(Settings!$B$23=Settings!$C$6,1,IF(Settings!$B$23="USD",1/INDEX(Settings!$B$29:$B$40,MONTH(A5121)),INDEX(Settings!$B$29:$B$40,MONTH(A5121)))))</f>
        <v/>
      </c>
    </row>
    <row r="5122" customFormat="false" ht="15" hidden="false" customHeight="false" outlineLevel="0" collapsed="false">
      <c r="H5122" s="0" t="str">
        <f aca="false">IF(B5122="","",IF(COUNTIF(Campaigns!$A$7:$A$300,B5122)&gt;0,"✓","⚠ add to Campaigns tab"))</f>
        <v/>
      </c>
      <c r="I5122" s="84" t="str">
        <f aca="false">IF(C5122="","",C5122*IF(Settings!$B$23=Settings!$C$6,1,IF(Settings!$B$23="USD",1/INDEX(Settings!$B$29:$B$40,MONTH(A5122)),INDEX(Settings!$B$29:$B$40,MONTH(A5122)))))</f>
        <v/>
      </c>
    </row>
    <row r="5123" customFormat="false" ht="15" hidden="false" customHeight="false" outlineLevel="0" collapsed="false">
      <c r="H5123" s="0" t="str">
        <f aca="false">IF(B5123="","",IF(COUNTIF(Campaigns!$A$7:$A$300,B5123)&gt;0,"✓","⚠ add to Campaigns tab"))</f>
        <v/>
      </c>
      <c r="I5123" s="84" t="str">
        <f aca="false">IF(C5123="","",C5123*IF(Settings!$B$23=Settings!$C$6,1,IF(Settings!$B$23="USD",1/INDEX(Settings!$B$29:$B$40,MONTH(A5123)),INDEX(Settings!$B$29:$B$40,MONTH(A5123)))))</f>
        <v/>
      </c>
    </row>
    <row r="5124" customFormat="false" ht="15" hidden="false" customHeight="false" outlineLevel="0" collapsed="false">
      <c r="H5124" s="0" t="str">
        <f aca="false">IF(B5124="","",IF(COUNTIF(Campaigns!$A$7:$A$300,B5124)&gt;0,"✓","⚠ add to Campaigns tab"))</f>
        <v/>
      </c>
      <c r="I5124" s="84" t="str">
        <f aca="false">IF(C5124="","",C5124*IF(Settings!$B$23=Settings!$C$6,1,IF(Settings!$B$23="USD",1/INDEX(Settings!$B$29:$B$40,MONTH(A5124)),INDEX(Settings!$B$29:$B$40,MONTH(A5124)))))</f>
        <v/>
      </c>
    </row>
    <row r="5125" customFormat="false" ht="15" hidden="false" customHeight="false" outlineLevel="0" collapsed="false">
      <c r="H5125" s="0" t="str">
        <f aca="false">IF(B5125="","",IF(COUNTIF(Campaigns!$A$7:$A$300,B5125)&gt;0,"✓","⚠ add to Campaigns tab"))</f>
        <v/>
      </c>
      <c r="I5125" s="84" t="str">
        <f aca="false">IF(C5125="","",C5125*IF(Settings!$B$23=Settings!$C$6,1,IF(Settings!$B$23="USD",1/INDEX(Settings!$B$29:$B$40,MONTH(A5125)),INDEX(Settings!$B$29:$B$40,MONTH(A5125)))))</f>
        <v/>
      </c>
    </row>
    <row r="5126" customFormat="false" ht="15" hidden="false" customHeight="false" outlineLevel="0" collapsed="false">
      <c r="H5126" s="0" t="str">
        <f aca="false">IF(B5126="","",IF(COUNTIF(Campaigns!$A$7:$A$300,B5126)&gt;0,"✓","⚠ add to Campaigns tab"))</f>
        <v/>
      </c>
      <c r="I5126" s="84" t="str">
        <f aca="false">IF(C5126="","",C5126*IF(Settings!$B$23=Settings!$C$6,1,IF(Settings!$B$23="USD",1/INDEX(Settings!$B$29:$B$40,MONTH(A5126)),INDEX(Settings!$B$29:$B$40,MONTH(A5126)))))</f>
        <v/>
      </c>
    </row>
    <row r="5127" customFormat="false" ht="15" hidden="false" customHeight="false" outlineLevel="0" collapsed="false">
      <c r="H5127" s="0" t="str">
        <f aca="false">IF(B5127="","",IF(COUNTIF(Campaigns!$A$7:$A$300,B5127)&gt;0,"✓","⚠ add to Campaigns tab"))</f>
        <v/>
      </c>
      <c r="I5127" s="84" t="str">
        <f aca="false">IF(C5127="","",C5127*IF(Settings!$B$23=Settings!$C$6,1,IF(Settings!$B$23="USD",1/INDEX(Settings!$B$29:$B$40,MONTH(A5127)),INDEX(Settings!$B$29:$B$40,MONTH(A5127)))))</f>
        <v/>
      </c>
    </row>
    <row r="5128" customFormat="false" ht="15" hidden="false" customHeight="false" outlineLevel="0" collapsed="false">
      <c r="H5128" s="0" t="str">
        <f aca="false">IF(B5128="","",IF(COUNTIF(Campaigns!$A$7:$A$300,B5128)&gt;0,"✓","⚠ add to Campaigns tab"))</f>
        <v/>
      </c>
      <c r="I5128" s="84" t="str">
        <f aca="false">IF(C5128="","",C5128*IF(Settings!$B$23=Settings!$C$6,1,IF(Settings!$B$23="USD",1/INDEX(Settings!$B$29:$B$40,MONTH(A5128)),INDEX(Settings!$B$29:$B$40,MONTH(A5128)))))</f>
        <v/>
      </c>
    </row>
    <row r="5129" customFormat="false" ht="15" hidden="false" customHeight="false" outlineLevel="0" collapsed="false">
      <c r="H5129" s="0" t="str">
        <f aca="false">IF(B5129="","",IF(COUNTIF(Campaigns!$A$7:$A$300,B5129)&gt;0,"✓","⚠ add to Campaigns tab"))</f>
        <v/>
      </c>
      <c r="I5129" s="84" t="str">
        <f aca="false">IF(C5129="","",C5129*IF(Settings!$B$23=Settings!$C$6,1,IF(Settings!$B$23="USD",1/INDEX(Settings!$B$29:$B$40,MONTH(A5129)),INDEX(Settings!$B$29:$B$40,MONTH(A5129)))))</f>
        <v/>
      </c>
    </row>
    <row r="5130" customFormat="false" ht="15" hidden="false" customHeight="false" outlineLevel="0" collapsed="false">
      <c r="H5130" s="0" t="str">
        <f aca="false">IF(B5130="","",IF(COUNTIF(Campaigns!$A$7:$A$300,B5130)&gt;0,"✓","⚠ add to Campaigns tab"))</f>
        <v/>
      </c>
      <c r="I5130" s="84" t="str">
        <f aca="false">IF(C5130="","",C5130*IF(Settings!$B$23=Settings!$C$6,1,IF(Settings!$B$23="USD",1/INDEX(Settings!$B$29:$B$40,MONTH(A5130)),INDEX(Settings!$B$29:$B$40,MONTH(A5130)))))</f>
        <v/>
      </c>
    </row>
    <row r="5131" customFormat="false" ht="15" hidden="false" customHeight="false" outlineLevel="0" collapsed="false">
      <c r="H5131" s="0" t="str">
        <f aca="false">IF(B5131="","",IF(COUNTIF(Campaigns!$A$7:$A$300,B5131)&gt;0,"✓","⚠ add to Campaigns tab"))</f>
        <v/>
      </c>
      <c r="I5131" s="84" t="str">
        <f aca="false">IF(C5131="","",C5131*IF(Settings!$B$23=Settings!$C$6,1,IF(Settings!$B$23="USD",1/INDEX(Settings!$B$29:$B$40,MONTH(A5131)),INDEX(Settings!$B$29:$B$40,MONTH(A5131)))))</f>
        <v/>
      </c>
    </row>
    <row r="5132" customFormat="false" ht="15" hidden="false" customHeight="false" outlineLevel="0" collapsed="false">
      <c r="H5132" s="0" t="str">
        <f aca="false">IF(B5132="","",IF(COUNTIF(Campaigns!$A$7:$A$300,B5132)&gt;0,"✓","⚠ add to Campaigns tab"))</f>
        <v/>
      </c>
      <c r="I5132" s="84" t="str">
        <f aca="false">IF(C5132="","",C5132*IF(Settings!$B$23=Settings!$C$6,1,IF(Settings!$B$23="USD",1/INDEX(Settings!$B$29:$B$40,MONTH(A5132)),INDEX(Settings!$B$29:$B$40,MONTH(A5132)))))</f>
        <v/>
      </c>
    </row>
    <row r="5133" customFormat="false" ht="15" hidden="false" customHeight="false" outlineLevel="0" collapsed="false">
      <c r="H5133" s="0" t="str">
        <f aca="false">IF(B5133="","",IF(COUNTIF(Campaigns!$A$7:$A$300,B5133)&gt;0,"✓","⚠ add to Campaigns tab"))</f>
        <v/>
      </c>
      <c r="I5133" s="84" t="str">
        <f aca="false">IF(C5133="","",C5133*IF(Settings!$B$23=Settings!$C$6,1,IF(Settings!$B$23="USD",1/INDEX(Settings!$B$29:$B$40,MONTH(A5133)),INDEX(Settings!$B$29:$B$40,MONTH(A5133)))))</f>
        <v/>
      </c>
    </row>
    <row r="5134" customFormat="false" ht="15" hidden="false" customHeight="false" outlineLevel="0" collapsed="false">
      <c r="H5134" s="0" t="str">
        <f aca="false">IF(B5134="","",IF(COUNTIF(Campaigns!$A$7:$A$300,B5134)&gt;0,"✓","⚠ add to Campaigns tab"))</f>
        <v/>
      </c>
      <c r="I5134" s="84" t="str">
        <f aca="false">IF(C5134="","",C5134*IF(Settings!$B$23=Settings!$C$6,1,IF(Settings!$B$23="USD",1/INDEX(Settings!$B$29:$B$40,MONTH(A5134)),INDEX(Settings!$B$29:$B$40,MONTH(A5134)))))</f>
        <v/>
      </c>
    </row>
    <row r="5135" customFormat="false" ht="15" hidden="false" customHeight="false" outlineLevel="0" collapsed="false">
      <c r="H5135" s="0" t="str">
        <f aca="false">IF(B5135="","",IF(COUNTIF(Campaigns!$A$7:$A$300,B5135)&gt;0,"✓","⚠ add to Campaigns tab"))</f>
        <v/>
      </c>
      <c r="I5135" s="84" t="str">
        <f aca="false">IF(C5135="","",C5135*IF(Settings!$B$23=Settings!$C$6,1,IF(Settings!$B$23="USD",1/INDEX(Settings!$B$29:$B$40,MONTH(A5135)),INDEX(Settings!$B$29:$B$40,MONTH(A5135)))))</f>
        <v/>
      </c>
    </row>
    <row r="5136" customFormat="false" ht="15" hidden="false" customHeight="false" outlineLevel="0" collapsed="false">
      <c r="H5136" s="0" t="str">
        <f aca="false">IF(B5136="","",IF(COUNTIF(Campaigns!$A$7:$A$300,B5136)&gt;0,"✓","⚠ add to Campaigns tab"))</f>
        <v/>
      </c>
      <c r="I5136" s="84" t="str">
        <f aca="false">IF(C5136="","",C5136*IF(Settings!$B$23=Settings!$C$6,1,IF(Settings!$B$23="USD",1/INDEX(Settings!$B$29:$B$40,MONTH(A5136)),INDEX(Settings!$B$29:$B$40,MONTH(A5136)))))</f>
        <v/>
      </c>
    </row>
    <row r="5137" customFormat="false" ht="15" hidden="false" customHeight="false" outlineLevel="0" collapsed="false">
      <c r="H5137" s="0" t="str">
        <f aca="false">IF(B5137="","",IF(COUNTIF(Campaigns!$A$7:$A$300,B5137)&gt;0,"✓","⚠ add to Campaigns tab"))</f>
        <v/>
      </c>
      <c r="I5137" s="84" t="str">
        <f aca="false">IF(C5137="","",C5137*IF(Settings!$B$23=Settings!$C$6,1,IF(Settings!$B$23="USD",1/INDEX(Settings!$B$29:$B$40,MONTH(A5137)),INDEX(Settings!$B$29:$B$40,MONTH(A5137)))))</f>
        <v/>
      </c>
    </row>
    <row r="5138" customFormat="false" ht="15" hidden="false" customHeight="false" outlineLevel="0" collapsed="false">
      <c r="H5138" s="0" t="str">
        <f aca="false">IF(B5138="","",IF(COUNTIF(Campaigns!$A$7:$A$300,B5138)&gt;0,"✓","⚠ add to Campaigns tab"))</f>
        <v/>
      </c>
      <c r="I5138" s="84" t="str">
        <f aca="false">IF(C5138="","",C5138*IF(Settings!$B$23=Settings!$C$6,1,IF(Settings!$B$23="USD",1/INDEX(Settings!$B$29:$B$40,MONTH(A5138)),INDEX(Settings!$B$29:$B$40,MONTH(A5138)))))</f>
        <v/>
      </c>
    </row>
    <row r="5139" customFormat="false" ht="15" hidden="false" customHeight="false" outlineLevel="0" collapsed="false">
      <c r="H5139" s="0" t="str">
        <f aca="false">IF(B5139="","",IF(COUNTIF(Campaigns!$A$7:$A$300,B5139)&gt;0,"✓","⚠ add to Campaigns tab"))</f>
        <v/>
      </c>
      <c r="I5139" s="84" t="str">
        <f aca="false">IF(C5139="","",C5139*IF(Settings!$B$23=Settings!$C$6,1,IF(Settings!$B$23="USD",1/INDEX(Settings!$B$29:$B$40,MONTH(A5139)),INDEX(Settings!$B$29:$B$40,MONTH(A5139)))))</f>
        <v/>
      </c>
    </row>
    <row r="5140" customFormat="false" ht="15" hidden="false" customHeight="false" outlineLevel="0" collapsed="false">
      <c r="H5140" s="0" t="str">
        <f aca="false">IF(B5140="","",IF(COUNTIF(Campaigns!$A$7:$A$300,B5140)&gt;0,"✓","⚠ add to Campaigns tab"))</f>
        <v/>
      </c>
      <c r="I5140" s="84" t="str">
        <f aca="false">IF(C5140="","",C5140*IF(Settings!$B$23=Settings!$C$6,1,IF(Settings!$B$23="USD",1/INDEX(Settings!$B$29:$B$40,MONTH(A5140)),INDEX(Settings!$B$29:$B$40,MONTH(A5140)))))</f>
        <v/>
      </c>
    </row>
    <row r="5141" customFormat="false" ht="15" hidden="false" customHeight="false" outlineLevel="0" collapsed="false">
      <c r="H5141" s="0" t="str">
        <f aca="false">IF(B5141="","",IF(COUNTIF(Campaigns!$A$7:$A$300,B5141)&gt;0,"✓","⚠ add to Campaigns tab"))</f>
        <v/>
      </c>
      <c r="I5141" s="84" t="str">
        <f aca="false">IF(C5141="","",C5141*IF(Settings!$B$23=Settings!$C$6,1,IF(Settings!$B$23="USD",1/INDEX(Settings!$B$29:$B$40,MONTH(A5141)),INDEX(Settings!$B$29:$B$40,MONTH(A5141)))))</f>
        <v/>
      </c>
    </row>
    <row r="5142" customFormat="false" ht="15" hidden="false" customHeight="false" outlineLevel="0" collapsed="false">
      <c r="H5142" s="0" t="str">
        <f aca="false">IF(B5142="","",IF(COUNTIF(Campaigns!$A$7:$A$300,B5142)&gt;0,"✓","⚠ add to Campaigns tab"))</f>
        <v/>
      </c>
      <c r="I5142" s="84" t="str">
        <f aca="false">IF(C5142="","",C5142*IF(Settings!$B$23=Settings!$C$6,1,IF(Settings!$B$23="USD",1/INDEX(Settings!$B$29:$B$40,MONTH(A5142)),INDEX(Settings!$B$29:$B$40,MONTH(A5142)))))</f>
        <v/>
      </c>
    </row>
    <row r="5143" customFormat="false" ht="15" hidden="false" customHeight="false" outlineLevel="0" collapsed="false">
      <c r="H5143" s="0" t="str">
        <f aca="false">IF(B5143="","",IF(COUNTIF(Campaigns!$A$7:$A$300,B5143)&gt;0,"✓","⚠ add to Campaigns tab"))</f>
        <v/>
      </c>
      <c r="I5143" s="84" t="str">
        <f aca="false">IF(C5143="","",C5143*IF(Settings!$B$23=Settings!$C$6,1,IF(Settings!$B$23="USD",1/INDEX(Settings!$B$29:$B$40,MONTH(A5143)),INDEX(Settings!$B$29:$B$40,MONTH(A5143)))))</f>
        <v/>
      </c>
    </row>
    <row r="5144" customFormat="false" ht="15" hidden="false" customHeight="false" outlineLevel="0" collapsed="false">
      <c r="H5144" s="0" t="str">
        <f aca="false">IF(B5144="","",IF(COUNTIF(Campaigns!$A$7:$A$300,B5144)&gt;0,"✓","⚠ add to Campaigns tab"))</f>
        <v/>
      </c>
      <c r="I5144" s="84" t="str">
        <f aca="false">IF(C5144="","",C5144*IF(Settings!$B$23=Settings!$C$6,1,IF(Settings!$B$23="USD",1/INDEX(Settings!$B$29:$B$40,MONTH(A5144)),INDEX(Settings!$B$29:$B$40,MONTH(A5144)))))</f>
        <v/>
      </c>
    </row>
    <row r="5145" customFormat="false" ht="15" hidden="false" customHeight="false" outlineLevel="0" collapsed="false">
      <c r="H5145" s="0" t="str">
        <f aca="false">IF(B5145="","",IF(COUNTIF(Campaigns!$A$7:$A$300,B5145)&gt;0,"✓","⚠ add to Campaigns tab"))</f>
        <v/>
      </c>
      <c r="I5145" s="84" t="str">
        <f aca="false">IF(C5145="","",C5145*IF(Settings!$B$23=Settings!$C$6,1,IF(Settings!$B$23="USD",1/INDEX(Settings!$B$29:$B$40,MONTH(A5145)),INDEX(Settings!$B$29:$B$40,MONTH(A5145)))))</f>
        <v/>
      </c>
    </row>
    <row r="5146" customFormat="false" ht="15" hidden="false" customHeight="false" outlineLevel="0" collapsed="false">
      <c r="H5146" s="0" t="str">
        <f aca="false">IF(B5146="","",IF(COUNTIF(Campaigns!$A$7:$A$300,B5146)&gt;0,"✓","⚠ add to Campaigns tab"))</f>
        <v/>
      </c>
      <c r="I5146" s="84" t="str">
        <f aca="false">IF(C5146="","",C5146*IF(Settings!$B$23=Settings!$C$6,1,IF(Settings!$B$23="USD",1/INDEX(Settings!$B$29:$B$40,MONTH(A5146)),INDEX(Settings!$B$29:$B$40,MONTH(A5146)))))</f>
        <v/>
      </c>
    </row>
    <row r="5147" customFormat="false" ht="15" hidden="false" customHeight="false" outlineLevel="0" collapsed="false">
      <c r="H5147" s="0" t="str">
        <f aca="false">IF(B5147="","",IF(COUNTIF(Campaigns!$A$7:$A$300,B5147)&gt;0,"✓","⚠ add to Campaigns tab"))</f>
        <v/>
      </c>
      <c r="I5147" s="84" t="str">
        <f aca="false">IF(C5147="","",C5147*IF(Settings!$B$23=Settings!$C$6,1,IF(Settings!$B$23="USD",1/INDEX(Settings!$B$29:$B$40,MONTH(A5147)),INDEX(Settings!$B$29:$B$40,MONTH(A5147)))))</f>
        <v/>
      </c>
    </row>
    <row r="5148" customFormat="false" ht="15" hidden="false" customHeight="false" outlineLevel="0" collapsed="false">
      <c r="H5148" s="0" t="str">
        <f aca="false">IF(B5148="","",IF(COUNTIF(Campaigns!$A$7:$A$300,B5148)&gt;0,"✓","⚠ add to Campaigns tab"))</f>
        <v/>
      </c>
      <c r="I5148" s="84" t="str">
        <f aca="false">IF(C5148="","",C5148*IF(Settings!$B$23=Settings!$C$6,1,IF(Settings!$B$23="USD",1/INDEX(Settings!$B$29:$B$40,MONTH(A5148)),INDEX(Settings!$B$29:$B$40,MONTH(A5148)))))</f>
        <v/>
      </c>
    </row>
    <row r="5149" customFormat="false" ht="15" hidden="false" customHeight="false" outlineLevel="0" collapsed="false">
      <c r="H5149" s="0" t="str">
        <f aca="false">IF(B5149="","",IF(COUNTIF(Campaigns!$A$7:$A$300,B5149)&gt;0,"✓","⚠ add to Campaigns tab"))</f>
        <v/>
      </c>
      <c r="I5149" s="84" t="str">
        <f aca="false">IF(C5149="","",C5149*IF(Settings!$B$23=Settings!$C$6,1,IF(Settings!$B$23="USD",1/INDEX(Settings!$B$29:$B$40,MONTH(A5149)),INDEX(Settings!$B$29:$B$40,MONTH(A5149)))))</f>
        <v/>
      </c>
    </row>
    <row r="5150" customFormat="false" ht="15" hidden="false" customHeight="false" outlineLevel="0" collapsed="false">
      <c r="H5150" s="0" t="str">
        <f aca="false">IF(B5150="","",IF(COUNTIF(Campaigns!$A$7:$A$300,B5150)&gt;0,"✓","⚠ add to Campaigns tab"))</f>
        <v/>
      </c>
      <c r="I5150" s="84" t="str">
        <f aca="false">IF(C5150="","",C5150*IF(Settings!$B$23=Settings!$C$6,1,IF(Settings!$B$23="USD",1/INDEX(Settings!$B$29:$B$40,MONTH(A5150)),INDEX(Settings!$B$29:$B$40,MONTH(A5150)))))</f>
        <v/>
      </c>
    </row>
    <row r="5151" customFormat="false" ht="15" hidden="false" customHeight="false" outlineLevel="0" collapsed="false">
      <c r="H5151" s="0" t="str">
        <f aca="false">IF(B5151="","",IF(COUNTIF(Campaigns!$A$7:$A$300,B5151)&gt;0,"✓","⚠ add to Campaigns tab"))</f>
        <v/>
      </c>
      <c r="I5151" s="84" t="str">
        <f aca="false">IF(C5151="","",C5151*IF(Settings!$B$23=Settings!$C$6,1,IF(Settings!$B$23="USD",1/INDEX(Settings!$B$29:$B$40,MONTH(A5151)),INDEX(Settings!$B$29:$B$40,MONTH(A5151)))))</f>
        <v/>
      </c>
    </row>
    <row r="5152" customFormat="false" ht="15" hidden="false" customHeight="false" outlineLevel="0" collapsed="false">
      <c r="H5152" s="0" t="str">
        <f aca="false">IF(B5152="","",IF(COUNTIF(Campaigns!$A$7:$A$300,B5152)&gt;0,"✓","⚠ add to Campaigns tab"))</f>
        <v/>
      </c>
      <c r="I5152" s="84" t="str">
        <f aca="false">IF(C5152="","",C5152*IF(Settings!$B$23=Settings!$C$6,1,IF(Settings!$B$23="USD",1/INDEX(Settings!$B$29:$B$40,MONTH(A5152)),INDEX(Settings!$B$29:$B$40,MONTH(A5152)))))</f>
        <v/>
      </c>
    </row>
    <row r="5153" customFormat="false" ht="15" hidden="false" customHeight="false" outlineLevel="0" collapsed="false">
      <c r="H5153" s="0" t="str">
        <f aca="false">IF(B5153="","",IF(COUNTIF(Campaigns!$A$7:$A$300,B5153)&gt;0,"✓","⚠ add to Campaigns tab"))</f>
        <v/>
      </c>
      <c r="I5153" s="84" t="str">
        <f aca="false">IF(C5153="","",C5153*IF(Settings!$B$23=Settings!$C$6,1,IF(Settings!$B$23="USD",1/INDEX(Settings!$B$29:$B$40,MONTH(A5153)),INDEX(Settings!$B$29:$B$40,MONTH(A5153)))))</f>
        <v/>
      </c>
    </row>
    <row r="5154" customFormat="false" ht="15" hidden="false" customHeight="false" outlineLevel="0" collapsed="false">
      <c r="H5154" s="0" t="str">
        <f aca="false">IF(B5154="","",IF(COUNTIF(Campaigns!$A$7:$A$300,B5154)&gt;0,"✓","⚠ add to Campaigns tab"))</f>
        <v/>
      </c>
      <c r="I5154" s="84" t="str">
        <f aca="false">IF(C5154="","",C5154*IF(Settings!$B$23=Settings!$C$6,1,IF(Settings!$B$23="USD",1/INDEX(Settings!$B$29:$B$40,MONTH(A5154)),INDEX(Settings!$B$29:$B$40,MONTH(A5154)))))</f>
        <v/>
      </c>
    </row>
    <row r="5155" customFormat="false" ht="15" hidden="false" customHeight="false" outlineLevel="0" collapsed="false">
      <c r="H5155" s="0" t="str">
        <f aca="false">IF(B5155="","",IF(COUNTIF(Campaigns!$A$7:$A$300,B5155)&gt;0,"✓","⚠ add to Campaigns tab"))</f>
        <v/>
      </c>
      <c r="I5155" s="84" t="str">
        <f aca="false">IF(C5155="","",C5155*IF(Settings!$B$23=Settings!$C$6,1,IF(Settings!$B$23="USD",1/INDEX(Settings!$B$29:$B$40,MONTH(A5155)),INDEX(Settings!$B$29:$B$40,MONTH(A5155)))))</f>
        <v/>
      </c>
    </row>
    <row r="5156" customFormat="false" ht="15" hidden="false" customHeight="false" outlineLevel="0" collapsed="false">
      <c r="H5156" s="0" t="str">
        <f aca="false">IF(B5156="","",IF(COUNTIF(Campaigns!$A$7:$A$300,B5156)&gt;0,"✓","⚠ add to Campaigns tab"))</f>
        <v/>
      </c>
      <c r="I5156" s="84" t="str">
        <f aca="false">IF(C5156="","",C5156*IF(Settings!$B$23=Settings!$C$6,1,IF(Settings!$B$23="USD",1/INDEX(Settings!$B$29:$B$40,MONTH(A5156)),INDEX(Settings!$B$29:$B$40,MONTH(A5156)))))</f>
        <v/>
      </c>
    </row>
    <row r="5157" customFormat="false" ht="15" hidden="false" customHeight="false" outlineLevel="0" collapsed="false">
      <c r="H5157" s="0" t="str">
        <f aca="false">IF(B5157="","",IF(COUNTIF(Campaigns!$A$7:$A$300,B5157)&gt;0,"✓","⚠ add to Campaigns tab"))</f>
        <v/>
      </c>
      <c r="I5157" s="84" t="str">
        <f aca="false">IF(C5157="","",C5157*IF(Settings!$B$23=Settings!$C$6,1,IF(Settings!$B$23="USD",1/INDEX(Settings!$B$29:$B$40,MONTH(A5157)),INDEX(Settings!$B$29:$B$40,MONTH(A5157)))))</f>
        <v/>
      </c>
    </row>
    <row r="5158" customFormat="false" ht="15" hidden="false" customHeight="false" outlineLevel="0" collapsed="false">
      <c r="H5158" s="0" t="str">
        <f aca="false">IF(B5158="","",IF(COUNTIF(Campaigns!$A$7:$A$300,B5158)&gt;0,"✓","⚠ add to Campaigns tab"))</f>
        <v/>
      </c>
      <c r="I5158" s="84" t="str">
        <f aca="false">IF(C5158="","",C5158*IF(Settings!$B$23=Settings!$C$6,1,IF(Settings!$B$23="USD",1/INDEX(Settings!$B$29:$B$40,MONTH(A5158)),INDEX(Settings!$B$29:$B$40,MONTH(A5158)))))</f>
        <v/>
      </c>
    </row>
    <row r="5159" customFormat="false" ht="15" hidden="false" customHeight="false" outlineLevel="0" collapsed="false">
      <c r="H5159" s="0" t="str">
        <f aca="false">IF(B5159="","",IF(COUNTIF(Campaigns!$A$7:$A$300,B5159)&gt;0,"✓","⚠ add to Campaigns tab"))</f>
        <v/>
      </c>
      <c r="I5159" s="84" t="str">
        <f aca="false">IF(C5159="","",C5159*IF(Settings!$B$23=Settings!$C$6,1,IF(Settings!$B$23="USD",1/INDEX(Settings!$B$29:$B$40,MONTH(A5159)),INDEX(Settings!$B$29:$B$40,MONTH(A5159)))))</f>
        <v/>
      </c>
    </row>
    <row r="5160" customFormat="false" ht="15" hidden="false" customHeight="false" outlineLevel="0" collapsed="false">
      <c r="H5160" s="0" t="str">
        <f aca="false">IF(B5160="","",IF(COUNTIF(Campaigns!$A$7:$A$300,B5160)&gt;0,"✓","⚠ add to Campaigns tab"))</f>
        <v/>
      </c>
      <c r="I5160" s="84" t="str">
        <f aca="false">IF(C5160="","",C5160*IF(Settings!$B$23=Settings!$C$6,1,IF(Settings!$B$23="USD",1/INDEX(Settings!$B$29:$B$40,MONTH(A5160)),INDEX(Settings!$B$29:$B$40,MONTH(A5160)))))</f>
        <v/>
      </c>
    </row>
    <row r="5161" customFormat="false" ht="15" hidden="false" customHeight="false" outlineLevel="0" collapsed="false">
      <c r="H5161" s="0" t="str">
        <f aca="false">IF(B5161="","",IF(COUNTIF(Campaigns!$A$7:$A$300,B5161)&gt;0,"✓","⚠ add to Campaigns tab"))</f>
        <v/>
      </c>
      <c r="I5161" s="84" t="str">
        <f aca="false">IF(C5161="","",C5161*IF(Settings!$B$23=Settings!$C$6,1,IF(Settings!$B$23="USD",1/INDEX(Settings!$B$29:$B$40,MONTH(A5161)),INDEX(Settings!$B$29:$B$40,MONTH(A5161)))))</f>
        <v/>
      </c>
    </row>
    <row r="5162" customFormat="false" ht="15" hidden="false" customHeight="false" outlineLevel="0" collapsed="false">
      <c r="H5162" s="0" t="str">
        <f aca="false">IF(B5162="","",IF(COUNTIF(Campaigns!$A$7:$A$300,B5162)&gt;0,"✓","⚠ add to Campaigns tab"))</f>
        <v/>
      </c>
      <c r="I5162" s="84" t="str">
        <f aca="false">IF(C5162="","",C5162*IF(Settings!$B$23=Settings!$C$6,1,IF(Settings!$B$23="USD",1/INDEX(Settings!$B$29:$B$40,MONTH(A5162)),INDEX(Settings!$B$29:$B$40,MONTH(A5162)))))</f>
        <v/>
      </c>
    </row>
    <row r="5163" customFormat="false" ht="15" hidden="false" customHeight="false" outlineLevel="0" collapsed="false">
      <c r="H5163" s="0" t="str">
        <f aca="false">IF(B5163="","",IF(COUNTIF(Campaigns!$A$7:$A$300,B5163)&gt;0,"✓","⚠ add to Campaigns tab"))</f>
        <v/>
      </c>
      <c r="I5163" s="84" t="str">
        <f aca="false">IF(C5163="","",C5163*IF(Settings!$B$23=Settings!$C$6,1,IF(Settings!$B$23="USD",1/INDEX(Settings!$B$29:$B$40,MONTH(A5163)),INDEX(Settings!$B$29:$B$40,MONTH(A5163)))))</f>
        <v/>
      </c>
    </row>
    <row r="5164" customFormat="false" ht="15" hidden="false" customHeight="false" outlineLevel="0" collapsed="false">
      <c r="H5164" s="0" t="str">
        <f aca="false">IF(B5164="","",IF(COUNTIF(Campaigns!$A$7:$A$300,B5164)&gt;0,"✓","⚠ add to Campaigns tab"))</f>
        <v/>
      </c>
      <c r="I5164" s="84" t="str">
        <f aca="false">IF(C5164="","",C5164*IF(Settings!$B$23=Settings!$C$6,1,IF(Settings!$B$23="USD",1/INDEX(Settings!$B$29:$B$40,MONTH(A5164)),INDEX(Settings!$B$29:$B$40,MONTH(A5164)))))</f>
        <v/>
      </c>
    </row>
    <row r="5165" customFormat="false" ht="15" hidden="false" customHeight="false" outlineLevel="0" collapsed="false">
      <c r="H5165" s="0" t="str">
        <f aca="false">IF(B5165="","",IF(COUNTIF(Campaigns!$A$7:$A$300,B5165)&gt;0,"✓","⚠ add to Campaigns tab"))</f>
        <v/>
      </c>
      <c r="I5165" s="84" t="str">
        <f aca="false">IF(C5165="","",C5165*IF(Settings!$B$23=Settings!$C$6,1,IF(Settings!$B$23="USD",1/INDEX(Settings!$B$29:$B$40,MONTH(A5165)),INDEX(Settings!$B$29:$B$40,MONTH(A5165)))))</f>
        <v/>
      </c>
    </row>
    <row r="5166" customFormat="false" ht="15" hidden="false" customHeight="false" outlineLevel="0" collapsed="false">
      <c r="H5166" s="0" t="str">
        <f aca="false">IF(B5166="","",IF(COUNTIF(Campaigns!$A$7:$A$300,B5166)&gt;0,"✓","⚠ add to Campaigns tab"))</f>
        <v/>
      </c>
      <c r="I5166" s="84" t="str">
        <f aca="false">IF(C5166="","",C5166*IF(Settings!$B$23=Settings!$C$6,1,IF(Settings!$B$23="USD",1/INDEX(Settings!$B$29:$B$40,MONTH(A5166)),INDEX(Settings!$B$29:$B$40,MONTH(A5166)))))</f>
        <v/>
      </c>
    </row>
    <row r="5167" customFormat="false" ht="15" hidden="false" customHeight="false" outlineLevel="0" collapsed="false">
      <c r="H5167" s="0" t="str">
        <f aca="false">IF(B5167="","",IF(COUNTIF(Campaigns!$A$7:$A$300,B5167)&gt;0,"✓","⚠ add to Campaigns tab"))</f>
        <v/>
      </c>
      <c r="I5167" s="84" t="str">
        <f aca="false">IF(C5167="","",C5167*IF(Settings!$B$23=Settings!$C$6,1,IF(Settings!$B$23="USD",1/INDEX(Settings!$B$29:$B$40,MONTH(A5167)),INDEX(Settings!$B$29:$B$40,MONTH(A5167)))))</f>
        <v/>
      </c>
    </row>
    <row r="5168" customFormat="false" ht="15" hidden="false" customHeight="false" outlineLevel="0" collapsed="false">
      <c r="H5168" s="0" t="str">
        <f aca="false">IF(B5168="","",IF(COUNTIF(Campaigns!$A$7:$A$300,B5168)&gt;0,"✓","⚠ add to Campaigns tab"))</f>
        <v/>
      </c>
      <c r="I5168" s="84" t="str">
        <f aca="false">IF(C5168="","",C5168*IF(Settings!$B$23=Settings!$C$6,1,IF(Settings!$B$23="USD",1/INDEX(Settings!$B$29:$B$40,MONTH(A5168)),INDEX(Settings!$B$29:$B$40,MONTH(A5168)))))</f>
        <v/>
      </c>
    </row>
    <row r="5169" customFormat="false" ht="15" hidden="false" customHeight="false" outlineLevel="0" collapsed="false">
      <c r="H5169" s="0" t="str">
        <f aca="false">IF(B5169="","",IF(COUNTIF(Campaigns!$A$7:$A$300,B5169)&gt;0,"✓","⚠ add to Campaigns tab"))</f>
        <v/>
      </c>
      <c r="I5169" s="84" t="str">
        <f aca="false">IF(C5169="","",C5169*IF(Settings!$B$23=Settings!$C$6,1,IF(Settings!$B$23="USD",1/INDEX(Settings!$B$29:$B$40,MONTH(A5169)),INDEX(Settings!$B$29:$B$40,MONTH(A5169)))))</f>
        <v/>
      </c>
    </row>
    <row r="5170" customFormat="false" ht="15" hidden="false" customHeight="false" outlineLevel="0" collapsed="false">
      <c r="H5170" s="0" t="str">
        <f aca="false">IF(B5170="","",IF(COUNTIF(Campaigns!$A$7:$A$300,B5170)&gt;0,"✓","⚠ add to Campaigns tab"))</f>
        <v/>
      </c>
      <c r="I5170" s="84" t="str">
        <f aca="false">IF(C5170="","",C5170*IF(Settings!$B$23=Settings!$C$6,1,IF(Settings!$B$23="USD",1/INDEX(Settings!$B$29:$B$40,MONTH(A5170)),INDEX(Settings!$B$29:$B$40,MONTH(A5170)))))</f>
        <v/>
      </c>
    </row>
    <row r="5171" customFormat="false" ht="15" hidden="false" customHeight="false" outlineLevel="0" collapsed="false">
      <c r="H5171" s="0" t="str">
        <f aca="false">IF(B5171="","",IF(COUNTIF(Campaigns!$A$7:$A$300,B5171)&gt;0,"✓","⚠ add to Campaigns tab"))</f>
        <v/>
      </c>
      <c r="I5171" s="84" t="str">
        <f aca="false">IF(C5171="","",C5171*IF(Settings!$B$23=Settings!$C$6,1,IF(Settings!$B$23="USD",1/INDEX(Settings!$B$29:$B$40,MONTH(A5171)),INDEX(Settings!$B$29:$B$40,MONTH(A5171)))))</f>
        <v/>
      </c>
    </row>
    <row r="5172" customFormat="false" ht="15" hidden="false" customHeight="false" outlineLevel="0" collapsed="false">
      <c r="H5172" s="0" t="str">
        <f aca="false">IF(B5172="","",IF(COUNTIF(Campaigns!$A$7:$A$300,B5172)&gt;0,"✓","⚠ add to Campaigns tab"))</f>
        <v/>
      </c>
      <c r="I5172" s="84" t="str">
        <f aca="false">IF(C5172="","",C5172*IF(Settings!$B$23=Settings!$C$6,1,IF(Settings!$B$23="USD",1/INDEX(Settings!$B$29:$B$40,MONTH(A5172)),INDEX(Settings!$B$29:$B$40,MONTH(A5172)))))</f>
        <v/>
      </c>
    </row>
    <row r="5173" customFormat="false" ht="15" hidden="false" customHeight="false" outlineLevel="0" collapsed="false">
      <c r="H5173" s="0" t="str">
        <f aca="false">IF(B5173="","",IF(COUNTIF(Campaigns!$A$7:$A$300,B5173)&gt;0,"✓","⚠ add to Campaigns tab"))</f>
        <v/>
      </c>
      <c r="I5173" s="84" t="str">
        <f aca="false">IF(C5173="","",C5173*IF(Settings!$B$23=Settings!$C$6,1,IF(Settings!$B$23="USD",1/INDEX(Settings!$B$29:$B$40,MONTH(A5173)),INDEX(Settings!$B$29:$B$40,MONTH(A5173)))))</f>
        <v/>
      </c>
    </row>
    <row r="5174" customFormat="false" ht="15" hidden="false" customHeight="false" outlineLevel="0" collapsed="false">
      <c r="H5174" s="0" t="str">
        <f aca="false">IF(B5174="","",IF(COUNTIF(Campaigns!$A$7:$A$300,B5174)&gt;0,"✓","⚠ add to Campaigns tab"))</f>
        <v/>
      </c>
      <c r="I5174" s="84" t="str">
        <f aca="false">IF(C5174="","",C5174*IF(Settings!$B$23=Settings!$C$6,1,IF(Settings!$B$23="USD",1/INDEX(Settings!$B$29:$B$40,MONTH(A5174)),INDEX(Settings!$B$29:$B$40,MONTH(A5174)))))</f>
        <v/>
      </c>
    </row>
    <row r="5175" customFormat="false" ht="15" hidden="false" customHeight="false" outlineLevel="0" collapsed="false">
      <c r="H5175" s="0" t="str">
        <f aca="false">IF(B5175="","",IF(COUNTIF(Campaigns!$A$7:$A$300,B5175)&gt;0,"✓","⚠ add to Campaigns tab"))</f>
        <v/>
      </c>
      <c r="I5175" s="84" t="str">
        <f aca="false">IF(C5175="","",C5175*IF(Settings!$B$23=Settings!$C$6,1,IF(Settings!$B$23="USD",1/INDEX(Settings!$B$29:$B$40,MONTH(A5175)),INDEX(Settings!$B$29:$B$40,MONTH(A5175)))))</f>
        <v/>
      </c>
    </row>
    <row r="5176" customFormat="false" ht="15" hidden="false" customHeight="false" outlineLevel="0" collapsed="false">
      <c r="H5176" s="0" t="str">
        <f aca="false">IF(B5176="","",IF(COUNTIF(Campaigns!$A$7:$A$300,B5176)&gt;0,"✓","⚠ add to Campaigns tab"))</f>
        <v/>
      </c>
      <c r="I5176" s="84" t="str">
        <f aca="false">IF(C5176="","",C5176*IF(Settings!$B$23=Settings!$C$6,1,IF(Settings!$B$23="USD",1/INDEX(Settings!$B$29:$B$40,MONTH(A5176)),INDEX(Settings!$B$29:$B$40,MONTH(A5176)))))</f>
        <v/>
      </c>
    </row>
    <row r="5177" customFormat="false" ht="15" hidden="false" customHeight="false" outlineLevel="0" collapsed="false">
      <c r="H5177" s="0" t="str">
        <f aca="false">IF(B5177="","",IF(COUNTIF(Campaigns!$A$7:$A$300,B5177)&gt;0,"✓","⚠ add to Campaigns tab"))</f>
        <v/>
      </c>
      <c r="I5177" s="84" t="str">
        <f aca="false">IF(C5177="","",C5177*IF(Settings!$B$23=Settings!$C$6,1,IF(Settings!$B$23="USD",1/INDEX(Settings!$B$29:$B$40,MONTH(A5177)),INDEX(Settings!$B$29:$B$40,MONTH(A5177)))))</f>
        <v/>
      </c>
    </row>
    <row r="5178" customFormat="false" ht="15" hidden="false" customHeight="false" outlineLevel="0" collapsed="false">
      <c r="H5178" s="0" t="str">
        <f aca="false">IF(B5178="","",IF(COUNTIF(Campaigns!$A$7:$A$300,B5178)&gt;0,"✓","⚠ add to Campaigns tab"))</f>
        <v/>
      </c>
      <c r="I5178" s="84" t="str">
        <f aca="false">IF(C5178="","",C5178*IF(Settings!$B$23=Settings!$C$6,1,IF(Settings!$B$23="USD",1/INDEX(Settings!$B$29:$B$40,MONTH(A5178)),INDEX(Settings!$B$29:$B$40,MONTH(A5178)))))</f>
        <v/>
      </c>
    </row>
    <row r="5179" customFormat="false" ht="15" hidden="false" customHeight="false" outlineLevel="0" collapsed="false">
      <c r="H5179" s="0" t="str">
        <f aca="false">IF(B5179="","",IF(COUNTIF(Campaigns!$A$7:$A$300,B5179)&gt;0,"✓","⚠ add to Campaigns tab"))</f>
        <v/>
      </c>
      <c r="I5179" s="84" t="str">
        <f aca="false">IF(C5179="","",C5179*IF(Settings!$B$23=Settings!$C$6,1,IF(Settings!$B$23="USD",1/INDEX(Settings!$B$29:$B$40,MONTH(A5179)),INDEX(Settings!$B$29:$B$40,MONTH(A5179)))))</f>
        <v/>
      </c>
    </row>
    <row r="5180" customFormat="false" ht="15" hidden="false" customHeight="false" outlineLevel="0" collapsed="false">
      <c r="H5180" s="0" t="str">
        <f aca="false">IF(B5180="","",IF(COUNTIF(Campaigns!$A$7:$A$300,B5180)&gt;0,"✓","⚠ add to Campaigns tab"))</f>
        <v/>
      </c>
      <c r="I5180" s="84" t="str">
        <f aca="false">IF(C5180="","",C5180*IF(Settings!$B$23=Settings!$C$6,1,IF(Settings!$B$23="USD",1/INDEX(Settings!$B$29:$B$40,MONTH(A5180)),INDEX(Settings!$B$29:$B$40,MONTH(A5180)))))</f>
        <v/>
      </c>
    </row>
    <row r="5181" customFormat="false" ht="15" hidden="false" customHeight="false" outlineLevel="0" collapsed="false">
      <c r="H5181" s="0" t="str">
        <f aca="false">IF(B5181="","",IF(COUNTIF(Campaigns!$A$7:$A$300,B5181)&gt;0,"✓","⚠ add to Campaigns tab"))</f>
        <v/>
      </c>
      <c r="I5181" s="84" t="str">
        <f aca="false">IF(C5181="","",C5181*IF(Settings!$B$23=Settings!$C$6,1,IF(Settings!$B$23="USD",1/INDEX(Settings!$B$29:$B$40,MONTH(A5181)),INDEX(Settings!$B$29:$B$40,MONTH(A5181)))))</f>
        <v/>
      </c>
    </row>
    <row r="5182" customFormat="false" ht="15" hidden="false" customHeight="false" outlineLevel="0" collapsed="false">
      <c r="H5182" s="0" t="str">
        <f aca="false">IF(B5182="","",IF(COUNTIF(Campaigns!$A$7:$A$300,B5182)&gt;0,"✓","⚠ add to Campaigns tab"))</f>
        <v/>
      </c>
      <c r="I5182" s="84" t="str">
        <f aca="false">IF(C5182="","",C5182*IF(Settings!$B$23=Settings!$C$6,1,IF(Settings!$B$23="USD",1/INDEX(Settings!$B$29:$B$40,MONTH(A5182)),INDEX(Settings!$B$29:$B$40,MONTH(A5182)))))</f>
        <v/>
      </c>
    </row>
    <row r="5183" customFormat="false" ht="15" hidden="false" customHeight="false" outlineLevel="0" collapsed="false">
      <c r="H5183" s="0" t="str">
        <f aca="false">IF(B5183="","",IF(COUNTIF(Campaigns!$A$7:$A$300,B5183)&gt;0,"✓","⚠ add to Campaigns tab"))</f>
        <v/>
      </c>
      <c r="I5183" s="84" t="str">
        <f aca="false">IF(C5183="","",C5183*IF(Settings!$B$23=Settings!$C$6,1,IF(Settings!$B$23="USD",1/INDEX(Settings!$B$29:$B$40,MONTH(A5183)),INDEX(Settings!$B$29:$B$40,MONTH(A5183)))))</f>
        <v/>
      </c>
    </row>
    <row r="5184" customFormat="false" ht="15" hidden="false" customHeight="false" outlineLevel="0" collapsed="false">
      <c r="H5184" s="0" t="str">
        <f aca="false">IF(B5184="","",IF(COUNTIF(Campaigns!$A$7:$A$300,B5184)&gt;0,"✓","⚠ add to Campaigns tab"))</f>
        <v/>
      </c>
      <c r="I5184" s="84" t="str">
        <f aca="false">IF(C5184="","",C5184*IF(Settings!$B$23=Settings!$C$6,1,IF(Settings!$B$23="USD",1/INDEX(Settings!$B$29:$B$40,MONTH(A5184)),INDEX(Settings!$B$29:$B$40,MONTH(A5184)))))</f>
        <v/>
      </c>
    </row>
    <row r="5185" customFormat="false" ht="15" hidden="false" customHeight="false" outlineLevel="0" collapsed="false">
      <c r="H5185" s="0" t="str">
        <f aca="false">IF(B5185="","",IF(COUNTIF(Campaigns!$A$7:$A$300,B5185)&gt;0,"✓","⚠ add to Campaigns tab"))</f>
        <v/>
      </c>
      <c r="I5185" s="84" t="str">
        <f aca="false">IF(C5185="","",C5185*IF(Settings!$B$23=Settings!$C$6,1,IF(Settings!$B$23="USD",1/INDEX(Settings!$B$29:$B$40,MONTH(A5185)),INDEX(Settings!$B$29:$B$40,MONTH(A5185)))))</f>
        <v/>
      </c>
    </row>
    <row r="5186" customFormat="false" ht="15" hidden="false" customHeight="false" outlineLevel="0" collapsed="false">
      <c r="H5186" s="0" t="str">
        <f aca="false">IF(B5186="","",IF(COUNTIF(Campaigns!$A$7:$A$300,B5186)&gt;0,"✓","⚠ add to Campaigns tab"))</f>
        <v/>
      </c>
      <c r="I5186" s="84" t="str">
        <f aca="false">IF(C5186="","",C5186*IF(Settings!$B$23=Settings!$C$6,1,IF(Settings!$B$23="USD",1/INDEX(Settings!$B$29:$B$40,MONTH(A5186)),INDEX(Settings!$B$29:$B$40,MONTH(A5186)))))</f>
        <v/>
      </c>
    </row>
    <row r="5187" customFormat="false" ht="15" hidden="false" customHeight="false" outlineLevel="0" collapsed="false">
      <c r="H5187" s="0" t="str">
        <f aca="false">IF(B5187="","",IF(COUNTIF(Campaigns!$A$7:$A$300,B5187)&gt;0,"✓","⚠ add to Campaigns tab"))</f>
        <v/>
      </c>
      <c r="I5187" s="84" t="str">
        <f aca="false">IF(C5187="","",C5187*IF(Settings!$B$23=Settings!$C$6,1,IF(Settings!$B$23="USD",1/INDEX(Settings!$B$29:$B$40,MONTH(A5187)),INDEX(Settings!$B$29:$B$40,MONTH(A5187)))))</f>
        <v/>
      </c>
    </row>
    <row r="5188" customFormat="false" ht="15" hidden="false" customHeight="false" outlineLevel="0" collapsed="false">
      <c r="H5188" s="0" t="str">
        <f aca="false">IF(B5188="","",IF(COUNTIF(Campaigns!$A$7:$A$300,B5188)&gt;0,"✓","⚠ add to Campaigns tab"))</f>
        <v/>
      </c>
      <c r="I5188" s="84" t="str">
        <f aca="false">IF(C5188="","",C5188*IF(Settings!$B$23=Settings!$C$6,1,IF(Settings!$B$23="USD",1/INDEX(Settings!$B$29:$B$40,MONTH(A5188)),INDEX(Settings!$B$29:$B$40,MONTH(A5188)))))</f>
        <v/>
      </c>
    </row>
    <row r="5189" customFormat="false" ht="15" hidden="false" customHeight="false" outlineLevel="0" collapsed="false">
      <c r="H5189" s="0" t="str">
        <f aca="false">IF(B5189="","",IF(COUNTIF(Campaigns!$A$7:$A$300,B5189)&gt;0,"✓","⚠ add to Campaigns tab"))</f>
        <v/>
      </c>
      <c r="I5189" s="84" t="str">
        <f aca="false">IF(C5189="","",C5189*IF(Settings!$B$23=Settings!$C$6,1,IF(Settings!$B$23="USD",1/INDEX(Settings!$B$29:$B$40,MONTH(A5189)),INDEX(Settings!$B$29:$B$40,MONTH(A5189)))))</f>
        <v/>
      </c>
    </row>
    <row r="5190" customFormat="false" ht="15" hidden="false" customHeight="false" outlineLevel="0" collapsed="false">
      <c r="H5190" s="0" t="str">
        <f aca="false">IF(B5190="","",IF(COUNTIF(Campaigns!$A$7:$A$300,B5190)&gt;0,"✓","⚠ add to Campaigns tab"))</f>
        <v/>
      </c>
      <c r="I5190" s="84" t="str">
        <f aca="false">IF(C5190="","",C5190*IF(Settings!$B$23=Settings!$C$6,1,IF(Settings!$B$23="USD",1/INDEX(Settings!$B$29:$B$40,MONTH(A5190)),INDEX(Settings!$B$29:$B$40,MONTH(A5190)))))</f>
        <v/>
      </c>
    </row>
    <row r="5191" customFormat="false" ht="15" hidden="false" customHeight="false" outlineLevel="0" collapsed="false">
      <c r="H5191" s="0" t="str">
        <f aca="false">IF(B5191="","",IF(COUNTIF(Campaigns!$A$7:$A$300,B5191)&gt;0,"✓","⚠ add to Campaigns tab"))</f>
        <v/>
      </c>
      <c r="I5191" s="84" t="str">
        <f aca="false">IF(C5191="","",C5191*IF(Settings!$B$23=Settings!$C$6,1,IF(Settings!$B$23="USD",1/INDEX(Settings!$B$29:$B$40,MONTH(A5191)),INDEX(Settings!$B$29:$B$40,MONTH(A5191)))))</f>
        <v/>
      </c>
    </row>
    <row r="5192" customFormat="false" ht="15" hidden="false" customHeight="false" outlineLevel="0" collapsed="false">
      <c r="H5192" s="0" t="str">
        <f aca="false">IF(B5192="","",IF(COUNTIF(Campaigns!$A$7:$A$300,B5192)&gt;0,"✓","⚠ add to Campaigns tab"))</f>
        <v/>
      </c>
      <c r="I5192" s="84" t="str">
        <f aca="false">IF(C5192="","",C5192*IF(Settings!$B$23=Settings!$C$6,1,IF(Settings!$B$23="USD",1/INDEX(Settings!$B$29:$B$40,MONTH(A5192)),INDEX(Settings!$B$29:$B$40,MONTH(A5192)))))</f>
        <v/>
      </c>
    </row>
    <row r="5193" customFormat="false" ht="15" hidden="false" customHeight="false" outlineLevel="0" collapsed="false">
      <c r="H5193" s="0" t="str">
        <f aca="false">IF(B5193="","",IF(COUNTIF(Campaigns!$A$7:$A$300,B5193)&gt;0,"✓","⚠ add to Campaigns tab"))</f>
        <v/>
      </c>
      <c r="I5193" s="84" t="str">
        <f aca="false">IF(C5193="","",C5193*IF(Settings!$B$23=Settings!$C$6,1,IF(Settings!$B$23="USD",1/INDEX(Settings!$B$29:$B$40,MONTH(A5193)),INDEX(Settings!$B$29:$B$40,MONTH(A5193)))))</f>
        <v/>
      </c>
    </row>
    <row r="5194" customFormat="false" ht="15" hidden="false" customHeight="false" outlineLevel="0" collapsed="false">
      <c r="H5194" s="0" t="str">
        <f aca="false">IF(B5194="","",IF(COUNTIF(Campaigns!$A$7:$A$300,B5194)&gt;0,"✓","⚠ add to Campaigns tab"))</f>
        <v/>
      </c>
      <c r="I5194" s="84" t="str">
        <f aca="false">IF(C5194="","",C5194*IF(Settings!$B$23=Settings!$C$6,1,IF(Settings!$B$23="USD",1/INDEX(Settings!$B$29:$B$40,MONTH(A5194)),INDEX(Settings!$B$29:$B$40,MONTH(A5194)))))</f>
        <v/>
      </c>
    </row>
    <row r="5195" customFormat="false" ht="15" hidden="false" customHeight="false" outlineLevel="0" collapsed="false">
      <c r="H5195" s="0" t="str">
        <f aca="false">IF(B5195="","",IF(COUNTIF(Campaigns!$A$7:$A$300,B5195)&gt;0,"✓","⚠ add to Campaigns tab"))</f>
        <v/>
      </c>
      <c r="I5195" s="84" t="str">
        <f aca="false">IF(C5195="","",C5195*IF(Settings!$B$23=Settings!$C$6,1,IF(Settings!$B$23="USD",1/INDEX(Settings!$B$29:$B$40,MONTH(A5195)),INDEX(Settings!$B$29:$B$40,MONTH(A5195)))))</f>
        <v/>
      </c>
    </row>
    <row r="5196" customFormat="false" ht="15" hidden="false" customHeight="false" outlineLevel="0" collapsed="false">
      <c r="H5196" s="0" t="str">
        <f aca="false">IF(B5196="","",IF(COUNTIF(Campaigns!$A$7:$A$300,B5196)&gt;0,"✓","⚠ add to Campaigns tab"))</f>
        <v/>
      </c>
      <c r="I5196" s="84" t="str">
        <f aca="false">IF(C5196="","",C5196*IF(Settings!$B$23=Settings!$C$6,1,IF(Settings!$B$23="USD",1/INDEX(Settings!$B$29:$B$40,MONTH(A5196)),INDEX(Settings!$B$29:$B$40,MONTH(A5196)))))</f>
        <v/>
      </c>
    </row>
    <row r="5197" customFormat="false" ht="15" hidden="false" customHeight="false" outlineLevel="0" collapsed="false">
      <c r="H5197" s="0" t="str">
        <f aca="false">IF(B5197="","",IF(COUNTIF(Campaigns!$A$7:$A$300,B5197)&gt;0,"✓","⚠ add to Campaigns tab"))</f>
        <v/>
      </c>
      <c r="I5197" s="84" t="str">
        <f aca="false">IF(C5197="","",C5197*IF(Settings!$B$23=Settings!$C$6,1,IF(Settings!$B$23="USD",1/INDEX(Settings!$B$29:$B$40,MONTH(A5197)),INDEX(Settings!$B$29:$B$40,MONTH(A5197)))))</f>
        <v/>
      </c>
    </row>
    <row r="5198" customFormat="false" ht="15" hidden="false" customHeight="false" outlineLevel="0" collapsed="false">
      <c r="H5198" s="0" t="str">
        <f aca="false">IF(B5198="","",IF(COUNTIF(Campaigns!$A$7:$A$300,B5198)&gt;0,"✓","⚠ add to Campaigns tab"))</f>
        <v/>
      </c>
      <c r="I5198" s="84" t="str">
        <f aca="false">IF(C5198="","",C5198*IF(Settings!$B$23=Settings!$C$6,1,IF(Settings!$B$23="USD",1/INDEX(Settings!$B$29:$B$40,MONTH(A5198)),INDEX(Settings!$B$29:$B$40,MONTH(A5198)))))</f>
        <v/>
      </c>
    </row>
    <row r="5199" customFormat="false" ht="15" hidden="false" customHeight="false" outlineLevel="0" collapsed="false">
      <c r="H5199" s="0" t="str">
        <f aca="false">IF(B5199="","",IF(COUNTIF(Campaigns!$A$7:$A$300,B5199)&gt;0,"✓","⚠ add to Campaigns tab"))</f>
        <v/>
      </c>
      <c r="I5199" s="84" t="str">
        <f aca="false">IF(C5199="","",C5199*IF(Settings!$B$23=Settings!$C$6,1,IF(Settings!$B$23="USD",1/INDEX(Settings!$B$29:$B$40,MONTH(A5199)),INDEX(Settings!$B$29:$B$40,MONTH(A5199)))))</f>
        <v/>
      </c>
    </row>
    <row r="5200" customFormat="false" ht="15" hidden="false" customHeight="false" outlineLevel="0" collapsed="false">
      <c r="H5200" s="0" t="str">
        <f aca="false">IF(B5200="","",IF(COUNTIF(Campaigns!$A$7:$A$300,B5200)&gt;0,"✓","⚠ add to Campaigns tab"))</f>
        <v/>
      </c>
      <c r="I5200" s="84" t="str">
        <f aca="false">IF(C5200="","",C5200*IF(Settings!$B$23=Settings!$C$6,1,IF(Settings!$B$23="USD",1/INDEX(Settings!$B$29:$B$40,MONTH(A5200)),INDEX(Settings!$B$29:$B$40,MONTH(A5200)))))</f>
        <v/>
      </c>
    </row>
    <row r="5201" customFormat="false" ht="15" hidden="false" customHeight="false" outlineLevel="0" collapsed="false">
      <c r="H5201" s="0" t="str">
        <f aca="false">IF(B5201="","",IF(COUNTIF(Campaigns!$A$7:$A$300,B5201)&gt;0,"✓","⚠ add to Campaigns tab"))</f>
        <v/>
      </c>
      <c r="I5201" s="84" t="str">
        <f aca="false">IF(C5201="","",C5201*IF(Settings!$B$23=Settings!$C$6,1,IF(Settings!$B$23="USD",1/INDEX(Settings!$B$29:$B$40,MONTH(A5201)),INDEX(Settings!$B$29:$B$40,MONTH(A5201)))))</f>
        <v/>
      </c>
    </row>
    <row r="5202" customFormat="false" ht="15" hidden="false" customHeight="false" outlineLevel="0" collapsed="false">
      <c r="H5202" s="0" t="str">
        <f aca="false">IF(B5202="","",IF(COUNTIF(Campaigns!$A$7:$A$300,B5202)&gt;0,"✓","⚠ add to Campaigns tab"))</f>
        <v/>
      </c>
      <c r="I5202" s="84" t="str">
        <f aca="false">IF(C5202="","",C5202*IF(Settings!$B$23=Settings!$C$6,1,IF(Settings!$B$23="USD",1/INDEX(Settings!$B$29:$B$40,MONTH(A5202)),INDEX(Settings!$B$29:$B$40,MONTH(A5202)))))</f>
        <v/>
      </c>
    </row>
    <row r="5203" customFormat="false" ht="15" hidden="false" customHeight="false" outlineLevel="0" collapsed="false">
      <c r="H5203" s="0" t="str">
        <f aca="false">IF(B5203="","",IF(COUNTIF(Campaigns!$A$7:$A$300,B5203)&gt;0,"✓","⚠ add to Campaigns tab"))</f>
        <v/>
      </c>
      <c r="I5203" s="84" t="str">
        <f aca="false">IF(C5203="","",C5203*IF(Settings!$B$23=Settings!$C$6,1,IF(Settings!$B$23="USD",1/INDEX(Settings!$B$29:$B$40,MONTH(A5203)),INDEX(Settings!$B$29:$B$40,MONTH(A5203)))))</f>
        <v/>
      </c>
    </row>
    <row r="5204" customFormat="false" ht="15" hidden="false" customHeight="false" outlineLevel="0" collapsed="false">
      <c r="H5204" s="0" t="str">
        <f aca="false">IF(B5204="","",IF(COUNTIF(Campaigns!$A$7:$A$300,B5204)&gt;0,"✓","⚠ add to Campaigns tab"))</f>
        <v/>
      </c>
      <c r="I5204" s="84" t="str">
        <f aca="false">IF(C5204="","",C5204*IF(Settings!$B$23=Settings!$C$6,1,IF(Settings!$B$23="USD",1/INDEX(Settings!$B$29:$B$40,MONTH(A5204)),INDEX(Settings!$B$29:$B$40,MONTH(A5204)))))</f>
        <v/>
      </c>
    </row>
    <row r="5205" customFormat="false" ht="15" hidden="false" customHeight="false" outlineLevel="0" collapsed="false">
      <c r="H5205" s="0" t="str">
        <f aca="false">IF(B5205="","",IF(COUNTIF(Campaigns!$A$7:$A$300,B5205)&gt;0,"✓","⚠ add to Campaigns tab"))</f>
        <v/>
      </c>
      <c r="I5205" s="84" t="str">
        <f aca="false">IF(C5205="","",C5205*IF(Settings!$B$23=Settings!$C$6,1,IF(Settings!$B$23="USD",1/INDEX(Settings!$B$29:$B$40,MONTH(A5205)),INDEX(Settings!$B$29:$B$40,MONTH(A5205)))))</f>
        <v/>
      </c>
    </row>
    <row r="5206" customFormat="false" ht="15" hidden="false" customHeight="false" outlineLevel="0" collapsed="false">
      <c r="H5206" s="0" t="str">
        <f aca="false">IF(B5206="","",IF(COUNTIF(Campaigns!$A$7:$A$300,B5206)&gt;0,"✓","⚠ add to Campaigns tab"))</f>
        <v/>
      </c>
      <c r="I5206" s="84" t="str">
        <f aca="false">IF(C5206="","",C5206*IF(Settings!$B$23=Settings!$C$6,1,IF(Settings!$B$23="USD",1/INDEX(Settings!$B$29:$B$40,MONTH(A5206)),INDEX(Settings!$B$29:$B$40,MONTH(A5206)))))</f>
        <v/>
      </c>
    </row>
    <row r="5207" customFormat="false" ht="15" hidden="false" customHeight="false" outlineLevel="0" collapsed="false">
      <c r="H5207" s="0" t="str">
        <f aca="false">IF(B5207="","",IF(COUNTIF(Campaigns!$A$7:$A$300,B5207)&gt;0,"✓","⚠ add to Campaigns tab"))</f>
        <v/>
      </c>
      <c r="I5207" s="84" t="str">
        <f aca="false">IF(C5207="","",C5207*IF(Settings!$B$23=Settings!$C$6,1,IF(Settings!$B$23="USD",1/INDEX(Settings!$B$29:$B$40,MONTH(A5207)),INDEX(Settings!$B$29:$B$40,MONTH(A5207)))))</f>
        <v/>
      </c>
    </row>
    <row r="5208" customFormat="false" ht="15" hidden="false" customHeight="false" outlineLevel="0" collapsed="false">
      <c r="H5208" s="0" t="str">
        <f aca="false">IF(B5208="","",IF(COUNTIF(Campaigns!$A$7:$A$300,B5208)&gt;0,"✓","⚠ add to Campaigns tab"))</f>
        <v/>
      </c>
      <c r="I5208" s="84" t="str">
        <f aca="false">IF(C5208="","",C5208*IF(Settings!$B$23=Settings!$C$6,1,IF(Settings!$B$23="USD",1/INDEX(Settings!$B$29:$B$40,MONTH(A5208)),INDEX(Settings!$B$29:$B$40,MONTH(A5208)))))</f>
        <v/>
      </c>
    </row>
    <row r="5209" customFormat="false" ht="15" hidden="false" customHeight="false" outlineLevel="0" collapsed="false">
      <c r="H5209" s="0" t="str">
        <f aca="false">IF(B5209="","",IF(COUNTIF(Campaigns!$A$7:$A$300,B5209)&gt;0,"✓","⚠ add to Campaigns tab"))</f>
        <v/>
      </c>
      <c r="I5209" s="84" t="str">
        <f aca="false">IF(C5209="","",C5209*IF(Settings!$B$23=Settings!$C$6,1,IF(Settings!$B$23="USD",1/INDEX(Settings!$B$29:$B$40,MONTH(A5209)),INDEX(Settings!$B$29:$B$40,MONTH(A5209)))))</f>
        <v/>
      </c>
    </row>
    <row r="5210" customFormat="false" ht="15" hidden="false" customHeight="false" outlineLevel="0" collapsed="false">
      <c r="H5210" s="0" t="str">
        <f aca="false">IF(B5210="","",IF(COUNTIF(Campaigns!$A$7:$A$300,B5210)&gt;0,"✓","⚠ add to Campaigns tab"))</f>
        <v/>
      </c>
      <c r="I5210" s="84" t="str">
        <f aca="false">IF(C5210="","",C5210*IF(Settings!$B$23=Settings!$C$6,1,IF(Settings!$B$23="USD",1/INDEX(Settings!$B$29:$B$40,MONTH(A5210)),INDEX(Settings!$B$29:$B$40,MONTH(A5210)))))</f>
        <v/>
      </c>
    </row>
    <row r="5211" customFormat="false" ht="15" hidden="false" customHeight="false" outlineLevel="0" collapsed="false">
      <c r="H5211" s="0" t="str">
        <f aca="false">IF(B5211="","",IF(COUNTIF(Campaigns!$A$7:$A$300,B5211)&gt;0,"✓","⚠ add to Campaigns tab"))</f>
        <v/>
      </c>
      <c r="I5211" s="84" t="str">
        <f aca="false">IF(C5211="","",C5211*IF(Settings!$B$23=Settings!$C$6,1,IF(Settings!$B$23="USD",1/INDEX(Settings!$B$29:$B$40,MONTH(A5211)),INDEX(Settings!$B$29:$B$40,MONTH(A5211)))))</f>
        <v/>
      </c>
    </row>
    <row r="5212" customFormat="false" ht="15" hidden="false" customHeight="false" outlineLevel="0" collapsed="false">
      <c r="H5212" s="0" t="str">
        <f aca="false">IF(B5212="","",IF(COUNTIF(Campaigns!$A$7:$A$300,B5212)&gt;0,"✓","⚠ add to Campaigns tab"))</f>
        <v/>
      </c>
      <c r="I5212" s="84" t="str">
        <f aca="false">IF(C5212="","",C5212*IF(Settings!$B$23=Settings!$C$6,1,IF(Settings!$B$23="USD",1/INDEX(Settings!$B$29:$B$40,MONTH(A5212)),INDEX(Settings!$B$29:$B$40,MONTH(A5212)))))</f>
        <v/>
      </c>
    </row>
    <row r="5213" customFormat="false" ht="15" hidden="false" customHeight="false" outlineLevel="0" collapsed="false">
      <c r="H5213" s="0" t="str">
        <f aca="false">IF(B5213="","",IF(COUNTIF(Campaigns!$A$7:$A$300,B5213)&gt;0,"✓","⚠ add to Campaigns tab"))</f>
        <v/>
      </c>
      <c r="I5213" s="84" t="str">
        <f aca="false">IF(C5213="","",C5213*IF(Settings!$B$23=Settings!$C$6,1,IF(Settings!$B$23="USD",1/INDEX(Settings!$B$29:$B$40,MONTH(A5213)),INDEX(Settings!$B$29:$B$40,MONTH(A5213)))))</f>
        <v/>
      </c>
    </row>
    <row r="5214" customFormat="false" ht="15" hidden="false" customHeight="false" outlineLevel="0" collapsed="false">
      <c r="H5214" s="0" t="str">
        <f aca="false">IF(B5214="","",IF(COUNTIF(Campaigns!$A$7:$A$300,B5214)&gt;0,"✓","⚠ add to Campaigns tab"))</f>
        <v/>
      </c>
      <c r="I5214" s="84" t="str">
        <f aca="false">IF(C5214="","",C5214*IF(Settings!$B$23=Settings!$C$6,1,IF(Settings!$B$23="USD",1/INDEX(Settings!$B$29:$B$40,MONTH(A5214)),INDEX(Settings!$B$29:$B$40,MONTH(A5214)))))</f>
        <v/>
      </c>
    </row>
    <row r="5215" customFormat="false" ht="15" hidden="false" customHeight="false" outlineLevel="0" collapsed="false">
      <c r="H5215" s="0" t="str">
        <f aca="false">IF(B5215="","",IF(COUNTIF(Campaigns!$A$7:$A$300,B5215)&gt;0,"✓","⚠ add to Campaigns tab"))</f>
        <v/>
      </c>
      <c r="I5215" s="84" t="str">
        <f aca="false">IF(C5215="","",C5215*IF(Settings!$B$23=Settings!$C$6,1,IF(Settings!$B$23="USD",1/INDEX(Settings!$B$29:$B$40,MONTH(A5215)),INDEX(Settings!$B$29:$B$40,MONTH(A5215)))))</f>
        <v/>
      </c>
    </row>
    <row r="5216" customFormat="false" ht="15" hidden="false" customHeight="false" outlineLevel="0" collapsed="false">
      <c r="H5216" s="0" t="str">
        <f aca="false">IF(B5216="","",IF(COUNTIF(Campaigns!$A$7:$A$300,B5216)&gt;0,"✓","⚠ add to Campaigns tab"))</f>
        <v/>
      </c>
      <c r="I5216" s="84" t="str">
        <f aca="false">IF(C5216="","",C5216*IF(Settings!$B$23=Settings!$C$6,1,IF(Settings!$B$23="USD",1/INDEX(Settings!$B$29:$B$40,MONTH(A5216)),INDEX(Settings!$B$29:$B$40,MONTH(A5216)))))</f>
        <v/>
      </c>
    </row>
    <row r="5217" customFormat="false" ht="15" hidden="false" customHeight="false" outlineLevel="0" collapsed="false">
      <c r="H5217" s="0" t="str">
        <f aca="false">IF(B5217="","",IF(COUNTIF(Campaigns!$A$7:$A$300,B5217)&gt;0,"✓","⚠ add to Campaigns tab"))</f>
        <v/>
      </c>
      <c r="I5217" s="84" t="str">
        <f aca="false">IF(C5217="","",C5217*IF(Settings!$B$23=Settings!$C$6,1,IF(Settings!$B$23="USD",1/INDEX(Settings!$B$29:$B$40,MONTH(A5217)),INDEX(Settings!$B$29:$B$40,MONTH(A5217)))))</f>
        <v/>
      </c>
    </row>
    <row r="5218" customFormat="false" ht="15" hidden="false" customHeight="false" outlineLevel="0" collapsed="false">
      <c r="H5218" s="0" t="str">
        <f aca="false">IF(B5218="","",IF(COUNTIF(Campaigns!$A$7:$A$300,B5218)&gt;0,"✓","⚠ add to Campaigns tab"))</f>
        <v/>
      </c>
      <c r="I5218" s="84" t="str">
        <f aca="false">IF(C5218="","",C5218*IF(Settings!$B$23=Settings!$C$6,1,IF(Settings!$B$23="USD",1/INDEX(Settings!$B$29:$B$40,MONTH(A5218)),INDEX(Settings!$B$29:$B$40,MONTH(A5218)))))</f>
        <v/>
      </c>
    </row>
    <row r="5219" customFormat="false" ht="15" hidden="false" customHeight="false" outlineLevel="0" collapsed="false">
      <c r="H5219" s="0" t="str">
        <f aca="false">IF(B5219="","",IF(COUNTIF(Campaigns!$A$7:$A$300,B5219)&gt;0,"✓","⚠ add to Campaigns tab"))</f>
        <v/>
      </c>
      <c r="I5219" s="84" t="str">
        <f aca="false">IF(C5219="","",C5219*IF(Settings!$B$23=Settings!$C$6,1,IF(Settings!$B$23="USD",1/INDEX(Settings!$B$29:$B$40,MONTH(A5219)),INDEX(Settings!$B$29:$B$40,MONTH(A5219)))))</f>
        <v/>
      </c>
    </row>
    <row r="5220" customFormat="false" ht="15" hidden="false" customHeight="false" outlineLevel="0" collapsed="false">
      <c r="H5220" s="0" t="str">
        <f aca="false">IF(B5220="","",IF(COUNTIF(Campaigns!$A$7:$A$300,B5220)&gt;0,"✓","⚠ add to Campaigns tab"))</f>
        <v/>
      </c>
      <c r="I5220" s="84" t="str">
        <f aca="false">IF(C5220="","",C5220*IF(Settings!$B$23=Settings!$C$6,1,IF(Settings!$B$23="USD",1/INDEX(Settings!$B$29:$B$40,MONTH(A5220)),INDEX(Settings!$B$29:$B$40,MONTH(A5220)))))</f>
        <v/>
      </c>
    </row>
    <row r="5221" customFormat="false" ht="15" hidden="false" customHeight="false" outlineLevel="0" collapsed="false">
      <c r="H5221" s="0" t="str">
        <f aca="false">IF(B5221="","",IF(COUNTIF(Campaigns!$A$7:$A$300,B5221)&gt;0,"✓","⚠ add to Campaigns tab"))</f>
        <v/>
      </c>
      <c r="I5221" s="84" t="str">
        <f aca="false">IF(C5221="","",C5221*IF(Settings!$B$23=Settings!$C$6,1,IF(Settings!$B$23="USD",1/INDEX(Settings!$B$29:$B$40,MONTH(A5221)),INDEX(Settings!$B$29:$B$40,MONTH(A5221)))))</f>
        <v/>
      </c>
    </row>
    <row r="5222" customFormat="false" ht="15" hidden="false" customHeight="false" outlineLevel="0" collapsed="false">
      <c r="H5222" s="0" t="str">
        <f aca="false">IF(B5222="","",IF(COUNTIF(Campaigns!$A$7:$A$300,B5222)&gt;0,"✓","⚠ add to Campaigns tab"))</f>
        <v/>
      </c>
      <c r="I5222" s="84" t="str">
        <f aca="false">IF(C5222="","",C5222*IF(Settings!$B$23=Settings!$C$6,1,IF(Settings!$B$23="USD",1/INDEX(Settings!$B$29:$B$40,MONTH(A5222)),INDEX(Settings!$B$29:$B$40,MONTH(A5222)))))</f>
        <v/>
      </c>
    </row>
    <row r="5223" customFormat="false" ht="15" hidden="false" customHeight="false" outlineLevel="0" collapsed="false">
      <c r="H5223" s="0" t="str">
        <f aca="false">IF(B5223="","",IF(COUNTIF(Campaigns!$A$7:$A$300,B5223)&gt;0,"✓","⚠ add to Campaigns tab"))</f>
        <v/>
      </c>
      <c r="I5223" s="84" t="str">
        <f aca="false">IF(C5223="","",C5223*IF(Settings!$B$23=Settings!$C$6,1,IF(Settings!$B$23="USD",1/INDEX(Settings!$B$29:$B$40,MONTH(A5223)),INDEX(Settings!$B$29:$B$40,MONTH(A5223)))))</f>
        <v/>
      </c>
    </row>
    <row r="5224" customFormat="false" ht="15" hidden="false" customHeight="false" outlineLevel="0" collapsed="false">
      <c r="H5224" s="0" t="str">
        <f aca="false">IF(B5224="","",IF(COUNTIF(Campaigns!$A$7:$A$300,B5224)&gt;0,"✓","⚠ add to Campaigns tab"))</f>
        <v/>
      </c>
      <c r="I5224" s="84" t="str">
        <f aca="false">IF(C5224="","",C5224*IF(Settings!$B$23=Settings!$C$6,1,IF(Settings!$B$23="USD",1/INDEX(Settings!$B$29:$B$40,MONTH(A5224)),INDEX(Settings!$B$29:$B$40,MONTH(A5224)))))</f>
        <v/>
      </c>
    </row>
    <row r="5225" customFormat="false" ht="15" hidden="false" customHeight="false" outlineLevel="0" collapsed="false">
      <c r="H5225" s="0" t="str">
        <f aca="false">IF(B5225="","",IF(COUNTIF(Campaigns!$A$7:$A$300,B5225)&gt;0,"✓","⚠ add to Campaigns tab"))</f>
        <v/>
      </c>
      <c r="I5225" s="84" t="str">
        <f aca="false">IF(C5225="","",C5225*IF(Settings!$B$23=Settings!$C$6,1,IF(Settings!$B$23="USD",1/INDEX(Settings!$B$29:$B$40,MONTH(A5225)),INDEX(Settings!$B$29:$B$40,MONTH(A5225)))))</f>
        <v/>
      </c>
    </row>
    <row r="5226" customFormat="false" ht="15" hidden="false" customHeight="false" outlineLevel="0" collapsed="false">
      <c r="H5226" s="0" t="str">
        <f aca="false">IF(B5226="","",IF(COUNTIF(Campaigns!$A$7:$A$300,B5226)&gt;0,"✓","⚠ add to Campaigns tab"))</f>
        <v/>
      </c>
      <c r="I5226" s="84" t="str">
        <f aca="false">IF(C5226="","",C5226*IF(Settings!$B$23=Settings!$C$6,1,IF(Settings!$B$23="USD",1/INDEX(Settings!$B$29:$B$40,MONTH(A5226)),INDEX(Settings!$B$29:$B$40,MONTH(A5226)))))</f>
        <v/>
      </c>
    </row>
    <row r="5227" customFormat="false" ht="15" hidden="false" customHeight="false" outlineLevel="0" collapsed="false">
      <c r="H5227" s="0" t="str">
        <f aca="false">IF(B5227="","",IF(COUNTIF(Campaigns!$A$7:$A$300,B5227)&gt;0,"✓","⚠ add to Campaigns tab"))</f>
        <v/>
      </c>
      <c r="I5227" s="84" t="str">
        <f aca="false">IF(C5227="","",C5227*IF(Settings!$B$23=Settings!$C$6,1,IF(Settings!$B$23="USD",1/INDEX(Settings!$B$29:$B$40,MONTH(A5227)),INDEX(Settings!$B$29:$B$40,MONTH(A5227)))))</f>
        <v/>
      </c>
    </row>
    <row r="5228" customFormat="false" ht="15" hidden="false" customHeight="false" outlineLevel="0" collapsed="false">
      <c r="H5228" s="0" t="str">
        <f aca="false">IF(B5228="","",IF(COUNTIF(Campaigns!$A$7:$A$300,B5228)&gt;0,"✓","⚠ add to Campaigns tab"))</f>
        <v/>
      </c>
      <c r="I5228" s="84" t="str">
        <f aca="false">IF(C5228="","",C5228*IF(Settings!$B$23=Settings!$C$6,1,IF(Settings!$B$23="USD",1/INDEX(Settings!$B$29:$B$40,MONTH(A5228)),INDEX(Settings!$B$29:$B$40,MONTH(A5228)))))</f>
        <v/>
      </c>
    </row>
    <row r="5229" customFormat="false" ht="15" hidden="false" customHeight="false" outlineLevel="0" collapsed="false">
      <c r="H5229" s="0" t="str">
        <f aca="false">IF(B5229="","",IF(COUNTIF(Campaigns!$A$7:$A$300,B5229)&gt;0,"✓","⚠ add to Campaigns tab"))</f>
        <v/>
      </c>
      <c r="I5229" s="84" t="str">
        <f aca="false">IF(C5229="","",C5229*IF(Settings!$B$23=Settings!$C$6,1,IF(Settings!$B$23="USD",1/INDEX(Settings!$B$29:$B$40,MONTH(A5229)),INDEX(Settings!$B$29:$B$40,MONTH(A5229)))))</f>
        <v/>
      </c>
    </row>
    <row r="5230" customFormat="false" ht="15" hidden="false" customHeight="false" outlineLevel="0" collapsed="false">
      <c r="H5230" s="0" t="str">
        <f aca="false">IF(B5230="","",IF(COUNTIF(Campaigns!$A$7:$A$300,B5230)&gt;0,"✓","⚠ add to Campaigns tab"))</f>
        <v/>
      </c>
      <c r="I5230" s="84" t="str">
        <f aca="false">IF(C5230="","",C5230*IF(Settings!$B$23=Settings!$C$6,1,IF(Settings!$B$23="USD",1/INDEX(Settings!$B$29:$B$40,MONTH(A5230)),INDEX(Settings!$B$29:$B$40,MONTH(A5230)))))</f>
        <v/>
      </c>
    </row>
    <row r="5231" customFormat="false" ht="15" hidden="false" customHeight="false" outlineLevel="0" collapsed="false">
      <c r="H5231" s="0" t="str">
        <f aca="false">IF(B5231="","",IF(COUNTIF(Campaigns!$A$7:$A$300,B5231)&gt;0,"✓","⚠ add to Campaigns tab"))</f>
        <v/>
      </c>
      <c r="I5231" s="84" t="str">
        <f aca="false">IF(C5231="","",C5231*IF(Settings!$B$23=Settings!$C$6,1,IF(Settings!$B$23="USD",1/INDEX(Settings!$B$29:$B$40,MONTH(A5231)),INDEX(Settings!$B$29:$B$40,MONTH(A5231)))))</f>
        <v/>
      </c>
    </row>
    <row r="5232" customFormat="false" ht="15" hidden="false" customHeight="false" outlineLevel="0" collapsed="false">
      <c r="H5232" s="0" t="str">
        <f aca="false">IF(B5232="","",IF(COUNTIF(Campaigns!$A$7:$A$300,B5232)&gt;0,"✓","⚠ add to Campaigns tab"))</f>
        <v/>
      </c>
      <c r="I5232" s="84" t="str">
        <f aca="false">IF(C5232="","",C5232*IF(Settings!$B$23=Settings!$C$6,1,IF(Settings!$B$23="USD",1/INDEX(Settings!$B$29:$B$40,MONTH(A5232)),INDEX(Settings!$B$29:$B$40,MONTH(A5232)))))</f>
        <v/>
      </c>
    </row>
    <row r="5233" customFormat="false" ht="15" hidden="false" customHeight="false" outlineLevel="0" collapsed="false">
      <c r="H5233" s="0" t="str">
        <f aca="false">IF(B5233="","",IF(COUNTIF(Campaigns!$A$7:$A$300,B5233)&gt;0,"✓","⚠ add to Campaigns tab"))</f>
        <v/>
      </c>
      <c r="I5233" s="84" t="str">
        <f aca="false">IF(C5233="","",C5233*IF(Settings!$B$23=Settings!$C$6,1,IF(Settings!$B$23="USD",1/INDEX(Settings!$B$29:$B$40,MONTH(A5233)),INDEX(Settings!$B$29:$B$40,MONTH(A5233)))))</f>
        <v/>
      </c>
    </row>
    <row r="5234" customFormat="false" ht="15" hidden="false" customHeight="false" outlineLevel="0" collapsed="false">
      <c r="H5234" s="0" t="str">
        <f aca="false">IF(B5234="","",IF(COUNTIF(Campaigns!$A$7:$A$300,B5234)&gt;0,"✓","⚠ add to Campaigns tab"))</f>
        <v/>
      </c>
      <c r="I5234" s="84" t="str">
        <f aca="false">IF(C5234="","",C5234*IF(Settings!$B$23=Settings!$C$6,1,IF(Settings!$B$23="USD",1/INDEX(Settings!$B$29:$B$40,MONTH(A5234)),INDEX(Settings!$B$29:$B$40,MONTH(A5234)))))</f>
        <v/>
      </c>
    </row>
    <row r="5235" customFormat="false" ht="15" hidden="false" customHeight="false" outlineLevel="0" collapsed="false">
      <c r="H5235" s="0" t="str">
        <f aca="false">IF(B5235="","",IF(COUNTIF(Campaigns!$A$7:$A$300,B5235)&gt;0,"✓","⚠ add to Campaigns tab"))</f>
        <v/>
      </c>
      <c r="I5235" s="84" t="str">
        <f aca="false">IF(C5235="","",C5235*IF(Settings!$B$23=Settings!$C$6,1,IF(Settings!$B$23="USD",1/INDEX(Settings!$B$29:$B$40,MONTH(A5235)),INDEX(Settings!$B$29:$B$40,MONTH(A5235)))))</f>
        <v/>
      </c>
    </row>
    <row r="5236" customFormat="false" ht="15" hidden="false" customHeight="false" outlineLevel="0" collapsed="false">
      <c r="H5236" s="0" t="str">
        <f aca="false">IF(B5236="","",IF(COUNTIF(Campaigns!$A$7:$A$300,B5236)&gt;0,"✓","⚠ add to Campaigns tab"))</f>
        <v/>
      </c>
      <c r="I5236" s="84" t="str">
        <f aca="false">IF(C5236="","",C5236*IF(Settings!$B$23=Settings!$C$6,1,IF(Settings!$B$23="USD",1/INDEX(Settings!$B$29:$B$40,MONTH(A5236)),INDEX(Settings!$B$29:$B$40,MONTH(A5236)))))</f>
        <v/>
      </c>
    </row>
    <row r="5237" customFormat="false" ht="15" hidden="false" customHeight="false" outlineLevel="0" collapsed="false">
      <c r="H5237" s="0" t="str">
        <f aca="false">IF(B5237="","",IF(COUNTIF(Campaigns!$A$7:$A$300,B5237)&gt;0,"✓","⚠ add to Campaigns tab"))</f>
        <v/>
      </c>
      <c r="I5237" s="84" t="str">
        <f aca="false">IF(C5237="","",C5237*IF(Settings!$B$23=Settings!$C$6,1,IF(Settings!$B$23="USD",1/INDEX(Settings!$B$29:$B$40,MONTH(A5237)),INDEX(Settings!$B$29:$B$40,MONTH(A5237)))))</f>
        <v/>
      </c>
    </row>
    <row r="5238" customFormat="false" ht="15" hidden="false" customHeight="false" outlineLevel="0" collapsed="false">
      <c r="H5238" s="0" t="str">
        <f aca="false">IF(B5238="","",IF(COUNTIF(Campaigns!$A$7:$A$300,B5238)&gt;0,"✓","⚠ add to Campaigns tab"))</f>
        <v/>
      </c>
      <c r="I5238" s="84" t="str">
        <f aca="false">IF(C5238="","",C5238*IF(Settings!$B$23=Settings!$C$6,1,IF(Settings!$B$23="USD",1/INDEX(Settings!$B$29:$B$40,MONTH(A5238)),INDEX(Settings!$B$29:$B$40,MONTH(A5238)))))</f>
        <v/>
      </c>
    </row>
    <row r="5239" customFormat="false" ht="15" hidden="false" customHeight="false" outlineLevel="0" collapsed="false">
      <c r="H5239" s="0" t="str">
        <f aca="false">IF(B5239="","",IF(COUNTIF(Campaigns!$A$7:$A$300,B5239)&gt;0,"✓","⚠ add to Campaigns tab"))</f>
        <v/>
      </c>
      <c r="I5239" s="84" t="str">
        <f aca="false">IF(C5239="","",C5239*IF(Settings!$B$23=Settings!$C$6,1,IF(Settings!$B$23="USD",1/INDEX(Settings!$B$29:$B$40,MONTH(A5239)),INDEX(Settings!$B$29:$B$40,MONTH(A5239)))))</f>
        <v/>
      </c>
    </row>
    <row r="5240" customFormat="false" ht="15" hidden="false" customHeight="false" outlineLevel="0" collapsed="false">
      <c r="H5240" s="0" t="str">
        <f aca="false">IF(B5240="","",IF(COUNTIF(Campaigns!$A$7:$A$300,B5240)&gt;0,"✓","⚠ add to Campaigns tab"))</f>
        <v/>
      </c>
      <c r="I5240" s="84" t="str">
        <f aca="false">IF(C5240="","",C5240*IF(Settings!$B$23=Settings!$C$6,1,IF(Settings!$B$23="USD",1/INDEX(Settings!$B$29:$B$40,MONTH(A5240)),INDEX(Settings!$B$29:$B$40,MONTH(A5240)))))</f>
        <v/>
      </c>
    </row>
    <row r="5241" customFormat="false" ht="15" hidden="false" customHeight="false" outlineLevel="0" collapsed="false">
      <c r="H5241" s="0" t="str">
        <f aca="false">IF(B5241="","",IF(COUNTIF(Campaigns!$A$7:$A$300,B5241)&gt;0,"✓","⚠ add to Campaigns tab"))</f>
        <v/>
      </c>
      <c r="I5241" s="84" t="str">
        <f aca="false">IF(C5241="","",C5241*IF(Settings!$B$23=Settings!$C$6,1,IF(Settings!$B$23="USD",1/INDEX(Settings!$B$29:$B$40,MONTH(A5241)),INDEX(Settings!$B$29:$B$40,MONTH(A5241)))))</f>
        <v/>
      </c>
    </row>
    <row r="5242" customFormat="false" ht="15" hidden="false" customHeight="false" outlineLevel="0" collapsed="false">
      <c r="H5242" s="0" t="str">
        <f aca="false">IF(B5242="","",IF(COUNTIF(Campaigns!$A$7:$A$300,B5242)&gt;0,"✓","⚠ add to Campaigns tab"))</f>
        <v/>
      </c>
      <c r="I5242" s="84" t="str">
        <f aca="false">IF(C5242="","",C5242*IF(Settings!$B$23=Settings!$C$6,1,IF(Settings!$B$23="USD",1/INDEX(Settings!$B$29:$B$40,MONTH(A5242)),INDEX(Settings!$B$29:$B$40,MONTH(A5242)))))</f>
        <v/>
      </c>
    </row>
    <row r="5243" customFormat="false" ht="15" hidden="false" customHeight="false" outlineLevel="0" collapsed="false">
      <c r="H5243" s="0" t="str">
        <f aca="false">IF(B5243="","",IF(COUNTIF(Campaigns!$A$7:$A$300,B5243)&gt;0,"✓","⚠ add to Campaigns tab"))</f>
        <v/>
      </c>
      <c r="I5243" s="84" t="str">
        <f aca="false">IF(C5243="","",C5243*IF(Settings!$B$23=Settings!$C$6,1,IF(Settings!$B$23="USD",1/INDEX(Settings!$B$29:$B$40,MONTH(A5243)),INDEX(Settings!$B$29:$B$40,MONTH(A5243)))))</f>
        <v/>
      </c>
    </row>
    <row r="5244" customFormat="false" ht="15" hidden="false" customHeight="false" outlineLevel="0" collapsed="false">
      <c r="H5244" s="0" t="str">
        <f aca="false">IF(B5244="","",IF(COUNTIF(Campaigns!$A$7:$A$300,B5244)&gt;0,"✓","⚠ add to Campaigns tab"))</f>
        <v/>
      </c>
      <c r="I5244" s="84" t="str">
        <f aca="false">IF(C5244="","",C5244*IF(Settings!$B$23=Settings!$C$6,1,IF(Settings!$B$23="USD",1/INDEX(Settings!$B$29:$B$40,MONTH(A5244)),INDEX(Settings!$B$29:$B$40,MONTH(A5244)))))</f>
        <v/>
      </c>
    </row>
    <row r="5245" customFormat="false" ht="15" hidden="false" customHeight="false" outlineLevel="0" collapsed="false">
      <c r="H5245" s="0" t="str">
        <f aca="false">IF(B5245="","",IF(COUNTIF(Campaigns!$A$7:$A$300,B5245)&gt;0,"✓","⚠ add to Campaigns tab"))</f>
        <v/>
      </c>
      <c r="I5245" s="84" t="str">
        <f aca="false">IF(C5245="","",C5245*IF(Settings!$B$23=Settings!$C$6,1,IF(Settings!$B$23="USD",1/INDEX(Settings!$B$29:$B$40,MONTH(A5245)),INDEX(Settings!$B$29:$B$40,MONTH(A5245)))))</f>
        <v/>
      </c>
    </row>
    <row r="5246" customFormat="false" ht="15" hidden="false" customHeight="false" outlineLevel="0" collapsed="false">
      <c r="H5246" s="0" t="str">
        <f aca="false">IF(B5246="","",IF(COUNTIF(Campaigns!$A$7:$A$300,B5246)&gt;0,"✓","⚠ add to Campaigns tab"))</f>
        <v/>
      </c>
      <c r="I5246" s="84" t="str">
        <f aca="false">IF(C5246="","",C5246*IF(Settings!$B$23=Settings!$C$6,1,IF(Settings!$B$23="USD",1/INDEX(Settings!$B$29:$B$40,MONTH(A5246)),INDEX(Settings!$B$29:$B$40,MONTH(A5246)))))</f>
        <v/>
      </c>
    </row>
    <row r="5247" customFormat="false" ht="15" hidden="false" customHeight="false" outlineLevel="0" collapsed="false">
      <c r="H5247" s="0" t="str">
        <f aca="false">IF(B5247="","",IF(COUNTIF(Campaigns!$A$7:$A$300,B5247)&gt;0,"✓","⚠ add to Campaigns tab"))</f>
        <v/>
      </c>
      <c r="I5247" s="84" t="str">
        <f aca="false">IF(C5247="","",C5247*IF(Settings!$B$23=Settings!$C$6,1,IF(Settings!$B$23="USD",1/INDEX(Settings!$B$29:$B$40,MONTH(A5247)),INDEX(Settings!$B$29:$B$40,MONTH(A5247)))))</f>
        <v/>
      </c>
    </row>
    <row r="5248" customFormat="false" ht="15" hidden="false" customHeight="false" outlineLevel="0" collapsed="false">
      <c r="H5248" s="0" t="str">
        <f aca="false">IF(B5248="","",IF(COUNTIF(Campaigns!$A$7:$A$300,B5248)&gt;0,"✓","⚠ add to Campaigns tab"))</f>
        <v/>
      </c>
      <c r="I5248" s="84" t="str">
        <f aca="false">IF(C5248="","",C5248*IF(Settings!$B$23=Settings!$C$6,1,IF(Settings!$B$23="USD",1/INDEX(Settings!$B$29:$B$40,MONTH(A5248)),INDEX(Settings!$B$29:$B$40,MONTH(A5248)))))</f>
        <v/>
      </c>
    </row>
    <row r="5249" customFormat="false" ht="15" hidden="false" customHeight="false" outlineLevel="0" collapsed="false">
      <c r="H5249" s="0" t="str">
        <f aca="false">IF(B5249="","",IF(COUNTIF(Campaigns!$A$7:$A$300,B5249)&gt;0,"✓","⚠ add to Campaigns tab"))</f>
        <v/>
      </c>
      <c r="I5249" s="84" t="str">
        <f aca="false">IF(C5249="","",C5249*IF(Settings!$B$23=Settings!$C$6,1,IF(Settings!$B$23="USD",1/INDEX(Settings!$B$29:$B$40,MONTH(A5249)),INDEX(Settings!$B$29:$B$40,MONTH(A5249)))))</f>
        <v/>
      </c>
    </row>
    <row r="5250" customFormat="false" ht="15" hidden="false" customHeight="false" outlineLevel="0" collapsed="false">
      <c r="H5250" s="0" t="str">
        <f aca="false">IF(B5250="","",IF(COUNTIF(Campaigns!$A$7:$A$300,B5250)&gt;0,"✓","⚠ add to Campaigns tab"))</f>
        <v/>
      </c>
      <c r="I5250" s="84" t="str">
        <f aca="false">IF(C5250="","",C5250*IF(Settings!$B$23=Settings!$C$6,1,IF(Settings!$B$23="USD",1/INDEX(Settings!$B$29:$B$40,MONTH(A5250)),INDEX(Settings!$B$29:$B$40,MONTH(A5250)))))</f>
        <v/>
      </c>
    </row>
    <row r="5251" customFormat="false" ht="15" hidden="false" customHeight="false" outlineLevel="0" collapsed="false">
      <c r="H5251" s="0" t="str">
        <f aca="false">IF(B5251="","",IF(COUNTIF(Campaigns!$A$7:$A$300,B5251)&gt;0,"✓","⚠ add to Campaigns tab"))</f>
        <v/>
      </c>
      <c r="I5251" s="84" t="str">
        <f aca="false">IF(C5251="","",C5251*IF(Settings!$B$23=Settings!$C$6,1,IF(Settings!$B$23="USD",1/INDEX(Settings!$B$29:$B$40,MONTH(A5251)),INDEX(Settings!$B$29:$B$40,MONTH(A5251)))))</f>
        <v/>
      </c>
    </row>
    <row r="5252" customFormat="false" ht="15" hidden="false" customHeight="false" outlineLevel="0" collapsed="false">
      <c r="H5252" s="0" t="str">
        <f aca="false">IF(B5252="","",IF(COUNTIF(Campaigns!$A$7:$A$300,B5252)&gt;0,"✓","⚠ add to Campaigns tab"))</f>
        <v/>
      </c>
      <c r="I5252" s="84" t="str">
        <f aca="false">IF(C5252="","",C5252*IF(Settings!$B$23=Settings!$C$6,1,IF(Settings!$B$23="USD",1/INDEX(Settings!$B$29:$B$40,MONTH(A5252)),INDEX(Settings!$B$29:$B$40,MONTH(A5252)))))</f>
        <v/>
      </c>
    </row>
    <row r="5253" customFormat="false" ht="15" hidden="false" customHeight="false" outlineLevel="0" collapsed="false">
      <c r="H5253" s="0" t="str">
        <f aca="false">IF(B5253="","",IF(COUNTIF(Campaigns!$A$7:$A$300,B5253)&gt;0,"✓","⚠ add to Campaigns tab"))</f>
        <v/>
      </c>
      <c r="I5253" s="84" t="str">
        <f aca="false">IF(C5253="","",C5253*IF(Settings!$B$23=Settings!$C$6,1,IF(Settings!$B$23="USD",1/INDEX(Settings!$B$29:$B$40,MONTH(A5253)),INDEX(Settings!$B$29:$B$40,MONTH(A5253)))))</f>
        <v/>
      </c>
    </row>
    <row r="5254" customFormat="false" ht="15" hidden="false" customHeight="false" outlineLevel="0" collapsed="false">
      <c r="H5254" s="0" t="str">
        <f aca="false">IF(B5254="","",IF(COUNTIF(Campaigns!$A$7:$A$300,B5254)&gt;0,"✓","⚠ add to Campaigns tab"))</f>
        <v/>
      </c>
      <c r="I5254" s="84" t="str">
        <f aca="false">IF(C5254="","",C5254*IF(Settings!$B$23=Settings!$C$6,1,IF(Settings!$B$23="USD",1/INDEX(Settings!$B$29:$B$40,MONTH(A5254)),INDEX(Settings!$B$29:$B$40,MONTH(A5254)))))</f>
        <v/>
      </c>
    </row>
    <row r="5255" customFormat="false" ht="15" hidden="false" customHeight="false" outlineLevel="0" collapsed="false">
      <c r="H5255" s="0" t="str">
        <f aca="false">IF(B5255="","",IF(COUNTIF(Campaigns!$A$7:$A$300,B5255)&gt;0,"✓","⚠ add to Campaigns tab"))</f>
        <v/>
      </c>
      <c r="I5255" s="84" t="str">
        <f aca="false">IF(C5255="","",C5255*IF(Settings!$B$23=Settings!$C$6,1,IF(Settings!$B$23="USD",1/INDEX(Settings!$B$29:$B$40,MONTH(A5255)),INDEX(Settings!$B$29:$B$40,MONTH(A5255)))))</f>
        <v/>
      </c>
    </row>
    <row r="5256" customFormat="false" ht="15" hidden="false" customHeight="false" outlineLevel="0" collapsed="false">
      <c r="H5256" s="0" t="str">
        <f aca="false">IF(B5256="","",IF(COUNTIF(Campaigns!$A$7:$A$300,B5256)&gt;0,"✓","⚠ add to Campaigns tab"))</f>
        <v/>
      </c>
      <c r="I5256" s="84" t="str">
        <f aca="false">IF(C5256="","",C5256*IF(Settings!$B$23=Settings!$C$6,1,IF(Settings!$B$23="USD",1/INDEX(Settings!$B$29:$B$40,MONTH(A5256)),INDEX(Settings!$B$29:$B$40,MONTH(A5256)))))</f>
        <v/>
      </c>
    </row>
    <row r="5257" customFormat="false" ht="15" hidden="false" customHeight="false" outlineLevel="0" collapsed="false">
      <c r="H5257" s="0" t="str">
        <f aca="false">IF(B5257="","",IF(COUNTIF(Campaigns!$A$7:$A$300,B5257)&gt;0,"✓","⚠ add to Campaigns tab"))</f>
        <v/>
      </c>
      <c r="I5257" s="84" t="str">
        <f aca="false">IF(C5257="","",C5257*IF(Settings!$B$23=Settings!$C$6,1,IF(Settings!$B$23="USD",1/INDEX(Settings!$B$29:$B$40,MONTH(A5257)),INDEX(Settings!$B$29:$B$40,MONTH(A5257)))))</f>
        <v/>
      </c>
    </row>
    <row r="5258" customFormat="false" ht="15" hidden="false" customHeight="false" outlineLevel="0" collapsed="false">
      <c r="H5258" s="0" t="str">
        <f aca="false">IF(B5258="","",IF(COUNTIF(Campaigns!$A$7:$A$300,B5258)&gt;0,"✓","⚠ add to Campaigns tab"))</f>
        <v/>
      </c>
      <c r="I5258" s="84" t="str">
        <f aca="false">IF(C5258="","",C5258*IF(Settings!$B$23=Settings!$C$6,1,IF(Settings!$B$23="USD",1/INDEX(Settings!$B$29:$B$40,MONTH(A5258)),INDEX(Settings!$B$29:$B$40,MONTH(A5258)))))</f>
        <v/>
      </c>
    </row>
    <row r="5259" customFormat="false" ht="15" hidden="false" customHeight="false" outlineLevel="0" collapsed="false">
      <c r="H5259" s="0" t="str">
        <f aca="false">IF(B5259="","",IF(COUNTIF(Campaigns!$A$7:$A$300,B5259)&gt;0,"✓","⚠ add to Campaigns tab"))</f>
        <v/>
      </c>
      <c r="I5259" s="84" t="str">
        <f aca="false">IF(C5259="","",C5259*IF(Settings!$B$23=Settings!$C$6,1,IF(Settings!$B$23="USD",1/INDEX(Settings!$B$29:$B$40,MONTH(A5259)),INDEX(Settings!$B$29:$B$40,MONTH(A5259)))))</f>
        <v/>
      </c>
    </row>
    <row r="5260" customFormat="false" ht="15" hidden="false" customHeight="false" outlineLevel="0" collapsed="false">
      <c r="H5260" s="0" t="str">
        <f aca="false">IF(B5260="","",IF(COUNTIF(Campaigns!$A$7:$A$300,B5260)&gt;0,"✓","⚠ add to Campaigns tab"))</f>
        <v/>
      </c>
      <c r="I5260" s="84" t="str">
        <f aca="false">IF(C5260="","",C5260*IF(Settings!$B$23=Settings!$C$6,1,IF(Settings!$B$23="USD",1/INDEX(Settings!$B$29:$B$40,MONTH(A5260)),INDEX(Settings!$B$29:$B$40,MONTH(A5260)))))</f>
        <v/>
      </c>
    </row>
    <row r="5261" customFormat="false" ht="15" hidden="false" customHeight="false" outlineLevel="0" collapsed="false">
      <c r="H5261" s="0" t="str">
        <f aca="false">IF(B5261="","",IF(COUNTIF(Campaigns!$A$7:$A$300,B5261)&gt;0,"✓","⚠ add to Campaigns tab"))</f>
        <v/>
      </c>
      <c r="I5261" s="84" t="str">
        <f aca="false">IF(C5261="","",C5261*IF(Settings!$B$23=Settings!$C$6,1,IF(Settings!$B$23="USD",1/INDEX(Settings!$B$29:$B$40,MONTH(A5261)),INDEX(Settings!$B$29:$B$40,MONTH(A5261)))))</f>
        <v/>
      </c>
    </row>
    <row r="5262" customFormat="false" ht="15" hidden="false" customHeight="false" outlineLevel="0" collapsed="false">
      <c r="H5262" s="0" t="str">
        <f aca="false">IF(B5262="","",IF(COUNTIF(Campaigns!$A$7:$A$300,B5262)&gt;0,"✓","⚠ add to Campaigns tab"))</f>
        <v/>
      </c>
      <c r="I5262" s="84" t="str">
        <f aca="false">IF(C5262="","",C5262*IF(Settings!$B$23=Settings!$C$6,1,IF(Settings!$B$23="USD",1/INDEX(Settings!$B$29:$B$40,MONTH(A5262)),INDEX(Settings!$B$29:$B$40,MONTH(A5262)))))</f>
        <v/>
      </c>
    </row>
    <row r="5263" customFormat="false" ht="15" hidden="false" customHeight="false" outlineLevel="0" collapsed="false">
      <c r="H5263" s="0" t="str">
        <f aca="false">IF(B5263="","",IF(COUNTIF(Campaigns!$A$7:$A$300,B5263)&gt;0,"✓","⚠ add to Campaigns tab"))</f>
        <v/>
      </c>
      <c r="I5263" s="84" t="str">
        <f aca="false">IF(C5263="","",C5263*IF(Settings!$B$23=Settings!$C$6,1,IF(Settings!$B$23="USD",1/INDEX(Settings!$B$29:$B$40,MONTH(A5263)),INDEX(Settings!$B$29:$B$40,MONTH(A5263)))))</f>
        <v/>
      </c>
    </row>
    <row r="5264" customFormat="false" ht="15" hidden="false" customHeight="false" outlineLevel="0" collapsed="false">
      <c r="H5264" s="0" t="str">
        <f aca="false">IF(B5264="","",IF(COUNTIF(Campaigns!$A$7:$A$300,B5264)&gt;0,"✓","⚠ add to Campaigns tab"))</f>
        <v/>
      </c>
      <c r="I5264" s="84" t="str">
        <f aca="false">IF(C5264="","",C5264*IF(Settings!$B$23=Settings!$C$6,1,IF(Settings!$B$23="USD",1/INDEX(Settings!$B$29:$B$40,MONTH(A5264)),INDEX(Settings!$B$29:$B$40,MONTH(A5264)))))</f>
        <v/>
      </c>
    </row>
    <row r="5265" customFormat="false" ht="15" hidden="false" customHeight="false" outlineLevel="0" collapsed="false">
      <c r="H5265" s="0" t="str">
        <f aca="false">IF(B5265="","",IF(COUNTIF(Campaigns!$A$7:$A$300,B5265)&gt;0,"✓","⚠ add to Campaigns tab"))</f>
        <v/>
      </c>
      <c r="I5265" s="84" t="str">
        <f aca="false">IF(C5265="","",C5265*IF(Settings!$B$23=Settings!$C$6,1,IF(Settings!$B$23="USD",1/INDEX(Settings!$B$29:$B$40,MONTH(A5265)),INDEX(Settings!$B$29:$B$40,MONTH(A5265)))))</f>
        <v/>
      </c>
    </row>
    <row r="5266" customFormat="false" ht="15" hidden="false" customHeight="false" outlineLevel="0" collapsed="false">
      <c r="H5266" s="0" t="str">
        <f aca="false">IF(B5266="","",IF(COUNTIF(Campaigns!$A$7:$A$300,B5266)&gt;0,"✓","⚠ add to Campaigns tab"))</f>
        <v/>
      </c>
      <c r="I5266" s="84" t="str">
        <f aca="false">IF(C5266="","",C5266*IF(Settings!$B$23=Settings!$C$6,1,IF(Settings!$B$23="USD",1/INDEX(Settings!$B$29:$B$40,MONTH(A5266)),INDEX(Settings!$B$29:$B$40,MONTH(A5266)))))</f>
        <v/>
      </c>
    </row>
    <row r="5267" customFormat="false" ht="15" hidden="false" customHeight="false" outlineLevel="0" collapsed="false">
      <c r="H5267" s="0" t="str">
        <f aca="false">IF(B5267="","",IF(COUNTIF(Campaigns!$A$7:$A$300,B5267)&gt;0,"✓","⚠ add to Campaigns tab"))</f>
        <v/>
      </c>
      <c r="I5267" s="84" t="str">
        <f aca="false">IF(C5267="","",C5267*IF(Settings!$B$23=Settings!$C$6,1,IF(Settings!$B$23="USD",1/INDEX(Settings!$B$29:$B$40,MONTH(A5267)),INDEX(Settings!$B$29:$B$40,MONTH(A5267)))))</f>
        <v/>
      </c>
    </row>
    <row r="5268" customFormat="false" ht="15" hidden="false" customHeight="false" outlineLevel="0" collapsed="false">
      <c r="H5268" s="0" t="str">
        <f aca="false">IF(B5268="","",IF(COUNTIF(Campaigns!$A$7:$A$300,B5268)&gt;0,"✓","⚠ add to Campaigns tab"))</f>
        <v/>
      </c>
      <c r="I5268" s="84" t="str">
        <f aca="false">IF(C5268="","",C5268*IF(Settings!$B$23=Settings!$C$6,1,IF(Settings!$B$23="USD",1/INDEX(Settings!$B$29:$B$40,MONTH(A5268)),INDEX(Settings!$B$29:$B$40,MONTH(A5268)))))</f>
        <v/>
      </c>
    </row>
    <row r="5269" customFormat="false" ht="15" hidden="false" customHeight="false" outlineLevel="0" collapsed="false">
      <c r="H5269" s="0" t="str">
        <f aca="false">IF(B5269="","",IF(COUNTIF(Campaigns!$A$7:$A$300,B5269)&gt;0,"✓","⚠ add to Campaigns tab"))</f>
        <v/>
      </c>
      <c r="I5269" s="84" t="str">
        <f aca="false">IF(C5269="","",C5269*IF(Settings!$B$23=Settings!$C$6,1,IF(Settings!$B$23="USD",1/INDEX(Settings!$B$29:$B$40,MONTH(A5269)),INDEX(Settings!$B$29:$B$40,MONTH(A5269)))))</f>
        <v/>
      </c>
    </row>
    <row r="5270" customFormat="false" ht="15" hidden="false" customHeight="false" outlineLevel="0" collapsed="false">
      <c r="H5270" s="0" t="str">
        <f aca="false">IF(B5270="","",IF(COUNTIF(Campaigns!$A$7:$A$300,B5270)&gt;0,"✓","⚠ add to Campaigns tab"))</f>
        <v/>
      </c>
      <c r="I5270" s="84" t="str">
        <f aca="false">IF(C5270="","",C5270*IF(Settings!$B$23=Settings!$C$6,1,IF(Settings!$B$23="USD",1/INDEX(Settings!$B$29:$B$40,MONTH(A5270)),INDEX(Settings!$B$29:$B$40,MONTH(A5270)))))</f>
        <v/>
      </c>
    </row>
    <row r="5271" customFormat="false" ht="15" hidden="false" customHeight="false" outlineLevel="0" collapsed="false">
      <c r="H5271" s="0" t="str">
        <f aca="false">IF(B5271="","",IF(COUNTIF(Campaigns!$A$7:$A$300,B5271)&gt;0,"✓","⚠ add to Campaigns tab"))</f>
        <v/>
      </c>
      <c r="I5271" s="84" t="str">
        <f aca="false">IF(C5271="","",C5271*IF(Settings!$B$23=Settings!$C$6,1,IF(Settings!$B$23="USD",1/INDEX(Settings!$B$29:$B$40,MONTH(A5271)),INDEX(Settings!$B$29:$B$40,MONTH(A5271)))))</f>
        <v/>
      </c>
    </row>
    <row r="5272" customFormat="false" ht="15" hidden="false" customHeight="false" outlineLevel="0" collapsed="false">
      <c r="H5272" s="0" t="str">
        <f aca="false">IF(B5272="","",IF(COUNTIF(Campaigns!$A$7:$A$300,B5272)&gt;0,"✓","⚠ add to Campaigns tab"))</f>
        <v/>
      </c>
      <c r="I5272" s="84" t="str">
        <f aca="false">IF(C5272="","",C5272*IF(Settings!$B$23=Settings!$C$6,1,IF(Settings!$B$23="USD",1/INDEX(Settings!$B$29:$B$40,MONTH(A5272)),INDEX(Settings!$B$29:$B$40,MONTH(A5272)))))</f>
        <v/>
      </c>
    </row>
    <row r="5273" customFormat="false" ht="15" hidden="false" customHeight="false" outlineLevel="0" collapsed="false">
      <c r="H5273" s="0" t="str">
        <f aca="false">IF(B5273="","",IF(COUNTIF(Campaigns!$A$7:$A$300,B5273)&gt;0,"✓","⚠ add to Campaigns tab"))</f>
        <v/>
      </c>
      <c r="I5273" s="84" t="str">
        <f aca="false">IF(C5273="","",C5273*IF(Settings!$B$23=Settings!$C$6,1,IF(Settings!$B$23="USD",1/INDEX(Settings!$B$29:$B$40,MONTH(A5273)),INDEX(Settings!$B$29:$B$40,MONTH(A5273)))))</f>
        <v/>
      </c>
    </row>
    <row r="5274" customFormat="false" ht="15" hidden="false" customHeight="false" outlineLevel="0" collapsed="false">
      <c r="H5274" s="0" t="str">
        <f aca="false">IF(B5274="","",IF(COUNTIF(Campaigns!$A$7:$A$300,B5274)&gt;0,"✓","⚠ add to Campaigns tab"))</f>
        <v/>
      </c>
      <c r="I5274" s="84" t="str">
        <f aca="false">IF(C5274="","",C5274*IF(Settings!$B$23=Settings!$C$6,1,IF(Settings!$B$23="USD",1/INDEX(Settings!$B$29:$B$40,MONTH(A5274)),INDEX(Settings!$B$29:$B$40,MONTH(A5274)))))</f>
        <v/>
      </c>
    </row>
    <row r="5275" customFormat="false" ht="15" hidden="false" customHeight="false" outlineLevel="0" collapsed="false">
      <c r="H5275" s="0" t="str">
        <f aca="false">IF(B5275="","",IF(COUNTIF(Campaigns!$A$7:$A$300,B5275)&gt;0,"✓","⚠ add to Campaigns tab"))</f>
        <v/>
      </c>
      <c r="I5275" s="84" t="str">
        <f aca="false">IF(C5275="","",C5275*IF(Settings!$B$23=Settings!$C$6,1,IF(Settings!$B$23="USD",1/INDEX(Settings!$B$29:$B$40,MONTH(A5275)),INDEX(Settings!$B$29:$B$40,MONTH(A5275)))))</f>
        <v/>
      </c>
    </row>
    <row r="5276" customFormat="false" ht="15" hidden="false" customHeight="false" outlineLevel="0" collapsed="false">
      <c r="H5276" s="0" t="str">
        <f aca="false">IF(B5276="","",IF(COUNTIF(Campaigns!$A$7:$A$300,B5276)&gt;0,"✓","⚠ add to Campaigns tab"))</f>
        <v/>
      </c>
      <c r="I5276" s="84" t="str">
        <f aca="false">IF(C5276="","",C5276*IF(Settings!$B$23=Settings!$C$6,1,IF(Settings!$B$23="USD",1/INDEX(Settings!$B$29:$B$40,MONTH(A5276)),INDEX(Settings!$B$29:$B$40,MONTH(A5276)))))</f>
        <v/>
      </c>
    </row>
    <row r="5277" customFormat="false" ht="15" hidden="false" customHeight="false" outlineLevel="0" collapsed="false">
      <c r="H5277" s="0" t="str">
        <f aca="false">IF(B5277="","",IF(COUNTIF(Campaigns!$A$7:$A$300,B5277)&gt;0,"✓","⚠ add to Campaigns tab"))</f>
        <v/>
      </c>
      <c r="I5277" s="84" t="str">
        <f aca="false">IF(C5277="","",C5277*IF(Settings!$B$23=Settings!$C$6,1,IF(Settings!$B$23="USD",1/INDEX(Settings!$B$29:$B$40,MONTH(A5277)),INDEX(Settings!$B$29:$B$40,MONTH(A5277)))))</f>
        <v/>
      </c>
    </row>
    <row r="5278" customFormat="false" ht="15" hidden="false" customHeight="false" outlineLevel="0" collapsed="false">
      <c r="H5278" s="0" t="str">
        <f aca="false">IF(B5278="","",IF(COUNTIF(Campaigns!$A$7:$A$300,B5278)&gt;0,"✓","⚠ add to Campaigns tab"))</f>
        <v/>
      </c>
      <c r="I5278" s="84" t="str">
        <f aca="false">IF(C5278="","",C5278*IF(Settings!$B$23=Settings!$C$6,1,IF(Settings!$B$23="USD",1/INDEX(Settings!$B$29:$B$40,MONTH(A5278)),INDEX(Settings!$B$29:$B$40,MONTH(A5278)))))</f>
        <v/>
      </c>
    </row>
    <row r="5279" customFormat="false" ht="15" hidden="false" customHeight="false" outlineLevel="0" collapsed="false">
      <c r="H5279" s="0" t="str">
        <f aca="false">IF(B5279="","",IF(COUNTIF(Campaigns!$A$7:$A$300,B5279)&gt;0,"✓","⚠ add to Campaigns tab"))</f>
        <v/>
      </c>
      <c r="I5279" s="84" t="str">
        <f aca="false">IF(C5279="","",C5279*IF(Settings!$B$23=Settings!$C$6,1,IF(Settings!$B$23="USD",1/INDEX(Settings!$B$29:$B$40,MONTH(A5279)),INDEX(Settings!$B$29:$B$40,MONTH(A5279)))))</f>
        <v/>
      </c>
    </row>
    <row r="5280" customFormat="false" ht="15" hidden="false" customHeight="false" outlineLevel="0" collapsed="false">
      <c r="H5280" s="0" t="str">
        <f aca="false">IF(B5280="","",IF(COUNTIF(Campaigns!$A$7:$A$300,B5280)&gt;0,"✓","⚠ add to Campaigns tab"))</f>
        <v/>
      </c>
      <c r="I5280" s="84" t="str">
        <f aca="false">IF(C5280="","",C5280*IF(Settings!$B$23=Settings!$C$6,1,IF(Settings!$B$23="USD",1/INDEX(Settings!$B$29:$B$40,MONTH(A5280)),INDEX(Settings!$B$29:$B$40,MONTH(A5280)))))</f>
        <v/>
      </c>
    </row>
    <row r="5281" customFormat="false" ht="15" hidden="false" customHeight="false" outlineLevel="0" collapsed="false">
      <c r="H5281" s="0" t="str">
        <f aca="false">IF(B5281="","",IF(COUNTIF(Campaigns!$A$7:$A$300,B5281)&gt;0,"✓","⚠ add to Campaigns tab"))</f>
        <v/>
      </c>
      <c r="I5281" s="84" t="str">
        <f aca="false">IF(C5281="","",C5281*IF(Settings!$B$23=Settings!$C$6,1,IF(Settings!$B$23="USD",1/INDEX(Settings!$B$29:$B$40,MONTH(A5281)),INDEX(Settings!$B$29:$B$40,MONTH(A5281)))))</f>
        <v/>
      </c>
    </row>
    <row r="5282" customFormat="false" ht="15" hidden="false" customHeight="false" outlineLevel="0" collapsed="false">
      <c r="H5282" s="0" t="str">
        <f aca="false">IF(B5282="","",IF(COUNTIF(Campaigns!$A$7:$A$300,B5282)&gt;0,"✓","⚠ add to Campaigns tab"))</f>
        <v/>
      </c>
      <c r="I5282" s="84" t="str">
        <f aca="false">IF(C5282="","",C5282*IF(Settings!$B$23=Settings!$C$6,1,IF(Settings!$B$23="USD",1/INDEX(Settings!$B$29:$B$40,MONTH(A5282)),INDEX(Settings!$B$29:$B$40,MONTH(A5282)))))</f>
        <v/>
      </c>
    </row>
    <row r="5283" customFormat="false" ht="15" hidden="false" customHeight="false" outlineLevel="0" collapsed="false">
      <c r="H5283" s="0" t="str">
        <f aca="false">IF(B5283="","",IF(COUNTIF(Campaigns!$A$7:$A$300,B5283)&gt;0,"✓","⚠ add to Campaigns tab"))</f>
        <v/>
      </c>
      <c r="I5283" s="84" t="str">
        <f aca="false">IF(C5283="","",C5283*IF(Settings!$B$23=Settings!$C$6,1,IF(Settings!$B$23="USD",1/INDEX(Settings!$B$29:$B$40,MONTH(A5283)),INDEX(Settings!$B$29:$B$40,MONTH(A5283)))))</f>
        <v/>
      </c>
    </row>
    <row r="5284" customFormat="false" ht="15" hidden="false" customHeight="false" outlineLevel="0" collapsed="false">
      <c r="H5284" s="0" t="str">
        <f aca="false">IF(B5284="","",IF(COUNTIF(Campaigns!$A$7:$A$300,B5284)&gt;0,"✓","⚠ add to Campaigns tab"))</f>
        <v/>
      </c>
      <c r="I5284" s="84" t="str">
        <f aca="false">IF(C5284="","",C5284*IF(Settings!$B$23=Settings!$C$6,1,IF(Settings!$B$23="USD",1/INDEX(Settings!$B$29:$B$40,MONTH(A5284)),INDEX(Settings!$B$29:$B$40,MONTH(A5284)))))</f>
        <v/>
      </c>
    </row>
    <row r="5285" customFormat="false" ht="15" hidden="false" customHeight="false" outlineLevel="0" collapsed="false">
      <c r="H5285" s="0" t="str">
        <f aca="false">IF(B5285="","",IF(COUNTIF(Campaigns!$A$7:$A$300,B5285)&gt;0,"✓","⚠ add to Campaigns tab"))</f>
        <v/>
      </c>
      <c r="I5285" s="84" t="str">
        <f aca="false">IF(C5285="","",C5285*IF(Settings!$B$23=Settings!$C$6,1,IF(Settings!$B$23="USD",1/INDEX(Settings!$B$29:$B$40,MONTH(A5285)),INDEX(Settings!$B$29:$B$40,MONTH(A5285)))))</f>
        <v/>
      </c>
    </row>
    <row r="5286" customFormat="false" ht="15" hidden="false" customHeight="false" outlineLevel="0" collapsed="false">
      <c r="H5286" s="0" t="str">
        <f aca="false">IF(B5286="","",IF(COUNTIF(Campaigns!$A$7:$A$300,B5286)&gt;0,"✓","⚠ add to Campaigns tab"))</f>
        <v/>
      </c>
      <c r="I5286" s="84" t="str">
        <f aca="false">IF(C5286="","",C5286*IF(Settings!$B$23=Settings!$C$6,1,IF(Settings!$B$23="USD",1/INDEX(Settings!$B$29:$B$40,MONTH(A5286)),INDEX(Settings!$B$29:$B$40,MONTH(A5286)))))</f>
        <v/>
      </c>
    </row>
    <row r="5287" customFormat="false" ht="15" hidden="false" customHeight="false" outlineLevel="0" collapsed="false">
      <c r="H5287" s="0" t="str">
        <f aca="false">IF(B5287="","",IF(COUNTIF(Campaigns!$A$7:$A$300,B5287)&gt;0,"✓","⚠ add to Campaigns tab"))</f>
        <v/>
      </c>
      <c r="I5287" s="84" t="str">
        <f aca="false">IF(C5287="","",C5287*IF(Settings!$B$23=Settings!$C$6,1,IF(Settings!$B$23="USD",1/INDEX(Settings!$B$29:$B$40,MONTH(A5287)),INDEX(Settings!$B$29:$B$40,MONTH(A5287)))))</f>
        <v/>
      </c>
    </row>
    <row r="5288" customFormat="false" ht="15" hidden="false" customHeight="false" outlineLevel="0" collapsed="false">
      <c r="H5288" s="0" t="str">
        <f aca="false">IF(B5288="","",IF(COUNTIF(Campaigns!$A$7:$A$300,B5288)&gt;0,"✓","⚠ add to Campaigns tab"))</f>
        <v/>
      </c>
      <c r="I5288" s="84" t="str">
        <f aca="false">IF(C5288="","",C5288*IF(Settings!$B$23=Settings!$C$6,1,IF(Settings!$B$23="USD",1/INDEX(Settings!$B$29:$B$40,MONTH(A5288)),INDEX(Settings!$B$29:$B$40,MONTH(A5288)))))</f>
        <v/>
      </c>
    </row>
    <row r="5289" customFormat="false" ht="15" hidden="false" customHeight="false" outlineLevel="0" collapsed="false">
      <c r="H5289" s="0" t="str">
        <f aca="false">IF(B5289="","",IF(COUNTIF(Campaigns!$A$7:$A$300,B5289)&gt;0,"✓","⚠ add to Campaigns tab"))</f>
        <v/>
      </c>
      <c r="I5289" s="84" t="str">
        <f aca="false">IF(C5289="","",C5289*IF(Settings!$B$23=Settings!$C$6,1,IF(Settings!$B$23="USD",1/INDEX(Settings!$B$29:$B$40,MONTH(A5289)),INDEX(Settings!$B$29:$B$40,MONTH(A5289)))))</f>
        <v/>
      </c>
    </row>
    <row r="5290" customFormat="false" ht="15" hidden="false" customHeight="false" outlineLevel="0" collapsed="false">
      <c r="H5290" s="0" t="str">
        <f aca="false">IF(B5290="","",IF(COUNTIF(Campaigns!$A$7:$A$300,B5290)&gt;0,"✓","⚠ add to Campaigns tab"))</f>
        <v/>
      </c>
      <c r="I5290" s="84" t="str">
        <f aca="false">IF(C5290="","",C5290*IF(Settings!$B$23=Settings!$C$6,1,IF(Settings!$B$23="USD",1/INDEX(Settings!$B$29:$B$40,MONTH(A5290)),INDEX(Settings!$B$29:$B$40,MONTH(A5290)))))</f>
        <v/>
      </c>
    </row>
    <row r="5291" customFormat="false" ht="15" hidden="false" customHeight="false" outlineLevel="0" collapsed="false">
      <c r="H5291" s="0" t="str">
        <f aca="false">IF(B5291="","",IF(COUNTIF(Campaigns!$A$7:$A$300,B5291)&gt;0,"✓","⚠ add to Campaigns tab"))</f>
        <v/>
      </c>
      <c r="I5291" s="84" t="str">
        <f aca="false">IF(C5291="","",C5291*IF(Settings!$B$23=Settings!$C$6,1,IF(Settings!$B$23="USD",1/INDEX(Settings!$B$29:$B$40,MONTH(A5291)),INDEX(Settings!$B$29:$B$40,MONTH(A5291)))))</f>
        <v/>
      </c>
    </row>
    <row r="5292" customFormat="false" ht="15" hidden="false" customHeight="false" outlineLevel="0" collapsed="false">
      <c r="H5292" s="0" t="str">
        <f aca="false">IF(B5292="","",IF(COUNTIF(Campaigns!$A$7:$A$300,B5292)&gt;0,"✓","⚠ add to Campaigns tab"))</f>
        <v/>
      </c>
      <c r="I5292" s="84" t="str">
        <f aca="false">IF(C5292="","",C5292*IF(Settings!$B$23=Settings!$C$6,1,IF(Settings!$B$23="USD",1/INDEX(Settings!$B$29:$B$40,MONTH(A5292)),INDEX(Settings!$B$29:$B$40,MONTH(A5292)))))</f>
        <v/>
      </c>
    </row>
    <row r="5293" customFormat="false" ht="15" hidden="false" customHeight="false" outlineLevel="0" collapsed="false">
      <c r="H5293" s="0" t="str">
        <f aca="false">IF(B5293="","",IF(COUNTIF(Campaigns!$A$7:$A$300,B5293)&gt;0,"✓","⚠ add to Campaigns tab"))</f>
        <v/>
      </c>
      <c r="I5293" s="84" t="str">
        <f aca="false">IF(C5293="","",C5293*IF(Settings!$B$23=Settings!$C$6,1,IF(Settings!$B$23="USD",1/INDEX(Settings!$B$29:$B$40,MONTH(A5293)),INDEX(Settings!$B$29:$B$40,MONTH(A5293)))))</f>
        <v/>
      </c>
    </row>
    <row r="5294" customFormat="false" ht="15" hidden="false" customHeight="false" outlineLevel="0" collapsed="false">
      <c r="H5294" s="0" t="str">
        <f aca="false">IF(B5294="","",IF(COUNTIF(Campaigns!$A$7:$A$300,B5294)&gt;0,"✓","⚠ add to Campaigns tab"))</f>
        <v/>
      </c>
      <c r="I5294" s="84" t="str">
        <f aca="false">IF(C5294="","",C5294*IF(Settings!$B$23=Settings!$C$6,1,IF(Settings!$B$23="USD",1/INDEX(Settings!$B$29:$B$40,MONTH(A5294)),INDEX(Settings!$B$29:$B$40,MONTH(A5294)))))</f>
        <v/>
      </c>
    </row>
    <row r="5295" customFormat="false" ht="15" hidden="false" customHeight="false" outlineLevel="0" collapsed="false">
      <c r="H5295" s="0" t="str">
        <f aca="false">IF(B5295="","",IF(COUNTIF(Campaigns!$A$7:$A$300,B5295)&gt;0,"✓","⚠ add to Campaigns tab"))</f>
        <v/>
      </c>
      <c r="I5295" s="84" t="str">
        <f aca="false">IF(C5295="","",C5295*IF(Settings!$B$23=Settings!$C$6,1,IF(Settings!$B$23="USD",1/INDEX(Settings!$B$29:$B$40,MONTH(A5295)),INDEX(Settings!$B$29:$B$40,MONTH(A5295)))))</f>
        <v/>
      </c>
    </row>
    <row r="5296" customFormat="false" ht="15" hidden="false" customHeight="false" outlineLevel="0" collapsed="false">
      <c r="H5296" s="0" t="str">
        <f aca="false">IF(B5296="","",IF(COUNTIF(Campaigns!$A$7:$A$300,B5296)&gt;0,"✓","⚠ add to Campaigns tab"))</f>
        <v/>
      </c>
      <c r="I5296" s="84" t="str">
        <f aca="false">IF(C5296="","",C5296*IF(Settings!$B$23=Settings!$C$6,1,IF(Settings!$B$23="USD",1/INDEX(Settings!$B$29:$B$40,MONTH(A5296)),INDEX(Settings!$B$29:$B$40,MONTH(A5296)))))</f>
        <v/>
      </c>
    </row>
    <row r="5297" customFormat="false" ht="15" hidden="false" customHeight="false" outlineLevel="0" collapsed="false">
      <c r="H5297" s="0" t="str">
        <f aca="false">IF(B5297="","",IF(COUNTIF(Campaigns!$A$7:$A$300,B5297)&gt;0,"✓","⚠ add to Campaigns tab"))</f>
        <v/>
      </c>
      <c r="I5297" s="84" t="str">
        <f aca="false">IF(C5297="","",C5297*IF(Settings!$B$23=Settings!$C$6,1,IF(Settings!$B$23="USD",1/INDEX(Settings!$B$29:$B$40,MONTH(A5297)),INDEX(Settings!$B$29:$B$40,MONTH(A5297)))))</f>
        <v/>
      </c>
    </row>
    <row r="5298" customFormat="false" ht="15" hidden="false" customHeight="false" outlineLevel="0" collapsed="false">
      <c r="H5298" s="0" t="str">
        <f aca="false">IF(B5298="","",IF(COUNTIF(Campaigns!$A$7:$A$300,B5298)&gt;0,"✓","⚠ add to Campaigns tab"))</f>
        <v/>
      </c>
      <c r="I5298" s="84" t="str">
        <f aca="false">IF(C5298="","",C5298*IF(Settings!$B$23=Settings!$C$6,1,IF(Settings!$B$23="USD",1/INDEX(Settings!$B$29:$B$40,MONTH(A5298)),INDEX(Settings!$B$29:$B$40,MONTH(A5298)))))</f>
        <v/>
      </c>
    </row>
    <row r="5299" customFormat="false" ht="15" hidden="false" customHeight="false" outlineLevel="0" collapsed="false">
      <c r="H5299" s="0" t="str">
        <f aca="false">IF(B5299="","",IF(COUNTIF(Campaigns!$A$7:$A$300,B5299)&gt;0,"✓","⚠ add to Campaigns tab"))</f>
        <v/>
      </c>
      <c r="I5299" s="84" t="str">
        <f aca="false">IF(C5299="","",C5299*IF(Settings!$B$23=Settings!$C$6,1,IF(Settings!$B$23="USD",1/INDEX(Settings!$B$29:$B$40,MONTH(A5299)),INDEX(Settings!$B$29:$B$40,MONTH(A5299)))))</f>
        <v/>
      </c>
    </row>
    <row r="5300" customFormat="false" ht="15" hidden="false" customHeight="false" outlineLevel="0" collapsed="false">
      <c r="H5300" s="0" t="str">
        <f aca="false">IF(B5300="","",IF(COUNTIF(Campaigns!$A$7:$A$300,B5300)&gt;0,"✓","⚠ add to Campaigns tab"))</f>
        <v/>
      </c>
      <c r="I5300" s="84" t="str">
        <f aca="false">IF(C5300="","",C5300*IF(Settings!$B$23=Settings!$C$6,1,IF(Settings!$B$23="USD",1/INDEX(Settings!$B$29:$B$40,MONTH(A5300)),INDEX(Settings!$B$29:$B$40,MONTH(A5300)))))</f>
        <v/>
      </c>
    </row>
    <row r="5301" customFormat="false" ht="15" hidden="false" customHeight="false" outlineLevel="0" collapsed="false">
      <c r="H5301" s="0" t="str">
        <f aca="false">IF(B5301="","",IF(COUNTIF(Campaigns!$A$7:$A$300,B5301)&gt;0,"✓","⚠ add to Campaigns tab"))</f>
        <v/>
      </c>
      <c r="I5301" s="84" t="str">
        <f aca="false">IF(C5301="","",C5301*IF(Settings!$B$23=Settings!$C$6,1,IF(Settings!$B$23="USD",1/INDEX(Settings!$B$29:$B$40,MONTH(A5301)),INDEX(Settings!$B$29:$B$40,MONTH(A5301)))))</f>
        <v/>
      </c>
    </row>
    <row r="5302" customFormat="false" ht="15" hidden="false" customHeight="false" outlineLevel="0" collapsed="false">
      <c r="H5302" s="0" t="str">
        <f aca="false">IF(B5302="","",IF(COUNTIF(Campaigns!$A$7:$A$300,B5302)&gt;0,"✓","⚠ add to Campaigns tab"))</f>
        <v/>
      </c>
      <c r="I5302" s="84" t="str">
        <f aca="false">IF(C5302="","",C5302*IF(Settings!$B$23=Settings!$C$6,1,IF(Settings!$B$23="USD",1/INDEX(Settings!$B$29:$B$40,MONTH(A5302)),INDEX(Settings!$B$29:$B$40,MONTH(A5302)))))</f>
        <v/>
      </c>
    </row>
    <row r="5303" customFormat="false" ht="15" hidden="false" customHeight="false" outlineLevel="0" collapsed="false">
      <c r="H5303" s="0" t="str">
        <f aca="false">IF(B5303="","",IF(COUNTIF(Campaigns!$A$7:$A$300,B5303)&gt;0,"✓","⚠ add to Campaigns tab"))</f>
        <v/>
      </c>
      <c r="I5303" s="84" t="str">
        <f aca="false">IF(C5303="","",C5303*IF(Settings!$B$23=Settings!$C$6,1,IF(Settings!$B$23="USD",1/INDEX(Settings!$B$29:$B$40,MONTH(A5303)),INDEX(Settings!$B$29:$B$40,MONTH(A5303)))))</f>
        <v/>
      </c>
    </row>
    <row r="5304" customFormat="false" ht="15" hidden="false" customHeight="false" outlineLevel="0" collapsed="false">
      <c r="H5304" s="0" t="str">
        <f aca="false">IF(B5304="","",IF(COUNTIF(Campaigns!$A$7:$A$300,B5304)&gt;0,"✓","⚠ add to Campaigns tab"))</f>
        <v/>
      </c>
      <c r="I5304" s="84" t="str">
        <f aca="false">IF(C5304="","",C5304*IF(Settings!$B$23=Settings!$C$6,1,IF(Settings!$B$23="USD",1/INDEX(Settings!$B$29:$B$40,MONTH(A5304)),INDEX(Settings!$B$29:$B$40,MONTH(A5304)))))</f>
        <v/>
      </c>
    </row>
    <row r="5305" customFormat="false" ht="15" hidden="false" customHeight="false" outlineLevel="0" collapsed="false">
      <c r="H5305" s="0" t="str">
        <f aca="false">IF(B5305="","",IF(COUNTIF(Campaigns!$A$7:$A$300,B5305)&gt;0,"✓","⚠ add to Campaigns tab"))</f>
        <v/>
      </c>
      <c r="I5305" s="84" t="str">
        <f aca="false">IF(C5305="","",C5305*IF(Settings!$B$23=Settings!$C$6,1,IF(Settings!$B$23="USD",1/INDEX(Settings!$B$29:$B$40,MONTH(A5305)),INDEX(Settings!$B$29:$B$40,MONTH(A5305)))))</f>
        <v/>
      </c>
    </row>
    <row r="5306" customFormat="false" ht="15" hidden="false" customHeight="false" outlineLevel="0" collapsed="false">
      <c r="H5306" s="0" t="str">
        <f aca="false">IF(B5306="","",IF(COUNTIF(Campaigns!$A$7:$A$300,B5306)&gt;0,"✓","⚠ add to Campaigns tab"))</f>
        <v/>
      </c>
      <c r="I5306" s="84" t="str">
        <f aca="false">IF(C5306="","",C5306*IF(Settings!$B$23=Settings!$C$6,1,IF(Settings!$B$23="USD",1/INDEX(Settings!$B$29:$B$40,MONTH(A5306)),INDEX(Settings!$B$29:$B$40,MONTH(A5306)))))</f>
        <v/>
      </c>
    </row>
    <row r="5307" customFormat="false" ht="15" hidden="false" customHeight="false" outlineLevel="0" collapsed="false">
      <c r="H5307" s="0" t="str">
        <f aca="false">IF(B5307="","",IF(COUNTIF(Campaigns!$A$7:$A$300,B5307)&gt;0,"✓","⚠ add to Campaigns tab"))</f>
        <v/>
      </c>
      <c r="I5307" s="84" t="str">
        <f aca="false">IF(C5307="","",C5307*IF(Settings!$B$23=Settings!$C$6,1,IF(Settings!$B$23="USD",1/INDEX(Settings!$B$29:$B$40,MONTH(A5307)),INDEX(Settings!$B$29:$B$40,MONTH(A5307)))))</f>
        <v/>
      </c>
    </row>
    <row r="5308" customFormat="false" ht="15" hidden="false" customHeight="false" outlineLevel="0" collapsed="false">
      <c r="H5308" s="0" t="str">
        <f aca="false">IF(B5308="","",IF(COUNTIF(Campaigns!$A$7:$A$300,B5308)&gt;0,"✓","⚠ add to Campaigns tab"))</f>
        <v/>
      </c>
      <c r="I5308" s="84" t="str">
        <f aca="false">IF(C5308="","",C5308*IF(Settings!$B$23=Settings!$C$6,1,IF(Settings!$B$23="USD",1/INDEX(Settings!$B$29:$B$40,MONTH(A5308)),INDEX(Settings!$B$29:$B$40,MONTH(A5308)))))</f>
        <v/>
      </c>
    </row>
    <row r="5309" customFormat="false" ht="15" hidden="false" customHeight="false" outlineLevel="0" collapsed="false">
      <c r="H5309" s="0" t="str">
        <f aca="false">IF(B5309="","",IF(COUNTIF(Campaigns!$A$7:$A$300,B5309)&gt;0,"✓","⚠ add to Campaigns tab"))</f>
        <v/>
      </c>
      <c r="I5309" s="84" t="str">
        <f aca="false">IF(C5309="","",C5309*IF(Settings!$B$23=Settings!$C$6,1,IF(Settings!$B$23="USD",1/INDEX(Settings!$B$29:$B$40,MONTH(A5309)),INDEX(Settings!$B$29:$B$40,MONTH(A5309)))))</f>
        <v/>
      </c>
    </row>
    <row r="5310" customFormat="false" ht="15" hidden="false" customHeight="false" outlineLevel="0" collapsed="false">
      <c r="H5310" s="0" t="str">
        <f aca="false">IF(B5310="","",IF(COUNTIF(Campaigns!$A$7:$A$300,B5310)&gt;0,"✓","⚠ add to Campaigns tab"))</f>
        <v/>
      </c>
      <c r="I5310" s="84" t="str">
        <f aca="false">IF(C5310="","",C5310*IF(Settings!$B$23=Settings!$C$6,1,IF(Settings!$B$23="USD",1/INDEX(Settings!$B$29:$B$40,MONTH(A5310)),INDEX(Settings!$B$29:$B$40,MONTH(A5310)))))</f>
        <v/>
      </c>
    </row>
    <row r="5311" customFormat="false" ht="15" hidden="false" customHeight="false" outlineLevel="0" collapsed="false">
      <c r="H5311" s="0" t="str">
        <f aca="false">IF(B5311="","",IF(COUNTIF(Campaigns!$A$7:$A$300,B5311)&gt;0,"✓","⚠ add to Campaigns tab"))</f>
        <v/>
      </c>
      <c r="I5311" s="84" t="str">
        <f aca="false">IF(C5311="","",C5311*IF(Settings!$B$23=Settings!$C$6,1,IF(Settings!$B$23="USD",1/INDEX(Settings!$B$29:$B$40,MONTH(A5311)),INDEX(Settings!$B$29:$B$40,MONTH(A5311)))))</f>
        <v/>
      </c>
    </row>
    <row r="5312" customFormat="false" ht="15" hidden="false" customHeight="false" outlineLevel="0" collapsed="false">
      <c r="H5312" s="0" t="str">
        <f aca="false">IF(B5312="","",IF(COUNTIF(Campaigns!$A$7:$A$300,B5312)&gt;0,"✓","⚠ add to Campaigns tab"))</f>
        <v/>
      </c>
      <c r="I5312" s="84" t="str">
        <f aca="false">IF(C5312="","",C5312*IF(Settings!$B$23=Settings!$C$6,1,IF(Settings!$B$23="USD",1/INDEX(Settings!$B$29:$B$40,MONTH(A5312)),INDEX(Settings!$B$29:$B$40,MONTH(A5312)))))</f>
        <v/>
      </c>
    </row>
    <row r="5313" customFormat="false" ht="15" hidden="false" customHeight="false" outlineLevel="0" collapsed="false">
      <c r="H5313" s="0" t="str">
        <f aca="false">IF(B5313="","",IF(COUNTIF(Campaigns!$A$7:$A$300,B5313)&gt;0,"✓","⚠ add to Campaigns tab"))</f>
        <v/>
      </c>
      <c r="I5313" s="84" t="str">
        <f aca="false">IF(C5313="","",C5313*IF(Settings!$B$23=Settings!$C$6,1,IF(Settings!$B$23="USD",1/INDEX(Settings!$B$29:$B$40,MONTH(A5313)),INDEX(Settings!$B$29:$B$40,MONTH(A5313)))))</f>
        <v/>
      </c>
    </row>
    <row r="5314" customFormat="false" ht="15" hidden="false" customHeight="false" outlineLevel="0" collapsed="false">
      <c r="H5314" s="0" t="str">
        <f aca="false">IF(B5314="","",IF(COUNTIF(Campaigns!$A$7:$A$300,B5314)&gt;0,"✓","⚠ add to Campaigns tab"))</f>
        <v/>
      </c>
      <c r="I5314" s="84" t="str">
        <f aca="false">IF(C5314="","",C5314*IF(Settings!$B$23=Settings!$C$6,1,IF(Settings!$B$23="USD",1/INDEX(Settings!$B$29:$B$40,MONTH(A5314)),INDEX(Settings!$B$29:$B$40,MONTH(A5314)))))</f>
        <v/>
      </c>
    </row>
    <row r="5315" customFormat="false" ht="15" hidden="false" customHeight="false" outlineLevel="0" collapsed="false">
      <c r="H5315" s="0" t="str">
        <f aca="false">IF(B5315="","",IF(COUNTIF(Campaigns!$A$7:$A$300,B5315)&gt;0,"✓","⚠ add to Campaigns tab"))</f>
        <v/>
      </c>
      <c r="I5315" s="84" t="str">
        <f aca="false">IF(C5315="","",C5315*IF(Settings!$B$23=Settings!$C$6,1,IF(Settings!$B$23="USD",1/INDEX(Settings!$B$29:$B$40,MONTH(A5315)),INDEX(Settings!$B$29:$B$40,MONTH(A5315)))))</f>
        <v/>
      </c>
    </row>
    <row r="5316" customFormat="false" ht="15" hidden="false" customHeight="false" outlineLevel="0" collapsed="false">
      <c r="H5316" s="0" t="str">
        <f aca="false">IF(B5316="","",IF(COUNTIF(Campaigns!$A$7:$A$300,B5316)&gt;0,"✓","⚠ add to Campaigns tab"))</f>
        <v/>
      </c>
      <c r="I5316" s="84" t="str">
        <f aca="false">IF(C5316="","",C5316*IF(Settings!$B$23=Settings!$C$6,1,IF(Settings!$B$23="USD",1/INDEX(Settings!$B$29:$B$40,MONTH(A5316)),INDEX(Settings!$B$29:$B$40,MONTH(A5316)))))</f>
        <v/>
      </c>
    </row>
    <row r="5317" customFormat="false" ht="15" hidden="false" customHeight="false" outlineLevel="0" collapsed="false">
      <c r="H5317" s="0" t="str">
        <f aca="false">IF(B5317="","",IF(COUNTIF(Campaigns!$A$7:$A$300,B5317)&gt;0,"✓","⚠ add to Campaigns tab"))</f>
        <v/>
      </c>
      <c r="I5317" s="84" t="str">
        <f aca="false">IF(C5317="","",C5317*IF(Settings!$B$23=Settings!$C$6,1,IF(Settings!$B$23="USD",1/INDEX(Settings!$B$29:$B$40,MONTH(A5317)),INDEX(Settings!$B$29:$B$40,MONTH(A5317)))))</f>
        <v/>
      </c>
    </row>
    <row r="5318" customFormat="false" ht="15" hidden="false" customHeight="false" outlineLevel="0" collapsed="false">
      <c r="H5318" s="0" t="str">
        <f aca="false">IF(B5318="","",IF(COUNTIF(Campaigns!$A$7:$A$300,B5318)&gt;0,"✓","⚠ add to Campaigns tab"))</f>
        <v/>
      </c>
      <c r="I5318" s="84" t="str">
        <f aca="false">IF(C5318="","",C5318*IF(Settings!$B$23=Settings!$C$6,1,IF(Settings!$B$23="USD",1/INDEX(Settings!$B$29:$B$40,MONTH(A5318)),INDEX(Settings!$B$29:$B$40,MONTH(A5318)))))</f>
        <v/>
      </c>
    </row>
    <row r="5319" customFormat="false" ht="15" hidden="false" customHeight="false" outlineLevel="0" collapsed="false">
      <c r="H5319" s="0" t="str">
        <f aca="false">IF(B5319="","",IF(COUNTIF(Campaigns!$A$7:$A$300,B5319)&gt;0,"✓","⚠ add to Campaigns tab"))</f>
        <v/>
      </c>
      <c r="I5319" s="84" t="str">
        <f aca="false">IF(C5319="","",C5319*IF(Settings!$B$23=Settings!$C$6,1,IF(Settings!$B$23="USD",1/INDEX(Settings!$B$29:$B$40,MONTH(A5319)),INDEX(Settings!$B$29:$B$40,MONTH(A5319)))))</f>
        <v/>
      </c>
    </row>
    <row r="5320" customFormat="false" ht="15" hidden="false" customHeight="false" outlineLevel="0" collapsed="false">
      <c r="H5320" s="0" t="str">
        <f aca="false">IF(B5320="","",IF(COUNTIF(Campaigns!$A$7:$A$300,B5320)&gt;0,"✓","⚠ add to Campaigns tab"))</f>
        <v/>
      </c>
      <c r="I5320" s="84" t="str">
        <f aca="false">IF(C5320="","",C5320*IF(Settings!$B$23=Settings!$C$6,1,IF(Settings!$B$23="USD",1/INDEX(Settings!$B$29:$B$40,MONTH(A5320)),INDEX(Settings!$B$29:$B$40,MONTH(A5320)))))</f>
        <v/>
      </c>
    </row>
    <row r="5321" customFormat="false" ht="15" hidden="false" customHeight="false" outlineLevel="0" collapsed="false">
      <c r="H5321" s="0" t="str">
        <f aca="false">IF(B5321="","",IF(COUNTIF(Campaigns!$A$7:$A$300,B5321)&gt;0,"✓","⚠ add to Campaigns tab"))</f>
        <v/>
      </c>
      <c r="I5321" s="84" t="str">
        <f aca="false">IF(C5321="","",C5321*IF(Settings!$B$23=Settings!$C$6,1,IF(Settings!$B$23="USD",1/INDEX(Settings!$B$29:$B$40,MONTH(A5321)),INDEX(Settings!$B$29:$B$40,MONTH(A5321)))))</f>
        <v/>
      </c>
    </row>
    <row r="5322" customFormat="false" ht="15" hidden="false" customHeight="false" outlineLevel="0" collapsed="false">
      <c r="H5322" s="0" t="str">
        <f aca="false">IF(B5322="","",IF(COUNTIF(Campaigns!$A$7:$A$300,B5322)&gt;0,"✓","⚠ add to Campaigns tab"))</f>
        <v/>
      </c>
      <c r="I5322" s="84" t="str">
        <f aca="false">IF(C5322="","",C5322*IF(Settings!$B$23=Settings!$C$6,1,IF(Settings!$B$23="USD",1/INDEX(Settings!$B$29:$B$40,MONTH(A5322)),INDEX(Settings!$B$29:$B$40,MONTH(A5322)))))</f>
        <v/>
      </c>
    </row>
    <row r="5323" customFormat="false" ht="15" hidden="false" customHeight="false" outlineLevel="0" collapsed="false">
      <c r="H5323" s="0" t="str">
        <f aca="false">IF(B5323="","",IF(COUNTIF(Campaigns!$A$7:$A$300,B5323)&gt;0,"✓","⚠ add to Campaigns tab"))</f>
        <v/>
      </c>
      <c r="I5323" s="84" t="str">
        <f aca="false">IF(C5323="","",C5323*IF(Settings!$B$23=Settings!$C$6,1,IF(Settings!$B$23="USD",1/INDEX(Settings!$B$29:$B$40,MONTH(A5323)),INDEX(Settings!$B$29:$B$40,MONTH(A5323)))))</f>
        <v/>
      </c>
    </row>
    <row r="5324" customFormat="false" ht="15" hidden="false" customHeight="false" outlineLevel="0" collapsed="false">
      <c r="H5324" s="0" t="str">
        <f aca="false">IF(B5324="","",IF(COUNTIF(Campaigns!$A$7:$A$300,B5324)&gt;0,"✓","⚠ add to Campaigns tab"))</f>
        <v/>
      </c>
      <c r="I5324" s="84" t="str">
        <f aca="false">IF(C5324="","",C5324*IF(Settings!$B$23=Settings!$C$6,1,IF(Settings!$B$23="USD",1/INDEX(Settings!$B$29:$B$40,MONTH(A5324)),INDEX(Settings!$B$29:$B$40,MONTH(A5324)))))</f>
        <v/>
      </c>
    </row>
    <row r="5325" customFormat="false" ht="15" hidden="false" customHeight="false" outlineLevel="0" collapsed="false">
      <c r="H5325" s="0" t="str">
        <f aca="false">IF(B5325="","",IF(COUNTIF(Campaigns!$A$7:$A$300,B5325)&gt;0,"✓","⚠ add to Campaigns tab"))</f>
        <v/>
      </c>
      <c r="I5325" s="84" t="str">
        <f aca="false">IF(C5325="","",C5325*IF(Settings!$B$23=Settings!$C$6,1,IF(Settings!$B$23="USD",1/INDEX(Settings!$B$29:$B$40,MONTH(A5325)),INDEX(Settings!$B$29:$B$40,MONTH(A5325)))))</f>
        <v/>
      </c>
    </row>
    <row r="5326" customFormat="false" ht="15" hidden="false" customHeight="false" outlineLevel="0" collapsed="false">
      <c r="H5326" s="0" t="str">
        <f aca="false">IF(B5326="","",IF(COUNTIF(Campaigns!$A$7:$A$300,B5326)&gt;0,"✓","⚠ add to Campaigns tab"))</f>
        <v/>
      </c>
      <c r="I5326" s="84" t="str">
        <f aca="false">IF(C5326="","",C5326*IF(Settings!$B$23=Settings!$C$6,1,IF(Settings!$B$23="USD",1/INDEX(Settings!$B$29:$B$40,MONTH(A5326)),INDEX(Settings!$B$29:$B$40,MONTH(A5326)))))</f>
        <v/>
      </c>
    </row>
    <row r="5327" customFormat="false" ht="15" hidden="false" customHeight="false" outlineLevel="0" collapsed="false">
      <c r="H5327" s="0" t="str">
        <f aca="false">IF(B5327="","",IF(COUNTIF(Campaigns!$A$7:$A$300,B5327)&gt;0,"✓","⚠ add to Campaigns tab"))</f>
        <v/>
      </c>
      <c r="I5327" s="84" t="str">
        <f aca="false">IF(C5327="","",C5327*IF(Settings!$B$23=Settings!$C$6,1,IF(Settings!$B$23="USD",1/INDEX(Settings!$B$29:$B$40,MONTH(A5327)),INDEX(Settings!$B$29:$B$40,MONTH(A5327)))))</f>
        <v/>
      </c>
    </row>
    <row r="5328" customFormat="false" ht="15" hidden="false" customHeight="false" outlineLevel="0" collapsed="false">
      <c r="H5328" s="0" t="str">
        <f aca="false">IF(B5328="","",IF(COUNTIF(Campaigns!$A$7:$A$300,B5328)&gt;0,"✓","⚠ add to Campaigns tab"))</f>
        <v/>
      </c>
      <c r="I5328" s="84" t="str">
        <f aca="false">IF(C5328="","",C5328*IF(Settings!$B$23=Settings!$C$6,1,IF(Settings!$B$23="USD",1/INDEX(Settings!$B$29:$B$40,MONTH(A5328)),INDEX(Settings!$B$29:$B$40,MONTH(A5328)))))</f>
        <v/>
      </c>
    </row>
    <row r="5329" customFormat="false" ht="15" hidden="false" customHeight="false" outlineLevel="0" collapsed="false">
      <c r="H5329" s="0" t="str">
        <f aca="false">IF(B5329="","",IF(COUNTIF(Campaigns!$A$7:$A$300,B5329)&gt;0,"✓","⚠ add to Campaigns tab"))</f>
        <v/>
      </c>
      <c r="I5329" s="84" t="str">
        <f aca="false">IF(C5329="","",C5329*IF(Settings!$B$23=Settings!$C$6,1,IF(Settings!$B$23="USD",1/INDEX(Settings!$B$29:$B$40,MONTH(A5329)),INDEX(Settings!$B$29:$B$40,MONTH(A5329)))))</f>
        <v/>
      </c>
    </row>
    <row r="5330" customFormat="false" ht="15" hidden="false" customHeight="false" outlineLevel="0" collapsed="false">
      <c r="H5330" s="0" t="str">
        <f aca="false">IF(B5330="","",IF(COUNTIF(Campaigns!$A$7:$A$300,B5330)&gt;0,"✓","⚠ add to Campaigns tab"))</f>
        <v/>
      </c>
      <c r="I5330" s="84" t="str">
        <f aca="false">IF(C5330="","",C5330*IF(Settings!$B$23=Settings!$C$6,1,IF(Settings!$B$23="USD",1/INDEX(Settings!$B$29:$B$40,MONTH(A5330)),INDEX(Settings!$B$29:$B$40,MONTH(A5330)))))</f>
        <v/>
      </c>
    </row>
    <row r="5331" customFormat="false" ht="15" hidden="false" customHeight="false" outlineLevel="0" collapsed="false">
      <c r="H5331" s="0" t="str">
        <f aca="false">IF(B5331="","",IF(COUNTIF(Campaigns!$A$7:$A$300,B5331)&gt;0,"✓","⚠ add to Campaigns tab"))</f>
        <v/>
      </c>
      <c r="I5331" s="84" t="str">
        <f aca="false">IF(C5331="","",C5331*IF(Settings!$B$23=Settings!$C$6,1,IF(Settings!$B$23="USD",1/INDEX(Settings!$B$29:$B$40,MONTH(A5331)),INDEX(Settings!$B$29:$B$40,MONTH(A5331)))))</f>
        <v/>
      </c>
    </row>
    <row r="5332" customFormat="false" ht="15" hidden="false" customHeight="false" outlineLevel="0" collapsed="false">
      <c r="H5332" s="0" t="str">
        <f aca="false">IF(B5332="","",IF(COUNTIF(Campaigns!$A$7:$A$300,B5332)&gt;0,"✓","⚠ add to Campaigns tab"))</f>
        <v/>
      </c>
      <c r="I5332" s="84" t="str">
        <f aca="false">IF(C5332="","",C5332*IF(Settings!$B$23=Settings!$C$6,1,IF(Settings!$B$23="USD",1/INDEX(Settings!$B$29:$B$40,MONTH(A5332)),INDEX(Settings!$B$29:$B$40,MONTH(A5332)))))</f>
        <v/>
      </c>
    </row>
    <row r="5333" customFormat="false" ht="15" hidden="false" customHeight="false" outlineLevel="0" collapsed="false">
      <c r="H5333" s="0" t="str">
        <f aca="false">IF(B5333="","",IF(COUNTIF(Campaigns!$A$7:$A$300,B5333)&gt;0,"✓","⚠ add to Campaigns tab"))</f>
        <v/>
      </c>
      <c r="I5333" s="84" t="str">
        <f aca="false">IF(C5333="","",C5333*IF(Settings!$B$23=Settings!$C$6,1,IF(Settings!$B$23="USD",1/INDEX(Settings!$B$29:$B$40,MONTH(A5333)),INDEX(Settings!$B$29:$B$40,MONTH(A5333)))))</f>
        <v/>
      </c>
    </row>
    <row r="5334" customFormat="false" ht="15" hidden="false" customHeight="false" outlineLevel="0" collapsed="false">
      <c r="H5334" s="0" t="str">
        <f aca="false">IF(B5334="","",IF(COUNTIF(Campaigns!$A$7:$A$300,B5334)&gt;0,"✓","⚠ add to Campaigns tab"))</f>
        <v/>
      </c>
      <c r="I5334" s="84" t="str">
        <f aca="false">IF(C5334="","",C5334*IF(Settings!$B$23=Settings!$C$6,1,IF(Settings!$B$23="USD",1/INDEX(Settings!$B$29:$B$40,MONTH(A5334)),INDEX(Settings!$B$29:$B$40,MONTH(A5334)))))</f>
        <v/>
      </c>
    </row>
    <row r="5335" customFormat="false" ht="15" hidden="false" customHeight="false" outlineLevel="0" collapsed="false">
      <c r="H5335" s="0" t="str">
        <f aca="false">IF(B5335="","",IF(COUNTIF(Campaigns!$A$7:$A$300,B5335)&gt;0,"✓","⚠ add to Campaigns tab"))</f>
        <v/>
      </c>
      <c r="I5335" s="84" t="str">
        <f aca="false">IF(C5335="","",C5335*IF(Settings!$B$23=Settings!$C$6,1,IF(Settings!$B$23="USD",1/INDEX(Settings!$B$29:$B$40,MONTH(A5335)),INDEX(Settings!$B$29:$B$40,MONTH(A5335)))))</f>
        <v/>
      </c>
    </row>
    <row r="5336" customFormat="false" ht="15" hidden="false" customHeight="false" outlineLevel="0" collapsed="false">
      <c r="H5336" s="0" t="str">
        <f aca="false">IF(B5336="","",IF(COUNTIF(Campaigns!$A$7:$A$300,B5336)&gt;0,"✓","⚠ add to Campaigns tab"))</f>
        <v/>
      </c>
      <c r="I5336" s="84" t="str">
        <f aca="false">IF(C5336="","",C5336*IF(Settings!$B$23=Settings!$C$6,1,IF(Settings!$B$23="USD",1/INDEX(Settings!$B$29:$B$40,MONTH(A5336)),INDEX(Settings!$B$29:$B$40,MONTH(A5336)))))</f>
        <v/>
      </c>
    </row>
    <row r="5337" customFormat="false" ht="15" hidden="false" customHeight="false" outlineLevel="0" collapsed="false">
      <c r="H5337" s="0" t="str">
        <f aca="false">IF(B5337="","",IF(COUNTIF(Campaigns!$A$7:$A$300,B5337)&gt;0,"✓","⚠ add to Campaigns tab"))</f>
        <v/>
      </c>
      <c r="I5337" s="84" t="str">
        <f aca="false">IF(C5337="","",C5337*IF(Settings!$B$23=Settings!$C$6,1,IF(Settings!$B$23="USD",1/INDEX(Settings!$B$29:$B$40,MONTH(A5337)),INDEX(Settings!$B$29:$B$40,MONTH(A5337)))))</f>
        <v/>
      </c>
    </row>
    <row r="5338" customFormat="false" ht="15" hidden="false" customHeight="false" outlineLevel="0" collapsed="false">
      <c r="H5338" s="0" t="str">
        <f aca="false">IF(B5338="","",IF(COUNTIF(Campaigns!$A$7:$A$300,B5338)&gt;0,"✓","⚠ add to Campaigns tab"))</f>
        <v/>
      </c>
      <c r="I5338" s="84" t="str">
        <f aca="false">IF(C5338="","",C5338*IF(Settings!$B$23=Settings!$C$6,1,IF(Settings!$B$23="USD",1/INDEX(Settings!$B$29:$B$40,MONTH(A5338)),INDEX(Settings!$B$29:$B$40,MONTH(A5338)))))</f>
        <v/>
      </c>
    </row>
    <row r="5339" customFormat="false" ht="15" hidden="false" customHeight="false" outlineLevel="0" collapsed="false">
      <c r="H5339" s="0" t="str">
        <f aca="false">IF(B5339="","",IF(COUNTIF(Campaigns!$A$7:$A$300,B5339)&gt;0,"✓","⚠ add to Campaigns tab"))</f>
        <v/>
      </c>
      <c r="I5339" s="84" t="str">
        <f aca="false">IF(C5339="","",C5339*IF(Settings!$B$23=Settings!$C$6,1,IF(Settings!$B$23="USD",1/INDEX(Settings!$B$29:$B$40,MONTH(A5339)),INDEX(Settings!$B$29:$B$40,MONTH(A5339)))))</f>
        <v/>
      </c>
    </row>
    <row r="5340" customFormat="false" ht="15" hidden="false" customHeight="false" outlineLevel="0" collapsed="false">
      <c r="H5340" s="0" t="str">
        <f aca="false">IF(B5340="","",IF(COUNTIF(Campaigns!$A$7:$A$300,B5340)&gt;0,"✓","⚠ add to Campaigns tab"))</f>
        <v/>
      </c>
      <c r="I5340" s="84" t="str">
        <f aca="false">IF(C5340="","",C5340*IF(Settings!$B$23=Settings!$C$6,1,IF(Settings!$B$23="USD",1/INDEX(Settings!$B$29:$B$40,MONTH(A5340)),INDEX(Settings!$B$29:$B$40,MONTH(A5340)))))</f>
        <v/>
      </c>
    </row>
    <row r="5341" customFormat="false" ht="15" hidden="false" customHeight="false" outlineLevel="0" collapsed="false">
      <c r="H5341" s="0" t="str">
        <f aca="false">IF(B5341="","",IF(COUNTIF(Campaigns!$A$7:$A$300,B5341)&gt;0,"✓","⚠ add to Campaigns tab"))</f>
        <v/>
      </c>
      <c r="I5341" s="84" t="str">
        <f aca="false">IF(C5341="","",C5341*IF(Settings!$B$23=Settings!$C$6,1,IF(Settings!$B$23="USD",1/INDEX(Settings!$B$29:$B$40,MONTH(A5341)),INDEX(Settings!$B$29:$B$40,MONTH(A5341)))))</f>
        <v/>
      </c>
    </row>
    <row r="5342" customFormat="false" ht="15" hidden="false" customHeight="false" outlineLevel="0" collapsed="false">
      <c r="H5342" s="0" t="str">
        <f aca="false">IF(B5342="","",IF(COUNTIF(Campaigns!$A$7:$A$300,B5342)&gt;0,"✓","⚠ add to Campaigns tab"))</f>
        <v/>
      </c>
      <c r="I5342" s="84" t="str">
        <f aca="false">IF(C5342="","",C5342*IF(Settings!$B$23=Settings!$C$6,1,IF(Settings!$B$23="USD",1/INDEX(Settings!$B$29:$B$40,MONTH(A5342)),INDEX(Settings!$B$29:$B$40,MONTH(A5342)))))</f>
        <v/>
      </c>
    </row>
    <row r="5343" customFormat="false" ht="15" hidden="false" customHeight="false" outlineLevel="0" collapsed="false">
      <c r="H5343" s="0" t="str">
        <f aca="false">IF(B5343="","",IF(COUNTIF(Campaigns!$A$7:$A$300,B5343)&gt;0,"✓","⚠ add to Campaigns tab"))</f>
        <v/>
      </c>
      <c r="I5343" s="84" t="str">
        <f aca="false">IF(C5343="","",C5343*IF(Settings!$B$23=Settings!$C$6,1,IF(Settings!$B$23="USD",1/INDEX(Settings!$B$29:$B$40,MONTH(A5343)),INDEX(Settings!$B$29:$B$40,MONTH(A5343)))))</f>
        <v/>
      </c>
    </row>
    <row r="5344" customFormat="false" ht="15" hidden="false" customHeight="false" outlineLevel="0" collapsed="false">
      <c r="H5344" s="0" t="str">
        <f aca="false">IF(B5344="","",IF(COUNTIF(Campaigns!$A$7:$A$300,B5344)&gt;0,"✓","⚠ add to Campaigns tab"))</f>
        <v/>
      </c>
      <c r="I5344" s="84" t="str">
        <f aca="false">IF(C5344="","",C5344*IF(Settings!$B$23=Settings!$C$6,1,IF(Settings!$B$23="USD",1/INDEX(Settings!$B$29:$B$40,MONTH(A5344)),INDEX(Settings!$B$29:$B$40,MONTH(A5344)))))</f>
        <v/>
      </c>
    </row>
    <row r="5345" customFormat="false" ht="15" hidden="false" customHeight="false" outlineLevel="0" collapsed="false">
      <c r="H5345" s="0" t="str">
        <f aca="false">IF(B5345="","",IF(COUNTIF(Campaigns!$A$7:$A$300,B5345)&gt;0,"✓","⚠ add to Campaigns tab"))</f>
        <v/>
      </c>
      <c r="I5345" s="84" t="str">
        <f aca="false">IF(C5345="","",C5345*IF(Settings!$B$23=Settings!$C$6,1,IF(Settings!$B$23="USD",1/INDEX(Settings!$B$29:$B$40,MONTH(A5345)),INDEX(Settings!$B$29:$B$40,MONTH(A5345)))))</f>
        <v/>
      </c>
    </row>
    <row r="5346" customFormat="false" ht="15" hidden="false" customHeight="false" outlineLevel="0" collapsed="false">
      <c r="H5346" s="0" t="str">
        <f aca="false">IF(B5346="","",IF(COUNTIF(Campaigns!$A$7:$A$300,B5346)&gt;0,"✓","⚠ add to Campaigns tab"))</f>
        <v/>
      </c>
      <c r="I5346" s="84" t="str">
        <f aca="false">IF(C5346="","",C5346*IF(Settings!$B$23=Settings!$C$6,1,IF(Settings!$B$23="USD",1/INDEX(Settings!$B$29:$B$40,MONTH(A5346)),INDEX(Settings!$B$29:$B$40,MONTH(A5346)))))</f>
        <v/>
      </c>
    </row>
    <row r="5347" customFormat="false" ht="15" hidden="false" customHeight="false" outlineLevel="0" collapsed="false">
      <c r="H5347" s="0" t="str">
        <f aca="false">IF(B5347="","",IF(COUNTIF(Campaigns!$A$7:$A$300,B5347)&gt;0,"✓","⚠ add to Campaigns tab"))</f>
        <v/>
      </c>
      <c r="I5347" s="84" t="str">
        <f aca="false">IF(C5347="","",C5347*IF(Settings!$B$23=Settings!$C$6,1,IF(Settings!$B$23="USD",1/INDEX(Settings!$B$29:$B$40,MONTH(A5347)),INDEX(Settings!$B$29:$B$40,MONTH(A5347)))))</f>
        <v/>
      </c>
    </row>
    <row r="5348" customFormat="false" ht="15" hidden="false" customHeight="false" outlineLevel="0" collapsed="false">
      <c r="H5348" s="0" t="str">
        <f aca="false">IF(B5348="","",IF(COUNTIF(Campaigns!$A$7:$A$300,B5348)&gt;0,"✓","⚠ add to Campaigns tab"))</f>
        <v/>
      </c>
      <c r="I5348" s="84" t="str">
        <f aca="false">IF(C5348="","",C5348*IF(Settings!$B$23=Settings!$C$6,1,IF(Settings!$B$23="USD",1/INDEX(Settings!$B$29:$B$40,MONTH(A5348)),INDEX(Settings!$B$29:$B$40,MONTH(A5348)))))</f>
        <v/>
      </c>
    </row>
    <row r="5349" customFormat="false" ht="15" hidden="false" customHeight="false" outlineLevel="0" collapsed="false">
      <c r="H5349" s="0" t="str">
        <f aca="false">IF(B5349="","",IF(COUNTIF(Campaigns!$A$7:$A$300,B5349)&gt;0,"✓","⚠ add to Campaigns tab"))</f>
        <v/>
      </c>
      <c r="I5349" s="84" t="str">
        <f aca="false">IF(C5349="","",C5349*IF(Settings!$B$23=Settings!$C$6,1,IF(Settings!$B$23="USD",1/INDEX(Settings!$B$29:$B$40,MONTH(A5349)),INDEX(Settings!$B$29:$B$40,MONTH(A5349)))))</f>
        <v/>
      </c>
    </row>
    <row r="5350" customFormat="false" ht="15" hidden="false" customHeight="false" outlineLevel="0" collapsed="false">
      <c r="H5350" s="0" t="str">
        <f aca="false">IF(B5350="","",IF(COUNTIF(Campaigns!$A$7:$A$300,B5350)&gt;0,"✓","⚠ add to Campaigns tab"))</f>
        <v/>
      </c>
      <c r="I5350" s="84" t="str">
        <f aca="false">IF(C5350="","",C5350*IF(Settings!$B$23=Settings!$C$6,1,IF(Settings!$B$23="USD",1/INDEX(Settings!$B$29:$B$40,MONTH(A5350)),INDEX(Settings!$B$29:$B$40,MONTH(A5350)))))</f>
        <v/>
      </c>
    </row>
    <row r="5351" customFormat="false" ht="15" hidden="false" customHeight="false" outlineLevel="0" collapsed="false">
      <c r="H5351" s="0" t="str">
        <f aca="false">IF(B5351="","",IF(COUNTIF(Campaigns!$A$7:$A$300,B5351)&gt;0,"✓","⚠ add to Campaigns tab"))</f>
        <v/>
      </c>
      <c r="I5351" s="84" t="str">
        <f aca="false">IF(C5351="","",C5351*IF(Settings!$B$23=Settings!$C$6,1,IF(Settings!$B$23="USD",1/INDEX(Settings!$B$29:$B$40,MONTH(A5351)),INDEX(Settings!$B$29:$B$40,MONTH(A5351)))))</f>
        <v/>
      </c>
    </row>
    <row r="5352" customFormat="false" ht="15" hidden="false" customHeight="false" outlineLevel="0" collapsed="false">
      <c r="H5352" s="0" t="str">
        <f aca="false">IF(B5352="","",IF(COUNTIF(Campaigns!$A$7:$A$300,B5352)&gt;0,"✓","⚠ add to Campaigns tab"))</f>
        <v/>
      </c>
      <c r="I5352" s="84" t="str">
        <f aca="false">IF(C5352="","",C5352*IF(Settings!$B$23=Settings!$C$6,1,IF(Settings!$B$23="USD",1/INDEX(Settings!$B$29:$B$40,MONTH(A5352)),INDEX(Settings!$B$29:$B$40,MONTH(A5352)))))</f>
        <v/>
      </c>
    </row>
    <row r="5353" customFormat="false" ht="15" hidden="false" customHeight="false" outlineLevel="0" collapsed="false">
      <c r="H5353" s="0" t="str">
        <f aca="false">IF(B5353="","",IF(COUNTIF(Campaigns!$A$7:$A$300,B5353)&gt;0,"✓","⚠ add to Campaigns tab"))</f>
        <v/>
      </c>
      <c r="I5353" s="84" t="str">
        <f aca="false">IF(C5353="","",C5353*IF(Settings!$B$23=Settings!$C$6,1,IF(Settings!$B$23="USD",1/INDEX(Settings!$B$29:$B$40,MONTH(A5353)),INDEX(Settings!$B$29:$B$40,MONTH(A5353)))))</f>
        <v/>
      </c>
    </row>
    <row r="5354" customFormat="false" ht="15" hidden="false" customHeight="false" outlineLevel="0" collapsed="false">
      <c r="H5354" s="0" t="str">
        <f aca="false">IF(B5354="","",IF(COUNTIF(Campaigns!$A$7:$A$300,B5354)&gt;0,"✓","⚠ add to Campaigns tab"))</f>
        <v/>
      </c>
      <c r="I5354" s="84" t="str">
        <f aca="false">IF(C5354="","",C5354*IF(Settings!$B$23=Settings!$C$6,1,IF(Settings!$B$23="USD",1/INDEX(Settings!$B$29:$B$40,MONTH(A5354)),INDEX(Settings!$B$29:$B$40,MONTH(A5354)))))</f>
        <v/>
      </c>
    </row>
    <row r="5355" customFormat="false" ht="15" hidden="false" customHeight="false" outlineLevel="0" collapsed="false">
      <c r="H5355" s="0" t="str">
        <f aca="false">IF(B5355="","",IF(COUNTIF(Campaigns!$A$7:$A$300,B5355)&gt;0,"✓","⚠ add to Campaigns tab"))</f>
        <v/>
      </c>
      <c r="I5355" s="84" t="str">
        <f aca="false">IF(C5355="","",C5355*IF(Settings!$B$23=Settings!$C$6,1,IF(Settings!$B$23="USD",1/INDEX(Settings!$B$29:$B$40,MONTH(A5355)),INDEX(Settings!$B$29:$B$40,MONTH(A5355)))))</f>
        <v/>
      </c>
    </row>
    <row r="5356" customFormat="false" ht="15" hidden="false" customHeight="false" outlineLevel="0" collapsed="false">
      <c r="H5356" s="0" t="str">
        <f aca="false">IF(B5356="","",IF(COUNTIF(Campaigns!$A$7:$A$300,B5356)&gt;0,"✓","⚠ add to Campaigns tab"))</f>
        <v/>
      </c>
      <c r="I5356" s="84" t="str">
        <f aca="false">IF(C5356="","",C5356*IF(Settings!$B$23=Settings!$C$6,1,IF(Settings!$B$23="USD",1/INDEX(Settings!$B$29:$B$40,MONTH(A5356)),INDEX(Settings!$B$29:$B$40,MONTH(A5356)))))</f>
        <v/>
      </c>
    </row>
    <row r="5357" customFormat="false" ht="15" hidden="false" customHeight="false" outlineLevel="0" collapsed="false">
      <c r="H5357" s="0" t="str">
        <f aca="false">IF(B5357="","",IF(COUNTIF(Campaigns!$A$7:$A$300,B5357)&gt;0,"✓","⚠ add to Campaigns tab"))</f>
        <v/>
      </c>
      <c r="I5357" s="84" t="str">
        <f aca="false">IF(C5357="","",C5357*IF(Settings!$B$23=Settings!$C$6,1,IF(Settings!$B$23="USD",1/INDEX(Settings!$B$29:$B$40,MONTH(A5357)),INDEX(Settings!$B$29:$B$40,MONTH(A5357)))))</f>
        <v/>
      </c>
    </row>
    <row r="5358" customFormat="false" ht="15" hidden="false" customHeight="false" outlineLevel="0" collapsed="false">
      <c r="H5358" s="0" t="str">
        <f aca="false">IF(B5358="","",IF(COUNTIF(Campaigns!$A$7:$A$300,B5358)&gt;0,"✓","⚠ add to Campaigns tab"))</f>
        <v/>
      </c>
      <c r="I5358" s="84" t="str">
        <f aca="false">IF(C5358="","",C5358*IF(Settings!$B$23=Settings!$C$6,1,IF(Settings!$B$23="USD",1/INDEX(Settings!$B$29:$B$40,MONTH(A5358)),INDEX(Settings!$B$29:$B$40,MONTH(A5358)))))</f>
        <v/>
      </c>
    </row>
    <row r="5359" customFormat="false" ht="15" hidden="false" customHeight="false" outlineLevel="0" collapsed="false">
      <c r="H5359" s="0" t="str">
        <f aca="false">IF(B5359="","",IF(COUNTIF(Campaigns!$A$7:$A$300,B5359)&gt;0,"✓","⚠ add to Campaigns tab"))</f>
        <v/>
      </c>
      <c r="I5359" s="84" t="str">
        <f aca="false">IF(C5359="","",C5359*IF(Settings!$B$23=Settings!$C$6,1,IF(Settings!$B$23="USD",1/INDEX(Settings!$B$29:$B$40,MONTH(A5359)),INDEX(Settings!$B$29:$B$40,MONTH(A5359)))))</f>
        <v/>
      </c>
    </row>
    <row r="5360" customFormat="false" ht="15" hidden="false" customHeight="false" outlineLevel="0" collapsed="false">
      <c r="H5360" s="0" t="str">
        <f aca="false">IF(B5360="","",IF(COUNTIF(Campaigns!$A$7:$A$300,B5360)&gt;0,"✓","⚠ add to Campaigns tab"))</f>
        <v/>
      </c>
      <c r="I5360" s="84" t="str">
        <f aca="false">IF(C5360="","",C5360*IF(Settings!$B$23=Settings!$C$6,1,IF(Settings!$B$23="USD",1/INDEX(Settings!$B$29:$B$40,MONTH(A5360)),INDEX(Settings!$B$29:$B$40,MONTH(A5360)))))</f>
        <v/>
      </c>
    </row>
    <row r="5361" customFormat="false" ht="15" hidden="false" customHeight="false" outlineLevel="0" collapsed="false">
      <c r="H5361" s="0" t="str">
        <f aca="false">IF(B5361="","",IF(COUNTIF(Campaigns!$A$7:$A$300,B5361)&gt;0,"✓","⚠ add to Campaigns tab"))</f>
        <v/>
      </c>
      <c r="I5361" s="84" t="str">
        <f aca="false">IF(C5361="","",C5361*IF(Settings!$B$23=Settings!$C$6,1,IF(Settings!$B$23="USD",1/INDEX(Settings!$B$29:$B$40,MONTH(A5361)),INDEX(Settings!$B$29:$B$40,MONTH(A5361)))))</f>
        <v/>
      </c>
    </row>
    <row r="5362" customFormat="false" ht="15" hidden="false" customHeight="false" outlineLevel="0" collapsed="false">
      <c r="H5362" s="0" t="str">
        <f aca="false">IF(B5362="","",IF(COUNTIF(Campaigns!$A$7:$A$300,B5362)&gt;0,"✓","⚠ add to Campaigns tab"))</f>
        <v/>
      </c>
      <c r="I5362" s="84" t="str">
        <f aca="false">IF(C5362="","",C5362*IF(Settings!$B$23=Settings!$C$6,1,IF(Settings!$B$23="USD",1/INDEX(Settings!$B$29:$B$40,MONTH(A5362)),INDEX(Settings!$B$29:$B$40,MONTH(A5362)))))</f>
        <v/>
      </c>
    </row>
    <row r="5363" customFormat="false" ht="15" hidden="false" customHeight="false" outlineLevel="0" collapsed="false">
      <c r="H5363" s="0" t="str">
        <f aca="false">IF(B5363="","",IF(COUNTIF(Campaigns!$A$7:$A$300,B5363)&gt;0,"✓","⚠ add to Campaigns tab"))</f>
        <v/>
      </c>
      <c r="I5363" s="84" t="str">
        <f aca="false">IF(C5363="","",C5363*IF(Settings!$B$23=Settings!$C$6,1,IF(Settings!$B$23="USD",1/INDEX(Settings!$B$29:$B$40,MONTH(A5363)),INDEX(Settings!$B$29:$B$40,MONTH(A5363)))))</f>
        <v/>
      </c>
    </row>
    <row r="5364" customFormat="false" ht="15" hidden="false" customHeight="false" outlineLevel="0" collapsed="false">
      <c r="H5364" s="0" t="str">
        <f aca="false">IF(B5364="","",IF(COUNTIF(Campaigns!$A$7:$A$300,B5364)&gt;0,"✓","⚠ add to Campaigns tab"))</f>
        <v/>
      </c>
      <c r="I5364" s="84" t="str">
        <f aca="false">IF(C5364="","",C5364*IF(Settings!$B$23=Settings!$C$6,1,IF(Settings!$B$23="USD",1/INDEX(Settings!$B$29:$B$40,MONTH(A5364)),INDEX(Settings!$B$29:$B$40,MONTH(A5364)))))</f>
        <v/>
      </c>
    </row>
    <row r="5365" customFormat="false" ht="15" hidden="false" customHeight="false" outlineLevel="0" collapsed="false">
      <c r="H5365" s="0" t="str">
        <f aca="false">IF(B5365="","",IF(COUNTIF(Campaigns!$A$7:$A$300,B5365)&gt;0,"✓","⚠ add to Campaigns tab"))</f>
        <v/>
      </c>
      <c r="I5365" s="84" t="str">
        <f aca="false">IF(C5365="","",C5365*IF(Settings!$B$23=Settings!$C$6,1,IF(Settings!$B$23="USD",1/INDEX(Settings!$B$29:$B$40,MONTH(A5365)),INDEX(Settings!$B$29:$B$40,MONTH(A5365)))))</f>
        <v/>
      </c>
    </row>
    <row r="5366" customFormat="false" ht="15" hidden="false" customHeight="false" outlineLevel="0" collapsed="false">
      <c r="H5366" s="0" t="str">
        <f aca="false">IF(B5366="","",IF(COUNTIF(Campaigns!$A$7:$A$300,B5366)&gt;0,"✓","⚠ add to Campaigns tab"))</f>
        <v/>
      </c>
      <c r="I5366" s="84" t="str">
        <f aca="false">IF(C5366="","",C5366*IF(Settings!$B$23=Settings!$C$6,1,IF(Settings!$B$23="USD",1/INDEX(Settings!$B$29:$B$40,MONTH(A5366)),INDEX(Settings!$B$29:$B$40,MONTH(A5366)))))</f>
        <v/>
      </c>
    </row>
    <row r="5367" customFormat="false" ht="15" hidden="false" customHeight="false" outlineLevel="0" collapsed="false">
      <c r="H5367" s="0" t="str">
        <f aca="false">IF(B5367="","",IF(COUNTIF(Campaigns!$A$7:$A$300,B5367)&gt;0,"✓","⚠ add to Campaigns tab"))</f>
        <v/>
      </c>
      <c r="I5367" s="84" t="str">
        <f aca="false">IF(C5367="","",C5367*IF(Settings!$B$23=Settings!$C$6,1,IF(Settings!$B$23="USD",1/INDEX(Settings!$B$29:$B$40,MONTH(A5367)),INDEX(Settings!$B$29:$B$40,MONTH(A5367)))))</f>
        <v/>
      </c>
    </row>
    <row r="5368" customFormat="false" ht="15" hidden="false" customHeight="false" outlineLevel="0" collapsed="false">
      <c r="H5368" s="0" t="str">
        <f aca="false">IF(B5368="","",IF(COUNTIF(Campaigns!$A$7:$A$300,B5368)&gt;0,"✓","⚠ add to Campaigns tab"))</f>
        <v/>
      </c>
      <c r="I5368" s="84" t="str">
        <f aca="false">IF(C5368="","",C5368*IF(Settings!$B$23=Settings!$C$6,1,IF(Settings!$B$23="USD",1/INDEX(Settings!$B$29:$B$40,MONTH(A5368)),INDEX(Settings!$B$29:$B$40,MONTH(A5368)))))</f>
        <v/>
      </c>
    </row>
    <row r="5369" customFormat="false" ht="15" hidden="false" customHeight="false" outlineLevel="0" collapsed="false">
      <c r="H5369" s="0" t="str">
        <f aca="false">IF(B5369="","",IF(COUNTIF(Campaigns!$A$7:$A$300,B5369)&gt;0,"✓","⚠ add to Campaigns tab"))</f>
        <v/>
      </c>
      <c r="I5369" s="84" t="str">
        <f aca="false">IF(C5369="","",C5369*IF(Settings!$B$23=Settings!$C$6,1,IF(Settings!$B$23="USD",1/INDEX(Settings!$B$29:$B$40,MONTH(A5369)),INDEX(Settings!$B$29:$B$40,MONTH(A5369)))))</f>
        <v/>
      </c>
    </row>
    <row r="5370" customFormat="false" ht="15" hidden="false" customHeight="false" outlineLevel="0" collapsed="false">
      <c r="H5370" s="0" t="str">
        <f aca="false">IF(B5370="","",IF(COUNTIF(Campaigns!$A$7:$A$300,B5370)&gt;0,"✓","⚠ add to Campaigns tab"))</f>
        <v/>
      </c>
      <c r="I5370" s="84" t="str">
        <f aca="false">IF(C5370="","",C5370*IF(Settings!$B$23=Settings!$C$6,1,IF(Settings!$B$23="USD",1/INDEX(Settings!$B$29:$B$40,MONTH(A5370)),INDEX(Settings!$B$29:$B$40,MONTH(A5370)))))</f>
        <v/>
      </c>
    </row>
    <row r="5371" customFormat="false" ht="15" hidden="false" customHeight="false" outlineLevel="0" collapsed="false">
      <c r="H5371" s="0" t="str">
        <f aca="false">IF(B5371="","",IF(COUNTIF(Campaigns!$A$7:$A$300,B5371)&gt;0,"✓","⚠ add to Campaigns tab"))</f>
        <v/>
      </c>
      <c r="I5371" s="84" t="str">
        <f aca="false">IF(C5371="","",C5371*IF(Settings!$B$23=Settings!$C$6,1,IF(Settings!$B$23="USD",1/INDEX(Settings!$B$29:$B$40,MONTH(A5371)),INDEX(Settings!$B$29:$B$40,MONTH(A5371)))))</f>
        <v/>
      </c>
    </row>
    <row r="5372" customFormat="false" ht="15" hidden="false" customHeight="false" outlineLevel="0" collapsed="false">
      <c r="H5372" s="0" t="str">
        <f aca="false">IF(B5372="","",IF(COUNTIF(Campaigns!$A$7:$A$300,B5372)&gt;0,"✓","⚠ add to Campaigns tab"))</f>
        <v/>
      </c>
      <c r="I5372" s="84" t="str">
        <f aca="false">IF(C5372="","",C5372*IF(Settings!$B$23=Settings!$C$6,1,IF(Settings!$B$23="USD",1/INDEX(Settings!$B$29:$B$40,MONTH(A5372)),INDEX(Settings!$B$29:$B$40,MONTH(A5372)))))</f>
        <v/>
      </c>
    </row>
    <row r="5373" customFormat="false" ht="15" hidden="false" customHeight="false" outlineLevel="0" collapsed="false">
      <c r="H5373" s="0" t="str">
        <f aca="false">IF(B5373="","",IF(COUNTIF(Campaigns!$A$7:$A$300,B5373)&gt;0,"✓","⚠ add to Campaigns tab"))</f>
        <v/>
      </c>
      <c r="I5373" s="84" t="str">
        <f aca="false">IF(C5373="","",C5373*IF(Settings!$B$23=Settings!$C$6,1,IF(Settings!$B$23="USD",1/INDEX(Settings!$B$29:$B$40,MONTH(A5373)),INDEX(Settings!$B$29:$B$40,MONTH(A5373)))))</f>
        <v/>
      </c>
    </row>
    <row r="5374" customFormat="false" ht="15" hidden="false" customHeight="false" outlineLevel="0" collapsed="false">
      <c r="H5374" s="0" t="str">
        <f aca="false">IF(B5374="","",IF(COUNTIF(Campaigns!$A$7:$A$300,B5374)&gt;0,"✓","⚠ add to Campaigns tab"))</f>
        <v/>
      </c>
      <c r="I5374" s="84" t="str">
        <f aca="false">IF(C5374="","",C5374*IF(Settings!$B$23=Settings!$C$6,1,IF(Settings!$B$23="USD",1/INDEX(Settings!$B$29:$B$40,MONTH(A5374)),INDEX(Settings!$B$29:$B$40,MONTH(A5374)))))</f>
        <v/>
      </c>
    </row>
    <row r="5375" customFormat="false" ht="15" hidden="false" customHeight="false" outlineLevel="0" collapsed="false">
      <c r="H5375" s="0" t="str">
        <f aca="false">IF(B5375="","",IF(COUNTIF(Campaigns!$A$7:$A$300,B5375)&gt;0,"✓","⚠ add to Campaigns tab"))</f>
        <v/>
      </c>
      <c r="I5375" s="84" t="str">
        <f aca="false">IF(C5375="","",C5375*IF(Settings!$B$23=Settings!$C$6,1,IF(Settings!$B$23="USD",1/INDEX(Settings!$B$29:$B$40,MONTH(A5375)),INDEX(Settings!$B$29:$B$40,MONTH(A5375)))))</f>
        <v/>
      </c>
    </row>
    <row r="5376" customFormat="false" ht="15" hidden="false" customHeight="false" outlineLevel="0" collapsed="false">
      <c r="H5376" s="0" t="str">
        <f aca="false">IF(B5376="","",IF(COUNTIF(Campaigns!$A$7:$A$300,B5376)&gt;0,"✓","⚠ add to Campaigns tab"))</f>
        <v/>
      </c>
      <c r="I5376" s="84" t="str">
        <f aca="false">IF(C5376="","",C5376*IF(Settings!$B$23=Settings!$C$6,1,IF(Settings!$B$23="USD",1/INDEX(Settings!$B$29:$B$40,MONTH(A5376)),INDEX(Settings!$B$29:$B$40,MONTH(A5376)))))</f>
        <v/>
      </c>
    </row>
    <row r="5377" customFormat="false" ht="15" hidden="false" customHeight="false" outlineLevel="0" collapsed="false">
      <c r="H5377" s="0" t="str">
        <f aca="false">IF(B5377="","",IF(COUNTIF(Campaigns!$A$7:$A$300,B5377)&gt;0,"✓","⚠ add to Campaigns tab"))</f>
        <v/>
      </c>
      <c r="I5377" s="84" t="str">
        <f aca="false">IF(C5377="","",C5377*IF(Settings!$B$23=Settings!$C$6,1,IF(Settings!$B$23="USD",1/INDEX(Settings!$B$29:$B$40,MONTH(A5377)),INDEX(Settings!$B$29:$B$40,MONTH(A5377)))))</f>
        <v/>
      </c>
    </row>
    <row r="5378" customFormat="false" ht="15" hidden="false" customHeight="false" outlineLevel="0" collapsed="false">
      <c r="H5378" s="0" t="str">
        <f aca="false">IF(B5378="","",IF(COUNTIF(Campaigns!$A$7:$A$300,B5378)&gt;0,"✓","⚠ add to Campaigns tab"))</f>
        <v/>
      </c>
      <c r="I5378" s="84" t="str">
        <f aca="false">IF(C5378="","",C5378*IF(Settings!$B$23=Settings!$C$6,1,IF(Settings!$B$23="USD",1/INDEX(Settings!$B$29:$B$40,MONTH(A5378)),INDEX(Settings!$B$29:$B$40,MONTH(A5378)))))</f>
        <v/>
      </c>
    </row>
    <row r="5379" customFormat="false" ht="15" hidden="false" customHeight="false" outlineLevel="0" collapsed="false">
      <c r="H5379" s="0" t="str">
        <f aca="false">IF(B5379="","",IF(COUNTIF(Campaigns!$A$7:$A$300,B5379)&gt;0,"✓","⚠ add to Campaigns tab"))</f>
        <v/>
      </c>
      <c r="I5379" s="84" t="str">
        <f aca="false">IF(C5379="","",C5379*IF(Settings!$B$23=Settings!$C$6,1,IF(Settings!$B$23="USD",1/INDEX(Settings!$B$29:$B$40,MONTH(A5379)),INDEX(Settings!$B$29:$B$40,MONTH(A5379)))))</f>
        <v/>
      </c>
    </row>
    <row r="5380" customFormat="false" ht="15" hidden="false" customHeight="false" outlineLevel="0" collapsed="false">
      <c r="H5380" s="0" t="str">
        <f aca="false">IF(B5380="","",IF(COUNTIF(Campaigns!$A$7:$A$300,B5380)&gt;0,"✓","⚠ add to Campaigns tab"))</f>
        <v/>
      </c>
      <c r="I5380" s="84" t="str">
        <f aca="false">IF(C5380="","",C5380*IF(Settings!$B$23=Settings!$C$6,1,IF(Settings!$B$23="USD",1/INDEX(Settings!$B$29:$B$40,MONTH(A5380)),INDEX(Settings!$B$29:$B$40,MONTH(A5380)))))</f>
        <v/>
      </c>
    </row>
    <row r="5381" customFormat="false" ht="15" hidden="false" customHeight="false" outlineLevel="0" collapsed="false">
      <c r="H5381" s="0" t="str">
        <f aca="false">IF(B5381="","",IF(COUNTIF(Campaigns!$A$7:$A$300,B5381)&gt;0,"✓","⚠ add to Campaigns tab"))</f>
        <v/>
      </c>
      <c r="I5381" s="84" t="str">
        <f aca="false">IF(C5381="","",C5381*IF(Settings!$B$23=Settings!$C$6,1,IF(Settings!$B$23="USD",1/INDEX(Settings!$B$29:$B$40,MONTH(A5381)),INDEX(Settings!$B$29:$B$40,MONTH(A5381)))))</f>
        <v/>
      </c>
    </row>
    <row r="5382" customFormat="false" ht="15" hidden="false" customHeight="false" outlineLevel="0" collapsed="false">
      <c r="H5382" s="0" t="str">
        <f aca="false">IF(B5382="","",IF(COUNTIF(Campaigns!$A$7:$A$300,B5382)&gt;0,"✓","⚠ add to Campaigns tab"))</f>
        <v/>
      </c>
      <c r="I5382" s="84" t="str">
        <f aca="false">IF(C5382="","",C5382*IF(Settings!$B$23=Settings!$C$6,1,IF(Settings!$B$23="USD",1/INDEX(Settings!$B$29:$B$40,MONTH(A5382)),INDEX(Settings!$B$29:$B$40,MONTH(A5382)))))</f>
        <v/>
      </c>
    </row>
    <row r="5383" customFormat="false" ht="15" hidden="false" customHeight="false" outlineLevel="0" collapsed="false">
      <c r="H5383" s="0" t="str">
        <f aca="false">IF(B5383="","",IF(COUNTIF(Campaigns!$A$7:$A$300,B5383)&gt;0,"✓","⚠ add to Campaigns tab"))</f>
        <v/>
      </c>
      <c r="I5383" s="84" t="str">
        <f aca="false">IF(C5383="","",C5383*IF(Settings!$B$23=Settings!$C$6,1,IF(Settings!$B$23="USD",1/INDEX(Settings!$B$29:$B$40,MONTH(A5383)),INDEX(Settings!$B$29:$B$40,MONTH(A5383)))))</f>
        <v/>
      </c>
    </row>
    <row r="5384" customFormat="false" ht="15" hidden="false" customHeight="false" outlineLevel="0" collapsed="false">
      <c r="H5384" s="0" t="str">
        <f aca="false">IF(B5384="","",IF(COUNTIF(Campaigns!$A$7:$A$300,B5384)&gt;0,"✓","⚠ add to Campaigns tab"))</f>
        <v/>
      </c>
      <c r="I5384" s="84" t="str">
        <f aca="false">IF(C5384="","",C5384*IF(Settings!$B$23=Settings!$C$6,1,IF(Settings!$B$23="USD",1/INDEX(Settings!$B$29:$B$40,MONTH(A5384)),INDEX(Settings!$B$29:$B$40,MONTH(A5384)))))</f>
        <v/>
      </c>
    </row>
    <row r="5385" customFormat="false" ht="15" hidden="false" customHeight="false" outlineLevel="0" collapsed="false">
      <c r="H5385" s="0" t="str">
        <f aca="false">IF(B5385="","",IF(COUNTIF(Campaigns!$A$7:$A$300,B5385)&gt;0,"✓","⚠ add to Campaigns tab"))</f>
        <v/>
      </c>
      <c r="I5385" s="84" t="str">
        <f aca="false">IF(C5385="","",C5385*IF(Settings!$B$23=Settings!$C$6,1,IF(Settings!$B$23="USD",1/INDEX(Settings!$B$29:$B$40,MONTH(A5385)),INDEX(Settings!$B$29:$B$40,MONTH(A5385)))))</f>
        <v/>
      </c>
    </row>
    <row r="5386" customFormat="false" ht="15" hidden="false" customHeight="false" outlineLevel="0" collapsed="false">
      <c r="H5386" s="0" t="str">
        <f aca="false">IF(B5386="","",IF(COUNTIF(Campaigns!$A$7:$A$300,B5386)&gt;0,"✓","⚠ add to Campaigns tab"))</f>
        <v/>
      </c>
      <c r="I5386" s="84" t="str">
        <f aca="false">IF(C5386="","",C5386*IF(Settings!$B$23=Settings!$C$6,1,IF(Settings!$B$23="USD",1/INDEX(Settings!$B$29:$B$40,MONTH(A5386)),INDEX(Settings!$B$29:$B$40,MONTH(A5386)))))</f>
        <v/>
      </c>
    </row>
    <row r="5387" customFormat="false" ht="15" hidden="false" customHeight="false" outlineLevel="0" collapsed="false">
      <c r="H5387" s="0" t="str">
        <f aca="false">IF(B5387="","",IF(COUNTIF(Campaigns!$A$7:$A$300,B5387)&gt;0,"✓","⚠ add to Campaigns tab"))</f>
        <v/>
      </c>
      <c r="I5387" s="84" t="str">
        <f aca="false">IF(C5387="","",C5387*IF(Settings!$B$23=Settings!$C$6,1,IF(Settings!$B$23="USD",1/INDEX(Settings!$B$29:$B$40,MONTH(A5387)),INDEX(Settings!$B$29:$B$40,MONTH(A5387)))))</f>
        <v/>
      </c>
    </row>
    <row r="5388" customFormat="false" ht="15" hidden="false" customHeight="false" outlineLevel="0" collapsed="false">
      <c r="H5388" s="0" t="str">
        <f aca="false">IF(B5388="","",IF(COUNTIF(Campaigns!$A$7:$A$300,B5388)&gt;0,"✓","⚠ add to Campaigns tab"))</f>
        <v/>
      </c>
      <c r="I5388" s="84" t="str">
        <f aca="false">IF(C5388="","",C5388*IF(Settings!$B$23=Settings!$C$6,1,IF(Settings!$B$23="USD",1/INDEX(Settings!$B$29:$B$40,MONTH(A5388)),INDEX(Settings!$B$29:$B$40,MONTH(A5388)))))</f>
        <v/>
      </c>
    </row>
    <row r="5389" customFormat="false" ht="15" hidden="false" customHeight="false" outlineLevel="0" collapsed="false">
      <c r="H5389" s="0" t="str">
        <f aca="false">IF(B5389="","",IF(COUNTIF(Campaigns!$A$7:$A$300,B5389)&gt;0,"✓","⚠ add to Campaigns tab"))</f>
        <v/>
      </c>
      <c r="I5389" s="84" t="str">
        <f aca="false">IF(C5389="","",C5389*IF(Settings!$B$23=Settings!$C$6,1,IF(Settings!$B$23="USD",1/INDEX(Settings!$B$29:$B$40,MONTH(A5389)),INDEX(Settings!$B$29:$B$40,MONTH(A5389)))))</f>
        <v/>
      </c>
    </row>
    <row r="5390" customFormat="false" ht="15" hidden="false" customHeight="false" outlineLevel="0" collapsed="false">
      <c r="H5390" s="0" t="str">
        <f aca="false">IF(B5390="","",IF(COUNTIF(Campaigns!$A$7:$A$300,B5390)&gt;0,"✓","⚠ add to Campaigns tab"))</f>
        <v/>
      </c>
      <c r="I5390" s="84" t="str">
        <f aca="false">IF(C5390="","",C5390*IF(Settings!$B$23=Settings!$C$6,1,IF(Settings!$B$23="USD",1/INDEX(Settings!$B$29:$B$40,MONTH(A5390)),INDEX(Settings!$B$29:$B$40,MONTH(A5390)))))</f>
        <v/>
      </c>
    </row>
    <row r="5391" customFormat="false" ht="15" hidden="false" customHeight="false" outlineLevel="0" collapsed="false">
      <c r="H5391" s="0" t="str">
        <f aca="false">IF(B5391="","",IF(COUNTIF(Campaigns!$A$7:$A$300,B5391)&gt;0,"✓","⚠ add to Campaigns tab"))</f>
        <v/>
      </c>
      <c r="I5391" s="84" t="str">
        <f aca="false">IF(C5391="","",C5391*IF(Settings!$B$23=Settings!$C$6,1,IF(Settings!$B$23="USD",1/INDEX(Settings!$B$29:$B$40,MONTH(A5391)),INDEX(Settings!$B$29:$B$40,MONTH(A5391)))))</f>
        <v/>
      </c>
    </row>
    <row r="5392" customFormat="false" ht="15" hidden="false" customHeight="false" outlineLevel="0" collapsed="false">
      <c r="H5392" s="0" t="str">
        <f aca="false">IF(B5392="","",IF(COUNTIF(Campaigns!$A$7:$A$300,B5392)&gt;0,"✓","⚠ add to Campaigns tab"))</f>
        <v/>
      </c>
      <c r="I5392" s="84" t="str">
        <f aca="false">IF(C5392="","",C5392*IF(Settings!$B$23=Settings!$C$6,1,IF(Settings!$B$23="USD",1/INDEX(Settings!$B$29:$B$40,MONTH(A5392)),INDEX(Settings!$B$29:$B$40,MONTH(A5392)))))</f>
        <v/>
      </c>
    </row>
    <row r="5393" customFormat="false" ht="15" hidden="false" customHeight="false" outlineLevel="0" collapsed="false">
      <c r="H5393" s="0" t="str">
        <f aca="false">IF(B5393="","",IF(COUNTIF(Campaigns!$A$7:$A$300,B5393)&gt;0,"✓","⚠ add to Campaigns tab"))</f>
        <v/>
      </c>
      <c r="I5393" s="84" t="str">
        <f aca="false">IF(C5393="","",C5393*IF(Settings!$B$23=Settings!$C$6,1,IF(Settings!$B$23="USD",1/INDEX(Settings!$B$29:$B$40,MONTH(A5393)),INDEX(Settings!$B$29:$B$40,MONTH(A5393)))))</f>
        <v/>
      </c>
    </row>
    <row r="5394" customFormat="false" ht="15" hidden="false" customHeight="false" outlineLevel="0" collapsed="false">
      <c r="H5394" s="0" t="str">
        <f aca="false">IF(B5394="","",IF(COUNTIF(Campaigns!$A$7:$A$300,B5394)&gt;0,"✓","⚠ add to Campaigns tab"))</f>
        <v/>
      </c>
      <c r="I5394" s="84" t="str">
        <f aca="false">IF(C5394="","",C5394*IF(Settings!$B$23=Settings!$C$6,1,IF(Settings!$B$23="USD",1/INDEX(Settings!$B$29:$B$40,MONTH(A5394)),INDEX(Settings!$B$29:$B$40,MONTH(A5394)))))</f>
        <v/>
      </c>
    </row>
    <row r="5395" customFormat="false" ht="15" hidden="false" customHeight="false" outlineLevel="0" collapsed="false">
      <c r="H5395" s="0" t="str">
        <f aca="false">IF(B5395="","",IF(COUNTIF(Campaigns!$A$7:$A$300,B5395)&gt;0,"✓","⚠ add to Campaigns tab"))</f>
        <v/>
      </c>
      <c r="I5395" s="84" t="str">
        <f aca="false">IF(C5395="","",C5395*IF(Settings!$B$23=Settings!$C$6,1,IF(Settings!$B$23="USD",1/INDEX(Settings!$B$29:$B$40,MONTH(A5395)),INDEX(Settings!$B$29:$B$40,MONTH(A5395)))))</f>
        <v/>
      </c>
    </row>
    <row r="5396" customFormat="false" ht="15" hidden="false" customHeight="false" outlineLevel="0" collapsed="false">
      <c r="H5396" s="0" t="str">
        <f aca="false">IF(B5396="","",IF(COUNTIF(Campaigns!$A$7:$A$300,B5396)&gt;0,"✓","⚠ add to Campaigns tab"))</f>
        <v/>
      </c>
      <c r="I5396" s="84" t="str">
        <f aca="false">IF(C5396="","",C5396*IF(Settings!$B$23=Settings!$C$6,1,IF(Settings!$B$23="USD",1/INDEX(Settings!$B$29:$B$40,MONTH(A5396)),INDEX(Settings!$B$29:$B$40,MONTH(A5396)))))</f>
        <v/>
      </c>
    </row>
    <row r="5397" customFormat="false" ht="15" hidden="false" customHeight="false" outlineLevel="0" collapsed="false">
      <c r="H5397" s="0" t="str">
        <f aca="false">IF(B5397="","",IF(COUNTIF(Campaigns!$A$7:$A$300,B5397)&gt;0,"✓","⚠ add to Campaigns tab"))</f>
        <v/>
      </c>
      <c r="I5397" s="84" t="str">
        <f aca="false">IF(C5397="","",C5397*IF(Settings!$B$23=Settings!$C$6,1,IF(Settings!$B$23="USD",1/INDEX(Settings!$B$29:$B$40,MONTH(A5397)),INDEX(Settings!$B$29:$B$40,MONTH(A5397)))))</f>
        <v/>
      </c>
    </row>
    <row r="5398" customFormat="false" ht="15" hidden="false" customHeight="false" outlineLevel="0" collapsed="false">
      <c r="H5398" s="0" t="str">
        <f aca="false">IF(B5398="","",IF(COUNTIF(Campaigns!$A$7:$A$300,B5398)&gt;0,"✓","⚠ add to Campaigns tab"))</f>
        <v/>
      </c>
      <c r="I5398" s="84" t="str">
        <f aca="false">IF(C5398="","",C5398*IF(Settings!$B$23=Settings!$C$6,1,IF(Settings!$B$23="USD",1/INDEX(Settings!$B$29:$B$40,MONTH(A5398)),INDEX(Settings!$B$29:$B$40,MONTH(A5398)))))</f>
        <v/>
      </c>
    </row>
    <row r="5399" customFormat="false" ht="15" hidden="false" customHeight="false" outlineLevel="0" collapsed="false">
      <c r="H5399" s="0" t="str">
        <f aca="false">IF(B5399="","",IF(COUNTIF(Campaigns!$A$7:$A$300,B5399)&gt;0,"✓","⚠ add to Campaigns tab"))</f>
        <v/>
      </c>
      <c r="I5399" s="84" t="str">
        <f aca="false">IF(C5399="","",C5399*IF(Settings!$B$23=Settings!$C$6,1,IF(Settings!$B$23="USD",1/INDEX(Settings!$B$29:$B$40,MONTH(A5399)),INDEX(Settings!$B$29:$B$40,MONTH(A5399)))))</f>
        <v/>
      </c>
    </row>
    <row r="5400" customFormat="false" ht="15" hidden="false" customHeight="false" outlineLevel="0" collapsed="false">
      <c r="H5400" s="0" t="str">
        <f aca="false">IF(B5400="","",IF(COUNTIF(Campaigns!$A$7:$A$300,B5400)&gt;0,"✓","⚠ add to Campaigns tab"))</f>
        <v/>
      </c>
      <c r="I5400" s="84" t="str">
        <f aca="false">IF(C5400="","",C5400*IF(Settings!$B$23=Settings!$C$6,1,IF(Settings!$B$23="USD",1/INDEX(Settings!$B$29:$B$40,MONTH(A5400)),INDEX(Settings!$B$29:$B$40,MONTH(A5400)))))</f>
        <v/>
      </c>
    </row>
    <row r="5401" customFormat="false" ht="15" hidden="false" customHeight="false" outlineLevel="0" collapsed="false">
      <c r="H5401" s="0" t="str">
        <f aca="false">IF(B5401="","",IF(COUNTIF(Campaigns!$A$7:$A$300,B5401)&gt;0,"✓","⚠ add to Campaigns tab"))</f>
        <v/>
      </c>
      <c r="I5401" s="84" t="str">
        <f aca="false">IF(C5401="","",C5401*IF(Settings!$B$23=Settings!$C$6,1,IF(Settings!$B$23="USD",1/INDEX(Settings!$B$29:$B$40,MONTH(A5401)),INDEX(Settings!$B$29:$B$40,MONTH(A5401)))))</f>
        <v/>
      </c>
    </row>
    <row r="5402" customFormat="false" ht="15" hidden="false" customHeight="false" outlineLevel="0" collapsed="false">
      <c r="H5402" s="0" t="str">
        <f aca="false">IF(B5402="","",IF(COUNTIF(Campaigns!$A$7:$A$300,B5402)&gt;0,"✓","⚠ add to Campaigns tab"))</f>
        <v/>
      </c>
      <c r="I5402" s="84" t="str">
        <f aca="false">IF(C5402="","",C5402*IF(Settings!$B$23=Settings!$C$6,1,IF(Settings!$B$23="USD",1/INDEX(Settings!$B$29:$B$40,MONTH(A5402)),INDEX(Settings!$B$29:$B$40,MONTH(A5402)))))</f>
        <v/>
      </c>
    </row>
    <row r="5403" customFormat="false" ht="15" hidden="false" customHeight="false" outlineLevel="0" collapsed="false">
      <c r="H5403" s="0" t="str">
        <f aca="false">IF(B5403="","",IF(COUNTIF(Campaigns!$A$7:$A$300,B5403)&gt;0,"✓","⚠ add to Campaigns tab"))</f>
        <v/>
      </c>
      <c r="I5403" s="84" t="str">
        <f aca="false">IF(C5403="","",C5403*IF(Settings!$B$23=Settings!$C$6,1,IF(Settings!$B$23="USD",1/INDEX(Settings!$B$29:$B$40,MONTH(A5403)),INDEX(Settings!$B$29:$B$40,MONTH(A5403)))))</f>
        <v/>
      </c>
    </row>
    <row r="5404" customFormat="false" ht="15" hidden="false" customHeight="false" outlineLevel="0" collapsed="false">
      <c r="H5404" s="0" t="str">
        <f aca="false">IF(B5404="","",IF(COUNTIF(Campaigns!$A$7:$A$300,B5404)&gt;0,"✓","⚠ add to Campaigns tab"))</f>
        <v/>
      </c>
      <c r="I5404" s="84" t="str">
        <f aca="false">IF(C5404="","",C5404*IF(Settings!$B$23=Settings!$C$6,1,IF(Settings!$B$23="USD",1/INDEX(Settings!$B$29:$B$40,MONTH(A5404)),INDEX(Settings!$B$29:$B$40,MONTH(A5404)))))</f>
        <v/>
      </c>
    </row>
    <row r="5405" customFormat="false" ht="15" hidden="false" customHeight="false" outlineLevel="0" collapsed="false">
      <c r="H5405" s="0" t="str">
        <f aca="false">IF(B5405="","",IF(COUNTIF(Campaigns!$A$7:$A$300,B5405)&gt;0,"✓","⚠ add to Campaigns tab"))</f>
        <v/>
      </c>
      <c r="I5405" s="84" t="str">
        <f aca="false">IF(C5405="","",C5405*IF(Settings!$B$23=Settings!$C$6,1,IF(Settings!$B$23="USD",1/INDEX(Settings!$B$29:$B$40,MONTH(A5405)),INDEX(Settings!$B$29:$B$40,MONTH(A5405)))))</f>
        <v/>
      </c>
    </row>
    <row r="5406" customFormat="false" ht="15" hidden="false" customHeight="false" outlineLevel="0" collapsed="false">
      <c r="H5406" s="0" t="str">
        <f aca="false">IF(B5406="","",IF(COUNTIF(Campaigns!$A$7:$A$300,B5406)&gt;0,"✓","⚠ add to Campaigns tab"))</f>
        <v/>
      </c>
      <c r="I5406" s="84" t="str">
        <f aca="false">IF(C5406="","",C5406*IF(Settings!$B$23=Settings!$C$6,1,IF(Settings!$B$23="USD",1/INDEX(Settings!$B$29:$B$40,MONTH(A5406)),INDEX(Settings!$B$29:$B$40,MONTH(A5406)))))</f>
        <v/>
      </c>
    </row>
    <row r="5407" customFormat="false" ht="15" hidden="false" customHeight="false" outlineLevel="0" collapsed="false">
      <c r="H5407" s="0" t="str">
        <f aca="false">IF(B5407="","",IF(COUNTIF(Campaigns!$A$7:$A$300,B5407)&gt;0,"✓","⚠ add to Campaigns tab"))</f>
        <v/>
      </c>
      <c r="I5407" s="84" t="str">
        <f aca="false">IF(C5407="","",C5407*IF(Settings!$B$23=Settings!$C$6,1,IF(Settings!$B$23="USD",1/INDEX(Settings!$B$29:$B$40,MONTH(A5407)),INDEX(Settings!$B$29:$B$40,MONTH(A5407)))))</f>
        <v/>
      </c>
    </row>
    <row r="5408" customFormat="false" ht="15" hidden="false" customHeight="false" outlineLevel="0" collapsed="false">
      <c r="H5408" s="0" t="str">
        <f aca="false">IF(B5408="","",IF(COUNTIF(Campaigns!$A$7:$A$300,B5408)&gt;0,"✓","⚠ add to Campaigns tab"))</f>
        <v/>
      </c>
      <c r="I5408" s="84" t="str">
        <f aca="false">IF(C5408="","",C5408*IF(Settings!$B$23=Settings!$C$6,1,IF(Settings!$B$23="USD",1/INDEX(Settings!$B$29:$B$40,MONTH(A5408)),INDEX(Settings!$B$29:$B$40,MONTH(A5408)))))</f>
        <v/>
      </c>
    </row>
    <row r="5409" customFormat="false" ht="15" hidden="false" customHeight="false" outlineLevel="0" collapsed="false">
      <c r="H5409" s="0" t="str">
        <f aca="false">IF(B5409="","",IF(COUNTIF(Campaigns!$A$7:$A$300,B5409)&gt;0,"✓","⚠ add to Campaigns tab"))</f>
        <v/>
      </c>
      <c r="I5409" s="84" t="str">
        <f aca="false">IF(C5409="","",C5409*IF(Settings!$B$23=Settings!$C$6,1,IF(Settings!$B$23="USD",1/INDEX(Settings!$B$29:$B$40,MONTH(A5409)),INDEX(Settings!$B$29:$B$40,MONTH(A5409)))))</f>
        <v/>
      </c>
    </row>
    <row r="5410" customFormat="false" ht="15" hidden="false" customHeight="false" outlineLevel="0" collapsed="false">
      <c r="H5410" s="0" t="str">
        <f aca="false">IF(B5410="","",IF(COUNTIF(Campaigns!$A$7:$A$300,B5410)&gt;0,"✓","⚠ add to Campaigns tab"))</f>
        <v/>
      </c>
      <c r="I5410" s="84" t="str">
        <f aca="false">IF(C5410="","",C5410*IF(Settings!$B$23=Settings!$C$6,1,IF(Settings!$B$23="USD",1/INDEX(Settings!$B$29:$B$40,MONTH(A5410)),INDEX(Settings!$B$29:$B$40,MONTH(A5410)))))</f>
        <v/>
      </c>
    </row>
    <row r="5411" customFormat="false" ht="15" hidden="false" customHeight="false" outlineLevel="0" collapsed="false">
      <c r="H5411" s="0" t="str">
        <f aca="false">IF(B5411="","",IF(COUNTIF(Campaigns!$A$7:$A$300,B5411)&gt;0,"✓","⚠ add to Campaigns tab"))</f>
        <v/>
      </c>
      <c r="I5411" s="84" t="str">
        <f aca="false">IF(C5411="","",C5411*IF(Settings!$B$23=Settings!$C$6,1,IF(Settings!$B$23="USD",1/INDEX(Settings!$B$29:$B$40,MONTH(A5411)),INDEX(Settings!$B$29:$B$40,MONTH(A5411)))))</f>
        <v/>
      </c>
    </row>
    <row r="5412" customFormat="false" ht="15" hidden="false" customHeight="false" outlineLevel="0" collapsed="false">
      <c r="H5412" s="0" t="str">
        <f aca="false">IF(B5412="","",IF(COUNTIF(Campaigns!$A$7:$A$300,B5412)&gt;0,"✓","⚠ add to Campaigns tab"))</f>
        <v/>
      </c>
      <c r="I5412" s="84" t="str">
        <f aca="false">IF(C5412="","",C5412*IF(Settings!$B$23=Settings!$C$6,1,IF(Settings!$B$23="USD",1/INDEX(Settings!$B$29:$B$40,MONTH(A5412)),INDEX(Settings!$B$29:$B$40,MONTH(A5412)))))</f>
        <v/>
      </c>
    </row>
    <row r="5413" customFormat="false" ht="15" hidden="false" customHeight="false" outlineLevel="0" collapsed="false">
      <c r="H5413" s="0" t="str">
        <f aca="false">IF(B5413="","",IF(COUNTIF(Campaigns!$A$7:$A$300,B5413)&gt;0,"✓","⚠ add to Campaigns tab"))</f>
        <v/>
      </c>
      <c r="I5413" s="84" t="str">
        <f aca="false">IF(C5413="","",C5413*IF(Settings!$B$23=Settings!$C$6,1,IF(Settings!$B$23="USD",1/INDEX(Settings!$B$29:$B$40,MONTH(A5413)),INDEX(Settings!$B$29:$B$40,MONTH(A5413)))))</f>
        <v/>
      </c>
    </row>
    <row r="5414" customFormat="false" ht="15" hidden="false" customHeight="false" outlineLevel="0" collapsed="false">
      <c r="H5414" s="0" t="str">
        <f aca="false">IF(B5414="","",IF(COUNTIF(Campaigns!$A$7:$A$300,B5414)&gt;0,"✓","⚠ add to Campaigns tab"))</f>
        <v/>
      </c>
      <c r="I5414" s="84" t="str">
        <f aca="false">IF(C5414="","",C5414*IF(Settings!$B$23=Settings!$C$6,1,IF(Settings!$B$23="USD",1/INDEX(Settings!$B$29:$B$40,MONTH(A5414)),INDEX(Settings!$B$29:$B$40,MONTH(A5414)))))</f>
        <v/>
      </c>
    </row>
    <row r="5415" customFormat="false" ht="15" hidden="false" customHeight="false" outlineLevel="0" collapsed="false">
      <c r="H5415" s="0" t="str">
        <f aca="false">IF(B5415="","",IF(COUNTIF(Campaigns!$A$7:$A$300,B5415)&gt;0,"✓","⚠ add to Campaigns tab"))</f>
        <v/>
      </c>
      <c r="I5415" s="84" t="str">
        <f aca="false">IF(C5415="","",C5415*IF(Settings!$B$23=Settings!$C$6,1,IF(Settings!$B$23="USD",1/INDEX(Settings!$B$29:$B$40,MONTH(A5415)),INDEX(Settings!$B$29:$B$40,MONTH(A5415)))))</f>
        <v/>
      </c>
    </row>
    <row r="5416" customFormat="false" ht="15" hidden="false" customHeight="false" outlineLevel="0" collapsed="false">
      <c r="H5416" s="0" t="str">
        <f aca="false">IF(B5416="","",IF(COUNTIF(Campaigns!$A$7:$A$300,B5416)&gt;0,"✓","⚠ add to Campaigns tab"))</f>
        <v/>
      </c>
      <c r="I5416" s="84" t="str">
        <f aca="false">IF(C5416="","",C5416*IF(Settings!$B$23=Settings!$C$6,1,IF(Settings!$B$23="USD",1/INDEX(Settings!$B$29:$B$40,MONTH(A5416)),INDEX(Settings!$B$29:$B$40,MONTH(A5416)))))</f>
        <v/>
      </c>
    </row>
    <row r="5417" customFormat="false" ht="15" hidden="false" customHeight="false" outlineLevel="0" collapsed="false">
      <c r="H5417" s="0" t="str">
        <f aca="false">IF(B5417="","",IF(COUNTIF(Campaigns!$A$7:$A$300,B5417)&gt;0,"✓","⚠ add to Campaigns tab"))</f>
        <v/>
      </c>
      <c r="I5417" s="84" t="str">
        <f aca="false">IF(C5417="","",C5417*IF(Settings!$B$23=Settings!$C$6,1,IF(Settings!$B$23="USD",1/INDEX(Settings!$B$29:$B$40,MONTH(A5417)),INDEX(Settings!$B$29:$B$40,MONTH(A5417)))))</f>
        <v/>
      </c>
    </row>
    <row r="5418" customFormat="false" ht="15" hidden="false" customHeight="false" outlineLevel="0" collapsed="false">
      <c r="H5418" s="0" t="str">
        <f aca="false">IF(B5418="","",IF(COUNTIF(Campaigns!$A$7:$A$300,B5418)&gt;0,"✓","⚠ add to Campaigns tab"))</f>
        <v/>
      </c>
      <c r="I5418" s="84" t="str">
        <f aca="false">IF(C5418="","",C5418*IF(Settings!$B$23=Settings!$C$6,1,IF(Settings!$B$23="USD",1/INDEX(Settings!$B$29:$B$40,MONTH(A5418)),INDEX(Settings!$B$29:$B$40,MONTH(A5418)))))</f>
        <v/>
      </c>
    </row>
    <row r="5419" customFormat="false" ht="15" hidden="false" customHeight="false" outlineLevel="0" collapsed="false">
      <c r="H5419" s="0" t="str">
        <f aca="false">IF(B5419="","",IF(COUNTIF(Campaigns!$A$7:$A$300,B5419)&gt;0,"✓","⚠ add to Campaigns tab"))</f>
        <v/>
      </c>
      <c r="I5419" s="84" t="str">
        <f aca="false">IF(C5419="","",C5419*IF(Settings!$B$23=Settings!$C$6,1,IF(Settings!$B$23="USD",1/INDEX(Settings!$B$29:$B$40,MONTH(A5419)),INDEX(Settings!$B$29:$B$40,MONTH(A5419)))))</f>
        <v/>
      </c>
    </row>
    <row r="5420" customFormat="false" ht="15" hidden="false" customHeight="false" outlineLevel="0" collapsed="false">
      <c r="H5420" s="0" t="str">
        <f aca="false">IF(B5420="","",IF(COUNTIF(Campaigns!$A$7:$A$300,B5420)&gt;0,"✓","⚠ add to Campaigns tab"))</f>
        <v/>
      </c>
      <c r="I5420" s="84" t="str">
        <f aca="false">IF(C5420="","",C5420*IF(Settings!$B$23=Settings!$C$6,1,IF(Settings!$B$23="USD",1/INDEX(Settings!$B$29:$B$40,MONTH(A5420)),INDEX(Settings!$B$29:$B$40,MONTH(A5420)))))</f>
        <v/>
      </c>
    </row>
    <row r="5421" customFormat="false" ht="15" hidden="false" customHeight="false" outlineLevel="0" collapsed="false">
      <c r="H5421" s="0" t="str">
        <f aca="false">IF(B5421="","",IF(COUNTIF(Campaigns!$A$7:$A$300,B5421)&gt;0,"✓","⚠ add to Campaigns tab"))</f>
        <v/>
      </c>
      <c r="I5421" s="84" t="str">
        <f aca="false">IF(C5421="","",C5421*IF(Settings!$B$23=Settings!$C$6,1,IF(Settings!$B$23="USD",1/INDEX(Settings!$B$29:$B$40,MONTH(A5421)),INDEX(Settings!$B$29:$B$40,MONTH(A5421)))))</f>
        <v/>
      </c>
    </row>
    <row r="5422" customFormat="false" ht="15" hidden="false" customHeight="false" outlineLevel="0" collapsed="false">
      <c r="H5422" s="0" t="str">
        <f aca="false">IF(B5422="","",IF(COUNTIF(Campaigns!$A$7:$A$300,B5422)&gt;0,"✓","⚠ add to Campaigns tab"))</f>
        <v/>
      </c>
      <c r="I5422" s="84" t="str">
        <f aca="false">IF(C5422="","",C5422*IF(Settings!$B$23=Settings!$C$6,1,IF(Settings!$B$23="USD",1/INDEX(Settings!$B$29:$B$40,MONTH(A5422)),INDEX(Settings!$B$29:$B$40,MONTH(A5422)))))</f>
        <v/>
      </c>
    </row>
    <row r="5423" customFormat="false" ht="15" hidden="false" customHeight="false" outlineLevel="0" collapsed="false">
      <c r="H5423" s="0" t="str">
        <f aca="false">IF(B5423="","",IF(COUNTIF(Campaigns!$A$7:$A$300,B5423)&gt;0,"✓","⚠ add to Campaigns tab"))</f>
        <v/>
      </c>
      <c r="I5423" s="84" t="str">
        <f aca="false">IF(C5423="","",C5423*IF(Settings!$B$23=Settings!$C$6,1,IF(Settings!$B$23="USD",1/INDEX(Settings!$B$29:$B$40,MONTH(A5423)),INDEX(Settings!$B$29:$B$40,MONTH(A5423)))))</f>
        <v/>
      </c>
    </row>
    <row r="5424" customFormat="false" ht="15" hidden="false" customHeight="false" outlineLevel="0" collapsed="false">
      <c r="H5424" s="0" t="str">
        <f aca="false">IF(B5424="","",IF(COUNTIF(Campaigns!$A$7:$A$300,B5424)&gt;0,"✓","⚠ add to Campaigns tab"))</f>
        <v/>
      </c>
      <c r="I5424" s="84" t="str">
        <f aca="false">IF(C5424="","",C5424*IF(Settings!$B$23=Settings!$C$6,1,IF(Settings!$B$23="USD",1/INDEX(Settings!$B$29:$B$40,MONTH(A5424)),INDEX(Settings!$B$29:$B$40,MONTH(A5424)))))</f>
        <v/>
      </c>
    </row>
    <row r="5425" customFormat="false" ht="15" hidden="false" customHeight="false" outlineLevel="0" collapsed="false">
      <c r="H5425" s="0" t="str">
        <f aca="false">IF(B5425="","",IF(COUNTIF(Campaigns!$A$7:$A$300,B5425)&gt;0,"✓","⚠ add to Campaigns tab"))</f>
        <v/>
      </c>
      <c r="I5425" s="84" t="str">
        <f aca="false">IF(C5425="","",C5425*IF(Settings!$B$23=Settings!$C$6,1,IF(Settings!$B$23="USD",1/INDEX(Settings!$B$29:$B$40,MONTH(A5425)),INDEX(Settings!$B$29:$B$40,MONTH(A5425)))))</f>
        <v/>
      </c>
    </row>
    <row r="5426" customFormat="false" ht="15" hidden="false" customHeight="false" outlineLevel="0" collapsed="false">
      <c r="H5426" s="0" t="str">
        <f aca="false">IF(B5426="","",IF(COUNTIF(Campaigns!$A$7:$A$300,B5426)&gt;0,"✓","⚠ add to Campaigns tab"))</f>
        <v/>
      </c>
      <c r="I5426" s="84" t="str">
        <f aca="false">IF(C5426="","",C5426*IF(Settings!$B$23=Settings!$C$6,1,IF(Settings!$B$23="USD",1/INDEX(Settings!$B$29:$B$40,MONTH(A5426)),INDEX(Settings!$B$29:$B$40,MONTH(A5426)))))</f>
        <v/>
      </c>
    </row>
    <row r="5427" customFormat="false" ht="15" hidden="false" customHeight="false" outlineLevel="0" collapsed="false">
      <c r="H5427" s="0" t="str">
        <f aca="false">IF(B5427="","",IF(COUNTIF(Campaigns!$A$7:$A$300,B5427)&gt;0,"✓","⚠ add to Campaigns tab"))</f>
        <v/>
      </c>
      <c r="I5427" s="84" t="str">
        <f aca="false">IF(C5427="","",C5427*IF(Settings!$B$23=Settings!$C$6,1,IF(Settings!$B$23="USD",1/INDEX(Settings!$B$29:$B$40,MONTH(A5427)),INDEX(Settings!$B$29:$B$40,MONTH(A5427)))))</f>
        <v/>
      </c>
    </row>
    <row r="5428" customFormat="false" ht="15" hidden="false" customHeight="false" outlineLevel="0" collapsed="false">
      <c r="H5428" s="0" t="str">
        <f aca="false">IF(B5428="","",IF(COUNTIF(Campaigns!$A$7:$A$300,B5428)&gt;0,"✓","⚠ add to Campaigns tab"))</f>
        <v/>
      </c>
      <c r="I5428" s="84" t="str">
        <f aca="false">IF(C5428="","",C5428*IF(Settings!$B$23=Settings!$C$6,1,IF(Settings!$B$23="USD",1/INDEX(Settings!$B$29:$B$40,MONTH(A5428)),INDEX(Settings!$B$29:$B$40,MONTH(A5428)))))</f>
        <v/>
      </c>
    </row>
    <row r="5429" customFormat="false" ht="15" hidden="false" customHeight="false" outlineLevel="0" collapsed="false">
      <c r="H5429" s="0" t="str">
        <f aca="false">IF(B5429="","",IF(COUNTIF(Campaigns!$A$7:$A$300,B5429)&gt;0,"✓","⚠ add to Campaigns tab"))</f>
        <v/>
      </c>
      <c r="I5429" s="84" t="str">
        <f aca="false">IF(C5429="","",C5429*IF(Settings!$B$23=Settings!$C$6,1,IF(Settings!$B$23="USD",1/INDEX(Settings!$B$29:$B$40,MONTH(A5429)),INDEX(Settings!$B$29:$B$40,MONTH(A5429)))))</f>
        <v/>
      </c>
    </row>
    <row r="5430" customFormat="false" ht="15" hidden="false" customHeight="false" outlineLevel="0" collapsed="false">
      <c r="H5430" s="0" t="str">
        <f aca="false">IF(B5430="","",IF(COUNTIF(Campaigns!$A$7:$A$300,B5430)&gt;0,"✓","⚠ add to Campaigns tab"))</f>
        <v/>
      </c>
      <c r="I5430" s="84" t="str">
        <f aca="false">IF(C5430="","",C5430*IF(Settings!$B$23=Settings!$C$6,1,IF(Settings!$B$23="USD",1/INDEX(Settings!$B$29:$B$40,MONTH(A5430)),INDEX(Settings!$B$29:$B$40,MONTH(A5430)))))</f>
        <v/>
      </c>
    </row>
    <row r="5431" customFormat="false" ht="15" hidden="false" customHeight="false" outlineLevel="0" collapsed="false">
      <c r="H5431" s="0" t="str">
        <f aca="false">IF(B5431="","",IF(COUNTIF(Campaigns!$A$7:$A$300,B5431)&gt;0,"✓","⚠ add to Campaigns tab"))</f>
        <v/>
      </c>
      <c r="I5431" s="84" t="str">
        <f aca="false">IF(C5431="","",C5431*IF(Settings!$B$23=Settings!$C$6,1,IF(Settings!$B$23="USD",1/INDEX(Settings!$B$29:$B$40,MONTH(A5431)),INDEX(Settings!$B$29:$B$40,MONTH(A5431)))))</f>
        <v/>
      </c>
    </row>
    <row r="5432" customFormat="false" ht="15" hidden="false" customHeight="false" outlineLevel="0" collapsed="false">
      <c r="H5432" s="0" t="str">
        <f aca="false">IF(B5432="","",IF(COUNTIF(Campaigns!$A$7:$A$300,B5432)&gt;0,"✓","⚠ add to Campaigns tab"))</f>
        <v/>
      </c>
      <c r="I5432" s="84" t="str">
        <f aca="false">IF(C5432="","",C5432*IF(Settings!$B$23=Settings!$C$6,1,IF(Settings!$B$23="USD",1/INDEX(Settings!$B$29:$B$40,MONTH(A5432)),INDEX(Settings!$B$29:$B$40,MONTH(A5432)))))</f>
        <v/>
      </c>
    </row>
    <row r="5433" customFormat="false" ht="15" hidden="false" customHeight="false" outlineLevel="0" collapsed="false">
      <c r="H5433" s="0" t="str">
        <f aca="false">IF(B5433="","",IF(COUNTIF(Campaigns!$A$7:$A$300,B5433)&gt;0,"✓","⚠ add to Campaigns tab"))</f>
        <v/>
      </c>
      <c r="I5433" s="84" t="str">
        <f aca="false">IF(C5433="","",C5433*IF(Settings!$B$23=Settings!$C$6,1,IF(Settings!$B$23="USD",1/INDEX(Settings!$B$29:$B$40,MONTH(A5433)),INDEX(Settings!$B$29:$B$40,MONTH(A5433)))))</f>
        <v/>
      </c>
    </row>
    <row r="5434" customFormat="false" ht="15" hidden="false" customHeight="false" outlineLevel="0" collapsed="false">
      <c r="H5434" s="0" t="str">
        <f aca="false">IF(B5434="","",IF(COUNTIF(Campaigns!$A$7:$A$300,B5434)&gt;0,"✓","⚠ add to Campaigns tab"))</f>
        <v/>
      </c>
      <c r="I5434" s="84" t="str">
        <f aca="false">IF(C5434="","",C5434*IF(Settings!$B$23=Settings!$C$6,1,IF(Settings!$B$23="USD",1/INDEX(Settings!$B$29:$B$40,MONTH(A5434)),INDEX(Settings!$B$29:$B$40,MONTH(A5434)))))</f>
        <v/>
      </c>
    </row>
    <row r="5435" customFormat="false" ht="15" hidden="false" customHeight="false" outlineLevel="0" collapsed="false">
      <c r="H5435" s="0" t="str">
        <f aca="false">IF(B5435="","",IF(COUNTIF(Campaigns!$A$7:$A$300,B5435)&gt;0,"✓","⚠ add to Campaigns tab"))</f>
        <v/>
      </c>
      <c r="I5435" s="84" t="str">
        <f aca="false">IF(C5435="","",C5435*IF(Settings!$B$23=Settings!$C$6,1,IF(Settings!$B$23="USD",1/INDEX(Settings!$B$29:$B$40,MONTH(A5435)),INDEX(Settings!$B$29:$B$40,MONTH(A5435)))))</f>
        <v/>
      </c>
    </row>
    <row r="5436" customFormat="false" ht="15" hidden="false" customHeight="false" outlineLevel="0" collapsed="false">
      <c r="H5436" s="0" t="str">
        <f aca="false">IF(B5436="","",IF(COUNTIF(Campaigns!$A$7:$A$300,B5436)&gt;0,"✓","⚠ add to Campaigns tab"))</f>
        <v/>
      </c>
      <c r="I5436" s="84" t="str">
        <f aca="false">IF(C5436="","",C5436*IF(Settings!$B$23=Settings!$C$6,1,IF(Settings!$B$23="USD",1/INDEX(Settings!$B$29:$B$40,MONTH(A5436)),INDEX(Settings!$B$29:$B$40,MONTH(A5436)))))</f>
        <v/>
      </c>
    </row>
    <row r="5437" customFormat="false" ht="15" hidden="false" customHeight="false" outlineLevel="0" collapsed="false">
      <c r="H5437" s="0" t="str">
        <f aca="false">IF(B5437="","",IF(COUNTIF(Campaigns!$A$7:$A$300,B5437)&gt;0,"✓","⚠ add to Campaigns tab"))</f>
        <v/>
      </c>
      <c r="I5437" s="84" t="str">
        <f aca="false">IF(C5437="","",C5437*IF(Settings!$B$23=Settings!$C$6,1,IF(Settings!$B$23="USD",1/INDEX(Settings!$B$29:$B$40,MONTH(A5437)),INDEX(Settings!$B$29:$B$40,MONTH(A5437)))))</f>
        <v/>
      </c>
    </row>
    <row r="5438" customFormat="false" ht="15" hidden="false" customHeight="false" outlineLevel="0" collapsed="false">
      <c r="H5438" s="0" t="str">
        <f aca="false">IF(B5438="","",IF(COUNTIF(Campaigns!$A$7:$A$300,B5438)&gt;0,"✓","⚠ add to Campaigns tab"))</f>
        <v/>
      </c>
      <c r="I5438" s="84" t="str">
        <f aca="false">IF(C5438="","",C5438*IF(Settings!$B$23=Settings!$C$6,1,IF(Settings!$B$23="USD",1/INDEX(Settings!$B$29:$B$40,MONTH(A5438)),INDEX(Settings!$B$29:$B$40,MONTH(A5438)))))</f>
        <v/>
      </c>
    </row>
    <row r="5439" customFormat="false" ht="15" hidden="false" customHeight="false" outlineLevel="0" collapsed="false">
      <c r="H5439" s="0" t="str">
        <f aca="false">IF(B5439="","",IF(COUNTIF(Campaigns!$A$7:$A$300,B5439)&gt;0,"✓","⚠ add to Campaigns tab"))</f>
        <v/>
      </c>
      <c r="I5439" s="84" t="str">
        <f aca="false">IF(C5439="","",C5439*IF(Settings!$B$23=Settings!$C$6,1,IF(Settings!$B$23="USD",1/INDEX(Settings!$B$29:$B$40,MONTH(A5439)),INDEX(Settings!$B$29:$B$40,MONTH(A5439)))))</f>
        <v/>
      </c>
    </row>
    <row r="5440" customFormat="false" ht="15" hidden="false" customHeight="false" outlineLevel="0" collapsed="false">
      <c r="H5440" s="0" t="str">
        <f aca="false">IF(B5440="","",IF(COUNTIF(Campaigns!$A$7:$A$300,B5440)&gt;0,"✓","⚠ add to Campaigns tab"))</f>
        <v/>
      </c>
      <c r="I5440" s="84" t="str">
        <f aca="false">IF(C5440="","",C5440*IF(Settings!$B$23=Settings!$C$6,1,IF(Settings!$B$23="USD",1/INDEX(Settings!$B$29:$B$40,MONTH(A5440)),INDEX(Settings!$B$29:$B$40,MONTH(A5440)))))</f>
        <v/>
      </c>
    </row>
    <row r="5441" customFormat="false" ht="15" hidden="false" customHeight="false" outlineLevel="0" collapsed="false">
      <c r="H5441" s="0" t="str">
        <f aca="false">IF(B5441="","",IF(COUNTIF(Campaigns!$A$7:$A$300,B5441)&gt;0,"✓","⚠ add to Campaigns tab"))</f>
        <v/>
      </c>
      <c r="I5441" s="84" t="str">
        <f aca="false">IF(C5441="","",C5441*IF(Settings!$B$23=Settings!$C$6,1,IF(Settings!$B$23="USD",1/INDEX(Settings!$B$29:$B$40,MONTH(A5441)),INDEX(Settings!$B$29:$B$40,MONTH(A5441)))))</f>
        <v/>
      </c>
    </row>
    <row r="5442" customFormat="false" ht="15" hidden="false" customHeight="false" outlineLevel="0" collapsed="false">
      <c r="H5442" s="0" t="str">
        <f aca="false">IF(B5442="","",IF(COUNTIF(Campaigns!$A$7:$A$300,B5442)&gt;0,"✓","⚠ add to Campaigns tab"))</f>
        <v/>
      </c>
      <c r="I5442" s="84" t="str">
        <f aca="false">IF(C5442="","",C5442*IF(Settings!$B$23=Settings!$C$6,1,IF(Settings!$B$23="USD",1/INDEX(Settings!$B$29:$B$40,MONTH(A5442)),INDEX(Settings!$B$29:$B$40,MONTH(A5442)))))</f>
        <v/>
      </c>
    </row>
    <row r="5443" customFormat="false" ht="15" hidden="false" customHeight="false" outlineLevel="0" collapsed="false">
      <c r="H5443" s="0" t="str">
        <f aca="false">IF(B5443="","",IF(COUNTIF(Campaigns!$A$7:$A$300,B5443)&gt;0,"✓","⚠ add to Campaigns tab"))</f>
        <v/>
      </c>
      <c r="I5443" s="84" t="str">
        <f aca="false">IF(C5443="","",C5443*IF(Settings!$B$23=Settings!$C$6,1,IF(Settings!$B$23="USD",1/INDEX(Settings!$B$29:$B$40,MONTH(A5443)),INDEX(Settings!$B$29:$B$40,MONTH(A5443)))))</f>
        <v/>
      </c>
    </row>
    <row r="5444" customFormat="false" ht="15" hidden="false" customHeight="false" outlineLevel="0" collapsed="false">
      <c r="H5444" s="0" t="str">
        <f aca="false">IF(B5444="","",IF(COUNTIF(Campaigns!$A$7:$A$300,B5444)&gt;0,"✓","⚠ add to Campaigns tab"))</f>
        <v/>
      </c>
      <c r="I5444" s="84" t="str">
        <f aca="false">IF(C5444="","",C5444*IF(Settings!$B$23=Settings!$C$6,1,IF(Settings!$B$23="USD",1/INDEX(Settings!$B$29:$B$40,MONTH(A5444)),INDEX(Settings!$B$29:$B$40,MONTH(A5444)))))</f>
        <v/>
      </c>
    </row>
    <row r="5445" customFormat="false" ht="15" hidden="false" customHeight="false" outlineLevel="0" collapsed="false">
      <c r="H5445" s="0" t="str">
        <f aca="false">IF(B5445="","",IF(COUNTIF(Campaigns!$A$7:$A$300,B5445)&gt;0,"✓","⚠ add to Campaigns tab"))</f>
        <v/>
      </c>
      <c r="I5445" s="84" t="str">
        <f aca="false">IF(C5445="","",C5445*IF(Settings!$B$23=Settings!$C$6,1,IF(Settings!$B$23="USD",1/INDEX(Settings!$B$29:$B$40,MONTH(A5445)),INDEX(Settings!$B$29:$B$40,MONTH(A5445)))))</f>
        <v/>
      </c>
    </row>
    <row r="5446" customFormat="false" ht="15" hidden="false" customHeight="false" outlineLevel="0" collapsed="false">
      <c r="H5446" s="0" t="str">
        <f aca="false">IF(B5446="","",IF(COUNTIF(Campaigns!$A$7:$A$300,B5446)&gt;0,"✓","⚠ add to Campaigns tab"))</f>
        <v/>
      </c>
      <c r="I5446" s="84" t="str">
        <f aca="false">IF(C5446="","",C5446*IF(Settings!$B$23=Settings!$C$6,1,IF(Settings!$B$23="USD",1/INDEX(Settings!$B$29:$B$40,MONTH(A5446)),INDEX(Settings!$B$29:$B$40,MONTH(A5446)))))</f>
        <v/>
      </c>
    </row>
    <row r="5447" customFormat="false" ht="15" hidden="false" customHeight="false" outlineLevel="0" collapsed="false">
      <c r="H5447" s="0" t="str">
        <f aca="false">IF(B5447="","",IF(COUNTIF(Campaigns!$A$7:$A$300,B5447)&gt;0,"✓","⚠ add to Campaigns tab"))</f>
        <v/>
      </c>
      <c r="I5447" s="84" t="str">
        <f aca="false">IF(C5447="","",C5447*IF(Settings!$B$23=Settings!$C$6,1,IF(Settings!$B$23="USD",1/INDEX(Settings!$B$29:$B$40,MONTH(A5447)),INDEX(Settings!$B$29:$B$40,MONTH(A5447)))))</f>
        <v/>
      </c>
    </row>
    <row r="5448" customFormat="false" ht="15" hidden="false" customHeight="false" outlineLevel="0" collapsed="false">
      <c r="H5448" s="0" t="str">
        <f aca="false">IF(B5448="","",IF(COUNTIF(Campaigns!$A$7:$A$300,B5448)&gt;0,"✓","⚠ add to Campaigns tab"))</f>
        <v/>
      </c>
      <c r="I5448" s="84" t="str">
        <f aca="false">IF(C5448="","",C5448*IF(Settings!$B$23=Settings!$C$6,1,IF(Settings!$B$23="USD",1/INDEX(Settings!$B$29:$B$40,MONTH(A5448)),INDEX(Settings!$B$29:$B$40,MONTH(A5448)))))</f>
        <v/>
      </c>
    </row>
    <row r="5449" customFormat="false" ht="15" hidden="false" customHeight="false" outlineLevel="0" collapsed="false">
      <c r="H5449" s="0" t="str">
        <f aca="false">IF(B5449="","",IF(COUNTIF(Campaigns!$A$7:$A$300,B5449)&gt;0,"✓","⚠ add to Campaigns tab"))</f>
        <v/>
      </c>
      <c r="I5449" s="84" t="str">
        <f aca="false">IF(C5449="","",C5449*IF(Settings!$B$23=Settings!$C$6,1,IF(Settings!$B$23="USD",1/INDEX(Settings!$B$29:$B$40,MONTH(A5449)),INDEX(Settings!$B$29:$B$40,MONTH(A5449)))))</f>
        <v/>
      </c>
    </row>
    <row r="5450" customFormat="false" ht="15" hidden="false" customHeight="false" outlineLevel="0" collapsed="false">
      <c r="H5450" s="0" t="str">
        <f aca="false">IF(B5450="","",IF(COUNTIF(Campaigns!$A$7:$A$300,B5450)&gt;0,"✓","⚠ add to Campaigns tab"))</f>
        <v/>
      </c>
      <c r="I5450" s="84" t="str">
        <f aca="false">IF(C5450="","",C5450*IF(Settings!$B$23=Settings!$C$6,1,IF(Settings!$B$23="USD",1/INDEX(Settings!$B$29:$B$40,MONTH(A5450)),INDEX(Settings!$B$29:$B$40,MONTH(A5450)))))</f>
        <v/>
      </c>
    </row>
    <row r="5451" customFormat="false" ht="15" hidden="false" customHeight="false" outlineLevel="0" collapsed="false">
      <c r="H5451" s="0" t="str">
        <f aca="false">IF(B5451="","",IF(COUNTIF(Campaigns!$A$7:$A$300,B5451)&gt;0,"✓","⚠ add to Campaigns tab"))</f>
        <v/>
      </c>
      <c r="I5451" s="84" t="str">
        <f aca="false">IF(C5451="","",C5451*IF(Settings!$B$23=Settings!$C$6,1,IF(Settings!$B$23="USD",1/INDEX(Settings!$B$29:$B$40,MONTH(A5451)),INDEX(Settings!$B$29:$B$40,MONTH(A5451)))))</f>
        <v/>
      </c>
    </row>
    <row r="5452" customFormat="false" ht="15" hidden="false" customHeight="false" outlineLevel="0" collapsed="false">
      <c r="H5452" s="0" t="str">
        <f aca="false">IF(B5452="","",IF(COUNTIF(Campaigns!$A$7:$A$300,B5452)&gt;0,"✓","⚠ add to Campaigns tab"))</f>
        <v/>
      </c>
      <c r="I5452" s="84" t="str">
        <f aca="false">IF(C5452="","",C5452*IF(Settings!$B$23=Settings!$C$6,1,IF(Settings!$B$23="USD",1/INDEX(Settings!$B$29:$B$40,MONTH(A5452)),INDEX(Settings!$B$29:$B$40,MONTH(A5452)))))</f>
        <v/>
      </c>
    </row>
    <row r="5453" customFormat="false" ht="15" hidden="false" customHeight="false" outlineLevel="0" collapsed="false">
      <c r="H5453" s="0" t="str">
        <f aca="false">IF(B5453="","",IF(COUNTIF(Campaigns!$A$7:$A$300,B5453)&gt;0,"✓","⚠ add to Campaigns tab"))</f>
        <v/>
      </c>
      <c r="I5453" s="84" t="str">
        <f aca="false">IF(C5453="","",C5453*IF(Settings!$B$23=Settings!$C$6,1,IF(Settings!$B$23="USD",1/INDEX(Settings!$B$29:$B$40,MONTH(A5453)),INDEX(Settings!$B$29:$B$40,MONTH(A5453)))))</f>
        <v/>
      </c>
    </row>
    <row r="5454" customFormat="false" ht="15" hidden="false" customHeight="false" outlineLevel="0" collapsed="false">
      <c r="H5454" s="0" t="str">
        <f aca="false">IF(B5454="","",IF(COUNTIF(Campaigns!$A$7:$A$300,B5454)&gt;0,"✓","⚠ add to Campaigns tab"))</f>
        <v/>
      </c>
      <c r="I5454" s="84" t="str">
        <f aca="false">IF(C5454="","",C5454*IF(Settings!$B$23=Settings!$C$6,1,IF(Settings!$B$23="USD",1/INDEX(Settings!$B$29:$B$40,MONTH(A5454)),INDEX(Settings!$B$29:$B$40,MONTH(A5454)))))</f>
        <v/>
      </c>
    </row>
    <row r="5455" customFormat="false" ht="15" hidden="false" customHeight="false" outlineLevel="0" collapsed="false">
      <c r="H5455" s="0" t="str">
        <f aca="false">IF(B5455="","",IF(COUNTIF(Campaigns!$A$7:$A$300,B5455)&gt;0,"✓","⚠ add to Campaigns tab"))</f>
        <v/>
      </c>
      <c r="I5455" s="84" t="str">
        <f aca="false">IF(C5455="","",C5455*IF(Settings!$B$23=Settings!$C$6,1,IF(Settings!$B$23="USD",1/INDEX(Settings!$B$29:$B$40,MONTH(A5455)),INDEX(Settings!$B$29:$B$40,MONTH(A5455)))))</f>
        <v/>
      </c>
    </row>
    <row r="5456" customFormat="false" ht="15" hidden="false" customHeight="false" outlineLevel="0" collapsed="false">
      <c r="H5456" s="0" t="str">
        <f aca="false">IF(B5456="","",IF(COUNTIF(Campaigns!$A$7:$A$300,B5456)&gt;0,"✓","⚠ add to Campaigns tab"))</f>
        <v/>
      </c>
      <c r="I5456" s="84" t="str">
        <f aca="false">IF(C5456="","",C5456*IF(Settings!$B$23=Settings!$C$6,1,IF(Settings!$B$23="USD",1/INDEX(Settings!$B$29:$B$40,MONTH(A5456)),INDEX(Settings!$B$29:$B$40,MONTH(A5456)))))</f>
        <v/>
      </c>
    </row>
    <row r="5457" customFormat="false" ht="15" hidden="false" customHeight="false" outlineLevel="0" collapsed="false">
      <c r="H5457" s="0" t="str">
        <f aca="false">IF(B5457="","",IF(COUNTIF(Campaigns!$A$7:$A$300,B5457)&gt;0,"✓","⚠ add to Campaigns tab"))</f>
        <v/>
      </c>
      <c r="I5457" s="84" t="str">
        <f aca="false">IF(C5457="","",C5457*IF(Settings!$B$23=Settings!$C$6,1,IF(Settings!$B$23="USD",1/INDEX(Settings!$B$29:$B$40,MONTH(A5457)),INDEX(Settings!$B$29:$B$40,MONTH(A5457)))))</f>
        <v/>
      </c>
    </row>
    <row r="5458" customFormat="false" ht="15" hidden="false" customHeight="false" outlineLevel="0" collapsed="false">
      <c r="H5458" s="0" t="str">
        <f aca="false">IF(B5458="","",IF(COUNTIF(Campaigns!$A$7:$A$300,B5458)&gt;0,"✓","⚠ add to Campaigns tab"))</f>
        <v/>
      </c>
      <c r="I5458" s="84" t="str">
        <f aca="false">IF(C5458="","",C5458*IF(Settings!$B$23=Settings!$C$6,1,IF(Settings!$B$23="USD",1/INDEX(Settings!$B$29:$B$40,MONTH(A5458)),INDEX(Settings!$B$29:$B$40,MONTH(A5458)))))</f>
        <v/>
      </c>
    </row>
    <row r="5459" customFormat="false" ht="15" hidden="false" customHeight="false" outlineLevel="0" collapsed="false">
      <c r="H5459" s="0" t="str">
        <f aca="false">IF(B5459="","",IF(COUNTIF(Campaigns!$A$7:$A$300,B5459)&gt;0,"✓","⚠ add to Campaigns tab"))</f>
        <v/>
      </c>
      <c r="I5459" s="84" t="str">
        <f aca="false">IF(C5459="","",C5459*IF(Settings!$B$23=Settings!$C$6,1,IF(Settings!$B$23="USD",1/INDEX(Settings!$B$29:$B$40,MONTH(A5459)),INDEX(Settings!$B$29:$B$40,MONTH(A5459)))))</f>
        <v/>
      </c>
    </row>
    <row r="5460" customFormat="false" ht="15" hidden="false" customHeight="false" outlineLevel="0" collapsed="false">
      <c r="H5460" s="0" t="str">
        <f aca="false">IF(B5460="","",IF(COUNTIF(Campaigns!$A$7:$A$300,B5460)&gt;0,"✓","⚠ add to Campaigns tab"))</f>
        <v/>
      </c>
      <c r="I5460" s="84" t="str">
        <f aca="false">IF(C5460="","",C5460*IF(Settings!$B$23=Settings!$C$6,1,IF(Settings!$B$23="USD",1/INDEX(Settings!$B$29:$B$40,MONTH(A5460)),INDEX(Settings!$B$29:$B$40,MONTH(A5460)))))</f>
        <v/>
      </c>
    </row>
    <row r="5461" customFormat="false" ht="15" hidden="false" customHeight="false" outlineLevel="0" collapsed="false">
      <c r="H5461" s="0" t="str">
        <f aca="false">IF(B5461="","",IF(COUNTIF(Campaigns!$A$7:$A$300,B5461)&gt;0,"✓","⚠ add to Campaigns tab"))</f>
        <v/>
      </c>
      <c r="I5461" s="84" t="str">
        <f aca="false">IF(C5461="","",C5461*IF(Settings!$B$23=Settings!$C$6,1,IF(Settings!$B$23="USD",1/INDEX(Settings!$B$29:$B$40,MONTH(A5461)),INDEX(Settings!$B$29:$B$40,MONTH(A5461)))))</f>
        <v/>
      </c>
    </row>
    <row r="5462" customFormat="false" ht="15" hidden="false" customHeight="false" outlineLevel="0" collapsed="false">
      <c r="H5462" s="0" t="str">
        <f aca="false">IF(B5462="","",IF(COUNTIF(Campaigns!$A$7:$A$300,B5462)&gt;0,"✓","⚠ add to Campaigns tab"))</f>
        <v/>
      </c>
      <c r="I5462" s="84" t="str">
        <f aca="false">IF(C5462="","",C5462*IF(Settings!$B$23=Settings!$C$6,1,IF(Settings!$B$23="USD",1/INDEX(Settings!$B$29:$B$40,MONTH(A5462)),INDEX(Settings!$B$29:$B$40,MONTH(A5462)))))</f>
        <v/>
      </c>
    </row>
    <row r="5463" customFormat="false" ht="15" hidden="false" customHeight="false" outlineLevel="0" collapsed="false">
      <c r="H5463" s="0" t="str">
        <f aca="false">IF(B5463="","",IF(COUNTIF(Campaigns!$A$7:$A$300,B5463)&gt;0,"✓","⚠ add to Campaigns tab"))</f>
        <v/>
      </c>
      <c r="I5463" s="84" t="str">
        <f aca="false">IF(C5463="","",C5463*IF(Settings!$B$23=Settings!$C$6,1,IF(Settings!$B$23="USD",1/INDEX(Settings!$B$29:$B$40,MONTH(A5463)),INDEX(Settings!$B$29:$B$40,MONTH(A5463)))))</f>
        <v/>
      </c>
    </row>
    <row r="5464" customFormat="false" ht="15" hidden="false" customHeight="false" outlineLevel="0" collapsed="false">
      <c r="H5464" s="0" t="str">
        <f aca="false">IF(B5464="","",IF(COUNTIF(Campaigns!$A$7:$A$300,B5464)&gt;0,"✓","⚠ add to Campaigns tab"))</f>
        <v/>
      </c>
      <c r="I5464" s="84" t="str">
        <f aca="false">IF(C5464="","",C5464*IF(Settings!$B$23=Settings!$C$6,1,IF(Settings!$B$23="USD",1/INDEX(Settings!$B$29:$B$40,MONTH(A5464)),INDEX(Settings!$B$29:$B$40,MONTH(A5464)))))</f>
        <v/>
      </c>
    </row>
    <row r="5465" customFormat="false" ht="15" hidden="false" customHeight="false" outlineLevel="0" collapsed="false">
      <c r="H5465" s="0" t="str">
        <f aca="false">IF(B5465="","",IF(COUNTIF(Campaigns!$A$7:$A$300,B5465)&gt;0,"✓","⚠ add to Campaigns tab"))</f>
        <v/>
      </c>
      <c r="I5465" s="84" t="str">
        <f aca="false">IF(C5465="","",C5465*IF(Settings!$B$23=Settings!$C$6,1,IF(Settings!$B$23="USD",1/INDEX(Settings!$B$29:$B$40,MONTH(A5465)),INDEX(Settings!$B$29:$B$40,MONTH(A5465)))))</f>
        <v/>
      </c>
    </row>
    <row r="5466" customFormat="false" ht="15" hidden="false" customHeight="false" outlineLevel="0" collapsed="false">
      <c r="H5466" s="0" t="str">
        <f aca="false">IF(B5466="","",IF(COUNTIF(Campaigns!$A$7:$A$300,B5466)&gt;0,"✓","⚠ add to Campaigns tab"))</f>
        <v/>
      </c>
      <c r="I5466" s="84" t="str">
        <f aca="false">IF(C5466="","",C5466*IF(Settings!$B$23=Settings!$C$6,1,IF(Settings!$B$23="USD",1/INDEX(Settings!$B$29:$B$40,MONTH(A5466)),INDEX(Settings!$B$29:$B$40,MONTH(A5466)))))</f>
        <v/>
      </c>
    </row>
    <row r="5467" customFormat="false" ht="15" hidden="false" customHeight="false" outlineLevel="0" collapsed="false">
      <c r="H5467" s="0" t="str">
        <f aca="false">IF(B5467="","",IF(COUNTIF(Campaigns!$A$7:$A$300,B5467)&gt;0,"✓","⚠ add to Campaigns tab"))</f>
        <v/>
      </c>
      <c r="I5467" s="84" t="str">
        <f aca="false">IF(C5467="","",C5467*IF(Settings!$B$23=Settings!$C$6,1,IF(Settings!$B$23="USD",1/INDEX(Settings!$B$29:$B$40,MONTH(A5467)),INDEX(Settings!$B$29:$B$40,MONTH(A5467)))))</f>
        <v/>
      </c>
    </row>
    <row r="5468" customFormat="false" ht="15" hidden="false" customHeight="false" outlineLevel="0" collapsed="false">
      <c r="H5468" s="0" t="str">
        <f aca="false">IF(B5468="","",IF(COUNTIF(Campaigns!$A$7:$A$300,B5468)&gt;0,"✓","⚠ add to Campaigns tab"))</f>
        <v/>
      </c>
      <c r="I5468" s="84" t="str">
        <f aca="false">IF(C5468="","",C5468*IF(Settings!$B$23=Settings!$C$6,1,IF(Settings!$B$23="USD",1/INDEX(Settings!$B$29:$B$40,MONTH(A5468)),INDEX(Settings!$B$29:$B$40,MONTH(A5468)))))</f>
        <v/>
      </c>
    </row>
    <row r="5469" customFormat="false" ht="15" hidden="false" customHeight="false" outlineLevel="0" collapsed="false">
      <c r="H5469" s="0" t="str">
        <f aca="false">IF(B5469="","",IF(COUNTIF(Campaigns!$A$7:$A$300,B5469)&gt;0,"✓","⚠ add to Campaigns tab"))</f>
        <v/>
      </c>
      <c r="I5469" s="84" t="str">
        <f aca="false">IF(C5469="","",C5469*IF(Settings!$B$23=Settings!$C$6,1,IF(Settings!$B$23="USD",1/INDEX(Settings!$B$29:$B$40,MONTH(A5469)),INDEX(Settings!$B$29:$B$40,MONTH(A5469)))))</f>
        <v/>
      </c>
    </row>
    <row r="5470" customFormat="false" ht="15" hidden="false" customHeight="false" outlineLevel="0" collapsed="false">
      <c r="H5470" s="0" t="str">
        <f aca="false">IF(B5470="","",IF(COUNTIF(Campaigns!$A$7:$A$300,B5470)&gt;0,"✓","⚠ add to Campaigns tab"))</f>
        <v/>
      </c>
      <c r="I5470" s="84" t="str">
        <f aca="false">IF(C5470="","",C5470*IF(Settings!$B$23=Settings!$C$6,1,IF(Settings!$B$23="USD",1/INDEX(Settings!$B$29:$B$40,MONTH(A5470)),INDEX(Settings!$B$29:$B$40,MONTH(A5470)))))</f>
        <v/>
      </c>
    </row>
    <row r="5471" customFormat="false" ht="15" hidden="false" customHeight="false" outlineLevel="0" collapsed="false">
      <c r="H5471" s="0" t="str">
        <f aca="false">IF(B5471="","",IF(COUNTIF(Campaigns!$A$7:$A$300,B5471)&gt;0,"✓","⚠ add to Campaigns tab"))</f>
        <v/>
      </c>
      <c r="I5471" s="84" t="str">
        <f aca="false">IF(C5471="","",C5471*IF(Settings!$B$23=Settings!$C$6,1,IF(Settings!$B$23="USD",1/INDEX(Settings!$B$29:$B$40,MONTH(A5471)),INDEX(Settings!$B$29:$B$40,MONTH(A5471)))))</f>
        <v/>
      </c>
    </row>
    <row r="5472" customFormat="false" ht="15" hidden="false" customHeight="false" outlineLevel="0" collapsed="false">
      <c r="H5472" s="0" t="str">
        <f aca="false">IF(B5472="","",IF(COUNTIF(Campaigns!$A$7:$A$300,B5472)&gt;0,"✓","⚠ add to Campaigns tab"))</f>
        <v/>
      </c>
      <c r="I5472" s="84" t="str">
        <f aca="false">IF(C5472="","",C5472*IF(Settings!$B$23=Settings!$C$6,1,IF(Settings!$B$23="USD",1/INDEX(Settings!$B$29:$B$40,MONTH(A5472)),INDEX(Settings!$B$29:$B$40,MONTH(A5472)))))</f>
        <v/>
      </c>
    </row>
    <row r="5473" customFormat="false" ht="15" hidden="false" customHeight="false" outlineLevel="0" collapsed="false">
      <c r="H5473" s="0" t="str">
        <f aca="false">IF(B5473="","",IF(COUNTIF(Campaigns!$A$7:$A$300,B5473)&gt;0,"✓","⚠ add to Campaigns tab"))</f>
        <v/>
      </c>
      <c r="I5473" s="84" t="str">
        <f aca="false">IF(C5473="","",C5473*IF(Settings!$B$23=Settings!$C$6,1,IF(Settings!$B$23="USD",1/INDEX(Settings!$B$29:$B$40,MONTH(A5473)),INDEX(Settings!$B$29:$B$40,MONTH(A5473)))))</f>
        <v/>
      </c>
    </row>
    <row r="5474" customFormat="false" ht="15" hidden="false" customHeight="false" outlineLevel="0" collapsed="false">
      <c r="H5474" s="0" t="str">
        <f aca="false">IF(B5474="","",IF(COUNTIF(Campaigns!$A$7:$A$300,B5474)&gt;0,"✓","⚠ add to Campaigns tab"))</f>
        <v/>
      </c>
      <c r="I5474" s="84" t="str">
        <f aca="false">IF(C5474="","",C5474*IF(Settings!$B$23=Settings!$C$6,1,IF(Settings!$B$23="USD",1/INDEX(Settings!$B$29:$B$40,MONTH(A5474)),INDEX(Settings!$B$29:$B$40,MONTH(A5474)))))</f>
        <v/>
      </c>
    </row>
    <row r="5475" customFormat="false" ht="15" hidden="false" customHeight="false" outlineLevel="0" collapsed="false">
      <c r="H5475" s="0" t="str">
        <f aca="false">IF(B5475="","",IF(COUNTIF(Campaigns!$A$7:$A$300,B5475)&gt;0,"✓","⚠ add to Campaigns tab"))</f>
        <v/>
      </c>
      <c r="I5475" s="84" t="str">
        <f aca="false">IF(C5475="","",C5475*IF(Settings!$B$23=Settings!$C$6,1,IF(Settings!$B$23="USD",1/INDEX(Settings!$B$29:$B$40,MONTH(A5475)),INDEX(Settings!$B$29:$B$40,MONTH(A5475)))))</f>
        <v/>
      </c>
    </row>
    <row r="5476" customFormat="false" ht="15" hidden="false" customHeight="false" outlineLevel="0" collapsed="false">
      <c r="H5476" s="0" t="str">
        <f aca="false">IF(B5476="","",IF(COUNTIF(Campaigns!$A$7:$A$300,B5476)&gt;0,"✓","⚠ add to Campaigns tab"))</f>
        <v/>
      </c>
      <c r="I5476" s="84" t="str">
        <f aca="false">IF(C5476="","",C5476*IF(Settings!$B$23=Settings!$C$6,1,IF(Settings!$B$23="USD",1/INDEX(Settings!$B$29:$B$40,MONTH(A5476)),INDEX(Settings!$B$29:$B$40,MONTH(A5476)))))</f>
        <v/>
      </c>
    </row>
    <row r="5477" customFormat="false" ht="15" hidden="false" customHeight="false" outlineLevel="0" collapsed="false">
      <c r="H5477" s="0" t="str">
        <f aca="false">IF(B5477="","",IF(COUNTIF(Campaigns!$A$7:$A$300,B5477)&gt;0,"✓","⚠ add to Campaigns tab"))</f>
        <v/>
      </c>
      <c r="I5477" s="84" t="str">
        <f aca="false">IF(C5477="","",C5477*IF(Settings!$B$23=Settings!$C$6,1,IF(Settings!$B$23="USD",1/INDEX(Settings!$B$29:$B$40,MONTH(A5477)),INDEX(Settings!$B$29:$B$40,MONTH(A5477)))))</f>
        <v/>
      </c>
    </row>
    <row r="5478" customFormat="false" ht="15" hidden="false" customHeight="false" outlineLevel="0" collapsed="false">
      <c r="H5478" s="0" t="str">
        <f aca="false">IF(B5478="","",IF(COUNTIF(Campaigns!$A$7:$A$300,B5478)&gt;0,"✓","⚠ add to Campaigns tab"))</f>
        <v/>
      </c>
      <c r="I5478" s="84" t="str">
        <f aca="false">IF(C5478="","",C5478*IF(Settings!$B$23=Settings!$C$6,1,IF(Settings!$B$23="USD",1/INDEX(Settings!$B$29:$B$40,MONTH(A5478)),INDEX(Settings!$B$29:$B$40,MONTH(A5478)))))</f>
        <v/>
      </c>
    </row>
    <row r="5479" customFormat="false" ht="15" hidden="false" customHeight="false" outlineLevel="0" collapsed="false">
      <c r="H5479" s="0" t="str">
        <f aca="false">IF(B5479="","",IF(COUNTIF(Campaigns!$A$7:$A$300,B5479)&gt;0,"✓","⚠ add to Campaigns tab"))</f>
        <v/>
      </c>
      <c r="I5479" s="84" t="str">
        <f aca="false">IF(C5479="","",C5479*IF(Settings!$B$23=Settings!$C$6,1,IF(Settings!$B$23="USD",1/INDEX(Settings!$B$29:$B$40,MONTH(A5479)),INDEX(Settings!$B$29:$B$40,MONTH(A5479)))))</f>
        <v/>
      </c>
    </row>
    <row r="5480" customFormat="false" ht="15" hidden="false" customHeight="false" outlineLevel="0" collapsed="false">
      <c r="H5480" s="0" t="str">
        <f aca="false">IF(B5480="","",IF(COUNTIF(Campaigns!$A$7:$A$300,B5480)&gt;0,"✓","⚠ add to Campaigns tab"))</f>
        <v/>
      </c>
      <c r="I5480" s="84" t="str">
        <f aca="false">IF(C5480="","",C5480*IF(Settings!$B$23=Settings!$C$6,1,IF(Settings!$B$23="USD",1/INDEX(Settings!$B$29:$B$40,MONTH(A5480)),INDEX(Settings!$B$29:$B$40,MONTH(A5480)))))</f>
        <v/>
      </c>
    </row>
    <row r="5481" customFormat="false" ht="15" hidden="false" customHeight="false" outlineLevel="0" collapsed="false">
      <c r="H5481" s="0" t="str">
        <f aca="false">IF(B5481="","",IF(COUNTIF(Campaigns!$A$7:$A$300,B5481)&gt;0,"✓","⚠ add to Campaigns tab"))</f>
        <v/>
      </c>
      <c r="I5481" s="84" t="str">
        <f aca="false">IF(C5481="","",C5481*IF(Settings!$B$23=Settings!$C$6,1,IF(Settings!$B$23="USD",1/INDEX(Settings!$B$29:$B$40,MONTH(A5481)),INDEX(Settings!$B$29:$B$40,MONTH(A5481)))))</f>
        <v/>
      </c>
    </row>
    <row r="5482" customFormat="false" ht="15" hidden="false" customHeight="false" outlineLevel="0" collapsed="false">
      <c r="H5482" s="0" t="str">
        <f aca="false">IF(B5482="","",IF(COUNTIF(Campaigns!$A$7:$A$300,B5482)&gt;0,"✓","⚠ add to Campaigns tab"))</f>
        <v/>
      </c>
      <c r="I5482" s="84" t="str">
        <f aca="false">IF(C5482="","",C5482*IF(Settings!$B$23=Settings!$C$6,1,IF(Settings!$B$23="USD",1/INDEX(Settings!$B$29:$B$40,MONTH(A5482)),INDEX(Settings!$B$29:$B$40,MONTH(A5482)))))</f>
        <v/>
      </c>
    </row>
    <row r="5483" customFormat="false" ht="15" hidden="false" customHeight="false" outlineLevel="0" collapsed="false">
      <c r="H5483" s="0" t="str">
        <f aca="false">IF(B5483="","",IF(COUNTIF(Campaigns!$A$7:$A$300,B5483)&gt;0,"✓","⚠ add to Campaigns tab"))</f>
        <v/>
      </c>
      <c r="I5483" s="84" t="str">
        <f aca="false">IF(C5483="","",C5483*IF(Settings!$B$23=Settings!$C$6,1,IF(Settings!$B$23="USD",1/INDEX(Settings!$B$29:$B$40,MONTH(A5483)),INDEX(Settings!$B$29:$B$40,MONTH(A5483)))))</f>
        <v/>
      </c>
    </row>
    <row r="5484" customFormat="false" ht="15" hidden="false" customHeight="false" outlineLevel="0" collapsed="false">
      <c r="H5484" s="0" t="str">
        <f aca="false">IF(B5484="","",IF(COUNTIF(Campaigns!$A$7:$A$300,B5484)&gt;0,"✓","⚠ add to Campaigns tab"))</f>
        <v/>
      </c>
      <c r="I5484" s="84" t="str">
        <f aca="false">IF(C5484="","",C5484*IF(Settings!$B$23=Settings!$C$6,1,IF(Settings!$B$23="USD",1/INDEX(Settings!$B$29:$B$40,MONTH(A5484)),INDEX(Settings!$B$29:$B$40,MONTH(A5484)))))</f>
        <v/>
      </c>
    </row>
    <row r="5485" customFormat="false" ht="15" hidden="false" customHeight="false" outlineLevel="0" collapsed="false">
      <c r="H5485" s="0" t="str">
        <f aca="false">IF(B5485="","",IF(COUNTIF(Campaigns!$A$7:$A$300,B5485)&gt;0,"✓","⚠ add to Campaigns tab"))</f>
        <v/>
      </c>
      <c r="I5485" s="84" t="str">
        <f aca="false">IF(C5485="","",C5485*IF(Settings!$B$23=Settings!$C$6,1,IF(Settings!$B$23="USD",1/INDEX(Settings!$B$29:$B$40,MONTH(A5485)),INDEX(Settings!$B$29:$B$40,MONTH(A5485)))))</f>
        <v/>
      </c>
    </row>
    <row r="5486" customFormat="false" ht="15" hidden="false" customHeight="false" outlineLevel="0" collapsed="false">
      <c r="H5486" s="0" t="str">
        <f aca="false">IF(B5486="","",IF(COUNTIF(Campaigns!$A$7:$A$300,B5486)&gt;0,"✓","⚠ add to Campaigns tab"))</f>
        <v/>
      </c>
      <c r="I5486" s="84" t="str">
        <f aca="false">IF(C5486="","",C5486*IF(Settings!$B$23=Settings!$C$6,1,IF(Settings!$B$23="USD",1/INDEX(Settings!$B$29:$B$40,MONTH(A5486)),INDEX(Settings!$B$29:$B$40,MONTH(A5486)))))</f>
        <v/>
      </c>
    </row>
    <row r="5487" customFormat="false" ht="15" hidden="false" customHeight="false" outlineLevel="0" collapsed="false">
      <c r="H5487" s="0" t="str">
        <f aca="false">IF(B5487="","",IF(COUNTIF(Campaigns!$A$7:$A$300,B5487)&gt;0,"✓","⚠ add to Campaigns tab"))</f>
        <v/>
      </c>
      <c r="I5487" s="84" t="str">
        <f aca="false">IF(C5487="","",C5487*IF(Settings!$B$23=Settings!$C$6,1,IF(Settings!$B$23="USD",1/INDEX(Settings!$B$29:$B$40,MONTH(A5487)),INDEX(Settings!$B$29:$B$40,MONTH(A5487)))))</f>
        <v/>
      </c>
    </row>
    <row r="5488" customFormat="false" ht="15" hidden="false" customHeight="false" outlineLevel="0" collapsed="false">
      <c r="H5488" s="0" t="str">
        <f aca="false">IF(B5488="","",IF(COUNTIF(Campaigns!$A$7:$A$300,B5488)&gt;0,"✓","⚠ add to Campaigns tab"))</f>
        <v/>
      </c>
      <c r="I5488" s="84" t="str">
        <f aca="false">IF(C5488="","",C5488*IF(Settings!$B$23=Settings!$C$6,1,IF(Settings!$B$23="USD",1/INDEX(Settings!$B$29:$B$40,MONTH(A5488)),INDEX(Settings!$B$29:$B$40,MONTH(A5488)))))</f>
        <v/>
      </c>
    </row>
    <row r="5489" customFormat="false" ht="15" hidden="false" customHeight="false" outlineLevel="0" collapsed="false">
      <c r="H5489" s="0" t="str">
        <f aca="false">IF(B5489="","",IF(COUNTIF(Campaigns!$A$7:$A$300,B5489)&gt;0,"✓","⚠ add to Campaigns tab"))</f>
        <v/>
      </c>
      <c r="I5489" s="84" t="str">
        <f aca="false">IF(C5489="","",C5489*IF(Settings!$B$23=Settings!$C$6,1,IF(Settings!$B$23="USD",1/INDEX(Settings!$B$29:$B$40,MONTH(A5489)),INDEX(Settings!$B$29:$B$40,MONTH(A5489)))))</f>
        <v/>
      </c>
    </row>
    <row r="5490" customFormat="false" ht="15" hidden="false" customHeight="false" outlineLevel="0" collapsed="false">
      <c r="H5490" s="0" t="str">
        <f aca="false">IF(B5490="","",IF(COUNTIF(Campaigns!$A$7:$A$300,B5490)&gt;0,"✓","⚠ add to Campaigns tab"))</f>
        <v/>
      </c>
      <c r="I5490" s="84" t="str">
        <f aca="false">IF(C5490="","",C5490*IF(Settings!$B$23=Settings!$C$6,1,IF(Settings!$B$23="USD",1/INDEX(Settings!$B$29:$B$40,MONTH(A5490)),INDEX(Settings!$B$29:$B$40,MONTH(A5490)))))</f>
        <v/>
      </c>
    </row>
    <row r="5491" customFormat="false" ht="15" hidden="false" customHeight="false" outlineLevel="0" collapsed="false">
      <c r="H5491" s="0" t="str">
        <f aca="false">IF(B5491="","",IF(COUNTIF(Campaigns!$A$7:$A$300,B5491)&gt;0,"✓","⚠ add to Campaigns tab"))</f>
        <v/>
      </c>
      <c r="I5491" s="84" t="str">
        <f aca="false">IF(C5491="","",C5491*IF(Settings!$B$23=Settings!$C$6,1,IF(Settings!$B$23="USD",1/INDEX(Settings!$B$29:$B$40,MONTH(A5491)),INDEX(Settings!$B$29:$B$40,MONTH(A5491)))))</f>
        <v/>
      </c>
    </row>
    <row r="5492" customFormat="false" ht="15" hidden="false" customHeight="false" outlineLevel="0" collapsed="false">
      <c r="H5492" s="0" t="str">
        <f aca="false">IF(B5492="","",IF(COUNTIF(Campaigns!$A$7:$A$300,B5492)&gt;0,"✓","⚠ add to Campaigns tab"))</f>
        <v/>
      </c>
      <c r="I5492" s="84" t="str">
        <f aca="false">IF(C5492="","",C5492*IF(Settings!$B$23=Settings!$C$6,1,IF(Settings!$B$23="USD",1/INDEX(Settings!$B$29:$B$40,MONTH(A5492)),INDEX(Settings!$B$29:$B$40,MONTH(A5492)))))</f>
        <v/>
      </c>
    </row>
    <row r="5493" customFormat="false" ht="15" hidden="false" customHeight="false" outlineLevel="0" collapsed="false">
      <c r="H5493" s="0" t="str">
        <f aca="false">IF(B5493="","",IF(COUNTIF(Campaigns!$A$7:$A$300,B5493)&gt;0,"✓","⚠ add to Campaigns tab"))</f>
        <v/>
      </c>
      <c r="I5493" s="84" t="str">
        <f aca="false">IF(C5493="","",C5493*IF(Settings!$B$23=Settings!$C$6,1,IF(Settings!$B$23="USD",1/INDEX(Settings!$B$29:$B$40,MONTH(A5493)),INDEX(Settings!$B$29:$B$40,MONTH(A5493)))))</f>
        <v/>
      </c>
    </row>
    <row r="5494" customFormat="false" ht="15" hidden="false" customHeight="false" outlineLevel="0" collapsed="false">
      <c r="H5494" s="0" t="str">
        <f aca="false">IF(B5494="","",IF(COUNTIF(Campaigns!$A$7:$A$300,B5494)&gt;0,"✓","⚠ add to Campaigns tab"))</f>
        <v/>
      </c>
      <c r="I5494" s="84" t="str">
        <f aca="false">IF(C5494="","",C5494*IF(Settings!$B$23=Settings!$C$6,1,IF(Settings!$B$23="USD",1/INDEX(Settings!$B$29:$B$40,MONTH(A5494)),INDEX(Settings!$B$29:$B$40,MONTH(A5494)))))</f>
        <v/>
      </c>
    </row>
    <row r="5495" customFormat="false" ht="15" hidden="false" customHeight="false" outlineLevel="0" collapsed="false">
      <c r="H5495" s="0" t="str">
        <f aca="false">IF(B5495="","",IF(COUNTIF(Campaigns!$A$7:$A$300,B5495)&gt;0,"✓","⚠ add to Campaigns tab"))</f>
        <v/>
      </c>
      <c r="I5495" s="84" t="str">
        <f aca="false">IF(C5495="","",C5495*IF(Settings!$B$23=Settings!$C$6,1,IF(Settings!$B$23="USD",1/INDEX(Settings!$B$29:$B$40,MONTH(A5495)),INDEX(Settings!$B$29:$B$40,MONTH(A5495)))))</f>
        <v/>
      </c>
    </row>
    <row r="5496" customFormat="false" ht="15" hidden="false" customHeight="false" outlineLevel="0" collapsed="false">
      <c r="H5496" s="0" t="str">
        <f aca="false">IF(B5496="","",IF(COUNTIF(Campaigns!$A$7:$A$300,B5496)&gt;0,"✓","⚠ add to Campaigns tab"))</f>
        <v/>
      </c>
      <c r="I5496" s="84" t="str">
        <f aca="false">IF(C5496="","",C5496*IF(Settings!$B$23=Settings!$C$6,1,IF(Settings!$B$23="USD",1/INDEX(Settings!$B$29:$B$40,MONTH(A5496)),INDEX(Settings!$B$29:$B$40,MONTH(A5496)))))</f>
        <v/>
      </c>
    </row>
    <row r="5497" customFormat="false" ht="15" hidden="false" customHeight="false" outlineLevel="0" collapsed="false">
      <c r="H5497" s="0" t="str">
        <f aca="false">IF(B5497="","",IF(COUNTIF(Campaigns!$A$7:$A$300,B5497)&gt;0,"✓","⚠ add to Campaigns tab"))</f>
        <v/>
      </c>
      <c r="I5497" s="84" t="str">
        <f aca="false">IF(C5497="","",C5497*IF(Settings!$B$23=Settings!$C$6,1,IF(Settings!$B$23="USD",1/INDEX(Settings!$B$29:$B$40,MONTH(A5497)),INDEX(Settings!$B$29:$B$40,MONTH(A5497)))))</f>
        <v/>
      </c>
    </row>
    <row r="5498" customFormat="false" ht="15" hidden="false" customHeight="false" outlineLevel="0" collapsed="false">
      <c r="H5498" s="0" t="str">
        <f aca="false">IF(B5498="","",IF(COUNTIF(Campaigns!$A$7:$A$300,B5498)&gt;0,"✓","⚠ add to Campaigns tab"))</f>
        <v/>
      </c>
      <c r="I5498" s="84" t="str">
        <f aca="false">IF(C5498="","",C5498*IF(Settings!$B$23=Settings!$C$6,1,IF(Settings!$B$23="USD",1/INDEX(Settings!$B$29:$B$40,MONTH(A5498)),INDEX(Settings!$B$29:$B$40,MONTH(A5498)))))</f>
        <v/>
      </c>
    </row>
    <row r="5499" customFormat="false" ht="15" hidden="false" customHeight="false" outlineLevel="0" collapsed="false">
      <c r="H5499" s="0" t="str">
        <f aca="false">IF(B5499="","",IF(COUNTIF(Campaigns!$A$7:$A$300,B5499)&gt;0,"✓","⚠ add to Campaigns tab"))</f>
        <v/>
      </c>
      <c r="I5499" s="84" t="str">
        <f aca="false">IF(C5499="","",C5499*IF(Settings!$B$23=Settings!$C$6,1,IF(Settings!$B$23="USD",1/INDEX(Settings!$B$29:$B$40,MONTH(A5499)),INDEX(Settings!$B$29:$B$40,MONTH(A5499)))))</f>
        <v/>
      </c>
    </row>
    <row r="5500" customFormat="false" ht="15" hidden="false" customHeight="false" outlineLevel="0" collapsed="false">
      <c r="H5500" s="0" t="str">
        <f aca="false">IF(B5500="","",IF(COUNTIF(Campaigns!$A$7:$A$300,B5500)&gt;0,"✓","⚠ add to Campaigns tab"))</f>
        <v/>
      </c>
      <c r="I5500" s="84" t="str">
        <f aca="false">IF(C5500="","",C5500*IF(Settings!$B$23=Settings!$C$6,1,IF(Settings!$B$23="USD",1/INDEX(Settings!$B$29:$B$40,MONTH(A5500)),INDEX(Settings!$B$29:$B$40,MONTH(A5500)))))</f>
        <v/>
      </c>
    </row>
    <row r="5501" customFormat="false" ht="15" hidden="false" customHeight="false" outlineLevel="0" collapsed="false">
      <c r="H5501" s="0" t="str">
        <f aca="false">IF(B5501="","",IF(COUNTIF(Campaigns!$A$7:$A$300,B5501)&gt;0,"✓","⚠ add to Campaigns tab"))</f>
        <v/>
      </c>
      <c r="I5501" s="84" t="str">
        <f aca="false">IF(C5501="","",C5501*IF(Settings!$B$23=Settings!$C$6,1,IF(Settings!$B$23="USD",1/INDEX(Settings!$B$29:$B$40,MONTH(A5501)),INDEX(Settings!$B$29:$B$40,MONTH(A5501)))))</f>
        <v/>
      </c>
    </row>
    <row r="5502" customFormat="false" ht="15" hidden="false" customHeight="false" outlineLevel="0" collapsed="false">
      <c r="H5502" s="0" t="str">
        <f aca="false">IF(B5502="","",IF(COUNTIF(Campaigns!$A$7:$A$300,B5502)&gt;0,"✓","⚠ add to Campaigns tab"))</f>
        <v/>
      </c>
      <c r="I5502" s="84" t="str">
        <f aca="false">IF(C5502="","",C5502*IF(Settings!$B$23=Settings!$C$6,1,IF(Settings!$B$23="USD",1/INDEX(Settings!$B$29:$B$40,MONTH(A5502)),INDEX(Settings!$B$29:$B$40,MONTH(A5502)))))</f>
        <v/>
      </c>
    </row>
    <row r="5503" customFormat="false" ht="15" hidden="false" customHeight="false" outlineLevel="0" collapsed="false">
      <c r="H5503" s="0" t="str">
        <f aca="false">IF(B5503="","",IF(COUNTIF(Campaigns!$A$7:$A$300,B5503)&gt;0,"✓","⚠ add to Campaigns tab"))</f>
        <v/>
      </c>
      <c r="I5503" s="84" t="str">
        <f aca="false">IF(C5503="","",C5503*IF(Settings!$B$23=Settings!$C$6,1,IF(Settings!$B$23="USD",1/INDEX(Settings!$B$29:$B$40,MONTH(A5503)),INDEX(Settings!$B$29:$B$40,MONTH(A5503)))))</f>
        <v/>
      </c>
    </row>
    <row r="5504" customFormat="false" ht="15" hidden="false" customHeight="false" outlineLevel="0" collapsed="false">
      <c r="H5504" s="0" t="str">
        <f aca="false">IF(B5504="","",IF(COUNTIF(Campaigns!$A$7:$A$300,B5504)&gt;0,"✓","⚠ add to Campaigns tab"))</f>
        <v/>
      </c>
      <c r="I5504" s="84" t="str">
        <f aca="false">IF(C5504="","",C5504*IF(Settings!$B$23=Settings!$C$6,1,IF(Settings!$B$23="USD",1/INDEX(Settings!$B$29:$B$40,MONTH(A5504)),INDEX(Settings!$B$29:$B$40,MONTH(A5504)))))</f>
        <v/>
      </c>
    </row>
    <row r="5505" customFormat="false" ht="15" hidden="false" customHeight="false" outlineLevel="0" collapsed="false">
      <c r="H5505" s="0" t="str">
        <f aca="false">IF(B5505="","",IF(COUNTIF(Campaigns!$A$7:$A$300,B5505)&gt;0,"✓","⚠ add to Campaigns tab"))</f>
        <v/>
      </c>
      <c r="I5505" s="84" t="str">
        <f aca="false">IF(C5505="","",C5505*IF(Settings!$B$23=Settings!$C$6,1,IF(Settings!$B$23="USD",1/INDEX(Settings!$B$29:$B$40,MONTH(A5505)),INDEX(Settings!$B$29:$B$40,MONTH(A5505)))))</f>
        <v/>
      </c>
    </row>
    <row r="5506" customFormat="false" ht="15" hidden="false" customHeight="false" outlineLevel="0" collapsed="false">
      <c r="H5506" s="0" t="str">
        <f aca="false">IF(B5506="","",IF(COUNTIF(Campaigns!$A$7:$A$300,B5506)&gt;0,"✓","⚠ add to Campaigns tab"))</f>
        <v/>
      </c>
      <c r="I5506" s="84" t="str">
        <f aca="false">IF(C5506="","",C5506*IF(Settings!$B$23=Settings!$C$6,1,IF(Settings!$B$23="USD",1/INDEX(Settings!$B$29:$B$40,MONTH(A5506)),INDEX(Settings!$B$29:$B$40,MONTH(A5506)))))</f>
        <v/>
      </c>
    </row>
    <row r="5507" customFormat="false" ht="15" hidden="false" customHeight="false" outlineLevel="0" collapsed="false">
      <c r="H5507" s="0" t="str">
        <f aca="false">IF(B5507="","",IF(COUNTIF(Campaigns!$A$7:$A$300,B5507)&gt;0,"✓","⚠ add to Campaigns tab"))</f>
        <v/>
      </c>
      <c r="I5507" s="84" t="str">
        <f aca="false">IF(C5507="","",C5507*IF(Settings!$B$23=Settings!$C$6,1,IF(Settings!$B$23="USD",1/INDEX(Settings!$B$29:$B$40,MONTH(A5507)),INDEX(Settings!$B$29:$B$40,MONTH(A5507)))))</f>
        <v/>
      </c>
    </row>
    <row r="5508" customFormat="false" ht="15" hidden="false" customHeight="false" outlineLevel="0" collapsed="false">
      <c r="H5508" s="0" t="str">
        <f aca="false">IF(B5508="","",IF(COUNTIF(Campaigns!$A$7:$A$300,B5508)&gt;0,"✓","⚠ add to Campaigns tab"))</f>
        <v/>
      </c>
      <c r="I5508" s="84" t="str">
        <f aca="false">IF(C5508="","",C5508*IF(Settings!$B$23=Settings!$C$6,1,IF(Settings!$B$23="USD",1/INDEX(Settings!$B$29:$B$40,MONTH(A5508)),INDEX(Settings!$B$29:$B$40,MONTH(A5508)))))</f>
        <v/>
      </c>
    </row>
    <row r="5509" customFormat="false" ht="15" hidden="false" customHeight="false" outlineLevel="0" collapsed="false">
      <c r="H5509" s="0" t="str">
        <f aca="false">IF(B5509="","",IF(COUNTIF(Campaigns!$A$7:$A$300,B5509)&gt;0,"✓","⚠ add to Campaigns tab"))</f>
        <v/>
      </c>
      <c r="I5509" s="84" t="str">
        <f aca="false">IF(C5509="","",C5509*IF(Settings!$B$23=Settings!$C$6,1,IF(Settings!$B$23="USD",1/INDEX(Settings!$B$29:$B$40,MONTH(A5509)),INDEX(Settings!$B$29:$B$40,MONTH(A5509)))))</f>
        <v/>
      </c>
    </row>
    <row r="5510" customFormat="false" ht="15" hidden="false" customHeight="false" outlineLevel="0" collapsed="false">
      <c r="H5510" s="0" t="str">
        <f aca="false">IF(B5510="","",IF(COUNTIF(Campaigns!$A$7:$A$300,B5510)&gt;0,"✓","⚠ add to Campaigns tab"))</f>
        <v/>
      </c>
      <c r="I5510" s="84" t="str">
        <f aca="false">IF(C5510="","",C5510*IF(Settings!$B$23=Settings!$C$6,1,IF(Settings!$B$23="USD",1/INDEX(Settings!$B$29:$B$40,MONTH(A5510)),INDEX(Settings!$B$29:$B$40,MONTH(A5510)))))</f>
        <v/>
      </c>
    </row>
    <row r="5511" customFormat="false" ht="15" hidden="false" customHeight="false" outlineLevel="0" collapsed="false">
      <c r="H5511" s="0" t="str">
        <f aca="false">IF(B5511="","",IF(COUNTIF(Campaigns!$A$7:$A$300,B5511)&gt;0,"✓","⚠ add to Campaigns tab"))</f>
        <v/>
      </c>
      <c r="I5511" s="84" t="str">
        <f aca="false">IF(C5511="","",C5511*IF(Settings!$B$23=Settings!$C$6,1,IF(Settings!$B$23="USD",1/INDEX(Settings!$B$29:$B$40,MONTH(A5511)),INDEX(Settings!$B$29:$B$40,MONTH(A5511)))))</f>
        <v/>
      </c>
    </row>
    <row r="5512" customFormat="false" ht="15" hidden="false" customHeight="false" outlineLevel="0" collapsed="false">
      <c r="H5512" s="0" t="str">
        <f aca="false">IF(B5512="","",IF(COUNTIF(Campaigns!$A$7:$A$300,B5512)&gt;0,"✓","⚠ add to Campaigns tab"))</f>
        <v/>
      </c>
      <c r="I5512" s="84" t="str">
        <f aca="false">IF(C5512="","",C5512*IF(Settings!$B$23=Settings!$C$6,1,IF(Settings!$B$23="USD",1/INDEX(Settings!$B$29:$B$40,MONTH(A5512)),INDEX(Settings!$B$29:$B$40,MONTH(A5512)))))</f>
        <v/>
      </c>
    </row>
    <row r="5513" customFormat="false" ht="15" hidden="false" customHeight="false" outlineLevel="0" collapsed="false">
      <c r="H5513" s="0" t="str">
        <f aca="false">IF(B5513="","",IF(COUNTIF(Campaigns!$A$7:$A$300,B5513)&gt;0,"✓","⚠ add to Campaigns tab"))</f>
        <v/>
      </c>
      <c r="I5513" s="84" t="str">
        <f aca="false">IF(C5513="","",C5513*IF(Settings!$B$23=Settings!$C$6,1,IF(Settings!$B$23="USD",1/INDEX(Settings!$B$29:$B$40,MONTH(A5513)),INDEX(Settings!$B$29:$B$40,MONTH(A5513)))))</f>
        <v/>
      </c>
    </row>
    <row r="5514" customFormat="false" ht="15" hidden="false" customHeight="false" outlineLevel="0" collapsed="false">
      <c r="H5514" s="0" t="str">
        <f aca="false">IF(B5514="","",IF(COUNTIF(Campaigns!$A$7:$A$300,B5514)&gt;0,"✓","⚠ add to Campaigns tab"))</f>
        <v/>
      </c>
      <c r="I5514" s="84" t="str">
        <f aca="false">IF(C5514="","",C5514*IF(Settings!$B$23=Settings!$C$6,1,IF(Settings!$B$23="USD",1/INDEX(Settings!$B$29:$B$40,MONTH(A5514)),INDEX(Settings!$B$29:$B$40,MONTH(A5514)))))</f>
        <v/>
      </c>
    </row>
    <row r="5515" customFormat="false" ht="15" hidden="false" customHeight="false" outlineLevel="0" collapsed="false">
      <c r="H5515" s="0" t="str">
        <f aca="false">IF(B5515="","",IF(COUNTIF(Campaigns!$A$7:$A$300,B5515)&gt;0,"✓","⚠ add to Campaigns tab"))</f>
        <v/>
      </c>
      <c r="I5515" s="84" t="str">
        <f aca="false">IF(C5515="","",C5515*IF(Settings!$B$23=Settings!$C$6,1,IF(Settings!$B$23="USD",1/INDEX(Settings!$B$29:$B$40,MONTH(A5515)),INDEX(Settings!$B$29:$B$40,MONTH(A5515)))))</f>
        <v/>
      </c>
    </row>
    <row r="5516" customFormat="false" ht="15" hidden="false" customHeight="false" outlineLevel="0" collapsed="false">
      <c r="H5516" s="0" t="str">
        <f aca="false">IF(B5516="","",IF(COUNTIF(Campaigns!$A$7:$A$300,B5516)&gt;0,"✓","⚠ add to Campaigns tab"))</f>
        <v/>
      </c>
      <c r="I5516" s="84" t="str">
        <f aca="false">IF(C5516="","",C5516*IF(Settings!$B$23=Settings!$C$6,1,IF(Settings!$B$23="USD",1/INDEX(Settings!$B$29:$B$40,MONTH(A5516)),INDEX(Settings!$B$29:$B$40,MONTH(A5516)))))</f>
        <v/>
      </c>
    </row>
    <row r="5517" customFormat="false" ht="15" hidden="false" customHeight="false" outlineLevel="0" collapsed="false">
      <c r="H5517" s="0" t="str">
        <f aca="false">IF(B5517="","",IF(COUNTIF(Campaigns!$A$7:$A$300,B5517)&gt;0,"✓","⚠ add to Campaigns tab"))</f>
        <v/>
      </c>
      <c r="I5517" s="84" t="str">
        <f aca="false">IF(C5517="","",C5517*IF(Settings!$B$23=Settings!$C$6,1,IF(Settings!$B$23="USD",1/INDEX(Settings!$B$29:$B$40,MONTH(A5517)),INDEX(Settings!$B$29:$B$40,MONTH(A5517)))))</f>
        <v/>
      </c>
    </row>
    <row r="5518" customFormat="false" ht="15" hidden="false" customHeight="false" outlineLevel="0" collapsed="false">
      <c r="H5518" s="0" t="str">
        <f aca="false">IF(B5518="","",IF(COUNTIF(Campaigns!$A$7:$A$300,B5518)&gt;0,"✓","⚠ add to Campaigns tab"))</f>
        <v/>
      </c>
      <c r="I5518" s="84" t="str">
        <f aca="false">IF(C5518="","",C5518*IF(Settings!$B$23=Settings!$C$6,1,IF(Settings!$B$23="USD",1/INDEX(Settings!$B$29:$B$40,MONTH(A5518)),INDEX(Settings!$B$29:$B$40,MONTH(A5518)))))</f>
        <v/>
      </c>
    </row>
    <row r="5519" customFormat="false" ht="15" hidden="false" customHeight="false" outlineLevel="0" collapsed="false">
      <c r="H5519" s="0" t="str">
        <f aca="false">IF(B5519="","",IF(COUNTIF(Campaigns!$A$7:$A$300,B5519)&gt;0,"✓","⚠ add to Campaigns tab"))</f>
        <v/>
      </c>
      <c r="I5519" s="84" t="str">
        <f aca="false">IF(C5519="","",C5519*IF(Settings!$B$23=Settings!$C$6,1,IF(Settings!$B$23="USD",1/INDEX(Settings!$B$29:$B$40,MONTH(A5519)),INDEX(Settings!$B$29:$B$40,MONTH(A5519)))))</f>
        <v/>
      </c>
    </row>
    <row r="5520" customFormat="false" ht="15" hidden="false" customHeight="false" outlineLevel="0" collapsed="false">
      <c r="H5520" s="0" t="str">
        <f aca="false">IF(B5520="","",IF(COUNTIF(Campaigns!$A$7:$A$300,B5520)&gt;0,"✓","⚠ add to Campaigns tab"))</f>
        <v/>
      </c>
      <c r="I5520" s="84" t="str">
        <f aca="false">IF(C5520="","",C5520*IF(Settings!$B$23=Settings!$C$6,1,IF(Settings!$B$23="USD",1/INDEX(Settings!$B$29:$B$40,MONTH(A5520)),INDEX(Settings!$B$29:$B$40,MONTH(A5520)))))</f>
        <v/>
      </c>
    </row>
    <row r="5521" customFormat="false" ht="15" hidden="false" customHeight="false" outlineLevel="0" collapsed="false">
      <c r="H5521" s="0" t="str">
        <f aca="false">IF(B5521="","",IF(COUNTIF(Campaigns!$A$7:$A$300,B5521)&gt;0,"✓","⚠ add to Campaigns tab"))</f>
        <v/>
      </c>
      <c r="I5521" s="84" t="str">
        <f aca="false">IF(C5521="","",C5521*IF(Settings!$B$23=Settings!$C$6,1,IF(Settings!$B$23="USD",1/INDEX(Settings!$B$29:$B$40,MONTH(A5521)),INDEX(Settings!$B$29:$B$40,MONTH(A5521)))))</f>
        <v/>
      </c>
    </row>
    <row r="5522" customFormat="false" ht="15" hidden="false" customHeight="false" outlineLevel="0" collapsed="false">
      <c r="H5522" s="0" t="str">
        <f aca="false">IF(B5522="","",IF(COUNTIF(Campaigns!$A$7:$A$300,B5522)&gt;0,"✓","⚠ add to Campaigns tab"))</f>
        <v/>
      </c>
      <c r="I5522" s="84" t="str">
        <f aca="false">IF(C5522="","",C5522*IF(Settings!$B$23=Settings!$C$6,1,IF(Settings!$B$23="USD",1/INDEX(Settings!$B$29:$B$40,MONTH(A5522)),INDEX(Settings!$B$29:$B$40,MONTH(A5522)))))</f>
        <v/>
      </c>
    </row>
    <row r="5523" customFormat="false" ht="15" hidden="false" customHeight="false" outlineLevel="0" collapsed="false">
      <c r="H5523" s="0" t="str">
        <f aca="false">IF(B5523="","",IF(COUNTIF(Campaigns!$A$7:$A$300,B5523)&gt;0,"✓","⚠ add to Campaigns tab"))</f>
        <v/>
      </c>
      <c r="I5523" s="84" t="str">
        <f aca="false">IF(C5523="","",C5523*IF(Settings!$B$23=Settings!$C$6,1,IF(Settings!$B$23="USD",1/INDEX(Settings!$B$29:$B$40,MONTH(A5523)),INDEX(Settings!$B$29:$B$40,MONTH(A5523)))))</f>
        <v/>
      </c>
    </row>
    <row r="5524" customFormat="false" ht="15" hidden="false" customHeight="false" outlineLevel="0" collapsed="false">
      <c r="H5524" s="0" t="str">
        <f aca="false">IF(B5524="","",IF(COUNTIF(Campaigns!$A$7:$A$300,B5524)&gt;0,"✓","⚠ add to Campaigns tab"))</f>
        <v/>
      </c>
      <c r="I5524" s="84" t="str">
        <f aca="false">IF(C5524="","",C5524*IF(Settings!$B$23=Settings!$C$6,1,IF(Settings!$B$23="USD",1/INDEX(Settings!$B$29:$B$40,MONTH(A5524)),INDEX(Settings!$B$29:$B$40,MONTH(A5524)))))</f>
        <v/>
      </c>
    </row>
    <row r="5525" customFormat="false" ht="15" hidden="false" customHeight="false" outlineLevel="0" collapsed="false">
      <c r="H5525" s="0" t="str">
        <f aca="false">IF(B5525="","",IF(COUNTIF(Campaigns!$A$7:$A$300,B5525)&gt;0,"✓","⚠ add to Campaigns tab"))</f>
        <v/>
      </c>
      <c r="I5525" s="84" t="str">
        <f aca="false">IF(C5525="","",C5525*IF(Settings!$B$23=Settings!$C$6,1,IF(Settings!$B$23="USD",1/INDEX(Settings!$B$29:$B$40,MONTH(A5525)),INDEX(Settings!$B$29:$B$40,MONTH(A5525)))))</f>
        <v/>
      </c>
    </row>
    <row r="5526" customFormat="false" ht="15" hidden="false" customHeight="false" outlineLevel="0" collapsed="false">
      <c r="H5526" s="0" t="str">
        <f aca="false">IF(B5526="","",IF(COUNTIF(Campaigns!$A$7:$A$300,B5526)&gt;0,"✓","⚠ add to Campaigns tab"))</f>
        <v/>
      </c>
      <c r="I5526" s="84" t="str">
        <f aca="false">IF(C5526="","",C5526*IF(Settings!$B$23=Settings!$C$6,1,IF(Settings!$B$23="USD",1/INDEX(Settings!$B$29:$B$40,MONTH(A5526)),INDEX(Settings!$B$29:$B$40,MONTH(A5526)))))</f>
        <v/>
      </c>
    </row>
    <row r="5527" customFormat="false" ht="15" hidden="false" customHeight="false" outlineLevel="0" collapsed="false">
      <c r="H5527" s="0" t="str">
        <f aca="false">IF(B5527="","",IF(COUNTIF(Campaigns!$A$7:$A$300,B5527)&gt;0,"✓","⚠ add to Campaigns tab"))</f>
        <v/>
      </c>
      <c r="I5527" s="84" t="str">
        <f aca="false">IF(C5527="","",C5527*IF(Settings!$B$23=Settings!$C$6,1,IF(Settings!$B$23="USD",1/INDEX(Settings!$B$29:$B$40,MONTH(A5527)),INDEX(Settings!$B$29:$B$40,MONTH(A5527)))))</f>
        <v/>
      </c>
    </row>
    <row r="5528" customFormat="false" ht="15" hidden="false" customHeight="false" outlineLevel="0" collapsed="false">
      <c r="H5528" s="0" t="str">
        <f aca="false">IF(B5528="","",IF(COUNTIF(Campaigns!$A$7:$A$300,B5528)&gt;0,"✓","⚠ add to Campaigns tab"))</f>
        <v/>
      </c>
      <c r="I5528" s="84" t="str">
        <f aca="false">IF(C5528="","",C5528*IF(Settings!$B$23=Settings!$C$6,1,IF(Settings!$B$23="USD",1/INDEX(Settings!$B$29:$B$40,MONTH(A5528)),INDEX(Settings!$B$29:$B$40,MONTH(A5528)))))</f>
        <v/>
      </c>
    </row>
    <row r="5529" customFormat="false" ht="15" hidden="false" customHeight="false" outlineLevel="0" collapsed="false">
      <c r="H5529" s="0" t="str">
        <f aca="false">IF(B5529="","",IF(COUNTIF(Campaigns!$A$7:$A$300,B5529)&gt;0,"✓","⚠ add to Campaigns tab"))</f>
        <v/>
      </c>
      <c r="I5529" s="84" t="str">
        <f aca="false">IF(C5529="","",C5529*IF(Settings!$B$23=Settings!$C$6,1,IF(Settings!$B$23="USD",1/INDEX(Settings!$B$29:$B$40,MONTH(A5529)),INDEX(Settings!$B$29:$B$40,MONTH(A5529)))))</f>
        <v/>
      </c>
    </row>
    <row r="5530" customFormat="false" ht="15" hidden="false" customHeight="false" outlineLevel="0" collapsed="false">
      <c r="H5530" s="0" t="str">
        <f aca="false">IF(B5530="","",IF(COUNTIF(Campaigns!$A$7:$A$300,B5530)&gt;0,"✓","⚠ add to Campaigns tab"))</f>
        <v/>
      </c>
      <c r="I5530" s="84" t="str">
        <f aca="false">IF(C5530="","",C5530*IF(Settings!$B$23=Settings!$C$6,1,IF(Settings!$B$23="USD",1/INDEX(Settings!$B$29:$B$40,MONTH(A5530)),INDEX(Settings!$B$29:$B$40,MONTH(A5530)))))</f>
        <v/>
      </c>
    </row>
    <row r="5531" customFormat="false" ht="15" hidden="false" customHeight="false" outlineLevel="0" collapsed="false">
      <c r="H5531" s="0" t="str">
        <f aca="false">IF(B5531="","",IF(COUNTIF(Campaigns!$A$7:$A$300,B5531)&gt;0,"✓","⚠ add to Campaigns tab"))</f>
        <v/>
      </c>
      <c r="I5531" s="84" t="str">
        <f aca="false">IF(C5531="","",C5531*IF(Settings!$B$23=Settings!$C$6,1,IF(Settings!$B$23="USD",1/INDEX(Settings!$B$29:$B$40,MONTH(A5531)),INDEX(Settings!$B$29:$B$40,MONTH(A5531)))))</f>
        <v/>
      </c>
    </row>
    <row r="5532" customFormat="false" ht="15" hidden="false" customHeight="false" outlineLevel="0" collapsed="false">
      <c r="H5532" s="0" t="str">
        <f aca="false">IF(B5532="","",IF(COUNTIF(Campaigns!$A$7:$A$300,B5532)&gt;0,"✓","⚠ add to Campaigns tab"))</f>
        <v/>
      </c>
      <c r="I5532" s="84" t="str">
        <f aca="false">IF(C5532="","",C5532*IF(Settings!$B$23=Settings!$C$6,1,IF(Settings!$B$23="USD",1/INDEX(Settings!$B$29:$B$40,MONTH(A5532)),INDEX(Settings!$B$29:$B$40,MONTH(A5532)))))</f>
        <v/>
      </c>
    </row>
    <row r="5533" customFormat="false" ht="15" hidden="false" customHeight="false" outlineLevel="0" collapsed="false">
      <c r="H5533" s="0" t="str">
        <f aca="false">IF(B5533="","",IF(COUNTIF(Campaigns!$A$7:$A$300,B5533)&gt;0,"✓","⚠ add to Campaigns tab"))</f>
        <v/>
      </c>
      <c r="I5533" s="84" t="str">
        <f aca="false">IF(C5533="","",C5533*IF(Settings!$B$23=Settings!$C$6,1,IF(Settings!$B$23="USD",1/INDEX(Settings!$B$29:$B$40,MONTH(A5533)),INDEX(Settings!$B$29:$B$40,MONTH(A5533)))))</f>
        <v/>
      </c>
    </row>
    <row r="5534" customFormat="false" ht="15" hidden="false" customHeight="false" outlineLevel="0" collapsed="false">
      <c r="H5534" s="0" t="str">
        <f aca="false">IF(B5534="","",IF(COUNTIF(Campaigns!$A$7:$A$300,B5534)&gt;0,"✓","⚠ add to Campaigns tab"))</f>
        <v/>
      </c>
      <c r="I5534" s="84" t="str">
        <f aca="false">IF(C5534="","",C5534*IF(Settings!$B$23=Settings!$C$6,1,IF(Settings!$B$23="USD",1/INDEX(Settings!$B$29:$B$40,MONTH(A5534)),INDEX(Settings!$B$29:$B$40,MONTH(A5534)))))</f>
        <v/>
      </c>
    </row>
    <row r="5535" customFormat="false" ht="15" hidden="false" customHeight="false" outlineLevel="0" collapsed="false">
      <c r="H5535" s="0" t="str">
        <f aca="false">IF(B5535="","",IF(COUNTIF(Campaigns!$A$7:$A$300,B5535)&gt;0,"✓","⚠ add to Campaigns tab"))</f>
        <v/>
      </c>
      <c r="I5535" s="84" t="str">
        <f aca="false">IF(C5535="","",C5535*IF(Settings!$B$23=Settings!$C$6,1,IF(Settings!$B$23="USD",1/INDEX(Settings!$B$29:$B$40,MONTH(A5535)),INDEX(Settings!$B$29:$B$40,MONTH(A5535)))))</f>
        <v/>
      </c>
    </row>
    <row r="5536" customFormat="false" ht="15" hidden="false" customHeight="false" outlineLevel="0" collapsed="false">
      <c r="H5536" s="0" t="str">
        <f aca="false">IF(B5536="","",IF(COUNTIF(Campaigns!$A$7:$A$300,B5536)&gt;0,"✓","⚠ add to Campaigns tab"))</f>
        <v/>
      </c>
      <c r="I5536" s="84" t="str">
        <f aca="false">IF(C5536="","",C5536*IF(Settings!$B$23=Settings!$C$6,1,IF(Settings!$B$23="USD",1/INDEX(Settings!$B$29:$B$40,MONTH(A5536)),INDEX(Settings!$B$29:$B$40,MONTH(A5536)))))</f>
        <v/>
      </c>
    </row>
    <row r="5537" customFormat="false" ht="15" hidden="false" customHeight="false" outlineLevel="0" collapsed="false">
      <c r="H5537" s="0" t="str">
        <f aca="false">IF(B5537="","",IF(COUNTIF(Campaigns!$A$7:$A$300,B5537)&gt;0,"✓","⚠ add to Campaigns tab"))</f>
        <v/>
      </c>
      <c r="I5537" s="84" t="str">
        <f aca="false">IF(C5537="","",C5537*IF(Settings!$B$23=Settings!$C$6,1,IF(Settings!$B$23="USD",1/INDEX(Settings!$B$29:$B$40,MONTH(A5537)),INDEX(Settings!$B$29:$B$40,MONTH(A5537)))))</f>
        <v/>
      </c>
    </row>
    <row r="5538" customFormat="false" ht="15" hidden="false" customHeight="false" outlineLevel="0" collapsed="false">
      <c r="H5538" s="0" t="str">
        <f aca="false">IF(B5538="","",IF(COUNTIF(Campaigns!$A$7:$A$300,B5538)&gt;0,"✓","⚠ add to Campaigns tab"))</f>
        <v/>
      </c>
      <c r="I5538" s="84" t="str">
        <f aca="false">IF(C5538="","",C5538*IF(Settings!$B$23=Settings!$C$6,1,IF(Settings!$B$23="USD",1/INDEX(Settings!$B$29:$B$40,MONTH(A5538)),INDEX(Settings!$B$29:$B$40,MONTH(A5538)))))</f>
        <v/>
      </c>
    </row>
    <row r="5539" customFormat="false" ht="15" hidden="false" customHeight="false" outlineLevel="0" collapsed="false">
      <c r="H5539" s="0" t="str">
        <f aca="false">IF(B5539="","",IF(COUNTIF(Campaigns!$A$7:$A$300,B5539)&gt;0,"✓","⚠ add to Campaigns tab"))</f>
        <v/>
      </c>
      <c r="I5539" s="84" t="str">
        <f aca="false">IF(C5539="","",C5539*IF(Settings!$B$23=Settings!$C$6,1,IF(Settings!$B$23="USD",1/INDEX(Settings!$B$29:$B$40,MONTH(A5539)),INDEX(Settings!$B$29:$B$40,MONTH(A5539)))))</f>
        <v/>
      </c>
    </row>
    <row r="5540" customFormat="false" ht="15" hidden="false" customHeight="false" outlineLevel="0" collapsed="false">
      <c r="H5540" s="0" t="str">
        <f aca="false">IF(B5540="","",IF(COUNTIF(Campaigns!$A$7:$A$300,B5540)&gt;0,"✓","⚠ add to Campaigns tab"))</f>
        <v/>
      </c>
      <c r="I5540" s="84" t="str">
        <f aca="false">IF(C5540="","",C5540*IF(Settings!$B$23=Settings!$C$6,1,IF(Settings!$B$23="USD",1/INDEX(Settings!$B$29:$B$40,MONTH(A5540)),INDEX(Settings!$B$29:$B$40,MONTH(A5540)))))</f>
        <v/>
      </c>
    </row>
    <row r="5541" customFormat="false" ht="15" hidden="false" customHeight="false" outlineLevel="0" collapsed="false">
      <c r="H5541" s="0" t="str">
        <f aca="false">IF(B5541="","",IF(COUNTIF(Campaigns!$A$7:$A$300,B5541)&gt;0,"✓","⚠ add to Campaigns tab"))</f>
        <v/>
      </c>
      <c r="I5541" s="84" t="str">
        <f aca="false">IF(C5541="","",C5541*IF(Settings!$B$23=Settings!$C$6,1,IF(Settings!$B$23="USD",1/INDEX(Settings!$B$29:$B$40,MONTH(A5541)),INDEX(Settings!$B$29:$B$40,MONTH(A5541)))))</f>
        <v/>
      </c>
    </row>
    <row r="5542" customFormat="false" ht="15" hidden="false" customHeight="false" outlineLevel="0" collapsed="false">
      <c r="H5542" s="0" t="str">
        <f aca="false">IF(B5542="","",IF(COUNTIF(Campaigns!$A$7:$A$300,B5542)&gt;0,"✓","⚠ add to Campaigns tab"))</f>
        <v/>
      </c>
      <c r="I5542" s="84" t="str">
        <f aca="false">IF(C5542="","",C5542*IF(Settings!$B$23=Settings!$C$6,1,IF(Settings!$B$23="USD",1/INDEX(Settings!$B$29:$B$40,MONTH(A5542)),INDEX(Settings!$B$29:$B$40,MONTH(A5542)))))</f>
        <v/>
      </c>
    </row>
    <row r="5543" customFormat="false" ht="15" hidden="false" customHeight="false" outlineLevel="0" collapsed="false">
      <c r="H5543" s="0" t="str">
        <f aca="false">IF(B5543="","",IF(COUNTIF(Campaigns!$A$7:$A$300,B5543)&gt;0,"✓","⚠ add to Campaigns tab"))</f>
        <v/>
      </c>
      <c r="I5543" s="84" t="str">
        <f aca="false">IF(C5543="","",C5543*IF(Settings!$B$23=Settings!$C$6,1,IF(Settings!$B$23="USD",1/INDEX(Settings!$B$29:$B$40,MONTH(A5543)),INDEX(Settings!$B$29:$B$40,MONTH(A5543)))))</f>
        <v/>
      </c>
    </row>
    <row r="5544" customFormat="false" ht="15" hidden="false" customHeight="false" outlineLevel="0" collapsed="false">
      <c r="H5544" s="0" t="str">
        <f aca="false">IF(B5544="","",IF(COUNTIF(Campaigns!$A$7:$A$300,B5544)&gt;0,"✓","⚠ add to Campaigns tab"))</f>
        <v/>
      </c>
      <c r="I5544" s="84" t="str">
        <f aca="false">IF(C5544="","",C5544*IF(Settings!$B$23=Settings!$C$6,1,IF(Settings!$B$23="USD",1/INDEX(Settings!$B$29:$B$40,MONTH(A5544)),INDEX(Settings!$B$29:$B$40,MONTH(A5544)))))</f>
        <v/>
      </c>
    </row>
    <row r="5545" customFormat="false" ht="15" hidden="false" customHeight="false" outlineLevel="0" collapsed="false">
      <c r="H5545" s="0" t="str">
        <f aca="false">IF(B5545="","",IF(COUNTIF(Campaigns!$A$7:$A$300,B5545)&gt;0,"✓","⚠ add to Campaigns tab"))</f>
        <v/>
      </c>
      <c r="I5545" s="84" t="str">
        <f aca="false">IF(C5545="","",C5545*IF(Settings!$B$23=Settings!$C$6,1,IF(Settings!$B$23="USD",1/INDEX(Settings!$B$29:$B$40,MONTH(A5545)),INDEX(Settings!$B$29:$B$40,MONTH(A5545)))))</f>
        <v/>
      </c>
    </row>
    <row r="5546" customFormat="false" ht="15" hidden="false" customHeight="false" outlineLevel="0" collapsed="false">
      <c r="H5546" s="0" t="str">
        <f aca="false">IF(B5546="","",IF(COUNTIF(Campaigns!$A$7:$A$300,B5546)&gt;0,"✓","⚠ add to Campaigns tab"))</f>
        <v/>
      </c>
      <c r="I5546" s="84" t="str">
        <f aca="false">IF(C5546="","",C5546*IF(Settings!$B$23=Settings!$C$6,1,IF(Settings!$B$23="USD",1/INDEX(Settings!$B$29:$B$40,MONTH(A5546)),INDEX(Settings!$B$29:$B$40,MONTH(A5546)))))</f>
        <v/>
      </c>
    </row>
    <row r="5547" customFormat="false" ht="15" hidden="false" customHeight="false" outlineLevel="0" collapsed="false">
      <c r="H5547" s="0" t="str">
        <f aca="false">IF(B5547="","",IF(COUNTIF(Campaigns!$A$7:$A$300,B5547)&gt;0,"✓","⚠ add to Campaigns tab"))</f>
        <v/>
      </c>
      <c r="I5547" s="84" t="str">
        <f aca="false">IF(C5547="","",C5547*IF(Settings!$B$23=Settings!$C$6,1,IF(Settings!$B$23="USD",1/INDEX(Settings!$B$29:$B$40,MONTH(A5547)),INDEX(Settings!$B$29:$B$40,MONTH(A5547)))))</f>
        <v/>
      </c>
    </row>
    <row r="5548" customFormat="false" ht="15" hidden="false" customHeight="false" outlineLevel="0" collapsed="false">
      <c r="H5548" s="0" t="str">
        <f aca="false">IF(B5548="","",IF(COUNTIF(Campaigns!$A$7:$A$300,B5548)&gt;0,"✓","⚠ add to Campaigns tab"))</f>
        <v/>
      </c>
      <c r="I5548" s="84" t="str">
        <f aca="false">IF(C5548="","",C5548*IF(Settings!$B$23=Settings!$C$6,1,IF(Settings!$B$23="USD",1/INDEX(Settings!$B$29:$B$40,MONTH(A5548)),INDEX(Settings!$B$29:$B$40,MONTH(A5548)))))</f>
        <v/>
      </c>
    </row>
    <row r="5549" customFormat="false" ht="15" hidden="false" customHeight="false" outlineLevel="0" collapsed="false">
      <c r="H5549" s="0" t="str">
        <f aca="false">IF(B5549="","",IF(COUNTIF(Campaigns!$A$7:$A$300,B5549)&gt;0,"✓","⚠ add to Campaigns tab"))</f>
        <v/>
      </c>
      <c r="I5549" s="84" t="str">
        <f aca="false">IF(C5549="","",C5549*IF(Settings!$B$23=Settings!$C$6,1,IF(Settings!$B$23="USD",1/INDEX(Settings!$B$29:$B$40,MONTH(A5549)),INDEX(Settings!$B$29:$B$40,MONTH(A5549)))))</f>
        <v/>
      </c>
    </row>
    <row r="5550" customFormat="false" ht="15" hidden="false" customHeight="false" outlineLevel="0" collapsed="false">
      <c r="H5550" s="0" t="str">
        <f aca="false">IF(B5550="","",IF(COUNTIF(Campaigns!$A$7:$A$300,B5550)&gt;0,"✓","⚠ add to Campaigns tab"))</f>
        <v/>
      </c>
      <c r="I5550" s="84" t="str">
        <f aca="false">IF(C5550="","",C5550*IF(Settings!$B$23=Settings!$C$6,1,IF(Settings!$B$23="USD",1/INDEX(Settings!$B$29:$B$40,MONTH(A5550)),INDEX(Settings!$B$29:$B$40,MONTH(A5550)))))</f>
        <v/>
      </c>
    </row>
    <row r="5551" customFormat="false" ht="15" hidden="false" customHeight="false" outlineLevel="0" collapsed="false">
      <c r="H5551" s="0" t="str">
        <f aca="false">IF(B5551="","",IF(COUNTIF(Campaigns!$A$7:$A$300,B5551)&gt;0,"✓","⚠ add to Campaigns tab"))</f>
        <v/>
      </c>
      <c r="I5551" s="84" t="str">
        <f aca="false">IF(C5551="","",C5551*IF(Settings!$B$23=Settings!$C$6,1,IF(Settings!$B$23="USD",1/INDEX(Settings!$B$29:$B$40,MONTH(A5551)),INDEX(Settings!$B$29:$B$40,MONTH(A5551)))))</f>
        <v/>
      </c>
    </row>
    <row r="5552" customFormat="false" ht="15" hidden="false" customHeight="false" outlineLevel="0" collapsed="false">
      <c r="H5552" s="0" t="str">
        <f aca="false">IF(B5552="","",IF(COUNTIF(Campaigns!$A$7:$A$300,B5552)&gt;0,"✓","⚠ add to Campaigns tab"))</f>
        <v/>
      </c>
      <c r="I5552" s="84" t="str">
        <f aca="false">IF(C5552="","",C5552*IF(Settings!$B$23=Settings!$C$6,1,IF(Settings!$B$23="USD",1/INDEX(Settings!$B$29:$B$40,MONTH(A5552)),INDEX(Settings!$B$29:$B$40,MONTH(A5552)))))</f>
        <v/>
      </c>
    </row>
    <row r="5553" customFormat="false" ht="15" hidden="false" customHeight="false" outlineLevel="0" collapsed="false">
      <c r="H5553" s="0" t="str">
        <f aca="false">IF(B5553="","",IF(COUNTIF(Campaigns!$A$7:$A$300,B5553)&gt;0,"✓","⚠ add to Campaigns tab"))</f>
        <v/>
      </c>
      <c r="I5553" s="84" t="str">
        <f aca="false">IF(C5553="","",C5553*IF(Settings!$B$23=Settings!$C$6,1,IF(Settings!$B$23="USD",1/INDEX(Settings!$B$29:$B$40,MONTH(A5553)),INDEX(Settings!$B$29:$B$40,MONTH(A5553)))))</f>
        <v/>
      </c>
    </row>
    <row r="5554" customFormat="false" ht="15" hidden="false" customHeight="false" outlineLevel="0" collapsed="false">
      <c r="H5554" s="0" t="str">
        <f aca="false">IF(B5554="","",IF(COUNTIF(Campaigns!$A$7:$A$300,B5554)&gt;0,"✓","⚠ add to Campaigns tab"))</f>
        <v/>
      </c>
      <c r="I5554" s="84" t="str">
        <f aca="false">IF(C5554="","",C5554*IF(Settings!$B$23=Settings!$C$6,1,IF(Settings!$B$23="USD",1/INDEX(Settings!$B$29:$B$40,MONTH(A5554)),INDEX(Settings!$B$29:$B$40,MONTH(A5554)))))</f>
        <v/>
      </c>
    </row>
    <row r="5555" customFormat="false" ht="15" hidden="false" customHeight="false" outlineLevel="0" collapsed="false">
      <c r="H5555" s="0" t="str">
        <f aca="false">IF(B5555="","",IF(COUNTIF(Campaigns!$A$7:$A$300,B5555)&gt;0,"✓","⚠ add to Campaigns tab"))</f>
        <v/>
      </c>
      <c r="I5555" s="84" t="str">
        <f aca="false">IF(C5555="","",C5555*IF(Settings!$B$23=Settings!$C$6,1,IF(Settings!$B$23="USD",1/INDEX(Settings!$B$29:$B$40,MONTH(A5555)),INDEX(Settings!$B$29:$B$40,MONTH(A5555)))))</f>
        <v/>
      </c>
    </row>
    <row r="5556" customFormat="false" ht="15" hidden="false" customHeight="false" outlineLevel="0" collapsed="false">
      <c r="H5556" s="0" t="str">
        <f aca="false">IF(B5556="","",IF(COUNTIF(Campaigns!$A$7:$A$300,B5556)&gt;0,"✓","⚠ add to Campaigns tab"))</f>
        <v/>
      </c>
      <c r="I5556" s="84" t="str">
        <f aca="false">IF(C5556="","",C5556*IF(Settings!$B$23=Settings!$C$6,1,IF(Settings!$B$23="USD",1/INDEX(Settings!$B$29:$B$40,MONTH(A5556)),INDEX(Settings!$B$29:$B$40,MONTH(A5556)))))</f>
        <v/>
      </c>
    </row>
    <row r="5557" customFormat="false" ht="15" hidden="false" customHeight="false" outlineLevel="0" collapsed="false">
      <c r="H5557" s="0" t="str">
        <f aca="false">IF(B5557="","",IF(COUNTIF(Campaigns!$A$7:$A$300,B5557)&gt;0,"✓","⚠ add to Campaigns tab"))</f>
        <v/>
      </c>
      <c r="I5557" s="84" t="str">
        <f aca="false">IF(C5557="","",C5557*IF(Settings!$B$23=Settings!$C$6,1,IF(Settings!$B$23="USD",1/INDEX(Settings!$B$29:$B$40,MONTH(A5557)),INDEX(Settings!$B$29:$B$40,MONTH(A5557)))))</f>
        <v/>
      </c>
    </row>
    <row r="5558" customFormat="false" ht="15" hidden="false" customHeight="false" outlineLevel="0" collapsed="false">
      <c r="H5558" s="0" t="str">
        <f aca="false">IF(B5558="","",IF(COUNTIF(Campaigns!$A$7:$A$300,B5558)&gt;0,"✓","⚠ add to Campaigns tab"))</f>
        <v/>
      </c>
      <c r="I5558" s="84" t="str">
        <f aca="false">IF(C5558="","",C5558*IF(Settings!$B$23=Settings!$C$6,1,IF(Settings!$B$23="USD",1/INDEX(Settings!$B$29:$B$40,MONTH(A5558)),INDEX(Settings!$B$29:$B$40,MONTH(A5558)))))</f>
        <v/>
      </c>
    </row>
    <row r="5559" customFormat="false" ht="15" hidden="false" customHeight="false" outlineLevel="0" collapsed="false">
      <c r="H5559" s="0" t="str">
        <f aca="false">IF(B5559="","",IF(COUNTIF(Campaigns!$A$7:$A$300,B5559)&gt;0,"✓","⚠ add to Campaigns tab"))</f>
        <v/>
      </c>
      <c r="I5559" s="84" t="str">
        <f aca="false">IF(C5559="","",C5559*IF(Settings!$B$23=Settings!$C$6,1,IF(Settings!$B$23="USD",1/INDEX(Settings!$B$29:$B$40,MONTH(A5559)),INDEX(Settings!$B$29:$B$40,MONTH(A5559)))))</f>
        <v/>
      </c>
    </row>
    <row r="5560" customFormat="false" ht="15" hidden="false" customHeight="false" outlineLevel="0" collapsed="false">
      <c r="H5560" s="0" t="str">
        <f aca="false">IF(B5560="","",IF(COUNTIF(Campaigns!$A$7:$A$300,B5560)&gt;0,"✓","⚠ add to Campaigns tab"))</f>
        <v/>
      </c>
      <c r="I5560" s="84" t="str">
        <f aca="false">IF(C5560="","",C5560*IF(Settings!$B$23=Settings!$C$6,1,IF(Settings!$B$23="USD",1/INDEX(Settings!$B$29:$B$40,MONTH(A5560)),INDEX(Settings!$B$29:$B$40,MONTH(A5560)))))</f>
        <v/>
      </c>
    </row>
    <row r="5561" customFormat="false" ht="15" hidden="false" customHeight="false" outlineLevel="0" collapsed="false">
      <c r="H5561" s="0" t="str">
        <f aca="false">IF(B5561="","",IF(COUNTIF(Campaigns!$A$7:$A$300,B5561)&gt;0,"✓","⚠ add to Campaigns tab"))</f>
        <v/>
      </c>
      <c r="I5561" s="84" t="str">
        <f aca="false">IF(C5561="","",C5561*IF(Settings!$B$23=Settings!$C$6,1,IF(Settings!$B$23="USD",1/INDEX(Settings!$B$29:$B$40,MONTH(A5561)),INDEX(Settings!$B$29:$B$40,MONTH(A5561)))))</f>
        <v/>
      </c>
    </row>
    <row r="5562" customFormat="false" ht="15" hidden="false" customHeight="false" outlineLevel="0" collapsed="false">
      <c r="H5562" s="0" t="str">
        <f aca="false">IF(B5562="","",IF(COUNTIF(Campaigns!$A$7:$A$300,B5562)&gt;0,"✓","⚠ add to Campaigns tab"))</f>
        <v/>
      </c>
      <c r="I5562" s="84" t="str">
        <f aca="false">IF(C5562="","",C5562*IF(Settings!$B$23=Settings!$C$6,1,IF(Settings!$B$23="USD",1/INDEX(Settings!$B$29:$B$40,MONTH(A5562)),INDEX(Settings!$B$29:$B$40,MONTH(A5562)))))</f>
        <v/>
      </c>
    </row>
    <row r="5563" customFormat="false" ht="15" hidden="false" customHeight="false" outlineLevel="0" collapsed="false">
      <c r="H5563" s="0" t="str">
        <f aca="false">IF(B5563="","",IF(COUNTIF(Campaigns!$A$7:$A$300,B5563)&gt;0,"✓","⚠ add to Campaigns tab"))</f>
        <v/>
      </c>
      <c r="I5563" s="84" t="str">
        <f aca="false">IF(C5563="","",C5563*IF(Settings!$B$23=Settings!$C$6,1,IF(Settings!$B$23="USD",1/INDEX(Settings!$B$29:$B$40,MONTH(A5563)),INDEX(Settings!$B$29:$B$40,MONTH(A5563)))))</f>
        <v/>
      </c>
    </row>
    <row r="5564" customFormat="false" ht="15" hidden="false" customHeight="false" outlineLevel="0" collapsed="false">
      <c r="H5564" s="0" t="str">
        <f aca="false">IF(B5564="","",IF(COUNTIF(Campaigns!$A$7:$A$300,B5564)&gt;0,"✓","⚠ add to Campaigns tab"))</f>
        <v/>
      </c>
      <c r="I5564" s="84" t="str">
        <f aca="false">IF(C5564="","",C5564*IF(Settings!$B$23=Settings!$C$6,1,IF(Settings!$B$23="USD",1/INDEX(Settings!$B$29:$B$40,MONTH(A5564)),INDEX(Settings!$B$29:$B$40,MONTH(A5564)))))</f>
        <v/>
      </c>
    </row>
    <row r="5565" customFormat="false" ht="15" hidden="false" customHeight="false" outlineLevel="0" collapsed="false">
      <c r="H5565" s="0" t="str">
        <f aca="false">IF(B5565="","",IF(COUNTIF(Campaigns!$A$7:$A$300,B5565)&gt;0,"✓","⚠ add to Campaigns tab"))</f>
        <v/>
      </c>
      <c r="I5565" s="84" t="str">
        <f aca="false">IF(C5565="","",C5565*IF(Settings!$B$23=Settings!$C$6,1,IF(Settings!$B$23="USD",1/INDEX(Settings!$B$29:$B$40,MONTH(A5565)),INDEX(Settings!$B$29:$B$40,MONTH(A5565)))))</f>
        <v/>
      </c>
    </row>
    <row r="5566" customFormat="false" ht="15" hidden="false" customHeight="false" outlineLevel="0" collapsed="false">
      <c r="H5566" s="0" t="str">
        <f aca="false">IF(B5566="","",IF(COUNTIF(Campaigns!$A$7:$A$300,B5566)&gt;0,"✓","⚠ add to Campaigns tab"))</f>
        <v/>
      </c>
      <c r="I5566" s="84" t="str">
        <f aca="false">IF(C5566="","",C5566*IF(Settings!$B$23=Settings!$C$6,1,IF(Settings!$B$23="USD",1/INDEX(Settings!$B$29:$B$40,MONTH(A5566)),INDEX(Settings!$B$29:$B$40,MONTH(A5566)))))</f>
        <v/>
      </c>
    </row>
    <row r="5567" customFormat="false" ht="15" hidden="false" customHeight="false" outlineLevel="0" collapsed="false">
      <c r="H5567" s="0" t="str">
        <f aca="false">IF(B5567="","",IF(COUNTIF(Campaigns!$A$7:$A$300,B5567)&gt;0,"✓","⚠ add to Campaigns tab"))</f>
        <v/>
      </c>
      <c r="I5567" s="84" t="str">
        <f aca="false">IF(C5567="","",C5567*IF(Settings!$B$23=Settings!$C$6,1,IF(Settings!$B$23="USD",1/INDEX(Settings!$B$29:$B$40,MONTH(A5567)),INDEX(Settings!$B$29:$B$40,MONTH(A5567)))))</f>
        <v/>
      </c>
    </row>
    <row r="5568" customFormat="false" ht="15" hidden="false" customHeight="false" outlineLevel="0" collapsed="false">
      <c r="H5568" s="0" t="str">
        <f aca="false">IF(B5568="","",IF(COUNTIF(Campaigns!$A$7:$A$300,B5568)&gt;0,"✓","⚠ add to Campaigns tab"))</f>
        <v/>
      </c>
      <c r="I5568" s="84" t="str">
        <f aca="false">IF(C5568="","",C5568*IF(Settings!$B$23=Settings!$C$6,1,IF(Settings!$B$23="USD",1/INDEX(Settings!$B$29:$B$40,MONTH(A5568)),INDEX(Settings!$B$29:$B$40,MONTH(A5568)))))</f>
        <v/>
      </c>
    </row>
    <row r="5569" customFormat="false" ht="15" hidden="false" customHeight="false" outlineLevel="0" collapsed="false">
      <c r="H5569" s="0" t="str">
        <f aca="false">IF(B5569="","",IF(COUNTIF(Campaigns!$A$7:$A$300,B5569)&gt;0,"✓","⚠ add to Campaigns tab"))</f>
        <v/>
      </c>
      <c r="I5569" s="84" t="str">
        <f aca="false">IF(C5569="","",C5569*IF(Settings!$B$23=Settings!$C$6,1,IF(Settings!$B$23="USD",1/INDEX(Settings!$B$29:$B$40,MONTH(A5569)),INDEX(Settings!$B$29:$B$40,MONTH(A5569)))))</f>
        <v/>
      </c>
    </row>
    <row r="5570" customFormat="false" ht="15" hidden="false" customHeight="false" outlineLevel="0" collapsed="false">
      <c r="H5570" s="0" t="str">
        <f aca="false">IF(B5570="","",IF(COUNTIF(Campaigns!$A$7:$A$300,B5570)&gt;0,"✓","⚠ add to Campaigns tab"))</f>
        <v/>
      </c>
      <c r="I5570" s="84" t="str">
        <f aca="false">IF(C5570="","",C5570*IF(Settings!$B$23=Settings!$C$6,1,IF(Settings!$B$23="USD",1/INDEX(Settings!$B$29:$B$40,MONTH(A5570)),INDEX(Settings!$B$29:$B$40,MONTH(A5570)))))</f>
        <v/>
      </c>
    </row>
    <row r="5571" customFormat="false" ht="15" hidden="false" customHeight="false" outlineLevel="0" collapsed="false">
      <c r="H5571" s="0" t="str">
        <f aca="false">IF(B5571="","",IF(COUNTIF(Campaigns!$A$7:$A$300,B5571)&gt;0,"✓","⚠ add to Campaigns tab"))</f>
        <v/>
      </c>
      <c r="I5571" s="84" t="str">
        <f aca="false">IF(C5571="","",C5571*IF(Settings!$B$23=Settings!$C$6,1,IF(Settings!$B$23="USD",1/INDEX(Settings!$B$29:$B$40,MONTH(A5571)),INDEX(Settings!$B$29:$B$40,MONTH(A5571)))))</f>
        <v/>
      </c>
    </row>
    <row r="5572" customFormat="false" ht="15" hidden="false" customHeight="false" outlineLevel="0" collapsed="false">
      <c r="H5572" s="0" t="str">
        <f aca="false">IF(B5572="","",IF(COUNTIF(Campaigns!$A$7:$A$300,B5572)&gt;0,"✓","⚠ add to Campaigns tab"))</f>
        <v/>
      </c>
      <c r="I5572" s="84" t="str">
        <f aca="false">IF(C5572="","",C5572*IF(Settings!$B$23=Settings!$C$6,1,IF(Settings!$B$23="USD",1/INDEX(Settings!$B$29:$B$40,MONTH(A5572)),INDEX(Settings!$B$29:$B$40,MONTH(A5572)))))</f>
        <v/>
      </c>
    </row>
    <row r="5573" customFormat="false" ht="15" hidden="false" customHeight="false" outlineLevel="0" collapsed="false">
      <c r="H5573" s="0" t="str">
        <f aca="false">IF(B5573="","",IF(COUNTIF(Campaigns!$A$7:$A$300,B5573)&gt;0,"✓","⚠ add to Campaigns tab"))</f>
        <v/>
      </c>
      <c r="I5573" s="84" t="str">
        <f aca="false">IF(C5573="","",C5573*IF(Settings!$B$23=Settings!$C$6,1,IF(Settings!$B$23="USD",1/INDEX(Settings!$B$29:$B$40,MONTH(A5573)),INDEX(Settings!$B$29:$B$40,MONTH(A5573)))))</f>
        <v/>
      </c>
    </row>
    <row r="5574" customFormat="false" ht="15" hidden="false" customHeight="false" outlineLevel="0" collapsed="false">
      <c r="H5574" s="0" t="str">
        <f aca="false">IF(B5574="","",IF(COUNTIF(Campaigns!$A$7:$A$300,B5574)&gt;0,"✓","⚠ add to Campaigns tab"))</f>
        <v/>
      </c>
      <c r="I5574" s="84" t="str">
        <f aca="false">IF(C5574="","",C5574*IF(Settings!$B$23=Settings!$C$6,1,IF(Settings!$B$23="USD",1/INDEX(Settings!$B$29:$B$40,MONTH(A5574)),INDEX(Settings!$B$29:$B$40,MONTH(A5574)))))</f>
        <v/>
      </c>
    </row>
    <row r="5575" customFormat="false" ht="15" hidden="false" customHeight="false" outlineLevel="0" collapsed="false">
      <c r="H5575" s="0" t="str">
        <f aca="false">IF(B5575="","",IF(COUNTIF(Campaigns!$A$7:$A$300,B5575)&gt;0,"✓","⚠ add to Campaigns tab"))</f>
        <v/>
      </c>
      <c r="I5575" s="84" t="str">
        <f aca="false">IF(C5575="","",C5575*IF(Settings!$B$23=Settings!$C$6,1,IF(Settings!$B$23="USD",1/INDEX(Settings!$B$29:$B$40,MONTH(A5575)),INDEX(Settings!$B$29:$B$40,MONTH(A5575)))))</f>
        <v/>
      </c>
    </row>
    <row r="5576" customFormat="false" ht="15" hidden="false" customHeight="false" outlineLevel="0" collapsed="false">
      <c r="H5576" s="0" t="str">
        <f aca="false">IF(B5576="","",IF(COUNTIF(Campaigns!$A$7:$A$300,B5576)&gt;0,"✓","⚠ add to Campaigns tab"))</f>
        <v/>
      </c>
      <c r="I5576" s="84" t="str">
        <f aca="false">IF(C5576="","",C5576*IF(Settings!$B$23=Settings!$C$6,1,IF(Settings!$B$23="USD",1/INDEX(Settings!$B$29:$B$40,MONTH(A5576)),INDEX(Settings!$B$29:$B$40,MONTH(A5576)))))</f>
        <v/>
      </c>
    </row>
    <row r="5577" customFormat="false" ht="15" hidden="false" customHeight="false" outlineLevel="0" collapsed="false">
      <c r="H5577" s="0" t="str">
        <f aca="false">IF(B5577="","",IF(COUNTIF(Campaigns!$A$7:$A$300,B5577)&gt;0,"✓","⚠ add to Campaigns tab"))</f>
        <v/>
      </c>
      <c r="I5577" s="84" t="str">
        <f aca="false">IF(C5577="","",C5577*IF(Settings!$B$23=Settings!$C$6,1,IF(Settings!$B$23="USD",1/INDEX(Settings!$B$29:$B$40,MONTH(A5577)),INDEX(Settings!$B$29:$B$40,MONTH(A5577)))))</f>
        <v/>
      </c>
    </row>
    <row r="5578" customFormat="false" ht="15" hidden="false" customHeight="false" outlineLevel="0" collapsed="false">
      <c r="H5578" s="0" t="str">
        <f aca="false">IF(B5578="","",IF(COUNTIF(Campaigns!$A$7:$A$300,B5578)&gt;0,"✓","⚠ add to Campaigns tab"))</f>
        <v/>
      </c>
      <c r="I5578" s="84" t="str">
        <f aca="false">IF(C5578="","",C5578*IF(Settings!$B$23=Settings!$C$6,1,IF(Settings!$B$23="USD",1/INDEX(Settings!$B$29:$B$40,MONTH(A5578)),INDEX(Settings!$B$29:$B$40,MONTH(A5578)))))</f>
        <v/>
      </c>
    </row>
    <row r="5579" customFormat="false" ht="15" hidden="false" customHeight="false" outlineLevel="0" collapsed="false">
      <c r="H5579" s="0" t="str">
        <f aca="false">IF(B5579="","",IF(COUNTIF(Campaigns!$A$7:$A$300,B5579)&gt;0,"✓","⚠ add to Campaigns tab"))</f>
        <v/>
      </c>
      <c r="I5579" s="84" t="str">
        <f aca="false">IF(C5579="","",C5579*IF(Settings!$B$23=Settings!$C$6,1,IF(Settings!$B$23="USD",1/INDEX(Settings!$B$29:$B$40,MONTH(A5579)),INDEX(Settings!$B$29:$B$40,MONTH(A5579)))))</f>
        <v/>
      </c>
    </row>
    <row r="5580" customFormat="false" ht="15" hidden="false" customHeight="false" outlineLevel="0" collapsed="false">
      <c r="H5580" s="0" t="str">
        <f aca="false">IF(B5580="","",IF(COUNTIF(Campaigns!$A$7:$A$300,B5580)&gt;0,"✓","⚠ add to Campaigns tab"))</f>
        <v/>
      </c>
      <c r="I5580" s="84" t="str">
        <f aca="false">IF(C5580="","",C5580*IF(Settings!$B$23=Settings!$C$6,1,IF(Settings!$B$23="USD",1/INDEX(Settings!$B$29:$B$40,MONTH(A5580)),INDEX(Settings!$B$29:$B$40,MONTH(A5580)))))</f>
        <v/>
      </c>
    </row>
    <row r="5581" customFormat="false" ht="15" hidden="false" customHeight="false" outlineLevel="0" collapsed="false">
      <c r="H5581" s="0" t="str">
        <f aca="false">IF(B5581="","",IF(COUNTIF(Campaigns!$A$7:$A$300,B5581)&gt;0,"✓","⚠ add to Campaigns tab"))</f>
        <v/>
      </c>
      <c r="I5581" s="84" t="str">
        <f aca="false">IF(C5581="","",C5581*IF(Settings!$B$23=Settings!$C$6,1,IF(Settings!$B$23="USD",1/INDEX(Settings!$B$29:$B$40,MONTH(A5581)),INDEX(Settings!$B$29:$B$40,MONTH(A5581)))))</f>
        <v/>
      </c>
    </row>
    <row r="5582" customFormat="false" ht="15" hidden="false" customHeight="false" outlineLevel="0" collapsed="false">
      <c r="H5582" s="0" t="str">
        <f aca="false">IF(B5582="","",IF(COUNTIF(Campaigns!$A$7:$A$300,B5582)&gt;0,"✓","⚠ add to Campaigns tab"))</f>
        <v/>
      </c>
      <c r="I5582" s="84" t="str">
        <f aca="false">IF(C5582="","",C5582*IF(Settings!$B$23=Settings!$C$6,1,IF(Settings!$B$23="USD",1/INDEX(Settings!$B$29:$B$40,MONTH(A5582)),INDEX(Settings!$B$29:$B$40,MONTH(A5582)))))</f>
        <v/>
      </c>
    </row>
    <row r="5583" customFormat="false" ht="15" hidden="false" customHeight="false" outlineLevel="0" collapsed="false">
      <c r="H5583" s="0" t="str">
        <f aca="false">IF(B5583="","",IF(COUNTIF(Campaigns!$A$7:$A$300,B5583)&gt;0,"✓","⚠ add to Campaigns tab"))</f>
        <v/>
      </c>
      <c r="I5583" s="84" t="str">
        <f aca="false">IF(C5583="","",C5583*IF(Settings!$B$23=Settings!$C$6,1,IF(Settings!$B$23="USD",1/INDEX(Settings!$B$29:$B$40,MONTH(A5583)),INDEX(Settings!$B$29:$B$40,MONTH(A5583)))))</f>
        <v/>
      </c>
    </row>
    <row r="5584" customFormat="false" ht="15" hidden="false" customHeight="false" outlineLevel="0" collapsed="false">
      <c r="H5584" s="0" t="str">
        <f aca="false">IF(B5584="","",IF(COUNTIF(Campaigns!$A$7:$A$300,B5584)&gt;0,"✓","⚠ add to Campaigns tab"))</f>
        <v/>
      </c>
      <c r="I5584" s="84" t="str">
        <f aca="false">IF(C5584="","",C5584*IF(Settings!$B$23=Settings!$C$6,1,IF(Settings!$B$23="USD",1/INDEX(Settings!$B$29:$B$40,MONTH(A5584)),INDEX(Settings!$B$29:$B$40,MONTH(A5584)))))</f>
        <v/>
      </c>
    </row>
    <row r="5585" customFormat="false" ht="15" hidden="false" customHeight="false" outlineLevel="0" collapsed="false">
      <c r="H5585" s="0" t="str">
        <f aca="false">IF(B5585="","",IF(COUNTIF(Campaigns!$A$7:$A$300,B5585)&gt;0,"✓","⚠ add to Campaigns tab"))</f>
        <v/>
      </c>
      <c r="I5585" s="84" t="str">
        <f aca="false">IF(C5585="","",C5585*IF(Settings!$B$23=Settings!$C$6,1,IF(Settings!$B$23="USD",1/INDEX(Settings!$B$29:$B$40,MONTH(A5585)),INDEX(Settings!$B$29:$B$40,MONTH(A5585)))))</f>
        <v/>
      </c>
    </row>
    <row r="5586" customFormat="false" ht="15" hidden="false" customHeight="false" outlineLevel="0" collapsed="false">
      <c r="H5586" s="0" t="str">
        <f aca="false">IF(B5586="","",IF(COUNTIF(Campaigns!$A$7:$A$300,B5586)&gt;0,"✓","⚠ add to Campaigns tab"))</f>
        <v/>
      </c>
      <c r="I5586" s="84" t="str">
        <f aca="false">IF(C5586="","",C5586*IF(Settings!$B$23=Settings!$C$6,1,IF(Settings!$B$23="USD",1/INDEX(Settings!$B$29:$B$40,MONTH(A5586)),INDEX(Settings!$B$29:$B$40,MONTH(A5586)))))</f>
        <v/>
      </c>
    </row>
    <row r="5587" customFormat="false" ht="15" hidden="false" customHeight="false" outlineLevel="0" collapsed="false">
      <c r="H5587" s="0" t="str">
        <f aca="false">IF(B5587="","",IF(COUNTIF(Campaigns!$A$7:$A$300,B5587)&gt;0,"✓","⚠ add to Campaigns tab"))</f>
        <v/>
      </c>
      <c r="I5587" s="84" t="str">
        <f aca="false">IF(C5587="","",C5587*IF(Settings!$B$23=Settings!$C$6,1,IF(Settings!$B$23="USD",1/INDEX(Settings!$B$29:$B$40,MONTH(A5587)),INDEX(Settings!$B$29:$B$40,MONTH(A5587)))))</f>
        <v/>
      </c>
    </row>
    <row r="5588" customFormat="false" ht="15" hidden="false" customHeight="false" outlineLevel="0" collapsed="false">
      <c r="H5588" s="0" t="str">
        <f aca="false">IF(B5588="","",IF(COUNTIF(Campaigns!$A$7:$A$300,B5588)&gt;0,"✓","⚠ add to Campaigns tab"))</f>
        <v/>
      </c>
      <c r="I5588" s="84" t="str">
        <f aca="false">IF(C5588="","",C5588*IF(Settings!$B$23=Settings!$C$6,1,IF(Settings!$B$23="USD",1/INDEX(Settings!$B$29:$B$40,MONTH(A5588)),INDEX(Settings!$B$29:$B$40,MONTH(A5588)))))</f>
        <v/>
      </c>
    </row>
    <row r="5589" customFormat="false" ht="15" hidden="false" customHeight="false" outlineLevel="0" collapsed="false">
      <c r="H5589" s="0" t="str">
        <f aca="false">IF(B5589="","",IF(COUNTIF(Campaigns!$A$7:$A$300,B5589)&gt;0,"✓","⚠ add to Campaigns tab"))</f>
        <v/>
      </c>
      <c r="I5589" s="84" t="str">
        <f aca="false">IF(C5589="","",C5589*IF(Settings!$B$23=Settings!$C$6,1,IF(Settings!$B$23="USD",1/INDEX(Settings!$B$29:$B$40,MONTH(A5589)),INDEX(Settings!$B$29:$B$40,MONTH(A5589)))))</f>
        <v/>
      </c>
    </row>
    <row r="5590" customFormat="false" ht="15" hidden="false" customHeight="false" outlineLevel="0" collapsed="false">
      <c r="H5590" s="0" t="str">
        <f aca="false">IF(B5590="","",IF(COUNTIF(Campaigns!$A$7:$A$300,B5590)&gt;0,"✓","⚠ add to Campaigns tab"))</f>
        <v/>
      </c>
      <c r="I5590" s="84" t="str">
        <f aca="false">IF(C5590="","",C5590*IF(Settings!$B$23=Settings!$C$6,1,IF(Settings!$B$23="USD",1/INDEX(Settings!$B$29:$B$40,MONTH(A5590)),INDEX(Settings!$B$29:$B$40,MONTH(A5590)))))</f>
        <v/>
      </c>
    </row>
    <row r="5591" customFormat="false" ht="15" hidden="false" customHeight="false" outlineLevel="0" collapsed="false">
      <c r="H5591" s="0" t="str">
        <f aca="false">IF(B5591="","",IF(COUNTIF(Campaigns!$A$7:$A$300,B5591)&gt;0,"✓","⚠ add to Campaigns tab"))</f>
        <v/>
      </c>
      <c r="I5591" s="84" t="str">
        <f aca="false">IF(C5591="","",C5591*IF(Settings!$B$23=Settings!$C$6,1,IF(Settings!$B$23="USD",1/INDEX(Settings!$B$29:$B$40,MONTH(A5591)),INDEX(Settings!$B$29:$B$40,MONTH(A5591)))))</f>
        <v/>
      </c>
    </row>
    <row r="5592" customFormat="false" ht="15" hidden="false" customHeight="false" outlineLevel="0" collapsed="false">
      <c r="H5592" s="0" t="str">
        <f aca="false">IF(B5592="","",IF(COUNTIF(Campaigns!$A$7:$A$300,B5592)&gt;0,"✓","⚠ add to Campaigns tab"))</f>
        <v/>
      </c>
      <c r="I5592" s="84" t="str">
        <f aca="false">IF(C5592="","",C5592*IF(Settings!$B$23=Settings!$C$6,1,IF(Settings!$B$23="USD",1/INDEX(Settings!$B$29:$B$40,MONTH(A5592)),INDEX(Settings!$B$29:$B$40,MONTH(A5592)))))</f>
        <v/>
      </c>
    </row>
    <row r="5593" customFormat="false" ht="15" hidden="false" customHeight="false" outlineLevel="0" collapsed="false">
      <c r="H5593" s="0" t="str">
        <f aca="false">IF(B5593="","",IF(COUNTIF(Campaigns!$A$7:$A$300,B5593)&gt;0,"✓","⚠ add to Campaigns tab"))</f>
        <v/>
      </c>
      <c r="I5593" s="84" t="str">
        <f aca="false">IF(C5593="","",C5593*IF(Settings!$B$23=Settings!$C$6,1,IF(Settings!$B$23="USD",1/INDEX(Settings!$B$29:$B$40,MONTH(A5593)),INDEX(Settings!$B$29:$B$40,MONTH(A5593)))))</f>
        <v/>
      </c>
    </row>
    <row r="5594" customFormat="false" ht="15" hidden="false" customHeight="false" outlineLevel="0" collapsed="false">
      <c r="H5594" s="0" t="str">
        <f aca="false">IF(B5594="","",IF(COUNTIF(Campaigns!$A$7:$A$300,B5594)&gt;0,"✓","⚠ add to Campaigns tab"))</f>
        <v/>
      </c>
      <c r="I5594" s="84" t="str">
        <f aca="false">IF(C5594="","",C5594*IF(Settings!$B$23=Settings!$C$6,1,IF(Settings!$B$23="USD",1/INDEX(Settings!$B$29:$B$40,MONTH(A5594)),INDEX(Settings!$B$29:$B$40,MONTH(A5594)))))</f>
        <v/>
      </c>
    </row>
    <row r="5595" customFormat="false" ht="15" hidden="false" customHeight="false" outlineLevel="0" collapsed="false">
      <c r="H5595" s="0" t="str">
        <f aca="false">IF(B5595="","",IF(COUNTIF(Campaigns!$A$7:$A$300,B5595)&gt;0,"✓","⚠ add to Campaigns tab"))</f>
        <v/>
      </c>
      <c r="I5595" s="84" t="str">
        <f aca="false">IF(C5595="","",C5595*IF(Settings!$B$23=Settings!$C$6,1,IF(Settings!$B$23="USD",1/INDEX(Settings!$B$29:$B$40,MONTH(A5595)),INDEX(Settings!$B$29:$B$40,MONTH(A5595)))))</f>
        <v/>
      </c>
    </row>
    <row r="5596" customFormat="false" ht="15" hidden="false" customHeight="false" outlineLevel="0" collapsed="false">
      <c r="H5596" s="0" t="str">
        <f aca="false">IF(B5596="","",IF(COUNTIF(Campaigns!$A$7:$A$300,B5596)&gt;0,"✓","⚠ add to Campaigns tab"))</f>
        <v/>
      </c>
      <c r="I5596" s="84" t="str">
        <f aca="false">IF(C5596="","",C5596*IF(Settings!$B$23=Settings!$C$6,1,IF(Settings!$B$23="USD",1/INDEX(Settings!$B$29:$B$40,MONTH(A5596)),INDEX(Settings!$B$29:$B$40,MONTH(A5596)))))</f>
        <v/>
      </c>
    </row>
    <row r="5597" customFormat="false" ht="15" hidden="false" customHeight="false" outlineLevel="0" collapsed="false">
      <c r="H5597" s="0" t="str">
        <f aca="false">IF(B5597="","",IF(COUNTIF(Campaigns!$A$7:$A$300,B5597)&gt;0,"✓","⚠ add to Campaigns tab"))</f>
        <v/>
      </c>
      <c r="I5597" s="84" t="str">
        <f aca="false">IF(C5597="","",C5597*IF(Settings!$B$23=Settings!$C$6,1,IF(Settings!$B$23="USD",1/INDEX(Settings!$B$29:$B$40,MONTH(A5597)),INDEX(Settings!$B$29:$B$40,MONTH(A5597)))))</f>
        <v/>
      </c>
    </row>
    <row r="5598" customFormat="false" ht="15" hidden="false" customHeight="false" outlineLevel="0" collapsed="false">
      <c r="H5598" s="0" t="str">
        <f aca="false">IF(B5598="","",IF(COUNTIF(Campaigns!$A$7:$A$300,B5598)&gt;0,"✓","⚠ add to Campaigns tab"))</f>
        <v/>
      </c>
      <c r="I5598" s="84" t="str">
        <f aca="false">IF(C5598="","",C5598*IF(Settings!$B$23=Settings!$C$6,1,IF(Settings!$B$23="USD",1/INDEX(Settings!$B$29:$B$40,MONTH(A5598)),INDEX(Settings!$B$29:$B$40,MONTH(A5598)))))</f>
        <v/>
      </c>
    </row>
    <row r="5599" customFormat="false" ht="15" hidden="false" customHeight="false" outlineLevel="0" collapsed="false">
      <c r="H5599" s="0" t="str">
        <f aca="false">IF(B5599="","",IF(COUNTIF(Campaigns!$A$7:$A$300,B5599)&gt;0,"✓","⚠ add to Campaigns tab"))</f>
        <v/>
      </c>
      <c r="I5599" s="84" t="str">
        <f aca="false">IF(C5599="","",C5599*IF(Settings!$B$23=Settings!$C$6,1,IF(Settings!$B$23="USD",1/INDEX(Settings!$B$29:$B$40,MONTH(A5599)),INDEX(Settings!$B$29:$B$40,MONTH(A5599)))))</f>
        <v/>
      </c>
    </row>
    <row r="5600" customFormat="false" ht="15" hidden="false" customHeight="false" outlineLevel="0" collapsed="false">
      <c r="H5600" s="0" t="str">
        <f aca="false">IF(B5600="","",IF(COUNTIF(Campaigns!$A$7:$A$300,B5600)&gt;0,"✓","⚠ add to Campaigns tab"))</f>
        <v/>
      </c>
      <c r="I5600" s="84" t="str">
        <f aca="false">IF(C5600="","",C5600*IF(Settings!$B$23=Settings!$C$6,1,IF(Settings!$B$23="USD",1/INDEX(Settings!$B$29:$B$40,MONTH(A5600)),INDEX(Settings!$B$29:$B$40,MONTH(A5600)))))</f>
        <v/>
      </c>
    </row>
    <row r="5601" customFormat="false" ht="15" hidden="false" customHeight="false" outlineLevel="0" collapsed="false">
      <c r="H5601" s="0" t="str">
        <f aca="false">IF(B5601="","",IF(COUNTIF(Campaigns!$A$7:$A$300,B5601)&gt;0,"✓","⚠ add to Campaigns tab"))</f>
        <v/>
      </c>
      <c r="I5601" s="84" t="str">
        <f aca="false">IF(C5601="","",C5601*IF(Settings!$B$23=Settings!$C$6,1,IF(Settings!$B$23="USD",1/INDEX(Settings!$B$29:$B$40,MONTH(A5601)),INDEX(Settings!$B$29:$B$40,MONTH(A5601)))))</f>
        <v/>
      </c>
    </row>
    <row r="5602" customFormat="false" ht="15" hidden="false" customHeight="false" outlineLevel="0" collapsed="false">
      <c r="H5602" s="0" t="str">
        <f aca="false">IF(B5602="","",IF(COUNTIF(Campaigns!$A$7:$A$300,B5602)&gt;0,"✓","⚠ add to Campaigns tab"))</f>
        <v/>
      </c>
      <c r="I5602" s="84" t="str">
        <f aca="false">IF(C5602="","",C5602*IF(Settings!$B$23=Settings!$C$6,1,IF(Settings!$B$23="USD",1/INDEX(Settings!$B$29:$B$40,MONTH(A5602)),INDEX(Settings!$B$29:$B$40,MONTH(A5602)))))</f>
        <v/>
      </c>
    </row>
    <row r="5603" customFormat="false" ht="15" hidden="false" customHeight="false" outlineLevel="0" collapsed="false">
      <c r="H5603" s="0" t="str">
        <f aca="false">IF(B5603="","",IF(COUNTIF(Campaigns!$A$7:$A$300,B5603)&gt;0,"✓","⚠ add to Campaigns tab"))</f>
        <v/>
      </c>
      <c r="I5603" s="84" t="str">
        <f aca="false">IF(C5603="","",C5603*IF(Settings!$B$23=Settings!$C$6,1,IF(Settings!$B$23="USD",1/INDEX(Settings!$B$29:$B$40,MONTH(A5603)),INDEX(Settings!$B$29:$B$40,MONTH(A5603)))))</f>
        <v/>
      </c>
    </row>
    <row r="5604" customFormat="false" ht="15" hidden="false" customHeight="false" outlineLevel="0" collapsed="false">
      <c r="H5604" s="0" t="str">
        <f aca="false">IF(B5604="","",IF(COUNTIF(Campaigns!$A$7:$A$300,B5604)&gt;0,"✓","⚠ add to Campaigns tab"))</f>
        <v/>
      </c>
      <c r="I5604" s="84" t="str">
        <f aca="false">IF(C5604="","",C5604*IF(Settings!$B$23=Settings!$C$6,1,IF(Settings!$B$23="USD",1/INDEX(Settings!$B$29:$B$40,MONTH(A5604)),INDEX(Settings!$B$29:$B$40,MONTH(A5604)))))</f>
        <v/>
      </c>
    </row>
    <row r="5605" customFormat="false" ht="15" hidden="false" customHeight="false" outlineLevel="0" collapsed="false">
      <c r="H5605" s="0" t="str">
        <f aca="false">IF(B5605="","",IF(COUNTIF(Campaigns!$A$7:$A$300,B5605)&gt;0,"✓","⚠ add to Campaigns tab"))</f>
        <v/>
      </c>
      <c r="I5605" s="84" t="str">
        <f aca="false">IF(C5605="","",C5605*IF(Settings!$B$23=Settings!$C$6,1,IF(Settings!$B$23="USD",1/INDEX(Settings!$B$29:$B$40,MONTH(A5605)),INDEX(Settings!$B$29:$B$40,MONTH(A5605)))))</f>
        <v/>
      </c>
    </row>
    <row r="5606" customFormat="false" ht="15" hidden="false" customHeight="false" outlineLevel="0" collapsed="false">
      <c r="H5606" s="0" t="str">
        <f aca="false">IF(B5606="","",IF(COUNTIF(Campaigns!$A$7:$A$300,B5606)&gt;0,"✓","⚠ add to Campaigns tab"))</f>
        <v/>
      </c>
      <c r="I5606" s="84" t="str">
        <f aca="false">IF(C5606="","",C5606*IF(Settings!$B$23=Settings!$C$6,1,IF(Settings!$B$23="USD",1/INDEX(Settings!$B$29:$B$40,MONTH(A5606)),INDEX(Settings!$B$29:$B$40,MONTH(A5606)))))</f>
        <v/>
      </c>
    </row>
    <row r="5607" customFormat="false" ht="15" hidden="false" customHeight="false" outlineLevel="0" collapsed="false">
      <c r="H5607" s="0" t="str">
        <f aca="false">IF(B5607="","",IF(COUNTIF(Campaigns!$A$7:$A$300,B5607)&gt;0,"✓","⚠ add to Campaigns tab"))</f>
        <v/>
      </c>
      <c r="I5607" s="84" t="str">
        <f aca="false">IF(C5607="","",C5607*IF(Settings!$B$23=Settings!$C$6,1,IF(Settings!$B$23="USD",1/INDEX(Settings!$B$29:$B$40,MONTH(A5607)),INDEX(Settings!$B$29:$B$40,MONTH(A5607)))))</f>
        <v/>
      </c>
    </row>
    <row r="5608" customFormat="false" ht="15" hidden="false" customHeight="false" outlineLevel="0" collapsed="false">
      <c r="H5608" s="0" t="str">
        <f aca="false">IF(B5608="","",IF(COUNTIF(Campaigns!$A$7:$A$300,B5608)&gt;0,"✓","⚠ add to Campaigns tab"))</f>
        <v/>
      </c>
      <c r="I5608" s="84" t="str">
        <f aca="false">IF(C5608="","",C5608*IF(Settings!$B$23=Settings!$C$6,1,IF(Settings!$B$23="USD",1/INDEX(Settings!$B$29:$B$40,MONTH(A5608)),INDEX(Settings!$B$29:$B$40,MONTH(A5608)))))</f>
        <v/>
      </c>
    </row>
    <row r="5609" customFormat="false" ht="15" hidden="false" customHeight="false" outlineLevel="0" collapsed="false">
      <c r="H5609" s="0" t="str">
        <f aca="false">IF(B5609="","",IF(COUNTIF(Campaigns!$A$7:$A$300,B5609)&gt;0,"✓","⚠ add to Campaigns tab"))</f>
        <v/>
      </c>
      <c r="I5609" s="84" t="str">
        <f aca="false">IF(C5609="","",C5609*IF(Settings!$B$23=Settings!$C$6,1,IF(Settings!$B$23="USD",1/INDEX(Settings!$B$29:$B$40,MONTH(A5609)),INDEX(Settings!$B$29:$B$40,MONTH(A5609)))))</f>
        <v/>
      </c>
    </row>
    <row r="5610" customFormat="false" ht="15" hidden="false" customHeight="false" outlineLevel="0" collapsed="false">
      <c r="H5610" s="0" t="str">
        <f aca="false">IF(B5610="","",IF(COUNTIF(Campaigns!$A$7:$A$300,B5610)&gt;0,"✓","⚠ add to Campaigns tab"))</f>
        <v/>
      </c>
      <c r="I5610" s="84" t="str">
        <f aca="false">IF(C5610="","",C5610*IF(Settings!$B$23=Settings!$C$6,1,IF(Settings!$B$23="USD",1/INDEX(Settings!$B$29:$B$40,MONTH(A5610)),INDEX(Settings!$B$29:$B$40,MONTH(A5610)))))</f>
        <v/>
      </c>
    </row>
    <row r="5611" customFormat="false" ht="15" hidden="false" customHeight="false" outlineLevel="0" collapsed="false">
      <c r="H5611" s="0" t="str">
        <f aca="false">IF(B5611="","",IF(COUNTIF(Campaigns!$A$7:$A$300,B5611)&gt;0,"✓","⚠ add to Campaigns tab"))</f>
        <v/>
      </c>
      <c r="I5611" s="84" t="str">
        <f aca="false">IF(C5611="","",C5611*IF(Settings!$B$23=Settings!$C$6,1,IF(Settings!$B$23="USD",1/INDEX(Settings!$B$29:$B$40,MONTH(A5611)),INDEX(Settings!$B$29:$B$40,MONTH(A5611)))))</f>
        <v/>
      </c>
    </row>
    <row r="5612" customFormat="false" ht="15" hidden="false" customHeight="false" outlineLevel="0" collapsed="false">
      <c r="H5612" s="0" t="str">
        <f aca="false">IF(B5612="","",IF(COUNTIF(Campaigns!$A$7:$A$300,B5612)&gt;0,"✓","⚠ add to Campaigns tab"))</f>
        <v/>
      </c>
      <c r="I5612" s="84" t="str">
        <f aca="false">IF(C5612="","",C5612*IF(Settings!$B$23=Settings!$C$6,1,IF(Settings!$B$23="USD",1/INDEX(Settings!$B$29:$B$40,MONTH(A5612)),INDEX(Settings!$B$29:$B$40,MONTH(A5612)))))</f>
        <v/>
      </c>
    </row>
    <row r="5613" customFormat="false" ht="15" hidden="false" customHeight="false" outlineLevel="0" collapsed="false">
      <c r="H5613" s="0" t="str">
        <f aca="false">IF(B5613="","",IF(COUNTIF(Campaigns!$A$7:$A$300,B5613)&gt;0,"✓","⚠ add to Campaigns tab"))</f>
        <v/>
      </c>
      <c r="I5613" s="84" t="str">
        <f aca="false">IF(C5613="","",C5613*IF(Settings!$B$23=Settings!$C$6,1,IF(Settings!$B$23="USD",1/INDEX(Settings!$B$29:$B$40,MONTH(A5613)),INDEX(Settings!$B$29:$B$40,MONTH(A5613)))))</f>
        <v/>
      </c>
    </row>
    <row r="5614" customFormat="false" ht="15" hidden="false" customHeight="false" outlineLevel="0" collapsed="false">
      <c r="H5614" s="0" t="str">
        <f aca="false">IF(B5614="","",IF(COUNTIF(Campaigns!$A$7:$A$300,B5614)&gt;0,"✓","⚠ add to Campaigns tab"))</f>
        <v/>
      </c>
      <c r="I5614" s="84" t="str">
        <f aca="false">IF(C5614="","",C5614*IF(Settings!$B$23=Settings!$C$6,1,IF(Settings!$B$23="USD",1/INDEX(Settings!$B$29:$B$40,MONTH(A5614)),INDEX(Settings!$B$29:$B$40,MONTH(A5614)))))</f>
        <v/>
      </c>
    </row>
    <row r="5615" customFormat="false" ht="15" hidden="false" customHeight="false" outlineLevel="0" collapsed="false">
      <c r="H5615" s="0" t="str">
        <f aca="false">IF(B5615="","",IF(COUNTIF(Campaigns!$A$7:$A$300,B5615)&gt;0,"✓","⚠ add to Campaigns tab"))</f>
        <v/>
      </c>
      <c r="I5615" s="84" t="str">
        <f aca="false">IF(C5615="","",C5615*IF(Settings!$B$23=Settings!$C$6,1,IF(Settings!$B$23="USD",1/INDEX(Settings!$B$29:$B$40,MONTH(A5615)),INDEX(Settings!$B$29:$B$40,MONTH(A5615)))))</f>
        <v/>
      </c>
    </row>
    <row r="5616" customFormat="false" ht="15" hidden="false" customHeight="false" outlineLevel="0" collapsed="false">
      <c r="H5616" s="0" t="str">
        <f aca="false">IF(B5616="","",IF(COUNTIF(Campaigns!$A$7:$A$300,B5616)&gt;0,"✓","⚠ add to Campaigns tab"))</f>
        <v/>
      </c>
      <c r="I5616" s="84" t="str">
        <f aca="false">IF(C5616="","",C5616*IF(Settings!$B$23=Settings!$C$6,1,IF(Settings!$B$23="USD",1/INDEX(Settings!$B$29:$B$40,MONTH(A5616)),INDEX(Settings!$B$29:$B$40,MONTH(A5616)))))</f>
        <v/>
      </c>
    </row>
    <row r="5617" customFormat="false" ht="15" hidden="false" customHeight="false" outlineLevel="0" collapsed="false">
      <c r="H5617" s="0" t="str">
        <f aca="false">IF(B5617="","",IF(COUNTIF(Campaigns!$A$7:$A$300,B5617)&gt;0,"✓","⚠ add to Campaigns tab"))</f>
        <v/>
      </c>
      <c r="I5617" s="84" t="str">
        <f aca="false">IF(C5617="","",C5617*IF(Settings!$B$23=Settings!$C$6,1,IF(Settings!$B$23="USD",1/INDEX(Settings!$B$29:$B$40,MONTH(A5617)),INDEX(Settings!$B$29:$B$40,MONTH(A5617)))))</f>
        <v/>
      </c>
    </row>
    <row r="5618" customFormat="false" ht="15" hidden="false" customHeight="false" outlineLevel="0" collapsed="false">
      <c r="H5618" s="0" t="str">
        <f aca="false">IF(B5618="","",IF(COUNTIF(Campaigns!$A$7:$A$300,B5618)&gt;0,"✓","⚠ add to Campaigns tab"))</f>
        <v/>
      </c>
      <c r="I5618" s="84" t="str">
        <f aca="false">IF(C5618="","",C5618*IF(Settings!$B$23=Settings!$C$6,1,IF(Settings!$B$23="USD",1/INDEX(Settings!$B$29:$B$40,MONTH(A5618)),INDEX(Settings!$B$29:$B$40,MONTH(A5618)))))</f>
        <v/>
      </c>
    </row>
    <row r="5619" customFormat="false" ht="15" hidden="false" customHeight="false" outlineLevel="0" collapsed="false">
      <c r="H5619" s="0" t="str">
        <f aca="false">IF(B5619="","",IF(COUNTIF(Campaigns!$A$7:$A$300,B5619)&gt;0,"✓","⚠ add to Campaigns tab"))</f>
        <v/>
      </c>
      <c r="I5619" s="84" t="str">
        <f aca="false">IF(C5619="","",C5619*IF(Settings!$B$23=Settings!$C$6,1,IF(Settings!$B$23="USD",1/INDEX(Settings!$B$29:$B$40,MONTH(A5619)),INDEX(Settings!$B$29:$B$40,MONTH(A5619)))))</f>
        <v/>
      </c>
    </row>
    <row r="5620" customFormat="false" ht="15" hidden="false" customHeight="false" outlineLevel="0" collapsed="false">
      <c r="H5620" s="0" t="str">
        <f aca="false">IF(B5620="","",IF(COUNTIF(Campaigns!$A$7:$A$300,B5620)&gt;0,"✓","⚠ add to Campaigns tab"))</f>
        <v/>
      </c>
      <c r="I5620" s="84" t="str">
        <f aca="false">IF(C5620="","",C5620*IF(Settings!$B$23=Settings!$C$6,1,IF(Settings!$B$23="USD",1/INDEX(Settings!$B$29:$B$40,MONTH(A5620)),INDEX(Settings!$B$29:$B$40,MONTH(A5620)))))</f>
        <v/>
      </c>
    </row>
    <row r="5621" customFormat="false" ht="15" hidden="false" customHeight="false" outlineLevel="0" collapsed="false">
      <c r="H5621" s="0" t="str">
        <f aca="false">IF(B5621="","",IF(COUNTIF(Campaigns!$A$7:$A$300,B5621)&gt;0,"✓","⚠ add to Campaigns tab"))</f>
        <v/>
      </c>
      <c r="I5621" s="84" t="str">
        <f aca="false">IF(C5621="","",C5621*IF(Settings!$B$23=Settings!$C$6,1,IF(Settings!$B$23="USD",1/INDEX(Settings!$B$29:$B$40,MONTH(A5621)),INDEX(Settings!$B$29:$B$40,MONTH(A5621)))))</f>
        <v/>
      </c>
    </row>
    <row r="5622" customFormat="false" ht="15" hidden="false" customHeight="false" outlineLevel="0" collapsed="false">
      <c r="H5622" s="0" t="str">
        <f aca="false">IF(B5622="","",IF(COUNTIF(Campaigns!$A$7:$A$300,B5622)&gt;0,"✓","⚠ add to Campaigns tab"))</f>
        <v/>
      </c>
      <c r="I5622" s="84" t="str">
        <f aca="false">IF(C5622="","",C5622*IF(Settings!$B$23=Settings!$C$6,1,IF(Settings!$B$23="USD",1/INDEX(Settings!$B$29:$B$40,MONTH(A5622)),INDEX(Settings!$B$29:$B$40,MONTH(A5622)))))</f>
        <v/>
      </c>
    </row>
    <row r="5623" customFormat="false" ht="15" hidden="false" customHeight="false" outlineLevel="0" collapsed="false">
      <c r="H5623" s="0" t="str">
        <f aca="false">IF(B5623="","",IF(COUNTIF(Campaigns!$A$7:$A$300,B5623)&gt;0,"✓","⚠ add to Campaigns tab"))</f>
        <v/>
      </c>
      <c r="I5623" s="84" t="str">
        <f aca="false">IF(C5623="","",C5623*IF(Settings!$B$23=Settings!$C$6,1,IF(Settings!$B$23="USD",1/INDEX(Settings!$B$29:$B$40,MONTH(A5623)),INDEX(Settings!$B$29:$B$40,MONTH(A5623)))))</f>
        <v/>
      </c>
    </row>
    <row r="5624" customFormat="false" ht="15" hidden="false" customHeight="false" outlineLevel="0" collapsed="false">
      <c r="H5624" s="0" t="str">
        <f aca="false">IF(B5624="","",IF(COUNTIF(Campaigns!$A$7:$A$300,B5624)&gt;0,"✓","⚠ add to Campaigns tab"))</f>
        <v/>
      </c>
      <c r="I5624" s="84" t="str">
        <f aca="false">IF(C5624="","",C5624*IF(Settings!$B$23=Settings!$C$6,1,IF(Settings!$B$23="USD",1/INDEX(Settings!$B$29:$B$40,MONTH(A5624)),INDEX(Settings!$B$29:$B$40,MONTH(A5624)))))</f>
        <v/>
      </c>
    </row>
    <row r="5625" customFormat="false" ht="15" hidden="false" customHeight="false" outlineLevel="0" collapsed="false">
      <c r="H5625" s="0" t="str">
        <f aca="false">IF(B5625="","",IF(COUNTIF(Campaigns!$A$7:$A$300,B5625)&gt;0,"✓","⚠ add to Campaigns tab"))</f>
        <v/>
      </c>
      <c r="I5625" s="84" t="str">
        <f aca="false">IF(C5625="","",C5625*IF(Settings!$B$23=Settings!$C$6,1,IF(Settings!$B$23="USD",1/INDEX(Settings!$B$29:$B$40,MONTH(A5625)),INDEX(Settings!$B$29:$B$40,MONTH(A5625)))))</f>
        <v/>
      </c>
    </row>
    <row r="5626" customFormat="false" ht="15" hidden="false" customHeight="false" outlineLevel="0" collapsed="false">
      <c r="H5626" s="0" t="str">
        <f aca="false">IF(B5626="","",IF(COUNTIF(Campaigns!$A$7:$A$300,B5626)&gt;0,"✓","⚠ add to Campaigns tab"))</f>
        <v/>
      </c>
      <c r="I5626" s="84" t="str">
        <f aca="false">IF(C5626="","",C5626*IF(Settings!$B$23=Settings!$C$6,1,IF(Settings!$B$23="USD",1/INDEX(Settings!$B$29:$B$40,MONTH(A5626)),INDEX(Settings!$B$29:$B$40,MONTH(A5626)))))</f>
        <v/>
      </c>
    </row>
    <row r="5627" customFormat="false" ht="15" hidden="false" customHeight="false" outlineLevel="0" collapsed="false">
      <c r="H5627" s="0" t="str">
        <f aca="false">IF(B5627="","",IF(COUNTIF(Campaigns!$A$7:$A$300,B5627)&gt;0,"✓","⚠ add to Campaigns tab"))</f>
        <v/>
      </c>
      <c r="I5627" s="84" t="str">
        <f aca="false">IF(C5627="","",C5627*IF(Settings!$B$23=Settings!$C$6,1,IF(Settings!$B$23="USD",1/INDEX(Settings!$B$29:$B$40,MONTH(A5627)),INDEX(Settings!$B$29:$B$40,MONTH(A5627)))))</f>
        <v/>
      </c>
    </row>
    <row r="5628" customFormat="false" ht="15" hidden="false" customHeight="false" outlineLevel="0" collapsed="false">
      <c r="H5628" s="0" t="str">
        <f aca="false">IF(B5628="","",IF(COUNTIF(Campaigns!$A$7:$A$300,B5628)&gt;0,"✓","⚠ add to Campaigns tab"))</f>
        <v/>
      </c>
      <c r="I5628" s="84" t="str">
        <f aca="false">IF(C5628="","",C5628*IF(Settings!$B$23=Settings!$C$6,1,IF(Settings!$B$23="USD",1/INDEX(Settings!$B$29:$B$40,MONTH(A5628)),INDEX(Settings!$B$29:$B$40,MONTH(A5628)))))</f>
        <v/>
      </c>
    </row>
    <row r="5629" customFormat="false" ht="15" hidden="false" customHeight="false" outlineLevel="0" collapsed="false">
      <c r="H5629" s="0" t="str">
        <f aca="false">IF(B5629="","",IF(COUNTIF(Campaigns!$A$7:$A$300,B5629)&gt;0,"✓","⚠ add to Campaigns tab"))</f>
        <v/>
      </c>
      <c r="I5629" s="84" t="str">
        <f aca="false">IF(C5629="","",C5629*IF(Settings!$B$23=Settings!$C$6,1,IF(Settings!$B$23="USD",1/INDEX(Settings!$B$29:$B$40,MONTH(A5629)),INDEX(Settings!$B$29:$B$40,MONTH(A5629)))))</f>
        <v/>
      </c>
    </row>
    <row r="5630" customFormat="false" ht="15" hidden="false" customHeight="false" outlineLevel="0" collapsed="false">
      <c r="H5630" s="0" t="str">
        <f aca="false">IF(B5630="","",IF(COUNTIF(Campaigns!$A$7:$A$300,B5630)&gt;0,"✓","⚠ add to Campaigns tab"))</f>
        <v/>
      </c>
      <c r="I5630" s="84" t="str">
        <f aca="false">IF(C5630="","",C5630*IF(Settings!$B$23=Settings!$C$6,1,IF(Settings!$B$23="USD",1/INDEX(Settings!$B$29:$B$40,MONTH(A5630)),INDEX(Settings!$B$29:$B$40,MONTH(A5630)))))</f>
        <v/>
      </c>
    </row>
    <row r="5631" customFormat="false" ht="15" hidden="false" customHeight="false" outlineLevel="0" collapsed="false">
      <c r="H5631" s="0" t="str">
        <f aca="false">IF(B5631="","",IF(COUNTIF(Campaigns!$A$7:$A$300,B5631)&gt;0,"✓","⚠ add to Campaigns tab"))</f>
        <v/>
      </c>
      <c r="I5631" s="84" t="str">
        <f aca="false">IF(C5631="","",C5631*IF(Settings!$B$23=Settings!$C$6,1,IF(Settings!$B$23="USD",1/INDEX(Settings!$B$29:$B$40,MONTH(A5631)),INDEX(Settings!$B$29:$B$40,MONTH(A5631)))))</f>
        <v/>
      </c>
    </row>
    <row r="5632" customFormat="false" ht="15" hidden="false" customHeight="false" outlineLevel="0" collapsed="false">
      <c r="H5632" s="0" t="str">
        <f aca="false">IF(B5632="","",IF(COUNTIF(Campaigns!$A$7:$A$300,B5632)&gt;0,"✓","⚠ add to Campaigns tab"))</f>
        <v/>
      </c>
      <c r="I5632" s="84" t="str">
        <f aca="false">IF(C5632="","",C5632*IF(Settings!$B$23=Settings!$C$6,1,IF(Settings!$B$23="USD",1/INDEX(Settings!$B$29:$B$40,MONTH(A5632)),INDEX(Settings!$B$29:$B$40,MONTH(A5632)))))</f>
        <v/>
      </c>
    </row>
    <row r="5633" customFormat="false" ht="15" hidden="false" customHeight="false" outlineLevel="0" collapsed="false">
      <c r="H5633" s="0" t="str">
        <f aca="false">IF(B5633="","",IF(COUNTIF(Campaigns!$A$7:$A$300,B5633)&gt;0,"✓","⚠ add to Campaigns tab"))</f>
        <v/>
      </c>
      <c r="I5633" s="84" t="str">
        <f aca="false">IF(C5633="","",C5633*IF(Settings!$B$23=Settings!$C$6,1,IF(Settings!$B$23="USD",1/INDEX(Settings!$B$29:$B$40,MONTH(A5633)),INDEX(Settings!$B$29:$B$40,MONTH(A5633)))))</f>
        <v/>
      </c>
    </row>
    <row r="5634" customFormat="false" ht="15" hidden="false" customHeight="false" outlineLevel="0" collapsed="false">
      <c r="H5634" s="0" t="str">
        <f aca="false">IF(B5634="","",IF(COUNTIF(Campaigns!$A$7:$A$300,B5634)&gt;0,"✓","⚠ add to Campaigns tab"))</f>
        <v/>
      </c>
      <c r="I5634" s="84" t="str">
        <f aca="false">IF(C5634="","",C5634*IF(Settings!$B$23=Settings!$C$6,1,IF(Settings!$B$23="USD",1/INDEX(Settings!$B$29:$B$40,MONTH(A5634)),INDEX(Settings!$B$29:$B$40,MONTH(A5634)))))</f>
        <v/>
      </c>
    </row>
    <row r="5635" customFormat="false" ht="15" hidden="false" customHeight="false" outlineLevel="0" collapsed="false">
      <c r="H5635" s="0" t="str">
        <f aca="false">IF(B5635="","",IF(COUNTIF(Campaigns!$A$7:$A$300,B5635)&gt;0,"✓","⚠ add to Campaigns tab"))</f>
        <v/>
      </c>
      <c r="I5635" s="84" t="str">
        <f aca="false">IF(C5635="","",C5635*IF(Settings!$B$23=Settings!$C$6,1,IF(Settings!$B$23="USD",1/INDEX(Settings!$B$29:$B$40,MONTH(A5635)),INDEX(Settings!$B$29:$B$40,MONTH(A5635)))))</f>
        <v/>
      </c>
    </row>
    <row r="5636" customFormat="false" ht="15" hidden="false" customHeight="false" outlineLevel="0" collapsed="false">
      <c r="H5636" s="0" t="str">
        <f aca="false">IF(B5636="","",IF(COUNTIF(Campaigns!$A$7:$A$300,B5636)&gt;0,"✓","⚠ add to Campaigns tab"))</f>
        <v/>
      </c>
      <c r="I5636" s="84" t="str">
        <f aca="false">IF(C5636="","",C5636*IF(Settings!$B$23=Settings!$C$6,1,IF(Settings!$B$23="USD",1/INDEX(Settings!$B$29:$B$40,MONTH(A5636)),INDEX(Settings!$B$29:$B$40,MONTH(A5636)))))</f>
        <v/>
      </c>
    </row>
    <row r="5637" customFormat="false" ht="15" hidden="false" customHeight="false" outlineLevel="0" collapsed="false">
      <c r="H5637" s="0" t="str">
        <f aca="false">IF(B5637="","",IF(COUNTIF(Campaigns!$A$7:$A$300,B5637)&gt;0,"✓","⚠ add to Campaigns tab"))</f>
        <v/>
      </c>
      <c r="I5637" s="84" t="str">
        <f aca="false">IF(C5637="","",C5637*IF(Settings!$B$23=Settings!$C$6,1,IF(Settings!$B$23="USD",1/INDEX(Settings!$B$29:$B$40,MONTH(A5637)),INDEX(Settings!$B$29:$B$40,MONTH(A5637)))))</f>
        <v/>
      </c>
    </row>
    <row r="5638" customFormat="false" ht="15" hidden="false" customHeight="false" outlineLevel="0" collapsed="false">
      <c r="H5638" s="0" t="str">
        <f aca="false">IF(B5638="","",IF(COUNTIF(Campaigns!$A$7:$A$300,B5638)&gt;0,"✓","⚠ add to Campaigns tab"))</f>
        <v/>
      </c>
      <c r="I5638" s="84" t="str">
        <f aca="false">IF(C5638="","",C5638*IF(Settings!$B$23=Settings!$C$6,1,IF(Settings!$B$23="USD",1/INDEX(Settings!$B$29:$B$40,MONTH(A5638)),INDEX(Settings!$B$29:$B$40,MONTH(A5638)))))</f>
        <v/>
      </c>
    </row>
    <row r="5639" customFormat="false" ht="15" hidden="false" customHeight="false" outlineLevel="0" collapsed="false">
      <c r="H5639" s="0" t="str">
        <f aca="false">IF(B5639="","",IF(COUNTIF(Campaigns!$A$7:$A$300,B5639)&gt;0,"✓","⚠ add to Campaigns tab"))</f>
        <v/>
      </c>
      <c r="I5639" s="84" t="str">
        <f aca="false">IF(C5639="","",C5639*IF(Settings!$B$23=Settings!$C$6,1,IF(Settings!$B$23="USD",1/INDEX(Settings!$B$29:$B$40,MONTH(A5639)),INDEX(Settings!$B$29:$B$40,MONTH(A5639)))))</f>
        <v/>
      </c>
    </row>
    <row r="5640" customFormat="false" ht="15" hidden="false" customHeight="false" outlineLevel="0" collapsed="false">
      <c r="H5640" s="0" t="str">
        <f aca="false">IF(B5640="","",IF(COUNTIF(Campaigns!$A$7:$A$300,B5640)&gt;0,"✓","⚠ add to Campaigns tab"))</f>
        <v/>
      </c>
      <c r="I5640" s="84" t="str">
        <f aca="false">IF(C5640="","",C5640*IF(Settings!$B$23=Settings!$C$6,1,IF(Settings!$B$23="USD",1/INDEX(Settings!$B$29:$B$40,MONTH(A5640)),INDEX(Settings!$B$29:$B$40,MONTH(A5640)))))</f>
        <v/>
      </c>
    </row>
    <row r="5641" customFormat="false" ht="15" hidden="false" customHeight="false" outlineLevel="0" collapsed="false">
      <c r="H5641" s="0" t="str">
        <f aca="false">IF(B5641="","",IF(COUNTIF(Campaigns!$A$7:$A$300,B5641)&gt;0,"✓","⚠ add to Campaigns tab"))</f>
        <v/>
      </c>
      <c r="I5641" s="84" t="str">
        <f aca="false">IF(C5641="","",C5641*IF(Settings!$B$23=Settings!$C$6,1,IF(Settings!$B$23="USD",1/INDEX(Settings!$B$29:$B$40,MONTH(A5641)),INDEX(Settings!$B$29:$B$40,MONTH(A5641)))))</f>
        <v/>
      </c>
    </row>
    <row r="5642" customFormat="false" ht="15" hidden="false" customHeight="false" outlineLevel="0" collapsed="false">
      <c r="H5642" s="0" t="str">
        <f aca="false">IF(B5642="","",IF(COUNTIF(Campaigns!$A$7:$A$300,B5642)&gt;0,"✓","⚠ add to Campaigns tab"))</f>
        <v/>
      </c>
      <c r="I5642" s="84" t="str">
        <f aca="false">IF(C5642="","",C5642*IF(Settings!$B$23=Settings!$C$6,1,IF(Settings!$B$23="USD",1/INDEX(Settings!$B$29:$B$40,MONTH(A5642)),INDEX(Settings!$B$29:$B$40,MONTH(A5642)))))</f>
        <v/>
      </c>
    </row>
    <row r="5643" customFormat="false" ht="15" hidden="false" customHeight="false" outlineLevel="0" collapsed="false">
      <c r="H5643" s="0" t="str">
        <f aca="false">IF(B5643="","",IF(COUNTIF(Campaigns!$A$7:$A$300,B5643)&gt;0,"✓","⚠ add to Campaigns tab"))</f>
        <v/>
      </c>
      <c r="I5643" s="84" t="str">
        <f aca="false">IF(C5643="","",C5643*IF(Settings!$B$23=Settings!$C$6,1,IF(Settings!$B$23="USD",1/INDEX(Settings!$B$29:$B$40,MONTH(A5643)),INDEX(Settings!$B$29:$B$40,MONTH(A5643)))))</f>
        <v/>
      </c>
    </row>
    <row r="5644" customFormat="false" ht="15" hidden="false" customHeight="false" outlineLevel="0" collapsed="false">
      <c r="H5644" s="0" t="str">
        <f aca="false">IF(B5644="","",IF(COUNTIF(Campaigns!$A$7:$A$300,B5644)&gt;0,"✓","⚠ add to Campaigns tab"))</f>
        <v/>
      </c>
      <c r="I5644" s="84" t="str">
        <f aca="false">IF(C5644="","",C5644*IF(Settings!$B$23=Settings!$C$6,1,IF(Settings!$B$23="USD",1/INDEX(Settings!$B$29:$B$40,MONTH(A5644)),INDEX(Settings!$B$29:$B$40,MONTH(A5644)))))</f>
        <v/>
      </c>
    </row>
    <row r="5645" customFormat="false" ht="15" hidden="false" customHeight="false" outlineLevel="0" collapsed="false">
      <c r="H5645" s="0" t="str">
        <f aca="false">IF(B5645="","",IF(COUNTIF(Campaigns!$A$7:$A$300,B5645)&gt;0,"✓","⚠ add to Campaigns tab"))</f>
        <v/>
      </c>
      <c r="I5645" s="84" t="str">
        <f aca="false">IF(C5645="","",C5645*IF(Settings!$B$23=Settings!$C$6,1,IF(Settings!$B$23="USD",1/INDEX(Settings!$B$29:$B$40,MONTH(A5645)),INDEX(Settings!$B$29:$B$40,MONTH(A5645)))))</f>
        <v/>
      </c>
    </row>
    <row r="5646" customFormat="false" ht="15" hidden="false" customHeight="false" outlineLevel="0" collapsed="false">
      <c r="H5646" s="0" t="str">
        <f aca="false">IF(B5646="","",IF(COUNTIF(Campaigns!$A$7:$A$300,B5646)&gt;0,"✓","⚠ add to Campaigns tab"))</f>
        <v/>
      </c>
      <c r="I5646" s="84" t="str">
        <f aca="false">IF(C5646="","",C5646*IF(Settings!$B$23=Settings!$C$6,1,IF(Settings!$B$23="USD",1/INDEX(Settings!$B$29:$B$40,MONTH(A5646)),INDEX(Settings!$B$29:$B$40,MONTH(A5646)))))</f>
        <v/>
      </c>
    </row>
    <row r="5647" customFormat="false" ht="15" hidden="false" customHeight="false" outlineLevel="0" collapsed="false">
      <c r="H5647" s="0" t="str">
        <f aca="false">IF(B5647="","",IF(COUNTIF(Campaigns!$A$7:$A$300,B5647)&gt;0,"✓","⚠ add to Campaigns tab"))</f>
        <v/>
      </c>
      <c r="I5647" s="84" t="str">
        <f aca="false">IF(C5647="","",C5647*IF(Settings!$B$23=Settings!$C$6,1,IF(Settings!$B$23="USD",1/INDEX(Settings!$B$29:$B$40,MONTH(A5647)),INDEX(Settings!$B$29:$B$40,MONTH(A5647)))))</f>
        <v/>
      </c>
    </row>
    <row r="5648" customFormat="false" ht="15" hidden="false" customHeight="false" outlineLevel="0" collapsed="false">
      <c r="H5648" s="0" t="str">
        <f aca="false">IF(B5648="","",IF(COUNTIF(Campaigns!$A$7:$A$300,B5648)&gt;0,"✓","⚠ add to Campaigns tab"))</f>
        <v/>
      </c>
      <c r="I5648" s="84" t="str">
        <f aca="false">IF(C5648="","",C5648*IF(Settings!$B$23=Settings!$C$6,1,IF(Settings!$B$23="USD",1/INDEX(Settings!$B$29:$B$40,MONTH(A5648)),INDEX(Settings!$B$29:$B$40,MONTH(A5648)))))</f>
        <v/>
      </c>
    </row>
    <row r="5649" customFormat="false" ht="15" hidden="false" customHeight="false" outlineLevel="0" collapsed="false">
      <c r="H5649" s="0" t="str">
        <f aca="false">IF(B5649="","",IF(COUNTIF(Campaigns!$A$7:$A$300,B5649)&gt;0,"✓","⚠ add to Campaigns tab"))</f>
        <v/>
      </c>
      <c r="I5649" s="84" t="str">
        <f aca="false">IF(C5649="","",C5649*IF(Settings!$B$23=Settings!$C$6,1,IF(Settings!$B$23="USD",1/INDEX(Settings!$B$29:$B$40,MONTH(A5649)),INDEX(Settings!$B$29:$B$40,MONTH(A5649)))))</f>
        <v/>
      </c>
    </row>
    <row r="5650" customFormat="false" ht="15" hidden="false" customHeight="false" outlineLevel="0" collapsed="false">
      <c r="H5650" s="0" t="str">
        <f aca="false">IF(B5650="","",IF(COUNTIF(Campaigns!$A$7:$A$300,B5650)&gt;0,"✓","⚠ add to Campaigns tab"))</f>
        <v/>
      </c>
      <c r="I5650" s="84" t="str">
        <f aca="false">IF(C5650="","",C5650*IF(Settings!$B$23=Settings!$C$6,1,IF(Settings!$B$23="USD",1/INDEX(Settings!$B$29:$B$40,MONTH(A5650)),INDEX(Settings!$B$29:$B$40,MONTH(A5650)))))</f>
        <v/>
      </c>
    </row>
    <row r="5651" customFormat="false" ht="15" hidden="false" customHeight="false" outlineLevel="0" collapsed="false">
      <c r="H5651" s="0" t="str">
        <f aca="false">IF(B5651="","",IF(COUNTIF(Campaigns!$A$7:$A$300,B5651)&gt;0,"✓","⚠ add to Campaigns tab"))</f>
        <v/>
      </c>
      <c r="I5651" s="84" t="str">
        <f aca="false">IF(C5651="","",C5651*IF(Settings!$B$23=Settings!$C$6,1,IF(Settings!$B$23="USD",1/INDEX(Settings!$B$29:$B$40,MONTH(A5651)),INDEX(Settings!$B$29:$B$40,MONTH(A5651)))))</f>
        <v/>
      </c>
    </row>
    <row r="5652" customFormat="false" ht="15" hidden="false" customHeight="false" outlineLevel="0" collapsed="false">
      <c r="H5652" s="0" t="str">
        <f aca="false">IF(B5652="","",IF(COUNTIF(Campaigns!$A$7:$A$300,B5652)&gt;0,"✓","⚠ add to Campaigns tab"))</f>
        <v/>
      </c>
      <c r="I5652" s="84" t="str">
        <f aca="false">IF(C5652="","",C5652*IF(Settings!$B$23=Settings!$C$6,1,IF(Settings!$B$23="USD",1/INDEX(Settings!$B$29:$B$40,MONTH(A5652)),INDEX(Settings!$B$29:$B$40,MONTH(A5652)))))</f>
        <v/>
      </c>
    </row>
    <row r="5653" customFormat="false" ht="15" hidden="false" customHeight="false" outlineLevel="0" collapsed="false">
      <c r="H5653" s="0" t="str">
        <f aca="false">IF(B5653="","",IF(COUNTIF(Campaigns!$A$7:$A$300,B5653)&gt;0,"✓","⚠ add to Campaigns tab"))</f>
        <v/>
      </c>
      <c r="I5653" s="84" t="str">
        <f aca="false">IF(C5653="","",C5653*IF(Settings!$B$23=Settings!$C$6,1,IF(Settings!$B$23="USD",1/INDEX(Settings!$B$29:$B$40,MONTH(A5653)),INDEX(Settings!$B$29:$B$40,MONTH(A5653)))))</f>
        <v/>
      </c>
    </row>
    <row r="5654" customFormat="false" ht="15" hidden="false" customHeight="false" outlineLevel="0" collapsed="false">
      <c r="H5654" s="0" t="str">
        <f aca="false">IF(B5654="","",IF(COUNTIF(Campaigns!$A$7:$A$300,B5654)&gt;0,"✓","⚠ add to Campaigns tab"))</f>
        <v/>
      </c>
      <c r="I5654" s="84" t="str">
        <f aca="false">IF(C5654="","",C5654*IF(Settings!$B$23=Settings!$C$6,1,IF(Settings!$B$23="USD",1/INDEX(Settings!$B$29:$B$40,MONTH(A5654)),INDEX(Settings!$B$29:$B$40,MONTH(A5654)))))</f>
        <v/>
      </c>
    </row>
    <row r="5655" customFormat="false" ht="15" hidden="false" customHeight="false" outlineLevel="0" collapsed="false">
      <c r="H5655" s="0" t="str">
        <f aca="false">IF(B5655="","",IF(COUNTIF(Campaigns!$A$7:$A$300,B5655)&gt;0,"✓","⚠ add to Campaigns tab"))</f>
        <v/>
      </c>
      <c r="I5655" s="84" t="str">
        <f aca="false">IF(C5655="","",C5655*IF(Settings!$B$23=Settings!$C$6,1,IF(Settings!$B$23="USD",1/INDEX(Settings!$B$29:$B$40,MONTH(A5655)),INDEX(Settings!$B$29:$B$40,MONTH(A5655)))))</f>
        <v/>
      </c>
    </row>
    <row r="5656" customFormat="false" ht="15" hidden="false" customHeight="false" outlineLevel="0" collapsed="false">
      <c r="H5656" s="0" t="str">
        <f aca="false">IF(B5656="","",IF(COUNTIF(Campaigns!$A$7:$A$300,B5656)&gt;0,"✓","⚠ add to Campaigns tab"))</f>
        <v/>
      </c>
      <c r="I5656" s="84" t="str">
        <f aca="false">IF(C5656="","",C5656*IF(Settings!$B$23=Settings!$C$6,1,IF(Settings!$B$23="USD",1/INDEX(Settings!$B$29:$B$40,MONTH(A5656)),INDEX(Settings!$B$29:$B$40,MONTH(A5656)))))</f>
        <v/>
      </c>
    </row>
    <row r="5657" customFormat="false" ht="15" hidden="false" customHeight="false" outlineLevel="0" collapsed="false">
      <c r="H5657" s="0" t="str">
        <f aca="false">IF(B5657="","",IF(COUNTIF(Campaigns!$A$7:$A$300,B5657)&gt;0,"✓","⚠ add to Campaigns tab"))</f>
        <v/>
      </c>
      <c r="I5657" s="84" t="str">
        <f aca="false">IF(C5657="","",C5657*IF(Settings!$B$23=Settings!$C$6,1,IF(Settings!$B$23="USD",1/INDEX(Settings!$B$29:$B$40,MONTH(A5657)),INDEX(Settings!$B$29:$B$40,MONTH(A5657)))))</f>
        <v/>
      </c>
    </row>
    <row r="5658" customFormat="false" ht="15" hidden="false" customHeight="false" outlineLevel="0" collapsed="false">
      <c r="H5658" s="0" t="str">
        <f aca="false">IF(B5658="","",IF(COUNTIF(Campaigns!$A$7:$A$300,B5658)&gt;0,"✓","⚠ add to Campaigns tab"))</f>
        <v/>
      </c>
      <c r="I5658" s="84" t="str">
        <f aca="false">IF(C5658="","",C5658*IF(Settings!$B$23=Settings!$C$6,1,IF(Settings!$B$23="USD",1/INDEX(Settings!$B$29:$B$40,MONTH(A5658)),INDEX(Settings!$B$29:$B$40,MONTH(A5658)))))</f>
        <v/>
      </c>
    </row>
    <row r="5659" customFormat="false" ht="15" hidden="false" customHeight="false" outlineLevel="0" collapsed="false">
      <c r="H5659" s="0" t="str">
        <f aca="false">IF(B5659="","",IF(COUNTIF(Campaigns!$A$7:$A$300,B5659)&gt;0,"✓","⚠ add to Campaigns tab"))</f>
        <v/>
      </c>
      <c r="I5659" s="84" t="str">
        <f aca="false">IF(C5659="","",C5659*IF(Settings!$B$23=Settings!$C$6,1,IF(Settings!$B$23="USD",1/INDEX(Settings!$B$29:$B$40,MONTH(A5659)),INDEX(Settings!$B$29:$B$40,MONTH(A5659)))))</f>
        <v/>
      </c>
    </row>
    <row r="5660" customFormat="false" ht="15" hidden="false" customHeight="false" outlineLevel="0" collapsed="false">
      <c r="H5660" s="0" t="str">
        <f aca="false">IF(B5660="","",IF(COUNTIF(Campaigns!$A$7:$A$300,B5660)&gt;0,"✓","⚠ add to Campaigns tab"))</f>
        <v/>
      </c>
      <c r="I5660" s="84" t="str">
        <f aca="false">IF(C5660="","",C5660*IF(Settings!$B$23=Settings!$C$6,1,IF(Settings!$B$23="USD",1/INDEX(Settings!$B$29:$B$40,MONTH(A5660)),INDEX(Settings!$B$29:$B$40,MONTH(A5660)))))</f>
        <v/>
      </c>
    </row>
    <row r="5661" customFormat="false" ht="15" hidden="false" customHeight="false" outlineLevel="0" collapsed="false">
      <c r="H5661" s="0" t="str">
        <f aca="false">IF(B5661="","",IF(COUNTIF(Campaigns!$A$7:$A$300,B5661)&gt;0,"✓","⚠ add to Campaigns tab"))</f>
        <v/>
      </c>
      <c r="I5661" s="84" t="str">
        <f aca="false">IF(C5661="","",C5661*IF(Settings!$B$23=Settings!$C$6,1,IF(Settings!$B$23="USD",1/INDEX(Settings!$B$29:$B$40,MONTH(A5661)),INDEX(Settings!$B$29:$B$40,MONTH(A5661)))))</f>
        <v/>
      </c>
    </row>
    <row r="5662" customFormat="false" ht="15" hidden="false" customHeight="false" outlineLevel="0" collapsed="false">
      <c r="H5662" s="0" t="str">
        <f aca="false">IF(B5662="","",IF(COUNTIF(Campaigns!$A$7:$A$300,B5662)&gt;0,"✓","⚠ add to Campaigns tab"))</f>
        <v/>
      </c>
      <c r="I5662" s="84" t="str">
        <f aca="false">IF(C5662="","",C5662*IF(Settings!$B$23=Settings!$C$6,1,IF(Settings!$B$23="USD",1/INDEX(Settings!$B$29:$B$40,MONTH(A5662)),INDEX(Settings!$B$29:$B$40,MONTH(A5662)))))</f>
        <v/>
      </c>
    </row>
    <row r="5663" customFormat="false" ht="15" hidden="false" customHeight="false" outlineLevel="0" collapsed="false">
      <c r="H5663" s="0" t="str">
        <f aca="false">IF(B5663="","",IF(COUNTIF(Campaigns!$A$7:$A$300,B5663)&gt;0,"✓","⚠ add to Campaigns tab"))</f>
        <v/>
      </c>
      <c r="I5663" s="84" t="str">
        <f aca="false">IF(C5663="","",C5663*IF(Settings!$B$23=Settings!$C$6,1,IF(Settings!$B$23="USD",1/INDEX(Settings!$B$29:$B$40,MONTH(A5663)),INDEX(Settings!$B$29:$B$40,MONTH(A5663)))))</f>
        <v/>
      </c>
    </row>
    <row r="5664" customFormat="false" ht="15" hidden="false" customHeight="false" outlineLevel="0" collapsed="false">
      <c r="H5664" s="0" t="str">
        <f aca="false">IF(B5664="","",IF(COUNTIF(Campaigns!$A$7:$A$300,B5664)&gt;0,"✓","⚠ add to Campaigns tab"))</f>
        <v/>
      </c>
      <c r="I5664" s="84" t="str">
        <f aca="false">IF(C5664="","",C5664*IF(Settings!$B$23=Settings!$C$6,1,IF(Settings!$B$23="USD",1/INDEX(Settings!$B$29:$B$40,MONTH(A5664)),INDEX(Settings!$B$29:$B$40,MONTH(A5664)))))</f>
        <v/>
      </c>
    </row>
    <row r="5665" customFormat="false" ht="15" hidden="false" customHeight="false" outlineLevel="0" collapsed="false">
      <c r="H5665" s="0" t="str">
        <f aca="false">IF(B5665="","",IF(COUNTIF(Campaigns!$A$7:$A$300,B5665)&gt;0,"✓","⚠ add to Campaigns tab"))</f>
        <v/>
      </c>
      <c r="I5665" s="84" t="str">
        <f aca="false">IF(C5665="","",C5665*IF(Settings!$B$23=Settings!$C$6,1,IF(Settings!$B$23="USD",1/INDEX(Settings!$B$29:$B$40,MONTH(A5665)),INDEX(Settings!$B$29:$B$40,MONTH(A5665)))))</f>
        <v/>
      </c>
    </row>
    <row r="5666" customFormat="false" ht="15" hidden="false" customHeight="false" outlineLevel="0" collapsed="false">
      <c r="H5666" s="0" t="str">
        <f aca="false">IF(B5666="","",IF(COUNTIF(Campaigns!$A$7:$A$300,B5666)&gt;0,"✓","⚠ add to Campaigns tab"))</f>
        <v/>
      </c>
      <c r="I5666" s="84" t="str">
        <f aca="false">IF(C5666="","",C5666*IF(Settings!$B$23=Settings!$C$6,1,IF(Settings!$B$23="USD",1/INDEX(Settings!$B$29:$B$40,MONTH(A5666)),INDEX(Settings!$B$29:$B$40,MONTH(A5666)))))</f>
        <v/>
      </c>
    </row>
    <row r="5667" customFormat="false" ht="15" hidden="false" customHeight="false" outlineLevel="0" collapsed="false">
      <c r="H5667" s="0" t="str">
        <f aca="false">IF(B5667="","",IF(COUNTIF(Campaigns!$A$7:$A$300,B5667)&gt;0,"✓","⚠ add to Campaigns tab"))</f>
        <v/>
      </c>
      <c r="I5667" s="84" t="str">
        <f aca="false">IF(C5667="","",C5667*IF(Settings!$B$23=Settings!$C$6,1,IF(Settings!$B$23="USD",1/INDEX(Settings!$B$29:$B$40,MONTH(A5667)),INDEX(Settings!$B$29:$B$40,MONTH(A5667)))))</f>
        <v/>
      </c>
    </row>
    <row r="5668" customFormat="false" ht="15" hidden="false" customHeight="false" outlineLevel="0" collapsed="false">
      <c r="H5668" s="0" t="str">
        <f aca="false">IF(B5668="","",IF(COUNTIF(Campaigns!$A$7:$A$300,B5668)&gt;0,"✓","⚠ add to Campaigns tab"))</f>
        <v/>
      </c>
      <c r="I5668" s="84" t="str">
        <f aca="false">IF(C5668="","",C5668*IF(Settings!$B$23=Settings!$C$6,1,IF(Settings!$B$23="USD",1/INDEX(Settings!$B$29:$B$40,MONTH(A5668)),INDEX(Settings!$B$29:$B$40,MONTH(A5668)))))</f>
        <v/>
      </c>
    </row>
    <row r="5669" customFormat="false" ht="15" hidden="false" customHeight="false" outlineLevel="0" collapsed="false">
      <c r="H5669" s="0" t="str">
        <f aca="false">IF(B5669="","",IF(COUNTIF(Campaigns!$A$7:$A$300,B5669)&gt;0,"✓","⚠ add to Campaigns tab"))</f>
        <v/>
      </c>
      <c r="I5669" s="84" t="str">
        <f aca="false">IF(C5669="","",C5669*IF(Settings!$B$23=Settings!$C$6,1,IF(Settings!$B$23="USD",1/INDEX(Settings!$B$29:$B$40,MONTH(A5669)),INDEX(Settings!$B$29:$B$40,MONTH(A5669)))))</f>
        <v/>
      </c>
    </row>
    <row r="5670" customFormat="false" ht="15" hidden="false" customHeight="false" outlineLevel="0" collapsed="false">
      <c r="H5670" s="0" t="str">
        <f aca="false">IF(B5670="","",IF(COUNTIF(Campaigns!$A$7:$A$300,B5670)&gt;0,"✓","⚠ add to Campaigns tab"))</f>
        <v/>
      </c>
      <c r="I5670" s="84" t="str">
        <f aca="false">IF(C5670="","",C5670*IF(Settings!$B$23=Settings!$C$6,1,IF(Settings!$B$23="USD",1/INDEX(Settings!$B$29:$B$40,MONTH(A5670)),INDEX(Settings!$B$29:$B$40,MONTH(A5670)))))</f>
        <v/>
      </c>
    </row>
    <row r="5671" customFormat="false" ht="15" hidden="false" customHeight="false" outlineLevel="0" collapsed="false">
      <c r="H5671" s="0" t="str">
        <f aca="false">IF(B5671="","",IF(COUNTIF(Campaigns!$A$7:$A$300,B5671)&gt;0,"✓","⚠ add to Campaigns tab"))</f>
        <v/>
      </c>
      <c r="I5671" s="84" t="str">
        <f aca="false">IF(C5671="","",C5671*IF(Settings!$B$23=Settings!$C$6,1,IF(Settings!$B$23="USD",1/INDEX(Settings!$B$29:$B$40,MONTH(A5671)),INDEX(Settings!$B$29:$B$40,MONTH(A5671)))))</f>
        <v/>
      </c>
    </row>
    <row r="5672" customFormat="false" ht="15" hidden="false" customHeight="false" outlineLevel="0" collapsed="false">
      <c r="H5672" s="0" t="str">
        <f aca="false">IF(B5672="","",IF(COUNTIF(Campaigns!$A$7:$A$300,B5672)&gt;0,"✓","⚠ add to Campaigns tab"))</f>
        <v/>
      </c>
      <c r="I5672" s="84" t="str">
        <f aca="false">IF(C5672="","",C5672*IF(Settings!$B$23=Settings!$C$6,1,IF(Settings!$B$23="USD",1/INDEX(Settings!$B$29:$B$40,MONTH(A5672)),INDEX(Settings!$B$29:$B$40,MONTH(A5672)))))</f>
        <v/>
      </c>
    </row>
    <row r="5673" customFormat="false" ht="15" hidden="false" customHeight="false" outlineLevel="0" collapsed="false">
      <c r="H5673" s="0" t="str">
        <f aca="false">IF(B5673="","",IF(COUNTIF(Campaigns!$A$7:$A$300,B5673)&gt;0,"✓","⚠ add to Campaigns tab"))</f>
        <v/>
      </c>
      <c r="I5673" s="84" t="str">
        <f aca="false">IF(C5673="","",C5673*IF(Settings!$B$23=Settings!$C$6,1,IF(Settings!$B$23="USD",1/INDEX(Settings!$B$29:$B$40,MONTH(A5673)),INDEX(Settings!$B$29:$B$40,MONTH(A5673)))))</f>
        <v/>
      </c>
    </row>
    <row r="5674" customFormat="false" ht="15" hidden="false" customHeight="false" outlineLevel="0" collapsed="false">
      <c r="H5674" s="0" t="str">
        <f aca="false">IF(B5674="","",IF(COUNTIF(Campaigns!$A$7:$A$300,B5674)&gt;0,"✓","⚠ add to Campaigns tab"))</f>
        <v/>
      </c>
      <c r="I5674" s="84" t="str">
        <f aca="false">IF(C5674="","",C5674*IF(Settings!$B$23=Settings!$C$6,1,IF(Settings!$B$23="USD",1/INDEX(Settings!$B$29:$B$40,MONTH(A5674)),INDEX(Settings!$B$29:$B$40,MONTH(A5674)))))</f>
        <v/>
      </c>
    </row>
    <row r="5675" customFormat="false" ht="15" hidden="false" customHeight="false" outlineLevel="0" collapsed="false">
      <c r="H5675" s="0" t="str">
        <f aca="false">IF(B5675="","",IF(COUNTIF(Campaigns!$A$7:$A$300,B5675)&gt;0,"✓","⚠ add to Campaigns tab"))</f>
        <v/>
      </c>
      <c r="I5675" s="84" t="str">
        <f aca="false">IF(C5675="","",C5675*IF(Settings!$B$23=Settings!$C$6,1,IF(Settings!$B$23="USD",1/INDEX(Settings!$B$29:$B$40,MONTH(A5675)),INDEX(Settings!$B$29:$B$40,MONTH(A5675)))))</f>
        <v/>
      </c>
    </row>
    <row r="5676" customFormat="false" ht="15" hidden="false" customHeight="false" outlineLevel="0" collapsed="false">
      <c r="H5676" s="0" t="str">
        <f aca="false">IF(B5676="","",IF(COUNTIF(Campaigns!$A$7:$A$300,B5676)&gt;0,"✓","⚠ add to Campaigns tab"))</f>
        <v/>
      </c>
      <c r="I5676" s="84" t="str">
        <f aca="false">IF(C5676="","",C5676*IF(Settings!$B$23=Settings!$C$6,1,IF(Settings!$B$23="USD",1/INDEX(Settings!$B$29:$B$40,MONTH(A5676)),INDEX(Settings!$B$29:$B$40,MONTH(A5676)))))</f>
        <v/>
      </c>
    </row>
    <row r="5677" customFormat="false" ht="15" hidden="false" customHeight="false" outlineLevel="0" collapsed="false">
      <c r="H5677" s="0" t="str">
        <f aca="false">IF(B5677="","",IF(COUNTIF(Campaigns!$A$7:$A$300,B5677)&gt;0,"✓","⚠ add to Campaigns tab"))</f>
        <v/>
      </c>
      <c r="I5677" s="84" t="str">
        <f aca="false">IF(C5677="","",C5677*IF(Settings!$B$23=Settings!$C$6,1,IF(Settings!$B$23="USD",1/INDEX(Settings!$B$29:$B$40,MONTH(A5677)),INDEX(Settings!$B$29:$B$40,MONTH(A5677)))))</f>
        <v/>
      </c>
    </row>
    <row r="5678" customFormat="false" ht="15" hidden="false" customHeight="false" outlineLevel="0" collapsed="false">
      <c r="H5678" s="0" t="str">
        <f aca="false">IF(B5678="","",IF(COUNTIF(Campaigns!$A$7:$A$300,B5678)&gt;0,"✓","⚠ add to Campaigns tab"))</f>
        <v/>
      </c>
      <c r="I5678" s="84" t="str">
        <f aca="false">IF(C5678="","",C5678*IF(Settings!$B$23=Settings!$C$6,1,IF(Settings!$B$23="USD",1/INDEX(Settings!$B$29:$B$40,MONTH(A5678)),INDEX(Settings!$B$29:$B$40,MONTH(A5678)))))</f>
        <v/>
      </c>
    </row>
    <row r="5679" customFormat="false" ht="15" hidden="false" customHeight="false" outlineLevel="0" collapsed="false">
      <c r="H5679" s="0" t="str">
        <f aca="false">IF(B5679="","",IF(COUNTIF(Campaigns!$A$7:$A$300,B5679)&gt;0,"✓","⚠ add to Campaigns tab"))</f>
        <v/>
      </c>
      <c r="I5679" s="84" t="str">
        <f aca="false">IF(C5679="","",C5679*IF(Settings!$B$23=Settings!$C$6,1,IF(Settings!$B$23="USD",1/INDEX(Settings!$B$29:$B$40,MONTH(A5679)),INDEX(Settings!$B$29:$B$40,MONTH(A5679)))))</f>
        <v/>
      </c>
    </row>
    <row r="5680" customFormat="false" ht="15" hidden="false" customHeight="false" outlineLevel="0" collapsed="false">
      <c r="H5680" s="0" t="str">
        <f aca="false">IF(B5680="","",IF(COUNTIF(Campaigns!$A$7:$A$300,B5680)&gt;0,"✓","⚠ add to Campaigns tab"))</f>
        <v/>
      </c>
      <c r="I5680" s="84" t="str">
        <f aca="false">IF(C5680="","",C5680*IF(Settings!$B$23=Settings!$C$6,1,IF(Settings!$B$23="USD",1/INDEX(Settings!$B$29:$B$40,MONTH(A5680)),INDEX(Settings!$B$29:$B$40,MONTH(A5680)))))</f>
        <v/>
      </c>
    </row>
    <row r="5681" customFormat="false" ht="15" hidden="false" customHeight="false" outlineLevel="0" collapsed="false">
      <c r="H5681" s="0" t="str">
        <f aca="false">IF(B5681="","",IF(COUNTIF(Campaigns!$A$7:$A$300,B5681)&gt;0,"✓","⚠ add to Campaigns tab"))</f>
        <v/>
      </c>
      <c r="I5681" s="84" t="str">
        <f aca="false">IF(C5681="","",C5681*IF(Settings!$B$23=Settings!$C$6,1,IF(Settings!$B$23="USD",1/INDEX(Settings!$B$29:$B$40,MONTH(A5681)),INDEX(Settings!$B$29:$B$40,MONTH(A5681)))))</f>
        <v/>
      </c>
    </row>
    <row r="5682" customFormat="false" ht="15" hidden="false" customHeight="false" outlineLevel="0" collapsed="false">
      <c r="H5682" s="0" t="str">
        <f aca="false">IF(B5682="","",IF(COUNTIF(Campaigns!$A$7:$A$300,B5682)&gt;0,"✓","⚠ add to Campaigns tab"))</f>
        <v/>
      </c>
      <c r="I5682" s="84" t="str">
        <f aca="false">IF(C5682="","",C5682*IF(Settings!$B$23=Settings!$C$6,1,IF(Settings!$B$23="USD",1/INDEX(Settings!$B$29:$B$40,MONTH(A5682)),INDEX(Settings!$B$29:$B$40,MONTH(A5682)))))</f>
        <v/>
      </c>
    </row>
    <row r="5683" customFormat="false" ht="15" hidden="false" customHeight="false" outlineLevel="0" collapsed="false">
      <c r="H5683" s="0" t="str">
        <f aca="false">IF(B5683="","",IF(COUNTIF(Campaigns!$A$7:$A$300,B5683)&gt;0,"✓","⚠ add to Campaigns tab"))</f>
        <v/>
      </c>
      <c r="I5683" s="84" t="str">
        <f aca="false">IF(C5683="","",C5683*IF(Settings!$B$23=Settings!$C$6,1,IF(Settings!$B$23="USD",1/INDEX(Settings!$B$29:$B$40,MONTH(A5683)),INDEX(Settings!$B$29:$B$40,MONTH(A5683)))))</f>
        <v/>
      </c>
    </row>
    <row r="5684" customFormat="false" ht="15" hidden="false" customHeight="false" outlineLevel="0" collapsed="false">
      <c r="H5684" s="0" t="str">
        <f aca="false">IF(B5684="","",IF(COUNTIF(Campaigns!$A$7:$A$300,B5684)&gt;0,"✓","⚠ add to Campaigns tab"))</f>
        <v/>
      </c>
      <c r="I5684" s="84" t="str">
        <f aca="false">IF(C5684="","",C5684*IF(Settings!$B$23=Settings!$C$6,1,IF(Settings!$B$23="USD",1/INDEX(Settings!$B$29:$B$40,MONTH(A5684)),INDEX(Settings!$B$29:$B$40,MONTH(A5684)))))</f>
        <v/>
      </c>
    </row>
    <row r="5685" customFormat="false" ht="15" hidden="false" customHeight="false" outlineLevel="0" collapsed="false">
      <c r="H5685" s="0" t="str">
        <f aca="false">IF(B5685="","",IF(COUNTIF(Campaigns!$A$7:$A$300,B5685)&gt;0,"✓","⚠ add to Campaigns tab"))</f>
        <v/>
      </c>
      <c r="I5685" s="84" t="str">
        <f aca="false">IF(C5685="","",C5685*IF(Settings!$B$23=Settings!$C$6,1,IF(Settings!$B$23="USD",1/INDEX(Settings!$B$29:$B$40,MONTH(A5685)),INDEX(Settings!$B$29:$B$40,MONTH(A5685)))))</f>
        <v/>
      </c>
    </row>
    <row r="5686" customFormat="false" ht="15" hidden="false" customHeight="false" outlineLevel="0" collapsed="false">
      <c r="H5686" s="0" t="str">
        <f aca="false">IF(B5686="","",IF(COUNTIF(Campaigns!$A$7:$A$300,B5686)&gt;0,"✓","⚠ add to Campaigns tab"))</f>
        <v/>
      </c>
      <c r="I5686" s="84" t="str">
        <f aca="false">IF(C5686="","",C5686*IF(Settings!$B$23=Settings!$C$6,1,IF(Settings!$B$23="USD",1/INDEX(Settings!$B$29:$B$40,MONTH(A5686)),INDEX(Settings!$B$29:$B$40,MONTH(A5686)))))</f>
        <v/>
      </c>
    </row>
    <row r="5687" customFormat="false" ht="15" hidden="false" customHeight="false" outlineLevel="0" collapsed="false">
      <c r="H5687" s="0" t="str">
        <f aca="false">IF(B5687="","",IF(COUNTIF(Campaigns!$A$7:$A$300,B5687)&gt;0,"✓","⚠ add to Campaigns tab"))</f>
        <v/>
      </c>
      <c r="I5687" s="84" t="str">
        <f aca="false">IF(C5687="","",C5687*IF(Settings!$B$23=Settings!$C$6,1,IF(Settings!$B$23="USD",1/INDEX(Settings!$B$29:$B$40,MONTH(A5687)),INDEX(Settings!$B$29:$B$40,MONTH(A5687)))))</f>
        <v/>
      </c>
    </row>
    <row r="5688" customFormat="false" ht="15" hidden="false" customHeight="false" outlineLevel="0" collapsed="false">
      <c r="H5688" s="0" t="str">
        <f aca="false">IF(B5688="","",IF(COUNTIF(Campaigns!$A$7:$A$300,B5688)&gt;0,"✓","⚠ add to Campaigns tab"))</f>
        <v/>
      </c>
      <c r="I5688" s="84" t="str">
        <f aca="false">IF(C5688="","",C5688*IF(Settings!$B$23=Settings!$C$6,1,IF(Settings!$B$23="USD",1/INDEX(Settings!$B$29:$B$40,MONTH(A5688)),INDEX(Settings!$B$29:$B$40,MONTH(A5688)))))</f>
        <v/>
      </c>
    </row>
    <row r="5689" customFormat="false" ht="15" hidden="false" customHeight="false" outlineLevel="0" collapsed="false">
      <c r="H5689" s="0" t="str">
        <f aca="false">IF(B5689="","",IF(COUNTIF(Campaigns!$A$7:$A$300,B5689)&gt;0,"✓","⚠ add to Campaigns tab"))</f>
        <v/>
      </c>
      <c r="I5689" s="84" t="str">
        <f aca="false">IF(C5689="","",C5689*IF(Settings!$B$23=Settings!$C$6,1,IF(Settings!$B$23="USD",1/INDEX(Settings!$B$29:$B$40,MONTH(A5689)),INDEX(Settings!$B$29:$B$40,MONTH(A5689)))))</f>
        <v/>
      </c>
    </row>
    <row r="5690" customFormat="false" ht="15" hidden="false" customHeight="false" outlineLevel="0" collapsed="false">
      <c r="H5690" s="0" t="str">
        <f aca="false">IF(B5690="","",IF(COUNTIF(Campaigns!$A$7:$A$300,B5690)&gt;0,"✓","⚠ add to Campaigns tab"))</f>
        <v/>
      </c>
      <c r="I5690" s="84" t="str">
        <f aca="false">IF(C5690="","",C5690*IF(Settings!$B$23=Settings!$C$6,1,IF(Settings!$B$23="USD",1/INDEX(Settings!$B$29:$B$40,MONTH(A5690)),INDEX(Settings!$B$29:$B$40,MONTH(A5690)))))</f>
        <v/>
      </c>
    </row>
    <row r="5691" customFormat="false" ht="15" hidden="false" customHeight="false" outlineLevel="0" collapsed="false">
      <c r="H5691" s="0" t="str">
        <f aca="false">IF(B5691="","",IF(COUNTIF(Campaigns!$A$7:$A$300,B5691)&gt;0,"✓","⚠ add to Campaigns tab"))</f>
        <v/>
      </c>
      <c r="I5691" s="84" t="str">
        <f aca="false">IF(C5691="","",C5691*IF(Settings!$B$23=Settings!$C$6,1,IF(Settings!$B$23="USD",1/INDEX(Settings!$B$29:$B$40,MONTH(A5691)),INDEX(Settings!$B$29:$B$40,MONTH(A5691)))))</f>
        <v/>
      </c>
    </row>
    <row r="5692" customFormat="false" ht="15" hidden="false" customHeight="false" outlineLevel="0" collapsed="false">
      <c r="H5692" s="0" t="str">
        <f aca="false">IF(B5692="","",IF(COUNTIF(Campaigns!$A$7:$A$300,B5692)&gt;0,"✓","⚠ add to Campaigns tab"))</f>
        <v/>
      </c>
      <c r="I5692" s="84" t="str">
        <f aca="false">IF(C5692="","",C5692*IF(Settings!$B$23=Settings!$C$6,1,IF(Settings!$B$23="USD",1/INDEX(Settings!$B$29:$B$40,MONTH(A5692)),INDEX(Settings!$B$29:$B$40,MONTH(A5692)))))</f>
        <v/>
      </c>
    </row>
    <row r="5693" customFormat="false" ht="15" hidden="false" customHeight="false" outlineLevel="0" collapsed="false">
      <c r="H5693" s="0" t="str">
        <f aca="false">IF(B5693="","",IF(COUNTIF(Campaigns!$A$7:$A$300,B5693)&gt;0,"✓","⚠ add to Campaigns tab"))</f>
        <v/>
      </c>
      <c r="I5693" s="84" t="str">
        <f aca="false">IF(C5693="","",C5693*IF(Settings!$B$23=Settings!$C$6,1,IF(Settings!$B$23="USD",1/INDEX(Settings!$B$29:$B$40,MONTH(A5693)),INDEX(Settings!$B$29:$B$40,MONTH(A5693)))))</f>
        <v/>
      </c>
    </row>
    <row r="5694" customFormat="false" ht="15" hidden="false" customHeight="false" outlineLevel="0" collapsed="false">
      <c r="H5694" s="0" t="str">
        <f aca="false">IF(B5694="","",IF(COUNTIF(Campaigns!$A$7:$A$300,B5694)&gt;0,"✓","⚠ add to Campaigns tab"))</f>
        <v/>
      </c>
      <c r="I5694" s="84" t="str">
        <f aca="false">IF(C5694="","",C5694*IF(Settings!$B$23=Settings!$C$6,1,IF(Settings!$B$23="USD",1/INDEX(Settings!$B$29:$B$40,MONTH(A5694)),INDEX(Settings!$B$29:$B$40,MONTH(A5694)))))</f>
        <v/>
      </c>
    </row>
    <row r="5695" customFormat="false" ht="15" hidden="false" customHeight="false" outlineLevel="0" collapsed="false">
      <c r="H5695" s="0" t="str">
        <f aca="false">IF(B5695="","",IF(COUNTIF(Campaigns!$A$7:$A$300,B5695)&gt;0,"✓","⚠ add to Campaigns tab"))</f>
        <v/>
      </c>
      <c r="I5695" s="84" t="str">
        <f aca="false">IF(C5695="","",C5695*IF(Settings!$B$23=Settings!$C$6,1,IF(Settings!$B$23="USD",1/INDEX(Settings!$B$29:$B$40,MONTH(A5695)),INDEX(Settings!$B$29:$B$40,MONTH(A5695)))))</f>
        <v/>
      </c>
    </row>
    <row r="5696" customFormat="false" ht="15" hidden="false" customHeight="false" outlineLevel="0" collapsed="false">
      <c r="H5696" s="0" t="str">
        <f aca="false">IF(B5696="","",IF(COUNTIF(Campaigns!$A$7:$A$300,B5696)&gt;0,"✓","⚠ add to Campaigns tab"))</f>
        <v/>
      </c>
      <c r="I5696" s="84" t="str">
        <f aca="false">IF(C5696="","",C5696*IF(Settings!$B$23=Settings!$C$6,1,IF(Settings!$B$23="USD",1/INDEX(Settings!$B$29:$B$40,MONTH(A5696)),INDEX(Settings!$B$29:$B$40,MONTH(A5696)))))</f>
        <v/>
      </c>
    </row>
    <row r="5697" customFormat="false" ht="15" hidden="false" customHeight="false" outlineLevel="0" collapsed="false">
      <c r="H5697" s="0" t="str">
        <f aca="false">IF(B5697="","",IF(COUNTIF(Campaigns!$A$7:$A$300,B5697)&gt;0,"✓","⚠ add to Campaigns tab"))</f>
        <v/>
      </c>
      <c r="I5697" s="84" t="str">
        <f aca="false">IF(C5697="","",C5697*IF(Settings!$B$23=Settings!$C$6,1,IF(Settings!$B$23="USD",1/INDEX(Settings!$B$29:$B$40,MONTH(A5697)),INDEX(Settings!$B$29:$B$40,MONTH(A5697)))))</f>
        <v/>
      </c>
    </row>
    <row r="5698" customFormat="false" ht="15" hidden="false" customHeight="false" outlineLevel="0" collapsed="false">
      <c r="H5698" s="0" t="str">
        <f aca="false">IF(B5698="","",IF(COUNTIF(Campaigns!$A$7:$A$300,B5698)&gt;0,"✓","⚠ add to Campaigns tab"))</f>
        <v/>
      </c>
      <c r="I5698" s="84" t="str">
        <f aca="false">IF(C5698="","",C5698*IF(Settings!$B$23=Settings!$C$6,1,IF(Settings!$B$23="USD",1/INDEX(Settings!$B$29:$B$40,MONTH(A5698)),INDEX(Settings!$B$29:$B$40,MONTH(A5698)))))</f>
        <v/>
      </c>
    </row>
    <row r="5699" customFormat="false" ht="15" hidden="false" customHeight="false" outlineLevel="0" collapsed="false">
      <c r="H5699" s="0" t="str">
        <f aca="false">IF(B5699="","",IF(COUNTIF(Campaigns!$A$7:$A$300,B5699)&gt;0,"✓","⚠ add to Campaigns tab"))</f>
        <v/>
      </c>
      <c r="I5699" s="84" t="str">
        <f aca="false">IF(C5699="","",C5699*IF(Settings!$B$23=Settings!$C$6,1,IF(Settings!$B$23="USD",1/INDEX(Settings!$B$29:$B$40,MONTH(A5699)),INDEX(Settings!$B$29:$B$40,MONTH(A5699)))))</f>
        <v/>
      </c>
    </row>
    <row r="5700" customFormat="false" ht="15" hidden="false" customHeight="false" outlineLevel="0" collapsed="false">
      <c r="H5700" s="0" t="str">
        <f aca="false">IF(B5700="","",IF(COUNTIF(Campaigns!$A$7:$A$300,B5700)&gt;0,"✓","⚠ add to Campaigns tab"))</f>
        <v/>
      </c>
      <c r="I5700" s="84" t="str">
        <f aca="false">IF(C5700="","",C5700*IF(Settings!$B$23=Settings!$C$6,1,IF(Settings!$B$23="USD",1/INDEX(Settings!$B$29:$B$40,MONTH(A5700)),INDEX(Settings!$B$29:$B$40,MONTH(A5700)))))</f>
        <v/>
      </c>
    </row>
    <row r="5701" customFormat="false" ht="15" hidden="false" customHeight="false" outlineLevel="0" collapsed="false">
      <c r="H5701" s="0" t="str">
        <f aca="false">IF(B5701="","",IF(COUNTIF(Campaigns!$A$7:$A$300,B5701)&gt;0,"✓","⚠ add to Campaigns tab"))</f>
        <v/>
      </c>
      <c r="I5701" s="84" t="str">
        <f aca="false">IF(C5701="","",C5701*IF(Settings!$B$23=Settings!$C$6,1,IF(Settings!$B$23="USD",1/INDEX(Settings!$B$29:$B$40,MONTH(A5701)),INDEX(Settings!$B$29:$B$40,MONTH(A5701)))))</f>
        <v/>
      </c>
    </row>
    <row r="5702" customFormat="false" ht="15" hidden="false" customHeight="false" outlineLevel="0" collapsed="false">
      <c r="H5702" s="0" t="str">
        <f aca="false">IF(B5702="","",IF(COUNTIF(Campaigns!$A$7:$A$300,B5702)&gt;0,"✓","⚠ add to Campaigns tab"))</f>
        <v/>
      </c>
      <c r="I5702" s="84" t="str">
        <f aca="false">IF(C5702="","",C5702*IF(Settings!$B$23=Settings!$C$6,1,IF(Settings!$B$23="USD",1/INDEX(Settings!$B$29:$B$40,MONTH(A5702)),INDEX(Settings!$B$29:$B$40,MONTH(A5702)))))</f>
        <v/>
      </c>
    </row>
    <row r="5703" customFormat="false" ht="15" hidden="false" customHeight="false" outlineLevel="0" collapsed="false">
      <c r="H5703" s="0" t="str">
        <f aca="false">IF(B5703="","",IF(COUNTIF(Campaigns!$A$7:$A$300,B5703)&gt;0,"✓","⚠ add to Campaigns tab"))</f>
        <v/>
      </c>
      <c r="I5703" s="84" t="str">
        <f aca="false">IF(C5703="","",C5703*IF(Settings!$B$23=Settings!$C$6,1,IF(Settings!$B$23="USD",1/INDEX(Settings!$B$29:$B$40,MONTH(A5703)),INDEX(Settings!$B$29:$B$40,MONTH(A5703)))))</f>
        <v/>
      </c>
    </row>
    <row r="5704" customFormat="false" ht="15" hidden="false" customHeight="false" outlineLevel="0" collapsed="false">
      <c r="H5704" s="0" t="str">
        <f aca="false">IF(B5704="","",IF(COUNTIF(Campaigns!$A$7:$A$300,B5704)&gt;0,"✓","⚠ add to Campaigns tab"))</f>
        <v/>
      </c>
      <c r="I5704" s="84" t="str">
        <f aca="false">IF(C5704="","",C5704*IF(Settings!$B$23=Settings!$C$6,1,IF(Settings!$B$23="USD",1/INDEX(Settings!$B$29:$B$40,MONTH(A5704)),INDEX(Settings!$B$29:$B$40,MONTH(A5704)))))</f>
        <v/>
      </c>
    </row>
    <row r="5705" customFormat="false" ht="15" hidden="false" customHeight="false" outlineLevel="0" collapsed="false">
      <c r="H5705" s="0" t="str">
        <f aca="false">IF(B5705="","",IF(COUNTIF(Campaigns!$A$7:$A$300,B5705)&gt;0,"✓","⚠ add to Campaigns tab"))</f>
        <v/>
      </c>
      <c r="I5705" s="84" t="str">
        <f aca="false">IF(C5705="","",C5705*IF(Settings!$B$23=Settings!$C$6,1,IF(Settings!$B$23="USD",1/INDEX(Settings!$B$29:$B$40,MONTH(A5705)),INDEX(Settings!$B$29:$B$40,MONTH(A5705)))))</f>
        <v/>
      </c>
    </row>
    <row r="5706" customFormat="false" ht="15" hidden="false" customHeight="false" outlineLevel="0" collapsed="false">
      <c r="H5706" s="0" t="str">
        <f aca="false">IF(B5706="","",IF(COUNTIF(Campaigns!$A$7:$A$300,B5706)&gt;0,"✓","⚠ add to Campaigns tab"))</f>
        <v/>
      </c>
      <c r="I5706" s="84" t="str">
        <f aca="false">IF(C5706="","",C5706*IF(Settings!$B$23=Settings!$C$6,1,IF(Settings!$B$23="USD",1/INDEX(Settings!$B$29:$B$40,MONTH(A5706)),INDEX(Settings!$B$29:$B$40,MONTH(A5706)))))</f>
        <v/>
      </c>
    </row>
    <row r="5707" customFormat="false" ht="15" hidden="false" customHeight="false" outlineLevel="0" collapsed="false">
      <c r="H5707" s="0" t="str">
        <f aca="false">IF(B5707="","",IF(COUNTIF(Campaigns!$A$7:$A$300,B5707)&gt;0,"✓","⚠ add to Campaigns tab"))</f>
        <v/>
      </c>
      <c r="I5707" s="84" t="str">
        <f aca="false">IF(C5707="","",C5707*IF(Settings!$B$23=Settings!$C$6,1,IF(Settings!$B$23="USD",1/INDEX(Settings!$B$29:$B$40,MONTH(A5707)),INDEX(Settings!$B$29:$B$40,MONTH(A5707)))))</f>
        <v/>
      </c>
    </row>
    <row r="5708" customFormat="false" ht="15" hidden="false" customHeight="false" outlineLevel="0" collapsed="false">
      <c r="H5708" s="0" t="str">
        <f aca="false">IF(B5708="","",IF(COUNTIF(Campaigns!$A$7:$A$300,B5708)&gt;0,"✓","⚠ add to Campaigns tab"))</f>
        <v/>
      </c>
      <c r="I5708" s="84" t="str">
        <f aca="false">IF(C5708="","",C5708*IF(Settings!$B$23=Settings!$C$6,1,IF(Settings!$B$23="USD",1/INDEX(Settings!$B$29:$B$40,MONTH(A5708)),INDEX(Settings!$B$29:$B$40,MONTH(A5708)))))</f>
        <v/>
      </c>
    </row>
    <row r="5709" customFormat="false" ht="15" hidden="false" customHeight="false" outlineLevel="0" collapsed="false">
      <c r="H5709" s="0" t="str">
        <f aca="false">IF(B5709="","",IF(COUNTIF(Campaigns!$A$7:$A$300,B5709)&gt;0,"✓","⚠ add to Campaigns tab"))</f>
        <v/>
      </c>
      <c r="I5709" s="84" t="str">
        <f aca="false">IF(C5709="","",C5709*IF(Settings!$B$23=Settings!$C$6,1,IF(Settings!$B$23="USD",1/INDEX(Settings!$B$29:$B$40,MONTH(A5709)),INDEX(Settings!$B$29:$B$40,MONTH(A5709)))))</f>
        <v/>
      </c>
    </row>
    <row r="5710" customFormat="false" ht="15" hidden="false" customHeight="false" outlineLevel="0" collapsed="false">
      <c r="H5710" s="0" t="str">
        <f aca="false">IF(B5710="","",IF(COUNTIF(Campaigns!$A$7:$A$300,B5710)&gt;0,"✓","⚠ add to Campaigns tab"))</f>
        <v/>
      </c>
      <c r="I5710" s="84" t="str">
        <f aca="false">IF(C5710="","",C5710*IF(Settings!$B$23=Settings!$C$6,1,IF(Settings!$B$23="USD",1/INDEX(Settings!$B$29:$B$40,MONTH(A5710)),INDEX(Settings!$B$29:$B$40,MONTH(A5710)))))</f>
        <v/>
      </c>
    </row>
    <row r="5711" customFormat="false" ht="15" hidden="false" customHeight="false" outlineLevel="0" collapsed="false">
      <c r="H5711" s="0" t="str">
        <f aca="false">IF(B5711="","",IF(COUNTIF(Campaigns!$A$7:$A$300,B5711)&gt;0,"✓","⚠ add to Campaigns tab"))</f>
        <v/>
      </c>
      <c r="I5711" s="84" t="str">
        <f aca="false">IF(C5711="","",C5711*IF(Settings!$B$23=Settings!$C$6,1,IF(Settings!$B$23="USD",1/INDEX(Settings!$B$29:$B$40,MONTH(A5711)),INDEX(Settings!$B$29:$B$40,MONTH(A5711)))))</f>
        <v/>
      </c>
    </row>
    <row r="5712" customFormat="false" ht="15" hidden="false" customHeight="false" outlineLevel="0" collapsed="false">
      <c r="H5712" s="0" t="str">
        <f aca="false">IF(B5712="","",IF(COUNTIF(Campaigns!$A$7:$A$300,B5712)&gt;0,"✓","⚠ add to Campaigns tab"))</f>
        <v/>
      </c>
      <c r="I5712" s="84" t="str">
        <f aca="false">IF(C5712="","",C5712*IF(Settings!$B$23=Settings!$C$6,1,IF(Settings!$B$23="USD",1/INDEX(Settings!$B$29:$B$40,MONTH(A5712)),INDEX(Settings!$B$29:$B$40,MONTH(A5712)))))</f>
        <v/>
      </c>
    </row>
    <row r="5713" customFormat="false" ht="15" hidden="false" customHeight="false" outlineLevel="0" collapsed="false">
      <c r="H5713" s="0" t="str">
        <f aca="false">IF(B5713="","",IF(COUNTIF(Campaigns!$A$7:$A$300,B5713)&gt;0,"✓","⚠ add to Campaigns tab"))</f>
        <v/>
      </c>
      <c r="I5713" s="84" t="str">
        <f aca="false">IF(C5713="","",C5713*IF(Settings!$B$23=Settings!$C$6,1,IF(Settings!$B$23="USD",1/INDEX(Settings!$B$29:$B$40,MONTH(A5713)),INDEX(Settings!$B$29:$B$40,MONTH(A5713)))))</f>
        <v/>
      </c>
    </row>
    <row r="5714" customFormat="false" ht="15" hidden="false" customHeight="false" outlineLevel="0" collapsed="false">
      <c r="H5714" s="0" t="str">
        <f aca="false">IF(B5714="","",IF(COUNTIF(Campaigns!$A$7:$A$300,B5714)&gt;0,"✓","⚠ add to Campaigns tab"))</f>
        <v/>
      </c>
      <c r="I5714" s="84" t="str">
        <f aca="false">IF(C5714="","",C5714*IF(Settings!$B$23=Settings!$C$6,1,IF(Settings!$B$23="USD",1/INDEX(Settings!$B$29:$B$40,MONTH(A5714)),INDEX(Settings!$B$29:$B$40,MONTH(A5714)))))</f>
        <v/>
      </c>
    </row>
    <row r="5715" customFormat="false" ht="15" hidden="false" customHeight="false" outlineLevel="0" collapsed="false">
      <c r="H5715" s="0" t="str">
        <f aca="false">IF(B5715="","",IF(COUNTIF(Campaigns!$A$7:$A$300,B5715)&gt;0,"✓","⚠ add to Campaigns tab"))</f>
        <v/>
      </c>
      <c r="I5715" s="84" t="str">
        <f aca="false">IF(C5715="","",C5715*IF(Settings!$B$23=Settings!$C$6,1,IF(Settings!$B$23="USD",1/INDEX(Settings!$B$29:$B$40,MONTH(A5715)),INDEX(Settings!$B$29:$B$40,MONTH(A5715)))))</f>
        <v/>
      </c>
    </row>
    <row r="5716" customFormat="false" ht="15" hidden="false" customHeight="false" outlineLevel="0" collapsed="false">
      <c r="H5716" s="0" t="str">
        <f aca="false">IF(B5716="","",IF(COUNTIF(Campaigns!$A$7:$A$300,B5716)&gt;0,"✓","⚠ add to Campaigns tab"))</f>
        <v/>
      </c>
      <c r="I5716" s="84" t="str">
        <f aca="false">IF(C5716="","",C5716*IF(Settings!$B$23=Settings!$C$6,1,IF(Settings!$B$23="USD",1/INDEX(Settings!$B$29:$B$40,MONTH(A5716)),INDEX(Settings!$B$29:$B$40,MONTH(A5716)))))</f>
        <v/>
      </c>
    </row>
    <row r="5717" customFormat="false" ht="15" hidden="false" customHeight="false" outlineLevel="0" collapsed="false">
      <c r="H5717" s="0" t="str">
        <f aca="false">IF(B5717="","",IF(COUNTIF(Campaigns!$A$7:$A$300,B5717)&gt;0,"✓","⚠ add to Campaigns tab"))</f>
        <v/>
      </c>
      <c r="I5717" s="84" t="str">
        <f aca="false">IF(C5717="","",C5717*IF(Settings!$B$23=Settings!$C$6,1,IF(Settings!$B$23="USD",1/INDEX(Settings!$B$29:$B$40,MONTH(A5717)),INDEX(Settings!$B$29:$B$40,MONTH(A5717)))))</f>
        <v/>
      </c>
    </row>
    <row r="5718" customFormat="false" ht="15" hidden="false" customHeight="false" outlineLevel="0" collapsed="false">
      <c r="H5718" s="0" t="str">
        <f aca="false">IF(B5718="","",IF(COUNTIF(Campaigns!$A$7:$A$300,B5718)&gt;0,"✓","⚠ add to Campaigns tab"))</f>
        <v/>
      </c>
      <c r="I5718" s="84" t="str">
        <f aca="false">IF(C5718="","",C5718*IF(Settings!$B$23=Settings!$C$6,1,IF(Settings!$B$23="USD",1/INDEX(Settings!$B$29:$B$40,MONTH(A5718)),INDEX(Settings!$B$29:$B$40,MONTH(A5718)))))</f>
        <v/>
      </c>
    </row>
    <row r="5719" customFormat="false" ht="15" hidden="false" customHeight="false" outlineLevel="0" collapsed="false">
      <c r="H5719" s="0" t="str">
        <f aca="false">IF(B5719="","",IF(COUNTIF(Campaigns!$A$7:$A$300,B5719)&gt;0,"✓","⚠ add to Campaigns tab"))</f>
        <v/>
      </c>
      <c r="I5719" s="84" t="str">
        <f aca="false">IF(C5719="","",C5719*IF(Settings!$B$23=Settings!$C$6,1,IF(Settings!$B$23="USD",1/INDEX(Settings!$B$29:$B$40,MONTH(A5719)),INDEX(Settings!$B$29:$B$40,MONTH(A5719)))))</f>
        <v/>
      </c>
    </row>
    <row r="5720" customFormat="false" ht="15" hidden="false" customHeight="false" outlineLevel="0" collapsed="false">
      <c r="H5720" s="0" t="str">
        <f aca="false">IF(B5720="","",IF(COUNTIF(Campaigns!$A$7:$A$300,B5720)&gt;0,"✓","⚠ add to Campaigns tab"))</f>
        <v/>
      </c>
      <c r="I5720" s="84" t="str">
        <f aca="false">IF(C5720="","",C5720*IF(Settings!$B$23=Settings!$C$6,1,IF(Settings!$B$23="USD",1/INDEX(Settings!$B$29:$B$40,MONTH(A5720)),INDEX(Settings!$B$29:$B$40,MONTH(A5720)))))</f>
        <v/>
      </c>
    </row>
    <row r="5721" customFormat="false" ht="15" hidden="false" customHeight="false" outlineLevel="0" collapsed="false">
      <c r="H5721" s="0" t="str">
        <f aca="false">IF(B5721="","",IF(COUNTIF(Campaigns!$A$7:$A$300,B5721)&gt;0,"✓","⚠ add to Campaigns tab"))</f>
        <v/>
      </c>
      <c r="I5721" s="84" t="str">
        <f aca="false">IF(C5721="","",C5721*IF(Settings!$B$23=Settings!$C$6,1,IF(Settings!$B$23="USD",1/INDEX(Settings!$B$29:$B$40,MONTH(A5721)),INDEX(Settings!$B$29:$B$40,MONTH(A5721)))))</f>
        <v/>
      </c>
    </row>
    <row r="5722" customFormat="false" ht="15" hidden="false" customHeight="false" outlineLevel="0" collapsed="false">
      <c r="H5722" s="0" t="str">
        <f aca="false">IF(B5722="","",IF(COUNTIF(Campaigns!$A$7:$A$300,B5722)&gt;0,"✓","⚠ add to Campaigns tab"))</f>
        <v/>
      </c>
      <c r="I5722" s="84" t="str">
        <f aca="false">IF(C5722="","",C5722*IF(Settings!$B$23=Settings!$C$6,1,IF(Settings!$B$23="USD",1/INDEX(Settings!$B$29:$B$40,MONTH(A5722)),INDEX(Settings!$B$29:$B$40,MONTH(A5722)))))</f>
        <v/>
      </c>
    </row>
    <row r="5723" customFormat="false" ht="15" hidden="false" customHeight="false" outlineLevel="0" collapsed="false">
      <c r="H5723" s="0" t="str">
        <f aca="false">IF(B5723="","",IF(COUNTIF(Campaigns!$A$7:$A$300,B5723)&gt;0,"✓","⚠ add to Campaigns tab"))</f>
        <v/>
      </c>
      <c r="I5723" s="84" t="str">
        <f aca="false">IF(C5723="","",C5723*IF(Settings!$B$23=Settings!$C$6,1,IF(Settings!$B$23="USD",1/INDEX(Settings!$B$29:$B$40,MONTH(A5723)),INDEX(Settings!$B$29:$B$40,MONTH(A5723)))))</f>
        <v/>
      </c>
    </row>
    <row r="5724" customFormat="false" ht="15" hidden="false" customHeight="false" outlineLevel="0" collapsed="false">
      <c r="H5724" s="0" t="str">
        <f aca="false">IF(B5724="","",IF(COUNTIF(Campaigns!$A$7:$A$300,B5724)&gt;0,"✓","⚠ add to Campaigns tab"))</f>
        <v/>
      </c>
      <c r="I5724" s="84" t="str">
        <f aca="false">IF(C5724="","",C5724*IF(Settings!$B$23=Settings!$C$6,1,IF(Settings!$B$23="USD",1/INDEX(Settings!$B$29:$B$40,MONTH(A5724)),INDEX(Settings!$B$29:$B$40,MONTH(A5724)))))</f>
        <v/>
      </c>
    </row>
    <row r="5725" customFormat="false" ht="15" hidden="false" customHeight="false" outlineLevel="0" collapsed="false">
      <c r="H5725" s="0" t="str">
        <f aca="false">IF(B5725="","",IF(COUNTIF(Campaigns!$A$7:$A$300,B5725)&gt;0,"✓","⚠ add to Campaigns tab"))</f>
        <v/>
      </c>
      <c r="I5725" s="84" t="str">
        <f aca="false">IF(C5725="","",C5725*IF(Settings!$B$23=Settings!$C$6,1,IF(Settings!$B$23="USD",1/INDEX(Settings!$B$29:$B$40,MONTH(A5725)),INDEX(Settings!$B$29:$B$40,MONTH(A5725)))))</f>
        <v/>
      </c>
    </row>
    <row r="5726" customFormat="false" ht="15" hidden="false" customHeight="false" outlineLevel="0" collapsed="false">
      <c r="H5726" s="0" t="str">
        <f aca="false">IF(B5726="","",IF(COUNTIF(Campaigns!$A$7:$A$300,B5726)&gt;0,"✓","⚠ add to Campaigns tab"))</f>
        <v/>
      </c>
      <c r="I5726" s="84" t="str">
        <f aca="false">IF(C5726="","",C5726*IF(Settings!$B$23=Settings!$C$6,1,IF(Settings!$B$23="USD",1/INDEX(Settings!$B$29:$B$40,MONTH(A5726)),INDEX(Settings!$B$29:$B$40,MONTH(A5726)))))</f>
        <v/>
      </c>
    </row>
    <row r="5727" customFormat="false" ht="15" hidden="false" customHeight="false" outlineLevel="0" collapsed="false">
      <c r="H5727" s="0" t="str">
        <f aca="false">IF(B5727="","",IF(COUNTIF(Campaigns!$A$7:$A$300,B5727)&gt;0,"✓","⚠ add to Campaigns tab"))</f>
        <v/>
      </c>
      <c r="I5727" s="84" t="str">
        <f aca="false">IF(C5727="","",C5727*IF(Settings!$B$23=Settings!$C$6,1,IF(Settings!$B$23="USD",1/INDEX(Settings!$B$29:$B$40,MONTH(A5727)),INDEX(Settings!$B$29:$B$40,MONTH(A5727)))))</f>
        <v/>
      </c>
    </row>
    <row r="5728" customFormat="false" ht="15" hidden="false" customHeight="false" outlineLevel="0" collapsed="false">
      <c r="H5728" s="0" t="str">
        <f aca="false">IF(B5728="","",IF(COUNTIF(Campaigns!$A$7:$A$300,B5728)&gt;0,"✓","⚠ add to Campaigns tab"))</f>
        <v/>
      </c>
      <c r="I5728" s="84" t="str">
        <f aca="false">IF(C5728="","",C5728*IF(Settings!$B$23=Settings!$C$6,1,IF(Settings!$B$23="USD",1/INDEX(Settings!$B$29:$B$40,MONTH(A5728)),INDEX(Settings!$B$29:$B$40,MONTH(A5728)))))</f>
        <v/>
      </c>
    </row>
    <row r="5729" customFormat="false" ht="15" hidden="false" customHeight="false" outlineLevel="0" collapsed="false">
      <c r="H5729" s="0" t="str">
        <f aca="false">IF(B5729="","",IF(COUNTIF(Campaigns!$A$7:$A$300,B5729)&gt;0,"✓","⚠ add to Campaigns tab"))</f>
        <v/>
      </c>
      <c r="I5729" s="84" t="str">
        <f aca="false">IF(C5729="","",C5729*IF(Settings!$B$23=Settings!$C$6,1,IF(Settings!$B$23="USD",1/INDEX(Settings!$B$29:$B$40,MONTH(A5729)),INDEX(Settings!$B$29:$B$40,MONTH(A5729)))))</f>
        <v/>
      </c>
    </row>
    <row r="5730" customFormat="false" ht="15" hidden="false" customHeight="false" outlineLevel="0" collapsed="false">
      <c r="H5730" s="0" t="str">
        <f aca="false">IF(B5730="","",IF(COUNTIF(Campaigns!$A$7:$A$300,B5730)&gt;0,"✓","⚠ add to Campaigns tab"))</f>
        <v/>
      </c>
      <c r="I5730" s="84" t="str">
        <f aca="false">IF(C5730="","",C5730*IF(Settings!$B$23=Settings!$C$6,1,IF(Settings!$B$23="USD",1/INDEX(Settings!$B$29:$B$40,MONTH(A5730)),INDEX(Settings!$B$29:$B$40,MONTH(A5730)))))</f>
        <v/>
      </c>
    </row>
    <row r="5731" customFormat="false" ht="15" hidden="false" customHeight="false" outlineLevel="0" collapsed="false">
      <c r="H5731" s="0" t="str">
        <f aca="false">IF(B5731="","",IF(COUNTIF(Campaigns!$A$7:$A$300,B5731)&gt;0,"✓","⚠ add to Campaigns tab"))</f>
        <v/>
      </c>
      <c r="I5731" s="84" t="str">
        <f aca="false">IF(C5731="","",C5731*IF(Settings!$B$23=Settings!$C$6,1,IF(Settings!$B$23="USD",1/INDEX(Settings!$B$29:$B$40,MONTH(A5731)),INDEX(Settings!$B$29:$B$40,MONTH(A5731)))))</f>
        <v/>
      </c>
    </row>
    <row r="5732" customFormat="false" ht="15" hidden="false" customHeight="false" outlineLevel="0" collapsed="false">
      <c r="H5732" s="0" t="str">
        <f aca="false">IF(B5732="","",IF(COUNTIF(Campaigns!$A$7:$A$300,B5732)&gt;0,"✓","⚠ add to Campaigns tab"))</f>
        <v/>
      </c>
      <c r="I5732" s="84" t="str">
        <f aca="false">IF(C5732="","",C5732*IF(Settings!$B$23=Settings!$C$6,1,IF(Settings!$B$23="USD",1/INDEX(Settings!$B$29:$B$40,MONTH(A5732)),INDEX(Settings!$B$29:$B$40,MONTH(A5732)))))</f>
        <v/>
      </c>
    </row>
    <row r="5733" customFormat="false" ht="15" hidden="false" customHeight="false" outlineLevel="0" collapsed="false">
      <c r="H5733" s="0" t="str">
        <f aca="false">IF(B5733="","",IF(COUNTIF(Campaigns!$A$7:$A$300,B5733)&gt;0,"✓","⚠ add to Campaigns tab"))</f>
        <v/>
      </c>
      <c r="I5733" s="84" t="str">
        <f aca="false">IF(C5733="","",C5733*IF(Settings!$B$23=Settings!$C$6,1,IF(Settings!$B$23="USD",1/INDEX(Settings!$B$29:$B$40,MONTH(A5733)),INDEX(Settings!$B$29:$B$40,MONTH(A5733)))))</f>
        <v/>
      </c>
    </row>
    <row r="5734" customFormat="false" ht="15" hidden="false" customHeight="false" outlineLevel="0" collapsed="false">
      <c r="H5734" s="0" t="str">
        <f aca="false">IF(B5734="","",IF(COUNTIF(Campaigns!$A$7:$A$300,B5734)&gt;0,"✓","⚠ add to Campaigns tab"))</f>
        <v/>
      </c>
      <c r="I5734" s="84" t="str">
        <f aca="false">IF(C5734="","",C5734*IF(Settings!$B$23=Settings!$C$6,1,IF(Settings!$B$23="USD",1/INDEX(Settings!$B$29:$B$40,MONTH(A5734)),INDEX(Settings!$B$29:$B$40,MONTH(A5734)))))</f>
        <v/>
      </c>
    </row>
    <row r="5735" customFormat="false" ht="15" hidden="false" customHeight="false" outlineLevel="0" collapsed="false">
      <c r="H5735" s="0" t="str">
        <f aca="false">IF(B5735="","",IF(COUNTIF(Campaigns!$A$7:$A$300,B5735)&gt;0,"✓","⚠ add to Campaigns tab"))</f>
        <v/>
      </c>
      <c r="I5735" s="84" t="str">
        <f aca="false">IF(C5735="","",C5735*IF(Settings!$B$23=Settings!$C$6,1,IF(Settings!$B$23="USD",1/INDEX(Settings!$B$29:$B$40,MONTH(A5735)),INDEX(Settings!$B$29:$B$40,MONTH(A5735)))))</f>
        <v/>
      </c>
    </row>
    <row r="5736" customFormat="false" ht="15" hidden="false" customHeight="false" outlineLevel="0" collapsed="false">
      <c r="H5736" s="0" t="str">
        <f aca="false">IF(B5736="","",IF(COUNTIF(Campaigns!$A$7:$A$300,B5736)&gt;0,"✓","⚠ add to Campaigns tab"))</f>
        <v/>
      </c>
      <c r="I5736" s="84" t="str">
        <f aca="false">IF(C5736="","",C5736*IF(Settings!$B$23=Settings!$C$6,1,IF(Settings!$B$23="USD",1/INDEX(Settings!$B$29:$B$40,MONTH(A5736)),INDEX(Settings!$B$29:$B$40,MONTH(A5736)))))</f>
        <v/>
      </c>
    </row>
    <row r="5737" customFormat="false" ht="15" hidden="false" customHeight="false" outlineLevel="0" collapsed="false">
      <c r="H5737" s="0" t="str">
        <f aca="false">IF(B5737="","",IF(COUNTIF(Campaigns!$A$7:$A$300,B5737)&gt;0,"✓","⚠ add to Campaigns tab"))</f>
        <v/>
      </c>
      <c r="I5737" s="84" t="str">
        <f aca="false">IF(C5737="","",C5737*IF(Settings!$B$23=Settings!$C$6,1,IF(Settings!$B$23="USD",1/INDEX(Settings!$B$29:$B$40,MONTH(A5737)),INDEX(Settings!$B$29:$B$40,MONTH(A5737)))))</f>
        <v/>
      </c>
    </row>
    <row r="5738" customFormat="false" ht="15" hidden="false" customHeight="false" outlineLevel="0" collapsed="false">
      <c r="H5738" s="0" t="str">
        <f aca="false">IF(B5738="","",IF(COUNTIF(Campaigns!$A$7:$A$300,B5738)&gt;0,"✓","⚠ add to Campaigns tab"))</f>
        <v/>
      </c>
      <c r="I5738" s="84" t="str">
        <f aca="false">IF(C5738="","",C5738*IF(Settings!$B$23=Settings!$C$6,1,IF(Settings!$B$23="USD",1/INDEX(Settings!$B$29:$B$40,MONTH(A5738)),INDEX(Settings!$B$29:$B$40,MONTH(A5738)))))</f>
        <v/>
      </c>
    </row>
    <row r="5739" customFormat="false" ht="15" hidden="false" customHeight="false" outlineLevel="0" collapsed="false">
      <c r="H5739" s="0" t="str">
        <f aca="false">IF(B5739="","",IF(COUNTIF(Campaigns!$A$7:$A$300,B5739)&gt;0,"✓","⚠ add to Campaigns tab"))</f>
        <v/>
      </c>
      <c r="I5739" s="84" t="str">
        <f aca="false">IF(C5739="","",C5739*IF(Settings!$B$23=Settings!$C$6,1,IF(Settings!$B$23="USD",1/INDEX(Settings!$B$29:$B$40,MONTH(A5739)),INDEX(Settings!$B$29:$B$40,MONTH(A5739)))))</f>
        <v/>
      </c>
    </row>
    <row r="5740" customFormat="false" ht="15" hidden="false" customHeight="false" outlineLevel="0" collapsed="false">
      <c r="H5740" s="0" t="str">
        <f aca="false">IF(B5740="","",IF(COUNTIF(Campaigns!$A$7:$A$300,B5740)&gt;0,"✓","⚠ add to Campaigns tab"))</f>
        <v/>
      </c>
      <c r="I5740" s="84" t="str">
        <f aca="false">IF(C5740="","",C5740*IF(Settings!$B$23=Settings!$C$6,1,IF(Settings!$B$23="USD",1/INDEX(Settings!$B$29:$B$40,MONTH(A5740)),INDEX(Settings!$B$29:$B$40,MONTH(A5740)))))</f>
        <v/>
      </c>
    </row>
    <row r="5741" customFormat="false" ht="15" hidden="false" customHeight="false" outlineLevel="0" collapsed="false">
      <c r="H5741" s="0" t="str">
        <f aca="false">IF(B5741="","",IF(COUNTIF(Campaigns!$A$7:$A$300,B5741)&gt;0,"✓","⚠ add to Campaigns tab"))</f>
        <v/>
      </c>
      <c r="I5741" s="84" t="str">
        <f aca="false">IF(C5741="","",C5741*IF(Settings!$B$23=Settings!$C$6,1,IF(Settings!$B$23="USD",1/INDEX(Settings!$B$29:$B$40,MONTH(A5741)),INDEX(Settings!$B$29:$B$40,MONTH(A5741)))))</f>
        <v/>
      </c>
    </row>
    <row r="5742" customFormat="false" ht="15" hidden="false" customHeight="false" outlineLevel="0" collapsed="false">
      <c r="H5742" s="0" t="str">
        <f aca="false">IF(B5742="","",IF(COUNTIF(Campaigns!$A$7:$A$300,B5742)&gt;0,"✓","⚠ add to Campaigns tab"))</f>
        <v/>
      </c>
      <c r="I5742" s="84" t="str">
        <f aca="false">IF(C5742="","",C5742*IF(Settings!$B$23=Settings!$C$6,1,IF(Settings!$B$23="USD",1/INDEX(Settings!$B$29:$B$40,MONTH(A5742)),INDEX(Settings!$B$29:$B$40,MONTH(A5742)))))</f>
        <v/>
      </c>
    </row>
    <row r="5743" customFormat="false" ht="15" hidden="false" customHeight="false" outlineLevel="0" collapsed="false">
      <c r="H5743" s="0" t="str">
        <f aca="false">IF(B5743="","",IF(COUNTIF(Campaigns!$A$7:$A$300,B5743)&gt;0,"✓","⚠ add to Campaigns tab"))</f>
        <v/>
      </c>
      <c r="I5743" s="84" t="str">
        <f aca="false">IF(C5743="","",C5743*IF(Settings!$B$23=Settings!$C$6,1,IF(Settings!$B$23="USD",1/INDEX(Settings!$B$29:$B$40,MONTH(A5743)),INDEX(Settings!$B$29:$B$40,MONTH(A5743)))))</f>
        <v/>
      </c>
    </row>
    <row r="5744" customFormat="false" ht="15" hidden="false" customHeight="false" outlineLevel="0" collapsed="false">
      <c r="H5744" s="0" t="str">
        <f aca="false">IF(B5744="","",IF(COUNTIF(Campaigns!$A$7:$A$300,B5744)&gt;0,"✓","⚠ add to Campaigns tab"))</f>
        <v/>
      </c>
      <c r="I5744" s="84" t="str">
        <f aca="false">IF(C5744="","",C5744*IF(Settings!$B$23=Settings!$C$6,1,IF(Settings!$B$23="USD",1/INDEX(Settings!$B$29:$B$40,MONTH(A5744)),INDEX(Settings!$B$29:$B$40,MONTH(A5744)))))</f>
        <v/>
      </c>
    </row>
    <row r="5745" customFormat="false" ht="15" hidden="false" customHeight="false" outlineLevel="0" collapsed="false">
      <c r="H5745" s="0" t="str">
        <f aca="false">IF(B5745="","",IF(COUNTIF(Campaigns!$A$7:$A$300,B5745)&gt;0,"✓","⚠ add to Campaigns tab"))</f>
        <v/>
      </c>
      <c r="I5745" s="84" t="str">
        <f aca="false">IF(C5745="","",C5745*IF(Settings!$B$23=Settings!$C$6,1,IF(Settings!$B$23="USD",1/INDEX(Settings!$B$29:$B$40,MONTH(A5745)),INDEX(Settings!$B$29:$B$40,MONTH(A5745)))))</f>
        <v/>
      </c>
    </row>
    <row r="5746" customFormat="false" ht="15" hidden="false" customHeight="false" outlineLevel="0" collapsed="false">
      <c r="H5746" s="0" t="str">
        <f aca="false">IF(B5746="","",IF(COUNTIF(Campaigns!$A$7:$A$300,B5746)&gt;0,"✓","⚠ add to Campaigns tab"))</f>
        <v/>
      </c>
      <c r="I5746" s="84" t="str">
        <f aca="false">IF(C5746="","",C5746*IF(Settings!$B$23=Settings!$C$6,1,IF(Settings!$B$23="USD",1/INDEX(Settings!$B$29:$B$40,MONTH(A5746)),INDEX(Settings!$B$29:$B$40,MONTH(A5746)))))</f>
        <v/>
      </c>
    </row>
    <row r="5747" customFormat="false" ht="15" hidden="false" customHeight="false" outlineLevel="0" collapsed="false">
      <c r="H5747" s="0" t="str">
        <f aca="false">IF(B5747="","",IF(COUNTIF(Campaigns!$A$7:$A$300,B5747)&gt;0,"✓","⚠ add to Campaigns tab"))</f>
        <v/>
      </c>
      <c r="I5747" s="84" t="str">
        <f aca="false">IF(C5747="","",C5747*IF(Settings!$B$23=Settings!$C$6,1,IF(Settings!$B$23="USD",1/INDEX(Settings!$B$29:$B$40,MONTH(A5747)),INDEX(Settings!$B$29:$B$40,MONTH(A5747)))))</f>
        <v/>
      </c>
    </row>
    <row r="5748" customFormat="false" ht="15" hidden="false" customHeight="false" outlineLevel="0" collapsed="false">
      <c r="H5748" s="0" t="str">
        <f aca="false">IF(B5748="","",IF(COUNTIF(Campaigns!$A$7:$A$300,B5748)&gt;0,"✓","⚠ add to Campaigns tab"))</f>
        <v/>
      </c>
      <c r="I5748" s="84" t="str">
        <f aca="false">IF(C5748="","",C5748*IF(Settings!$B$23=Settings!$C$6,1,IF(Settings!$B$23="USD",1/INDEX(Settings!$B$29:$B$40,MONTH(A5748)),INDEX(Settings!$B$29:$B$40,MONTH(A5748)))))</f>
        <v/>
      </c>
    </row>
    <row r="5749" customFormat="false" ht="15" hidden="false" customHeight="false" outlineLevel="0" collapsed="false">
      <c r="H5749" s="0" t="str">
        <f aca="false">IF(B5749="","",IF(COUNTIF(Campaigns!$A$7:$A$300,B5749)&gt;0,"✓","⚠ add to Campaigns tab"))</f>
        <v/>
      </c>
      <c r="I5749" s="84" t="str">
        <f aca="false">IF(C5749="","",C5749*IF(Settings!$B$23=Settings!$C$6,1,IF(Settings!$B$23="USD",1/INDEX(Settings!$B$29:$B$40,MONTH(A5749)),INDEX(Settings!$B$29:$B$40,MONTH(A5749)))))</f>
        <v/>
      </c>
    </row>
    <row r="5750" customFormat="false" ht="15" hidden="false" customHeight="false" outlineLevel="0" collapsed="false">
      <c r="H5750" s="0" t="str">
        <f aca="false">IF(B5750="","",IF(COUNTIF(Campaigns!$A$7:$A$300,B5750)&gt;0,"✓","⚠ add to Campaigns tab"))</f>
        <v/>
      </c>
      <c r="I5750" s="84" t="str">
        <f aca="false">IF(C5750="","",C5750*IF(Settings!$B$23=Settings!$C$6,1,IF(Settings!$B$23="USD",1/INDEX(Settings!$B$29:$B$40,MONTH(A5750)),INDEX(Settings!$B$29:$B$40,MONTH(A5750)))))</f>
        <v/>
      </c>
    </row>
    <row r="5751" customFormat="false" ht="15" hidden="false" customHeight="false" outlineLevel="0" collapsed="false">
      <c r="H5751" s="0" t="str">
        <f aca="false">IF(B5751="","",IF(COUNTIF(Campaigns!$A$7:$A$300,B5751)&gt;0,"✓","⚠ add to Campaigns tab"))</f>
        <v/>
      </c>
      <c r="I5751" s="84" t="str">
        <f aca="false">IF(C5751="","",C5751*IF(Settings!$B$23=Settings!$C$6,1,IF(Settings!$B$23="USD",1/INDEX(Settings!$B$29:$B$40,MONTH(A5751)),INDEX(Settings!$B$29:$B$40,MONTH(A5751)))))</f>
        <v/>
      </c>
    </row>
    <row r="5752" customFormat="false" ht="15" hidden="false" customHeight="false" outlineLevel="0" collapsed="false">
      <c r="H5752" s="0" t="str">
        <f aca="false">IF(B5752="","",IF(COUNTIF(Campaigns!$A$7:$A$300,B5752)&gt;0,"✓","⚠ add to Campaigns tab"))</f>
        <v/>
      </c>
      <c r="I5752" s="84" t="str">
        <f aca="false">IF(C5752="","",C5752*IF(Settings!$B$23=Settings!$C$6,1,IF(Settings!$B$23="USD",1/INDEX(Settings!$B$29:$B$40,MONTH(A5752)),INDEX(Settings!$B$29:$B$40,MONTH(A5752)))))</f>
        <v/>
      </c>
    </row>
    <row r="5753" customFormat="false" ht="15" hidden="false" customHeight="false" outlineLevel="0" collapsed="false">
      <c r="H5753" s="0" t="str">
        <f aca="false">IF(B5753="","",IF(COUNTIF(Campaigns!$A$7:$A$300,B5753)&gt;0,"✓","⚠ add to Campaigns tab"))</f>
        <v/>
      </c>
      <c r="I5753" s="84" t="str">
        <f aca="false">IF(C5753="","",C5753*IF(Settings!$B$23=Settings!$C$6,1,IF(Settings!$B$23="USD",1/INDEX(Settings!$B$29:$B$40,MONTH(A5753)),INDEX(Settings!$B$29:$B$40,MONTH(A5753)))))</f>
        <v/>
      </c>
    </row>
    <row r="5754" customFormat="false" ht="15" hidden="false" customHeight="false" outlineLevel="0" collapsed="false">
      <c r="H5754" s="0" t="str">
        <f aca="false">IF(B5754="","",IF(COUNTIF(Campaigns!$A$7:$A$300,B5754)&gt;0,"✓","⚠ add to Campaigns tab"))</f>
        <v/>
      </c>
      <c r="I5754" s="84" t="str">
        <f aca="false">IF(C5754="","",C5754*IF(Settings!$B$23=Settings!$C$6,1,IF(Settings!$B$23="USD",1/INDEX(Settings!$B$29:$B$40,MONTH(A5754)),INDEX(Settings!$B$29:$B$40,MONTH(A5754)))))</f>
        <v/>
      </c>
    </row>
    <row r="5755" customFormat="false" ht="15" hidden="false" customHeight="false" outlineLevel="0" collapsed="false">
      <c r="H5755" s="0" t="str">
        <f aca="false">IF(B5755="","",IF(COUNTIF(Campaigns!$A$7:$A$300,B5755)&gt;0,"✓","⚠ add to Campaigns tab"))</f>
        <v/>
      </c>
      <c r="I5755" s="84" t="str">
        <f aca="false">IF(C5755="","",C5755*IF(Settings!$B$23=Settings!$C$6,1,IF(Settings!$B$23="USD",1/INDEX(Settings!$B$29:$B$40,MONTH(A5755)),INDEX(Settings!$B$29:$B$40,MONTH(A5755)))))</f>
        <v/>
      </c>
    </row>
    <row r="5756" customFormat="false" ht="15" hidden="false" customHeight="false" outlineLevel="0" collapsed="false">
      <c r="H5756" s="0" t="str">
        <f aca="false">IF(B5756="","",IF(COUNTIF(Campaigns!$A$7:$A$300,B5756)&gt;0,"✓","⚠ add to Campaigns tab"))</f>
        <v/>
      </c>
      <c r="I5756" s="84" t="str">
        <f aca="false">IF(C5756="","",C5756*IF(Settings!$B$23=Settings!$C$6,1,IF(Settings!$B$23="USD",1/INDEX(Settings!$B$29:$B$40,MONTH(A5756)),INDEX(Settings!$B$29:$B$40,MONTH(A5756)))))</f>
        <v/>
      </c>
    </row>
    <row r="5757" customFormat="false" ht="15" hidden="false" customHeight="false" outlineLevel="0" collapsed="false">
      <c r="H5757" s="0" t="str">
        <f aca="false">IF(B5757="","",IF(COUNTIF(Campaigns!$A$7:$A$300,B5757)&gt;0,"✓","⚠ add to Campaigns tab"))</f>
        <v/>
      </c>
      <c r="I5757" s="84" t="str">
        <f aca="false">IF(C5757="","",C5757*IF(Settings!$B$23=Settings!$C$6,1,IF(Settings!$B$23="USD",1/INDEX(Settings!$B$29:$B$40,MONTH(A5757)),INDEX(Settings!$B$29:$B$40,MONTH(A5757)))))</f>
        <v/>
      </c>
    </row>
    <row r="5758" customFormat="false" ht="15" hidden="false" customHeight="false" outlineLevel="0" collapsed="false">
      <c r="H5758" s="0" t="str">
        <f aca="false">IF(B5758="","",IF(COUNTIF(Campaigns!$A$7:$A$300,B5758)&gt;0,"✓","⚠ add to Campaigns tab"))</f>
        <v/>
      </c>
      <c r="I5758" s="84" t="str">
        <f aca="false">IF(C5758="","",C5758*IF(Settings!$B$23=Settings!$C$6,1,IF(Settings!$B$23="USD",1/INDEX(Settings!$B$29:$B$40,MONTH(A5758)),INDEX(Settings!$B$29:$B$40,MONTH(A5758)))))</f>
        <v/>
      </c>
    </row>
    <row r="5759" customFormat="false" ht="15" hidden="false" customHeight="false" outlineLevel="0" collapsed="false">
      <c r="H5759" s="0" t="str">
        <f aca="false">IF(B5759="","",IF(COUNTIF(Campaigns!$A$7:$A$300,B5759)&gt;0,"✓","⚠ add to Campaigns tab"))</f>
        <v/>
      </c>
      <c r="I5759" s="84" t="str">
        <f aca="false">IF(C5759="","",C5759*IF(Settings!$B$23=Settings!$C$6,1,IF(Settings!$B$23="USD",1/INDEX(Settings!$B$29:$B$40,MONTH(A5759)),INDEX(Settings!$B$29:$B$40,MONTH(A5759)))))</f>
        <v/>
      </c>
    </row>
    <row r="5760" customFormat="false" ht="15" hidden="false" customHeight="false" outlineLevel="0" collapsed="false">
      <c r="H5760" s="0" t="str">
        <f aca="false">IF(B5760="","",IF(COUNTIF(Campaigns!$A$7:$A$300,B5760)&gt;0,"✓","⚠ add to Campaigns tab"))</f>
        <v/>
      </c>
      <c r="I5760" s="84" t="str">
        <f aca="false">IF(C5760="","",C5760*IF(Settings!$B$23=Settings!$C$6,1,IF(Settings!$B$23="USD",1/INDEX(Settings!$B$29:$B$40,MONTH(A5760)),INDEX(Settings!$B$29:$B$40,MONTH(A5760)))))</f>
        <v/>
      </c>
    </row>
    <row r="5761" customFormat="false" ht="15" hidden="false" customHeight="false" outlineLevel="0" collapsed="false">
      <c r="H5761" s="0" t="str">
        <f aca="false">IF(B5761="","",IF(COUNTIF(Campaigns!$A$7:$A$300,B5761)&gt;0,"✓","⚠ add to Campaigns tab"))</f>
        <v/>
      </c>
      <c r="I5761" s="84" t="str">
        <f aca="false">IF(C5761="","",C5761*IF(Settings!$B$23=Settings!$C$6,1,IF(Settings!$B$23="USD",1/INDEX(Settings!$B$29:$B$40,MONTH(A5761)),INDEX(Settings!$B$29:$B$40,MONTH(A5761)))))</f>
        <v/>
      </c>
    </row>
    <row r="5762" customFormat="false" ht="15" hidden="false" customHeight="false" outlineLevel="0" collapsed="false">
      <c r="H5762" s="0" t="str">
        <f aca="false">IF(B5762="","",IF(COUNTIF(Campaigns!$A$7:$A$300,B5762)&gt;0,"✓","⚠ add to Campaigns tab"))</f>
        <v/>
      </c>
      <c r="I5762" s="84" t="str">
        <f aca="false">IF(C5762="","",C5762*IF(Settings!$B$23=Settings!$C$6,1,IF(Settings!$B$23="USD",1/INDEX(Settings!$B$29:$B$40,MONTH(A5762)),INDEX(Settings!$B$29:$B$40,MONTH(A5762)))))</f>
        <v/>
      </c>
    </row>
    <row r="5763" customFormat="false" ht="15" hidden="false" customHeight="false" outlineLevel="0" collapsed="false">
      <c r="H5763" s="0" t="str">
        <f aca="false">IF(B5763="","",IF(COUNTIF(Campaigns!$A$7:$A$300,B5763)&gt;0,"✓","⚠ add to Campaigns tab"))</f>
        <v/>
      </c>
      <c r="I5763" s="84" t="str">
        <f aca="false">IF(C5763="","",C5763*IF(Settings!$B$23=Settings!$C$6,1,IF(Settings!$B$23="USD",1/INDEX(Settings!$B$29:$B$40,MONTH(A5763)),INDEX(Settings!$B$29:$B$40,MONTH(A5763)))))</f>
        <v/>
      </c>
    </row>
    <row r="5764" customFormat="false" ht="15" hidden="false" customHeight="false" outlineLevel="0" collapsed="false">
      <c r="H5764" s="0" t="str">
        <f aca="false">IF(B5764="","",IF(COUNTIF(Campaigns!$A$7:$A$300,B5764)&gt;0,"✓","⚠ add to Campaigns tab"))</f>
        <v/>
      </c>
      <c r="I5764" s="84" t="str">
        <f aca="false">IF(C5764="","",C5764*IF(Settings!$B$23=Settings!$C$6,1,IF(Settings!$B$23="USD",1/INDEX(Settings!$B$29:$B$40,MONTH(A5764)),INDEX(Settings!$B$29:$B$40,MONTH(A5764)))))</f>
        <v/>
      </c>
    </row>
    <row r="5765" customFormat="false" ht="15" hidden="false" customHeight="false" outlineLevel="0" collapsed="false">
      <c r="H5765" s="0" t="str">
        <f aca="false">IF(B5765="","",IF(COUNTIF(Campaigns!$A$7:$A$300,B5765)&gt;0,"✓","⚠ add to Campaigns tab"))</f>
        <v/>
      </c>
      <c r="I5765" s="84" t="str">
        <f aca="false">IF(C5765="","",C5765*IF(Settings!$B$23=Settings!$C$6,1,IF(Settings!$B$23="USD",1/INDEX(Settings!$B$29:$B$40,MONTH(A5765)),INDEX(Settings!$B$29:$B$40,MONTH(A5765)))))</f>
        <v/>
      </c>
    </row>
    <row r="5766" customFormat="false" ht="15" hidden="false" customHeight="false" outlineLevel="0" collapsed="false">
      <c r="H5766" s="0" t="str">
        <f aca="false">IF(B5766="","",IF(COUNTIF(Campaigns!$A$7:$A$300,B5766)&gt;0,"✓","⚠ add to Campaigns tab"))</f>
        <v/>
      </c>
      <c r="I5766" s="84" t="str">
        <f aca="false">IF(C5766="","",C5766*IF(Settings!$B$23=Settings!$C$6,1,IF(Settings!$B$23="USD",1/INDEX(Settings!$B$29:$B$40,MONTH(A5766)),INDEX(Settings!$B$29:$B$40,MONTH(A5766)))))</f>
        <v/>
      </c>
    </row>
    <row r="5767" customFormat="false" ht="15" hidden="false" customHeight="false" outlineLevel="0" collapsed="false">
      <c r="H5767" s="0" t="str">
        <f aca="false">IF(B5767="","",IF(COUNTIF(Campaigns!$A$7:$A$300,B5767)&gt;0,"✓","⚠ add to Campaigns tab"))</f>
        <v/>
      </c>
      <c r="I5767" s="84" t="str">
        <f aca="false">IF(C5767="","",C5767*IF(Settings!$B$23=Settings!$C$6,1,IF(Settings!$B$23="USD",1/INDEX(Settings!$B$29:$B$40,MONTH(A5767)),INDEX(Settings!$B$29:$B$40,MONTH(A5767)))))</f>
        <v/>
      </c>
    </row>
    <row r="5768" customFormat="false" ht="15" hidden="false" customHeight="false" outlineLevel="0" collapsed="false">
      <c r="H5768" s="0" t="str">
        <f aca="false">IF(B5768="","",IF(COUNTIF(Campaigns!$A$7:$A$300,B5768)&gt;0,"✓","⚠ add to Campaigns tab"))</f>
        <v/>
      </c>
      <c r="I5768" s="84" t="str">
        <f aca="false">IF(C5768="","",C5768*IF(Settings!$B$23=Settings!$C$6,1,IF(Settings!$B$23="USD",1/INDEX(Settings!$B$29:$B$40,MONTH(A5768)),INDEX(Settings!$B$29:$B$40,MONTH(A5768)))))</f>
        <v/>
      </c>
    </row>
    <row r="5769" customFormat="false" ht="15" hidden="false" customHeight="false" outlineLevel="0" collapsed="false">
      <c r="H5769" s="0" t="str">
        <f aca="false">IF(B5769="","",IF(COUNTIF(Campaigns!$A$7:$A$300,B5769)&gt;0,"✓","⚠ add to Campaigns tab"))</f>
        <v/>
      </c>
      <c r="I5769" s="84" t="str">
        <f aca="false">IF(C5769="","",C5769*IF(Settings!$B$23=Settings!$C$6,1,IF(Settings!$B$23="USD",1/INDEX(Settings!$B$29:$B$40,MONTH(A5769)),INDEX(Settings!$B$29:$B$40,MONTH(A5769)))))</f>
        <v/>
      </c>
    </row>
    <row r="5770" customFormat="false" ht="15" hidden="false" customHeight="false" outlineLevel="0" collapsed="false">
      <c r="H5770" s="0" t="str">
        <f aca="false">IF(B5770="","",IF(COUNTIF(Campaigns!$A$7:$A$300,B5770)&gt;0,"✓","⚠ add to Campaigns tab"))</f>
        <v/>
      </c>
      <c r="I5770" s="84" t="str">
        <f aca="false">IF(C5770="","",C5770*IF(Settings!$B$23=Settings!$C$6,1,IF(Settings!$B$23="USD",1/INDEX(Settings!$B$29:$B$40,MONTH(A5770)),INDEX(Settings!$B$29:$B$40,MONTH(A5770)))))</f>
        <v/>
      </c>
    </row>
    <row r="5771" customFormat="false" ht="15" hidden="false" customHeight="false" outlineLevel="0" collapsed="false">
      <c r="H5771" s="0" t="str">
        <f aca="false">IF(B5771="","",IF(COUNTIF(Campaigns!$A$7:$A$300,B5771)&gt;0,"✓","⚠ add to Campaigns tab"))</f>
        <v/>
      </c>
      <c r="I5771" s="84" t="str">
        <f aca="false">IF(C5771="","",C5771*IF(Settings!$B$23=Settings!$C$6,1,IF(Settings!$B$23="USD",1/INDEX(Settings!$B$29:$B$40,MONTH(A5771)),INDEX(Settings!$B$29:$B$40,MONTH(A5771)))))</f>
        <v/>
      </c>
    </row>
    <row r="5772" customFormat="false" ht="15" hidden="false" customHeight="false" outlineLevel="0" collapsed="false">
      <c r="H5772" s="0" t="str">
        <f aca="false">IF(B5772="","",IF(COUNTIF(Campaigns!$A$7:$A$300,B5772)&gt;0,"✓","⚠ add to Campaigns tab"))</f>
        <v/>
      </c>
      <c r="I5772" s="84" t="str">
        <f aca="false">IF(C5772="","",C5772*IF(Settings!$B$23=Settings!$C$6,1,IF(Settings!$B$23="USD",1/INDEX(Settings!$B$29:$B$40,MONTH(A5772)),INDEX(Settings!$B$29:$B$40,MONTH(A5772)))))</f>
        <v/>
      </c>
    </row>
    <row r="5773" customFormat="false" ht="15" hidden="false" customHeight="false" outlineLevel="0" collapsed="false">
      <c r="H5773" s="0" t="str">
        <f aca="false">IF(B5773="","",IF(COUNTIF(Campaigns!$A$7:$A$300,B5773)&gt;0,"✓","⚠ add to Campaigns tab"))</f>
        <v/>
      </c>
      <c r="I5773" s="84" t="str">
        <f aca="false">IF(C5773="","",C5773*IF(Settings!$B$23=Settings!$C$6,1,IF(Settings!$B$23="USD",1/INDEX(Settings!$B$29:$B$40,MONTH(A5773)),INDEX(Settings!$B$29:$B$40,MONTH(A5773)))))</f>
        <v/>
      </c>
    </row>
    <row r="5774" customFormat="false" ht="15" hidden="false" customHeight="false" outlineLevel="0" collapsed="false">
      <c r="H5774" s="0" t="str">
        <f aca="false">IF(B5774="","",IF(COUNTIF(Campaigns!$A$7:$A$300,B5774)&gt;0,"✓","⚠ add to Campaigns tab"))</f>
        <v/>
      </c>
      <c r="I5774" s="84" t="str">
        <f aca="false">IF(C5774="","",C5774*IF(Settings!$B$23=Settings!$C$6,1,IF(Settings!$B$23="USD",1/INDEX(Settings!$B$29:$B$40,MONTH(A5774)),INDEX(Settings!$B$29:$B$40,MONTH(A5774)))))</f>
        <v/>
      </c>
    </row>
    <row r="5775" customFormat="false" ht="15" hidden="false" customHeight="false" outlineLevel="0" collapsed="false">
      <c r="H5775" s="0" t="str">
        <f aca="false">IF(B5775="","",IF(COUNTIF(Campaigns!$A$7:$A$300,B5775)&gt;0,"✓","⚠ add to Campaigns tab"))</f>
        <v/>
      </c>
      <c r="I5775" s="84" t="str">
        <f aca="false">IF(C5775="","",C5775*IF(Settings!$B$23=Settings!$C$6,1,IF(Settings!$B$23="USD",1/INDEX(Settings!$B$29:$B$40,MONTH(A5775)),INDEX(Settings!$B$29:$B$40,MONTH(A5775)))))</f>
        <v/>
      </c>
    </row>
    <row r="5776" customFormat="false" ht="15" hidden="false" customHeight="false" outlineLevel="0" collapsed="false">
      <c r="H5776" s="0" t="str">
        <f aca="false">IF(B5776="","",IF(COUNTIF(Campaigns!$A$7:$A$300,B5776)&gt;0,"✓","⚠ add to Campaigns tab"))</f>
        <v/>
      </c>
      <c r="I5776" s="84" t="str">
        <f aca="false">IF(C5776="","",C5776*IF(Settings!$B$23=Settings!$C$6,1,IF(Settings!$B$23="USD",1/INDEX(Settings!$B$29:$B$40,MONTH(A5776)),INDEX(Settings!$B$29:$B$40,MONTH(A5776)))))</f>
        <v/>
      </c>
    </row>
    <row r="5777" customFormat="false" ht="15" hidden="false" customHeight="false" outlineLevel="0" collapsed="false">
      <c r="H5777" s="0" t="str">
        <f aca="false">IF(B5777="","",IF(COUNTIF(Campaigns!$A$7:$A$300,B5777)&gt;0,"✓","⚠ add to Campaigns tab"))</f>
        <v/>
      </c>
      <c r="I5777" s="84" t="str">
        <f aca="false">IF(C5777="","",C5777*IF(Settings!$B$23=Settings!$C$6,1,IF(Settings!$B$23="USD",1/INDEX(Settings!$B$29:$B$40,MONTH(A5777)),INDEX(Settings!$B$29:$B$40,MONTH(A5777)))))</f>
        <v/>
      </c>
    </row>
    <row r="5778" customFormat="false" ht="15" hidden="false" customHeight="false" outlineLevel="0" collapsed="false">
      <c r="H5778" s="0" t="str">
        <f aca="false">IF(B5778="","",IF(COUNTIF(Campaigns!$A$7:$A$300,B5778)&gt;0,"✓","⚠ add to Campaigns tab"))</f>
        <v/>
      </c>
      <c r="I5778" s="84" t="str">
        <f aca="false">IF(C5778="","",C5778*IF(Settings!$B$23=Settings!$C$6,1,IF(Settings!$B$23="USD",1/INDEX(Settings!$B$29:$B$40,MONTH(A5778)),INDEX(Settings!$B$29:$B$40,MONTH(A5778)))))</f>
        <v/>
      </c>
    </row>
    <row r="5779" customFormat="false" ht="15" hidden="false" customHeight="false" outlineLevel="0" collapsed="false">
      <c r="H5779" s="0" t="str">
        <f aca="false">IF(B5779="","",IF(COUNTIF(Campaigns!$A$7:$A$300,B5779)&gt;0,"✓","⚠ add to Campaigns tab"))</f>
        <v/>
      </c>
      <c r="I5779" s="84" t="str">
        <f aca="false">IF(C5779="","",C5779*IF(Settings!$B$23=Settings!$C$6,1,IF(Settings!$B$23="USD",1/INDEX(Settings!$B$29:$B$40,MONTH(A5779)),INDEX(Settings!$B$29:$B$40,MONTH(A5779)))))</f>
        <v/>
      </c>
    </row>
    <row r="5780" customFormat="false" ht="15" hidden="false" customHeight="false" outlineLevel="0" collapsed="false">
      <c r="H5780" s="0" t="str">
        <f aca="false">IF(B5780="","",IF(COUNTIF(Campaigns!$A$7:$A$300,B5780)&gt;0,"✓","⚠ add to Campaigns tab"))</f>
        <v/>
      </c>
      <c r="I5780" s="84" t="str">
        <f aca="false">IF(C5780="","",C5780*IF(Settings!$B$23=Settings!$C$6,1,IF(Settings!$B$23="USD",1/INDEX(Settings!$B$29:$B$40,MONTH(A5780)),INDEX(Settings!$B$29:$B$40,MONTH(A5780)))))</f>
        <v/>
      </c>
    </row>
    <row r="5781" customFormat="false" ht="15" hidden="false" customHeight="false" outlineLevel="0" collapsed="false">
      <c r="H5781" s="0" t="str">
        <f aca="false">IF(B5781="","",IF(COUNTIF(Campaigns!$A$7:$A$300,B5781)&gt;0,"✓","⚠ add to Campaigns tab"))</f>
        <v/>
      </c>
      <c r="I5781" s="84" t="str">
        <f aca="false">IF(C5781="","",C5781*IF(Settings!$B$23=Settings!$C$6,1,IF(Settings!$B$23="USD",1/INDEX(Settings!$B$29:$B$40,MONTH(A5781)),INDEX(Settings!$B$29:$B$40,MONTH(A5781)))))</f>
        <v/>
      </c>
    </row>
    <row r="5782" customFormat="false" ht="15" hidden="false" customHeight="false" outlineLevel="0" collapsed="false">
      <c r="H5782" s="0" t="str">
        <f aca="false">IF(B5782="","",IF(COUNTIF(Campaigns!$A$7:$A$300,B5782)&gt;0,"✓","⚠ add to Campaigns tab"))</f>
        <v/>
      </c>
      <c r="I5782" s="84" t="str">
        <f aca="false">IF(C5782="","",C5782*IF(Settings!$B$23=Settings!$C$6,1,IF(Settings!$B$23="USD",1/INDEX(Settings!$B$29:$B$40,MONTH(A5782)),INDEX(Settings!$B$29:$B$40,MONTH(A5782)))))</f>
        <v/>
      </c>
    </row>
    <row r="5783" customFormat="false" ht="15" hidden="false" customHeight="false" outlineLevel="0" collapsed="false">
      <c r="H5783" s="0" t="str">
        <f aca="false">IF(B5783="","",IF(COUNTIF(Campaigns!$A$7:$A$300,B5783)&gt;0,"✓","⚠ add to Campaigns tab"))</f>
        <v/>
      </c>
      <c r="I5783" s="84" t="str">
        <f aca="false">IF(C5783="","",C5783*IF(Settings!$B$23=Settings!$C$6,1,IF(Settings!$B$23="USD",1/INDEX(Settings!$B$29:$B$40,MONTH(A5783)),INDEX(Settings!$B$29:$B$40,MONTH(A5783)))))</f>
        <v/>
      </c>
    </row>
    <row r="5784" customFormat="false" ht="15" hidden="false" customHeight="false" outlineLevel="0" collapsed="false">
      <c r="H5784" s="0" t="str">
        <f aca="false">IF(B5784="","",IF(COUNTIF(Campaigns!$A$7:$A$300,B5784)&gt;0,"✓","⚠ add to Campaigns tab"))</f>
        <v/>
      </c>
      <c r="I5784" s="84" t="str">
        <f aca="false">IF(C5784="","",C5784*IF(Settings!$B$23=Settings!$C$6,1,IF(Settings!$B$23="USD",1/INDEX(Settings!$B$29:$B$40,MONTH(A5784)),INDEX(Settings!$B$29:$B$40,MONTH(A5784)))))</f>
        <v/>
      </c>
    </row>
    <row r="5785" customFormat="false" ht="15" hidden="false" customHeight="false" outlineLevel="0" collapsed="false">
      <c r="H5785" s="0" t="str">
        <f aca="false">IF(B5785="","",IF(COUNTIF(Campaigns!$A$7:$A$300,B5785)&gt;0,"✓","⚠ add to Campaigns tab"))</f>
        <v/>
      </c>
      <c r="I5785" s="84" t="str">
        <f aca="false">IF(C5785="","",C5785*IF(Settings!$B$23=Settings!$C$6,1,IF(Settings!$B$23="USD",1/INDEX(Settings!$B$29:$B$40,MONTH(A5785)),INDEX(Settings!$B$29:$B$40,MONTH(A5785)))))</f>
        <v/>
      </c>
    </row>
    <row r="5786" customFormat="false" ht="15" hidden="false" customHeight="false" outlineLevel="0" collapsed="false">
      <c r="H5786" s="0" t="str">
        <f aca="false">IF(B5786="","",IF(COUNTIF(Campaigns!$A$7:$A$300,B5786)&gt;0,"✓","⚠ add to Campaigns tab"))</f>
        <v/>
      </c>
      <c r="I5786" s="84" t="str">
        <f aca="false">IF(C5786="","",C5786*IF(Settings!$B$23=Settings!$C$6,1,IF(Settings!$B$23="USD",1/INDEX(Settings!$B$29:$B$40,MONTH(A5786)),INDEX(Settings!$B$29:$B$40,MONTH(A5786)))))</f>
        <v/>
      </c>
    </row>
    <row r="5787" customFormat="false" ht="15" hidden="false" customHeight="false" outlineLevel="0" collapsed="false">
      <c r="H5787" s="0" t="str">
        <f aca="false">IF(B5787="","",IF(COUNTIF(Campaigns!$A$7:$A$300,B5787)&gt;0,"✓","⚠ add to Campaigns tab"))</f>
        <v/>
      </c>
      <c r="I5787" s="84" t="str">
        <f aca="false">IF(C5787="","",C5787*IF(Settings!$B$23=Settings!$C$6,1,IF(Settings!$B$23="USD",1/INDEX(Settings!$B$29:$B$40,MONTH(A5787)),INDEX(Settings!$B$29:$B$40,MONTH(A5787)))))</f>
        <v/>
      </c>
    </row>
    <row r="5788" customFormat="false" ht="15" hidden="false" customHeight="false" outlineLevel="0" collapsed="false">
      <c r="H5788" s="0" t="str">
        <f aca="false">IF(B5788="","",IF(COUNTIF(Campaigns!$A$7:$A$300,B5788)&gt;0,"✓","⚠ add to Campaigns tab"))</f>
        <v/>
      </c>
      <c r="I5788" s="84" t="str">
        <f aca="false">IF(C5788="","",C5788*IF(Settings!$B$23=Settings!$C$6,1,IF(Settings!$B$23="USD",1/INDEX(Settings!$B$29:$B$40,MONTH(A5788)),INDEX(Settings!$B$29:$B$40,MONTH(A5788)))))</f>
        <v/>
      </c>
    </row>
    <row r="5789" customFormat="false" ht="15" hidden="false" customHeight="false" outlineLevel="0" collapsed="false">
      <c r="H5789" s="0" t="str">
        <f aca="false">IF(B5789="","",IF(COUNTIF(Campaigns!$A$7:$A$300,B5789)&gt;0,"✓","⚠ add to Campaigns tab"))</f>
        <v/>
      </c>
      <c r="I5789" s="84" t="str">
        <f aca="false">IF(C5789="","",C5789*IF(Settings!$B$23=Settings!$C$6,1,IF(Settings!$B$23="USD",1/INDEX(Settings!$B$29:$B$40,MONTH(A5789)),INDEX(Settings!$B$29:$B$40,MONTH(A5789)))))</f>
        <v/>
      </c>
    </row>
    <row r="5790" customFormat="false" ht="15" hidden="false" customHeight="false" outlineLevel="0" collapsed="false">
      <c r="H5790" s="0" t="str">
        <f aca="false">IF(B5790="","",IF(COUNTIF(Campaigns!$A$7:$A$300,B5790)&gt;0,"✓","⚠ add to Campaigns tab"))</f>
        <v/>
      </c>
      <c r="I5790" s="84" t="str">
        <f aca="false">IF(C5790="","",C5790*IF(Settings!$B$23=Settings!$C$6,1,IF(Settings!$B$23="USD",1/INDEX(Settings!$B$29:$B$40,MONTH(A5790)),INDEX(Settings!$B$29:$B$40,MONTH(A5790)))))</f>
        <v/>
      </c>
    </row>
    <row r="5791" customFormat="false" ht="15" hidden="false" customHeight="false" outlineLevel="0" collapsed="false">
      <c r="H5791" s="0" t="str">
        <f aca="false">IF(B5791="","",IF(COUNTIF(Campaigns!$A$7:$A$300,B5791)&gt;0,"✓","⚠ add to Campaigns tab"))</f>
        <v/>
      </c>
      <c r="I5791" s="84" t="str">
        <f aca="false">IF(C5791="","",C5791*IF(Settings!$B$23=Settings!$C$6,1,IF(Settings!$B$23="USD",1/INDEX(Settings!$B$29:$B$40,MONTH(A5791)),INDEX(Settings!$B$29:$B$40,MONTH(A5791)))))</f>
        <v/>
      </c>
    </row>
    <row r="5792" customFormat="false" ht="15" hidden="false" customHeight="false" outlineLevel="0" collapsed="false">
      <c r="H5792" s="0" t="str">
        <f aca="false">IF(B5792="","",IF(COUNTIF(Campaigns!$A$7:$A$300,B5792)&gt;0,"✓","⚠ add to Campaigns tab"))</f>
        <v/>
      </c>
      <c r="I5792" s="84" t="str">
        <f aca="false">IF(C5792="","",C5792*IF(Settings!$B$23=Settings!$C$6,1,IF(Settings!$B$23="USD",1/INDEX(Settings!$B$29:$B$40,MONTH(A5792)),INDEX(Settings!$B$29:$B$40,MONTH(A5792)))))</f>
        <v/>
      </c>
    </row>
    <row r="5793" customFormat="false" ht="15" hidden="false" customHeight="false" outlineLevel="0" collapsed="false">
      <c r="H5793" s="0" t="str">
        <f aca="false">IF(B5793="","",IF(COUNTIF(Campaigns!$A$7:$A$300,B5793)&gt;0,"✓","⚠ add to Campaigns tab"))</f>
        <v/>
      </c>
      <c r="I5793" s="84" t="str">
        <f aca="false">IF(C5793="","",C5793*IF(Settings!$B$23=Settings!$C$6,1,IF(Settings!$B$23="USD",1/INDEX(Settings!$B$29:$B$40,MONTH(A5793)),INDEX(Settings!$B$29:$B$40,MONTH(A5793)))))</f>
        <v/>
      </c>
    </row>
    <row r="5794" customFormat="false" ht="15" hidden="false" customHeight="false" outlineLevel="0" collapsed="false">
      <c r="H5794" s="0" t="str">
        <f aca="false">IF(B5794="","",IF(COUNTIF(Campaigns!$A$7:$A$300,B5794)&gt;0,"✓","⚠ add to Campaigns tab"))</f>
        <v/>
      </c>
      <c r="I5794" s="84" t="str">
        <f aca="false">IF(C5794="","",C5794*IF(Settings!$B$23=Settings!$C$6,1,IF(Settings!$B$23="USD",1/INDEX(Settings!$B$29:$B$40,MONTH(A5794)),INDEX(Settings!$B$29:$B$40,MONTH(A5794)))))</f>
        <v/>
      </c>
    </row>
    <row r="5795" customFormat="false" ht="15" hidden="false" customHeight="false" outlineLevel="0" collapsed="false">
      <c r="H5795" s="0" t="str">
        <f aca="false">IF(B5795="","",IF(COUNTIF(Campaigns!$A$7:$A$300,B5795)&gt;0,"✓","⚠ add to Campaigns tab"))</f>
        <v/>
      </c>
      <c r="I5795" s="84" t="str">
        <f aca="false">IF(C5795="","",C5795*IF(Settings!$B$23=Settings!$C$6,1,IF(Settings!$B$23="USD",1/INDEX(Settings!$B$29:$B$40,MONTH(A5795)),INDEX(Settings!$B$29:$B$40,MONTH(A5795)))))</f>
        <v/>
      </c>
    </row>
    <row r="5796" customFormat="false" ht="15" hidden="false" customHeight="false" outlineLevel="0" collapsed="false">
      <c r="H5796" s="0" t="str">
        <f aca="false">IF(B5796="","",IF(COUNTIF(Campaigns!$A$7:$A$300,B5796)&gt;0,"✓","⚠ add to Campaigns tab"))</f>
        <v/>
      </c>
      <c r="I5796" s="84" t="str">
        <f aca="false">IF(C5796="","",C5796*IF(Settings!$B$23=Settings!$C$6,1,IF(Settings!$B$23="USD",1/INDEX(Settings!$B$29:$B$40,MONTH(A5796)),INDEX(Settings!$B$29:$B$40,MONTH(A5796)))))</f>
        <v/>
      </c>
    </row>
    <row r="5797" customFormat="false" ht="15" hidden="false" customHeight="false" outlineLevel="0" collapsed="false">
      <c r="H5797" s="0" t="str">
        <f aca="false">IF(B5797="","",IF(COUNTIF(Campaigns!$A$7:$A$300,B5797)&gt;0,"✓","⚠ add to Campaigns tab"))</f>
        <v/>
      </c>
      <c r="I5797" s="84" t="str">
        <f aca="false">IF(C5797="","",C5797*IF(Settings!$B$23=Settings!$C$6,1,IF(Settings!$B$23="USD",1/INDEX(Settings!$B$29:$B$40,MONTH(A5797)),INDEX(Settings!$B$29:$B$40,MONTH(A5797)))))</f>
        <v/>
      </c>
    </row>
    <row r="5798" customFormat="false" ht="15" hidden="false" customHeight="false" outlineLevel="0" collapsed="false">
      <c r="H5798" s="0" t="str">
        <f aca="false">IF(B5798="","",IF(COUNTIF(Campaigns!$A$7:$A$300,B5798)&gt;0,"✓","⚠ add to Campaigns tab"))</f>
        <v/>
      </c>
      <c r="I5798" s="84" t="str">
        <f aca="false">IF(C5798="","",C5798*IF(Settings!$B$23=Settings!$C$6,1,IF(Settings!$B$23="USD",1/INDEX(Settings!$B$29:$B$40,MONTH(A5798)),INDEX(Settings!$B$29:$B$40,MONTH(A5798)))))</f>
        <v/>
      </c>
    </row>
    <row r="5799" customFormat="false" ht="15" hidden="false" customHeight="false" outlineLevel="0" collapsed="false">
      <c r="H5799" s="0" t="str">
        <f aca="false">IF(B5799="","",IF(COUNTIF(Campaigns!$A$7:$A$300,B5799)&gt;0,"✓","⚠ add to Campaigns tab"))</f>
        <v/>
      </c>
      <c r="I5799" s="84" t="str">
        <f aca="false">IF(C5799="","",C5799*IF(Settings!$B$23=Settings!$C$6,1,IF(Settings!$B$23="USD",1/INDEX(Settings!$B$29:$B$40,MONTH(A5799)),INDEX(Settings!$B$29:$B$40,MONTH(A5799)))))</f>
        <v/>
      </c>
    </row>
    <row r="5800" customFormat="false" ht="15" hidden="false" customHeight="false" outlineLevel="0" collapsed="false">
      <c r="H5800" s="0" t="str">
        <f aca="false">IF(B5800="","",IF(COUNTIF(Campaigns!$A$7:$A$300,B5800)&gt;0,"✓","⚠ add to Campaigns tab"))</f>
        <v/>
      </c>
      <c r="I5800" s="84" t="str">
        <f aca="false">IF(C5800="","",C5800*IF(Settings!$B$23=Settings!$C$6,1,IF(Settings!$B$23="USD",1/INDEX(Settings!$B$29:$B$40,MONTH(A5800)),INDEX(Settings!$B$29:$B$40,MONTH(A5800)))))</f>
        <v/>
      </c>
    </row>
    <row r="5801" customFormat="false" ht="15" hidden="false" customHeight="false" outlineLevel="0" collapsed="false">
      <c r="H5801" s="0" t="str">
        <f aca="false">IF(B5801="","",IF(COUNTIF(Campaigns!$A$7:$A$300,B5801)&gt;0,"✓","⚠ add to Campaigns tab"))</f>
        <v/>
      </c>
      <c r="I5801" s="84" t="str">
        <f aca="false">IF(C5801="","",C5801*IF(Settings!$B$23=Settings!$C$6,1,IF(Settings!$B$23="USD",1/INDEX(Settings!$B$29:$B$40,MONTH(A5801)),INDEX(Settings!$B$29:$B$40,MONTH(A5801)))))</f>
        <v/>
      </c>
    </row>
    <row r="5802" customFormat="false" ht="15" hidden="false" customHeight="false" outlineLevel="0" collapsed="false">
      <c r="H5802" s="0" t="str">
        <f aca="false">IF(B5802="","",IF(COUNTIF(Campaigns!$A$7:$A$300,B5802)&gt;0,"✓","⚠ add to Campaigns tab"))</f>
        <v/>
      </c>
      <c r="I5802" s="84" t="str">
        <f aca="false">IF(C5802="","",C5802*IF(Settings!$B$23=Settings!$C$6,1,IF(Settings!$B$23="USD",1/INDEX(Settings!$B$29:$B$40,MONTH(A5802)),INDEX(Settings!$B$29:$B$40,MONTH(A5802)))))</f>
        <v/>
      </c>
    </row>
    <row r="5803" customFormat="false" ht="15" hidden="false" customHeight="false" outlineLevel="0" collapsed="false">
      <c r="H5803" s="0" t="str">
        <f aca="false">IF(B5803="","",IF(COUNTIF(Campaigns!$A$7:$A$300,B5803)&gt;0,"✓","⚠ add to Campaigns tab"))</f>
        <v/>
      </c>
      <c r="I5803" s="84" t="str">
        <f aca="false">IF(C5803="","",C5803*IF(Settings!$B$23=Settings!$C$6,1,IF(Settings!$B$23="USD",1/INDEX(Settings!$B$29:$B$40,MONTH(A5803)),INDEX(Settings!$B$29:$B$40,MONTH(A5803)))))</f>
        <v/>
      </c>
    </row>
    <row r="5804" customFormat="false" ht="15" hidden="false" customHeight="false" outlineLevel="0" collapsed="false">
      <c r="H5804" s="0" t="str">
        <f aca="false">IF(B5804="","",IF(COUNTIF(Campaigns!$A$7:$A$300,B5804)&gt;0,"✓","⚠ add to Campaigns tab"))</f>
        <v/>
      </c>
      <c r="I5804" s="84" t="str">
        <f aca="false">IF(C5804="","",C5804*IF(Settings!$B$23=Settings!$C$6,1,IF(Settings!$B$23="USD",1/INDEX(Settings!$B$29:$B$40,MONTH(A5804)),INDEX(Settings!$B$29:$B$40,MONTH(A5804)))))</f>
        <v/>
      </c>
    </row>
    <row r="5805" customFormat="false" ht="15" hidden="false" customHeight="false" outlineLevel="0" collapsed="false">
      <c r="H5805" s="0" t="str">
        <f aca="false">IF(B5805="","",IF(COUNTIF(Campaigns!$A$7:$A$300,B5805)&gt;0,"✓","⚠ add to Campaigns tab"))</f>
        <v/>
      </c>
      <c r="I5805" s="84" t="str">
        <f aca="false">IF(C5805="","",C5805*IF(Settings!$B$23=Settings!$C$6,1,IF(Settings!$B$23="USD",1/INDEX(Settings!$B$29:$B$40,MONTH(A5805)),INDEX(Settings!$B$29:$B$40,MONTH(A5805)))))</f>
        <v/>
      </c>
    </row>
    <row r="5806" customFormat="false" ht="15" hidden="false" customHeight="false" outlineLevel="0" collapsed="false">
      <c r="H5806" s="0" t="str">
        <f aca="false">IF(B5806="","",IF(COUNTIF(Campaigns!$A$7:$A$300,B5806)&gt;0,"✓","⚠ add to Campaigns tab"))</f>
        <v/>
      </c>
      <c r="I5806" s="84" t="str">
        <f aca="false">IF(C5806="","",C5806*IF(Settings!$B$23=Settings!$C$6,1,IF(Settings!$B$23="USD",1/INDEX(Settings!$B$29:$B$40,MONTH(A5806)),INDEX(Settings!$B$29:$B$40,MONTH(A5806)))))</f>
        <v/>
      </c>
    </row>
    <row r="5807" customFormat="false" ht="15" hidden="false" customHeight="false" outlineLevel="0" collapsed="false">
      <c r="H5807" s="0" t="str">
        <f aca="false">IF(B5807="","",IF(COUNTIF(Campaigns!$A$7:$A$300,B5807)&gt;0,"✓","⚠ add to Campaigns tab"))</f>
        <v/>
      </c>
      <c r="I5807" s="84" t="str">
        <f aca="false">IF(C5807="","",C5807*IF(Settings!$B$23=Settings!$C$6,1,IF(Settings!$B$23="USD",1/INDEX(Settings!$B$29:$B$40,MONTH(A5807)),INDEX(Settings!$B$29:$B$40,MONTH(A5807)))))</f>
        <v/>
      </c>
    </row>
    <row r="5808" customFormat="false" ht="15" hidden="false" customHeight="false" outlineLevel="0" collapsed="false">
      <c r="H5808" s="0" t="str">
        <f aca="false">IF(B5808="","",IF(COUNTIF(Campaigns!$A$7:$A$300,B5808)&gt;0,"✓","⚠ add to Campaigns tab"))</f>
        <v/>
      </c>
      <c r="I5808" s="84" t="str">
        <f aca="false">IF(C5808="","",C5808*IF(Settings!$B$23=Settings!$C$6,1,IF(Settings!$B$23="USD",1/INDEX(Settings!$B$29:$B$40,MONTH(A5808)),INDEX(Settings!$B$29:$B$40,MONTH(A5808)))))</f>
        <v/>
      </c>
    </row>
    <row r="5809" customFormat="false" ht="15" hidden="false" customHeight="false" outlineLevel="0" collapsed="false">
      <c r="H5809" s="0" t="str">
        <f aca="false">IF(B5809="","",IF(COUNTIF(Campaigns!$A$7:$A$300,B5809)&gt;0,"✓","⚠ add to Campaigns tab"))</f>
        <v/>
      </c>
      <c r="I5809" s="84" t="str">
        <f aca="false">IF(C5809="","",C5809*IF(Settings!$B$23=Settings!$C$6,1,IF(Settings!$B$23="USD",1/INDEX(Settings!$B$29:$B$40,MONTH(A5809)),INDEX(Settings!$B$29:$B$40,MONTH(A5809)))))</f>
        <v/>
      </c>
    </row>
    <row r="5810" customFormat="false" ht="15" hidden="false" customHeight="false" outlineLevel="0" collapsed="false">
      <c r="H5810" s="0" t="str">
        <f aca="false">IF(B5810="","",IF(COUNTIF(Campaigns!$A$7:$A$300,B5810)&gt;0,"✓","⚠ add to Campaigns tab"))</f>
        <v/>
      </c>
      <c r="I5810" s="84" t="str">
        <f aca="false">IF(C5810="","",C5810*IF(Settings!$B$23=Settings!$C$6,1,IF(Settings!$B$23="USD",1/INDEX(Settings!$B$29:$B$40,MONTH(A5810)),INDEX(Settings!$B$29:$B$40,MONTH(A5810)))))</f>
        <v/>
      </c>
    </row>
    <row r="5811" customFormat="false" ht="15" hidden="false" customHeight="false" outlineLevel="0" collapsed="false">
      <c r="H5811" s="0" t="str">
        <f aca="false">IF(B5811="","",IF(COUNTIF(Campaigns!$A$7:$A$300,B5811)&gt;0,"✓","⚠ add to Campaigns tab"))</f>
        <v/>
      </c>
      <c r="I5811" s="84" t="str">
        <f aca="false">IF(C5811="","",C5811*IF(Settings!$B$23=Settings!$C$6,1,IF(Settings!$B$23="USD",1/INDEX(Settings!$B$29:$B$40,MONTH(A5811)),INDEX(Settings!$B$29:$B$40,MONTH(A5811)))))</f>
        <v/>
      </c>
    </row>
    <row r="5812" customFormat="false" ht="15" hidden="false" customHeight="false" outlineLevel="0" collapsed="false">
      <c r="H5812" s="0" t="str">
        <f aca="false">IF(B5812="","",IF(COUNTIF(Campaigns!$A$7:$A$300,B5812)&gt;0,"✓","⚠ add to Campaigns tab"))</f>
        <v/>
      </c>
      <c r="I5812" s="84" t="str">
        <f aca="false">IF(C5812="","",C5812*IF(Settings!$B$23=Settings!$C$6,1,IF(Settings!$B$23="USD",1/INDEX(Settings!$B$29:$B$40,MONTH(A5812)),INDEX(Settings!$B$29:$B$40,MONTH(A5812)))))</f>
        <v/>
      </c>
    </row>
    <row r="5813" customFormat="false" ht="15" hidden="false" customHeight="false" outlineLevel="0" collapsed="false">
      <c r="H5813" s="0" t="str">
        <f aca="false">IF(B5813="","",IF(COUNTIF(Campaigns!$A$7:$A$300,B5813)&gt;0,"✓","⚠ add to Campaigns tab"))</f>
        <v/>
      </c>
      <c r="I5813" s="84" t="str">
        <f aca="false">IF(C5813="","",C5813*IF(Settings!$B$23=Settings!$C$6,1,IF(Settings!$B$23="USD",1/INDEX(Settings!$B$29:$B$40,MONTH(A5813)),INDEX(Settings!$B$29:$B$40,MONTH(A5813)))))</f>
        <v/>
      </c>
    </row>
    <row r="5814" customFormat="false" ht="15" hidden="false" customHeight="false" outlineLevel="0" collapsed="false">
      <c r="H5814" s="0" t="str">
        <f aca="false">IF(B5814="","",IF(COUNTIF(Campaigns!$A$7:$A$300,B5814)&gt;0,"✓","⚠ add to Campaigns tab"))</f>
        <v/>
      </c>
      <c r="I5814" s="84" t="str">
        <f aca="false">IF(C5814="","",C5814*IF(Settings!$B$23=Settings!$C$6,1,IF(Settings!$B$23="USD",1/INDEX(Settings!$B$29:$B$40,MONTH(A5814)),INDEX(Settings!$B$29:$B$40,MONTH(A5814)))))</f>
        <v/>
      </c>
    </row>
    <row r="5815" customFormat="false" ht="15" hidden="false" customHeight="false" outlineLevel="0" collapsed="false">
      <c r="H5815" s="0" t="str">
        <f aca="false">IF(B5815="","",IF(COUNTIF(Campaigns!$A$7:$A$300,B5815)&gt;0,"✓","⚠ add to Campaigns tab"))</f>
        <v/>
      </c>
      <c r="I5815" s="84" t="str">
        <f aca="false">IF(C5815="","",C5815*IF(Settings!$B$23=Settings!$C$6,1,IF(Settings!$B$23="USD",1/INDEX(Settings!$B$29:$B$40,MONTH(A5815)),INDEX(Settings!$B$29:$B$40,MONTH(A5815)))))</f>
        <v/>
      </c>
    </row>
    <row r="5816" customFormat="false" ht="15" hidden="false" customHeight="false" outlineLevel="0" collapsed="false">
      <c r="H5816" s="0" t="str">
        <f aca="false">IF(B5816="","",IF(COUNTIF(Campaigns!$A$7:$A$300,B5816)&gt;0,"✓","⚠ add to Campaigns tab"))</f>
        <v/>
      </c>
      <c r="I5816" s="84" t="str">
        <f aca="false">IF(C5816="","",C5816*IF(Settings!$B$23=Settings!$C$6,1,IF(Settings!$B$23="USD",1/INDEX(Settings!$B$29:$B$40,MONTH(A5816)),INDEX(Settings!$B$29:$B$40,MONTH(A5816)))))</f>
        <v/>
      </c>
    </row>
    <row r="5817" customFormat="false" ht="15" hidden="false" customHeight="false" outlineLevel="0" collapsed="false">
      <c r="H5817" s="0" t="str">
        <f aca="false">IF(B5817="","",IF(COUNTIF(Campaigns!$A$7:$A$300,B5817)&gt;0,"✓","⚠ add to Campaigns tab"))</f>
        <v/>
      </c>
      <c r="I5817" s="84" t="str">
        <f aca="false">IF(C5817="","",C5817*IF(Settings!$B$23=Settings!$C$6,1,IF(Settings!$B$23="USD",1/INDEX(Settings!$B$29:$B$40,MONTH(A5817)),INDEX(Settings!$B$29:$B$40,MONTH(A5817)))))</f>
        <v/>
      </c>
    </row>
    <row r="5818" customFormat="false" ht="15" hidden="false" customHeight="false" outlineLevel="0" collapsed="false">
      <c r="H5818" s="0" t="str">
        <f aca="false">IF(B5818="","",IF(COUNTIF(Campaigns!$A$7:$A$300,B5818)&gt;0,"✓","⚠ add to Campaigns tab"))</f>
        <v/>
      </c>
      <c r="I5818" s="84" t="str">
        <f aca="false">IF(C5818="","",C5818*IF(Settings!$B$23=Settings!$C$6,1,IF(Settings!$B$23="USD",1/INDEX(Settings!$B$29:$B$40,MONTH(A5818)),INDEX(Settings!$B$29:$B$40,MONTH(A5818)))))</f>
        <v/>
      </c>
    </row>
    <row r="5819" customFormat="false" ht="15" hidden="false" customHeight="false" outlineLevel="0" collapsed="false">
      <c r="H5819" s="0" t="str">
        <f aca="false">IF(B5819="","",IF(COUNTIF(Campaigns!$A$7:$A$300,B5819)&gt;0,"✓","⚠ add to Campaigns tab"))</f>
        <v/>
      </c>
      <c r="I5819" s="84" t="str">
        <f aca="false">IF(C5819="","",C5819*IF(Settings!$B$23=Settings!$C$6,1,IF(Settings!$B$23="USD",1/INDEX(Settings!$B$29:$B$40,MONTH(A5819)),INDEX(Settings!$B$29:$B$40,MONTH(A5819)))))</f>
        <v/>
      </c>
    </row>
    <row r="5820" customFormat="false" ht="15" hidden="false" customHeight="false" outlineLevel="0" collapsed="false">
      <c r="H5820" s="0" t="str">
        <f aca="false">IF(B5820="","",IF(COUNTIF(Campaigns!$A$7:$A$300,B5820)&gt;0,"✓","⚠ add to Campaigns tab"))</f>
        <v/>
      </c>
      <c r="I5820" s="84" t="str">
        <f aca="false">IF(C5820="","",C5820*IF(Settings!$B$23=Settings!$C$6,1,IF(Settings!$B$23="USD",1/INDEX(Settings!$B$29:$B$40,MONTH(A5820)),INDEX(Settings!$B$29:$B$40,MONTH(A5820)))))</f>
        <v/>
      </c>
    </row>
    <row r="5821" customFormat="false" ht="15" hidden="false" customHeight="false" outlineLevel="0" collapsed="false">
      <c r="H5821" s="0" t="str">
        <f aca="false">IF(B5821="","",IF(COUNTIF(Campaigns!$A$7:$A$300,B5821)&gt;0,"✓","⚠ add to Campaigns tab"))</f>
        <v/>
      </c>
      <c r="I5821" s="84" t="str">
        <f aca="false">IF(C5821="","",C5821*IF(Settings!$B$23=Settings!$C$6,1,IF(Settings!$B$23="USD",1/INDEX(Settings!$B$29:$B$40,MONTH(A5821)),INDEX(Settings!$B$29:$B$40,MONTH(A5821)))))</f>
        <v/>
      </c>
    </row>
    <row r="5822" customFormat="false" ht="15" hidden="false" customHeight="false" outlineLevel="0" collapsed="false">
      <c r="H5822" s="0" t="str">
        <f aca="false">IF(B5822="","",IF(COUNTIF(Campaigns!$A$7:$A$300,B5822)&gt;0,"✓","⚠ add to Campaigns tab"))</f>
        <v/>
      </c>
      <c r="I5822" s="84" t="str">
        <f aca="false">IF(C5822="","",C5822*IF(Settings!$B$23=Settings!$C$6,1,IF(Settings!$B$23="USD",1/INDEX(Settings!$B$29:$B$40,MONTH(A5822)),INDEX(Settings!$B$29:$B$40,MONTH(A5822)))))</f>
        <v/>
      </c>
    </row>
    <row r="5823" customFormat="false" ht="15" hidden="false" customHeight="false" outlineLevel="0" collapsed="false">
      <c r="H5823" s="0" t="str">
        <f aca="false">IF(B5823="","",IF(COUNTIF(Campaigns!$A$7:$A$300,B5823)&gt;0,"✓","⚠ add to Campaigns tab"))</f>
        <v/>
      </c>
      <c r="I5823" s="84" t="str">
        <f aca="false">IF(C5823="","",C5823*IF(Settings!$B$23=Settings!$C$6,1,IF(Settings!$B$23="USD",1/INDEX(Settings!$B$29:$B$40,MONTH(A5823)),INDEX(Settings!$B$29:$B$40,MONTH(A5823)))))</f>
        <v/>
      </c>
    </row>
    <row r="5824" customFormat="false" ht="15" hidden="false" customHeight="false" outlineLevel="0" collapsed="false">
      <c r="H5824" s="0" t="str">
        <f aca="false">IF(B5824="","",IF(COUNTIF(Campaigns!$A$7:$A$300,B5824)&gt;0,"✓","⚠ add to Campaigns tab"))</f>
        <v/>
      </c>
      <c r="I5824" s="84" t="str">
        <f aca="false">IF(C5824="","",C5824*IF(Settings!$B$23=Settings!$C$6,1,IF(Settings!$B$23="USD",1/INDEX(Settings!$B$29:$B$40,MONTH(A5824)),INDEX(Settings!$B$29:$B$40,MONTH(A5824)))))</f>
        <v/>
      </c>
    </row>
    <row r="5825" customFormat="false" ht="15" hidden="false" customHeight="false" outlineLevel="0" collapsed="false">
      <c r="H5825" s="0" t="str">
        <f aca="false">IF(B5825="","",IF(COUNTIF(Campaigns!$A$7:$A$300,B5825)&gt;0,"✓","⚠ add to Campaigns tab"))</f>
        <v/>
      </c>
      <c r="I5825" s="84" t="str">
        <f aca="false">IF(C5825="","",C5825*IF(Settings!$B$23=Settings!$C$6,1,IF(Settings!$B$23="USD",1/INDEX(Settings!$B$29:$B$40,MONTH(A5825)),INDEX(Settings!$B$29:$B$40,MONTH(A5825)))))</f>
        <v/>
      </c>
    </row>
    <row r="5826" customFormat="false" ht="15" hidden="false" customHeight="false" outlineLevel="0" collapsed="false">
      <c r="H5826" s="0" t="str">
        <f aca="false">IF(B5826="","",IF(COUNTIF(Campaigns!$A$7:$A$300,B5826)&gt;0,"✓","⚠ add to Campaigns tab"))</f>
        <v/>
      </c>
      <c r="I5826" s="84" t="str">
        <f aca="false">IF(C5826="","",C5826*IF(Settings!$B$23=Settings!$C$6,1,IF(Settings!$B$23="USD",1/INDEX(Settings!$B$29:$B$40,MONTH(A5826)),INDEX(Settings!$B$29:$B$40,MONTH(A5826)))))</f>
        <v/>
      </c>
    </row>
    <row r="5827" customFormat="false" ht="15" hidden="false" customHeight="false" outlineLevel="0" collapsed="false">
      <c r="H5827" s="0" t="str">
        <f aca="false">IF(B5827="","",IF(COUNTIF(Campaigns!$A$7:$A$300,B5827)&gt;0,"✓","⚠ add to Campaigns tab"))</f>
        <v/>
      </c>
      <c r="I5827" s="84" t="str">
        <f aca="false">IF(C5827="","",C5827*IF(Settings!$B$23=Settings!$C$6,1,IF(Settings!$B$23="USD",1/INDEX(Settings!$B$29:$B$40,MONTH(A5827)),INDEX(Settings!$B$29:$B$40,MONTH(A5827)))))</f>
        <v/>
      </c>
    </row>
    <row r="5828" customFormat="false" ht="15" hidden="false" customHeight="false" outlineLevel="0" collapsed="false">
      <c r="H5828" s="0" t="str">
        <f aca="false">IF(B5828="","",IF(COUNTIF(Campaigns!$A$7:$A$300,B5828)&gt;0,"✓","⚠ add to Campaigns tab"))</f>
        <v/>
      </c>
      <c r="I5828" s="84" t="str">
        <f aca="false">IF(C5828="","",C5828*IF(Settings!$B$23=Settings!$C$6,1,IF(Settings!$B$23="USD",1/INDEX(Settings!$B$29:$B$40,MONTH(A5828)),INDEX(Settings!$B$29:$B$40,MONTH(A5828)))))</f>
        <v/>
      </c>
    </row>
    <row r="5829" customFormat="false" ht="15" hidden="false" customHeight="false" outlineLevel="0" collapsed="false">
      <c r="H5829" s="0" t="str">
        <f aca="false">IF(B5829="","",IF(COUNTIF(Campaigns!$A$7:$A$300,B5829)&gt;0,"✓","⚠ add to Campaigns tab"))</f>
        <v/>
      </c>
      <c r="I5829" s="84" t="str">
        <f aca="false">IF(C5829="","",C5829*IF(Settings!$B$23=Settings!$C$6,1,IF(Settings!$B$23="USD",1/INDEX(Settings!$B$29:$B$40,MONTH(A5829)),INDEX(Settings!$B$29:$B$40,MONTH(A5829)))))</f>
        <v/>
      </c>
    </row>
    <row r="5830" customFormat="false" ht="15" hidden="false" customHeight="false" outlineLevel="0" collapsed="false">
      <c r="H5830" s="0" t="str">
        <f aca="false">IF(B5830="","",IF(COUNTIF(Campaigns!$A$7:$A$300,B5830)&gt;0,"✓","⚠ add to Campaigns tab"))</f>
        <v/>
      </c>
      <c r="I5830" s="84" t="str">
        <f aca="false">IF(C5830="","",C5830*IF(Settings!$B$23=Settings!$C$6,1,IF(Settings!$B$23="USD",1/INDEX(Settings!$B$29:$B$40,MONTH(A5830)),INDEX(Settings!$B$29:$B$40,MONTH(A5830)))))</f>
        <v/>
      </c>
    </row>
    <row r="5831" customFormat="false" ht="15" hidden="false" customHeight="false" outlineLevel="0" collapsed="false">
      <c r="H5831" s="0" t="str">
        <f aca="false">IF(B5831="","",IF(COUNTIF(Campaigns!$A$7:$A$300,B5831)&gt;0,"✓","⚠ add to Campaigns tab"))</f>
        <v/>
      </c>
      <c r="I5831" s="84" t="str">
        <f aca="false">IF(C5831="","",C5831*IF(Settings!$B$23=Settings!$C$6,1,IF(Settings!$B$23="USD",1/INDEX(Settings!$B$29:$B$40,MONTH(A5831)),INDEX(Settings!$B$29:$B$40,MONTH(A5831)))))</f>
        <v/>
      </c>
    </row>
    <row r="5832" customFormat="false" ht="15" hidden="false" customHeight="false" outlineLevel="0" collapsed="false">
      <c r="H5832" s="0" t="str">
        <f aca="false">IF(B5832="","",IF(COUNTIF(Campaigns!$A$7:$A$300,B5832)&gt;0,"✓","⚠ add to Campaigns tab"))</f>
        <v/>
      </c>
      <c r="I5832" s="84" t="str">
        <f aca="false">IF(C5832="","",C5832*IF(Settings!$B$23=Settings!$C$6,1,IF(Settings!$B$23="USD",1/INDEX(Settings!$B$29:$B$40,MONTH(A5832)),INDEX(Settings!$B$29:$B$40,MONTH(A5832)))))</f>
        <v/>
      </c>
    </row>
    <row r="5833" customFormat="false" ht="15" hidden="false" customHeight="false" outlineLevel="0" collapsed="false">
      <c r="H5833" s="0" t="str">
        <f aca="false">IF(B5833="","",IF(COUNTIF(Campaigns!$A$7:$A$300,B5833)&gt;0,"✓","⚠ add to Campaigns tab"))</f>
        <v/>
      </c>
      <c r="I5833" s="84" t="str">
        <f aca="false">IF(C5833="","",C5833*IF(Settings!$B$23=Settings!$C$6,1,IF(Settings!$B$23="USD",1/INDEX(Settings!$B$29:$B$40,MONTH(A5833)),INDEX(Settings!$B$29:$B$40,MONTH(A5833)))))</f>
        <v/>
      </c>
    </row>
    <row r="5834" customFormat="false" ht="15" hidden="false" customHeight="false" outlineLevel="0" collapsed="false">
      <c r="H5834" s="0" t="str">
        <f aca="false">IF(B5834="","",IF(COUNTIF(Campaigns!$A$7:$A$300,B5834)&gt;0,"✓","⚠ add to Campaigns tab"))</f>
        <v/>
      </c>
      <c r="I5834" s="84" t="str">
        <f aca="false">IF(C5834="","",C5834*IF(Settings!$B$23=Settings!$C$6,1,IF(Settings!$B$23="USD",1/INDEX(Settings!$B$29:$B$40,MONTH(A5834)),INDEX(Settings!$B$29:$B$40,MONTH(A5834)))))</f>
        <v/>
      </c>
    </row>
    <row r="5835" customFormat="false" ht="15" hidden="false" customHeight="false" outlineLevel="0" collapsed="false">
      <c r="H5835" s="0" t="str">
        <f aca="false">IF(B5835="","",IF(COUNTIF(Campaigns!$A$7:$A$300,B5835)&gt;0,"✓","⚠ add to Campaigns tab"))</f>
        <v/>
      </c>
      <c r="I5835" s="84" t="str">
        <f aca="false">IF(C5835="","",C5835*IF(Settings!$B$23=Settings!$C$6,1,IF(Settings!$B$23="USD",1/INDEX(Settings!$B$29:$B$40,MONTH(A5835)),INDEX(Settings!$B$29:$B$40,MONTH(A5835)))))</f>
        <v/>
      </c>
    </row>
    <row r="5836" customFormat="false" ht="15" hidden="false" customHeight="false" outlineLevel="0" collapsed="false">
      <c r="H5836" s="0" t="str">
        <f aca="false">IF(B5836="","",IF(COUNTIF(Campaigns!$A$7:$A$300,B5836)&gt;0,"✓","⚠ add to Campaigns tab"))</f>
        <v/>
      </c>
      <c r="I5836" s="84" t="str">
        <f aca="false">IF(C5836="","",C5836*IF(Settings!$B$23=Settings!$C$6,1,IF(Settings!$B$23="USD",1/INDEX(Settings!$B$29:$B$40,MONTH(A5836)),INDEX(Settings!$B$29:$B$40,MONTH(A5836)))))</f>
        <v/>
      </c>
    </row>
    <row r="5837" customFormat="false" ht="15" hidden="false" customHeight="false" outlineLevel="0" collapsed="false">
      <c r="H5837" s="0" t="str">
        <f aca="false">IF(B5837="","",IF(COUNTIF(Campaigns!$A$7:$A$300,B5837)&gt;0,"✓","⚠ add to Campaigns tab"))</f>
        <v/>
      </c>
      <c r="I5837" s="84" t="str">
        <f aca="false">IF(C5837="","",C5837*IF(Settings!$B$23=Settings!$C$6,1,IF(Settings!$B$23="USD",1/INDEX(Settings!$B$29:$B$40,MONTH(A5837)),INDEX(Settings!$B$29:$B$40,MONTH(A5837)))))</f>
        <v/>
      </c>
    </row>
    <row r="5838" customFormat="false" ht="15" hidden="false" customHeight="false" outlineLevel="0" collapsed="false">
      <c r="H5838" s="0" t="str">
        <f aca="false">IF(B5838="","",IF(COUNTIF(Campaigns!$A$7:$A$300,B5838)&gt;0,"✓","⚠ add to Campaigns tab"))</f>
        <v/>
      </c>
      <c r="I5838" s="84" t="str">
        <f aca="false">IF(C5838="","",C5838*IF(Settings!$B$23=Settings!$C$6,1,IF(Settings!$B$23="USD",1/INDEX(Settings!$B$29:$B$40,MONTH(A5838)),INDEX(Settings!$B$29:$B$40,MONTH(A5838)))))</f>
        <v/>
      </c>
    </row>
    <row r="5839" customFormat="false" ht="15" hidden="false" customHeight="false" outlineLevel="0" collapsed="false">
      <c r="H5839" s="0" t="str">
        <f aca="false">IF(B5839="","",IF(COUNTIF(Campaigns!$A$7:$A$300,B5839)&gt;0,"✓","⚠ add to Campaigns tab"))</f>
        <v/>
      </c>
      <c r="I5839" s="84" t="str">
        <f aca="false">IF(C5839="","",C5839*IF(Settings!$B$23=Settings!$C$6,1,IF(Settings!$B$23="USD",1/INDEX(Settings!$B$29:$B$40,MONTH(A5839)),INDEX(Settings!$B$29:$B$40,MONTH(A5839)))))</f>
        <v/>
      </c>
    </row>
    <row r="5840" customFormat="false" ht="15" hidden="false" customHeight="false" outlineLevel="0" collapsed="false">
      <c r="H5840" s="0" t="str">
        <f aca="false">IF(B5840="","",IF(COUNTIF(Campaigns!$A$7:$A$300,B5840)&gt;0,"✓","⚠ add to Campaigns tab"))</f>
        <v/>
      </c>
      <c r="I5840" s="84" t="str">
        <f aca="false">IF(C5840="","",C5840*IF(Settings!$B$23=Settings!$C$6,1,IF(Settings!$B$23="USD",1/INDEX(Settings!$B$29:$B$40,MONTH(A5840)),INDEX(Settings!$B$29:$B$40,MONTH(A5840)))))</f>
        <v/>
      </c>
    </row>
    <row r="5841" customFormat="false" ht="15" hidden="false" customHeight="false" outlineLevel="0" collapsed="false">
      <c r="H5841" s="0" t="str">
        <f aca="false">IF(B5841="","",IF(COUNTIF(Campaigns!$A$7:$A$300,B5841)&gt;0,"✓","⚠ add to Campaigns tab"))</f>
        <v/>
      </c>
      <c r="I5841" s="84" t="str">
        <f aca="false">IF(C5841="","",C5841*IF(Settings!$B$23=Settings!$C$6,1,IF(Settings!$B$23="USD",1/INDEX(Settings!$B$29:$B$40,MONTH(A5841)),INDEX(Settings!$B$29:$B$40,MONTH(A5841)))))</f>
        <v/>
      </c>
    </row>
    <row r="5842" customFormat="false" ht="15" hidden="false" customHeight="false" outlineLevel="0" collapsed="false">
      <c r="H5842" s="0" t="str">
        <f aca="false">IF(B5842="","",IF(COUNTIF(Campaigns!$A$7:$A$300,B5842)&gt;0,"✓","⚠ add to Campaigns tab"))</f>
        <v/>
      </c>
      <c r="I5842" s="84" t="str">
        <f aca="false">IF(C5842="","",C5842*IF(Settings!$B$23=Settings!$C$6,1,IF(Settings!$B$23="USD",1/INDEX(Settings!$B$29:$B$40,MONTH(A5842)),INDEX(Settings!$B$29:$B$40,MONTH(A5842)))))</f>
        <v/>
      </c>
    </row>
    <row r="5843" customFormat="false" ht="15" hidden="false" customHeight="false" outlineLevel="0" collapsed="false">
      <c r="H5843" s="0" t="str">
        <f aca="false">IF(B5843="","",IF(COUNTIF(Campaigns!$A$7:$A$300,B5843)&gt;0,"✓","⚠ add to Campaigns tab"))</f>
        <v/>
      </c>
      <c r="I5843" s="84" t="str">
        <f aca="false">IF(C5843="","",C5843*IF(Settings!$B$23=Settings!$C$6,1,IF(Settings!$B$23="USD",1/INDEX(Settings!$B$29:$B$40,MONTH(A5843)),INDEX(Settings!$B$29:$B$40,MONTH(A5843)))))</f>
        <v/>
      </c>
    </row>
    <row r="5844" customFormat="false" ht="15" hidden="false" customHeight="false" outlineLevel="0" collapsed="false">
      <c r="H5844" s="0" t="str">
        <f aca="false">IF(B5844="","",IF(COUNTIF(Campaigns!$A$7:$A$300,B5844)&gt;0,"✓","⚠ add to Campaigns tab"))</f>
        <v/>
      </c>
      <c r="I5844" s="84" t="str">
        <f aca="false">IF(C5844="","",C5844*IF(Settings!$B$23=Settings!$C$6,1,IF(Settings!$B$23="USD",1/INDEX(Settings!$B$29:$B$40,MONTH(A5844)),INDEX(Settings!$B$29:$B$40,MONTH(A5844)))))</f>
        <v/>
      </c>
    </row>
    <row r="5845" customFormat="false" ht="15" hidden="false" customHeight="false" outlineLevel="0" collapsed="false">
      <c r="H5845" s="0" t="str">
        <f aca="false">IF(B5845="","",IF(COUNTIF(Campaigns!$A$7:$A$300,B5845)&gt;0,"✓","⚠ add to Campaigns tab"))</f>
        <v/>
      </c>
      <c r="I5845" s="84" t="str">
        <f aca="false">IF(C5845="","",C5845*IF(Settings!$B$23=Settings!$C$6,1,IF(Settings!$B$23="USD",1/INDEX(Settings!$B$29:$B$40,MONTH(A5845)),INDEX(Settings!$B$29:$B$40,MONTH(A5845)))))</f>
        <v/>
      </c>
    </row>
    <row r="5846" customFormat="false" ht="15" hidden="false" customHeight="false" outlineLevel="0" collapsed="false">
      <c r="H5846" s="0" t="str">
        <f aca="false">IF(B5846="","",IF(COUNTIF(Campaigns!$A$7:$A$300,B5846)&gt;0,"✓","⚠ add to Campaigns tab"))</f>
        <v/>
      </c>
      <c r="I5846" s="84" t="str">
        <f aca="false">IF(C5846="","",C5846*IF(Settings!$B$23=Settings!$C$6,1,IF(Settings!$B$23="USD",1/INDEX(Settings!$B$29:$B$40,MONTH(A5846)),INDEX(Settings!$B$29:$B$40,MONTH(A5846)))))</f>
        <v/>
      </c>
    </row>
    <row r="5847" customFormat="false" ht="15" hidden="false" customHeight="false" outlineLevel="0" collapsed="false">
      <c r="H5847" s="0" t="str">
        <f aca="false">IF(B5847="","",IF(COUNTIF(Campaigns!$A$7:$A$300,B5847)&gt;0,"✓","⚠ add to Campaigns tab"))</f>
        <v/>
      </c>
      <c r="I5847" s="84" t="str">
        <f aca="false">IF(C5847="","",C5847*IF(Settings!$B$23=Settings!$C$6,1,IF(Settings!$B$23="USD",1/INDEX(Settings!$B$29:$B$40,MONTH(A5847)),INDEX(Settings!$B$29:$B$40,MONTH(A5847)))))</f>
        <v/>
      </c>
    </row>
    <row r="5848" customFormat="false" ht="15" hidden="false" customHeight="false" outlineLevel="0" collapsed="false">
      <c r="H5848" s="0" t="str">
        <f aca="false">IF(B5848="","",IF(COUNTIF(Campaigns!$A$7:$A$300,B5848)&gt;0,"✓","⚠ add to Campaigns tab"))</f>
        <v/>
      </c>
      <c r="I5848" s="84" t="str">
        <f aca="false">IF(C5848="","",C5848*IF(Settings!$B$23=Settings!$C$6,1,IF(Settings!$B$23="USD",1/INDEX(Settings!$B$29:$B$40,MONTH(A5848)),INDEX(Settings!$B$29:$B$40,MONTH(A5848)))))</f>
        <v/>
      </c>
    </row>
    <row r="5849" customFormat="false" ht="15" hidden="false" customHeight="false" outlineLevel="0" collapsed="false">
      <c r="H5849" s="0" t="str">
        <f aca="false">IF(B5849="","",IF(COUNTIF(Campaigns!$A$7:$A$300,B5849)&gt;0,"✓","⚠ add to Campaigns tab"))</f>
        <v/>
      </c>
      <c r="I5849" s="84" t="str">
        <f aca="false">IF(C5849="","",C5849*IF(Settings!$B$23=Settings!$C$6,1,IF(Settings!$B$23="USD",1/INDEX(Settings!$B$29:$B$40,MONTH(A5849)),INDEX(Settings!$B$29:$B$40,MONTH(A5849)))))</f>
        <v/>
      </c>
    </row>
    <row r="5850" customFormat="false" ht="15" hidden="false" customHeight="false" outlineLevel="0" collapsed="false">
      <c r="H5850" s="0" t="str">
        <f aca="false">IF(B5850="","",IF(COUNTIF(Campaigns!$A$7:$A$300,B5850)&gt;0,"✓","⚠ add to Campaigns tab"))</f>
        <v/>
      </c>
      <c r="I5850" s="84" t="str">
        <f aca="false">IF(C5850="","",C5850*IF(Settings!$B$23=Settings!$C$6,1,IF(Settings!$B$23="USD",1/INDEX(Settings!$B$29:$B$40,MONTH(A5850)),INDEX(Settings!$B$29:$B$40,MONTH(A5850)))))</f>
        <v/>
      </c>
    </row>
    <row r="5851" customFormat="false" ht="15" hidden="false" customHeight="false" outlineLevel="0" collapsed="false">
      <c r="H5851" s="0" t="str">
        <f aca="false">IF(B5851="","",IF(COUNTIF(Campaigns!$A$7:$A$300,B5851)&gt;0,"✓","⚠ add to Campaigns tab"))</f>
        <v/>
      </c>
      <c r="I5851" s="84" t="str">
        <f aca="false">IF(C5851="","",C5851*IF(Settings!$B$23=Settings!$C$6,1,IF(Settings!$B$23="USD",1/INDEX(Settings!$B$29:$B$40,MONTH(A5851)),INDEX(Settings!$B$29:$B$40,MONTH(A5851)))))</f>
        <v/>
      </c>
    </row>
    <row r="5852" customFormat="false" ht="15" hidden="false" customHeight="false" outlineLevel="0" collapsed="false">
      <c r="H5852" s="0" t="str">
        <f aca="false">IF(B5852="","",IF(COUNTIF(Campaigns!$A$7:$A$300,B5852)&gt;0,"✓","⚠ add to Campaigns tab"))</f>
        <v/>
      </c>
      <c r="I5852" s="84" t="str">
        <f aca="false">IF(C5852="","",C5852*IF(Settings!$B$23=Settings!$C$6,1,IF(Settings!$B$23="USD",1/INDEX(Settings!$B$29:$B$40,MONTH(A5852)),INDEX(Settings!$B$29:$B$40,MONTH(A5852)))))</f>
        <v/>
      </c>
    </row>
    <row r="5853" customFormat="false" ht="15" hidden="false" customHeight="false" outlineLevel="0" collapsed="false">
      <c r="H5853" s="0" t="str">
        <f aca="false">IF(B5853="","",IF(COUNTIF(Campaigns!$A$7:$A$300,B5853)&gt;0,"✓","⚠ add to Campaigns tab"))</f>
        <v/>
      </c>
      <c r="I5853" s="84" t="str">
        <f aca="false">IF(C5853="","",C5853*IF(Settings!$B$23=Settings!$C$6,1,IF(Settings!$B$23="USD",1/INDEX(Settings!$B$29:$B$40,MONTH(A5853)),INDEX(Settings!$B$29:$B$40,MONTH(A5853)))))</f>
        <v/>
      </c>
    </row>
    <row r="5854" customFormat="false" ht="15" hidden="false" customHeight="false" outlineLevel="0" collapsed="false">
      <c r="H5854" s="0" t="str">
        <f aca="false">IF(B5854="","",IF(COUNTIF(Campaigns!$A$7:$A$300,B5854)&gt;0,"✓","⚠ add to Campaigns tab"))</f>
        <v/>
      </c>
      <c r="I5854" s="84" t="str">
        <f aca="false">IF(C5854="","",C5854*IF(Settings!$B$23=Settings!$C$6,1,IF(Settings!$B$23="USD",1/INDEX(Settings!$B$29:$B$40,MONTH(A5854)),INDEX(Settings!$B$29:$B$40,MONTH(A5854)))))</f>
        <v/>
      </c>
    </row>
    <row r="5855" customFormat="false" ht="15" hidden="false" customHeight="false" outlineLevel="0" collapsed="false">
      <c r="H5855" s="0" t="str">
        <f aca="false">IF(B5855="","",IF(COUNTIF(Campaigns!$A$7:$A$300,B5855)&gt;0,"✓","⚠ add to Campaigns tab"))</f>
        <v/>
      </c>
      <c r="I5855" s="84" t="str">
        <f aca="false">IF(C5855="","",C5855*IF(Settings!$B$23=Settings!$C$6,1,IF(Settings!$B$23="USD",1/INDEX(Settings!$B$29:$B$40,MONTH(A5855)),INDEX(Settings!$B$29:$B$40,MONTH(A5855)))))</f>
        <v/>
      </c>
    </row>
    <row r="5856" customFormat="false" ht="15" hidden="false" customHeight="false" outlineLevel="0" collapsed="false">
      <c r="H5856" s="0" t="str">
        <f aca="false">IF(B5856="","",IF(COUNTIF(Campaigns!$A$7:$A$300,B5856)&gt;0,"✓","⚠ add to Campaigns tab"))</f>
        <v/>
      </c>
      <c r="I5856" s="84" t="str">
        <f aca="false">IF(C5856="","",C5856*IF(Settings!$B$23=Settings!$C$6,1,IF(Settings!$B$23="USD",1/INDEX(Settings!$B$29:$B$40,MONTH(A5856)),INDEX(Settings!$B$29:$B$40,MONTH(A5856)))))</f>
        <v/>
      </c>
    </row>
    <row r="5857" customFormat="false" ht="15" hidden="false" customHeight="false" outlineLevel="0" collapsed="false">
      <c r="H5857" s="0" t="str">
        <f aca="false">IF(B5857="","",IF(COUNTIF(Campaigns!$A$7:$A$300,B5857)&gt;0,"✓","⚠ add to Campaigns tab"))</f>
        <v/>
      </c>
      <c r="I5857" s="84" t="str">
        <f aca="false">IF(C5857="","",C5857*IF(Settings!$B$23=Settings!$C$6,1,IF(Settings!$B$23="USD",1/INDEX(Settings!$B$29:$B$40,MONTH(A5857)),INDEX(Settings!$B$29:$B$40,MONTH(A5857)))))</f>
        <v/>
      </c>
    </row>
    <row r="5858" customFormat="false" ht="15" hidden="false" customHeight="false" outlineLevel="0" collapsed="false">
      <c r="H5858" s="0" t="str">
        <f aca="false">IF(B5858="","",IF(COUNTIF(Campaigns!$A$7:$A$300,B5858)&gt;0,"✓","⚠ add to Campaigns tab"))</f>
        <v/>
      </c>
      <c r="I5858" s="84" t="str">
        <f aca="false">IF(C5858="","",C5858*IF(Settings!$B$23=Settings!$C$6,1,IF(Settings!$B$23="USD",1/INDEX(Settings!$B$29:$B$40,MONTH(A5858)),INDEX(Settings!$B$29:$B$40,MONTH(A5858)))))</f>
        <v/>
      </c>
    </row>
    <row r="5859" customFormat="false" ht="15" hidden="false" customHeight="false" outlineLevel="0" collapsed="false">
      <c r="H5859" s="0" t="str">
        <f aca="false">IF(B5859="","",IF(COUNTIF(Campaigns!$A$7:$A$300,B5859)&gt;0,"✓","⚠ add to Campaigns tab"))</f>
        <v/>
      </c>
      <c r="I5859" s="84" t="str">
        <f aca="false">IF(C5859="","",C5859*IF(Settings!$B$23=Settings!$C$6,1,IF(Settings!$B$23="USD",1/INDEX(Settings!$B$29:$B$40,MONTH(A5859)),INDEX(Settings!$B$29:$B$40,MONTH(A5859)))))</f>
        <v/>
      </c>
    </row>
    <row r="5860" customFormat="false" ht="15" hidden="false" customHeight="false" outlineLevel="0" collapsed="false">
      <c r="H5860" s="0" t="str">
        <f aca="false">IF(B5860="","",IF(COUNTIF(Campaigns!$A$7:$A$300,B5860)&gt;0,"✓","⚠ add to Campaigns tab"))</f>
        <v/>
      </c>
      <c r="I5860" s="84" t="str">
        <f aca="false">IF(C5860="","",C5860*IF(Settings!$B$23=Settings!$C$6,1,IF(Settings!$B$23="USD",1/INDEX(Settings!$B$29:$B$40,MONTH(A5860)),INDEX(Settings!$B$29:$B$40,MONTH(A5860)))))</f>
        <v/>
      </c>
    </row>
    <row r="5861" customFormat="false" ht="15" hidden="false" customHeight="false" outlineLevel="0" collapsed="false">
      <c r="H5861" s="0" t="str">
        <f aca="false">IF(B5861="","",IF(COUNTIF(Campaigns!$A$7:$A$300,B5861)&gt;0,"✓","⚠ add to Campaigns tab"))</f>
        <v/>
      </c>
      <c r="I5861" s="84" t="str">
        <f aca="false">IF(C5861="","",C5861*IF(Settings!$B$23=Settings!$C$6,1,IF(Settings!$B$23="USD",1/INDEX(Settings!$B$29:$B$40,MONTH(A5861)),INDEX(Settings!$B$29:$B$40,MONTH(A5861)))))</f>
        <v/>
      </c>
    </row>
    <row r="5862" customFormat="false" ht="15" hidden="false" customHeight="false" outlineLevel="0" collapsed="false">
      <c r="H5862" s="0" t="str">
        <f aca="false">IF(B5862="","",IF(COUNTIF(Campaigns!$A$7:$A$300,B5862)&gt;0,"✓","⚠ add to Campaigns tab"))</f>
        <v/>
      </c>
      <c r="I5862" s="84" t="str">
        <f aca="false">IF(C5862="","",C5862*IF(Settings!$B$23=Settings!$C$6,1,IF(Settings!$B$23="USD",1/INDEX(Settings!$B$29:$B$40,MONTH(A5862)),INDEX(Settings!$B$29:$B$40,MONTH(A5862)))))</f>
        <v/>
      </c>
    </row>
    <row r="5863" customFormat="false" ht="15" hidden="false" customHeight="false" outlineLevel="0" collapsed="false">
      <c r="H5863" s="0" t="str">
        <f aca="false">IF(B5863="","",IF(COUNTIF(Campaigns!$A$7:$A$300,B5863)&gt;0,"✓","⚠ add to Campaigns tab"))</f>
        <v/>
      </c>
      <c r="I5863" s="84" t="str">
        <f aca="false">IF(C5863="","",C5863*IF(Settings!$B$23=Settings!$C$6,1,IF(Settings!$B$23="USD",1/INDEX(Settings!$B$29:$B$40,MONTH(A5863)),INDEX(Settings!$B$29:$B$40,MONTH(A5863)))))</f>
        <v/>
      </c>
    </row>
    <row r="5864" customFormat="false" ht="15" hidden="false" customHeight="false" outlineLevel="0" collapsed="false">
      <c r="H5864" s="0" t="str">
        <f aca="false">IF(B5864="","",IF(COUNTIF(Campaigns!$A$7:$A$300,B5864)&gt;0,"✓","⚠ add to Campaigns tab"))</f>
        <v/>
      </c>
      <c r="I5864" s="84" t="str">
        <f aca="false">IF(C5864="","",C5864*IF(Settings!$B$23=Settings!$C$6,1,IF(Settings!$B$23="USD",1/INDEX(Settings!$B$29:$B$40,MONTH(A5864)),INDEX(Settings!$B$29:$B$40,MONTH(A5864)))))</f>
        <v/>
      </c>
    </row>
    <row r="5865" customFormat="false" ht="15" hidden="false" customHeight="false" outlineLevel="0" collapsed="false">
      <c r="H5865" s="0" t="str">
        <f aca="false">IF(B5865="","",IF(COUNTIF(Campaigns!$A$7:$A$300,B5865)&gt;0,"✓","⚠ add to Campaigns tab"))</f>
        <v/>
      </c>
      <c r="I5865" s="84" t="str">
        <f aca="false">IF(C5865="","",C5865*IF(Settings!$B$23=Settings!$C$6,1,IF(Settings!$B$23="USD",1/INDEX(Settings!$B$29:$B$40,MONTH(A5865)),INDEX(Settings!$B$29:$B$40,MONTH(A5865)))))</f>
        <v/>
      </c>
    </row>
    <row r="5866" customFormat="false" ht="15" hidden="false" customHeight="false" outlineLevel="0" collapsed="false">
      <c r="H5866" s="0" t="str">
        <f aca="false">IF(B5866="","",IF(COUNTIF(Campaigns!$A$7:$A$300,B5866)&gt;0,"✓","⚠ add to Campaigns tab"))</f>
        <v/>
      </c>
      <c r="I5866" s="84" t="str">
        <f aca="false">IF(C5866="","",C5866*IF(Settings!$B$23=Settings!$C$6,1,IF(Settings!$B$23="USD",1/INDEX(Settings!$B$29:$B$40,MONTH(A5866)),INDEX(Settings!$B$29:$B$40,MONTH(A5866)))))</f>
        <v/>
      </c>
    </row>
    <row r="5867" customFormat="false" ht="15" hidden="false" customHeight="false" outlineLevel="0" collapsed="false">
      <c r="H5867" s="0" t="str">
        <f aca="false">IF(B5867="","",IF(COUNTIF(Campaigns!$A$7:$A$300,B5867)&gt;0,"✓","⚠ add to Campaigns tab"))</f>
        <v/>
      </c>
      <c r="I5867" s="84" t="str">
        <f aca="false">IF(C5867="","",C5867*IF(Settings!$B$23=Settings!$C$6,1,IF(Settings!$B$23="USD",1/INDEX(Settings!$B$29:$B$40,MONTH(A5867)),INDEX(Settings!$B$29:$B$40,MONTH(A5867)))))</f>
        <v/>
      </c>
    </row>
    <row r="5868" customFormat="false" ht="15" hidden="false" customHeight="false" outlineLevel="0" collapsed="false">
      <c r="H5868" s="0" t="str">
        <f aca="false">IF(B5868="","",IF(COUNTIF(Campaigns!$A$7:$A$300,B5868)&gt;0,"✓","⚠ add to Campaigns tab"))</f>
        <v/>
      </c>
      <c r="I5868" s="84" t="str">
        <f aca="false">IF(C5868="","",C5868*IF(Settings!$B$23=Settings!$C$6,1,IF(Settings!$B$23="USD",1/INDEX(Settings!$B$29:$B$40,MONTH(A5868)),INDEX(Settings!$B$29:$B$40,MONTH(A5868)))))</f>
        <v/>
      </c>
    </row>
    <row r="5869" customFormat="false" ht="15" hidden="false" customHeight="false" outlineLevel="0" collapsed="false">
      <c r="H5869" s="0" t="str">
        <f aca="false">IF(B5869="","",IF(COUNTIF(Campaigns!$A$7:$A$300,B5869)&gt;0,"✓","⚠ add to Campaigns tab"))</f>
        <v/>
      </c>
      <c r="I5869" s="84" t="str">
        <f aca="false">IF(C5869="","",C5869*IF(Settings!$B$23=Settings!$C$6,1,IF(Settings!$B$23="USD",1/INDEX(Settings!$B$29:$B$40,MONTH(A5869)),INDEX(Settings!$B$29:$B$40,MONTH(A5869)))))</f>
        <v/>
      </c>
    </row>
    <row r="5870" customFormat="false" ht="15" hidden="false" customHeight="false" outlineLevel="0" collapsed="false">
      <c r="H5870" s="0" t="str">
        <f aca="false">IF(B5870="","",IF(COUNTIF(Campaigns!$A$7:$A$300,B5870)&gt;0,"✓","⚠ add to Campaigns tab"))</f>
        <v/>
      </c>
      <c r="I5870" s="84" t="str">
        <f aca="false">IF(C5870="","",C5870*IF(Settings!$B$23=Settings!$C$6,1,IF(Settings!$B$23="USD",1/INDEX(Settings!$B$29:$B$40,MONTH(A5870)),INDEX(Settings!$B$29:$B$40,MONTH(A5870)))))</f>
        <v/>
      </c>
    </row>
    <row r="5871" customFormat="false" ht="15" hidden="false" customHeight="false" outlineLevel="0" collapsed="false">
      <c r="H5871" s="0" t="str">
        <f aca="false">IF(B5871="","",IF(COUNTIF(Campaigns!$A$7:$A$300,B5871)&gt;0,"✓","⚠ add to Campaigns tab"))</f>
        <v/>
      </c>
      <c r="I5871" s="84" t="str">
        <f aca="false">IF(C5871="","",C5871*IF(Settings!$B$23=Settings!$C$6,1,IF(Settings!$B$23="USD",1/INDEX(Settings!$B$29:$B$40,MONTH(A5871)),INDEX(Settings!$B$29:$B$40,MONTH(A5871)))))</f>
        <v/>
      </c>
    </row>
    <row r="5872" customFormat="false" ht="15" hidden="false" customHeight="false" outlineLevel="0" collapsed="false">
      <c r="H5872" s="0" t="str">
        <f aca="false">IF(B5872="","",IF(COUNTIF(Campaigns!$A$7:$A$300,B5872)&gt;0,"✓","⚠ add to Campaigns tab"))</f>
        <v/>
      </c>
      <c r="I5872" s="84" t="str">
        <f aca="false">IF(C5872="","",C5872*IF(Settings!$B$23=Settings!$C$6,1,IF(Settings!$B$23="USD",1/INDEX(Settings!$B$29:$B$40,MONTH(A5872)),INDEX(Settings!$B$29:$B$40,MONTH(A5872)))))</f>
        <v/>
      </c>
    </row>
    <row r="5873" customFormat="false" ht="15" hidden="false" customHeight="false" outlineLevel="0" collapsed="false">
      <c r="H5873" s="0" t="str">
        <f aca="false">IF(B5873="","",IF(COUNTIF(Campaigns!$A$7:$A$300,B5873)&gt;0,"✓","⚠ add to Campaigns tab"))</f>
        <v/>
      </c>
      <c r="I5873" s="84" t="str">
        <f aca="false">IF(C5873="","",C5873*IF(Settings!$B$23=Settings!$C$6,1,IF(Settings!$B$23="USD",1/INDEX(Settings!$B$29:$B$40,MONTH(A5873)),INDEX(Settings!$B$29:$B$40,MONTH(A5873)))))</f>
        <v/>
      </c>
    </row>
    <row r="5874" customFormat="false" ht="15" hidden="false" customHeight="false" outlineLevel="0" collapsed="false">
      <c r="H5874" s="0" t="str">
        <f aca="false">IF(B5874="","",IF(COUNTIF(Campaigns!$A$7:$A$300,B5874)&gt;0,"✓","⚠ add to Campaigns tab"))</f>
        <v/>
      </c>
      <c r="I5874" s="84" t="str">
        <f aca="false">IF(C5874="","",C5874*IF(Settings!$B$23=Settings!$C$6,1,IF(Settings!$B$23="USD",1/INDEX(Settings!$B$29:$B$40,MONTH(A5874)),INDEX(Settings!$B$29:$B$40,MONTH(A5874)))))</f>
        <v/>
      </c>
    </row>
    <row r="5875" customFormat="false" ht="15" hidden="false" customHeight="false" outlineLevel="0" collapsed="false">
      <c r="H5875" s="0" t="str">
        <f aca="false">IF(B5875="","",IF(COUNTIF(Campaigns!$A$7:$A$300,B5875)&gt;0,"✓","⚠ add to Campaigns tab"))</f>
        <v/>
      </c>
      <c r="I5875" s="84" t="str">
        <f aca="false">IF(C5875="","",C5875*IF(Settings!$B$23=Settings!$C$6,1,IF(Settings!$B$23="USD",1/INDEX(Settings!$B$29:$B$40,MONTH(A5875)),INDEX(Settings!$B$29:$B$40,MONTH(A5875)))))</f>
        <v/>
      </c>
    </row>
    <row r="5876" customFormat="false" ht="15" hidden="false" customHeight="false" outlineLevel="0" collapsed="false">
      <c r="H5876" s="0" t="str">
        <f aca="false">IF(B5876="","",IF(COUNTIF(Campaigns!$A$7:$A$300,B5876)&gt;0,"✓","⚠ add to Campaigns tab"))</f>
        <v/>
      </c>
      <c r="I5876" s="84" t="str">
        <f aca="false">IF(C5876="","",C5876*IF(Settings!$B$23=Settings!$C$6,1,IF(Settings!$B$23="USD",1/INDEX(Settings!$B$29:$B$40,MONTH(A5876)),INDEX(Settings!$B$29:$B$40,MONTH(A5876)))))</f>
        <v/>
      </c>
    </row>
    <row r="5877" customFormat="false" ht="15" hidden="false" customHeight="false" outlineLevel="0" collapsed="false">
      <c r="H5877" s="0" t="str">
        <f aca="false">IF(B5877="","",IF(COUNTIF(Campaigns!$A$7:$A$300,B5877)&gt;0,"✓","⚠ add to Campaigns tab"))</f>
        <v/>
      </c>
      <c r="I5877" s="84" t="str">
        <f aca="false">IF(C5877="","",C5877*IF(Settings!$B$23=Settings!$C$6,1,IF(Settings!$B$23="USD",1/INDEX(Settings!$B$29:$B$40,MONTH(A5877)),INDEX(Settings!$B$29:$B$40,MONTH(A5877)))))</f>
        <v/>
      </c>
    </row>
    <row r="5878" customFormat="false" ht="15" hidden="false" customHeight="false" outlineLevel="0" collapsed="false">
      <c r="H5878" s="0" t="str">
        <f aca="false">IF(B5878="","",IF(COUNTIF(Campaigns!$A$7:$A$300,B5878)&gt;0,"✓","⚠ add to Campaigns tab"))</f>
        <v/>
      </c>
      <c r="I5878" s="84" t="str">
        <f aca="false">IF(C5878="","",C5878*IF(Settings!$B$23=Settings!$C$6,1,IF(Settings!$B$23="USD",1/INDEX(Settings!$B$29:$B$40,MONTH(A5878)),INDEX(Settings!$B$29:$B$40,MONTH(A5878)))))</f>
        <v/>
      </c>
    </row>
    <row r="5879" customFormat="false" ht="15" hidden="false" customHeight="false" outlineLevel="0" collapsed="false">
      <c r="H5879" s="0" t="str">
        <f aca="false">IF(B5879="","",IF(COUNTIF(Campaigns!$A$7:$A$300,B5879)&gt;0,"✓","⚠ add to Campaigns tab"))</f>
        <v/>
      </c>
      <c r="I5879" s="84" t="str">
        <f aca="false">IF(C5879="","",C5879*IF(Settings!$B$23=Settings!$C$6,1,IF(Settings!$B$23="USD",1/INDEX(Settings!$B$29:$B$40,MONTH(A5879)),INDEX(Settings!$B$29:$B$40,MONTH(A5879)))))</f>
        <v/>
      </c>
    </row>
    <row r="5880" customFormat="false" ht="15" hidden="false" customHeight="false" outlineLevel="0" collapsed="false">
      <c r="H5880" s="0" t="str">
        <f aca="false">IF(B5880="","",IF(COUNTIF(Campaigns!$A$7:$A$300,B5880)&gt;0,"✓","⚠ add to Campaigns tab"))</f>
        <v/>
      </c>
      <c r="I5880" s="84" t="str">
        <f aca="false">IF(C5880="","",C5880*IF(Settings!$B$23=Settings!$C$6,1,IF(Settings!$B$23="USD",1/INDEX(Settings!$B$29:$B$40,MONTH(A5880)),INDEX(Settings!$B$29:$B$40,MONTH(A5880)))))</f>
        <v/>
      </c>
    </row>
    <row r="5881" customFormat="false" ht="15" hidden="false" customHeight="false" outlineLevel="0" collapsed="false">
      <c r="H5881" s="0" t="str">
        <f aca="false">IF(B5881="","",IF(COUNTIF(Campaigns!$A$7:$A$300,B5881)&gt;0,"✓","⚠ add to Campaigns tab"))</f>
        <v/>
      </c>
      <c r="I5881" s="84" t="str">
        <f aca="false">IF(C5881="","",C5881*IF(Settings!$B$23=Settings!$C$6,1,IF(Settings!$B$23="USD",1/INDEX(Settings!$B$29:$B$40,MONTH(A5881)),INDEX(Settings!$B$29:$B$40,MONTH(A5881)))))</f>
        <v/>
      </c>
    </row>
    <row r="5882" customFormat="false" ht="15" hidden="false" customHeight="false" outlineLevel="0" collapsed="false">
      <c r="H5882" s="0" t="str">
        <f aca="false">IF(B5882="","",IF(COUNTIF(Campaigns!$A$7:$A$300,B5882)&gt;0,"✓","⚠ add to Campaigns tab"))</f>
        <v/>
      </c>
      <c r="I5882" s="84" t="str">
        <f aca="false">IF(C5882="","",C5882*IF(Settings!$B$23=Settings!$C$6,1,IF(Settings!$B$23="USD",1/INDEX(Settings!$B$29:$B$40,MONTH(A5882)),INDEX(Settings!$B$29:$B$40,MONTH(A5882)))))</f>
        <v/>
      </c>
    </row>
    <row r="5883" customFormat="false" ht="15" hidden="false" customHeight="false" outlineLevel="0" collapsed="false">
      <c r="H5883" s="0" t="str">
        <f aca="false">IF(B5883="","",IF(COUNTIF(Campaigns!$A$7:$A$300,B5883)&gt;0,"✓","⚠ add to Campaigns tab"))</f>
        <v/>
      </c>
      <c r="I5883" s="84" t="str">
        <f aca="false">IF(C5883="","",C5883*IF(Settings!$B$23=Settings!$C$6,1,IF(Settings!$B$23="USD",1/INDEX(Settings!$B$29:$B$40,MONTH(A5883)),INDEX(Settings!$B$29:$B$40,MONTH(A5883)))))</f>
        <v/>
      </c>
    </row>
    <row r="5884" customFormat="false" ht="15" hidden="false" customHeight="false" outlineLevel="0" collapsed="false">
      <c r="H5884" s="0" t="str">
        <f aca="false">IF(B5884="","",IF(COUNTIF(Campaigns!$A$7:$A$300,B5884)&gt;0,"✓","⚠ add to Campaigns tab"))</f>
        <v/>
      </c>
      <c r="I5884" s="84" t="str">
        <f aca="false">IF(C5884="","",C5884*IF(Settings!$B$23=Settings!$C$6,1,IF(Settings!$B$23="USD",1/INDEX(Settings!$B$29:$B$40,MONTH(A5884)),INDEX(Settings!$B$29:$B$40,MONTH(A5884)))))</f>
        <v/>
      </c>
    </row>
    <row r="5885" customFormat="false" ht="15" hidden="false" customHeight="false" outlineLevel="0" collapsed="false">
      <c r="H5885" s="0" t="str">
        <f aca="false">IF(B5885="","",IF(COUNTIF(Campaigns!$A$7:$A$300,B5885)&gt;0,"✓","⚠ add to Campaigns tab"))</f>
        <v/>
      </c>
      <c r="I5885" s="84" t="str">
        <f aca="false">IF(C5885="","",C5885*IF(Settings!$B$23=Settings!$C$6,1,IF(Settings!$B$23="USD",1/INDEX(Settings!$B$29:$B$40,MONTH(A5885)),INDEX(Settings!$B$29:$B$40,MONTH(A5885)))))</f>
        <v/>
      </c>
    </row>
    <row r="5886" customFormat="false" ht="15" hidden="false" customHeight="false" outlineLevel="0" collapsed="false">
      <c r="H5886" s="0" t="str">
        <f aca="false">IF(B5886="","",IF(COUNTIF(Campaigns!$A$7:$A$300,B5886)&gt;0,"✓","⚠ add to Campaigns tab"))</f>
        <v/>
      </c>
      <c r="I5886" s="84" t="str">
        <f aca="false">IF(C5886="","",C5886*IF(Settings!$B$23=Settings!$C$6,1,IF(Settings!$B$23="USD",1/INDEX(Settings!$B$29:$B$40,MONTH(A5886)),INDEX(Settings!$B$29:$B$40,MONTH(A5886)))))</f>
        <v/>
      </c>
    </row>
    <row r="5887" customFormat="false" ht="15" hidden="false" customHeight="false" outlineLevel="0" collapsed="false">
      <c r="H5887" s="0" t="str">
        <f aca="false">IF(B5887="","",IF(COUNTIF(Campaigns!$A$7:$A$300,B5887)&gt;0,"✓","⚠ add to Campaigns tab"))</f>
        <v/>
      </c>
      <c r="I5887" s="84" t="str">
        <f aca="false">IF(C5887="","",C5887*IF(Settings!$B$23=Settings!$C$6,1,IF(Settings!$B$23="USD",1/INDEX(Settings!$B$29:$B$40,MONTH(A5887)),INDEX(Settings!$B$29:$B$40,MONTH(A5887)))))</f>
        <v/>
      </c>
    </row>
    <row r="5888" customFormat="false" ht="15" hidden="false" customHeight="false" outlineLevel="0" collapsed="false">
      <c r="H5888" s="0" t="str">
        <f aca="false">IF(B5888="","",IF(COUNTIF(Campaigns!$A$7:$A$300,B5888)&gt;0,"✓","⚠ add to Campaigns tab"))</f>
        <v/>
      </c>
      <c r="I5888" s="84" t="str">
        <f aca="false">IF(C5888="","",C5888*IF(Settings!$B$23=Settings!$C$6,1,IF(Settings!$B$23="USD",1/INDEX(Settings!$B$29:$B$40,MONTH(A5888)),INDEX(Settings!$B$29:$B$40,MONTH(A5888)))))</f>
        <v/>
      </c>
    </row>
    <row r="5889" customFormat="false" ht="15" hidden="false" customHeight="false" outlineLevel="0" collapsed="false">
      <c r="H5889" s="0" t="str">
        <f aca="false">IF(B5889="","",IF(COUNTIF(Campaigns!$A$7:$A$300,B5889)&gt;0,"✓","⚠ add to Campaigns tab"))</f>
        <v/>
      </c>
      <c r="I5889" s="84" t="str">
        <f aca="false">IF(C5889="","",C5889*IF(Settings!$B$23=Settings!$C$6,1,IF(Settings!$B$23="USD",1/INDEX(Settings!$B$29:$B$40,MONTH(A5889)),INDEX(Settings!$B$29:$B$40,MONTH(A5889)))))</f>
        <v/>
      </c>
    </row>
    <row r="5890" customFormat="false" ht="15" hidden="false" customHeight="false" outlineLevel="0" collapsed="false">
      <c r="H5890" s="0" t="str">
        <f aca="false">IF(B5890="","",IF(COUNTIF(Campaigns!$A$7:$A$300,B5890)&gt;0,"✓","⚠ add to Campaigns tab"))</f>
        <v/>
      </c>
      <c r="I5890" s="84" t="str">
        <f aca="false">IF(C5890="","",C5890*IF(Settings!$B$23=Settings!$C$6,1,IF(Settings!$B$23="USD",1/INDEX(Settings!$B$29:$B$40,MONTH(A5890)),INDEX(Settings!$B$29:$B$40,MONTH(A5890)))))</f>
        <v/>
      </c>
    </row>
    <row r="5891" customFormat="false" ht="15" hidden="false" customHeight="false" outlineLevel="0" collapsed="false">
      <c r="H5891" s="0" t="str">
        <f aca="false">IF(B5891="","",IF(COUNTIF(Campaigns!$A$7:$A$300,B5891)&gt;0,"✓","⚠ add to Campaigns tab"))</f>
        <v/>
      </c>
      <c r="I5891" s="84" t="str">
        <f aca="false">IF(C5891="","",C5891*IF(Settings!$B$23=Settings!$C$6,1,IF(Settings!$B$23="USD",1/INDEX(Settings!$B$29:$B$40,MONTH(A5891)),INDEX(Settings!$B$29:$B$40,MONTH(A5891)))))</f>
        <v/>
      </c>
    </row>
    <row r="5892" customFormat="false" ht="15" hidden="false" customHeight="false" outlineLevel="0" collapsed="false">
      <c r="H5892" s="0" t="str">
        <f aca="false">IF(B5892="","",IF(COUNTIF(Campaigns!$A$7:$A$300,B5892)&gt;0,"✓","⚠ add to Campaigns tab"))</f>
        <v/>
      </c>
      <c r="I5892" s="84" t="str">
        <f aca="false">IF(C5892="","",C5892*IF(Settings!$B$23=Settings!$C$6,1,IF(Settings!$B$23="USD",1/INDEX(Settings!$B$29:$B$40,MONTH(A5892)),INDEX(Settings!$B$29:$B$40,MONTH(A5892)))))</f>
        <v/>
      </c>
    </row>
    <row r="5893" customFormat="false" ht="15" hidden="false" customHeight="false" outlineLevel="0" collapsed="false">
      <c r="H5893" s="0" t="str">
        <f aca="false">IF(B5893="","",IF(COUNTIF(Campaigns!$A$7:$A$300,B5893)&gt;0,"✓","⚠ add to Campaigns tab"))</f>
        <v/>
      </c>
      <c r="I5893" s="84" t="str">
        <f aca="false">IF(C5893="","",C5893*IF(Settings!$B$23=Settings!$C$6,1,IF(Settings!$B$23="USD",1/INDEX(Settings!$B$29:$B$40,MONTH(A5893)),INDEX(Settings!$B$29:$B$40,MONTH(A5893)))))</f>
        <v/>
      </c>
    </row>
    <row r="5894" customFormat="false" ht="15" hidden="false" customHeight="false" outlineLevel="0" collapsed="false">
      <c r="H5894" s="0" t="str">
        <f aca="false">IF(B5894="","",IF(COUNTIF(Campaigns!$A$7:$A$300,B5894)&gt;0,"✓","⚠ add to Campaigns tab"))</f>
        <v/>
      </c>
      <c r="I5894" s="84" t="str">
        <f aca="false">IF(C5894="","",C5894*IF(Settings!$B$23=Settings!$C$6,1,IF(Settings!$B$23="USD",1/INDEX(Settings!$B$29:$B$40,MONTH(A5894)),INDEX(Settings!$B$29:$B$40,MONTH(A5894)))))</f>
        <v/>
      </c>
    </row>
    <row r="5895" customFormat="false" ht="15" hidden="false" customHeight="false" outlineLevel="0" collapsed="false">
      <c r="H5895" s="0" t="str">
        <f aca="false">IF(B5895="","",IF(COUNTIF(Campaigns!$A$7:$A$300,B5895)&gt;0,"✓","⚠ add to Campaigns tab"))</f>
        <v/>
      </c>
      <c r="I5895" s="84" t="str">
        <f aca="false">IF(C5895="","",C5895*IF(Settings!$B$23=Settings!$C$6,1,IF(Settings!$B$23="USD",1/INDEX(Settings!$B$29:$B$40,MONTH(A5895)),INDEX(Settings!$B$29:$B$40,MONTH(A5895)))))</f>
        <v/>
      </c>
    </row>
    <row r="5896" customFormat="false" ht="15" hidden="false" customHeight="false" outlineLevel="0" collapsed="false">
      <c r="H5896" s="0" t="str">
        <f aca="false">IF(B5896="","",IF(COUNTIF(Campaigns!$A$7:$A$300,B5896)&gt;0,"✓","⚠ add to Campaigns tab"))</f>
        <v/>
      </c>
      <c r="I5896" s="84" t="str">
        <f aca="false">IF(C5896="","",C5896*IF(Settings!$B$23=Settings!$C$6,1,IF(Settings!$B$23="USD",1/INDEX(Settings!$B$29:$B$40,MONTH(A5896)),INDEX(Settings!$B$29:$B$40,MONTH(A5896)))))</f>
        <v/>
      </c>
    </row>
    <row r="5897" customFormat="false" ht="15" hidden="false" customHeight="false" outlineLevel="0" collapsed="false">
      <c r="H5897" s="0" t="str">
        <f aca="false">IF(B5897="","",IF(COUNTIF(Campaigns!$A$7:$A$300,B5897)&gt;0,"✓","⚠ add to Campaigns tab"))</f>
        <v/>
      </c>
      <c r="I5897" s="84" t="str">
        <f aca="false">IF(C5897="","",C5897*IF(Settings!$B$23=Settings!$C$6,1,IF(Settings!$B$23="USD",1/INDEX(Settings!$B$29:$B$40,MONTH(A5897)),INDEX(Settings!$B$29:$B$40,MONTH(A5897)))))</f>
        <v/>
      </c>
    </row>
    <row r="5898" customFormat="false" ht="15" hidden="false" customHeight="false" outlineLevel="0" collapsed="false">
      <c r="H5898" s="0" t="str">
        <f aca="false">IF(B5898="","",IF(COUNTIF(Campaigns!$A$7:$A$300,B5898)&gt;0,"✓","⚠ add to Campaigns tab"))</f>
        <v/>
      </c>
      <c r="I5898" s="84" t="str">
        <f aca="false">IF(C5898="","",C5898*IF(Settings!$B$23=Settings!$C$6,1,IF(Settings!$B$23="USD",1/INDEX(Settings!$B$29:$B$40,MONTH(A5898)),INDEX(Settings!$B$29:$B$40,MONTH(A5898)))))</f>
        <v/>
      </c>
    </row>
    <row r="5899" customFormat="false" ht="15" hidden="false" customHeight="false" outlineLevel="0" collapsed="false">
      <c r="H5899" s="0" t="str">
        <f aca="false">IF(B5899="","",IF(COUNTIF(Campaigns!$A$7:$A$300,B5899)&gt;0,"✓","⚠ add to Campaigns tab"))</f>
        <v/>
      </c>
      <c r="I5899" s="84" t="str">
        <f aca="false">IF(C5899="","",C5899*IF(Settings!$B$23=Settings!$C$6,1,IF(Settings!$B$23="USD",1/INDEX(Settings!$B$29:$B$40,MONTH(A5899)),INDEX(Settings!$B$29:$B$40,MONTH(A5899)))))</f>
        <v/>
      </c>
    </row>
    <row r="5900" customFormat="false" ht="15" hidden="false" customHeight="false" outlineLevel="0" collapsed="false">
      <c r="H5900" s="0" t="str">
        <f aca="false">IF(B5900="","",IF(COUNTIF(Campaigns!$A$7:$A$300,B5900)&gt;0,"✓","⚠ add to Campaigns tab"))</f>
        <v/>
      </c>
      <c r="I5900" s="84" t="str">
        <f aca="false">IF(C5900="","",C5900*IF(Settings!$B$23=Settings!$C$6,1,IF(Settings!$B$23="USD",1/INDEX(Settings!$B$29:$B$40,MONTH(A5900)),INDEX(Settings!$B$29:$B$40,MONTH(A5900)))))</f>
        <v/>
      </c>
    </row>
    <row r="5901" customFormat="false" ht="15" hidden="false" customHeight="false" outlineLevel="0" collapsed="false">
      <c r="H5901" s="0" t="str">
        <f aca="false">IF(B5901="","",IF(COUNTIF(Campaigns!$A$7:$A$300,B5901)&gt;0,"✓","⚠ add to Campaigns tab"))</f>
        <v/>
      </c>
      <c r="I5901" s="84" t="str">
        <f aca="false">IF(C5901="","",C5901*IF(Settings!$B$23=Settings!$C$6,1,IF(Settings!$B$23="USD",1/INDEX(Settings!$B$29:$B$40,MONTH(A5901)),INDEX(Settings!$B$29:$B$40,MONTH(A5901)))))</f>
        <v/>
      </c>
    </row>
    <row r="5902" customFormat="false" ht="15" hidden="false" customHeight="false" outlineLevel="0" collapsed="false">
      <c r="H5902" s="0" t="str">
        <f aca="false">IF(B5902="","",IF(COUNTIF(Campaigns!$A$7:$A$300,B5902)&gt;0,"✓","⚠ add to Campaigns tab"))</f>
        <v/>
      </c>
      <c r="I5902" s="84" t="str">
        <f aca="false">IF(C5902="","",C5902*IF(Settings!$B$23=Settings!$C$6,1,IF(Settings!$B$23="USD",1/INDEX(Settings!$B$29:$B$40,MONTH(A5902)),INDEX(Settings!$B$29:$B$40,MONTH(A5902)))))</f>
        <v/>
      </c>
    </row>
    <row r="5903" customFormat="false" ht="15" hidden="false" customHeight="false" outlineLevel="0" collapsed="false">
      <c r="H5903" s="0" t="str">
        <f aca="false">IF(B5903="","",IF(COUNTIF(Campaigns!$A$7:$A$300,B5903)&gt;0,"✓","⚠ add to Campaigns tab"))</f>
        <v/>
      </c>
      <c r="I5903" s="84" t="str">
        <f aca="false">IF(C5903="","",C5903*IF(Settings!$B$23=Settings!$C$6,1,IF(Settings!$B$23="USD",1/INDEX(Settings!$B$29:$B$40,MONTH(A5903)),INDEX(Settings!$B$29:$B$40,MONTH(A5903)))))</f>
        <v/>
      </c>
    </row>
    <row r="5904" customFormat="false" ht="15" hidden="false" customHeight="false" outlineLevel="0" collapsed="false">
      <c r="H5904" s="0" t="str">
        <f aca="false">IF(B5904="","",IF(COUNTIF(Campaigns!$A$7:$A$300,B5904)&gt;0,"✓","⚠ add to Campaigns tab"))</f>
        <v/>
      </c>
      <c r="I5904" s="84" t="str">
        <f aca="false">IF(C5904="","",C5904*IF(Settings!$B$23=Settings!$C$6,1,IF(Settings!$B$23="USD",1/INDEX(Settings!$B$29:$B$40,MONTH(A5904)),INDEX(Settings!$B$29:$B$40,MONTH(A5904)))))</f>
        <v/>
      </c>
    </row>
    <row r="5905" customFormat="false" ht="15" hidden="false" customHeight="false" outlineLevel="0" collapsed="false">
      <c r="H5905" s="0" t="str">
        <f aca="false">IF(B5905="","",IF(COUNTIF(Campaigns!$A$7:$A$300,B5905)&gt;0,"✓","⚠ add to Campaigns tab"))</f>
        <v/>
      </c>
      <c r="I5905" s="84" t="str">
        <f aca="false">IF(C5905="","",C5905*IF(Settings!$B$23=Settings!$C$6,1,IF(Settings!$B$23="USD",1/INDEX(Settings!$B$29:$B$40,MONTH(A5905)),INDEX(Settings!$B$29:$B$40,MONTH(A5905)))))</f>
        <v/>
      </c>
    </row>
    <row r="5906" customFormat="false" ht="15" hidden="false" customHeight="false" outlineLevel="0" collapsed="false">
      <c r="H5906" s="0" t="str">
        <f aca="false">IF(B5906="","",IF(COUNTIF(Campaigns!$A$7:$A$300,B5906)&gt;0,"✓","⚠ add to Campaigns tab"))</f>
        <v/>
      </c>
      <c r="I5906" s="84" t="str">
        <f aca="false">IF(C5906="","",C5906*IF(Settings!$B$23=Settings!$C$6,1,IF(Settings!$B$23="USD",1/INDEX(Settings!$B$29:$B$40,MONTH(A5906)),INDEX(Settings!$B$29:$B$40,MONTH(A5906)))))</f>
        <v/>
      </c>
    </row>
    <row r="5907" customFormat="false" ht="15" hidden="false" customHeight="false" outlineLevel="0" collapsed="false">
      <c r="H5907" s="0" t="str">
        <f aca="false">IF(B5907="","",IF(COUNTIF(Campaigns!$A$7:$A$300,B5907)&gt;0,"✓","⚠ add to Campaigns tab"))</f>
        <v/>
      </c>
      <c r="I5907" s="84" t="str">
        <f aca="false">IF(C5907="","",C5907*IF(Settings!$B$23=Settings!$C$6,1,IF(Settings!$B$23="USD",1/INDEX(Settings!$B$29:$B$40,MONTH(A5907)),INDEX(Settings!$B$29:$B$40,MONTH(A5907)))))</f>
        <v/>
      </c>
    </row>
    <row r="5908" customFormat="false" ht="15" hidden="false" customHeight="false" outlineLevel="0" collapsed="false">
      <c r="H5908" s="0" t="str">
        <f aca="false">IF(B5908="","",IF(COUNTIF(Campaigns!$A$7:$A$300,B5908)&gt;0,"✓","⚠ add to Campaigns tab"))</f>
        <v/>
      </c>
      <c r="I5908" s="84" t="str">
        <f aca="false">IF(C5908="","",C5908*IF(Settings!$B$23=Settings!$C$6,1,IF(Settings!$B$23="USD",1/INDEX(Settings!$B$29:$B$40,MONTH(A5908)),INDEX(Settings!$B$29:$B$40,MONTH(A5908)))))</f>
        <v/>
      </c>
    </row>
    <row r="5909" customFormat="false" ht="15" hidden="false" customHeight="false" outlineLevel="0" collapsed="false">
      <c r="H5909" s="0" t="str">
        <f aca="false">IF(B5909="","",IF(COUNTIF(Campaigns!$A$7:$A$300,B5909)&gt;0,"✓","⚠ add to Campaigns tab"))</f>
        <v/>
      </c>
      <c r="I5909" s="84" t="str">
        <f aca="false">IF(C5909="","",C5909*IF(Settings!$B$23=Settings!$C$6,1,IF(Settings!$B$23="USD",1/INDEX(Settings!$B$29:$B$40,MONTH(A5909)),INDEX(Settings!$B$29:$B$40,MONTH(A5909)))))</f>
        <v/>
      </c>
    </row>
    <row r="5910" customFormat="false" ht="15" hidden="false" customHeight="false" outlineLevel="0" collapsed="false">
      <c r="H5910" s="0" t="str">
        <f aca="false">IF(B5910="","",IF(COUNTIF(Campaigns!$A$7:$A$300,B5910)&gt;0,"✓","⚠ add to Campaigns tab"))</f>
        <v/>
      </c>
      <c r="I5910" s="84" t="str">
        <f aca="false">IF(C5910="","",C5910*IF(Settings!$B$23=Settings!$C$6,1,IF(Settings!$B$23="USD",1/INDEX(Settings!$B$29:$B$40,MONTH(A5910)),INDEX(Settings!$B$29:$B$40,MONTH(A5910)))))</f>
        <v/>
      </c>
    </row>
    <row r="5911" customFormat="false" ht="15" hidden="false" customHeight="false" outlineLevel="0" collapsed="false">
      <c r="H5911" s="0" t="str">
        <f aca="false">IF(B5911="","",IF(COUNTIF(Campaigns!$A$7:$A$300,B5911)&gt;0,"✓","⚠ add to Campaigns tab"))</f>
        <v/>
      </c>
      <c r="I5911" s="84" t="str">
        <f aca="false">IF(C5911="","",C5911*IF(Settings!$B$23=Settings!$C$6,1,IF(Settings!$B$23="USD",1/INDEX(Settings!$B$29:$B$40,MONTH(A5911)),INDEX(Settings!$B$29:$B$40,MONTH(A5911)))))</f>
        <v/>
      </c>
    </row>
    <row r="5912" customFormat="false" ht="15" hidden="false" customHeight="false" outlineLevel="0" collapsed="false">
      <c r="H5912" s="0" t="str">
        <f aca="false">IF(B5912="","",IF(COUNTIF(Campaigns!$A$7:$A$300,B5912)&gt;0,"✓","⚠ add to Campaigns tab"))</f>
        <v/>
      </c>
      <c r="I5912" s="84" t="str">
        <f aca="false">IF(C5912="","",C5912*IF(Settings!$B$23=Settings!$C$6,1,IF(Settings!$B$23="USD",1/INDEX(Settings!$B$29:$B$40,MONTH(A5912)),INDEX(Settings!$B$29:$B$40,MONTH(A5912)))))</f>
        <v/>
      </c>
    </row>
    <row r="5913" customFormat="false" ht="15" hidden="false" customHeight="false" outlineLevel="0" collapsed="false">
      <c r="H5913" s="0" t="str">
        <f aca="false">IF(B5913="","",IF(COUNTIF(Campaigns!$A$7:$A$300,B5913)&gt;0,"✓","⚠ add to Campaigns tab"))</f>
        <v/>
      </c>
      <c r="I5913" s="84" t="str">
        <f aca="false">IF(C5913="","",C5913*IF(Settings!$B$23=Settings!$C$6,1,IF(Settings!$B$23="USD",1/INDEX(Settings!$B$29:$B$40,MONTH(A5913)),INDEX(Settings!$B$29:$B$40,MONTH(A5913)))))</f>
        <v/>
      </c>
    </row>
    <row r="5914" customFormat="false" ht="15" hidden="false" customHeight="false" outlineLevel="0" collapsed="false">
      <c r="H5914" s="0" t="str">
        <f aca="false">IF(B5914="","",IF(COUNTIF(Campaigns!$A$7:$A$300,B5914)&gt;0,"✓","⚠ add to Campaigns tab"))</f>
        <v/>
      </c>
      <c r="I5914" s="84" t="str">
        <f aca="false">IF(C5914="","",C5914*IF(Settings!$B$23=Settings!$C$6,1,IF(Settings!$B$23="USD",1/INDEX(Settings!$B$29:$B$40,MONTH(A5914)),INDEX(Settings!$B$29:$B$40,MONTH(A5914)))))</f>
        <v/>
      </c>
    </row>
    <row r="5915" customFormat="false" ht="15" hidden="false" customHeight="false" outlineLevel="0" collapsed="false">
      <c r="H5915" s="0" t="str">
        <f aca="false">IF(B5915="","",IF(COUNTIF(Campaigns!$A$7:$A$300,B5915)&gt;0,"✓","⚠ add to Campaigns tab"))</f>
        <v/>
      </c>
      <c r="I5915" s="84" t="str">
        <f aca="false">IF(C5915="","",C5915*IF(Settings!$B$23=Settings!$C$6,1,IF(Settings!$B$23="USD",1/INDEX(Settings!$B$29:$B$40,MONTH(A5915)),INDEX(Settings!$B$29:$B$40,MONTH(A5915)))))</f>
        <v/>
      </c>
    </row>
    <row r="5916" customFormat="false" ht="15" hidden="false" customHeight="false" outlineLevel="0" collapsed="false">
      <c r="H5916" s="0" t="str">
        <f aca="false">IF(B5916="","",IF(COUNTIF(Campaigns!$A$7:$A$300,B5916)&gt;0,"✓","⚠ add to Campaigns tab"))</f>
        <v/>
      </c>
      <c r="I5916" s="84" t="str">
        <f aca="false">IF(C5916="","",C5916*IF(Settings!$B$23=Settings!$C$6,1,IF(Settings!$B$23="USD",1/INDEX(Settings!$B$29:$B$40,MONTH(A5916)),INDEX(Settings!$B$29:$B$40,MONTH(A5916)))))</f>
        <v/>
      </c>
    </row>
    <row r="5917" customFormat="false" ht="15" hidden="false" customHeight="false" outlineLevel="0" collapsed="false">
      <c r="H5917" s="0" t="str">
        <f aca="false">IF(B5917="","",IF(COUNTIF(Campaigns!$A$7:$A$300,B5917)&gt;0,"✓","⚠ add to Campaigns tab"))</f>
        <v/>
      </c>
      <c r="I5917" s="84" t="str">
        <f aca="false">IF(C5917="","",C5917*IF(Settings!$B$23=Settings!$C$6,1,IF(Settings!$B$23="USD",1/INDEX(Settings!$B$29:$B$40,MONTH(A5917)),INDEX(Settings!$B$29:$B$40,MONTH(A5917)))))</f>
        <v/>
      </c>
    </row>
    <row r="5918" customFormat="false" ht="15" hidden="false" customHeight="false" outlineLevel="0" collapsed="false">
      <c r="H5918" s="0" t="str">
        <f aca="false">IF(B5918="","",IF(COUNTIF(Campaigns!$A$7:$A$300,B5918)&gt;0,"✓","⚠ add to Campaigns tab"))</f>
        <v/>
      </c>
      <c r="I5918" s="84" t="str">
        <f aca="false">IF(C5918="","",C5918*IF(Settings!$B$23=Settings!$C$6,1,IF(Settings!$B$23="USD",1/INDEX(Settings!$B$29:$B$40,MONTH(A5918)),INDEX(Settings!$B$29:$B$40,MONTH(A5918)))))</f>
        <v/>
      </c>
    </row>
    <row r="5919" customFormat="false" ht="15" hidden="false" customHeight="false" outlineLevel="0" collapsed="false">
      <c r="H5919" s="0" t="str">
        <f aca="false">IF(B5919="","",IF(COUNTIF(Campaigns!$A$7:$A$300,B5919)&gt;0,"✓","⚠ add to Campaigns tab"))</f>
        <v/>
      </c>
      <c r="I5919" s="84" t="str">
        <f aca="false">IF(C5919="","",C5919*IF(Settings!$B$23=Settings!$C$6,1,IF(Settings!$B$23="USD",1/INDEX(Settings!$B$29:$B$40,MONTH(A5919)),INDEX(Settings!$B$29:$B$40,MONTH(A5919)))))</f>
        <v/>
      </c>
    </row>
    <row r="5920" customFormat="false" ht="15" hidden="false" customHeight="false" outlineLevel="0" collapsed="false">
      <c r="H5920" s="0" t="str">
        <f aca="false">IF(B5920="","",IF(COUNTIF(Campaigns!$A$7:$A$300,B5920)&gt;0,"✓","⚠ add to Campaigns tab"))</f>
        <v/>
      </c>
      <c r="I5920" s="84" t="str">
        <f aca="false">IF(C5920="","",C5920*IF(Settings!$B$23=Settings!$C$6,1,IF(Settings!$B$23="USD",1/INDEX(Settings!$B$29:$B$40,MONTH(A5920)),INDEX(Settings!$B$29:$B$40,MONTH(A5920)))))</f>
        <v/>
      </c>
    </row>
    <row r="5921" customFormat="false" ht="15" hidden="false" customHeight="false" outlineLevel="0" collapsed="false">
      <c r="H5921" s="0" t="str">
        <f aca="false">IF(B5921="","",IF(COUNTIF(Campaigns!$A$7:$A$300,B5921)&gt;0,"✓","⚠ add to Campaigns tab"))</f>
        <v/>
      </c>
      <c r="I5921" s="84" t="str">
        <f aca="false">IF(C5921="","",C5921*IF(Settings!$B$23=Settings!$C$6,1,IF(Settings!$B$23="USD",1/INDEX(Settings!$B$29:$B$40,MONTH(A5921)),INDEX(Settings!$B$29:$B$40,MONTH(A5921)))))</f>
        <v/>
      </c>
    </row>
    <row r="5922" customFormat="false" ht="15" hidden="false" customHeight="false" outlineLevel="0" collapsed="false">
      <c r="H5922" s="0" t="str">
        <f aca="false">IF(B5922="","",IF(COUNTIF(Campaigns!$A$7:$A$300,B5922)&gt;0,"✓","⚠ add to Campaigns tab"))</f>
        <v/>
      </c>
      <c r="I5922" s="84" t="str">
        <f aca="false">IF(C5922="","",C5922*IF(Settings!$B$23=Settings!$C$6,1,IF(Settings!$B$23="USD",1/INDEX(Settings!$B$29:$B$40,MONTH(A5922)),INDEX(Settings!$B$29:$B$40,MONTH(A5922)))))</f>
        <v/>
      </c>
    </row>
    <row r="5923" customFormat="false" ht="15" hidden="false" customHeight="false" outlineLevel="0" collapsed="false">
      <c r="H5923" s="0" t="str">
        <f aca="false">IF(B5923="","",IF(COUNTIF(Campaigns!$A$7:$A$300,B5923)&gt;0,"✓","⚠ add to Campaigns tab"))</f>
        <v/>
      </c>
      <c r="I5923" s="84" t="str">
        <f aca="false">IF(C5923="","",C5923*IF(Settings!$B$23=Settings!$C$6,1,IF(Settings!$B$23="USD",1/INDEX(Settings!$B$29:$B$40,MONTH(A5923)),INDEX(Settings!$B$29:$B$40,MONTH(A5923)))))</f>
        <v/>
      </c>
    </row>
    <row r="5924" customFormat="false" ht="15" hidden="false" customHeight="false" outlineLevel="0" collapsed="false">
      <c r="H5924" s="0" t="str">
        <f aca="false">IF(B5924="","",IF(COUNTIF(Campaigns!$A$7:$A$300,B5924)&gt;0,"✓","⚠ add to Campaigns tab"))</f>
        <v/>
      </c>
      <c r="I5924" s="84" t="str">
        <f aca="false">IF(C5924="","",C5924*IF(Settings!$B$23=Settings!$C$6,1,IF(Settings!$B$23="USD",1/INDEX(Settings!$B$29:$B$40,MONTH(A5924)),INDEX(Settings!$B$29:$B$40,MONTH(A5924)))))</f>
        <v/>
      </c>
    </row>
    <row r="5925" customFormat="false" ht="15" hidden="false" customHeight="false" outlineLevel="0" collapsed="false">
      <c r="H5925" s="0" t="str">
        <f aca="false">IF(B5925="","",IF(COUNTIF(Campaigns!$A$7:$A$300,B5925)&gt;0,"✓","⚠ add to Campaigns tab"))</f>
        <v/>
      </c>
      <c r="I5925" s="84" t="str">
        <f aca="false">IF(C5925="","",C5925*IF(Settings!$B$23=Settings!$C$6,1,IF(Settings!$B$23="USD",1/INDEX(Settings!$B$29:$B$40,MONTH(A5925)),INDEX(Settings!$B$29:$B$40,MONTH(A5925)))))</f>
        <v/>
      </c>
    </row>
    <row r="5926" customFormat="false" ht="15" hidden="false" customHeight="false" outlineLevel="0" collapsed="false">
      <c r="H5926" s="0" t="str">
        <f aca="false">IF(B5926="","",IF(COUNTIF(Campaigns!$A$7:$A$300,B5926)&gt;0,"✓","⚠ add to Campaigns tab"))</f>
        <v/>
      </c>
      <c r="I5926" s="84" t="str">
        <f aca="false">IF(C5926="","",C5926*IF(Settings!$B$23=Settings!$C$6,1,IF(Settings!$B$23="USD",1/INDEX(Settings!$B$29:$B$40,MONTH(A5926)),INDEX(Settings!$B$29:$B$40,MONTH(A5926)))))</f>
        <v/>
      </c>
    </row>
    <row r="5927" customFormat="false" ht="15" hidden="false" customHeight="false" outlineLevel="0" collapsed="false">
      <c r="H5927" s="0" t="str">
        <f aca="false">IF(B5927="","",IF(COUNTIF(Campaigns!$A$7:$A$300,B5927)&gt;0,"✓","⚠ add to Campaigns tab"))</f>
        <v/>
      </c>
      <c r="I5927" s="84" t="str">
        <f aca="false">IF(C5927="","",C5927*IF(Settings!$B$23=Settings!$C$6,1,IF(Settings!$B$23="USD",1/INDEX(Settings!$B$29:$B$40,MONTH(A5927)),INDEX(Settings!$B$29:$B$40,MONTH(A5927)))))</f>
        <v/>
      </c>
    </row>
    <row r="5928" customFormat="false" ht="15" hidden="false" customHeight="false" outlineLevel="0" collapsed="false">
      <c r="H5928" s="0" t="str">
        <f aca="false">IF(B5928="","",IF(COUNTIF(Campaigns!$A$7:$A$300,B5928)&gt;0,"✓","⚠ add to Campaigns tab"))</f>
        <v/>
      </c>
      <c r="I5928" s="84" t="str">
        <f aca="false">IF(C5928="","",C5928*IF(Settings!$B$23=Settings!$C$6,1,IF(Settings!$B$23="USD",1/INDEX(Settings!$B$29:$B$40,MONTH(A5928)),INDEX(Settings!$B$29:$B$40,MONTH(A5928)))))</f>
        <v/>
      </c>
    </row>
    <row r="5929" customFormat="false" ht="15" hidden="false" customHeight="false" outlineLevel="0" collapsed="false">
      <c r="H5929" s="0" t="str">
        <f aca="false">IF(B5929="","",IF(COUNTIF(Campaigns!$A$7:$A$300,B5929)&gt;0,"✓","⚠ add to Campaigns tab"))</f>
        <v/>
      </c>
      <c r="I5929" s="84" t="str">
        <f aca="false">IF(C5929="","",C5929*IF(Settings!$B$23=Settings!$C$6,1,IF(Settings!$B$23="USD",1/INDEX(Settings!$B$29:$B$40,MONTH(A5929)),INDEX(Settings!$B$29:$B$40,MONTH(A5929)))))</f>
        <v/>
      </c>
    </row>
    <row r="5930" customFormat="false" ht="15" hidden="false" customHeight="false" outlineLevel="0" collapsed="false">
      <c r="H5930" s="0" t="str">
        <f aca="false">IF(B5930="","",IF(COUNTIF(Campaigns!$A$7:$A$300,B5930)&gt;0,"✓","⚠ add to Campaigns tab"))</f>
        <v/>
      </c>
      <c r="I5930" s="84" t="str">
        <f aca="false">IF(C5930="","",C5930*IF(Settings!$B$23=Settings!$C$6,1,IF(Settings!$B$23="USD",1/INDEX(Settings!$B$29:$B$40,MONTH(A5930)),INDEX(Settings!$B$29:$B$40,MONTH(A5930)))))</f>
        <v/>
      </c>
    </row>
    <row r="5931" customFormat="false" ht="15" hidden="false" customHeight="false" outlineLevel="0" collapsed="false">
      <c r="H5931" s="0" t="str">
        <f aca="false">IF(B5931="","",IF(COUNTIF(Campaigns!$A$7:$A$300,B5931)&gt;0,"✓","⚠ add to Campaigns tab"))</f>
        <v/>
      </c>
      <c r="I5931" s="84" t="str">
        <f aca="false">IF(C5931="","",C5931*IF(Settings!$B$23=Settings!$C$6,1,IF(Settings!$B$23="USD",1/INDEX(Settings!$B$29:$B$40,MONTH(A5931)),INDEX(Settings!$B$29:$B$40,MONTH(A5931)))))</f>
        <v/>
      </c>
    </row>
    <row r="5932" customFormat="false" ht="15" hidden="false" customHeight="false" outlineLevel="0" collapsed="false">
      <c r="H5932" s="0" t="str">
        <f aca="false">IF(B5932="","",IF(COUNTIF(Campaigns!$A$7:$A$300,B5932)&gt;0,"✓","⚠ add to Campaigns tab"))</f>
        <v/>
      </c>
      <c r="I5932" s="84" t="str">
        <f aca="false">IF(C5932="","",C5932*IF(Settings!$B$23=Settings!$C$6,1,IF(Settings!$B$23="USD",1/INDEX(Settings!$B$29:$B$40,MONTH(A5932)),INDEX(Settings!$B$29:$B$40,MONTH(A5932)))))</f>
        <v/>
      </c>
    </row>
    <row r="5933" customFormat="false" ht="15" hidden="false" customHeight="false" outlineLevel="0" collapsed="false">
      <c r="H5933" s="0" t="str">
        <f aca="false">IF(B5933="","",IF(COUNTIF(Campaigns!$A$7:$A$300,B5933)&gt;0,"✓","⚠ add to Campaigns tab"))</f>
        <v/>
      </c>
      <c r="I5933" s="84" t="str">
        <f aca="false">IF(C5933="","",C5933*IF(Settings!$B$23=Settings!$C$6,1,IF(Settings!$B$23="USD",1/INDEX(Settings!$B$29:$B$40,MONTH(A5933)),INDEX(Settings!$B$29:$B$40,MONTH(A5933)))))</f>
        <v/>
      </c>
    </row>
    <row r="5934" customFormat="false" ht="15" hidden="false" customHeight="false" outlineLevel="0" collapsed="false">
      <c r="H5934" s="0" t="str">
        <f aca="false">IF(B5934="","",IF(COUNTIF(Campaigns!$A$7:$A$300,B5934)&gt;0,"✓","⚠ add to Campaigns tab"))</f>
        <v/>
      </c>
      <c r="I5934" s="84" t="str">
        <f aca="false">IF(C5934="","",C5934*IF(Settings!$B$23=Settings!$C$6,1,IF(Settings!$B$23="USD",1/INDEX(Settings!$B$29:$B$40,MONTH(A5934)),INDEX(Settings!$B$29:$B$40,MONTH(A5934)))))</f>
        <v/>
      </c>
    </row>
    <row r="5935" customFormat="false" ht="15" hidden="false" customHeight="false" outlineLevel="0" collapsed="false">
      <c r="H5935" s="0" t="str">
        <f aca="false">IF(B5935="","",IF(COUNTIF(Campaigns!$A$7:$A$300,B5935)&gt;0,"✓","⚠ add to Campaigns tab"))</f>
        <v/>
      </c>
      <c r="I5935" s="84" t="str">
        <f aca="false">IF(C5935="","",C5935*IF(Settings!$B$23=Settings!$C$6,1,IF(Settings!$B$23="USD",1/INDEX(Settings!$B$29:$B$40,MONTH(A5935)),INDEX(Settings!$B$29:$B$40,MONTH(A5935)))))</f>
        <v/>
      </c>
    </row>
    <row r="5936" customFormat="false" ht="15" hidden="false" customHeight="false" outlineLevel="0" collapsed="false">
      <c r="H5936" s="0" t="str">
        <f aca="false">IF(B5936="","",IF(COUNTIF(Campaigns!$A$7:$A$300,B5936)&gt;0,"✓","⚠ add to Campaigns tab"))</f>
        <v/>
      </c>
      <c r="I5936" s="84" t="str">
        <f aca="false">IF(C5936="","",C5936*IF(Settings!$B$23=Settings!$C$6,1,IF(Settings!$B$23="USD",1/INDEX(Settings!$B$29:$B$40,MONTH(A5936)),INDEX(Settings!$B$29:$B$40,MONTH(A5936)))))</f>
        <v/>
      </c>
    </row>
    <row r="5937" customFormat="false" ht="15" hidden="false" customHeight="false" outlineLevel="0" collapsed="false">
      <c r="H5937" s="0" t="str">
        <f aca="false">IF(B5937="","",IF(COUNTIF(Campaigns!$A$7:$A$300,B5937)&gt;0,"✓","⚠ add to Campaigns tab"))</f>
        <v/>
      </c>
      <c r="I5937" s="84" t="str">
        <f aca="false">IF(C5937="","",C5937*IF(Settings!$B$23=Settings!$C$6,1,IF(Settings!$B$23="USD",1/INDEX(Settings!$B$29:$B$40,MONTH(A5937)),INDEX(Settings!$B$29:$B$40,MONTH(A5937)))))</f>
        <v/>
      </c>
    </row>
    <row r="5938" customFormat="false" ht="15" hidden="false" customHeight="false" outlineLevel="0" collapsed="false">
      <c r="H5938" s="0" t="str">
        <f aca="false">IF(B5938="","",IF(COUNTIF(Campaigns!$A$7:$A$300,B5938)&gt;0,"✓","⚠ add to Campaigns tab"))</f>
        <v/>
      </c>
      <c r="I5938" s="84" t="str">
        <f aca="false">IF(C5938="","",C5938*IF(Settings!$B$23=Settings!$C$6,1,IF(Settings!$B$23="USD",1/INDEX(Settings!$B$29:$B$40,MONTH(A5938)),INDEX(Settings!$B$29:$B$40,MONTH(A5938)))))</f>
        <v/>
      </c>
    </row>
    <row r="5939" customFormat="false" ht="15" hidden="false" customHeight="false" outlineLevel="0" collapsed="false">
      <c r="H5939" s="0" t="str">
        <f aca="false">IF(B5939="","",IF(COUNTIF(Campaigns!$A$7:$A$300,B5939)&gt;0,"✓","⚠ add to Campaigns tab"))</f>
        <v/>
      </c>
      <c r="I5939" s="84" t="str">
        <f aca="false">IF(C5939="","",C5939*IF(Settings!$B$23=Settings!$C$6,1,IF(Settings!$B$23="USD",1/INDEX(Settings!$B$29:$B$40,MONTH(A5939)),INDEX(Settings!$B$29:$B$40,MONTH(A5939)))))</f>
        <v/>
      </c>
    </row>
    <row r="5940" customFormat="false" ht="15" hidden="false" customHeight="false" outlineLevel="0" collapsed="false">
      <c r="H5940" s="0" t="str">
        <f aca="false">IF(B5940="","",IF(COUNTIF(Campaigns!$A$7:$A$300,B5940)&gt;0,"✓","⚠ add to Campaigns tab"))</f>
        <v/>
      </c>
      <c r="I5940" s="84" t="str">
        <f aca="false">IF(C5940="","",C5940*IF(Settings!$B$23=Settings!$C$6,1,IF(Settings!$B$23="USD",1/INDEX(Settings!$B$29:$B$40,MONTH(A5940)),INDEX(Settings!$B$29:$B$40,MONTH(A5940)))))</f>
        <v/>
      </c>
    </row>
    <row r="5941" customFormat="false" ht="15" hidden="false" customHeight="false" outlineLevel="0" collapsed="false">
      <c r="H5941" s="0" t="str">
        <f aca="false">IF(B5941="","",IF(COUNTIF(Campaigns!$A$7:$A$300,B5941)&gt;0,"✓","⚠ add to Campaigns tab"))</f>
        <v/>
      </c>
      <c r="I5941" s="84" t="str">
        <f aca="false">IF(C5941="","",C5941*IF(Settings!$B$23=Settings!$C$6,1,IF(Settings!$B$23="USD",1/INDEX(Settings!$B$29:$B$40,MONTH(A5941)),INDEX(Settings!$B$29:$B$40,MONTH(A5941)))))</f>
        <v/>
      </c>
    </row>
    <row r="5942" customFormat="false" ht="15" hidden="false" customHeight="false" outlineLevel="0" collapsed="false">
      <c r="H5942" s="0" t="str">
        <f aca="false">IF(B5942="","",IF(COUNTIF(Campaigns!$A$7:$A$300,B5942)&gt;0,"✓","⚠ add to Campaigns tab"))</f>
        <v/>
      </c>
      <c r="I5942" s="84" t="str">
        <f aca="false">IF(C5942="","",C5942*IF(Settings!$B$23=Settings!$C$6,1,IF(Settings!$B$23="USD",1/INDEX(Settings!$B$29:$B$40,MONTH(A5942)),INDEX(Settings!$B$29:$B$40,MONTH(A5942)))))</f>
        <v/>
      </c>
    </row>
    <row r="5943" customFormat="false" ht="15" hidden="false" customHeight="false" outlineLevel="0" collapsed="false">
      <c r="H5943" s="0" t="str">
        <f aca="false">IF(B5943="","",IF(COUNTIF(Campaigns!$A$7:$A$300,B5943)&gt;0,"✓","⚠ add to Campaigns tab"))</f>
        <v/>
      </c>
      <c r="I5943" s="84" t="str">
        <f aca="false">IF(C5943="","",C5943*IF(Settings!$B$23=Settings!$C$6,1,IF(Settings!$B$23="USD",1/INDEX(Settings!$B$29:$B$40,MONTH(A5943)),INDEX(Settings!$B$29:$B$40,MONTH(A5943)))))</f>
        <v/>
      </c>
    </row>
    <row r="5944" customFormat="false" ht="15" hidden="false" customHeight="false" outlineLevel="0" collapsed="false">
      <c r="H5944" s="0" t="str">
        <f aca="false">IF(B5944="","",IF(COUNTIF(Campaigns!$A$7:$A$300,B5944)&gt;0,"✓","⚠ add to Campaigns tab"))</f>
        <v/>
      </c>
      <c r="I5944" s="84" t="str">
        <f aca="false">IF(C5944="","",C5944*IF(Settings!$B$23=Settings!$C$6,1,IF(Settings!$B$23="USD",1/INDEX(Settings!$B$29:$B$40,MONTH(A5944)),INDEX(Settings!$B$29:$B$40,MONTH(A5944)))))</f>
        <v/>
      </c>
    </row>
    <row r="5945" customFormat="false" ht="15" hidden="false" customHeight="false" outlineLevel="0" collapsed="false">
      <c r="H5945" s="0" t="str">
        <f aca="false">IF(B5945="","",IF(COUNTIF(Campaigns!$A$7:$A$300,B5945)&gt;0,"✓","⚠ add to Campaigns tab"))</f>
        <v/>
      </c>
      <c r="I5945" s="84" t="str">
        <f aca="false">IF(C5945="","",C5945*IF(Settings!$B$23=Settings!$C$6,1,IF(Settings!$B$23="USD",1/INDEX(Settings!$B$29:$B$40,MONTH(A5945)),INDEX(Settings!$B$29:$B$40,MONTH(A5945)))))</f>
        <v/>
      </c>
    </row>
    <row r="5946" customFormat="false" ht="15" hidden="false" customHeight="false" outlineLevel="0" collapsed="false">
      <c r="H5946" s="0" t="str">
        <f aca="false">IF(B5946="","",IF(COUNTIF(Campaigns!$A$7:$A$300,B5946)&gt;0,"✓","⚠ add to Campaigns tab"))</f>
        <v/>
      </c>
      <c r="I5946" s="84" t="str">
        <f aca="false">IF(C5946="","",C5946*IF(Settings!$B$23=Settings!$C$6,1,IF(Settings!$B$23="USD",1/INDEX(Settings!$B$29:$B$40,MONTH(A5946)),INDEX(Settings!$B$29:$B$40,MONTH(A5946)))))</f>
        <v/>
      </c>
    </row>
    <row r="5947" customFormat="false" ht="15" hidden="false" customHeight="false" outlineLevel="0" collapsed="false">
      <c r="H5947" s="0" t="str">
        <f aca="false">IF(B5947="","",IF(COUNTIF(Campaigns!$A$7:$A$300,B5947)&gt;0,"✓","⚠ add to Campaigns tab"))</f>
        <v/>
      </c>
      <c r="I5947" s="84" t="str">
        <f aca="false">IF(C5947="","",C5947*IF(Settings!$B$23=Settings!$C$6,1,IF(Settings!$B$23="USD",1/INDEX(Settings!$B$29:$B$40,MONTH(A5947)),INDEX(Settings!$B$29:$B$40,MONTH(A5947)))))</f>
        <v/>
      </c>
    </row>
    <row r="5948" customFormat="false" ht="15" hidden="false" customHeight="false" outlineLevel="0" collapsed="false">
      <c r="H5948" s="0" t="str">
        <f aca="false">IF(B5948="","",IF(COUNTIF(Campaigns!$A$7:$A$300,B5948)&gt;0,"✓","⚠ add to Campaigns tab"))</f>
        <v/>
      </c>
      <c r="I5948" s="84" t="str">
        <f aca="false">IF(C5948="","",C5948*IF(Settings!$B$23=Settings!$C$6,1,IF(Settings!$B$23="USD",1/INDEX(Settings!$B$29:$B$40,MONTH(A5948)),INDEX(Settings!$B$29:$B$40,MONTH(A5948)))))</f>
        <v/>
      </c>
    </row>
    <row r="5949" customFormat="false" ht="15" hidden="false" customHeight="false" outlineLevel="0" collapsed="false">
      <c r="H5949" s="0" t="str">
        <f aca="false">IF(B5949="","",IF(COUNTIF(Campaigns!$A$7:$A$300,B5949)&gt;0,"✓","⚠ add to Campaigns tab"))</f>
        <v/>
      </c>
      <c r="I5949" s="84" t="str">
        <f aca="false">IF(C5949="","",C5949*IF(Settings!$B$23=Settings!$C$6,1,IF(Settings!$B$23="USD",1/INDEX(Settings!$B$29:$B$40,MONTH(A5949)),INDEX(Settings!$B$29:$B$40,MONTH(A5949)))))</f>
        <v/>
      </c>
    </row>
    <row r="5950" customFormat="false" ht="15" hidden="false" customHeight="false" outlineLevel="0" collapsed="false">
      <c r="H5950" s="0" t="str">
        <f aca="false">IF(B5950="","",IF(COUNTIF(Campaigns!$A$7:$A$300,B5950)&gt;0,"✓","⚠ add to Campaigns tab"))</f>
        <v/>
      </c>
      <c r="I5950" s="84" t="str">
        <f aca="false">IF(C5950="","",C5950*IF(Settings!$B$23=Settings!$C$6,1,IF(Settings!$B$23="USD",1/INDEX(Settings!$B$29:$B$40,MONTH(A5950)),INDEX(Settings!$B$29:$B$40,MONTH(A5950)))))</f>
        <v/>
      </c>
    </row>
    <row r="5951" customFormat="false" ht="15" hidden="false" customHeight="false" outlineLevel="0" collapsed="false">
      <c r="H5951" s="0" t="str">
        <f aca="false">IF(B5951="","",IF(COUNTIF(Campaigns!$A$7:$A$300,B5951)&gt;0,"✓","⚠ add to Campaigns tab"))</f>
        <v/>
      </c>
      <c r="I5951" s="84" t="str">
        <f aca="false">IF(C5951="","",C5951*IF(Settings!$B$23=Settings!$C$6,1,IF(Settings!$B$23="USD",1/INDEX(Settings!$B$29:$B$40,MONTH(A5951)),INDEX(Settings!$B$29:$B$40,MONTH(A5951)))))</f>
        <v/>
      </c>
    </row>
    <row r="5952" customFormat="false" ht="15" hidden="false" customHeight="false" outlineLevel="0" collapsed="false">
      <c r="H5952" s="0" t="str">
        <f aca="false">IF(B5952="","",IF(COUNTIF(Campaigns!$A$7:$A$300,B5952)&gt;0,"✓","⚠ add to Campaigns tab"))</f>
        <v/>
      </c>
      <c r="I5952" s="84" t="str">
        <f aca="false">IF(C5952="","",C5952*IF(Settings!$B$23=Settings!$C$6,1,IF(Settings!$B$23="USD",1/INDEX(Settings!$B$29:$B$40,MONTH(A5952)),INDEX(Settings!$B$29:$B$40,MONTH(A5952)))))</f>
        <v/>
      </c>
    </row>
    <row r="5953" customFormat="false" ht="15" hidden="false" customHeight="false" outlineLevel="0" collapsed="false">
      <c r="H5953" s="0" t="str">
        <f aca="false">IF(B5953="","",IF(COUNTIF(Campaigns!$A$7:$A$300,B5953)&gt;0,"✓","⚠ add to Campaigns tab"))</f>
        <v/>
      </c>
      <c r="I5953" s="84" t="str">
        <f aca="false">IF(C5953="","",C5953*IF(Settings!$B$23=Settings!$C$6,1,IF(Settings!$B$23="USD",1/INDEX(Settings!$B$29:$B$40,MONTH(A5953)),INDEX(Settings!$B$29:$B$40,MONTH(A5953)))))</f>
        <v/>
      </c>
    </row>
    <row r="5954" customFormat="false" ht="15" hidden="false" customHeight="false" outlineLevel="0" collapsed="false">
      <c r="H5954" s="0" t="str">
        <f aca="false">IF(B5954="","",IF(COUNTIF(Campaigns!$A$7:$A$300,B5954)&gt;0,"✓","⚠ add to Campaigns tab"))</f>
        <v/>
      </c>
      <c r="I5954" s="84" t="str">
        <f aca="false">IF(C5954="","",C5954*IF(Settings!$B$23=Settings!$C$6,1,IF(Settings!$B$23="USD",1/INDEX(Settings!$B$29:$B$40,MONTH(A5954)),INDEX(Settings!$B$29:$B$40,MONTH(A5954)))))</f>
        <v/>
      </c>
    </row>
    <row r="5955" customFormat="false" ht="15" hidden="false" customHeight="false" outlineLevel="0" collapsed="false">
      <c r="H5955" s="0" t="str">
        <f aca="false">IF(B5955="","",IF(COUNTIF(Campaigns!$A$7:$A$300,B5955)&gt;0,"✓","⚠ add to Campaigns tab"))</f>
        <v/>
      </c>
      <c r="I5955" s="84" t="str">
        <f aca="false">IF(C5955="","",C5955*IF(Settings!$B$23=Settings!$C$6,1,IF(Settings!$B$23="USD",1/INDEX(Settings!$B$29:$B$40,MONTH(A5955)),INDEX(Settings!$B$29:$B$40,MONTH(A5955)))))</f>
        <v/>
      </c>
    </row>
    <row r="5956" customFormat="false" ht="15" hidden="false" customHeight="false" outlineLevel="0" collapsed="false">
      <c r="H5956" s="0" t="str">
        <f aca="false">IF(B5956="","",IF(COUNTIF(Campaigns!$A$7:$A$300,B5956)&gt;0,"✓","⚠ add to Campaigns tab"))</f>
        <v/>
      </c>
      <c r="I5956" s="84" t="str">
        <f aca="false">IF(C5956="","",C5956*IF(Settings!$B$23=Settings!$C$6,1,IF(Settings!$B$23="USD",1/INDEX(Settings!$B$29:$B$40,MONTH(A5956)),INDEX(Settings!$B$29:$B$40,MONTH(A5956)))))</f>
        <v/>
      </c>
    </row>
    <row r="5957" customFormat="false" ht="15" hidden="false" customHeight="false" outlineLevel="0" collapsed="false">
      <c r="H5957" s="0" t="str">
        <f aca="false">IF(B5957="","",IF(COUNTIF(Campaigns!$A$7:$A$300,B5957)&gt;0,"✓","⚠ add to Campaigns tab"))</f>
        <v/>
      </c>
      <c r="I5957" s="84" t="str">
        <f aca="false">IF(C5957="","",C5957*IF(Settings!$B$23=Settings!$C$6,1,IF(Settings!$B$23="USD",1/INDEX(Settings!$B$29:$B$40,MONTH(A5957)),INDEX(Settings!$B$29:$B$40,MONTH(A5957)))))</f>
        <v/>
      </c>
    </row>
    <row r="5958" customFormat="false" ht="15" hidden="false" customHeight="false" outlineLevel="0" collapsed="false">
      <c r="H5958" s="0" t="str">
        <f aca="false">IF(B5958="","",IF(COUNTIF(Campaigns!$A$7:$A$300,B5958)&gt;0,"✓","⚠ add to Campaigns tab"))</f>
        <v/>
      </c>
      <c r="I5958" s="84" t="str">
        <f aca="false">IF(C5958="","",C5958*IF(Settings!$B$23=Settings!$C$6,1,IF(Settings!$B$23="USD",1/INDEX(Settings!$B$29:$B$40,MONTH(A5958)),INDEX(Settings!$B$29:$B$40,MONTH(A5958)))))</f>
        <v/>
      </c>
    </row>
    <row r="5959" customFormat="false" ht="15" hidden="false" customHeight="false" outlineLevel="0" collapsed="false">
      <c r="H5959" s="0" t="str">
        <f aca="false">IF(B5959="","",IF(COUNTIF(Campaigns!$A$7:$A$300,B5959)&gt;0,"✓","⚠ add to Campaigns tab"))</f>
        <v/>
      </c>
      <c r="I5959" s="84" t="str">
        <f aca="false">IF(C5959="","",C5959*IF(Settings!$B$23=Settings!$C$6,1,IF(Settings!$B$23="USD",1/INDEX(Settings!$B$29:$B$40,MONTH(A5959)),INDEX(Settings!$B$29:$B$40,MONTH(A5959)))))</f>
        <v/>
      </c>
    </row>
    <row r="5960" customFormat="false" ht="15" hidden="false" customHeight="false" outlineLevel="0" collapsed="false">
      <c r="H5960" s="0" t="str">
        <f aca="false">IF(B5960="","",IF(COUNTIF(Campaigns!$A$7:$A$300,B5960)&gt;0,"✓","⚠ add to Campaigns tab"))</f>
        <v/>
      </c>
      <c r="I5960" s="84" t="str">
        <f aca="false">IF(C5960="","",C5960*IF(Settings!$B$23=Settings!$C$6,1,IF(Settings!$B$23="USD",1/INDEX(Settings!$B$29:$B$40,MONTH(A5960)),INDEX(Settings!$B$29:$B$40,MONTH(A5960)))))</f>
        <v/>
      </c>
    </row>
    <row r="5961" customFormat="false" ht="15" hidden="false" customHeight="false" outlineLevel="0" collapsed="false">
      <c r="H5961" s="0" t="str">
        <f aca="false">IF(B5961="","",IF(COUNTIF(Campaigns!$A$7:$A$300,B5961)&gt;0,"✓","⚠ add to Campaigns tab"))</f>
        <v/>
      </c>
      <c r="I5961" s="84" t="str">
        <f aca="false">IF(C5961="","",C5961*IF(Settings!$B$23=Settings!$C$6,1,IF(Settings!$B$23="USD",1/INDEX(Settings!$B$29:$B$40,MONTH(A5961)),INDEX(Settings!$B$29:$B$40,MONTH(A5961)))))</f>
        <v/>
      </c>
    </row>
    <row r="5962" customFormat="false" ht="15" hidden="false" customHeight="false" outlineLevel="0" collapsed="false">
      <c r="H5962" s="0" t="str">
        <f aca="false">IF(B5962="","",IF(COUNTIF(Campaigns!$A$7:$A$300,B5962)&gt;0,"✓","⚠ add to Campaigns tab"))</f>
        <v/>
      </c>
      <c r="I5962" s="84" t="str">
        <f aca="false">IF(C5962="","",C5962*IF(Settings!$B$23=Settings!$C$6,1,IF(Settings!$B$23="USD",1/INDEX(Settings!$B$29:$B$40,MONTH(A5962)),INDEX(Settings!$B$29:$B$40,MONTH(A5962)))))</f>
        <v/>
      </c>
    </row>
    <row r="5963" customFormat="false" ht="15" hidden="false" customHeight="false" outlineLevel="0" collapsed="false">
      <c r="H5963" s="0" t="str">
        <f aca="false">IF(B5963="","",IF(COUNTIF(Campaigns!$A$7:$A$300,B5963)&gt;0,"✓","⚠ add to Campaigns tab"))</f>
        <v/>
      </c>
      <c r="I5963" s="84" t="str">
        <f aca="false">IF(C5963="","",C5963*IF(Settings!$B$23=Settings!$C$6,1,IF(Settings!$B$23="USD",1/INDEX(Settings!$B$29:$B$40,MONTH(A5963)),INDEX(Settings!$B$29:$B$40,MONTH(A5963)))))</f>
        <v/>
      </c>
    </row>
    <row r="5964" customFormat="false" ht="15" hidden="false" customHeight="false" outlineLevel="0" collapsed="false">
      <c r="H5964" s="0" t="str">
        <f aca="false">IF(B5964="","",IF(COUNTIF(Campaigns!$A$7:$A$300,B5964)&gt;0,"✓","⚠ add to Campaigns tab"))</f>
        <v/>
      </c>
      <c r="I5964" s="84" t="str">
        <f aca="false">IF(C5964="","",C5964*IF(Settings!$B$23=Settings!$C$6,1,IF(Settings!$B$23="USD",1/INDEX(Settings!$B$29:$B$40,MONTH(A5964)),INDEX(Settings!$B$29:$B$40,MONTH(A5964)))))</f>
        <v/>
      </c>
    </row>
    <row r="5965" customFormat="false" ht="15" hidden="false" customHeight="false" outlineLevel="0" collapsed="false">
      <c r="H5965" s="0" t="str">
        <f aca="false">IF(B5965="","",IF(COUNTIF(Campaigns!$A$7:$A$300,B5965)&gt;0,"✓","⚠ add to Campaigns tab"))</f>
        <v/>
      </c>
      <c r="I5965" s="84" t="str">
        <f aca="false">IF(C5965="","",C5965*IF(Settings!$B$23=Settings!$C$6,1,IF(Settings!$B$23="USD",1/INDEX(Settings!$B$29:$B$40,MONTH(A5965)),INDEX(Settings!$B$29:$B$40,MONTH(A5965)))))</f>
        <v/>
      </c>
    </row>
    <row r="5966" customFormat="false" ht="15" hidden="false" customHeight="false" outlineLevel="0" collapsed="false">
      <c r="H5966" s="0" t="str">
        <f aca="false">IF(B5966="","",IF(COUNTIF(Campaigns!$A$7:$A$300,B5966)&gt;0,"✓","⚠ add to Campaigns tab"))</f>
        <v/>
      </c>
      <c r="I5966" s="84" t="str">
        <f aca="false">IF(C5966="","",C5966*IF(Settings!$B$23=Settings!$C$6,1,IF(Settings!$B$23="USD",1/INDEX(Settings!$B$29:$B$40,MONTH(A5966)),INDEX(Settings!$B$29:$B$40,MONTH(A5966)))))</f>
        <v/>
      </c>
    </row>
    <row r="5967" customFormat="false" ht="15" hidden="false" customHeight="false" outlineLevel="0" collapsed="false">
      <c r="H5967" s="0" t="str">
        <f aca="false">IF(B5967="","",IF(COUNTIF(Campaigns!$A$7:$A$300,B5967)&gt;0,"✓","⚠ add to Campaigns tab"))</f>
        <v/>
      </c>
      <c r="I5967" s="84" t="str">
        <f aca="false">IF(C5967="","",C5967*IF(Settings!$B$23=Settings!$C$6,1,IF(Settings!$B$23="USD",1/INDEX(Settings!$B$29:$B$40,MONTH(A5967)),INDEX(Settings!$B$29:$B$40,MONTH(A5967)))))</f>
        <v/>
      </c>
    </row>
    <row r="5968" customFormat="false" ht="15" hidden="false" customHeight="false" outlineLevel="0" collapsed="false">
      <c r="H5968" s="0" t="str">
        <f aca="false">IF(B5968="","",IF(COUNTIF(Campaigns!$A$7:$A$300,B5968)&gt;0,"✓","⚠ add to Campaigns tab"))</f>
        <v/>
      </c>
      <c r="I5968" s="84" t="str">
        <f aca="false">IF(C5968="","",C5968*IF(Settings!$B$23=Settings!$C$6,1,IF(Settings!$B$23="USD",1/INDEX(Settings!$B$29:$B$40,MONTH(A5968)),INDEX(Settings!$B$29:$B$40,MONTH(A5968)))))</f>
        <v/>
      </c>
    </row>
    <row r="5969" customFormat="false" ht="15" hidden="false" customHeight="false" outlineLevel="0" collapsed="false">
      <c r="H5969" s="0" t="str">
        <f aca="false">IF(B5969="","",IF(COUNTIF(Campaigns!$A$7:$A$300,B5969)&gt;0,"✓","⚠ add to Campaigns tab"))</f>
        <v/>
      </c>
      <c r="I5969" s="84" t="str">
        <f aca="false">IF(C5969="","",C5969*IF(Settings!$B$23=Settings!$C$6,1,IF(Settings!$B$23="USD",1/INDEX(Settings!$B$29:$B$40,MONTH(A5969)),INDEX(Settings!$B$29:$B$40,MONTH(A5969)))))</f>
        <v/>
      </c>
    </row>
    <row r="5970" customFormat="false" ht="15" hidden="false" customHeight="false" outlineLevel="0" collapsed="false">
      <c r="H5970" s="0" t="str">
        <f aca="false">IF(B5970="","",IF(COUNTIF(Campaigns!$A$7:$A$300,B5970)&gt;0,"✓","⚠ add to Campaigns tab"))</f>
        <v/>
      </c>
      <c r="I5970" s="84" t="str">
        <f aca="false">IF(C5970="","",C5970*IF(Settings!$B$23=Settings!$C$6,1,IF(Settings!$B$23="USD",1/INDEX(Settings!$B$29:$B$40,MONTH(A5970)),INDEX(Settings!$B$29:$B$40,MONTH(A5970)))))</f>
        <v/>
      </c>
    </row>
    <row r="5971" customFormat="false" ht="15" hidden="false" customHeight="false" outlineLevel="0" collapsed="false">
      <c r="H5971" s="0" t="str">
        <f aca="false">IF(B5971="","",IF(COUNTIF(Campaigns!$A$7:$A$300,B5971)&gt;0,"✓","⚠ add to Campaigns tab"))</f>
        <v/>
      </c>
      <c r="I5971" s="84" t="str">
        <f aca="false">IF(C5971="","",C5971*IF(Settings!$B$23=Settings!$C$6,1,IF(Settings!$B$23="USD",1/INDEX(Settings!$B$29:$B$40,MONTH(A5971)),INDEX(Settings!$B$29:$B$40,MONTH(A5971)))))</f>
        <v/>
      </c>
    </row>
    <row r="5972" customFormat="false" ht="15" hidden="false" customHeight="false" outlineLevel="0" collapsed="false">
      <c r="H5972" s="0" t="str">
        <f aca="false">IF(B5972="","",IF(COUNTIF(Campaigns!$A$7:$A$300,B5972)&gt;0,"✓","⚠ add to Campaigns tab"))</f>
        <v/>
      </c>
      <c r="I5972" s="84" t="str">
        <f aca="false">IF(C5972="","",C5972*IF(Settings!$B$23=Settings!$C$6,1,IF(Settings!$B$23="USD",1/INDEX(Settings!$B$29:$B$40,MONTH(A5972)),INDEX(Settings!$B$29:$B$40,MONTH(A5972)))))</f>
        <v/>
      </c>
    </row>
    <row r="5973" customFormat="false" ht="15" hidden="false" customHeight="false" outlineLevel="0" collapsed="false">
      <c r="H5973" s="0" t="str">
        <f aca="false">IF(B5973="","",IF(COUNTIF(Campaigns!$A$7:$A$300,B5973)&gt;0,"✓","⚠ add to Campaigns tab"))</f>
        <v/>
      </c>
      <c r="I5973" s="84" t="str">
        <f aca="false">IF(C5973="","",C5973*IF(Settings!$B$23=Settings!$C$6,1,IF(Settings!$B$23="USD",1/INDEX(Settings!$B$29:$B$40,MONTH(A5973)),INDEX(Settings!$B$29:$B$40,MONTH(A5973)))))</f>
        <v/>
      </c>
    </row>
    <row r="5974" customFormat="false" ht="15" hidden="false" customHeight="false" outlineLevel="0" collapsed="false">
      <c r="H5974" s="0" t="str">
        <f aca="false">IF(B5974="","",IF(COUNTIF(Campaigns!$A$7:$A$300,B5974)&gt;0,"✓","⚠ add to Campaigns tab"))</f>
        <v/>
      </c>
      <c r="I5974" s="84" t="str">
        <f aca="false">IF(C5974="","",C5974*IF(Settings!$B$23=Settings!$C$6,1,IF(Settings!$B$23="USD",1/INDEX(Settings!$B$29:$B$40,MONTH(A5974)),INDEX(Settings!$B$29:$B$40,MONTH(A5974)))))</f>
        <v/>
      </c>
    </row>
    <row r="5975" customFormat="false" ht="15" hidden="false" customHeight="false" outlineLevel="0" collapsed="false">
      <c r="H5975" s="0" t="str">
        <f aca="false">IF(B5975="","",IF(COUNTIF(Campaigns!$A$7:$A$300,B5975)&gt;0,"✓","⚠ add to Campaigns tab"))</f>
        <v/>
      </c>
      <c r="I5975" s="84" t="str">
        <f aca="false">IF(C5975="","",C5975*IF(Settings!$B$23=Settings!$C$6,1,IF(Settings!$B$23="USD",1/INDEX(Settings!$B$29:$B$40,MONTH(A5975)),INDEX(Settings!$B$29:$B$40,MONTH(A5975)))))</f>
        <v/>
      </c>
    </row>
    <row r="5976" customFormat="false" ht="15" hidden="false" customHeight="false" outlineLevel="0" collapsed="false">
      <c r="H5976" s="0" t="str">
        <f aca="false">IF(B5976="","",IF(COUNTIF(Campaigns!$A$7:$A$300,B5976)&gt;0,"✓","⚠ add to Campaigns tab"))</f>
        <v/>
      </c>
      <c r="I5976" s="84" t="str">
        <f aca="false">IF(C5976="","",C5976*IF(Settings!$B$23=Settings!$C$6,1,IF(Settings!$B$23="USD",1/INDEX(Settings!$B$29:$B$40,MONTH(A5976)),INDEX(Settings!$B$29:$B$40,MONTH(A5976)))))</f>
        <v/>
      </c>
    </row>
    <row r="5977" customFormat="false" ht="15" hidden="false" customHeight="false" outlineLevel="0" collapsed="false">
      <c r="H5977" s="0" t="str">
        <f aca="false">IF(B5977="","",IF(COUNTIF(Campaigns!$A$7:$A$300,B5977)&gt;0,"✓","⚠ add to Campaigns tab"))</f>
        <v/>
      </c>
      <c r="I5977" s="84" t="str">
        <f aca="false">IF(C5977="","",C5977*IF(Settings!$B$23=Settings!$C$6,1,IF(Settings!$B$23="USD",1/INDEX(Settings!$B$29:$B$40,MONTH(A5977)),INDEX(Settings!$B$29:$B$40,MONTH(A5977)))))</f>
        <v/>
      </c>
    </row>
    <row r="5978" customFormat="false" ht="15" hidden="false" customHeight="false" outlineLevel="0" collapsed="false">
      <c r="H5978" s="0" t="str">
        <f aca="false">IF(B5978="","",IF(COUNTIF(Campaigns!$A$7:$A$300,B5978)&gt;0,"✓","⚠ add to Campaigns tab"))</f>
        <v/>
      </c>
      <c r="I5978" s="84" t="str">
        <f aca="false">IF(C5978="","",C5978*IF(Settings!$B$23=Settings!$C$6,1,IF(Settings!$B$23="USD",1/INDEX(Settings!$B$29:$B$40,MONTH(A5978)),INDEX(Settings!$B$29:$B$40,MONTH(A5978)))))</f>
        <v/>
      </c>
    </row>
    <row r="5979" customFormat="false" ht="15" hidden="false" customHeight="false" outlineLevel="0" collapsed="false">
      <c r="H5979" s="0" t="str">
        <f aca="false">IF(B5979="","",IF(COUNTIF(Campaigns!$A$7:$A$300,B5979)&gt;0,"✓","⚠ add to Campaigns tab"))</f>
        <v/>
      </c>
      <c r="I5979" s="84" t="str">
        <f aca="false">IF(C5979="","",C5979*IF(Settings!$B$23=Settings!$C$6,1,IF(Settings!$B$23="USD",1/INDEX(Settings!$B$29:$B$40,MONTH(A5979)),INDEX(Settings!$B$29:$B$40,MONTH(A5979)))))</f>
        <v/>
      </c>
    </row>
    <row r="5980" customFormat="false" ht="15" hidden="false" customHeight="false" outlineLevel="0" collapsed="false">
      <c r="H5980" s="0" t="str">
        <f aca="false">IF(B5980="","",IF(COUNTIF(Campaigns!$A$7:$A$300,B5980)&gt;0,"✓","⚠ add to Campaigns tab"))</f>
        <v/>
      </c>
      <c r="I5980" s="84" t="str">
        <f aca="false">IF(C5980="","",C5980*IF(Settings!$B$23=Settings!$C$6,1,IF(Settings!$B$23="USD",1/INDEX(Settings!$B$29:$B$40,MONTH(A5980)),INDEX(Settings!$B$29:$B$40,MONTH(A5980)))))</f>
        <v/>
      </c>
    </row>
    <row r="5981" customFormat="false" ht="15" hidden="false" customHeight="false" outlineLevel="0" collapsed="false">
      <c r="H5981" s="0" t="str">
        <f aca="false">IF(B5981="","",IF(COUNTIF(Campaigns!$A$7:$A$300,B5981)&gt;0,"✓","⚠ add to Campaigns tab"))</f>
        <v/>
      </c>
      <c r="I5981" s="84" t="str">
        <f aca="false">IF(C5981="","",C5981*IF(Settings!$B$23=Settings!$C$6,1,IF(Settings!$B$23="USD",1/INDEX(Settings!$B$29:$B$40,MONTH(A5981)),INDEX(Settings!$B$29:$B$40,MONTH(A5981)))))</f>
        <v/>
      </c>
    </row>
    <row r="5982" customFormat="false" ht="15" hidden="false" customHeight="false" outlineLevel="0" collapsed="false">
      <c r="H5982" s="0" t="str">
        <f aca="false">IF(B5982="","",IF(COUNTIF(Campaigns!$A$7:$A$300,B5982)&gt;0,"✓","⚠ add to Campaigns tab"))</f>
        <v/>
      </c>
      <c r="I5982" s="84" t="str">
        <f aca="false">IF(C5982="","",C5982*IF(Settings!$B$23=Settings!$C$6,1,IF(Settings!$B$23="USD",1/INDEX(Settings!$B$29:$B$40,MONTH(A5982)),INDEX(Settings!$B$29:$B$40,MONTH(A5982)))))</f>
        <v/>
      </c>
    </row>
    <row r="5983" customFormat="false" ht="15" hidden="false" customHeight="false" outlineLevel="0" collapsed="false">
      <c r="H5983" s="0" t="str">
        <f aca="false">IF(B5983="","",IF(COUNTIF(Campaigns!$A$7:$A$300,B5983)&gt;0,"✓","⚠ add to Campaigns tab"))</f>
        <v/>
      </c>
      <c r="I5983" s="84" t="str">
        <f aca="false">IF(C5983="","",C5983*IF(Settings!$B$23=Settings!$C$6,1,IF(Settings!$B$23="USD",1/INDEX(Settings!$B$29:$B$40,MONTH(A5983)),INDEX(Settings!$B$29:$B$40,MONTH(A5983)))))</f>
        <v/>
      </c>
    </row>
    <row r="5984" customFormat="false" ht="15" hidden="false" customHeight="false" outlineLevel="0" collapsed="false">
      <c r="H5984" s="0" t="str">
        <f aca="false">IF(B5984="","",IF(COUNTIF(Campaigns!$A$7:$A$300,B5984)&gt;0,"✓","⚠ add to Campaigns tab"))</f>
        <v/>
      </c>
      <c r="I5984" s="84" t="str">
        <f aca="false">IF(C5984="","",C5984*IF(Settings!$B$23=Settings!$C$6,1,IF(Settings!$B$23="USD",1/INDEX(Settings!$B$29:$B$40,MONTH(A5984)),INDEX(Settings!$B$29:$B$40,MONTH(A5984)))))</f>
        <v/>
      </c>
    </row>
    <row r="5985" customFormat="false" ht="15" hidden="false" customHeight="false" outlineLevel="0" collapsed="false">
      <c r="H5985" s="0" t="str">
        <f aca="false">IF(B5985="","",IF(COUNTIF(Campaigns!$A$7:$A$300,B5985)&gt;0,"✓","⚠ add to Campaigns tab"))</f>
        <v/>
      </c>
      <c r="I5985" s="84" t="str">
        <f aca="false">IF(C5985="","",C5985*IF(Settings!$B$23=Settings!$C$6,1,IF(Settings!$B$23="USD",1/INDEX(Settings!$B$29:$B$40,MONTH(A5985)),INDEX(Settings!$B$29:$B$40,MONTH(A5985)))))</f>
        <v/>
      </c>
    </row>
    <row r="5986" customFormat="false" ht="15" hidden="false" customHeight="false" outlineLevel="0" collapsed="false">
      <c r="H5986" s="0" t="str">
        <f aca="false">IF(B5986="","",IF(COUNTIF(Campaigns!$A$7:$A$300,B5986)&gt;0,"✓","⚠ add to Campaigns tab"))</f>
        <v/>
      </c>
      <c r="I5986" s="84" t="str">
        <f aca="false">IF(C5986="","",C5986*IF(Settings!$B$23=Settings!$C$6,1,IF(Settings!$B$23="USD",1/INDEX(Settings!$B$29:$B$40,MONTH(A5986)),INDEX(Settings!$B$29:$B$40,MONTH(A5986)))))</f>
        <v/>
      </c>
    </row>
    <row r="5987" customFormat="false" ht="15" hidden="false" customHeight="false" outlineLevel="0" collapsed="false">
      <c r="H5987" s="0" t="str">
        <f aca="false">IF(B5987="","",IF(COUNTIF(Campaigns!$A$7:$A$300,B5987)&gt;0,"✓","⚠ add to Campaigns tab"))</f>
        <v/>
      </c>
      <c r="I5987" s="84" t="str">
        <f aca="false">IF(C5987="","",C5987*IF(Settings!$B$23=Settings!$C$6,1,IF(Settings!$B$23="USD",1/INDEX(Settings!$B$29:$B$40,MONTH(A5987)),INDEX(Settings!$B$29:$B$40,MONTH(A5987)))))</f>
        <v/>
      </c>
    </row>
    <row r="5988" customFormat="false" ht="15" hidden="false" customHeight="false" outlineLevel="0" collapsed="false">
      <c r="H5988" s="0" t="str">
        <f aca="false">IF(B5988="","",IF(COUNTIF(Campaigns!$A$7:$A$300,B5988)&gt;0,"✓","⚠ add to Campaigns tab"))</f>
        <v/>
      </c>
      <c r="I5988" s="84" t="str">
        <f aca="false">IF(C5988="","",C5988*IF(Settings!$B$23=Settings!$C$6,1,IF(Settings!$B$23="USD",1/INDEX(Settings!$B$29:$B$40,MONTH(A5988)),INDEX(Settings!$B$29:$B$40,MONTH(A5988)))))</f>
        <v/>
      </c>
    </row>
    <row r="5989" customFormat="false" ht="15" hidden="false" customHeight="false" outlineLevel="0" collapsed="false">
      <c r="H5989" s="0" t="str">
        <f aca="false">IF(B5989="","",IF(COUNTIF(Campaigns!$A$7:$A$300,B5989)&gt;0,"✓","⚠ add to Campaigns tab"))</f>
        <v/>
      </c>
      <c r="I5989" s="84" t="str">
        <f aca="false">IF(C5989="","",C5989*IF(Settings!$B$23=Settings!$C$6,1,IF(Settings!$B$23="USD",1/INDEX(Settings!$B$29:$B$40,MONTH(A5989)),INDEX(Settings!$B$29:$B$40,MONTH(A5989)))))</f>
        <v/>
      </c>
    </row>
    <row r="5990" customFormat="false" ht="15" hidden="false" customHeight="false" outlineLevel="0" collapsed="false">
      <c r="H5990" s="0" t="str">
        <f aca="false">IF(B5990="","",IF(COUNTIF(Campaigns!$A$7:$A$300,B5990)&gt;0,"✓","⚠ add to Campaigns tab"))</f>
        <v/>
      </c>
      <c r="I5990" s="84" t="str">
        <f aca="false">IF(C5990="","",C5990*IF(Settings!$B$23=Settings!$C$6,1,IF(Settings!$B$23="USD",1/INDEX(Settings!$B$29:$B$40,MONTH(A5990)),INDEX(Settings!$B$29:$B$40,MONTH(A5990)))))</f>
        <v/>
      </c>
    </row>
    <row r="5991" customFormat="false" ht="15" hidden="false" customHeight="false" outlineLevel="0" collapsed="false">
      <c r="H5991" s="0" t="str">
        <f aca="false">IF(B5991="","",IF(COUNTIF(Campaigns!$A$7:$A$300,B5991)&gt;0,"✓","⚠ add to Campaigns tab"))</f>
        <v/>
      </c>
      <c r="I5991" s="84" t="str">
        <f aca="false">IF(C5991="","",C5991*IF(Settings!$B$23=Settings!$C$6,1,IF(Settings!$B$23="USD",1/INDEX(Settings!$B$29:$B$40,MONTH(A5991)),INDEX(Settings!$B$29:$B$40,MONTH(A5991)))))</f>
        <v/>
      </c>
    </row>
    <row r="5992" customFormat="false" ht="15" hidden="false" customHeight="false" outlineLevel="0" collapsed="false">
      <c r="H5992" s="0" t="str">
        <f aca="false">IF(B5992="","",IF(COUNTIF(Campaigns!$A$7:$A$300,B5992)&gt;0,"✓","⚠ add to Campaigns tab"))</f>
        <v/>
      </c>
      <c r="I5992" s="84" t="str">
        <f aca="false">IF(C5992="","",C5992*IF(Settings!$B$23=Settings!$C$6,1,IF(Settings!$B$23="USD",1/INDEX(Settings!$B$29:$B$40,MONTH(A5992)),INDEX(Settings!$B$29:$B$40,MONTH(A5992)))))</f>
        <v/>
      </c>
    </row>
    <row r="5993" customFormat="false" ht="15" hidden="false" customHeight="false" outlineLevel="0" collapsed="false">
      <c r="H5993" s="0" t="str">
        <f aca="false">IF(B5993="","",IF(COUNTIF(Campaigns!$A$7:$A$300,B5993)&gt;0,"✓","⚠ add to Campaigns tab"))</f>
        <v/>
      </c>
      <c r="I5993" s="84" t="str">
        <f aca="false">IF(C5993="","",C5993*IF(Settings!$B$23=Settings!$C$6,1,IF(Settings!$B$23="USD",1/INDEX(Settings!$B$29:$B$40,MONTH(A5993)),INDEX(Settings!$B$29:$B$40,MONTH(A5993)))))</f>
        <v/>
      </c>
    </row>
    <row r="5994" customFormat="false" ht="15" hidden="false" customHeight="false" outlineLevel="0" collapsed="false">
      <c r="H5994" s="0" t="str">
        <f aca="false">IF(B5994="","",IF(COUNTIF(Campaigns!$A$7:$A$300,B5994)&gt;0,"✓","⚠ add to Campaigns tab"))</f>
        <v/>
      </c>
      <c r="I5994" s="84" t="str">
        <f aca="false">IF(C5994="","",C5994*IF(Settings!$B$23=Settings!$C$6,1,IF(Settings!$B$23="USD",1/INDEX(Settings!$B$29:$B$40,MONTH(A5994)),INDEX(Settings!$B$29:$B$40,MONTH(A5994)))))</f>
        <v/>
      </c>
    </row>
    <row r="5995" customFormat="false" ht="15" hidden="false" customHeight="false" outlineLevel="0" collapsed="false">
      <c r="H5995" s="0" t="str">
        <f aca="false">IF(B5995="","",IF(COUNTIF(Campaigns!$A$7:$A$300,B5995)&gt;0,"✓","⚠ add to Campaigns tab"))</f>
        <v/>
      </c>
      <c r="I5995" s="84" t="str">
        <f aca="false">IF(C5995="","",C5995*IF(Settings!$B$23=Settings!$C$6,1,IF(Settings!$B$23="USD",1/INDEX(Settings!$B$29:$B$40,MONTH(A5995)),INDEX(Settings!$B$29:$B$40,MONTH(A5995)))))</f>
        <v/>
      </c>
    </row>
    <row r="5996" customFormat="false" ht="15" hidden="false" customHeight="false" outlineLevel="0" collapsed="false">
      <c r="H5996" s="0" t="str">
        <f aca="false">IF(B5996="","",IF(COUNTIF(Campaigns!$A$7:$A$300,B5996)&gt;0,"✓","⚠ add to Campaigns tab"))</f>
        <v/>
      </c>
      <c r="I5996" s="84" t="str">
        <f aca="false">IF(C5996="","",C5996*IF(Settings!$B$23=Settings!$C$6,1,IF(Settings!$B$23="USD",1/INDEX(Settings!$B$29:$B$40,MONTH(A5996)),INDEX(Settings!$B$29:$B$40,MONTH(A5996)))))</f>
        <v/>
      </c>
    </row>
    <row r="5997" customFormat="false" ht="15" hidden="false" customHeight="false" outlineLevel="0" collapsed="false">
      <c r="H5997" s="0" t="str">
        <f aca="false">IF(B5997="","",IF(COUNTIF(Campaigns!$A$7:$A$300,B5997)&gt;0,"✓","⚠ add to Campaigns tab"))</f>
        <v/>
      </c>
      <c r="I5997" s="84" t="str">
        <f aca="false">IF(C5997="","",C5997*IF(Settings!$B$23=Settings!$C$6,1,IF(Settings!$B$23="USD",1/INDEX(Settings!$B$29:$B$40,MONTH(A5997)),INDEX(Settings!$B$29:$B$40,MONTH(A5997)))))</f>
        <v/>
      </c>
    </row>
    <row r="5998" customFormat="false" ht="15" hidden="false" customHeight="false" outlineLevel="0" collapsed="false">
      <c r="H5998" s="0" t="str">
        <f aca="false">IF(B5998="","",IF(COUNTIF(Campaigns!$A$7:$A$300,B5998)&gt;0,"✓","⚠ add to Campaigns tab"))</f>
        <v/>
      </c>
      <c r="I5998" s="84" t="str">
        <f aca="false">IF(C5998="","",C5998*IF(Settings!$B$23=Settings!$C$6,1,IF(Settings!$B$23="USD",1/INDEX(Settings!$B$29:$B$40,MONTH(A5998)),INDEX(Settings!$B$29:$B$40,MONTH(A5998)))))</f>
        <v/>
      </c>
    </row>
    <row r="5999" customFormat="false" ht="15" hidden="false" customHeight="false" outlineLevel="0" collapsed="false">
      <c r="H5999" s="0" t="str">
        <f aca="false">IF(B5999="","",IF(COUNTIF(Campaigns!$A$7:$A$300,B5999)&gt;0,"✓","⚠ add to Campaigns tab"))</f>
        <v/>
      </c>
      <c r="I5999" s="84" t="str">
        <f aca="false">IF(C5999="","",C5999*IF(Settings!$B$23=Settings!$C$6,1,IF(Settings!$B$23="USD",1/INDEX(Settings!$B$29:$B$40,MONTH(A5999)),INDEX(Settings!$B$29:$B$40,MONTH(A5999)))))</f>
        <v/>
      </c>
    </row>
    <row r="6000" customFormat="false" ht="15" hidden="false" customHeight="false" outlineLevel="0" collapsed="false">
      <c r="H6000" s="0" t="str">
        <f aca="false">IF(B6000="","",IF(COUNTIF(Campaigns!$A$7:$A$300,B6000)&gt;0,"✓","⚠ add to Campaigns tab"))</f>
        <v/>
      </c>
      <c r="I6000" s="84" t="str">
        <f aca="false">IF(C6000="","",C6000*IF(Settings!$B$23=Settings!$C$6,1,IF(Settings!$B$23="USD",1/INDEX(Settings!$B$29:$B$40,MONTH(A6000)),INDEX(Settings!$B$29:$B$40,MONTH(A6000)))))</f>
        <v/>
      </c>
    </row>
    <row r="6001" customFormat="false" ht="15" hidden="false" customHeight="false" outlineLevel="0" collapsed="false">
      <c r="H6001" s="0" t="str">
        <f aca="false">IF(B6001="","",IF(COUNTIF(Campaigns!$A$7:$A$300,B6001)&gt;0,"✓","⚠ add to Campaigns tab"))</f>
        <v/>
      </c>
      <c r="I6001" s="84" t="str">
        <f aca="false">IF(C6001="","",C6001*IF(Settings!$B$23=Settings!$C$6,1,IF(Settings!$B$23="USD",1/INDEX(Settings!$B$29:$B$40,MONTH(A6001)),INDEX(Settings!$B$29:$B$40,MONTH(A6001)))))</f>
        <v/>
      </c>
    </row>
    <row r="6002" customFormat="false" ht="15" hidden="false" customHeight="false" outlineLevel="0" collapsed="false">
      <c r="H6002" s="0" t="str">
        <f aca="false">IF(B6002="","",IF(COUNTIF(Campaigns!$A$7:$A$300,B6002)&gt;0,"✓","⚠ add to Campaigns tab"))</f>
        <v/>
      </c>
      <c r="I6002" s="84" t="str">
        <f aca="false">IF(C6002="","",C6002*IF(Settings!$B$23=Settings!$C$6,1,IF(Settings!$B$23="USD",1/INDEX(Settings!$B$29:$B$40,MONTH(A6002)),INDEX(Settings!$B$29:$B$40,MONTH(A6002)))))</f>
        <v/>
      </c>
    </row>
    <row r="6003" customFormat="false" ht="15" hidden="false" customHeight="false" outlineLevel="0" collapsed="false">
      <c r="H6003" s="0" t="str">
        <f aca="false">IF(B6003="","",IF(COUNTIF(Campaigns!$A$7:$A$300,B6003)&gt;0,"✓","⚠ add to Campaigns tab"))</f>
        <v/>
      </c>
      <c r="I6003" s="84" t="str">
        <f aca="false">IF(C6003="","",C6003*IF(Settings!$B$23=Settings!$C$6,1,IF(Settings!$B$23="USD",1/INDEX(Settings!$B$29:$B$40,MONTH(A6003)),INDEX(Settings!$B$29:$B$40,MONTH(A6003)))))</f>
        <v/>
      </c>
    </row>
    <row r="6004" customFormat="false" ht="15" hidden="false" customHeight="false" outlineLevel="0" collapsed="false">
      <c r="H6004" s="0" t="str">
        <f aca="false">IF(B6004="","",IF(COUNTIF(Campaigns!$A$7:$A$300,B6004)&gt;0,"✓","⚠ add to Campaigns tab"))</f>
        <v/>
      </c>
      <c r="I6004" s="84" t="str">
        <f aca="false">IF(C6004="","",C6004*IF(Settings!$B$23=Settings!$C$6,1,IF(Settings!$B$23="USD",1/INDEX(Settings!$B$29:$B$40,MONTH(A6004)),INDEX(Settings!$B$29:$B$40,MONTH(A6004)))))</f>
        <v/>
      </c>
    </row>
    <row r="6005" customFormat="false" ht="15" hidden="false" customHeight="false" outlineLevel="0" collapsed="false">
      <c r="H6005" s="0" t="str">
        <f aca="false">IF(B6005="","",IF(COUNTIF(Campaigns!$A$7:$A$300,B6005)&gt;0,"✓","⚠ add to Campaigns tab"))</f>
        <v/>
      </c>
      <c r="I6005" s="84" t="str">
        <f aca="false">IF(C6005="","",C6005*IF(Settings!$B$23=Settings!$C$6,1,IF(Settings!$B$23="USD",1/INDEX(Settings!$B$29:$B$40,MONTH(A6005)),INDEX(Settings!$B$29:$B$40,MONTH(A6005)))))</f>
        <v/>
      </c>
    </row>
    <row r="6006" customFormat="false" ht="15" hidden="false" customHeight="false" outlineLevel="0" collapsed="false">
      <c r="H6006" s="0" t="str">
        <f aca="false">IF(B6006="","",IF(COUNTIF(Campaigns!$A$7:$A$300,B6006)&gt;0,"✓","⚠ add to Campaigns tab"))</f>
        <v/>
      </c>
      <c r="I6006" s="84" t="str">
        <f aca="false">IF(C6006="","",C6006*IF(Settings!$B$23=Settings!$C$6,1,IF(Settings!$B$23="USD",1/INDEX(Settings!$B$29:$B$40,MONTH(A6006)),INDEX(Settings!$B$29:$B$40,MONTH(A6006)))))</f>
        <v/>
      </c>
    </row>
    <row r="6007" customFormat="false" ht="15" hidden="false" customHeight="false" outlineLevel="0" collapsed="false">
      <c r="H6007" s="0" t="str">
        <f aca="false">IF(B6007="","",IF(COUNTIF(Campaigns!$A$7:$A$300,B6007)&gt;0,"✓","⚠ add to Campaigns tab"))</f>
        <v/>
      </c>
      <c r="I6007" s="84" t="str">
        <f aca="false">IF(C6007="","",C6007*IF(Settings!$B$23=Settings!$C$6,1,IF(Settings!$B$23="USD",1/INDEX(Settings!$B$29:$B$40,MONTH(A6007)),INDEX(Settings!$B$29:$B$40,MONTH(A6007)))))</f>
        <v/>
      </c>
    </row>
    <row r="6008" customFormat="false" ht="15" hidden="false" customHeight="false" outlineLevel="0" collapsed="false">
      <c r="H6008" s="0" t="str">
        <f aca="false">IF(B6008="","",IF(COUNTIF(Campaigns!$A$7:$A$300,B6008)&gt;0,"✓","⚠ add to Campaigns tab"))</f>
        <v/>
      </c>
      <c r="I6008" s="84" t="str">
        <f aca="false">IF(C6008="","",C6008*IF(Settings!$B$23=Settings!$C$6,1,IF(Settings!$B$23="USD",1/INDEX(Settings!$B$29:$B$40,MONTH(A6008)),INDEX(Settings!$B$29:$B$40,MONTH(A6008)))))</f>
        <v/>
      </c>
    </row>
    <row r="6009" customFormat="false" ht="15" hidden="false" customHeight="false" outlineLevel="0" collapsed="false">
      <c r="H6009" s="0" t="str">
        <f aca="false">IF(B6009="","",IF(COUNTIF(Campaigns!$A$7:$A$300,B6009)&gt;0,"✓","⚠ add to Campaigns tab"))</f>
        <v/>
      </c>
      <c r="I6009" s="84" t="str">
        <f aca="false">IF(C6009="","",C6009*IF(Settings!$B$23=Settings!$C$6,1,IF(Settings!$B$23="USD",1/INDEX(Settings!$B$29:$B$40,MONTH(A6009)),INDEX(Settings!$B$29:$B$40,MONTH(A6009)))))</f>
        <v/>
      </c>
    </row>
    <row r="6010" customFormat="false" ht="15" hidden="false" customHeight="false" outlineLevel="0" collapsed="false">
      <c r="H6010" s="0" t="str">
        <f aca="false">IF(B6010="","",IF(COUNTIF(Campaigns!$A$7:$A$300,B6010)&gt;0,"✓","⚠ add to Campaigns tab"))</f>
        <v/>
      </c>
      <c r="I6010" s="84" t="str">
        <f aca="false">IF(C6010="","",C6010*IF(Settings!$B$23=Settings!$C$6,1,IF(Settings!$B$23="USD",1/INDEX(Settings!$B$29:$B$40,MONTH(A6010)),INDEX(Settings!$B$29:$B$40,MONTH(A6010)))))</f>
        <v/>
      </c>
    </row>
    <row r="6011" customFormat="false" ht="15" hidden="false" customHeight="false" outlineLevel="0" collapsed="false">
      <c r="H6011" s="0" t="str">
        <f aca="false">IF(B6011="","",IF(COUNTIF(Campaigns!$A$7:$A$300,B6011)&gt;0,"✓","⚠ add to Campaigns tab"))</f>
        <v/>
      </c>
      <c r="I6011" s="84" t="str">
        <f aca="false">IF(C6011="","",C6011*IF(Settings!$B$23=Settings!$C$6,1,IF(Settings!$B$23="USD",1/INDEX(Settings!$B$29:$B$40,MONTH(A6011)),INDEX(Settings!$B$29:$B$40,MONTH(A6011)))))</f>
        <v/>
      </c>
    </row>
    <row r="6012" customFormat="false" ht="15" hidden="false" customHeight="false" outlineLevel="0" collapsed="false">
      <c r="H6012" s="0" t="str">
        <f aca="false">IF(B6012="","",IF(COUNTIF(Campaigns!$A$7:$A$300,B6012)&gt;0,"✓","⚠ add to Campaigns tab"))</f>
        <v/>
      </c>
      <c r="I6012" s="84" t="str">
        <f aca="false">IF(C6012="","",C6012*IF(Settings!$B$23=Settings!$C$6,1,IF(Settings!$B$23="USD",1/INDEX(Settings!$B$29:$B$40,MONTH(A6012)),INDEX(Settings!$B$29:$B$40,MONTH(A6012)))))</f>
        <v/>
      </c>
    </row>
    <row r="6013" customFormat="false" ht="15" hidden="false" customHeight="false" outlineLevel="0" collapsed="false">
      <c r="H6013" s="0" t="str">
        <f aca="false">IF(B6013="","",IF(COUNTIF(Campaigns!$A$7:$A$300,B6013)&gt;0,"✓","⚠ add to Campaigns tab"))</f>
        <v/>
      </c>
      <c r="I6013" s="84" t="str">
        <f aca="false">IF(C6013="","",C6013*IF(Settings!$B$23=Settings!$C$6,1,IF(Settings!$B$23="USD",1/INDEX(Settings!$B$29:$B$40,MONTH(A6013)),INDEX(Settings!$B$29:$B$40,MONTH(A6013)))))</f>
        <v/>
      </c>
    </row>
    <row r="6014" customFormat="false" ht="15" hidden="false" customHeight="false" outlineLevel="0" collapsed="false">
      <c r="H6014" s="0" t="str">
        <f aca="false">IF(B6014="","",IF(COUNTIF(Campaigns!$A$7:$A$300,B6014)&gt;0,"✓","⚠ add to Campaigns tab"))</f>
        <v/>
      </c>
      <c r="I6014" s="84" t="str">
        <f aca="false">IF(C6014="","",C6014*IF(Settings!$B$23=Settings!$C$6,1,IF(Settings!$B$23="USD",1/INDEX(Settings!$B$29:$B$40,MONTH(A6014)),INDEX(Settings!$B$29:$B$40,MONTH(A6014)))))</f>
        <v/>
      </c>
    </row>
    <row r="6015" customFormat="false" ht="15" hidden="false" customHeight="false" outlineLevel="0" collapsed="false">
      <c r="H6015" s="0" t="str">
        <f aca="false">IF(B6015="","",IF(COUNTIF(Campaigns!$A$7:$A$300,B6015)&gt;0,"✓","⚠ add to Campaigns tab"))</f>
        <v/>
      </c>
      <c r="I6015" s="84" t="str">
        <f aca="false">IF(C6015="","",C6015*IF(Settings!$B$23=Settings!$C$6,1,IF(Settings!$B$23="USD",1/INDEX(Settings!$B$29:$B$40,MONTH(A6015)),INDEX(Settings!$B$29:$B$40,MONTH(A6015)))))</f>
        <v/>
      </c>
    </row>
    <row r="6016" customFormat="false" ht="15" hidden="false" customHeight="false" outlineLevel="0" collapsed="false">
      <c r="H6016" s="0" t="str">
        <f aca="false">IF(B6016="","",IF(COUNTIF(Campaigns!$A$7:$A$300,B6016)&gt;0,"✓","⚠ add to Campaigns tab"))</f>
        <v/>
      </c>
      <c r="I6016" s="84" t="str">
        <f aca="false">IF(C6016="","",C6016*IF(Settings!$B$23=Settings!$C$6,1,IF(Settings!$B$23="USD",1/INDEX(Settings!$B$29:$B$40,MONTH(A6016)),INDEX(Settings!$B$29:$B$40,MONTH(A6016)))))</f>
        <v/>
      </c>
    </row>
    <row r="6017" customFormat="false" ht="15" hidden="false" customHeight="false" outlineLevel="0" collapsed="false">
      <c r="H6017" s="0" t="str">
        <f aca="false">IF(B6017="","",IF(COUNTIF(Campaigns!$A$7:$A$300,B6017)&gt;0,"✓","⚠ add to Campaigns tab"))</f>
        <v/>
      </c>
      <c r="I6017" s="84" t="str">
        <f aca="false">IF(C6017="","",C6017*IF(Settings!$B$23=Settings!$C$6,1,IF(Settings!$B$23="USD",1/INDEX(Settings!$B$29:$B$40,MONTH(A6017)),INDEX(Settings!$B$29:$B$40,MONTH(A6017)))))</f>
        <v/>
      </c>
    </row>
    <row r="6018" customFormat="false" ht="15" hidden="false" customHeight="false" outlineLevel="0" collapsed="false">
      <c r="H6018" s="0" t="str">
        <f aca="false">IF(B6018="","",IF(COUNTIF(Campaigns!$A$7:$A$300,B6018)&gt;0,"✓","⚠ add to Campaigns tab"))</f>
        <v/>
      </c>
      <c r="I6018" s="84" t="str">
        <f aca="false">IF(C6018="","",C6018*IF(Settings!$B$23=Settings!$C$6,1,IF(Settings!$B$23="USD",1/INDEX(Settings!$B$29:$B$40,MONTH(A6018)),INDEX(Settings!$B$29:$B$40,MONTH(A6018)))))</f>
        <v/>
      </c>
    </row>
    <row r="6019" customFormat="false" ht="15" hidden="false" customHeight="false" outlineLevel="0" collapsed="false">
      <c r="H6019" s="0" t="str">
        <f aca="false">IF(B6019="","",IF(COUNTIF(Campaigns!$A$7:$A$300,B6019)&gt;0,"✓","⚠ add to Campaigns tab"))</f>
        <v/>
      </c>
      <c r="I6019" s="84" t="str">
        <f aca="false">IF(C6019="","",C6019*IF(Settings!$B$23=Settings!$C$6,1,IF(Settings!$B$23="USD",1/INDEX(Settings!$B$29:$B$40,MONTH(A6019)),INDEX(Settings!$B$29:$B$40,MONTH(A6019)))))</f>
        <v/>
      </c>
    </row>
    <row r="6020" customFormat="false" ht="15" hidden="false" customHeight="false" outlineLevel="0" collapsed="false">
      <c r="H6020" s="0" t="str">
        <f aca="false">IF(B6020="","",IF(COUNTIF(Campaigns!$A$7:$A$300,B6020)&gt;0,"✓","⚠ add to Campaigns tab"))</f>
        <v/>
      </c>
      <c r="I6020" s="84" t="str">
        <f aca="false">IF(C6020="","",C6020*IF(Settings!$B$23=Settings!$C$6,1,IF(Settings!$B$23="USD",1/INDEX(Settings!$B$29:$B$40,MONTH(A6020)),INDEX(Settings!$B$29:$B$40,MONTH(A6020)))))</f>
        <v/>
      </c>
    </row>
    <row r="6021" customFormat="false" ht="15" hidden="false" customHeight="false" outlineLevel="0" collapsed="false">
      <c r="H6021" s="0" t="str">
        <f aca="false">IF(B6021="","",IF(COUNTIF(Campaigns!$A$7:$A$300,B6021)&gt;0,"✓","⚠ add to Campaigns tab"))</f>
        <v/>
      </c>
      <c r="I6021" s="84" t="str">
        <f aca="false">IF(C6021="","",C6021*IF(Settings!$B$23=Settings!$C$6,1,IF(Settings!$B$23="USD",1/INDEX(Settings!$B$29:$B$40,MONTH(A6021)),INDEX(Settings!$B$29:$B$40,MONTH(A6021)))))</f>
        <v/>
      </c>
    </row>
    <row r="6022" customFormat="false" ht="15" hidden="false" customHeight="false" outlineLevel="0" collapsed="false">
      <c r="H6022" s="0" t="str">
        <f aca="false">IF(B6022="","",IF(COUNTIF(Campaigns!$A$7:$A$300,B6022)&gt;0,"✓","⚠ add to Campaigns tab"))</f>
        <v/>
      </c>
      <c r="I6022" s="84" t="str">
        <f aca="false">IF(C6022="","",C6022*IF(Settings!$B$23=Settings!$C$6,1,IF(Settings!$B$23="USD",1/INDEX(Settings!$B$29:$B$40,MONTH(A6022)),INDEX(Settings!$B$29:$B$40,MONTH(A6022)))))</f>
        <v/>
      </c>
    </row>
    <row r="6023" customFormat="false" ht="15" hidden="false" customHeight="false" outlineLevel="0" collapsed="false">
      <c r="H6023" s="0" t="str">
        <f aca="false">IF(B6023="","",IF(COUNTIF(Campaigns!$A$7:$A$300,B6023)&gt;0,"✓","⚠ add to Campaigns tab"))</f>
        <v/>
      </c>
      <c r="I6023" s="84" t="str">
        <f aca="false">IF(C6023="","",C6023*IF(Settings!$B$23=Settings!$C$6,1,IF(Settings!$B$23="USD",1/INDEX(Settings!$B$29:$B$40,MONTH(A6023)),INDEX(Settings!$B$29:$B$40,MONTH(A6023)))))</f>
        <v/>
      </c>
    </row>
    <row r="6024" customFormat="false" ht="15" hidden="false" customHeight="false" outlineLevel="0" collapsed="false">
      <c r="H6024" s="0" t="str">
        <f aca="false">IF(B6024="","",IF(COUNTIF(Campaigns!$A$7:$A$300,B6024)&gt;0,"✓","⚠ add to Campaigns tab"))</f>
        <v/>
      </c>
      <c r="I6024" s="84" t="str">
        <f aca="false">IF(C6024="","",C6024*IF(Settings!$B$23=Settings!$C$6,1,IF(Settings!$B$23="USD",1/INDEX(Settings!$B$29:$B$40,MONTH(A6024)),INDEX(Settings!$B$29:$B$40,MONTH(A6024)))))</f>
        <v/>
      </c>
    </row>
    <row r="6025" customFormat="false" ht="15" hidden="false" customHeight="false" outlineLevel="0" collapsed="false">
      <c r="H6025" s="0" t="str">
        <f aca="false">IF(B6025="","",IF(COUNTIF(Campaigns!$A$7:$A$300,B6025)&gt;0,"✓","⚠ add to Campaigns tab"))</f>
        <v/>
      </c>
      <c r="I6025" s="84" t="str">
        <f aca="false">IF(C6025="","",C6025*IF(Settings!$B$23=Settings!$C$6,1,IF(Settings!$B$23="USD",1/INDEX(Settings!$B$29:$B$40,MONTH(A6025)),INDEX(Settings!$B$29:$B$40,MONTH(A6025)))))</f>
        <v/>
      </c>
    </row>
    <row r="6026" customFormat="false" ht="15" hidden="false" customHeight="false" outlineLevel="0" collapsed="false">
      <c r="H6026" s="0" t="str">
        <f aca="false">IF(B6026="","",IF(COUNTIF(Campaigns!$A$7:$A$300,B6026)&gt;0,"✓","⚠ add to Campaigns tab"))</f>
        <v/>
      </c>
      <c r="I6026" s="84" t="str">
        <f aca="false">IF(C6026="","",C6026*IF(Settings!$B$23=Settings!$C$6,1,IF(Settings!$B$23="USD",1/INDEX(Settings!$B$29:$B$40,MONTH(A6026)),INDEX(Settings!$B$29:$B$40,MONTH(A6026)))))</f>
        <v/>
      </c>
    </row>
    <row r="6027" customFormat="false" ht="15" hidden="false" customHeight="false" outlineLevel="0" collapsed="false">
      <c r="H6027" s="0" t="str">
        <f aca="false">IF(B6027="","",IF(COUNTIF(Campaigns!$A$7:$A$300,B6027)&gt;0,"✓","⚠ add to Campaigns tab"))</f>
        <v/>
      </c>
      <c r="I6027" s="84" t="str">
        <f aca="false">IF(C6027="","",C6027*IF(Settings!$B$23=Settings!$C$6,1,IF(Settings!$B$23="USD",1/INDEX(Settings!$B$29:$B$40,MONTH(A6027)),INDEX(Settings!$B$29:$B$40,MONTH(A6027)))))</f>
        <v/>
      </c>
    </row>
    <row r="6028" customFormat="false" ht="15" hidden="false" customHeight="false" outlineLevel="0" collapsed="false">
      <c r="H6028" s="0" t="str">
        <f aca="false">IF(B6028="","",IF(COUNTIF(Campaigns!$A$7:$A$300,B6028)&gt;0,"✓","⚠ add to Campaigns tab"))</f>
        <v/>
      </c>
      <c r="I6028" s="84" t="str">
        <f aca="false">IF(C6028="","",C6028*IF(Settings!$B$23=Settings!$C$6,1,IF(Settings!$B$23="USD",1/INDEX(Settings!$B$29:$B$40,MONTH(A6028)),INDEX(Settings!$B$29:$B$40,MONTH(A6028)))))</f>
        <v/>
      </c>
    </row>
    <row r="6029" customFormat="false" ht="15" hidden="false" customHeight="false" outlineLevel="0" collapsed="false">
      <c r="H6029" s="0" t="str">
        <f aca="false">IF(B6029="","",IF(COUNTIF(Campaigns!$A$7:$A$300,B6029)&gt;0,"✓","⚠ add to Campaigns tab"))</f>
        <v/>
      </c>
      <c r="I6029" s="84" t="str">
        <f aca="false">IF(C6029="","",C6029*IF(Settings!$B$23=Settings!$C$6,1,IF(Settings!$B$23="USD",1/INDEX(Settings!$B$29:$B$40,MONTH(A6029)),INDEX(Settings!$B$29:$B$40,MONTH(A6029)))))</f>
        <v/>
      </c>
    </row>
    <row r="6030" customFormat="false" ht="15" hidden="false" customHeight="false" outlineLevel="0" collapsed="false">
      <c r="H6030" s="0" t="str">
        <f aca="false">IF(B6030="","",IF(COUNTIF(Campaigns!$A$7:$A$300,B6030)&gt;0,"✓","⚠ add to Campaigns tab"))</f>
        <v/>
      </c>
      <c r="I6030" s="84" t="str">
        <f aca="false">IF(C6030="","",C6030*IF(Settings!$B$23=Settings!$C$6,1,IF(Settings!$B$23="USD",1/INDEX(Settings!$B$29:$B$40,MONTH(A6030)),INDEX(Settings!$B$29:$B$40,MONTH(A6030)))))</f>
        <v/>
      </c>
    </row>
    <row r="6031" customFormat="false" ht="15" hidden="false" customHeight="false" outlineLevel="0" collapsed="false">
      <c r="H6031" s="0" t="str">
        <f aca="false">IF(B6031="","",IF(COUNTIF(Campaigns!$A$7:$A$300,B6031)&gt;0,"✓","⚠ add to Campaigns tab"))</f>
        <v/>
      </c>
      <c r="I6031" s="84" t="str">
        <f aca="false">IF(C6031="","",C6031*IF(Settings!$B$23=Settings!$C$6,1,IF(Settings!$B$23="USD",1/INDEX(Settings!$B$29:$B$40,MONTH(A6031)),INDEX(Settings!$B$29:$B$40,MONTH(A6031)))))</f>
        <v/>
      </c>
    </row>
    <row r="6032" customFormat="false" ht="15" hidden="false" customHeight="false" outlineLevel="0" collapsed="false">
      <c r="H6032" s="0" t="str">
        <f aca="false">IF(B6032="","",IF(COUNTIF(Campaigns!$A$7:$A$300,B6032)&gt;0,"✓","⚠ add to Campaigns tab"))</f>
        <v/>
      </c>
      <c r="I6032" s="84" t="str">
        <f aca="false">IF(C6032="","",C6032*IF(Settings!$B$23=Settings!$C$6,1,IF(Settings!$B$23="USD",1/INDEX(Settings!$B$29:$B$40,MONTH(A6032)),INDEX(Settings!$B$29:$B$40,MONTH(A6032)))))</f>
        <v/>
      </c>
    </row>
    <row r="6033" customFormat="false" ht="15" hidden="false" customHeight="false" outlineLevel="0" collapsed="false">
      <c r="H6033" s="0" t="str">
        <f aca="false">IF(B6033="","",IF(COUNTIF(Campaigns!$A$7:$A$300,B6033)&gt;0,"✓","⚠ add to Campaigns tab"))</f>
        <v/>
      </c>
      <c r="I6033" s="84" t="str">
        <f aca="false">IF(C6033="","",C6033*IF(Settings!$B$23=Settings!$C$6,1,IF(Settings!$B$23="USD",1/INDEX(Settings!$B$29:$B$40,MONTH(A6033)),INDEX(Settings!$B$29:$B$40,MONTH(A6033)))))</f>
        <v/>
      </c>
    </row>
    <row r="6034" customFormat="false" ht="15" hidden="false" customHeight="false" outlineLevel="0" collapsed="false">
      <c r="H6034" s="0" t="str">
        <f aca="false">IF(B6034="","",IF(COUNTIF(Campaigns!$A$7:$A$300,B6034)&gt;0,"✓","⚠ add to Campaigns tab"))</f>
        <v/>
      </c>
      <c r="I6034" s="84" t="str">
        <f aca="false">IF(C6034="","",C6034*IF(Settings!$B$23=Settings!$C$6,1,IF(Settings!$B$23="USD",1/INDEX(Settings!$B$29:$B$40,MONTH(A6034)),INDEX(Settings!$B$29:$B$40,MONTH(A6034)))))</f>
        <v/>
      </c>
    </row>
    <row r="6035" customFormat="false" ht="15" hidden="false" customHeight="false" outlineLevel="0" collapsed="false">
      <c r="H6035" s="0" t="str">
        <f aca="false">IF(B6035="","",IF(COUNTIF(Campaigns!$A$7:$A$300,B6035)&gt;0,"✓","⚠ add to Campaigns tab"))</f>
        <v/>
      </c>
      <c r="I6035" s="84" t="str">
        <f aca="false">IF(C6035="","",C6035*IF(Settings!$B$23=Settings!$C$6,1,IF(Settings!$B$23="USD",1/INDEX(Settings!$B$29:$B$40,MONTH(A6035)),INDEX(Settings!$B$29:$B$40,MONTH(A6035)))))</f>
        <v/>
      </c>
    </row>
    <row r="6036" customFormat="false" ht="15" hidden="false" customHeight="false" outlineLevel="0" collapsed="false">
      <c r="H6036" s="0" t="str">
        <f aca="false">IF(B6036="","",IF(COUNTIF(Campaigns!$A$7:$A$300,B6036)&gt;0,"✓","⚠ add to Campaigns tab"))</f>
        <v/>
      </c>
      <c r="I6036" s="84" t="str">
        <f aca="false">IF(C6036="","",C6036*IF(Settings!$B$23=Settings!$C$6,1,IF(Settings!$B$23="USD",1/INDEX(Settings!$B$29:$B$40,MONTH(A6036)),INDEX(Settings!$B$29:$B$40,MONTH(A6036)))))</f>
        <v/>
      </c>
    </row>
    <row r="6037" customFormat="false" ht="15" hidden="false" customHeight="false" outlineLevel="0" collapsed="false">
      <c r="H6037" s="0" t="str">
        <f aca="false">IF(B6037="","",IF(COUNTIF(Campaigns!$A$7:$A$300,B6037)&gt;0,"✓","⚠ add to Campaigns tab"))</f>
        <v/>
      </c>
      <c r="I6037" s="84" t="str">
        <f aca="false">IF(C6037="","",C6037*IF(Settings!$B$23=Settings!$C$6,1,IF(Settings!$B$23="USD",1/INDEX(Settings!$B$29:$B$40,MONTH(A6037)),INDEX(Settings!$B$29:$B$40,MONTH(A6037)))))</f>
        <v/>
      </c>
    </row>
    <row r="6038" customFormat="false" ht="15" hidden="false" customHeight="false" outlineLevel="0" collapsed="false">
      <c r="H6038" s="0" t="str">
        <f aca="false">IF(B6038="","",IF(COUNTIF(Campaigns!$A$7:$A$300,B6038)&gt;0,"✓","⚠ add to Campaigns tab"))</f>
        <v/>
      </c>
      <c r="I6038" s="84" t="str">
        <f aca="false">IF(C6038="","",C6038*IF(Settings!$B$23=Settings!$C$6,1,IF(Settings!$B$23="USD",1/INDEX(Settings!$B$29:$B$40,MONTH(A6038)),INDEX(Settings!$B$29:$B$40,MONTH(A6038)))))</f>
        <v/>
      </c>
    </row>
    <row r="6039" customFormat="false" ht="15" hidden="false" customHeight="false" outlineLevel="0" collapsed="false">
      <c r="H6039" s="0" t="str">
        <f aca="false">IF(B6039="","",IF(COUNTIF(Campaigns!$A$7:$A$300,B6039)&gt;0,"✓","⚠ add to Campaigns tab"))</f>
        <v/>
      </c>
      <c r="I6039" s="84" t="str">
        <f aca="false">IF(C6039="","",C6039*IF(Settings!$B$23=Settings!$C$6,1,IF(Settings!$B$23="USD",1/INDEX(Settings!$B$29:$B$40,MONTH(A6039)),INDEX(Settings!$B$29:$B$40,MONTH(A6039)))))</f>
        <v/>
      </c>
    </row>
    <row r="6040" customFormat="false" ht="15" hidden="false" customHeight="false" outlineLevel="0" collapsed="false">
      <c r="H6040" s="0" t="str">
        <f aca="false">IF(B6040="","",IF(COUNTIF(Campaigns!$A$7:$A$300,B6040)&gt;0,"✓","⚠ add to Campaigns tab"))</f>
        <v/>
      </c>
      <c r="I6040" s="84" t="str">
        <f aca="false">IF(C6040="","",C6040*IF(Settings!$B$23=Settings!$C$6,1,IF(Settings!$B$23="USD",1/INDEX(Settings!$B$29:$B$40,MONTH(A6040)),INDEX(Settings!$B$29:$B$40,MONTH(A6040)))))</f>
        <v/>
      </c>
    </row>
    <row r="6041" customFormat="false" ht="15" hidden="false" customHeight="false" outlineLevel="0" collapsed="false">
      <c r="H6041" s="0" t="str">
        <f aca="false">IF(B6041="","",IF(COUNTIF(Campaigns!$A$7:$A$300,B6041)&gt;0,"✓","⚠ add to Campaigns tab"))</f>
        <v/>
      </c>
      <c r="I6041" s="84" t="str">
        <f aca="false">IF(C6041="","",C6041*IF(Settings!$B$23=Settings!$C$6,1,IF(Settings!$B$23="USD",1/INDEX(Settings!$B$29:$B$40,MONTH(A6041)),INDEX(Settings!$B$29:$B$40,MONTH(A6041)))))</f>
        <v/>
      </c>
    </row>
    <row r="6042" customFormat="false" ht="15" hidden="false" customHeight="false" outlineLevel="0" collapsed="false">
      <c r="H6042" s="0" t="str">
        <f aca="false">IF(B6042="","",IF(COUNTIF(Campaigns!$A$7:$A$300,B6042)&gt;0,"✓","⚠ add to Campaigns tab"))</f>
        <v/>
      </c>
      <c r="I6042" s="84" t="str">
        <f aca="false">IF(C6042="","",C6042*IF(Settings!$B$23=Settings!$C$6,1,IF(Settings!$B$23="USD",1/INDEX(Settings!$B$29:$B$40,MONTH(A6042)),INDEX(Settings!$B$29:$B$40,MONTH(A6042)))))</f>
        <v/>
      </c>
    </row>
    <row r="6043" customFormat="false" ht="15" hidden="false" customHeight="false" outlineLevel="0" collapsed="false">
      <c r="H6043" s="0" t="str">
        <f aca="false">IF(B6043="","",IF(COUNTIF(Campaigns!$A$7:$A$300,B6043)&gt;0,"✓","⚠ add to Campaigns tab"))</f>
        <v/>
      </c>
      <c r="I6043" s="84" t="str">
        <f aca="false">IF(C6043="","",C6043*IF(Settings!$B$23=Settings!$C$6,1,IF(Settings!$B$23="USD",1/INDEX(Settings!$B$29:$B$40,MONTH(A6043)),INDEX(Settings!$B$29:$B$40,MONTH(A6043)))))</f>
        <v/>
      </c>
    </row>
    <row r="6044" customFormat="false" ht="15" hidden="false" customHeight="false" outlineLevel="0" collapsed="false">
      <c r="H6044" s="0" t="str">
        <f aca="false">IF(B6044="","",IF(COUNTIF(Campaigns!$A$7:$A$300,B6044)&gt;0,"✓","⚠ add to Campaigns tab"))</f>
        <v/>
      </c>
      <c r="I6044" s="84" t="str">
        <f aca="false">IF(C6044="","",C6044*IF(Settings!$B$23=Settings!$C$6,1,IF(Settings!$B$23="USD",1/INDEX(Settings!$B$29:$B$40,MONTH(A6044)),INDEX(Settings!$B$29:$B$40,MONTH(A6044)))))</f>
        <v/>
      </c>
    </row>
    <row r="6045" customFormat="false" ht="15" hidden="false" customHeight="false" outlineLevel="0" collapsed="false">
      <c r="H6045" s="0" t="str">
        <f aca="false">IF(B6045="","",IF(COUNTIF(Campaigns!$A$7:$A$300,B6045)&gt;0,"✓","⚠ add to Campaigns tab"))</f>
        <v/>
      </c>
      <c r="I6045" s="84" t="str">
        <f aca="false">IF(C6045="","",C6045*IF(Settings!$B$23=Settings!$C$6,1,IF(Settings!$B$23="USD",1/INDEX(Settings!$B$29:$B$40,MONTH(A6045)),INDEX(Settings!$B$29:$B$40,MONTH(A6045)))))</f>
        <v/>
      </c>
    </row>
    <row r="6046" customFormat="false" ht="15" hidden="false" customHeight="false" outlineLevel="0" collapsed="false">
      <c r="H6046" s="0" t="str">
        <f aca="false">IF(B6046="","",IF(COUNTIF(Campaigns!$A$7:$A$300,B6046)&gt;0,"✓","⚠ add to Campaigns tab"))</f>
        <v/>
      </c>
      <c r="I6046" s="84" t="str">
        <f aca="false">IF(C6046="","",C6046*IF(Settings!$B$23=Settings!$C$6,1,IF(Settings!$B$23="USD",1/INDEX(Settings!$B$29:$B$40,MONTH(A6046)),INDEX(Settings!$B$29:$B$40,MONTH(A6046)))))</f>
        <v/>
      </c>
    </row>
    <row r="6047" customFormat="false" ht="15" hidden="false" customHeight="false" outlineLevel="0" collapsed="false">
      <c r="H6047" s="0" t="str">
        <f aca="false">IF(B6047="","",IF(COUNTIF(Campaigns!$A$7:$A$300,B6047)&gt;0,"✓","⚠ add to Campaigns tab"))</f>
        <v/>
      </c>
      <c r="I6047" s="84" t="str">
        <f aca="false">IF(C6047="","",C6047*IF(Settings!$B$23=Settings!$C$6,1,IF(Settings!$B$23="USD",1/INDEX(Settings!$B$29:$B$40,MONTH(A6047)),INDEX(Settings!$B$29:$B$40,MONTH(A6047)))))</f>
        <v/>
      </c>
    </row>
    <row r="6048" customFormat="false" ht="15" hidden="false" customHeight="false" outlineLevel="0" collapsed="false">
      <c r="H6048" s="0" t="str">
        <f aca="false">IF(B6048="","",IF(COUNTIF(Campaigns!$A$7:$A$300,B6048)&gt;0,"✓","⚠ add to Campaigns tab"))</f>
        <v/>
      </c>
      <c r="I6048" s="84" t="str">
        <f aca="false">IF(C6048="","",C6048*IF(Settings!$B$23=Settings!$C$6,1,IF(Settings!$B$23="USD",1/INDEX(Settings!$B$29:$B$40,MONTH(A6048)),INDEX(Settings!$B$29:$B$40,MONTH(A6048)))))</f>
        <v/>
      </c>
    </row>
    <row r="6049" customFormat="false" ht="15" hidden="false" customHeight="false" outlineLevel="0" collapsed="false">
      <c r="H6049" s="0" t="str">
        <f aca="false">IF(B6049="","",IF(COUNTIF(Campaigns!$A$7:$A$300,B6049)&gt;0,"✓","⚠ add to Campaigns tab"))</f>
        <v/>
      </c>
      <c r="I6049" s="84" t="str">
        <f aca="false">IF(C6049="","",C6049*IF(Settings!$B$23=Settings!$C$6,1,IF(Settings!$B$23="USD",1/INDEX(Settings!$B$29:$B$40,MONTH(A6049)),INDEX(Settings!$B$29:$B$40,MONTH(A6049)))))</f>
        <v/>
      </c>
    </row>
    <row r="6050" customFormat="false" ht="15" hidden="false" customHeight="false" outlineLevel="0" collapsed="false">
      <c r="H6050" s="0" t="str">
        <f aca="false">IF(B6050="","",IF(COUNTIF(Campaigns!$A$7:$A$300,B6050)&gt;0,"✓","⚠ add to Campaigns tab"))</f>
        <v/>
      </c>
      <c r="I6050" s="84" t="str">
        <f aca="false">IF(C6050="","",C6050*IF(Settings!$B$23=Settings!$C$6,1,IF(Settings!$B$23="USD",1/INDEX(Settings!$B$29:$B$40,MONTH(A6050)),INDEX(Settings!$B$29:$B$40,MONTH(A6050)))))</f>
        <v/>
      </c>
    </row>
    <row r="6051" customFormat="false" ht="15" hidden="false" customHeight="false" outlineLevel="0" collapsed="false">
      <c r="H6051" s="0" t="str">
        <f aca="false">IF(B6051="","",IF(COUNTIF(Campaigns!$A$7:$A$300,B6051)&gt;0,"✓","⚠ add to Campaigns tab"))</f>
        <v/>
      </c>
      <c r="I6051" s="84" t="str">
        <f aca="false">IF(C6051="","",C6051*IF(Settings!$B$23=Settings!$C$6,1,IF(Settings!$B$23="USD",1/INDEX(Settings!$B$29:$B$40,MONTH(A6051)),INDEX(Settings!$B$29:$B$40,MONTH(A6051)))))</f>
        <v/>
      </c>
    </row>
    <row r="6052" customFormat="false" ht="15" hidden="false" customHeight="false" outlineLevel="0" collapsed="false">
      <c r="H6052" s="0" t="str">
        <f aca="false">IF(B6052="","",IF(COUNTIF(Campaigns!$A$7:$A$300,B6052)&gt;0,"✓","⚠ add to Campaigns tab"))</f>
        <v/>
      </c>
      <c r="I6052" s="84" t="str">
        <f aca="false">IF(C6052="","",C6052*IF(Settings!$B$23=Settings!$C$6,1,IF(Settings!$B$23="USD",1/INDEX(Settings!$B$29:$B$40,MONTH(A6052)),INDEX(Settings!$B$29:$B$40,MONTH(A6052)))))</f>
        <v/>
      </c>
    </row>
    <row r="6053" customFormat="false" ht="15" hidden="false" customHeight="false" outlineLevel="0" collapsed="false">
      <c r="H6053" s="0" t="str">
        <f aca="false">IF(B6053="","",IF(COUNTIF(Campaigns!$A$7:$A$300,B6053)&gt;0,"✓","⚠ add to Campaigns tab"))</f>
        <v/>
      </c>
      <c r="I6053" s="84" t="str">
        <f aca="false">IF(C6053="","",C6053*IF(Settings!$B$23=Settings!$C$6,1,IF(Settings!$B$23="USD",1/INDEX(Settings!$B$29:$B$40,MONTH(A6053)),INDEX(Settings!$B$29:$B$40,MONTH(A6053)))))</f>
        <v/>
      </c>
    </row>
    <row r="6054" customFormat="false" ht="15" hidden="false" customHeight="false" outlineLevel="0" collapsed="false">
      <c r="H6054" s="0" t="str">
        <f aca="false">IF(B6054="","",IF(COUNTIF(Campaigns!$A$7:$A$300,B6054)&gt;0,"✓","⚠ add to Campaigns tab"))</f>
        <v/>
      </c>
      <c r="I6054" s="84" t="str">
        <f aca="false">IF(C6054="","",C6054*IF(Settings!$B$23=Settings!$C$6,1,IF(Settings!$B$23="USD",1/INDEX(Settings!$B$29:$B$40,MONTH(A6054)),INDEX(Settings!$B$29:$B$40,MONTH(A6054)))))</f>
        <v/>
      </c>
    </row>
    <row r="6055" customFormat="false" ht="15" hidden="false" customHeight="false" outlineLevel="0" collapsed="false">
      <c r="H6055" s="0" t="str">
        <f aca="false">IF(B6055="","",IF(COUNTIF(Campaigns!$A$7:$A$300,B6055)&gt;0,"✓","⚠ add to Campaigns tab"))</f>
        <v/>
      </c>
      <c r="I6055" s="84" t="str">
        <f aca="false">IF(C6055="","",C6055*IF(Settings!$B$23=Settings!$C$6,1,IF(Settings!$B$23="USD",1/INDEX(Settings!$B$29:$B$40,MONTH(A6055)),INDEX(Settings!$B$29:$B$40,MONTH(A6055)))))</f>
        <v/>
      </c>
    </row>
    <row r="6056" customFormat="false" ht="15" hidden="false" customHeight="false" outlineLevel="0" collapsed="false">
      <c r="H6056" s="0" t="str">
        <f aca="false">IF(B6056="","",IF(COUNTIF(Campaigns!$A$7:$A$300,B6056)&gt;0,"✓","⚠ add to Campaigns tab"))</f>
        <v/>
      </c>
      <c r="I6056" s="84" t="str">
        <f aca="false">IF(C6056="","",C6056*IF(Settings!$B$23=Settings!$C$6,1,IF(Settings!$B$23="USD",1/INDEX(Settings!$B$29:$B$40,MONTH(A6056)),INDEX(Settings!$B$29:$B$40,MONTH(A6056)))))</f>
        <v/>
      </c>
    </row>
    <row r="6057" customFormat="false" ht="15" hidden="false" customHeight="false" outlineLevel="0" collapsed="false">
      <c r="H6057" s="0" t="str">
        <f aca="false">IF(B6057="","",IF(COUNTIF(Campaigns!$A$7:$A$300,B6057)&gt;0,"✓","⚠ add to Campaigns tab"))</f>
        <v/>
      </c>
      <c r="I6057" s="84" t="str">
        <f aca="false">IF(C6057="","",C6057*IF(Settings!$B$23=Settings!$C$6,1,IF(Settings!$B$23="USD",1/INDEX(Settings!$B$29:$B$40,MONTH(A6057)),INDEX(Settings!$B$29:$B$40,MONTH(A6057)))))</f>
        <v/>
      </c>
    </row>
    <row r="6058" customFormat="false" ht="15" hidden="false" customHeight="false" outlineLevel="0" collapsed="false">
      <c r="H6058" s="0" t="str">
        <f aca="false">IF(B6058="","",IF(COUNTIF(Campaigns!$A$7:$A$300,B6058)&gt;0,"✓","⚠ add to Campaigns tab"))</f>
        <v/>
      </c>
      <c r="I6058" s="84" t="str">
        <f aca="false">IF(C6058="","",C6058*IF(Settings!$B$23=Settings!$C$6,1,IF(Settings!$B$23="USD",1/INDEX(Settings!$B$29:$B$40,MONTH(A6058)),INDEX(Settings!$B$29:$B$40,MONTH(A6058)))))</f>
        <v/>
      </c>
    </row>
    <row r="6059" customFormat="false" ht="15" hidden="false" customHeight="false" outlineLevel="0" collapsed="false">
      <c r="H6059" s="0" t="str">
        <f aca="false">IF(B6059="","",IF(COUNTIF(Campaigns!$A$7:$A$300,B6059)&gt;0,"✓","⚠ add to Campaigns tab"))</f>
        <v/>
      </c>
      <c r="I6059" s="84" t="str">
        <f aca="false">IF(C6059="","",C6059*IF(Settings!$B$23=Settings!$C$6,1,IF(Settings!$B$23="USD",1/INDEX(Settings!$B$29:$B$40,MONTH(A6059)),INDEX(Settings!$B$29:$B$40,MONTH(A6059)))))</f>
        <v/>
      </c>
    </row>
    <row r="6060" customFormat="false" ht="15" hidden="false" customHeight="false" outlineLevel="0" collapsed="false">
      <c r="H6060" s="0" t="str">
        <f aca="false">IF(B6060="","",IF(COUNTIF(Campaigns!$A$7:$A$300,B6060)&gt;0,"✓","⚠ add to Campaigns tab"))</f>
        <v/>
      </c>
      <c r="I6060" s="84" t="str">
        <f aca="false">IF(C6060="","",C6060*IF(Settings!$B$23=Settings!$C$6,1,IF(Settings!$B$23="USD",1/INDEX(Settings!$B$29:$B$40,MONTH(A6060)),INDEX(Settings!$B$29:$B$40,MONTH(A6060)))))</f>
        <v/>
      </c>
    </row>
    <row r="6061" customFormat="false" ht="15" hidden="false" customHeight="false" outlineLevel="0" collapsed="false">
      <c r="H6061" s="0" t="str">
        <f aca="false">IF(B6061="","",IF(COUNTIF(Campaigns!$A$7:$A$300,B6061)&gt;0,"✓","⚠ add to Campaigns tab"))</f>
        <v/>
      </c>
      <c r="I6061" s="84" t="str">
        <f aca="false">IF(C6061="","",C6061*IF(Settings!$B$23=Settings!$C$6,1,IF(Settings!$B$23="USD",1/INDEX(Settings!$B$29:$B$40,MONTH(A6061)),INDEX(Settings!$B$29:$B$40,MONTH(A6061)))))</f>
        <v/>
      </c>
    </row>
    <row r="6062" customFormat="false" ht="15" hidden="false" customHeight="false" outlineLevel="0" collapsed="false">
      <c r="H6062" s="0" t="str">
        <f aca="false">IF(B6062="","",IF(COUNTIF(Campaigns!$A$7:$A$300,B6062)&gt;0,"✓","⚠ add to Campaigns tab"))</f>
        <v/>
      </c>
      <c r="I6062" s="84" t="str">
        <f aca="false">IF(C6062="","",C6062*IF(Settings!$B$23=Settings!$C$6,1,IF(Settings!$B$23="USD",1/INDEX(Settings!$B$29:$B$40,MONTH(A6062)),INDEX(Settings!$B$29:$B$40,MONTH(A6062)))))</f>
        <v/>
      </c>
    </row>
    <row r="6063" customFormat="false" ht="15" hidden="false" customHeight="false" outlineLevel="0" collapsed="false">
      <c r="H6063" s="0" t="str">
        <f aca="false">IF(B6063="","",IF(COUNTIF(Campaigns!$A$7:$A$300,B6063)&gt;0,"✓","⚠ add to Campaigns tab"))</f>
        <v/>
      </c>
      <c r="I6063" s="84" t="str">
        <f aca="false">IF(C6063="","",C6063*IF(Settings!$B$23=Settings!$C$6,1,IF(Settings!$B$23="USD",1/INDEX(Settings!$B$29:$B$40,MONTH(A6063)),INDEX(Settings!$B$29:$B$40,MONTH(A6063)))))</f>
        <v/>
      </c>
    </row>
    <row r="6064" customFormat="false" ht="15" hidden="false" customHeight="false" outlineLevel="0" collapsed="false">
      <c r="H6064" s="0" t="str">
        <f aca="false">IF(B6064="","",IF(COUNTIF(Campaigns!$A$7:$A$300,B6064)&gt;0,"✓","⚠ add to Campaigns tab"))</f>
        <v/>
      </c>
      <c r="I6064" s="84" t="str">
        <f aca="false">IF(C6064="","",C6064*IF(Settings!$B$23=Settings!$C$6,1,IF(Settings!$B$23="USD",1/INDEX(Settings!$B$29:$B$40,MONTH(A6064)),INDEX(Settings!$B$29:$B$40,MONTH(A6064)))))</f>
        <v/>
      </c>
    </row>
    <row r="6065" customFormat="false" ht="15" hidden="false" customHeight="false" outlineLevel="0" collapsed="false">
      <c r="H6065" s="0" t="str">
        <f aca="false">IF(B6065="","",IF(COUNTIF(Campaigns!$A$7:$A$300,B6065)&gt;0,"✓","⚠ add to Campaigns tab"))</f>
        <v/>
      </c>
      <c r="I6065" s="84" t="str">
        <f aca="false">IF(C6065="","",C6065*IF(Settings!$B$23=Settings!$C$6,1,IF(Settings!$B$23="USD",1/INDEX(Settings!$B$29:$B$40,MONTH(A6065)),INDEX(Settings!$B$29:$B$40,MONTH(A6065)))))</f>
        <v/>
      </c>
    </row>
    <row r="6066" customFormat="false" ht="15" hidden="false" customHeight="false" outlineLevel="0" collapsed="false">
      <c r="H6066" s="0" t="str">
        <f aca="false">IF(B6066="","",IF(COUNTIF(Campaigns!$A$7:$A$300,B6066)&gt;0,"✓","⚠ add to Campaigns tab"))</f>
        <v/>
      </c>
      <c r="I6066" s="84" t="str">
        <f aca="false">IF(C6066="","",C6066*IF(Settings!$B$23=Settings!$C$6,1,IF(Settings!$B$23="USD",1/INDEX(Settings!$B$29:$B$40,MONTH(A6066)),INDEX(Settings!$B$29:$B$40,MONTH(A6066)))))</f>
        <v/>
      </c>
    </row>
    <row r="6067" customFormat="false" ht="15" hidden="false" customHeight="false" outlineLevel="0" collapsed="false">
      <c r="H6067" s="0" t="str">
        <f aca="false">IF(B6067="","",IF(COUNTIF(Campaigns!$A$7:$A$300,B6067)&gt;0,"✓","⚠ add to Campaigns tab"))</f>
        <v/>
      </c>
      <c r="I6067" s="84" t="str">
        <f aca="false">IF(C6067="","",C6067*IF(Settings!$B$23=Settings!$C$6,1,IF(Settings!$B$23="USD",1/INDEX(Settings!$B$29:$B$40,MONTH(A6067)),INDEX(Settings!$B$29:$B$40,MONTH(A6067)))))</f>
        <v/>
      </c>
    </row>
    <row r="6068" customFormat="false" ht="15" hidden="false" customHeight="false" outlineLevel="0" collapsed="false">
      <c r="H6068" s="0" t="str">
        <f aca="false">IF(B6068="","",IF(COUNTIF(Campaigns!$A$7:$A$300,B6068)&gt;0,"✓","⚠ add to Campaigns tab"))</f>
        <v/>
      </c>
      <c r="I6068" s="84" t="str">
        <f aca="false">IF(C6068="","",C6068*IF(Settings!$B$23=Settings!$C$6,1,IF(Settings!$B$23="USD",1/INDEX(Settings!$B$29:$B$40,MONTH(A6068)),INDEX(Settings!$B$29:$B$40,MONTH(A6068)))))</f>
        <v/>
      </c>
    </row>
    <row r="6069" customFormat="false" ht="15" hidden="false" customHeight="false" outlineLevel="0" collapsed="false">
      <c r="H6069" s="0" t="str">
        <f aca="false">IF(B6069="","",IF(COUNTIF(Campaigns!$A$7:$A$300,B6069)&gt;0,"✓","⚠ add to Campaigns tab"))</f>
        <v/>
      </c>
      <c r="I6069" s="84" t="str">
        <f aca="false">IF(C6069="","",C6069*IF(Settings!$B$23=Settings!$C$6,1,IF(Settings!$B$23="USD",1/INDEX(Settings!$B$29:$B$40,MONTH(A6069)),INDEX(Settings!$B$29:$B$40,MONTH(A6069)))))</f>
        <v/>
      </c>
    </row>
    <row r="6070" customFormat="false" ht="15" hidden="false" customHeight="false" outlineLevel="0" collapsed="false">
      <c r="H6070" s="0" t="str">
        <f aca="false">IF(B6070="","",IF(COUNTIF(Campaigns!$A$7:$A$300,B6070)&gt;0,"✓","⚠ add to Campaigns tab"))</f>
        <v/>
      </c>
      <c r="I6070" s="84" t="str">
        <f aca="false">IF(C6070="","",C6070*IF(Settings!$B$23=Settings!$C$6,1,IF(Settings!$B$23="USD",1/INDEX(Settings!$B$29:$B$40,MONTH(A6070)),INDEX(Settings!$B$29:$B$40,MONTH(A6070)))))</f>
        <v/>
      </c>
    </row>
    <row r="6071" customFormat="false" ht="15" hidden="false" customHeight="false" outlineLevel="0" collapsed="false">
      <c r="H6071" s="0" t="str">
        <f aca="false">IF(B6071="","",IF(COUNTIF(Campaigns!$A$7:$A$300,B6071)&gt;0,"✓","⚠ add to Campaigns tab"))</f>
        <v/>
      </c>
      <c r="I6071" s="84" t="str">
        <f aca="false">IF(C6071="","",C6071*IF(Settings!$B$23=Settings!$C$6,1,IF(Settings!$B$23="USD",1/INDEX(Settings!$B$29:$B$40,MONTH(A6071)),INDEX(Settings!$B$29:$B$40,MONTH(A6071)))))</f>
        <v/>
      </c>
    </row>
    <row r="6072" customFormat="false" ht="15" hidden="false" customHeight="false" outlineLevel="0" collapsed="false">
      <c r="H6072" s="0" t="str">
        <f aca="false">IF(B6072="","",IF(COUNTIF(Campaigns!$A$7:$A$300,B6072)&gt;0,"✓","⚠ add to Campaigns tab"))</f>
        <v/>
      </c>
      <c r="I6072" s="84" t="str">
        <f aca="false">IF(C6072="","",C6072*IF(Settings!$B$23=Settings!$C$6,1,IF(Settings!$B$23="USD",1/INDEX(Settings!$B$29:$B$40,MONTH(A6072)),INDEX(Settings!$B$29:$B$40,MONTH(A6072)))))</f>
        <v/>
      </c>
    </row>
    <row r="6073" customFormat="false" ht="15" hidden="false" customHeight="false" outlineLevel="0" collapsed="false">
      <c r="H6073" s="0" t="str">
        <f aca="false">IF(B6073="","",IF(COUNTIF(Campaigns!$A$7:$A$300,B6073)&gt;0,"✓","⚠ add to Campaigns tab"))</f>
        <v/>
      </c>
      <c r="I6073" s="84" t="str">
        <f aca="false">IF(C6073="","",C6073*IF(Settings!$B$23=Settings!$C$6,1,IF(Settings!$B$23="USD",1/INDEX(Settings!$B$29:$B$40,MONTH(A6073)),INDEX(Settings!$B$29:$B$40,MONTH(A6073)))))</f>
        <v/>
      </c>
    </row>
    <row r="6074" customFormat="false" ht="15" hidden="false" customHeight="false" outlineLevel="0" collapsed="false">
      <c r="H6074" s="0" t="str">
        <f aca="false">IF(B6074="","",IF(COUNTIF(Campaigns!$A$7:$A$300,B6074)&gt;0,"✓","⚠ add to Campaigns tab"))</f>
        <v/>
      </c>
      <c r="I6074" s="84" t="str">
        <f aca="false">IF(C6074="","",C6074*IF(Settings!$B$23=Settings!$C$6,1,IF(Settings!$B$23="USD",1/INDEX(Settings!$B$29:$B$40,MONTH(A6074)),INDEX(Settings!$B$29:$B$40,MONTH(A6074)))))</f>
        <v/>
      </c>
    </row>
    <row r="6075" customFormat="false" ht="15" hidden="false" customHeight="false" outlineLevel="0" collapsed="false">
      <c r="H6075" s="0" t="str">
        <f aca="false">IF(B6075="","",IF(COUNTIF(Campaigns!$A$7:$A$300,B6075)&gt;0,"✓","⚠ add to Campaigns tab"))</f>
        <v/>
      </c>
      <c r="I6075" s="84" t="str">
        <f aca="false">IF(C6075="","",C6075*IF(Settings!$B$23=Settings!$C$6,1,IF(Settings!$B$23="USD",1/INDEX(Settings!$B$29:$B$40,MONTH(A6075)),INDEX(Settings!$B$29:$B$40,MONTH(A6075)))))</f>
        <v/>
      </c>
    </row>
    <row r="6076" customFormat="false" ht="15" hidden="false" customHeight="false" outlineLevel="0" collapsed="false">
      <c r="H6076" s="0" t="str">
        <f aca="false">IF(B6076="","",IF(COUNTIF(Campaigns!$A$7:$A$300,B6076)&gt;0,"✓","⚠ add to Campaigns tab"))</f>
        <v/>
      </c>
      <c r="I6076" s="84" t="str">
        <f aca="false">IF(C6076="","",C6076*IF(Settings!$B$23=Settings!$C$6,1,IF(Settings!$B$23="USD",1/INDEX(Settings!$B$29:$B$40,MONTH(A6076)),INDEX(Settings!$B$29:$B$40,MONTH(A6076)))))</f>
        <v/>
      </c>
    </row>
    <row r="6077" customFormat="false" ht="15" hidden="false" customHeight="false" outlineLevel="0" collapsed="false">
      <c r="H6077" s="0" t="str">
        <f aca="false">IF(B6077="","",IF(COUNTIF(Campaigns!$A$7:$A$300,B6077)&gt;0,"✓","⚠ add to Campaigns tab"))</f>
        <v/>
      </c>
      <c r="I6077" s="84" t="str">
        <f aca="false">IF(C6077="","",C6077*IF(Settings!$B$23=Settings!$C$6,1,IF(Settings!$B$23="USD",1/INDEX(Settings!$B$29:$B$40,MONTH(A6077)),INDEX(Settings!$B$29:$B$40,MONTH(A6077)))))</f>
        <v/>
      </c>
    </row>
    <row r="6078" customFormat="false" ht="15" hidden="false" customHeight="false" outlineLevel="0" collapsed="false">
      <c r="H6078" s="0" t="str">
        <f aca="false">IF(B6078="","",IF(COUNTIF(Campaigns!$A$7:$A$300,B6078)&gt;0,"✓","⚠ add to Campaigns tab"))</f>
        <v/>
      </c>
      <c r="I6078" s="84" t="str">
        <f aca="false">IF(C6078="","",C6078*IF(Settings!$B$23=Settings!$C$6,1,IF(Settings!$B$23="USD",1/INDEX(Settings!$B$29:$B$40,MONTH(A6078)),INDEX(Settings!$B$29:$B$40,MONTH(A6078)))))</f>
        <v/>
      </c>
    </row>
    <row r="6079" customFormat="false" ht="15" hidden="false" customHeight="false" outlineLevel="0" collapsed="false">
      <c r="H6079" s="0" t="str">
        <f aca="false">IF(B6079="","",IF(COUNTIF(Campaigns!$A$7:$A$300,B6079)&gt;0,"✓","⚠ add to Campaigns tab"))</f>
        <v/>
      </c>
      <c r="I6079" s="84" t="str">
        <f aca="false">IF(C6079="","",C6079*IF(Settings!$B$23=Settings!$C$6,1,IF(Settings!$B$23="USD",1/INDEX(Settings!$B$29:$B$40,MONTH(A6079)),INDEX(Settings!$B$29:$B$40,MONTH(A6079)))))</f>
        <v/>
      </c>
    </row>
    <row r="6080" customFormat="false" ht="15" hidden="false" customHeight="false" outlineLevel="0" collapsed="false">
      <c r="H6080" s="0" t="str">
        <f aca="false">IF(B6080="","",IF(COUNTIF(Campaigns!$A$7:$A$300,B6080)&gt;0,"✓","⚠ add to Campaigns tab"))</f>
        <v/>
      </c>
      <c r="I6080" s="84" t="str">
        <f aca="false">IF(C6080="","",C6080*IF(Settings!$B$23=Settings!$C$6,1,IF(Settings!$B$23="USD",1/INDEX(Settings!$B$29:$B$40,MONTH(A6080)),INDEX(Settings!$B$29:$B$40,MONTH(A6080)))))</f>
        <v/>
      </c>
    </row>
    <row r="6081" customFormat="false" ht="15" hidden="false" customHeight="false" outlineLevel="0" collapsed="false">
      <c r="H6081" s="0" t="str">
        <f aca="false">IF(B6081="","",IF(COUNTIF(Campaigns!$A$7:$A$300,B6081)&gt;0,"✓","⚠ add to Campaigns tab"))</f>
        <v/>
      </c>
      <c r="I6081" s="84" t="str">
        <f aca="false">IF(C6081="","",C6081*IF(Settings!$B$23=Settings!$C$6,1,IF(Settings!$B$23="USD",1/INDEX(Settings!$B$29:$B$40,MONTH(A6081)),INDEX(Settings!$B$29:$B$40,MONTH(A6081)))))</f>
        <v/>
      </c>
    </row>
    <row r="6082" customFormat="false" ht="15" hidden="false" customHeight="false" outlineLevel="0" collapsed="false">
      <c r="H6082" s="0" t="str">
        <f aca="false">IF(B6082="","",IF(COUNTIF(Campaigns!$A$7:$A$300,B6082)&gt;0,"✓","⚠ add to Campaigns tab"))</f>
        <v/>
      </c>
      <c r="I6082" s="84" t="str">
        <f aca="false">IF(C6082="","",C6082*IF(Settings!$B$23=Settings!$C$6,1,IF(Settings!$B$23="USD",1/INDEX(Settings!$B$29:$B$40,MONTH(A6082)),INDEX(Settings!$B$29:$B$40,MONTH(A6082)))))</f>
        <v/>
      </c>
    </row>
    <row r="6083" customFormat="false" ht="15" hidden="false" customHeight="false" outlineLevel="0" collapsed="false">
      <c r="H6083" s="0" t="str">
        <f aca="false">IF(B6083="","",IF(COUNTIF(Campaigns!$A$7:$A$300,B6083)&gt;0,"✓","⚠ add to Campaigns tab"))</f>
        <v/>
      </c>
      <c r="I6083" s="84" t="str">
        <f aca="false">IF(C6083="","",C6083*IF(Settings!$B$23=Settings!$C$6,1,IF(Settings!$B$23="USD",1/INDEX(Settings!$B$29:$B$40,MONTH(A6083)),INDEX(Settings!$B$29:$B$40,MONTH(A6083)))))</f>
        <v/>
      </c>
    </row>
    <row r="6084" customFormat="false" ht="15" hidden="false" customHeight="false" outlineLevel="0" collapsed="false">
      <c r="H6084" s="0" t="str">
        <f aca="false">IF(B6084="","",IF(COUNTIF(Campaigns!$A$7:$A$300,B6084)&gt;0,"✓","⚠ add to Campaigns tab"))</f>
        <v/>
      </c>
      <c r="I6084" s="84" t="str">
        <f aca="false">IF(C6084="","",C6084*IF(Settings!$B$23=Settings!$C$6,1,IF(Settings!$B$23="USD",1/INDEX(Settings!$B$29:$B$40,MONTH(A6084)),INDEX(Settings!$B$29:$B$40,MONTH(A6084)))))</f>
        <v/>
      </c>
    </row>
    <row r="6085" customFormat="false" ht="15" hidden="false" customHeight="false" outlineLevel="0" collapsed="false">
      <c r="H6085" s="0" t="str">
        <f aca="false">IF(B6085="","",IF(COUNTIF(Campaigns!$A$7:$A$300,B6085)&gt;0,"✓","⚠ add to Campaigns tab"))</f>
        <v/>
      </c>
      <c r="I6085" s="84" t="str">
        <f aca="false">IF(C6085="","",C6085*IF(Settings!$B$23=Settings!$C$6,1,IF(Settings!$B$23="USD",1/INDEX(Settings!$B$29:$B$40,MONTH(A6085)),INDEX(Settings!$B$29:$B$40,MONTH(A6085)))))</f>
        <v/>
      </c>
    </row>
    <row r="6086" customFormat="false" ht="15" hidden="false" customHeight="false" outlineLevel="0" collapsed="false">
      <c r="H6086" s="0" t="str">
        <f aca="false">IF(B6086="","",IF(COUNTIF(Campaigns!$A$7:$A$300,B6086)&gt;0,"✓","⚠ add to Campaigns tab"))</f>
        <v/>
      </c>
      <c r="I6086" s="84" t="str">
        <f aca="false">IF(C6086="","",C6086*IF(Settings!$B$23=Settings!$C$6,1,IF(Settings!$B$23="USD",1/INDEX(Settings!$B$29:$B$40,MONTH(A6086)),INDEX(Settings!$B$29:$B$40,MONTH(A6086)))))</f>
        <v/>
      </c>
    </row>
    <row r="6087" customFormat="false" ht="15" hidden="false" customHeight="false" outlineLevel="0" collapsed="false">
      <c r="H6087" s="0" t="str">
        <f aca="false">IF(B6087="","",IF(COUNTIF(Campaigns!$A$7:$A$300,B6087)&gt;0,"✓","⚠ add to Campaigns tab"))</f>
        <v/>
      </c>
      <c r="I6087" s="84" t="str">
        <f aca="false">IF(C6087="","",C6087*IF(Settings!$B$23=Settings!$C$6,1,IF(Settings!$B$23="USD",1/INDEX(Settings!$B$29:$B$40,MONTH(A6087)),INDEX(Settings!$B$29:$B$40,MONTH(A6087)))))</f>
        <v/>
      </c>
    </row>
    <row r="6088" customFormat="false" ht="15" hidden="false" customHeight="false" outlineLevel="0" collapsed="false">
      <c r="H6088" s="0" t="str">
        <f aca="false">IF(B6088="","",IF(COUNTIF(Campaigns!$A$7:$A$300,B6088)&gt;0,"✓","⚠ add to Campaigns tab"))</f>
        <v/>
      </c>
      <c r="I6088" s="84" t="str">
        <f aca="false">IF(C6088="","",C6088*IF(Settings!$B$23=Settings!$C$6,1,IF(Settings!$B$23="USD",1/INDEX(Settings!$B$29:$B$40,MONTH(A6088)),INDEX(Settings!$B$29:$B$40,MONTH(A6088)))))</f>
        <v/>
      </c>
    </row>
    <row r="6089" customFormat="false" ht="15" hidden="false" customHeight="false" outlineLevel="0" collapsed="false">
      <c r="H6089" s="0" t="str">
        <f aca="false">IF(B6089="","",IF(COUNTIF(Campaigns!$A$7:$A$300,B6089)&gt;0,"✓","⚠ add to Campaigns tab"))</f>
        <v/>
      </c>
      <c r="I6089" s="84" t="str">
        <f aca="false">IF(C6089="","",C6089*IF(Settings!$B$23=Settings!$C$6,1,IF(Settings!$B$23="USD",1/INDEX(Settings!$B$29:$B$40,MONTH(A6089)),INDEX(Settings!$B$29:$B$40,MONTH(A6089)))))</f>
        <v/>
      </c>
    </row>
    <row r="6090" customFormat="false" ht="15" hidden="false" customHeight="false" outlineLevel="0" collapsed="false">
      <c r="H6090" s="0" t="str">
        <f aca="false">IF(B6090="","",IF(COUNTIF(Campaigns!$A$7:$A$300,B6090)&gt;0,"✓","⚠ add to Campaigns tab"))</f>
        <v/>
      </c>
      <c r="I6090" s="84" t="str">
        <f aca="false">IF(C6090="","",C6090*IF(Settings!$B$23=Settings!$C$6,1,IF(Settings!$B$23="USD",1/INDEX(Settings!$B$29:$B$40,MONTH(A6090)),INDEX(Settings!$B$29:$B$40,MONTH(A6090)))))</f>
        <v/>
      </c>
    </row>
    <row r="6091" customFormat="false" ht="15" hidden="false" customHeight="false" outlineLevel="0" collapsed="false">
      <c r="H6091" s="0" t="str">
        <f aca="false">IF(B6091="","",IF(COUNTIF(Campaigns!$A$7:$A$300,B6091)&gt;0,"✓","⚠ add to Campaigns tab"))</f>
        <v/>
      </c>
      <c r="I6091" s="84" t="str">
        <f aca="false">IF(C6091="","",C6091*IF(Settings!$B$23=Settings!$C$6,1,IF(Settings!$B$23="USD",1/INDEX(Settings!$B$29:$B$40,MONTH(A6091)),INDEX(Settings!$B$29:$B$40,MONTH(A6091)))))</f>
        <v/>
      </c>
    </row>
    <row r="6092" customFormat="false" ht="15" hidden="false" customHeight="false" outlineLevel="0" collapsed="false">
      <c r="H6092" s="0" t="str">
        <f aca="false">IF(B6092="","",IF(COUNTIF(Campaigns!$A$7:$A$300,B6092)&gt;0,"✓","⚠ add to Campaigns tab"))</f>
        <v/>
      </c>
      <c r="I6092" s="84" t="str">
        <f aca="false">IF(C6092="","",C6092*IF(Settings!$B$23=Settings!$C$6,1,IF(Settings!$B$23="USD",1/INDEX(Settings!$B$29:$B$40,MONTH(A6092)),INDEX(Settings!$B$29:$B$40,MONTH(A6092)))))</f>
        <v/>
      </c>
    </row>
    <row r="6093" customFormat="false" ht="15" hidden="false" customHeight="false" outlineLevel="0" collapsed="false">
      <c r="H6093" s="0" t="str">
        <f aca="false">IF(B6093="","",IF(COUNTIF(Campaigns!$A$7:$A$300,B6093)&gt;0,"✓","⚠ add to Campaigns tab"))</f>
        <v/>
      </c>
      <c r="I6093" s="84" t="str">
        <f aca="false">IF(C6093="","",C6093*IF(Settings!$B$23=Settings!$C$6,1,IF(Settings!$B$23="USD",1/INDEX(Settings!$B$29:$B$40,MONTH(A6093)),INDEX(Settings!$B$29:$B$40,MONTH(A6093)))))</f>
        <v/>
      </c>
    </row>
    <row r="6094" customFormat="false" ht="15" hidden="false" customHeight="false" outlineLevel="0" collapsed="false">
      <c r="H6094" s="0" t="str">
        <f aca="false">IF(B6094="","",IF(COUNTIF(Campaigns!$A$7:$A$300,B6094)&gt;0,"✓","⚠ add to Campaigns tab"))</f>
        <v/>
      </c>
      <c r="I6094" s="84" t="str">
        <f aca="false">IF(C6094="","",C6094*IF(Settings!$B$23=Settings!$C$6,1,IF(Settings!$B$23="USD",1/INDEX(Settings!$B$29:$B$40,MONTH(A6094)),INDEX(Settings!$B$29:$B$40,MONTH(A6094)))))</f>
        <v/>
      </c>
    </row>
    <row r="6095" customFormat="false" ht="15" hidden="false" customHeight="false" outlineLevel="0" collapsed="false">
      <c r="H6095" s="0" t="str">
        <f aca="false">IF(B6095="","",IF(COUNTIF(Campaigns!$A$7:$A$300,B6095)&gt;0,"✓","⚠ add to Campaigns tab"))</f>
        <v/>
      </c>
      <c r="I6095" s="84" t="str">
        <f aca="false">IF(C6095="","",C6095*IF(Settings!$B$23=Settings!$C$6,1,IF(Settings!$B$23="USD",1/INDEX(Settings!$B$29:$B$40,MONTH(A6095)),INDEX(Settings!$B$29:$B$40,MONTH(A6095)))))</f>
        <v/>
      </c>
    </row>
    <row r="6096" customFormat="false" ht="15" hidden="false" customHeight="false" outlineLevel="0" collapsed="false">
      <c r="H6096" s="0" t="str">
        <f aca="false">IF(B6096="","",IF(COUNTIF(Campaigns!$A$7:$A$300,B6096)&gt;0,"✓","⚠ add to Campaigns tab"))</f>
        <v/>
      </c>
      <c r="I6096" s="84" t="str">
        <f aca="false">IF(C6096="","",C6096*IF(Settings!$B$23=Settings!$C$6,1,IF(Settings!$B$23="USD",1/INDEX(Settings!$B$29:$B$40,MONTH(A6096)),INDEX(Settings!$B$29:$B$40,MONTH(A6096)))))</f>
        <v/>
      </c>
    </row>
    <row r="6097" customFormat="false" ht="15" hidden="false" customHeight="false" outlineLevel="0" collapsed="false">
      <c r="H6097" s="0" t="str">
        <f aca="false">IF(B6097="","",IF(COUNTIF(Campaigns!$A$7:$A$300,B6097)&gt;0,"✓","⚠ add to Campaigns tab"))</f>
        <v/>
      </c>
      <c r="I6097" s="84" t="str">
        <f aca="false">IF(C6097="","",C6097*IF(Settings!$B$23=Settings!$C$6,1,IF(Settings!$B$23="USD",1/INDEX(Settings!$B$29:$B$40,MONTH(A6097)),INDEX(Settings!$B$29:$B$40,MONTH(A6097)))))</f>
        <v/>
      </c>
    </row>
    <row r="6098" customFormat="false" ht="15" hidden="false" customHeight="false" outlineLevel="0" collapsed="false">
      <c r="H6098" s="0" t="str">
        <f aca="false">IF(B6098="","",IF(COUNTIF(Campaigns!$A$7:$A$300,B6098)&gt;0,"✓","⚠ add to Campaigns tab"))</f>
        <v/>
      </c>
      <c r="I6098" s="84" t="str">
        <f aca="false">IF(C6098="","",C6098*IF(Settings!$B$23=Settings!$C$6,1,IF(Settings!$B$23="USD",1/INDEX(Settings!$B$29:$B$40,MONTH(A6098)),INDEX(Settings!$B$29:$B$40,MONTH(A6098)))))</f>
        <v/>
      </c>
    </row>
    <row r="6099" customFormat="false" ht="15" hidden="false" customHeight="false" outlineLevel="0" collapsed="false">
      <c r="H6099" s="0" t="str">
        <f aca="false">IF(B6099="","",IF(COUNTIF(Campaigns!$A$7:$A$300,B6099)&gt;0,"✓","⚠ add to Campaigns tab"))</f>
        <v/>
      </c>
      <c r="I6099" s="84" t="str">
        <f aca="false">IF(C6099="","",C6099*IF(Settings!$B$23=Settings!$C$6,1,IF(Settings!$B$23="USD",1/INDEX(Settings!$B$29:$B$40,MONTH(A6099)),INDEX(Settings!$B$29:$B$40,MONTH(A6099)))))</f>
        <v/>
      </c>
    </row>
    <row r="6100" customFormat="false" ht="15" hidden="false" customHeight="false" outlineLevel="0" collapsed="false">
      <c r="H6100" s="0" t="str">
        <f aca="false">IF(B6100="","",IF(COUNTIF(Campaigns!$A$7:$A$300,B6100)&gt;0,"✓","⚠ add to Campaigns tab"))</f>
        <v/>
      </c>
      <c r="I6100" s="84" t="str">
        <f aca="false">IF(C6100="","",C6100*IF(Settings!$B$23=Settings!$C$6,1,IF(Settings!$B$23="USD",1/INDEX(Settings!$B$29:$B$40,MONTH(A6100)),INDEX(Settings!$B$29:$B$40,MONTH(A6100)))))</f>
        <v/>
      </c>
    </row>
    <row r="6101" customFormat="false" ht="15" hidden="false" customHeight="false" outlineLevel="0" collapsed="false">
      <c r="H6101" s="0" t="str">
        <f aca="false">IF(B6101="","",IF(COUNTIF(Campaigns!$A$7:$A$300,B6101)&gt;0,"✓","⚠ add to Campaigns tab"))</f>
        <v/>
      </c>
      <c r="I6101" s="84" t="str">
        <f aca="false">IF(C6101="","",C6101*IF(Settings!$B$23=Settings!$C$6,1,IF(Settings!$B$23="USD",1/INDEX(Settings!$B$29:$B$40,MONTH(A6101)),INDEX(Settings!$B$29:$B$40,MONTH(A6101)))))</f>
        <v/>
      </c>
    </row>
    <row r="6102" customFormat="false" ht="15" hidden="false" customHeight="false" outlineLevel="0" collapsed="false">
      <c r="H6102" s="0" t="str">
        <f aca="false">IF(B6102="","",IF(COUNTIF(Campaigns!$A$7:$A$300,B6102)&gt;0,"✓","⚠ add to Campaigns tab"))</f>
        <v/>
      </c>
      <c r="I6102" s="84" t="str">
        <f aca="false">IF(C6102="","",C6102*IF(Settings!$B$23=Settings!$C$6,1,IF(Settings!$B$23="USD",1/INDEX(Settings!$B$29:$B$40,MONTH(A6102)),INDEX(Settings!$B$29:$B$40,MONTH(A6102)))))</f>
        <v/>
      </c>
    </row>
    <row r="6103" customFormat="false" ht="15" hidden="false" customHeight="false" outlineLevel="0" collapsed="false">
      <c r="H6103" s="0" t="str">
        <f aca="false">IF(B6103="","",IF(COUNTIF(Campaigns!$A$7:$A$300,B6103)&gt;0,"✓","⚠ add to Campaigns tab"))</f>
        <v/>
      </c>
      <c r="I6103" s="84" t="str">
        <f aca="false">IF(C6103="","",C6103*IF(Settings!$B$23=Settings!$C$6,1,IF(Settings!$B$23="USD",1/INDEX(Settings!$B$29:$B$40,MONTH(A6103)),INDEX(Settings!$B$29:$B$40,MONTH(A6103)))))</f>
        <v/>
      </c>
    </row>
    <row r="6104" customFormat="false" ht="15" hidden="false" customHeight="false" outlineLevel="0" collapsed="false">
      <c r="H6104" s="0" t="str">
        <f aca="false">IF(B6104="","",IF(COUNTIF(Campaigns!$A$7:$A$300,B6104)&gt;0,"✓","⚠ add to Campaigns tab"))</f>
        <v/>
      </c>
      <c r="I6104" s="84" t="str">
        <f aca="false">IF(C6104="","",C6104*IF(Settings!$B$23=Settings!$C$6,1,IF(Settings!$B$23="USD",1/INDEX(Settings!$B$29:$B$40,MONTH(A6104)),INDEX(Settings!$B$29:$B$40,MONTH(A6104)))))</f>
        <v/>
      </c>
    </row>
    <row r="6105" customFormat="false" ht="15" hidden="false" customHeight="false" outlineLevel="0" collapsed="false">
      <c r="H6105" s="0" t="str">
        <f aca="false">IF(B6105="","",IF(COUNTIF(Campaigns!$A$7:$A$300,B6105)&gt;0,"✓","⚠ add to Campaigns tab"))</f>
        <v/>
      </c>
      <c r="I6105" s="84" t="str">
        <f aca="false">IF(C6105="","",C6105*IF(Settings!$B$23=Settings!$C$6,1,IF(Settings!$B$23="USD",1/INDEX(Settings!$B$29:$B$40,MONTH(A6105)),INDEX(Settings!$B$29:$B$40,MONTH(A6105)))))</f>
        <v/>
      </c>
    </row>
    <row r="6106" customFormat="false" ht="15" hidden="false" customHeight="false" outlineLevel="0" collapsed="false">
      <c r="H6106" s="0" t="str">
        <f aca="false">IF(B6106="","",IF(COUNTIF(Campaigns!$A$7:$A$300,B6106)&gt;0,"✓","⚠ add to Campaigns tab"))</f>
        <v/>
      </c>
      <c r="I6106" s="84" t="str">
        <f aca="false">IF(C6106="","",C6106*IF(Settings!$B$23=Settings!$C$6,1,IF(Settings!$B$23="USD",1/INDEX(Settings!$B$29:$B$40,MONTH(A6106)),INDEX(Settings!$B$29:$B$40,MONTH(A6106)))))</f>
        <v/>
      </c>
    </row>
    <row r="6107" customFormat="false" ht="15" hidden="false" customHeight="false" outlineLevel="0" collapsed="false">
      <c r="H6107" s="0" t="str">
        <f aca="false">IF(B6107="","",IF(COUNTIF(Campaigns!$A$7:$A$300,B6107)&gt;0,"✓","⚠ add to Campaigns tab"))</f>
        <v/>
      </c>
      <c r="I6107" s="84" t="str">
        <f aca="false">IF(C6107="","",C6107*IF(Settings!$B$23=Settings!$C$6,1,IF(Settings!$B$23="USD",1/INDEX(Settings!$B$29:$B$40,MONTH(A6107)),INDEX(Settings!$B$29:$B$40,MONTH(A6107)))))</f>
        <v/>
      </c>
    </row>
    <row r="6108" customFormat="false" ht="15" hidden="false" customHeight="false" outlineLevel="0" collapsed="false">
      <c r="H6108" s="0" t="str">
        <f aca="false">IF(B6108="","",IF(COUNTIF(Campaigns!$A$7:$A$300,B6108)&gt;0,"✓","⚠ add to Campaigns tab"))</f>
        <v/>
      </c>
      <c r="I6108" s="84" t="str">
        <f aca="false">IF(C6108="","",C6108*IF(Settings!$B$23=Settings!$C$6,1,IF(Settings!$B$23="USD",1/INDEX(Settings!$B$29:$B$40,MONTH(A6108)),INDEX(Settings!$B$29:$B$40,MONTH(A6108)))))</f>
        <v/>
      </c>
    </row>
    <row r="6109" customFormat="false" ht="15" hidden="false" customHeight="false" outlineLevel="0" collapsed="false">
      <c r="H6109" s="0" t="str">
        <f aca="false">IF(B6109="","",IF(COUNTIF(Campaigns!$A$7:$A$300,B6109)&gt;0,"✓","⚠ add to Campaigns tab"))</f>
        <v/>
      </c>
      <c r="I6109" s="84" t="str">
        <f aca="false">IF(C6109="","",C6109*IF(Settings!$B$23=Settings!$C$6,1,IF(Settings!$B$23="USD",1/INDEX(Settings!$B$29:$B$40,MONTH(A6109)),INDEX(Settings!$B$29:$B$40,MONTH(A6109)))))</f>
        <v/>
      </c>
    </row>
    <row r="6110" customFormat="false" ht="15" hidden="false" customHeight="false" outlineLevel="0" collapsed="false">
      <c r="H6110" s="0" t="str">
        <f aca="false">IF(B6110="","",IF(COUNTIF(Campaigns!$A$7:$A$300,B6110)&gt;0,"✓","⚠ add to Campaigns tab"))</f>
        <v/>
      </c>
      <c r="I6110" s="84" t="str">
        <f aca="false">IF(C6110="","",C6110*IF(Settings!$B$23=Settings!$C$6,1,IF(Settings!$B$23="USD",1/INDEX(Settings!$B$29:$B$40,MONTH(A6110)),INDEX(Settings!$B$29:$B$40,MONTH(A6110)))))</f>
        <v/>
      </c>
    </row>
    <row r="6111" customFormat="false" ht="15" hidden="false" customHeight="false" outlineLevel="0" collapsed="false">
      <c r="H6111" s="0" t="str">
        <f aca="false">IF(B6111="","",IF(COUNTIF(Campaigns!$A$7:$A$300,B6111)&gt;0,"✓","⚠ add to Campaigns tab"))</f>
        <v/>
      </c>
      <c r="I6111" s="84" t="str">
        <f aca="false">IF(C6111="","",C6111*IF(Settings!$B$23=Settings!$C$6,1,IF(Settings!$B$23="USD",1/INDEX(Settings!$B$29:$B$40,MONTH(A6111)),INDEX(Settings!$B$29:$B$40,MONTH(A6111)))))</f>
        <v/>
      </c>
    </row>
    <row r="6112" customFormat="false" ht="15" hidden="false" customHeight="false" outlineLevel="0" collapsed="false">
      <c r="H6112" s="0" t="str">
        <f aca="false">IF(B6112="","",IF(COUNTIF(Campaigns!$A$7:$A$300,B6112)&gt;0,"✓","⚠ add to Campaigns tab"))</f>
        <v/>
      </c>
      <c r="I6112" s="84" t="str">
        <f aca="false">IF(C6112="","",C6112*IF(Settings!$B$23=Settings!$C$6,1,IF(Settings!$B$23="USD",1/INDEX(Settings!$B$29:$B$40,MONTH(A6112)),INDEX(Settings!$B$29:$B$40,MONTH(A6112)))))</f>
        <v/>
      </c>
    </row>
    <row r="6113" customFormat="false" ht="15" hidden="false" customHeight="false" outlineLevel="0" collapsed="false">
      <c r="H6113" s="0" t="str">
        <f aca="false">IF(B6113="","",IF(COUNTIF(Campaigns!$A$7:$A$300,B6113)&gt;0,"✓","⚠ add to Campaigns tab"))</f>
        <v/>
      </c>
      <c r="I6113" s="84" t="str">
        <f aca="false">IF(C6113="","",C6113*IF(Settings!$B$23=Settings!$C$6,1,IF(Settings!$B$23="USD",1/INDEX(Settings!$B$29:$B$40,MONTH(A6113)),INDEX(Settings!$B$29:$B$40,MONTH(A6113)))))</f>
        <v/>
      </c>
    </row>
    <row r="6114" customFormat="false" ht="15" hidden="false" customHeight="false" outlineLevel="0" collapsed="false">
      <c r="H6114" s="0" t="str">
        <f aca="false">IF(B6114="","",IF(COUNTIF(Campaigns!$A$7:$A$300,B6114)&gt;0,"✓","⚠ add to Campaigns tab"))</f>
        <v/>
      </c>
      <c r="I6114" s="84" t="str">
        <f aca="false">IF(C6114="","",C6114*IF(Settings!$B$23=Settings!$C$6,1,IF(Settings!$B$23="USD",1/INDEX(Settings!$B$29:$B$40,MONTH(A6114)),INDEX(Settings!$B$29:$B$40,MONTH(A6114)))))</f>
        <v/>
      </c>
    </row>
    <row r="6115" customFormat="false" ht="15" hidden="false" customHeight="false" outlineLevel="0" collapsed="false">
      <c r="H6115" s="0" t="str">
        <f aca="false">IF(B6115="","",IF(COUNTIF(Campaigns!$A$7:$A$300,B6115)&gt;0,"✓","⚠ add to Campaigns tab"))</f>
        <v/>
      </c>
      <c r="I6115" s="84" t="str">
        <f aca="false">IF(C6115="","",C6115*IF(Settings!$B$23=Settings!$C$6,1,IF(Settings!$B$23="USD",1/INDEX(Settings!$B$29:$B$40,MONTH(A6115)),INDEX(Settings!$B$29:$B$40,MONTH(A6115)))))</f>
        <v/>
      </c>
    </row>
    <row r="6116" customFormat="false" ht="15" hidden="false" customHeight="false" outlineLevel="0" collapsed="false">
      <c r="H6116" s="0" t="str">
        <f aca="false">IF(B6116="","",IF(COUNTIF(Campaigns!$A$7:$A$300,B6116)&gt;0,"✓","⚠ add to Campaigns tab"))</f>
        <v/>
      </c>
      <c r="I6116" s="84" t="str">
        <f aca="false">IF(C6116="","",C6116*IF(Settings!$B$23=Settings!$C$6,1,IF(Settings!$B$23="USD",1/INDEX(Settings!$B$29:$B$40,MONTH(A6116)),INDEX(Settings!$B$29:$B$40,MONTH(A6116)))))</f>
        <v/>
      </c>
    </row>
    <row r="6117" customFormat="false" ht="15" hidden="false" customHeight="false" outlineLevel="0" collapsed="false">
      <c r="H6117" s="0" t="str">
        <f aca="false">IF(B6117="","",IF(COUNTIF(Campaigns!$A$7:$A$300,B6117)&gt;0,"✓","⚠ add to Campaigns tab"))</f>
        <v/>
      </c>
      <c r="I6117" s="84" t="str">
        <f aca="false">IF(C6117="","",C6117*IF(Settings!$B$23=Settings!$C$6,1,IF(Settings!$B$23="USD",1/INDEX(Settings!$B$29:$B$40,MONTH(A6117)),INDEX(Settings!$B$29:$B$40,MONTH(A6117)))))</f>
        <v/>
      </c>
    </row>
    <row r="6118" customFormat="false" ht="15" hidden="false" customHeight="false" outlineLevel="0" collapsed="false">
      <c r="H6118" s="0" t="str">
        <f aca="false">IF(B6118="","",IF(COUNTIF(Campaigns!$A$7:$A$300,B6118)&gt;0,"✓","⚠ add to Campaigns tab"))</f>
        <v/>
      </c>
      <c r="I6118" s="84" t="str">
        <f aca="false">IF(C6118="","",C6118*IF(Settings!$B$23=Settings!$C$6,1,IF(Settings!$B$23="USD",1/INDEX(Settings!$B$29:$B$40,MONTH(A6118)),INDEX(Settings!$B$29:$B$40,MONTH(A6118)))))</f>
        <v/>
      </c>
    </row>
    <row r="6119" customFormat="false" ht="15" hidden="false" customHeight="false" outlineLevel="0" collapsed="false">
      <c r="H6119" s="0" t="str">
        <f aca="false">IF(B6119="","",IF(COUNTIF(Campaigns!$A$7:$A$300,B6119)&gt;0,"✓","⚠ add to Campaigns tab"))</f>
        <v/>
      </c>
      <c r="I6119" s="84" t="str">
        <f aca="false">IF(C6119="","",C6119*IF(Settings!$B$23=Settings!$C$6,1,IF(Settings!$B$23="USD",1/INDEX(Settings!$B$29:$B$40,MONTH(A6119)),INDEX(Settings!$B$29:$B$40,MONTH(A6119)))))</f>
        <v/>
      </c>
    </row>
    <row r="6120" customFormat="false" ht="15" hidden="false" customHeight="false" outlineLevel="0" collapsed="false">
      <c r="H6120" s="0" t="str">
        <f aca="false">IF(B6120="","",IF(COUNTIF(Campaigns!$A$7:$A$300,B6120)&gt;0,"✓","⚠ add to Campaigns tab"))</f>
        <v/>
      </c>
      <c r="I6120" s="84" t="str">
        <f aca="false">IF(C6120="","",C6120*IF(Settings!$B$23=Settings!$C$6,1,IF(Settings!$B$23="USD",1/INDEX(Settings!$B$29:$B$40,MONTH(A6120)),INDEX(Settings!$B$29:$B$40,MONTH(A6120)))))</f>
        <v/>
      </c>
    </row>
    <row r="6121" customFormat="false" ht="15" hidden="false" customHeight="false" outlineLevel="0" collapsed="false">
      <c r="H6121" s="0" t="str">
        <f aca="false">IF(B6121="","",IF(COUNTIF(Campaigns!$A$7:$A$300,B6121)&gt;0,"✓","⚠ add to Campaigns tab"))</f>
        <v/>
      </c>
      <c r="I6121" s="84" t="str">
        <f aca="false">IF(C6121="","",C6121*IF(Settings!$B$23=Settings!$C$6,1,IF(Settings!$B$23="USD",1/INDEX(Settings!$B$29:$B$40,MONTH(A6121)),INDEX(Settings!$B$29:$B$40,MONTH(A6121)))))</f>
        <v/>
      </c>
    </row>
    <row r="6122" customFormat="false" ht="15" hidden="false" customHeight="false" outlineLevel="0" collapsed="false">
      <c r="H6122" s="0" t="str">
        <f aca="false">IF(B6122="","",IF(COUNTIF(Campaigns!$A$7:$A$300,B6122)&gt;0,"✓","⚠ add to Campaigns tab"))</f>
        <v/>
      </c>
      <c r="I6122" s="84" t="str">
        <f aca="false">IF(C6122="","",C6122*IF(Settings!$B$23=Settings!$C$6,1,IF(Settings!$B$23="USD",1/INDEX(Settings!$B$29:$B$40,MONTH(A6122)),INDEX(Settings!$B$29:$B$40,MONTH(A6122)))))</f>
        <v/>
      </c>
    </row>
    <row r="6123" customFormat="false" ht="15" hidden="false" customHeight="false" outlineLevel="0" collapsed="false">
      <c r="H6123" s="0" t="str">
        <f aca="false">IF(B6123="","",IF(COUNTIF(Campaigns!$A$7:$A$300,B6123)&gt;0,"✓","⚠ add to Campaigns tab"))</f>
        <v/>
      </c>
      <c r="I6123" s="84" t="str">
        <f aca="false">IF(C6123="","",C6123*IF(Settings!$B$23=Settings!$C$6,1,IF(Settings!$B$23="USD",1/INDEX(Settings!$B$29:$B$40,MONTH(A6123)),INDEX(Settings!$B$29:$B$40,MONTH(A6123)))))</f>
        <v/>
      </c>
    </row>
    <row r="6124" customFormat="false" ht="15" hidden="false" customHeight="false" outlineLevel="0" collapsed="false">
      <c r="H6124" s="0" t="str">
        <f aca="false">IF(B6124="","",IF(COUNTIF(Campaigns!$A$7:$A$300,B6124)&gt;0,"✓","⚠ add to Campaigns tab"))</f>
        <v/>
      </c>
      <c r="I6124" s="84" t="str">
        <f aca="false">IF(C6124="","",C6124*IF(Settings!$B$23=Settings!$C$6,1,IF(Settings!$B$23="USD",1/INDEX(Settings!$B$29:$B$40,MONTH(A6124)),INDEX(Settings!$B$29:$B$40,MONTH(A6124)))))</f>
        <v/>
      </c>
    </row>
    <row r="6125" customFormat="false" ht="15" hidden="false" customHeight="false" outlineLevel="0" collapsed="false">
      <c r="H6125" s="0" t="str">
        <f aca="false">IF(B6125="","",IF(COUNTIF(Campaigns!$A$7:$A$300,B6125)&gt;0,"✓","⚠ add to Campaigns tab"))</f>
        <v/>
      </c>
      <c r="I6125" s="84" t="str">
        <f aca="false">IF(C6125="","",C6125*IF(Settings!$B$23=Settings!$C$6,1,IF(Settings!$B$23="USD",1/INDEX(Settings!$B$29:$B$40,MONTH(A6125)),INDEX(Settings!$B$29:$B$40,MONTH(A6125)))))</f>
        <v/>
      </c>
    </row>
    <row r="6126" customFormat="false" ht="15" hidden="false" customHeight="false" outlineLevel="0" collapsed="false">
      <c r="H6126" s="0" t="str">
        <f aca="false">IF(B6126="","",IF(COUNTIF(Campaigns!$A$7:$A$300,B6126)&gt;0,"✓","⚠ add to Campaigns tab"))</f>
        <v/>
      </c>
      <c r="I6126" s="84" t="str">
        <f aca="false">IF(C6126="","",C6126*IF(Settings!$B$23=Settings!$C$6,1,IF(Settings!$B$23="USD",1/INDEX(Settings!$B$29:$B$40,MONTH(A6126)),INDEX(Settings!$B$29:$B$40,MONTH(A6126)))))</f>
        <v/>
      </c>
    </row>
    <row r="6127" customFormat="false" ht="15" hidden="false" customHeight="false" outlineLevel="0" collapsed="false">
      <c r="H6127" s="0" t="str">
        <f aca="false">IF(B6127="","",IF(COUNTIF(Campaigns!$A$7:$A$300,B6127)&gt;0,"✓","⚠ add to Campaigns tab"))</f>
        <v/>
      </c>
      <c r="I6127" s="84" t="str">
        <f aca="false">IF(C6127="","",C6127*IF(Settings!$B$23=Settings!$C$6,1,IF(Settings!$B$23="USD",1/INDEX(Settings!$B$29:$B$40,MONTH(A6127)),INDEX(Settings!$B$29:$B$40,MONTH(A6127)))))</f>
        <v/>
      </c>
    </row>
    <row r="6128" customFormat="false" ht="15" hidden="false" customHeight="false" outlineLevel="0" collapsed="false">
      <c r="H6128" s="0" t="str">
        <f aca="false">IF(B6128="","",IF(COUNTIF(Campaigns!$A$7:$A$300,B6128)&gt;0,"✓","⚠ add to Campaigns tab"))</f>
        <v/>
      </c>
      <c r="I6128" s="84" t="str">
        <f aca="false">IF(C6128="","",C6128*IF(Settings!$B$23=Settings!$C$6,1,IF(Settings!$B$23="USD",1/INDEX(Settings!$B$29:$B$40,MONTH(A6128)),INDEX(Settings!$B$29:$B$40,MONTH(A6128)))))</f>
        <v/>
      </c>
    </row>
    <row r="6129" customFormat="false" ht="15" hidden="false" customHeight="false" outlineLevel="0" collapsed="false">
      <c r="H6129" s="0" t="str">
        <f aca="false">IF(B6129="","",IF(COUNTIF(Campaigns!$A$7:$A$300,B6129)&gt;0,"✓","⚠ add to Campaigns tab"))</f>
        <v/>
      </c>
      <c r="I6129" s="84" t="str">
        <f aca="false">IF(C6129="","",C6129*IF(Settings!$B$23=Settings!$C$6,1,IF(Settings!$B$23="USD",1/INDEX(Settings!$B$29:$B$40,MONTH(A6129)),INDEX(Settings!$B$29:$B$40,MONTH(A6129)))))</f>
        <v/>
      </c>
    </row>
    <row r="6130" customFormat="false" ht="15" hidden="false" customHeight="false" outlineLevel="0" collapsed="false">
      <c r="H6130" s="0" t="str">
        <f aca="false">IF(B6130="","",IF(COUNTIF(Campaigns!$A$7:$A$300,B6130)&gt;0,"✓","⚠ add to Campaigns tab"))</f>
        <v/>
      </c>
      <c r="I6130" s="84" t="str">
        <f aca="false">IF(C6130="","",C6130*IF(Settings!$B$23=Settings!$C$6,1,IF(Settings!$B$23="USD",1/INDEX(Settings!$B$29:$B$40,MONTH(A6130)),INDEX(Settings!$B$29:$B$40,MONTH(A6130)))))</f>
        <v/>
      </c>
    </row>
    <row r="6131" customFormat="false" ht="15" hidden="false" customHeight="false" outlineLevel="0" collapsed="false">
      <c r="H6131" s="0" t="str">
        <f aca="false">IF(B6131="","",IF(COUNTIF(Campaigns!$A$7:$A$300,B6131)&gt;0,"✓","⚠ add to Campaigns tab"))</f>
        <v/>
      </c>
      <c r="I6131" s="84" t="str">
        <f aca="false">IF(C6131="","",C6131*IF(Settings!$B$23=Settings!$C$6,1,IF(Settings!$B$23="USD",1/INDEX(Settings!$B$29:$B$40,MONTH(A6131)),INDEX(Settings!$B$29:$B$40,MONTH(A6131)))))</f>
        <v/>
      </c>
    </row>
    <row r="6132" customFormat="false" ht="15" hidden="false" customHeight="false" outlineLevel="0" collapsed="false">
      <c r="H6132" s="0" t="str">
        <f aca="false">IF(B6132="","",IF(COUNTIF(Campaigns!$A$7:$A$300,B6132)&gt;0,"✓","⚠ add to Campaigns tab"))</f>
        <v/>
      </c>
      <c r="I6132" s="84" t="str">
        <f aca="false">IF(C6132="","",C6132*IF(Settings!$B$23=Settings!$C$6,1,IF(Settings!$B$23="USD",1/INDEX(Settings!$B$29:$B$40,MONTH(A6132)),INDEX(Settings!$B$29:$B$40,MONTH(A6132)))))</f>
        <v/>
      </c>
    </row>
    <row r="6133" customFormat="false" ht="15" hidden="false" customHeight="false" outlineLevel="0" collapsed="false">
      <c r="H6133" s="0" t="str">
        <f aca="false">IF(B6133="","",IF(COUNTIF(Campaigns!$A$7:$A$300,B6133)&gt;0,"✓","⚠ add to Campaigns tab"))</f>
        <v/>
      </c>
      <c r="I6133" s="84" t="str">
        <f aca="false">IF(C6133="","",C6133*IF(Settings!$B$23=Settings!$C$6,1,IF(Settings!$B$23="USD",1/INDEX(Settings!$B$29:$B$40,MONTH(A6133)),INDEX(Settings!$B$29:$B$40,MONTH(A6133)))))</f>
        <v/>
      </c>
    </row>
    <row r="6134" customFormat="false" ht="15" hidden="false" customHeight="false" outlineLevel="0" collapsed="false">
      <c r="H6134" s="0" t="str">
        <f aca="false">IF(B6134="","",IF(COUNTIF(Campaigns!$A$7:$A$300,B6134)&gt;0,"✓","⚠ add to Campaigns tab"))</f>
        <v/>
      </c>
      <c r="I6134" s="84" t="str">
        <f aca="false">IF(C6134="","",C6134*IF(Settings!$B$23=Settings!$C$6,1,IF(Settings!$B$23="USD",1/INDEX(Settings!$B$29:$B$40,MONTH(A6134)),INDEX(Settings!$B$29:$B$40,MONTH(A6134)))))</f>
        <v/>
      </c>
    </row>
    <row r="6135" customFormat="false" ht="15" hidden="false" customHeight="false" outlineLevel="0" collapsed="false">
      <c r="H6135" s="0" t="str">
        <f aca="false">IF(B6135="","",IF(COUNTIF(Campaigns!$A$7:$A$300,B6135)&gt;0,"✓","⚠ add to Campaigns tab"))</f>
        <v/>
      </c>
      <c r="I6135" s="84" t="str">
        <f aca="false">IF(C6135="","",C6135*IF(Settings!$B$23=Settings!$C$6,1,IF(Settings!$B$23="USD",1/INDEX(Settings!$B$29:$B$40,MONTH(A6135)),INDEX(Settings!$B$29:$B$40,MONTH(A6135)))))</f>
        <v/>
      </c>
    </row>
    <row r="6136" customFormat="false" ht="15" hidden="false" customHeight="false" outlineLevel="0" collapsed="false">
      <c r="H6136" s="0" t="str">
        <f aca="false">IF(B6136="","",IF(COUNTIF(Campaigns!$A$7:$A$300,B6136)&gt;0,"✓","⚠ add to Campaigns tab"))</f>
        <v/>
      </c>
      <c r="I6136" s="84" t="str">
        <f aca="false">IF(C6136="","",C6136*IF(Settings!$B$23=Settings!$C$6,1,IF(Settings!$B$23="USD",1/INDEX(Settings!$B$29:$B$40,MONTH(A6136)),INDEX(Settings!$B$29:$B$40,MONTH(A6136)))))</f>
        <v/>
      </c>
    </row>
    <row r="6137" customFormat="false" ht="15" hidden="false" customHeight="false" outlineLevel="0" collapsed="false">
      <c r="H6137" s="0" t="str">
        <f aca="false">IF(B6137="","",IF(COUNTIF(Campaigns!$A$7:$A$300,B6137)&gt;0,"✓","⚠ add to Campaigns tab"))</f>
        <v/>
      </c>
      <c r="I6137" s="84" t="str">
        <f aca="false">IF(C6137="","",C6137*IF(Settings!$B$23=Settings!$C$6,1,IF(Settings!$B$23="USD",1/INDEX(Settings!$B$29:$B$40,MONTH(A6137)),INDEX(Settings!$B$29:$B$40,MONTH(A6137)))))</f>
        <v/>
      </c>
    </row>
    <row r="6138" customFormat="false" ht="15" hidden="false" customHeight="false" outlineLevel="0" collapsed="false">
      <c r="H6138" s="0" t="str">
        <f aca="false">IF(B6138="","",IF(COUNTIF(Campaigns!$A$7:$A$300,B6138)&gt;0,"✓","⚠ add to Campaigns tab"))</f>
        <v/>
      </c>
      <c r="I6138" s="84" t="str">
        <f aca="false">IF(C6138="","",C6138*IF(Settings!$B$23=Settings!$C$6,1,IF(Settings!$B$23="USD",1/INDEX(Settings!$B$29:$B$40,MONTH(A6138)),INDEX(Settings!$B$29:$B$40,MONTH(A6138)))))</f>
        <v/>
      </c>
    </row>
    <row r="6139" customFormat="false" ht="15" hidden="false" customHeight="false" outlineLevel="0" collapsed="false">
      <c r="H6139" s="0" t="str">
        <f aca="false">IF(B6139="","",IF(COUNTIF(Campaigns!$A$7:$A$300,B6139)&gt;0,"✓","⚠ add to Campaigns tab"))</f>
        <v/>
      </c>
      <c r="I6139" s="84" t="str">
        <f aca="false">IF(C6139="","",C6139*IF(Settings!$B$23=Settings!$C$6,1,IF(Settings!$B$23="USD",1/INDEX(Settings!$B$29:$B$40,MONTH(A6139)),INDEX(Settings!$B$29:$B$40,MONTH(A6139)))))</f>
        <v/>
      </c>
    </row>
    <row r="6140" customFormat="false" ht="15" hidden="false" customHeight="false" outlineLevel="0" collapsed="false">
      <c r="H6140" s="0" t="str">
        <f aca="false">IF(B6140="","",IF(COUNTIF(Campaigns!$A$7:$A$300,B6140)&gt;0,"✓","⚠ add to Campaigns tab"))</f>
        <v/>
      </c>
      <c r="I6140" s="84" t="str">
        <f aca="false">IF(C6140="","",C6140*IF(Settings!$B$23=Settings!$C$6,1,IF(Settings!$B$23="USD",1/INDEX(Settings!$B$29:$B$40,MONTH(A6140)),INDEX(Settings!$B$29:$B$40,MONTH(A6140)))))</f>
        <v/>
      </c>
    </row>
    <row r="6141" customFormat="false" ht="15" hidden="false" customHeight="false" outlineLevel="0" collapsed="false">
      <c r="H6141" s="0" t="str">
        <f aca="false">IF(B6141="","",IF(COUNTIF(Campaigns!$A$7:$A$300,B6141)&gt;0,"✓","⚠ add to Campaigns tab"))</f>
        <v/>
      </c>
      <c r="I6141" s="84" t="str">
        <f aca="false">IF(C6141="","",C6141*IF(Settings!$B$23=Settings!$C$6,1,IF(Settings!$B$23="USD",1/INDEX(Settings!$B$29:$B$40,MONTH(A6141)),INDEX(Settings!$B$29:$B$40,MONTH(A6141)))))</f>
        <v/>
      </c>
    </row>
    <row r="6142" customFormat="false" ht="15" hidden="false" customHeight="false" outlineLevel="0" collapsed="false">
      <c r="H6142" s="0" t="str">
        <f aca="false">IF(B6142="","",IF(COUNTIF(Campaigns!$A$7:$A$300,B6142)&gt;0,"✓","⚠ add to Campaigns tab"))</f>
        <v/>
      </c>
      <c r="I6142" s="84" t="str">
        <f aca="false">IF(C6142="","",C6142*IF(Settings!$B$23=Settings!$C$6,1,IF(Settings!$B$23="USD",1/INDEX(Settings!$B$29:$B$40,MONTH(A6142)),INDEX(Settings!$B$29:$B$40,MONTH(A6142)))))</f>
        <v/>
      </c>
    </row>
    <row r="6143" customFormat="false" ht="15" hidden="false" customHeight="false" outlineLevel="0" collapsed="false">
      <c r="H6143" s="0" t="str">
        <f aca="false">IF(B6143="","",IF(COUNTIF(Campaigns!$A$7:$A$300,B6143)&gt;0,"✓","⚠ add to Campaigns tab"))</f>
        <v/>
      </c>
      <c r="I6143" s="84" t="str">
        <f aca="false">IF(C6143="","",C6143*IF(Settings!$B$23=Settings!$C$6,1,IF(Settings!$B$23="USD",1/INDEX(Settings!$B$29:$B$40,MONTH(A6143)),INDEX(Settings!$B$29:$B$40,MONTH(A6143)))))</f>
        <v/>
      </c>
    </row>
    <row r="6144" customFormat="false" ht="15" hidden="false" customHeight="false" outlineLevel="0" collapsed="false">
      <c r="H6144" s="0" t="str">
        <f aca="false">IF(B6144="","",IF(COUNTIF(Campaigns!$A$7:$A$300,B6144)&gt;0,"✓","⚠ add to Campaigns tab"))</f>
        <v/>
      </c>
      <c r="I6144" s="84" t="str">
        <f aca="false">IF(C6144="","",C6144*IF(Settings!$B$23=Settings!$C$6,1,IF(Settings!$B$23="USD",1/INDEX(Settings!$B$29:$B$40,MONTH(A6144)),INDEX(Settings!$B$29:$B$40,MONTH(A6144)))))</f>
        <v/>
      </c>
    </row>
    <row r="6145" customFormat="false" ht="15" hidden="false" customHeight="false" outlineLevel="0" collapsed="false">
      <c r="H6145" s="0" t="str">
        <f aca="false">IF(B6145="","",IF(COUNTIF(Campaigns!$A$7:$A$300,B6145)&gt;0,"✓","⚠ add to Campaigns tab"))</f>
        <v/>
      </c>
      <c r="I6145" s="84" t="str">
        <f aca="false">IF(C6145="","",C6145*IF(Settings!$B$23=Settings!$C$6,1,IF(Settings!$B$23="USD",1/INDEX(Settings!$B$29:$B$40,MONTH(A6145)),INDEX(Settings!$B$29:$B$40,MONTH(A6145)))))</f>
        <v/>
      </c>
    </row>
    <row r="6146" customFormat="false" ht="15" hidden="false" customHeight="false" outlineLevel="0" collapsed="false">
      <c r="H6146" s="0" t="str">
        <f aca="false">IF(B6146="","",IF(COUNTIF(Campaigns!$A$7:$A$300,B6146)&gt;0,"✓","⚠ add to Campaigns tab"))</f>
        <v/>
      </c>
      <c r="I6146" s="84" t="str">
        <f aca="false">IF(C6146="","",C6146*IF(Settings!$B$23=Settings!$C$6,1,IF(Settings!$B$23="USD",1/INDEX(Settings!$B$29:$B$40,MONTH(A6146)),INDEX(Settings!$B$29:$B$40,MONTH(A6146)))))</f>
        <v/>
      </c>
    </row>
    <row r="6147" customFormat="false" ht="15" hidden="false" customHeight="false" outlineLevel="0" collapsed="false">
      <c r="H6147" s="0" t="str">
        <f aca="false">IF(B6147="","",IF(COUNTIF(Campaigns!$A$7:$A$300,B6147)&gt;0,"✓","⚠ add to Campaigns tab"))</f>
        <v/>
      </c>
      <c r="I6147" s="84" t="str">
        <f aca="false">IF(C6147="","",C6147*IF(Settings!$B$23=Settings!$C$6,1,IF(Settings!$B$23="USD",1/INDEX(Settings!$B$29:$B$40,MONTH(A6147)),INDEX(Settings!$B$29:$B$40,MONTH(A6147)))))</f>
        <v/>
      </c>
    </row>
    <row r="6148" customFormat="false" ht="15" hidden="false" customHeight="false" outlineLevel="0" collapsed="false">
      <c r="H6148" s="0" t="str">
        <f aca="false">IF(B6148="","",IF(COUNTIF(Campaigns!$A$7:$A$300,B6148)&gt;0,"✓","⚠ add to Campaigns tab"))</f>
        <v/>
      </c>
      <c r="I6148" s="84" t="str">
        <f aca="false">IF(C6148="","",C6148*IF(Settings!$B$23=Settings!$C$6,1,IF(Settings!$B$23="USD",1/INDEX(Settings!$B$29:$B$40,MONTH(A6148)),INDEX(Settings!$B$29:$B$40,MONTH(A6148)))))</f>
        <v/>
      </c>
    </row>
    <row r="6149" customFormat="false" ht="15" hidden="false" customHeight="false" outlineLevel="0" collapsed="false">
      <c r="H6149" s="0" t="str">
        <f aca="false">IF(B6149="","",IF(COUNTIF(Campaigns!$A$7:$A$300,B6149)&gt;0,"✓","⚠ add to Campaigns tab"))</f>
        <v/>
      </c>
      <c r="I6149" s="84" t="str">
        <f aca="false">IF(C6149="","",C6149*IF(Settings!$B$23=Settings!$C$6,1,IF(Settings!$B$23="USD",1/INDEX(Settings!$B$29:$B$40,MONTH(A6149)),INDEX(Settings!$B$29:$B$40,MONTH(A6149)))))</f>
        <v/>
      </c>
    </row>
    <row r="6150" customFormat="false" ht="15" hidden="false" customHeight="false" outlineLevel="0" collapsed="false">
      <c r="H6150" s="0" t="str">
        <f aca="false">IF(B6150="","",IF(COUNTIF(Campaigns!$A$7:$A$300,B6150)&gt;0,"✓","⚠ add to Campaigns tab"))</f>
        <v/>
      </c>
      <c r="I6150" s="84" t="str">
        <f aca="false">IF(C6150="","",C6150*IF(Settings!$B$23=Settings!$C$6,1,IF(Settings!$B$23="USD",1/INDEX(Settings!$B$29:$B$40,MONTH(A6150)),INDEX(Settings!$B$29:$B$40,MONTH(A6150)))))</f>
        <v/>
      </c>
    </row>
    <row r="6151" customFormat="false" ht="15" hidden="false" customHeight="false" outlineLevel="0" collapsed="false">
      <c r="H6151" s="0" t="str">
        <f aca="false">IF(B6151="","",IF(COUNTIF(Campaigns!$A$7:$A$300,B6151)&gt;0,"✓","⚠ add to Campaigns tab"))</f>
        <v/>
      </c>
      <c r="I6151" s="84" t="str">
        <f aca="false">IF(C6151="","",C6151*IF(Settings!$B$23=Settings!$C$6,1,IF(Settings!$B$23="USD",1/INDEX(Settings!$B$29:$B$40,MONTH(A6151)),INDEX(Settings!$B$29:$B$40,MONTH(A6151)))))</f>
        <v/>
      </c>
    </row>
    <row r="6152" customFormat="false" ht="15" hidden="false" customHeight="false" outlineLevel="0" collapsed="false">
      <c r="H6152" s="0" t="str">
        <f aca="false">IF(B6152="","",IF(COUNTIF(Campaigns!$A$7:$A$300,B6152)&gt;0,"✓","⚠ add to Campaigns tab"))</f>
        <v/>
      </c>
      <c r="I6152" s="84" t="str">
        <f aca="false">IF(C6152="","",C6152*IF(Settings!$B$23=Settings!$C$6,1,IF(Settings!$B$23="USD",1/INDEX(Settings!$B$29:$B$40,MONTH(A6152)),INDEX(Settings!$B$29:$B$40,MONTH(A6152)))))</f>
        <v/>
      </c>
    </row>
    <row r="6153" customFormat="false" ht="15" hidden="false" customHeight="false" outlineLevel="0" collapsed="false">
      <c r="H6153" s="0" t="str">
        <f aca="false">IF(B6153="","",IF(COUNTIF(Campaigns!$A$7:$A$300,B6153)&gt;0,"✓","⚠ add to Campaigns tab"))</f>
        <v/>
      </c>
      <c r="I6153" s="84" t="str">
        <f aca="false">IF(C6153="","",C6153*IF(Settings!$B$23=Settings!$C$6,1,IF(Settings!$B$23="USD",1/INDEX(Settings!$B$29:$B$40,MONTH(A6153)),INDEX(Settings!$B$29:$B$40,MONTH(A6153)))))</f>
        <v/>
      </c>
    </row>
    <row r="6154" customFormat="false" ht="15" hidden="false" customHeight="false" outlineLevel="0" collapsed="false">
      <c r="H6154" s="0" t="str">
        <f aca="false">IF(B6154="","",IF(COUNTIF(Campaigns!$A$7:$A$300,B6154)&gt;0,"✓","⚠ add to Campaigns tab"))</f>
        <v/>
      </c>
      <c r="I6154" s="84" t="str">
        <f aca="false">IF(C6154="","",C6154*IF(Settings!$B$23=Settings!$C$6,1,IF(Settings!$B$23="USD",1/INDEX(Settings!$B$29:$B$40,MONTH(A6154)),INDEX(Settings!$B$29:$B$40,MONTH(A6154)))))</f>
        <v/>
      </c>
    </row>
    <row r="6155" customFormat="false" ht="15" hidden="false" customHeight="false" outlineLevel="0" collapsed="false">
      <c r="H6155" s="0" t="str">
        <f aca="false">IF(B6155="","",IF(COUNTIF(Campaigns!$A$7:$A$300,B6155)&gt;0,"✓","⚠ add to Campaigns tab"))</f>
        <v/>
      </c>
      <c r="I6155" s="84" t="str">
        <f aca="false">IF(C6155="","",C6155*IF(Settings!$B$23=Settings!$C$6,1,IF(Settings!$B$23="USD",1/INDEX(Settings!$B$29:$B$40,MONTH(A6155)),INDEX(Settings!$B$29:$B$40,MONTH(A6155)))))</f>
        <v/>
      </c>
    </row>
    <row r="6156" customFormat="false" ht="15" hidden="false" customHeight="false" outlineLevel="0" collapsed="false">
      <c r="H6156" s="0" t="str">
        <f aca="false">IF(B6156="","",IF(COUNTIF(Campaigns!$A$7:$A$300,B6156)&gt;0,"✓","⚠ add to Campaigns tab"))</f>
        <v/>
      </c>
      <c r="I6156" s="84" t="str">
        <f aca="false">IF(C6156="","",C6156*IF(Settings!$B$23=Settings!$C$6,1,IF(Settings!$B$23="USD",1/INDEX(Settings!$B$29:$B$40,MONTH(A6156)),INDEX(Settings!$B$29:$B$40,MONTH(A6156)))))</f>
        <v/>
      </c>
    </row>
    <row r="6157" customFormat="false" ht="15" hidden="false" customHeight="false" outlineLevel="0" collapsed="false">
      <c r="H6157" s="0" t="str">
        <f aca="false">IF(B6157="","",IF(COUNTIF(Campaigns!$A$7:$A$300,B6157)&gt;0,"✓","⚠ add to Campaigns tab"))</f>
        <v/>
      </c>
      <c r="I6157" s="84" t="str">
        <f aca="false">IF(C6157="","",C6157*IF(Settings!$B$23=Settings!$C$6,1,IF(Settings!$B$23="USD",1/INDEX(Settings!$B$29:$B$40,MONTH(A6157)),INDEX(Settings!$B$29:$B$40,MONTH(A6157)))))</f>
        <v/>
      </c>
    </row>
    <row r="6158" customFormat="false" ht="15" hidden="false" customHeight="false" outlineLevel="0" collapsed="false">
      <c r="H6158" s="0" t="str">
        <f aca="false">IF(B6158="","",IF(COUNTIF(Campaigns!$A$7:$A$300,B6158)&gt;0,"✓","⚠ add to Campaigns tab"))</f>
        <v/>
      </c>
      <c r="I6158" s="84" t="str">
        <f aca="false">IF(C6158="","",C6158*IF(Settings!$B$23=Settings!$C$6,1,IF(Settings!$B$23="USD",1/INDEX(Settings!$B$29:$B$40,MONTH(A6158)),INDEX(Settings!$B$29:$B$40,MONTH(A6158)))))</f>
        <v/>
      </c>
    </row>
    <row r="6159" customFormat="false" ht="15" hidden="false" customHeight="false" outlineLevel="0" collapsed="false">
      <c r="H6159" s="0" t="str">
        <f aca="false">IF(B6159="","",IF(COUNTIF(Campaigns!$A$7:$A$300,B6159)&gt;0,"✓","⚠ add to Campaigns tab"))</f>
        <v/>
      </c>
      <c r="I6159" s="84" t="str">
        <f aca="false">IF(C6159="","",C6159*IF(Settings!$B$23=Settings!$C$6,1,IF(Settings!$B$23="USD",1/INDEX(Settings!$B$29:$B$40,MONTH(A6159)),INDEX(Settings!$B$29:$B$40,MONTH(A6159)))))</f>
        <v/>
      </c>
    </row>
    <row r="6160" customFormat="false" ht="15" hidden="false" customHeight="false" outlineLevel="0" collapsed="false">
      <c r="H6160" s="0" t="str">
        <f aca="false">IF(B6160="","",IF(COUNTIF(Campaigns!$A$7:$A$300,B6160)&gt;0,"✓","⚠ add to Campaigns tab"))</f>
        <v/>
      </c>
      <c r="I6160" s="84" t="str">
        <f aca="false">IF(C6160="","",C6160*IF(Settings!$B$23=Settings!$C$6,1,IF(Settings!$B$23="USD",1/INDEX(Settings!$B$29:$B$40,MONTH(A6160)),INDEX(Settings!$B$29:$B$40,MONTH(A6160)))))</f>
        <v/>
      </c>
    </row>
    <row r="6161" customFormat="false" ht="15" hidden="false" customHeight="false" outlineLevel="0" collapsed="false">
      <c r="H6161" s="0" t="str">
        <f aca="false">IF(B6161="","",IF(COUNTIF(Campaigns!$A$7:$A$300,B6161)&gt;0,"✓","⚠ add to Campaigns tab"))</f>
        <v/>
      </c>
      <c r="I6161" s="84" t="str">
        <f aca="false">IF(C6161="","",C6161*IF(Settings!$B$23=Settings!$C$6,1,IF(Settings!$B$23="USD",1/INDEX(Settings!$B$29:$B$40,MONTH(A6161)),INDEX(Settings!$B$29:$B$40,MONTH(A6161)))))</f>
        <v/>
      </c>
    </row>
    <row r="6162" customFormat="false" ht="15" hidden="false" customHeight="false" outlineLevel="0" collapsed="false">
      <c r="H6162" s="0" t="str">
        <f aca="false">IF(B6162="","",IF(COUNTIF(Campaigns!$A$7:$A$300,B6162)&gt;0,"✓","⚠ add to Campaigns tab"))</f>
        <v/>
      </c>
      <c r="I6162" s="84" t="str">
        <f aca="false">IF(C6162="","",C6162*IF(Settings!$B$23=Settings!$C$6,1,IF(Settings!$B$23="USD",1/INDEX(Settings!$B$29:$B$40,MONTH(A6162)),INDEX(Settings!$B$29:$B$40,MONTH(A6162)))))</f>
        <v/>
      </c>
    </row>
    <row r="6163" customFormat="false" ht="15" hidden="false" customHeight="false" outlineLevel="0" collapsed="false">
      <c r="H6163" s="0" t="str">
        <f aca="false">IF(B6163="","",IF(COUNTIF(Campaigns!$A$7:$A$300,B6163)&gt;0,"✓","⚠ add to Campaigns tab"))</f>
        <v/>
      </c>
      <c r="I6163" s="84" t="str">
        <f aca="false">IF(C6163="","",C6163*IF(Settings!$B$23=Settings!$C$6,1,IF(Settings!$B$23="USD",1/INDEX(Settings!$B$29:$B$40,MONTH(A6163)),INDEX(Settings!$B$29:$B$40,MONTH(A6163)))))</f>
        <v/>
      </c>
    </row>
    <row r="6164" customFormat="false" ht="15" hidden="false" customHeight="false" outlineLevel="0" collapsed="false">
      <c r="H6164" s="0" t="str">
        <f aca="false">IF(B6164="","",IF(COUNTIF(Campaigns!$A$7:$A$300,B6164)&gt;0,"✓","⚠ add to Campaigns tab"))</f>
        <v/>
      </c>
      <c r="I6164" s="84" t="str">
        <f aca="false">IF(C6164="","",C6164*IF(Settings!$B$23=Settings!$C$6,1,IF(Settings!$B$23="USD",1/INDEX(Settings!$B$29:$B$40,MONTH(A6164)),INDEX(Settings!$B$29:$B$40,MONTH(A6164)))))</f>
        <v/>
      </c>
    </row>
    <row r="6165" customFormat="false" ht="15" hidden="false" customHeight="false" outlineLevel="0" collapsed="false">
      <c r="H6165" s="0" t="str">
        <f aca="false">IF(B6165="","",IF(COUNTIF(Campaigns!$A$7:$A$300,B6165)&gt;0,"✓","⚠ add to Campaigns tab"))</f>
        <v/>
      </c>
      <c r="I6165" s="84" t="str">
        <f aca="false">IF(C6165="","",C6165*IF(Settings!$B$23=Settings!$C$6,1,IF(Settings!$B$23="USD",1/INDEX(Settings!$B$29:$B$40,MONTH(A6165)),INDEX(Settings!$B$29:$B$40,MONTH(A6165)))))</f>
        <v/>
      </c>
    </row>
    <row r="6166" customFormat="false" ht="15" hidden="false" customHeight="false" outlineLevel="0" collapsed="false">
      <c r="H6166" s="0" t="str">
        <f aca="false">IF(B6166="","",IF(COUNTIF(Campaigns!$A$7:$A$300,B6166)&gt;0,"✓","⚠ add to Campaigns tab"))</f>
        <v/>
      </c>
      <c r="I6166" s="84" t="str">
        <f aca="false">IF(C6166="","",C6166*IF(Settings!$B$23=Settings!$C$6,1,IF(Settings!$B$23="USD",1/INDEX(Settings!$B$29:$B$40,MONTH(A6166)),INDEX(Settings!$B$29:$B$40,MONTH(A6166)))))</f>
        <v/>
      </c>
    </row>
    <row r="6167" customFormat="false" ht="15" hidden="false" customHeight="false" outlineLevel="0" collapsed="false">
      <c r="H6167" s="0" t="str">
        <f aca="false">IF(B6167="","",IF(COUNTIF(Campaigns!$A$7:$A$300,B6167)&gt;0,"✓","⚠ add to Campaigns tab"))</f>
        <v/>
      </c>
      <c r="I6167" s="84" t="str">
        <f aca="false">IF(C6167="","",C6167*IF(Settings!$B$23=Settings!$C$6,1,IF(Settings!$B$23="USD",1/INDEX(Settings!$B$29:$B$40,MONTH(A6167)),INDEX(Settings!$B$29:$B$40,MONTH(A6167)))))</f>
        <v/>
      </c>
    </row>
    <row r="6168" customFormat="false" ht="15" hidden="false" customHeight="false" outlineLevel="0" collapsed="false">
      <c r="H6168" s="0" t="str">
        <f aca="false">IF(B6168="","",IF(COUNTIF(Campaigns!$A$7:$A$300,B6168)&gt;0,"✓","⚠ add to Campaigns tab"))</f>
        <v/>
      </c>
      <c r="I6168" s="84" t="str">
        <f aca="false">IF(C6168="","",C6168*IF(Settings!$B$23=Settings!$C$6,1,IF(Settings!$B$23="USD",1/INDEX(Settings!$B$29:$B$40,MONTH(A6168)),INDEX(Settings!$B$29:$B$40,MONTH(A6168)))))</f>
        <v/>
      </c>
    </row>
    <row r="6169" customFormat="false" ht="15" hidden="false" customHeight="false" outlineLevel="0" collapsed="false">
      <c r="H6169" s="0" t="str">
        <f aca="false">IF(B6169="","",IF(COUNTIF(Campaigns!$A$7:$A$300,B6169)&gt;0,"✓","⚠ add to Campaigns tab"))</f>
        <v/>
      </c>
      <c r="I6169" s="84" t="str">
        <f aca="false">IF(C6169="","",C6169*IF(Settings!$B$23=Settings!$C$6,1,IF(Settings!$B$23="USD",1/INDEX(Settings!$B$29:$B$40,MONTH(A6169)),INDEX(Settings!$B$29:$B$40,MONTH(A6169)))))</f>
        <v/>
      </c>
    </row>
    <row r="6170" customFormat="false" ht="15" hidden="false" customHeight="false" outlineLevel="0" collapsed="false">
      <c r="H6170" s="0" t="str">
        <f aca="false">IF(B6170="","",IF(COUNTIF(Campaigns!$A$7:$A$300,B6170)&gt;0,"✓","⚠ add to Campaigns tab"))</f>
        <v/>
      </c>
      <c r="I6170" s="84" t="str">
        <f aca="false">IF(C6170="","",C6170*IF(Settings!$B$23=Settings!$C$6,1,IF(Settings!$B$23="USD",1/INDEX(Settings!$B$29:$B$40,MONTH(A6170)),INDEX(Settings!$B$29:$B$40,MONTH(A6170)))))</f>
        <v/>
      </c>
    </row>
    <row r="6171" customFormat="false" ht="15" hidden="false" customHeight="false" outlineLevel="0" collapsed="false">
      <c r="H6171" s="0" t="str">
        <f aca="false">IF(B6171="","",IF(COUNTIF(Campaigns!$A$7:$A$300,B6171)&gt;0,"✓","⚠ add to Campaigns tab"))</f>
        <v/>
      </c>
      <c r="I6171" s="84" t="str">
        <f aca="false">IF(C6171="","",C6171*IF(Settings!$B$23=Settings!$C$6,1,IF(Settings!$B$23="USD",1/INDEX(Settings!$B$29:$B$40,MONTH(A6171)),INDEX(Settings!$B$29:$B$40,MONTH(A6171)))))</f>
        <v/>
      </c>
    </row>
    <row r="6172" customFormat="false" ht="15" hidden="false" customHeight="false" outlineLevel="0" collapsed="false">
      <c r="H6172" s="0" t="str">
        <f aca="false">IF(B6172="","",IF(COUNTIF(Campaigns!$A$7:$A$300,B6172)&gt;0,"✓","⚠ add to Campaigns tab"))</f>
        <v/>
      </c>
      <c r="I6172" s="84" t="str">
        <f aca="false">IF(C6172="","",C6172*IF(Settings!$B$23=Settings!$C$6,1,IF(Settings!$B$23="USD",1/INDEX(Settings!$B$29:$B$40,MONTH(A6172)),INDEX(Settings!$B$29:$B$40,MONTH(A6172)))))</f>
        <v/>
      </c>
    </row>
    <row r="6173" customFormat="false" ht="15" hidden="false" customHeight="false" outlineLevel="0" collapsed="false">
      <c r="H6173" s="0" t="str">
        <f aca="false">IF(B6173="","",IF(COUNTIF(Campaigns!$A$7:$A$300,B6173)&gt;0,"✓","⚠ add to Campaigns tab"))</f>
        <v/>
      </c>
      <c r="I6173" s="84" t="str">
        <f aca="false">IF(C6173="","",C6173*IF(Settings!$B$23=Settings!$C$6,1,IF(Settings!$B$23="USD",1/INDEX(Settings!$B$29:$B$40,MONTH(A6173)),INDEX(Settings!$B$29:$B$40,MONTH(A6173)))))</f>
        <v/>
      </c>
    </row>
    <row r="6174" customFormat="false" ht="15" hidden="false" customHeight="false" outlineLevel="0" collapsed="false">
      <c r="H6174" s="0" t="str">
        <f aca="false">IF(B6174="","",IF(COUNTIF(Campaigns!$A$7:$A$300,B6174)&gt;0,"✓","⚠ add to Campaigns tab"))</f>
        <v/>
      </c>
      <c r="I6174" s="84" t="str">
        <f aca="false">IF(C6174="","",C6174*IF(Settings!$B$23=Settings!$C$6,1,IF(Settings!$B$23="USD",1/INDEX(Settings!$B$29:$B$40,MONTH(A6174)),INDEX(Settings!$B$29:$B$40,MONTH(A6174)))))</f>
        <v/>
      </c>
    </row>
    <row r="6175" customFormat="false" ht="15" hidden="false" customHeight="false" outlineLevel="0" collapsed="false">
      <c r="H6175" s="0" t="str">
        <f aca="false">IF(B6175="","",IF(COUNTIF(Campaigns!$A$7:$A$300,B6175)&gt;0,"✓","⚠ add to Campaigns tab"))</f>
        <v/>
      </c>
      <c r="I6175" s="84" t="str">
        <f aca="false">IF(C6175="","",C6175*IF(Settings!$B$23=Settings!$C$6,1,IF(Settings!$B$23="USD",1/INDEX(Settings!$B$29:$B$40,MONTH(A6175)),INDEX(Settings!$B$29:$B$40,MONTH(A6175)))))</f>
        <v/>
      </c>
    </row>
    <row r="6176" customFormat="false" ht="15" hidden="false" customHeight="false" outlineLevel="0" collapsed="false">
      <c r="H6176" s="0" t="str">
        <f aca="false">IF(B6176="","",IF(COUNTIF(Campaigns!$A$7:$A$300,B6176)&gt;0,"✓","⚠ add to Campaigns tab"))</f>
        <v/>
      </c>
      <c r="I6176" s="84" t="str">
        <f aca="false">IF(C6176="","",C6176*IF(Settings!$B$23=Settings!$C$6,1,IF(Settings!$B$23="USD",1/INDEX(Settings!$B$29:$B$40,MONTH(A6176)),INDEX(Settings!$B$29:$B$40,MONTH(A6176)))))</f>
        <v/>
      </c>
    </row>
    <row r="6177" customFormat="false" ht="15" hidden="false" customHeight="false" outlineLevel="0" collapsed="false">
      <c r="H6177" s="0" t="str">
        <f aca="false">IF(B6177="","",IF(COUNTIF(Campaigns!$A$7:$A$300,B6177)&gt;0,"✓","⚠ add to Campaigns tab"))</f>
        <v/>
      </c>
      <c r="I6177" s="84" t="str">
        <f aca="false">IF(C6177="","",C6177*IF(Settings!$B$23=Settings!$C$6,1,IF(Settings!$B$23="USD",1/INDEX(Settings!$B$29:$B$40,MONTH(A6177)),INDEX(Settings!$B$29:$B$40,MONTH(A6177)))))</f>
        <v/>
      </c>
    </row>
    <row r="6178" customFormat="false" ht="15" hidden="false" customHeight="false" outlineLevel="0" collapsed="false">
      <c r="H6178" s="0" t="str">
        <f aca="false">IF(B6178="","",IF(COUNTIF(Campaigns!$A$7:$A$300,B6178)&gt;0,"✓","⚠ add to Campaigns tab"))</f>
        <v/>
      </c>
      <c r="I6178" s="84" t="str">
        <f aca="false">IF(C6178="","",C6178*IF(Settings!$B$23=Settings!$C$6,1,IF(Settings!$B$23="USD",1/INDEX(Settings!$B$29:$B$40,MONTH(A6178)),INDEX(Settings!$B$29:$B$40,MONTH(A6178)))))</f>
        <v/>
      </c>
    </row>
    <row r="6179" customFormat="false" ht="15" hidden="false" customHeight="false" outlineLevel="0" collapsed="false">
      <c r="H6179" s="0" t="str">
        <f aca="false">IF(B6179="","",IF(COUNTIF(Campaigns!$A$7:$A$300,B6179)&gt;0,"✓","⚠ add to Campaigns tab"))</f>
        <v/>
      </c>
      <c r="I6179" s="84" t="str">
        <f aca="false">IF(C6179="","",C6179*IF(Settings!$B$23=Settings!$C$6,1,IF(Settings!$B$23="USD",1/INDEX(Settings!$B$29:$B$40,MONTH(A6179)),INDEX(Settings!$B$29:$B$40,MONTH(A6179)))))</f>
        <v/>
      </c>
    </row>
    <row r="6180" customFormat="false" ht="15" hidden="false" customHeight="false" outlineLevel="0" collapsed="false">
      <c r="H6180" s="0" t="str">
        <f aca="false">IF(B6180="","",IF(COUNTIF(Campaigns!$A$7:$A$300,B6180)&gt;0,"✓","⚠ add to Campaigns tab"))</f>
        <v/>
      </c>
      <c r="I6180" s="84" t="str">
        <f aca="false">IF(C6180="","",C6180*IF(Settings!$B$23=Settings!$C$6,1,IF(Settings!$B$23="USD",1/INDEX(Settings!$B$29:$B$40,MONTH(A6180)),INDEX(Settings!$B$29:$B$40,MONTH(A6180)))))</f>
        <v/>
      </c>
    </row>
    <row r="6181" customFormat="false" ht="15" hidden="false" customHeight="false" outlineLevel="0" collapsed="false">
      <c r="H6181" s="0" t="str">
        <f aca="false">IF(B6181="","",IF(COUNTIF(Campaigns!$A$7:$A$300,B6181)&gt;0,"✓","⚠ add to Campaigns tab"))</f>
        <v/>
      </c>
      <c r="I6181" s="84" t="str">
        <f aca="false">IF(C6181="","",C6181*IF(Settings!$B$23=Settings!$C$6,1,IF(Settings!$B$23="USD",1/INDEX(Settings!$B$29:$B$40,MONTH(A6181)),INDEX(Settings!$B$29:$B$40,MONTH(A6181)))))</f>
        <v/>
      </c>
    </row>
    <row r="6182" customFormat="false" ht="15" hidden="false" customHeight="false" outlineLevel="0" collapsed="false">
      <c r="H6182" s="0" t="str">
        <f aca="false">IF(B6182="","",IF(COUNTIF(Campaigns!$A$7:$A$300,B6182)&gt;0,"✓","⚠ add to Campaigns tab"))</f>
        <v/>
      </c>
      <c r="I6182" s="84" t="str">
        <f aca="false">IF(C6182="","",C6182*IF(Settings!$B$23=Settings!$C$6,1,IF(Settings!$B$23="USD",1/INDEX(Settings!$B$29:$B$40,MONTH(A6182)),INDEX(Settings!$B$29:$B$40,MONTH(A6182)))))</f>
        <v/>
      </c>
    </row>
    <row r="6183" customFormat="false" ht="15" hidden="false" customHeight="false" outlineLevel="0" collapsed="false">
      <c r="H6183" s="0" t="str">
        <f aca="false">IF(B6183="","",IF(COUNTIF(Campaigns!$A$7:$A$300,B6183)&gt;0,"✓","⚠ add to Campaigns tab"))</f>
        <v/>
      </c>
      <c r="I6183" s="84" t="str">
        <f aca="false">IF(C6183="","",C6183*IF(Settings!$B$23=Settings!$C$6,1,IF(Settings!$B$23="USD",1/INDEX(Settings!$B$29:$B$40,MONTH(A6183)),INDEX(Settings!$B$29:$B$40,MONTH(A6183)))))</f>
        <v/>
      </c>
    </row>
    <row r="6184" customFormat="false" ht="15" hidden="false" customHeight="false" outlineLevel="0" collapsed="false">
      <c r="H6184" s="0" t="str">
        <f aca="false">IF(B6184="","",IF(COUNTIF(Campaigns!$A$7:$A$300,B6184)&gt;0,"✓","⚠ add to Campaigns tab"))</f>
        <v/>
      </c>
      <c r="I6184" s="84" t="str">
        <f aca="false">IF(C6184="","",C6184*IF(Settings!$B$23=Settings!$C$6,1,IF(Settings!$B$23="USD",1/INDEX(Settings!$B$29:$B$40,MONTH(A6184)),INDEX(Settings!$B$29:$B$40,MONTH(A6184)))))</f>
        <v/>
      </c>
    </row>
    <row r="6185" customFormat="false" ht="15" hidden="false" customHeight="false" outlineLevel="0" collapsed="false">
      <c r="H6185" s="0" t="str">
        <f aca="false">IF(B6185="","",IF(COUNTIF(Campaigns!$A$7:$A$300,B6185)&gt;0,"✓","⚠ add to Campaigns tab"))</f>
        <v/>
      </c>
      <c r="I6185" s="84" t="str">
        <f aca="false">IF(C6185="","",C6185*IF(Settings!$B$23=Settings!$C$6,1,IF(Settings!$B$23="USD",1/INDEX(Settings!$B$29:$B$40,MONTH(A6185)),INDEX(Settings!$B$29:$B$40,MONTH(A6185)))))</f>
        <v/>
      </c>
    </row>
    <row r="6186" customFormat="false" ht="15" hidden="false" customHeight="false" outlineLevel="0" collapsed="false">
      <c r="H6186" s="0" t="str">
        <f aca="false">IF(B6186="","",IF(COUNTIF(Campaigns!$A$7:$A$300,B6186)&gt;0,"✓","⚠ add to Campaigns tab"))</f>
        <v/>
      </c>
      <c r="I6186" s="84" t="str">
        <f aca="false">IF(C6186="","",C6186*IF(Settings!$B$23=Settings!$C$6,1,IF(Settings!$B$23="USD",1/INDEX(Settings!$B$29:$B$40,MONTH(A6186)),INDEX(Settings!$B$29:$B$40,MONTH(A6186)))))</f>
        <v/>
      </c>
    </row>
    <row r="6187" customFormat="false" ht="15" hidden="false" customHeight="false" outlineLevel="0" collapsed="false">
      <c r="H6187" s="0" t="str">
        <f aca="false">IF(B6187="","",IF(COUNTIF(Campaigns!$A$7:$A$300,B6187)&gt;0,"✓","⚠ add to Campaigns tab"))</f>
        <v/>
      </c>
      <c r="I6187" s="84" t="str">
        <f aca="false">IF(C6187="","",C6187*IF(Settings!$B$23=Settings!$C$6,1,IF(Settings!$B$23="USD",1/INDEX(Settings!$B$29:$B$40,MONTH(A6187)),INDEX(Settings!$B$29:$B$40,MONTH(A6187)))))</f>
        <v/>
      </c>
    </row>
    <row r="6188" customFormat="false" ht="15" hidden="false" customHeight="false" outlineLevel="0" collapsed="false">
      <c r="H6188" s="0" t="str">
        <f aca="false">IF(B6188="","",IF(COUNTIF(Campaigns!$A$7:$A$300,B6188)&gt;0,"✓","⚠ add to Campaigns tab"))</f>
        <v/>
      </c>
      <c r="I6188" s="84" t="str">
        <f aca="false">IF(C6188="","",C6188*IF(Settings!$B$23=Settings!$C$6,1,IF(Settings!$B$23="USD",1/INDEX(Settings!$B$29:$B$40,MONTH(A6188)),INDEX(Settings!$B$29:$B$40,MONTH(A6188)))))</f>
        <v/>
      </c>
    </row>
    <row r="6189" customFormat="false" ht="15" hidden="false" customHeight="false" outlineLevel="0" collapsed="false">
      <c r="H6189" s="0" t="str">
        <f aca="false">IF(B6189="","",IF(COUNTIF(Campaigns!$A$7:$A$300,B6189)&gt;0,"✓","⚠ add to Campaigns tab"))</f>
        <v/>
      </c>
      <c r="I6189" s="84" t="str">
        <f aca="false">IF(C6189="","",C6189*IF(Settings!$B$23=Settings!$C$6,1,IF(Settings!$B$23="USD",1/INDEX(Settings!$B$29:$B$40,MONTH(A6189)),INDEX(Settings!$B$29:$B$40,MONTH(A6189)))))</f>
        <v/>
      </c>
    </row>
    <row r="6190" customFormat="false" ht="15" hidden="false" customHeight="false" outlineLevel="0" collapsed="false">
      <c r="H6190" s="0" t="str">
        <f aca="false">IF(B6190="","",IF(COUNTIF(Campaigns!$A$7:$A$300,B6190)&gt;0,"✓","⚠ add to Campaigns tab"))</f>
        <v/>
      </c>
      <c r="I6190" s="84" t="str">
        <f aca="false">IF(C6190="","",C6190*IF(Settings!$B$23=Settings!$C$6,1,IF(Settings!$B$23="USD",1/INDEX(Settings!$B$29:$B$40,MONTH(A6190)),INDEX(Settings!$B$29:$B$40,MONTH(A6190)))))</f>
        <v/>
      </c>
    </row>
    <row r="6191" customFormat="false" ht="15" hidden="false" customHeight="false" outlineLevel="0" collapsed="false">
      <c r="H6191" s="0" t="str">
        <f aca="false">IF(B6191="","",IF(COUNTIF(Campaigns!$A$7:$A$300,B6191)&gt;0,"✓","⚠ add to Campaigns tab"))</f>
        <v/>
      </c>
      <c r="I6191" s="84" t="str">
        <f aca="false">IF(C6191="","",C6191*IF(Settings!$B$23=Settings!$C$6,1,IF(Settings!$B$23="USD",1/INDEX(Settings!$B$29:$B$40,MONTH(A6191)),INDEX(Settings!$B$29:$B$40,MONTH(A6191)))))</f>
        <v/>
      </c>
    </row>
    <row r="6192" customFormat="false" ht="15" hidden="false" customHeight="false" outlineLevel="0" collapsed="false">
      <c r="H6192" s="0" t="str">
        <f aca="false">IF(B6192="","",IF(COUNTIF(Campaigns!$A$7:$A$300,B6192)&gt;0,"✓","⚠ add to Campaigns tab"))</f>
        <v/>
      </c>
      <c r="I6192" s="84" t="str">
        <f aca="false">IF(C6192="","",C6192*IF(Settings!$B$23=Settings!$C$6,1,IF(Settings!$B$23="USD",1/INDEX(Settings!$B$29:$B$40,MONTH(A6192)),INDEX(Settings!$B$29:$B$40,MONTH(A6192)))))</f>
        <v/>
      </c>
    </row>
    <row r="6193" customFormat="false" ht="15" hidden="false" customHeight="false" outlineLevel="0" collapsed="false">
      <c r="H6193" s="0" t="str">
        <f aca="false">IF(B6193="","",IF(COUNTIF(Campaigns!$A$7:$A$300,B6193)&gt;0,"✓","⚠ add to Campaigns tab"))</f>
        <v/>
      </c>
      <c r="I6193" s="84" t="str">
        <f aca="false">IF(C6193="","",C6193*IF(Settings!$B$23=Settings!$C$6,1,IF(Settings!$B$23="USD",1/INDEX(Settings!$B$29:$B$40,MONTH(A6193)),INDEX(Settings!$B$29:$B$40,MONTH(A6193)))))</f>
        <v/>
      </c>
    </row>
    <row r="6194" customFormat="false" ht="15" hidden="false" customHeight="false" outlineLevel="0" collapsed="false">
      <c r="H6194" s="0" t="str">
        <f aca="false">IF(B6194="","",IF(COUNTIF(Campaigns!$A$7:$A$300,B6194)&gt;0,"✓","⚠ add to Campaigns tab"))</f>
        <v/>
      </c>
      <c r="I6194" s="84" t="str">
        <f aca="false">IF(C6194="","",C6194*IF(Settings!$B$23=Settings!$C$6,1,IF(Settings!$B$23="USD",1/INDEX(Settings!$B$29:$B$40,MONTH(A6194)),INDEX(Settings!$B$29:$B$40,MONTH(A6194)))))</f>
        <v/>
      </c>
    </row>
    <row r="6195" customFormat="false" ht="15" hidden="false" customHeight="false" outlineLevel="0" collapsed="false">
      <c r="H6195" s="0" t="str">
        <f aca="false">IF(B6195="","",IF(COUNTIF(Campaigns!$A$7:$A$300,B6195)&gt;0,"✓","⚠ add to Campaigns tab"))</f>
        <v/>
      </c>
      <c r="I6195" s="84" t="str">
        <f aca="false">IF(C6195="","",C6195*IF(Settings!$B$23=Settings!$C$6,1,IF(Settings!$B$23="USD",1/INDEX(Settings!$B$29:$B$40,MONTH(A6195)),INDEX(Settings!$B$29:$B$40,MONTH(A6195)))))</f>
        <v/>
      </c>
    </row>
    <row r="6196" customFormat="false" ht="15" hidden="false" customHeight="false" outlineLevel="0" collapsed="false">
      <c r="H6196" s="0" t="str">
        <f aca="false">IF(B6196="","",IF(COUNTIF(Campaigns!$A$7:$A$300,B6196)&gt;0,"✓","⚠ add to Campaigns tab"))</f>
        <v/>
      </c>
      <c r="I6196" s="84" t="str">
        <f aca="false">IF(C6196="","",C6196*IF(Settings!$B$23=Settings!$C$6,1,IF(Settings!$B$23="USD",1/INDEX(Settings!$B$29:$B$40,MONTH(A6196)),INDEX(Settings!$B$29:$B$40,MONTH(A6196)))))</f>
        <v/>
      </c>
    </row>
    <row r="6197" customFormat="false" ht="15" hidden="false" customHeight="false" outlineLevel="0" collapsed="false">
      <c r="H6197" s="0" t="str">
        <f aca="false">IF(B6197="","",IF(COUNTIF(Campaigns!$A$7:$A$300,B6197)&gt;0,"✓","⚠ add to Campaigns tab"))</f>
        <v/>
      </c>
      <c r="I6197" s="84" t="str">
        <f aca="false">IF(C6197="","",C6197*IF(Settings!$B$23=Settings!$C$6,1,IF(Settings!$B$23="USD",1/INDEX(Settings!$B$29:$B$40,MONTH(A6197)),INDEX(Settings!$B$29:$B$40,MONTH(A6197)))))</f>
        <v/>
      </c>
    </row>
    <row r="6198" customFormat="false" ht="15" hidden="false" customHeight="false" outlineLevel="0" collapsed="false">
      <c r="H6198" s="0" t="str">
        <f aca="false">IF(B6198="","",IF(COUNTIF(Campaigns!$A$7:$A$300,B6198)&gt;0,"✓","⚠ add to Campaigns tab"))</f>
        <v/>
      </c>
      <c r="I6198" s="84" t="str">
        <f aca="false">IF(C6198="","",C6198*IF(Settings!$B$23=Settings!$C$6,1,IF(Settings!$B$23="USD",1/INDEX(Settings!$B$29:$B$40,MONTH(A6198)),INDEX(Settings!$B$29:$B$40,MONTH(A6198)))))</f>
        <v/>
      </c>
    </row>
    <row r="6199" customFormat="false" ht="15" hidden="false" customHeight="false" outlineLevel="0" collapsed="false">
      <c r="H6199" s="0" t="str">
        <f aca="false">IF(B6199="","",IF(COUNTIF(Campaigns!$A$7:$A$300,B6199)&gt;0,"✓","⚠ add to Campaigns tab"))</f>
        <v/>
      </c>
      <c r="I6199" s="84" t="str">
        <f aca="false">IF(C6199="","",C6199*IF(Settings!$B$23=Settings!$C$6,1,IF(Settings!$B$23="USD",1/INDEX(Settings!$B$29:$B$40,MONTH(A6199)),INDEX(Settings!$B$29:$B$40,MONTH(A6199)))))</f>
        <v/>
      </c>
    </row>
    <row r="6200" customFormat="false" ht="15" hidden="false" customHeight="false" outlineLevel="0" collapsed="false">
      <c r="H6200" s="0" t="str">
        <f aca="false">IF(B6200="","",IF(COUNTIF(Campaigns!$A$7:$A$300,B6200)&gt;0,"✓","⚠ add to Campaigns tab"))</f>
        <v/>
      </c>
      <c r="I6200" s="84" t="str">
        <f aca="false">IF(C6200="","",C6200*IF(Settings!$B$23=Settings!$C$6,1,IF(Settings!$B$23="USD",1/INDEX(Settings!$B$29:$B$40,MONTH(A6200)),INDEX(Settings!$B$29:$B$40,MONTH(A6200)))))</f>
        <v/>
      </c>
    </row>
    <row r="6201" customFormat="false" ht="15" hidden="false" customHeight="false" outlineLevel="0" collapsed="false">
      <c r="H6201" s="0" t="str">
        <f aca="false">IF(B6201="","",IF(COUNTIF(Campaigns!$A$7:$A$300,B6201)&gt;0,"✓","⚠ add to Campaigns tab"))</f>
        <v/>
      </c>
      <c r="I6201" s="84" t="str">
        <f aca="false">IF(C6201="","",C6201*IF(Settings!$B$23=Settings!$C$6,1,IF(Settings!$B$23="USD",1/INDEX(Settings!$B$29:$B$40,MONTH(A6201)),INDEX(Settings!$B$29:$B$40,MONTH(A6201)))))</f>
        <v/>
      </c>
    </row>
    <row r="6202" customFormat="false" ht="15" hidden="false" customHeight="false" outlineLevel="0" collapsed="false">
      <c r="H6202" s="0" t="str">
        <f aca="false">IF(B6202="","",IF(COUNTIF(Campaigns!$A$7:$A$300,B6202)&gt;0,"✓","⚠ add to Campaigns tab"))</f>
        <v/>
      </c>
      <c r="I6202" s="84" t="str">
        <f aca="false">IF(C6202="","",C6202*IF(Settings!$B$23=Settings!$C$6,1,IF(Settings!$B$23="USD",1/INDEX(Settings!$B$29:$B$40,MONTH(A6202)),INDEX(Settings!$B$29:$B$40,MONTH(A6202)))))</f>
        <v/>
      </c>
    </row>
    <row r="6203" customFormat="false" ht="15" hidden="false" customHeight="false" outlineLevel="0" collapsed="false">
      <c r="H6203" s="0" t="str">
        <f aca="false">IF(B6203="","",IF(COUNTIF(Campaigns!$A$7:$A$300,B6203)&gt;0,"✓","⚠ add to Campaigns tab"))</f>
        <v/>
      </c>
      <c r="I6203" s="84" t="str">
        <f aca="false">IF(C6203="","",C6203*IF(Settings!$B$23=Settings!$C$6,1,IF(Settings!$B$23="USD",1/INDEX(Settings!$B$29:$B$40,MONTH(A6203)),INDEX(Settings!$B$29:$B$40,MONTH(A6203)))))</f>
        <v/>
      </c>
    </row>
    <row r="6204" customFormat="false" ht="15" hidden="false" customHeight="false" outlineLevel="0" collapsed="false">
      <c r="H6204" s="0" t="str">
        <f aca="false">IF(B6204="","",IF(COUNTIF(Campaigns!$A$7:$A$300,B6204)&gt;0,"✓","⚠ add to Campaigns tab"))</f>
        <v/>
      </c>
      <c r="I6204" s="84" t="str">
        <f aca="false">IF(C6204="","",C6204*IF(Settings!$B$23=Settings!$C$6,1,IF(Settings!$B$23="USD",1/INDEX(Settings!$B$29:$B$40,MONTH(A6204)),INDEX(Settings!$B$29:$B$40,MONTH(A6204)))))</f>
        <v/>
      </c>
    </row>
    <row r="6205" customFormat="false" ht="15" hidden="false" customHeight="false" outlineLevel="0" collapsed="false">
      <c r="H6205" s="0" t="str">
        <f aca="false">IF(B6205="","",IF(COUNTIF(Campaigns!$A$7:$A$300,B6205)&gt;0,"✓","⚠ add to Campaigns tab"))</f>
        <v/>
      </c>
      <c r="I6205" s="84" t="str">
        <f aca="false">IF(C6205="","",C6205*IF(Settings!$B$23=Settings!$C$6,1,IF(Settings!$B$23="USD",1/INDEX(Settings!$B$29:$B$40,MONTH(A6205)),INDEX(Settings!$B$29:$B$40,MONTH(A6205)))))</f>
        <v/>
      </c>
    </row>
    <row r="6206" customFormat="false" ht="15" hidden="false" customHeight="false" outlineLevel="0" collapsed="false">
      <c r="H6206" s="0" t="str">
        <f aca="false">IF(B6206="","",IF(COUNTIF(Campaigns!$A$7:$A$300,B6206)&gt;0,"✓","⚠ add to Campaigns tab"))</f>
        <v/>
      </c>
      <c r="I6206" s="84" t="str">
        <f aca="false">IF(C6206="","",C6206*IF(Settings!$B$23=Settings!$C$6,1,IF(Settings!$B$23="USD",1/INDEX(Settings!$B$29:$B$40,MONTH(A6206)),INDEX(Settings!$B$29:$B$40,MONTH(A6206)))))</f>
        <v/>
      </c>
    </row>
    <row r="6207" customFormat="false" ht="15" hidden="false" customHeight="false" outlineLevel="0" collapsed="false">
      <c r="H6207" s="0" t="str">
        <f aca="false">IF(B6207="","",IF(COUNTIF(Campaigns!$A$7:$A$300,B6207)&gt;0,"✓","⚠ add to Campaigns tab"))</f>
        <v/>
      </c>
      <c r="I6207" s="84" t="str">
        <f aca="false">IF(C6207="","",C6207*IF(Settings!$B$23=Settings!$C$6,1,IF(Settings!$B$23="USD",1/INDEX(Settings!$B$29:$B$40,MONTH(A6207)),INDEX(Settings!$B$29:$B$40,MONTH(A6207)))))</f>
        <v/>
      </c>
    </row>
    <row r="6208" customFormat="false" ht="15" hidden="false" customHeight="false" outlineLevel="0" collapsed="false">
      <c r="H6208" s="0" t="str">
        <f aca="false">IF(B6208="","",IF(COUNTIF(Campaigns!$A$7:$A$300,B6208)&gt;0,"✓","⚠ add to Campaigns tab"))</f>
        <v/>
      </c>
      <c r="I6208" s="84" t="str">
        <f aca="false">IF(C6208="","",C6208*IF(Settings!$B$23=Settings!$C$6,1,IF(Settings!$B$23="USD",1/INDEX(Settings!$B$29:$B$40,MONTH(A6208)),INDEX(Settings!$B$29:$B$40,MONTH(A6208)))))</f>
        <v/>
      </c>
    </row>
    <row r="6209" customFormat="false" ht="15" hidden="false" customHeight="false" outlineLevel="0" collapsed="false">
      <c r="H6209" s="0" t="str">
        <f aca="false">IF(B6209="","",IF(COUNTIF(Campaigns!$A$7:$A$300,B6209)&gt;0,"✓","⚠ add to Campaigns tab"))</f>
        <v/>
      </c>
      <c r="I6209" s="84" t="str">
        <f aca="false">IF(C6209="","",C6209*IF(Settings!$B$23=Settings!$C$6,1,IF(Settings!$B$23="USD",1/INDEX(Settings!$B$29:$B$40,MONTH(A6209)),INDEX(Settings!$B$29:$B$40,MONTH(A6209)))))</f>
        <v/>
      </c>
    </row>
    <row r="6210" customFormat="false" ht="15" hidden="false" customHeight="false" outlineLevel="0" collapsed="false">
      <c r="H6210" s="0" t="str">
        <f aca="false">IF(B6210="","",IF(COUNTIF(Campaigns!$A$7:$A$300,B6210)&gt;0,"✓","⚠ add to Campaigns tab"))</f>
        <v/>
      </c>
      <c r="I6210" s="84" t="str">
        <f aca="false">IF(C6210="","",C6210*IF(Settings!$B$23=Settings!$C$6,1,IF(Settings!$B$23="USD",1/INDEX(Settings!$B$29:$B$40,MONTH(A6210)),INDEX(Settings!$B$29:$B$40,MONTH(A6210)))))</f>
        <v/>
      </c>
    </row>
    <row r="6211" customFormat="false" ht="15" hidden="false" customHeight="false" outlineLevel="0" collapsed="false">
      <c r="H6211" s="0" t="str">
        <f aca="false">IF(B6211="","",IF(COUNTIF(Campaigns!$A$7:$A$300,B6211)&gt;0,"✓","⚠ add to Campaigns tab"))</f>
        <v/>
      </c>
      <c r="I6211" s="84" t="str">
        <f aca="false">IF(C6211="","",C6211*IF(Settings!$B$23=Settings!$C$6,1,IF(Settings!$B$23="USD",1/INDEX(Settings!$B$29:$B$40,MONTH(A6211)),INDEX(Settings!$B$29:$B$40,MONTH(A6211)))))</f>
        <v/>
      </c>
    </row>
    <row r="6212" customFormat="false" ht="15" hidden="false" customHeight="false" outlineLevel="0" collapsed="false">
      <c r="H6212" s="0" t="str">
        <f aca="false">IF(B6212="","",IF(COUNTIF(Campaigns!$A$7:$A$300,B6212)&gt;0,"✓","⚠ add to Campaigns tab"))</f>
        <v/>
      </c>
      <c r="I6212" s="84" t="str">
        <f aca="false">IF(C6212="","",C6212*IF(Settings!$B$23=Settings!$C$6,1,IF(Settings!$B$23="USD",1/INDEX(Settings!$B$29:$B$40,MONTH(A6212)),INDEX(Settings!$B$29:$B$40,MONTH(A6212)))))</f>
        <v/>
      </c>
    </row>
    <row r="6213" customFormat="false" ht="15" hidden="false" customHeight="false" outlineLevel="0" collapsed="false">
      <c r="H6213" s="0" t="str">
        <f aca="false">IF(B6213="","",IF(COUNTIF(Campaigns!$A$7:$A$300,B6213)&gt;0,"✓","⚠ add to Campaigns tab"))</f>
        <v/>
      </c>
      <c r="I6213" s="84" t="str">
        <f aca="false">IF(C6213="","",C6213*IF(Settings!$B$23=Settings!$C$6,1,IF(Settings!$B$23="USD",1/INDEX(Settings!$B$29:$B$40,MONTH(A6213)),INDEX(Settings!$B$29:$B$40,MONTH(A6213)))))</f>
        <v/>
      </c>
    </row>
    <row r="6214" customFormat="false" ht="15" hidden="false" customHeight="false" outlineLevel="0" collapsed="false">
      <c r="H6214" s="0" t="str">
        <f aca="false">IF(B6214="","",IF(COUNTIF(Campaigns!$A$7:$A$300,B6214)&gt;0,"✓","⚠ add to Campaigns tab"))</f>
        <v/>
      </c>
      <c r="I6214" s="84" t="str">
        <f aca="false">IF(C6214="","",C6214*IF(Settings!$B$23=Settings!$C$6,1,IF(Settings!$B$23="USD",1/INDEX(Settings!$B$29:$B$40,MONTH(A6214)),INDEX(Settings!$B$29:$B$40,MONTH(A6214)))))</f>
        <v/>
      </c>
    </row>
    <row r="6215" customFormat="false" ht="15" hidden="false" customHeight="false" outlineLevel="0" collapsed="false">
      <c r="H6215" s="0" t="str">
        <f aca="false">IF(B6215="","",IF(COUNTIF(Campaigns!$A$7:$A$300,B6215)&gt;0,"✓","⚠ add to Campaigns tab"))</f>
        <v/>
      </c>
      <c r="I6215" s="84" t="str">
        <f aca="false">IF(C6215="","",C6215*IF(Settings!$B$23=Settings!$C$6,1,IF(Settings!$B$23="USD",1/INDEX(Settings!$B$29:$B$40,MONTH(A6215)),INDEX(Settings!$B$29:$B$40,MONTH(A6215)))))</f>
        <v/>
      </c>
    </row>
    <row r="6216" customFormat="false" ht="15" hidden="false" customHeight="false" outlineLevel="0" collapsed="false">
      <c r="H6216" s="0" t="str">
        <f aca="false">IF(B6216="","",IF(COUNTIF(Campaigns!$A$7:$A$300,B6216)&gt;0,"✓","⚠ add to Campaigns tab"))</f>
        <v/>
      </c>
      <c r="I6216" s="84" t="str">
        <f aca="false">IF(C6216="","",C6216*IF(Settings!$B$23=Settings!$C$6,1,IF(Settings!$B$23="USD",1/INDEX(Settings!$B$29:$B$40,MONTH(A6216)),INDEX(Settings!$B$29:$B$40,MONTH(A6216)))))</f>
        <v/>
      </c>
    </row>
    <row r="6217" customFormat="false" ht="15" hidden="false" customHeight="false" outlineLevel="0" collapsed="false">
      <c r="H6217" s="0" t="str">
        <f aca="false">IF(B6217="","",IF(COUNTIF(Campaigns!$A$7:$A$300,B6217)&gt;0,"✓","⚠ add to Campaigns tab"))</f>
        <v/>
      </c>
      <c r="I6217" s="84" t="str">
        <f aca="false">IF(C6217="","",C6217*IF(Settings!$B$23=Settings!$C$6,1,IF(Settings!$B$23="USD",1/INDEX(Settings!$B$29:$B$40,MONTH(A6217)),INDEX(Settings!$B$29:$B$40,MONTH(A6217)))))</f>
        <v/>
      </c>
    </row>
    <row r="6218" customFormat="false" ht="15" hidden="false" customHeight="false" outlineLevel="0" collapsed="false">
      <c r="H6218" s="0" t="str">
        <f aca="false">IF(B6218="","",IF(COUNTIF(Campaigns!$A$7:$A$300,B6218)&gt;0,"✓","⚠ add to Campaigns tab"))</f>
        <v/>
      </c>
      <c r="I6218" s="84" t="str">
        <f aca="false">IF(C6218="","",C6218*IF(Settings!$B$23=Settings!$C$6,1,IF(Settings!$B$23="USD",1/INDEX(Settings!$B$29:$B$40,MONTH(A6218)),INDEX(Settings!$B$29:$B$40,MONTH(A6218)))))</f>
        <v/>
      </c>
    </row>
    <row r="6219" customFormat="false" ht="15" hidden="false" customHeight="false" outlineLevel="0" collapsed="false">
      <c r="H6219" s="0" t="str">
        <f aca="false">IF(B6219="","",IF(COUNTIF(Campaigns!$A$7:$A$300,B6219)&gt;0,"✓","⚠ add to Campaigns tab"))</f>
        <v/>
      </c>
      <c r="I6219" s="84" t="str">
        <f aca="false">IF(C6219="","",C6219*IF(Settings!$B$23=Settings!$C$6,1,IF(Settings!$B$23="USD",1/INDEX(Settings!$B$29:$B$40,MONTH(A6219)),INDEX(Settings!$B$29:$B$40,MONTH(A6219)))))</f>
        <v/>
      </c>
    </row>
    <row r="6220" customFormat="false" ht="15" hidden="false" customHeight="false" outlineLevel="0" collapsed="false">
      <c r="H6220" s="0" t="str">
        <f aca="false">IF(B6220="","",IF(COUNTIF(Campaigns!$A$7:$A$300,B6220)&gt;0,"✓","⚠ add to Campaigns tab"))</f>
        <v/>
      </c>
      <c r="I6220" s="84" t="str">
        <f aca="false">IF(C6220="","",C6220*IF(Settings!$B$23=Settings!$C$6,1,IF(Settings!$B$23="USD",1/INDEX(Settings!$B$29:$B$40,MONTH(A6220)),INDEX(Settings!$B$29:$B$40,MONTH(A6220)))))</f>
        <v/>
      </c>
    </row>
    <row r="6221" customFormat="false" ht="15" hidden="false" customHeight="false" outlineLevel="0" collapsed="false">
      <c r="H6221" s="0" t="str">
        <f aca="false">IF(B6221="","",IF(COUNTIF(Campaigns!$A$7:$A$300,B6221)&gt;0,"✓","⚠ add to Campaigns tab"))</f>
        <v/>
      </c>
      <c r="I6221" s="84" t="str">
        <f aca="false">IF(C6221="","",C6221*IF(Settings!$B$23=Settings!$C$6,1,IF(Settings!$B$23="USD",1/INDEX(Settings!$B$29:$B$40,MONTH(A6221)),INDEX(Settings!$B$29:$B$40,MONTH(A6221)))))</f>
        <v/>
      </c>
    </row>
    <row r="6222" customFormat="false" ht="15" hidden="false" customHeight="false" outlineLevel="0" collapsed="false">
      <c r="H6222" s="0" t="str">
        <f aca="false">IF(B6222="","",IF(COUNTIF(Campaigns!$A$7:$A$300,B6222)&gt;0,"✓","⚠ add to Campaigns tab"))</f>
        <v/>
      </c>
      <c r="I6222" s="84" t="str">
        <f aca="false">IF(C6222="","",C6222*IF(Settings!$B$23=Settings!$C$6,1,IF(Settings!$B$23="USD",1/INDEX(Settings!$B$29:$B$40,MONTH(A6222)),INDEX(Settings!$B$29:$B$40,MONTH(A6222)))))</f>
        <v/>
      </c>
    </row>
    <row r="6223" customFormat="false" ht="15" hidden="false" customHeight="false" outlineLevel="0" collapsed="false">
      <c r="H6223" s="0" t="str">
        <f aca="false">IF(B6223="","",IF(COUNTIF(Campaigns!$A$7:$A$300,B6223)&gt;0,"✓","⚠ add to Campaigns tab"))</f>
        <v/>
      </c>
      <c r="I6223" s="84" t="str">
        <f aca="false">IF(C6223="","",C6223*IF(Settings!$B$23=Settings!$C$6,1,IF(Settings!$B$23="USD",1/INDEX(Settings!$B$29:$B$40,MONTH(A6223)),INDEX(Settings!$B$29:$B$40,MONTH(A6223)))))</f>
        <v/>
      </c>
    </row>
    <row r="6224" customFormat="false" ht="15" hidden="false" customHeight="false" outlineLevel="0" collapsed="false">
      <c r="H6224" s="0" t="str">
        <f aca="false">IF(B6224="","",IF(COUNTIF(Campaigns!$A$7:$A$300,B6224)&gt;0,"✓","⚠ add to Campaigns tab"))</f>
        <v/>
      </c>
      <c r="I6224" s="84" t="str">
        <f aca="false">IF(C6224="","",C6224*IF(Settings!$B$23=Settings!$C$6,1,IF(Settings!$B$23="USD",1/INDEX(Settings!$B$29:$B$40,MONTH(A6224)),INDEX(Settings!$B$29:$B$40,MONTH(A6224)))))</f>
        <v/>
      </c>
    </row>
    <row r="6225" customFormat="false" ht="15" hidden="false" customHeight="false" outlineLevel="0" collapsed="false">
      <c r="H6225" s="0" t="str">
        <f aca="false">IF(B6225="","",IF(COUNTIF(Campaigns!$A$7:$A$300,B6225)&gt;0,"✓","⚠ add to Campaigns tab"))</f>
        <v/>
      </c>
      <c r="I6225" s="84" t="str">
        <f aca="false">IF(C6225="","",C6225*IF(Settings!$B$23=Settings!$C$6,1,IF(Settings!$B$23="USD",1/INDEX(Settings!$B$29:$B$40,MONTH(A6225)),INDEX(Settings!$B$29:$B$40,MONTH(A6225)))))</f>
        <v/>
      </c>
    </row>
    <row r="6226" customFormat="false" ht="15" hidden="false" customHeight="false" outlineLevel="0" collapsed="false">
      <c r="H6226" s="0" t="str">
        <f aca="false">IF(B6226="","",IF(COUNTIF(Campaigns!$A$7:$A$300,B6226)&gt;0,"✓","⚠ add to Campaigns tab"))</f>
        <v/>
      </c>
      <c r="I6226" s="84" t="str">
        <f aca="false">IF(C6226="","",C6226*IF(Settings!$B$23=Settings!$C$6,1,IF(Settings!$B$23="USD",1/INDEX(Settings!$B$29:$B$40,MONTH(A6226)),INDEX(Settings!$B$29:$B$40,MONTH(A6226)))))</f>
        <v/>
      </c>
    </row>
    <row r="6227" customFormat="false" ht="15" hidden="false" customHeight="false" outlineLevel="0" collapsed="false">
      <c r="H6227" s="0" t="str">
        <f aca="false">IF(B6227="","",IF(COUNTIF(Campaigns!$A$7:$A$300,B6227)&gt;0,"✓","⚠ add to Campaigns tab"))</f>
        <v/>
      </c>
      <c r="I6227" s="84" t="str">
        <f aca="false">IF(C6227="","",C6227*IF(Settings!$B$23=Settings!$C$6,1,IF(Settings!$B$23="USD",1/INDEX(Settings!$B$29:$B$40,MONTH(A6227)),INDEX(Settings!$B$29:$B$40,MONTH(A6227)))))</f>
        <v/>
      </c>
    </row>
    <row r="6228" customFormat="false" ht="15" hidden="false" customHeight="false" outlineLevel="0" collapsed="false">
      <c r="H6228" s="0" t="str">
        <f aca="false">IF(B6228="","",IF(COUNTIF(Campaigns!$A$7:$A$300,B6228)&gt;0,"✓","⚠ add to Campaigns tab"))</f>
        <v/>
      </c>
      <c r="I6228" s="84" t="str">
        <f aca="false">IF(C6228="","",C6228*IF(Settings!$B$23=Settings!$C$6,1,IF(Settings!$B$23="USD",1/INDEX(Settings!$B$29:$B$40,MONTH(A6228)),INDEX(Settings!$B$29:$B$40,MONTH(A6228)))))</f>
        <v/>
      </c>
    </row>
    <row r="6229" customFormat="false" ht="15" hidden="false" customHeight="false" outlineLevel="0" collapsed="false">
      <c r="H6229" s="0" t="str">
        <f aca="false">IF(B6229="","",IF(COUNTIF(Campaigns!$A$7:$A$300,B6229)&gt;0,"✓","⚠ add to Campaigns tab"))</f>
        <v/>
      </c>
      <c r="I6229" s="84" t="str">
        <f aca="false">IF(C6229="","",C6229*IF(Settings!$B$23=Settings!$C$6,1,IF(Settings!$B$23="USD",1/INDEX(Settings!$B$29:$B$40,MONTH(A6229)),INDEX(Settings!$B$29:$B$40,MONTH(A6229)))))</f>
        <v/>
      </c>
    </row>
    <row r="6230" customFormat="false" ht="15" hidden="false" customHeight="false" outlineLevel="0" collapsed="false">
      <c r="H6230" s="0" t="str">
        <f aca="false">IF(B6230="","",IF(COUNTIF(Campaigns!$A$7:$A$300,B6230)&gt;0,"✓","⚠ add to Campaigns tab"))</f>
        <v/>
      </c>
      <c r="I6230" s="84" t="str">
        <f aca="false">IF(C6230="","",C6230*IF(Settings!$B$23=Settings!$C$6,1,IF(Settings!$B$23="USD",1/INDEX(Settings!$B$29:$B$40,MONTH(A6230)),INDEX(Settings!$B$29:$B$40,MONTH(A6230)))))</f>
        <v/>
      </c>
    </row>
    <row r="6231" customFormat="false" ht="15" hidden="false" customHeight="false" outlineLevel="0" collapsed="false">
      <c r="H6231" s="0" t="str">
        <f aca="false">IF(B6231="","",IF(COUNTIF(Campaigns!$A$7:$A$300,B6231)&gt;0,"✓","⚠ add to Campaigns tab"))</f>
        <v/>
      </c>
      <c r="I6231" s="84" t="str">
        <f aca="false">IF(C6231="","",C6231*IF(Settings!$B$23=Settings!$C$6,1,IF(Settings!$B$23="USD",1/INDEX(Settings!$B$29:$B$40,MONTH(A6231)),INDEX(Settings!$B$29:$B$40,MONTH(A6231)))))</f>
        <v/>
      </c>
    </row>
    <row r="6232" customFormat="false" ht="15" hidden="false" customHeight="false" outlineLevel="0" collapsed="false">
      <c r="H6232" s="0" t="str">
        <f aca="false">IF(B6232="","",IF(COUNTIF(Campaigns!$A$7:$A$300,B6232)&gt;0,"✓","⚠ add to Campaigns tab"))</f>
        <v/>
      </c>
      <c r="I6232" s="84" t="str">
        <f aca="false">IF(C6232="","",C6232*IF(Settings!$B$23=Settings!$C$6,1,IF(Settings!$B$23="USD",1/INDEX(Settings!$B$29:$B$40,MONTH(A6232)),INDEX(Settings!$B$29:$B$40,MONTH(A6232)))))</f>
        <v/>
      </c>
    </row>
    <row r="6233" customFormat="false" ht="15" hidden="false" customHeight="false" outlineLevel="0" collapsed="false">
      <c r="H6233" s="0" t="str">
        <f aca="false">IF(B6233="","",IF(COUNTIF(Campaigns!$A$7:$A$300,B6233)&gt;0,"✓","⚠ add to Campaigns tab"))</f>
        <v/>
      </c>
      <c r="I6233" s="84" t="str">
        <f aca="false">IF(C6233="","",C6233*IF(Settings!$B$23=Settings!$C$6,1,IF(Settings!$B$23="USD",1/INDEX(Settings!$B$29:$B$40,MONTH(A6233)),INDEX(Settings!$B$29:$B$40,MONTH(A6233)))))</f>
        <v/>
      </c>
    </row>
    <row r="6234" customFormat="false" ht="15" hidden="false" customHeight="false" outlineLevel="0" collapsed="false">
      <c r="H6234" s="0" t="str">
        <f aca="false">IF(B6234="","",IF(COUNTIF(Campaigns!$A$7:$A$300,B6234)&gt;0,"✓","⚠ add to Campaigns tab"))</f>
        <v/>
      </c>
      <c r="I6234" s="84" t="str">
        <f aca="false">IF(C6234="","",C6234*IF(Settings!$B$23=Settings!$C$6,1,IF(Settings!$B$23="USD",1/INDEX(Settings!$B$29:$B$40,MONTH(A6234)),INDEX(Settings!$B$29:$B$40,MONTH(A6234)))))</f>
        <v/>
      </c>
    </row>
    <row r="6235" customFormat="false" ht="15" hidden="false" customHeight="false" outlineLevel="0" collapsed="false">
      <c r="H6235" s="0" t="str">
        <f aca="false">IF(B6235="","",IF(COUNTIF(Campaigns!$A$7:$A$300,B6235)&gt;0,"✓","⚠ add to Campaigns tab"))</f>
        <v/>
      </c>
      <c r="I6235" s="84" t="str">
        <f aca="false">IF(C6235="","",C6235*IF(Settings!$B$23=Settings!$C$6,1,IF(Settings!$B$23="USD",1/INDEX(Settings!$B$29:$B$40,MONTH(A6235)),INDEX(Settings!$B$29:$B$40,MONTH(A6235)))))</f>
        <v/>
      </c>
    </row>
    <row r="6236" customFormat="false" ht="15" hidden="false" customHeight="false" outlineLevel="0" collapsed="false">
      <c r="H6236" s="0" t="str">
        <f aca="false">IF(B6236="","",IF(COUNTIF(Campaigns!$A$7:$A$300,B6236)&gt;0,"✓","⚠ add to Campaigns tab"))</f>
        <v/>
      </c>
      <c r="I6236" s="84" t="str">
        <f aca="false">IF(C6236="","",C6236*IF(Settings!$B$23=Settings!$C$6,1,IF(Settings!$B$23="USD",1/INDEX(Settings!$B$29:$B$40,MONTH(A6236)),INDEX(Settings!$B$29:$B$40,MONTH(A6236)))))</f>
        <v/>
      </c>
    </row>
    <row r="6237" customFormat="false" ht="15" hidden="false" customHeight="false" outlineLevel="0" collapsed="false">
      <c r="H6237" s="0" t="str">
        <f aca="false">IF(B6237="","",IF(COUNTIF(Campaigns!$A$7:$A$300,B6237)&gt;0,"✓","⚠ add to Campaigns tab"))</f>
        <v/>
      </c>
      <c r="I6237" s="84" t="str">
        <f aca="false">IF(C6237="","",C6237*IF(Settings!$B$23=Settings!$C$6,1,IF(Settings!$B$23="USD",1/INDEX(Settings!$B$29:$B$40,MONTH(A6237)),INDEX(Settings!$B$29:$B$40,MONTH(A6237)))))</f>
        <v/>
      </c>
    </row>
    <row r="6238" customFormat="false" ht="15" hidden="false" customHeight="false" outlineLevel="0" collapsed="false">
      <c r="H6238" s="0" t="str">
        <f aca="false">IF(B6238="","",IF(COUNTIF(Campaigns!$A$7:$A$300,B6238)&gt;0,"✓","⚠ add to Campaigns tab"))</f>
        <v/>
      </c>
      <c r="I6238" s="84" t="str">
        <f aca="false">IF(C6238="","",C6238*IF(Settings!$B$23=Settings!$C$6,1,IF(Settings!$B$23="USD",1/INDEX(Settings!$B$29:$B$40,MONTH(A6238)),INDEX(Settings!$B$29:$B$40,MONTH(A6238)))))</f>
        <v/>
      </c>
    </row>
    <row r="6239" customFormat="false" ht="15" hidden="false" customHeight="false" outlineLevel="0" collapsed="false">
      <c r="H6239" s="0" t="str">
        <f aca="false">IF(B6239="","",IF(COUNTIF(Campaigns!$A$7:$A$300,B6239)&gt;0,"✓","⚠ add to Campaigns tab"))</f>
        <v/>
      </c>
      <c r="I6239" s="84" t="str">
        <f aca="false">IF(C6239="","",C6239*IF(Settings!$B$23=Settings!$C$6,1,IF(Settings!$B$23="USD",1/INDEX(Settings!$B$29:$B$40,MONTH(A6239)),INDEX(Settings!$B$29:$B$40,MONTH(A6239)))))</f>
        <v/>
      </c>
    </row>
    <row r="6240" customFormat="false" ht="15" hidden="false" customHeight="false" outlineLevel="0" collapsed="false">
      <c r="H6240" s="0" t="str">
        <f aca="false">IF(B6240="","",IF(COUNTIF(Campaigns!$A$7:$A$300,B6240)&gt;0,"✓","⚠ add to Campaigns tab"))</f>
        <v/>
      </c>
      <c r="I6240" s="84" t="str">
        <f aca="false">IF(C6240="","",C6240*IF(Settings!$B$23=Settings!$C$6,1,IF(Settings!$B$23="USD",1/INDEX(Settings!$B$29:$B$40,MONTH(A6240)),INDEX(Settings!$B$29:$B$40,MONTH(A6240)))))</f>
        <v/>
      </c>
    </row>
    <row r="6241" customFormat="false" ht="15" hidden="false" customHeight="false" outlineLevel="0" collapsed="false">
      <c r="H6241" s="0" t="str">
        <f aca="false">IF(B6241="","",IF(COUNTIF(Campaigns!$A$7:$A$300,B6241)&gt;0,"✓","⚠ add to Campaigns tab"))</f>
        <v/>
      </c>
      <c r="I6241" s="84" t="str">
        <f aca="false">IF(C6241="","",C6241*IF(Settings!$B$23=Settings!$C$6,1,IF(Settings!$B$23="USD",1/INDEX(Settings!$B$29:$B$40,MONTH(A6241)),INDEX(Settings!$B$29:$B$40,MONTH(A6241)))))</f>
        <v/>
      </c>
    </row>
    <row r="6242" customFormat="false" ht="15" hidden="false" customHeight="false" outlineLevel="0" collapsed="false">
      <c r="H6242" s="0" t="str">
        <f aca="false">IF(B6242="","",IF(COUNTIF(Campaigns!$A$7:$A$300,B6242)&gt;0,"✓","⚠ add to Campaigns tab"))</f>
        <v/>
      </c>
      <c r="I6242" s="84" t="str">
        <f aca="false">IF(C6242="","",C6242*IF(Settings!$B$23=Settings!$C$6,1,IF(Settings!$B$23="USD",1/INDEX(Settings!$B$29:$B$40,MONTH(A6242)),INDEX(Settings!$B$29:$B$40,MONTH(A6242)))))</f>
        <v/>
      </c>
    </row>
    <row r="6243" customFormat="false" ht="15" hidden="false" customHeight="false" outlineLevel="0" collapsed="false">
      <c r="H6243" s="0" t="str">
        <f aca="false">IF(B6243="","",IF(COUNTIF(Campaigns!$A$7:$A$300,B6243)&gt;0,"✓","⚠ add to Campaigns tab"))</f>
        <v/>
      </c>
      <c r="I6243" s="84" t="str">
        <f aca="false">IF(C6243="","",C6243*IF(Settings!$B$23=Settings!$C$6,1,IF(Settings!$B$23="USD",1/INDEX(Settings!$B$29:$B$40,MONTH(A6243)),INDEX(Settings!$B$29:$B$40,MONTH(A6243)))))</f>
        <v/>
      </c>
    </row>
    <row r="6244" customFormat="false" ht="15" hidden="false" customHeight="false" outlineLevel="0" collapsed="false">
      <c r="H6244" s="0" t="str">
        <f aca="false">IF(B6244="","",IF(COUNTIF(Campaigns!$A$7:$A$300,B6244)&gt;0,"✓","⚠ add to Campaigns tab"))</f>
        <v/>
      </c>
      <c r="I6244" s="84" t="str">
        <f aca="false">IF(C6244="","",C6244*IF(Settings!$B$23=Settings!$C$6,1,IF(Settings!$B$23="USD",1/INDEX(Settings!$B$29:$B$40,MONTH(A6244)),INDEX(Settings!$B$29:$B$40,MONTH(A6244)))))</f>
        <v/>
      </c>
    </row>
    <row r="6245" customFormat="false" ht="15" hidden="false" customHeight="false" outlineLevel="0" collapsed="false">
      <c r="H6245" s="0" t="str">
        <f aca="false">IF(B6245="","",IF(COUNTIF(Campaigns!$A$7:$A$300,B6245)&gt;0,"✓","⚠ add to Campaigns tab"))</f>
        <v/>
      </c>
      <c r="I6245" s="84" t="str">
        <f aca="false">IF(C6245="","",C6245*IF(Settings!$B$23=Settings!$C$6,1,IF(Settings!$B$23="USD",1/INDEX(Settings!$B$29:$B$40,MONTH(A6245)),INDEX(Settings!$B$29:$B$40,MONTH(A6245)))))</f>
        <v/>
      </c>
    </row>
    <row r="6246" customFormat="false" ht="15" hidden="false" customHeight="false" outlineLevel="0" collapsed="false">
      <c r="H6246" s="0" t="str">
        <f aca="false">IF(B6246="","",IF(COUNTIF(Campaigns!$A$7:$A$300,B6246)&gt;0,"✓","⚠ add to Campaigns tab"))</f>
        <v/>
      </c>
      <c r="I6246" s="84" t="str">
        <f aca="false">IF(C6246="","",C6246*IF(Settings!$B$23=Settings!$C$6,1,IF(Settings!$B$23="USD",1/INDEX(Settings!$B$29:$B$40,MONTH(A6246)),INDEX(Settings!$B$29:$B$40,MONTH(A6246)))))</f>
        <v/>
      </c>
    </row>
    <row r="6247" customFormat="false" ht="15" hidden="false" customHeight="false" outlineLevel="0" collapsed="false">
      <c r="H6247" s="0" t="str">
        <f aca="false">IF(B6247="","",IF(COUNTIF(Campaigns!$A$7:$A$300,B6247)&gt;0,"✓","⚠ add to Campaigns tab"))</f>
        <v/>
      </c>
      <c r="I6247" s="84" t="str">
        <f aca="false">IF(C6247="","",C6247*IF(Settings!$B$23=Settings!$C$6,1,IF(Settings!$B$23="USD",1/INDEX(Settings!$B$29:$B$40,MONTH(A6247)),INDEX(Settings!$B$29:$B$40,MONTH(A6247)))))</f>
        <v/>
      </c>
    </row>
    <row r="6248" customFormat="false" ht="15" hidden="false" customHeight="false" outlineLevel="0" collapsed="false">
      <c r="H6248" s="0" t="str">
        <f aca="false">IF(B6248="","",IF(COUNTIF(Campaigns!$A$7:$A$300,B6248)&gt;0,"✓","⚠ add to Campaigns tab"))</f>
        <v/>
      </c>
      <c r="I6248" s="84" t="str">
        <f aca="false">IF(C6248="","",C6248*IF(Settings!$B$23=Settings!$C$6,1,IF(Settings!$B$23="USD",1/INDEX(Settings!$B$29:$B$40,MONTH(A6248)),INDEX(Settings!$B$29:$B$40,MONTH(A6248)))))</f>
        <v/>
      </c>
    </row>
    <row r="6249" customFormat="false" ht="15" hidden="false" customHeight="false" outlineLevel="0" collapsed="false">
      <c r="H6249" s="0" t="str">
        <f aca="false">IF(B6249="","",IF(COUNTIF(Campaigns!$A$7:$A$300,B6249)&gt;0,"✓","⚠ add to Campaigns tab"))</f>
        <v/>
      </c>
      <c r="I6249" s="84" t="str">
        <f aca="false">IF(C6249="","",C6249*IF(Settings!$B$23=Settings!$C$6,1,IF(Settings!$B$23="USD",1/INDEX(Settings!$B$29:$B$40,MONTH(A6249)),INDEX(Settings!$B$29:$B$40,MONTH(A6249)))))</f>
        <v/>
      </c>
    </row>
    <row r="6250" customFormat="false" ht="15" hidden="false" customHeight="false" outlineLevel="0" collapsed="false">
      <c r="H6250" s="0" t="str">
        <f aca="false">IF(B6250="","",IF(COUNTIF(Campaigns!$A$7:$A$300,B6250)&gt;0,"✓","⚠ add to Campaigns tab"))</f>
        <v/>
      </c>
      <c r="I6250" s="84" t="str">
        <f aca="false">IF(C6250="","",C6250*IF(Settings!$B$23=Settings!$C$6,1,IF(Settings!$B$23="USD",1/INDEX(Settings!$B$29:$B$40,MONTH(A6250)),INDEX(Settings!$B$29:$B$40,MONTH(A6250)))))</f>
        <v/>
      </c>
    </row>
    <row r="6251" customFormat="false" ht="15" hidden="false" customHeight="false" outlineLevel="0" collapsed="false">
      <c r="H6251" s="0" t="str">
        <f aca="false">IF(B6251="","",IF(COUNTIF(Campaigns!$A$7:$A$300,B6251)&gt;0,"✓","⚠ add to Campaigns tab"))</f>
        <v/>
      </c>
      <c r="I6251" s="84" t="str">
        <f aca="false">IF(C6251="","",C6251*IF(Settings!$B$23=Settings!$C$6,1,IF(Settings!$B$23="USD",1/INDEX(Settings!$B$29:$B$40,MONTH(A6251)),INDEX(Settings!$B$29:$B$40,MONTH(A6251)))))</f>
        <v/>
      </c>
    </row>
    <row r="6252" customFormat="false" ht="15" hidden="false" customHeight="false" outlineLevel="0" collapsed="false">
      <c r="H6252" s="0" t="str">
        <f aca="false">IF(B6252="","",IF(COUNTIF(Campaigns!$A$7:$A$300,B6252)&gt;0,"✓","⚠ add to Campaigns tab"))</f>
        <v/>
      </c>
      <c r="I6252" s="84" t="str">
        <f aca="false">IF(C6252="","",C6252*IF(Settings!$B$23=Settings!$C$6,1,IF(Settings!$B$23="USD",1/INDEX(Settings!$B$29:$B$40,MONTH(A6252)),INDEX(Settings!$B$29:$B$40,MONTH(A6252)))))</f>
        <v/>
      </c>
    </row>
    <row r="6253" customFormat="false" ht="15" hidden="false" customHeight="false" outlineLevel="0" collapsed="false">
      <c r="H6253" s="0" t="str">
        <f aca="false">IF(B6253="","",IF(COUNTIF(Campaigns!$A$7:$A$300,B6253)&gt;0,"✓","⚠ add to Campaigns tab"))</f>
        <v/>
      </c>
      <c r="I6253" s="84" t="str">
        <f aca="false">IF(C6253="","",C6253*IF(Settings!$B$23=Settings!$C$6,1,IF(Settings!$B$23="USD",1/INDEX(Settings!$B$29:$B$40,MONTH(A6253)),INDEX(Settings!$B$29:$B$40,MONTH(A6253)))))</f>
        <v/>
      </c>
    </row>
    <row r="6254" customFormat="false" ht="15" hidden="false" customHeight="false" outlineLevel="0" collapsed="false">
      <c r="H6254" s="0" t="str">
        <f aca="false">IF(B6254="","",IF(COUNTIF(Campaigns!$A$7:$A$300,B6254)&gt;0,"✓","⚠ add to Campaigns tab"))</f>
        <v/>
      </c>
      <c r="I6254" s="84" t="str">
        <f aca="false">IF(C6254="","",C6254*IF(Settings!$B$23=Settings!$C$6,1,IF(Settings!$B$23="USD",1/INDEX(Settings!$B$29:$B$40,MONTH(A6254)),INDEX(Settings!$B$29:$B$40,MONTH(A6254)))))</f>
        <v/>
      </c>
    </row>
    <row r="6255" customFormat="false" ht="15" hidden="false" customHeight="false" outlineLevel="0" collapsed="false">
      <c r="H6255" s="0" t="str">
        <f aca="false">IF(B6255="","",IF(COUNTIF(Campaigns!$A$7:$A$300,B6255)&gt;0,"✓","⚠ add to Campaigns tab"))</f>
        <v/>
      </c>
      <c r="I6255" s="84" t="str">
        <f aca="false">IF(C6255="","",C6255*IF(Settings!$B$23=Settings!$C$6,1,IF(Settings!$B$23="USD",1/INDEX(Settings!$B$29:$B$40,MONTH(A6255)),INDEX(Settings!$B$29:$B$40,MONTH(A6255)))))</f>
        <v/>
      </c>
    </row>
    <row r="6256" customFormat="false" ht="15" hidden="false" customHeight="false" outlineLevel="0" collapsed="false">
      <c r="H6256" s="0" t="str">
        <f aca="false">IF(B6256="","",IF(COUNTIF(Campaigns!$A$7:$A$300,B6256)&gt;0,"✓","⚠ add to Campaigns tab"))</f>
        <v/>
      </c>
      <c r="I6256" s="84" t="str">
        <f aca="false">IF(C6256="","",C6256*IF(Settings!$B$23=Settings!$C$6,1,IF(Settings!$B$23="USD",1/INDEX(Settings!$B$29:$B$40,MONTH(A6256)),INDEX(Settings!$B$29:$B$40,MONTH(A6256)))))</f>
        <v/>
      </c>
    </row>
    <row r="6257" customFormat="false" ht="15" hidden="false" customHeight="false" outlineLevel="0" collapsed="false">
      <c r="H6257" s="0" t="str">
        <f aca="false">IF(B6257="","",IF(COUNTIF(Campaigns!$A$7:$A$300,B6257)&gt;0,"✓","⚠ add to Campaigns tab"))</f>
        <v/>
      </c>
      <c r="I6257" s="84" t="str">
        <f aca="false">IF(C6257="","",C6257*IF(Settings!$B$23=Settings!$C$6,1,IF(Settings!$B$23="USD",1/INDEX(Settings!$B$29:$B$40,MONTH(A6257)),INDEX(Settings!$B$29:$B$40,MONTH(A6257)))))</f>
        <v/>
      </c>
    </row>
    <row r="6258" customFormat="false" ht="15" hidden="false" customHeight="false" outlineLevel="0" collapsed="false">
      <c r="H6258" s="0" t="str">
        <f aca="false">IF(B6258="","",IF(COUNTIF(Campaigns!$A$7:$A$300,B6258)&gt;0,"✓","⚠ add to Campaigns tab"))</f>
        <v/>
      </c>
      <c r="I6258" s="84" t="str">
        <f aca="false">IF(C6258="","",C6258*IF(Settings!$B$23=Settings!$C$6,1,IF(Settings!$B$23="USD",1/INDEX(Settings!$B$29:$B$40,MONTH(A6258)),INDEX(Settings!$B$29:$B$40,MONTH(A6258)))))</f>
        <v/>
      </c>
    </row>
    <row r="6259" customFormat="false" ht="15" hidden="false" customHeight="false" outlineLevel="0" collapsed="false">
      <c r="H6259" s="0" t="str">
        <f aca="false">IF(B6259="","",IF(COUNTIF(Campaigns!$A$7:$A$300,B6259)&gt;0,"✓","⚠ add to Campaigns tab"))</f>
        <v/>
      </c>
      <c r="I6259" s="84" t="str">
        <f aca="false">IF(C6259="","",C6259*IF(Settings!$B$23=Settings!$C$6,1,IF(Settings!$B$23="USD",1/INDEX(Settings!$B$29:$B$40,MONTH(A6259)),INDEX(Settings!$B$29:$B$40,MONTH(A6259)))))</f>
        <v/>
      </c>
    </row>
    <row r="6260" customFormat="false" ht="15" hidden="false" customHeight="false" outlineLevel="0" collapsed="false">
      <c r="H6260" s="0" t="str">
        <f aca="false">IF(B6260="","",IF(COUNTIF(Campaigns!$A$7:$A$300,B6260)&gt;0,"✓","⚠ add to Campaigns tab"))</f>
        <v/>
      </c>
      <c r="I6260" s="84" t="str">
        <f aca="false">IF(C6260="","",C6260*IF(Settings!$B$23=Settings!$C$6,1,IF(Settings!$B$23="USD",1/INDEX(Settings!$B$29:$B$40,MONTH(A6260)),INDEX(Settings!$B$29:$B$40,MONTH(A6260)))))</f>
        <v/>
      </c>
    </row>
    <row r="6261" customFormat="false" ht="15" hidden="false" customHeight="false" outlineLevel="0" collapsed="false">
      <c r="H6261" s="0" t="str">
        <f aca="false">IF(B6261="","",IF(COUNTIF(Campaigns!$A$7:$A$300,B6261)&gt;0,"✓","⚠ add to Campaigns tab"))</f>
        <v/>
      </c>
      <c r="I6261" s="84" t="str">
        <f aca="false">IF(C6261="","",C6261*IF(Settings!$B$23=Settings!$C$6,1,IF(Settings!$B$23="USD",1/INDEX(Settings!$B$29:$B$40,MONTH(A6261)),INDEX(Settings!$B$29:$B$40,MONTH(A6261)))))</f>
        <v/>
      </c>
    </row>
    <row r="6262" customFormat="false" ht="15" hidden="false" customHeight="false" outlineLevel="0" collapsed="false">
      <c r="H6262" s="0" t="str">
        <f aca="false">IF(B6262="","",IF(COUNTIF(Campaigns!$A$7:$A$300,B6262)&gt;0,"✓","⚠ add to Campaigns tab"))</f>
        <v/>
      </c>
      <c r="I6262" s="84" t="str">
        <f aca="false">IF(C6262="","",C6262*IF(Settings!$B$23=Settings!$C$6,1,IF(Settings!$B$23="USD",1/INDEX(Settings!$B$29:$B$40,MONTH(A6262)),INDEX(Settings!$B$29:$B$40,MONTH(A6262)))))</f>
        <v/>
      </c>
    </row>
    <row r="6263" customFormat="false" ht="15" hidden="false" customHeight="false" outlineLevel="0" collapsed="false">
      <c r="H6263" s="0" t="str">
        <f aca="false">IF(B6263="","",IF(COUNTIF(Campaigns!$A$7:$A$300,B6263)&gt;0,"✓","⚠ add to Campaigns tab"))</f>
        <v/>
      </c>
      <c r="I6263" s="84" t="str">
        <f aca="false">IF(C6263="","",C6263*IF(Settings!$B$23=Settings!$C$6,1,IF(Settings!$B$23="USD",1/INDEX(Settings!$B$29:$B$40,MONTH(A6263)),INDEX(Settings!$B$29:$B$40,MONTH(A6263)))))</f>
        <v/>
      </c>
    </row>
    <row r="6264" customFormat="false" ht="15" hidden="false" customHeight="false" outlineLevel="0" collapsed="false">
      <c r="H6264" s="0" t="str">
        <f aca="false">IF(B6264="","",IF(COUNTIF(Campaigns!$A$7:$A$300,B6264)&gt;0,"✓","⚠ add to Campaigns tab"))</f>
        <v/>
      </c>
      <c r="I6264" s="84" t="str">
        <f aca="false">IF(C6264="","",C6264*IF(Settings!$B$23=Settings!$C$6,1,IF(Settings!$B$23="USD",1/INDEX(Settings!$B$29:$B$40,MONTH(A6264)),INDEX(Settings!$B$29:$B$40,MONTH(A6264)))))</f>
        <v/>
      </c>
    </row>
    <row r="6265" customFormat="false" ht="15" hidden="false" customHeight="false" outlineLevel="0" collapsed="false">
      <c r="H6265" s="0" t="str">
        <f aca="false">IF(B6265="","",IF(COUNTIF(Campaigns!$A$7:$A$300,B6265)&gt;0,"✓","⚠ add to Campaigns tab"))</f>
        <v/>
      </c>
      <c r="I6265" s="84" t="str">
        <f aca="false">IF(C6265="","",C6265*IF(Settings!$B$23=Settings!$C$6,1,IF(Settings!$B$23="USD",1/INDEX(Settings!$B$29:$B$40,MONTH(A6265)),INDEX(Settings!$B$29:$B$40,MONTH(A6265)))))</f>
        <v/>
      </c>
    </row>
    <row r="6266" customFormat="false" ht="15" hidden="false" customHeight="false" outlineLevel="0" collapsed="false">
      <c r="H6266" s="0" t="str">
        <f aca="false">IF(B6266="","",IF(COUNTIF(Campaigns!$A$7:$A$300,B6266)&gt;0,"✓","⚠ add to Campaigns tab"))</f>
        <v/>
      </c>
      <c r="I6266" s="84" t="str">
        <f aca="false">IF(C6266="","",C6266*IF(Settings!$B$23=Settings!$C$6,1,IF(Settings!$B$23="USD",1/INDEX(Settings!$B$29:$B$40,MONTH(A6266)),INDEX(Settings!$B$29:$B$40,MONTH(A6266)))))</f>
        <v/>
      </c>
    </row>
    <row r="6267" customFormat="false" ht="15" hidden="false" customHeight="false" outlineLevel="0" collapsed="false">
      <c r="H6267" s="0" t="str">
        <f aca="false">IF(B6267="","",IF(COUNTIF(Campaigns!$A$7:$A$300,B6267)&gt;0,"✓","⚠ add to Campaigns tab"))</f>
        <v/>
      </c>
      <c r="I6267" s="84" t="str">
        <f aca="false">IF(C6267="","",C6267*IF(Settings!$B$23=Settings!$C$6,1,IF(Settings!$B$23="USD",1/INDEX(Settings!$B$29:$B$40,MONTH(A6267)),INDEX(Settings!$B$29:$B$40,MONTH(A6267)))))</f>
        <v/>
      </c>
    </row>
    <row r="6268" customFormat="false" ht="15" hidden="false" customHeight="false" outlineLevel="0" collapsed="false">
      <c r="H6268" s="0" t="str">
        <f aca="false">IF(B6268="","",IF(COUNTIF(Campaigns!$A$7:$A$300,B6268)&gt;0,"✓","⚠ add to Campaigns tab"))</f>
        <v/>
      </c>
      <c r="I6268" s="84" t="str">
        <f aca="false">IF(C6268="","",C6268*IF(Settings!$B$23=Settings!$C$6,1,IF(Settings!$B$23="USD",1/INDEX(Settings!$B$29:$B$40,MONTH(A6268)),INDEX(Settings!$B$29:$B$40,MONTH(A6268)))))</f>
        <v/>
      </c>
    </row>
    <row r="6269" customFormat="false" ht="15" hidden="false" customHeight="false" outlineLevel="0" collapsed="false">
      <c r="H6269" s="0" t="str">
        <f aca="false">IF(B6269="","",IF(COUNTIF(Campaigns!$A$7:$A$300,B6269)&gt;0,"✓","⚠ add to Campaigns tab"))</f>
        <v/>
      </c>
      <c r="I6269" s="84" t="str">
        <f aca="false">IF(C6269="","",C6269*IF(Settings!$B$23=Settings!$C$6,1,IF(Settings!$B$23="USD",1/INDEX(Settings!$B$29:$B$40,MONTH(A6269)),INDEX(Settings!$B$29:$B$40,MONTH(A6269)))))</f>
        <v/>
      </c>
    </row>
    <row r="6270" customFormat="false" ht="15" hidden="false" customHeight="false" outlineLevel="0" collapsed="false">
      <c r="H6270" s="0" t="str">
        <f aca="false">IF(B6270="","",IF(COUNTIF(Campaigns!$A$7:$A$300,B6270)&gt;0,"✓","⚠ add to Campaigns tab"))</f>
        <v/>
      </c>
      <c r="I6270" s="84" t="str">
        <f aca="false">IF(C6270="","",C6270*IF(Settings!$B$23=Settings!$C$6,1,IF(Settings!$B$23="USD",1/INDEX(Settings!$B$29:$B$40,MONTH(A6270)),INDEX(Settings!$B$29:$B$40,MONTH(A6270)))))</f>
        <v/>
      </c>
    </row>
    <row r="6271" customFormat="false" ht="15" hidden="false" customHeight="false" outlineLevel="0" collapsed="false">
      <c r="H6271" s="0" t="str">
        <f aca="false">IF(B6271="","",IF(COUNTIF(Campaigns!$A$7:$A$300,B6271)&gt;0,"✓","⚠ add to Campaigns tab"))</f>
        <v/>
      </c>
      <c r="I6271" s="84" t="str">
        <f aca="false">IF(C6271="","",C6271*IF(Settings!$B$23=Settings!$C$6,1,IF(Settings!$B$23="USD",1/INDEX(Settings!$B$29:$B$40,MONTH(A6271)),INDEX(Settings!$B$29:$B$40,MONTH(A6271)))))</f>
        <v/>
      </c>
    </row>
    <row r="6272" customFormat="false" ht="15" hidden="false" customHeight="false" outlineLevel="0" collapsed="false">
      <c r="H6272" s="0" t="str">
        <f aca="false">IF(B6272="","",IF(COUNTIF(Campaigns!$A$7:$A$300,B6272)&gt;0,"✓","⚠ add to Campaigns tab"))</f>
        <v/>
      </c>
      <c r="I6272" s="84" t="str">
        <f aca="false">IF(C6272="","",C6272*IF(Settings!$B$23=Settings!$C$6,1,IF(Settings!$B$23="USD",1/INDEX(Settings!$B$29:$B$40,MONTH(A6272)),INDEX(Settings!$B$29:$B$40,MONTH(A6272)))))</f>
        <v/>
      </c>
    </row>
    <row r="6273" customFormat="false" ht="15" hidden="false" customHeight="false" outlineLevel="0" collapsed="false">
      <c r="H6273" s="0" t="str">
        <f aca="false">IF(B6273="","",IF(COUNTIF(Campaigns!$A$7:$A$300,B6273)&gt;0,"✓","⚠ add to Campaigns tab"))</f>
        <v/>
      </c>
      <c r="I6273" s="84" t="str">
        <f aca="false">IF(C6273="","",C6273*IF(Settings!$B$23=Settings!$C$6,1,IF(Settings!$B$23="USD",1/INDEX(Settings!$B$29:$B$40,MONTH(A6273)),INDEX(Settings!$B$29:$B$40,MONTH(A6273)))))</f>
        <v/>
      </c>
    </row>
    <row r="6274" customFormat="false" ht="15" hidden="false" customHeight="false" outlineLevel="0" collapsed="false">
      <c r="H6274" s="0" t="str">
        <f aca="false">IF(B6274="","",IF(COUNTIF(Campaigns!$A$7:$A$300,B6274)&gt;0,"✓","⚠ add to Campaigns tab"))</f>
        <v/>
      </c>
      <c r="I6274" s="84" t="str">
        <f aca="false">IF(C6274="","",C6274*IF(Settings!$B$23=Settings!$C$6,1,IF(Settings!$B$23="USD",1/INDEX(Settings!$B$29:$B$40,MONTH(A6274)),INDEX(Settings!$B$29:$B$40,MONTH(A6274)))))</f>
        <v/>
      </c>
    </row>
    <row r="6275" customFormat="false" ht="15" hidden="false" customHeight="false" outlineLevel="0" collapsed="false">
      <c r="H6275" s="0" t="str">
        <f aca="false">IF(B6275="","",IF(COUNTIF(Campaigns!$A$7:$A$300,B6275)&gt;0,"✓","⚠ add to Campaigns tab"))</f>
        <v/>
      </c>
      <c r="I6275" s="84" t="str">
        <f aca="false">IF(C6275="","",C6275*IF(Settings!$B$23=Settings!$C$6,1,IF(Settings!$B$23="USD",1/INDEX(Settings!$B$29:$B$40,MONTH(A6275)),INDEX(Settings!$B$29:$B$40,MONTH(A6275)))))</f>
        <v/>
      </c>
    </row>
    <row r="6276" customFormat="false" ht="15" hidden="false" customHeight="false" outlineLevel="0" collapsed="false">
      <c r="H6276" s="0" t="str">
        <f aca="false">IF(B6276="","",IF(COUNTIF(Campaigns!$A$7:$A$300,B6276)&gt;0,"✓","⚠ add to Campaigns tab"))</f>
        <v/>
      </c>
      <c r="I6276" s="84" t="str">
        <f aca="false">IF(C6276="","",C6276*IF(Settings!$B$23=Settings!$C$6,1,IF(Settings!$B$23="USD",1/INDEX(Settings!$B$29:$B$40,MONTH(A6276)),INDEX(Settings!$B$29:$B$40,MONTH(A6276)))))</f>
        <v/>
      </c>
    </row>
    <row r="6277" customFormat="false" ht="15" hidden="false" customHeight="false" outlineLevel="0" collapsed="false">
      <c r="H6277" s="0" t="str">
        <f aca="false">IF(B6277="","",IF(COUNTIF(Campaigns!$A$7:$A$300,B6277)&gt;0,"✓","⚠ add to Campaigns tab"))</f>
        <v/>
      </c>
      <c r="I6277" s="84" t="str">
        <f aca="false">IF(C6277="","",C6277*IF(Settings!$B$23=Settings!$C$6,1,IF(Settings!$B$23="USD",1/INDEX(Settings!$B$29:$B$40,MONTH(A6277)),INDEX(Settings!$B$29:$B$40,MONTH(A6277)))))</f>
        <v/>
      </c>
    </row>
    <row r="6278" customFormat="false" ht="15" hidden="false" customHeight="false" outlineLevel="0" collapsed="false">
      <c r="H6278" s="0" t="str">
        <f aca="false">IF(B6278="","",IF(COUNTIF(Campaigns!$A$7:$A$300,B6278)&gt;0,"✓","⚠ add to Campaigns tab"))</f>
        <v/>
      </c>
      <c r="I6278" s="84" t="str">
        <f aca="false">IF(C6278="","",C6278*IF(Settings!$B$23=Settings!$C$6,1,IF(Settings!$B$23="USD",1/INDEX(Settings!$B$29:$B$40,MONTH(A6278)),INDEX(Settings!$B$29:$B$40,MONTH(A6278)))))</f>
        <v/>
      </c>
    </row>
    <row r="6279" customFormat="false" ht="15" hidden="false" customHeight="false" outlineLevel="0" collapsed="false">
      <c r="H6279" s="0" t="str">
        <f aca="false">IF(B6279="","",IF(COUNTIF(Campaigns!$A$7:$A$300,B6279)&gt;0,"✓","⚠ add to Campaigns tab"))</f>
        <v/>
      </c>
      <c r="I6279" s="84" t="str">
        <f aca="false">IF(C6279="","",C6279*IF(Settings!$B$23=Settings!$C$6,1,IF(Settings!$B$23="USD",1/INDEX(Settings!$B$29:$B$40,MONTH(A6279)),INDEX(Settings!$B$29:$B$40,MONTH(A6279)))))</f>
        <v/>
      </c>
    </row>
    <row r="6280" customFormat="false" ht="15" hidden="false" customHeight="false" outlineLevel="0" collapsed="false">
      <c r="H6280" s="0" t="str">
        <f aca="false">IF(B6280="","",IF(COUNTIF(Campaigns!$A$7:$A$300,B6280)&gt;0,"✓","⚠ add to Campaigns tab"))</f>
        <v/>
      </c>
      <c r="I6280" s="84" t="str">
        <f aca="false">IF(C6280="","",C6280*IF(Settings!$B$23=Settings!$C$6,1,IF(Settings!$B$23="USD",1/INDEX(Settings!$B$29:$B$40,MONTH(A6280)),INDEX(Settings!$B$29:$B$40,MONTH(A6280)))))</f>
        <v/>
      </c>
    </row>
    <row r="6281" customFormat="false" ht="15" hidden="false" customHeight="false" outlineLevel="0" collapsed="false">
      <c r="H6281" s="0" t="str">
        <f aca="false">IF(B6281="","",IF(COUNTIF(Campaigns!$A$7:$A$300,B6281)&gt;0,"✓","⚠ add to Campaigns tab"))</f>
        <v/>
      </c>
      <c r="I6281" s="84" t="str">
        <f aca="false">IF(C6281="","",C6281*IF(Settings!$B$23=Settings!$C$6,1,IF(Settings!$B$23="USD",1/INDEX(Settings!$B$29:$B$40,MONTH(A6281)),INDEX(Settings!$B$29:$B$40,MONTH(A6281)))))</f>
        <v/>
      </c>
    </row>
    <row r="6282" customFormat="false" ht="15" hidden="false" customHeight="false" outlineLevel="0" collapsed="false">
      <c r="H6282" s="0" t="str">
        <f aca="false">IF(B6282="","",IF(COUNTIF(Campaigns!$A$7:$A$300,B6282)&gt;0,"✓","⚠ add to Campaigns tab"))</f>
        <v/>
      </c>
      <c r="I6282" s="84" t="str">
        <f aca="false">IF(C6282="","",C6282*IF(Settings!$B$23=Settings!$C$6,1,IF(Settings!$B$23="USD",1/INDEX(Settings!$B$29:$B$40,MONTH(A6282)),INDEX(Settings!$B$29:$B$40,MONTH(A6282)))))</f>
        <v/>
      </c>
    </row>
    <row r="6283" customFormat="false" ht="15" hidden="false" customHeight="false" outlineLevel="0" collapsed="false">
      <c r="H6283" s="0" t="str">
        <f aca="false">IF(B6283="","",IF(COUNTIF(Campaigns!$A$7:$A$300,B6283)&gt;0,"✓","⚠ add to Campaigns tab"))</f>
        <v/>
      </c>
      <c r="I6283" s="84" t="str">
        <f aca="false">IF(C6283="","",C6283*IF(Settings!$B$23=Settings!$C$6,1,IF(Settings!$B$23="USD",1/INDEX(Settings!$B$29:$B$40,MONTH(A6283)),INDEX(Settings!$B$29:$B$40,MONTH(A6283)))))</f>
        <v/>
      </c>
    </row>
    <row r="6284" customFormat="false" ht="15" hidden="false" customHeight="false" outlineLevel="0" collapsed="false">
      <c r="H6284" s="0" t="str">
        <f aca="false">IF(B6284="","",IF(COUNTIF(Campaigns!$A$7:$A$300,B6284)&gt;0,"✓","⚠ add to Campaigns tab"))</f>
        <v/>
      </c>
      <c r="I6284" s="84" t="str">
        <f aca="false">IF(C6284="","",C6284*IF(Settings!$B$23=Settings!$C$6,1,IF(Settings!$B$23="USD",1/INDEX(Settings!$B$29:$B$40,MONTH(A6284)),INDEX(Settings!$B$29:$B$40,MONTH(A6284)))))</f>
        <v/>
      </c>
    </row>
    <row r="6285" customFormat="false" ht="15" hidden="false" customHeight="false" outlineLevel="0" collapsed="false">
      <c r="H6285" s="0" t="str">
        <f aca="false">IF(B6285="","",IF(COUNTIF(Campaigns!$A$7:$A$300,B6285)&gt;0,"✓","⚠ add to Campaigns tab"))</f>
        <v/>
      </c>
      <c r="I6285" s="84" t="str">
        <f aca="false">IF(C6285="","",C6285*IF(Settings!$B$23=Settings!$C$6,1,IF(Settings!$B$23="USD",1/INDEX(Settings!$B$29:$B$40,MONTH(A6285)),INDEX(Settings!$B$29:$B$40,MONTH(A6285)))))</f>
        <v/>
      </c>
    </row>
    <row r="6286" customFormat="false" ht="15" hidden="false" customHeight="false" outlineLevel="0" collapsed="false">
      <c r="H6286" s="0" t="str">
        <f aca="false">IF(B6286="","",IF(COUNTIF(Campaigns!$A$7:$A$300,B6286)&gt;0,"✓","⚠ add to Campaigns tab"))</f>
        <v/>
      </c>
      <c r="I6286" s="84" t="str">
        <f aca="false">IF(C6286="","",C6286*IF(Settings!$B$23=Settings!$C$6,1,IF(Settings!$B$23="USD",1/INDEX(Settings!$B$29:$B$40,MONTH(A6286)),INDEX(Settings!$B$29:$B$40,MONTH(A6286)))))</f>
        <v/>
      </c>
    </row>
    <row r="6287" customFormat="false" ht="15" hidden="false" customHeight="false" outlineLevel="0" collapsed="false">
      <c r="H6287" s="0" t="str">
        <f aca="false">IF(B6287="","",IF(COUNTIF(Campaigns!$A$7:$A$300,B6287)&gt;0,"✓","⚠ add to Campaigns tab"))</f>
        <v/>
      </c>
      <c r="I6287" s="84" t="str">
        <f aca="false">IF(C6287="","",C6287*IF(Settings!$B$23=Settings!$C$6,1,IF(Settings!$B$23="USD",1/INDEX(Settings!$B$29:$B$40,MONTH(A6287)),INDEX(Settings!$B$29:$B$40,MONTH(A6287)))))</f>
        <v/>
      </c>
    </row>
    <row r="6288" customFormat="false" ht="15" hidden="false" customHeight="false" outlineLevel="0" collapsed="false">
      <c r="H6288" s="0" t="str">
        <f aca="false">IF(B6288="","",IF(COUNTIF(Campaigns!$A$7:$A$300,B6288)&gt;0,"✓","⚠ add to Campaigns tab"))</f>
        <v/>
      </c>
      <c r="I6288" s="84" t="str">
        <f aca="false">IF(C6288="","",C6288*IF(Settings!$B$23=Settings!$C$6,1,IF(Settings!$B$23="USD",1/INDEX(Settings!$B$29:$B$40,MONTH(A6288)),INDEX(Settings!$B$29:$B$40,MONTH(A6288)))))</f>
        <v/>
      </c>
    </row>
    <row r="6289" customFormat="false" ht="15" hidden="false" customHeight="false" outlineLevel="0" collapsed="false">
      <c r="H6289" s="0" t="str">
        <f aca="false">IF(B6289="","",IF(COUNTIF(Campaigns!$A$7:$A$300,B6289)&gt;0,"✓","⚠ add to Campaigns tab"))</f>
        <v/>
      </c>
      <c r="I6289" s="84" t="str">
        <f aca="false">IF(C6289="","",C6289*IF(Settings!$B$23=Settings!$C$6,1,IF(Settings!$B$23="USD",1/INDEX(Settings!$B$29:$B$40,MONTH(A6289)),INDEX(Settings!$B$29:$B$40,MONTH(A6289)))))</f>
        <v/>
      </c>
    </row>
    <row r="6290" customFormat="false" ht="15" hidden="false" customHeight="false" outlineLevel="0" collapsed="false">
      <c r="H6290" s="0" t="str">
        <f aca="false">IF(B6290="","",IF(COUNTIF(Campaigns!$A$7:$A$300,B6290)&gt;0,"✓","⚠ add to Campaigns tab"))</f>
        <v/>
      </c>
      <c r="I6290" s="84" t="str">
        <f aca="false">IF(C6290="","",C6290*IF(Settings!$B$23=Settings!$C$6,1,IF(Settings!$B$23="USD",1/INDEX(Settings!$B$29:$B$40,MONTH(A6290)),INDEX(Settings!$B$29:$B$40,MONTH(A6290)))))</f>
        <v/>
      </c>
    </row>
    <row r="6291" customFormat="false" ht="15" hidden="false" customHeight="false" outlineLevel="0" collapsed="false">
      <c r="H6291" s="0" t="str">
        <f aca="false">IF(B6291="","",IF(COUNTIF(Campaigns!$A$7:$A$300,B6291)&gt;0,"✓","⚠ add to Campaigns tab"))</f>
        <v/>
      </c>
      <c r="I6291" s="84" t="str">
        <f aca="false">IF(C6291="","",C6291*IF(Settings!$B$23=Settings!$C$6,1,IF(Settings!$B$23="USD",1/INDEX(Settings!$B$29:$B$40,MONTH(A6291)),INDEX(Settings!$B$29:$B$40,MONTH(A6291)))))</f>
        <v/>
      </c>
    </row>
    <row r="6292" customFormat="false" ht="15" hidden="false" customHeight="false" outlineLevel="0" collapsed="false">
      <c r="H6292" s="0" t="str">
        <f aca="false">IF(B6292="","",IF(COUNTIF(Campaigns!$A$7:$A$300,B6292)&gt;0,"✓","⚠ add to Campaigns tab"))</f>
        <v/>
      </c>
      <c r="I6292" s="84" t="str">
        <f aca="false">IF(C6292="","",C6292*IF(Settings!$B$23=Settings!$C$6,1,IF(Settings!$B$23="USD",1/INDEX(Settings!$B$29:$B$40,MONTH(A6292)),INDEX(Settings!$B$29:$B$40,MONTH(A6292)))))</f>
        <v/>
      </c>
    </row>
    <row r="6293" customFormat="false" ht="15" hidden="false" customHeight="false" outlineLevel="0" collapsed="false">
      <c r="H6293" s="0" t="str">
        <f aca="false">IF(B6293="","",IF(COUNTIF(Campaigns!$A$7:$A$300,B6293)&gt;0,"✓","⚠ add to Campaigns tab"))</f>
        <v/>
      </c>
      <c r="I6293" s="84" t="str">
        <f aca="false">IF(C6293="","",C6293*IF(Settings!$B$23=Settings!$C$6,1,IF(Settings!$B$23="USD",1/INDEX(Settings!$B$29:$B$40,MONTH(A6293)),INDEX(Settings!$B$29:$B$40,MONTH(A6293)))))</f>
        <v/>
      </c>
    </row>
    <row r="6294" customFormat="false" ht="15" hidden="false" customHeight="false" outlineLevel="0" collapsed="false">
      <c r="H6294" s="0" t="str">
        <f aca="false">IF(B6294="","",IF(COUNTIF(Campaigns!$A$7:$A$300,B6294)&gt;0,"✓","⚠ add to Campaigns tab"))</f>
        <v/>
      </c>
      <c r="I6294" s="84" t="str">
        <f aca="false">IF(C6294="","",C6294*IF(Settings!$B$23=Settings!$C$6,1,IF(Settings!$B$23="USD",1/INDEX(Settings!$B$29:$B$40,MONTH(A6294)),INDEX(Settings!$B$29:$B$40,MONTH(A6294)))))</f>
        <v/>
      </c>
    </row>
    <row r="6295" customFormat="false" ht="15" hidden="false" customHeight="false" outlineLevel="0" collapsed="false">
      <c r="H6295" s="0" t="str">
        <f aca="false">IF(B6295="","",IF(COUNTIF(Campaigns!$A$7:$A$300,B6295)&gt;0,"✓","⚠ add to Campaigns tab"))</f>
        <v/>
      </c>
      <c r="I6295" s="84" t="str">
        <f aca="false">IF(C6295="","",C6295*IF(Settings!$B$23=Settings!$C$6,1,IF(Settings!$B$23="USD",1/INDEX(Settings!$B$29:$B$40,MONTH(A6295)),INDEX(Settings!$B$29:$B$40,MONTH(A6295)))))</f>
        <v/>
      </c>
    </row>
    <row r="6296" customFormat="false" ht="15" hidden="false" customHeight="false" outlineLevel="0" collapsed="false">
      <c r="H6296" s="0" t="str">
        <f aca="false">IF(B6296="","",IF(COUNTIF(Campaigns!$A$7:$A$300,B6296)&gt;0,"✓","⚠ add to Campaigns tab"))</f>
        <v/>
      </c>
      <c r="I6296" s="84" t="str">
        <f aca="false">IF(C6296="","",C6296*IF(Settings!$B$23=Settings!$C$6,1,IF(Settings!$B$23="USD",1/INDEX(Settings!$B$29:$B$40,MONTH(A6296)),INDEX(Settings!$B$29:$B$40,MONTH(A6296)))))</f>
        <v/>
      </c>
    </row>
    <row r="6297" customFormat="false" ht="15" hidden="false" customHeight="false" outlineLevel="0" collapsed="false">
      <c r="H6297" s="0" t="str">
        <f aca="false">IF(B6297="","",IF(COUNTIF(Campaigns!$A$7:$A$300,B6297)&gt;0,"✓","⚠ add to Campaigns tab"))</f>
        <v/>
      </c>
      <c r="I6297" s="84" t="str">
        <f aca="false">IF(C6297="","",C6297*IF(Settings!$B$23=Settings!$C$6,1,IF(Settings!$B$23="USD",1/INDEX(Settings!$B$29:$B$40,MONTH(A6297)),INDEX(Settings!$B$29:$B$40,MONTH(A6297)))))</f>
        <v/>
      </c>
    </row>
    <row r="6298" customFormat="false" ht="15" hidden="false" customHeight="false" outlineLevel="0" collapsed="false">
      <c r="H6298" s="0" t="str">
        <f aca="false">IF(B6298="","",IF(COUNTIF(Campaigns!$A$7:$A$300,B6298)&gt;0,"✓","⚠ add to Campaigns tab"))</f>
        <v/>
      </c>
      <c r="I6298" s="84" t="str">
        <f aca="false">IF(C6298="","",C6298*IF(Settings!$B$23=Settings!$C$6,1,IF(Settings!$B$23="USD",1/INDEX(Settings!$B$29:$B$40,MONTH(A6298)),INDEX(Settings!$B$29:$B$40,MONTH(A6298)))))</f>
        <v/>
      </c>
    </row>
    <row r="6299" customFormat="false" ht="15" hidden="false" customHeight="false" outlineLevel="0" collapsed="false">
      <c r="H6299" s="0" t="str">
        <f aca="false">IF(B6299="","",IF(COUNTIF(Campaigns!$A$7:$A$300,B6299)&gt;0,"✓","⚠ add to Campaigns tab"))</f>
        <v/>
      </c>
      <c r="I6299" s="84" t="str">
        <f aca="false">IF(C6299="","",C6299*IF(Settings!$B$23=Settings!$C$6,1,IF(Settings!$B$23="USD",1/INDEX(Settings!$B$29:$B$40,MONTH(A6299)),INDEX(Settings!$B$29:$B$40,MONTH(A6299)))))</f>
        <v/>
      </c>
    </row>
    <row r="6300" customFormat="false" ht="15" hidden="false" customHeight="false" outlineLevel="0" collapsed="false">
      <c r="H6300" s="0" t="str">
        <f aca="false">IF(B6300="","",IF(COUNTIF(Campaigns!$A$7:$A$300,B6300)&gt;0,"✓","⚠ add to Campaigns tab"))</f>
        <v/>
      </c>
      <c r="I6300" s="84" t="str">
        <f aca="false">IF(C6300="","",C6300*IF(Settings!$B$23=Settings!$C$6,1,IF(Settings!$B$23="USD",1/INDEX(Settings!$B$29:$B$40,MONTH(A6300)),INDEX(Settings!$B$29:$B$40,MONTH(A6300)))))</f>
        <v/>
      </c>
    </row>
    <row r="6301" customFormat="false" ht="15" hidden="false" customHeight="false" outlineLevel="0" collapsed="false">
      <c r="H6301" s="0" t="str">
        <f aca="false">IF(B6301="","",IF(COUNTIF(Campaigns!$A$7:$A$300,B6301)&gt;0,"✓","⚠ add to Campaigns tab"))</f>
        <v/>
      </c>
      <c r="I6301" s="84" t="str">
        <f aca="false">IF(C6301="","",C6301*IF(Settings!$B$23=Settings!$C$6,1,IF(Settings!$B$23="USD",1/INDEX(Settings!$B$29:$B$40,MONTH(A6301)),INDEX(Settings!$B$29:$B$40,MONTH(A6301)))))</f>
        <v/>
      </c>
    </row>
    <row r="6302" customFormat="false" ht="15" hidden="false" customHeight="false" outlineLevel="0" collapsed="false">
      <c r="H6302" s="0" t="str">
        <f aca="false">IF(B6302="","",IF(COUNTIF(Campaigns!$A$7:$A$300,B6302)&gt;0,"✓","⚠ add to Campaigns tab"))</f>
        <v/>
      </c>
      <c r="I6302" s="84" t="str">
        <f aca="false">IF(C6302="","",C6302*IF(Settings!$B$23=Settings!$C$6,1,IF(Settings!$B$23="USD",1/INDEX(Settings!$B$29:$B$40,MONTH(A6302)),INDEX(Settings!$B$29:$B$40,MONTH(A6302)))))</f>
        <v/>
      </c>
    </row>
    <row r="6303" customFormat="false" ht="15" hidden="false" customHeight="false" outlineLevel="0" collapsed="false">
      <c r="H6303" s="0" t="str">
        <f aca="false">IF(B6303="","",IF(COUNTIF(Campaigns!$A$7:$A$300,B6303)&gt;0,"✓","⚠ add to Campaigns tab"))</f>
        <v/>
      </c>
      <c r="I6303" s="84" t="str">
        <f aca="false">IF(C6303="","",C6303*IF(Settings!$B$23=Settings!$C$6,1,IF(Settings!$B$23="USD",1/INDEX(Settings!$B$29:$B$40,MONTH(A6303)),INDEX(Settings!$B$29:$B$40,MONTH(A6303)))))</f>
        <v/>
      </c>
    </row>
    <row r="6304" customFormat="false" ht="15" hidden="false" customHeight="false" outlineLevel="0" collapsed="false">
      <c r="H6304" s="0" t="str">
        <f aca="false">IF(B6304="","",IF(COUNTIF(Campaigns!$A$7:$A$300,B6304)&gt;0,"✓","⚠ add to Campaigns tab"))</f>
        <v/>
      </c>
      <c r="I6304" s="84" t="str">
        <f aca="false">IF(C6304="","",C6304*IF(Settings!$B$23=Settings!$C$6,1,IF(Settings!$B$23="USD",1/INDEX(Settings!$B$29:$B$40,MONTH(A6304)),INDEX(Settings!$B$29:$B$40,MONTH(A6304)))))</f>
        <v/>
      </c>
    </row>
    <row r="6305" customFormat="false" ht="15" hidden="false" customHeight="false" outlineLevel="0" collapsed="false">
      <c r="H6305" s="0" t="str">
        <f aca="false">IF(B6305="","",IF(COUNTIF(Campaigns!$A$7:$A$300,B6305)&gt;0,"✓","⚠ add to Campaigns tab"))</f>
        <v/>
      </c>
      <c r="I6305" s="84" t="str">
        <f aca="false">IF(C6305="","",C6305*IF(Settings!$B$23=Settings!$C$6,1,IF(Settings!$B$23="USD",1/INDEX(Settings!$B$29:$B$40,MONTH(A6305)),INDEX(Settings!$B$29:$B$40,MONTH(A6305)))))</f>
        <v/>
      </c>
    </row>
    <row r="6306" customFormat="false" ht="15" hidden="false" customHeight="false" outlineLevel="0" collapsed="false">
      <c r="H6306" s="0" t="str">
        <f aca="false">IF(B6306="","",IF(COUNTIF(Campaigns!$A$7:$A$300,B6306)&gt;0,"✓","⚠ add to Campaigns tab"))</f>
        <v/>
      </c>
      <c r="I6306" s="84" t="str">
        <f aca="false">IF(C6306="","",C6306*IF(Settings!$B$23=Settings!$C$6,1,IF(Settings!$B$23="USD",1/INDEX(Settings!$B$29:$B$40,MONTH(A6306)),INDEX(Settings!$B$29:$B$40,MONTH(A6306)))))</f>
        <v/>
      </c>
    </row>
    <row r="6307" customFormat="false" ht="15" hidden="false" customHeight="false" outlineLevel="0" collapsed="false">
      <c r="H6307" s="0" t="str">
        <f aca="false">IF(B6307="","",IF(COUNTIF(Campaigns!$A$7:$A$300,B6307)&gt;0,"✓","⚠ add to Campaigns tab"))</f>
        <v/>
      </c>
      <c r="I6307" s="84" t="str">
        <f aca="false">IF(C6307="","",C6307*IF(Settings!$B$23=Settings!$C$6,1,IF(Settings!$B$23="USD",1/INDEX(Settings!$B$29:$B$40,MONTH(A6307)),INDEX(Settings!$B$29:$B$40,MONTH(A6307)))))</f>
        <v/>
      </c>
    </row>
    <row r="6308" customFormat="false" ht="15" hidden="false" customHeight="false" outlineLevel="0" collapsed="false">
      <c r="H6308" s="0" t="str">
        <f aca="false">IF(B6308="","",IF(COUNTIF(Campaigns!$A$7:$A$300,B6308)&gt;0,"✓","⚠ add to Campaigns tab"))</f>
        <v/>
      </c>
      <c r="I6308" s="84" t="str">
        <f aca="false">IF(C6308="","",C6308*IF(Settings!$B$23=Settings!$C$6,1,IF(Settings!$B$23="USD",1/INDEX(Settings!$B$29:$B$40,MONTH(A6308)),INDEX(Settings!$B$29:$B$40,MONTH(A6308)))))</f>
        <v/>
      </c>
    </row>
    <row r="6309" customFormat="false" ht="15" hidden="false" customHeight="false" outlineLevel="0" collapsed="false">
      <c r="H6309" s="0" t="str">
        <f aca="false">IF(B6309="","",IF(COUNTIF(Campaigns!$A$7:$A$300,B6309)&gt;0,"✓","⚠ add to Campaigns tab"))</f>
        <v/>
      </c>
      <c r="I6309" s="84" t="str">
        <f aca="false">IF(C6309="","",C6309*IF(Settings!$B$23=Settings!$C$6,1,IF(Settings!$B$23="USD",1/INDEX(Settings!$B$29:$B$40,MONTH(A6309)),INDEX(Settings!$B$29:$B$40,MONTH(A6309)))))</f>
        <v/>
      </c>
    </row>
    <row r="6310" customFormat="false" ht="15" hidden="false" customHeight="false" outlineLevel="0" collapsed="false">
      <c r="H6310" s="0" t="str">
        <f aca="false">IF(B6310="","",IF(COUNTIF(Campaigns!$A$7:$A$300,B6310)&gt;0,"✓","⚠ add to Campaigns tab"))</f>
        <v/>
      </c>
      <c r="I6310" s="84" t="str">
        <f aca="false">IF(C6310="","",C6310*IF(Settings!$B$23=Settings!$C$6,1,IF(Settings!$B$23="USD",1/INDEX(Settings!$B$29:$B$40,MONTH(A6310)),INDEX(Settings!$B$29:$B$40,MONTH(A6310)))))</f>
        <v/>
      </c>
    </row>
    <row r="6311" customFormat="false" ht="15" hidden="false" customHeight="false" outlineLevel="0" collapsed="false">
      <c r="H6311" s="0" t="str">
        <f aca="false">IF(B6311="","",IF(COUNTIF(Campaigns!$A$7:$A$300,B6311)&gt;0,"✓","⚠ add to Campaigns tab"))</f>
        <v/>
      </c>
      <c r="I6311" s="84" t="str">
        <f aca="false">IF(C6311="","",C6311*IF(Settings!$B$23=Settings!$C$6,1,IF(Settings!$B$23="USD",1/INDEX(Settings!$B$29:$B$40,MONTH(A6311)),INDEX(Settings!$B$29:$B$40,MONTH(A6311)))))</f>
        <v/>
      </c>
    </row>
    <row r="6312" customFormat="false" ht="15" hidden="false" customHeight="false" outlineLevel="0" collapsed="false">
      <c r="H6312" s="0" t="str">
        <f aca="false">IF(B6312="","",IF(COUNTIF(Campaigns!$A$7:$A$300,B6312)&gt;0,"✓","⚠ add to Campaigns tab"))</f>
        <v/>
      </c>
      <c r="I6312" s="84" t="str">
        <f aca="false">IF(C6312="","",C6312*IF(Settings!$B$23=Settings!$C$6,1,IF(Settings!$B$23="USD",1/INDEX(Settings!$B$29:$B$40,MONTH(A6312)),INDEX(Settings!$B$29:$B$40,MONTH(A6312)))))</f>
        <v/>
      </c>
    </row>
    <row r="6313" customFormat="false" ht="15" hidden="false" customHeight="false" outlineLevel="0" collapsed="false">
      <c r="H6313" s="0" t="str">
        <f aca="false">IF(B6313="","",IF(COUNTIF(Campaigns!$A$7:$A$300,B6313)&gt;0,"✓","⚠ add to Campaigns tab"))</f>
        <v/>
      </c>
      <c r="I6313" s="84" t="str">
        <f aca="false">IF(C6313="","",C6313*IF(Settings!$B$23=Settings!$C$6,1,IF(Settings!$B$23="USD",1/INDEX(Settings!$B$29:$B$40,MONTH(A6313)),INDEX(Settings!$B$29:$B$40,MONTH(A6313)))))</f>
        <v/>
      </c>
    </row>
    <row r="6314" customFormat="false" ht="15" hidden="false" customHeight="false" outlineLevel="0" collapsed="false">
      <c r="H6314" s="0" t="str">
        <f aca="false">IF(B6314="","",IF(COUNTIF(Campaigns!$A$7:$A$300,B6314)&gt;0,"✓","⚠ add to Campaigns tab"))</f>
        <v/>
      </c>
      <c r="I6314" s="84" t="str">
        <f aca="false">IF(C6314="","",C6314*IF(Settings!$B$23=Settings!$C$6,1,IF(Settings!$B$23="USD",1/INDEX(Settings!$B$29:$B$40,MONTH(A6314)),INDEX(Settings!$B$29:$B$40,MONTH(A6314)))))</f>
        <v/>
      </c>
    </row>
    <row r="6315" customFormat="false" ht="15" hidden="false" customHeight="false" outlineLevel="0" collapsed="false">
      <c r="H6315" s="0" t="str">
        <f aca="false">IF(B6315="","",IF(COUNTIF(Campaigns!$A$7:$A$300,B6315)&gt;0,"✓","⚠ add to Campaigns tab"))</f>
        <v/>
      </c>
      <c r="I6315" s="84" t="str">
        <f aca="false">IF(C6315="","",C6315*IF(Settings!$B$23=Settings!$C$6,1,IF(Settings!$B$23="USD",1/INDEX(Settings!$B$29:$B$40,MONTH(A6315)),INDEX(Settings!$B$29:$B$40,MONTH(A6315)))))</f>
        <v/>
      </c>
    </row>
    <row r="6316" customFormat="false" ht="15" hidden="false" customHeight="false" outlineLevel="0" collapsed="false">
      <c r="H6316" s="0" t="str">
        <f aca="false">IF(B6316="","",IF(COUNTIF(Campaigns!$A$7:$A$300,B6316)&gt;0,"✓","⚠ add to Campaigns tab"))</f>
        <v/>
      </c>
      <c r="I6316" s="84" t="str">
        <f aca="false">IF(C6316="","",C6316*IF(Settings!$B$23=Settings!$C$6,1,IF(Settings!$B$23="USD",1/INDEX(Settings!$B$29:$B$40,MONTH(A6316)),INDEX(Settings!$B$29:$B$40,MONTH(A6316)))))</f>
        <v/>
      </c>
    </row>
    <row r="6317" customFormat="false" ht="15" hidden="false" customHeight="false" outlineLevel="0" collapsed="false">
      <c r="H6317" s="0" t="str">
        <f aca="false">IF(B6317="","",IF(COUNTIF(Campaigns!$A$7:$A$300,B6317)&gt;0,"✓","⚠ add to Campaigns tab"))</f>
        <v/>
      </c>
      <c r="I6317" s="84" t="str">
        <f aca="false">IF(C6317="","",C6317*IF(Settings!$B$23=Settings!$C$6,1,IF(Settings!$B$23="USD",1/INDEX(Settings!$B$29:$B$40,MONTH(A6317)),INDEX(Settings!$B$29:$B$40,MONTH(A6317)))))</f>
        <v/>
      </c>
    </row>
    <row r="6318" customFormat="false" ht="15" hidden="false" customHeight="false" outlineLevel="0" collapsed="false">
      <c r="H6318" s="0" t="str">
        <f aca="false">IF(B6318="","",IF(COUNTIF(Campaigns!$A$7:$A$300,B6318)&gt;0,"✓","⚠ add to Campaigns tab"))</f>
        <v/>
      </c>
      <c r="I6318" s="84" t="str">
        <f aca="false">IF(C6318="","",C6318*IF(Settings!$B$23=Settings!$C$6,1,IF(Settings!$B$23="USD",1/INDEX(Settings!$B$29:$B$40,MONTH(A6318)),INDEX(Settings!$B$29:$B$40,MONTH(A6318)))))</f>
        <v/>
      </c>
    </row>
    <row r="6319" customFormat="false" ht="15" hidden="false" customHeight="false" outlineLevel="0" collapsed="false">
      <c r="H6319" s="0" t="str">
        <f aca="false">IF(B6319="","",IF(COUNTIF(Campaigns!$A$7:$A$300,B6319)&gt;0,"✓","⚠ add to Campaigns tab"))</f>
        <v/>
      </c>
      <c r="I6319" s="84" t="str">
        <f aca="false">IF(C6319="","",C6319*IF(Settings!$B$23=Settings!$C$6,1,IF(Settings!$B$23="USD",1/INDEX(Settings!$B$29:$B$40,MONTH(A6319)),INDEX(Settings!$B$29:$B$40,MONTH(A6319)))))</f>
        <v/>
      </c>
    </row>
    <row r="6320" customFormat="false" ht="15" hidden="false" customHeight="false" outlineLevel="0" collapsed="false">
      <c r="H6320" s="0" t="str">
        <f aca="false">IF(B6320="","",IF(COUNTIF(Campaigns!$A$7:$A$300,B6320)&gt;0,"✓","⚠ add to Campaigns tab"))</f>
        <v/>
      </c>
      <c r="I6320" s="84" t="str">
        <f aca="false">IF(C6320="","",C6320*IF(Settings!$B$23=Settings!$C$6,1,IF(Settings!$B$23="USD",1/INDEX(Settings!$B$29:$B$40,MONTH(A6320)),INDEX(Settings!$B$29:$B$40,MONTH(A6320)))))</f>
        <v/>
      </c>
    </row>
    <row r="6321" customFormat="false" ht="15" hidden="false" customHeight="false" outlineLevel="0" collapsed="false">
      <c r="H6321" s="0" t="str">
        <f aca="false">IF(B6321="","",IF(COUNTIF(Campaigns!$A$7:$A$300,B6321)&gt;0,"✓","⚠ add to Campaigns tab"))</f>
        <v/>
      </c>
      <c r="I6321" s="84" t="str">
        <f aca="false">IF(C6321="","",C6321*IF(Settings!$B$23=Settings!$C$6,1,IF(Settings!$B$23="USD",1/INDEX(Settings!$B$29:$B$40,MONTH(A6321)),INDEX(Settings!$B$29:$B$40,MONTH(A6321)))))</f>
        <v/>
      </c>
    </row>
    <row r="6322" customFormat="false" ht="15" hidden="false" customHeight="false" outlineLevel="0" collapsed="false">
      <c r="H6322" s="0" t="str">
        <f aca="false">IF(B6322="","",IF(COUNTIF(Campaigns!$A$7:$A$300,B6322)&gt;0,"✓","⚠ add to Campaigns tab"))</f>
        <v/>
      </c>
      <c r="I6322" s="84" t="str">
        <f aca="false">IF(C6322="","",C6322*IF(Settings!$B$23=Settings!$C$6,1,IF(Settings!$B$23="USD",1/INDEX(Settings!$B$29:$B$40,MONTH(A6322)),INDEX(Settings!$B$29:$B$40,MONTH(A6322)))))</f>
        <v/>
      </c>
    </row>
    <row r="6323" customFormat="false" ht="15" hidden="false" customHeight="false" outlineLevel="0" collapsed="false">
      <c r="H6323" s="0" t="str">
        <f aca="false">IF(B6323="","",IF(COUNTIF(Campaigns!$A$7:$A$300,B6323)&gt;0,"✓","⚠ add to Campaigns tab"))</f>
        <v/>
      </c>
      <c r="I6323" s="84" t="str">
        <f aca="false">IF(C6323="","",C6323*IF(Settings!$B$23=Settings!$C$6,1,IF(Settings!$B$23="USD",1/INDEX(Settings!$B$29:$B$40,MONTH(A6323)),INDEX(Settings!$B$29:$B$40,MONTH(A6323)))))</f>
        <v/>
      </c>
    </row>
    <row r="6324" customFormat="false" ht="15" hidden="false" customHeight="false" outlineLevel="0" collapsed="false">
      <c r="H6324" s="0" t="str">
        <f aca="false">IF(B6324="","",IF(COUNTIF(Campaigns!$A$7:$A$300,B6324)&gt;0,"✓","⚠ add to Campaigns tab"))</f>
        <v/>
      </c>
      <c r="I6324" s="84" t="str">
        <f aca="false">IF(C6324="","",C6324*IF(Settings!$B$23=Settings!$C$6,1,IF(Settings!$B$23="USD",1/INDEX(Settings!$B$29:$B$40,MONTH(A6324)),INDEX(Settings!$B$29:$B$40,MONTH(A6324)))))</f>
        <v/>
      </c>
    </row>
    <row r="6325" customFormat="false" ht="15" hidden="false" customHeight="false" outlineLevel="0" collapsed="false">
      <c r="H6325" s="0" t="str">
        <f aca="false">IF(B6325="","",IF(COUNTIF(Campaigns!$A$7:$A$300,B6325)&gt;0,"✓","⚠ add to Campaigns tab"))</f>
        <v/>
      </c>
      <c r="I6325" s="84" t="str">
        <f aca="false">IF(C6325="","",C6325*IF(Settings!$B$23=Settings!$C$6,1,IF(Settings!$B$23="USD",1/INDEX(Settings!$B$29:$B$40,MONTH(A6325)),INDEX(Settings!$B$29:$B$40,MONTH(A6325)))))</f>
        <v/>
      </c>
    </row>
    <row r="6326" customFormat="false" ht="15" hidden="false" customHeight="false" outlineLevel="0" collapsed="false">
      <c r="H6326" s="0" t="str">
        <f aca="false">IF(B6326="","",IF(COUNTIF(Campaigns!$A$7:$A$300,B6326)&gt;0,"✓","⚠ add to Campaigns tab"))</f>
        <v/>
      </c>
      <c r="I6326" s="84" t="str">
        <f aca="false">IF(C6326="","",C6326*IF(Settings!$B$23=Settings!$C$6,1,IF(Settings!$B$23="USD",1/INDEX(Settings!$B$29:$B$40,MONTH(A6326)),INDEX(Settings!$B$29:$B$40,MONTH(A6326)))))</f>
        <v/>
      </c>
    </row>
    <row r="6327" customFormat="false" ht="15" hidden="false" customHeight="false" outlineLevel="0" collapsed="false">
      <c r="H6327" s="0" t="str">
        <f aca="false">IF(B6327="","",IF(COUNTIF(Campaigns!$A$7:$A$300,B6327)&gt;0,"✓","⚠ add to Campaigns tab"))</f>
        <v/>
      </c>
      <c r="I6327" s="84" t="str">
        <f aca="false">IF(C6327="","",C6327*IF(Settings!$B$23=Settings!$C$6,1,IF(Settings!$B$23="USD",1/INDEX(Settings!$B$29:$B$40,MONTH(A6327)),INDEX(Settings!$B$29:$B$40,MONTH(A6327)))))</f>
        <v/>
      </c>
    </row>
    <row r="6328" customFormat="false" ht="15" hidden="false" customHeight="false" outlineLevel="0" collapsed="false">
      <c r="H6328" s="0" t="str">
        <f aca="false">IF(B6328="","",IF(COUNTIF(Campaigns!$A$7:$A$300,B6328)&gt;0,"✓","⚠ add to Campaigns tab"))</f>
        <v/>
      </c>
      <c r="I6328" s="84" t="str">
        <f aca="false">IF(C6328="","",C6328*IF(Settings!$B$23=Settings!$C$6,1,IF(Settings!$B$23="USD",1/INDEX(Settings!$B$29:$B$40,MONTH(A6328)),INDEX(Settings!$B$29:$B$40,MONTH(A6328)))))</f>
        <v/>
      </c>
    </row>
    <row r="6329" customFormat="false" ht="15" hidden="false" customHeight="false" outlineLevel="0" collapsed="false">
      <c r="H6329" s="0" t="str">
        <f aca="false">IF(B6329="","",IF(COUNTIF(Campaigns!$A$7:$A$300,B6329)&gt;0,"✓","⚠ add to Campaigns tab"))</f>
        <v/>
      </c>
      <c r="I6329" s="84" t="str">
        <f aca="false">IF(C6329="","",C6329*IF(Settings!$B$23=Settings!$C$6,1,IF(Settings!$B$23="USD",1/INDEX(Settings!$B$29:$B$40,MONTH(A6329)),INDEX(Settings!$B$29:$B$40,MONTH(A6329)))))</f>
        <v/>
      </c>
    </row>
    <row r="6330" customFormat="false" ht="15" hidden="false" customHeight="false" outlineLevel="0" collapsed="false">
      <c r="H6330" s="0" t="str">
        <f aca="false">IF(B6330="","",IF(COUNTIF(Campaigns!$A$7:$A$300,B6330)&gt;0,"✓","⚠ add to Campaigns tab"))</f>
        <v/>
      </c>
      <c r="I6330" s="84" t="str">
        <f aca="false">IF(C6330="","",C6330*IF(Settings!$B$23=Settings!$C$6,1,IF(Settings!$B$23="USD",1/INDEX(Settings!$B$29:$B$40,MONTH(A6330)),INDEX(Settings!$B$29:$B$40,MONTH(A6330)))))</f>
        <v/>
      </c>
    </row>
    <row r="6331" customFormat="false" ht="15" hidden="false" customHeight="false" outlineLevel="0" collapsed="false">
      <c r="H6331" s="0" t="str">
        <f aca="false">IF(B6331="","",IF(COUNTIF(Campaigns!$A$7:$A$300,B6331)&gt;0,"✓","⚠ add to Campaigns tab"))</f>
        <v/>
      </c>
      <c r="I6331" s="84" t="str">
        <f aca="false">IF(C6331="","",C6331*IF(Settings!$B$23=Settings!$C$6,1,IF(Settings!$B$23="USD",1/INDEX(Settings!$B$29:$B$40,MONTH(A6331)),INDEX(Settings!$B$29:$B$40,MONTH(A6331)))))</f>
        <v/>
      </c>
    </row>
    <row r="6332" customFormat="false" ht="15" hidden="false" customHeight="false" outlineLevel="0" collapsed="false">
      <c r="H6332" s="0" t="str">
        <f aca="false">IF(B6332="","",IF(COUNTIF(Campaigns!$A$7:$A$300,B6332)&gt;0,"✓","⚠ add to Campaigns tab"))</f>
        <v/>
      </c>
      <c r="I6332" s="84" t="str">
        <f aca="false">IF(C6332="","",C6332*IF(Settings!$B$23=Settings!$C$6,1,IF(Settings!$B$23="USD",1/INDEX(Settings!$B$29:$B$40,MONTH(A6332)),INDEX(Settings!$B$29:$B$40,MONTH(A6332)))))</f>
        <v/>
      </c>
    </row>
    <row r="6333" customFormat="false" ht="15" hidden="false" customHeight="false" outlineLevel="0" collapsed="false">
      <c r="H6333" s="0" t="str">
        <f aca="false">IF(B6333="","",IF(COUNTIF(Campaigns!$A$7:$A$300,B6333)&gt;0,"✓","⚠ add to Campaigns tab"))</f>
        <v/>
      </c>
      <c r="I6333" s="84" t="str">
        <f aca="false">IF(C6333="","",C6333*IF(Settings!$B$23=Settings!$C$6,1,IF(Settings!$B$23="USD",1/INDEX(Settings!$B$29:$B$40,MONTH(A6333)),INDEX(Settings!$B$29:$B$40,MONTH(A6333)))))</f>
        <v/>
      </c>
    </row>
    <row r="6334" customFormat="false" ht="15" hidden="false" customHeight="false" outlineLevel="0" collapsed="false">
      <c r="H6334" s="0" t="str">
        <f aca="false">IF(B6334="","",IF(COUNTIF(Campaigns!$A$7:$A$300,B6334)&gt;0,"✓","⚠ add to Campaigns tab"))</f>
        <v/>
      </c>
      <c r="I6334" s="84" t="str">
        <f aca="false">IF(C6334="","",C6334*IF(Settings!$B$23=Settings!$C$6,1,IF(Settings!$B$23="USD",1/INDEX(Settings!$B$29:$B$40,MONTH(A6334)),INDEX(Settings!$B$29:$B$40,MONTH(A6334)))))</f>
        <v/>
      </c>
    </row>
    <row r="6335" customFormat="false" ht="15" hidden="false" customHeight="false" outlineLevel="0" collapsed="false">
      <c r="H6335" s="0" t="str">
        <f aca="false">IF(B6335="","",IF(COUNTIF(Campaigns!$A$7:$A$300,B6335)&gt;0,"✓","⚠ add to Campaigns tab"))</f>
        <v/>
      </c>
      <c r="I6335" s="84" t="str">
        <f aca="false">IF(C6335="","",C6335*IF(Settings!$B$23=Settings!$C$6,1,IF(Settings!$B$23="USD",1/INDEX(Settings!$B$29:$B$40,MONTH(A6335)),INDEX(Settings!$B$29:$B$40,MONTH(A6335)))))</f>
        <v/>
      </c>
    </row>
    <row r="6336" customFormat="false" ht="15" hidden="false" customHeight="false" outlineLevel="0" collapsed="false">
      <c r="H6336" s="0" t="str">
        <f aca="false">IF(B6336="","",IF(COUNTIF(Campaigns!$A$7:$A$300,B6336)&gt;0,"✓","⚠ add to Campaigns tab"))</f>
        <v/>
      </c>
      <c r="I6336" s="84" t="str">
        <f aca="false">IF(C6336="","",C6336*IF(Settings!$B$23=Settings!$C$6,1,IF(Settings!$B$23="USD",1/INDEX(Settings!$B$29:$B$40,MONTH(A6336)),INDEX(Settings!$B$29:$B$40,MONTH(A6336)))))</f>
        <v/>
      </c>
    </row>
    <row r="6337" customFormat="false" ht="15" hidden="false" customHeight="false" outlineLevel="0" collapsed="false">
      <c r="H6337" s="0" t="str">
        <f aca="false">IF(B6337="","",IF(COUNTIF(Campaigns!$A$7:$A$300,B6337)&gt;0,"✓","⚠ add to Campaigns tab"))</f>
        <v/>
      </c>
      <c r="I6337" s="84" t="str">
        <f aca="false">IF(C6337="","",C6337*IF(Settings!$B$23=Settings!$C$6,1,IF(Settings!$B$23="USD",1/INDEX(Settings!$B$29:$B$40,MONTH(A6337)),INDEX(Settings!$B$29:$B$40,MONTH(A6337)))))</f>
        <v/>
      </c>
    </row>
    <row r="6338" customFormat="false" ht="15" hidden="false" customHeight="false" outlineLevel="0" collapsed="false">
      <c r="H6338" s="0" t="str">
        <f aca="false">IF(B6338="","",IF(COUNTIF(Campaigns!$A$7:$A$300,B6338)&gt;0,"✓","⚠ add to Campaigns tab"))</f>
        <v/>
      </c>
      <c r="I6338" s="84" t="str">
        <f aca="false">IF(C6338="","",C6338*IF(Settings!$B$23=Settings!$C$6,1,IF(Settings!$B$23="USD",1/INDEX(Settings!$B$29:$B$40,MONTH(A6338)),INDEX(Settings!$B$29:$B$40,MONTH(A6338)))))</f>
        <v/>
      </c>
    </row>
    <row r="6339" customFormat="false" ht="15" hidden="false" customHeight="false" outlineLevel="0" collapsed="false">
      <c r="H6339" s="0" t="str">
        <f aca="false">IF(B6339="","",IF(COUNTIF(Campaigns!$A$7:$A$300,B6339)&gt;0,"✓","⚠ add to Campaigns tab"))</f>
        <v/>
      </c>
      <c r="I6339" s="84" t="str">
        <f aca="false">IF(C6339="","",C6339*IF(Settings!$B$23=Settings!$C$6,1,IF(Settings!$B$23="USD",1/INDEX(Settings!$B$29:$B$40,MONTH(A6339)),INDEX(Settings!$B$29:$B$40,MONTH(A6339)))))</f>
        <v/>
      </c>
    </row>
    <row r="6340" customFormat="false" ht="15" hidden="false" customHeight="false" outlineLevel="0" collapsed="false">
      <c r="H6340" s="0" t="str">
        <f aca="false">IF(B6340="","",IF(COUNTIF(Campaigns!$A$7:$A$300,B6340)&gt;0,"✓","⚠ add to Campaigns tab"))</f>
        <v/>
      </c>
      <c r="I6340" s="84" t="str">
        <f aca="false">IF(C6340="","",C6340*IF(Settings!$B$23=Settings!$C$6,1,IF(Settings!$B$23="USD",1/INDEX(Settings!$B$29:$B$40,MONTH(A6340)),INDEX(Settings!$B$29:$B$40,MONTH(A6340)))))</f>
        <v/>
      </c>
    </row>
    <row r="6341" customFormat="false" ht="15" hidden="false" customHeight="false" outlineLevel="0" collapsed="false">
      <c r="H6341" s="0" t="str">
        <f aca="false">IF(B6341="","",IF(COUNTIF(Campaigns!$A$7:$A$300,B6341)&gt;0,"✓","⚠ add to Campaigns tab"))</f>
        <v/>
      </c>
      <c r="I6341" s="84" t="str">
        <f aca="false">IF(C6341="","",C6341*IF(Settings!$B$23=Settings!$C$6,1,IF(Settings!$B$23="USD",1/INDEX(Settings!$B$29:$B$40,MONTH(A6341)),INDEX(Settings!$B$29:$B$40,MONTH(A6341)))))</f>
        <v/>
      </c>
    </row>
    <row r="6342" customFormat="false" ht="15" hidden="false" customHeight="false" outlineLevel="0" collapsed="false">
      <c r="H6342" s="0" t="str">
        <f aca="false">IF(B6342="","",IF(COUNTIF(Campaigns!$A$7:$A$300,B6342)&gt;0,"✓","⚠ add to Campaigns tab"))</f>
        <v/>
      </c>
      <c r="I6342" s="84" t="str">
        <f aca="false">IF(C6342="","",C6342*IF(Settings!$B$23=Settings!$C$6,1,IF(Settings!$B$23="USD",1/INDEX(Settings!$B$29:$B$40,MONTH(A6342)),INDEX(Settings!$B$29:$B$40,MONTH(A6342)))))</f>
        <v/>
      </c>
    </row>
    <row r="6343" customFormat="false" ht="15" hidden="false" customHeight="false" outlineLevel="0" collapsed="false">
      <c r="H6343" s="0" t="str">
        <f aca="false">IF(B6343="","",IF(COUNTIF(Campaigns!$A$7:$A$300,B6343)&gt;0,"✓","⚠ add to Campaigns tab"))</f>
        <v/>
      </c>
      <c r="I6343" s="84" t="str">
        <f aca="false">IF(C6343="","",C6343*IF(Settings!$B$23=Settings!$C$6,1,IF(Settings!$B$23="USD",1/INDEX(Settings!$B$29:$B$40,MONTH(A6343)),INDEX(Settings!$B$29:$B$40,MONTH(A6343)))))</f>
        <v/>
      </c>
    </row>
    <row r="6344" customFormat="false" ht="15" hidden="false" customHeight="false" outlineLevel="0" collapsed="false">
      <c r="H6344" s="0" t="str">
        <f aca="false">IF(B6344="","",IF(COUNTIF(Campaigns!$A$7:$A$300,B6344)&gt;0,"✓","⚠ add to Campaigns tab"))</f>
        <v/>
      </c>
      <c r="I6344" s="84" t="str">
        <f aca="false">IF(C6344="","",C6344*IF(Settings!$B$23=Settings!$C$6,1,IF(Settings!$B$23="USD",1/INDEX(Settings!$B$29:$B$40,MONTH(A6344)),INDEX(Settings!$B$29:$B$40,MONTH(A6344)))))</f>
        <v/>
      </c>
    </row>
    <row r="6345" customFormat="false" ht="15" hidden="false" customHeight="false" outlineLevel="0" collapsed="false">
      <c r="H6345" s="0" t="str">
        <f aca="false">IF(B6345="","",IF(COUNTIF(Campaigns!$A$7:$A$300,B6345)&gt;0,"✓","⚠ add to Campaigns tab"))</f>
        <v/>
      </c>
      <c r="I6345" s="84" t="str">
        <f aca="false">IF(C6345="","",C6345*IF(Settings!$B$23=Settings!$C$6,1,IF(Settings!$B$23="USD",1/INDEX(Settings!$B$29:$B$40,MONTH(A6345)),INDEX(Settings!$B$29:$B$40,MONTH(A6345)))))</f>
        <v/>
      </c>
    </row>
    <row r="6346" customFormat="false" ht="15" hidden="false" customHeight="false" outlineLevel="0" collapsed="false">
      <c r="H6346" s="0" t="str">
        <f aca="false">IF(B6346="","",IF(COUNTIF(Campaigns!$A$7:$A$300,B6346)&gt;0,"✓","⚠ add to Campaigns tab"))</f>
        <v/>
      </c>
      <c r="I6346" s="84" t="str">
        <f aca="false">IF(C6346="","",C6346*IF(Settings!$B$23=Settings!$C$6,1,IF(Settings!$B$23="USD",1/INDEX(Settings!$B$29:$B$40,MONTH(A6346)),INDEX(Settings!$B$29:$B$40,MONTH(A6346)))))</f>
        <v/>
      </c>
    </row>
    <row r="6347" customFormat="false" ht="15" hidden="false" customHeight="false" outlineLevel="0" collapsed="false">
      <c r="H6347" s="0" t="str">
        <f aca="false">IF(B6347="","",IF(COUNTIF(Campaigns!$A$7:$A$300,B6347)&gt;0,"✓","⚠ add to Campaigns tab"))</f>
        <v/>
      </c>
      <c r="I6347" s="84" t="str">
        <f aca="false">IF(C6347="","",C6347*IF(Settings!$B$23=Settings!$C$6,1,IF(Settings!$B$23="USD",1/INDEX(Settings!$B$29:$B$40,MONTH(A6347)),INDEX(Settings!$B$29:$B$40,MONTH(A6347)))))</f>
        <v/>
      </c>
    </row>
    <row r="6348" customFormat="false" ht="15" hidden="false" customHeight="false" outlineLevel="0" collapsed="false">
      <c r="H6348" s="0" t="str">
        <f aca="false">IF(B6348="","",IF(COUNTIF(Campaigns!$A$7:$A$300,B6348)&gt;0,"✓","⚠ add to Campaigns tab"))</f>
        <v/>
      </c>
      <c r="I6348" s="84" t="str">
        <f aca="false">IF(C6348="","",C6348*IF(Settings!$B$23=Settings!$C$6,1,IF(Settings!$B$23="USD",1/INDEX(Settings!$B$29:$B$40,MONTH(A6348)),INDEX(Settings!$B$29:$B$40,MONTH(A6348)))))</f>
        <v/>
      </c>
    </row>
    <row r="6349" customFormat="false" ht="15" hidden="false" customHeight="false" outlineLevel="0" collapsed="false">
      <c r="H6349" s="0" t="str">
        <f aca="false">IF(B6349="","",IF(COUNTIF(Campaigns!$A$7:$A$300,B6349)&gt;0,"✓","⚠ add to Campaigns tab"))</f>
        <v/>
      </c>
      <c r="I6349" s="84" t="str">
        <f aca="false">IF(C6349="","",C6349*IF(Settings!$B$23=Settings!$C$6,1,IF(Settings!$B$23="USD",1/INDEX(Settings!$B$29:$B$40,MONTH(A6349)),INDEX(Settings!$B$29:$B$40,MONTH(A6349)))))</f>
        <v/>
      </c>
    </row>
    <row r="6350" customFormat="false" ht="15" hidden="false" customHeight="false" outlineLevel="0" collapsed="false">
      <c r="H6350" s="0" t="str">
        <f aca="false">IF(B6350="","",IF(COUNTIF(Campaigns!$A$7:$A$300,B6350)&gt;0,"✓","⚠ add to Campaigns tab"))</f>
        <v/>
      </c>
      <c r="I6350" s="84" t="str">
        <f aca="false">IF(C6350="","",C6350*IF(Settings!$B$23=Settings!$C$6,1,IF(Settings!$B$23="USD",1/INDEX(Settings!$B$29:$B$40,MONTH(A6350)),INDEX(Settings!$B$29:$B$40,MONTH(A6350)))))</f>
        <v/>
      </c>
    </row>
    <row r="6351" customFormat="false" ht="15" hidden="false" customHeight="false" outlineLevel="0" collapsed="false">
      <c r="H6351" s="0" t="str">
        <f aca="false">IF(B6351="","",IF(COUNTIF(Campaigns!$A$7:$A$300,B6351)&gt;0,"✓","⚠ add to Campaigns tab"))</f>
        <v/>
      </c>
      <c r="I6351" s="84" t="str">
        <f aca="false">IF(C6351="","",C6351*IF(Settings!$B$23=Settings!$C$6,1,IF(Settings!$B$23="USD",1/INDEX(Settings!$B$29:$B$40,MONTH(A6351)),INDEX(Settings!$B$29:$B$40,MONTH(A6351)))))</f>
        <v/>
      </c>
    </row>
    <row r="6352" customFormat="false" ht="15" hidden="false" customHeight="false" outlineLevel="0" collapsed="false">
      <c r="H6352" s="0" t="str">
        <f aca="false">IF(B6352="","",IF(COUNTIF(Campaigns!$A$7:$A$300,B6352)&gt;0,"✓","⚠ add to Campaigns tab"))</f>
        <v/>
      </c>
      <c r="I6352" s="84" t="str">
        <f aca="false">IF(C6352="","",C6352*IF(Settings!$B$23=Settings!$C$6,1,IF(Settings!$B$23="USD",1/INDEX(Settings!$B$29:$B$40,MONTH(A6352)),INDEX(Settings!$B$29:$B$40,MONTH(A6352)))))</f>
        <v/>
      </c>
    </row>
    <row r="6353" customFormat="false" ht="15" hidden="false" customHeight="false" outlineLevel="0" collapsed="false">
      <c r="H6353" s="0" t="str">
        <f aca="false">IF(B6353="","",IF(COUNTIF(Campaigns!$A$7:$A$300,B6353)&gt;0,"✓","⚠ add to Campaigns tab"))</f>
        <v/>
      </c>
      <c r="I6353" s="84" t="str">
        <f aca="false">IF(C6353="","",C6353*IF(Settings!$B$23=Settings!$C$6,1,IF(Settings!$B$23="USD",1/INDEX(Settings!$B$29:$B$40,MONTH(A6353)),INDEX(Settings!$B$29:$B$40,MONTH(A6353)))))</f>
        <v/>
      </c>
    </row>
    <row r="6354" customFormat="false" ht="15" hidden="false" customHeight="false" outlineLevel="0" collapsed="false">
      <c r="H6354" s="0" t="str">
        <f aca="false">IF(B6354="","",IF(COUNTIF(Campaigns!$A$7:$A$300,B6354)&gt;0,"✓","⚠ add to Campaigns tab"))</f>
        <v/>
      </c>
      <c r="I6354" s="84" t="str">
        <f aca="false">IF(C6354="","",C6354*IF(Settings!$B$23=Settings!$C$6,1,IF(Settings!$B$23="USD",1/INDEX(Settings!$B$29:$B$40,MONTH(A6354)),INDEX(Settings!$B$29:$B$40,MONTH(A6354)))))</f>
        <v/>
      </c>
    </row>
    <row r="6355" customFormat="false" ht="15" hidden="false" customHeight="false" outlineLevel="0" collapsed="false">
      <c r="H6355" s="0" t="str">
        <f aca="false">IF(B6355="","",IF(COUNTIF(Campaigns!$A$7:$A$300,B6355)&gt;0,"✓","⚠ add to Campaigns tab"))</f>
        <v/>
      </c>
      <c r="I6355" s="84" t="str">
        <f aca="false">IF(C6355="","",C6355*IF(Settings!$B$23=Settings!$C$6,1,IF(Settings!$B$23="USD",1/INDEX(Settings!$B$29:$B$40,MONTH(A6355)),INDEX(Settings!$B$29:$B$40,MONTH(A6355)))))</f>
        <v/>
      </c>
    </row>
    <row r="6356" customFormat="false" ht="15" hidden="false" customHeight="false" outlineLevel="0" collapsed="false">
      <c r="H6356" s="0" t="str">
        <f aca="false">IF(B6356="","",IF(COUNTIF(Campaigns!$A$7:$A$300,B6356)&gt;0,"✓","⚠ add to Campaigns tab"))</f>
        <v/>
      </c>
      <c r="I6356" s="84" t="str">
        <f aca="false">IF(C6356="","",C6356*IF(Settings!$B$23=Settings!$C$6,1,IF(Settings!$B$23="USD",1/INDEX(Settings!$B$29:$B$40,MONTH(A6356)),INDEX(Settings!$B$29:$B$40,MONTH(A6356)))))</f>
        <v/>
      </c>
    </row>
    <row r="6357" customFormat="false" ht="15" hidden="false" customHeight="false" outlineLevel="0" collapsed="false">
      <c r="H6357" s="0" t="str">
        <f aca="false">IF(B6357="","",IF(COUNTIF(Campaigns!$A$7:$A$300,B6357)&gt;0,"✓","⚠ add to Campaigns tab"))</f>
        <v/>
      </c>
      <c r="I6357" s="84" t="str">
        <f aca="false">IF(C6357="","",C6357*IF(Settings!$B$23=Settings!$C$6,1,IF(Settings!$B$23="USD",1/INDEX(Settings!$B$29:$B$40,MONTH(A6357)),INDEX(Settings!$B$29:$B$40,MONTH(A6357)))))</f>
        <v/>
      </c>
    </row>
    <row r="6358" customFormat="false" ht="15" hidden="false" customHeight="false" outlineLevel="0" collapsed="false">
      <c r="H6358" s="0" t="str">
        <f aca="false">IF(B6358="","",IF(COUNTIF(Campaigns!$A$7:$A$300,B6358)&gt;0,"✓","⚠ add to Campaigns tab"))</f>
        <v/>
      </c>
      <c r="I6358" s="84" t="str">
        <f aca="false">IF(C6358="","",C6358*IF(Settings!$B$23=Settings!$C$6,1,IF(Settings!$B$23="USD",1/INDEX(Settings!$B$29:$B$40,MONTH(A6358)),INDEX(Settings!$B$29:$B$40,MONTH(A6358)))))</f>
        <v/>
      </c>
    </row>
    <row r="6359" customFormat="false" ht="15" hidden="false" customHeight="false" outlineLevel="0" collapsed="false">
      <c r="H6359" s="0" t="str">
        <f aca="false">IF(B6359="","",IF(COUNTIF(Campaigns!$A$7:$A$300,B6359)&gt;0,"✓","⚠ add to Campaigns tab"))</f>
        <v/>
      </c>
      <c r="I6359" s="84" t="str">
        <f aca="false">IF(C6359="","",C6359*IF(Settings!$B$23=Settings!$C$6,1,IF(Settings!$B$23="USD",1/INDEX(Settings!$B$29:$B$40,MONTH(A6359)),INDEX(Settings!$B$29:$B$40,MONTH(A6359)))))</f>
        <v/>
      </c>
    </row>
    <row r="6360" customFormat="false" ht="15" hidden="false" customHeight="false" outlineLevel="0" collapsed="false">
      <c r="H6360" s="0" t="str">
        <f aca="false">IF(B6360="","",IF(COUNTIF(Campaigns!$A$7:$A$300,B6360)&gt;0,"✓","⚠ add to Campaigns tab"))</f>
        <v/>
      </c>
      <c r="I6360" s="84" t="str">
        <f aca="false">IF(C6360="","",C6360*IF(Settings!$B$23=Settings!$C$6,1,IF(Settings!$B$23="USD",1/INDEX(Settings!$B$29:$B$40,MONTH(A6360)),INDEX(Settings!$B$29:$B$40,MONTH(A6360)))))</f>
        <v/>
      </c>
    </row>
    <row r="6361" customFormat="false" ht="15" hidden="false" customHeight="false" outlineLevel="0" collapsed="false">
      <c r="H6361" s="0" t="str">
        <f aca="false">IF(B6361="","",IF(COUNTIF(Campaigns!$A$7:$A$300,B6361)&gt;0,"✓","⚠ add to Campaigns tab"))</f>
        <v/>
      </c>
      <c r="I6361" s="84" t="str">
        <f aca="false">IF(C6361="","",C6361*IF(Settings!$B$23=Settings!$C$6,1,IF(Settings!$B$23="USD",1/INDEX(Settings!$B$29:$B$40,MONTH(A6361)),INDEX(Settings!$B$29:$B$40,MONTH(A6361)))))</f>
        <v/>
      </c>
    </row>
    <row r="6362" customFormat="false" ht="15" hidden="false" customHeight="false" outlineLevel="0" collapsed="false">
      <c r="H6362" s="0" t="str">
        <f aca="false">IF(B6362="","",IF(COUNTIF(Campaigns!$A$7:$A$300,B6362)&gt;0,"✓","⚠ add to Campaigns tab"))</f>
        <v/>
      </c>
      <c r="I6362" s="84" t="str">
        <f aca="false">IF(C6362="","",C6362*IF(Settings!$B$23=Settings!$C$6,1,IF(Settings!$B$23="USD",1/INDEX(Settings!$B$29:$B$40,MONTH(A6362)),INDEX(Settings!$B$29:$B$40,MONTH(A6362)))))</f>
        <v/>
      </c>
    </row>
    <row r="6363" customFormat="false" ht="15" hidden="false" customHeight="false" outlineLevel="0" collapsed="false">
      <c r="H6363" s="0" t="str">
        <f aca="false">IF(B6363="","",IF(COUNTIF(Campaigns!$A$7:$A$300,B6363)&gt;0,"✓","⚠ add to Campaigns tab"))</f>
        <v/>
      </c>
      <c r="I6363" s="84" t="str">
        <f aca="false">IF(C6363="","",C6363*IF(Settings!$B$23=Settings!$C$6,1,IF(Settings!$B$23="USD",1/INDEX(Settings!$B$29:$B$40,MONTH(A6363)),INDEX(Settings!$B$29:$B$40,MONTH(A6363)))))</f>
        <v/>
      </c>
    </row>
    <row r="6364" customFormat="false" ht="15" hidden="false" customHeight="false" outlineLevel="0" collapsed="false">
      <c r="H6364" s="0" t="str">
        <f aca="false">IF(B6364="","",IF(COUNTIF(Campaigns!$A$7:$A$300,B6364)&gt;0,"✓","⚠ add to Campaigns tab"))</f>
        <v/>
      </c>
      <c r="I6364" s="84" t="str">
        <f aca="false">IF(C6364="","",C6364*IF(Settings!$B$23=Settings!$C$6,1,IF(Settings!$B$23="USD",1/INDEX(Settings!$B$29:$B$40,MONTH(A6364)),INDEX(Settings!$B$29:$B$40,MONTH(A6364)))))</f>
        <v/>
      </c>
    </row>
    <row r="6365" customFormat="false" ht="15" hidden="false" customHeight="false" outlineLevel="0" collapsed="false">
      <c r="H6365" s="0" t="str">
        <f aca="false">IF(B6365="","",IF(COUNTIF(Campaigns!$A$7:$A$300,B6365)&gt;0,"✓","⚠ add to Campaigns tab"))</f>
        <v/>
      </c>
      <c r="I6365" s="84" t="str">
        <f aca="false">IF(C6365="","",C6365*IF(Settings!$B$23=Settings!$C$6,1,IF(Settings!$B$23="USD",1/INDEX(Settings!$B$29:$B$40,MONTH(A6365)),INDEX(Settings!$B$29:$B$40,MONTH(A6365)))))</f>
        <v/>
      </c>
    </row>
    <row r="6366" customFormat="false" ht="15" hidden="false" customHeight="false" outlineLevel="0" collapsed="false">
      <c r="H6366" s="0" t="str">
        <f aca="false">IF(B6366="","",IF(COUNTIF(Campaigns!$A$7:$A$300,B6366)&gt;0,"✓","⚠ add to Campaigns tab"))</f>
        <v/>
      </c>
      <c r="I6366" s="84" t="str">
        <f aca="false">IF(C6366="","",C6366*IF(Settings!$B$23=Settings!$C$6,1,IF(Settings!$B$23="USD",1/INDEX(Settings!$B$29:$B$40,MONTH(A6366)),INDEX(Settings!$B$29:$B$40,MONTH(A6366)))))</f>
        <v/>
      </c>
    </row>
    <row r="6367" customFormat="false" ht="15" hidden="false" customHeight="false" outlineLevel="0" collapsed="false">
      <c r="H6367" s="0" t="str">
        <f aca="false">IF(B6367="","",IF(COUNTIF(Campaigns!$A$7:$A$300,B6367)&gt;0,"✓","⚠ add to Campaigns tab"))</f>
        <v/>
      </c>
      <c r="I6367" s="84" t="str">
        <f aca="false">IF(C6367="","",C6367*IF(Settings!$B$23=Settings!$C$6,1,IF(Settings!$B$23="USD",1/INDEX(Settings!$B$29:$B$40,MONTH(A6367)),INDEX(Settings!$B$29:$B$40,MONTH(A6367)))))</f>
        <v/>
      </c>
    </row>
    <row r="6368" customFormat="false" ht="15" hidden="false" customHeight="false" outlineLevel="0" collapsed="false">
      <c r="H6368" s="0" t="str">
        <f aca="false">IF(B6368="","",IF(COUNTIF(Campaigns!$A$7:$A$300,B6368)&gt;0,"✓","⚠ add to Campaigns tab"))</f>
        <v/>
      </c>
      <c r="I6368" s="84" t="str">
        <f aca="false">IF(C6368="","",C6368*IF(Settings!$B$23=Settings!$C$6,1,IF(Settings!$B$23="USD",1/INDEX(Settings!$B$29:$B$40,MONTH(A6368)),INDEX(Settings!$B$29:$B$40,MONTH(A6368)))))</f>
        <v/>
      </c>
    </row>
    <row r="6369" customFormat="false" ht="15" hidden="false" customHeight="false" outlineLevel="0" collapsed="false">
      <c r="H6369" s="0" t="str">
        <f aca="false">IF(B6369="","",IF(COUNTIF(Campaigns!$A$7:$A$300,B6369)&gt;0,"✓","⚠ add to Campaigns tab"))</f>
        <v/>
      </c>
      <c r="I6369" s="84" t="str">
        <f aca="false">IF(C6369="","",C6369*IF(Settings!$B$23=Settings!$C$6,1,IF(Settings!$B$23="USD",1/INDEX(Settings!$B$29:$B$40,MONTH(A6369)),INDEX(Settings!$B$29:$B$40,MONTH(A6369)))))</f>
        <v/>
      </c>
    </row>
    <row r="6370" customFormat="false" ht="15" hidden="false" customHeight="false" outlineLevel="0" collapsed="false">
      <c r="H6370" s="0" t="str">
        <f aca="false">IF(B6370="","",IF(COUNTIF(Campaigns!$A$7:$A$300,B6370)&gt;0,"✓","⚠ add to Campaigns tab"))</f>
        <v/>
      </c>
      <c r="I6370" s="84" t="str">
        <f aca="false">IF(C6370="","",C6370*IF(Settings!$B$23=Settings!$C$6,1,IF(Settings!$B$23="USD",1/INDEX(Settings!$B$29:$B$40,MONTH(A6370)),INDEX(Settings!$B$29:$B$40,MONTH(A6370)))))</f>
        <v/>
      </c>
    </row>
    <row r="6371" customFormat="false" ht="15" hidden="false" customHeight="false" outlineLevel="0" collapsed="false">
      <c r="H6371" s="0" t="str">
        <f aca="false">IF(B6371="","",IF(COUNTIF(Campaigns!$A$7:$A$300,B6371)&gt;0,"✓","⚠ add to Campaigns tab"))</f>
        <v/>
      </c>
      <c r="I6371" s="84" t="str">
        <f aca="false">IF(C6371="","",C6371*IF(Settings!$B$23=Settings!$C$6,1,IF(Settings!$B$23="USD",1/INDEX(Settings!$B$29:$B$40,MONTH(A6371)),INDEX(Settings!$B$29:$B$40,MONTH(A6371)))))</f>
        <v/>
      </c>
    </row>
    <row r="6372" customFormat="false" ht="15" hidden="false" customHeight="false" outlineLevel="0" collapsed="false">
      <c r="H6372" s="0" t="str">
        <f aca="false">IF(B6372="","",IF(COUNTIF(Campaigns!$A$7:$A$300,B6372)&gt;0,"✓","⚠ add to Campaigns tab"))</f>
        <v/>
      </c>
      <c r="I6372" s="84" t="str">
        <f aca="false">IF(C6372="","",C6372*IF(Settings!$B$23=Settings!$C$6,1,IF(Settings!$B$23="USD",1/INDEX(Settings!$B$29:$B$40,MONTH(A6372)),INDEX(Settings!$B$29:$B$40,MONTH(A6372)))))</f>
        <v/>
      </c>
    </row>
    <row r="6373" customFormat="false" ht="15" hidden="false" customHeight="false" outlineLevel="0" collapsed="false">
      <c r="H6373" s="0" t="str">
        <f aca="false">IF(B6373="","",IF(COUNTIF(Campaigns!$A$7:$A$300,B6373)&gt;0,"✓","⚠ add to Campaigns tab"))</f>
        <v/>
      </c>
      <c r="I6373" s="84" t="str">
        <f aca="false">IF(C6373="","",C6373*IF(Settings!$B$23=Settings!$C$6,1,IF(Settings!$B$23="USD",1/INDEX(Settings!$B$29:$B$40,MONTH(A6373)),INDEX(Settings!$B$29:$B$40,MONTH(A6373)))))</f>
        <v/>
      </c>
    </row>
    <row r="6374" customFormat="false" ht="15" hidden="false" customHeight="false" outlineLevel="0" collapsed="false">
      <c r="H6374" s="0" t="str">
        <f aca="false">IF(B6374="","",IF(COUNTIF(Campaigns!$A$7:$A$300,B6374)&gt;0,"✓","⚠ add to Campaigns tab"))</f>
        <v/>
      </c>
      <c r="I6374" s="84" t="str">
        <f aca="false">IF(C6374="","",C6374*IF(Settings!$B$23=Settings!$C$6,1,IF(Settings!$B$23="USD",1/INDEX(Settings!$B$29:$B$40,MONTH(A6374)),INDEX(Settings!$B$29:$B$40,MONTH(A6374)))))</f>
        <v/>
      </c>
    </row>
    <row r="6375" customFormat="false" ht="15" hidden="false" customHeight="false" outlineLevel="0" collapsed="false">
      <c r="H6375" s="0" t="str">
        <f aca="false">IF(B6375="","",IF(COUNTIF(Campaigns!$A$7:$A$300,B6375)&gt;0,"✓","⚠ add to Campaigns tab"))</f>
        <v/>
      </c>
      <c r="I6375" s="84" t="str">
        <f aca="false">IF(C6375="","",C6375*IF(Settings!$B$23=Settings!$C$6,1,IF(Settings!$B$23="USD",1/INDEX(Settings!$B$29:$B$40,MONTH(A6375)),INDEX(Settings!$B$29:$B$40,MONTH(A6375)))))</f>
        <v/>
      </c>
    </row>
    <row r="6376" customFormat="false" ht="15" hidden="false" customHeight="false" outlineLevel="0" collapsed="false">
      <c r="H6376" s="0" t="str">
        <f aca="false">IF(B6376="","",IF(COUNTIF(Campaigns!$A$7:$A$300,B6376)&gt;0,"✓","⚠ add to Campaigns tab"))</f>
        <v/>
      </c>
      <c r="I6376" s="84" t="str">
        <f aca="false">IF(C6376="","",C6376*IF(Settings!$B$23=Settings!$C$6,1,IF(Settings!$B$23="USD",1/INDEX(Settings!$B$29:$B$40,MONTH(A6376)),INDEX(Settings!$B$29:$B$40,MONTH(A6376)))))</f>
        <v/>
      </c>
    </row>
    <row r="6377" customFormat="false" ht="15" hidden="false" customHeight="false" outlineLevel="0" collapsed="false">
      <c r="H6377" s="0" t="str">
        <f aca="false">IF(B6377="","",IF(COUNTIF(Campaigns!$A$7:$A$300,B6377)&gt;0,"✓","⚠ add to Campaigns tab"))</f>
        <v/>
      </c>
      <c r="I6377" s="84" t="str">
        <f aca="false">IF(C6377="","",C6377*IF(Settings!$B$23=Settings!$C$6,1,IF(Settings!$B$23="USD",1/INDEX(Settings!$B$29:$B$40,MONTH(A6377)),INDEX(Settings!$B$29:$B$40,MONTH(A6377)))))</f>
        <v/>
      </c>
    </row>
    <row r="6378" customFormat="false" ht="15" hidden="false" customHeight="false" outlineLevel="0" collapsed="false">
      <c r="H6378" s="0" t="str">
        <f aca="false">IF(B6378="","",IF(COUNTIF(Campaigns!$A$7:$A$300,B6378)&gt;0,"✓","⚠ add to Campaigns tab"))</f>
        <v/>
      </c>
      <c r="I6378" s="84" t="str">
        <f aca="false">IF(C6378="","",C6378*IF(Settings!$B$23=Settings!$C$6,1,IF(Settings!$B$23="USD",1/INDEX(Settings!$B$29:$B$40,MONTH(A6378)),INDEX(Settings!$B$29:$B$40,MONTH(A6378)))))</f>
        <v/>
      </c>
    </row>
    <row r="6379" customFormat="false" ht="15" hidden="false" customHeight="false" outlineLevel="0" collapsed="false">
      <c r="H6379" s="0" t="str">
        <f aca="false">IF(B6379="","",IF(COUNTIF(Campaigns!$A$7:$A$300,B6379)&gt;0,"✓","⚠ add to Campaigns tab"))</f>
        <v/>
      </c>
      <c r="I6379" s="84" t="str">
        <f aca="false">IF(C6379="","",C6379*IF(Settings!$B$23=Settings!$C$6,1,IF(Settings!$B$23="USD",1/INDEX(Settings!$B$29:$B$40,MONTH(A6379)),INDEX(Settings!$B$29:$B$40,MONTH(A6379)))))</f>
        <v/>
      </c>
    </row>
    <row r="6380" customFormat="false" ht="15" hidden="false" customHeight="false" outlineLevel="0" collapsed="false">
      <c r="H6380" s="0" t="str">
        <f aca="false">IF(B6380="","",IF(COUNTIF(Campaigns!$A$7:$A$300,B6380)&gt;0,"✓","⚠ add to Campaigns tab"))</f>
        <v/>
      </c>
      <c r="I6380" s="84" t="str">
        <f aca="false">IF(C6380="","",C6380*IF(Settings!$B$23=Settings!$C$6,1,IF(Settings!$B$23="USD",1/INDEX(Settings!$B$29:$B$40,MONTH(A6380)),INDEX(Settings!$B$29:$B$40,MONTH(A6380)))))</f>
        <v/>
      </c>
    </row>
    <row r="6381" customFormat="false" ht="15" hidden="false" customHeight="false" outlineLevel="0" collapsed="false">
      <c r="H6381" s="0" t="str">
        <f aca="false">IF(B6381="","",IF(COUNTIF(Campaigns!$A$7:$A$300,B6381)&gt;0,"✓","⚠ add to Campaigns tab"))</f>
        <v/>
      </c>
      <c r="I6381" s="84" t="str">
        <f aca="false">IF(C6381="","",C6381*IF(Settings!$B$23=Settings!$C$6,1,IF(Settings!$B$23="USD",1/INDEX(Settings!$B$29:$B$40,MONTH(A6381)),INDEX(Settings!$B$29:$B$40,MONTH(A6381)))))</f>
        <v/>
      </c>
    </row>
    <row r="6382" customFormat="false" ht="15" hidden="false" customHeight="false" outlineLevel="0" collapsed="false">
      <c r="H6382" s="0" t="str">
        <f aca="false">IF(B6382="","",IF(COUNTIF(Campaigns!$A$7:$A$300,B6382)&gt;0,"✓","⚠ add to Campaigns tab"))</f>
        <v/>
      </c>
      <c r="I6382" s="84" t="str">
        <f aca="false">IF(C6382="","",C6382*IF(Settings!$B$23=Settings!$C$6,1,IF(Settings!$B$23="USD",1/INDEX(Settings!$B$29:$B$40,MONTH(A6382)),INDEX(Settings!$B$29:$B$40,MONTH(A6382)))))</f>
        <v/>
      </c>
    </row>
    <row r="6383" customFormat="false" ht="15" hidden="false" customHeight="false" outlineLevel="0" collapsed="false">
      <c r="H6383" s="0" t="str">
        <f aca="false">IF(B6383="","",IF(COUNTIF(Campaigns!$A$7:$A$300,B6383)&gt;0,"✓","⚠ add to Campaigns tab"))</f>
        <v/>
      </c>
      <c r="I6383" s="84" t="str">
        <f aca="false">IF(C6383="","",C6383*IF(Settings!$B$23=Settings!$C$6,1,IF(Settings!$B$23="USD",1/INDEX(Settings!$B$29:$B$40,MONTH(A6383)),INDEX(Settings!$B$29:$B$40,MONTH(A6383)))))</f>
        <v/>
      </c>
    </row>
    <row r="6384" customFormat="false" ht="15" hidden="false" customHeight="false" outlineLevel="0" collapsed="false">
      <c r="H6384" s="0" t="str">
        <f aca="false">IF(B6384="","",IF(COUNTIF(Campaigns!$A$7:$A$300,B6384)&gt;0,"✓","⚠ add to Campaigns tab"))</f>
        <v/>
      </c>
      <c r="I6384" s="84" t="str">
        <f aca="false">IF(C6384="","",C6384*IF(Settings!$B$23=Settings!$C$6,1,IF(Settings!$B$23="USD",1/INDEX(Settings!$B$29:$B$40,MONTH(A6384)),INDEX(Settings!$B$29:$B$40,MONTH(A6384)))))</f>
        <v/>
      </c>
    </row>
    <row r="6385" customFormat="false" ht="15" hidden="false" customHeight="false" outlineLevel="0" collapsed="false">
      <c r="H6385" s="0" t="str">
        <f aca="false">IF(B6385="","",IF(COUNTIF(Campaigns!$A$7:$A$300,B6385)&gt;0,"✓","⚠ add to Campaigns tab"))</f>
        <v/>
      </c>
      <c r="I6385" s="84" t="str">
        <f aca="false">IF(C6385="","",C6385*IF(Settings!$B$23=Settings!$C$6,1,IF(Settings!$B$23="USD",1/INDEX(Settings!$B$29:$B$40,MONTH(A6385)),INDEX(Settings!$B$29:$B$40,MONTH(A6385)))))</f>
        <v/>
      </c>
    </row>
    <row r="6386" customFormat="false" ht="15" hidden="false" customHeight="false" outlineLevel="0" collapsed="false">
      <c r="H6386" s="0" t="str">
        <f aca="false">IF(B6386="","",IF(COUNTIF(Campaigns!$A$7:$A$300,B6386)&gt;0,"✓","⚠ add to Campaigns tab"))</f>
        <v/>
      </c>
      <c r="I6386" s="84" t="str">
        <f aca="false">IF(C6386="","",C6386*IF(Settings!$B$23=Settings!$C$6,1,IF(Settings!$B$23="USD",1/INDEX(Settings!$B$29:$B$40,MONTH(A6386)),INDEX(Settings!$B$29:$B$40,MONTH(A6386)))))</f>
        <v/>
      </c>
    </row>
    <row r="6387" customFormat="false" ht="15" hidden="false" customHeight="false" outlineLevel="0" collapsed="false">
      <c r="H6387" s="0" t="str">
        <f aca="false">IF(B6387="","",IF(COUNTIF(Campaigns!$A$7:$A$300,B6387)&gt;0,"✓","⚠ add to Campaigns tab"))</f>
        <v/>
      </c>
      <c r="I6387" s="84" t="str">
        <f aca="false">IF(C6387="","",C6387*IF(Settings!$B$23=Settings!$C$6,1,IF(Settings!$B$23="USD",1/INDEX(Settings!$B$29:$B$40,MONTH(A6387)),INDEX(Settings!$B$29:$B$40,MONTH(A6387)))))</f>
        <v/>
      </c>
    </row>
    <row r="6388" customFormat="false" ht="15" hidden="false" customHeight="false" outlineLevel="0" collapsed="false">
      <c r="H6388" s="0" t="str">
        <f aca="false">IF(B6388="","",IF(COUNTIF(Campaigns!$A$7:$A$300,B6388)&gt;0,"✓","⚠ add to Campaigns tab"))</f>
        <v/>
      </c>
      <c r="I6388" s="84" t="str">
        <f aca="false">IF(C6388="","",C6388*IF(Settings!$B$23=Settings!$C$6,1,IF(Settings!$B$23="USD",1/INDEX(Settings!$B$29:$B$40,MONTH(A6388)),INDEX(Settings!$B$29:$B$40,MONTH(A6388)))))</f>
        <v/>
      </c>
    </row>
    <row r="6389" customFormat="false" ht="15" hidden="false" customHeight="false" outlineLevel="0" collapsed="false">
      <c r="H6389" s="0" t="str">
        <f aca="false">IF(B6389="","",IF(COUNTIF(Campaigns!$A$7:$A$300,B6389)&gt;0,"✓","⚠ add to Campaigns tab"))</f>
        <v/>
      </c>
      <c r="I6389" s="84" t="str">
        <f aca="false">IF(C6389="","",C6389*IF(Settings!$B$23=Settings!$C$6,1,IF(Settings!$B$23="USD",1/INDEX(Settings!$B$29:$B$40,MONTH(A6389)),INDEX(Settings!$B$29:$B$40,MONTH(A6389)))))</f>
        <v/>
      </c>
    </row>
    <row r="6390" customFormat="false" ht="15" hidden="false" customHeight="false" outlineLevel="0" collapsed="false">
      <c r="H6390" s="0" t="str">
        <f aca="false">IF(B6390="","",IF(COUNTIF(Campaigns!$A$7:$A$300,B6390)&gt;0,"✓","⚠ add to Campaigns tab"))</f>
        <v/>
      </c>
      <c r="I6390" s="84" t="str">
        <f aca="false">IF(C6390="","",C6390*IF(Settings!$B$23=Settings!$C$6,1,IF(Settings!$B$23="USD",1/INDEX(Settings!$B$29:$B$40,MONTH(A6390)),INDEX(Settings!$B$29:$B$40,MONTH(A6390)))))</f>
        <v/>
      </c>
    </row>
    <row r="6391" customFormat="false" ht="15" hidden="false" customHeight="false" outlineLevel="0" collapsed="false">
      <c r="H6391" s="0" t="str">
        <f aca="false">IF(B6391="","",IF(COUNTIF(Campaigns!$A$7:$A$300,B6391)&gt;0,"✓","⚠ add to Campaigns tab"))</f>
        <v/>
      </c>
      <c r="I6391" s="84" t="str">
        <f aca="false">IF(C6391="","",C6391*IF(Settings!$B$23=Settings!$C$6,1,IF(Settings!$B$23="USD",1/INDEX(Settings!$B$29:$B$40,MONTH(A6391)),INDEX(Settings!$B$29:$B$40,MONTH(A6391)))))</f>
        <v/>
      </c>
    </row>
    <row r="6392" customFormat="false" ht="15" hidden="false" customHeight="false" outlineLevel="0" collapsed="false">
      <c r="H6392" s="0" t="str">
        <f aca="false">IF(B6392="","",IF(COUNTIF(Campaigns!$A$7:$A$300,B6392)&gt;0,"✓","⚠ add to Campaigns tab"))</f>
        <v/>
      </c>
      <c r="I6392" s="84" t="str">
        <f aca="false">IF(C6392="","",C6392*IF(Settings!$B$23=Settings!$C$6,1,IF(Settings!$B$23="USD",1/INDEX(Settings!$B$29:$B$40,MONTH(A6392)),INDEX(Settings!$B$29:$B$40,MONTH(A6392)))))</f>
        <v/>
      </c>
    </row>
    <row r="6393" customFormat="false" ht="15" hidden="false" customHeight="false" outlineLevel="0" collapsed="false">
      <c r="H6393" s="0" t="str">
        <f aca="false">IF(B6393="","",IF(COUNTIF(Campaigns!$A$7:$A$300,B6393)&gt;0,"✓","⚠ add to Campaigns tab"))</f>
        <v/>
      </c>
      <c r="I6393" s="84" t="str">
        <f aca="false">IF(C6393="","",C6393*IF(Settings!$B$23=Settings!$C$6,1,IF(Settings!$B$23="USD",1/INDEX(Settings!$B$29:$B$40,MONTH(A6393)),INDEX(Settings!$B$29:$B$40,MONTH(A6393)))))</f>
        <v/>
      </c>
    </row>
    <row r="6394" customFormat="false" ht="15" hidden="false" customHeight="false" outlineLevel="0" collapsed="false">
      <c r="H6394" s="0" t="str">
        <f aca="false">IF(B6394="","",IF(COUNTIF(Campaigns!$A$7:$A$300,B6394)&gt;0,"✓","⚠ add to Campaigns tab"))</f>
        <v/>
      </c>
      <c r="I6394" s="84" t="str">
        <f aca="false">IF(C6394="","",C6394*IF(Settings!$B$23=Settings!$C$6,1,IF(Settings!$B$23="USD",1/INDEX(Settings!$B$29:$B$40,MONTH(A6394)),INDEX(Settings!$B$29:$B$40,MONTH(A6394)))))</f>
        <v/>
      </c>
    </row>
    <row r="6395" customFormat="false" ht="15" hidden="false" customHeight="false" outlineLevel="0" collapsed="false">
      <c r="H6395" s="0" t="str">
        <f aca="false">IF(B6395="","",IF(COUNTIF(Campaigns!$A$7:$A$300,B6395)&gt;0,"✓","⚠ add to Campaigns tab"))</f>
        <v/>
      </c>
      <c r="I6395" s="84" t="str">
        <f aca="false">IF(C6395="","",C6395*IF(Settings!$B$23=Settings!$C$6,1,IF(Settings!$B$23="USD",1/INDEX(Settings!$B$29:$B$40,MONTH(A6395)),INDEX(Settings!$B$29:$B$40,MONTH(A6395)))))</f>
        <v/>
      </c>
    </row>
    <row r="6396" customFormat="false" ht="15" hidden="false" customHeight="false" outlineLevel="0" collapsed="false">
      <c r="H6396" s="0" t="str">
        <f aca="false">IF(B6396="","",IF(COUNTIF(Campaigns!$A$7:$A$300,B6396)&gt;0,"✓","⚠ add to Campaigns tab"))</f>
        <v/>
      </c>
      <c r="I6396" s="84" t="str">
        <f aca="false">IF(C6396="","",C6396*IF(Settings!$B$23=Settings!$C$6,1,IF(Settings!$B$23="USD",1/INDEX(Settings!$B$29:$B$40,MONTH(A6396)),INDEX(Settings!$B$29:$B$40,MONTH(A6396)))))</f>
        <v/>
      </c>
    </row>
    <row r="6397" customFormat="false" ht="15" hidden="false" customHeight="false" outlineLevel="0" collapsed="false">
      <c r="H6397" s="0" t="str">
        <f aca="false">IF(B6397="","",IF(COUNTIF(Campaigns!$A$7:$A$300,B6397)&gt;0,"✓","⚠ add to Campaigns tab"))</f>
        <v/>
      </c>
      <c r="I6397" s="84" t="str">
        <f aca="false">IF(C6397="","",C6397*IF(Settings!$B$23=Settings!$C$6,1,IF(Settings!$B$23="USD",1/INDEX(Settings!$B$29:$B$40,MONTH(A6397)),INDEX(Settings!$B$29:$B$40,MONTH(A6397)))))</f>
        <v/>
      </c>
    </row>
    <row r="6398" customFormat="false" ht="15" hidden="false" customHeight="false" outlineLevel="0" collapsed="false">
      <c r="H6398" s="0" t="str">
        <f aca="false">IF(B6398="","",IF(COUNTIF(Campaigns!$A$7:$A$300,B6398)&gt;0,"✓","⚠ add to Campaigns tab"))</f>
        <v/>
      </c>
      <c r="I6398" s="84" t="str">
        <f aca="false">IF(C6398="","",C6398*IF(Settings!$B$23=Settings!$C$6,1,IF(Settings!$B$23="USD",1/INDEX(Settings!$B$29:$B$40,MONTH(A6398)),INDEX(Settings!$B$29:$B$40,MONTH(A6398)))))</f>
        <v/>
      </c>
    </row>
    <row r="6399" customFormat="false" ht="15" hidden="false" customHeight="false" outlineLevel="0" collapsed="false">
      <c r="H6399" s="0" t="str">
        <f aca="false">IF(B6399="","",IF(COUNTIF(Campaigns!$A$7:$A$300,B6399)&gt;0,"✓","⚠ add to Campaigns tab"))</f>
        <v/>
      </c>
      <c r="I6399" s="84" t="str">
        <f aca="false">IF(C6399="","",C6399*IF(Settings!$B$23=Settings!$C$6,1,IF(Settings!$B$23="USD",1/INDEX(Settings!$B$29:$B$40,MONTH(A6399)),INDEX(Settings!$B$29:$B$40,MONTH(A6399)))))</f>
        <v/>
      </c>
    </row>
    <row r="6400" customFormat="false" ht="15" hidden="false" customHeight="false" outlineLevel="0" collapsed="false">
      <c r="H6400" s="0" t="str">
        <f aca="false">IF(B6400="","",IF(COUNTIF(Campaigns!$A$7:$A$300,B6400)&gt;0,"✓","⚠ add to Campaigns tab"))</f>
        <v/>
      </c>
      <c r="I6400" s="84" t="str">
        <f aca="false">IF(C6400="","",C6400*IF(Settings!$B$23=Settings!$C$6,1,IF(Settings!$B$23="USD",1/INDEX(Settings!$B$29:$B$40,MONTH(A6400)),INDEX(Settings!$B$29:$B$40,MONTH(A6400)))))</f>
        <v/>
      </c>
    </row>
    <row r="6401" customFormat="false" ht="15" hidden="false" customHeight="false" outlineLevel="0" collapsed="false">
      <c r="H6401" s="0" t="str">
        <f aca="false">IF(B6401="","",IF(COUNTIF(Campaigns!$A$7:$A$300,B6401)&gt;0,"✓","⚠ add to Campaigns tab"))</f>
        <v/>
      </c>
      <c r="I6401" s="84" t="str">
        <f aca="false">IF(C6401="","",C6401*IF(Settings!$B$23=Settings!$C$6,1,IF(Settings!$B$23="USD",1/INDEX(Settings!$B$29:$B$40,MONTH(A6401)),INDEX(Settings!$B$29:$B$40,MONTH(A6401)))))</f>
        <v/>
      </c>
    </row>
    <row r="6402" customFormat="false" ht="15" hidden="false" customHeight="false" outlineLevel="0" collapsed="false">
      <c r="H6402" s="0" t="str">
        <f aca="false">IF(B6402="","",IF(COUNTIF(Campaigns!$A$7:$A$300,B6402)&gt;0,"✓","⚠ add to Campaigns tab"))</f>
        <v/>
      </c>
      <c r="I6402" s="84" t="str">
        <f aca="false">IF(C6402="","",C6402*IF(Settings!$B$23=Settings!$C$6,1,IF(Settings!$B$23="USD",1/INDEX(Settings!$B$29:$B$40,MONTH(A6402)),INDEX(Settings!$B$29:$B$40,MONTH(A6402)))))</f>
        <v/>
      </c>
    </row>
    <row r="6403" customFormat="false" ht="15" hidden="false" customHeight="false" outlineLevel="0" collapsed="false">
      <c r="H6403" s="0" t="str">
        <f aca="false">IF(B6403="","",IF(COUNTIF(Campaigns!$A$7:$A$300,B6403)&gt;0,"✓","⚠ add to Campaigns tab"))</f>
        <v/>
      </c>
      <c r="I6403" s="84" t="str">
        <f aca="false">IF(C6403="","",C6403*IF(Settings!$B$23=Settings!$C$6,1,IF(Settings!$B$23="USD",1/INDEX(Settings!$B$29:$B$40,MONTH(A6403)),INDEX(Settings!$B$29:$B$40,MONTH(A6403)))))</f>
        <v/>
      </c>
    </row>
    <row r="6404" customFormat="false" ht="15" hidden="false" customHeight="false" outlineLevel="0" collapsed="false">
      <c r="H6404" s="0" t="str">
        <f aca="false">IF(B6404="","",IF(COUNTIF(Campaigns!$A$7:$A$300,B6404)&gt;0,"✓","⚠ add to Campaigns tab"))</f>
        <v/>
      </c>
      <c r="I6404" s="84" t="str">
        <f aca="false">IF(C6404="","",C6404*IF(Settings!$B$23=Settings!$C$6,1,IF(Settings!$B$23="USD",1/INDEX(Settings!$B$29:$B$40,MONTH(A6404)),INDEX(Settings!$B$29:$B$40,MONTH(A6404)))))</f>
        <v/>
      </c>
    </row>
    <row r="6405" customFormat="false" ht="15" hidden="false" customHeight="false" outlineLevel="0" collapsed="false">
      <c r="H6405" s="0" t="str">
        <f aca="false">IF(B6405="","",IF(COUNTIF(Campaigns!$A$7:$A$300,B6405)&gt;0,"✓","⚠ add to Campaigns tab"))</f>
        <v/>
      </c>
      <c r="I6405" s="84" t="str">
        <f aca="false">IF(C6405="","",C6405*IF(Settings!$B$23=Settings!$C$6,1,IF(Settings!$B$23="USD",1/INDEX(Settings!$B$29:$B$40,MONTH(A6405)),INDEX(Settings!$B$29:$B$40,MONTH(A6405)))))</f>
        <v/>
      </c>
    </row>
    <row r="6406" customFormat="false" ht="15" hidden="false" customHeight="false" outlineLevel="0" collapsed="false">
      <c r="H6406" s="0" t="str">
        <f aca="false">IF(B6406="","",IF(COUNTIF(Campaigns!$A$7:$A$300,B6406)&gt;0,"✓","⚠ add to Campaigns tab"))</f>
        <v/>
      </c>
      <c r="I6406" s="84" t="str">
        <f aca="false">IF(C6406="","",C6406*IF(Settings!$B$23=Settings!$C$6,1,IF(Settings!$B$23="USD",1/INDEX(Settings!$B$29:$B$40,MONTH(A6406)),INDEX(Settings!$B$29:$B$40,MONTH(A6406)))))</f>
        <v/>
      </c>
    </row>
    <row r="6407" customFormat="false" ht="15" hidden="false" customHeight="false" outlineLevel="0" collapsed="false">
      <c r="H6407" s="0" t="str">
        <f aca="false">IF(B6407="","",IF(COUNTIF(Campaigns!$A$7:$A$300,B6407)&gt;0,"✓","⚠ add to Campaigns tab"))</f>
        <v/>
      </c>
      <c r="I6407" s="84" t="str">
        <f aca="false">IF(C6407="","",C6407*IF(Settings!$B$23=Settings!$C$6,1,IF(Settings!$B$23="USD",1/INDEX(Settings!$B$29:$B$40,MONTH(A6407)),INDEX(Settings!$B$29:$B$40,MONTH(A6407)))))</f>
        <v/>
      </c>
    </row>
    <row r="6408" customFormat="false" ht="15" hidden="false" customHeight="false" outlineLevel="0" collapsed="false">
      <c r="H6408" s="0" t="str">
        <f aca="false">IF(B6408="","",IF(COUNTIF(Campaigns!$A$7:$A$300,B6408)&gt;0,"✓","⚠ add to Campaigns tab"))</f>
        <v/>
      </c>
      <c r="I6408" s="84" t="str">
        <f aca="false">IF(C6408="","",C6408*IF(Settings!$B$23=Settings!$C$6,1,IF(Settings!$B$23="USD",1/INDEX(Settings!$B$29:$B$40,MONTH(A6408)),INDEX(Settings!$B$29:$B$40,MONTH(A6408)))))</f>
        <v/>
      </c>
    </row>
    <row r="6409" customFormat="false" ht="15" hidden="false" customHeight="false" outlineLevel="0" collapsed="false">
      <c r="H6409" s="0" t="str">
        <f aca="false">IF(B6409="","",IF(COUNTIF(Campaigns!$A$7:$A$300,B6409)&gt;0,"✓","⚠ add to Campaigns tab"))</f>
        <v/>
      </c>
      <c r="I6409" s="84" t="str">
        <f aca="false">IF(C6409="","",C6409*IF(Settings!$B$23=Settings!$C$6,1,IF(Settings!$B$23="USD",1/INDEX(Settings!$B$29:$B$40,MONTH(A6409)),INDEX(Settings!$B$29:$B$40,MONTH(A6409)))))</f>
        <v/>
      </c>
    </row>
    <row r="6410" customFormat="false" ht="15" hidden="false" customHeight="false" outlineLevel="0" collapsed="false">
      <c r="H6410" s="0" t="str">
        <f aca="false">IF(B6410="","",IF(COUNTIF(Campaigns!$A$7:$A$300,B6410)&gt;0,"✓","⚠ add to Campaigns tab"))</f>
        <v/>
      </c>
      <c r="I6410" s="84" t="str">
        <f aca="false">IF(C6410="","",C6410*IF(Settings!$B$23=Settings!$C$6,1,IF(Settings!$B$23="USD",1/INDEX(Settings!$B$29:$B$40,MONTH(A6410)),INDEX(Settings!$B$29:$B$40,MONTH(A6410)))))</f>
        <v/>
      </c>
    </row>
    <row r="6411" customFormat="false" ht="15" hidden="false" customHeight="false" outlineLevel="0" collapsed="false">
      <c r="H6411" s="0" t="str">
        <f aca="false">IF(B6411="","",IF(COUNTIF(Campaigns!$A$7:$A$300,B6411)&gt;0,"✓","⚠ add to Campaigns tab"))</f>
        <v/>
      </c>
      <c r="I6411" s="84" t="str">
        <f aca="false">IF(C6411="","",C6411*IF(Settings!$B$23=Settings!$C$6,1,IF(Settings!$B$23="USD",1/INDEX(Settings!$B$29:$B$40,MONTH(A6411)),INDEX(Settings!$B$29:$B$40,MONTH(A6411)))))</f>
        <v/>
      </c>
    </row>
    <row r="6412" customFormat="false" ht="15" hidden="false" customHeight="false" outlineLevel="0" collapsed="false">
      <c r="H6412" s="0" t="str">
        <f aca="false">IF(B6412="","",IF(COUNTIF(Campaigns!$A$7:$A$300,B6412)&gt;0,"✓","⚠ add to Campaigns tab"))</f>
        <v/>
      </c>
      <c r="I6412" s="84" t="str">
        <f aca="false">IF(C6412="","",C6412*IF(Settings!$B$23=Settings!$C$6,1,IF(Settings!$B$23="USD",1/INDEX(Settings!$B$29:$B$40,MONTH(A6412)),INDEX(Settings!$B$29:$B$40,MONTH(A6412)))))</f>
        <v/>
      </c>
    </row>
    <row r="6413" customFormat="false" ht="15" hidden="false" customHeight="false" outlineLevel="0" collapsed="false">
      <c r="H6413" s="0" t="str">
        <f aca="false">IF(B6413="","",IF(COUNTIF(Campaigns!$A$7:$A$300,B6413)&gt;0,"✓","⚠ add to Campaigns tab"))</f>
        <v/>
      </c>
      <c r="I6413" s="84" t="str">
        <f aca="false">IF(C6413="","",C6413*IF(Settings!$B$23=Settings!$C$6,1,IF(Settings!$B$23="USD",1/INDEX(Settings!$B$29:$B$40,MONTH(A6413)),INDEX(Settings!$B$29:$B$40,MONTH(A6413)))))</f>
        <v/>
      </c>
    </row>
    <row r="6414" customFormat="false" ht="15" hidden="false" customHeight="false" outlineLevel="0" collapsed="false">
      <c r="H6414" s="0" t="str">
        <f aca="false">IF(B6414="","",IF(COUNTIF(Campaigns!$A$7:$A$300,B6414)&gt;0,"✓","⚠ add to Campaigns tab"))</f>
        <v/>
      </c>
      <c r="I6414" s="84" t="str">
        <f aca="false">IF(C6414="","",C6414*IF(Settings!$B$23=Settings!$C$6,1,IF(Settings!$B$23="USD",1/INDEX(Settings!$B$29:$B$40,MONTH(A6414)),INDEX(Settings!$B$29:$B$40,MONTH(A6414)))))</f>
        <v/>
      </c>
    </row>
    <row r="6415" customFormat="false" ht="15" hidden="false" customHeight="false" outlineLevel="0" collapsed="false">
      <c r="H6415" s="0" t="str">
        <f aca="false">IF(B6415="","",IF(COUNTIF(Campaigns!$A$7:$A$300,B6415)&gt;0,"✓","⚠ add to Campaigns tab"))</f>
        <v/>
      </c>
      <c r="I6415" s="84" t="str">
        <f aca="false">IF(C6415="","",C6415*IF(Settings!$B$23=Settings!$C$6,1,IF(Settings!$B$23="USD",1/INDEX(Settings!$B$29:$B$40,MONTH(A6415)),INDEX(Settings!$B$29:$B$40,MONTH(A6415)))))</f>
        <v/>
      </c>
    </row>
    <row r="6416" customFormat="false" ht="15" hidden="false" customHeight="false" outlineLevel="0" collapsed="false">
      <c r="H6416" s="0" t="str">
        <f aca="false">IF(B6416="","",IF(COUNTIF(Campaigns!$A$7:$A$300,B6416)&gt;0,"✓","⚠ add to Campaigns tab"))</f>
        <v/>
      </c>
      <c r="I6416" s="84" t="str">
        <f aca="false">IF(C6416="","",C6416*IF(Settings!$B$23=Settings!$C$6,1,IF(Settings!$B$23="USD",1/INDEX(Settings!$B$29:$B$40,MONTH(A6416)),INDEX(Settings!$B$29:$B$40,MONTH(A6416)))))</f>
        <v/>
      </c>
    </row>
    <row r="6417" customFormat="false" ht="15" hidden="false" customHeight="false" outlineLevel="0" collapsed="false">
      <c r="H6417" s="0" t="str">
        <f aca="false">IF(B6417="","",IF(COUNTIF(Campaigns!$A$7:$A$300,B6417)&gt;0,"✓","⚠ add to Campaigns tab"))</f>
        <v/>
      </c>
      <c r="I6417" s="84" t="str">
        <f aca="false">IF(C6417="","",C6417*IF(Settings!$B$23=Settings!$C$6,1,IF(Settings!$B$23="USD",1/INDEX(Settings!$B$29:$B$40,MONTH(A6417)),INDEX(Settings!$B$29:$B$40,MONTH(A6417)))))</f>
        <v/>
      </c>
    </row>
    <row r="6418" customFormat="false" ht="15" hidden="false" customHeight="false" outlineLevel="0" collapsed="false">
      <c r="H6418" s="0" t="str">
        <f aca="false">IF(B6418="","",IF(COUNTIF(Campaigns!$A$7:$A$300,B6418)&gt;0,"✓","⚠ add to Campaigns tab"))</f>
        <v/>
      </c>
      <c r="I6418" s="84" t="str">
        <f aca="false">IF(C6418="","",C6418*IF(Settings!$B$23=Settings!$C$6,1,IF(Settings!$B$23="USD",1/INDEX(Settings!$B$29:$B$40,MONTH(A6418)),INDEX(Settings!$B$29:$B$40,MONTH(A6418)))))</f>
        <v/>
      </c>
    </row>
    <row r="6419" customFormat="false" ht="15" hidden="false" customHeight="false" outlineLevel="0" collapsed="false">
      <c r="H6419" s="0" t="str">
        <f aca="false">IF(B6419="","",IF(COUNTIF(Campaigns!$A$7:$A$300,B6419)&gt;0,"✓","⚠ add to Campaigns tab"))</f>
        <v/>
      </c>
      <c r="I6419" s="84" t="str">
        <f aca="false">IF(C6419="","",C6419*IF(Settings!$B$23=Settings!$C$6,1,IF(Settings!$B$23="USD",1/INDEX(Settings!$B$29:$B$40,MONTH(A6419)),INDEX(Settings!$B$29:$B$40,MONTH(A6419)))))</f>
        <v/>
      </c>
    </row>
    <row r="6420" customFormat="false" ht="15" hidden="false" customHeight="false" outlineLevel="0" collapsed="false">
      <c r="H6420" s="0" t="str">
        <f aca="false">IF(B6420="","",IF(COUNTIF(Campaigns!$A$7:$A$300,B6420)&gt;0,"✓","⚠ add to Campaigns tab"))</f>
        <v/>
      </c>
      <c r="I6420" s="84" t="str">
        <f aca="false">IF(C6420="","",C6420*IF(Settings!$B$23=Settings!$C$6,1,IF(Settings!$B$23="USD",1/INDEX(Settings!$B$29:$B$40,MONTH(A6420)),INDEX(Settings!$B$29:$B$40,MONTH(A6420)))))</f>
        <v/>
      </c>
    </row>
    <row r="6421" customFormat="false" ht="15" hidden="false" customHeight="false" outlineLevel="0" collapsed="false">
      <c r="H6421" s="0" t="str">
        <f aca="false">IF(B6421="","",IF(COUNTIF(Campaigns!$A$7:$A$300,B6421)&gt;0,"✓","⚠ add to Campaigns tab"))</f>
        <v/>
      </c>
      <c r="I6421" s="84" t="str">
        <f aca="false">IF(C6421="","",C6421*IF(Settings!$B$23=Settings!$C$6,1,IF(Settings!$B$23="USD",1/INDEX(Settings!$B$29:$B$40,MONTH(A6421)),INDEX(Settings!$B$29:$B$40,MONTH(A6421)))))</f>
        <v/>
      </c>
    </row>
    <row r="6422" customFormat="false" ht="15" hidden="false" customHeight="false" outlineLevel="0" collapsed="false">
      <c r="H6422" s="0" t="str">
        <f aca="false">IF(B6422="","",IF(COUNTIF(Campaigns!$A$7:$A$300,B6422)&gt;0,"✓","⚠ add to Campaigns tab"))</f>
        <v/>
      </c>
      <c r="I6422" s="84" t="str">
        <f aca="false">IF(C6422="","",C6422*IF(Settings!$B$23=Settings!$C$6,1,IF(Settings!$B$23="USD",1/INDEX(Settings!$B$29:$B$40,MONTH(A6422)),INDEX(Settings!$B$29:$B$40,MONTH(A6422)))))</f>
        <v/>
      </c>
    </row>
    <row r="6423" customFormat="false" ht="15" hidden="false" customHeight="false" outlineLevel="0" collapsed="false">
      <c r="H6423" s="0" t="str">
        <f aca="false">IF(B6423="","",IF(COUNTIF(Campaigns!$A$7:$A$300,B6423)&gt;0,"✓","⚠ add to Campaigns tab"))</f>
        <v/>
      </c>
      <c r="I6423" s="84" t="str">
        <f aca="false">IF(C6423="","",C6423*IF(Settings!$B$23=Settings!$C$6,1,IF(Settings!$B$23="USD",1/INDEX(Settings!$B$29:$B$40,MONTH(A6423)),INDEX(Settings!$B$29:$B$40,MONTH(A6423)))))</f>
        <v/>
      </c>
    </row>
    <row r="6424" customFormat="false" ht="15" hidden="false" customHeight="false" outlineLevel="0" collapsed="false">
      <c r="H6424" s="0" t="str">
        <f aca="false">IF(B6424="","",IF(COUNTIF(Campaigns!$A$7:$A$300,B6424)&gt;0,"✓","⚠ add to Campaigns tab"))</f>
        <v/>
      </c>
      <c r="I6424" s="84" t="str">
        <f aca="false">IF(C6424="","",C6424*IF(Settings!$B$23=Settings!$C$6,1,IF(Settings!$B$23="USD",1/INDEX(Settings!$B$29:$B$40,MONTH(A6424)),INDEX(Settings!$B$29:$B$40,MONTH(A6424)))))</f>
        <v/>
      </c>
    </row>
    <row r="6425" customFormat="false" ht="15" hidden="false" customHeight="false" outlineLevel="0" collapsed="false">
      <c r="H6425" s="0" t="str">
        <f aca="false">IF(B6425="","",IF(COUNTIF(Campaigns!$A$7:$A$300,B6425)&gt;0,"✓","⚠ add to Campaigns tab"))</f>
        <v/>
      </c>
      <c r="I6425" s="84" t="str">
        <f aca="false">IF(C6425="","",C6425*IF(Settings!$B$23=Settings!$C$6,1,IF(Settings!$B$23="USD",1/INDEX(Settings!$B$29:$B$40,MONTH(A6425)),INDEX(Settings!$B$29:$B$40,MONTH(A6425)))))</f>
        <v/>
      </c>
    </row>
    <row r="6426" customFormat="false" ht="15" hidden="false" customHeight="false" outlineLevel="0" collapsed="false">
      <c r="H6426" s="0" t="str">
        <f aca="false">IF(B6426="","",IF(COUNTIF(Campaigns!$A$7:$A$300,B6426)&gt;0,"✓","⚠ add to Campaigns tab"))</f>
        <v/>
      </c>
      <c r="I6426" s="84" t="str">
        <f aca="false">IF(C6426="","",C6426*IF(Settings!$B$23=Settings!$C$6,1,IF(Settings!$B$23="USD",1/INDEX(Settings!$B$29:$B$40,MONTH(A6426)),INDEX(Settings!$B$29:$B$40,MONTH(A6426)))))</f>
        <v/>
      </c>
    </row>
    <row r="6427" customFormat="false" ht="15" hidden="false" customHeight="false" outlineLevel="0" collapsed="false">
      <c r="H6427" s="0" t="str">
        <f aca="false">IF(B6427="","",IF(COUNTIF(Campaigns!$A$7:$A$300,B6427)&gt;0,"✓","⚠ add to Campaigns tab"))</f>
        <v/>
      </c>
      <c r="I6427" s="84" t="str">
        <f aca="false">IF(C6427="","",C6427*IF(Settings!$B$23=Settings!$C$6,1,IF(Settings!$B$23="USD",1/INDEX(Settings!$B$29:$B$40,MONTH(A6427)),INDEX(Settings!$B$29:$B$40,MONTH(A6427)))))</f>
        <v/>
      </c>
    </row>
    <row r="6428" customFormat="false" ht="15" hidden="false" customHeight="false" outlineLevel="0" collapsed="false">
      <c r="H6428" s="0" t="str">
        <f aca="false">IF(B6428="","",IF(COUNTIF(Campaigns!$A$7:$A$300,B6428)&gt;0,"✓","⚠ add to Campaigns tab"))</f>
        <v/>
      </c>
      <c r="I6428" s="84" t="str">
        <f aca="false">IF(C6428="","",C6428*IF(Settings!$B$23=Settings!$C$6,1,IF(Settings!$B$23="USD",1/INDEX(Settings!$B$29:$B$40,MONTH(A6428)),INDEX(Settings!$B$29:$B$40,MONTH(A6428)))))</f>
        <v/>
      </c>
    </row>
    <row r="6429" customFormat="false" ht="15" hidden="false" customHeight="false" outlineLevel="0" collapsed="false">
      <c r="H6429" s="0" t="str">
        <f aca="false">IF(B6429="","",IF(COUNTIF(Campaigns!$A$7:$A$300,B6429)&gt;0,"✓","⚠ add to Campaigns tab"))</f>
        <v/>
      </c>
      <c r="I6429" s="84" t="str">
        <f aca="false">IF(C6429="","",C6429*IF(Settings!$B$23=Settings!$C$6,1,IF(Settings!$B$23="USD",1/INDEX(Settings!$B$29:$B$40,MONTH(A6429)),INDEX(Settings!$B$29:$B$40,MONTH(A6429)))))</f>
        <v/>
      </c>
    </row>
    <row r="6430" customFormat="false" ht="15" hidden="false" customHeight="false" outlineLevel="0" collapsed="false">
      <c r="H6430" s="0" t="str">
        <f aca="false">IF(B6430="","",IF(COUNTIF(Campaigns!$A$7:$A$300,B6430)&gt;0,"✓","⚠ add to Campaigns tab"))</f>
        <v/>
      </c>
      <c r="I6430" s="84" t="str">
        <f aca="false">IF(C6430="","",C6430*IF(Settings!$B$23=Settings!$C$6,1,IF(Settings!$B$23="USD",1/INDEX(Settings!$B$29:$B$40,MONTH(A6430)),INDEX(Settings!$B$29:$B$40,MONTH(A6430)))))</f>
        <v/>
      </c>
    </row>
    <row r="6431" customFormat="false" ht="15" hidden="false" customHeight="false" outlineLevel="0" collapsed="false">
      <c r="H6431" s="0" t="str">
        <f aca="false">IF(B6431="","",IF(COUNTIF(Campaigns!$A$7:$A$300,B6431)&gt;0,"✓","⚠ add to Campaigns tab"))</f>
        <v/>
      </c>
      <c r="I6431" s="84" t="str">
        <f aca="false">IF(C6431="","",C6431*IF(Settings!$B$23=Settings!$C$6,1,IF(Settings!$B$23="USD",1/INDEX(Settings!$B$29:$B$40,MONTH(A6431)),INDEX(Settings!$B$29:$B$40,MONTH(A6431)))))</f>
        <v/>
      </c>
    </row>
    <row r="6432" customFormat="false" ht="15" hidden="false" customHeight="false" outlineLevel="0" collapsed="false">
      <c r="H6432" s="0" t="str">
        <f aca="false">IF(B6432="","",IF(COUNTIF(Campaigns!$A$7:$A$300,B6432)&gt;0,"✓","⚠ add to Campaigns tab"))</f>
        <v/>
      </c>
      <c r="I6432" s="84" t="str">
        <f aca="false">IF(C6432="","",C6432*IF(Settings!$B$23=Settings!$C$6,1,IF(Settings!$B$23="USD",1/INDEX(Settings!$B$29:$B$40,MONTH(A6432)),INDEX(Settings!$B$29:$B$40,MONTH(A6432)))))</f>
        <v/>
      </c>
    </row>
    <row r="6433" customFormat="false" ht="15" hidden="false" customHeight="false" outlineLevel="0" collapsed="false">
      <c r="H6433" s="0" t="str">
        <f aca="false">IF(B6433="","",IF(COUNTIF(Campaigns!$A$7:$A$300,B6433)&gt;0,"✓","⚠ add to Campaigns tab"))</f>
        <v/>
      </c>
      <c r="I6433" s="84" t="str">
        <f aca="false">IF(C6433="","",C6433*IF(Settings!$B$23=Settings!$C$6,1,IF(Settings!$B$23="USD",1/INDEX(Settings!$B$29:$B$40,MONTH(A6433)),INDEX(Settings!$B$29:$B$40,MONTH(A6433)))))</f>
        <v/>
      </c>
    </row>
    <row r="6434" customFormat="false" ht="15" hidden="false" customHeight="false" outlineLevel="0" collapsed="false">
      <c r="H6434" s="0" t="str">
        <f aca="false">IF(B6434="","",IF(COUNTIF(Campaigns!$A$7:$A$300,B6434)&gt;0,"✓","⚠ add to Campaigns tab"))</f>
        <v/>
      </c>
      <c r="I6434" s="84" t="str">
        <f aca="false">IF(C6434="","",C6434*IF(Settings!$B$23=Settings!$C$6,1,IF(Settings!$B$23="USD",1/INDEX(Settings!$B$29:$B$40,MONTH(A6434)),INDEX(Settings!$B$29:$B$40,MONTH(A6434)))))</f>
        <v/>
      </c>
    </row>
    <row r="6435" customFormat="false" ht="15" hidden="false" customHeight="false" outlineLevel="0" collapsed="false">
      <c r="H6435" s="0" t="str">
        <f aca="false">IF(B6435="","",IF(COUNTIF(Campaigns!$A$7:$A$300,B6435)&gt;0,"✓","⚠ add to Campaigns tab"))</f>
        <v/>
      </c>
      <c r="I6435" s="84" t="str">
        <f aca="false">IF(C6435="","",C6435*IF(Settings!$B$23=Settings!$C$6,1,IF(Settings!$B$23="USD",1/INDEX(Settings!$B$29:$B$40,MONTH(A6435)),INDEX(Settings!$B$29:$B$40,MONTH(A6435)))))</f>
        <v/>
      </c>
    </row>
    <row r="6436" customFormat="false" ht="15" hidden="false" customHeight="false" outlineLevel="0" collapsed="false">
      <c r="H6436" s="0" t="str">
        <f aca="false">IF(B6436="","",IF(COUNTIF(Campaigns!$A$7:$A$300,B6436)&gt;0,"✓","⚠ add to Campaigns tab"))</f>
        <v/>
      </c>
      <c r="I6436" s="84" t="str">
        <f aca="false">IF(C6436="","",C6436*IF(Settings!$B$23=Settings!$C$6,1,IF(Settings!$B$23="USD",1/INDEX(Settings!$B$29:$B$40,MONTH(A6436)),INDEX(Settings!$B$29:$B$40,MONTH(A6436)))))</f>
        <v/>
      </c>
    </row>
    <row r="6437" customFormat="false" ht="15" hidden="false" customHeight="false" outlineLevel="0" collapsed="false">
      <c r="H6437" s="0" t="str">
        <f aca="false">IF(B6437="","",IF(COUNTIF(Campaigns!$A$7:$A$300,B6437)&gt;0,"✓","⚠ add to Campaigns tab"))</f>
        <v/>
      </c>
      <c r="I6437" s="84" t="str">
        <f aca="false">IF(C6437="","",C6437*IF(Settings!$B$23=Settings!$C$6,1,IF(Settings!$B$23="USD",1/INDEX(Settings!$B$29:$B$40,MONTH(A6437)),INDEX(Settings!$B$29:$B$40,MONTH(A6437)))))</f>
        <v/>
      </c>
    </row>
    <row r="6438" customFormat="false" ht="15" hidden="false" customHeight="false" outlineLevel="0" collapsed="false">
      <c r="H6438" s="0" t="str">
        <f aca="false">IF(B6438="","",IF(COUNTIF(Campaigns!$A$7:$A$300,B6438)&gt;0,"✓","⚠ add to Campaigns tab"))</f>
        <v/>
      </c>
      <c r="I6438" s="84" t="str">
        <f aca="false">IF(C6438="","",C6438*IF(Settings!$B$23=Settings!$C$6,1,IF(Settings!$B$23="USD",1/INDEX(Settings!$B$29:$B$40,MONTH(A6438)),INDEX(Settings!$B$29:$B$40,MONTH(A6438)))))</f>
        <v/>
      </c>
    </row>
    <row r="6439" customFormat="false" ht="15" hidden="false" customHeight="false" outlineLevel="0" collapsed="false">
      <c r="H6439" s="0" t="str">
        <f aca="false">IF(B6439="","",IF(COUNTIF(Campaigns!$A$7:$A$300,B6439)&gt;0,"✓","⚠ add to Campaigns tab"))</f>
        <v/>
      </c>
      <c r="I6439" s="84" t="str">
        <f aca="false">IF(C6439="","",C6439*IF(Settings!$B$23=Settings!$C$6,1,IF(Settings!$B$23="USD",1/INDEX(Settings!$B$29:$B$40,MONTH(A6439)),INDEX(Settings!$B$29:$B$40,MONTH(A6439)))))</f>
        <v/>
      </c>
    </row>
    <row r="6440" customFormat="false" ht="15" hidden="false" customHeight="false" outlineLevel="0" collapsed="false">
      <c r="H6440" s="0" t="str">
        <f aca="false">IF(B6440="","",IF(COUNTIF(Campaigns!$A$7:$A$300,B6440)&gt;0,"✓","⚠ add to Campaigns tab"))</f>
        <v/>
      </c>
      <c r="I6440" s="84" t="str">
        <f aca="false">IF(C6440="","",C6440*IF(Settings!$B$23=Settings!$C$6,1,IF(Settings!$B$23="USD",1/INDEX(Settings!$B$29:$B$40,MONTH(A6440)),INDEX(Settings!$B$29:$B$40,MONTH(A6440)))))</f>
        <v/>
      </c>
    </row>
    <row r="6441" customFormat="false" ht="15" hidden="false" customHeight="false" outlineLevel="0" collapsed="false">
      <c r="H6441" s="0" t="str">
        <f aca="false">IF(B6441="","",IF(COUNTIF(Campaigns!$A$7:$A$300,B6441)&gt;0,"✓","⚠ add to Campaigns tab"))</f>
        <v/>
      </c>
      <c r="I6441" s="84" t="str">
        <f aca="false">IF(C6441="","",C6441*IF(Settings!$B$23=Settings!$C$6,1,IF(Settings!$B$23="USD",1/INDEX(Settings!$B$29:$B$40,MONTH(A6441)),INDEX(Settings!$B$29:$B$40,MONTH(A6441)))))</f>
        <v/>
      </c>
    </row>
    <row r="6442" customFormat="false" ht="15" hidden="false" customHeight="false" outlineLevel="0" collapsed="false">
      <c r="H6442" s="0" t="str">
        <f aca="false">IF(B6442="","",IF(COUNTIF(Campaigns!$A$7:$A$300,B6442)&gt;0,"✓","⚠ add to Campaigns tab"))</f>
        <v/>
      </c>
      <c r="I6442" s="84" t="str">
        <f aca="false">IF(C6442="","",C6442*IF(Settings!$B$23=Settings!$C$6,1,IF(Settings!$B$23="USD",1/INDEX(Settings!$B$29:$B$40,MONTH(A6442)),INDEX(Settings!$B$29:$B$40,MONTH(A6442)))))</f>
        <v/>
      </c>
    </row>
    <row r="6443" customFormat="false" ht="15" hidden="false" customHeight="false" outlineLevel="0" collapsed="false">
      <c r="H6443" s="0" t="str">
        <f aca="false">IF(B6443="","",IF(COUNTIF(Campaigns!$A$7:$A$300,B6443)&gt;0,"✓","⚠ add to Campaigns tab"))</f>
        <v/>
      </c>
      <c r="I6443" s="84" t="str">
        <f aca="false">IF(C6443="","",C6443*IF(Settings!$B$23=Settings!$C$6,1,IF(Settings!$B$23="USD",1/INDEX(Settings!$B$29:$B$40,MONTH(A6443)),INDEX(Settings!$B$29:$B$40,MONTH(A6443)))))</f>
        <v/>
      </c>
    </row>
    <row r="6444" customFormat="false" ht="15" hidden="false" customHeight="false" outlineLevel="0" collapsed="false">
      <c r="H6444" s="0" t="str">
        <f aca="false">IF(B6444="","",IF(COUNTIF(Campaigns!$A$7:$A$300,B6444)&gt;0,"✓","⚠ add to Campaigns tab"))</f>
        <v/>
      </c>
      <c r="I6444" s="84" t="str">
        <f aca="false">IF(C6444="","",C6444*IF(Settings!$B$23=Settings!$C$6,1,IF(Settings!$B$23="USD",1/INDEX(Settings!$B$29:$B$40,MONTH(A6444)),INDEX(Settings!$B$29:$B$40,MONTH(A6444)))))</f>
        <v/>
      </c>
    </row>
    <row r="6445" customFormat="false" ht="15" hidden="false" customHeight="false" outlineLevel="0" collapsed="false">
      <c r="H6445" s="0" t="str">
        <f aca="false">IF(B6445="","",IF(COUNTIF(Campaigns!$A$7:$A$300,B6445)&gt;0,"✓","⚠ add to Campaigns tab"))</f>
        <v/>
      </c>
      <c r="I6445" s="84" t="str">
        <f aca="false">IF(C6445="","",C6445*IF(Settings!$B$23=Settings!$C$6,1,IF(Settings!$B$23="USD",1/INDEX(Settings!$B$29:$B$40,MONTH(A6445)),INDEX(Settings!$B$29:$B$40,MONTH(A6445)))))</f>
        <v/>
      </c>
    </row>
    <row r="6446" customFormat="false" ht="15" hidden="false" customHeight="false" outlineLevel="0" collapsed="false">
      <c r="H6446" s="0" t="str">
        <f aca="false">IF(B6446="","",IF(COUNTIF(Campaigns!$A$7:$A$300,B6446)&gt;0,"✓","⚠ add to Campaigns tab"))</f>
        <v/>
      </c>
      <c r="I6446" s="84" t="str">
        <f aca="false">IF(C6446="","",C6446*IF(Settings!$B$23=Settings!$C$6,1,IF(Settings!$B$23="USD",1/INDEX(Settings!$B$29:$B$40,MONTH(A6446)),INDEX(Settings!$B$29:$B$40,MONTH(A6446)))))</f>
        <v/>
      </c>
    </row>
    <row r="6447" customFormat="false" ht="15" hidden="false" customHeight="false" outlineLevel="0" collapsed="false">
      <c r="H6447" s="0" t="str">
        <f aca="false">IF(B6447="","",IF(COUNTIF(Campaigns!$A$7:$A$300,B6447)&gt;0,"✓","⚠ add to Campaigns tab"))</f>
        <v/>
      </c>
      <c r="I6447" s="84" t="str">
        <f aca="false">IF(C6447="","",C6447*IF(Settings!$B$23=Settings!$C$6,1,IF(Settings!$B$23="USD",1/INDEX(Settings!$B$29:$B$40,MONTH(A6447)),INDEX(Settings!$B$29:$B$40,MONTH(A6447)))))</f>
        <v/>
      </c>
    </row>
    <row r="6448" customFormat="false" ht="15" hidden="false" customHeight="false" outlineLevel="0" collapsed="false">
      <c r="H6448" s="0" t="str">
        <f aca="false">IF(B6448="","",IF(COUNTIF(Campaigns!$A$7:$A$300,B6448)&gt;0,"✓","⚠ add to Campaigns tab"))</f>
        <v/>
      </c>
      <c r="I6448" s="84" t="str">
        <f aca="false">IF(C6448="","",C6448*IF(Settings!$B$23=Settings!$C$6,1,IF(Settings!$B$23="USD",1/INDEX(Settings!$B$29:$B$40,MONTH(A6448)),INDEX(Settings!$B$29:$B$40,MONTH(A6448)))))</f>
        <v/>
      </c>
    </row>
    <row r="6449" customFormat="false" ht="15" hidden="false" customHeight="false" outlineLevel="0" collapsed="false">
      <c r="H6449" s="0" t="str">
        <f aca="false">IF(B6449="","",IF(COUNTIF(Campaigns!$A$7:$A$300,B6449)&gt;0,"✓","⚠ add to Campaigns tab"))</f>
        <v/>
      </c>
      <c r="I6449" s="84" t="str">
        <f aca="false">IF(C6449="","",C6449*IF(Settings!$B$23=Settings!$C$6,1,IF(Settings!$B$23="USD",1/INDEX(Settings!$B$29:$B$40,MONTH(A6449)),INDEX(Settings!$B$29:$B$40,MONTH(A6449)))))</f>
        <v/>
      </c>
    </row>
    <row r="6450" customFormat="false" ht="15" hidden="false" customHeight="false" outlineLevel="0" collapsed="false">
      <c r="H6450" s="0" t="str">
        <f aca="false">IF(B6450="","",IF(COUNTIF(Campaigns!$A$7:$A$300,B6450)&gt;0,"✓","⚠ add to Campaigns tab"))</f>
        <v/>
      </c>
      <c r="I6450" s="84" t="str">
        <f aca="false">IF(C6450="","",C6450*IF(Settings!$B$23=Settings!$C$6,1,IF(Settings!$B$23="USD",1/INDEX(Settings!$B$29:$B$40,MONTH(A6450)),INDEX(Settings!$B$29:$B$40,MONTH(A6450)))))</f>
        <v/>
      </c>
    </row>
    <row r="6451" customFormat="false" ht="15" hidden="false" customHeight="false" outlineLevel="0" collapsed="false">
      <c r="H6451" s="0" t="str">
        <f aca="false">IF(B6451="","",IF(COUNTIF(Campaigns!$A$7:$A$300,B6451)&gt;0,"✓","⚠ add to Campaigns tab"))</f>
        <v/>
      </c>
      <c r="I6451" s="84" t="str">
        <f aca="false">IF(C6451="","",C6451*IF(Settings!$B$23=Settings!$C$6,1,IF(Settings!$B$23="USD",1/INDEX(Settings!$B$29:$B$40,MONTH(A6451)),INDEX(Settings!$B$29:$B$40,MONTH(A6451)))))</f>
        <v/>
      </c>
    </row>
    <row r="6452" customFormat="false" ht="15" hidden="false" customHeight="false" outlineLevel="0" collapsed="false">
      <c r="H6452" s="0" t="str">
        <f aca="false">IF(B6452="","",IF(COUNTIF(Campaigns!$A$7:$A$300,B6452)&gt;0,"✓","⚠ add to Campaigns tab"))</f>
        <v/>
      </c>
      <c r="I6452" s="84" t="str">
        <f aca="false">IF(C6452="","",C6452*IF(Settings!$B$23=Settings!$C$6,1,IF(Settings!$B$23="USD",1/INDEX(Settings!$B$29:$B$40,MONTH(A6452)),INDEX(Settings!$B$29:$B$40,MONTH(A6452)))))</f>
        <v/>
      </c>
    </row>
    <row r="6453" customFormat="false" ht="15" hidden="false" customHeight="false" outlineLevel="0" collapsed="false">
      <c r="H6453" s="0" t="str">
        <f aca="false">IF(B6453="","",IF(COUNTIF(Campaigns!$A$7:$A$300,B6453)&gt;0,"✓","⚠ add to Campaigns tab"))</f>
        <v/>
      </c>
      <c r="I6453" s="84" t="str">
        <f aca="false">IF(C6453="","",C6453*IF(Settings!$B$23=Settings!$C$6,1,IF(Settings!$B$23="USD",1/INDEX(Settings!$B$29:$B$40,MONTH(A6453)),INDEX(Settings!$B$29:$B$40,MONTH(A6453)))))</f>
        <v/>
      </c>
    </row>
    <row r="6454" customFormat="false" ht="15" hidden="false" customHeight="false" outlineLevel="0" collapsed="false">
      <c r="H6454" s="0" t="str">
        <f aca="false">IF(B6454="","",IF(COUNTIF(Campaigns!$A$7:$A$300,B6454)&gt;0,"✓","⚠ add to Campaigns tab"))</f>
        <v/>
      </c>
      <c r="I6454" s="84" t="str">
        <f aca="false">IF(C6454="","",C6454*IF(Settings!$B$23=Settings!$C$6,1,IF(Settings!$B$23="USD",1/INDEX(Settings!$B$29:$B$40,MONTH(A6454)),INDEX(Settings!$B$29:$B$40,MONTH(A6454)))))</f>
        <v/>
      </c>
    </row>
    <row r="6455" customFormat="false" ht="15" hidden="false" customHeight="false" outlineLevel="0" collapsed="false">
      <c r="H6455" s="0" t="str">
        <f aca="false">IF(B6455="","",IF(COUNTIF(Campaigns!$A$7:$A$300,B6455)&gt;0,"✓","⚠ add to Campaigns tab"))</f>
        <v/>
      </c>
      <c r="I6455" s="84" t="str">
        <f aca="false">IF(C6455="","",C6455*IF(Settings!$B$23=Settings!$C$6,1,IF(Settings!$B$23="USD",1/INDEX(Settings!$B$29:$B$40,MONTH(A6455)),INDEX(Settings!$B$29:$B$40,MONTH(A6455)))))</f>
        <v/>
      </c>
    </row>
    <row r="6456" customFormat="false" ht="15" hidden="false" customHeight="false" outlineLevel="0" collapsed="false">
      <c r="H6456" s="0" t="str">
        <f aca="false">IF(B6456="","",IF(COUNTIF(Campaigns!$A$7:$A$300,B6456)&gt;0,"✓","⚠ add to Campaigns tab"))</f>
        <v/>
      </c>
      <c r="I6456" s="84" t="str">
        <f aca="false">IF(C6456="","",C6456*IF(Settings!$B$23=Settings!$C$6,1,IF(Settings!$B$23="USD",1/INDEX(Settings!$B$29:$B$40,MONTH(A6456)),INDEX(Settings!$B$29:$B$40,MONTH(A6456)))))</f>
        <v/>
      </c>
    </row>
    <row r="6457" customFormat="false" ht="15" hidden="false" customHeight="false" outlineLevel="0" collapsed="false">
      <c r="H6457" s="0" t="str">
        <f aca="false">IF(B6457="","",IF(COUNTIF(Campaigns!$A$7:$A$300,B6457)&gt;0,"✓","⚠ add to Campaigns tab"))</f>
        <v/>
      </c>
      <c r="I6457" s="84" t="str">
        <f aca="false">IF(C6457="","",C6457*IF(Settings!$B$23=Settings!$C$6,1,IF(Settings!$B$23="USD",1/INDEX(Settings!$B$29:$B$40,MONTH(A6457)),INDEX(Settings!$B$29:$B$40,MONTH(A6457)))))</f>
        <v/>
      </c>
    </row>
    <row r="6458" customFormat="false" ht="15" hidden="false" customHeight="false" outlineLevel="0" collapsed="false">
      <c r="H6458" s="0" t="str">
        <f aca="false">IF(B6458="","",IF(COUNTIF(Campaigns!$A$7:$A$300,B6458)&gt;0,"✓","⚠ add to Campaigns tab"))</f>
        <v/>
      </c>
      <c r="I6458" s="84" t="str">
        <f aca="false">IF(C6458="","",C6458*IF(Settings!$B$23=Settings!$C$6,1,IF(Settings!$B$23="USD",1/INDEX(Settings!$B$29:$B$40,MONTH(A6458)),INDEX(Settings!$B$29:$B$40,MONTH(A6458)))))</f>
        <v/>
      </c>
    </row>
    <row r="6459" customFormat="false" ht="15" hidden="false" customHeight="false" outlineLevel="0" collapsed="false">
      <c r="H6459" s="0" t="str">
        <f aca="false">IF(B6459="","",IF(COUNTIF(Campaigns!$A$7:$A$300,B6459)&gt;0,"✓","⚠ add to Campaigns tab"))</f>
        <v/>
      </c>
      <c r="I6459" s="84" t="str">
        <f aca="false">IF(C6459="","",C6459*IF(Settings!$B$23=Settings!$C$6,1,IF(Settings!$B$23="USD",1/INDEX(Settings!$B$29:$B$40,MONTH(A6459)),INDEX(Settings!$B$29:$B$40,MONTH(A6459)))))</f>
        <v/>
      </c>
    </row>
    <row r="6460" customFormat="false" ht="15" hidden="false" customHeight="false" outlineLevel="0" collapsed="false">
      <c r="H6460" s="0" t="str">
        <f aca="false">IF(B6460="","",IF(COUNTIF(Campaigns!$A$7:$A$300,B6460)&gt;0,"✓","⚠ add to Campaigns tab"))</f>
        <v/>
      </c>
      <c r="I6460" s="84" t="str">
        <f aca="false">IF(C6460="","",C6460*IF(Settings!$B$23=Settings!$C$6,1,IF(Settings!$B$23="USD",1/INDEX(Settings!$B$29:$B$40,MONTH(A6460)),INDEX(Settings!$B$29:$B$40,MONTH(A6460)))))</f>
        <v/>
      </c>
    </row>
    <row r="6461" customFormat="false" ht="15" hidden="false" customHeight="false" outlineLevel="0" collapsed="false">
      <c r="H6461" s="0" t="str">
        <f aca="false">IF(B6461="","",IF(COUNTIF(Campaigns!$A$7:$A$300,B6461)&gt;0,"✓","⚠ add to Campaigns tab"))</f>
        <v/>
      </c>
      <c r="I6461" s="84" t="str">
        <f aca="false">IF(C6461="","",C6461*IF(Settings!$B$23=Settings!$C$6,1,IF(Settings!$B$23="USD",1/INDEX(Settings!$B$29:$B$40,MONTH(A6461)),INDEX(Settings!$B$29:$B$40,MONTH(A6461)))))</f>
        <v/>
      </c>
    </row>
    <row r="6462" customFormat="false" ht="15" hidden="false" customHeight="false" outlineLevel="0" collapsed="false">
      <c r="H6462" s="0" t="str">
        <f aca="false">IF(B6462="","",IF(COUNTIF(Campaigns!$A$7:$A$300,B6462)&gt;0,"✓","⚠ add to Campaigns tab"))</f>
        <v/>
      </c>
      <c r="I6462" s="84" t="str">
        <f aca="false">IF(C6462="","",C6462*IF(Settings!$B$23=Settings!$C$6,1,IF(Settings!$B$23="USD",1/INDEX(Settings!$B$29:$B$40,MONTH(A6462)),INDEX(Settings!$B$29:$B$40,MONTH(A6462)))))</f>
        <v/>
      </c>
    </row>
    <row r="6463" customFormat="false" ht="15" hidden="false" customHeight="false" outlineLevel="0" collapsed="false">
      <c r="H6463" s="0" t="str">
        <f aca="false">IF(B6463="","",IF(COUNTIF(Campaigns!$A$7:$A$300,B6463)&gt;0,"✓","⚠ add to Campaigns tab"))</f>
        <v/>
      </c>
      <c r="I6463" s="84" t="str">
        <f aca="false">IF(C6463="","",C6463*IF(Settings!$B$23=Settings!$C$6,1,IF(Settings!$B$23="USD",1/INDEX(Settings!$B$29:$B$40,MONTH(A6463)),INDEX(Settings!$B$29:$B$40,MONTH(A6463)))))</f>
        <v/>
      </c>
    </row>
    <row r="6464" customFormat="false" ht="15" hidden="false" customHeight="false" outlineLevel="0" collapsed="false">
      <c r="H6464" s="0" t="str">
        <f aca="false">IF(B6464="","",IF(COUNTIF(Campaigns!$A$7:$A$300,B6464)&gt;0,"✓","⚠ add to Campaigns tab"))</f>
        <v/>
      </c>
      <c r="I6464" s="84" t="str">
        <f aca="false">IF(C6464="","",C6464*IF(Settings!$B$23=Settings!$C$6,1,IF(Settings!$B$23="USD",1/INDEX(Settings!$B$29:$B$40,MONTH(A6464)),INDEX(Settings!$B$29:$B$40,MONTH(A6464)))))</f>
        <v/>
      </c>
    </row>
    <row r="6465" customFormat="false" ht="15" hidden="false" customHeight="false" outlineLevel="0" collapsed="false">
      <c r="H6465" s="0" t="str">
        <f aca="false">IF(B6465="","",IF(COUNTIF(Campaigns!$A$7:$A$300,B6465)&gt;0,"✓","⚠ add to Campaigns tab"))</f>
        <v/>
      </c>
      <c r="I6465" s="84" t="str">
        <f aca="false">IF(C6465="","",C6465*IF(Settings!$B$23=Settings!$C$6,1,IF(Settings!$B$23="USD",1/INDEX(Settings!$B$29:$B$40,MONTH(A6465)),INDEX(Settings!$B$29:$B$40,MONTH(A6465)))))</f>
        <v/>
      </c>
    </row>
    <row r="6466" customFormat="false" ht="15" hidden="false" customHeight="false" outlineLevel="0" collapsed="false">
      <c r="H6466" s="0" t="str">
        <f aca="false">IF(B6466="","",IF(COUNTIF(Campaigns!$A$7:$A$300,B6466)&gt;0,"✓","⚠ add to Campaigns tab"))</f>
        <v/>
      </c>
      <c r="I6466" s="84" t="str">
        <f aca="false">IF(C6466="","",C6466*IF(Settings!$B$23=Settings!$C$6,1,IF(Settings!$B$23="USD",1/INDEX(Settings!$B$29:$B$40,MONTH(A6466)),INDEX(Settings!$B$29:$B$40,MONTH(A6466)))))</f>
        <v/>
      </c>
    </row>
    <row r="6467" customFormat="false" ht="15" hidden="false" customHeight="false" outlineLevel="0" collapsed="false">
      <c r="H6467" s="0" t="str">
        <f aca="false">IF(B6467="","",IF(COUNTIF(Campaigns!$A$7:$A$300,B6467)&gt;0,"✓","⚠ add to Campaigns tab"))</f>
        <v/>
      </c>
      <c r="I6467" s="84" t="str">
        <f aca="false">IF(C6467="","",C6467*IF(Settings!$B$23=Settings!$C$6,1,IF(Settings!$B$23="USD",1/INDEX(Settings!$B$29:$B$40,MONTH(A6467)),INDEX(Settings!$B$29:$B$40,MONTH(A6467)))))</f>
        <v/>
      </c>
    </row>
    <row r="6468" customFormat="false" ht="15" hidden="false" customHeight="false" outlineLevel="0" collapsed="false">
      <c r="H6468" s="0" t="str">
        <f aca="false">IF(B6468="","",IF(COUNTIF(Campaigns!$A$7:$A$300,B6468)&gt;0,"✓","⚠ add to Campaigns tab"))</f>
        <v/>
      </c>
      <c r="I6468" s="84" t="str">
        <f aca="false">IF(C6468="","",C6468*IF(Settings!$B$23=Settings!$C$6,1,IF(Settings!$B$23="USD",1/INDEX(Settings!$B$29:$B$40,MONTH(A6468)),INDEX(Settings!$B$29:$B$40,MONTH(A6468)))))</f>
        <v/>
      </c>
    </row>
    <row r="6469" customFormat="false" ht="15" hidden="false" customHeight="false" outlineLevel="0" collapsed="false">
      <c r="H6469" s="0" t="str">
        <f aca="false">IF(B6469="","",IF(COUNTIF(Campaigns!$A$7:$A$300,B6469)&gt;0,"✓","⚠ add to Campaigns tab"))</f>
        <v/>
      </c>
      <c r="I6469" s="84" t="str">
        <f aca="false">IF(C6469="","",C6469*IF(Settings!$B$23=Settings!$C$6,1,IF(Settings!$B$23="USD",1/INDEX(Settings!$B$29:$B$40,MONTH(A6469)),INDEX(Settings!$B$29:$B$40,MONTH(A6469)))))</f>
        <v/>
      </c>
    </row>
    <row r="6470" customFormat="false" ht="15" hidden="false" customHeight="false" outlineLevel="0" collapsed="false">
      <c r="H6470" s="0" t="str">
        <f aca="false">IF(B6470="","",IF(COUNTIF(Campaigns!$A$7:$A$300,B6470)&gt;0,"✓","⚠ add to Campaigns tab"))</f>
        <v/>
      </c>
      <c r="I6470" s="84" t="str">
        <f aca="false">IF(C6470="","",C6470*IF(Settings!$B$23=Settings!$C$6,1,IF(Settings!$B$23="USD",1/INDEX(Settings!$B$29:$B$40,MONTH(A6470)),INDEX(Settings!$B$29:$B$40,MONTH(A6470)))))</f>
        <v/>
      </c>
    </row>
    <row r="6471" customFormat="false" ht="15" hidden="false" customHeight="false" outlineLevel="0" collapsed="false">
      <c r="H6471" s="0" t="str">
        <f aca="false">IF(B6471="","",IF(COUNTIF(Campaigns!$A$7:$A$300,B6471)&gt;0,"✓","⚠ add to Campaigns tab"))</f>
        <v/>
      </c>
      <c r="I6471" s="84" t="str">
        <f aca="false">IF(C6471="","",C6471*IF(Settings!$B$23=Settings!$C$6,1,IF(Settings!$B$23="USD",1/INDEX(Settings!$B$29:$B$40,MONTH(A6471)),INDEX(Settings!$B$29:$B$40,MONTH(A6471)))))</f>
        <v/>
      </c>
    </row>
    <row r="6472" customFormat="false" ht="15" hidden="false" customHeight="false" outlineLevel="0" collapsed="false">
      <c r="H6472" s="0" t="str">
        <f aca="false">IF(B6472="","",IF(COUNTIF(Campaigns!$A$7:$A$300,B6472)&gt;0,"✓","⚠ add to Campaigns tab"))</f>
        <v/>
      </c>
      <c r="I6472" s="84" t="str">
        <f aca="false">IF(C6472="","",C6472*IF(Settings!$B$23=Settings!$C$6,1,IF(Settings!$B$23="USD",1/INDEX(Settings!$B$29:$B$40,MONTH(A6472)),INDEX(Settings!$B$29:$B$40,MONTH(A6472)))))</f>
        <v/>
      </c>
    </row>
    <row r="6473" customFormat="false" ht="15" hidden="false" customHeight="false" outlineLevel="0" collapsed="false">
      <c r="H6473" s="0" t="str">
        <f aca="false">IF(B6473="","",IF(COUNTIF(Campaigns!$A$7:$A$300,B6473)&gt;0,"✓","⚠ add to Campaigns tab"))</f>
        <v/>
      </c>
      <c r="I6473" s="84" t="str">
        <f aca="false">IF(C6473="","",C6473*IF(Settings!$B$23=Settings!$C$6,1,IF(Settings!$B$23="USD",1/INDEX(Settings!$B$29:$B$40,MONTH(A6473)),INDEX(Settings!$B$29:$B$40,MONTH(A6473)))))</f>
        <v/>
      </c>
    </row>
    <row r="6474" customFormat="false" ht="15" hidden="false" customHeight="false" outlineLevel="0" collapsed="false">
      <c r="H6474" s="0" t="str">
        <f aca="false">IF(B6474="","",IF(COUNTIF(Campaigns!$A$7:$A$300,B6474)&gt;0,"✓","⚠ add to Campaigns tab"))</f>
        <v/>
      </c>
      <c r="I6474" s="84" t="str">
        <f aca="false">IF(C6474="","",C6474*IF(Settings!$B$23=Settings!$C$6,1,IF(Settings!$B$23="USD",1/INDEX(Settings!$B$29:$B$40,MONTH(A6474)),INDEX(Settings!$B$29:$B$40,MONTH(A6474)))))</f>
        <v/>
      </c>
    </row>
    <row r="6475" customFormat="false" ht="15" hidden="false" customHeight="false" outlineLevel="0" collapsed="false">
      <c r="H6475" s="0" t="str">
        <f aca="false">IF(B6475="","",IF(COUNTIF(Campaigns!$A$7:$A$300,B6475)&gt;0,"✓","⚠ add to Campaigns tab"))</f>
        <v/>
      </c>
      <c r="I6475" s="84" t="str">
        <f aca="false">IF(C6475="","",C6475*IF(Settings!$B$23=Settings!$C$6,1,IF(Settings!$B$23="USD",1/INDEX(Settings!$B$29:$B$40,MONTH(A6475)),INDEX(Settings!$B$29:$B$40,MONTH(A6475)))))</f>
        <v/>
      </c>
    </row>
    <row r="6476" customFormat="false" ht="15" hidden="false" customHeight="false" outlineLevel="0" collapsed="false">
      <c r="H6476" s="0" t="str">
        <f aca="false">IF(B6476="","",IF(COUNTIF(Campaigns!$A$7:$A$300,B6476)&gt;0,"✓","⚠ add to Campaigns tab"))</f>
        <v/>
      </c>
      <c r="I6476" s="84" t="str">
        <f aca="false">IF(C6476="","",C6476*IF(Settings!$B$23=Settings!$C$6,1,IF(Settings!$B$23="USD",1/INDEX(Settings!$B$29:$B$40,MONTH(A6476)),INDEX(Settings!$B$29:$B$40,MONTH(A6476)))))</f>
        <v/>
      </c>
    </row>
    <row r="6477" customFormat="false" ht="15" hidden="false" customHeight="false" outlineLevel="0" collapsed="false">
      <c r="H6477" s="0" t="str">
        <f aca="false">IF(B6477="","",IF(COUNTIF(Campaigns!$A$7:$A$300,B6477)&gt;0,"✓","⚠ add to Campaigns tab"))</f>
        <v/>
      </c>
      <c r="I6477" s="84" t="str">
        <f aca="false">IF(C6477="","",C6477*IF(Settings!$B$23=Settings!$C$6,1,IF(Settings!$B$23="USD",1/INDEX(Settings!$B$29:$B$40,MONTH(A6477)),INDEX(Settings!$B$29:$B$40,MONTH(A6477)))))</f>
        <v/>
      </c>
    </row>
    <row r="6478" customFormat="false" ht="15" hidden="false" customHeight="false" outlineLevel="0" collapsed="false">
      <c r="H6478" s="0" t="str">
        <f aca="false">IF(B6478="","",IF(COUNTIF(Campaigns!$A$7:$A$300,B6478)&gt;0,"✓","⚠ add to Campaigns tab"))</f>
        <v/>
      </c>
      <c r="I6478" s="84" t="str">
        <f aca="false">IF(C6478="","",C6478*IF(Settings!$B$23=Settings!$C$6,1,IF(Settings!$B$23="USD",1/INDEX(Settings!$B$29:$B$40,MONTH(A6478)),INDEX(Settings!$B$29:$B$40,MONTH(A6478)))))</f>
        <v/>
      </c>
    </row>
    <row r="6479" customFormat="false" ht="15" hidden="false" customHeight="false" outlineLevel="0" collapsed="false">
      <c r="H6479" s="0" t="str">
        <f aca="false">IF(B6479="","",IF(COUNTIF(Campaigns!$A$7:$A$300,B6479)&gt;0,"✓","⚠ add to Campaigns tab"))</f>
        <v/>
      </c>
      <c r="I6479" s="84" t="str">
        <f aca="false">IF(C6479="","",C6479*IF(Settings!$B$23=Settings!$C$6,1,IF(Settings!$B$23="USD",1/INDEX(Settings!$B$29:$B$40,MONTH(A6479)),INDEX(Settings!$B$29:$B$40,MONTH(A6479)))))</f>
        <v/>
      </c>
    </row>
    <row r="6480" customFormat="false" ht="15" hidden="false" customHeight="false" outlineLevel="0" collapsed="false">
      <c r="H6480" s="0" t="str">
        <f aca="false">IF(B6480="","",IF(COUNTIF(Campaigns!$A$7:$A$300,B6480)&gt;0,"✓","⚠ add to Campaigns tab"))</f>
        <v/>
      </c>
      <c r="I6480" s="84" t="str">
        <f aca="false">IF(C6480="","",C6480*IF(Settings!$B$23=Settings!$C$6,1,IF(Settings!$B$23="USD",1/INDEX(Settings!$B$29:$B$40,MONTH(A6480)),INDEX(Settings!$B$29:$B$40,MONTH(A6480)))))</f>
        <v/>
      </c>
    </row>
    <row r="6481" customFormat="false" ht="15" hidden="false" customHeight="false" outlineLevel="0" collapsed="false">
      <c r="H6481" s="0" t="str">
        <f aca="false">IF(B6481="","",IF(COUNTIF(Campaigns!$A$7:$A$300,B6481)&gt;0,"✓","⚠ add to Campaigns tab"))</f>
        <v/>
      </c>
      <c r="I6481" s="84" t="str">
        <f aca="false">IF(C6481="","",C6481*IF(Settings!$B$23=Settings!$C$6,1,IF(Settings!$B$23="USD",1/INDEX(Settings!$B$29:$B$40,MONTH(A6481)),INDEX(Settings!$B$29:$B$40,MONTH(A6481)))))</f>
        <v/>
      </c>
    </row>
    <row r="6482" customFormat="false" ht="15" hidden="false" customHeight="false" outlineLevel="0" collapsed="false">
      <c r="H6482" s="0" t="str">
        <f aca="false">IF(B6482="","",IF(COUNTIF(Campaigns!$A$7:$A$300,B6482)&gt;0,"✓","⚠ add to Campaigns tab"))</f>
        <v/>
      </c>
      <c r="I6482" s="84" t="str">
        <f aca="false">IF(C6482="","",C6482*IF(Settings!$B$23=Settings!$C$6,1,IF(Settings!$B$23="USD",1/INDEX(Settings!$B$29:$B$40,MONTH(A6482)),INDEX(Settings!$B$29:$B$40,MONTH(A6482)))))</f>
        <v/>
      </c>
    </row>
    <row r="6483" customFormat="false" ht="15" hidden="false" customHeight="false" outlineLevel="0" collapsed="false">
      <c r="H6483" s="0" t="str">
        <f aca="false">IF(B6483="","",IF(COUNTIF(Campaigns!$A$7:$A$300,B6483)&gt;0,"✓","⚠ add to Campaigns tab"))</f>
        <v/>
      </c>
      <c r="I6483" s="84" t="str">
        <f aca="false">IF(C6483="","",C6483*IF(Settings!$B$23=Settings!$C$6,1,IF(Settings!$B$23="USD",1/INDEX(Settings!$B$29:$B$40,MONTH(A6483)),INDEX(Settings!$B$29:$B$40,MONTH(A6483)))))</f>
        <v/>
      </c>
    </row>
    <row r="6484" customFormat="false" ht="15" hidden="false" customHeight="false" outlineLevel="0" collapsed="false">
      <c r="H6484" s="0" t="str">
        <f aca="false">IF(B6484="","",IF(COUNTIF(Campaigns!$A$7:$A$300,B6484)&gt;0,"✓","⚠ add to Campaigns tab"))</f>
        <v/>
      </c>
      <c r="I6484" s="84" t="str">
        <f aca="false">IF(C6484="","",C6484*IF(Settings!$B$23=Settings!$C$6,1,IF(Settings!$B$23="USD",1/INDEX(Settings!$B$29:$B$40,MONTH(A6484)),INDEX(Settings!$B$29:$B$40,MONTH(A6484)))))</f>
        <v/>
      </c>
    </row>
    <row r="6485" customFormat="false" ht="15" hidden="false" customHeight="false" outlineLevel="0" collapsed="false">
      <c r="H6485" s="0" t="str">
        <f aca="false">IF(B6485="","",IF(COUNTIF(Campaigns!$A$7:$A$300,B6485)&gt;0,"✓","⚠ add to Campaigns tab"))</f>
        <v/>
      </c>
      <c r="I6485" s="84" t="str">
        <f aca="false">IF(C6485="","",C6485*IF(Settings!$B$23=Settings!$C$6,1,IF(Settings!$B$23="USD",1/INDEX(Settings!$B$29:$B$40,MONTH(A6485)),INDEX(Settings!$B$29:$B$40,MONTH(A6485)))))</f>
        <v/>
      </c>
    </row>
    <row r="6486" customFormat="false" ht="15" hidden="false" customHeight="false" outlineLevel="0" collapsed="false">
      <c r="H6486" s="0" t="str">
        <f aca="false">IF(B6486="","",IF(COUNTIF(Campaigns!$A$7:$A$300,B6486)&gt;0,"✓","⚠ add to Campaigns tab"))</f>
        <v/>
      </c>
      <c r="I6486" s="84" t="str">
        <f aca="false">IF(C6486="","",C6486*IF(Settings!$B$23=Settings!$C$6,1,IF(Settings!$B$23="USD",1/INDEX(Settings!$B$29:$B$40,MONTH(A6486)),INDEX(Settings!$B$29:$B$40,MONTH(A6486)))))</f>
        <v/>
      </c>
    </row>
    <row r="6487" customFormat="false" ht="15" hidden="false" customHeight="false" outlineLevel="0" collapsed="false">
      <c r="H6487" s="0" t="str">
        <f aca="false">IF(B6487="","",IF(COUNTIF(Campaigns!$A$7:$A$300,B6487)&gt;0,"✓","⚠ add to Campaigns tab"))</f>
        <v/>
      </c>
      <c r="I6487" s="84" t="str">
        <f aca="false">IF(C6487="","",C6487*IF(Settings!$B$23=Settings!$C$6,1,IF(Settings!$B$23="USD",1/INDEX(Settings!$B$29:$B$40,MONTH(A6487)),INDEX(Settings!$B$29:$B$40,MONTH(A6487)))))</f>
        <v/>
      </c>
    </row>
    <row r="6488" customFormat="false" ht="15" hidden="false" customHeight="false" outlineLevel="0" collapsed="false">
      <c r="H6488" s="0" t="str">
        <f aca="false">IF(B6488="","",IF(COUNTIF(Campaigns!$A$7:$A$300,B6488)&gt;0,"✓","⚠ add to Campaigns tab"))</f>
        <v/>
      </c>
      <c r="I6488" s="84" t="str">
        <f aca="false">IF(C6488="","",C6488*IF(Settings!$B$23=Settings!$C$6,1,IF(Settings!$B$23="USD",1/INDEX(Settings!$B$29:$B$40,MONTH(A6488)),INDEX(Settings!$B$29:$B$40,MONTH(A6488)))))</f>
        <v/>
      </c>
    </row>
    <row r="6489" customFormat="false" ht="15" hidden="false" customHeight="false" outlineLevel="0" collapsed="false">
      <c r="H6489" s="0" t="str">
        <f aca="false">IF(B6489="","",IF(COUNTIF(Campaigns!$A$7:$A$300,B6489)&gt;0,"✓","⚠ add to Campaigns tab"))</f>
        <v/>
      </c>
      <c r="I6489" s="84" t="str">
        <f aca="false">IF(C6489="","",C6489*IF(Settings!$B$23=Settings!$C$6,1,IF(Settings!$B$23="USD",1/INDEX(Settings!$B$29:$B$40,MONTH(A6489)),INDEX(Settings!$B$29:$B$40,MONTH(A6489)))))</f>
        <v/>
      </c>
    </row>
    <row r="6490" customFormat="false" ht="15" hidden="false" customHeight="false" outlineLevel="0" collapsed="false">
      <c r="H6490" s="0" t="str">
        <f aca="false">IF(B6490="","",IF(COUNTIF(Campaigns!$A$7:$A$300,B6490)&gt;0,"✓","⚠ add to Campaigns tab"))</f>
        <v/>
      </c>
      <c r="I6490" s="84" t="str">
        <f aca="false">IF(C6490="","",C6490*IF(Settings!$B$23=Settings!$C$6,1,IF(Settings!$B$23="USD",1/INDEX(Settings!$B$29:$B$40,MONTH(A6490)),INDEX(Settings!$B$29:$B$40,MONTH(A6490)))))</f>
        <v/>
      </c>
    </row>
    <row r="6491" customFormat="false" ht="15" hidden="false" customHeight="false" outlineLevel="0" collapsed="false">
      <c r="H6491" s="0" t="str">
        <f aca="false">IF(B6491="","",IF(COUNTIF(Campaigns!$A$7:$A$300,B6491)&gt;0,"✓","⚠ add to Campaigns tab"))</f>
        <v/>
      </c>
      <c r="I6491" s="84" t="str">
        <f aca="false">IF(C6491="","",C6491*IF(Settings!$B$23=Settings!$C$6,1,IF(Settings!$B$23="USD",1/INDEX(Settings!$B$29:$B$40,MONTH(A6491)),INDEX(Settings!$B$29:$B$40,MONTH(A6491)))))</f>
        <v/>
      </c>
    </row>
    <row r="6492" customFormat="false" ht="15" hidden="false" customHeight="false" outlineLevel="0" collapsed="false">
      <c r="H6492" s="0" t="str">
        <f aca="false">IF(B6492="","",IF(COUNTIF(Campaigns!$A$7:$A$300,B6492)&gt;0,"✓","⚠ add to Campaigns tab"))</f>
        <v/>
      </c>
      <c r="I6492" s="84" t="str">
        <f aca="false">IF(C6492="","",C6492*IF(Settings!$B$23=Settings!$C$6,1,IF(Settings!$B$23="USD",1/INDEX(Settings!$B$29:$B$40,MONTH(A6492)),INDEX(Settings!$B$29:$B$40,MONTH(A6492)))))</f>
        <v/>
      </c>
    </row>
    <row r="6493" customFormat="false" ht="15" hidden="false" customHeight="false" outlineLevel="0" collapsed="false">
      <c r="H6493" s="0" t="str">
        <f aca="false">IF(B6493="","",IF(COUNTIF(Campaigns!$A$7:$A$300,B6493)&gt;0,"✓","⚠ add to Campaigns tab"))</f>
        <v/>
      </c>
      <c r="I6493" s="84" t="str">
        <f aca="false">IF(C6493="","",C6493*IF(Settings!$B$23=Settings!$C$6,1,IF(Settings!$B$23="USD",1/INDEX(Settings!$B$29:$B$40,MONTH(A6493)),INDEX(Settings!$B$29:$B$40,MONTH(A6493)))))</f>
        <v/>
      </c>
    </row>
    <row r="6494" customFormat="false" ht="15" hidden="false" customHeight="false" outlineLevel="0" collapsed="false">
      <c r="H6494" s="0" t="str">
        <f aca="false">IF(B6494="","",IF(COUNTIF(Campaigns!$A$7:$A$300,B6494)&gt;0,"✓","⚠ add to Campaigns tab"))</f>
        <v/>
      </c>
      <c r="I6494" s="84" t="str">
        <f aca="false">IF(C6494="","",C6494*IF(Settings!$B$23=Settings!$C$6,1,IF(Settings!$B$23="USD",1/INDEX(Settings!$B$29:$B$40,MONTH(A6494)),INDEX(Settings!$B$29:$B$40,MONTH(A6494)))))</f>
        <v/>
      </c>
    </row>
    <row r="6495" customFormat="false" ht="15" hidden="false" customHeight="false" outlineLevel="0" collapsed="false">
      <c r="H6495" s="0" t="str">
        <f aca="false">IF(B6495="","",IF(COUNTIF(Campaigns!$A$7:$A$300,B6495)&gt;0,"✓","⚠ add to Campaigns tab"))</f>
        <v/>
      </c>
      <c r="I6495" s="84" t="str">
        <f aca="false">IF(C6495="","",C6495*IF(Settings!$B$23=Settings!$C$6,1,IF(Settings!$B$23="USD",1/INDEX(Settings!$B$29:$B$40,MONTH(A6495)),INDEX(Settings!$B$29:$B$40,MONTH(A6495)))))</f>
        <v/>
      </c>
    </row>
    <row r="6496" customFormat="false" ht="15" hidden="false" customHeight="false" outlineLevel="0" collapsed="false">
      <c r="H6496" s="0" t="str">
        <f aca="false">IF(B6496="","",IF(COUNTIF(Campaigns!$A$7:$A$300,B6496)&gt;0,"✓","⚠ add to Campaigns tab"))</f>
        <v/>
      </c>
      <c r="I6496" s="84" t="str">
        <f aca="false">IF(C6496="","",C6496*IF(Settings!$B$23=Settings!$C$6,1,IF(Settings!$B$23="USD",1/INDEX(Settings!$B$29:$B$40,MONTH(A6496)),INDEX(Settings!$B$29:$B$40,MONTH(A6496)))))</f>
        <v/>
      </c>
    </row>
    <row r="6497" customFormat="false" ht="15" hidden="false" customHeight="false" outlineLevel="0" collapsed="false">
      <c r="H6497" s="0" t="str">
        <f aca="false">IF(B6497="","",IF(COUNTIF(Campaigns!$A$7:$A$300,B6497)&gt;0,"✓","⚠ add to Campaigns tab"))</f>
        <v/>
      </c>
      <c r="I6497" s="84" t="str">
        <f aca="false">IF(C6497="","",C6497*IF(Settings!$B$23=Settings!$C$6,1,IF(Settings!$B$23="USD",1/INDEX(Settings!$B$29:$B$40,MONTH(A6497)),INDEX(Settings!$B$29:$B$40,MONTH(A6497)))))</f>
        <v/>
      </c>
    </row>
    <row r="6498" customFormat="false" ht="15" hidden="false" customHeight="false" outlineLevel="0" collapsed="false">
      <c r="H6498" s="0" t="str">
        <f aca="false">IF(B6498="","",IF(COUNTIF(Campaigns!$A$7:$A$300,B6498)&gt;0,"✓","⚠ add to Campaigns tab"))</f>
        <v/>
      </c>
      <c r="I6498" s="84" t="str">
        <f aca="false">IF(C6498="","",C6498*IF(Settings!$B$23=Settings!$C$6,1,IF(Settings!$B$23="USD",1/INDEX(Settings!$B$29:$B$40,MONTH(A6498)),INDEX(Settings!$B$29:$B$40,MONTH(A6498)))))</f>
        <v/>
      </c>
    </row>
    <row r="6499" customFormat="false" ht="15" hidden="false" customHeight="false" outlineLevel="0" collapsed="false">
      <c r="H6499" s="0" t="str">
        <f aca="false">IF(B6499="","",IF(COUNTIF(Campaigns!$A$7:$A$300,B6499)&gt;0,"✓","⚠ add to Campaigns tab"))</f>
        <v/>
      </c>
      <c r="I6499" s="84" t="str">
        <f aca="false">IF(C6499="","",C6499*IF(Settings!$B$23=Settings!$C$6,1,IF(Settings!$B$23="USD",1/INDEX(Settings!$B$29:$B$40,MONTH(A6499)),INDEX(Settings!$B$29:$B$40,MONTH(A6499)))))</f>
        <v/>
      </c>
    </row>
    <row r="6500" customFormat="false" ht="15" hidden="false" customHeight="false" outlineLevel="0" collapsed="false">
      <c r="H6500" s="0" t="str">
        <f aca="false">IF(B6500="","",IF(COUNTIF(Campaigns!$A$7:$A$300,B6500)&gt;0,"✓","⚠ add to Campaigns tab"))</f>
        <v/>
      </c>
      <c r="I6500" s="84" t="str">
        <f aca="false">IF(C6500="","",C6500*IF(Settings!$B$23=Settings!$C$6,1,IF(Settings!$B$23="USD",1/INDEX(Settings!$B$29:$B$40,MONTH(A6500)),INDEX(Settings!$B$29:$B$40,MONTH(A6500)))))</f>
        <v/>
      </c>
    </row>
    <row r="6501" customFormat="false" ht="15" hidden="false" customHeight="false" outlineLevel="0" collapsed="false">
      <c r="H6501" s="0" t="str">
        <f aca="false">IF(B6501="","",IF(COUNTIF(Campaigns!$A$7:$A$300,B6501)&gt;0,"✓","⚠ add to Campaigns tab"))</f>
        <v/>
      </c>
      <c r="I6501" s="84" t="str">
        <f aca="false">IF(C6501="","",C6501*IF(Settings!$B$23=Settings!$C$6,1,IF(Settings!$B$23="USD",1/INDEX(Settings!$B$29:$B$40,MONTH(A6501)),INDEX(Settings!$B$29:$B$40,MONTH(A6501)))))</f>
        <v/>
      </c>
    </row>
    <row r="6502" customFormat="false" ht="15" hidden="false" customHeight="false" outlineLevel="0" collapsed="false">
      <c r="H6502" s="0" t="str">
        <f aca="false">IF(B6502="","",IF(COUNTIF(Campaigns!$A$7:$A$300,B6502)&gt;0,"✓","⚠ add to Campaigns tab"))</f>
        <v/>
      </c>
      <c r="I6502" s="84" t="str">
        <f aca="false">IF(C6502="","",C6502*IF(Settings!$B$23=Settings!$C$6,1,IF(Settings!$B$23="USD",1/INDEX(Settings!$B$29:$B$40,MONTH(A6502)),INDEX(Settings!$B$29:$B$40,MONTH(A6502)))))</f>
        <v/>
      </c>
    </row>
    <row r="6503" customFormat="false" ht="15" hidden="false" customHeight="false" outlineLevel="0" collapsed="false">
      <c r="H6503" s="0" t="str">
        <f aca="false">IF(B6503="","",IF(COUNTIF(Campaigns!$A$7:$A$300,B6503)&gt;0,"✓","⚠ add to Campaigns tab"))</f>
        <v/>
      </c>
      <c r="I6503" s="84" t="str">
        <f aca="false">IF(C6503="","",C6503*IF(Settings!$B$23=Settings!$C$6,1,IF(Settings!$B$23="USD",1/INDEX(Settings!$B$29:$B$40,MONTH(A6503)),INDEX(Settings!$B$29:$B$40,MONTH(A6503)))))</f>
        <v/>
      </c>
    </row>
    <row r="6504" customFormat="false" ht="15" hidden="false" customHeight="false" outlineLevel="0" collapsed="false">
      <c r="H6504" s="0" t="str">
        <f aca="false">IF(B6504="","",IF(COUNTIF(Campaigns!$A$7:$A$300,B6504)&gt;0,"✓","⚠ add to Campaigns tab"))</f>
        <v/>
      </c>
      <c r="I6504" s="84" t="str">
        <f aca="false">IF(C6504="","",C6504*IF(Settings!$B$23=Settings!$C$6,1,IF(Settings!$B$23="USD",1/INDEX(Settings!$B$29:$B$40,MONTH(A6504)),INDEX(Settings!$B$29:$B$40,MONTH(A6504)))))</f>
        <v/>
      </c>
    </row>
    <row r="6505" customFormat="false" ht="15" hidden="false" customHeight="false" outlineLevel="0" collapsed="false">
      <c r="H6505" s="0" t="str">
        <f aca="false">IF(B6505="","",IF(COUNTIF(Campaigns!$A$7:$A$300,B6505)&gt;0,"✓","⚠ add to Campaigns tab"))</f>
        <v/>
      </c>
      <c r="I6505" s="84" t="str">
        <f aca="false">IF(C6505="","",C6505*IF(Settings!$B$23=Settings!$C$6,1,IF(Settings!$B$23="USD",1/INDEX(Settings!$B$29:$B$40,MONTH(A6505)),INDEX(Settings!$B$29:$B$40,MONTH(A6505)))))</f>
        <v/>
      </c>
    </row>
    <row r="6506" customFormat="false" ht="15" hidden="false" customHeight="false" outlineLevel="0" collapsed="false">
      <c r="H6506" s="0" t="str">
        <f aca="false">IF(B6506="","",IF(COUNTIF(Campaigns!$A$7:$A$300,B6506)&gt;0,"✓","⚠ add to Campaigns tab"))</f>
        <v/>
      </c>
      <c r="I6506" s="84" t="str">
        <f aca="false">IF(C6506="","",C6506*IF(Settings!$B$23=Settings!$C$6,1,IF(Settings!$B$23="USD",1/INDEX(Settings!$B$29:$B$40,MONTH(A6506)),INDEX(Settings!$B$29:$B$40,MONTH(A6506)))))</f>
        <v/>
      </c>
    </row>
    <row r="6507" customFormat="false" ht="15" hidden="false" customHeight="false" outlineLevel="0" collapsed="false">
      <c r="H6507" s="0" t="str">
        <f aca="false">IF(B6507="","",IF(COUNTIF(Campaigns!$A$7:$A$300,B6507)&gt;0,"✓","⚠ add to Campaigns tab"))</f>
        <v/>
      </c>
      <c r="I6507" s="84" t="str">
        <f aca="false">IF(C6507="","",C6507*IF(Settings!$B$23=Settings!$C$6,1,IF(Settings!$B$23="USD",1/INDEX(Settings!$B$29:$B$40,MONTH(A6507)),INDEX(Settings!$B$29:$B$40,MONTH(A6507)))))</f>
        <v/>
      </c>
    </row>
    <row r="6508" customFormat="false" ht="15" hidden="false" customHeight="false" outlineLevel="0" collapsed="false">
      <c r="H6508" s="0" t="str">
        <f aca="false">IF(B6508="","",IF(COUNTIF(Campaigns!$A$7:$A$300,B6508)&gt;0,"✓","⚠ add to Campaigns tab"))</f>
        <v/>
      </c>
      <c r="I6508" s="84" t="str">
        <f aca="false">IF(C6508="","",C6508*IF(Settings!$B$23=Settings!$C$6,1,IF(Settings!$B$23="USD",1/INDEX(Settings!$B$29:$B$40,MONTH(A6508)),INDEX(Settings!$B$29:$B$40,MONTH(A6508)))))</f>
        <v/>
      </c>
    </row>
    <row r="6509" customFormat="false" ht="15" hidden="false" customHeight="false" outlineLevel="0" collapsed="false">
      <c r="H6509" s="0" t="str">
        <f aca="false">IF(B6509="","",IF(COUNTIF(Campaigns!$A$7:$A$300,B6509)&gt;0,"✓","⚠ add to Campaigns tab"))</f>
        <v/>
      </c>
      <c r="I6509" s="84" t="str">
        <f aca="false">IF(C6509="","",C6509*IF(Settings!$B$23=Settings!$C$6,1,IF(Settings!$B$23="USD",1/INDEX(Settings!$B$29:$B$40,MONTH(A6509)),INDEX(Settings!$B$29:$B$40,MONTH(A6509)))))</f>
        <v/>
      </c>
    </row>
    <row r="6510" customFormat="false" ht="15" hidden="false" customHeight="false" outlineLevel="0" collapsed="false">
      <c r="H6510" s="0" t="str">
        <f aca="false">IF(B6510="","",IF(COUNTIF(Campaigns!$A$7:$A$300,B6510)&gt;0,"✓","⚠ add to Campaigns tab"))</f>
        <v/>
      </c>
      <c r="I6510" s="84" t="str">
        <f aca="false">IF(C6510="","",C6510*IF(Settings!$B$23=Settings!$C$6,1,IF(Settings!$B$23="USD",1/INDEX(Settings!$B$29:$B$40,MONTH(A6510)),INDEX(Settings!$B$29:$B$40,MONTH(A6510)))))</f>
        <v/>
      </c>
    </row>
    <row r="6511" customFormat="false" ht="15" hidden="false" customHeight="false" outlineLevel="0" collapsed="false">
      <c r="H6511" s="0" t="str">
        <f aca="false">IF(B6511="","",IF(COUNTIF(Campaigns!$A$7:$A$300,B6511)&gt;0,"✓","⚠ add to Campaigns tab"))</f>
        <v/>
      </c>
      <c r="I6511" s="84" t="str">
        <f aca="false">IF(C6511="","",C6511*IF(Settings!$B$23=Settings!$C$6,1,IF(Settings!$B$23="USD",1/INDEX(Settings!$B$29:$B$40,MONTH(A6511)),INDEX(Settings!$B$29:$B$40,MONTH(A6511)))))</f>
        <v/>
      </c>
    </row>
    <row r="6512" customFormat="false" ht="15" hidden="false" customHeight="false" outlineLevel="0" collapsed="false">
      <c r="H6512" s="0" t="str">
        <f aca="false">IF(B6512="","",IF(COUNTIF(Campaigns!$A$7:$A$300,B6512)&gt;0,"✓","⚠ add to Campaigns tab"))</f>
        <v/>
      </c>
      <c r="I6512" s="84" t="str">
        <f aca="false">IF(C6512="","",C6512*IF(Settings!$B$23=Settings!$C$6,1,IF(Settings!$B$23="USD",1/INDEX(Settings!$B$29:$B$40,MONTH(A6512)),INDEX(Settings!$B$29:$B$40,MONTH(A6512)))))</f>
        <v/>
      </c>
    </row>
    <row r="6513" customFormat="false" ht="15" hidden="false" customHeight="false" outlineLevel="0" collapsed="false">
      <c r="H6513" s="0" t="str">
        <f aca="false">IF(B6513="","",IF(COUNTIF(Campaigns!$A$7:$A$300,B6513)&gt;0,"✓","⚠ add to Campaigns tab"))</f>
        <v/>
      </c>
      <c r="I6513" s="84" t="str">
        <f aca="false">IF(C6513="","",C6513*IF(Settings!$B$23=Settings!$C$6,1,IF(Settings!$B$23="USD",1/INDEX(Settings!$B$29:$B$40,MONTH(A6513)),INDEX(Settings!$B$29:$B$40,MONTH(A6513)))))</f>
        <v/>
      </c>
    </row>
    <row r="6514" customFormat="false" ht="15" hidden="false" customHeight="false" outlineLevel="0" collapsed="false">
      <c r="H6514" s="0" t="str">
        <f aca="false">IF(B6514="","",IF(COUNTIF(Campaigns!$A$7:$A$300,B6514)&gt;0,"✓","⚠ add to Campaigns tab"))</f>
        <v/>
      </c>
      <c r="I6514" s="84" t="str">
        <f aca="false">IF(C6514="","",C6514*IF(Settings!$B$23=Settings!$C$6,1,IF(Settings!$B$23="USD",1/INDEX(Settings!$B$29:$B$40,MONTH(A6514)),INDEX(Settings!$B$29:$B$40,MONTH(A6514)))))</f>
        <v/>
      </c>
    </row>
    <row r="6515" customFormat="false" ht="15" hidden="false" customHeight="false" outlineLevel="0" collapsed="false">
      <c r="H6515" s="0" t="str">
        <f aca="false">IF(B6515="","",IF(COUNTIF(Campaigns!$A$7:$A$300,B6515)&gt;0,"✓","⚠ add to Campaigns tab"))</f>
        <v/>
      </c>
      <c r="I6515" s="84" t="str">
        <f aca="false">IF(C6515="","",C6515*IF(Settings!$B$23=Settings!$C$6,1,IF(Settings!$B$23="USD",1/INDEX(Settings!$B$29:$B$40,MONTH(A6515)),INDEX(Settings!$B$29:$B$40,MONTH(A6515)))))</f>
        <v/>
      </c>
    </row>
    <row r="6516" customFormat="false" ht="15" hidden="false" customHeight="false" outlineLevel="0" collapsed="false">
      <c r="H6516" s="0" t="str">
        <f aca="false">IF(B6516="","",IF(COUNTIF(Campaigns!$A$7:$A$300,B6516)&gt;0,"✓","⚠ add to Campaigns tab"))</f>
        <v/>
      </c>
      <c r="I6516" s="84" t="str">
        <f aca="false">IF(C6516="","",C6516*IF(Settings!$B$23=Settings!$C$6,1,IF(Settings!$B$23="USD",1/INDEX(Settings!$B$29:$B$40,MONTH(A6516)),INDEX(Settings!$B$29:$B$40,MONTH(A6516)))))</f>
        <v/>
      </c>
    </row>
    <row r="6517" customFormat="false" ht="15" hidden="false" customHeight="false" outlineLevel="0" collapsed="false">
      <c r="H6517" s="0" t="str">
        <f aca="false">IF(B6517="","",IF(COUNTIF(Campaigns!$A$7:$A$300,B6517)&gt;0,"✓","⚠ add to Campaigns tab"))</f>
        <v/>
      </c>
      <c r="I6517" s="84" t="str">
        <f aca="false">IF(C6517="","",C6517*IF(Settings!$B$23=Settings!$C$6,1,IF(Settings!$B$23="USD",1/INDEX(Settings!$B$29:$B$40,MONTH(A6517)),INDEX(Settings!$B$29:$B$40,MONTH(A6517)))))</f>
        <v/>
      </c>
    </row>
    <row r="6518" customFormat="false" ht="15" hidden="false" customHeight="false" outlineLevel="0" collapsed="false">
      <c r="H6518" s="0" t="str">
        <f aca="false">IF(B6518="","",IF(COUNTIF(Campaigns!$A$7:$A$300,B6518)&gt;0,"✓","⚠ add to Campaigns tab"))</f>
        <v/>
      </c>
      <c r="I6518" s="84" t="str">
        <f aca="false">IF(C6518="","",C6518*IF(Settings!$B$23=Settings!$C$6,1,IF(Settings!$B$23="USD",1/INDEX(Settings!$B$29:$B$40,MONTH(A6518)),INDEX(Settings!$B$29:$B$40,MONTH(A6518)))))</f>
        <v/>
      </c>
    </row>
    <row r="6519" customFormat="false" ht="15" hidden="false" customHeight="false" outlineLevel="0" collapsed="false">
      <c r="H6519" s="0" t="str">
        <f aca="false">IF(B6519="","",IF(COUNTIF(Campaigns!$A$7:$A$300,B6519)&gt;0,"✓","⚠ add to Campaigns tab"))</f>
        <v/>
      </c>
      <c r="I6519" s="84" t="str">
        <f aca="false">IF(C6519="","",C6519*IF(Settings!$B$23=Settings!$C$6,1,IF(Settings!$B$23="USD",1/INDEX(Settings!$B$29:$B$40,MONTH(A6519)),INDEX(Settings!$B$29:$B$40,MONTH(A6519)))))</f>
        <v/>
      </c>
    </row>
    <row r="6520" customFormat="false" ht="15" hidden="false" customHeight="false" outlineLevel="0" collapsed="false">
      <c r="H6520" s="0" t="str">
        <f aca="false">IF(B6520="","",IF(COUNTIF(Campaigns!$A$7:$A$300,B6520)&gt;0,"✓","⚠ add to Campaigns tab"))</f>
        <v/>
      </c>
      <c r="I6520" s="84" t="str">
        <f aca="false">IF(C6520="","",C6520*IF(Settings!$B$23=Settings!$C$6,1,IF(Settings!$B$23="USD",1/INDEX(Settings!$B$29:$B$40,MONTH(A6520)),INDEX(Settings!$B$29:$B$40,MONTH(A6520)))))</f>
        <v/>
      </c>
    </row>
    <row r="6521" customFormat="false" ht="15" hidden="false" customHeight="false" outlineLevel="0" collapsed="false">
      <c r="H6521" s="0" t="str">
        <f aca="false">IF(B6521="","",IF(COUNTIF(Campaigns!$A$7:$A$300,B6521)&gt;0,"✓","⚠ add to Campaigns tab"))</f>
        <v/>
      </c>
      <c r="I6521" s="84" t="str">
        <f aca="false">IF(C6521="","",C6521*IF(Settings!$B$23=Settings!$C$6,1,IF(Settings!$B$23="USD",1/INDEX(Settings!$B$29:$B$40,MONTH(A6521)),INDEX(Settings!$B$29:$B$40,MONTH(A6521)))))</f>
        <v/>
      </c>
    </row>
    <row r="6522" customFormat="false" ht="15" hidden="false" customHeight="false" outlineLevel="0" collapsed="false">
      <c r="H6522" s="0" t="str">
        <f aca="false">IF(B6522="","",IF(COUNTIF(Campaigns!$A$7:$A$300,B6522)&gt;0,"✓","⚠ add to Campaigns tab"))</f>
        <v/>
      </c>
      <c r="I6522" s="84" t="str">
        <f aca="false">IF(C6522="","",C6522*IF(Settings!$B$23=Settings!$C$6,1,IF(Settings!$B$23="USD",1/INDEX(Settings!$B$29:$B$40,MONTH(A6522)),INDEX(Settings!$B$29:$B$40,MONTH(A6522)))))</f>
        <v/>
      </c>
    </row>
    <row r="6523" customFormat="false" ht="15" hidden="false" customHeight="false" outlineLevel="0" collapsed="false">
      <c r="H6523" s="0" t="str">
        <f aca="false">IF(B6523="","",IF(COUNTIF(Campaigns!$A$7:$A$300,B6523)&gt;0,"✓","⚠ add to Campaigns tab"))</f>
        <v/>
      </c>
      <c r="I6523" s="84" t="str">
        <f aca="false">IF(C6523="","",C6523*IF(Settings!$B$23=Settings!$C$6,1,IF(Settings!$B$23="USD",1/INDEX(Settings!$B$29:$B$40,MONTH(A6523)),INDEX(Settings!$B$29:$B$40,MONTH(A6523)))))</f>
        <v/>
      </c>
    </row>
    <row r="6524" customFormat="false" ht="15" hidden="false" customHeight="false" outlineLevel="0" collapsed="false">
      <c r="H6524" s="0" t="str">
        <f aca="false">IF(B6524="","",IF(COUNTIF(Campaigns!$A$7:$A$300,B6524)&gt;0,"✓","⚠ add to Campaigns tab"))</f>
        <v/>
      </c>
      <c r="I6524" s="84" t="str">
        <f aca="false">IF(C6524="","",C6524*IF(Settings!$B$23=Settings!$C$6,1,IF(Settings!$B$23="USD",1/INDEX(Settings!$B$29:$B$40,MONTH(A6524)),INDEX(Settings!$B$29:$B$40,MONTH(A6524)))))</f>
        <v/>
      </c>
    </row>
    <row r="6525" customFormat="false" ht="15" hidden="false" customHeight="false" outlineLevel="0" collapsed="false">
      <c r="H6525" s="0" t="str">
        <f aca="false">IF(B6525="","",IF(COUNTIF(Campaigns!$A$7:$A$300,B6525)&gt;0,"✓","⚠ add to Campaigns tab"))</f>
        <v/>
      </c>
      <c r="I6525" s="84" t="str">
        <f aca="false">IF(C6525="","",C6525*IF(Settings!$B$23=Settings!$C$6,1,IF(Settings!$B$23="USD",1/INDEX(Settings!$B$29:$B$40,MONTH(A6525)),INDEX(Settings!$B$29:$B$40,MONTH(A6525)))))</f>
        <v/>
      </c>
    </row>
    <row r="6526" customFormat="false" ht="15" hidden="false" customHeight="false" outlineLevel="0" collapsed="false">
      <c r="H6526" s="0" t="str">
        <f aca="false">IF(B6526="","",IF(COUNTIF(Campaigns!$A$7:$A$300,B6526)&gt;0,"✓","⚠ add to Campaigns tab"))</f>
        <v/>
      </c>
      <c r="I6526" s="84" t="str">
        <f aca="false">IF(C6526="","",C6526*IF(Settings!$B$23=Settings!$C$6,1,IF(Settings!$B$23="USD",1/INDEX(Settings!$B$29:$B$40,MONTH(A6526)),INDEX(Settings!$B$29:$B$40,MONTH(A6526)))))</f>
        <v/>
      </c>
    </row>
    <row r="6527" customFormat="false" ht="15" hidden="false" customHeight="false" outlineLevel="0" collapsed="false">
      <c r="H6527" s="0" t="str">
        <f aca="false">IF(B6527="","",IF(COUNTIF(Campaigns!$A$7:$A$300,B6527)&gt;0,"✓","⚠ add to Campaigns tab"))</f>
        <v/>
      </c>
      <c r="I6527" s="84" t="str">
        <f aca="false">IF(C6527="","",C6527*IF(Settings!$B$23=Settings!$C$6,1,IF(Settings!$B$23="USD",1/INDEX(Settings!$B$29:$B$40,MONTH(A6527)),INDEX(Settings!$B$29:$B$40,MONTH(A6527)))))</f>
        <v/>
      </c>
    </row>
    <row r="6528" customFormat="false" ht="15" hidden="false" customHeight="false" outlineLevel="0" collapsed="false">
      <c r="H6528" s="0" t="str">
        <f aca="false">IF(B6528="","",IF(COUNTIF(Campaigns!$A$7:$A$300,B6528)&gt;0,"✓","⚠ add to Campaigns tab"))</f>
        <v/>
      </c>
      <c r="I6528" s="84" t="str">
        <f aca="false">IF(C6528="","",C6528*IF(Settings!$B$23=Settings!$C$6,1,IF(Settings!$B$23="USD",1/INDEX(Settings!$B$29:$B$40,MONTH(A6528)),INDEX(Settings!$B$29:$B$40,MONTH(A6528)))))</f>
        <v/>
      </c>
    </row>
    <row r="6529" customFormat="false" ht="15" hidden="false" customHeight="false" outlineLevel="0" collapsed="false">
      <c r="H6529" s="0" t="str">
        <f aca="false">IF(B6529="","",IF(COUNTIF(Campaigns!$A$7:$A$300,B6529)&gt;0,"✓","⚠ add to Campaigns tab"))</f>
        <v/>
      </c>
      <c r="I6529" s="84" t="str">
        <f aca="false">IF(C6529="","",C6529*IF(Settings!$B$23=Settings!$C$6,1,IF(Settings!$B$23="USD",1/INDEX(Settings!$B$29:$B$40,MONTH(A6529)),INDEX(Settings!$B$29:$B$40,MONTH(A6529)))))</f>
        <v/>
      </c>
    </row>
    <row r="6530" customFormat="false" ht="15" hidden="false" customHeight="false" outlineLevel="0" collapsed="false">
      <c r="H6530" s="0" t="str">
        <f aca="false">IF(B6530="","",IF(COUNTIF(Campaigns!$A$7:$A$300,B6530)&gt;0,"✓","⚠ add to Campaigns tab"))</f>
        <v/>
      </c>
      <c r="I6530" s="84" t="str">
        <f aca="false">IF(C6530="","",C6530*IF(Settings!$B$23=Settings!$C$6,1,IF(Settings!$B$23="USD",1/INDEX(Settings!$B$29:$B$40,MONTH(A6530)),INDEX(Settings!$B$29:$B$40,MONTH(A6530)))))</f>
        <v/>
      </c>
    </row>
    <row r="6531" customFormat="false" ht="15" hidden="false" customHeight="false" outlineLevel="0" collapsed="false">
      <c r="H6531" s="0" t="str">
        <f aca="false">IF(B6531="","",IF(COUNTIF(Campaigns!$A$7:$A$300,B6531)&gt;0,"✓","⚠ add to Campaigns tab"))</f>
        <v/>
      </c>
      <c r="I6531" s="84" t="str">
        <f aca="false">IF(C6531="","",C6531*IF(Settings!$B$23=Settings!$C$6,1,IF(Settings!$B$23="USD",1/INDEX(Settings!$B$29:$B$40,MONTH(A6531)),INDEX(Settings!$B$29:$B$40,MONTH(A6531)))))</f>
        <v/>
      </c>
    </row>
    <row r="6532" customFormat="false" ht="15" hidden="false" customHeight="false" outlineLevel="0" collapsed="false">
      <c r="H6532" s="0" t="str">
        <f aca="false">IF(B6532="","",IF(COUNTIF(Campaigns!$A$7:$A$300,B6532)&gt;0,"✓","⚠ add to Campaigns tab"))</f>
        <v/>
      </c>
      <c r="I6532" s="84" t="str">
        <f aca="false">IF(C6532="","",C6532*IF(Settings!$B$23=Settings!$C$6,1,IF(Settings!$B$23="USD",1/INDEX(Settings!$B$29:$B$40,MONTH(A6532)),INDEX(Settings!$B$29:$B$40,MONTH(A6532)))))</f>
        <v/>
      </c>
    </row>
    <row r="6533" customFormat="false" ht="15" hidden="false" customHeight="false" outlineLevel="0" collapsed="false">
      <c r="H6533" s="0" t="str">
        <f aca="false">IF(B6533="","",IF(COUNTIF(Campaigns!$A$7:$A$300,B6533)&gt;0,"✓","⚠ add to Campaigns tab"))</f>
        <v/>
      </c>
      <c r="I6533" s="84" t="str">
        <f aca="false">IF(C6533="","",C6533*IF(Settings!$B$23=Settings!$C$6,1,IF(Settings!$B$23="USD",1/INDEX(Settings!$B$29:$B$40,MONTH(A6533)),INDEX(Settings!$B$29:$B$40,MONTH(A6533)))))</f>
        <v/>
      </c>
    </row>
    <row r="6534" customFormat="false" ht="15" hidden="false" customHeight="false" outlineLevel="0" collapsed="false">
      <c r="H6534" s="0" t="str">
        <f aca="false">IF(B6534="","",IF(COUNTIF(Campaigns!$A$7:$A$300,B6534)&gt;0,"✓","⚠ add to Campaigns tab"))</f>
        <v/>
      </c>
      <c r="I6534" s="84" t="str">
        <f aca="false">IF(C6534="","",C6534*IF(Settings!$B$23=Settings!$C$6,1,IF(Settings!$B$23="USD",1/INDEX(Settings!$B$29:$B$40,MONTH(A6534)),INDEX(Settings!$B$29:$B$40,MONTH(A6534)))))</f>
        <v/>
      </c>
    </row>
    <row r="6535" customFormat="false" ht="15" hidden="false" customHeight="false" outlineLevel="0" collapsed="false">
      <c r="H6535" s="0" t="str">
        <f aca="false">IF(B6535="","",IF(COUNTIF(Campaigns!$A$7:$A$300,B6535)&gt;0,"✓","⚠ add to Campaigns tab"))</f>
        <v/>
      </c>
      <c r="I6535" s="84" t="str">
        <f aca="false">IF(C6535="","",C6535*IF(Settings!$B$23=Settings!$C$6,1,IF(Settings!$B$23="USD",1/INDEX(Settings!$B$29:$B$40,MONTH(A6535)),INDEX(Settings!$B$29:$B$40,MONTH(A6535)))))</f>
        <v/>
      </c>
    </row>
    <row r="6536" customFormat="false" ht="15" hidden="false" customHeight="false" outlineLevel="0" collapsed="false">
      <c r="H6536" s="0" t="str">
        <f aca="false">IF(B6536="","",IF(COUNTIF(Campaigns!$A$7:$A$300,B6536)&gt;0,"✓","⚠ add to Campaigns tab"))</f>
        <v/>
      </c>
      <c r="I6536" s="84" t="str">
        <f aca="false">IF(C6536="","",C6536*IF(Settings!$B$23=Settings!$C$6,1,IF(Settings!$B$23="USD",1/INDEX(Settings!$B$29:$B$40,MONTH(A6536)),INDEX(Settings!$B$29:$B$40,MONTH(A6536)))))</f>
        <v/>
      </c>
    </row>
    <row r="6537" customFormat="false" ht="15" hidden="false" customHeight="false" outlineLevel="0" collapsed="false">
      <c r="H6537" s="0" t="str">
        <f aca="false">IF(B6537="","",IF(COUNTIF(Campaigns!$A$7:$A$300,B6537)&gt;0,"✓","⚠ add to Campaigns tab"))</f>
        <v/>
      </c>
      <c r="I6537" s="84" t="str">
        <f aca="false">IF(C6537="","",C6537*IF(Settings!$B$23=Settings!$C$6,1,IF(Settings!$B$23="USD",1/INDEX(Settings!$B$29:$B$40,MONTH(A6537)),INDEX(Settings!$B$29:$B$40,MONTH(A6537)))))</f>
        <v/>
      </c>
    </row>
    <row r="6538" customFormat="false" ht="15" hidden="false" customHeight="false" outlineLevel="0" collapsed="false">
      <c r="H6538" s="0" t="str">
        <f aca="false">IF(B6538="","",IF(COUNTIF(Campaigns!$A$7:$A$300,B6538)&gt;0,"✓","⚠ add to Campaigns tab"))</f>
        <v/>
      </c>
      <c r="I6538" s="84" t="str">
        <f aca="false">IF(C6538="","",C6538*IF(Settings!$B$23=Settings!$C$6,1,IF(Settings!$B$23="USD",1/INDEX(Settings!$B$29:$B$40,MONTH(A6538)),INDEX(Settings!$B$29:$B$40,MONTH(A6538)))))</f>
        <v/>
      </c>
    </row>
    <row r="6539" customFormat="false" ht="15" hidden="false" customHeight="false" outlineLevel="0" collapsed="false">
      <c r="H6539" s="0" t="str">
        <f aca="false">IF(B6539="","",IF(COUNTIF(Campaigns!$A$7:$A$300,B6539)&gt;0,"✓","⚠ add to Campaigns tab"))</f>
        <v/>
      </c>
      <c r="I6539" s="84" t="str">
        <f aca="false">IF(C6539="","",C6539*IF(Settings!$B$23=Settings!$C$6,1,IF(Settings!$B$23="USD",1/INDEX(Settings!$B$29:$B$40,MONTH(A6539)),INDEX(Settings!$B$29:$B$40,MONTH(A6539)))))</f>
        <v/>
      </c>
    </row>
    <row r="6540" customFormat="false" ht="15" hidden="false" customHeight="false" outlineLevel="0" collapsed="false">
      <c r="H6540" s="0" t="str">
        <f aca="false">IF(B6540="","",IF(COUNTIF(Campaigns!$A$7:$A$300,B6540)&gt;0,"✓","⚠ add to Campaigns tab"))</f>
        <v/>
      </c>
      <c r="I6540" s="84" t="str">
        <f aca="false">IF(C6540="","",C6540*IF(Settings!$B$23=Settings!$C$6,1,IF(Settings!$B$23="USD",1/INDEX(Settings!$B$29:$B$40,MONTH(A6540)),INDEX(Settings!$B$29:$B$40,MONTH(A6540)))))</f>
        <v/>
      </c>
    </row>
    <row r="6541" customFormat="false" ht="15" hidden="false" customHeight="false" outlineLevel="0" collapsed="false">
      <c r="H6541" s="0" t="str">
        <f aca="false">IF(B6541="","",IF(COUNTIF(Campaigns!$A$7:$A$300,B6541)&gt;0,"✓","⚠ add to Campaigns tab"))</f>
        <v/>
      </c>
      <c r="I6541" s="84" t="str">
        <f aca="false">IF(C6541="","",C6541*IF(Settings!$B$23=Settings!$C$6,1,IF(Settings!$B$23="USD",1/INDEX(Settings!$B$29:$B$40,MONTH(A6541)),INDEX(Settings!$B$29:$B$40,MONTH(A6541)))))</f>
        <v/>
      </c>
    </row>
    <row r="6542" customFormat="false" ht="15" hidden="false" customHeight="false" outlineLevel="0" collapsed="false">
      <c r="H6542" s="0" t="str">
        <f aca="false">IF(B6542="","",IF(COUNTIF(Campaigns!$A$7:$A$300,B6542)&gt;0,"✓","⚠ add to Campaigns tab"))</f>
        <v/>
      </c>
      <c r="I6542" s="84" t="str">
        <f aca="false">IF(C6542="","",C6542*IF(Settings!$B$23=Settings!$C$6,1,IF(Settings!$B$23="USD",1/INDEX(Settings!$B$29:$B$40,MONTH(A6542)),INDEX(Settings!$B$29:$B$40,MONTH(A6542)))))</f>
        <v/>
      </c>
    </row>
    <row r="6543" customFormat="false" ht="15" hidden="false" customHeight="false" outlineLevel="0" collapsed="false">
      <c r="H6543" s="0" t="str">
        <f aca="false">IF(B6543="","",IF(COUNTIF(Campaigns!$A$7:$A$300,B6543)&gt;0,"✓","⚠ add to Campaigns tab"))</f>
        <v/>
      </c>
      <c r="I6543" s="84" t="str">
        <f aca="false">IF(C6543="","",C6543*IF(Settings!$B$23=Settings!$C$6,1,IF(Settings!$B$23="USD",1/INDEX(Settings!$B$29:$B$40,MONTH(A6543)),INDEX(Settings!$B$29:$B$40,MONTH(A6543)))))</f>
        <v/>
      </c>
    </row>
    <row r="6544" customFormat="false" ht="15" hidden="false" customHeight="false" outlineLevel="0" collapsed="false">
      <c r="H6544" s="0" t="str">
        <f aca="false">IF(B6544="","",IF(COUNTIF(Campaigns!$A$7:$A$300,B6544)&gt;0,"✓","⚠ add to Campaigns tab"))</f>
        <v/>
      </c>
      <c r="I6544" s="84" t="str">
        <f aca="false">IF(C6544="","",C6544*IF(Settings!$B$23=Settings!$C$6,1,IF(Settings!$B$23="USD",1/INDEX(Settings!$B$29:$B$40,MONTH(A6544)),INDEX(Settings!$B$29:$B$40,MONTH(A6544)))))</f>
        <v/>
      </c>
    </row>
    <row r="6545" customFormat="false" ht="15" hidden="false" customHeight="false" outlineLevel="0" collapsed="false">
      <c r="H6545" s="0" t="str">
        <f aca="false">IF(B6545="","",IF(COUNTIF(Campaigns!$A$7:$A$300,B6545)&gt;0,"✓","⚠ add to Campaigns tab"))</f>
        <v/>
      </c>
      <c r="I6545" s="84" t="str">
        <f aca="false">IF(C6545="","",C6545*IF(Settings!$B$23=Settings!$C$6,1,IF(Settings!$B$23="USD",1/INDEX(Settings!$B$29:$B$40,MONTH(A6545)),INDEX(Settings!$B$29:$B$40,MONTH(A6545)))))</f>
        <v/>
      </c>
    </row>
    <row r="6546" customFormat="false" ht="15" hidden="false" customHeight="false" outlineLevel="0" collapsed="false">
      <c r="H6546" s="0" t="str">
        <f aca="false">IF(B6546="","",IF(COUNTIF(Campaigns!$A$7:$A$300,B6546)&gt;0,"✓","⚠ add to Campaigns tab"))</f>
        <v/>
      </c>
      <c r="I6546" s="84" t="str">
        <f aca="false">IF(C6546="","",C6546*IF(Settings!$B$23=Settings!$C$6,1,IF(Settings!$B$23="USD",1/INDEX(Settings!$B$29:$B$40,MONTH(A6546)),INDEX(Settings!$B$29:$B$40,MONTH(A6546)))))</f>
        <v/>
      </c>
    </row>
    <row r="6547" customFormat="false" ht="15" hidden="false" customHeight="false" outlineLevel="0" collapsed="false">
      <c r="H6547" s="0" t="str">
        <f aca="false">IF(B6547="","",IF(COUNTIF(Campaigns!$A$7:$A$300,B6547)&gt;0,"✓","⚠ add to Campaigns tab"))</f>
        <v/>
      </c>
      <c r="I6547" s="84" t="str">
        <f aca="false">IF(C6547="","",C6547*IF(Settings!$B$23=Settings!$C$6,1,IF(Settings!$B$23="USD",1/INDEX(Settings!$B$29:$B$40,MONTH(A6547)),INDEX(Settings!$B$29:$B$40,MONTH(A6547)))))</f>
        <v/>
      </c>
    </row>
    <row r="6548" customFormat="false" ht="15" hidden="false" customHeight="false" outlineLevel="0" collapsed="false">
      <c r="H6548" s="0" t="str">
        <f aca="false">IF(B6548="","",IF(COUNTIF(Campaigns!$A$7:$A$300,B6548)&gt;0,"✓","⚠ add to Campaigns tab"))</f>
        <v/>
      </c>
      <c r="I6548" s="84" t="str">
        <f aca="false">IF(C6548="","",C6548*IF(Settings!$B$23=Settings!$C$6,1,IF(Settings!$B$23="USD",1/INDEX(Settings!$B$29:$B$40,MONTH(A6548)),INDEX(Settings!$B$29:$B$40,MONTH(A6548)))))</f>
        <v/>
      </c>
    </row>
    <row r="6549" customFormat="false" ht="15" hidden="false" customHeight="false" outlineLevel="0" collapsed="false">
      <c r="H6549" s="0" t="str">
        <f aca="false">IF(B6549="","",IF(COUNTIF(Campaigns!$A$7:$A$300,B6549)&gt;0,"✓","⚠ add to Campaigns tab"))</f>
        <v/>
      </c>
      <c r="I6549" s="84" t="str">
        <f aca="false">IF(C6549="","",C6549*IF(Settings!$B$23=Settings!$C$6,1,IF(Settings!$B$23="USD",1/INDEX(Settings!$B$29:$B$40,MONTH(A6549)),INDEX(Settings!$B$29:$B$40,MONTH(A6549)))))</f>
        <v/>
      </c>
    </row>
    <row r="6550" customFormat="false" ht="15" hidden="false" customHeight="false" outlineLevel="0" collapsed="false">
      <c r="H6550" s="0" t="str">
        <f aca="false">IF(B6550="","",IF(COUNTIF(Campaigns!$A$7:$A$300,B6550)&gt;0,"✓","⚠ add to Campaigns tab"))</f>
        <v/>
      </c>
      <c r="I6550" s="84" t="str">
        <f aca="false">IF(C6550="","",C6550*IF(Settings!$B$23=Settings!$C$6,1,IF(Settings!$B$23="USD",1/INDEX(Settings!$B$29:$B$40,MONTH(A6550)),INDEX(Settings!$B$29:$B$40,MONTH(A6550)))))</f>
        <v/>
      </c>
    </row>
    <row r="6551" customFormat="false" ht="15" hidden="false" customHeight="false" outlineLevel="0" collapsed="false">
      <c r="H6551" s="0" t="str">
        <f aca="false">IF(B6551="","",IF(COUNTIF(Campaigns!$A$7:$A$300,B6551)&gt;0,"✓","⚠ add to Campaigns tab"))</f>
        <v/>
      </c>
      <c r="I6551" s="84" t="str">
        <f aca="false">IF(C6551="","",C6551*IF(Settings!$B$23=Settings!$C$6,1,IF(Settings!$B$23="USD",1/INDEX(Settings!$B$29:$B$40,MONTH(A6551)),INDEX(Settings!$B$29:$B$40,MONTH(A6551)))))</f>
        <v/>
      </c>
    </row>
    <row r="6552" customFormat="false" ht="15" hidden="false" customHeight="false" outlineLevel="0" collapsed="false">
      <c r="H6552" s="0" t="str">
        <f aca="false">IF(B6552="","",IF(COUNTIF(Campaigns!$A$7:$A$300,B6552)&gt;0,"✓","⚠ add to Campaigns tab"))</f>
        <v/>
      </c>
      <c r="I6552" s="84" t="str">
        <f aca="false">IF(C6552="","",C6552*IF(Settings!$B$23=Settings!$C$6,1,IF(Settings!$B$23="USD",1/INDEX(Settings!$B$29:$B$40,MONTH(A6552)),INDEX(Settings!$B$29:$B$40,MONTH(A6552)))))</f>
        <v/>
      </c>
    </row>
    <row r="6553" customFormat="false" ht="15" hidden="false" customHeight="false" outlineLevel="0" collapsed="false">
      <c r="H6553" s="0" t="str">
        <f aca="false">IF(B6553="","",IF(COUNTIF(Campaigns!$A$7:$A$300,B6553)&gt;0,"✓","⚠ add to Campaigns tab"))</f>
        <v/>
      </c>
      <c r="I6553" s="84" t="str">
        <f aca="false">IF(C6553="","",C6553*IF(Settings!$B$23=Settings!$C$6,1,IF(Settings!$B$23="USD",1/INDEX(Settings!$B$29:$B$40,MONTH(A6553)),INDEX(Settings!$B$29:$B$40,MONTH(A6553)))))</f>
        <v/>
      </c>
    </row>
    <row r="6554" customFormat="false" ht="15" hidden="false" customHeight="false" outlineLevel="0" collapsed="false">
      <c r="H6554" s="0" t="str">
        <f aca="false">IF(B6554="","",IF(COUNTIF(Campaigns!$A$7:$A$300,B6554)&gt;0,"✓","⚠ add to Campaigns tab"))</f>
        <v/>
      </c>
      <c r="I6554" s="84" t="str">
        <f aca="false">IF(C6554="","",C6554*IF(Settings!$B$23=Settings!$C$6,1,IF(Settings!$B$23="USD",1/INDEX(Settings!$B$29:$B$40,MONTH(A6554)),INDEX(Settings!$B$29:$B$40,MONTH(A6554)))))</f>
        <v/>
      </c>
    </row>
    <row r="6555" customFormat="false" ht="15" hidden="false" customHeight="false" outlineLevel="0" collapsed="false">
      <c r="H6555" s="0" t="str">
        <f aca="false">IF(B6555="","",IF(COUNTIF(Campaigns!$A$7:$A$300,B6555)&gt;0,"✓","⚠ add to Campaigns tab"))</f>
        <v/>
      </c>
      <c r="I6555" s="84" t="str">
        <f aca="false">IF(C6555="","",C6555*IF(Settings!$B$23=Settings!$C$6,1,IF(Settings!$B$23="USD",1/INDEX(Settings!$B$29:$B$40,MONTH(A6555)),INDEX(Settings!$B$29:$B$40,MONTH(A6555)))))</f>
        <v/>
      </c>
    </row>
    <row r="6556" customFormat="false" ht="15" hidden="false" customHeight="false" outlineLevel="0" collapsed="false">
      <c r="H6556" s="0" t="str">
        <f aca="false">IF(B6556="","",IF(COUNTIF(Campaigns!$A$7:$A$300,B6556)&gt;0,"✓","⚠ add to Campaigns tab"))</f>
        <v/>
      </c>
      <c r="I6556" s="84" t="str">
        <f aca="false">IF(C6556="","",C6556*IF(Settings!$B$23=Settings!$C$6,1,IF(Settings!$B$23="USD",1/INDEX(Settings!$B$29:$B$40,MONTH(A6556)),INDEX(Settings!$B$29:$B$40,MONTH(A6556)))))</f>
        <v/>
      </c>
    </row>
    <row r="6557" customFormat="false" ht="15" hidden="false" customHeight="false" outlineLevel="0" collapsed="false">
      <c r="H6557" s="0" t="str">
        <f aca="false">IF(B6557="","",IF(COUNTIF(Campaigns!$A$7:$A$300,B6557)&gt;0,"✓","⚠ add to Campaigns tab"))</f>
        <v/>
      </c>
      <c r="I6557" s="84" t="str">
        <f aca="false">IF(C6557="","",C6557*IF(Settings!$B$23=Settings!$C$6,1,IF(Settings!$B$23="USD",1/INDEX(Settings!$B$29:$B$40,MONTH(A6557)),INDEX(Settings!$B$29:$B$40,MONTH(A6557)))))</f>
        <v/>
      </c>
    </row>
    <row r="6558" customFormat="false" ht="15" hidden="false" customHeight="false" outlineLevel="0" collapsed="false">
      <c r="H6558" s="0" t="str">
        <f aca="false">IF(B6558="","",IF(COUNTIF(Campaigns!$A$7:$A$300,B6558)&gt;0,"✓","⚠ add to Campaigns tab"))</f>
        <v/>
      </c>
      <c r="I6558" s="84" t="str">
        <f aca="false">IF(C6558="","",C6558*IF(Settings!$B$23=Settings!$C$6,1,IF(Settings!$B$23="USD",1/INDEX(Settings!$B$29:$B$40,MONTH(A6558)),INDEX(Settings!$B$29:$B$40,MONTH(A6558)))))</f>
        <v/>
      </c>
    </row>
    <row r="6559" customFormat="false" ht="15" hidden="false" customHeight="false" outlineLevel="0" collapsed="false">
      <c r="H6559" s="0" t="str">
        <f aca="false">IF(B6559="","",IF(COUNTIF(Campaigns!$A$7:$A$300,B6559)&gt;0,"✓","⚠ add to Campaigns tab"))</f>
        <v/>
      </c>
      <c r="I6559" s="84" t="str">
        <f aca="false">IF(C6559="","",C6559*IF(Settings!$B$23=Settings!$C$6,1,IF(Settings!$B$23="USD",1/INDEX(Settings!$B$29:$B$40,MONTH(A6559)),INDEX(Settings!$B$29:$B$40,MONTH(A6559)))))</f>
        <v/>
      </c>
    </row>
    <row r="6560" customFormat="false" ht="15" hidden="false" customHeight="false" outlineLevel="0" collapsed="false">
      <c r="H6560" s="0" t="str">
        <f aca="false">IF(B6560="","",IF(COUNTIF(Campaigns!$A$7:$A$300,B6560)&gt;0,"✓","⚠ add to Campaigns tab"))</f>
        <v/>
      </c>
      <c r="I6560" s="84" t="str">
        <f aca="false">IF(C6560="","",C6560*IF(Settings!$B$23=Settings!$C$6,1,IF(Settings!$B$23="USD",1/INDEX(Settings!$B$29:$B$40,MONTH(A6560)),INDEX(Settings!$B$29:$B$40,MONTH(A6560)))))</f>
        <v/>
      </c>
    </row>
    <row r="6561" customFormat="false" ht="15" hidden="false" customHeight="false" outlineLevel="0" collapsed="false">
      <c r="H6561" s="0" t="str">
        <f aca="false">IF(B6561="","",IF(COUNTIF(Campaigns!$A$7:$A$300,B6561)&gt;0,"✓","⚠ add to Campaigns tab"))</f>
        <v/>
      </c>
      <c r="I6561" s="84" t="str">
        <f aca="false">IF(C6561="","",C6561*IF(Settings!$B$23=Settings!$C$6,1,IF(Settings!$B$23="USD",1/INDEX(Settings!$B$29:$B$40,MONTH(A6561)),INDEX(Settings!$B$29:$B$40,MONTH(A6561)))))</f>
        <v/>
      </c>
    </row>
    <row r="6562" customFormat="false" ht="15" hidden="false" customHeight="false" outlineLevel="0" collapsed="false">
      <c r="H6562" s="0" t="str">
        <f aca="false">IF(B6562="","",IF(COUNTIF(Campaigns!$A$7:$A$300,B6562)&gt;0,"✓","⚠ add to Campaigns tab"))</f>
        <v/>
      </c>
      <c r="I6562" s="84" t="str">
        <f aca="false">IF(C6562="","",C6562*IF(Settings!$B$23=Settings!$C$6,1,IF(Settings!$B$23="USD",1/INDEX(Settings!$B$29:$B$40,MONTH(A6562)),INDEX(Settings!$B$29:$B$40,MONTH(A6562)))))</f>
        <v/>
      </c>
    </row>
    <row r="6563" customFormat="false" ht="15" hidden="false" customHeight="false" outlineLevel="0" collapsed="false">
      <c r="H6563" s="0" t="str">
        <f aca="false">IF(B6563="","",IF(COUNTIF(Campaigns!$A$7:$A$300,B6563)&gt;0,"✓","⚠ add to Campaigns tab"))</f>
        <v/>
      </c>
      <c r="I6563" s="84" t="str">
        <f aca="false">IF(C6563="","",C6563*IF(Settings!$B$23=Settings!$C$6,1,IF(Settings!$B$23="USD",1/INDEX(Settings!$B$29:$B$40,MONTH(A6563)),INDEX(Settings!$B$29:$B$40,MONTH(A6563)))))</f>
        <v/>
      </c>
    </row>
    <row r="6564" customFormat="false" ht="15" hidden="false" customHeight="false" outlineLevel="0" collapsed="false">
      <c r="H6564" s="0" t="str">
        <f aca="false">IF(B6564="","",IF(COUNTIF(Campaigns!$A$7:$A$300,B6564)&gt;0,"✓","⚠ add to Campaigns tab"))</f>
        <v/>
      </c>
      <c r="I6564" s="84" t="str">
        <f aca="false">IF(C6564="","",C6564*IF(Settings!$B$23=Settings!$C$6,1,IF(Settings!$B$23="USD",1/INDEX(Settings!$B$29:$B$40,MONTH(A6564)),INDEX(Settings!$B$29:$B$40,MONTH(A6564)))))</f>
        <v/>
      </c>
    </row>
    <row r="6565" customFormat="false" ht="15" hidden="false" customHeight="false" outlineLevel="0" collapsed="false">
      <c r="H6565" s="0" t="str">
        <f aca="false">IF(B6565="","",IF(COUNTIF(Campaigns!$A$7:$A$300,B6565)&gt;0,"✓","⚠ add to Campaigns tab"))</f>
        <v/>
      </c>
      <c r="I6565" s="84" t="str">
        <f aca="false">IF(C6565="","",C6565*IF(Settings!$B$23=Settings!$C$6,1,IF(Settings!$B$23="USD",1/INDEX(Settings!$B$29:$B$40,MONTH(A6565)),INDEX(Settings!$B$29:$B$40,MONTH(A6565)))))</f>
        <v/>
      </c>
    </row>
    <row r="6566" customFormat="false" ht="15" hidden="false" customHeight="false" outlineLevel="0" collapsed="false">
      <c r="H6566" s="0" t="str">
        <f aca="false">IF(B6566="","",IF(COUNTIF(Campaigns!$A$7:$A$300,B6566)&gt;0,"✓","⚠ add to Campaigns tab"))</f>
        <v/>
      </c>
      <c r="I6566" s="84" t="str">
        <f aca="false">IF(C6566="","",C6566*IF(Settings!$B$23=Settings!$C$6,1,IF(Settings!$B$23="USD",1/INDEX(Settings!$B$29:$B$40,MONTH(A6566)),INDEX(Settings!$B$29:$B$40,MONTH(A6566)))))</f>
        <v/>
      </c>
    </row>
    <row r="6567" customFormat="false" ht="15" hidden="false" customHeight="false" outlineLevel="0" collapsed="false">
      <c r="H6567" s="0" t="str">
        <f aca="false">IF(B6567="","",IF(COUNTIF(Campaigns!$A$7:$A$300,B6567)&gt;0,"✓","⚠ add to Campaigns tab"))</f>
        <v/>
      </c>
      <c r="I6567" s="84" t="str">
        <f aca="false">IF(C6567="","",C6567*IF(Settings!$B$23=Settings!$C$6,1,IF(Settings!$B$23="USD",1/INDEX(Settings!$B$29:$B$40,MONTH(A6567)),INDEX(Settings!$B$29:$B$40,MONTH(A6567)))))</f>
        <v/>
      </c>
    </row>
    <row r="6568" customFormat="false" ht="15" hidden="false" customHeight="false" outlineLevel="0" collapsed="false">
      <c r="H6568" s="0" t="str">
        <f aca="false">IF(B6568="","",IF(COUNTIF(Campaigns!$A$7:$A$300,B6568)&gt;0,"✓","⚠ add to Campaigns tab"))</f>
        <v/>
      </c>
      <c r="I6568" s="84" t="str">
        <f aca="false">IF(C6568="","",C6568*IF(Settings!$B$23=Settings!$C$6,1,IF(Settings!$B$23="USD",1/INDEX(Settings!$B$29:$B$40,MONTH(A6568)),INDEX(Settings!$B$29:$B$40,MONTH(A6568)))))</f>
        <v/>
      </c>
    </row>
    <row r="6569" customFormat="false" ht="15" hidden="false" customHeight="false" outlineLevel="0" collapsed="false">
      <c r="H6569" s="0" t="str">
        <f aca="false">IF(B6569="","",IF(COUNTIF(Campaigns!$A$7:$A$300,B6569)&gt;0,"✓","⚠ add to Campaigns tab"))</f>
        <v/>
      </c>
      <c r="I6569" s="84" t="str">
        <f aca="false">IF(C6569="","",C6569*IF(Settings!$B$23=Settings!$C$6,1,IF(Settings!$B$23="USD",1/INDEX(Settings!$B$29:$B$40,MONTH(A6569)),INDEX(Settings!$B$29:$B$40,MONTH(A6569)))))</f>
        <v/>
      </c>
    </row>
    <row r="6570" customFormat="false" ht="15" hidden="false" customHeight="false" outlineLevel="0" collapsed="false">
      <c r="H6570" s="0" t="str">
        <f aca="false">IF(B6570="","",IF(COUNTIF(Campaigns!$A$7:$A$300,B6570)&gt;0,"✓","⚠ add to Campaigns tab"))</f>
        <v/>
      </c>
      <c r="I6570" s="84" t="str">
        <f aca="false">IF(C6570="","",C6570*IF(Settings!$B$23=Settings!$C$6,1,IF(Settings!$B$23="USD",1/INDEX(Settings!$B$29:$B$40,MONTH(A6570)),INDEX(Settings!$B$29:$B$40,MONTH(A6570)))))</f>
        <v/>
      </c>
    </row>
    <row r="6571" customFormat="false" ht="15" hidden="false" customHeight="false" outlineLevel="0" collapsed="false">
      <c r="H6571" s="0" t="str">
        <f aca="false">IF(B6571="","",IF(COUNTIF(Campaigns!$A$7:$A$300,B6571)&gt;0,"✓","⚠ add to Campaigns tab"))</f>
        <v/>
      </c>
      <c r="I6571" s="84" t="str">
        <f aca="false">IF(C6571="","",C6571*IF(Settings!$B$23=Settings!$C$6,1,IF(Settings!$B$23="USD",1/INDEX(Settings!$B$29:$B$40,MONTH(A6571)),INDEX(Settings!$B$29:$B$40,MONTH(A6571)))))</f>
        <v/>
      </c>
    </row>
    <row r="6572" customFormat="false" ht="15" hidden="false" customHeight="false" outlineLevel="0" collapsed="false">
      <c r="H6572" s="0" t="str">
        <f aca="false">IF(B6572="","",IF(COUNTIF(Campaigns!$A$7:$A$300,B6572)&gt;0,"✓","⚠ add to Campaigns tab"))</f>
        <v/>
      </c>
      <c r="I6572" s="84" t="str">
        <f aca="false">IF(C6572="","",C6572*IF(Settings!$B$23=Settings!$C$6,1,IF(Settings!$B$23="USD",1/INDEX(Settings!$B$29:$B$40,MONTH(A6572)),INDEX(Settings!$B$29:$B$40,MONTH(A6572)))))</f>
        <v/>
      </c>
    </row>
    <row r="6573" customFormat="false" ht="15" hidden="false" customHeight="false" outlineLevel="0" collapsed="false">
      <c r="H6573" s="0" t="str">
        <f aca="false">IF(B6573="","",IF(COUNTIF(Campaigns!$A$7:$A$300,B6573)&gt;0,"✓","⚠ add to Campaigns tab"))</f>
        <v/>
      </c>
      <c r="I6573" s="84" t="str">
        <f aca="false">IF(C6573="","",C6573*IF(Settings!$B$23=Settings!$C$6,1,IF(Settings!$B$23="USD",1/INDEX(Settings!$B$29:$B$40,MONTH(A6573)),INDEX(Settings!$B$29:$B$40,MONTH(A6573)))))</f>
        <v/>
      </c>
    </row>
    <row r="6574" customFormat="false" ht="15" hidden="false" customHeight="false" outlineLevel="0" collapsed="false">
      <c r="H6574" s="0" t="str">
        <f aca="false">IF(B6574="","",IF(COUNTIF(Campaigns!$A$7:$A$300,B6574)&gt;0,"✓","⚠ add to Campaigns tab"))</f>
        <v/>
      </c>
      <c r="I6574" s="84" t="str">
        <f aca="false">IF(C6574="","",C6574*IF(Settings!$B$23=Settings!$C$6,1,IF(Settings!$B$23="USD",1/INDEX(Settings!$B$29:$B$40,MONTH(A6574)),INDEX(Settings!$B$29:$B$40,MONTH(A6574)))))</f>
        <v/>
      </c>
    </row>
    <row r="6575" customFormat="false" ht="15" hidden="false" customHeight="false" outlineLevel="0" collapsed="false">
      <c r="H6575" s="0" t="str">
        <f aca="false">IF(B6575="","",IF(COUNTIF(Campaigns!$A$7:$A$300,B6575)&gt;0,"✓","⚠ add to Campaigns tab"))</f>
        <v/>
      </c>
      <c r="I6575" s="84" t="str">
        <f aca="false">IF(C6575="","",C6575*IF(Settings!$B$23=Settings!$C$6,1,IF(Settings!$B$23="USD",1/INDEX(Settings!$B$29:$B$40,MONTH(A6575)),INDEX(Settings!$B$29:$B$40,MONTH(A6575)))))</f>
        <v/>
      </c>
    </row>
    <row r="6576" customFormat="false" ht="15" hidden="false" customHeight="false" outlineLevel="0" collapsed="false">
      <c r="H6576" s="0" t="str">
        <f aca="false">IF(B6576="","",IF(COUNTIF(Campaigns!$A$7:$A$300,B6576)&gt;0,"✓","⚠ add to Campaigns tab"))</f>
        <v/>
      </c>
      <c r="I6576" s="84" t="str">
        <f aca="false">IF(C6576="","",C6576*IF(Settings!$B$23=Settings!$C$6,1,IF(Settings!$B$23="USD",1/INDEX(Settings!$B$29:$B$40,MONTH(A6576)),INDEX(Settings!$B$29:$B$40,MONTH(A6576)))))</f>
        <v/>
      </c>
    </row>
    <row r="6577" customFormat="false" ht="15" hidden="false" customHeight="false" outlineLevel="0" collapsed="false">
      <c r="H6577" s="0" t="str">
        <f aca="false">IF(B6577="","",IF(COUNTIF(Campaigns!$A$7:$A$300,B6577)&gt;0,"✓","⚠ add to Campaigns tab"))</f>
        <v/>
      </c>
      <c r="I6577" s="84" t="str">
        <f aca="false">IF(C6577="","",C6577*IF(Settings!$B$23=Settings!$C$6,1,IF(Settings!$B$23="USD",1/INDEX(Settings!$B$29:$B$40,MONTH(A6577)),INDEX(Settings!$B$29:$B$40,MONTH(A6577)))))</f>
        <v/>
      </c>
    </row>
    <row r="6578" customFormat="false" ht="15" hidden="false" customHeight="false" outlineLevel="0" collapsed="false">
      <c r="H6578" s="0" t="str">
        <f aca="false">IF(B6578="","",IF(COUNTIF(Campaigns!$A$7:$A$300,B6578)&gt;0,"✓","⚠ add to Campaigns tab"))</f>
        <v/>
      </c>
      <c r="I6578" s="84" t="str">
        <f aca="false">IF(C6578="","",C6578*IF(Settings!$B$23=Settings!$C$6,1,IF(Settings!$B$23="USD",1/INDEX(Settings!$B$29:$B$40,MONTH(A6578)),INDEX(Settings!$B$29:$B$40,MONTH(A6578)))))</f>
        <v/>
      </c>
    </row>
    <row r="6579" customFormat="false" ht="15" hidden="false" customHeight="false" outlineLevel="0" collapsed="false">
      <c r="H6579" s="0" t="str">
        <f aca="false">IF(B6579="","",IF(COUNTIF(Campaigns!$A$7:$A$300,B6579)&gt;0,"✓","⚠ add to Campaigns tab"))</f>
        <v/>
      </c>
      <c r="I6579" s="84" t="str">
        <f aca="false">IF(C6579="","",C6579*IF(Settings!$B$23=Settings!$C$6,1,IF(Settings!$B$23="USD",1/INDEX(Settings!$B$29:$B$40,MONTH(A6579)),INDEX(Settings!$B$29:$B$40,MONTH(A6579)))))</f>
        <v/>
      </c>
    </row>
    <row r="6580" customFormat="false" ht="15" hidden="false" customHeight="false" outlineLevel="0" collapsed="false">
      <c r="H6580" s="0" t="str">
        <f aca="false">IF(B6580="","",IF(COUNTIF(Campaigns!$A$7:$A$300,B6580)&gt;0,"✓","⚠ add to Campaigns tab"))</f>
        <v/>
      </c>
      <c r="I6580" s="84" t="str">
        <f aca="false">IF(C6580="","",C6580*IF(Settings!$B$23=Settings!$C$6,1,IF(Settings!$B$23="USD",1/INDEX(Settings!$B$29:$B$40,MONTH(A6580)),INDEX(Settings!$B$29:$B$40,MONTH(A6580)))))</f>
        <v/>
      </c>
    </row>
    <row r="6581" customFormat="false" ht="15" hidden="false" customHeight="false" outlineLevel="0" collapsed="false">
      <c r="H6581" s="0" t="str">
        <f aca="false">IF(B6581="","",IF(COUNTIF(Campaigns!$A$7:$A$300,B6581)&gt;0,"✓","⚠ add to Campaigns tab"))</f>
        <v/>
      </c>
      <c r="I6581" s="84" t="str">
        <f aca="false">IF(C6581="","",C6581*IF(Settings!$B$23=Settings!$C$6,1,IF(Settings!$B$23="USD",1/INDEX(Settings!$B$29:$B$40,MONTH(A6581)),INDEX(Settings!$B$29:$B$40,MONTH(A6581)))))</f>
        <v/>
      </c>
    </row>
    <row r="6582" customFormat="false" ht="15" hidden="false" customHeight="false" outlineLevel="0" collapsed="false">
      <c r="H6582" s="0" t="str">
        <f aca="false">IF(B6582="","",IF(COUNTIF(Campaigns!$A$7:$A$300,B6582)&gt;0,"✓","⚠ add to Campaigns tab"))</f>
        <v/>
      </c>
      <c r="I6582" s="84" t="str">
        <f aca="false">IF(C6582="","",C6582*IF(Settings!$B$23=Settings!$C$6,1,IF(Settings!$B$23="USD",1/INDEX(Settings!$B$29:$B$40,MONTH(A6582)),INDEX(Settings!$B$29:$B$40,MONTH(A6582)))))</f>
        <v/>
      </c>
    </row>
    <row r="6583" customFormat="false" ht="15" hidden="false" customHeight="false" outlineLevel="0" collapsed="false">
      <c r="H6583" s="0" t="str">
        <f aca="false">IF(B6583="","",IF(COUNTIF(Campaigns!$A$7:$A$300,B6583)&gt;0,"✓","⚠ add to Campaigns tab"))</f>
        <v/>
      </c>
      <c r="I6583" s="84" t="str">
        <f aca="false">IF(C6583="","",C6583*IF(Settings!$B$23=Settings!$C$6,1,IF(Settings!$B$23="USD",1/INDEX(Settings!$B$29:$B$40,MONTH(A6583)),INDEX(Settings!$B$29:$B$40,MONTH(A6583)))))</f>
        <v/>
      </c>
    </row>
    <row r="6584" customFormat="false" ht="15" hidden="false" customHeight="false" outlineLevel="0" collapsed="false">
      <c r="H6584" s="0" t="str">
        <f aca="false">IF(B6584="","",IF(COUNTIF(Campaigns!$A$7:$A$300,B6584)&gt;0,"✓","⚠ add to Campaigns tab"))</f>
        <v/>
      </c>
      <c r="I6584" s="84" t="str">
        <f aca="false">IF(C6584="","",C6584*IF(Settings!$B$23=Settings!$C$6,1,IF(Settings!$B$23="USD",1/INDEX(Settings!$B$29:$B$40,MONTH(A6584)),INDEX(Settings!$B$29:$B$40,MONTH(A6584)))))</f>
        <v/>
      </c>
    </row>
    <row r="6585" customFormat="false" ht="15" hidden="false" customHeight="false" outlineLevel="0" collapsed="false">
      <c r="H6585" s="0" t="str">
        <f aca="false">IF(B6585="","",IF(COUNTIF(Campaigns!$A$7:$A$300,B6585)&gt;0,"✓","⚠ add to Campaigns tab"))</f>
        <v/>
      </c>
      <c r="I6585" s="84" t="str">
        <f aca="false">IF(C6585="","",C6585*IF(Settings!$B$23=Settings!$C$6,1,IF(Settings!$B$23="USD",1/INDEX(Settings!$B$29:$B$40,MONTH(A6585)),INDEX(Settings!$B$29:$B$40,MONTH(A6585)))))</f>
        <v/>
      </c>
    </row>
    <row r="6586" customFormat="false" ht="15" hidden="false" customHeight="false" outlineLevel="0" collapsed="false">
      <c r="H6586" s="0" t="str">
        <f aca="false">IF(B6586="","",IF(COUNTIF(Campaigns!$A$7:$A$300,B6586)&gt;0,"✓","⚠ add to Campaigns tab"))</f>
        <v/>
      </c>
      <c r="I6586" s="84" t="str">
        <f aca="false">IF(C6586="","",C6586*IF(Settings!$B$23=Settings!$C$6,1,IF(Settings!$B$23="USD",1/INDEX(Settings!$B$29:$B$40,MONTH(A6586)),INDEX(Settings!$B$29:$B$40,MONTH(A6586)))))</f>
        <v/>
      </c>
    </row>
    <row r="6587" customFormat="false" ht="15" hidden="false" customHeight="false" outlineLevel="0" collapsed="false">
      <c r="H6587" s="0" t="str">
        <f aca="false">IF(B6587="","",IF(COUNTIF(Campaigns!$A$7:$A$300,B6587)&gt;0,"✓","⚠ add to Campaigns tab"))</f>
        <v/>
      </c>
      <c r="I6587" s="84" t="str">
        <f aca="false">IF(C6587="","",C6587*IF(Settings!$B$23=Settings!$C$6,1,IF(Settings!$B$23="USD",1/INDEX(Settings!$B$29:$B$40,MONTH(A6587)),INDEX(Settings!$B$29:$B$40,MONTH(A6587)))))</f>
        <v/>
      </c>
    </row>
    <row r="6588" customFormat="false" ht="15" hidden="false" customHeight="false" outlineLevel="0" collapsed="false">
      <c r="H6588" s="0" t="str">
        <f aca="false">IF(B6588="","",IF(COUNTIF(Campaigns!$A$7:$A$300,B6588)&gt;0,"✓","⚠ add to Campaigns tab"))</f>
        <v/>
      </c>
      <c r="I6588" s="84" t="str">
        <f aca="false">IF(C6588="","",C6588*IF(Settings!$B$23=Settings!$C$6,1,IF(Settings!$B$23="USD",1/INDEX(Settings!$B$29:$B$40,MONTH(A6588)),INDEX(Settings!$B$29:$B$40,MONTH(A6588)))))</f>
        <v/>
      </c>
    </row>
    <row r="6589" customFormat="false" ht="15" hidden="false" customHeight="false" outlineLevel="0" collapsed="false">
      <c r="H6589" s="0" t="str">
        <f aca="false">IF(B6589="","",IF(COUNTIF(Campaigns!$A$7:$A$300,B6589)&gt;0,"✓","⚠ add to Campaigns tab"))</f>
        <v/>
      </c>
      <c r="I6589" s="84" t="str">
        <f aca="false">IF(C6589="","",C6589*IF(Settings!$B$23=Settings!$C$6,1,IF(Settings!$B$23="USD",1/INDEX(Settings!$B$29:$B$40,MONTH(A6589)),INDEX(Settings!$B$29:$B$40,MONTH(A6589)))))</f>
        <v/>
      </c>
    </row>
    <row r="6590" customFormat="false" ht="15" hidden="false" customHeight="false" outlineLevel="0" collapsed="false">
      <c r="H6590" s="0" t="str">
        <f aca="false">IF(B6590="","",IF(COUNTIF(Campaigns!$A$7:$A$300,B6590)&gt;0,"✓","⚠ add to Campaigns tab"))</f>
        <v/>
      </c>
      <c r="I6590" s="84" t="str">
        <f aca="false">IF(C6590="","",C6590*IF(Settings!$B$23=Settings!$C$6,1,IF(Settings!$B$23="USD",1/INDEX(Settings!$B$29:$B$40,MONTH(A6590)),INDEX(Settings!$B$29:$B$40,MONTH(A6590)))))</f>
        <v/>
      </c>
    </row>
    <row r="6591" customFormat="false" ht="15" hidden="false" customHeight="false" outlineLevel="0" collapsed="false">
      <c r="H6591" s="0" t="str">
        <f aca="false">IF(B6591="","",IF(COUNTIF(Campaigns!$A$7:$A$300,B6591)&gt;0,"✓","⚠ add to Campaigns tab"))</f>
        <v/>
      </c>
      <c r="I6591" s="84" t="str">
        <f aca="false">IF(C6591="","",C6591*IF(Settings!$B$23=Settings!$C$6,1,IF(Settings!$B$23="USD",1/INDEX(Settings!$B$29:$B$40,MONTH(A6591)),INDEX(Settings!$B$29:$B$40,MONTH(A6591)))))</f>
        <v/>
      </c>
    </row>
    <row r="6592" customFormat="false" ht="15" hidden="false" customHeight="false" outlineLevel="0" collapsed="false">
      <c r="H6592" s="0" t="str">
        <f aca="false">IF(B6592="","",IF(COUNTIF(Campaigns!$A$7:$A$300,B6592)&gt;0,"✓","⚠ add to Campaigns tab"))</f>
        <v/>
      </c>
      <c r="I6592" s="84" t="str">
        <f aca="false">IF(C6592="","",C6592*IF(Settings!$B$23=Settings!$C$6,1,IF(Settings!$B$23="USD",1/INDEX(Settings!$B$29:$B$40,MONTH(A6592)),INDEX(Settings!$B$29:$B$40,MONTH(A6592)))))</f>
        <v/>
      </c>
    </row>
    <row r="6593" customFormat="false" ht="15" hidden="false" customHeight="false" outlineLevel="0" collapsed="false">
      <c r="H6593" s="0" t="str">
        <f aca="false">IF(B6593="","",IF(COUNTIF(Campaigns!$A$7:$A$300,B6593)&gt;0,"✓","⚠ add to Campaigns tab"))</f>
        <v/>
      </c>
      <c r="I6593" s="84" t="str">
        <f aca="false">IF(C6593="","",C6593*IF(Settings!$B$23=Settings!$C$6,1,IF(Settings!$B$23="USD",1/INDEX(Settings!$B$29:$B$40,MONTH(A6593)),INDEX(Settings!$B$29:$B$40,MONTH(A6593)))))</f>
        <v/>
      </c>
    </row>
    <row r="6594" customFormat="false" ht="15" hidden="false" customHeight="false" outlineLevel="0" collapsed="false">
      <c r="H6594" s="0" t="str">
        <f aca="false">IF(B6594="","",IF(COUNTIF(Campaigns!$A$7:$A$300,B6594)&gt;0,"✓","⚠ add to Campaigns tab"))</f>
        <v/>
      </c>
      <c r="I6594" s="84" t="str">
        <f aca="false">IF(C6594="","",C6594*IF(Settings!$B$23=Settings!$C$6,1,IF(Settings!$B$23="USD",1/INDEX(Settings!$B$29:$B$40,MONTH(A6594)),INDEX(Settings!$B$29:$B$40,MONTH(A6594)))))</f>
        <v/>
      </c>
    </row>
    <row r="6595" customFormat="false" ht="15" hidden="false" customHeight="false" outlineLevel="0" collapsed="false">
      <c r="H6595" s="0" t="str">
        <f aca="false">IF(B6595="","",IF(COUNTIF(Campaigns!$A$7:$A$300,B6595)&gt;0,"✓","⚠ add to Campaigns tab"))</f>
        <v/>
      </c>
      <c r="I6595" s="84" t="str">
        <f aca="false">IF(C6595="","",C6595*IF(Settings!$B$23=Settings!$C$6,1,IF(Settings!$B$23="USD",1/INDEX(Settings!$B$29:$B$40,MONTH(A6595)),INDEX(Settings!$B$29:$B$40,MONTH(A6595)))))</f>
        <v/>
      </c>
    </row>
    <row r="6596" customFormat="false" ht="15" hidden="false" customHeight="false" outlineLevel="0" collapsed="false">
      <c r="H6596" s="0" t="str">
        <f aca="false">IF(B6596="","",IF(COUNTIF(Campaigns!$A$7:$A$300,B6596)&gt;0,"✓","⚠ add to Campaigns tab"))</f>
        <v/>
      </c>
      <c r="I6596" s="84" t="str">
        <f aca="false">IF(C6596="","",C6596*IF(Settings!$B$23=Settings!$C$6,1,IF(Settings!$B$23="USD",1/INDEX(Settings!$B$29:$B$40,MONTH(A6596)),INDEX(Settings!$B$29:$B$40,MONTH(A6596)))))</f>
        <v/>
      </c>
    </row>
    <row r="6597" customFormat="false" ht="15" hidden="false" customHeight="false" outlineLevel="0" collapsed="false">
      <c r="H6597" s="0" t="str">
        <f aca="false">IF(B6597="","",IF(COUNTIF(Campaigns!$A$7:$A$300,B6597)&gt;0,"✓","⚠ add to Campaigns tab"))</f>
        <v/>
      </c>
      <c r="I6597" s="84" t="str">
        <f aca="false">IF(C6597="","",C6597*IF(Settings!$B$23=Settings!$C$6,1,IF(Settings!$B$23="USD",1/INDEX(Settings!$B$29:$B$40,MONTH(A6597)),INDEX(Settings!$B$29:$B$40,MONTH(A6597)))))</f>
        <v/>
      </c>
    </row>
    <row r="6598" customFormat="false" ht="15" hidden="false" customHeight="false" outlineLevel="0" collapsed="false">
      <c r="H6598" s="0" t="str">
        <f aca="false">IF(B6598="","",IF(COUNTIF(Campaigns!$A$7:$A$300,B6598)&gt;0,"✓","⚠ add to Campaigns tab"))</f>
        <v/>
      </c>
      <c r="I6598" s="84" t="str">
        <f aca="false">IF(C6598="","",C6598*IF(Settings!$B$23=Settings!$C$6,1,IF(Settings!$B$23="USD",1/INDEX(Settings!$B$29:$B$40,MONTH(A6598)),INDEX(Settings!$B$29:$B$40,MONTH(A6598)))))</f>
        <v/>
      </c>
    </row>
    <row r="6599" customFormat="false" ht="15" hidden="false" customHeight="false" outlineLevel="0" collapsed="false">
      <c r="H6599" s="0" t="str">
        <f aca="false">IF(B6599="","",IF(COUNTIF(Campaigns!$A$7:$A$300,B6599)&gt;0,"✓","⚠ add to Campaigns tab"))</f>
        <v/>
      </c>
      <c r="I6599" s="84" t="str">
        <f aca="false">IF(C6599="","",C6599*IF(Settings!$B$23=Settings!$C$6,1,IF(Settings!$B$23="USD",1/INDEX(Settings!$B$29:$B$40,MONTH(A6599)),INDEX(Settings!$B$29:$B$40,MONTH(A6599)))))</f>
        <v/>
      </c>
    </row>
    <row r="6600" customFormat="false" ht="15" hidden="false" customHeight="false" outlineLevel="0" collapsed="false">
      <c r="H6600" s="0" t="str">
        <f aca="false">IF(B6600="","",IF(COUNTIF(Campaigns!$A$7:$A$300,B6600)&gt;0,"✓","⚠ add to Campaigns tab"))</f>
        <v/>
      </c>
      <c r="I6600" s="84" t="str">
        <f aca="false">IF(C6600="","",C6600*IF(Settings!$B$23=Settings!$C$6,1,IF(Settings!$B$23="USD",1/INDEX(Settings!$B$29:$B$40,MONTH(A6600)),INDEX(Settings!$B$29:$B$40,MONTH(A6600)))))</f>
        <v/>
      </c>
    </row>
    <row r="6601" customFormat="false" ht="15" hidden="false" customHeight="false" outlineLevel="0" collapsed="false">
      <c r="H6601" s="0" t="str">
        <f aca="false">IF(B6601="","",IF(COUNTIF(Campaigns!$A$7:$A$300,B6601)&gt;0,"✓","⚠ add to Campaigns tab"))</f>
        <v/>
      </c>
      <c r="I6601" s="84" t="str">
        <f aca="false">IF(C6601="","",C6601*IF(Settings!$B$23=Settings!$C$6,1,IF(Settings!$B$23="USD",1/INDEX(Settings!$B$29:$B$40,MONTH(A6601)),INDEX(Settings!$B$29:$B$40,MONTH(A6601)))))</f>
        <v/>
      </c>
    </row>
    <row r="6602" customFormat="false" ht="15" hidden="false" customHeight="false" outlineLevel="0" collapsed="false">
      <c r="H6602" s="0" t="str">
        <f aca="false">IF(B6602="","",IF(COUNTIF(Campaigns!$A$7:$A$300,B6602)&gt;0,"✓","⚠ add to Campaigns tab"))</f>
        <v/>
      </c>
      <c r="I6602" s="84" t="str">
        <f aca="false">IF(C6602="","",C6602*IF(Settings!$B$23=Settings!$C$6,1,IF(Settings!$B$23="USD",1/INDEX(Settings!$B$29:$B$40,MONTH(A6602)),INDEX(Settings!$B$29:$B$40,MONTH(A6602)))))</f>
        <v/>
      </c>
    </row>
    <row r="6603" customFormat="false" ht="15" hidden="false" customHeight="false" outlineLevel="0" collapsed="false">
      <c r="H6603" s="0" t="str">
        <f aca="false">IF(B6603="","",IF(COUNTIF(Campaigns!$A$7:$A$300,B6603)&gt;0,"✓","⚠ add to Campaigns tab"))</f>
        <v/>
      </c>
      <c r="I6603" s="84" t="str">
        <f aca="false">IF(C6603="","",C6603*IF(Settings!$B$23=Settings!$C$6,1,IF(Settings!$B$23="USD",1/INDEX(Settings!$B$29:$B$40,MONTH(A6603)),INDEX(Settings!$B$29:$B$40,MONTH(A6603)))))</f>
        <v/>
      </c>
    </row>
    <row r="6604" customFormat="false" ht="15" hidden="false" customHeight="false" outlineLevel="0" collapsed="false">
      <c r="H6604" s="0" t="str">
        <f aca="false">IF(B6604="","",IF(COUNTIF(Campaigns!$A$7:$A$300,B6604)&gt;0,"✓","⚠ add to Campaigns tab"))</f>
        <v/>
      </c>
      <c r="I6604" s="84" t="str">
        <f aca="false">IF(C6604="","",C6604*IF(Settings!$B$23=Settings!$C$6,1,IF(Settings!$B$23="USD",1/INDEX(Settings!$B$29:$B$40,MONTH(A6604)),INDEX(Settings!$B$29:$B$40,MONTH(A6604)))))</f>
        <v/>
      </c>
    </row>
    <row r="6605" customFormat="false" ht="15" hidden="false" customHeight="false" outlineLevel="0" collapsed="false">
      <c r="H6605" s="0" t="str">
        <f aca="false">IF(B6605="","",IF(COUNTIF(Campaigns!$A$7:$A$300,B6605)&gt;0,"✓","⚠ add to Campaigns tab"))</f>
        <v/>
      </c>
      <c r="I6605" s="84" t="str">
        <f aca="false">IF(C6605="","",C6605*IF(Settings!$B$23=Settings!$C$6,1,IF(Settings!$B$23="USD",1/INDEX(Settings!$B$29:$B$40,MONTH(A6605)),INDEX(Settings!$B$29:$B$40,MONTH(A6605)))))</f>
        <v/>
      </c>
    </row>
    <row r="6606" customFormat="false" ht="15" hidden="false" customHeight="false" outlineLevel="0" collapsed="false">
      <c r="H6606" s="0" t="str">
        <f aca="false">IF(B6606="","",IF(COUNTIF(Campaigns!$A$7:$A$300,B6606)&gt;0,"✓","⚠ add to Campaigns tab"))</f>
        <v/>
      </c>
      <c r="I6606" s="84" t="str">
        <f aca="false">IF(C6606="","",C6606*IF(Settings!$B$23=Settings!$C$6,1,IF(Settings!$B$23="USD",1/INDEX(Settings!$B$29:$B$40,MONTH(A6606)),INDEX(Settings!$B$29:$B$40,MONTH(A6606)))))</f>
        <v/>
      </c>
    </row>
    <row r="6607" customFormat="false" ht="15" hidden="false" customHeight="false" outlineLevel="0" collapsed="false">
      <c r="H6607" s="0" t="str">
        <f aca="false">IF(B6607="","",IF(COUNTIF(Campaigns!$A$7:$A$300,B6607)&gt;0,"✓","⚠ add to Campaigns tab"))</f>
        <v/>
      </c>
      <c r="I6607" s="84" t="str">
        <f aca="false">IF(C6607="","",C6607*IF(Settings!$B$23=Settings!$C$6,1,IF(Settings!$B$23="USD",1/INDEX(Settings!$B$29:$B$40,MONTH(A6607)),INDEX(Settings!$B$29:$B$40,MONTH(A6607)))))</f>
        <v/>
      </c>
    </row>
    <row r="6608" customFormat="false" ht="15" hidden="false" customHeight="false" outlineLevel="0" collapsed="false">
      <c r="H6608" s="0" t="str">
        <f aca="false">IF(B6608="","",IF(COUNTIF(Campaigns!$A$7:$A$300,B6608)&gt;0,"✓","⚠ add to Campaigns tab"))</f>
        <v/>
      </c>
      <c r="I6608" s="84" t="str">
        <f aca="false">IF(C6608="","",C6608*IF(Settings!$B$23=Settings!$C$6,1,IF(Settings!$B$23="USD",1/INDEX(Settings!$B$29:$B$40,MONTH(A6608)),INDEX(Settings!$B$29:$B$40,MONTH(A6608)))))</f>
        <v/>
      </c>
    </row>
    <row r="6609" customFormat="false" ht="15" hidden="false" customHeight="false" outlineLevel="0" collapsed="false">
      <c r="H6609" s="0" t="str">
        <f aca="false">IF(B6609="","",IF(COUNTIF(Campaigns!$A$7:$A$300,B6609)&gt;0,"✓","⚠ add to Campaigns tab"))</f>
        <v/>
      </c>
      <c r="I6609" s="84" t="str">
        <f aca="false">IF(C6609="","",C6609*IF(Settings!$B$23=Settings!$C$6,1,IF(Settings!$B$23="USD",1/INDEX(Settings!$B$29:$B$40,MONTH(A6609)),INDEX(Settings!$B$29:$B$40,MONTH(A6609)))))</f>
        <v/>
      </c>
    </row>
    <row r="6610" customFormat="false" ht="15" hidden="false" customHeight="false" outlineLevel="0" collapsed="false">
      <c r="H6610" s="0" t="str">
        <f aca="false">IF(B6610="","",IF(COUNTIF(Campaigns!$A$7:$A$300,B6610)&gt;0,"✓","⚠ add to Campaigns tab"))</f>
        <v/>
      </c>
      <c r="I6610" s="84" t="str">
        <f aca="false">IF(C6610="","",C6610*IF(Settings!$B$23=Settings!$C$6,1,IF(Settings!$B$23="USD",1/INDEX(Settings!$B$29:$B$40,MONTH(A6610)),INDEX(Settings!$B$29:$B$40,MONTH(A6610)))))</f>
        <v/>
      </c>
    </row>
    <row r="6611" customFormat="false" ht="15" hidden="false" customHeight="false" outlineLevel="0" collapsed="false">
      <c r="H6611" s="0" t="str">
        <f aca="false">IF(B6611="","",IF(COUNTIF(Campaigns!$A$7:$A$300,B6611)&gt;0,"✓","⚠ add to Campaigns tab"))</f>
        <v/>
      </c>
      <c r="I6611" s="84" t="str">
        <f aca="false">IF(C6611="","",C6611*IF(Settings!$B$23=Settings!$C$6,1,IF(Settings!$B$23="USD",1/INDEX(Settings!$B$29:$B$40,MONTH(A6611)),INDEX(Settings!$B$29:$B$40,MONTH(A6611)))))</f>
        <v/>
      </c>
    </row>
    <row r="6612" customFormat="false" ht="15" hidden="false" customHeight="false" outlineLevel="0" collapsed="false">
      <c r="H6612" s="0" t="str">
        <f aca="false">IF(B6612="","",IF(COUNTIF(Campaigns!$A$7:$A$300,B6612)&gt;0,"✓","⚠ add to Campaigns tab"))</f>
        <v/>
      </c>
      <c r="I6612" s="84" t="str">
        <f aca="false">IF(C6612="","",C6612*IF(Settings!$B$23=Settings!$C$6,1,IF(Settings!$B$23="USD",1/INDEX(Settings!$B$29:$B$40,MONTH(A6612)),INDEX(Settings!$B$29:$B$40,MONTH(A6612)))))</f>
        <v/>
      </c>
    </row>
    <row r="6613" customFormat="false" ht="15" hidden="false" customHeight="false" outlineLevel="0" collapsed="false">
      <c r="H6613" s="0" t="str">
        <f aca="false">IF(B6613="","",IF(COUNTIF(Campaigns!$A$7:$A$300,B6613)&gt;0,"✓","⚠ add to Campaigns tab"))</f>
        <v/>
      </c>
      <c r="I6613" s="84" t="str">
        <f aca="false">IF(C6613="","",C6613*IF(Settings!$B$23=Settings!$C$6,1,IF(Settings!$B$23="USD",1/INDEX(Settings!$B$29:$B$40,MONTH(A6613)),INDEX(Settings!$B$29:$B$40,MONTH(A6613)))))</f>
        <v/>
      </c>
    </row>
    <row r="6614" customFormat="false" ht="15" hidden="false" customHeight="false" outlineLevel="0" collapsed="false">
      <c r="H6614" s="0" t="str">
        <f aca="false">IF(B6614="","",IF(COUNTIF(Campaigns!$A$7:$A$300,B6614)&gt;0,"✓","⚠ add to Campaigns tab"))</f>
        <v/>
      </c>
      <c r="I6614" s="84" t="str">
        <f aca="false">IF(C6614="","",C6614*IF(Settings!$B$23=Settings!$C$6,1,IF(Settings!$B$23="USD",1/INDEX(Settings!$B$29:$B$40,MONTH(A6614)),INDEX(Settings!$B$29:$B$40,MONTH(A6614)))))</f>
        <v/>
      </c>
    </row>
    <row r="6615" customFormat="false" ht="15" hidden="false" customHeight="false" outlineLevel="0" collapsed="false">
      <c r="H6615" s="0" t="str">
        <f aca="false">IF(B6615="","",IF(COUNTIF(Campaigns!$A$7:$A$300,B6615)&gt;0,"✓","⚠ add to Campaigns tab"))</f>
        <v/>
      </c>
      <c r="I6615" s="84" t="str">
        <f aca="false">IF(C6615="","",C6615*IF(Settings!$B$23=Settings!$C$6,1,IF(Settings!$B$23="USD",1/INDEX(Settings!$B$29:$B$40,MONTH(A6615)),INDEX(Settings!$B$29:$B$40,MONTH(A6615)))))</f>
        <v/>
      </c>
    </row>
    <row r="6616" customFormat="false" ht="15" hidden="false" customHeight="false" outlineLevel="0" collapsed="false">
      <c r="H6616" s="0" t="str">
        <f aca="false">IF(B6616="","",IF(COUNTIF(Campaigns!$A$7:$A$300,B6616)&gt;0,"✓","⚠ add to Campaigns tab"))</f>
        <v/>
      </c>
      <c r="I6616" s="84" t="str">
        <f aca="false">IF(C6616="","",C6616*IF(Settings!$B$23=Settings!$C$6,1,IF(Settings!$B$23="USD",1/INDEX(Settings!$B$29:$B$40,MONTH(A6616)),INDEX(Settings!$B$29:$B$40,MONTH(A6616)))))</f>
        <v/>
      </c>
    </row>
    <row r="6617" customFormat="false" ht="15" hidden="false" customHeight="false" outlineLevel="0" collapsed="false">
      <c r="H6617" s="0" t="str">
        <f aca="false">IF(B6617="","",IF(COUNTIF(Campaigns!$A$7:$A$300,B6617)&gt;0,"✓","⚠ add to Campaigns tab"))</f>
        <v/>
      </c>
      <c r="I6617" s="84" t="str">
        <f aca="false">IF(C6617="","",C6617*IF(Settings!$B$23=Settings!$C$6,1,IF(Settings!$B$23="USD",1/INDEX(Settings!$B$29:$B$40,MONTH(A6617)),INDEX(Settings!$B$29:$B$40,MONTH(A6617)))))</f>
        <v/>
      </c>
    </row>
    <row r="6618" customFormat="false" ht="15" hidden="false" customHeight="false" outlineLevel="0" collapsed="false">
      <c r="H6618" s="0" t="str">
        <f aca="false">IF(B6618="","",IF(COUNTIF(Campaigns!$A$7:$A$300,B6618)&gt;0,"✓","⚠ add to Campaigns tab"))</f>
        <v/>
      </c>
      <c r="I6618" s="84" t="str">
        <f aca="false">IF(C6618="","",C6618*IF(Settings!$B$23=Settings!$C$6,1,IF(Settings!$B$23="USD",1/INDEX(Settings!$B$29:$B$40,MONTH(A6618)),INDEX(Settings!$B$29:$B$40,MONTH(A6618)))))</f>
        <v/>
      </c>
    </row>
    <row r="6619" customFormat="false" ht="15" hidden="false" customHeight="false" outlineLevel="0" collapsed="false">
      <c r="H6619" s="0" t="str">
        <f aca="false">IF(B6619="","",IF(COUNTIF(Campaigns!$A$7:$A$300,B6619)&gt;0,"✓","⚠ add to Campaigns tab"))</f>
        <v/>
      </c>
      <c r="I6619" s="84" t="str">
        <f aca="false">IF(C6619="","",C6619*IF(Settings!$B$23=Settings!$C$6,1,IF(Settings!$B$23="USD",1/INDEX(Settings!$B$29:$B$40,MONTH(A6619)),INDEX(Settings!$B$29:$B$40,MONTH(A6619)))))</f>
        <v/>
      </c>
    </row>
    <row r="6620" customFormat="false" ht="15" hidden="false" customHeight="false" outlineLevel="0" collapsed="false">
      <c r="H6620" s="0" t="str">
        <f aca="false">IF(B6620="","",IF(COUNTIF(Campaigns!$A$7:$A$300,B6620)&gt;0,"✓","⚠ add to Campaigns tab"))</f>
        <v/>
      </c>
      <c r="I6620" s="84" t="str">
        <f aca="false">IF(C6620="","",C6620*IF(Settings!$B$23=Settings!$C$6,1,IF(Settings!$B$23="USD",1/INDEX(Settings!$B$29:$B$40,MONTH(A6620)),INDEX(Settings!$B$29:$B$40,MONTH(A6620)))))</f>
        <v/>
      </c>
    </row>
    <row r="6621" customFormat="false" ht="15" hidden="false" customHeight="false" outlineLevel="0" collapsed="false">
      <c r="H6621" s="0" t="str">
        <f aca="false">IF(B6621="","",IF(COUNTIF(Campaigns!$A$7:$A$300,B6621)&gt;0,"✓","⚠ add to Campaigns tab"))</f>
        <v/>
      </c>
      <c r="I6621" s="84" t="str">
        <f aca="false">IF(C6621="","",C6621*IF(Settings!$B$23=Settings!$C$6,1,IF(Settings!$B$23="USD",1/INDEX(Settings!$B$29:$B$40,MONTH(A6621)),INDEX(Settings!$B$29:$B$40,MONTH(A6621)))))</f>
        <v/>
      </c>
    </row>
    <row r="6622" customFormat="false" ht="15" hidden="false" customHeight="false" outlineLevel="0" collapsed="false">
      <c r="H6622" s="0" t="str">
        <f aca="false">IF(B6622="","",IF(COUNTIF(Campaigns!$A$7:$A$300,B6622)&gt;0,"✓","⚠ add to Campaigns tab"))</f>
        <v/>
      </c>
      <c r="I6622" s="84" t="str">
        <f aca="false">IF(C6622="","",C6622*IF(Settings!$B$23=Settings!$C$6,1,IF(Settings!$B$23="USD",1/INDEX(Settings!$B$29:$B$40,MONTH(A6622)),INDEX(Settings!$B$29:$B$40,MONTH(A6622)))))</f>
        <v/>
      </c>
    </row>
    <row r="6623" customFormat="false" ht="15" hidden="false" customHeight="false" outlineLevel="0" collapsed="false">
      <c r="H6623" s="0" t="str">
        <f aca="false">IF(B6623="","",IF(COUNTIF(Campaigns!$A$7:$A$300,B6623)&gt;0,"✓","⚠ add to Campaigns tab"))</f>
        <v/>
      </c>
      <c r="I6623" s="84" t="str">
        <f aca="false">IF(C6623="","",C6623*IF(Settings!$B$23=Settings!$C$6,1,IF(Settings!$B$23="USD",1/INDEX(Settings!$B$29:$B$40,MONTH(A6623)),INDEX(Settings!$B$29:$B$40,MONTH(A6623)))))</f>
        <v/>
      </c>
    </row>
    <row r="6624" customFormat="false" ht="15" hidden="false" customHeight="false" outlineLevel="0" collapsed="false">
      <c r="H6624" s="0" t="str">
        <f aca="false">IF(B6624="","",IF(COUNTIF(Campaigns!$A$7:$A$300,B6624)&gt;0,"✓","⚠ add to Campaigns tab"))</f>
        <v/>
      </c>
      <c r="I6624" s="84" t="str">
        <f aca="false">IF(C6624="","",C6624*IF(Settings!$B$23=Settings!$C$6,1,IF(Settings!$B$23="USD",1/INDEX(Settings!$B$29:$B$40,MONTH(A6624)),INDEX(Settings!$B$29:$B$40,MONTH(A6624)))))</f>
        <v/>
      </c>
    </row>
    <row r="6625" customFormat="false" ht="15" hidden="false" customHeight="false" outlineLevel="0" collapsed="false">
      <c r="H6625" s="0" t="str">
        <f aca="false">IF(B6625="","",IF(COUNTIF(Campaigns!$A$7:$A$300,B6625)&gt;0,"✓","⚠ add to Campaigns tab"))</f>
        <v/>
      </c>
      <c r="I6625" s="84" t="str">
        <f aca="false">IF(C6625="","",C6625*IF(Settings!$B$23=Settings!$C$6,1,IF(Settings!$B$23="USD",1/INDEX(Settings!$B$29:$B$40,MONTH(A6625)),INDEX(Settings!$B$29:$B$40,MONTH(A6625)))))</f>
        <v/>
      </c>
    </row>
    <row r="6626" customFormat="false" ht="15" hidden="false" customHeight="false" outlineLevel="0" collapsed="false">
      <c r="H6626" s="0" t="str">
        <f aca="false">IF(B6626="","",IF(COUNTIF(Campaigns!$A$7:$A$300,B6626)&gt;0,"✓","⚠ add to Campaigns tab"))</f>
        <v/>
      </c>
      <c r="I6626" s="84" t="str">
        <f aca="false">IF(C6626="","",C6626*IF(Settings!$B$23=Settings!$C$6,1,IF(Settings!$B$23="USD",1/INDEX(Settings!$B$29:$B$40,MONTH(A6626)),INDEX(Settings!$B$29:$B$40,MONTH(A6626)))))</f>
        <v/>
      </c>
    </row>
    <row r="6627" customFormat="false" ht="15" hidden="false" customHeight="false" outlineLevel="0" collapsed="false">
      <c r="H6627" s="0" t="str">
        <f aca="false">IF(B6627="","",IF(COUNTIF(Campaigns!$A$7:$A$300,B6627)&gt;0,"✓","⚠ add to Campaigns tab"))</f>
        <v/>
      </c>
      <c r="I6627" s="84" t="str">
        <f aca="false">IF(C6627="","",C6627*IF(Settings!$B$23=Settings!$C$6,1,IF(Settings!$B$23="USD",1/INDEX(Settings!$B$29:$B$40,MONTH(A6627)),INDEX(Settings!$B$29:$B$40,MONTH(A6627)))))</f>
        <v/>
      </c>
    </row>
    <row r="6628" customFormat="false" ht="15" hidden="false" customHeight="false" outlineLevel="0" collapsed="false">
      <c r="H6628" s="0" t="str">
        <f aca="false">IF(B6628="","",IF(COUNTIF(Campaigns!$A$7:$A$300,B6628)&gt;0,"✓","⚠ add to Campaigns tab"))</f>
        <v/>
      </c>
      <c r="I6628" s="84" t="str">
        <f aca="false">IF(C6628="","",C6628*IF(Settings!$B$23=Settings!$C$6,1,IF(Settings!$B$23="USD",1/INDEX(Settings!$B$29:$B$40,MONTH(A6628)),INDEX(Settings!$B$29:$B$40,MONTH(A6628)))))</f>
        <v/>
      </c>
    </row>
    <row r="6629" customFormat="false" ht="15" hidden="false" customHeight="false" outlineLevel="0" collapsed="false">
      <c r="H6629" s="0" t="str">
        <f aca="false">IF(B6629="","",IF(COUNTIF(Campaigns!$A$7:$A$300,B6629)&gt;0,"✓","⚠ add to Campaigns tab"))</f>
        <v/>
      </c>
      <c r="I6629" s="84" t="str">
        <f aca="false">IF(C6629="","",C6629*IF(Settings!$B$23=Settings!$C$6,1,IF(Settings!$B$23="USD",1/INDEX(Settings!$B$29:$B$40,MONTH(A6629)),INDEX(Settings!$B$29:$B$40,MONTH(A6629)))))</f>
        <v/>
      </c>
    </row>
    <row r="6630" customFormat="false" ht="15" hidden="false" customHeight="false" outlineLevel="0" collapsed="false">
      <c r="H6630" s="0" t="str">
        <f aca="false">IF(B6630="","",IF(COUNTIF(Campaigns!$A$7:$A$300,B6630)&gt;0,"✓","⚠ add to Campaigns tab"))</f>
        <v/>
      </c>
      <c r="I6630" s="84" t="str">
        <f aca="false">IF(C6630="","",C6630*IF(Settings!$B$23=Settings!$C$6,1,IF(Settings!$B$23="USD",1/INDEX(Settings!$B$29:$B$40,MONTH(A6630)),INDEX(Settings!$B$29:$B$40,MONTH(A6630)))))</f>
        <v/>
      </c>
    </row>
    <row r="6631" customFormat="false" ht="15" hidden="false" customHeight="false" outlineLevel="0" collapsed="false">
      <c r="H6631" s="0" t="str">
        <f aca="false">IF(B6631="","",IF(COUNTIF(Campaigns!$A$7:$A$300,B6631)&gt;0,"✓","⚠ add to Campaigns tab"))</f>
        <v/>
      </c>
      <c r="I6631" s="84" t="str">
        <f aca="false">IF(C6631="","",C6631*IF(Settings!$B$23=Settings!$C$6,1,IF(Settings!$B$23="USD",1/INDEX(Settings!$B$29:$B$40,MONTH(A6631)),INDEX(Settings!$B$29:$B$40,MONTH(A6631)))))</f>
        <v/>
      </c>
    </row>
    <row r="6632" customFormat="false" ht="15" hidden="false" customHeight="false" outlineLevel="0" collapsed="false">
      <c r="H6632" s="0" t="str">
        <f aca="false">IF(B6632="","",IF(COUNTIF(Campaigns!$A$7:$A$300,B6632)&gt;0,"✓","⚠ add to Campaigns tab"))</f>
        <v/>
      </c>
      <c r="I6632" s="84" t="str">
        <f aca="false">IF(C6632="","",C6632*IF(Settings!$B$23=Settings!$C$6,1,IF(Settings!$B$23="USD",1/INDEX(Settings!$B$29:$B$40,MONTH(A6632)),INDEX(Settings!$B$29:$B$40,MONTH(A6632)))))</f>
        <v/>
      </c>
    </row>
    <row r="6633" customFormat="false" ht="15" hidden="false" customHeight="false" outlineLevel="0" collapsed="false">
      <c r="H6633" s="0" t="str">
        <f aca="false">IF(B6633="","",IF(COUNTIF(Campaigns!$A$7:$A$300,B6633)&gt;0,"✓","⚠ add to Campaigns tab"))</f>
        <v/>
      </c>
      <c r="I6633" s="84" t="str">
        <f aca="false">IF(C6633="","",C6633*IF(Settings!$B$23=Settings!$C$6,1,IF(Settings!$B$23="USD",1/INDEX(Settings!$B$29:$B$40,MONTH(A6633)),INDEX(Settings!$B$29:$B$40,MONTH(A6633)))))</f>
        <v/>
      </c>
    </row>
    <row r="6634" customFormat="false" ht="15" hidden="false" customHeight="false" outlineLevel="0" collapsed="false">
      <c r="H6634" s="0" t="str">
        <f aca="false">IF(B6634="","",IF(COUNTIF(Campaigns!$A$7:$A$300,B6634)&gt;0,"✓","⚠ add to Campaigns tab"))</f>
        <v/>
      </c>
      <c r="I6634" s="84" t="str">
        <f aca="false">IF(C6634="","",C6634*IF(Settings!$B$23=Settings!$C$6,1,IF(Settings!$B$23="USD",1/INDEX(Settings!$B$29:$B$40,MONTH(A6634)),INDEX(Settings!$B$29:$B$40,MONTH(A6634)))))</f>
        <v/>
      </c>
    </row>
    <row r="6635" customFormat="false" ht="15" hidden="false" customHeight="false" outlineLevel="0" collapsed="false">
      <c r="H6635" s="0" t="str">
        <f aca="false">IF(B6635="","",IF(COUNTIF(Campaigns!$A$7:$A$300,B6635)&gt;0,"✓","⚠ add to Campaigns tab"))</f>
        <v/>
      </c>
      <c r="I6635" s="84" t="str">
        <f aca="false">IF(C6635="","",C6635*IF(Settings!$B$23=Settings!$C$6,1,IF(Settings!$B$23="USD",1/INDEX(Settings!$B$29:$B$40,MONTH(A6635)),INDEX(Settings!$B$29:$B$40,MONTH(A6635)))))</f>
        <v/>
      </c>
    </row>
    <row r="6636" customFormat="false" ht="15" hidden="false" customHeight="false" outlineLevel="0" collapsed="false">
      <c r="H6636" s="0" t="str">
        <f aca="false">IF(B6636="","",IF(COUNTIF(Campaigns!$A$7:$A$300,B6636)&gt;0,"✓","⚠ add to Campaigns tab"))</f>
        <v/>
      </c>
      <c r="I6636" s="84" t="str">
        <f aca="false">IF(C6636="","",C6636*IF(Settings!$B$23=Settings!$C$6,1,IF(Settings!$B$23="USD",1/INDEX(Settings!$B$29:$B$40,MONTH(A6636)),INDEX(Settings!$B$29:$B$40,MONTH(A6636)))))</f>
        <v/>
      </c>
    </row>
    <row r="6637" customFormat="false" ht="15" hidden="false" customHeight="false" outlineLevel="0" collapsed="false">
      <c r="H6637" s="0" t="str">
        <f aca="false">IF(B6637="","",IF(COUNTIF(Campaigns!$A$7:$A$300,B6637)&gt;0,"✓","⚠ add to Campaigns tab"))</f>
        <v/>
      </c>
      <c r="I6637" s="84" t="str">
        <f aca="false">IF(C6637="","",C6637*IF(Settings!$B$23=Settings!$C$6,1,IF(Settings!$B$23="USD",1/INDEX(Settings!$B$29:$B$40,MONTH(A6637)),INDEX(Settings!$B$29:$B$40,MONTH(A6637)))))</f>
        <v/>
      </c>
    </row>
    <row r="6638" customFormat="false" ht="15" hidden="false" customHeight="false" outlineLevel="0" collapsed="false">
      <c r="H6638" s="0" t="str">
        <f aca="false">IF(B6638="","",IF(COUNTIF(Campaigns!$A$7:$A$300,B6638)&gt;0,"✓","⚠ add to Campaigns tab"))</f>
        <v/>
      </c>
      <c r="I6638" s="84" t="str">
        <f aca="false">IF(C6638="","",C6638*IF(Settings!$B$23=Settings!$C$6,1,IF(Settings!$B$23="USD",1/INDEX(Settings!$B$29:$B$40,MONTH(A6638)),INDEX(Settings!$B$29:$B$40,MONTH(A6638)))))</f>
        <v/>
      </c>
    </row>
    <row r="6639" customFormat="false" ht="15" hidden="false" customHeight="false" outlineLevel="0" collapsed="false">
      <c r="H6639" s="0" t="str">
        <f aca="false">IF(B6639="","",IF(COUNTIF(Campaigns!$A$7:$A$300,B6639)&gt;0,"✓","⚠ add to Campaigns tab"))</f>
        <v/>
      </c>
      <c r="I6639" s="84" t="str">
        <f aca="false">IF(C6639="","",C6639*IF(Settings!$B$23=Settings!$C$6,1,IF(Settings!$B$23="USD",1/INDEX(Settings!$B$29:$B$40,MONTH(A6639)),INDEX(Settings!$B$29:$B$40,MONTH(A6639)))))</f>
        <v/>
      </c>
    </row>
    <row r="6640" customFormat="false" ht="15" hidden="false" customHeight="false" outlineLevel="0" collapsed="false">
      <c r="H6640" s="0" t="str">
        <f aca="false">IF(B6640="","",IF(COUNTIF(Campaigns!$A$7:$A$300,B6640)&gt;0,"✓","⚠ add to Campaigns tab"))</f>
        <v/>
      </c>
      <c r="I6640" s="84" t="str">
        <f aca="false">IF(C6640="","",C6640*IF(Settings!$B$23=Settings!$C$6,1,IF(Settings!$B$23="USD",1/INDEX(Settings!$B$29:$B$40,MONTH(A6640)),INDEX(Settings!$B$29:$B$40,MONTH(A6640)))))</f>
        <v/>
      </c>
    </row>
    <row r="6641" customFormat="false" ht="15" hidden="false" customHeight="false" outlineLevel="0" collapsed="false">
      <c r="H6641" s="0" t="str">
        <f aca="false">IF(B6641="","",IF(COUNTIF(Campaigns!$A$7:$A$300,B6641)&gt;0,"✓","⚠ add to Campaigns tab"))</f>
        <v/>
      </c>
      <c r="I6641" s="84" t="str">
        <f aca="false">IF(C6641="","",C6641*IF(Settings!$B$23=Settings!$C$6,1,IF(Settings!$B$23="USD",1/INDEX(Settings!$B$29:$B$40,MONTH(A6641)),INDEX(Settings!$B$29:$B$40,MONTH(A6641)))))</f>
        <v/>
      </c>
    </row>
    <row r="6642" customFormat="false" ht="15" hidden="false" customHeight="false" outlineLevel="0" collapsed="false">
      <c r="H6642" s="0" t="str">
        <f aca="false">IF(B6642="","",IF(COUNTIF(Campaigns!$A$7:$A$300,B6642)&gt;0,"✓","⚠ add to Campaigns tab"))</f>
        <v/>
      </c>
      <c r="I6642" s="84" t="str">
        <f aca="false">IF(C6642="","",C6642*IF(Settings!$B$23=Settings!$C$6,1,IF(Settings!$B$23="USD",1/INDEX(Settings!$B$29:$B$40,MONTH(A6642)),INDEX(Settings!$B$29:$B$40,MONTH(A6642)))))</f>
        <v/>
      </c>
    </row>
    <row r="6643" customFormat="false" ht="15" hidden="false" customHeight="false" outlineLevel="0" collapsed="false">
      <c r="H6643" s="0" t="str">
        <f aca="false">IF(B6643="","",IF(COUNTIF(Campaigns!$A$7:$A$300,B6643)&gt;0,"✓","⚠ add to Campaigns tab"))</f>
        <v/>
      </c>
      <c r="I6643" s="84" t="str">
        <f aca="false">IF(C6643="","",C6643*IF(Settings!$B$23=Settings!$C$6,1,IF(Settings!$B$23="USD",1/INDEX(Settings!$B$29:$B$40,MONTH(A6643)),INDEX(Settings!$B$29:$B$40,MONTH(A6643)))))</f>
        <v/>
      </c>
    </row>
    <row r="6644" customFormat="false" ht="15" hidden="false" customHeight="false" outlineLevel="0" collapsed="false">
      <c r="H6644" s="0" t="str">
        <f aca="false">IF(B6644="","",IF(COUNTIF(Campaigns!$A$7:$A$300,B6644)&gt;0,"✓","⚠ add to Campaigns tab"))</f>
        <v/>
      </c>
      <c r="I6644" s="84" t="str">
        <f aca="false">IF(C6644="","",C6644*IF(Settings!$B$23=Settings!$C$6,1,IF(Settings!$B$23="USD",1/INDEX(Settings!$B$29:$B$40,MONTH(A6644)),INDEX(Settings!$B$29:$B$40,MONTH(A6644)))))</f>
        <v/>
      </c>
    </row>
    <row r="6645" customFormat="false" ht="15" hidden="false" customHeight="false" outlineLevel="0" collapsed="false">
      <c r="H6645" s="0" t="str">
        <f aca="false">IF(B6645="","",IF(COUNTIF(Campaigns!$A$7:$A$300,B6645)&gt;0,"✓","⚠ add to Campaigns tab"))</f>
        <v/>
      </c>
      <c r="I6645" s="84" t="str">
        <f aca="false">IF(C6645="","",C6645*IF(Settings!$B$23=Settings!$C$6,1,IF(Settings!$B$23="USD",1/INDEX(Settings!$B$29:$B$40,MONTH(A6645)),INDEX(Settings!$B$29:$B$40,MONTH(A6645)))))</f>
        <v/>
      </c>
    </row>
    <row r="6646" customFormat="false" ht="15" hidden="false" customHeight="false" outlineLevel="0" collapsed="false">
      <c r="H6646" s="0" t="str">
        <f aca="false">IF(B6646="","",IF(COUNTIF(Campaigns!$A$7:$A$300,B6646)&gt;0,"✓","⚠ add to Campaigns tab"))</f>
        <v/>
      </c>
      <c r="I6646" s="84" t="str">
        <f aca="false">IF(C6646="","",C6646*IF(Settings!$B$23=Settings!$C$6,1,IF(Settings!$B$23="USD",1/INDEX(Settings!$B$29:$B$40,MONTH(A6646)),INDEX(Settings!$B$29:$B$40,MONTH(A6646)))))</f>
        <v/>
      </c>
    </row>
    <row r="6647" customFormat="false" ht="15" hidden="false" customHeight="false" outlineLevel="0" collapsed="false">
      <c r="H6647" s="0" t="str">
        <f aca="false">IF(B6647="","",IF(COUNTIF(Campaigns!$A$7:$A$300,B6647)&gt;0,"✓","⚠ add to Campaigns tab"))</f>
        <v/>
      </c>
      <c r="I6647" s="84" t="str">
        <f aca="false">IF(C6647="","",C6647*IF(Settings!$B$23=Settings!$C$6,1,IF(Settings!$B$23="USD",1/INDEX(Settings!$B$29:$B$40,MONTH(A6647)),INDEX(Settings!$B$29:$B$40,MONTH(A6647)))))</f>
        <v/>
      </c>
    </row>
    <row r="6648" customFormat="false" ht="15" hidden="false" customHeight="false" outlineLevel="0" collapsed="false">
      <c r="H6648" s="0" t="str">
        <f aca="false">IF(B6648="","",IF(COUNTIF(Campaigns!$A$7:$A$300,B6648)&gt;0,"✓","⚠ add to Campaigns tab"))</f>
        <v/>
      </c>
      <c r="I6648" s="84" t="str">
        <f aca="false">IF(C6648="","",C6648*IF(Settings!$B$23=Settings!$C$6,1,IF(Settings!$B$23="USD",1/INDEX(Settings!$B$29:$B$40,MONTH(A6648)),INDEX(Settings!$B$29:$B$40,MONTH(A6648)))))</f>
        <v/>
      </c>
    </row>
    <row r="6649" customFormat="false" ht="15" hidden="false" customHeight="false" outlineLevel="0" collapsed="false">
      <c r="H6649" s="0" t="str">
        <f aca="false">IF(B6649="","",IF(COUNTIF(Campaigns!$A$7:$A$300,B6649)&gt;0,"✓","⚠ add to Campaigns tab"))</f>
        <v/>
      </c>
      <c r="I6649" s="84" t="str">
        <f aca="false">IF(C6649="","",C6649*IF(Settings!$B$23=Settings!$C$6,1,IF(Settings!$B$23="USD",1/INDEX(Settings!$B$29:$B$40,MONTH(A6649)),INDEX(Settings!$B$29:$B$40,MONTH(A6649)))))</f>
        <v/>
      </c>
    </row>
    <row r="6650" customFormat="false" ht="15" hidden="false" customHeight="false" outlineLevel="0" collapsed="false">
      <c r="H6650" s="0" t="str">
        <f aca="false">IF(B6650="","",IF(COUNTIF(Campaigns!$A$7:$A$300,B6650)&gt;0,"✓","⚠ add to Campaigns tab"))</f>
        <v/>
      </c>
      <c r="I6650" s="84" t="str">
        <f aca="false">IF(C6650="","",C6650*IF(Settings!$B$23=Settings!$C$6,1,IF(Settings!$B$23="USD",1/INDEX(Settings!$B$29:$B$40,MONTH(A6650)),INDEX(Settings!$B$29:$B$40,MONTH(A6650)))))</f>
        <v/>
      </c>
    </row>
    <row r="6651" customFormat="false" ht="15" hidden="false" customHeight="false" outlineLevel="0" collapsed="false">
      <c r="H6651" s="0" t="str">
        <f aca="false">IF(B6651="","",IF(COUNTIF(Campaigns!$A$7:$A$300,B6651)&gt;0,"✓","⚠ add to Campaigns tab"))</f>
        <v/>
      </c>
      <c r="I6651" s="84" t="str">
        <f aca="false">IF(C6651="","",C6651*IF(Settings!$B$23=Settings!$C$6,1,IF(Settings!$B$23="USD",1/INDEX(Settings!$B$29:$B$40,MONTH(A6651)),INDEX(Settings!$B$29:$B$40,MONTH(A6651)))))</f>
        <v/>
      </c>
    </row>
    <row r="6652" customFormat="false" ht="15" hidden="false" customHeight="false" outlineLevel="0" collapsed="false">
      <c r="H6652" s="0" t="str">
        <f aca="false">IF(B6652="","",IF(COUNTIF(Campaigns!$A$7:$A$300,B6652)&gt;0,"✓","⚠ add to Campaigns tab"))</f>
        <v/>
      </c>
      <c r="I6652" s="84" t="str">
        <f aca="false">IF(C6652="","",C6652*IF(Settings!$B$23=Settings!$C$6,1,IF(Settings!$B$23="USD",1/INDEX(Settings!$B$29:$B$40,MONTH(A6652)),INDEX(Settings!$B$29:$B$40,MONTH(A6652)))))</f>
        <v/>
      </c>
    </row>
    <row r="6653" customFormat="false" ht="15" hidden="false" customHeight="false" outlineLevel="0" collapsed="false">
      <c r="H6653" s="0" t="str">
        <f aca="false">IF(B6653="","",IF(COUNTIF(Campaigns!$A$7:$A$300,B6653)&gt;0,"✓","⚠ add to Campaigns tab"))</f>
        <v/>
      </c>
      <c r="I6653" s="84" t="str">
        <f aca="false">IF(C6653="","",C6653*IF(Settings!$B$23=Settings!$C$6,1,IF(Settings!$B$23="USD",1/INDEX(Settings!$B$29:$B$40,MONTH(A6653)),INDEX(Settings!$B$29:$B$40,MONTH(A6653)))))</f>
        <v/>
      </c>
    </row>
    <row r="6654" customFormat="false" ht="15" hidden="false" customHeight="false" outlineLevel="0" collapsed="false">
      <c r="H6654" s="0" t="str">
        <f aca="false">IF(B6654="","",IF(COUNTIF(Campaigns!$A$7:$A$300,B6654)&gt;0,"✓","⚠ add to Campaigns tab"))</f>
        <v/>
      </c>
      <c r="I6654" s="84" t="str">
        <f aca="false">IF(C6654="","",C6654*IF(Settings!$B$23=Settings!$C$6,1,IF(Settings!$B$23="USD",1/INDEX(Settings!$B$29:$B$40,MONTH(A6654)),INDEX(Settings!$B$29:$B$40,MONTH(A6654)))))</f>
        <v/>
      </c>
    </row>
    <row r="6655" customFormat="false" ht="15" hidden="false" customHeight="false" outlineLevel="0" collapsed="false">
      <c r="H6655" s="0" t="str">
        <f aca="false">IF(B6655="","",IF(COUNTIF(Campaigns!$A$7:$A$300,B6655)&gt;0,"✓","⚠ add to Campaigns tab"))</f>
        <v/>
      </c>
      <c r="I6655" s="84" t="str">
        <f aca="false">IF(C6655="","",C6655*IF(Settings!$B$23=Settings!$C$6,1,IF(Settings!$B$23="USD",1/INDEX(Settings!$B$29:$B$40,MONTH(A6655)),INDEX(Settings!$B$29:$B$40,MONTH(A6655)))))</f>
        <v/>
      </c>
    </row>
    <row r="6656" customFormat="false" ht="15" hidden="false" customHeight="false" outlineLevel="0" collapsed="false">
      <c r="H6656" s="0" t="str">
        <f aca="false">IF(B6656="","",IF(COUNTIF(Campaigns!$A$7:$A$300,B6656)&gt;0,"✓","⚠ add to Campaigns tab"))</f>
        <v/>
      </c>
      <c r="I6656" s="84" t="str">
        <f aca="false">IF(C6656="","",C6656*IF(Settings!$B$23=Settings!$C$6,1,IF(Settings!$B$23="USD",1/INDEX(Settings!$B$29:$B$40,MONTH(A6656)),INDEX(Settings!$B$29:$B$40,MONTH(A6656)))))</f>
        <v/>
      </c>
    </row>
    <row r="6657" customFormat="false" ht="15" hidden="false" customHeight="false" outlineLevel="0" collapsed="false">
      <c r="H6657" s="0" t="str">
        <f aca="false">IF(B6657="","",IF(COUNTIF(Campaigns!$A$7:$A$300,B6657)&gt;0,"✓","⚠ add to Campaigns tab"))</f>
        <v/>
      </c>
      <c r="I6657" s="84" t="str">
        <f aca="false">IF(C6657="","",C6657*IF(Settings!$B$23=Settings!$C$6,1,IF(Settings!$B$23="USD",1/INDEX(Settings!$B$29:$B$40,MONTH(A6657)),INDEX(Settings!$B$29:$B$40,MONTH(A6657)))))</f>
        <v/>
      </c>
    </row>
    <row r="6658" customFormat="false" ht="15" hidden="false" customHeight="false" outlineLevel="0" collapsed="false">
      <c r="H6658" s="0" t="str">
        <f aca="false">IF(B6658="","",IF(COUNTIF(Campaigns!$A$7:$A$300,B6658)&gt;0,"✓","⚠ add to Campaigns tab"))</f>
        <v/>
      </c>
      <c r="I6658" s="84" t="str">
        <f aca="false">IF(C6658="","",C6658*IF(Settings!$B$23=Settings!$C$6,1,IF(Settings!$B$23="USD",1/INDEX(Settings!$B$29:$B$40,MONTH(A6658)),INDEX(Settings!$B$29:$B$40,MONTH(A6658)))))</f>
        <v/>
      </c>
    </row>
    <row r="6659" customFormat="false" ht="15" hidden="false" customHeight="false" outlineLevel="0" collapsed="false">
      <c r="H6659" s="0" t="str">
        <f aca="false">IF(B6659="","",IF(COUNTIF(Campaigns!$A$7:$A$300,B6659)&gt;0,"✓","⚠ add to Campaigns tab"))</f>
        <v/>
      </c>
      <c r="I6659" s="84" t="str">
        <f aca="false">IF(C6659="","",C6659*IF(Settings!$B$23=Settings!$C$6,1,IF(Settings!$B$23="USD",1/INDEX(Settings!$B$29:$B$40,MONTH(A6659)),INDEX(Settings!$B$29:$B$40,MONTH(A6659)))))</f>
        <v/>
      </c>
    </row>
    <row r="6660" customFormat="false" ht="15" hidden="false" customHeight="false" outlineLevel="0" collapsed="false">
      <c r="H6660" s="0" t="str">
        <f aca="false">IF(B6660="","",IF(COUNTIF(Campaigns!$A$7:$A$300,B6660)&gt;0,"✓","⚠ add to Campaigns tab"))</f>
        <v/>
      </c>
      <c r="I6660" s="84" t="str">
        <f aca="false">IF(C6660="","",C6660*IF(Settings!$B$23=Settings!$C$6,1,IF(Settings!$B$23="USD",1/INDEX(Settings!$B$29:$B$40,MONTH(A6660)),INDEX(Settings!$B$29:$B$40,MONTH(A6660)))))</f>
        <v/>
      </c>
    </row>
    <row r="6661" customFormat="false" ht="15" hidden="false" customHeight="false" outlineLevel="0" collapsed="false">
      <c r="H6661" s="0" t="str">
        <f aca="false">IF(B6661="","",IF(COUNTIF(Campaigns!$A$7:$A$300,B6661)&gt;0,"✓","⚠ add to Campaigns tab"))</f>
        <v/>
      </c>
      <c r="I6661" s="84" t="str">
        <f aca="false">IF(C6661="","",C6661*IF(Settings!$B$23=Settings!$C$6,1,IF(Settings!$B$23="USD",1/INDEX(Settings!$B$29:$B$40,MONTH(A6661)),INDEX(Settings!$B$29:$B$40,MONTH(A6661)))))</f>
        <v/>
      </c>
    </row>
    <row r="6662" customFormat="false" ht="15" hidden="false" customHeight="false" outlineLevel="0" collapsed="false">
      <c r="H6662" s="0" t="str">
        <f aca="false">IF(B6662="","",IF(COUNTIF(Campaigns!$A$7:$A$300,B6662)&gt;0,"✓","⚠ add to Campaigns tab"))</f>
        <v/>
      </c>
      <c r="I6662" s="84" t="str">
        <f aca="false">IF(C6662="","",C6662*IF(Settings!$B$23=Settings!$C$6,1,IF(Settings!$B$23="USD",1/INDEX(Settings!$B$29:$B$40,MONTH(A6662)),INDEX(Settings!$B$29:$B$40,MONTH(A6662)))))</f>
        <v/>
      </c>
    </row>
    <row r="6663" customFormat="false" ht="15" hidden="false" customHeight="false" outlineLevel="0" collapsed="false">
      <c r="H6663" s="0" t="str">
        <f aca="false">IF(B6663="","",IF(COUNTIF(Campaigns!$A$7:$A$300,B6663)&gt;0,"✓","⚠ add to Campaigns tab"))</f>
        <v/>
      </c>
      <c r="I6663" s="84" t="str">
        <f aca="false">IF(C6663="","",C6663*IF(Settings!$B$23=Settings!$C$6,1,IF(Settings!$B$23="USD",1/INDEX(Settings!$B$29:$B$40,MONTH(A6663)),INDEX(Settings!$B$29:$B$40,MONTH(A6663)))))</f>
        <v/>
      </c>
    </row>
    <row r="6664" customFormat="false" ht="15" hidden="false" customHeight="false" outlineLevel="0" collapsed="false">
      <c r="H6664" s="0" t="str">
        <f aca="false">IF(B6664="","",IF(COUNTIF(Campaigns!$A$7:$A$300,B6664)&gt;0,"✓","⚠ add to Campaigns tab"))</f>
        <v/>
      </c>
      <c r="I6664" s="84" t="str">
        <f aca="false">IF(C6664="","",C6664*IF(Settings!$B$23=Settings!$C$6,1,IF(Settings!$B$23="USD",1/INDEX(Settings!$B$29:$B$40,MONTH(A6664)),INDEX(Settings!$B$29:$B$40,MONTH(A6664)))))</f>
        <v/>
      </c>
    </row>
    <row r="6665" customFormat="false" ht="15" hidden="false" customHeight="false" outlineLevel="0" collapsed="false">
      <c r="H6665" s="0" t="str">
        <f aca="false">IF(B6665="","",IF(COUNTIF(Campaigns!$A$7:$A$300,B6665)&gt;0,"✓","⚠ add to Campaigns tab"))</f>
        <v/>
      </c>
      <c r="I6665" s="84" t="str">
        <f aca="false">IF(C6665="","",C6665*IF(Settings!$B$23=Settings!$C$6,1,IF(Settings!$B$23="USD",1/INDEX(Settings!$B$29:$B$40,MONTH(A6665)),INDEX(Settings!$B$29:$B$40,MONTH(A6665)))))</f>
        <v/>
      </c>
    </row>
    <row r="6666" customFormat="false" ht="15" hidden="false" customHeight="false" outlineLevel="0" collapsed="false">
      <c r="H6666" s="0" t="str">
        <f aca="false">IF(B6666="","",IF(COUNTIF(Campaigns!$A$7:$A$300,B6666)&gt;0,"✓","⚠ add to Campaigns tab"))</f>
        <v/>
      </c>
      <c r="I6666" s="84" t="str">
        <f aca="false">IF(C6666="","",C6666*IF(Settings!$B$23=Settings!$C$6,1,IF(Settings!$B$23="USD",1/INDEX(Settings!$B$29:$B$40,MONTH(A6666)),INDEX(Settings!$B$29:$B$40,MONTH(A6666)))))</f>
        <v/>
      </c>
    </row>
    <row r="6667" customFormat="false" ht="15" hidden="false" customHeight="false" outlineLevel="0" collapsed="false">
      <c r="H6667" s="0" t="str">
        <f aca="false">IF(B6667="","",IF(COUNTIF(Campaigns!$A$7:$A$300,B6667)&gt;0,"✓","⚠ add to Campaigns tab"))</f>
        <v/>
      </c>
      <c r="I6667" s="84" t="str">
        <f aca="false">IF(C6667="","",C6667*IF(Settings!$B$23=Settings!$C$6,1,IF(Settings!$B$23="USD",1/INDEX(Settings!$B$29:$B$40,MONTH(A6667)),INDEX(Settings!$B$29:$B$40,MONTH(A6667)))))</f>
        <v/>
      </c>
    </row>
    <row r="6668" customFormat="false" ht="15" hidden="false" customHeight="false" outlineLevel="0" collapsed="false">
      <c r="H6668" s="0" t="str">
        <f aca="false">IF(B6668="","",IF(COUNTIF(Campaigns!$A$7:$A$300,B6668)&gt;0,"✓","⚠ add to Campaigns tab"))</f>
        <v/>
      </c>
      <c r="I6668" s="84" t="str">
        <f aca="false">IF(C6668="","",C6668*IF(Settings!$B$23=Settings!$C$6,1,IF(Settings!$B$23="USD",1/INDEX(Settings!$B$29:$B$40,MONTH(A6668)),INDEX(Settings!$B$29:$B$40,MONTH(A6668)))))</f>
        <v/>
      </c>
    </row>
    <row r="6669" customFormat="false" ht="15" hidden="false" customHeight="false" outlineLevel="0" collapsed="false">
      <c r="H6669" s="0" t="str">
        <f aca="false">IF(B6669="","",IF(COUNTIF(Campaigns!$A$7:$A$300,B6669)&gt;0,"✓","⚠ add to Campaigns tab"))</f>
        <v/>
      </c>
      <c r="I6669" s="84" t="str">
        <f aca="false">IF(C6669="","",C6669*IF(Settings!$B$23=Settings!$C$6,1,IF(Settings!$B$23="USD",1/INDEX(Settings!$B$29:$B$40,MONTH(A6669)),INDEX(Settings!$B$29:$B$40,MONTH(A6669)))))</f>
        <v/>
      </c>
    </row>
    <row r="6670" customFormat="false" ht="15" hidden="false" customHeight="false" outlineLevel="0" collapsed="false">
      <c r="H6670" s="0" t="str">
        <f aca="false">IF(B6670="","",IF(COUNTIF(Campaigns!$A$7:$A$300,B6670)&gt;0,"✓","⚠ add to Campaigns tab"))</f>
        <v/>
      </c>
      <c r="I6670" s="84" t="str">
        <f aca="false">IF(C6670="","",C6670*IF(Settings!$B$23=Settings!$C$6,1,IF(Settings!$B$23="USD",1/INDEX(Settings!$B$29:$B$40,MONTH(A6670)),INDEX(Settings!$B$29:$B$40,MONTH(A6670)))))</f>
        <v/>
      </c>
    </row>
    <row r="6671" customFormat="false" ht="15" hidden="false" customHeight="false" outlineLevel="0" collapsed="false">
      <c r="H6671" s="0" t="str">
        <f aca="false">IF(B6671="","",IF(COUNTIF(Campaigns!$A$7:$A$300,B6671)&gt;0,"✓","⚠ add to Campaigns tab"))</f>
        <v/>
      </c>
      <c r="I6671" s="84" t="str">
        <f aca="false">IF(C6671="","",C6671*IF(Settings!$B$23=Settings!$C$6,1,IF(Settings!$B$23="USD",1/INDEX(Settings!$B$29:$B$40,MONTH(A6671)),INDEX(Settings!$B$29:$B$40,MONTH(A6671)))))</f>
        <v/>
      </c>
    </row>
    <row r="6672" customFormat="false" ht="15" hidden="false" customHeight="false" outlineLevel="0" collapsed="false">
      <c r="H6672" s="0" t="str">
        <f aca="false">IF(B6672="","",IF(COUNTIF(Campaigns!$A$7:$A$300,B6672)&gt;0,"✓","⚠ add to Campaigns tab"))</f>
        <v/>
      </c>
      <c r="I6672" s="84" t="str">
        <f aca="false">IF(C6672="","",C6672*IF(Settings!$B$23=Settings!$C$6,1,IF(Settings!$B$23="USD",1/INDEX(Settings!$B$29:$B$40,MONTH(A6672)),INDEX(Settings!$B$29:$B$40,MONTH(A6672)))))</f>
        <v/>
      </c>
    </row>
    <row r="6673" customFormat="false" ht="15" hidden="false" customHeight="false" outlineLevel="0" collapsed="false">
      <c r="H6673" s="0" t="str">
        <f aca="false">IF(B6673="","",IF(COUNTIF(Campaigns!$A$7:$A$300,B6673)&gt;0,"✓","⚠ add to Campaigns tab"))</f>
        <v/>
      </c>
      <c r="I6673" s="84" t="str">
        <f aca="false">IF(C6673="","",C6673*IF(Settings!$B$23=Settings!$C$6,1,IF(Settings!$B$23="USD",1/INDEX(Settings!$B$29:$B$40,MONTH(A6673)),INDEX(Settings!$B$29:$B$40,MONTH(A6673)))))</f>
        <v/>
      </c>
    </row>
    <row r="6674" customFormat="false" ht="15" hidden="false" customHeight="false" outlineLevel="0" collapsed="false">
      <c r="H6674" s="0" t="str">
        <f aca="false">IF(B6674="","",IF(COUNTIF(Campaigns!$A$7:$A$300,B6674)&gt;0,"✓","⚠ add to Campaigns tab"))</f>
        <v/>
      </c>
      <c r="I6674" s="84" t="str">
        <f aca="false">IF(C6674="","",C6674*IF(Settings!$B$23=Settings!$C$6,1,IF(Settings!$B$23="USD",1/INDEX(Settings!$B$29:$B$40,MONTH(A6674)),INDEX(Settings!$B$29:$B$40,MONTH(A6674)))))</f>
        <v/>
      </c>
    </row>
    <row r="6675" customFormat="false" ht="15" hidden="false" customHeight="false" outlineLevel="0" collapsed="false">
      <c r="H6675" s="0" t="str">
        <f aca="false">IF(B6675="","",IF(COUNTIF(Campaigns!$A$7:$A$300,B6675)&gt;0,"✓","⚠ add to Campaigns tab"))</f>
        <v/>
      </c>
      <c r="I6675" s="84" t="str">
        <f aca="false">IF(C6675="","",C6675*IF(Settings!$B$23=Settings!$C$6,1,IF(Settings!$B$23="USD",1/INDEX(Settings!$B$29:$B$40,MONTH(A6675)),INDEX(Settings!$B$29:$B$40,MONTH(A6675)))))</f>
        <v/>
      </c>
    </row>
    <row r="6676" customFormat="false" ht="15" hidden="false" customHeight="false" outlineLevel="0" collapsed="false">
      <c r="H6676" s="0" t="str">
        <f aca="false">IF(B6676="","",IF(COUNTIF(Campaigns!$A$7:$A$300,B6676)&gt;0,"✓","⚠ add to Campaigns tab"))</f>
        <v/>
      </c>
      <c r="I6676" s="84" t="str">
        <f aca="false">IF(C6676="","",C6676*IF(Settings!$B$23=Settings!$C$6,1,IF(Settings!$B$23="USD",1/INDEX(Settings!$B$29:$B$40,MONTH(A6676)),INDEX(Settings!$B$29:$B$40,MONTH(A6676)))))</f>
        <v/>
      </c>
    </row>
    <row r="6677" customFormat="false" ht="15" hidden="false" customHeight="false" outlineLevel="0" collapsed="false">
      <c r="H6677" s="0" t="str">
        <f aca="false">IF(B6677="","",IF(COUNTIF(Campaigns!$A$7:$A$300,B6677)&gt;0,"✓","⚠ add to Campaigns tab"))</f>
        <v/>
      </c>
      <c r="I6677" s="84" t="str">
        <f aca="false">IF(C6677="","",C6677*IF(Settings!$B$23=Settings!$C$6,1,IF(Settings!$B$23="USD",1/INDEX(Settings!$B$29:$B$40,MONTH(A6677)),INDEX(Settings!$B$29:$B$40,MONTH(A6677)))))</f>
        <v/>
      </c>
    </row>
    <row r="6678" customFormat="false" ht="15" hidden="false" customHeight="false" outlineLevel="0" collapsed="false">
      <c r="H6678" s="0" t="str">
        <f aca="false">IF(B6678="","",IF(COUNTIF(Campaigns!$A$7:$A$300,B6678)&gt;0,"✓","⚠ add to Campaigns tab"))</f>
        <v/>
      </c>
      <c r="I6678" s="84" t="str">
        <f aca="false">IF(C6678="","",C6678*IF(Settings!$B$23=Settings!$C$6,1,IF(Settings!$B$23="USD",1/INDEX(Settings!$B$29:$B$40,MONTH(A6678)),INDEX(Settings!$B$29:$B$40,MONTH(A6678)))))</f>
        <v/>
      </c>
    </row>
    <row r="6679" customFormat="false" ht="15" hidden="false" customHeight="false" outlineLevel="0" collapsed="false">
      <c r="H6679" s="0" t="str">
        <f aca="false">IF(B6679="","",IF(COUNTIF(Campaigns!$A$7:$A$300,B6679)&gt;0,"✓","⚠ add to Campaigns tab"))</f>
        <v/>
      </c>
      <c r="I6679" s="84" t="str">
        <f aca="false">IF(C6679="","",C6679*IF(Settings!$B$23=Settings!$C$6,1,IF(Settings!$B$23="USD",1/INDEX(Settings!$B$29:$B$40,MONTH(A6679)),INDEX(Settings!$B$29:$B$40,MONTH(A6679)))))</f>
        <v/>
      </c>
    </row>
    <row r="6680" customFormat="false" ht="15" hidden="false" customHeight="false" outlineLevel="0" collapsed="false">
      <c r="H6680" s="0" t="str">
        <f aca="false">IF(B6680="","",IF(COUNTIF(Campaigns!$A$7:$A$300,B6680)&gt;0,"✓","⚠ add to Campaigns tab"))</f>
        <v/>
      </c>
      <c r="I6680" s="84" t="str">
        <f aca="false">IF(C6680="","",C6680*IF(Settings!$B$23=Settings!$C$6,1,IF(Settings!$B$23="USD",1/INDEX(Settings!$B$29:$B$40,MONTH(A6680)),INDEX(Settings!$B$29:$B$40,MONTH(A6680)))))</f>
        <v/>
      </c>
    </row>
    <row r="6681" customFormat="false" ht="15" hidden="false" customHeight="false" outlineLevel="0" collapsed="false">
      <c r="H6681" s="0" t="str">
        <f aca="false">IF(B6681="","",IF(COUNTIF(Campaigns!$A$7:$A$300,B6681)&gt;0,"✓","⚠ add to Campaigns tab"))</f>
        <v/>
      </c>
      <c r="I6681" s="84" t="str">
        <f aca="false">IF(C6681="","",C6681*IF(Settings!$B$23=Settings!$C$6,1,IF(Settings!$B$23="USD",1/INDEX(Settings!$B$29:$B$40,MONTH(A6681)),INDEX(Settings!$B$29:$B$40,MONTH(A6681)))))</f>
        <v/>
      </c>
    </row>
    <row r="6682" customFormat="false" ht="15" hidden="false" customHeight="false" outlineLevel="0" collapsed="false">
      <c r="H6682" s="0" t="str">
        <f aca="false">IF(B6682="","",IF(COUNTIF(Campaigns!$A$7:$A$300,B6682)&gt;0,"✓","⚠ add to Campaigns tab"))</f>
        <v/>
      </c>
      <c r="I6682" s="84" t="str">
        <f aca="false">IF(C6682="","",C6682*IF(Settings!$B$23=Settings!$C$6,1,IF(Settings!$B$23="USD",1/INDEX(Settings!$B$29:$B$40,MONTH(A6682)),INDEX(Settings!$B$29:$B$40,MONTH(A6682)))))</f>
        <v/>
      </c>
    </row>
    <row r="6683" customFormat="false" ht="15" hidden="false" customHeight="false" outlineLevel="0" collapsed="false">
      <c r="H6683" s="0" t="str">
        <f aca="false">IF(B6683="","",IF(COUNTIF(Campaigns!$A$7:$A$300,B6683)&gt;0,"✓","⚠ add to Campaigns tab"))</f>
        <v/>
      </c>
      <c r="I6683" s="84" t="str">
        <f aca="false">IF(C6683="","",C6683*IF(Settings!$B$23=Settings!$C$6,1,IF(Settings!$B$23="USD",1/INDEX(Settings!$B$29:$B$40,MONTH(A6683)),INDEX(Settings!$B$29:$B$40,MONTH(A6683)))))</f>
        <v/>
      </c>
    </row>
    <row r="6684" customFormat="false" ht="15" hidden="false" customHeight="false" outlineLevel="0" collapsed="false">
      <c r="H6684" s="0" t="str">
        <f aca="false">IF(B6684="","",IF(COUNTIF(Campaigns!$A$7:$A$300,B6684)&gt;0,"✓","⚠ add to Campaigns tab"))</f>
        <v/>
      </c>
      <c r="I6684" s="84" t="str">
        <f aca="false">IF(C6684="","",C6684*IF(Settings!$B$23=Settings!$C$6,1,IF(Settings!$B$23="USD",1/INDEX(Settings!$B$29:$B$40,MONTH(A6684)),INDEX(Settings!$B$29:$B$40,MONTH(A6684)))))</f>
        <v/>
      </c>
    </row>
    <row r="6685" customFormat="false" ht="15" hidden="false" customHeight="false" outlineLevel="0" collapsed="false">
      <c r="H6685" s="0" t="str">
        <f aca="false">IF(B6685="","",IF(COUNTIF(Campaigns!$A$7:$A$300,B6685)&gt;0,"✓","⚠ add to Campaigns tab"))</f>
        <v/>
      </c>
      <c r="I6685" s="84" t="str">
        <f aca="false">IF(C6685="","",C6685*IF(Settings!$B$23=Settings!$C$6,1,IF(Settings!$B$23="USD",1/INDEX(Settings!$B$29:$B$40,MONTH(A6685)),INDEX(Settings!$B$29:$B$40,MONTH(A6685)))))</f>
        <v/>
      </c>
    </row>
    <row r="6686" customFormat="false" ht="15" hidden="false" customHeight="false" outlineLevel="0" collapsed="false">
      <c r="H6686" s="0" t="str">
        <f aca="false">IF(B6686="","",IF(COUNTIF(Campaigns!$A$7:$A$300,B6686)&gt;0,"✓","⚠ add to Campaigns tab"))</f>
        <v/>
      </c>
      <c r="I6686" s="84" t="str">
        <f aca="false">IF(C6686="","",C6686*IF(Settings!$B$23=Settings!$C$6,1,IF(Settings!$B$23="USD",1/INDEX(Settings!$B$29:$B$40,MONTH(A6686)),INDEX(Settings!$B$29:$B$40,MONTH(A6686)))))</f>
        <v/>
      </c>
    </row>
    <row r="6687" customFormat="false" ht="15" hidden="false" customHeight="false" outlineLevel="0" collapsed="false">
      <c r="H6687" s="0" t="str">
        <f aca="false">IF(B6687="","",IF(COUNTIF(Campaigns!$A$7:$A$300,B6687)&gt;0,"✓","⚠ add to Campaigns tab"))</f>
        <v/>
      </c>
      <c r="I6687" s="84" t="str">
        <f aca="false">IF(C6687="","",C6687*IF(Settings!$B$23=Settings!$C$6,1,IF(Settings!$B$23="USD",1/INDEX(Settings!$B$29:$B$40,MONTH(A6687)),INDEX(Settings!$B$29:$B$40,MONTH(A6687)))))</f>
        <v/>
      </c>
    </row>
    <row r="6688" customFormat="false" ht="15" hidden="false" customHeight="false" outlineLevel="0" collapsed="false">
      <c r="H6688" s="0" t="str">
        <f aca="false">IF(B6688="","",IF(COUNTIF(Campaigns!$A$7:$A$300,B6688)&gt;0,"✓","⚠ add to Campaigns tab"))</f>
        <v/>
      </c>
      <c r="I6688" s="84" t="str">
        <f aca="false">IF(C6688="","",C6688*IF(Settings!$B$23=Settings!$C$6,1,IF(Settings!$B$23="USD",1/INDEX(Settings!$B$29:$B$40,MONTH(A6688)),INDEX(Settings!$B$29:$B$40,MONTH(A6688)))))</f>
        <v/>
      </c>
    </row>
    <row r="6689" customFormat="false" ht="15" hidden="false" customHeight="false" outlineLevel="0" collapsed="false">
      <c r="H6689" s="0" t="str">
        <f aca="false">IF(B6689="","",IF(COUNTIF(Campaigns!$A$7:$A$300,B6689)&gt;0,"✓","⚠ add to Campaigns tab"))</f>
        <v/>
      </c>
      <c r="I6689" s="84" t="str">
        <f aca="false">IF(C6689="","",C6689*IF(Settings!$B$23=Settings!$C$6,1,IF(Settings!$B$23="USD",1/INDEX(Settings!$B$29:$B$40,MONTH(A6689)),INDEX(Settings!$B$29:$B$40,MONTH(A6689)))))</f>
        <v/>
      </c>
    </row>
    <row r="6690" customFormat="false" ht="15" hidden="false" customHeight="false" outlineLevel="0" collapsed="false">
      <c r="H6690" s="0" t="str">
        <f aca="false">IF(B6690="","",IF(COUNTIF(Campaigns!$A$7:$A$300,B6690)&gt;0,"✓","⚠ add to Campaigns tab"))</f>
        <v/>
      </c>
      <c r="I6690" s="84" t="str">
        <f aca="false">IF(C6690="","",C6690*IF(Settings!$B$23=Settings!$C$6,1,IF(Settings!$B$23="USD",1/INDEX(Settings!$B$29:$B$40,MONTH(A6690)),INDEX(Settings!$B$29:$B$40,MONTH(A6690)))))</f>
        <v/>
      </c>
    </row>
    <row r="6691" customFormat="false" ht="15" hidden="false" customHeight="false" outlineLevel="0" collapsed="false">
      <c r="H6691" s="0" t="str">
        <f aca="false">IF(B6691="","",IF(COUNTIF(Campaigns!$A$7:$A$300,B6691)&gt;0,"✓","⚠ add to Campaigns tab"))</f>
        <v/>
      </c>
      <c r="I6691" s="84" t="str">
        <f aca="false">IF(C6691="","",C6691*IF(Settings!$B$23=Settings!$C$6,1,IF(Settings!$B$23="USD",1/INDEX(Settings!$B$29:$B$40,MONTH(A6691)),INDEX(Settings!$B$29:$B$40,MONTH(A6691)))))</f>
        <v/>
      </c>
    </row>
    <row r="6692" customFormat="false" ht="15" hidden="false" customHeight="false" outlineLevel="0" collapsed="false">
      <c r="H6692" s="0" t="str">
        <f aca="false">IF(B6692="","",IF(COUNTIF(Campaigns!$A$7:$A$300,B6692)&gt;0,"✓","⚠ add to Campaigns tab"))</f>
        <v/>
      </c>
      <c r="I6692" s="84" t="str">
        <f aca="false">IF(C6692="","",C6692*IF(Settings!$B$23=Settings!$C$6,1,IF(Settings!$B$23="USD",1/INDEX(Settings!$B$29:$B$40,MONTH(A6692)),INDEX(Settings!$B$29:$B$40,MONTH(A6692)))))</f>
        <v/>
      </c>
    </row>
    <row r="6693" customFormat="false" ht="15" hidden="false" customHeight="false" outlineLevel="0" collapsed="false">
      <c r="H6693" s="0" t="str">
        <f aca="false">IF(B6693="","",IF(COUNTIF(Campaigns!$A$7:$A$300,B6693)&gt;0,"✓","⚠ add to Campaigns tab"))</f>
        <v/>
      </c>
      <c r="I6693" s="84" t="str">
        <f aca="false">IF(C6693="","",C6693*IF(Settings!$B$23=Settings!$C$6,1,IF(Settings!$B$23="USD",1/INDEX(Settings!$B$29:$B$40,MONTH(A6693)),INDEX(Settings!$B$29:$B$40,MONTH(A6693)))))</f>
        <v/>
      </c>
    </row>
    <row r="6694" customFormat="false" ht="15" hidden="false" customHeight="false" outlineLevel="0" collapsed="false">
      <c r="H6694" s="0" t="str">
        <f aca="false">IF(B6694="","",IF(COUNTIF(Campaigns!$A$7:$A$300,B6694)&gt;0,"✓","⚠ add to Campaigns tab"))</f>
        <v/>
      </c>
      <c r="I6694" s="84" t="str">
        <f aca="false">IF(C6694="","",C6694*IF(Settings!$B$23=Settings!$C$6,1,IF(Settings!$B$23="USD",1/INDEX(Settings!$B$29:$B$40,MONTH(A6694)),INDEX(Settings!$B$29:$B$40,MONTH(A6694)))))</f>
        <v/>
      </c>
    </row>
    <row r="6695" customFormat="false" ht="15" hidden="false" customHeight="false" outlineLevel="0" collapsed="false">
      <c r="H6695" s="0" t="str">
        <f aca="false">IF(B6695="","",IF(COUNTIF(Campaigns!$A$7:$A$300,B6695)&gt;0,"✓","⚠ add to Campaigns tab"))</f>
        <v/>
      </c>
      <c r="I6695" s="84" t="str">
        <f aca="false">IF(C6695="","",C6695*IF(Settings!$B$23=Settings!$C$6,1,IF(Settings!$B$23="USD",1/INDEX(Settings!$B$29:$B$40,MONTH(A6695)),INDEX(Settings!$B$29:$B$40,MONTH(A6695)))))</f>
        <v/>
      </c>
    </row>
    <row r="6696" customFormat="false" ht="15" hidden="false" customHeight="false" outlineLevel="0" collapsed="false">
      <c r="H6696" s="0" t="str">
        <f aca="false">IF(B6696="","",IF(COUNTIF(Campaigns!$A$7:$A$300,B6696)&gt;0,"✓","⚠ add to Campaigns tab"))</f>
        <v/>
      </c>
      <c r="I6696" s="84" t="str">
        <f aca="false">IF(C6696="","",C6696*IF(Settings!$B$23=Settings!$C$6,1,IF(Settings!$B$23="USD",1/INDEX(Settings!$B$29:$B$40,MONTH(A6696)),INDEX(Settings!$B$29:$B$40,MONTH(A6696)))))</f>
        <v/>
      </c>
    </row>
    <row r="6697" customFormat="false" ht="15" hidden="false" customHeight="false" outlineLevel="0" collapsed="false">
      <c r="H6697" s="0" t="str">
        <f aca="false">IF(B6697="","",IF(COUNTIF(Campaigns!$A$7:$A$300,B6697)&gt;0,"✓","⚠ add to Campaigns tab"))</f>
        <v/>
      </c>
      <c r="I6697" s="84" t="str">
        <f aca="false">IF(C6697="","",C6697*IF(Settings!$B$23=Settings!$C$6,1,IF(Settings!$B$23="USD",1/INDEX(Settings!$B$29:$B$40,MONTH(A6697)),INDEX(Settings!$B$29:$B$40,MONTH(A6697)))))</f>
        <v/>
      </c>
    </row>
    <row r="6698" customFormat="false" ht="15" hidden="false" customHeight="false" outlineLevel="0" collapsed="false">
      <c r="H6698" s="0" t="str">
        <f aca="false">IF(B6698="","",IF(COUNTIF(Campaigns!$A$7:$A$300,B6698)&gt;0,"✓","⚠ add to Campaigns tab"))</f>
        <v/>
      </c>
      <c r="I6698" s="84" t="str">
        <f aca="false">IF(C6698="","",C6698*IF(Settings!$B$23=Settings!$C$6,1,IF(Settings!$B$23="USD",1/INDEX(Settings!$B$29:$B$40,MONTH(A6698)),INDEX(Settings!$B$29:$B$40,MONTH(A6698)))))</f>
        <v/>
      </c>
    </row>
    <row r="6699" customFormat="false" ht="15" hidden="false" customHeight="false" outlineLevel="0" collapsed="false">
      <c r="H6699" s="0" t="str">
        <f aca="false">IF(B6699="","",IF(COUNTIF(Campaigns!$A$7:$A$300,B6699)&gt;0,"✓","⚠ add to Campaigns tab"))</f>
        <v/>
      </c>
      <c r="I6699" s="84" t="str">
        <f aca="false">IF(C6699="","",C6699*IF(Settings!$B$23=Settings!$C$6,1,IF(Settings!$B$23="USD",1/INDEX(Settings!$B$29:$B$40,MONTH(A6699)),INDEX(Settings!$B$29:$B$40,MONTH(A6699)))))</f>
        <v/>
      </c>
    </row>
    <row r="6700" customFormat="false" ht="15" hidden="false" customHeight="false" outlineLevel="0" collapsed="false">
      <c r="H6700" s="0" t="str">
        <f aca="false">IF(B6700="","",IF(COUNTIF(Campaigns!$A$7:$A$300,B6700)&gt;0,"✓","⚠ add to Campaigns tab"))</f>
        <v/>
      </c>
      <c r="I6700" s="84" t="str">
        <f aca="false">IF(C6700="","",C6700*IF(Settings!$B$23=Settings!$C$6,1,IF(Settings!$B$23="USD",1/INDEX(Settings!$B$29:$B$40,MONTH(A6700)),INDEX(Settings!$B$29:$B$40,MONTH(A6700)))))</f>
        <v/>
      </c>
    </row>
    <row r="6701" customFormat="false" ht="15" hidden="false" customHeight="false" outlineLevel="0" collapsed="false">
      <c r="H6701" s="0" t="str">
        <f aca="false">IF(B6701="","",IF(COUNTIF(Campaigns!$A$7:$A$300,B6701)&gt;0,"✓","⚠ add to Campaigns tab"))</f>
        <v/>
      </c>
      <c r="I6701" s="84" t="str">
        <f aca="false">IF(C6701="","",C6701*IF(Settings!$B$23=Settings!$C$6,1,IF(Settings!$B$23="USD",1/INDEX(Settings!$B$29:$B$40,MONTH(A6701)),INDEX(Settings!$B$29:$B$40,MONTH(A6701)))))</f>
        <v/>
      </c>
    </row>
    <row r="6702" customFormat="false" ht="15" hidden="false" customHeight="false" outlineLevel="0" collapsed="false">
      <c r="H6702" s="0" t="str">
        <f aca="false">IF(B6702="","",IF(COUNTIF(Campaigns!$A$7:$A$300,B6702)&gt;0,"✓","⚠ add to Campaigns tab"))</f>
        <v/>
      </c>
      <c r="I6702" s="84" t="str">
        <f aca="false">IF(C6702="","",C6702*IF(Settings!$B$23=Settings!$C$6,1,IF(Settings!$B$23="USD",1/INDEX(Settings!$B$29:$B$40,MONTH(A6702)),INDEX(Settings!$B$29:$B$40,MONTH(A6702)))))</f>
        <v/>
      </c>
    </row>
    <row r="6703" customFormat="false" ht="15" hidden="false" customHeight="false" outlineLevel="0" collapsed="false">
      <c r="H6703" s="0" t="str">
        <f aca="false">IF(B6703="","",IF(COUNTIF(Campaigns!$A$7:$A$300,B6703)&gt;0,"✓","⚠ add to Campaigns tab"))</f>
        <v/>
      </c>
      <c r="I6703" s="84" t="str">
        <f aca="false">IF(C6703="","",C6703*IF(Settings!$B$23=Settings!$C$6,1,IF(Settings!$B$23="USD",1/INDEX(Settings!$B$29:$B$40,MONTH(A6703)),INDEX(Settings!$B$29:$B$40,MONTH(A6703)))))</f>
        <v/>
      </c>
    </row>
    <row r="6704" customFormat="false" ht="15" hidden="false" customHeight="false" outlineLevel="0" collapsed="false">
      <c r="H6704" s="0" t="str">
        <f aca="false">IF(B6704="","",IF(COUNTIF(Campaigns!$A$7:$A$300,B6704)&gt;0,"✓","⚠ add to Campaigns tab"))</f>
        <v/>
      </c>
      <c r="I6704" s="84" t="str">
        <f aca="false">IF(C6704="","",C6704*IF(Settings!$B$23=Settings!$C$6,1,IF(Settings!$B$23="USD",1/INDEX(Settings!$B$29:$B$40,MONTH(A6704)),INDEX(Settings!$B$29:$B$40,MONTH(A6704)))))</f>
        <v/>
      </c>
    </row>
    <row r="6705" customFormat="false" ht="15" hidden="false" customHeight="false" outlineLevel="0" collapsed="false">
      <c r="H6705" s="0" t="str">
        <f aca="false">IF(B6705="","",IF(COUNTIF(Campaigns!$A$7:$A$300,B6705)&gt;0,"✓","⚠ add to Campaigns tab"))</f>
        <v/>
      </c>
      <c r="I6705" s="84" t="str">
        <f aca="false">IF(C6705="","",C6705*IF(Settings!$B$23=Settings!$C$6,1,IF(Settings!$B$23="USD",1/INDEX(Settings!$B$29:$B$40,MONTH(A6705)),INDEX(Settings!$B$29:$B$40,MONTH(A6705)))))</f>
        <v/>
      </c>
    </row>
    <row r="6706" customFormat="false" ht="15" hidden="false" customHeight="false" outlineLevel="0" collapsed="false">
      <c r="H6706" s="0" t="str">
        <f aca="false">IF(B6706="","",IF(COUNTIF(Campaigns!$A$7:$A$300,B6706)&gt;0,"✓","⚠ add to Campaigns tab"))</f>
        <v/>
      </c>
      <c r="I6706" s="84" t="str">
        <f aca="false">IF(C6706="","",C6706*IF(Settings!$B$23=Settings!$C$6,1,IF(Settings!$B$23="USD",1/INDEX(Settings!$B$29:$B$40,MONTH(A6706)),INDEX(Settings!$B$29:$B$40,MONTH(A6706)))))</f>
        <v/>
      </c>
    </row>
    <row r="6707" customFormat="false" ht="15" hidden="false" customHeight="false" outlineLevel="0" collapsed="false">
      <c r="H6707" s="0" t="str">
        <f aca="false">IF(B6707="","",IF(COUNTIF(Campaigns!$A$7:$A$300,B6707)&gt;0,"✓","⚠ add to Campaigns tab"))</f>
        <v/>
      </c>
      <c r="I6707" s="84" t="str">
        <f aca="false">IF(C6707="","",C6707*IF(Settings!$B$23=Settings!$C$6,1,IF(Settings!$B$23="USD",1/INDEX(Settings!$B$29:$B$40,MONTH(A6707)),INDEX(Settings!$B$29:$B$40,MONTH(A6707)))))</f>
        <v/>
      </c>
    </row>
    <row r="6708" customFormat="false" ht="15" hidden="false" customHeight="false" outlineLevel="0" collapsed="false">
      <c r="H6708" s="0" t="str">
        <f aca="false">IF(B6708="","",IF(COUNTIF(Campaigns!$A$7:$A$300,B6708)&gt;0,"✓","⚠ add to Campaigns tab"))</f>
        <v/>
      </c>
      <c r="I6708" s="84" t="str">
        <f aca="false">IF(C6708="","",C6708*IF(Settings!$B$23=Settings!$C$6,1,IF(Settings!$B$23="USD",1/INDEX(Settings!$B$29:$B$40,MONTH(A6708)),INDEX(Settings!$B$29:$B$40,MONTH(A6708)))))</f>
        <v/>
      </c>
    </row>
    <row r="6709" customFormat="false" ht="15" hidden="false" customHeight="false" outlineLevel="0" collapsed="false">
      <c r="H6709" s="0" t="str">
        <f aca="false">IF(B6709="","",IF(COUNTIF(Campaigns!$A$7:$A$300,B6709)&gt;0,"✓","⚠ add to Campaigns tab"))</f>
        <v/>
      </c>
      <c r="I6709" s="84" t="str">
        <f aca="false">IF(C6709="","",C6709*IF(Settings!$B$23=Settings!$C$6,1,IF(Settings!$B$23="USD",1/INDEX(Settings!$B$29:$B$40,MONTH(A6709)),INDEX(Settings!$B$29:$B$40,MONTH(A6709)))))</f>
        <v/>
      </c>
    </row>
    <row r="6710" customFormat="false" ht="15" hidden="false" customHeight="false" outlineLevel="0" collapsed="false">
      <c r="H6710" s="0" t="str">
        <f aca="false">IF(B6710="","",IF(COUNTIF(Campaigns!$A$7:$A$300,B6710)&gt;0,"✓","⚠ add to Campaigns tab"))</f>
        <v/>
      </c>
      <c r="I6710" s="84" t="str">
        <f aca="false">IF(C6710="","",C6710*IF(Settings!$B$23=Settings!$C$6,1,IF(Settings!$B$23="USD",1/INDEX(Settings!$B$29:$B$40,MONTH(A6710)),INDEX(Settings!$B$29:$B$40,MONTH(A6710)))))</f>
        <v/>
      </c>
    </row>
    <row r="6711" customFormat="false" ht="15" hidden="false" customHeight="false" outlineLevel="0" collapsed="false">
      <c r="H6711" s="0" t="str">
        <f aca="false">IF(B6711="","",IF(COUNTIF(Campaigns!$A$7:$A$300,B6711)&gt;0,"✓","⚠ add to Campaigns tab"))</f>
        <v/>
      </c>
      <c r="I6711" s="84" t="str">
        <f aca="false">IF(C6711="","",C6711*IF(Settings!$B$23=Settings!$C$6,1,IF(Settings!$B$23="USD",1/INDEX(Settings!$B$29:$B$40,MONTH(A6711)),INDEX(Settings!$B$29:$B$40,MONTH(A6711)))))</f>
        <v/>
      </c>
    </row>
    <row r="6712" customFormat="false" ht="15" hidden="false" customHeight="false" outlineLevel="0" collapsed="false">
      <c r="H6712" s="0" t="str">
        <f aca="false">IF(B6712="","",IF(COUNTIF(Campaigns!$A$7:$A$300,B6712)&gt;0,"✓","⚠ add to Campaigns tab"))</f>
        <v/>
      </c>
      <c r="I6712" s="84" t="str">
        <f aca="false">IF(C6712="","",C6712*IF(Settings!$B$23=Settings!$C$6,1,IF(Settings!$B$23="USD",1/INDEX(Settings!$B$29:$B$40,MONTH(A6712)),INDEX(Settings!$B$29:$B$40,MONTH(A6712)))))</f>
        <v/>
      </c>
    </row>
    <row r="6713" customFormat="false" ht="15" hidden="false" customHeight="false" outlineLevel="0" collapsed="false">
      <c r="H6713" s="0" t="str">
        <f aca="false">IF(B6713="","",IF(COUNTIF(Campaigns!$A$7:$A$300,B6713)&gt;0,"✓","⚠ add to Campaigns tab"))</f>
        <v/>
      </c>
      <c r="I6713" s="84" t="str">
        <f aca="false">IF(C6713="","",C6713*IF(Settings!$B$23=Settings!$C$6,1,IF(Settings!$B$23="USD",1/INDEX(Settings!$B$29:$B$40,MONTH(A6713)),INDEX(Settings!$B$29:$B$40,MONTH(A6713)))))</f>
        <v/>
      </c>
    </row>
    <row r="6714" customFormat="false" ht="15" hidden="false" customHeight="false" outlineLevel="0" collapsed="false">
      <c r="H6714" s="0" t="str">
        <f aca="false">IF(B6714="","",IF(COUNTIF(Campaigns!$A$7:$A$300,B6714)&gt;0,"✓","⚠ add to Campaigns tab"))</f>
        <v/>
      </c>
      <c r="I6714" s="84" t="str">
        <f aca="false">IF(C6714="","",C6714*IF(Settings!$B$23=Settings!$C$6,1,IF(Settings!$B$23="USD",1/INDEX(Settings!$B$29:$B$40,MONTH(A6714)),INDEX(Settings!$B$29:$B$40,MONTH(A6714)))))</f>
        <v/>
      </c>
    </row>
    <row r="6715" customFormat="false" ht="15" hidden="false" customHeight="false" outlineLevel="0" collapsed="false">
      <c r="H6715" s="0" t="str">
        <f aca="false">IF(B6715="","",IF(COUNTIF(Campaigns!$A$7:$A$300,B6715)&gt;0,"✓","⚠ add to Campaigns tab"))</f>
        <v/>
      </c>
      <c r="I6715" s="84" t="str">
        <f aca="false">IF(C6715="","",C6715*IF(Settings!$B$23=Settings!$C$6,1,IF(Settings!$B$23="USD",1/INDEX(Settings!$B$29:$B$40,MONTH(A6715)),INDEX(Settings!$B$29:$B$40,MONTH(A6715)))))</f>
        <v/>
      </c>
    </row>
    <row r="6716" customFormat="false" ht="15" hidden="false" customHeight="false" outlineLevel="0" collapsed="false">
      <c r="H6716" s="0" t="str">
        <f aca="false">IF(B6716="","",IF(COUNTIF(Campaigns!$A$7:$A$300,B6716)&gt;0,"✓","⚠ add to Campaigns tab"))</f>
        <v/>
      </c>
      <c r="I6716" s="84" t="str">
        <f aca="false">IF(C6716="","",C6716*IF(Settings!$B$23=Settings!$C$6,1,IF(Settings!$B$23="USD",1/INDEX(Settings!$B$29:$B$40,MONTH(A6716)),INDEX(Settings!$B$29:$B$40,MONTH(A6716)))))</f>
        <v/>
      </c>
    </row>
    <row r="6717" customFormat="false" ht="15" hidden="false" customHeight="false" outlineLevel="0" collapsed="false">
      <c r="H6717" s="0" t="str">
        <f aca="false">IF(B6717="","",IF(COUNTIF(Campaigns!$A$7:$A$300,B6717)&gt;0,"✓","⚠ add to Campaigns tab"))</f>
        <v/>
      </c>
      <c r="I6717" s="84" t="str">
        <f aca="false">IF(C6717="","",C6717*IF(Settings!$B$23=Settings!$C$6,1,IF(Settings!$B$23="USD",1/INDEX(Settings!$B$29:$B$40,MONTH(A6717)),INDEX(Settings!$B$29:$B$40,MONTH(A6717)))))</f>
        <v/>
      </c>
    </row>
    <row r="6718" customFormat="false" ht="15" hidden="false" customHeight="false" outlineLevel="0" collapsed="false">
      <c r="H6718" s="0" t="str">
        <f aca="false">IF(B6718="","",IF(COUNTIF(Campaigns!$A$7:$A$300,B6718)&gt;0,"✓","⚠ add to Campaigns tab"))</f>
        <v/>
      </c>
      <c r="I6718" s="84" t="str">
        <f aca="false">IF(C6718="","",C6718*IF(Settings!$B$23=Settings!$C$6,1,IF(Settings!$B$23="USD",1/INDEX(Settings!$B$29:$B$40,MONTH(A6718)),INDEX(Settings!$B$29:$B$40,MONTH(A6718)))))</f>
        <v/>
      </c>
    </row>
    <row r="6719" customFormat="false" ht="15" hidden="false" customHeight="false" outlineLevel="0" collapsed="false">
      <c r="H6719" s="0" t="str">
        <f aca="false">IF(B6719="","",IF(COUNTIF(Campaigns!$A$7:$A$300,B6719)&gt;0,"✓","⚠ add to Campaigns tab"))</f>
        <v/>
      </c>
      <c r="I6719" s="84" t="str">
        <f aca="false">IF(C6719="","",C6719*IF(Settings!$B$23=Settings!$C$6,1,IF(Settings!$B$23="USD",1/INDEX(Settings!$B$29:$B$40,MONTH(A6719)),INDEX(Settings!$B$29:$B$40,MONTH(A6719)))))</f>
        <v/>
      </c>
    </row>
    <row r="6720" customFormat="false" ht="15" hidden="false" customHeight="false" outlineLevel="0" collapsed="false">
      <c r="H6720" s="0" t="str">
        <f aca="false">IF(B6720="","",IF(COUNTIF(Campaigns!$A$7:$A$300,B6720)&gt;0,"✓","⚠ add to Campaigns tab"))</f>
        <v/>
      </c>
      <c r="I6720" s="84" t="str">
        <f aca="false">IF(C6720="","",C6720*IF(Settings!$B$23=Settings!$C$6,1,IF(Settings!$B$23="USD",1/INDEX(Settings!$B$29:$B$40,MONTH(A6720)),INDEX(Settings!$B$29:$B$40,MONTH(A6720)))))</f>
        <v/>
      </c>
    </row>
    <row r="6721" customFormat="false" ht="15" hidden="false" customHeight="false" outlineLevel="0" collapsed="false">
      <c r="H6721" s="0" t="str">
        <f aca="false">IF(B6721="","",IF(COUNTIF(Campaigns!$A$7:$A$300,B6721)&gt;0,"✓","⚠ add to Campaigns tab"))</f>
        <v/>
      </c>
      <c r="I6721" s="84" t="str">
        <f aca="false">IF(C6721="","",C6721*IF(Settings!$B$23=Settings!$C$6,1,IF(Settings!$B$23="USD",1/INDEX(Settings!$B$29:$B$40,MONTH(A6721)),INDEX(Settings!$B$29:$B$40,MONTH(A6721)))))</f>
        <v/>
      </c>
    </row>
    <row r="6722" customFormat="false" ht="15" hidden="false" customHeight="false" outlineLevel="0" collapsed="false">
      <c r="H6722" s="0" t="str">
        <f aca="false">IF(B6722="","",IF(COUNTIF(Campaigns!$A$7:$A$300,B6722)&gt;0,"✓","⚠ add to Campaigns tab"))</f>
        <v/>
      </c>
      <c r="I6722" s="84" t="str">
        <f aca="false">IF(C6722="","",C6722*IF(Settings!$B$23=Settings!$C$6,1,IF(Settings!$B$23="USD",1/INDEX(Settings!$B$29:$B$40,MONTH(A6722)),INDEX(Settings!$B$29:$B$40,MONTH(A6722)))))</f>
        <v/>
      </c>
    </row>
    <row r="6723" customFormat="false" ht="15" hidden="false" customHeight="false" outlineLevel="0" collapsed="false">
      <c r="H6723" s="0" t="str">
        <f aca="false">IF(B6723="","",IF(COUNTIF(Campaigns!$A$7:$A$300,B6723)&gt;0,"✓","⚠ add to Campaigns tab"))</f>
        <v/>
      </c>
      <c r="I6723" s="84" t="str">
        <f aca="false">IF(C6723="","",C6723*IF(Settings!$B$23=Settings!$C$6,1,IF(Settings!$B$23="USD",1/INDEX(Settings!$B$29:$B$40,MONTH(A6723)),INDEX(Settings!$B$29:$B$40,MONTH(A6723)))))</f>
        <v/>
      </c>
    </row>
    <row r="6724" customFormat="false" ht="15" hidden="false" customHeight="false" outlineLevel="0" collapsed="false">
      <c r="H6724" s="0" t="str">
        <f aca="false">IF(B6724="","",IF(COUNTIF(Campaigns!$A$7:$A$300,B6724)&gt;0,"✓","⚠ add to Campaigns tab"))</f>
        <v/>
      </c>
      <c r="I6724" s="84" t="str">
        <f aca="false">IF(C6724="","",C6724*IF(Settings!$B$23=Settings!$C$6,1,IF(Settings!$B$23="USD",1/INDEX(Settings!$B$29:$B$40,MONTH(A6724)),INDEX(Settings!$B$29:$B$40,MONTH(A6724)))))</f>
        <v/>
      </c>
    </row>
    <row r="6725" customFormat="false" ht="15" hidden="false" customHeight="false" outlineLevel="0" collapsed="false">
      <c r="H6725" s="0" t="str">
        <f aca="false">IF(B6725="","",IF(COUNTIF(Campaigns!$A$7:$A$300,B6725)&gt;0,"✓","⚠ add to Campaigns tab"))</f>
        <v/>
      </c>
      <c r="I6725" s="84" t="str">
        <f aca="false">IF(C6725="","",C6725*IF(Settings!$B$23=Settings!$C$6,1,IF(Settings!$B$23="USD",1/INDEX(Settings!$B$29:$B$40,MONTH(A6725)),INDEX(Settings!$B$29:$B$40,MONTH(A6725)))))</f>
        <v/>
      </c>
    </row>
    <row r="6726" customFormat="false" ht="15" hidden="false" customHeight="false" outlineLevel="0" collapsed="false">
      <c r="H6726" s="0" t="str">
        <f aca="false">IF(B6726="","",IF(COUNTIF(Campaigns!$A$7:$A$300,B6726)&gt;0,"✓","⚠ add to Campaigns tab"))</f>
        <v/>
      </c>
      <c r="I6726" s="84" t="str">
        <f aca="false">IF(C6726="","",C6726*IF(Settings!$B$23=Settings!$C$6,1,IF(Settings!$B$23="USD",1/INDEX(Settings!$B$29:$B$40,MONTH(A6726)),INDEX(Settings!$B$29:$B$40,MONTH(A6726)))))</f>
        <v/>
      </c>
    </row>
    <row r="6727" customFormat="false" ht="15" hidden="false" customHeight="false" outlineLevel="0" collapsed="false">
      <c r="H6727" s="0" t="str">
        <f aca="false">IF(B6727="","",IF(COUNTIF(Campaigns!$A$7:$A$300,B6727)&gt;0,"✓","⚠ add to Campaigns tab"))</f>
        <v/>
      </c>
      <c r="I6727" s="84" t="str">
        <f aca="false">IF(C6727="","",C6727*IF(Settings!$B$23=Settings!$C$6,1,IF(Settings!$B$23="USD",1/INDEX(Settings!$B$29:$B$40,MONTH(A6727)),INDEX(Settings!$B$29:$B$40,MONTH(A6727)))))</f>
        <v/>
      </c>
    </row>
    <row r="6728" customFormat="false" ht="15" hidden="false" customHeight="false" outlineLevel="0" collapsed="false">
      <c r="H6728" s="0" t="str">
        <f aca="false">IF(B6728="","",IF(COUNTIF(Campaigns!$A$7:$A$300,B6728)&gt;0,"✓","⚠ add to Campaigns tab"))</f>
        <v/>
      </c>
      <c r="I6728" s="84" t="str">
        <f aca="false">IF(C6728="","",C6728*IF(Settings!$B$23=Settings!$C$6,1,IF(Settings!$B$23="USD",1/INDEX(Settings!$B$29:$B$40,MONTH(A6728)),INDEX(Settings!$B$29:$B$40,MONTH(A6728)))))</f>
        <v/>
      </c>
    </row>
    <row r="6729" customFormat="false" ht="15" hidden="false" customHeight="false" outlineLevel="0" collapsed="false">
      <c r="H6729" s="0" t="str">
        <f aca="false">IF(B6729="","",IF(COUNTIF(Campaigns!$A$7:$A$300,B6729)&gt;0,"✓","⚠ add to Campaigns tab"))</f>
        <v/>
      </c>
      <c r="I6729" s="84" t="str">
        <f aca="false">IF(C6729="","",C6729*IF(Settings!$B$23=Settings!$C$6,1,IF(Settings!$B$23="USD",1/INDEX(Settings!$B$29:$B$40,MONTH(A6729)),INDEX(Settings!$B$29:$B$40,MONTH(A6729)))))</f>
        <v/>
      </c>
    </row>
    <row r="6730" customFormat="false" ht="15" hidden="false" customHeight="false" outlineLevel="0" collapsed="false">
      <c r="H6730" s="0" t="str">
        <f aca="false">IF(B6730="","",IF(COUNTIF(Campaigns!$A$7:$A$300,B6730)&gt;0,"✓","⚠ add to Campaigns tab"))</f>
        <v/>
      </c>
      <c r="I6730" s="84" t="str">
        <f aca="false">IF(C6730="","",C6730*IF(Settings!$B$23=Settings!$C$6,1,IF(Settings!$B$23="USD",1/INDEX(Settings!$B$29:$B$40,MONTH(A6730)),INDEX(Settings!$B$29:$B$40,MONTH(A6730)))))</f>
        <v/>
      </c>
    </row>
    <row r="6731" customFormat="false" ht="15" hidden="false" customHeight="false" outlineLevel="0" collapsed="false">
      <c r="H6731" s="0" t="str">
        <f aca="false">IF(B6731="","",IF(COUNTIF(Campaigns!$A$7:$A$300,B6731)&gt;0,"✓","⚠ add to Campaigns tab"))</f>
        <v/>
      </c>
      <c r="I6731" s="84" t="str">
        <f aca="false">IF(C6731="","",C6731*IF(Settings!$B$23=Settings!$C$6,1,IF(Settings!$B$23="USD",1/INDEX(Settings!$B$29:$B$40,MONTH(A6731)),INDEX(Settings!$B$29:$B$40,MONTH(A6731)))))</f>
        <v/>
      </c>
    </row>
    <row r="6732" customFormat="false" ht="15" hidden="false" customHeight="false" outlineLevel="0" collapsed="false">
      <c r="H6732" s="0" t="str">
        <f aca="false">IF(B6732="","",IF(COUNTIF(Campaigns!$A$7:$A$300,B6732)&gt;0,"✓","⚠ add to Campaigns tab"))</f>
        <v/>
      </c>
      <c r="I6732" s="84" t="str">
        <f aca="false">IF(C6732="","",C6732*IF(Settings!$B$23=Settings!$C$6,1,IF(Settings!$B$23="USD",1/INDEX(Settings!$B$29:$B$40,MONTH(A6732)),INDEX(Settings!$B$29:$B$40,MONTH(A6732)))))</f>
        <v/>
      </c>
    </row>
    <row r="6733" customFormat="false" ht="15" hidden="false" customHeight="false" outlineLevel="0" collapsed="false">
      <c r="H6733" s="0" t="str">
        <f aca="false">IF(B6733="","",IF(COUNTIF(Campaigns!$A$7:$A$300,B6733)&gt;0,"✓","⚠ add to Campaigns tab"))</f>
        <v/>
      </c>
      <c r="I6733" s="84" t="str">
        <f aca="false">IF(C6733="","",C6733*IF(Settings!$B$23=Settings!$C$6,1,IF(Settings!$B$23="USD",1/INDEX(Settings!$B$29:$B$40,MONTH(A6733)),INDEX(Settings!$B$29:$B$40,MONTH(A6733)))))</f>
        <v/>
      </c>
    </row>
    <row r="6734" customFormat="false" ht="15" hidden="false" customHeight="false" outlineLevel="0" collapsed="false">
      <c r="H6734" s="0" t="str">
        <f aca="false">IF(B6734="","",IF(COUNTIF(Campaigns!$A$7:$A$300,B6734)&gt;0,"✓","⚠ add to Campaigns tab"))</f>
        <v/>
      </c>
      <c r="I6734" s="84" t="str">
        <f aca="false">IF(C6734="","",C6734*IF(Settings!$B$23=Settings!$C$6,1,IF(Settings!$B$23="USD",1/INDEX(Settings!$B$29:$B$40,MONTH(A6734)),INDEX(Settings!$B$29:$B$40,MONTH(A6734)))))</f>
        <v/>
      </c>
    </row>
    <row r="6735" customFormat="false" ht="15" hidden="false" customHeight="false" outlineLevel="0" collapsed="false">
      <c r="H6735" s="0" t="str">
        <f aca="false">IF(B6735="","",IF(COUNTIF(Campaigns!$A$7:$A$300,B6735)&gt;0,"✓","⚠ add to Campaigns tab"))</f>
        <v/>
      </c>
      <c r="I6735" s="84" t="str">
        <f aca="false">IF(C6735="","",C6735*IF(Settings!$B$23=Settings!$C$6,1,IF(Settings!$B$23="USD",1/INDEX(Settings!$B$29:$B$40,MONTH(A6735)),INDEX(Settings!$B$29:$B$40,MONTH(A6735)))))</f>
        <v/>
      </c>
    </row>
    <row r="6736" customFormat="false" ht="15" hidden="false" customHeight="false" outlineLevel="0" collapsed="false">
      <c r="H6736" s="0" t="str">
        <f aca="false">IF(B6736="","",IF(COUNTIF(Campaigns!$A$7:$A$300,B6736)&gt;0,"✓","⚠ add to Campaigns tab"))</f>
        <v/>
      </c>
      <c r="I6736" s="84" t="str">
        <f aca="false">IF(C6736="","",C6736*IF(Settings!$B$23=Settings!$C$6,1,IF(Settings!$B$23="USD",1/INDEX(Settings!$B$29:$B$40,MONTH(A6736)),INDEX(Settings!$B$29:$B$40,MONTH(A6736)))))</f>
        <v/>
      </c>
    </row>
    <row r="6737" customFormat="false" ht="15" hidden="false" customHeight="false" outlineLevel="0" collapsed="false">
      <c r="H6737" s="0" t="str">
        <f aca="false">IF(B6737="","",IF(COUNTIF(Campaigns!$A$7:$A$300,B6737)&gt;0,"✓","⚠ add to Campaigns tab"))</f>
        <v/>
      </c>
      <c r="I6737" s="84" t="str">
        <f aca="false">IF(C6737="","",C6737*IF(Settings!$B$23=Settings!$C$6,1,IF(Settings!$B$23="USD",1/INDEX(Settings!$B$29:$B$40,MONTH(A6737)),INDEX(Settings!$B$29:$B$40,MONTH(A6737)))))</f>
        <v/>
      </c>
    </row>
    <row r="6738" customFormat="false" ht="15" hidden="false" customHeight="false" outlineLevel="0" collapsed="false">
      <c r="H6738" s="0" t="str">
        <f aca="false">IF(B6738="","",IF(COUNTIF(Campaigns!$A$7:$A$300,B6738)&gt;0,"✓","⚠ add to Campaigns tab"))</f>
        <v/>
      </c>
      <c r="I6738" s="84" t="str">
        <f aca="false">IF(C6738="","",C6738*IF(Settings!$B$23=Settings!$C$6,1,IF(Settings!$B$23="USD",1/INDEX(Settings!$B$29:$B$40,MONTH(A6738)),INDEX(Settings!$B$29:$B$40,MONTH(A6738)))))</f>
        <v/>
      </c>
    </row>
    <row r="6739" customFormat="false" ht="15" hidden="false" customHeight="false" outlineLevel="0" collapsed="false">
      <c r="H6739" s="0" t="str">
        <f aca="false">IF(B6739="","",IF(COUNTIF(Campaigns!$A$7:$A$300,B6739)&gt;0,"✓","⚠ add to Campaigns tab"))</f>
        <v/>
      </c>
      <c r="I6739" s="84" t="str">
        <f aca="false">IF(C6739="","",C6739*IF(Settings!$B$23=Settings!$C$6,1,IF(Settings!$B$23="USD",1/INDEX(Settings!$B$29:$B$40,MONTH(A6739)),INDEX(Settings!$B$29:$B$40,MONTH(A6739)))))</f>
        <v/>
      </c>
    </row>
    <row r="6740" customFormat="false" ht="15" hidden="false" customHeight="false" outlineLevel="0" collapsed="false">
      <c r="H6740" s="0" t="str">
        <f aca="false">IF(B6740="","",IF(COUNTIF(Campaigns!$A$7:$A$300,B6740)&gt;0,"✓","⚠ add to Campaigns tab"))</f>
        <v/>
      </c>
      <c r="I6740" s="84" t="str">
        <f aca="false">IF(C6740="","",C6740*IF(Settings!$B$23=Settings!$C$6,1,IF(Settings!$B$23="USD",1/INDEX(Settings!$B$29:$B$40,MONTH(A6740)),INDEX(Settings!$B$29:$B$40,MONTH(A6740)))))</f>
        <v/>
      </c>
    </row>
    <row r="6741" customFormat="false" ht="15" hidden="false" customHeight="false" outlineLevel="0" collapsed="false">
      <c r="H6741" s="0" t="str">
        <f aca="false">IF(B6741="","",IF(COUNTIF(Campaigns!$A$7:$A$300,B6741)&gt;0,"✓","⚠ add to Campaigns tab"))</f>
        <v/>
      </c>
      <c r="I6741" s="84" t="str">
        <f aca="false">IF(C6741="","",C6741*IF(Settings!$B$23=Settings!$C$6,1,IF(Settings!$B$23="USD",1/INDEX(Settings!$B$29:$B$40,MONTH(A6741)),INDEX(Settings!$B$29:$B$40,MONTH(A6741)))))</f>
        <v/>
      </c>
    </row>
    <row r="6742" customFormat="false" ht="15" hidden="false" customHeight="false" outlineLevel="0" collapsed="false">
      <c r="H6742" s="0" t="str">
        <f aca="false">IF(B6742="","",IF(COUNTIF(Campaigns!$A$7:$A$300,B6742)&gt;0,"✓","⚠ add to Campaigns tab"))</f>
        <v/>
      </c>
      <c r="I6742" s="84" t="str">
        <f aca="false">IF(C6742="","",C6742*IF(Settings!$B$23=Settings!$C$6,1,IF(Settings!$B$23="USD",1/INDEX(Settings!$B$29:$B$40,MONTH(A6742)),INDEX(Settings!$B$29:$B$40,MONTH(A6742)))))</f>
        <v/>
      </c>
    </row>
    <row r="6743" customFormat="false" ht="15" hidden="false" customHeight="false" outlineLevel="0" collapsed="false">
      <c r="H6743" s="0" t="str">
        <f aca="false">IF(B6743="","",IF(COUNTIF(Campaigns!$A$7:$A$300,B6743)&gt;0,"✓","⚠ add to Campaigns tab"))</f>
        <v/>
      </c>
      <c r="I6743" s="84" t="str">
        <f aca="false">IF(C6743="","",C6743*IF(Settings!$B$23=Settings!$C$6,1,IF(Settings!$B$23="USD",1/INDEX(Settings!$B$29:$B$40,MONTH(A6743)),INDEX(Settings!$B$29:$B$40,MONTH(A6743)))))</f>
        <v/>
      </c>
    </row>
    <row r="6744" customFormat="false" ht="15" hidden="false" customHeight="false" outlineLevel="0" collapsed="false">
      <c r="H6744" s="0" t="str">
        <f aca="false">IF(B6744="","",IF(COUNTIF(Campaigns!$A$7:$A$300,B6744)&gt;0,"✓","⚠ add to Campaigns tab"))</f>
        <v/>
      </c>
      <c r="I6744" s="84" t="str">
        <f aca="false">IF(C6744="","",C6744*IF(Settings!$B$23=Settings!$C$6,1,IF(Settings!$B$23="USD",1/INDEX(Settings!$B$29:$B$40,MONTH(A6744)),INDEX(Settings!$B$29:$B$40,MONTH(A6744)))))</f>
        <v/>
      </c>
    </row>
    <row r="6745" customFormat="false" ht="15" hidden="false" customHeight="false" outlineLevel="0" collapsed="false">
      <c r="H6745" s="0" t="str">
        <f aca="false">IF(B6745="","",IF(COUNTIF(Campaigns!$A$7:$A$300,B6745)&gt;0,"✓","⚠ add to Campaigns tab"))</f>
        <v/>
      </c>
      <c r="I6745" s="84" t="str">
        <f aca="false">IF(C6745="","",C6745*IF(Settings!$B$23=Settings!$C$6,1,IF(Settings!$B$23="USD",1/INDEX(Settings!$B$29:$B$40,MONTH(A6745)),INDEX(Settings!$B$29:$B$40,MONTH(A6745)))))</f>
        <v/>
      </c>
    </row>
    <row r="6746" customFormat="false" ht="15" hidden="false" customHeight="false" outlineLevel="0" collapsed="false">
      <c r="H6746" s="0" t="str">
        <f aca="false">IF(B6746="","",IF(COUNTIF(Campaigns!$A$7:$A$300,B6746)&gt;0,"✓","⚠ add to Campaigns tab"))</f>
        <v/>
      </c>
      <c r="I6746" s="84" t="str">
        <f aca="false">IF(C6746="","",C6746*IF(Settings!$B$23=Settings!$C$6,1,IF(Settings!$B$23="USD",1/INDEX(Settings!$B$29:$B$40,MONTH(A6746)),INDEX(Settings!$B$29:$B$40,MONTH(A6746)))))</f>
        <v/>
      </c>
    </row>
    <row r="6747" customFormat="false" ht="15" hidden="false" customHeight="false" outlineLevel="0" collapsed="false">
      <c r="H6747" s="0" t="str">
        <f aca="false">IF(B6747="","",IF(COUNTIF(Campaigns!$A$7:$A$300,B6747)&gt;0,"✓","⚠ add to Campaigns tab"))</f>
        <v/>
      </c>
      <c r="I6747" s="84" t="str">
        <f aca="false">IF(C6747="","",C6747*IF(Settings!$B$23=Settings!$C$6,1,IF(Settings!$B$23="USD",1/INDEX(Settings!$B$29:$B$40,MONTH(A6747)),INDEX(Settings!$B$29:$B$40,MONTH(A6747)))))</f>
        <v/>
      </c>
    </row>
    <row r="6748" customFormat="false" ht="15" hidden="false" customHeight="false" outlineLevel="0" collapsed="false">
      <c r="H6748" s="0" t="str">
        <f aca="false">IF(B6748="","",IF(COUNTIF(Campaigns!$A$7:$A$300,B6748)&gt;0,"✓","⚠ add to Campaigns tab"))</f>
        <v/>
      </c>
      <c r="I6748" s="84" t="str">
        <f aca="false">IF(C6748="","",C6748*IF(Settings!$B$23=Settings!$C$6,1,IF(Settings!$B$23="USD",1/INDEX(Settings!$B$29:$B$40,MONTH(A6748)),INDEX(Settings!$B$29:$B$40,MONTH(A6748)))))</f>
        <v/>
      </c>
    </row>
    <row r="6749" customFormat="false" ht="15" hidden="false" customHeight="false" outlineLevel="0" collapsed="false">
      <c r="H6749" s="0" t="str">
        <f aca="false">IF(B6749="","",IF(COUNTIF(Campaigns!$A$7:$A$300,B6749)&gt;0,"✓","⚠ add to Campaigns tab"))</f>
        <v/>
      </c>
      <c r="I6749" s="84" t="str">
        <f aca="false">IF(C6749="","",C6749*IF(Settings!$B$23=Settings!$C$6,1,IF(Settings!$B$23="USD",1/INDEX(Settings!$B$29:$B$40,MONTH(A6749)),INDEX(Settings!$B$29:$B$40,MONTH(A6749)))))</f>
        <v/>
      </c>
    </row>
    <row r="6750" customFormat="false" ht="15" hidden="false" customHeight="false" outlineLevel="0" collapsed="false">
      <c r="H6750" s="0" t="str">
        <f aca="false">IF(B6750="","",IF(COUNTIF(Campaigns!$A$7:$A$300,B6750)&gt;0,"✓","⚠ add to Campaigns tab"))</f>
        <v/>
      </c>
      <c r="I6750" s="84" t="str">
        <f aca="false">IF(C6750="","",C6750*IF(Settings!$B$23=Settings!$C$6,1,IF(Settings!$B$23="USD",1/INDEX(Settings!$B$29:$B$40,MONTH(A6750)),INDEX(Settings!$B$29:$B$40,MONTH(A6750)))))</f>
        <v/>
      </c>
    </row>
    <row r="6751" customFormat="false" ht="15" hidden="false" customHeight="false" outlineLevel="0" collapsed="false">
      <c r="H6751" s="0" t="str">
        <f aca="false">IF(B6751="","",IF(COUNTIF(Campaigns!$A$7:$A$300,B6751)&gt;0,"✓","⚠ add to Campaigns tab"))</f>
        <v/>
      </c>
      <c r="I6751" s="84" t="str">
        <f aca="false">IF(C6751="","",C6751*IF(Settings!$B$23=Settings!$C$6,1,IF(Settings!$B$23="USD",1/INDEX(Settings!$B$29:$B$40,MONTH(A6751)),INDEX(Settings!$B$29:$B$40,MONTH(A6751)))))</f>
        <v/>
      </c>
    </row>
    <row r="6752" customFormat="false" ht="15" hidden="false" customHeight="false" outlineLevel="0" collapsed="false">
      <c r="H6752" s="0" t="str">
        <f aca="false">IF(B6752="","",IF(COUNTIF(Campaigns!$A$7:$A$300,B6752)&gt;0,"✓","⚠ add to Campaigns tab"))</f>
        <v/>
      </c>
      <c r="I6752" s="84" t="str">
        <f aca="false">IF(C6752="","",C6752*IF(Settings!$B$23=Settings!$C$6,1,IF(Settings!$B$23="USD",1/INDEX(Settings!$B$29:$B$40,MONTH(A6752)),INDEX(Settings!$B$29:$B$40,MONTH(A6752)))))</f>
        <v/>
      </c>
    </row>
    <row r="6753" customFormat="false" ht="15" hidden="false" customHeight="false" outlineLevel="0" collapsed="false">
      <c r="H6753" s="0" t="str">
        <f aca="false">IF(B6753="","",IF(COUNTIF(Campaigns!$A$7:$A$300,B6753)&gt;0,"✓","⚠ add to Campaigns tab"))</f>
        <v/>
      </c>
      <c r="I6753" s="84" t="str">
        <f aca="false">IF(C6753="","",C6753*IF(Settings!$B$23=Settings!$C$6,1,IF(Settings!$B$23="USD",1/INDEX(Settings!$B$29:$B$40,MONTH(A6753)),INDEX(Settings!$B$29:$B$40,MONTH(A6753)))))</f>
        <v/>
      </c>
    </row>
    <row r="6754" customFormat="false" ht="15" hidden="false" customHeight="false" outlineLevel="0" collapsed="false">
      <c r="H6754" s="0" t="str">
        <f aca="false">IF(B6754="","",IF(COUNTIF(Campaigns!$A$7:$A$300,B6754)&gt;0,"✓","⚠ add to Campaigns tab"))</f>
        <v/>
      </c>
      <c r="I6754" s="84" t="str">
        <f aca="false">IF(C6754="","",C6754*IF(Settings!$B$23=Settings!$C$6,1,IF(Settings!$B$23="USD",1/INDEX(Settings!$B$29:$B$40,MONTH(A6754)),INDEX(Settings!$B$29:$B$40,MONTH(A6754)))))</f>
        <v/>
      </c>
    </row>
    <row r="6755" customFormat="false" ht="15" hidden="false" customHeight="false" outlineLevel="0" collapsed="false">
      <c r="H6755" s="0" t="str">
        <f aca="false">IF(B6755="","",IF(COUNTIF(Campaigns!$A$7:$A$300,B6755)&gt;0,"✓","⚠ add to Campaigns tab"))</f>
        <v/>
      </c>
      <c r="I6755" s="84" t="str">
        <f aca="false">IF(C6755="","",C6755*IF(Settings!$B$23=Settings!$C$6,1,IF(Settings!$B$23="USD",1/INDEX(Settings!$B$29:$B$40,MONTH(A6755)),INDEX(Settings!$B$29:$B$40,MONTH(A6755)))))</f>
        <v/>
      </c>
    </row>
    <row r="6756" customFormat="false" ht="15" hidden="false" customHeight="false" outlineLevel="0" collapsed="false">
      <c r="H6756" s="0" t="str">
        <f aca="false">IF(B6756="","",IF(COUNTIF(Campaigns!$A$7:$A$300,B6756)&gt;0,"✓","⚠ add to Campaigns tab"))</f>
        <v/>
      </c>
      <c r="I6756" s="84" t="str">
        <f aca="false">IF(C6756="","",C6756*IF(Settings!$B$23=Settings!$C$6,1,IF(Settings!$B$23="USD",1/INDEX(Settings!$B$29:$B$40,MONTH(A6756)),INDEX(Settings!$B$29:$B$40,MONTH(A6756)))))</f>
        <v/>
      </c>
    </row>
    <row r="6757" customFormat="false" ht="15" hidden="false" customHeight="false" outlineLevel="0" collapsed="false">
      <c r="H6757" s="0" t="str">
        <f aca="false">IF(B6757="","",IF(COUNTIF(Campaigns!$A$7:$A$300,B6757)&gt;0,"✓","⚠ add to Campaigns tab"))</f>
        <v/>
      </c>
      <c r="I6757" s="84" t="str">
        <f aca="false">IF(C6757="","",C6757*IF(Settings!$B$23=Settings!$C$6,1,IF(Settings!$B$23="USD",1/INDEX(Settings!$B$29:$B$40,MONTH(A6757)),INDEX(Settings!$B$29:$B$40,MONTH(A6757)))))</f>
        <v/>
      </c>
    </row>
    <row r="6758" customFormat="false" ht="15" hidden="false" customHeight="false" outlineLevel="0" collapsed="false">
      <c r="H6758" s="0" t="str">
        <f aca="false">IF(B6758="","",IF(COUNTIF(Campaigns!$A$7:$A$300,B6758)&gt;0,"✓","⚠ add to Campaigns tab"))</f>
        <v/>
      </c>
      <c r="I6758" s="84" t="str">
        <f aca="false">IF(C6758="","",C6758*IF(Settings!$B$23=Settings!$C$6,1,IF(Settings!$B$23="USD",1/INDEX(Settings!$B$29:$B$40,MONTH(A6758)),INDEX(Settings!$B$29:$B$40,MONTH(A6758)))))</f>
        <v/>
      </c>
    </row>
    <row r="6759" customFormat="false" ht="15" hidden="false" customHeight="false" outlineLevel="0" collapsed="false">
      <c r="H6759" s="0" t="str">
        <f aca="false">IF(B6759="","",IF(COUNTIF(Campaigns!$A$7:$A$300,B6759)&gt;0,"✓","⚠ add to Campaigns tab"))</f>
        <v/>
      </c>
      <c r="I6759" s="84" t="str">
        <f aca="false">IF(C6759="","",C6759*IF(Settings!$B$23=Settings!$C$6,1,IF(Settings!$B$23="USD",1/INDEX(Settings!$B$29:$B$40,MONTH(A6759)),INDEX(Settings!$B$29:$B$40,MONTH(A6759)))))</f>
        <v/>
      </c>
    </row>
    <row r="6760" customFormat="false" ht="15" hidden="false" customHeight="false" outlineLevel="0" collapsed="false">
      <c r="H6760" s="0" t="str">
        <f aca="false">IF(B6760="","",IF(COUNTIF(Campaigns!$A$7:$A$300,B6760)&gt;0,"✓","⚠ add to Campaigns tab"))</f>
        <v/>
      </c>
      <c r="I6760" s="84" t="str">
        <f aca="false">IF(C6760="","",C6760*IF(Settings!$B$23=Settings!$C$6,1,IF(Settings!$B$23="USD",1/INDEX(Settings!$B$29:$B$40,MONTH(A6760)),INDEX(Settings!$B$29:$B$40,MONTH(A6760)))))</f>
        <v/>
      </c>
    </row>
    <row r="6761" customFormat="false" ht="15" hidden="false" customHeight="false" outlineLevel="0" collapsed="false">
      <c r="H6761" s="0" t="str">
        <f aca="false">IF(B6761="","",IF(COUNTIF(Campaigns!$A$7:$A$300,B6761)&gt;0,"✓","⚠ add to Campaigns tab"))</f>
        <v/>
      </c>
      <c r="I6761" s="84" t="str">
        <f aca="false">IF(C6761="","",C6761*IF(Settings!$B$23=Settings!$C$6,1,IF(Settings!$B$23="USD",1/INDEX(Settings!$B$29:$B$40,MONTH(A6761)),INDEX(Settings!$B$29:$B$40,MONTH(A6761)))))</f>
        <v/>
      </c>
    </row>
    <row r="6762" customFormat="false" ht="15" hidden="false" customHeight="false" outlineLevel="0" collapsed="false">
      <c r="H6762" s="0" t="str">
        <f aca="false">IF(B6762="","",IF(COUNTIF(Campaigns!$A$7:$A$300,B6762)&gt;0,"✓","⚠ add to Campaigns tab"))</f>
        <v/>
      </c>
      <c r="I6762" s="84" t="str">
        <f aca="false">IF(C6762="","",C6762*IF(Settings!$B$23=Settings!$C$6,1,IF(Settings!$B$23="USD",1/INDEX(Settings!$B$29:$B$40,MONTH(A6762)),INDEX(Settings!$B$29:$B$40,MONTH(A6762)))))</f>
        <v/>
      </c>
    </row>
    <row r="6763" customFormat="false" ht="15" hidden="false" customHeight="false" outlineLevel="0" collapsed="false">
      <c r="H6763" s="0" t="str">
        <f aca="false">IF(B6763="","",IF(COUNTIF(Campaigns!$A$7:$A$300,B6763)&gt;0,"✓","⚠ add to Campaigns tab"))</f>
        <v/>
      </c>
      <c r="I6763" s="84" t="str">
        <f aca="false">IF(C6763="","",C6763*IF(Settings!$B$23=Settings!$C$6,1,IF(Settings!$B$23="USD",1/INDEX(Settings!$B$29:$B$40,MONTH(A6763)),INDEX(Settings!$B$29:$B$40,MONTH(A6763)))))</f>
        <v/>
      </c>
    </row>
    <row r="6764" customFormat="false" ht="15" hidden="false" customHeight="false" outlineLevel="0" collapsed="false">
      <c r="H6764" s="0" t="str">
        <f aca="false">IF(B6764="","",IF(COUNTIF(Campaigns!$A$7:$A$300,B6764)&gt;0,"✓","⚠ add to Campaigns tab"))</f>
        <v/>
      </c>
      <c r="I6764" s="84" t="str">
        <f aca="false">IF(C6764="","",C6764*IF(Settings!$B$23=Settings!$C$6,1,IF(Settings!$B$23="USD",1/INDEX(Settings!$B$29:$B$40,MONTH(A6764)),INDEX(Settings!$B$29:$B$40,MONTH(A6764)))))</f>
        <v/>
      </c>
    </row>
    <row r="6765" customFormat="false" ht="15" hidden="false" customHeight="false" outlineLevel="0" collapsed="false">
      <c r="H6765" s="0" t="str">
        <f aca="false">IF(B6765="","",IF(COUNTIF(Campaigns!$A$7:$A$300,B6765)&gt;0,"✓","⚠ add to Campaigns tab"))</f>
        <v/>
      </c>
      <c r="I6765" s="84" t="str">
        <f aca="false">IF(C6765="","",C6765*IF(Settings!$B$23=Settings!$C$6,1,IF(Settings!$B$23="USD",1/INDEX(Settings!$B$29:$B$40,MONTH(A6765)),INDEX(Settings!$B$29:$B$40,MONTH(A6765)))))</f>
        <v/>
      </c>
    </row>
    <row r="6766" customFormat="false" ht="15" hidden="false" customHeight="false" outlineLevel="0" collapsed="false">
      <c r="H6766" s="0" t="str">
        <f aca="false">IF(B6766="","",IF(COUNTIF(Campaigns!$A$7:$A$300,B6766)&gt;0,"✓","⚠ add to Campaigns tab"))</f>
        <v/>
      </c>
      <c r="I6766" s="84" t="str">
        <f aca="false">IF(C6766="","",C6766*IF(Settings!$B$23=Settings!$C$6,1,IF(Settings!$B$23="USD",1/INDEX(Settings!$B$29:$B$40,MONTH(A6766)),INDEX(Settings!$B$29:$B$40,MONTH(A6766)))))</f>
        <v/>
      </c>
    </row>
    <row r="6767" customFormat="false" ht="15" hidden="false" customHeight="false" outlineLevel="0" collapsed="false">
      <c r="H6767" s="0" t="str">
        <f aca="false">IF(B6767="","",IF(COUNTIF(Campaigns!$A$7:$A$300,B6767)&gt;0,"✓","⚠ add to Campaigns tab"))</f>
        <v/>
      </c>
      <c r="I6767" s="84" t="str">
        <f aca="false">IF(C6767="","",C6767*IF(Settings!$B$23=Settings!$C$6,1,IF(Settings!$B$23="USD",1/INDEX(Settings!$B$29:$B$40,MONTH(A6767)),INDEX(Settings!$B$29:$B$40,MONTH(A6767)))))</f>
        <v/>
      </c>
    </row>
    <row r="6768" customFormat="false" ht="15" hidden="false" customHeight="false" outlineLevel="0" collapsed="false">
      <c r="H6768" s="0" t="str">
        <f aca="false">IF(B6768="","",IF(COUNTIF(Campaigns!$A$7:$A$300,B6768)&gt;0,"✓","⚠ add to Campaigns tab"))</f>
        <v/>
      </c>
      <c r="I6768" s="84" t="str">
        <f aca="false">IF(C6768="","",C6768*IF(Settings!$B$23=Settings!$C$6,1,IF(Settings!$B$23="USD",1/INDEX(Settings!$B$29:$B$40,MONTH(A6768)),INDEX(Settings!$B$29:$B$40,MONTH(A6768)))))</f>
        <v/>
      </c>
    </row>
    <row r="6769" customFormat="false" ht="15" hidden="false" customHeight="false" outlineLevel="0" collapsed="false">
      <c r="H6769" s="0" t="str">
        <f aca="false">IF(B6769="","",IF(COUNTIF(Campaigns!$A$7:$A$300,B6769)&gt;0,"✓","⚠ add to Campaigns tab"))</f>
        <v/>
      </c>
      <c r="I6769" s="84" t="str">
        <f aca="false">IF(C6769="","",C6769*IF(Settings!$B$23=Settings!$C$6,1,IF(Settings!$B$23="USD",1/INDEX(Settings!$B$29:$B$40,MONTH(A6769)),INDEX(Settings!$B$29:$B$40,MONTH(A6769)))))</f>
        <v/>
      </c>
    </row>
    <row r="6770" customFormat="false" ht="15" hidden="false" customHeight="false" outlineLevel="0" collapsed="false">
      <c r="H6770" s="0" t="str">
        <f aca="false">IF(B6770="","",IF(COUNTIF(Campaigns!$A$7:$A$300,B6770)&gt;0,"✓","⚠ add to Campaigns tab"))</f>
        <v/>
      </c>
      <c r="I6770" s="84" t="str">
        <f aca="false">IF(C6770="","",C6770*IF(Settings!$B$23=Settings!$C$6,1,IF(Settings!$B$23="USD",1/INDEX(Settings!$B$29:$B$40,MONTH(A6770)),INDEX(Settings!$B$29:$B$40,MONTH(A6770)))))</f>
        <v/>
      </c>
    </row>
    <row r="6771" customFormat="false" ht="15" hidden="false" customHeight="false" outlineLevel="0" collapsed="false">
      <c r="H6771" s="0" t="str">
        <f aca="false">IF(B6771="","",IF(COUNTIF(Campaigns!$A$7:$A$300,B6771)&gt;0,"✓","⚠ add to Campaigns tab"))</f>
        <v/>
      </c>
      <c r="I6771" s="84" t="str">
        <f aca="false">IF(C6771="","",C6771*IF(Settings!$B$23=Settings!$C$6,1,IF(Settings!$B$23="USD",1/INDEX(Settings!$B$29:$B$40,MONTH(A6771)),INDEX(Settings!$B$29:$B$40,MONTH(A6771)))))</f>
        <v/>
      </c>
    </row>
    <row r="6772" customFormat="false" ht="15" hidden="false" customHeight="false" outlineLevel="0" collapsed="false">
      <c r="H6772" s="0" t="str">
        <f aca="false">IF(B6772="","",IF(COUNTIF(Campaigns!$A$7:$A$300,B6772)&gt;0,"✓","⚠ add to Campaigns tab"))</f>
        <v/>
      </c>
      <c r="I6772" s="84" t="str">
        <f aca="false">IF(C6772="","",C6772*IF(Settings!$B$23=Settings!$C$6,1,IF(Settings!$B$23="USD",1/INDEX(Settings!$B$29:$B$40,MONTH(A6772)),INDEX(Settings!$B$29:$B$40,MONTH(A6772)))))</f>
        <v/>
      </c>
    </row>
    <row r="6773" customFormat="false" ht="15" hidden="false" customHeight="false" outlineLevel="0" collapsed="false">
      <c r="H6773" s="0" t="str">
        <f aca="false">IF(B6773="","",IF(COUNTIF(Campaigns!$A$7:$A$300,B6773)&gt;0,"✓","⚠ add to Campaigns tab"))</f>
        <v/>
      </c>
      <c r="I6773" s="84" t="str">
        <f aca="false">IF(C6773="","",C6773*IF(Settings!$B$23=Settings!$C$6,1,IF(Settings!$B$23="USD",1/INDEX(Settings!$B$29:$B$40,MONTH(A6773)),INDEX(Settings!$B$29:$B$40,MONTH(A6773)))))</f>
        <v/>
      </c>
    </row>
    <row r="6774" customFormat="false" ht="15" hidden="false" customHeight="false" outlineLevel="0" collapsed="false">
      <c r="H6774" s="0" t="str">
        <f aca="false">IF(B6774="","",IF(COUNTIF(Campaigns!$A$7:$A$300,B6774)&gt;0,"✓","⚠ add to Campaigns tab"))</f>
        <v/>
      </c>
      <c r="I6774" s="84" t="str">
        <f aca="false">IF(C6774="","",C6774*IF(Settings!$B$23=Settings!$C$6,1,IF(Settings!$B$23="USD",1/INDEX(Settings!$B$29:$B$40,MONTH(A6774)),INDEX(Settings!$B$29:$B$40,MONTH(A6774)))))</f>
        <v/>
      </c>
    </row>
    <row r="6775" customFormat="false" ht="15" hidden="false" customHeight="false" outlineLevel="0" collapsed="false">
      <c r="H6775" s="0" t="str">
        <f aca="false">IF(B6775="","",IF(COUNTIF(Campaigns!$A$7:$A$300,B6775)&gt;0,"✓","⚠ add to Campaigns tab"))</f>
        <v/>
      </c>
      <c r="I6775" s="84" t="str">
        <f aca="false">IF(C6775="","",C6775*IF(Settings!$B$23=Settings!$C$6,1,IF(Settings!$B$23="USD",1/INDEX(Settings!$B$29:$B$40,MONTH(A6775)),INDEX(Settings!$B$29:$B$40,MONTH(A6775)))))</f>
        <v/>
      </c>
    </row>
    <row r="6776" customFormat="false" ht="15" hidden="false" customHeight="false" outlineLevel="0" collapsed="false">
      <c r="H6776" s="0" t="str">
        <f aca="false">IF(B6776="","",IF(COUNTIF(Campaigns!$A$7:$A$300,B6776)&gt;0,"✓","⚠ add to Campaigns tab"))</f>
        <v/>
      </c>
      <c r="I6776" s="84" t="str">
        <f aca="false">IF(C6776="","",C6776*IF(Settings!$B$23=Settings!$C$6,1,IF(Settings!$B$23="USD",1/INDEX(Settings!$B$29:$B$40,MONTH(A6776)),INDEX(Settings!$B$29:$B$40,MONTH(A6776)))))</f>
        <v/>
      </c>
    </row>
    <row r="6777" customFormat="false" ht="15" hidden="false" customHeight="false" outlineLevel="0" collapsed="false">
      <c r="H6777" s="0" t="str">
        <f aca="false">IF(B6777="","",IF(COUNTIF(Campaigns!$A$7:$A$300,B6777)&gt;0,"✓","⚠ add to Campaigns tab"))</f>
        <v/>
      </c>
      <c r="I6777" s="84" t="str">
        <f aca="false">IF(C6777="","",C6777*IF(Settings!$B$23=Settings!$C$6,1,IF(Settings!$B$23="USD",1/INDEX(Settings!$B$29:$B$40,MONTH(A6777)),INDEX(Settings!$B$29:$B$40,MONTH(A6777)))))</f>
        <v/>
      </c>
    </row>
    <row r="6778" customFormat="false" ht="15" hidden="false" customHeight="false" outlineLevel="0" collapsed="false">
      <c r="H6778" s="0" t="str">
        <f aca="false">IF(B6778="","",IF(COUNTIF(Campaigns!$A$7:$A$300,B6778)&gt;0,"✓","⚠ add to Campaigns tab"))</f>
        <v/>
      </c>
      <c r="I6778" s="84" t="str">
        <f aca="false">IF(C6778="","",C6778*IF(Settings!$B$23=Settings!$C$6,1,IF(Settings!$B$23="USD",1/INDEX(Settings!$B$29:$B$40,MONTH(A6778)),INDEX(Settings!$B$29:$B$40,MONTH(A6778)))))</f>
        <v/>
      </c>
    </row>
    <row r="6779" customFormat="false" ht="15" hidden="false" customHeight="false" outlineLevel="0" collapsed="false">
      <c r="H6779" s="0" t="str">
        <f aca="false">IF(B6779="","",IF(COUNTIF(Campaigns!$A$7:$A$300,B6779)&gt;0,"✓","⚠ add to Campaigns tab"))</f>
        <v/>
      </c>
      <c r="I6779" s="84" t="str">
        <f aca="false">IF(C6779="","",C6779*IF(Settings!$B$23=Settings!$C$6,1,IF(Settings!$B$23="USD",1/INDEX(Settings!$B$29:$B$40,MONTH(A6779)),INDEX(Settings!$B$29:$B$40,MONTH(A6779)))))</f>
        <v/>
      </c>
    </row>
    <row r="6780" customFormat="false" ht="15" hidden="false" customHeight="false" outlineLevel="0" collapsed="false">
      <c r="H6780" s="0" t="str">
        <f aca="false">IF(B6780="","",IF(COUNTIF(Campaigns!$A$7:$A$300,B6780)&gt;0,"✓","⚠ add to Campaigns tab"))</f>
        <v/>
      </c>
      <c r="I6780" s="84" t="str">
        <f aca="false">IF(C6780="","",C6780*IF(Settings!$B$23=Settings!$C$6,1,IF(Settings!$B$23="USD",1/INDEX(Settings!$B$29:$B$40,MONTH(A6780)),INDEX(Settings!$B$29:$B$40,MONTH(A6780)))))</f>
        <v/>
      </c>
    </row>
    <row r="6781" customFormat="false" ht="15" hidden="false" customHeight="false" outlineLevel="0" collapsed="false">
      <c r="H6781" s="0" t="str">
        <f aca="false">IF(B6781="","",IF(COUNTIF(Campaigns!$A$7:$A$300,B6781)&gt;0,"✓","⚠ add to Campaigns tab"))</f>
        <v/>
      </c>
      <c r="I6781" s="84" t="str">
        <f aca="false">IF(C6781="","",C6781*IF(Settings!$B$23=Settings!$C$6,1,IF(Settings!$B$23="USD",1/INDEX(Settings!$B$29:$B$40,MONTH(A6781)),INDEX(Settings!$B$29:$B$40,MONTH(A6781)))))</f>
        <v/>
      </c>
    </row>
    <row r="6782" customFormat="false" ht="15" hidden="false" customHeight="false" outlineLevel="0" collapsed="false">
      <c r="H6782" s="0" t="str">
        <f aca="false">IF(B6782="","",IF(COUNTIF(Campaigns!$A$7:$A$300,B6782)&gt;0,"✓","⚠ add to Campaigns tab"))</f>
        <v/>
      </c>
      <c r="I6782" s="84" t="str">
        <f aca="false">IF(C6782="","",C6782*IF(Settings!$B$23=Settings!$C$6,1,IF(Settings!$B$23="USD",1/INDEX(Settings!$B$29:$B$40,MONTH(A6782)),INDEX(Settings!$B$29:$B$40,MONTH(A6782)))))</f>
        <v/>
      </c>
    </row>
    <row r="6783" customFormat="false" ht="15" hidden="false" customHeight="false" outlineLevel="0" collapsed="false">
      <c r="H6783" s="0" t="str">
        <f aca="false">IF(B6783="","",IF(COUNTIF(Campaigns!$A$7:$A$300,B6783)&gt;0,"✓","⚠ add to Campaigns tab"))</f>
        <v/>
      </c>
      <c r="I6783" s="84" t="str">
        <f aca="false">IF(C6783="","",C6783*IF(Settings!$B$23=Settings!$C$6,1,IF(Settings!$B$23="USD",1/INDEX(Settings!$B$29:$B$40,MONTH(A6783)),INDEX(Settings!$B$29:$B$40,MONTH(A6783)))))</f>
        <v/>
      </c>
    </row>
    <row r="6784" customFormat="false" ht="15" hidden="false" customHeight="false" outlineLevel="0" collapsed="false">
      <c r="H6784" s="0" t="str">
        <f aca="false">IF(B6784="","",IF(COUNTIF(Campaigns!$A$7:$A$300,B6784)&gt;0,"✓","⚠ add to Campaigns tab"))</f>
        <v/>
      </c>
      <c r="I6784" s="84" t="str">
        <f aca="false">IF(C6784="","",C6784*IF(Settings!$B$23=Settings!$C$6,1,IF(Settings!$B$23="USD",1/INDEX(Settings!$B$29:$B$40,MONTH(A6784)),INDEX(Settings!$B$29:$B$40,MONTH(A6784)))))</f>
        <v/>
      </c>
    </row>
    <row r="6785" customFormat="false" ht="15" hidden="false" customHeight="false" outlineLevel="0" collapsed="false">
      <c r="H6785" s="0" t="str">
        <f aca="false">IF(B6785="","",IF(COUNTIF(Campaigns!$A$7:$A$300,B6785)&gt;0,"✓","⚠ add to Campaigns tab"))</f>
        <v/>
      </c>
      <c r="I6785" s="84" t="str">
        <f aca="false">IF(C6785="","",C6785*IF(Settings!$B$23=Settings!$C$6,1,IF(Settings!$B$23="USD",1/INDEX(Settings!$B$29:$B$40,MONTH(A6785)),INDEX(Settings!$B$29:$B$40,MONTH(A6785)))))</f>
        <v/>
      </c>
    </row>
    <row r="6786" customFormat="false" ht="15" hidden="false" customHeight="false" outlineLevel="0" collapsed="false">
      <c r="H6786" s="0" t="str">
        <f aca="false">IF(B6786="","",IF(COUNTIF(Campaigns!$A$7:$A$300,B6786)&gt;0,"✓","⚠ add to Campaigns tab"))</f>
        <v/>
      </c>
      <c r="I6786" s="84" t="str">
        <f aca="false">IF(C6786="","",C6786*IF(Settings!$B$23=Settings!$C$6,1,IF(Settings!$B$23="USD",1/INDEX(Settings!$B$29:$B$40,MONTH(A6786)),INDEX(Settings!$B$29:$B$40,MONTH(A6786)))))</f>
        <v/>
      </c>
    </row>
    <row r="6787" customFormat="false" ht="15" hidden="false" customHeight="false" outlineLevel="0" collapsed="false">
      <c r="H6787" s="0" t="str">
        <f aca="false">IF(B6787="","",IF(COUNTIF(Campaigns!$A$7:$A$300,B6787)&gt;0,"✓","⚠ add to Campaigns tab"))</f>
        <v/>
      </c>
      <c r="I6787" s="84" t="str">
        <f aca="false">IF(C6787="","",C6787*IF(Settings!$B$23=Settings!$C$6,1,IF(Settings!$B$23="USD",1/INDEX(Settings!$B$29:$B$40,MONTH(A6787)),INDEX(Settings!$B$29:$B$40,MONTH(A6787)))))</f>
        <v/>
      </c>
    </row>
    <row r="6788" customFormat="false" ht="15" hidden="false" customHeight="false" outlineLevel="0" collapsed="false">
      <c r="H6788" s="0" t="str">
        <f aca="false">IF(B6788="","",IF(COUNTIF(Campaigns!$A$7:$A$300,B6788)&gt;0,"✓","⚠ add to Campaigns tab"))</f>
        <v/>
      </c>
      <c r="I6788" s="84" t="str">
        <f aca="false">IF(C6788="","",C6788*IF(Settings!$B$23=Settings!$C$6,1,IF(Settings!$B$23="USD",1/INDEX(Settings!$B$29:$B$40,MONTH(A6788)),INDEX(Settings!$B$29:$B$40,MONTH(A6788)))))</f>
        <v/>
      </c>
    </row>
    <row r="6789" customFormat="false" ht="15" hidden="false" customHeight="false" outlineLevel="0" collapsed="false">
      <c r="H6789" s="0" t="str">
        <f aca="false">IF(B6789="","",IF(COUNTIF(Campaigns!$A$7:$A$300,B6789)&gt;0,"✓","⚠ add to Campaigns tab"))</f>
        <v/>
      </c>
      <c r="I6789" s="84" t="str">
        <f aca="false">IF(C6789="","",C6789*IF(Settings!$B$23=Settings!$C$6,1,IF(Settings!$B$23="USD",1/INDEX(Settings!$B$29:$B$40,MONTH(A6789)),INDEX(Settings!$B$29:$B$40,MONTH(A6789)))))</f>
        <v/>
      </c>
    </row>
    <row r="6790" customFormat="false" ht="15" hidden="false" customHeight="false" outlineLevel="0" collapsed="false">
      <c r="H6790" s="0" t="str">
        <f aca="false">IF(B6790="","",IF(COUNTIF(Campaigns!$A$7:$A$300,B6790)&gt;0,"✓","⚠ add to Campaigns tab"))</f>
        <v/>
      </c>
      <c r="I6790" s="84" t="str">
        <f aca="false">IF(C6790="","",C6790*IF(Settings!$B$23=Settings!$C$6,1,IF(Settings!$B$23="USD",1/INDEX(Settings!$B$29:$B$40,MONTH(A6790)),INDEX(Settings!$B$29:$B$40,MONTH(A6790)))))</f>
        <v/>
      </c>
    </row>
    <row r="6791" customFormat="false" ht="15" hidden="false" customHeight="false" outlineLevel="0" collapsed="false">
      <c r="H6791" s="0" t="str">
        <f aca="false">IF(B6791="","",IF(COUNTIF(Campaigns!$A$7:$A$300,B6791)&gt;0,"✓","⚠ add to Campaigns tab"))</f>
        <v/>
      </c>
      <c r="I6791" s="84" t="str">
        <f aca="false">IF(C6791="","",C6791*IF(Settings!$B$23=Settings!$C$6,1,IF(Settings!$B$23="USD",1/INDEX(Settings!$B$29:$B$40,MONTH(A6791)),INDEX(Settings!$B$29:$B$40,MONTH(A6791)))))</f>
        <v/>
      </c>
    </row>
    <row r="6792" customFormat="false" ht="15" hidden="false" customHeight="false" outlineLevel="0" collapsed="false">
      <c r="H6792" s="0" t="str">
        <f aca="false">IF(B6792="","",IF(COUNTIF(Campaigns!$A$7:$A$300,B6792)&gt;0,"✓","⚠ add to Campaigns tab"))</f>
        <v/>
      </c>
      <c r="I6792" s="84" t="str">
        <f aca="false">IF(C6792="","",C6792*IF(Settings!$B$23=Settings!$C$6,1,IF(Settings!$B$23="USD",1/INDEX(Settings!$B$29:$B$40,MONTH(A6792)),INDEX(Settings!$B$29:$B$40,MONTH(A6792)))))</f>
        <v/>
      </c>
    </row>
    <row r="6793" customFormat="false" ht="15" hidden="false" customHeight="false" outlineLevel="0" collapsed="false">
      <c r="H6793" s="0" t="str">
        <f aca="false">IF(B6793="","",IF(COUNTIF(Campaigns!$A$7:$A$300,B6793)&gt;0,"✓","⚠ add to Campaigns tab"))</f>
        <v/>
      </c>
      <c r="I6793" s="84" t="str">
        <f aca="false">IF(C6793="","",C6793*IF(Settings!$B$23=Settings!$C$6,1,IF(Settings!$B$23="USD",1/INDEX(Settings!$B$29:$B$40,MONTH(A6793)),INDEX(Settings!$B$29:$B$40,MONTH(A6793)))))</f>
        <v/>
      </c>
    </row>
    <row r="6794" customFormat="false" ht="15" hidden="false" customHeight="false" outlineLevel="0" collapsed="false">
      <c r="H6794" s="0" t="str">
        <f aca="false">IF(B6794="","",IF(COUNTIF(Campaigns!$A$7:$A$300,B6794)&gt;0,"✓","⚠ add to Campaigns tab"))</f>
        <v/>
      </c>
      <c r="I6794" s="84" t="str">
        <f aca="false">IF(C6794="","",C6794*IF(Settings!$B$23=Settings!$C$6,1,IF(Settings!$B$23="USD",1/INDEX(Settings!$B$29:$B$40,MONTH(A6794)),INDEX(Settings!$B$29:$B$40,MONTH(A6794)))))</f>
        <v/>
      </c>
    </row>
    <row r="6795" customFormat="false" ht="15" hidden="false" customHeight="false" outlineLevel="0" collapsed="false">
      <c r="H6795" s="0" t="str">
        <f aca="false">IF(B6795="","",IF(COUNTIF(Campaigns!$A$7:$A$300,B6795)&gt;0,"✓","⚠ add to Campaigns tab"))</f>
        <v/>
      </c>
      <c r="I6795" s="84" t="str">
        <f aca="false">IF(C6795="","",C6795*IF(Settings!$B$23=Settings!$C$6,1,IF(Settings!$B$23="USD",1/INDEX(Settings!$B$29:$B$40,MONTH(A6795)),INDEX(Settings!$B$29:$B$40,MONTH(A6795)))))</f>
        <v/>
      </c>
    </row>
    <row r="6796" customFormat="false" ht="15" hidden="false" customHeight="false" outlineLevel="0" collapsed="false">
      <c r="H6796" s="0" t="str">
        <f aca="false">IF(B6796="","",IF(COUNTIF(Campaigns!$A$7:$A$300,B6796)&gt;0,"✓","⚠ add to Campaigns tab"))</f>
        <v/>
      </c>
      <c r="I6796" s="84" t="str">
        <f aca="false">IF(C6796="","",C6796*IF(Settings!$B$23=Settings!$C$6,1,IF(Settings!$B$23="USD",1/INDEX(Settings!$B$29:$B$40,MONTH(A6796)),INDEX(Settings!$B$29:$B$40,MONTH(A6796)))))</f>
        <v/>
      </c>
    </row>
    <row r="6797" customFormat="false" ht="15" hidden="false" customHeight="false" outlineLevel="0" collapsed="false">
      <c r="H6797" s="0" t="str">
        <f aca="false">IF(B6797="","",IF(COUNTIF(Campaigns!$A$7:$A$300,B6797)&gt;0,"✓","⚠ add to Campaigns tab"))</f>
        <v/>
      </c>
      <c r="I6797" s="84" t="str">
        <f aca="false">IF(C6797="","",C6797*IF(Settings!$B$23=Settings!$C$6,1,IF(Settings!$B$23="USD",1/INDEX(Settings!$B$29:$B$40,MONTH(A6797)),INDEX(Settings!$B$29:$B$40,MONTH(A6797)))))</f>
        <v/>
      </c>
    </row>
    <row r="6798" customFormat="false" ht="15" hidden="false" customHeight="false" outlineLevel="0" collapsed="false">
      <c r="H6798" s="0" t="str">
        <f aca="false">IF(B6798="","",IF(COUNTIF(Campaigns!$A$7:$A$300,B6798)&gt;0,"✓","⚠ add to Campaigns tab"))</f>
        <v/>
      </c>
      <c r="I6798" s="84" t="str">
        <f aca="false">IF(C6798="","",C6798*IF(Settings!$B$23=Settings!$C$6,1,IF(Settings!$B$23="USD",1/INDEX(Settings!$B$29:$B$40,MONTH(A6798)),INDEX(Settings!$B$29:$B$40,MONTH(A6798)))))</f>
        <v/>
      </c>
    </row>
    <row r="6799" customFormat="false" ht="15" hidden="false" customHeight="false" outlineLevel="0" collapsed="false">
      <c r="H6799" s="0" t="str">
        <f aca="false">IF(B6799="","",IF(COUNTIF(Campaigns!$A$7:$A$300,B6799)&gt;0,"✓","⚠ add to Campaigns tab"))</f>
        <v/>
      </c>
      <c r="I6799" s="84" t="str">
        <f aca="false">IF(C6799="","",C6799*IF(Settings!$B$23=Settings!$C$6,1,IF(Settings!$B$23="USD",1/INDEX(Settings!$B$29:$B$40,MONTH(A6799)),INDEX(Settings!$B$29:$B$40,MONTH(A6799)))))</f>
        <v/>
      </c>
    </row>
    <row r="6800" customFormat="false" ht="15" hidden="false" customHeight="false" outlineLevel="0" collapsed="false">
      <c r="H6800" s="0" t="str">
        <f aca="false">IF(B6800="","",IF(COUNTIF(Campaigns!$A$7:$A$300,B6800)&gt;0,"✓","⚠ add to Campaigns tab"))</f>
        <v/>
      </c>
      <c r="I6800" s="84" t="str">
        <f aca="false">IF(C6800="","",C6800*IF(Settings!$B$23=Settings!$C$6,1,IF(Settings!$B$23="USD",1/INDEX(Settings!$B$29:$B$40,MONTH(A6800)),INDEX(Settings!$B$29:$B$40,MONTH(A6800)))))</f>
        <v/>
      </c>
    </row>
    <row r="6801" customFormat="false" ht="15" hidden="false" customHeight="false" outlineLevel="0" collapsed="false">
      <c r="H6801" s="0" t="str">
        <f aca="false">IF(B6801="","",IF(COUNTIF(Campaigns!$A$7:$A$300,B6801)&gt;0,"✓","⚠ add to Campaigns tab"))</f>
        <v/>
      </c>
      <c r="I6801" s="84" t="str">
        <f aca="false">IF(C6801="","",C6801*IF(Settings!$B$23=Settings!$C$6,1,IF(Settings!$B$23="USD",1/INDEX(Settings!$B$29:$B$40,MONTH(A6801)),INDEX(Settings!$B$29:$B$40,MONTH(A6801)))))</f>
        <v/>
      </c>
    </row>
    <row r="6802" customFormat="false" ht="15" hidden="false" customHeight="false" outlineLevel="0" collapsed="false">
      <c r="H6802" s="0" t="str">
        <f aca="false">IF(B6802="","",IF(COUNTIF(Campaigns!$A$7:$A$300,B6802)&gt;0,"✓","⚠ add to Campaigns tab"))</f>
        <v/>
      </c>
      <c r="I6802" s="84" t="str">
        <f aca="false">IF(C6802="","",C6802*IF(Settings!$B$23=Settings!$C$6,1,IF(Settings!$B$23="USD",1/INDEX(Settings!$B$29:$B$40,MONTH(A6802)),INDEX(Settings!$B$29:$B$40,MONTH(A6802)))))</f>
        <v/>
      </c>
    </row>
    <row r="6803" customFormat="false" ht="15" hidden="false" customHeight="false" outlineLevel="0" collapsed="false">
      <c r="H6803" s="0" t="str">
        <f aca="false">IF(B6803="","",IF(COUNTIF(Campaigns!$A$7:$A$300,B6803)&gt;0,"✓","⚠ add to Campaigns tab"))</f>
        <v/>
      </c>
      <c r="I6803" s="84" t="str">
        <f aca="false">IF(C6803="","",C6803*IF(Settings!$B$23=Settings!$C$6,1,IF(Settings!$B$23="USD",1/INDEX(Settings!$B$29:$B$40,MONTH(A6803)),INDEX(Settings!$B$29:$B$40,MONTH(A6803)))))</f>
        <v/>
      </c>
    </row>
    <row r="6804" customFormat="false" ht="15" hidden="false" customHeight="false" outlineLevel="0" collapsed="false">
      <c r="H6804" s="0" t="str">
        <f aca="false">IF(B6804="","",IF(COUNTIF(Campaigns!$A$7:$A$300,B6804)&gt;0,"✓","⚠ add to Campaigns tab"))</f>
        <v/>
      </c>
      <c r="I6804" s="84" t="str">
        <f aca="false">IF(C6804="","",C6804*IF(Settings!$B$23=Settings!$C$6,1,IF(Settings!$B$23="USD",1/INDEX(Settings!$B$29:$B$40,MONTH(A6804)),INDEX(Settings!$B$29:$B$40,MONTH(A6804)))))</f>
        <v/>
      </c>
    </row>
    <row r="6805" customFormat="false" ht="15" hidden="false" customHeight="false" outlineLevel="0" collapsed="false">
      <c r="H6805" s="0" t="str">
        <f aca="false">IF(B6805="","",IF(COUNTIF(Campaigns!$A$7:$A$300,B6805)&gt;0,"✓","⚠ add to Campaigns tab"))</f>
        <v/>
      </c>
      <c r="I6805" s="84" t="str">
        <f aca="false">IF(C6805="","",C6805*IF(Settings!$B$23=Settings!$C$6,1,IF(Settings!$B$23="USD",1/INDEX(Settings!$B$29:$B$40,MONTH(A6805)),INDEX(Settings!$B$29:$B$40,MONTH(A6805)))))</f>
        <v/>
      </c>
    </row>
    <row r="6806" customFormat="false" ht="15" hidden="false" customHeight="false" outlineLevel="0" collapsed="false">
      <c r="H6806" s="0" t="str">
        <f aca="false">IF(B6806="","",IF(COUNTIF(Campaigns!$A$7:$A$300,B6806)&gt;0,"✓","⚠ add to Campaigns tab"))</f>
        <v/>
      </c>
      <c r="I6806" s="84" t="str">
        <f aca="false">IF(C6806="","",C6806*IF(Settings!$B$23=Settings!$C$6,1,IF(Settings!$B$23="USD",1/INDEX(Settings!$B$29:$B$40,MONTH(A6806)),INDEX(Settings!$B$29:$B$40,MONTH(A6806)))))</f>
        <v/>
      </c>
    </row>
    <row r="6807" customFormat="false" ht="15" hidden="false" customHeight="false" outlineLevel="0" collapsed="false">
      <c r="H6807" s="0" t="str">
        <f aca="false">IF(B6807="","",IF(COUNTIF(Campaigns!$A$7:$A$300,B6807)&gt;0,"✓","⚠ add to Campaigns tab"))</f>
        <v/>
      </c>
      <c r="I6807" s="84" t="str">
        <f aca="false">IF(C6807="","",C6807*IF(Settings!$B$23=Settings!$C$6,1,IF(Settings!$B$23="USD",1/INDEX(Settings!$B$29:$B$40,MONTH(A6807)),INDEX(Settings!$B$29:$B$40,MONTH(A6807)))))</f>
        <v/>
      </c>
    </row>
    <row r="6808" customFormat="false" ht="15" hidden="false" customHeight="false" outlineLevel="0" collapsed="false">
      <c r="H6808" s="0" t="str">
        <f aca="false">IF(B6808="","",IF(COUNTIF(Campaigns!$A$7:$A$300,B6808)&gt;0,"✓","⚠ add to Campaigns tab"))</f>
        <v/>
      </c>
      <c r="I6808" s="84" t="str">
        <f aca="false">IF(C6808="","",C6808*IF(Settings!$B$23=Settings!$C$6,1,IF(Settings!$B$23="USD",1/INDEX(Settings!$B$29:$B$40,MONTH(A6808)),INDEX(Settings!$B$29:$B$40,MONTH(A6808)))))</f>
        <v/>
      </c>
    </row>
    <row r="6809" customFormat="false" ht="15" hidden="false" customHeight="false" outlineLevel="0" collapsed="false">
      <c r="H6809" s="0" t="str">
        <f aca="false">IF(B6809="","",IF(COUNTIF(Campaigns!$A$7:$A$300,B6809)&gt;0,"✓","⚠ add to Campaigns tab"))</f>
        <v/>
      </c>
      <c r="I6809" s="84" t="str">
        <f aca="false">IF(C6809="","",C6809*IF(Settings!$B$23=Settings!$C$6,1,IF(Settings!$B$23="USD",1/INDEX(Settings!$B$29:$B$40,MONTH(A6809)),INDEX(Settings!$B$29:$B$40,MONTH(A6809)))))</f>
        <v/>
      </c>
    </row>
    <row r="6810" customFormat="false" ht="15" hidden="false" customHeight="false" outlineLevel="0" collapsed="false">
      <c r="H6810" s="0" t="str">
        <f aca="false">IF(B6810="","",IF(COUNTIF(Campaigns!$A$7:$A$300,B6810)&gt;0,"✓","⚠ add to Campaigns tab"))</f>
        <v/>
      </c>
      <c r="I6810" s="84" t="str">
        <f aca="false">IF(C6810="","",C6810*IF(Settings!$B$23=Settings!$C$6,1,IF(Settings!$B$23="USD",1/INDEX(Settings!$B$29:$B$40,MONTH(A6810)),INDEX(Settings!$B$29:$B$40,MONTH(A6810)))))</f>
        <v/>
      </c>
    </row>
    <row r="6811" customFormat="false" ht="15" hidden="false" customHeight="false" outlineLevel="0" collapsed="false">
      <c r="H6811" s="0" t="str">
        <f aca="false">IF(B6811="","",IF(COUNTIF(Campaigns!$A$7:$A$300,B6811)&gt;0,"✓","⚠ add to Campaigns tab"))</f>
        <v/>
      </c>
      <c r="I6811" s="84" t="str">
        <f aca="false">IF(C6811="","",C6811*IF(Settings!$B$23=Settings!$C$6,1,IF(Settings!$B$23="USD",1/INDEX(Settings!$B$29:$B$40,MONTH(A6811)),INDEX(Settings!$B$29:$B$40,MONTH(A6811)))))</f>
        <v/>
      </c>
    </row>
    <row r="6812" customFormat="false" ht="15" hidden="false" customHeight="false" outlineLevel="0" collapsed="false">
      <c r="H6812" s="0" t="str">
        <f aca="false">IF(B6812="","",IF(COUNTIF(Campaigns!$A$7:$A$300,B6812)&gt;0,"✓","⚠ add to Campaigns tab"))</f>
        <v/>
      </c>
      <c r="I6812" s="84" t="str">
        <f aca="false">IF(C6812="","",C6812*IF(Settings!$B$23=Settings!$C$6,1,IF(Settings!$B$23="USD",1/INDEX(Settings!$B$29:$B$40,MONTH(A6812)),INDEX(Settings!$B$29:$B$40,MONTH(A6812)))))</f>
        <v/>
      </c>
    </row>
    <row r="6813" customFormat="false" ht="15" hidden="false" customHeight="false" outlineLevel="0" collapsed="false">
      <c r="H6813" s="0" t="str">
        <f aca="false">IF(B6813="","",IF(COUNTIF(Campaigns!$A$7:$A$300,B6813)&gt;0,"✓","⚠ add to Campaigns tab"))</f>
        <v/>
      </c>
      <c r="I6813" s="84" t="str">
        <f aca="false">IF(C6813="","",C6813*IF(Settings!$B$23=Settings!$C$6,1,IF(Settings!$B$23="USD",1/INDEX(Settings!$B$29:$B$40,MONTH(A6813)),INDEX(Settings!$B$29:$B$40,MONTH(A6813)))))</f>
        <v/>
      </c>
    </row>
    <row r="6814" customFormat="false" ht="15" hidden="false" customHeight="false" outlineLevel="0" collapsed="false">
      <c r="H6814" s="0" t="str">
        <f aca="false">IF(B6814="","",IF(COUNTIF(Campaigns!$A$7:$A$300,B6814)&gt;0,"✓","⚠ add to Campaigns tab"))</f>
        <v/>
      </c>
      <c r="I6814" s="84" t="str">
        <f aca="false">IF(C6814="","",C6814*IF(Settings!$B$23=Settings!$C$6,1,IF(Settings!$B$23="USD",1/INDEX(Settings!$B$29:$B$40,MONTH(A6814)),INDEX(Settings!$B$29:$B$40,MONTH(A6814)))))</f>
        <v/>
      </c>
    </row>
    <row r="6815" customFormat="false" ht="15" hidden="false" customHeight="false" outlineLevel="0" collapsed="false">
      <c r="H6815" s="0" t="str">
        <f aca="false">IF(B6815="","",IF(COUNTIF(Campaigns!$A$7:$A$300,B6815)&gt;0,"✓","⚠ add to Campaigns tab"))</f>
        <v/>
      </c>
      <c r="I6815" s="84" t="str">
        <f aca="false">IF(C6815="","",C6815*IF(Settings!$B$23=Settings!$C$6,1,IF(Settings!$B$23="USD",1/INDEX(Settings!$B$29:$B$40,MONTH(A6815)),INDEX(Settings!$B$29:$B$40,MONTH(A6815)))))</f>
        <v/>
      </c>
    </row>
    <row r="6816" customFormat="false" ht="15" hidden="false" customHeight="false" outlineLevel="0" collapsed="false">
      <c r="H6816" s="0" t="str">
        <f aca="false">IF(B6816="","",IF(COUNTIF(Campaigns!$A$7:$A$300,B6816)&gt;0,"✓","⚠ add to Campaigns tab"))</f>
        <v/>
      </c>
      <c r="I6816" s="84" t="str">
        <f aca="false">IF(C6816="","",C6816*IF(Settings!$B$23=Settings!$C$6,1,IF(Settings!$B$23="USD",1/INDEX(Settings!$B$29:$B$40,MONTH(A6816)),INDEX(Settings!$B$29:$B$40,MONTH(A6816)))))</f>
        <v/>
      </c>
    </row>
    <row r="6817" customFormat="false" ht="15" hidden="false" customHeight="false" outlineLevel="0" collapsed="false">
      <c r="H6817" s="0" t="str">
        <f aca="false">IF(B6817="","",IF(COUNTIF(Campaigns!$A$7:$A$300,B6817)&gt;0,"✓","⚠ add to Campaigns tab"))</f>
        <v/>
      </c>
      <c r="I6817" s="84" t="str">
        <f aca="false">IF(C6817="","",C6817*IF(Settings!$B$23=Settings!$C$6,1,IF(Settings!$B$23="USD",1/INDEX(Settings!$B$29:$B$40,MONTH(A6817)),INDEX(Settings!$B$29:$B$40,MONTH(A6817)))))</f>
        <v/>
      </c>
    </row>
    <row r="6818" customFormat="false" ht="15" hidden="false" customHeight="false" outlineLevel="0" collapsed="false">
      <c r="H6818" s="0" t="str">
        <f aca="false">IF(B6818="","",IF(COUNTIF(Campaigns!$A$7:$A$300,B6818)&gt;0,"✓","⚠ add to Campaigns tab"))</f>
        <v/>
      </c>
      <c r="I6818" s="84" t="str">
        <f aca="false">IF(C6818="","",C6818*IF(Settings!$B$23=Settings!$C$6,1,IF(Settings!$B$23="USD",1/INDEX(Settings!$B$29:$B$40,MONTH(A6818)),INDEX(Settings!$B$29:$B$40,MONTH(A6818)))))</f>
        <v/>
      </c>
    </row>
    <row r="6819" customFormat="false" ht="15" hidden="false" customHeight="false" outlineLevel="0" collapsed="false">
      <c r="H6819" s="0" t="str">
        <f aca="false">IF(B6819="","",IF(COUNTIF(Campaigns!$A$7:$A$300,B6819)&gt;0,"✓","⚠ add to Campaigns tab"))</f>
        <v/>
      </c>
      <c r="I6819" s="84" t="str">
        <f aca="false">IF(C6819="","",C6819*IF(Settings!$B$23=Settings!$C$6,1,IF(Settings!$B$23="USD",1/INDEX(Settings!$B$29:$B$40,MONTH(A6819)),INDEX(Settings!$B$29:$B$40,MONTH(A6819)))))</f>
        <v/>
      </c>
    </row>
    <row r="6820" customFormat="false" ht="15" hidden="false" customHeight="false" outlineLevel="0" collapsed="false">
      <c r="H6820" s="0" t="str">
        <f aca="false">IF(B6820="","",IF(COUNTIF(Campaigns!$A$7:$A$300,B6820)&gt;0,"✓","⚠ add to Campaigns tab"))</f>
        <v/>
      </c>
      <c r="I6820" s="84" t="str">
        <f aca="false">IF(C6820="","",C6820*IF(Settings!$B$23=Settings!$C$6,1,IF(Settings!$B$23="USD",1/INDEX(Settings!$B$29:$B$40,MONTH(A6820)),INDEX(Settings!$B$29:$B$40,MONTH(A6820)))))</f>
        <v/>
      </c>
    </row>
    <row r="6821" customFormat="false" ht="15" hidden="false" customHeight="false" outlineLevel="0" collapsed="false">
      <c r="H6821" s="0" t="str">
        <f aca="false">IF(B6821="","",IF(COUNTIF(Campaigns!$A$7:$A$300,B6821)&gt;0,"✓","⚠ add to Campaigns tab"))</f>
        <v/>
      </c>
      <c r="I6821" s="84" t="str">
        <f aca="false">IF(C6821="","",C6821*IF(Settings!$B$23=Settings!$C$6,1,IF(Settings!$B$23="USD",1/INDEX(Settings!$B$29:$B$40,MONTH(A6821)),INDEX(Settings!$B$29:$B$40,MONTH(A6821)))))</f>
        <v/>
      </c>
    </row>
    <row r="6822" customFormat="false" ht="15" hidden="false" customHeight="false" outlineLevel="0" collapsed="false">
      <c r="H6822" s="0" t="str">
        <f aca="false">IF(B6822="","",IF(COUNTIF(Campaigns!$A$7:$A$300,B6822)&gt;0,"✓","⚠ add to Campaigns tab"))</f>
        <v/>
      </c>
      <c r="I6822" s="84" t="str">
        <f aca="false">IF(C6822="","",C6822*IF(Settings!$B$23=Settings!$C$6,1,IF(Settings!$B$23="USD",1/INDEX(Settings!$B$29:$B$40,MONTH(A6822)),INDEX(Settings!$B$29:$B$40,MONTH(A6822)))))</f>
        <v/>
      </c>
    </row>
    <row r="6823" customFormat="false" ht="15" hidden="false" customHeight="false" outlineLevel="0" collapsed="false">
      <c r="H6823" s="0" t="str">
        <f aca="false">IF(B6823="","",IF(COUNTIF(Campaigns!$A$7:$A$300,B6823)&gt;0,"✓","⚠ add to Campaigns tab"))</f>
        <v/>
      </c>
      <c r="I6823" s="84" t="str">
        <f aca="false">IF(C6823="","",C6823*IF(Settings!$B$23=Settings!$C$6,1,IF(Settings!$B$23="USD",1/INDEX(Settings!$B$29:$B$40,MONTH(A6823)),INDEX(Settings!$B$29:$B$40,MONTH(A6823)))))</f>
        <v/>
      </c>
    </row>
    <row r="6824" customFormat="false" ht="15" hidden="false" customHeight="false" outlineLevel="0" collapsed="false">
      <c r="H6824" s="0" t="str">
        <f aca="false">IF(B6824="","",IF(COUNTIF(Campaigns!$A$7:$A$300,B6824)&gt;0,"✓","⚠ add to Campaigns tab"))</f>
        <v/>
      </c>
      <c r="I6824" s="84" t="str">
        <f aca="false">IF(C6824="","",C6824*IF(Settings!$B$23=Settings!$C$6,1,IF(Settings!$B$23="USD",1/INDEX(Settings!$B$29:$B$40,MONTH(A6824)),INDEX(Settings!$B$29:$B$40,MONTH(A6824)))))</f>
        <v/>
      </c>
    </row>
    <row r="6825" customFormat="false" ht="15" hidden="false" customHeight="false" outlineLevel="0" collapsed="false">
      <c r="H6825" s="0" t="str">
        <f aca="false">IF(B6825="","",IF(COUNTIF(Campaigns!$A$7:$A$300,B6825)&gt;0,"✓","⚠ add to Campaigns tab"))</f>
        <v/>
      </c>
      <c r="I6825" s="84" t="str">
        <f aca="false">IF(C6825="","",C6825*IF(Settings!$B$23=Settings!$C$6,1,IF(Settings!$B$23="USD",1/INDEX(Settings!$B$29:$B$40,MONTH(A6825)),INDEX(Settings!$B$29:$B$40,MONTH(A6825)))))</f>
        <v/>
      </c>
    </row>
    <row r="6826" customFormat="false" ht="15" hidden="false" customHeight="false" outlineLevel="0" collapsed="false">
      <c r="H6826" s="0" t="str">
        <f aca="false">IF(B6826="","",IF(COUNTIF(Campaigns!$A$7:$A$300,B6826)&gt;0,"✓","⚠ add to Campaigns tab"))</f>
        <v/>
      </c>
      <c r="I6826" s="84" t="str">
        <f aca="false">IF(C6826="","",C6826*IF(Settings!$B$23=Settings!$C$6,1,IF(Settings!$B$23="USD",1/INDEX(Settings!$B$29:$B$40,MONTH(A6826)),INDEX(Settings!$B$29:$B$40,MONTH(A6826)))))</f>
        <v/>
      </c>
    </row>
    <row r="6827" customFormat="false" ht="15" hidden="false" customHeight="false" outlineLevel="0" collapsed="false">
      <c r="H6827" s="0" t="str">
        <f aca="false">IF(B6827="","",IF(COUNTIF(Campaigns!$A$7:$A$300,B6827)&gt;0,"✓","⚠ add to Campaigns tab"))</f>
        <v/>
      </c>
      <c r="I6827" s="84" t="str">
        <f aca="false">IF(C6827="","",C6827*IF(Settings!$B$23=Settings!$C$6,1,IF(Settings!$B$23="USD",1/INDEX(Settings!$B$29:$B$40,MONTH(A6827)),INDEX(Settings!$B$29:$B$40,MONTH(A6827)))))</f>
        <v/>
      </c>
    </row>
    <row r="6828" customFormat="false" ht="15" hidden="false" customHeight="false" outlineLevel="0" collapsed="false">
      <c r="H6828" s="0" t="str">
        <f aca="false">IF(B6828="","",IF(COUNTIF(Campaigns!$A$7:$A$300,B6828)&gt;0,"✓","⚠ add to Campaigns tab"))</f>
        <v/>
      </c>
      <c r="I6828" s="84" t="str">
        <f aca="false">IF(C6828="","",C6828*IF(Settings!$B$23=Settings!$C$6,1,IF(Settings!$B$23="USD",1/INDEX(Settings!$B$29:$B$40,MONTH(A6828)),INDEX(Settings!$B$29:$B$40,MONTH(A6828)))))</f>
        <v/>
      </c>
    </row>
    <row r="6829" customFormat="false" ht="15" hidden="false" customHeight="false" outlineLevel="0" collapsed="false">
      <c r="H6829" s="0" t="str">
        <f aca="false">IF(B6829="","",IF(COUNTIF(Campaigns!$A$7:$A$300,B6829)&gt;0,"✓","⚠ add to Campaigns tab"))</f>
        <v/>
      </c>
      <c r="I6829" s="84" t="str">
        <f aca="false">IF(C6829="","",C6829*IF(Settings!$B$23=Settings!$C$6,1,IF(Settings!$B$23="USD",1/INDEX(Settings!$B$29:$B$40,MONTH(A6829)),INDEX(Settings!$B$29:$B$40,MONTH(A6829)))))</f>
        <v/>
      </c>
    </row>
    <row r="6830" customFormat="false" ht="15" hidden="false" customHeight="false" outlineLevel="0" collapsed="false">
      <c r="H6830" s="0" t="str">
        <f aca="false">IF(B6830="","",IF(COUNTIF(Campaigns!$A$7:$A$300,B6830)&gt;0,"✓","⚠ add to Campaigns tab"))</f>
        <v/>
      </c>
      <c r="I6830" s="84" t="str">
        <f aca="false">IF(C6830="","",C6830*IF(Settings!$B$23=Settings!$C$6,1,IF(Settings!$B$23="USD",1/INDEX(Settings!$B$29:$B$40,MONTH(A6830)),INDEX(Settings!$B$29:$B$40,MONTH(A6830)))))</f>
        <v/>
      </c>
    </row>
    <row r="6831" customFormat="false" ht="15" hidden="false" customHeight="false" outlineLevel="0" collapsed="false">
      <c r="H6831" s="0" t="str">
        <f aca="false">IF(B6831="","",IF(COUNTIF(Campaigns!$A$7:$A$300,B6831)&gt;0,"✓","⚠ add to Campaigns tab"))</f>
        <v/>
      </c>
      <c r="I6831" s="84" t="str">
        <f aca="false">IF(C6831="","",C6831*IF(Settings!$B$23=Settings!$C$6,1,IF(Settings!$B$23="USD",1/INDEX(Settings!$B$29:$B$40,MONTH(A6831)),INDEX(Settings!$B$29:$B$40,MONTH(A6831)))))</f>
        <v/>
      </c>
    </row>
    <row r="6832" customFormat="false" ht="15" hidden="false" customHeight="false" outlineLevel="0" collapsed="false">
      <c r="H6832" s="0" t="str">
        <f aca="false">IF(B6832="","",IF(COUNTIF(Campaigns!$A$7:$A$300,B6832)&gt;0,"✓","⚠ add to Campaigns tab"))</f>
        <v/>
      </c>
      <c r="I6832" s="84" t="str">
        <f aca="false">IF(C6832="","",C6832*IF(Settings!$B$23=Settings!$C$6,1,IF(Settings!$B$23="USD",1/INDEX(Settings!$B$29:$B$40,MONTH(A6832)),INDEX(Settings!$B$29:$B$40,MONTH(A6832)))))</f>
        <v/>
      </c>
    </row>
    <row r="6833" customFormat="false" ht="15" hidden="false" customHeight="false" outlineLevel="0" collapsed="false">
      <c r="H6833" s="0" t="str">
        <f aca="false">IF(B6833="","",IF(COUNTIF(Campaigns!$A$7:$A$300,B6833)&gt;0,"✓","⚠ add to Campaigns tab"))</f>
        <v/>
      </c>
      <c r="I6833" s="84" t="str">
        <f aca="false">IF(C6833="","",C6833*IF(Settings!$B$23=Settings!$C$6,1,IF(Settings!$B$23="USD",1/INDEX(Settings!$B$29:$B$40,MONTH(A6833)),INDEX(Settings!$B$29:$B$40,MONTH(A6833)))))</f>
        <v/>
      </c>
    </row>
    <row r="6834" customFormat="false" ht="15" hidden="false" customHeight="false" outlineLevel="0" collapsed="false">
      <c r="H6834" s="0" t="str">
        <f aca="false">IF(B6834="","",IF(COUNTIF(Campaigns!$A$7:$A$300,B6834)&gt;0,"✓","⚠ add to Campaigns tab"))</f>
        <v/>
      </c>
      <c r="I6834" s="84" t="str">
        <f aca="false">IF(C6834="","",C6834*IF(Settings!$B$23=Settings!$C$6,1,IF(Settings!$B$23="USD",1/INDEX(Settings!$B$29:$B$40,MONTH(A6834)),INDEX(Settings!$B$29:$B$40,MONTH(A6834)))))</f>
        <v/>
      </c>
    </row>
    <row r="6835" customFormat="false" ht="15" hidden="false" customHeight="false" outlineLevel="0" collapsed="false">
      <c r="H6835" s="0" t="str">
        <f aca="false">IF(B6835="","",IF(COUNTIF(Campaigns!$A$7:$A$300,B6835)&gt;0,"✓","⚠ add to Campaigns tab"))</f>
        <v/>
      </c>
      <c r="I6835" s="84" t="str">
        <f aca="false">IF(C6835="","",C6835*IF(Settings!$B$23=Settings!$C$6,1,IF(Settings!$B$23="USD",1/INDEX(Settings!$B$29:$B$40,MONTH(A6835)),INDEX(Settings!$B$29:$B$40,MONTH(A6835)))))</f>
        <v/>
      </c>
    </row>
    <row r="6836" customFormat="false" ht="15" hidden="false" customHeight="false" outlineLevel="0" collapsed="false">
      <c r="H6836" s="0" t="str">
        <f aca="false">IF(B6836="","",IF(COUNTIF(Campaigns!$A$7:$A$300,B6836)&gt;0,"✓","⚠ add to Campaigns tab"))</f>
        <v/>
      </c>
      <c r="I6836" s="84" t="str">
        <f aca="false">IF(C6836="","",C6836*IF(Settings!$B$23=Settings!$C$6,1,IF(Settings!$B$23="USD",1/INDEX(Settings!$B$29:$B$40,MONTH(A6836)),INDEX(Settings!$B$29:$B$40,MONTH(A6836)))))</f>
        <v/>
      </c>
    </row>
    <row r="6837" customFormat="false" ht="15" hidden="false" customHeight="false" outlineLevel="0" collapsed="false">
      <c r="H6837" s="0" t="str">
        <f aca="false">IF(B6837="","",IF(COUNTIF(Campaigns!$A$7:$A$300,B6837)&gt;0,"✓","⚠ add to Campaigns tab"))</f>
        <v/>
      </c>
      <c r="I6837" s="84" t="str">
        <f aca="false">IF(C6837="","",C6837*IF(Settings!$B$23=Settings!$C$6,1,IF(Settings!$B$23="USD",1/INDEX(Settings!$B$29:$B$40,MONTH(A6837)),INDEX(Settings!$B$29:$B$40,MONTH(A6837)))))</f>
        <v/>
      </c>
    </row>
    <row r="6838" customFormat="false" ht="15" hidden="false" customHeight="false" outlineLevel="0" collapsed="false">
      <c r="H6838" s="0" t="str">
        <f aca="false">IF(B6838="","",IF(COUNTIF(Campaigns!$A$7:$A$300,B6838)&gt;0,"✓","⚠ add to Campaigns tab"))</f>
        <v/>
      </c>
      <c r="I6838" s="84" t="str">
        <f aca="false">IF(C6838="","",C6838*IF(Settings!$B$23=Settings!$C$6,1,IF(Settings!$B$23="USD",1/INDEX(Settings!$B$29:$B$40,MONTH(A6838)),INDEX(Settings!$B$29:$B$40,MONTH(A6838)))))</f>
        <v/>
      </c>
    </row>
    <row r="6839" customFormat="false" ht="15" hidden="false" customHeight="false" outlineLevel="0" collapsed="false">
      <c r="H6839" s="0" t="str">
        <f aca="false">IF(B6839="","",IF(COUNTIF(Campaigns!$A$7:$A$300,B6839)&gt;0,"✓","⚠ add to Campaigns tab"))</f>
        <v/>
      </c>
      <c r="I6839" s="84" t="str">
        <f aca="false">IF(C6839="","",C6839*IF(Settings!$B$23=Settings!$C$6,1,IF(Settings!$B$23="USD",1/INDEX(Settings!$B$29:$B$40,MONTH(A6839)),INDEX(Settings!$B$29:$B$40,MONTH(A6839)))))</f>
        <v/>
      </c>
    </row>
    <row r="6840" customFormat="false" ht="15" hidden="false" customHeight="false" outlineLevel="0" collapsed="false">
      <c r="H6840" s="0" t="str">
        <f aca="false">IF(B6840="","",IF(COUNTIF(Campaigns!$A$7:$A$300,B6840)&gt;0,"✓","⚠ add to Campaigns tab"))</f>
        <v/>
      </c>
      <c r="I6840" s="84" t="str">
        <f aca="false">IF(C6840="","",C6840*IF(Settings!$B$23=Settings!$C$6,1,IF(Settings!$B$23="USD",1/INDEX(Settings!$B$29:$B$40,MONTH(A6840)),INDEX(Settings!$B$29:$B$40,MONTH(A6840)))))</f>
        <v/>
      </c>
    </row>
    <row r="6841" customFormat="false" ht="15" hidden="false" customHeight="false" outlineLevel="0" collapsed="false">
      <c r="H6841" s="0" t="str">
        <f aca="false">IF(B6841="","",IF(COUNTIF(Campaigns!$A$7:$A$300,B6841)&gt;0,"✓","⚠ add to Campaigns tab"))</f>
        <v/>
      </c>
      <c r="I6841" s="84" t="str">
        <f aca="false">IF(C6841="","",C6841*IF(Settings!$B$23=Settings!$C$6,1,IF(Settings!$B$23="USD",1/INDEX(Settings!$B$29:$B$40,MONTH(A6841)),INDEX(Settings!$B$29:$B$40,MONTH(A6841)))))</f>
        <v/>
      </c>
    </row>
    <row r="6842" customFormat="false" ht="15" hidden="false" customHeight="false" outlineLevel="0" collapsed="false">
      <c r="H6842" s="0" t="str">
        <f aca="false">IF(B6842="","",IF(COUNTIF(Campaigns!$A$7:$A$300,B6842)&gt;0,"✓","⚠ add to Campaigns tab"))</f>
        <v/>
      </c>
      <c r="I6842" s="84" t="str">
        <f aca="false">IF(C6842="","",C6842*IF(Settings!$B$23=Settings!$C$6,1,IF(Settings!$B$23="USD",1/INDEX(Settings!$B$29:$B$40,MONTH(A6842)),INDEX(Settings!$B$29:$B$40,MONTH(A6842)))))</f>
        <v/>
      </c>
    </row>
    <row r="6843" customFormat="false" ht="15" hidden="false" customHeight="false" outlineLevel="0" collapsed="false">
      <c r="H6843" s="0" t="str">
        <f aca="false">IF(B6843="","",IF(COUNTIF(Campaigns!$A$7:$A$300,B6843)&gt;0,"✓","⚠ add to Campaigns tab"))</f>
        <v/>
      </c>
      <c r="I6843" s="84" t="str">
        <f aca="false">IF(C6843="","",C6843*IF(Settings!$B$23=Settings!$C$6,1,IF(Settings!$B$23="USD",1/INDEX(Settings!$B$29:$B$40,MONTH(A6843)),INDEX(Settings!$B$29:$B$40,MONTH(A6843)))))</f>
        <v/>
      </c>
    </row>
    <row r="6844" customFormat="false" ht="15" hidden="false" customHeight="false" outlineLevel="0" collapsed="false">
      <c r="H6844" s="0" t="str">
        <f aca="false">IF(B6844="","",IF(COUNTIF(Campaigns!$A$7:$A$300,B6844)&gt;0,"✓","⚠ add to Campaigns tab"))</f>
        <v/>
      </c>
      <c r="I6844" s="84" t="str">
        <f aca="false">IF(C6844="","",C6844*IF(Settings!$B$23=Settings!$C$6,1,IF(Settings!$B$23="USD",1/INDEX(Settings!$B$29:$B$40,MONTH(A6844)),INDEX(Settings!$B$29:$B$40,MONTH(A6844)))))</f>
        <v/>
      </c>
    </row>
    <row r="6845" customFormat="false" ht="15" hidden="false" customHeight="false" outlineLevel="0" collapsed="false">
      <c r="H6845" s="0" t="str">
        <f aca="false">IF(B6845="","",IF(COUNTIF(Campaigns!$A$7:$A$300,B6845)&gt;0,"✓","⚠ add to Campaigns tab"))</f>
        <v/>
      </c>
      <c r="I6845" s="84" t="str">
        <f aca="false">IF(C6845="","",C6845*IF(Settings!$B$23=Settings!$C$6,1,IF(Settings!$B$23="USD",1/INDEX(Settings!$B$29:$B$40,MONTH(A6845)),INDEX(Settings!$B$29:$B$40,MONTH(A6845)))))</f>
        <v/>
      </c>
    </row>
    <row r="6846" customFormat="false" ht="15" hidden="false" customHeight="false" outlineLevel="0" collapsed="false">
      <c r="H6846" s="0" t="str">
        <f aca="false">IF(B6846="","",IF(COUNTIF(Campaigns!$A$7:$A$300,B6846)&gt;0,"✓","⚠ add to Campaigns tab"))</f>
        <v/>
      </c>
      <c r="I6846" s="84" t="str">
        <f aca="false">IF(C6846="","",C6846*IF(Settings!$B$23=Settings!$C$6,1,IF(Settings!$B$23="USD",1/INDEX(Settings!$B$29:$B$40,MONTH(A6846)),INDEX(Settings!$B$29:$B$40,MONTH(A6846)))))</f>
        <v/>
      </c>
    </row>
    <row r="6847" customFormat="false" ht="15" hidden="false" customHeight="false" outlineLevel="0" collapsed="false">
      <c r="H6847" s="0" t="str">
        <f aca="false">IF(B6847="","",IF(COUNTIF(Campaigns!$A$7:$A$300,B6847)&gt;0,"✓","⚠ add to Campaigns tab"))</f>
        <v/>
      </c>
      <c r="I6847" s="84" t="str">
        <f aca="false">IF(C6847="","",C6847*IF(Settings!$B$23=Settings!$C$6,1,IF(Settings!$B$23="USD",1/INDEX(Settings!$B$29:$B$40,MONTH(A6847)),INDEX(Settings!$B$29:$B$40,MONTH(A6847)))))</f>
        <v/>
      </c>
    </row>
    <row r="6848" customFormat="false" ht="15" hidden="false" customHeight="false" outlineLevel="0" collapsed="false">
      <c r="H6848" s="0" t="str">
        <f aca="false">IF(B6848="","",IF(COUNTIF(Campaigns!$A$7:$A$300,B6848)&gt;0,"✓","⚠ add to Campaigns tab"))</f>
        <v/>
      </c>
      <c r="I6848" s="84" t="str">
        <f aca="false">IF(C6848="","",C6848*IF(Settings!$B$23=Settings!$C$6,1,IF(Settings!$B$23="USD",1/INDEX(Settings!$B$29:$B$40,MONTH(A6848)),INDEX(Settings!$B$29:$B$40,MONTH(A6848)))))</f>
        <v/>
      </c>
    </row>
    <row r="6849" customFormat="false" ht="15" hidden="false" customHeight="false" outlineLevel="0" collapsed="false">
      <c r="H6849" s="0" t="str">
        <f aca="false">IF(B6849="","",IF(COUNTIF(Campaigns!$A$7:$A$300,B6849)&gt;0,"✓","⚠ add to Campaigns tab"))</f>
        <v/>
      </c>
      <c r="I6849" s="84" t="str">
        <f aca="false">IF(C6849="","",C6849*IF(Settings!$B$23=Settings!$C$6,1,IF(Settings!$B$23="USD",1/INDEX(Settings!$B$29:$B$40,MONTH(A6849)),INDEX(Settings!$B$29:$B$40,MONTH(A6849)))))</f>
        <v/>
      </c>
    </row>
    <row r="6850" customFormat="false" ht="15" hidden="false" customHeight="false" outlineLevel="0" collapsed="false">
      <c r="H6850" s="0" t="str">
        <f aca="false">IF(B6850="","",IF(COUNTIF(Campaigns!$A$7:$A$300,B6850)&gt;0,"✓","⚠ add to Campaigns tab"))</f>
        <v/>
      </c>
      <c r="I6850" s="84" t="str">
        <f aca="false">IF(C6850="","",C6850*IF(Settings!$B$23=Settings!$C$6,1,IF(Settings!$B$23="USD",1/INDEX(Settings!$B$29:$B$40,MONTH(A6850)),INDEX(Settings!$B$29:$B$40,MONTH(A6850)))))</f>
        <v/>
      </c>
    </row>
    <row r="6851" customFormat="false" ht="15" hidden="false" customHeight="false" outlineLevel="0" collapsed="false">
      <c r="H6851" s="0" t="str">
        <f aca="false">IF(B6851="","",IF(COUNTIF(Campaigns!$A$7:$A$300,B6851)&gt;0,"✓","⚠ add to Campaigns tab"))</f>
        <v/>
      </c>
      <c r="I6851" s="84" t="str">
        <f aca="false">IF(C6851="","",C6851*IF(Settings!$B$23=Settings!$C$6,1,IF(Settings!$B$23="USD",1/INDEX(Settings!$B$29:$B$40,MONTH(A6851)),INDEX(Settings!$B$29:$B$40,MONTH(A6851)))))</f>
        <v/>
      </c>
    </row>
    <row r="6852" customFormat="false" ht="15" hidden="false" customHeight="false" outlineLevel="0" collapsed="false">
      <c r="H6852" s="0" t="str">
        <f aca="false">IF(B6852="","",IF(COUNTIF(Campaigns!$A$7:$A$300,B6852)&gt;0,"✓","⚠ add to Campaigns tab"))</f>
        <v/>
      </c>
      <c r="I6852" s="84" t="str">
        <f aca="false">IF(C6852="","",C6852*IF(Settings!$B$23=Settings!$C$6,1,IF(Settings!$B$23="USD",1/INDEX(Settings!$B$29:$B$40,MONTH(A6852)),INDEX(Settings!$B$29:$B$40,MONTH(A6852)))))</f>
        <v/>
      </c>
    </row>
    <row r="6853" customFormat="false" ht="15" hidden="false" customHeight="false" outlineLevel="0" collapsed="false">
      <c r="H6853" s="0" t="str">
        <f aca="false">IF(B6853="","",IF(COUNTIF(Campaigns!$A$7:$A$300,B6853)&gt;0,"✓","⚠ add to Campaigns tab"))</f>
        <v/>
      </c>
      <c r="I6853" s="84" t="str">
        <f aca="false">IF(C6853="","",C6853*IF(Settings!$B$23=Settings!$C$6,1,IF(Settings!$B$23="USD",1/INDEX(Settings!$B$29:$B$40,MONTH(A6853)),INDEX(Settings!$B$29:$B$40,MONTH(A6853)))))</f>
        <v/>
      </c>
    </row>
    <row r="6854" customFormat="false" ht="15" hidden="false" customHeight="false" outlineLevel="0" collapsed="false">
      <c r="H6854" s="0" t="str">
        <f aca="false">IF(B6854="","",IF(COUNTIF(Campaigns!$A$7:$A$300,B6854)&gt;0,"✓","⚠ add to Campaigns tab"))</f>
        <v/>
      </c>
      <c r="I6854" s="84" t="str">
        <f aca="false">IF(C6854="","",C6854*IF(Settings!$B$23=Settings!$C$6,1,IF(Settings!$B$23="USD",1/INDEX(Settings!$B$29:$B$40,MONTH(A6854)),INDEX(Settings!$B$29:$B$40,MONTH(A6854)))))</f>
        <v/>
      </c>
    </row>
    <row r="6855" customFormat="false" ht="15" hidden="false" customHeight="false" outlineLevel="0" collapsed="false">
      <c r="H6855" s="0" t="str">
        <f aca="false">IF(B6855="","",IF(COUNTIF(Campaigns!$A$7:$A$300,B6855)&gt;0,"✓","⚠ add to Campaigns tab"))</f>
        <v/>
      </c>
      <c r="I6855" s="84" t="str">
        <f aca="false">IF(C6855="","",C6855*IF(Settings!$B$23=Settings!$C$6,1,IF(Settings!$B$23="USD",1/INDEX(Settings!$B$29:$B$40,MONTH(A6855)),INDEX(Settings!$B$29:$B$40,MONTH(A6855)))))</f>
        <v/>
      </c>
    </row>
    <row r="6856" customFormat="false" ht="15" hidden="false" customHeight="false" outlineLevel="0" collapsed="false">
      <c r="H6856" s="0" t="str">
        <f aca="false">IF(B6856="","",IF(COUNTIF(Campaigns!$A$7:$A$300,B6856)&gt;0,"✓","⚠ add to Campaigns tab"))</f>
        <v/>
      </c>
      <c r="I6856" s="84" t="str">
        <f aca="false">IF(C6856="","",C6856*IF(Settings!$B$23=Settings!$C$6,1,IF(Settings!$B$23="USD",1/INDEX(Settings!$B$29:$B$40,MONTH(A6856)),INDEX(Settings!$B$29:$B$40,MONTH(A6856)))))</f>
        <v/>
      </c>
    </row>
    <row r="6857" customFormat="false" ht="15" hidden="false" customHeight="false" outlineLevel="0" collapsed="false">
      <c r="H6857" s="0" t="str">
        <f aca="false">IF(B6857="","",IF(COUNTIF(Campaigns!$A$7:$A$300,B6857)&gt;0,"✓","⚠ add to Campaigns tab"))</f>
        <v/>
      </c>
      <c r="I6857" s="84" t="str">
        <f aca="false">IF(C6857="","",C6857*IF(Settings!$B$23=Settings!$C$6,1,IF(Settings!$B$23="USD",1/INDEX(Settings!$B$29:$B$40,MONTH(A6857)),INDEX(Settings!$B$29:$B$40,MONTH(A6857)))))</f>
        <v/>
      </c>
    </row>
    <row r="6858" customFormat="false" ht="15" hidden="false" customHeight="false" outlineLevel="0" collapsed="false">
      <c r="H6858" s="0" t="str">
        <f aca="false">IF(B6858="","",IF(COUNTIF(Campaigns!$A$7:$A$300,B6858)&gt;0,"✓","⚠ add to Campaigns tab"))</f>
        <v/>
      </c>
      <c r="I6858" s="84" t="str">
        <f aca="false">IF(C6858="","",C6858*IF(Settings!$B$23=Settings!$C$6,1,IF(Settings!$B$23="USD",1/INDEX(Settings!$B$29:$B$40,MONTH(A6858)),INDEX(Settings!$B$29:$B$40,MONTH(A6858)))))</f>
        <v/>
      </c>
    </row>
    <row r="6859" customFormat="false" ht="15" hidden="false" customHeight="false" outlineLevel="0" collapsed="false">
      <c r="H6859" s="0" t="str">
        <f aca="false">IF(B6859="","",IF(COUNTIF(Campaigns!$A$7:$A$300,B6859)&gt;0,"✓","⚠ add to Campaigns tab"))</f>
        <v/>
      </c>
      <c r="I6859" s="84" t="str">
        <f aca="false">IF(C6859="","",C6859*IF(Settings!$B$23=Settings!$C$6,1,IF(Settings!$B$23="USD",1/INDEX(Settings!$B$29:$B$40,MONTH(A6859)),INDEX(Settings!$B$29:$B$40,MONTH(A6859)))))</f>
        <v/>
      </c>
    </row>
    <row r="6860" customFormat="false" ht="15" hidden="false" customHeight="false" outlineLevel="0" collapsed="false">
      <c r="H6860" s="0" t="str">
        <f aca="false">IF(B6860="","",IF(COUNTIF(Campaigns!$A$7:$A$300,B6860)&gt;0,"✓","⚠ add to Campaigns tab"))</f>
        <v/>
      </c>
      <c r="I6860" s="84" t="str">
        <f aca="false">IF(C6860="","",C6860*IF(Settings!$B$23=Settings!$C$6,1,IF(Settings!$B$23="USD",1/INDEX(Settings!$B$29:$B$40,MONTH(A6860)),INDEX(Settings!$B$29:$B$40,MONTH(A6860)))))</f>
        <v/>
      </c>
    </row>
    <row r="6861" customFormat="false" ht="15" hidden="false" customHeight="false" outlineLevel="0" collapsed="false">
      <c r="H6861" s="0" t="str">
        <f aca="false">IF(B6861="","",IF(COUNTIF(Campaigns!$A$7:$A$300,B6861)&gt;0,"✓","⚠ add to Campaigns tab"))</f>
        <v/>
      </c>
      <c r="I6861" s="84" t="str">
        <f aca="false">IF(C6861="","",C6861*IF(Settings!$B$23=Settings!$C$6,1,IF(Settings!$B$23="USD",1/INDEX(Settings!$B$29:$B$40,MONTH(A6861)),INDEX(Settings!$B$29:$B$40,MONTH(A6861)))))</f>
        <v/>
      </c>
    </row>
    <row r="6862" customFormat="false" ht="15" hidden="false" customHeight="false" outlineLevel="0" collapsed="false">
      <c r="H6862" s="0" t="str">
        <f aca="false">IF(B6862="","",IF(COUNTIF(Campaigns!$A$7:$A$300,B6862)&gt;0,"✓","⚠ add to Campaigns tab"))</f>
        <v/>
      </c>
      <c r="I6862" s="84" t="str">
        <f aca="false">IF(C6862="","",C6862*IF(Settings!$B$23=Settings!$C$6,1,IF(Settings!$B$23="USD",1/INDEX(Settings!$B$29:$B$40,MONTH(A6862)),INDEX(Settings!$B$29:$B$40,MONTH(A6862)))))</f>
        <v/>
      </c>
    </row>
    <row r="6863" customFormat="false" ht="15" hidden="false" customHeight="false" outlineLevel="0" collapsed="false">
      <c r="H6863" s="0" t="str">
        <f aca="false">IF(B6863="","",IF(COUNTIF(Campaigns!$A$7:$A$300,B6863)&gt;0,"✓","⚠ add to Campaigns tab"))</f>
        <v/>
      </c>
      <c r="I6863" s="84" t="str">
        <f aca="false">IF(C6863="","",C6863*IF(Settings!$B$23=Settings!$C$6,1,IF(Settings!$B$23="USD",1/INDEX(Settings!$B$29:$B$40,MONTH(A6863)),INDEX(Settings!$B$29:$B$40,MONTH(A6863)))))</f>
        <v/>
      </c>
    </row>
    <row r="6864" customFormat="false" ht="15" hidden="false" customHeight="false" outlineLevel="0" collapsed="false">
      <c r="H6864" s="0" t="str">
        <f aca="false">IF(B6864="","",IF(COUNTIF(Campaigns!$A$7:$A$300,B6864)&gt;0,"✓","⚠ add to Campaigns tab"))</f>
        <v/>
      </c>
      <c r="I6864" s="84" t="str">
        <f aca="false">IF(C6864="","",C6864*IF(Settings!$B$23=Settings!$C$6,1,IF(Settings!$B$23="USD",1/INDEX(Settings!$B$29:$B$40,MONTH(A6864)),INDEX(Settings!$B$29:$B$40,MONTH(A6864)))))</f>
        <v/>
      </c>
    </row>
    <row r="6865" customFormat="false" ht="15" hidden="false" customHeight="false" outlineLevel="0" collapsed="false">
      <c r="H6865" s="0" t="str">
        <f aca="false">IF(B6865="","",IF(COUNTIF(Campaigns!$A$7:$A$300,B6865)&gt;0,"✓","⚠ add to Campaigns tab"))</f>
        <v/>
      </c>
      <c r="I6865" s="84" t="str">
        <f aca="false">IF(C6865="","",C6865*IF(Settings!$B$23=Settings!$C$6,1,IF(Settings!$B$23="USD",1/INDEX(Settings!$B$29:$B$40,MONTH(A6865)),INDEX(Settings!$B$29:$B$40,MONTH(A6865)))))</f>
        <v/>
      </c>
    </row>
    <row r="6866" customFormat="false" ht="15" hidden="false" customHeight="false" outlineLevel="0" collapsed="false">
      <c r="H6866" s="0" t="str">
        <f aca="false">IF(B6866="","",IF(COUNTIF(Campaigns!$A$7:$A$300,B6866)&gt;0,"✓","⚠ add to Campaigns tab"))</f>
        <v/>
      </c>
      <c r="I6866" s="84" t="str">
        <f aca="false">IF(C6866="","",C6866*IF(Settings!$B$23=Settings!$C$6,1,IF(Settings!$B$23="USD",1/INDEX(Settings!$B$29:$B$40,MONTH(A6866)),INDEX(Settings!$B$29:$B$40,MONTH(A6866)))))</f>
        <v/>
      </c>
    </row>
    <row r="6867" customFormat="false" ht="15" hidden="false" customHeight="false" outlineLevel="0" collapsed="false">
      <c r="H6867" s="0" t="str">
        <f aca="false">IF(B6867="","",IF(COUNTIF(Campaigns!$A$7:$A$300,B6867)&gt;0,"✓","⚠ add to Campaigns tab"))</f>
        <v/>
      </c>
      <c r="I6867" s="84" t="str">
        <f aca="false">IF(C6867="","",C6867*IF(Settings!$B$23=Settings!$C$6,1,IF(Settings!$B$23="USD",1/INDEX(Settings!$B$29:$B$40,MONTH(A6867)),INDEX(Settings!$B$29:$B$40,MONTH(A6867)))))</f>
        <v/>
      </c>
    </row>
    <row r="6868" customFormat="false" ht="15" hidden="false" customHeight="false" outlineLevel="0" collapsed="false">
      <c r="H6868" s="0" t="str">
        <f aca="false">IF(B6868="","",IF(COUNTIF(Campaigns!$A$7:$A$300,B6868)&gt;0,"✓","⚠ add to Campaigns tab"))</f>
        <v/>
      </c>
      <c r="I6868" s="84" t="str">
        <f aca="false">IF(C6868="","",C6868*IF(Settings!$B$23=Settings!$C$6,1,IF(Settings!$B$23="USD",1/INDEX(Settings!$B$29:$B$40,MONTH(A6868)),INDEX(Settings!$B$29:$B$40,MONTH(A6868)))))</f>
        <v/>
      </c>
    </row>
    <row r="6869" customFormat="false" ht="15" hidden="false" customHeight="false" outlineLevel="0" collapsed="false">
      <c r="H6869" s="0" t="str">
        <f aca="false">IF(B6869="","",IF(COUNTIF(Campaigns!$A$7:$A$300,B6869)&gt;0,"✓","⚠ add to Campaigns tab"))</f>
        <v/>
      </c>
      <c r="I6869" s="84" t="str">
        <f aca="false">IF(C6869="","",C6869*IF(Settings!$B$23=Settings!$C$6,1,IF(Settings!$B$23="USD",1/INDEX(Settings!$B$29:$B$40,MONTH(A6869)),INDEX(Settings!$B$29:$B$40,MONTH(A6869)))))</f>
        <v/>
      </c>
    </row>
    <row r="6870" customFormat="false" ht="15" hidden="false" customHeight="false" outlineLevel="0" collapsed="false">
      <c r="H6870" s="0" t="str">
        <f aca="false">IF(B6870="","",IF(COUNTIF(Campaigns!$A$7:$A$300,B6870)&gt;0,"✓","⚠ add to Campaigns tab"))</f>
        <v/>
      </c>
      <c r="I6870" s="84" t="str">
        <f aca="false">IF(C6870="","",C6870*IF(Settings!$B$23=Settings!$C$6,1,IF(Settings!$B$23="USD",1/INDEX(Settings!$B$29:$B$40,MONTH(A6870)),INDEX(Settings!$B$29:$B$40,MONTH(A6870)))))</f>
        <v/>
      </c>
    </row>
    <row r="6871" customFormat="false" ht="15" hidden="false" customHeight="false" outlineLevel="0" collapsed="false">
      <c r="H6871" s="0" t="str">
        <f aca="false">IF(B6871="","",IF(COUNTIF(Campaigns!$A$7:$A$300,B6871)&gt;0,"✓","⚠ add to Campaigns tab"))</f>
        <v/>
      </c>
      <c r="I6871" s="84" t="str">
        <f aca="false">IF(C6871="","",C6871*IF(Settings!$B$23=Settings!$C$6,1,IF(Settings!$B$23="USD",1/INDEX(Settings!$B$29:$B$40,MONTH(A6871)),INDEX(Settings!$B$29:$B$40,MONTH(A6871)))))</f>
        <v/>
      </c>
    </row>
    <row r="6872" customFormat="false" ht="15" hidden="false" customHeight="false" outlineLevel="0" collapsed="false">
      <c r="H6872" s="0" t="str">
        <f aca="false">IF(B6872="","",IF(COUNTIF(Campaigns!$A$7:$A$300,B6872)&gt;0,"✓","⚠ add to Campaigns tab"))</f>
        <v/>
      </c>
      <c r="I6872" s="84" t="str">
        <f aca="false">IF(C6872="","",C6872*IF(Settings!$B$23=Settings!$C$6,1,IF(Settings!$B$23="USD",1/INDEX(Settings!$B$29:$B$40,MONTH(A6872)),INDEX(Settings!$B$29:$B$40,MONTH(A6872)))))</f>
        <v/>
      </c>
    </row>
    <row r="6873" customFormat="false" ht="15" hidden="false" customHeight="false" outlineLevel="0" collapsed="false">
      <c r="H6873" s="0" t="str">
        <f aca="false">IF(B6873="","",IF(COUNTIF(Campaigns!$A$7:$A$300,B6873)&gt;0,"✓","⚠ add to Campaigns tab"))</f>
        <v/>
      </c>
      <c r="I6873" s="84" t="str">
        <f aca="false">IF(C6873="","",C6873*IF(Settings!$B$23=Settings!$C$6,1,IF(Settings!$B$23="USD",1/INDEX(Settings!$B$29:$B$40,MONTH(A6873)),INDEX(Settings!$B$29:$B$40,MONTH(A6873)))))</f>
        <v/>
      </c>
    </row>
    <row r="6874" customFormat="false" ht="15" hidden="false" customHeight="false" outlineLevel="0" collapsed="false">
      <c r="H6874" s="0" t="str">
        <f aca="false">IF(B6874="","",IF(COUNTIF(Campaigns!$A$7:$A$300,B6874)&gt;0,"✓","⚠ add to Campaigns tab"))</f>
        <v/>
      </c>
      <c r="I6874" s="84" t="str">
        <f aca="false">IF(C6874="","",C6874*IF(Settings!$B$23=Settings!$C$6,1,IF(Settings!$B$23="USD",1/INDEX(Settings!$B$29:$B$40,MONTH(A6874)),INDEX(Settings!$B$29:$B$40,MONTH(A6874)))))</f>
        <v/>
      </c>
    </row>
    <row r="6875" customFormat="false" ht="15" hidden="false" customHeight="false" outlineLevel="0" collapsed="false">
      <c r="H6875" s="0" t="str">
        <f aca="false">IF(B6875="","",IF(COUNTIF(Campaigns!$A$7:$A$300,B6875)&gt;0,"✓","⚠ add to Campaigns tab"))</f>
        <v/>
      </c>
      <c r="I6875" s="84" t="str">
        <f aca="false">IF(C6875="","",C6875*IF(Settings!$B$23=Settings!$C$6,1,IF(Settings!$B$23="USD",1/INDEX(Settings!$B$29:$B$40,MONTH(A6875)),INDEX(Settings!$B$29:$B$40,MONTH(A6875)))))</f>
        <v/>
      </c>
    </row>
    <row r="6876" customFormat="false" ht="15" hidden="false" customHeight="false" outlineLevel="0" collapsed="false">
      <c r="H6876" s="0" t="str">
        <f aca="false">IF(B6876="","",IF(COUNTIF(Campaigns!$A$7:$A$300,B6876)&gt;0,"✓","⚠ add to Campaigns tab"))</f>
        <v/>
      </c>
      <c r="I6876" s="84" t="str">
        <f aca="false">IF(C6876="","",C6876*IF(Settings!$B$23=Settings!$C$6,1,IF(Settings!$B$23="USD",1/INDEX(Settings!$B$29:$B$40,MONTH(A6876)),INDEX(Settings!$B$29:$B$40,MONTH(A6876)))))</f>
        <v/>
      </c>
    </row>
    <row r="6877" customFormat="false" ht="15" hidden="false" customHeight="false" outlineLevel="0" collapsed="false">
      <c r="H6877" s="0" t="str">
        <f aca="false">IF(B6877="","",IF(COUNTIF(Campaigns!$A$7:$A$300,B6877)&gt;0,"✓","⚠ add to Campaigns tab"))</f>
        <v/>
      </c>
      <c r="I6877" s="84" t="str">
        <f aca="false">IF(C6877="","",C6877*IF(Settings!$B$23=Settings!$C$6,1,IF(Settings!$B$23="USD",1/INDEX(Settings!$B$29:$B$40,MONTH(A6877)),INDEX(Settings!$B$29:$B$40,MONTH(A6877)))))</f>
        <v/>
      </c>
    </row>
    <row r="6878" customFormat="false" ht="15" hidden="false" customHeight="false" outlineLevel="0" collapsed="false">
      <c r="H6878" s="0" t="str">
        <f aca="false">IF(B6878="","",IF(COUNTIF(Campaigns!$A$7:$A$300,B6878)&gt;0,"✓","⚠ add to Campaigns tab"))</f>
        <v/>
      </c>
      <c r="I6878" s="84" t="str">
        <f aca="false">IF(C6878="","",C6878*IF(Settings!$B$23=Settings!$C$6,1,IF(Settings!$B$23="USD",1/INDEX(Settings!$B$29:$B$40,MONTH(A6878)),INDEX(Settings!$B$29:$B$40,MONTH(A6878)))))</f>
        <v/>
      </c>
    </row>
    <row r="6879" customFormat="false" ht="15" hidden="false" customHeight="false" outlineLevel="0" collapsed="false">
      <c r="H6879" s="0" t="str">
        <f aca="false">IF(B6879="","",IF(COUNTIF(Campaigns!$A$7:$A$300,B6879)&gt;0,"✓","⚠ add to Campaigns tab"))</f>
        <v/>
      </c>
      <c r="I6879" s="84" t="str">
        <f aca="false">IF(C6879="","",C6879*IF(Settings!$B$23=Settings!$C$6,1,IF(Settings!$B$23="USD",1/INDEX(Settings!$B$29:$B$40,MONTH(A6879)),INDEX(Settings!$B$29:$B$40,MONTH(A6879)))))</f>
        <v/>
      </c>
    </row>
    <row r="6880" customFormat="false" ht="15" hidden="false" customHeight="false" outlineLevel="0" collapsed="false">
      <c r="H6880" s="0" t="str">
        <f aca="false">IF(B6880="","",IF(COUNTIF(Campaigns!$A$7:$A$300,B6880)&gt;0,"✓","⚠ add to Campaigns tab"))</f>
        <v/>
      </c>
      <c r="I6880" s="84" t="str">
        <f aca="false">IF(C6880="","",C6880*IF(Settings!$B$23=Settings!$C$6,1,IF(Settings!$B$23="USD",1/INDEX(Settings!$B$29:$B$40,MONTH(A6880)),INDEX(Settings!$B$29:$B$40,MONTH(A6880)))))</f>
        <v/>
      </c>
    </row>
    <row r="6881" customFormat="false" ht="15" hidden="false" customHeight="false" outlineLevel="0" collapsed="false">
      <c r="H6881" s="0" t="str">
        <f aca="false">IF(B6881="","",IF(COUNTIF(Campaigns!$A$7:$A$300,B6881)&gt;0,"✓","⚠ add to Campaigns tab"))</f>
        <v/>
      </c>
      <c r="I6881" s="84" t="str">
        <f aca="false">IF(C6881="","",C6881*IF(Settings!$B$23=Settings!$C$6,1,IF(Settings!$B$23="USD",1/INDEX(Settings!$B$29:$B$40,MONTH(A6881)),INDEX(Settings!$B$29:$B$40,MONTH(A6881)))))</f>
        <v/>
      </c>
    </row>
    <row r="6882" customFormat="false" ht="15" hidden="false" customHeight="false" outlineLevel="0" collapsed="false">
      <c r="H6882" s="0" t="str">
        <f aca="false">IF(B6882="","",IF(COUNTIF(Campaigns!$A$7:$A$300,B6882)&gt;0,"✓","⚠ add to Campaigns tab"))</f>
        <v/>
      </c>
      <c r="I6882" s="84" t="str">
        <f aca="false">IF(C6882="","",C6882*IF(Settings!$B$23=Settings!$C$6,1,IF(Settings!$B$23="USD",1/INDEX(Settings!$B$29:$B$40,MONTH(A6882)),INDEX(Settings!$B$29:$B$40,MONTH(A6882)))))</f>
        <v/>
      </c>
    </row>
    <row r="6883" customFormat="false" ht="15" hidden="false" customHeight="false" outlineLevel="0" collapsed="false">
      <c r="H6883" s="0" t="str">
        <f aca="false">IF(B6883="","",IF(COUNTIF(Campaigns!$A$7:$A$300,B6883)&gt;0,"✓","⚠ add to Campaigns tab"))</f>
        <v/>
      </c>
      <c r="I6883" s="84" t="str">
        <f aca="false">IF(C6883="","",C6883*IF(Settings!$B$23=Settings!$C$6,1,IF(Settings!$B$23="USD",1/INDEX(Settings!$B$29:$B$40,MONTH(A6883)),INDEX(Settings!$B$29:$B$40,MONTH(A6883)))))</f>
        <v/>
      </c>
    </row>
    <row r="6884" customFormat="false" ht="15" hidden="false" customHeight="false" outlineLevel="0" collapsed="false">
      <c r="H6884" s="0" t="str">
        <f aca="false">IF(B6884="","",IF(COUNTIF(Campaigns!$A$7:$A$300,B6884)&gt;0,"✓","⚠ add to Campaigns tab"))</f>
        <v/>
      </c>
      <c r="I6884" s="84" t="str">
        <f aca="false">IF(C6884="","",C6884*IF(Settings!$B$23=Settings!$C$6,1,IF(Settings!$B$23="USD",1/INDEX(Settings!$B$29:$B$40,MONTH(A6884)),INDEX(Settings!$B$29:$B$40,MONTH(A6884)))))</f>
        <v/>
      </c>
    </row>
    <row r="6885" customFormat="false" ht="15" hidden="false" customHeight="false" outlineLevel="0" collapsed="false">
      <c r="H6885" s="0" t="str">
        <f aca="false">IF(B6885="","",IF(COUNTIF(Campaigns!$A$7:$A$300,B6885)&gt;0,"✓","⚠ add to Campaigns tab"))</f>
        <v/>
      </c>
      <c r="I6885" s="84" t="str">
        <f aca="false">IF(C6885="","",C6885*IF(Settings!$B$23=Settings!$C$6,1,IF(Settings!$B$23="USD",1/INDEX(Settings!$B$29:$B$40,MONTH(A6885)),INDEX(Settings!$B$29:$B$40,MONTH(A6885)))))</f>
        <v/>
      </c>
    </row>
    <row r="6886" customFormat="false" ht="15" hidden="false" customHeight="false" outlineLevel="0" collapsed="false">
      <c r="H6886" s="0" t="str">
        <f aca="false">IF(B6886="","",IF(COUNTIF(Campaigns!$A$7:$A$300,B6886)&gt;0,"✓","⚠ add to Campaigns tab"))</f>
        <v/>
      </c>
      <c r="I6886" s="84" t="str">
        <f aca="false">IF(C6886="","",C6886*IF(Settings!$B$23=Settings!$C$6,1,IF(Settings!$B$23="USD",1/INDEX(Settings!$B$29:$B$40,MONTH(A6886)),INDEX(Settings!$B$29:$B$40,MONTH(A6886)))))</f>
        <v/>
      </c>
    </row>
    <row r="6887" customFormat="false" ht="15" hidden="false" customHeight="false" outlineLevel="0" collapsed="false">
      <c r="H6887" s="0" t="str">
        <f aca="false">IF(B6887="","",IF(COUNTIF(Campaigns!$A$7:$A$300,B6887)&gt;0,"✓","⚠ add to Campaigns tab"))</f>
        <v/>
      </c>
      <c r="I6887" s="84" t="str">
        <f aca="false">IF(C6887="","",C6887*IF(Settings!$B$23=Settings!$C$6,1,IF(Settings!$B$23="USD",1/INDEX(Settings!$B$29:$B$40,MONTH(A6887)),INDEX(Settings!$B$29:$B$40,MONTH(A6887)))))</f>
        <v/>
      </c>
    </row>
    <row r="6888" customFormat="false" ht="15" hidden="false" customHeight="false" outlineLevel="0" collapsed="false">
      <c r="H6888" s="0" t="str">
        <f aca="false">IF(B6888="","",IF(COUNTIF(Campaigns!$A$7:$A$300,B6888)&gt;0,"✓","⚠ add to Campaigns tab"))</f>
        <v/>
      </c>
      <c r="I6888" s="84" t="str">
        <f aca="false">IF(C6888="","",C6888*IF(Settings!$B$23=Settings!$C$6,1,IF(Settings!$B$23="USD",1/INDEX(Settings!$B$29:$B$40,MONTH(A6888)),INDEX(Settings!$B$29:$B$40,MONTH(A6888)))))</f>
        <v/>
      </c>
    </row>
    <row r="6889" customFormat="false" ht="15" hidden="false" customHeight="false" outlineLevel="0" collapsed="false">
      <c r="H6889" s="0" t="str">
        <f aca="false">IF(B6889="","",IF(COUNTIF(Campaigns!$A$7:$A$300,B6889)&gt;0,"✓","⚠ add to Campaigns tab"))</f>
        <v/>
      </c>
      <c r="I6889" s="84" t="str">
        <f aca="false">IF(C6889="","",C6889*IF(Settings!$B$23=Settings!$C$6,1,IF(Settings!$B$23="USD",1/INDEX(Settings!$B$29:$B$40,MONTH(A6889)),INDEX(Settings!$B$29:$B$40,MONTH(A6889)))))</f>
        <v/>
      </c>
    </row>
    <row r="6890" customFormat="false" ht="15" hidden="false" customHeight="false" outlineLevel="0" collapsed="false">
      <c r="H6890" s="0" t="str">
        <f aca="false">IF(B6890="","",IF(COUNTIF(Campaigns!$A$7:$A$300,B6890)&gt;0,"✓","⚠ add to Campaigns tab"))</f>
        <v/>
      </c>
      <c r="I6890" s="84" t="str">
        <f aca="false">IF(C6890="","",C6890*IF(Settings!$B$23=Settings!$C$6,1,IF(Settings!$B$23="USD",1/INDEX(Settings!$B$29:$B$40,MONTH(A6890)),INDEX(Settings!$B$29:$B$40,MONTH(A6890)))))</f>
        <v/>
      </c>
    </row>
    <row r="6891" customFormat="false" ht="15" hidden="false" customHeight="false" outlineLevel="0" collapsed="false">
      <c r="H6891" s="0" t="str">
        <f aca="false">IF(B6891="","",IF(COUNTIF(Campaigns!$A$7:$A$300,B6891)&gt;0,"✓","⚠ add to Campaigns tab"))</f>
        <v/>
      </c>
      <c r="I6891" s="84" t="str">
        <f aca="false">IF(C6891="","",C6891*IF(Settings!$B$23=Settings!$C$6,1,IF(Settings!$B$23="USD",1/INDEX(Settings!$B$29:$B$40,MONTH(A6891)),INDEX(Settings!$B$29:$B$40,MONTH(A6891)))))</f>
        <v/>
      </c>
    </row>
    <row r="6892" customFormat="false" ht="15" hidden="false" customHeight="false" outlineLevel="0" collapsed="false">
      <c r="H6892" s="0" t="str">
        <f aca="false">IF(B6892="","",IF(COUNTIF(Campaigns!$A$7:$A$300,B6892)&gt;0,"✓","⚠ add to Campaigns tab"))</f>
        <v/>
      </c>
      <c r="I6892" s="84" t="str">
        <f aca="false">IF(C6892="","",C6892*IF(Settings!$B$23=Settings!$C$6,1,IF(Settings!$B$23="USD",1/INDEX(Settings!$B$29:$B$40,MONTH(A6892)),INDEX(Settings!$B$29:$B$40,MONTH(A6892)))))</f>
        <v/>
      </c>
    </row>
    <row r="6893" customFormat="false" ht="15" hidden="false" customHeight="false" outlineLevel="0" collapsed="false">
      <c r="H6893" s="0" t="str">
        <f aca="false">IF(B6893="","",IF(COUNTIF(Campaigns!$A$7:$A$300,B6893)&gt;0,"✓","⚠ add to Campaigns tab"))</f>
        <v/>
      </c>
      <c r="I6893" s="84" t="str">
        <f aca="false">IF(C6893="","",C6893*IF(Settings!$B$23=Settings!$C$6,1,IF(Settings!$B$23="USD",1/INDEX(Settings!$B$29:$B$40,MONTH(A6893)),INDEX(Settings!$B$29:$B$40,MONTH(A6893)))))</f>
        <v/>
      </c>
    </row>
    <row r="6894" customFormat="false" ht="15" hidden="false" customHeight="false" outlineLevel="0" collapsed="false">
      <c r="H6894" s="0" t="str">
        <f aca="false">IF(B6894="","",IF(COUNTIF(Campaigns!$A$7:$A$300,B6894)&gt;0,"✓","⚠ add to Campaigns tab"))</f>
        <v/>
      </c>
      <c r="I6894" s="84" t="str">
        <f aca="false">IF(C6894="","",C6894*IF(Settings!$B$23=Settings!$C$6,1,IF(Settings!$B$23="USD",1/INDEX(Settings!$B$29:$B$40,MONTH(A6894)),INDEX(Settings!$B$29:$B$40,MONTH(A6894)))))</f>
        <v/>
      </c>
    </row>
    <row r="6895" customFormat="false" ht="15" hidden="false" customHeight="false" outlineLevel="0" collapsed="false">
      <c r="H6895" s="0" t="str">
        <f aca="false">IF(B6895="","",IF(COUNTIF(Campaigns!$A$7:$A$300,B6895)&gt;0,"✓","⚠ add to Campaigns tab"))</f>
        <v/>
      </c>
      <c r="I6895" s="84" t="str">
        <f aca="false">IF(C6895="","",C6895*IF(Settings!$B$23=Settings!$C$6,1,IF(Settings!$B$23="USD",1/INDEX(Settings!$B$29:$B$40,MONTH(A6895)),INDEX(Settings!$B$29:$B$40,MONTH(A6895)))))</f>
        <v/>
      </c>
    </row>
    <row r="6896" customFormat="false" ht="15" hidden="false" customHeight="false" outlineLevel="0" collapsed="false">
      <c r="H6896" s="0" t="str">
        <f aca="false">IF(B6896="","",IF(COUNTIF(Campaigns!$A$7:$A$300,B6896)&gt;0,"✓","⚠ add to Campaigns tab"))</f>
        <v/>
      </c>
      <c r="I6896" s="84" t="str">
        <f aca="false">IF(C6896="","",C6896*IF(Settings!$B$23=Settings!$C$6,1,IF(Settings!$B$23="USD",1/INDEX(Settings!$B$29:$B$40,MONTH(A6896)),INDEX(Settings!$B$29:$B$40,MONTH(A6896)))))</f>
        <v/>
      </c>
    </row>
    <row r="6897" customFormat="false" ht="15" hidden="false" customHeight="false" outlineLevel="0" collapsed="false">
      <c r="H6897" s="0" t="str">
        <f aca="false">IF(B6897="","",IF(COUNTIF(Campaigns!$A$7:$A$300,B6897)&gt;0,"✓","⚠ add to Campaigns tab"))</f>
        <v/>
      </c>
      <c r="I6897" s="84" t="str">
        <f aca="false">IF(C6897="","",C6897*IF(Settings!$B$23=Settings!$C$6,1,IF(Settings!$B$23="USD",1/INDEX(Settings!$B$29:$B$40,MONTH(A6897)),INDEX(Settings!$B$29:$B$40,MONTH(A6897)))))</f>
        <v/>
      </c>
    </row>
    <row r="6898" customFormat="false" ht="15" hidden="false" customHeight="false" outlineLevel="0" collapsed="false">
      <c r="H6898" s="0" t="str">
        <f aca="false">IF(B6898="","",IF(COUNTIF(Campaigns!$A$7:$A$300,B6898)&gt;0,"✓","⚠ add to Campaigns tab"))</f>
        <v/>
      </c>
      <c r="I6898" s="84" t="str">
        <f aca="false">IF(C6898="","",C6898*IF(Settings!$B$23=Settings!$C$6,1,IF(Settings!$B$23="USD",1/INDEX(Settings!$B$29:$B$40,MONTH(A6898)),INDEX(Settings!$B$29:$B$40,MONTH(A6898)))))</f>
        <v/>
      </c>
    </row>
    <row r="6899" customFormat="false" ht="15" hidden="false" customHeight="false" outlineLevel="0" collapsed="false">
      <c r="H6899" s="0" t="str">
        <f aca="false">IF(B6899="","",IF(COUNTIF(Campaigns!$A$7:$A$300,B6899)&gt;0,"✓","⚠ add to Campaigns tab"))</f>
        <v/>
      </c>
      <c r="I6899" s="84" t="str">
        <f aca="false">IF(C6899="","",C6899*IF(Settings!$B$23=Settings!$C$6,1,IF(Settings!$B$23="USD",1/INDEX(Settings!$B$29:$B$40,MONTH(A6899)),INDEX(Settings!$B$29:$B$40,MONTH(A6899)))))</f>
        <v/>
      </c>
    </row>
    <row r="6900" customFormat="false" ht="15" hidden="false" customHeight="false" outlineLevel="0" collapsed="false">
      <c r="H6900" s="0" t="str">
        <f aca="false">IF(B6900="","",IF(COUNTIF(Campaigns!$A$7:$A$300,B6900)&gt;0,"✓","⚠ add to Campaigns tab"))</f>
        <v/>
      </c>
      <c r="I6900" s="84" t="str">
        <f aca="false">IF(C6900="","",C6900*IF(Settings!$B$23=Settings!$C$6,1,IF(Settings!$B$23="USD",1/INDEX(Settings!$B$29:$B$40,MONTH(A6900)),INDEX(Settings!$B$29:$B$40,MONTH(A6900)))))</f>
        <v/>
      </c>
    </row>
    <row r="6901" customFormat="false" ht="15" hidden="false" customHeight="false" outlineLevel="0" collapsed="false">
      <c r="H6901" s="0" t="str">
        <f aca="false">IF(B6901="","",IF(COUNTIF(Campaigns!$A$7:$A$300,B6901)&gt;0,"✓","⚠ add to Campaigns tab"))</f>
        <v/>
      </c>
      <c r="I6901" s="84" t="str">
        <f aca="false">IF(C6901="","",C6901*IF(Settings!$B$23=Settings!$C$6,1,IF(Settings!$B$23="USD",1/INDEX(Settings!$B$29:$B$40,MONTH(A6901)),INDEX(Settings!$B$29:$B$40,MONTH(A6901)))))</f>
        <v/>
      </c>
    </row>
    <row r="6902" customFormat="false" ht="15" hidden="false" customHeight="false" outlineLevel="0" collapsed="false">
      <c r="H6902" s="0" t="str">
        <f aca="false">IF(B6902="","",IF(COUNTIF(Campaigns!$A$7:$A$300,B6902)&gt;0,"✓","⚠ add to Campaigns tab"))</f>
        <v/>
      </c>
      <c r="I6902" s="84" t="str">
        <f aca="false">IF(C6902="","",C6902*IF(Settings!$B$23=Settings!$C$6,1,IF(Settings!$B$23="USD",1/INDEX(Settings!$B$29:$B$40,MONTH(A6902)),INDEX(Settings!$B$29:$B$40,MONTH(A6902)))))</f>
        <v/>
      </c>
    </row>
    <row r="6903" customFormat="false" ht="15" hidden="false" customHeight="false" outlineLevel="0" collapsed="false">
      <c r="H6903" s="0" t="str">
        <f aca="false">IF(B6903="","",IF(COUNTIF(Campaigns!$A$7:$A$300,B6903)&gt;0,"✓","⚠ add to Campaigns tab"))</f>
        <v/>
      </c>
      <c r="I6903" s="84" t="str">
        <f aca="false">IF(C6903="","",C6903*IF(Settings!$B$23=Settings!$C$6,1,IF(Settings!$B$23="USD",1/INDEX(Settings!$B$29:$B$40,MONTH(A6903)),INDEX(Settings!$B$29:$B$40,MONTH(A6903)))))</f>
        <v/>
      </c>
    </row>
    <row r="6904" customFormat="false" ht="15" hidden="false" customHeight="false" outlineLevel="0" collapsed="false">
      <c r="H6904" s="0" t="str">
        <f aca="false">IF(B6904="","",IF(COUNTIF(Campaigns!$A$7:$A$300,B6904)&gt;0,"✓","⚠ add to Campaigns tab"))</f>
        <v/>
      </c>
      <c r="I6904" s="84" t="str">
        <f aca="false">IF(C6904="","",C6904*IF(Settings!$B$23=Settings!$C$6,1,IF(Settings!$B$23="USD",1/INDEX(Settings!$B$29:$B$40,MONTH(A6904)),INDEX(Settings!$B$29:$B$40,MONTH(A6904)))))</f>
        <v/>
      </c>
    </row>
    <row r="6905" customFormat="false" ht="15" hidden="false" customHeight="false" outlineLevel="0" collapsed="false">
      <c r="H6905" s="0" t="str">
        <f aca="false">IF(B6905="","",IF(COUNTIF(Campaigns!$A$7:$A$300,B6905)&gt;0,"✓","⚠ add to Campaigns tab"))</f>
        <v/>
      </c>
      <c r="I6905" s="84" t="str">
        <f aca="false">IF(C6905="","",C6905*IF(Settings!$B$23=Settings!$C$6,1,IF(Settings!$B$23="USD",1/INDEX(Settings!$B$29:$B$40,MONTH(A6905)),INDEX(Settings!$B$29:$B$40,MONTH(A6905)))))</f>
        <v/>
      </c>
    </row>
    <row r="6906" customFormat="false" ht="15" hidden="false" customHeight="false" outlineLevel="0" collapsed="false">
      <c r="H6906" s="0" t="str">
        <f aca="false">IF(B6906="","",IF(COUNTIF(Campaigns!$A$7:$A$300,B6906)&gt;0,"✓","⚠ add to Campaigns tab"))</f>
        <v/>
      </c>
      <c r="I6906" s="84" t="str">
        <f aca="false">IF(C6906="","",C6906*IF(Settings!$B$23=Settings!$C$6,1,IF(Settings!$B$23="USD",1/INDEX(Settings!$B$29:$B$40,MONTH(A6906)),INDEX(Settings!$B$29:$B$40,MONTH(A6906)))))</f>
        <v/>
      </c>
    </row>
    <row r="6907" customFormat="false" ht="15" hidden="false" customHeight="false" outlineLevel="0" collapsed="false">
      <c r="H6907" s="0" t="str">
        <f aca="false">IF(B6907="","",IF(COUNTIF(Campaigns!$A$7:$A$300,B6907)&gt;0,"✓","⚠ add to Campaigns tab"))</f>
        <v/>
      </c>
      <c r="I6907" s="84" t="str">
        <f aca="false">IF(C6907="","",C6907*IF(Settings!$B$23=Settings!$C$6,1,IF(Settings!$B$23="USD",1/INDEX(Settings!$B$29:$B$40,MONTH(A6907)),INDEX(Settings!$B$29:$B$40,MONTH(A6907)))))</f>
        <v/>
      </c>
    </row>
    <row r="6908" customFormat="false" ht="15" hidden="false" customHeight="false" outlineLevel="0" collapsed="false">
      <c r="H6908" s="0" t="str">
        <f aca="false">IF(B6908="","",IF(COUNTIF(Campaigns!$A$7:$A$300,B6908)&gt;0,"✓","⚠ add to Campaigns tab"))</f>
        <v/>
      </c>
      <c r="I6908" s="84" t="str">
        <f aca="false">IF(C6908="","",C6908*IF(Settings!$B$23=Settings!$C$6,1,IF(Settings!$B$23="USD",1/INDEX(Settings!$B$29:$B$40,MONTH(A6908)),INDEX(Settings!$B$29:$B$40,MONTH(A6908)))))</f>
        <v/>
      </c>
    </row>
    <row r="6909" customFormat="false" ht="15" hidden="false" customHeight="false" outlineLevel="0" collapsed="false">
      <c r="H6909" s="0" t="str">
        <f aca="false">IF(B6909="","",IF(COUNTIF(Campaigns!$A$7:$A$300,B6909)&gt;0,"✓","⚠ add to Campaigns tab"))</f>
        <v/>
      </c>
      <c r="I6909" s="84" t="str">
        <f aca="false">IF(C6909="","",C6909*IF(Settings!$B$23=Settings!$C$6,1,IF(Settings!$B$23="USD",1/INDEX(Settings!$B$29:$B$40,MONTH(A6909)),INDEX(Settings!$B$29:$B$40,MONTH(A6909)))))</f>
        <v/>
      </c>
    </row>
    <row r="6910" customFormat="false" ht="15" hidden="false" customHeight="false" outlineLevel="0" collapsed="false">
      <c r="H6910" s="0" t="str">
        <f aca="false">IF(B6910="","",IF(COUNTIF(Campaigns!$A$7:$A$300,B6910)&gt;0,"✓","⚠ add to Campaigns tab"))</f>
        <v/>
      </c>
      <c r="I6910" s="84" t="str">
        <f aca="false">IF(C6910="","",C6910*IF(Settings!$B$23=Settings!$C$6,1,IF(Settings!$B$23="USD",1/INDEX(Settings!$B$29:$B$40,MONTH(A6910)),INDEX(Settings!$B$29:$B$40,MONTH(A6910)))))</f>
        <v/>
      </c>
    </row>
    <row r="6911" customFormat="false" ht="15" hidden="false" customHeight="false" outlineLevel="0" collapsed="false">
      <c r="H6911" s="0" t="str">
        <f aca="false">IF(B6911="","",IF(COUNTIF(Campaigns!$A$7:$A$300,B6911)&gt;0,"✓","⚠ add to Campaigns tab"))</f>
        <v/>
      </c>
      <c r="I6911" s="84" t="str">
        <f aca="false">IF(C6911="","",C6911*IF(Settings!$B$23=Settings!$C$6,1,IF(Settings!$B$23="USD",1/INDEX(Settings!$B$29:$B$40,MONTH(A6911)),INDEX(Settings!$B$29:$B$40,MONTH(A6911)))))</f>
        <v/>
      </c>
    </row>
    <row r="6912" customFormat="false" ht="15" hidden="false" customHeight="false" outlineLevel="0" collapsed="false">
      <c r="H6912" s="0" t="str">
        <f aca="false">IF(B6912="","",IF(COUNTIF(Campaigns!$A$7:$A$300,B6912)&gt;0,"✓","⚠ add to Campaigns tab"))</f>
        <v/>
      </c>
      <c r="I6912" s="84" t="str">
        <f aca="false">IF(C6912="","",C6912*IF(Settings!$B$23=Settings!$C$6,1,IF(Settings!$B$23="USD",1/INDEX(Settings!$B$29:$B$40,MONTH(A6912)),INDEX(Settings!$B$29:$B$40,MONTH(A6912)))))</f>
        <v/>
      </c>
    </row>
    <row r="6913" customFormat="false" ht="15" hidden="false" customHeight="false" outlineLevel="0" collapsed="false">
      <c r="H6913" s="0" t="str">
        <f aca="false">IF(B6913="","",IF(COUNTIF(Campaigns!$A$7:$A$300,B6913)&gt;0,"✓","⚠ add to Campaigns tab"))</f>
        <v/>
      </c>
      <c r="I6913" s="84" t="str">
        <f aca="false">IF(C6913="","",C6913*IF(Settings!$B$23=Settings!$C$6,1,IF(Settings!$B$23="USD",1/INDEX(Settings!$B$29:$B$40,MONTH(A6913)),INDEX(Settings!$B$29:$B$40,MONTH(A6913)))))</f>
        <v/>
      </c>
    </row>
    <row r="6914" customFormat="false" ht="15" hidden="false" customHeight="false" outlineLevel="0" collapsed="false">
      <c r="H6914" s="0" t="str">
        <f aca="false">IF(B6914="","",IF(COUNTIF(Campaigns!$A$7:$A$300,B6914)&gt;0,"✓","⚠ add to Campaigns tab"))</f>
        <v/>
      </c>
      <c r="I6914" s="84" t="str">
        <f aca="false">IF(C6914="","",C6914*IF(Settings!$B$23=Settings!$C$6,1,IF(Settings!$B$23="USD",1/INDEX(Settings!$B$29:$B$40,MONTH(A6914)),INDEX(Settings!$B$29:$B$40,MONTH(A6914)))))</f>
        <v/>
      </c>
    </row>
    <row r="6915" customFormat="false" ht="15" hidden="false" customHeight="false" outlineLevel="0" collapsed="false">
      <c r="H6915" s="0" t="str">
        <f aca="false">IF(B6915="","",IF(COUNTIF(Campaigns!$A$7:$A$300,B6915)&gt;0,"✓","⚠ add to Campaigns tab"))</f>
        <v/>
      </c>
      <c r="I6915" s="84" t="str">
        <f aca="false">IF(C6915="","",C6915*IF(Settings!$B$23=Settings!$C$6,1,IF(Settings!$B$23="USD",1/INDEX(Settings!$B$29:$B$40,MONTH(A6915)),INDEX(Settings!$B$29:$B$40,MONTH(A6915)))))</f>
        <v/>
      </c>
    </row>
    <row r="6916" customFormat="false" ht="15" hidden="false" customHeight="false" outlineLevel="0" collapsed="false">
      <c r="H6916" s="0" t="str">
        <f aca="false">IF(B6916="","",IF(COUNTIF(Campaigns!$A$7:$A$300,B6916)&gt;0,"✓","⚠ add to Campaigns tab"))</f>
        <v/>
      </c>
      <c r="I6916" s="84" t="str">
        <f aca="false">IF(C6916="","",C6916*IF(Settings!$B$23=Settings!$C$6,1,IF(Settings!$B$23="USD",1/INDEX(Settings!$B$29:$B$40,MONTH(A6916)),INDEX(Settings!$B$29:$B$40,MONTH(A6916)))))</f>
        <v/>
      </c>
    </row>
    <row r="6917" customFormat="false" ht="15" hidden="false" customHeight="false" outlineLevel="0" collapsed="false">
      <c r="H6917" s="0" t="str">
        <f aca="false">IF(B6917="","",IF(COUNTIF(Campaigns!$A$7:$A$300,B6917)&gt;0,"✓","⚠ add to Campaigns tab"))</f>
        <v/>
      </c>
      <c r="I6917" s="84" t="str">
        <f aca="false">IF(C6917="","",C6917*IF(Settings!$B$23=Settings!$C$6,1,IF(Settings!$B$23="USD",1/INDEX(Settings!$B$29:$B$40,MONTH(A6917)),INDEX(Settings!$B$29:$B$40,MONTH(A6917)))))</f>
        <v/>
      </c>
    </row>
    <row r="6918" customFormat="false" ht="15" hidden="false" customHeight="false" outlineLevel="0" collapsed="false">
      <c r="H6918" s="0" t="str">
        <f aca="false">IF(B6918="","",IF(COUNTIF(Campaigns!$A$7:$A$300,B6918)&gt;0,"✓","⚠ add to Campaigns tab"))</f>
        <v/>
      </c>
      <c r="I6918" s="84" t="str">
        <f aca="false">IF(C6918="","",C6918*IF(Settings!$B$23=Settings!$C$6,1,IF(Settings!$B$23="USD",1/INDEX(Settings!$B$29:$B$40,MONTH(A6918)),INDEX(Settings!$B$29:$B$40,MONTH(A6918)))))</f>
        <v/>
      </c>
    </row>
    <row r="6919" customFormat="false" ht="15" hidden="false" customHeight="false" outlineLevel="0" collapsed="false">
      <c r="H6919" s="0" t="str">
        <f aca="false">IF(B6919="","",IF(COUNTIF(Campaigns!$A$7:$A$300,B6919)&gt;0,"✓","⚠ add to Campaigns tab"))</f>
        <v/>
      </c>
      <c r="I6919" s="84" t="str">
        <f aca="false">IF(C6919="","",C6919*IF(Settings!$B$23=Settings!$C$6,1,IF(Settings!$B$23="USD",1/INDEX(Settings!$B$29:$B$40,MONTH(A6919)),INDEX(Settings!$B$29:$B$40,MONTH(A6919)))))</f>
        <v/>
      </c>
    </row>
    <row r="6920" customFormat="false" ht="15" hidden="false" customHeight="false" outlineLevel="0" collapsed="false">
      <c r="H6920" s="0" t="str">
        <f aca="false">IF(B6920="","",IF(COUNTIF(Campaigns!$A$7:$A$300,B6920)&gt;0,"✓","⚠ add to Campaigns tab"))</f>
        <v/>
      </c>
      <c r="I6920" s="84" t="str">
        <f aca="false">IF(C6920="","",C6920*IF(Settings!$B$23=Settings!$C$6,1,IF(Settings!$B$23="USD",1/INDEX(Settings!$B$29:$B$40,MONTH(A6920)),INDEX(Settings!$B$29:$B$40,MONTH(A6920)))))</f>
        <v/>
      </c>
    </row>
    <row r="6921" customFormat="false" ht="15" hidden="false" customHeight="false" outlineLevel="0" collapsed="false">
      <c r="H6921" s="0" t="str">
        <f aca="false">IF(B6921="","",IF(COUNTIF(Campaigns!$A$7:$A$300,B6921)&gt;0,"✓","⚠ add to Campaigns tab"))</f>
        <v/>
      </c>
      <c r="I6921" s="84" t="str">
        <f aca="false">IF(C6921="","",C6921*IF(Settings!$B$23=Settings!$C$6,1,IF(Settings!$B$23="USD",1/INDEX(Settings!$B$29:$B$40,MONTH(A6921)),INDEX(Settings!$B$29:$B$40,MONTH(A6921)))))</f>
        <v/>
      </c>
    </row>
    <row r="6922" customFormat="false" ht="15" hidden="false" customHeight="false" outlineLevel="0" collapsed="false">
      <c r="H6922" s="0" t="str">
        <f aca="false">IF(B6922="","",IF(COUNTIF(Campaigns!$A$7:$A$300,B6922)&gt;0,"✓","⚠ add to Campaigns tab"))</f>
        <v/>
      </c>
      <c r="I6922" s="84" t="str">
        <f aca="false">IF(C6922="","",C6922*IF(Settings!$B$23=Settings!$C$6,1,IF(Settings!$B$23="USD",1/INDEX(Settings!$B$29:$B$40,MONTH(A6922)),INDEX(Settings!$B$29:$B$40,MONTH(A6922)))))</f>
        <v/>
      </c>
    </row>
    <row r="6923" customFormat="false" ht="15" hidden="false" customHeight="false" outlineLevel="0" collapsed="false">
      <c r="H6923" s="0" t="str">
        <f aca="false">IF(B6923="","",IF(COUNTIF(Campaigns!$A$7:$A$300,B6923)&gt;0,"✓","⚠ add to Campaigns tab"))</f>
        <v/>
      </c>
      <c r="I6923" s="84" t="str">
        <f aca="false">IF(C6923="","",C6923*IF(Settings!$B$23=Settings!$C$6,1,IF(Settings!$B$23="USD",1/INDEX(Settings!$B$29:$B$40,MONTH(A6923)),INDEX(Settings!$B$29:$B$40,MONTH(A6923)))))</f>
        <v/>
      </c>
    </row>
    <row r="6924" customFormat="false" ht="15" hidden="false" customHeight="false" outlineLevel="0" collapsed="false">
      <c r="H6924" s="0" t="str">
        <f aca="false">IF(B6924="","",IF(COUNTIF(Campaigns!$A$7:$A$300,B6924)&gt;0,"✓","⚠ add to Campaigns tab"))</f>
        <v/>
      </c>
      <c r="I6924" s="84" t="str">
        <f aca="false">IF(C6924="","",C6924*IF(Settings!$B$23=Settings!$C$6,1,IF(Settings!$B$23="USD",1/INDEX(Settings!$B$29:$B$40,MONTH(A6924)),INDEX(Settings!$B$29:$B$40,MONTH(A6924)))))</f>
        <v/>
      </c>
    </row>
    <row r="6925" customFormat="false" ht="15" hidden="false" customHeight="false" outlineLevel="0" collapsed="false">
      <c r="H6925" s="0" t="str">
        <f aca="false">IF(B6925="","",IF(COUNTIF(Campaigns!$A$7:$A$300,B6925)&gt;0,"✓","⚠ add to Campaigns tab"))</f>
        <v/>
      </c>
      <c r="I6925" s="84" t="str">
        <f aca="false">IF(C6925="","",C6925*IF(Settings!$B$23=Settings!$C$6,1,IF(Settings!$B$23="USD",1/INDEX(Settings!$B$29:$B$40,MONTH(A6925)),INDEX(Settings!$B$29:$B$40,MONTH(A6925)))))</f>
        <v/>
      </c>
    </row>
    <row r="6926" customFormat="false" ht="15" hidden="false" customHeight="false" outlineLevel="0" collapsed="false">
      <c r="H6926" s="0" t="str">
        <f aca="false">IF(B6926="","",IF(COUNTIF(Campaigns!$A$7:$A$300,B6926)&gt;0,"✓","⚠ add to Campaigns tab"))</f>
        <v/>
      </c>
      <c r="I6926" s="84" t="str">
        <f aca="false">IF(C6926="","",C6926*IF(Settings!$B$23=Settings!$C$6,1,IF(Settings!$B$23="USD",1/INDEX(Settings!$B$29:$B$40,MONTH(A6926)),INDEX(Settings!$B$29:$B$40,MONTH(A6926)))))</f>
        <v/>
      </c>
    </row>
    <row r="6927" customFormat="false" ht="15" hidden="false" customHeight="false" outlineLevel="0" collapsed="false">
      <c r="H6927" s="0" t="str">
        <f aca="false">IF(B6927="","",IF(COUNTIF(Campaigns!$A$7:$A$300,B6927)&gt;0,"✓","⚠ add to Campaigns tab"))</f>
        <v/>
      </c>
      <c r="I6927" s="84" t="str">
        <f aca="false">IF(C6927="","",C6927*IF(Settings!$B$23=Settings!$C$6,1,IF(Settings!$B$23="USD",1/INDEX(Settings!$B$29:$B$40,MONTH(A6927)),INDEX(Settings!$B$29:$B$40,MONTH(A6927)))))</f>
        <v/>
      </c>
    </row>
    <row r="6928" customFormat="false" ht="15" hidden="false" customHeight="false" outlineLevel="0" collapsed="false">
      <c r="H6928" s="0" t="str">
        <f aca="false">IF(B6928="","",IF(COUNTIF(Campaigns!$A$7:$A$300,B6928)&gt;0,"✓","⚠ add to Campaigns tab"))</f>
        <v/>
      </c>
      <c r="I6928" s="84" t="str">
        <f aca="false">IF(C6928="","",C6928*IF(Settings!$B$23=Settings!$C$6,1,IF(Settings!$B$23="USD",1/INDEX(Settings!$B$29:$B$40,MONTH(A6928)),INDEX(Settings!$B$29:$B$40,MONTH(A6928)))))</f>
        <v/>
      </c>
    </row>
    <row r="6929" customFormat="false" ht="15" hidden="false" customHeight="false" outlineLevel="0" collapsed="false">
      <c r="H6929" s="0" t="str">
        <f aca="false">IF(B6929="","",IF(COUNTIF(Campaigns!$A$7:$A$300,B6929)&gt;0,"✓","⚠ add to Campaigns tab"))</f>
        <v/>
      </c>
      <c r="I6929" s="84" t="str">
        <f aca="false">IF(C6929="","",C6929*IF(Settings!$B$23=Settings!$C$6,1,IF(Settings!$B$23="USD",1/INDEX(Settings!$B$29:$B$40,MONTH(A6929)),INDEX(Settings!$B$29:$B$40,MONTH(A6929)))))</f>
        <v/>
      </c>
    </row>
    <row r="6930" customFormat="false" ht="15" hidden="false" customHeight="false" outlineLevel="0" collapsed="false">
      <c r="H6930" s="0" t="str">
        <f aca="false">IF(B6930="","",IF(COUNTIF(Campaigns!$A$7:$A$300,B6930)&gt;0,"✓","⚠ add to Campaigns tab"))</f>
        <v/>
      </c>
      <c r="I6930" s="84" t="str">
        <f aca="false">IF(C6930="","",C6930*IF(Settings!$B$23=Settings!$C$6,1,IF(Settings!$B$23="USD",1/INDEX(Settings!$B$29:$B$40,MONTH(A6930)),INDEX(Settings!$B$29:$B$40,MONTH(A6930)))))</f>
        <v/>
      </c>
    </row>
    <row r="6931" customFormat="false" ht="15" hidden="false" customHeight="false" outlineLevel="0" collapsed="false">
      <c r="H6931" s="0" t="str">
        <f aca="false">IF(B6931="","",IF(COUNTIF(Campaigns!$A$7:$A$300,B6931)&gt;0,"✓","⚠ add to Campaigns tab"))</f>
        <v/>
      </c>
      <c r="I6931" s="84" t="str">
        <f aca="false">IF(C6931="","",C6931*IF(Settings!$B$23=Settings!$C$6,1,IF(Settings!$B$23="USD",1/INDEX(Settings!$B$29:$B$40,MONTH(A6931)),INDEX(Settings!$B$29:$B$40,MONTH(A6931)))))</f>
        <v/>
      </c>
    </row>
    <row r="6932" customFormat="false" ht="15" hidden="false" customHeight="false" outlineLevel="0" collapsed="false">
      <c r="H6932" s="0" t="str">
        <f aca="false">IF(B6932="","",IF(COUNTIF(Campaigns!$A$7:$A$300,B6932)&gt;0,"✓","⚠ add to Campaigns tab"))</f>
        <v/>
      </c>
      <c r="I6932" s="84" t="str">
        <f aca="false">IF(C6932="","",C6932*IF(Settings!$B$23=Settings!$C$6,1,IF(Settings!$B$23="USD",1/INDEX(Settings!$B$29:$B$40,MONTH(A6932)),INDEX(Settings!$B$29:$B$40,MONTH(A6932)))))</f>
        <v/>
      </c>
    </row>
    <row r="6933" customFormat="false" ht="15" hidden="false" customHeight="false" outlineLevel="0" collapsed="false">
      <c r="H6933" s="0" t="str">
        <f aca="false">IF(B6933="","",IF(COUNTIF(Campaigns!$A$7:$A$300,B6933)&gt;0,"✓","⚠ add to Campaigns tab"))</f>
        <v/>
      </c>
      <c r="I6933" s="84" t="str">
        <f aca="false">IF(C6933="","",C6933*IF(Settings!$B$23=Settings!$C$6,1,IF(Settings!$B$23="USD",1/INDEX(Settings!$B$29:$B$40,MONTH(A6933)),INDEX(Settings!$B$29:$B$40,MONTH(A6933)))))</f>
        <v/>
      </c>
    </row>
    <row r="6934" customFormat="false" ht="15" hidden="false" customHeight="false" outlineLevel="0" collapsed="false">
      <c r="H6934" s="0" t="str">
        <f aca="false">IF(B6934="","",IF(COUNTIF(Campaigns!$A$7:$A$300,B6934)&gt;0,"✓","⚠ add to Campaigns tab"))</f>
        <v/>
      </c>
      <c r="I6934" s="84" t="str">
        <f aca="false">IF(C6934="","",C6934*IF(Settings!$B$23=Settings!$C$6,1,IF(Settings!$B$23="USD",1/INDEX(Settings!$B$29:$B$40,MONTH(A6934)),INDEX(Settings!$B$29:$B$40,MONTH(A6934)))))</f>
        <v/>
      </c>
    </row>
    <row r="6935" customFormat="false" ht="15" hidden="false" customHeight="false" outlineLevel="0" collapsed="false">
      <c r="H6935" s="0" t="str">
        <f aca="false">IF(B6935="","",IF(COUNTIF(Campaigns!$A$7:$A$300,B6935)&gt;0,"✓","⚠ add to Campaigns tab"))</f>
        <v/>
      </c>
      <c r="I6935" s="84" t="str">
        <f aca="false">IF(C6935="","",C6935*IF(Settings!$B$23=Settings!$C$6,1,IF(Settings!$B$23="USD",1/INDEX(Settings!$B$29:$B$40,MONTH(A6935)),INDEX(Settings!$B$29:$B$40,MONTH(A6935)))))</f>
        <v/>
      </c>
    </row>
    <row r="6936" customFormat="false" ht="15" hidden="false" customHeight="false" outlineLevel="0" collapsed="false">
      <c r="H6936" s="0" t="str">
        <f aca="false">IF(B6936="","",IF(COUNTIF(Campaigns!$A$7:$A$300,B6936)&gt;0,"✓","⚠ add to Campaigns tab"))</f>
        <v/>
      </c>
      <c r="I6936" s="84" t="str">
        <f aca="false">IF(C6936="","",C6936*IF(Settings!$B$23=Settings!$C$6,1,IF(Settings!$B$23="USD",1/INDEX(Settings!$B$29:$B$40,MONTH(A6936)),INDEX(Settings!$B$29:$B$40,MONTH(A6936)))))</f>
        <v/>
      </c>
    </row>
    <row r="6937" customFormat="false" ht="15" hidden="false" customHeight="false" outlineLevel="0" collapsed="false">
      <c r="H6937" s="0" t="str">
        <f aca="false">IF(B6937="","",IF(COUNTIF(Campaigns!$A$7:$A$300,B6937)&gt;0,"✓","⚠ add to Campaigns tab"))</f>
        <v/>
      </c>
      <c r="I6937" s="84" t="str">
        <f aca="false">IF(C6937="","",C6937*IF(Settings!$B$23=Settings!$C$6,1,IF(Settings!$B$23="USD",1/INDEX(Settings!$B$29:$B$40,MONTH(A6937)),INDEX(Settings!$B$29:$B$40,MONTH(A6937)))))</f>
        <v/>
      </c>
    </row>
    <row r="6938" customFormat="false" ht="15" hidden="false" customHeight="false" outlineLevel="0" collapsed="false">
      <c r="H6938" s="0" t="str">
        <f aca="false">IF(B6938="","",IF(COUNTIF(Campaigns!$A$7:$A$300,B6938)&gt;0,"✓","⚠ add to Campaigns tab"))</f>
        <v/>
      </c>
      <c r="I6938" s="84" t="str">
        <f aca="false">IF(C6938="","",C6938*IF(Settings!$B$23=Settings!$C$6,1,IF(Settings!$B$23="USD",1/INDEX(Settings!$B$29:$B$40,MONTH(A6938)),INDEX(Settings!$B$29:$B$40,MONTH(A6938)))))</f>
        <v/>
      </c>
    </row>
    <row r="6939" customFormat="false" ht="15" hidden="false" customHeight="false" outlineLevel="0" collapsed="false">
      <c r="H6939" s="0" t="str">
        <f aca="false">IF(B6939="","",IF(COUNTIF(Campaigns!$A$7:$A$300,B6939)&gt;0,"✓","⚠ add to Campaigns tab"))</f>
        <v/>
      </c>
      <c r="I6939" s="84" t="str">
        <f aca="false">IF(C6939="","",C6939*IF(Settings!$B$23=Settings!$C$6,1,IF(Settings!$B$23="USD",1/INDEX(Settings!$B$29:$B$40,MONTH(A6939)),INDEX(Settings!$B$29:$B$40,MONTH(A6939)))))</f>
        <v/>
      </c>
    </row>
    <row r="6940" customFormat="false" ht="15" hidden="false" customHeight="false" outlineLevel="0" collapsed="false">
      <c r="H6940" s="0" t="str">
        <f aca="false">IF(B6940="","",IF(COUNTIF(Campaigns!$A$7:$A$300,B6940)&gt;0,"✓","⚠ add to Campaigns tab"))</f>
        <v/>
      </c>
      <c r="I6940" s="84" t="str">
        <f aca="false">IF(C6940="","",C6940*IF(Settings!$B$23=Settings!$C$6,1,IF(Settings!$B$23="USD",1/INDEX(Settings!$B$29:$B$40,MONTH(A6940)),INDEX(Settings!$B$29:$B$40,MONTH(A6940)))))</f>
        <v/>
      </c>
    </row>
    <row r="6941" customFormat="false" ht="15" hidden="false" customHeight="false" outlineLevel="0" collapsed="false">
      <c r="H6941" s="0" t="str">
        <f aca="false">IF(B6941="","",IF(COUNTIF(Campaigns!$A$7:$A$300,B6941)&gt;0,"✓","⚠ add to Campaigns tab"))</f>
        <v/>
      </c>
      <c r="I6941" s="84" t="str">
        <f aca="false">IF(C6941="","",C6941*IF(Settings!$B$23=Settings!$C$6,1,IF(Settings!$B$23="USD",1/INDEX(Settings!$B$29:$B$40,MONTH(A6941)),INDEX(Settings!$B$29:$B$40,MONTH(A6941)))))</f>
        <v/>
      </c>
    </row>
    <row r="6942" customFormat="false" ht="15" hidden="false" customHeight="false" outlineLevel="0" collapsed="false">
      <c r="H6942" s="0" t="str">
        <f aca="false">IF(B6942="","",IF(COUNTIF(Campaigns!$A$7:$A$300,B6942)&gt;0,"✓","⚠ add to Campaigns tab"))</f>
        <v/>
      </c>
      <c r="I6942" s="84" t="str">
        <f aca="false">IF(C6942="","",C6942*IF(Settings!$B$23=Settings!$C$6,1,IF(Settings!$B$23="USD",1/INDEX(Settings!$B$29:$B$40,MONTH(A6942)),INDEX(Settings!$B$29:$B$40,MONTH(A6942)))))</f>
        <v/>
      </c>
    </row>
    <row r="6943" customFormat="false" ht="15" hidden="false" customHeight="false" outlineLevel="0" collapsed="false">
      <c r="H6943" s="0" t="str">
        <f aca="false">IF(B6943="","",IF(COUNTIF(Campaigns!$A$7:$A$300,B6943)&gt;0,"✓","⚠ add to Campaigns tab"))</f>
        <v/>
      </c>
      <c r="I6943" s="84" t="str">
        <f aca="false">IF(C6943="","",C6943*IF(Settings!$B$23=Settings!$C$6,1,IF(Settings!$B$23="USD",1/INDEX(Settings!$B$29:$B$40,MONTH(A6943)),INDEX(Settings!$B$29:$B$40,MONTH(A6943)))))</f>
        <v/>
      </c>
    </row>
    <row r="6944" customFormat="false" ht="15" hidden="false" customHeight="false" outlineLevel="0" collapsed="false">
      <c r="H6944" s="0" t="str">
        <f aca="false">IF(B6944="","",IF(COUNTIF(Campaigns!$A$7:$A$300,B6944)&gt;0,"✓","⚠ add to Campaigns tab"))</f>
        <v/>
      </c>
      <c r="I6944" s="84" t="str">
        <f aca="false">IF(C6944="","",C6944*IF(Settings!$B$23=Settings!$C$6,1,IF(Settings!$B$23="USD",1/INDEX(Settings!$B$29:$B$40,MONTH(A6944)),INDEX(Settings!$B$29:$B$40,MONTH(A6944)))))</f>
        <v/>
      </c>
    </row>
    <row r="6945" customFormat="false" ht="15" hidden="false" customHeight="false" outlineLevel="0" collapsed="false">
      <c r="H6945" s="0" t="str">
        <f aca="false">IF(B6945="","",IF(COUNTIF(Campaigns!$A$7:$A$300,B6945)&gt;0,"✓","⚠ add to Campaigns tab"))</f>
        <v/>
      </c>
      <c r="I6945" s="84" t="str">
        <f aca="false">IF(C6945="","",C6945*IF(Settings!$B$23=Settings!$C$6,1,IF(Settings!$B$23="USD",1/INDEX(Settings!$B$29:$B$40,MONTH(A6945)),INDEX(Settings!$B$29:$B$40,MONTH(A6945)))))</f>
        <v/>
      </c>
    </row>
    <row r="6946" customFormat="false" ht="15" hidden="false" customHeight="false" outlineLevel="0" collapsed="false">
      <c r="H6946" s="0" t="str">
        <f aca="false">IF(B6946="","",IF(COUNTIF(Campaigns!$A$7:$A$300,B6946)&gt;0,"✓","⚠ add to Campaigns tab"))</f>
        <v/>
      </c>
      <c r="I6946" s="84" t="str">
        <f aca="false">IF(C6946="","",C6946*IF(Settings!$B$23=Settings!$C$6,1,IF(Settings!$B$23="USD",1/INDEX(Settings!$B$29:$B$40,MONTH(A6946)),INDEX(Settings!$B$29:$B$40,MONTH(A6946)))))</f>
        <v/>
      </c>
    </row>
    <row r="6947" customFormat="false" ht="15" hidden="false" customHeight="false" outlineLevel="0" collapsed="false">
      <c r="H6947" s="0" t="str">
        <f aca="false">IF(B6947="","",IF(COUNTIF(Campaigns!$A$7:$A$300,B6947)&gt;0,"✓","⚠ add to Campaigns tab"))</f>
        <v/>
      </c>
      <c r="I6947" s="84" t="str">
        <f aca="false">IF(C6947="","",C6947*IF(Settings!$B$23=Settings!$C$6,1,IF(Settings!$B$23="USD",1/INDEX(Settings!$B$29:$B$40,MONTH(A6947)),INDEX(Settings!$B$29:$B$40,MONTH(A6947)))))</f>
        <v/>
      </c>
    </row>
    <row r="6948" customFormat="false" ht="15" hidden="false" customHeight="false" outlineLevel="0" collapsed="false">
      <c r="H6948" s="0" t="str">
        <f aca="false">IF(B6948="","",IF(COUNTIF(Campaigns!$A$7:$A$300,B6948)&gt;0,"✓","⚠ add to Campaigns tab"))</f>
        <v/>
      </c>
      <c r="I6948" s="84" t="str">
        <f aca="false">IF(C6948="","",C6948*IF(Settings!$B$23=Settings!$C$6,1,IF(Settings!$B$23="USD",1/INDEX(Settings!$B$29:$B$40,MONTH(A6948)),INDEX(Settings!$B$29:$B$40,MONTH(A6948)))))</f>
        <v/>
      </c>
    </row>
    <row r="6949" customFormat="false" ht="15" hidden="false" customHeight="false" outlineLevel="0" collapsed="false">
      <c r="H6949" s="0" t="str">
        <f aca="false">IF(B6949="","",IF(COUNTIF(Campaigns!$A$7:$A$300,B6949)&gt;0,"✓","⚠ add to Campaigns tab"))</f>
        <v/>
      </c>
      <c r="I6949" s="84" t="str">
        <f aca="false">IF(C6949="","",C6949*IF(Settings!$B$23=Settings!$C$6,1,IF(Settings!$B$23="USD",1/INDEX(Settings!$B$29:$B$40,MONTH(A6949)),INDEX(Settings!$B$29:$B$40,MONTH(A6949)))))</f>
        <v/>
      </c>
    </row>
    <row r="6950" customFormat="false" ht="15" hidden="false" customHeight="false" outlineLevel="0" collapsed="false">
      <c r="H6950" s="0" t="str">
        <f aca="false">IF(B6950="","",IF(COUNTIF(Campaigns!$A$7:$A$300,B6950)&gt;0,"✓","⚠ add to Campaigns tab"))</f>
        <v/>
      </c>
      <c r="I6950" s="84" t="str">
        <f aca="false">IF(C6950="","",C6950*IF(Settings!$B$23=Settings!$C$6,1,IF(Settings!$B$23="USD",1/INDEX(Settings!$B$29:$B$40,MONTH(A6950)),INDEX(Settings!$B$29:$B$40,MONTH(A6950)))))</f>
        <v/>
      </c>
    </row>
    <row r="6951" customFormat="false" ht="15" hidden="false" customHeight="false" outlineLevel="0" collapsed="false">
      <c r="H6951" s="0" t="str">
        <f aca="false">IF(B6951="","",IF(COUNTIF(Campaigns!$A$7:$A$300,B6951)&gt;0,"✓","⚠ add to Campaigns tab"))</f>
        <v/>
      </c>
      <c r="I6951" s="84" t="str">
        <f aca="false">IF(C6951="","",C6951*IF(Settings!$B$23=Settings!$C$6,1,IF(Settings!$B$23="USD",1/INDEX(Settings!$B$29:$B$40,MONTH(A6951)),INDEX(Settings!$B$29:$B$40,MONTH(A6951)))))</f>
        <v/>
      </c>
    </row>
    <row r="6952" customFormat="false" ht="15" hidden="false" customHeight="false" outlineLevel="0" collapsed="false">
      <c r="H6952" s="0" t="str">
        <f aca="false">IF(B6952="","",IF(COUNTIF(Campaigns!$A$7:$A$300,B6952)&gt;0,"✓","⚠ add to Campaigns tab"))</f>
        <v/>
      </c>
      <c r="I6952" s="84" t="str">
        <f aca="false">IF(C6952="","",C6952*IF(Settings!$B$23=Settings!$C$6,1,IF(Settings!$B$23="USD",1/INDEX(Settings!$B$29:$B$40,MONTH(A6952)),INDEX(Settings!$B$29:$B$40,MONTH(A6952)))))</f>
        <v/>
      </c>
    </row>
    <row r="6953" customFormat="false" ht="15" hidden="false" customHeight="false" outlineLevel="0" collapsed="false">
      <c r="H6953" s="0" t="str">
        <f aca="false">IF(B6953="","",IF(COUNTIF(Campaigns!$A$7:$A$300,B6953)&gt;0,"✓","⚠ add to Campaigns tab"))</f>
        <v/>
      </c>
      <c r="I6953" s="84" t="str">
        <f aca="false">IF(C6953="","",C6953*IF(Settings!$B$23=Settings!$C$6,1,IF(Settings!$B$23="USD",1/INDEX(Settings!$B$29:$B$40,MONTH(A6953)),INDEX(Settings!$B$29:$B$40,MONTH(A6953)))))</f>
        <v/>
      </c>
    </row>
    <row r="6954" customFormat="false" ht="15" hidden="false" customHeight="false" outlineLevel="0" collapsed="false">
      <c r="H6954" s="0" t="str">
        <f aca="false">IF(B6954="","",IF(COUNTIF(Campaigns!$A$7:$A$300,B6954)&gt;0,"✓","⚠ add to Campaigns tab"))</f>
        <v/>
      </c>
      <c r="I6954" s="84" t="str">
        <f aca="false">IF(C6954="","",C6954*IF(Settings!$B$23=Settings!$C$6,1,IF(Settings!$B$23="USD",1/INDEX(Settings!$B$29:$B$40,MONTH(A6954)),INDEX(Settings!$B$29:$B$40,MONTH(A6954)))))</f>
        <v/>
      </c>
    </row>
    <row r="6955" customFormat="false" ht="15" hidden="false" customHeight="false" outlineLevel="0" collapsed="false">
      <c r="H6955" s="0" t="str">
        <f aca="false">IF(B6955="","",IF(COUNTIF(Campaigns!$A$7:$A$300,B6955)&gt;0,"✓","⚠ add to Campaigns tab"))</f>
        <v/>
      </c>
      <c r="I6955" s="84" t="str">
        <f aca="false">IF(C6955="","",C6955*IF(Settings!$B$23=Settings!$C$6,1,IF(Settings!$B$23="USD",1/INDEX(Settings!$B$29:$B$40,MONTH(A6955)),INDEX(Settings!$B$29:$B$40,MONTH(A6955)))))</f>
        <v/>
      </c>
    </row>
    <row r="6956" customFormat="false" ht="15" hidden="false" customHeight="false" outlineLevel="0" collapsed="false">
      <c r="H6956" s="0" t="str">
        <f aca="false">IF(B6956="","",IF(COUNTIF(Campaigns!$A$7:$A$300,B6956)&gt;0,"✓","⚠ add to Campaigns tab"))</f>
        <v/>
      </c>
      <c r="I6956" s="84" t="str">
        <f aca="false">IF(C6956="","",C6956*IF(Settings!$B$23=Settings!$C$6,1,IF(Settings!$B$23="USD",1/INDEX(Settings!$B$29:$B$40,MONTH(A6956)),INDEX(Settings!$B$29:$B$40,MONTH(A6956)))))</f>
        <v/>
      </c>
    </row>
    <row r="6957" customFormat="false" ht="15" hidden="false" customHeight="false" outlineLevel="0" collapsed="false">
      <c r="H6957" s="0" t="str">
        <f aca="false">IF(B6957="","",IF(COUNTIF(Campaigns!$A$7:$A$300,B6957)&gt;0,"✓","⚠ add to Campaigns tab"))</f>
        <v/>
      </c>
      <c r="I6957" s="84" t="str">
        <f aca="false">IF(C6957="","",C6957*IF(Settings!$B$23=Settings!$C$6,1,IF(Settings!$B$23="USD",1/INDEX(Settings!$B$29:$B$40,MONTH(A6957)),INDEX(Settings!$B$29:$B$40,MONTH(A6957)))))</f>
        <v/>
      </c>
    </row>
    <row r="6958" customFormat="false" ht="15" hidden="false" customHeight="false" outlineLevel="0" collapsed="false">
      <c r="H6958" s="0" t="str">
        <f aca="false">IF(B6958="","",IF(COUNTIF(Campaigns!$A$7:$A$300,B6958)&gt;0,"✓","⚠ add to Campaigns tab"))</f>
        <v/>
      </c>
      <c r="I6958" s="84" t="str">
        <f aca="false">IF(C6958="","",C6958*IF(Settings!$B$23=Settings!$C$6,1,IF(Settings!$B$23="USD",1/INDEX(Settings!$B$29:$B$40,MONTH(A6958)),INDEX(Settings!$B$29:$B$40,MONTH(A6958)))))</f>
        <v/>
      </c>
    </row>
    <row r="6959" customFormat="false" ht="15" hidden="false" customHeight="false" outlineLevel="0" collapsed="false">
      <c r="H6959" s="0" t="str">
        <f aca="false">IF(B6959="","",IF(COUNTIF(Campaigns!$A$7:$A$300,B6959)&gt;0,"✓","⚠ add to Campaigns tab"))</f>
        <v/>
      </c>
      <c r="I6959" s="84" t="str">
        <f aca="false">IF(C6959="","",C6959*IF(Settings!$B$23=Settings!$C$6,1,IF(Settings!$B$23="USD",1/INDEX(Settings!$B$29:$B$40,MONTH(A6959)),INDEX(Settings!$B$29:$B$40,MONTH(A6959)))))</f>
        <v/>
      </c>
    </row>
    <row r="6960" customFormat="false" ht="15" hidden="false" customHeight="false" outlineLevel="0" collapsed="false">
      <c r="H6960" s="0" t="str">
        <f aca="false">IF(B6960="","",IF(COUNTIF(Campaigns!$A$7:$A$300,B6960)&gt;0,"✓","⚠ add to Campaigns tab"))</f>
        <v/>
      </c>
      <c r="I6960" s="84" t="str">
        <f aca="false">IF(C6960="","",C6960*IF(Settings!$B$23=Settings!$C$6,1,IF(Settings!$B$23="USD",1/INDEX(Settings!$B$29:$B$40,MONTH(A6960)),INDEX(Settings!$B$29:$B$40,MONTH(A6960)))))</f>
        <v/>
      </c>
    </row>
    <row r="6961" customFormat="false" ht="15" hidden="false" customHeight="false" outlineLevel="0" collapsed="false">
      <c r="H6961" s="0" t="str">
        <f aca="false">IF(B6961="","",IF(COUNTIF(Campaigns!$A$7:$A$300,B6961)&gt;0,"✓","⚠ add to Campaigns tab"))</f>
        <v/>
      </c>
      <c r="I6961" s="84" t="str">
        <f aca="false">IF(C6961="","",C6961*IF(Settings!$B$23=Settings!$C$6,1,IF(Settings!$B$23="USD",1/INDEX(Settings!$B$29:$B$40,MONTH(A6961)),INDEX(Settings!$B$29:$B$40,MONTH(A6961)))))</f>
        <v/>
      </c>
    </row>
    <row r="6962" customFormat="false" ht="15" hidden="false" customHeight="false" outlineLevel="0" collapsed="false">
      <c r="H6962" s="0" t="str">
        <f aca="false">IF(B6962="","",IF(COUNTIF(Campaigns!$A$7:$A$300,B6962)&gt;0,"✓","⚠ add to Campaigns tab"))</f>
        <v/>
      </c>
      <c r="I6962" s="84" t="str">
        <f aca="false">IF(C6962="","",C6962*IF(Settings!$B$23=Settings!$C$6,1,IF(Settings!$B$23="USD",1/INDEX(Settings!$B$29:$B$40,MONTH(A6962)),INDEX(Settings!$B$29:$B$40,MONTH(A6962)))))</f>
        <v/>
      </c>
    </row>
    <row r="6963" customFormat="false" ht="15" hidden="false" customHeight="false" outlineLevel="0" collapsed="false">
      <c r="H6963" s="0" t="str">
        <f aca="false">IF(B6963="","",IF(COUNTIF(Campaigns!$A$7:$A$300,B6963)&gt;0,"✓","⚠ add to Campaigns tab"))</f>
        <v/>
      </c>
      <c r="I6963" s="84" t="str">
        <f aca="false">IF(C6963="","",C6963*IF(Settings!$B$23=Settings!$C$6,1,IF(Settings!$B$23="USD",1/INDEX(Settings!$B$29:$B$40,MONTH(A6963)),INDEX(Settings!$B$29:$B$40,MONTH(A6963)))))</f>
        <v/>
      </c>
    </row>
    <row r="6964" customFormat="false" ht="15" hidden="false" customHeight="false" outlineLevel="0" collapsed="false">
      <c r="H6964" s="0" t="str">
        <f aca="false">IF(B6964="","",IF(COUNTIF(Campaigns!$A$7:$A$300,B6964)&gt;0,"✓","⚠ add to Campaigns tab"))</f>
        <v/>
      </c>
      <c r="I6964" s="84" t="str">
        <f aca="false">IF(C6964="","",C6964*IF(Settings!$B$23=Settings!$C$6,1,IF(Settings!$B$23="USD",1/INDEX(Settings!$B$29:$B$40,MONTH(A6964)),INDEX(Settings!$B$29:$B$40,MONTH(A6964)))))</f>
        <v/>
      </c>
    </row>
    <row r="6965" customFormat="false" ht="15" hidden="false" customHeight="false" outlineLevel="0" collapsed="false">
      <c r="H6965" s="0" t="str">
        <f aca="false">IF(B6965="","",IF(COUNTIF(Campaigns!$A$7:$A$300,B6965)&gt;0,"✓","⚠ add to Campaigns tab"))</f>
        <v/>
      </c>
      <c r="I6965" s="84" t="str">
        <f aca="false">IF(C6965="","",C6965*IF(Settings!$B$23=Settings!$C$6,1,IF(Settings!$B$23="USD",1/INDEX(Settings!$B$29:$B$40,MONTH(A6965)),INDEX(Settings!$B$29:$B$40,MONTH(A6965)))))</f>
        <v/>
      </c>
    </row>
    <row r="6966" customFormat="false" ht="15" hidden="false" customHeight="false" outlineLevel="0" collapsed="false">
      <c r="H6966" s="0" t="str">
        <f aca="false">IF(B6966="","",IF(COUNTIF(Campaigns!$A$7:$A$300,B6966)&gt;0,"✓","⚠ add to Campaigns tab"))</f>
        <v/>
      </c>
      <c r="I6966" s="84" t="str">
        <f aca="false">IF(C6966="","",C6966*IF(Settings!$B$23=Settings!$C$6,1,IF(Settings!$B$23="USD",1/INDEX(Settings!$B$29:$B$40,MONTH(A6966)),INDEX(Settings!$B$29:$B$40,MONTH(A6966)))))</f>
        <v/>
      </c>
    </row>
    <row r="6967" customFormat="false" ht="15" hidden="false" customHeight="false" outlineLevel="0" collapsed="false">
      <c r="H6967" s="0" t="str">
        <f aca="false">IF(B6967="","",IF(COUNTIF(Campaigns!$A$7:$A$300,B6967)&gt;0,"✓","⚠ add to Campaigns tab"))</f>
        <v/>
      </c>
      <c r="I6967" s="84" t="str">
        <f aca="false">IF(C6967="","",C6967*IF(Settings!$B$23=Settings!$C$6,1,IF(Settings!$B$23="USD",1/INDEX(Settings!$B$29:$B$40,MONTH(A6967)),INDEX(Settings!$B$29:$B$40,MONTH(A6967)))))</f>
        <v/>
      </c>
    </row>
    <row r="6968" customFormat="false" ht="15" hidden="false" customHeight="false" outlineLevel="0" collapsed="false">
      <c r="H6968" s="0" t="str">
        <f aca="false">IF(B6968="","",IF(COUNTIF(Campaigns!$A$7:$A$300,B6968)&gt;0,"✓","⚠ add to Campaigns tab"))</f>
        <v/>
      </c>
      <c r="I6968" s="84" t="str">
        <f aca="false">IF(C6968="","",C6968*IF(Settings!$B$23=Settings!$C$6,1,IF(Settings!$B$23="USD",1/INDEX(Settings!$B$29:$B$40,MONTH(A6968)),INDEX(Settings!$B$29:$B$40,MONTH(A6968)))))</f>
        <v/>
      </c>
    </row>
    <row r="6969" customFormat="false" ht="15" hidden="false" customHeight="false" outlineLevel="0" collapsed="false">
      <c r="H6969" s="0" t="str">
        <f aca="false">IF(B6969="","",IF(COUNTIF(Campaigns!$A$7:$A$300,B6969)&gt;0,"✓","⚠ add to Campaigns tab"))</f>
        <v/>
      </c>
      <c r="I6969" s="84" t="str">
        <f aca="false">IF(C6969="","",C6969*IF(Settings!$B$23=Settings!$C$6,1,IF(Settings!$B$23="USD",1/INDEX(Settings!$B$29:$B$40,MONTH(A6969)),INDEX(Settings!$B$29:$B$40,MONTH(A6969)))))</f>
        <v/>
      </c>
    </row>
    <row r="6970" customFormat="false" ht="15" hidden="false" customHeight="false" outlineLevel="0" collapsed="false">
      <c r="H6970" s="0" t="str">
        <f aca="false">IF(B6970="","",IF(COUNTIF(Campaigns!$A$7:$A$300,B6970)&gt;0,"✓","⚠ add to Campaigns tab"))</f>
        <v/>
      </c>
      <c r="I6970" s="84" t="str">
        <f aca="false">IF(C6970="","",C6970*IF(Settings!$B$23=Settings!$C$6,1,IF(Settings!$B$23="USD",1/INDEX(Settings!$B$29:$B$40,MONTH(A6970)),INDEX(Settings!$B$29:$B$40,MONTH(A6970)))))</f>
        <v/>
      </c>
    </row>
    <row r="6971" customFormat="false" ht="15" hidden="false" customHeight="false" outlineLevel="0" collapsed="false">
      <c r="H6971" s="0" t="str">
        <f aca="false">IF(B6971="","",IF(COUNTIF(Campaigns!$A$7:$A$300,B6971)&gt;0,"✓","⚠ add to Campaigns tab"))</f>
        <v/>
      </c>
      <c r="I6971" s="84" t="str">
        <f aca="false">IF(C6971="","",C6971*IF(Settings!$B$23=Settings!$C$6,1,IF(Settings!$B$23="USD",1/INDEX(Settings!$B$29:$B$40,MONTH(A6971)),INDEX(Settings!$B$29:$B$40,MONTH(A6971)))))</f>
        <v/>
      </c>
    </row>
    <row r="6972" customFormat="false" ht="15" hidden="false" customHeight="false" outlineLevel="0" collapsed="false">
      <c r="H6972" s="0" t="str">
        <f aca="false">IF(B6972="","",IF(COUNTIF(Campaigns!$A$7:$A$300,B6972)&gt;0,"✓","⚠ add to Campaigns tab"))</f>
        <v/>
      </c>
      <c r="I6972" s="84" t="str">
        <f aca="false">IF(C6972="","",C6972*IF(Settings!$B$23=Settings!$C$6,1,IF(Settings!$B$23="USD",1/INDEX(Settings!$B$29:$B$40,MONTH(A6972)),INDEX(Settings!$B$29:$B$40,MONTH(A6972)))))</f>
        <v/>
      </c>
    </row>
    <row r="6973" customFormat="false" ht="15" hidden="false" customHeight="false" outlineLevel="0" collapsed="false">
      <c r="H6973" s="0" t="str">
        <f aca="false">IF(B6973="","",IF(COUNTIF(Campaigns!$A$7:$A$300,B6973)&gt;0,"✓","⚠ add to Campaigns tab"))</f>
        <v/>
      </c>
      <c r="I6973" s="84" t="str">
        <f aca="false">IF(C6973="","",C6973*IF(Settings!$B$23=Settings!$C$6,1,IF(Settings!$B$23="USD",1/INDEX(Settings!$B$29:$B$40,MONTH(A6973)),INDEX(Settings!$B$29:$B$40,MONTH(A6973)))))</f>
        <v/>
      </c>
    </row>
    <row r="6974" customFormat="false" ht="15" hidden="false" customHeight="false" outlineLevel="0" collapsed="false">
      <c r="H6974" s="0" t="str">
        <f aca="false">IF(B6974="","",IF(COUNTIF(Campaigns!$A$7:$A$300,B6974)&gt;0,"✓","⚠ add to Campaigns tab"))</f>
        <v/>
      </c>
      <c r="I6974" s="84" t="str">
        <f aca="false">IF(C6974="","",C6974*IF(Settings!$B$23=Settings!$C$6,1,IF(Settings!$B$23="USD",1/INDEX(Settings!$B$29:$B$40,MONTH(A6974)),INDEX(Settings!$B$29:$B$40,MONTH(A6974)))))</f>
        <v/>
      </c>
    </row>
    <row r="6975" customFormat="false" ht="15" hidden="false" customHeight="false" outlineLevel="0" collapsed="false">
      <c r="H6975" s="0" t="str">
        <f aca="false">IF(B6975="","",IF(COUNTIF(Campaigns!$A$7:$A$300,B6975)&gt;0,"✓","⚠ add to Campaigns tab"))</f>
        <v/>
      </c>
      <c r="I6975" s="84" t="str">
        <f aca="false">IF(C6975="","",C6975*IF(Settings!$B$23=Settings!$C$6,1,IF(Settings!$B$23="USD",1/INDEX(Settings!$B$29:$B$40,MONTH(A6975)),INDEX(Settings!$B$29:$B$40,MONTH(A6975)))))</f>
        <v/>
      </c>
    </row>
    <row r="6976" customFormat="false" ht="15" hidden="false" customHeight="false" outlineLevel="0" collapsed="false">
      <c r="H6976" s="0" t="str">
        <f aca="false">IF(B6976="","",IF(COUNTIF(Campaigns!$A$7:$A$300,B6976)&gt;0,"✓","⚠ add to Campaigns tab"))</f>
        <v/>
      </c>
      <c r="I6976" s="84" t="str">
        <f aca="false">IF(C6976="","",C6976*IF(Settings!$B$23=Settings!$C$6,1,IF(Settings!$B$23="USD",1/INDEX(Settings!$B$29:$B$40,MONTH(A6976)),INDEX(Settings!$B$29:$B$40,MONTH(A6976)))))</f>
        <v/>
      </c>
    </row>
    <row r="6977" customFormat="false" ht="15" hidden="false" customHeight="false" outlineLevel="0" collapsed="false">
      <c r="H6977" s="0" t="str">
        <f aca="false">IF(B6977="","",IF(COUNTIF(Campaigns!$A$7:$A$300,B6977)&gt;0,"✓","⚠ add to Campaigns tab"))</f>
        <v/>
      </c>
      <c r="I6977" s="84" t="str">
        <f aca="false">IF(C6977="","",C6977*IF(Settings!$B$23=Settings!$C$6,1,IF(Settings!$B$23="USD",1/INDEX(Settings!$B$29:$B$40,MONTH(A6977)),INDEX(Settings!$B$29:$B$40,MONTH(A6977)))))</f>
        <v/>
      </c>
    </row>
    <row r="6978" customFormat="false" ht="15" hidden="false" customHeight="false" outlineLevel="0" collapsed="false">
      <c r="H6978" s="0" t="str">
        <f aca="false">IF(B6978="","",IF(COUNTIF(Campaigns!$A$7:$A$300,B6978)&gt;0,"✓","⚠ add to Campaigns tab"))</f>
        <v/>
      </c>
      <c r="I6978" s="84" t="str">
        <f aca="false">IF(C6978="","",C6978*IF(Settings!$B$23=Settings!$C$6,1,IF(Settings!$B$23="USD",1/INDEX(Settings!$B$29:$B$40,MONTH(A6978)),INDEX(Settings!$B$29:$B$40,MONTH(A6978)))))</f>
        <v/>
      </c>
    </row>
    <row r="6979" customFormat="false" ht="15" hidden="false" customHeight="false" outlineLevel="0" collapsed="false">
      <c r="H6979" s="0" t="str">
        <f aca="false">IF(B6979="","",IF(COUNTIF(Campaigns!$A$7:$A$300,B6979)&gt;0,"✓","⚠ add to Campaigns tab"))</f>
        <v/>
      </c>
      <c r="I6979" s="84" t="str">
        <f aca="false">IF(C6979="","",C6979*IF(Settings!$B$23=Settings!$C$6,1,IF(Settings!$B$23="USD",1/INDEX(Settings!$B$29:$B$40,MONTH(A6979)),INDEX(Settings!$B$29:$B$40,MONTH(A6979)))))</f>
        <v/>
      </c>
    </row>
    <row r="6980" customFormat="false" ht="15" hidden="false" customHeight="false" outlineLevel="0" collapsed="false">
      <c r="H6980" s="0" t="str">
        <f aca="false">IF(B6980="","",IF(COUNTIF(Campaigns!$A$7:$A$300,B6980)&gt;0,"✓","⚠ add to Campaigns tab"))</f>
        <v/>
      </c>
      <c r="I6980" s="84" t="str">
        <f aca="false">IF(C6980="","",C6980*IF(Settings!$B$23=Settings!$C$6,1,IF(Settings!$B$23="USD",1/INDEX(Settings!$B$29:$B$40,MONTH(A6980)),INDEX(Settings!$B$29:$B$40,MONTH(A6980)))))</f>
        <v/>
      </c>
    </row>
    <row r="6981" customFormat="false" ht="15" hidden="false" customHeight="false" outlineLevel="0" collapsed="false">
      <c r="H6981" s="0" t="str">
        <f aca="false">IF(B6981="","",IF(COUNTIF(Campaigns!$A$7:$A$300,B6981)&gt;0,"✓","⚠ add to Campaigns tab"))</f>
        <v/>
      </c>
      <c r="I6981" s="84" t="str">
        <f aca="false">IF(C6981="","",C6981*IF(Settings!$B$23=Settings!$C$6,1,IF(Settings!$B$23="USD",1/INDEX(Settings!$B$29:$B$40,MONTH(A6981)),INDEX(Settings!$B$29:$B$40,MONTH(A6981)))))</f>
        <v/>
      </c>
    </row>
    <row r="6982" customFormat="false" ht="15" hidden="false" customHeight="false" outlineLevel="0" collapsed="false">
      <c r="H6982" s="0" t="str">
        <f aca="false">IF(B6982="","",IF(COUNTIF(Campaigns!$A$7:$A$300,B6982)&gt;0,"✓","⚠ add to Campaigns tab"))</f>
        <v/>
      </c>
      <c r="I6982" s="84" t="str">
        <f aca="false">IF(C6982="","",C6982*IF(Settings!$B$23=Settings!$C$6,1,IF(Settings!$B$23="USD",1/INDEX(Settings!$B$29:$B$40,MONTH(A6982)),INDEX(Settings!$B$29:$B$40,MONTH(A6982)))))</f>
        <v/>
      </c>
    </row>
    <row r="6983" customFormat="false" ht="15" hidden="false" customHeight="false" outlineLevel="0" collapsed="false">
      <c r="H6983" s="0" t="str">
        <f aca="false">IF(B6983="","",IF(COUNTIF(Campaigns!$A$7:$A$300,B6983)&gt;0,"✓","⚠ add to Campaigns tab"))</f>
        <v/>
      </c>
      <c r="I6983" s="84" t="str">
        <f aca="false">IF(C6983="","",C6983*IF(Settings!$B$23=Settings!$C$6,1,IF(Settings!$B$23="USD",1/INDEX(Settings!$B$29:$B$40,MONTH(A6983)),INDEX(Settings!$B$29:$B$40,MONTH(A6983)))))</f>
        <v/>
      </c>
    </row>
    <row r="6984" customFormat="false" ht="15" hidden="false" customHeight="false" outlineLevel="0" collapsed="false">
      <c r="H6984" s="0" t="str">
        <f aca="false">IF(B6984="","",IF(COUNTIF(Campaigns!$A$7:$A$300,B6984)&gt;0,"✓","⚠ add to Campaigns tab"))</f>
        <v/>
      </c>
      <c r="I6984" s="84" t="str">
        <f aca="false">IF(C6984="","",C6984*IF(Settings!$B$23=Settings!$C$6,1,IF(Settings!$B$23="USD",1/INDEX(Settings!$B$29:$B$40,MONTH(A6984)),INDEX(Settings!$B$29:$B$40,MONTH(A6984)))))</f>
        <v/>
      </c>
    </row>
    <row r="6985" customFormat="false" ht="15" hidden="false" customHeight="false" outlineLevel="0" collapsed="false">
      <c r="H6985" s="0" t="str">
        <f aca="false">IF(B6985="","",IF(COUNTIF(Campaigns!$A$7:$A$300,B6985)&gt;0,"✓","⚠ add to Campaigns tab"))</f>
        <v/>
      </c>
      <c r="I6985" s="84" t="str">
        <f aca="false">IF(C6985="","",C6985*IF(Settings!$B$23=Settings!$C$6,1,IF(Settings!$B$23="USD",1/INDEX(Settings!$B$29:$B$40,MONTH(A6985)),INDEX(Settings!$B$29:$B$40,MONTH(A6985)))))</f>
        <v/>
      </c>
    </row>
    <row r="6986" customFormat="false" ht="15" hidden="false" customHeight="false" outlineLevel="0" collapsed="false">
      <c r="H6986" s="0" t="str">
        <f aca="false">IF(B6986="","",IF(COUNTIF(Campaigns!$A$7:$A$300,B6986)&gt;0,"✓","⚠ add to Campaigns tab"))</f>
        <v/>
      </c>
      <c r="I6986" s="84" t="str">
        <f aca="false">IF(C6986="","",C6986*IF(Settings!$B$23=Settings!$C$6,1,IF(Settings!$B$23="USD",1/INDEX(Settings!$B$29:$B$40,MONTH(A6986)),INDEX(Settings!$B$29:$B$40,MONTH(A6986)))))</f>
        <v/>
      </c>
    </row>
    <row r="6987" customFormat="false" ht="15" hidden="false" customHeight="false" outlineLevel="0" collapsed="false">
      <c r="H6987" s="0" t="str">
        <f aca="false">IF(B6987="","",IF(COUNTIF(Campaigns!$A$7:$A$300,B6987)&gt;0,"✓","⚠ add to Campaigns tab"))</f>
        <v/>
      </c>
      <c r="I6987" s="84" t="str">
        <f aca="false">IF(C6987="","",C6987*IF(Settings!$B$23=Settings!$C$6,1,IF(Settings!$B$23="USD",1/INDEX(Settings!$B$29:$B$40,MONTH(A6987)),INDEX(Settings!$B$29:$B$40,MONTH(A6987)))))</f>
        <v/>
      </c>
    </row>
    <row r="6988" customFormat="false" ht="15" hidden="false" customHeight="false" outlineLevel="0" collapsed="false">
      <c r="H6988" s="0" t="str">
        <f aca="false">IF(B6988="","",IF(COUNTIF(Campaigns!$A$7:$A$300,B6988)&gt;0,"✓","⚠ add to Campaigns tab"))</f>
        <v/>
      </c>
      <c r="I6988" s="84" t="str">
        <f aca="false">IF(C6988="","",C6988*IF(Settings!$B$23=Settings!$C$6,1,IF(Settings!$B$23="USD",1/INDEX(Settings!$B$29:$B$40,MONTH(A6988)),INDEX(Settings!$B$29:$B$40,MONTH(A6988)))))</f>
        <v/>
      </c>
    </row>
    <row r="6989" customFormat="false" ht="15" hidden="false" customHeight="false" outlineLevel="0" collapsed="false">
      <c r="H6989" s="0" t="str">
        <f aca="false">IF(B6989="","",IF(COUNTIF(Campaigns!$A$7:$A$300,B6989)&gt;0,"✓","⚠ add to Campaigns tab"))</f>
        <v/>
      </c>
      <c r="I6989" s="84" t="str">
        <f aca="false">IF(C6989="","",C6989*IF(Settings!$B$23=Settings!$C$6,1,IF(Settings!$B$23="USD",1/INDEX(Settings!$B$29:$B$40,MONTH(A6989)),INDEX(Settings!$B$29:$B$40,MONTH(A6989)))))</f>
        <v/>
      </c>
    </row>
    <row r="6990" customFormat="false" ht="15" hidden="false" customHeight="false" outlineLevel="0" collapsed="false">
      <c r="H6990" s="0" t="str">
        <f aca="false">IF(B6990="","",IF(COUNTIF(Campaigns!$A$7:$A$300,B6990)&gt;0,"✓","⚠ add to Campaigns tab"))</f>
        <v/>
      </c>
      <c r="I6990" s="84" t="str">
        <f aca="false">IF(C6990="","",C6990*IF(Settings!$B$23=Settings!$C$6,1,IF(Settings!$B$23="USD",1/INDEX(Settings!$B$29:$B$40,MONTH(A6990)),INDEX(Settings!$B$29:$B$40,MONTH(A6990)))))</f>
        <v/>
      </c>
    </row>
    <row r="6991" customFormat="false" ht="15" hidden="false" customHeight="false" outlineLevel="0" collapsed="false">
      <c r="H6991" s="0" t="str">
        <f aca="false">IF(B6991="","",IF(COUNTIF(Campaigns!$A$7:$A$300,B6991)&gt;0,"✓","⚠ add to Campaigns tab"))</f>
        <v/>
      </c>
      <c r="I6991" s="84" t="str">
        <f aca="false">IF(C6991="","",C6991*IF(Settings!$B$23=Settings!$C$6,1,IF(Settings!$B$23="USD",1/INDEX(Settings!$B$29:$B$40,MONTH(A6991)),INDEX(Settings!$B$29:$B$40,MONTH(A6991)))))</f>
        <v/>
      </c>
    </row>
    <row r="6992" customFormat="false" ht="15" hidden="false" customHeight="false" outlineLevel="0" collapsed="false">
      <c r="H6992" s="0" t="str">
        <f aca="false">IF(B6992="","",IF(COUNTIF(Campaigns!$A$7:$A$300,B6992)&gt;0,"✓","⚠ add to Campaigns tab"))</f>
        <v/>
      </c>
      <c r="I6992" s="84" t="str">
        <f aca="false">IF(C6992="","",C6992*IF(Settings!$B$23=Settings!$C$6,1,IF(Settings!$B$23="USD",1/INDEX(Settings!$B$29:$B$40,MONTH(A6992)),INDEX(Settings!$B$29:$B$40,MONTH(A6992)))))</f>
        <v/>
      </c>
    </row>
    <row r="6993" customFormat="false" ht="15" hidden="false" customHeight="false" outlineLevel="0" collapsed="false">
      <c r="H6993" s="0" t="str">
        <f aca="false">IF(B6993="","",IF(COUNTIF(Campaigns!$A$7:$A$300,B6993)&gt;0,"✓","⚠ add to Campaigns tab"))</f>
        <v/>
      </c>
      <c r="I6993" s="84" t="str">
        <f aca="false">IF(C6993="","",C6993*IF(Settings!$B$23=Settings!$C$6,1,IF(Settings!$B$23="USD",1/INDEX(Settings!$B$29:$B$40,MONTH(A6993)),INDEX(Settings!$B$29:$B$40,MONTH(A6993)))))</f>
        <v/>
      </c>
    </row>
    <row r="6994" customFormat="false" ht="15" hidden="false" customHeight="false" outlineLevel="0" collapsed="false">
      <c r="H6994" s="0" t="str">
        <f aca="false">IF(B6994="","",IF(COUNTIF(Campaigns!$A$7:$A$300,B6994)&gt;0,"✓","⚠ add to Campaigns tab"))</f>
        <v/>
      </c>
      <c r="I6994" s="84" t="str">
        <f aca="false">IF(C6994="","",C6994*IF(Settings!$B$23=Settings!$C$6,1,IF(Settings!$B$23="USD",1/INDEX(Settings!$B$29:$B$40,MONTH(A6994)),INDEX(Settings!$B$29:$B$40,MONTH(A6994)))))</f>
        <v/>
      </c>
    </row>
    <row r="6995" customFormat="false" ht="15" hidden="false" customHeight="false" outlineLevel="0" collapsed="false">
      <c r="H6995" s="0" t="str">
        <f aca="false">IF(B6995="","",IF(COUNTIF(Campaigns!$A$7:$A$300,B6995)&gt;0,"✓","⚠ add to Campaigns tab"))</f>
        <v/>
      </c>
      <c r="I6995" s="84" t="str">
        <f aca="false">IF(C6995="","",C6995*IF(Settings!$B$23=Settings!$C$6,1,IF(Settings!$B$23="USD",1/INDEX(Settings!$B$29:$B$40,MONTH(A6995)),INDEX(Settings!$B$29:$B$40,MONTH(A6995)))))</f>
        <v/>
      </c>
    </row>
    <row r="6996" customFormat="false" ht="15" hidden="false" customHeight="false" outlineLevel="0" collapsed="false">
      <c r="H6996" s="0" t="str">
        <f aca="false">IF(B6996="","",IF(COUNTIF(Campaigns!$A$7:$A$300,B6996)&gt;0,"✓","⚠ add to Campaigns tab"))</f>
        <v/>
      </c>
      <c r="I6996" s="84" t="str">
        <f aca="false">IF(C6996="","",C6996*IF(Settings!$B$23=Settings!$C$6,1,IF(Settings!$B$23="USD",1/INDEX(Settings!$B$29:$B$40,MONTH(A6996)),INDEX(Settings!$B$29:$B$40,MONTH(A6996)))))</f>
        <v/>
      </c>
    </row>
    <row r="6997" customFormat="false" ht="15" hidden="false" customHeight="false" outlineLevel="0" collapsed="false">
      <c r="H6997" s="0" t="str">
        <f aca="false">IF(B6997="","",IF(COUNTIF(Campaigns!$A$7:$A$300,B6997)&gt;0,"✓","⚠ add to Campaigns tab"))</f>
        <v/>
      </c>
      <c r="I6997" s="84" t="str">
        <f aca="false">IF(C6997="","",C6997*IF(Settings!$B$23=Settings!$C$6,1,IF(Settings!$B$23="USD",1/INDEX(Settings!$B$29:$B$40,MONTH(A6997)),INDEX(Settings!$B$29:$B$40,MONTH(A6997)))))</f>
        <v/>
      </c>
    </row>
    <row r="6998" customFormat="false" ht="15" hidden="false" customHeight="false" outlineLevel="0" collapsed="false">
      <c r="H6998" s="0" t="str">
        <f aca="false">IF(B6998="","",IF(COUNTIF(Campaigns!$A$7:$A$300,B6998)&gt;0,"✓","⚠ add to Campaigns tab"))</f>
        <v/>
      </c>
      <c r="I6998" s="84" t="str">
        <f aca="false">IF(C6998="","",C6998*IF(Settings!$B$23=Settings!$C$6,1,IF(Settings!$B$23="USD",1/INDEX(Settings!$B$29:$B$40,MONTH(A6998)),INDEX(Settings!$B$29:$B$40,MONTH(A6998)))))</f>
        <v/>
      </c>
    </row>
    <row r="6999" customFormat="false" ht="15" hidden="false" customHeight="false" outlineLevel="0" collapsed="false">
      <c r="H6999" s="0" t="str">
        <f aca="false">IF(B6999="","",IF(COUNTIF(Campaigns!$A$7:$A$300,B6999)&gt;0,"✓","⚠ add to Campaigns tab"))</f>
        <v/>
      </c>
      <c r="I6999" s="84" t="str">
        <f aca="false">IF(C6999="","",C6999*IF(Settings!$B$23=Settings!$C$6,1,IF(Settings!$B$23="USD",1/INDEX(Settings!$B$29:$B$40,MONTH(A6999)),INDEX(Settings!$B$29:$B$40,MONTH(A6999)))))</f>
        <v/>
      </c>
    </row>
    <row r="7000" customFormat="false" ht="15" hidden="false" customHeight="false" outlineLevel="0" collapsed="false">
      <c r="H7000" s="0" t="str">
        <f aca="false">IF(B7000="","",IF(COUNTIF(Campaigns!$A$7:$A$300,B7000)&gt;0,"✓","⚠ add to Campaigns tab"))</f>
        <v/>
      </c>
      <c r="I7000" s="84" t="str">
        <f aca="false">IF(C7000="","",C7000*IF(Settings!$B$23=Settings!$C$6,1,IF(Settings!$B$23="USD",1/INDEX(Settings!$B$29:$B$40,MONTH(A7000)),INDEX(Settings!$B$29:$B$40,MONTH(A7000)))))</f>
        <v/>
      </c>
    </row>
    <row r="7001" customFormat="false" ht="15" hidden="false" customHeight="false" outlineLevel="0" collapsed="false">
      <c r="H7001" s="0" t="str">
        <f aca="false">IF(B7001="","",IF(COUNTIF(Campaigns!$A$7:$A$300,B7001)&gt;0,"✓","⚠ add to Campaigns tab"))</f>
        <v/>
      </c>
      <c r="I7001" s="84" t="str">
        <f aca="false">IF(C7001="","",C7001*IF(Settings!$B$23=Settings!$C$6,1,IF(Settings!$B$23="USD",1/INDEX(Settings!$B$29:$B$40,MONTH(A7001)),INDEX(Settings!$B$29:$B$40,MONTH(A7001)))))</f>
        <v/>
      </c>
    </row>
    <row r="7002" customFormat="false" ht="15" hidden="false" customHeight="false" outlineLevel="0" collapsed="false">
      <c r="H7002" s="0" t="str">
        <f aca="false">IF(B7002="","",IF(COUNTIF(Campaigns!$A$7:$A$300,B7002)&gt;0,"✓","⚠ add to Campaigns tab"))</f>
        <v/>
      </c>
      <c r="I7002" s="84" t="str">
        <f aca="false">IF(C7002="","",C7002*IF(Settings!$B$23=Settings!$C$6,1,IF(Settings!$B$23="USD",1/INDEX(Settings!$B$29:$B$40,MONTH(A7002)),INDEX(Settings!$B$29:$B$40,MONTH(A7002)))))</f>
        <v/>
      </c>
    </row>
    <row r="7003" customFormat="false" ht="15" hidden="false" customHeight="false" outlineLevel="0" collapsed="false">
      <c r="H7003" s="0" t="str">
        <f aca="false">IF(B7003="","",IF(COUNTIF(Campaigns!$A$7:$A$300,B7003)&gt;0,"✓","⚠ add to Campaigns tab"))</f>
        <v/>
      </c>
      <c r="I7003" s="84" t="str">
        <f aca="false">IF(C7003="","",C7003*IF(Settings!$B$23=Settings!$C$6,1,IF(Settings!$B$23="USD",1/INDEX(Settings!$B$29:$B$40,MONTH(A7003)),INDEX(Settings!$B$29:$B$40,MONTH(A7003)))))</f>
        <v/>
      </c>
    </row>
    <row r="7004" customFormat="false" ht="15" hidden="false" customHeight="false" outlineLevel="0" collapsed="false">
      <c r="H7004" s="0" t="str">
        <f aca="false">IF(B7004="","",IF(COUNTIF(Campaigns!$A$7:$A$300,B7004)&gt;0,"✓","⚠ add to Campaigns tab"))</f>
        <v/>
      </c>
      <c r="I7004" s="84" t="str">
        <f aca="false">IF(C7004="","",C7004*IF(Settings!$B$23=Settings!$C$6,1,IF(Settings!$B$23="USD",1/INDEX(Settings!$B$29:$B$40,MONTH(A7004)),INDEX(Settings!$B$29:$B$40,MONTH(A7004)))))</f>
        <v/>
      </c>
    </row>
    <row r="7005" customFormat="false" ht="15" hidden="false" customHeight="false" outlineLevel="0" collapsed="false">
      <c r="H7005" s="0" t="str">
        <f aca="false">IF(B7005="","",IF(COUNTIF(Campaigns!$A$7:$A$300,B7005)&gt;0,"✓","⚠ add to Campaigns tab"))</f>
        <v/>
      </c>
      <c r="I7005" s="84" t="str">
        <f aca="false">IF(C7005="","",C7005*IF(Settings!$B$23=Settings!$C$6,1,IF(Settings!$B$23="USD",1/INDEX(Settings!$B$29:$B$40,MONTH(A7005)),INDEX(Settings!$B$29:$B$40,MONTH(A7005)))))</f>
        <v/>
      </c>
    </row>
    <row r="7006" customFormat="false" ht="15" hidden="false" customHeight="false" outlineLevel="0" collapsed="false">
      <c r="H7006" s="0" t="str">
        <f aca="false">IF(B7006="","",IF(COUNTIF(Campaigns!$A$7:$A$300,B7006)&gt;0,"✓","⚠ add to Campaigns tab"))</f>
        <v/>
      </c>
      <c r="I7006" s="84" t="str">
        <f aca="false">IF(C7006="","",C7006*IF(Settings!$B$23=Settings!$C$6,1,IF(Settings!$B$23="USD",1/INDEX(Settings!$B$29:$B$40,MONTH(A7006)),INDEX(Settings!$B$29:$B$40,MONTH(A7006)))))</f>
        <v/>
      </c>
    </row>
    <row r="7007" customFormat="false" ht="15" hidden="false" customHeight="false" outlineLevel="0" collapsed="false">
      <c r="H7007" s="0" t="str">
        <f aca="false">IF(B7007="","",IF(COUNTIF(Campaigns!$A$7:$A$300,B7007)&gt;0,"✓","⚠ add to Campaigns tab"))</f>
        <v/>
      </c>
      <c r="I7007" s="84" t="str">
        <f aca="false">IF(C7007="","",C7007*IF(Settings!$B$23=Settings!$C$6,1,IF(Settings!$B$23="USD",1/INDEX(Settings!$B$29:$B$40,MONTH(A7007)),INDEX(Settings!$B$29:$B$40,MONTH(A7007)))))</f>
        <v/>
      </c>
    </row>
    <row r="7008" customFormat="false" ht="15" hidden="false" customHeight="false" outlineLevel="0" collapsed="false">
      <c r="H7008" s="0" t="str">
        <f aca="false">IF(B7008="","",IF(COUNTIF(Campaigns!$A$7:$A$300,B7008)&gt;0,"✓","⚠ add to Campaigns tab"))</f>
        <v/>
      </c>
      <c r="I7008" s="84" t="str">
        <f aca="false">IF(C7008="","",C7008*IF(Settings!$B$23=Settings!$C$6,1,IF(Settings!$B$23="USD",1/INDEX(Settings!$B$29:$B$40,MONTH(A7008)),INDEX(Settings!$B$29:$B$40,MONTH(A7008)))))</f>
        <v/>
      </c>
    </row>
    <row r="7009" customFormat="false" ht="15" hidden="false" customHeight="false" outlineLevel="0" collapsed="false">
      <c r="H7009" s="0" t="str">
        <f aca="false">IF(B7009="","",IF(COUNTIF(Campaigns!$A$7:$A$300,B7009)&gt;0,"✓","⚠ add to Campaigns tab"))</f>
        <v/>
      </c>
      <c r="I7009" s="84" t="str">
        <f aca="false">IF(C7009="","",C7009*IF(Settings!$B$23=Settings!$C$6,1,IF(Settings!$B$23="USD",1/INDEX(Settings!$B$29:$B$40,MONTH(A7009)),INDEX(Settings!$B$29:$B$40,MONTH(A7009)))))</f>
        <v/>
      </c>
    </row>
    <row r="7010" customFormat="false" ht="15" hidden="false" customHeight="false" outlineLevel="0" collapsed="false">
      <c r="H7010" s="0" t="str">
        <f aca="false">IF(B7010="","",IF(COUNTIF(Campaigns!$A$7:$A$300,B7010)&gt;0,"✓","⚠ add to Campaigns tab"))</f>
        <v/>
      </c>
      <c r="I7010" s="84" t="str">
        <f aca="false">IF(C7010="","",C7010*IF(Settings!$B$23=Settings!$C$6,1,IF(Settings!$B$23="USD",1/INDEX(Settings!$B$29:$B$40,MONTH(A7010)),INDEX(Settings!$B$29:$B$40,MONTH(A7010)))))</f>
        <v/>
      </c>
    </row>
    <row r="7011" customFormat="false" ht="15" hidden="false" customHeight="false" outlineLevel="0" collapsed="false">
      <c r="H7011" s="0" t="str">
        <f aca="false">IF(B7011="","",IF(COUNTIF(Campaigns!$A$7:$A$300,B7011)&gt;0,"✓","⚠ add to Campaigns tab"))</f>
        <v/>
      </c>
      <c r="I7011" s="84" t="str">
        <f aca="false">IF(C7011="","",C7011*IF(Settings!$B$23=Settings!$C$6,1,IF(Settings!$B$23="USD",1/INDEX(Settings!$B$29:$B$40,MONTH(A7011)),INDEX(Settings!$B$29:$B$40,MONTH(A7011)))))</f>
        <v/>
      </c>
    </row>
    <row r="7012" customFormat="false" ht="15" hidden="false" customHeight="false" outlineLevel="0" collapsed="false">
      <c r="H7012" s="0" t="str">
        <f aca="false">IF(B7012="","",IF(COUNTIF(Campaigns!$A$7:$A$300,B7012)&gt;0,"✓","⚠ add to Campaigns tab"))</f>
        <v/>
      </c>
      <c r="I7012" s="84" t="str">
        <f aca="false">IF(C7012="","",C7012*IF(Settings!$B$23=Settings!$C$6,1,IF(Settings!$B$23="USD",1/INDEX(Settings!$B$29:$B$40,MONTH(A7012)),INDEX(Settings!$B$29:$B$40,MONTH(A7012)))))</f>
        <v/>
      </c>
    </row>
    <row r="7013" customFormat="false" ht="15" hidden="false" customHeight="false" outlineLevel="0" collapsed="false">
      <c r="H7013" s="0" t="str">
        <f aca="false">IF(B7013="","",IF(COUNTIF(Campaigns!$A$7:$A$300,B7013)&gt;0,"✓","⚠ add to Campaigns tab"))</f>
        <v/>
      </c>
      <c r="I7013" s="84" t="str">
        <f aca="false">IF(C7013="","",C7013*IF(Settings!$B$23=Settings!$C$6,1,IF(Settings!$B$23="USD",1/INDEX(Settings!$B$29:$B$40,MONTH(A7013)),INDEX(Settings!$B$29:$B$40,MONTH(A7013)))))</f>
        <v/>
      </c>
    </row>
    <row r="7014" customFormat="false" ht="15" hidden="false" customHeight="false" outlineLevel="0" collapsed="false">
      <c r="H7014" s="0" t="str">
        <f aca="false">IF(B7014="","",IF(COUNTIF(Campaigns!$A$7:$A$300,B7014)&gt;0,"✓","⚠ add to Campaigns tab"))</f>
        <v/>
      </c>
      <c r="I7014" s="84" t="str">
        <f aca="false">IF(C7014="","",C7014*IF(Settings!$B$23=Settings!$C$6,1,IF(Settings!$B$23="USD",1/INDEX(Settings!$B$29:$B$40,MONTH(A7014)),INDEX(Settings!$B$29:$B$40,MONTH(A7014)))))</f>
        <v/>
      </c>
    </row>
    <row r="7015" customFormat="false" ht="15" hidden="false" customHeight="false" outlineLevel="0" collapsed="false">
      <c r="H7015" s="0" t="str">
        <f aca="false">IF(B7015="","",IF(COUNTIF(Campaigns!$A$7:$A$300,B7015)&gt;0,"✓","⚠ add to Campaigns tab"))</f>
        <v/>
      </c>
      <c r="I7015" s="84" t="str">
        <f aca="false">IF(C7015="","",C7015*IF(Settings!$B$23=Settings!$C$6,1,IF(Settings!$B$23="USD",1/INDEX(Settings!$B$29:$B$40,MONTH(A7015)),INDEX(Settings!$B$29:$B$40,MONTH(A7015)))))</f>
        <v/>
      </c>
    </row>
    <row r="7016" customFormat="false" ht="15" hidden="false" customHeight="false" outlineLevel="0" collapsed="false">
      <c r="H7016" s="0" t="str">
        <f aca="false">IF(B7016="","",IF(COUNTIF(Campaigns!$A$7:$A$300,B7016)&gt;0,"✓","⚠ add to Campaigns tab"))</f>
        <v/>
      </c>
      <c r="I7016" s="84" t="str">
        <f aca="false">IF(C7016="","",C7016*IF(Settings!$B$23=Settings!$C$6,1,IF(Settings!$B$23="USD",1/INDEX(Settings!$B$29:$B$40,MONTH(A7016)),INDEX(Settings!$B$29:$B$40,MONTH(A7016)))))</f>
        <v/>
      </c>
    </row>
    <row r="7017" customFormat="false" ht="15" hidden="false" customHeight="false" outlineLevel="0" collapsed="false">
      <c r="H7017" s="0" t="str">
        <f aca="false">IF(B7017="","",IF(COUNTIF(Campaigns!$A$7:$A$300,B7017)&gt;0,"✓","⚠ add to Campaigns tab"))</f>
        <v/>
      </c>
      <c r="I7017" s="84" t="str">
        <f aca="false">IF(C7017="","",C7017*IF(Settings!$B$23=Settings!$C$6,1,IF(Settings!$B$23="USD",1/INDEX(Settings!$B$29:$B$40,MONTH(A7017)),INDEX(Settings!$B$29:$B$40,MONTH(A7017)))))</f>
        <v/>
      </c>
    </row>
    <row r="7018" customFormat="false" ht="15" hidden="false" customHeight="false" outlineLevel="0" collapsed="false">
      <c r="H7018" s="0" t="str">
        <f aca="false">IF(B7018="","",IF(COUNTIF(Campaigns!$A$7:$A$300,B7018)&gt;0,"✓","⚠ add to Campaigns tab"))</f>
        <v/>
      </c>
      <c r="I7018" s="84" t="str">
        <f aca="false">IF(C7018="","",C7018*IF(Settings!$B$23=Settings!$C$6,1,IF(Settings!$B$23="USD",1/INDEX(Settings!$B$29:$B$40,MONTH(A7018)),INDEX(Settings!$B$29:$B$40,MONTH(A7018)))))</f>
        <v/>
      </c>
    </row>
    <row r="7019" customFormat="false" ht="15" hidden="false" customHeight="false" outlineLevel="0" collapsed="false">
      <c r="H7019" s="0" t="str">
        <f aca="false">IF(B7019="","",IF(COUNTIF(Campaigns!$A$7:$A$300,B7019)&gt;0,"✓","⚠ add to Campaigns tab"))</f>
        <v/>
      </c>
      <c r="I7019" s="84" t="str">
        <f aca="false">IF(C7019="","",C7019*IF(Settings!$B$23=Settings!$C$6,1,IF(Settings!$B$23="USD",1/INDEX(Settings!$B$29:$B$40,MONTH(A7019)),INDEX(Settings!$B$29:$B$40,MONTH(A7019)))))</f>
        <v/>
      </c>
    </row>
    <row r="7020" customFormat="false" ht="15" hidden="false" customHeight="false" outlineLevel="0" collapsed="false">
      <c r="H7020" s="0" t="str">
        <f aca="false">IF(B7020="","",IF(COUNTIF(Campaigns!$A$7:$A$300,B7020)&gt;0,"✓","⚠ add to Campaigns tab"))</f>
        <v/>
      </c>
      <c r="I7020" s="84" t="str">
        <f aca="false">IF(C7020="","",C7020*IF(Settings!$B$23=Settings!$C$6,1,IF(Settings!$B$23="USD",1/INDEX(Settings!$B$29:$B$40,MONTH(A7020)),INDEX(Settings!$B$29:$B$40,MONTH(A7020)))))</f>
        <v/>
      </c>
    </row>
    <row r="7021" customFormat="false" ht="15" hidden="false" customHeight="false" outlineLevel="0" collapsed="false">
      <c r="H7021" s="0" t="str">
        <f aca="false">IF(B7021="","",IF(COUNTIF(Campaigns!$A$7:$A$300,B7021)&gt;0,"✓","⚠ add to Campaigns tab"))</f>
        <v/>
      </c>
      <c r="I7021" s="84" t="str">
        <f aca="false">IF(C7021="","",C7021*IF(Settings!$B$23=Settings!$C$6,1,IF(Settings!$B$23="USD",1/INDEX(Settings!$B$29:$B$40,MONTH(A7021)),INDEX(Settings!$B$29:$B$40,MONTH(A7021)))))</f>
        <v/>
      </c>
    </row>
    <row r="7022" customFormat="false" ht="15" hidden="false" customHeight="false" outlineLevel="0" collapsed="false">
      <c r="H7022" s="0" t="str">
        <f aca="false">IF(B7022="","",IF(COUNTIF(Campaigns!$A$7:$A$300,B7022)&gt;0,"✓","⚠ add to Campaigns tab"))</f>
        <v/>
      </c>
      <c r="I7022" s="84" t="str">
        <f aca="false">IF(C7022="","",C7022*IF(Settings!$B$23=Settings!$C$6,1,IF(Settings!$B$23="USD",1/INDEX(Settings!$B$29:$B$40,MONTH(A7022)),INDEX(Settings!$B$29:$B$40,MONTH(A7022)))))</f>
        <v/>
      </c>
    </row>
    <row r="7023" customFormat="false" ht="15" hidden="false" customHeight="false" outlineLevel="0" collapsed="false">
      <c r="H7023" s="0" t="str">
        <f aca="false">IF(B7023="","",IF(COUNTIF(Campaigns!$A$7:$A$300,B7023)&gt;0,"✓","⚠ add to Campaigns tab"))</f>
        <v/>
      </c>
      <c r="I7023" s="84" t="str">
        <f aca="false">IF(C7023="","",C7023*IF(Settings!$B$23=Settings!$C$6,1,IF(Settings!$B$23="USD",1/INDEX(Settings!$B$29:$B$40,MONTH(A7023)),INDEX(Settings!$B$29:$B$40,MONTH(A7023)))))</f>
        <v/>
      </c>
    </row>
    <row r="7024" customFormat="false" ht="15" hidden="false" customHeight="false" outlineLevel="0" collapsed="false">
      <c r="H7024" s="0" t="str">
        <f aca="false">IF(B7024="","",IF(COUNTIF(Campaigns!$A$7:$A$300,B7024)&gt;0,"✓","⚠ add to Campaigns tab"))</f>
        <v/>
      </c>
      <c r="I7024" s="84" t="str">
        <f aca="false">IF(C7024="","",C7024*IF(Settings!$B$23=Settings!$C$6,1,IF(Settings!$B$23="USD",1/INDEX(Settings!$B$29:$B$40,MONTH(A7024)),INDEX(Settings!$B$29:$B$40,MONTH(A7024)))))</f>
        <v/>
      </c>
    </row>
    <row r="7025" customFormat="false" ht="15" hidden="false" customHeight="false" outlineLevel="0" collapsed="false">
      <c r="H7025" s="0" t="str">
        <f aca="false">IF(B7025="","",IF(COUNTIF(Campaigns!$A$7:$A$300,B7025)&gt;0,"✓","⚠ add to Campaigns tab"))</f>
        <v/>
      </c>
      <c r="I7025" s="84" t="str">
        <f aca="false">IF(C7025="","",C7025*IF(Settings!$B$23=Settings!$C$6,1,IF(Settings!$B$23="USD",1/INDEX(Settings!$B$29:$B$40,MONTH(A7025)),INDEX(Settings!$B$29:$B$40,MONTH(A7025)))))</f>
        <v/>
      </c>
    </row>
    <row r="7026" customFormat="false" ht="15" hidden="false" customHeight="false" outlineLevel="0" collapsed="false">
      <c r="H7026" s="0" t="str">
        <f aca="false">IF(B7026="","",IF(COUNTIF(Campaigns!$A$7:$A$300,B7026)&gt;0,"✓","⚠ add to Campaigns tab"))</f>
        <v/>
      </c>
      <c r="I7026" s="84" t="str">
        <f aca="false">IF(C7026="","",C7026*IF(Settings!$B$23=Settings!$C$6,1,IF(Settings!$B$23="USD",1/INDEX(Settings!$B$29:$B$40,MONTH(A7026)),INDEX(Settings!$B$29:$B$40,MONTH(A7026)))))</f>
        <v/>
      </c>
    </row>
    <row r="7027" customFormat="false" ht="15" hidden="false" customHeight="false" outlineLevel="0" collapsed="false">
      <c r="H7027" s="0" t="str">
        <f aca="false">IF(B7027="","",IF(COUNTIF(Campaigns!$A$7:$A$300,B7027)&gt;0,"✓","⚠ add to Campaigns tab"))</f>
        <v/>
      </c>
      <c r="I7027" s="84" t="str">
        <f aca="false">IF(C7027="","",C7027*IF(Settings!$B$23=Settings!$C$6,1,IF(Settings!$B$23="USD",1/INDEX(Settings!$B$29:$B$40,MONTH(A7027)),INDEX(Settings!$B$29:$B$40,MONTH(A7027)))))</f>
        <v/>
      </c>
    </row>
    <row r="7028" customFormat="false" ht="15" hidden="false" customHeight="false" outlineLevel="0" collapsed="false">
      <c r="H7028" s="0" t="str">
        <f aca="false">IF(B7028="","",IF(COUNTIF(Campaigns!$A$7:$A$300,B7028)&gt;0,"✓","⚠ add to Campaigns tab"))</f>
        <v/>
      </c>
      <c r="I7028" s="84" t="str">
        <f aca="false">IF(C7028="","",C7028*IF(Settings!$B$23=Settings!$C$6,1,IF(Settings!$B$23="USD",1/INDEX(Settings!$B$29:$B$40,MONTH(A7028)),INDEX(Settings!$B$29:$B$40,MONTH(A7028)))))</f>
        <v/>
      </c>
    </row>
    <row r="7029" customFormat="false" ht="15" hidden="false" customHeight="false" outlineLevel="0" collapsed="false">
      <c r="H7029" s="0" t="str">
        <f aca="false">IF(B7029="","",IF(COUNTIF(Campaigns!$A$7:$A$300,B7029)&gt;0,"✓","⚠ add to Campaigns tab"))</f>
        <v/>
      </c>
      <c r="I7029" s="84" t="str">
        <f aca="false">IF(C7029="","",C7029*IF(Settings!$B$23=Settings!$C$6,1,IF(Settings!$B$23="USD",1/INDEX(Settings!$B$29:$B$40,MONTH(A7029)),INDEX(Settings!$B$29:$B$40,MONTH(A7029)))))</f>
        <v/>
      </c>
    </row>
    <row r="7030" customFormat="false" ht="15" hidden="false" customHeight="false" outlineLevel="0" collapsed="false">
      <c r="H7030" s="0" t="str">
        <f aca="false">IF(B7030="","",IF(COUNTIF(Campaigns!$A$7:$A$300,B7030)&gt;0,"✓","⚠ add to Campaigns tab"))</f>
        <v/>
      </c>
      <c r="I7030" s="84" t="str">
        <f aca="false">IF(C7030="","",C7030*IF(Settings!$B$23=Settings!$C$6,1,IF(Settings!$B$23="USD",1/INDEX(Settings!$B$29:$B$40,MONTH(A7030)),INDEX(Settings!$B$29:$B$40,MONTH(A7030)))))</f>
        <v/>
      </c>
    </row>
    <row r="7031" customFormat="false" ht="15" hidden="false" customHeight="false" outlineLevel="0" collapsed="false">
      <c r="H7031" s="0" t="str">
        <f aca="false">IF(B7031="","",IF(COUNTIF(Campaigns!$A$7:$A$300,B7031)&gt;0,"✓","⚠ add to Campaigns tab"))</f>
        <v/>
      </c>
      <c r="I7031" s="84" t="str">
        <f aca="false">IF(C7031="","",C7031*IF(Settings!$B$23=Settings!$C$6,1,IF(Settings!$B$23="USD",1/INDEX(Settings!$B$29:$B$40,MONTH(A7031)),INDEX(Settings!$B$29:$B$40,MONTH(A7031)))))</f>
        <v/>
      </c>
    </row>
    <row r="7032" customFormat="false" ht="15" hidden="false" customHeight="false" outlineLevel="0" collapsed="false">
      <c r="H7032" s="0" t="str">
        <f aca="false">IF(B7032="","",IF(COUNTIF(Campaigns!$A$7:$A$300,B7032)&gt;0,"✓","⚠ add to Campaigns tab"))</f>
        <v/>
      </c>
      <c r="I7032" s="84" t="str">
        <f aca="false">IF(C7032="","",C7032*IF(Settings!$B$23=Settings!$C$6,1,IF(Settings!$B$23="USD",1/INDEX(Settings!$B$29:$B$40,MONTH(A7032)),INDEX(Settings!$B$29:$B$40,MONTH(A7032)))))</f>
        <v/>
      </c>
    </row>
    <row r="7033" customFormat="false" ht="15" hidden="false" customHeight="false" outlineLevel="0" collapsed="false">
      <c r="H7033" s="0" t="str">
        <f aca="false">IF(B7033="","",IF(COUNTIF(Campaigns!$A$7:$A$300,B7033)&gt;0,"✓","⚠ add to Campaigns tab"))</f>
        <v/>
      </c>
      <c r="I7033" s="84" t="str">
        <f aca="false">IF(C7033="","",C7033*IF(Settings!$B$23=Settings!$C$6,1,IF(Settings!$B$23="USD",1/INDEX(Settings!$B$29:$B$40,MONTH(A7033)),INDEX(Settings!$B$29:$B$40,MONTH(A7033)))))</f>
        <v/>
      </c>
    </row>
    <row r="7034" customFormat="false" ht="15" hidden="false" customHeight="false" outlineLevel="0" collapsed="false">
      <c r="H7034" s="0" t="str">
        <f aca="false">IF(B7034="","",IF(COUNTIF(Campaigns!$A$7:$A$300,B7034)&gt;0,"✓","⚠ add to Campaigns tab"))</f>
        <v/>
      </c>
      <c r="I7034" s="84" t="str">
        <f aca="false">IF(C7034="","",C7034*IF(Settings!$B$23=Settings!$C$6,1,IF(Settings!$B$23="USD",1/INDEX(Settings!$B$29:$B$40,MONTH(A7034)),INDEX(Settings!$B$29:$B$40,MONTH(A7034)))))</f>
        <v/>
      </c>
    </row>
    <row r="7035" customFormat="false" ht="15" hidden="false" customHeight="false" outlineLevel="0" collapsed="false">
      <c r="H7035" s="0" t="str">
        <f aca="false">IF(B7035="","",IF(COUNTIF(Campaigns!$A$7:$A$300,B7035)&gt;0,"✓","⚠ add to Campaigns tab"))</f>
        <v/>
      </c>
      <c r="I7035" s="84" t="str">
        <f aca="false">IF(C7035="","",C7035*IF(Settings!$B$23=Settings!$C$6,1,IF(Settings!$B$23="USD",1/INDEX(Settings!$B$29:$B$40,MONTH(A7035)),INDEX(Settings!$B$29:$B$40,MONTH(A7035)))))</f>
        <v/>
      </c>
    </row>
    <row r="7036" customFormat="false" ht="15" hidden="false" customHeight="false" outlineLevel="0" collapsed="false">
      <c r="H7036" s="0" t="str">
        <f aca="false">IF(B7036="","",IF(COUNTIF(Campaigns!$A$7:$A$300,B7036)&gt;0,"✓","⚠ add to Campaigns tab"))</f>
        <v/>
      </c>
      <c r="I7036" s="84" t="str">
        <f aca="false">IF(C7036="","",C7036*IF(Settings!$B$23=Settings!$C$6,1,IF(Settings!$B$23="USD",1/INDEX(Settings!$B$29:$B$40,MONTH(A7036)),INDEX(Settings!$B$29:$B$40,MONTH(A7036)))))</f>
        <v/>
      </c>
    </row>
    <row r="7037" customFormat="false" ht="15" hidden="false" customHeight="false" outlineLevel="0" collapsed="false">
      <c r="H7037" s="0" t="str">
        <f aca="false">IF(B7037="","",IF(COUNTIF(Campaigns!$A$7:$A$300,B7037)&gt;0,"✓","⚠ add to Campaigns tab"))</f>
        <v/>
      </c>
      <c r="I7037" s="84" t="str">
        <f aca="false">IF(C7037="","",C7037*IF(Settings!$B$23=Settings!$C$6,1,IF(Settings!$B$23="USD",1/INDEX(Settings!$B$29:$B$40,MONTH(A7037)),INDEX(Settings!$B$29:$B$40,MONTH(A7037)))))</f>
        <v/>
      </c>
    </row>
    <row r="7038" customFormat="false" ht="15" hidden="false" customHeight="false" outlineLevel="0" collapsed="false">
      <c r="H7038" s="0" t="str">
        <f aca="false">IF(B7038="","",IF(COUNTIF(Campaigns!$A$7:$A$300,B7038)&gt;0,"✓","⚠ add to Campaigns tab"))</f>
        <v/>
      </c>
      <c r="I7038" s="84" t="str">
        <f aca="false">IF(C7038="","",C7038*IF(Settings!$B$23=Settings!$C$6,1,IF(Settings!$B$23="USD",1/INDEX(Settings!$B$29:$B$40,MONTH(A7038)),INDEX(Settings!$B$29:$B$40,MONTH(A7038)))))</f>
        <v/>
      </c>
    </row>
    <row r="7039" customFormat="false" ht="15" hidden="false" customHeight="false" outlineLevel="0" collapsed="false">
      <c r="H7039" s="0" t="str">
        <f aca="false">IF(B7039="","",IF(COUNTIF(Campaigns!$A$7:$A$300,B7039)&gt;0,"✓","⚠ add to Campaigns tab"))</f>
        <v/>
      </c>
      <c r="I7039" s="84" t="str">
        <f aca="false">IF(C7039="","",C7039*IF(Settings!$B$23=Settings!$C$6,1,IF(Settings!$B$23="USD",1/INDEX(Settings!$B$29:$B$40,MONTH(A7039)),INDEX(Settings!$B$29:$B$40,MONTH(A7039)))))</f>
        <v/>
      </c>
    </row>
    <row r="7040" customFormat="false" ht="15" hidden="false" customHeight="false" outlineLevel="0" collapsed="false">
      <c r="H7040" s="0" t="str">
        <f aca="false">IF(B7040="","",IF(COUNTIF(Campaigns!$A$7:$A$300,B7040)&gt;0,"✓","⚠ add to Campaigns tab"))</f>
        <v/>
      </c>
      <c r="I7040" s="84" t="str">
        <f aca="false">IF(C7040="","",C7040*IF(Settings!$B$23=Settings!$C$6,1,IF(Settings!$B$23="USD",1/INDEX(Settings!$B$29:$B$40,MONTH(A7040)),INDEX(Settings!$B$29:$B$40,MONTH(A7040)))))</f>
        <v/>
      </c>
    </row>
    <row r="7041" customFormat="false" ht="15" hidden="false" customHeight="false" outlineLevel="0" collapsed="false">
      <c r="H7041" s="0" t="str">
        <f aca="false">IF(B7041="","",IF(COUNTIF(Campaigns!$A$7:$A$300,B7041)&gt;0,"✓","⚠ add to Campaigns tab"))</f>
        <v/>
      </c>
      <c r="I7041" s="84" t="str">
        <f aca="false">IF(C7041="","",C7041*IF(Settings!$B$23=Settings!$C$6,1,IF(Settings!$B$23="USD",1/INDEX(Settings!$B$29:$B$40,MONTH(A7041)),INDEX(Settings!$B$29:$B$40,MONTH(A7041)))))</f>
        <v/>
      </c>
    </row>
    <row r="7042" customFormat="false" ht="15" hidden="false" customHeight="false" outlineLevel="0" collapsed="false">
      <c r="H7042" s="0" t="str">
        <f aca="false">IF(B7042="","",IF(COUNTIF(Campaigns!$A$7:$A$300,B7042)&gt;0,"✓","⚠ add to Campaigns tab"))</f>
        <v/>
      </c>
      <c r="I7042" s="84" t="str">
        <f aca="false">IF(C7042="","",C7042*IF(Settings!$B$23=Settings!$C$6,1,IF(Settings!$B$23="USD",1/INDEX(Settings!$B$29:$B$40,MONTH(A7042)),INDEX(Settings!$B$29:$B$40,MONTH(A7042)))))</f>
        <v/>
      </c>
    </row>
    <row r="7043" customFormat="false" ht="15" hidden="false" customHeight="false" outlineLevel="0" collapsed="false">
      <c r="H7043" s="0" t="str">
        <f aca="false">IF(B7043="","",IF(COUNTIF(Campaigns!$A$7:$A$300,B7043)&gt;0,"✓","⚠ add to Campaigns tab"))</f>
        <v/>
      </c>
      <c r="I7043" s="84" t="str">
        <f aca="false">IF(C7043="","",C7043*IF(Settings!$B$23=Settings!$C$6,1,IF(Settings!$B$23="USD",1/INDEX(Settings!$B$29:$B$40,MONTH(A7043)),INDEX(Settings!$B$29:$B$40,MONTH(A7043)))))</f>
        <v/>
      </c>
    </row>
    <row r="7044" customFormat="false" ht="15" hidden="false" customHeight="false" outlineLevel="0" collapsed="false">
      <c r="H7044" s="0" t="str">
        <f aca="false">IF(B7044="","",IF(COUNTIF(Campaigns!$A$7:$A$300,B7044)&gt;0,"✓","⚠ add to Campaigns tab"))</f>
        <v/>
      </c>
      <c r="I7044" s="84" t="str">
        <f aca="false">IF(C7044="","",C7044*IF(Settings!$B$23=Settings!$C$6,1,IF(Settings!$B$23="USD",1/INDEX(Settings!$B$29:$B$40,MONTH(A7044)),INDEX(Settings!$B$29:$B$40,MONTH(A7044)))))</f>
        <v/>
      </c>
    </row>
    <row r="7045" customFormat="false" ht="15" hidden="false" customHeight="false" outlineLevel="0" collapsed="false">
      <c r="H7045" s="0" t="str">
        <f aca="false">IF(B7045="","",IF(COUNTIF(Campaigns!$A$7:$A$300,B7045)&gt;0,"✓","⚠ add to Campaigns tab"))</f>
        <v/>
      </c>
      <c r="I7045" s="84" t="str">
        <f aca="false">IF(C7045="","",C7045*IF(Settings!$B$23=Settings!$C$6,1,IF(Settings!$B$23="USD",1/INDEX(Settings!$B$29:$B$40,MONTH(A7045)),INDEX(Settings!$B$29:$B$40,MONTH(A7045)))))</f>
        <v/>
      </c>
    </row>
    <row r="7046" customFormat="false" ht="15" hidden="false" customHeight="false" outlineLevel="0" collapsed="false">
      <c r="H7046" s="0" t="str">
        <f aca="false">IF(B7046="","",IF(COUNTIF(Campaigns!$A$7:$A$300,B7046)&gt;0,"✓","⚠ add to Campaigns tab"))</f>
        <v/>
      </c>
      <c r="I7046" s="84" t="str">
        <f aca="false">IF(C7046="","",C7046*IF(Settings!$B$23=Settings!$C$6,1,IF(Settings!$B$23="USD",1/INDEX(Settings!$B$29:$B$40,MONTH(A7046)),INDEX(Settings!$B$29:$B$40,MONTH(A7046)))))</f>
        <v/>
      </c>
    </row>
    <row r="7047" customFormat="false" ht="15" hidden="false" customHeight="false" outlineLevel="0" collapsed="false">
      <c r="H7047" s="0" t="str">
        <f aca="false">IF(B7047="","",IF(COUNTIF(Campaigns!$A$7:$A$300,B7047)&gt;0,"✓","⚠ add to Campaigns tab"))</f>
        <v/>
      </c>
      <c r="I7047" s="84" t="str">
        <f aca="false">IF(C7047="","",C7047*IF(Settings!$B$23=Settings!$C$6,1,IF(Settings!$B$23="USD",1/INDEX(Settings!$B$29:$B$40,MONTH(A7047)),INDEX(Settings!$B$29:$B$40,MONTH(A7047)))))</f>
        <v/>
      </c>
    </row>
    <row r="7048" customFormat="false" ht="15" hidden="false" customHeight="false" outlineLevel="0" collapsed="false">
      <c r="H7048" s="0" t="str">
        <f aca="false">IF(B7048="","",IF(COUNTIF(Campaigns!$A$7:$A$300,B7048)&gt;0,"✓","⚠ add to Campaigns tab"))</f>
        <v/>
      </c>
      <c r="I7048" s="84" t="str">
        <f aca="false">IF(C7048="","",C7048*IF(Settings!$B$23=Settings!$C$6,1,IF(Settings!$B$23="USD",1/INDEX(Settings!$B$29:$B$40,MONTH(A7048)),INDEX(Settings!$B$29:$B$40,MONTH(A7048)))))</f>
        <v/>
      </c>
    </row>
    <row r="7049" customFormat="false" ht="15" hidden="false" customHeight="false" outlineLevel="0" collapsed="false">
      <c r="H7049" s="0" t="str">
        <f aca="false">IF(B7049="","",IF(COUNTIF(Campaigns!$A$7:$A$300,B7049)&gt;0,"✓","⚠ add to Campaigns tab"))</f>
        <v/>
      </c>
      <c r="I7049" s="84" t="str">
        <f aca="false">IF(C7049="","",C7049*IF(Settings!$B$23=Settings!$C$6,1,IF(Settings!$B$23="USD",1/INDEX(Settings!$B$29:$B$40,MONTH(A7049)),INDEX(Settings!$B$29:$B$40,MONTH(A7049)))))</f>
        <v/>
      </c>
    </row>
    <row r="7050" customFormat="false" ht="15" hidden="false" customHeight="false" outlineLevel="0" collapsed="false">
      <c r="H7050" s="0" t="str">
        <f aca="false">IF(B7050="","",IF(COUNTIF(Campaigns!$A$7:$A$300,B7050)&gt;0,"✓","⚠ add to Campaigns tab"))</f>
        <v/>
      </c>
      <c r="I7050" s="84" t="str">
        <f aca="false">IF(C7050="","",C7050*IF(Settings!$B$23=Settings!$C$6,1,IF(Settings!$B$23="USD",1/INDEX(Settings!$B$29:$B$40,MONTH(A7050)),INDEX(Settings!$B$29:$B$40,MONTH(A7050)))))</f>
        <v/>
      </c>
    </row>
    <row r="7051" customFormat="false" ht="15" hidden="false" customHeight="false" outlineLevel="0" collapsed="false">
      <c r="H7051" s="0" t="str">
        <f aca="false">IF(B7051="","",IF(COUNTIF(Campaigns!$A$7:$A$300,B7051)&gt;0,"✓","⚠ add to Campaigns tab"))</f>
        <v/>
      </c>
      <c r="I7051" s="84" t="str">
        <f aca="false">IF(C7051="","",C7051*IF(Settings!$B$23=Settings!$C$6,1,IF(Settings!$B$23="USD",1/INDEX(Settings!$B$29:$B$40,MONTH(A7051)),INDEX(Settings!$B$29:$B$40,MONTH(A7051)))))</f>
        <v/>
      </c>
    </row>
    <row r="7052" customFormat="false" ht="15" hidden="false" customHeight="false" outlineLevel="0" collapsed="false">
      <c r="H7052" s="0" t="str">
        <f aca="false">IF(B7052="","",IF(COUNTIF(Campaigns!$A$7:$A$300,B7052)&gt;0,"✓","⚠ add to Campaigns tab"))</f>
        <v/>
      </c>
      <c r="I7052" s="84" t="str">
        <f aca="false">IF(C7052="","",C7052*IF(Settings!$B$23=Settings!$C$6,1,IF(Settings!$B$23="USD",1/INDEX(Settings!$B$29:$B$40,MONTH(A7052)),INDEX(Settings!$B$29:$B$40,MONTH(A7052)))))</f>
        <v/>
      </c>
    </row>
    <row r="7053" customFormat="false" ht="15" hidden="false" customHeight="false" outlineLevel="0" collapsed="false">
      <c r="H7053" s="0" t="str">
        <f aca="false">IF(B7053="","",IF(COUNTIF(Campaigns!$A$7:$A$300,B7053)&gt;0,"✓","⚠ add to Campaigns tab"))</f>
        <v/>
      </c>
      <c r="I7053" s="84" t="str">
        <f aca="false">IF(C7053="","",C7053*IF(Settings!$B$23=Settings!$C$6,1,IF(Settings!$B$23="USD",1/INDEX(Settings!$B$29:$B$40,MONTH(A7053)),INDEX(Settings!$B$29:$B$40,MONTH(A7053)))))</f>
        <v/>
      </c>
    </row>
    <row r="7054" customFormat="false" ht="15" hidden="false" customHeight="false" outlineLevel="0" collapsed="false">
      <c r="H7054" s="0" t="str">
        <f aca="false">IF(B7054="","",IF(COUNTIF(Campaigns!$A$7:$A$300,B7054)&gt;0,"✓","⚠ add to Campaigns tab"))</f>
        <v/>
      </c>
      <c r="I7054" s="84" t="str">
        <f aca="false">IF(C7054="","",C7054*IF(Settings!$B$23=Settings!$C$6,1,IF(Settings!$B$23="USD",1/INDEX(Settings!$B$29:$B$40,MONTH(A7054)),INDEX(Settings!$B$29:$B$40,MONTH(A7054)))))</f>
        <v/>
      </c>
    </row>
    <row r="7055" customFormat="false" ht="15" hidden="false" customHeight="false" outlineLevel="0" collapsed="false">
      <c r="H7055" s="0" t="str">
        <f aca="false">IF(B7055="","",IF(COUNTIF(Campaigns!$A$7:$A$300,B7055)&gt;0,"✓","⚠ add to Campaigns tab"))</f>
        <v/>
      </c>
      <c r="I7055" s="84" t="str">
        <f aca="false">IF(C7055="","",C7055*IF(Settings!$B$23=Settings!$C$6,1,IF(Settings!$B$23="USD",1/INDEX(Settings!$B$29:$B$40,MONTH(A7055)),INDEX(Settings!$B$29:$B$40,MONTH(A7055)))))</f>
        <v/>
      </c>
    </row>
    <row r="7056" customFormat="false" ht="15" hidden="false" customHeight="false" outlineLevel="0" collapsed="false">
      <c r="H7056" s="0" t="str">
        <f aca="false">IF(B7056="","",IF(COUNTIF(Campaigns!$A$7:$A$300,B7056)&gt;0,"✓","⚠ add to Campaigns tab"))</f>
        <v/>
      </c>
      <c r="I7056" s="84" t="str">
        <f aca="false">IF(C7056="","",C7056*IF(Settings!$B$23=Settings!$C$6,1,IF(Settings!$B$23="USD",1/INDEX(Settings!$B$29:$B$40,MONTH(A7056)),INDEX(Settings!$B$29:$B$40,MONTH(A7056)))))</f>
        <v/>
      </c>
    </row>
    <row r="7057" customFormat="false" ht="15" hidden="false" customHeight="false" outlineLevel="0" collapsed="false">
      <c r="H7057" s="0" t="str">
        <f aca="false">IF(B7057="","",IF(COUNTIF(Campaigns!$A$7:$A$300,B7057)&gt;0,"✓","⚠ add to Campaigns tab"))</f>
        <v/>
      </c>
      <c r="I7057" s="84" t="str">
        <f aca="false">IF(C7057="","",C7057*IF(Settings!$B$23=Settings!$C$6,1,IF(Settings!$B$23="USD",1/INDEX(Settings!$B$29:$B$40,MONTH(A7057)),INDEX(Settings!$B$29:$B$40,MONTH(A7057)))))</f>
        <v/>
      </c>
    </row>
    <row r="7058" customFormat="false" ht="15" hidden="false" customHeight="false" outlineLevel="0" collapsed="false">
      <c r="H7058" s="0" t="str">
        <f aca="false">IF(B7058="","",IF(COUNTIF(Campaigns!$A$7:$A$300,B7058)&gt;0,"✓","⚠ add to Campaigns tab"))</f>
        <v/>
      </c>
      <c r="I7058" s="84" t="str">
        <f aca="false">IF(C7058="","",C7058*IF(Settings!$B$23=Settings!$C$6,1,IF(Settings!$B$23="USD",1/INDEX(Settings!$B$29:$B$40,MONTH(A7058)),INDEX(Settings!$B$29:$B$40,MONTH(A7058)))))</f>
        <v/>
      </c>
    </row>
    <row r="7059" customFormat="false" ht="15" hidden="false" customHeight="false" outlineLevel="0" collapsed="false">
      <c r="H7059" s="0" t="str">
        <f aca="false">IF(B7059="","",IF(COUNTIF(Campaigns!$A$7:$A$300,B7059)&gt;0,"✓","⚠ add to Campaigns tab"))</f>
        <v/>
      </c>
      <c r="I7059" s="84" t="str">
        <f aca="false">IF(C7059="","",C7059*IF(Settings!$B$23=Settings!$C$6,1,IF(Settings!$B$23="USD",1/INDEX(Settings!$B$29:$B$40,MONTH(A7059)),INDEX(Settings!$B$29:$B$40,MONTH(A7059)))))</f>
        <v/>
      </c>
    </row>
    <row r="7060" customFormat="false" ht="15" hidden="false" customHeight="false" outlineLevel="0" collapsed="false">
      <c r="H7060" s="0" t="str">
        <f aca="false">IF(B7060="","",IF(COUNTIF(Campaigns!$A$7:$A$300,B7060)&gt;0,"✓","⚠ add to Campaigns tab"))</f>
        <v/>
      </c>
      <c r="I7060" s="84" t="str">
        <f aca="false">IF(C7060="","",C7060*IF(Settings!$B$23=Settings!$C$6,1,IF(Settings!$B$23="USD",1/INDEX(Settings!$B$29:$B$40,MONTH(A7060)),INDEX(Settings!$B$29:$B$40,MONTH(A7060)))))</f>
        <v/>
      </c>
    </row>
    <row r="7061" customFormat="false" ht="15" hidden="false" customHeight="false" outlineLevel="0" collapsed="false">
      <c r="H7061" s="0" t="str">
        <f aca="false">IF(B7061="","",IF(COUNTIF(Campaigns!$A$7:$A$300,B7061)&gt;0,"✓","⚠ add to Campaigns tab"))</f>
        <v/>
      </c>
      <c r="I7061" s="84" t="str">
        <f aca="false">IF(C7061="","",C7061*IF(Settings!$B$23=Settings!$C$6,1,IF(Settings!$B$23="USD",1/INDEX(Settings!$B$29:$B$40,MONTH(A7061)),INDEX(Settings!$B$29:$B$40,MONTH(A7061)))))</f>
        <v/>
      </c>
    </row>
    <row r="7062" customFormat="false" ht="15" hidden="false" customHeight="false" outlineLevel="0" collapsed="false">
      <c r="H7062" s="0" t="str">
        <f aca="false">IF(B7062="","",IF(COUNTIF(Campaigns!$A$7:$A$300,B7062)&gt;0,"✓","⚠ add to Campaigns tab"))</f>
        <v/>
      </c>
      <c r="I7062" s="84" t="str">
        <f aca="false">IF(C7062="","",C7062*IF(Settings!$B$23=Settings!$C$6,1,IF(Settings!$B$23="USD",1/INDEX(Settings!$B$29:$B$40,MONTH(A7062)),INDEX(Settings!$B$29:$B$40,MONTH(A7062)))))</f>
        <v/>
      </c>
    </row>
    <row r="7063" customFormat="false" ht="15" hidden="false" customHeight="false" outlineLevel="0" collapsed="false">
      <c r="H7063" s="0" t="str">
        <f aca="false">IF(B7063="","",IF(COUNTIF(Campaigns!$A$7:$A$300,B7063)&gt;0,"✓","⚠ add to Campaigns tab"))</f>
        <v/>
      </c>
      <c r="I7063" s="84" t="str">
        <f aca="false">IF(C7063="","",C7063*IF(Settings!$B$23=Settings!$C$6,1,IF(Settings!$B$23="USD",1/INDEX(Settings!$B$29:$B$40,MONTH(A7063)),INDEX(Settings!$B$29:$B$40,MONTH(A7063)))))</f>
        <v/>
      </c>
    </row>
    <row r="7064" customFormat="false" ht="15" hidden="false" customHeight="false" outlineLevel="0" collapsed="false">
      <c r="H7064" s="0" t="str">
        <f aca="false">IF(B7064="","",IF(COUNTIF(Campaigns!$A$7:$A$300,B7064)&gt;0,"✓","⚠ add to Campaigns tab"))</f>
        <v/>
      </c>
      <c r="I7064" s="84" t="str">
        <f aca="false">IF(C7064="","",C7064*IF(Settings!$B$23=Settings!$C$6,1,IF(Settings!$B$23="USD",1/INDEX(Settings!$B$29:$B$40,MONTH(A7064)),INDEX(Settings!$B$29:$B$40,MONTH(A7064)))))</f>
        <v/>
      </c>
    </row>
    <row r="7065" customFormat="false" ht="15" hidden="false" customHeight="false" outlineLevel="0" collapsed="false">
      <c r="H7065" s="0" t="str">
        <f aca="false">IF(B7065="","",IF(COUNTIF(Campaigns!$A$7:$A$300,B7065)&gt;0,"✓","⚠ add to Campaigns tab"))</f>
        <v/>
      </c>
      <c r="I7065" s="84" t="str">
        <f aca="false">IF(C7065="","",C7065*IF(Settings!$B$23=Settings!$C$6,1,IF(Settings!$B$23="USD",1/INDEX(Settings!$B$29:$B$40,MONTH(A7065)),INDEX(Settings!$B$29:$B$40,MONTH(A7065)))))</f>
        <v/>
      </c>
    </row>
    <row r="7066" customFormat="false" ht="15" hidden="false" customHeight="false" outlineLevel="0" collapsed="false">
      <c r="H7066" s="0" t="str">
        <f aca="false">IF(B7066="","",IF(COUNTIF(Campaigns!$A$7:$A$300,B7066)&gt;0,"✓","⚠ add to Campaigns tab"))</f>
        <v/>
      </c>
      <c r="I7066" s="84" t="str">
        <f aca="false">IF(C7066="","",C7066*IF(Settings!$B$23=Settings!$C$6,1,IF(Settings!$B$23="USD",1/INDEX(Settings!$B$29:$B$40,MONTH(A7066)),INDEX(Settings!$B$29:$B$40,MONTH(A7066)))))</f>
        <v/>
      </c>
    </row>
    <row r="7067" customFormat="false" ht="15" hidden="false" customHeight="false" outlineLevel="0" collapsed="false">
      <c r="H7067" s="0" t="str">
        <f aca="false">IF(B7067="","",IF(COUNTIF(Campaigns!$A$7:$A$300,B7067)&gt;0,"✓","⚠ add to Campaigns tab"))</f>
        <v/>
      </c>
      <c r="I7067" s="84" t="str">
        <f aca="false">IF(C7067="","",C7067*IF(Settings!$B$23=Settings!$C$6,1,IF(Settings!$B$23="USD",1/INDEX(Settings!$B$29:$B$40,MONTH(A7067)),INDEX(Settings!$B$29:$B$40,MONTH(A7067)))))</f>
        <v/>
      </c>
    </row>
    <row r="7068" customFormat="false" ht="15" hidden="false" customHeight="false" outlineLevel="0" collapsed="false">
      <c r="H7068" s="0" t="str">
        <f aca="false">IF(B7068="","",IF(COUNTIF(Campaigns!$A$7:$A$300,B7068)&gt;0,"✓","⚠ add to Campaigns tab"))</f>
        <v/>
      </c>
      <c r="I7068" s="84" t="str">
        <f aca="false">IF(C7068="","",C7068*IF(Settings!$B$23=Settings!$C$6,1,IF(Settings!$B$23="USD",1/INDEX(Settings!$B$29:$B$40,MONTH(A7068)),INDEX(Settings!$B$29:$B$40,MONTH(A7068)))))</f>
        <v/>
      </c>
    </row>
    <row r="7069" customFormat="false" ht="15" hidden="false" customHeight="false" outlineLevel="0" collapsed="false">
      <c r="H7069" s="0" t="str">
        <f aca="false">IF(B7069="","",IF(COUNTIF(Campaigns!$A$7:$A$300,B7069)&gt;0,"✓","⚠ add to Campaigns tab"))</f>
        <v/>
      </c>
      <c r="I7069" s="84" t="str">
        <f aca="false">IF(C7069="","",C7069*IF(Settings!$B$23=Settings!$C$6,1,IF(Settings!$B$23="USD",1/INDEX(Settings!$B$29:$B$40,MONTH(A7069)),INDEX(Settings!$B$29:$B$40,MONTH(A7069)))))</f>
        <v/>
      </c>
    </row>
    <row r="7070" customFormat="false" ht="15" hidden="false" customHeight="false" outlineLevel="0" collapsed="false">
      <c r="H7070" s="0" t="str">
        <f aca="false">IF(B7070="","",IF(COUNTIF(Campaigns!$A$7:$A$300,B7070)&gt;0,"✓","⚠ add to Campaigns tab"))</f>
        <v/>
      </c>
      <c r="I7070" s="84" t="str">
        <f aca="false">IF(C7070="","",C7070*IF(Settings!$B$23=Settings!$C$6,1,IF(Settings!$B$23="USD",1/INDEX(Settings!$B$29:$B$40,MONTH(A7070)),INDEX(Settings!$B$29:$B$40,MONTH(A7070)))))</f>
        <v/>
      </c>
    </row>
    <row r="7071" customFormat="false" ht="15" hidden="false" customHeight="false" outlineLevel="0" collapsed="false">
      <c r="H7071" s="0" t="str">
        <f aca="false">IF(B7071="","",IF(COUNTIF(Campaigns!$A$7:$A$300,B7071)&gt;0,"✓","⚠ add to Campaigns tab"))</f>
        <v/>
      </c>
      <c r="I7071" s="84" t="str">
        <f aca="false">IF(C7071="","",C7071*IF(Settings!$B$23=Settings!$C$6,1,IF(Settings!$B$23="USD",1/INDEX(Settings!$B$29:$B$40,MONTH(A7071)),INDEX(Settings!$B$29:$B$40,MONTH(A7071)))))</f>
        <v/>
      </c>
    </row>
    <row r="7072" customFormat="false" ht="15" hidden="false" customHeight="false" outlineLevel="0" collapsed="false">
      <c r="H7072" s="0" t="str">
        <f aca="false">IF(B7072="","",IF(COUNTIF(Campaigns!$A$7:$A$300,B7072)&gt;0,"✓","⚠ add to Campaigns tab"))</f>
        <v/>
      </c>
      <c r="I7072" s="84" t="str">
        <f aca="false">IF(C7072="","",C7072*IF(Settings!$B$23=Settings!$C$6,1,IF(Settings!$B$23="USD",1/INDEX(Settings!$B$29:$B$40,MONTH(A7072)),INDEX(Settings!$B$29:$B$40,MONTH(A7072)))))</f>
        <v/>
      </c>
    </row>
    <row r="7073" customFormat="false" ht="15" hidden="false" customHeight="false" outlineLevel="0" collapsed="false">
      <c r="H7073" s="0" t="str">
        <f aca="false">IF(B7073="","",IF(COUNTIF(Campaigns!$A$7:$A$300,B7073)&gt;0,"✓","⚠ add to Campaigns tab"))</f>
        <v/>
      </c>
      <c r="I7073" s="84" t="str">
        <f aca="false">IF(C7073="","",C7073*IF(Settings!$B$23=Settings!$C$6,1,IF(Settings!$B$23="USD",1/INDEX(Settings!$B$29:$B$40,MONTH(A7073)),INDEX(Settings!$B$29:$B$40,MONTH(A7073)))))</f>
        <v/>
      </c>
    </row>
    <row r="7074" customFormat="false" ht="15" hidden="false" customHeight="false" outlineLevel="0" collapsed="false">
      <c r="H7074" s="0" t="str">
        <f aca="false">IF(B7074="","",IF(COUNTIF(Campaigns!$A$7:$A$300,B7074)&gt;0,"✓","⚠ add to Campaigns tab"))</f>
        <v/>
      </c>
      <c r="I7074" s="84" t="str">
        <f aca="false">IF(C7074="","",C7074*IF(Settings!$B$23=Settings!$C$6,1,IF(Settings!$B$23="USD",1/INDEX(Settings!$B$29:$B$40,MONTH(A7074)),INDEX(Settings!$B$29:$B$40,MONTH(A7074)))))</f>
        <v/>
      </c>
    </row>
    <row r="7075" customFormat="false" ht="15" hidden="false" customHeight="false" outlineLevel="0" collapsed="false">
      <c r="H7075" s="0" t="str">
        <f aca="false">IF(B7075="","",IF(COUNTIF(Campaigns!$A$7:$A$300,B7075)&gt;0,"✓","⚠ add to Campaigns tab"))</f>
        <v/>
      </c>
      <c r="I7075" s="84" t="str">
        <f aca="false">IF(C7075="","",C7075*IF(Settings!$B$23=Settings!$C$6,1,IF(Settings!$B$23="USD",1/INDEX(Settings!$B$29:$B$40,MONTH(A7075)),INDEX(Settings!$B$29:$B$40,MONTH(A7075)))))</f>
        <v/>
      </c>
    </row>
    <row r="7076" customFormat="false" ht="15" hidden="false" customHeight="false" outlineLevel="0" collapsed="false">
      <c r="H7076" s="0" t="str">
        <f aca="false">IF(B7076="","",IF(COUNTIF(Campaigns!$A$7:$A$300,B7076)&gt;0,"✓","⚠ add to Campaigns tab"))</f>
        <v/>
      </c>
      <c r="I7076" s="84" t="str">
        <f aca="false">IF(C7076="","",C7076*IF(Settings!$B$23=Settings!$C$6,1,IF(Settings!$B$23="USD",1/INDEX(Settings!$B$29:$B$40,MONTH(A7076)),INDEX(Settings!$B$29:$B$40,MONTH(A7076)))))</f>
        <v/>
      </c>
    </row>
    <row r="7077" customFormat="false" ht="15" hidden="false" customHeight="false" outlineLevel="0" collapsed="false">
      <c r="H7077" s="0" t="str">
        <f aca="false">IF(B7077="","",IF(COUNTIF(Campaigns!$A$7:$A$300,B7077)&gt;0,"✓","⚠ add to Campaigns tab"))</f>
        <v/>
      </c>
      <c r="I7077" s="84" t="str">
        <f aca="false">IF(C7077="","",C7077*IF(Settings!$B$23=Settings!$C$6,1,IF(Settings!$B$23="USD",1/INDEX(Settings!$B$29:$B$40,MONTH(A7077)),INDEX(Settings!$B$29:$B$40,MONTH(A7077)))))</f>
        <v/>
      </c>
    </row>
    <row r="7078" customFormat="false" ht="15" hidden="false" customHeight="false" outlineLevel="0" collapsed="false">
      <c r="H7078" s="0" t="str">
        <f aca="false">IF(B7078="","",IF(COUNTIF(Campaigns!$A$7:$A$300,B7078)&gt;0,"✓","⚠ add to Campaigns tab"))</f>
        <v/>
      </c>
      <c r="I7078" s="84" t="str">
        <f aca="false">IF(C7078="","",C7078*IF(Settings!$B$23=Settings!$C$6,1,IF(Settings!$B$23="USD",1/INDEX(Settings!$B$29:$B$40,MONTH(A7078)),INDEX(Settings!$B$29:$B$40,MONTH(A7078)))))</f>
        <v/>
      </c>
    </row>
    <row r="7079" customFormat="false" ht="15" hidden="false" customHeight="false" outlineLevel="0" collapsed="false">
      <c r="H7079" s="0" t="str">
        <f aca="false">IF(B7079="","",IF(COUNTIF(Campaigns!$A$7:$A$300,B7079)&gt;0,"✓","⚠ add to Campaigns tab"))</f>
        <v/>
      </c>
      <c r="I7079" s="84" t="str">
        <f aca="false">IF(C7079="","",C7079*IF(Settings!$B$23=Settings!$C$6,1,IF(Settings!$B$23="USD",1/INDEX(Settings!$B$29:$B$40,MONTH(A7079)),INDEX(Settings!$B$29:$B$40,MONTH(A7079)))))</f>
        <v/>
      </c>
    </row>
    <row r="7080" customFormat="false" ht="15" hidden="false" customHeight="false" outlineLevel="0" collapsed="false">
      <c r="H7080" s="0" t="str">
        <f aca="false">IF(B7080="","",IF(COUNTIF(Campaigns!$A$7:$A$300,B7080)&gt;0,"✓","⚠ add to Campaigns tab"))</f>
        <v/>
      </c>
      <c r="I7080" s="84" t="str">
        <f aca="false">IF(C7080="","",C7080*IF(Settings!$B$23=Settings!$C$6,1,IF(Settings!$B$23="USD",1/INDEX(Settings!$B$29:$B$40,MONTH(A7080)),INDEX(Settings!$B$29:$B$40,MONTH(A7080)))))</f>
        <v/>
      </c>
    </row>
    <row r="7081" customFormat="false" ht="15" hidden="false" customHeight="false" outlineLevel="0" collapsed="false">
      <c r="H7081" s="0" t="str">
        <f aca="false">IF(B7081="","",IF(COUNTIF(Campaigns!$A$7:$A$300,B7081)&gt;0,"✓","⚠ add to Campaigns tab"))</f>
        <v/>
      </c>
      <c r="I7081" s="84" t="str">
        <f aca="false">IF(C7081="","",C7081*IF(Settings!$B$23=Settings!$C$6,1,IF(Settings!$B$23="USD",1/INDEX(Settings!$B$29:$B$40,MONTH(A7081)),INDEX(Settings!$B$29:$B$40,MONTH(A7081)))))</f>
        <v/>
      </c>
    </row>
    <row r="7082" customFormat="false" ht="15" hidden="false" customHeight="false" outlineLevel="0" collapsed="false">
      <c r="H7082" s="0" t="str">
        <f aca="false">IF(B7082="","",IF(COUNTIF(Campaigns!$A$7:$A$300,B7082)&gt;0,"✓","⚠ add to Campaigns tab"))</f>
        <v/>
      </c>
      <c r="I7082" s="84" t="str">
        <f aca="false">IF(C7082="","",C7082*IF(Settings!$B$23=Settings!$C$6,1,IF(Settings!$B$23="USD",1/INDEX(Settings!$B$29:$B$40,MONTH(A7082)),INDEX(Settings!$B$29:$B$40,MONTH(A7082)))))</f>
        <v/>
      </c>
    </row>
    <row r="7083" customFormat="false" ht="15" hidden="false" customHeight="false" outlineLevel="0" collapsed="false">
      <c r="H7083" s="0" t="str">
        <f aca="false">IF(B7083="","",IF(COUNTIF(Campaigns!$A$7:$A$300,B7083)&gt;0,"✓","⚠ add to Campaigns tab"))</f>
        <v/>
      </c>
      <c r="I7083" s="84" t="str">
        <f aca="false">IF(C7083="","",C7083*IF(Settings!$B$23=Settings!$C$6,1,IF(Settings!$B$23="USD",1/INDEX(Settings!$B$29:$B$40,MONTH(A7083)),INDEX(Settings!$B$29:$B$40,MONTH(A7083)))))</f>
        <v/>
      </c>
    </row>
    <row r="7084" customFormat="false" ht="15" hidden="false" customHeight="false" outlineLevel="0" collapsed="false">
      <c r="H7084" s="0" t="str">
        <f aca="false">IF(B7084="","",IF(COUNTIF(Campaigns!$A$7:$A$300,B7084)&gt;0,"✓","⚠ add to Campaigns tab"))</f>
        <v/>
      </c>
      <c r="I7084" s="84" t="str">
        <f aca="false">IF(C7084="","",C7084*IF(Settings!$B$23=Settings!$C$6,1,IF(Settings!$B$23="USD",1/INDEX(Settings!$B$29:$B$40,MONTH(A7084)),INDEX(Settings!$B$29:$B$40,MONTH(A7084)))))</f>
        <v/>
      </c>
    </row>
    <row r="7085" customFormat="false" ht="15" hidden="false" customHeight="false" outlineLevel="0" collapsed="false">
      <c r="H7085" s="0" t="str">
        <f aca="false">IF(B7085="","",IF(COUNTIF(Campaigns!$A$7:$A$300,B7085)&gt;0,"✓","⚠ add to Campaigns tab"))</f>
        <v/>
      </c>
      <c r="I7085" s="84" t="str">
        <f aca="false">IF(C7085="","",C7085*IF(Settings!$B$23=Settings!$C$6,1,IF(Settings!$B$23="USD",1/INDEX(Settings!$B$29:$B$40,MONTH(A7085)),INDEX(Settings!$B$29:$B$40,MONTH(A7085)))))</f>
        <v/>
      </c>
    </row>
    <row r="7086" customFormat="false" ht="15" hidden="false" customHeight="false" outlineLevel="0" collapsed="false">
      <c r="H7086" s="0" t="str">
        <f aca="false">IF(B7086="","",IF(COUNTIF(Campaigns!$A$7:$A$300,B7086)&gt;0,"✓","⚠ add to Campaigns tab"))</f>
        <v/>
      </c>
      <c r="I7086" s="84" t="str">
        <f aca="false">IF(C7086="","",C7086*IF(Settings!$B$23=Settings!$C$6,1,IF(Settings!$B$23="USD",1/INDEX(Settings!$B$29:$B$40,MONTH(A7086)),INDEX(Settings!$B$29:$B$40,MONTH(A7086)))))</f>
        <v/>
      </c>
    </row>
    <row r="7087" customFormat="false" ht="15" hidden="false" customHeight="false" outlineLevel="0" collapsed="false">
      <c r="H7087" s="0" t="str">
        <f aca="false">IF(B7087="","",IF(COUNTIF(Campaigns!$A$7:$A$300,B7087)&gt;0,"✓","⚠ add to Campaigns tab"))</f>
        <v/>
      </c>
      <c r="I7087" s="84" t="str">
        <f aca="false">IF(C7087="","",C7087*IF(Settings!$B$23=Settings!$C$6,1,IF(Settings!$B$23="USD",1/INDEX(Settings!$B$29:$B$40,MONTH(A7087)),INDEX(Settings!$B$29:$B$40,MONTH(A7087)))))</f>
        <v/>
      </c>
    </row>
    <row r="7088" customFormat="false" ht="15" hidden="false" customHeight="false" outlineLevel="0" collapsed="false">
      <c r="H7088" s="0" t="str">
        <f aca="false">IF(B7088="","",IF(COUNTIF(Campaigns!$A$7:$A$300,B7088)&gt;0,"✓","⚠ add to Campaigns tab"))</f>
        <v/>
      </c>
      <c r="I7088" s="84" t="str">
        <f aca="false">IF(C7088="","",C7088*IF(Settings!$B$23=Settings!$C$6,1,IF(Settings!$B$23="USD",1/INDEX(Settings!$B$29:$B$40,MONTH(A7088)),INDEX(Settings!$B$29:$B$40,MONTH(A7088)))))</f>
        <v/>
      </c>
    </row>
    <row r="7089" customFormat="false" ht="15" hidden="false" customHeight="false" outlineLevel="0" collapsed="false">
      <c r="H7089" s="0" t="str">
        <f aca="false">IF(B7089="","",IF(COUNTIF(Campaigns!$A$7:$A$300,B7089)&gt;0,"✓","⚠ add to Campaigns tab"))</f>
        <v/>
      </c>
      <c r="I7089" s="84" t="str">
        <f aca="false">IF(C7089="","",C7089*IF(Settings!$B$23=Settings!$C$6,1,IF(Settings!$B$23="USD",1/INDEX(Settings!$B$29:$B$40,MONTH(A7089)),INDEX(Settings!$B$29:$B$40,MONTH(A7089)))))</f>
        <v/>
      </c>
    </row>
    <row r="7090" customFormat="false" ht="15" hidden="false" customHeight="false" outlineLevel="0" collapsed="false">
      <c r="H7090" s="0" t="str">
        <f aca="false">IF(B7090="","",IF(COUNTIF(Campaigns!$A$7:$A$300,B7090)&gt;0,"✓","⚠ add to Campaigns tab"))</f>
        <v/>
      </c>
      <c r="I7090" s="84" t="str">
        <f aca="false">IF(C7090="","",C7090*IF(Settings!$B$23=Settings!$C$6,1,IF(Settings!$B$23="USD",1/INDEX(Settings!$B$29:$B$40,MONTH(A7090)),INDEX(Settings!$B$29:$B$40,MONTH(A7090)))))</f>
        <v/>
      </c>
    </row>
    <row r="7091" customFormat="false" ht="15" hidden="false" customHeight="false" outlineLevel="0" collapsed="false">
      <c r="H7091" s="0" t="str">
        <f aca="false">IF(B7091="","",IF(COUNTIF(Campaigns!$A$7:$A$300,B7091)&gt;0,"✓","⚠ add to Campaigns tab"))</f>
        <v/>
      </c>
      <c r="I7091" s="84" t="str">
        <f aca="false">IF(C7091="","",C7091*IF(Settings!$B$23=Settings!$C$6,1,IF(Settings!$B$23="USD",1/INDEX(Settings!$B$29:$B$40,MONTH(A7091)),INDEX(Settings!$B$29:$B$40,MONTH(A7091)))))</f>
        <v/>
      </c>
    </row>
    <row r="7092" customFormat="false" ht="15" hidden="false" customHeight="false" outlineLevel="0" collapsed="false">
      <c r="H7092" s="0" t="str">
        <f aca="false">IF(B7092="","",IF(COUNTIF(Campaigns!$A$7:$A$300,B7092)&gt;0,"✓","⚠ add to Campaigns tab"))</f>
        <v/>
      </c>
      <c r="I7092" s="84" t="str">
        <f aca="false">IF(C7092="","",C7092*IF(Settings!$B$23=Settings!$C$6,1,IF(Settings!$B$23="USD",1/INDEX(Settings!$B$29:$B$40,MONTH(A7092)),INDEX(Settings!$B$29:$B$40,MONTH(A7092)))))</f>
        <v/>
      </c>
    </row>
    <row r="7093" customFormat="false" ht="15" hidden="false" customHeight="false" outlineLevel="0" collapsed="false">
      <c r="H7093" s="0" t="str">
        <f aca="false">IF(B7093="","",IF(COUNTIF(Campaigns!$A$7:$A$300,B7093)&gt;0,"✓","⚠ add to Campaigns tab"))</f>
        <v/>
      </c>
      <c r="I7093" s="84" t="str">
        <f aca="false">IF(C7093="","",C7093*IF(Settings!$B$23=Settings!$C$6,1,IF(Settings!$B$23="USD",1/INDEX(Settings!$B$29:$B$40,MONTH(A7093)),INDEX(Settings!$B$29:$B$40,MONTH(A7093)))))</f>
        <v/>
      </c>
    </row>
    <row r="7094" customFormat="false" ht="15" hidden="false" customHeight="false" outlineLevel="0" collapsed="false">
      <c r="H7094" s="0" t="str">
        <f aca="false">IF(B7094="","",IF(COUNTIF(Campaigns!$A$7:$A$300,B7094)&gt;0,"✓","⚠ add to Campaigns tab"))</f>
        <v/>
      </c>
      <c r="I7094" s="84" t="str">
        <f aca="false">IF(C7094="","",C7094*IF(Settings!$B$23=Settings!$C$6,1,IF(Settings!$B$23="USD",1/INDEX(Settings!$B$29:$B$40,MONTH(A7094)),INDEX(Settings!$B$29:$B$40,MONTH(A7094)))))</f>
        <v/>
      </c>
    </row>
    <row r="7095" customFormat="false" ht="15" hidden="false" customHeight="false" outlineLevel="0" collapsed="false">
      <c r="H7095" s="0" t="str">
        <f aca="false">IF(B7095="","",IF(COUNTIF(Campaigns!$A$7:$A$300,B7095)&gt;0,"✓","⚠ add to Campaigns tab"))</f>
        <v/>
      </c>
      <c r="I7095" s="84" t="str">
        <f aca="false">IF(C7095="","",C7095*IF(Settings!$B$23=Settings!$C$6,1,IF(Settings!$B$23="USD",1/INDEX(Settings!$B$29:$B$40,MONTH(A7095)),INDEX(Settings!$B$29:$B$40,MONTH(A7095)))))</f>
        <v/>
      </c>
    </row>
    <row r="7096" customFormat="false" ht="15" hidden="false" customHeight="false" outlineLevel="0" collapsed="false">
      <c r="H7096" s="0" t="str">
        <f aca="false">IF(B7096="","",IF(COUNTIF(Campaigns!$A$7:$A$300,B7096)&gt;0,"✓","⚠ add to Campaigns tab"))</f>
        <v/>
      </c>
      <c r="I7096" s="84" t="str">
        <f aca="false">IF(C7096="","",C7096*IF(Settings!$B$23=Settings!$C$6,1,IF(Settings!$B$23="USD",1/INDEX(Settings!$B$29:$B$40,MONTH(A7096)),INDEX(Settings!$B$29:$B$40,MONTH(A7096)))))</f>
        <v/>
      </c>
    </row>
    <row r="7097" customFormat="false" ht="15" hidden="false" customHeight="false" outlineLevel="0" collapsed="false">
      <c r="H7097" s="0" t="str">
        <f aca="false">IF(B7097="","",IF(COUNTIF(Campaigns!$A$7:$A$300,B7097)&gt;0,"✓","⚠ add to Campaigns tab"))</f>
        <v/>
      </c>
      <c r="I7097" s="84" t="str">
        <f aca="false">IF(C7097="","",C7097*IF(Settings!$B$23=Settings!$C$6,1,IF(Settings!$B$23="USD",1/INDEX(Settings!$B$29:$B$40,MONTH(A7097)),INDEX(Settings!$B$29:$B$40,MONTH(A7097)))))</f>
        <v/>
      </c>
    </row>
    <row r="7098" customFormat="false" ht="15" hidden="false" customHeight="false" outlineLevel="0" collapsed="false">
      <c r="H7098" s="0" t="str">
        <f aca="false">IF(B7098="","",IF(COUNTIF(Campaigns!$A$7:$A$300,B7098)&gt;0,"✓","⚠ add to Campaigns tab"))</f>
        <v/>
      </c>
      <c r="I7098" s="84" t="str">
        <f aca="false">IF(C7098="","",C7098*IF(Settings!$B$23=Settings!$C$6,1,IF(Settings!$B$23="USD",1/INDEX(Settings!$B$29:$B$40,MONTH(A7098)),INDEX(Settings!$B$29:$B$40,MONTH(A7098)))))</f>
        <v/>
      </c>
    </row>
    <row r="7099" customFormat="false" ht="15" hidden="false" customHeight="false" outlineLevel="0" collapsed="false">
      <c r="H7099" s="0" t="str">
        <f aca="false">IF(B7099="","",IF(COUNTIF(Campaigns!$A$7:$A$300,B7099)&gt;0,"✓","⚠ add to Campaigns tab"))</f>
        <v/>
      </c>
      <c r="I7099" s="84" t="str">
        <f aca="false">IF(C7099="","",C7099*IF(Settings!$B$23=Settings!$C$6,1,IF(Settings!$B$23="USD",1/INDEX(Settings!$B$29:$B$40,MONTH(A7099)),INDEX(Settings!$B$29:$B$40,MONTH(A7099)))))</f>
        <v/>
      </c>
    </row>
    <row r="7100" customFormat="false" ht="15" hidden="false" customHeight="false" outlineLevel="0" collapsed="false">
      <c r="H7100" s="0" t="str">
        <f aca="false">IF(B7100="","",IF(COUNTIF(Campaigns!$A$7:$A$300,B7100)&gt;0,"✓","⚠ add to Campaigns tab"))</f>
        <v/>
      </c>
      <c r="I7100" s="84" t="str">
        <f aca="false">IF(C7100="","",C7100*IF(Settings!$B$23=Settings!$C$6,1,IF(Settings!$B$23="USD",1/INDEX(Settings!$B$29:$B$40,MONTH(A7100)),INDEX(Settings!$B$29:$B$40,MONTH(A7100)))))</f>
        <v/>
      </c>
    </row>
    <row r="7101" customFormat="false" ht="15" hidden="false" customHeight="false" outlineLevel="0" collapsed="false">
      <c r="H7101" s="0" t="str">
        <f aca="false">IF(B7101="","",IF(COUNTIF(Campaigns!$A$7:$A$300,B7101)&gt;0,"✓","⚠ add to Campaigns tab"))</f>
        <v/>
      </c>
      <c r="I7101" s="84" t="str">
        <f aca="false">IF(C7101="","",C7101*IF(Settings!$B$23=Settings!$C$6,1,IF(Settings!$B$23="USD",1/INDEX(Settings!$B$29:$B$40,MONTH(A7101)),INDEX(Settings!$B$29:$B$40,MONTH(A7101)))))</f>
        <v/>
      </c>
    </row>
    <row r="7102" customFormat="false" ht="15" hidden="false" customHeight="false" outlineLevel="0" collapsed="false">
      <c r="H7102" s="0" t="str">
        <f aca="false">IF(B7102="","",IF(COUNTIF(Campaigns!$A$7:$A$300,B7102)&gt;0,"✓","⚠ add to Campaigns tab"))</f>
        <v/>
      </c>
      <c r="I7102" s="84" t="str">
        <f aca="false">IF(C7102="","",C7102*IF(Settings!$B$23=Settings!$C$6,1,IF(Settings!$B$23="USD",1/INDEX(Settings!$B$29:$B$40,MONTH(A7102)),INDEX(Settings!$B$29:$B$40,MONTH(A7102)))))</f>
        <v/>
      </c>
    </row>
    <row r="7103" customFormat="false" ht="15" hidden="false" customHeight="false" outlineLevel="0" collapsed="false">
      <c r="H7103" s="0" t="str">
        <f aca="false">IF(B7103="","",IF(COUNTIF(Campaigns!$A$7:$A$300,B7103)&gt;0,"✓","⚠ add to Campaigns tab"))</f>
        <v/>
      </c>
      <c r="I7103" s="84" t="str">
        <f aca="false">IF(C7103="","",C7103*IF(Settings!$B$23=Settings!$C$6,1,IF(Settings!$B$23="USD",1/INDEX(Settings!$B$29:$B$40,MONTH(A7103)),INDEX(Settings!$B$29:$B$40,MONTH(A7103)))))</f>
        <v/>
      </c>
    </row>
    <row r="7104" customFormat="false" ht="15" hidden="false" customHeight="false" outlineLevel="0" collapsed="false">
      <c r="H7104" s="0" t="str">
        <f aca="false">IF(B7104="","",IF(COUNTIF(Campaigns!$A$7:$A$300,B7104)&gt;0,"✓","⚠ add to Campaigns tab"))</f>
        <v/>
      </c>
      <c r="I7104" s="84" t="str">
        <f aca="false">IF(C7104="","",C7104*IF(Settings!$B$23=Settings!$C$6,1,IF(Settings!$B$23="USD",1/INDEX(Settings!$B$29:$B$40,MONTH(A7104)),INDEX(Settings!$B$29:$B$40,MONTH(A7104)))))</f>
        <v/>
      </c>
    </row>
    <row r="7105" customFormat="false" ht="15" hidden="false" customHeight="false" outlineLevel="0" collapsed="false">
      <c r="H7105" s="0" t="str">
        <f aca="false">IF(B7105="","",IF(COUNTIF(Campaigns!$A$7:$A$300,B7105)&gt;0,"✓","⚠ add to Campaigns tab"))</f>
        <v/>
      </c>
      <c r="I7105" s="84" t="str">
        <f aca="false">IF(C7105="","",C7105*IF(Settings!$B$23=Settings!$C$6,1,IF(Settings!$B$23="USD",1/INDEX(Settings!$B$29:$B$40,MONTH(A7105)),INDEX(Settings!$B$29:$B$40,MONTH(A7105)))))</f>
        <v/>
      </c>
    </row>
    <row r="7106" customFormat="false" ht="15" hidden="false" customHeight="false" outlineLevel="0" collapsed="false">
      <c r="H7106" s="0" t="str">
        <f aca="false">IF(B7106="","",IF(COUNTIF(Campaigns!$A$7:$A$300,B7106)&gt;0,"✓","⚠ add to Campaigns tab"))</f>
        <v/>
      </c>
      <c r="I7106" s="84" t="str">
        <f aca="false">IF(C7106="","",C7106*IF(Settings!$B$23=Settings!$C$6,1,IF(Settings!$B$23="USD",1/INDEX(Settings!$B$29:$B$40,MONTH(A7106)),INDEX(Settings!$B$29:$B$40,MONTH(A7106)))))</f>
        <v/>
      </c>
    </row>
    <row r="7107" customFormat="false" ht="15" hidden="false" customHeight="false" outlineLevel="0" collapsed="false">
      <c r="H7107" s="0" t="str">
        <f aca="false">IF(B7107="","",IF(COUNTIF(Campaigns!$A$7:$A$300,B7107)&gt;0,"✓","⚠ add to Campaigns tab"))</f>
        <v/>
      </c>
      <c r="I7107" s="84" t="str">
        <f aca="false">IF(C7107="","",C7107*IF(Settings!$B$23=Settings!$C$6,1,IF(Settings!$B$23="USD",1/INDEX(Settings!$B$29:$B$40,MONTH(A7107)),INDEX(Settings!$B$29:$B$40,MONTH(A7107)))))</f>
        <v/>
      </c>
    </row>
    <row r="7108" customFormat="false" ht="15" hidden="false" customHeight="false" outlineLevel="0" collapsed="false">
      <c r="H7108" s="0" t="str">
        <f aca="false">IF(B7108="","",IF(COUNTIF(Campaigns!$A$7:$A$300,B7108)&gt;0,"✓","⚠ add to Campaigns tab"))</f>
        <v/>
      </c>
      <c r="I7108" s="84" t="str">
        <f aca="false">IF(C7108="","",C7108*IF(Settings!$B$23=Settings!$C$6,1,IF(Settings!$B$23="USD",1/INDEX(Settings!$B$29:$B$40,MONTH(A7108)),INDEX(Settings!$B$29:$B$40,MONTH(A7108)))))</f>
        <v/>
      </c>
    </row>
    <row r="7109" customFormat="false" ht="15" hidden="false" customHeight="false" outlineLevel="0" collapsed="false">
      <c r="H7109" s="0" t="str">
        <f aca="false">IF(B7109="","",IF(COUNTIF(Campaigns!$A$7:$A$300,B7109)&gt;0,"✓","⚠ add to Campaigns tab"))</f>
        <v/>
      </c>
      <c r="I7109" s="84" t="str">
        <f aca="false">IF(C7109="","",C7109*IF(Settings!$B$23=Settings!$C$6,1,IF(Settings!$B$23="USD",1/INDEX(Settings!$B$29:$B$40,MONTH(A7109)),INDEX(Settings!$B$29:$B$40,MONTH(A7109)))))</f>
        <v/>
      </c>
    </row>
    <row r="7110" customFormat="false" ht="15" hidden="false" customHeight="false" outlineLevel="0" collapsed="false">
      <c r="H7110" s="0" t="str">
        <f aca="false">IF(B7110="","",IF(COUNTIF(Campaigns!$A$7:$A$300,B7110)&gt;0,"✓","⚠ add to Campaigns tab"))</f>
        <v/>
      </c>
      <c r="I7110" s="84" t="str">
        <f aca="false">IF(C7110="","",C7110*IF(Settings!$B$23=Settings!$C$6,1,IF(Settings!$B$23="USD",1/INDEX(Settings!$B$29:$B$40,MONTH(A7110)),INDEX(Settings!$B$29:$B$40,MONTH(A7110)))))</f>
        <v/>
      </c>
    </row>
    <row r="7111" customFormat="false" ht="15" hidden="false" customHeight="false" outlineLevel="0" collapsed="false">
      <c r="H7111" s="0" t="str">
        <f aca="false">IF(B7111="","",IF(COUNTIF(Campaigns!$A$7:$A$300,B7111)&gt;0,"✓","⚠ add to Campaigns tab"))</f>
        <v/>
      </c>
      <c r="I7111" s="84" t="str">
        <f aca="false">IF(C7111="","",C7111*IF(Settings!$B$23=Settings!$C$6,1,IF(Settings!$B$23="USD",1/INDEX(Settings!$B$29:$B$40,MONTH(A7111)),INDEX(Settings!$B$29:$B$40,MONTH(A7111)))))</f>
        <v/>
      </c>
    </row>
    <row r="7112" customFormat="false" ht="15" hidden="false" customHeight="false" outlineLevel="0" collapsed="false">
      <c r="H7112" s="0" t="str">
        <f aca="false">IF(B7112="","",IF(COUNTIF(Campaigns!$A$7:$A$300,B7112)&gt;0,"✓","⚠ add to Campaigns tab"))</f>
        <v/>
      </c>
      <c r="I7112" s="84" t="str">
        <f aca="false">IF(C7112="","",C7112*IF(Settings!$B$23=Settings!$C$6,1,IF(Settings!$B$23="USD",1/INDEX(Settings!$B$29:$B$40,MONTH(A7112)),INDEX(Settings!$B$29:$B$40,MONTH(A7112)))))</f>
        <v/>
      </c>
    </row>
    <row r="7113" customFormat="false" ht="15" hidden="false" customHeight="false" outlineLevel="0" collapsed="false">
      <c r="H7113" s="0" t="str">
        <f aca="false">IF(B7113="","",IF(COUNTIF(Campaigns!$A$7:$A$300,B7113)&gt;0,"✓","⚠ add to Campaigns tab"))</f>
        <v/>
      </c>
      <c r="I7113" s="84" t="str">
        <f aca="false">IF(C7113="","",C7113*IF(Settings!$B$23=Settings!$C$6,1,IF(Settings!$B$23="USD",1/INDEX(Settings!$B$29:$B$40,MONTH(A7113)),INDEX(Settings!$B$29:$B$40,MONTH(A7113)))))</f>
        <v/>
      </c>
    </row>
    <row r="7114" customFormat="false" ht="15" hidden="false" customHeight="false" outlineLevel="0" collapsed="false">
      <c r="H7114" s="0" t="str">
        <f aca="false">IF(B7114="","",IF(COUNTIF(Campaigns!$A$7:$A$300,B7114)&gt;0,"✓","⚠ add to Campaigns tab"))</f>
        <v/>
      </c>
      <c r="I7114" s="84" t="str">
        <f aca="false">IF(C7114="","",C7114*IF(Settings!$B$23=Settings!$C$6,1,IF(Settings!$B$23="USD",1/INDEX(Settings!$B$29:$B$40,MONTH(A7114)),INDEX(Settings!$B$29:$B$40,MONTH(A7114)))))</f>
        <v/>
      </c>
    </row>
    <row r="7115" customFormat="false" ht="15" hidden="false" customHeight="false" outlineLevel="0" collapsed="false">
      <c r="H7115" s="0" t="str">
        <f aca="false">IF(B7115="","",IF(COUNTIF(Campaigns!$A$7:$A$300,B7115)&gt;0,"✓","⚠ add to Campaigns tab"))</f>
        <v/>
      </c>
      <c r="I7115" s="84" t="str">
        <f aca="false">IF(C7115="","",C7115*IF(Settings!$B$23=Settings!$C$6,1,IF(Settings!$B$23="USD",1/INDEX(Settings!$B$29:$B$40,MONTH(A7115)),INDEX(Settings!$B$29:$B$40,MONTH(A7115)))))</f>
        <v/>
      </c>
    </row>
    <row r="7116" customFormat="false" ht="15" hidden="false" customHeight="false" outlineLevel="0" collapsed="false">
      <c r="H7116" s="0" t="str">
        <f aca="false">IF(B7116="","",IF(COUNTIF(Campaigns!$A$7:$A$300,B7116)&gt;0,"✓","⚠ add to Campaigns tab"))</f>
        <v/>
      </c>
      <c r="I7116" s="84" t="str">
        <f aca="false">IF(C7116="","",C7116*IF(Settings!$B$23=Settings!$C$6,1,IF(Settings!$B$23="USD",1/INDEX(Settings!$B$29:$B$40,MONTH(A7116)),INDEX(Settings!$B$29:$B$40,MONTH(A7116)))))</f>
        <v/>
      </c>
    </row>
    <row r="7117" customFormat="false" ht="15" hidden="false" customHeight="false" outlineLevel="0" collapsed="false">
      <c r="H7117" s="0" t="str">
        <f aca="false">IF(B7117="","",IF(COUNTIF(Campaigns!$A$7:$A$300,B7117)&gt;0,"✓","⚠ add to Campaigns tab"))</f>
        <v/>
      </c>
      <c r="I7117" s="84" t="str">
        <f aca="false">IF(C7117="","",C7117*IF(Settings!$B$23=Settings!$C$6,1,IF(Settings!$B$23="USD",1/INDEX(Settings!$B$29:$B$40,MONTH(A7117)),INDEX(Settings!$B$29:$B$40,MONTH(A7117)))))</f>
        <v/>
      </c>
    </row>
    <row r="7118" customFormat="false" ht="15" hidden="false" customHeight="false" outlineLevel="0" collapsed="false">
      <c r="H7118" s="0" t="str">
        <f aca="false">IF(B7118="","",IF(COUNTIF(Campaigns!$A$7:$A$300,B7118)&gt;0,"✓","⚠ add to Campaigns tab"))</f>
        <v/>
      </c>
      <c r="I7118" s="84" t="str">
        <f aca="false">IF(C7118="","",C7118*IF(Settings!$B$23=Settings!$C$6,1,IF(Settings!$B$23="USD",1/INDEX(Settings!$B$29:$B$40,MONTH(A7118)),INDEX(Settings!$B$29:$B$40,MONTH(A7118)))))</f>
        <v/>
      </c>
    </row>
    <row r="7119" customFormat="false" ht="15" hidden="false" customHeight="false" outlineLevel="0" collapsed="false">
      <c r="H7119" s="0" t="str">
        <f aca="false">IF(B7119="","",IF(COUNTIF(Campaigns!$A$7:$A$300,B7119)&gt;0,"✓","⚠ add to Campaigns tab"))</f>
        <v/>
      </c>
      <c r="I7119" s="84" t="str">
        <f aca="false">IF(C7119="","",C7119*IF(Settings!$B$23=Settings!$C$6,1,IF(Settings!$B$23="USD",1/INDEX(Settings!$B$29:$B$40,MONTH(A7119)),INDEX(Settings!$B$29:$B$40,MONTH(A7119)))))</f>
        <v/>
      </c>
    </row>
    <row r="7120" customFormat="false" ht="15" hidden="false" customHeight="false" outlineLevel="0" collapsed="false">
      <c r="H7120" s="0" t="str">
        <f aca="false">IF(B7120="","",IF(COUNTIF(Campaigns!$A$7:$A$300,B7120)&gt;0,"✓","⚠ add to Campaigns tab"))</f>
        <v/>
      </c>
      <c r="I7120" s="84" t="str">
        <f aca="false">IF(C7120="","",C7120*IF(Settings!$B$23=Settings!$C$6,1,IF(Settings!$B$23="USD",1/INDEX(Settings!$B$29:$B$40,MONTH(A7120)),INDEX(Settings!$B$29:$B$40,MONTH(A7120)))))</f>
        <v/>
      </c>
    </row>
    <row r="7121" customFormat="false" ht="15" hidden="false" customHeight="false" outlineLevel="0" collapsed="false">
      <c r="H7121" s="0" t="str">
        <f aca="false">IF(B7121="","",IF(COUNTIF(Campaigns!$A$7:$A$300,B7121)&gt;0,"✓","⚠ add to Campaigns tab"))</f>
        <v/>
      </c>
      <c r="I7121" s="84" t="str">
        <f aca="false">IF(C7121="","",C7121*IF(Settings!$B$23=Settings!$C$6,1,IF(Settings!$B$23="USD",1/INDEX(Settings!$B$29:$B$40,MONTH(A7121)),INDEX(Settings!$B$29:$B$40,MONTH(A7121)))))</f>
        <v/>
      </c>
    </row>
    <row r="7122" customFormat="false" ht="15" hidden="false" customHeight="false" outlineLevel="0" collapsed="false">
      <c r="H7122" s="0" t="str">
        <f aca="false">IF(B7122="","",IF(COUNTIF(Campaigns!$A$7:$A$300,B7122)&gt;0,"✓","⚠ add to Campaigns tab"))</f>
        <v/>
      </c>
      <c r="I7122" s="84" t="str">
        <f aca="false">IF(C7122="","",C7122*IF(Settings!$B$23=Settings!$C$6,1,IF(Settings!$B$23="USD",1/INDEX(Settings!$B$29:$B$40,MONTH(A7122)),INDEX(Settings!$B$29:$B$40,MONTH(A7122)))))</f>
        <v/>
      </c>
    </row>
    <row r="7123" customFormat="false" ht="15" hidden="false" customHeight="false" outlineLevel="0" collapsed="false">
      <c r="H7123" s="0" t="str">
        <f aca="false">IF(B7123="","",IF(COUNTIF(Campaigns!$A$7:$A$300,B7123)&gt;0,"✓","⚠ add to Campaigns tab"))</f>
        <v/>
      </c>
      <c r="I7123" s="84" t="str">
        <f aca="false">IF(C7123="","",C7123*IF(Settings!$B$23=Settings!$C$6,1,IF(Settings!$B$23="USD",1/INDEX(Settings!$B$29:$B$40,MONTH(A7123)),INDEX(Settings!$B$29:$B$40,MONTH(A7123)))))</f>
        <v/>
      </c>
    </row>
    <row r="7124" customFormat="false" ht="15" hidden="false" customHeight="false" outlineLevel="0" collapsed="false">
      <c r="H7124" s="0" t="str">
        <f aca="false">IF(B7124="","",IF(COUNTIF(Campaigns!$A$7:$A$300,B7124)&gt;0,"✓","⚠ add to Campaigns tab"))</f>
        <v/>
      </c>
      <c r="I7124" s="84" t="str">
        <f aca="false">IF(C7124="","",C7124*IF(Settings!$B$23=Settings!$C$6,1,IF(Settings!$B$23="USD",1/INDEX(Settings!$B$29:$B$40,MONTH(A7124)),INDEX(Settings!$B$29:$B$40,MONTH(A7124)))))</f>
        <v/>
      </c>
    </row>
    <row r="7125" customFormat="false" ht="15" hidden="false" customHeight="false" outlineLevel="0" collapsed="false">
      <c r="H7125" s="0" t="str">
        <f aca="false">IF(B7125="","",IF(COUNTIF(Campaigns!$A$7:$A$300,B7125)&gt;0,"✓","⚠ add to Campaigns tab"))</f>
        <v/>
      </c>
      <c r="I7125" s="84" t="str">
        <f aca="false">IF(C7125="","",C7125*IF(Settings!$B$23=Settings!$C$6,1,IF(Settings!$B$23="USD",1/INDEX(Settings!$B$29:$B$40,MONTH(A7125)),INDEX(Settings!$B$29:$B$40,MONTH(A7125)))))</f>
        <v/>
      </c>
    </row>
    <row r="7126" customFormat="false" ht="15" hidden="false" customHeight="false" outlineLevel="0" collapsed="false">
      <c r="H7126" s="0" t="str">
        <f aca="false">IF(B7126="","",IF(COUNTIF(Campaigns!$A$7:$A$300,B7126)&gt;0,"✓","⚠ add to Campaigns tab"))</f>
        <v/>
      </c>
      <c r="I7126" s="84" t="str">
        <f aca="false">IF(C7126="","",C7126*IF(Settings!$B$23=Settings!$C$6,1,IF(Settings!$B$23="USD",1/INDEX(Settings!$B$29:$B$40,MONTH(A7126)),INDEX(Settings!$B$29:$B$40,MONTH(A7126)))))</f>
        <v/>
      </c>
    </row>
    <row r="7127" customFormat="false" ht="15" hidden="false" customHeight="false" outlineLevel="0" collapsed="false">
      <c r="H7127" s="0" t="str">
        <f aca="false">IF(B7127="","",IF(COUNTIF(Campaigns!$A$7:$A$300,B7127)&gt;0,"✓","⚠ add to Campaigns tab"))</f>
        <v/>
      </c>
      <c r="I7127" s="84" t="str">
        <f aca="false">IF(C7127="","",C7127*IF(Settings!$B$23=Settings!$C$6,1,IF(Settings!$B$23="USD",1/INDEX(Settings!$B$29:$B$40,MONTH(A7127)),INDEX(Settings!$B$29:$B$40,MONTH(A7127)))))</f>
        <v/>
      </c>
    </row>
    <row r="7128" customFormat="false" ht="15" hidden="false" customHeight="false" outlineLevel="0" collapsed="false">
      <c r="H7128" s="0" t="str">
        <f aca="false">IF(B7128="","",IF(COUNTIF(Campaigns!$A$7:$A$300,B7128)&gt;0,"✓","⚠ add to Campaigns tab"))</f>
        <v/>
      </c>
      <c r="I7128" s="84" t="str">
        <f aca="false">IF(C7128="","",C7128*IF(Settings!$B$23=Settings!$C$6,1,IF(Settings!$B$23="USD",1/INDEX(Settings!$B$29:$B$40,MONTH(A7128)),INDEX(Settings!$B$29:$B$40,MONTH(A7128)))))</f>
        <v/>
      </c>
    </row>
    <row r="7129" customFormat="false" ht="15" hidden="false" customHeight="false" outlineLevel="0" collapsed="false">
      <c r="H7129" s="0" t="str">
        <f aca="false">IF(B7129="","",IF(COUNTIF(Campaigns!$A$7:$A$300,B7129)&gt;0,"✓","⚠ add to Campaigns tab"))</f>
        <v/>
      </c>
      <c r="I7129" s="84" t="str">
        <f aca="false">IF(C7129="","",C7129*IF(Settings!$B$23=Settings!$C$6,1,IF(Settings!$B$23="USD",1/INDEX(Settings!$B$29:$B$40,MONTH(A7129)),INDEX(Settings!$B$29:$B$40,MONTH(A7129)))))</f>
        <v/>
      </c>
    </row>
    <row r="7130" customFormat="false" ht="15" hidden="false" customHeight="false" outlineLevel="0" collapsed="false">
      <c r="H7130" s="0" t="str">
        <f aca="false">IF(B7130="","",IF(COUNTIF(Campaigns!$A$7:$A$300,B7130)&gt;0,"✓","⚠ add to Campaigns tab"))</f>
        <v/>
      </c>
      <c r="I7130" s="84" t="str">
        <f aca="false">IF(C7130="","",C7130*IF(Settings!$B$23=Settings!$C$6,1,IF(Settings!$B$23="USD",1/INDEX(Settings!$B$29:$B$40,MONTH(A7130)),INDEX(Settings!$B$29:$B$40,MONTH(A7130)))))</f>
        <v/>
      </c>
    </row>
    <row r="7131" customFormat="false" ht="15" hidden="false" customHeight="false" outlineLevel="0" collapsed="false">
      <c r="H7131" s="0" t="str">
        <f aca="false">IF(B7131="","",IF(COUNTIF(Campaigns!$A$7:$A$300,B7131)&gt;0,"✓","⚠ add to Campaigns tab"))</f>
        <v/>
      </c>
      <c r="I7131" s="84" t="str">
        <f aca="false">IF(C7131="","",C7131*IF(Settings!$B$23=Settings!$C$6,1,IF(Settings!$B$23="USD",1/INDEX(Settings!$B$29:$B$40,MONTH(A7131)),INDEX(Settings!$B$29:$B$40,MONTH(A7131)))))</f>
        <v/>
      </c>
    </row>
    <row r="7132" customFormat="false" ht="15" hidden="false" customHeight="false" outlineLevel="0" collapsed="false">
      <c r="H7132" s="0" t="str">
        <f aca="false">IF(B7132="","",IF(COUNTIF(Campaigns!$A$7:$A$300,B7132)&gt;0,"✓","⚠ add to Campaigns tab"))</f>
        <v/>
      </c>
      <c r="I7132" s="84" t="str">
        <f aca="false">IF(C7132="","",C7132*IF(Settings!$B$23=Settings!$C$6,1,IF(Settings!$B$23="USD",1/INDEX(Settings!$B$29:$B$40,MONTH(A7132)),INDEX(Settings!$B$29:$B$40,MONTH(A7132)))))</f>
        <v/>
      </c>
    </row>
    <row r="7133" customFormat="false" ht="15" hidden="false" customHeight="false" outlineLevel="0" collapsed="false">
      <c r="H7133" s="0" t="str">
        <f aca="false">IF(B7133="","",IF(COUNTIF(Campaigns!$A$7:$A$300,B7133)&gt;0,"✓","⚠ add to Campaigns tab"))</f>
        <v/>
      </c>
      <c r="I7133" s="84" t="str">
        <f aca="false">IF(C7133="","",C7133*IF(Settings!$B$23=Settings!$C$6,1,IF(Settings!$B$23="USD",1/INDEX(Settings!$B$29:$B$40,MONTH(A7133)),INDEX(Settings!$B$29:$B$40,MONTH(A7133)))))</f>
        <v/>
      </c>
    </row>
    <row r="7134" customFormat="false" ht="15" hidden="false" customHeight="false" outlineLevel="0" collapsed="false">
      <c r="H7134" s="0" t="str">
        <f aca="false">IF(B7134="","",IF(COUNTIF(Campaigns!$A$7:$A$300,B7134)&gt;0,"✓","⚠ add to Campaigns tab"))</f>
        <v/>
      </c>
      <c r="I7134" s="84" t="str">
        <f aca="false">IF(C7134="","",C7134*IF(Settings!$B$23=Settings!$C$6,1,IF(Settings!$B$23="USD",1/INDEX(Settings!$B$29:$B$40,MONTH(A7134)),INDEX(Settings!$B$29:$B$40,MONTH(A7134)))))</f>
        <v/>
      </c>
    </row>
    <row r="7135" customFormat="false" ht="15" hidden="false" customHeight="false" outlineLevel="0" collapsed="false">
      <c r="H7135" s="0" t="str">
        <f aca="false">IF(B7135="","",IF(COUNTIF(Campaigns!$A$7:$A$300,B7135)&gt;0,"✓","⚠ add to Campaigns tab"))</f>
        <v/>
      </c>
      <c r="I7135" s="84" t="str">
        <f aca="false">IF(C7135="","",C7135*IF(Settings!$B$23=Settings!$C$6,1,IF(Settings!$B$23="USD",1/INDEX(Settings!$B$29:$B$40,MONTH(A7135)),INDEX(Settings!$B$29:$B$40,MONTH(A7135)))))</f>
        <v/>
      </c>
    </row>
    <row r="7136" customFormat="false" ht="15" hidden="false" customHeight="false" outlineLevel="0" collapsed="false">
      <c r="H7136" s="0" t="str">
        <f aca="false">IF(B7136="","",IF(COUNTIF(Campaigns!$A$7:$A$300,B7136)&gt;0,"✓","⚠ add to Campaigns tab"))</f>
        <v/>
      </c>
      <c r="I7136" s="84" t="str">
        <f aca="false">IF(C7136="","",C7136*IF(Settings!$B$23=Settings!$C$6,1,IF(Settings!$B$23="USD",1/INDEX(Settings!$B$29:$B$40,MONTH(A7136)),INDEX(Settings!$B$29:$B$40,MONTH(A7136)))))</f>
        <v/>
      </c>
    </row>
    <row r="7137" customFormat="false" ht="15" hidden="false" customHeight="false" outlineLevel="0" collapsed="false">
      <c r="H7137" s="0" t="str">
        <f aca="false">IF(B7137="","",IF(COUNTIF(Campaigns!$A$7:$A$300,B7137)&gt;0,"✓","⚠ add to Campaigns tab"))</f>
        <v/>
      </c>
      <c r="I7137" s="84" t="str">
        <f aca="false">IF(C7137="","",C7137*IF(Settings!$B$23=Settings!$C$6,1,IF(Settings!$B$23="USD",1/INDEX(Settings!$B$29:$B$40,MONTH(A7137)),INDEX(Settings!$B$29:$B$40,MONTH(A7137)))))</f>
        <v/>
      </c>
    </row>
    <row r="7138" customFormat="false" ht="15" hidden="false" customHeight="false" outlineLevel="0" collapsed="false">
      <c r="H7138" s="0" t="str">
        <f aca="false">IF(B7138="","",IF(COUNTIF(Campaigns!$A$7:$A$300,B7138)&gt;0,"✓","⚠ add to Campaigns tab"))</f>
        <v/>
      </c>
      <c r="I7138" s="84" t="str">
        <f aca="false">IF(C7138="","",C7138*IF(Settings!$B$23=Settings!$C$6,1,IF(Settings!$B$23="USD",1/INDEX(Settings!$B$29:$B$40,MONTH(A7138)),INDEX(Settings!$B$29:$B$40,MONTH(A7138)))))</f>
        <v/>
      </c>
    </row>
    <row r="7139" customFormat="false" ht="15" hidden="false" customHeight="false" outlineLevel="0" collapsed="false">
      <c r="H7139" s="0" t="str">
        <f aca="false">IF(B7139="","",IF(COUNTIF(Campaigns!$A$7:$A$300,B7139)&gt;0,"✓","⚠ add to Campaigns tab"))</f>
        <v/>
      </c>
      <c r="I7139" s="84" t="str">
        <f aca="false">IF(C7139="","",C7139*IF(Settings!$B$23=Settings!$C$6,1,IF(Settings!$B$23="USD",1/INDEX(Settings!$B$29:$B$40,MONTH(A7139)),INDEX(Settings!$B$29:$B$40,MONTH(A7139)))))</f>
        <v/>
      </c>
    </row>
    <row r="7140" customFormat="false" ht="15" hidden="false" customHeight="false" outlineLevel="0" collapsed="false">
      <c r="H7140" s="0" t="str">
        <f aca="false">IF(B7140="","",IF(COUNTIF(Campaigns!$A$7:$A$300,B7140)&gt;0,"✓","⚠ add to Campaigns tab"))</f>
        <v/>
      </c>
      <c r="I7140" s="84" t="str">
        <f aca="false">IF(C7140="","",C7140*IF(Settings!$B$23=Settings!$C$6,1,IF(Settings!$B$23="USD",1/INDEX(Settings!$B$29:$B$40,MONTH(A7140)),INDEX(Settings!$B$29:$B$40,MONTH(A7140)))))</f>
        <v/>
      </c>
    </row>
    <row r="7141" customFormat="false" ht="15" hidden="false" customHeight="false" outlineLevel="0" collapsed="false">
      <c r="H7141" s="0" t="str">
        <f aca="false">IF(B7141="","",IF(COUNTIF(Campaigns!$A$7:$A$300,B7141)&gt;0,"✓","⚠ add to Campaigns tab"))</f>
        <v/>
      </c>
      <c r="I7141" s="84" t="str">
        <f aca="false">IF(C7141="","",C7141*IF(Settings!$B$23=Settings!$C$6,1,IF(Settings!$B$23="USD",1/INDEX(Settings!$B$29:$B$40,MONTH(A7141)),INDEX(Settings!$B$29:$B$40,MONTH(A7141)))))</f>
        <v/>
      </c>
    </row>
    <row r="7142" customFormat="false" ht="15" hidden="false" customHeight="false" outlineLevel="0" collapsed="false">
      <c r="H7142" s="0" t="str">
        <f aca="false">IF(B7142="","",IF(COUNTIF(Campaigns!$A$7:$A$300,B7142)&gt;0,"✓","⚠ add to Campaigns tab"))</f>
        <v/>
      </c>
      <c r="I7142" s="84" t="str">
        <f aca="false">IF(C7142="","",C7142*IF(Settings!$B$23=Settings!$C$6,1,IF(Settings!$B$23="USD",1/INDEX(Settings!$B$29:$B$40,MONTH(A7142)),INDEX(Settings!$B$29:$B$40,MONTH(A7142)))))</f>
        <v/>
      </c>
    </row>
    <row r="7143" customFormat="false" ht="15" hidden="false" customHeight="false" outlineLevel="0" collapsed="false">
      <c r="H7143" s="0" t="str">
        <f aca="false">IF(B7143="","",IF(COUNTIF(Campaigns!$A$7:$A$300,B7143)&gt;0,"✓","⚠ add to Campaigns tab"))</f>
        <v/>
      </c>
      <c r="I7143" s="84" t="str">
        <f aca="false">IF(C7143="","",C7143*IF(Settings!$B$23=Settings!$C$6,1,IF(Settings!$B$23="USD",1/INDEX(Settings!$B$29:$B$40,MONTH(A7143)),INDEX(Settings!$B$29:$B$40,MONTH(A7143)))))</f>
        <v/>
      </c>
    </row>
    <row r="7144" customFormat="false" ht="15" hidden="false" customHeight="false" outlineLevel="0" collapsed="false">
      <c r="H7144" s="0" t="str">
        <f aca="false">IF(B7144="","",IF(COUNTIF(Campaigns!$A$7:$A$300,B7144)&gt;0,"✓","⚠ add to Campaigns tab"))</f>
        <v/>
      </c>
      <c r="I7144" s="84" t="str">
        <f aca="false">IF(C7144="","",C7144*IF(Settings!$B$23=Settings!$C$6,1,IF(Settings!$B$23="USD",1/INDEX(Settings!$B$29:$B$40,MONTH(A7144)),INDEX(Settings!$B$29:$B$40,MONTH(A7144)))))</f>
        <v/>
      </c>
    </row>
    <row r="7145" customFormat="false" ht="15" hidden="false" customHeight="false" outlineLevel="0" collapsed="false">
      <c r="H7145" s="0" t="str">
        <f aca="false">IF(B7145="","",IF(COUNTIF(Campaigns!$A$7:$A$300,B7145)&gt;0,"✓","⚠ add to Campaigns tab"))</f>
        <v/>
      </c>
      <c r="I7145" s="84" t="str">
        <f aca="false">IF(C7145="","",C7145*IF(Settings!$B$23=Settings!$C$6,1,IF(Settings!$B$23="USD",1/INDEX(Settings!$B$29:$B$40,MONTH(A7145)),INDEX(Settings!$B$29:$B$40,MONTH(A7145)))))</f>
        <v/>
      </c>
    </row>
    <row r="7146" customFormat="false" ht="15" hidden="false" customHeight="false" outlineLevel="0" collapsed="false">
      <c r="H7146" s="0" t="str">
        <f aca="false">IF(B7146="","",IF(COUNTIF(Campaigns!$A$7:$A$300,B7146)&gt;0,"✓","⚠ add to Campaigns tab"))</f>
        <v/>
      </c>
      <c r="I7146" s="84" t="str">
        <f aca="false">IF(C7146="","",C7146*IF(Settings!$B$23=Settings!$C$6,1,IF(Settings!$B$23="USD",1/INDEX(Settings!$B$29:$B$40,MONTH(A7146)),INDEX(Settings!$B$29:$B$40,MONTH(A7146)))))</f>
        <v/>
      </c>
    </row>
    <row r="7147" customFormat="false" ht="15" hidden="false" customHeight="false" outlineLevel="0" collapsed="false">
      <c r="H7147" s="0" t="str">
        <f aca="false">IF(B7147="","",IF(COUNTIF(Campaigns!$A$7:$A$300,B7147)&gt;0,"✓","⚠ add to Campaigns tab"))</f>
        <v/>
      </c>
      <c r="I7147" s="84" t="str">
        <f aca="false">IF(C7147="","",C7147*IF(Settings!$B$23=Settings!$C$6,1,IF(Settings!$B$23="USD",1/INDEX(Settings!$B$29:$B$40,MONTH(A7147)),INDEX(Settings!$B$29:$B$40,MONTH(A7147)))))</f>
        <v/>
      </c>
    </row>
    <row r="7148" customFormat="false" ht="15" hidden="false" customHeight="false" outlineLevel="0" collapsed="false">
      <c r="H7148" s="0" t="str">
        <f aca="false">IF(B7148="","",IF(COUNTIF(Campaigns!$A$7:$A$300,B7148)&gt;0,"✓","⚠ add to Campaigns tab"))</f>
        <v/>
      </c>
      <c r="I7148" s="84" t="str">
        <f aca="false">IF(C7148="","",C7148*IF(Settings!$B$23=Settings!$C$6,1,IF(Settings!$B$23="USD",1/INDEX(Settings!$B$29:$B$40,MONTH(A7148)),INDEX(Settings!$B$29:$B$40,MONTH(A7148)))))</f>
        <v/>
      </c>
    </row>
    <row r="7149" customFormat="false" ht="15" hidden="false" customHeight="false" outlineLevel="0" collapsed="false">
      <c r="H7149" s="0" t="str">
        <f aca="false">IF(B7149="","",IF(COUNTIF(Campaigns!$A$7:$A$300,B7149)&gt;0,"✓","⚠ add to Campaigns tab"))</f>
        <v/>
      </c>
      <c r="I7149" s="84" t="str">
        <f aca="false">IF(C7149="","",C7149*IF(Settings!$B$23=Settings!$C$6,1,IF(Settings!$B$23="USD",1/INDEX(Settings!$B$29:$B$40,MONTH(A7149)),INDEX(Settings!$B$29:$B$40,MONTH(A7149)))))</f>
        <v/>
      </c>
    </row>
    <row r="7150" customFormat="false" ht="15" hidden="false" customHeight="false" outlineLevel="0" collapsed="false">
      <c r="H7150" s="0" t="str">
        <f aca="false">IF(B7150="","",IF(COUNTIF(Campaigns!$A$7:$A$300,B7150)&gt;0,"✓","⚠ add to Campaigns tab"))</f>
        <v/>
      </c>
      <c r="I7150" s="84" t="str">
        <f aca="false">IF(C7150="","",C7150*IF(Settings!$B$23=Settings!$C$6,1,IF(Settings!$B$23="USD",1/INDEX(Settings!$B$29:$B$40,MONTH(A7150)),INDEX(Settings!$B$29:$B$40,MONTH(A7150)))))</f>
        <v/>
      </c>
    </row>
    <row r="7151" customFormat="false" ht="15" hidden="false" customHeight="false" outlineLevel="0" collapsed="false">
      <c r="H7151" s="0" t="str">
        <f aca="false">IF(B7151="","",IF(COUNTIF(Campaigns!$A$7:$A$300,B7151)&gt;0,"✓","⚠ add to Campaigns tab"))</f>
        <v/>
      </c>
      <c r="I7151" s="84" t="str">
        <f aca="false">IF(C7151="","",C7151*IF(Settings!$B$23=Settings!$C$6,1,IF(Settings!$B$23="USD",1/INDEX(Settings!$B$29:$B$40,MONTH(A7151)),INDEX(Settings!$B$29:$B$40,MONTH(A7151)))))</f>
        <v/>
      </c>
    </row>
    <row r="7152" customFormat="false" ht="15" hidden="false" customHeight="false" outlineLevel="0" collapsed="false">
      <c r="H7152" s="0" t="str">
        <f aca="false">IF(B7152="","",IF(COUNTIF(Campaigns!$A$7:$A$300,B7152)&gt;0,"✓","⚠ add to Campaigns tab"))</f>
        <v/>
      </c>
      <c r="I7152" s="84" t="str">
        <f aca="false">IF(C7152="","",C7152*IF(Settings!$B$23=Settings!$C$6,1,IF(Settings!$B$23="USD",1/INDEX(Settings!$B$29:$B$40,MONTH(A7152)),INDEX(Settings!$B$29:$B$40,MONTH(A7152)))))</f>
        <v/>
      </c>
    </row>
    <row r="7153" customFormat="false" ht="15" hidden="false" customHeight="false" outlineLevel="0" collapsed="false">
      <c r="H7153" s="0" t="str">
        <f aca="false">IF(B7153="","",IF(COUNTIF(Campaigns!$A$7:$A$300,B7153)&gt;0,"✓","⚠ add to Campaigns tab"))</f>
        <v/>
      </c>
      <c r="I7153" s="84" t="str">
        <f aca="false">IF(C7153="","",C7153*IF(Settings!$B$23=Settings!$C$6,1,IF(Settings!$B$23="USD",1/INDEX(Settings!$B$29:$B$40,MONTH(A7153)),INDEX(Settings!$B$29:$B$40,MONTH(A7153)))))</f>
        <v/>
      </c>
    </row>
    <row r="7154" customFormat="false" ht="15" hidden="false" customHeight="false" outlineLevel="0" collapsed="false">
      <c r="H7154" s="0" t="str">
        <f aca="false">IF(B7154="","",IF(COUNTIF(Campaigns!$A$7:$A$300,B7154)&gt;0,"✓","⚠ add to Campaigns tab"))</f>
        <v/>
      </c>
      <c r="I7154" s="84" t="str">
        <f aca="false">IF(C7154="","",C7154*IF(Settings!$B$23=Settings!$C$6,1,IF(Settings!$B$23="USD",1/INDEX(Settings!$B$29:$B$40,MONTH(A7154)),INDEX(Settings!$B$29:$B$40,MONTH(A7154)))))</f>
        <v/>
      </c>
    </row>
    <row r="7155" customFormat="false" ht="15" hidden="false" customHeight="false" outlineLevel="0" collapsed="false">
      <c r="H7155" s="0" t="str">
        <f aca="false">IF(B7155="","",IF(COUNTIF(Campaigns!$A$7:$A$300,B7155)&gt;0,"✓","⚠ add to Campaigns tab"))</f>
        <v/>
      </c>
      <c r="I7155" s="84" t="str">
        <f aca="false">IF(C7155="","",C7155*IF(Settings!$B$23=Settings!$C$6,1,IF(Settings!$B$23="USD",1/INDEX(Settings!$B$29:$B$40,MONTH(A7155)),INDEX(Settings!$B$29:$B$40,MONTH(A7155)))))</f>
        <v/>
      </c>
    </row>
    <row r="7156" customFormat="false" ht="15" hidden="false" customHeight="false" outlineLevel="0" collapsed="false">
      <c r="H7156" s="0" t="str">
        <f aca="false">IF(B7156="","",IF(COUNTIF(Campaigns!$A$7:$A$300,B7156)&gt;0,"✓","⚠ add to Campaigns tab"))</f>
        <v/>
      </c>
      <c r="I7156" s="84" t="str">
        <f aca="false">IF(C7156="","",C7156*IF(Settings!$B$23=Settings!$C$6,1,IF(Settings!$B$23="USD",1/INDEX(Settings!$B$29:$B$40,MONTH(A7156)),INDEX(Settings!$B$29:$B$40,MONTH(A7156)))))</f>
        <v/>
      </c>
    </row>
    <row r="7157" customFormat="false" ht="15" hidden="false" customHeight="false" outlineLevel="0" collapsed="false">
      <c r="H7157" s="0" t="str">
        <f aca="false">IF(B7157="","",IF(COUNTIF(Campaigns!$A$7:$A$300,B7157)&gt;0,"✓","⚠ add to Campaigns tab"))</f>
        <v/>
      </c>
      <c r="I7157" s="84" t="str">
        <f aca="false">IF(C7157="","",C7157*IF(Settings!$B$23=Settings!$C$6,1,IF(Settings!$B$23="USD",1/INDEX(Settings!$B$29:$B$40,MONTH(A7157)),INDEX(Settings!$B$29:$B$40,MONTH(A7157)))))</f>
        <v/>
      </c>
    </row>
    <row r="7158" customFormat="false" ht="15" hidden="false" customHeight="false" outlineLevel="0" collapsed="false">
      <c r="H7158" s="0" t="str">
        <f aca="false">IF(B7158="","",IF(COUNTIF(Campaigns!$A$7:$A$300,B7158)&gt;0,"✓","⚠ add to Campaigns tab"))</f>
        <v/>
      </c>
      <c r="I7158" s="84" t="str">
        <f aca="false">IF(C7158="","",C7158*IF(Settings!$B$23=Settings!$C$6,1,IF(Settings!$B$23="USD",1/INDEX(Settings!$B$29:$B$40,MONTH(A7158)),INDEX(Settings!$B$29:$B$40,MONTH(A7158)))))</f>
        <v/>
      </c>
    </row>
    <row r="7159" customFormat="false" ht="15" hidden="false" customHeight="false" outlineLevel="0" collapsed="false">
      <c r="H7159" s="0" t="str">
        <f aca="false">IF(B7159="","",IF(COUNTIF(Campaigns!$A$7:$A$300,B7159)&gt;0,"✓","⚠ add to Campaigns tab"))</f>
        <v/>
      </c>
      <c r="I7159" s="84" t="str">
        <f aca="false">IF(C7159="","",C7159*IF(Settings!$B$23=Settings!$C$6,1,IF(Settings!$B$23="USD",1/INDEX(Settings!$B$29:$B$40,MONTH(A7159)),INDEX(Settings!$B$29:$B$40,MONTH(A7159)))))</f>
        <v/>
      </c>
    </row>
    <row r="7160" customFormat="false" ht="15" hidden="false" customHeight="false" outlineLevel="0" collapsed="false">
      <c r="H7160" s="0" t="str">
        <f aca="false">IF(B7160="","",IF(COUNTIF(Campaigns!$A$7:$A$300,B7160)&gt;0,"✓","⚠ add to Campaigns tab"))</f>
        <v/>
      </c>
      <c r="I7160" s="84" t="str">
        <f aca="false">IF(C7160="","",C7160*IF(Settings!$B$23=Settings!$C$6,1,IF(Settings!$B$23="USD",1/INDEX(Settings!$B$29:$B$40,MONTH(A7160)),INDEX(Settings!$B$29:$B$40,MONTH(A7160)))))</f>
        <v/>
      </c>
    </row>
    <row r="7161" customFormat="false" ht="15" hidden="false" customHeight="false" outlineLevel="0" collapsed="false">
      <c r="H7161" s="0" t="str">
        <f aca="false">IF(B7161="","",IF(COUNTIF(Campaigns!$A$7:$A$300,B7161)&gt;0,"✓","⚠ add to Campaigns tab"))</f>
        <v/>
      </c>
      <c r="I7161" s="84" t="str">
        <f aca="false">IF(C7161="","",C7161*IF(Settings!$B$23=Settings!$C$6,1,IF(Settings!$B$23="USD",1/INDEX(Settings!$B$29:$B$40,MONTH(A7161)),INDEX(Settings!$B$29:$B$40,MONTH(A7161)))))</f>
        <v/>
      </c>
    </row>
    <row r="7162" customFormat="false" ht="15" hidden="false" customHeight="false" outlineLevel="0" collapsed="false">
      <c r="H7162" s="0" t="str">
        <f aca="false">IF(B7162="","",IF(COUNTIF(Campaigns!$A$7:$A$300,B7162)&gt;0,"✓","⚠ add to Campaigns tab"))</f>
        <v/>
      </c>
      <c r="I7162" s="84" t="str">
        <f aca="false">IF(C7162="","",C7162*IF(Settings!$B$23=Settings!$C$6,1,IF(Settings!$B$23="USD",1/INDEX(Settings!$B$29:$B$40,MONTH(A7162)),INDEX(Settings!$B$29:$B$40,MONTH(A7162)))))</f>
        <v/>
      </c>
    </row>
    <row r="7163" customFormat="false" ht="15" hidden="false" customHeight="false" outlineLevel="0" collapsed="false">
      <c r="H7163" s="0" t="str">
        <f aca="false">IF(B7163="","",IF(COUNTIF(Campaigns!$A$7:$A$300,B7163)&gt;0,"✓","⚠ add to Campaigns tab"))</f>
        <v/>
      </c>
      <c r="I7163" s="84" t="str">
        <f aca="false">IF(C7163="","",C7163*IF(Settings!$B$23=Settings!$C$6,1,IF(Settings!$B$23="USD",1/INDEX(Settings!$B$29:$B$40,MONTH(A7163)),INDEX(Settings!$B$29:$B$40,MONTH(A7163)))))</f>
        <v/>
      </c>
    </row>
    <row r="7164" customFormat="false" ht="15" hidden="false" customHeight="false" outlineLevel="0" collapsed="false">
      <c r="H7164" s="0" t="str">
        <f aca="false">IF(B7164="","",IF(COUNTIF(Campaigns!$A$7:$A$300,B7164)&gt;0,"✓","⚠ add to Campaigns tab"))</f>
        <v/>
      </c>
      <c r="I7164" s="84" t="str">
        <f aca="false">IF(C7164="","",C7164*IF(Settings!$B$23=Settings!$C$6,1,IF(Settings!$B$23="USD",1/INDEX(Settings!$B$29:$B$40,MONTH(A7164)),INDEX(Settings!$B$29:$B$40,MONTH(A7164)))))</f>
        <v/>
      </c>
    </row>
    <row r="7165" customFormat="false" ht="15" hidden="false" customHeight="false" outlineLevel="0" collapsed="false">
      <c r="H7165" s="0" t="str">
        <f aca="false">IF(B7165="","",IF(COUNTIF(Campaigns!$A$7:$A$300,B7165)&gt;0,"✓","⚠ add to Campaigns tab"))</f>
        <v/>
      </c>
      <c r="I7165" s="84" t="str">
        <f aca="false">IF(C7165="","",C7165*IF(Settings!$B$23=Settings!$C$6,1,IF(Settings!$B$23="USD",1/INDEX(Settings!$B$29:$B$40,MONTH(A7165)),INDEX(Settings!$B$29:$B$40,MONTH(A7165)))))</f>
        <v/>
      </c>
    </row>
    <row r="7166" customFormat="false" ht="15" hidden="false" customHeight="false" outlineLevel="0" collapsed="false">
      <c r="H7166" s="0" t="str">
        <f aca="false">IF(B7166="","",IF(COUNTIF(Campaigns!$A$7:$A$300,B7166)&gt;0,"✓","⚠ add to Campaigns tab"))</f>
        <v/>
      </c>
      <c r="I7166" s="84" t="str">
        <f aca="false">IF(C7166="","",C7166*IF(Settings!$B$23=Settings!$C$6,1,IF(Settings!$B$23="USD",1/INDEX(Settings!$B$29:$B$40,MONTH(A7166)),INDEX(Settings!$B$29:$B$40,MONTH(A7166)))))</f>
        <v/>
      </c>
    </row>
    <row r="7167" customFormat="false" ht="15" hidden="false" customHeight="false" outlineLevel="0" collapsed="false">
      <c r="H7167" s="0" t="str">
        <f aca="false">IF(B7167="","",IF(COUNTIF(Campaigns!$A$7:$A$300,B7167)&gt;0,"✓","⚠ add to Campaigns tab"))</f>
        <v/>
      </c>
      <c r="I7167" s="84" t="str">
        <f aca="false">IF(C7167="","",C7167*IF(Settings!$B$23=Settings!$C$6,1,IF(Settings!$B$23="USD",1/INDEX(Settings!$B$29:$B$40,MONTH(A7167)),INDEX(Settings!$B$29:$B$40,MONTH(A7167)))))</f>
        <v/>
      </c>
    </row>
    <row r="7168" customFormat="false" ht="15" hidden="false" customHeight="false" outlineLevel="0" collapsed="false">
      <c r="H7168" s="0" t="str">
        <f aca="false">IF(B7168="","",IF(COUNTIF(Campaigns!$A$7:$A$300,B7168)&gt;0,"✓","⚠ add to Campaigns tab"))</f>
        <v/>
      </c>
      <c r="I7168" s="84" t="str">
        <f aca="false">IF(C7168="","",C7168*IF(Settings!$B$23=Settings!$C$6,1,IF(Settings!$B$23="USD",1/INDEX(Settings!$B$29:$B$40,MONTH(A7168)),INDEX(Settings!$B$29:$B$40,MONTH(A7168)))))</f>
        <v/>
      </c>
    </row>
    <row r="7169" customFormat="false" ht="15" hidden="false" customHeight="false" outlineLevel="0" collapsed="false">
      <c r="H7169" s="0" t="str">
        <f aca="false">IF(B7169="","",IF(COUNTIF(Campaigns!$A$7:$A$300,B7169)&gt;0,"✓","⚠ add to Campaigns tab"))</f>
        <v/>
      </c>
      <c r="I7169" s="84" t="str">
        <f aca="false">IF(C7169="","",C7169*IF(Settings!$B$23=Settings!$C$6,1,IF(Settings!$B$23="USD",1/INDEX(Settings!$B$29:$B$40,MONTH(A7169)),INDEX(Settings!$B$29:$B$40,MONTH(A7169)))))</f>
        <v/>
      </c>
    </row>
    <row r="7170" customFormat="false" ht="15" hidden="false" customHeight="false" outlineLevel="0" collapsed="false">
      <c r="H7170" s="0" t="str">
        <f aca="false">IF(B7170="","",IF(COUNTIF(Campaigns!$A$7:$A$300,B7170)&gt;0,"✓","⚠ add to Campaigns tab"))</f>
        <v/>
      </c>
      <c r="I7170" s="84" t="str">
        <f aca="false">IF(C7170="","",C7170*IF(Settings!$B$23=Settings!$C$6,1,IF(Settings!$B$23="USD",1/INDEX(Settings!$B$29:$B$40,MONTH(A7170)),INDEX(Settings!$B$29:$B$40,MONTH(A7170)))))</f>
        <v/>
      </c>
    </row>
    <row r="7171" customFormat="false" ht="15" hidden="false" customHeight="false" outlineLevel="0" collapsed="false">
      <c r="H7171" s="0" t="str">
        <f aca="false">IF(B7171="","",IF(COUNTIF(Campaigns!$A$7:$A$300,B7171)&gt;0,"✓","⚠ add to Campaigns tab"))</f>
        <v/>
      </c>
      <c r="I7171" s="84" t="str">
        <f aca="false">IF(C7171="","",C7171*IF(Settings!$B$23=Settings!$C$6,1,IF(Settings!$B$23="USD",1/INDEX(Settings!$B$29:$B$40,MONTH(A7171)),INDEX(Settings!$B$29:$B$40,MONTH(A7171)))))</f>
        <v/>
      </c>
    </row>
    <row r="7172" customFormat="false" ht="15" hidden="false" customHeight="false" outlineLevel="0" collapsed="false">
      <c r="H7172" s="0" t="str">
        <f aca="false">IF(B7172="","",IF(COUNTIF(Campaigns!$A$7:$A$300,B7172)&gt;0,"✓","⚠ add to Campaigns tab"))</f>
        <v/>
      </c>
      <c r="I7172" s="84" t="str">
        <f aca="false">IF(C7172="","",C7172*IF(Settings!$B$23=Settings!$C$6,1,IF(Settings!$B$23="USD",1/INDEX(Settings!$B$29:$B$40,MONTH(A7172)),INDEX(Settings!$B$29:$B$40,MONTH(A7172)))))</f>
        <v/>
      </c>
    </row>
    <row r="7173" customFormat="false" ht="15" hidden="false" customHeight="false" outlineLevel="0" collapsed="false">
      <c r="H7173" s="0" t="str">
        <f aca="false">IF(B7173="","",IF(COUNTIF(Campaigns!$A$7:$A$300,B7173)&gt;0,"✓","⚠ add to Campaigns tab"))</f>
        <v/>
      </c>
      <c r="I7173" s="84" t="str">
        <f aca="false">IF(C7173="","",C7173*IF(Settings!$B$23=Settings!$C$6,1,IF(Settings!$B$23="USD",1/INDEX(Settings!$B$29:$B$40,MONTH(A7173)),INDEX(Settings!$B$29:$B$40,MONTH(A7173)))))</f>
        <v/>
      </c>
    </row>
    <row r="7174" customFormat="false" ht="15" hidden="false" customHeight="false" outlineLevel="0" collapsed="false">
      <c r="H7174" s="0" t="str">
        <f aca="false">IF(B7174="","",IF(COUNTIF(Campaigns!$A$7:$A$300,B7174)&gt;0,"✓","⚠ add to Campaigns tab"))</f>
        <v/>
      </c>
      <c r="I7174" s="84" t="str">
        <f aca="false">IF(C7174="","",C7174*IF(Settings!$B$23=Settings!$C$6,1,IF(Settings!$B$23="USD",1/INDEX(Settings!$B$29:$B$40,MONTH(A7174)),INDEX(Settings!$B$29:$B$40,MONTH(A7174)))))</f>
        <v/>
      </c>
    </row>
    <row r="7175" customFormat="false" ht="15" hidden="false" customHeight="false" outlineLevel="0" collapsed="false">
      <c r="H7175" s="0" t="str">
        <f aca="false">IF(B7175="","",IF(COUNTIF(Campaigns!$A$7:$A$300,B7175)&gt;0,"✓","⚠ add to Campaigns tab"))</f>
        <v/>
      </c>
      <c r="I7175" s="84" t="str">
        <f aca="false">IF(C7175="","",C7175*IF(Settings!$B$23=Settings!$C$6,1,IF(Settings!$B$23="USD",1/INDEX(Settings!$B$29:$B$40,MONTH(A7175)),INDEX(Settings!$B$29:$B$40,MONTH(A7175)))))</f>
        <v/>
      </c>
    </row>
    <row r="7176" customFormat="false" ht="15" hidden="false" customHeight="false" outlineLevel="0" collapsed="false">
      <c r="H7176" s="0" t="str">
        <f aca="false">IF(B7176="","",IF(COUNTIF(Campaigns!$A$7:$A$300,B7176)&gt;0,"✓","⚠ add to Campaigns tab"))</f>
        <v/>
      </c>
      <c r="I7176" s="84" t="str">
        <f aca="false">IF(C7176="","",C7176*IF(Settings!$B$23=Settings!$C$6,1,IF(Settings!$B$23="USD",1/INDEX(Settings!$B$29:$B$40,MONTH(A7176)),INDEX(Settings!$B$29:$B$40,MONTH(A7176)))))</f>
        <v/>
      </c>
    </row>
    <row r="7177" customFormat="false" ht="15" hidden="false" customHeight="false" outlineLevel="0" collapsed="false">
      <c r="H7177" s="0" t="str">
        <f aca="false">IF(B7177="","",IF(COUNTIF(Campaigns!$A$7:$A$300,B7177)&gt;0,"✓","⚠ add to Campaigns tab"))</f>
        <v/>
      </c>
      <c r="I7177" s="84" t="str">
        <f aca="false">IF(C7177="","",C7177*IF(Settings!$B$23=Settings!$C$6,1,IF(Settings!$B$23="USD",1/INDEX(Settings!$B$29:$B$40,MONTH(A7177)),INDEX(Settings!$B$29:$B$40,MONTH(A7177)))))</f>
        <v/>
      </c>
    </row>
    <row r="7178" customFormat="false" ht="15" hidden="false" customHeight="false" outlineLevel="0" collapsed="false">
      <c r="H7178" s="0" t="str">
        <f aca="false">IF(B7178="","",IF(COUNTIF(Campaigns!$A$7:$A$300,B7178)&gt;0,"✓","⚠ add to Campaigns tab"))</f>
        <v/>
      </c>
      <c r="I7178" s="84" t="str">
        <f aca="false">IF(C7178="","",C7178*IF(Settings!$B$23=Settings!$C$6,1,IF(Settings!$B$23="USD",1/INDEX(Settings!$B$29:$B$40,MONTH(A7178)),INDEX(Settings!$B$29:$B$40,MONTH(A7178)))))</f>
        <v/>
      </c>
    </row>
    <row r="7179" customFormat="false" ht="15" hidden="false" customHeight="false" outlineLevel="0" collapsed="false">
      <c r="H7179" s="0" t="str">
        <f aca="false">IF(B7179="","",IF(COUNTIF(Campaigns!$A$7:$A$300,B7179)&gt;0,"✓","⚠ add to Campaigns tab"))</f>
        <v/>
      </c>
      <c r="I7179" s="84" t="str">
        <f aca="false">IF(C7179="","",C7179*IF(Settings!$B$23=Settings!$C$6,1,IF(Settings!$B$23="USD",1/INDEX(Settings!$B$29:$B$40,MONTH(A7179)),INDEX(Settings!$B$29:$B$40,MONTH(A7179)))))</f>
        <v/>
      </c>
    </row>
    <row r="7180" customFormat="false" ht="15" hidden="false" customHeight="false" outlineLevel="0" collapsed="false">
      <c r="H7180" s="0" t="str">
        <f aca="false">IF(B7180="","",IF(COUNTIF(Campaigns!$A$7:$A$300,B7180)&gt;0,"✓","⚠ add to Campaigns tab"))</f>
        <v/>
      </c>
      <c r="I7180" s="84" t="str">
        <f aca="false">IF(C7180="","",C7180*IF(Settings!$B$23=Settings!$C$6,1,IF(Settings!$B$23="USD",1/INDEX(Settings!$B$29:$B$40,MONTH(A7180)),INDEX(Settings!$B$29:$B$40,MONTH(A7180)))))</f>
        <v/>
      </c>
    </row>
    <row r="7181" customFormat="false" ht="15" hidden="false" customHeight="false" outlineLevel="0" collapsed="false">
      <c r="H7181" s="0" t="str">
        <f aca="false">IF(B7181="","",IF(COUNTIF(Campaigns!$A$7:$A$300,B7181)&gt;0,"✓","⚠ add to Campaigns tab"))</f>
        <v/>
      </c>
      <c r="I7181" s="84" t="str">
        <f aca="false">IF(C7181="","",C7181*IF(Settings!$B$23=Settings!$C$6,1,IF(Settings!$B$23="USD",1/INDEX(Settings!$B$29:$B$40,MONTH(A7181)),INDEX(Settings!$B$29:$B$40,MONTH(A7181)))))</f>
        <v/>
      </c>
    </row>
    <row r="7182" customFormat="false" ht="15" hidden="false" customHeight="false" outlineLevel="0" collapsed="false">
      <c r="H7182" s="0" t="str">
        <f aca="false">IF(B7182="","",IF(COUNTIF(Campaigns!$A$7:$A$300,B7182)&gt;0,"✓","⚠ add to Campaigns tab"))</f>
        <v/>
      </c>
      <c r="I7182" s="84" t="str">
        <f aca="false">IF(C7182="","",C7182*IF(Settings!$B$23=Settings!$C$6,1,IF(Settings!$B$23="USD",1/INDEX(Settings!$B$29:$B$40,MONTH(A7182)),INDEX(Settings!$B$29:$B$40,MONTH(A7182)))))</f>
        <v/>
      </c>
    </row>
    <row r="7183" customFormat="false" ht="15" hidden="false" customHeight="false" outlineLevel="0" collapsed="false">
      <c r="H7183" s="0" t="str">
        <f aca="false">IF(B7183="","",IF(COUNTIF(Campaigns!$A$7:$A$300,B7183)&gt;0,"✓","⚠ add to Campaigns tab"))</f>
        <v/>
      </c>
      <c r="I7183" s="84" t="str">
        <f aca="false">IF(C7183="","",C7183*IF(Settings!$B$23=Settings!$C$6,1,IF(Settings!$B$23="USD",1/INDEX(Settings!$B$29:$B$40,MONTH(A7183)),INDEX(Settings!$B$29:$B$40,MONTH(A7183)))))</f>
        <v/>
      </c>
    </row>
    <row r="7184" customFormat="false" ht="15" hidden="false" customHeight="false" outlineLevel="0" collapsed="false">
      <c r="H7184" s="0" t="str">
        <f aca="false">IF(B7184="","",IF(COUNTIF(Campaigns!$A$7:$A$300,B7184)&gt;0,"✓","⚠ add to Campaigns tab"))</f>
        <v/>
      </c>
      <c r="I7184" s="84" t="str">
        <f aca="false">IF(C7184="","",C7184*IF(Settings!$B$23=Settings!$C$6,1,IF(Settings!$B$23="USD",1/INDEX(Settings!$B$29:$B$40,MONTH(A7184)),INDEX(Settings!$B$29:$B$40,MONTH(A7184)))))</f>
        <v/>
      </c>
    </row>
    <row r="7185" customFormat="false" ht="15" hidden="false" customHeight="false" outlineLevel="0" collapsed="false">
      <c r="H7185" s="0" t="str">
        <f aca="false">IF(B7185="","",IF(COUNTIF(Campaigns!$A$7:$A$300,B7185)&gt;0,"✓","⚠ add to Campaigns tab"))</f>
        <v/>
      </c>
      <c r="I7185" s="84" t="str">
        <f aca="false">IF(C7185="","",C7185*IF(Settings!$B$23=Settings!$C$6,1,IF(Settings!$B$23="USD",1/INDEX(Settings!$B$29:$B$40,MONTH(A7185)),INDEX(Settings!$B$29:$B$40,MONTH(A7185)))))</f>
        <v/>
      </c>
    </row>
    <row r="7186" customFormat="false" ht="15" hidden="false" customHeight="false" outlineLevel="0" collapsed="false">
      <c r="H7186" s="0" t="str">
        <f aca="false">IF(B7186="","",IF(COUNTIF(Campaigns!$A$7:$A$300,B7186)&gt;0,"✓","⚠ add to Campaigns tab"))</f>
        <v/>
      </c>
      <c r="I7186" s="84" t="str">
        <f aca="false">IF(C7186="","",C7186*IF(Settings!$B$23=Settings!$C$6,1,IF(Settings!$B$23="USD",1/INDEX(Settings!$B$29:$B$40,MONTH(A7186)),INDEX(Settings!$B$29:$B$40,MONTH(A7186)))))</f>
        <v/>
      </c>
    </row>
    <row r="7187" customFormat="false" ht="15" hidden="false" customHeight="false" outlineLevel="0" collapsed="false">
      <c r="H7187" s="0" t="str">
        <f aca="false">IF(B7187="","",IF(COUNTIF(Campaigns!$A$7:$A$300,B7187)&gt;0,"✓","⚠ add to Campaigns tab"))</f>
        <v/>
      </c>
      <c r="I7187" s="84" t="str">
        <f aca="false">IF(C7187="","",C7187*IF(Settings!$B$23=Settings!$C$6,1,IF(Settings!$B$23="USD",1/INDEX(Settings!$B$29:$B$40,MONTH(A7187)),INDEX(Settings!$B$29:$B$40,MONTH(A7187)))))</f>
        <v/>
      </c>
    </row>
    <row r="7188" customFormat="false" ht="15" hidden="false" customHeight="false" outlineLevel="0" collapsed="false">
      <c r="H7188" s="0" t="str">
        <f aca="false">IF(B7188="","",IF(COUNTIF(Campaigns!$A$7:$A$300,B7188)&gt;0,"✓","⚠ add to Campaigns tab"))</f>
        <v/>
      </c>
      <c r="I7188" s="84" t="str">
        <f aca="false">IF(C7188="","",C7188*IF(Settings!$B$23=Settings!$C$6,1,IF(Settings!$B$23="USD",1/INDEX(Settings!$B$29:$B$40,MONTH(A7188)),INDEX(Settings!$B$29:$B$40,MONTH(A7188)))))</f>
        <v/>
      </c>
    </row>
    <row r="7189" customFormat="false" ht="15" hidden="false" customHeight="false" outlineLevel="0" collapsed="false">
      <c r="H7189" s="0" t="str">
        <f aca="false">IF(B7189="","",IF(COUNTIF(Campaigns!$A$7:$A$300,B7189)&gt;0,"✓","⚠ add to Campaigns tab"))</f>
        <v/>
      </c>
      <c r="I7189" s="84" t="str">
        <f aca="false">IF(C7189="","",C7189*IF(Settings!$B$23=Settings!$C$6,1,IF(Settings!$B$23="USD",1/INDEX(Settings!$B$29:$B$40,MONTH(A7189)),INDEX(Settings!$B$29:$B$40,MONTH(A7189)))))</f>
        <v/>
      </c>
    </row>
    <row r="7190" customFormat="false" ht="15" hidden="false" customHeight="false" outlineLevel="0" collapsed="false">
      <c r="H7190" s="0" t="str">
        <f aca="false">IF(B7190="","",IF(COUNTIF(Campaigns!$A$7:$A$300,B7190)&gt;0,"✓","⚠ add to Campaigns tab"))</f>
        <v/>
      </c>
      <c r="I7190" s="84" t="str">
        <f aca="false">IF(C7190="","",C7190*IF(Settings!$B$23=Settings!$C$6,1,IF(Settings!$B$23="USD",1/INDEX(Settings!$B$29:$B$40,MONTH(A7190)),INDEX(Settings!$B$29:$B$40,MONTH(A7190)))))</f>
        <v/>
      </c>
    </row>
    <row r="7191" customFormat="false" ht="15" hidden="false" customHeight="false" outlineLevel="0" collapsed="false">
      <c r="H7191" s="0" t="str">
        <f aca="false">IF(B7191="","",IF(COUNTIF(Campaigns!$A$7:$A$300,B7191)&gt;0,"✓","⚠ add to Campaigns tab"))</f>
        <v/>
      </c>
      <c r="I7191" s="84" t="str">
        <f aca="false">IF(C7191="","",C7191*IF(Settings!$B$23=Settings!$C$6,1,IF(Settings!$B$23="USD",1/INDEX(Settings!$B$29:$B$40,MONTH(A7191)),INDEX(Settings!$B$29:$B$40,MONTH(A7191)))))</f>
        <v/>
      </c>
    </row>
    <row r="7192" customFormat="false" ht="15" hidden="false" customHeight="false" outlineLevel="0" collapsed="false">
      <c r="H7192" s="0" t="str">
        <f aca="false">IF(B7192="","",IF(COUNTIF(Campaigns!$A$7:$A$300,B7192)&gt;0,"✓","⚠ add to Campaigns tab"))</f>
        <v/>
      </c>
      <c r="I7192" s="84" t="str">
        <f aca="false">IF(C7192="","",C7192*IF(Settings!$B$23=Settings!$C$6,1,IF(Settings!$B$23="USD",1/INDEX(Settings!$B$29:$B$40,MONTH(A7192)),INDEX(Settings!$B$29:$B$40,MONTH(A7192)))))</f>
        <v/>
      </c>
    </row>
    <row r="7193" customFormat="false" ht="15" hidden="false" customHeight="false" outlineLevel="0" collapsed="false">
      <c r="H7193" s="0" t="str">
        <f aca="false">IF(B7193="","",IF(COUNTIF(Campaigns!$A$7:$A$300,B7193)&gt;0,"✓","⚠ add to Campaigns tab"))</f>
        <v/>
      </c>
      <c r="I7193" s="84" t="str">
        <f aca="false">IF(C7193="","",C7193*IF(Settings!$B$23=Settings!$C$6,1,IF(Settings!$B$23="USD",1/INDEX(Settings!$B$29:$B$40,MONTH(A7193)),INDEX(Settings!$B$29:$B$40,MONTH(A7193)))))</f>
        <v/>
      </c>
    </row>
    <row r="7194" customFormat="false" ht="15" hidden="false" customHeight="false" outlineLevel="0" collapsed="false">
      <c r="H7194" s="0" t="str">
        <f aca="false">IF(B7194="","",IF(COUNTIF(Campaigns!$A$7:$A$300,B7194)&gt;0,"✓","⚠ add to Campaigns tab"))</f>
        <v/>
      </c>
      <c r="I7194" s="84" t="str">
        <f aca="false">IF(C7194="","",C7194*IF(Settings!$B$23=Settings!$C$6,1,IF(Settings!$B$23="USD",1/INDEX(Settings!$B$29:$B$40,MONTH(A7194)),INDEX(Settings!$B$29:$B$40,MONTH(A7194)))))</f>
        <v/>
      </c>
    </row>
    <row r="7195" customFormat="false" ht="15" hidden="false" customHeight="false" outlineLevel="0" collapsed="false">
      <c r="H7195" s="0" t="str">
        <f aca="false">IF(B7195="","",IF(COUNTIF(Campaigns!$A$7:$A$300,B7195)&gt;0,"✓","⚠ add to Campaigns tab"))</f>
        <v/>
      </c>
      <c r="I7195" s="84" t="str">
        <f aca="false">IF(C7195="","",C7195*IF(Settings!$B$23=Settings!$C$6,1,IF(Settings!$B$23="USD",1/INDEX(Settings!$B$29:$B$40,MONTH(A7195)),INDEX(Settings!$B$29:$B$40,MONTH(A7195)))))</f>
        <v/>
      </c>
    </row>
    <row r="7196" customFormat="false" ht="15" hidden="false" customHeight="false" outlineLevel="0" collapsed="false">
      <c r="H7196" s="0" t="str">
        <f aca="false">IF(B7196="","",IF(COUNTIF(Campaigns!$A$7:$A$300,B7196)&gt;0,"✓","⚠ add to Campaigns tab"))</f>
        <v/>
      </c>
      <c r="I7196" s="84" t="str">
        <f aca="false">IF(C7196="","",C7196*IF(Settings!$B$23=Settings!$C$6,1,IF(Settings!$B$23="USD",1/INDEX(Settings!$B$29:$B$40,MONTH(A7196)),INDEX(Settings!$B$29:$B$40,MONTH(A7196)))))</f>
        <v/>
      </c>
    </row>
    <row r="7197" customFormat="false" ht="15" hidden="false" customHeight="false" outlineLevel="0" collapsed="false">
      <c r="H7197" s="0" t="str">
        <f aca="false">IF(B7197="","",IF(COUNTIF(Campaigns!$A$7:$A$300,B7197)&gt;0,"✓","⚠ add to Campaigns tab"))</f>
        <v/>
      </c>
      <c r="I7197" s="84" t="str">
        <f aca="false">IF(C7197="","",C7197*IF(Settings!$B$23=Settings!$C$6,1,IF(Settings!$B$23="USD",1/INDEX(Settings!$B$29:$B$40,MONTH(A7197)),INDEX(Settings!$B$29:$B$40,MONTH(A7197)))))</f>
        <v/>
      </c>
    </row>
    <row r="7198" customFormat="false" ht="15" hidden="false" customHeight="false" outlineLevel="0" collapsed="false">
      <c r="H7198" s="0" t="str">
        <f aca="false">IF(B7198="","",IF(COUNTIF(Campaigns!$A$7:$A$300,B7198)&gt;0,"✓","⚠ add to Campaigns tab"))</f>
        <v/>
      </c>
      <c r="I7198" s="84" t="str">
        <f aca="false">IF(C7198="","",C7198*IF(Settings!$B$23=Settings!$C$6,1,IF(Settings!$B$23="USD",1/INDEX(Settings!$B$29:$B$40,MONTH(A7198)),INDEX(Settings!$B$29:$B$40,MONTH(A7198)))))</f>
        <v/>
      </c>
    </row>
    <row r="7199" customFormat="false" ht="15" hidden="false" customHeight="false" outlineLevel="0" collapsed="false">
      <c r="H7199" s="0" t="str">
        <f aca="false">IF(B7199="","",IF(COUNTIF(Campaigns!$A$7:$A$300,B7199)&gt;0,"✓","⚠ add to Campaigns tab"))</f>
        <v/>
      </c>
      <c r="I7199" s="84" t="str">
        <f aca="false">IF(C7199="","",C7199*IF(Settings!$B$23=Settings!$C$6,1,IF(Settings!$B$23="USD",1/INDEX(Settings!$B$29:$B$40,MONTH(A7199)),INDEX(Settings!$B$29:$B$40,MONTH(A7199)))))</f>
        <v/>
      </c>
    </row>
    <row r="7200" customFormat="false" ht="15" hidden="false" customHeight="false" outlineLevel="0" collapsed="false">
      <c r="H7200" s="0" t="str">
        <f aca="false">IF(B7200="","",IF(COUNTIF(Campaigns!$A$7:$A$300,B7200)&gt;0,"✓","⚠ add to Campaigns tab"))</f>
        <v/>
      </c>
      <c r="I7200" s="84" t="str">
        <f aca="false">IF(C7200="","",C7200*IF(Settings!$B$23=Settings!$C$6,1,IF(Settings!$B$23="USD",1/INDEX(Settings!$B$29:$B$40,MONTH(A7200)),INDEX(Settings!$B$29:$B$40,MONTH(A7200)))))</f>
        <v/>
      </c>
    </row>
    <row r="7201" customFormat="false" ht="15" hidden="false" customHeight="false" outlineLevel="0" collapsed="false">
      <c r="H7201" s="0" t="str">
        <f aca="false">IF(B7201="","",IF(COUNTIF(Campaigns!$A$7:$A$300,B7201)&gt;0,"✓","⚠ add to Campaigns tab"))</f>
        <v/>
      </c>
      <c r="I7201" s="84" t="str">
        <f aca="false">IF(C7201="","",C7201*IF(Settings!$B$23=Settings!$C$6,1,IF(Settings!$B$23="USD",1/INDEX(Settings!$B$29:$B$40,MONTH(A7201)),INDEX(Settings!$B$29:$B$40,MONTH(A7201)))))</f>
        <v/>
      </c>
    </row>
    <row r="7202" customFormat="false" ht="15" hidden="false" customHeight="false" outlineLevel="0" collapsed="false">
      <c r="H7202" s="0" t="str">
        <f aca="false">IF(B7202="","",IF(COUNTIF(Campaigns!$A$7:$A$300,B7202)&gt;0,"✓","⚠ add to Campaigns tab"))</f>
        <v/>
      </c>
      <c r="I7202" s="84" t="str">
        <f aca="false">IF(C7202="","",C7202*IF(Settings!$B$23=Settings!$C$6,1,IF(Settings!$B$23="USD",1/INDEX(Settings!$B$29:$B$40,MONTH(A7202)),INDEX(Settings!$B$29:$B$40,MONTH(A7202)))))</f>
        <v/>
      </c>
    </row>
    <row r="7203" customFormat="false" ht="15" hidden="false" customHeight="false" outlineLevel="0" collapsed="false">
      <c r="H7203" s="0" t="str">
        <f aca="false">IF(B7203="","",IF(COUNTIF(Campaigns!$A$7:$A$300,B7203)&gt;0,"✓","⚠ add to Campaigns tab"))</f>
        <v/>
      </c>
      <c r="I7203" s="84" t="str">
        <f aca="false">IF(C7203="","",C7203*IF(Settings!$B$23=Settings!$C$6,1,IF(Settings!$B$23="USD",1/INDEX(Settings!$B$29:$B$40,MONTH(A7203)),INDEX(Settings!$B$29:$B$40,MONTH(A7203)))))</f>
        <v/>
      </c>
    </row>
    <row r="7204" customFormat="false" ht="15" hidden="false" customHeight="false" outlineLevel="0" collapsed="false">
      <c r="H7204" s="0" t="str">
        <f aca="false">IF(B7204="","",IF(COUNTIF(Campaigns!$A$7:$A$300,B7204)&gt;0,"✓","⚠ add to Campaigns tab"))</f>
        <v/>
      </c>
      <c r="I7204" s="84" t="str">
        <f aca="false">IF(C7204="","",C7204*IF(Settings!$B$23=Settings!$C$6,1,IF(Settings!$B$23="USD",1/INDEX(Settings!$B$29:$B$40,MONTH(A7204)),INDEX(Settings!$B$29:$B$40,MONTH(A7204)))))</f>
        <v/>
      </c>
    </row>
    <row r="7205" customFormat="false" ht="15" hidden="false" customHeight="false" outlineLevel="0" collapsed="false">
      <c r="H7205" s="0" t="str">
        <f aca="false">IF(B7205="","",IF(COUNTIF(Campaigns!$A$7:$A$300,B7205)&gt;0,"✓","⚠ add to Campaigns tab"))</f>
        <v/>
      </c>
      <c r="I7205" s="84" t="str">
        <f aca="false">IF(C7205="","",C7205*IF(Settings!$B$23=Settings!$C$6,1,IF(Settings!$B$23="USD",1/INDEX(Settings!$B$29:$B$40,MONTH(A7205)),INDEX(Settings!$B$29:$B$40,MONTH(A7205)))))</f>
        <v/>
      </c>
    </row>
    <row r="7206" customFormat="false" ht="15" hidden="false" customHeight="false" outlineLevel="0" collapsed="false">
      <c r="H7206" s="0" t="str">
        <f aca="false">IF(B7206="","",IF(COUNTIF(Campaigns!$A$7:$A$300,B7206)&gt;0,"✓","⚠ add to Campaigns tab"))</f>
        <v/>
      </c>
      <c r="I7206" s="84" t="str">
        <f aca="false">IF(C7206="","",C7206*IF(Settings!$B$23=Settings!$C$6,1,IF(Settings!$B$23="USD",1/INDEX(Settings!$B$29:$B$40,MONTH(A7206)),INDEX(Settings!$B$29:$B$40,MONTH(A7206)))))</f>
        <v/>
      </c>
    </row>
    <row r="7207" customFormat="false" ht="15" hidden="false" customHeight="false" outlineLevel="0" collapsed="false">
      <c r="H7207" s="0" t="str">
        <f aca="false">IF(B7207="","",IF(COUNTIF(Campaigns!$A$7:$A$300,B7207)&gt;0,"✓","⚠ add to Campaigns tab"))</f>
        <v/>
      </c>
      <c r="I7207" s="84" t="str">
        <f aca="false">IF(C7207="","",C7207*IF(Settings!$B$23=Settings!$C$6,1,IF(Settings!$B$23="USD",1/INDEX(Settings!$B$29:$B$40,MONTH(A7207)),INDEX(Settings!$B$29:$B$40,MONTH(A7207)))))</f>
        <v/>
      </c>
    </row>
    <row r="7208" customFormat="false" ht="15" hidden="false" customHeight="false" outlineLevel="0" collapsed="false">
      <c r="H7208" s="0" t="str">
        <f aca="false">IF(B7208="","",IF(COUNTIF(Campaigns!$A$7:$A$300,B7208)&gt;0,"✓","⚠ add to Campaigns tab"))</f>
        <v/>
      </c>
      <c r="I7208" s="84" t="str">
        <f aca="false">IF(C7208="","",C7208*IF(Settings!$B$23=Settings!$C$6,1,IF(Settings!$B$23="USD",1/INDEX(Settings!$B$29:$B$40,MONTH(A7208)),INDEX(Settings!$B$29:$B$40,MONTH(A7208)))))</f>
        <v/>
      </c>
    </row>
    <row r="7209" customFormat="false" ht="15" hidden="false" customHeight="false" outlineLevel="0" collapsed="false">
      <c r="H7209" s="0" t="str">
        <f aca="false">IF(B7209="","",IF(COUNTIF(Campaigns!$A$7:$A$300,B7209)&gt;0,"✓","⚠ add to Campaigns tab"))</f>
        <v/>
      </c>
      <c r="I7209" s="84" t="str">
        <f aca="false">IF(C7209="","",C7209*IF(Settings!$B$23=Settings!$C$6,1,IF(Settings!$B$23="USD",1/INDEX(Settings!$B$29:$B$40,MONTH(A7209)),INDEX(Settings!$B$29:$B$40,MONTH(A7209)))))</f>
        <v/>
      </c>
    </row>
    <row r="7210" customFormat="false" ht="15" hidden="false" customHeight="false" outlineLevel="0" collapsed="false">
      <c r="H7210" s="0" t="str">
        <f aca="false">IF(B7210="","",IF(COUNTIF(Campaigns!$A$7:$A$300,B7210)&gt;0,"✓","⚠ add to Campaigns tab"))</f>
        <v/>
      </c>
      <c r="I7210" s="84" t="str">
        <f aca="false">IF(C7210="","",C7210*IF(Settings!$B$23=Settings!$C$6,1,IF(Settings!$B$23="USD",1/INDEX(Settings!$B$29:$B$40,MONTH(A7210)),INDEX(Settings!$B$29:$B$40,MONTH(A7210)))))</f>
        <v/>
      </c>
    </row>
    <row r="7211" customFormat="false" ht="15" hidden="false" customHeight="false" outlineLevel="0" collapsed="false">
      <c r="H7211" s="0" t="str">
        <f aca="false">IF(B7211="","",IF(COUNTIF(Campaigns!$A$7:$A$300,B7211)&gt;0,"✓","⚠ add to Campaigns tab"))</f>
        <v/>
      </c>
      <c r="I7211" s="84" t="str">
        <f aca="false">IF(C7211="","",C7211*IF(Settings!$B$23=Settings!$C$6,1,IF(Settings!$B$23="USD",1/INDEX(Settings!$B$29:$B$40,MONTH(A7211)),INDEX(Settings!$B$29:$B$40,MONTH(A7211)))))</f>
        <v/>
      </c>
    </row>
    <row r="7212" customFormat="false" ht="15" hidden="false" customHeight="false" outlineLevel="0" collapsed="false">
      <c r="H7212" s="0" t="str">
        <f aca="false">IF(B7212="","",IF(COUNTIF(Campaigns!$A$7:$A$300,B7212)&gt;0,"✓","⚠ add to Campaigns tab"))</f>
        <v/>
      </c>
      <c r="I7212" s="84" t="str">
        <f aca="false">IF(C7212="","",C7212*IF(Settings!$B$23=Settings!$C$6,1,IF(Settings!$B$23="USD",1/INDEX(Settings!$B$29:$B$40,MONTH(A7212)),INDEX(Settings!$B$29:$B$40,MONTH(A7212)))))</f>
        <v/>
      </c>
    </row>
    <row r="7213" customFormat="false" ht="15" hidden="false" customHeight="false" outlineLevel="0" collapsed="false">
      <c r="H7213" s="0" t="str">
        <f aca="false">IF(B7213="","",IF(COUNTIF(Campaigns!$A$7:$A$300,B7213)&gt;0,"✓","⚠ add to Campaigns tab"))</f>
        <v/>
      </c>
      <c r="I7213" s="84" t="str">
        <f aca="false">IF(C7213="","",C7213*IF(Settings!$B$23=Settings!$C$6,1,IF(Settings!$B$23="USD",1/INDEX(Settings!$B$29:$B$40,MONTH(A7213)),INDEX(Settings!$B$29:$B$40,MONTH(A7213)))))</f>
        <v/>
      </c>
    </row>
    <row r="7214" customFormat="false" ht="15" hidden="false" customHeight="false" outlineLevel="0" collapsed="false">
      <c r="H7214" s="0" t="str">
        <f aca="false">IF(B7214="","",IF(COUNTIF(Campaigns!$A$7:$A$300,B7214)&gt;0,"✓","⚠ add to Campaigns tab"))</f>
        <v/>
      </c>
      <c r="I7214" s="84" t="str">
        <f aca="false">IF(C7214="","",C7214*IF(Settings!$B$23=Settings!$C$6,1,IF(Settings!$B$23="USD",1/INDEX(Settings!$B$29:$B$40,MONTH(A7214)),INDEX(Settings!$B$29:$B$40,MONTH(A7214)))))</f>
        <v/>
      </c>
    </row>
    <row r="7215" customFormat="false" ht="15" hidden="false" customHeight="false" outlineLevel="0" collapsed="false">
      <c r="H7215" s="0" t="str">
        <f aca="false">IF(B7215="","",IF(COUNTIF(Campaigns!$A$7:$A$300,B7215)&gt;0,"✓","⚠ add to Campaigns tab"))</f>
        <v/>
      </c>
      <c r="I7215" s="84" t="str">
        <f aca="false">IF(C7215="","",C7215*IF(Settings!$B$23=Settings!$C$6,1,IF(Settings!$B$23="USD",1/INDEX(Settings!$B$29:$B$40,MONTH(A7215)),INDEX(Settings!$B$29:$B$40,MONTH(A7215)))))</f>
        <v/>
      </c>
    </row>
    <row r="7216" customFormat="false" ht="15" hidden="false" customHeight="false" outlineLevel="0" collapsed="false">
      <c r="H7216" s="0" t="str">
        <f aca="false">IF(B7216="","",IF(COUNTIF(Campaigns!$A$7:$A$300,B7216)&gt;0,"✓","⚠ add to Campaigns tab"))</f>
        <v/>
      </c>
      <c r="I7216" s="84" t="str">
        <f aca="false">IF(C7216="","",C7216*IF(Settings!$B$23=Settings!$C$6,1,IF(Settings!$B$23="USD",1/INDEX(Settings!$B$29:$B$40,MONTH(A7216)),INDEX(Settings!$B$29:$B$40,MONTH(A7216)))))</f>
        <v/>
      </c>
    </row>
    <row r="7217" customFormat="false" ht="15" hidden="false" customHeight="false" outlineLevel="0" collapsed="false">
      <c r="H7217" s="0" t="str">
        <f aca="false">IF(B7217="","",IF(COUNTIF(Campaigns!$A$7:$A$300,B7217)&gt;0,"✓","⚠ add to Campaigns tab"))</f>
        <v/>
      </c>
      <c r="I7217" s="84" t="str">
        <f aca="false">IF(C7217="","",C7217*IF(Settings!$B$23=Settings!$C$6,1,IF(Settings!$B$23="USD",1/INDEX(Settings!$B$29:$B$40,MONTH(A7217)),INDEX(Settings!$B$29:$B$40,MONTH(A7217)))))</f>
        <v/>
      </c>
    </row>
    <row r="7218" customFormat="false" ht="15" hidden="false" customHeight="false" outlineLevel="0" collapsed="false">
      <c r="H7218" s="0" t="str">
        <f aca="false">IF(B7218="","",IF(COUNTIF(Campaigns!$A$7:$A$300,B7218)&gt;0,"✓","⚠ add to Campaigns tab"))</f>
        <v/>
      </c>
      <c r="I7218" s="84" t="str">
        <f aca="false">IF(C7218="","",C7218*IF(Settings!$B$23=Settings!$C$6,1,IF(Settings!$B$23="USD",1/INDEX(Settings!$B$29:$B$40,MONTH(A7218)),INDEX(Settings!$B$29:$B$40,MONTH(A7218)))))</f>
        <v/>
      </c>
    </row>
    <row r="7219" customFormat="false" ht="15" hidden="false" customHeight="false" outlineLevel="0" collapsed="false">
      <c r="H7219" s="0" t="str">
        <f aca="false">IF(B7219="","",IF(COUNTIF(Campaigns!$A$7:$A$300,B7219)&gt;0,"✓","⚠ add to Campaigns tab"))</f>
        <v/>
      </c>
      <c r="I7219" s="84" t="str">
        <f aca="false">IF(C7219="","",C7219*IF(Settings!$B$23=Settings!$C$6,1,IF(Settings!$B$23="USD",1/INDEX(Settings!$B$29:$B$40,MONTH(A7219)),INDEX(Settings!$B$29:$B$40,MONTH(A7219)))))</f>
        <v/>
      </c>
    </row>
    <row r="7220" customFormat="false" ht="15" hidden="false" customHeight="false" outlineLevel="0" collapsed="false">
      <c r="H7220" s="0" t="str">
        <f aca="false">IF(B7220="","",IF(COUNTIF(Campaigns!$A$7:$A$300,B7220)&gt;0,"✓","⚠ add to Campaigns tab"))</f>
        <v/>
      </c>
      <c r="I7220" s="84" t="str">
        <f aca="false">IF(C7220="","",C7220*IF(Settings!$B$23=Settings!$C$6,1,IF(Settings!$B$23="USD",1/INDEX(Settings!$B$29:$B$40,MONTH(A7220)),INDEX(Settings!$B$29:$B$40,MONTH(A7220)))))</f>
        <v/>
      </c>
    </row>
    <row r="7221" customFormat="false" ht="15" hidden="false" customHeight="false" outlineLevel="0" collapsed="false">
      <c r="H7221" s="0" t="str">
        <f aca="false">IF(B7221="","",IF(COUNTIF(Campaigns!$A$7:$A$300,B7221)&gt;0,"✓","⚠ add to Campaigns tab"))</f>
        <v/>
      </c>
      <c r="I7221" s="84" t="str">
        <f aca="false">IF(C7221="","",C7221*IF(Settings!$B$23=Settings!$C$6,1,IF(Settings!$B$23="USD",1/INDEX(Settings!$B$29:$B$40,MONTH(A7221)),INDEX(Settings!$B$29:$B$40,MONTH(A7221)))))</f>
        <v/>
      </c>
    </row>
    <row r="7222" customFormat="false" ht="15" hidden="false" customHeight="false" outlineLevel="0" collapsed="false">
      <c r="H7222" s="0" t="str">
        <f aca="false">IF(B7222="","",IF(COUNTIF(Campaigns!$A$7:$A$300,B7222)&gt;0,"✓","⚠ add to Campaigns tab"))</f>
        <v/>
      </c>
      <c r="I7222" s="84" t="str">
        <f aca="false">IF(C7222="","",C7222*IF(Settings!$B$23=Settings!$C$6,1,IF(Settings!$B$23="USD",1/INDEX(Settings!$B$29:$B$40,MONTH(A7222)),INDEX(Settings!$B$29:$B$40,MONTH(A7222)))))</f>
        <v/>
      </c>
    </row>
    <row r="7223" customFormat="false" ht="15" hidden="false" customHeight="false" outlineLevel="0" collapsed="false">
      <c r="H7223" s="0" t="str">
        <f aca="false">IF(B7223="","",IF(COUNTIF(Campaigns!$A$7:$A$300,B7223)&gt;0,"✓","⚠ add to Campaigns tab"))</f>
        <v/>
      </c>
      <c r="I7223" s="84" t="str">
        <f aca="false">IF(C7223="","",C7223*IF(Settings!$B$23=Settings!$C$6,1,IF(Settings!$B$23="USD",1/INDEX(Settings!$B$29:$B$40,MONTH(A7223)),INDEX(Settings!$B$29:$B$40,MONTH(A7223)))))</f>
        <v/>
      </c>
    </row>
    <row r="7224" customFormat="false" ht="15" hidden="false" customHeight="false" outlineLevel="0" collapsed="false">
      <c r="H7224" s="0" t="str">
        <f aca="false">IF(B7224="","",IF(COUNTIF(Campaigns!$A$7:$A$300,B7224)&gt;0,"✓","⚠ add to Campaigns tab"))</f>
        <v/>
      </c>
      <c r="I7224" s="84" t="str">
        <f aca="false">IF(C7224="","",C7224*IF(Settings!$B$23=Settings!$C$6,1,IF(Settings!$B$23="USD",1/INDEX(Settings!$B$29:$B$40,MONTH(A7224)),INDEX(Settings!$B$29:$B$40,MONTH(A7224)))))</f>
        <v/>
      </c>
    </row>
    <row r="7225" customFormat="false" ht="15" hidden="false" customHeight="false" outlineLevel="0" collapsed="false">
      <c r="H7225" s="0" t="str">
        <f aca="false">IF(B7225="","",IF(COUNTIF(Campaigns!$A$7:$A$300,B7225)&gt;0,"✓","⚠ add to Campaigns tab"))</f>
        <v/>
      </c>
      <c r="I7225" s="84" t="str">
        <f aca="false">IF(C7225="","",C7225*IF(Settings!$B$23=Settings!$C$6,1,IF(Settings!$B$23="USD",1/INDEX(Settings!$B$29:$B$40,MONTH(A7225)),INDEX(Settings!$B$29:$B$40,MONTH(A7225)))))</f>
        <v/>
      </c>
    </row>
    <row r="7226" customFormat="false" ht="15" hidden="false" customHeight="false" outlineLevel="0" collapsed="false">
      <c r="H7226" s="0" t="str">
        <f aca="false">IF(B7226="","",IF(COUNTIF(Campaigns!$A$7:$A$300,B7226)&gt;0,"✓","⚠ add to Campaigns tab"))</f>
        <v/>
      </c>
      <c r="I7226" s="84" t="str">
        <f aca="false">IF(C7226="","",C7226*IF(Settings!$B$23=Settings!$C$6,1,IF(Settings!$B$23="USD",1/INDEX(Settings!$B$29:$B$40,MONTH(A7226)),INDEX(Settings!$B$29:$B$40,MONTH(A7226)))))</f>
        <v/>
      </c>
    </row>
    <row r="7227" customFormat="false" ht="15" hidden="false" customHeight="false" outlineLevel="0" collapsed="false">
      <c r="H7227" s="0" t="str">
        <f aca="false">IF(B7227="","",IF(COUNTIF(Campaigns!$A$7:$A$300,B7227)&gt;0,"✓","⚠ add to Campaigns tab"))</f>
        <v/>
      </c>
      <c r="I7227" s="84" t="str">
        <f aca="false">IF(C7227="","",C7227*IF(Settings!$B$23=Settings!$C$6,1,IF(Settings!$B$23="USD",1/INDEX(Settings!$B$29:$B$40,MONTH(A7227)),INDEX(Settings!$B$29:$B$40,MONTH(A7227)))))</f>
        <v/>
      </c>
    </row>
    <row r="7228" customFormat="false" ht="15" hidden="false" customHeight="false" outlineLevel="0" collapsed="false">
      <c r="H7228" s="0" t="str">
        <f aca="false">IF(B7228="","",IF(COUNTIF(Campaigns!$A$7:$A$300,B7228)&gt;0,"✓","⚠ add to Campaigns tab"))</f>
        <v/>
      </c>
      <c r="I7228" s="84" t="str">
        <f aca="false">IF(C7228="","",C7228*IF(Settings!$B$23=Settings!$C$6,1,IF(Settings!$B$23="USD",1/INDEX(Settings!$B$29:$B$40,MONTH(A7228)),INDEX(Settings!$B$29:$B$40,MONTH(A7228)))))</f>
        <v/>
      </c>
    </row>
    <row r="7229" customFormat="false" ht="15" hidden="false" customHeight="false" outlineLevel="0" collapsed="false">
      <c r="H7229" s="0" t="str">
        <f aca="false">IF(B7229="","",IF(COUNTIF(Campaigns!$A$7:$A$300,B7229)&gt;0,"✓","⚠ add to Campaigns tab"))</f>
        <v/>
      </c>
      <c r="I7229" s="84" t="str">
        <f aca="false">IF(C7229="","",C7229*IF(Settings!$B$23=Settings!$C$6,1,IF(Settings!$B$23="USD",1/INDEX(Settings!$B$29:$B$40,MONTH(A7229)),INDEX(Settings!$B$29:$B$40,MONTH(A7229)))))</f>
        <v/>
      </c>
    </row>
    <row r="7230" customFormat="false" ht="15" hidden="false" customHeight="false" outlineLevel="0" collapsed="false">
      <c r="H7230" s="0" t="str">
        <f aca="false">IF(B7230="","",IF(COUNTIF(Campaigns!$A$7:$A$300,B7230)&gt;0,"✓","⚠ add to Campaigns tab"))</f>
        <v/>
      </c>
      <c r="I7230" s="84" t="str">
        <f aca="false">IF(C7230="","",C7230*IF(Settings!$B$23=Settings!$C$6,1,IF(Settings!$B$23="USD",1/INDEX(Settings!$B$29:$B$40,MONTH(A7230)),INDEX(Settings!$B$29:$B$40,MONTH(A7230)))))</f>
        <v/>
      </c>
    </row>
    <row r="7231" customFormat="false" ht="15" hidden="false" customHeight="false" outlineLevel="0" collapsed="false">
      <c r="H7231" s="0" t="str">
        <f aca="false">IF(B7231="","",IF(COUNTIF(Campaigns!$A$7:$A$300,B7231)&gt;0,"✓","⚠ add to Campaigns tab"))</f>
        <v/>
      </c>
      <c r="I7231" s="84" t="str">
        <f aca="false">IF(C7231="","",C7231*IF(Settings!$B$23=Settings!$C$6,1,IF(Settings!$B$23="USD",1/INDEX(Settings!$B$29:$B$40,MONTH(A7231)),INDEX(Settings!$B$29:$B$40,MONTH(A7231)))))</f>
        <v/>
      </c>
    </row>
    <row r="7232" customFormat="false" ht="15" hidden="false" customHeight="false" outlineLevel="0" collapsed="false">
      <c r="H7232" s="0" t="str">
        <f aca="false">IF(B7232="","",IF(COUNTIF(Campaigns!$A$7:$A$300,B7232)&gt;0,"✓","⚠ add to Campaigns tab"))</f>
        <v/>
      </c>
      <c r="I7232" s="84" t="str">
        <f aca="false">IF(C7232="","",C7232*IF(Settings!$B$23=Settings!$C$6,1,IF(Settings!$B$23="USD",1/INDEX(Settings!$B$29:$B$40,MONTH(A7232)),INDEX(Settings!$B$29:$B$40,MONTH(A7232)))))</f>
        <v/>
      </c>
    </row>
    <row r="7233" customFormat="false" ht="15" hidden="false" customHeight="false" outlineLevel="0" collapsed="false">
      <c r="H7233" s="0" t="str">
        <f aca="false">IF(B7233="","",IF(COUNTIF(Campaigns!$A$7:$A$300,B7233)&gt;0,"✓","⚠ add to Campaigns tab"))</f>
        <v/>
      </c>
      <c r="I7233" s="84" t="str">
        <f aca="false">IF(C7233="","",C7233*IF(Settings!$B$23=Settings!$C$6,1,IF(Settings!$B$23="USD",1/INDEX(Settings!$B$29:$B$40,MONTH(A7233)),INDEX(Settings!$B$29:$B$40,MONTH(A7233)))))</f>
        <v/>
      </c>
    </row>
    <row r="7234" customFormat="false" ht="15" hidden="false" customHeight="false" outlineLevel="0" collapsed="false">
      <c r="H7234" s="0" t="str">
        <f aca="false">IF(B7234="","",IF(COUNTIF(Campaigns!$A$7:$A$300,B7234)&gt;0,"✓","⚠ add to Campaigns tab"))</f>
        <v/>
      </c>
      <c r="I7234" s="84" t="str">
        <f aca="false">IF(C7234="","",C7234*IF(Settings!$B$23=Settings!$C$6,1,IF(Settings!$B$23="USD",1/INDEX(Settings!$B$29:$B$40,MONTH(A7234)),INDEX(Settings!$B$29:$B$40,MONTH(A7234)))))</f>
        <v/>
      </c>
    </row>
    <row r="7235" customFormat="false" ht="15" hidden="false" customHeight="false" outlineLevel="0" collapsed="false">
      <c r="H7235" s="0" t="str">
        <f aca="false">IF(B7235="","",IF(COUNTIF(Campaigns!$A$7:$A$300,B7235)&gt;0,"✓","⚠ add to Campaigns tab"))</f>
        <v/>
      </c>
      <c r="I7235" s="84" t="str">
        <f aca="false">IF(C7235="","",C7235*IF(Settings!$B$23=Settings!$C$6,1,IF(Settings!$B$23="USD",1/INDEX(Settings!$B$29:$B$40,MONTH(A7235)),INDEX(Settings!$B$29:$B$40,MONTH(A7235)))))</f>
        <v/>
      </c>
    </row>
    <row r="7236" customFormat="false" ht="15" hidden="false" customHeight="false" outlineLevel="0" collapsed="false">
      <c r="H7236" s="0" t="str">
        <f aca="false">IF(B7236="","",IF(COUNTIF(Campaigns!$A$7:$A$300,B7236)&gt;0,"✓","⚠ add to Campaigns tab"))</f>
        <v/>
      </c>
      <c r="I7236" s="84" t="str">
        <f aca="false">IF(C7236="","",C7236*IF(Settings!$B$23=Settings!$C$6,1,IF(Settings!$B$23="USD",1/INDEX(Settings!$B$29:$B$40,MONTH(A7236)),INDEX(Settings!$B$29:$B$40,MONTH(A7236)))))</f>
        <v/>
      </c>
    </row>
    <row r="7237" customFormat="false" ht="15" hidden="false" customHeight="false" outlineLevel="0" collapsed="false">
      <c r="H7237" s="0" t="str">
        <f aca="false">IF(B7237="","",IF(COUNTIF(Campaigns!$A$7:$A$300,B7237)&gt;0,"✓","⚠ add to Campaigns tab"))</f>
        <v/>
      </c>
      <c r="I7237" s="84" t="str">
        <f aca="false">IF(C7237="","",C7237*IF(Settings!$B$23=Settings!$C$6,1,IF(Settings!$B$23="USD",1/INDEX(Settings!$B$29:$B$40,MONTH(A7237)),INDEX(Settings!$B$29:$B$40,MONTH(A7237)))))</f>
        <v/>
      </c>
    </row>
    <row r="7238" customFormat="false" ht="15" hidden="false" customHeight="false" outlineLevel="0" collapsed="false">
      <c r="H7238" s="0" t="str">
        <f aca="false">IF(B7238="","",IF(COUNTIF(Campaigns!$A$7:$A$300,B7238)&gt;0,"✓","⚠ add to Campaigns tab"))</f>
        <v/>
      </c>
      <c r="I7238" s="84" t="str">
        <f aca="false">IF(C7238="","",C7238*IF(Settings!$B$23=Settings!$C$6,1,IF(Settings!$B$23="USD",1/INDEX(Settings!$B$29:$B$40,MONTH(A7238)),INDEX(Settings!$B$29:$B$40,MONTH(A7238)))))</f>
        <v/>
      </c>
    </row>
    <row r="7239" customFormat="false" ht="15" hidden="false" customHeight="false" outlineLevel="0" collapsed="false">
      <c r="H7239" s="0" t="str">
        <f aca="false">IF(B7239="","",IF(COUNTIF(Campaigns!$A$7:$A$300,B7239)&gt;0,"✓","⚠ add to Campaigns tab"))</f>
        <v/>
      </c>
      <c r="I7239" s="84" t="str">
        <f aca="false">IF(C7239="","",C7239*IF(Settings!$B$23=Settings!$C$6,1,IF(Settings!$B$23="USD",1/INDEX(Settings!$B$29:$B$40,MONTH(A7239)),INDEX(Settings!$B$29:$B$40,MONTH(A7239)))))</f>
        <v/>
      </c>
    </row>
    <row r="7240" customFormat="false" ht="15" hidden="false" customHeight="false" outlineLevel="0" collapsed="false">
      <c r="H7240" s="0" t="str">
        <f aca="false">IF(B7240="","",IF(COUNTIF(Campaigns!$A$7:$A$300,B7240)&gt;0,"✓","⚠ add to Campaigns tab"))</f>
        <v/>
      </c>
      <c r="I7240" s="84" t="str">
        <f aca="false">IF(C7240="","",C7240*IF(Settings!$B$23=Settings!$C$6,1,IF(Settings!$B$23="USD",1/INDEX(Settings!$B$29:$B$40,MONTH(A7240)),INDEX(Settings!$B$29:$B$40,MONTH(A7240)))))</f>
        <v/>
      </c>
    </row>
    <row r="7241" customFormat="false" ht="15" hidden="false" customHeight="false" outlineLevel="0" collapsed="false">
      <c r="H7241" s="0" t="str">
        <f aca="false">IF(B7241="","",IF(COUNTIF(Campaigns!$A$7:$A$300,B7241)&gt;0,"✓","⚠ add to Campaigns tab"))</f>
        <v/>
      </c>
      <c r="I7241" s="84" t="str">
        <f aca="false">IF(C7241="","",C7241*IF(Settings!$B$23=Settings!$C$6,1,IF(Settings!$B$23="USD",1/INDEX(Settings!$B$29:$B$40,MONTH(A7241)),INDEX(Settings!$B$29:$B$40,MONTH(A7241)))))</f>
        <v/>
      </c>
    </row>
    <row r="7242" customFormat="false" ht="15" hidden="false" customHeight="false" outlineLevel="0" collapsed="false">
      <c r="H7242" s="0" t="str">
        <f aca="false">IF(B7242="","",IF(COUNTIF(Campaigns!$A$7:$A$300,B7242)&gt;0,"✓","⚠ add to Campaigns tab"))</f>
        <v/>
      </c>
      <c r="I7242" s="84" t="str">
        <f aca="false">IF(C7242="","",C7242*IF(Settings!$B$23=Settings!$C$6,1,IF(Settings!$B$23="USD",1/INDEX(Settings!$B$29:$B$40,MONTH(A7242)),INDEX(Settings!$B$29:$B$40,MONTH(A7242)))))</f>
        <v/>
      </c>
    </row>
    <row r="7243" customFormat="false" ht="15" hidden="false" customHeight="false" outlineLevel="0" collapsed="false">
      <c r="H7243" s="0" t="str">
        <f aca="false">IF(B7243="","",IF(COUNTIF(Campaigns!$A$7:$A$300,B7243)&gt;0,"✓","⚠ add to Campaigns tab"))</f>
        <v/>
      </c>
      <c r="I7243" s="84" t="str">
        <f aca="false">IF(C7243="","",C7243*IF(Settings!$B$23=Settings!$C$6,1,IF(Settings!$B$23="USD",1/INDEX(Settings!$B$29:$B$40,MONTH(A7243)),INDEX(Settings!$B$29:$B$40,MONTH(A7243)))))</f>
        <v/>
      </c>
    </row>
    <row r="7244" customFormat="false" ht="15" hidden="false" customHeight="false" outlineLevel="0" collapsed="false">
      <c r="H7244" s="0" t="str">
        <f aca="false">IF(B7244="","",IF(COUNTIF(Campaigns!$A$7:$A$300,B7244)&gt;0,"✓","⚠ add to Campaigns tab"))</f>
        <v/>
      </c>
      <c r="I7244" s="84" t="str">
        <f aca="false">IF(C7244="","",C7244*IF(Settings!$B$23=Settings!$C$6,1,IF(Settings!$B$23="USD",1/INDEX(Settings!$B$29:$B$40,MONTH(A7244)),INDEX(Settings!$B$29:$B$40,MONTH(A7244)))))</f>
        <v/>
      </c>
    </row>
    <row r="7245" customFormat="false" ht="15" hidden="false" customHeight="false" outlineLevel="0" collapsed="false">
      <c r="H7245" s="0" t="str">
        <f aca="false">IF(B7245="","",IF(COUNTIF(Campaigns!$A$7:$A$300,B7245)&gt;0,"✓","⚠ add to Campaigns tab"))</f>
        <v/>
      </c>
      <c r="I7245" s="84" t="str">
        <f aca="false">IF(C7245="","",C7245*IF(Settings!$B$23=Settings!$C$6,1,IF(Settings!$B$23="USD",1/INDEX(Settings!$B$29:$B$40,MONTH(A7245)),INDEX(Settings!$B$29:$B$40,MONTH(A7245)))))</f>
        <v/>
      </c>
    </row>
    <row r="7246" customFormat="false" ht="15" hidden="false" customHeight="false" outlineLevel="0" collapsed="false">
      <c r="H7246" s="0" t="str">
        <f aca="false">IF(B7246="","",IF(COUNTIF(Campaigns!$A$7:$A$300,B7246)&gt;0,"✓","⚠ add to Campaigns tab"))</f>
        <v/>
      </c>
      <c r="I7246" s="84" t="str">
        <f aca="false">IF(C7246="","",C7246*IF(Settings!$B$23=Settings!$C$6,1,IF(Settings!$B$23="USD",1/INDEX(Settings!$B$29:$B$40,MONTH(A7246)),INDEX(Settings!$B$29:$B$40,MONTH(A7246)))))</f>
        <v/>
      </c>
    </row>
    <row r="7247" customFormat="false" ht="15" hidden="false" customHeight="false" outlineLevel="0" collapsed="false">
      <c r="H7247" s="0" t="str">
        <f aca="false">IF(B7247="","",IF(COUNTIF(Campaigns!$A$7:$A$300,B7247)&gt;0,"✓","⚠ add to Campaigns tab"))</f>
        <v/>
      </c>
      <c r="I7247" s="84" t="str">
        <f aca="false">IF(C7247="","",C7247*IF(Settings!$B$23=Settings!$C$6,1,IF(Settings!$B$23="USD",1/INDEX(Settings!$B$29:$B$40,MONTH(A7247)),INDEX(Settings!$B$29:$B$40,MONTH(A7247)))))</f>
        <v/>
      </c>
    </row>
    <row r="7248" customFormat="false" ht="15" hidden="false" customHeight="false" outlineLevel="0" collapsed="false">
      <c r="H7248" s="0" t="str">
        <f aca="false">IF(B7248="","",IF(COUNTIF(Campaigns!$A$7:$A$300,B7248)&gt;0,"✓","⚠ add to Campaigns tab"))</f>
        <v/>
      </c>
      <c r="I7248" s="84" t="str">
        <f aca="false">IF(C7248="","",C7248*IF(Settings!$B$23=Settings!$C$6,1,IF(Settings!$B$23="USD",1/INDEX(Settings!$B$29:$B$40,MONTH(A7248)),INDEX(Settings!$B$29:$B$40,MONTH(A7248)))))</f>
        <v/>
      </c>
    </row>
    <row r="7249" customFormat="false" ht="15" hidden="false" customHeight="false" outlineLevel="0" collapsed="false">
      <c r="H7249" s="0" t="str">
        <f aca="false">IF(B7249="","",IF(COUNTIF(Campaigns!$A$7:$A$300,B7249)&gt;0,"✓","⚠ add to Campaigns tab"))</f>
        <v/>
      </c>
      <c r="I7249" s="84" t="str">
        <f aca="false">IF(C7249="","",C7249*IF(Settings!$B$23=Settings!$C$6,1,IF(Settings!$B$23="USD",1/INDEX(Settings!$B$29:$B$40,MONTH(A7249)),INDEX(Settings!$B$29:$B$40,MONTH(A7249)))))</f>
        <v/>
      </c>
    </row>
    <row r="7250" customFormat="false" ht="15" hidden="false" customHeight="false" outlineLevel="0" collapsed="false">
      <c r="H7250" s="0" t="str">
        <f aca="false">IF(B7250="","",IF(COUNTIF(Campaigns!$A$7:$A$300,B7250)&gt;0,"✓","⚠ add to Campaigns tab"))</f>
        <v/>
      </c>
      <c r="I7250" s="84" t="str">
        <f aca="false">IF(C7250="","",C7250*IF(Settings!$B$23=Settings!$C$6,1,IF(Settings!$B$23="USD",1/INDEX(Settings!$B$29:$B$40,MONTH(A7250)),INDEX(Settings!$B$29:$B$40,MONTH(A7250)))))</f>
        <v/>
      </c>
    </row>
    <row r="7251" customFormat="false" ht="15" hidden="false" customHeight="false" outlineLevel="0" collapsed="false">
      <c r="H7251" s="0" t="str">
        <f aca="false">IF(B7251="","",IF(COUNTIF(Campaigns!$A$7:$A$300,B7251)&gt;0,"✓","⚠ add to Campaigns tab"))</f>
        <v/>
      </c>
      <c r="I7251" s="84" t="str">
        <f aca="false">IF(C7251="","",C7251*IF(Settings!$B$23=Settings!$C$6,1,IF(Settings!$B$23="USD",1/INDEX(Settings!$B$29:$B$40,MONTH(A7251)),INDEX(Settings!$B$29:$B$40,MONTH(A7251)))))</f>
        <v/>
      </c>
    </row>
    <row r="7252" customFormat="false" ht="15" hidden="false" customHeight="false" outlineLevel="0" collapsed="false">
      <c r="H7252" s="0" t="str">
        <f aca="false">IF(B7252="","",IF(COUNTIF(Campaigns!$A$7:$A$300,B7252)&gt;0,"✓","⚠ add to Campaigns tab"))</f>
        <v/>
      </c>
      <c r="I7252" s="84" t="str">
        <f aca="false">IF(C7252="","",C7252*IF(Settings!$B$23=Settings!$C$6,1,IF(Settings!$B$23="USD",1/INDEX(Settings!$B$29:$B$40,MONTH(A7252)),INDEX(Settings!$B$29:$B$40,MONTH(A7252)))))</f>
        <v/>
      </c>
    </row>
    <row r="7253" customFormat="false" ht="15" hidden="false" customHeight="false" outlineLevel="0" collapsed="false">
      <c r="H7253" s="0" t="str">
        <f aca="false">IF(B7253="","",IF(COUNTIF(Campaigns!$A$7:$A$300,B7253)&gt;0,"✓","⚠ add to Campaigns tab"))</f>
        <v/>
      </c>
      <c r="I7253" s="84" t="str">
        <f aca="false">IF(C7253="","",C7253*IF(Settings!$B$23=Settings!$C$6,1,IF(Settings!$B$23="USD",1/INDEX(Settings!$B$29:$B$40,MONTH(A7253)),INDEX(Settings!$B$29:$B$40,MONTH(A7253)))))</f>
        <v/>
      </c>
    </row>
    <row r="7254" customFormat="false" ht="15" hidden="false" customHeight="false" outlineLevel="0" collapsed="false">
      <c r="H7254" s="0" t="str">
        <f aca="false">IF(B7254="","",IF(COUNTIF(Campaigns!$A$7:$A$300,B7254)&gt;0,"✓","⚠ add to Campaigns tab"))</f>
        <v/>
      </c>
      <c r="I7254" s="84" t="str">
        <f aca="false">IF(C7254="","",C7254*IF(Settings!$B$23=Settings!$C$6,1,IF(Settings!$B$23="USD",1/INDEX(Settings!$B$29:$B$40,MONTH(A7254)),INDEX(Settings!$B$29:$B$40,MONTH(A7254)))))</f>
        <v/>
      </c>
    </row>
    <row r="7255" customFormat="false" ht="15" hidden="false" customHeight="false" outlineLevel="0" collapsed="false">
      <c r="H7255" s="0" t="str">
        <f aca="false">IF(B7255="","",IF(COUNTIF(Campaigns!$A$7:$A$300,B7255)&gt;0,"✓","⚠ add to Campaigns tab"))</f>
        <v/>
      </c>
      <c r="I7255" s="84" t="str">
        <f aca="false">IF(C7255="","",C7255*IF(Settings!$B$23=Settings!$C$6,1,IF(Settings!$B$23="USD",1/INDEX(Settings!$B$29:$B$40,MONTH(A7255)),INDEX(Settings!$B$29:$B$40,MONTH(A7255)))))</f>
        <v/>
      </c>
    </row>
    <row r="7256" customFormat="false" ht="15" hidden="false" customHeight="false" outlineLevel="0" collapsed="false">
      <c r="H7256" s="0" t="str">
        <f aca="false">IF(B7256="","",IF(COUNTIF(Campaigns!$A$7:$A$300,B7256)&gt;0,"✓","⚠ add to Campaigns tab"))</f>
        <v/>
      </c>
      <c r="I7256" s="84" t="str">
        <f aca="false">IF(C7256="","",C7256*IF(Settings!$B$23=Settings!$C$6,1,IF(Settings!$B$23="USD",1/INDEX(Settings!$B$29:$B$40,MONTH(A7256)),INDEX(Settings!$B$29:$B$40,MONTH(A7256)))))</f>
        <v/>
      </c>
    </row>
    <row r="7257" customFormat="false" ht="15" hidden="false" customHeight="false" outlineLevel="0" collapsed="false">
      <c r="H7257" s="0" t="str">
        <f aca="false">IF(B7257="","",IF(COUNTIF(Campaigns!$A$7:$A$300,B7257)&gt;0,"✓","⚠ add to Campaigns tab"))</f>
        <v/>
      </c>
      <c r="I7257" s="84" t="str">
        <f aca="false">IF(C7257="","",C7257*IF(Settings!$B$23=Settings!$C$6,1,IF(Settings!$B$23="USD",1/INDEX(Settings!$B$29:$B$40,MONTH(A7257)),INDEX(Settings!$B$29:$B$40,MONTH(A7257)))))</f>
        <v/>
      </c>
    </row>
    <row r="7258" customFormat="false" ht="15" hidden="false" customHeight="false" outlineLevel="0" collapsed="false">
      <c r="H7258" s="0" t="str">
        <f aca="false">IF(B7258="","",IF(COUNTIF(Campaigns!$A$7:$A$300,B7258)&gt;0,"✓","⚠ add to Campaigns tab"))</f>
        <v/>
      </c>
      <c r="I7258" s="84" t="str">
        <f aca="false">IF(C7258="","",C7258*IF(Settings!$B$23=Settings!$C$6,1,IF(Settings!$B$23="USD",1/INDEX(Settings!$B$29:$B$40,MONTH(A7258)),INDEX(Settings!$B$29:$B$40,MONTH(A7258)))))</f>
        <v/>
      </c>
    </row>
    <row r="7259" customFormat="false" ht="15" hidden="false" customHeight="false" outlineLevel="0" collapsed="false">
      <c r="H7259" s="0" t="str">
        <f aca="false">IF(B7259="","",IF(COUNTIF(Campaigns!$A$7:$A$300,B7259)&gt;0,"✓","⚠ add to Campaigns tab"))</f>
        <v/>
      </c>
      <c r="I7259" s="84" t="str">
        <f aca="false">IF(C7259="","",C7259*IF(Settings!$B$23=Settings!$C$6,1,IF(Settings!$B$23="USD",1/INDEX(Settings!$B$29:$B$40,MONTH(A7259)),INDEX(Settings!$B$29:$B$40,MONTH(A7259)))))</f>
        <v/>
      </c>
    </row>
    <row r="7260" customFormat="false" ht="15" hidden="false" customHeight="false" outlineLevel="0" collapsed="false">
      <c r="H7260" s="0" t="str">
        <f aca="false">IF(B7260="","",IF(COUNTIF(Campaigns!$A$7:$A$300,B7260)&gt;0,"✓","⚠ add to Campaigns tab"))</f>
        <v/>
      </c>
      <c r="I7260" s="84" t="str">
        <f aca="false">IF(C7260="","",C7260*IF(Settings!$B$23=Settings!$C$6,1,IF(Settings!$B$23="USD",1/INDEX(Settings!$B$29:$B$40,MONTH(A7260)),INDEX(Settings!$B$29:$B$40,MONTH(A7260)))))</f>
        <v/>
      </c>
    </row>
    <row r="7261" customFormat="false" ht="15" hidden="false" customHeight="false" outlineLevel="0" collapsed="false">
      <c r="H7261" s="0" t="str">
        <f aca="false">IF(B7261="","",IF(COUNTIF(Campaigns!$A$7:$A$300,B7261)&gt;0,"✓","⚠ add to Campaigns tab"))</f>
        <v/>
      </c>
      <c r="I7261" s="84" t="str">
        <f aca="false">IF(C7261="","",C7261*IF(Settings!$B$23=Settings!$C$6,1,IF(Settings!$B$23="USD",1/INDEX(Settings!$B$29:$B$40,MONTH(A7261)),INDEX(Settings!$B$29:$B$40,MONTH(A7261)))))</f>
        <v/>
      </c>
    </row>
    <row r="7262" customFormat="false" ht="15" hidden="false" customHeight="false" outlineLevel="0" collapsed="false">
      <c r="H7262" s="0" t="str">
        <f aca="false">IF(B7262="","",IF(COUNTIF(Campaigns!$A$7:$A$300,B7262)&gt;0,"✓","⚠ add to Campaigns tab"))</f>
        <v/>
      </c>
      <c r="I7262" s="84" t="str">
        <f aca="false">IF(C7262="","",C7262*IF(Settings!$B$23=Settings!$C$6,1,IF(Settings!$B$23="USD",1/INDEX(Settings!$B$29:$B$40,MONTH(A7262)),INDEX(Settings!$B$29:$B$40,MONTH(A7262)))))</f>
        <v/>
      </c>
    </row>
    <row r="7263" customFormat="false" ht="15" hidden="false" customHeight="false" outlineLevel="0" collapsed="false">
      <c r="H7263" s="0" t="str">
        <f aca="false">IF(B7263="","",IF(COUNTIF(Campaigns!$A$7:$A$300,B7263)&gt;0,"✓","⚠ add to Campaigns tab"))</f>
        <v/>
      </c>
      <c r="I7263" s="84" t="str">
        <f aca="false">IF(C7263="","",C7263*IF(Settings!$B$23=Settings!$C$6,1,IF(Settings!$B$23="USD",1/INDEX(Settings!$B$29:$B$40,MONTH(A7263)),INDEX(Settings!$B$29:$B$40,MONTH(A7263)))))</f>
        <v/>
      </c>
    </row>
    <row r="7264" customFormat="false" ht="15" hidden="false" customHeight="false" outlineLevel="0" collapsed="false">
      <c r="H7264" s="0" t="str">
        <f aca="false">IF(B7264="","",IF(COUNTIF(Campaigns!$A$7:$A$300,B7264)&gt;0,"✓","⚠ add to Campaigns tab"))</f>
        <v/>
      </c>
      <c r="I7264" s="84" t="str">
        <f aca="false">IF(C7264="","",C7264*IF(Settings!$B$23=Settings!$C$6,1,IF(Settings!$B$23="USD",1/INDEX(Settings!$B$29:$B$40,MONTH(A7264)),INDEX(Settings!$B$29:$B$40,MONTH(A7264)))))</f>
        <v/>
      </c>
    </row>
    <row r="7265" customFormat="false" ht="15" hidden="false" customHeight="false" outlineLevel="0" collapsed="false">
      <c r="H7265" s="0" t="str">
        <f aca="false">IF(B7265="","",IF(COUNTIF(Campaigns!$A$7:$A$300,B7265)&gt;0,"✓","⚠ add to Campaigns tab"))</f>
        <v/>
      </c>
      <c r="I7265" s="84" t="str">
        <f aca="false">IF(C7265="","",C7265*IF(Settings!$B$23=Settings!$C$6,1,IF(Settings!$B$23="USD",1/INDEX(Settings!$B$29:$B$40,MONTH(A7265)),INDEX(Settings!$B$29:$B$40,MONTH(A7265)))))</f>
        <v/>
      </c>
    </row>
    <row r="7266" customFormat="false" ht="15" hidden="false" customHeight="false" outlineLevel="0" collapsed="false">
      <c r="H7266" s="0" t="str">
        <f aca="false">IF(B7266="","",IF(COUNTIF(Campaigns!$A$7:$A$300,B7266)&gt;0,"✓","⚠ add to Campaigns tab"))</f>
        <v/>
      </c>
      <c r="I7266" s="84" t="str">
        <f aca="false">IF(C7266="","",C7266*IF(Settings!$B$23=Settings!$C$6,1,IF(Settings!$B$23="USD",1/INDEX(Settings!$B$29:$B$40,MONTH(A7266)),INDEX(Settings!$B$29:$B$40,MONTH(A7266)))))</f>
        <v/>
      </c>
    </row>
    <row r="7267" customFormat="false" ht="15" hidden="false" customHeight="false" outlineLevel="0" collapsed="false">
      <c r="H7267" s="0" t="str">
        <f aca="false">IF(B7267="","",IF(COUNTIF(Campaigns!$A$7:$A$300,B7267)&gt;0,"✓","⚠ add to Campaigns tab"))</f>
        <v/>
      </c>
      <c r="I7267" s="84" t="str">
        <f aca="false">IF(C7267="","",C7267*IF(Settings!$B$23=Settings!$C$6,1,IF(Settings!$B$23="USD",1/INDEX(Settings!$B$29:$B$40,MONTH(A7267)),INDEX(Settings!$B$29:$B$40,MONTH(A7267)))))</f>
        <v/>
      </c>
    </row>
    <row r="7268" customFormat="false" ht="15" hidden="false" customHeight="false" outlineLevel="0" collapsed="false">
      <c r="H7268" s="0" t="str">
        <f aca="false">IF(B7268="","",IF(COUNTIF(Campaigns!$A$7:$A$300,B7268)&gt;0,"✓","⚠ add to Campaigns tab"))</f>
        <v/>
      </c>
      <c r="I7268" s="84" t="str">
        <f aca="false">IF(C7268="","",C7268*IF(Settings!$B$23=Settings!$C$6,1,IF(Settings!$B$23="USD",1/INDEX(Settings!$B$29:$B$40,MONTH(A7268)),INDEX(Settings!$B$29:$B$40,MONTH(A7268)))))</f>
        <v/>
      </c>
    </row>
    <row r="7269" customFormat="false" ht="15" hidden="false" customHeight="false" outlineLevel="0" collapsed="false">
      <c r="H7269" s="0" t="str">
        <f aca="false">IF(B7269="","",IF(COUNTIF(Campaigns!$A$7:$A$300,B7269)&gt;0,"✓","⚠ add to Campaigns tab"))</f>
        <v/>
      </c>
      <c r="I7269" s="84" t="str">
        <f aca="false">IF(C7269="","",C7269*IF(Settings!$B$23=Settings!$C$6,1,IF(Settings!$B$23="USD",1/INDEX(Settings!$B$29:$B$40,MONTH(A7269)),INDEX(Settings!$B$29:$B$40,MONTH(A7269)))))</f>
        <v/>
      </c>
    </row>
    <row r="7270" customFormat="false" ht="15" hidden="false" customHeight="false" outlineLevel="0" collapsed="false">
      <c r="H7270" s="0" t="str">
        <f aca="false">IF(B7270="","",IF(COUNTIF(Campaigns!$A$7:$A$300,B7270)&gt;0,"✓","⚠ add to Campaigns tab"))</f>
        <v/>
      </c>
      <c r="I7270" s="84" t="str">
        <f aca="false">IF(C7270="","",C7270*IF(Settings!$B$23=Settings!$C$6,1,IF(Settings!$B$23="USD",1/INDEX(Settings!$B$29:$B$40,MONTH(A7270)),INDEX(Settings!$B$29:$B$40,MONTH(A7270)))))</f>
        <v/>
      </c>
    </row>
    <row r="7271" customFormat="false" ht="15" hidden="false" customHeight="false" outlineLevel="0" collapsed="false">
      <c r="H7271" s="0" t="str">
        <f aca="false">IF(B7271="","",IF(COUNTIF(Campaigns!$A$7:$A$300,B7271)&gt;0,"✓","⚠ add to Campaigns tab"))</f>
        <v/>
      </c>
      <c r="I7271" s="84" t="str">
        <f aca="false">IF(C7271="","",C7271*IF(Settings!$B$23=Settings!$C$6,1,IF(Settings!$B$23="USD",1/INDEX(Settings!$B$29:$B$40,MONTH(A7271)),INDEX(Settings!$B$29:$B$40,MONTH(A7271)))))</f>
        <v/>
      </c>
    </row>
    <row r="7272" customFormat="false" ht="15" hidden="false" customHeight="false" outlineLevel="0" collapsed="false">
      <c r="H7272" s="0" t="str">
        <f aca="false">IF(B7272="","",IF(COUNTIF(Campaigns!$A$7:$A$300,B7272)&gt;0,"✓","⚠ add to Campaigns tab"))</f>
        <v/>
      </c>
      <c r="I7272" s="84" t="str">
        <f aca="false">IF(C7272="","",C7272*IF(Settings!$B$23=Settings!$C$6,1,IF(Settings!$B$23="USD",1/INDEX(Settings!$B$29:$B$40,MONTH(A7272)),INDEX(Settings!$B$29:$B$40,MONTH(A7272)))))</f>
        <v/>
      </c>
    </row>
    <row r="7273" customFormat="false" ht="15" hidden="false" customHeight="false" outlineLevel="0" collapsed="false">
      <c r="H7273" s="0" t="str">
        <f aca="false">IF(B7273="","",IF(COUNTIF(Campaigns!$A$7:$A$300,B7273)&gt;0,"✓","⚠ add to Campaigns tab"))</f>
        <v/>
      </c>
      <c r="I7273" s="84" t="str">
        <f aca="false">IF(C7273="","",C7273*IF(Settings!$B$23=Settings!$C$6,1,IF(Settings!$B$23="USD",1/INDEX(Settings!$B$29:$B$40,MONTH(A7273)),INDEX(Settings!$B$29:$B$40,MONTH(A7273)))))</f>
        <v/>
      </c>
    </row>
    <row r="7274" customFormat="false" ht="15" hidden="false" customHeight="false" outlineLevel="0" collapsed="false">
      <c r="H7274" s="0" t="str">
        <f aca="false">IF(B7274="","",IF(COUNTIF(Campaigns!$A$7:$A$300,B7274)&gt;0,"✓","⚠ add to Campaigns tab"))</f>
        <v/>
      </c>
      <c r="I7274" s="84" t="str">
        <f aca="false">IF(C7274="","",C7274*IF(Settings!$B$23=Settings!$C$6,1,IF(Settings!$B$23="USD",1/INDEX(Settings!$B$29:$B$40,MONTH(A7274)),INDEX(Settings!$B$29:$B$40,MONTH(A7274)))))</f>
        <v/>
      </c>
    </row>
    <row r="7275" customFormat="false" ht="15" hidden="false" customHeight="false" outlineLevel="0" collapsed="false">
      <c r="H7275" s="0" t="str">
        <f aca="false">IF(B7275="","",IF(COUNTIF(Campaigns!$A$7:$A$300,B7275)&gt;0,"✓","⚠ add to Campaigns tab"))</f>
        <v/>
      </c>
      <c r="I7275" s="84" t="str">
        <f aca="false">IF(C7275="","",C7275*IF(Settings!$B$23=Settings!$C$6,1,IF(Settings!$B$23="USD",1/INDEX(Settings!$B$29:$B$40,MONTH(A7275)),INDEX(Settings!$B$29:$B$40,MONTH(A7275)))))</f>
        <v/>
      </c>
    </row>
    <row r="7276" customFormat="false" ht="15" hidden="false" customHeight="false" outlineLevel="0" collapsed="false">
      <c r="H7276" s="0" t="str">
        <f aca="false">IF(B7276="","",IF(COUNTIF(Campaigns!$A$7:$A$300,B7276)&gt;0,"✓","⚠ add to Campaigns tab"))</f>
        <v/>
      </c>
      <c r="I7276" s="84" t="str">
        <f aca="false">IF(C7276="","",C7276*IF(Settings!$B$23=Settings!$C$6,1,IF(Settings!$B$23="USD",1/INDEX(Settings!$B$29:$B$40,MONTH(A7276)),INDEX(Settings!$B$29:$B$40,MONTH(A7276)))))</f>
        <v/>
      </c>
    </row>
    <row r="7277" customFormat="false" ht="15" hidden="false" customHeight="false" outlineLevel="0" collapsed="false">
      <c r="H7277" s="0" t="str">
        <f aca="false">IF(B7277="","",IF(COUNTIF(Campaigns!$A$7:$A$300,B7277)&gt;0,"✓","⚠ add to Campaigns tab"))</f>
        <v/>
      </c>
      <c r="I7277" s="84" t="str">
        <f aca="false">IF(C7277="","",C7277*IF(Settings!$B$23=Settings!$C$6,1,IF(Settings!$B$23="USD",1/INDEX(Settings!$B$29:$B$40,MONTH(A7277)),INDEX(Settings!$B$29:$B$40,MONTH(A7277)))))</f>
        <v/>
      </c>
    </row>
    <row r="7278" customFormat="false" ht="15" hidden="false" customHeight="false" outlineLevel="0" collapsed="false">
      <c r="H7278" s="0" t="str">
        <f aca="false">IF(B7278="","",IF(COUNTIF(Campaigns!$A$7:$A$300,B7278)&gt;0,"✓","⚠ add to Campaigns tab"))</f>
        <v/>
      </c>
      <c r="I7278" s="84" t="str">
        <f aca="false">IF(C7278="","",C7278*IF(Settings!$B$23=Settings!$C$6,1,IF(Settings!$B$23="USD",1/INDEX(Settings!$B$29:$B$40,MONTH(A7278)),INDEX(Settings!$B$29:$B$40,MONTH(A7278)))))</f>
        <v/>
      </c>
    </row>
    <row r="7279" customFormat="false" ht="15" hidden="false" customHeight="false" outlineLevel="0" collapsed="false">
      <c r="H7279" s="0" t="str">
        <f aca="false">IF(B7279="","",IF(COUNTIF(Campaigns!$A$7:$A$300,B7279)&gt;0,"✓","⚠ add to Campaigns tab"))</f>
        <v/>
      </c>
      <c r="I7279" s="84" t="str">
        <f aca="false">IF(C7279="","",C7279*IF(Settings!$B$23=Settings!$C$6,1,IF(Settings!$B$23="USD",1/INDEX(Settings!$B$29:$B$40,MONTH(A7279)),INDEX(Settings!$B$29:$B$40,MONTH(A7279)))))</f>
        <v/>
      </c>
    </row>
    <row r="7280" customFormat="false" ht="15" hidden="false" customHeight="false" outlineLevel="0" collapsed="false">
      <c r="H7280" s="0" t="str">
        <f aca="false">IF(B7280="","",IF(COUNTIF(Campaigns!$A$7:$A$300,B7280)&gt;0,"✓","⚠ add to Campaigns tab"))</f>
        <v/>
      </c>
      <c r="I7280" s="84" t="str">
        <f aca="false">IF(C7280="","",C7280*IF(Settings!$B$23=Settings!$C$6,1,IF(Settings!$B$23="USD",1/INDEX(Settings!$B$29:$B$40,MONTH(A7280)),INDEX(Settings!$B$29:$B$40,MONTH(A7280)))))</f>
        <v/>
      </c>
    </row>
    <row r="7281" customFormat="false" ht="15" hidden="false" customHeight="false" outlineLevel="0" collapsed="false">
      <c r="H7281" s="0" t="str">
        <f aca="false">IF(B7281="","",IF(COUNTIF(Campaigns!$A$7:$A$300,B7281)&gt;0,"✓","⚠ add to Campaigns tab"))</f>
        <v/>
      </c>
      <c r="I7281" s="84" t="str">
        <f aca="false">IF(C7281="","",C7281*IF(Settings!$B$23=Settings!$C$6,1,IF(Settings!$B$23="USD",1/INDEX(Settings!$B$29:$B$40,MONTH(A7281)),INDEX(Settings!$B$29:$B$40,MONTH(A7281)))))</f>
        <v/>
      </c>
    </row>
    <row r="7282" customFormat="false" ht="15" hidden="false" customHeight="false" outlineLevel="0" collapsed="false">
      <c r="H7282" s="0" t="str">
        <f aca="false">IF(B7282="","",IF(COUNTIF(Campaigns!$A$7:$A$300,B7282)&gt;0,"✓","⚠ add to Campaigns tab"))</f>
        <v/>
      </c>
      <c r="I7282" s="84" t="str">
        <f aca="false">IF(C7282="","",C7282*IF(Settings!$B$23=Settings!$C$6,1,IF(Settings!$B$23="USD",1/INDEX(Settings!$B$29:$B$40,MONTH(A7282)),INDEX(Settings!$B$29:$B$40,MONTH(A7282)))))</f>
        <v/>
      </c>
    </row>
    <row r="7283" customFormat="false" ht="15" hidden="false" customHeight="false" outlineLevel="0" collapsed="false">
      <c r="H7283" s="0" t="str">
        <f aca="false">IF(B7283="","",IF(COUNTIF(Campaigns!$A$7:$A$300,B7283)&gt;0,"✓","⚠ add to Campaigns tab"))</f>
        <v/>
      </c>
      <c r="I7283" s="84" t="str">
        <f aca="false">IF(C7283="","",C7283*IF(Settings!$B$23=Settings!$C$6,1,IF(Settings!$B$23="USD",1/INDEX(Settings!$B$29:$B$40,MONTH(A7283)),INDEX(Settings!$B$29:$B$40,MONTH(A7283)))))</f>
        <v/>
      </c>
    </row>
    <row r="7284" customFormat="false" ht="15" hidden="false" customHeight="false" outlineLevel="0" collapsed="false">
      <c r="H7284" s="0" t="str">
        <f aca="false">IF(B7284="","",IF(COUNTIF(Campaigns!$A$7:$A$300,B7284)&gt;0,"✓","⚠ add to Campaigns tab"))</f>
        <v/>
      </c>
      <c r="I7284" s="84" t="str">
        <f aca="false">IF(C7284="","",C7284*IF(Settings!$B$23=Settings!$C$6,1,IF(Settings!$B$23="USD",1/INDEX(Settings!$B$29:$B$40,MONTH(A7284)),INDEX(Settings!$B$29:$B$40,MONTH(A7284)))))</f>
        <v/>
      </c>
    </row>
    <row r="7285" customFormat="false" ht="15" hidden="false" customHeight="false" outlineLevel="0" collapsed="false">
      <c r="H7285" s="0" t="str">
        <f aca="false">IF(B7285="","",IF(COUNTIF(Campaigns!$A$7:$A$300,B7285)&gt;0,"✓","⚠ add to Campaigns tab"))</f>
        <v/>
      </c>
      <c r="I7285" s="84" t="str">
        <f aca="false">IF(C7285="","",C7285*IF(Settings!$B$23=Settings!$C$6,1,IF(Settings!$B$23="USD",1/INDEX(Settings!$B$29:$B$40,MONTH(A7285)),INDEX(Settings!$B$29:$B$40,MONTH(A7285)))))</f>
        <v/>
      </c>
    </row>
    <row r="7286" customFormat="false" ht="15" hidden="false" customHeight="false" outlineLevel="0" collapsed="false">
      <c r="H7286" s="0" t="str">
        <f aca="false">IF(B7286="","",IF(COUNTIF(Campaigns!$A$7:$A$300,B7286)&gt;0,"✓","⚠ add to Campaigns tab"))</f>
        <v/>
      </c>
      <c r="I7286" s="84" t="str">
        <f aca="false">IF(C7286="","",C7286*IF(Settings!$B$23=Settings!$C$6,1,IF(Settings!$B$23="USD",1/INDEX(Settings!$B$29:$B$40,MONTH(A7286)),INDEX(Settings!$B$29:$B$40,MONTH(A7286)))))</f>
        <v/>
      </c>
    </row>
    <row r="7287" customFormat="false" ht="15" hidden="false" customHeight="false" outlineLevel="0" collapsed="false">
      <c r="H7287" s="0" t="str">
        <f aca="false">IF(B7287="","",IF(COUNTIF(Campaigns!$A$7:$A$300,B7287)&gt;0,"✓","⚠ add to Campaigns tab"))</f>
        <v/>
      </c>
      <c r="I7287" s="84" t="str">
        <f aca="false">IF(C7287="","",C7287*IF(Settings!$B$23=Settings!$C$6,1,IF(Settings!$B$23="USD",1/INDEX(Settings!$B$29:$B$40,MONTH(A7287)),INDEX(Settings!$B$29:$B$40,MONTH(A7287)))))</f>
        <v/>
      </c>
    </row>
    <row r="7288" customFormat="false" ht="15" hidden="false" customHeight="false" outlineLevel="0" collapsed="false">
      <c r="H7288" s="0" t="str">
        <f aca="false">IF(B7288="","",IF(COUNTIF(Campaigns!$A$7:$A$300,B7288)&gt;0,"✓","⚠ add to Campaigns tab"))</f>
        <v/>
      </c>
      <c r="I7288" s="84" t="str">
        <f aca="false">IF(C7288="","",C7288*IF(Settings!$B$23=Settings!$C$6,1,IF(Settings!$B$23="USD",1/INDEX(Settings!$B$29:$B$40,MONTH(A7288)),INDEX(Settings!$B$29:$B$40,MONTH(A7288)))))</f>
        <v/>
      </c>
    </row>
    <row r="7289" customFormat="false" ht="15" hidden="false" customHeight="false" outlineLevel="0" collapsed="false">
      <c r="H7289" s="0" t="str">
        <f aca="false">IF(B7289="","",IF(COUNTIF(Campaigns!$A$7:$A$300,B7289)&gt;0,"✓","⚠ add to Campaigns tab"))</f>
        <v/>
      </c>
      <c r="I7289" s="84" t="str">
        <f aca="false">IF(C7289="","",C7289*IF(Settings!$B$23=Settings!$C$6,1,IF(Settings!$B$23="USD",1/INDEX(Settings!$B$29:$B$40,MONTH(A7289)),INDEX(Settings!$B$29:$B$40,MONTH(A7289)))))</f>
        <v/>
      </c>
    </row>
    <row r="7290" customFormat="false" ht="15" hidden="false" customHeight="false" outlineLevel="0" collapsed="false">
      <c r="H7290" s="0" t="str">
        <f aca="false">IF(B7290="","",IF(COUNTIF(Campaigns!$A$7:$A$300,B7290)&gt;0,"✓","⚠ add to Campaigns tab"))</f>
        <v/>
      </c>
      <c r="I7290" s="84" t="str">
        <f aca="false">IF(C7290="","",C7290*IF(Settings!$B$23=Settings!$C$6,1,IF(Settings!$B$23="USD",1/INDEX(Settings!$B$29:$B$40,MONTH(A7290)),INDEX(Settings!$B$29:$B$40,MONTH(A7290)))))</f>
        <v/>
      </c>
    </row>
    <row r="7291" customFormat="false" ht="15" hidden="false" customHeight="false" outlineLevel="0" collapsed="false">
      <c r="H7291" s="0" t="str">
        <f aca="false">IF(B7291="","",IF(COUNTIF(Campaigns!$A$7:$A$300,B7291)&gt;0,"✓","⚠ add to Campaigns tab"))</f>
        <v/>
      </c>
      <c r="I7291" s="84" t="str">
        <f aca="false">IF(C7291="","",C7291*IF(Settings!$B$23=Settings!$C$6,1,IF(Settings!$B$23="USD",1/INDEX(Settings!$B$29:$B$40,MONTH(A7291)),INDEX(Settings!$B$29:$B$40,MONTH(A7291)))))</f>
        <v/>
      </c>
    </row>
    <row r="7292" customFormat="false" ht="15" hidden="false" customHeight="false" outlineLevel="0" collapsed="false">
      <c r="H7292" s="0" t="str">
        <f aca="false">IF(B7292="","",IF(COUNTIF(Campaigns!$A$7:$A$300,B7292)&gt;0,"✓","⚠ add to Campaigns tab"))</f>
        <v/>
      </c>
      <c r="I7292" s="84" t="str">
        <f aca="false">IF(C7292="","",C7292*IF(Settings!$B$23=Settings!$C$6,1,IF(Settings!$B$23="USD",1/INDEX(Settings!$B$29:$B$40,MONTH(A7292)),INDEX(Settings!$B$29:$B$40,MONTH(A7292)))))</f>
        <v/>
      </c>
    </row>
    <row r="7293" customFormat="false" ht="15" hidden="false" customHeight="false" outlineLevel="0" collapsed="false">
      <c r="H7293" s="0" t="str">
        <f aca="false">IF(B7293="","",IF(COUNTIF(Campaigns!$A$7:$A$300,B7293)&gt;0,"✓","⚠ add to Campaigns tab"))</f>
        <v/>
      </c>
      <c r="I7293" s="84" t="str">
        <f aca="false">IF(C7293="","",C7293*IF(Settings!$B$23=Settings!$C$6,1,IF(Settings!$B$23="USD",1/INDEX(Settings!$B$29:$B$40,MONTH(A7293)),INDEX(Settings!$B$29:$B$40,MONTH(A7293)))))</f>
        <v/>
      </c>
    </row>
    <row r="7294" customFormat="false" ht="15" hidden="false" customHeight="false" outlineLevel="0" collapsed="false">
      <c r="H7294" s="0" t="str">
        <f aca="false">IF(B7294="","",IF(COUNTIF(Campaigns!$A$7:$A$300,B7294)&gt;0,"✓","⚠ add to Campaigns tab"))</f>
        <v/>
      </c>
      <c r="I7294" s="84" t="str">
        <f aca="false">IF(C7294="","",C7294*IF(Settings!$B$23=Settings!$C$6,1,IF(Settings!$B$23="USD",1/INDEX(Settings!$B$29:$B$40,MONTH(A7294)),INDEX(Settings!$B$29:$B$40,MONTH(A7294)))))</f>
        <v/>
      </c>
    </row>
    <row r="7295" customFormat="false" ht="15" hidden="false" customHeight="false" outlineLevel="0" collapsed="false">
      <c r="H7295" s="0" t="str">
        <f aca="false">IF(B7295="","",IF(COUNTIF(Campaigns!$A$7:$A$300,B7295)&gt;0,"✓","⚠ add to Campaigns tab"))</f>
        <v/>
      </c>
      <c r="I7295" s="84" t="str">
        <f aca="false">IF(C7295="","",C7295*IF(Settings!$B$23=Settings!$C$6,1,IF(Settings!$B$23="USD",1/INDEX(Settings!$B$29:$B$40,MONTH(A7295)),INDEX(Settings!$B$29:$B$40,MONTH(A7295)))))</f>
        <v/>
      </c>
    </row>
    <row r="7296" customFormat="false" ht="15" hidden="false" customHeight="false" outlineLevel="0" collapsed="false">
      <c r="H7296" s="0" t="str">
        <f aca="false">IF(B7296="","",IF(COUNTIF(Campaigns!$A$7:$A$300,B7296)&gt;0,"✓","⚠ add to Campaigns tab"))</f>
        <v/>
      </c>
      <c r="I7296" s="84" t="str">
        <f aca="false">IF(C7296="","",C7296*IF(Settings!$B$23=Settings!$C$6,1,IF(Settings!$B$23="USD",1/INDEX(Settings!$B$29:$B$40,MONTH(A7296)),INDEX(Settings!$B$29:$B$40,MONTH(A7296)))))</f>
        <v/>
      </c>
    </row>
    <row r="7297" customFormat="false" ht="15" hidden="false" customHeight="false" outlineLevel="0" collapsed="false">
      <c r="H7297" s="0" t="str">
        <f aca="false">IF(B7297="","",IF(COUNTIF(Campaigns!$A$7:$A$300,B7297)&gt;0,"✓","⚠ add to Campaigns tab"))</f>
        <v/>
      </c>
      <c r="I7297" s="84" t="str">
        <f aca="false">IF(C7297="","",C7297*IF(Settings!$B$23=Settings!$C$6,1,IF(Settings!$B$23="USD",1/INDEX(Settings!$B$29:$B$40,MONTH(A7297)),INDEX(Settings!$B$29:$B$40,MONTH(A7297)))))</f>
        <v/>
      </c>
    </row>
    <row r="7298" customFormat="false" ht="15" hidden="false" customHeight="false" outlineLevel="0" collapsed="false">
      <c r="H7298" s="0" t="str">
        <f aca="false">IF(B7298="","",IF(COUNTIF(Campaigns!$A$7:$A$300,B7298)&gt;0,"✓","⚠ add to Campaigns tab"))</f>
        <v/>
      </c>
      <c r="I7298" s="84" t="str">
        <f aca="false">IF(C7298="","",C7298*IF(Settings!$B$23=Settings!$C$6,1,IF(Settings!$B$23="USD",1/INDEX(Settings!$B$29:$B$40,MONTH(A7298)),INDEX(Settings!$B$29:$B$40,MONTH(A7298)))))</f>
        <v/>
      </c>
    </row>
    <row r="7299" customFormat="false" ht="15" hidden="false" customHeight="false" outlineLevel="0" collapsed="false">
      <c r="H7299" s="0" t="str">
        <f aca="false">IF(B7299="","",IF(COUNTIF(Campaigns!$A$7:$A$300,B7299)&gt;0,"✓","⚠ add to Campaigns tab"))</f>
        <v/>
      </c>
      <c r="I7299" s="84" t="str">
        <f aca="false">IF(C7299="","",C7299*IF(Settings!$B$23=Settings!$C$6,1,IF(Settings!$B$23="USD",1/INDEX(Settings!$B$29:$B$40,MONTH(A7299)),INDEX(Settings!$B$29:$B$40,MONTH(A7299)))))</f>
        <v/>
      </c>
    </row>
    <row r="7300" customFormat="false" ht="15" hidden="false" customHeight="false" outlineLevel="0" collapsed="false">
      <c r="H7300" s="0" t="str">
        <f aca="false">IF(B7300="","",IF(COUNTIF(Campaigns!$A$7:$A$300,B7300)&gt;0,"✓","⚠ add to Campaigns tab"))</f>
        <v/>
      </c>
      <c r="I7300" s="84" t="str">
        <f aca="false">IF(C7300="","",C7300*IF(Settings!$B$23=Settings!$C$6,1,IF(Settings!$B$23="USD",1/INDEX(Settings!$B$29:$B$40,MONTH(A7300)),INDEX(Settings!$B$29:$B$40,MONTH(A7300)))))</f>
        <v/>
      </c>
    </row>
    <row r="7301" customFormat="false" ht="15" hidden="false" customHeight="false" outlineLevel="0" collapsed="false">
      <c r="H7301" s="0" t="str">
        <f aca="false">IF(B7301="","",IF(COUNTIF(Campaigns!$A$7:$A$300,B7301)&gt;0,"✓","⚠ add to Campaigns tab"))</f>
        <v/>
      </c>
      <c r="I7301" s="84" t="str">
        <f aca="false">IF(C7301="","",C7301*IF(Settings!$B$23=Settings!$C$6,1,IF(Settings!$B$23="USD",1/INDEX(Settings!$B$29:$B$40,MONTH(A7301)),INDEX(Settings!$B$29:$B$40,MONTH(A7301)))))</f>
        <v/>
      </c>
    </row>
    <row r="7302" customFormat="false" ht="15" hidden="false" customHeight="false" outlineLevel="0" collapsed="false">
      <c r="H7302" s="0" t="str">
        <f aca="false">IF(B7302="","",IF(COUNTIF(Campaigns!$A$7:$A$300,B7302)&gt;0,"✓","⚠ add to Campaigns tab"))</f>
        <v/>
      </c>
      <c r="I7302" s="84" t="str">
        <f aca="false">IF(C7302="","",C7302*IF(Settings!$B$23=Settings!$C$6,1,IF(Settings!$B$23="USD",1/INDEX(Settings!$B$29:$B$40,MONTH(A7302)),INDEX(Settings!$B$29:$B$40,MONTH(A7302)))))</f>
        <v/>
      </c>
    </row>
    <row r="7303" customFormat="false" ht="15" hidden="false" customHeight="false" outlineLevel="0" collapsed="false">
      <c r="H7303" s="0" t="str">
        <f aca="false">IF(B7303="","",IF(COUNTIF(Campaigns!$A$7:$A$300,B7303)&gt;0,"✓","⚠ add to Campaigns tab"))</f>
        <v/>
      </c>
      <c r="I7303" s="84" t="str">
        <f aca="false">IF(C7303="","",C7303*IF(Settings!$B$23=Settings!$C$6,1,IF(Settings!$B$23="USD",1/INDEX(Settings!$B$29:$B$40,MONTH(A7303)),INDEX(Settings!$B$29:$B$40,MONTH(A7303)))))</f>
        <v/>
      </c>
    </row>
    <row r="7304" customFormat="false" ht="15" hidden="false" customHeight="false" outlineLevel="0" collapsed="false">
      <c r="H7304" s="0" t="str">
        <f aca="false">IF(B7304="","",IF(COUNTIF(Campaigns!$A$7:$A$300,B7304)&gt;0,"✓","⚠ add to Campaigns tab"))</f>
        <v/>
      </c>
      <c r="I7304" s="84" t="str">
        <f aca="false">IF(C7304="","",C7304*IF(Settings!$B$23=Settings!$C$6,1,IF(Settings!$B$23="USD",1/INDEX(Settings!$B$29:$B$40,MONTH(A7304)),INDEX(Settings!$B$29:$B$40,MONTH(A7304)))))</f>
        <v/>
      </c>
    </row>
    <row r="7305" customFormat="false" ht="15" hidden="false" customHeight="false" outlineLevel="0" collapsed="false">
      <c r="H7305" s="0" t="str">
        <f aca="false">IF(B7305="","",IF(COUNTIF(Campaigns!$A$7:$A$300,B7305)&gt;0,"✓","⚠ add to Campaigns tab"))</f>
        <v/>
      </c>
      <c r="I7305" s="84" t="str">
        <f aca="false">IF(C7305="","",C7305*IF(Settings!$B$23=Settings!$C$6,1,IF(Settings!$B$23="USD",1/INDEX(Settings!$B$29:$B$40,MONTH(A7305)),INDEX(Settings!$B$29:$B$40,MONTH(A7305)))))</f>
        <v/>
      </c>
    </row>
    <row r="7306" customFormat="false" ht="15" hidden="false" customHeight="false" outlineLevel="0" collapsed="false">
      <c r="H7306" s="0" t="str">
        <f aca="false">IF(B7306="","",IF(COUNTIF(Campaigns!$A$7:$A$300,B7306)&gt;0,"✓","⚠ add to Campaigns tab"))</f>
        <v/>
      </c>
      <c r="I7306" s="84" t="str">
        <f aca="false">IF(C7306="","",C7306*IF(Settings!$B$23=Settings!$C$6,1,IF(Settings!$B$23="USD",1/INDEX(Settings!$B$29:$B$40,MONTH(A7306)),INDEX(Settings!$B$29:$B$40,MONTH(A7306)))))</f>
        <v/>
      </c>
    </row>
    <row r="7307" customFormat="false" ht="15" hidden="false" customHeight="false" outlineLevel="0" collapsed="false">
      <c r="H7307" s="0" t="str">
        <f aca="false">IF(B7307="","",IF(COUNTIF(Campaigns!$A$7:$A$300,B7307)&gt;0,"✓","⚠ add to Campaigns tab"))</f>
        <v/>
      </c>
      <c r="I7307" s="84" t="str">
        <f aca="false">IF(C7307="","",C7307*IF(Settings!$B$23=Settings!$C$6,1,IF(Settings!$B$23="USD",1/INDEX(Settings!$B$29:$B$40,MONTH(A7307)),INDEX(Settings!$B$29:$B$40,MONTH(A7307)))))</f>
        <v/>
      </c>
    </row>
    <row r="7308" customFormat="false" ht="15" hidden="false" customHeight="false" outlineLevel="0" collapsed="false">
      <c r="H7308" s="0" t="str">
        <f aca="false">IF(B7308="","",IF(COUNTIF(Campaigns!$A$7:$A$300,B7308)&gt;0,"✓","⚠ add to Campaigns tab"))</f>
        <v/>
      </c>
      <c r="I7308" s="84" t="str">
        <f aca="false">IF(C7308="","",C7308*IF(Settings!$B$23=Settings!$C$6,1,IF(Settings!$B$23="USD",1/INDEX(Settings!$B$29:$B$40,MONTH(A7308)),INDEX(Settings!$B$29:$B$40,MONTH(A7308)))))</f>
        <v/>
      </c>
    </row>
    <row r="7309" customFormat="false" ht="15" hidden="false" customHeight="false" outlineLevel="0" collapsed="false">
      <c r="H7309" s="0" t="str">
        <f aca="false">IF(B7309="","",IF(COUNTIF(Campaigns!$A$7:$A$300,B7309)&gt;0,"✓","⚠ add to Campaigns tab"))</f>
        <v/>
      </c>
      <c r="I7309" s="84" t="str">
        <f aca="false">IF(C7309="","",C7309*IF(Settings!$B$23=Settings!$C$6,1,IF(Settings!$B$23="USD",1/INDEX(Settings!$B$29:$B$40,MONTH(A7309)),INDEX(Settings!$B$29:$B$40,MONTH(A7309)))))</f>
        <v/>
      </c>
    </row>
    <row r="7310" customFormat="false" ht="15" hidden="false" customHeight="false" outlineLevel="0" collapsed="false">
      <c r="H7310" s="0" t="str">
        <f aca="false">IF(B7310="","",IF(COUNTIF(Campaigns!$A$7:$A$300,B7310)&gt;0,"✓","⚠ add to Campaigns tab"))</f>
        <v/>
      </c>
      <c r="I7310" s="84" t="str">
        <f aca="false">IF(C7310="","",C7310*IF(Settings!$B$23=Settings!$C$6,1,IF(Settings!$B$23="USD",1/INDEX(Settings!$B$29:$B$40,MONTH(A7310)),INDEX(Settings!$B$29:$B$40,MONTH(A7310)))))</f>
        <v/>
      </c>
    </row>
    <row r="7311" customFormat="false" ht="15" hidden="false" customHeight="false" outlineLevel="0" collapsed="false">
      <c r="H7311" s="0" t="str">
        <f aca="false">IF(B7311="","",IF(COUNTIF(Campaigns!$A$7:$A$300,B7311)&gt;0,"✓","⚠ add to Campaigns tab"))</f>
        <v/>
      </c>
      <c r="I7311" s="84" t="str">
        <f aca="false">IF(C7311="","",C7311*IF(Settings!$B$23=Settings!$C$6,1,IF(Settings!$B$23="USD",1/INDEX(Settings!$B$29:$B$40,MONTH(A7311)),INDEX(Settings!$B$29:$B$40,MONTH(A7311)))))</f>
        <v/>
      </c>
    </row>
    <row r="7312" customFormat="false" ht="15" hidden="false" customHeight="false" outlineLevel="0" collapsed="false">
      <c r="H7312" s="0" t="str">
        <f aca="false">IF(B7312="","",IF(COUNTIF(Campaigns!$A$7:$A$300,B7312)&gt;0,"✓","⚠ add to Campaigns tab"))</f>
        <v/>
      </c>
      <c r="I7312" s="84" t="str">
        <f aca="false">IF(C7312="","",C7312*IF(Settings!$B$23=Settings!$C$6,1,IF(Settings!$B$23="USD",1/INDEX(Settings!$B$29:$B$40,MONTH(A7312)),INDEX(Settings!$B$29:$B$40,MONTH(A7312)))))</f>
        <v/>
      </c>
    </row>
    <row r="7313" customFormat="false" ht="15" hidden="false" customHeight="false" outlineLevel="0" collapsed="false">
      <c r="H7313" s="0" t="str">
        <f aca="false">IF(B7313="","",IF(COUNTIF(Campaigns!$A$7:$A$300,B7313)&gt;0,"✓","⚠ add to Campaigns tab"))</f>
        <v/>
      </c>
      <c r="I7313" s="84" t="str">
        <f aca="false">IF(C7313="","",C7313*IF(Settings!$B$23=Settings!$C$6,1,IF(Settings!$B$23="USD",1/INDEX(Settings!$B$29:$B$40,MONTH(A7313)),INDEX(Settings!$B$29:$B$40,MONTH(A7313)))))</f>
        <v/>
      </c>
    </row>
    <row r="7314" customFormat="false" ht="15" hidden="false" customHeight="false" outlineLevel="0" collapsed="false">
      <c r="H7314" s="0" t="str">
        <f aca="false">IF(B7314="","",IF(COUNTIF(Campaigns!$A$7:$A$300,B7314)&gt;0,"✓","⚠ add to Campaigns tab"))</f>
        <v/>
      </c>
      <c r="I7314" s="84" t="str">
        <f aca="false">IF(C7314="","",C7314*IF(Settings!$B$23=Settings!$C$6,1,IF(Settings!$B$23="USD",1/INDEX(Settings!$B$29:$B$40,MONTH(A7314)),INDEX(Settings!$B$29:$B$40,MONTH(A7314)))))</f>
        <v/>
      </c>
    </row>
    <row r="7315" customFormat="false" ht="15" hidden="false" customHeight="false" outlineLevel="0" collapsed="false">
      <c r="H7315" s="0" t="str">
        <f aca="false">IF(B7315="","",IF(COUNTIF(Campaigns!$A$7:$A$300,B7315)&gt;0,"✓","⚠ add to Campaigns tab"))</f>
        <v/>
      </c>
      <c r="I7315" s="84" t="str">
        <f aca="false">IF(C7315="","",C7315*IF(Settings!$B$23=Settings!$C$6,1,IF(Settings!$B$23="USD",1/INDEX(Settings!$B$29:$B$40,MONTH(A7315)),INDEX(Settings!$B$29:$B$40,MONTH(A7315)))))</f>
        <v/>
      </c>
    </row>
    <row r="7316" customFormat="false" ht="15" hidden="false" customHeight="false" outlineLevel="0" collapsed="false">
      <c r="H7316" s="0" t="str">
        <f aca="false">IF(B7316="","",IF(COUNTIF(Campaigns!$A$7:$A$300,B7316)&gt;0,"✓","⚠ add to Campaigns tab"))</f>
        <v/>
      </c>
      <c r="I7316" s="84" t="str">
        <f aca="false">IF(C7316="","",C7316*IF(Settings!$B$23=Settings!$C$6,1,IF(Settings!$B$23="USD",1/INDEX(Settings!$B$29:$B$40,MONTH(A7316)),INDEX(Settings!$B$29:$B$40,MONTH(A7316)))))</f>
        <v/>
      </c>
    </row>
    <row r="7317" customFormat="false" ht="15" hidden="false" customHeight="false" outlineLevel="0" collapsed="false">
      <c r="H7317" s="0" t="str">
        <f aca="false">IF(B7317="","",IF(COUNTIF(Campaigns!$A$7:$A$300,B7317)&gt;0,"✓","⚠ add to Campaigns tab"))</f>
        <v/>
      </c>
      <c r="I7317" s="84" t="str">
        <f aca="false">IF(C7317="","",C7317*IF(Settings!$B$23=Settings!$C$6,1,IF(Settings!$B$23="USD",1/INDEX(Settings!$B$29:$B$40,MONTH(A7317)),INDEX(Settings!$B$29:$B$40,MONTH(A7317)))))</f>
        <v/>
      </c>
    </row>
    <row r="7318" customFormat="false" ht="15" hidden="false" customHeight="false" outlineLevel="0" collapsed="false">
      <c r="H7318" s="0" t="str">
        <f aca="false">IF(B7318="","",IF(COUNTIF(Campaigns!$A$7:$A$300,B7318)&gt;0,"✓","⚠ add to Campaigns tab"))</f>
        <v/>
      </c>
      <c r="I7318" s="84" t="str">
        <f aca="false">IF(C7318="","",C7318*IF(Settings!$B$23=Settings!$C$6,1,IF(Settings!$B$23="USD",1/INDEX(Settings!$B$29:$B$40,MONTH(A7318)),INDEX(Settings!$B$29:$B$40,MONTH(A7318)))))</f>
        <v/>
      </c>
    </row>
    <row r="7319" customFormat="false" ht="15" hidden="false" customHeight="false" outlineLevel="0" collapsed="false">
      <c r="H7319" s="0" t="str">
        <f aca="false">IF(B7319="","",IF(COUNTIF(Campaigns!$A$7:$A$300,B7319)&gt;0,"✓","⚠ add to Campaigns tab"))</f>
        <v/>
      </c>
      <c r="I7319" s="84" t="str">
        <f aca="false">IF(C7319="","",C7319*IF(Settings!$B$23=Settings!$C$6,1,IF(Settings!$B$23="USD",1/INDEX(Settings!$B$29:$B$40,MONTH(A7319)),INDEX(Settings!$B$29:$B$40,MONTH(A7319)))))</f>
        <v/>
      </c>
    </row>
    <row r="7320" customFormat="false" ht="15" hidden="false" customHeight="false" outlineLevel="0" collapsed="false">
      <c r="H7320" s="0" t="str">
        <f aca="false">IF(B7320="","",IF(COUNTIF(Campaigns!$A$7:$A$300,B7320)&gt;0,"✓","⚠ add to Campaigns tab"))</f>
        <v/>
      </c>
      <c r="I7320" s="84" t="str">
        <f aca="false">IF(C7320="","",C7320*IF(Settings!$B$23=Settings!$C$6,1,IF(Settings!$B$23="USD",1/INDEX(Settings!$B$29:$B$40,MONTH(A7320)),INDEX(Settings!$B$29:$B$40,MONTH(A7320)))))</f>
        <v/>
      </c>
    </row>
    <row r="7321" customFormat="false" ht="15" hidden="false" customHeight="false" outlineLevel="0" collapsed="false">
      <c r="H7321" s="0" t="str">
        <f aca="false">IF(B7321="","",IF(COUNTIF(Campaigns!$A$7:$A$300,B7321)&gt;0,"✓","⚠ add to Campaigns tab"))</f>
        <v/>
      </c>
      <c r="I7321" s="84" t="str">
        <f aca="false">IF(C7321="","",C7321*IF(Settings!$B$23=Settings!$C$6,1,IF(Settings!$B$23="USD",1/INDEX(Settings!$B$29:$B$40,MONTH(A7321)),INDEX(Settings!$B$29:$B$40,MONTH(A7321)))))</f>
        <v/>
      </c>
    </row>
    <row r="7322" customFormat="false" ht="15" hidden="false" customHeight="false" outlineLevel="0" collapsed="false">
      <c r="H7322" s="0" t="str">
        <f aca="false">IF(B7322="","",IF(COUNTIF(Campaigns!$A$7:$A$300,B7322)&gt;0,"✓","⚠ add to Campaigns tab"))</f>
        <v/>
      </c>
      <c r="I7322" s="84" t="str">
        <f aca="false">IF(C7322="","",C7322*IF(Settings!$B$23=Settings!$C$6,1,IF(Settings!$B$23="USD",1/INDEX(Settings!$B$29:$B$40,MONTH(A7322)),INDEX(Settings!$B$29:$B$40,MONTH(A7322)))))</f>
        <v/>
      </c>
    </row>
    <row r="7323" customFormat="false" ht="15" hidden="false" customHeight="false" outlineLevel="0" collapsed="false">
      <c r="H7323" s="0" t="str">
        <f aca="false">IF(B7323="","",IF(COUNTIF(Campaigns!$A$7:$A$300,B7323)&gt;0,"✓","⚠ add to Campaigns tab"))</f>
        <v/>
      </c>
      <c r="I7323" s="84" t="str">
        <f aca="false">IF(C7323="","",C7323*IF(Settings!$B$23=Settings!$C$6,1,IF(Settings!$B$23="USD",1/INDEX(Settings!$B$29:$B$40,MONTH(A7323)),INDEX(Settings!$B$29:$B$40,MONTH(A7323)))))</f>
        <v/>
      </c>
    </row>
    <row r="7324" customFormat="false" ht="15" hidden="false" customHeight="false" outlineLevel="0" collapsed="false">
      <c r="H7324" s="0" t="str">
        <f aca="false">IF(B7324="","",IF(COUNTIF(Campaigns!$A$7:$A$300,B7324)&gt;0,"✓","⚠ add to Campaigns tab"))</f>
        <v/>
      </c>
      <c r="I7324" s="84" t="str">
        <f aca="false">IF(C7324="","",C7324*IF(Settings!$B$23=Settings!$C$6,1,IF(Settings!$B$23="USD",1/INDEX(Settings!$B$29:$B$40,MONTH(A7324)),INDEX(Settings!$B$29:$B$40,MONTH(A7324)))))</f>
        <v/>
      </c>
    </row>
    <row r="7325" customFormat="false" ht="15" hidden="false" customHeight="false" outlineLevel="0" collapsed="false">
      <c r="H7325" s="0" t="str">
        <f aca="false">IF(B7325="","",IF(COUNTIF(Campaigns!$A$7:$A$300,B7325)&gt;0,"✓","⚠ add to Campaigns tab"))</f>
        <v/>
      </c>
      <c r="I7325" s="84" t="str">
        <f aca="false">IF(C7325="","",C7325*IF(Settings!$B$23=Settings!$C$6,1,IF(Settings!$B$23="USD",1/INDEX(Settings!$B$29:$B$40,MONTH(A7325)),INDEX(Settings!$B$29:$B$40,MONTH(A7325)))))</f>
        <v/>
      </c>
    </row>
    <row r="7326" customFormat="false" ht="15" hidden="false" customHeight="false" outlineLevel="0" collapsed="false">
      <c r="H7326" s="0" t="str">
        <f aca="false">IF(B7326="","",IF(COUNTIF(Campaigns!$A$7:$A$300,B7326)&gt;0,"✓","⚠ add to Campaigns tab"))</f>
        <v/>
      </c>
      <c r="I7326" s="84" t="str">
        <f aca="false">IF(C7326="","",C7326*IF(Settings!$B$23=Settings!$C$6,1,IF(Settings!$B$23="USD",1/INDEX(Settings!$B$29:$B$40,MONTH(A7326)),INDEX(Settings!$B$29:$B$40,MONTH(A7326)))))</f>
        <v/>
      </c>
    </row>
    <row r="7327" customFormat="false" ht="15" hidden="false" customHeight="false" outlineLevel="0" collapsed="false">
      <c r="H7327" s="0" t="str">
        <f aca="false">IF(B7327="","",IF(COUNTIF(Campaigns!$A$7:$A$300,B7327)&gt;0,"✓","⚠ add to Campaigns tab"))</f>
        <v/>
      </c>
      <c r="I7327" s="84" t="str">
        <f aca="false">IF(C7327="","",C7327*IF(Settings!$B$23=Settings!$C$6,1,IF(Settings!$B$23="USD",1/INDEX(Settings!$B$29:$B$40,MONTH(A7327)),INDEX(Settings!$B$29:$B$40,MONTH(A7327)))))</f>
        <v/>
      </c>
    </row>
    <row r="7328" customFormat="false" ht="15" hidden="false" customHeight="false" outlineLevel="0" collapsed="false">
      <c r="H7328" s="0" t="str">
        <f aca="false">IF(B7328="","",IF(COUNTIF(Campaigns!$A$7:$A$300,B7328)&gt;0,"✓","⚠ add to Campaigns tab"))</f>
        <v/>
      </c>
      <c r="I7328" s="84" t="str">
        <f aca="false">IF(C7328="","",C7328*IF(Settings!$B$23=Settings!$C$6,1,IF(Settings!$B$23="USD",1/INDEX(Settings!$B$29:$B$40,MONTH(A7328)),INDEX(Settings!$B$29:$B$40,MONTH(A7328)))))</f>
        <v/>
      </c>
    </row>
    <row r="7329" customFormat="false" ht="15" hidden="false" customHeight="false" outlineLevel="0" collapsed="false">
      <c r="H7329" s="0" t="str">
        <f aca="false">IF(B7329="","",IF(COUNTIF(Campaigns!$A$7:$A$300,B7329)&gt;0,"✓","⚠ add to Campaigns tab"))</f>
        <v/>
      </c>
      <c r="I7329" s="84" t="str">
        <f aca="false">IF(C7329="","",C7329*IF(Settings!$B$23=Settings!$C$6,1,IF(Settings!$B$23="USD",1/INDEX(Settings!$B$29:$B$40,MONTH(A7329)),INDEX(Settings!$B$29:$B$40,MONTH(A7329)))))</f>
        <v/>
      </c>
    </row>
    <row r="7330" customFormat="false" ht="15" hidden="false" customHeight="false" outlineLevel="0" collapsed="false">
      <c r="H7330" s="0" t="str">
        <f aca="false">IF(B7330="","",IF(COUNTIF(Campaigns!$A$7:$A$300,B7330)&gt;0,"✓","⚠ add to Campaigns tab"))</f>
        <v/>
      </c>
      <c r="I7330" s="84" t="str">
        <f aca="false">IF(C7330="","",C7330*IF(Settings!$B$23=Settings!$C$6,1,IF(Settings!$B$23="USD",1/INDEX(Settings!$B$29:$B$40,MONTH(A7330)),INDEX(Settings!$B$29:$B$40,MONTH(A7330)))))</f>
        <v/>
      </c>
    </row>
    <row r="7331" customFormat="false" ht="15" hidden="false" customHeight="false" outlineLevel="0" collapsed="false">
      <c r="H7331" s="0" t="str">
        <f aca="false">IF(B7331="","",IF(COUNTIF(Campaigns!$A$7:$A$300,B7331)&gt;0,"✓","⚠ add to Campaigns tab"))</f>
        <v/>
      </c>
      <c r="I7331" s="84" t="str">
        <f aca="false">IF(C7331="","",C7331*IF(Settings!$B$23=Settings!$C$6,1,IF(Settings!$B$23="USD",1/INDEX(Settings!$B$29:$B$40,MONTH(A7331)),INDEX(Settings!$B$29:$B$40,MONTH(A7331)))))</f>
        <v/>
      </c>
    </row>
    <row r="7332" customFormat="false" ht="15" hidden="false" customHeight="false" outlineLevel="0" collapsed="false">
      <c r="H7332" s="0" t="str">
        <f aca="false">IF(B7332="","",IF(COUNTIF(Campaigns!$A$7:$A$300,B7332)&gt;0,"✓","⚠ add to Campaigns tab"))</f>
        <v/>
      </c>
      <c r="I7332" s="84" t="str">
        <f aca="false">IF(C7332="","",C7332*IF(Settings!$B$23=Settings!$C$6,1,IF(Settings!$B$23="USD",1/INDEX(Settings!$B$29:$B$40,MONTH(A7332)),INDEX(Settings!$B$29:$B$40,MONTH(A7332)))))</f>
        <v/>
      </c>
    </row>
    <row r="7333" customFormat="false" ht="15" hidden="false" customHeight="false" outlineLevel="0" collapsed="false">
      <c r="H7333" s="0" t="str">
        <f aca="false">IF(B7333="","",IF(COUNTIF(Campaigns!$A$7:$A$300,B7333)&gt;0,"✓","⚠ add to Campaigns tab"))</f>
        <v/>
      </c>
      <c r="I7333" s="84" t="str">
        <f aca="false">IF(C7333="","",C7333*IF(Settings!$B$23=Settings!$C$6,1,IF(Settings!$B$23="USD",1/INDEX(Settings!$B$29:$B$40,MONTH(A7333)),INDEX(Settings!$B$29:$B$40,MONTH(A7333)))))</f>
        <v/>
      </c>
    </row>
    <row r="7334" customFormat="false" ht="15" hidden="false" customHeight="false" outlineLevel="0" collapsed="false">
      <c r="H7334" s="0" t="str">
        <f aca="false">IF(B7334="","",IF(COUNTIF(Campaigns!$A$7:$A$300,B7334)&gt;0,"✓","⚠ add to Campaigns tab"))</f>
        <v/>
      </c>
      <c r="I7334" s="84" t="str">
        <f aca="false">IF(C7334="","",C7334*IF(Settings!$B$23=Settings!$C$6,1,IF(Settings!$B$23="USD",1/INDEX(Settings!$B$29:$B$40,MONTH(A7334)),INDEX(Settings!$B$29:$B$40,MONTH(A7334)))))</f>
        <v/>
      </c>
    </row>
    <row r="7335" customFormat="false" ht="15" hidden="false" customHeight="false" outlineLevel="0" collapsed="false">
      <c r="H7335" s="0" t="str">
        <f aca="false">IF(B7335="","",IF(COUNTIF(Campaigns!$A$7:$A$300,B7335)&gt;0,"✓","⚠ add to Campaigns tab"))</f>
        <v/>
      </c>
      <c r="I7335" s="84" t="str">
        <f aca="false">IF(C7335="","",C7335*IF(Settings!$B$23=Settings!$C$6,1,IF(Settings!$B$23="USD",1/INDEX(Settings!$B$29:$B$40,MONTH(A7335)),INDEX(Settings!$B$29:$B$40,MONTH(A7335)))))</f>
        <v/>
      </c>
    </row>
    <row r="7336" customFormat="false" ht="15" hidden="false" customHeight="false" outlineLevel="0" collapsed="false">
      <c r="H7336" s="0" t="str">
        <f aca="false">IF(B7336="","",IF(COUNTIF(Campaigns!$A$7:$A$300,B7336)&gt;0,"✓","⚠ add to Campaigns tab"))</f>
        <v/>
      </c>
      <c r="I7336" s="84" t="str">
        <f aca="false">IF(C7336="","",C7336*IF(Settings!$B$23=Settings!$C$6,1,IF(Settings!$B$23="USD",1/INDEX(Settings!$B$29:$B$40,MONTH(A7336)),INDEX(Settings!$B$29:$B$40,MONTH(A7336)))))</f>
        <v/>
      </c>
    </row>
    <row r="7337" customFormat="false" ht="15" hidden="false" customHeight="false" outlineLevel="0" collapsed="false">
      <c r="H7337" s="0" t="str">
        <f aca="false">IF(B7337="","",IF(COUNTIF(Campaigns!$A$7:$A$300,B7337)&gt;0,"✓","⚠ add to Campaigns tab"))</f>
        <v/>
      </c>
      <c r="I7337" s="84" t="str">
        <f aca="false">IF(C7337="","",C7337*IF(Settings!$B$23=Settings!$C$6,1,IF(Settings!$B$23="USD",1/INDEX(Settings!$B$29:$B$40,MONTH(A7337)),INDEX(Settings!$B$29:$B$40,MONTH(A7337)))))</f>
        <v/>
      </c>
    </row>
    <row r="7338" customFormat="false" ht="15" hidden="false" customHeight="false" outlineLevel="0" collapsed="false">
      <c r="H7338" s="0" t="str">
        <f aca="false">IF(B7338="","",IF(COUNTIF(Campaigns!$A$7:$A$300,B7338)&gt;0,"✓","⚠ add to Campaigns tab"))</f>
        <v/>
      </c>
      <c r="I7338" s="84" t="str">
        <f aca="false">IF(C7338="","",C7338*IF(Settings!$B$23=Settings!$C$6,1,IF(Settings!$B$23="USD",1/INDEX(Settings!$B$29:$B$40,MONTH(A7338)),INDEX(Settings!$B$29:$B$40,MONTH(A7338)))))</f>
        <v/>
      </c>
    </row>
    <row r="7339" customFormat="false" ht="15" hidden="false" customHeight="false" outlineLevel="0" collapsed="false">
      <c r="H7339" s="0" t="str">
        <f aca="false">IF(B7339="","",IF(COUNTIF(Campaigns!$A$7:$A$300,B7339)&gt;0,"✓","⚠ add to Campaigns tab"))</f>
        <v/>
      </c>
      <c r="I7339" s="84" t="str">
        <f aca="false">IF(C7339="","",C7339*IF(Settings!$B$23=Settings!$C$6,1,IF(Settings!$B$23="USD",1/INDEX(Settings!$B$29:$B$40,MONTH(A7339)),INDEX(Settings!$B$29:$B$40,MONTH(A7339)))))</f>
        <v/>
      </c>
    </row>
    <row r="7340" customFormat="false" ht="15" hidden="false" customHeight="false" outlineLevel="0" collapsed="false">
      <c r="H7340" s="0" t="str">
        <f aca="false">IF(B7340="","",IF(COUNTIF(Campaigns!$A$7:$A$300,B7340)&gt;0,"✓","⚠ add to Campaigns tab"))</f>
        <v/>
      </c>
      <c r="I7340" s="84" t="str">
        <f aca="false">IF(C7340="","",C7340*IF(Settings!$B$23=Settings!$C$6,1,IF(Settings!$B$23="USD",1/INDEX(Settings!$B$29:$B$40,MONTH(A7340)),INDEX(Settings!$B$29:$B$40,MONTH(A7340)))))</f>
        <v/>
      </c>
    </row>
    <row r="7341" customFormat="false" ht="15" hidden="false" customHeight="false" outlineLevel="0" collapsed="false">
      <c r="H7341" s="0" t="str">
        <f aca="false">IF(B7341="","",IF(COUNTIF(Campaigns!$A$7:$A$300,B7341)&gt;0,"✓","⚠ add to Campaigns tab"))</f>
        <v/>
      </c>
      <c r="I7341" s="84" t="str">
        <f aca="false">IF(C7341="","",C7341*IF(Settings!$B$23=Settings!$C$6,1,IF(Settings!$B$23="USD",1/INDEX(Settings!$B$29:$B$40,MONTH(A7341)),INDEX(Settings!$B$29:$B$40,MONTH(A7341)))))</f>
        <v/>
      </c>
    </row>
    <row r="7342" customFormat="false" ht="15" hidden="false" customHeight="false" outlineLevel="0" collapsed="false">
      <c r="H7342" s="0" t="str">
        <f aca="false">IF(B7342="","",IF(COUNTIF(Campaigns!$A$7:$A$300,B7342)&gt;0,"✓","⚠ add to Campaigns tab"))</f>
        <v/>
      </c>
      <c r="I7342" s="84" t="str">
        <f aca="false">IF(C7342="","",C7342*IF(Settings!$B$23=Settings!$C$6,1,IF(Settings!$B$23="USD",1/INDEX(Settings!$B$29:$B$40,MONTH(A7342)),INDEX(Settings!$B$29:$B$40,MONTH(A7342)))))</f>
        <v/>
      </c>
    </row>
    <row r="7343" customFormat="false" ht="15" hidden="false" customHeight="false" outlineLevel="0" collapsed="false">
      <c r="H7343" s="0" t="str">
        <f aca="false">IF(B7343="","",IF(COUNTIF(Campaigns!$A$7:$A$300,B7343)&gt;0,"✓","⚠ add to Campaigns tab"))</f>
        <v/>
      </c>
      <c r="I7343" s="84" t="str">
        <f aca="false">IF(C7343="","",C7343*IF(Settings!$B$23=Settings!$C$6,1,IF(Settings!$B$23="USD",1/INDEX(Settings!$B$29:$B$40,MONTH(A7343)),INDEX(Settings!$B$29:$B$40,MONTH(A7343)))))</f>
        <v/>
      </c>
    </row>
    <row r="7344" customFormat="false" ht="15" hidden="false" customHeight="false" outlineLevel="0" collapsed="false">
      <c r="H7344" s="0" t="str">
        <f aca="false">IF(B7344="","",IF(COUNTIF(Campaigns!$A$7:$A$300,B7344)&gt;0,"✓","⚠ add to Campaigns tab"))</f>
        <v/>
      </c>
      <c r="I7344" s="84" t="str">
        <f aca="false">IF(C7344="","",C7344*IF(Settings!$B$23=Settings!$C$6,1,IF(Settings!$B$23="USD",1/INDEX(Settings!$B$29:$B$40,MONTH(A7344)),INDEX(Settings!$B$29:$B$40,MONTH(A7344)))))</f>
        <v/>
      </c>
    </row>
    <row r="7345" customFormat="false" ht="15" hidden="false" customHeight="false" outlineLevel="0" collapsed="false">
      <c r="H7345" s="0" t="str">
        <f aca="false">IF(B7345="","",IF(COUNTIF(Campaigns!$A$7:$A$300,B7345)&gt;0,"✓","⚠ add to Campaigns tab"))</f>
        <v/>
      </c>
      <c r="I7345" s="84" t="str">
        <f aca="false">IF(C7345="","",C7345*IF(Settings!$B$23=Settings!$C$6,1,IF(Settings!$B$23="USD",1/INDEX(Settings!$B$29:$B$40,MONTH(A7345)),INDEX(Settings!$B$29:$B$40,MONTH(A7345)))))</f>
        <v/>
      </c>
    </row>
    <row r="7346" customFormat="false" ht="15" hidden="false" customHeight="false" outlineLevel="0" collapsed="false">
      <c r="H7346" s="0" t="str">
        <f aca="false">IF(B7346="","",IF(COUNTIF(Campaigns!$A$7:$A$300,B7346)&gt;0,"✓","⚠ add to Campaigns tab"))</f>
        <v/>
      </c>
      <c r="I7346" s="84" t="str">
        <f aca="false">IF(C7346="","",C7346*IF(Settings!$B$23=Settings!$C$6,1,IF(Settings!$B$23="USD",1/INDEX(Settings!$B$29:$B$40,MONTH(A7346)),INDEX(Settings!$B$29:$B$40,MONTH(A7346)))))</f>
        <v/>
      </c>
    </row>
    <row r="7347" customFormat="false" ht="15" hidden="false" customHeight="false" outlineLevel="0" collapsed="false">
      <c r="H7347" s="0" t="str">
        <f aca="false">IF(B7347="","",IF(COUNTIF(Campaigns!$A$7:$A$300,B7347)&gt;0,"✓","⚠ add to Campaigns tab"))</f>
        <v/>
      </c>
      <c r="I7347" s="84" t="str">
        <f aca="false">IF(C7347="","",C7347*IF(Settings!$B$23=Settings!$C$6,1,IF(Settings!$B$23="USD",1/INDEX(Settings!$B$29:$B$40,MONTH(A7347)),INDEX(Settings!$B$29:$B$40,MONTH(A7347)))))</f>
        <v/>
      </c>
    </row>
    <row r="7348" customFormat="false" ht="15" hidden="false" customHeight="false" outlineLevel="0" collapsed="false">
      <c r="H7348" s="0" t="str">
        <f aca="false">IF(B7348="","",IF(COUNTIF(Campaigns!$A$7:$A$300,B7348)&gt;0,"✓","⚠ add to Campaigns tab"))</f>
        <v/>
      </c>
      <c r="I7348" s="84" t="str">
        <f aca="false">IF(C7348="","",C7348*IF(Settings!$B$23=Settings!$C$6,1,IF(Settings!$B$23="USD",1/INDEX(Settings!$B$29:$B$40,MONTH(A7348)),INDEX(Settings!$B$29:$B$40,MONTH(A7348)))))</f>
        <v/>
      </c>
    </row>
    <row r="7349" customFormat="false" ht="15" hidden="false" customHeight="false" outlineLevel="0" collapsed="false">
      <c r="H7349" s="0" t="str">
        <f aca="false">IF(B7349="","",IF(COUNTIF(Campaigns!$A$7:$A$300,B7349)&gt;0,"✓","⚠ add to Campaigns tab"))</f>
        <v/>
      </c>
      <c r="I7349" s="84" t="str">
        <f aca="false">IF(C7349="","",C7349*IF(Settings!$B$23=Settings!$C$6,1,IF(Settings!$B$23="USD",1/INDEX(Settings!$B$29:$B$40,MONTH(A7349)),INDEX(Settings!$B$29:$B$40,MONTH(A7349)))))</f>
        <v/>
      </c>
    </row>
    <row r="7350" customFormat="false" ht="15" hidden="false" customHeight="false" outlineLevel="0" collapsed="false">
      <c r="H7350" s="0" t="str">
        <f aca="false">IF(B7350="","",IF(COUNTIF(Campaigns!$A$7:$A$300,B7350)&gt;0,"✓","⚠ add to Campaigns tab"))</f>
        <v/>
      </c>
      <c r="I7350" s="84" t="str">
        <f aca="false">IF(C7350="","",C7350*IF(Settings!$B$23=Settings!$C$6,1,IF(Settings!$B$23="USD",1/INDEX(Settings!$B$29:$B$40,MONTH(A7350)),INDEX(Settings!$B$29:$B$40,MONTH(A7350)))))</f>
        <v/>
      </c>
    </row>
    <row r="7351" customFormat="false" ht="15" hidden="false" customHeight="false" outlineLevel="0" collapsed="false">
      <c r="H7351" s="0" t="str">
        <f aca="false">IF(B7351="","",IF(COUNTIF(Campaigns!$A$7:$A$300,B7351)&gt;0,"✓","⚠ add to Campaigns tab"))</f>
        <v/>
      </c>
      <c r="I7351" s="84" t="str">
        <f aca="false">IF(C7351="","",C7351*IF(Settings!$B$23=Settings!$C$6,1,IF(Settings!$B$23="USD",1/INDEX(Settings!$B$29:$B$40,MONTH(A7351)),INDEX(Settings!$B$29:$B$40,MONTH(A7351)))))</f>
        <v/>
      </c>
    </row>
    <row r="7352" customFormat="false" ht="15" hidden="false" customHeight="false" outlineLevel="0" collapsed="false">
      <c r="H7352" s="0" t="str">
        <f aca="false">IF(B7352="","",IF(COUNTIF(Campaigns!$A$7:$A$300,B7352)&gt;0,"✓","⚠ add to Campaigns tab"))</f>
        <v/>
      </c>
      <c r="I7352" s="84" t="str">
        <f aca="false">IF(C7352="","",C7352*IF(Settings!$B$23=Settings!$C$6,1,IF(Settings!$B$23="USD",1/INDEX(Settings!$B$29:$B$40,MONTH(A7352)),INDEX(Settings!$B$29:$B$40,MONTH(A7352)))))</f>
        <v/>
      </c>
    </row>
    <row r="7353" customFormat="false" ht="15" hidden="false" customHeight="false" outlineLevel="0" collapsed="false">
      <c r="H7353" s="0" t="str">
        <f aca="false">IF(B7353="","",IF(COUNTIF(Campaigns!$A$7:$A$300,B7353)&gt;0,"✓","⚠ add to Campaigns tab"))</f>
        <v/>
      </c>
      <c r="I7353" s="84" t="str">
        <f aca="false">IF(C7353="","",C7353*IF(Settings!$B$23=Settings!$C$6,1,IF(Settings!$B$23="USD",1/INDEX(Settings!$B$29:$B$40,MONTH(A7353)),INDEX(Settings!$B$29:$B$40,MONTH(A7353)))))</f>
        <v/>
      </c>
    </row>
    <row r="7354" customFormat="false" ht="15" hidden="false" customHeight="false" outlineLevel="0" collapsed="false">
      <c r="H7354" s="0" t="str">
        <f aca="false">IF(B7354="","",IF(COUNTIF(Campaigns!$A$7:$A$300,B7354)&gt;0,"✓","⚠ add to Campaigns tab"))</f>
        <v/>
      </c>
      <c r="I7354" s="84" t="str">
        <f aca="false">IF(C7354="","",C7354*IF(Settings!$B$23=Settings!$C$6,1,IF(Settings!$B$23="USD",1/INDEX(Settings!$B$29:$B$40,MONTH(A7354)),INDEX(Settings!$B$29:$B$40,MONTH(A7354)))))</f>
        <v/>
      </c>
    </row>
    <row r="7355" customFormat="false" ht="15" hidden="false" customHeight="false" outlineLevel="0" collapsed="false">
      <c r="H7355" s="0" t="str">
        <f aca="false">IF(B7355="","",IF(COUNTIF(Campaigns!$A$7:$A$300,B7355)&gt;0,"✓","⚠ add to Campaigns tab"))</f>
        <v/>
      </c>
      <c r="I7355" s="84" t="str">
        <f aca="false">IF(C7355="","",C7355*IF(Settings!$B$23=Settings!$C$6,1,IF(Settings!$B$23="USD",1/INDEX(Settings!$B$29:$B$40,MONTH(A7355)),INDEX(Settings!$B$29:$B$40,MONTH(A7355)))))</f>
        <v/>
      </c>
    </row>
    <row r="7356" customFormat="false" ht="15" hidden="false" customHeight="false" outlineLevel="0" collapsed="false">
      <c r="H7356" s="0" t="str">
        <f aca="false">IF(B7356="","",IF(COUNTIF(Campaigns!$A$7:$A$300,B7356)&gt;0,"✓","⚠ add to Campaigns tab"))</f>
        <v/>
      </c>
      <c r="I7356" s="84" t="str">
        <f aca="false">IF(C7356="","",C7356*IF(Settings!$B$23=Settings!$C$6,1,IF(Settings!$B$23="USD",1/INDEX(Settings!$B$29:$B$40,MONTH(A7356)),INDEX(Settings!$B$29:$B$40,MONTH(A7356)))))</f>
        <v/>
      </c>
    </row>
    <row r="7357" customFormat="false" ht="15" hidden="false" customHeight="false" outlineLevel="0" collapsed="false">
      <c r="H7357" s="0" t="str">
        <f aca="false">IF(B7357="","",IF(COUNTIF(Campaigns!$A$7:$A$300,B7357)&gt;0,"✓","⚠ add to Campaigns tab"))</f>
        <v/>
      </c>
      <c r="I7357" s="84" t="str">
        <f aca="false">IF(C7357="","",C7357*IF(Settings!$B$23=Settings!$C$6,1,IF(Settings!$B$23="USD",1/INDEX(Settings!$B$29:$B$40,MONTH(A7357)),INDEX(Settings!$B$29:$B$40,MONTH(A7357)))))</f>
        <v/>
      </c>
    </row>
    <row r="7358" customFormat="false" ht="15" hidden="false" customHeight="false" outlineLevel="0" collapsed="false">
      <c r="H7358" s="0" t="str">
        <f aca="false">IF(B7358="","",IF(COUNTIF(Campaigns!$A$7:$A$300,B7358)&gt;0,"✓","⚠ add to Campaigns tab"))</f>
        <v/>
      </c>
      <c r="I7358" s="84" t="str">
        <f aca="false">IF(C7358="","",C7358*IF(Settings!$B$23=Settings!$C$6,1,IF(Settings!$B$23="USD",1/INDEX(Settings!$B$29:$B$40,MONTH(A7358)),INDEX(Settings!$B$29:$B$40,MONTH(A7358)))))</f>
        <v/>
      </c>
    </row>
    <row r="7359" customFormat="false" ht="15" hidden="false" customHeight="false" outlineLevel="0" collapsed="false">
      <c r="H7359" s="0" t="str">
        <f aca="false">IF(B7359="","",IF(COUNTIF(Campaigns!$A$7:$A$300,B7359)&gt;0,"✓","⚠ add to Campaigns tab"))</f>
        <v/>
      </c>
      <c r="I7359" s="84" t="str">
        <f aca="false">IF(C7359="","",C7359*IF(Settings!$B$23=Settings!$C$6,1,IF(Settings!$B$23="USD",1/INDEX(Settings!$B$29:$B$40,MONTH(A7359)),INDEX(Settings!$B$29:$B$40,MONTH(A7359)))))</f>
        <v/>
      </c>
    </row>
    <row r="7360" customFormat="false" ht="15" hidden="false" customHeight="false" outlineLevel="0" collapsed="false">
      <c r="H7360" s="0" t="str">
        <f aca="false">IF(B7360="","",IF(COUNTIF(Campaigns!$A$7:$A$300,B7360)&gt;0,"✓","⚠ add to Campaigns tab"))</f>
        <v/>
      </c>
      <c r="I7360" s="84" t="str">
        <f aca="false">IF(C7360="","",C7360*IF(Settings!$B$23=Settings!$C$6,1,IF(Settings!$B$23="USD",1/INDEX(Settings!$B$29:$B$40,MONTH(A7360)),INDEX(Settings!$B$29:$B$40,MONTH(A7360)))))</f>
        <v/>
      </c>
    </row>
    <row r="7361" customFormat="false" ht="15" hidden="false" customHeight="false" outlineLevel="0" collapsed="false">
      <c r="H7361" s="0" t="str">
        <f aca="false">IF(B7361="","",IF(COUNTIF(Campaigns!$A$7:$A$300,B7361)&gt;0,"✓","⚠ add to Campaigns tab"))</f>
        <v/>
      </c>
      <c r="I7361" s="84" t="str">
        <f aca="false">IF(C7361="","",C7361*IF(Settings!$B$23=Settings!$C$6,1,IF(Settings!$B$23="USD",1/INDEX(Settings!$B$29:$B$40,MONTH(A7361)),INDEX(Settings!$B$29:$B$40,MONTH(A7361)))))</f>
        <v/>
      </c>
    </row>
    <row r="7362" customFormat="false" ht="15" hidden="false" customHeight="false" outlineLevel="0" collapsed="false">
      <c r="H7362" s="0" t="str">
        <f aca="false">IF(B7362="","",IF(COUNTIF(Campaigns!$A$7:$A$300,B7362)&gt;0,"✓","⚠ add to Campaigns tab"))</f>
        <v/>
      </c>
      <c r="I7362" s="84" t="str">
        <f aca="false">IF(C7362="","",C7362*IF(Settings!$B$23=Settings!$C$6,1,IF(Settings!$B$23="USD",1/INDEX(Settings!$B$29:$B$40,MONTH(A7362)),INDEX(Settings!$B$29:$B$40,MONTH(A7362)))))</f>
        <v/>
      </c>
    </row>
    <row r="7363" customFormat="false" ht="15" hidden="false" customHeight="false" outlineLevel="0" collapsed="false">
      <c r="H7363" s="0" t="str">
        <f aca="false">IF(B7363="","",IF(COUNTIF(Campaigns!$A$7:$A$300,B7363)&gt;0,"✓","⚠ add to Campaigns tab"))</f>
        <v/>
      </c>
      <c r="I7363" s="84" t="str">
        <f aca="false">IF(C7363="","",C7363*IF(Settings!$B$23=Settings!$C$6,1,IF(Settings!$B$23="USD",1/INDEX(Settings!$B$29:$B$40,MONTH(A7363)),INDEX(Settings!$B$29:$B$40,MONTH(A7363)))))</f>
        <v/>
      </c>
    </row>
    <row r="7364" customFormat="false" ht="15" hidden="false" customHeight="false" outlineLevel="0" collapsed="false">
      <c r="H7364" s="0" t="str">
        <f aca="false">IF(B7364="","",IF(COUNTIF(Campaigns!$A$7:$A$300,B7364)&gt;0,"✓","⚠ add to Campaigns tab"))</f>
        <v/>
      </c>
      <c r="I7364" s="84" t="str">
        <f aca="false">IF(C7364="","",C7364*IF(Settings!$B$23=Settings!$C$6,1,IF(Settings!$B$23="USD",1/INDEX(Settings!$B$29:$B$40,MONTH(A7364)),INDEX(Settings!$B$29:$B$40,MONTH(A7364)))))</f>
        <v/>
      </c>
    </row>
    <row r="7365" customFormat="false" ht="15" hidden="false" customHeight="false" outlineLevel="0" collapsed="false">
      <c r="H7365" s="0" t="str">
        <f aca="false">IF(B7365="","",IF(COUNTIF(Campaigns!$A$7:$A$300,B7365)&gt;0,"✓","⚠ add to Campaigns tab"))</f>
        <v/>
      </c>
      <c r="I7365" s="84" t="str">
        <f aca="false">IF(C7365="","",C7365*IF(Settings!$B$23=Settings!$C$6,1,IF(Settings!$B$23="USD",1/INDEX(Settings!$B$29:$B$40,MONTH(A7365)),INDEX(Settings!$B$29:$B$40,MONTH(A7365)))))</f>
        <v/>
      </c>
    </row>
    <row r="7366" customFormat="false" ht="15" hidden="false" customHeight="false" outlineLevel="0" collapsed="false">
      <c r="H7366" s="0" t="str">
        <f aca="false">IF(B7366="","",IF(COUNTIF(Campaigns!$A$7:$A$300,B7366)&gt;0,"✓","⚠ add to Campaigns tab"))</f>
        <v/>
      </c>
      <c r="I7366" s="84" t="str">
        <f aca="false">IF(C7366="","",C7366*IF(Settings!$B$23=Settings!$C$6,1,IF(Settings!$B$23="USD",1/INDEX(Settings!$B$29:$B$40,MONTH(A7366)),INDEX(Settings!$B$29:$B$40,MONTH(A7366)))))</f>
        <v/>
      </c>
    </row>
    <row r="7367" customFormat="false" ht="15" hidden="false" customHeight="false" outlineLevel="0" collapsed="false">
      <c r="H7367" s="0" t="str">
        <f aca="false">IF(B7367="","",IF(COUNTIF(Campaigns!$A$7:$A$300,B7367)&gt;0,"✓","⚠ add to Campaigns tab"))</f>
        <v/>
      </c>
      <c r="I7367" s="84" t="str">
        <f aca="false">IF(C7367="","",C7367*IF(Settings!$B$23=Settings!$C$6,1,IF(Settings!$B$23="USD",1/INDEX(Settings!$B$29:$B$40,MONTH(A7367)),INDEX(Settings!$B$29:$B$40,MONTH(A7367)))))</f>
        <v/>
      </c>
    </row>
    <row r="7368" customFormat="false" ht="15" hidden="false" customHeight="false" outlineLevel="0" collapsed="false">
      <c r="H7368" s="0" t="str">
        <f aca="false">IF(B7368="","",IF(COUNTIF(Campaigns!$A$7:$A$300,B7368)&gt;0,"✓","⚠ add to Campaigns tab"))</f>
        <v/>
      </c>
      <c r="I7368" s="84" t="str">
        <f aca="false">IF(C7368="","",C7368*IF(Settings!$B$23=Settings!$C$6,1,IF(Settings!$B$23="USD",1/INDEX(Settings!$B$29:$B$40,MONTH(A7368)),INDEX(Settings!$B$29:$B$40,MONTH(A7368)))))</f>
        <v/>
      </c>
    </row>
    <row r="7369" customFormat="false" ht="15" hidden="false" customHeight="false" outlineLevel="0" collapsed="false">
      <c r="H7369" s="0" t="str">
        <f aca="false">IF(B7369="","",IF(COUNTIF(Campaigns!$A$7:$A$300,B7369)&gt;0,"✓","⚠ add to Campaigns tab"))</f>
        <v/>
      </c>
      <c r="I7369" s="84" t="str">
        <f aca="false">IF(C7369="","",C7369*IF(Settings!$B$23=Settings!$C$6,1,IF(Settings!$B$23="USD",1/INDEX(Settings!$B$29:$B$40,MONTH(A7369)),INDEX(Settings!$B$29:$B$40,MONTH(A7369)))))</f>
        <v/>
      </c>
    </row>
    <row r="7370" customFormat="false" ht="15" hidden="false" customHeight="false" outlineLevel="0" collapsed="false">
      <c r="H7370" s="0" t="str">
        <f aca="false">IF(B7370="","",IF(COUNTIF(Campaigns!$A$7:$A$300,B7370)&gt;0,"✓","⚠ add to Campaigns tab"))</f>
        <v/>
      </c>
      <c r="I7370" s="84" t="str">
        <f aca="false">IF(C7370="","",C7370*IF(Settings!$B$23=Settings!$C$6,1,IF(Settings!$B$23="USD",1/INDEX(Settings!$B$29:$B$40,MONTH(A7370)),INDEX(Settings!$B$29:$B$40,MONTH(A7370)))))</f>
        <v/>
      </c>
    </row>
    <row r="7371" customFormat="false" ht="15" hidden="false" customHeight="false" outlineLevel="0" collapsed="false">
      <c r="H7371" s="0" t="str">
        <f aca="false">IF(B7371="","",IF(COUNTIF(Campaigns!$A$7:$A$300,B7371)&gt;0,"✓","⚠ add to Campaigns tab"))</f>
        <v/>
      </c>
      <c r="I7371" s="84" t="str">
        <f aca="false">IF(C7371="","",C7371*IF(Settings!$B$23=Settings!$C$6,1,IF(Settings!$B$23="USD",1/INDEX(Settings!$B$29:$B$40,MONTH(A7371)),INDEX(Settings!$B$29:$B$40,MONTH(A7371)))))</f>
        <v/>
      </c>
    </row>
    <row r="7372" customFormat="false" ht="15" hidden="false" customHeight="false" outlineLevel="0" collapsed="false">
      <c r="H7372" s="0" t="str">
        <f aca="false">IF(B7372="","",IF(COUNTIF(Campaigns!$A$7:$A$300,B7372)&gt;0,"✓","⚠ add to Campaigns tab"))</f>
        <v/>
      </c>
      <c r="I7372" s="84" t="str">
        <f aca="false">IF(C7372="","",C7372*IF(Settings!$B$23=Settings!$C$6,1,IF(Settings!$B$23="USD",1/INDEX(Settings!$B$29:$B$40,MONTH(A7372)),INDEX(Settings!$B$29:$B$40,MONTH(A7372)))))</f>
        <v/>
      </c>
    </row>
    <row r="7373" customFormat="false" ht="15" hidden="false" customHeight="false" outlineLevel="0" collapsed="false">
      <c r="H7373" s="0" t="str">
        <f aca="false">IF(B7373="","",IF(COUNTIF(Campaigns!$A$7:$A$300,B7373)&gt;0,"✓","⚠ add to Campaigns tab"))</f>
        <v/>
      </c>
      <c r="I7373" s="84" t="str">
        <f aca="false">IF(C7373="","",C7373*IF(Settings!$B$23=Settings!$C$6,1,IF(Settings!$B$23="USD",1/INDEX(Settings!$B$29:$B$40,MONTH(A7373)),INDEX(Settings!$B$29:$B$40,MONTH(A7373)))))</f>
        <v/>
      </c>
    </row>
    <row r="7374" customFormat="false" ht="15" hidden="false" customHeight="false" outlineLevel="0" collapsed="false">
      <c r="H7374" s="0" t="str">
        <f aca="false">IF(B7374="","",IF(COUNTIF(Campaigns!$A$7:$A$300,B7374)&gt;0,"✓","⚠ add to Campaigns tab"))</f>
        <v/>
      </c>
      <c r="I7374" s="84" t="str">
        <f aca="false">IF(C7374="","",C7374*IF(Settings!$B$23=Settings!$C$6,1,IF(Settings!$B$23="USD",1/INDEX(Settings!$B$29:$B$40,MONTH(A7374)),INDEX(Settings!$B$29:$B$40,MONTH(A7374)))))</f>
        <v/>
      </c>
    </row>
    <row r="7375" customFormat="false" ht="15" hidden="false" customHeight="false" outlineLevel="0" collapsed="false">
      <c r="H7375" s="0" t="str">
        <f aca="false">IF(B7375="","",IF(COUNTIF(Campaigns!$A$7:$A$300,B7375)&gt;0,"✓","⚠ add to Campaigns tab"))</f>
        <v/>
      </c>
      <c r="I7375" s="84" t="str">
        <f aca="false">IF(C7375="","",C7375*IF(Settings!$B$23=Settings!$C$6,1,IF(Settings!$B$23="USD",1/INDEX(Settings!$B$29:$B$40,MONTH(A7375)),INDEX(Settings!$B$29:$B$40,MONTH(A7375)))))</f>
        <v/>
      </c>
    </row>
    <row r="7376" customFormat="false" ht="15" hidden="false" customHeight="false" outlineLevel="0" collapsed="false">
      <c r="H7376" s="0" t="str">
        <f aca="false">IF(B7376="","",IF(COUNTIF(Campaigns!$A$7:$A$300,B7376)&gt;0,"✓","⚠ add to Campaigns tab"))</f>
        <v/>
      </c>
      <c r="I7376" s="84" t="str">
        <f aca="false">IF(C7376="","",C7376*IF(Settings!$B$23=Settings!$C$6,1,IF(Settings!$B$23="USD",1/INDEX(Settings!$B$29:$B$40,MONTH(A7376)),INDEX(Settings!$B$29:$B$40,MONTH(A7376)))))</f>
        <v/>
      </c>
    </row>
    <row r="7377" customFormat="false" ht="15" hidden="false" customHeight="false" outlineLevel="0" collapsed="false">
      <c r="H7377" s="0" t="str">
        <f aca="false">IF(B7377="","",IF(COUNTIF(Campaigns!$A$7:$A$300,B7377)&gt;0,"✓","⚠ add to Campaigns tab"))</f>
        <v/>
      </c>
      <c r="I7377" s="84" t="str">
        <f aca="false">IF(C7377="","",C7377*IF(Settings!$B$23=Settings!$C$6,1,IF(Settings!$B$23="USD",1/INDEX(Settings!$B$29:$B$40,MONTH(A7377)),INDEX(Settings!$B$29:$B$40,MONTH(A7377)))))</f>
        <v/>
      </c>
    </row>
    <row r="7378" customFormat="false" ht="15" hidden="false" customHeight="false" outlineLevel="0" collapsed="false">
      <c r="H7378" s="0" t="str">
        <f aca="false">IF(B7378="","",IF(COUNTIF(Campaigns!$A$7:$A$300,B7378)&gt;0,"✓","⚠ add to Campaigns tab"))</f>
        <v/>
      </c>
      <c r="I7378" s="84" t="str">
        <f aca="false">IF(C7378="","",C7378*IF(Settings!$B$23=Settings!$C$6,1,IF(Settings!$B$23="USD",1/INDEX(Settings!$B$29:$B$40,MONTH(A7378)),INDEX(Settings!$B$29:$B$40,MONTH(A7378)))))</f>
        <v/>
      </c>
    </row>
    <row r="7379" customFormat="false" ht="15" hidden="false" customHeight="false" outlineLevel="0" collapsed="false">
      <c r="H7379" s="0" t="str">
        <f aca="false">IF(B7379="","",IF(COUNTIF(Campaigns!$A$7:$A$300,B7379)&gt;0,"✓","⚠ add to Campaigns tab"))</f>
        <v/>
      </c>
      <c r="I7379" s="84" t="str">
        <f aca="false">IF(C7379="","",C7379*IF(Settings!$B$23=Settings!$C$6,1,IF(Settings!$B$23="USD",1/INDEX(Settings!$B$29:$B$40,MONTH(A7379)),INDEX(Settings!$B$29:$B$40,MONTH(A7379)))))</f>
        <v/>
      </c>
    </row>
    <row r="7380" customFormat="false" ht="15" hidden="false" customHeight="false" outlineLevel="0" collapsed="false">
      <c r="H7380" s="0" t="str">
        <f aca="false">IF(B7380="","",IF(COUNTIF(Campaigns!$A$7:$A$300,B7380)&gt;0,"✓","⚠ add to Campaigns tab"))</f>
        <v/>
      </c>
      <c r="I7380" s="84" t="str">
        <f aca="false">IF(C7380="","",C7380*IF(Settings!$B$23=Settings!$C$6,1,IF(Settings!$B$23="USD",1/INDEX(Settings!$B$29:$B$40,MONTH(A7380)),INDEX(Settings!$B$29:$B$40,MONTH(A7380)))))</f>
        <v/>
      </c>
    </row>
    <row r="7381" customFormat="false" ht="15" hidden="false" customHeight="false" outlineLevel="0" collapsed="false">
      <c r="H7381" s="0" t="str">
        <f aca="false">IF(B7381="","",IF(COUNTIF(Campaigns!$A$7:$A$300,B7381)&gt;0,"✓","⚠ add to Campaigns tab"))</f>
        <v/>
      </c>
      <c r="I7381" s="84" t="str">
        <f aca="false">IF(C7381="","",C7381*IF(Settings!$B$23=Settings!$C$6,1,IF(Settings!$B$23="USD",1/INDEX(Settings!$B$29:$B$40,MONTH(A7381)),INDEX(Settings!$B$29:$B$40,MONTH(A7381)))))</f>
        <v/>
      </c>
    </row>
    <row r="7382" customFormat="false" ht="15" hidden="false" customHeight="false" outlineLevel="0" collapsed="false">
      <c r="H7382" s="0" t="str">
        <f aca="false">IF(B7382="","",IF(COUNTIF(Campaigns!$A$7:$A$300,B7382)&gt;0,"✓","⚠ add to Campaigns tab"))</f>
        <v/>
      </c>
      <c r="I7382" s="84" t="str">
        <f aca="false">IF(C7382="","",C7382*IF(Settings!$B$23=Settings!$C$6,1,IF(Settings!$B$23="USD",1/INDEX(Settings!$B$29:$B$40,MONTH(A7382)),INDEX(Settings!$B$29:$B$40,MONTH(A7382)))))</f>
        <v/>
      </c>
    </row>
    <row r="7383" customFormat="false" ht="15" hidden="false" customHeight="false" outlineLevel="0" collapsed="false">
      <c r="H7383" s="0" t="str">
        <f aca="false">IF(B7383="","",IF(COUNTIF(Campaigns!$A$7:$A$300,B7383)&gt;0,"✓","⚠ add to Campaigns tab"))</f>
        <v/>
      </c>
      <c r="I7383" s="84" t="str">
        <f aca="false">IF(C7383="","",C7383*IF(Settings!$B$23=Settings!$C$6,1,IF(Settings!$B$23="USD",1/INDEX(Settings!$B$29:$B$40,MONTH(A7383)),INDEX(Settings!$B$29:$B$40,MONTH(A7383)))))</f>
        <v/>
      </c>
    </row>
    <row r="7384" customFormat="false" ht="15" hidden="false" customHeight="false" outlineLevel="0" collapsed="false">
      <c r="H7384" s="0" t="str">
        <f aca="false">IF(B7384="","",IF(COUNTIF(Campaigns!$A$7:$A$300,B7384)&gt;0,"✓","⚠ add to Campaigns tab"))</f>
        <v/>
      </c>
      <c r="I7384" s="84" t="str">
        <f aca="false">IF(C7384="","",C7384*IF(Settings!$B$23=Settings!$C$6,1,IF(Settings!$B$23="USD",1/INDEX(Settings!$B$29:$B$40,MONTH(A7384)),INDEX(Settings!$B$29:$B$40,MONTH(A7384)))))</f>
        <v/>
      </c>
    </row>
    <row r="7385" customFormat="false" ht="15" hidden="false" customHeight="false" outlineLevel="0" collapsed="false">
      <c r="H7385" s="0" t="str">
        <f aca="false">IF(B7385="","",IF(COUNTIF(Campaigns!$A$7:$A$300,B7385)&gt;0,"✓","⚠ add to Campaigns tab"))</f>
        <v/>
      </c>
      <c r="I7385" s="84" t="str">
        <f aca="false">IF(C7385="","",C7385*IF(Settings!$B$23=Settings!$C$6,1,IF(Settings!$B$23="USD",1/INDEX(Settings!$B$29:$B$40,MONTH(A7385)),INDEX(Settings!$B$29:$B$40,MONTH(A7385)))))</f>
        <v/>
      </c>
    </row>
    <row r="7386" customFormat="false" ht="15" hidden="false" customHeight="false" outlineLevel="0" collapsed="false">
      <c r="H7386" s="0" t="str">
        <f aca="false">IF(B7386="","",IF(COUNTIF(Campaigns!$A$7:$A$300,B7386)&gt;0,"✓","⚠ add to Campaigns tab"))</f>
        <v/>
      </c>
      <c r="I7386" s="84" t="str">
        <f aca="false">IF(C7386="","",C7386*IF(Settings!$B$23=Settings!$C$6,1,IF(Settings!$B$23="USD",1/INDEX(Settings!$B$29:$B$40,MONTH(A7386)),INDEX(Settings!$B$29:$B$40,MONTH(A7386)))))</f>
        <v/>
      </c>
    </row>
    <row r="7387" customFormat="false" ht="15" hidden="false" customHeight="false" outlineLevel="0" collapsed="false">
      <c r="H7387" s="0" t="str">
        <f aca="false">IF(B7387="","",IF(COUNTIF(Campaigns!$A$7:$A$300,B7387)&gt;0,"✓","⚠ add to Campaigns tab"))</f>
        <v/>
      </c>
      <c r="I7387" s="84" t="str">
        <f aca="false">IF(C7387="","",C7387*IF(Settings!$B$23=Settings!$C$6,1,IF(Settings!$B$23="USD",1/INDEX(Settings!$B$29:$B$40,MONTH(A7387)),INDEX(Settings!$B$29:$B$40,MONTH(A7387)))))</f>
        <v/>
      </c>
    </row>
    <row r="7388" customFormat="false" ht="15" hidden="false" customHeight="false" outlineLevel="0" collapsed="false">
      <c r="H7388" s="0" t="str">
        <f aca="false">IF(B7388="","",IF(COUNTIF(Campaigns!$A$7:$A$300,B7388)&gt;0,"✓","⚠ add to Campaigns tab"))</f>
        <v/>
      </c>
      <c r="I7388" s="84" t="str">
        <f aca="false">IF(C7388="","",C7388*IF(Settings!$B$23=Settings!$C$6,1,IF(Settings!$B$23="USD",1/INDEX(Settings!$B$29:$B$40,MONTH(A7388)),INDEX(Settings!$B$29:$B$40,MONTH(A7388)))))</f>
        <v/>
      </c>
    </row>
    <row r="7389" customFormat="false" ht="15" hidden="false" customHeight="false" outlineLevel="0" collapsed="false">
      <c r="H7389" s="0" t="str">
        <f aca="false">IF(B7389="","",IF(COUNTIF(Campaigns!$A$7:$A$300,B7389)&gt;0,"✓","⚠ add to Campaigns tab"))</f>
        <v/>
      </c>
      <c r="I7389" s="84" t="str">
        <f aca="false">IF(C7389="","",C7389*IF(Settings!$B$23=Settings!$C$6,1,IF(Settings!$B$23="USD",1/INDEX(Settings!$B$29:$B$40,MONTH(A7389)),INDEX(Settings!$B$29:$B$40,MONTH(A7389)))))</f>
        <v/>
      </c>
    </row>
    <row r="7390" customFormat="false" ht="15" hidden="false" customHeight="false" outlineLevel="0" collapsed="false">
      <c r="H7390" s="0" t="str">
        <f aca="false">IF(B7390="","",IF(COUNTIF(Campaigns!$A$7:$A$300,B7390)&gt;0,"✓","⚠ add to Campaigns tab"))</f>
        <v/>
      </c>
      <c r="I7390" s="84" t="str">
        <f aca="false">IF(C7390="","",C7390*IF(Settings!$B$23=Settings!$C$6,1,IF(Settings!$B$23="USD",1/INDEX(Settings!$B$29:$B$40,MONTH(A7390)),INDEX(Settings!$B$29:$B$40,MONTH(A7390)))))</f>
        <v/>
      </c>
    </row>
    <row r="7391" customFormat="false" ht="15" hidden="false" customHeight="false" outlineLevel="0" collapsed="false">
      <c r="H7391" s="0" t="str">
        <f aca="false">IF(B7391="","",IF(COUNTIF(Campaigns!$A$7:$A$300,B7391)&gt;0,"✓","⚠ add to Campaigns tab"))</f>
        <v/>
      </c>
      <c r="I7391" s="84" t="str">
        <f aca="false">IF(C7391="","",C7391*IF(Settings!$B$23=Settings!$C$6,1,IF(Settings!$B$23="USD",1/INDEX(Settings!$B$29:$B$40,MONTH(A7391)),INDEX(Settings!$B$29:$B$40,MONTH(A7391)))))</f>
        <v/>
      </c>
    </row>
    <row r="7392" customFormat="false" ht="15" hidden="false" customHeight="false" outlineLevel="0" collapsed="false">
      <c r="H7392" s="0" t="str">
        <f aca="false">IF(B7392="","",IF(COUNTIF(Campaigns!$A$7:$A$300,B7392)&gt;0,"✓","⚠ add to Campaigns tab"))</f>
        <v/>
      </c>
      <c r="I7392" s="84" t="str">
        <f aca="false">IF(C7392="","",C7392*IF(Settings!$B$23=Settings!$C$6,1,IF(Settings!$B$23="USD",1/INDEX(Settings!$B$29:$B$40,MONTH(A7392)),INDEX(Settings!$B$29:$B$40,MONTH(A7392)))))</f>
        <v/>
      </c>
    </row>
    <row r="7393" customFormat="false" ht="15" hidden="false" customHeight="false" outlineLevel="0" collapsed="false">
      <c r="H7393" s="0" t="str">
        <f aca="false">IF(B7393="","",IF(COUNTIF(Campaigns!$A$7:$A$300,B7393)&gt;0,"✓","⚠ add to Campaigns tab"))</f>
        <v/>
      </c>
      <c r="I7393" s="84" t="str">
        <f aca="false">IF(C7393="","",C7393*IF(Settings!$B$23=Settings!$C$6,1,IF(Settings!$B$23="USD",1/INDEX(Settings!$B$29:$B$40,MONTH(A7393)),INDEX(Settings!$B$29:$B$40,MONTH(A7393)))))</f>
        <v/>
      </c>
    </row>
    <row r="7394" customFormat="false" ht="15" hidden="false" customHeight="false" outlineLevel="0" collapsed="false">
      <c r="H7394" s="0" t="str">
        <f aca="false">IF(B7394="","",IF(COUNTIF(Campaigns!$A$7:$A$300,B7394)&gt;0,"✓","⚠ add to Campaigns tab"))</f>
        <v/>
      </c>
      <c r="I7394" s="84" t="str">
        <f aca="false">IF(C7394="","",C7394*IF(Settings!$B$23=Settings!$C$6,1,IF(Settings!$B$23="USD",1/INDEX(Settings!$B$29:$B$40,MONTH(A7394)),INDEX(Settings!$B$29:$B$40,MONTH(A7394)))))</f>
        <v/>
      </c>
    </row>
    <row r="7395" customFormat="false" ht="15" hidden="false" customHeight="false" outlineLevel="0" collapsed="false">
      <c r="H7395" s="0" t="str">
        <f aca="false">IF(B7395="","",IF(COUNTIF(Campaigns!$A$7:$A$300,B7395)&gt;0,"✓","⚠ add to Campaigns tab"))</f>
        <v/>
      </c>
      <c r="I7395" s="84" t="str">
        <f aca="false">IF(C7395="","",C7395*IF(Settings!$B$23=Settings!$C$6,1,IF(Settings!$B$23="USD",1/INDEX(Settings!$B$29:$B$40,MONTH(A7395)),INDEX(Settings!$B$29:$B$40,MONTH(A7395)))))</f>
        <v/>
      </c>
    </row>
    <row r="7396" customFormat="false" ht="15" hidden="false" customHeight="false" outlineLevel="0" collapsed="false">
      <c r="H7396" s="0" t="str">
        <f aca="false">IF(B7396="","",IF(COUNTIF(Campaigns!$A$7:$A$300,B7396)&gt;0,"✓","⚠ add to Campaigns tab"))</f>
        <v/>
      </c>
      <c r="I7396" s="84" t="str">
        <f aca="false">IF(C7396="","",C7396*IF(Settings!$B$23=Settings!$C$6,1,IF(Settings!$B$23="USD",1/INDEX(Settings!$B$29:$B$40,MONTH(A7396)),INDEX(Settings!$B$29:$B$40,MONTH(A7396)))))</f>
        <v/>
      </c>
    </row>
    <row r="7397" customFormat="false" ht="15" hidden="false" customHeight="false" outlineLevel="0" collapsed="false">
      <c r="H7397" s="0" t="str">
        <f aca="false">IF(B7397="","",IF(COUNTIF(Campaigns!$A$7:$A$300,B7397)&gt;0,"✓","⚠ add to Campaigns tab"))</f>
        <v/>
      </c>
      <c r="I7397" s="84" t="str">
        <f aca="false">IF(C7397="","",C7397*IF(Settings!$B$23=Settings!$C$6,1,IF(Settings!$B$23="USD",1/INDEX(Settings!$B$29:$B$40,MONTH(A7397)),INDEX(Settings!$B$29:$B$40,MONTH(A7397)))))</f>
        <v/>
      </c>
    </row>
    <row r="7398" customFormat="false" ht="15" hidden="false" customHeight="false" outlineLevel="0" collapsed="false">
      <c r="H7398" s="0" t="str">
        <f aca="false">IF(B7398="","",IF(COUNTIF(Campaigns!$A$7:$A$300,B7398)&gt;0,"✓","⚠ add to Campaigns tab"))</f>
        <v/>
      </c>
      <c r="I7398" s="84" t="str">
        <f aca="false">IF(C7398="","",C7398*IF(Settings!$B$23=Settings!$C$6,1,IF(Settings!$B$23="USD",1/INDEX(Settings!$B$29:$B$40,MONTH(A7398)),INDEX(Settings!$B$29:$B$40,MONTH(A7398)))))</f>
        <v/>
      </c>
    </row>
    <row r="7399" customFormat="false" ht="15" hidden="false" customHeight="false" outlineLevel="0" collapsed="false">
      <c r="H7399" s="0" t="str">
        <f aca="false">IF(B7399="","",IF(COUNTIF(Campaigns!$A$7:$A$300,B7399)&gt;0,"✓","⚠ add to Campaigns tab"))</f>
        <v/>
      </c>
      <c r="I7399" s="84" t="str">
        <f aca="false">IF(C7399="","",C7399*IF(Settings!$B$23=Settings!$C$6,1,IF(Settings!$B$23="USD",1/INDEX(Settings!$B$29:$B$40,MONTH(A7399)),INDEX(Settings!$B$29:$B$40,MONTH(A7399)))))</f>
        <v/>
      </c>
    </row>
    <row r="7400" customFormat="false" ht="15" hidden="false" customHeight="false" outlineLevel="0" collapsed="false">
      <c r="H7400" s="0" t="str">
        <f aca="false">IF(B7400="","",IF(COUNTIF(Campaigns!$A$7:$A$300,B7400)&gt;0,"✓","⚠ add to Campaigns tab"))</f>
        <v/>
      </c>
      <c r="I7400" s="84" t="str">
        <f aca="false">IF(C7400="","",C7400*IF(Settings!$B$23=Settings!$C$6,1,IF(Settings!$B$23="USD",1/INDEX(Settings!$B$29:$B$40,MONTH(A7400)),INDEX(Settings!$B$29:$B$40,MONTH(A7400)))))</f>
        <v/>
      </c>
    </row>
    <row r="7401" customFormat="false" ht="15" hidden="false" customHeight="false" outlineLevel="0" collapsed="false">
      <c r="H7401" s="0" t="str">
        <f aca="false">IF(B7401="","",IF(COUNTIF(Campaigns!$A$7:$A$300,B7401)&gt;0,"✓","⚠ add to Campaigns tab"))</f>
        <v/>
      </c>
      <c r="I7401" s="84" t="str">
        <f aca="false">IF(C7401="","",C7401*IF(Settings!$B$23=Settings!$C$6,1,IF(Settings!$B$23="USD",1/INDEX(Settings!$B$29:$B$40,MONTH(A7401)),INDEX(Settings!$B$29:$B$40,MONTH(A7401)))))</f>
        <v/>
      </c>
    </row>
    <row r="7402" customFormat="false" ht="15" hidden="false" customHeight="false" outlineLevel="0" collapsed="false">
      <c r="H7402" s="0" t="str">
        <f aca="false">IF(B7402="","",IF(COUNTIF(Campaigns!$A$7:$A$300,B7402)&gt;0,"✓","⚠ add to Campaigns tab"))</f>
        <v/>
      </c>
      <c r="I7402" s="84" t="str">
        <f aca="false">IF(C7402="","",C7402*IF(Settings!$B$23=Settings!$C$6,1,IF(Settings!$B$23="USD",1/INDEX(Settings!$B$29:$B$40,MONTH(A7402)),INDEX(Settings!$B$29:$B$40,MONTH(A7402)))))</f>
        <v/>
      </c>
    </row>
    <row r="7403" customFormat="false" ht="15" hidden="false" customHeight="false" outlineLevel="0" collapsed="false">
      <c r="H7403" s="0" t="str">
        <f aca="false">IF(B7403="","",IF(COUNTIF(Campaigns!$A$7:$A$300,B7403)&gt;0,"✓","⚠ add to Campaigns tab"))</f>
        <v/>
      </c>
      <c r="I7403" s="84" t="str">
        <f aca="false">IF(C7403="","",C7403*IF(Settings!$B$23=Settings!$C$6,1,IF(Settings!$B$23="USD",1/INDEX(Settings!$B$29:$B$40,MONTH(A7403)),INDEX(Settings!$B$29:$B$40,MONTH(A7403)))))</f>
        <v/>
      </c>
    </row>
    <row r="7404" customFormat="false" ht="15" hidden="false" customHeight="false" outlineLevel="0" collapsed="false">
      <c r="H7404" s="0" t="str">
        <f aca="false">IF(B7404="","",IF(COUNTIF(Campaigns!$A$7:$A$300,B7404)&gt;0,"✓","⚠ add to Campaigns tab"))</f>
        <v/>
      </c>
      <c r="I7404" s="84" t="str">
        <f aca="false">IF(C7404="","",C7404*IF(Settings!$B$23=Settings!$C$6,1,IF(Settings!$B$23="USD",1/INDEX(Settings!$B$29:$B$40,MONTH(A7404)),INDEX(Settings!$B$29:$B$40,MONTH(A7404)))))</f>
        <v/>
      </c>
    </row>
    <row r="7405" customFormat="false" ht="15" hidden="false" customHeight="false" outlineLevel="0" collapsed="false">
      <c r="H7405" s="0" t="str">
        <f aca="false">IF(B7405="","",IF(COUNTIF(Campaigns!$A$7:$A$300,B7405)&gt;0,"✓","⚠ add to Campaigns tab"))</f>
        <v/>
      </c>
      <c r="I7405" s="84" t="str">
        <f aca="false">IF(C7405="","",C7405*IF(Settings!$B$23=Settings!$C$6,1,IF(Settings!$B$23="USD",1/INDEX(Settings!$B$29:$B$40,MONTH(A7405)),INDEX(Settings!$B$29:$B$40,MONTH(A7405)))))</f>
        <v/>
      </c>
    </row>
    <row r="7406" customFormat="false" ht="15" hidden="false" customHeight="false" outlineLevel="0" collapsed="false">
      <c r="H7406" s="0" t="str">
        <f aca="false">IF(B7406="","",IF(COUNTIF(Campaigns!$A$7:$A$300,B7406)&gt;0,"✓","⚠ add to Campaigns tab"))</f>
        <v/>
      </c>
      <c r="I7406" s="84" t="str">
        <f aca="false">IF(C7406="","",C7406*IF(Settings!$B$23=Settings!$C$6,1,IF(Settings!$B$23="USD",1/INDEX(Settings!$B$29:$B$40,MONTH(A7406)),INDEX(Settings!$B$29:$B$40,MONTH(A7406)))))</f>
        <v/>
      </c>
    </row>
    <row r="7407" customFormat="false" ht="15" hidden="false" customHeight="false" outlineLevel="0" collapsed="false">
      <c r="H7407" s="0" t="str">
        <f aca="false">IF(B7407="","",IF(COUNTIF(Campaigns!$A$7:$A$300,B7407)&gt;0,"✓","⚠ add to Campaigns tab"))</f>
        <v/>
      </c>
      <c r="I7407" s="84" t="str">
        <f aca="false">IF(C7407="","",C7407*IF(Settings!$B$23=Settings!$C$6,1,IF(Settings!$B$23="USD",1/INDEX(Settings!$B$29:$B$40,MONTH(A7407)),INDEX(Settings!$B$29:$B$40,MONTH(A7407)))))</f>
        <v/>
      </c>
    </row>
    <row r="7408" customFormat="false" ht="15" hidden="false" customHeight="false" outlineLevel="0" collapsed="false">
      <c r="H7408" s="0" t="str">
        <f aca="false">IF(B7408="","",IF(COUNTIF(Campaigns!$A$7:$A$300,B7408)&gt;0,"✓","⚠ add to Campaigns tab"))</f>
        <v/>
      </c>
      <c r="I7408" s="84" t="str">
        <f aca="false">IF(C7408="","",C7408*IF(Settings!$B$23=Settings!$C$6,1,IF(Settings!$B$23="USD",1/INDEX(Settings!$B$29:$B$40,MONTH(A7408)),INDEX(Settings!$B$29:$B$40,MONTH(A7408)))))</f>
        <v/>
      </c>
    </row>
    <row r="7409" customFormat="false" ht="15" hidden="false" customHeight="false" outlineLevel="0" collapsed="false">
      <c r="H7409" s="0" t="str">
        <f aca="false">IF(B7409="","",IF(COUNTIF(Campaigns!$A$7:$A$300,B7409)&gt;0,"✓","⚠ add to Campaigns tab"))</f>
        <v/>
      </c>
      <c r="I7409" s="84" t="str">
        <f aca="false">IF(C7409="","",C7409*IF(Settings!$B$23=Settings!$C$6,1,IF(Settings!$B$23="USD",1/INDEX(Settings!$B$29:$B$40,MONTH(A7409)),INDEX(Settings!$B$29:$B$40,MONTH(A7409)))))</f>
        <v/>
      </c>
    </row>
    <row r="7410" customFormat="false" ht="15" hidden="false" customHeight="false" outlineLevel="0" collapsed="false">
      <c r="H7410" s="0" t="str">
        <f aca="false">IF(B7410="","",IF(COUNTIF(Campaigns!$A$7:$A$300,B7410)&gt;0,"✓","⚠ add to Campaigns tab"))</f>
        <v/>
      </c>
      <c r="I7410" s="84" t="str">
        <f aca="false">IF(C7410="","",C7410*IF(Settings!$B$23=Settings!$C$6,1,IF(Settings!$B$23="USD",1/INDEX(Settings!$B$29:$B$40,MONTH(A7410)),INDEX(Settings!$B$29:$B$40,MONTH(A7410)))))</f>
        <v/>
      </c>
    </row>
    <row r="7411" customFormat="false" ht="15" hidden="false" customHeight="false" outlineLevel="0" collapsed="false">
      <c r="H7411" s="0" t="str">
        <f aca="false">IF(B7411="","",IF(COUNTIF(Campaigns!$A$7:$A$300,B7411)&gt;0,"✓","⚠ add to Campaigns tab"))</f>
        <v/>
      </c>
      <c r="I7411" s="84" t="str">
        <f aca="false">IF(C7411="","",C7411*IF(Settings!$B$23=Settings!$C$6,1,IF(Settings!$B$23="USD",1/INDEX(Settings!$B$29:$B$40,MONTH(A7411)),INDEX(Settings!$B$29:$B$40,MONTH(A7411)))))</f>
        <v/>
      </c>
    </row>
    <row r="7412" customFormat="false" ht="15" hidden="false" customHeight="false" outlineLevel="0" collapsed="false">
      <c r="H7412" s="0" t="str">
        <f aca="false">IF(B7412="","",IF(COUNTIF(Campaigns!$A$7:$A$300,B7412)&gt;0,"✓","⚠ add to Campaigns tab"))</f>
        <v/>
      </c>
      <c r="I7412" s="84" t="str">
        <f aca="false">IF(C7412="","",C7412*IF(Settings!$B$23=Settings!$C$6,1,IF(Settings!$B$23="USD",1/INDEX(Settings!$B$29:$B$40,MONTH(A7412)),INDEX(Settings!$B$29:$B$40,MONTH(A7412)))))</f>
        <v/>
      </c>
    </row>
    <row r="7413" customFormat="false" ht="15" hidden="false" customHeight="false" outlineLevel="0" collapsed="false">
      <c r="H7413" s="0" t="str">
        <f aca="false">IF(B7413="","",IF(COUNTIF(Campaigns!$A$7:$A$300,B7413)&gt;0,"✓","⚠ add to Campaigns tab"))</f>
        <v/>
      </c>
      <c r="I7413" s="84" t="str">
        <f aca="false">IF(C7413="","",C7413*IF(Settings!$B$23=Settings!$C$6,1,IF(Settings!$B$23="USD",1/INDEX(Settings!$B$29:$B$40,MONTH(A7413)),INDEX(Settings!$B$29:$B$40,MONTH(A7413)))))</f>
        <v/>
      </c>
    </row>
    <row r="7414" customFormat="false" ht="15" hidden="false" customHeight="false" outlineLevel="0" collapsed="false">
      <c r="H7414" s="0" t="str">
        <f aca="false">IF(B7414="","",IF(COUNTIF(Campaigns!$A$7:$A$300,B7414)&gt;0,"✓","⚠ add to Campaigns tab"))</f>
        <v/>
      </c>
      <c r="I7414" s="84" t="str">
        <f aca="false">IF(C7414="","",C7414*IF(Settings!$B$23=Settings!$C$6,1,IF(Settings!$B$23="USD",1/INDEX(Settings!$B$29:$B$40,MONTH(A7414)),INDEX(Settings!$B$29:$B$40,MONTH(A7414)))))</f>
        <v/>
      </c>
    </row>
    <row r="7415" customFormat="false" ht="15" hidden="false" customHeight="false" outlineLevel="0" collapsed="false">
      <c r="H7415" s="0" t="str">
        <f aca="false">IF(B7415="","",IF(COUNTIF(Campaigns!$A$7:$A$300,B7415)&gt;0,"✓","⚠ add to Campaigns tab"))</f>
        <v/>
      </c>
      <c r="I7415" s="84" t="str">
        <f aca="false">IF(C7415="","",C7415*IF(Settings!$B$23=Settings!$C$6,1,IF(Settings!$B$23="USD",1/INDEX(Settings!$B$29:$B$40,MONTH(A7415)),INDEX(Settings!$B$29:$B$40,MONTH(A7415)))))</f>
        <v/>
      </c>
    </row>
    <row r="7416" customFormat="false" ht="15" hidden="false" customHeight="false" outlineLevel="0" collapsed="false">
      <c r="H7416" s="0" t="str">
        <f aca="false">IF(B7416="","",IF(COUNTIF(Campaigns!$A$7:$A$300,B7416)&gt;0,"✓","⚠ add to Campaigns tab"))</f>
        <v/>
      </c>
      <c r="I7416" s="84" t="str">
        <f aca="false">IF(C7416="","",C7416*IF(Settings!$B$23=Settings!$C$6,1,IF(Settings!$B$23="USD",1/INDEX(Settings!$B$29:$B$40,MONTH(A7416)),INDEX(Settings!$B$29:$B$40,MONTH(A7416)))))</f>
        <v/>
      </c>
    </row>
    <row r="7417" customFormat="false" ht="15" hidden="false" customHeight="false" outlineLevel="0" collapsed="false">
      <c r="H7417" s="0" t="str">
        <f aca="false">IF(B7417="","",IF(COUNTIF(Campaigns!$A$7:$A$300,B7417)&gt;0,"✓","⚠ add to Campaigns tab"))</f>
        <v/>
      </c>
      <c r="I7417" s="84" t="str">
        <f aca="false">IF(C7417="","",C7417*IF(Settings!$B$23=Settings!$C$6,1,IF(Settings!$B$23="USD",1/INDEX(Settings!$B$29:$B$40,MONTH(A7417)),INDEX(Settings!$B$29:$B$40,MONTH(A7417)))))</f>
        <v/>
      </c>
    </row>
    <row r="7418" customFormat="false" ht="15" hidden="false" customHeight="false" outlineLevel="0" collapsed="false">
      <c r="H7418" s="0" t="str">
        <f aca="false">IF(B7418="","",IF(COUNTIF(Campaigns!$A$7:$A$300,B7418)&gt;0,"✓","⚠ add to Campaigns tab"))</f>
        <v/>
      </c>
      <c r="I7418" s="84" t="str">
        <f aca="false">IF(C7418="","",C7418*IF(Settings!$B$23=Settings!$C$6,1,IF(Settings!$B$23="USD",1/INDEX(Settings!$B$29:$B$40,MONTH(A7418)),INDEX(Settings!$B$29:$B$40,MONTH(A7418)))))</f>
        <v/>
      </c>
    </row>
    <row r="7419" customFormat="false" ht="15" hidden="false" customHeight="false" outlineLevel="0" collapsed="false">
      <c r="H7419" s="0" t="str">
        <f aca="false">IF(B7419="","",IF(COUNTIF(Campaigns!$A$7:$A$300,B7419)&gt;0,"✓","⚠ add to Campaigns tab"))</f>
        <v/>
      </c>
      <c r="I7419" s="84" t="str">
        <f aca="false">IF(C7419="","",C7419*IF(Settings!$B$23=Settings!$C$6,1,IF(Settings!$B$23="USD",1/INDEX(Settings!$B$29:$B$40,MONTH(A7419)),INDEX(Settings!$B$29:$B$40,MONTH(A7419)))))</f>
        <v/>
      </c>
    </row>
    <row r="7420" customFormat="false" ht="15" hidden="false" customHeight="false" outlineLevel="0" collapsed="false">
      <c r="H7420" s="0" t="str">
        <f aca="false">IF(B7420="","",IF(COUNTIF(Campaigns!$A$7:$A$300,B7420)&gt;0,"✓","⚠ add to Campaigns tab"))</f>
        <v/>
      </c>
      <c r="I7420" s="84" t="str">
        <f aca="false">IF(C7420="","",C7420*IF(Settings!$B$23=Settings!$C$6,1,IF(Settings!$B$23="USD",1/INDEX(Settings!$B$29:$B$40,MONTH(A7420)),INDEX(Settings!$B$29:$B$40,MONTH(A7420)))))</f>
        <v/>
      </c>
    </row>
    <row r="7421" customFormat="false" ht="15" hidden="false" customHeight="false" outlineLevel="0" collapsed="false">
      <c r="H7421" s="0" t="str">
        <f aca="false">IF(B7421="","",IF(COUNTIF(Campaigns!$A$7:$A$300,B7421)&gt;0,"✓","⚠ add to Campaigns tab"))</f>
        <v/>
      </c>
      <c r="I7421" s="84" t="str">
        <f aca="false">IF(C7421="","",C7421*IF(Settings!$B$23=Settings!$C$6,1,IF(Settings!$B$23="USD",1/INDEX(Settings!$B$29:$B$40,MONTH(A7421)),INDEX(Settings!$B$29:$B$40,MONTH(A7421)))))</f>
        <v/>
      </c>
    </row>
    <row r="7422" customFormat="false" ht="15" hidden="false" customHeight="false" outlineLevel="0" collapsed="false">
      <c r="H7422" s="0" t="str">
        <f aca="false">IF(B7422="","",IF(COUNTIF(Campaigns!$A$7:$A$300,B7422)&gt;0,"✓","⚠ add to Campaigns tab"))</f>
        <v/>
      </c>
      <c r="I7422" s="84" t="str">
        <f aca="false">IF(C7422="","",C7422*IF(Settings!$B$23=Settings!$C$6,1,IF(Settings!$B$23="USD",1/INDEX(Settings!$B$29:$B$40,MONTH(A7422)),INDEX(Settings!$B$29:$B$40,MONTH(A7422)))))</f>
        <v/>
      </c>
    </row>
    <row r="7423" customFormat="false" ht="15" hidden="false" customHeight="false" outlineLevel="0" collapsed="false">
      <c r="H7423" s="0" t="str">
        <f aca="false">IF(B7423="","",IF(COUNTIF(Campaigns!$A$7:$A$300,B7423)&gt;0,"✓","⚠ add to Campaigns tab"))</f>
        <v/>
      </c>
      <c r="I7423" s="84" t="str">
        <f aca="false">IF(C7423="","",C7423*IF(Settings!$B$23=Settings!$C$6,1,IF(Settings!$B$23="USD",1/INDEX(Settings!$B$29:$B$40,MONTH(A7423)),INDEX(Settings!$B$29:$B$40,MONTH(A7423)))))</f>
        <v/>
      </c>
    </row>
    <row r="7424" customFormat="false" ht="15" hidden="false" customHeight="false" outlineLevel="0" collapsed="false">
      <c r="H7424" s="0" t="str">
        <f aca="false">IF(B7424="","",IF(COUNTIF(Campaigns!$A$7:$A$300,B7424)&gt;0,"✓","⚠ add to Campaigns tab"))</f>
        <v/>
      </c>
      <c r="I7424" s="84" t="str">
        <f aca="false">IF(C7424="","",C7424*IF(Settings!$B$23=Settings!$C$6,1,IF(Settings!$B$23="USD",1/INDEX(Settings!$B$29:$B$40,MONTH(A7424)),INDEX(Settings!$B$29:$B$40,MONTH(A7424)))))</f>
        <v/>
      </c>
    </row>
    <row r="7425" customFormat="false" ht="15" hidden="false" customHeight="false" outlineLevel="0" collapsed="false">
      <c r="H7425" s="0" t="str">
        <f aca="false">IF(B7425="","",IF(COUNTIF(Campaigns!$A$7:$A$300,B7425)&gt;0,"✓","⚠ add to Campaigns tab"))</f>
        <v/>
      </c>
      <c r="I7425" s="84" t="str">
        <f aca="false">IF(C7425="","",C7425*IF(Settings!$B$23=Settings!$C$6,1,IF(Settings!$B$23="USD",1/INDEX(Settings!$B$29:$B$40,MONTH(A7425)),INDEX(Settings!$B$29:$B$40,MONTH(A7425)))))</f>
        <v/>
      </c>
    </row>
    <row r="7426" customFormat="false" ht="15" hidden="false" customHeight="false" outlineLevel="0" collapsed="false">
      <c r="H7426" s="0" t="str">
        <f aca="false">IF(B7426="","",IF(COUNTIF(Campaigns!$A$7:$A$300,B7426)&gt;0,"✓","⚠ add to Campaigns tab"))</f>
        <v/>
      </c>
      <c r="I7426" s="84" t="str">
        <f aca="false">IF(C7426="","",C7426*IF(Settings!$B$23=Settings!$C$6,1,IF(Settings!$B$23="USD",1/INDEX(Settings!$B$29:$B$40,MONTH(A7426)),INDEX(Settings!$B$29:$B$40,MONTH(A7426)))))</f>
        <v/>
      </c>
    </row>
    <row r="7427" customFormat="false" ht="15" hidden="false" customHeight="false" outlineLevel="0" collapsed="false">
      <c r="H7427" s="0" t="str">
        <f aca="false">IF(B7427="","",IF(COUNTIF(Campaigns!$A$7:$A$300,B7427)&gt;0,"✓","⚠ add to Campaigns tab"))</f>
        <v/>
      </c>
      <c r="I7427" s="84" t="str">
        <f aca="false">IF(C7427="","",C7427*IF(Settings!$B$23=Settings!$C$6,1,IF(Settings!$B$23="USD",1/INDEX(Settings!$B$29:$B$40,MONTH(A7427)),INDEX(Settings!$B$29:$B$40,MONTH(A7427)))))</f>
        <v/>
      </c>
    </row>
    <row r="7428" customFormat="false" ht="15" hidden="false" customHeight="false" outlineLevel="0" collapsed="false">
      <c r="H7428" s="0" t="str">
        <f aca="false">IF(B7428="","",IF(COUNTIF(Campaigns!$A$7:$A$300,B7428)&gt;0,"✓","⚠ add to Campaigns tab"))</f>
        <v/>
      </c>
      <c r="I7428" s="84" t="str">
        <f aca="false">IF(C7428="","",C7428*IF(Settings!$B$23=Settings!$C$6,1,IF(Settings!$B$23="USD",1/INDEX(Settings!$B$29:$B$40,MONTH(A7428)),INDEX(Settings!$B$29:$B$40,MONTH(A7428)))))</f>
        <v/>
      </c>
    </row>
    <row r="7429" customFormat="false" ht="15" hidden="false" customHeight="false" outlineLevel="0" collapsed="false">
      <c r="H7429" s="0" t="str">
        <f aca="false">IF(B7429="","",IF(COUNTIF(Campaigns!$A$7:$A$300,B7429)&gt;0,"✓","⚠ add to Campaigns tab"))</f>
        <v/>
      </c>
      <c r="I7429" s="84" t="str">
        <f aca="false">IF(C7429="","",C7429*IF(Settings!$B$23=Settings!$C$6,1,IF(Settings!$B$23="USD",1/INDEX(Settings!$B$29:$B$40,MONTH(A7429)),INDEX(Settings!$B$29:$B$40,MONTH(A7429)))))</f>
        <v/>
      </c>
    </row>
    <row r="7430" customFormat="false" ht="15" hidden="false" customHeight="false" outlineLevel="0" collapsed="false">
      <c r="H7430" s="0" t="str">
        <f aca="false">IF(B7430="","",IF(COUNTIF(Campaigns!$A$7:$A$300,B7430)&gt;0,"✓","⚠ add to Campaigns tab"))</f>
        <v/>
      </c>
      <c r="I7430" s="84" t="str">
        <f aca="false">IF(C7430="","",C7430*IF(Settings!$B$23=Settings!$C$6,1,IF(Settings!$B$23="USD",1/INDEX(Settings!$B$29:$B$40,MONTH(A7430)),INDEX(Settings!$B$29:$B$40,MONTH(A7430)))))</f>
        <v/>
      </c>
    </row>
    <row r="7431" customFormat="false" ht="15" hidden="false" customHeight="false" outlineLevel="0" collapsed="false">
      <c r="H7431" s="0" t="str">
        <f aca="false">IF(B7431="","",IF(COUNTIF(Campaigns!$A$7:$A$300,B7431)&gt;0,"✓","⚠ add to Campaigns tab"))</f>
        <v/>
      </c>
      <c r="I7431" s="84" t="str">
        <f aca="false">IF(C7431="","",C7431*IF(Settings!$B$23=Settings!$C$6,1,IF(Settings!$B$23="USD",1/INDEX(Settings!$B$29:$B$40,MONTH(A7431)),INDEX(Settings!$B$29:$B$40,MONTH(A7431)))))</f>
        <v/>
      </c>
    </row>
    <row r="7432" customFormat="false" ht="15" hidden="false" customHeight="false" outlineLevel="0" collapsed="false">
      <c r="H7432" s="0" t="str">
        <f aca="false">IF(B7432="","",IF(COUNTIF(Campaigns!$A$7:$A$300,B7432)&gt;0,"✓","⚠ add to Campaigns tab"))</f>
        <v/>
      </c>
      <c r="I7432" s="84" t="str">
        <f aca="false">IF(C7432="","",C7432*IF(Settings!$B$23=Settings!$C$6,1,IF(Settings!$B$23="USD",1/INDEX(Settings!$B$29:$B$40,MONTH(A7432)),INDEX(Settings!$B$29:$B$40,MONTH(A7432)))))</f>
        <v/>
      </c>
    </row>
    <row r="7433" customFormat="false" ht="15" hidden="false" customHeight="false" outlineLevel="0" collapsed="false">
      <c r="H7433" s="0" t="str">
        <f aca="false">IF(B7433="","",IF(COUNTIF(Campaigns!$A$7:$A$300,B7433)&gt;0,"✓","⚠ add to Campaigns tab"))</f>
        <v/>
      </c>
      <c r="I7433" s="84" t="str">
        <f aca="false">IF(C7433="","",C7433*IF(Settings!$B$23=Settings!$C$6,1,IF(Settings!$B$23="USD",1/INDEX(Settings!$B$29:$B$40,MONTH(A7433)),INDEX(Settings!$B$29:$B$40,MONTH(A7433)))))</f>
        <v/>
      </c>
    </row>
    <row r="7434" customFormat="false" ht="15" hidden="false" customHeight="false" outlineLevel="0" collapsed="false">
      <c r="H7434" s="0" t="str">
        <f aca="false">IF(B7434="","",IF(COUNTIF(Campaigns!$A$7:$A$300,B7434)&gt;0,"✓","⚠ add to Campaigns tab"))</f>
        <v/>
      </c>
      <c r="I7434" s="84" t="str">
        <f aca="false">IF(C7434="","",C7434*IF(Settings!$B$23=Settings!$C$6,1,IF(Settings!$B$23="USD",1/INDEX(Settings!$B$29:$B$40,MONTH(A7434)),INDEX(Settings!$B$29:$B$40,MONTH(A7434)))))</f>
        <v/>
      </c>
    </row>
    <row r="7435" customFormat="false" ht="15" hidden="false" customHeight="false" outlineLevel="0" collapsed="false">
      <c r="H7435" s="0" t="str">
        <f aca="false">IF(B7435="","",IF(COUNTIF(Campaigns!$A$7:$A$300,B7435)&gt;0,"✓","⚠ add to Campaigns tab"))</f>
        <v/>
      </c>
      <c r="I7435" s="84" t="str">
        <f aca="false">IF(C7435="","",C7435*IF(Settings!$B$23=Settings!$C$6,1,IF(Settings!$B$23="USD",1/INDEX(Settings!$B$29:$B$40,MONTH(A7435)),INDEX(Settings!$B$29:$B$40,MONTH(A7435)))))</f>
        <v/>
      </c>
    </row>
    <row r="7436" customFormat="false" ht="15" hidden="false" customHeight="false" outlineLevel="0" collapsed="false">
      <c r="H7436" s="0" t="str">
        <f aca="false">IF(B7436="","",IF(COUNTIF(Campaigns!$A$7:$A$300,B7436)&gt;0,"✓","⚠ add to Campaigns tab"))</f>
        <v/>
      </c>
      <c r="I7436" s="84" t="str">
        <f aca="false">IF(C7436="","",C7436*IF(Settings!$B$23=Settings!$C$6,1,IF(Settings!$B$23="USD",1/INDEX(Settings!$B$29:$B$40,MONTH(A7436)),INDEX(Settings!$B$29:$B$40,MONTH(A7436)))))</f>
        <v/>
      </c>
    </row>
    <row r="7437" customFormat="false" ht="15" hidden="false" customHeight="false" outlineLevel="0" collapsed="false">
      <c r="H7437" s="0" t="str">
        <f aca="false">IF(B7437="","",IF(COUNTIF(Campaigns!$A$7:$A$300,B7437)&gt;0,"✓","⚠ add to Campaigns tab"))</f>
        <v/>
      </c>
      <c r="I7437" s="84" t="str">
        <f aca="false">IF(C7437="","",C7437*IF(Settings!$B$23=Settings!$C$6,1,IF(Settings!$B$23="USD",1/INDEX(Settings!$B$29:$B$40,MONTH(A7437)),INDEX(Settings!$B$29:$B$40,MONTH(A7437)))))</f>
        <v/>
      </c>
    </row>
    <row r="7438" customFormat="false" ht="15" hidden="false" customHeight="false" outlineLevel="0" collapsed="false">
      <c r="H7438" s="0" t="str">
        <f aca="false">IF(B7438="","",IF(COUNTIF(Campaigns!$A$7:$A$300,B7438)&gt;0,"✓","⚠ add to Campaigns tab"))</f>
        <v/>
      </c>
      <c r="I7438" s="84" t="str">
        <f aca="false">IF(C7438="","",C7438*IF(Settings!$B$23=Settings!$C$6,1,IF(Settings!$B$23="USD",1/INDEX(Settings!$B$29:$B$40,MONTH(A7438)),INDEX(Settings!$B$29:$B$40,MONTH(A7438)))))</f>
        <v/>
      </c>
    </row>
    <row r="7439" customFormat="false" ht="15" hidden="false" customHeight="false" outlineLevel="0" collapsed="false">
      <c r="H7439" s="0" t="str">
        <f aca="false">IF(B7439="","",IF(COUNTIF(Campaigns!$A$7:$A$300,B7439)&gt;0,"✓","⚠ add to Campaigns tab"))</f>
        <v/>
      </c>
      <c r="I7439" s="84" t="str">
        <f aca="false">IF(C7439="","",C7439*IF(Settings!$B$23=Settings!$C$6,1,IF(Settings!$B$23="USD",1/INDEX(Settings!$B$29:$B$40,MONTH(A7439)),INDEX(Settings!$B$29:$B$40,MONTH(A7439)))))</f>
        <v/>
      </c>
    </row>
    <row r="7440" customFormat="false" ht="15" hidden="false" customHeight="false" outlineLevel="0" collapsed="false">
      <c r="H7440" s="0" t="str">
        <f aca="false">IF(B7440="","",IF(COUNTIF(Campaigns!$A$7:$A$300,B7440)&gt;0,"✓","⚠ add to Campaigns tab"))</f>
        <v/>
      </c>
      <c r="I7440" s="84" t="str">
        <f aca="false">IF(C7440="","",C7440*IF(Settings!$B$23=Settings!$C$6,1,IF(Settings!$B$23="USD",1/INDEX(Settings!$B$29:$B$40,MONTH(A7440)),INDEX(Settings!$B$29:$B$40,MONTH(A7440)))))</f>
        <v/>
      </c>
    </row>
    <row r="7441" customFormat="false" ht="15" hidden="false" customHeight="false" outlineLevel="0" collapsed="false">
      <c r="H7441" s="0" t="str">
        <f aca="false">IF(B7441="","",IF(COUNTIF(Campaigns!$A$7:$A$300,B7441)&gt;0,"✓","⚠ add to Campaigns tab"))</f>
        <v/>
      </c>
      <c r="I7441" s="84" t="str">
        <f aca="false">IF(C7441="","",C7441*IF(Settings!$B$23=Settings!$C$6,1,IF(Settings!$B$23="USD",1/INDEX(Settings!$B$29:$B$40,MONTH(A7441)),INDEX(Settings!$B$29:$B$40,MONTH(A7441)))))</f>
        <v/>
      </c>
    </row>
    <row r="7442" customFormat="false" ht="15" hidden="false" customHeight="false" outlineLevel="0" collapsed="false">
      <c r="H7442" s="0" t="str">
        <f aca="false">IF(B7442="","",IF(COUNTIF(Campaigns!$A$7:$A$300,B7442)&gt;0,"✓","⚠ add to Campaigns tab"))</f>
        <v/>
      </c>
      <c r="I7442" s="84" t="str">
        <f aca="false">IF(C7442="","",C7442*IF(Settings!$B$23=Settings!$C$6,1,IF(Settings!$B$23="USD",1/INDEX(Settings!$B$29:$B$40,MONTH(A7442)),INDEX(Settings!$B$29:$B$40,MONTH(A7442)))))</f>
        <v/>
      </c>
    </row>
    <row r="7443" customFormat="false" ht="15" hidden="false" customHeight="false" outlineLevel="0" collapsed="false">
      <c r="H7443" s="0" t="str">
        <f aca="false">IF(B7443="","",IF(COUNTIF(Campaigns!$A$7:$A$300,B7443)&gt;0,"✓","⚠ add to Campaigns tab"))</f>
        <v/>
      </c>
      <c r="I7443" s="84" t="str">
        <f aca="false">IF(C7443="","",C7443*IF(Settings!$B$23=Settings!$C$6,1,IF(Settings!$B$23="USD",1/INDEX(Settings!$B$29:$B$40,MONTH(A7443)),INDEX(Settings!$B$29:$B$40,MONTH(A7443)))))</f>
        <v/>
      </c>
    </row>
    <row r="7444" customFormat="false" ht="15" hidden="false" customHeight="false" outlineLevel="0" collapsed="false">
      <c r="H7444" s="0" t="str">
        <f aca="false">IF(B7444="","",IF(COUNTIF(Campaigns!$A$7:$A$300,B7444)&gt;0,"✓","⚠ add to Campaigns tab"))</f>
        <v/>
      </c>
      <c r="I7444" s="84" t="str">
        <f aca="false">IF(C7444="","",C7444*IF(Settings!$B$23=Settings!$C$6,1,IF(Settings!$B$23="USD",1/INDEX(Settings!$B$29:$B$40,MONTH(A7444)),INDEX(Settings!$B$29:$B$40,MONTH(A7444)))))</f>
        <v/>
      </c>
    </row>
    <row r="7445" customFormat="false" ht="15" hidden="false" customHeight="false" outlineLevel="0" collapsed="false">
      <c r="H7445" s="0" t="str">
        <f aca="false">IF(B7445="","",IF(COUNTIF(Campaigns!$A$7:$A$300,B7445)&gt;0,"✓","⚠ add to Campaigns tab"))</f>
        <v/>
      </c>
      <c r="I7445" s="84" t="str">
        <f aca="false">IF(C7445="","",C7445*IF(Settings!$B$23=Settings!$C$6,1,IF(Settings!$B$23="USD",1/INDEX(Settings!$B$29:$B$40,MONTH(A7445)),INDEX(Settings!$B$29:$B$40,MONTH(A7445)))))</f>
        <v/>
      </c>
    </row>
    <row r="7446" customFormat="false" ht="15" hidden="false" customHeight="false" outlineLevel="0" collapsed="false">
      <c r="H7446" s="0" t="str">
        <f aca="false">IF(B7446="","",IF(COUNTIF(Campaigns!$A$7:$A$300,B7446)&gt;0,"✓","⚠ add to Campaigns tab"))</f>
        <v/>
      </c>
      <c r="I7446" s="84" t="str">
        <f aca="false">IF(C7446="","",C7446*IF(Settings!$B$23=Settings!$C$6,1,IF(Settings!$B$23="USD",1/INDEX(Settings!$B$29:$B$40,MONTH(A7446)),INDEX(Settings!$B$29:$B$40,MONTH(A7446)))))</f>
        <v/>
      </c>
    </row>
    <row r="7447" customFormat="false" ht="15" hidden="false" customHeight="false" outlineLevel="0" collapsed="false">
      <c r="H7447" s="0" t="str">
        <f aca="false">IF(B7447="","",IF(COUNTIF(Campaigns!$A$7:$A$300,B7447)&gt;0,"✓","⚠ add to Campaigns tab"))</f>
        <v/>
      </c>
      <c r="I7447" s="84" t="str">
        <f aca="false">IF(C7447="","",C7447*IF(Settings!$B$23=Settings!$C$6,1,IF(Settings!$B$23="USD",1/INDEX(Settings!$B$29:$B$40,MONTH(A7447)),INDEX(Settings!$B$29:$B$40,MONTH(A7447)))))</f>
        <v/>
      </c>
    </row>
    <row r="7448" customFormat="false" ht="15" hidden="false" customHeight="false" outlineLevel="0" collapsed="false">
      <c r="H7448" s="0" t="str">
        <f aca="false">IF(B7448="","",IF(COUNTIF(Campaigns!$A$7:$A$300,B7448)&gt;0,"✓","⚠ add to Campaigns tab"))</f>
        <v/>
      </c>
      <c r="I7448" s="84" t="str">
        <f aca="false">IF(C7448="","",C7448*IF(Settings!$B$23=Settings!$C$6,1,IF(Settings!$B$23="USD",1/INDEX(Settings!$B$29:$B$40,MONTH(A7448)),INDEX(Settings!$B$29:$B$40,MONTH(A7448)))))</f>
        <v/>
      </c>
    </row>
    <row r="7449" customFormat="false" ht="15" hidden="false" customHeight="false" outlineLevel="0" collapsed="false">
      <c r="H7449" s="0" t="str">
        <f aca="false">IF(B7449="","",IF(COUNTIF(Campaigns!$A$7:$A$300,B7449)&gt;0,"✓","⚠ add to Campaigns tab"))</f>
        <v/>
      </c>
      <c r="I7449" s="84" t="str">
        <f aca="false">IF(C7449="","",C7449*IF(Settings!$B$23=Settings!$C$6,1,IF(Settings!$B$23="USD",1/INDEX(Settings!$B$29:$B$40,MONTH(A7449)),INDEX(Settings!$B$29:$B$40,MONTH(A7449)))))</f>
        <v/>
      </c>
    </row>
    <row r="7450" customFormat="false" ht="15" hidden="false" customHeight="false" outlineLevel="0" collapsed="false">
      <c r="H7450" s="0" t="str">
        <f aca="false">IF(B7450="","",IF(COUNTIF(Campaigns!$A$7:$A$300,B7450)&gt;0,"✓","⚠ add to Campaigns tab"))</f>
        <v/>
      </c>
      <c r="I7450" s="84" t="str">
        <f aca="false">IF(C7450="","",C7450*IF(Settings!$B$23=Settings!$C$6,1,IF(Settings!$B$23="USD",1/INDEX(Settings!$B$29:$B$40,MONTH(A7450)),INDEX(Settings!$B$29:$B$40,MONTH(A7450)))))</f>
        <v/>
      </c>
    </row>
    <row r="7451" customFormat="false" ht="15" hidden="false" customHeight="false" outlineLevel="0" collapsed="false">
      <c r="H7451" s="0" t="str">
        <f aca="false">IF(B7451="","",IF(COUNTIF(Campaigns!$A$7:$A$300,B7451)&gt;0,"✓","⚠ add to Campaigns tab"))</f>
        <v/>
      </c>
      <c r="I7451" s="84" t="str">
        <f aca="false">IF(C7451="","",C7451*IF(Settings!$B$23=Settings!$C$6,1,IF(Settings!$B$23="USD",1/INDEX(Settings!$B$29:$B$40,MONTH(A7451)),INDEX(Settings!$B$29:$B$40,MONTH(A7451)))))</f>
        <v/>
      </c>
    </row>
    <row r="7452" customFormat="false" ht="15" hidden="false" customHeight="false" outlineLevel="0" collapsed="false">
      <c r="H7452" s="0" t="str">
        <f aca="false">IF(B7452="","",IF(COUNTIF(Campaigns!$A$7:$A$300,B7452)&gt;0,"✓","⚠ add to Campaigns tab"))</f>
        <v/>
      </c>
      <c r="I7452" s="84" t="str">
        <f aca="false">IF(C7452="","",C7452*IF(Settings!$B$23=Settings!$C$6,1,IF(Settings!$B$23="USD",1/INDEX(Settings!$B$29:$B$40,MONTH(A7452)),INDEX(Settings!$B$29:$B$40,MONTH(A7452)))))</f>
        <v/>
      </c>
    </row>
    <row r="7453" customFormat="false" ht="15" hidden="false" customHeight="false" outlineLevel="0" collapsed="false">
      <c r="H7453" s="0" t="str">
        <f aca="false">IF(B7453="","",IF(COUNTIF(Campaigns!$A$7:$A$300,B7453)&gt;0,"✓","⚠ add to Campaigns tab"))</f>
        <v/>
      </c>
      <c r="I7453" s="84" t="str">
        <f aca="false">IF(C7453="","",C7453*IF(Settings!$B$23=Settings!$C$6,1,IF(Settings!$B$23="USD",1/INDEX(Settings!$B$29:$B$40,MONTH(A7453)),INDEX(Settings!$B$29:$B$40,MONTH(A7453)))))</f>
        <v/>
      </c>
    </row>
    <row r="7454" customFormat="false" ht="15" hidden="false" customHeight="false" outlineLevel="0" collapsed="false">
      <c r="H7454" s="0" t="str">
        <f aca="false">IF(B7454="","",IF(COUNTIF(Campaigns!$A$7:$A$300,B7454)&gt;0,"✓","⚠ add to Campaigns tab"))</f>
        <v/>
      </c>
      <c r="I7454" s="84" t="str">
        <f aca="false">IF(C7454="","",C7454*IF(Settings!$B$23=Settings!$C$6,1,IF(Settings!$B$23="USD",1/INDEX(Settings!$B$29:$B$40,MONTH(A7454)),INDEX(Settings!$B$29:$B$40,MONTH(A7454)))))</f>
        <v/>
      </c>
    </row>
    <row r="7455" customFormat="false" ht="15" hidden="false" customHeight="false" outlineLevel="0" collapsed="false">
      <c r="H7455" s="0" t="str">
        <f aca="false">IF(B7455="","",IF(COUNTIF(Campaigns!$A$7:$A$300,B7455)&gt;0,"✓","⚠ add to Campaigns tab"))</f>
        <v/>
      </c>
      <c r="I7455" s="84" t="str">
        <f aca="false">IF(C7455="","",C7455*IF(Settings!$B$23=Settings!$C$6,1,IF(Settings!$B$23="USD",1/INDEX(Settings!$B$29:$B$40,MONTH(A7455)),INDEX(Settings!$B$29:$B$40,MONTH(A7455)))))</f>
        <v/>
      </c>
    </row>
    <row r="7456" customFormat="false" ht="15" hidden="false" customHeight="false" outlineLevel="0" collapsed="false">
      <c r="H7456" s="0" t="str">
        <f aca="false">IF(B7456="","",IF(COUNTIF(Campaigns!$A$7:$A$300,B7456)&gt;0,"✓","⚠ add to Campaigns tab"))</f>
        <v/>
      </c>
      <c r="I7456" s="84" t="str">
        <f aca="false">IF(C7456="","",C7456*IF(Settings!$B$23=Settings!$C$6,1,IF(Settings!$B$23="USD",1/INDEX(Settings!$B$29:$B$40,MONTH(A7456)),INDEX(Settings!$B$29:$B$40,MONTH(A7456)))))</f>
        <v/>
      </c>
    </row>
    <row r="7457" customFormat="false" ht="15" hidden="false" customHeight="false" outlineLevel="0" collapsed="false">
      <c r="H7457" s="0" t="str">
        <f aca="false">IF(B7457="","",IF(COUNTIF(Campaigns!$A$7:$A$300,B7457)&gt;0,"✓","⚠ add to Campaigns tab"))</f>
        <v/>
      </c>
      <c r="I7457" s="84" t="str">
        <f aca="false">IF(C7457="","",C7457*IF(Settings!$B$23=Settings!$C$6,1,IF(Settings!$B$23="USD",1/INDEX(Settings!$B$29:$B$40,MONTH(A7457)),INDEX(Settings!$B$29:$B$40,MONTH(A7457)))))</f>
        <v/>
      </c>
    </row>
    <row r="7458" customFormat="false" ht="15" hidden="false" customHeight="false" outlineLevel="0" collapsed="false">
      <c r="H7458" s="0" t="str">
        <f aca="false">IF(B7458="","",IF(COUNTIF(Campaigns!$A$7:$A$300,B7458)&gt;0,"✓","⚠ add to Campaigns tab"))</f>
        <v/>
      </c>
      <c r="I7458" s="84" t="str">
        <f aca="false">IF(C7458="","",C7458*IF(Settings!$B$23=Settings!$C$6,1,IF(Settings!$B$23="USD",1/INDEX(Settings!$B$29:$B$40,MONTH(A7458)),INDEX(Settings!$B$29:$B$40,MONTH(A7458)))))</f>
        <v/>
      </c>
    </row>
    <row r="7459" customFormat="false" ht="15" hidden="false" customHeight="false" outlineLevel="0" collapsed="false">
      <c r="H7459" s="0" t="str">
        <f aca="false">IF(B7459="","",IF(COUNTIF(Campaigns!$A$7:$A$300,B7459)&gt;0,"✓","⚠ add to Campaigns tab"))</f>
        <v/>
      </c>
      <c r="I7459" s="84" t="str">
        <f aca="false">IF(C7459="","",C7459*IF(Settings!$B$23=Settings!$C$6,1,IF(Settings!$B$23="USD",1/INDEX(Settings!$B$29:$B$40,MONTH(A7459)),INDEX(Settings!$B$29:$B$40,MONTH(A7459)))))</f>
        <v/>
      </c>
    </row>
    <row r="7460" customFormat="false" ht="15" hidden="false" customHeight="false" outlineLevel="0" collapsed="false">
      <c r="H7460" s="0" t="str">
        <f aca="false">IF(B7460="","",IF(COUNTIF(Campaigns!$A$7:$A$300,B7460)&gt;0,"✓","⚠ add to Campaigns tab"))</f>
        <v/>
      </c>
      <c r="I7460" s="84" t="str">
        <f aca="false">IF(C7460="","",C7460*IF(Settings!$B$23=Settings!$C$6,1,IF(Settings!$B$23="USD",1/INDEX(Settings!$B$29:$B$40,MONTH(A7460)),INDEX(Settings!$B$29:$B$40,MONTH(A7460)))))</f>
        <v/>
      </c>
    </row>
    <row r="7461" customFormat="false" ht="15" hidden="false" customHeight="false" outlineLevel="0" collapsed="false">
      <c r="H7461" s="0" t="str">
        <f aca="false">IF(B7461="","",IF(COUNTIF(Campaigns!$A$7:$A$300,B7461)&gt;0,"✓","⚠ add to Campaigns tab"))</f>
        <v/>
      </c>
      <c r="I7461" s="84" t="str">
        <f aca="false">IF(C7461="","",C7461*IF(Settings!$B$23=Settings!$C$6,1,IF(Settings!$B$23="USD",1/INDEX(Settings!$B$29:$B$40,MONTH(A7461)),INDEX(Settings!$B$29:$B$40,MONTH(A7461)))))</f>
        <v/>
      </c>
    </row>
    <row r="7462" customFormat="false" ht="15" hidden="false" customHeight="false" outlineLevel="0" collapsed="false">
      <c r="H7462" s="0" t="str">
        <f aca="false">IF(B7462="","",IF(COUNTIF(Campaigns!$A$7:$A$300,B7462)&gt;0,"✓","⚠ add to Campaigns tab"))</f>
        <v/>
      </c>
      <c r="I7462" s="84" t="str">
        <f aca="false">IF(C7462="","",C7462*IF(Settings!$B$23=Settings!$C$6,1,IF(Settings!$B$23="USD",1/INDEX(Settings!$B$29:$B$40,MONTH(A7462)),INDEX(Settings!$B$29:$B$40,MONTH(A7462)))))</f>
        <v/>
      </c>
    </row>
    <row r="7463" customFormat="false" ht="15" hidden="false" customHeight="false" outlineLevel="0" collapsed="false">
      <c r="H7463" s="0" t="str">
        <f aca="false">IF(B7463="","",IF(COUNTIF(Campaigns!$A$7:$A$300,B7463)&gt;0,"✓","⚠ add to Campaigns tab"))</f>
        <v/>
      </c>
      <c r="I7463" s="84" t="str">
        <f aca="false">IF(C7463="","",C7463*IF(Settings!$B$23=Settings!$C$6,1,IF(Settings!$B$23="USD",1/INDEX(Settings!$B$29:$B$40,MONTH(A7463)),INDEX(Settings!$B$29:$B$40,MONTH(A7463)))))</f>
        <v/>
      </c>
    </row>
    <row r="7464" customFormat="false" ht="15" hidden="false" customHeight="false" outlineLevel="0" collapsed="false">
      <c r="H7464" s="0" t="str">
        <f aca="false">IF(B7464="","",IF(COUNTIF(Campaigns!$A$7:$A$300,B7464)&gt;0,"✓","⚠ add to Campaigns tab"))</f>
        <v/>
      </c>
      <c r="I7464" s="84" t="str">
        <f aca="false">IF(C7464="","",C7464*IF(Settings!$B$23=Settings!$C$6,1,IF(Settings!$B$23="USD",1/INDEX(Settings!$B$29:$B$40,MONTH(A7464)),INDEX(Settings!$B$29:$B$40,MONTH(A7464)))))</f>
        <v/>
      </c>
    </row>
    <row r="7465" customFormat="false" ht="15" hidden="false" customHeight="false" outlineLevel="0" collapsed="false">
      <c r="H7465" s="0" t="str">
        <f aca="false">IF(B7465="","",IF(COUNTIF(Campaigns!$A$7:$A$300,B7465)&gt;0,"✓","⚠ add to Campaigns tab"))</f>
        <v/>
      </c>
      <c r="I7465" s="84" t="str">
        <f aca="false">IF(C7465="","",C7465*IF(Settings!$B$23=Settings!$C$6,1,IF(Settings!$B$23="USD",1/INDEX(Settings!$B$29:$B$40,MONTH(A7465)),INDEX(Settings!$B$29:$B$40,MONTH(A7465)))))</f>
        <v/>
      </c>
    </row>
    <row r="7466" customFormat="false" ht="15" hidden="false" customHeight="false" outlineLevel="0" collapsed="false">
      <c r="H7466" s="0" t="str">
        <f aca="false">IF(B7466="","",IF(COUNTIF(Campaigns!$A$7:$A$300,B7466)&gt;0,"✓","⚠ add to Campaigns tab"))</f>
        <v/>
      </c>
      <c r="I7466" s="84" t="str">
        <f aca="false">IF(C7466="","",C7466*IF(Settings!$B$23=Settings!$C$6,1,IF(Settings!$B$23="USD",1/INDEX(Settings!$B$29:$B$40,MONTH(A7466)),INDEX(Settings!$B$29:$B$40,MONTH(A7466)))))</f>
        <v/>
      </c>
    </row>
    <row r="7467" customFormat="false" ht="15" hidden="false" customHeight="false" outlineLevel="0" collapsed="false">
      <c r="H7467" s="0" t="str">
        <f aca="false">IF(B7467="","",IF(COUNTIF(Campaigns!$A$7:$A$300,B7467)&gt;0,"✓","⚠ add to Campaigns tab"))</f>
        <v/>
      </c>
      <c r="I7467" s="84" t="str">
        <f aca="false">IF(C7467="","",C7467*IF(Settings!$B$23=Settings!$C$6,1,IF(Settings!$B$23="USD",1/INDEX(Settings!$B$29:$B$40,MONTH(A7467)),INDEX(Settings!$B$29:$B$40,MONTH(A7467)))))</f>
        <v/>
      </c>
    </row>
    <row r="7468" customFormat="false" ht="15" hidden="false" customHeight="false" outlineLevel="0" collapsed="false">
      <c r="H7468" s="0" t="str">
        <f aca="false">IF(B7468="","",IF(COUNTIF(Campaigns!$A$7:$A$300,B7468)&gt;0,"✓","⚠ add to Campaigns tab"))</f>
        <v/>
      </c>
      <c r="I7468" s="84" t="str">
        <f aca="false">IF(C7468="","",C7468*IF(Settings!$B$23=Settings!$C$6,1,IF(Settings!$B$23="USD",1/INDEX(Settings!$B$29:$B$40,MONTH(A7468)),INDEX(Settings!$B$29:$B$40,MONTH(A7468)))))</f>
        <v/>
      </c>
    </row>
    <row r="7469" customFormat="false" ht="15" hidden="false" customHeight="false" outlineLevel="0" collapsed="false">
      <c r="H7469" s="0" t="str">
        <f aca="false">IF(B7469="","",IF(COUNTIF(Campaigns!$A$7:$A$300,B7469)&gt;0,"✓","⚠ add to Campaigns tab"))</f>
        <v/>
      </c>
      <c r="I7469" s="84" t="str">
        <f aca="false">IF(C7469="","",C7469*IF(Settings!$B$23=Settings!$C$6,1,IF(Settings!$B$23="USD",1/INDEX(Settings!$B$29:$B$40,MONTH(A7469)),INDEX(Settings!$B$29:$B$40,MONTH(A7469)))))</f>
        <v/>
      </c>
    </row>
    <row r="7470" customFormat="false" ht="15" hidden="false" customHeight="false" outlineLevel="0" collapsed="false">
      <c r="H7470" s="0" t="str">
        <f aca="false">IF(B7470="","",IF(COUNTIF(Campaigns!$A$7:$A$300,B7470)&gt;0,"✓","⚠ add to Campaigns tab"))</f>
        <v/>
      </c>
      <c r="I7470" s="84" t="str">
        <f aca="false">IF(C7470="","",C7470*IF(Settings!$B$23=Settings!$C$6,1,IF(Settings!$B$23="USD",1/INDEX(Settings!$B$29:$B$40,MONTH(A7470)),INDEX(Settings!$B$29:$B$40,MONTH(A7470)))))</f>
        <v/>
      </c>
    </row>
    <row r="7471" customFormat="false" ht="15" hidden="false" customHeight="false" outlineLevel="0" collapsed="false">
      <c r="H7471" s="0" t="str">
        <f aca="false">IF(B7471="","",IF(COUNTIF(Campaigns!$A$7:$A$300,B7471)&gt;0,"✓","⚠ add to Campaigns tab"))</f>
        <v/>
      </c>
      <c r="I7471" s="84" t="str">
        <f aca="false">IF(C7471="","",C7471*IF(Settings!$B$23=Settings!$C$6,1,IF(Settings!$B$23="USD",1/INDEX(Settings!$B$29:$B$40,MONTH(A7471)),INDEX(Settings!$B$29:$B$40,MONTH(A7471)))))</f>
        <v/>
      </c>
    </row>
    <row r="7472" customFormat="false" ht="15" hidden="false" customHeight="false" outlineLevel="0" collapsed="false">
      <c r="H7472" s="0" t="str">
        <f aca="false">IF(B7472="","",IF(COUNTIF(Campaigns!$A$7:$A$300,B7472)&gt;0,"✓","⚠ add to Campaigns tab"))</f>
        <v/>
      </c>
      <c r="I7472" s="84" t="str">
        <f aca="false">IF(C7472="","",C7472*IF(Settings!$B$23=Settings!$C$6,1,IF(Settings!$B$23="USD",1/INDEX(Settings!$B$29:$B$40,MONTH(A7472)),INDEX(Settings!$B$29:$B$40,MONTH(A7472)))))</f>
        <v/>
      </c>
    </row>
    <row r="7473" customFormat="false" ht="15" hidden="false" customHeight="false" outlineLevel="0" collapsed="false">
      <c r="H7473" s="0" t="str">
        <f aca="false">IF(B7473="","",IF(COUNTIF(Campaigns!$A$7:$A$300,B7473)&gt;0,"✓","⚠ add to Campaigns tab"))</f>
        <v/>
      </c>
      <c r="I7473" s="84" t="str">
        <f aca="false">IF(C7473="","",C7473*IF(Settings!$B$23=Settings!$C$6,1,IF(Settings!$B$23="USD",1/INDEX(Settings!$B$29:$B$40,MONTH(A7473)),INDEX(Settings!$B$29:$B$40,MONTH(A7473)))))</f>
        <v/>
      </c>
    </row>
    <row r="7474" customFormat="false" ht="15" hidden="false" customHeight="false" outlineLevel="0" collapsed="false">
      <c r="H7474" s="0" t="str">
        <f aca="false">IF(B7474="","",IF(COUNTIF(Campaigns!$A$7:$A$300,B7474)&gt;0,"✓","⚠ add to Campaigns tab"))</f>
        <v/>
      </c>
      <c r="I7474" s="84" t="str">
        <f aca="false">IF(C7474="","",C7474*IF(Settings!$B$23=Settings!$C$6,1,IF(Settings!$B$23="USD",1/INDEX(Settings!$B$29:$B$40,MONTH(A7474)),INDEX(Settings!$B$29:$B$40,MONTH(A7474)))))</f>
        <v/>
      </c>
    </row>
    <row r="7475" customFormat="false" ht="15" hidden="false" customHeight="false" outlineLevel="0" collapsed="false">
      <c r="H7475" s="0" t="str">
        <f aca="false">IF(B7475="","",IF(COUNTIF(Campaigns!$A$7:$A$300,B7475)&gt;0,"✓","⚠ add to Campaigns tab"))</f>
        <v/>
      </c>
      <c r="I7475" s="84" t="str">
        <f aca="false">IF(C7475="","",C7475*IF(Settings!$B$23=Settings!$C$6,1,IF(Settings!$B$23="USD",1/INDEX(Settings!$B$29:$B$40,MONTH(A7475)),INDEX(Settings!$B$29:$B$40,MONTH(A7475)))))</f>
        <v/>
      </c>
    </row>
    <row r="7476" customFormat="false" ht="15" hidden="false" customHeight="false" outlineLevel="0" collapsed="false">
      <c r="H7476" s="0" t="str">
        <f aca="false">IF(B7476="","",IF(COUNTIF(Campaigns!$A$7:$A$300,B7476)&gt;0,"✓","⚠ add to Campaigns tab"))</f>
        <v/>
      </c>
      <c r="I7476" s="84" t="str">
        <f aca="false">IF(C7476="","",C7476*IF(Settings!$B$23=Settings!$C$6,1,IF(Settings!$B$23="USD",1/INDEX(Settings!$B$29:$B$40,MONTH(A7476)),INDEX(Settings!$B$29:$B$40,MONTH(A7476)))))</f>
        <v/>
      </c>
    </row>
    <row r="7477" customFormat="false" ht="15" hidden="false" customHeight="false" outlineLevel="0" collapsed="false">
      <c r="H7477" s="0" t="str">
        <f aca="false">IF(B7477="","",IF(COUNTIF(Campaigns!$A$7:$A$300,B7477)&gt;0,"✓","⚠ add to Campaigns tab"))</f>
        <v/>
      </c>
      <c r="I7477" s="84" t="str">
        <f aca="false">IF(C7477="","",C7477*IF(Settings!$B$23=Settings!$C$6,1,IF(Settings!$B$23="USD",1/INDEX(Settings!$B$29:$B$40,MONTH(A7477)),INDEX(Settings!$B$29:$B$40,MONTH(A7477)))))</f>
        <v/>
      </c>
    </row>
    <row r="7478" customFormat="false" ht="15" hidden="false" customHeight="false" outlineLevel="0" collapsed="false">
      <c r="H7478" s="0" t="str">
        <f aca="false">IF(B7478="","",IF(COUNTIF(Campaigns!$A$7:$A$300,B7478)&gt;0,"✓","⚠ add to Campaigns tab"))</f>
        <v/>
      </c>
      <c r="I7478" s="84" t="str">
        <f aca="false">IF(C7478="","",C7478*IF(Settings!$B$23=Settings!$C$6,1,IF(Settings!$B$23="USD",1/INDEX(Settings!$B$29:$B$40,MONTH(A7478)),INDEX(Settings!$B$29:$B$40,MONTH(A7478)))))</f>
        <v/>
      </c>
    </row>
    <row r="7479" customFormat="false" ht="15" hidden="false" customHeight="false" outlineLevel="0" collapsed="false">
      <c r="H7479" s="0" t="str">
        <f aca="false">IF(B7479="","",IF(COUNTIF(Campaigns!$A$7:$A$300,B7479)&gt;0,"✓","⚠ add to Campaigns tab"))</f>
        <v/>
      </c>
      <c r="I7479" s="84" t="str">
        <f aca="false">IF(C7479="","",C7479*IF(Settings!$B$23=Settings!$C$6,1,IF(Settings!$B$23="USD",1/INDEX(Settings!$B$29:$B$40,MONTH(A7479)),INDEX(Settings!$B$29:$B$40,MONTH(A7479)))))</f>
        <v/>
      </c>
    </row>
    <row r="7480" customFormat="false" ht="15" hidden="false" customHeight="false" outlineLevel="0" collapsed="false">
      <c r="H7480" s="0" t="str">
        <f aca="false">IF(B7480="","",IF(COUNTIF(Campaigns!$A$7:$A$300,B7480)&gt;0,"✓","⚠ add to Campaigns tab"))</f>
        <v/>
      </c>
      <c r="I7480" s="84" t="str">
        <f aca="false">IF(C7480="","",C7480*IF(Settings!$B$23=Settings!$C$6,1,IF(Settings!$B$23="USD",1/INDEX(Settings!$B$29:$B$40,MONTH(A7480)),INDEX(Settings!$B$29:$B$40,MONTH(A7480)))))</f>
        <v/>
      </c>
    </row>
    <row r="7481" customFormat="false" ht="15" hidden="false" customHeight="false" outlineLevel="0" collapsed="false">
      <c r="H7481" s="0" t="str">
        <f aca="false">IF(B7481="","",IF(COUNTIF(Campaigns!$A$7:$A$300,B7481)&gt;0,"✓","⚠ add to Campaigns tab"))</f>
        <v/>
      </c>
      <c r="I7481" s="84" t="str">
        <f aca="false">IF(C7481="","",C7481*IF(Settings!$B$23=Settings!$C$6,1,IF(Settings!$B$23="USD",1/INDEX(Settings!$B$29:$B$40,MONTH(A7481)),INDEX(Settings!$B$29:$B$40,MONTH(A7481)))))</f>
        <v/>
      </c>
    </row>
    <row r="7482" customFormat="false" ht="15" hidden="false" customHeight="false" outlineLevel="0" collapsed="false">
      <c r="H7482" s="0" t="str">
        <f aca="false">IF(B7482="","",IF(COUNTIF(Campaigns!$A$7:$A$300,B7482)&gt;0,"✓","⚠ add to Campaigns tab"))</f>
        <v/>
      </c>
      <c r="I7482" s="84" t="str">
        <f aca="false">IF(C7482="","",C7482*IF(Settings!$B$23=Settings!$C$6,1,IF(Settings!$B$23="USD",1/INDEX(Settings!$B$29:$B$40,MONTH(A7482)),INDEX(Settings!$B$29:$B$40,MONTH(A7482)))))</f>
        <v/>
      </c>
    </row>
    <row r="7483" customFormat="false" ht="15" hidden="false" customHeight="false" outlineLevel="0" collapsed="false">
      <c r="H7483" s="0" t="str">
        <f aca="false">IF(B7483="","",IF(COUNTIF(Campaigns!$A$7:$A$300,B7483)&gt;0,"✓","⚠ add to Campaigns tab"))</f>
        <v/>
      </c>
      <c r="I7483" s="84" t="str">
        <f aca="false">IF(C7483="","",C7483*IF(Settings!$B$23=Settings!$C$6,1,IF(Settings!$B$23="USD",1/INDEX(Settings!$B$29:$B$40,MONTH(A7483)),INDEX(Settings!$B$29:$B$40,MONTH(A7483)))))</f>
        <v/>
      </c>
    </row>
    <row r="7484" customFormat="false" ht="15" hidden="false" customHeight="false" outlineLevel="0" collapsed="false">
      <c r="H7484" s="0" t="str">
        <f aca="false">IF(B7484="","",IF(COUNTIF(Campaigns!$A$7:$A$300,B7484)&gt;0,"✓","⚠ add to Campaigns tab"))</f>
        <v/>
      </c>
      <c r="I7484" s="84" t="str">
        <f aca="false">IF(C7484="","",C7484*IF(Settings!$B$23=Settings!$C$6,1,IF(Settings!$B$23="USD",1/INDEX(Settings!$B$29:$B$40,MONTH(A7484)),INDEX(Settings!$B$29:$B$40,MONTH(A7484)))))</f>
        <v/>
      </c>
    </row>
    <row r="7485" customFormat="false" ht="15" hidden="false" customHeight="false" outlineLevel="0" collapsed="false">
      <c r="H7485" s="0" t="str">
        <f aca="false">IF(B7485="","",IF(COUNTIF(Campaigns!$A$7:$A$300,B7485)&gt;0,"✓","⚠ add to Campaigns tab"))</f>
        <v/>
      </c>
      <c r="I7485" s="84" t="str">
        <f aca="false">IF(C7485="","",C7485*IF(Settings!$B$23=Settings!$C$6,1,IF(Settings!$B$23="USD",1/INDEX(Settings!$B$29:$B$40,MONTH(A7485)),INDEX(Settings!$B$29:$B$40,MONTH(A7485)))))</f>
        <v/>
      </c>
    </row>
    <row r="7486" customFormat="false" ht="15" hidden="false" customHeight="false" outlineLevel="0" collapsed="false">
      <c r="H7486" s="0" t="str">
        <f aca="false">IF(B7486="","",IF(COUNTIF(Campaigns!$A$7:$A$300,B7486)&gt;0,"✓","⚠ add to Campaigns tab"))</f>
        <v/>
      </c>
      <c r="I7486" s="84" t="str">
        <f aca="false">IF(C7486="","",C7486*IF(Settings!$B$23=Settings!$C$6,1,IF(Settings!$B$23="USD",1/INDEX(Settings!$B$29:$B$40,MONTH(A7486)),INDEX(Settings!$B$29:$B$40,MONTH(A7486)))))</f>
        <v/>
      </c>
    </row>
    <row r="7487" customFormat="false" ht="15" hidden="false" customHeight="false" outlineLevel="0" collapsed="false">
      <c r="H7487" s="0" t="str">
        <f aca="false">IF(B7487="","",IF(COUNTIF(Campaigns!$A$7:$A$300,B7487)&gt;0,"✓","⚠ add to Campaigns tab"))</f>
        <v/>
      </c>
      <c r="I7487" s="84" t="str">
        <f aca="false">IF(C7487="","",C7487*IF(Settings!$B$23=Settings!$C$6,1,IF(Settings!$B$23="USD",1/INDEX(Settings!$B$29:$B$40,MONTH(A7487)),INDEX(Settings!$B$29:$B$40,MONTH(A7487)))))</f>
        <v/>
      </c>
    </row>
    <row r="7488" customFormat="false" ht="15" hidden="false" customHeight="false" outlineLevel="0" collapsed="false">
      <c r="H7488" s="0" t="str">
        <f aca="false">IF(B7488="","",IF(COUNTIF(Campaigns!$A$7:$A$300,B7488)&gt;0,"✓","⚠ add to Campaigns tab"))</f>
        <v/>
      </c>
      <c r="I7488" s="84" t="str">
        <f aca="false">IF(C7488="","",C7488*IF(Settings!$B$23=Settings!$C$6,1,IF(Settings!$B$23="USD",1/INDEX(Settings!$B$29:$B$40,MONTH(A7488)),INDEX(Settings!$B$29:$B$40,MONTH(A7488)))))</f>
        <v/>
      </c>
    </row>
    <row r="7489" customFormat="false" ht="15" hidden="false" customHeight="false" outlineLevel="0" collapsed="false">
      <c r="H7489" s="0" t="str">
        <f aca="false">IF(B7489="","",IF(COUNTIF(Campaigns!$A$7:$A$300,B7489)&gt;0,"✓","⚠ add to Campaigns tab"))</f>
        <v/>
      </c>
      <c r="I7489" s="84" t="str">
        <f aca="false">IF(C7489="","",C7489*IF(Settings!$B$23=Settings!$C$6,1,IF(Settings!$B$23="USD",1/INDEX(Settings!$B$29:$B$40,MONTH(A7489)),INDEX(Settings!$B$29:$B$40,MONTH(A7489)))))</f>
        <v/>
      </c>
    </row>
    <row r="7490" customFormat="false" ht="15" hidden="false" customHeight="false" outlineLevel="0" collapsed="false">
      <c r="H7490" s="0" t="str">
        <f aca="false">IF(B7490="","",IF(COUNTIF(Campaigns!$A$7:$A$300,B7490)&gt;0,"✓","⚠ add to Campaigns tab"))</f>
        <v/>
      </c>
      <c r="I7490" s="84" t="str">
        <f aca="false">IF(C7490="","",C7490*IF(Settings!$B$23=Settings!$C$6,1,IF(Settings!$B$23="USD",1/INDEX(Settings!$B$29:$B$40,MONTH(A7490)),INDEX(Settings!$B$29:$B$40,MONTH(A7490)))))</f>
        <v/>
      </c>
    </row>
    <row r="7491" customFormat="false" ht="15" hidden="false" customHeight="false" outlineLevel="0" collapsed="false">
      <c r="H7491" s="0" t="str">
        <f aca="false">IF(B7491="","",IF(COUNTIF(Campaigns!$A$7:$A$300,B7491)&gt;0,"✓","⚠ add to Campaigns tab"))</f>
        <v/>
      </c>
      <c r="I7491" s="84" t="str">
        <f aca="false">IF(C7491="","",C7491*IF(Settings!$B$23=Settings!$C$6,1,IF(Settings!$B$23="USD",1/INDEX(Settings!$B$29:$B$40,MONTH(A7491)),INDEX(Settings!$B$29:$B$40,MONTH(A7491)))))</f>
        <v/>
      </c>
    </row>
    <row r="7492" customFormat="false" ht="15" hidden="false" customHeight="false" outlineLevel="0" collapsed="false">
      <c r="H7492" s="0" t="str">
        <f aca="false">IF(B7492="","",IF(COUNTIF(Campaigns!$A$7:$A$300,B7492)&gt;0,"✓","⚠ add to Campaigns tab"))</f>
        <v/>
      </c>
      <c r="I7492" s="84" t="str">
        <f aca="false">IF(C7492="","",C7492*IF(Settings!$B$23=Settings!$C$6,1,IF(Settings!$B$23="USD",1/INDEX(Settings!$B$29:$B$40,MONTH(A7492)),INDEX(Settings!$B$29:$B$40,MONTH(A7492)))))</f>
        <v/>
      </c>
    </row>
    <row r="7493" customFormat="false" ht="15" hidden="false" customHeight="false" outlineLevel="0" collapsed="false">
      <c r="H7493" s="0" t="str">
        <f aca="false">IF(B7493="","",IF(COUNTIF(Campaigns!$A$7:$A$300,B7493)&gt;0,"✓","⚠ add to Campaigns tab"))</f>
        <v/>
      </c>
      <c r="I7493" s="84" t="str">
        <f aca="false">IF(C7493="","",C7493*IF(Settings!$B$23=Settings!$C$6,1,IF(Settings!$B$23="USD",1/INDEX(Settings!$B$29:$B$40,MONTH(A7493)),INDEX(Settings!$B$29:$B$40,MONTH(A7493)))))</f>
        <v/>
      </c>
    </row>
    <row r="7494" customFormat="false" ht="15" hidden="false" customHeight="false" outlineLevel="0" collapsed="false">
      <c r="H7494" s="0" t="str">
        <f aca="false">IF(B7494="","",IF(COUNTIF(Campaigns!$A$7:$A$300,B7494)&gt;0,"✓","⚠ add to Campaigns tab"))</f>
        <v/>
      </c>
      <c r="I7494" s="84" t="str">
        <f aca="false">IF(C7494="","",C7494*IF(Settings!$B$23=Settings!$C$6,1,IF(Settings!$B$23="USD",1/INDEX(Settings!$B$29:$B$40,MONTH(A7494)),INDEX(Settings!$B$29:$B$40,MONTH(A7494)))))</f>
        <v/>
      </c>
    </row>
    <row r="7495" customFormat="false" ht="15" hidden="false" customHeight="false" outlineLevel="0" collapsed="false">
      <c r="H7495" s="0" t="str">
        <f aca="false">IF(B7495="","",IF(COUNTIF(Campaigns!$A$7:$A$300,B7495)&gt;0,"✓","⚠ add to Campaigns tab"))</f>
        <v/>
      </c>
      <c r="I7495" s="84" t="str">
        <f aca="false">IF(C7495="","",C7495*IF(Settings!$B$23=Settings!$C$6,1,IF(Settings!$B$23="USD",1/INDEX(Settings!$B$29:$B$40,MONTH(A7495)),INDEX(Settings!$B$29:$B$40,MONTH(A7495)))))</f>
        <v/>
      </c>
    </row>
    <row r="7496" customFormat="false" ht="15" hidden="false" customHeight="false" outlineLevel="0" collapsed="false">
      <c r="H7496" s="0" t="str">
        <f aca="false">IF(B7496="","",IF(COUNTIF(Campaigns!$A$7:$A$300,B7496)&gt;0,"✓","⚠ add to Campaigns tab"))</f>
        <v/>
      </c>
      <c r="I7496" s="84" t="str">
        <f aca="false">IF(C7496="","",C7496*IF(Settings!$B$23=Settings!$C$6,1,IF(Settings!$B$23="USD",1/INDEX(Settings!$B$29:$B$40,MONTH(A7496)),INDEX(Settings!$B$29:$B$40,MONTH(A7496)))))</f>
        <v/>
      </c>
    </row>
    <row r="7497" customFormat="false" ht="15" hidden="false" customHeight="false" outlineLevel="0" collapsed="false">
      <c r="H7497" s="0" t="str">
        <f aca="false">IF(B7497="","",IF(COUNTIF(Campaigns!$A$7:$A$300,B7497)&gt;0,"✓","⚠ add to Campaigns tab"))</f>
        <v/>
      </c>
      <c r="I7497" s="84" t="str">
        <f aca="false">IF(C7497="","",C7497*IF(Settings!$B$23=Settings!$C$6,1,IF(Settings!$B$23="USD",1/INDEX(Settings!$B$29:$B$40,MONTH(A7497)),INDEX(Settings!$B$29:$B$40,MONTH(A7497)))))</f>
        <v/>
      </c>
    </row>
    <row r="7498" customFormat="false" ht="15" hidden="false" customHeight="false" outlineLevel="0" collapsed="false">
      <c r="H7498" s="0" t="str">
        <f aca="false">IF(B7498="","",IF(COUNTIF(Campaigns!$A$7:$A$300,B7498)&gt;0,"✓","⚠ add to Campaigns tab"))</f>
        <v/>
      </c>
      <c r="I7498" s="84" t="str">
        <f aca="false">IF(C7498="","",C7498*IF(Settings!$B$23=Settings!$C$6,1,IF(Settings!$B$23="USD",1/INDEX(Settings!$B$29:$B$40,MONTH(A7498)),INDEX(Settings!$B$29:$B$40,MONTH(A7498)))))</f>
        <v/>
      </c>
    </row>
    <row r="7499" customFormat="false" ht="15" hidden="false" customHeight="false" outlineLevel="0" collapsed="false">
      <c r="H7499" s="0" t="str">
        <f aca="false">IF(B7499="","",IF(COUNTIF(Campaigns!$A$7:$A$300,B7499)&gt;0,"✓","⚠ add to Campaigns tab"))</f>
        <v/>
      </c>
      <c r="I7499" s="84" t="str">
        <f aca="false">IF(C7499="","",C7499*IF(Settings!$B$23=Settings!$C$6,1,IF(Settings!$B$23="USD",1/INDEX(Settings!$B$29:$B$40,MONTH(A7499)),INDEX(Settings!$B$29:$B$40,MONTH(A7499)))))</f>
        <v/>
      </c>
    </row>
    <row r="7500" customFormat="false" ht="15" hidden="false" customHeight="false" outlineLevel="0" collapsed="false">
      <c r="H7500" s="0" t="str">
        <f aca="false">IF(B7500="","",IF(COUNTIF(Campaigns!$A$7:$A$300,B7500)&gt;0,"✓","⚠ add to Campaigns tab"))</f>
        <v/>
      </c>
      <c r="I7500" s="84" t="str">
        <f aca="false">IF(C7500="","",C7500*IF(Settings!$B$23=Settings!$C$6,1,IF(Settings!$B$23="USD",1/INDEX(Settings!$B$29:$B$40,MONTH(A7500)),INDEX(Settings!$B$29:$B$40,MONTH(A7500)))))</f>
        <v/>
      </c>
    </row>
    <row r="7501" customFormat="false" ht="15" hidden="false" customHeight="false" outlineLevel="0" collapsed="false">
      <c r="H7501" s="0" t="str">
        <f aca="false">IF(B7501="","",IF(COUNTIF(Campaigns!$A$7:$A$300,B7501)&gt;0,"✓","⚠ add to Campaigns tab"))</f>
        <v/>
      </c>
      <c r="I7501" s="84" t="str">
        <f aca="false">IF(C7501="","",C7501*IF(Settings!$B$23=Settings!$C$6,1,IF(Settings!$B$23="USD",1/INDEX(Settings!$B$29:$B$40,MONTH(A7501)),INDEX(Settings!$B$29:$B$40,MONTH(A7501)))))</f>
        <v/>
      </c>
    </row>
    <row r="7502" customFormat="false" ht="15" hidden="false" customHeight="false" outlineLevel="0" collapsed="false">
      <c r="H7502" s="0" t="str">
        <f aca="false">IF(B7502="","",IF(COUNTIF(Campaigns!$A$7:$A$300,B7502)&gt;0,"✓","⚠ add to Campaigns tab"))</f>
        <v/>
      </c>
      <c r="I7502" s="84" t="str">
        <f aca="false">IF(C7502="","",C7502*IF(Settings!$B$23=Settings!$C$6,1,IF(Settings!$B$23="USD",1/INDEX(Settings!$B$29:$B$40,MONTH(A7502)),INDEX(Settings!$B$29:$B$40,MONTH(A7502)))))</f>
        <v/>
      </c>
    </row>
    <row r="7503" customFormat="false" ht="15" hidden="false" customHeight="false" outlineLevel="0" collapsed="false">
      <c r="H7503" s="0" t="str">
        <f aca="false">IF(B7503="","",IF(COUNTIF(Campaigns!$A$7:$A$300,B7503)&gt;0,"✓","⚠ add to Campaigns tab"))</f>
        <v/>
      </c>
      <c r="I7503" s="84" t="str">
        <f aca="false">IF(C7503="","",C7503*IF(Settings!$B$23=Settings!$C$6,1,IF(Settings!$B$23="USD",1/INDEX(Settings!$B$29:$B$40,MONTH(A7503)),INDEX(Settings!$B$29:$B$40,MONTH(A7503)))))</f>
        <v/>
      </c>
    </row>
    <row r="7504" customFormat="false" ht="15" hidden="false" customHeight="false" outlineLevel="0" collapsed="false">
      <c r="H7504" s="0" t="str">
        <f aca="false">IF(B7504="","",IF(COUNTIF(Campaigns!$A$7:$A$300,B7504)&gt;0,"✓","⚠ add to Campaigns tab"))</f>
        <v/>
      </c>
      <c r="I7504" s="84" t="str">
        <f aca="false">IF(C7504="","",C7504*IF(Settings!$B$23=Settings!$C$6,1,IF(Settings!$B$23="USD",1/INDEX(Settings!$B$29:$B$40,MONTH(A7504)),INDEX(Settings!$B$29:$B$40,MONTH(A7504)))))</f>
        <v/>
      </c>
    </row>
    <row r="7505" customFormat="false" ht="15" hidden="false" customHeight="false" outlineLevel="0" collapsed="false">
      <c r="H7505" s="0" t="str">
        <f aca="false">IF(B7505="","",IF(COUNTIF(Campaigns!$A$7:$A$300,B7505)&gt;0,"✓","⚠ add to Campaigns tab"))</f>
        <v/>
      </c>
      <c r="I7505" s="84" t="str">
        <f aca="false">IF(C7505="","",C7505*IF(Settings!$B$23=Settings!$C$6,1,IF(Settings!$B$23="USD",1/INDEX(Settings!$B$29:$B$40,MONTH(A7505)),INDEX(Settings!$B$29:$B$40,MONTH(A7505)))))</f>
        <v/>
      </c>
    </row>
    <row r="7506" customFormat="false" ht="15" hidden="false" customHeight="false" outlineLevel="0" collapsed="false">
      <c r="H7506" s="0" t="str">
        <f aca="false">IF(B7506="","",IF(COUNTIF(Campaigns!$A$7:$A$300,B7506)&gt;0,"✓","⚠ add to Campaigns tab"))</f>
        <v/>
      </c>
      <c r="I7506" s="84" t="str">
        <f aca="false">IF(C7506="","",C7506*IF(Settings!$B$23=Settings!$C$6,1,IF(Settings!$B$23="USD",1/INDEX(Settings!$B$29:$B$40,MONTH(A7506)),INDEX(Settings!$B$29:$B$40,MONTH(A7506)))))</f>
        <v/>
      </c>
    </row>
    <row r="7507" customFormat="false" ht="15" hidden="false" customHeight="false" outlineLevel="0" collapsed="false">
      <c r="H7507" s="0" t="str">
        <f aca="false">IF(B7507="","",IF(COUNTIF(Campaigns!$A$7:$A$300,B7507)&gt;0,"✓","⚠ add to Campaigns tab"))</f>
        <v/>
      </c>
      <c r="I7507" s="84" t="str">
        <f aca="false">IF(C7507="","",C7507*IF(Settings!$B$23=Settings!$C$6,1,IF(Settings!$B$23="USD",1/INDEX(Settings!$B$29:$B$40,MONTH(A7507)),INDEX(Settings!$B$29:$B$40,MONTH(A7507)))))</f>
        <v/>
      </c>
    </row>
    <row r="7508" customFormat="false" ht="15" hidden="false" customHeight="false" outlineLevel="0" collapsed="false">
      <c r="H7508" s="0" t="str">
        <f aca="false">IF(B7508="","",IF(COUNTIF(Campaigns!$A$7:$A$300,B7508)&gt;0,"✓","⚠ add to Campaigns tab"))</f>
        <v/>
      </c>
      <c r="I7508" s="84" t="str">
        <f aca="false">IF(C7508="","",C7508*IF(Settings!$B$23=Settings!$C$6,1,IF(Settings!$B$23="USD",1/INDEX(Settings!$B$29:$B$40,MONTH(A7508)),INDEX(Settings!$B$29:$B$40,MONTH(A7508)))))</f>
        <v/>
      </c>
    </row>
    <row r="7509" customFormat="false" ht="15" hidden="false" customHeight="false" outlineLevel="0" collapsed="false">
      <c r="H7509" s="0" t="str">
        <f aca="false">IF(B7509="","",IF(COUNTIF(Campaigns!$A$7:$A$300,B7509)&gt;0,"✓","⚠ add to Campaigns tab"))</f>
        <v/>
      </c>
      <c r="I7509" s="84" t="str">
        <f aca="false">IF(C7509="","",C7509*IF(Settings!$B$23=Settings!$C$6,1,IF(Settings!$B$23="USD",1/INDEX(Settings!$B$29:$B$40,MONTH(A7509)),INDEX(Settings!$B$29:$B$40,MONTH(A7509)))))</f>
        <v/>
      </c>
    </row>
    <row r="7510" customFormat="false" ht="15" hidden="false" customHeight="false" outlineLevel="0" collapsed="false">
      <c r="H7510" s="0" t="str">
        <f aca="false">IF(B7510="","",IF(COUNTIF(Campaigns!$A$7:$A$300,B7510)&gt;0,"✓","⚠ add to Campaigns tab"))</f>
        <v/>
      </c>
      <c r="I7510" s="84" t="str">
        <f aca="false">IF(C7510="","",C7510*IF(Settings!$B$23=Settings!$C$6,1,IF(Settings!$B$23="USD",1/INDEX(Settings!$B$29:$B$40,MONTH(A7510)),INDEX(Settings!$B$29:$B$40,MONTH(A7510)))))</f>
        <v/>
      </c>
    </row>
    <row r="7511" customFormat="false" ht="15" hidden="false" customHeight="false" outlineLevel="0" collapsed="false">
      <c r="H7511" s="0" t="str">
        <f aca="false">IF(B7511="","",IF(COUNTIF(Campaigns!$A$7:$A$300,B7511)&gt;0,"✓","⚠ add to Campaigns tab"))</f>
        <v/>
      </c>
      <c r="I7511" s="84" t="str">
        <f aca="false">IF(C7511="","",C7511*IF(Settings!$B$23=Settings!$C$6,1,IF(Settings!$B$23="USD",1/INDEX(Settings!$B$29:$B$40,MONTH(A7511)),INDEX(Settings!$B$29:$B$40,MONTH(A7511)))))</f>
        <v/>
      </c>
    </row>
    <row r="7512" customFormat="false" ht="15" hidden="false" customHeight="false" outlineLevel="0" collapsed="false">
      <c r="H7512" s="0" t="str">
        <f aca="false">IF(B7512="","",IF(COUNTIF(Campaigns!$A$7:$A$300,B7512)&gt;0,"✓","⚠ add to Campaigns tab"))</f>
        <v/>
      </c>
      <c r="I7512" s="84" t="str">
        <f aca="false">IF(C7512="","",C7512*IF(Settings!$B$23=Settings!$C$6,1,IF(Settings!$B$23="USD",1/INDEX(Settings!$B$29:$B$40,MONTH(A7512)),INDEX(Settings!$B$29:$B$40,MONTH(A7512)))))</f>
        <v/>
      </c>
    </row>
    <row r="7513" customFormat="false" ht="15" hidden="false" customHeight="false" outlineLevel="0" collapsed="false">
      <c r="H7513" s="0" t="str">
        <f aca="false">IF(B7513="","",IF(COUNTIF(Campaigns!$A$7:$A$300,B7513)&gt;0,"✓","⚠ add to Campaigns tab"))</f>
        <v/>
      </c>
      <c r="I7513" s="84" t="str">
        <f aca="false">IF(C7513="","",C7513*IF(Settings!$B$23=Settings!$C$6,1,IF(Settings!$B$23="USD",1/INDEX(Settings!$B$29:$B$40,MONTH(A7513)),INDEX(Settings!$B$29:$B$40,MONTH(A7513)))))</f>
        <v/>
      </c>
    </row>
    <row r="7514" customFormat="false" ht="15" hidden="false" customHeight="false" outlineLevel="0" collapsed="false">
      <c r="H7514" s="0" t="str">
        <f aca="false">IF(B7514="","",IF(COUNTIF(Campaigns!$A$7:$A$300,B7514)&gt;0,"✓","⚠ add to Campaigns tab"))</f>
        <v/>
      </c>
      <c r="I7514" s="84" t="str">
        <f aca="false">IF(C7514="","",C7514*IF(Settings!$B$23=Settings!$C$6,1,IF(Settings!$B$23="USD",1/INDEX(Settings!$B$29:$B$40,MONTH(A7514)),INDEX(Settings!$B$29:$B$40,MONTH(A7514)))))</f>
        <v/>
      </c>
    </row>
    <row r="7515" customFormat="false" ht="15" hidden="false" customHeight="false" outlineLevel="0" collapsed="false">
      <c r="H7515" s="0" t="str">
        <f aca="false">IF(B7515="","",IF(COUNTIF(Campaigns!$A$7:$A$300,B7515)&gt;0,"✓","⚠ add to Campaigns tab"))</f>
        <v/>
      </c>
      <c r="I7515" s="84" t="str">
        <f aca="false">IF(C7515="","",C7515*IF(Settings!$B$23=Settings!$C$6,1,IF(Settings!$B$23="USD",1/INDEX(Settings!$B$29:$B$40,MONTH(A7515)),INDEX(Settings!$B$29:$B$40,MONTH(A7515)))))</f>
        <v/>
      </c>
    </row>
    <row r="7516" customFormat="false" ht="15" hidden="false" customHeight="false" outlineLevel="0" collapsed="false">
      <c r="H7516" s="0" t="str">
        <f aca="false">IF(B7516="","",IF(COUNTIF(Campaigns!$A$7:$A$300,B7516)&gt;0,"✓","⚠ add to Campaigns tab"))</f>
        <v/>
      </c>
      <c r="I7516" s="84" t="str">
        <f aca="false">IF(C7516="","",C7516*IF(Settings!$B$23=Settings!$C$6,1,IF(Settings!$B$23="USD",1/INDEX(Settings!$B$29:$B$40,MONTH(A7516)),INDEX(Settings!$B$29:$B$40,MONTH(A7516)))))</f>
        <v/>
      </c>
    </row>
    <row r="7517" customFormat="false" ht="15" hidden="false" customHeight="false" outlineLevel="0" collapsed="false">
      <c r="H7517" s="0" t="str">
        <f aca="false">IF(B7517="","",IF(COUNTIF(Campaigns!$A$7:$A$300,B7517)&gt;0,"✓","⚠ add to Campaigns tab"))</f>
        <v/>
      </c>
      <c r="I7517" s="84" t="str">
        <f aca="false">IF(C7517="","",C7517*IF(Settings!$B$23=Settings!$C$6,1,IF(Settings!$B$23="USD",1/INDEX(Settings!$B$29:$B$40,MONTH(A7517)),INDEX(Settings!$B$29:$B$40,MONTH(A7517)))))</f>
        <v/>
      </c>
    </row>
    <row r="7518" customFormat="false" ht="15" hidden="false" customHeight="false" outlineLevel="0" collapsed="false">
      <c r="H7518" s="0" t="str">
        <f aca="false">IF(B7518="","",IF(COUNTIF(Campaigns!$A$7:$A$300,B7518)&gt;0,"✓","⚠ add to Campaigns tab"))</f>
        <v/>
      </c>
      <c r="I7518" s="84" t="str">
        <f aca="false">IF(C7518="","",C7518*IF(Settings!$B$23=Settings!$C$6,1,IF(Settings!$B$23="USD",1/INDEX(Settings!$B$29:$B$40,MONTH(A7518)),INDEX(Settings!$B$29:$B$40,MONTH(A7518)))))</f>
        <v/>
      </c>
    </row>
    <row r="7519" customFormat="false" ht="15" hidden="false" customHeight="false" outlineLevel="0" collapsed="false">
      <c r="H7519" s="0" t="str">
        <f aca="false">IF(B7519="","",IF(COUNTIF(Campaigns!$A$7:$A$300,B7519)&gt;0,"✓","⚠ add to Campaigns tab"))</f>
        <v/>
      </c>
      <c r="I7519" s="84" t="str">
        <f aca="false">IF(C7519="","",C7519*IF(Settings!$B$23=Settings!$C$6,1,IF(Settings!$B$23="USD",1/INDEX(Settings!$B$29:$B$40,MONTH(A7519)),INDEX(Settings!$B$29:$B$40,MONTH(A7519)))))</f>
        <v/>
      </c>
    </row>
    <row r="7520" customFormat="false" ht="15" hidden="false" customHeight="false" outlineLevel="0" collapsed="false">
      <c r="H7520" s="0" t="str">
        <f aca="false">IF(B7520="","",IF(COUNTIF(Campaigns!$A$7:$A$300,B7520)&gt;0,"✓","⚠ add to Campaigns tab"))</f>
        <v/>
      </c>
      <c r="I7520" s="84" t="str">
        <f aca="false">IF(C7520="","",C7520*IF(Settings!$B$23=Settings!$C$6,1,IF(Settings!$B$23="USD",1/INDEX(Settings!$B$29:$B$40,MONTH(A7520)),INDEX(Settings!$B$29:$B$40,MONTH(A7520)))))</f>
        <v/>
      </c>
    </row>
    <row r="7521" customFormat="false" ht="15" hidden="false" customHeight="false" outlineLevel="0" collapsed="false">
      <c r="H7521" s="0" t="str">
        <f aca="false">IF(B7521="","",IF(COUNTIF(Campaigns!$A$7:$A$300,B7521)&gt;0,"✓","⚠ add to Campaigns tab"))</f>
        <v/>
      </c>
      <c r="I7521" s="84" t="str">
        <f aca="false">IF(C7521="","",C7521*IF(Settings!$B$23=Settings!$C$6,1,IF(Settings!$B$23="USD",1/INDEX(Settings!$B$29:$B$40,MONTH(A7521)),INDEX(Settings!$B$29:$B$40,MONTH(A7521)))))</f>
        <v/>
      </c>
    </row>
    <row r="7522" customFormat="false" ht="15" hidden="false" customHeight="false" outlineLevel="0" collapsed="false">
      <c r="H7522" s="0" t="str">
        <f aca="false">IF(B7522="","",IF(COUNTIF(Campaigns!$A$7:$A$300,B7522)&gt;0,"✓","⚠ add to Campaigns tab"))</f>
        <v/>
      </c>
      <c r="I7522" s="84" t="str">
        <f aca="false">IF(C7522="","",C7522*IF(Settings!$B$23=Settings!$C$6,1,IF(Settings!$B$23="USD",1/INDEX(Settings!$B$29:$B$40,MONTH(A7522)),INDEX(Settings!$B$29:$B$40,MONTH(A7522)))))</f>
        <v/>
      </c>
    </row>
    <row r="7523" customFormat="false" ht="15" hidden="false" customHeight="false" outlineLevel="0" collapsed="false">
      <c r="H7523" s="0" t="str">
        <f aca="false">IF(B7523="","",IF(COUNTIF(Campaigns!$A$7:$A$300,B7523)&gt;0,"✓","⚠ add to Campaigns tab"))</f>
        <v/>
      </c>
      <c r="I7523" s="84" t="str">
        <f aca="false">IF(C7523="","",C7523*IF(Settings!$B$23=Settings!$C$6,1,IF(Settings!$B$23="USD",1/INDEX(Settings!$B$29:$B$40,MONTH(A7523)),INDEX(Settings!$B$29:$B$40,MONTH(A7523)))))</f>
        <v/>
      </c>
    </row>
    <row r="7524" customFormat="false" ht="15" hidden="false" customHeight="false" outlineLevel="0" collapsed="false">
      <c r="H7524" s="0" t="str">
        <f aca="false">IF(B7524="","",IF(COUNTIF(Campaigns!$A$7:$A$300,B7524)&gt;0,"✓","⚠ add to Campaigns tab"))</f>
        <v/>
      </c>
      <c r="I7524" s="84" t="str">
        <f aca="false">IF(C7524="","",C7524*IF(Settings!$B$23=Settings!$C$6,1,IF(Settings!$B$23="USD",1/INDEX(Settings!$B$29:$B$40,MONTH(A7524)),INDEX(Settings!$B$29:$B$40,MONTH(A7524)))))</f>
        <v/>
      </c>
    </row>
    <row r="7525" customFormat="false" ht="15" hidden="false" customHeight="false" outlineLevel="0" collapsed="false">
      <c r="H7525" s="0" t="str">
        <f aca="false">IF(B7525="","",IF(COUNTIF(Campaigns!$A$7:$A$300,B7525)&gt;0,"✓","⚠ add to Campaigns tab"))</f>
        <v/>
      </c>
      <c r="I7525" s="84" t="str">
        <f aca="false">IF(C7525="","",C7525*IF(Settings!$B$23=Settings!$C$6,1,IF(Settings!$B$23="USD",1/INDEX(Settings!$B$29:$B$40,MONTH(A7525)),INDEX(Settings!$B$29:$B$40,MONTH(A7525)))))</f>
        <v/>
      </c>
    </row>
    <row r="7526" customFormat="false" ht="15" hidden="false" customHeight="false" outlineLevel="0" collapsed="false">
      <c r="H7526" s="0" t="str">
        <f aca="false">IF(B7526="","",IF(COUNTIF(Campaigns!$A$7:$A$300,B7526)&gt;0,"✓","⚠ add to Campaigns tab"))</f>
        <v/>
      </c>
      <c r="I7526" s="84" t="str">
        <f aca="false">IF(C7526="","",C7526*IF(Settings!$B$23=Settings!$C$6,1,IF(Settings!$B$23="USD",1/INDEX(Settings!$B$29:$B$40,MONTH(A7526)),INDEX(Settings!$B$29:$B$40,MONTH(A7526)))))</f>
        <v/>
      </c>
    </row>
    <row r="7527" customFormat="false" ht="15" hidden="false" customHeight="false" outlineLevel="0" collapsed="false">
      <c r="H7527" s="0" t="str">
        <f aca="false">IF(B7527="","",IF(COUNTIF(Campaigns!$A$7:$A$300,B7527)&gt;0,"✓","⚠ add to Campaigns tab"))</f>
        <v/>
      </c>
      <c r="I7527" s="84" t="str">
        <f aca="false">IF(C7527="","",C7527*IF(Settings!$B$23=Settings!$C$6,1,IF(Settings!$B$23="USD",1/INDEX(Settings!$B$29:$B$40,MONTH(A7527)),INDEX(Settings!$B$29:$B$40,MONTH(A7527)))))</f>
        <v/>
      </c>
    </row>
    <row r="7528" customFormat="false" ht="15" hidden="false" customHeight="false" outlineLevel="0" collapsed="false">
      <c r="H7528" s="0" t="str">
        <f aca="false">IF(B7528="","",IF(COUNTIF(Campaigns!$A$7:$A$300,B7528)&gt;0,"✓","⚠ add to Campaigns tab"))</f>
        <v/>
      </c>
      <c r="I7528" s="84" t="str">
        <f aca="false">IF(C7528="","",C7528*IF(Settings!$B$23=Settings!$C$6,1,IF(Settings!$B$23="USD",1/INDEX(Settings!$B$29:$B$40,MONTH(A7528)),INDEX(Settings!$B$29:$B$40,MONTH(A7528)))))</f>
        <v/>
      </c>
    </row>
    <row r="7529" customFormat="false" ht="15" hidden="false" customHeight="false" outlineLevel="0" collapsed="false">
      <c r="H7529" s="0" t="str">
        <f aca="false">IF(B7529="","",IF(COUNTIF(Campaigns!$A$7:$A$300,B7529)&gt;0,"✓","⚠ add to Campaigns tab"))</f>
        <v/>
      </c>
      <c r="I7529" s="84" t="str">
        <f aca="false">IF(C7529="","",C7529*IF(Settings!$B$23=Settings!$C$6,1,IF(Settings!$B$23="USD",1/INDEX(Settings!$B$29:$B$40,MONTH(A7529)),INDEX(Settings!$B$29:$B$40,MONTH(A7529)))))</f>
        <v/>
      </c>
    </row>
    <row r="7530" customFormat="false" ht="15" hidden="false" customHeight="false" outlineLevel="0" collapsed="false">
      <c r="H7530" s="0" t="str">
        <f aca="false">IF(B7530="","",IF(COUNTIF(Campaigns!$A$7:$A$300,B7530)&gt;0,"✓","⚠ add to Campaigns tab"))</f>
        <v/>
      </c>
      <c r="I7530" s="84" t="str">
        <f aca="false">IF(C7530="","",C7530*IF(Settings!$B$23=Settings!$C$6,1,IF(Settings!$B$23="USD",1/INDEX(Settings!$B$29:$B$40,MONTH(A7530)),INDEX(Settings!$B$29:$B$40,MONTH(A7530)))))</f>
        <v/>
      </c>
    </row>
    <row r="7531" customFormat="false" ht="15" hidden="false" customHeight="false" outlineLevel="0" collapsed="false">
      <c r="H7531" s="0" t="str">
        <f aca="false">IF(B7531="","",IF(COUNTIF(Campaigns!$A$7:$A$300,B7531)&gt;0,"✓","⚠ add to Campaigns tab"))</f>
        <v/>
      </c>
      <c r="I7531" s="84" t="str">
        <f aca="false">IF(C7531="","",C7531*IF(Settings!$B$23=Settings!$C$6,1,IF(Settings!$B$23="USD",1/INDEX(Settings!$B$29:$B$40,MONTH(A7531)),INDEX(Settings!$B$29:$B$40,MONTH(A7531)))))</f>
        <v/>
      </c>
    </row>
    <row r="7532" customFormat="false" ht="15" hidden="false" customHeight="false" outlineLevel="0" collapsed="false">
      <c r="H7532" s="0" t="str">
        <f aca="false">IF(B7532="","",IF(COUNTIF(Campaigns!$A$7:$A$300,B7532)&gt;0,"✓","⚠ add to Campaigns tab"))</f>
        <v/>
      </c>
      <c r="I7532" s="84" t="str">
        <f aca="false">IF(C7532="","",C7532*IF(Settings!$B$23=Settings!$C$6,1,IF(Settings!$B$23="USD",1/INDEX(Settings!$B$29:$B$40,MONTH(A7532)),INDEX(Settings!$B$29:$B$40,MONTH(A7532)))))</f>
        <v/>
      </c>
    </row>
    <row r="7533" customFormat="false" ht="15" hidden="false" customHeight="false" outlineLevel="0" collapsed="false">
      <c r="H7533" s="0" t="str">
        <f aca="false">IF(B7533="","",IF(COUNTIF(Campaigns!$A$7:$A$300,B7533)&gt;0,"✓","⚠ add to Campaigns tab"))</f>
        <v/>
      </c>
      <c r="I7533" s="84" t="str">
        <f aca="false">IF(C7533="","",C7533*IF(Settings!$B$23=Settings!$C$6,1,IF(Settings!$B$23="USD",1/INDEX(Settings!$B$29:$B$40,MONTH(A7533)),INDEX(Settings!$B$29:$B$40,MONTH(A7533)))))</f>
        <v/>
      </c>
    </row>
    <row r="7534" customFormat="false" ht="15" hidden="false" customHeight="false" outlineLevel="0" collapsed="false">
      <c r="H7534" s="0" t="str">
        <f aca="false">IF(B7534="","",IF(COUNTIF(Campaigns!$A$7:$A$300,B7534)&gt;0,"✓","⚠ add to Campaigns tab"))</f>
        <v/>
      </c>
      <c r="I7534" s="84" t="str">
        <f aca="false">IF(C7534="","",C7534*IF(Settings!$B$23=Settings!$C$6,1,IF(Settings!$B$23="USD",1/INDEX(Settings!$B$29:$B$40,MONTH(A7534)),INDEX(Settings!$B$29:$B$40,MONTH(A7534)))))</f>
        <v/>
      </c>
    </row>
    <row r="7535" customFormat="false" ht="15" hidden="false" customHeight="false" outlineLevel="0" collapsed="false">
      <c r="H7535" s="0" t="str">
        <f aca="false">IF(B7535="","",IF(COUNTIF(Campaigns!$A$7:$A$300,B7535)&gt;0,"✓","⚠ add to Campaigns tab"))</f>
        <v/>
      </c>
      <c r="I7535" s="84" t="str">
        <f aca="false">IF(C7535="","",C7535*IF(Settings!$B$23=Settings!$C$6,1,IF(Settings!$B$23="USD",1/INDEX(Settings!$B$29:$B$40,MONTH(A7535)),INDEX(Settings!$B$29:$B$40,MONTH(A7535)))))</f>
        <v/>
      </c>
    </row>
    <row r="7536" customFormat="false" ht="15" hidden="false" customHeight="false" outlineLevel="0" collapsed="false">
      <c r="H7536" s="0" t="str">
        <f aca="false">IF(B7536="","",IF(COUNTIF(Campaigns!$A$7:$A$300,B7536)&gt;0,"✓","⚠ add to Campaigns tab"))</f>
        <v/>
      </c>
      <c r="I7536" s="84" t="str">
        <f aca="false">IF(C7536="","",C7536*IF(Settings!$B$23=Settings!$C$6,1,IF(Settings!$B$23="USD",1/INDEX(Settings!$B$29:$B$40,MONTH(A7536)),INDEX(Settings!$B$29:$B$40,MONTH(A7536)))))</f>
        <v/>
      </c>
    </row>
    <row r="7537" customFormat="false" ht="15" hidden="false" customHeight="false" outlineLevel="0" collapsed="false">
      <c r="H7537" s="0" t="str">
        <f aca="false">IF(B7537="","",IF(COUNTIF(Campaigns!$A$7:$A$300,B7537)&gt;0,"✓","⚠ add to Campaigns tab"))</f>
        <v/>
      </c>
      <c r="I7537" s="84" t="str">
        <f aca="false">IF(C7537="","",C7537*IF(Settings!$B$23=Settings!$C$6,1,IF(Settings!$B$23="USD",1/INDEX(Settings!$B$29:$B$40,MONTH(A7537)),INDEX(Settings!$B$29:$B$40,MONTH(A7537)))))</f>
        <v/>
      </c>
    </row>
    <row r="7538" customFormat="false" ht="15" hidden="false" customHeight="false" outlineLevel="0" collapsed="false">
      <c r="H7538" s="0" t="str">
        <f aca="false">IF(B7538="","",IF(COUNTIF(Campaigns!$A$7:$A$300,B7538)&gt;0,"✓","⚠ add to Campaigns tab"))</f>
        <v/>
      </c>
      <c r="I7538" s="84" t="str">
        <f aca="false">IF(C7538="","",C7538*IF(Settings!$B$23=Settings!$C$6,1,IF(Settings!$B$23="USD",1/INDEX(Settings!$B$29:$B$40,MONTH(A7538)),INDEX(Settings!$B$29:$B$40,MONTH(A7538)))))</f>
        <v/>
      </c>
    </row>
    <row r="7539" customFormat="false" ht="15" hidden="false" customHeight="false" outlineLevel="0" collapsed="false">
      <c r="H7539" s="0" t="str">
        <f aca="false">IF(B7539="","",IF(COUNTIF(Campaigns!$A$7:$A$300,B7539)&gt;0,"✓","⚠ add to Campaigns tab"))</f>
        <v/>
      </c>
      <c r="I7539" s="84" t="str">
        <f aca="false">IF(C7539="","",C7539*IF(Settings!$B$23=Settings!$C$6,1,IF(Settings!$B$23="USD",1/INDEX(Settings!$B$29:$B$40,MONTH(A7539)),INDEX(Settings!$B$29:$B$40,MONTH(A7539)))))</f>
        <v/>
      </c>
    </row>
    <row r="7540" customFormat="false" ht="15" hidden="false" customHeight="false" outlineLevel="0" collapsed="false">
      <c r="H7540" s="0" t="str">
        <f aca="false">IF(B7540="","",IF(COUNTIF(Campaigns!$A$7:$A$300,B7540)&gt;0,"✓","⚠ add to Campaigns tab"))</f>
        <v/>
      </c>
      <c r="I7540" s="84" t="str">
        <f aca="false">IF(C7540="","",C7540*IF(Settings!$B$23=Settings!$C$6,1,IF(Settings!$B$23="USD",1/INDEX(Settings!$B$29:$B$40,MONTH(A7540)),INDEX(Settings!$B$29:$B$40,MONTH(A7540)))))</f>
        <v/>
      </c>
    </row>
    <row r="7541" customFormat="false" ht="15" hidden="false" customHeight="false" outlineLevel="0" collapsed="false">
      <c r="H7541" s="0" t="str">
        <f aca="false">IF(B7541="","",IF(COUNTIF(Campaigns!$A$7:$A$300,B7541)&gt;0,"✓","⚠ add to Campaigns tab"))</f>
        <v/>
      </c>
      <c r="I7541" s="84" t="str">
        <f aca="false">IF(C7541="","",C7541*IF(Settings!$B$23=Settings!$C$6,1,IF(Settings!$B$23="USD",1/INDEX(Settings!$B$29:$B$40,MONTH(A7541)),INDEX(Settings!$B$29:$B$40,MONTH(A7541)))))</f>
        <v/>
      </c>
    </row>
    <row r="7542" customFormat="false" ht="15" hidden="false" customHeight="false" outlineLevel="0" collapsed="false">
      <c r="H7542" s="0" t="str">
        <f aca="false">IF(B7542="","",IF(COUNTIF(Campaigns!$A$7:$A$300,B7542)&gt;0,"✓","⚠ add to Campaigns tab"))</f>
        <v/>
      </c>
      <c r="I7542" s="84" t="str">
        <f aca="false">IF(C7542="","",C7542*IF(Settings!$B$23=Settings!$C$6,1,IF(Settings!$B$23="USD",1/INDEX(Settings!$B$29:$B$40,MONTH(A7542)),INDEX(Settings!$B$29:$B$40,MONTH(A7542)))))</f>
        <v/>
      </c>
    </row>
    <row r="7543" customFormat="false" ht="15" hidden="false" customHeight="false" outlineLevel="0" collapsed="false">
      <c r="H7543" s="0" t="str">
        <f aca="false">IF(B7543="","",IF(COUNTIF(Campaigns!$A$7:$A$300,B7543)&gt;0,"✓","⚠ add to Campaigns tab"))</f>
        <v/>
      </c>
      <c r="I7543" s="84" t="str">
        <f aca="false">IF(C7543="","",C7543*IF(Settings!$B$23=Settings!$C$6,1,IF(Settings!$B$23="USD",1/INDEX(Settings!$B$29:$B$40,MONTH(A7543)),INDEX(Settings!$B$29:$B$40,MONTH(A7543)))))</f>
        <v/>
      </c>
    </row>
    <row r="7544" customFormat="false" ht="15" hidden="false" customHeight="false" outlineLevel="0" collapsed="false">
      <c r="H7544" s="0" t="str">
        <f aca="false">IF(B7544="","",IF(COUNTIF(Campaigns!$A$7:$A$300,B7544)&gt;0,"✓","⚠ add to Campaigns tab"))</f>
        <v/>
      </c>
      <c r="I7544" s="84" t="str">
        <f aca="false">IF(C7544="","",C7544*IF(Settings!$B$23=Settings!$C$6,1,IF(Settings!$B$23="USD",1/INDEX(Settings!$B$29:$B$40,MONTH(A7544)),INDEX(Settings!$B$29:$B$40,MONTH(A7544)))))</f>
        <v/>
      </c>
    </row>
    <row r="7545" customFormat="false" ht="15" hidden="false" customHeight="false" outlineLevel="0" collapsed="false">
      <c r="H7545" s="0" t="str">
        <f aca="false">IF(B7545="","",IF(COUNTIF(Campaigns!$A$7:$A$300,B7545)&gt;0,"✓","⚠ add to Campaigns tab"))</f>
        <v/>
      </c>
      <c r="I7545" s="84" t="str">
        <f aca="false">IF(C7545="","",C7545*IF(Settings!$B$23=Settings!$C$6,1,IF(Settings!$B$23="USD",1/INDEX(Settings!$B$29:$B$40,MONTH(A7545)),INDEX(Settings!$B$29:$B$40,MONTH(A7545)))))</f>
        <v/>
      </c>
    </row>
    <row r="7546" customFormat="false" ht="15" hidden="false" customHeight="false" outlineLevel="0" collapsed="false">
      <c r="H7546" s="0" t="str">
        <f aca="false">IF(B7546="","",IF(COUNTIF(Campaigns!$A$7:$A$300,B7546)&gt;0,"✓","⚠ add to Campaigns tab"))</f>
        <v/>
      </c>
      <c r="I7546" s="84" t="str">
        <f aca="false">IF(C7546="","",C7546*IF(Settings!$B$23=Settings!$C$6,1,IF(Settings!$B$23="USD",1/INDEX(Settings!$B$29:$B$40,MONTH(A7546)),INDEX(Settings!$B$29:$B$40,MONTH(A7546)))))</f>
        <v/>
      </c>
    </row>
    <row r="7547" customFormat="false" ht="15" hidden="false" customHeight="false" outlineLevel="0" collapsed="false">
      <c r="H7547" s="0" t="str">
        <f aca="false">IF(B7547="","",IF(COUNTIF(Campaigns!$A$7:$A$300,B7547)&gt;0,"✓","⚠ add to Campaigns tab"))</f>
        <v/>
      </c>
      <c r="I7547" s="84" t="str">
        <f aca="false">IF(C7547="","",C7547*IF(Settings!$B$23=Settings!$C$6,1,IF(Settings!$B$23="USD",1/INDEX(Settings!$B$29:$B$40,MONTH(A7547)),INDEX(Settings!$B$29:$B$40,MONTH(A7547)))))</f>
        <v/>
      </c>
    </row>
    <row r="7548" customFormat="false" ht="15" hidden="false" customHeight="false" outlineLevel="0" collapsed="false">
      <c r="H7548" s="0" t="str">
        <f aca="false">IF(B7548="","",IF(COUNTIF(Campaigns!$A$7:$A$300,B7548)&gt;0,"✓","⚠ add to Campaigns tab"))</f>
        <v/>
      </c>
      <c r="I7548" s="84" t="str">
        <f aca="false">IF(C7548="","",C7548*IF(Settings!$B$23=Settings!$C$6,1,IF(Settings!$B$23="USD",1/INDEX(Settings!$B$29:$B$40,MONTH(A7548)),INDEX(Settings!$B$29:$B$40,MONTH(A7548)))))</f>
        <v/>
      </c>
    </row>
    <row r="7549" customFormat="false" ht="15" hidden="false" customHeight="false" outlineLevel="0" collapsed="false">
      <c r="H7549" s="0" t="str">
        <f aca="false">IF(B7549="","",IF(COUNTIF(Campaigns!$A$7:$A$300,B7549)&gt;0,"✓","⚠ add to Campaigns tab"))</f>
        <v/>
      </c>
      <c r="I7549" s="84" t="str">
        <f aca="false">IF(C7549="","",C7549*IF(Settings!$B$23=Settings!$C$6,1,IF(Settings!$B$23="USD",1/INDEX(Settings!$B$29:$B$40,MONTH(A7549)),INDEX(Settings!$B$29:$B$40,MONTH(A7549)))))</f>
        <v/>
      </c>
    </row>
    <row r="7550" customFormat="false" ht="15" hidden="false" customHeight="false" outlineLevel="0" collapsed="false">
      <c r="H7550" s="0" t="str">
        <f aca="false">IF(B7550="","",IF(COUNTIF(Campaigns!$A$7:$A$300,B7550)&gt;0,"✓","⚠ add to Campaigns tab"))</f>
        <v/>
      </c>
      <c r="I7550" s="84" t="str">
        <f aca="false">IF(C7550="","",C7550*IF(Settings!$B$23=Settings!$C$6,1,IF(Settings!$B$23="USD",1/INDEX(Settings!$B$29:$B$40,MONTH(A7550)),INDEX(Settings!$B$29:$B$40,MONTH(A7550)))))</f>
        <v/>
      </c>
    </row>
    <row r="7551" customFormat="false" ht="15" hidden="false" customHeight="false" outlineLevel="0" collapsed="false">
      <c r="H7551" s="0" t="str">
        <f aca="false">IF(B7551="","",IF(COUNTIF(Campaigns!$A$7:$A$300,B7551)&gt;0,"✓","⚠ add to Campaigns tab"))</f>
        <v/>
      </c>
      <c r="I7551" s="84" t="str">
        <f aca="false">IF(C7551="","",C7551*IF(Settings!$B$23=Settings!$C$6,1,IF(Settings!$B$23="USD",1/INDEX(Settings!$B$29:$B$40,MONTH(A7551)),INDEX(Settings!$B$29:$B$40,MONTH(A7551)))))</f>
        <v/>
      </c>
    </row>
    <row r="7552" customFormat="false" ht="15" hidden="false" customHeight="false" outlineLevel="0" collapsed="false">
      <c r="H7552" s="0" t="str">
        <f aca="false">IF(B7552="","",IF(COUNTIF(Campaigns!$A$7:$A$300,B7552)&gt;0,"✓","⚠ add to Campaigns tab"))</f>
        <v/>
      </c>
      <c r="I7552" s="84" t="str">
        <f aca="false">IF(C7552="","",C7552*IF(Settings!$B$23=Settings!$C$6,1,IF(Settings!$B$23="USD",1/INDEX(Settings!$B$29:$B$40,MONTH(A7552)),INDEX(Settings!$B$29:$B$40,MONTH(A7552)))))</f>
        <v/>
      </c>
    </row>
    <row r="7553" customFormat="false" ht="15" hidden="false" customHeight="false" outlineLevel="0" collapsed="false">
      <c r="H7553" s="0" t="str">
        <f aca="false">IF(B7553="","",IF(COUNTIF(Campaigns!$A$7:$A$300,B7553)&gt;0,"✓","⚠ add to Campaigns tab"))</f>
        <v/>
      </c>
      <c r="I7553" s="84" t="str">
        <f aca="false">IF(C7553="","",C7553*IF(Settings!$B$23=Settings!$C$6,1,IF(Settings!$B$23="USD",1/INDEX(Settings!$B$29:$B$40,MONTH(A7553)),INDEX(Settings!$B$29:$B$40,MONTH(A7553)))))</f>
        <v/>
      </c>
    </row>
    <row r="7554" customFormat="false" ht="15" hidden="false" customHeight="false" outlineLevel="0" collapsed="false">
      <c r="H7554" s="0" t="str">
        <f aca="false">IF(B7554="","",IF(COUNTIF(Campaigns!$A$7:$A$300,B7554)&gt;0,"✓","⚠ add to Campaigns tab"))</f>
        <v/>
      </c>
      <c r="I7554" s="84" t="str">
        <f aca="false">IF(C7554="","",C7554*IF(Settings!$B$23=Settings!$C$6,1,IF(Settings!$B$23="USD",1/INDEX(Settings!$B$29:$B$40,MONTH(A7554)),INDEX(Settings!$B$29:$B$40,MONTH(A7554)))))</f>
        <v/>
      </c>
    </row>
    <row r="7555" customFormat="false" ht="15" hidden="false" customHeight="false" outlineLevel="0" collapsed="false">
      <c r="H7555" s="0" t="str">
        <f aca="false">IF(B7555="","",IF(COUNTIF(Campaigns!$A$7:$A$300,B7555)&gt;0,"✓","⚠ add to Campaigns tab"))</f>
        <v/>
      </c>
      <c r="I7555" s="84" t="str">
        <f aca="false">IF(C7555="","",C7555*IF(Settings!$B$23=Settings!$C$6,1,IF(Settings!$B$23="USD",1/INDEX(Settings!$B$29:$B$40,MONTH(A7555)),INDEX(Settings!$B$29:$B$40,MONTH(A7555)))))</f>
        <v/>
      </c>
    </row>
    <row r="7556" customFormat="false" ht="15" hidden="false" customHeight="false" outlineLevel="0" collapsed="false">
      <c r="H7556" s="0" t="str">
        <f aca="false">IF(B7556="","",IF(COUNTIF(Campaigns!$A$7:$A$300,B7556)&gt;0,"✓","⚠ add to Campaigns tab"))</f>
        <v/>
      </c>
      <c r="I7556" s="84" t="str">
        <f aca="false">IF(C7556="","",C7556*IF(Settings!$B$23=Settings!$C$6,1,IF(Settings!$B$23="USD",1/INDEX(Settings!$B$29:$B$40,MONTH(A7556)),INDEX(Settings!$B$29:$B$40,MONTH(A7556)))))</f>
        <v/>
      </c>
    </row>
    <row r="7557" customFormat="false" ht="15" hidden="false" customHeight="false" outlineLevel="0" collapsed="false">
      <c r="H7557" s="0" t="str">
        <f aca="false">IF(B7557="","",IF(COUNTIF(Campaigns!$A$7:$A$300,B7557)&gt;0,"✓","⚠ add to Campaigns tab"))</f>
        <v/>
      </c>
      <c r="I7557" s="84" t="str">
        <f aca="false">IF(C7557="","",C7557*IF(Settings!$B$23=Settings!$C$6,1,IF(Settings!$B$23="USD",1/INDEX(Settings!$B$29:$B$40,MONTH(A7557)),INDEX(Settings!$B$29:$B$40,MONTH(A7557)))))</f>
        <v/>
      </c>
    </row>
    <row r="7558" customFormat="false" ht="15" hidden="false" customHeight="false" outlineLevel="0" collapsed="false">
      <c r="H7558" s="0" t="str">
        <f aca="false">IF(B7558="","",IF(COUNTIF(Campaigns!$A$7:$A$300,B7558)&gt;0,"✓","⚠ add to Campaigns tab"))</f>
        <v/>
      </c>
      <c r="I7558" s="84" t="str">
        <f aca="false">IF(C7558="","",C7558*IF(Settings!$B$23=Settings!$C$6,1,IF(Settings!$B$23="USD",1/INDEX(Settings!$B$29:$B$40,MONTH(A7558)),INDEX(Settings!$B$29:$B$40,MONTH(A7558)))))</f>
        <v/>
      </c>
    </row>
    <row r="7559" customFormat="false" ht="15" hidden="false" customHeight="false" outlineLevel="0" collapsed="false">
      <c r="H7559" s="0" t="str">
        <f aca="false">IF(B7559="","",IF(COUNTIF(Campaigns!$A$7:$A$300,B7559)&gt;0,"✓","⚠ add to Campaigns tab"))</f>
        <v/>
      </c>
      <c r="I7559" s="84" t="str">
        <f aca="false">IF(C7559="","",C7559*IF(Settings!$B$23=Settings!$C$6,1,IF(Settings!$B$23="USD",1/INDEX(Settings!$B$29:$B$40,MONTH(A7559)),INDEX(Settings!$B$29:$B$40,MONTH(A7559)))))</f>
        <v/>
      </c>
    </row>
    <row r="7560" customFormat="false" ht="15" hidden="false" customHeight="false" outlineLevel="0" collapsed="false">
      <c r="H7560" s="0" t="str">
        <f aca="false">IF(B7560="","",IF(COUNTIF(Campaigns!$A$7:$A$300,B7560)&gt;0,"✓","⚠ add to Campaigns tab"))</f>
        <v/>
      </c>
      <c r="I7560" s="84" t="str">
        <f aca="false">IF(C7560="","",C7560*IF(Settings!$B$23=Settings!$C$6,1,IF(Settings!$B$23="USD",1/INDEX(Settings!$B$29:$B$40,MONTH(A7560)),INDEX(Settings!$B$29:$B$40,MONTH(A7560)))))</f>
        <v/>
      </c>
    </row>
    <row r="7561" customFormat="false" ht="15" hidden="false" customHeight="false" outlineLevel="0" collapsed="false">
      <c r="H7561" s="0" t="str">
        <f aca="false">IF(B7561="","",IF(COUNTIF(Campaigns!$A$7:$A$300,B7561)&gt;0,"✓","⚠ add to Campaigns tab"))</f>
        <v/>
      </c>
      <c r="I7561" s="84" t="str">
        <f aca="false">IF(C7561="","",C7561*IF(Settings!$B$23=Settings!$C$6,1,IF(Settings!$B$23="USD",1/INDEX(Settings!$B$29:$B$40,MONTH(A7561)),INDEX(Settings!$B$29:$B$40,MONTH(A7561)))))</f>
        <v/>
      </c>
    </row>
    <row r="7562" customFormat="false" ht="15" hidden="false" customHeight="false" outlineLevel="0" collapsed="false">
      <c r="H7562" s="0" t="str">
        <f aca="false">IF(B7562="","",IF(COUNTIF(Campaigns!$A$7:$A$300,B7562)&gt;0,"✓","⚠ add to Campaigns tab"))</f>
        <v/>
      </c>
      <c r="I7562" s="84" t="str">
        <f aca="false">IF(C7562="","",C7562*IF(Settings!$B$23=Settings!$C$6,1,IF(Settings!$B$23="USD",1/INDEX(Settings!$B$29:$B$40,MONTH(A7562)),INDEX(Settings!$B$29:$B$40,MONTH(A7562)))))</f>
        <v/>
      </c>
    </row>
    <row r="7563" customFormat="false" ht="15" hidden="false" customHeight="false" outlineLevel="0" collapsed="false">
      <c r="H7563" s="0" t="str">
        <f aca="false">IF(B7563="","",IF(COUNTIF(Campaigns!$A$7:$A$300,B7563)&gt;0,"✓","⚠ add to Campaigns tab"))</f>
        <v/>
      </c>
      <c r="I7563" s="84" t="str">
        <f aca="false">IF(C7563="","",C7563*IF(Settings!$B$23=Settings!$C$6,1,IF(Settings!$B$23="USD",1/INDEX(Settings!$B$29:$B$40,MONTH(A7563)),INDEX(Settings!$B$29:$B$40,MONTH(A7563)))))</f>
        <v/>
      </c>
    </row>
    <row r="7564" customFormat="false" ht="15" hidden="false" customHeight="false" outlineLevel="0" collapsed="false">
      <c r="H7564" s="0" t="str">
        <f aca="false">IF(B7564="","",IF(COUNTIF(Campaigns!$A$7:$A$300,B7564)&gt;0,"✓","⚠ add to Campaigns tab"))</f>
        <v/>
      </c>
      <c r="I7564" s="84" t="str">
        <f aca="false">IF(C7564="","",C7564*IF(Settings!$B$23=Settings!$C$6,1,IF(Settings!$B$23="USD",1/INDEX(Settings!$B$29:$B$40,MONTH(A7564)),INDEX(Settings!$B$29:$B$40,MONTH(A7564)))))</f>
        <v/>
      </c>
    </row>
    <row r="7565" customFormat="false" ht="15" hidden="false" customHeight="false" outlineLevel="0" collapsed="false">
      <c r="H7565" s="0" t="str">
        <f aca="false">IF(B7565="","",IF(COUNTIF(Campaigns!$A$7:$A$300,B7565)&gt;0,"✓","⚠ add to Campaigns tab"))</f>
        <v/>
      </c>
      <c r="I7565" s="84" t="str">
        <f aca="false">IF(C7565="","",C7565*IF(Settings!$B$23=Settings!$C$6,1,IF(Settings!$B$23="USD",1/INDEX(Settings!$B$29:$B$40,MONTH(A7565)),INDEX(Settings!$B$29:$B$40,MONTH(A7565)))))</f>
        <v/>
      </c>
    </row>
    <row r="7566" customFormat="false" ht="15" hidden="false" customHeight="false" outlineLevel="0" collapsed="false">
      <c r="H7566" s="0" t="str">
        <f aca="false">IF(B7566="","",IF(COUNTIF(Campaigns!$A$7:$A$300,B7566)&gt;0,"✓","⚠ add to Campaigns tab"))</f>
        <v/>
      </c>
      <c r="I7566" s="84" t="str">
        <f aca="false">IF(C7566="","",C7566*IF(Settings!$B$23=Settings!$C$6,1,IF(Settings!$B$23="USD",1/INDEX(Settings!$B$29:$B$40,MONTH(A7566)),INDEX(Settings!$B$29:$B$40,MONTH(A7566)))))</f>
        <v/>
      </c>
    </row>
    <row r="7567" customFormat="false" ht="15" hidden="false" customHeight="false" outlineLevel="0" collapsed="false">
      <c r="H7567" s="0" t="str">
        <f aca="false">IF(B7567="","",IF(COUNTIF(Campaigns!$A$7:$A$300,B7567)&gt;0,"✓","⚠ add to Campaigns tab"))</f>
        <v/>
      </c>
      <c r="I7567" s="84" t="str">
        <f aca="false">IF(C7567="","",C7567*IF(Settings!$B$23=Settings!$C$6,1,IF(Settings!$B$23="USD",1/INDEX(Settings!$B$29:$B$40,MONTH(A7567)),INDEX(Settings!$B$29:$B$40,MONTH(A7567)))))</f>
        <v/>
      </c>
    </row>
    <row r="7568" customFormat="false" ht="15" hidden="false" customHeight="false" outlineLevel="0" collapsed="false">
      <c r="H7568" s="0" t="str">
        <f aca="false">IF(B7568="","",IF(COUNTIF(Campaigns!$A$7:$A$300,B7568)&gt;0,"✓","⚠ add to Campaigns tab"))</f>
        <v/>
      </c>
      <c r="I7568" s="84" t="str">
        <f aca="false">IF(C7568="","",C7568*IF(Settings!$B$23=Settings!$C$6,1,IF(Settings!$B$23="USD",1/INDEX(Settings!$B$29:$B$40,MONTH(A7568)),INDEX(Settings!$B$29:$B$40,MONTH(A7568)))))</f>
        <v/>
      </c>
    </row>
    <row r="7569" customFormat="false" ht="15" hidden="false" customHeight="false" outlineLevel="0" collapsed="false">
      <c r="H7569" s="0" t="str">
        <f aca="false">IF(B7569="","",IF(COUNTIF(Campaigns!$A$7:$A$300,B7569)&gt;0,"✓","⚠ add to Campaigns tab"))</f>
        <v/>
      </c>
      <c r="I7569" s="84" t="str">
        <f aca="false">IF(C7569="","",C7569*IF(Settings!$B$23=Settings!$C$6,1,IF(Settings!$B$23="USD",1/INDEX(Settings!$B$29:$B$40,MONTH(A7569)),INDEX(Settings!$B$29:$B$40,MONTH(A7569)))))</f>
        <v/>
      </c>
    </row>
    <row r="7570" customFormat="false" ht="15" hidden="false" customHeight="false" outlineLevel="0" collapsed="false">
      <c r="H7570" s="0" t="str">
        <f aca="false">IF(B7570="","",IF(COUNTIF(Campaigns!$A$7:$A$300,B7570)&gt;0,"✓","⚠ add to Campaigns tab"))</f>
        <v/>
      </c>
      <c r="I7570" s="84" t="str">
        <f aca="false">IF(C7570="","",C7570*IF(Settings!$B$23=Settings!$C$6,1,IF(Settings!$B$23="USD",1/INDEX(Settings!$B$29:$B$40,MONTH(A7570)),INDEX(Settings!$B$29:$B$40,MONTH(A7570)))))</f>
        <v/>
      </c>
    </row>
    <row r="7571" customFormat="false" ht="15" hidden="false" customHeight="false" outlineLevel="0" collapsed="false">
      <c r="H7571" s="0" t="str">
        <f aca="false">IF(B7571="","",IF(COUNTIF(Campaigns!$A$7:$A$300,B7571)&gt;0,"✓","⚠ add to Campaigns tab"))</f>
        <v/>
      </c>
      <c r="I7571" s="84" t="str">
        <f aca="false">IF(C7571="","",C7571*IF(Settings!$B$23=Settings!$C$6,1,IF(Settings!$B$23="USD",1/INDEX(Settings!$B$29:$B$40,MONTH(A7571)),INDEX(Settings!$B$29:$B$40,MONTH(A7571)))))</f>
        <v/>
      </c>
    </row>
    <row r="7572" customFormat="false" ht="15" hidden="false" customHeight="false" outlineLevel="0" collapsed="false">
      <c r="H7572" s="0" t="str">
        <f aca="false">IF(B7572="","",IF(COUNTIF(Campaigns!$A$7:$A$300,B7572)&gt;0,"✓","⚠ add to Campaigns tab"))</f>
        <v/>
      </c>
      <c r="I7572" s="84" t="str">
        <f aca="false">IF(C7572="","",C7572*IF(Settings!$B$23=Settings!$C$6,1,IF(Settings!$B$23="USD",1/INDEX(Settings!$B$29:$B$40,MONTH(A7572)),INDEX(Settings!$B$29:$B$40,MONTH(A7572)))))</f>
        <v/>
      </c>
    </row>
    <row r="7573" customFormat="false" ht="15" hidden="false" customHeight="false" outlineLevel="0" collapsed="false">
      <c r="H7573" s="0" t="str">
        <f aca="false">IF(B7573="","",IF(COUNTIF(Campaigns!$A$7:$A$300,B7573)&gt;0,"✓","⚠ add to Campaigns tab"))</f>
        <v/>
      </c>
      <c r="I7573" s="84" t="str">
        <f aca="false">IF(C7573="","",C7573*IF(Settings!$B$23=Settings!$C$6,1,IF(Settings!$B$23="USD",1/INDEX(Settings!$B$29:$B$40,MONTH(A7573)),INDEX(Settings!$B$29:$B$40,MONTH(A7573)))))</f>
        <v/>
      </c>
    </row>
    <row r="7574" customFormat="false" ht="15" hidden="false" customHeight="false" outlineLevel="0" collapsed="false">
      <c r="H7574" s="0" t="str">
        <f aca="false">IF(B7574="","",IF(COUNTIF(Campaigns!$A$7:$A$300,B7574)&gt;0,"✓","⚠ add to Campaigns tab"))</f>
        <v/>
      </c>
      <c r="I7574" s="84" t="str">
        <f aca="false">IF(C7574="","",C7574*IF(Settings!$B$23=Settings!$C$6,1,IF(Settings!$B$23="USD",1/INDEX(Settings!$B$29:$B$40,MONTH(A7574)),INDEX(Settings!$B$29:$B$40,MONTH(A7574)))))</f>
        <v/>
      </c>
    </row>
    <row r="7575" customFormat="false" ht="15" hidden="false" customHeight="false" outlineLevel="0" collapsed="false">
      <c r="H7575" s="0" t="str">
        <f aca="false">IF(B7575="","",IF(COUNTIF(Campaigns!$A$7:$A$300,B7575)&gt;0,"✓","⚠ add to Campaigns tab"))</f>
        <v/>
      </c>
      <c r="I7575" s="84" t="str">
        <f aca="false">IF(C7575="","",C7575*IF(Settings!$B$23=Settings!$C$6,1,IF(Settings!$B$23="USD",1/INDEX(Settings!$B$29:$B$40,MONTH(A7575)),INDEX(Settings!$B$29:$B$40,MONTH(A7575)))))</f>
        <v/>
      </c>
    </row>
    <row r="7576" customFormat="false" ht="15" hidden="false" customHeight="false" outlineLevel="0" collapsed="false">
      <c r="H7576" s="0" t="str">
        <f aca="false">IF(B7576="","",IF(COUNTIF(Campaigns!$A$7:$A$300,B7576)&gt;0,"✓","⚠ add to Campaigns tab"))</f>
        <v/>
      </c>
      <c r="I7576" s="84" t="str">
        <f aca="false">IF(C7576="","",C7576*IF(Settings!$B$23=Settings!$C$6,1,IF(Settings!$B$23="USD",1/INDEX(Settings!$B$29:$B$40,MONTH(A7576)),INDEX(Settings!$B$29:$B$40,MONTH(A7576)))))</f>
        <v/>
      </c>
    </row>
    <row r="7577" customFormat="false" ht="15" hidden="false" customHeight="false" outlineLevel="0" collapsed="false">
      <c r="H7577" s="0" t="str">
        <f aca="false">IF(B7577="","",IF(COUNTIF(Campaigns!$A$7:$A$300,B7577)&gt;0,"✓","⚠ add to Campaigns tab"))</f>
        <v/>
      </c>
      <c r="I7577" s="84" t="str">
        <f aca="false">IF(C7577="","",C7577*IF(Settings!$B$23=Settings!$C$6,1,IF(Settings!$B$23="USD",1/INDEX(Settings!$B$29:$B$40,MONTH(A7577)),INDEX(Settings!$B$29:$B$40,MONTH(A7577)))))</f>
        <v/>
      </c>
    </row>
    <row r="7578" customFormat="false" ht="15" hidden="false" customHeight="false" outlineLevel="0" collapsed="false">
      <c r="H7578" s="0" t="str">
        <f aca="false">IF(B7578="","",IF(COUNTIF(Campaigns!$A$7:$A$300,B7578)&gt;0,"✓","⚠ add to Campaigns tab"))</f>
        <v/>
      </c>
      <c r="I7578" s="84" t="str">
        <f aca="false">IF(C7578="","",C7578*IF(Settings!$B$23=Settings!$C$6,1,IF(Settings!$B$23="USD",1/INDEX(Settings!$B$29:$B$40,MONTH(A7578)),INDEX(Settings!$B$29:$B$40,MONTH(A7578)))))</f>
        <v/>
      </c>
    </row>
    <row r="7579" customFormat="false" ht="15" hidden="false" customHeight="false" outlineLevel="0" collapsed="false">
      <c r="H7579" s="0" t="str">
        <f aca="false">IF(B7579="","",IF(COUNTIF(Campaigns!$A$7:$A$300,B7579)&gt;0,"✓","⚠ add to Campaigns tab"))</f>
        <v/>
      </c>
      <c r="I7579" s="84" t="str">
        <f aca="false">IF(C7579="","",C7579*IF(Settings!$B$23=Settings!$C$6,1,IF(Settings!$B$23="USD",1/INDEX(Settings!$B$29:$B$40,MONTH(A7579)),INDEX(Settings!$B$29:$B$40,MONTH(A7579)))))</f>
        <v/>
      </c>
    </row>
    <row r="7580" customFormat="false" ht="15" hidden="false" customHeight="false" outlineLevel="0" collapsed="false">
      <c r="H7580" s="0" t="str">
        <f aca="false">IF(B7580="","",IF(COUNTIF(Campaigns!$A$7:$A$300,B7580)&gt;0,"✓","⚠ add to Campaigns tab"))</f>
        <v/>
      </c>
      <c r="I7580" s="84" t="str">
        <f aca="false">IF(C7580="","",C7580*IF(Settings!$B$23=Settings!$C$6,1,IF(Settings!$B$23="USD",1/INDEX(Settings!$B$29:$B$40,MONTH(A7580)),INDEX(Settings!$B$29:$B$40,MONTH(A7580)))))</f>
        <v/>
      </c>
    </row>
    <row r="7581" customFormat="false" ht="15" hidden="false" customHeight="false" outlineLevel="0" collapsed="false">
      <c r="H7581" s="0" t="str">
        <f aca="false">IF(B7581="","",IF(COUNTIF(Campaigns!$A$7:$A$300,B7581)&gt;0,"✓","⚠ add to Campaigns tab"))</f>
        <v/>
      </c>
      <c r="I7581" s="84" t="str">
        <f aca="false">IF(C7581="","",C7581*IF(Settings!$B$23=Settings!$C$6,1,IF(Settings!$B$23="USD",1/INDEX(Settings!$B$29:$B$40,MONTH(A7581)),INDEX(Settings!$B$29:$B$40,MONTH(A7581)))))</f>
        <v/>
      </c>
    </row>
    <row r="7582" customFormat="false" ht="15" hidden="false" customHeight="false" outlineLevel="0" collapsed="false">
      <c r="H7582" s="0" t="str">
        <f aca="false">IF(B7582="","",IF(COUNTIF(Campaigns!$A$7:$A$300,B7582)&gt;0,"✓","⚠ add to Campaigns tab"))</f>
        <v/>
      </c>
      <c r="I7582" s="84" t="str">
        <f aca="false">IF(C7582="","",C7582*IF(Settings!$B$23=Settings!$C$6,1,IF(Settings!$B$23="USD",1/INDEX(Settings!$B$29:$B$40,MONTH(A7582)),INDEX(Settings!$B$29:$B$40,MONTH(A7582)))))</f>
        <v/>
      </c>
    </row>
    <row r="7583" customFormat="false" ht="15" hidden="false" customHeight="false" outlineLevel="0" collapsed="false">
      <c r="H7583" s="0" t="str">
        <f aca="false">IF(B7583="","",IF(COUNTIF(Campaigns!$A$7:$A$300,B7583)&gt;0,"✓","⚠ add to Campaigns tab"))</f>
        <v/>
      </c>
      <c r="I7583" s="84" t="str">
        <f aca="false">IF(C7583="","",C7583*IF(Settings!$B$23=Settings!$C$6,1,IF(Settings!$B$23="USD",1/INDEX(Settings!$B$29:$B$40,MONTH(A7583)),INDEX(Settings!$B$29:$B$40,MONTH(A7583)))))</f>
        <v/>
      </c>
    </row>
    <row r="7584" customFormat="false" ht="15" hidden="false" customHeight="false" outlineLevel="0" collapsed="false">
      <c r="H7584" s="0" t="str">
        <f aca="false">IF(B7584="","",IF(COUNTIF(Campaigns!$A$7:$A$300,B7584)&gt;0,"✓","⚠ add to Campaigns tab"))</f>
        <v/>
      </c>
      <c r="I7584" s="84" t="str">
        <f aca="false">IF(C7584="","",C7584*IF(Settings!$B$23=Settings!$C$6,1,IF(Settings!$B$23="USD",1/INDEX(Settings!$B$29:$B$40,MONTH(A7584)),INDEX(Settings!$B$29:$B$40,MONTH(A7584)))))</f>
        <v/>
      </c>
    </row>
    <row r="7585" customFormat="false" ht="15" hidden="false" customHeight="false" outlineLevel="0" collapsed="false">
      <c r="H7585" s="0" t="str">
        <f aca="false">IF(B7585="","",IF(COUNTIF(Campaigns!$A$7:$A$300,B7585)&gt;0,"✓","⚠ add to Campaigns tab"))</f>
        <v/>
      </c>
      <c r="I7585" s="84" t="str">
        <f aca="false">IF(C7585="","",C7585*IF(Settings!$B$23=Settings!$C$6,1,IF(Settings!$B$23="USD",1/INDEX(Settings!$B$29:$B$40,MONTH(A7585)),INDEX(Settings!$B$29:$B$40,MONTH(A7585)))))</f>
        <v/>
      </c>
    </row>
    <row r="7586" customFormat="false" ht="15" hidden="false" customHeight="false" outlineLevel="0" collapsed="false">
      <c r="H7586" s="0" t="str">
        <f aca="false">IF(B7586="","",IF(COUNTIF(Campaigns!$A$7:$A$300,B7586)&gt;0,"✓","⚠ add to Campaigns tab"))</f>
        <v/>
      </c>
      <c r="I7586" s="84" t="str">
        <f aca="false">IF(C7586="","",C7586*IF(Settings!$B$23=Settings!$C$6,1,IF(Settings!$B$23="USD",1/INDEX(Settings!$B$29:$B$40,MONTH(A7586)),INDEX(Settings!$B$29:$B$40,MONTH(A7586)))))</f>
        <v/>
      </c>
    </row>
    <row r="7587" customFormat="false" ht="15" hidden="false" customHeight="false" outlineLevel="0" collapsed="false">
      <c r="H7587" s="0" t="str">
        <f aca="false">IF(B7587="","",IF(COUNTIF(Campaigns!$A$7:$A$300,B7587)&gt;0,"✓","⚠ add to Campaigns tab"))</f>
        <v/>
      </c>
      <c r="I7587" s="84" t="str">
        <f aca="false">IF(C7587="","",C7587*IF(Settings!$B$23=Settings!$C$6,1,IF(Settings!$B$23="USD",1/INDEX(Settings!$B$29:$B$40,MONTH(A7587)),INDEX(Settings!$B$29:$B$40,MONTH(A7587)))))</f>
        <v/>
      </c>
    </row>
    <row r="7588" customFormat="false" ht="15" hidden="false" customHeight="false" outlineLevel="0" collapsed="false">
      <c r="H7588" s="0" t="str">
        <f aca="false">IF(B7588="","",IF(COUNTIF(Campaigns!$A$7:$A$300,B7588)&gt;0,"✓","⚠ add to Campaigns tab"))</f>
        <v/>
      </c>
      <c r="I7588" s="84" t="str">
        <f aca="false">IF(C7588="","",C7588*IF(Settings!$B$23=Settings!$C$6,1,IF(Settings!$B$23="USD",1/INDEX(Settings!$B$29:$B$40,MONTH(A7588)),INDEX(Settings!$B$29:$B$40,MONTH(A7588)))))</f>
        <v/>
      </c>
    </row>
    <row r="7589" customFormat="false" ht="15" hidden="false" customHeight="false" outlineLevel="0" collapsed="false">
      <c r="H7589" s="0" t="str">
        <f aca="false">IF(B7589="","",IF(COUNTIF(Campaigns!$A$7:$A$300,B7589)&gt;0,"✓","⚠ add to Campaigns tab"))</f>
        <v/>
      </c>
      <c r="I7589" s="84" t="str">
        <f aca="false">IF(C7589="","",C7589*IF(Settings!$B$23=Settings!$C$6,1,IF(Settings!$B$23="USD",1/INDEX(Settings!$B$29:$B$40,MONTH(A7589)),INDEX(Settings!$B$29:$B$40,MONTH(A7589)))))</f>
        <v/>
      </c>
    </row>
    <row r="7590" customFormat="false" ht="15" hidden="false" customHeight="false" outlineLevel="0" collapsed="false">
      <c r="H7590" s="0" t="str">
        <f aca="false">IF(B7590="","",IF(COUNTIF(Campaigns!$A$7:$A$300,B7590)&gt;0,"✓","⚠ add to Campaigns tab"))</f>
        <v/>
      </c>
      <c r="I7590" s="84" t="str">
        <f aca="false">IF(C7590="","",C7590*IF(Settings!$B$23=Settings!$C$6,1,IF(Settings!$B$23="USD",1/INDEX(Settings!$B$29:$B$40,MONTH(A7590)),INDEX(Settings!$B$29:$B$40,MONTH(A7590)))))</f>
        <v/>
      </c>
    </row>
    <row r="7591" customFormat="false" ht="15" hidden="false" customHeight="false" outlineLevel="0" collapsed="false">
      <c r="H7591" s="0" t="str">
        <f aca="false">IF(B7591="","",IF(COUNTIF(Campaigns!$A$7:$A$300,B7591)&gt;0,"✓","⚠ add to Campaigns tab"))</f>
        <v/>
      </c>
      <c r="I7591" s="84" t="str">
        <f aca="false">IF(C7591="","",C7591*IF(Settings!$B$23=Settings!$C$6,1,IF(Settings!$B$23="USD",1/INDEX(Settings!$B$29:$B$40,MONTH(A7591)),INDEX(Settings!$B$29:$B$40,MONTH(A7591)))))</f>
        <v/>
      </c>
    </row>
    <row r="7592" customFormat="false" ht="15" hidden="false" customHeight="false" outlineLevel="0" collapsed="false">
      <c r="H7592" s="0" t="str">
        <f aca="false">IF(B7592="","",IF(COUNTIF(Campaigns!$A$7:$A$300,B7592)&gt;0,"✓","⚠ add to Campaigns tab"))</f>
        <v/>
      </c>
      <c r="I7592" s="84" t="str">
        <f aca="false">IF(C7592="","",C7592*IF(Settings!$B$23=Settings!$C$6,1,IF(Settings!$B$23="USD",1/INDEX(Settings!$B$29:$B$40,MONTH(A7592)),INDEX(Settings!$B$29:$B$40,MONTH(A7592)))))</f>
        <v/>
      </c>
    </row>
    <row r="7593" customFormat="false" ht="15" hidden="false" customHeight="false" outlineLevel="0" collapsed="false">
      <c r="H7593" s="0" t="str">
        <f aca="false">IF(B7593="","",IF(COUNTIF(Campaigns!$A$7:$A$300,B7593)&gt;0,"✓","⚠ add to Campaigns tab"))</f>
        <v/>
      </c>
      <c r="I7593" s="84" t="str">
        <f aca="false">IF(C7593="","",C7593*IF(Settings!$B$23=Settings!$C$6,1,IF(Settings!$B$23="USD",1/INDEX(Settings!$B$29:$B$40,MONTH(A7593)),INDEX(Settings!$B$29:$B$40,MONTH(A7593)))))</f>
        <v/>
      </c>
    </row>
    <row r="7594" customFormat="false" ht="15" hidden="false" customHeight="false" outlineLevel="0" collapsed="false">
      <c r="H7594" s="0" t="str">
        <f aca="false">IF(B7594="","",IF(COUNTIF(Campaigns!$A$7:$A$300,B7594)&gt;0,"✓","⚠ add to Campaigns tab"))</f>
        <v/>
      </c>
      <c r="I7594" s="84" t="str">
        <f aca="false">IF(C7594="","",C7594*IF(Settings!$B$23=Settings!$C$6,1,IF(Settings!$B$23="USD",1/INDEX(Settings!$B$29:$B$40,MONTH(A7594)),INDEX(Settings!$B$29:$B$40,MONTH(A7594)))))</f>
        <v/>
      </c>
    </row>
    <row r="7595" customFormat="false" ht="15" hidden="false" customHeight="false" outlineLevel="0" collapsed="false">
      <c r="H7595" s="0" t="str">
        <f aca="false">IF(B7595="","",IF(COUNTIF(Campaigns!$A$7:$A$300,B7595)&gt;0,"✓","⚠ add to Campaigns tab"))</f>
        <v/>
      </c>
      <c r="I7595" s="84" t="str">
        <f aca="false">IF(C7595="","",C7595*IF(Settings!$B$23=Settings!$C$6,1,IF(Settings!$B$23="USD",1/INDEX(Settings!$B$29:$B$40,MONTH(A7595)),INDEX(Settings!$B$29:$B$40,MONTH(A7595)))))</f>
        <v/>
      </c>
    </row>
    <row r="7596" customFormat="false" ht="15" hidden="false" customHeight="false" outlineLevel="0" collapsed="false">
      <c r="H7596" s="0" t="str">
        <f aca="false">IF(B7596="","",IF(COUNTIF(Campaigns!$A$7:$A$300,B7596)&gt;0,"✓","⚠ add to Campaigns tab"))</f>
        <v/>
      </c>
      <c r="I7596" s="84" t="str">
        <f aca="false">IF(C7596="","",C7596*IF(Settings!$B$23=Settings!$C$6,1,IF(Settings!$B$23="USD",1/INDEX(Settings!$B$29:$B$40,MONTH(A7596)),INDEX(Settings!$B$29:$B$40,MONTH(A7596)))))</f>
        <v/>
      </c>
    </row>
    <row r="7597" customFormat="false" ht="15" hidden="false" customHeight="false" outlineLevel="0" collapsed="false">
      <c r="H7597" s="0" t="str">
        <f aca="false">IF(B7597="","",IF(COUNTIF(Campaigns!$A$7:$A$300,B7597)&gt;0,"✓","⚠ add to Campaigns tab"))</f>
        <v/>
      </c>
      <c r="I7597" s="84" t="str">
        <f aca="false">IF(C7597="","",C7597*IF(Settings!$B$23=Settings!$C$6,1,IF(Settings!$B$23="USD",1/INDEX(Settings!$B$29:$B$40,MONTH(A7597)),INDEX(Settings!$B$29:$B$40,MONTH(A7597)))))</f>
        <v/>
      </c>
    </row>
    <row r="7598" customFormat="false" ht="15" hidden="false" customHeight="false" outlineLevel="0" collapsed="false">
      <c r="H7598" s="0" t="str">
        <f aca="false">IF(B7598="","",IF(COUNTIF(Campaigns!$A$7:$A$300,B7598)&gt;0,"✓","⚠ add to Campaigns tab"))</f>
        <v/>
      </c>
      <c r="I7598" s="84" t="str">
        <f aca="false">IF(C7598="","",C7598*IF(Settings!$B$23=Settings!$C$6,1,IF(Settings!$B$23="USD",1/INDEX(Settings!$B$29:$B$40,MONTH(A7598)),INDEX(Settings!$B$29:$B$40,MONTH(A7598)))))</f>
        <v/>
      </c>
    </row>
    <row r="7599" customFormat="false" ht="15" hidden="false" customHeight="false" outlineLevel="0" collapsed="false">
      <c r="H7599" s="0" t="str">
        <f aca="false">IF(B7599="","",IF(COUNTIF(Campaigns!$A$7:$A$300,B7599)&gt;0,"✓","⚠ add to Campaigns tab"))</f>
        <v/>
      </c>
      <c r="I7599" s="84" t="str">
        <f aca="false">IF(C7599="","",C7599*IF(Settings!$B$23=Settings!$C$6,1,IF(Settings!$B$23="USD",1/INDEX(Settings!$B$29:$B$40,MONTH(A7599)),INDEX(Settings!$B$29:$B$40,MONTH(A7599)))))</f>
        <v/>
      </c>
    </row>
    <row r="7600" customFormat="false" ht="15" hidden="false" customHeight="false" outlineLevel="0" collapsed="false">
      <c r="H7600" s="0" t="str">
        <f aca="false">IF(B7600="","",IF(COUNTIF(Campaigns!$A$7:$A$300,B7600)&gt;0,"✓","⚠ add to Campaigns tab"))</f>
        <v/>
      </c>
      <c r="I7600" s="84" t="str">
        <f aca="false">IF(C7600="","",C7600*IF(Settings!$B$23=Settings!$C$6,1,IF(Settings!$B$23="USD",1/INDEX(Settings!$B$29:$B$40,MONTH(A7600)),INDEX(Settings!$B$29:$B$40,MONTH(A7600)))))</f>
        <v/>
      </c>
    </row>
    <row r="7601" customFormat="false" ht="15" hidden="false" customHeight="false" outlineLevel="0" collapsed="false">
      <c r="H7601" s="0" t="str">
        <f aca="false">IF(B7601="","",IF(COUNTIF(Campaigns!$A$7:$A$300,B7601)&gt;0,"✓","⚠ add to Campaigns tab"))</f>
        <v/>
      </c>
      <c r="I7601" s="84" t="str">
        <f aca="false">IF(C7601="","",C7601*IF(Settings!$B$23=Settings!$C$6,1,IF(Settings!$B$23="USD",1/INDEX(Settings!$B$29:$B$40,MONTH(A7601)),INDEX(Settings!$B$29:$B$40,MONTH(A7601)))))</f>
        <v/>
      </c>
    </row>
    <row r="7602" customFormat="false" ht="15" hidden="false" customHeight="false" outlineLevel="0" collapsed="false">
      <c r="H7602" s="0" t="str">
        <f aca="false">IF(B7602="","",IF(COUNTIF(Campaigns!$A$7:$A$300,B7602)&gt;0,"✓","⚠ add to Campaigns tab"))</f>
        <v/>
      </c>
      <c r="I7602" s="84" t="str">
        <f aca="false">IF(C7602="","",C7602*IF(Settings!$B$23=Settings!$C$6,1,IF(Settings!$B$23="USD",1/INDEX(Settings!$B$29:$B$40,MONTH(A7602)),INDEX(Settings!$B$29:$B$40,MONTH(A7602)))))</f>
        <v/>
      </c>
    </row>
    <row r="7603" customFormat="false" ht="15" hidden="false" customHeight="false" outlineLevel="0" collapsed="false">
      <c r="H7603" s="0" t="str">
        <f aca="false">IF(B7603="","",IF(COUNTIF(Campaigns!$A$7:$A$300,B7603)&gt;0,"✓","⚠ add to Campaigns tab"))</f>
        <v/>
      </c>
      <c r="I7603" s="84" t="str">
        <f aca="false">IF(C7603="","",C7603*IF(Settings!$B$23=Settings!$C$6,1,IF(Settings!$B$23="USD",1/INDEX(Settings!$B$29:$B$40,MONTH(A7603)),INDEX(Settings!$B$29:$B$40,MONTH(A7603)))))</f>
        <v/>
      </c>
    </row>
    <row r="7604" customFormat="false" ht="15" hidden="false" customHeight="false" outlineLevel="0" collapsed="false">
      <c r="H7604" s="0" t="str">
        <f aca="false">IF(B7604="","",IF(COUNTIF(Campaigns!$A$7:$A$300,B7604)&gt;0,"✓","⚠ add to Campaigns tab"))</f>
        <v/>
      </c>
      <c r="I7604" s="84" t="str">
        <f aca="false">IF(C7604="","",C7604*IF(Settings!$B$23=Settings!$C$6,1,IF(Settings!$B$23="USD",1/INDEX(Settings!$B$29:$B$40,MONTH(A7604)),INDEX(Settings!$B$29:$B$40,MONTH(A7604)))))</f>
        <v/>
      </c>
    </row>
    <row r="7605" customFormat="false" ht="15" hidden="false" customHeight="false" outlineLevel="0" collapsed="false">
      <c r="H7605" s="0" t="str">
        <f aca="false">IF(B7605="","",IF(COUNTIF(Campaigns!$A$7:$A$300,B7605)&gt;0,"✓","⚠ add to Campaigns tab"))</f>
        <v/>
      </c>
      <c r="I7605" s="84" t="str">
        <f aca="false">IF(C7605="","",C7605*IF(Settings!$B$23=Settings!$C$6,1,IF(Settings!$B$23="USD",1/INDEX(Settings!$B$29:$B$40,MONTH(A7605)),INDEX(Settings!$B$29:$B$40,MONTH(A7605)))))</f>
        <v/>
      </c>
    </row>
    <row r="7606" customFormat="false" ht="15" hidden="false" customHeight="false" outlineLevel="0" collapsed="false">
      <c r="H7606" s="0" t="str">
        <f aca="false">IF(B7606="","",IF(COUNTIF(Campaigns!$A$7:$A$300,B7606)&gt;0,"✓","⚠ add to Campaigns tab"))</f>
        <v/>
      </c>
      <c r="I7606" s="84" t="str">
        <f aca="false">IF(C7606="","",C7606*IF(Settings!$B$23=Settings!$C$6,1,IF(Settings!$B$23="USD",1/INDEX(Settings!$B$29:$B$40,MONTH(A7606)),INDEX(Settings!$B$29:$B$40,MONTH(A7606)))))</f>
        <v/>
      </c>
    </row>
    <row r="7607" customFormat="false" ht="15" hidden="false" customHeight="false" outlineLevel="0" collapsed="false">
      <c r="H7607" s="0" t="str">
        <f aca="false">IF(B7607="","",IF(COUNTIF(Campaigns!$A$7:$A$300,B7607)&gt;0,"✓","⚠ add to Campaigns tab"))</f>
        <v/>
      </c>
      <c r="I7607" s="84" t="str">
        <f aca="false">IF(C7607="","",C7607*IF(Settings!$B$23=Settings!$C$6,1,IF(Settings!$B$23="USD",1/INDEX(Settings!$B$29:$B$40,MONTH(A7607)),INDEX(Settings!$B$29:$B$40,MONTH(A7607)))))</f>
        <v/>
      </c>
    </row>
    <row r="7608" customFormat="false" ht="15" hidden="false" customHeight="false" outlineLevel="0" collapsed="false">
      <c r="H7608" s="0" t="str">
        <f aca="false">IF(B7608="","",IF(COUNTIF(Campaigns!$A$7:$A$300,B7608)&gt;0,"✓","⚠ add to Campaigns tab"))</f>
        <v/>
      </c>
      <c r="I7608" s="84" t="str">
        <f aca="false">IF(C7608="","",C7608*IF(Settings!$B$23=Settings!$C$6,1,IF(Settings!$B$23="USD",1/INDEX(Settings!$B$29:$B$40,MONTH(A7608)),INDEX(Settings!$B$29:$B$40,MONTH(A7608)))))</f>
        <v/>
      </c>
    </row>
    <row r="7609" customFormat="false" ht="15" hidden="false" customHeight="false" outlineLevel="0" collapsed="false">
      <c r="H7609" s="0" t="str">
        <f aca="false">IF(B7609="","",IF(COUNTIF(Campaigns!$A$7:$A$300,B7609)&gt;0,"✓","⚠ add to Campaigns tab"))</f>
        <v/>
      </c>
      <c r="I7609" s="84" t="str">
        <f aca="false">IF(C7609="","",C7609*IF(Settings!$B$23=Settings!$C$6,1,IF(Settings!$B$23="USD",1/INDEX(Settings!$B$29:$B$40,MONTH(A7609)),INDEX(Settings!$B$29:$B$40,MONTH(A7609)))))</f>
        <v/>
      </c>
    </row>
    <row r="7610" customFormat="false" ht="15" hidden="false" customHeight="false" outlineLevel="0" collapsed="false">
      <c r="H7610" s="0" t="str">
        <f aca="false">IF(B7610="","",IF(COUNTIF(Campaigns!$A$7:$A$300,B7610)&gt;0,"✓","⚠ add to Campaigns tab"))</f>
        <v/>
      </c>
      <c r="I7610" s="84" t="str">
        <f aca="false">IF(C7610="","",C7610*IF(Settings!$B$23=Settings!$C$6,1,IF(Settings!$B$23="USD",1/INDEX(Settings!$B$29:$B$40,MONTH(A7610)),INDEX(Settings!$B$29:$B$40,MONTH(A7610)))))</f>
        <v/>
      </c>
    </row>
    <row r="7611" customFormat="false" ht="15" hidden="false" customHeight="false" outlineLevel="0" collapsed="false">
      <c r="H7611" s="0" t="str">
        <f aca="false">IF(B7611="","",IF(COUNTIF(Campaigns!$A$7:$A$300,B7611)&gt;0,"✓","⚠ add to Campaigns tab"))</f>
        <v/>
      </c>
      <c r="I7611" s="84" t="str">
        <f aca="false">IF(C7611="","",C7611*IF(Settings!$B$23=Settings!$C$6,1,IF(Settings!$B$23="USD",1/INDEX(Settings!$B$29:$B$40,MONTH(A7611)),INDEX(Settings!$B$29:$B$40,MONTH(A7611)))))</f>
        <v/>
      </c>
    </row>
    <row r="7612" customFormat="false" ht="15" hidden="false" customHeight="false" outlineLevel="0" collapsed="false">
      <c r="H7612" s="0" t="str">
        <f aca="false">IF(B7612="","",IF(COUNTIF(Campaigns!$A$7:$A$300,B7612)&gt;0,"✓","⚠ add to Campaigns tab"))</f>
        <v/>
      </c>
      <c r="I7612" s="84" t="str">
        <f aca="false">IF(C7612="","",C7612*IF(Settings!$B$23=Settings!$C$6,1,IF(Settings!$B$23="USD",1/INDEX(Settings!$B$29:$B$40,MONTH(A7612)),INDEX(Settings!$B$29:$B$40,MONTH(A7612)))))</f>
        <v/>
      </c>
    </row>
    <row r="7613" customFormat="false" ht="15" hidden="false" customHeight="false" outlineLevel="0" collapsed="false">
      <c r="H7613" s="0" t="str">
        <f aca="false">IF(B7613="","",IF(COUNTIF(Campaigns!$A$7:$A$300,B7613)&gt;0,"✓","⚠ add to Campaigns tab"))</f>
        <v/>
      </c>
      <c r="I7613" s="84" t="str">
        <f aca="false">IF(C7613="","",C7613*IF(Settings!$B$23=Settings!$C$6,1,IF(Settings!$B$23="USD",1/INDEX(Settings!$B$29:$B$40,MONTH(A7613)),INDEX(Settings!$B$29:$B$40,MONTH(A7613)))))</f>
        <v/>
      </c>
    </row>
    <row r="7614" customFormat="false" ht="15" hidden="false" customHeight="false" outlineLevel="0" collapsed="false">
      <c r="H7614" s="0" t="str">
        <f aca="false">IF(B7614="","",IF(COUNTIF(Campaigns!$A$7:$A$300,B7614)&gt;0,"✓","⚠ add to Campaigns tab"))</f>
        <v/>
      </c>
      <c r="I7614" s="84" t="str">
        <f aca="false">IF(C7614="","",C7614*IF(Settings!$B$23=Settings!$C$6,1,IF(Settings!$B$23="USD",1/INDEX(Settings!$B$29:$B$40,MONTH(A7614)),INDEX(Settings!$B$29:$B$40,MONTH(A7614)))))</f>
        <v/>
      </c>
    </row>
    <row r="7615" customFormat="false" ht="15" hidden="false" customHeight="false" outlineLevel="0" collapsed="false">
      <c r="H7615" s="0" t="str">
        <f aca="false">IF(B7615="","",IF(COUNTIF(Campaigns!$A$7:$A$300,B7615)&gt;0,"✓","⚠ add to Campaigns tab"))</f>
        <v/>
      </c>
      <c r="I7615" s="84" t="str">
        <f aca="false">IF(C7615="","",C7615*IF(Settings!$B$23=Settings!$C$6,1,IF(Settings!$B$23="USD",1/INDEX(Settings!$B$29:$B$40,MONTH(A7615)),INDEX(Settings!$B$29:$B$40,MONTH(A7615)))))</f>
        <v/>
      </c>
    </row>
    <row r="7616" customFormat="false" ht="15" hidden="false" customHeight="false" outlineLevel="0" collapsed="false">
      <c r="H7616" s="0" t="str">
        <f aca="false">IF(B7616="","",IF(COUNTIF(Campaigns!$A$7:$A$300,B7616)&gt;0,"✓","⚠ add to Campaigns tab"))</f>
        <v/>
      </c>
      <c r="I7616" s="84" t="str">
        <f aca="false">IF(C7616="","",C7616*IF(Settings!$B$23=Settings!$C$6,1,IF(Settings!$B$23="USD",1/INDEX(Settings!$B$29:$B$40,MONTH(A7616)),INDEX(Settings!$B$29:$B$40,MONTH(A7616)))))</f>
        <v/>
      </c>
    </row>
    <row r="7617" customFormat="false" ht="15" hidden="false" customHeight="false" outlineLevel="0" collapsed="false">
      <c r="H7617" s="0" t="str">
        <f aca="false">IF(B7617="","",IF(COUNTIF(Campaigns!$A$7:$A$300,B7617)&gt;0,"✓","⚠ add to Campaigns tab"))</f>
        <v/>
      </c>
      <c r="I7617" s="84" t="str">
        <f aca="false">IF(C7617="","",C7617*IF(Settings!$B$23=Settings!$C$6,1,IF(Settings!$B$23="USD",1/INDEX(Settings!$B$29:$B$40,MONTH(A7617)),INDEX(Settings!$B$29:$B$40,MONTH(A7617)))))</f>
        <v/>
      </c>
    </row>
    <row r="7618" customFormat="false" ht="15" hidden="false" customHeight="false" outlineLevel="0" collapsed="false">
      <c r="H7618" s="0" t="str">
        <f aca="false">IF(B7618="","",IF(COUNTIF(Campaigns!$A$7:$A$300,B7618)&gt;0,"✓","⚠ add to Campaigns tab"))</f>
        <v/>
      </c>
      <c r="I7618" s="84" t="str">
        <f aca="false">IF(C7618="","",C7618*IF(Settings!$B$23=Settings!$C$6,1,IF(Settings!$B$23="USD",1/INDEX(Settings!$B$29:$B$40,MONTH(A7618)),INDEX(Settings!$B$29:$B$40,MONTH(A7618)))))</f>
        <v/>
      </c>
    </row>
    <row r="7619" customFormat="false" ht="15" hidden="false" customHeight="false" outlineLevel="0" collapsed="false">
      <c r="H7619" s="0" t="str">
        <f aca="false">IF(B7619="","",IF(COUNTIF(Campaigns!$A$7:$A$300,B7619)&gt;0,"✓","⚠ add to Campaigns tab"))</f>
        <v/>
      </c>
      <c r="I7619" s="84" t="str">
        <f aca="false">IF(C7619="","",C7619*IF(Settings!$B$23=Settings!$C$6,1,IF(Settings!$B$23="USD",1/INDEX(Settings!$B$29:$B$40,MONTH(A7619)),INDEX(Settings!$B$29:$B$40,MONTH(A7619)))))</f>
        <v/>
      </c>
    </row>
    <row r="7620" customFormat="false" ht="15" hidden="false" customHeight="false" outlineLevel="0" collapsed="false">
      <c r="H7620" s="0" t="str">
        <f aca="false">IF(B7620="","",IF(COUNTIF(Campaigns!$A$7:$A$300,B7620)&gt;0,"✓","⚠ add to Campaigns tab"))</f>
        <v/>
      </c>
      <c r="I7620" s="84" t="str">
        <f aca="false">IF(C7620="","",C7620*IF(Settings!$B$23=Settings!$C$6,1,IF(Settings!$B$23="USD",1/INDEX(Settings!$B$29:$B$40,MONTH(A7620)),INDEX(Settings!$B$29:$B$40,MONTH(A7620)))))</f>
        <v/>
      </c>
    </row>
    <row r="7621" customFormat="false" ht="15" hidden="false" customHeight="false" outlineLevel="0" collapsed="false">
      <c r="H7621" s="0" t="str">
        <f aca="false">IF(B7621="","",IF(COUNTIF(Campaigns!$A$7:$A$300,B7621)&gt;0,"✓","⚠ add to Campaigns tab"))</f>
        <v/>
      </c>
      <c r="I7621" s="84" t="str">
        <f aca="false">IF(C7621="","",C7621*IF(Settings!$B$23=Settings!$C$6,1,IF(Settings!$B$23="USD",1/INDEX(Settings!$B$29:$B$40,MONTH(A7621)),INDEX(Settings!$B$29:$B$40,MONTH(A7621)))))</f>
        <v/>
      </c>
    </row>
    <row r="7622" customFormat="false" ht="15" hidden="false" customHeight="false" outlineLevel="0" collapsed="false">
      <c r="H7622" s="0" t="str">
        <f aca="false">IF(B7622="","",IF(COUNTIF(Campaigns!$A$7:$A$300,B7622)&gt;0,"✓","⚠ add to Campaigns tab"))</f>
        <v/>
      </c>
      <c r="I7622" s="84" t="str">
        <f aca="false">IF(C7622="","",C7622*IF(Settings!$B$23=Settings!$C$6,1,IF(Settings!$B$23="USD",1/INDEX(Settings!$B$29:$B$40,MONTH(A7622)),INDEX(Settings!$B$29:$B$40,MONTH(A7622)))))</f>
        <v/>
      </c>
    </row>
    <row r="7623" customFormat="false" ht="15" hidden="false" customHeight="false" outlineLevel="0" collapsed="false">
      <c r="H7623" s="0" t="str">
        <f aca="false">IF(B7623="","",IF(COUNTIF(Campaigns!$A$7:$A$300,B7623)&gt;0,"✓","⚠ add to Campaigns tab"))</f>
        <v/>
      </c>
      <c r="I7623" s="84" t="str">
        <f aca="false">IF(C7623="","",C7623*IF(Settings!$B$23=Settings!$C$6,1,IF(Settings!$B$23="USD",1/INDEX(Settings!$B$29:$B$40,MONTH(A7623)),INDEX(Settings!$B$29:$B$40,MONTH(A7623)))))</f>
        <v/>
      </c>
    </row>
    <row r="7624" customFormat="false" ht="15" hidden="false" customHeight="false" outlineLevel="0" collapsed="false">
      <c r="H7624" s="0" t="str">
        <f aca="false">IF(B7624="","",IF(COUNTIF(Campaigns!$A$7:$A$300,B7624)&gt;0,"✓","⚠ add to Campaigns tab"))</f>
        <v/>
      </c>
      <c r="I7624" s="84" t="str">
        <f aca="false">IF(C7624="","",C7624*IF(Settings!$B$23=Settings!$C$6,1,IF(Settings!$B$23="USD",1/INDEX(Settings!$B$29:$B$40,MONTH(A7624)),INDEX(Settings!$B$29:$B$40,MONTH(A7624)))))</f>
        <v/>
      </c>
    </row>
    <row r="7625" customFormat="false" ht="15" hidden="false" customHeight="false" outlineLevel="0" collapsed="false">
      <c r="H7625" s="0" t="str">
        <f aca="false">IF(B7625="","",IF(COUNTIF(Campaigns!$A$7:$A$300,B7625)&gt;0,"✓","⚠ add to Campaigns tab"))</f>
        <v/>
      </c>
      <c r="I7625" s="84" t="str">
        <f aca="false">IF(C7625="","",C7625*IF(Settings!$B$23=Settings!$C$6,1,IF(Settings!$B$23="USD",1/INDEX(Settings!$B$29:$B$40,MONTH(A7625)),INDEX(Settings!$B$29:$B$40,MONTH(A7625)))))</f>
        <v/>
      </c>
    </row>
    <row r="7626" customFormat="false" ht="15" hidden="false" customHeight="false" outlineLevel="0" collapsed="false">
      <c r="H7626" s="0" t="str">
        <f aca="false">IF(B7626="","",IF(COUNTIF(Campaigns!$A$7:$A$300,B7626)&gt;0,"✓","⚠ add to Campaigns tab"))</f>
        <v/>
      </c>
      <c r="I7626" s="84" t="str">
        <f aca="false">IF(C7626="","",C7626*IF(Settings!$B$23=Settings!$C$6,1,IF(Settings!$B$23="USD",1/INDEX(Settings!$B$29:$B$40,MONTH(A7626)),INDEX(Settings!$B$29:$B$40,MONTH(A7626)))))</f>
        <v/>
      </c>
    </row>
    <row r="7627" customFormat="false" ht="15" hidden="false" customHeight="false" outlineLevel="0" collapsed="false">
      <c r="H7627" s="0" t="str">
        <f aca="false">IF(B7627="","",IF(COUNTIF(Campaigns!$A$7:$A$300,B7627)&gt;0,"✓","⚠ add to Campaigns tab"))</f>
        <v/>
      </c>
      <c r="I7627" s="84" t="str">
        <f aca="false">IF(C7627="","",C7627*IF(Settings!$B$23=Settings!$C$6,1,IF(Settings!$B$23="USD",1/INDEX(Settings!$B$29:$B$40,MONTH(A7627)),INDEX(Settings!$B$29:$B$40,MONTH(A7627)))))</f>
        <v/>
      </c>
    </row>
    <row r="7628" customFormat="false" ht="15" hidden="false" customHeight="false" outlineLevel="0" collapsed="false">
      <c r="H7628" s="0" t="str">
        <f aca="false">IF(B7628="","",IF(COUNTIF(Campaigns!$A$7:$A$300,B7628)&gt;0,"✓","⚠ add to Campaigns tab"))</f>
        <v/>
      </c>
      <c r="I7628" s="84" t="str">
        <f aca="false">IF(C7628="","",C7628*IF(Settings!$B$23=Settings!$C$6,1,IF(Settings!$B$23="USD",1/INDEX(Settings!$B$29:$B$40,MONTH(A7628)),INDEX(Settings!$B$29:$B$40,MONTH(A7628)))))</f>
        <v/>
      </c>
    </row>
    <row r="7629" customFormat="false" ht="15" hidden="false" customHeight="false" outlineLevel="0" collapsed="false">
      <c r="H7629" s="0" t="str">
        <f aca="false">IF(B7629="","",IF(COUNTIF(Campaigns!$A$7:$A$300,B7629)&gt;0,"✓","⚠ add to Campaigns tab"))</f>
        <v/>
      </c>
      <c r="I7629" s="84" t="str">
        <f aca="false">IF(C7629="","",C7629*IF(Settings!$B$23=Settings!$C$6,1,IF(Settings!$B$23="USD",1/INDEX(Settings!$B$29:$B$40,MONTH(A7629)),INDEX(Settings!$B$29:$B$40,MONTH(A7629)))))</f>
        <v/>
      </c>
    </row>
    <row r="7630" customFormat="false" ht="15" hidden="false" customHeight="false" outlineLevel="0" collapsed="false">
      <c r="H7630" s="0" t="str">
        <f aca="false">IF(B7630="","",IF(COUNTIF(Campaigns!$A$7:$A$300,B7630)&gt;0,"✓","⚠ add to Campaigns tab"))</f>
        <v/>
      </c>
      <c r="I7630" s="84" t="str">
        <f aca="false">IF(C7630="","",C7630*IF(Settings!$B$23=Settings!$C$6,1,IF(Settings!$B$23="USD",1/INDEX(Settings!$B$29:$B$40,MONTH(A7630)),INDEX(Settings!$B$29:$B$40,MONTH(A7630)))))</f>
        <v/>
      </c>
    </row>
    <row r="7631" customFormat="false" ht="15" hidden="false" customHeight="false" outlineLevel="0" collapsed="false">
      <c r="H7631" s="0" t="str">
        <f aca="false">IF(B7631="","",IF(COUNTIF(Campaigns!$A$7:$A$300,B7631)&gt;0,"✓","⚠ add to Campaigns tab"))</f>
        <v/>
      </c>
      <c r="I7631" s="84" t="str">
        <f aca="false">IF(C7631="","",C7631*IF(Settings!$B$23=Settings!$C$6,1,IF(Settings!$B$23="USD",1/INDEX(Settings!$B$29:$B$40,MONTH(A7631)),INDEX(Settings!$B$29:$B$40,MONTH(A7631)))))</f>
        <v/>
      </c>
    </row>
    <row r="7632" customFormat="false" ht="15" hidden="false" customHeight="false" outlineLevel="0" collapsed="false">
      <c r="H7632" s="0" t="str">
        <f aca="false">IF(B7632="","",IF(COUNTIF(Campaigns!$A$7:$A$300,B7632)&gt;0,"✓","⚠ add to Campaigns tab"))</f>
        <v/>
      </c>
      <c r="I7632" s="84" t="str">
        <f aca="false">IF(C7632="","",C7632*IF(Settings!$B$23=Settings!$C$6,1,IF(Settings!$B$23="USD",1/INDEX(Settings!$B$29:$B$40,MONTH(A7632)),INDEX(Settings!$B$29:$B$40,MONTH(A7632)))))</f>
        <v/>
      </c>
    </row>
    <row r="7633" customFormat="false" ht="15" hidden="false" customHeight="false" outlineLevel="0" collapsed="false">
      <c r="H7633" s="0" t="str">
        <f aca="false">IF(B7633="","",IF(COUNTIF(Campaigns!$A$7:$A$300,B7633)&gt;0,"✓","⚠ add to Campaigns tab"))</f>
        <v/>
      </c>
      <c r="I7633" s="84" t="str">
        <f aca="false">IF(C7633="","",C7633*IF(Settings!$B$23=Settings!$C$6,1,IF(Settings!$B$23="USD",1/INDEX(Settings!$B$29:$B$40,MONTH(A7633)),INDEX(Settings!$B$29:$B$40,MONTH(A7633)))))</f>
        <v/>
      </c>
    </row>
    <row r="7634" customFormat="false" ht="15" hidden="false" customHeight="false" outlineLevel="0" collapsed="false">
      <c r="H7634" s="0" t="str">
        <f aca="false">IF(B7634="","",IF(COUNTIF(Campaigns!$A$7:$A$300,B7634)&gt;0,"✓","⚠ add to Campaigns tab"))</f>
        <v/>
      </c>
      <c r="I7634" s="84" t="str">
        <f aca="false">IF(C7634="","",C7634*IF(Settings!$B$23=Settings!$C$6,1,IF(Settings!$B$23="USD",1/INDEX(Settings!$B$29:$B$40,MONTH(A7634)),INDEX(Settings!$B$29:$B$40,MONTH(A7634)))))</f>
        <v/>
      </c>
    </row>
    <row r="7635" customFormat="false" ht="15" hidden="false" customHeight="false" outlineLevel="0" collapsed="false">
      <c r="H7635" s="0" t="str">
        <f aca="false">IF(B7635="","",IF(COUNTIF(Campaigns!$A$7:$A$300,B7635)&gt;0,"✓","⚠ add to Campaigns tab"))</f>
        <v/>
      </c>
      <c r="I7635" s="84" t="str">
        <f aca="false">IF(C7635="","",C7635*IF(Settings!$B$23=Settings!$C$6,1,IF(Settings!$B$23="USD",1/INDEX(Settings!$B$29:$B$40,MONTH(A7635)),INDEX(Settings!$B$29:$B$40,MONTH(A7635)))))</f>
        <v/>
      </c>
    </row>
    <row r="7636" customFormat="false" ht="15" hidden="false" customHeight="false" outlineLevel="0" collapsed="false">
      <c r="H7636" s="0" t="str">
        <f aca="false">IF(B7636="","",IF(COUNTIF(Campaigns!$A$7:$A$300,B7636)&gt;0,"✓","⚠ add to Campaigns tab"))</f>
        <v/>
      </c>
      <c r="I7636" s="84" t="str">
        <f aca="false">IF(C7636="","",C7636*IF(Settings!$B$23=Settings!$C$6,1,IF(Settings!$B$23="USD",1/INDEX(Settings!$B$29:$B$40,MONTH(A7636)),INDEX(Settings!$B$29:$B$40,MONTH(A7636)))))</f>
        <v/>
      </c>
    </row>
    <row r="7637" customFormat="false" ht="15" hidden="false" customHeight="false" outlineLevel="0" collapsed="false">
      <c r="H7637" s="0" t="str">
        <f aca="false">IF(B7637="","",IF(COUNTIF(Campaigns!$A$7:$A$300,B7637)&gt;0,"✓","⚠ add to Campaigns tab"))</f>
        <v/>
      </c>
      <c r="I7637" s="84" t="str">
        <f aca="false">IF(C7637="","",C7637*IF(Settings!$B$23=Settings!$C$6,1,IF(Settings!$B$23="USD",1/INDEX(Settings!$B$29:$B$40,MONTH(A7637)),INDEX(Settings!$B$29:$B$40,MONTH(A7637)))))</f>
        <v/>
      </c>
    </row>
    <row r="7638" customFormat="false" ht="15" hidden="false" customHeight="false" outlineLevel="0" collapsed="false">
      <c r="H7638" s="0" t="str">
        <f aca="false">IF(B7638="","",IF(COUNTIF(Campaigns!$A$7:$A$300,B7638)&gt;0,"✓","⚠ add to Campaigns tab"))</f>
        <v/>
      </c>
      <c r="I7638" s="84" t="str">
        <f aca="false">IF(C7638="","",C7638*IF(Settings!$B$23=Settings!$C$6,1,IF(Settings!$B$23="USD",1/INDEX(Settings!$B$29:$B$40,MONTH(A7638)),INDEX(Settings!$B$29:$B$40,MONTH(A7638)))))</f>
        <v/>
      </c>
    </row>
    <row r="7639" customFormat="false" ht="15" hidden="false" customHeight="false" outlineLevel="0" collapsed="false">
      <c r="H7639" s="0" t="str">
        <f aca="false">IF(B7639="","",IF(COUNTIF(Campaigns!$A$7:$A$300,B7639)&gt;0,"✓","⚠ add to Campaigns tab"))</f>
        <v/>
      </c>
      <c r="I7639" s="84" t="str">
        <f aca="false">IF(C7639="","",C7639*IF(Settings!$B$23=Settings!$C$6,1,IF(Settings!$B$23="USD",1/INDEX(Settings!$B$29:$B$40,MONTH(A7639)),INDEX(Settings!$B$29:$B$40,MONTH(A7639)))))</f>
        <v/>
      </c>
    </row>
    <row r="7640" customFormat="false" ht="15" hidden="false" customHeight="false" outlineLevel="0" collapsed="false">
      <c r="H7640" s="0" t="str">
        <f aca="false">IF(B7640="","",IF(COUNTIF(Campaigns!$A$7:$A$300,B7640)&gt;0,"✓","⚠ add to Campaigns tab"))</f>
        <v/>
      </c>
      <c r="I7640" s="84" t="str">
        <f aca="false">IF(C7640="","",C7640*IF(Settings!$B$23=Settings!$C$6,1,IF(Settings!$B$23="USD",1/INDEX(Settings!$B$29:$B$40,MONTH(A7640)),INDEX(Settings!$B$29:$B$40,MONTH(A7640)))))</f>
        <v/>
      </c>
    </row>
    <row r="7641" customFormat="false" ht="15" hidden="false" customHeight="false" outlineLevel="0" collapsed="false">
      <c r="H7641" s="0" t="str">
        <f aca="false">IF(B7641="","",IF(COUNTIF(Campaigns!$A$7:$A$300,B7641)&gt;0,"✓","⚠ add to Campaigns tab"))</f>
        <v/>
      </c>
      <c r="I7641" s="84" t="str">
        <f aca="false">IF(C7641="","",C7641*IF(Settings!$B$23=Settings!$C$6,1,IF(Settings!$B$23="USD",1/INDEX(Settings!$B$29:$B$40,MONTH(A7641)),INDEX(Settings!$B$29:$B$40,MONTH(A7641)))))</f>
        <v/>
      </c>
    </row>
    <row r="7642" customFormat="false" ht="15" hidden="false" customHeight="false" outlineLevel="0" collapsed="false">
      <c r="H7642" s="0" t="str">
        <f aca="false">IF(B7642="","",IF(COUNTIF(Campaigns!$A$7:$A$300,B7642)&gt;0,"✓","⚠ add to Campaigns tab"))</f>
        <v/>
      </c>
      <c r="I7642" s="84" t="str">
        <f aca="false">IF(C7642="","",C7642*IF(Settings!$B$23=Settings!$C$6,1,IF(Settings!$B$23="USD",1/INDEX(Settings!$B$29:$B$40,MONTH(A7642)),INDEX(Settings!$B$29:$B$40,MONTH(A7642)))))</f>
        <v/>
      </c>
    </row>
    <row r="7643" customFormat="false" ht="15" hidden="false" customHeight="false" outlineLevel="0" collapsed="false">
      <c r="H7643" s="0" t="str">
        <f aca="false">IF(B7643="","",IF(COUNTIF(Campaigns!$A$7:$A$300,B7643)&gt;0,"✓","⚠ add to Campaigns tab"))</f>
        <v/>
      </c>
      <c r="I7643" s="84" t="str">
        <f aca="false">IF(C7643="","",C7643*IF(Settings!$B$23=Settings!$C$6,1,IF(Settings!$B$23="USD",1/INDEX(Settings!$B$29:$B$40,MONTH(A7643)),INDEX(Settings!$B$29:$B$40,MONTH(A7643)))))</f>
        <v/>
      </c>
    </row>
    <row r="7644" customFormat="false" ht="15" hidden="false" customHeight="false" outlineLevel="0" collapsed="false">
      <c r="H7644" s="0" t="str">
        <f aca="false">IF(B7644="","",IF(COUNTIF(Campaigns!$A$7:$A$300,B7644)&gt;0,"✓","⚠ add to Campaigns tab"))</f>
        <v/>
      </c>
      <c r="I7644" s="84" t="str">
        <f aca="false">IF(C7644="","",C7644*IF(Settings!$B$23=Settings!$C$6,1,IF(Settings!$B$23="USD",1/INDEX(Settings!$B$29:$B$40,MONTH(A7644)),INDEX(Settings!$B$29:$B$40,MONTH(A7644)))))</f>
        <v/>
      </c>
    </row>
    <row r="7645" customFormat="false" ht="15" hidden="false" customHeight="false" outlineLevel="0" collapsed="false">
      <c r="H7645" s="0" t="str">
        <f aca="false">IF(B7645="","",IF(COUNTIF(Campaigns!$A$7:$A$300,B7645)&gt;0,"✓","⚠ add to Campaigns tab"))</f>
        <v/>
      </c>
      <c r="I7645" s="84" t="str">
        <f aca="false">IF(C7645="","",C7645*IF(Settings!$B$23=Settings!$C$6,1,IF(Settings!$B$23="USD",1/INDEX(Settings!$B$29:$B$40,MONTH(A7645)),INDEX(Settings!$B$29:$B$40,MONTH(A7645)))))</f>
        <v/>
      </c>
    </row>
    <row r="7646" customFormat="false" ht="15" hidden="false" customHeight="false" outlineLevel="0" collapsed="false">
      <c r="H7646" s="0" t="str">
        <f aca="false">IF(B7646="","",IF(COUNTIF(Campaigns!$A$7:$A$300,B7646)&gt;0,"✓","⚠ add to Campaigns tab"))</f>
        <v/>
      </c>
      <c r="I7646" s="84" t="str">
        <f aca="false">IF(C7646="","",C7646*IF(Settings!$B$23=Settings!$C$6,1,IF(Settings!$B$23="USD",1/INDEX(Settings!$B$29:$B$40,MONTH(A7646)),INDEX(Settings!$B$29:$B$40,MONTH(A7646)))))</f>
        <v/>
      </c>
    </row>
    <row r="7647" customFormat="false" ht="15" hidden="false" customHeight="false" outlineLevel="0" collapsed="false">
      <c r="H7647" s="0" t="str">
        <f aca="false">IF(B7647="","",IF(COUNTIF(Campaigns!$A$7:$A$300,B7647)&gt;0,"✓","⚠ add to Campaigns tab"))</f>
        <v/>
      </c>
      <c r="I7647" s="84" t="str">
        <f aca="false">IF(C7647="","",C7647*IF(Settings!$B$23=Settings!$C$6,1,IF(Settings!$B$23="USD",1/INDEX(Settings!$B$29:$B$40,MONTH(A7647)),INDEX(Settings!$B$29:$B$40,MONTH(A7647)))))</f>
        <v/>
      </c>
    </row>
    <row r="7648" customFormat="false" ht="15" hidden="false" customHeight="false" outlineLevel="0" collapsed="false">
      <c r="H7648" s="0" t="str">
        <f aca="false">IF(B7648="","",IF(COUNTIF(Campaigns!$A$7:$A$300,B7648)&gt;0,"✓","⚠ add to Campaigns tab"))</f>
        <v/>
      </c>
      <c r="I7648" s="84" t="str">
        <f aca="false">IF(C7648="","",C7648*IF(Settings!$B$23=Settings!$C$6,1,IF(Settings!$B$23="USD",1/INDEX(Settings!$B$29:$B$40,MONTH(A7648)),INDEX(Settings!$B$29:$B$40,MONTH(A7648)))))</f>
        <v/>
      </c>
    </row>
    <row r="7649" customFormat="false" ht="15" hidden="false" customHeight="false" outlineLevel="0" collapsed="false">
      <c r="H7649" s="0" t="str">
        <f aca="false">IF(B7649="","",IF(COUNTIF(Campaigns!$A$7:$A$300,B7649)&gt;0,"✓","⚠ add to Campaigns tab"))</f>
        <v/>
      </c>
      <c r="I7649" s="84" t="str">
        <f aca="false">IF(C7649="","",C7649*IF(Settings!$B$23=Settings!$C$6,1,IF(Settings!$B$23="USD",1/INDEX(Settings!$B$29:$B$40,MONTH(A7649)),INDEX(Settings!$B$29:$B$40,MONTH(A7649)))))</f>
        <v/>
      </c>
    </row>
    <row r="7650" customFormat="false" ht="15" hidden="false" customHeight="false" outlineLevel="0" collapsed="false">
      <c r="H7650" s="0" t="str">
        <f aca="false">IF(B7650="","",IF(COUNTIF(Campaigns!$A$7:$A$300,B7650)&gt;0,"✓","⚠ add to Campaigns tab"))</f>
        <v/>
      </c>
      <c r="I7650" s="84" t="str">
        <f aca="false">IF(C7650="","",C7650*IF(Settings!$B$23=Settings!$C$6,1,IF(Settings!$B$23="USD",1/INDEX(Settings!$B$29:$B$40,MONTH(A7650)),INDEX(Settings!$B$29:$B$40,MONTH(A7650)))))</f>
        <v/>
      </c>
    </row>
    <row r="7651" customFormat="false" ht="15" hidden="false" customHeight="false" outlineLevel="0" collapsed="false">
      <c r="H7651" s="0" t="str">
        <f aca="false">IF(B7651="","",IF(COUNTIF(Campaigns!$A$7:$A$300,B7651)&gt;0,"✓","⚠ add to Campaigns tab"))</f>
        <v/>
      </c>
      <c r="I7651" s="84" t="str">
        <f aca="false">IF(C7651="","",C7651*IF(Settings!$B$23=Settings!$C$6,1,IF(Settings!$B$23="USD",1/INDEX(Settings!$B$29:$B$40,MONTH(A7651)),INDEX(Settings!$B$29:$B$40,MONTH(A7651)))))</f>
        <v/>
      </c>
    </row>
    <row r="7652" customFormat="false" ht="15" hidden="false" customHeight="false" outlineLevel="0" collapsed="false">
      <c r="H7652" s="0" t="str">
        <f aca="false">IF(B7652="","",IF(COUNTIF(Campaigns!$A$7:$A$300,B7652)&gt;0,"✓","⚠ add to Campaigns tab"))</f>
        <v/>
      </c>
      <c r="I7652" s="84" t="str">
        <f aca="false">IF(C7652="","",C7652*IF(Settings!$B$23=Settings!$C$6,1,IF(Settings!$B$23="USD",1/INDEX(Settings!$B$29:$B$40,MONTH(A7652)),INDEX(Settings!$B$29:$B$40,MONTH(A7652)))))</f>
        <v/>
      </c>
    </row>
    <row r="7653" customFormat="false" ht="15" hidden="false" customHeight="false" outlineLevel="0" collapsed="false">
      <c r="H7653" s="0" t="str">
        <f aca="false">IF(B7653="","",IF(COUNTIF(Campaigns!$A$7:$A$300,B7653)&gt;0,"✓","⚠ add to Campaigns tab"))</f>
        <v/>
      </c>
      <c r="I7653" s="84" t="str">
        <f aca="false">IF(C7653="","",C7653*IF(Settings!$B$23=Settings!$C$6,1,IF(Settings!$B$23="USD",1/INDEX(Settings!$B$29:$B$40,MONTH(A7653)),INDEX(Settings!$B$29:$B$40,MONTH(A7653)))))</f>
        <v/>
      </c>
    </row>
    <row r="7654" customFormat="false" ht="15" hidden="false" customHeight="false" outlineLevel="0" collapsed="false">
      <c r="H7654" s="0" t="str">
        <f aca="false">IF(B7654="","",IF(COUNTIF(Campaigns!$A$7:$A$300,B7654)&gt;0,"✓","⚠ add to Campaigns tab"))</f>
        <v/>
      </c>
      <c r="I7654" s="84" t="str">
        <f aca="false">IF(C7654="","",C7654*IF(Settings!$B$23=Settings!$C$6,1,IF(Settings!$B$23="USD",1/INDEX(Settings!$B$29:$B$40,MONTH(A7654)),INDEX(Settings!$B$29:$B$40,MONTH(A7654)))))</f>
        <v/>
      </c>
    </row>
    <row r="7655" customFormat="false" ht="15" hidden="false" customHeight="false" outlineLevel="0" collapsed="false">
      <c r="H7655" s="0" t="str">
        <f aca="false">IF(B7655="","",IF(COUNTIF(Campaigns!$A$7:$A$300,B7655)&gt;0,"✓","⚠ add to Campaigns tab"))</f>
        <v/>
      </c>
      <c r="I7655" s="84" t="str">
        <f aca="false">IF(C7655="","",C7655*IF(Settings!$B$23=Settings!$C$6,1,IF(Settings!$B$23="USD",1/INDEX(Settings!$B$29:$B$40,MONTH(A7655)),INDEX(Settings!$B$29:$B$40,MONTH(A7655)))))</f>
        <v/>
      </c>
    </row>
    <row r="7656" customFormat="false" ht="15" hidden="false" customHeight="false" outlineLevel="0" collapsed="false">
      <c r="H7656" s="0" t="str">
        <f aca="false">IF(B7656="","",IF(COUNTIF(Campaigns!$A$7:$A$300,B7656)&gt;0,"✓","⚠ add to Campaigns tab"))</f>
        <v/>
      </c>
      <c r="I7656" s="84" t="str">
        <f aca="false">IF(C7656="","",C7656*IF(Settings!$B$23=Settings!$C$6,1,IF(Settings!$B$23="USD",1/INDEX(Settings!$B$29:$B$40,MONTH(A7656)),INDEX(Settings!$B$29:$B$40,MONTH(A7656)))))</f>
        <v/>
      </c>
    </row>
    <row r="7657" customFormat="false" ht="15" hidden="false" customHeight="false" outlineLevel="0" collapsed="false">
      <c r="H7657" s="0" t="str">
        <f aca="false">IF(B7657="","",IF(COUNTIF(Campaigns!$A$7:$A$300,B7657)&gt;0,"✓","⚠ add to Campaigns tab"))</f>
        <v/>
      </c>
      <c r="I7657" s="84" t="str">
        <f aca="false">IF(C7657="","",C7657*IF(Settings!$B$23=Settings!$C$6,1,IF(Settings!$B$23="USD",1/INDEX(Settings!$B$29:$B$40,MONTH(A7657)),INDEX(Settings!$B$29:$B$40,MONTH(A7657)))))</f>
        <v/>
      </c>
    </row>
    <row r="7658" customFormat="false" ht="15" hidden="false" customHeight="false" outlineLevel="0" collapsed="false">
      <c r="H7658" s="0" t="str">
        <f aca="false">IF(B7658="","",IF(COUNTIF(Campaigns!$A$7:$A$300,B7658)&gt;0,"✓","⚠ add to Campaigns tab"))</f>
        <v/>
      </c>
      <c r="I7658" s="84" t="str">
        <f aca="false">IF(C7658="","",C7658*IF(Settings!$B$23=Settings!$C$6,1,IF(Settings!$B$23="USD",1/INDEX(Settings!$B$29:$B$40,MONTH(A7658)),INDEX(Settings!$B$29:$B$40,MONTH(A7658)))))</f>
        <v/>
      </c>
    </row>
    <row r="7659" customFormat="false" ht="15" hidden="false" customHeight="false" outlineLevel="0" collapsed="false">
      <c r="H7659" s="0" t="str">
        <f aca="false">IF(B7659="","",IF(COUNTIF(Campaigns!$A$7:$A$300,B7659)&gt;0,"✓","⚠ add to Campaigns tab"))</f>
        <v/>
      </c>
      <c r="I7659" s="84" t="str">
        <f aca="false">IF(C7659="","",C7659*IF(Settings!$B$23=Settings!$C$6,1,IF(Settings!$B$23="USD",1/INDEX(Settings!$B$29:$B$40,MONTH(A7659)),INDEX(Settings!$B$29:$B$40,MONTH(A7659)))))</f>
        <v/>
      </c>
    </row>
    <row r="7660" customFormat="false" ht="15" hidden="false" customHeight="false" outlineLevel="0" collapsed="false">
      <c r="H7660" s="0" t="str">
        <f aca="false">IF(B7660="","",IF(COUNTIF(Campaigns!$A$7:$A$300,B7660)&gt;0,"✓","⚠ add to Campaigns tab"))</f>
        <v/>
      </c>
      <c r="I7660" s="84" t="str">
        <f aca="false">IF(C7660="","",C7660*IF(Settings!$B$23=Settings!$C$6,1,IF(Settings!$B$23="USD",1/INDEX(Settings!$B$29:$B$40,MONTH(A7660)),INDEX(Settings!$B$29:$B$40,MONTH(A7660)))))</f>
        <v/>
      </c>
    </row>
    <row r="7661" customFormat="false" ht="15" hidden="false" customHeight="false" outlineLevel="0" collapsed="false">
      <c r="H7661" s="0" t="str">
        <f aca="false">IF(B7661="","",IF(COUNTIF(Campaigns!$A$7:$A$300,B7661)&gt;0,"✓","⚠ add to Campaigns tab"))</f>
        <v/>
      </c>
      <c r="I7661" s="84" t="str">
        <f aca="false">IF(C7661="","",C7661*IF(Settings!$B$23=Settings!$C$6,1,IF(Settings!$B$23="USD",1/INDEX(Settings!$B$29:$B$40,MONTH(A7661)),INDEX(Settings!$B$29:$B$40,MONTH(A7661)))))</f>
        <v/>
      </c>
    </row>
    <row r="7662" customFormat="false" ht="15" hidden="false" customHeight="false" outlineLevel="0" collapsed="false">
      <c r="H7662" s="0" t="str">
        <f aca="false">IF(B7662="","",IF(COUNTIF(Campaigns!$A$7:$A$300,B7662)&gt;0,"✓","⚠ add to Campaigns tab"))</f>
        <v/>
      </c>
      <c r="I7662" s="84" t="str">
        <f aca="false">IF(C7662="","",C7662*IF(Settings!$B$23=Settings!$C$6,1,IF(Settings!$B$23="USD",1/INDEX(Settings!$B$29:$B$40,MONTH(A7662)),INDEX(Settings!$B$29:$B$40,MONTH(A7662)))))</f>
        <v/>
      </c>
    </row>
    <row r="7663" customFormat="false" ht="15" hidden="false" customHeight="false" outlineLevel="0" collapsed="false">
      <c r="H7663" s="0" t="str">
        <f aca="false">IF(B7663="","",IF(COUNTIF(Campaigns!$A$7:$A$300,B7663)&gt;0,"✓","⚠ add to Campaigns tab"))</f>
        <v/>
      </c>
      <c r="I7663" s="84" t="str">
        <f aca="false">IF(C7663="","",C7663*IF(Settings!$B$23=Settings!$C$6,1,IF(Settings!$B$23="USD",1/INDEX(Settings!$B$29:$B$40,MONTH(A7663)),INDEX(Settings!$B$29:$B$40,MONTH(A7663)))))</f>
        <v/>
      </c>
    </row>
    <row r="7664" customFormat="false" ht="15" hidden="false" customHeight="false" outlineLevel="0" collapsed="false">
      <c r="H7664" s="0" t="str">
        <f aca="false">IF(B7664="","",IF(COUNTIF(Campaigns!$A$7:$A$300,B7664)&gt;0,"✓","⚠ add to Campaigns tab"))</f>
        <v/>
      </c>
      <c r="I7664" s="84" t="str">
        <f aca="false">IF(C7664="","",C7664*IF(Settings!$B$23=Settings!$C$6,1,IF(Settings!$B$23="USD",1/INDEX(Settings!$B$29:$B$40,MONTH(A7664)),INDEX(Settings!$B$29:$B$40,MONTH(A7664)))))</f>
        <v/>
      </c>
    </row>
    <row r="7665" customFormat="false" ht="15" hidden="false" customHeight="false" outlineLevel="0" collapsed="false">
      <c r="H7665" s="0" t="str">
        <f aca="false">IF(B7665="","",IF(COUNTIF(Campaigns!$A$7:$A$300,B7665)&gt;0,"✓","⚠ add to Campaigns tab"))</f>
        <v/>
      </c>
      <c r="I7665" s="84" t="str">
        <f aca="false">IF(C7665="","",C7665*IF(Settings!$B$23=Settings!$C$6,1,IF(Settings!$B$23="USD",1/INDEX(Settings!$B$29:$B$40,MONTH(A7665)),INDEX(Settings!$B$29:$B$40,MONTH(A7665)))))</f>
        <v/>
      </c>
    </row>
    <row r="7666" customFormat="false" ht="15" hidden="false" customHeight="false" outlineLevel="0" collapsed="false">
      <c r="H7666" s="0" t="str">
        <f aca="false">IF(B7666="","",IF(COUNTIF(Campaigns!$A$7:$A$300,B7666)&gt;0,"✓","⚠ add to Campaigns tab"))</f>
        <v/>
      </c>
      <c r="I7666" s="84" t="str">
        <f aca="false">IF(C7666="","",C7666*IF(Settings!$B$23=Settings!$C$6,1,IF(Settings!$B$23="USD",1/INDEX(Settings!$B$29:$B$40,MONTH(A7666)),INDEX(Settings!$B$29:$B$40,MONTH(A7666)))))</f>
        <v/>
      </c>
    </row>
    <row r="7667" customFormat="false" ht="15" hidden="false" customHeight="false" outlineLevel="0" collapsed="false">
      <c r="H7667" s="0" t="str">
        <f aca="false">IF(B7667="","",IF(COUNTIF(Campaigns!$A$7:$A$300,B7667)&gt;0,"✓","⚠ add to Campaigns tab"))</f>
        <v/>
      </c>
      <c r="I7667" s="84" t="str">
        <f aca="false">IF(C7667="","",C7667*IF(Settings!$B$23=Settings!$C$6,1,IF(Settings!$B$23="USD",1/INDEX(Settings!$B$29:$B$40,MONTH(A7667)),INDEX(Settings!$B$29:$B$40,MONTH(A7667)))))</f>
        <v/>
      </c>
    </row>
    <row r="7668" customFormat="false" ht="15" hidden="false" customHeight="false" outlineLevel="0" collapsed="false">
      <c r="H7668" s="0" t="str">
        <f aca="false">IF(B7668="","",IF(COUNTIF(Campaigns!$A$7:$A$300,B7668)&gt;0,"✓","⚠ add to Campaigns tab"))</f>
        <v/>
      </c>
      <c r="I7668" s="84" t="str">
        <f aca="false">IF(C7668="","",C7668*IF(Settings!$B$23=Settings!$C$6,1,IF(Settings!$B$23="USD",1/INDEX(Settings!$B$29:$B$40,MONTH(A7668)),INDEX(Settings!$B$29:$B$40,MONTH(A7668)))))</f>
        <v/>
      </c>
    </row>
    <row r="7669" customFormat="false" ht="15" hidden="false" customHeight="false" outlineLevel="0" collapsed="false">
      <c r="H7669" s="0" t="str">
        <f aca="false">IF(B7669="","",IF(COUNTIF(Campaigns!$A$7:$A$300,B7669)&gt;0,"✓","⚠ add to Campaigns tab"))</f>
        <v/>
      </c>
      <c r="I7669" s="84" t="str">
        <f aca="false">IF(C7669="","",C7669*IF(Settings!$B$23=Settings!$C$6,1,IF(Settings!$B$23="USD",1/INDEX(Settings!$B$29:$B$40,MONTH(A7669)),INDEX(Settings!$B$29:$B$40,MONTH(A7669)))))</f>
        <v/>
      </c>
    </row>
    <row r="7670" customFormat="false" ht="15" hidden="false" customHeight="false" outlineLevel="0" collapsed="false">
      <c r="H7670" s="0" t="str">
        <f aca="false">IF(B7670="","",IF(COUNTIF(Campaigns!$A$7:$A$300,B7670)&gt;0,"✓","⚠ add to Campaigns tab"))</f>
        <v/>
      </c>
      <c r="I7670" s="84" t="str">
        <f aca="false">IF(C7670="","",C7670*IF(Settings!$B$23=Settings!$C$6,1,IF(Settings!$B$23="USD",1/INDEX(Settings!$B$29:$B$40,MONTH(A7670)),INDEX(Settings!$B$29:$B$40,MONTH(A7670)))))</f>
        <v/>
      </c>
    </row>
    <row r="7671" customFormat="false" ht="15" hidden="false" customHeight="false" outlineLevel="0" collapsed="false">
      <c r="H7671" s="0" t="str">
        <f aca="false">IF(B7671="","",IF(COUNTIF(Campaigns!$A$7:$A$300,B7671)&gt;0,"✓","⚠ add to Campaigns tab"))</f>
        <v/>
      </c>
      <c r="I7671" s="84" t="str">
        <f aca="false">IF(C7671="","",C7671*IF(Settings!$B$23=Settings!$C$6,1,IF(Settings!$B$23="USD",1/INDEX(Settings!$B$29:$B$40,MONTH(A7671)),INDEX(Settings!$B$29:$B$40,MONTH(A7671)))))</f>
        <v/>
      </c>
    </row>
    <row r="7672" customFormat="false" ht="15" hidden="false" customHeight="false" outlineLevel="0" collapsed="false">
      <c r="H7672" s="0" t="str">
        <f aca="false">IF(B7672="","",IF(COUNTIF(Campaigns!$A$7:$A$300,B7672)&gt;0,"✓","⚠ add to Campaigns tab"))</f>
        <v/>
      </c>
      <c r="I7672" s="84" t="str">
        <f aca="false">IF(C7672="","",C7672*IF(Settings!$B$23=Settings!$C$6,1,IF(Settings!$B$23="USD",1/INDEX(Settings!$B$29:$B$40,MONTH(A7672)),INDEX(Settings!$B$29:$B$40,MONTH(A7672)))))</f>
        <v/>
      </c>
    </row>
    <row r="7673" customFormat="false" ht="15" hidden="false" customHeight="false" outlineLevel="0" collapsed="false">
      <c r="H7673" s="0" t="str">
        <f aca="false">IF(B7673="","",IF(COUNTIF(Campaigns!$A$7:$A$300,B7673)&gt;0,"✓","⚠ add to Campaigns tab"))</f>
        <v/>
      </c>
      <c r="I7673" s="84" t="str">
        <f aca="false">IF(C7673="","",C7673*IF(Settings!$B$23=Settings!$C$6,1,IF(Settings!$B$23="USD",1/INDEX(Settings!$B$29:$B$40,MONTH(A7673)),INDEX(Settings!$B$29:$B$40,MONTH(A7673)))))</f>
        <v/>
      </c>
    </row>
    <row r="7674" customFormat="false" ht="15" hidden="false" customHeight="false" outlineLevel="0" collapsed="false">
      <c r="H7674" s="0" t="str">
        <f aca="false">IF(B7674="","",IF(COUNTIF(Campaigns!$A$7:$A$300,B7674)&gt;0,"✓","⚠ add to Campaigns tab"))</f>
        <v/>
      </c>
      <c r="I7674" s="84" t="str">
        <f aca="false">IF(C7674="","",C7674*IF(Settings!$B$23=Settings!$C$6,1,IF(Settings!$B$23="USD",1/INDEX(Settings!$B$29:$B$40,MONTH(A7674)),INDEX(Settings!$B$29:$B$40,MONTH(A7674)))))</f>
        <v/>
      </c>
    </row>
    <row r="7675" customFormat="false" ht="15" hidden="false" customHeight="false" outlineLevel="0" collapsed="false">
      <c r="H7675" s="0" t="str">
        <f aca="false">IF(B7675="","",IF(COUNTIF(Campaigns!$A$7:$A$300,B7675)&gt;0,"✓","⚠ add to Campaigns tab"))</f>
        <v/>
      </c>
      <c r="I7675" s="84" t="str">
        <f aca="false">IF(C7675="","",C7675*IF(Settings!$B$23=Settings!$C$6,1,IF(Settings!$B$23="USD",1/INDEX(Settings!$B$29:$B$40,MONTH(A7675)),INDEX(Settings!$B$29:$B$40,MONTH(A7675)))))</f>
        <v/>
      </c>
    </row>
    <row r="7676" customFormat="false" ht="15" hidden="false" customHeight="false" outlineLevel="0" collapsed="false">
      <c r="H7676" s="0" t="str">
        <f aca="false">IF(B7676="","",IF(COUNTIF(Campaigns!$A$7:$A$300,B7676)&gt;0,"✓","⚠ add to Campaigns tab"))</f>
        <v/>
      </c>
      <c r="I7676" s="84" t="str">
        <f aca="false">IF(C7676="","",C7676*IF(Settings!$B$23=Settings!$C$6,1,IF(Settings!$B$23="USD",1/INDEX(Settings!$B$29:$B$40,MONTH(A7676)),INDEX(Settings!$B$29:$B$40,MONTH(A7676)))))</f>
        <v/>
      </c>
    </row>
    <row r="7677" customFormat="false" ht="15" hidden="false" customHeight="false" outlineLevel="0" collapsed="false">
      <c r="H7677" s="0" t="str">
        <f aca="false">IF(B7677="","",IF(COUNTIF(Campaigns!$A$7:$A$300,B7677)&gt;0,"✓","⚠ add to Campaigns tab"))</f>
        <v/>
      </c>
      <c r="I7677" s="84" t="str">
        <f aca="false">IF(C7677="","",C7677*IF(Settings!$B$23=Settings!$C$6,1,IF(Settings!$B$23="USD",1/INDEX(Settings!$B$29:$B$40,MONTH(A7677)),INDEX(Settings!$B$29:$B$40,MONTH(A7677)))))</f>
        <v/>
      </c>
    </row>
    <row r="7678" customFormat="false" ht="15" hidden="false" customHeight="false" outlineLevel="0" collapsed="false">
      <c r="H7678" s="0" t="str">
        <f aca="false">IF(B7678="","",IF(COUNTIF(Campaigns!$A$7:$A$300,B7678)&gt;0,"✓","⚠ add to Campaigns tab"))</f>
        <v/>
      </c>
      <c r="I7678" s="84" t="str">
        <f aca="false">IF(C7678="","",C7678*IF(Settings!$B$23=Settings!$C$6,1,IF(Settings!$B$23="USD",1/INDEX(Settings!$B$29:$B$40,MONTH(A7678)),INDEX(Settings!$B$29:$B$40,MONTH(A7678)))))</f>
        <v/>
      </c>
    </row>
    <row r="7679" customFormat="false" ht="15" hidden="false" customHeight="false" outlineLevel="0" collapsed="false">
      <c r="H7679" s="0" t="str">
        <f aca="false">IF(B7679="","",IF(COUNTIF(Campaigns!$A$7:$A$300,B7679)&gt;0,"✓","⚠ add to Campaigns tab"))</f>
        <v/>
      </c>
      <c r="I7679" s="84" t="str">
        <f aca="false">IF(C7679="","",C7679*IF(Settings!$B$23=Settings!$C$6,1,IF(Settings!$B$23="USD",1/INDEX(Settings!$B$29:$B$40,MONTH(A7679)),INDEX(Settings!$B$29:$B$40,MONTH(A7679)))))</f>
        <v/>
      </c>
    </row>
    <row r="7680" customFormat="false" ht="15" hidden="false" customHeight="false" outlineLevel="0" collapsed="false">
      <c r="H7680" s="0" t="str">
        <f aca="false">IF(B7680="","",IF(COUNTIF(Campaigns!$A$7:$A$300,B7680)&gt;0,"✓","⚠ add to Campaigns tab"))</f>
        <v/>
      </c>
      <c r="I7680" s="84" t="str">
        <f aca="false">IF(C7680="","",C7680*IF(Settings!$B$23=Settings!$C$6,1,IF(Settings!$B$23="USD",1/INDEX(Settings!$B$29:$B$40,MONTH(A7680)),INDEX(Settings!$B$29:$B$40,MONTH(A7680)))))</f>
        <v/>
      </c>
    </row>
    <row r="7681" customFormat="false" ht="15" hidden="false" customHeight="false" outlineLevel="0" collapsed="false">
      <c r="H7681" s="0" t="str">
        <f aca="false">IF(B7681="","",IF(COUNTIF(Campaigns!$A$7:$A$300,B7681)&gt;0,"✓","⚠ add to Campaigns tab"))</f>
        <v/>
      </c>
      <c r="I7681" s="84" t="str">
        <f aca="false">IF(C7681="","",C7681*IF(Settings!$B$23=Settings!$C$6,1,IF(Settings!$B$23="USD",1/INDEX(Settings!$B$29:$B$40,MONTH(A7681)),INDEX(Settings!$B$29:$B$40,MONTH(A7681)))))</f>
        <v/>
      </c>
    </row>
    <row r="7682" customFormat="false" ht="15" hidden="false" customHeight="false" outlineLevel="0" collapsed="false">
      <c r="H7682" s="0" t="str">
        <f aca="false">IF(B7682="","",IF(COUNTIF(Campaigns!$A$7:$A$300,B7682)&gt;0,"✓","⚠ add to Campaigns tab"))</f>
        <v/>
      </c>
      <c r="I7682" s="84" t="str">
        <f aca="false">IF(C7682="","",C7682*IF(Settings!$B$23=Settings!$C$6,1,IF(Settings!$B$23="USD",1/INDEX(Settings!$B$29:$B$40,MONTH(A7682)),INDEX(Settings!$B$29:$B$40,MONTH(A7682)))))</f>
        <v/>
      </c>
    </row>
    <row r="7683" customFormat="false" ht="15" hidden="false" customHeight="false" outlineLevel="0" collapsed="false">
      <c r="H7683" s="0" t="str">
        <f aca="false">IF(B7683="","",IF(COUNTIF(Campaigns!$A$7:$A$300,B7683)&gt;0,"✓","⚠ add to Campaigns tab"))</f>
        <v/>
      </c>
      <c r="I7683" s="84" t="str">
        <f aca="false">IF(C7683="","",C7683*IF(Settings!$B$23=Settings!$C$6,1,IF(Settings!$B$23="USD",1/INDEX(Settings!$B$29:$B$40,MONTH(A7683)),INDEX(Settings!$B$29:$B$40,MONTH(A7683)))))</f>
        <v/>
      </c>
    </row>
    <row r="7684" customFormat="false" ht="15" hidden="false" customHeight="false" outlineLevel="0" collapsed="false">
      <c r="H7684" s="0" t="str">
        <f aca="false">IF(B7684="","",IF(COUNTIF(Campaigns!$A$7:$A$300,B7684)&gt;0,"✓","⚠ add to Campaigns tab"))</f>
        <v/>
      </c>
      <c r="I7684" s="84" t="str">
        <f aca="false">IF(C7684="","",C7684*IF(Settings!$B$23=Settings!$C$6,1,IF(Settings!$B$23="USD",1/INDEX(Settings!$B$29:$B$40,MONTH(A7684)),INDEX(Settings!$B$29:$B$40,MONTH(A7684)))))</f>
        <v/>
      </c>
    </row>
    <row r="7685" customFormat="false" ht="15" hidden="false" customHeight="false" outlineLevel="0" collapsed="false">
      <c r="H7685" s="0" t="str">
        <f aca="false">IF(B7685="","",IF(COUNTIF(Campaigns!$A$7:$A$300,B7685)&gt;0,"✓","⚠ add to Campaigns tab"))</f>
        <v/>
      </c>
      <c r="I7685" s="84" t="str">
        <f aca="false">IF(C7685="","",C7685*IF(Settings!$B$23=Settings!$C$6,1,IF(Settings!$B$23="USD",1/INDEX(Settings!$B$29:$B$40,MONTH(A7685)),INDEX(Settings!$B$29:$B$40,MONTH(A7685)))))</f>
        <v/>
      </c>
    </row>
    <row r="7686" customFormat="false" ht="15" hidden="false" customHeight="false" outlineLevel="0" collapsed="false">
      <c r="H7686" s="0" t="str">
        <f aca="false">IF(B7686="","",IF(COUNTIF(Campaigns!$A$7:$A$300,B7686)&gt;0,"✓","⚠ add to Campaigns tab"))</f>
        <v/>
      </c>
      <c r="I7686" s="84" t="str">
        <f aca="false">IF(C7686="","",C7686*IF(Settings!$B$23=Settings!$C$6,1,IF(Settings!$B$23="USD",1/INDEX(Settings!$B$29:$B$40,MONTH(A7686)),INDEX(Settings!$B$29:$B$40,MONTH(A7686)))))</f>
        <v/>
      </c>
    </row>
    <row r="7687" customFormat="false" ht="15" hidden="false" customHeight="false" outlineLevel="0" collapsed="false">
      <c r="H7687" s="0" t="str">
        <f aca="false">IF(B7687="","",IF(COUNTIF(Campaigns!$A$7:$A$300,B7687)&gt;0,"✓","⚠ add to Campaigns tab"))</f>
        <v/>
      </c>
      <c r="I7687" s="84" t="str">
        <f aca="false">IF(C7687="","",C7687*IF(Settings!$B$23=Settings!$C$6,1,IF(Settings!$B$23="USD",1/INDEX(Settings!$B$29:$B$40,MONTH(A7687)),INDEX(Settings!$B$29:$B$40,MONTH(A7687)))))</f>
        <v/>
      </c>
    </row>
    <row r="7688" customFormat="false" ht="15" hidden="false" customHeight="false" outlineLevel="0" collapsed="false">
      <c r="H7688" s="0" t="str">
        <f aca="false">IF(B7688="","",IF(COUNTIF(Campaigns!$A$7:$A$300,B7688)&gt;0,"✓","⚠ add to Campaigns tab"))</f>
        <v/>
      </c>
      <c r="I7688" s="84" t="str">
        <f aca="false">IF(C7688="","",C7688*IF(Settings!$B$23=Settings!$C$6,1,IF(Settings!$B$23="USD",1/INDEX(Settings!$B$29:$B$40,MONTH(A7688)),INDEX(Settings!$B$29:$B$40,MONTH(A7688)))))</f>
        <v/>
      </c>
    </row>
    <row r="7689" customFormat="false" ht="15" hidden="false" customHeight="false" outlineLevel="0" collapsed="false">
      <c r="H7689" s="0" t="str">
        <f aca="false">IF(B7689="","",IF(COUNTIF(Campaigns!$A$7:$A$300,B7689)&gt;0,"✓","⚠ add to Campaigns tab"))</f>
        <v/>
      </c>
      <c r="I7689" s="84" t="str">
        <f aca="false">IF(C7689="","",C7689*IF(Settings!$B$23=Settings!$C$6,1,IF(Settings!$B$23="USD",1/INDEX(Settings!$B$29:$B$40,MONTH(A7689)),INDEX(Settings!$B$29:$B$40,MONTH(A7689)))))</f>
        <v/>
      </c>
    </row>
    <row r="7690" customFormat="false" ht="15" hidden="false" customHeight="false" outlineLevel="0" collapsed="false">
      <c r="H7690" s="0" t="str">
        <f aca="false">IF(B7690="","",IF(COUNTIF(Campaigns!$A$7:$A$300,B7690)&gt;0,"✓","⚠ add to Campaigns tab"))</f>
        <v/>
      </c>
      <c r="I7690" s="84" t="str">
        <f aca="false">IF(C7690="","",C7690*IF(Settings!$B$23=Settings!$C$6,1,IF(Settings!$B$23="USD",1/INDEX(Settings!$B$29:$B$40,MONTH(A7690)),INDEX(Settings!$B$29:$B$40,MONTH(A7690)))))</f>
        <v/>
      </c>
    </row>
    <row r="7691" customFormat="false" ht="15" hidden="false" customHeight="false" outlineLevel="0" collapsed="false">
      <c r="H7691" s="0" t="str">
        <f aca="false">IF(B7691="","",IF(COUNTIF(Campaigns!$A$7:$A$300,B7691)&gt;0,"✓","⚠ add to Campaigns tab"))</f>
        <v/>
      </c>
      <c r="I7691" s="84" t="str">
        <f aca="false">IF(C7691="","",C7691*IF(Settings!$B$23=Settings!$C$6,1,IF(Settings!$B$23="USD",1/INDEX(Settings!$B$29:$B$40,MONTH(A7691)),INDEX(Settings!$B$29:$B$40,MONTH(A7691)))))</f>
        <v/>
      </c>
    </row>
    <row r="7692" customFormat="false" ht="15" hidden="false" customHeight="false" outlineLevel="0" collapsed="false">
      <c r="H7692" s="0" t="str">
        <f aca="false">IF(B7692="","",IF(COUNTIF(Campaigns!$A$7:$A$300,B7692)&gt;0,"✓","⚠ add to Campaigns tab"))</f>
        <v/>
      </c>
      <c r="I7692" s="84" t="str">
        <f aca="false">IF(C7692="","",C7692*IF(Settings!$B$23=Settings!$C$6,1,IF(Settings!$B$23="USD",1/INDEX(Settings!$B$29:$B$40,MONTH(A7692)),INDEX(Settings!$B$29:$B$40,MONTH(A7692)))))</f>
        <v/>
      </c>
    </row>
    <row r="7693" customFormat="false" ht="15" hidden="false" customHeight="false" outlineLevel="0" collapsed="false">
      <c r="H7693" s="0" t="str">
        <f aca="false">IF(B7693="","",IF(COUNTIF(Campaigns!$A$7:$A$300,B7693)&gt;0,"✓","⚠ add to Campaigns tab"))</f>
        <v/>
      </c>
      <c r="I7693" s="84" t="str">
        <f aca="false">IF(C7693="","",C7693*IF(Settings!$B$23=Settings!$C$6,1,IF(Settings!$B$23="USD",1/INDEX(Settings!$B$29:$B$40,MONTH(A7693)),INDEX(Settings!$B$29:$B$40,MONTH(A7693)))))</f>
        <v/>
      </c>
    </row>
    <row r="7694" customFormat="false" ht="15" hidden="false" customHeight="false" outlineLevel="0" collapsed="false">
      <c r="H7694" s="0" t="str">
        <f aca="false">IF(B7694="","",IF(COUNTIF(Campaigns!$A$7:$A$300,B7694)&gt;0,"✓","⚠ add to Campaigns tab"))</f>
        <v/>
      </c>
      <c r="I7694" s="84" t="str">
        <f aca="false">IF(C7694="","",C7694*IF(Settings!$B$23=Settings!$C$6,1,IF(Settings!$B$23="USD",1/INDEX(Settings!$B$29:$B$40,MONTH(A7694)),INDEX(Settings!$B$29:$B$40,MONTH(A7694)))))</f>
        <v/>
      </c>
    </row>
    <row r="7695" customFormat="false" ht="15" hidden="false" customHeight="false" outlineLevel="0" collapsed="false">
      <c r="H7695" s="0" t="str">
        <f aca="false">IF(B7695="","",IF(COUNTIF(Campaigns!$A$7:$A$300,B7695)&gt;0,"✓","⚠ add to Campaigns tab"))</f>
        <v/>
      </c>
      <c r="I7695" s="84" t="str">
        <f aca="false">IF(C7695="","",C7695*IF(Settings!$B$23=Settings!$C$6,1,IF(Settings!$B$23="USD",1/INDEX(Settings!$B$29:$B$40,MONTH(A7695)),INDEX(Settings!$B$29:$B$40,MONTH(A7695)))))</f>
        <v/>
      </c>
    </row>
    <row r="7696" customFormat="false" ht="15" hidden="false" customHeight="false" outlineLevel="0" collapsed="false">
      <c r="H7696" s="0" t="str">
        <f aca="false">IF(B7696="","",IF(COUNTIF(Campaigns!$A$7:$A$300,B7696)&gt;0,"✓","⚠ add to Campaigns tab"))</f>
        <v/>
      </c>
      <c r="I7696" s="84" t="str">
        <f aca="false">IF(C7696="","",C7696*IF(Settings!$B$23=Settings!$C$6,1,IF(Settings!$B$23="USD",1/INDEX(Settings!$B$29:$B$40,MONTH(A7696)),INDEX(Settings!$B$29:$B$40,MONTH(A7696)))))</f>
        <v/>
      </c>
    </row>
    <row r="7697" customFormat="false" ht="15" hidden="false" customHeight="false" outlineLevel="0" collapsed="false">
      <c r="H7697" s="0" t="str">
        <f aca="false">IF(B7697="","",IF(COUNTIF(Campaigns!$A$7:$A$300,B7697)&gt;0,"✓","⚠ add to Campaigns tab"))</f>
        <v/>
      </c>
      <c r="I7697" s="84" t="str">
        <f aca="false">IF(C7697="","",C7697*IF(Settings!$B$23=Settings!$C$6,1,IF(Settings!$B$23="USD",1/INDEX(Settings!$B$29:$B$40,MONTH(A7697)),INDEX(Settings!$B$29:$B$40,MONTH(A7697)))))</f>
        <v/>
      </c>
    </row>
    <row r="7698" customFormat="false" ht="15" hidden="false" customHeight="false" outlineLevel="0" collapsed="false">
      <c r="H7698" s="0" t="str">
        <f aca="false">IF(B7698="","",IF(COUNTIF(Campaigns!$A$7:$A$300,B7698)&gt;0,"✓","⚠ add to Campaigns tab"))</f>
        <v/>
      </c>
      <c r="I7698" s="84" t="str">
        <f aca="false">IF(C7698="","",C7698*IF(Settings!$B$23=Settings!$C$6,1,IF(Settings!$B$23="USD",1/INDEX(Settings!$B$29:$B$40,MONTH(A7698)),INDEX(Settings!$B$29:$B$40,MONTH(A7698)))))</f>
        <v/>
      </c>
    </row>
    <row r="7699" customFormat="false" ht="15" hidden="false" customHeight="false" outlineLevel="0" collapsed="false">
      <c r="H7699" s="0" t="str">
        <f aca="false">IF(B7699="","",IF(COUNTIF(Campaigns!$A$7:$A$300,B7699)&gt;0,"✓","⚠ add to Campaigns tab"))</f>
        <v/>
      </c>
      <c r="I7699" s="84" t="str">
        <f aca="false">IF(C7699="","",C7699*IF(Settings!$B$23=Settings!$C$6,1,IF(Settings!$B$23="USD",1/INDEX(Settings!$B$29:$B$40,MONTH(A7699)),INDEX(Settings!$B$29:$B$40,MONTH(A7699)))))</f>
        <v/>
      </c>
    </row>
    <row r="7700" customFormat="false" ht="15" hidden="false" customHeight="false" outlineLevel="0" collapsed="false">
      <c r="H7700" s="0" t="str">
        <f aca="false">IF(B7700="","",IF(COUNTIF(Campaigns!$A$7:$A$300,B7700)&gt;0,"✓","⚠ add to Campaigns tab"))</f>
        <v/>
      </c>
      <c r="I7700" s="84" t="str">
        <f aca="false">IF(C7700="","",C7700*IF(Settings!$B$23=Settings!$C$6,1,IF(Settings!$B$23="USD",1/INDEX(Settings!$B$29:$B$40,MONTH(A7700)),INDEX(Settings!$B$29:$B$40,MONTH(A7700)))))</f>
        <v/>
      </c>
    </row>
    <row r="7701" customFormat="false" ht="15" hidden="false" customHeight="false" outlineLevel="0" collapsed="false">
      <c r="H7701" s="0" t="str">
        <f aca="false">IF(B7701="","",IF(COUNTIF(Campaigns!$A$7:$A$300,B7701)&gt;0,"✓","⚠ add to Campaigns tab"))</f>
        <v/>
      </c>
      <c r="I7701" s="84" t="str">
        <f aca="false">IF(C7701="","",C7701*IF(Settings!$B$23=Settings!$C$6,1,IF(Settings!$B$23="USD",1/INDEX(Settings!$B$29:$B$40,MONTH(A7701)),INDEX(Settings!$B$29:$B$40,MONTH(A7701)))))</f>
        <v/>
      </c>
    </row>
    <row r="7702" customFormat="false" ht="15" hidden="false" customHeight="false" outlineLevel="0" collapsed="false">
      <c r="H7702" s="0" t="str">
        <f aca="false">IF(B7702="","",IF(COUNTIF(Campaigns!$A$7:$A$300,B7702)&gt;0,"✓","⚠ add to Campaigns tab"))</f>
        <v/>
      </c>
      <c r="I7702" s="84" t="str">
        <f aca="false">IF(C7702="","",C7702*IF(Settings!$B$23=Settings!$C$6,1,IF(Settings!$B$23="USD",1/INDEX(Settings!$B$29:$B$40,MONTH(A7702)),INDEX(Settings!$B$29:$B$40,MONTH(A7702)))))</f>
        <v/>
      </c>
    </row>
    <row r="7703" customFormat="false" ht="15" hidden="false" customHeight="false" outlineLevel="0" collapsed="false">
      <c r="H7703" s="0" t="str">
        <f aca="false">IF(B7703="","",IF(COUNTIF(Campaigns!$A$7:$A$300,B7703)&gt;0,"✓","⚠ add to Campaigns tab"))</f>
        <v/>
      </c>
      <c r="I7703" s="84" t="str">
        <f aca="false">IF(C7703="","",C7703*IF(Settings!$B$23=Settings!$C$6,1,IF(Settings!$B$23="USD",1/INDEX(Settings!$B$29:$B$40,MONTH(A7703)),INDEX(Settings!$B$29:$B$40,MONTH(A7703)))))</f>
        <v/>
      </c>
    </row>
    <row r="7704" customFormat="false" ht="15" hidden="false" customHeight="false" outlineLevel="0" collapsed="false">
      <c r="H7704" s="0" t="str">
        <f aca="false">IF(B7704="","",IF(COUNTIF(Campaigns!$A$7:$A$300,B7704)&gt;0,"✓","⚠ add to Campaigns tab"))</f>
        <v/>
      </c>
      <c r="I7704" s="84" t="str">
        <f aca="false">IF(C7704="","",C7704*IF(Settings!$B$23=Settings!$C$6,1,IF(Settings!$B$23="USD",1/INDEX(Settings!$B$29:$B$40,MONTH(A7704)),INDEX(Settings!$B$29:$B$40,MONTH(A7704)))))</f>
        <v/>
      </c>
    </row>
    <row r="7705" customFormat="false" ht="15" hidden="false" customHeight="false" outlineLevel="0" collapsed="false">
      <c r="H7705" s="0" t="str">
        <f aca="false">IF(B7705="","",IF(COUNTIF(Campaigns!$A$7:$A$300,B7705)&gt;0,"✓","⚠ add to Campaigns tab"))</f>
        <v/>
      </c>
      <c r="I7705" s="84" t="str">
        <f aca="false">IF(C7705="","",C7705*IF(Settings!$B$23=Settings!$C$6,1,IF(Settings!$B$23="USD",1/INDEX(Settings!$B$29:$B$40,MONTH(A7705)),INDEX(Settings!$B$29:$B$40,MONTH(A7705)))))</f>
        <v/>
      </c>
    </row>
    <row r="7706" customFormat="false" ht="15" hidden="false" customHeight="false" outlineLevel="0" collapsed="false">
      <c r="H7706" s="0" t="str">
        <f aca="false">IF(B7706="","",IF(COUNTIF(Campaigns!$A$7:$A$300,B7706)&gt;0,"✓","⚠ add to Campaigns tab"))</f>
        <v/>
      </c>
      <c r="I7706" s="84" t="str">
        <f aca="false">IF(C7706="","",C7706*IF(Settings!$B$23=Settings!$C$6,1,IF(Settings!$B$23="USD",1/INDEX(Settings!$B$29:$B$40,MONTH(A7706)),INDEX(Settings!$B$29:$B$40,MONTH(A7706)))))</f>
        <v/>
      </c>
    </row>
    <row r="7707" customFormat="false" ht="15" hidden="false" customHeight="false" outlineLevel="0" collapsed="false">
      <c r="H7707" s="0" t="str">
        <f aca="false">IF(B7707="","",IF(COUNTIF(Campaigns!$A$7:$A$300,B7707)&gt;0,"✓","⚠ add to Campaigns tab"))</f>
        <v/>
      </c>
      <c r="I7707" s="84" t="str">
        <f aca="false">IF(C7707="","",C7707*IF(Settings!$B$23=Settings!$C$6,1,IF(Settings!$B$23="USD",1/INDEX(Settings!$B$29:$B$40,MONTH(A7707)),INDEX(Settings!$B$29:$B$40,MONTH(A7707)))))</f>
        <v/>
      </c>
    </row>
    <row r="7708" customFormat="false" ht="15" hidden="false" customHeight="false" outlineLevel="0" collapsed="false">
      <c r="H7708" s="0" t="str">
        <f aca="false">IF(B7708="","",IF(COUNTIF(Campaigns!$A$7:$A$300,B7708)&gt;0,"✓","⚠ add to Campaigns tab"))</f>
        <v/>
      </c>
      <c r="I7708" s="84" t="str">
        <f aca="false">IF(C7708="","",C7708*IF(Settings!$B$23=Settings!$C$6,1,IF(Settings!$B$23="USD",1/INDEX(Settings!$B$29:$B$40,MONTH(A7708)),INDEX(Settings!$B$29:$B$40,MONTH(A7708)))))</f>
        <v/>
      </c>
    </row>
    <row r="7709" customFormat="false" ht="15" hidden="false" customHeight="false" outlineLevel="0" collapsed="false">
      <c r="H7709" s="0" t="str">
        <f aca="false">IF(B7709="","",IF(COUNTIF(Campaigns!$A$7:$A$300,B7709)&gt;0,"✓","⚠ add to Campaigns tab"))</f>
        <v/>
      </c>
      <c r="I7709" s="84" t="str">
        <f aca="false">IF(C7709="","",C7709*IF(Settings!$B$23=Settings!$C$6,1,IF(Settings!$B$23="USD",1/INDEX(Settings!$B$29:$B$40,MONTH(A7709)),INDEX(Settings!$B$29:$B$40,MONTH(A7709)))))</f>
        <v/>
      </c>
    </row>
    <row r="7710" customFormat="false" ht="15" hidden="false" customHeight="false" outlineLevel="0" collapsed="false">
      <c r="H7710" s="0" t="str">
        <f aca="false">IF(B7710="","",IF(COUNTIF(Campaigns!$A$7:$A$300,B7710)&gt;0,"✓","⚠ add to Campaigns tab"))</f>
        <v/>
      </c>
      <c r="I7710" s="84" t="str">
        <f aca="false">IF(C7710="","",C7710*IF(Settings!$B$23=Settings!$C$6,1,IF(Settings!$B$23="USD",1/INDEX(Settings!$B$29:$B$40,MONTH(A7710)),INDEX(Settings!$B$29:$B$40,MONTH(A7710)))))</f>
        <v/>
      </c>
    </row>
    <row r="7711" customFormat="false" ht="15" hidden="false" customHeight="false" outlineLevel="0" collapsed="false">
      <c r="H7711" s="0" t="str">
        <f aca="false">IF(B7711="","",IF(COUNTIF(Campaigns!$A$7:$A$300,B7711)&gt;0,"✓","⚠ add to Campaigns tab"))</f>
        <v/>
      </c>
      <c r="I7711" s="84" t="str">
        <f aca="false">IF(C7711="","",C7711*IF(Settings!$B$23=Settings!$C$6,1,IF(Settings!$B$23="USD",1/INDEX(Settings!$B$29:$B$40,MONTH(A7711)),INDEX(Settings!$B$29:$B$40,MONTH(A7711)))))</f>
        <v/>
      </c>
    </row>
    <row r="7712" customFormat="false" ht="15" hidden="false" customHeight="false" outlineLevel="0" collapsed="false">
      <c r="H7712" s="0" t="str">
        <f aca="false">IF(B7712="","",IF(COUNTIF(Campaigns!$A$7:$A$300,B7712)&gt;0,"✓","⚠ add to Campaigns tab"))</f>
        <v/>
      </c>
      <c r="I7712" s="84" t="str">
        <f aca="false">IF(C7712="","",C7712*IF(Settings!$B$23=Settings!$C$6,1,IF(Settings!$B$23="USD",1/INDEX(Settings!$B$29:$B$40,MONTH(A7712)),INDEX(Settings!$B$29:$B$40,MONTH(A7712)))))</f>
        <v/>
      </c>
    </row>
    <row r="7713" customFormat="false" ht="15" hidden="false" customHeight="false" outlineLevel="0" collapsed="false">
      <c r="H7713" s="0" t="str">
        <f aca="false">IF(B7713="","",IF(COUNTIF(Campaigns!$A$7:$A$300,B7713)&gt;0,"✓","⚠ add to Campaigns tab"))</f>
        <v/>
      </c>
      <c r="I7713" s="84" t="str">
        <f aca="false">IF(C7713="","",C7713*IF(Settings!$B$23=Settings!$C$6,1,IF(Settings!$B$23="USD",1/INDEX(Settings!$B$29:$B$40,MONTH(A7713)),INDEX(Settings!$B$29:$B$40,MONTH(A7713)))))</f>
        <v/>
      </c>
    </row>
    <row r="7714" customFormat="false" ht="15" hidden="false" customHeight="false" outlineLevel="0" collapsed="false">
      <c r="H7714" s="0" t="str">
        <f aca="false">IF(B7714="","",IF(COUNTIF(Campaigns!$A$7:$A$300,B7714)&gt;0,"✓","⚠ add to Campaigns tab"))</f>
        <v/>
      </c>
      <c r="I7714" s="84" t="str">
        <f aca="false">IF(C7714="","",C7714*IF(Settings!$B$23=Settings!$C$6,1,IF(Settings!$B$23="USD",1/INDEX(Settings!$B$29:$B$40,MONTH(A7714)),INDEX(Settings!$B$29:$B$40,MONTH(A7714)))))</f>
        <v/>
      </c>
    </row>
    <row r="7715" customFormat="false" ht="15" hidden="false" customHeight="false" outlineLevel="0" collapsed="false">
      <c r="H7715" s="0" t="str">
        <f aca="false">IF(B7715="","",IF(COUNTIF(Campaigns!$A$7:$A$300,B7715)&gt;0,"✓","⚠ add to Campaigns tab"))</f>
        <v/>
      </c>
      <c r="I7715" s="84" t="str">
        <f aca="false">IF(C7715="","",C7715*IF(Settings!$B$23=Settings!$C$6,1,IF(Settings!$B$23="USD",1/INDEX(Settings!$B$29:$B$40,MONTH(A7715)),INDEX(Settings!$B$29:$B$40,MONTH(A7715)))))</f>
        <v/>
      </c>
    </row>
    <row r="7716" customFormat="false" ht="15" hidden="false" customHeight="false" outlineLevel="0" collapsed="false">
      <c r="H7716" s="0" t="str">
        <f aca="false">IF(B7716="","",IF(COUNTIF(Campaigns!$A$7:$A$300,B7716)&gt;0,"✓","⚠ add to Campaigns tab"))</f>
        <v/>
      </c>
      <c r="I7716" s="84" t="str">
        <f aca="false">IF(C7716="","",C7716*IF(Settings!$B$23=Settings!$C$6,1,IF(Settings!$B$23="USD",1/INDEX(Settings!$B$29:$B$40,MONTH(A7716)),INDEX(Settings!$B$29:$B$40,MONTH(A7716)))))</f>
        <v/>
      </c>
    </row>
    <row r="7717" customFormat="false" ht="15" hidden="false" customHeight="false" outlineLevel="0" collapsed="false">
      <c r="H7717" s="0" t="str">
        <f aca="false">IF(B7717="","",IF(COUNTIF(Campaigns!$A$7:$A$300,B7717)&gt;0,"✓","⚠ add to Campaigns tab"))</f>
        <v/>
      </c>
      <c r="I7717" s="84" t="str">
        <f aca="false">IF(C7717="","",C7717*IF(Settings!$B$23=Settings!$C$6,1,IF(Settings!$B$23="USD",1/INDEX(Settings!$B$29:$B$40,MONTH(A7717)),INDEX(Settings!$B$29:$B$40,MONTH(A7717)))))</f>
        <v/>
      </c>
    </row>
    <row r="7718" customFormat="false" ht="15" hidden="false" customHeight="false" outlineLevel="0" collapsed="false">
      <c r="H7718" s="0" t="str">
        <f aca="false">IF(B7718="","",IF(COUNTIF(Campaigns!$A$7:$A$300,B7718)&gt;0,"✓","⚠ add to Campaigns tab"))</f>
        <v/>
      </c>
      <c r="I7718" s="84" t="str">
        <f aca="false">IF(C7718="","",C7718*IF(Settings!$B$23=Settings!$C$6,1,IF(Settings!$B$23="USD",1/INDEX(Settings!$B$29:$B$40,MONTH(A7718)),INDEX(Settings!$B$29:$B$40,MONTH(A7718)))))</f>
        <v/>
      </c>
    </row>
    <row r="7719" customFormat="false" ht="15" hidden="false" customHeight="false" outlineLevel="0" collapsed="false">
      <c r="H7719" s="0" t="str">
        <f aca="false">IF(B7719="","",IF(COUNTIF(Campaigns!$A$7:$A$300,B7719)&gt;0,"✓","⚠ add to Campaigns tab"))</f>
        <v/>
      </c>
      <c r="I7719" s="84" t="str">
        <f aca="false">IF(C7719="","",C7719*IF(Settings!$B$23=Settings!$C$6,1,IF(Settings!$B$23="USD",1/INDEX(Settings!$B$29:$B$40,MONTH(A7719)),INDEX(Settings!$B$29:$B$40,MONTH(A7719)))))</f>
        <v/>
      </c>
    </row>
    <row r="7720" customFormat="false" ht="15" hidden="false" customHeight="false" outlineLevel="0" collapsed="false">
      <c r="H7720" s="0" t="str">
        <f aca="false">IF(B7720="","",IF(COUNTIF(Campaigns!$A$7:$A$300,B7720)&gt;0,"✓","⚠ add to Campaigns tab"))</f>
        <v/>
      </c>
      <c r="I7720" s="84" t="str">
        <f aca="false">IF(C7720="","",C7720*IF(Settings!$B$23=Settings!$C$6,1,IF(Settings!$B$23="USD",1/INDEX(Settings!$B$29:$B$40,MONTH(A7720)),INDEX(Settings!$B$29:$B$40,MONTH(A7720)))))</f>
        <v/>
      </c>
    </row>
    <row r="7721" customFormat="false" ht="15" hidden="false" customHeight="false" outlineLevel="0" collapsed="false">
      <c r="H7721" s="0" t="str">
        <f aca="false">IF(B7721="","",IF(COUNTIF(Campaigns!$A$7:$A$300,B7721)&gt;0,"✓","⚠ add to Campaigns tab"))</f>
        <v/>
      </c>
      <c r="I7721" s="84" t="str">
        <f aca="false">IF(C7721="","",C7721*IF(Settings!$B$23=Settings!$C$6,1,IF(Settings!$B$23="USD",1/INDEX(Settings!$B$29:$B$40,MONTH(A7721)),INDEX(Settings!$B$29:$B$40,MONTH(A7721)))))</f>
        <v/>
      </c>
    </row>
    <row r="7722" customFormat="false" ht="15" hidden="false" customHeight="false" outlineLevel="0" collapsed="false">
      <c r="H7722" s="0" t="str">
        <f aca="false">IF(B7722="","",IF(COUNTIF(Campaigns!$A$7:$A$300,B7722)&gt;0,"✓","⚠ add to Campaigns tab"))</f>
        <v/>
      </c>
      <c r="I7722" s="84" t="str">
        <f aca="false">IF(C7722="","",C7722*IF(Settings!$B$23=Settings!$C$6,1,IF(Settings!$B$23="USD",1/INDEX(Settings!$B$29:$B$40,MONTH(A7722)),INDEX(Settings!$B$29:$B$40,MONTH(A7722)))))</f>
        <v/>
      </c>
    </row>
    <row r="7723" customFormat="false" ht="15" hidden="false" customHeight="false" outlineLevel="0" collapsed="false">
      <c r="H7723" s="0" t="str">
        <f aca="false">IF(B7723="","",IF(COUNTIF(Campaigns!$A$7:$A$300,B7723)&gt;0,"✓","⚠ add to Campaigns tab"))</f>
        <v/>
      </c>
      <c r="I7723" s="84" t="str">
        <f aca="false">IF(C7723="","",C7723*IF(Settings!$B$23=Settings!$C$6,1,IF(Settings!$B$23="USD",1/INDEX(Settings!$B$29:$B$40,MONTH(A7723)),INDEX(Settings!$B$29:$B$40,MONTH(A7723)))))</f>
        <v/>
      </c>
    </row>
    <row r="7724" customFormat="false" ht="15" hidden="false" customHeight="false" outlineLevel="0" collapsed="false">
      <c r="H7724" s="0" t="str">
        <f aca="false">IF(B7724="","",IF(COUNTIF(Campaigns!$A$7:$A$300,B7724)&gt;0,"✓","⚠ add to Campaigns tab"))</f>
        <v/>
      </c>
      <c r="I7724" s="84" t="str">
        <f aca="false">IF(C7724="","",C7724*IF(Settings!$B$23=Settings!$C$6,1,IF(Settings!$B$23="USD",1/INDEX(Settings!$B$29:$B$40,MONTH(A7724)),INDEX(Settings!$B$29:$B$40,MONTH(A7724)))))</f>
        <v/>
      </c>
    </row>
    <row r="7725" customFormat="false" ht="15" hidden="false" customHeight="false" outlineLevel="0" collapsed="false">
      <c r="H7725" s="0" t="str">
        <f aca="false">IF(B7725="","",IF(COUNTIF(Campaigns!$A$7:$A$300,B7725)&gt;0,"✓","⚠ add to Campaigns tab"))</f>
        <v/>
      </c>
      <c r="I7725" s="84" t="str">
        <f aca="false">IF(C7725="","",C7725*IF(Settings!$B$23=Settings!$C$6,1,IF(Settings!$B$23="USD",1/INDEX(Settings!$B$29:$B$40,MONTH(A7725)),INDEX(Settings!$B$29:$B$40,MONTH(A7725)))))</f>
        <v/>
      </c>
    </row>
    <row r="7726" customFormat="false" ht="15" hidden="false" customHeight="false" outlineLevel="0" collapsed="false">
      <c r="H7726" s="0" t="str">
        <f aca="false">IF(B7726="","",IF(COUNTIF(Campaigns!$A$7:$A$300,B7726)&gt;0,"✓","⚠ add to Campaigns tab"))</f>
        <v/>
      </c>
      <c r="I7726" s="84" t="str">
        <f aca="false">IF(C7726="","",C7726*IF(Settings!$B$23=Settings!$C$6,1,IF(Settings!$B$23="USD",1/INDEX(Settings!$B$29:$B$40,MONTH(A7726)),INDEX(Settings!$B$29:$B$40,MONTH(A7726)))))</f>
        <v/>
      </c>
    </row>
    <row r="7727" customFormat="false" ht="15" hidden="false" customHeight="false" outlineLevel="0" collapsed="false">
      <c r="H7727" s="0" t="str">
        <f aca="false">IF(B7727="","",IF(COUNTIF(Campaigns!$A$7:$A$300,B7727)&gt;0,"✓","⚠ add to Campaigns tab"))</f>
        <v/>
      </c>
      <c r="I7727" s="84" t="str">
        <f aca="false">IF(C7727="","",C7727*IF(Settings!$B$23=Settings!$C$6,1,IF(Settings!$B$23="USD",1/INDEX(Settings!$B$29:$B$40,MONTH(A7727)),INDEX(Settings!$B$29:$B$40,MONTH(A7727)))))</f>
        <v/>
      </c>
    </row>
    <row r="7728" customFormat="false" ht="15" hidden="false" customHeight="false" outlineLevel="0" collapsed="false">
      <c r="H7728" s="0" t="str">
        <f aca="false">IF(B7728="","",IF(COUNTIF(Campaigns!$A$7:$A$300,B7728)&gt;0,"✓","⚠ add to Campaigns tab"))</f>
        <v/>
      </c>
      <c r="I7728" s="84" t="str">
        <f aca="false">IF(C7728="","",C7728*IF(Settings!$B$23=Settings!$C$6,1,IF(Settings!$B$23="USD",1/INDEX(Settings!$B$29:$B$40,MONTH(A7728)),INDEX(Settings!$B$29:$B$40,MONTH(A7728)))))</f>
        <v/>
      </c>
    </row>
    <row r="7729" customFormat="false" ht="15" hidden="false" customHeight="false" outlineLevel="0" collapsed="false">
      <c r="H7729" s="0" t="str">
        <f aca="false">IF(B7729="","",IF(COUNTIF(Campaigns!$A$7:$A$300,B7729)&gt;0,"✓","⚠ add to Campaigns tab"))</f>
        <v/>
      </c>
      <c r="I7729" s="84" t="str">
        <f aca="false">IF(C7729="","",C7729*IF(Settings!$B$23=Settings!$C$6,1,IF(Settings!$B$23="USD",1/INDEX(Settings!$B$29:$B$40,MONTH(A7729)),INDEX(Settings!$B$29:$B$40,MONTH(A7729)))))</f>
        <v/>
      </c>
    </row>
    <row r="7730" customFormat="false" ht="15" hidden="false" customHeight="false" outlineLevel="0" collapsed="false">
      <c r="H7730" s="0" t="str">
        <f aca="false">IF(B7730="","",IF(COUNTIF(Campaigns!$A$7:$A$300,B7730)&gt;0,"✓","⚠ add to Campaigns tab"))</f>
        <v/>
      </c>
      <c r="I7730" s="84" t="str">
        <f aca="false">IF(C7730="","",C7730*IF(Settings!$B$23=Settings!$C$6,1,IF(Settings!$B$23="USD",1/INDEX(Settings!$B$29:$B$40,MONTH(A7730)),INDEX(Settings!$B$29:$B$40,MONTH(A7730)))))</f>
        <v/>
      </c>
    </row>
    <row r="7731" customFormat="false" ht="15" hidden="false" customHeight="false" outlineLevel="0" collapsed="false">
      <c r="H7731" s="0" t="str">
        <f aca="false">IF(B7731="","",IF(COUNTIF(Campaigns!$A$7:$A$300,B7731)&gt;0,"✓","⚠ add to Campaigns tab"))</f>
        <v/>
      </c>
      <c r="I7731" s="84" t="str">
        <f aca="false">IF(C7731="","",C7731*IF(Settings!$B$23=Settings!$C$6,1,IF(Settings!$B$23="USD",1/INDEX(Settings!$B$29:$B$40,MONTH(A7731)),INDEX(Settings!$B$29:$B$40,MONTH(A7731)))))</f>
        <v/>
      </c>
    </row>
    <row r="7732" customFormat="false" ht="15" hidden="false" customHeight="false" outlineLevel="0" collapsed="false">
      <c r="H7732" s="0" t="str">
        <f aca="false">IF(B7732="","",IF(COUNTIF(Campaigns!$A$7:$A$300,B7732)&gt;0,"✓","⚠ add to Campaigns tab"))</f>
        <v/>
      </c>
      <c r="I7732" s="84" t="str">
        <f aca="false">IF(C7732="","",C7732*IF(Settings!$B$23=Settings!$C$6,1,IF(Settings!$B$23="USD",1/INDEX(Settings!$B$29:$B$40,MONTH(A7732)),INDEX(Settings!$B$29:$B$40,MONTH(A7732)))))</f>
        <v/>
      </c>
    </row>
    <row r="7733" customFormat="false" ht="15" hidden="false" customHeight="false" outlineLevel="0" collapsed="false">
      <c r="H7733" s="0" t="str">
        <f aca="false">IF(B7733="","",IF(COUNTIF(Campaigns!$A$7:$A$300,B7733)&gt;0,"✓","⚠ add to Campaigns tab"))</f>
        <v/>
      </c>
      <c r="I7733" s="84" t="str">
        <f aca="false">IF(C7733="","",C7733*IF(Settings!$B$23=Settings!$C$6,1,IF(Settings!$B$23="USD",1/INDEX(Settings!$B$29:$B$40,MONTH(A7733)),INDEX(Settings!$B$29:$B$40,MONTH(A7733)))))</f>
        <v/>
      </c>
    </row>
    <row r="7734" customFormat="false" ht="15" hidden="false" customHeight="false" outlineLevel="0" collapsed="false">
      <c r="H7734" s="0" t="str">
        <f aca="false">IF(B7734="","",IF(COUNTIF(Campaigns!$A$7:$A$300,B7734)&gt;0,"✓","⚠ add to Campaigns tab"))</f>
        <v/>
      </c>
      <c r="I7734" s="84" t="str">
        <f aca="false">IF(C7734="","",C7734*IF(Settings!$B$23=Settings!$C$6,1,IF(Settings!$B$23="USD",1/INDEX(Settings!$B$29:$B$40,MONTH(A7734)),INDEX(Settings!$B$29:$B$40,MONTH(A7734)))))</f>
        <v/>
      </c>
    </row>
    <row r="7735" customFormat="false" ht="15" hidden="false" customHeight="false" outlineLevel="0" collapsed="false">
      <c r="H7735" s="0" t="str">
        <f aca="false">IF(B7735="","",IF(COUNTIF(Campaigns!$A$7:$A$300,B7735)&gt;0,"✓","⚠ add to Campaigns tab"))</f>
        <v/>
      </c>
      <c r="I7735" s="84" t="str">
        <f aca="false">IF(C7735="","",C7735*IF(Settings!$B$23=Settings!$C$6,1,IF(Settings!$B$23="USD",1/INDEX(Settings!$B$29:$B$40,MONTH(A7735)),INDEX(Settings!$B$29:$B$40,MONTH(A7735)))))</f>
        <v/>
      </c>
    </row>
    <row r="7736" customFormat="false" ht="15" hidden="false" customHeight="false" outlineLevel="0" collapsed="false">
      <c r="H7736" s="0" t="str">
        <f aca="false">IF(B7736="","",IF(COUNTIF(Campaigns!$A$7:$A$300,B7736)&gt;0,"✓","⚠ add to Campaigns tab"))</f>
        <v/>
      </c>
      <c r="I7736" s="84" t="str">
        <f aca="false">IF(C7736="","",C7736*IF(Settings!$B$23=Settings!$C$6,1,IF(Settings!$B$23="USD",1/INDEX(Settings!$B$29:$B$40,MONTH(A7736)),INDEX(Settings!$B$29:$B$40,MONTH(A7736)))))</f>
        <v/>
      </c>
    </row>
    <row r="7737" customFormat="false" ht="15" hidden="false" customHeight="false" outlineLevel="0" collapsed="false">
      <c r="H7737" s="0" t="str">
        <f aca="false">IF(B7737="","",IF(COUNTIF(Campaigns!$A$7:$A$300,B7737)&gt;0,"✓","⚠ add to Campaigns tab"))</f>
        <v/>
      </c>
      <c r="I7737" s="84" t="str">
        <f aca="false">IF(C7737="","",C7737*IF(Settings!$B$23=Settings!$C$6,1,IF(Settings!$B$23="USD",1/INDEX(Settings!$B$29:$B$40,MONTH(A7737)),INDEX(Settings!$B$29:$B$40,MONTH(A7737)))))</f>
        <v/>
      </c>
    </row>
    <row r="7738" customFormat="false" ht="15" hidden="false" customHeight="false" outlineLevel="0" collapsed="false">
      <c r="H7738" s="0" t="str">
        <f aca="false">IF(B7738="","",IF(COUNTIF(Campaigns!$A$7:$A$300,B7738)&gt;0,"✓","⚠ add to Campaigns tab"))</f>
        <v/>
      </c>
      <c r="I7738" s="84" t="str">
        <f aca="false">IF(C7738="","",C7738*IF(Settings!$B$23=Settings!$C$6,1,IF(Settings!$B$23="USD",1/INDEX(Settings!$B$29:$B$40,MONTH(A7738)),INDEX(Settings!$B$29:$B$40,MONTH(A7738)))))</f>
        <v/>
      </c>
    </row>
    <row r="7739" customFormat="false" ht="15" hidden="false" customHeight="false" outlineLevel="0" collapsed="false">
      <c r="H7739" s="0" t="str">
        <f aca="false">IF(B7739="","",IF(COUNTIF(Campaigns!$A$7:$A$300,B7739)&gt;0,"✓","⚠ add to Campaigns tab"))</f>
        <v/>
      </c>
      <c r="I7739" s="84" t="str">
        <f aca="false">IF(C7739="","",C7739*IF(Settings!$B$23=Settings!$C$6,1,IF(Settings!$B$23="USD",1/INDEX(Settings!$B$29:$B$40,MONTH(A7739)),INDEX(Settings!$B$29:$B$40,MONTH(A7739)))))</f>
        <v/>
      </c>
    </row>
    <row r="7740" customFormat="false" ht="15" hidden="false" customHeight="false" outlineLevel="0" collapsed="false">
      <c r="H7740" s="0" t="str">
        <f aca="false">IF(B7740="","",IF(COUNTIF(Campaigns!$A$7:$A$300,B7740)&gt;0,"✓","⚠ add to Campaigns tab"))</f>
        <v/>
      </c>
      <c r="I7740" s="84" t="str">
        <f aca="false">IF(C7740="","",C7740*IF(Settings!$B$23=Settings!$C$6,1,IF(Settings!$B$23="USD",1/INDEX(Settings!$B$29:$B$40,MONTH(A7740)),INDEX(Settings!$B$29:$B$40,MONTH(A7740)))))</f>
        <v/>
      </c>
    </row>
    <row r="7741" customFormat="false" ht="15" hidden="false" customHeight="false" outlineLevel="0" collapsed="false">
      <c r="H7741" s="0" t="str">
        <f aca="false">IF(B7741="","",IF(COUNTIF(Campaigns!$A$7:$A$300,B7741)&gt;0,"✓","⚠ add to Campaigns tab"))</f>
        <v/>
      </c>
      <c r="I7741" s="84" t="str">
        <f aca="false">IF(C7741="","",C7741*IF(Settings!$B$23=Settings!$C$6,1,IF(Settings!$B$23="USD",1/INDEX(Settings!$B$29:$B$40,MONTH(A7741)),INDEX(Settings!$B$29:$B$40,MONTH(A7741)))))</f>
        <v/>
      </c>
    </row>
    <row r="7742" customFormat="false" ht="15" hidden="false" customHeight="false" outlineLevel="0" collapsed="false">
      <c r="H7742" s="0" t="str">
        <f aca="false">IF(B7742="","",IF(COUNTIF(Campaigns!$A$7:$A$300,B7742)&gt;0,"✓","⚠ add to Campaigns tab"))</f>
        <v/>
      </c>
      <c r="I7742" s="84" t="str">
        <f aca="false">IF(C7742="","",C7742*IF(Settings!$B$23=Settings!$C$6,1,IF(Settings!$B$23="USD",1/INDEX(Settings!$B$29:$B$40,MONTH(A7742)),INDEX(Settings!$B$29:$B$40,MONTH(A7742)))))</f>
        <v/>
      </c>
    </row>
    <row r="7743" customFormat="false" ht="15" hidden="false" customHeight="false" outlineLevel="0" collapsed="false">
      <c r="H7743" s="0" t="str">
        <f aca="false">IF(B7743="","",IF(COUNTIF(Campaigns!$A$7:$A$300,B7743)&gt;0,"✓","⚠ add to Campaigns tab"))</f>
        <v/>
      </c>
      <c r="I7743" s="84" t="str">
        <f aca="false">IF(C7743="","",C7743*IF(Settings!$B$23=Settings!$C$6,1,IF(Settings!$B$23="USD",1/INDEX(Settings!$B$29:$B$40,MONTH(A7743)),INDEX(Settings!$B$29:$B$40,MONTH(A7743)))))</f>
        <v/>
      </c>
    </row>
    <row r="7744" customFormat="false" ht="15" hidden="false" customHeight="false" outlineLevel="0" collapsed="false">
      <c r="H7744" s="0" t="str">
        <f aca="false">IF(B7744="","",IF(COUNTIF(Campaigns!$A$7:$A$300,B7744)&gt;0,"✓","⚠ add to Campaigns tab"))</f>
        <v/>
      </c>
      <c r="I7744" s="84" t="str">
        <f aca="false">IF(C7744="","",C7744*IF(Settings!$B$23=Settings!$C$6,1,IF(Settings!$B$23="USD",1/INDEX(Settings!$B$29:$B$40,MONTH(A7744)),INDEX(Settings!$B$29:$B$40,MONTH(A7744)))))</f>
        <v/>
      </c>
    </row>
    <row r="7745" customFormat="false" ht="15" hidden="false" customHeight="false" outlineLevel="0" collapsed="false">
      <c r="H7745" s="0" t="str">
        <f aca="false">IF(B7745="","",IF(COUNTIF(Campaigns!$A$7:$A$300,B7745)&gt;0,"✓","⚠ add to Campaigns tab"))</f>
        <v/>
      </c>
      <c r="I7745" s="84" t="str">
        <f aca="false">IF(C7745="","",C7745*IF(Settings!$B$23=Settings!$C$6,1,IF(Settings!$B$23="USD",1/INDEX(Settings!$B$29:$B$40,MONTH(A7745)),INDEX(Settings!$B$29:$B$40,MONTH(A7745)))))</f>
        <v/>
      </c>
    </row>
    <row r="7746" customFormat="false" ht="15" hidden="false" customHeight="false" outlineLevel="0" collapsed="false">
      <c r="H7746" s="0" t="str">
        <f aca="false">IF(B7746="","",IF(COUNTIF(Campaigns!$A$7:$A$300,B7746)&gt;0,"✓","⚠ add to Campaigns tab"))</f>
        <v/>
      </c>
      <c r="I7746" s="84" t="str">
        <f aca="false">IF(C7746="","",C7746*IF(Settings!$B$23=Settings!$C$6,1,IF(Settings!$B$23="USD",1/INDEX(Settings!$B$29:$B$40,MONTH(A7746)),INDEX(Settings!$B$29:$B$40,MONTH(A7746)))))</f>
        <v/>
      </c>
    </row>
    <row r="7747" customFormat="false" ht="15" hidden="false" customHeight="false" outlineLevel="0" collapsed="false">
      <c r="H7747" s="0" t="str">
        <f aca="false">IF(B7747="","",IF(COUNTIF(Campaigns!$A$7:$A$300,B7747)&gt;0,"✓","⚠ add to Campaigns tab"))</f>
        <v/>
      </c>
      <c r="I7747" s="84" t="str">
        <f aca="false">IF(C7747="","",C7747*IF(Settings!$B$23=Settings!$C$6,1,IF(Settings!$B$23="USD",1/INDEX(Settings!$B$29:$B$40,MONTH(A7747)),INDEX(Settings!$B$29:$B$40,MONTH(A7747)))))</f>
        <v/>
      </c>
    </row>
    <row r="7748" customFormat="false" ht="15" hidden="false" customHeight="false" outlineLevel="0" collapsed="false">
      <c r="H7748" s="0" t="str">
        <f aca="false">IF(B7748="","",IF(COUNTIF(Campaigns!$A$7:$A$300,B7748)&gt;0,"✓","⚠ add to Campaigns tab"))</f>
        <v/>
      </c>
      <c r="I7748" s="84" t="str">
        <f aca="false">IF(C7748="","",C7748*IF(Settings!$B$23=Settings!$C$6,1,IF(Settings!$B$23="USD",1/INDEX(Settings!$B$29:$B$40,MONTH(A7748)),INDEX(Settings!$B$29:$B$40,MONTH(A7748)))))</f>
        <v/>
      </c>
    </row>
    <row r="7749" customFormat="false" ht="15" hidden="false" customHeight="false" outlineLevel="0" collapsed="false">
      <c r="H7749" s="0" t="str">
        <f aca="false">IF(B7749="","",IF(COUNTIF(Campaigns!$A$7:$A$300,B7749)&gt;0,"✓","⚠ add to Campaigns tab"))</f>
        <v/>
      </c>
      <c r="I7749" s="84" t="str">
        <f aca="false">IF(C7749="","",C7749*IF(Settings!$B$23=Settings!$C$6,1,IF(Settings!$B$23="USD",1/INDEX(Settings!$B$29:$B$40,MONTH(A7749)),INDEX(Settings!$B$29:$B$40,MONTH(A7749)))))</f>
        <v/>
      </c>
    </row>
    <row r="7750" customFormat="false" ht="15" hidden="false" customHeight="false" outlineLevel="0" collapsed="false">
      <c r="H7750" s="0" t="str">
        <f aca="false">IF(B7750="","",IF(COUNTIF(Campaigns!$A$7:$A$300,B7750)&gt;0,"✓","⚠ add to Campaigns tab"))</f>
        <v/>
      </c>
      <c r="I7750" s="84" t="str">
        <f aca="false">IF(C7750="","",C7750*IF(Settings!$B$23=Settings!$C$6,1,IF(Settings!$B$23="USD",1/INDEX(Settings!$B$29:$B$40,MONTH(A7750)),INDEX(Settings!$B$29:$B$40,MONTH(A7750)))))</f>
        <v/>
      </c>
    </row>
    <row r="7751" customFormat="false" ht="15" hidden="false" customHeight="false" outlineLevel="0" collapsed="false">
      <c r="H7751" s="0" t="str">
        <f aca="false">IF(B7751="","",IF(COUNTIF(Campaigns!$A$7:$A$300,B7751)&gt;0,"✓","⚠ add to Campaigns tab"))</f>
        <v/>
      </c>
      <c r="I7751" s="84" t="str">
        <f aca="false">IF(C7751="","",C7751*IF(Settings!$B$23=Settings!$C$6,1,IF(Settings!$B$23="USD",1/INDEX(Settings!$B$29:$B$40,MONTH(A7751)),INDEX(Settings!$B$29:$B$40,MONTH(A7751)))))</f>
        <v/>
      </c>
    </row>
    <row r="7752" customFormat="false" ht="15" hidden="false" customHeight="false" outlineLevel="0" collapsed="false">
      <c r="H7752" s="0" t="str">
        <f aca="false">IF(B7752="","",IF(COUNTIF(Campaigns!$A$7:$A$300,B7752)&gt;0,"✓","⚠ add to Campaigns tab"))</f>
        <v/>
      </c>
      <c r="I7752" s="84" t="str">
        <f aca="false">IF(C7752="","",C7752*IF(Settings!$B$23=Settings!$C$6,1,IF(Settings!$B$23="USD",1/INDEX(Settings!$B$29:$B$40,MONTH(A7752)),INDEX(Settings!$B$29:$B$40,MONTH(A7752)))))</f>
        <v/>
      </c>
    </row>
    <row r="7753" customFormat="false" ht="15" hidden="false" customHeight="false" outlineLevel="0" collapsed="false">
      <c r="H7753" s="0" t="str">
        <f aca="false">IF(B7753="","",IF(COUNTIF(Campaigns!$A$7:$A$300,B7753)&gt;0,"✓","⚠ add to Campaigns tab"))</f>
        <v/>
      </c>
      <c r="I7753" s="84" t="str">
        <f aca="false">IF(C7753="","",C7753*IF(Settings!$B$23=Settings!$C$6,1,IF(Settings!$B$23="USD",1/INDEX(Settings!$B$29:$B$40,MONTH(A7753)),INDEX(Settings!$B$29:$B$40,MONTH(A7753)))))</f>
        <v/>
      </c>
    </row>
    <row r="7754" customFormat="false" ht="15" hidden="false" customHeight="false" outlineLevel="0" collapsed="false">
      <c r="H7754" s="0" t="str">
        <f aca="false">IF(B7754="","",IF(COUNTIF(Campaigns!$A$7:$A$300,B7754)&gt;0,"✓","⚠ add to Campaigns tab"))</f>
        <v/>
      </c>
      <c r="I7754" s="84" t="str">
        <f aca="false">IF(C7754="","",C7754*IF(Settings!$B$23=Settings!$C$6,1,IF(Settings!$B$23="USD",1/INDEX(Settings!$B$29:$B$40,MONTH(A7754)),INDEX(Settings!$B$29:$B$40,MONTH(A7754)))))</f>
        <v/>
      </c>
    </row>
    <row r="7755" customFormat="false" ht="15" hidden="false" customHeight="false" outlineLevel="0" collapsed="false">
      <c r="H7755" s="0" t="str">
        <f aca="false">IF(B7755="","",IF(COUNTIF(Campaigns!$A$7:$A$300,B7755)&gt;0,"✓","⚠ add to Campaigns tab"))</f>
        <v/>
      </c>
      <c r="I7755" s="84" t="str">
        <f aca="false">IF(C7755="","",C7755*IF(Settings!$B$23=Settings!$C$6,1,IF(Settings!$B$23="USD",1/INDEX(Settings!$B$29:$B$40,MONTH(A7755)),INDEX(Settings!$B$29:$B$40,MONTH(A7755)))))</f>
        <v/>
      </c>
    </row>
    <row r="7756" customFormat="false" ht="15" hidden="false" customHeight="false" outlineLevel="0" collapsed="false">
      <c r="H7756" s="0" t="str">
        <f aca="false">IF(B7756="","",IF(COUNTIF(Campaigns!$A$7:$A$300,B7756)&gt;0,"✓","⚠ add to Campaigns tab"))</f>
        <v/>
      </c>
      <c r="I7756" s="84" t="str">
        <f aca="false">IF(C7756="","",C7756*IF(Settings!$B$23=Settings!$C$6,1,IF(Settings!$B$23="USD",1/INDEX(Settings!$B$29:$B$40,MONTH(A7756)),INDEX(Settings!$B$29:$B$40,MONTH(A7756)))))</f>
        <v/>
      </c>
    </row>
    <row r="7757" customFormat="false" ht="15" hidden="false" customHeight="false" outlineLevel="0" collapsed="false">
      <c r="H7757" s="0" t="str">
        <f aca="false">IF(B7757="","",IF(COUNTIF(Campaigns!$A$7:$A$300,B7757)&gt;0,"✓","⚠ add to Campaigns tab"))</f>
        <v/>
      </c>
      <c r="I7757" s="84" t="str">
        <f aca="false">IF(C7757="","",C7757*IF(Settings!$B$23=Settings!$C$6,1,IF(Settings!$B$23="USD",1/INDEX(Settings!$B$29:$B$40,MONTH(A7757)),INDEX(Settings!$B$29:$B$40,MONTH(A7757)))))</f>
        <v/>
      </c>
    </row>
    <row r="7758" customFormat="false" ht="15" hidden="false" customHeight="false" outlineLevel="0" collapsed="false">
      <c r="H7758" s="0" t="str">
        <f aca="false">IF(B7758="","",IF(COUNTIF(Campaigns!$A$7:$A$300,B7758)&gt;0,"✓","⚠ add to Campaigns tab"))</f>
        <v/>
      </c>
      <c r="I7758" s="84" t="str">
        <f aca="false">IF(C7758="","",C7758*IF(Settings!$B$23=Settings!$C$6,1,IF(Settings!$B$23="USD",1/INDEX(Settings!$B$29:$B$40,MONTH(A7758)),INDEX(Settings!$B$29:$B$40,MONTH(A7758)))))</f>
        <v/>
      </c>
    </row>
    <row r="7759" customFormat="false" ht="15" hidden="false" customHeight="false" outlineLevel="0" collapsed="false">
      <c r="H7759" s="0" t="str">
        <f aca="false">IF(B7759="","",IF(COUNTIF(Campaigns!$A$7:$A$300,B7759)&gt;0,"✓","⚠ add to Campaigns tab"))</f>
        <v/>
      </c>
      <c r="I7759" s="84" t="str">
        <f aca="false">IF(C7759="","",C7759*IF(Settings!$B$23=Settings!$C$6,1,IF(Settings!$B$23="USD",1/INDEX(Settings!$B$29:$B$40,MONTH(A7759)),INDEX(Settings!$B$29:$B$40,MONTH(A7759)))))</f>
        <v/>
      </c>
    </row>
    <row r="7760" customFormat="false" ht="15" hidden="false" customHeight="false" outlineLevel="0" collapsed="false">
      <c r="H7760" s="0" t="str">
        <f aca="false">IF(B7760="","",IF(COUNTIF(Campaigns!$A$7:$A$300,B7760)&gt;0,"✓","⚠ add to Campaigns tab"))</f>
        <v/>
      </c>
      <c r="I7760" s="84" t="str">
        <f aca="false">IF(C7760="","",C7760*IF(Settings!$B$23=Settings!$C$6,1,IF(Settings!$B$23="USD",1/INDEX(Settings!$B$29:$B$40,MONTH(A7760)),INDEX(Settings!$B$29:$B$40,MONTH(A7760)))))</f>
        <v/>
      </c>
    </row>
    <row r="7761" customFormat="false" ht="15" hidden="false" customHeight="false" outlineLevel="0" collapsed="false">
      <c r="H7761" s="0" t="str">
        <f aca="false">IF(B7761="","",IF(COUNTIF(Campaigns!$A$7:$A$300,B7761)&gt;0,"✓","⚠ add to Campaigns tab"))</f>
        <v/>
      </c>
      <c r="I7761" s="84" t="str">
        <f aca="false">IF(C7761="","",C7761*IF(Settings!$B$23=Settings!$C$6,1,IF(Settings!$B$23="USD",1/INDEX(Settings!$B$29:$B$40,MONTH(A7761)),INDEX(Settings!$B$29:$B$40,MONTH(A7761)))))</f>
        <v/>
      </c>
    </row>
    <row r="7762" customFormat="false" ht="15" hidden="false" customHeight="false" outlineLevel="0" collapsed="false">
      <c r="H7762" s="0" t="str">
        <f aca="false">IF(B7762="","",IF(COUNTIF(Campaigns!$A$7:$A$300,B7762)&gt;0,"✓","⚠ add to Campaigns tab"))</f>
        <v/>
      </c>
      <c r="I7762" s="84" t="str">
        <f aca="false">IF(C7762="","",C7762*IF(Settings!$B$23=Settings!$C$6,1,IF(Settings!$B$23="USD",1/INDEX(Settings!$B$29:$B$40,MONTH(A7762)),INDEX(Settings!$B$29:$B$40,MONTH(A7762)))))</f>
        <v/>
      </c>
    </row>
    <row r="7763" customFormat="false" ht="15" hidden="false" customHeight="false" outlineLevel="0" collapsed="false">
      <c r="H7763" s="0" t="str">
        <f aca="false">IF(B7763="","",IF(COUNTIF(Campaigns!$A$7:$A$300,B7763)&gt;0,"✓","⚠ add to Campaigns tab"))</f>
        <v/>
      </c>
      <c r="I7763" s="84" t="str">
        <f aca="false">IF(C7763="","",C7763*IF(Settings!$B$23=Settings!$C$6,1,IF(Settings!$B$23="USD",1/INDEX(Settings!$B$29:$B$40,MONTH(A7763)),INDEX(Settings!$B$29:$B$40,MONTH(A7763)))))</f>
        <v/>
      </c>
    </row>
    <row r="7764" customFormat="false" ht="15" hidden="false" customHeight="false" outlineLevel="0" collapsed="false">
      <c r="H7764" s="0" t="str">
        <f aca="false">IF(B7764="","",IF(COUNTIF(Campaigns!$A$7:$A$300,B7764)&gt;0,"✓","⚠ add to Campaigns tab"))</f>
        <v/>
      </c>
      <c r="I7764" s="84" t="str">
        <f aca="false">IF(C7764="","",C7764*IF(Settings!$B$23=Settings!$C$6,1,IF(Settings!$B$23="USD",1/INDEX(Settings!$B$29:$B$40,MONTH(A7764)),INDEX(Settings!$B$29:$B$40,MONTH(A7764)))))</f>
        <v/>
      </c>
    </row>
    <row r="7765" customFormat="false" ht="15" hidden="false" customHeight="false" outlineLevel="0" collapsed="false">
      <c r="H7765" s="0" t="str">
        <f aca="false">IF(B7765="","",IF(COUNTIF(Campaigns!$A$7:$A$300,B7765)&gt;0,"✓","⚠ add to Campaigns tab"))</f>
        <v/>
      </c>
      <c r="I7765" s="84" t="str">
        <f aca="false">IF(C7765="","",C7765*IF(Settings!$B$23=Settings!$C$6,1,IF(Settings!$B$23="USD",1/INDEX(Settings!$B$29:$B$40,MONTH(A7765)),INDEX(Settings!$B$29:$B$40,MONTH(A7765)))))</f>
        <v/>
      </c>
    </row>
    <row r="7766" customFormat="false" ht="15" hidden="false" customHeight="false" outlineLevel="0" collapsed="false">
      <c r="H7766" s="0" t="str">
        <f aca="false">IF(B7766="","",IF(COUNTIF(Campaigns!$A$7:$A$300,B7766)&gt;0,"✓","⚠ add to Campaigns tab"))</f>
        <v/>
      </c>
      <c r="I7766" s="84" t="str">
        <f aca="false">IF(C7766="","",C7766*IF(Settings!$B$23=Settings!$C$6,1,IF(Settings!$B$23="USD",1/INDEX(Settings!$B$29:$B$40,MONTH(A7766)),INDEX(Settings!$B$29:$B$40,MONTH(A7766)))))</f>
        <v/>
      </c>
    </row>
    <row r="7767" customFormat="false" ht="15" hidden="false" customHeight="false" outlineLevel="0" collapsed="false">
      <c r="H7767" s="0" t="str">
        <f aca="false">IF(B7767="","",IF(COUNTIF(Campaigns!$A$7:$A$300,B7767)&gt;0,"✓","⚠ add to Campaigns tab"))</f>
        <v/>
      </c>
      <c r="I7767" s="84" t="str">
        <f aca="false">IF(C7767="","",C7767*IF(Settings!$B$23=Settings!$C$6,1,IF(Settings!$B$23="USD",1/INDEX(Settings!$B$29:$B$40,MONTH(A7767)),INDEX(Settings!$B$29:$B$40,MONTH(A7767)))))</f>
        <v/>
      </c>
    </row>
    <row r="7768" customFormat="false" ht="15" hidden="false" customHeight="false" outlineLevel="0" collapsed="false">
      <c r="H7768" s="0" t="str">
        <f aca="false">IF(B7768="","",IF(COUNTIF(Campaigns!$A$7:$A$300,B7768)&gt;0,"✓","⚠ add to Campaigns tab"))</f>
        <v/>
      </c>
      <c r="I7768" s="84" t="str">
        <f aca="false">IF(C7768="","",C7768*IF(Settings!$B$23=Settings!$C$6,1,IF(Settings!$B$23="USD",1/INDEX(Settings!$B$29:$B$40,MONTH(A7768)),INDEX(Settings!$B$29:$B$40,MONTH(A7768)))))</f>
        <v/>
      </c>
    </row>
    <row r="7769" customFormat="false" ht="15" hidden="false" customHeight="false" outlineLevel="0" collapsed="false">
      <c r="H7769" s="0" t="str">
        <f aca="false">IF(B7769="","",IF(COUNTIF(Campaigns!$A$7:$A$300,B7769)&gt;0,"✓","⚠ add to Campaigns tab"))</f>
        <v/>
      </c>
      <c r="I7769" s="84" t="str">
        <f aca="false">IF(C7769="","",C7769*IF(Settings!$B$23=Settings!$C$6,1,IF(Settings!$B$23="USD",1/INDEX(Settings!$B$29:$B$40,MONTH(A7769)),INDEX(Settings!$B$29:$B$40,MONTH(A7769)))))</f>
        <v/>
      </c>
    </row>
    <row r="7770" customFormat="false" ht="15" hidden="false" customHeight="false" outlineLevel="0" collapsed="false">
      <c r="H7770" s="0" t="str">
        <f aca="false">IF(B7770="","",IF(COUNTIF(Campaigns!$A$7:$A$300,B7770)&gt;0,"✓","⚠ add to Campaigns tab"))</f>
        <v/>
      </c>
      <c r="I7770" s="84" t="str">
        <f aca="false">IF(C7770="","",C7770*IF(Settings!$B$23=Settings!$C$6,1,IF(Settings!$B$23="USD",1/INDEX(Settings!$B$29:$B$40,MONTH(A7770)),INDEX(Settings!$B$29:$B$40,MONTH(A7770)))))</f>
        <v/>
      </c>
    </row>
    <row r="7771" customFormat="false" ht="15" hidden="false" customHeight="false" outlineLevel="0" collapsed="false">
      <c r="H7771" s="0" t="str">
        <f aca="false">IF(B7771="","",IF(COUNTIF(Campaigns!$A$7:$A$300,B7771)&gt;0,"✓","⚠ add to Campaigns tab"))</f>
        <v/>
      </c>
      <c r="I7771" s="84" t="str">
        <f aca="false">IF(C7771="","",C7771*IF(Settings!$B$23=Settings!$C$6,1,IF(Settings!$B$23="USD",1/INDEX(Settings!$B$29:$B$40,MONTH(A7771)),INDEX(Settings!$B$29:$B$40,MONTH(A7771)))))</f>
        <v/>
      </c>
    </row>
    <row r="7772" customFormat="false" ht="15" hidden="false" customHeight="false" outlineLevel="0" collapsed="false">
      <c r="H7772" s="0" t="str">
        <f aca="false">IF(B7772="","",IF(COUNTIF(Campaigns!$A$7:$A$300,B7772)&gt;0,"✓","⚠ add to Campaigns tab"))</f>
        <v/>
      </c>
      <c r="I7772" s="84" t="str">
        <f aca="false">IF(C7772="","",C7772*IF(Settings!$B$23=Settings!$C$6,1,IF(Settings!$B$23="USD",1/INDEX(Settings!$B$29:$B$40,MONTH(A7772)),INDEX(Settings!$B$29:$B$40,MONTH(A7772)))))</f>
        <v/>
      </c>
    </row>
    <row r="7773" customFormat="false" ht="15" hidden="false" customHeight="false" outlineLevel="0" collapsed="false">
      <c r="H7773" s="0" t="str">
        <f aca="false">IF(B7773="","",IF(COUNTIF(Campaigns!$A$7:$A$300,B7773)&gt;0,"✓","⚠ add to Campaigns tab"))</f>
        <v/>
      </c>
      <c r="I7773" s="84" t="str">
        <f aca="false">IF(C7773="","",C7773*IF(Settings!$B$23=Settings!$C$6,1,IF(Settings!$B$23="USD",1/INDEX(Settings!$B$29:$B$40,MONTH(A7773)),INDEX(Settings!$B$29:$B$40,MONTH(A7773)))))</f>
        <v/>
      </c>
    </row>
    <row r="7774" customFormat="false" ht="15" hidden="false" customHeight="false" outlineLevel="0" collapsed="false">
      <c r="H7774" s="0" t="str">
        <f aca="false">IF(B7774="","",IF(COUNTIF(Campaigns!$A$7:$A$300,B7774)&gt;0,"✓","⚠ add to Campaigns tab"))</f>
        <v/>
      </c>
      <c r="I7774" s="84" t="str">
        <f aca="false">IF(C7774="","",C7774*IF(Settings!$B$23=Settings!$C$6,1,IF(Settings!$B$23="USD",1/INDEX(Settings!$B$29:$B$40,MONTH(A7774)),INDEX(Settings!$B$29:$B$40,MONTH(A7774)))))</f>
        <v/>
      </c>
    </row>
    <row r="7775" customFormat="false" ht="15" hidden="false" customHeight="false" outlineLevel="0" collapsed="false">
      <c r="H7775" s="0" t="str">
        <f aca="false">IF(B7775="","",IF(COUNTIF(Campaigns!$A$7:$A$300,B7775)&gt;0,"✓","⚠ add to Campaigns tab"))</f>
        <v/>
      </c>
      <c r="I7775" s="84" t="str">
        <f aca="false">IF(C7775="","",C7775*IF(Settings!$B$23=Settings!$C$6,1,IF(Settings!$B$23="USD",1/INDEX(Settings!$B$29:$B$40,MONTH(A7775)),INDEX(Settings!$B$29:$B$40,MONTH(A7775)))))</f>
        <v/>
      </c>
    </row>
    <row r="7776" customFormat="false" ht="15" hidden="false" customHeight="false" outlineLevel="0" collapsed="false">
      <c r="H7776" s="0" t="str">
        <f aca="false">IF(B7776="","",IF(COUNTIF(Campaigns!$A$7:$A$300,B7776)&gt;0,"✓","⚠ add to Campaigns tab"))</f>
        <v/>
      </c>
      <c r="I7776" s="84" t="str">
        <f aca="false">IF(C7776="","",C7776*IF(Settings!$B$23=Settings!$C$6,1,IF(Settings!$B$23="USD",1/INDEX(Settings!$B$29:$B$40,MONTH(A7776)),INDEX(Settings!$B$29:$B$40,MONTH(A7776)))))</f>
        <v/>
      </c>
    </row>
    <row r="7777" customFormat="false" ht="15" hidden="false" customHeight="false" outlineLevel="0" collapsed="false">
      <c r="H7777" s="0" t="str">
        <f aca="false">IF(B7777="","",IF(COUNTIF(Campaigns!$A$7:$A$300,B7777)&gt;0,"✓","⚠ add to Campaigns tab"))</f>
        <v/>
      </c>
      <c r="I7777" s="84" t="str">
        <f aca="false">IF(C7777="","",C7777*IF(Settings!$B$23=Settings!$C$6,1,IF(Settings!$B$23="USD",1/INDEX(Settings!$B$29:$B$40,MONTH(A7777)),INDEX(Settings!$B$29:$B$40,MONTH(A7777)))))</f>
        <v/>
      </c>
    </row>
    <row r="7778" customFormat="false" ht="15" hidden="false" customHeight="false" outlineLevel="0" collapsed="false">
      <c r="H7778" s="0" t="str">
        <f aca="false">IF(B7778="","",IF(COUNTIF(Campaigns!$A$7:$A$300,B7778)&gt;0,"✓","⚠ add to Campaigns tab"))</f>
        <v/>
      </c>
      <c r="I7778" s="84" t="str">
        <f aca="false">IF(C7778="","",C7778*IF(Settings!$B$23=Settings!$C$6,1,IF(Settings!$B$23="USD",1/INDEX(Settings!$B$29:$B$40,MONTH(A7778)),INDEX(Settings!$B$29:$B$40,MONTH(A7778)))))</f>
        <v/>
      </c>
    </row>
    <row r="7779" customFormat="false" ht="15" hidden="false" customHeight="false" outlineLevel="0" collapsed="false">
      <c r="H7779" s="0" t="str">
        <f aca="false">IF(B7779="","",IF(COUNTIF(Campaigns!$A$7:$A$300,B7779)&gt;0,"✓","⚠ add to Campaigns tab"))</f>
        <v/>
      </c>
      <c r="I7779" s="84" t="str">
        <f aca="false">IF(C7779="","",C7779*IF(Settings!$B$23=Settings!$C$6,1,IF(Settings!$B$23="USD",1/INDEX(Settings!$B$29:$B$40,MONTH(A7779)),INDEX(Settings!$B$29:$B$40,MONTH(A7779)))))</f>
        <v/>
      </c>
    </row>
    <row r="7780" customFormat="false" ht="15" hidden="false" customHeight="false" outlineLevel="0" collapsed="false">
      <c r="H7780" s="0" t="str">
        <f aca="false">IF(B7780="","",IF(COUNTIF(Campaigns!$A$7:$A$300,B7780)&gt;0,"✓","⚠ add to Campaigns tab"))</f>
        <v/>
      </c>
      <c r="I7780" s="84" t="str">
        <f aca="false">IF(C7780="","",C7780*IF(Settings!$B$23=Settings!$C$6,1,IF(Settings!$B$23="USD",1/INDEX(Settings!$B$29:$B$40,MONTH(A7780)),INDEX(Settings!$B$29:$B$40,MONTH(A7780)))))</f>
        <v/>
      </c>
    </row>
    <row r="7781" customFormat="false" ht="15" hidden="false" customHeight="false" outlineLevel="0" collapsed="false">
      <c r="H7781" s="0" t="str">
        <f aca="false">IF(B7781="","",IF(COUNTIF(Campaigns!$A$7:$A$300,B7781)&gt;0,"✓","⚠ add to Campaigns tab"))</f>
        <v/>
      </c>
      <c r="I7781" s="84" t="str">
        <f aca="false">IF(C7781="","",C7781*IF(Settings!$B$23=Settings!$C$6,1,IF(Settings!$B$23="USD",1/INDEX(Settings!$B$29:$B$40,MONTH(A7781)),INDEX(Settings!$B$29:$B$40,MONTH(A7781)))))</f>
        <v/>
      </c>
    </row>
    <row r="7782" customFormat="false" ht="15" hidden="false" customHeight="false" outlineLevel="0" collapsed="false">
      <c r="H7782" s="0" t="str">
        <f aca="false">IF(B7782="","",IF(COUNTIF(Campaigns!$A$7:$A$300,B7782)&gt;0,"✓","⚠ add to Campaigns tab"))</f>
        <v/>
      </c>
      <c r="I7782" s="84" t="str">
        <f aca="false">IF(C7782="","",C7782*IF(Settings!$B$23=Settings!$C$6,1,IF(Settings!$B$23="USD",1/INDEX(Settings!$B$29:$B$40,MONTH(A7782)),INDEX(Settings!$B$29:$B$40,MONTH(A7782)))))</f>
        <v/>
      </c>
    </row>
    <row r="7783" customFormat="false" ht="15" hidden="false" customHeight="false" outlineLevel="0" collapsed="false">
      <c r="H7783" s="0" t="str">
        <f aca="false">IF(B7783="","",IF(COUNTIF(Campaigns!$A$7:$A$300,B7783)&gt;0,"✓","⚠ add to Campaigns tab"))</f>
        <v/>
      </c>
      <c r="I7783" s="84" t="str">
        <f aca="false">IF(C7783="","",C7783*IF(Settings!$B$23=Settings!$C$6,1,IF(Settings!$B$23="USD",1/INDEX(Settings!$B$29:$B$40,MONTH(A7783)),INDEX(Settings!$B$29:$B$40,MONTH(A7783)))))</f>
        <v/>
      </c>
    </row>
    <row r="7784" customFormat="false" ht="15" hidden="false" customHeight="false" outlineLevel="0" collapsed="false">
      <c r="H7784" s="0" t="str">
        <f aca="false">IF(B7784="","",IF(COUNTIF(Campaigns!$A$7:$A$300,B7784)&gt;0,"✓","⚠ add to Campaigns tab"))</f>
        <v/>
      </c>
      <c r="I7784" s="84" t="str">
        <f aca="false">IF(C7784="","",C7784*IF(Settings!$B$23=Settings!$C$6,1,IF(Settings!$B$23="USD",1/INDEX(Settings!$B$29:$B$40,MONTH(A7784)),INDEX(Settings!$B$29:$B$40,MONTH(A7784)))))</f>
        <v/>
      </c>
    </row>
    <row r="7785" customFormat="false" ht="15" hidden="false" customHeight="false" outlineLevel="0" collapsed="false">
      <c r="H7785" s="0" t="str">
        <f aca="false">IF(B7785="","",IF(COUNTIF(Campaigns!$A$7:$A$300,B7785)&gt;0,"✓","⚠ add to Campaigns tab"))</f>
        <v/>
      </c>
      <c r="I7785" s="84" t="str">
        <f aca="false">IF(C7785="","",C7785*IF(Settings!$B$23=Settings!$C$6,1,IF(Settings!$B$23="USD",1/INDEX(Settings!$B$29:$B$40,MONTH(A7785)),INDEX(Settings!$B$29:$B$40,MONTH(A7785)))))</f>
        <v/>
      </c>
    </row>
    <row r="7786" customFormat="false" ht="15" hidden="false" customHeight="false" outlineLevel="0" collapsed="false">
      <c r="H7786" s="0" t="str">
        <f aca="false">IF(B7786="","",IF(COUNTIF(Campaigns!$A$7:$A$300,B7786)&gt;0,"✓","⚠ add to Campaigns tab"))</f>
        <v/>
      </c>
      <c r="I7786" s="84" t="str">
        <f aca="false">IF(C7786="","",C7786*IF(Settings!$B$23=Settings!$C$6,1,IF(Settings!$B$23="USD",1/INDEX(Settings!$B$29:$B$40,MONTH(A7786)),INDEX(Settings!$B$29:$B$40,MONTH(A7786)))))</f>
        <v/>
      </c>
    </row>
    <row r="7787" customFormat="false" ht="15" hidden="false" customHeight="false" outlineLevel="0" collapsed="false">
      <c r="H7787" s="0" t="str">
        <f aca="false">IF(B7787="","",IF(COUNTIF(Campaigns!$A$7:$A$300,B7787)&gt;0,"✓","⚠ add to Campaigns tab"))</f>
        <v/>
      </c>
      <c r="I7787" s="84" t="str">
        <f aca="false">IF(C7787="","",C7787*IF(Settings!$B$23=Settings!$C$6,1,IF(Settings!$B$23="USD",1/INDEX(Settings!$B$29:$B$40,MONTH(A7787)),INDEX(Settings!$B$29:$B$40,MONTH(A7787)))))</f>
        <v/>
      </c>
    </row>
    <row r="7788" customFormat="false" ht="15" hidden="false" customHeight="false" outlineLevel="0" collapsed="false">
      <c r="H7788" s="0" t="str">
        <f aca="false">IF(B7788="","",IF(COUNTIF(Campaigns!$A$7:$A$300,B7788)&gt;0,"✓","⚠ add to Campaigns tab"))</f>
        <v/>
      </c>
      <c r="I7788" s="84" t="str">
        <f aca="false">IF(C7788="","",C7788*IF(Settings!$B$23=Settings!$C$6,1,IF(Settings!$B$23="USD",1/INDEX(Settings!$B$29:$B$40,MONTH(A7788)),INDEX(Settings!$B$29:$B$40,MONTH(A7788)))))</f>
        <v/>
      </c>
    </row>
    <row r="7789" customFormat="false" ht="15" hidden="false" customHeight="false" outlineLevel="0" collapsed="false">
      <c r="H7789" s="0" t="str">
        <f aca="false">IF(B7789="","",IF(COUNTIF(Campaigns!$A$7:$A$300,B7789)&gt;0,"✓","⚠ add to Campaigns tab"))</f>
        <v/>
      </c>
      <c r="I7789" s="84" t="str">
        <f aca="false">IF(C7789="","",C7789*IF(Settings!$B$23=Settings!$C$6,1,IF(Settings!$B$23="USD",1/INDEX(Settings!$B$29:$B$40,MONTH(A7789)),INDEX(Settings!$B$29:$B$40,MONTH(A7789)))))</f>
        <v/>
      </c>
    </row>
    <row r="7790" customFormat="false" ht="15" hidden="false" customHeight="false" outlineLevel="0" collapsed="false">
      <c r="H7790" s="0" t="str">
        <f aca="false">IF(B7790="","",IF(COUNTIF(Campaigns!$A$7:$A$300,B7790)&gt;0,"✓","⚠ add to Campaigns tab"))</f>
        <v/>
      </c>
      <c r="I7790" s="84" t="str">
        <f aca="false">IF(C7790="","",C7790*IF(Settings!$B$23=Settings!$C$6,1,IF(Settings!$B$23="USD",1/INDEX(Settings!$B$29:$B$40,MONTH(A7790)),INDEX(Settings!$B$29:$B$40,MONTH(A7790)))))</f>
        <v/>
      </c>
    </row>
    <row r="7791" customFormat="false" ht="15" hidden="false" customHeight="false" outlineLevel="0" collapsed="false">
      <c r="H7791" s="0" t="str">
        <f aca="false">IF(B7791="","",IF(COUNTIF(Campaigns!$A$7:$A$300,B7791)&gt;0,"✓","⚠ add to Campaigns tab"))</f>
        <v/>
      </c>
      <c r="I7791" s="84" t="str">
        <f aca="false">IF(C7791="","",C7791*IF(Settings!$B$23=Settings!$C$6,1,IF(Settings!$B$23="USD",1/INDEX(Settings!$B$29:$B$40,MONTH(A7791)),INDEX(Settings!$B$29:$B$40,MONTH(A7791)))))</f>
        <v/>
      </c>
    </row>
    <row r="7792" customFormat="false" ht="15" hidden="false" customHeight="false" outlineLevel="0" collapsed="false">
      <c r="H7792" s="0" t="str">
        <f aca="false">IF(B7792="","",IF(COUNTIF(Campaigns!$A$7:$A$300,B7792)&gt;0,"✓","⚠ add to Campaigns tab"))</f>
        <v/>
      </c>
      <c r="I7792" s="84" t="str">
        <f aca="false">IF(C7792="","",C7792*IF(Settings!$B$23=Settings!$C$6,1,IF(Settings!$B$23="USD",1/INDEX(Settings!$B$29:$B$40,MONTH(A7792)),INDEX(Settings!$B$29:$B$40,MONTH(A7792)))))</f>
        <v/>
      </c>
    </row>
    <row r="7793" customFormat="false" ht="15" hidden="false" customHeight="false" outlineLevel="0" collapsed="false">
      <c r="H7793" s="0" t="str">
        <f aca="false">IF(B7793="","",IF(COUNTIF(Campaigns!$A$7:$A$300,B7793)&gt;0,"✓","⚠ add to Campaigns tab"))</f>
        <v/>
      </c>
      <c r="I7793" s="84" t="str">
        <f aca="false">IF(C7793="","",C7793*IF(Settings!$B$23=Settings!$C$6,1,IF(Settings!$B$23="USD",1/INDEX(Settings!$B$29:$B$40,MONTH(A7793)),INDEX(Settings!$B$29:$B$40,MONTH(A7793)))))</f>
        <v/>
      </c>
    </row>
    <row r="7794" customFormat="false" ht="15" hidden="false" customHeight="false" outlineLevel="0" collapsed="false">
      <c r="H7794" s="0" t="str">
        <f aca="false">IF(B7794="","",IF(COUNTIF(Campaigns!$A$7:$A$300,B7794)&gt;0,"✓","⚠ add to Campaigns tab"))</f>
        <v/>
      </c>
      <c r="I7794" s="84" t="str">
        <f aca="false">IF(C7794="","",C7794*IF(Settings!$B$23=Settings!$C$6,1,IF(Settings!$B$23="USD",1/INDEX(Settings!$B$29:$B$40,MONTH(A7794)),INDEX(Settings!$B$29:$B$40,MONTH(A7794)))))</f>
        <v/>
      </c>
    </row>
    <row r="7795" customFormat="false" ht="15" hidden="false" customHeight="false" outlineLevel="0" collapsed="false">
      <c r="H7795" s="0" t="str">
        <f aca="false">IF(B7795="","",IF(COUNTIF(Campaigns!$A$7:$A$300,B7795)&gt;0,"✓","⚠ add to Campaigns tab"))</f>
        <v/>
      </c>
      <c r="I7795" s="84" t="str">
        <f aca="false">IF(C7795="","",C7795*IF(Settings!$B$23=Settings!$C$6,1,IF(Settings!$B$23="USD",1/INDEX(Settings!$B$29:$B$40,MONTH(A7795)),INDEX(Settings!$B$29:$B$40,MONTH(A7795)))))</f>
        <v/>
      </c>
    </row>
    <row r="7796" customFormat="false" ht="15" hidden="false" customHeight="false" outlineLevel="0" collapsed="false">
      <c r="H7796" s="0" t="str">
        <f aca="false">IF(B7796="","",IF(COUNTIF(Campaigns!$A$7:$A$300,B7796)&gt;0,"✓","⚠ add to Campaigns tab"))</f>
        <v/>
      </c>
      <c r="I7796" s="84" t="str">
        <f aca="false">IF(C7796="","",C7796*IF(Settings!$B$23=Settings!$C$6,1,IF(Settings!$B$23="USD",1/INDEX(Settings!$B$29:$B$40,MONTH(A7796)),INDEX(Settings!$B$29:$B$40,MONTH(A7796)))))</f>
        <v/>
      </c>
    </row>
    <row r="7797" customFormat="false" ht="15" hidden="false" customHeight="false" outlineLevel="0" collapsed="false">
      <c r="H7797" s="0" t="str">
        <f aca="false">IF(B7797="","",IF(COUNTIF(Campaigns!$A$7:$A$300,B7797)&gt;0,"✓","⚠ add to Campaigns tab"))</f>
        <v/>
      </c>
      <c r="I7797" s="84" t="str">
        <f aca="false">IF(C7797="","",C7797*IF(Settings!$B$23=Settings!$C$6,1,IF(Settings!$B$23="USD",1/INDEX(Settings!$B$29:$B$40,MONTH(A7797)),INDEX(Settings!$B$29:$B$40,MONTH(A7797)))))</f>
        <v/>
      </c>
    </row>
    <row r="7798" customFormat="false" ht="15" hidden="false" customHeight="false" outlineLevel="0" collapsed="false">
      <c r="H7798" s="0" t="str">
        <f aca="false">IF(B7798="","",IF(COUNTIF(Campaigns!$A$7:$A$300,B7798)&gt;0,"✓","⚠ add to Campaigns tab"))</f>
        <v/>
      </c>
      <c r="I7798" s="84" t="str">
        <f aca="false">IF(C7798="","",C7798*IF(Settings!$B$23=Settings!$C$6,1,IF(Settings!$B$23="USD",1/INDEX(Settings!$B$29:$B$40,MONTH(A7798)),INDEX(Settings!$B$29:$B$40,MONTH(A7798)))))</f>
        <v/>
      </c>
    </row>
    <row r="7799" customFormat="false" ht="15" hidden="false" customHeight="false" outlineLevel="0" collapsed="false">
      <c r="H7799" s="0" t="str">
        <f aca="false">IF(B7799="","",IF(COUNTIF(Campaigns!$A$7:$A$300,B7799)&gt;0,"✓","⚠ add to Campaigns tab"))</f>
        <v/>
      </c>
      <c r="I7799" s="84" t="str">
        <f aca="false">IF(C7799="","",C7799*IF(Settings!$B$23=Settings!$C$6,1,IF(Settings!$B$23="USD",1/INDEX(Settings!$B$29:$B$40,MONTH(A7799)),INDEX(Settings!$B$29:$B$40,MONTH(A7799)))))</f>
        <v/>
      </c>
    </row>
    <row r="7800" customFormat="false" ht="15" hidden="false" customHeight="false" outlineLevel="0" collapsed="false">
      <c r="H7800" s="0" t="str">
        <f aca="false">IF(B7800="","",IF(COUNTIF(Campaigns!$A$7:$A$300,B7800)&gt;0,"✓","⚠ add to Campaigns tab"))</f>
        <v/>
      </c>
      <c r="I7800" s="84" t="str">
        <f aca="false">IF(C7800="","",C7800*IF(Settings!$B$23=Settings!$C$6,1,IF(Settings!$B$23="USD",1/INDEX(Settings!$B$29:$B$40,MONTH(A7800)),INDEX(Settings!$B$29:$B$40,MONTH(A7800)))))</f>
        <v/>
      </c>
    </row>
    <row r="7801" customFormat="false" ht="15" hidden="false" customHeight="false" outlineLevel="0" collapsed="false">
      <c r="H7801" s="0" t="str">
        <f aca="false">IF(B7801="","",IF(COUNTIF(Campaigns!$A$7:$A$300,B7801)&gt;0,"✓","⚠ add to Campaigns tab"))</f>
        <v/>
      </c>
      <c r="I7801" s="84" t="str">
        <f aca="false">IF(C7801="","",C7801*IF(Settings!$B$23=Settings!$C$6,1,IF(Settings!$B$23="USD",1/INDEX(Settings!$B$29:$B$40,MONTH(A7801)),INDEX(Settings!$B$29:$B$40,MONTH(A7801)))))</f>
        <v/>
      </c>
    </row>
    <row r="7802" customFormat="false" ht="15" hidden="false" customHeight="false" outlineLevel="0" collapsed="false">
      <c r="H7802" s="0" t="str">
        <f aca="false">IF(B7802="","",IF(COUNTIF(Campaigns!$A$7:$A$300,B7802)&gt;0,"✓","⚠ add to Campaigns tab"))</f>
        <v/>
      </c>
      <c r="I7802" s="84" t="str">
        <f aca="false">IF(C7802="","",C7802*IF(Settings!$B$23=Settings!$C$6,1,IF(Settings!$B$23="USD",1/INDEX(Settings!$B$29:$B$40,MONTH(A7802)),INDEX(Settings!$B$29:$B$40,MONTH(A7802)))))</f>
        <v/>
      </c>
    </row>
    <row r="7803" customFormat="false" ht="15" hidden="false" customHeight="false" outlineLevel="0" collapsed="false">
      <c r="H7803" s="0" t="str">
        <f aca="false">IF(B7803="","",IF(COUNTIF(Campaigns!$A$7:$A$300,B7803)&gt;0,"✓","⚠ add to Campaigns tab"))</f>
        <v/>
      </c>
      <c r="I7803" s="84" t="str">
        <f aca="false">IF(C7803="","",C7803*IF(Settings!$B$23=Settings!$C$6,1,IF(Settings!$B$23="USD",1/INDEX(Settings!$B$29:$B$40,MONTH(A7803)),INDEX(Settings!$B$29:$B$40,MONTH(A7803)))))</f>
        <v/>
      </c>
    </row>
    <row r="7804" customFormat="false" ht="15" hidden="false" customHeight="false" outlineLevel="0" collapsed="false">
      <c r="H7804" s="0" t="str">
        <f aca="false">IF(B7804="","",IF(COUNTIF(Campaigns!$A$7:$A$300,B7804)&gt;0,"✓","⚠ add to Campaigns tab"))</f>
        <v/>
      </c>
      <c r="I7804" s="84" t="str">
        <f aca="false">IF(C7804="","",C7804*IF(Settings!$B$23=Settings!$C$6,1,IF(Settings!$B$23="USD",1/INDEX(Settings!$B$29:$B$40,MONTH(A7804)),INDEX(Settings!$B$29:$B$40,MONTH(A7804)))))</f>
        <v/>
      </c>
    </row>
    <row r="7805" customFormat="false" ht="15" hidden="false" customHeight="false" outlineLevel="0" collapsed="false">
      <c r="H7805" s="0" t="str">
        <f aca="false">IF(B7805="","",IF(COUNTIF(Campaigns!$A$7:$A$300,B7805)&gt;0,"✓","⚠ add to Campaigns tab"))</f>
        <v/>
      </c>
      <c r="I7805" s="84" t="str">
        <f aca="false">IF(C7805="","",C7805*IF(Settings!$B$23=Settings!$C$6,1,IF(Settings!$B$23="USD",1/INDEX(Settings!$B$29:$B$40,MONTH(A7805)),INDEX(Settings!$B$29:$B$40,MONTH(A7805)))))</f>
        <v/>
      </c>
    </row>
    <row r="7806" customFormat="false" ht="15" hidden="false" customHeight="false" outlineLevel="0" collapsed="false">
      <c r="H7806" s="0" t="str">
        <f aca="false">IF(B7806="","",IF(COUNTIF(Campaigns!$A$7:$A$300,B7806)&gt;0,"✓","⚠ add to Campaigns tab"))</f>
        <v/>
      </c>
      <c r="I7806" s="84" t="str">
        <f aca="false">IF(C7806="","",C7806*IF(Settings!$B$23=Settings!$C$6,1,IF(Settings!$B$23="USD",1/INDEX(Settings!$B$29:$B$40,MONTH(A7806)),INDEX(Settings!$B$29:$B$40,MONTH(A7806)))))</f>
        <v/>
      </c>
    </row>
    <row r="7807" customFormat="false" ht="15" hidden="false" customHeight="false" outlineLevel="0" collapsed="false">
      <c r="H7807" s="0" t="str">
        <f aca="false">IF(B7807="","",IF(COUNTIF(Campaigns!$A$7:$A$300,B7807)&gt;0,"✓","⚠ add to Campaigns tab"))</f>
        <v/>
      </c>
      <c r="I7807" s="84" t="str">
        <f aca="false">IF(C7807="","",C7807*IF(Settings!$B$23=Settings!$C$6,1,IF(Settings!$B$23="USD",1/INDEX(Settings!$B$29:$B$40,MONTH(A7807)),INDEX(Settings!$B$29:$B$40,MONTH(A7807)))))</f>
        <v/>
      </c>
    </row>
    <row r="7808" customFormat="false" ht="15" hidden="false" customHeight="false" outlineLevel="0" collapsed="false">
      <c r="H7808" s="0" t="str">
        <f aca="false">IF(B7808="","",IF(COUNTIF(Campaigns!$A$7:$A$300,B7808)&gt;0,"✓","⚠ add to Campaigns tab"))</f>
        <v/>
      </c>
      <c r="I7808" s="84" t="str">
        <f aca="false">IF(C7808="","",C7808*IF(Settings!$B$23=Settings!$C$6,1,IF(Settings!$B$23="USD",1/INDEX(Settings!$B$29:$B$40,MONTH(A7808)),INDEX(Settings!$B$29:$B$40,MONTH(A7808)))))</f>
        <v/>
      </c>
    </row>
    <row r="7809" customFormat="false" ht="15" hidden="false" customHeight="false" outlineLevel="0" collapsed="false">
      <c r="H7809" s="0" t="str">
        <f aca="false">IF(B7809="","",IF(COUNTIF(Campaigns!$A$7:$A$300,B7809)&gt;0,"✓","⚠ add to Campaigns tab"))</f>
        <v/>
      </c>
      <c r="I7809" s="84" t="str">
        <f aca="false">IF(C7809="","",C7809*IF(Settings!$B$23=Settings!$C$6,1,IF(Settings!$B$23="USD",1/INDEX(Settings!$B$29:$B$40,MONTH(A7809)),INDEX(Settings!$B$29:$B$40,MONTH(A7809)))))</f>
        <v/>
      </c>
    </row>
    <row r="7810" customFormat="false" ht="15" hidden="false" customHeight="false" outlineLevel="0" collapsed="false">
      <c r="H7810" s="0" t="str">
        <f aca="false">IF(B7810="","",IF(COUNTIF(Campaigns!$A$7:$A$300,B7810)&gt;0,"✓","⚠ add to Campaigns tab"))</f>
        <v/>
      </c>
      <c r="I7810" s="84" t="str">
        <f aca="false">IF(C7810="","",C7810*IF(Settings!$B$23=Settings!$C$6,1,IF(Settings!$B$23="USD",1/INDEX(Settings!$B$29:$B$40,MONTH(A7810)),INDEX(Settings!$B$29:$B$40,MONTH(A7810)))))</f>
        <v/>
      </c>
    </row>
    <row r="7811" customFormat="false" ht="15" hidden="false" customHeight="false" outlineLevel="0" collapsed="false">
      <c r="H7811" s="0" t="str">
        <f aca="false">IF(B7811="","",IF(COUNTIF(Campaigns!$A$7:$A$300,B7811)&gt;0,"✓","⚠ add to Campaigns tab"))</f>
        <v/>
      </c>
      <c r="I7811" s="84" t="str">
        <f aca="false">IF(C7811="","",C7811*IF(Settings!$B$23=Settings!$C$6,1,IF(Settings!$B$23="USD",1/INDEX(Settings!$B$29:$B$40,MONTH(A7811)),INDEX(Settings!$B$29:$B$40,MONTH(A7811)))))</f>
        <v/>
      </c>
    </row>
    <row r="7812" customFormat="false" ht="15" hidden="false" customHeight="false" outlineLevel="0" collapsed="false">
      <c r="H7812" s="0" t="str">
        <f aca="false">IF(B7812="","",IF(COUNTIF(Campaigns!$A$7:$A$300,B7812)&gt;0,"✓","⚠ add to Campaigns tab"))</f>
        <v/>
      </c>
      <c r="I7812" s="84" t="str">
        <f aca="false">IF(C7812="","",C7812*IF(Settings!$B$23=Settings!$C$6,1,IF(Settings!$B$23="USD",1/INDEX(Settings!$B$29:$B$40,MONTH(A7812)),INDEX(Settings!$B$29:$B$40,MONTH(A7812)))))</f>
        <v/>
      </c>
    </row>
    <row r="7813" customFormat="false" ht="15" hidden="false" customHeight="false" outlineLevel="0" collapsed="false">
      <c r="H7813" s="0" t="str">
        <f aca="false">IF(B7813="","",IF(COUNTIF(Campaigns!$A$7:$A$300,B7813)&gt;0,"✓","⚠ add to Campaigns tab"))</f>
        <v/>
      </c>
      <c r="I7813" s="84" t="str">
        <f aca="false">IF(C7813="","",C7813*IF(Settings!$B$23=Settings!$C$6,1,IF(Settings!$B$23="USD",1/INDEX(Settings!$B$29:$B$40,MONTH(A7813)),INDEX(Settings!$B$29:$B$40,MONTH(A7813)))))</f>
        <v/>
      </c>
    </row>
    <row r="7814" customFormat="false" ht="15" hidden="false" customHeight="false" outlineLevel="0" collapsed="false">
      <c r="H7814" s="0" t="str">
        <f aca="false">IF(B7814="","",IF(COUNTIF(Campaigns!$A$7:$A$300,B7814)&gt;0,"✓","⚠ add to Campaigns tab"))</f>
        <v/>
      </c>
      <c r="I7814" s="84" t="str">
        <f aca="false">IF(C7814="","",C7814*IF(Settings!$B$23=Settings!$C$6,1,IF(Settings!$B$23="USD",1/INDEX(Settings!$B$29:$B$40,MONTH(A7814)),INDEX(Settings!$B$29:$B$40,MONTH(A7814)))))</f>
        <v/>
      </c>
    </row>
    <row r="7815" customFormat="false" ht="15" hidden="false" customHeight="false" outlineLevel="0" collapsed="false">
      <c r="H7815" s="0" t="str">
        <f aca="false">IF(B7815="","",IF(COUNTIF(Campaigns!$A$7:$A$300,B7815)&gt;0,"✓","⚠ add to Campaigns tab"))</f>
        <v/>
      </c>
      <c r="I7815" s="84" t="str">
        <f aca="false">IF(C7815="","",C7815*IF(Settings!$B$23=Settings!$C$6,1,IF(Settings!$B$23="USD",1/INDEX(Settings!$B$29:$B$40,MONTH(A7815)),INDEX(Settings!$B$29:$B$40,MONTH(A7815)))))</f>
        <v/>
      </c>
    </row>
    <row r="7816" customFormat="false" ht="15" hidden="false" customHeight="false" outlineLevel="0" collapsed="false">
      <c r="H7816" s="0" t="str">
        <f aca="false">IF(B7816="","",IF(COUNTIF(Campaigns!$A$7:$A$300,B7816)&gt;0,"✓","⚠ add to Campaigns tab"))</f>
        <v/>
      </c>
      <c r="I7816" s="84" t="str">
        <f aca="false">IF(C7816="","",C7816*IF(Settings!$B$23=Settings!$C$6,1,IF(Settings!$B$23="USD",1/INDEX(Settings!$B$29:$B$40,MONTH(A7816)),INDEX(Settings!$B$29:$B$40,MONTH(A7816)))))</f>
        <v/>
      </c>
    </row>
    <row r="7817" customFormat="false" ht="15" hidden="false" customHeight="false" outlineLevel="0" collapsed="false">
      <c r="H7817" s="0" t="str">
        <f aca="false">IF(B7817="","",IF(COUNTIF(Campaigns!$A$7:$A$300,B7817)&gt;0,"✓","⚠ add to Campaigns tab"))</f>
        <v/>
      </c>
      <c r="I7817" s="84" t="str">
        <f aca="false">IF(C7817="","",C7817*IF(Settings!$B$23=Settings!$C$6,1,IF(Settings!$B$23="USD",1/INDEX(Settings!$B$29:$B$40,MONTH(A7817)),INDEX(Settings!$B$29:$B$40,MONTH(A7817)))))</f>
        <v/>
      </c>
    </row>
    <row r="7818" customFormat="false" ht="15" hidden="false" customHeight="false" outlineLevel="0" collapsed="false">
      <c r="H7818" s="0" t="str">
        <f aca="false">IF(B7818="","",IF(COUNTIF(Campaigns!$A$7:$A$300,B7818)&gt;0,"✓","⚠ add to Campaigns tab"))</f>
        <v/>
      </c>
      <c r="I7818" s="84" t="str">
        <f aca="false">IF(C7818="","",C7818*IF(Settings!$B$23=Settings!$C$6,1,IF(Settings!$B$23="USD",1/INDEX(Settings!$B$29:$B$40,MONTH(A7818)),INDEX(Settings!$B$29:$B$40,MONTH(A7818)))))</f>
        <v/>
      </c>
    </row>
    <row r="7819" customFormat="false" ht="15" hidden="false" customHeight="false" outlineLevel="0" collapsed="false">
      <c r="H7819" s="0" t="str">
        <f aca="false">IF(B7819="","",IF(COUNTIF(Campaigns!$A$7:$A$300,B7819)&gt;0,"✓","⚠ add to Campaigns tab"))</f>
        <v/>
      </c>
      <c r="I7819" s="84" t="str">
        <f aca="false">IF(C7819="","",C7819*IF(Settings!$B$23=Settings!$C$6,1,IF(Settings!$B$23="USD",1/INDEX(Settings!$B$29:$B$40,MONTH(A7819)),INDEX(Settings!$B$29:$B$40,MONTH(A7819)))))</f>
        <v/>
      </c>
    </row>
    <row r="7820" customFormat="false" ht="15" hidden="false" customHeight="false" outlineLevel="0" collapsed="false">
      <c r="H7820" s="0" t="str">
        <f aca="false">IF(B7820="","",IF(COUNTIF(Campaigns!$A$7:$A$300,B7820)&gt;0,"✓","⚠ add to Campaigns tab"))</f>
        <v/>
      </c>
      <c r="I7820" s="84" t="str">
        <f aca="false">IF(C7820="","",C7820*IF(Settings!$B$23=Settings!$C$6,1,IF(Settings!$B$23="USD",1/INDEX(Settings!$B$29:$B$40,MONTH(A7820)),INDEX(Settings!$B$29:$B$40,MONTH(A7820)))))</f>
        <v/>
      </c>
    </row>
    <row r="7821" customFormat="false" ht="15" hidden="false" customHeight="false" outlineLevel="0" collapsed="false">
      <c r="H7821" s="0" t="str">
        <f aca="false">IF(B7821="","",IF(COUNTIF(Campaigns!$A$7:$A$300,B7821)&gt;0,"✓","⚠ add to Campaigns tab"))</f>
        <v/>
      </c>
      <c r="I7821" s="84" t="str">
        <f aca="false">IF(C7821="","",C7821*IF(Settings!$B$23=Settings!$C$6,1,IF(Settings!$B$23="USD",1/INDEX(Settings!$B$29:$B$40,MONTH(A7821)),INDEX(Settings!$B$29:$B$40,MONTH(A7821)))))</f>
        <v/>
      </c>
    </row>
    <row r="7822" customFormat="false" ht="15" hidden="false" customHeight="false" outlineLevel="0" collapsed="false">
      <c r="H7822" s="0" t="str">
        <f aca="false">IF(B7822="","",IF(COUNTIF(Campaigns!$A$7:$A$300,B7822)&gt;0,"✓","⚠ add to Campaigns tab"))</f>
        <v/>
      </c>
      <c r="I7822" s="84" t="str">
        <f aca="false">IF(C7822="","",C7822*IF(Settings!$B$23=Settings!$C$6,1,IF(Settings!$B$23="USD",1/INDEX(Settings!$B$29:$B$40,MONTH(A7822)),INDEX(Settings!$B$29:$B$40,MONTH(A7822)))))</f>
        <v/>
      </c>
    </row>
    <row r="7823" customFormat="false" ht="15" hidden="false" customHeight="false" outlineLevel="0" collapsed="false">
      <c r="H7823" s="0" t="str">
        <f aca="false">IF(B7823="","",IF(COUNTIF(Campaigns!$A$7:$A$300,B7823)&gt;0,"✓","⚠ add to Campaigns tab"))</f>
        <v/>
      </c>
      <c r="I7823" s="84" t="str">
        <f aca="false">IF(C7823="","",C7823*IF(Settings!$B$23=Settings!$C$6,1,IF(Settings!$B$23="USD",1/INDEX(Settings!$B$29:$B$40,MONTH(A7823)),INDEX(Settings!$B$29:$B$40,MONTH(A7823)))))</f>
        <v/>
      </c>
    </row>
    <row r="7824" customFormat="false" ht="15" hidden="false" customHeight="false" outlineLevel="0" collapsed="false">
      <c r="H7824" s="0" t="str">
        <f aca="false">IF(B7824="","",IF(COUNTIF(Campaigns!$A$7:$A$300,B7824)&gt;0,"✓","⚠ add to Campaigns tab"))</f>
        <v/>
      </c>
      <c r="I7824" s="84" t="str">
        <f aca="false">IF(C7824="","",C7824*IF(Settings!$B$23=Settings!$C$6,1,IF(Settings!$B$23="USD",1/INDEX(Settings!$B$29:$B$40,MONTH(A7824)),INDEX(Settings!$B$29:$B$40,MONTH(A7824)))))</f>
        <v/>
      </c>
    </row>
    <row r="7825" customFormat="false" ht="15" hidden="false" customHeight="false" outlineLevel="0" collapsed="false">
      <c r="H7825" s="0" t="str">
        <f aca="false">IF(B7825="","",IF(COUNTIF(Campaigns!$A$7:$A$300,B7825)&gt;0,"✓","⚠ add to Campaigns tab"))</f>
        <v/>
      </c>
      <c r="I7825" s="84" t="str">
        <f aca="false">IF(C7825="","",C7825*IF(Settings!$B$23=Settings!$C$6,1,IF(Settings!$B$23="USD",1/INDEX(Settings!$B$29:$B$40,MONTH(A7825)),INDEX(Settings!$B$29:$B$40,MONTH(A7825)))))</f>
        <v/>
      </c>
    </row>
    <row r="7826" customFormat="false" ht="15" hidden="false" customHeight="false" outlineLevel="0" collapsed="false">
      <c r="H7826" s="0" t="str">
        <f aca="false">IF(B7826="","",IF(COUNTIF(Campaigns!$A$7:$A$300,B7826)&gt;0,"✓","⚠ add to Campaigns tab"))</f>
        <v/>
      </c>
      <c r="I7826" s="84" t="str">
        <f aca="false">IF(C7826="","",C7826*IF(Settings!$B$23=Settings!$C$6,1,IF(Settings!$B$23="USD",1/INDEX(Settings!$B$29:$B$40,MONTH(A7826)),INDEX(Settings!$B$29:$B$40,MONTH(A7826)))))</f>
        <v/>
      </c>
    </row>
    <row r="7827" customFormat="false" ht="15" hidden="false" customHeight="false" outlineLevel="0" collapsed="false">
      <c r="H7827" s="0" t="str">
        <f aca="false">IF(B7827="","",IF(COUNTIF(Campaigns!$A$7:$A$300,B7827)&gt;0,"✓","⚠ add to Campaigns tab"))</f>
        <v/>
      </c>
      <c r="I7827" s="84" t="str">
        <f aca="false">IF(C7827="","",C7827*IF(Settings!$B$23=Settings!$C$6,1,IF(Settings!$B$23="USD",1/INDEX(Settings!$B$29:$B$40,MONTH(A7827)),INDEX(Settings!$B$29:$B$40,MONTH(A7827)))))</f>
        <v/>
      </c>
    </row>
    <row r="7828" customFormat="false" ht="15" hidden="false" customHeight="false" outlineLevel="0" collapsed="false">
      <c r="H7828" s="0" t="str">
        <f aca="false">IF(B7828="","",IF(COUNTIF(Campaigns!$A$7:$A$300,B7828)&gt;0,"✓","⚠ add to Campaigns tab"))</f>
        <v/>
      </c>
      <c r="I7828" s="84" t="str">
        <f aca="false">IF(C7828="","",C7828*IF(Settings!$B$23=Settings!$C$6,1,IF(Settings!$B$23="USD",1/INDEX(Settings!$B$29:$B$40,MONTH(A7828)),INDEX(Settings!$B$29:$B$40,MONTH(A7828)))))</f>
        <v/>
      </c>
    </row>
    <row r="7829" customFormat="false" ht="15" hidden="false" customHeight="false" outlineLevel="0" collapsed="false">
      <c r="H7829" s="0" t="str">
        <f aca="false">IF(B7829="","",IF(COUNTIF(Campaigns!$A$7:$A$300,B7829)&gt;0,"✓","⚠ add to Campaigns tab"))</f>
        <v/>
      </c>
      <c r="I7829" s="84" t="str">
        <f aca="false">IF(C7829="","",C7829*IF(Settings!$B$23=Settings!$C$6,1,IF(Settings!$B$23="USD",1/INDEX(Settings!$B$29:$B$40,MONTH(A7829)),INDEX(Settings!$B$29:$B$40,MONTH(A7829)))))</f>
        <v/>
      </c>
    </row>
    <row r="7830" customFormat="false" ht="15" hidden="false" customHeight="false" outlineLevel="0" collapsed="false">
      <c r="H7830" s="0" t="str">
        <f aca="false">IF(B7830="","",IF(COUNTIF(Campaigns!$A$7:$A$300,B7830)&gt;0,"✓","⚠ add to Campaigns tab"))</f>
        <v/>
      </c>
      <c r="I7830" s="84" t="str">
        <f aca="false">IF(C7830="","",C7830*IF(Settings!$B$23=Settings!$C$6,1,IF(Settings!$B$23="USD",1/INDEX(Settings!$B$29:$B$40,MONTH(A7830)),INDEX(Settings!$B$29:$B$40,MONTH(A7830)))))</f>
        <v/>
      </c>
    </row>
    <row r="7831" customFormat="false" ht="15" hidden="false" customHeight="false" outlineLevel="0" collapsed="false">
      <c r="H7831" s="0" t="str">
        <f aca="false">IF(B7831="","",IF(COUNTIF(Campaigns!$A$7:$A$300,B7831)&gt;0,"✓","⚠ add to Campaigns tab"))</f>
        <v/>
      </c>
      <c r="I7831" s="84" t="str">
        <f aca="false">IF(C7831="","",C7831*IF(Settings!$B$23=Settings!$C$6,1,IF(Settings!$B$23="USD",1/INDEX(Settings!$B$29:$B$40,MONTH(A7831)),INDEX(Settings!$B$29:$B$40,MONTH(A7831)))))</f>
        <v/>
      </c>
    </row>
    <row r="7832" customFormat="false" ht="15" hidden="false" customHeight="false" outlineLevel="0" collapsed="false">
      <c r="H7832" s="0" t="str">
        <f aca="false">IF(B7832="","",IF(COUNTIF(Campaigns!$A$7:$A$300,B7832)&gt;0,"✓","⚠ add to Campaigns tab"))</f>
        <v/>
      </c>
      <c r="I7832" s="84" t="str">
        <f aca="false">IF(C7832="","",C7832*IF(Settings!$B$23=Settings!$C$6,1,IF(Settings!$B$23="USD",1/INDEX(Settings!$B$29:$B$40,MONTH(A7832)),INDEX(Settings!$B$29:$B$40,MONTH(A7832)))))</f>
        <v/>
      </c>
    </row>
    <row r="7833" customFormat="false" ht="15" hidden="false" customHeight="false" outlineLevel="0" collapsed="false">
      <c r="H7833" s="0" t="str">
        <f aca="false">IF(B7833="","",IF(COUNTIF(Campaigns!$A$7:$A$300,B7833)&gt;0,"✓","⚠ add to Campaigns tab"))</f>
        <v/>
      </c>
      <c r="I7833" s="84" t="str">
        <f aca="false">IF(C7833="","",C7833*IF(Settings!$B$23=Settings!$C$6,1,IF(Settings!$B$23="USD",1/INDEX(Settings!$B$29:$B$40,MONTH(A7833)),INDEX(Settings!$B$29:$B$40,MONTH(A7833)))))</f>
        <v/>
      </c>
    </row>
    <row r="7834" customFormat="false" ht="15" hidden="false" customHeight="false" outlineLevel="0" collapsed="false">
      <c r="H7834" s="0" t="str">
        <f aca="false">IF(B7834="","",IF(COUNTIF(Campaigns!$A$7:$A$300,B7834)&gt;0,"✓","⚠ add to Campaigns tab"))</f>
        <v/>
      </c>
      <c r="I7834" s="84" t="str">
        <f aca="false">IF(C7834="","",C7834*IF(Settings!$B$23=Settings!$C$6,1,IF(Settings!$B$23="USD",1/INDEX(Settings!$B$29:$B$40,MONTH(A7834)),INDEX(Settings!$B$29:$B$40,MONTH(A7834)))))</f>
        <v/>
      </c>
    </row>
    <row r="7835" customFormat="false" ht="15" hidden="false" customHeight="false" outlineLevel="0" collapsed="false">
      <c r="H7835" s="0" t="str">
        <f aca="false">IF(B7835="","",IF(COUNTIF(Campaigns!$A$7:$A$300,B7835)&gt;0,"✓","⚠ add to Campaigns tab"))</f>
        <v/>
      </c>
      <c r="I7835" s="84" t="str">
        <f aca="false">IF(C7835="","",C7835*IF(Settings!$B$23=Settings!$C$6,1,IF(Settings!$B$23="USD",1/INDEX(Settings!$B$29:$B$40,MONTH(A7835)),INDEX(Settings!$B$29:$B$40,MONTH(A7835)))))</f>
        <v/>
      </c>
    </row>
    <row r="7836" customFormat="false" ht="15" hidden="false" customHeight="false" outlineLevel="0" collapsed="false">
      <c r="H7836" s="0" t="str">
        <f aca="false">IF(B7836="","",IF(COUNTIF(Campaigns!$A$7:$A$300,B7836)&gt;0,"✓","⚠ add to Campaigns tab"))</f>
        <v/>
      </c>
      <c r="I7836" s="84" t="str">
        <f aca="false">IF(C7836="","",C7836*IF(Settings!$B$23=Settings!$C$6,1,IF(Settings!$B$23="USD",1/INDEX(Settings!$B$29:$B$40,MONTH(A7836)),INDEX(Settings!$B$29:$B$40,MONTH(A7836)))))</f>
        <v/>
      </c>
    </row>
    <row r="7837" customFormat="false" ht="15" hidden="false" customHeight="false" outlineLevel="0" collapsed="false">
      <c r="H7837" s="0" t="str">
        <f aca="false">IF(B7837="","",IF(COUNTIF(Campaigns!$A$7:$A$300,B7837)&gt;0,"✓","⚠ add to Campaigns tab"))</f>
        <v/>
      </c>
      <c r="I7837" s="84" t="str">
        <f aca="false">IF(C7837="","",C7837*IF(Settings!$B$23=Settings!$C$6,1,IF(Settings!$B$23="USD",1/INDEX(Settings!$B$29:$B$40,MONTH(A7837)),INDEX(Settings!$B$29:$B$40,MONTH(A7837)))))</f>
        <v/>
      </c>
    </row>
    <row r="7838" customFormat="false" ht="15" hidden="false" customHeight="false" outlineLevel="0" collapsed="false">
      <c r="H7838" s="0" t="str">
        <f aca="false">IF(B7838="","",IF(COUNTIF(Campaigns!$A$7:$A$300,B7838)&gt;0,"✓","⚠ add to Campaigns tab"))</f>
        <v/>
      </c>
      <c r="I7838" s="84" t="str">
        <f aca="false">IF(C7838="","",C7838*IF(Settings!$B$23=Settings!$C$6,1,IF(Settings!$B$23="USD",1/INDEX(Settings!$B$29:$B$40,MONTH(A7838)),INDEX(Settings!$B$29:$B$40,MONTH(A7838)))))</f>
        <v/>
      </c>
    </row>
    <row r="7839" customFormat="false" ht="15" hidden="false" customHeight="false" outlineLevel="0" collapsed="false">
      <c r="H7839" s="0" t="str">
        <f aca="false">IF(B7839="","",IF(COUNTIF(Campaigns!$A$7:$A$300,B7839)&gt;0,"✓","⚠ add to Campaigns tab"))</f>
        <v/>
      </c>
      <c r="I7839" s="84" t="str">
        <f aca="false">IF(C7839="","",C7839*IF(Settings!$B$23=Settings!$C$6,1,IF(Settings!$B$23="USD",1/INDEX(Settings!$B$29:$B$40,MONTH(A7839)),INDEX(Settings!$B$29:$B$40,MONTH(A7839)))))</f>
        <v/>
      </c>
    </row>
    <row r="7840" customFormat="false" ht="15" hidden="false" customHeight="false" outlineLevel="0" collapsed="false">
      <c r="H7840" s="0" t="str">
        <f aca="false">IF(B7840="","",IF(COUNTIF(Campaigns!$A$7:$A$300,B7840)&gt;0,"✓","⚠ add to Campaigns tab"))</f>
        <v/>
      </c>
      <c r="I7840" s="84" t="str">
        <f aca="false">IF(C7840="","",C7840*IF(Settings!$B$23=Settings!$C$6,1,IF(Settings!$B$23="USD",1/INDEX(Settings!$B$29:$B$40,MONTH(A7840)),INDEX(Settings!$B$29:$B$40,MONTH(A7840)))))</f>
        <v/>
      </c>
    </row>
    <row r="7841" customFormat="false" ht="15" hidden="false" customHeight="false" outlineLevel="0" collapsed="false">
      <c r="H7841" s="0" t="str">
        <f aca="false">IF(B7841="","",IF(COUNTIF(Campaigns!$A$7:$A$300,B7841)&gt;0,"✓","⚠ add to Campaigns tab"))</f>
        <v/>
      </c>
      <c r="I7841" s="84" t="str">
        <f aca="false">IF(C7841="","",C7841*IF(Settings!$B$23=Settings!$C$6,1,IF(Settings!$B$23="USD",1/INDEX(Settings!$B$29:$B$40,MONTH(A7841)),INDEX(Settings!$B$29:$B$40,MONTH(A7841)))))</f>
        <v/>
      </c>
    </row>
    <row r="7842" customFormat="false" ht="15" hidden="false" customHeight="false" outlineLevel="0" collapsed="false">
      <c r="H7842" s="0" t="str">
        <f aca="false">IF(B7842="","",IF(COUNTIF(Campaigns!$A$7:$A$300,B7842)&gt;0,"✓","⚠ add to Campaigns tab"))</f>
        <v/>
      </c>
      <c r="I7842" s="84" t="str">
        <f aca="false">IF(C7842="","",C7842*IF(Settings!$B$23=Settings!$C$6,1,IF(Settings!$B$23="USD",1/INDEX(Settings!$B$29:$B$40,MONTH(A7842)),INDEX(Settings!$B$29:$B$40,MONTH(A7842)))))</f>
        <v/>
      </c>
    </row>
    <row r="7843" customFormat="false" ht="15" hidden="false" customHeight="false" outlineLevel="0" collapsed="false">
      <c r="H7843" s="0" t="str">
        <f aca="false">IF(B7843="","",IF(COUNTIF(Campaigns!$A$7:$A$300,B7843)&gt;0,"✓","⚠ add to Campaigns tab"))</f>
        <v/>
      </c>
      <c r="I7843" s="84" t="str">
        <f aca="false">IF(C7843="","",C7843*IF(Settings!$B$23=Settings!$C$6,1,IF(Settings!$B$23="USD",1/INDEX(Settings!$B$29:$B$40,MONTH(A7843)),INDEX(Settings!$B$29:$B$40,MONTH(A7843)))))</f>
        <v/>
      </c>
    </row>
    <row r="7844" customFormat="false" ht="15" hidden="false" customHeight="false" outlineLevel="0" collapsed="false">
      <c r="H7844" s="0" t="str">
        <f aca="false">IF(B7844="","",IF(COUNTIF(Campaigns!$A$7:$A$300,B7844)&gt;0,"✓","⚠ add to Campaigns tab"))</f>
        <v/>
      </c>
      <c r="I7844" s="84" t="str">
        <f aca="false">IF(C7844="","",C7844*IF(Settings!$B$23=Settings!$C$6,1,IF(Settings!$B$23="USD",1/INDEX(Settings!$B$29:$B$40,MONTH(A7844)),INDEX(Settings!$B$29:$B$40,MONTH(A7844)))))</f>
        <v/>
      </c>
    </row>
    <row r="7845" customFormat="false" ht="15" hidden="false" customHeight="false" outlineLevel="0" collapsed="false">
      <c r="H7845" s="0" t="str">
        <f aca="false">IF(B7845="","",IF(COUNTIF(Campaigns!$A$7:$A$300,B7845)&gt;0,"✓","⚠ add to Campaigns tab"))</f>
        <v/>
      </c>
      <c r="I7845" s="84" t="str">
        <f aca="false">IF(C7845="","",C7845*IF(Settings!$B$23=Settings!$C$6,1,IF(Settings!$B$23="USD",1/INDEX(Settings!$B$29:$B$40,MONTH(A7845)),INDEX(Settings!$B$29:$B$40,MONTH(A7845)))))</f>
        <v/>
      </c>
    </row>
    <row r="7846" customFormat="false" ht="15" hidden="false" customHeight="false" outlineLevel="0" collapsed="false">
      <c r="H7846" s="0" t="str">
        <f aca="false">IF(B7846="","",IF(COUNTIF(Campaigns!$A$7:$A$300,B7846)&gt;0,"✓","⚠ add to Campaigns tab"))</f>
        <v/>
      </c>
      <c r="I7846" s="84" t="str">
        <f aca="false">IF(C7846="","",C7846*IF(Settings!$B$23=Settings!$C$6,1,IF(Settings!$B$23="USD",1/INDEX(Settings!$B$29:$B$40,MONTH(A7846)),INDEX(Settings!$B$29:$B$40,MONTH(A7846)))))</f>
        <v/>
      </c>
    </row>
    <row r="7847" customFormat="false" ht="15" hidden="false" customHeight="false" outlineLevel="0" collapsed="false">
      <c r="H7847" s="0" t="str">
        <f aca="false">IF(B7847="","",IF(COUNTIF(Campaigns!$A$7:$A$300,B7847)&gt;0,"✓","⚠ add to Campaigns tab"))</f>
        <v/>
      </c>
      <c r="I7847" s="84" t="str">
        <f aca="false">IF(C7847="","",C7847*IF(Settings!$B$23=Settings!$C$6,1,IF(Settings!$B$23="USD",1/INDEX(Settings!$B$29:$B$40,MONTH(A7847)),INDEX(Settings!$B$29:$B$40,MONTH(A7847)))))</f>
        <v/>
      </c>
    </row>
    <row r="7848" customFormat="false" ht="15" hidden="false" customHeight="false" outlineLevel="0" collapsed="false">
      <c r="H7848" s="0" t="str">
        <f aca="false">IF(B7848="","",IF(COUNTIF(Campaigns!$A$7:$A$300,B7848)&gt;0,"✓","⚠ add to Campaigns tab"))</f>
        <v/>
      </c>
      <c r="I7848" s="84" t="str">
        <f aca="false">IF(C7848="","",C7848*IF(Settings!$B$23=Settings!$C$6,1,IF(Settings!$B$23="USD",1/INDEX(Settings!$B$29:$B$40,MONTH(A7848)),INDEX(Settings!$B$29:$B$40,MONTH(A7848)))))</f>
        <v/>
      </c>
    </row>
    <row r="7849" customFormat="false" ht="15" hidden="false" customHeight="false" outlineLevel="0" collapsed="false">
      <c r="H7849" s="0" t="str">
        <f aca="false">IF(B7849="","",IF(COUNTIF(Campaigns!$A$7:$A$300,B7849)&gt;0,"✓","⚠ add to Campaigns tab"))</f>
        <v/>
      </c>
      <c r="I7849" s="84" t="str">
        <f aca="false">IF(C7849="","",C7849*IF(Settings!$B$23=Settings!$C$6,1,IF(Settings!$B$23="USD",1/INDEX(Settings!$B$29:$B$40,MONTH(A7849)),INDEX(Settings!$B$29:$B$40,MONTH(A7849)))))</f>
        <v/>
      </c>
    </row>
    <row r="7850" customFormat="false" ht="15" hidden="false" customHeight="false" outlineLevel="0" collapsed="false">
      <c r="H7850" s="0" t="str">
        <f aca="false">IF(B7850="","",IF(COUNTIF(Campaigns!$A$7:$A$300,B7850)&gt;0,"✓","⚠ add to Campaigns tab"))</f>
        <v/>
      </c>
      <c r="I7850" s="84" t="str">
        <f aca="false">IF(C7850="","",C7850*IF(Settings!$B$23=Settings!$C$6,1,IF(Settings!$B$23="USD",1/INDEX(Settings!$B$29:$B$40,MONTH(A7850)),INDEX(Settings!$B$29:$B$40,MONTH(A7850)))))</f>
        <v/>
      </c>
    </row>
    <row r="7851" customFormat="false" ht="15" hidden="false" customHeight="false" outlineLevel="0" collapsed="false">
      <c r="H7851" s="0" t="str">
        <f aca="false">IF(B7851="","",IF(COUNTIF(Campaigns!$A$7:$A$300,B7851)&gt;0,"✓","⚠ add to Campaigns tab"))</f>
        <v/>
      </c>
      <c r="I7851" s="84" t="str">
        <f aca="false">IF(C7851="","",C7851*IF(Settings!$B$23=Settings!$C$6,1,IF(Settings!$B$23="USD",1/INDEX(Settings!$B$29:$B$40,MONTH(A7851)),INDEX(Settings!$B$29:$B$40,MONTH(A7851)))))</f>
        <v/>
      </c>
    </row>
    <row r="7852" customFormat="false" ht="15" hidden="false" customHeight="false" outlineLevel="0" collapsed="false">
      <c r="H7852" s="0" t="str">
        <f aca="false">IF(B7852="","",IF(COUNTIF(Campaigns!$A$7:$A$300,B7852)&gt;0,"✓","⚠ add to Campaigns tab"))</f>
        <v/>
      </c>
      <c r="I7852" s="84" t="str">
        <f aca="false">IF(C7852="","",C7852*IF(Settings!$B$23=Settings!$C$6,1,IF(Settings!$B$23="USD",1/INDEX(Settings!$B$29:$B$40,MONTH(A7852)),INDEX(Settings!$B$29:$B$40,MONTH(A7852)))))</f>
        <v/>
      </c>
    </row>
    <row r="7853" customFormat="false" ht="15" hidden="false" customHeight="false" outlineLevel="0" collapsed="false">
      <c r="H7853" s="0" t="str">
        <f aca="false">IF(B7853="","",IF(COUNTIF(Campaigns!$A$7:$A$300,B7853)&gt;0,"✓","⚠ add to Campaigns tab"))</f>
        <v/>
      </c>
      <c r="I7853" s="84" t="str">
        <f aca="false">IF(C7853="","",C7853*IF(Settings!$B$23=Settings!$C$6,1,IF(Settings!$B$23="USD",1/INDEX(Settings!$B$29:$B$40,MONTH(A7853)),INDEX(Settings!$B$29:$B$40,MONTH(A7853)))))</f>
        <v/>
      </c>
    </row>
    <row r="7854" customFormat="false" ht="15" hidden="false" customHeight="false" outlineLevel="0" collapsed="false">
      <c r="H7854" s="0" t="str">
        <f aca="false">IF(B7854="","",IF(COUNTIF(Campaigns!$A$7:$A$300,B7854)&gt;0,"✓","⚠ add to Campaigns tab"))</f>
        <v/>
      </c>
      <c r="I7854" s="84" t="str">
        <f aca="false">IF(C7854="","",C7854*IF(Settings!$B$23=Settings!$C$6,1,IF(Settings!$B$23="USD",1/INDEX(Settings!$B$29:$B$40,MONTH(A7854)),INDEX(Settings!$B$29:$B$40,MONTH(A7854)))))</f>
        <v/>
      </c>
    </row>
    <row r="7855" customFormat="false" ht="15" hidden="false" customHeight="false" outlineLevel="0" collapsed="false">
      <c r="H7855" s="0" t="str">
        <f aca="false">IF(B7855="","",IF(COUNTIF(Campaigns!$A$7:$A$300,B7855)&gt;0,"✓","⚠ add to Campaigns tab"))</f>
        <v/>
      </c>
      <c r="I7855" s="84" t="str">
        <f aca="false">IF(C7855="","",C7855*IF(Settings!$B$23=Settings!$C$6,1,IF(Settings!$B$23="USD",1/INDEX(Settings!$B$29:$B$40,MONTH(A7855)),INDEX(Settings!$B$29:$B$40,MONTH(A7855)))))</f>
        <v/>
      </c>
    </row>
    <row r="7856" customFormat="false" ht="15" hidden="false" customHeight="false" outlineLevel="0" collapsed="false">
      <c r="H7856" s="0" t="str">
        <f aca="false">IF(B7856="","",IF(COUNTIF(Campaigns!$A$7:$A$300,B7856)&gt;0,"✓","⚠ add to Campaigns tab"))</f>
        <v/>
      </c>
      <c r="I7856" s="84" t="str">
        <f aca="false">IF(C7856="","",C7856*IF(Settings!$B$23=Settings!$C$6,1,IF(Settings!$B$23="USD",1/INDEX(Settings!$B$29:$B$40,MONTH(A7856)),INDEX(Settings!$B$29:$B$40,MONTH(A7856)))))</f>
        <v/>
      </c>
    </row>
    <row r="7857" customFormat="false" ht="15" hidden="false" customHeight="false" outlineLevel="0" collapsed="false">
      <c r="H7857" s="0" t="str">
        <f aca="false">IF(B7857="","",IF(COUNTIF(Campaigns!$A$7:$A$300,B7857)&gt;0,"✓","⚠ add to Campaigns tab"))</f>
        <v/>
      </c>
      <c r="I7857" s="84" t="str">
        <f aca="false">IF(C7857="","",C7857*IF(Settings!$B$23=Settings!$C$6,1,IF(Settings!$B$23="USD",1/INDEX(Settings!$B$29:$B$40,MONTH(A7857)),INDEX(Settings!$B$29:$B$40,MONTH(A7857)))))</f>
        <v/>
      </c>
    </row>
    <row r="7858" customFormat="false" ht="15" hidden="false" customHeight="false" outlineLevel="0" collapsed="false">
      <c r="H7858" s="0" t="str">
        <f aca="false">IF(B7858="","",IF(COUNTIF(Campaigns!$A$7:$A$300,B7858)&gt;0,"✓","⚠ add to Campaigns tab"))</f>
        <v/>
      </c>
      <c r="I7858" s="84" t="str">
        <f aca="false">IF(C7858="","",C7858*IF(Settings!$B$23=Settings!$C$6,1,IF(Settings!$B$23="USD",1/INDEX(Settings!$B$29:$B$40,MONTH(A7858)),INDEX(Settings!$B$29:$B$40,MONTH(A7858)))))</f>
        <v/>
      </c>
    </row>
    <row r="7859" customFormat="false" ht="15" hidden="false" customHeight="false" outlineLevel="0" collapsed="false">
      <c r="H7859" s="0" t="str">
        <f aca="false">IF(B7859="","",IF(COUNTIF(Campaigns!$A$7:$A$300,B7859)&gt;0,"✓","⚠ add to Campaigns tab"))</f>
        <v/>
      </c>
      <c r="I7859" s="84" t="str">
        <f aca="false">IF(C7859="","",C7859*IF(Settings!$B$23=Settings!$C$6,1,IF(Settings!$B$23="USD",1/INDEX(Settings!$B$29:$B$40,MONTH(A7859)),INDEX(Settings!$B$29:$B$40,MONTH(A7859)))))</f>
        <v/>
      </c>
    </row>
    <row r="7860" customFormat="false" ht="15" hidden="false" customHeight="false" outlineLevel="0" collapsed="false">
      <c r="H7860" s="0" t="str">
        <f aca="false">IF(B7860="","",IF(COUNTIF(Campaigns!$A$7:$A$300,B7860)&gt;0,"✓","⚠ add to Campaigns tab"))</f>
        <v/>
      </c>
      <c r="I7860" s="84" t="str">
        <f aca="false">IF(C7860="","",C7860*IF(Settings!$B$23=Settings!$C$6,1,IF(Settings!$B$23="USD",1/INDEX(Settings!$B$29:$B$40,MONTH(A7860)),INDEX(Settings!$B$29:$B$40,MONTH(A7860)))))</f>
        <v/>
      </c>
    </row>
    <row r="7861" customFormat="false" ht="15" hidden="false" customHeight="false" outlineLevel="0" collapsed="false">
      <c r="H7861" s="0" t="str">
        <f aca="false">IF(B7861="","",IF(COUNTIF(Campaigns!$A$7:$A$300,B7861)&gt;0,"✓","⚠ add to Campaigns tab"))</f>
        <v/>
      </c>
      <c r="I7861" s="84" t="str">
        <f aca="false">IF(C7861="","",C7861*IF(Settings!$B$23=Settings!$C$6,1,IF(Settings!$B$23="USD",1/INDEX(Settings!$B$29:$B$40,MONTH(A7861)),INDEX(Settings!$B$29:$B$40,MONTH(A7861)))))</f>
        <v/>
      </c>
    </row>
    <row r="7862" customFormat="false" ht="15" hidden="false" customHeight="false" outlineLevel="0" collapsed="false">
      <c r="H7862" s="0" t="str">
        <f aca="false">IF(B7862="","",IF(COUNTIF(Campaigns!$A$7:$A$300,B7862)&gt;0,"✓","⚠ add to Campaigns tab"))</f>
        <v/>
      </c>
      <c r="I7862" s="84" t="str">
        <f aca="false">IF(C7862="","",C7862*IF(Settings!$B$23=Settings!$C$6,1,IF(Settings!$B$23="USD",1/INDEX(Settings!$B$29:$B$40,MONTH(A7862)),INDEX(Settings!$B$29:$B$40,MONTH(A7862)))))</f>
        <v/>
      </c>
    </row>
    <row r="7863" customFormat="false" ht="15" hidden="false" customHeight="false" outlineLevel="0" collapsed="false">
      <c r="H7863" s="0" t="str">
        <f aca="false">IF(B7863="","",IF(COUNTIF(Campaigns!$A$7:$A$300,B7863)&gt;0,"✓","⚠ add to Campaigns tab"))</f>
        <v/>
      </c>
      <c r="I7863" s="84" t="str">
        <f aca="false">IF(C7863="","",C7863*IF(Settings!$B$23=Settings!$C$6,1,IF(Settings!$B$23="USD",1/INDEX(Settings!$B$29:$B$40,MONTH(A7863)),INDEX(Settings!$B$29:$B$40,MONTH(A7863)))))</f>
        <v/>
      </c>
    </row>
    <row r="7864" customFormat="false" ht="15" hidden="false" customHeight="false" outlineLevel="0" collapsed="false">
      <c r="H7864" s="0" t="str">
        <f aca="false">IF(B7864="","",IF(COUNTIF(Campaigns!$A$7:$A$300,B7864)&gt;0,"✓","⚠ add to Campaigns tab"))</f>
        <v/>
      </c>
      <c r="I7864" s="84" t="str">
        <f aca="false">IF(C7864="","",C7864*IF(Settings!$B$23=Settings!$C$6,1,IF(Settings!$B$23="USD",1/INDEX(Settings!$B$29:$B$40,MONTH(A7864)),INDEX(Settings!$B$29:$B$40,MONTH(A7864)))))</f>
        <v/>
      </c>
    </row>
    <row r="7865" customFormat="false" ht="15" hidden="false" customHeight="false" outlineLevel="0" collapsed="false">
      <c r="H7865" s="0" t="str">
        <f aca="false">IF(B7865="","",IF(COUNTIF(Campaigns!$A$7:$A$300,B7865)&gt;0,"✓","⚠ add to Campaigns tab"))</f>
        <v/>
      </c>
      <c r="I7865" s="84" t="str">
        <f aca="false">IF(C7865="","",C7865*IF(Settings!$B$23=Settings!$C$6,1,IF(Settings!$B$23="USD",1/INDEX(Settings!$B$29:$B$40,MONTH(A7865)),INDEX(Settings!$B$29:$B$40,MONTH(A7865)))))</f>
        <v/>
      </c>
    </row>
    <row r="7866" customFormat="false" ht="15" hidden="false" customHeight="false" outlineLevel="0" collapsed="false">
      <c r="H7866" s="0" t="str">
        <f aca="false">IF(B7866="","",IF(COUNTIF(Campaigns!$A$7:$A$300,B7866)&gt;0,"✓","⚠ add to Campaigns tab"))</f>
        <v/>
      </c>
      <c r="I7866" s="84" t="str">
        <f aca="false">IF(C7866="","",C7866*IF(Settings!$B$23=Settings!$C$6,1,IF(Settings!$B$23="USD",1/INDEX(Settings!$B$29:$B$40,MONTH(A7866)),INDEX(Settings!$B$29:$B$40,MONTH(A7866)))))</f>
        <v/>
      </c>
    </row>
    <row r="7867" customFormat="false" ht="15" hidden="false" customHeight="false" outlineLevel="0" collapsed="false">
      <c r="H7867" s="0" t="str">
        <f aca="false">IF(B7867="","",IF(COUNTIF(Campaigns!$A$7:$A$300,B7867)&gt;0,"✓","⚠ add to Campaigns tab"))</f>
        <v/>
      </c>
      <c r="I7867" s="84" t="str">
        <f aca="false">IF(C7867="","",C7867*IF(Settings!$B$23=Settings!$C$6,1,IF(Settings!$B$23="USD",1/INDEX(Settings!$B$29:$B$40,MONTH(A7867)),INDEX(Settings!$B$29:$B$40,MONTH(A7867)))))</f>
        <v/>
      </c>
    </row>
    <row r="7868" customFormat="false" ht="15" hidden="false" customHeight="false" outlineLevel="0" collapsed="false">
      <c r="H7868" s="0" t="str">
        <f aca="false">IF(B7868="","",IF(COUNTIF(Campaigns!$A$7:$A$300,B7868)&gt;0,"✓","⚠ add to Campaigns tab"))</f>
        <v/>
      </c>
      <c r="I7868" s="84" t="str">
        <f aca="false">IF(C7868="","",C7868*IF(Settings!$B$23=Settings!$C$6,1,IF(Settings!$B$23="USD",1/INDEX(Settings!$B$29:$B$40,MONTH(A7868)),INDEX(Settings!$B$29:$B$40,MONTH(A7868)))))</f>
        <v/>
      </c>
    </row>
    <row r="7869" customFormat="false" ht="15" hidden="false" customHeight="false" outlineLevel="0" collapsed="false">
      <c r="H7869" s="0" t="str">
        <f aca="false">IF(B7869="","",IF(COUNTIF(Campaigns!$A$7:$A$300,B7869)&gt;0,"✓","⚠ add to Campaigns tab"))</f>
        <v/>
      </c>
      <c r="I7869" s="84" t="str">
        <f aca="false">IF(C7869="","",C7869*IF(Settings!$B$23=Settings!$C$6,1,IF(Settings!$B$23="USD",1/INDEX(Settings!$B$29:$B$40,MONTH(A7869)),INDEX(Settings!$B$29:$B$40,MONTH(A7869)))))</f>
        <v/>
      </c>
    </row>
    <row r="7870" customFormat="false" ht="15" hidden="false" customHeight="false" outlineLevel="0" collapsed="false">
      <c r="H7870" s="0" t="str">
        <f aca="false">IF(B7870="","",IF(COUNTIF(Campaigns!$A$7:$A$300,B7870)&gt;0,"✓","⚠ add to Campaigns tab"))</f>
        <v/>
      </c>
      <c r="I7870" s="84" t="str">
        <f aca="false">IF(C7870="","",C7870*IF(Settings!$B$23=Settings!$C$6,1,IF(Settings!$B$23="USD",1/INDEX(Settings!$B$29:$B$40,MONTH(A7870)),INDEX(Settings!$B$29:$B$40,MONTH(A7870)))))</f>
        <v/>
      </c>
    </row>
    <row r="7871" customFormat="false" ht="15" hidden="false" customHeight="false" outlineLevel="0" collapsed="false">
      <c r="H7871" s="0" t="str">
        <f aca="false">IF(B7871="","",IF(COUNTIF(Campaigns!$A$7:$A$300,B7871)&gt;0,"✓","⚠ add to Campaigns tab"))</f>
        <v/>
      </c>
      <c r="I7871" s="84" t="str">
        <f aca="false">IF(C7871="","",C7871*IF(Settings!$B$23=Settings!$C$6,1,IF(Settings!$B$23="USD",1/INDEX(Settings!$B$29:$B$40,MONTH(A7871)),INDEX(Settings!$B$29:$B$40,MONTH(A7871)))))</f>
        <v/>
      </c>
    </row>
    <row r="7872" customFormat="false" ht="15" hidden="false" customHeight="false" outlineLevel="0" collapsed="false">
      <c r="H7872" s="0" t="str">
        <f aca="false">IF(B7872="","",IF(COUNTIF(Campaigns!$A$7:$A$300,B7872)&gt;0,"✓","⚠ add to Campaigns tab"))</f>
        <v/>
      </c>
      <c r="I7872" s="84" t="str">
        <f aca="false">IF(C7872="","",C7872*IF(Settings!$B$23=Settings!$C$6,1,IF(Settings!$B$23="USD",1/INDEX(Settings!$B$29:$B$40,MONTH(A7872)),INDEX(Settings!$B$29:$B$40,MONTH(A7872)))))</f>
        <v/>
      </c>
    </row>
    <row r="7873" customFormat="false" ht="15" hidden="false" customHeight="false" outlineLevel="0" collapsed="false">
      <c r="H7873" s="0" t="str">
        <f aca="false">IF(B7873="","",IF(COUNTIF(Campaigns!$A$7:$A$300,B7873)&gt;0,"✓","⚠ add to Campaigns tab"))</f>
        <v/>
      </c>
      <c r="I7873" s="84" t="str">
        <f aca="false">IF(C7873="","",C7873*IF(Settings!$B$23=Settings!$C$6,1,IF(Settings!$B$23="USD",1/INDEX(Settings!$B$29:$B$40,MONTH(A7873)),INDEX(Settings!$B$29:$B$40,MONTH(A7873)))))</f>
        <v/>
      </c>
    </row>
    <row r="7874" customFormat="false" ht="15" hidden="false" customHeight="false" outlineLevel="0" collapsed="false">
      <c r="H7874" s="0" t="str">
        <f aca="false">IF(B7874="","",IF(COUNTIF(Campaigns!$A$7:$A$300,B7874)&gt;0,"✓","⚠ add to Campaigns tab"))</f>
        <v/>
      </c>
      <c r="I7874" s="84" t="str">
        <f aca="false">IF(C7874="","",C7874*IF(Settings!$B$23=Settings!$C$6,1,IF(Settings!$B$23="USD",1/INDEX(Settings!$B$29:$B$40,MONTH(A7874)),INDEX(Settings!$B$29:$B$40,MONTH(A7874)))))</f>
        <v/>
      </c>
    </row>
    <row r="7875" customFormat="false" ht="15" hidden="false" customHeight="false" outlineLevel="0" collapsed="false">
      <c r="H7875" s="0" t="str">
        <f aca="false">IF(B7875="","",IF(COUNTIF(Campaigns!$A$7:$A$300,B7875)&gt;0,"✓","⚠ add to Campaigns tab"))</f>
        <v/>
      </c>
      <c r="I7875" s="84" t="str">
        <f aca="false">IF(C7875="","",C7875*IF(Settings!$B$23=Settings!$C$6,1,IF(Settings!$B$23="USD",1/INDEX(Settings!$B$29:$B$40,MONTH(A7875)),INDEX(Settings!$B$29:$B$40,MONTH(A7875)))))</f>
        <v/>
      </c>
    </row>
    <row r="7876" customFormat="false" ht="15" hidden="false" customHeight="false" outlineLevel="0" collapsed="false">
      <c r="H7876" s="0" t="str">
        <f aca="false">IF(B7876="","",IF(COUNTIF(Campaigns!$A$7:$A$300,B7876)&gt;0,"✓","⚠ add to Campaigns tab"))</f>
        <v/>
      </c>
      <c r="I7876" s="84" t="str">
        <f aca="false">IF(C7876="","",C7876*IF(Settings!$B$23=Settings!$C$6,1,IF(Settings!$B$23="USD",1/INDEX(Settings!$B$29:$B$40,MONTH(A7876)),INDEX(Settings!$B$29:$B$40,MONTH(A7876)))))</f>
        <v/>
      </c>
    </row>
    <row r="7877" customFormat="false" ht="15" hidden="false" customHeight="false" outlineLevel="0" collapsed="false">
      <c r="H7877" s="0" t="str">
        <f aca="false">IF(B7877="","",IF(COUNTIF(Campaigns!$A$7:$A$300,B7877)&gt;0,"✓","⚠ add to Campaigns tab"))</f>
        <v/>
      </c>
      <c r="I7877" s="84" t="str">
        <f aca="false">IF(C7877="","",C7877*IF(Settings!$B$23=Settings!$C$6,1,IF(Settings!$B$23="USD",1/INDEX(Settings!$B$29:$B$40,MONTH(A7877)),INDEX(Settings!$B$29:$B$40,MONTH(A7877)))))</f>
        <v/>
      </c>
    </row>
    <row r="7878" customFormat="false" ht="15" hidden="false" customHeight="false" outlineLevel="0" collapsed="false">
      <c r="H7878" s="0" t="str">
        <f aca="false">IF(B7878="","",IF(COUNTIF(Campaigns!$A$7:$A$300,B7878)&gt;0,"✓","⚠ add to Campaigns tab"))</f>
        <v/>
      </c>
      <c r="I7878" s="84" t="str">
        <f aca="false">IF(C7878="","",C7878*IF(Settings!$B$23=Settings!$C$6,1,IF(Settings!$B$23="USD",1/INDEX(Settings!$B$29:$B$40,MONTH(A7878)),INDEX(Settings!$B$29:$B$40,MONTH(A7878)))))</f>
        <v/>
      </c>
    </row>
    <row r="7879" customFormat="false" ht="15" hidden="false" customHeight="false" outlineLevel="0" collapsed="false">
      <c r="H7879" s="0" t="str">
        <f aca="false">IF(B7879="","",IF(COUNTIF(Campaigns!$A$7:$A$300,B7879)&gt;0,"✓","⚠ add to Campaigns tab"))</f>
        <v/>
      </c>
      <c r="I7879" s="84" t="str">
        <f aca="false">IF(C7879="","",C7879*IF(Settings!$B$23=Settings!$C$6,1,IF(Settings!$B$23="USD",1/INDEX(Settings!$B$29:$B$40,MONTH(A7879)),INDEX(Settings!$B$29:$B$40,MONTH(A7879)))))</f>
        <v/>
      </c>
    </row>
    <row r="7880" customFormat="false" ht="15" hidden="false" customHeight="false" outlineLevel="0" collapsed="false">
      <c r="H7880" s="0" t="str">
        <f aca="false">IF(B7880="","",IF(COUNTIF(Campaigns!$A$7:$A$300,B7880)&gt;0,"✓","⚠ add to Campaigns tab"))</f>
        <v/>
      </c>
      <c r="I7880" s="84" t="str">
        <f aca="false">IF(C7880="","",C7880*IF(Settings!$B$23=Settings!$C$6,1,IF(Settings!$B$23="USD",1/INDEX(Settings!$B$29:$B$40,MONTH(A7880)),INDEX(Settings!$B$29:$B$40,MONTH(A7880)))))</f>
        <v/>
      </c>
    </row>
    <row r="7881" customFormat="false" ht="15" hidden="false" customHeight="false" outlineLevel="0" collapsed="false">
      <c r="H7881" s="0" t="str">
        <f aca="false">IF(B7881="","",IF(COUNTIF(Campaigns!$A$7:$A$300,B7881)&gt;0,"✓","⚠ add to Campaigns tab"))</f>
        <v/>
      </c>
      <c r="I7881" s="84" t="str">
        <f aca="false">IF(C7881="","",C7881*IF(Settings!$B$23=Settings!$C$6,1,IF(Settings!$B$23="USD",1/INDEX(Settings!$B$29:$B$40,MONTH(A7881)),INDEX(Settings!$B$29:$B$40,MONTH(A7881)))))</f>
        <v/>
      </c>
    </row>
    <row r="7882" customFormat="false" ht="15" hidden="false" customHeight="false" outlineLevel="0" collapsed="false">
      <c r="H7882" s="0" t="str">
        <f aca="false">IF(B7882="","",IF(COUNTIF(Campaigns!$A$7:$A$300,B7882)&gt;0,"✓","⚠ add to Campaigns tab"))</f>
        <v/>
      </c>
      <c r="I7882" s="84" t="str">
        <f aca="false">IF(C7882="","",C7882*IF(Settings!$B$23=Settings!$C$6,1,IF(Settings!$B$23="USD",1/INDEX(Settings!$B$29:$B$40,MONTH(A7882)),INDEX(Settings!$B$29:$B$40,MONTH(A7882)))))</f>
        <v/>
      </c>
    </row>
    <row r="7883" customFormat="false" ht="15" hidden="false" customHeight="false" outlineLevel="0" collapsed="false">
      <c r="H7883" s="0" t="str">
        <f aca="false">IF(B7883="","",IF(COUNTIF(Campaigns!$A$7:$A$300,B7883)&gt;0,"✓","⚠ add to Campaigns tab"))</f>
        <v/>
      </c>
      <c r="I7883" s="84" t="str">
        <f aca="false">IF(C7883="","",C7883*IF(Settings!$B$23=Settings!$C$6,1,IF(Settings!$B$23="USD",1/INDEX(Settings!$B$29:$B$40,MONTH(A7883)),INDEX(Settings!$B$29:$B$40,MONTH(A7883)))))</f>
        <v/>
      </c>
    </row>
    <row r="7884" customFormat="false" ht="15" hidden="false" customHeight="false" outlineLevel="0" collapsed="false">
      <c r="H7884" s="0" t="str">
        <f aca="false">IF(B7884="","",IF(COUNTIF(Campaigns!$A$7:$A$300,B7884)&gt;0,"✓","⚠ add to Campaigns tab"))</f>
        <v/>
      </c>
      <c r="I7884" s="84" t="str">
        <f aca="false">IF(C7884="","",C7884*IF(Settings!$B$23=Settings!$C$6,1,IF(Settings!$B$23="USD",1/INDEX(Settings!$B$29:$B$40,MONTH(A7884)),INDEX(Settings!$B$29:$B$40,MONTH(A7884)))))</f>
        <v/>
      </c>
    </row>
    <row r="7885" customFormat="false" ht="15" hidden="false" customHeight="false" outlineLevel="0" collapsed="false">
      <c r="H7885" s="0" t="str">
        <f aca="false">IF(B7885="","",IF(COUNTIF(Campaigns!$A$7:$A$300,B7885)&gt;0,"✓","⚠ add to Campaigns tab"))</f>
        <v/>
      </c>
      <c r="I7885" s="84" t="str">
        <f aca="false">IF(C7885="","",C7885*IF(Settings!$B$23=Settings!$C$6,1,IF(Settings!$B$23="USD",1/INDEX(Settings!$B$29:$B$40,MONTH(A7885)),INDEX(Settings!$B$29:$B$40,MONTH(A7885)))))</f>
        <v/>
      </c>
    </row>
    <row r="7886" customFormat="false" ht="15" hidden="false" customHeight="false" outlineLevel="0" collapsed="false">
      <c r="H7886" s="0" t="str">
        <f aca="false">IF(B7886="","",IF(COUNTIF(Campaigns!$A$7:$A$300,B7886)&gt;0,"✓","⚠ add to Campaigns tab"))</f>
        <v/>
      </c>
      <c r="I7886" s="84" t="str">
        <f aca="false">IF(C7886="","",C7886*IF(Settings!$B$23=Settings!$C$6,1,IF(Settings!$B$23="USD",1/INDEX(Settings!$B$29:$B$40,MONTH(A7886)),INDEX(Settings!$B$29:$B$40,MONTH(A7886)))))</f>
        <v/>
      </c>
    </row>
    <row r="7887" customFormat="false" ht="15" hidden="false" customHeight="false" outlineLevel="0" collapsed="false">
      <c r="H7887" s="0" t="str">
        <f aca="false">IF(B7887="","",IF(COUNTIF(Campaigns!$A$7:$A$300,B7887)&gt;0,"✓","⚠ add to Campaigns tab"))</f>
        <v/>
      </c>
      <c r="I7887" s="84" t="str">
        <f aca="false">IF(C7887="","",C7887*IF(Settings!$B$23=Settings!$C$6,1,IF(Settings!$B$23="USD",1/INDEX(Settings!$B$29:$B$40,MONTH(A7887)),INDEX(Settings!$B$29:$B$40,MONTH(A7887)))))</f>
        <v/>
      </c>
    </row>
    <row r="7888" customFormat="false" ht="15" hidden="false" customHeight="false" outlineLevel="0" collapsed="false">
      <c r="H7888" s="0" t="str">
        <f aca="false">IF(B7888="","",IF(COUNTIF(Campaigns!$A$7:$A$300,B7888)&gt;0,"✓","⚠ add to Campaigns tab"))</f>
        <v/>
      </c>
      <c r="I7888" s="84" t="str">
        <f aca="false">IF(C7888="","",C7888*IF(Settings!$B$23=Settings!$C$6,1,IF(Settings!$B$23="USD",1/INDEX(Settings!$B$29:$B$40,MONTH(A7888)),INDEX(Settings!$B$29:$B$40,MONTH(A7888)))))</f>
        <v/>
      </c>
    </row>
    <row r="7889" customFormat="false" ht="15" hidden="false" customHeight="false" outlineLevel="0" collapsed="false">
      <c r="H7889" s="0" t="str">
        <f aca="false">IF(B7889="","",IF(COUNTIF(Campaigns!$A$7:$A$300,B7889)&gt;0,"✓","⚠ add to Campaigns tab"))</f>
        <v/>
      </c>
      <c r="I7889" s="84" t="str">
        <f aca="false">IF(C7889="","",C7889*IF(Settings!$B$23=Settings!$C$6,1,IF(Settings!$B$23="USD",1/INDEX(Settings!$B$29:$B$40,MONTH(A7889)),INDEX(Settings!$B$29:$B$40,MONTH(A7889)))))</f>
        <v/>
      </c>
    </row>
    <row r="7890" customFormat="false" ht="15" hidden="false" customHeight="false" outlineLevel="0" collapsed="false">
      <c r="H7890" s="0" t="str">
        <f aca="false">IF(B7890="","",IF(COUNTIF(Campaigns!$A$7:$A$300,B7890)&gt;0,"✓","⚠ add to Campaigns tab"))</f>
        <v/>
      </c>
      <c r="I7890" s="84" t="str">
        <f aca="false">IF(C7890="","",C7890*IF(Settings!$B$23=Settings!$C$6,1,IF(Settings!$B$23="USD",1/INDEX(Settings!$B$29:$B$40,MONTH(A7890)),INDEX(Settings!$B$29:$B$40,MONTH(A7890)))))</f>
        <v/>
      </c>
    </row>
    <row r="7891" customFormat="false" ht="15" hidden="false" customHeight="false" outlineLevel="0" collapsed="false">
      <c r="H7891" s="0" t="str">
        <f aca="false">IF(B7891="","",IF(COUNTIF(Campaigns!$A$7:$A$300,B7891)&gt;0,"✓","⚠ add to Campaigns tab"))</f>
        <v/>
      </c>
      <c r="I7891" s="84" t="str">
        <f aca="false">IF(C7891="","",C7891*IF(Settings!$B$23=Settings!$C$6,1,IF(Settings!$B$23="USD",1/INDEX(Settings!$B$29:$B$40,MONTH(A7891)),INDEX(Settings!$B$29:$B$40,MONTH(A7891)))))</f>
        <v/>
      </c>
    </row>
    <row r="7892" customFormat="false" ht="15" hidden="false" customHeight="false" outlineLevel="0" collapsed="false">
      <c r="H7892" s="0" t="str">
        <f aca="false">IF(B7892="","",IF(COUNTIF(Campaigns!$A$7:$A$300,B7892)&gt;0,"✓","⚠ add to Campaigns tab"))</f>
        <v/>
      </c>
      <c r="I7892" s="84" t="str">
        <f aca="false">IF(C7892="","",C7892*IF(Settings!$B$23=Settings!$C$6,1,IF(Settings!$B$23="USD",1/INDEX(Settings!$B$29:$B$40,MONTH(A7892)),INDEX(Settings!$B$29:$B$40,MONTH(A7892)))))</f>
        <v/>
      </c>
    </row>
    <row r="7893" customFormat="false" ht="15" hidden="false" customHeight="false" outlineLevel="0" collapsed="false">
      <c r="H7893" s="0" t="str">
        <f aca="false">IF(B7893="","",IF(COUNTIF(Campaigns!$A$7:$A$300,B7893)&gt;0,"✓","⚠ add to Campaigns tab"))</f>
        <v/>
      </c>
      <c r="I7893" s="84" t="str">
        <f aca="false">IF(C7893="","",C7893*IF(Settings!$B$23=Settings!$C$6,1,IF(Settings!$B$23="USD",1/INDEX(Settings!$B$29:$B$40,MONTH(A7893)),INDEX(Settings!$B$29:$B$40,MONTH(A7893)))))</f>
        <v/>
      </c>
    </row>
    <row r="7894" customFormat="false" ht="15" hidden="false" customHeight="false" outlineLevel="0" collapsed="false">
      <c r="H7894" s="0" t="str">
        <f aca="false">IF(B7894="","",IF(COUNTIF(Campaigns!$A$7:$A$300,B7894)&gt;0,"✓","⚠ add to Campaigns tab"))</f>
        <v/>
      </c>
      <c r="I7894" s="84" t="str">
        <f aca="false">IF(C7894="","",C7894*IF(Settings!$B$23=Settings!$C$6,1,IF(Settings!$B$23="USD",1/INDEX(Settings!$B$29:$B$40,MONTH(A7894)),INDEX(Settings!$B$29:$B$40,MONTH(A7894)))))</f>
        <v/>
      </c>
    </row>
    <row r="7895" customFormat="false" ht="15" hidden="false" customHeight="false" outlineLevel="0" collapsed="false">
      <c r="H7895" s="0" t="str">
        <f aca="false">IF(B7895="","",IF(COUNTIF(Campaigns!$A$7:$A$300,B7895)&gt;0,"✓","⚠ add to Campaigns tab"))</f>
        <v/>
      </c>
      <c r="I7895" s="84" t="str">
        <f aca="false">IF(C7895="","",C7895*IF(Settings!$B$23=Settings!$C$6,1,IF(Settings!$B$23="USD",1/INDEX(Settings!$B$29:$B$40,MONTH(A7895)),INDEX(Settings!$B$29:$B$40,MONTH(A7895)))))</f>
        <v/>
      </c>
    </row>
    <row r="7896" customFormat="false" ht="15" hidden="false" customHeight="false" outlineLevel="0" collapsed="false">
      <c r="H7896" s="0" t="str">
        <f aca="false">IF(B7896="","",IF(COUNTIF(Campaigns!$A$7:$A$300,B7896)&gt;0,"✓","⚠ add to Campaigns tab"))</f>
        <v/>
      </c>
      <c r="I7896" s="84" t="str">
        <f aca="false">IF(C7896="","",C7896*IF(Settings!$B$23=Settings!$C$6,1,IF(Settings!$B$23="USD",1/INDEX(Settings!$B$29:$B$40,MONTH(A7896)),INDEX(Settings!$B$29:$B$40,MONTH(A7896)))))</f>
        <v/>
      </c>
    </row>
    <row r="7897" customFormat="false" ht="15" hidden="false" customHeight="false" outlineLevel="0" collapsed="false">
      <c r="H7897" s="0" t="str">
        <f aca="false">IF(B7897="","",IF(COUNTIF(Campaigns!$A$7:$A$300,B7897)&gt;0,"✓","⚠ add to Campaigns tab"))</f>
        <v/>
      </c>
      <c r="I7897" s="84" t="str">
        <f aca="false">IF(C7897="","",C7897*IF(Settings!$B$23=Settings!$C$6,1,IF(Settings!$B$23="USD",1/INDEX(Settings!$B$29:$B$40,MONTH(A7897)),INDEX(Settings!$B$29:$B$40,MONTH(A7897)))))</f>
        <v/>
      </c>
    </row>
    <row r="7898" customFormat="false" ht="15" hidden="false" customHeight="false" outlineLevel="0" collapsed="false">
      <c r="H7898" s="0" t="str">
        <f aca="false">IF(B7898="","",IF(COUNTIF(Campaigns!$A$7:$A$300,B7898)&gt;0,"✓","⚠ add to Campaigns tab"))</f>
        <v/>
      </c>
      <c r="I7898" s="84" t="str">
        <f aca="false">IF(C7898="","",C7898*IF(Settings!$B$23=Settings!$C$6,1,IF(Settings!$B$23="USD",1/INDEX(Settings!$B$29:$B$40,MONTH(A7898)),INDEX(Settings!$B$29:$B$40,MONTH(A7898)))))</f>
        <v/>
      </c>
    </row>
    <row r="7899" customFormat="false" ht="15" hidden="false" customHeight="false" outlineLevel="0" collapsed="false">
      <c r="H7899" s="0" t="str">
        <f aca="false">IF(B7899="","",IF(COUNTIF(Campaigns!$A$7:$A$300,B7899)&gt;0,"✓","⚠ add to Campaigns tab"))</f>
        <v/>
      </c>
      <c r="I7899" s="84" t="str">
        <f aca="false">IF(C7899="","",C7899*IF(Settings!$B$23=Settings!$C$6,1,IF(Settings!$B$23="USD",1/INDEX(Settings!$B$29:$B$40,MONTH(A7899)),INDEX(Settings!$B$29:$B$40,MONTH(A7899)))))</f>
        <v/>
      </c>
    </row>
    <row r="7900" customFormat="false" ht="15" hidden="false" customHeight="false" outlineLevel="0" collapsed="false">
      <c r="H7900" s="0" t="str">
        <f aca="false">IF(B7900="","",IF(COUNTIF(Campaigns!$A$7:$A$300,B7900)&gt;0,"✓","⚠ add to Campaigns tab"))</f>
        <v/>
      </c>
      <c r="I7900" s="84" t="str">
        <f aca="false">IF(C7900="","",C7900*IF(Settings!$B$23=Settings!$C$6,1,IF(Settings!$B$23="USD",1/INDEX(Settings!$B$29:$B$40,MONTH(A7900)),INDEX(Settings!$B$29:$B$40,MONTH(A7900)))))</f>
        <v/>
      </c>
    </row>
    <row r="7901" customFormat="false" ht="15" hidden="false" customHeight="false" outlineLevel="0" collapsed="false">
      <c r="H7901" s="0" t="str">
        <f aca="false">IF(B7901="","",IF(COUNTIF(Campaigns!$A$7:$A$300,B7901)&gt;0,"✓","⚠ add to Campaigns tab"))</f>
        <v/>
      </c>
      <c r="I7901" s="84" t="str">
        <f aca="false">IF(C7901="","",C7901*IF(Settings!$B$23=Settings!$C$6,1,IF(Settings!$B$23="USD",1/INDEX(Settings!$B$29:$B$40,MONTH(A7901)),INDEX(Settings!$B$29:$B$40,MONTH(A7901)))))</f>
        <v/>
      </c>
    </row>
    <row r="7902" customFormat="false" ht="15" hidden="false" customHeight="false" outlineLevel="0" collapsed="false">
      <c r="H7902" s="0" t="str">
        <f aca="false">IF(B7902="","",IF(COUNTIF(Campaigns!$A$7:$A$300,B7902)&gt;0,"✓","⚠ add to Campaigns tab"))</f>
        <v/>
      </c>
      <c r="I7902" s="84" t="str">
        <f aca="false">IF(C7902="","",C7902*IF(Settings!$B$23=Settings!$C$6,1,IF(Settings!$B$23="USD",1/INDEX(Settings!$B$29:$B$40,MONTH(A7902)),INDEX(Settings!$B$29:$B$40,MONTH(A7902)))))</f>
        <v/>
      </c>
    </row>
    <row r="7903" customFormat="false" ht="15" hidden="false" customHeight="false" outlineLevel="0" collapsed="false">
      <c r="H7903" s="0" t="str">
        <f aca="false">IF(B7903="","",IF(COUNTIF(Campaigns!$A$7:$A$300,B7903)&gt;0,"✓","⚠ add to Campaigns tab"))</f>
        <v/>
      </c>
      <c r="I7903" s="84" t="str">
        <f aca="false">IF(C7903="","",C7903*IF(Settings!$B$23=Settings!$C$6,1,IF(Settings!$B$23="USD",1/INDEX(Settings!$B$29:$B$40,MONTH(A7903)),INDEX(Settings!$B$29:$B$40,MONTH(A7903)))))</f>
        <v/>
      </c>
    </row>
    <row r="7904" customFormat="false" ht="15" hidden="false" customHeight="false" outlineLevel="0" collapsed="false">
      <c r="H7904" s="0" t="str">
        <f aca="false">IF(B7904="","",IF(COUNTIF(Campaigns!$A$7:$A$300,B7904)&gt;0,"✓","⚠ add to Campaigns tab"))</f>
        <v/>
      </c>
      <c r="I7904" s="84" t="str">
        <f aca="false">IF(C7904="","",C7904*IF(Settings!$B$23=Settings!$C$6,1,IF(Settings!$B$23="USD",1/INDEX(Settings!$B$29:$B$40,MONTH(A7904)),INDEX(Settings!$B$29:$B$40,MONTH(A7904)))))</f>
        <v/>
      </c>
    </row>
    <row r="7905" customFormat="false" ht="15" hidden="false" customHeight="false" outlineLevel="0" collapsed="false">
      <c r="H7905" s="0" t="str">
        <f aca="false">IF(B7905="","",IF(COUNTIF(Campaigns!$A$7:$A$300,B7905)&gt;0,"✓","⚠ add to Campaigns tab"))</f>
        <v/>
      </c>
      <c r="I7905" s="84" t="str">
        <f aca="false">IF(C7905="","",C7905*IF(Settings!$B$23=Settings!$C$6,1,IF(Settings!$B$23="USD",1/INDEX(Settings!$B$29:$B$40,MONTH(A7905)),INDEX(Settings!$B$29:$B$40,MONTH(A7905)))))</f>
        <v/>
      </c>
    </row>
    <row r="7906" customFormat="false" ht="15" hidden="false" customHeight="false" outlineLevel="0" collapsed="false">
      <c r="H7906" s="0" t="str">
        <f aca="false">IF(B7906="","",IF(COUNTIF(Campaigns!$A$7:$A$300,B7906)&gt;0,"✓","⚠ add to Campaigns tab"))</f>
        <v/>
      </c>
      <c r="I7906" s="84" t="str">
        <f aca="false">IF(C7906="","",C7906*IF(Settings!$B$23=Settings!$C$6,1,IF(Settings!$B$23="USD",1/INDEX(Settings!$B$29:$B$40,MONTH(A7906)),INDEX(Settings!$B$29:$B$40,MONTH(A7906)))))</f>
        <v/>
      </c>
    </row>
    <row r="7907" customFormat="false" ht="15" hidden="false" customHeight="false" outlineLevel="0" collapsed="false">
      <c r="H7907" s="0" t="str">
        <f aca="false">IF(B7907="","",IF(COUNTIF(Campaigns!$A$7:$A$300,B7907)&gt;0,"✓","⚠ add to Campaigns tab"))</f>
        <v/>
      </c>
      <c r="I7907" s="84" t="str">
        <f aca="false">IF(C7907="","",C7907*IF(Settings!$B$23=Settings!$C$6,1,IF(Settings!$B$23="USD",1/INDEX(Settings!$B$29:$B$40,MONTH(A7907)),INDEX(Settings!$B$29:$B$40,MONTH(A7907)))))</f>
        <v/>
      </c>
    </row>
    <row r="7908" customFormat="false" ht="15" hidden="false" customHeight="false" outlineLevel="0" collapsed="false">
      <c r="H7908" s="0" t="str">
        <f aca="false">IF(B7908="","",IF(COUNTIF(Campaigns!$A$7:$A$300,B7908)&gt;0,"✓","⚠ add to Campaigns tab"))</f>
        <v/>
      </c>
      <c r="I7908" s="84" t="str">
        <f aca="false">IF(C7908="","",C7908*IF(Settings!$B$23=Settings!$C$6,1,IF(Settings!$B$23="USD",1/INDEX(Settings!$B$29:$B$40,MONTH(A7908)),INDEX(Settings!$B$29:$B$40,MONTH(A7908)))))</f>
        <v/>
      </c>
    </row>
    <row r="7909" customFormat="false" ht="15" hidden="false" customHeight="false" outlineLevel="0" collapsed="false">
      <c r="H7909" s="0" t="str">
        <f aca="false">IF(B7909="","",IF(COUNTIF(Campaigns!$A$7:$A$300,B7909)&gt;0,"✓","⚠ add to Campaigns tab"))</f>
        <v/>
      </c>
      <c r="I7909" s="84" t="str">
        <f aca="false">IF(C7909="","",C7909*IF(Settings!$B$23=Settings!$C$6,1,IF(Settings!$B$23="USD",1/INDEX(Settings!$B$29:$B$40,MONTH(A7909)),INDEX(Settings!$B$29:$B$40,MONTH(A7909)))))</f>
        <v/>
      </c>
    </row>
    <row r="7910" customFormat="false" ht="15" hidden="false" customHeight="false" outlineLevel="0" collapsed="false">
      <c r="H7910" s="0" t="str">
        <f aca="false">IF(B7910="","",IF(COUNTIF(Campaigns!$A$7:$A$300,B7910)&gt;0,"✓","⚠ add to Campaigns tab"))</f>
        <v/>
      </c>
      <c r="I7910" s="84" t="str">
        <f aca="false">IF(C7910="","",C7910*IF(Settings!$B$23=Settings!$C$6,1,IF(Settings!$B$23="USD",1/INDEX(Settings!$B$29:$B$40,MONTH(A7910)),INDEX(Settings!$B$29:$B$40,MONTH(A7910)))))</f>
        <v/>
      </c>
    </row>
    <row r="7911" customFormat="false" ht="15" hidden="false" customHeight="false" outlineLevel="0" collapsed="false">
      <c r="H7911" s="0" t="str">
        <f aca="false">IF(B7911="","",IF(COUNTIF(Campaigns!$A$7:$A$300,B7911)&gt;0,"✓","⚠ add to Campaigns tab"))</f>
        <v/>
      </c>
      <c r="I7911" s="84" t="str">
        <f aca="false">IF(C7911="","",C7911*IF(Settings!$B$23=Settings!$C$6,1,IF(Settings!$B$23="USD",1/INDEX(Settings!$B$29:$B$40,MONTH(A7911)),INDEX(Settings!$B$29:$B$40,MONTH(A7911)))))</f>
        <v/>
      </c>
    </row>
    <row r="7912" customFormat="false" ht="15" hidden="false" customHeight="false" outlineLevel="0" collapsed="false">
      <c r="H7912" s="0" t="str">
        <f aca="false">IF(B7912="","",IF(COUNTIF(Campaigns!$A$7:$A$300,B7912)&gt;0,"✓","⚠ add to Campaigns tab"))</f>
        <v/>
      </c>
      <c r="I7912" s="84" t="str">
        <f aca="false">IF(C7912="","",C7912*IF(Settings!$B$23=Settings!$C$6,1,IF(Settings!$B$23="USD",1/INDEX(Settings!$B$29:$B$40,MONTH(A7912)),INDEX(Settings!$B$29:$B$40,MONTH(A7912)))))</f>
        <v/>
      </c>
    </row>
    <row r="7913" customFormat="false" ht="15" hidden="false" customHeight="false" outlineLevel="0" collapsed="false">
      <c r="H7913" s="0" t="str">
        <f aca="false">IF(B7913="","",IF(COUNTIF(Campaigns!$A$7:$A$300,B7913)&gt;0,"✓","⚠ add to Campaigns tab"))</f>
        <v/>
      </c>
      <c r="I7913" s="84" t="str">
        <f aca="false">IF(C7913="","",C7913*IF(Settings!$B$23=Settings!$C$6,1,IF(Settings!$B$23="USD",1/INDEX(Settings!$B$29:$B$40,MONTH(A7913)),INDEX(Settings!$B$29:$B$40,MONTH(A7913)))))</f>
        <v/>
      </c>
    </row>
    <row r="7914" customFormat="false" ht="15" hidden="false" customHeight="false" outlineLevel="0" collapsed="false">
      <c r="H7914" s="0" t="str">
        <f aca="false">IF(B7914="","",IF(COUNTIF(Campaigns!$A$7:$A$300,B7914)&gt;0,"✓","⚠ add to Campaigns tab"))</f>
        <v/>
      </c>
      <c r="I7914" s="84" t="str">
        <f aca="false">IF(C7914="","",C7914*IF(Settings!$B$23=Settings!$C$6,1,IF(Settings!$B$23="USD",1/INDEX(Settings!$B$29:$B$40,MONTH(A7914)),INDEX(Settings!$B$29:$B$40,MONTH(A7914)))))</f>
        <v/>
      </c>
    </row>
    <row r="7915" customFormat="false" ht="15" hidden="false" customHeight="false" outlineLevel="0" collapsed="false">
      <c r="H7915" s="0" t="str">
        <f aca="false">IF(B7915="","",IF(COUNTIF(Campaigns!$A$7:$A$300,B7915)&gt;0,"✓","⚠ add to Campaigns tab"))</f>
        <v/>
      </c>
      <c r="I7915" s="84" t="str">
        <f aca="false">IF(C7915="","",C7915*IF(Settings!$B$23=Settings!$C$6,1,IF(Settings!$B$23="USD",1/INDEX(Settings!$B$29:$B$40,MONTH(A7915)),INDEX(Settings!$B$29:$B$40,MONTH(A7915)))))</f>
        <v/>
      </c>
    </row>
    <row r="7916" customFormat="false" ht="15" hidden="false" customHeight="false" outlineLevel="0" collapsed="false">
      <c r="H7916" s="0" t="str">
        <f aca="false">IF(B7916="","",IF(COUNTIF(Campaigns!$A$7:$A$300,B7916)&gt;0,"✓","⚠ add to Campaigns tab"))</f>
        <v/>
      </c>
      <c r="I7916" s="84" t="str">
        <f aca="false">IF(C7916="","",C7916*IF(Settings!$B$23=Settings!$C$6,1,IF(Settings!$B$23="USD",1/INDEX(Settings!$B$29:$B$40,MONTH(A7916)),INDEX(Settings!$B$29:$B$40,MONTH(A7916)))))</f>
        <v/>
      </c>
    </row>
    <row r="7917" customFormat="false" ht="15" hidden="false" customHeight="false" outlineLevel="0" collapsed="false">
      <c r="H7917" s="0" t="str">
        <f aca="false">IF(B7917="","",IF(COUNTIF(Campaigns!$A$7:$A$300,B7917)&gt;0,"✓","⚠ add to Campaigns tab"))</f>
        <v/>
      </c>
      <c r="I7917" s="84" t="str">
        <f aca="false">IF(C7917="","",C7917*IF(Settings!$B$23=Settings!$C$6,1,IF(Settings!$B$23="USD",1/INDEX(Settings!$B$29:$B$40,MONTH(A7917)),INDEX(Settings!$B$29:$B$40,MONTH(A7917)))))</f>
        <v/>
      </c>
    </row>
    <row r="7918" customFormat="false" ht="15" hidden="false" customHeight="false" outlineLevel="0" collapsed="false">
      <c r="H7918" s="0" t="str">
        <f aca="false">IF(B7918="","",IF(COUNTIF(Campaigns!$A$7:$A$300,B7918)&gt;0,"✓","⚠ add to Campaigns tab"))</f>
        <v/>
      </c>
      <c r="I7918" s="84" t="str">
        <f aca="false">IF(C7918="","",C7918*IF(Settings!$B$23=Settings!$C$6,1,IF(Settings!$B$23="USD",1/INDEX(Settings!$B$29:$B$40,MONTH(A7918)),INDEX(Settings!$B$29:$B$40,MONTH(A7918)))))</f>
        <v/>
      </c>
    </row>
    <row r="7919" customFormat="false" ht="15" hidden="false" customHeight="false" outlineLevel="0" collapsed="false">
      <c r="H7919" s="0" t="str">
        <f aca="false">IF(B7919="","",IF(COUNTIF(Campaigns!$A$7:$A$300,B7919)&gt;0,"✓","⚠ add to Campaigns tab"))</f>
        <v/>
      </c>
      <c r="I7919" s="84" t="str">
        <f aca="false">IF(C7919="","",C7919*IF(Settings!$B$23=Settings!$C$6,1,IF(Settings!$B$23="USD",1/INDEX(Settings!$B$29:$B$40,MONTH(A7919)),INDEX(Settings!$B$29:$B$40,MONTH(A7919)))))</f>
        <v/>
      </c>
    </row>
    <row r="7920" customFormat="false" ht="15" hidden="false" customHeight="false" outlineLevel="0" collapsed="false">
      <c r="H7920" s="0" t="str">
        <f aca="false">IF(B7920="","",IF(COUNTIF(Campaigns!$A$7:$A$300,B7920)&gt;0,"✓","⚠ add to Campaigns tab"))</f>
        <v/>
      </c>
      <c r="I7920" s="84" t="str">
        <f aca="false">IF(C7920="","",C7920*IF(Settings!$B$23=Settings!$C$6,1,IF(Settings!$B$23="USD",1/INDEX(Settings!$B$29:$B$40,MONTH(A7920)),INDEX(Settings!$B$29:$B$40,MONTH(A7920)))))</f>
        <v/>
      </c>
    </row>
    <row r="7921" customFormat="false" ht="15" hidden="false" customHeight="false" outlineLevel="0" collapsed="false">
      <c r="H7921" s="0" t="str">
        <f aca="false">IF(B7921="","",IF(COUNTIF(Campaigns!$A$7:$A$300,B7921)&gt;0,"✓","⚠ add to Campaigns tab"))</f>
        <v/>
      </c>
      <c r="I7921" s="84" t="str">
        <f aca="false">IF(C7921="","",C7921*IF(Settings!$B$23=Settings!$C$6,1,IF(Settings!$B$23="USD",1/INDEX(Settings!$B$29:$B$40,MONTH(A7921)),INDEX(Settings!$B$29:$B$40,MONTH(A7921)))))</f>
        <v/>
      </c>
    </row>
    <row r="7922" customFormat="false" ht="15" hidden="false" customHeight="false" outlineLevel="0" collapsed="false">
      <c r="H7922" s="0" t="str">
        <f aca="false">IF(B7922="","",IF(COUNTIF(Campaigns!$A$7:$A$300,B7922)&gt;0,"✓","⚠ add to Campaigns tab"))</f>
        <v/>
      </c>
      <c r="I7922" s="84" t="str">
        <f aca="false">IF(C7922="","",C7922*IF(Settings!$B$23=Settings!$C$6,1,IF(Settings!$B$23="USD",1/INDEX(Settings!$B$29:$B$40,MONTH(A7922)),INDEX(Settings!$B$29:$B$40,MONTH(A7922)))))</f>
        <v/>
      </c>
    </row>
    <row r="7923" customFormat="false" ht="15" hidden="false" customHeight="false" outlineLevel="0" collapsed="false">
      <c r="H7923" s="0" t="str">
        <f aca="false">IF(B7923="","",IF(COUNTIF(Campaigns!$A$7:$A$300,B7923)&gt;0,"✓","⚠ add to Campaigns tab"))</f>
        <v/>
      </c>
      <c r="I7923" s="84" t="str">
        <f aca="false">IF(C7923="","",C7923*IF(Settings!$B$23=Settings!$C$6,1,IF(Settings!$B$23="USD",1/INDEX(Settings!$B$29:$B$40,MONTH(A7923)),INDEX(Settings!$B$29:$B$40,MONTH(A7923)))))</f>
        <v/>
      </c>
    </row>
    <row r="7924" customFormat="false" ht="15" hidden="false" customHeight="false" outlineLevel="0" collapsed="false">
      <c r="H7924" s="0" t="str">
        <f aca="false">IF(B7924="","",IF(COUNTIF(Campaigns!$A$7:$A$300,B7924)&gt;0,"✓","⚠ add to Campaigns tab"))</f>
        <v/>
      </c>
      <c r="I7924" s="84" t="str">
        <f aca="false">IF(C7924="","",C7924*IF(Settings!$B$23=Settings!$C$6,1,IF(Settings!$B$23="USD",1/INDEX(Settings!$B$29:$B$40,MONTH(A7924)),INDEX(Settings!$B$29:$B$40,MONTH(A7924)))))</f>
        <v/>
      </c>
    </row>
    <row r="7925" customFormat="false" ht="15" hidden="false" customHeight="false" outlineLevel="0" collapsed="false">
      <c r="H7925" s="0" t="str">
        <f aca="false">IF(B7925="","",IF(COUNTIF(Campaigns!$A$7:$A$300,B7925)&gt;0,"✓","⚠ add to Campaigns tab"))</f>
        <v/>
      </c>
      <c r="I7925" s="84" t="str">
        <f aca="false">IF(C7925="","",C7925*IF(Settings!$B$23=Settings!$C$6,1,IF(Settings!$B$23="USD",1/INDEX(Settings!$B$29:$B$40,MONTH(A7925)),INDEX(Settings!$B$29:$B$40,MONTH(A7925)))))</f>
        <v/>
      </c>
    </row>
    <row r="7926" customFormat="false" ht="15" hidden="false" customHeight="false" outlineLevel="0" collapsed="false">
      <c r="H7926" s="0" t="str">
        <f aca="false">IF(B7926="","",IF(COUNTIF(Campaigns!$A$7:$A$300,B7926)&gt;0,"✓","⚠ add to Campaigns tab"))</f>
        <v/>
      </c>
      <c r="I7926" s="84" t="str">
        <f aca="false">IF(C7926="","",C7926*IF(Settings!$B$23=Settings!$C$6,1,IF(Settings!$B$23="USD",1/INDEX(Settings!$B$29:$B$40,MONTH(A7926)),INDEX(Settings!$B$29:$B$40,MONTH(A7926)))))</f>
        <v/>
      </c>
    </row>
    <row r="7927" customFormat="false" ht="15" hidden="false" customHeight="false" outlineLevel="0" collapsed="false">
      <c r="H7927" s="0" t="str">
        <f aca="false">IF(B7927="","",IF(COUNTIF(Campaigns!$A$7:$A$300,B7927)&gt;0,"✓","⚠ add to Campaigns tab"))</f>
        <v/>
      </c>
      <c r="I7927" s="84" t="str">
        <f aca="false">IF(C7927="","",C7927*IF(Settings!$B$23=Settings!$C$6,1,IF(Settings!$B$23="USD",1/INDEX(Settings!$B$29:$B$40,MONTH(A7927)),INDEX(Settings!$B$29:$B$40,MONTH(A7927)))))</f>
        <v/>
      </c>
    </row>
    <row r="7928" customFormat="false" ht="15" hidden="false" customHeight="false" outlineLevel="0" collapsed="false">
      <c r="H7928" s="0" t="str">
        <f aca="false">IF(B7928="","",IF(COUNTIF(Campaigns!$A$7:$A$300,B7928)&gt;0,"✓","⚠ add to Campaigns tab"))</f>
        <v/>
      </c>
      <c r="I7928" s="84" t="str">
        <f aca="false">IF(C7928="","",C7928*IF(Settings!$B$23=Settings!$C$6,1,IF(Settings!$B$23="USD",1/INDEX(Settings!$B$29:$B$40,MONTH(A7928)),INDEX(Settings!$B$29:$B$40,MONTH(A7928)))))</f>
        <v/>
      </c>
    </row>
    <row r="7929" customFormat="false" ht="15" hidden="false" customHeight="false" outlineLevel="0" collapsed="false">
      <c r="H7929" s="0" t="str">
        <f aca="false">IF(B7929="","",IF(COUNTIF(Campaigns!$A$7:$A$300,B7929)&gt;0,"✓","⚠ add to Campaigns tab"))</f>
        <v/>
      </c>
      <c r="I7929" s="84" t="str">
        <f aca="false">IF(C7929="","",C7929*IF(Settings!$B$23=Settings!$C$6,1,IF(Settings!$B$23="USD",1/INDEX(Settings!$B$29:$B$40,MONTH(A7929)),INDEX(Settings!$B$29:$B$40,MONTH(A7929)))))</f>
        <v/>
      </c>
    </row>
    <row r="7930" customFormat="false" ht="15" hidden="false" customHeight="false" outlineLevel="0" collapsed="false">
      <c r="H7930" s="0" t="str">
        <f aca="false">IF(B7930="","",IF(COUNTIF(Campaigns!$A$7:$A$300,B7930)&gt;0,"✓","⚠ add to Campaigns tab"))</f>
        <v/>
      </c>
      <c r="I7930" s="84" t="str">
        <f aca="false">IF(C7930="","",C7930*IF(Settings!$B$23=Settings!$C$6,1,IF(Settings!$B$23="USD",1/INDEX(Settings!$B$29:$B$40,MONTH(A7930)),INDEX(Settings!$B$29:$B$40,MONTH(A7930)))))</f>
        <v/>
      </c>
    </row>
    <row r="7931" customFormat="false" ht="15" hidden="false" customHeight="false" outlineLevel="0" collapsed="false">
      <c r="H7931" s="0" t="str">
        <f aca="false">IF(B7931="","",IF(COUNTIF(Campaigns!$A$7:$A$300,B7931)&gt;0,"✓","⚠ add to Campaigns tab"))</f>
        <v/>
      </c>
      <c r="I7931" s="84" t="str">
        <f aca="false">IF(C7931="","",C7931*IF(Settings!$B$23=Settings!$C$6,1,IF(Settings!$B$23="USD",1/INDEX(Settings!$B$29:$B$40,MONTH(A7931)),INDEX(Settings!$B$29:$B$40,MONTH(A7931)))))</f>
        <v/>
      </c>
    </row>
    <row r="7932" customFormat="false" ht="15" hidden="false" customHeight="false" outlineLevel="0" collapsed="false">
      <c r="H7932" s="0" t="str">
        <f aca="false">IF(B7932="","",IF(COUNTIF(Campaigns!$A$7:$A$300,B7932)&gt;0,"✓","⚠ add to Campaigns tab"))</f>
        <v/>
      </c>
      <c r="I7932" s="84" t="str">
        <f aca="false">IF(C7932="","",C7932*IF(Settings!$B$23=Settings!$C$6,1,IF(Settings!$B$23="USD",1/INDEX(Settings!$B$29:$B$40,MONTH(A7932)),INDEX(Settings!$B$29:$B$40,MONTH(A7932)))))</f>
        <v/>
      </c>
    </row>
    <row r="7933" customFormat="false" ht="15" hidden="false" customHeight="false" outlineLevel="0" collapsed="false">
      <c r="H7933" s="0" t="str">
        <f aca="false">IF(B7933="","",IF(COUNTIF(Campaigns!$A$7:$A$300,B7933)&gt;0,"✓","⚠ add to Campaigns tab"))</f>
        <v/>
      </c>
      <c r="I7933" s="84" t="str">
        <f aca="false">IF(C7933="","",C7933*IF(Settings!$B$23=Settings!$C$6,1,IF(Settings!$B$23="USD",1/INDEX(Settings!$B$29:$B$40,MONTH(A7933)),INDEX(Settings!$B$29:$B$40,MONTH(A7933)))))</f>
        <v/>
      </c>
    </row>
    <row r="7934" customFormat="false" ht="15" hidden="false" customHeight="false" outlineLevel="0" collapsed="false">
      <c r="H7934" s="0" t="str">
        <f aca="false">IF(B7934="","",IF(COUNTIF(Campaigns!$A$7:$A$300,B7934)&gt;0,"✓","⚠ add to Campaigns tab"))</f>
        <v/>
      </c>
      <c r="I7934" s="84" t="str">
        <f aca="false">IF(C7934="","",C7934*IF(Settings!$B$23=Settings!$C$6,1,IF(Settings!$B$23="USD",1/INDEX(Settings!$B$29:$B$40,MONTH(A7934)),INDEX(Settings!$B$29:$B$40,MONTH(A7934)))))</f>
        <v/>
      </c>
    </row>
    <row r="7935" customFormat="false" ht="15" hidden="false" customHeight="false" outlineLevel="0" collapsed="false">
      <c r="H7935" s="0" t="str">
        <f aca="false">IF(B7935="","",IF(COUNTIF(Campaigns!$A$7:$A$300,B7935)&gt;0,"✓","⚠ add to Campaigns tab"))</f>
        <v/>
      </c>
      <c r="I7935" s="84" t="str">
        <f aca="false">IF(C7935="","",C7935*IF(Settings!$B$23=Settings!$C$6,1,IF(Settings!$B$23="USD",1/INDEX(Settings!$B$29:$B$40,MONTH(A7935)),INDEX(Settings!$B$29:$B$40,MONTH(A7935)))))</f>
        <v/>
      </c>
    </row>
    <row r="7936" customFormat="false" ht="15" hidden="false" customHeight="false" outlineLevel="0" collapsed="false">
      <c r="H7936" s="0" t="str">
        <f aca="false">IF(B7936="","",IF(COUNTIF(Campaigns!$A$7:$A$300,B7936)&gt;0,"✓","⚠ add to Campaigns tab"))</f>
        <v/>
      </c>
      <c r="I7936" s="84" t="str">
        <f aca="false">IF(C7936="","",C7936*IF(Settings!$B$23=Settings!$C$6,1,IF(Settings!$B$23="USD",1/INDEX(Settings!$B$29:$B$40,MONTH(A7936)),INDEX(Settings!$B$29:$B$40,MONTH(A7936)))))</f>
        <v/>
      </c>
    </row>
    <row r="7937" customFormat="false" ht="15" hidden="false" customHeight="false" outlineLevel="0" collapsed="false">
      <c r="H7937" s="0" t="str">
        <f aca="false">IF(B7937="","",IF(COUNTIF(Campaigns!$A$7:$A$300,B7937)&gt;0,"✓","⚠ add to Campaigns tab"))</f>
        <v/>
      </c>
      <c r="I7937" s="84" t="str">
        <f aca="false">IF(C7937="","",C7937*IF(Settings!$B$23=Settings!$C$6,1,IF(Settings!$B$23="USD",1/INDEX(Settings!$B$29:$B$40,MONTH(A7937)),INDEX(Settings!$B$29:$B$40,MONTH(A7937)))))</f>
        <v/>
      </c>
    </row>
    <row r="7938" customFormat="false" ht="15" hidden="false" customHeight="false" outlineLevel="0" collapsed="false">
      <c r="H7938" s="0" t="str">
        <f aca="false">IF(B7938="","",IF(COUNTIF(Campaigns!$A$7:$A$300,B7938)&gt;0,"✓","⚠ add to Campaigns tab"))</f>
        <v/>
      </c>
      <c r="I7938" s="84" t="str">
        <f aca="false">IF(C7938="","",C7938*IF(Settings!$B$23=Settings!$C$6,1,IF(Settings!$B$23="USD",1/INDEX(Settings!$B$29:$B$40,MONTH(A7938)),INDEX(Settings!$B$29:$B$40,MONTH(A7938)))))</f>
        <v/>
      </c>
    </row>
    <row r="7939" customFormat="false" ht="15" hidden="false" customHeight="false" outlineLevel="0" collapsed="false">
      <c r="H7939" s="0" t="str">
        <f aca="false">IF(B7939="","",IF(COUNTIF(Campaigns!$A$7:$A$300,B7939)&gt;0,"✓","⚠ add to Campaigns tab"))</f>
        <v/>
      </c>
      <c r="I7939" s="84" t="str">
        <f aca="false">IF(C7939="","",C7939*IF(Settings!$B$23=Settings!$C$6,1,IF(Settings!$B$23="USD",1/INDEX(Settings!$B$29:$B$40,MONTH(A7939)),INDEX(Settings!$B$29:$B$40,MONTH(A7939)))))</f>
        <v/>
      </c>
    </row>
    <row r="7940" customFormat="false" ht="15" hidden="false" customHeight="false" outlineLevel="0" collapsed="false">
      <c r="H7940" s="0" t="str">
        <f aca="false">IF(B7940="","",IF(COUNTIF(Campaigns!$A$7:$A$300,B7940)&gt;0,"✓","⚠ add to Campaigns tab"))</f>
        <v/>
      </c>
      <c r="I7940" s="84" t="str">
        <f aca="false">IF(C7940="","",C7940*IF(Settings!$B$23=Settings!$C$6,1,IF(Settings!$B$23="USD",1/INDEX(Settings!$B$29:$B$40,MONTH(A7940)),INDEX(Settings!$B$29:$B$40,MONTH(A7940)))))</f>
        <v/>
      </c>
    </row>
    <row r="7941" customFormat="false" ht="15" hidden="false" customHeight="false" outlineLevel="0" collapsed="false">
      <c r="H7941" s="0" t="str">
        <f aca="false">IF(B7941="","",IF(COUNTIF(Campaigns!$A$7:$A$300,B7941)&gt;0,"✓","⚠ add to Campaigns tab"))</f>
        <v/>
      </c>
      <c r="I7941" s="84" t="str">
        <f aca="false">IF(C7941="","",C7941*IF(Settings!$B$23=Settings!$C$6,1,IF(Settings!$B$23="USD",1/INDEX(Settings!$B$29:$B$40,MONTH(A7941)),INDEX(Settings!$B$29:$B$40,MONTH(A7941)))))</f>
        <v/>
      </c>
    </row>
    <row r="7942" customFormat="false" ht="15" hidden="false" customHeight="false" outlineLevel="0" collapsed="false">
      <c r="H7942" s="0" t="str">
        <f aca="false">IF(B7942="","",IF(COUNTIF(Campaigns!$A$7:$A$300,B7942)&gt;0,"✓","⚠ add to Campaigns tab"))</f>
        <v/>
      </c>
      <c r="I7942" s="84" t="str">
        <f aca="false">IF(C7942="","",C7942*IF(Settings!$B$23=Settings!$C$6,1,IF(Settings!$B$23="USD",1/INDEX(Settings!$B$29:$B$40,MONTH(A7942)),INDEX(Settings!$B$29:$B$40,MONTH(A7942)))))</f>
        <v/>
      </c>
    </row>
    <row r="7943" customFormat="false" ht="15" hidden="false" customHeight="false" outlineLevel="0" collapsed="false">
      <c r="H7943" s="0" t="str">
        <f aca="false">IF(B7943="","",IF(COUNTIF(Campaigns!$A$7:$A$300,B7943)&gt;0,"✓","⚠ add to Campaigns tab"))</f>
        <v/>
      </c>
      <c r="I7943" s="84" t="str">
        <f aca="false">IF(C7943="","",C7943*IF(Settings!$B$23=Settings!$C$6,1,IF(Settings!$B$23="USD",1/INDEX(Settings!$B$29:$B$40,MONTH(A7943)),INDEX(Settings!$B$29:$B$40,MONTH(A7943)))))</f>
        <v/>
      </c>
    </row>
    <row r="7944" customFormat="false" ht="15" hidden="false" customHeight="false" outlineLevel="0" collapsed="false">
      <c r="H7944" s="0" t="str">
        <f aca="false">IF(B7944="","",IF(COUNTIF(Campaigns!$A$7:$A$300,B7944)&gt;0,"✓","⚠ add to Campaigns tab"))</f>
        <v/>
      </c>
      <c r="I7944" s="84" t="str">
        <f aca="false">IF(C7944="","",C7944*IF(Settings!$B$23=Settings!$C$6,1,IF(Settings!$B$23="USD",1/INDEX(Settings!$B$29:$B$40,MONTH(A7944)),INDEX(Settings!$B$29:$B$40,MONTH(A7944)))))</f>
        <v/>
      </c>
    </row>
    <row r="7945" customFormat="false" ht="15" hidden="false" customHeight="false" outlineLevel="0" collapsed="false">
      <c r="H7945" s="0" t="str">
        <f aca="false">IF(B7945="","",IF(COUNTIF(Campaigns!$A$7:$A$300,B7945)&gt;0,"✓","⚠ add to Campaigns tab"))</f>
        <v/>
      </c>
      <c r="I7945" s="84" t="str">
        <f aca="false">IF(C7945="","",C7945*IF(Settings!$B$23=Settings!$C$6,1,IF(Settings!$B$23="USD",1/INDEX(Settings!$B$29:$B$40,MONTH(A7945)),INDEX(Settings!$B$29:$B$40,MONTH(A7945)))))</f>
        <v/>
      </c>
    </row>
    <row r="7946" customFormat="false" ht="15" hidden="false" customHeight="false" outlineLevel="0" collapsed="false">
      <c r="H7946" s="0" t="str">
        <f aca="false">IF(B7946="","",IF(COUNTIF(Campaigns!$A$7:$A$300,B7946)&gt;0,"✓","⚠ add to Campaigns tab"))</f>
        <v/>
      </c>
      <c r="I7946" s="84" t="str">
        <f aca="false">IF(C7946="","",C7946*IF(Settings!$B$23=Settings!$C$6,1,IF(Settings!$B$23="USD",1/INDEX(Settings!$B$29:$B$40,MONTH(A7946)),INDEX(Settings!$B$29:$B$40,MONTH(A7946)))))</f>
        <v/>
      </c>
    </row>
    <row r="7947" customFormat="false" ht="15" hidden="false" customHeight="false" outlineLevel="0" collapsed="false">
      <c r="H7947" s="0" t="str">
        <f aca="false">IF(B7947="","",IF(COUNTIF(Campaigns!$A$7:$A$300,B7947)&gt;0,"✓","⚠ add to Campaigns tab"))</f>
        <v/>
      </c>
      <c r="I7947" s="84" t="str">
        <f aca="false">IF(C7947="","",C7947*IF(Settings!$B$23=Settings!$C$6,1,IF(Settings!$B$23="USD",1/INDEX(Settings!$B$29:$B$40,MONTH(A7947)),INDEX(Settings!$B$29:$B$40,MONTH(A7947)))))</f>
        <v/>
      </c>
    </row>
    <row r="7948" customFormat="false" ht="15" hidden="false" customHeight="false" outlineLevel="0" collapsed="false">
      <c r="H7948" s="0" t="str">
        <f aca="false">IF(B7948="","",IF(COUNTIF(Campaigns!$A$7:$A$300,B7948)&gt;0,"✓","⚠ add to Campaigns tab"))</f>
        <v/>
      </c>
      <c r="I7948" s="84" t="str">
        <f aca="false">IF(C7948="","",C7948*IF(Settings!$B$23=Settings!$C$6,1,IF(Settings!$B$23="USD",1/INDEX(Settings!$B$29:$B$40,MONTH(A7948)),INDEX(Settings!$B$29:$B$40,MONTH(A7948)))))</f>
        <v/>
      </c>
    </row>
    <row r="7949" customFormat="false" ht="15" hidden="false" customHeight="false" outlineLevel="0" collapsed="false">
      <c r="H7949" s="0" t="str">
        <f aca="false">IF(B7949="","",IF(COUNTIF(Campaigns!$A$7:$A$300,B7949)&gt;0,"✓","⚠ add to Campaigns tab"))</f>
        <v/>
      </c>
      <c r="I7949" s="84" t="str">
        <f aca="false">IF(C7949="","",C7949*IF(Settings!$B$23=Settings!$C$6,1,IF(Settings!$B$23="USD",1/INDEX(Settings!$B$29:$B$40,MONTH(A7949)),INDEX(Settings!$B$29:$B$40,MONTH(A7949)))))</f>
        <v/>
      </c>
    </row>
    <row r="7950" customFormat="false" ht="15" hidden="false" customHeight="false" outlineLevel="0" collapsed="false">
      <c r="H7950" s="0" t="str">
        <f aca="false">IF(B7950="","",IF(COUNTIF(Campaigns!$A$7:$A$300,B7950)&gt;0,"✓","⚠ add to Campaigns tab"))</f>
        <v/>
      </c>
      <c r="I7950" s="84" t="str">
        <f aca="false">IF(C7950="","",C7950*IF(Settings!$B$23=Settings!$C$6,1,IF(Settings!$B$23="USD",1/INDEX(Settings!$B$29:$B$40,MONTH(A7950)),INDEX(Settings!$B$29:$B$40,MONTH(A7950)))))</f>
        <v/>
      </c>
    </row>
    <row r="7951" customFormat="false" ht="15" hidden="false" customHeight="false" outlineLevel="0" collapsed="false">
      <c r="H7951" s="0" t="str">
        <f aca="false">IF(B7951="","",IF(COUNTIF(Campaigns!$A$7:$A$300,B7951)&gt;0,"✓","⚠ add to Campaigns tab"))</f>
        <v/>
      </c>
      <c r="I7951" s="84" t="str">
        <f aca="false">IF(C7951="","",C7951*IF(Settings!$B$23=Settings!$C$6,1,IF(Settings!$B$23="USD",1/INDEX(Settings!$B$29:$B$40,MONTH(A7951)),INDEX(Settings!$B$29:$B$40,MONTH(A7951)))))</f>
        <v/>
      </c>
    </row>
    <row r="7952" customFormat="false" ht="15" hidden="false" customHeight="false" outlineLevel="0" collapsed="false">
      <c r="H7952" s="0" t="str">
        <f aca="false">IF(B7952="","",IF(COUNTIF(Campaigns!$A$7:$A$300,B7952)&gt;0,"✓","⚠ add to Campaigns tab"))</f>
        <v/>
      </c>
      <c r="I7952" s="84" t="str">
        <f aca="false">IF(C7952="","",C7952*IF(Settings!$B$23=Settings!$C$6,1,IF(Settings!$B$23="USD",1/INDEX(Settings!$B$29:$B$40,MONTH(A7952)),INDEX(Settings!$B$29:$B$40,MONTH(A7952)))))</f>
        <v/>
      </c>
    </row>
    <row r="7953" customFormat="false" ht="15" hidden="false" customHeight="false" outlineLevel="0" collapsed="false">
      <c r="H7953" s="0" t="str">
        <f aca="false">IF(B7953="","",IF(COUNTIF(Campaigns!$A$7:$A$300,B7953)&gt;0,"✓","⚠ add to Campaigns tab"))</f>
        <v/>
      </c>
      <c r="I7953" s="84" t="str">
        <f aca="false">IF(C7953="","",C7953*IF(Settings!$B$23=Settings!$C$6,1,IF(Settings!$B$23="USD",1/INDEX(Settings!$B$29:$B$40,MONTH(A7953)),INDEX(Settings!$B$29:$B$40,MONTH(A7953)))))</f>
        <v/>
      </c>
    </row>
    <row r="7954" customFormat="false" ht="15" hidden="false" customHeight="false" outlineLevel="0" collapsed="false">
      <c r="H7954" s="0" t="str">
        <f aca="false">IF(B7954="","",IF(COUNTIF(Campaigns!$A$7:$A$300,B7954)&gt;0,"✓","⚠ add to Campaigns tab"))</f>
        <v/>
      </c>
      <c r="I7954" s="84" t="str">
        <f aca="false">IF(C7954="","",C7954*IF(Settings!$B$23=Settings!$C$6,1,IF(Settings!$B$23="USD",1/INDEX(Settings!$B$29:$B$40,MONTH(A7954)),INDEX(Settings!$B$29:$B$40,MONTH(A7954)))))</f>
        <v/>
      </c>
    </row>
    <row r="7955" customFormat="false" ht="15" hidden="false" customHeight="false" outlineLevel="0" collapsed="false">
      <c r="H7955" s="0" t="str">
        <f aca="false">IF(B7955="","",IF(COUNTIF(Campaigns!$A$7:$A$300,B7955)&gt;0,"✓","⚠ add to Campaigns tab"))</f>
        <v/>
      </c>
      <c r="I7955" s="84" t="str">
        <f aca="false">IF(C7955="","",C7955*IF(Settings!$B$23=Settings!$C$6,1,IF(Settings!$B$23="USD",1/INDEX(Settings!$B$29:$B$40,MONTH(A7955)),INDEX(Settings!$B$29:$B$40,MONTH(A7955)))))</f>
        <v/>
      </c>
    </row>
    <row r="7956" customFormat="false" ht="15" hidden="false" customHeight="false" outlineLevel="0" collapsed="false">
      <c r="H7956" s="0" t="str">
        <f aca="false">IF(B7956="","",IF(COUNTIF(Campaigns!$A$7:$A$300,B7956)&gt;0,"✓","⚠ add to Campaigns tab"))</f>
        <v/>
      </c>
      <c r="I7956" s="84" t="str">
        <f aca="false">IF(C7956="","",C7956*IF(Settings!$B$23=Settings!$C$6,1,IF(Settings!$B$23="USD",1/INDEX(Settings!$B$29:$B$40,MONTH(A7956)),INDEX(Settings!$B$29:$B$40,MONTH(A7956)))))</f>
        <v/>
      </c>
    </row>
    <row r="7957" customFormat="false" ht="15" hidden="false" customHeight="false" outlineLevel="0" collapsed="false">
      <c r="H7957" s="0" t="str">
        <f aca="false">IF(B7957="","",IF(COUNTIF(Campaigns!$A$7:$A$300,B7957)&gt;0,"✓","⚠ add to Campaigns tab"))</f>
        <v/>
      </c>
      <c r="I7957" s="84" t="str">
        <f aca="false">IF(C7957="","",C7957*IF(Settings!$B$23=Settings!$C$6,1,IF(Settings!$B$23="USD",1/INDEX(Settings!$B$29:$B$40,MONTH(A7957)),INDEX(Settings!$B$29:$B$40,MONTH(A7957)))))</f>
        <v/>
      </c>
    </row>
    <row r="7958" customFormat="false" ht="15" hidden="false" customHeight="false" outlineLevel="0" collapsed="false">
      <c r="H7958" s="0" t="str">
        <f aca="false">IF(B7958="","",IF(COUNTIF(Campaigns!$A$7:$A$300,B7958)&gt;0,"✓","⚠ add to Campaigns tab"))</f>
        <v/>
      </c>
      <c r="I7958" s="84" t="str">
        <f aca="false">IF(C7958="","",C7958*IF(Settings!$B$23=Settings!$C$6,1,IF(Settings!$B$23="USD",1/INDEX(Settings!$B$29:$B$40,MONTH(A7958)),INDEX(Settings!$B$29:$B$40,MONTH(A7958)))))</f>
        <v/>
      </c>
    </row>
    <row r="7959" customFormat="false" ht="15" hidden="false" customHeight="false" outlineLevel="0" collapsed="false">
      <c r="H7959" s="0" t="str">
        <f aca="false">IF(B7959="","",IF(COUNTIF(Campaigns!$A$7:$A$300,B7959)&gt;0,"✓","⚠ add to Campaigns tab"))</f>
        <v/>
      </c>
      <c r="I7959" s="84" t="str">
        <f aca="false">IF(C7959="","",C7959*IF(Settings!$B$23=Settings!$C$6,1,IF(Settings!$B$23="USD",1/INDEX(Settings!$B$29:$B$40,MONTH(A7959)),INDEX(Settings!$B$29:$B$40,MONTH(A7959)))))</f>
        <v/>
      </c>
    </row>
    <row r="7960" customFormat="false" ht="15" hidden="false" customHeight="false" outlineLevel="0" collapsed="false">
      <c r="H7960" s="0" t="str">
        <f aca="false">IF(B7960="","",IF(COUNTIF(Campaigns!$A$7:$A$300,B7960)&gt;0,"✓","⚠ add to Campaigns tab"))</f>
        <v/>
      </c>
      <c r="I7960" s="84" t="str">
        <f aca="false">IF(C7960="","",C7960*IF(Settings!$B$23=Settings!$C$6,1,IF(Settings!$B$23="USD",1/INDEX(Settings!$B$29:$B$40,MONTH(A7960)),INDEX(Settings!$B$29:$B$40,MONTH(A7960)))))</f>
        <v/>
      </c>
    </row>
    <row r="7961" customFormat="false" ht="15" hidden="false" customHeight="false" outlineLevel="0" collapsed="false">
      <c r="H7961" s="0" t="str">
        <f aca="false">IF(B7961="","",IF(COUNTIF(Campaigns!$A$7:$A$300,B7961)&gt;0,"✓","⚠ add to Campaigns tab"))</f>
        <v/>
      </c>
      <c r="I7961" s="84" t="str">
        <f aca="false">IF(C7961="","",C7961*IF(Settings!$B$23=Settings!$C$6,1,IF(Settings!$B$23="USD",1/INDEX(Settings!$B$29:$B$40,MONTH(A7961)),INDEX(Settings!$B$29:$B$40,MONTH(A7961)))))</f>
        <v/>
      </c>
    </row>
    <row r="7962" customFormat="false" ht="15" hidden="false" customHeight="false" outlineLevel="0" collapsed="false">
      <c r="H7962" s="0" t="str">
        <f aca="false">IF(B7962="","",IF(COUNTIF(Campaigns!$A$7:$A$300,B7962)&gt;0,"✓","⚠ add to Campaigns tab"))</f>
        <v/>
      </c>
      <c r="I7962" s="84" t="str">
        <f aca="false">IF(C7962="","",C7962*IF(Settings!$B$23=Settings!$C$6,1,IF(Settings!$B$23="USD",1/INDEX(Settings!$B$29:$B$40,MONTH(A7962)),INDEX(Settings!$B$29:$B$40,MONTH(A7962)))))</f>
        <v/>
      </c>
    </row>
    <row r="7963" customFormat="false" ht="15" hidden="false" customHeight="false" outlineLevel="0" collapsed="false">
      <c r="H7963" s="0" t="str">
        <f aca="false">IF(B7963="","",IF(COUNTIF(Campaigns!$A$7:$A$300,B7963)&gt;0,"✓","⚠ add to Campaigns tab"))</f>
        <v/>
      </c>
      <c r="I7963" s="84" t="str">
        <f aca="false">IF(C7963="","",C7963*IF(Settings!$B$23=Settings!$C$6,1,IF(Settings!$B$23="USD",1/INDEX(Settings!$B$29:$B$40,MONTH(A7963)),INDEX(Settings!$B$29:$B$40,MONTH(A7963)))))</f>
        <v/>
      </c>
    </row>
    <row r="7964" customFormat="false" ht="15" hidden="false" customHeight="false" outlineLevel="0" collapsed="false">
      <c r="H7964" s="0" t="str">
        <f aca="false">IF(B7964="","",IF(COUNTIF(Campaigns!$A$7:$A$300,B7964)&gt;0,"✓","⚠ add to Campaigns tab"))</f>
        <v/>
      </c>
      <c r="I7964" s="84" t="str">
        <f aca="false">IF(C7964="","",C7964*IF(Settings!$B$23=Settings!$C$6,1,IF(Settings!$B$23="USD",1/INDEX(Settings!$B$29:$B$40,MONTH(A7964)),INDEX(Settings!$B$29:$B$40,MONTH(A7964)))))</f>
        <v/>
      </c>
    </row>
    <row r="7965" customFormat="false" ht="15" hidden="false" customHeight="false" outlineLevel="0" collapsed="false">
      <c r="H7965" s="0" t="str">
        <f aca="false">IF(B7965="","",IF(COUNTIF(Campaigns!$A$7:$A$300,B7965)&gt;0,"✓","⚠ add to Campaigns tab"))</f>
        <v/>
      </c>
      <c r="I7965" s="84" t="str">
        <f aca="false">IF(C7965="","",C7965*IF(Settings!$B$23=Settings!$C$6,1,IF(Settings!$B$23="USD",1/INDEX(Settings!$B$29:$B$40,MONTH(A7965)),INDEX(Settings!$B$29:$B$40,MONTH(A7965)))))</f>
        <v/>
      </c>
    </row>
    <row r="7966" customFormat="false" ht="15" hidden="false" customHeight="false" outlineLevel="0" collapsed="false">
      <c r="H7966" s="0" t="str">
        <f aca="false">IF(B7966="","",IF(COUNTIF(Campaigns!$A$7:$A$300,B7966)&gt;0,"✓","⚠ add to Campaigns tab"))</f>
        <v/>
      </c>
      <c r="I7966" s="84" t="str">
        <f aca="false">IF(C7966="","",C7966*IF(Settings!$B$23=Settings!$C$6,1,IF(Settings!$B$23="USD",1/INDEX(Settings!$B$29:$B$40,MONTH(A7966)),INDEX(Settings!$B$29:$B$40,MONTH(A7966)))))</f>
        <v/>
      </c>
    </row>
    <row r="7967" customFormat="false" ht="15" hidden="false" customHeight="false" outlineLevel="0" collapsed="false">
      <c r="H7967" s="0" t="str">
        <f aca="false">IF(B7967="","",IF(COUNTIF(Campaigns!$A$7:$A$300,B7967)&gt;0,"✓","⚠ add to Campaigns tab"))</f>
        <v/>
      </c>
      <c r="I7967" s="84" t="str">
        <f aca="false">IF(C7967="","",C7967*IF(Settings!$B$23=Settings!$C$6,1,IF(Settings!$B$23="USD",1/INDEX(Settings!$B$29:$B$40,MONTH(A7967)),INDEX(Settings!$B$29:$B$40,MONTH(A7967)))))</f>
        <v/>
      </c>
    </row>
    <row r="7968" customFormat="false" ht="15" hidden="false" customHeight="false" outlineLevel="0" collapsed="false">
      <c r="H7968" s="0" t="str">
        <f aca="false">IF(B7968="","",IF(COUNTIF(Campaigns!$A$7:$A$300,B7968)&gt;0,"✓","⚠ add to Campaigns tab"))</f>
        <v/>
      </c>
      <c r="I7968" s="84" t="str">
        <f aca="false">IF(C7968="","",C7968*IF(Settings!$B$23=Settings!$C$6,1,IF(Settings!$B$23="USD",1/INDEX(Settings!$B$29:$B$40,MONTH(A7968)),INDEX(Settings!$B$29:$B$40,MONTH(A7968)))))</f>
        <v/>
      </c>
    </row>
    <row r="7969" customFormat="false" ht="15" hidden="false" customHeight="false" outlineLevel="0" collapsed="false">
      <c r="H7969" s="0" t="str">
        <f aca="false">IF(B7969="","",IF(COUNTIF(Campaigns!$A$7:$A$300,B7969)&gt;0,"✓","⚠ add to Campaigns tab"))</f>
        <v/>
      </c>
      <c r="I7969" s="84" t="str">
        <f aca="false">IF(C7969="","",C7969*IF(Settings!$B$23=Settings!$C$6,1,IF(Settings!$B$23="USD",1/INDEX(Settings!$B$29:$B$40,MONTH(A7969)),INDEX(Settings!$B$29:$B$40,MONTH(A7969)))))</f>
        <v/>
      </c>
    </row>
    <row r="7970" customFormat="false" ht="15" hidden="false" customHeight="false" outlineLevel="0" collapsed="false">
      <c r="H7970" s="0" t="str">
        <f aca="false">IF(B7970="","",IF(COUNTIF(Campaigns!$A$7:$A$300,B7970)&gt;0,"✓","⚠ add to Campaigns tab"))</f>
        <v/>
      </c>
      <c r="I7970" s="84" t="str">
        <f aca="false">IF(C7970="","",C7970*IF(Settings!$B$23=Settings!$C$6,1,IF(Settings!$B$23="USD",1/INDEX(Settings!$B$29:$B$40,MONTH(A7970)),INDEX(Settings!$B$29:$B$40,MONTH(A7970)))))</f>
        <v/>
      </c>
    </row>
    <row r="7971" customFormat="false" ht="15" hidden="false" customHeight="false" outlineLevel="0" collapsed="false">
      <c r="H7971" s="0" t="str">
        <f aca="false">IF(B7971="","",IF(COUNTIF(Campaigns!$A$7:$A$300,B7971)&gt;0,"✓","⚠ add to Campaigns tab"))</f>
        <v/>
      </c>
      <c r="I7971" s="84" t="str">
        <f aca="false">IF(C7971="","",C7971*IF(Settings!$B$23=Settings!$C$6,1,IF(Settings!$B$23="USD",1/INDEX(Settings!$B$29:$B$40,MONTH(A7971)),INDEX(Settings!$B$29:$B$40,MONTH(A7971)))))</f>
        <v/>
      </c>
    </row>
    <row r="7972" customFormat="false" ht="15" hidden="false" customHeight="false" outlineLevel="0" collapsed="false">
      <c r="H7972" s="0" t="str">
        <f aca="false">IF(B7972="","",IF(COUNTIF(Campaigns!$A$7:$A$300,B7972)&gt;0,"✓","⚠ add to Campaigns tab"))</f>
        <v/>
      </c>
      <c r="I7972" s="84" t="str">
        <f aca="false">IF(C7972="","",C7972*IF(Settings!$B$23=Settings!$C$6,1,IF(Settings!$B$23="USD",1/INDEX(Settings!$B$29:$B$40,MONTH(A7972)),INDEX(Settings!$B$29:$B$40,MONTH(A7972)))))</f>
        <v/>
      </c>
    </row>
    <row r="7973" customFormat="false" ht="15" hidden="false" customHeight="false" outlineLevel="0" collapsed="false">
      <c r="H7973" s="0" t="str">
        <f aca="false">IF(B7973="","",IF(COUNTIF(Campaigns!$A$7:$A$300,B7973)&gt;0,"✓","⚠ add to Campaigns tab"))</f>
        <v/>
      </c>
      <c r="I7973" s="84" t="str">
        <f aca="false">IF(C7973="","",C7973*IF(Settings!$B$23=Settings!$C$6,1,IF(Settings!$B$23="USD",1/INDEX(Settings!$B$29:$B$40,MONTH(A7973)),INDEX(Settings!$B$29:$B$40,MONTH(A7973)))))</f>
        <v/>
      </c>
    </row>
    <row r="7974" customFormat="false" ht="15" hidden="false" customHeight="false" outlineLevel="0" collapsed="false">
      <c r="H7974" s="0" t="str">
        <f aca="false">IF(B7974="","",IF(COUNTIF(Campaigns!$A$7:$A$300,B7974)&gt;0,"✓","⚠ add to Campaigns tab"))</f>
        <v/>
      </c>
      <c r="I7974" s="84" t="str">
        <f aca="false">IF(C7974="","",C7974*IF(Settings!$B$23=Settings!$C$6,1,IF(Settings!$B$23="USD",1/INDEX(Settings!$B$29:$B$40,MONTH(A7974)),INDEX(Settings!$B$29:$B$40,MONTH(A7974)))))</f>
        <v/>
      </c>
    </row>
    <row r="7975" customFormat="false" ht="15" hidden="false" customHeight="false" outlineLevel="0" collapsed="false">
      <c r="H7975" s="0" t="str">
        <f aca="false">IF(B7975="","",IF(COUNTIF(Campaigns!$A$7:$A$300,B7975)&gt;0,"✓","⚠ add to Campaigns tab"))</f>
        <v/>
      </c>
      <c r="I7975" s="84" t="str">
        <f aca="false">IF(C7975="","",C7975*IF(Settings!$B$23=Settings!$C$6,1,IF(Settings!$B$23="USD",1/INDEX(Settings!$B$29:$B$40,MONTH(A7975)),INDEX(Settings!$B$29:$B$40,MONTH(A7975)))))</f>
        <v/>
      </c>
    </row>
    <row r="7976" customFormat="false" ht="15" hidden="false" customHeight="false" outlineLevel="0" collapsed="false">
      <c r="H7976" s="0" t="str">
        <f aca="false">IF(B7976="","",IF(COUNTIF(Campaigns!$A$7:$A$300,B7976)&gt;0,"✓","⚠ add to Campaigns tab"))</f>
        <v/>
      </c>
      <c r="I7976" s="84" t="str">
        <f aca="false">IF(C7976="","",C7976*IF(Settings!$B$23=Settings!$C$6,1,IF(Settings!$B$23="USD",1/INDEX(Settings!$B$29:$B$40,MONTH(A7976)),INDEX(Settings!$B$29:$B$40,MONTH(A7976)))))</f>
        <v/>
      </c>
    </row>
    <row r="7977" customFormat="false" ht="15" hidden="false" customHeight="false" outlineLevel="0" collapsed="false">
      <c r="H7977" s="0" t="str">
        <f aca="false">IF(B7977="","",IF(COUNTIF(Campaigns!$A$7:$A$300,B7977)&gt;0,"✓","⚠ add to Campaigns tab"))</f>
        <v/>
      </c>
      <c r="I7977" s="84" t="str">
        <f aca="false">IF(C7977="","",C7977*IF(Settings!$B$23=Settings!$C$6,1,IF(Settings!$B$23="USD",1/INDEX(Settings!$B$29:$B$40,MONTH(A7977)),INDEX(Settings!$B$29:$B$40,MONTH(A7977)))))</f>
        <v/>
      </c>
    </row>
    <row r="7978" customFormat="false" ht="15" hidden="false" customHeight="false" outlineLevel="0" collapsed="false">
      <c r="H7978" s="0" t="str">
        <f aca="false">IF(B7978="","",IF(COUNTIF(Campaigns!$A$7:$A$300,B7978)&gt;0,"✓","⚠ add to Campaigns tab"))</f>
        <v/>
      </c>
      <c r="I7978" s="84" t="str">
        <f aca="false">IF(C7978="","",C7978*IF(Settings!$B$23=Settings!$C$6,1,IF(Settings!$B$23="USD",1/INDEX(Settings!$B$29:$B$40,MONTH(A7978)),INDEX(Settings!$B$29:$B$40,MONTH(A7978)))))</f>
        <v/>
      </c>
    </row>
    <row r="7979" customFormat="false" ht="15" hidden="false" customHeight="false" outlineLevel="0" collapsed="false">
      <c r="H7979" s="0" t="str">
        <f aca="false">IF(B7979="","",IF(COUNTIF(Campaigns!$A$7:$A$300,B7979)&gt;0,"✓","⚠ add to Campaigns tab"))</f>
        <v/>
      </c>
      <c r="I7979" s="84" t="str">
        <f aca="false">IF(C7979="","",C7979*IF(Settings!$B$23=Settings!$C$6,1,IF(Settings!$B$23="USD",1/INDEX(Settings!$B$29:$B$40,MONTH(A7979)),INDEX(Settings!$B$29:$B$40,MONTH(A7979)))))</f>
        <v/>
      </c>
    </row>
    <row r="7980" customFormat="false" ht="15" hidden="false" customHeight="false" outlineLevel="0" collapsed="false">
      <c r="H7980" s="0" t="str">
        <f aca="false">IF(B7980="","",IF(COUNTIF(Campaigns!$A$7:$A$300,B7980)&gt;0,"✓","⚠ add to Campaigns tab"))</f>
        <v/>
      </c>
      <c r="I7980" s="84" t="str">
        <f aca="false">IF(C7980="","",C7980*IF(Settings!$B$23=Settings!$C$6,1,IF(Settings!$B$23="USD",1/INDEX(Settings!$B$29:$B$40,MONTH(A7980)),INDEX(Settings!$B$29:$B$40,MONTH(A7980)))))</f>
        <v/>
      </c>
    </row>
    <row r="7981" customFormat="false" ht="15" hidden="false" customHeight="false" outlineLevel="0" collapsed="false">
      <c r="H7981" s="0" t="str">
        <f aca="false">IF(B7981="","",IF(COUNTIF(Campaigns!$A$7:$A$300,B7981)&gt;0,"✓","⚠ add to Campaigns tab"))</f>
        <v/>
      </c>
      <c r="I7981" s="84" t="str">
        <f aca="false">IF(C7981="","",C7981*IF(Settings!$B$23=Settings!$C$6,1,IF(Settings!$B$23="USD",1/INDEX(Settings!$B$29:$B$40,MONTH(A7981)),INDEX(Settings!$B$29:$B$40,MONTH(A7981)))))</f>
        <v/>
      </c>
    </row>
    <row r="7982" customFormat="false" ht="15" hidden="false" customHeight="false" outlineLevel="0" collapsed="false">
      <c r="H7982" s="0" t="str">
        <f aca="false">IF(B7982="","",IF(COUNTIF(Campaigns!$A$7:$A$300,B7982)&gt;0,"✓","⚠ add to Campaigns tab"))</f>
        <v/>
      </c>
      <c r="I7982" s="84" t="str">
        <f aca="false">IF(C7982="","",C7982*IF(Settings!$B$23=Settings!$C$6,1,IF(Settings!$B$23="USD",1/INDEX(Settings!$B$29:$B$40,MONTH(A7982)),INDEX(Settings!$B$29:$B$40,MONTH(A7982)))))</f>
        <v/>
      </c>
    </row>
    <row r="7983" customFormat="false" ht="15" hidden="false" customHeight="false" outlineLevel="0" collapsed="false">
      <c r="H7983" s="0" t="str">
        <f aca="false">IF(B7983="","",IF(COUNTIF(Campaigns!$A$7:$A$300,B7983)&gt;0,"✓","⚠ add to Campaigns tab"))</f>
        <v/>
      </c>
      <c r="I7983" s="84" t="str">
        <f aca="false">IF(C7983="","",C7983*IF(Settings!$B$23=Settings!$C$6,1,IF(Settings!$B$23="USD",1/INDEX(Settings!$B$29:$B$40,MONTH(A7983)),INDEX(Settings!$B$29:$B$40,MONTH(A7983)))))</f>
        <v/>
      </c>
    </row>
    <row r="7984" customFormat="false" ht="15" hidden="false" customHeight="false" outlineLevel="0" collapsed="false">
      <c r="H7984" s="0" t="str">
        <f aca="false">IF(B7984="","",IF(COUNTIF(Campaigns!$A$7:$A$300,B7984)&gt;0,"✓","⚠ add to Campaigns tab"))</f>
        <v/>
      </c>
      <c r="I7984" s="84" t="str">
        <f aca="false">IF(C7984="","",C7984*IF(Settings!$B$23=Settings!$C$6,1,IF(Settings!$B$23="USD",1/INDEX(Settings!$B$29:$B$40,MONTH(A7984)),INDEX(Settings!$B$29:$B$40,MONTH(A7984)))))</f>
        <v/>
      </c>
    </row>
    <row r="7985" customFormat="false" ht="15" hidden="false" customHeight="false" outlineLevel="0" collapsed="false">
      <c r="H7985" s="0" t="str">
        <f aca="false">IF(B7985="","",IF(COUNTIF(Campaigns!$A$7:$A$300,B7985)&gt;0,"✓","⚠ add to Campaigns tab"))</f>
        <v/>
      </c>
      <c r="I7985" s="84" t="str">
        <f aca="false">IF(C7985="","",C7985*IF(Settings!$B$23=Settings!$C$6,1,IF(Settings!$B$23="USD",1/INDEX(Settings!$B$29:$B$40,MONTH(A7985)),INDEX(Settings!$B$29:$B$40,MONTH(A7985)))))</f>
        <v/>
      </c>
    </row>
    <row r="7986" customFormat="false" ht="15" hidden="false" customHeight="false" outlineLevel="0" collapsed="false">
      <c r="H7986" s="0" t="str">
        <f aca="false">IF(B7986="","",IF(COUNTIF(Campaigns!$A$7:$A$300,B7986)&gt;0,"✓","⚠ add to Campaigns tab"))</f>
        <v/>
      </c>
      <c r="I7986" s="84" t="str">
        <f aca="false">IF(C7986="","",C7986*IF(Settings!$B$23=Settings!$C$6,1,IF(Settings!$B$23="USD",1/INDEX(Settings!$B$29:$B$40,MONTH(A7986)),INDEX(Settings!$B$29:$B$40,MONTH(A7986)))))</f>
        <v/>
      </c>
    </row>
    <row r="7987" customFormat="false" ht="15" hidden="false" customHeight="false" outlineLevel="0" collapsed="false">
      <c r="H7987" s="0" t="str">
        <f aca="false">IF(B7987="","",IF(COUNTIF(Campaigns!$A$7:$A$300,B7987)&gt;0,"✓","⚠ add to Campaigns tab"))</f>
        <v/>
      </c>
      <c r="I7987" s="84" t="str">
        <f aca="false">IF(C7987="","",C7987*IF(Settings!$B$23=Settings!$C$6,1,IF(Settings!$B$23="USD",1/INDEX(Settings!$B$29:$B$40,MONTH(A7987)),INDEX(Settings!$B$29:$B$40,MONTH(A7987)))))</f>
        <v/>
      </c>
    </row>
    <row r="7988" customFormat="false" ht="15" hidden="false" customHeight="false" outlineLevel="0" collapsed="false">
      <c r="H7988" s="0" t="str">
        <f aca="false">IF(B7988="","",IF(COUNTIF(Campaigns!$A$7:$A$300,B7988)&gt;0,"✓","⚠ add to Campaigns tab"))</f>
        <v/>
      </c>
      <c r="I7988" s="84" t="str">
        <f aca="false">IF(C7988="","",C7988*IF(Settings!$B$23=Settings!$C$6,1,IF(Settings!$B$23="USD",1/INDEX(Settings!$B$29:$B$40,MONTH(A7988)),INDEX(Settings!$B$29:$B$40,MONTH(A7988)))))</f>
        <v/>
      </c>
    </row>
    <row r="7989" customFormat="false" ht="15" hidden="false" customHeight="false" outlineLevel="0" collapsed="false">
      <c r="H7989" s="0" t="str">
        <f aca="false">IF(B7989="","",IF(COUNTIF(Campaigns!$A$7:$A$300,B7989)&gt;0,"✓","⚠ add to Campaigns tab"))</f>
        <v/>
      </c>
      <c r="I7989" s="84" t="str">
        <f aca="false">IF(C7989="","",C7989*IF(Settings!$B$23=Settings!$C$6,1,IF(Settings!$B$23="USD",1/INDEX(Settings!$B$29:$B$40,MONTH(A7989)),INDEX(Settings!$B$29:$B$40,MONTH(A7989)))))</f>
        <v/>
      </c>
    </row>
    <row r="7990" customFormat="false" ht="15" hidden="false" customHeight="false" outlineLevel="0" collapsed="false">
      <c r="H7990" s="0" t="str">
        <f aca="false">IF(B7990="","",IF(COUNTIF(Campaigns!$A$7:$A$300,B7990)&gt;0,"✓","⚠ add to Campaigns tab"))</f>
        <v/>
      </c>
      <c r="I7990" s="84" t="str">
        <f aca="false">IF(C7990="","",C7990*IF(Settings!$B$23=Settings!$C$6,1,IF(Settings!$B$23="USD",1/INDEX(Settings!$B$29:$B$40,MONTH(A7990)),INDEX(Settings!$B$29:$B$40,MONTH(A7990)))))</f>
        <v/>
      </c>
    </row>
    <row r="7991" customFormat="false" ht="15" hidden="false" customHeight="false" outlineLevel="0" collapsed="false">
      <c r="H7991" s="0" t="str">
        <f aca="false">IF(B7991="","",IF(COUNTIF(Campaigns!$A$7:$A$300,B7991)&gt;0,"✓","⚠ add to Campaigns tab"))</f>
        <v/>
      </c>
      <c r="I7991" s="84" t="str">
        <f aca="false">IF(C7991="","",C7991*IF(Settings!$B$23=Settings!$C$6,1,IF(Settings!$B$23="USD",1/INDEX(Settings!$B$29:$B$40,MONTH(A7991)),INDEX(Settings!$B$29:$B$40,MONTH(A7991)))))</f>
        <v/>
      </c>
    </row>
    <row r="7992" customFormat="false" ht="15" hidden="false" customHeight="false" outlineLevel="0" collapsed="false">
      <c r="H7992" s="0" t="str">
        <f aca="false">IF(B7992="","",IF(COUNTIF(Campaigns!$A$7:$A$300,B7992)&gt;0,"✓","⚠ add to Campaigns tab"))</f>
        <v/>
      </c>
      <c r="I7992" s="84" t="str">
        <f aca="false">IF(C7992="","",C7992*IF(Settings!$B$23=Settings!$C$6,1,IF(Settings!$B$23="USD",1/INDEX(Settings!$B$29:$B$40,MONTH(A7992)),INDEX(Settings!$B$29:$B$40,MONTH(A7992)))))</f>
        <v/>
      </c>
    </row>
    <row r="7993" customFormat="false" ht="15" hidden="false" customHeight="false" outlineLevel="0" collapsed="false">
      <c r="H7993" s="0" t="str">
        <f aca="false">IF(B7993="","",IF(COUNTIF(Campaigns!$A$7:$A$300,B7993)&gt;0,"✓","⚠ add to Campaigns tab"))</f>
        <v/>
      </c>
      <c r="I7993" s="84" t="str">
        <f aca="false">IF(C7993="","",C7993*IF(Settings!$B$23=Settings!$C$6,1,IF(Settings!$B$23="USD",1/INDEX(Settings!$B$29:$B$40,MONTH(A7993)),INDEX(Settings!$B$29:$B$40,MONTH(A7993)))))</f>
        <v/>
      </c>
    </row>
    <row r="7994" customFormat="false" ht="15" hidden="false" customHeight="false" outlineLevel="0" collapsed="false">
      <c r="H7994" s="0" t="str">
        <f aca="false">IF(B7994="","",IF(COUNTIF(Campaigns!$A$7:$A$300,B7994)&gt;0,"✓","⚠ add to Campaigns tab"))</f>
        <v/>
      </c>
      <c r="I7994" s="84" t="str">
        <f aca="false">IF(C7994="","",C7994*IF(Settings!$B$23=Settings!$C$6,1,IF(Settings!$B$23="USD",1/INDEX(Settings!$B$29:$B$40,MONTH(A7994)),INDEX(Settings!$B$29:$B$40,MONTH(A7994)))))</f>
        <v/>
      </c>
    </row>
    <row r="7995" customFormat="false" ht="15" hidden="false" customHeight="false" outlineLevel="0" collapsed="false">
      <c r="H7995" s="0" t="str">
        <f aca="false">IF(B7995="","",IF(COUNTIF(Campaigns!$A$7:$A$300,B7995)&gt;0,"✓","⚠ add to Campaigns tab"))</f>
        <v/>
      </c>
      <c r="I7995" s="84" t="str">
        <f aca="false">IF(C7995="","",C7995*IF(Settings!$B$23=Settings!$C$6,1,IF(Settings!$B$23="USD",1/INDEX(Settings!$B$29:$B$40,MONTH(A7995)),INDEX(Settings!$B$29:$B$40,MONTH(A7995)))))</f>
        <v/>
      </c>
    </row>
    <row r="7996" customFormat="false" ht="15" hidden="false" customHeight="false" outlineLevel="0" collapsed="false">
      <c r="H7996" s="0" t="str">
        <f aca="false">IF(B7996="","",IF(COUNTIF(Campaigns!$A$7:$A$300,B7996)&gt;0,"✓","⚠ add to Campaigns tab"))</f>
        <v/>
      </c>
      <c r="I7996" s="84" t="str">
        <f aca="false">IF(C7996="","",C7996*IF(Settings!$B$23=Settings!$C$6,1,IF(Settings!$B$23="USD",1/INDEX(Settings!$B$29:$B$40,MONTH(A7996)),INDEX(Settings!$B$29:$B$40,MONTH(A7996)))))</f>
        <v/>
      </c>
    </row>
    <row r="7997" customFormat="false" ht="15" hidden="false" customHeight="false" outlineLevel="0" collapsed="false">
      <c r="H7997" s="0" t="str">
        <f aca="false">IF(B7997="","",IF(COUNTIF(Campaigns!$A$7:$A$300,B7997)&gt;0,"✓","⚠ add to Campaigns tab"))</f>
        <v/>
      </c>
      <c r="I7997" s="84" t="str">
        <f aca="false">IF(C7997="","",C7997*IF(Settings!$B$23=Settings!$C$6,1,IF(Settings!$B$23="USD",1/INDEX(Settings!$B$29:$B$40,MONTH(A7997)),INDEX(Settings!$B$29:$B$40,MONTH(A7997)))))</f>
        <v/>
      </c>
    </row>
    <row r="7998" customFormat="false" ht="15" hidden="false" customHeight="false" outlineLevel="0" collapsed="false">
      <c r="H7998" s="0" t="str">
        <f aca="false">IF(B7998="","",IF(COUNTIF(Campaigns!$A$7:$A$300,B7998)&gt;0,"✓","⚠ add to Campaigns tab"))</f>
        <v/>
      </c>
      <c r="I7998" s="84" t="str">
        <f aca="false">IF(C7998="","",C7998*IF(Settings!$B$23=Settings!$C$6,1,IF(Settings!$B$23="USD",1/INDEX(Settings!$B$29:$B$40,MONTH(A7998)),INDEX(Settings!$B$29:$B$40,MONTH(A7998)))))</f>
        <v/>
      </c>
    </row>
    <row r="7999" customFormat="false" ht="15" hidden="false" customHeight="false" outlineLevel="0" collapsed="false">
      <c r="H7999" s="0" t="str">
        <f aca="false">IF(B7999="","",IF(COUNTIF(Campaigns!$A$7:$A$300,B7999)&gt;0,"✓","⚠ add to Campaigns tab"))</f>
        <v/>
      </c>
      <c r="I7999" s="84" t="str">
        <f aca="false">IF(C7999="","",C7999*IF(Settings!$B$23=Settings!$C$6,1,IF(Settings!$B$23="USD",1/INDEX(Settings!$B$29:$B$40,MONTH(A7999)),INDEX(Settings!$B$29:$B$40,MONTH(A7999)))))</f>
        <v/>
      </c>
    </row>
    <row r="8000" customFormat="false" ht="15" hidden="false" customHeight="false" outlineLevel="0" collapsed="false">
      <c r="H8000" s="0" t="str">
        <f aca="false">IF(B8000="","",IF(COUNTIF(Campaigns!$A$7:$A$300,B8000)&gt;0,"✓","⚠ add to Campaigns tab"))</f>
        <v/>
      </c>
      <c r="I8000" s="84" t="str">
        <f aca="false">IF(C8000="","",C8000*IF(Settings!$B$23=Settings!$C$6,1,IF(Settings!$B$23="USD",1/INDEX(Settings!$B$29:$B$40,MONTH(A8000)),INDEX(Settings!$B$29:$B$40,MONTH(A8000)))))</f>
        <v/>
      </c>
    </row>
  </sheetData>
  <mergeCells count="1">
    <mergeCell ref="A1:I1"/>
  </mergeCells>
  <conditionalFormatting sqref="H3:H8000">
    <cfRule type="expression" priority="2" aboveAverage="0" equalAverage="0" bottom="0" percent="0" rank="0" text="" dxfId="7">
      <formula>LEFT(H3,1)="⚠"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4"/>
    <col collapsed="false" customWidth="true" hidden="false" outlineLevel="0" max="4" min="4" style="0" width="13"/>
    <col collapsed="false" customWidth="true" hidden="false" outlineLevel="0" max="5" min="5" style="0" width="11"/>
    <col collapsed="false" customWidth="true" hidden="false" outlineLevel="0" max="7" min="6" style="0" width="12"/>
    <col collapsed="false" customWidth="true" hidden="false" outlineLevel="0" max="8" min="8" style="0" width="22"/>
    <col collapsed="false" customWidth="true" hidden="false" outlineLevel="0" max="9" min="9" style="0" width="14"/>
  </cols>
  <sheetData>
    <row r="1" customFormat="false" ht="15" hidden="false" customHeight="false" outlineLevel="0" collapsed="false">
      <c r="A1" s="81" t="s">
        <v>508</v>
      </c>
      <c r="B1" s="81"/>
      <c r="C1" s="81"/>
      <c r="D1" s="81"/>
      <c r="E1" s="81"/>
      <c r="F1" s="81"/>
      <c r="G1" s="81"/>
      <c r="H1" s="81"/>
      <c r="I1" s="81"/>
    </row>
    <row r="2" customFormat="false" ht="30" hidden="false" customHeight="true" outlineLevel="0" collapsed="false">
      <c r="A2" s="34" t="s">
        <v>497</v>
      </c>
      <c r="B2" s="34" t="s">
        <v>163</v>
      </c>
      <c r="C2" s="34" t="s">
        <v>506</v>
      </c>
      <c r="D2" s="34" t="s">
        <v>499</v>
      </c>
      <c r="E2" s="34" t="s">
        <v>114</v>
      </c>
      <c r="F2" s="34" t="s">
        <v>115</v>
      </c>
      <c r="G2" s="34" t="s">
        <v>500</v>
      </c>
      <c r="H2" s="34" t="s">
        <v>501</v>
      </c>
      <c r="I2" s="34" t="str">
        <f aca="false">"Spend ("&amp;Settings!$C$6&amp;")"</f>
        <v>Spend (USD)</v>
      </c>
      <c r="K2" s="28" t="s">
        <v>509</v>
      </c>
    </row>
    <row r="3" customFormat="false" ht="15" hidden="false" customHeight="false" outlineLevel="0" collapsed="false">
      <c r="A3" s="82" t="n">
        <v>46288</v>
      </c>
      <c r="B3" s="83" t="s">
        <v>221</v>
      </c>
      <c r="C3" s="84" t="n">
        <v>229.56</v>
      </c>
      <c r="D3" s="85" t="n">
        <v>4021</v>
      </c>
      <c r="E3" s="85" t="n">
        <v>43</v>
      </c>
      <c r="F3" s="86" t="n">
        <v>0</v>
      </c>
      <c r="G3" s="83" t="s">
        <v>503</v>
      </c>
      <c r="H3" s="0" t="str">
        <f aca="false">IF(B3="","",IF(COUNTIF(Campaigns!$A$7:$A$300,B3)&gt;0,"✓","⚠ add to Campaigns tab"))</f>
        <v>✓</v>
      </c>
      <c r="I3" s="84" t="n">
        <f aca="false">IF(C3="","",C3*IF(Settings!$B$24=Settings!$C$6,1,IF(Settings!$B$24="USD",1/INDEX(Settings!$B$29:$B$40,MONTH(A3)),INDEX(Settings!$B$29:$B$40,MONTH(A3)))))</f>
        <v>256.579212</v>
      </c>
      <c r="K3" s="28" t="s">
        <v>504</v>
      </c>
    </row>
    <row r="4" customFormat="false" ht="15" hidden="false" customHeight="false" outlineLevel="0" collapsed="false">
      <c r="H4" s="0" t="str">
        <f aca="false">IF(B4="","",IF(COUNTIF(Campaigns!$A$7:$A$300,B4)&gt;0,"✓","⚠ add to Campaigns tab"))</f>
        <v/>
      </c>
      <c r="I4" s="84" t="str">
        <f aca="false">IF(C4="","",C4*IF(Settings!$B$24=Settings!$C$6,1,IF(Settings!$B$24="USD",1/INDEX(Settings!$B$29:$B$40,MONTH(A4)),INDEX(Settings!$B$29:$B$40,MONTH(A4)))))</f>
        <v/>
      </c>
    </row>
    <row r="5" customFormat="false" ht="15" hidden="false" customHeight="false" outlineLevel="0" collapsed="false">
      <c r="H5" s="0" t="str">
        <f aca="false">IF(B5="","",IF(COUNTIF(Campaigns!$A$7:$A$300,B5)&gt;0,"✓","⚠ add to Campaigns tab"))</f>
        <v/>
      </c>
      <c r="I5" s="84" t="str">
        <f aca="false">IF(C5="","",C5*IF(Settings!$B$24=Settings!$C$6,1,IF(Settings!$B$24="USD",1/INDEX(Settings!$B$29:$B$40,MONTH(A5)),INDEX(Settings!$B$29:$B$40,MONTH(A5)))))</f>
        <v/>
      </c>
    </row>
    <row r="6" customFormat="false" ht="15" hidden="false" customHeight="false" outlineLevel="0" collapsed="false">
      <c r="H6" s="0" t="str">
        <f aca="false">IF(B6="","",IF(COUNTIF(Campaigns!$A$7:$A$300,B6)&gt;0,"✓","⚠ add to Campaigns tab"))</f>
        <v/>
      </c>
      <c r="I6" s="84" t="str">
        <f aca="false">IF(C6="","",C6*IF(Settings!$B$24=Settings!$C$6,1,IF(Settings!$B$24="USD",1/INDEX(Settings!$B$29:$B$40,MONTH(A6)),INDEX(Settings!$B$29:$B$40,MONTH(A6)))))</f>
        <v/>
      </c>
    </row>
    <row r="7" customFormat="false" ht="15" hidden="false" customHeight="false" outlineLevel="0" collapsed="false">
      <c r="H7" s="0" t="str">
        <f aca="false">IF(B7="","",IF(COUNTIF(Campaigns!$A$7:$A$300,B7)&gt;0,"✓","⚠ add to Campaigns tab"))</f>
        <v/>
      </c>
      <c r="I7" s="84" t="str">
        <f aca="false">IF(C7="","",C7*IF(Settings!$B$24=Settings!$C$6,1,IF(Settings!$B$24="USD",1/INDEX(Settings!$B$29:$B$40,MONTH(A7)),INDEX(Settings!$B$29:$B$40,MONTH(A7)))))</f>
        <v/>
      </c>
    </row>
    <row r="8" customFormat="false" ht="15" hidden="false" customHeight="false" outlineLevel="0" collapsed="false">
      <c r="H8" s="0" t="str">
        <f aca="false">IF(B8="","",IF(COUNTIF(Campaigns!$A$7:$A$300,B8)&gt;0,"✓","⚠ add to Campaigns tab"))</f>
        <v/>
      </c>
      <c r="I8" s="84" t="str">
        <f aca="false">IF(C8="","",C8*IF(Settings!$B$24=Settings!$C$6,1,IF(Settings!$B$24="USD",1/INDEX(Settings!$B$29:$B$40,MONTH(A8)),INDEX(Settings!$B$29:$B$40,MONTH(A8)))))</f>
        <v/>
      </c>
    </row>
    <row r="9" customFormat="false" ht="15" hidden="false" customHeight="false" outlineLevel="0" collapsed="false">
      <c r="H9" s="0" t="str">
        <f aca="false">IF(B9="","",IF(COUNTIF(Campaigns!$A$7:$A$300,B9)&gt;0,"✓","⚠ add to Campaigns tab"))</f>
        <v/>
      </c>
      <c r="I9" s="84" t="str">
        <f aca="false">IF(C9="","",C9*IF(Settings!$B$24=Settings!$C$6,1,IF(Settings!$B$24="USD",1/INDEX(Settings!$B$29:$B$40,MONTH(A9)),INDEX(Settings!$B$29:$B$40,MONTH(A9)))))</f>
        <v/>
      </c>
    </row>
    <row r="10" customFormat="false" ht="15" hidden="false" customHeight="false" outlineLevel="0" collapsed="false">
      <c r="H10" s="0" t="str">
        <f aca="false">IF(B10="","",IF(COUNTIF(Campaigns!$A$7:$A$300,B10)&gt;0,"✓","⚠ add to Campaigns tab"))</f>
        <v/>
      </c>
      <c r="I10" s="84" t="str">
        <f aca="false">IF(C10="","",C10*IF(Settings!$B$24=Settings!$C$6,1,IF(Settings!$B$24="USD",1/INDEX(Settings!$B$29:$B$40,MONTH(A10)),INDEX(Settings!$B$29:$B$40,MONTH(A10)))))</f>
        <v/>
      </c>
    </row>
    <row r="11" customFormat="false" ht="15" hidden="false" customHeight="false" outlineLevel="0" collapsed="false">
      <c r="H11" s="0" t="str">
        <f aca="false">IF(B11="","",IF(COUNTIF(Campaigns!$A$7:$A$300,B11)&gt;0,"✓","⚠ add to Campaigns tab"))</f>
        <v/>
      </c>
      <c r="I11" s="84" t="str">
        <f aca="false">IF(C11="","",C11*IF(Settings!$B$24=Settings!$C$6,1,IF(Settings!$B$24="USD",1/INDEX(Settings!$B$29:$B$40,MONTH(A11)),INDEX(Settings!$B$29:$B$40,MONTH(A11)))))</f>
        <v/>
      </c>
    </row>
    <row r="12" customFormat="false" ht="15" hidden="false" customHeight="false" outlineLevel="0" collapsed="false">
      <c r="H12" s="0" t="str">
        <f aca="false">IF(B12="","",IF(COUNTIF(Campaigns!$A$7:$A$300,B12)&gt;0,"✓","⚠ add to Campaigns tab"))</f>
        <v/>
      </c>
      <c r="I12" s="84" t="str">
        <f aca="false">IF(C12="","",C12*IF(Settings!$B$24=Settings!$C$6,1,IF(Settings!$B$24="USD",1/INDEX(Settings!$B$29:$B$40,MONTH(A12)),INDEX(Settings!$B$29:$B$40,MONTH(A12)))))</f>
        <v/>
      </c>
    </row>
    <row r="13" customFormat="false" ht="15" hidden="false" customHeight="false" outlineLevel="0" collapsed="false">
      <c r="H13" s="0" t="str">
        <f aca="false">IF(B13="","",IF(COUNTIF(Campaigns!$A$7:$A$300,B13)&gt;0,"✓","⚠ add to Campaigns tab"))</f>
        <v/>
      </c>
      <c r="I13" s="84" t="str">
        <f aca="false">IF(C13="","",C13*IF(Settings!$B$24=Settings!$C$6,1,IF(Settings!$B$24="USD",1/INDEX(Settings!$B$29:$B$40,MONTH(A13)),INDEX(Settings!$B$29:$B$40,MONTH(A13)))))</f>
        <v/>
      </c>
    </row>
    <row r="14" customFormat="false" ht="15" hidden="false" customHeight="false" outlineLevel="0" collapsed="false">
      <c r="H14" s="0" t="str">
        <f aca="false">IF(B14="","",IF(COUNTIF(Campaigns!$A$7:$A$300,B14)&gt;0,"✓","⚠ add to Campaigns tab"))</f>
        <v/>
      </c>
      <c r="I14" s="84" t="str">
        <f aca="false">IF(C14="","",C14*IF(Settings!$B$24=Settings!$C$6,1,IF(Settings!$B$24="USD",1/INDEX(Settings!$B$29:$B$40,MONTH(A14)),INDEX(Settings!$B$29:$B$40,MONTH(A14)))))</f>
        <v/>
      </c>
    </row>
    <row r="15" customFormat="false" ht="15" hidden="false" customHeight="false" outlineLevel="0" collapsed="false">
      <c r="H15" s="0" t="str">
        <f aca="false">IF(B15="","",IF(COUNTIF(Campaigns!$A$7:$A$300,B15)&gt;0,"✓","⚠ add to Campaigns tab"))</f>
        <v/>
      </c>
      <c r="I15" s="84" t="str">
        <f aca="false">IF(C15="","",C15*IF(Settings!$B$24=Settings!$C$6,1,IF(Settings!$B$24="USD",1/INDEX(Settings!$B$29:$B$40,MONTH(A15)),INDEX(Settings!$B$29:$B$40,MONTH(A15)))))</f>
        <v/>
      </c>
    </row>
    <row r="16" customFormat="false" ht="15" hidden="false" customHeight="false" outlineLevel="0" collapsed="false">
      <c r="H16" s="0" t="str">
        <f aca="false">IF(B16="","",IF(COUNTIF(Campaigns!$A$7:$A$300,B16)&gt;0,"✓","⚠ add to Campaigns tab"))</f>
        <v/>
      </c>
      <c r="I16" s="84" t="str">
        <f aca="false">IF(C16="","",C16*IF(Settings!$B$24=Settings!$C$6,1,IF(Settings!$B$24="USD",1/INDEX(Settings!$B$29:$B$40,MONTH(A16)),INDEX(Settings!$B$29:$B$40,MONTH(A16)))))</f>
        <v/>
      </c>
    </row>
    <row r="17" customFormat="false" ht="15" hidden="false" customHeight="false" outlineLevel="0" collapsed="false">
      <c r="H17" s="0" t="str">
        <f aca="false">IF(B17="","",IF(COUNTIF(Campaigns!$A$7:$A$300,B17)&gt;0,"✓","⚠ add to Campaigns tab"))</f>
        <v/>
      </c>
      <c r="I17" s="84" t="str">
        <f aca="false">IF(C17="","",C17*IF(Settings!$B$24=Settings!$C$6,1,IF(Settings!$B$24="USD",1/INDEX(Settings!$B$29:$B$40,MONTH(A17)),INDEX(Settings!$B$29:$B$40,MONTH(A17)))))</f>
        <v/>
      </c>
    </row>
    <row r="18" customFormat="false" ht="15" hidden="false" customHeight="false" outlineLevel="0" collapsed="false">
      <c r="H18" s="0" t="str">
        <f aca="false">IF(B18="","",IF(COUNTIF(Campaigns!$A$7:$A$300,B18)&gt;0,"✓","⚠ add to Campaigns tab"))</f>
        <v/>
      </c>
      <c r="I18" s="84" t="str">
        <f aca="false">IF(C18="","",C18*IF(Settings!$B$24=Settings!$C$6,1,IF(Settings!$B$24="USD",1/INDEX(Settings!$B$29:$B$40,MONTH(A18)),INDEX(Settings!$B$29:$B$40,MONTH(A18)))))</f>
        <v/>
      </c>
    </row>
    <row r="19" customFormat="false" ht="15" hidden="false" customHeight="false" outlineLevel="0" collapsed="false">
      <c r="H19" s="0" t="str">
        <f aca="false">IF(B19="","",IF(COUNTIF(Campaigns!$A$7:$A$300,B19)&gt;0,"✓","⚠ add to Campaigns tab"))</f>
        <v/>
      </c>
      <c r="I19" s="84" t="str">
        <f aca="false">IF(C19="","",C19*IF(Settings!$B$24=Settings!$C$6,1,IF(Settings!$B$24="USD",1/INDEX(Settings!$B$29:$B$40,MONTH(A19)),INDEX(Settings!$B$29:$B$40,MONTH(A19)))))</f>
        <v/>
      </c>
    </row>
    <row r="20" customFormat="false" ht="15" hidden="false" customHeight="false" outlineLevel="0" collapsed="false">
      <c r="H20" s="0" t="str">
        <f aca="false">IF(B20="","",IF(COUNTIF(Campaigns!$A$7:$A$300,B20)&gt;0,"✓","⚠ add to Campaigns tab"))</f>
        <v/>
      </c>
      <c r="I20" s="84" t="str">
        <f aca="false">IF(C20="","",C20*IF(Settings!$B$24=Settings!$C$6,1,IF(Settings!$B$24="USD",1/INDEX(Settings!$B$29:$B$40,MONTH(A20)),INDEX(Settings!$B$29:$B$40,MONTH(A20)))))</f>
        <v/>
      </c>
    </row>
    <row r="21" customFormat="false" ht="15" hidden="false" customHeight="false" outlineLevel="0" collapsed="false">
      <c r="H21" s="0" t="str">
        <f aca="false">IF(B21="","",IF(COUNTIF(Campaigns!$A$7:$A$300,B21)&gt;0,"✓","⚠ add to Campaigns tab"))</f>
        <v/>
      </c>
      <c r="I21" s="84" t="str">
        <f aca="false">IF(C21="","",C21*IF(Settings!$B$24=Settings!$C$6,1,IF(Settings!$B$24="USD",1/INDEX(Settings!$B$29:$B$40,MONTH(A21)),INDEX(Settings!$B$29:$B$40,MONTH(A21)))))</f>
        <v/>
      </c>
    </row>
    <row r="22" customFormat="false" ht="15" hidden="false" customHeight="false" outlineLevel="0" collapsed="false">
      <c r="H22" s="0" t="str">
        <f aca="false">IF(B22="","",IF(COUNTIF(Campaigns!$A$7:$A$300,B22)&gt;0,"✓","⚠ add to Campaigns tab"))</f>
        <v/>
      </c>
      <c r="I22" s="84" t="str">
        <f aca="false">IF(C22="","",C22*IF(Settings!$B$24=Settings!$C$6,1,IF(Settings!$B$24="USD",1/INDEX(Settings!$B$29:$B$40,MONTH(A22)),INDEX(Settings!$B$29:$B$40,MONTH(A22)))))</f>
        <v/>
      </c>
    </row>
    <row r="23" customFormat="false" ht="15" hidden="false" customHeight="false" outlineLevel="0" collapsed="false">
      <c r="H23" s="0" t="str">
        <f aca="false">IF(B23="","",IF(COUNTIF(Campaigns!$A$7:$A$300,B23)&gt;0,"✓","⚠ add to Campaigns tab"))</f>
        <v/>
      </c>
      <c r="I23" s="84" t="str">
        <f aca="false">IF(C23="","",C23*IF(Settings!$B$24=Settings!$C$6,1,IF(Settings!$B$24="USD",1/INDEX(Settings!$B$29:$B$40,MONTH(A23)),INDEX(Settings!$B$29:$B$40,MONTH(A23)))))</f>
        <v/>
      </c>
    </row>
    <row r="24" customFormat="false" ht="15" hidden="false" customHeight="false" outlineLevel="0" collapsed="false">
      <c r="H24" s="0" t="str">
        <f aca="false">IF(B24="","",IF(COUNTIF(Campaigns!$A$7:$A$300,B24)&gt;0,"✓","⚠ add to Campaigns tab"))</f>
        <v/>
      </c>
      <c r="I24" s="84" t="str">
        <f aca="false">IF(C24="","",C24*IF(Settings!$B$24=Settings!$C$6,1,IF(Settings!$B$24="USD",1/INDEX(Settings!$B$29:$B$40,MONTH(A24)),INDEX(Settings!$B$29:$B$40,MONTH(A24)))))</f>
        <v/>
      </c>
    </row>
    <row r="25" customFormat="false" ht="15" hidden="false" customHeight="false" outlineLevel="0" collapsed="false">
      <c r="H25" s="0" t="str">
        <f aca="false">IF(B25="","",IF(COUNTIF(Campaigns!$A$7:$A$300,B25)&gt;0,"✓","⚠ add to Campaigns tab"))</f>
        <v/>
      </c>
      <c r="I25" s="84" t="str">
        <f aca="false">IF(C25="","",C25*IF(Settings!$B$24=Settings!$C$6,1,IF(Settings!$B$24="USD",1/INDEX(Settings!$B$29:$B$40,MONTH(A25)),INDEX(Settings!$B$29:$B$40,MONTH(A25)))))</f>
        <v/>
      </c>
    </row>
    <row r="26" customFormat="false" ht="15" hidden="false" customHeight="false" outlineLevel="0" collapsed="false">
      <c r="H26" s="0" t="str">
        <f aca="false">IF(B26="","",IF(COUNTIF(Campaigns!$A$7:$A$300,B26)&gt;0,"✓","⚠ add to Campaigns tab"))</f>
        <v/>
      </c>
      <c r="I26" s="84" t="str">
        <f aca="false">IF(C26="","",C26*IF(Settings!$B$24=Settings!$C$6,1,IF(Settings!$B$24="USD",1/INDEX(Settings!$B$29:$B$40,MONTH(A26)),INDEX(Settings!$B$29:$B$40,MONTH(A26)))))</f>
        <v/>
      </c>
    </row>
    <row r="27" customFormat="false" ht="15" hidden="false" customHeight="false" outlineLevel="0" collapsed="false">
      <c r="H27" s="0" t="str">
        <f aca="false">IF(B27="","",IF(COUNTIF(Campaigns!$A$7:$A$300,B27)&gt;0,"✓","⚠ add to Campaigns tab"))</f>
        <v/>
      </c>
      <c r="I27" s="84" t="str">
        <f aca="false">IF(C27="","",C27*IF(Settings!$B$24=Settings!$C$6,1,IF(Settings!$B$24="USD",1/INDEX(Settings!$B$29:$B$40,MONTH(A27)),INDEX(Settings!$B$29:$B$40,MONTH(A27)))))</f>
        <v/>
      </c>
    </row>
    <row r="28" customFormat="false" ht="15" hidden="false" customHeight="false" outlineLevel="0" collapsed="false">
      <c r="H28" s="0" t="str">
        <f aca="false">IF(B28="","",IF(COUNTIF(Campaigns!$A$7:$A$300,B28)&gt;0,"✓","⚠ add to Campaigns tab"))</f>
        <v/>
      </c>
      <c r="I28" s="84" t="str">
        <f aca="false">IF(C28="","",C28*IF(Settings!$B$24=Settings!$C$6,1,IF(Settings!$B$24="USD",1/INDEX(Settings!$B$29:$B$40,MONTH(A28)),INDEX(Settings!$B$29:$B$40,MONTH(A28)))))</f>
        <v/>
      </c>
    </row>
    <row r="29" customFormat="false" ht="15" hidden="false" customHeight="false" outlineLevel="0" collapsed="false">
      <c r="H29" s="0" t="str">
        <f aca="false">IF(B29="","",IF(COUNTIF(Campaigns!$A$7:$A$300,B29)&gt;0,"✓","⚠ add to Campaigns tab"))</f>
        <v/>
      </c>
      <c r="I29" s="84" t="str">
        <f aca="false">IF(C29="","",C29*IF(Settings!$B$24=Settings!$C$6,1,IF(Settings!$B$24="USD",1/INDEX(Settings!$B$29:$B$40,MONTH(A29)),INDEX(Settings!$B$29:$B$40,MONTH(A29)))))</f>
        <v/>
      </c>
    </row>
    <row r="30" customFormat="false" ht="15" hidden="false" customHeight="false" outlineLevel="0" collapsed="false">
      <c r="H30" s="0" t="str">
        <f aca="false">IF(B30="","",IF(COUNTIF(Campaigns!$A$7:$A$300,B30)&gt;0,"✓","⚠ add to Campaigns tab"))</f>
        <v/>
      </c>
      <c r="I30" s="84" t="str">
        <f aca="false">IF(C30="","",C30*IF(Settings!$B$24=Settings!$C$6,1,IF(Settings!$B$24="USD",1/INDEX(Settings!$B$29:$B$40,MONTH(A30)),INDEX(Settings!$B$29:$B$40,MONTH(A30)))))</f>
        <v/>
      </c>
    </row>
    <row r="31" customFormat="false" ht="15" hidden="false" customHeight="false" outlineLevel="0" collapsed="false">
      <c r="H31" s="0" t="str">
        <f aca="false">IF(B31="","",IF(COUNTIF(Campaigns!$A$7:$A$300,B31)&gt;0,"✓","⚠ add to Campaigns tab"))</f>
        <v/>
      </c>
      <c r="I31" s="84" t="str">
        <f aca="false">IF(C31="","",C31*IF(Settings!$B$24=Settings!$C$6,1,IF(Settings!$B$24="USD",1/INDEX(Settings!$B$29:$B$40,MONTH(A31)),INDEX(Settings!$B$29:$B$40,MONTH(A31)))))</f>
        <v/>
      </c>
    </row>
    <row r="32" customFormat="false" ht="15" hidden="false" customHeight="false" outlineLevel="0" collapsed="false">
      <c r="H32" s="0" t="str">
        <f aca="false">IF(B32="","",IF(COUNTIF(Campaigns!$A$7:$A$300,B32)&gt;0,"✓","⚠ add to Campaigns tab"))</f>
        <v/>
      </c>
      <c r="I32" s="84" t="str">
        <f aca="false">IF(C32="","",C32*IF(Settings!$B$24=Settings!$C$6,1,IF(Settings!$B$24="USD",1/INDEX(Settings!$B$29:$B$40,MONTH(A32)),INDEX(Settings!$B$29:$B$40,MONTH(A32)))))</f>
        <v/>
      </c>
    </row>
    <row r="33" customFormat="false" ht="15" hidden="false" customHeight="false" outlineLevel="0" collapsed="false">
      <c r="H33" s="0" t="str">
        <f aca="false">IF(B33="","",IF(COUNTIF(Campaigns!$A$7:$A$300,B33)&gt;0,"✓","⚠ add to Campaigns tab"))</f>
        <v/>
      </c>
      <c r="I33" s="84" t="str">
        <f aca="false">IF(C33="","",C33*IF(Settings!$B$24=Settings!$C$6,1,IF(Settings!$B$24="USD",1/INDEX(Settings!$B$29:$B$40,MONTH(A33)),INDEX(Settings!$B$29:$B$40,MONTH(A33)))))</f>
        <v/>
      </c>
    </row>
    <row r="34" customFormat="false" ht="15" hidden="false" customHeight="false" outlineLevel="0" collapsed="false">
      <c r="H34" s="0" t="str">
        <f aca="false">IF(B34="","",IF(COUNTIF(Campaigns!$A$7:$A$300,B34)&gt;0,"✓","⚠ add to Campaigns tab"))</f>
        <v/>
      </c>
      <c r="I34" s="84" t="str">
        <f aca="false">IF(C34="","",C34*IF(Settings!$B$24=Settings!$C$6,1,IF(Settings!$B$24="USD",1/INDEX(Settings!$B$29:$B$40,MONTH(A34)),INDEX(Settings!$B$29:$B$40,MONTH(A34)))))</f>
        <v/>
      </c>
    </row>
    <row r="35" customFormat="false" ht="15" hidden="false" customHeight="false" outlineLevel="0" collapsed="false">
      <c r="H35" s="0" t="str">
        <f aca="false">IF(B35="","",IF(COUNTIF(Campaigns!$A$7:$A$300,B35)&gt;0,"✓","⚠ add to Campaigns tab"))</f>
        <v/>
      </c>
      <c r="I35" s="84" t="str">
        <f aca="false">IF(C35="","",C35*IF(Settings!$B$24=Settings!$C$6,1,IF(Settings!$B$24="USD",1/INDEX(Settings!$B$29:$B$40,MONTH(A35)),INDEX(Settings!$B$29:$B$40,MONTH(A35)))))</f>
        <v/>
      </c>
    </row>
    <row r="36" customFormat="false" ht="15" hidden="false" customHeight="false" outlineLevel="0" collapsed="false">
      <c r="H36" s="0" t="str">
        <f aca="false">IF(B36="","",IF(COUNTIF(Campaigns!$A$7:$A$300,B36)&gt;0,"✓","⚠ add to Campaigns tab"))</f>
        <v/>
      </c>
      <c r="I36" s="84" t="str">
        <f aca="false">IF(C36="","",C36*IF(Settings!$B$24=Settings!$C$6,1,IF(Settings!$B$24="USD",1/INDEX(Settings!$B$29:$B$40,MONTH(A36)),INDEX(Settings!$B$29:$B$40,MONTH(A36)))))</f>
        <v/>
      </c>
    </row>
    <row r="37" customFormat="false" ht="15" hidden="false" customHeight="false" outlineLevel="0" collapsed="false">
      <c r="H37" s="0" t="str">
        <f aca="false">IF(B37="","",IF(COUNTIF(Campaigns!$A$7:$A$300,B37)&gt;0,"✓","⚠ add to Campaigns tab"))</f>
        <v/>
      </c>
      <c r="I37" s="84" t="str">
        <f aca="false">IF(C37="","",C37*IF(Settings!$B$24=Settings!$C$6,1,IF(Settings!$B$24="USD",1/INDEX(Settings!$B$29:$B$40,MONTH(A37)),INDEX(Settings!$B$29:$B$40,MONTH(A37)))))</f>
        <v/>
      </c>
    </row>
    <row r="38" customFormat="false" ht="15" hidden="false" customHeight="false" outlineLevel="0" collapsed="false">
      <c r="H38" s="0" t="str">
        <f aca="false">IF(B38="","",IF(COUNTIF(Campaigns!$A$7:$A$300,B38)&gt;0,"✓","⚠ add to Campaigns tab"))</f>
        <v/>
      </c>
      <c r="I38" s="84" t="str">
        <f aca="false">IF(C38="","",C38*IF(Settings!$B$24=Settings!$C$6,1,IF(Settings!$B$24="USD",1/INDEX(Settings!$B$29:$B$40,MONTH(A38)),INDEX(Settings!$B$29:$B$40,MONTH(A38)))))</f>
        <v/>
      </c>
    </row>
    <row r="39" customFormat="false" ht="15" hidden="false" customHeight="false" outlineLevel="0" collapsed="false">
      <c r="H39" s="0" t="str">
        <f aca="false">IF(B39="","",IF(COUNTIF(Campaigns!$A$7:$A$300,B39)&gt;0,"✓","⚠ add to Campaigns tab"))</f>
        <v/>
      </c>
      <c r="I39" s="84" t="str">
        <f aca="false">IF(C39="","",C39*IF(Settings!$B$24=Settings!$C$6,1,IF(Settings!$B$24="USD",1/INDEX(Settings!$B$29:$B$40,MONTH(A39)),INDEX(Settings!$B$29:$B$40,MONTH(A39)))))</f>
        <v/>
      </c>
    </row>
    <row r="40" customFormat="false" ht="15" hidden="false" customHeight="false" outlineLevel="0" collapsed="false">
      <c r="H40" s="0" t="str">
        <f aca="false">IF(B40="","",IF(COUNTIF(Campaigns!$A$7:$A$300,B40)&gt;0,"✓","⚠ add to Campaigns tab"))</f>
        <v/>
      </c>
      <c r="I40" s="84" t="str">
        <f aca="false">IF(C40="","",C40*IF(Settings!$B$24=Settings!$C$6,1,IF(Settings!$B$24="USD",1/INDEX(Settings!$B$29:$B$40,MONTH(A40)),INDEX(Settings!$B$29:$B$40,MONTH(A40)))))</f>
        <v/>
      </c>
    </row>
    <row r="41" customFormat="false" ht="15" hidden="false" customHeight="false" outlineLevel="0" collapsed="false">
      <c r="H41" s="0" t="str">
        <f aca="false">IF(B41="","",IF(COUNTIF(Campaigns!$A$7:$A$300,B41)&gt;0,"✓","⚠ add to Campaigns tab"))</f>
        <v/>
      </c>
      <c r="I41" s="84" t="str">
        <f aca="false">IF(C41="","",C41*IF(Settings!$B$24=Settings!$C$6,1,IF(Settings!$B$24="USD",1/INDEX(Settings!$B$29:$B$40,MONTH(A41)),INDEX(Settings!$B$29:$B$40,MONTH(A41)))))</f>
        <v/>
      </c>
    </row>
    <row r="42" customFormat="false" ht="15" hidden="false" customHeight="false" outlineLevel="0" collapsed="false">
      <c r="H42" s="0" t="str">
        <f aca="false">IF(B42="","",IF(COUNTIF(Campaigns!$A$7:$A$300,B42)&gt;0,"✓","⚠ add to Campaigns tab"))</f>
        <v/>
      </c>
      <c r="I42" s="84" t="str">
        <f aca="false">IF(C42="","",C42*IF(Settings!$B$24=Settings!$C$6,1,IF(Settings!$B$24="USD",1/INDEX(Settings!$B$29:$B$40,MONTH(A42)),INDEX(Settings!$B$29:$B$40,MONTH(A42)))))</f>
        <v/>
      </c>
    </row>
    <row r="43" customFormat="false" ht="15" hidden="false" customHeight="false" outlineLevel="0" collapsed="false">
      <c r="H43" s="0" t="str">
        <f aca="false">IF(B43="","",IF(COUNTIF(Campaigns!$A$7:$A$300,B43)&gt;0,"✓","⚠ add to Campaigns tab"))</f>
        <v/>
      </c>
      <c r="I43" s="84" t="str">
        <f aca="false">IF(C43="","",C43*IF(Settings!$B$24=Settings!$C$6,1,IF(Settings!$B$24="USD",1/INDEX(Settings!$B$29:$B$40,MONTH(A43)),INDEX(Settings!$B$29:$B$40,MONTH(A43)))))</f>
        <v/>
      </c>
    </row>
    <row r="44" customFormat="false" ht="15" hidden="false" customHeight="false" outlineLevel="0" collapsed="false">
      <c r="H44" s="0" t="str">
        <f aca="false">IF(B44="","",IF(COUNTIF(Campaigns!$A$7:$A$300,B44)&gt;0,"✓","⚠ add to Campaigns tab"))</f>
        <v/>
      </c>
      <c r="I44" s="84" t="str">
        <f aca="false">IF(C44="","",C44*IF(Settings!$B$24=Settings!$C$6,1,IF(Settings!$B$24="USD",1/INDEX(Settings!$B$29:$B$40,MONTH(A44)),INDEX(Settings!$B$29:$B$40,MONTH(A44)))))</f>
        <v/>
      </c>
    </row>
    <row r="45" customFormat="false" ht="15" hidden="false" customHeight="false" outlineLevel="0" collapsed="false">
      <c r="H45" s="0" t="str">
        <f aca="false">IF(B45="","",IF(COUNTIF(Campaigns!$A$7:$A$300,B45)&gt;0,"✓","⚠ add to Campaigns tab"))</f>
        <v/>
      </c>
      <c r="I45" s="84" t="str">
        <f aca="false">IF(C45="","",C45*IF(Settings!$B$24=Settings!$C$6,1,IF(Settings!$B$24="USD",1/INDEX(Settings!$B$29:$B$40,MONTH(A45)),INDEX(Settings!$B$29:$B$40,MONTH(A45)))))</f>
        <v/>
      </c>
    </row>
    <row r="46" customFormat="false" ht="15" hidden="false" customHeight="false" outlineLevel="0" collapsed="false">
      <c r="H46" s="0" t="str">
        <f aca="false">IF(B46="","",IF(COUNTIF(Campaigns!$A$7:$A$300,B46)&gt;0,"✓","⚠ add to Campaigns tab"))</f>
        <v/>
      </c>
      <c r="I46" s="84" t="str">
        <f aca="false">IF(C46="","",C46*IF(Settings!$B$24=Settings!$C$6,1,IF(Settings!$B$24="USD",1/INDEX(Settings!$B$29:$B$40,MONTH(A46)),INDEX(Settings!$B$29:$B$40,MONTH(A46)))))</f>
        <v/>
      </c>
    </row>
    <row r="47" customFormat="false" ht="15" hidden="false" customHeight="false" outlineLevel="0" collapsed="false">
      <c r="H47" s="0" t="str">
        <f aca="false">IF(B47="","",IF(COUNTIF(Campaigns!$A$7:$A$300,B47)&gt;0,"✓","⚠ add to Campaigns tab"))</f>
        <v/>
      </c>
      <c r="I47" s="84" t="str">
        <f aca="false">IF(C47="","",C47*IF(Settings!$B$24=Settings!$C$6,1,IF(Settings!$B$24="USD",1/INDEX(Settings!$B$29:$B$40,MONTH(A47)),INDEX(Settings!$B$29:$B$40,MONTH(A47)))))</f>
        <v/>
      </c>
    </row>
    <row r="48" customFormat="false" ht="15" hidden="false" customHeight="false" outlineLevel="0" collapsed="false">
      <c r="H48" s="0" t="str">
        <f aca="false">IF(B48="","",IF(COUNTIF(Campaigns!$A$7:$A$300,B48)&gt;0,"✓","⚠ add to Campaigns tab"))</f>
        <v/>
      </c>
      <c r="I48" s="84" t="str">
        <f aca="false">IF(C48="","",C48*IF(Settings!$B$24=Settings!$C$6,1,IF(Settings!$B$24="USD",1/INDEX(Settings!$B$29:$B$40,MONTH(A48)),INDEX(Settings!$B$29:$B$40,MONTH(A48)))))</f>
        <v/>
      </c>
    </row>
    <row r="49" customFormat="false" ht="15" hidden="false" customHeight="false" outlineLevel="0" collapsed="false">
      <c r="H49" s="0" t="str">
        <f aca="false">IF(B49="","",IF(COUNTIF(Campaigns!$A$7:$A$300,B49)&gt;0,"✓","⚠ add to Campaigns tab"))</f>
        <v/>
      </c>
      <c r="I49" s="84" t="str">
        <f aca="false">IF(C49="","",C49*IF(Settings!$B$24=Settings!$C$6,1,IF(Settings!$B$24="USD",1/INDEX(Settings!$B$29:$B$40,MONTH(A49)),INDEX(Settings!$B$29:$B$40,MONTH(A49)))))</f>
        <v/>
      </c>
    </row>
    <row r="50" customFormat="false" ht="15" hidden="false" customHeight="false" outlineLevel="0" collapsed="false">
      <c r="H50" s="0" t="str">
        <f aca="false">IF(B50="","",IF(COUNTIF(Campaigns!$A$7:$A$300,B50)&gt;0,"✓","⚠ add to Campaigns tab"))</f>
        <v/>
      </c>
      <c r="I50" s="84" t="str">
        <f aca="false">IF(C50="","",C50*IF(Settings!$B$24=Settings!$C$6,1,IF(Settings!$B$24="USD",1/INDEX(Settings!$B$29:$B$40,MONTH(A50)),INDEX(Settings!$B$29:$B$40,MONTH(A50)))))</f>
        <v/>
      </c>
    </row>
    <row r="51" customFormat="false" ht="15" hidden="false" customHeight="false" outlineLevel="0" collapsed="false">
      <c r="H51" s="0" t="str">
        <f aca="false">IF(B51="","",IF(COUNTIF(Campaigns!$A$7:$A$300,B51)&gt;0,"✓","⚠ add to Campaigns tab"))</f>
        <v/>
      </c>
      <c r="I51" s="84" t="str">
        <f aca="false">IF(C51="","",C51*IF(Settings!$B$24=Settings!$C$6,1,IF(Settings!$B$24="USD",1/INDEX(Settings!$B$29:$B$40,MONTH(A51)),INDEX(Settings!$B$29:$B$40,MONTH(A51)))))</f>
        <v/>
      </c>
    </row>
    <row r="52" customFormat="false" ht="15" hidden="false" customHeight="false" outlineLevel="0" collapsed="false">
      <c r="H52" s="0" t="str">
        <f aca="false">IF(B52="","",IF(COUNTIF(Campaigns!$A$7:$A$300,B52)&gt;0,"✓","⚠ add to Campaigns tab"))</f>
        <v/>
      </c>
      <c r="I52" s="84" t="str">
        <f aca="false">IF(C52="","",C52*IF(Settings!$B$24=Settings!$C$6,1,IF(Settings!$B$24="USD",1/INDEX(Settings!$B$29:$B$40,MONTH(A52)),INDEX(Settings!$B$29:$B$40,MONTH(A52)))))</f>
        <v/>
      </c>
    </row>
    <row r="53" customFormat="false" ht="15" hidden="false" customHeight="false" outlineLevel="0" collapsed="false">
      <c r="H53" s="0" t="str">
        <f aca="false">IF(B53="","",IF(COUNTIF(Campaigns!$A$7:$A$300,B53)&gt;0,"✓","⚠ add to Campaigns tab"))</f>
        <v/>
      </c>
      <c r="I53" s="84" t="str">
        <f aca="false">IF(C53="","",C53*IF(Settings!$B$24=Settings!$C$6,1,IF(Settings!$B$24="USD",1/INDEX(Settings!$B$29:$B$40,MONTH(A53)),INDEX(Settings!$B$29:$B$40,MONTH(A53)))))</f>
        <v/>
      </c>
    </row>
    <row r="54" customFormat="false" ht="15" hidden="false" customHeight="false" outlineLevel="0" collapsed="false">
      <c r="H54" s="0" t="str">
        <f aca="false">IF(B54="","",IF(COUNTIF(Campaigns!$A$7:$A$300,B54)&gt;0,"✓","⚠ add to Campaigns tab"))</f>
        <v/>
      </c>
      <c r="I54" s="84" t="str">
        <f aca="false">IF(C54="","",C54*IF(Settings!$B$24=Settings!$C$6,1,IF(Settings!$B$24="USD",1/INDEX(Settings!$B$29:$B$40,MONTH(A54)),INDEX(Settings!$B$29:$B$40,MONTH(A54)))))</f>
        <v/>
      </c>
    </row>
    <row r="55" customFormat="false" ht="15" hidden="false" customHeight="false" outlineLevel="0" collapsed="false">
      <c r="H55" s="0" t="str">
        <f aca="false">IF(B55="","",IF(COUNTIF(Campaigns!$A$7:$A$300,B55)&gt;0,"✓","⚠ add to Campaigns tab"))</f>
        <v/>
      </c>
      <c r="I55" s="84" t="str">
        <f aca="false">IF(C55="","",C55*IF(Settings!$B$24=Settings!$C$6,1,IF(Settings!$B$24="USD",1/INDEX(Settings!$B$29:$B$40,MONTH(A55)),INDEX(Settings!$B$29:$B$40,MONTH(A55)))))</f>
        <v/>
      </c>
    </row>
    <row r="56" customFormat="false" ht="15" hidden="false" customHeight="false" outlineLevel="0" collapsed="false">
      <c r="H56" s="0" t="str">
        <f aca="false">IF(B56="","",IF(COUNTIF(Campaigns!$A$7:$A$300,B56)&gt;0,"✓","⚠ add to Campaigns tab"))</f>
        <v/>
      </c>
      <c r="I56" s="84" t="str">
        <f aca="false">IF(C56="","",C56*IF(Settings!$B$24=Settings!$C$6,1,IF(Settings!$B$24="USD",1/INDEX(Settings!$B$29:$B$40,MONTH(A56)),INDEX(Settings!$B$29:$B$40,MONTH(A56)))))</f>
        <v/>
      </c>
    </row>
    <row r="57" customFormat="false" ht="15" hidden="false" customHeight="false" outlineLevel="0" collapsed="false">
      <c r="H57" s="0" t="str">
        <f aca="false">IF(B57="","",IF(COUNTIF(Campaigns!$A$7:$A$300,B57)&gt;0,"✓","⚠ add to Campaigns tab"))</f>
        <v/>
      </c>
      <c r="I57" s="84" t="str">
        <f aca="false">IF(C57="","",C57*IF(Settings!$B$24=Settings!$C$6,1,IF(Settings!$B$24="USD",1/INDEX(Settings!$B$29:$B$40,MONTH(A57)),INDEX(Settings!$B$29:$B$40,MONTH(A57)))))</f>
        <v/>
      </c>
    </row>
    <row r="58" customFormat="false" ht="15" hidden="false" customHeight="false" outlineLevel="0" collapsed="false">
      <c r="H58" s="0" t="str">
        <f aca="false">IF(B58="","",IF(COUNTIF(Campaigns!$A$7:$A$300,B58)&gt;0,"✓","⚠ add to Campaigns tab"))</f>
        <v/>
      </c>
      <c r="I58" s="84" t="str">
        <f aca="false">IF(C58="","",C58*IF(Settings!$B$24=Settings!$C$6,1,IF(Settings!$B$24="USD",1/INDEX(Settings!$B$29:$B$40,MONTH(A58)),INDEX(Settings!$B$29:$B$40,MONTH(A58)))))</f>
        <v/>
      </c>
    </row>
    <row r="59" customFormat="false" ht="15" hidden="false" customHeight="false" outlineLevel="0" collapsed="false">
      <c r="H59" s="0" t="str">
        <f aca="false">IF(B59="","",IF(COUNTIF(Campaigns!$A$7:$A$300,B59)&gt;0,"✓","⚠ add to Campaigns tab"))</f>
        <v/>
      </c>
      <c r="I59" s="84" t="str">
        <f aca="false">IF(C59="","",C59*IF(Settings!$B$24=Settings!$C$6,1,IF(Settings!$B$24="USD",1/INDEX(Settings!$B$29:$B$40,MONTH(A59)),INDEX(Settings!$B$29:$B$40,MONTH(A59)))))</f>
        <v/>
      </c>
    </row>
    <row r="60" customFormat="false" ht="15" hidden="false" customHeight="false" outlineLevel="0" collapsed="false">
      <c r="H60" s="0" t="str">
        <f aca="false">IF(B60="","",IF(COUNTIF(Campaigns!$A$7:$A$300,B60)&gt;0,"✓","⚠ add to Campaigns tab"))</f>
        <v/>
      </c>
      <c r="I60" s="84" t="str">
        <f aca="false">IF(C60="","",C60*IF(Settings!$B$24=Settings!$C$6,1,IF(Settings!$B$24="USD",1/INDEX(Settings!$B$29:$B$40,MONTH(A60)),INDEX(Settings!$B$29:$B$40,MONTH(A60)))))</f>
        <v/>
      </c>
    </row>
    <row r="61" customFormat="false" ht="15" hidden="false" customHeight="false" outlineLevel="0" collapsed="false">
      <c r="H61" s="0" t="str">
        <f aca="false">IF(B61="","",IF(COUNTIF(Campaigns!$A$7:$A$300,B61)&gt;0,"✓","⚠ add to Campaigns tab"))</f>
        <v/>
      </c>
      <c r="I61" s="84" t="str">
        <f aca="false">IF(C61="","",C61*IF(Settings!$B$24=Settings!$C$6,1,IF(Settings!$B$24="USD",1/INDEX(Settings!$B$29:$B$40,MONTH(A61)),INDEX(Settings!$B$29:$B$40,MONTH(A61)))))</f>
        <v/>
      </c>
    </row>
    <row r="62" customFormat="false" ht="15" hidden="false" customHeight="false" outlineLevel="0" collapsed="false">
      <c r="H62" s="0" t="str">
        <f aca="false">IF(B62="","",IF(COUNTIF(Campaigns!$A$7:$A$300,B62)&gt;0,"✓","⚠ add to Campaigns tab"))</f>
        <v/>
      </c>
      <c r="I62" s="84" t="str">
        <f aca="false">IF(C62="","",C62*IF(Settings!$B$24=Settings!$C$6,1,IF(Settings!$B$24="USD",1/INDEX(Settings!$B$29:$B$40,MONTH(A62)),INDEX(Settings!$B$29:$B$40,MONTH(A62)))))</f>
        <v/>
      </c>
    </row>
    <row r="63" customFormat="false" ht="15" hidden="false" customHeight="false" outlineLevel="0" collapsed="false">
      <c r="H63" s="0" t="str">
        <f aca="false">IF(B63="","",IF(COUNTIF(Campaigns!$A$7:$A$300,B63)&gt;0,"✓","⚠ add to Campaigns tab"))</f>
        <v/>
      </c>
      <c r="I63" s="84" t="str">
        <f aca="false">IF(C63="","",C63*IF(Settings!$B$24=Settings!$C$6,1,IF(Settings!$B$24="USD",1/INDEX(Settings!$B$29:$B$40,MONTH(A63)),INDEX(Settings!$B$29:$B$40,MONTH(A63)))))</f>
        <v/>
      </c>
    </row>
    <row r="64" customFormat="false" ht="15" hidden="false" customHeight="false" outlineLevel="0" collapsed="false">
      <c r="H64" s="0" t="str">
        <f aca="false">IF(B64="","",IF(COUNTIF(Campaigns!$A$7:$A$300,B64)&gt;0,"✓","⚠ add to Campaigns tab"))</f>
        <v/>
      </c>
      <c r="I64" s="84" t="str">
        <f aca="false">IF(C64="","",C64*IF(Settings!$B$24=Settings!$C$6,1,IF(Settings!$B$24="USD",1/INDEX(Settings!$B$29:$B$40,MONTH(A64)),INDEX(Settings!$B$29:$B$40,MONTH(A64)))))</f>
        <v/>
      </c>
    </row>
    <row r="65" customFormat="false" ht="15" hidden="false" customHeight="false" outlineLevel="0" collapsed="false">
      <c r="H65" s="0" t="str">
        <f aca="false">IF(B65="","",IF(COUNTIF(Campaigns!$A$7:$A$300,B65)&gt;0,"✓","⚠ add to Campaigns tab"))</f>
        <v/>
      </c>
      <c r="I65" s="84" t="str">
        <f aca="false">IF(C65="","",C65*IF(Settings!$B$24=Settings!$C$6,1,IF(Settings!$B$24="USD",1/INDEX(Settings!$B$29:$B$40,MONTH(A65)),INDEX(Settings!$B$29:$B$40,MONTH(A65)))))</f>
        <v/>
      </c>
    </row>
    <row r="66" customFormat="false" ht="15" hidden="false" customHeight="false" outlineLevel="0" collapsed="false">
      <c r="H66" s="0" t="str">
        <f aca="false">IF(B66="","",IF(COUNTIF(Campaigns!$A$7:$A$300,B66)&gt;0,"✓","⚠ add to Campaigns tab"))</f>
        <v/>
      </c>
      <c r="I66" s="84" t="str">
        <f aca="false">IF(C66="","",C66*IF(Settings!$B$24=Settings!$C$6,1,IF(Settings!$B$24="USD",1/INDEX(Settings!$B$29:$B$40,MONTH(A66)),INDEX(Settings!$B$29:$B$40,MONTH(A66)))))</f>
        <v/>
      </c>
    </row>
    <row r="67" customFormat="false" ht="15" hidden="false" customHeight="false" outlineLevel="0" collapsed="false">
      <c r="H67" s="0" t="str">
        <f aca="false">IF(B67="","",IF(COUNTIF(Campaigns!$A$7:$A$300,B67)&gt;0,"✓","⚠ add to Campaigns tab"))</f>
        <v/>
      </c>
      <c r="I67" s="84" t="str">
        <f aca="false">IF(C67="","",C67*IF(Settings!$B$24=Settings!$C$6,1,IF(Settings!$B$24="USD",1/INDEX(Settings!$B$29:$B$40,MONTH(A67)),INDEX(Settings!$B$29:$B$40,MONTH(A67)))))</f>
        <v/>
      </c>
    </row>
    <row r="68" customFormat="false" ht="15" hidden="false" customHeight="false" outlineLevel="0" collapsed="false">
      <c r="H68" s="0" t="str">
        <f aca="false">IF(B68="","",IF(COUNTIF(Campaigns!$A$7:$A$300,B68)&gt;0,"✓","⚠ add to Campaigns tab"))</f>
        <v/>
      </c>
      <c r="I68" s="84" t="str">
        <f aca="false">IF(C68="","",C68*IF(Settings!$B$24=Settings!$C$6,1,IF(Settings!$B$24="USD",1/INDEX(Settings!$B$29:$B$40,MONTH(A68)),INDEX(Settings!$B$29:$B$40,MONTH(A68)))))</f>
        <v/>
      </c>
    </row>
    <row r="69" customFormat="false" ht="15" hidden="false" customHeight="false" outlineLevel="0" collapsed="false">
      <c r="H69" s="0" t="str">
        <f aca="false">IF(B69="","",IF(COUNTIF(Campaigns!$A$7:$A$300,B69)&gt;0,"✓","⚠ add to Campaigns tab"))</f>
        <v/>
      </c>
      <c r="I69" s="84" t="str">
        <f aca="false">IF(C69="","",C69*IF(Settings!$B$24=Settings!$C$6,1,IF(Settings!$B$24="USD",1/INDEX(Settings!$B$29:$B$40,MONTH(A69)),INDEX(Settings!$B$29:$B$40,MONTH(A69)))))</f>
        <v/>
      </c>
    </row>
    <row r="70" customFormat="false" ht="15" hidden="false" customHeight="false" outlineLevel="0" collapsed="false">
      <c r="H70" s="0" t="str">
        <f aca="false">IF(B70="","",IF(COUNTIF(Campaigns!$A$7:$A$300,B70)&gt;0,"✓","⚠ add to Campaigns tab"))</f>
        <v/>
      </c>
      <c r="I70" s="84" t="str">
        <f aca="false">IF(C70="","",C70*IF(Settings!$B$24=Settings!$C$6,1,IF(Settings!$B$24="USD",1/INDEX(Settings!$B$29:$B$40,MONTH(A70)),INDEX(Settings!$B$29:$B$40,MONTH(A70)))))</f>
        <v/>
      </c>
    </row>
    <row r="71" customFormat="false" ht="15" hidden="false" customHeight="false" outlineLevel="0" collapsed="false">
      <c r="H71" s="0" t="str">
        <f aca="false">IF(B71="","",IF(COUNTIF(Campaigns!$A$7:$A$300,B71)&gt;0,"✓","⚠ add to Campaigns tab"))</f>
        <v/>
      </c>
      <c r="I71" s="84" t="str">
        <f aca="false">IF(C71="","",C71*IF(Settings!$B$24=Settings!$C$6,1,IF(Settings!$B$24="USD",1/INDEX(Settings!$B$29:$B$40,MONTH(A71)),INDEX(Settings!$B$29:$B$40,MONTH(A71)))))</f>
        <v/>
      </c>
    </row>
    <row r="72" customFormat="false" ht="15" hidden="false" customHeight="false" outlineLevel="0" collapsed="false">
      <c r="H72" s="0" t="str">
        <f aca="false">IF(B72="","",IF(COUNTIF(Campaigns!$A$7:$A$300,B72)&gt;0,"✓","⚠ add to Campaigns tab"))</f>
        <v/>
      </c>
      <c r="I72" s="84" t="str">
        <f aca="false">IF(C72="","",C72*IF(Settings!$B$24=Settings!$C$6,1,IF(Settings!$B$24="USD",1/INDEX(Settings!$B$29:$B$40,MONTH(A72)),INDEX(Settings!$B$29:$B$40,MONTH(A72)))))</f>
        <v/>
      </c>
    </row>
    <row r="73" customFormat="false" ht="15" hidden="false" customHeight="false" outlineLevel="0" collapsed="false">
      <c r="H73" s="0" t="str">
        <f aca="false">IF(B73="","",IF(COUNTIF(Campaigns!$A$7:$A$300,B73)&gt;0,"✓","⚠ add to Campaigns tab"))</f>
        <v/>
      </c>
      <c r="I73" s="84" t="str">
        <f aca="false">IF(C73="","",C73*IF(Settings!$B$24=Settings!$C$6,1,IF(Settings!$B$24="USD",1/INDEX(Settings!$B$29:$B$40,MONTH(A73)),INDEX(Settings!$B$29:$B$40,MONTH(A73)))))</f>
        <v/>
      </c>
    </row>
    <row r="74" customFormat="false" ht="15" hidden="false" customHeight="false" outlineLevel="0" collapsed="false">
      <c r="H74" s="0" t="str">
        <f aca="false">IF(B74="","",IF(COUNTIF(Campaigns!$A$7:$A$300,B74)&gt;0,"✓","⚠ add to Campaigns tab"))</f>
        <v/>
      </c>
      <c r="I74" s="84" t="str">
        <f aca="false">IF(C74="","",C74*IF(Settings!$B$24=Settings!$C$6,1,IF(Settings!$B$24="USD",1/INDEX(Settings!$B$29:$B$40,MONTH(A74)),INDEX(Settings!$B$29:$B$40,MONTH(A74)))))</f>
        <v/>
      </c>
    </row>
    <row r="75" customFormat="false" ht="15" hidden="false" customHeight="false" outlineLevel="0" collapsed="false">
      <c r="H75" s="0" t="str">
        <f aca="false">IF(B75="","",IF(COUNTIF(Campaigns!$A$7:$A$300,B75)&gt;0,"✓","⚠ add to Campaigns tab"))</f>
        <v/>
      </c>
      <c r="I75" s="84" t="str">
        <f aca="false">IF(C75="","",C75*IF(Settings!$B$24=Settings!$C$6,1,IF(Settings!$B$24="USD",1/INDEX(Settings!$B$29:$B$40,MONTH(A75)),INDEX(Settings!$B$29:$B$40,MONTH(A75)))))</f>
        <v/>
      </c>
    </row>
    <row r="76" customFormat="false" ht="15" hidden="false" customHeight="false" outlineLevel="0" collapsed="false">
      <c r="H76" s="0" t="str">
        <f aca="false">IF(B76="","",IF(COUNTIF(Campaigns!$A$7:$A$300,B76)&gt;0,"✓","⚠ add to Campaigns tab"))</f>
        <v/>
      </c>
      <c r="I76" s="84" t="str">
        <f aca="false">IF(C76="","",C76*IF(Settings!$B$24=Settings!$C$6,1,IF(Settings!$B$24="USD",1/INDEX(Settings!$B$29:$B$40,MONTH(A76)),INDEX(Settings!$B$29:$B$40,MONTH(A76)))))</f>
        <v/>
      </c>
    </row>
    <row r="77" customFormat="false" ht="15" hidden="false" customHeight="false" outlineLevel="0" collapsed="false">
      <c r="H77" s="0" t="str">
        <f aca="false">IF(B77="","",IF(COUNTIF(Campaigns!$A$7:$A$300,B77)&gt;0,"✓","⚠ add to Campaigns tab"))</f>
        <v/>
      </c>
      <c r="I77" s="84" t="str">
        <f aca="false">IF(C77="","",C77*IF(Settings!$B$24=Settings!$C$6,1,IF(Settings!$B$24="USD",1/INDEX(Settings!$B$29:$B$40,MONTH(A77)),INDEX(Settings!$B$29:$B$40,MONTH(A77)))))</f>
        <v/>
      </c>
    </row>
    <row r="78" customFormat="false" ht="15" hidden="false" customHeight="false" outlineLevel="0" collapsed="false">
      <c r="H78" s="0" t="str">
        <f aca="false">IF(B78="","",IF(COUNTIF(Campaigns!$A$7:$A$300,B78)&gt;0,"✓","⚠ add to Campaigns tab"))</f>
        <v/>
      </c>
      <c r="I78" s="84" t="str">
        <f aca="false">IF(C78="","",C78*IF(Settings!$B$24=Settings!$C$6,1,IF(Settings!$B$24="USD",1/INDEX(Settings!$B$29:$B$40,MONTH(A78)),INDEX(Settings!$B$29:$B$40,MONTH(A78)))))</f>
        <v/>
      </c>
    </row>
    <row r="79" customFormat="false" ht="15" hidden="false" customHeight="false" outlineLevel="0" collapsed="false">
      <c r="H79" s="0" t="str">
        <f aca="false">IF(B79="","",IF(COUNTIF(Campaigns!$A$7:$A$300,B79)&gt;0,"✓","⚠ add to Campaigns tab"))</f>
        <v/>
      </c>
      <c r="I79" s="84" t="str">
        <f aca="false">IF(C79="","",C79*IF(Settings!$B$24=Settings!$C$6,1,IF(Settings!$B$24="USD",1/INDEX(Settings!$B$29:$B$40,MONTH(A79)),INDEX(Settings!$B$29:$B$40,MONTH(A79)))))</f>
        <v/>
      </c>
    </row>
    <row r="80" customFormat="false" ht="15" hidden="false" customHeight="false" outlineLevel="0" collapsed="false">
      <c r="H80" s="0" t="str">
        <f aca="false">IF(B80="","",IF(COUNTIF(Campaigns!$A$7:$A$300,B80)&gt;0,"✓","⚠ add to Campaigns tab"))</f>
        <v/>
      </c>
      <c r="I80" s="84" t="str">
        <f aca="false">IF(C80="","",C80*IF(Settings!$B$24=Settings!$C$6,1,IF(Settings!$B$24="USD",1/INDEX(Settings!$B$29:$B$40,MONTH(A80)),INDEX(Settings!$B$29:$B$40,MONTH(A80)))))</f>
        <v/>
      </c>
    </row>
    <row r="81" customFormat="false" ht="15" hidden="false" customHeight="false" outlineLevel="0" collapsed="false">
      <c r="H81" s="0" t="str">
        <f aca="false">IF(B81="","",IF(COUNTIF(Campaigns!$A$7:$A$300,B81)&gt;0,"✓","⚠ add to Campaigns tab"))</f>
        <v/>
      </c>
      <c r="I81" s="84" t="str">
        <f aca="false">IF(C81="","",C81*IF(Settings!$B$24=Settings!$C$6,1,IF(Settings!$B$24="USD",1/INDEX(Settings!$B$29:$B$40,MONTH(A81)),INDEX(Settings!$B$29:$B$40,MONTH(A81)))))</f>
        <v/>
      </c>
    </row>
    <row r="82" customFormat="false" ht="15" hidden="false" customHeight="false" outlineLevel="0" collapsed="false">
      <c r="H82" s="0" t="str">
        <f aca="false">IF(B82="","",IF(COUNTIF(Campaigns!$A$7:$A$300,B82)&gt;0,"✓","⚠ add to Campaigns tab"))</f>
        <v/>
      </c>
      <c r="I82" s="84" t="str">
        <f aca="false">IF(C82="","",C82*IF(Settings!$B$24=Settings!$C$6,1,IF(Settings!$B$24="USD",1/INDEX(Settings!$B$29:$B$40,MONTH(A82)),INDEX(Settings!$B$29:$B$40,MONTH(A82)))))</f>
        <v/>
      </c>
    </row>
    <row r="83" customFormat="false" ht="15" hidden="false" customHeight="false" outlineLevel="0" collapsed="false">
      <c r="H83" s="0" t="str">
        <f aca="false">IF(B83="","",IF(COUNTIF(Campaigns!$A$7:$A$300,B83)&gt;0,"✓","⚠ add to Campaigns tab"))</f>
        <v/>
      </c>
      <c r="I83" s="84" t="str">
        <f aca="false">IF(C83="","",C83*IF(Settings!$B$24=Settings!$C$6,1,IF(Settings!$B$24="USD",1/INDEX(Settings!$B$29:$B$40,MONTH(A83)),INDEX(Settings!$B$29:$B$40,MONTH(A83)))))</f>
        <v/>
      </c>
    </row>
    <row r="84" customFormat="false" ht="15" hidden="false" customHeight="false" outlineLevel="0" collapsed="false">
      <c r="H84" s="0" t="str">
        <f aca="false">IF(B84="","",IF(COUNTIF(Campaigns!$A$7:$A$300,B84)&gt;0,"✓","⚠ add to Campaigns tab"))</f>
        <v/>
      </c>
      <c r="I84" s="84" t="str">
        <f aca="false">IF(C84="","",C84*IF(Settings!$B$24=Settings!$C$6,1,IF(Settings!$B$24="USD",1/INDEX(Settings!$B$29:$B$40,MONTH(A84)),INDEX(Settings!$B$29:$B$40,MONTH(A84)))))</f>
        <v/>
      </c>
    </row>
    <row r="85" customFormat="false" ht="15" hidden="false" customHeight="false" outlineLevel="0" collapsed="false">
      <c r="H85" s="0" t="str">
        <f aca="false">IF(B85="","",IF(COUNTIF(Campaigns!$A$7:$A$300,B85)&gt;0,"✓","⚠ add to Campaigns tab"))</f>
        <v/>
      </c>
      <c r="I85" s="84" t="str">
        <f aca="false">IF(C85="","",C85*IF(Settings!$B$24=Settings!$C$6,1,IF(Settings!$B$24="USD",1/INDEX(Settings!$B$29:$B$40,MONTH(A85)),INDEX(Settings!$B$29:$B$40,MONTH(A85)))))</f>
        <v/>
      </c>
    </row>
    <row r="86" customFormat="false" ht="15" hidden="false" customHeight="false" outlineLevel="0" collapsed="false">
      <c r="H86" s="0" t="str">
        <f aca="false">IF(B86="","",IF(COUNTIF(Campaigns!$A$7:$A$300,B86)&gt;0,"✓","⚠ add to Campaigns tab"))</f>
        <v/>
      </c>
      <c r="I86" s="84" t="str">
        <f aca="false">IF(C86="","",C86*IF(Settings!$B$24=Settings!$C$6,1,IF(Settings!$B$24="USD",1/INDEX(Settings!$B$29:$B$40,MONTH(A86)),INDEX(Settings!$B$29:$B$40,MONTH(A86)))))</f>
        <v/>
      </c>
    </row>
    <row r="87" customFormat="false" ht="15" hidden="false" customHeight="false" outlineLevel="0" collapsed="false">
      <c r="H87" s="0" t="str">
        <f aca="false">IF(B87="","",IF(COUNTIF(Campaigns!$A$7:$A$300,B87)&gt;0,"✓","⚠ add to Campaigns tab"))</f>
        <v/>
      </c>
      <c r="I87" s="84" t="str">
        <f aca="false">IF(C87="","",C87*IF(Settings!$B$24=Settings!$C$6,1,IF(Settings!$B$24="USD",1/INDEX(Settings!$B$29:$B$40,MONTH(A87)),INDEX(Settings!$B$29:$B$40,MONTH(A87)))))</f>
        <v/>
      </c>
    </row>
    <row r="88" customFormat="false" ht="15" hidden="false" customHeight="false" outlineLevel="0" collapsed="false">
      <c r="H88" s="0" t="str">
        <f aca="false">IF(B88="","",IF(COUNTIF(Campaigns!$A$7:$A$300,B88)&gt;0,"✓","⚠ add to Campaigns tab"))</f>
        <v/>
      </c>
      <c r="I88" s="84" t="str">
        <f aca="false">IF(C88="","",C88*IF(Settings!$B$24=Settings!$C$6,1,IF(Settings!$B$24="USD",1/INDEX(Settings!$B$29:$B$40,MONTH(A88)),INDEX(Settings!$B$29:$B$40,MONTH(A88)))))</f>
        <v/>
      </c>
    </row>
    <row r="89" customFormat="false" ht="15" hidden="false" customHeight="false" outlineLevel="0" collapsed="false">
      <c r="H89" s="0" t="str">
        <f aca="false">IF(B89="","",IF(COUNTIF(Campaigns!$A$7:$A$300,B89)&gt;0,"✓","⚠ add to Campaigns tab"))</f>
        <v/>
      </c>
      <c r="I89" s="84" t="str">
        <f aca="false">IF(C89="","",C89*IF(Settings!$B$24=Settings!$C$6,1,IF(Settings!$B$24="USD",1/INDEX(Settings!$B$29:$B$40,MONTH(A89)),INDEX(Settings!$B$29:$B$40,MONTH(A89)))))</f>
        <v/>
      </c>
    </row>
    <row r="90" customFormat="false" ht="15" hidden="false" customHeight="false" outlineLevel="0" collapsed="false">
      <c r="H90" s="0" t="str">
        <f aca="false">IF(B90="","",IF(COUNTIF(Campaigns!$A$7:$A$300,B90)&gt;0,"✓","⚠ add to Campaigns tab"))</f>
        <v/>
      </c>
      <c r="I90" s="84" t="str">
        <f aca="false">IF(C90="","",C90*IF(Settings!$B$24=Settings!$C$6,1,IF(Settings!$B$24="USD",1/INDEX(Settings!$B$29:$B$40,MONTH(A90)),INDEX(Settings!$B$29:$B$40,MONTH(A90)))))</f>
        <v/>
      </c>
    </row>
    <row r="91" customFormat="false" ht="15" hidden="false" customHeight="false" outlineLevel="0" collapsed="false">
      <c r="H91" s="0" t="str">
        <f aca="false">IF(B91="","",IF(COUNTIF(Campaigns!$A$7:$A$300,B91)&gt;0,"✓","⚠ add to Campaigns tab"))</f>
        <v/>
      </c>
      <c r="I91" s="84" t="str">
        <f aca="false">IF(C91="","",C91*IF(Settings!$B$24=Settings!$C$6,1,IF(Settings!$B$24="USD",1/INDEX(Settings!$B$29:$B$40,MONTH(A91)),INDEX(Settings!$B$29:$B$40,MONTH(A91)))))</f>
        <v/>
      </c>
    </row>
    <row r="92" customFormat="false" ht="15" hidden="false" customHeight="false" outlineLevel="0" collapsed="false">
      <c r="H92" s="0" t="str">
        <f aca="false">IF(B92="","",IF(COUNTIF(Campaigns!$A$7:$A$300,B92)&gt;0,"✓","⚠ add to Campaigns tab"))</f>
        <v/>
      </c>
      <c r="I92" s="84" t="str">
        <f aca="false">IF(C92="","",C92*IF(Settings!$B$24=Settings!$C$6,1,IF(Settings!$B$24="USD",1/INDEX(Settings!$B$29:$B$40,MONTH(A92)),INDEX(Settings!$B$29:$B$40,MONTH(A92)))))</f>
        <v/>
      </c>
    </row>
    <row r="93" customFormat="false" ht="15" hidden="false" customHeight="false" outlineLevel="0" collapsed="false">
      <c r="H93" s="0" t="str">
        <f aca="false">IF(B93="","",IF(COUNTIF(Campaigns!$A$7:$A$300,B93)&gt;0,"✓","⚠ add to Campaigns tab"))</f>
        <v/>
      </c>
      <c r="I93" s="84" t="str">
        <f aca="false">IF(C93="","",C93*IF(Settings!$B$24=Settings!$C$6,1,IF(Settings!$B$24="USD",1/INDEX(Settings!$B$29:$B$40,MONTH(A93)),INDEX(Settings!$B$29:$B$40,MONTH(A93)))))</f>
        <v/>
      </c>
    </row>
    <row r="94" customFormat="false" ht="15" hidden="false" customHeight="false" outlineLevel="0" collapsed="false">
      <c r="H94" s="0" t="str">
        <f aca="false">IF(B94="","",IF(COUNTIF(Campaigns!$A$7:$A$300,B94)&gt;0,"✓","⚠ add to Campaigns tab"))</f>
        <v/>
      </c>
      <c r="I94" s="84" t="str">
        <f aca="false">IF(C94="","",C94*IF(Settings!$B$24=Settings!$C$6,1,IF(Settings!$B$24="USD",1/INDEX(Settings!$B$29:$B$40,MONTH(A94)),INDEX(Settings!$B$29:$B$40,MONTH(A94)))))</f>
        <v/>
      </c>
    </row>
    <row r="95" customFormat="false" ht="15" hidden="false" customHeight="false" outlineLevel="0" collapsed="false">
      <c r="H95" s="0" t="str">
        <f aca="false">IF(B95="","",IF(COUNTIF(Campaigns!$A$7:$A$300,B95)&gt;0,"✓","⚠ add to Campaigns tab"))</f>
        <v/>
      </c>
      <c r="I95" s="84" t="str">
        <f aca="false">IF(C95="","",C95*IF(Settings!$B$24=Settings!$C$6,1,IF(Settings!$B$24="USD",1/INDEX(Settings!$B$29:$B$40,MONTH(A95)),INDEX(Settings!$B$29:$B$40,MONTH(A95)))))</f>
        <v/>
      </c>
    </row>
    <row r="96" customFormat="false" ht="15" hidden="false" customHeight="false" outlineLevel="0" collapsed="false">
      <c r="H96" s="0" t="str">
        <f aca="false">IF(B96="","",IF(COUNTIF(Campaigns!$A$7:$A$300,B96)&gt;0,"✓","⚠ add to Campaigns tab"))</f>
        <v/>
      </c>
      <c r="I96" s="84" t="str">
        <f aca="false">IF(C96="","",C96*IF(Settings!$B$24=Settings!$C$6,1,IF(Settings!$B$24="USD",1/INDEX(Settings!$B$29:$B$40,MONTH(A96)),INDEX(Settings!$B$29:$B$40,MONTH(A96)))))</f>
        <v/>
      </c>
    </row>
    <row r="97" customFormat="false" ht="15" hidden="false" customHeight="false" outlineLevel="0" collapsed="false">
      <c r="H97" s="0" t="str">
        <f aca="false">IF(B97="","",IF(COUNTIF(Campaigns!$A$7:$A$300,B97)&gt;0,"✓","⚠ add to Campaigns tab"))</f>
        <v/>
      </c>
      <c r="I97" s="84" t="str">
        <f aca="false">IF(C97="","",C97*IF(Settings!$B$24=Settings!$C$6,1,IF(Settings!$B$24="USD",1/INDEX(Settings!$B$29:$B$40,MONTH(A97)),INDEX(Settings!$B$29:$B$40,MONTH(A97)))))</f>
        <v/>
      </c>
    </row>
    <row r="98" customFormat="false" ht="15" hidden="false" customHeight="false" outlineLevel="0" collapsed="false">
      <c r="H98" s="0" t="str">
        <f aca="false">IF(B98="","",IF(COUNTIF(Campaigns!$A$7:$A$300,B98)&gt;0,"✓","⚠ add to Campaigns tab"))</f>
        <v/>
      </c>
      <c r="I98" s="84" t="str">
        <f aca="false">IF(C98="","",C98*IF(Settings!$B$24=Settings!$C$6,1,IF(Settings!$B$24="USD",1/INDEX(Settings!$B$29:$B$40,MONTH(A98)),INDEX(Settings!$B$29:$B$40,MONTH(A98)))))</f>
        <v/>
      </c>
    </row>
    <row r="99" customFormat="false" ht="15" hidden="false" customHeight="false" outlineLevel="0" collapsed="false">
      <c r="H99" s="0" t="str">
        <f aca="false">IF(B99="","",IF(COUNTIF(Campaigns!$A$7:$A$300,B99)&gt;0,"✓","⚠ add to Campaigns tab"))</f>
        <v/>
      </c>
      <c r="I99" s="84" t="str">
        <f aca="false">IF(C99="","",C99*IF(Settings!$B$24=Settings!$C$6,1,IF(Settings!$B$24="USD",1/INDEX(Settings!$B$29:$B$40,MONTH(A99)),INDEX(Settings!$B$29:$B$40,MONTH(A99)))))</f>
        <v/>
      </c>
    </row>
    <row r="100" customFormat="false" ht="15" hidden="false" customHeight="false" outlineLevel="0" collapsed="false">
      <c r="H100" s="0" t="str">
        <f aca="false">IF(B100="","",IF(COUNTIF(Campaigns!$A$7:$A$300,B100)&gt;0,"✓","⚠ add to Campaigns tab"))</f>
        <v/>
      </c>
      <c r="I100" s="84" t="str">
        <f aca="false">IF(C100="","",C100*IF(Settings!$B$24=Settings!$C$6,1,IF(Settings!$B$24="USD",1/INDEX(Settings!$B$29:$B$40,MONTH(A100)),INDEX(Settings!$B$29:$B$40,MONTH(A100)))))</f>
        <v/>
      </c>
    </row>
    <row r="101" customFormat="false" ht="15" hidden="false" customHeight="false" outlineLevel="0" collapsed="false">
      <c r="H101" s="0" t="str">
        <f aca="false">IF(B101="","",IF(COUNTIF(Campaigns!$A$7:$A$300,B101)&gt;0,"✓","⚠ add to Campaigns tab"))</f>
        <v/>
      </c>
      <c r="I101" s="84" t="str">
        <f aca="false">IF(C101="","",C101*IF(Settings!$B$24=Settings!$C$6,1,IF(Settings!$B$24="USD",1/INDEX(Settings!$B$29:$B$40,MONTH(A101)),INDEX(Settings!$B$29:$B$40,MONTH(A101)))))</f>
        <v/>
      </c>
    </row>
    <row r="102" customFormat="false" ht="15" hidden="false" customHeight="false" outlineLevel="0" collapsed="false">
      <c r="H102" s="0" t="str">
        <f aca="false">IF(B102="","",IF(COUNTIF(Campaigns!$A$7:$A$300,B102)&gt;0,"✓","⚠ add to Campaigns tab"))</f>
        <v/>
      </c>
      <c r="I102" s="84" t="str">
        <f aca="false">IF(C102="","",C102*IF(Settings!$B$24=Settings!$C$6,1,IF(Settings!$B$24="USD",1/INDEX(Settings!$B$29:$B$40,MONTH(A102)),INDEX(Settings!$B$29:$B$40,MONTH(A102)))))</f>
        <v/>
      </c>
    </row>
    <row r="103" customFormat="false" ht="15" hidden="false" customHeight="false" outlineLevel="0" collapsed="false">
      <c r="H103" s="0" t="str">
        <f aca="false">IF(B103="","",IF(COUNTIF(Campaigns!$A$7:$A$300,B103)&gt;0,"✓","⚠ add to Campaigns tab"))</f>
        <v/>
      </c>
      <c r="I103" s="84" t="str">
        <f aca="false">IF(C103="","",C103*IF(Settings!$B$24=Settings!$C$6,1,IF(Settings!$B$24="USD",1/INDEX(Settings!$B$29:$B$40,MONTH(A103)),INDEX(Settings!$B$29:$B$40,MONTH(A103)))))</f>
        <v/>
      </c>
    </row>
    <row r="104" customFormat="false" ht="15" hidden="false" customHeight="false" outlineLevel="0" collapsed="false">
      <c r="H104" s="0" t="str">
        <f aca="false">IF(B104="","",IF(COUNTIF(Campaigns!$A$7:$A$300,B104)&gt;0,"✓","⚠ add to Campaigns tab"))</f>
        <v/>
      </c>
      <c r="I104" s="84" t="str">
        <f aca="false">IF(C104="","",C104*IF(Settings!$B$24=Settings!$C$6,1,IF(Settings!$B$24="USD",1/INDEX(Settings!$B$29:$B$40,MONTH(A104)),INDEX(Settings!$B$29:$B$40,MONTH(A104)))))</f>
        <v/>
      </c>
    </row>
    <row r="105" customFormat="false" ht="15" hidden="false" customHeight="false" outlineLevel="0" collapsed="false">
      <c r="H105" s="0" t="str">
        <f aca="false">IF(B105="","",IF(COUNTIF(Campaigns!$A$7:$A$300,B105)&gt;0,"✓","⚠ add to Campaigns tab"))</f>
        <v/>
      </c>
      <c r="I105" s="84" t="str">
        <f aca="false">IF(C105="","",C105*IF(Settings!$B$24=Settings!$C$6,1,IF(Settings!$B$24="USD",1/INDEX(Settings!$B$29:$B$40,MONTH(A105)),INDEX(Settings!$B$29:$B$40,MONTH(A105)))))</f>
        <v/>
      </c>
    </row>
    <row r="106" customFormat="false" ht="15" hidden="false" customHeight="false" outlineLevel="0" collapsed="false">
      <c r="H106" s="0" t="str">
        <f aca="false">IF(B106="","",IF(COUNTIF(Campaigns!$A$7:$A$300,B106)&gt;0,"✓","⚠ add to Campaigns tab"))</f>
        <v/>
      </c>
      <c r="I106" s="84" t="str">
        <f aca="false">IF(C106="","",C106*IF(Settings!$B$24=Settings!$C$6,1,IF(Settings!$B$24="USD",1/INDEX(Settings!$B$29:$B$40,MONTH(A106)),INDEX(Settings!$B$29:$B$40,MONTH(A106)))))</f>
        <v/>
      </c>
    </row>
    <row r="107" customFormat="false" ht="15" hidden="false" customHeight="false" outlineLevel="0" collapsed="false">
      <c r="H107" s="0" t="str">
        <f aca="false">IF(B107="","",IF(COUNTIF(Campaigns!$A$7:$A$300,B107)&gt;0,"✓","⚠ add to Campaigns tab"))</f>
        <v/>
      </c>
      <c r="I107" s="84" t="str">
        <f aca="false">IF(C107="","",C107*IF(Settings!$B$24=Settings!$C$6,1,IF(Settings!$B$24="USD",1/INDEX(Settings!$B$29:$B$40,MONTH(A107)),INDEX(Settings!$B$29:$B$40,MONTH(A107)))))</f>
        <v/>
      </c>
    </row>
    <row r="108" customFormat="false" ht="15" hidden="false" customHeight="false" outlineLevel="0" collapsed="false">
      <c r="H108" s="0" t="str">
        <f aca="false">IF(B108="","",IF(COUNTIF(Campaigns!$A$7:$A$300,B108)&gt;0,"✓","⚠ add to Campaigns tab"))</f>
        <v/>
      </c>
      <c r="I108" s="84" t="str">
        <f aca="false">IF(C108="","",C108*IF(Settings!$B$24=Settings!$C$6,1,IF(Settings!$B$24="USD",1/INDEX(Settings!$B$29:$B$40,MONTH(A108)),INDEX(Settings!$B$29:$B$40,MONTH(A108)))))</f>
        <v/>
      </c>
    </row>
    <row r="109" customFormat="false" ht="15" hidden="false" customHeight="false" outlineLevel="0" collapsed="false">
      <c r="H109" s="0" t="str">
        <f aca="false">IF(B109="","",IF(COUNTIF(Campaigns!$A$7:$A$300,B109)&gt;0,"✓","⚠ add to Campaigns tab"))</f>
        <v/>
      </c>
      <c r="I109" s="84" t="str">
        <f aca="false">IF(C109="","",C109*IF(Settings!$B$24=Settings!$C$6,1,IF(Settings!$B$24="USD",1/INDEX(Settings!$B$29:$B$40,MONTH(A109)),INDEX(Settings!$B$29:$B$40,MONTH(A109)))))</f>
        <v/>
      </c>
    </row>
    <row r="110" customFormat="false" ht="15" hidden="false" customHeight="false" outlineLevel="0" collapsed="false">
      <c r="H110" s="0" t="str">
        <f aca="false">IF(B110="","",IF(COUNTIF(Campaigns!$A$7:$A$300,B110)&gt;0,"✓","⚠ add to Campaigns tab"))</f>
        <v/>
      </c>
      <c r="I110" s="84" t="str">
        <f aca="false">IF(C110="","",C110*IF(Settings!$B$24=Settings!$C$6,1,IF(Settings!$B$24="USD",1/INDEX(Settings!$B$29:$B$40,MONTH(A110)),INDEX(Settings!$B$29:$B$40,MONTH(A110)))))</f>
        <v/>
      </c>
    </row>
    <row r="111" customFormat="false" ht="15" hidden="false" customHeight="false" outlineLevel="0" collapsed="false">
      <c r="H111" s="0" t="str">
        <f aca="false">IF(B111="","",IF(COUNTIF(Campaigns!$A$7:$A$300,B111)&gt;0,"✓","⚠ add to Campaigns tab"))</f>
        <v/>
      </c>
      <c r="I111" s="84" t="str">
        <f aca="false">IF(C111="","",C111*IF(Settings!$B$24=Settings!$C$6,1,IF(Settings!$B$24="USD",1/INDEX(Settings!$B$29:$B$40,MONTH(A111)),INDEX(Settings!$B$29:$B$40,MONTH(A111)))))</f>
        <v/>
      </c>
    </row>
    <row r="112" customFormat="false" ht="15" hidden="false" customHeight="false" outlineLevel="0" collapsed="false">
      <c r="H112" s="0" t="str">
        <f aca="false">IF(B112="","",IF(COUNTIF(Campaigns!$A$7:$A$300,B112)&gt;0,"✓","⚠ add to Campaigns tab"))</f>
        <v/>
      </c>
      <c r="I112" s="84" t="str">
        <f aca="false">IF(C112="","",C112*IF(Settings!$B$24=Settings!$C$6,1,IF(Settings!$B$24="USD",1/INDEX(Settings!$B$29:$B$40,MONTH(A112)),INDEX(Settings!$B$29:$B$40,MONTH(A112)))))</f>
        <v/>
      </c>
    </row>
    <row r="113" customFormat="false" ht="15" hidden="false" customHeight="false" outlineLevel="0" collapsed="false">
      <c r="H113" s="0" t="str">
        <f aca="false">IF(B113="","",IF(COUNTIF(Campaigns!$A$7:$A$300,B113)&gt;0,"✓","⚠ add to Campaigns tab"))</f>
        <v/>
      </c>
      <c r="I113" s="84" t="str">
        <f aca="false">IF(C113="","",C113*IF(Settings!$B$24=Settings!$C$6,1,IF(Settings!$B$24="USD",1/INDEX(Settings!$B$29:$B$40,MONTH(A113)),INDEX(Settings!$B$29:$B$40,MONTH(A113)))))</f>
        <v/>
      </c>
    </row>
    <row r="114" customFormat="false" ht="15" hidden="false" customHeight="false" outlineLevel="0" collapsed="false">
      <c r="H114" s="0" t="str">
        <f aca="false">IF(B114="","",IF(COUNTIF(Campaigns!$A$7:$A$300,B114)&gt;0,"✓","⚠ add to Campaigns tab"))</f>
        <v/>
      </c>
      <c r="I114" s="84" t="str">
        <f aca="false">IF(C114="","",C114*IF(Settings!$B$24=Settings!$C$6,1,IF(Settings!$B$24="USD",1/INDEX(Settings!$B$29:$B$40,MONTH(A114)),INDEX(Settings!$B$29:$B$40,MONTH(A114)))))</f>
        <v/>
      </c>
    </row>
    <row r="115" customFormat="false" ht="15" hidden="false" customHeight="false" outlineLevel="0" collapsed="false">
      <c r="H115" s="0" t="str">
        <f aca="false">IF(B115="","",IF(COUNTIF(Campaigns!$A$7:$A$300,B115)&gt;0,"✓","⚠ add to Campaigns tab"))</f>
        <v/>
      </c>
      <c r="I115" s="84" t="str">
        <f aca="false">IF(C115="","",C115*IF(Settings!$B$24=Settings!$C$6,1,IF(Settings!$B$24="USD",1/INDEX(Settings!$B$29:$B$40,MONTH(A115)),INDEX(Settings!$B$29:$B$40,MONTH(A115)))))</f>
        <v/>
      </c>
    </row>
    <row r="116" customFormat="false" ht="15" hidden="false" customHeight="false" outlineLevel="0" collapsed="false">
      <c r="H116" s="0" t="str">
        <f aca="false">IF(B116="","",IF(COUNTIF(Campaigns!$A$7:$A$300,B116)&gt;0,"✓","⚠ add to Campaigns tab"))</f>
        <v/>
      </c>
      <c r="I116" s="84" t="str">
        <f aca="false">IF(C116="","",C116*IF(Settings!$B$24=Settings!$C$6,1,IF(Settings!$B$24="USD",1/INDEX(Settings!$B$29:$B$40,MONTH(A116)),INDEX(Settings!$B$29:$B$40,MONTH(A116)))))</f>
        <v/>
      </c>
    </row>
    <row r="117" customFormat="false" ht="15" hidden="false" customHeight="false" outlineLevel="0" collapsed="false">
      <c r="H117" s="0" t="str">
        <f aca="false">IF(B117="","",IF(COUNTIF(Campaigns!$A$7:$A$300,B117)&gt;0,"✓","⚠ add to Campaigns tab"))</f>
        <v/>
      </c>
      <c r="I117" s="84" t="str">
        <f aca="false">IF(C117="","",C117*IF(Settings!$B$24=Settings!$C$6,1,IF(Settings!$B$24="USD",1/INDEX(Settings!$B$29:$B$40,MONTH(A117)),INDEX(Settings!$B$29:$B$40,MONTH(A117)))))</f>
        <v/>
      </c>
    </row>
    <row r="118" customFormat="false" ht="15" hidden="false" customHeight="false" outlineLevel="0" collapsed="false">
      <c r="H118" s="0" t="str">
        <f aca="false">IF(B118="","",IF(COUNTIF(Campaigns!$A$7:$A$300,B118)&gt;0,"✓","⚠ add to Campaigns tab"))</f>
        <v/>
      </c>
      <c r="I118" s="84" t="str">
        <f aca="false">IF(C118="","",C118*IF(Settings!$B$24=Settings!$C$6,1,IF(Settings!$B$24="USD",1/INDEX(Settings!$B$29:$B$40,MONTH(A118)),INDEX(Settings!$B$29:$B$40,MONTH(A118)))))</f>
        <v/>
      </c>
    </row>
    <row r="119" customFormat="false" ht="15" hidden="false" customHeight="false" outlineLevel="0" collapsed="false">
      <c r="H119" s="0" t="str">
        <f aca="false">IF(B119="","",IF(COUNTIF(Campaigns!$A$7:$A$300,B119)&gt;0,"✓","⚠ add to Campaigns tab"))</f>
        <v/>
      </c>
      <c r="I119" s="84" t="str">
        <f aca="false">IF(C119="","",C119*IF(Settings!$B$24=Settings!$C$6,1,IF(Settings!$B$24="USD",1/INDEX(Settings!$B$29:$B$40,MONTH(A119)),INDEX(Settings!$B$29:$B$40,MONTH(A119)))))</f>
        <v/>
      </c>
    </row>
    <row r="120" customFormat="false" ht="15" hidden="false" customHeight="false" outlineLevel="0" collapsed="false">
      <c r="H120" s="0" t="str">
        <f aca="false">IF(B120="","",IF(COUNTIF(Campaigns!$A$7:$A$300,B120)&gt;0,"✓","⚠ add to Campaigns tab"))</f>
        <v/>
      </c>
      <c r="I120" s="84" t="str">
        <f aca="false">IF(C120="","",C120*IF(Settings!$B$24=Settings!$C$6,1,IF(Settings!$B$24="USD",1/INDEX(Settings!$B$29:$B$40,MONTH(A120)),INDEX(Settings!$B$29:$B$40,MONTH(A120)))))</f>
        <v/>
      </c>
    </row>
    <row r="121" customFormat="false" ht="15" hidden="false" customHeight="false" outlineLevel="0" collapsed="false">
      <c r="H121" s="0" t="str">
        <f aca="false">IF(B121="","",IF(COUNTIF(Campaigns!$A$7:$A$300,B121)&gt;0,"✓","⚠ add to Campaigns tab"))</f>
        <v/>
      </c>
      <c r="I121" s="84" t="str">
        <f aca="false">IF(C121="","",C121*IF(Settings!$B$24=Settings!$C$6,1,IF(Settings!$B$24="USD",1/INDEX(Settings!$B$29:$B$40,MONTH(A121)),INDEX(Settings!$B$29:$B$40,MONTH(A121)))))</f>
        <v/>
      </c>
    </row>
    <row r="122" customFormat="false" ht="15" hidden="false" customHeight="false" outlineLevel="0" collapsed="false">
      <c r="H122" s="0" t="str">
        <f aca="false">IF(B122="","",IF(COUNTIF(Campaigns!$A$7:$A$300,B122)&gt;0,"✓","⚠ add to Campaigns tab"))</f>
        <v/>
      </c>
      <c r="I122" s="84" t="str">
        <f aca="false">IF(C122="","",C122*IF(Settings!$B$24=Settings!$C$6,1,IF(Settings!$B$24="USD",1/INDEX(Settings!$B$29:$B$40,MONTH(A122)),INDEX(Settings!$B$29:$B$40,MONTH(A122)))))</f>
        <v/>
      </c>
    </row>
    <row r="123" customFormat="false" ht="15" hidden="false" customHeight="false" outlineLevel="0" collapsed="false">
      <c r="H123" s="0" t="str">
        <f aca="false">IF(B123="","",IF(COUNTIF(Campaigns!$A$7:$A$300,B123)&gt;0,"✓","⚠ add to Campaigns tab"))</f>
        <v/>
      </c>
      <c r="I123" s="84" t="str">
        <f aca="false">IF(C123="","",C123*IF(Settings!$B$24=Settings!$C$6,1,IF(Settings!$B$24="USD",1/INDEX(Settings!$B$29:$B$40,MONTH(A123)),INDEX(Settings!$B$29:$B$40,MONTH(A123)))))</f>
        <v/>
      </c>
    </row>
    <row r="124" customFormat="false" ht="15" hidden="false" customHeight="false" outlineLevel="0" collapsed="false">
      <c r="H124" s="0" t="str">
        <f aca="false">IF(B124="","",IF(COUNTIF(Campaigns!$A$7:$A$300,B124)&gt;0,"✓","⚠ add to Campaigns tab"))</f>
        <v/>
      </c>
      <c r="I124" s="84" t="str">
        <f aca="false">IF(C124="","",C124*IF(Settings!$B$24=Settings!$C$6,1,IF(Settings!$B$24="USD",1/INDEX(Settings!$B$29:$B$40,MONTH(A124)),INDEX(Settings!$B$29:$B$40,MONTH(A124)))))</f>
        <v/>
      </c>
    </row>
    <row r="125" customFormat="false" ht="15" hidden="false" customHeight="false" outlineLevel="0" collapsed="false">
      <c r="H125" s="0" t="str">
        <f aca="false">IF(B125="","",IF(COUNTIF(Campaigns!$A$7:$A$300,B125)&gt;0,"✓","⚠ add to Campaigns tab"))</f>
        <v/>
      </c>
      <c r="I125" s="84" t="str">
        <f aca="false">IF(C125="","",C125*IF(Settings!$B$24=Settings!$C$6,1,IF(Settings!$B$24="USD",1/INDEX(Settings!$B$29:$B$40,MONTH(A125)),INDEX(Settings!$B$29:$B$40,MONTH(A125)))))</f>
        <v/>
      </c>
    </row>
    <row r="126" customFormat="false" ht="15" hidden="false" customHeight="false" outlineLevel="0" collapsed="false">
      <c r="H126" s="0" t="str">
        <f aca="false">IF(B126="","",IF(COUNTIF(Campaigns!$A$7:$A$300,B126)&gt;0,"✓","⚠ add to Campaigns tab"))</f>
        <v/>
      </c>
      <c r="I126" s="84" t="str">
        <f aca="false">IF(C126="","",C126*IF(Settings!$B$24=Settings!$C$6,1,IF(Settings!$B$24="USD",1/INDEX(Settings!$B$29:$B$40,MONTH(A126)),INDEX(Settings!$B$29:$B$40,MONTH(A126)))))</f>
        <v/>
      </c>
    </row>
    <row r="127" customFormat="false" ht="15" hidden="false" customHeight="false" outlineLevel="0" collapsed="false">
      <c r="H127" s="0" t="str">
        <f aca="false">IF(B127="","",IF(COUNTIF(Campaigns!$A$7:$A$300,B127)&gt;0,"✓","⚠ add to Campaigns tab"))</f>
        <v/>
      </c>
      <c r="I127" s="84" t="str">
        <f aca="false">IF(C127="","",C127*IF(Settings!$B$24=Settings!$C$6,1,IF(Settings!$B$24="USD",1/INDEX(Settings!$B$29:$B$40,MONTH(A127)),INDEX(Settings!$B$29:$B$40,MONTH(A127)))))</f>
        <v/>
      </c>
    </row>
    <row r="128" customFormat="false" ht="15" hidden="false" customHeight="false" outlineLevel="0" collapsed="false">
      <c r="H128" s="0" t="str">
        <f aca="false">IF(B128="","",IF(COUNTIF(Campaigns!$A$7:$A$300,B128)&gt;0,"✓","⚠ add to Campaigns tab"))</f>
        <v/>
      </c>
      <c r="I128" s="84" t="str">
        <f aca="false">IF(C128="","",C128*IF(Settings!$B$24=Settings!$C$6,1,IF(Settings!$B$24="USD",1/INDEX(Settings!$B$29:$B$40,MONTH(A128)),INDEX(Settings!$B$29:$B$40,MONTH(A128)))))</f>
        <v/>
      </c>
    </row>
    <row r="129" customFormat="false" ht="15" hidden="false" customHeight="false" outlineLevel="0" collapsed="false">
      <c r="H129" s="0" t="str">
        <f aca="false">IF(B129="","",IF(COUNTIF(Campaigns!$A$7:$A$300,B129)&gt;0,"✓","⚠ add to Campaigns tab"))</f>
        <v/>
      </c>
      <c r="I129" s="84" t="str">
        <f aca="false">IF(C129="","",C129*IF(Settings!$B$24=Settings!$C$6,1,IF(Settings!$B$24="USD",1/INDEX(Settings!$B$29:$B$40,MONTH(A129)),INDEX(Settings!$B$29:$B$40,MONTH(A129)))))</f>
        <v/>
      </c>
    </row>
    <row r="130" customFormat="false" ht="15" hidden="false" customHeight="false" outlineLevel="0" collapsed="false">
      <c r="H130" s="0" t="str">
        <f aca="false">IF(B130="","",IF(COUNTIF(Campaigns!$A$7:$A$300,B130)&gt;0,"✓","⚠ add to Campaigns tab"))</f>
        <v/>
      </c>
      <c r="I130" s="84" t="str">
        <f aca="false">IF(C130="","",C130*IF(Settings!$B$24=Settings!$C$6,1,IF(Settings!$B$24="USD",1/INDEX(Settings!$B$29:$B$40,MONTH(A130)),INDEX(Settings!$B$29:$B$40,MONTH(A130)))))</f>
        <v/>
      </c>
    </row>
    <row r="131" customFormat="false" ht="15" hidden="false" customHeight="false" outlineLevel="0" collapsed="false">
      <c r="H131" s="0" t="str">
        <f aca="false">IF(B131="","",IF(COUNTIF(Campaigns!$A$7:$A$300,B131)&gt;0,"✓","⚠ add to Campaigns tab"))</f>
        <v/>
      </c>
      <c r="I131" s="84" t="str">
        <f aca="false">IF(C131="","",C131*IF(Settings!$B$24=Settings!$C$6,1,IF(Settings!$B$24="USD",1/INDEX(Settings!$B$29:$B$40,MONTH(A131)),INDEX(Settings!$B$29:$B$40,MONTH(A131)))))</f>
        <v/>
      </c>
    </row>
    <row r="132" customFormat="false" ht="15" hidden="false" customHeight="false" outlineLevel="0" collapsed="false">
      <c r="H132" s="0" t="str">
        <f aca="false">IF(B132="","",IF(COUNTIF(Campaigns!$A$7:$A$300,B132)&gt;0,"✓","⚠ add to Campaigns tab"))</f>
        <v/>
      </c>
      <c r="I132" s="84" t="str">
        <f aca="false">IF(C132="","",C132*IF(Settings!$B$24=Settings!$C$6,1,IF(Settings!$B$24="USD",1/INDEX(Settings!$B$29:$B$40,MONTH(A132)),INDEX(Settings!$B$29:$B$40,MONTH(A132)))))</f>
        <v/>
      </c>
    </row>
    <row r="133" customFormat="false" ht="15" hidden="false" customHeight="false" outlineLevel="0" collapsed="false">
      <c r="H133" s="0" t="str">
        <f aca="false">IF(B133="","",IF(COUNTIF(Campaigns!$A$7:$A$300,B133)&gt;0,"✓","⚠ add to Campaigns tab"))</f>
        <v/>
      </c>
      <c r="I133" s="84" t="str">
        <f aca="false">IF(C133="","",C133*IF(Settings!$B$24=Settings!$C$6,1,IF(Settings!$B$24="USD",1/INDEX(Settings!$B$29:$B$40,MONTH(A133)),INDEX(Settings!$B$29:$B$40,MONTH(A133)))))</f>
        <v/>
      </c>
    </row>
    <row r="134" customFormat="false" ht="15" hidden="false" customHeight="false" outlineLevel="0" collapsed="false">
      <c r="H134" s="0" t="str">
        <f aca="false">IF(B134="","",IF(COUNTIF(Campaigns!$A$7:$A$300,B134)&gt;0,"✓","⚠ add to Campaigns tab"))</f>
        <v/>
      </c>
      <c r="I134" s="84" t="str">
        <f aca="false">IF(C134="","",C134*IF(Settings!$B$24=Settings!$C$6,1,IF(Settings!$B$24="USD",1/INDEX(Settings!$B$29:$B$40,MONTH(A134)),INDEX(Settings!$B$29:$B$40,MONTH(A134)))))</f>
        <v/>
      </c>
    </row>
    <row r="135" customFormat="false" ht="15" hidden="false" customHeight="false" outlineLevel="0" collapsed="false">
      <c r="H135" s="0" t="str">
        <f aca="false">IF(B135="","",IF(COUNTIF(Campaigns!$A$7:$A$300,B135)&gt;0,"✓","⚠ add to Campaigns tab"))</f>
        <v/>
      </c>
      <c r="I135" s="84" t="str">
        <f aca="false">IF(C135="","",C135*IF(Settings!$B$24=Settings!$C$6,1,IF(Settings!$B$24="USD",1/INDEX(Settings!$B$29:$B$40,MONTH(A135)),INDEX(Settings!$B$29:$B$40,MONTH(A135)))))</f>
        <v/>
      </c>
    </row>
    <row r="136" customFormat="false" ht="15" hidden="false" customHeight="false" outlineLevel="0" collapsed="false">
      <c r="H136" s="0" t="str">
        <f aca="false">IF(B136="","",IF(COUNTIF(Campaigns!$A$7:$A$300,B136)&gt;0,"✓","⚠ add to Campaigns tab"))</f>
        <v/>
      </c>
      <c r="I136" s="84" t="str">
        <f aca="false">IF(C136="","",C136*IF(Settings!$B$24=Settings!$C$6,1,IF(Settings!$B$24="USD",1/INDEX(Settings!$B$29:$B$40,MONTH(A136)),INDEX(Settings!$B$29:$B$40,MONTH(A136)))))</f>
        <v/>
      </c>
    </row>
    <row r="137" customFormat="false" ht="15" hidden="false" customHeight="false" outlineLevel="0" collapsed="false">
      <c r="H137" s="0" t="str">
        <f aca="false">IF(B137="","",IF(COUNTIF(Campaigns!$A$7:$A$300,B137)&gt;0,"✓","⚠ add to Campaigns tab"))</f>
        <v/>
      </c>
      <c r="I137" s="84" t="str">
        <f aca="false">IF(C137="","",C137*IF(Settings!$B$24=Settings!$C$6,1,IF(Settings!$B$24="USD",1/INDEX(Settings!$B$29:$B$40,MONTH(A137)),INDEX(Settings!$B$29:$B$40,MONTH(A137)))))</f>
        <v/>
      </c>
    </row>
    <row r="138" customFormat="false" ht="15" hidden="false" customHeight="false" outlineLevel="0" collapsed="false">
      <c r="H138" s="0" t="str">
        <f aca="false">IF(B138="","",IF(COUNTIF(Campaigns!$A$7:$A$300,B138)&gt;0,"✓","⚠ add to Campaigns tab"))</f>
        <v/>
      </c>
      <c r="I138" s="84" t="str">
        <f aca="false">IF(C138="","",C138*IF(Settings!$B$24=Settings!$C$6,1,IF(Settings!$B$24="USD",1/INDEX(Settings!$B$29:$B$40,MONTH(A138)),INDEX(Settings!$B$29:$B$40,MONTH(A138)))))</f>
        <v/>
      </c>
    </row>
    <row r="139" customFormat="false" ht="15" hidden="false" customHeight="false" outlineLevel="0" collapsed="false">
      <c r="H139" s="0" t="str">
        <f aca="false">IF(B139="","",IF(COUNTIF(Campaigns!$A$7:$A$300,B139)&gt;0,"✓","⚠ add to Campaigns tab"))</f>
        <v/>
      </c>
      <c r="I139" s="84" t="str">
        <f aca="false">IF(C139="","",C139*IF(Settings!$B$24=Settings!$C$6,1,IF(Settings!$B$24="USD",1/INDEX(Settings!$B$29:$B$40,MONTH(A139)),INDEX(Settings!$B$29:$B$40,MONTH(A139)))))</f>
        <v/>
      </c>
    </row>
    <row r="140" customFormat="false" ht="15" hidden="false" customHeight="false" outlineLevel="0" collapsed="false">
      <c r="H140" s="0" t="str">
        <f aca="false">IF(B140="","",IF(COUNTIF(Campaigns!$A$7:$A$300,B140)&gt;0,"✓","⚠ add to Campaigns tab"))</f>
        <v/>
      </c>
      <c r="I140" s="84" t="str">
        <f aca="false">IF(C140="","",C140*IF(Settings!$B$24=Settings!$C$6,1,IF(Settings!$B$24="USD",1/INDEX(Settings!$B$29:$B$40,MONTH(A140)),INDEX(Settings!$B$29:$B$40,MONTH(A140)))))</f>
        <v/>
      </c>
    </row>
    <row r="141" customFormat="false" ht="15" hidden="false" customHeight="false" outlineLevel="0" collapsed="false">
      <c r="H141" s="0" t="str">
        <f aca="false">IF(B141="","",IF(COUNTIF(Campaigns!$A$7:$A$300,B141)&gt;0,"✓","⚠ add to Campaigns tab"))</f>
        <v/>
      </c>
      <c r="I141" s="84" t="str">
        <f aca="false">IF(C141="","",C141*IF(Settings!$B$24=Settings!$C$6,1,IF(Settings!$B$24="USD",1/INDEX(Settings!$B$29:$B$40,MONTH(A141)),INDEX(Settings!$B$29:$B$40,MONTH(A141)))))</f>
        <v/>
      </c>
    </row>
    <row r="142" customFormat="false" ht="15" hidden="false" customHeight="false" outlineLevel="0" collapsed="false">
      <c r="H142" s="0" t="str">
        <f aca="false">IF(B142="","",IF(COUNTIF(Campaigns!$A$7:$A$300,B142)&gt;0,"✓","⚠ add to Campaigns tab"))</f>
        <v/>
      </c>
      <c r="I142" s="84" t="str">
        <f aca="false">IF(C142="","",C142*IF(Settings!$B$24=Settings!$C$6,1,IF(Settings!$B$24="USD",1/INDEX(Settings!$B$29:$B$40,MONTH(A142)),INDEX(Settings!$B$29:$B$40,MONTH(A142)))))</f>
        <v/>
      </c>
    </row>
    <row r="143" customFormat="false" ht="15" hidden="false" customHeight="false" outlineLevel="0" collapsed="false">
      <c r="H143" s="0" t="str">
        <f aca="false">IF(B143="","",IF(COUNTIF(Campaigns!$A$7:$A$300,B143)&gt;0,"✓","⚠ add to Campaigns tab"))</f>
        <v/>
      </c>
      <c r="I143" s="84" t="str">
        <f aca="false">IF(C143="","",C143*IF(Settings!$B$24=Settings!$C$6,1,IF(Settings!$B$24="USD",1/INDEX(Settings!$B$29:$B$40,MONTH(A143)),INDEX(Settings!$B$29:$B$40,MONTH(A143)))))</f>
        <v/>
      </c>
    </row>
    <row r="144" customFormat="false" ht="15" hidden="false" customHeight="false" outlineLevel="0" collapsed="false">
      <c r="H144" s="0" t="str">
        <f aca="false">IF(B144="","",IF(COUNTIF(Campaigns!$A$7:$A$300,B144)&gt;0,"✓","⚠ add to Campaigns tab"))</f>
        <v/>
      </c>
      <c r="I144" s="84" t="str">
        <f aca="false">IF(C144="","",C144*IF(Settings!$B$24=Settings!$C$6,1,IF(Settings!$B$24="USD",1/INDEX(Settings!$B$29:$B$40,MONTH(A144)),INDEX(Settings!$B$29:$B$40,MONTH(A144)))))</f>
        <v/>
      </c>
    </row>
    <row r="145" customFormat="false" ht="15" hidden="false" customHeight="false" outlineLevel="0" collapsed="false">
      <c r="H145" s="0" t="str">
        <f aca="false">IF(B145="","",IF(COUNTIF(Campaigns!$A$7:$A$300,B145)&gt;0,"✓","⚠ add to Campaigns tab"))</f>
        <v/>
      </c>
      <c r="I145" s="84" t="str">
        <f aca="false">IF(C145="","",C145*IF(Settings!$B$24=Settings!$C$6,1,IF(Settings!$B$24="USD",1/INDEX(Settings!$B$29:$B$40,MONTH(A145)),INDEX(Settings!$B$29:$B$40,MONTH(A145)))))</f>
        <v/>
      </c>
    </row>
    <row r="146" customFormat="false" ht="15" hidden="false" customHeight="false" outlineLevel="0" collapsed="false">
      <c r="H146" s="0" t="str">
        <f aca="false">IF(B146="","",IF(COUNTIF(Campaigns!$A$7:$A$300,B146)&gt;0,"✓","⚠ add to Campaigns tab"))</f>
        <v/>
      </c>
      <c r="I146" s="84" t="str">
        <f aca="false">IF(C146="","",C146*IF(Settings!$B$24=Settings!$C$6,1,IF(Settings!$B$24="USD",1/INDEX(Settings!$B$29:$B$40,MONTH(A146)),INDEX(Settings!$B$29:$B$40,MONTH(A146)))))</f>
        <v/>
      </c>
    </row>
    <row r="147" customFormat="false" ht="15" hidden="false" customHeight="false" outlineLevel="0" collapsed="false">
      <c r="H147" s="0" t="str">
        <f aca="false">IF(B147="","",IF(COUNTIF(Campaigns!$A$7:$A$300,B147)&gt;0,"✓","⚠ add to Campaigns tab"))</f>
        <v/>
      </c>
      <c r="I147" s="84" t="str">
        <f aca="false">IF(C147="","",C147*IF(Settings!$B$24=Settings!$C$6,1,IF(Settings!$B$24="USD",1/INDEX(Settings!$B$29:$B$40,MONTH(A147)),INDEX(Settings!$B$29:$B$40,MONTH(A147)))))</f>
        <v/>
      </c>
    </row>
    <row r="148" customFormat="false" ht="15" hidden="false" customHeight="false" outlineLevel="0" collapsed="false">
      <c r="H148" s="0" t="str">
        <f aca="false">IF(B148="","",IF(COUNTIF(Campaigns!$A$7:$A$300,B148)&gt;0,"✓","⚠ add to Campaigns tab"))</f>
        <v/>
      </c>
      <c r="I148" s="84" t="str">
        <f aca="false">IF(C148="","",C148*IF(Settings!$B$24=Settings!$C$6,1,IF(Settings!$B$24="USD",1/INDEX(Settings!$B$29:$B$40,MONTH(A148)),INDEX(Settings!$B$29:$B$40,MONTH(A148)))))</f>
        <v/>
      </c>
    </row>
    <row r="149" customFormat="false" ht="15" hidden="false" customHeight="false" outlineLevel="0" collapsed="false">
      <c r="H149" s="0" t="str">
        <f aca="false">IF(B149="","",IF(COUNTIF(Campaigns!$A$7:$A$300,B149)&gt;0,"✓","⚠ add to Campaigns tab"))</f>
        <v/>
      </c>
      <c r="I149" s="84" t="str">
        <f aca="false">IF(C149="","",C149*IF(Settings!$B$24=Settings!$C$6,1,IF(Settings!$B$24="USD",1/INDEX(Settings!$B$29:$B$40,MONTH(A149)),INDEX(Settings!$B$29:$B$40,MONTH(A149)))))</f>
        <v/>
      </c>
    </row>
    <row r="150" customFormat="false" ht="15" hidden="false" customHeight="false" outlineLevel="0" collapsed="false">
      <c r="H150" s="0" t="str">
        <f aca="false">IF(B150="","",IF(COUNTIF(Campaigns!$A$7:$A$300,B150)&gt;0,"✓","⚠ add to Campaigns tab"))</f>
        <v/>
      </c>
      <c r="I150" s="84" t="str">
        <f aca="false">IF(C150="","",C150*IF(Settings!$B$24=Settings!$C$6,1,IF(Settings!$B$24="USD",1/INDEX(Settings!$B$29:$B$40,MONTH(A150)),INDEX(Settings!$B$29:$B$40,MONTH(A150)))))</f>
        <v/>
      </c>
    </row>
    <row r="151" customFormat="false" ht="15" hidden="false" customHeight="false" outlineLevel="0" collapsed="false">
      <c r="H151" s="0" t="str">
        <f aca="false">IF(B151="","",IF(COUNTIF(Campaigns!$A$7:$A$300,B151)&gt;0,"✓","⚠ add to Campaigns tab"))</f>
        <v/>
      </c>
      <c r="I151" s="84" t="str">
        <f aca="false">IF(C151="","",C151*IF(Settings!$B$24=Settings!$C$6,1,IF(Settings!$B$24="USD",1/INDEX(Settings!$B$29:$B$40,MONTH(A151)),INDEX(Settings!$B$29:$B$40,MONTH(A151)))))</f>
        <v/>
      </c>
    </row>
    <row r="152" customFormat="false" ht="15" hidden="false" customHeight="false" outlineLevel="0" collapsed="false">
      <c r="H152" s="0" t="str">
        <f aca="false">IF(B152="","",IF(COUNTIF(Campaigns!$A$7:$A$300,B152)&gt;0,"✓","⚠ add to Campaigns tab"))</f>
        <v/>
      </c>
      <c r="I152" s="84" t="str">
        <f aca="false">IF(C152="","",C152*IF(Settings!$B$24=Settings!$C$6,1,IF(Settings!$B$24="USD",1/INDEX(Settings!$B$29:$B$40,MONTH(A152)),INDEX(Settings!$B$29:$B$40,MONTH(A152)))))</f>
        <v/>
      </c>
    </row>
    <row r="153" customFormat="false" ht="15" hidden="false" customHeight="false" outlineLevel="0" collapsed="false">
      <c r="H153" s="0" t="str">
        <f aca="false">IF(B153="","",IF(COUNTIF(Campaigns!$A$7:$A$300,B153)&gt;0,"✓","⚠ add to Campaigns tab"))</f>
        <v/>
      </c>
      <c r="I153" s="84" t="str">
        <f aca="false">IF(C153="","",C153*IF(Settings!$B$24=Settings!$C$6,1,IF(Settings!$B$24="USD",1/INDEX(Settings!$B$29:$B$40,MONTH(A153)),INDEX(Settings!$B$29:$B$40,MONTH(A153)))))</f>
        <v/>
      </c>
    </row>
    <row r="154" customFormat="false" ht="15" hidden="false" customHeight="false" outlineLevel="0" collapsed="false">
      <c r="H154" s="0" t="str">
        <f aca="false">IF(B154="","",IF(COUNTIF(Campaigns!$A$7:$A$300,B154)&gt;0,"✓","⚠ add to Campaigns tab"))</f>
        <v/>
      </c>
      <c r="I154" s="84" t="str">
        <f aca="false">IF(C154="","",C154*IF(Settings!$B$24=Settings!$C$6,1,IF(Settings!$B$24="USD",1/INDEX(Settings!$B$29:$B$40,MONTH(A154)),INDEX(Settings!$B$29:$B$40,MONTH(A154)))))</f>
        <v/>
      </c>
    </row>
    <row r="155" customFormat="false" ht="15" hidden="false" customHeight="false" outlineLevel="0" collapsed="false">
      <c r="H155" s="0" t="str">
        <f aca="false">IF(B155="","",IF(COUNTIF(Campaigns!$A$7:$A$300,B155)&gt;0,"✓","⚠ add to Campaigns tab"))</f>
        <v/>
      </c>
      <c r="I155" s="84" t="str">
        <f aca="false">IF(C155="","",C155*IF(Settings!$B$24=Settings!$C$6,1,IF(Settings!$B$24="USD",1/INDEX(Settings!$B$29:$B$40,MONTH(A155)),INDEX(Settings!$B$29:$B$40,MONTH(A155)))))</f>
        <v/>
      </c>
    </row>
    <row r="156" customFormat="false" ht="15" hidden="false" customHeight="false" outlineLevel="0" collapsed="false">
      <c r="H156" s="0" t="str">
        <f aca="false">IF(B156="","",IF(COUNTIF(Campaigns!$A$7:$A$300,B156)&gt;0,"✓","⚠ add to Campaigns tab"))</f>
        <v/>
      </c>
      <c r="I156" s="84" t="str">
        <f aca="false">IF(C156="","",C156*IF(Settings!$B$24=Settings!$C$6,1,IF(Settings!$B$24="USD",1/INDEX(Settings!$B$29:$B$40,MONTH(A156)),INDEX(Settings!$B$29:$B$40,MONTH(A156)))))</f>
        <v/>
      </c>
    </row>
    <row r="157" customFormat="false" ht="15" hidden="false" customHeight="false" outlineLevel="0" collapsed="false">
      <c r="H157" s="0" t="str">
        <f aca="false">IF(B157="","",IF(COUNTIF(Campaigns!$A$7:$A$300,B157)&gt;0,"✓","⚠ add to Campaigns tab"))</f>
        <v/>
      </c>
      <c r="I157" s="84" t="str">
        <f aca="false">IF(C157="","",C157*IF(Settings!$B$24=Settings!$C$6,1,IF(Settings!$B$24="USD",1/INDEX(Settings!$B$29:$B$40,MONTH(A157)),INDEX(Settings!$B$29:$B$40,MONTH(A157)))))</f>
        <v/>
      </c>
    </row>
    <row r="158" customFormat="false" ht="15" hidden="false" customHeight="false" outlineLevel="0" collapsed="false">
      <c r="H158" s="0" t="str">
        <f aca="false">IF(B158="","",IF(COUNTIF(Campaigns!$A$7:$A$300,B158)&gt;0,"✓","⚠ add to Campaigns tab"))</f>
        <v/>
      </c>
      <c r="I158" s="84" t="str">
        <f aca="false">IF(C158="","",C158*IF(Settings!$B$24=Settings!$C$6,1,IF(Settings!$B$24="USD",1/INDEX(Settings!$B$29:$B$40,MONTH(A158)),INDEX(Settings!$B$29:$B$40,MONTH(A158)))))</f>
        <v/>
      </c>
    </row>
    <row r="159" customFormat="false" ht="15" hidden="false" customHeight="false" outlineLevel="0" collapsed="false">
      <c r="H159" s="0" t="str">
        <f aca="false">IF(B159="","",IF(COUNTIF(Campaigns!$A$7:$A$300,B159)&gt;0,"✓","⚠ add to Campaigns tab"))</f>
        <v/>
      </c>
      <c r="I159" s="84" t="str">
        <f aca="false">IF(C159="","",C159*IF(Settings!$B$24=Settings!$C$6,1,IF(Settings!$B$24="USD",1/INDEX(Settings!$B$29:$B$40,MONTH(A159)),INDEX(Settings!$B$29:$B$40,MONTH(A159)))))</f>
        <v/>
      </c>
    </row>
    <row r="160" customFormat="false" ht="15" hidden="false" customHeight="false" outlineLevel="0" collapsed="false">
      <c r="H160" s="0" t="str">
        <f aca="false">IF(B160="","",IF(COUNTIF(Campaigns!$A$7:$A$300,B160)&gt;0,"✓","⚠ add to Campaigns tab"))</f>
        <v/>
      </c>
      <c r="I160" s="84" t="str">
        <f aca="false">IF(C160="","",C160*IF(Settings!$B$24=Settings!$C$6,1,IF(Settings!$B$24="USD",1/INDEX(Settings!$B$29:$B$40,MONTH(A160)),INDEX(Settings!$B$29:$B$40,MONTH(A160)))))</f>
        <v/>
      </c>
    </row>
    <row r="161" customFormat="false" ht="15" hidden="false" customHeight="false" outlineLevel="0" collapsed="false">
      <c r="H161" s="0" t="str">
        <f aca="false">IF(B161="","",IF(COUNTIF(Campaigns!$A$7:$A$300,B161)&gt;0,"✓","⚠ add to Campaigns tab"))</f>
        <v/>
      </c>
      <c r="I161" s="84" t="str">
        <f aca="false">IF(C161="","",C161*IF(Settings!$B$24=Settings!$C$6,1,IF(Settings!$B$24="USD",1/INDEX(Settings!$B$29:$B$40,MONTH(A161)),INDEX(Settings!$B$29:$B$40,MONTH(A161)))))</f>
        <v/>
      </c>
    </row>
    <row r="162" customFormat="false" ht="15" hidden="false" customHeight="false" outlineLevel="0" collapsed="false">
      <c r="H162" s="0" t="str">
        <f aca="false">IF(B162="","",IF(COUNTIF(Campaigns!$A$7:$A$300,B162)&gt;0,"✓","⚠ add to Campaigns tab"))</f>
        <v/>
      </c>
      <c r="I162" s="84" t="str">
        <f aca="false">IF(C162="","",C162*IF(Settings!$B$24=Settings!$C$6,1,IF(Settings!$B$24="USD",1/INDEX(Settings!$B$29:$B$40,MONTH(A162)),INDEX(Settings!$B$29:$B$40,MONTH(A162)))))</f>
        <v/>
      </c>
    </row>
    <row r="163" customFormat="false" ht="15" hidden="false" customHeight="false" outlineLevel="0" collapsed="false">
      <c r="H163" s="0" t="str">
        <f aca="false">IF(B163="","",IF(COUNTIF(Campaigns!$A$7:$A$300,B163)&gt;0,"✓","⚠ add to Campaigns tab"))</f>
        <v/>
      </c>
      <c r="I163" s="84" t="str">
        <f aca="false">IF(C163="","",C163*IF(Settings!$B$24=Settings!$C$6,1,IF(Settings!$B$24="USD",1/INDEX(Settings!$B$29:$B$40,MONTH(A163)),INDEX(Settings!$B$29:$B$40,MONTH(A163)))))</f>
        <v/>
      </c>
    </row>
    <row r="164" customFormat="false" ht="15" hidden="false" customHeight="false" outlineLevel="0" collapsed="false">
      <c r="H164" s="0" t="str">
        <f aca="false">IF(B164="","",IF(COUNTIF(Campaigns!$A$7:$A$300,B164)&gt;0,"✓","⚠ add to Campaigns tab"))</f>
        <v/>
      </c>
      <c r="I164" s="84" t="str">
        <f aca="false">IF(C164="","",C164*IF(Settings!$B$24=Settings!$C$6,1,IF(Settings!$B$24="USD",1/INDEX(Settings!$B$29:$B$40,MONTH(A164)),INDEX(Settings!$B$29:$B$40,MONTH(A164)))))</f>
        <v/>
      </c>
    </row>
    <row r="165" customFormat="false" ht="15" hidden="false" customHeight="false" outlineLevel="0" collapsed="false">
      <c r="H165" s="0" t="str">
        <f aca="false">IF(B165="","",IF(COUNTIF(Campaigns!$A$7:$A$300,B165)&gt;0,"✓","⚠ add to Campaigns tab"))</f>
        <v/>
      </c>
      <c r="I165" s="84" t="str">
        <f aca="false">IF(C165="","",C165*IF(Settings!$B$24=Settings!$C$6,1,IF(Settings!$B$24="USD",1/INDEX(Settings!$B$29:$B$40,MONTH(A165)),INDEX(Settings!$B$29:$B$40,MONTH(A165)))))</f>
        <v/>
      </c>
    </row>
    <row r="166" customFormat="false" ht="15" hidden="false" customHeight="false" outlineLevel="0" collapsed="false">
      <c r="H166" s="0" t="str">
        <f aca="false">IF(B166="","",IF(COUNTIF(Campaigns!$A$7:$A$300,B166)&gt;0,"✓","⚠ add to Campaigns tab"))</f>
        <v/>
      </c>
      <c r="I166" s="84" t="str">
        <f aca="false">IF(C166="","",C166*IF(Settings!$B$24=Settings!$C$6,1,IF(Settings!$B$24="USD",1/INDEX(Settings!$B$29:$B$40,MONTH(A166)),INDEX(Settings!$B$29:$B$40,MONTH(A166)))))</f>
        <v/>
      </c>
    </row>
    <row r="167" customFormat="false" ht="15" hidden="false" customHeight="false" outlineLevel="0" collapsed="false">
      <c r="H167" s="0" t="str">
        <f aca="false">IF(B167="","",IF(COUNTIF(Campaigns!$A$7:$A$300,B167)&gt;0,"✓","⚠ add to Campaigns tab"))</f>
        <v/>
      </c>
      <c r="I167" s="84" t="str">
        <f aca="false">IF(C167="","",C167*IF(Settings!$B$24=Settings!$C$6,1,IF(Settings!$B$24="USD",1/INDEX(Settings!$B$29:$B$40,MONTH(A167)),INDEX(Settings!$B$29:$B$40,MONTH(A167)))))</f>
        <v/>
      </c>
    </row>
    <row r="168" customFormat="false" ht="15" hidden="false" customHeight="false" outlineLevel="0" collapsed="false">
      <c r="H168" s="0" t="str">
        <f aca="false">IF(B168="","",IF(COUNTIF(Campaigns!$A$7:$A$300,B168)&gt;0,"✓","⚠ add to Campaigns tab"))</f>
        <v/>
      </c>
      <c r="I168" s="84" t="str">
        <f aca="false">IF(C168="","",C168*IF(Settings!$B$24=Settings!$C$6,1,IF(Settings!$B$24="USD",1/INDEX(Settings!$B$29:$B$40,MONTH(A168)),INDEX(Settings!$B$29:$B$40,MONTH(A168)))))</f>
        <v/>
      </c>
    </row>
    <row r="169" customFormat="false" ht="15" hidden="false" customHeight="false" outlineLevel="0" collapsed="false">
      <c r="H169" s="0" t="str">
        <f aca="false">IF(B169="","",IF(COUNTIF(Campaigns!$A$7:$A$300,B169)&gt;0,"✓","⚠ add to Campaigns tab"))</f>
        <v/>
      </c>
      <c r="I169" s="84" t="str">
        <f aca="false">IF(C169="","",C169*IF(Settings!$B$24=Settings!$C$6,1,IF(Settings!$B$24="USD",1/INDEX(Settings!$B$29:$B$40,MONTH(A169)),INDEX(Settings!$B$29:$B$40,MONTH(A169)))))</f>
        <v/>
      </c>
    </row>
    <row r="170" customFormat="false" ht="15" hidden="false" customHeight="false" outlineLevel="0" collapsed="false">
      <c r="H170" s="0" t="str">
        <f aca="false">IF(B170="","",IF(COUNTIF(Campaigns!$A$7:$A$300,B170)&gt;0,"✓","⚠ add to Campaigns tab"))</f>
        <v/>
      </c>
      <c r="I170" s="84" t="str">
        <f aca="false">IF(C170="","",C170*IF(Settings!$B$24=Settings!$C$6,1,IF(Settings!$B$24="USD",1/INDEX(Settings!$B$29:$B$40,MONTH(A170)),INDEX(Settings!$B$29:$B$40,MONTH(A170)))))</f>
        <v/>
      </c>
    </row>
    <row r="171" customFormat="false" ht="15" hidden="false" customHeight="false" outlineLevel="0" collapsed="false">
      <c r="H171" s="0" t="str">
        <f aca="false">IF(B171="","",IF(COUNTIF(Campaigns!$A$7:$A$300,B171)&gt;0,"✓","⚠ add to Campaigns tab"))</f>
        <v/>
      </c>
      <c r="I171" s="84" t="str">
        <f aca="false">IF(C171="","",C171*IF(Settings!$B$24=Settings!$C$6,1,IF(Settings!$B$24="USD",1/INDEX(Settings!$B$29:$B$40,MONTH(A171)),INDEX(Settings!$B$29:$B$40,MONTH(A171)))))</f>
        <v/>
      </c>
    </row>
    <row r="172" customFormat="false" ht="15" hidden="false" customHeight="false" outlineLevel="0" collapsed="false">
      <c r="H172" s="0" t="str">
        <f aca="false">IF(B172="","",IF(COUNTIF(Campaigns!$A$7:$A$300,B172)&gt;0,"✓","⚠ add to Campaigns tab"))</f>
        <v/>
      </c>
      <c r="I172" s="84" t="str">
        <f aca="false">IF(C172="","",C172*IF(Settings!$B$24=Settings!$C$6,1,IF(Settings!$B$24="USD",1/INDEX(Settings!$B$29:$B$40,MONTH(A172)),INDEX(Settings!$B$29:$B$40,MONTH(A172)))))</f>
        <v/>
      </c>
    </row>
    <row r="173" customFormat="false" ht="15" hidden="false" customHeight="false" outlineLevel="0" collapsed="false">
      <c r="H173" s="0" t="str">
        <f aca="false">IF(B173="","",IF(COUNTIF(Campaigns!$A$7:$A$300,B173)&gt;0,"✓","⚠ add to Campaigns tab"))</f>
        <v/>
      </c>
      <c r="I173" s="84" t="str">
        <f aca="false">IF(C173="","",C173*IF(Settings!$B$24=Settings!$C$6,1,IF(Settings!$B$24="USD",1/INDEX(Settings!$B$29:$B$40,MONTH(A173)),INDEX(Settings!$B$29:$B$40,MONTH(A173)))))</f>
        <v/>
      </c>
    </row>
    <row r="174" customFormat="false" ht="15" hidden="false" customHeight="false" outlineLevel="0" collapsed="false">
      <c r="H174" s="0" t="str">
        <f aca="false">IF(B174="","",IF(COUNTIF(Campaigns!$A$7:$A$300,B174)&gt;0,"✓","⚠ add to Campaigns tab"))</f>
        <v/>
      </c>
      <c r="I174" s="84" t="str">
        <f aca="false">IF(C174="","",C174*IF(Settings!$B$24=Settings!$C$6,1,IF(Settings!$B$24="USD",1/INDEX(Settings!$B$29:$B$40,MONTH(A174)),INDEX(Settings!$B$29:$B$40,MONTH(A174)))))</f>
        <v/>
      </c>
    </row>
    <row r="175" customFormat="false" ht="15" hidden="false" customHeight="false" outlineLevel="0" collapsed="false">
      <c r="H175" s="0" t="str">
        <f aca="false">IF(B175="","",IF(COUNTIF(Campaigns!$A$7:$A$300,B175)&gt;0,"✓","⚠ add to Campaigns tab"))</f>
        <v/>
      </c>
      <c r="I175" s="84" t="str">
        <f aca="false">IF(C175="","",C175*IF(Settings!$B$24=Settings!$C$6,1,IF(Settings!$B$24="USD",1/INDEX(Settings!$B$29:$B$40,MONTH(A175)),INDEX(Settings!$B$29:$B$40,MONTH(A175)))))</f>
        <v/>
      </c>
    </row>
    <row r="176" customFormat="false" ht="15" hidden="false" customHeight="false" outlineLevel="0" collapsed="false">
      <c r="H176" s="0" t="str">
        <f aca="false">IF(B176="","",IF(COUNTIF(Campaigns!$A$7:$A$300,B176)&gt;0,"✓","⚠ add to Campaigns tab"))</f>
        <v/>
      </c>
      <c r="I176" s="84" t="str">
        <f aca="false">IF(C176="","",C176*IF(Settings!$B$24=Settings!$C$6,1,IF(Settings!$B$24="USD",1/INDEX(Settings!$B$29:$B$40,MONTH(A176)),INDEX(Settings!$B$29:$B$40,MONTH(A176)))))</f>
        <v/>
      </c>
    </row>
    <row r="177" customFormat="false" ht="15" hidden="false" customHeight="false" outlineLevel="0" collapsed="false">
      <c r="H177" s="0" t="str">
        <f aca="false">IF(B177="","",IF(COUNTIF(Campaigns!$A$7:$A$300,B177)&gt;0,"✓","⚠ add to Campaigns tab"))</f>
        <v/>
      </c>
      <c r="I177" s="84" t="str">
        <f aca="false">IF(C177="","",C177*IF(Settings!$B$24=Settings!$C$6,1,IF(Settings!$B$24="USD",1/INDEX(Settings!$B$29:$B$40,MONTH(A177)),INDEX(Settings!$B$29:$B$40,MONTH(A177)))))</f>
        <v/>
      </c>
    </row>
    <row r="178" customFormat="false" ht="15" hidden="false" customHeight="false" outlineLevel="0" collapsed="false">
      <c r="H178" s="0" t="str">
        <f aca="false">IF(B178="","",IF(COUNTIF(Campaigns!$A$7:$A$300,B178)&gt;0,"✓","⚠ add to Campaigns tab"))</f>
        <v/>
      </c>
      <c r="I178" s="84" t="str">
        <f aca="false">IF(C178="","",C178*IF(Settings!$B$24=Settings!$C$6,1,IF(Settings!$B$24="USD",1/INDEX(Settings!$B$29:$B$40,MONTH(A178)),INDEX(Settings!$B$29:$B$40,MONTH(A178)))))</f>
        <v/>
      </c>
    </row>
    <row r="179" customFormat="false" ht="15" hidden="false" customHeight="false" outlineLevel="0" collapsed="false">
      <c r="H179" s="0" t="str">
        <f aca="false">IF(B179="","",IF(COUNTIF(Campaigns!$A$7:$A$300,B179)&gt;0,"✓","⚠ add to Campaigns tab"))</f>
        <v/>
      </c>
      <c r="I179" s="84" t="str">
        <f aca="false">IF(C179="","",C179*IF(Settings!$B$24=Settings!$C$6,1,IF(Settings!$B$24="USD",1/INDEX(Settings!$B$29:$B$40,MONTH(A179)),INDEX(Settings!$B$29:$B$40,MONTH(A179)))))</f>
        <v/>
      </c>
    </row>
    <row r="180" customFormat="false" ht="15" hidden="false" customHeight="false" outlineLevel="0" collapsed="false">
      <c r="H180" s="0" t="str">
        <f aca="false">IF(B180="","",IF(COUNTIF(Campaigns!$A$7:$A$300,B180)&gt;0,"✓","⚠ add to Campaigns tab"))</f>
        <v/>
      </c>
      <c r="I180" s="84" t="str">
        <f aca="false">IF(C180="","",C180*IF(Settings!$B$24=Settings!$C$6,1,IF(Settings!$B$24="USD",1/INDEX(Settings!$B$29:$B$40,MONTH(A180)),INDEX(Settings!$B$29:$B$40,MONTH(A180)))))</f>
        <v/>
      </c>
    </row>
    <row r="181" customFormat="false" ht="15" hidden="false" customHeight="false" outlineLevel="0" collapsed="false">
      <c r="H181" s="0" t="str">
        <f aca="false">IF(B181="","",IF(COUNTIF(Campaigns!$A$7:$A$300,B181)&gt;0,"✓","⚠ add to Campaigns tab"))</f>
        <v/>
      </c>
      <c r="I181" s="84" t="str">
        <f aca="false">IF(C181="","",C181*IF(Settings!$B$24=Settings!$C$6,1,IF(Settings!$B$24="USD",1/INDEX(Settings!$B$29:$B$40,MONTH(A181)),INDEX(Settings!$B$29:$B$40,MONTH(A181)))))</f>
        <v/>
      </c>
    </row>
    <row r="182" customFormat="false" ht="15" hidden="false" customHeight="false" outlineLevel="0" collapsed="false">
      <c r="H182" s="0" t="str">
        <f aca="false">IF(B182="","",IF(COUNTIF(Campaigns!$A$7:$A$300,B182)&gt;0,"✓","⚠ add to Campaigns tab"))</f>
        <v/>
      </c>
      <c r="I182" s="84" t="str">
        <f aca="false">IF(C182="","",C182*IF(Settings!$B$24=Settings!$C$6,1,IF(Settings!$B$24="USD",1/INDEX(Settings!$B$29:$B$40,MONTH(A182)),INDEX(Settings!$B$29:$B$40,MONTH(A182)))))</f>
        <v/>
      </c>
    </row>
    <row r="183" customFormat="false" ht="15" hidden="false" customHeight="false" outlineLevel="0" collapsed="false">
      <c r="H183" s="0" t="str">
        <f aca="false">IF(B183="","",IF(COUNTIF(Campaigns!$A$7:$A$300,B183)&gt;0,"✓","⚠ add to Campaigns tab"))</f>
        <v/>
      </c>
      <c r="I183" s="84" t="str">
        <f aca="false">IF(C183="","",C183*IF(Settings!$B$24=Settings!$C$6,1,IF(Settings!$B$24="USD",1/INDEX(Settings!$B$29:$B$40,MONTH(A183)),INDEX(Settings!$B$29:$B$40,MONTH(A183)))))</f>
        <v/>
      </c>
    </row>
    <row r="184" customFormat="false" ht="15" hidden="false" customHeight="false" outlineLevel="0" collapsed="false">
      <c r="H184" s="0" t="str">
        <f aca="false">IF(B184="","",IF(COUNTIF(Campaigns!$A$7:$A$300,B184)&gt;0,"✓","⚠ add to Campaigns tab"))</f>
        <v/>
      </c>
      <c r="I184" s="84" t="str">
        <f aca="false">IF(C184="","",C184*IF(Settings!$B$24=Settings!$C$6,1,IF(Settings!$B$24="USD",1/INDEX(Settings!$B$29:$B$40,MONTH(A184)),INDEX(Settings!$B$29:$B$40,MONTH(A184)))))</f>
        <v/>
      </c>
    </row>
    <row r="185" customFormat="false" ht="15" hidden="false" customHeight="false" outlineLevel="0" collapsed="false">
      <c r="H185" s="0" t="str">
        <f aca="false">IF(B185="","",IF(COUNTIF(Campaigns!$A$7:$A$300,B185)&gt;0,"✓","⚠ add to Campaigns tab"))</f>
        <v/>
      </c>
      <c r="I185" s="84" t="str">
        <f aca="false">IF(C185="","",C185*IF(Settings!$B$24=Settings!$C$6,1,IF(Settings!$B$24="USD",1/INDEX(Settings!$B$29:$B$40,MONTH(A185)),INDEX(Settings!$B$29:$B$40,MONTH(A185)))))</f>
        <v/>
      </c>
    </row>
    <row r="186" customFormat="false" ht="15" hidden="false" customHeight="false" outlineLevel="0" collapsed="false">
      <c r="H186" s="0" t="str">
        <f aca="false">IF(B186="","",IF(COUNTIF(Campaigns!$A$7:$A$300,B186)&gt;0,"✓","⚠ add to Campaigns tab"))</f>
        <v/>
      </c>
      <c r="I186" s="84" t="str">
        <f aca="false">IF(C186="","",C186*IF(Settings!$B$24=Settings!$C$6,1,IF(Settings!$B$24="USD",1/INDEX(Settings!$B$29:$B$40,MONTH(A186)),INDEX(Settings!$B$29:$B$40,MONTH(A186)))))</f>
        <v/>
      </c>
    </row>
    <row r="187" customFormat="false" ht="15" hidden="false" customHeight="false" outlineLevel="0" collapsed="false">
      <c r="H187" s="0" t="str">
        <f aca="false">IF(B187="","",IF(COUNTIF(Campaigns!$A$7:$A$300,B187)&gt;0,"✓","⚠ add to Campaigns tab"))</f>
        <v/>
      </c>
      <c r="I187" s="84" t="str">
        <f aca="false">IF(C187="","",C187*IF(Settings!$B$24=Settings!$C$6,1,IF(Settings!$B$24="USD",1/INDEX(Settings!$B$29:$B$40,MONTH(A187)),INDEX(Settings!$B$29:$B$40,MONTH(A187)))))</f>
        <v/>
      </c>
    </row>
    <row r="188" customFormat="false" ht="15" hidden="false" customHeight="false" outlineLevel="0" collapsed="false">
      <c r="H188" s="0" t="str">
        <f aca="false">IF(B188="","",IF(COUNTIF(Campaigns!$A$7:$A$300,B188)&gt;0,"✓","⚠ add to Campaigns tab"))</f>
        <v/>
      </c>
      <c r="I188" s="84" t="str">
        <f aca="false">IF(C188="","",C188*IF(Settings!$B$24=Settings!$C$6,1,IF(Settings!$B$24="USD",1/INDEX(Settings!$B$29:$B$40,MONTH(A188)),INDEX(Settings!$B$29:$B$40,MONTH(A188)))))</f>
        <v/>
      </c>
    </row>
    <row r="189" customFormat="false" ht="15" hidden="false" customHeight="false" outlineLevel="0" collapsed="false">
      <c r="H189" s="0" t="str">
        <f aca="false">IF(B189="","",IF(COUNTIF(Campaigns!$A$7:$A$300,B189)&gt;0,"✓","⚠ add to Campaigns tab"))</f>
        <v/>
      </c>
      <c r="I189" s="84" t="str">
        <f aca="false">IF(C189="","",C189*IF(Settings!$B$24=Settings!$C$6,1,IF(Settings!$B$24="USD",1/INDEX(Settings!$B$29:$B$40,MONTH(A189)),INDEX(Settings!$B$29:$B$40,MONTH(A189)))))</f>
        <v/>
      </c>
    </row>
    <row r="190" customFormat="false" ht="15" hidden="false" customHeight="false" outlineLevel="0" collapsed="false">
      <c r="H190" s="0" t="str">
        <f aca="false">IF(B190="","",IF(COUNTIF(Campaigns!$A$7:$A$300,B190)&gt;0,"✓","⚠ add to Campaigns tab"))</f>
        <v/>
      </c>
      <c r="I190" s="84" t="str">
        <f aca="false">IF(C190="","",C190*IF(Settings!$B$24=Settings!$C$6,1,IF(Settings!$B$24="USD",1/INDEX(Settings!$B$29:$B$40,MONTH(A190)),INDEX(Settings!$B$29:$B$40,MONTH(A190)))))</f>
        <v/>
      </c>
    </row>
    <row r="191" customFormat="false" ht="15" hidden="false" customHeight="false" outlineLevel="0" collapsed="false">
      <c r="H191" s="0" t="str">
        <f aca="false">IF(B191="","",IF(COUNTIF(Campaigns!$A$7:$A$300,B191)&gt;0,"✓","⚠ add to Campaigns tab"))</f>
        <v/>
      </c>
      <c r="I191" s="84" t="str">
        <f aca="false">IF(C191="","",C191*IF(Settings!$B$24=Settings!$C$6,1,IF(Settings!$B$24="USD",1/INDEX(Settings!$B$29:$B$40,MONTH(A191)),INDEX(Settings!$B$29:$B$40,MONTH(A191)))))</f>
        <v/>
      </c>
    </row>
    <row r="192" customFormat="false" ht="15" hidden="false" customHeight="false" outlineLevel="0" collapsed="false">
      <c r="H192" s="0" t="str">
        <f aca="false">IF(B192="","",IF(COUNTIF(Campaigns!$A$7:$A$300,B192)&gt;0,"✓","⚠ add to Campaigns tab"))</f>
        <v/>
      </c>
      <c r="I192" s="84" t="str">
        <f aca="false">IF(C192="","",C192*IF(Settings!$B$24=Settings!$C$6,1,IF(Settings!$B$24="USD",1/INDEX(Settings!$B$29:$B$40,MONTH(A192)),INDEX(Settings!$B$29:$B$40,MONTH(A192)))))</f>
        <v/>
      </c>
    </row>
    <row r="193" customFormat="false" ht="15" hidden="false" customHeight="false" outlineLevel="0" collapsed="false">
      <c r="H193" s="0" t="str">
        <f aca="false">IF(B193="","",IF(COUNTIF(Campaigns!$A$7:$A$300,B193)&gt;0,"✓","⚠ add to Campaigns tab"))</f>
        <v/>
      </c>
      <c r="I193" s="84" t="str">
        <f aca="false">IF(C193="","",C193*IF(Settings!$B$24=Settings!$C$6,1,IF(Settings!$B$24="USD",1/INDEX(Settings!$B$29:$B$40,MONTH(A193)),INDEX(Settings!$B$29:$B$40,MONTH(A193)))))</f>
        <v/>
      </c>
    </row>
    <row r="194" customFormat="false" ht="15" hidden="false" customHeight="false" outlineLevel="0" collapsed="false">
      <c r="H194" s="0" t="str">
        <f aca="false">IF(B194="","",IF(COUNTIF(Campaigns!$A$7:$A$300,B194)&gt;0,"✓","⚠ add to Campaigns tab"))</f>
        <v/>
      </c>
      <c r="I194" s="84" t="str">
        <f aca="false">IF(C194="","",C194*IF(Settings!$B$24=Settings!$C$6,1,IF(Settings!$B$24="USD",1/INDEX(Settings!$B$29:$B$40,MONTH(A194)),INDEX(Settings!$B$29:$B$40,MONTH(A194)))))</f>
        <v/>
      </c>
    </row>
    <row r="195" customFormat="false" ht="15" hidden="false" customHeight="false" outlineLevel="0" collapsed="false">
      <c r="H195" s="0" t="str">
        <f aca="false">IF(B195="","",IF(COUNTIF(Campaigns!$A$7:$A$300,B195)&gt;0,"✓","⚠ add to Campaigns tab"))</f>
        <v/>
      </c>
      <c r="I195" s="84" t="str">
        <f aca="false">IF(C195="","",C195*IF(Settings!$B$24=Settings!$C$6,1,IF(Settings!$B$24="USD",1/INDEX(Settings!$B$29:$B$40,MONTH(A195)),INDEX(Settings!$B$29:$B$40,MONTH(A195)))))</f>
        <v/>
      </c>
    </row>
    <row r="196" customFormat="false" ht="15" hidden="false" customHeight="false" outlineLevel="0" collapsed="false">
      <c r="H196" s="0" t="str">
        <f aca="false">IF(B196="","",IF(COUNTIF(Campaigns!$A$7:$A$300,B196)&gt;0,"✓","⚠ add to Campaigns tab"))</f>
        <v/>
      </c>
      <c r="I196" s="84" t="str">
        <f aca="false">IF(C196="","",C196*IF(Settings!$B$24=Settings!$C$6,1,IF(Settings!$B$24="USD",1/INDEX(Settings!$B$29:$B$40,MONTH(A196)),INDEX(Settings!$B$29:$B$40,MONTH(A196)))))</f>
        <v/>
      </c>
    </row>
    <row r="197" customFormat="false" ht="15" hidden="false" customHeight="false" outlineLevel="0" collapsed="false">
      <c r="H197" s="0" t="str">
        <f aca="false">IF(B197="","",IF(COUNTIF(Campaigns!$A$7:$A$300,B197)&gt;0,"✓","⚠ add to Campaigns tab"))</f>
        <v/>
      </c>
      <c r="I197" s="84" t="str">
        <f aca="false">IF(C197="","",C197*IF(Settings!$B$24=Settings!$C$6,1,IF(Settings!$B$24="USD",1/INDEX(Settings!$B$29:$B$40,MONTH(A197)),INDEX(Settings!$B$29:$B$40,MONTH(A197)))))</f>
        <v/>
      </c>
    </row>
    <row r="198" customFormat="false" ht="15" hidden="false" customHeight="false" outlineLevel="0" collapsed="false">
      <c r="H198" s="0" t="str">
        <f aca="false">IF(B198="","",IF(COUNTIF(Campaigns!$A$7:$A$300,B198)&gt;0,"✓","⚠ add to Campaigns tab"))</f>
        <v/>
      </c>
      <c r="I198" s="84" t="str">
        <f aca="false">IF(C198="","",C198*IF(Settings!$B$24=Settings!$C$6,1,IF(Settings!$B$24="USD",1/INDEX(Settings!$B$29:$B$40,MONTH(A198)),INDEX(Settings!$B$29:$B$40,MONTH(A198)))))</f>
        <v/>
      </c>
    </row>
    <row r="199" customFormat="false" ht="15" hidden="false" customHeight="false" outlineLevel="0" collapsed="false">
      <c r="H199" s="0" t="str">
        <f aca="false">IF(B199="","",IF(COUNTIF(Campaigns!$A$7:$A$300,B199)&gt;0,"✓","⚠ add to Campaigns tab"))</f>
        <v/>
      </c>
      <c r="I199" s="84" t="str">
        <f aca="false">IF(C199="","",C199*IF(Settings!$B$24=Settings!$C$6,1,IF(Settings!$B$24="USD",1/INDEX(Settings!$B$29:$B$40,MONTH(A199)),INDEX(Settings!$B$29:$B$40,MONTH(A199)))))</f>
        <v/>
      </c>
    </row>
    <row r="200" customFormat="false" ht="15" hidden="false" customHeight="false" outlineLevel="0" collapsed="false">
      <c r="H200" s="0" t="str">
        <f aca="false">IF(B200="","",IF(COUNTIF(Campaigns!$A$7:$A$300,B200)&gt;0,"✓","⚠ add to Campaigns tab"))</f>
        <v/>
      </c>
      <c r="I200" s="84" t="str">
        <f aca="false">IF(C200="","",C200*IF(Settings!$B$24=Settings!$C$6,1,IF(Settings!$B$24="USD",1/INDEX(Settings!$B$29:$B$40,MONTH(A200)),INDEX(Settings!$B$29:$B$40,MONTH(A200)))))</f>
        <v/>
      </c>
    </row>
    <row r="201" customFormat="false" ht="15" hidden="false" customHeight="false" outlineLevel="0" collapsed="false">
      <c r="H201" s="0" t="str">
        <f aca="false">IF(B201="","",IF(COUNTIF(Campaigns!$A$7:$A$300,B201)&gt;0,"✓","⚠ add to Campaigns tab"))</f>
        <v/>
      </c>
      <c r="I201" s="84" t="str">
        <f aca="false">IF(C201="","",C201*IF(Settings!$B$24=Settings!$C$6,1,IF(Settings!$B$24="USD",1/INDEX(Settings!$B$29:$B$40,MONTH(A201)),INDEX(Settings!$B$29:$B$40,MONTH(A201)))))</f>
        <v/>
      </c>
    </row>
    <row r="202" customFormat="false" ht="15" hidden="false" customHeight="false" outlineLevel="0" collapsed="false">
      <c r="H202" s="0" t="str">
        <f aca="false">IF(B202="","",IF(COUNTIF(Campaigns!$A$7:$A$300,B202)&gt;0,"✓","⚠ add to Campaigns tab"))</f>
        <v/>
      </c>
      <c r="I202" s="84" t="str">
        <f aca="false">IF(C202="","",C202*IF(Settings!$B$24=Settings!$C$6,1,IF(Settings!$B$24="USD",1/INDEX(Settings!$B$29:$B$40,MONTH(A202)),INDEX(Settings!$B$29:$B$40,MONTH(A202)))))</f>
        <v/>
      </c>
    </row>
    <row r="203" customFormat="false" ht="15" hidden="false" customHeight="false" outlineLevel="0" collapsed="false">
      <c r="H203" s="0" t="str">
        <f aca="false">IF(B203="","",IF(COUNTIF(Campaigns!$A$7:$A$300,B203)&gt;0,"✓","⚠ add to Campaigns tab"))</f>
        <v/>
      </c>
      <c r="I203" s="84" t="str">
        <f aca="false">IF(C203="","",C203*IF(Settings!$B$24=Settings!$C$6,1,IF(Settings!$B$24="USD",1/INDEX(Settings!$B$29:$B$40,MONTH(A203)),INDEX(Settings!$B$29:$B$40,MONTH(A203)))))</f>
        <v/>
      </c>
    </row>
    <row r="204" customFormat="false" ht="15" hidden="false" customHeight="false" outlineLevel="0" collapsed="false">
      <c r="H204" s="0" t="str">
        <f aca="false">IF(B204="","",IF(COUNTIF(Campaigns!$A$7:$A$300,B204)&gt;0,"✓","⚠ add to Campaigns tab"))</f>
        <v/>
      </c>
      <c r="I204" s="84" t="str">
        <f aca="false">IF(C204="","",C204*IF(Settings!$B$24=Settings!$C$6,1,IF(Settings!$B$24="USD",1/INDEX(Settings!$B$29:$B$40,MONTH(A204)),INDEX(Settings!$B$29:$B$40,MONTH(A204)))))</f>
        <v/>
      </c>
    </row>
    <row r="205" customFormat="false" ht="15" hidden="false" customHeight="false" outlineLevel="0" collapsed="false">
      <c r="H205" s="0" t="str">
        <f aca="false">IF(B205="","",IF(COUNTIF(Campaigns!$A$7:$A$300,B205)&gt;0,"✓","⚠ add to Campaigns tab"))</f>
        <v/>
      </c>
      <c r="I205" s="84" t="str">
        <f aca="false">IF(C205="","",C205*IF(Settings!$B$24=Settings!$C$6,1,IF(Settings!$B$24="USD",1/INDEX(Settings!$B$29:$B$40,MONTH(A205)),INDEX(Settings!$B$29:$B$40,MONTH(A205)))))</f>
        <v/>
      </c>
    </row>
    <row r="206" customFormat="false" ht="15" hidden="false" customHeight="false" outlineLevel="0" collapsed="false">
      <c r="H206" s="0" t="str">
        <f aca="false">IF(B206="","",IF(COUNTIF(Campaigns!$A$7:$A$300,B206)&gt;0,"✓","⚠ add to Campaigns tab"))</f>
        <v/>
      </c>
      <c r="I206" s="84" t="str">
        <f aca="false">IF(C206="","",C206*IF(Settings!$B$24=Settings!$C$6,1,IF(Settings!$B$24="USD",1/INDEX(Settings!$B$29:$B$40,MONTH(A206)),INDEX(Settings!$B$29:$B$40,MONTH(A206)))))</f>
        <v/>
      </c>
    </row>
    <row r="207" customFormat="false" ht="15" hidden="false" customHeight="false" outlineLevel="0" collapsed="false">
      <c r="H207" s="0" t="str">
        <f aca="false">IF(B207="","",IF(COUNTIF(Campaigns!$A$7:$A$300,B207)&gt;0,"✓","⚠ add to Campaigns tab"))</f>
        <v/>
      </c>
      <c r="I207" s="84" t="str">
        <f aca="false">IF(C207="","",C207*IF(Settings!$B$24=Settings!$C$6,1,IF(Settings!$B$24="USD",1/INDEX(Settings!$B$29:$B$40,MONTH(A207)),INDEX(Settings!$B$29:$B$40,MONTH(A207)))))</f>
        <v/>
      </c>
    </row>
    <row r="208" customFormat="false" ht="15" hidden="false" customHeight="false" outlineLevel="0" collapsed="false">
      <c r="H208" s="0" t="str">
        <f aca="false">IF(B208="","",IF(COUNTIF(Campaigns!$A$7:$A$300,B208)&gt;0,"✓","⚠ add to Campaigns tab"))</f>
        <v/>
      </c>
      <c r="I208" s="84" t="str">
        <f aca="false">IF(C208="","",C208*IF(Settings!$B$24=Settings!$C$6,1,IF(Settings!$B$24="USD",1/INDEX(Settings!$B$29:$B$40,MONTH(A208)),INDEX(Settings!$B$29:$B$40,MONTH(A208)))))</f>
        <v/>
      </c>
    </row>
    <row r="209" customFormat="false" ht="15" hidden="false" customHeight="false" outlineLevel="0" collapsed="false">
      <c r="H209" s="0" t="str">
        <f aca="false">IF(B209="","",IF(COUNTIF(Campaigns!$A$7:$A$300,B209)&gt;0,"✓","⚠ add to Campaigns tab"))</f>
        <v/>
      </c>
      <c r="I209" s="84" t="str">
        <f aca="false">IF(C209="","",C209*IF(Settings!$B$24=Settings!$C$6,1,IF(Settings!$B$24="USD",1/INDEX(Settings!$B$29:$B$40,MONTH(A209)),INDEX(Settings!$B$29:$B$40,MONTH(A209)))))</f>
        <v/>
      </c>
    </row>
    <row r="210" customFormat="false" ht="15" hidden="false" customHeight="false" outlineLevel="0" collapsed="false">
      <c r="H210" s="0" t="str">
        <f aca="false">IF(B210="","",IF(COUNTIF(Campaigns!$A$7:$A$300,B210)&gt;0,"✓","⚠ add to Campaigns tab"))</f>
        <v/>
      </c>
      <c r="I210" s="84" t="str">
        <f aca="false">IF(C210="","",C210*IF(Settings!$B$24=Settings!$C$6,1,IF(Settings!$B$24="USD",1/INDEX(Settings!$B$29:$B$40,MONTH(A210)),INDEX(Settings!$B$29:$B$40,MONTH(A210)))))</f>
        <v/>
      </c>
    </row>
    <row r="211" customFormat="false" ht="15" hidden="false" customHeight="false" outlineLevel="0" collapsed="false">
      <c r="H211" s="0" t="str">
        <f aca="false">IF(B211="","",IF(COUNTIF(Campaigns!$A$7:$A$300,B211)&gt;0,"✓","⚠ add to Campaigns tab"))</f>
        <v/>
      </c>
      <c r="I211" s="84" t="str">
        <f aca="false">IF(C211="","",C211*IF(Settings!$B$24=Settings!$C$6,1,IF(Settings!$B$24="USD",1/INDEX(Settings!$B$29:$B$40,MONTH(A211)),INDEX(Settings!$B$29:$B$40,MONTH(A211)))))</f>
        <v/>
      </c>
    </row>
    <row r="212" customFormat="false" ht="15" hidden="false" customHeight="false" outlineLevel="0" collapsed="false">
      <c r="H212" s="0" t="str">
        <f aca="false">IF(B212="","",IF(COUNTIF(Campaigns!$A$7:$A$300,B212)&gt;0,"✓","⚠ add to Campaigns tab"))</f>
        <v/>
      </c>
      <c r="I212" s="84" t="str">
        <f aca="false">IF(C212="","",C212*IF(Settings!$B$24=Settings!$C$6,1,IF(Settings!$B$24="USD",1/INDEX(Settings!$B$29:$B$40,MONTH(A212)),INDEX(Settings!$B$29:$B$40,MONTH(A212)))))</f>
        <v/>
      </c>
    </row>
    <row r="213" customFormat="false" ht="15" hidden="false" customHeight="false" outlineLevel="0" collapsed="false">
      <c r="H213" s="0" t="str">
        <f aca="false">IF(B213="","",IF(COUNTIF(Campaigns!$A$7:$A$300,B213)&gt;0,"✓","⚠ add to Campaigns tab"))</f>
        <v/>
      </c>
      <c r="I213" s="84" t="str">
        <f aca="false">IF(C213="","",C213*IF(Settings!$B$24=Settings!$C$6,1,IF(Settings!$B$24="USD",1/INDEX(Settings!$B$29:$B$40,MONTH(A213)),INDEX(Settings!$B$29:$B$40,MONTH(A213)))))</f>
        <v/>
      </c>
    </row>
    <row r="214" customFormat="false" ht="15" hidden="false" customHeight="false" outlineLevel="0" collapsed="false">
      <c r="H214" s="0" t="str">
        <f aca="false">IF(B214="","",IF(COUNTIF(Campaigns!$A$7:$A$300,B214)&gt;0,"✓","⚠ add to Campaigns tab"))</f>
        <v/>
      </c>
      <c r="I214" s="84" t="str">
        <f aca="false">IF(C214="","",C214*IF(Settings!$B$24=Settings!$C$6,1,IF(Settings!$B$24="USD",1/INDEX(Settings!$B$29:$B$40,MONTH(A214)),INDEX(Settings!$B$29:$B$40,MONTH(A214)))))</f>
        <v/>
      </c>
    </row>
    <row r="215" customFormat="false" ht="15" hidden="false" customHeight="false" outlineLevel="0" collapsed="false">
      <c r="H215" s="0" t="str">
        <f aca="false">IF(B215="","",IF(COUNTIF(Campaigns!$A$7:$A$300,B215)&gt;0,"✓","⚠ add to Campaigns tab"))</f>
        <v/>
      </c>
      <c r="I215" s="84" t="str">
        <f aca="false">IF(C215="","",C215*IF(Settings!$B$24=Settings!$C$6,1,IF(Settings!$B$24="USD",1/INDEX(Settings!$B$29:$B$40,MONTH(A215)),INDEX(Settings!$B$29:$B$40,MONTH(A215)))))</f>
        <v/>
      </c>
    </row>
    <row r="216" customFormat="false" ht="15" hidden="false" customHeight="false" outlineLevel="0" collapsed="false">
      <c r="H216" s="0" t="str">
        <f aca="false">IF(B216="","",IF(COUNTIF(Campaigns!$A$7:$A$300,B216)&gt;0,"✓","⚠ add to Campaigns tab"))</f>
        <v/>
      </c>
      <c r="I216" s="84" t="str">
        <f aca="false">IF(C216="","",C216*IF(Settings!$B$24=Settings!$C$6,1,IF(Settings!$B$24="USD",1/INDEX(Settings!$B$29:$B$40,MONTH(A216)),INDEX(Settings!$B$29:$B$40,MONTH(A216)))))</f>
        <v/>
      </c>
    </row>
    <row r="217" customFormat="false" ht="15" hidden="false" customHeight="false" outlineLevel="0" collapsed="false">
      <c r="H217" s="0" t="str">
        <f aca="false">IF(B217="","",IF(COUNTIF(Campaigns!$A$7:$A$300,B217)&gt;0,"✓","⚠ add to Campaigns tab"))</f>
        <v/>
      </c>
      <c r="I217" s="84" t="str">
        <f aca="false">IF(C217="","",C217*IF(Settings!$B$24=Settings!$C$6,1,IF(Settings!$B$24="USD",1/INDEX(Settings!$B$29:$B$40,MONTH(A217)),INDEX(Settings!$B$29:$B$40,MONTH(A217)))))</f>
        <v/>
      </c>
    </row>
    <row r="218" customFormat="false" ht="15" hidden="false" customHeight="false" outlineLevel="0" collapsed="false">
      <c r="H218" s="0" t="str">
        <f aca="false">IF(B218="","",IF(COUNTIF(Campaigns!$A$7:$A$300,B218)&gt;0,"✓","⚠ add to Campaigns tab"))</f>
        <v/>
      </c>
      <c r="I218" s="84" t="str">
        <f aca="false">IF(C218="","",C218*IF(Settings!$B$24=Settings!$C$6,1,IF(Settings!$B$24="USD",1/INDEX(Settings!$B$29:$B$40,MONTH(A218)),INDEX(Settings!$B$29:$B$40,MONTH(A218)))))</f>
        <v/>
      </c>
    </row>
    <row r="219" customFormat="false" ht="15" hidden="false" customHeight="false" outlineLevel="0" collapsed="false">
      <c r="H219" s="0" t="str">
        <f aca="false">IF(B219="","",IF(COUNTIF(Campaigns!$A$7:$A$300,B219)&gt;0,"✓","⚠ add to Campaigns tab"))</f>
        <v/>
      </c>
      <c r="I219" s="84" t="str">
        <f aca="false">IF(C219="","",C219*IF(Settings!$B$24=Settings!$C$6,1,IF(Settings!$B$24="USD",1/INDEX(Settings!$B$29:$B$40,MONTH(A219)),INDEX(Settings!$B$29:$B$40,MONTH(A219)))))</f>
        <v/>
      </c>
    </row>
    <row r="220" customFormat="false" ht="15" hidden="false" customHeight="false" outlineLevel="0" collapsed="false">
      <c r="H220" s="0" t="str">
        <f aca="false">IF(B220="","",IF(COUNTIF(Campaigns!$A$7:$A$300,B220)&gt;0,"✓","⚠ add to Campaigns tab"))</f>
        <v/>
      </c>
      <c r="I220" s="84" t="str">
        <f aca="false">IF(C220="","",C220*IF(Settings!$B$24=Settings!$C$6,1,IF(Settings!$B$24="USD",1/INDEX(Settings!$B$29:$B$40,MONTH(A220)),INDEX(Settings!$B$29:$B$40,MONTH(A220)))))</f>
        <v/>
      </c>
    </row>
    <row r="221" customFormat="false" ht="15" hidden="false" customHeight="false" outlineLevel="0" collapsed="false">
      <c r="H221" s="0" t="str">
        <f aca="false">IF(B221="","",IF(COUNTIF(Campaigns!$A$7:$A$300,B221)&gt;0,"✓","⚠ add to Campaigns tab"))</f>
        <v/>
      </c>
      <c r="I221" s="84" t="str">
        <f aca="false">IF(C221="","",C221*IF(Settings!$B$24=Settings!$C$6,1,IF(Settings!$B$24="USD",1/INDEX(Settings!$B$29:$B$40,MONTH(A221)),INDEX(Settings!$B$29:$B$40,MONTH(A221)))))</f>
        <v/>
      </c>
    </row>
    <row r="222" customFormat="false" ht="15" hidden="false" customHeight="false" outlineLevel="0" collapsed="false">
      <c r="H222" s="0" t="str">
        <f aca="false">IF(B222="","",IF(COUNTIF(Campaigns!$A$7:$A$300,B222)&gt;0,"✓","⚠ add to Campaigns tab"))</f>
        <v/>
      </c>
      <c r="I222" s="84" t="str">
        <f aca="false">IF(C222="","",C222*IF(Settings!$B$24=Settings!$C$6,1,IF(Settings!$B$24="USD",1/INDEX(Settings!$B$29:$B$40,MONTH(A222)),INDEX(Settings!$B$29:$B$40,MONTH(A222)))))</f>
        <v/>
      </c>
    </row>
    <row r="223" customFormat="false" ht="15" hidden="false" customHeight="false" outlineLevel="0" collapsed="false">
      <c r="H223" s="0" t="str">
        <f aca="false">IF(B223="","",IF(COUNTIF(Campaigns!$A$7:$A$300,B223)&gt;0,"✓","⚠ add to Campaigns tab"))</f>
        <v/>
      </c>
      <c r="I223" s="84" t="str">
        <f aca="false">IF(C223="","",C223*IF(Settings!$B$24=Settings!$C$6,1,IF(Settings!$B$24="USD",1/INDEX(Settings!$B$29:$B$40,MONTH(A223)),INDEX(Settings!$B$29:$B$40,MONTH(A223)))))</f>
        <v/>
      </c>
    </row>
    <row r="224" customFormat="false" ht="15" hidden="false" customHeight="false" outlineLevel="0" collapsed="false">
      <c r="H224" s="0" t="str">
        <f aca="false">IF(B224="","",IF(COUNTIF(Campaigns!$A$7:$A$300,B224)&gt;0,"✓","⚠ add to Campaigns tab"))</f>
        <v/>
      </c>
      <c r="I224" s="84" t="str">
        <f aca="false">IF(C224="","",C224*IF(Settings!$B$24=Settings!$C$6,1,IF(Settings!$B$24="USD",1/INDEX(Settings!$B$29:$B$40,MONTH(A224)),INDEX(Settings!$B$29:$B$40,MONTH(A224)))))</f>
        <v/>
      </c>
    </row>
    <row r="225" customFormat="false" ht="15" hidden="false" customHeight="false" outlineLevel="0" collapsed="false">
      <c r="H225" s="0" t="str">
        <f aca="false">IF(B225="","",IF(COUNTIF(Campaigns!$A$7:$A$300,B225)&gt;0,"✓","⚠ add to Campaigns tab"))</f>
        <v/>
      </c>
      <c r="I225" s="84" t="str">
        <f aca="false">IF(C225="","",C225*IF(Settings!$B$24=Settings!$C$6,1,IF(Settings!$B$24="USD",1/INDEX(Settings!$B$29:$B$40,MONTH(A225)),INDEX(Settings!$B$29:$B$40,MONTH(A225)))))</f>
        <v/>
      </c>
    </row>
    <row r="226" customFormat="false" ht="15" hidden="false" customHeight="false" outlineLevel="0" collapsed="false">
      <c r="H226" s="0" t="str">
        <f aca="false">IF(B226="","",IF(COUNTIF(Campaigns!$A$7:$A$300,B226)&gt;0,"✓","⚠ add to Campaigns tab"))</f>
        <v/>
      </c>
      <c r="I226" s="84" t="str">
        <f aca="false">IF(C226="","",C226*IF(Settings!$B$24=Settings!$C$6,1,IF(Settings!$B$24="USD",1/INDEX(Settings!$B$29:$B$40,MONTH(A226)),INDEX(Settings!$B$29:$B$40,MONTH(A226)))))</f>
        <v/>
      </c>
    </row>
    <row r="227" customFormat="false" ht="15" hidden="false" customHeight="false" outlineLevel="0" collapsed="false">
      <c r="H227" s="0" t="str">
        <f aca="false">IF(B227="","",IF(COUNTIF(Campaigns!$A$7:$A$300,B227)&gt;0,"✓","⚠ add to Campaigns tab"))</f>
        <v/>
      </c>
      <c r="I227" s="84" t="str">
        <f aca="false">IF(C227="","",C227*IF(Settings!$B$24=Settings!$C$6,1,IF(Settings!$B$24="USD",1/INDEX(Settings!$B$29:$B$40,MONTH(A227)),INDEX(Settings!$B$29:$B$40,MONTH(A227)))))</f>
        <v/>
      </c>
    </row>
    <row r="228" customFormat="false" ht="15" hidden="false" customHeight="false" outlineLevel="0" collapsed="false">
      <c r="H228" s="0" t="str">
        <f aca="false">IF(B228="","",IF(COUNTIF(Campaigns!$A$7:$A$300,B228)&gt;0,"✓","⚠ add to Campaigns tab"))</f>
        <v/>
      </c>
      <c r="I228" s="84" t="str">
        <f aca="false">IF(C228="","",C228*IF(Settings!$B$24=Settings!$C$6,1,IF(Settings!$B$24="USD",1/INDEX(Settings!$B$29:$B$40,MONTH(A228)),INDEX(Settings!$B$29:$B$40,MONTH(A228)))))</f>
        <v/>
      </c>
    </row>
    <row r="229" customFormat="false" ht="15" hidden="false" customHeight="false" outlineLevel="0" collapsed="false">
      <c r="H229" s="0" t="str">
        <f aca="false">IF(B229="","",IF(COUNTIF(Campaigns!$A$7:$A$300,B229)&gt;0,"✓","⚠ add to Campaigns tab"))</f>
        <v/>
      </c>
      <c r="I229" s="84" t="str">
        <f aca="false">IF(C229="","",C229*IF(Settings!$B$24=Settings!$C$6,1,IF(Settings!$B$24="USD",1/INDEX(Settings!$B$29:$B$40,MONTH(A229)),INDEX(Settings!$B$29:$B$40,MONTH(A229)))))</f>
        <v/>
      </c>
    </row>
    <row r="230" customFormat="false" ht="15" hidden="false" customHeight="false" outlineLevel="0" collapsed="false">
      <c r="H230" s="0" t="str">
        <f aca="false">IF(B230="","",IF(COUNTIF(Campaigns!$A$7:$A$300,B230)&gt;0,"✓","⚠ add to Campaigns tab"))</f>
        <v/>
      </c>
      <c r="I230" s="84" t="str">
        <f aca="false">IF(C230="","",C230*IF(Settings!$B$24=Settings!$C$6,1,IF(Settings!$B$24="USD",1/INDEX(Settings!$B$29:$B$40,MONTH(A230)),INDEX(Settings!$B$29:$B$40,MONTH(A230)))))</f>
        <v/>
      </c>
    </row>
    <row r="231" customFormat="false" ht="15" hidden="false" customHeight="false" outlineLevel="0" collapsed="false">
      <c r="H231" s="0" t="str">
        <f aca="false">IF(B231="","",IF(COUNTIF(Campaigns!$A$7:$A$300,B231)&gt;0,"✓","⚠ add to Campaigns tab"))</f>
        <v/>
      </c>
      <c r="I231" s="84" t="str">
        <f aca="false">IF(C231="","",C231*IF(Settings!$B$24=Settings!$C$6,1,IF(Settings!$B$24="USD",1/INDEX(Settings!$B$29:$B$40,MONTH(A231)),INDEX(Settings!$B$29:$B$40,MONTH(A231)))))</f>
        <v/>
      </c>
    </row>
    <row r="232" customFormat="false" ht="15" hidden="false" customHeight="false" outlineLevel="0" collapsed="false">
      <c r="H232" s="0" t="str">
        <f aca="false">IF(B232="","",IF(COUNTIF(Campaigns!$A$7:$A$300,B232)&gt;0,"✓","⚠ add to Campaigns tab"))</f>
        <v/>
      </c>
      <c r="I232" s="84" t="str">
        <f aca="false">IF(C232="","",C232*IF(Settings!$B$24=Settings!$C$6,1,IF(Settings!$B$24="USD",1/INDEX(Settings!$B$29:$B$40,MONTH(A232)),INDEX(Settings!$B$29:$B$40,MONTH(A232)))))</f>
        <v/>
      </c>
    </row>
    <row r="233" customFormat="false" ht="15" hidden="false" customHeight="false" outlineLevel="0" collapsed="false">
      <c r="H233" s="0" t="str">
        <f aca="false">IF(B233="","",IF(COUNTIF(Campaigns!$A$7:$A$300,B233)&gt;0,"✓","⚠ add to Campaigns tab"))</f>
        <v/>
      </c>
      <c r="I233" s="84" t="str">
        <f aca="false">IF(C233="","",C233*IF(Settings!$B$24=Settings!$C$6,1,IF(Settings!$B$24="USD",1/INDEX(Settings!$B$29:$B$40,MONTH(A233)),INDEX(Settings!$B$29:$B$40,MONTH(A233)))))</f>
        <v/>
      </c>
    </row>
    <row r="234" customFormat="false" ht="15" hidden="false" customHeight="false" outlineLevel="0" collapsed="false">
      <c r="H234" s="0" t="str">
        <f aca="false">IF(B234="","",IF(COUNTIF(Campaigns!$A$7:$A$300,B234)&gt;0,"✓","⚠ add to Campaigns tab"))</f>
        <v/>
      </c>
      <c r="I234" s="84" t="str">
        <f aca="false">IF(C234="","",C234*IF(Settings!$B$24=Settings!$C$6,1,IF(Settings!$B$24="USD",1/INDEX(Settings!$B$29:$B$40,MONTH(A234)),INDEX(Settings!$B$29:$B$40,MONTH(A234)))))</f>
        <v/>
      </c>
    </row>
    <row r="235" customFormat="false" ht="15" hidden="false" customHeight="false" outlineLevel="0" collapsed="false">
      <c r="H235" s="0" t="str">
        <f aca="false">IF(B235="","",IF(COUNTIF(Campaigns!$A$7:$A$300,B235)&gt;0,"✓","⚠ add to Campaigns tab"))</f>
        <v/>
      </c>
      <c r="I235" s="84" t="str">
        <f aca="false">IF(C235="","",C235*IF(Settings!$B$24=Settings!$C$6,1,IF(Settings!$B$24="USD",1/INDEX(Settings!$B$29:$B$40,MONTH(A235)),INDEX(Settings!$B$29:$B$40,MONTH(A235)))))</f>
        <v/>
      </c>
    </row>
    <row r="236" customFormat="false" ht="15" hidden="false" customHeight="false" outlineLevel="0" collapsed="false">
      <c r="H236" s="0" t="str">
        <f aca="false">IF(B236="","",IF(COUNTIF(Campaigns!$A$7:$A$300,B236)&gt;0,"✓","⚠ add to Campaigns tab"))</f>
        <v/>
      </c>
      <c r="I236" s="84" t="str">
        <f aca="false">IF(C236="","",C236*IF(Settings!$B$24=Settings!$C$6,1,IF(Settings!$B$24="USD",1/INDEX(Settings!$B$29:$B$40,MONTH(A236)),INDEX(Settings!$B$29:$B$40,MONTH(A236)))))</f>
        <v/>
      </c>
    </row>
    <row r="237" customFormat="false" ht="15" hidden="false" customHeight="false" outlineLevel="0" collapsed="false">
      <c r="H237" s="0" t="str">
        <f aca="false">IF(B237="","",IF(COUNTIF(Campaigns!$A$7:$A$300,B237)&gt;0,"✓","⚠ add to Campaigns tab"))</f>
        <v/>
      </c>
      <c r="I237" s="84" t="str">
        <f aca="false">IF(C237="","",C237*IF(Settings!$B$24=Settings!$C$6,1,IF(Settings!$B$24="USD",1/INDEX(Settings!$B$29:$B$40,MONTH(A237)),INDEX(Settings!$B$29:$B$40,MONTH(A237)))))</f>
        <v/>
      </c>
    </row>
    <row r="238" customFormat="false" ht="15" hidden="false" customHeight="false" outlineLevel="0" collapsed="false">
      <c r="H238" s="0" t="str">
        <f aca="false">IF(B238="","",IF(COUNTIF(Campaigns!$A$7:$A$300,B238)&gt;0,"✓","⚠ add to Campaigns tab"))</f>
        <v/>
      </c>
      <c r="I238" s="84" t="str">
        <f aca="false">IF(C238="","",C238*IF(Settings!$B$24=Settings!$C$6,1,IF(Settings!$B$24="USD",1/INDEX(Settings!$B$29:$B$40,MONTH(A238)),INDEX(Settings!$B$29:$B$40,MONTH(A238)))))</f>
        <v/>
      </c>
    </row>
    <row r="239" customFormat="false" ht="15" hidden="false" customHeight="false" outlineLevel="0" collapsed="false">
      <c r="H239" s="0" t="str">
        <f aca="false">IF(B239="","",IF(COUNTIF(Campaigns!$A$7:$A$300,B239)&gt;0,"✓","⚠ add to Campaigns tab"))</f>
        <v/>
      </c>
      <c r="I239" s="84" t="str">
        <f aca="false">IF(C239="","",C239*IF(Settings!$B$24=Settings!$C$6,1,IF(Settings!$B$24="USD",1/INDEX(Settings!$B$29:$B$40,MONTH(A239)),INDEX(Settings!$B$29:$B$40,MONTH(A239)))))</f>
        <v/>
      </c>
    </row>
    <row r="240" customFormat="false" ht="15" hidden="false" customHeight="false" outlineLevel="0" collapsed="false">
      <c r="H240" s="0" t="str">
        <f aca="false">IF(B240="","",IF(COUNTIF(Campaigns!$A$7:$A$300,B240)&gt;0,"✓","⚠ add to Campaigns tab"))</f>
        <v/>
      </c>
      <c r="I240" s="84" t="str">
        <f aca="false">IF(C240="","",C240*IF(Settings!$B$24=Settings!$C$6,1,IF(Settings!$B$24="USD",1/INDEX(Settings!$B$29:$B$40,MONTH(A240)),INDEX(Settings!$B$29:$B$40,MONTH(A240)))))</f>
        <v/>
      </c>
    </row>
    <row r="241" customFormat="false" ht="15" hidden="false" customHeight="false" outlineLevel="0" collapsed="false">
      <c r="H241" s="0" t="str">
        <f aca="false">IF(B241="","",IF(COUNTIF(Campaigns!$A$7:$A$300,B241)&gt;0,"✓","⚠ add to Campaigns tab"))</f>
        <v/>
      </c>
      <c r="I241" s="84" t="str">
        <f aca="false">IF(C241="","",C241*IF(Settings!$B$24=Settings!$C$6,1,IF(Settings!$B$24="USD",1/INDEX(Settings!$B$29:$B$40,MONTH(A241)),INDEX(Settings!$B$29:$B$40,MONTH(A241)))))</f>
        <v/>
      </c>
    </row>
    <row r="242" customFormat="false" ht="15" hidden="false" customHeight="false" outlineLevel="0" collapsed="false">
      <c r="H242" s="0" t="str">
        <f aca="false">IF(B242="","",IF(COUNTIF(Campaigns!$A$7:$A$300,B242)&gt;0,"✓","⚠ add to Campaigns tab"))</f>
        <v/>
      </c>
      <c r="I242" s="84" t="str">
        <f aca="false">IF(C242="","",C242*IF(Settings!$B$24=Settings!$C$6,1,IF(Settings!$B$24="USD",1/INDEX(Settings!$B$29:$B$40,MONTH(A242)),INDEX(Settings!$B$29:$B$40,MONTH(A242)))))</f>
        <v/>
      </c>
    </row>
    <row r="243" customFormat="false" ht="15" hidden="false" customHeight="false" outlineLevel="0" collapsed="false">
      <c r="H243" s="0" t="str">
        <f aca="false">IF(B243="","",IF(COUNTIF(Campaigns!$A$7:$A$300,B243)&gt;0,"✓","⚠ add to Campaigns tab"))</f>
        <v/>
      </c>
      <c r="I243" s="84" t="str">
        <f aca="false">IF(C243="","",C243*IF(Settings!$B$24=Settings!$C$6,1,IF(Settings!$B$24="USD",1/INDEX(Settings!$B$29:$B$40,MONTH(A243)),INDEX(Settings!$B$29:$B$40,MONTH(A243)))))</f>
        <v/>
      </c>
    </row>
    <row r="244" customFormat="false" ht="15" hidden="false" customHeight="false" outlineLevel="0" collapsed="false">
      <c r="H244" s="0" t="str">
        <f aca="false">IF(B244="","",IF(COUNTIF(Campaigns!$A$7:$A$300,B244)&gt;0,"✓","⚠ add to Campaigns tab"))</f>
        <v/>
      </c>
      <c r="I244" s="84" t="str">
        <f aca="false">IF(C244="","",C244*IF(Settings!$B$24=Settings!$C$6,1,IF(Settings!$B$24="USD",1/INDEX(Settings!$B$29:$B$40,MONTH(A244)),INDEX(Settings!$B$29:$B$40,MONTH(A244)))))</f>
        <v/>
      </c>
    </row>
    <row r="245" customFormat="false" ht="15" hidden="false" customHeight="false" outlineLevel="0" collapsed="false">
      <c r="H245" s="0" t="str">
        <f aca="false">IF(B245="","",IF(COUNTIF(Campaigns!$A$7:$A$300,B245)&gt;0,"✓","⚠ add to Campaigns tab"))</f>
        <v/>
      </c>
      <c r="I245" s="84" t="str">
        <f aca="false">IF(C245="","",C245*IF(Settings!$B$24=Settings!$C$6,1,IF(Settings!$B$24="USD",1/INDEX(Settings!$B$29:$B$40,MONTH(A245)),INDEX(Settings!$B$29:$B$40,MONTH(A245)))))</f>
        <v/>
      </c>
    </row>
    <row r="246" customFormat="false" ht="15" hidden="false" customHeight="false" outlineLevel="0" collapsed="false">
      <c r="H246" s="0" t="str">
        <f aca="false">IF(B246="","",IF(COUNTIF(Campaigns!$A$7:$A$300,B246)&gt;0,"✓","⚠ add to Campaigns tab"))</f>
        <v/>
      </c>
      <c r="I246" s="84" t="str">
        <f aca="false">IF(C246="","",C246*IF(Settings!$B$24=Settings!$C$6,1,IF(Settings!$B$24="USD",1/INDEX(Settings!$B$29:$B$40,MONTH(A246)),INDEX(Settings!$B$29:$B$40,MONTH(A246)))))</f>
        <v/>
      </c>
    </row>
    <row r="247" customFormat="false" ht="15" hidden="false" customHeight="false" outlineLevel="0" collapsed="false">
      <c r="H247" s="0" t="str">
        <f aca="false">IF(B247="","",IF(COUNTIF(Campaigns!$A$7:$A$300,B247)&gt;0,"✓","⚠ add to Campaigns tab"))</f>
        <v/>
      </c>
      <c r="I247" s="84" t="str">
        <f aca="false">IF(C247="","",C247*IF(Settings!$B$24=Settings!$C$6,1,IF(Settings!$B$24="USD",1/INDEX(Settings!$B$29:$B$40,MONTH(A247)),INDEX(Settings!$B$29:$B$40,MONTH(A247)))))</f>
        <v/>
      </c>
    </row>
    <row r="248" customFormat="false" ht="15" hidden="false" customHeight="false" outlineLevel="0" collapsed="false">
      <c r="H248" s="0" t="str">
        <f aca="false">IF(B248="","",IF(COUNTIF(Campaigns!$A$7:$A$300,B248)&gt;0,"✓","⚠ add to Campaigns tab"))</f>
        <v/>
      </c>
      <c r="I248" s="84" t="str">
        <f aca="false">IF(C248="","",C248*IF(Settings!$B$24=Settings!$C$6,1,IF(Settings!$B$24="USD",1/INDEX(Settings!$B$29:$B$40,MONTH(A248)),INDEX(Settings!$B$29:$B$40,MONTH(A248)))))</f>
        <v/>
      </c>
    </row>
    <row r="249" customFormat="false" ht="15" hidden="false" customHeight="false" outlineLevel="0" collapsed="false">
      <c r="H249" s="0" t="str">
        <f aca="false">IF(B249="","",IF(COUNTIF(Campaigns!$A$7:$A$300,B249)&gt;0,"✓","⚠ add to Campaigns tab"))</f>
        <v/>
      </c>
      <c r="I249" s="84" t="str">
        <f aca="false">IF(C249="","",C249*IF(Settings!$B$24=Settings!$C$6,1,IF(Settings!$B$24="USD",1/INDEX(Settings!$B$29:$B$40,MONTH(A249)),INDEX(Settings!$B$29:$B$40,MONTH(A249)))))</f>
        <v/>
      </c>
    </row>
    <row r="250" customFormat="false" ht="15" hidden="false" customHeight="false" outlineLevel="0" collapsed="false">
      <c r="H250" s="0" t="str">
        <f aca="false">IF(B250="","",IF(COUNTIF(Campaigns!$A$7:$A$300,B250)&gt;0,"✓","⚠ add to Campaigns tab"))</f>
        <v/>
      </c>
      <c r="I250" s="84" t="str">
        <f aca="false">IF(C250="","",C250*IF(Settings!$B$24=Settings!$C$6,1,IF(Settings!$B$24="USD",1/INDEX(Settings!$B$29:$B$40,MONTH(A250)),INDEX(Settings!$B$29:$B$40,MONTH(A250)))))</f>
        <v/>
      </c>
    </row>
    <row r="251" customFormat="false" ht="15" hidden="false" customHeight="false" outlineLevel="0" collapsed="false">
      <c r="H251" s="0" t="str">
        <f aca="false">IF(B251="","",IF(COUNTIF(Campaigns!$A$7:$A$300,B251)&gt;0,"✓","⚠ add to Campaigns tab"))</f>
        <v/>
      </c>
      <c r="I251" s="84" t="str">
        <f aca="false">IF(C251="","",C251*IF(Settings!$B$24=Settings!$C$6,1,IF(Settings!$B$24="USD",1/INDEX(Settings!$B$29:$B$40,MONTH(A251)),INDEX(Settings!$B$29:$B$40,MONTH(A251)))))</f>
        <v/>
      </c>
    </row>
    <row r="252" customFormat="false" ht="15" hidden="false" customHeight="false" outlineLevel="0" collapsed="false">
      <c r="H252" s="0" t="str">
        <f aca="false">IF(B252="","",IF(COUNTIF(Campaigns!$A$7:$A$300,B252)&gt;0,"✓","⚠ add to Campaigns tab"))</f>
        <v/>
      </c>
      <c r="I252" s="84" t="str">
        <f aca="false">IF(C252="","",C252*IF(Settings!$B$24=Settings!$C$6,1,IF(Settings!$B$24="USD",1/INDEX(Settings!$B$29:$B$40,MONTH(A252)),INDEX(Settings!$B$29:$B$40,MONTH(A252)))))</f>
        <v/>
      </c>
    </row>
    <row r="253" customFormat="false" ht="15" hidden="false" customHeight="false" outlineLevel="0" collapsed="false">
      <c r="H253" s="0" t="str">
        <f aca="false">IF(B253="","",IF(COUNTIF(Campaigns!$A$7:$A$300,B253)&gt;0,"✓","⚠ add to Campaigns tab"))</f>
        <v/>
      </c>
      <c r="I253" s="84" t="str">
        <f aca="false">IF(C253="","",C253*IF(Settings!$B$24=Settings!$C$6,1,IF(Settings!$B$24="USD",1/INDEX(Settings!$B$29:$B$40,MONTH(A253)),INDEX(Settings!$B$29:$B$40,MONTH(A253)))))</f>
        <v/>
      </c>
    </row>
    <row r="254" customFormat="false" ht="15" hidden="false" customHeight="false" outlineLevel="0" collapsed="false">
      <c r="H254" s="0" t="str">
        <f aca="false">IF(B254="","",IF(COUNTIF(Campaigns!$A$7:$A$300,B254)&gt;0,"✓","⚠ add to Campaigns tab"))</f>
        <v/>
      </c>
      <c r="I254" s="84" t="str">
        <f aca="false">IF(C254="","",C254*IF(Settings!$B$24=Settings!$C$6,1,IF(Settings!$B$24="USD",1/INDEX(Settings!$B$29:$B$40,MONTH(A254)),INDEX(Settings!$B$29:$B$40,MONTH(A254)))))</f>
        <v/>
      </c>
    </row>
    <row r="255" customFormat="false" ht="15" hidden="false" customHeight="false" outlineLevel="0" collapsed="false">
      <c r="H255" s="0" t="str">
        <f aca="false">IF(B255="","",IF(COUNTIF(Campaigns!$A$7:$A$300,B255)&gt;0,"✓","⚠ add to Campaigns tab"))</f>
        <v/>
      </c>
      <c r="I255" s="84" t="str">
        <f aca="false">IF(C255="","",C255*IF(Settings!$B$24=Settings!$C$6,1,IF(Settings!$B$24="USD",1/INDEX(Settings!$B$29:$B$40,MONTH(A255)),INDEX(Settings!$B$29:$B$40,MONTH(A255)))))</f>
        <v/>
      </c>
    </row>
    <row r="256" customFormat="false" ht="15" hidden="false" customHeight="false" outlineLevel="0" collapsed="false">
      <c r="H256" s="0" t="str">
        <f aca="false">IF(B256="","",IF(COUNTIF(Campaigns!$A$7:$A$300,B256)&gt;0,"✓","⚠ add to Campaigns tab"))</f>
        <v/>
      </c>
      <c r="I256" s="84" t="str">
        <f aca="false">IF(C256="","",C256*IF(Settings!$B$24=Settings!$C$6,1,IF(Settings!$B$24="USD",1/INDEX(Settings!$B$29:$B$40,MONTH(A256)),INDEX(Settings!$B$29:$B$40,MONTH(A256)))))</f>
        <v/>
      </c>
    </row>
    <row r="257" customFormat="false" ht="15" hidden="false" customHeight="false" outlineLevel="0" collapsed="false">
      <c r="H257" s="0" t="str">
        <f aca="false">IF(B257="","",IF(COUNTIF(Campaigns!$A$7:$A$300,B257)&gt;0,"✓","⚠ add to Campaigns tab"))</f>
        <v/>
      </c>
      <c r="I257" s="84" t="str">
        <f aca="false">IF(C257="","",C257*IF(Settings!$B$24=Settings!$C$6,1,IF(Settings!$B$24="USD",1/INDEX(Settings!$B$29:$B$40,MONTH(A257)),INDEX(Settings!$B$29:$B$40,MONTH(A257)))))</f>
        <v/>
      </c>
    </row>
    <row r="258" customFormat="false" ht="15" hidden="false" customHeight="false" outlineLevel="0" collapsed="false">
      <c r="H258" s="0" t="str">
        <f aca="false">IF(B258="","",IF(COUNTIF(Campaigns!$A$7:$A$300,B258)&gt;0,"✓","⚠ add to Campaigns tab"))</f>
        <v/>
      </c>
      <c r="I258" s="84" t="str">
        <f aca="false">IF(C258="","",C258*IF(Settings!$B$24=Settings!$C$6,1,IF(Settings!$B$24="USD",1/INDEX(Settings!$B$29:$B$40,MONTH(A258)),INDEX(Settings!$B$29:$B$40,MONTH(A258)))))</f>
        <v/>
      </c>
    </row>
    <row r="259" customFormat="false" ht="15" hidden="false" customHeight="false" outlineLevel="0" collapsed="false">
      <c r="H259" s="0" t="str">
        <f aca="false">IF(B259="","",IF(COUNTIF(Campaigns!$A$7:$A$300,B259)&gt;0,"✓","⚠ add to Campaigns tab"))</f>
        <v/>
      </c>
      <c r="I259" s="84" t="str">
        <f aca="false">IF(C259="","",C259*IF(Settings!$B$24=Settings!$C$6,1,IF(Settings!$B$24="USD",1/INDEX(Settings!$B$29:$B$40,MONTH(A259)),INDEX(Settings!$B$29:$B$40,MONTH(A259)))))</f>
        <v/>
      </c>
    </row>
    <row r="260" customFormat="false" ht="15" hidden="false" customHeight="false" outlineLevel="0" collapsed="false">
      <c r="H260" s="0" t="str">
        <f aca="false">IF(B260="","",IF(COUNTIF(Campaigns!$A$7:$A$300,B260)&gt;0,"✓","⚠ add to Campaigns tab"))</f>
        <v/>
      </c>
      <c r="I260" s="84" t="str">
        <f aca="false">IF(C260="","",C260*IF(Settings!$B$24=Settings!$C$6,1,IF(Settings!$B$24="USD",1/INDEX(Settings!$B$29:$B$40,MONTH(A260)),INDEX(Settings!$B$29:$B$40,MONTH(A260)))))</f>
        <v/>
      </c>
    </row>
    <row r="261" customFormat="false" ht="15" hidden="false" customHeight="false" outlineLevel="0" collapsed="false">
      <c r="H261" s="0" t="str">
        <f aca="false">IF(B261="","",IF(COUNTIF(Campaigns!$A$7:$A$300,B261)&gt;0,"✓","⚠ add to Campaigns tab"))</f>
        <v/>
      </c>
      <c r="I261" s="84" t="str">
        <f aca="false">IF(C261="","",C261*IF(Settings!$B$24=Settings!$C$6,1,IF(Settings!$B$24="USD",1/INDEX(Settings!$B$29:$B$40,MONTH(A261)),INDEX(Settings!$B$29:$B$40,MONTH(A261)))))</f>
        <v/>
      </c>
    </row>
    <row r="262" customFormat="false" ht="15" hidden="false" customHeight="false" outlineLevel="0" collapsed="false">
      <c r="H262" s="0" t="str">
        <f aca="false">IF(B262="","",IF(COUNTIF(Campaigns!$A$7:$A$300,B262)&gt;0,"✓","⚠ add to Campaigns tab"))</f>
        <v/>
      </c>
      <c r="I262" s="84" t="str">
        <f aca="false">IF(C262="","",C262*IF(Settings!$B$24=Settings!$C$6,1,IF(Settings!$B$24="USD",1/INDEX(Settings!$B$29:$B$40,MONTH(A262)),INDEX(Settings!$B$29:$B$40,MONTH(A262)))))</f>
        <v/>
      </c>
    </row>
    <row r="263" customFormat="false" ht="15" hidden="false" customHeight="false" outlineLevel="0" collapsed="false">
      <c r="H263" s="0" t="str">
        <f aca="false">IF(B263="","",IF(COUNTIF(Campaigns!$A$7:$A$300,B263)&gt;0,"✓","⚠ add to Campaigns tab"))</f>
        <v/>
      </c>
      <c r="I263" s="84" t="str">
        <f aca="false">IF(C263="","",C263*IF(Settings!$B$24=Settings!$C$6,1,IF(Settings!$B$24="USD",1/INDEX(Settings!$B$29:$B$40,MONTH(A263)),INDEX(Settings!$B$29:$B$40,MONTH(A263)))))</f>
        <v/>
      </c>
    </row>
    <row r="264" customFormat="false" ht="15" hidden="false" customHeight="false" outlineLevel="0" collapsed="false">
      <c r="H264" s="0" t="str">
        <f aca="false">IF(B264="","",IF(COUNTIF(Campaigns!$A$7:$A$300,B264)&gt;0,"✓","⚠ add to Campaigns tab"))</f>
        <v/>
      </c>
      <c r="I264" s="84" t="str">
        <f aca="false">IF(C264="","",C264*IF(Settings!$B$24=Settings!$C$6,1,IF(Settings!$B$24="USD",1/INDEX(Settings!$B$29:$B$40,MONTH(A264)),INDEX(Settings!$B$29:$B$40,MONTH(A264)))))</f>
        <v/>
      </c>
    </row>
    <row r="265" customFormat="false" ht="15" hidden="false" customHeight="false" outlineLevel="0" collapsed="false">
      <c r="H265" s="0" t="str">
        <f aca="false">IF(B265="","",IF(COUNTIF(Campaigns!$A$7:$A$300,B265)&gt;0,"✓","⚠ add to Campaigns tab"))</f>
        <v/>
      </c>
      <c r="I265" s="84" t="str">
        <f aca="false">IF(C265="","",C265*IF(Settings!$B$24=Settings!$C$6,1,IF(Settings!$B$24="USD",1/INDEX(Settings!$B$29:$B$40,MONTH(A265)),INDEX(Settings!$B$29:$B$40,MONTH(A265)))))</f>
        <v/>
      </c>
    </row>
    <row r="266" customFormat="false" ht="15" hidden="false" customHeight="false" outlineLevel="0" collapsed="false">
      <c r="H266" s="0" t="str">
        <f aca="false">IF(B266="","",IF(COUNTIF(Campaigns!$A$7:$A$300,B266)&gt;0,"✓","⚠ add to Campaigns tab"))</f>
        <v/>
      </c>
      <c r="I266" s="84" t="str">
        <f aca="false">IF(C266="","",C266*IF(Settings!$B$24=Settings!$C$6,1,IF(Settings!$B$24="USD",1/INDEX(Settings!$B$29:$B$40,MONTH(A266)),INDEX(Settings!$B$29:$B$40,MONTH(A266)))))</f>
        <v/>
      </c>
    </row>
    <row r="267" customFormat="false" ht="15" hidden="false" customHeight="false" outlineLevel="0" collapsed="false">
      <c r="H267" s="0" t="str">
        <f aca="false">IF(B267="","",IF(COUNTIF(Campaigns!$A$7:$A$300,B267)&gt;0,"✓","⚠ add to Campaigns tab"))</f>
        <v/>
      </c>
      <c r="I267" s="84" t="str">
        <f aca="false">IF(C267="","",C267*IF(Settings!$B$24=Settings!$C$6,1,IF(Settings!$B$24="USD",1/INDEX(Settings!$B$29:$B$40,MONTH(A267)),INDEX(Settings!$B$29:$B$40,MONTH(A267)))))</f>
        <v/>
      </c>
    </row>
    <row r="268" customFormat="false" ht="15" hidden="false" customHeight="false" outlineLevel="0" collapsed="false">
      <c r="H268" s="0" t="str">
        <f aca="false">IF(B268="","",IF(COUNTIF(Campaigns!$A$7:$A$300,B268)&gt;0,"✓","⚠ add to Campaigns tab"))</f>
        <v/>
      </c>
      <c r="I268" s="84" t="str">
        <f aca="false">IF(C268="","",C268*IF(Settings!$B$24=Settings!$C$6,1,IF(Settings!$B$24="USD",1/INDEX(Settings!$B$29:$B$40,MONTH(A268)),INDEX(Settings!$B$29:$B$40,MONTH(A268)))))</f>
        <v/>
      </c>
    </row>
    <row r="269" customFormat="false" ht="15" hidden="false" customHeight="false" outlineLevel="0" collapsed="false">
      <c r="H269" s="0" t="str">
        <f aca="false">IF(B269="","",IF(COUNTIF(Campaigns!$A$7:$A$300,B269)&gt;0,"✓","⚠ add to Campaigns tab"))</f>
        <v/>
      </c>
      <c r="I269" s="84" t="str">
        <f aca="false">IF(C269="","",C269*IF(Settings!$B$24=Settings!$C$6,1,IF(Settings!$B$24="USD",1/INDEX(Settings!$B$29:$B$40,MONTH(A269)),INDEX(Settings!$B$29:$B$40,MONTH(A269)))))</f>
        <v/>
      </c>
    </row>
    <row r="270" customFormat="false" ht="15" hidden="false" customHeight="false" outlineLevel="0" collapsed="false">
      <c r="H270" s="0" t="str">
        <f aca="false">IF(B270="","",IF(COUNTIF(Campaigns!$A$7:$A$300,B270)&gt;0,"✓","⚠ add to Campaigns tab"))</f>
        <v/>
      </c>
      <c r="I270" s="84" t="str">
        <f aca="false">IF(C270="","",C270*IF(Settings!$B$24=Settings!$C$6,1,IF(Settings!$B$24="USD",1/INDEX(Settings!$B$29:$B$40,MONTH(A270)),INDEX(Settings!$B$29:$B$40,MONTH(A270)))))</f>
        <v/>
      </c>
    </row>
    <row r="271" customFormat="false" ht="15" hidden="false" customHeight="false" outlineLevel="0" collapsed="false">
      <c r="H271" s="0" t="str">
        <f aca="false">IF(B271="","",IF(COUNTIF(Campaigns!$A$7:$A$300,B271)&gt;0,"✓","⚠ add to Campaigns tab"))</f>
        <v/>
      </c>
      <c r="I271" s="84" t="str">
        <f aca="false">IF(C271="","",C271*IF(Settings!$B$24=Settings!$C$6,1,IF(Settings!$B$24="USD",1/INDEX(Settings!$B$29:$B$40,MONTH(A271)),INDEX(Settings!$B$29:$B$40,MONTH(A271)))))</f>
        <v/>
      </c>
    </row>
    <row r="272" customFormat="false" ht="15" hidden="false" customHeight="false" outlineLevel="0" collapsed="false">
      <c r="H272" s="0" t="str">
        <f aca="false">IF(B272="","",IF(COUNTIF(Campaigns!$A$7:$A$300,B272)&gt;0,"✓","⚠ add to Campaigns tab"))</f>
        <v/>
      </c>
      <c r="I272" s="84" t="str">
        <f aca="false">IF(C272="","",C272*IF(Settings!$B$24=Settings!$C$6,1,IF(Settings!$B$24="USD",1/INDEX(Settings!$B$29:$B$40,MONTH(A272)),INDEX(Settings!$B$29:$B$40,MONTH(A272)))))</f>
        <v/>
      </c>
    </row>
    <row r="273" customFormat="false" ht="15" hidden="false" customHeight="false" outlineLevel="0" collapsed="false">
      <c r="H273" s="0" t="str">
        <f aca="false">IF(B273="","",IF(COUNTIF(Campaigns!$A$7:$A$300,B273)&gt;0,"✓","⚠ add to Campaigns tab"))</f>
        <v/>
      </c>
      <c r="I273" s="84" t="str">
        <f aca="false">IF(C273="","",C273*IF(Settings!$B$24=Settings!$C$6,1,IF(Settings!$B$24="USD",1/INDEX(Settings!$B$29:$B$40,MONTH(A273)),INDEX(Settings!$B$29:$B$40,MONTH(A273)))))</f>
        <v/>
      </c>
    </row>
    <row r="274" customFormat="false" ht="15" hidden="false" customHeight="false" outlineLevel="0" collapsed="false">
      <c r="H274" s="0" t="str">
        <f aca="false">IF(B274="","",IF(COUNTIF(Campaigns!$A$7:$A$300,B274)&gt;0,"✓","⚠ add to Campaigns tab"))</f>
        <v/>
      </c>
      <c r="I274" s="84" t="str">
        <f aca="false">IF(C274="","",C274*IF(Settings!$B$24=Settings!$C$6,1,IF(Settings!$B$24="USD",1/INDEX(Settings!$B$29:$B$40,MONTH(A274)),INDEX(Settings!$B$29:$B$40,MONTH(A274)))))</f>
        <v/>
      </c>
    </row>
    <row r="275" customFormat="false" ht="15" hidden="false" customHeight="false" outlineLevel="0" collapsed="false">
      <c r="H275" s="0" t="str">
        <f aca="false">IF(B275="","",IF(COUNTIF(Campaigns!$A$7:$A$300,B275)&gt;0,"✓","⚠ add to Campaigns tab"))</f>
        <v/>
      </c>
      <c r="I275" s="84" t="str">
        <f aca="false">IF(C275="","",C275*IF(Settings!$B$24=Settings!$C$6,1,IF(Settings!$B$24="USD",1/INDEX(Settings!$B$29:$B$40,MONTH(A275)),INDEX(Settings!$B$29:$B$40,MONTH(A275)))))</f>
        <v/>
      </c>
    </row>
    <row r="276" customFormat="false" ht="15" hidden="false" customHeight="false" outlineLevel="0" collapsed="false">
      <c r="H276" s="0" t="str">
        <f aca="false">IF(B276="","",IF(COUNTIF(Campaigns!$A$7:$A$300,B276)&gt;0,"✓","⚠ add to Campaigns tab"))</f>
        <v/>
      </c>
      <c r="I276" s="84" t="str">
        <f aca="false">IF(C276="","",C276*IF(Settings!$B$24=Settings!$C$6,1,IF(Settings!$B$24="USD",1/INDEX(Settings!$B$29:$B$40,MONTH(A276)),INDEX(Settings!$B$29:$B$40,MONTH(A276)))))</f>
        <v/>
      </c>
    </row>
    <row r="277" customFormat="false" ht="15" hidden="false" customHeight="false" outlineLevel="0" collapsed="false">
      <c r="H277" s="0" t="str">
        <f aca="false">IF(B277="","",IF(COUNTIF(Campaigns!$A$7:$A$300,B277)&gt;0,"✓","⚠ add to Campaigns tab"))</f>
        <v/>
      </c>
      <c r="I277" s="84" t="str">
        <f aca="false">IF(C277="","",C277*IF(Settings!$B$24=Settings!$C$6,1,IF(Settings!$B$24="USD",1/INDEX(Settings!$B$29:$B$40,MONTH(A277)),INDEX(Settings!$B$29:$B$40,MONTH(A277)))))</f>
        <v/>
      </c>
    </row>
    <row r="278" customFormat="false" ht="15" hidden="false" customHeight="false" outlineLevel="0" collapsed="false">
      <c r="H278" s="0" t="str">
        <f aca="false">IF(B278="","",IF(COUNTIF(Campaigns!$A$7:$A$300,B278)&gt;0,"✓","⚠ add to Campaigns tab"))</f>
        <v/>
      </c>
      <c r="I278" s="84" t="str">
        <f aca="false">IF(C278="","",C278*IF(Settings!$B$24=Settings!$C$6,1,IF(Settings!$B$24="USD",1/INDEX(Settings!$B$29:$B$40,MONTH(A278)),INDEX(Settings!$B$29:$B$40,MONTH(A278)))))</f>
        <v/>
      </c>
    </row>
    <row r="279" customFormat="false" ht="15" hidden="false" customHeight="false" outlineLevel="0" collapsed="false">
      <c r="H279" s="0" t="str">
        <f aca="false">IF(B279="","",IF(COUNTIF(Campaigns!$A$7:$A$300,B279)&gt;0,"✓","⚠ add to Campaigns tab"))</f>
        <v/>
      </c>
      <c r="I279" s="84" t="str">
        <f aca="false">IF(C279="","",C279*IF(Settings!$B$24=Settings!$C$6,1,IF(Settings!$B$24="USD",1/INDEX(Settings!$B$29:$B$40,MONTH(A279)),INDEX(Settings!$B$29:$B$40,MONTH(A279)))))</f>
        <v/>
      </c>
    </row>
    <row r="280" customFormat="false" ht="15" hidden="false" customHeight="false" outlineLevel="0" collapsed="false">
      <c r="H280" s="0" t="str">
        <f aca="false">IF(B280="","",IF(COUNTIF(Campaigns!$A$7:$A$300,B280)&gt;0,"✓","⚠ add to Campaigns tab"))</f>
        <v/>
      </c>
      <c r="I280" s="84" t="str">
        <f aca="false">IF(C280="","",C280*IF(Settings!$B$24=Settings!$C$6,1,IF(Settings!$B$24="USD",1/INDEX(Settings!$B$29:$B$40,MONTH(A280)),INDEX(Settings!$B$29:$B$40,MONTH(A280)))))</f>
        <v/>
      </c>
    </row>
    <row r="281" customFormat="false" ht="15" hidden="false" customHeight="false" outlineLevel="0" collapsed="false">
      <c r="H281" s="0" t="str">
        <f aca="false">IF(B281="","",IF(COUNTIF(Campaigns!$A$7:$A$300,B281)&gt;0,"✓","⚠ add to Campaigns tab"))</f>
        <v/>
      </c>
      <c r="I281" s="84" t="str">
        <f aca="false">IF(C281="","",C281*IF(Settings!$B$24=Settings!$C$6,1,IF(Settings!$B$24="USD",1/INDEX(Settings!$B$29:$B$40,MONTH(A281)),INDEX(Settings!$B$29:$B$40,MONTH(A281)))))</f>
        <v/>
      </c>
    </row>
    <row r="282" customFormat="false" ht="15" hidden="false" customHeight="false" outlineLevel="0" collapsed="false">
      <c r="H282" s="0" t="str">
        <f aca="false">IF(B282="","",IF(COUNTIF(Campaigns!$A$7:$A$300,B282)&gt;0,"✓","⚠ add to Campaigns tab"))</f>
        <v/>
      </c>
      <c r="I282" s="84" t="str">
        <f aca="false">IF(C282="","",C282*IF(Settings!$B$24=Settings!$C$6,1,IF(Settings!$B$24="USD",1/INDEX(Settings!$B$29:$B$40,MONTH(A282)),INDEX(Settings!$B$29:$B$40,MONTH(A282)))))</f>
        <v/>
      </c>
    </row>
    <row r="283" customFormat="false" ht="15" hidden="false" customHeight="false" outlineLevel="0" collapsed="false">
      <c r="H283" s="0" t="str">
        <f aca="false">IF(B283="","",IF(COUNTIF(Campaigns!$A$7:$A$300,B283)&gt;0,"✓","⚠ add to Campaigns tab"))</f>
        <v/>
      </c>
      <c r="I283" s="84" t="str">
        <f aca="false">IF(C283="","",C283*IF(Settings!$B$24=Settings!$C$6,1,IF(Settings!$B$24="USD",1/INDEX(Settings!$B$29:$B$40,MONTH(A283)),INDEX(Settings!$B$29:$B$40,MONTH(A283)))))</f>
        <v/>
      </c>
    </row>
    <row r="284" customFormat="false" ht="15" hidden="false" customHeight="false" outlineLevel="0" collapsed="false">
      <c r="H284" s="0" t="str">
        <f aca="false">IF(B284="","",IF(COUNTIF(Campaigns!$A$7:$A$300,B284)&gt;0,"✓","⚠ add to Campaigns tab"))</f>
        <v/>
      </c>
      <c r="I284" s="84" t="str">
        <f aca="false">IF(C284="","",C284*IF(Settings!$B$24=Settings!$C$6,1,IF(Settings!$B$24="USD",1/INDEX(Settings!$B$29:$B$40,MONTH(A284)),INDEX(Settings!$B$29:$B$40,MONTH(A284)))))</f>
        <v/>
      </c>
    </row>
    <row r="285" customFormat="false" ht="15" hidden="false" customHeight="false" outlineLevel="0" collapsed="false">
      <c r="H285" s="0" t="str">
        <f aca="false">IF(B285="","",IF(COUNTIF(Campaigns!$A$7:$A$300,B285)&gt;0,"✓","⚠ add to Campaigns tab"))</f>
        <v/>
      </c>
      <c r="I285" s="84" t="str">
        <f aca="false">IF(C285="","",C285*IF(Settings!$B$24=Settings!$C$6,1,IF(Settings!$B$24="USD",1/INDEX(Settings!$B$29:$B$40,MONTH(A285)),INDEX(Settings!$B$29:$B$40,MONTH(A285)))))</f>
        <v/>
      </c>
    </row>
    <row r="286" customFormat="false" ht="15" hidden="false" customHeight="false" outlineLevel="0" collapsed="false">
      <c r="H286" s="0" t="str">
        <f aca="false">IF(B286="","",IF(COUNTIF(Campaigns!$A$7:$A$300,B286)&gt;0,"✓","⚠ add to Campaigns tab"))</f>
        <v/>
      </c>
      <c r="I286" s="84" t="str">
        <f aca="false">IF(C286="","",C286*IF(Settings!$B$24=Settings!$C$6,1,IF(Settings!$B$24="USD",1/INDEX(Settings!$B$29:$B$40,MONTH(A286)),INDEX(Settings!$B$29:$B$40,MONTH(A286)))))</f>
        <v/>
      </c>
    </row>
    <row r="287" customFormat="false" ht="15" hidden="false" customHeight="false" outlineLevel="0" collapsed="false">
      <c r="H287" s="0" t="str">
        <f aca="false">IF(B287="","",IF(COUNTIF(Campaigns!$A$7:$A$300,B287)&gt;0,"✓","⚠ add to Campaigns tab"))</f>
        <v/>
      </c>
      <c r="I287" s="84" t="str">
        <f aca="false">IF(C287="","",C287*IF(Settings!$B$24=Settings!$C$6,1,IF(Settings!$B$24="USD",1/INDEX(Settings!$B$29:$B$40,MONTH(A287)),INDEX(Settings!$B$29:$B$40,MONTH(A287)))))</f>
        <v/>
      </c>
    </row>
    <row r="288" customFormat="false" ht="15" hidden="false" customHeight="false" outlineLevel="0" collapsed="false">
      <c r="H288" s="0" t="str">
        <f aca="false">IF(B288="","",IF(COUNTIF(Campaigns!$A$7:$A$300,B288)&gt;0,"✓","⚠ add to Campaigns tab"))</f>
        <v/>
      </c>
      <c r="I288" s="84" t="str">
        <f aca="false">IF(C288="","",C288*IF(Settings!$B$24=Settings!$C$6,1,IF(Settings!$B$24="USD",1/INDEX(Settings!$B$29:$B$40,MONTH(A288)),INDEX(Settings!$B$29:$B$40,MONTH(A288)))))</f>
        <v/>
      </c>
    </row>
    <row r="289" customFormat="false" ht="15" hidden="false" customHeight="false" outlineLevel="0" collapsed="false">
      <c r="H289" s="0" t="str">
        <f aca="false">IF(B289="","",IF(COUNTIF(Campaigns!$A$7:$A$300,B289)&gt;0,"✓","⚠ add to Campaigns tab"))</f>
        <v/>
      </c>
      <c r="I289" s="84" t="str">
        <f aca="false">IF(C289="","",C289*IF(Settings!$B$24=Settings!$C$6,1,IF(Settings!$B$24="USD",1/INDEX(Settings!$B$29:$B$40,MONTH(A289)),INDEX(Settings!$B$29:$B$40,MONTH(A289)))))</f>
        <v/>
      </c>
    </row>
    <row r="290" customFormat="false" ht="15" hidden="false" customHeight="false" outlineLevel="0" collapsed="false">
      <c r="H290" s="0" t="str">
        <f aca="false">IF(B290="","",IF(COUNTIF(Campaigns!$A$7:$A$300,B290)&gt;0,"✓","⚠ add to Campaigns tab"))</f>
        <v/>
      </c>
      <c r="I290" s="84" t="str">
        <f aca="false">IF(C290="","",C290*IF(Settings!$B$24=Settings!$C$6,1,IF(Settings!$B$24="USD",1/INDEX(Settings!$B$29:$B$40,MONTH(A290)),INDEX(Settings!$B$29:$B$40,MONTH(A290)))))</f>
        <v/>
      </c>
    </row>
    <row r="291" customFormat="false" ht="15" hidden="false" customHeight="false" outlineLevel="0" collapsed="false">
      <c r="H291" s="0" t="str">
        <f aca="false">IF(B291="","",IF(COUNTIF(Campaigns!$A$7:$A$300,B291)&gt;0,"✓","⚠ add to Campaigns tab"))</f>
        <v/>
      </c>
      <c r="I291" s="84" t="str">
        <f aca="false">IF(C291="","",C291*IF(Settings!$B$24=Settings!$C$6,1,IF(Settings!$B$24="USD",1/INDEX(Settings!$B$29:$B$40,MONTH(A291)),INDEX(Settings!$B$29:$B$40,MONTH(A291)))))</f>
        <v/>
      </c>
    </row>
    <row r="292" customFormat="false" ht="15" hidden="false" customHeight="false" outlineLevel="0" collapsed="false">
      <c r="H292" s="0" t="str">
        <f aca="false">IF(B292="","",IF(COUNTIF(Campaigns!$A$7:$A$300,B292)&gt;0,"✓","⚠ add to Campaigns tab"))</f>
        <v/>
      </c>
      <c r="I292" s="84" t="str">
        <f aca="false">IF(C292="","",C292*IF(Settings!$B$24=Settings!$C$6,1,IF(Settings!$B$24="USD",1/INDEX(Settings!$B$29:$B$40,MONTH(A292)),INDEX(Settings!$B$29:$B$40,MONTH(A292)))))</f>
        <v/>
      </c>
    </row>
    <row r="293" customFormat="false" ht="15" hidden="false" customHeight="false" outlineLevel="0" collapsed="false">
      <c r="H293" s="0" t="str">
        <f aca="false">IF(B293="","",IF(COUNTIF(Campaigns!$A$7:$A$300,B293)&gt;0,"✓","⚠ add to Campaigns tab"))</f>
        <v/>
      </c>
      <c r="I293" s="84" t="str">
        <f aca="false">IF(C293="","",C293*IF(Settings!$B$24=Settings!$C$6,1,IF(Settings!$B$24="USD",1/INDEX(Settings!$B$29:$B$40,MONTH(A293)),INDEX(Settings!$B$29:$B$40,MONTH(A293)))))</f>
        <v/>
      </c>
    </row>
    <row r="294" customFormat="false" ht="15" hidden="false" customHeight="false" outlineLevel="0" collapsed="false">
      <c r="H294" s="0" t="str">
        <f aca="false">IF(B294="","",IF(COUNTIF(Campaigns!$A$7:$A$300,B294)&gt;0,"✓","⚠ add to Campaigns tab"))</f>
        <v/>
      </c>
      <c r="I294" s="84" t="str">
        <f aca="false">IF(C294="","",C294*IF(Settings!$B$24=Settings!$C$6,1,IF(Settings!$B$24="USD",1/INDEX(Settings!$B$29:$B$40,MONTH(A294)),INDEX(Settings!$B$29:$B$40,MONTH(A294)))))</f>
        <v/>
      </c>
    </row>
    <row r="295" customFormat="false" ht="15" hidden="false" customHeight="false" outlineLevel="0" collapsed="false">
      <c r="H295" s="0" t="str">
        <f aca="false">IF(B295="","",IF(COUNTIF(Campaigns!$A$7:$A$300,B295)&gt;0,"✓","⚠ add to Campaigns tab"))</f>
        <v/>
      </c>
      <c r="I295" s="84" t="str">
        <f aca="false">IF(C295="","",C295*IF(Settings!$B$24=Settings!$C$6,1,IF(Settings!$B$24="USD",1/INDEX(Settings!$B$29:$B$40,MONTH(A295)),INDEX(Settings!$B$29:$B$40,MONTH(A295)))))</f>
        <v/>
      </c>
    </row>
    <row r="296" customFormat="false" ht="15" hidden="false" customHeight="false" outlineLevel="0" collapsed="false">
      <c r="H296" s="0" t="str">
        <f aca="false">IF(B296="","",IF(COUNTIF(Campaigns!$A$7:$A$300,B296)&gt;0,"✓","⚠ add to Campaigns tab"))</f>
        <v/>
      </c>
      <c r="I296" s="84" t="str">
        <f aca="false">IF(C296="","",C296*IF(Settings!$B$24=Settings!$C$6,1,IF(Settings!$B$24="USD",1/INDEX(Settings!$B$29:$B$40,MONTH(A296)),INDEX(Settings!$B$29:$B$40,MONTH(A296)))))</f>
        <v/>
      </c>
    </row>
    <row r="297" customFormat="false" ht="15" hidden="false" customHeight="false" outlineLevel="0" collapsed="false">
      <c r="H297" s="0" t="str">
        <f aca="false">IF(B297="","",IF(COUNTIF(Campaigns!$A$7:$A$300,B297)&gt;0,"✓","⚠ add to Campaigns tab"))</f>
        <v/>
      </c>
      <c r="I297" s="84" t="str">
        <f aca="false">IF(C297="","",C297*IF(Settings!$B$24=Settings!$C$6,1,IF(Settings!$B$24="USD",1/INDEX(Settings!$B$29:$B$40,MONTH(A297)),INDEX(Settings!$B$29:$B$40,MONTH(A297)))))</f>
        <v/>
      </c>
    </row>
    <row r="298" customFormat="false" ht="15" hidden="false" customHeight="false" outlineLevel="0" collapsed="false">
      <c r="H298" s="0" t="str">
        <f aca="false">IF(B298="","",IF(COUNTIF(Campaigns!$A$7:$A$300,B298)&gt;0,"✓","⚠ add to Campaigns tab"))</f>
        <v/>
      </c>
      <c r="I298" s="84" t="str">
        <f aca="false">IF(C298="","",C298*IF(Settings!$B$24=Settings!$C$6,1,IF(Settings!$B$24="USD",1/INDEX(Settings!$B$29:$B$40,MONTH(A298)),INDEX(Settings!$B$29:$B$40,MONTH(A298)))))</f>
        <v/>
      </c>
    </row>
    <row r="299" customFormat="false" ht="15" hidden="false" customHeight="false" outlineLevel="0" collapsed="false">
      <c r="H299" s="0" t="str">
        <f aca="false">IF(B299="","",IF(COUNTIF(Campaigns!$A$7:$A$300,B299)&gt;0,"✓","⚠ add to Campaigns tab"))</f>
        <v/>
      </c>
      <c r="I299" s="84" t="str">
        <f aca="false">IF(C299="","",C299*IF(Settings!$B$24=Settings!$C$6,1,IF(Settings!$B$24="USD",1/INDEX(Settings!$B$29:$B$40,MONTH(A299)),INDEX(Settings!$B$29:$B$40,MONTH(A299)))))</f>
        <v/>
      </c>
    </row>
    <row r="300" customFormat="false" ht="15" hidden="false" customHeight="false" outlineLevel="0" collapsed="false">
      <c r="H300" s="0" t="str">
        <f aca="false">IF(B300="","",IF(COUNTIF(Campaigns!$A$7:$A$300,B300)&gt;0,"✓","⚠ add to Campaigns tab"))</f>
        <v/>
      </c>
      <c r="I300" s="84" t="str">
        <f aca="false">IF(C300="","",C300*IF(Settings!$B$24=Settings!$C$6,1,IF(Settings!$B$24="USD",1/INDEX(Settings!$B$29:$B$40,MONTH(A300)),INDEX(Settings!$B$29:$B$40,MONTH(A300)))))</f>
        <v/>
      </c>
    </row>
    <row r="301" customFormat="false" ht="15" hidden="false" customHeight="false" outlineLevel="0" collapsed="false">
      <c r="H301" s="0" t="str">
        <f aca="false">IF(B301="","",IF(COUNTIF(Campaigns!$A$7:$A$300,B301)&gt;0,"✓","⚠ add to Campaigns tab"))</f>
        <v/>
      </c>
      <c r="I301" s="84" t="str">
        <f aca="false">IF(C301="","",C301*IF(Settings!$B$24=Settings!$C$6,1,IF(Settings!$B$24="USD",1/INDEX(Settings!$B$29:$B$40,MONTH(A301)),INDEX(Settings!$B$29:$B$40,MONTH(A301)))))</f>
        <v/>
      </c>
    </row>
    <row r="302" customFormat="false" ht="15" hidden="false" customHeight="false" outlineLevel="0" collapsed="false">
      <c r="H302" s="0" t="str">
        <f aca="false">IF(B302="","",IF(COUNTIF(Campaigns!$A$7:$A$300,B302)&gt;0,"✓","⚠ add to Campaigns tab"))</f>
        <v/>
      </c>
      <c r="I302" s="84" t="str">
        <f aca="false">IF(C302="","",C302*IF(Settings!$B$24=Settings!$C$6,1,IF(Settings!$B$24="USD",1/INDEX(Settings!$B$29:$B$40,MONTH(A302)),INDEX(Settings!$B$29:$B$40,MONTH(A302)))))</f>
        <v/>
      </c>
    </row>
    <row r="303" customFormat="false" ht="15" hidden="false" customHeight="false" outlineLevel="0" collapsed="false">
      <c r="H303" s="0" t="str">
        <f aca="false">IF(B303="","",IF(COUNTIF(Campaigns!$A$7:$A$300,B303)&gt;0,"✓","⚠ add to Campaigns tab"))</f>
        <v/>
      </c>
      <c r="I303" s="84" t="str">
        <f aca="false">IF(C303="","",C303*IF(Settings!$B$24=Settings!$C$6,1,IF(Settings!$B$24="USD",1/INDEX(Settings!$B$29:$B$40,MONTH(A303)),INDEX(Settings!$B$29:$B$40,MONTH(A303)))))</f>
        <v/>
      </c>
    </row>
    <row r="304" customFormat="false" ht="15" hidden="false" customHeight="false" outlineLevel="0" collapsed="false">
      <c r="H304" s="0" t="str">
        <f aca="false">IF(B304="","",IF(COUNTIF(Campaigns!$A$7:$A$300,B304)&gt;0,"✓","⚠ add to Campaigns tab"))</f>
        <v/>
      </c>
      <c r="I304" s="84" t="str">
        <f aca="false">IF(C304="","",C304*IF(Settings!$B$24=Settings!$C$6,1,IF(Settings!$B$24="USD",1/INDEX(Settings!$B$29:$B$40,MONTH(A304)),INDEX(Settings!$B$29:$B$40,MONTH(A304)))))</f>
        <v/>
      </c>
    </row>
    <row r="305" customFormat="false" ht="15" hidden="false" customHeight="false" outlineLevel="0" collapsed="false">
      <c r="H305" s="0" t="str">
        <f aca="false">IF(B305="","",IF(COUNTIF(Campaigns!$A$7:$A$300,B305)&gt;0,"✓","⚠ add to Campaigns tab"))</f>
        <v/>
      </c>
      <c r="I305" s="84" t="str">
        <f aca="false">IF(C305="","",C305*IF(Settings!$B$24=Settings!$C$6,1,IF(Settings!$B$24="USD",1/INDEX(Settings!$B$29:$B$40,MONTH(A305)),INDEX(Settings!$B$29:$B$40,MONTH(A305)))))</f>
        <v/>
      </c>
    </row>
    <row r="306" customFormat="false" ht="15" hidden="false" customHeight="false" outlineLevel="0" collapsed="false">
      <c r="H306" s="0" t="str">
        <f aca="false">IF(B306="","",IF(COUNTIF(Campaigns!$A$7:$A$300,B306)&gt;0,"✓","⚠ add to Campaigns tab"))</f>
        <v/>
      </c>
      <c r="I306" s="84" t="str">
        <f aca="false">IF(C306="","",C306*IF(Settings!$B$24=Settings!$C$6,1,IF(Settings!$B$24="USD",1/INDEX(Settings!$B$29:$B$40,MONTH(A306)),INDEX(Settings!$B$29:$B$40,MONTH(A306)))))</f>
        <v/>
      </c>
    </row>
    <row r="307" customFormat="false" ht="15" hidden="false" customHeight="false" outlineLevel="0" collapsed="false">
      <c r="H307" s="0" t="str">
        <f aca="false">IF(B307="","",IF(COUNTIF(Campaigns!$A$7:$A$300,B307)&gt;0,"✓","⚠ add to Campaigns tab"))</f>
        <v/>
      </c>
      <c r="I307" s="84" t="str">
        <f aca="false">IF(C307="","",C307*IF(Settings!$B$24=Settings!$C$6,1,IF(Settings!$B$24="USD",1/INDEX(Settings!$B$29:$B$40,MONTH(A307)),INDEX(Settings!$B$29:$B$40,MONTH(A307)))))</f>
        <v/>
      </c>
    </row>
    <row r="308" customFormat="false" ht="15" hidden="false" customHeight="false" outlineLevel="0" collapsed="false">
      <c r="H308" s="0" t="str">
        <f aca="false">IF(B308="","",IF(COUNTIF(Campaigns!$A$7:$A$300,B308)&gt;0,"✓","⚠ add to Campaigns tab"))</f>
        <v/>
      </c>
      <c r="I308" s="84" t="str">
        <f aca="false">IF(C308="","",C308*IF(Settings!$B$24=Settings!$C$6,1,IF(Settings!$B$24="USD",1/INDEX(Settings!$B$29:$B$40,MONTH(A308)),INDEX(Settings!$B$29:$B$40,MONTH(A308)))))</f>
        <v/>
      </c>
    </row>
    <row r="309" customFormat="false" ht="15" hidden="false" customHeight="false" outlineLevel="0" collapsed="false">
      <c r="H309" s="0" t="str">
        <f aca="false">IF(B309="","",IF(COUNTIF(Campaigns!$A$7:$A$300,B309)&gt;0,"✓","⚠ add to Campaigns tab"))</f>
        <v/>
      </c>
      <c r="I309" s="84" t="str">
        <f aca="false">IF(C309="","",C309*IF(Settings!$B$24=Settings!$C$6,1,IF(Settings!$B$24="USD",1/INDEX(Settings!$B$29:$B$40,MONTH(A309)),INDEX(Settings!$B$29:$B$40,MONTH(A309)))))</f>
        <v/>
      </c>
    </row>
    <row r="310" customFormat="false" ht="15" hidden="false" customHeight="false" outlineLevel="0" collapsed="false">
      <c r="H310" s="0" t="str">
        <f aca="false">IF(B310="","",IF(COUNTIF(Campaigns!$A$7:$A$300,B310)&gt;0,"✓","⚠ add to Campaigns tab"))</f>
        <v/>
      </c>
      <c r="I310" s="84" t="str">
        <f aca="false">IF(C310="","",C310*IF(Settings!$B$24=Settings!$C$6,1,IF(Settings!$B$24="USD",1/INDEX(Settings!$B$29:$B$40,MONTH(A310)),INDEX(Settings!$B$29:$B$40,MONTH(A310)))))</f>
        <v/>
      </c>
    </row>
    <row r="311" customFormat="false" ht="15" hidden="false" customHeight="false" outlineLevel="0" collapsed="false">
      <c r="H311" s="0" t="str">
        <f aca="false">IF(B311="","",IF(COUNTIF(Campaigns!$A$7:$A$300,B311)&gt;0,"✓","⚠ add to Campaigns tab"))</f>
        <v/>
      </c>
      <c r="I311" s="84" t="str">
        <f aca="false">IF(C311="","",C311*IF(Settings!$B$24=Settings!$C$6,1,IF(Settings!$B$24="USD",1/INDEX(Settings!$B$29:$B$40,MONTH(A311)),INDEX(Settings!$B$29:$B$40,MONTH(A311)))))</f>
        <v/>
      </c>
    </row>
    <row r="312" customFormat="false" ht="15" hidden="false" customHeight="false" outlineLevel="0" collapsed="false">
      <c r="H312" s="0" t="str">
        <f aca="false">IF(B312="","",IF(COUNTIF(Campaigns!$A$7:$A$300,B312)&gt;0,"✓","⚠ add to Campaigns tab"))</f>
        <v/>
      </c>
      <c r="I312" s="84" t="str">
        <f aca="false">IF(C312="","",C312*IF(Settings!$B$24=Settings!$C$6,1,IF(Settings!$B$24="USD",1/INDEX(Settings!$B$29:$B$40,MONTH(A312)),INDEX(Settings!$B$29:$B$40,MONTH(A312)))))</f>
        <v/>
      </c>
    </row>
    <row r="313" customFormat="false" ht="15" hidden="false" customHeight="false" outlineLevel="0" collapsed="false">
      <c r="H313" s="0" t="str">
        <f aca="false">IF(B313="","",IF(COUNTIF(Campaigns!$A$7:$A$300,B313)&gt;0,"✓","⚠ add to Campaigns tab"))</f>
        <v/>
      </c>
      <c r="I313" s="84" t="str">
        <f aca="false">IF(C313="","",C313*IF(Settings!$B$24=Settings!$C$6,1,IF(Settings!$B$24="USD",1/INDEX(Settings!$B$29:$B$40,MONTH(A313)),INDEX(Settings!$B$29:$B$40,MONTH(A313)))))</f>
        <v/>
      </c>
    </row>
    <row r="314" customFormat="false" ht="15" hidden="false" customHeight="false" outlineLevel="0" collapsed="false">
      <c r="H314" s="0" t="str">
        <f aca="false">IF(B314="","",IF(COUNTIF(Campaigns!$A$7:$A$300,B314)&gt;0,"✓","⚠ add to Campaigns tab"))</f>
        <v/>
      </c>
      <c r="I314" s="84" t="str">
        <f aca="false">IF(C314="","",C314*IF(Settings!$B$24=Settings!$C$6,1,IF(Settings!$B$24="USD",1/INDEX(Settings!$B$29:$B$40,MONTH(A314)),INDEX(Settings!$B$29:$B$40,MONTH(A314)))))</f>
        <v/>
      </c>
    </row>
    <row r="315" customFormat="false" ht="15" hidden="false" customHeight="false" outlineLevel="0" collapsed="false">
      <c r="H315" s="0" t="str">
        <f aca="false">IF(B315="","",IF(COUNTIF(Campaigns!$A$7:$A$300,B315)&gt;0,"✓","⚠ add to Campaigns tab"))</f>
        <v/>
      </c>
      <c r="I315" s="84" t="str">
        <f aca="false">IF(C315="","",C315*IF(Settings!$B$24=Settings!$C$6,1,IF(Settings!$B$24="USD",1/INDEX(Settings!$B$29:$B$40,MONTH(A315)),INDEX(Settings!$B$29:$B$40,MONTH(A315)))))</f>
        <v/>
      </c>
    </row>
    <row r="316" customFormat="false" ht="15" hidden="false" customHeight="false" outlineLevel="0" collapsed="false">
      <c r="H316" s="0" t="str">
        <f aca="false">IF(B316="","",IF(COUNTIF(Campaigns!$A$7:$A$300,B316)&gt;0,"✓","⚠ add to Campaigns tab"))</f>
        <v/>
      </c>
      <c r="I316" s="84" t="str">
        <f aca="false">IF(C316="","",C316*IF(Settings!$B$24=Settings!$C$6,1,IF(Settings!$B$24="USD",1/INDEX(Settings!$B$29:$B$40,MONTH(A316)),INDEX(Settings!$B$29:$B$40,MONTH(A316)))))</f>
        <v/>
      </c>
    </row>
    <row r="317" customFormat="false" ht="15" hidden="false" customHeight="false" outlineLevel="0" collapsed="false">
      <c r="H317" s="0" t="str">
        <f aca="false">IF(B317="","",IF(COUNTIF(Campaigns!$A$7:$A$300,B317)&gt;0,"✓","⚠ add to Campaigns tab"))</f>
        <v/>
      </c>
      <c r="I317" s="84" t="str">
        <f aca="false">IF(C317="","",C317*IF(Settings!$B$24=Settings!$C$6,1,IF(Settings!$B$24="USD",1/INDEX(Settings!$B$29:$B$40,MONTH(A317)),INDEX(Settings!$B$29:$B$40,MONTH(A317)))))</f>
        <v/>
      </c>
    </row>
    <row r="318" customFormat="false" ht="15" hidden="false" customHeight="false" outlineLevel="0" collapsed="false">
      <c r="H318" s="0" t="str">
        <f aca="false">IF(B318="","",IF(COUNTIF(Campaigns!$A$7:$A$300,B318)&gt;0,"✓","⚠ add to Campaigns tab"))</f>
        <v/>
      </c>
      <c r="I318" s="84" t="str">
        <f aca="false">IF(C318="","",C318*IF(Settings!$B$24=Settings!$C$6,1,IF(Settings!$B$24="USD",1/INDEX(Settings!$B$29:$B$40,MONTH(A318)),INDEX(Settings!$B$29:$B$40,MONTH(A318)))))</f>
        <v/>
      </c>
    </row>
    <row r="319" customFormat="false" ht="15" hidden="false" customHeight="false" outlineLevel="0" collapsed="false">
      <c r="H319" s="0" t="str">
        <f aca="false">IF(B319="","",IF(COUNTIF(Campaigns!$A$7:$A$300,B319)&gt;0,"✓","⚠ add to Campaigns tab"))</f>
        <v/>
      </c>
      <c r="I319" s="84" t="str">
        <f aca="false">IF(C319="","",C319*IF(Settings!$B$24=Settings!$C$6,1,IF(Settings!$B$24="USD",1/INDEX(Settings!$B$29:$B$40,MONTH(A319)),INDEX(Settings!$B$29:$B$40,MONTH(A319)))))</f>
        <v/>
      </c>
    </row>
    <row r="320" customFormat="false" ht="15" hidden="false" customHeight="false" outlineLevel="0" collapsed="false">
      <c r="H320" s="0" t="str">
        <f aca="false">IF(B320="","",IF(COUNTIF(Campaigns!$A$7:$A$300,B320)&gt;0,"✓","⚠ add to Campaigns tab"))</f>
        <v/>
      </c>
      <c r="I320" s="84" t="str">
        <f aca="false">IF(C320="","",C320*IF(Settings!$B$24=Settings!$C$6,1,IF(Settings!$B$24="USD",1/INDEX(Settings!$B$29:$B$40,MONTH(A320)),INDEX(Settings!$B$29:$B$40,MONTH(A320)))))</f>
        <v/>
      </c>
    </row>
    <row r="321" customFormat="false" ht="15" hidden="false" customHeight="false" outlineLevel="0" collapsed="false">
      <c r="H321" s="0" t="str">
        <f aca="false">IF(B321="","",IF(COUNTIF(Campaigns!$A$7:$A$300,B321)&gt;0,"✓","⚠ add to Campaigns tab"))</f>
        <v/>
      </c>
      <c r="I321" s="84" t="str">
        <f aca="false">IF(C321="","",C321*IF(Settings!$B$24=Settings!$C$6,1,IF(Settings!$B$24="USD",1/INDEX(Settings!$B$29:$B$40,MONTH(A321)),INDEX(Settings!$B$29:$B$40,MONTH(A321)))))</f>
        <v/>
      </c>
    </row>
    <row r="322" customFormat="false" ht="15" hidden="false" customHeight="false" outlineLevel="0" collapsed="false">
      <c r="H322" s="0" t="str">
        <f aca="false">IF(B322="","",IF(COUNTIF(Campaigns!$A$7:$A$300,B322)&gt;0,"✓","⚠ add to Campaigns tab"))</f>
        <v/>
      </c>
      <c r="I322" s="84" t="str">
        <f aca="false">IF(C322="","",C322*IF(Settings!$B$24=Settings!$C$6,1,IF(Settings!$B$24="USD",1/INDEX(Settings!$B$29:$B$40,MONTH(A322)),INDEX(Settings!$B$29:$B$40,MONTH(A322)))))</f>
        <v/>
      </c>
    </row>
    <row r="323" customFormat="false" ht="15" hidden="false" customHeight="false" outlineLevel="0" collapsed="false">
      <c r="H323" s="0" t="str">
        <f aca="false">IF(B323="","",IF(COUNTIF(Campaigns!$A$7:$A$300,B323)&gt;0,"✓","⚠ add to Campaigns tab"))</f>
        <v/>
      </c>
      <c r="I323" s="84" t="str">
        <f aca="false">IF(C323="","",C323*IF(Settings!$B$24=Settings!$C$6,1,IF(Settings!$B$24="USD",1/INDEX(Settings!$B$29:$B$40,MONTH(A323)),INDEX(Settings!$B$29:$B$40,MONTH(A323)))))</f>
        <v/>
      </c>
    </row>
    <row r="324" customFormat="false" ht="15" hidden="false" customHeight="false" outlineLevel="0" collapsed="false">
      <c r="H324" s="0" t="str">
        <f aca="false">IF(B324="","",IF(COUNTIF(Campaigns!$A$7:$A$300,B324)&gt;0,"✓","⚠ add to Campaigns tab"))</f>
        <v/>
      </c>
      <c r="I324" s="84" t="str">
        <f aca="false">IF(C324="","",C324*IF(Settings!$B$24=Settings!$C$6,1,IF(Settings!$B$24="USD",1/INDEX(Settings!$B$29:$B$40,MONTH(A324)),INDEX(Settings!$B$29:$B$40,MONTH(A324)))))</f>
        <v/>
      </c>
    </row>
    <row r="325" customFormat="false" ht="15" hidden="false" customHeight="false" outlineLevel="0" collapsed="false">
      <c r="H325" s="0" t="str">
        <f aca="false">IF(B325="","",IF(COUNTIF(Campaigns!$A$7:$A$300,B325)&gt;0,"✓","⚠ add to Campaigns tab"))</f>
        <v/>
      </c>
      <c r="I325" s="84" t="str">
        <f aca="false">IF(C325="","",C325*IF(Settings!$B$24=Settings!$C$6,1,IF(Settings!$B$24="USD",1/INDEX(Settings!$B$29:$B$40,MONTH(A325)),INDEX(Settings!$B$29:$B$40,MONTH(A325)))))</f>
        <v/>
      </c>
    </row>
    <row r="326" customFormat="false" ht="15" hidden="false" customHeight="false" outlineLevel="0" collapsed="false">
      <c r="H326" s="0" t="str">
        <f aca="false">IF(B326="","",IF(COUNTIF(Campaigns!$A$7:$A$300,B326)&gt;0,"✓","⚠ add to Campaigns tab"))</f>
        <v/>
      </c>
      <c r="I326" s="84" t="str">
        <f aca="false">IF(C326="","",C326*IF(Settings!$B$24=Settings!$C$6,1,IF(Settings!$B$24="USD",1/INDEX(Settings!$B$29:$B$40,MONTH(A326)),INDEX(Settings!$B$29:$B$40,MONTH(A326)))))</f>
        <v/>
      </c>
    </row>
    <row r="327" customFormat="false" ht="15" hidden="false" customHeight="false" outlineLevel="0" collapsed="false">
      <c r="H327" s="0" t="str">
        <f aca="false">IF(B327="","",IF(COUNTIF(Campaigns!$A$7:$A$300,B327)&gt;0,"✓","⚠ add to Campaigns tab"))</f>
        <v/>
      </c>
      <c r="I327" s="84" t="str">
        <f aca="false">IF(C327="","",C327*IF(Settings!$B$24=Settings!$C$6,1,IF(Settings!$B$24="USD",1/INDEX(Settings!$B$29:$B$40,MONTH(A327)),INDEX(Settings!$B$29:$B$40,MONTH(A327)))))</f>
        <v/>
      </c>
    </row>
    <row r="328" customFormat="false" ht="15" hidden="false" customHeight="false" outlineLevel="0" collapsed="false">
      <c r="H328" s="0" t="str">
        <f aca="false">IF(B328="","",IF(COUNTIF(Campaigns!$A$7:$A$300,B328)&gt;0,"✓","⚠ add to Campaigns tab"))</f>
        <v/>
      </c>
      <c r="I328" s="84" t="str">
        <f aca="false">IF(C328="","",C328*IF(Settings!$B$24=Settings!$C$6,1,IF(Settings!$B$24="USD",1/INDEX(Settings!$B$29:$B$40,MONTH(A328)),INDEX(Settings!$B$29:$B$40,MONTH(A328)))))</f>
        <v/>
      </c>
    </row>
    <row r="329" customFormat="false" ht="15" hidden="false" customHeight="false" outlineLevel="0" collapsed="false">
      <c r="H329" s="0" t="str">
        <f aca="false">IF(B329="","",IF(COUNTIF(Campaigns!$A$7:$A$300,B329)&gt;0,"✓","⚠ add to Campaigns tab"))</f>
        <v/>
      </c>
      <c r="I329" s="84" t="str">
        <f aca="false">IF(C329="","",C329*IF(Settings!$B$24=Settings!$C$6,1,IF(Settings!$B$24="USD",1/INDEX(Settings!$B$29:$B$40,MONTH(A329)),INDEX(Settings!$B$29:$B$40,MONTH(A329)))))</f>
        <v/>
      </c>
    </row>
    <row r="330" customFormat="false" ht="15" hidden="false" customHeight="false" outlineLevel="0" collapsed="false">
      <c r="H330" s="0" t="str">
        <f aca="false">IF(B330="","",IF(COUNTIF(Campaigns!$A$7:$A$300,B330)&gt;0,"✓","⚠ add to Campaigns tab"))</f>
        <v/>
      </c>
      <c r="I330" s="84" t="str">
        <f aca="false">IF(C330="","",C330*IF(Settings!$B$24=Settings!$C$6,1,IF(Settings!$B$24="USD",1/INDEX(Settings!$B$29:$B$40,MONTH(A330)),INDEX(Settings!$B$29:$B$40,MONTH(A330)))))</f>
        <v/>
      </c>
    </row>
    <row r="331" customFormat="false" ht="15" hidden="false" customHeight="false" outlineLevel="0" collapsed="false">
      <c r="H331" s="0" t="str">
        <f aca="false">IF(B331="","",IF(COUNTIF(Campaigns!$A$7:$A$300,B331)&gt;0,"✓","⚠ add to Campaigns tab"))</f>
        <v/>
      </c>
      <c r="I331" s="84" t="str">
        <f aca="false">IF(C331="","",C331*IF(Settings!$B$24=Settings!$C$6,1,IF(Settings!$B$24="USD",1/INDEX(Settings!$B$29:$B$40,MONTH(A331)),INDEX(Settings!$B$29:$B$40,MONTH(A331)))))</f>
        <v/>
      </c>
    </row>
    <row r="332" customFormat="false" ht="15" hidden="false" customHeight="false" outlineLevel="0" collapsed="false">
      <c r="H332" s="0" t="str">
        <f aca="false">IF(B332="","",IF(COUNTIF(Campaigns!$A$7:$A$300,B332)&gt;0,"✓","⚠ add to Campaigns tab"))</f>
        <v/>
      </c>
      <c r="I332" s="84" t="str">
        <f aca="false">IF(C332="","",C332*IF(Settings!$B$24=Settings!$C$6,1,IF(Settings!$B$24="USD",1/INDEX(Settings!$B$29:$B$40,MONTH(A332)),INDEX(Settings!$B$29:$B$40,MONTH(A332)))))</f>
        <v/>
      </c>
    </row>
    <row r="333" customFormat="false" ht="15" hidden="false" customHeight="false" outlineLevel="0" collapsed="false">
      <c r="H333" s="0" t="str">
        <f aca="false">IF(B333="","",IF(COUNTIF(Campaigns!$A$7:$A$300,B333)&gt;0,"✓","⚠ add to Campaigns tab"))</f>
        <v/>
      </c>
      <c r="I333" s="84" t="str">
        <f aca="false">IF(C333="","",C333*IF(Settings!$B$24=Settings!$C$6,1,IF(Settings!$B$24="USD",1/INDEX(Settings!$B$29:$B$40,MONTH(A333)),INDEX(Settings!$B$29:$B$40,MONTH(A333)))))</f>
        <v/>
      </c>
    </row>
    <row r="334" customFormat="false" ht="15" hidden="false" customHeight="false" outlineLevel="0" collapsed="false">
      <c r="H334" s="0" t="str">
        <f aca="false">IF(B334="","",IF(COUNTIF(Campaigns!$A$7:$A$300,B334)&gt;0,"✓","⚠ add to Campaigns tab"))</f>
        <v/>
      </c>
      <c r="I334" s="84" t="str">
        <f aca="false">IF(C334="","",C334*IF(Settings!$B$24=Settings!$C$6,1,IF(Settings!$B$24="USD",1/INDEX(Settings!$B$29:$B$40,MONTH(A334)),INDEX(Settings!$B$29:$B$40,MONTH(A334)))))</f>
        <v/>
      </c>
    </row>
    <row r="335" customFormat="false" ht="15" hidden="false" customHeight="false" outlineLevel="0" collapsed="false">
      <c r="H335" s="0" t="str">
        <f aca="false">IF(B335="","",IF(COUNTIF(Campaigns!$A$7:$A$300,B335)&gt;0,"✓","⚠ add to Campaigns tab"))</f>
        <v/>
      </c>
      <c r="I335" s="84" t="str">
        <f aca="false">IF(C335="","",C335*IF(Settings!$B$24=Settings!$C$6,1,IF(Settings!$B$24="USD",1/INDEX(Settings!$B$29:$B$40,MONTH(A335)),INDEX(Settings!$B$29:$B$40,MONTH(A335)))))</f>
        <v/>
      </c>
    </row>
    <row r="336" customFormat="false" ht="15" hidden="false" customHeight="false" outlineLevel="0" collapsed="false">
      <c r="H336" s="0" t="str">
        <f aca="false">IF(B336="","",IF(COUNTIF(Campaigns!$A$7:$A$300,B336)&gt;0,"✓","⚠ add to Campaigns tab"))</f>
        <v/>
      </c>
      <c r="I336" s="84" t="str">
        <f aca="false">IF(C336="","",C336*IF(Settings!$B$24=Settings!$C$6,1,IF(Settings!$B$24="USD",1/INDEX(Settings!$B$29:$B$40,MONTH(A336)),INDEX(Settings!$B$29:$B$40,MONTH(A336)))))</f>
        <v/>
      </c>
    </row>
    <row r="337" customFormat="false" ht="15" hidden="false" customHeight="false" outlineLevel="0" collapsed="false">
      <c r="H337" s="0" t="str">
        <f aca="false">IF(B337="","",IF(COUNTIF(Campaigns!$A$7:$A$300,B337)&gt;0,"✓","⚠ add to Campaigns tab"))</f>
        <v/>
      </c>
      <c r="I337" s="84" t="str">
        <f aca="false">IF(C337="","",C337*IF(Settings!$B$24=Settings!$C$6,1,IF(Settings!$B$24="USD",1/INDEX(Settings!$B$29:$B$40,MONTH(A337)),INDEX(Settings!$B$29:$B$40,MONTH(A337)))))</f>
        <v/>
      </c>
    </row>
    <row r="338" customFormat="false" ht="15" hidden="false" customHeight="false" outlineLevel="0" collapsed="false">
      <c r="H338" s="0" t="str">
        <f aca="false">IF(B338="","",IF(COUNTIF(Campaigns!$A$7:$A$300,B338)&gt;0,"✓","⚠ add to Campaigns tab"))</f>
        <v/>
      </c>
      <c r="I338" s="84" t="str">
        <f aca="false">IF(C338="","",C338*IF(Settings!$B$24=Settings!$C$6,1,IF(Settings!$B$24="USD",1/INDEX(Settings!$B$29:$B$40,MONTH(A338)),INDEX(Settings!$B$29:$B$40,MONTH(A338)))))</f>
        <v/>
      </c>
    </row>
    <row r="339" customFormat="false" ht="15" hidden="false" customHeight="false" outlineLevel="0" collapsed="false">
      <c r="H339" s="0" t="str">
        <f aca="false">IF(B339="","",IF(COUNTIF(Campaigns!$A$7:$A$300,B339)&gt;0,"✓","⚠ add to Campaigns tab"))</f>
        <v/>
      </c>
      <c r="I339" s="84" t="str">
        <f aca="false">IF(C339="","",C339*IF(Settings!$B$24=Settings!$C$6,1,IF(Settings!$B$24="USD",1/INDEX(Settings!$B$29:$B$40,MONTH(A339)),INDEX(Settings!$B$29:$B$40,MONTH(A339)))))</f>
        <v/>
      </c>
    </row>
    <row r="340" customFormat="false" ht="15" hidden="false" customHeight="false" outlineLevel="0" collapsed="false">
      <c r="H340" s="0" t="str">
        <f aca="false">IF(B340="","",IF(COUNTIF(Campaigns!$A$7:$A$300,B340)&gt;0,"✓","⚠ add to Campaigns tab"))</f>
        <v/>
      </c>
      <c r="I340" s="84" t="str">
        <f aca="false">IF(C340="","",C340*IF(Settings!$B$24=Settings!$C$6,1,IF(Settings!$B$24="USD",1/INDEX(Settings!$B$29:$B$40,MONTH(A340)),INDEX(Settings!$B$29:$B$40,MONTH(A340)))))</f>
        <v/>
      </c>
    </row>
    <row r="341" customFormat="false" ht="15" hidden="false" customHeight="false" outlineLevel="0" collapsed="false">
      <c r="H341" s="0" t="str">
        <f aca="false">IF(B341="","",IF(COUNTIF(Campaigns!$A$7:$A$300,B341)&gt;0,"✓","⚠ add to Campaigns tab"))</f>
        <v/>
      </c>
      <c r="I341" s="84" t="str">
        <f aca="false">IF(C341="","",C341*IF(Settings!$B$24=Settings!$C$6,1,IF(Settings!$B$24="USD",1/INDEX(Settings!$B$29:$B$40,MONTH(A341)),INDEX(Settings!$B$29:$B$40,MONTH(A341)))))</f>
        <v/>
      </c>
    </row>
    <row r="342" customFormat="false" ht="15" hidden="false" customHeight="false" outlineLevel="0" collapsed="false">
      <c r="H342" s="0" t="str">
        <f aca="false">IF(B342="","",IF(COUNTIF(Campaigns!$A$7:$A$300,B342)&gt;0,"✓","⚠ add to Campaigns tab"))</f>
        <v/>
      </c>
      <c r="I342" s="84" t="str">
        <f aca="false">IF(C342="","",C342*IF(Settings!$B$24=Settings!$C$6,1,IF(Settings!$B$24="USD",1/INDEX(Settings!$B$29:$B$40,MONTH(A342)),INDEX(Settings!$B$29:$B$40,MONTH(A342)))))</f>
        <v/>
      </c>
    </row>
    <row r="343" customFormat="false" ht="15" hidden="false" customHeight="false" outlineLevel="0" collapsed="false">
      <c r="H343" s="0" t="str">
        <f aca="false">IF(B343="","",IF(COUNTIF(Campaigns!$A$7:$A$300,B343)&gt;0,"✓","⚠ add to Campaigns tab"))</f>
        <v/>
      </c>
      <c r="I343" s="84" t="str">
        <f aca="false">IF(C343="","",C343*IF(Settings!$B$24=Settings!$C$6,1,IF(Settings!$B$24="USD",1/INDEX(Settings!$B$29:$B$40,MONTH(A343)),INDEX(Settings!$B$29:$B$40,MONTH(A343)))))</f>
        <v/>
      </c>
    </row>
    <row r="344" customFormat="false" ht="15" hidden="false" customHeight="false" outlineLevel="0" collapsed="false">
      <c r="H344" s="0" t="str">
        <f aca="false">IF(B344="","",IF(COUNTIF(Campaigns!$A$7:$A$300,B344)&gt;0,"✓","⚠ add to Campaigns tab"))</f>
        <v/>
      </c>
      <c r="I344" s="84" t="str">
        <f aca="false">IF(C344="","",C344*IF(Settings!$B$24=Settings!$C$6,1,IF(Settings!$B$24="USD",1/INDEX(Settings!$B$29:$B$40,MONTH(A344)),INDEX(Settings!$B$29:$B$40,MONTH(A344)))))</f>
        <v/>
      </c>
    </row>
    <row r="345" customFormat="false" ht="15" hidden="false" customHeight="false" outlineLevel="0" collapsed="false">
      <c r="H345" s="0" t="str">
        <f aca="false">IF(B345="","",IF(COUNTIF(Campaigns!$A$7:$A$300,B345)&gt;0,"✓","⚠ add to Campaigns tab"))</f>
        <v/>
      </c>
      <c r="I345" s="84" t="str">
        <f aca="false">IF(C345="","",C345*IF(Settings!$B$24=Settings!$C$6,1,IF(Settings!$B$24="USD",1/INDEX(Settings!$B$29:$B$40,MONTH(A345)),INDEX(Settings!$B$29:$B$40,MONTH(A345)))))</f>
        <v/>
      </c>
    </row>
    <row r="346" customFormat="false" ht="15" hidden="false" customHeight="false" outlineLevel="0" collapsed="false">
      <c r="H346" s="0" t="str">
        <f aca="false">IF(B346="","",IF(COUNTIF(Campaigns!$A$7:$A$300,B346)&gt;0,"✓","⚠ add to Campaigns tab"))</f>
        <v/>
      </c>
      <c r="I346" s="84" t="str">
        <f aca="false">IF(C346="","",C346*IF(Settings!$B$24=Settings!$C$6,1,IF(Settings!$B$24="USD",1/INDEX(Settings!$B$29:$B$40,MONTH(A346)),INDEX(Settings!$B$29:$B$40,MONTH(A346)))))</f>
        <v/>
      </c>
    </row>
    <row r="347" customFormat="false" ht="15" hidden="false" customHeight="false" outlineLevel="0" collapsed="false">
      <c r="H347" s="0" t="str">
        <f aca="false">IF(B347="","",IF(COUNTIF(Campaigns!$A$7:$A$300,B347)&gt;0,"✓","⚠ add to Campaigns tab"))</f>
        <v/>
      </c>
      <c r="I347" s="84" t="str">
        <f aca="false">IF(C347="","",C347*IF(Settings!$B$24=Settings!$C$6,1,IF(Settings!$B$24="USD",1/INDEX(Settings!$B$29:$B$40,MONTH(A347)),INDEX(Settings!$B$29:$B$40,MONTH(A347)))))</f>
        <v/>
      </c>
    </row>
    <row r="348" customFormat="false" ht="15" hidden="false" customHeight="false" outlineLevel="0" collapsed="false">
      <c r="H348" s="0" t="str">
        <f aca="false">IF(B348="","",IF(COUNTIF(Campaigns!$A$7:$A$300,B348)&gt;0,"✓","⚠ add to Campaigns tab"))</f>
        <v/>
      </c>
      <c r="I348" s="84" t="str">
        <f aca="false">IF(C348="","",C348*IF(Settings!$B$24=Settings!$C$6,1,IF(Settings!$B$24="USD",1/INDEX(Settings!$B$29:$B$40,MONTH(A348)),INDEX(Settings!$B$29:$B$40,MONTH(A348)))))</f>
        <v/>
      </c>
    </row>
    <row r="349" customFormat="false" ht="15" hidden="false" customHeight="false" outlineLevel="0" collapsed="false">
      <c r="H349" s="0" t="str">
        <f aca="false">IF(B349="","",IF(COUNTIF(Campaigns!$A$7:$A$300,B349)&gt;0,"✓","⚠ add to Campaigns tab"))</f>
        <v/>
      </c>
      <c r="I349" s="84" t="str">
        <f aca="false">IF(C349="","",C349*IF(Settings!$B$24=Settings!$C$6,1,IF(Settings!$B$24="USD",1/INDEX(Settings!$B$29:$B$40,MONTH(A349)),INDEX(Settings!$B$29:$B$40,MONTH(A349)))))</f>
        <v/>
      </c>
    </row>
    <row r="350" customFormat="false" ht="15" hidden="false" customHeight="false" outlineLevel="0" collapsed="false">
      <c r="H350" s="0" t="str">
        <f aca="false">IF(B350="","",IF(COUNTIF(Campaigns!$A$7:$A$300,B350)&gt;0,"✓","⚠ add to Campaigns tab"))</f>
        <v/>
      </c>
      <c r="I350" s="84" t="str">
        <f aca="false">IF(C350="","",C350*IF(Settings!$B$24=Settings!$C$6,1,IF(Settings!$B$24="USD",1/INDEX(Settings!$B$29:$B$40,MONTH(A350)),INDEX(Settings!$B$29:$B$40,MONTH(A350)))))</f>
        <v/>
      </c>
    </row>
    <row r="351" customFormat="false" ht="15" hidden="false" customHeight="false" outlineLevel="0" collapsed="false">
      <c r="H351" s="0" t="str">
        <f aca="false">IF(B351="","",IF(COUNTIF(Campaigns!$A$7:$A$300,B351)&gt;0,"✓","⚠ add to Campaigns tab"))</f>
        <v/>
      </c>
      <c r="I351" s="84" t="str">
        <f aca="false">IF(C351="","",C351*IF(Settings!$B$24=Settings!$C$6,1,IF(Settings!$B$24="USD",1/INDEX(Settings!$B$29:$B$40,MONTH(A351)),INDEX(Settings!$B$29:$B$40,MONTH(A351)))))</f>
        <v/>
      </c>
    </row>
    <row r="352" customFormat="false" ht="15" hidden="false" customHeight="false" outlineLevel="0" collapsed="false">
      <c r="H352" s="0" t="str">
        <f aca="false">IF(B352="","",IF(COUNTIF(Campaigns!$A$7:$A$300,B352)&gt;0,"✓","⚠ add to Campaigns tab"))</f>
        <v/>
      </c>
      <c r="I352" s="84" t="str">
        <f aca="false">IF(C352="","",C352*IF(Settings!$B$24=Settings!$C$6,1,IF(Settings!$B$24="USD",1/INDEX(Settings!$B$29:$B$40,MONTH(A352)),INDEX(Settings!$B$29:$B$40,MONTH(A352)))))</f>
        <v/>
      </c>
    </row>
    <row r="353" customFormat="false" ht="15" hidden="false" customHeight="false" outlineLevel="0" collapsed="false">
      <c r="H353" s="0" t="str">
        <f aca="false">IF(B353="","",IF(COUNTIF(Campaigns!$A$7:$A$300,B353)&gt;0,"✓","⚠ add to Campaigns tab"))</f>
        <v/>
      </c>
      <c r="I353" s="84" t="str">
        <f aca="false">IF(C353="","",C353*IF(Settings!$B$24=Settings!$C$6,1,IF(Settings!$B$24="USD",1/INDEX(Settings!$B$29:$B$40,MONTH(A353)),INDEX(Settings!$B$29:$B$40,MONTH(A353)))))</f>
        <v/>
      </c>
    </row>
    <row r="354" customFormat="false" ht="15" hidden="false" customHeight="false" outlineLevel="0" collapsed="false">
      <c r="H354" s="0" t="str">
        <f aca="false">IF(B354="","",IF(COUNTIF(Campaigns!$A$7:$A$300,B354)&gt;0,"✓","⚠ add to Campaigns tab"))</f>
        <v/>
      </c>
      <c r="I354" s="84" t="str">
        <f aca="false">IF(C354="","",C354*IF(Settings!$B$24=Settings!$C$6,1,IF(Settings!$B$24="USD",1/INDEX(Settings!$B$29:$B$40,MONTH(A354)),INDEX(Settings!$B$29:$B$40,MONTH(A354)))))</f>
        <v/>
      </c>
    </row>
    <row r="355" customFormat="false" ht="15" hidden="false" customHeight="false" outlineLevel="0" collapsed="false">
      <c r="H355" s="0" t="str">
        <f aca="false">IF(B355="","",IF(COUNTIF(Campaigns!$A$7:$A$300,B355)&gt;0,"✓","⚠ add to Campaigns tab"))</f>
        <v/>
      </c>
      <c r="I355" s="84" t="str">
        <f aca="false">IF(C355="","",C355*IF(Settings!$B$24=Settings!$C$6,1,IF(Settings!$B$24="USD",1/INDEX(Settings!$B$29:$B$40,MONTH(A355)),INDEX(Settings!$B$29:$B$40,MONTH(A355)))))</f>
        <v/>
      </c>
    </row>
    <row r="356" customFormat="false" ht="15" hidden="false" customHeight="false" outlineLevel="0" collapsed="false">
      <c r="H356" s="0" t="str">
        <f aca="false">IF(B356="","",IF(COUNTIF(Campaigns!$A$7:$A$300,B356)&gt;0,"✓","⚠ add to Campaigns tab"))</f>
        <v/>
      </c>
      <c r="I356" s="84" t="str">
        <f aca="false">IF(C356="","",C356*IF(Settings!$B$24=Settings!$C$6,1,IF(Settings!$B$24="USD",1/INDEX(Settings!$B$29:$B$40,MONTH(A356)),INDEX(Settings!$B$29:$B$40,MONTH(A356)))))</f>
        <v/>
      </c>
    </row>
    <row r="357" customFormat="false" ht="15" hidden="false" customHeight="false" outlineLevel="0" collapsed="false">
      <c r="H357" s="0" t="str">
        <f aca="false">IF(B357="","",IF(COUNTIF(Campaigns!$A$7:$A$300,B357)&gt;0,"✓","⚠ add to Campaigns tab"))</f>
        <v/>
      </c>
      <c r="I357" s="84" t="str">
        <f aca="false">IF(C357="","",C357*IF(Settings!$B$24=Settings!$C$6,1,IF(Settings!$B$24="USD",1/INDEX(Settings!$B$29:$B$40,MONTH(A357)),INDEX(Settings!$B$29:$B$40,MONTH(A357)))))</f>
        <v/>
      </c>
    </row>
    <row r="358" customFormat="false" ht="15" hidden="false" customHeight="false" outlineLevel="0" collapsed="false">
      <c r="H358" s="0" t="str">
        <f aca="false">IF(B358="","",IF(COUNTIF(Campaigns!$A$7:$A$300,B358)&gt;0,"✓","⚠ add to Campaigns tab"))</f>
        <v/>
      </c>
      <c r="I358" s="84" t="str">
        <f aca="false">IF(C358="","",C358*IF(Settings!$B$24=Settings!$C$6,1,IF(Settings!$B$24="USD",1/INDEX(Settings!$B$29:$B$40,MONTH(A358)),INDEX(Settings!$B$29:$B$40,MONTH(A358)))))</f>
        <v/>
      </c>
    </row>
    <row r="359" customFormat="false" ht="15" hidden="false" customHeight="false" outlineLevel="0" collapsed="false">
      <c r="H359" s="0" t="str">
        <f aca="false">IF(B359="","",IF(COUNTIF(Campaigns!$A$7:$A$300,B359)&gt;0,"✓","⚠ add to Campaigns tab"))</f>
        <v/>
      </c>
      <c r="I359" s="84" t="str">
        <f aca="false">IF(C359="","",C359*IF(Settings!$B$24=Settings!$C$6,1,IF(Settings!$B$24="USD",1/INDEX(Settings!$B$29:$B$40,MONTH(A359)),INDEX(Settings!$B$29:$B$40,MONTH(A359)))))</f>
        <v/>
      </c>
    </row>
    <row r="360" customFormat="false" ht="15" hidden="false" customHeight="false" outlineLevel="0" collapsed="false">
      <c r="H360" s="0" t="str">
        <f aca="false">IF(B360="","",IF(COUNTIF(Campaigns!$A$7:$A$300,B360)&gt;0,"✓","⚠ add to Campaigns tab"))</f>
        <v/>
      </c>
      <c r="I360" s="84" t="str">
        <f aca="false">IF(C360="","",C360*IF(Settings!$B$24=Settings!$C$6,1,IF(Settings!$B$24="USD",1/INDEX(Settings!$B$29:$B$40,MONTH(A360)),INDEX(Settings!$B$29:$B$40,MONTH(A360)))))</f>
        <v/>
      </c>
    </row>
    <row r="361" customFormat="false" ht="15" hidden="false" customHeight="false" outlineLevel="0" collapsed="false">
      <c r="H361" s="0" t="str">
        <f aca="false">IF(B361="","",IF(COUNTIF(Campaigns!$A$7:$A$300,B361)&gt;0,"✓","⚠ add to Campaigns tab"))</f>
        <v/>
      </c>
      <c r="I361" s="84" t="str">
        <f aca="false">IF(C361="","",C361*IF(Settings!$B$24=Settings!$C$6,1,IF(Settings!$B$24="USD",1/INDEX(Settings!$B$29:$B$40,MONTH(A361)),INDEX(Settings!$B$29:$B$40,MONTH(A361)))))</f>
        <v/>
      </c>
    </row>
    <row r="362" customFormat="false" ht="15" hidden="false" customHeight="false" outlineLevel="0" collapsed="false">
      <c r="H362" s="0" t="str">
        <f aca="false">IF(B362="","",IF(COUNTIF(Campaigns!$A$7:$A$300,B362)&gt;0,"✓","⚠ add to Campaigns tab"))</f>
        <v/>
      </c>
      <c r="I362" s="84" t="str">
        <f aca="false">IF(C362="","",C362*IF(Settings!$B$24=Settings!$C$6,1,IF(Settings!$B$24="USD",1/INDEX(Settings!$B$29:$B$40,MONTH(A362)),INDEX(Settings!$B$29:$B$40,MONTH(A362)))))</f>
        <v/>
      </c>
    </row>
    <row r="363" customFormat="false" ht="15" hidden="false" customHeight="false" outlineLevel="0" collapsed="false">
      <c r="H363" s="0" t="str">
        <f aca="false">IF(B363="","",IF(COUNTIF(Campaigns!$A$7:$A$300,B363)&gt;0,"✓","⚠ add to Campaigns tab"))</f>
        <v/>
      </c>
      <c r="I363" s="84" t="str">
        <f aca="false">IF(C363="","",C363*IF(Settings!$B$24=Settings!$C$6,1,IF(Settings!$B$24="USD",1/INDEX(Settings!$B$29:$B$40,MONTH(A363)),INDEX(Settings!$B$29:$B$40,MONTH(A363)))))</f>
        <v/>
      </c>
    </row>
    <row r="364" customFormat="false" ht="15" hidden="false" customHeight="false" outlineLevel="0" collapsed="false">
      <c r="H364" s="0" t="str">
        <f aca="false">IF(B364="","",IF(COUNTIF(Campaigns!$A$7:$A$300,B364)&gt;0,"✓","⚠ add to Campaigns tab"))</f>
        <v/>
      </c>
      <c r="I364" s="84" t="str">
        <f aca="false">IF(C364="","",C364*IF(Settings!$B$24=Settings!$C$6,1,IF(Settings!$B$24="USD",1/INDEX(Settings!$B$29:$B$40,MONTH(A364)),INDEX(Settings!$B$29:$B$40,MONTH(A364)))))</f>
        <v/>
      </c>
    </row>
    <row r="365" customFormat="false" ht="15" hidden="false" customHeight="false" outlineLevel="0" collapsed="false">
      <c r="H365" s="0" t="str">
        <f aca="false">IF(B365="","",IF(COUNTIF(Campaigns!$A$7:$A$300,B365)&gt;0,"✓","⚠ add to Campaigns tab"))</f>
        <v/>
      </c>
      <c r="I365" s="84" t="str">
        <f aca="false">IF(C365="","",C365*IF(Settings!$B$24=Settings!$C$6,1,IF(Settings!$B$24="USD",1/INDEX(Settings!$B$29:$B$40,MONTH(A365)),INDEX(Settings!$B$29:$B$40,MONTH(A365)))))</f>
        <v/>
      </c>
    </row>
    <row r="366" customFormat="false" ht="15" hidden="false" customHeight="false" outlineLevel="0" collapsed="false">
      <c r="H366" s="0" t="str">
        <f aca="false">IF(B366="","",IF(COUNTIF(Campaigns!$A$7:$A$300,B366)&gt;0,"✓","⚠ add to Campaigns tab"))</f>
        <v/>
      </c>
      <c r="I366" s="84" t="str">
        <f aca="false">IF(C366="","",C366*IF(Settings!$B$24=Settings!$C$6,1,IF(Settings!$B$24="USD",1/INDEX(Settings!$B$29:$B$40,MONTH(A366)),INDEX(Settings!$B$29:$B$40,MONTH(A366)))))</f>
        <v/>
      </c>
    </row>
    <row r="367" customFormat="false" ht="15" hidden="false" customHeight="false" outlineLevel="0" collapsed="false">
      <c r="H367" s="0" t="str">
        <f aca="false">IF(B367="","",IF(COUNTIF(Campaigns!$A$7:$A$300,B367)&gt;0,"✓","⚠ add to Campaigns tab"))</f>
        <v/>
      </c>
      <c r="I367" s="84" t="str">
        <f aca="false">IF(C367="","",C367*IF(Settings!$B$24=Settings!$C$6,1,IF(Settings!$B$24="USD",1/INDEX(Settings!$B$29:$B$40,MONTH(A367)),INDEX(Settings!$B$29:$B$40,MONTH(A367)))))</f>
        <v/>
      </c>
    </row>
    <row r="368" customFormat="false" ht="15" hidden="false" customHeight="false" outlineLevel="0" collapsed="false">
      <c r="H368" s="0" t="str">
        <f aca="false">IF(B368="","",IF(COUNTIF(Campaigns!$A$7:$A$300,B368)&gt;0,"✓","⚠ add to Campaigns tab"))</f>
        <v/>
      </c>
      <c r="I368" s="84" t="str">
        <f aca="false">IF(C368="","",C368*IF(Settings!$B$24=Settings!$C$6,1,IF(Settings!$B$24="USD",1/INDEX(Settings!$B$29:$B$40,MONTH(A368)),INDEX(Settings!$B$29:$B$40,MONTH(A368)))))</f>
        <v/>
      </c>
    </row>
    <row r="369" customFormat="false" ht="15" hidden="false" customHeight="false" outlineLevel="0" collapsed="false">
      <c r="H369" s="0" t="str">
        <f aca="false">IF(B369="","",IF(COUNTIF(Campaigns!$A$7:$A$300,B369)&gt;0,"✓","⚠ add to Campaigns tab"))</f>
        <v/>
      </c>
      <c r="I369" s="84" t="str">
        <f aca="false">IF(C369="","",C369*IF(Settings!$B$24=Settings!$C$6,1,IF(Settings!$B$24="USD",1/INDEX(Settings!$B$29:$B$40,MONTH(A369)),INDEX(Settings!$B$29:$B$40,MONTH(A369)))))</f>
        <v/>
      </c>
    </row>
    <row r="370" customFormat="false" ht="15" hidden="false" customHeight="false" outlineLevel="0" collapsed="false">
      <c r="H370" s="0" t="str">
        <f aca="false">IF(B370="","",IF(COUNTIF(Campaigns!$A$7:$A$300,B370)&gt;0,"✓","⚠ add to Campaigns tab"))</f>
        <v/>
      </c>
      <c r="I370" s="84" t="str">
        <f aca="false">IF(C370="","",C370*IF(Settings!$B$24=Settings!$C$6,1,IF(Settings!$B$24="USD",1/INDEX(Settings!$B$29:$B$40,MONTH(A370)),INDEX(Settings!$B$29:$B$40,MONTH(A370)))))</f>
        <v/>
      </c>
    </row>
    <row r="371" customFormat="false" ht="15" hidden="false" customHeight="false" outlineLevel="0" collapsed="false">
      <c r="H371" s="0" t="str">
        <f aca="false">IF(B371="","",IF(COUNTIF(Campaigns!$A$7:$A$300,B371)&gt;0,"✓","⚠ add to Campaigns tab"))</f>
        <v/>
      </c>
      <c r="I371" s="84" t="str">
        <f aca="false">IF(C371="","",C371*IF(Settings!$B$24=Settings!$C$6,1,IF(Settings!$B$24="USD",1/INDEX(Settings!$B$29:$B$40,MONTH(A371)),INDEX(Settings!$B$29:$B$40,MONTH(A371)))))</f>
        <v/>
      </c>
    </row>
    <row r="372" customFormat="false" ht="15" hidden="false" customHeight="false" outlineLevel="0" collapsed="false">
      <c r="H372" s="0" t="str">
        <f aca="false">IF(B372="","",IF(COUNTIF(Campaigns!$A$7:$A$300,B372)&gt;0,"✓","⚠ add to Campaigns tab"))</f>
        <v/>
      </c>
      <c r="I372" s="84" t="str">
        <f aca="false">IF(C372="","",C372*IF(Settings!$B$24=Settings!$C$6,1,IF(Settings!$B$24="USD",1/INDEX(Settings!$B$29:$B$40,MONTH(A372)),INDEX(Settings!$B$29:$B$40,MONTH(A372)))))</f>
        <v/>
      </c>
    </row>
    <row r="373" customFormat="false" ht="15" hidden="false" customHeight="false" outlineLevel="0" collapsed="false">
      <c r="H373" s="0" t="str">
        <f aca="false">IF(B373="","",IF(COUNTIF(Campaigns!$A$7:$A$300,B373)&gt;0,"✓","⚠ add to Campaigns tab"))</f>
        <v/>
      </c>
      <c r="I373" s="84" t="str">
        <f aca="false">IF(C373="","",C373*IF(Settings!$B$24=Settings!$C$6,1,IF(Settings!$B$24="USD",1/INDEX(Settings!$B$29:$B$40,MONTH(A373)),INDEX(Settings!$B$29:$B$40,MONTH(A373)))))</f>
        <v/>
      </c>
    </row>
    <row r="374" customFormat="false" ht="15" hidden="false" customHeight="false" outlineLevel="0" collapsed="false">
      <c r="H374" s="0" t="str">
        <f aca="false">IF(B374="","",IF(COUNTIF(Campaigns!$A$7:$A$300,B374)&gt;0,"✓","⚠ add to Campaigns tab"))</f>
        <v/>
      </c>
      <c r="I374" s="84" t="str">
        <f aca="false">IF(C374="","",C374*IF(Settings!$B$24=Settings!$C$6,1,IF(Settings!$B$24="USD",1/INDEX(Settings!$B$29:$B$40,MONTH(A374)),INDEX(Settings!$B$29:$B$40,MONTH(A374)))))</f>
        <v/>
      </c>
    </row>
    <row r="375" customFormat="false" ht="15" hidden="false" customHeight="false" outlineLevel="0" collapsed="false">
      <c r="H375" s="0" t="str">
        <f aca="false">IF(B375="","",IF(COUNTIF(Campaigns!$A$7:$A$300,B375)&gt;0,"✓","⚠ add to Campaigns tab"))</f>
        <v/>
      </c>
      <c r="I375" s="84" t="str">
        <f aca="false">IF(C375="","",C375*IF(Settings!$B$24=Settings!$C$6,1,IF(Settings!$B$24="USD",1/INDEX(Settings!$B$29:$B$40,MONTH(A375)),INDEX(Settings!$B$29:$B$40,MONTH(A375)))))</f>
        <v/>
      </c>
    </row>
    <row r="376" customFormat="false" ht="15" hidden="false" customHeight="false" outlineLevel="0" collapsed="false">
      <c r="H376" s="0" t="str">
        <f aca="false">IF(B376="","",IF(COUNTIF(Campaigns!$A$7:$A$300,B376)&gt;0,"✓","⚠ add to Campaigns tab"))</f>
        <v/>
      </c>
      <c r="I376" s="84" t="str">
        <f aca="false">IF(C376="","",C376*IF(Settings!$B$24=Settings!$C$6,1,IF(Settings!$B$24="USD",1/INDEX(Settings!$B$29:$B$40,MONTH(A376)),INDEX(Settings!$B$29:$B$40,MONTH(A376)))))</f>
        <v/>
      </c>
    </row>
    <row r="377" customFormat="false" ht="15" hidden="false" customHeight="false" outlineLevel="0" collapsed="false">
      <c r="H377" s="0" t="str">
        <f aca="false">IF(B377="","",IF(COUNTIF(Campaigns!$A$7:$A$300,B377)&gt;0,"✓","⚠ add to Campaigns tab"))</f>
        <v/>
      </c>
      <c r="I377" s="84" t="str">
        <f aca="false">IF(C377="","",C377*IF(Settings!$B$24=Settings!$C$6,1,IF(Settings!$B$24="USD",1/INDEX(Settings!$B$29:$B$40,MONTH(A377)),INDEX(Settings!$B$29:$B$40,MONTH(A377)))))</f>
        <v/>
      </c>
    </row>
    <row r="378" customFormat="false" ht="15" hidden="false" customHeight="false" outlineLevel="0" collapsed="false">
      <c r="H378" s="0" t="str">
        <f aca="false">IF(B378="","",IF(COUNTIF(Campaigns!$A$7:$A$300,B378)&gt;0,"✓","⚠ add to Campaigns tab"))</f>
        <v/>
      </c>
      <c r="I378" s="84" t="str">
        <f aca="false">IF(C378="","",C378*IF(Settings!$B$24=Settings!$C$6,1,IF(Settings!$B$24="USD",1/INDEX(Settings!$B$29:$B$40,MONTH(A378)),INDEX(Settings!$B$29:$B$40,MONTH(A378)))))</f>
        <v/>
      </c>
    </row>
    <row r="379" customFormat="false" ht="15" hidden="false" customHeight="false" outlineLevel="0" collapsed="false">
      <c r="H379" s="0" t="str">
        <f aca="false">IF(B379="","",IF(COUNTIF(Campaigns!$A$7:$A$300,B379)&gt;0,"✓","⚠ add to Campaigns tab"))</f>
        <v/>
      </c>
      <c r="I379" s="84" t="str">
        <f aca="false">IF(C379="","",C379*IF(Settings!$B$24=Settings!$C$6,1,IF(Settings!$B$24="USD",1/INDEX(Settings!$B$29:$B$40,MONTH(A379)),INDEX(Settings!$B$29:$B$40,MONTH(A379)))))</f>
        <v/>
      </c>
    </row>
    <row r="380" customFormat="false" ht="15" hidden="false" customHeight="false" outlineLevel="0" collapsed="false">
      <c r="H380" s="0" t="str">
        <f aca="false">IF(B380="","",IF(COUNTIF(Campaigns!$A$7:$A$300,B380)&gt;0,"✓","⚠ add to Campaigns tab"))</f>
        <v/>
      </c>
      <c r="I380" s="84" t="str">
        <f aca="false">IF(C380="","",C380*IF(Settings!$B$24=Settings!$C$6,1,IF(Settings!$B$24="USD",1/INDEX(Settings!$B$29:$B$40,MONTH(A380)),INDEX(Settings!$B$29:$B$40,MONTH(A380)))))</f>
        <v/>
      </c>
    </row>
    <row r="381" customFormat="false" ht="15" hidden="false" customHeight="false" outlineLevel="0" collapsed="false">
      <c r="H381" s="0" t="str">
        <f aca="false">IF(B381="","",IF(COUNTIF(Campaigns!$A$7:$A$300,B381)&gt;0,"✓","⚠ add to Campaigns tab"))</f>
        <v/>
      </c>
      <c r="I381" s="84" t="str">
        <f aca="false">IF(C381="","",C381*IF(Settings!$B$24=Settings!$C$6,1,IF(Settings!$B$24="USD",1/INDEX(Settings!$B$29:$B$40,MONTH(A381)),INDEX(Settings!$B$29:$B$40,MONTH(A381)))))</f>
        <v/>
      </c>
    </row>
    <row r="382" customFormat="false" ht="15" hidden="false" customHeight="false" outlineLevel="0" collapsed="false">
      <c r="H382" s="0" t="str">
        <f aca="false">IF(B382="","",IF(COUNTIF(Campaigns!$A$7:$A$300,B382)&gt;0,"✓","⚠ add to Campaigns tab"))</f>
        <v/>
      </c>
      <c r="I382" s="84" t="str">
        <f aca="false">IF(C382="","",C382*IF(Settings!$B$24=Settings!$C$6,1,IF(Settings!$B$24="USD",1/INDEX(Settings!$B$29:$B$40,MONTH(A382)),INDEX(Settings!$B$29:$B$40,MONTH(A382)))))</f>
        <v/>
      </c>
    </row>
    <row r="383" customFormat="false" ht="15" hidden="false" customHeight="false" outlineLevel="0" collapsed="false">
      <c r="H383" s="0" t="str">
        <f aca="false">IF(B383="","",IF(COUNTIF(Campaigns!$A$7:$A$300,B383)&gt;0,"✓","⚠ add to Campaigns tab"))</f>
        <v/>
      </c>
      <c r="I383" s="84" t="str">
        <f aca="false">IF(C383="","",C383*IF(Settings!$B$24=Settings!$C$6,1,IF(Settings!$B$24="USD",1/INDEX(Settings!$B$29:$B$40,MONTH(A383)),INDEX(Settings!$B$29:$B$40,MONTH(A383)))))</f>
        <v/>
      </c>
    </row>
    <row r="384" customFormat="false" ht="15" hidden="false" customHeight="false" outlineLevel="0" collapsed="false">
      <c r="H384" s="0" t="str">
        <f aca="false">IF(B384="","",IF(COUNTIF(Campaigns!$A$7:$A$300,B384)&gt;0,"✓","⚠ add to Campaigns tab"))</f>
        <v/>
      </c>
      <c r="I384" s="84" t="str">
        <f aca="false">IF(C384="","",C384*IF(Settings!$B$24=Settings!$C$6,1,IF(Settings!$B$24="USD",1/INDEX(Settings!$B$29:$B$40,MONTH(A384)),INDEX(Settings!$B$29:$B$40,MONTH(A384)))))</f>
        <v/>
      </c>
    </row>
    <row r="385" customFormat="false" ht="15" hidden="false" customHeight="false" outlineLevel="0" collapsed="false">
      <c r="H385" s="0" t="str">
        <f aca="false">IF(B385="","",IF(COUNTIF(Campaigns!$A$7:$A$300,B385)&gt;0,"✓","⚠ add to Campaigns tab"))</f>
        <v/>
      </c>
      <c r="I385" s="84" t="str">
        <f aca="false">IF(C385="","",C385*IF(Settings!$B$24=Settings!$C$6,1,IF(Settings!$B$24="USD",1/INDEX(Settings!$B$29:$B$40,MONTH(A385)),INDEX(Settings!$B$29:$B$40,MONTH(A385)))))</f>
        <v/>
      </c>
    </row>
    <row r="386" customFormat="false" ht="15" hidden="false" customHeight="false" outlineLevel="0" collapsed="false">
      <c r="H386" s="0" t="str">
        <f aca="false">IF(B386="","",IF(COUNTIF(Campaigns!$A$7:$A$300,B386)&gt;0,"✓","⚠ add to Campaigns tab"))</f>
        <v/>
      </c>
      <c r="I386" s="84" t="str">
        <f aca="false">IF(C386="","",C386*IF(Settings!$B$24=Settings!$C$6,1,IF(Settings!$B$24="USD",1/INDEX(Settings!$B$29:$B$40,MONTH(A386)),INDEX(Settings!$B$29:$B$40,MONTH(A386)))))</f>
        <v/>
      </c>
    </row>
    <row r="387" customFormat="false" ht="15" hidden="false" customHeight="false" outlineLevel="0" collapsed="false">
      <c r="H387" s="0" t="str">
        <f aca="false">IF(B387="","",IF(COUNTIF(Campaigns!$A$7:$A$300,B387)&gt;0,"✓","⚠ add to Campaigns tab"))</f>
        <v/>
      </c>
      <c r="I387" s="84" t="str">
        <f aca="false">IF(C387="","",C387*IF(Settings!$B$24=Settings!$C$6,1,IF(Settings!$B$24="USD",1/INDEX(Settings!$B$29:$B$40,MONTH(A387)),INDEX(Settings!$B$29:$B$40,MONTH(A387)))))</f>
        <v/>
      </c>
    </row>
    <row r="388" customFormat="false" ht="15" hidden="false" customHeight="false" outlineLevel="0" collapsed="false">
      <c r="H388" s="0" t="str">
        <f aca="false">IF(B388="","",IF(COUNTIF(Campaigns!$A$7:$A$300,B388)&gt;0,"✓","⚠ add to Campaigns tab"))</f>
        <v/>
      </c>
      <c r="I388" s="84" t="str">
        <f aca="false">IF(C388="","",C388*IF(Settings!$B$24=Settings!$C$6,1,IF(Settings!$B$24="USD",1/INDEX(Settings!$B$29:$B$40,MONTH(A388)),INDEX(Settings!$B$29:$B$40,MONTH(A388)))))</f>
        <v/>
      </c>
    </row>
    <row r="389" customFormat="false" ht="15" hidden="false" customHeight="false" outlineLevel="0" collapsed="false">
      <c r="H389" s="0" t="str">
        <f aca="false">IF(B389="","",IF(COUNTIF(Campaigns!$A$7:$A$300,B389)&gt;0,"✓","⚠ add to Campaigns tab"))</f>
        <v/>
      </c>
      <c r="I389" s="84" t="str">
        <f aca="false">IF(C389="","",C389*IF(Settings!$B$24=Settings!$C$6,1,IF(Settings!$B$24="USD",1/INDEX(Settings!$B$29:$B$40,MONTH(A389)),INDEX(Settings!$B$29:$B$40,MONTH(A389)))))</f>
        <v/>
      </c>
    </row>
    <row r="390" customFormat="false" ht="15" hidden="false" customHeight="false" outlineLevel="0" collapsed="false">
      <c r="H390" s="0" t="str">
        <f aca="false">IF(B390="","",IF(COUNTIF(Campaigns!$A$7:$A$300,B390)&gt;0,"✓","⚠ add to Campaigns tab"))</f>
        <v/>
      </c>
      <c r="I390" s="84" t="str">
        <f aca="false">IF(C390="","",C390*IF(Settings!$B$24=Settings!$C$6,1,IF(Settings!$B$24="USD",1/INDEX(Settings!$B$29:$B$40,MONTH(A390)),INDEX(Settings!$B$29:$B$40,MONTH(A390)))))</f>
        <v/>
      </c>
    </row>
    <row r="391" customFormat="false" ht="15" hidden="false" customHeight="false" outlineLevel="0" collapsed="false">
      <c r="H391" s="0" t="str">
        <f aca="false">IF(B391="","",IF(COUNTIF(Campaigns!$A$7:$A$300,B391)&gt;0,"✓","⚠ add to Campaigns tab"))</f>
        <v/>
      </c>
      <c r="I391" s="84" t="str">
        <f aca="false">IF(C391="","",C391*IF(Settings!$B$24=Settings!$C$6,1,IF(Settings!$B$24="USD",1/INDEX(Settings!$B$29:$B$40,MONTH(A391)),INDEX(Settings!$B$29:$B$40,MONTH(A391)))))</f>
        <v/>
      </c>
    </row>
    <row r="392" customFormat="false" ht="15" hidden="false" customHeight="false" outlineLevel="0" collapsed="false">
      <c r="H392" s="0" t="str">
        <f aca="false">IF(B392="","",IF(COUNTIF(Campaigns!$A$7:$A$300,B392)&gt;0,"✓","⚠ add to Campaigns tab"))</f>
        <v/>
      </c>
      <c r="I392" s="84" t="str">
        <f aca="false">IF(C392="","",C392*IF(Settings!$B$24=Settings!$C$6,1,IF(Settings!$B$24="USD",1/INDEX(Settings!$B$29:$B$40,MONTH(A392)),INDEX(Settings!$B$29:$B$40,MONTH(A392)))))</f>
        <v/>
      </c>
    </row>
    <row r="393" customFormat="false" ht="15" hidden="false" customHeight="false" outlineLevel="0" collapsed="false">
      <c r="H393" s="0" t="str">
        <f aca="false">IF(B393="","",IF(COUNTIF(Campaigns!$A$7:$A$300,B393)&gt;0,"✓","⚠ add to Campaigns tab"))</f>
        <v/>
      </c>
      <c r="I393" s="84" t="str">
        <f aca="false">IF(C393="","",C393*IF(Settings!$B$24=Settings!$C$6,1,IF(Settings!$B$24="USD",1/INDEX(Settings!$B$29:$B$40,MONTH(A393)),INDEX(Settings!$B$29:$B$40,MONTH(A393)))))</f>
        <v/>
      </c>
    </row>
    <row r="394" customFormat="false" ht="15" hidden="false" customHeight="false" outlineLevel="0" collapsed="false">
      <c r="H394" s="0" t="str">
        <f aca="false">IF(B394="","",IF(COUNTIF(Campaigns!$A$7:$A$300,B394)&gt;0,"✓","⚠ add to Campaigns tab"))</f>
        <v/>
      </c>
      <c r="I394" s="84" t="str">
        <f aca="false">IF(C394="","",C394*IF(Settings!$B$24=Settings!$C$6,1,IF(Settings!$B$24="USD",1/INDEX(Settings!$B$29:$B$40,MONTH(A394)),INDEX(Settings!$B$29:$B$40,MONTH(A394)))))</f>
        <v/>
      </c>
    </row>
    <row r="395" customFormat="false" ht="15" hidden="false" customHeight="false" outlineLevel="0" collapsed="false">
      <c r="H395" s="0" t="str">
        <f aca="false">IF(B395="","",IF(COUNTIF(Campaigns!$A$7:$A$300,B395)&gt;0,"✓","⚠ add to Campaigns tab"))</f>
        <v/>
      </c>
      <c r="I395" s="84" t="str">
        <f aca="false">IF(C395="","",C395*IF(Settings!$B$24=Settings!$C$6,1,IF(Settings!$B$24="USD",1/INDEX(Settings!$B$29:$B$40,MONTH(A395)),INDEX(Settings!$B$29:$B$40,MONTH(A395)))))</f>
        <v/>
      </c>
    </row>
    <row r="396" customFormat="false" ht="15" hidden="false" customHeight="false" outlineLevel="0" collapsed="false">
      <c r="H396" s="0" t="str">
        <f aca="false">IF(B396="","",IF(COUNTIF(Campaigns!$A$7:$A$300,B396)&gt;0,"✓","⚠ add to Campaigns tab"))</f>
        <v/>
      </c>
      <c r="I396" s="84" t="str">
        <f aca="false">IF(C396="","",C396*IF(Settings!$B$24=Settings!$C$6,1,IF(Settings!$B$24="USD",1/INDEX(Settings!$B$29:$B$40,MONTH(A396)),INDEX(Settings!$B$29:$B$40,MONTH(A396)))))</f>
        <v/>
      </c>
    </row>
    <row r="397" customFormat="false" ht="15" hidden="false" customHeight="false" outlineLevel="0" collapsed="false">
      <c r="H397" s="0" t="str">
        <f aca="false">IF(B397="","",IF(COUNTIF(Campaigns!$A$7:$A$300,B397)&gt;0,"✓","⚠ add to Campaigns tab"))</f>
        <v/>
      </c>
      <c r="I397" s="84" t="str">
        <f aca="false">IF(C397="","",C397*IF(Settings!$B$24=Settings!$C$6,1,IF(Settings!$B$24="USD",1/INDEX(Settings!$B$29:$B$40,MONTH(A397)),INDEX(Settings!$B$29:$B$40,MONTH(A397)))))</f>
        <v/>
      </c>
    </row>
    <row r="398" customFormat="false" ht="15" hidden="false" customHeight="false" outlineLevel="0" collapsed="false">
      <c r="H398" s="0" t="str">
        <f aca="false">IF(B398="","",IF(COUNTIF(Campaigns!$A$7:$A$300,B398)&gt;0,"✓","⚠ add to Campaigns tab"))</f>
        <v/>
      </c>
      <c r="I398" s="84" t="str">
        <f aca="false">IF(C398="","",C398*IF(Settings!$B$24=Settings!$C$6,1,IF(Settings!$B$24="USD",1/INDEX(Settings!$B$29:$B$40,MONTH(A398)),INDEX(Settings!$B$29:$B$40,MONTH(A398)))))</f>
        <v/>
      </c>
    </row>
    <row r="399" customFormat="false" ht="15" hidden="false" customHeight="false" outlineLevel="0" collapsed="false">
      <c r="H399" s="0" t="str">
        <f aca="false">IF(B399="","",IF(COUNTIF(Campaigns!$A$7:$A$300,B399)&gt;0,"✓","⚠ add to Campaigns tab"))</f>
        <v/>
      </c>
      <c r="I399" s="84" t="str">
        <f aca="false">IF(C399="","",C399*IF(Settings!$B$24=Settings!$C$6,1,IF(Settings!$B$24="USD",1/INDEX(Settings!$B$29:$B$40,MONTH(A399)),INDEX(Settings!$B$29:$B$40,MONTH(A399)))))</f>
        <v/>
      </c>
    </row>
    <row r="400" customFormat="false" ht="15" hidden="false" customHeight="false" outlineLevel="0" collapsed="false">
      <c r="H400" s="0" t="str">
        <f aca="false">IF(B400="","",IF(COUNTIF(Campaigns!$A$7:$A$300,B400)&gt;0,"✓","⚠ add to Campaigns tab"))</f>
        <v/>
      </c>
      <c r="I400" s="84" t="str">
        <f aca="false">IF(C400="","",C400*IF(Settings!$B$24=Settings!$C$6,1,IF(Settings!$B$24="USD",1/INDEX(Settings!$B$29:$B$40,MONTH(A400)),INDEX(Settings!$B$29:$B$40,MONTH(A400)))))</f>
        <v/>
      </c>
    </row>
    <row r="401" customFormat="false" ht="15" hidden="false" customHeight="false" outlineLevel="0" collapsed="false">
      <c r="H401" s="0" t="str">
        <f aca="false">IF(B401="","",IF(COUNTIF(Campaigns!$A$7:$A$300,B401)&gt;0,"✓","⚠ add to Campaigns tab"))</f>
        <v/>
      </c>
      <c r="I401" s="84" t="str">
        <f aca="false">IF(C401="","",C401*IF(Settings!$B$24=Settings!$C$6,1,IF(Settings!$B$24="USD",1/INDEX(Settings!$B$29:$B$40,MONTH(A401)),INDEX(Settings!$B$29:$B$40,MONTH(A401)))))</f>
        <v/>
      </c>
    </row>
    <row r="402" customFormat="false" ht="15" hidden="false" customHeight="false" outlineLevel="0" collapsed="false">
      <c r="H402" s="0" t="str">
        <f aca="false">IF(B402="","",IF(COUNTIF(Campaigns!$A$7:$A$300,B402)&gt;0,"✓","⚠ add to Campaigns tab"))</f>
        <v/>
      </c>
      <c r="I402" s="84" t="str">
        <f aca="false">IF(C402="","",C402*IF(Settings!$B$24=Settings!$C$6,1,IF(Settings!$B$24="USD",1/INDEX(Settings!$B$29:$B$40,MONTH(A402)),INDEX(Settings!$B$29:$B$40,MONTH(A402)))))</f>
        <v/>
      </c>
    </row>
    <row r="403" customFormat="false" ht="15" hidden="false" customHeight="false" outlineLevel="0" collapsed="false">
      <c r="H403" s="0" t="str">
        <f aca="false">IF(B403="","",IF(COUNTIF(Campaigns!$A$7:$A$300,B403)&gt;0,"✓","⚠ add to Campaigns tab"))</f>
        <v/>
      </c>
      <c r="I403" s="84" t="str">
        <f aca="false">IF(C403="","",C403*IF(Settings!$B$24=Settings!$C$6,1,IF(Settings!$B$24="USD",1/INDEX(Settings!$B$29:$B$40,MONTH(A403)),INDEX(Settings!$B$29:$B$40,MONTH(A403)))))</f>
        <v/>
      </c>
    </row>
    <row r="404" customFormat="false" ht="15" hidden="false" customHeight="false" outlineLevel="0" collapsed="false">
      <c r="H404" s="0" t="str">
        <f aca="false">IF(B404="","",IF(COUNTIF(Campaigns!$A$7:$A$300,B404)&gt;0,"✓","⚠ add to Campaigns tab"))</f>
        <v/>
      </c>
      <c r="I404" s="84" t="str">
        <f aca="false">IF(C404="","",C404*IF(Settings!$B$24=Settings!$C$6,1,IF(Settings!$B$24="USD",1/INDEX(Settings!$B$29:$B$40,MONTH(A404)),INDEX(Settings!$B$29:$B$40,MONTH(A404)))))</f>
        <v/>
      </c>
    </row>
    <row r="405" customFormat="false" ht="15" hidden="false" customHeight="false" outlineLevel="0" collapsed="false">
      <c r="H405" s="0" t="str">
        <f aca="false">IF(B405="","",IF(COUNTIF(Campaigns!$A$7:$A$300,B405)&gt;0,"✓","⚠ add to Campaigns tab"))</f>
        <v/>
      </c>
      <c r="I405" s="84" t="str">
        <f aca="false">IF(C405="","",C405*IF(Settings!$B$24=Settings!$C$6,1,IF(Settings!$B$24="USD",1/INDEX(Settings!$B$29:$B$40,MONTH(A405)),INDEX(Settings!$B$29:$B$40,MONTH(A405)))))</f>
        <v/>
      </c>
    </row>
    <row r="406" customFormat="false" ht="15" hidden="false" customHeight="false" outlineLevel="0" collapsed="false">
      <c r="H406" s="0" t="str">
        <f aca="false">IF(B406="","",IF(COUNTIF(Campaigns!$A$7:$A$300,B406)&gt;0,"✓","⚠ add to Campaigns tab"))</f>
        <v/>
      </c>
      <c r="I406" s="84" t="str">
        <f aca="false">IF(C406="","",C406*IF(Settings!$B$24=Settings!$C$6,1,IF(Settings!$B$24="USD",1/INDEX(Settings!$B$29:$B$40,MONTH(A406)),INDEX(Settings!$B$29:$B$40,MONTH(A406)))))</f>
        <v/>
      </c>
    </row>
    <row r="407" customFormat="false" ht="15" hidden="false" customHeight="false" outlineLevel="0" collapsed="false">
      <c r="H407" s="0" t="str">
        <f aca="false">IF(B407="","",IF(COUNTIF(Campaigns!$A$7:$A$300,B407)&gt;0,"✓","⚠ add to Campaigns tab"))</f>
        <v/>
      </c>
      <c r="I407" s="84" t="str">
        <f aca="false">IF(C407="","",C407*IF(Settings!$B$24=Settings!$C$6,1,IF(Settings!$B$24="USD",1/INDEX(Settings!$B$29:$B$40,MONTH(A407)),INDEX(Settings!$B$29:$B$40,MONTH(A407)))))</f>
        <v/>
      </c>
    </row>
    <row r="408" customFormat="false" ht="15" hidden="false" customHeight="false" outlineLevel="0" collapsed="false">
      <c r="H408" s="0" t="str">
        <f aca="false">IF(B408="","",IF(COUNTIF(Campaigns!$A$7:$A$300,B408)&gt;0,"✓","⚠ add to Campaigns tab"))</f>
        <v/>
      </c>
      <c r="I408" s="84" t="str">
        <f aca="false">IF(C408="","",C408*IF(Settings!$B$24=Settings!$C$6,1,IF(Settings!$B$24="USD",1/INDEX(Settings!$B$29:$B$40,MONTH(A408)),INDEX(Settings!$B$29:$B$40,MONTH(A408)))))</f>
        <v/>
      </c>
    </row>
    <row r="409" customFormat="false" ht="15" hidden="false" customHeight="false" outlineLevel="0" collapsed="false">
      <c r="H409" s="0" t="str">
        <f aca="false">IF(B409="","",IF(COUNTIF(Campaigns!$A$7:$A$300,B409)&gt;0,"✓","⚠ add to Campaigns tab"))</f>
        <v/>
      </c>
      <c r="I409" s="84" t="str">
        <f aca="false">IF(C409="","",C409*IF(Settings!$B$24=Settings!$C$6,1,IF(Settings!$B$24="USD",1/INDEX(Settings!$B$29:$B$40,MONTH(A409)),INDEX(Settings!$B$29:$B$40,MONTH(A409)))))</f>
        <v/>
      </c>
    </row>
    <row r="410" customFormat="false" ht="15" hidden="false" customHeight="false" outlineLevel="0" collapsed="false">
      <c r="H410" s="0" t="str">
        <f aca="false">IF(B410="","",IF(COUNTIF(Campaigns!$A$7:$A$300,B410)&gt;0,"✓","⚠ add to Campaigns tab"))</f>
        <v/>
      </c>
      <c r="I410" s="84" t="str">
        <f aca="false">IF(C410="","",C410*IF(Settings!$B$24=Settings!$C$6,1,IF(Settings!$B$24="USD",1/INDEX(Settings!$B$29:$B$40,MONTH(A410)),INDEX(Settings!$B$29:$B$40,MONTH(A410)))))</f>
        <v/>
      </c>
    </row>
    <row r="411" customFormat="false" ht="15" hidden="false" customHeight="false" outlineLevel="0" collapsed="false">
      <c r="H411" s="0" t="str">
        <f aca="false">IF(B411="","",IF(COUNTIF(Campaigns!$A$7:$A$300,B411)&gt;0,"✓","⚠ add to Campaigns tab"))</f>
        <v/>
      </c>
      <c r="I411" s="84" t="str">
        <f aca="false">IF(C411="","",C411*IF(Settings!$B$24=Settings!$C$6,1,IF(Settings!$B$24="USD",1/INDEX(Settings!$B$29:$B$40,MONTH(A411)),INDEX(Settings!$B$29:$B$40,MONTH(A411)))))</f>
        <v/>
      </c>
    </row>
    <row r="412" customFormat="false" ht="15" hidden="false" customHeight="false" outlineLevel="0" collapsed="false">
      <c r="H412" s="0" t="str">
        <f aca="false">IF(B412="","",IF(COUNTIF(Campaigns!$A$7:$A$300,B412)&gt;0,"✓","⚠ add to Campaigns tab"))</f>
        <v/>
      </c>
      <c r="I412" s="84" t="str">
        <f aca="false">IF(C412="","",C412*IF(Settings!$B$24=Settings!$C$6,1,IF(Settings!$B$24="USD",1/INDEX(Settings!$B$29:$B$40,MONTH(A412)),INDEX(Settings!$B$29:$B$40,MONTH(A412)))))</f>
        <v/>
      </c>
    </row>
    <row r="413" customFormat="false" ht="15" hidden="false" customHeight="false" outlineLevel="0" collapsed="false">
      <c r="H413" s="0" t="str">
        <f aca="false">IF(B413="","",IF(COUNTIF(Campaigns!$A$7:$A$300,B413)&gt;0,"✓","⚠ add to Campaigns tab"))</f>
        <v/>
      </c>
      <c r="I413" s="84" t="str">
        <f aca="false">IF(C413="","",C413*IF(Settings!$B$24=Settings!$C$6,1,IF(Settings!$B$24="USD",1/INDEX(Settings!$B$29:$B$40,MONTH(A413)),INDEX(Settings!$B$29:$B$40,MONTH(A413)))))</f>
        <v/>
      </c>
    </row>
    <row r="414" customFormat="false" ht="15" hidden="false" customHeight="false" outlineLevel="0" collapsed="false">
      <c r="H414" s="0" t="str">
        <f aca="false">IF(B414="","",IF(COUNTIF(Campaigns!$A$7:$A$300,B414)&gt;0,"✓","⚠ add to Campaigns tab"))</f>
        <v/>
      </c>
      <c r="I414" s="84" t="str">
        <f aca="false">IF(C414="","",C414*IF(Settings!$B$24=Settings!$C$6,1,IF(Settings!$B$24="USD",1/INDEX(Settings!$B$29:$B$40,MONTH(A414)),INDEX(Settings!$B$29:$B$40,MONTH(A414)))))</f>
        <v/>
      </c>
    </row>
    <row r="415" customFormat="false" ht="15" hidden="false" customHeight="false" outlineLevel="0" collapsed="false">
      <c r="H415" s="0" t="str">
        <f aca="false">IF(B415="","",IF(COUNTIF(Campaigns!$A$7:$A$300,B415)&gt;0,"✓","⚠ add to Campaigns tab"))</f>
        <v/>
      </c>
      <c r="I415" s="84" t="str">
        <f aca="false">IF(C415="","",C415*IF(Settings!$B$24=Settings!$C$6,1,IF(Settings!$B$24="USD",1/INDEX(Settings!$B$29:$B$40,MONTH(A415)),INDEX(Settings!$B$29:$B$40,MONTH(A415)))))</f>
        <v/>
      </c>
    </row>
    <row r="416" customFormat="false" ht="15" hidden="false" customHeight="false" outlineLevel="0" collapsed="false">
      <c r="H416" s="0" t="str">
        <f aca="false">IF(B416="","",IF(COUNTIF(Campaigns!$A$7:$A$300,B416)&gt;0,"✓","⚠ add to Campaigns tab"))</f>
        <v/>
      </c>
      <c r="I416" s="84" t="str">
        <f aca="false">IF(C416="","",C416*IF(Settings!$B$24=Settings!$C$6,1,IF(Settings!$B$24="USD",1/INDEX(Settings!$B$29:$B$40,MONTH(A416)),INDEX(Settings!$B$29:$B$40,MONTH(A416)))))</f>
        <v/>
      </c>
    </row>
    <row r="417" customFormat="false" ht="15" hidden="false" customHeight="false" outlineLevel="0" collapsed="false">
      <c r="H417" s="0" t="str">
        <f aca="false">IF(B417="","",IF(COUNTIF(Campaigns!$A$7:$A$300,B417)&gt;0,"✓","⚠ add to Campaigns tab"))</f>
        <v/>
      </c>
      <c r="I417" s="84" t="str">
        <f aca="false">IF(C417="","",C417*IF(Settings!$B$24=Settings!$C$6,1,IF(Settings!$B$24="USD",1/INDEX(Settings!$B$29:$B$40,MONTH(A417)),INDEX(Settings!$B$29:$B$40,MONTH(A417)))))</f>
        <v/>
      </c>
    </row>
    <row r="418" customFormat="false" ht="15" hidden="false" customHeight="false" outlineLevel="0" collapsed="false">
      <c r="H418" s="0" t="str">
        <f aca="false">IF(B418="","",IF(COUNTIF(Campaigns!$A$7:$A$300,B418)&gt;0,"✓","⚠ add to Campaigns tab"))</f>
        <v/>
      </c>
      <c r="I418" s="84" t="str">
        <f aca="false">IF(C418="","",C418*IF(Settings!$B$24=Settings!$C$6,1,IF(Settings!$B$24="USD",1/INDEX(Settings!$B$29:$B$40,MONTH(A418)),INDEX(Settings!$B$29:$B$40,MONTH(A418)))))</f>
        <v/>
      </c>
    </row>
    <row r="419" customFormat="false" ht="15" hidden="false" customHeight="false" outlineLevel="0" collapsed="false">
      <c r="H419" s="0" t="str">
        <f aca="false">IF(B419="","",IF(COUNTIF(Campaigns!$A$7:$A$300,B419)&gt;0,"✓","⚠ add to Campaigns tab"))</f>
        <v/>
      </c>
      <c r="I419" s="84" t="str">
        <f aca="false">IF(C419="","",C419*IF(Settings!$B$24=Settings!$C$6,1,IF(Settings!$B$24="USD",1/INDEX(Settings!$B$29:$B$40,MONTH(A419)),INDEX(Settings!$B$29:$B$40,MONTH(A419)))))</f>
        <v/>
      </c>
    </row>
    <row r="420" customFormat="false" ht="15" hidden="false" customHeight="false" outlineLevel="0" collapsed="false">
      <c r="H420" s="0" t="str">
        <f aca="false">IF(B420="","",IF(COUNTIF(Campaigns!$A$7:$A$300,B420)&gt;0,"✓","⚠ add to Campaigns tab"))</f>
        <v/>
      </c>
      <c r="I420" s="84" t="str">
        <f aca="false">IF(C420="","",C420*IF(Settings!$B$24=Settings!$C$6,1,IF(Settings!$B$24="USD",1/INDEX(Settings!$B$29:$B$40,MONTH(A420)),INDEX(Settings!$B$29:$B$40,MONTH(A420)))))</f>
        <v/>
      </c>
    </row>
    <row r="421" customFormat="false" ht="15" hidden="false" customHeight="false" outlineLevel="0" collapsed="false">
      <c r="H421" s="0" t="str">
        <f aca="false">IF(B421="","",IF(COUNTIF(Campaigns!$A$7:$A$300,B421)&gt;0,"✓","⚠ add to Campaigns tab"))</f>
        <v/>
      </c>
      <c r="I421" s="84" t="str">
        <f aca="false">IF(C421="","",C421*IF(Settings!$B$24=Settings!$C$6,1,IF(Settings!$B$24="USD",1/INDEX(Settings!$B$29:$B$40,MONTH(A421)),INDEX(Settings!$B$29:$B$40,MONTH(A421)))))</f>
        <v/>
      </c>
    </row>
    <row r="422" customFormat="false" ht="15" hidden="false" customHeight="false" outlineLevel="0" collapsed="false">
      <c r="H422" s="0" t="str">
        <f aca="false">IF(B422="","",IF(COUNTIF(Campaigns!$A$7:$A$300,B422)&gt;0,"✓","⚠ add to Campaigns tab"))</f>
        <v/>
      </c>
      <c r="I422" s="84" t="str">
        <f aca="false">IF(C422="","",C422*IF(Settings!$B$24=Settings!$C$6,1,IF(Settings!$B$24="USD",1/INDEX(Settings!$B$29:$B$40,MONTH(A422)),INDEX(Settings!$B$29:$B$40,MONTH(A422)))))</f>
        <v/>
      </c>
    </row>
    <row r="423" customFormat="false" ht="15" hidden="false" customHeight="false" outlineLevel="0" collapsed="false">
      <c r="H423" s="0" t="str">
        <f aca="false">IF(B423="","",IF(COUNTIF(Campaigns!$A$7:$A$300,B423)&gt;0,"✓","⚠ add to Campaigns tab"))</f>
        <v/>
      </c>
      <c r="I423" s="84" t="str">
        <f aca="false">IF(C423="","",C423*IF(Settings!$B$24=Settings!$C$6,1,IF(Settings!$B$24="USD",1/INDEX(Settings!$B$29:$B$40,MONTH(A423)),INDEX(Settings!$B$29:$B$40,MONTH(A423)))))</f>
        <v/>
      </c>
    </row>
    <row r="424" customFormat="false" ht="15" hidden="false" customHeight="false" outlineLevel="0" collapsed="false">
      <c r="H424" s="0" t="str">
        <f aca="false">IF(B424="","",IF(COUNTIF(Campaigns!$A$7:$A$300,B424)&gt;0,"✓","⚠ add to Campaigns tab"))</f>
        <v/>
      </c>
      <c r="I424" s="84" t="str">
        <f aca="false">IF(C424="","",C424*IF(Settings!$B$24=Settings!$C$6,1,IF(Settings!$B$24="USD",1/INDEX(Settings!$B$29:$B$40,MONTH(A424)),INDEX(Settings!$B$29:$B$40,MONTH(A424)))))</f>
        <v/>
      </c>
    </row>
    <row r="425" customFormat="false" ht="15" hidden="false" customHeight="false" outlineLevel="0" collapsed="false">
      <c r="H425" s="0" t="str">
        <f aca="false">IF(B425="","",IF(COUNTIF(Campaigns!$A$7:$A$300,B425)&gt;0,"✓","⚠ add to Campaigns tab"))</f>
        <v/>
      </c>
      <c r="I425" s="84" t="str">
        <f aca="false">IF(C425="","",C425*IF(Settings!$B$24=Settings!$C$6,1,IF(Settings!$B$24="USD",1/INDEX(Settings!$B$29:$B$40,MONTH(A425)),INDEX(Settings!$B$29:$B$40,MONTH(A425)))))</f>
        <v/>
      </c>
    </row>
    <row r="426" customFormat="false" ht="15" hidden="false" customHeight="false" outlineLevel="0" collapsed="false">
      <c r="H426" s="0" t="str">
        <f aca="false">IF(B426="","",IF(COUNTIF(Campaigns!$A$7:$A$300,B426)&gt;0,"✓","⚠ add to Campaigns tab"))</f>
        <v/>
      </c>
      <c r="I426" s="84" t="str">
        <f aca="false">IF(C426="","",C426*IF(Settings!$B$24=Settings!$C$6,1,IF(Settings!$B$24="USD",1/INDEX(Settings!$B$29:$B$40,MONTH(A426)),INDEX(Settings!$B$29:$B$40,MONTH(A426)))))</f>
        <v/>
      </c>
    </row>
    <row r="427" customFormat="false" ht="15" hidden="false" customHeight="false" outlineLevel="0" collapsed="false">
      <c r="H427" s="0" t="str">
        <f aca="false">IF(B427="","",IF(COUNTIF(Campaigns!$A$7:$A$300,B427)&gt;0,"✓","⚠ add to Campaigns tab"))</f>
        <v/>
      </c>
      <c r="I427" s="84" t="str">
        <f aca="false">IF(C427="","",C427*IF(Settings!$B$24=Settings!$C$6,1,IF(Settings!$B$24="USD",1/INDEX(Settings!$B$29:$B$40,MONTH(A427)),INDEX(Settings!$B$29:$B$40,MONTH(A427)))))</f>
        <v/>
      </c>
    </row>
    <row r="428" customFormat="false" ht="15" hidden="false" customHeight="false" outlineLevel="0" collapsed="false">
      <c r="H428" s="0" t="str">
        <f aca="false">IF(B428="","",IF(COUNTIF(Campaigns!$A$7:$A$300,B428)&gt;0,"✓","⚠ add to Campaigns tab"))</f>
        <v/>
      </c>
      <c r="I428" s="84" t="str">
        <f aca="false">IF(C428="","",C428*IF(Settings!$B$24=Settings!$C$6,1,IF(Settings!$B$24="USD",1/INDEX(Settings!$B$29:$B$40,MONTH(A428)),INDEX(Settings!$B$29:$B$40,MONTH(A428)))))</f>
        <v/>
      </c>
    </row>
    <row r="429" customFormat="false" ht="15" hidden="false" customHeight="false" outlineLevel="0" collapsed="false">
      <c r="H429" s="0" t="str">
        <f aca="false">IF(B429="","",IF(COUNTIF(Campaigns!$A$7:$A$300,B429)&gt;0,"✓","⚠ add to Campaigns tab"))</f>
        <v/>
      </c>
      <c r="I429" s="84" t="str">
        <f aca="false">IF(C429="","",C429*IF(Settings!$B$24=Settings!$C$6,1,IF(Settings!$B$24="USD",1/INDEX(Settings!$B$29:$B$40,MONTH(A429)),INDEX(Settings!$B$29:$B$40,MONTH(A429)))))</f>
        <v/>
      </c>
    </row>
    <row r="430" customFormat="false" ht="15" hidden="false" customHeight="false" outlineLevel="0" collapsed="false">
      <c r="H430" s="0" t="str">
        <f aca="false">IF(B430="","",IF(COUNTIF(Campaigns!$A$7:$A$300,B430)&gt;0,"✓","⚠ add to Campaigns tab"))</f>
        <v/>
      </c>
      <c r="I430" s="84" t="str">
        <f aca="false">IF(C430="","",C430*IF(Settings!$B$24=Settings!$C$6,1,IF(Settings!$B$24="USD",1/INDEX(Settings!$B$29:$B$40,MONTH(A430)),INDEX(Settings!$B$29:$B$40,MONTH(A430)))))</f>
        <v/>
      </c>
    </row>
    <row r="431" customFormat="false" ht="15" hidden="false" customHeight="false" outlineLevel="0" collapsed="false">
      <c r="H431" s="0" t="str">
        <f aca="false">IF(B431="","",IF(COUNTIF(Campaigns!$A$7:$A$300,B431)&gt;0,"✓","⚠ add to Campaigns tab"))</f>
        <v/>
      </c>
      <c r="I431" s="84" t="str">
        <f aca="false">IF(C431="","",C431*IF(Settings!$B$24=Settings!$C$6,1,IF(Settings!$B$24="USD",1/INDEX(Settings!$B$29:$B$40,MONTH(A431)),INDEX(Settings!$B$29:$B$40,MONTH(A431)))))</f>
        <v/>
      </c>
    </row>
    <row r="432" customFormat="false" ht="15" hidden="false" customHeight="false" outlineLevel="0" collapsed="false">
      <c r="H432" s="0" t="str">
        <f aca="false">IF(B432="","",IF(COUNTIF(Campaigns!$A$7:$A$300,B432)&gt;0,"✓","⚠ add to Campaigns tab"))</f>
        <v/>
      </c>
      <c r="I432" s="84" t="str">
        <f aca="false">IF(C432="","",C432*IF(Settings!$B$24=Settings!$C$6,1,IF(Settings!$B$24="USD",1/INDEX(Settings!$B$29:$B$40,MONTH(A432)),INDEX(Settings!$B$29:$B$40,MONTH(A432)))))</f>
        <v/>
      </c>
    </row>
    <row r="433" customFormat="false" ht="15" hidden="false" customHeight="false" outlineLevel="0" collapsed="false">
      <c r="H433" s="0" t="str">
        <f aca="false">IF(B433="","",IF(COUNTIF(Campaigns!$A$7:$A$300,B433)&gt;0,"✓","⚠ add to Campaigns tab"))</f>
        <v/>
      </c>
      <c r="I433" s="84" t="str">
        <f aca="false">IF(C433="","",C433*IF(Settings!$B$24=Settings!$C$6,1,IF(Settings!$B$24="USD",1/INDEX(Settings!$B$29:$B$40,MONTH(A433)),INDEX(Settings!$B$29:$B$40,MONTH(A433)))))</f>
        <v/>
      </c>
    </row>
    <row r="434" customFormat="false" ht="15" hidden="false" customHeight="false" outlineLevel="0" collapsed="false">
      <c r="H434" s="0" t="str">
        <f aca="false">IF(B434="","",IF(COUNTIF(Campaigns!$A$7:$A$300,B434)&gt;0,"✓","⚠ add to Campaigns tab"))</f>
        <v/>
      </c>
      <c r="I434" s="84" t="str">
        <f aca="false">IF(C434="","",C434*IF(Settings!$B$24=Settings!$C$6,1,IF(Settings!$B$24="USD",1/INDEX(Settings!$B$29:$B$40,MONTH(A434)),INDEX(Settings!$B$29:$B$40,MONTH(A434)))))</f>
        <v/>
      </c>
    </row>
    <row r="435" customFormat="false" ht="15" hidden="false" customHeight="false" outlineLevel="0" collapsed="false">
      <c r="H435" s="0" t="str">
        <f aca="false">IF(B435="","",IF(COUNTIF(Campaigns!$A$7:$A$300,B435)&gt;0,"✓","⚠ add to Campaigns tab"))</f>
        <v/>
      </c>
      <c r="I435" s="84" t="str">
        <f aca="false">IF(C435="","",C435*IF(Settings!$B$24=Settings!$C$6,1,IF(Settings!$B$24="USD",1/INDEX(Settings!$B$29:$B$40,MONTH(A435)),INDEX(Settings!$B$29:$B$40,MONTH(A435)))))</f>
        <v/>
      </c>
    </row>
    <row r="436" customFormat="false" ht="15" hidden="false" customHeight="false" outlineLevel="0" collapsed="false">
      <c r="H436" s="0" t="str">
        <f aca="false">IF(B436="","",IF(COUNTIF(Campaigns!$A$7:$A$300,B436)&gt;0,"✓","⚠ add to Campaigns tab"))</f>
        <v/>
      </c>
      <c r="I436" s="84" t="str">
        <f aca="false">IF(C436="","",C436*IF(Settings!$B$24=Settings!$C$6,1,IF(Settings!$B$24="USD",1/INDEX(Settings!$B$29:$B$40,MONTH(A436)),INDEX(Settings!$B$29:$B$40,MONTH(A436)))))</f>
        <v/>
      </c>
    </row>
    <row r="437" customFormat="false" ht="15" hidden="false" customHeight="false" outlineLevel="0" collapsed="false">
      <c r="H437" s="0" t="str">
        <f aca="false">IF(B437="","",IF(COUNTIF(Campaigns!$A$7:$A$300,B437)&gt;0,"✓","⚠ add to Campaigns tab"))</f>
        <v/>
      </c>
      <c r="I437" s="84" t="str">
        <f aca="false">IF(C437="","",C437*IF(Settings!$B$24=Settings!$C$6,1,IF(Settings!$B$24="USD",1/INDEX(Settings!$B$29:$B$40,MONTH(A437)),INDEX(Settings!$B$29:$B$40,MONTH(A437)))))</f>
        <v/>
      </c>
    </row>
    <row r="438" customFormat="false" ht="15" hidden="false" customHeight="false" outlineLevel="0" collapsed="false">
      <c r="H438" s="0" t="str">
        <f aca="false">IF(B438="","",IF(COUNTIF(Campaigns!$A$7:$A$300,B438)&gt;0,"✓","⚠ add to Campaigns tab"))</f>
        <v/>
      </c>
      <c r="I438" s="84" t="str">
        <f aca="false">IF(C438="","",C438*IF(Settings!$B$24=Settings!$C$6,1,IF(Settings!$B$24="USD",1/INDEX(Settings!$B$29:$B$40,MONTH(A438)),INDEX(Settings!$B$29:$B$40,MONTH(A438)))))</f>
        <v/>
      </c>
    </row>
    <row r="439" customFormat="false" ht="15" hidden="false" customHeight="false" outlineLevel="0" collapsed="false">
      <c r="H439" s="0" t="str">
        <f aca="false">IF(B439="","",IF(COUNTIF(Campaigns!$A$7:$A$300,B439)&gt;0,"✓","⚠ add to Campaigns tab"))</f>
        <v/>
      </c>
      <c r="I439" s="84" t="str">
        <f aca="false">IF(C439="","",C439*IF(Settings!$B$24=Settings!$C$6,1,IF(Settings!$B$24="USD",1/INDEX(Settings!$B$29:$B$40,MONTH(A439)),INDEX(Settings!$B$29:$B$40,MONTH(A439)))))</f>
        <v/>
      </c>
    </row>
    <row r="440" customFormat="false" ht="15" hidden="false" customHeight="false" outlineLevel="0" collapsed="false">
      <c r="H440" s="0" t="str">
        <f aca="false">IF(B440="","",IF(COUNTIF(Campaigns!$A$7:$A$300,B440)&gt;0,"✓","⚠ add to Campaigns tab"))</f>
        <v/>
      </c>
      <c r="I440" s="84" t="str">
        <f aca="false">IF(C440="","",C440*IF(Settings!$B$24=Settings!$C$6,1,IF(Settings!$B$24="USD",1/INDEX(Settings!$B$29:$B$40,MONTH(A440)),INDEX(Settings!$B$29:$B$40,MONTH(A440)))))</f>
        <v/>
      </c>
    </row>
    <row r="441" customFormat="false" ht="15" hidden="false" customHeight="false" outlineLevel="0" collapsed="false">
      <c r="H441" s="0" t="str">
        <f aca="false">IF(B441="","",IF(COUNTIF(Campaigns!$A$7:$A$300,B441)&gt;0,"✓","⚠ add to Campaigns tab"))</f>
        <v/>
      </c>
      <c r="I441" s="84" t="str">
        <f aca="false">IF(C441="","",C441*IF(Settings!$B$24=Settings!$C$6,1,IF(Settings!$B$24="USD",1/INDEX(Settings!$B$29:$B$40,MONTH(A441)),INDEX(Settings!$B$29:$B$40,MONTH(A441)))))</f>
        <v/>
      </c>
    </row>
    <row r="442" customFormat="false" ht="15" hidden="false" customHeight="false" outlineLevel="0" collapsed="false">
      <c r="H442" s="0" t="str">
        <f aca="false">IF(B442="","",IF(COUNTIF(Campaigns!$A$7:$A$300,B442)&gt;0,"✓","⚠ add to Campaigns tab"))</f>
        <v/>
      </c>
      <c r="I442" s="84" t="str">
        <f aca="false">IF(C442="","",C442*IF(Settings!$B$24=Settings!$C$6,1,IF(Settings!$B$24="USD",1/INDEX(Settings!$B$29:$B$40,MONTH(A442)),INDEX(Settings!$B$29:$B$40,MONTH(A442)))))</f>
        <v/>
      </c>
    </row>
    <row r="443" customFormat="false" ht="15" hidden="false" customHeight="false" outlineLevel="0" collapsed="false">
      <c r="H443" s="0" t="str">
        <f aca="false">IF(B443="","",IF(COUNTIF(Campaigns!$A$7:$A$300,B443)&gt;0,"✓","⚠ add to Campaigns tab"))</f>
        <v/>
      </c>
      <c r="I443" s="84" t="str">
        <f aca="false">IF(C443="","",C443*IF(Settings!$B$24=Settings!$C$6,1,IF(Settings!$B$24="USD",1/INDEX(Settings!$B$29:$B$40,MONTH(A443)),INDEX(Settings!$B$29:$B$40,MONTH(A443)))))</f>
        <v/>
      </c>
    </row>
    <row r="444" customFormat="false" ht="15" hidden="false" customHeight="false" outlineLevel="0" collapsed="false">
      <c r="H444" s="0" t="str">
        <f aca="false">IF(B444="","",IF(COUNTIF(Campaigns!$A$7:$A$300,B444)&gt;0,"✓","⚠ add to Campaigns tab"))</f>
        <v/>
      </c>
      <c r="I444" s="84" t="str">
        <f aca="false">IF(C444="","",C444*IF(Settings!$B$24=Settings!$C$6,1,IF(Settings!$B$24="USD",1/INDEX(Settings!$B$29:$B$40,MONTH(A444)),INDEX(Settings!$B$29:$B$40,MONTH(A444)))))</f>
        <v/>
      </c>
    </row>
    <row r="445" customFormat="false" ht="15" hidden="false" customHeight="false" outlineLevel="0" collapsed="false">
      <c r="H445" s="0" t="str">
        <f aca="false">IF(B445="","",IF(COUNTIF(Campaigns!$A$7:$A$300,B445)&gt;0,"✓","⚠ add to Campaigns tab"))</f>
        <v/>
      </c>
      <c r="I445" s="84" t="str">
        <f aca="false">IF(C445="","",C445*IF(Settings!$B$24=Settings!$C$6,1,IF(Settings!$B$24="USD",1/INDEX(Settings!$B$29:$B$40,MONTH(A445)),INDEX(Settings!$B$29:$B$40,MONTH(A445)))))</f>
        <v/>
      </c>
    </row>
    <row r="446" customFormat="false" ht="15" hidden="false" customHeight="false" outlineLevel="0" collapsed="false">
      <c r="H446" s="0" t="str">
        <f aca="false">IF(B446="","",IF(COUNTIF(Campaigns!$A$7:$A$300,B446)&gt;0,"✓","⚠ add to Campaigns tab"))</f>
        <v/>
      </c>
      <c r="I446" s="84" t="str">
        <f aca="false">IF(C446="","",C446*IF(Settings!$B$24=Settings!$C$6,1,IF(Settings!$B$24="USD",1/INDEX(Settings!$B$29:$B$40,MONTH(A446)),INDEX(Settings!$B$29:$B$40,MONTH(A446)))))</f>
        <v/>
      </c>
    </row>
    <row r="447" customFormat="false" ht="15" hidden="false" customHeight="false" outlineLevel="0" collapsed="false">
      <c r="H447" s="0" t="str">
        <f aca="false">IF(B447="","",IF(COUNTIF(Campaigns!$A$7:$A$300,B447)&gt;0,"✓","⚠ add to Campaigns tab"))</f>
        <v/>
      </c>
      <c r="I447" s="84" t="str">
        <f aca="false">IF(C447="","",C447*IF(Settings!$B$24=Settings!$C$6,1,IF(Settings!$B$24="USD",1/INDEX(Settings!$B$29:$B$40,MONTH(A447)),INDEX(Settings!$B$29:$B$40,MONTH(A447)))))</f>
        <v/>
      </c>
    </row>
    <row r="448" customFormat="false" ht="15" hidden="false" customHeight="false" outlineLevel="0" collapsed="false">
      <c r="H448" s="0" t="str">
        <f aca="false">IF(B448="","",IF(COUNTIF(Campaigns!$A$7:$A$300,B448)&gt;0,"✓","⚠ add to Campaigns tab"))</f>
        <v/>
      </c>
      <c r="I448" s="84" t="str">
        <f aca="false">IF(C448="","",C448*IF(Settings!$B$24=Settings!$C$6,1,IF(Settings!$B$24="USD",1/INDEX(Settings!$B$29:$B$40,MONTH(A448)),INDEX(Settings!$B$29:$B$40,MONTH(A448)))))</f>
        <v/>
      </c>
    </row>
    <row r="449" customFormat="false" ht="15" hidden="false" customHeight="false" outlineLevel="0" collapsed="false">
      <c r="H449" s="0" t="str">
        <f aca="false">IF(B449="","",IF(COUNTIF(Campaigns!$A$7:$A$300,B449)&gt;0,"✓","⚠ add to Campaigns tab"))</f>
        <v/>
      </c>
      <c r="I449" s="84" t="str">
        <f aca="false">IF(C449="","",C449*IF(Settings!$B$24=Settings!$C$6,1,IF(Settings!$B$24="USD",1/INDEX(Settings!$B$29:$B$40,MONTH(A449)),INDEX(Settings!$B$29:$B$40,MONTH(A449)))))</f>
        <v/>
      </c>
    </row>
    <row r="450" customFormat="false" ht="15" hidden="false" customHeight="false" outlineLevel="0" collapsed="false">
      <c r="H450" s="0" t="str">
        <f aca="false">IF(B450="","",IF(COUNTIF(Campaigns!$A$7:$A$300,B450)&gt;0,"✓","⚠ add to Campaigns tab"))</f>
        <v/>
      </c>
      <c r="I450" s="84" t="str">
        <f aca="false">IF(C450="","",C450*IF(Settings!$B$24=Settings!$C$6,1,IF(Settings!$B$24="USD",1/INDEX(Settings!$B$29:$B$40,MONTH(A450)),INDEX(Settings!$B$29:$B$40,MONTH(A450)))))</f>
        <v/>
      </c>
    </row>
    <row r="451" customFormat="false" ht="15" hidden="false" customHeight="false" outlineLevel="0" collapsed="false">
      <c r="H451" s="0" t="str">
        <f aca="false">IF(B451="","",IF(COUNTIF(Campaigns!$A$7:$A$300,B451)&gt;0,"✓","⚠ add to Campaigns tab"))</f>
        <v/>
      </c>
      <c r="I451" s="84" t="str">
        <f aca="false">IF(C451="","",C451*IF(Settings!$B$24=Settings!$C$6,1,IF(Settings!$B$24="USD",1/INDEX(Settings!$B$29:$B$40,MONTH(A451)),INDEX(Settings!$B$29:$B$40,MONTH(A451)))))</f>
        <v/>
      </c>
    </row>
    <row r="452" customFormat="false" ht="15" hidden="false" customHeight="false" outlineLevel="0" collapsed="false">
      <c r="H452" s="0" t="str">
        <f aca="false">IF(B452="","",IF(COUNTIF(Campaigns!$A$7:$A$300,B452)&gt;0,"✓","⚠ add to Campaigns tab"))</f>
        <v/>
      </c>
      <c r="I452" s="84" t="str">
        <f aca="false">IF(C452="","",C452*IF(Settings!$B$24=Settings!$C$6,1,IF(Settings!$B$24="USD",1/INDEX(Settings!$B$29:$B$40,MONTH(A452)),INDEX(Settings!$B$29:$B$40,MONTH(A452)))))</f>
        <v/>
      </c>
    </row>
    <row r="453" customFormat="false" ht="15" hidden="false" customHeight="false" outlineLevel="0" collapsed="false">
      <c r="H453" s="0" t="str">
        <f aca="false">IF(B453="","",IF(COUNTIF(Campaigns!$A$7:$A$300,B453)&gt;0,"✓","⚠ add to Campaigns tab"))</f>
        <v/>
      </c>
      <c r="I453" s="84" t="str">
        <f aca="false">IF(C453="","",C453*IF(Settings!$B$24=Settings!$C$6,1,IF(Settings!$B$24="USD",1/INDEX(Settings!$B$29:$B$40,MONTH(A453)),INDEX(Settings!$B$29:$B$40,MONTH(A453)))))</f>
        <v/>
      </c>
    </row>
    <row r="454" customFormat="false" ht="15" hidden="false" customHeight="false" outlineLevel="0" collapsed="false">
      <c r="H454" s="0" t="str">
        <f aca="false">IF(B454="","",IF(COUNTIF(Campaigns!$A$7:$A$300,B454)&gt;0,"✓","⚠ add to Campaigns tab"))</f>
        <v/>
      </c>
      <c r="I454" s="84" t="str">
        <f aca="false">IF(C454="","",C454*IF(Settings!$B$24=Settings!$C$6,1,IF(Settings!$B$24="USD",1/INDEX(Settings!$B$29:$B$40,MONTH(A454)),INDEX(Settings!$B$29:$B$40,MONTH(A454)))))</f>
        <v/>
      </c>
    </row>
    <row r="455" customFormat="false" ht="15" hidden="false" customHeight="false" outlineLevel="0" collapsed="false">
      <c r="H455" s="0" t="str">
        <f aca="false">IF(B455="","",IF(COUNTIF(Campaigns!$A$7:$A$300,B455)&gt;0,"✓","⚠ add to Campaigns tab"))</f>
        <v/>
      </c>
      <c r="I455" s="84" t="str">
        <f aca="false">IF(C455="","",C455*IF(Settings!$B$24=Settings!$C$6,1,IF(Settings!$B$24="USD",1/INDEX(Settings!$B$29:$B$40,MONTH(A455)),INDEX(Settings!$B$29:$B$40,MONTH(A455)))))</f>
        <v/>
      </c>
    </row>
    <row r="456" customFormat="false" ht="15" hidden="false" customHeight="false" outlineLevel="0" collapsed="false">
      <c r="H456" s="0" t="str">
        <f aca="false">IF(B456="","",IF(COUNTIF(Campaigns!$A$7:$A$300,B456)&gt;0,"✓","⚠ add to Campaigns tab"))</f>
        <v/>
      </c>
      <c r="I456" s="84" t="str">
        <f aca="false">IF(C456="","",C456*IF(Settings!$B$24=Settings!$C$6,1,IF(Settings!$B$24="USD",1/INDEX(Settings!$B$29:$B$40,MONTH(A456)),INDEX(Settings!$B$29:$B$40,MONTH(A456)))))</f>
        <v/>
      </c>
    </row>
    <row r="457" customFormat="false" ht="15" hidden="false" customHeight="false" outlineLevel="0" collapsed="false">
      <c r="H457" s="0" t="str">
        <f aca="false">IF(B457="","",IF(COUNTIF(Campaigns!$A$7:$A$300,B457)&gt;0,"✓","⚠ add to Campaigns tab"))</f>
        <v/>
      </c>
      <c r="I457" s="84" t="str">
        <f aca="false">IF(C457="","",C457*IF(Settings!$B$24=Settings!$C$6,1,IF(Settings!$B$24="USD",1/INDEX(Settings!$B$29:$B$40,MONTH(A457)),INDEX(Settings!$B$29:$B$40,MONTH(A457)))))</f>
        <v/>
      </c>
    </row>
    <row r="458" customFormat="false" ht="15" hidden="false" customHeight="false" outlineLevel="0" collapsed="false">
      <c r="H458" s="0" t="str">
        <f aca="false">IF(B458="","",IF(COUNTIF(Campaigns!$A$7:$A$300,B458)&gt;0,"✓","⚠ add to Campaigns tab"))</f>
        <v/>
      </c>
      <c r="I458" s="84" t="str">
        <f aca="false">IF(C458="","",C458*IF(Settings!$B$24=Settings!$C$6,1,IF(Settings!$B$24="USD",1/INDEX(Settings!$B$29:$B$40,MONTH(A458)),INDEX(Settings!$B$29:$B$40,MONTH(A458)))))</f>
        <v/>
      </c>
    </row>
    <row r="459" customFormat="false" ht="15" hidden="false" customHeight="false" outlineLevel="0" collapsed="false">
      <c r="H459" s="0" t="str">
        <f aca="false">IF(B459="","",IF(COUNTIF(Campaigns!$A$7:$A$300,B459)&gt;0,"✓","⚠ add to Campaigns tab"))</f>
        <v/>
      </c>
      <c r="I459" s="84" t="str">
        <f aca="false">IF(C459="","",C459*IF(Settings!$B$24=Settings!$C$6,1,IF(Settings!$B$24="USD",1/INDEX(Settings!$B$29:$B$40,MONTH(A459)),INDEX(Settings!$B$29:$B$40,MONTH(A459)))))</f>
        <v/>
      </c>
    </row>
    <row r="460" customFormat="false" ht="15" hidden="false" customHeight="false" outlineLevel="0" collapsed="false">
      <c r="H460" s="0" t="str">
        <f aca="false">IF(B460="","",IF(COUNTIF(Campaigns!$A$7:$A$300,B460)&gt;0,"✓","⚠ add to Campaigns tab"))</f>
        <v/>
      </c>
      <c r="I460" s="84" t="str">
        <f aca="false">IF(C460="","",C460*IF(Settings!$B$24=Settings!$C$6,1,IF(Settings!$B$24="USD",1/INDEX(Settings!$B$29:$B$40,MONTH(A460)),INDEX(Settings!$B$29:$B$40,MONTH(A460)))))</f>
        <v/>
      </c>
    </row>
    <row r="461" customFormat="false" ht="15" hidden="false" customHeight="false" outlineLevel="0" collapsed="false">
      <c r="H461" s="0" t="str">
        <f aca="false">IF(B461="","",IF(COUNTIF(Campaigns!$A$7:$A$300,B461)&gt;0,"✓","⚠ add to Campaigns tab"))</f>
        <v/>
      </c>
      <c r="I461" s="84" t="str">
        <f aca="false">IF(C461="","",C461*IF(Settings!$B$24=Settings!$C$6,1,IF(Settings!$B$24="USD",1/INDEX(Settings!$B$29:$B$40,MONTH(A461)),INDEX(Settings!$B$29:$B$40,MONTH(A461)))))</f>
        <v/>
      </c>
    </row>
    <row r="462" customFormat="false" ht="15" hidden="false" customHeight="false" outlineLevel="0" collapsed="false">
      <c r="H462" s="0" t="str">
        <f aca="false">IF(B462="","",IF(COUNTIF(Campaigns!$A$7:$A$300,B462)&gt;0,"✓","⚠ add to Campaigns tab"))</f>
        <v/>
      </c>
      <c r="I462" s="84" t="str">
        <f aca="false">IF(C462="","",C462*IF(Settings!$B$24=Settings!$C$6,1,IF(Settings!$B$24="USD",1/INDEX(Settings!$B$29:$B$40,MONTH(A462)),INDEX(Settings!$B$29:$B$40,MONTH(A462)))))</f>
        <v/>
      </c>
    </row>
    <row r="463" customFormat="false" ht="15" hidden="false" customHeight="false" outlineLevel="0" collapsed="false">
      <c r="H463" s="0" t="str">
        <f aca="false">IF(B463="","",IF(COUNTIF(Campaigns!$A$7:$A$300,B463)&gt;0,"✓","⚠ add to Campaigns tab"))</f>
        <v/>
      </c>
      <c r="I463" s="84" t="str">
        <f aca="false">IF(C463="","",C463*IF(Settings!$B$24=Settings!$C$6,1,IF(Settings!$B$24="USD",1/INDEX(Settings!$B$29:$B$40,MONTH(A463)),INDEX(Settings!$B$29:$B$40,MONTH(A463)))))</f>
        <v/>
      </c>
    </row>
    <row r="464" customFormat="false" ht="15" hidden="false" customHeight="false" outlineLevel="0" collapsed="false">
      <c r="H464" s="0" t="str">
        <f aca="false">IF(B464="","",IF(COUNTIF(Campaigns!$A$7:$A$300,B464)&gt;0,"✓","⚠ add to Campaigns tab"))</f>
        <v/>
      </c>
      <c r="I464" s="84" t="str">
        <f aca="false">IF(C464="","",C464*IF(Settings!$B$24=Settings!$C$6,1,IF(Settings!$B$24="USD",1/INDEX(Settings!$B$29:$B$40,MONTH(A464)),INDEX(Settings!$B$29:$B$40,MONTH(A464)))))</f>
        <v/>
      </c>
    </row>
    <row r="465" customFormat="false" ht="15" hidden="false" customHeight="false" outlineLevel="0" collapsed="false">
      <c r="H465" s="0" t="str">
        <f aca="false">IF(B465="","",IF(COUNTIF(Campaigns!$A$7:$A$300,B465)&gt;0,"✓","⚠ add to Campaigns tab"))</f>
        <v/>
      </c>
      <c r="I465" s="84" t="str">
        <f aca="false">IF(C465="","",C465*IF(Settings!$B$24=Settings!$C$6,1,IF(Settings!$B$24="USD",1/INDEX(Settings!$B$29:$B$40,MONTH(A465)),INDEX(Settings!$B$29:$B$40,MONTH(A465)))))</f>
        <v/>
      </c>
    </row>
    <row r="466" customFormat="false" ht="15" hidden="false" customHeight="false" outlineLevel="0" collapsed="false">
      <c r="H466" s="0" t="str">
        <f aca="false">IF(B466="","",IF(COUNTIF(Campaigns!$A$7:$A$300,B466)&gt;0,"✓","⚠ add to Campaigns tab"))</f>
        <v/>
      </c>
      <c r="I466" s="84" t="str">
        <f aca="false">IF(C466="","",C466*IF(Settings!$B$24=Settings!$C$6,1,IF(Settings!$B$24="USD",1/INDEX(Settings!$B$29:$B$40,MONTH(A466)),INDEX(Settings!$B$29:$B$40,MONTH(A466)))))</f>
        <v/>
      </c>
    </row>
    <row r="467" customFormat="false" ht="15" hidden="false" customHeight="false" outlineLevel="0" collapsed="false">
      <c r="H467" s="0" t="str">
        <f aca="false">IF(B467="","",IF(COUNTIF(Campaigns!$A$7:$A$300,B467)&gt;0,"✓","⚠ add to Campaigns tab"))</f>
        <v/>
      </c>
      <c r="I467" s="84" t="str">
        <f aca="false">IF(C467="","",C467*IF(Settings!$B$24=Settings!$C$6,1,IF(Settings!$B$24="USD",1/INDEX(Settings!$B$29:$B$40,MONTH(A467)),INDEX(Settings!$B$29:$B$40,MONTH(A467)))))</f>
        <v/>
      </c>
    </row>
    <row r="468" customFormat="false" ht="15" hidden="false" customHeight="false" outlineLevel="0" collapsed="false">
      <c r="H468" s="0" t="str">
        <f aca="false">IF(B468="","",IF(COUNTIF(Campaigns!$A$7:$A$300,B468)&gt;0,"✓","⚠ add to Campaigns tab"))</f>
        <v/>
      </c>
      <c r="I468" s="84" t="str">
        <f aca="false">IF(C468="","",C468*IF(Settings!$B$24=Settings!$C$6,1,IF(Settings!$B$24="USD",1/INDEX(Settings!$B$29:$B$40,MONTH(A468)),INDEX(Settings!$B$29:$B$40,MONTH(A468)))))</f>
        <v/>
      </c>
    </row>
    <row r="469" customFormat="false" ht="15" hidden="false" customHeight="false" outlineLevel="0" collapsed="false">
      <c r="H469" s="0" t="str">
        <f aca="false">IF(B469="","",IF(COUNTIF(Campaigns!$A$7:$A$300,B469)&gt;0,"✓","⚠ add to Campaigns tab"))</f>
        <v/>
      </c>
      <c r="I469" s="84" t="str">
        <f aca="false">IF(C469="","",C469*IF(Settings!$B$24=Settings!$C$6,1,IF(Settings!$B$24="USD",1/INDEX(Settings!$B$29:$B$40,MONTH(A469)),INDEX(Settings!$B$29:$B$40,MONTH(A469)))))</f>
        <v/>
      </c>
    </row>
    <row r="470" customFormat="false" ht="15" hidden="false" customHeight="false" outlineLevel="0" collapsed="false">
      <c r="H470" s="0" t="str">
        <f aca="false">IF(B470="","",IF(COUNTIF(Campaigns!$A$7:$A$300,B470)&gt;0,"✓","⚠ add to Campaigns tab"))</f>
        <v/>
      </c>
      <c r="I470" s="84" t="str">
        <f aca="false">IF(C470="","",C470*IF(Settings!$B$24=Settings!$C$6,1,IF(Settings!$B$24="USD",1/INDEX(Settings!$B$29:$B$40,MONTH(A470)),INDEX(Settings!$B$29:$B$40,MONTH(A470)))))</f>
        <v/>
      </c>
    </row>
    <row r="471" customFormat="false" ht="15" hidden="false" customHeight="false" outlineLevel="0" collapsed="false">
      <c r="H471" s="0" t="str">
        <f aca="false">IF(B471="","",IF(COUNTIF(Campaigns!$A$7:$A$300,B471)&gt;0,"✓","⚠ add to Campaigns tab"))</f>
        <v/>
      </c>
      <c r="I471" s="84" t="str">
        <f aca="false">IF(C471="","",C471*IF(Settings!$B$24=Settings!$C$6,1,IF(Settings!$B$24="USD",1/INDEX(Settings!$B$29:$B$40,MONTH(A471)),INDEX(Settings!$B$29:$B$40,MONTH(A471)))))</f>
        <v/>
      </c>
    </row>
    <row r="472" customFormat="false" ht="15" hidden="false" customHeight="false" outlineLevel="0" collapsed="false">
      <c r="H472" s="0" t="str">
        <f aca="false">IF(B472="","",IF(COUNTIF(Campaigns!$A$7:$A$300,B472)&gt;0,"✓","⚠ add to Campaigns tab"))</f>
        <v/>
      </c>
      <c r="I472" s="84" t="str">
        <f aca="false">IF(C472="","",C472*IF(Settings!$B$24=Settings!$C$6,1,IF(Settings!$B$24="USD",1/INDEX(Settings!$B$29:$B$40,MONTH(A472)),INDEX(Settings!$B$29:$B$40,MONTH(A472)))))</f>
        <v/>
      </c>
    </row>
    <row r="473" customFormat="false" ht="15" hidden="false" customHeight="false" outlineLevel="0" collapsed="false">
      <c r="H473" s="0" t="str">
        <f aca="false">IF(B473="","",IF(COUNTIF(Campaigns!$A$7:$A$300,B473)&gt;0,"✓","⚠ add to Campaigns tab"))</f>
        <v/>
      </c>
      <c r="I473" s="84" t="str">
        <f aca="false">IF(C473="","",C473*IF(Settings!$B$24=Settings!$C$6,1,IF(Settings!$B$24="USD",1/INDEX(Settings!$B$29:$B$40,MONTH(A473)),INDEX(Settings!$B$29:$B$40,MONTH(A473)))))</f>
        <v/>
      </c>
    </row>
    <row r="474" customFormat="false" ht="15" hidden="false" customHeight="false" outlineLevel="0" collapsed="false">
      <c r="H474" s="0" t="str">
        <f aca="false">IF(B474="","",IF(COUNTIF(Campaigns!$A$7:$A$300,B474)&gt;0,"✓","⚠ add to Campaigns tab"))</f>
        <v/>
      </c>
      <c r="I474" s="84" t="str">
        <f aca="false">IF(C474="","",C474*IF(Settings!$B$24=Settings!$C$6,1,IF(Settings!$B$24="USD",1/INDEX(Settings!$B$29:$B$40,MONTH(A474)),INDEX(Settings!$B$29:$B$40,MONTH(A474)))))</f>
        <v/>
      </c>
    </row>
    <row r="475" customFormat="false" ht="15" hidden="false" customHeight="false" outlineLevel="0" collapsed="false">
      <c r="H475" s="0" t="str">
        <f aca="false">IF(B475="","",IF(COUNTIF(Campaigns!$A$7:$A$300,B475)&gt;0,"✓","⚠ add to Campaigns tab"))</f>
        <v/>
      </c>
      <c r="I475" s="84" t="str">
        <f aca="false">IF(C475="","",C475*IF(Settings!$B$24=Settings!$C$6,1,IF(Settings!$B$24="USD",1/INDEX(Settings!$B$29:$B$40,MONTH(A475)),INDEX(Settings!$B$29:$B$40,MONTH(A475)))))</f>
        <v/>
      </c>
    </row>
    <row r="476" customFormat="false" ht="15" hidden="false" customHeight="false" outlineLevel="0" collapsed="false">
      <c r="H476" s="0" t="str">
        <f aca="false">IF(B476="","",IF(COUNTIF(Campaigns!$A$7:$A$300,B476)&gt;0,"✓","⚠ add to Campaigns tab"))</f>
        <v/>
      </c>
      <c r="I476" s="84" t="str">
        <f aca="false">IF(C476="","",C476*IF(Settings!$B$24=Settings!$C$6,1,IF(Settings!$B$24="USD",1/INDEX(Settings!$B$29:$B$40,MONTH(A476)),INDEX(Settings!$B$29:$B$40,MONTH(A476)))))</f>
        <v/>
      </c>
    </row>
    <row r="477" customFormat="false" ht="15" hidden="false" customHeight="false" outlineLevel="0" collapsed="false">
      <c r="H477" s="0" t="str">
        <f aca="false">IF(B477="","",IF(COUNTIF(Campaigns!$A$7:$A$300,B477)&gt;0,"✓","⚠ add to Campaigns tab"))</f>
        <v/>
      </c>
      <c r="I477" s="84" t="str">
        <f aca="false">IF(C477="","",C477*IF(Settings!$B$24=Settings!$C$6,1,IF(Settings!$B$24="USD",1/INDEX(Settings!$B$29:$B$40,MONTH(A477)),INDEX(Settings!$B$29:$B$40,MONTH(A477)))))</f>
        <v/>
      </c>
    </row>
    <row r="478" customFormat="false" ht="15" hidden="false" customHeight="false" outlineLevel="0" collapsed="false">
      <c r="H478" s="0" t="str">
        <f aca="false">IF(B478="","",IF(COUNTIF(Campaigns!$A$7:$A$300,B478)&gt;0,"✓","⚠ add to Campaigns tab"))</f>
        <v/>
      </c>
      <c r="I478" s="84" t="str">
        <f aca="false">IF(C478="","",C478*IF(Settings!$B$24=Settings!$C$6,1,IF(Settings!$B$24="USD",1/INDEX(Settings!$B$29:$B$40,MONTH(A478)),INDEX(Settings!$B$29:$B$40,MONTH(A478)))))</f>
        <v/>
      </c>
    </row>
    <row r="479" customFormat="false" ht="15" hidden="false" customHeight="false" outlineLevel="0" collapsed="false">
      <c r="H479" s="0" t="str">
        <f aca="false">IF(B479="","",IF(COUNTIF(Campaigns!$A$7:$A$300,B479)&gt;0,"✓","⚠ add to Campaigns tab"))</f>
        <v/>
      </c>
      <c r="I479" s="84" t="str">
        <f aca="false">IF(C479="","",C479*IF(Settings!$B$24=Settings!$C$6,1,IF(Settings!$B$24="USD",1/INDEX(Settings!$B$29:$B$40,MONTH(A479)),INDEX(Settings!$B$29:$B$40,MONTH(A479)))))</f>
        <v/>
      </c>
    </row>
    <row r="480" customFormat="false" ht="15" hidden="false" customHeight="false" outlineLevel="0" collapsed="false">
      <c r="H480" s="0" t="str">
        <f aca="false">IF(B480="","",IF(COUNTIF(Campaigns!$A$7:$A$300,B480)&gt;0,"✓","⚠ add to Campaigns tab"))</f>
        <v/>
      </c>
      <c r="I480" s="84" t="str">
        <f aca="false">IF(C480="","",C480*IF(Settings!$B$24=Settings!$C$6,1,IF(Settings!$B$24="USD",1/INDEX(Settings!$B$29:$B$40,MONTH(A480)),INDEX(Settings!$B$29:$B$40,MONTH(A480)))))</f>
        <v/>
      </c>
    </row>
    <row r="481" customFormat="false" ht="15" hidden="false" customHeight="false" outlineLevel="0" collapsed="false">
      <c r="H481" s="0" t="str">
        <f aca="false">IF(B481="","",IF(COUNTIF(Campaigns!$A$7:$A$300,B481)&gt;0,"✓","⚠ add to Campaigns tab"))</f>
        <v/>
      </c>
      <c r="I481" s="84" t="str">
        <f aca="false">IF(C481="","",C481*IF(Settings!$B$24=Settings!$C$6,1,IF(Settings!$B$24="USD",1/INDEX(Settings!$B$29:$B$40,MONTH(A481)),INDEX(Settings!$B$29:$B$40,MONTH(A481)))))</f>
        <v/>
      </c>
    </row>
    <row r="482" customFormat="false" ht="15" hidden="false" customHeight="false" outlineLevel="0" collapsed="false">
      <c r="H482" s="0" t="str">
        <f aca="false">IF(B482="","",IF(COUNTIF(Campaigns!$A$7:$A$300,B482)&gt;0,"✓","⚠ add to Campaigns tab"))</f>
        <v/>
      </c>
      <c r="I482" s="84" t="str">
        <f aca="false">IF(C482="","",C482*IF(Settings!$B$24=Settings!$C$6,1,IF(Settings!$B$24="USD",1/INDEX(Settings!$B$29:$B$40,MONTH(A482)),INDEX(Settings!$B$29:$B$40,MONTH(A482)))))</f>
        <v/>
      </c>
    </row>
    <row r="483" customFormat="false" ht="15" hidden="false" customHeight="false" outlineLevel="0" collapsed="false">
      <c r="H483" s="0" t="str">
        <f aca="false">IF(B483="","",IF(COUNTIF(Campaigns!$A$7:$A$300,B483)&gt;0,"✓","⚠ add to Campaigns tab"))</f>
        <v/>
      </c>
      <c r="I483" s="84" t="str">
        <f aca="false">IF(C483="","",C483*IF(Settings!$B$24=Settings!$C$6,1,IF(Settings!$B$24="USD",1/INDEX(Settings!$B$29:$B$40,MONTH(A483)),INDEX(Settings!$B$29:$B$40,MONTH(A483)))))</f>
        <v/>
      </c>
    </row>
    <row r="484" customFormat="false" ht="15" hidden="false" customHeight="false" outlineLevel="0" collapsed="false">
      <c r="H484" s="0" t="str">
        <f aca="false">IF(B484="","",IF(COUNTIF(Campaigns!$A$7:$A$300,B484)&gt;0,"✓","⚠ add to Campaigns tab"))</f>
        <v/>
      </c>
      <c r="I484" s="84" t="str">
        <f aca="false">IF(C484="","",C484*IF(Settings!$B$24=Settings!$C$6,1,IF(Settings!$B$24="USD",1/INDEX(Settings!$B$29:$B$40,MONTH(A484)),INDEX(Settings!$B$29:$B$40,MONTH(A484)))))</f>
        <v/>
      </c>
    </row>
    <row r="485" customFormat="false" ht="15" hidden="false" customHeight="false" outlineLevel="0" collapsed="false">
      <c r="H485" s="0" t="str">
        <f aca="false">IF(B485="","",IF(COUNTIF(Campaigns!$A$7:$A$300,B485)&gt;0,"✓","⚠ add to Campaigns tab"))</f>
        <v/>
      </c>
      <c r="I485" s="84" t="str">
        <f aca="false">IF(C485="","",C485*IF(Settings!$B$24=Settings!$C$6,1,IF(Settings!$B$24="USD",1/INDEX(Settings!$B$29:$B$40,MONTH(A485)),INDEX(Settings!$B$29:$B$40,MONTH(A485)))))</f>
        <v/>
      </c>
    </row>
    <row r="486" customFormat="false" ht="15" hidden="false" customHeight="false" outlineLevel="0" collapsed="false">
      <c r="H486" s="0" t="str">
        <f aca="false">IF(B486="","",IF(COUNTIF(Campaigns!$A$7:$A$300,B486)&gt;0,"✓","⚠ add to Campaigns tab"))</f>
        <v/>
      </c>
      <c r="I486" s="84" t="str">
        <f aca="false">IF(C486="","",C486*IF(Settings!$B$24=Settings!$C$6,1,IF(Settings!$B$24="USD",1/INDEX(Settings!$B$29:$B$40,MONTH(A486)),INDEX(Settings!$B$29:$B$40,MONTH(A486)))))</f>
        <v/>
      </c>
    </row>
    <row r="487" customFormat="false" ht="15" hidden="false" customHeight="false" outlineLevel="0" collapsed="false">
      <c r="H487" s="0" t="str">
        <f aca="false">IF(B487="","",IF(COUNTIF(Campaigns!$A$7:$A$300,B487)&gt;0,"✓","⚠ add to Campaigns tab"))</f>
        <v/>
      </c>
      <c r="I487" s="84" t="str">
        <f aca="false">IF(C487="","",C487*IF(Settings!$B$24=Settings!$C$6,1,IF(Settings!$B$24="USD",1/INDEX(Settings!$B$29:$B$40,MONTH(A487)),INDEX(Settings!$B$29:$B$40,MONTH(A487)))))</f>
        <v/>
      </c>
    </row>
    <row r="488" customFormat="false" ht="15" hidden="false" customHeight="false" outlineLevel="0" collapsed="false">
      <c r="H488" s="0" t="str">
        <f aca="false">IF(B488="","",IF(COUNTIF(Campaigns!$A$7:$A$300,B488)&gt;0,"✓","⚠ add to Campaigns tab"))</f>
        <v/>
      </c>
      <c r="I488" s="84" t="str">
        <f aca="false">IF(C488="","",C488*IF(Settings!$B$24=Settings!$C$6,1,IF(Settings!$B$24="USD",1/INDEX(Settings!$B$29:$B$40,MONTH(A488)),INDEX(Settings!$B$29:$B$40,MONTH(A488)))))</f>
        <v/>
      </c>
    </row>
    <row r="489" customFormat="false" ht="15" hidden="false" customHeight="false" outlineLevel="0" collapsed="false">
      <c r="H489" s="0" t="str">
        <f aca="false">IF(B489="","",IF(COUNTIF(Campaigns!$A$7:$A$300,B489)&gt;0,"✓","⚠ add to Campaigns tab"))</f>
        <v/>
      </c>
      <c r="I489" s="84" t="str">
        <f aca="false">IF(C489="","",C489*IF(Settings!$B$24=Settings!$C$6,1,IF(Settings!$B$24="USD",1/INDEX(Settings!$B$29:$B$40,MONTH(A489)),INDEX(Settings!$B$29:$B$40,MONTH(A489)))))</f>
        <v/>
      </c>
    </row>
    <row r="490" customFormat="false" ht="15" hidden="false" customHeight="false" outlineLevel="0" collapsed="false">
      <c r="H490" s="0" t="str">
        <f aca="false">IF(B490="","",IF(COUNTIF(Campaigns!$A$7:$A$300,B490)&gt;0,"✓","⚠ add to Campaigns tab"))</f>
        <v/>
      </c>
      <c r="I490" s="84" t="str">
        <f aca="false">IF(C490="","",C490*IF(Settings!$B$24=Settings!$C$6,1,IF(Settings!$B$24="USD",1/INDEX(Settings!$B$29:$B$40,MONTH(A490)),INDEX(Settings!$B$29:$B$40,MONTH(A490)))))</f>
        <v/>
      </c>
    </row>
    <row r="491" customFormat="false" ht="15" hidden="false" customHeight="false" outlineLevel="0" collapsed="false">
      <c r="H491" s="0" t="str">
        <f aca="false">IF(B491="","",IF(COUNTIF(Campaigns!$A$7:$A$300,B491)&gt;0,"✓","⚠ add to Campaigns tab"))</f>
        <v/>
      </c>
      <c r="I491" s="84" t="str">
        <f aca="false">IF(C491="","",C491*IF(Settings!$B$24=Settings!$C$6,1,IF(Settings!$B$24="USD",1/INDEX(Settings!$B$29:$B$40,MONTH(A491)),INDEX(Settings!$B$29:$B$40,MONTH(A491)))))</f>
        <v/>
      </c>
    </row>
    <row r="492" customFormat="false" ht="15" hidden="false" customHeight="false" outlineLevel="0" collapsed="false">
      <c r="H492" s="0" t="str">
        <f aca="false">IF(B492="","",IF(COUNTIF(Campaigns!$A$7:$A$300,B492)&gt;0,"✓","⚠ add to Campaigns tab"))</f>
        <v/>
      </c>
      <c r="I492" s="84" t="str">
        <f aca="false">IF(C492="","",C492*IF(Settings!$B$24=Settings!$C$6,1,IF(Settings!$B$24="USD",1/INDEX(Settings!$B$29:$B$40,MONTH(A492)),INDEX(Settings!$B$29:$B$40,MONTH(A492)))))</f>
        <v/>
      </c>
    </row>
    <row r="493" customFormat="false" ht="15" hidden="false" customHeight="false" outlineLevel="0" collapsed="false">
      <c r="H493" s="0" t="str">
        <f aca="false">IF(B493="","",IF(COUNTIF(Campaigns!$A$7:$A$300,B493)&gt;0,"✓","⚠ add to Campaigns tab"))</f>
        <v/>
      </c>
      <c r="I493" s="84" t="str">
        <f aca="false">IF(C493="","",C493*IF(Settings!$B$24=Settings!$C$6,1,IF(Settings!$B$24="USD",1/INDEX(Settings!$B$29:$B$40,MONTH(A493)),INDEX(Settings!$B$29:$B$40,MONTH(A493)))))</f>
        <v/>
      </c>
    </row>
    <row r="494" customFormat="false" ht="15" hidden="false" customHeight="false" outlineLevel="0" collapsed="false">
      <c r="H494" s="0" t="str">
        <f aca="false">IF(B494="","",IF(COUNTIF(Campaigns!$A$7:$A$300,B494)&gt;0,"✓","⚠ add to Campaigns tab"))</f>
        <v/>
      </c>
      <c r="I494" s="84" t="str">
        <f aca="false">IF(C494="","",C494*IF(Settings!$B$24=Settings!$C$6,1,IF(Settings!$B$24="USD",1/INDEX(Settings!$B$29:$B$40,MONTH(A494)),INDEX(Settings!$B$29:$B$40,MONTH(A494)))))</f>
        <v/>
      </c>
    </row>
    <row r="495" customFormat="false" ht="15" hidden="false" customHeight="false" outlineLevel="0" collapsed="false">
      <c r="H495" s="0" t="str">
        <f aca="false">IF(B495="","",IF(COUNTIF(Campaigns!$A$7:$A$300,B495)&gt;0,"✓","⚠ add to Campaigns tab"))</f>
        <v/>
      </c>
      <c r="I495" s="84" t="str">
        <f aca="false">IF(C495="","",C495*IF(Settings!$B$24=Settings!$C$6,1,IF(Settings!$B$24="USD",1/INDEX(Settings!$B$29:$B$40,MONTH(A495)),INDEX(Settings!$B$29:$B$40,MONTH(A495)))))</f>
        <v/>
      </c>
    </row>
    <row r="496" customFormat="false" ht="15" hidden="false" customHeight="false" outlineLevel="0" collapsed="false">
      <c r="H496" s="0" t="str">
        <f aca="false">IF(B496="","",IF(COUNTIF(Campaigns!$A$7:$A$300,B496)&gt;0,"✓","⚠ add to Campaigns tab"))</f>
        <v/>
      </c>
      <c r="I496" s="84" t="str">
        <f aca="false">IF(C496="","",C496*IF(Settings!$B$24=Settings!$C$6,1,IF(Settings!$B$24="USD",1/INDEX(Settings!$B$29:$B$40,MONTH(A496)),INDEX(Settings!$B$29:$B$40,MONTH(A496)))))</f>
        <v/>
      </c>
    </row>
    <row r="497" customFormat="false" ht="15" hidden="false" customHeight="false" outlineLevel="0" collapsed="false">
      <c r="H497" s="0" t="str">
        <f aca="false">IF(B497="","",IF(COUNTIF(Campaigns!$A$7:$A$300,B497)&gt;0,"✓","⚠ add to Campaigns tab"))</f>
        <v/>
      </c>
      <c r="I497" s="84" t="str">
        <f aca="false">IF(C497="","",C497*IF(Settings!$B$24=Settings!$C$6,1,IF(Settings!$B$24="USD",1/INDEX(Settings!$B$29:$B$40,MONTH(A497)),INDEX(Settings!$B$29:$B$40,MONTH(A497)))))</f>
        <v/>
      </c>
    </row>
    <row r="498" customFormat="false" ht="15" hidden="false" customHeight="false" outlineLevel="0" collapsed="false">
      <c r="H498" s="0" t="str">
        <f aca="false">IF(B498="","",IF(COUNTIF(Campaigns!$A$7:$A$300,B498)&gt;0,"✓","⚠ add to Campaigns tab"))</f>
        <v/>
      </c>
      <c r="I498" s="84" t="str">
        <f aca="false">IF(C498="","",C498*IF(Settings!$B$24=Settings!$C$6,1,IF(Settings!$B$24="USD",1/INDEX(Settings!$B$29:$B$40,MONTH(A498)),INDEX(Settings!$B$29:$B$40,MONTH(A498)))))</f>
        <v/>
      </c>
    </row>
    <row r="499" customFormat="false" ht="15" hidden="false" customHeight="false" outlineLevel="0" collapsed="false">
      <c r="H499" s="0" t="str">
        <f aca="false">IF(B499="","",IF(COUNTIF(Campaigns!$A$7:$A$300,B499)&gt;0,"✓","⚠ add to Campaigns tab"))</f>
        <v/>
      </c>
      <c r="I499" s="84" t="str">
        <f aca="false">IF(C499="","",C499*IF(Settings!$B$24=Settings!$C$6,1,IF(Settings!$B$24="USD",1/INDEX(Settings!$B$29:$B$40,MONTH(A499)),INDEX(Settings!$B$29:$B$40,MONTH(A499)))))</f>
        <v/>
      </c>
    </row>
    <row r="500" customFormat="false" ht="15" hidden="false" customHeight="false" outlineLevel="0" collapsed="false">
      <c r="H500" s="0" t="str">
        <f aca="false">IF(B500="","",IF(COUNTIF(Campaigns!$A$7:$A$300,B500)&gt;0,"✓","⚠ add to Campaigns tab"))</f>
        <v/>
      </c>
      <c r="I500" s="84" t="str">
        <f aca="false">IF(C500="","",C500*IF(Settings!$B$24=Settings!$C$6,1,IF(Settings!$B$24="USD",1/INDEX(Settings!$B$29:$B$40,MONTH(A500)),INDEX(Settings!$B$29:$B$40,MONTH(A500)))))</f>
        <v/>
      </c>
    </row>
    <row r="501" customFormat="false" ht="15" hidden="false" customHeight="false" outlineLevel="0" collapsed="false">
      <c r="H501" s="0" t="str">
        <f aca="false">IF(B501="","",IF(COUNTIF(Campaigns!$A$7:$A$300,B501)&gt;0,"✓","⚠ add to Campaigns tab"))</f>
        <v/>
      </c>
      <c r="I501" s="84" t="str">
        <f aca="false">IF(C501="","",C501*IF(Settings!$B$24=Settings!$C$6,1,IF(Settings!$B$24="USD",1/INDEX(Settings!$B$29:$B$40,MONTH(A501)),INDEX(Settings!$B$29:$B$40,MONTH(A501)))))</f>
        <v/>
      </c>
    </row>
    <row r="502" customFormat="false" ht="15" hidden="false" customHeight="false" outlineLevel="0" collapsed="false">
      <c r="H502" s="0" t="str">
        <f aca="false">IF(B502="","",IF(COUNTIF(Campaigns!$A$7:$A$300,B502)&gt;0,"✓","⚠ add to Campaigns tab"))</f>
        <v/>
      </c>
      <c r="I502" s="84" t="str">
        <f aca="false">IF(C502="","",C502*IF(Settings!$B$24=Settings!$C$6,1,IF(Settings!$B$24="USD",1/INDEX(Settings!$B$29:$B$40,MONTH(A502)),INDEX(Settings!$B$29:$B$40,MONTH(A502)))))</f>
        <v/>
      </c>
    </row>
    <row r="503" customFormat="false" ht="15" hidden="false" customHeight="false" outlineLevel="0" collapsed="false">
      <c r="H503" s="0" t="str">
        <f aca="false">IF(B503="","",IF(COUNTIF(Campaigns!$A$7:$A$300,B503)&gt;0,"✓","⚠ add to Campaigns tab"))</f>
        <v/>
      </c>
      <c r="I503" s="84" t="str">
        <f aca="false">IF(C503="","",C503*IF(Settings!$B$24=Settings!$C$6,1,IF(Settings!$B$24="USD",1/INDEX(Settings!$B$29:$B$40,MONTH(A503)),INDEX(Settings!$B$29:$B$40,MONTH(A503)))))</f>
        <v/>
      </c>
    </row>
    <row r="504" customFormat="false" ht="15" hidden="false" customHeight="false" outlineLevel="0" collapsed="false">
      <c r="H504" s="0" t="str">
        <f aca="false">IF(B504="","",IF(COUNTIF(Campaigns!$A$7:$A$300,B504)&gt;0,"✓","⚠ add to Campaigns tab"))</f>
        <v/>
      </c>
      <c r="I504" s="84" t="str">
        <f aca="false">IF(C504="","",C504*IF(Settings!$B$24=Settings!$C$6,1,IF(Settings!$B$24="USD",1/INDEX(Settings!$B$29:$B$40,MONTH(A504)),INDEX(Settings!$B$29:$B$40,MONTH(A504)))))</f>
        <v/>
      </c>
    </row>
    <row r="505" customFormat="false" ht="15" hidden="false" customHeight="false" outlineLevel="0" collapsed="false">
      <c r="H505" s="0" t="str">
        <f aca="false">IF(B505="","",IF(COUNTIF(Campaigns!$A$7:$A$300,B505)&gt;0,"✓","⚠ add to Campaigns tab"))</f>
        <v/>
      </c>
      <c r="I505" s="84" t="str">
        <f aca="false">IF(C505="","",C505*IF(Settings!$B$24=Settings!$C$6,1,IF(Settings!$B$24="USD",1/INDEX(Settings!$B$29:$B$40,MONTH(A505)),INDEX(Settings!$B$29:$B$40,MONTH(A505)))))</f>
        <v/>
      </c>
    </row>
    <row r="506" customFormat="false" ht="15" hidden="false" customHeight="false" outlineLevel="0" collapsed="false">
      <c r="H506" s="0" t="str">
        <f aca="false">IF(B506="","",IF(COUNTIF(Campaigns!$A$7:$A$300,B506)&gt;0,"✓","⚠ add to Campaigns tab"))</f>
        <v/>
      </c>
      <c r="I506" s="84" t="str">
        <f aca="false">IF(C506="","",C506*IF(Settings!$B$24=Settings!$C$6,1,IF(Settings!$B$24="USD",1/INDEX(Settings!$B$29:$B$40,MONTH(A506)),INDEX(Settings!$B$29:$B$40,MONTH(A506)))))</f>
        <v/>
      </c>
    </row>
    <row r="507" customFormat="false" ht="15" hidden="false" customHeight="false" outlineLevel="0" collapsed="false">
      <c r="H507" s="0" t="str">
        <f aca="false">IF(B507="","",IF(COUNTIF(Campaigns!$A$7:$A$300,B507)&gt;0,"✓","⚠ add to Campaigns tab"))</f>
        <v/>
      </c>
      <c r="I507" s="84" t="str">
        <f aca="false">IF(C507="","",C507*IF(Settings!$B$24=Settings!$C$6,1,IF(Settings!$B$24="USD",1/INDEX(Settings!$B$29:$B$40,MONTH(A507)),INDEX(Settings!$B$29:$B$40,MONTH(A507)))))</f>
        <v/>
      </c>
    </row>
    <row r="508" customFormat="false" ht="15" hidden="false" customHeight="false" outlineLevel="0" collapsed="false">
      <c r="H508" s="0" t="str">
        <f aca="false">IF(B508="","",IF(COUNTIF(Campaigns!$A$7:$A$300,B508)&gt;0,"✓","⚠ add to Campaigns tab"))</f>
        <v/>
      </c>
      <c r="I508" s="84" t="str">
        <f aca="false">IF(C508="","",C508*IF(Settings!$B$24=Settings!$C$6,1,IF(Settings!$B$24="USD",1/INDEX(Settings!$B$29:$B$40,MONTH(A508)),INDEX(Settings!$B$29:$B$40,MONTH(A508)))))</f>
        <v/>
      </c>
    </row>
    <row r="509" customFormat="false" ht="15" hidden="false" customHeight="false" outlineLevel="0" collapsed="false">
      <c r="H509" s="0" t="str">
        <f aca="false">IF(B509="","",IF(COUNTIF(Campaigns!$A$7:$A$300,B509)&gt;0,"✓","⚠ add to Campaigns tab"))</f>
        <v/>
      </c>
      <c r="I509" s="84" t="str">
        <f aca="false">IF(C509="","",C509*IF(Settings!$B$24=Settings!$C$6,1,IF(Settings!$B$24="USD",1/INDEX(Settings!$B$29:$B$40,MONTH(A509)),INDEX(Settings!$B$29:$B$40,MONTH(A509)))))</f>
        <v/>
      </c>
    </row>
    <row r="510" customFormat="false" ht="15" hidden="false" customHeight="false" outlineLevel="0" collapsed="false">
      <c r="H510" s="0" t="str">
        <f aca="false">IF(B510="","",IF(COUNTIF(Campaigns!$A$7:$A$300,B510)&gt;0,"✓","⚠ add to Campaigns tab"))</f>
        <v/>
      </c>
      <c r="I510" s="84" t="str">
        <f aca="false">IF(C510="","",C510*IF(Settings!$B$24=Settings!$C$6,1,IF(Settings!$B$24="USD",1/INDEX(Settings!$B$29:$B$40,MONTH(A510)),INDEX(Settings!$B$29:$B$40,MONTH(A510)))))</f>
        <v/>
      </c>
    </row>
    <row r="511" customFormat="false" ht="15" hidden="false" customHeight="false" outlineLevel="0" collapsed="false">
      <c r="H511" s="0" t="str">
        <f aca="false">IF(B511="","",IF(COUNTIF(Campaigns!$A$7:$A$300,B511)&gt;0,"✓","⚠ add to Campaigns tab"))</f>
        <v/>
      </c>
      <c r="I511" s="84" t="str">
        <f aca="false">IF(C511="","",C511*IF(Settings!$B$24=Settings!$C$6,1,IF(Settings!$B$24="USD",1/INDEX(Settings!$B$29:$B$40,MONTH(A511)),INDEX(Settings!$B$29:$B$40,MONTH(A511)))))</f>
        <v/>
      </c>
    </row>
    <row r="512" customFormat="false" ht="15" hidden="false" customHeight="false" outlineLevel="0" collapsed="false">
      <c r="H512" s="0" t="str">
        <f aca="false">IF(B512="","",IF(COUNTIF(Campaigns!$A$7:$A$300,B512)&gt;0,"✓","⚠ add to Campaigns tab"))</f>
        <v/>
      </c>
      <c r="I512" s="84" t="str">
        <f aca="false">IF(C512="","",C512*IF(Settings!$B$24=Settings!$C$6,1,IF(Settings!$B$24="USD",1/INDEX(Settings!$B$29:$B$40,MONTH(A512)),INDEX(Settings!$B$29:$B$40,MONTH(A512)))))</f>
        <v/>
      </c>
    </row>
    <row r="513" customFormat="false" ht="15" hidden="false" customHeight="false" outlineLevel="0" collapsed="false">
      <c r="H513" s="0" t="str">
        <f aca="false">IF(B513="","",IF(COUNTIF(Campaigns!$A$7:$A$300,B513)&gt;0,"✓","⚠ add to Campaigns tab"))</f>
        <v/>
      </c>
      <c r="I513" s="84" t="str">
        <f aca="false">IF(C513="","",C513*IF(Settings!$B$24=Settings!$C$6,1,IF(Settings!$B$24="USD",1/INDEX(Settings!$B$29:$B$40,MONTH(A513)),INDEX(Settings!$B$29:$B$40,MONTH(A513)))))</f>
        <v/>
      </c>
    </row>
    <row r="514" customFormat="false" ht="15" hidden="false" customHeight="false" outlineLevel="0" collapsed="false">
      <c r="H514" s="0" t="str">
        <f aca="false">IF(B514="","",IF(COUNTIF(Campaigns!$A$7:$A$300,B514)&gt;0,"✓","⚠ add to Campaigns tab"))</f>
        <v/>
      </c>
      <c r="I514" s="84" t="str">
        <f aca="false">IF(C514="","",C514*IF(Settings!$B$24=Settings!$C$6,1,IF(Settings!$B$24="USD",1/INDEX(Settings!$B$29:$B$40,MONTH(A514)),INDEX(Settings!$B$29:$B$40,MONTH(A514)))))</f>
        <v/>
      </c>
    </row>
    <row r="515" customFormat="false" ht="15" hidden="false" customHeight="false" outlineLevel="0" collapsed="false">
      <c r="H515" s="0" t="str">
        <f aca="false">IF(B515="","",IF(COUNTIF(Campaigns!$A$7:$A$300,B515)&gt;0,"✓","⚠ add to Campaigns tab"))</f>
        <v/>
      </c>
      <c r="I515" s="84" t="str">
        <f aca="false">IF(C515="","",C515*IF(Settings!$B$24=Settings!$C$6,1,IF(Settings!$B$24="USD",1/INDEX(Settings!$B$29:$B$40,MONTH(A515)),INDEX(Settings!$B$29:$B$40,MONTH(A515)))))</f>
        <v/>
      </c>
    </row>
    <row r="516" customFormat="false" ht="15" hidden="false" customHeight="false" outlineLevel="0" collapsed="false">
      <c r="H516" s="0" t="str">
        <f aca="false">IF(B516="","",IF(COUNTIF(Campaigns!$A$7:$A$300,B516)&gt;0,"✓","⚠ add to Campaigns tab"))</f>
        <v/>
      </c>
      <c r="I516" s="84" t="str">
        <f aca="false">IF(C516="","",C516*IF(Settings!$B$24=Settings!$C$6,1,IF(Settings!$B$24="USD",1/INDEX(Settings!$B$29:$B$40,MONTH(A516)),INDEX(Settings!$B$29:$B$40,MONTH(A516)))))</f>
        <v/>
      </c>
    </row>
    <row r="517" customFormat="false" ht="15" hidden="false" customHeight="false" outlineLevel="0" collapsed="false">
      <c r="H517" s="0" t="str">
        <f aca="false">IF(B517="","",IF(COUNTIF(Campaigns!$A$7:$A$300,B517)&gt;0,"✓","⚠ add to Campaigns tab"))</f>
        <v/>
      </c>
      <c r="I517" s="84" t="str">
        <f aca="false">IF(C517="","",C517*IF(Settings!$B$24=Settings!$C$6,1,IF(Settings!$B$24="USD",1/INDEX(Settings!$B$29:$B$40,MONTH(A517)),INDEX(Settings!$B$29:$B$40,MONTH(A517)))))</f>
        <v/>
      </c>
    </row>
    <row r="518" customFormat="false" ht="15" hidden="false" customHeight="false" outlineLevel="0" collapsed="false">
      <c r="H518" s="0" t="str">
        <f aca="false">IF(B518="","",IF(COUNTIF(Campaigns!$A$7:$A$300,B518)&gt;0,"✓","⚠ add to Campaigns tab"))</f>
        <v/>
      </c>
      <c r="I518" s="84" t="str">
        <f aca="false">IF(C518="","",C518*IF(Settings!$B$24=Settings!$C$6,1,IF(Settings!$B$24="USD",1/INDEX(Settings!$B$29:$B$40,MONTH(A518)),INDEX(Settings!$B$29:$B$40,MONTH(A518)))))</f>
        <v/>
      </c>
    </row>
    <row r="519" customFormat="false" ht="15" hidden="false" customHeight="false" outlineLevel="0" collapsed="false">
      <c r="H519" s="0" t="str">
        <f aca="false">IF(B519="","",IF(COUNTIF(Campaigns!$A$7:$A$300,B519)&gt;0,"✓","⚠ add to Campaigns tab"))</f>
        <v/>
      </c>
      <c r="I519" s="84" t="str">
        <f aca="false">IF(C519="","",C519*IF(Settings!$B$24=Settings!$C$6,1,IF(Settings!$B$24="USD",1/INDEX(Settings!$B$29:$B$40,MONTH(A519)),INDEX(Settings!$B$29:$B$40,MONTH(A519)))))</f>
        <v/>
      </c>
    </row>
    <row r="520" customFormat="false" ht="15" hidden="false" customHeight="false" outlineLevel="0" collapsed="false">
      <c r="H520" s="0" t="str">
        <f aca="false">IF(B520="","",IF(COUNTIF(Campaigns!$A$7:$A$300,B520)&gt;0,"✓","⚠ add to Campaigns tab"))</f>
        <v/>
      </c>
      <c r="I520" s="84" t="str">
        <f aca="false">IF(C520="","",C520*IF(Settings!$B$24=Settings!$C$6,1,IF(Settings!$B$24="USD",1/INDEX(Settings!$B$29:$B$40,MONTH(A520)),INDEX(Settings!$B$29:$B$40,MONTH(A520)))))</f>
        <v/>
      </c>
    </row>
    <row r="521" customFormat="false" ht="15" hidden="false" customHeight="false" outlineLevel="0" collapsed="false">
      <c r="H521" s="0" t="str">
        <f aca="false">IF(B521="","",IF(COUNTIF(Campaigns!$A$7:$A$300,B521)&gt;0,"✓","⚠ add to Campaigns tab"))</f>
        <v/>
      </c>
      <c r="I521" s="84" t="str">
        <f aca="false">IF(C521="","",C521*IF(Settings!$B$24=Settings!$C$6,1,IF(Settings!$B$24="USD",1/INDEX(Settings!$B$29:$B$40,MONTH(A521)),INDEX(Settings!$B$29:$B$40,MONTH(A521)))))</f>
        <v/>
      </c>
    </row>
    <row r="522" customFormat="false" ht="15" hidden="false" customHeight="false" outlineLevel="0" collapsed="false">
      <c r="H522" s="0" t="str">
        <f aca="false">IF(B522="","",IF(COUNTIF(Campaigns!$A$7:$A$300,B522)&gt;0,"✓","⚠ add to Campaigns tab"))</f>
        <v/>
      </c>
      <c r="I522" s="84" t="str">
        <f aca="false">IF(C522="","",C522*IF(Settings!$B$24=Settings!$C$6,1,IF(Settings!$B$24="USD",1/INDEX(Settings!$B$29:$B$40,MONTH(A522)),INDEX(Settings!$B$29:$B$40,MONTH(A522)))))</f>
        <v/>
      </c>
    </row>
    <row r="523" customFormat="false" ht="15" hidden="false" customHeight="false" outlineLevel="0" collapsed="false">
      <c r="H523" s="0" t="str">
        <f aca="false">IF(B523="","",IF(COUNTIF(Campaigns!$A$7:$A$300,B523)&gt;0,"✓","⚠ add to Campaigns tab"))</f>
        <v/>
      </c>
      <c r="I523" s="84" t="str">
        <f aca="false">IF(C523="","",C523*IF(Settings!$B$24=Settings!$C$6,1,IF(Settings!$B$24="USD",1/INDEX(Settings!$B$29:$B$40,MONTH(A523)),INDEX(Settings!$B$29:$B$40,MONTH(A523)))))</f>
        <v/>
      </c>
    </row>
    <row r="524" customFormat="false" ht="15" hidden="false" customHeight="false" outlineLevel="0" collapsed="false">
      <c r="H524" s="0" t="str">
        <f aca="false">IF(B524="","",IF(COUNTIF(Campaigns!$A$7:$A$300,B524)&gt;0,"✓","⚠ add to Campaigns tab"))</f>
        <v/>
      </c>
      <c r="I524" s="84" t="str">
        <f aca="false">IF(C524="","",C524*IF(Settings!$B$24=Settings!$C$6,1,IF(Settings!$B$24="USD",1/INDEX(Settings!$B$29:$B$40,MONTH(A524)),INDEX(Settings!$B$29:$B$40,MONTH(A524)))))</f>
        <v/>
      </c>
    </row>
    <row r="525" customFormat="false" ht="15" hidden="false" customHeight="false" outlineLevel="0" collapsed="false">
      <c r="H525" s="0" t="str">
        <f aca="false">IF(B525="","",IF(COUNTIF(Campaigns!$A$7:$A$300,B525)&gt;0,"✓","⚠ add to Campaigns tab"))</f>
        <v/>
      </c>
      <c r="I525" s="84" t="str">
        <f aca="false">IF(C525="","",C525*IF(Settings!$B$24=Settings!$C$6,1,IF(Settings!$B$24="USD",1/INDEX(Settings!$B$29:$B$40,MONTH(A525)),INDEX(Settings!$B$29:$B$40,MONTH(A525)))))</f>
        <v/>
      </c>
    </row>
    <row r="526" customFormat="false" ht="15" hidden="false" customHeight="false" outlineLevel="0" collapsed="false">
      <c r="H526" s="0" t="str">
        <f aca="false">IF(B526="","",IF(COUNTIF(Campaigns!$A$7:$A$300,B526)&gt;0,"✓","⚠ add to Campaigns tab"))</f>
        <v/>
      </c>
      <c r="I526" s="84" t="str">
        <f aca="false">IF(C526="","",C526*IF(Settings!$B$24=Settings!$C$6,1,IF(Settings!$B$24="USD",1/INDEX(Settings!$B$29:$B$40,MONTH(A526)),INDEX(Settings!$B$29:$B$40,MONTH(A526)))))</f>
        <v/>
      </c>
    </row>
    <row r="527" customFormat="false" ht="15" hidden="false" customHeight="false" outlineLevel="0" collapsed="false">
      <c r="H527" s="0" t="str">
        <f aca="false">IF(B527="","",IF(COUNTIF(Campaigns!$A$7:$A$300,B527)&gt;0,"✓","⚠ add to Campaigns tab"))</f>
        <v/>
      </c>
      <c r="I527" s="84" t="str">
        <f aca="false">IF(C527="","",C527*IF(Settings!$B$24=Settings!$C$6,1,IF(Settings!$B$24="USD",1/INDEX(Settings!$B$29:$B$40,MONTH(A527)),INDEX(Settings!$B$29:$B$40,MONTH(A527)))))</f>
        <v/>
      </c>
    </row>
    <row r="528" customFormat="false" ht="15" hidden="false" customHeight="false" outlineLevel="0" collapsed="false">
      <c r="H528" s="0" t="str">
        <f aca="false">IF(B528="","",IF(COUNTIF(Campaigns!$A$7:$A$300,B528)&gt;0,"✓","⚠ add to Campaigns tab"))</f>
        <v/>
      </c>
      <c r="I528" s="84" t="str">
        <f aca="false">IF(C528="","",C528*IF(Settings!$B$24=Settings!$C$6,1,IF(Settings!$B$24="USD",1/INDEX(Settings!$B$29:$B$40,MONTH(A528)),INDEX(Settings!$B$29:$B$40,MONTH(A528)))))</f>
        <v/>
      </c>
    </row>
    <row r="529" customFormat="false" ht="15" hidden="false" customHeight="false" outlineLevel="0" collapsed="false">
      <c r="H529" s="0" t="str">
        <f aca="false">IF(B529="","",IF(COUNTIF(Campaigns!$A$7:$A$300,B529)&gt;0,"✓","⚠ add to Campaigns tab"))</f>
        <v/>
      </c>
      <c r="I529" s="84" t="str">
        <f aca="false">IF(C529="","",C529*IF(Settings!$B$24=Settings!$C$6,1,IF(Settings!$B$24="USD",1/INDEX(Settings!$B$29:$B$40,MONTH(A529)),INDEX(Settings!$B$29:$B$40,MONTH(A529)))))</f>
        <v/>
      </c>
    </row>
    <row r="530" customFormat="false" ht="15" hidden="false" customHeight="false" outlineLevel="0" collapsed="false">
      <c r="H530" s="0" t="str">
        <f aca="false">IF(B530="","",IF(COUNTIF(Campaigns!$A$7:$A$300,B530)&gt;0,"✓","⚠ add to Campaigns tab"))</f>
        <v/>
      </c>
      <c r="I530" s="84" t="str">
        <f aca="false">IF(C530="","",C530*IF(Settings!$B$24=Settings!$C$6,1,IF(Settings!$B$24="USD",1/INDEX(Settings!$B$29:$B$40,MONTH(A530)),INDEX(Settings!$B$29:$B$40,MONTH(A530)))))</f>
        <v/>
      </c>
    </row>
    <row r="531" customFormat="false" ht="15" hidden="false" customHeight="false" outlineLevel="0" collapsed="false">
      <c r="H531" s="0" t="str">
        <f aca="false">IF(B531="","",IF(COUNTIF(Campaigns!$A$7:$A$300,B531)&gt;0,"✓","⚠ add to Campaigns tab"))</f>
        <v/>
      </c>
      <c r="I531" s="84" t="str">
        <f aca="false">IF(C531="","",C531*IF(Settings!$B$24=Settings!$C$6,1,IF(Settings!$B$24="USD",1/INDEX(Settings!$B$29:$B$40,MONTH(A531)),INDEX(Settings!$B$29:$B$40,MONTH(A531)))))</f>
        <v/>
      </c>
    </row>
    <row r="532" customFormat="false" ht="15" hidden="false" customHeight="false" outlineLevel="0" collapsed="false">
      <c r="H532" s="0" t="str">
        <f aca="false">IF(B532="","",IF(COUNTIF(Campaigns!$A$7:$A$300,B532)&gt;0,"✓","⚠ add to Campaigns tab"))</f>
        <v/>
      </c>
      <c r="I532" s="84" t="str">
        <f aca="false">IF(C532="","",C532*IF(Settings!$B$24=Settings!$C$6,1,IF(Settings!$B$24="USD",1/INDEX(Settings!$B$29:$B$40,MONTH(A532)),INDEX(Settings!$B$29:$B$40,MONTH(A532)))))</f>
        <v/>
      </c>
    </row>
    <row r="533" customFormat="false" ht="15" hidden="false" customHeight="false" outlineLevel="0" collapsed="false">
      <c r="H533" s="0" t="str">
        <f aca="false">IF(B533="","",IF(COUNTIF(Campaigns!$A$7:$A$300,B533)&gt;0,"✓","⚠ add to Campaigns tab"))</f>
        <v/>
      </c>
      <c r="I533" s="84" t="str">
        <f aca="false">IF(C533="","",C533*IF(Settings!$B$24=Settings!$C$6,1,IF(Settings!$B$24="USD",1/INDEX(Settings!$B$29:$B$40,MONTH(A533)),INDEX(Settings!$B$29:$B$40,MONTH(A533)))))</f>
        <v/>
      </c>
    </row>
    <row r="534" customFormat="false" ht="15" hidden="false" customHeight="false" outlineLevel="0" collapsed="false">
      <c r="H534" s="0" t="str">
        <f aca="false">IF(B534="","",IF(COUNTIF(Campaigns!$A$7:$A$300,B534)&gt;0,"✓","⚠ add to Campaigns tab"))</f>
        <v/>
      </c>
      <c r="I534" s="84" t="str">
        <f aca="false">IF(C534="","",C534*IF(Settings!$B$24=Settings!$C$6,1,IF(Settings!$B$24="USD",1/INDEX(Settings!$B$29:$B$40,MONTH(A534)),INDEX(Settings!$B$29:$B$40,MONTH(A534)))))</f>
        <v/>
      </c>
    </row>
    <row r="535" customFormat="false" ht="15" hidden="false" customHeight="false" outlineLevel="0" collapsed="false">
      <c r="H535" s="0" t="str">
        <f aca="false">IF(B535="","",IF(COUNTIF(Campaigns!$A$7:$A$300,B535)&gt;0,"✓","⚠ add to Campaigns tab"))</f>
        <v/>
      </c>
      <c r="I535" s="84" t="str">
        <f aca="false">IF(C535="","",C535*IF(Settings!$B$24=Settings!$C$6,1,IF(Settings!$B$24="USD",1/INDEX(Settings!$B$29:$B$40,MONTH(A535)),INDEX(Settings!$B$29:$B$40,MONTH(A535)))))</f>
        <v/>
      </c>
    </row>
    <row r="536" customFormat="false" ht="15" hidden="false" customHeight="false" outlineLevel="0" collapsed="false">
      <c r="H536" s="0" t="str">
        <f aca="false">IF(B536="","",IF(COUNTIF(Campaigns!$A$7:$A$300,B536)&gt;0,"✓","⚠ add to Campaigns tab"))</f>
        <v/>
      </c>
      <c r="I536" s="84" t="str">
        <f aca="false">IF(C536="","",C536*IF(Settings!$B$24=Settings!$C$6,1,IF(Settings!$B$24="USD",1/INDEX(Settings!$B$29:$B$40,MONTH(A536)),INDEX(Settings!$B$29:$B$40,MONTH(A536)))))</f>
        <v/>
      </c>
    </row>
    <row r="537" customFormat="false" ht="15" hidden="false" customHeight="false" outlineLevel="0" collapsed="false">
      <c r="H537" s="0" t="str">
        <f aca="false">IF(B537="","",IF(COUNTIF(Campaigns!$A$7:$A$300,B537)&gt;0,"✓","⚠ add to Campaigns tab"))</f>
        <v/>
      </c>
      <c r="I537" s="84" t="str">
        <f aca="false">IF(C537="","",C537*IF(Settings!$B$24=Settings!$C$6,1,IF(Settings!$B$24="USD",1/INDEX(Settings!$B$29:$B$40,MONTH(A537)),INDEX(Settings!$B$29:$B$40,MONTH(A537)))))</f>
        <v/>
      </c>
    </row>
    <row r="538" customFormat="false" ht="15" hidden="false" customHeight="false" outlineLevel="0" collapsed="false">
      <c r="H538" s="0" t="str">
        <f aca="false">IF(B538="","",IF(COUNTIF(Campaigns!$A$7:$A$300,B538)&gt;0,"✓","⚠ add to Campaigns tab"))</f>
        <v/>
      </c>
      <c r="I538" s="84" t="str">
        <f aca="false">IF(C538="","",C538*IF(Settings!$B$24=Settings!$C$6,1,IF(Settings!$B$24="USD",1/INDEX(Settings!$B$29:$B$40,MONTH(A538)),INDEX(Settings!$B$29:$B$40,MONTH(A538)))))</f>
        <v/>
      </c>
    </row>
    <row r="539" customFormat="false" ht="15" hidden="false" customHeight="false" outlineLevel="0" collapsed="false">
      <c r="H539" s="0" t="str">
        <f aca="false">IF(B539="","",IF(COUNTIF(Campaigns!$A$7:$A$300,B539)&gt;0,"✓","⚠ add to Campaigns tab"))</f>
        <v/>
      </c>
      <c r="I539" s="84" t="str">
        <f aca="false">IF(C539="","",C539*IF(Settings!$B$24=Settings!$C$6,1,IF(Settings!$B$24="USD",1/INDEX(Settings!$B$29:$B$40,MONTH(A539)),INDEX(Settings!$B$29:$B$40,MONTH(A539)))))</f>
        <v/>
      </c>
    </row>
    <row r="540" customFormat="false" ht="15" hidden="false" customHeight="false" outlineLevel="0" collapsed="false">
      <c r="H540" s="0" t="str">
        <f aca="false">IF(B540="","",IF(COUNTIF(Campaigns!$A$7:$A$300,B540)&gt;0,"✓","⚠ add to Campaigns tab"))</f>
        <v/>
      </c>
      <c r="I540" s="84" t="str">
        <f aca="false">IF(C540="","",C540*IF(Settings!$B$24=Settings!$C$6,1,IF(Settings!$B$24="USD",1/INDEX(Settings!$B$29:$B$40,MONTH(A540)),INDEX(Settings!$B$29:$B$40,MONTH(A540)))))</f>
        <v/>
      </c>
    </row>
    <row r="541" customFormat="false" ht="15" hidden="false" customHeight="false" outlineLevel="0" collapsed="false">
      <c r="H541" s="0" t="str">
        <f aca="false">IF(B541="","",IF(COUNTIF(Campaigns!$A$7:$A$300,B541)&gt;0,"✓","⚠ add to Campaigns tab"))</f>
        <v/>
      </c>
      <c r="I541" s="84" t="str">
        <f aca="false">IF(C541="","",C541*IF(Settings!$B$24=Settings!$C$6,1,IF(Settings!$B$24="USD",1/INDEX(Settings!$B$29:$B$40,MONTH(A541)),INDEX(Settings!$B$29:$B$40,MONTH(A541)))))</f>
        <v/>
      </c>
    </row>
    <row r="542" customFormat="false" ht="15" hidden="false" customHeight="false" outlineLevel="0" collapsed="false">
      <c r="H542" s="0" t="str">
        <f aca="false">IF(B542="","",IF(COUNTIF(Campaigns!$A$7:$A$300,B542)&gt;0,"✓","⚠ add to Campaigns tab"))</f>
        <v/>
      </c>
      <c r="I542" s="84" t="str">
        <f aca="false">IF(C542="","",C542*IF(Settings!$B$24=Settings!$C$6,1,IF(Settings!$B$24="USD",1/INDEX(Settings!$B$29:$B$40,MONTH(A542)),INDEX(Settings!$B$29:$B$40,MONTH(A542)))))</f>
        <v/>
      </c>
    </row>
    <row r="543" customFormat="false" ht="15" hidden="false" customHeight="false" outlineLevel="0" collapsed="false">
      <c r="H543" s="0" t="str">
        <f aca="false">IF(B543="","",IF(COUNTIF(Campaigns!$A$7:$A$300,B543)&gt;0,"✓","⚠ add to Campaigns tab"))</f>
        <v/>
      </c>
      <c r="I543" s="84" t="str">
        <f aca="false">IF(C543="","",C543*IF(Settings!$B$24=Settings!$C$6,1,IF(Settings!$B$24="USD",1/INDEX(Settings!$B$29:$B$40,MONTH(A543)),INDEX(Settings!$B$29:$B$40,MONTH(A543)))))</f>
        <v/>
      </c>
    </row>
    <row r="544" customFormat="false" ht="15" hidden="false" customHeight="false" outlineLevel="0" collapsed="false">
      <c r="H544" s="0" t="str">
        <f aca="false">IF(B544="","",IF(COUNTIF(Campaigns!$A$7:$A$300,B544)&gt;0,"✓","⚠ add to Campaigns tab"))</f>
        <v/>
      </c>
      <c r="I544" s="84" t="str">
        <f aca="false">IF(C544="","",C544*IF(Settings!$B$24=Settings!$C$6,1,IF(Settings!$B$24="USD",1/INDEX(Settings!$B$29:$B$40,MONTH(A544)),INDEX(Settings!$B$29:$B$40,MONTH(A544)))))</f>
        <v/>
      </c>
    </row>
    <row r="545" customFormat="false" ht="15" hidden="false" customHeight="false" outlineLevel="0" collapsed="false">
      <c r="H545" s="0" t="str">
        <f aca="false">IF(B545="","",IF(COUNTIF(Campaigns!$A$7:$A$300,B545)&gt;0,"✓","⚠ add to Campaigns tab"))</f>
        <v/>
      </c>
      <c r="I545" s="84" t="str">
        <f aca="false">IF(C545="","",C545*IF(Settings!$B$24=Settings!$C$6,1,IF(Settings!$B$24="USD",1/INDEX(Settings!$B$29:$B$40,MONTH(A545)),INDEX(Settings!$B$29:$B$40,MONTH(A545)))))</f>
        <v/>
      </c>
    </row>
    <row r="546" customFormat="false" ht="15" hidden="false" customHeight="false" outlineLevel="0" collapsed="false">
      <c r="H546" s="0" t="str">
        <f aca="false">IF(B546="","",IF(COUNTIF(Campaigns!$A$7:$A$300,B546)&gt;0,"✓","⚠ add to Campaigns tab"))</f>
        <v/>
      </c>
      <c r="I546" s="84" t="str">
        <f aca="false">IF(C546="","",C546*IF(Settings!$B$24=Settings!$C$6,1,IF(Settings!$B$24="USD",1/INDEX(Settings!$B$29:$B$40,MONTH(A546)),INDEX(Settings!$B$29:$B$40,MONTH(A546)))))</f>
        <v/>
      </c>
    </row>
    <row r="547" customFormat="false" ht="15" hidden="false" customHeight="false" outlineLevel="0" collapsed="false">
      <c r="H547" s="0" t="str">
        <f aca="false">IF(B547="","",IF(COUNTIF(Campaigns!$A$7:$A$300,B547)&gt;0,"✓","⚠ add to Campaigns tab"))</f>
        <v/>
      </c>
      <c r="I547" s="84" t="str">
        <f aca="false">IF(C547="","",C547*IF(Settings!$B$24=Settings!$C$6,1,IF(Settings!$B$24="USD",1/INDEX(Settings!$B$29:$B$40,MONTH(A547)),INDEX(Settings!$B$29:$B$40,MONTH(A547)))))</f>
        <v/>
      </c>
    </row>
    <row r="548" customFormat="false" ht="15" hidden="false" customHeight="false" outlineLevel="0" collapsed="false">
      <c r="H548" s="0" t="str">
        <f aca="false">IF(B548="","",IF(COUNTIF(Campaigns!$A$7:$A$300,B548)&gt;0,"✓","⚠ add to Campaigns tab"))</f>
        <v/>
      </c>
      <c r="I548" s="84" t="str">
        <f aca="false">IF(C548="","",C548*IF(Settings!$B$24=Settings!$C$6,1,IF(Settings!$B$24="USD",1/INDEX(Settings!$B$29:$B$40,MONTH(A548)),INDEX(Settings!$B$29:$B$40,MONTH(A548)))))</f>
        <v/>
      </c>
    </row>
    <row r="549" customFormat="false" ht="15" hidden="false" customHeight="false" outlineLevel="0" collapsed="false">
      <c r="H549" s="0" t="str">
        <f aca="false">IF(B549="","",IF(COUNTIF(Campaigns!$A$7:$A$300,B549)&gt;0,"✓","⚠ add to Campaigns tab"))</f>
        <v/>
      </c>
      <c r="I549" s="84" t="str">
        <f aca="false">IF(C549="","",C549*IF(Settings!$B$24=Settings!$C$6,1,IF(Settings!$B$24="USD",1/INDEX(Settings!$B$29:$B$40,MONTH(A549)),INDEX(Settings!$B$29:$B$40,MONTH(A549)))))</f>
        <v/>
      </c>
    </row>
    <row r="550" customFormat="false" ht="15" hidden="false" customHeight="false" outlineLevel="0" collapsed="false">
      <c r="H550" s="0" t="str">
        <f aca="false">IF(B550="","",IF(COUNTIF(Campaigns!$A$7:$A$300,B550)&gt;0,"✓","⚠ add to Campaigns tab"))</f>
        <v/>
      </c>
      <c r="I550" s="84" t="str">
        <f aca="false">IF(C550="","",C550*IF(Settings!$B$24=Settings!$C$6,1,IF(Settings!$B$24="USD",1/INDEX(Settings!$B$29:$B$40,MONTH(A550)),INDEX(Settings!$B$29:$B$40,MONTH(A550)))))</f>
        <v/>
      </c>
    </row>
    <row r="551" customFormat="false" ht="15" hidden="false" customHeight="false" outlineLevel="0" collapsed="false">
      <c r="H551" s="0" t="str">
        <f aca="false">IF(B551="","",IF(COUNTIF(Campaigns!$A$7:$A$300,B551)&gt;0,"✓","⚠ add to Campaigns tab"))</f>
        <v/>
      </c>
      <c r="I551" s="84" t="str">
        <f aca="false">IF(C551="","",C551*IF(Settings!$B$24=Settings!$C$6,1,IF(Settings!$B$24="USD",1/INDEX(Settings!$B$29:$B$40,MONTH(A551)),INDEX(Settings!$B$29:$B$40,MONTH(A551)))))</f>
        <v/>
      </c>
    </row>
    <row r="552" customFormat="false" ht="15" hidden="false" customHeight="false" outlineLevel="0" collapsed="false">
      <c r="H552" s="0" t="str">
        <f aca="false">IF(B552="","",IF(COUNTIF(Campaigns!$A$7:$A$300,B552)&gt;0,"✓","⚠ add to Campaigns tab"))</f>
        <v/>
      </c>
      <c r="I552" s="84" t="str">
        <f aca="false">IF(C552="","",C552*IF(Settings!$B$24=Settings!$C$6,1,IF(Settings!$B$24="USD",1/INDEX(Settings!$B$29:$B$40,MONTH(A552)),INDEX(Settings!$B$29:$B$40,MONTH(A552)))))</f>
        <v/>
      </c>
    </row>
    <row r="553" customFormat="false" ht="15" hidden="false" customHeight="false" outlineLevel="0" collapsed="false">
      <c r="H553" s="0" t="str">
        <f aca="false">IF(B553="","",IF(COUNTIF(Campaigns!$A$7:$A$300,B553)&gt;0,"✓","⚠ add to Campaigns tab"))</f>
        <v/>
      </c>
      <c r="I553" s="84" t="str">
        <f aca="false">IF(C553="","",C553*IF(Settings!$B$24=Settings!$C$6,1,IF(Settings!$B$24="USD",1/INDEX(Settings!$B$29:$B$40,MONTH(A553)),INDEX(Settings!$B$29:$B$40,MONTH(A553)))))</f>
        <v/>
      </c>
    </row>
    <row r="554" customFormat="false" ht="15" hidden="false" customHeight="false" outlineLevel="0" collapsed="false">
      <c r="H554" s="0" t="str">
        <f aca="false">IF(B554="","",IF(COUNTIF(Campaigns!$A$7:$A$300,B554)&gt;0,"✓","⚠ add to Campaigns tab"))</f>
        <v/>
      </c>
      <c r="I554" s="84" t="str">
        <f aca="false">IF(C554="","",C554*IF(Settings!$B$24=Settings!$C$6,1,IF(Settings!$B$24="USD",1/INDEX(Settings!$B$29:$B$40,MONTH(A554)),INDEX(Settings!$B$29:$B$40,MONTH(A554)))))</f>
        <v/>
      </c>
    </row>
    <row r="555" customFormat="false" ht="15" hidden="false" customHeight="false" outlineLevel="0" collapsed="false">
      <c r="H555" s="0" t="str">
        <f aca="false">IF(B555="","",IF(COUNTIF(Campaigns!$A$7:$A$300,B555)&gt;0,"✓","⚠ add to Campaigns tab"))</f>
        <v/>
      </c>
      <c r="I555" s="84" t="str">
        <f aca="false">IF(C555="","",C555*IF(Settings!$B$24=Settings!$C$6,1,IF(Settings!$B$24="USD",1/INDEX(Settings!$B$29:$B$40,MONTH(A555)),INDEX(Settings!$B$29:$B$40,MONTH(A555)))))</f>
        <v/>
      </c>
    </row>
    <row r="556" customFormat="false" ht="15" hidden="false" customHeight="false" outlineLevel="0" collapsed="false">
      <c r="H556" s="0" t="str">
        <f aca="false">IF(B556="","",IF(COUNTIF(Campaigns!$A$7:$A$300,B556)&gt;0,"✓","⚠ add to Campaigns tab"))</f>
        <v/>
      </c>
      <c r="I556" s="84" t="str">
        <f aca="false">IF(C556="","",C556*IF(Settings!$B$24=Settings!$C$6,1,IF(Settings!$B$24="USD",1/INDEX(Settings!$B$29:$B$40,MONTH(A556)),INDEX(Settings!$B$29:$B$40,MONTH(A556)))))</f>
        <v/>
      </c>
    </row>
    <row r="557" customFormat="false" ht="15" hidden="false" customHeight="false" outlineLevel="0" collapsed="false">
      <c r="H557" s="0" t="str">
        <f aca="false">IF(B557="","",IF(COUNTIF(Campaigns!$A$7:$A$300,B557)&gt;0,"✓","⚠ add to Campaigns tab"))</f>
        <v/>
      </c>
      <c r="I557" s="84" t="str">
        <f aca="false">IF(C557="","",C557*IF(Settings!$B$24=Settings!$C$6,1,IF(Settings!$B$24="USD",1/INDEX(Settings!$B$29:$B$40,MONTH(A557)),INDEX(Settings!$B$29:$B$40,MONTH(A557)))))</f>
        <v/>
      </c>
    </row>
    <row r="558" customFormat="false" ht="15" hidden="false" customHeight="false" outlineLevel="0" collapsed="false">
      <c r="H558" s="0" t="str">
        <f aca="false">IF(B558="","",IF(COUNTIF(Campaigns!$A$7:$A$300,B558)&gt;0,"✓","⚠ add to Campaigns tab"))</f>
        <v/>
      </c>
      <c r="I558" s="84" t="str">
        <f aca="false">IF(C558="","",C558*IF(Settings!$B$24=Settings!$C$6,1,IF(Settings!$B$24="USD",1/INDEX(Settings!$B$29:$B$40,MONTH(A558)),INDEX(Settings!$B$29:$B$40,MONTH(A558)))))</f>
        <v/>
      </c>
    </row>
    <row r="559" customFormat="false" ht="15" hidden="false" customHeight="false" outlineLevel="0" collapsed="false">
      <c r="H559" s="0" t="str">
        <f aca="false">IF(B559="","",IF(COUNTIF(Campaigns!$A$7:$A$300,B559)&gt;0,"✓","⚠ add to Campaigns tab"))</f>
        <v/>
      </c>
      <c r="I559" s="84" t="str">
        <f aca="false">IF(C559="","",C559*IF(Settings!$B$24=Settings!$C$6,1,IF(Settings!$B$24="USD",1/INDEX(Settings!$B$29:$B$40,MONTH(A559)),INDEX(Settings!$B$29:$B$40,MONTH(A559)))))</f>
        <v/>
      </c>
    </row>
    <row r="560" customFormat="false" ht="15" hidden="false" customHeight="false" outlineLevel="0" collapsed="false">
      <c r="H560" s="0" t="str">
        <f aca="false">IF(B560="","",IF(COUNTIF(Campaigns!$A$7:$A$300,B560)&gt;0,"✓","⚠ add to Campaigns tab"))</f>
        <v/>
      </c>
      <c r="I560" s="84" t="str">
        <f aca="false">IF(C560="","",C560*IF(Settings!$B$24=Settings!$C$6,1,IF(Settings!$B$24="USD",1/INDEX(Settings!$B$29:$B$40,MONTH(A560)),INDEX(Settings!$B$29:$B$40,MONTH(A560)))))</f>
        <v/>
      </c>
    </row>
    <row r="561" customFormat="false" ht="15" hidden="false" customHeight="false" outlineLevel="0" collapsed="false">
      <c r="H561" s="0" t="str">
        <f aca="false">IF(B561="","",IF(COUNTIF(Campaigns!$A$7:$A$300,B561)&gt;0,"✓","⚠ add to Campaigns tab"))</f>
        <v/>
      </c>
      <c r="I561" s="84" t="str">
        <f aca="false">IF(C561="","",C561*IF(Settings!$B$24=Settings!$C$6,1,IF(Settings!$B$24="USD",1/INDEX(Settings!$B$29:$B$40,MONTH(A561)),INDEX(Settings!$B$29:$B$40,MONTH(A561)))))</f>
        <v/>
      </c>
    </row>
    <row r="562" customFormat="false" ht="15" hidden="false" customHeight="false" outlineLevel="0" collapsed="false">
      <c r="H562" s="0" t="str">
        <f aca="false">IF(B562="","",IF(COUNTIF(Campaigns!$A$7:$A$300,B562)&gt;0,"✓","⚠ add to Campaigns tab"))</f>
        <v/>
      </c>
      <c r="I562" s="84" t="str">
        <f aca="false">IF(C562="","",C562*IF(Settings!$B$24=Settings!$C$6,1,IF(Settings!$B$24="USD",1/INDEX(Settings!$B$29:$B$40,MONTH(A562)),INDEX(Settings!$B$29:$B$40,MONTH(A562)))))</f>
        <v/>
      </c>
    </row>
    <row r="563" customFormat="false" ht="15" hidden="false" customHeight="false" outlineLevel="0" collapsed="false">
      <c r="H563" s="0" t="str">
        <f aca="false">IF(B563="","",IF(COUNTIF(Campaigns!$A$7:$A$300,B563)&gt;0,"✓","⚠ add to Campaigns tab"))</f>
        <v/>
      </c>
      <c r="I563" s="84" t="str">
        <f aca="false">IF(C563="","",C563*IF(Settings!$B$24=Settings!$C$6,1,IF(Settings!$B$24="USD",1/INDEX(Settings!$B$29:$B$40,MONTH(A563)),INDEX(Settings!$B$29:$B$40,MONTH(A563)))))</f>
        <v/>
      </c>
    </row>
    <row r="564" customFormat="false" ht="15" hidden="false" customHeight="false" outlineLevel="0" collapsed="false">
      <c r="H564" s="0" t="str">
        <f aca="false">IF(B564="","",IF(COUNTIF(Campaigns!$A$7:$A$300,B564)&gt;0,"✓","⚠ add to Campaigns tab"))</f>
        <v/>
      </c>
      <c r="I564" s="84" t="str">
        <f aca="false">IF(C564="","",C564*IF(Settings!$B$24=Settings!$C$6,1,IF(Settings!$B$24="USD",1/INDEX(Settings!$B$29:$B$40,MONTH(A564)),INDEX(Settings!$B$29:$B$40,MONTH(A564)))))</f>
        <v/>
      </c>
    </row>
    <row r="565" customFormat="false" ht="15" hidden="false" customHeight="false" outlineLevel="0" collapsed="false">
      <c r="H565" s="0" t="str">
        <f aca="false">IF(B565="","",IF(COUNTIF(Campaigns!$A$7:$A$300,B565)&gt;0,"✓","⚠ add to Campaigns tab"))</f>
        <v/>
      </c>
      <c r="I565" s="84" t="str">
        <f aca="false">IF(C565="","",C565*IF(Settings!$B$24=Settings!$C$6,1,IF(Settings!$B$24="USD",1/INDEX(Settings!$B$29:$B$40,MONTH(A565)),INDEX(Settings!$B$29:$B$40,MONTH(A565)))))</f>
        <v/>
      </c>
    </row>
    <row r="566" customFormat="false" ht="15" hidden="false" customHeight="false" outlineLevel="0" collapsed="false">
      <c r="H566" s="0" t="str">
        <f aca="false">IF(B566="","",IF(COUNTIF(Campaigns!$A$7:$A$300,B566)&gt;0,"✓","⚠ add to Campaigns tab"))</f>
        <v/>
      </c>
      <c r="I566" s="84" t="str">
        <f aca="false">IF(C566="","",C566*IF(Settings!$B$24=Settings!$C$6,1,IF(Settings!$B$24="USD",1/INDEX(Settings!$B$29:$B$40,MONTH(A566)),INDEX(Settings!$B$29:$B$40,MONTH(A566)))))</f>
        <v/>
      </c>
    </row>
    <row r="567" customFormat="false" ht="15" hidden="false" customHeight="false" outlineLevel="0" collapsed="false">
      <c r="H567" s="0" t="str">
        <f aca="false">IF(B567="","",IF(COUNTIF(Campaigns!$A$7:$A$300,B567)&gt;0,"✓","⚠ add to Campaigns tab"))</f>
        <v/>
      </c>
      <c r="I567" s="84" t="str">
        <f aca="false">IF(C567="","",C567*IF(Settings!$B$24=Settings!$C$6,1,IF(Settings!$B$24="USD",1/INDEX(Settings!$B$29:$B$40,MONTH(A567)),INDEX(Settings!$B$29:$B$40,MONTH(A567)))))</f>
        <v/>
      </c>
    </row>
    <row r="568" customFormat="false" ht="15" hidden="false" customHeight="false" outlineLevel="0" collapsed="false">
      <c r="H568" s="0" t="str">
        <f aca="false">IF(B568="","",IF(COUNTIF(Campaigns!$A$7:$A$300,B568)&gt;0,"✓","⚠ add to Campaigns tab"))</f>
        <v/>
      </c>
      <c r="I568" s="84" t="str">
        <f aca="false">IF(C568="","",C568*IF(Settings!$B$24=Settings!$C$6,1,IF(Settings!$B$24="USD",1/INDEX(Settings!$B$29:$B$40,MONTH(A568)),INDEX(Settings!$B$29:$B$40,MONTH(A568)))))</f>
        <v/>
      </c>
    </row>
    <row r="569" customFormat="false" ht="15" hidden="false" customHeight="false" outlineLevel="0" collapsed="false">
      <c r="H569" s="0" t="str">
        <f aca="false">IF(B569="","",IF(COUNTIF(Campaigns!$A$7:$A$300,B569)&gt;0,"✓","⚠ add to Campaigns tab"))</f>
        <v/>
      </c>
      <c r="I569" s="84" t="str">
        <f aca="false">IF(C569="","",C569*IF(Settings!$B$24=Settings!$C$6,1,IF(Settings!$B$24="USD",1/INDEX(Settings!$B$29:$B$40,MONTH(A569)),INDEX(Settings!$B$29:$B$40,MONTH(A569)))))</f>
        <v/>
      </c>
    </row>
    <row r="570" customFormat="false" ht="15" hidden="false" customHeight="false" outlineLevel="0" collapsed="false">
      <c r="H570" s="0" t="str">
        <f aca="false">IF(B570="","",IF(COUNTIF(Campaigns!$A$7:$A$300,B570)&gt;0,"✓","⚠ add to Campaigns tab"))</f>
        <v/>
      </c>
      <c r="I570" s="84" t="str">
        <f aca="false">IF(C570="","",C570*IF(Settings!$B$24=Settings!$C$6,1,IF(Settings!$B$24="USD",1/INDEX(Settings!$B$29:$B$40,MONTH(A570)),INDEX(Settings!$B$29:$B$40,MONTH(A570)))))</f>
        <v/>
      </c>
    </row>
    <row r="571" customFormat="false" ht="15" hidden="false" customHeight="false" outlineLevel="0" collapsed="false">
      <c r="H571" s="0" t="str">
        <f aca="false">IF(B571="","",IF(COUNTIF(Campaigns!$A$7:$A$300,B571)&gt;0,"✓","⚠ add to Campaigns tab"))</f>
        <v/>
      </c>
      <c r="I571" s="84" t="str">
        <f aca="false">IF(C571="","",C571*IF(Settings!$B$24=Settings!$C$6,1,IF(Settings!$B$24="USD",1/INDEX(Settings!$B$29:$B$40,MONTH(A571)),INDEX(Settings!$B$29:$B$40,MONTH(A571)))))</f>
        <v/>
      </c>
    </row>
    <row r="572" customFormat="false" ht="15" hidden="false" customHeight="false" outlineLevel="0" collapsed="false">
      <c r="H572" s="0" t="str">
        <f aca="false">IF(B572="","",IF(COUNTIF(Campaigns!$A$7:$A$300,B572)&gt;0,"✓","⚠ add to Campaigns tab"))</f>
        <v/>
      </c>
      <c r="I572" s="84" t="str">
        <f aca="false">IF(C572="","",C572*IF(Settings!$B$24=Settings!$C$6,1,IF(Settings!$B$24="USD",1/INDEX(Settings!$B$29:$B$40,MONTH(A572)),INDEX(Settings!$B$29:$B$40,MONTH(A572)))))</f>
        <v/>
      </c>
    </row>
    <row r="573" customFormat="false" ht="15" hidden="false" customHeight="false" outlineLevel="0" collapsed="false">
      <c r="H573" s="0" t="str">
        <f aca="false">IF(B573="","",IF(COUNTIF(Campaigns!$A$7:$A$300,B573)&gt;0,"✓","⚠ add to Campaigns tab"))</f>
        <v/>
      </c>
      <c r="I573" s="84" t="str">
        <f aca="false">IF(C573="","",C573*IF(Settings!$B$24=Settings!$C$6,1,IF(Settings!$B$24="USD",1/INDEX(Settings!$B$29:$B$40,MONTH(A573)),INDEX(Settings!$B$29:$B$40,MONTH(A573)))))</f>
        <v/>
      </c>
    </row>
    <row r="574" customFormat="false" ht="15" hidden="false" customHeight="false" outlineLevel="0" collapsed="false">
      <c r="H574" s="0" t="str">
        <f aca="false">IF(B574="","",IF(COUNTIF(Campaigns!$A$7:$A$300,B574)&gt;0,"✓","⚠ add to Campaigns tab"))</f>
        <v/>
      </c>
      <c r="I574" s="84" t="str">
        <f aca="false">IF(C574="","",C574*IF(Settings!$B$24=Settings!$C$6,1,IF(Settings!$B$24="USD",1/INDEX(Settings!$B$29:$B$40,MONTH(A574)),INDEX(Settings!$B$29:$B$40,MONTH(A574)))))</f>
        <v/>
      </c>
    </row>
    <row r="575" customFormat="false" ht="15" hidden="false" customHeight="false" outlineLevel="0" collapsed="false">
      <c r="H575" s="0" t="str">
        <f aca="false">IF(B575="","",IF(COUNTIF(Campaigns!$A$7:$A$300,B575)&gt;0,"✓","⚠ add to Campaigns tab"))</f>
        <v/>
      </c>
      <c r="I575" s="84" t="str">
        <f aca="false">IF(C575="","",C575*IF(Settings!$B$24=Settings!$C$6,1,IF(Settings!$B$24="USD",1/INDEX(Settings!$B$29:$B$40,MONTH(A575)),INDEX(Settings!$B$29:$B$40,MONTH(A575)))))</f>
        <v/>
      </c>
    </row>
    <row r="576" customFormat="false" ht="15" hidden="false" customHeight="false" outlineLevel="0" collapsed="false">
      <c r="H576" s="0" t="str">
        <f aca="false">IF(B576="","",IF(COUNTIF(Campaigns!$A$7:$A$300,B576)&gt;0,"✓","⚠ add to Campaigns tab"))</f>
        <v/>
      </c>
      <c r="I576" s="84" t="str">
        <f aca="false">IF(C576="","",C576*IF(Settings!$B$24=Settings!$C$6,1,IF(Settings!$B$24="USD",1/INDEX(Settings!$B$29:$B$40,MONTH(A576)),INDEX(Settings!$B$29:$B$40,MONTH(A576)))))</f>
        <v/>
      </c>
    </row>
    <row r="577" customFormat="false" ht="15" hidden="false" customHeight="false" outlineLevel="0" collapsed="false">
      <c r="H577" s="0" t="str">
        <f aca="false">IF(B577="","",IF(COUNTIF(Campaigns!$A$7:$A$300,B577)&gt;0,"✓","⚠ add to Campaigns tab"))</f>
        <v/>
      </c>
      <c r="I577" s="84" t="str">
        <f aca="false">IF(C577="","",C577*IF(Settings!$B$24=Settings!$C$6,1,IF(Settings!$B$24="USD",1/INDEX(Settings!$B$29:$B$40,MONTH(A577)),INDEX(Settings!$B$29:$B$40,MONTH(A577)))))</f>
        <v/>
      </c>
    </row>
    <row r="578" customFormat="false" ht="15" hidden="false" customHeight="false" outlineLevel="0" collapsed="false">
      <c r="H578" s="0" t="str">
        <f aca="false">IF(B578="","",IF(COUNTIF(Campaigns!$A$7:$A$300,B578)&gt;0,"✓","⚠ add to Campaigns tab"))</f>
        <v/>
      </c>
      <c r="I578" s="84" t="str">
        <f aca="false">IF(C578="","",C578*IF(Settings!$B$24=Settings!$C$6,1,IF(Settings!$B$24="USD",1/INDEX(Settings!$B$29:$B$40,MONTH(A578)),INDEX(Settings!$B$29:$B$40,MONTH(A578)))))</f>
        <v/>
      </c>
    </row>
    <row r="579" customFormat="false" ht="15" hidden="false" customHeight="false" outlineLevel="0" collapsed="false">
      <c r="H579" s="0" t="str">
        <f aca="false">IF(B579="","",IF(COUNTIF(Campaigns!$A$7:$A$300,B579)&gt;0,"✓","⚠ add to Campaigns tab"))</f>
        <v/>
      </c>
      <c r="I579" s="84" t="str">
        <f aca="false">IF(C579="","",C579*IF(Settings!$B$24=Settings!$C$6,1,IF(Settings!$B$24="USD",1/INDEX(Settings!$B$29:$B$40,MONTH(A579)),INDEX(Settings!$B$29:$B$40,MONTH(A579)))))</f>
        <v/>
      </c>
    </row>
    <row r="580" customFormat="false" ht="15" hidden="false" customHeight="false" outlineLevel="0" collapsed="false">
      <c r="H580" s="0" t="str">
        <f aca="false">IF(B580="","",IF(COUNTIF(Campaigns!$A$7:$A$300,B580)&gt;0,"✓","⚠ add to Campaigns tab"))</f>
        <v/>
      </c>
      <c r="I580" s="84" t="str">
        <f aca="false">IF(C580="","",C580*IF(Settings!$B$24=Settings!$C$6,1,IF(Settings!$B$24="USD",1/INDEX(Settings!$B$29:$B$40,MONTH(A580)),INDEX(Settings!$B$29:$B$40,MONTH(A580)))))</f>
        <v/>
      </c>
    </row>
    <row r="581" customFormat="false" ht="15" hidden="false" customHeight="false" outlineLevel="0" collapsed="false">
      <c r="H581" s="0" t="str">
        <f aca="false">IF(B581="","",IF(COUNTIF(Campaigns!$A$7:$A$300,B581)&gt;0,"✓","⚠ add to Campaigns tab"))</f>
        <v/>
      </c>
      <c r="I581" s="84" t="str">
        <f aca="false">IF(C581="","",C581*IF(Settings!$B$24=Settings!$C$6,1,IF(Settings!$B$24="USD",1/INDEX(Settings!$B$29:$B$40,MONTH(A581)),INDEX(Settings!$B$29:$B$40,MONTH(A581)))))</f>
        <v/>
      </c>
    </row>
    <row r="582" customFormat="false" ht="15" hidden="false" customHeight="false" outlineLevel="0" collapsed="false">
      <c r="H582" s="0" t="str">
        <f aca="false">IF(B582="","",IF(COUNTIF(Campaigns!$A$7:$A$300,B582)&gt;0,"✓","⚠ add to Campaigns tab"))</f>
        <v/>
      </c>
      <c r="I582" s="84" t="str">
        <f aca="false">IF(C582="","",C582*IF(Settings!$B$24=Settings!$C$6,1,IF(Settings!$B$24="USD",1/INDEX(Settings!$B$29:$B$40,MONTH(A582)),INDEX(Settings!$B$29:$B$40,MONTH(A582)))))</f>
        <v/>
      </c>
    </row>
    <row r="583" customFormat="false" ht="15" hidden="false" customHeight="false" outlineLevel="0" collapsed="false">
      <c r="H583" s="0" t="str">
        <f aca="false">IF(B583="","",IF(COUNTIF(Campaigns!$A$7:$A$300,B583)&gt;0,"✓","⚠ add to Campaigns tab"))</f>
        <v/>
      </c>
      <c r="I583" s="84" t="str">
        <f aca="false">IF(C583="","",C583*IF(Settings!$B$24=Settings!$C$6,1,IF(Settings!$B$24="USD",1/INDEX(Settings!$B$29:$B$40,MONTH(A583)),INDEX(Settings!$B$29:$B$40,MONTH(A583)))))</f>
        <v/>
      </c>
    </row>
    <row r="584" customFormat="false" ht="15" hidden="false" customHeight="false" outlineLevel="0" collapsed="false">
      <c r="H584" s="0" t="str">
        <f aca="false">IF(B584="","",IF(COUNTIF(Campaigns!$A$7:$A$300,B584)&gt;0,"✓","⚠ add to Campaigns tab"))</f>
        <v/>
      </c>
      <c r="I584" s="84" t="str">
        <f aca="false">IF(C584="","",C584*IF(Settings!$B$24=Settings!$C$6,1,IF(Settings!$B$24="USD",1/INDEX(Settings!$B$29:$B$40,MONTH(A584)),INDEX(Settings!$B$29:$B$40,MONTH(A584)))))</f>
        <v/>
      </c>
    </row>
    <row r="585" customFormat="false" ht="15" hidden="false" customHeight="false" outlineLevel="0" collapsed="false">
      <c r="H585" s="0" t="str">
        <f aca="false">IF(B585="","",IF(COUNTIF(Campaigns!$A$7:$A$300,B585)&gt;0,"✓","⚠ add to Campaigns tab"))</f>
        <v/>
      </c>
      <c r="I585" s="84" t="str">
        <f aca="false">IF(C585="","",C585*IF(Settings!$B$24=Settings!$C$6,1,IF(Settings!$B$24="USD",1/INDEX(Settings!$B$29:$B$40,MONTH(A585)),INDEX(Settings!$B$29:$B$40,MONTH(A585)))))</f>
        <v/>
      </c>
    </row>
    <row r="586" customFormat="false" ht="15" hidden="false" customHeight="false" outlineLevel="0" collapsed="false">
      <c r="H586" s="0" t="str">
        <f aca="false">IF(B586="","",IF(COUNTIF(Campaigns!$A$7:$A$300,B586)&gt;0,"✓","⚠ add to Campaigns tab"))</f>
        <v/>
      </c>
      <c r="I586" s="84" t="str">
        <f aca="false">IF(C586="","",C586*IF(Settings!$B$24=Settings!$C$6,1,IF(Settings!$B$24="USD",1/INDEX(Settings!$B$29:$B$40,MONTH(A586)),INDEX(Settings!$B$29:$B$40,MONTH(A586)))))</f>
        <v/>
      </c>
    </row>
    <row r="587" customFormat="false" ht="15" hidden="false" customHeight="false" outlineLevel="0" collapsed="false">
      <c r="H587" s="0" t="str">
        <f aca="false">IF(B587="","",IF(COUNTIF(Campaigns!$A$7:$A$300,B587)&gt;0,"✓","⚠ add to Campaigns tab"))</f>
        <v/>
      </c>
      <c r="I587" s="84" t="str">
        <f aca="false">IF(C587="","",C587*IF(Settings!$B$24=Settings!$C$6,1,IF(Settings!$B$24="USD",1/INDEX(Settings!$B$29:$B$40,MONTH(A587)),INDEX(Settings!$B$29:$B$40,MONTH(A587)))))</f>
        <v/>
      </c>
    </row>
    <row r="588" customFormat="false" ht="15" hidden="false" customHeight="false" outlineLevel="0" collapsed="false">
      <c r="H588" s="0" t="str">
        <f aca="false">IF(B588="","",IF(COUNTIF(Campaigns!$A$7:$A$300,B588)&gt;0,"✓","⚠ add to Campaigns tab"))</f>
        <v/>
      </c>
      <c r="I588" s="84" t="str">
        <f aca="false">IF(C588="","",C588*IF(Settings!$B$24=Settings!$C$6,1,IF(Settings!$B$24="USD",1/INDEX(Settings!$B$29:$B$40,MONTH(A588)),INDEX(Settings!$B$29:$B$40,MONTH(A588)))))</f>
        <v/>
      </c>
    </row>
    <row r="589" customFormat="false" ht="15" hidden="false" customHeight="false" outlineLevel="0" collapsed="false">
      <c r="H589" s="0" t="str">
        <f aca="false">IF(B589="","",IF(COUNTIF(Campaigns!$A$7:$A$300,B589)&gt;0,"✓","⚠ add to Campaigns tab"))</f>
        <v/>
      </c>
      <c r="I589" s="84" t="str">
        <f aca="false">IF(C589="","",C589*IF(Settings!$B$24=Settings!$C$6,1,IF(Settings!$B$24="USD",1/INDEX(Settings!$B$29:$B$40,MONTH(A589)),INDEX(Settings!$B$29:$B$40,MONTH(A589)))))</f>
        <v/>
      </c>
    </row>
    <row r="590" customFormat="false" ht="15" hidden="false" customHeight="false" outlineLevel="0" collapsed="false">
      <c r="H590" s="0" t="str">
        <f aca="false">IF(B590="","",IF(COUNTIF(Campaigns!$A$7:$A$300,B590)&gt;0,"✓","⚠ add to Campaigns tab"))</f>
        <v/>
      </c>
      <c r="I590" s="84" t="str">
        <f aca="false">IF(C590="","",C590*IF(Settings!$B$24=Settings!$C$6,1,IF(Settings!$B$24="USD",1/INDEX(Settings!$B$29:$B$40,MONTH(A590)),INDEX(Settings!$B$29:$B$40,MONTH(A590)))))</f>
        <v/>
      </c>
    </row>
    <row r="591" customFormat="false" ht="15" hidden="false" customHeight="false" outlineLevel="0" collapsed="false">
      <c r="H591" s="0" t="str">
        <f aca="false">IF(B591="","",IF(COUNTIF(Campaigns!$A$7:$A$300,B591)&gt;0,"✓","⚠ add to Campaigns tab"))</f>
        <v/>
      </c>
      <c r="I591" s="84" t="str">
        <f aca="false">IF(C591="","",C591*IF(Settings!$B$24=Settings!$C$6,1,IF(Settings!$B$24="USD",1/INDEX(Settings!$B$29:$B$40,MONTH(A591)),INDEX(Settings!$B$29:$B$40,MONTH(A591)))))</f>
        <v/>
      </c>
    </row>
    <row r="592" customFormat="false" ht="15" hidden="false" customHeight="false" outlineLevel="0" collapsed="false">
      <c r="H592" s="0" t="str">
        <f aca="false">IF(B592="","",IF(COUNTIF(Campaigns!$A$7:$A$300,B592)&gt;0,"✓","⚠ add to Campaigns tab"))</f>
        <v/>
      </c>
      <c r="I592" s="84" t="str">
        <f aca="false">IF(C592="","",C592*IF(Settings!$B$24=Settings!$C$6,1,IF(Settings!$B$24="USD",1/INDEX(Settings!$B$29:$B$40,MONTH(A592)),INDEX(Settings!$B$29:$B$40,MONTH(A592)))))</f>
        <v/>
      </c>
    </row>
    <row r="593" customFormat="false" ht="15" hidden="false" customHeight="false" outlineLevel="0" collapsed="false">
      <c r="H593" s="0" t="str">
        <f aca="false">IF(B593="","",IF(COUNTIF(Campaigns!$A$7:$A$300,B593)&gt;0,"✓","⚠ add to Campaigns tab"))</f>
        <v/>
      </c>
      <c r="I593" s="84" t="str">
        <f aca="false">IF(C593="","",C593*IF(Settings!$B$24=Settings!$C$6,1,IF(Settings!$B$24="USD",1/INDEX(Settings!$B$29:$B$40,MONTH(A593)),INDEX(Settings!$B$29:$B$40,MONTH(A593)))))</f>
        <v/>
      </c>
    </row>
    <row r="594" customFormat="false" ht="15" hidden="false" customHeight="false" outlineLevel="0" collapsed="false">
      <c r="H594" s="0" t="str">
        <f aca="false">IF(B594="","",IF(COUNTIF(Campaigns!$A$7:$A$300,B594)&gt;0,"✓","⚠ add to Campaigns tab"))</f>
        <v/>
      </c>
      <c r="I594" s="84" t="str">
        <f aca="false">IF(C594="","",C594*IF(Settings!$B$24=Settings!$C$6,1,IF(Settings!$B$24="USD",1/INDEX(Settings!$B$29:$B$40,MONTH(A594)),INDEX(Settings!$B$29:$B$40,MONTH(A594)))))</f>
        <v/>
      </c>
    </row>
    <row r="595" customFormat="false" ht="15" hidden="false" customHeight="false" outlineLevel="0" collapsed="false">
      <c r="H595" s="0" t="str">
        <f aca="false">IF(B595="","",IF(COUNTIF(Campaigns!$A$7:$A$300,B595)&gt;0,"✓","⚠ add to Campaigns tab"))</f>
        <v/>
      </c>
      <c r="I595" s="84" t="str">
        <f aca="false">IF(C595="","",C595*IF(Settings!$B$24=Settings!$C$6,1,IF(Settings!$B$24="USD",1/INDEX(Settings!$B$29:$B$40,MONTH(A595)),INDEX(Settings!$B$29:$B$40,MONTH(A595)))))</f>
        <v/>
      </c>
    </row>
    <row r="596" customFormat="false" ht="15" hidden="false" customHeight="false" outlineLevel="0" collapsed="false">
      <c r="H596" s="0" t="str">
        <f aca="false">IF(B596="","",IF(COUNTIF(Campaigns!$A$7:$A$300,B596)&gt;0,"✓","⚠ add to Campaigns tab"))</f>
        <v/>
      </c>
      <c r="I596" s="84" t="str">
        <f aca="false">IF(C596="","",C596*IF(Settings!$B$24=Settings!$C$6,1,IF(Settings!$B$24="USD",1/INDEX(Settings!$B$29:$B$40,MONTH(A596)),INDEX(Settings!$B$29:$B$40,MONTH(A596)))))</f>
        <v/>
      </c>
    </row>
    <row r="597" customFormat="false" ht="15" hidden="false" customHeight="false" outlineLevel="0" collapsed="false">
      <c r="H597" s="0" t="str">
        <f aca="false">IF(B597="","",IF(COUNTIF(Campaigns!$A$7:$A$300,B597)&gt;0,"✓","⚠ add to Campaigns tab"))</f>
        <v/>
      </c>
      <c r="I597" s="84" t="str">
        <f aca="false">IF(C597="","",C597*IF(Settings!$B$24=Settings!$C$6,1,IF(Settings!$B$24="USD",1/INDEX(Settings!$B$29:$B$40,MONTH(A597)),INDEX(Settings!$B$29:$B$40,MONTH(A597)))))</f>
        <v/>
      </c>
    </row>
    <row r="598" customFormat="false" ht="15" hidden="false" customHeight="false" outlineLevel="0" collapsed="false">
      <c r="H598" s="0" t="str">
        <f aca="false">IF(B598="","",IF(COUNTIF(Campaigns!$A$7:$A$300,B598)&gt;0,"✓","⚠ add to Campaigns tab"))</f>
        <v/>
      </c>
      <c r="I598" s="84" t="str">
        <f aca="false">IF(C598="","",C598*IF(Settings!$B$24=Settings!$C$6,1,IF(Settings!$B$24="USD",1/INDEX(Settings!$B$29:$B$40,MONTH(A598)),INDEX(Settings!$B$29:$B$40,MONTH(A598)))))</f>
        <v/>
      </c>
    </row>
    <row r="599" customFormat="false" ht="15" hidden="false" customHeight="false" outlineLevel="0" collapsed="false">
      <c r="H599" s="0" t="str">
        <f aca="false">IF(B599="","",IF(COUNTIF(Campaigns!$A$7:$A$300,B599)&gt;0,"✓","⚠ add to Campaigns tab"))</f>
        <v/>
      </c>
      <c r="I599" s="84" t="str">
        <f aca="false">IF(C599="","",C599*IF(Settings!$B$24=Settings!$C$6,1,IF(Settings!$B$24="USD",1/INDEX(Settings!$B$29:$B$40,MONTH(A599)),INDEX(Settings!$B$29:$B$40,MONTH(A599)))))</f>
        <v/>
      </c>
    </row>
    <row r="600" customFormat="false" ht="15" hidden="false" customHeight="false" outlineLevel="0" collapsed="false">
      <c r="H600" s="0" t="str">
        <f aca="false">IF(B600="","",IF(COUNTIF(Campaigns!$A$7:$A$300,B600)&gt;0,"✓","⚠ add to Campaigns tab"))</f>
        <v/>
      </c>
      <c r="I600" s="84" t="str">
        <f aca="false">IF(C600="","",C600*IF(Settings!$B$24=Settings!$C$6,1,IF(Settings!$B$24="USD",1/INDEX(Settings!$B$29:$B$40,MONTH(A600)),INDEX(Settings!$B$29:$B$40,MONTH(A600)))))</f>
        <v/>
      </c>
    </row>
    <row r="601" customFormat="false" ht="15" hidden="false" customHeight="false" outlineLevel="0" collapsed="false">
      <c r="H601" s="0" t="str">
        <f aca="false">IF(B601="","",IF(COUNTIF(Campaigns!$A$7:$A$300,B601)&gt;0,"✓","⚠ add to Campaigns tab"))</f>
        <v/>
      </c>
      <c r="I601" s="84" t="str">
        <f aca="false">IF(C601="","",C601*IF(Settings!$B$24=Settings!$C$6,1,IF(Settings!$B$24="USD",1/INDEX(Settings!$B$29:$B$40,MONTH(A601)),INDEX(Settings!$B$29:$B$40,MONTH(A601)))))</f>
        <v/>
      </c>
    </row>
    <row r="602" customFormat="false" ht="15" hidden="false" customHeight="false" outlineLevel="0" collapsed="false">
      <c r="H602" s="0" t="str">
        <f aca="false">IF(B602="","",IF(COUNTIF(Campaigns!$A$7:$A$300,B602)&gt;0,"✓","⚠ add to Campaigns tab"))</f>
        <v/>
      </c>
      <c r="I602" s="84" t="str">
        <f aca="false">IF(C602="","",C602*IF(Settings!$B$24=Settings!$C$6,1,IF(Settings!$B$24="USD",1/INDEX(Settings!$B$29:$B$40,MONTH(A602)),INDEX(Settings!$B$29:$B$40,MONTH(A602)))))</f>
        <v/>
      </c>
    </row>
    <row r="603" customFormat="false" ht="15" hidden="false" customHeight="false" outlineLevel="0" collapsed="false">
      <c r="H603" s="0" t="str">
        <f aca="false">IF(B603="","",IF(COUNTIF(Campaigns!$A$7:$A$300,B603)&gt;0,"✓","⚠ add to Campaigns tab"))</f>
        <v/>
      </c>
      <c r="I603" s="84" t="str">
        <f aca="false">IF(C603="","",C603*IF(Settings!$B$24=Settings!$C$6,1,IF(Settings!$B$24="USD",1/INDEX(Settings!$B$29:$B$40,MONTH(A603)),INDEX(Settings!$B$29:$B$40,MONTH(A603)))))</f>
        <v/>
      </c>
    </row>
    <row r="604" customFormat="false" ht="15" hidden="false" customHeight="false" outlineLevel="0" collapsed="false">
      <c r="H604" s="0" t="str">
        <f aca="false">IF(B604="","",IF(COUNTIF(Campaigns!$A$7:$A$300,B604)&gt;0,"✓","⚠ add to Campaigns tab"))</f>
        <v/>
      </c>
      <c r="I604" s="84" t="str">
        <f aca="false">IF(C604="","",C604*IF(Settings!$B$24=Settings!$C$6,1,IF(Settings!$B$24="USD",1/INDEX(Settings!$B$29:$B$40,MONTH(A604)),INDEX(Settings!$B$29:$B$40,MONTH(A604)))))</f>
        <v/>
      </c>
    </row>
    <row r="605" customFormat="false" ht="15" hidden="false" customHeight="false" outlineLevel="0" collapsed="false">
      <c r="H605" s="0" t="str">
        <f aca="false">IF(B605="","",IF(COUNTIF(Campaigns!$A$7:$A$300,B605)&gt;0,"✓","⚠ add to Campaigns tab"))</f>
        <v/>
      </c>
      <c r="I605" s="84" t="str">
        <f aca="false">IF(C605="","",C605*IF(Settings!$B$24=Settings!$C$6,1,IF(Settings!$B$24="USD",1/INDEX(Settings!$B$29:$B$40,MONTH(A605)),INDEX(Settings!$B$29:$B$40,MONTH(A605)))))</f>
        <v/>
      </c>
    </row>
    <row r="606" customFormat="false" ht="15" hidden="false" customHeight="false" outlineLevel="0" collapsed="false">
      <c r="H606" s="0" t="str">
        <f aca="false">IF(B606="","",IF(COUNTIF(Campaigns!$A$7:$A$300,B606)&gt;0,"✓","⚠ add to Campaigns tab"))</f>
        <v/>
      </c>
      <c r="I606" s="84" t="str">
        <f aca="false">IF(C606="","",C606*IF(Settings!$B$24=Settings!$C$6,1,IF(Settings!$B$24="USD",1/INDEX(Settings!$B$29:$B$40,MONTH(A606)),INDEX(Settings!$B$29:$B$40,MONTH(A606)))))</f>
        <v/>
      </c>
    </row>
    <row r="607" customFormat="false" ht="15" hidden="false" customHeight="false" outlineLevel="0" collapsed="false">
      <c r="H607" s="0" t="str">
        <f aca="false">IF(B607="","",IF(COUNTIF(Campaigns!$A$7:$A$300,B607)&gt;0,"✓","⚠ add to Campaigns tab"))</f>
        <v/>
      </c>
      <c r="I607" s="84" t="str">
        <f aca="false">IF(C607="","",C607*IF(Settings!$B$24=Settings!$C$6,1,IF(Settings!$B$24="USD",1/INDEX(Settings!$B$29:$B$40,MONTH(A607)),INDEX(Settings!$B$29:$B$40,MONTH(A607)))))</f>
        <v/>
      </c>
    </row>
    <row r="608" customFormat="false" ht="15" hidden="false" customHeight="false" outlineLevel="0" collapsed="false">
      <c r="H608" s="0" t="str">
        <f aca="false">IF(B608="","",IF(COUNTIF(Campaigns!$A$7:$A$300,B608)&gt;0,"✓","⚠ add to Campaigns tab"))</f>
        <v/>
      </c>
      <c r="I608" s="84" t="str">
        <f aca="false">IF(C608="","",C608*IF(Settings!$B$24=Settings!$C$6,1,IF(Settings!$B$24="USD",1/INDEX(Settings!$B$29:$B$40,MONTH(A608)),INDEX(Settings!$B$29:$B$40,MONTH(A608)))))</f>
        <v/>
      </c>
    </row>
    <row r="609" customFormat="false" ht="15" hidden="false" customHeight="false" outlineLevel="0" collapsed="false">
      <c r="H609" s="0" t="str">
        <f aca="false">IF(B609="","",IF(COUNTIF(Campaigns!$A$7:$A$300,B609)&gt;0,"✓","⚠ add to Campaigns tab"))</f>
        <v/>
      </c>
      <c r="I609" s="84" t="str">
        <f aca="false">IF(C609="","",C609*IF(Settings!$B$24=Settings!$C$6,1,IF(Settings!$B$24="USD",1/INDEX(Settings!$B$29:$B$40,MONTH(A609)),INDEX(Settings!$B$29:$B$40,MONTH(A609)))))</f>
        <v/>
      </c>
    </row>
    <row r="610" customFormat="false" ht="15" hidden="false" customHeight="false" outlineLevel="0" collapsed="false">
      <c r="H610" s="0" t="str">
        <f aca="false">IF(B610="","",IF(COUNTIF(Campaigns!$A$7:$A$300,B610)&gt;0,"✓","⚠ add to Campaigns tab"))</f>
        <v/>
      </c>
      <c r="I610" s="84" t="str">
        <f aca="false">IF(C610="","",C610*IF(Settings!$B$24=Settings!$C$6,1,IF(Settings!$B$24="USD",1/INDEX(Settings!$B$29:$B$40,MONTH(A610)),INDEX(Settings!$B$29:$B$40,MONTH(A610)))))</f>
        <v/>
      </c>
    </row>
    <row r="611" customFormat="false" ht="15" hidden="false" customHeight="false" outlineLevel="0" collapsed="false">
      <c r="H611" s="0" t="str">
        <f aca="false">IF(B611="","",IF(COUNTIF(Campaigns!$A$7:$A$300,B611)&gt;0,"✓","⚠ add to Campaigns tab"))</f>
        <v/>
      </c>
      <c r="I611" s="84" t="str">
        <f aca="false">IF(C611="","",C611*IF(Settings!$B$24=Settings!$C$6,1,IF(Settings!$B$24="USD",1/INDEX(Settings!$B$29:$B$40,MONTH(A611)),INDEX(Settings!$B$29:$B$40,MONTH(A611)))))</f>
        <v/>
      </c>
    </row>
    <row r="612" customFormat="false" ht="15" hidden="false" customHeight="false" outlineLevel="0" collapsed="false">
      <c r="H612" s="0" t="str">
        <f aca="false">IF(B612="","",IF(COUNTIF(Campaigns!$A$7:$A$300,B612)&gt;0,"✓","⚠ add to Campaigns tab"))</f>
        <v/>
      </c>
      <c r="I612" s="84" t="str">
        <f aca="false">IF(C612="","",C612*IF(Settings!$B$24=Settings!$C$6,1,IF(Settings!$B$24="USD",1/INDEX(Settings!$B$29:$B$40,MONTH(A612)),INDEX(Settings!$B$29:$B$40,MONTH(A612)))))</f>
        <v/>
      </c>
    </row>
    <row r="613" customFormat="false" ht="15" hidden="false" customHeight="false" outlineLevel="0" collapsed="false">
      <c r="H613" s="0" t="str">
        <f aca="false">IF(B613="","",IF(COUNTIF(Campaigns!$A$7:$A$300,B613)&gt;0,"✓","⚠ add to Campaigns tab"))</f>
        <v/>
      </c>
      <c r="I613" s="84" t="str">
        <f aca="false">IF(C613="","",C613*IF(Settings!$B$24=Settings!$C$6,1,IF(Settings!$B$24="USD",1/INDEX(Settings!$B$29:$B$40,MONTH(A613)),INDEX(Settings!$B$29:$B$40,MONTH(A613)))))</f>
        <v/>
      </c>
    </row>
    <row r="614" customFormat="false" ht="15" hidden="false" customHeight="false" outlineLevel="0" collapsed="false">
      <c r="H614" s="0" t="str">
        <f aca="false">IF(B614="","",IF(COUNTIF(Campaigns!$A$7:$A$300,B614)&gt;0,"✓","⚠ add to Campaigns tab"))</f>
        <v/>
      </c>
      <c r="I614" s="84" t="str">
        <f aca="false">IF(C614="","",C614*IF(Settings!$B$24=Settings!$C$6,1,IF(Settings!$B$24="USD",1/INDEX(Settings!$B$29:$B$40,MONTH(A614)),INDEX(Settings!$B$29:$B$40,MONTH(A614)))))</f>
        <v/>
      </c>
    </row>
    <row r="615" customFormat="false" ht="15" hidden="false" customHeight="false" outlineLevel="0" collapsed="false">
      <c r="H615" s="0" t="str">
        <f aca="false">IF(B615="","",IF(COUNTIF(Campaigns!$A$7:$A$300,B615)&gt;0,"✓","⚠ add to Campaigns tab"))</f>
        <v/>
      </c>
      <c r="I615" s="84" t="str">
        <f aca="false">IF(C615="","",C615*IF(Settings!$B$24=Settings!$C$6,1,IF(Settings!$B$24="USD",1/INDEX(Settings!$B$29:$B$40,MONTH(A615)),INDEX(Settings!$B$29:$B$40,MONTH(A615)))))</f>
        <v/>
      </c>
    </row>
    <row r="616" customFormat="false" ht="15" hidden="false" customHeight="false" outlineLevel="0" collapsed="false">
      <c r="H616" s="0" t="str">
        <f aca="false">IF(B616="","",IF(COUNTIF(Campaigns!$A$7:$A$300,B616)&gt;0,"✓","⚠ add to Campaigns tab"))</f>
        <v/>
      </c>
      <c r="I616" s="84" t="str">
        <f aca="false">IF(C616="","",C616*IF(Settings!$B$24=Settings!$C$6,1,IF(Settings!$B$24="USD",1/INDEX(Settings!$B$29:$B$40,MONTH(A616)),INDEX(Settings!$B$29:$B$40,MONTH(A616)))))</f>
        <v/>
      </c>
    </row>
    <row r="617" customFormat="false" ht="15" hidden="false" customHeight="false" outlineLevel="0" collapsed="false">
      <c r="H617" s="0" t="str">
        <f aca="false">IF(B617="","",IF(COUNTIF(Campaigns!$A$7:$A$300,B617)&gt;0,"✓","⚠ add to Campaigns tab"))</f>
        <v/>
      </c>
      <c r="I617" s="84" t="str">
        <f aca="false">IF(C617="","",C617*IF(Settings!$B$24=Settings!$C$6,1,IF(Settings!$B$24="USD",1/INDEX(Settings!$B$29:$B$40,MONTH(A617)),INDEX(Settings!$B$29:$B$40,MONTH(A617)))))</f>
        <v/>
      </c>
    </row>
    <row r="618" customFormat="false" ht="15" hidden="false" customHeight="false" outlineLevel="0" collapsed="false">
      <c r="H618" s="0" t="str">
        <f aca="false">IF(B618="","",IF(COUNTIF(Campaigns!$A$7:$A$300,B618)&gt;0,"✓","⚠ add to Campaigns tab"))</f>
        <v/>
      </c>
      <c r="I618" s="84" t="str">
        <f aca="false">IF(C618="","",C618*IF(Settings!$B$24=Settings!$C$6,1,IF(Settings!$B$24="USD",1/INDEX(Settings!$B$29:$B$40,MONTH(A618)),INDEX(Settings!$B$29:$B$40,MONTH(A618)))))</f>
        <v/>
      </c>
    </row>
    <row r="619" customFormat="false" ht="15" hidden="false" customHeight="false" outlineLevel="0" collapsed="false">
      <c r="H619" s="0" t="str">
        <f aca="false">IF(B619="","",IF(COUNTIF(Campaigns!$A$7:$A$300,B619)&gt;0,"✓","⚠ add to Campaigns tab"))</f>
        <v/>
      </c>
      <c r="I619" s="84" t="str">
        <f aca="false">IF(C619="","",C619*IF(Settings!$B$24=Settings!$C$6,1,IF(Settings!$B$24="USD",1/INDEX(Settings!$B$29:$B$40,MONTH(A619)),INDEX(Settings!$B$29:$B$40,MONTH(A619)))))</f>
        <v/>
      </c>
    </row>
    <row r="620" customFormat="false" ht="15" hidden="false" customHeight="false" outlineLevel="0" collapsed="false">
      <c r="H620" s="0" t="str">
        <f aca="false">IF(B620="","",IF(COUNTIF(Campaigns!$A$7:$A$300,B620)&gt;0,"✓","⚠ add to Campaigns tab"))</f>
        <v/>
      </c>
      <c r="I620" s="84" t="str">
        <f aca="false">IF(C620="","",C620*IF(Settings!$B$24=Settings!$C$6,1,IF(Settings!$B$24="USD",1/INDEX(Settings!$B$29:$B$40,MONTH(A620)),INDEX(Settings!$B$29:$B$40,MONTH(A620)))))</f>
        <v/>
      </c>
    </row>
    <row r="621" customFormat="false" ht="15" hidden="false" customHeight="false" outlineLevel="0" collapsed="false">
      <c r="H621" s="0" t="str">
        <f aca="false">IF(B621="","",IF(COUNTIF(Campaigns!$A$7:$A$300,B621)&gt;0,"✓","⚠ add to Campaigns tab"))</f>
        <v/>
      </c>
      <c r="I621" s="84" t="str">
        <f aca="false">IF(C621="","",C621*IF(Settings!$B$24=Settings!$C$6,1,IF(Settings!$B$24="USD",1/INDEX(Settings!$B$29:$B$40,MONTH(A621)),INDEX(Settings!$B$29:$B$40,MONTH(A621)))))</f>
        <v/>
      </c>
    </row>
    <row r="622" customFormat="false" ht="15" hidden="false" customHeight="false" outlineLevel="0" collapsed="false">
      <c r="H622" s="0" t="str">
        <f aca="false">IF(B622="","",IF(COUNTIF(Campaigns!$A$7:$A$300,B622)&gt;0,"✓","⚠ add to Campaigns tab"))</f>
        <v/>
      </c>
      <c r="I622" s="84" t="str">
        <f aca="false">IF(C622="","",C622*IF(Settings!$B$24=Settings!$C$6,1,IF(Settings!$B$24="USD",1/INDEX(Settings!$B$29:$B$40,MONTH(A622)),INDEX(Settings!$B$29:$B$40,MONTH(A622)))))</f>
        <v/>
      </c>
    </row>
    <row r="623" customFormat="false" ht="15" hidden="false" customHeight="false" outlineLevel="0" collapsed="false">
      <c r="H623" s="0" t="str">
        <f aca="false">IF(B623="","",IF(COUNTIF(Campaigns!$A$7:$A$300,B623)&gt;0,"✓","⚠ add to Campaigns tab"))</f>
        <v/>
      </c>
      <c r="I623" s="84" t="str">
        <f aca="false">IF(C623="","",C623*IF(Settings!$B$24=Settings!$C$6,1,IF(Settings!$B$24="USD",1/INDEX(Settings!$B$29:$B$40,MONTH(A623)),INDEX(Settings!$B$29:$B$40,MONTH(A623)))))</f>
        <v/>
      </c>
    </row>
    <row r="624" customFormat="false" ht="15" hidden="false" customHeight="false" outlineLevel="0" collapsed="false">
      <c r="H624" s="0" t="str">
        <f aca="false">IF(B624="","",IF(COUNTIF(Campaigns!$A$7:$A$300,B624)&gt;0,"✓","⚠ add to Campaigns tab"))</f>
        <v/>
      </c>
      <c r="I624" s="84" t="str">
        <f aca="false">IF(C624="","",C624*IF(Settings!$B$24=Settings!$C$6,1,IF(Settings!$B$24="USD",1/INDEX(Settings!$B$29:$B$40,MONTH(A624)),INDEX(Settings!$B$29:$B$40,MONTH(A624)))))</f>
        <v/>
      </c>
    </row>
    <row r="625" customFormat="false" ht="15" hidden="false" customHeight="false" outlineLevel="0" collapsed="false">
      <c r="H625" s="0" t="str">
        <f aca="false">IF(B625="","",IF(COUNTIF(Campaigns!$A$7:$A$300,B625)&gt;0,"✓","⚠ add to Campaigns tab"))</f>
        <v/>
      </c>
      <c r="I625" s="84" t="str">
        <f aca="false">IF(C625="","",C625*IF(Settings!$B$24=Settings!$C$6,1,IF(Settings!$B$24="USD",1/INDEX(Settings!$B$29:$B$40,MONTH(A625)),INDEX(Settings!$B$29:$B$40,MONTH(A625)))))</f>
        <v/>
      </c>
    </row>
    <row r="626" customFormat="false" ht="15" hidden="false" customHeight="false" outlineLevel="0" collapsed="false">
      <c r="H626" s="0" t="str">
        <f aca="false">IF(B626="","",IF(COUNTIF(Campaigns!$A$7:$A$300,B626)&gt;0,"✓","⚠ add to Campaigns tab"))</f>
        <v/>
      </c>
      <c r="I626" s="84" t="str">
        <f aca="false">IF(C626="","",C626*IF(Settings!$B$24=Settings!$C$6,1,IF(Settings!$B$24="USD",1/INDEX(Settings!$B$29:$B$40,MONTH(A626)),INDEX(Settings!$B$29:$B$40,MONTH(A626)))))</f>
        <v/>
      </c>
    </row>
    <row r="627" customFormat="false" ht="15" hidden="false" customHeight="false" outlineLevel="0" collapsed="false">
      <c r="H627" s="0" t="str">
        <f aca="false">IF(B627="","",IF(COUNTIF(Campaigns!$A$7:$A$300,B627)&gt;0,"✓","⚠ add to Campaigns tab"))</f>
        <v/>
      </c>
      <c r="I627" s="84" t="str">
        <f aca="false">IF(C627="","",C627*IF(Settings!$B$24=Settings!$C$6,1,IF(Settings!$B$24="USD",1/INDEX(Settings!$B$29:$B$40,MONTH(A627)),INDEX(Settings!$B$29:$B$40,MONTH(A627)))))</f>
        <v/>
      </c>
    </row>
    <row r="628" customFormat="false" ht="15" hidden="false" customHeight="false" outlineLevel="0" collapsed="false">
      <c r="H628" s="0" t="str">
        <f aca="false">IF(B628="","",IF(COUNTIF(Campaigns!$A$7:$A$300,B628)&gt;0,"✓","⚠ add to Campaigns tab"))</f>
        <v/>
      </c>
      <c r="I628" s="84" t="str">
        <f aca="false">IF(C628="","",C628*IF(Settings!$B$24=Settings!$C$6,1,IF(Settings!$B$24="USD",1/INDEX(Settings!$B$29:$B$40,MONTH(A628)),INDEX(Settings!$B$29:$B$40,MONTH(A628)))))</f>
        <v/>
      </c>
    </row>
    <row r="629" customFormat="false" ht="15" hidden="false" customHeight="false" outlineLevel="0" collapsed="false">
      <c r="H629" s="0" t="str">
        <f aca="false">IF(B629="","",IF(COUNTIF(Campaigns!$A$7:$A$300,B629)&gt;0,"✓","⚠ add to Campaigns tab"))</f>
        <v/>
      </c>
      <c r="I629" s="84" t="str">
        <f aca="false">IF(C629="","",C629*IF(Settings!$B$24=Settings!$C$6,1,IF(Settings!$B$24="USD",1/INDEX(Settings!$B$29:$B$40,MONTH(A629)),INDEX(Settings!$B$29:$B$40,MONTH(A629)))))</f>
        <v/>
      </c>
    </row>
    <row r="630" customFormat="false" ht="15" hidden="false" customHeight="false" outlineLevel="0" collapsed="false">
      <c r="H630" s="0" t="str">
        <f aca="false">IF(B630="","",IF(COUNTIF(Campaigns!$A$7:$A$300,B630)&gt;0,"✓","⚠ add to Campaigns tab"))</f>
        <v/>
      </c>
      <c r="I630" s="84" t="str">
        <f aca="false">IF(C630="","",C630*IF(Settings!$B$24=Settings!$C$6,1,IF(Settings!$B$24="USD",1/INDEX(Settings!$B$29:$B$40,MONTH(A630)),INDEX(Settings!$B$29:$B$40,MONTH(A630)))))</f>
        <v/>
      </c>
    </row>
    <row r="631" customFormat="false" ht="15" hidden="false" customHeight="false" outlineLevel="0" collapsed="false">
      <c r="H631" s="0" t="str">
        <f aca="false">IF(B631="","",IF(COUNTIF(Campaigns!$A$7:$A$300,B631)&gt;0,"✓","⚠ add to Campaigns tab"))</f>
        <v/>
      </c>
      <c r="I631" s="84" t="str">
        <f aca="false">IF(C631="","",C631*IF(Settings!$B$24=Settings!$C$6,1,IF(Settings!$B$24="USD",1/INDEX(Settings!$B$29:$B$40,MONTH(A631)),INDEX(Settings!$B$29:$B$40,MONTH(A631)))))</f>
        <v/>
      </c>
    </row>
    <row r="632" customFormat="false" ht="15" hidden="false" customHeight="false" outlineLevel="0" collapsed="false">
      <c r="H632" s="0" t="str">
        <f aca="false">IF(B632="","",IF(COUNTIF(Campaigns!$A$7:$A$300,B632)&gt;0,"✓","⚠ add to Campaigns tab"))</f>
        <v/>
      </c>
      <c r="I632" s="84" t="str">
        <f aca="false">IF(C632="","",C632*IF(Settings!$B$24=Settings!$C$6,1,IF(Settings!$B$24="USD",1/INDEX(Settings!$B$29:$B$40,MONTH(A632)),INDEX(Settings!$B$29:$B$40,MONTH(A632)))))</f>
        <v/>
      </c>
    </row>
    <row r="633" customFormat="false" ht="15" hidden="false" customHeight="false" outlineLevel="0" collapsed="false">
      <c r="H633" s="0" t="str">
        <f aca="false">IF(B633="","",IF(COUNTIF(Campaigns!$A$7:$A$300,B633)&gt;0,"✓","⚠ add to Campaigns tab"))</f>
        <v/>
      </c>
      <c r="I633" s="84" t="str">
        <f aca="false">IF(C633="","",C633*IF(Settings!$B$24=Settings!$C$6,1,IF(Settings!$B$24="USD",1/INDEX(Settings!$B$29:$B$40,MONTH(A633)),INDEX(Settings!$B$29:$B$40,MONTH(A633)))))</f>
        <v/>
      </c>
    </row>
    <row r="634" customFormat="false" ht="15" hidden="false" customHeight="false" outlineLevel="0" collapsed="false">
      <c r="H634" s="0" t="str">
        <f aca="false">IF(B634="","",IF(COUNTIF(Campaigns!$A$7:$A$300,B634)&gt;0,"✓","⚠ add to Campaigns tab"))</f>
        <v/>
      </c>
      <c r="I634" s="84" t="str">
        <f aca="false">IF(C634="","",C634*IF(Settings!$B$24=Settings!$C$6,1,IF(Settings!$B$24="USD",1/INDEX(Settings!$B$29:$B$40,MONTH(A634)),INDEX(Settings!$B$29:$B$40,MONTH(A634)))))</f>
        <v/>
      </c>
    </row>
    <row r="635" customFormat="false" ht="15" hidden="false" customHeight="false" outlineLevel="0" collapsed="false">
      <c r="H635" s="0" t="str">
        <f aca="false">IF(B635="","",IF(COUNTIF(Campaigns!$A$7:$A$300,B635)&gt;0,"✓","⚠ add to Campaigns tab"))</f>
        <v/>
      </c>
      <c r="I635" s="84" t="str">
        <f aca="false">IF(C635="","",C635*IF(Settings!$B$24=Settings!$C$6,1,IF(Settings!$B$24="USD",1/INDEX(Settings!$B$29:$B$40,MONTH(A635)),INDEX(Settings!$B$29:$B$40,MONTH(A635)))))</f>
        <v/>
      </c>
    </row>
    <row r="636" customFormat="false" ht="15" hidden="false" customHeight="false" outlineLevel="0" collapsed="false">
      <c r="H636" s="0" t="str">
        <f aca="false">IF(B636="","",IF(COUNTIF(Campaigns!$A$7:$A$300,B636)&gt;0,"✓","⚠ add to Campaigns tab"))</f>
        <v/>
      </c>
      <c r="I636" s="84" t="str">
        <f aca="false">IF(C636="","",C636*IF(Settings!$B$24=Settings!$C$6,1,IF(Settings!$B$24="USD",1/INDEX(Settings!$B$29:$B$40,MONTH(A636)),INDEX(Settings!$B$29:$B$40,MONTH(A636)))))</f>
        <v/>
      </c>
    </row>
    <row r="637" customFormat="false" ht="15" hidden="false" customHeight="false" outlineLevel="0" collapsed="false">
      <c r="H637" s="0" t="str">
        <f aca="false">IF(B637="","",IF(COUNTIF(Campaigns!$A$7:$A$300,B637)&gt;0,"✓","⚠ add to Campaigns tab"))</f>
        <v/>
      </c>
      <c r="I637" s="84" t="str">
        <f aca="false">IF(C637="","",C637*IF(Settings!$B$24=Settings!$C$6,1,IF(Settings!$B$24="USD",1/INDEX(Settings!$B$29:$B$40,MONTH(A637)),INDEX(Settings!$B$29:$B$40,MONTH(A637)))))</f>
        <v/>
      </c>
    </row>
    <row r="638" customFormat="false" ht="15" hidden="false" customHeight="false" outlineLevel="0" collapsed="false">
      <c r="H638" s="0" t="str">
        <f aca="false">IF(B638="","",IF(COUNTIF(Campaigns!$A$7:$A$300,B638)&gt;0,"✓","⚠ add to Campaigns tab"))</f>
        <v/>
      </c>
      <c r="I638" s="84" t="str">
        <f aca="false">IF(C638="","",C638*IF(Settings!$B$24=Settings!$C$6,1,IF(Settings!$B$24="USD",1/INDEX(Settings!$B$29:$B$40,MONTH(A638)),INDEX(Settings!$B$29:$B$40,MONTH(A638)))))</f>
        <v/>
      </c>
    </row>
    <row r="639" customFormat="false" ht="15" hidden="false" customHeight="false" outlineLevel="0" collapsed="false">
      <c r="H639" s="0" t="str">
        <f aca="false">IF(B639="","",IF(COUNTIF(Campaigns!$A$7:$A$300,B639)&gt;0,"✓","⚠ add to Campaigns tab"))</f>
        <v/>
      </c>
      <c r="I639" s="84" t="str">
        <f aca="false">IF(C639="","",C639*IF(Settings!$B$24=Settings!$C$6,1,IF(Settings!$B$24="USD",1/INDEX(Settings!$B$29:$B$40,MONTH(A639)),INDEX(Settings!$B$29:$B$40,MONTH(A639)))))</f>
        <v/>
      </c>
    </row>
    <row r="640" customFormat="false" ht="15" hidden="false" customHeight="false" outlineLevel="0" collapsed="false">
      <c r="H640" s="0" t="str">
        <f aca="false">IF(B640="","",IF(COUNTIF(Campaigns!$A$7:$A$300,B640)&gt;0,"✓","⚠ add to Campaigns tab"))</f>
        <v/>
      </c>
      <c r="I640" s="84" t="str">
        <f aca="false">IF(C640="","",C640*IF(Settings!$B$24=Settings!$C$6,1,IF(Settings!$B$24="USD",1/INDEX(Settings!$B$29:$B$40,MONTH(A640)),INDEX(Settings!$B$29:$B$40,MONTH(A640)))))</f>
        <v/>
      </c>
    </row>
    <row r="641" customFormat="false" ht="15" hidden="false" customHeight="false" outlineLevel="0" collapsed="false">
      <c r="H641" s="0" t="str">
        <f aca="false">IF(B641="","",IF(COUNTIF(Campaigns!$A$7:$A$300,B641)&gt;0,"✓","⚠ add to Campaigns tab"))</f>
        <v/>
      </c>
      <c r="I641" s="84" t="str">
        <f aca="false">IF(C641="","",C641*IF(Settings!$B$24=Settings!$C$6,1,IF(Settings!$B$24="USD",1/INDEX(Settings!$B$29:$B$40,MONTH(A641)),INDEX(Settings!$B$29:$B$40,MONTH(A641)))))</f>
        <v/>
      </c>
    </row>
    <row r="642" customFormat="false" ht="15" hidden="false" customHeight="false" outlineLevel="0" collapsed="false">
      <c r="H642" s="0" t="str">
        <f aca="false">IF(B642="","",IF(COUNTIF(Campaigns!$A$7:$A$300,B642)&gt;0,"✓","⚠ add to Campaigns tab"))</f>
        <v/>
      </c>
      <c r="I642" s="84" t="str">
        <f aca="false">IF(C642="","",C642*IF(Settings!$B$24=Settings!$C$6,1,IF(Settings!$B$24="USD",1/INDEX(Settings!$B$29:$B$40,MONTH(A642)),INDEX(Settings!$B$29:$B$40,MONTH(A642)))))</f>
        <v/>
      </c>
    </row>
    <row r="643" customFormat="false" ht="15" hidden="false" customHeight="false" outlineLevel="0" collapsed="false">
      <c r="H643" s="0" t="str">
        <f aca="false">IF(B643="","",IF(COUNTIF(Campaigns!$A$7:$A$300,B643)&gt;0,"✓","⚠ add to Campaigns tab"))</f>
        <v/>
      </c>
      <c r="I643" s="84" t="str">
        <f aca="false">IF(C643="","",C643*IF(Settings!$B$24=Settings!$C$6,1,IF(Settings!$B$24="USD",1/INDEX(Settings!$B$29:$B$40,MONTH(A643)),INDEX(Settings!$B$29:$B$40,MONTH(A643)))))</f>
        <v/>
      </c>
    </row>
    <row r="644" customFormat="false" ht="15" hidden="false" customHeight="false" outlineLevel="0" collapsed="false">
      <c r="H644" s="0" t="str">
        <f aca="false">IF(B644="","",IF(COUNTIF(Campaigns!$A$7:$A$300,B644)&gt;0,"✓","⚠ add to Campaigns tab"))</f>
        <v/>
      </c>
      <c r="I644" s="84" t="str">
        <f aca="false">IF(C644="","",C644*IF(Settings!$B$24=Settings!$C$6,1,IF(Settings!$B$24="USD",1/INDEX(Settings!$B$29:$B$40,MONTH(A644)),INDEX(Settings!$B$29:$B$40,MONTH(A644)))))</f>
        <v/>
      </c>
    </row>
    <row r="645" customFormat="false" ht="15" hidden="false" customHeight="false" outlineLevel="0" collapsed="false">
      <c r="H645" s="0" t="str">
        <f aca="false">IF(B645="","",IF(COUNTIF(Campaigns!$A$7:$A$300,B645)&gt;0,"✓","⚠ add to Campaigns tab"))</f>
        <v/>
      </c>
      <c r="I645" s="84" t="str">
        <f aca="false">IF(C645="","",C645*IF(Settings!$B$24=Settings!$C$6,1,IF(Settings!$B$24="USD",1/INDEX(Settings!$B$29:$B$40,MONTH(A645)),INDEX(Settings!$B$29:$B$40,MONTH(A645)))))</f>
        <v/>
      </c>
    </row>
    <row r="646" customFormat="false" ht="15" hidden="false" customHeight="false" outlineLevel="0" collapsed="false">
      <c r="H646" s="0" t="str">
        <f aca="false">IF(B646="","",IF(COUNTIF(Campaigns!$A$7:$A$300,B646)&gt;0,"✓","⚠ add to Campaigns tab"))</f>
        <v/>
      </c>
      <c r="I646" s="84" t="str">
        <f aca="false">IF(C646="","",C646*IF(Settings!$B$24=Settings!$C$6,1,IF(Settings!$B$24="USD",1/INDEX(Settings!$B$29:$B$40,MONTH(A646)),INDEX(Settings!$B$29:$B$40,MONTH(A646)))))</f>
        <v/>
      </c>
    </row>
    <row r="647" customFormat="false" ht="15" hidden="false" customHeight="false" outlineLevel="0" collapsed="false">
      <c r="H647" s="0" t="str">
        <f aca="false">IF(B647="","",IF(COUNTIF(Campaigns!$A$7:$A$300,B647)&gt;0,"✓","⚠ add to Campaigns tab"))</f>
        <v/>
      </c>
      <c r="I647" s="84" t="str">
        <f aca="false">IF(C647="","",C647*IF(Settings!$B$24=Settings!$C$6,1,IF(Settings!$B$24="USD",1/INDEX(Settings!$B$29:$B$40,MONTH(A647)),INDEX(Settings!$B$29:$B$40,MONTH(A647)))))</f>
        <v/>
      </c>
    </row>
    <row r="648" customFormat="false" ht="15" hidden="false" customHeight="false" outlineLevel="0" collapsed="false">
      <c r="H648" s="0" t="str">
        <f aca="false">IF(B648="","",IF(COUNTIF(Campaigns!$A$7:$A$300,B648)&gt;0,"✓","⚠ add to Campaigns tab"))</f>
        <v/>
      </c>
      <c r="I648" s="84" t="str">
        <f aca="false">IF(C648="","",C648*IF(Settings!$B$24=Settings!$C$6,1,IF(Settings!$B$24="USD",1/INDEX(Settings!$B$29:$B$40,MONTH(A648)),INDEX(Settings!$B$29:$B$40,MONTH(A648)))))</f>
        <v/>
      </c>
    </row>
    <row r="649" customFormat="false" ht="15" hidden="false" customHeight="false" outlineLevel="0" collapsed="false">
      <c r="H649" s="0" t="str">
        <f aca="false">IF(B649="","",IF(COUNTIF(Campaigns!$A$7:$A$300,B649)&gt;0,"✓","⚠ add to Campaigns tab"))</f>
        <v/>
      </c>
      <c r="I649" s="84" t="str">
        <f aca="false">IF(C649="","",C649*IF(Settings!$B$24=Settings!$C$6,1,IF(Settings!$B$24="USD",1/INDEX(Settings!$B$29:$B$40,MONTH(A649)),INDEX(Settings!$B$29:$B$40,MONTH(A649)))))</f>
        <v/>
      </c>
    </row>
    <row r="650" customFormat="false" ht="15" hidden="false" customHeight="false" outlineLevel="0" collapsed="false">
      <c r="H650" s="0" t="str">
        <f aca="false">IF(B650="","",IF(COUNTIF(Campaigns!$A$7:$A$300,B650)&gt;0,"✓","⚠ add to Campaigns tab"))</f>
        <v/>
      </c>
      <c r="I650" s="84" t="str">
        <f aca="false">IF(C650="","",C650*IF(Settings!$B$24=Settings!$C$6,1,IF(Settings!$B$24="USD",1/INDEX(Settings!$B$29:$B$40,MONTH(A650)),INDEX(Settings!$B$29:$B$40,MONTH(A650)))))</f>
        <v/>
      </c>
    </row>
    <row r="651" customFormat="false" ht="15" hidden="false" customHeight="false" outlineLevel="0" collapsed="false">
      <c r="H651" s="0" t="str">
        <f aca="false">IF(B651="","",IF(COUNTIF(Campaigns!$A$7:$A$300,B651)&gt;0,"✓","⚠ add to Campaigns tab"))</f>
        <v/>
      </c>
      <c r="I651" s="84" t="str">
        <f aca="false">IF(C651="","",C651*IF(Settings!$B$24=Settings!$C$6,1,IF(Settings!$B$24="USD",1/INDEX(Settings!$B$29:$B$40,MONTH(A651)),INDEX(Settings!$B$29:$B$40,MONTH(A651)))))</f>
        <v/>
      </c>
    </row>
    <row r="652" customFormat="false" ht="15" hidden="false" customHeight="false" outlineLevel="0" collapsed="false">
      <c r="H652" s="0" t="str">
        <f aca="false">IF(B652="","",IF(COUNTIF(Campaigns!$A$7:$A$300,B652)&gt;0,"✓","⚠ add to Campaigns tab"))</f>
        <v/>
      </c>
      <c r="I652" s="84" t="str">
        <f aca="false">IF(C652="","",C652*IF(Settings!$B$24=Settings!$C$6,1,IF(Settings!$B$24="USD",1/INDEX(Settings!$B$29:$B$40,MONTH(A652)),INDEX(Settings!$B$29:$B$40,MONTH(A652)))))</f>
        <v/>
      </c>
    </row>
    <row r="653" customFormat="false" ht="15" hidden="false" customHeight="false" outlineLevel="0" collapsed="false">
      <c r="H653" s="0" t="str">
        <f aca="false">IF(B653="","",IF(COUNTIF(Campaigns!$A$7:$A$300,B653)&gt;0,"✓","⚠ add to Campaigns tab"))</f>
        <v/>
      </c>
      <c r="I653" s="84" t="str">
        <f aca="false">IF(C653="","",C653*IF(Settings!$B$24=Settings!$C$6,1,IF(Settings!$B$24="USD",1/INDEX(Settings!$B$29:$B$40,MONTH(A653)),INDEX(Settings!$B$29:$B$40,MONTH(A653)))))</f>
        <v/>
      </c>
    </row>
    <row r="654" customFormat="false" ht="15" hidden="false" customHeight="false" outlineLevel="0" collapsed="false">
      <c r="H654" s="0" t="str">
        <f aca="false">IF(B654="","",IF(COUNTIF(Campaigns!$A$7:$A$300,B654)&gt;0,"✓","⚠ add to Campaigns tab"))</f>
        <v/>
      </c>
      <c r="I654" s="84" t="str">
        <f aca="false">IF(C654="","",C654*IF(Settings!$B$24=Settings!$C$6,1,IF(Settings!$B$24="USD",1/INDEX(Settings!$B$29:$B$40,MONTH(A654)),INDEX(Settings!$B$29:$B$40,MONTH(A654)))))</f>
        <v/>
      </c>
    </row>
    <row r="655" customFormat="false" ht="15" hidden="false" customHeight="false" outlineLevel="0" collapsed="false">
      <c r="H655" s="0" t="str">
        <f aca="false">IF(B655="","",IF(COUNTIF(Campaigns!$A$7:$A$300,B655)&gt;0,"✓","⚠ add to Campaigns tab"))</f>
        <v/>
      </c>
      <c r="I655" s="84" t="str">
        <f aca="false">IF(C655="","",C655*IF(Settings!$B$24=Settings!$C$6,1,IF(Settings!$B$24="USD",1/INDEX(Settings!$B$29:$B$40,MONTH(A655)),INDEX(Settings!$B$29:$B$40,MONTH(A655)))))</f>
        <v/>
      </c>
    </row>
    <row r="656" customFormat="false" ht="15" hidden="false" customHeight="false" outlineLevel="0" collapsed="false">
      <c r="H656" s="0" t="str">
        <f aca="false">IF(B656="","",IF(COUNTIF(Campaigns!$A$7:$A$300,B656)&gt;0,"✓","⚠ add to Campaigns tab"))</f>
        <v/>
      </c>
      <c r="I656" s="84" t="str">
        <f aca="false">IF(C656="","",C656*IF(Settings!$B$24=Settings!$C$6,1,IF(Settings!$B$24="USD",1/INDEX(Settings!$B$29:$B$40,MONTH(A656)),INDEX(Settings!$B$29:$B$40,MONTH(A656)))))</f>
        <v/>
      </c>
    </row>
    <row r="657" customFormat="false" ht="15" hidden="false" customHeight="false" outlineLevel="0" collapsed="false">
      <c r="H657" s="0" t="str">
        <f aca="false">IF(B657="","",IF(COUNTIF(Campaigns!$A$7:$A$300,B657)&gt;0,"✓","⚠ add to Campaigns tab"))</f>
        <v/>
      </c>
      <c r="I657" s="84" t="str">
        <f aca="false">IF(C657="","",C657*IF(Settings!$B$24=Settings!$C$6,1,IF(Settings!$B$24="USD",1/INDEX(Settings!$B$29:$B$40,MONTH(A657)),INDEX(Settings!$B$29:$B$40,MONTH(A657)))))</f>
        <v/>
      </c>
    </row>
    <row r="658" customFormat="false" ht="15" hidden="false" customHeight="false" outlineLevel="0" collapsed="false">
      <c r="H658" s="0" t="str">
        <f aca="false">IF(B658="","",IF(COUNTIF(Campaigns!$A$7:$A$300,B658)&gt;0,"✓","⚠ add to Campaigns tab"))</f>
        <v/>
      </c>
      <c r="I658" s="84" t="str">
        <f aca="false">IF(C658="","",C658*IF(Settings!$B$24=Settings!$C$6,1,IF(Settings!$B$24="USD",1/INDEX(Settings!$B$29:$B$40,MONTH(A658)),INDEX(Settings!$B$29:$B$40,MONTH(A658)))))</f>
        <v/>
      </c>
    </row>
    <row r="659" customFormat="false" ht="15" hidden="false" customHeight="false" outlineLevel="0" collapsed="false">
      <c r="H659" s="0" t="str">
        <f aca="false">IF(B659="","",IF(COUNTIF(Campaigns!$A$7:$A$300,B659)&gt;0,"✓","⚠ add to Campaigns tab"))</f>
        <v/>
      </c>
      <c r="I659" s="84" t="str">
        <f aca="false">IF(C659="","",C659*IF(Settings!$B$24=Settings!$C$6,1,IF(Settings!$B$24="USD",1/INDEX(Settings!$B$29:$B$40,MONTH(A659)),INDEX(Settings!$B$29:$B$40,MONTH(A659)))))</f>
        <v/>
      </c>
    </row>
    <row r="660" customFormat="false" ht="15" hidden="false" customHeight="false" outlineLevel="0" collapsed="false">
      <c r="H660" s="0" t="str">
        <f aca="false">IF(B660="","",IF(COUNTIF(Campaigns!$A$7:$A$300,B660)&gt;0,"✓","⚠ add to Campaigns tab"))</f>
        <v/>
      </c>
      <c r="I660" s="84" t="str">
        <f aca="false">IF(C660="","",C660*IF(Settings!$B$24=Settings!$C$6,1,IF(Settings!$B$24="USD",1/INDEX(Settings!$B$29:$B$40,MONTH(A660)),INDEX(Settings!$B$29:$B$40,MONTH(A660)))))</f>
        <v/>
      </c>
    </row>
    <row r="661" customFormat="false" ht="15" hidden="false" customHeight="false" outlineLevel="0" collapsed="false">
      <c r="H661" s="0" t="str">
        <f aca="false">IF(B661="","",IF(COUNTIF(Campaigns!$A$7:$A$300,B661)&gt;0,"✓","⚠ add to Campaigns tab"))</f>
        <v/>
      </c>
      <c r="I661" s="84" t="str">
        <f aca="false">IF(C661="","",C661*IF(Settings!$B$24=Settings!$C$6,1,IF(Settings!$B$24="USD",1/INDEX(Settings!$B$29:$B$40,MONTH(A661)),INDEX(Settings!$B$29:$B$40,MONTH(A661)))))</f>
        <v/>
      </c>
    </row>
    <row r="662" customFormat="false" ht="15" hidden="false" customHeight="false" outlineLevel="0" collapsed="false">
      <c r="H662" s="0" t="str">
        <f aca="false">IF(B662="","",IF(COUNTIF(Campaigns!$A$7:$A$300,B662)&gt;0,"✓","⚠ add to Campaigns tab"))</f>
        <v/>
      </c>
      <c r="I662" s="84" t="str">
        <f aca="false">IF(C662="","",C662*IF(Settings!$B$24=Settings!$C$6,1,IF(Settings!$B$24="USD",1/INDEX(Settings!$B$29:$B$40,MONTH(A662)),INDEX(Settings!$B$29:$B$40,MONTH(A662)))))</f>
        <v/>
      </c>
    </row>
    <row r="663" customFormat="false" ht="15" hidden="false" customHeight="false" outlineLevel="0" collapsed="false">
      <c r="H663" s="0" t="str">
        <f aca="false">IF(B663="","",IF(COUNTIF(Campaigns!$A$7:$A$300,B663)&gt;0,"✓","⚠ add to Campaigns tab"))</f>
        <v/>
      </c>
      <c r="I663" s="84" t="str">
        <f aca="false">IF(C663="","",C663*IF(Settings!$B$24=Settings!$C$6,1,IF(Settings!$B$24="USD",1/INDEX(Settings!$B$29:$B$40,MONTH(A663)),INDEX(Settings!$B$29:$B$40,MONTH(A663)))))</f>
        <v/>
      </c>
    </row>
    <row r="664" customFormat="false" ht="15" hidden="false" customHeight="false" outlineLevel="0" collapsed="false">
      <c r="H664" s="0" t="str">
        <f aca="false">IF(B664="","",IF(COUNTIF(Campaigns!$A$7:$A$300,B664)&gt;0,"✓","⚠ add to Campaigns tab"))</f>
        <v/>
      </c>
      <c r="I664" s="84" t="str">
        <f aca="false">IF(C664="","",C664*IF(Settings!$B$24=Settings!$C$6,1,IF(Settings!$B$24="USD",1/INDEX(Settings!$B$29:$B$40,MONTH(A664)),INDEX(Settings!$B$29:$B$40,MONTH(A664)))))</f>
        <v/>
      </c>
    </row>
    <row r="665" customFormat="false" ht="15" hidden="false" customHeight="false" outlineLevel="0" collapsed="false">
      <c r="H665" s="0" t="str">
        <f aca="false">IF(B665="","",IF(COUNTIF(Campaigns!$A$7:$A$300,B665)&gt;0,"✓","⚠ add to Campaigns tab"))</f>
        <v/>
      </c>
      <c r="I665" s="84" t="str">
        <f aca="false">IF(C665="","",C665*IF(Settings!$B$24=Settings!$C$6,1,IF(Settings!$B$24="USD",1/INDEX(Settings!$B$29:$B$40,MONTH(A665)),INDEX(Settings!$B$29:$B$40,MONTH(A665)))))</f>
        <v/>
      </c>
    </row>
    <row r="666" customFormat="false" ht="15" hidden="false" customHeight="false" outlineLevel="0" collapsed="false">
      <c r="H666" s="0" t="str">
        <f aca="false">IF(B666="","",IF(COUNTIF(Campaigns!$A$7:$A$300,B666)&gt;0,"✓","⚠ add to Campaigns tab"))</f>
        <v/>
      </c>
      <c r="I666" s="84" t="str">
        <f aca="false">IF(C666="","",C666*IF(Settings!$B$24=Settings!$C$6,1,IF(Settings!$B$24="USD",1/INDEX(Settings!$B$29:$B$40,MONTH(A666)),INDEX(Settings!$B$29:$B$40,MONTH(A666)))))</f>
        <v/>
      </c>
    </row>
    <row r="667" customFormat="false" ht="15" hidden="false" customHeight="false" outlineLevel="0" collapsed="false">
      <c r="H667" s="0" t="str">
        <f aca="false">IF(B667="","",IF(COUNTIF(Campaigns!$A$7:$A$300,B667)&gt;0,"✓","⚠ add to Campaigns tab"))</f>
        <v/>
      </c>
      <c r="I667" s="84" t="str">
        <f aca="false">IF(C667="","",C667*IF(Settings!$B$24=Settings!$C$6,1,IF(Settings!$B$24="USD",1/INDEX(Settings!$B$29:$B$40,MONTH(A667)),INDEX(Settings!$B$29:$B$40,MONTH(A667)))))</f>
        <v/>
      </c>
    </row>
    <row r="668" customFormat="false" ht="15" hidden="false" customHeight="false" outlineLevel="0" collapsed="false">
      <c r="H668" s="0" t="str">
        <f aca="false">IF(B668="","",IF(COUNTIF(Campaigns!$A$7:$A$300,B668)&gt;0,"✓","⚠ add to Campaigns tab"))</f>
        <v/>
      </c>
      <c r="I668" s="84" t="str">
        <f aca="false">IF(C668="","",C668*IF(Settings!$B$24=Settings!$C$6,1,IF(Settings!$B$24="USD",1/INDEX(Settings!$B$29:$B$40,MONTH(A668)),INDEX(Settings!$B$29:$B$40,MONTH(A668)))))</f>
        <v/>
      </c>
    </row>
    <row r="669" customFormat="false" ht="15" hidden="false" customHeight="false" outlineLevel="0" collapsed="false">
      <c r="H669" s="0" t="str">
        <f aca="false">IF(B669="","",IF(COUNTIF(Campaigns!$A$7:$A$300,B669)&gt;0,"✓","⚠ add to Campaigns tab"))</f>
        <v/>
      </c>
      <c r="I669" s="84" t="str">
        <f aca="false">IF(C669="","",C669*IF(Settings!$B$24=Settings!$C$6,1,IF(Settings!$B$24="USD",1/INDEX(Settings!$B$29:$B$40,MONTH(A669)),INDEX(Settings!$B$29:$B$40,MONTH(A669)))))</f>
        <v/>
      </c>
    </row>
    <row r="670" customFormat="false" ht="15" hidden="false" customHeight="false" outlineLevel="0" collapsed="false">
      <c r="H670" s="0" t="str">
        <f aca="false">IF(B670="","",IF(COUNTIF(Campaigns!$A$7:$A$300,B670)&gt;0,"✓","⚠ add to Campaigns tab"))</f>
        <v/>
      </c>
      <c r="I670" s="84" t="str">
        <f aca="false">IF(C670="","",C670*IF(Settings!$B$24=Settings!$C$6,1,IF(Settings!$B$24="USD",1/INDEX(Settings!$B$29:$B$40,MONTH(A670)),INDEX(Settings!$B$29:$B$40,MONTH(A670)))))</f>
        <v/>
      </c>
    </row>
    <row r="671" customFormat="false" ht="15" hidden="false" customHeight="false" outlineLevel="0" collapsed="false">
      <c r="H671" s="0" t="str">
        <f aca="false">IF(B671="","",IF(COUNTIF(Campaigns!$A$7:$A$300,B671)&gt;0,"✓","⚠ add to Campaigns tab"))</f>
        <v/>
      </c>
      <c r="I671" s="84" t="str">
        <f aca="false">IF(C671="","",C671*IF(Settings!$B$24=Settings!$C$6,1,IF(Settings!$B$24="USD",1/INDEX(Settings!$B$29:$B$40,MONTH(A671)),INDEX(Settings!$B$29:$B$40,MONTH(A671)))))</f>
        <v/>
      </c>
    </row>
    <row r="672" customFormat="false" ht="15" hidden="false" customHeight="false" outlineLevel="0" collapsed="false">
      <c r="H672" s="0" t="str">
        <f aca="false">IF(B672="","",IF(COUNTIF(Campaigns!$A$7:$A$300,B672)&gt;0,"✓","⚠ add to Campaigns tab"))</f>
        <v/>
      </c>
      <c r="I672" s="84" t="str">
        <f aca="false">IF(C672="","",C672*IF(Settings!$B$24=Settings!$C$6,1,IF(Settings!$B$24="USD",1/INDEX(Settings!$B$29:$B$40,MONTH(A672)),INDEX(Settings!$B$29:$B$40,MONTH(A672)))))</f>
        <v/>
      </c>
    </row>
    <row r="673" customFormat="false" ht="15" hidden="false" customHeight="false" outlineLevel="0" collapsed="false">
      <c r="H673" s="0" t="str">
        <f aca="false">IF(B673="","",IF(COUNTIF(Campaigns!$A$7:$A$300,B673)&gt;0,"✓","⚠ add to Campaigns tab"))</f>
        <v/>
      </c>
      <c r="I673" s="84" t="str">
        <f aca="false">IF(C673="","",C673*IF(Settings!$B$24=Settings!$C$6,1,IF(Settings!$B$24="USD",1/INDEX(Settings!$B$29:$B$40,MONTH(A673)),INDEX(Settings!$B$29:$B$40,MONTH(A673)))))</f>
        <v/>
      </c>
    </row>
    <row r="674" customFormat="false" ht="15" hidden="false" customHeight="false" outlineLevel="0" collapsed="false">
      <c r="H674" s="0" t="str">
        <f aca="false">IF(B674="","",IF(COUNTIF(Campaigns!$A$7:$A$300,B674)&gt;0,"✓","⚠ add to Campaigns tab"))</f>
        <v/>
      </c>
      <c r="I674" s="84" t="str">
        <f aca="false">IF(C674="","",C674*IF(Settings!$B$24=Settings!$C$6,1,IF(Settings!$B$24="USD",1/INDEX(Settings!$B$29:$B$40,MONTH(A674)),INDEX(Settings!$B$29:$B$40,MONTH(A674)))))</f>
        <v/>
      </c>
    </row>
    <row r="675" customFormat="false" ht="15" hidden="false" customHeight="false" outlineLevel="0" collapsed="false">
      <c r="H675" s="0" t="str">
        <f aca="false">IF(B675="","",IF(COUNTIF(Campaigns!$A$7:$A$300,B675)&gt;0,"✓","⚠ add to Campaigns tab"))</f>
        <v/>
      </c>
      <c r="I675" s="84" t="str">
        <f aca="false">IF(C675="","",C675*IF(Settings!$B$24=Settings!$C$6,1,IF(Settings!$B$24="USD",1/INDEX(Settings!$B$29:$B$40,MONTH(A675)),INDEX(Settings!$B$29:$B$40,MONTH(A675)))))</f>
        <v/>
      </c>
    </row>
    <row r="676" customFormat="false" ht="15" hidden="false" customHeight="false" outlineLevel="0" collapsed="false">
      <c r="H676" s="0" t="str">
        <f aca="false">IF(B676="","",IF(COUNTIF(Campaigns!$A$7:$A$300,B676)&gt;0,"✓","⚠ add to Campaigns tab"))</f>
        <v/>
      </c>
      <c r="I676" s="84" t="str">
        <f aca="false">IF(C676="","",C676*IF(Settings!$B$24=Settings!$C$6,1,IF(Settings!$B$24="USD",1/INDEX(Settings!$B$29:$B$40,MONTH(A676)),INDEX(Settings!$B$29:$B$40,MONTH(A676)))))</f>
        <v/>
      </c>
    </row>
    <row r="677" customFormat="false" ht="15" hidden="false" customHeight="false" outlineLevel="0" collapsed="false">
      <c r="H677" s="0" t="str">
        <f aca="false">IF(B677="","",IF(COUNTIF(Campaigns!$A$7:$A$300,B677)&gt;0,"✓","⚠ add to Campaigns tab"))</f>
        <v/>
      </c>
      <c r="I677" s="84" t="str">
        <f aca="false">IF(C677="","",C677*IF(Settings!$B$24=Settings!$C$6,1,IF(Settings!$B$24="USD",1/INDEX(Settings!$B$29:$B$40,MONTH(A677)),INDEX(Settings!$B$29:$B$40,MONTH(A677)))))</f>
        <v/>
      </c>
    </row>
    <row r="678" customFormat="false" ht="15" hidden="false" customHeight="false" outlineLevel="0" collapsed="false">
      <c r="H678" s="0" t="str">
        <f aca="false">IF(B678="","",IF(COUNTIF(Campaigns!$A$7:$A$300,B678)&gt;0,"✓","⚠ add to Campaigns tab"))</f>
        <v/>
      </c>
      <c r="I678" s="84" t="str">
        <f aca="false">IF(C678="","",C678*IF(Settings!$B$24=Settings!$C$6,1,IF(Settings!$B$24="USD",1/INDEX(Settings!$B$29:$B$40,MONTH(A678)),INDEX(Settings!$B$29:$B$40,MONTH(A678)))))</f>
        <v/>
      </c>
    </row>
    <row r="679" customFormat="false" ht="15" hidden="false" customHeight="false" outlineLevel="0" collapsed="false">
      <c r="H679" s="0" t="str">
        <f aca="false">IF(B679="","",IF(COUNTIF(Campaigns!$A$7:$A$300,B679)&gt;0,"✓","⚠ add to Campaigns tab"))</f>
        <v/>
      </c>
      <c r="I679" s="84" t="str">
        <f aca="false">IF(C679="","",C679*IF(Settings!$B$24=Settings!$C$6,1,IF(Settings!$B$24="USD",1/INDEX(Settings!$B$29:$B$40,MONTH(A679)),INDEX(Settings!$B$29:$B$40,MONTH(A679)))))</f>
        <v/>
      </c>
    </row>
    <row r="680" customFormat="false" ht="15" hidden="false" customHeight="false" outlineLevel="0" collapsed="false">
      <c r="H680" s="0" t="str">
        <f aca="false">IF(B680="","",IF(COUNTIF(Campaigns!$A$7:$A$300,B680)&gt;0,"✓","⚠ add to Campaigns tab"))</f>
        <v/>
      </c>
      <c r="I680" s="84" t="str">
        <f aca="false">IF(C680="","",C680*IF(Settings!$B$24=Settings!$C$6,1,IF(Settings!$B$24="USD",1/INDEX(Settings!$B$29:$B$40,MONTH(A680)),INDEX(Settings!$B$29:$B$40,MONTH(A680)))))</f>
        <v/>
      </c>
    </row>
    <row r="681" customFormat="false" ht="15" hidden="false" customHeight="false" outlineLevel="0" collapsed="false">
      <c r="H681" s="0" t="str">
        <f aca="false">IF(B681="","",IF(COUNTIF(Campaigns!$A$7:$A$300,B681)&gt;0,"✓","⚠ add to Campaigns tab"))</f>
        <v/>
      </c>
      <c r="I681" s="84" t="str">
        <f aca="false">IF(C681="","",C681*IF(Settings!$B$24=Settings!$C$6,1,IF(Settings!$B$24="USD",1/INDEX(Settings!$B$29:$B$40,MONTH(A681)),INDEX(Settings!$B$29:$B$40,MONTH(A681)))))</f>
        <v/>
      </c>
    </row>
    <row r="682" customFormat="false" ht="15" hidden="false" customHeight="false" outlineLevel="0" collapsed="false">
      <c r="H682" s="0" t="str">
        <f aca="false">IF(B682="","",IF(COUNTIF(Campaigns!$A$7:$A$300,B682)&gt;0,"✓","⚠ add to Campaigns tab"))</f>
        <v/>
      </c>
      <c r="I682" s="84" t="str">
        <f aca="false">IF(C682="","",C682*IF(Settings!$B$24=Settings!$C$6,1,IF(Settings!$B$24="USD",1/INDEX(Settings!$B$29:$B$40,MONTH(A682)),INDEX(Settings!$B$29:$B$40,MONTH(A682)))))</f>
        <v/>
      </c>
    </row>
    <row r="683" customFormat="false" ht="15" hidden="false" customHeight="false" outlineLevel="0" collapsed="false">
      <c r="H683" s="0" t="str">
        <f aca="false">IF(B683="","",IF(COUNTIF(Campaigns!$A$7:$A$300,B683)&gt;0,"✓","⚠ add to Campaigns tab"))</f>
        <v/>
      </c>
      <c r="I683" s="84" t="str">
        <f aca="false">IF(C683="","",C683*IF(Settings!$B$24=Settings!$C$6,1,IF(Settings!$B$24="USD",1/INDEX(Settings!$B$29:$B$40,MONTH(A683)),INDEX(Settings!$B$29:$B$40,MONTH(A683)))))</f>
        <v/>
      </c>
    </row>
    <row r="684" customFormat="false" ht="15" hidden="false" customHeight="false" outlineLevel="0" collapsed="false">
      <c r="H684" s="0" t="str">
        <f aca="false">IF(B684="","",IF(COUNTIF(Campaigns!$A$7:$A$300,B684)&gt;0,"✓","⚠ add to Campaigns tab"))</f>
        <v/>
      </c>
      <c r="I684" s="84" t="str">
        <f aca="false">IF(C684="","",C684*IF(Settings!$B$24=Settings!$C$6,1,IF(Settings!$B$24="USD",1/INDEX(Settings!$B$29:$B$40,MONTH(A684)),INDEX(Settings!$B$29:$B$40,MONTH(A684)))))</f>
        <v/>
      </c>
    </row>
    <row r="685" customFormat="false" ht="15" hidden="false" customHeight="false" outlineLevel="0" collapsed="false">
      <c r="H685" s="0" t="str">
        <f aca="false">IF(B685="","",IF(COUNTIF(Campaigns!$A$7:$A$300,B685)&gt;0,"✓","⚠ add to Campaigns tab"))</f>
        <v/>
      </c>
      <c r="I685" s="84" t="str">
        <f aca="false">IF(C685="","",C685*IF(Settings!$B$24=Settings!$C$6,1,IF(Settings!$B$24="USD",1/INDEX(Settings!$B$29:$B$40,MONTH(A685)),INDEX(Settings!$B$29:$B$40,MONTH(A685)))))</f>
        <v/>
      </c>
    </row>
    <row r="686" customFormat="false" ht="15" hidden="false" customHeight="false" outlineLevel="0" collapsed="false">
      <c r="H686" s="0" t="str">
        <f aca="false">IF(B686="","",IF(COUNTIF(Campaigns!$A$7:$A$300,B686)&gt;0,"✓","⚠ add to Campaigns tab"))</f>
        <v/>
      </c>
      <c r="I686" s="84" t="str">
        <f aca="false">IF(C686="","",C686*IF(Settings!$B$24=Settings!$C$6,1,IF(Settings!$B$24="USD",1/INDEX(Settings!$B$29:$B$40,MONTH(A686)),INDEX(Settings!$B$29:$B$40,MONTH(A686)))))</f>
        <v/>
      </c>
    </row>
    <row r="687" customFormat="false" ht="15" hidden="false" customHeight="false" outlineLevel="0" collapsed="false">
      <c r="H687" s="0" t="str">
        <f aca="false">IF(B687="","",IF(COUNTIF(Campaigns!$A$7:$A$300,B687)&gt;0,"✓","⚠ add to Campaigns tab"))</f>
        <v/>
      </c>
      <c r="I687" s="84" t="str">
        <f aca="false">IF(C687="","",C687*IF(Settings!$B$24=Settings!$C$6,1,IF(Settings!$B$24="USD",1/INDEX(Settings!$B$29:$B$40,MONTH(A687)),INDEX(Settings!$B$29:$B$40,MONTH(A687)))))</f>
        <v/>
      </c>
    </row>
    <row r="688" customFormat="false" ht="15" hidden="false" customHeight="false" outlineLevel="0" collapsed="false">
      <c r="H688" s="0" t="str">
        <f aca="false">IF(B688="","",IF(COUNTIF(Campaigns!$A$7:$A$300,B688)&gt;0,"✓","⚠ add to Campaigns tab"))</f>
        <v/>
      </c>
      <c r="I688" s="84" t="str">
        <f aca="false">IF(C688="","",C688*IF(Settings!$B$24=Settings!$C$6,1,IF(Settings!$B$24="USD",1/INDEX(Settings!$B$29:$B$40,MONTH(A688)),INDEX(Settings!$B$29:$B$40,MONTH(A688)))))</f>
        <v/>
      </c>
    </row>
    <row r="689" customFormat="false" ht="15" hidden="false" customHeight="false" outlineLevel="0" collapsed="false">
      <c r="H689" s="0" t="str">
        <f aca="false">IF(B689="","",IF(COUNTIF(Campaigns!$A$7:$A$300,B689)&gt;0,"✓","⚠ add to Campaigns tab"))</f>
        <v/>
      </c>
      <c r="I689" s="84" t="str">
        <f aca="false">IF(C689="","",C689*IF(Settings!$B$24=Settings!$C$6,1,IF(Settings!$B$24="USD",1/INDEX(Settings!$B$29:$B$40,MONTH(A689)),INDEX(Settings!$B$29:$B$40,MONTH(A689)))))</f>
        <v/>
      </c>
    </row>
    <row r="690" customFormat="false" ht="15" hidden="false" customHeight="false" outlineLevel="0" collapsed="false">
      <c r="H690" s="0" t="str">
        <f aca="false">IF(B690="","",IF(COUNTIF(Campaigns!$A$7:$A$300,B690)&gt;0,"✓","⚠ add to Campaigns tab"))</f>
        <v/>
      </c>
      <c r="I690" s="84" t="str">
        <f aca="false">IF(C690="","",C690*IF(Settings!$B$24=Settings!$C$6,1,IF(Settings!$B$24="USD",1/INDEX(Settings!$B$29:$B$40,MONTH(A690)),INDEX(Settings!$B$29:$B$40,MONTH(A690)))))</f>
        <v/>
      </c>
    </row>
    <row r="691" customFormat="false" ht="15" hidden="false" customHeight="false" outlineLevel="0" collapsed="false">
      <c r="H691" s="0" t="str">
        <f aca="false">IF(B691="","",IF(COUNTIF(Campaigns!$A$7:$A$300,B691)&gt;0,"✓","⚠ add to Campaigns tab"))</f>
        <v/>
      </c>
      <c r="I691" s="84" t="str">
        <f aca="false">IF(C691="","",C691*IF(Settings!$B$24=Settings!$C$6,1,IF(Settings!$B$24="USD",1/INDEX(Settings!$B$29:$B$40,MONTH(A691)),INDEX(Settings!$B$29:$B$40,MONTH(A691)))))</f>
        <v/>
      </c>
    </row>
    <row r="692" customFormat="false" ht="15" hidden="false" customHeight="false" outlineLevel="0" collapsed="false">
      <c r="H692" s="0" t="str">
        <f aca="false">IF(B692="","",IF(COUNTIF(Campaigns!$A$7:$A$300,B692)&gt;0,"✓","⚠ add to Campaigns tab"))</f>
        <v/>
      </c>
      <c r="I692" s="84" t="str">
        <f aca="false">IF(C692="","",C692*IF(Settings!$B$24=Settings!$C$6,1,IF(Settings!$B$24="USD",1/INDEX(Settings!$B$29:$B$40,MONTH(A692)),INDEX(Settings!$B$29:$B$40,MONTH(A692)))))</f>
        <v/>
      </c>
    </row>
    <row r="693" customFormat="false" ht="15" hidden="false" customHeight="false" outlineLevel="0" collapsed="false">
      <c r="H693" s="0" t="str">
        <f aca="false">IF(B693="","",IF(COUNTIF(Campaigns!$A$7:$A$300,B693)&gt;0,"✓","⚠ add to Campaigns tab"))</f>
        <v/>
      </c>
      <c r="I693" s="84" t="str">
        <f aca="false">IF(C693="","",C693*IF(Settings!$B$24=Settings!$C$6,1,IF(Settings!$B$24="USD",1/INDEX(Settings!$B$29:$B$40,MONTH(A693)),INDEX(Settings!$B$29:$B$40,MONTH(A693)))))</f>
        <v/>
      </c>
    </row>
    <row r="694" customFormat="false" ht="15" hidden="false" customHeight="false" outlineLevel="0" collapsed="false">
      <c r="H694" s="0" t="str">
        <f aca="false">IF(B694="","",IF(COUNTIF(Campaigns!$A$7:$A$300,B694)&gt;0,"✓","⚠ add to Campaigns tab"))</f>
        <v/>
      </c>
      <c r="I694" s="84" t="str">
        <f aca="false">IF(C694="","",C694*IF(Settings!$B$24=Settings!$C$6,1,IF(Settings!$B$24="USD",1/INDEX(Settings!$B$29:$B$40,MONTH(A694)),INDEX(Settings!$B$29:$B$40,MONTH(A694)))))</f>
        <v/>
      </c>
    </row>
    <row r="695" customFormat="false" ht="15" hidden="false" customHeight="false" outlineLevel="0" collapsed="false">
      <c r="H695" s="0" t="str">
        <f aca="false">IF(B695="","",IF(COUNTIF(Campaigns!$A$7:$A$300,B695)&gt;0,"✓","⚠ add to Campaigns tab"))</f>
        <v/>
      </c>
      <c r="I695" s="84" t="str">
        <f aca="false">IF(C695="","",C695*IF(Settings!$B$24=Settings!$C$6,1,IF(Settings!$B$24="USD",1/INDEX(Settings!$B$29:$B$40,MONTH(A695)),INDEX(Settings!$B$29:$B$40,MONTH(A695)))))</f>
        <v/>
      </c>
    </row>
    <row r="696" customFormat="false" ht="15" hidden="false" customHeight="false" outlineLevel="0" collapsed="false">
      <c r="H696" s="0" t="str">
        <f aca="false">IF(B696="","",IF(COUNTIF(Campaigns!$A$7:$A$300,B696)&gt;0,"✓","⚠ add to Campaigns tab"))</f>
        <v/>
      </c>
      <c r="I696" s="84" t="str">
        <f aca="false">IF(C696="","",C696*IF(Settings!$B$24=Settings!$C$6,1,IF(Settings!$B$24="USD",1/INDEX(Settings!$B$29:$B$40,MONTH(A696)),INDEX(Settings!$B$29:$B$40,MONTH(A696)))))</f>
        <v/>
      </c>
    </row>
    <row r="697" customFormat="false" ht="15" hidden="false" customHeight="false" outlineLevel="0" collapsed="false">
      <c r="H697" s="0" t="str">
        <f aca="false">IF(B697="","",IF(COUNTIF(Campaigns!$A$7:$A$300,B697)&gt;0,"✓","⚠ add to Campaigns tab"))</f>
        <v/>
      </c>
      <c r="I697" s="84" t="str">
        <f aca="false">IF(C697="","",C697*IF(Settings!$B$24=Settings!$C$6,1,IF(Settings!$B$24="USD",1/INDEX(Settings!$B$29:$B$40,MONTH(A697)),INDEX(Settings!$B$29:$B$40,MONTH(A697)))))</f>
        <v/>
      </c>
    </row>
    <row r="698" customFormat="false" ht="15" hidden="false" customHeight="false" outlineLevel="0" collapsed="false">
      <c r="H698" s="0" t="str">
        <f aca="false">IF(B698="","",IF(COUNTIF(Campaigns!$A$7:$A$300,B698)&gt;0,"✓","⚠ add to Campaigns tab"))</f>
        <v/>
      </c>
      <c r="I698" s="84" t="str">
        <f aca="false">IF(C698="","",C698*IF(Settings!$B$24=Settings!$C$6,1,IF(Settings!$B$24="USD",1/INDEX(Settings!$B$29:$B$40,MONTH(A698)),INDEX(Settings!$B$29:$B$40,MONTH(A698)))))</f>
        <v/>
      </c>
    </row>
    <row r="699" customFormat="false" ht="15" hidden="false" customHeight="false" outlineLevel="0" collapsed="false">
      <c r="H699" s="0" t="str">
        <f aca="false">IF(B699="","",IF(COUNTIF(Campaigns!$A$7:$A$300,B699)&gt;0,"✓","⚠ add to Campaigns tab"))</f>
        <v/>
      </c>
      <c r="I699" s="84" t="str">
        <f aca="false">IF(C699="","",C699*IF(Settings!$B$24=Settings!$C$6,1,IF(Settings!$B$24="USD",1/INDEX(Settings!$B$29:$B$40,MONTH(A699)),INDEX(Settings!$B$29:$B$40,MONTH(A699)))))</f>
        <v/>
      </c>
    </row>
    <row r="700" customFormat="false" ht="15" hidden="false" customHeight="false" outlineLevel="0" collapsed="false">
      <c r="H700" s="0" t="str">
        <f aca="false">IF(B700="","",IF(COUNTIF(Campaigns!$A$7:$A$300,B700)&gt;0,"✓","⚠ add to Campaigns tab"))</f>
        <v/>
      </c>
      <c r="I700" s="84" t="str">
        <f aca="false">IF(C700="","",C700*IF(Settings!$B$24=Settings!$C$6,1,IF(Settings!$B$24="USD",1/INDEX(Settings!$B$29:$B$40,MONTH(A700)),INDEX(Settings!$B$29:$B$40,MONTH(A700)))))</f>
        <v/>
      </c>
    </row>
    <row r="701" customFormat="false" ht="15" hidden="false" customHeight="false" outlineLevel="0" collapsed="false">
      <c r="H701" s="0" t="str">
        <f aca="false">IF(B701="","",IF(COUNTIF(Campaigns!$A$7:$A$300,B701)&gt;0,"✓","⚠ add to Campaigns tab"))</f>
        <v/>
      </c>
      <c r="I701" s="84" t="str">
        <f aca="false">IF(C701="","",C701*IF(Settings!$B$24=Settings!$C$6,1,IF(Settings!$B$24="USD",1/INDEX(Settings!$B$29:$B$40,MONTH(A701)),INDEX(Settings!$B$29:$B$40,MONTH(A701)))))</f>
        <v/>
      </c>
    </row>
    <row r="702" customFormat="false" ht="15" hidden="false" customHeight="false" outlineLevel="0" collapsed="false">
      <c r="H702" s="0" t="str">
        <f aca="false">IF(B702="","",IF(COUNTIF(Campaigns!$A$7:$A$300,B702)&gt;0,"✓","⚠ add to Campaigns tab"))</f>
        <v/>
      </c>
      <c r="I702" s="84" t="str">
        <f aca="false">IF(C702="","",C702*IF(Settings!$B$24=Settings!$C$6,1,IF(Settings!$B$24="USD",1/INDEX(Settings!$B$29:$B$40,MONTH(A702)),INDEX(Settings!$B$29:$B$40,MONTH(A702)))))</f>
        <v/>
      </c>
    </row>
    <row r="703" customFormat="false" ht="15" hidden="false" customHeight="false" outlineLevel="0" collapsed="false">
      <c r="H703" s="0" t="str">
        <f aca="false">IF(B703="","",IF(COUNTIF(Campaigns!$A$7:$A$300,B703)&gt;0,"✓","⚠ add to Campaigns tab"))</f>
        <v/>
      </c>
      <c r="I703" s="84" t="str">
        <f aca="false">IF(C703="","",C703*IF(Settings!$B$24=Settings!$C$6,1,IF(Settings!$B$24="USD",1/INDEX(Settings!$B$29:$B$40,MONTH(A703)),INDEX(Settings!$B$29:$B$40,MONTH(A703)))))</f>
        <v/>
      </c>
    </row>
    <row r="704" customFormat="false" ht="15" hidden="false" customHeight="false" outlineLevel="0" collapsed="false">
      <c r="H704" s="0" t="str">
        <f aca="false">IF(B704="","",IF(COUNTIF(Campaigns!$A$7:$A$300,B704)&gt;0,"✓","⚠ add to Campaigns tab"))</f>
        <v/>
      </c>
      <c r="I704" s="84" t="str">
        <f aca="false">IF(C704="","",C704*IF(Settings!$B$24=Settings!$C$6,1,IF(Settings!$B$24="USD",1/INDEX(Settings!$B$29:$B$40,MONTH(A704)),INDEX(Settings!$B$29:$B$40,MONTH(A704)))))</f>
        <v/>
      </c>
    </row>
    <row r="705" customFormat="false" ht="15" hidden="false" customHeight="false" outlineLevel="0" collapsed="false">
      <c r="H705" s="0" t="str">
        <f aca="false">IF(B705="","",IF(COUNTIF(Campaigns!$A$7:$A$300,B705)&gt;0,"✓","⚠ add to Campaigns tab"))</f>
        <v/>
      </c>
      <c r="I705" s="84" t="str">
        <f aca="false">IF(C705="","",C705*IF(Settings!$B$24=Settings!$C$6,1,IF(Settings!$B$24="USD",1/INDEX(Settings!$B$29:$B$40,MONTH(A705)),INDEX(Settings!$B$29:$B$40,MONTH(A705)))))</f>
        <v/>
      </c>
    </row>
    <row r="706" customFormat="false" ht="15" hidden="false" customHeight="false" outlineLevel="0" collapsed="false">
      <c r="H706" s="0" t="str">
        <f aca="false">IF(B706="","",IF(COUNTIF(Campaigns!$A$7:$A$300,B706)&gt;0,"✓","⚠ add to Campaigns tab"))</f>
        <v/>
      </c>
      <c r="I706" s="84" t="str">
        <f aca="false">IF(C706="","",C706*IF(Settings!$B$24=Settings!$C$6,1,IF(Settings!$B$24="USD",1/INDEX(Settings!$B$29:$B$40,MONTH(A706)),INDEX(Settings!$B$29:$B$40,MONTH(A706)))))</f>
        <v/>
      </c>
    </row>
    <row r="707" customFormat="false" ht="15" hidden="false" customHeight="false" outlineLevel="0" collapsed="false">
      <c r="H707" s="0" t="str">
        <f aca="false">IF(B707="","",IF(COUNTIF(Campaigns!$A$7:$A$300,B707)&gt;0,"✓","⚠ add to Campaigns tab"))</f>
        <v/>
      </c>
      <c r="I707" s="84" t="str">
        <f aca="false">IF(C707="","",C707*IF(Settings!$B$24=Settings!$C$6,1,IF(Settings!$B$24="USD",1/INDEX(Settings!$B$29:$B$40,MONTH(A707)),INDEX(Settings!$B$29:$B$40,MONTH(A707)))))</f>
        <v/>
      </c>
    </row>
    <row r="708" customFormat="false" ht="15" hidden="false" customHeight="false" outlineLevel="0" collapsed="false">
      <c r="H708" s="0" t="str">
        <f aca="false">IF(B708="","",IF(COUNTIF(Campaigns!$A$7:$A$300,B708)&gt;0,"✓","⚠ add to Campaigns tab"))</f>
        <v/>
      </c>
      <c r="I708" s="84" t="str">
        <f aca="false">IF(C708="","",C708*IF(Settings!$B$24=Settings!$C$6,1,IF(Settings!$B$24="USD",1/INDEX(Settings!$B$29:$B$40,MONTH(A708)),INDEX(Settings!$B$29:$B$40,MONTH(A708)))))</f>
        <v/>
      </c>
    </row>
    <row r="709" customFormat="false" ht="15" hidden="false" customHeight="false" outlineLevel="0" collapsed="false">
      <c r="H709" s="0" t="str">
        <f aca="false">IF(B709="","",IF(COUNTIF(Campaigns!$A$7:$A$300,B709)&gt;0,"✓","⚠ add to Campaigns tab"))</f>
        <v/>
      </c>
      <c r="I709" s="84" t="str">
        <f aca="false">IF(C709="","",C709*IF(Settings!$B$24=Settings!$C$6,1,IF(Settings!$B$24="USD",1/INDEX(Settings!$B$29:$B$40,MONTH(A709)),INDEX(Settings!$B$29:$B$40,MONTH(A709)))))</f>
        <v/>
      </c>
    </row>
    <row r="710" customFormat="false" ht="15" hidden="false" customHeight="false" outlineLevel="0" collapsed="false">
      <c r="H710" s="0" t="str">
        <f aca="false">IF(B710="","",IF(COUNTIF(Campaigns!$A$7:$A$300,B710)&gt;0,"✓","⚠ add to Campaigns tab"))</f>
        <v/>
      </c>
      <c r="I710" s="84" t="str">
        <f aca="false">IF(C710="","",C710*IF(Settings!$B$24=Settings!$C$6,1,IF(Settings!$B$24="USD",1/INDEX(Settings!$B$29:$B$40,MONTH(A710)),INDEX(Settings!$B$29:$B$40,MONTH(A710)))))</f>
        <v/>
      </c>
    </row>
    <row r="711" customFormat="false" ht="15" hidden="false" customHeight="false" outlineLevel="0" collapsed="false">
      <c r="H711" s="0" t="str">
        <f aca="false">IF(B711="","",IF(COUNTIF(Campaigns!$A$7:$A$300,B711)&gt;0,"✓","⚠ add to Campaigns tab"))</f>
        <v/>
      </c>
      <c r="I711" s="84" t="str">
        <f aca="false">IF(C711="","",C711*IF(Settings!$B$24=Settings!$C$6,1,IF(Settings!$B$24="USD",1/INDEX(Settings!$B$29:$B$40,MONTH(A711)),INDEX(Settings!$B$29:$B$40,MONTH(A711)))))</f>
        <v/>
      </c>
    </row>
    <row r="712" customFormat="false" ht="15" hidden="false" customHeight="false" outlineLevel="0" collapsed="false">
      <c r="H712" s="0" t="str">
        <f aca="false">IF(B712="","",IF(COUNTIF(Campaigns!$A$7:$A$300,B712)&gt;0,"✓","⚠ add to Campaigns tab"))</f>
        <v/>
      </c>
      <c r="I712" s="84" t="str">
        <f aca="false">IF(C712="","",C712*IF(Settings!$B$24=Settings!$C$6,1,IF(Settings!$B$24="USD",1/INDEX(Settings!$B$29:$B$40,MONTH(A712)),INDEX(Settings!$B$29:$B$40,MONTH(A712)))))</f>
        <v/>
      </c>
    </row>
    <row r="713" customFormat="false" ht="15" hidden="false" customHeight="false" outlineLevel="0" collapsed="false">
      <c r="H713" s="0" t="str">
        <f aca="false">IF(B713="","",IF(COUNTIF(Campaigns!$A$7:$A$300,B713)&gt;0,"✓","⚠ add to Campaigns tab"))</f>
        <v/>
      </c>
      <c r="I713" s="84" t="str">
        <f aca="false">IF(C713="","",C713*IF(Settings!$B$24=Settings!$C$6,1,IF(Settings!$B$24="USD",1/INDEX(Settings!$B$29:$B$40,MONTH(A713)),INDEX(Settings!$B$29:$B$40,MONTH(A713)))))</f>
        <v/>
      </c>
    </row>
    <row r="714" customFormat="false" ht="15" hidden="false" customHeight="false" outlineLevel="0" collapsed="false">
      <c r="H714" s="0" t="str">
        <f aca="false">IF(B714="","",IF(COUNTIF(Campaigns!$A$7:$A$300,B714)&gt;0,"✓","⚠ add to Campaigns tab"))</f>
        <v/>
      </c>
      <c r="I714" s="84" t="str">
        <f aca="false">IF(C714="","",C714*IF(Settings!$B$24=Settings!$C$6,1,IF(Settings!$B$24="USD",1/INDEX(Settings!$B$29:$B$40,MONTH(A714)),INDEX(Settings!$B$29:$B$40,MONTH(A714)))))</f>
        <v/>
      </c>
    </row>
    <row r="715" customFormat="false" ht="15" hidden="false" customHeight="false" outlineLevel="0" collapsed="false">
      <c r="H715" s="0" t="str">
        <f aca="false">IF(B715="","",IF(COUNTIF(Campaigns!$A$7:$A$300,B715)&gt;0,"✓","⚠ add to Campaigns tab"))</f>
        <v/>
      </c>
      <c r="I715" s="84" t="str">
        <f aca="false">IF(C715="","",C715*IF(Settings!$B$24=Settings!$C$6,1,IF(Settings!$B$24="USD",1/INDEX(Settings!$B$29:$B$40,MONTH(A715)),INDEX(Settings!$B$29:$B$40,MONTH(A715)))))</f>
        <v/>
      </c>
    </row>
    <row r="716" customFormat="false" ht="15" hidden="false" customHeight="false" outlineLevel="0" collapsed="false">
      <c r="H716" s="0" t="str">
        <f aca="false">IF(B716="","",IF(COUNTIF(Campaigns!$A$7:$A$300,B716)&gt;0,"✓","⚠ add to Campaigns tab"))</f>
        <v/>
      </c>
      <c r="I716" s="84" t="str">
        <f aca="false">IF(C716="","",C716*IF(Settings!$B$24=Settings!$C$6,1,IF(Settings!$B$24="USD",1/INDEX(Settings!$B$29:$B$40,MONTH(A716)),INDEX(Settings!$B$29:$B$40,MONTH(A716)))))</f>
        <v/>
      </c>
    </row>
    <row r="717" customFormat="false" ht="15" hidden="false" customHeight="false" outlineLevel="0" collapsed="false">
      <c r="H717" s="0" t="str">
        <f aca="false">IF(B717="","",IF(COUNTIF(Campaigns!$A$7:$A$300,B717)&gt;0,"✓","⚠ add to Campaigns tab"))</f>
        <v/>
      </c>
      <c r="I717" s="84" t="str">
        <f aca="false">IF(C717="","",C717*IF(Settings!$B$24=Settings!$C$6,1,IF(Settings!$B$24="USD",1/INDEX(Settings!$B$29:$B$40,MONTH(A717)),INDEX(Settings!$B$29:$B$40,MONTH(A717)))))</f>
        <v/>
      </c>
    </row>
    <row r="718" customFormat="false" ht="15" hidden="false" customHeight="false" outlineLevel="0" collapsed="false">
      <c r="H718" s="0" t="str">
        <f aca="false">IF(B718="","",IF(COUNTIF(Campaigns!$A$7:$A$300,B718)&gt;0,"✓","⚠ add to Campaigns tab"))</f>
        <v/>
      </c>
      <c r="I718" s="84" t="str">
        <f aca="false">IF(C718="","",C718*IF(Settings!$B$24=Settings!$C$6,1,IF(Settings!$B$24="USD",1/INDEX(Settings!$B$29:$B$40,MONTH(A718)),INDEX(Settings!$B$29:$B$40,MONTH(A718)))))</f>
        <v/>
      </c>
    </row>
    <row r="719" customFormat="false" ht="15" hidden="false" customHeight="false" outlineLevel="0" collapsed="false">
      <c r="H719" s="0" t="str">
        <f aca="false">IF(B719="","",IF(COUNTIF(Campaigns!$A$7:$A$300,B719)&gt;0,"✓","⚠ add to Campaigns tab"))</f>
        <v/>
      </c>
      <c r="I719" s="84" t="str">
        <f aca="false">IF(C719="","",C719*IF(Settings!$B$24=Settings!$C$6,1,IF(Settings!$B$24="USD",1/INDEX(Settings!$B$29:$B$40,MONTH(A719)),INDEX(Settings!$B$29:$B$40,MONTH(A719)))))</f>
        <v/>
      </c>
    </row>
    <row r="720" customFormat="false" ht="15" hidden="false" customHeight="false" outlineLevel="0" collapsed="false">
      <c r="H720" s="0" t="str">
        <f aca="false">IF(B720="","",IF(COUNTIF(Campaigns!$A$7:$A$300,B720)&gt;0,"✓","⚠ add to Campaigns tab"))</f>
        <v/>
      </c>
      <c r="I720" s="84" t="str">
        <f aca="false">IF(C720="","",C720*IF(Settings!$B$24=Settings!$C$6,1,IF(Settings!$B$24="USD",1/INDEX(Settings!$B$29:$B$40,MONTH(A720)),INDEX(Settings!$B$29:$B$40,MONTH(A720)))))</f>
        <v/>
      </c>
    </row>
    <row r="721" customFormat="false" ht="15" hidden="false" customHeight="false" outlineLevel="0" collapsed="false">
      <c r="H721" s="0" t="str">
        <f aca="false">IF(B721="","",IF(COUNTIF(Campaigns!$A$7:$A$300,B721)&gt;0,"✓","⚠ add to Campaigns tab"))</f>
        <v/>
      </c>
      <c r="I721" s="84" t="str">
        <f aca="false">IF(C721="","",C721*IF(Settings!$B$24=Settings!$C$6,1,IF(Settings!$B$24="USD",1/INDEX(Settings!$B$29:$B$40,MONTH(A721)),INDEX(Settings!$B$29:$B$40,MONTH(A721)))))</f>
        <v/>
      </c>
    </row>
    <row r="722" customFormat="false" ht="15" hidden="false" customHeight="false" outlineLevel="0" collapsed="false">
      <c r="H722" s="0" t="str">
        <f aca="false">IF(B722="","",IF(COUNTIF(Campaigns!$A$7:$A$300,B722)&gt;0,"✓","⚠ add to Campaigns tab"))</f>
        <v/>
      </c>
      <c r="I722" s="84" t="str">
        <f aca="false">IF(C722="","",C722*IF(Settings!$B$24=Settings!$C$6,1,IF(Settings!$B$24="USD",1/INDEX(Settings!$B$29:$B$40,MONTH(A722)),INDEX(Settings!$B$29:$B$40,MONTH(A722)))))</f>
        <v/>
      </c>
    </row>
    <row r="723" customFormat="false" ht="15" hidden="false" customHeight="false" outlineLevel="0" collapsed="false">
      <c r="H723" s="0" t="str">
        <f aca="false">IF(B723="","",IF(COUNTIF(Campaigns!$A$7:$A$300,B723)&gt;0,"✓","⚠ add to Campaigns tab"))</f>
        <v/>
      </c>
      <c r="I723" s="84" t="str">
        <f aca="false">IF(C723="","",C723*IF(Settings!$B$24=Settings!$C$6,1,IF(Settings!$B$24="USD",1/INDEX(Settings!$B$29:$B$40,MONTH(A723)),INDEX(Settings!$B$29:$B$40,MONTH(A723)))))</f>
        <v/>
      </c>
    </row>
    <row r="724" customFormat="false" ht="15" hidden="false" customHeight="false" outlineLevel="0" collapsed="false">
      <c r="H724" s="0" t="str">
        <f aca="false">IF(B724="","",IF(COUNTIF(Campaigns!$A$7:$A$300,B724)&gt;0,"✓","⚠ add to Campaigns tab"))</f>
        <v/>
      </c>
      <c r="I724" s="84" t="str">
        <f aca="false">IF(C724="","",C724*IF(Settings!$B$24=Settings!$C$6,1,IF(Settings!$B$24="USD",1/INDEX(Settings!$B$29:$B$40,MONTH(A724)),INDEX(Settings!$B$29:$B$40,MONTH(A724)))))</f>
        <v/>
      </c>
    </row>
    <row r="725" customFormat="false" ht="15" hidden="false" customHeight="false" outlineLevel="0" collapsed="false">
      <c r="H725" s="0" t="str">
        <f aca="false">IF(B725="","",IF(COUNTIF(Campaigns!$A$7:$A$300,B725)&gt;0,"✓","⚠ add to Campaigns tab"))</f>
        <v/>
      </c>
      <c r="I725" s="84" t="str">
        <f aca="false">IF(C725="","",C725*IF(Settings!$B$24=Settings!$C$6,1,IF(Settings!$B$24="USD",1/INDEX(Settings!$B$29:$B$40,MONTH(A725)),INDEX(Settings!$B$29:$B$40,MONTH(A725)))))</f>
        <v/>
      </c>
    </row>
    <row r="726" customFormat="false" ht="15" hidden="false" customHeight="false" outlineLevel="0" collapsed="false">
      <c r="H726" s="0" t="str">
        <f aca="false">IF(B726="","",IF(COUNTIF(Campaigns!$A$7:$A$300,B726)&gt;0,"✓","⚠ add to Campaigns tab"))</f>
        <v/>
      </c>
      <c r="I726" s="84" t="str">
        <f aca="false">IF(C726="","",C726*IF(Settings!$B$24=Settings!$C$6,1,IF(Settings!$B$24="USD",1/INDEX(Settings!$B$29:$B$40,MONTH(A726)),INDEX(Settings!$B$29:$B$40,MONTH(A726)))))</f>
        <v/>
      </c>
    </row>
    <row r="727" customFormat="false" ht="15" hidden="false" customHeight="false" outlineLevel="0" collapsed="false">
      <c r="H727" s="0" t="str">
        <f aca="false">IF(B727="","",IF(COUNTIF(Campaigns!$A$7:$A$300,B727)&gt;0,"✓","⚠ add to Campaigns tab"))</f>
        <v/>
      </c>
      <c r="I727" s="84" t="str">
        <f aca="false">IF(C727="","",C727*IF(Settings!$B$24=Settings!$C$6,1,IF(Settings!$B$24="USD",1/INDEX(Settings!$B$29:$B$40,MONTH(A727)),INDEX(Settings!$B$29:$B$40,MONTH(A727)))))</f>
        <v/>
      </c>
    </row>
    <row r="728" customFormat="false" ht="15" hidden="false" customHeight="false" outlineLevel="0" collapsed="false">
      <c r="H728" s="0" t="str">
        <f aca="false">IF(B728="","",IF(COUNTIF(Campaigns!$A$7:$A$300,B728)&gt;0,"✓","⚠ add to Campaigns tab"))</f>
        <v/>
      </c>
      <c r="I728" s="84" t="str">
        <f aca="false">IF(C728="","",C728*IF(Settings!$B$24=Settings!$C$6,1,IF(Settings!$B$24="USD",1/INDEX(Settings!$B$29:$B$40,MONTH(A728)),INDEX(Settings!$B$29:$B$40,MONTH(A728)))))</f>
        <v/>
      </c>
    </row>
    <row r="729" customFormat="false" ht="15" hidden="false" customHeight="false" outlineLevel="0" collapsed="false">
      <c r="H729" s="0" t="str">
        <f aca="false">IF(B729="","",IF(COUNTIF(Campaigns!$A$7:$A$300,B729)&gt;0,"✓","⚠ add to Campaigns tab"))</f>
        <v/>
      </c>
      <c r="I729" s="84" t="str">
        <f aca="false">IF(C729="","",C729*IF(Settings!$B$24=Settings!$C$6,1,IF(Settings!$B$24="USD",1/INDEX(Settings!$B$29:$B$40,MONTH(A729)),INDEX(Settings!$B$29:$B$40,MONTH(A729)))))</f>
        <v/>
      </c>
    </row>
    <row r="730" customFormat="false" ht="15" hidden="false" customHeight="false" outlineLevel="0" collapsed="false">
      <c r="H730" s="0" t="str">
        <f aca="false">IF(B730="","",IF(COUNTIF(Campaigns!$A$7:$A$300,B730)&gt;0,"✓","⚠ add to Campaigns tab"))</f>
        <v/>
      </c>
      <c r="I730" s="84" t="str">
        <f aca="false">IF(C730="","",C730*IF(Settings!$B$24=Settings!$C$6,1,IF(Settings!$B$24="USD",1/INDEX(Settings!$B$29:$B$40,MONTH(A730)),INDEX(Settings!$B$29:$B$40,MONTH(A730)))))</f>
        <v/>
      </c>
    </row>
    <row r="731" customFormat="false" ht="15" hidden="false" customHeight="false" outlineLevel="0" collapsed="false">
      <c r="H731" s="0" t="str">
        <f aca="false">IF(B731="","",IF(COUNTIF(Campaigns!$A$7:$A$300,B731)&gt;0,"✓","⚠ add to Campaigns tab"))</f>
        <v/>
      </c>
      <c r="I731" s="84" t="str">
        <f aca="false">IF(C731="","",C731*IF(Settings!$B$24=Settings!$C$6,1,IF(Settings!$B$24="USD",1/INDEX(Settings!$B$29:$B$40,MONTH(A731)),INDEX(Settings!$B$29:$B$40,MONTH(A731)))))</f>
        <v/>
      </c>
    </row>
    <row r="732" customFormat="false" ht="15" hidden="false" customHeight="false" outlineLevel="0" collapsed="false">
      <c r="H732" s="0" t="str">
        <f aca="false">IF(B732="","",IF(COUNTIF(Campaigns!$A$7:$A$300,B732)&gt;0,"✓","⚠ add to Campaigns tab"))</f>
        <v/>
      </c>
      <c r="I732" s="84" t="str">
        <f aca="false">IF(C732="","",C732*IF(Settings!$B$24=Settings!$C$6,1,IF(Settings!$B$24="USD",1/INDEX(Settings!$B$29:$B$40,MONTH(A732)),INDEX(Settings!$B$29:$B$40,MONTH(A732)))))</f>
        <v/>
      </c>
    </row>
    <row r="733" customFormat="false" ht="15" hidden="false" customHeight="false" outlineLevel="0" collapsed="false">
      <c r="H733" s="0" t="str">
        <f aca="false">IF(B733="","",IF(COUNTIF(Campaigns!$A$7:$A$300,B733)&gt;0,"✓","⚠ add to Campaigns tab"))</f>
        <v/>
      </c>
      <c r="I733" s="84" t="str">
        <f aca="false">IF(C733="","",C733*IF(Settings!$B$24=Settings!$C$6,1,IF(Settings!$B$24="USD",1/INDEX(Settings!$B$29:$B$40,MONTH(A733)),INDEX(Settings!$B$29:$B$40,MONTH(A733)))))</f>
        <v/>
      </c>
    </row>
    <row r="734" customFormat="false" ht="15" hidden="false" customHeight="false" outlineLevel="0" collapsed="false">
      <c r="H734" s="0" t="str">
        <f aca="false">IF(B734="","",IF(COUNTIF(Campaigns!$A$7:$A$300,B734)&gt;0,"✓","⚠ add to Campaigns tab"))</f>
        <v/>
      </c>
      <c r="I734" s="84" t="str">
        <f aca="false">IF(C734="","",C734*IF(Settings!$B$24=Settings!$C$6,1,IF(Settings!$B$24="USD",1/INDEX(Settings!$B$29:$B$40,MONTH(A734)),INDEX(Settings!$B$29:$B$40,MONTH(A734)))))</f>
        <v/>
      </c>
    </row>
    <row r="735" customFormat="false" ht="15" hidden="false" customHeight="false" outlineLevel="0" collapsed="false">
      <c r="H735" s="0" t="str">
        <f aca="false">IF(B735="","",IF(COUNTIF(Campaigns!$A$7:$A$300,B735)&gt;0,"✓","⚠ add to Campaigns tab"))</f>
        <v/>
      </c>
      <c r="I735" s="84" t="str">
        <f aca="false">IF(C735="","",C735*IF(Settings!$B$24=Settings!$C$6,1,IF(Settings!$B$24="USD",1/INDEX(Settings!$B$29:$B$40,MONTH(A735)),INDEX(Settings!$B$29:$B$40,MONTH(A735)))))</f>
        <v/>
      </c>
    </row>
    <row r="736" customFormat="false" ht="15" hidden="false" customHeight="false" outlineLevel="0" collapsed="false">
      <c r="H736" s="0" t="str">
        <f aca="false">IF(B736="","",IF(COUNTIF(Campaigns!$A$7:$A$300,B736)&gt;0,"✓","⚠ add to Campaigns tab"))</f>
        <v/>
      </c>
      <c r="I736" s="84" t="str">
        <f aca="false">IF(C736="","",C736*IF(Settings!$B$24=Settings!$C$6,1,IF(Settings!$B$24="USD",1/INDEX(Settings!$B$29:$B$40,MONTH(A736)),INDEX(Settings!$B$29:$B$40,MONTH(A736)))))</f>
        <v/>
      </c>
    </row>
    <row r="737" customFormat="false" ht="15" hidden="false" customHeight="false" outlineLevel="0" collapsed="false">
      <c r="H737" s="0" t="str">
        <f aca="false">IF(B737="","",IF(COUNTIF(Campaigns!$A$7:$A$300,B737)&gt;0,"✓","⚠ add to Campaigns tab"))</f>
        <v/>
      </c>
      <c r="I737" s="84" t="str">
        <f aca="false">IF(C737="","",C737*IF(Settings!$B$24=Settings!$C$6,1,IF(Settings!$B$24="USD",1/INDEX(Settings!$B$29:$B$40,MONTH(A737)),INDEX(Settings!$B$29:$B$40,MONTH(A737)))))</f>
        <v/>
      </c>
    </row>
    <row r="738" customFormat="false" ht="15" hidden="false" customHeight="false" outlineLevel="0" collapsed="false">
      <c r="H738" s="0" t="str">
        <f aca="false">IF(B738="","",IF(COUNTIF(Campaigns!$A$7:$A$300,B738)&gt;0,"✓","⚠ add to Campaigns tab"))</f>
        <v/>
      </c>
      <c r="I738" s="84" t="str">
        <f aca="false">IF(C738="","",C738*IF(Settings!$B$24=Settings!$C$6,1,IF(Settings!$B$24="USD",1/INDEX(Settings!$B$29:$B$40,MONTH(A738)),INDEX(Settings!$B$29:$B$40,MONTH(A738)))))</f>
        <v/>
      </c>
    </row>
    <row r="739" customFormat="false" ht="15" hidden="false" customHeight="false" outlineLevel="0" collapsed="false">
      <c r="H739" s="0" t="str">
        <f aca="false">IF(B739="","",IF(COUNTIF(Campaigns!$A$7:$A$300,B739)&gt;0,"✓","⚠ add to Campaigns tab"))</f>
        <v/>
      </c>
      <c r="I739" s="84" t="str">
        <f aca="false">IF(C739="","",C739*IF(Settings!$B$24=Settings!$C$6,1,IF(Settings!$B$24="USD",1/INDEX(Settings!$B$29:$B$40,MONTH(A739)),INDEX(Settings!$B$29:$B$40,MONTH(A739)))))</f>
        <v/>
      </c>
    </row>
    <row r="740" customFormat="false" ht="15" hidden="false" customHeight="false" outlineLevel="0" collapsed="false">
      <c r="H740" s="0" t="str">
        <f aca="false">IF(B740="","",IF(COUNTIF(Campaigns!$A$7:$A$300,B740)&gt;0,"✓","⚠ add to Campaigns tab"))</f>
        <v/>
      </c>
      <c r="I740" s="84" t="str">
        <f aca="false">IF(C740="","",C740*IF(Settings!$B$24=Settings!$C$6,1,IF(Settings!$B$24="USD",1/INDEX(Settings!$B$29:$B$40,MONTH(A740)),INDEX(Settings!$B$29:$B$40,MONTH(A740)))))</f>
        <v/>
      </c>
    </row>
    <row r="741" customFormat="false" ht="15" hidden="false" customHeight="false" outlineLevel="0" collapsed="false">
      <c r="H741" s="0" t="str">
        <f aca="false">IF(B741="","",IF(COUNTIF(Campaigns!$A$7:$A$300,B741)&gt;0,"✓","⚠ add to Campaigns tab"))</f>
        <v/>
      </c>
      <c r="I741" s="84" t="str">
        <f aca="false">IF(C741="","",C741*IF(Settings!$B$24=Settings!$C$6,1,IF(Settings!$B$24="USD",1/INDEX(Settings!$B$29:$B$40,MONTH(A741)),INDEX(Settings!$B$29:$B$40,MONTH(A741)))))</f>
        <v/>
      </c>
    </row>
    <row r="742" customFormat="false" ht="15" hidden="false" customHeight="false" outlineLevel="0" collapsed="false">
      <c r="H742" s="0" t="str">
        <f aca="false">IF(B742="","",IF(COUNTIF(Campaigns!$A$7:$A$300,B742)&gt;0,"✓","⚠ add to Campaigns tab"))</f>
        <v/>
      </c>
      <c r="I742" s="84" t="str">
        <f aca="false">IF(C742="","",C742*IF(Settings!$B$24=Settings!$C$6,1,IF(Settings!$B$24="USD",1/INDEX(Settings!$B$29:$B$40,MONTH(A742)),INDEX(Settings!$B$29:$B$40,MONTH(A742)))))</f>
        <v/>
      </c>
    </row>
    <row r="743" customFormat="false" ht="15" hidden="false" customHeight="false" outlineLevel="0" collapsed="false">
      <c r="H743" s="0" t="str">
        <f aca="false">IF(B743="","",IF(COUNTIF(Campaigns!$A$7:$A$300,B743)&gt;0,"✓","⚠ add to Campaigns tab"))</f>
        <v/>
      </c>
      <c r="I743" s="84" t="str">
        <f aca="false">IF(C743="","",C743*IF(Settings!$B$24=Settings!$C$6,1,IF(Settings!$B$24="USD",1/INDEX(Settings!$B$29:$B$40,MONTH(A743)),INDEX(Settings!$B$29:$B$40,MONTH(A743)))))</f>
        <v/>
      </c>
    </row>
    <row r="744" customFormat="false" ht="15" hidden="false" customHeight="false" outlineLevel="0" collapsed="false">
      <c r="H744" s="0" t="str">
        <f aca="false">IF(B744="","",IF(COUNTIF(Campaigns!$A$7:$A$300,B744)&gt;0,"✓","⚠ add to Campaigns tab"))</f>
        <v/>
      </c>
      <c r="I744" s="84" t="str">
        <f aca="false">IF(C744="","",C744*IF(Settings!$B$24=Settings!$C$6,1,IF(Settings!$B$24="USD",1/INDEX(Settings!$B$29:$B$40,MONTH(A744)),INDEX(Settings!$B$29:$B$40,MONTH(A744)))))</f>
        <v/>
      </c>
    </row>
    <row r="745" customFormat="false" ht="15" hidden="false" customHeight="false" outlineLevel="0" collapsed="false">
      <c r="H745" s="0" t="str">
        <f aca="false">IF(B745="","",IF(COUNTIF(Campaigns!$A$7:$A$300,B745)&gt;0,"✓","⚠ add to Campaigns tab"))</f>
        <v/>
      </c>
      <c r="I745" s="84" t="str">
        <f aca="false">IF(C745="","",C745*IF(Settings!$B$24=Settings!$C$6,1,IF(Settings!$B$24="USD",1/INDEX(Settings!$B$29:$B$40,MONTH(A745)),INDEX(Settings!$B$29:$B$40,MONTH(A745)))))</f>
        <v/>
      </c>
    </row>
    <row r="746" customFormat="false" ht="15" hidden="false" customHeight="false" outlineLevel="0" collapsed="false">
      <c r="H746" s="0" t="str">
        <f aca="false">IF(B746="","",IF(COUNTIF(Campaigns!$A$7:$A$300,B746)&gt;0,"✓","⚠ add to Campaigns tab"))</f>
        <v/>
      </c>
      <c r="I746" s="84" t="str">
        <f aca="false">IF(C746="","",C746*IF(Settings!$B$24=Settings!$C$6,1,IF(Settings!$B$24="USD",1/INDEX(Settings!$B$29:$B$40,MONTH(A746)),INDEX(Settings!$B$29:$B$40,MONTH(A746)))))</f>
        <v/>
      </c>
    </row>
    <row r="747" customFormat="false" ht="15" hidden="false" customHeight="false" outlineLevel="0" collapsed="false">
      <c r="H747" s="0" t="str">
        <f aca="false">IF(B747="","",IF(COUNTIF(Campaigns!$A$7:$A$300,B747)&gt;0,"✓","⚠ add to Campaigns tab"))</f>
        <v/>
      </c>
      <c r="I747" s="84" t="str">
        <f aca="false">IF(C747="","",C747*IF(Settings!$B$24=Settings!$C$6,1,IF(Settings!$B$24="USD",1/INDEX(Settings!$B$29:$B$40,MONTH(A747)),INDEX(Settings!$B$29:$B$40,MONTH(A747)))))</f>
        <v/>
      </c>
    </row>
    <row r="748" customFormat="false" ht="15" hidden="false" customHeight="false" outlineLevel="0" collapsed="false">
      <c r="H748" s="0" t="str">
        <f aca="false">IF(B748="","",IF(COUNTIF(Campaigns!$A$7:$A$300,B748)&gt;0,"✓","⚠ add to Campaigns tab"))</f>
        <v/>
      </c>
      <c r="I748" s="84" t="str">
        <f aca="false">IF(C748="","",C748*IF(Settings!$B$24=Settings!$C$6,1,IF(Settings!$B$24="USD",1/INDEX(Settings!$B$29:$B$40,MONTH(A748)),INDEX(Settings!$B$29:$B$40,MONTH(A748)))))</f>
        <v/>
      </c>
    </row>
    <row r="749" customFormat="false" ht="15" hidden="false" customHeight="false" outlineLevel="0" collapsed="false">
      <c r="H749" s="0" t="str">
        <f aca="false">IF(B749="","",IF(COUNTIF(Campaigns!$A$7:$A$300,B749)&gt;0,"✓","⚠ add to Campaigns tab"))</f>
        <v/>
      </c>
      <c r="I749" s="84" t="str">
        <f aca="false">IF(C749="","",C749*IF(Settings!$B$24=Settings!$C$6,1,IF(Settings!$B$24="USD",1/INDEX(Settings!$B$29:$B$40,MONTH(A749)),INDEX(Settings!$B$29:$B$40,MONTH(A749)))))</f>
        <v/>
      </c>
    </row>
    <row r="750" customFormat="false" ht="15" hidden="false" customHeight="false" outlineLevel="0" collapsed="false">
      <c r="H750" s="0" t="str">
        <f aca="false">IF(B750="","",IF(COUNTIF(Campaigns!$A$7:$A$300,B750)&gt;0,"✓","⚠ add to Campaigns tab"))</f>
        <v/>
      </c>
      <c r="I750" s="84" t="str">
        <f aca="false">IF(C750="","",C750*IF(Settings!$B$24=Settings!$C$6,1,IF(Settings!$B$24="USD",1/INDEX(Settings!$B$29:$B$40,MONTH(A750)),INDEX(Settings!$B$29:$B$40,MONTH(A750)))))</f>
        <v/>
      </c>
    </row>
    <row r="751" customFormat="false" ht="15" hidden="false" customHeight="false" outlineLevel="0" collapsed="false">
      <c r="H751" s="0" t="str">
        <f aca="false">IF(B751="","",IF(COUNTIF(Campaigns!$A$7:$A$300,B751)&gt;0,"✓","⚠ add to Campaigns tab"))</f>
        <v/>
      </c>
      <c r="I751" s="84" t="str">
        <f aca="false">IF(C751="","",C751*IF(Settings!$B$24=Settings!$C$6,1,IF(Settings!$B$24="USD",1/INDEX(Settings!$B$29:$B$40,MONTH(A751)),INDEX(Settings!$B$29:$B$40,MONTH(A751)))))</f>
        <v/>
      </c>
    </row>
    <row r="752" customFormat="false" ht="15" hidden="false" customHeight="false" outlineLevel="0" collapsed="false">
      <c r="H752" s="0" t="str">
        <f aca="false">IF(B752="","",IF(COUNTIF(Campaigns!$A$7:$A$300,B752)&gt;0,"✓","⚠ add to Campaigns tab"))</f>
        <v/>
      </c>
      <c r="I752" s="84" t="str">
        <f aca="false">IF(C752="","",C752*IF(Settings!$B$24=Settings!$C$6,1,IF(Settings!$B$24="USD",1/INDEX(Settings!$B$29:$B$40,MONTH(A752)),INDEX(Settings!$B$29:$B$40,MONTH(A752)))))</f>
        <v/>
      </c>
    </row>
    <row r="753" customFormat="false" ht="15" hidden="false" customHeight="false" outlineLevel="0" collapsed="false">
      <c r="H753" s="0" t="str">
        <f aca="false">IF(B753="","",IF(COUNTIF(Campaigns!$A$7:$A$300,B753)&gt;0,"✓","⚠ add to Campaigns tab"))</f>
        <v/>
      </c>
      <c r="I753" s="84" t="str">
        <f aca="false">IF(C753="","",C753*IF(Settings!$B$24=Settings!$C$6,1,IF(Settings!$B$24="USD",1/INDEX(Settings!$B$29:$B$40,MONTH(A753)),INDEX(Settings!$B$29:$B$40,MONTH(A753)))))</f>
        <v/>
      </c>
    </row>
    <row r="754" customFormat="false" ht="15" hidden="false" customHeight="false" outlineLevel="0" collapsed="false">
      <c r="H754" s="0" t="str">
        <f aca="false">IF(B754="","",IF(COUNTIF(Campaigns!$A$7:$A$300,B754)&gt;0,"✓","⚠ add to Campaigns tab"))</f>
        <v/>
      </c>
      <c r="I754" s="84" t="str">
        <f aca="false">IF(C754="","",C754*IF(Settings!$B$24=Settings!$C$6,1,IF(Settings!$B$24="USD",1/INDEX(Settings!$B$29:$B$40,MONTH(A754)),INDEX(Settings!$B$29:$B$40,MONTH(A754)))))</f>
        <v/>
      </c>
    </row>
    <row r="755" customFormat="false" ht="15" hidden="false" customHeight="false" outlineLevel="0" collapsed="false">
      <c r="H755" s="0" t="str">
        <f aca="false">IF(B755="","",IF(COUNTIF(Campaigns!$A$7:$A$300,B755)&gt;0,"✓","⚠ add to Campaigns tab"))</f>
        <v/>
      </c>
      <c r="I755" s="84" t="str">
        <f aca="false">IF(C755="","",C755*IF(Settings!$B$24=Settings!$C$6,1,IF(Settings!$B$24="USD",1/INDEX(Settings!$B$29:$B$40,MONTH(A755)),INDEX(Settings!$B$29:$B$40,MONTH(A755)))))</f>
        <v/>
      </c>
    </row>
    <row r="756" customFormat="false" ht="15" hidden="false" customHeight="false" outlineLevel="0" collapsed="false">
      <c r="H756" s="0" t="str">
        <f aca="false">IF(B756="","",IF(COUNTIF(Campaigns!$A$7:$A$300,B756)&gt;0,"✓","⚠ add to Campaigns tab"))</f>
        <v/>
      </c>
      <c r="I756" s="84" t="str">
        <f aca="false">IF(C756="","",C756*IF(Settings!$B$24=Settings!$C$6,1,IF(Settings!$B$24="USD",1/INDEX(Settings!$B$29:$B$40,MONTH(A756)),INDEX(Settings!$B$29:$B$40,MONTH(A756)))))</f>
        <v/>
      </c>
    </row>
    <row r="757" customFormat="false" ht="15" hidden="false" customHeight="false" outlineLevel="0" collapsed="false">
      <c r="H757" s="0" t="str">
        <f aca="false">IF(B757="","",IF(COUNTIF(Campaigns!$A$7:$A$300,B757)&gt;0,"✓","⚠ add to Campaigns tab"))</f>
        <v/>
      </c>
      <c r="I757" s="84" t="str">
        <f aca="false">IF(C757="","",C757*IF(Settings!$B$24=Settings!$C$6,1,IF(Settings!$B$24="USD",1/INDEX(Settings!$B$29:$B$40,MONTH(A757)),INDEX(Settings!$B$29:$B$40,MONTH(A757)))))</f>
        <v/>
      </c>
    </row>
    <row r="758" customFormat="false" ht="15" hidden="false" customHeight="false" outlineLevel="0" collapsed="false">
      <c r="H758" s="0" t="str">
        <f aca="false">IF(B758="","",IF(COUNTIF(Campaigns!$A$7:$A$300,B758)&gt;0,"✓","⚠ add to Campaigns tab"))</f>
        <v/>
      </c>
      <c r="I758" s="84" t="str">
        <f aca="false">IF(C758="","",C758*IF(Settings!$B$24=Settings!$C$6,1,IF(Settings!$B$24="USD",1/INDEX(Settings!$B$29:$B$40,MONTH(A758)),INDEX(Settings!$B$29:$B$40,MONTH(A758)))))</f>
        <v/>
      </c>
    </row>
    <row r="759" customFormat="false" ht="15" hidden="false" customHeight="false" outlineLevel="0" collapsed="false">
      <c r="H759" s="0" t="str">
        <f aca="false">IF(B759="","",IF(COUNTIF(Campaigns!$A$7:$A$300,B759)&gt;0,"✓","⚠ add to Campaigns tab"))</f>
        <v/>
      </c>
      <c r="I759" s="84" t="str">
        <f aca="false">IF(C759="","",C759*IF(Settings!$B$24=Settings!$C$6,1,IF(Settings!$B$24="USD",1/INDEX(Settings!$B$29:$B$40,MONTH(A759)),INDEX(Settings!$B$29:$B$40,MONTH(A759)))))</f>
        <v/>
      </c>
    </row>
    <row r="760" customFormat="false" ht="15" hidden="false" customHeight="false" outlineLevel="0" collapsed="false">
      <c r="H760" s="0" t="str">
        <f aca="false">IF(B760="","",IF(COUNTIF(Campaigns!$A$7:$A$300,B760)&gt;0,"✓","⚠ add to Campaigns tab"))</f>
        <v/>
      </c>
      <c r="I760" s="84" t="str">
        <f aca="false">IF(C760="","",C760*IF(Settings!$B$24=Settings!$C$6,1,IF(Settings!$B$24="USD",1/INDEX(Settings!$B$29:$B$40,MONTH(A760)),INDEX(Settings!$B$29:$B$40,MONTH(A760)))))</f>
        <v/>
      </c>
    </row>
    <row r="761" customFormat="false" ht="15" hidden="false" customHeight="false" outlineLevel="0" collapsed="false">
      <c r="H761" s="0" t="str">
        <f aca="false">IF(B761="","",IF(COUNTIF(Campaigns!$A$7:$A$300,B761)&gt;0,"✓","⚠ add to Campaigns tab"))</f>
        <v/>
      </c>
      <c r="I761" s="84" t="str">
        <f aca="false">IF(C761="","",C761*IF(Settings!$B$24=Settings!$C$6,1,IF(Settings!$B$24="USD",1/INDEX(Settings!$B$29:$B$40,MONTH(A761)),INDEX(Settings!$B$29:$B$40,MONTH(A761)))))</f>
        <v/>
      </c>
    </row>
    <row r="762" customFormat="false" ht="15" hidden="false" customHeight="false" outlineLevel="0" collapsed="false">
      <c r="H762" s="0" t="str">
        <f aca="false">IF(B762="","",IF(COUNTIF(Campaigns!$A$7:$A$300,B762)&gt;0,"✓","⚠ add to Campaigns tab"))</f>
        <v/>
      </c>
      <c r="I762" s="84" t="str">
        <f aca="false">IF(C762="","",C762*IF(Settings!$B$24=Settings!$C$6,1,IF(Settings!$B$24="USD",1/INDEX(Settings!$B$29:$B$40,MONTH(A762)),INDEX(Settings!$B$29:$B$40,MONTH(A762)))))</f>
        <v/>
      </c>
    </row>
    <row r="763" customFormat="false" ht="15" hidden="false" customHeight="false" outlineLevel="0" collapsed="false">
      <c r="H763" s="0" t="str">
        <f aca="false">IF(B763="","",IF(COUNTIF(Campaigns!$A$7:$A$300,B763)&gt;0,"✓","⚠ add to Campaigns tab"))</f>
        <v/>
      </c>
      <c r="I763" s="84" t="str">
        <f aca="false">IF(C763="","",C763*IF(Settings!$B$24=Settings!$C$6,1,IF(Settings!$B$24="USD",1/INDEX(Settings!$B$29:$B$40,MONTH(A763)),INDEX(Settings!$B$29:$B$40,MONTH(A763)))))</f>
        <v/>
      </c>
    </row>
    <row r="764" customFormat="false" ht="15" hidden="false" customHeight="false" outlineLevel="0" collapsed="false">
      <c r="H764" s="0" t="str">
        <f aca="false">IF(B764="","",IF(COUNTIF(Campaigns!$A$7:$A$300,B764)&gt;0,"✓","⚠ add to Campaigns tab"))</f>
        <v/>
      </c>
      <c r="I764" s="84" t="str">
        <f aca="false">IF(C764="","",C764*IF(Settings!$B$24=Settings!$C$6,1,IF(Settings!$B$24="USD",1/INDEX(Settings!$B$29:$B$40,MONTH(A764)),INDEX(Settings!$B$29:$B$40,MONTH(A764)))))</f>
        <v/>
      </c>
    </row>
    <row r="765" customFormat="false" ht="15" hidden="false" customHeight="false" outlineLevel="0" collapsed="false">
      <c r="H765" s="0" t="str">
        <f aca="false">IF(B765="","",IF(COUNTIF(Campaigns!$A$7:$A$300,B765)&gt;0,"✓","⚠ add to Campaigns tab"))</f>
        <v/>
      </c>
      <c r="I765" s="84" t="str">
        <f aca="false">IF(C765="","",C765*IF(Settings!$B$24=Settings!$C$6,1,IF(Settings!$B$24="USD",1/INDEX(Settings!$B$29:$B$40,MONTH(A765)),INDEX(Settings!$B$29:$B$40,MONTH(A765)))))</f>
        <v/>
      </c>
    </row>
    <row r="766" customFormat="false" ht="15" hidden="false" customHeight="false" outlineLevel="0" collapsed="false">
      <c r="H766" s="0" t="str">
        <f aca="false">IF(B766="","",IF(COUNTIF(Campaigns!$A$7:$A$300,B766)&gt;0,"✓","⚠ add to Campaigns tab"))</f>
        <v/>
      </c>
      <c r="I766" s="84" t="str">
        <f aca="false">IF(C766="","",C766*IF(Settings!$B$24=Settings!$C$6,1,IF(Settings!$B$24="USD",1/INDEX(Settings!$B$29:$B$40,MONTH(A766)),INDEX(Settings!$B$29:$B$40,MONTH(A766)))))</f>
        <v/>
      </c>
    </row>
    <row r="767" customFormat="false" ht="15" hidden="false" customHeight="false" outlineLevel="0" collapsed="false">
      <c r="H767" s="0" t="str">
        <f aca="false">IF(B767="","",IF(COUNTIF(Campaigns!$A$7:$A$300,B767)&gt;0,"✓","⚠ add to Campaigns tab"))</f>
        <v/>
      </c>
      <c r="I767" s="84" t="str">
        <f aca="false">IF(C767="","",C767*IF(Settings!$B$24=Settings!$C$6,1,IF(Settings!$B$24="USD",1/INDEX(Settings!$B$29:$B$40,MONTH(A767)),INDEX(Settings!$B$29:$B$40,MONTH(A767)))))</f>
        <v/>
      </c>
    </row>
    <row r="768" customFormat="false" ht="15" hidden="false" customHeight="false" outlineLevel="0" collapsed="false">
      <c r="H768" s="0" t="str">
        <f aca="false">IF(B768="","",IF(COUNTIF(Campaigns!$A$7:$A$300,B768)&gt;0,"✓","⚠ add to Campaigns tab"))</f>
        <v/>
      </c>
      <c r="I768" s="84" t="str">
        <f aca="false">IF(C768="","",C768*IF(Settings!$B$24=Settings!$C$6,1,IF(Settings!$B$24="USD",1/INDEX(Settings!$B$29:$B$40,MONTH(A768)),INDEX(Settings!$B$29:$B$40,MONTH(A768)))))</f>
        <v/>
      </c>
    </row>
    <row r="769" customFormat="false" ht="15" hidden="false" customHeight="false" outlineLevel="0" collapsed="false">
      <c r="H769" s="0" t="str">
        <f aca="false">IF(B769="","",IF(COUNTIF(Campaigns!$A$7:$A$300,B769)&gt;0,"✓","⚠ add to Campaigns tab"))</f>
        <v/>
      </c>
      <c r="I769" s="84" t="str">
        <f aca="false">IF(C769="","",C769*IF(Settings!$B$24=Settings!$C$6,1,IF(Settings!$B$24="USD",1/INDEX(Settings!$B$29:$B$40,MONTH(A769)),INDEX(Settings!$B$29:$B$40,MONTH(A769)))))</f>
        <v/>
      </c>
    </row>
    <row r="770" customFormat="false" ht="15" hidden="false" customHeight="false" outlineLevel="0" collapsed="false">
      <c r="H770" s="0" t="str">
        <f aca="false">IF(B770="","",IF(COUNTIF(Campaigns!$A$7:$A$300,B770)&gt;0,"✓","⚠ add to Campaigns tab"))</f>
        <v/>
      </c>
      <c r="I770" s="84" t="str">
        <f aca="false">IF(C770="","",C770*IF(Settings!$B$24=Settings!$C$6,1,IF(Settings!$B$24="USD",1/INDEX(Settings!$B$29:$B$40,MONTH(A770)),INDEX(Settings!$B$29:$B$40,MONTH(A770)))))</f>
        <v/>
      </c>
    </row>
    <row r="771" customFormat="false" ht="15" hidden="false" customHeight="false" outlineLevel="0" collapsed="false">
      <c r="H771" s="0" t="str">
        <f aca="false">IF(B771="","",IF(COUNTIF(Campaigns!$A$7:$A$300,B771)&gt;0,"✓","⚠ add to Campaigns tab"))</f>
        <v/>
      </c>
      <c r="I771" s="84" t="str">
        <f aca="false">IF(C771="","",C771*IF(Settings!$B$24=Settings!$C$6,1,IF(Settings!$B$24="USD",1/INDEX(Settings!$B$29:$B$40,MONTH(A771)),INDEX(Settings!$B$29:$B$40,MONTH(A771)))))</f>
        <v/>
      </c>
    </row>
    <row r="772" customFormat="false" ht="15" hidden="false" customHeight="false" outlineLevel="0" collapsed="false">
      <c r="H772" s="0" t="str">
        <f aca="false">IF(B772="","",IF(COUNTIF(Campaigns!$A$7:$A$300,B772)&gt;0,"✓","⚠ add to Campaigns tab"))</f>
        <v/>
      </c>
      <c r="I772" s="84" t="str">
        <f aca="false">IF(C772="","",C772*IF(Settings!$B$24=Settings!$C$6,1,IF(Settings!$B$24="USD",1/INDEX(Settings!$B$29:$B$40,MONTH(A772)),INDEX(Settings!$B$29:$B$40,MONTH(A772)))))</f>
        <v/>
      </c>
    </row>
    <row r="773" customFormat="false" ht="15" hidden="false" customHeight="false" outlineLevel="0" collapsed="false">
      <c r="H773" s="0" t="str">
        <f aca="false">IF(B773="","",IF(COUNTIF(Campaigns!$A$7:$A$300,B773)&gt;0,"✓","⚠ add to Campaigns tab"))</f>
        <v/>
      </c>
      <c r="I773" s="84" t="str">
        <f aca="false">IF(C773="","",C773*IF(Settings!$B$24=Settings!$C$6,1,IF(Settings!$B$24="USD",1/INDEX(Settings!$B$29:$B$40,MONTH(A773)),INDEX(Settings!$B$29:$B$40,MONTH(A773)))))</f>
        <v/>
      </c>
    </row>
    <row r="774" customFormat="false" ht="15" hidden="false" customHeight="false" outlineLevel="0" collapsed="false">
      <c r="H774" s="0" t="str">
        <f aca="false">IF(B774="","",IF(COUNTIF(Campaigns!$A$7:$A$300,B774)&gt;0,"✓","⚠ add to Campaigns tab"))</f>
        <v/>
      </c>
      <c r="I774" s="84" t="str">
        <f aca="false">IF(C774="","",C774*IF(Settings!$B$24=Settings!$C$6,1,IF(Settings!$B$24="USD",1/INDEX(Settings!$B$29:$B$40,MONTH(A774)),INDEX(Settings!$B$29:$B$40,MONTH(A774)))))</f>
        <v/>
      </c>
    </row>
    <row r="775" customFormat="false" ht="15" hidden="false" customHeight="false" outlineLevel="0" collapsed="false">
      <c r="H775" s="0" t="str">
        <f aca="false">IF(B775="","",IF(COUNTIF(Campaigns!$A$7:$A$300,B775)&gt;0,"✓","⚠ add to Campaigns tab"))</f>
        <v/>
      </c>
      <c r="I775" s="84" t="str">
        <f aca="false">IF(C775="","",C775*IF(Settings!$B$24=Settings!$C$6,1,IF(Settings!$B$24="USD",1/INDEX(Settings!$B$29:$B$40,MONTH(A775)),INDEX(Settings!$B$29:$B$40,MONTH(A775)))))</f>
        <v/>
      </c>
    </row>
    <row r="776" customFormat="false" ht="15" hidden="false" customHeight="false" outlineLevel="0" collapsed="false">
      <c r="H776" s="0" t="str">
        <f aca="false">IF(B776="","",IF(COUNTIF(Campaigns!$A$7:$A$300,B776)&gt;0,"✓","⚠ add to Campaigns tab"))</f>
        <v/>
      </c>
      <c r="I776" s="84" t="str">
        <f aca="false">IF(C776="","",C776*IF(Settings!$B$24=Settings!$C$6,1,IF(Settings!$B$24="USD",1/INDEX(Settings!$B$29:$B$40,MONTH(A776)),INDEX(Settings!$B$29:$B$40,MONTH(A776)))))</f>
        <v/>
      </c>
    </row>
    <row r="777" customFormat="false" ht="15" hidden="false" customHeight="false" outlineLevel="0" collapsed="false">
      <c r="H777" s="0" t="str">
        <f aca="false">IF(B777="","",IF(COUNTIF(Campaigns!$A$7:$A$300,B777)&gt;0,"✓","⚠ add to Campaigns tab"))</f>
        <v/>
      </c>
      <c r="I777" s="84" t="str">
        <f aca="false">IF(C777="","",C777*IF(Settings!$B$24=Settings!$C$6,1,IF(Settings!$B$24="USD",1/INDEX(Settings!$B$29:$B$40,MONTH(A777)),INDEX(Settings!$B$29:$B$40,MONTH(A777)))))</f>
        <v/>
      </c>
    </row>
    <row r="778" customFormat="false" ht="15" hidden="false" customHeight="false" outlineLevel="0" collapsed="false">
      <c r="H778" s="0" t="str">
        <f aca="false">IF(B778="","",IF(COUNTIF(Campaigns!$A$7:$A$300,B778)&gt;0,"✓","⚠ add to Campaigns tab"))</f>
        <v/>
      </c>
      <c r="I778" s="84" t="str">
        <f aca="false">IF(C778="","",C778*IF(Settings!$B$24=Settings!$C$6,1,IF(Settings!$B$24="USD",1/INDEX(Settings!$B$29:$B$40,MONTH(A778)),INDEX(Settings!$B$29:$B$40,MONTH(A778)))))</f>
        <v/>
      </c>
    </row>
    <row r="779" customFormat="false" ht="15" hidden="false" customHeight="false" outlineLevel="0" collapsed="false">
      <c r="H779" s="0" t="str">
        <f aca="false">IF(B779="","",IF(COUNTIF(Campaigns!$A$7:$A$300,B779)&gt;0,"✓","⚠ add to Campaigns tab"))</f>
        <v/>
      </c>
      <c r="I779" s="84" t="str">
        <f aca="false">IF(C779="","",C779*IF(Settings!$B$24=Settings!$C$6,1,IF(Settings!$B$24="USD",1/INDEX(Settings!$B$29:$B$40,MONTH(A779)),INDEX(Settings!$B$29:$B$40,MONTH(A779)))))</f>
        <v/>
      </c>
    </row>
    <row r="780" customFormat="false" ht="15" hidden="false" customHeight="false" outlineLevel="0" collapsed="false">
      <c r="H780" s="0" t="str">
        <f aca="false">IF(B780="","",IF(COUNTIF(Campaigns!$A$7:$A$300,B780)&gt;0,"✓","⚠ add to Campaigns tab"))</f>
        <v/>
      </c>
      <c r="I780" s="84" t="str">
        <f aca="false">IF(C780="","",C780*IF(Settings!$B$24=Settings!$C$6,1,IF(Settings!$B$24="USD",1/INDEX(Settings!$B$29:$B$40,MONTH(A780)),INDEX(Settings!$B$29:$B$40,MONTH(A780)))))</f>
        <v/>
      </c>
    </row>
    <row r="781" customFormat="false" ht="15" hidden="false" customHeight="false" outlineLevel="0" collapsed="false">
      <c r="H781" s="0" t="str">
        <f aca="false">IF(B781="","",IF(COUNTIF(Campaigns!$A$7:$A$300,B781)&gt;0,"✓","⚠ add to Campaigns tab"))</f>
        <v/>
      </c>
      <c r="I781" s="84" t="str">
        <f aca="false">IF(C781="","",C781*IF(Settings!$B$24=Settings!$C$6,1,IF(Settings!$B$24="USD",1/INDEX(Settings!$B$29:$B$40,MONTH(A781)),INDEX(Settings!$B$29:$B$40,MONTH(A781)))))</f>
        <v/>
      </c>
    </row>
    <row r="782" customFormat="false" ht="15" hidden="false" customHeight="false" outlineLevel="0" collapsed="false">
      <c r="H782" s="0" t="str">
        <f aca="false">IF(B782="","",IF(COUNTIF(Campaigns!$A$7:$A$300,B782)&gt;0,"✓","⚠ add to Campaigns tab"))</f>
        <v/>
      </c>
      <c r="I782" s="84" t="str">
        <f aca="false">IF(C782="","",C782*IF(Settings!$B$24=Settings!$C$6,1,IF(Settings!$B$24="USD",1/INDEX(Settings!$B$29:$B$40,MONTH(A782)),INDEX(Settings!$B$29:$B$40,MONTH(A782)))))</f>
        <v/>
      </c>
    </row>
    <row r="783" customFormat="false" ht="15" hidden="false" customHeight="false" outlineLevel="0" collapsed="false">
      <c r="H783" s="0" t="str">
        <f aca="false">IF(B783="","",IF(COUNTIF(Campaigns!$A$7:$A$300,B783)&gt;0,"✓","⚠ add to Campaigns tab"))</f>
        <v/>
      </c>
      <c r="I783" s="84" t="str">
        <f aca="false">IF(C783="","",C783*IF(Settings!$B$24=Settings!$C$6,1,IF(Settings!$B$24="USD",1/INDEX(Settings!$B$29:$B$40,MONTH(A783)),INDEX(Settings!$B$29:$B$40,MONTH(A783)))))</f>
        <v/>
      </c>
    </row>
    <row r="784" customFormat="false" ht="15" hidden="false" customHeight="false" outlineLevel="0" collapsed="false">
      <c r="H784" s="0" t="str">
        <f aca="false">IF(B784="","",IF(COUNTIF(Campaigns!$A$7:$A$300,B784)&gt;0,"✓","⚠ add to Campaigns tab"))</f>
        <v/>
      </c>
      <c r="I784" s="84" t="str">
        <f aca="false">IF(C784="","",C784*IF(Settings!$B$24=Settings!$C$6,1,IF(Settings!$B$24="USD",1/INDEX(Settings!$B$29:$B$40,MONTH(A784)),INDEX(Settings!$B$29:$B$40,MONTH(A784)))))</f>
        <v/>
      </c>
    </row>
    <row r="785" customFormat="false" ht="15" hidden="false" customHeight="false" outlineLevel="0" collapsed="false">
      <c r="H785" s="0" t="str">
        <f aca="false">IF(B785="","",IF(COUNTIF(Campaigns!$A$7:$A$300,B785)&gt;0,"✓","⚠ add to Campaigns tab"))</f>
        <v/>
      </c>
      <c r="I785" s="84" t="str">
        <f aca="false">IF(C785="","",C785*IF(Settings!$B$24=Settings!$C$6,1,IF(Settings!$B$24="USD",1/INDEX(Settings!$B$29:$B$40,MONTH(A785)),INDEX(Settings!$B$29:$B$40,MONTH(A785)))))</f>
        <v/>
      </c>
    </row>
    <row r="786" customFormat="false" ht="15" hidden="false" customHeight="false" outlineLevel="0" collapsed="false">
      <c r="H786" s="0" t="str">
        <f aca="false">IF(B786="","",IF(COUNTIF(Campaigns!$A$7:$A$300,B786)&gt;0,"✓","⚠ add to Campaigns tab"))</f>
        <v/>
      </c>
      <c r="I786" s="84" t="str">
        <f aca="false">IF(C786="","",C786*IF(Settings!$B$24=Settings!$C$6,1,IF(Settings!$B$24="USD",1/INDEX(Settings!$B$29:$B$40,MONTH(A786)),INDEX(Settings!$B$29:$B$40,MONTH(A786)))))</f>
        <v/>
      </c>
    </row>
    <row r="787" customFormat="false" ht="15" hidden="false" customHeight="false" outlineLevel="0" collapsed="false">
      <c r="H787" s="0" t="str">
        <f aca="false">IF(B787="","",IF(COUNTIF(Campaigns!$A$7:$A$300,B787)&gt;0,"✓","⚠ add to Campaigns tab"))</f>
        <v/>
      </c>
      <c r="I787" s="84" t="str">
        <f aca="false">IF(C787="","",C787*IF(Settings!$B$24=Settings!$C$6,1,IF(Settings!$B$24="USD",1/INDEX(Settings!$B$29:$B$40,MONTH(A787)),INDEX(Settings!$B$29:$B$40,MONTH(A787)))))</f>
        <v/>
      </c>
    </row>
    <row r="788" customFormat="false" ht="15" hidden="false" customHeight="false" outlineLevel="0" collapsed="false">
      <c r="H788" s="0" t="str">
        <f aca="false">IF(B788="","",IF(COUNTIF(Campaigns!$A$7:$A$300,B788)&gt;0,"✓","⚠ add to Campaigns tab"))</f>
        <v/>
      </c>
      <c r="I788" s="84" t="str">
        <f aca="false">IF(C788="","",C788*IF(Settings!$B$24=Settings!$C$6,1,IF(Settings!$B$24="USD",1/INDEX(Settings!$B$29:$B$40,MONTH(A788)),INDEX(Settings!$B$29:$B$40,MONTH(A788)))))</f>
        <v/>
      </c>
    </row>
    <row r="789" customFormat="false" ht="15" hidden="false" customHeight="false" outlineLevel="0" collapsed="false">
      <c r="H789" s="0" t="str">
        <f aca="false">IF(B789="","",IF(COUNTIF(Campaigns!$A$7:$A$300,B789)&gt;0,"✓","⚠ add to Campaigns tab"))</f>
        <v/>
      </c>
      <c r="I789" s="84" t="str">
        <f aca="false">IF(C789="","",C789*IF(Settings!$B$24=Settings!$C$6,1,IF(Settings!$B$24="USD",1/INDEX(Settings!$B$29:$B$40,MONTH(A789)),INDEX(Settings!$B$29:$B$40,MONTH(A789)))))</f>
        <v/>
      </c>
    </row>
    <row r="790" customFormat="false" ht="15" hidden="false" customHeight="false" outlineLevel="0" collapsed="false">
      <c r="H790" s="0" t="str">
        <f aca="false">IF(B790="","",IF(COUNTIF(Campaigns!$A$7:$A$300,B790)&gt;0,"✓","⚠ add to Campaigns tab"))</f>
        <v/>
      </c>
      <c r="I790" s="84" t="str">
        <f aca="false">IF(C790="","",C790*IF(Settings!$B$24=Settings!$C$6,1,IF(Settings!$B$24="USD",1/INDEX(Settings!$B$29:$B$40,MONTH(A790)),INDEX(Settings!$B$29:$B$40,MONTH(A790)))))</f>
        <v/>
      </c>
    </row>
    <row r="791" customFormat="false" ht="15" hidden="false" customHeight="false" outlineLevel="0" collapsed="false">
      <c r="H791" s="0" t="str">
        <f aca="false">IF(B791="","",IF(COUNTIF(Campaigns!$A$7:$A$300,B791)&gt;0,"✓","⚠ add to Campaigns tab"))</f>
        <v/>
      </c>
      <c r="I791" s="84" t="str">
        <f aca="false">IF(C791="","",C791*IF(Settings!$B$24=Settings!$C$6,1,IF(Settings!$B$24="USD",1/INDEX(Settings!$B$29:$B$40,MONTH(A791)),INDEX(Settings!$B$29:$B$40,MONTH(A791)))))</f>
        <v/>
      </c>
    </row>
    <row r="792" customFormat="false" ht="15" hidden="false" customHeight="false" outlineLevel="0" collapsed="false">
      <c r="H792" s="0" t="str">
        <f aca="false">IF(B792="","",IF(COUNTIF(Campaigns!$A$7:$A$300,B792)&gt;0,"✓","⚠ add to Campaigns tab"))</f>
        <v/>
      </c>
      <c r="I792" s="84" t="str">
        <f aca="false">IF(C792="","",C792*IF(Settings!$B$24=Settings!$C$6,1,IF(Settings!$B$24="USD",1/INDEX(Settings!$B$29:$B$40,MONTH(A792)),INDEX(Settings!$B$29:$B$40,MONTH(A792)))))</f>
        <v/>
      </c>
    </row>
    <row r="793" customFormat="false" ht="15" hidden="false" customHeight="false" outlineLevel="0" collapsed="false">
      <c r="H793" s="0" t="str">
        <f aca="false">IF(B793="","",IF(COUNTIF(Campaigns!$A$7:$A$300,B793)&gt;0,"✓","⚠ add to Campaigns tab"))</f>
        <v/>
      </c>
      <c r="I793" s="84" t="str">
        <f aca="false">IF(C793="","",C793*IF(Settings!$B$24=Settings!$C$6,1,IF(Settings!$B$24="USD",1/INDEX(Settings!$B$29:$B$40,MONTH(A793)),INDEX(Settings!$B$29:$B$40,MONTH(A793)))))</f>
        <v/>
      </c>
    </row>
    <row r="794" customFormat="false" ht="15" hidden="false" customHeight="false" outlineLevel="0" collapsed="false">
      <c r="H794" s="0" t="str">
        <f aca="false">IF(B794="","",IF(COUNTIF(Campaigns!$A$7:$A$300,B794)&gt;0,"✓","⚠ add to Campaigns tab"))</f>
        <v/>
      </c>
      <c r="I794" s="84" t="str">
        <f aca="false">IF(C794="","",C794*IF(Settings!$B$24=Settings!$C$6,1,IF(Settings!$B$24="USD",1/INDEX(Settings!$B$29:$B$40,MONTH(A794)),INDEX(Settings!$B$29:$B$40,MONTH(A794)))))</f>
        <v/>
      </c>
    </row>
    <row r="795" customFormat="false" ht="15" hidden="false" customHeight="false" outlineLevel="0" collapsed="false">
      <c r="H795" s="0" t="str">
        <f aca="false">IF(B795="","",IF(COUNTIF(Campaigns!$A$7:$A$300,B795)&gt;0,"✓","⚠ add to Campaigns tab"))</f>
        <v/>
      </c>
      <c r="I795" s="84" t="str">
        <f aca="false">IF(C795="","",C795*IF(Settings!$B$24=Settings!$C$6,1,IF(Settings!$B$24="USD",1/INDEX(Settings!$B$29:$B$40,MONTH(A795)),INDEX(Settings!$B$29:$B$40,MONTH(A795)))))</f>
        <v/>
      </c>
    </row>
    <row r="796" customFormat="false" ht="15" hidden="false" customHeight="false" outlineLevel="0" collapsed="false">
      <c r="H796" s="0" t="str">
        <f aca="false">IF(B796="","",IF(COUNTIF(Campaigns!$A$7:$A$300,B796)&gt;0,"✓","⚠ add to Campaigns tab"))</f>
        <v/>
      </c>
      <c r="I796" s="84" t="str">
        <f aca="false">IF(C796="","",C796*IF(Settings!$B$24=Settings!$C$6,1,IF(Settings!$B$24="USD",1/INDEX(Settings!$B$29:$B$40,MONTH(A796)),INDEX(Settings!$B$29:$B$40,MONTH(A796)))))</f>
        <v/>
      </c>
    </row>
    <row r="797" customFormat="false" ht="15" hidden="false" customHeight="false" outlineLevel="0" collapsed="false">
      <c r="H797" s="0" t="str">
        <f aca="false">IF(B797="","",IF(COUNTIF(Campaigns!$A$7:$A$300,B797)&gt;0,"✓","⚠ add to Campaigns tab"))</f>
        <v/>
      </c>
      <c r="I797" s="84" t="str">
        <f aca="false">IF(C797="","",C797*IF(Settings!$B$24=Settings!$C$6,1,IF(Settings!$B$24="USD",1/INDEX(Settings!$B$29:$B$40,MONTH(A797)),INDEX(Settings!$B$29:$B$40,MONTH(A797)))))</f>
        <v/>
      </c>
    </row>
    <row r="798" customFormat="false" ht="15" hidden="false" customHeight="false" outlineLevel="0" collapsed="false">
      <c r="H798" s="0" t="str">
        <f aca="false">IF(B798="","",IF(COUNTIF(Campaigns!$A$7:$A$300,B798)&gt;0,"✓","⚠ add to Campaigns tab"))</f>
        <v/>
      </c>
      <c r="I798" s="84" t="str">
        <f aca="false">IF(C798="","",C798*IF(Settings!$B$24=Settings!$C$6,1,IF(Settings!$B$24="USD",1/INDEX(Settings!$B$29:$B$40,MONTH(A798)),INDEX(Settings!$B$29:$B$40,MONTH(A798)))))</f>
        <v/>
      </c>
    </row>
    <row r="799" customFormat="false" ht="15" hidden="false" customHeight="false" outlineLevel="0" collapsed="false">
      <c r="H799" s="0" t="str">
        <f aca="false">IF(B799="","",IF(COUNTIF(Campaigns!$A$7:$A$300,B799)&gt;0,"✓","⚠ add to Campaigns tab"))</f>
        <v/>
      </c>
      <c r="I799" s="84" t="str">
        <f aca="false">IF(C799="","",C799*IF(Settings!$B$24=Settings!$C$6,1,IF(Settings!$B$24="USD",1/INDEX(Settings!$B$29:$B$40,MONTH(A799)),INDEX(Settings!$B$29:$B$40,MONTH(A799)))))</f>
        <v/>
      </c>
    </row>
    <row r="800" customFormat="false" ht="15" hidden="false" customHeight="false" outlineLevel="0" collapsed="false">
      <c r="H800" s="0" t="str">
        <f aca="false">IF(B800="","",IF(COUNTIF(Campaigns!$A$7:$A$300,B800)&gt;0,"✓","⚠ add to Campaigns tab"))</f>
        <v/>
      </c>
      <c r="I800" s="84" t="str">
        <f aca="false">IF(C800="","",C800*IF(Settings!$B$24=Settings!$C$6,1,IF(Settings!$B$24="USD",1/INDEX(Settings!$B$29:$B$40,MONTH(A800)),INDEX(Settings!$B$29:$B$40,MONTH(A800)))))</f>
        <v/>
      </c>
    </row>
    <row r="801" customFormat="false" ht="15" hidden="false" customHeight="false" outlineLevel="0" collapsed="false">
      <c r="H801" s="0" t="str">
        <f aca="false">IF(B801="","",IF(COUNTIF(Campaigns!$A$7:$A$300,B801)&gt;0,"✓","⚠ add to Campaigns tab"))</f>
        <v/>
      </c>
      <c r="I801" s="84" t="str">
        <f aca="false">IF(C801="","",C801*IF(Settings!$B$24=Settings!$C$6,1,IF(Settings!$B$24="USD",1/INDEX(Settings!$B$29:$B$40,MONTH(A801)),INDEX(Settings!$B$29:$B$40,MONTH(A801)))))</f>
        <v/>
      </c>
    </row>
    <row r="802" customFormat="false" ht="15" hidden="false" customHeight="false" outlineLevel="0" collapsed="false">
      <c r="H802" s="0" t="str">
        <f aca="false">IF(B802="","",IF(COUNTIF(Campaigns!$A$7:$A$300,B802)&gt;0,"✓","⚠ add to Campaigns tab"))</f>
        <v/>
      </c>
      <c r="I802" s="84" t="str">
        <f aca="false">IF(C802="","",C802*IF(Settings!$B$24=Settings!$C$6,1,IF(Settings!$B$24="USD",1/INDEX(Settings!$B$29:$B$40,MONTH(A802)),INDEX(Settings!$B$29:$B$40,MONTH(A802)))))</f>
        <v/>
      </c>
    </row>
    <row r="803" customFormat="false" ht="15" hidden="false" customHeight="false" outlineLevel="0" collapsed="false">
      <c r="H803" s="0" t="str">
        <f aca="false">IF(B803="","",IF(COUNTIF(Campaigns!$A$7:$A$300,B803)&gt;0,"✓","⚠ add to Campaigns tab"))</f>
        <v/>
      </c>
      <c r="I803" s="84" t="str">
        <f aca="false">IF(C803="","",C803*IF(Settings!$B$24=Settings!$C$6,1,IF(Settings!$B$24="USD",1/INDEX(Settings!$B$29:$B$40,MONTH(A803)),INDEX(Settings!$B$29:$B$40,MONTH(A803)))))</f>
        <v/>
      </c>
    </row>
    <row r="804" customFormat="false" ht="15" hidden="false" customHeight="false" outlineLevel="0" collapsed="false">
      <c r="H804" s="0" t="str">
        <f aca="false">IF(B804="","",IF(COUNTIF(Campaigns!$A$7:$A$300,B804)&gt;0,"✓","⚠ add to Campaigns tab"))</f>
        <v/>
      </c>
      <c r="I804" s="84" t="str">
        <f aca="false">IF(C804="","",C804*IF(Settings!$B$24=Settings!$C$6,1,IF(Settings!$B$24="USD",1/INDEX(Settings!$B$29:$B$40,MONTH(A804)),INDEX(Settings!$B$29:$B$40,MONTH(A804)))))</f>
        <v/>
      </c>
    </row>
    <row r="805" customFormat="false" ht="15" hidden="false" customHeight="false" outlineLevel="0" collapsed="false">
      <c r="H805" s="0" t="str">
        <f aca="false">IF(B805="","",IF(COUNTIF(Campaigns!$A$7:$A$300,B805)&gt;0,"✓","⚠ add to Campaigns tab"))</f>
        <v/>
      </c>
      <c r="I805" s="84" t="str">
        <f aca="false">IF(C805="","",C805*IF(Settings!$B$24=Settings!$C$6,1,IF(Settings!$B$24="USD",1/INDEX(Settings!$B$29:$B$40,MONTH(A805)),INDEX(Settings!$B$29:$B$40,MONTH(A805)))))</f>
        <v/>
      </c>
    </row>
    <row r="806" customFormat="false" ht="15" hidden="false" customHeight="false" outlineLevel="0" collapsed="false">
      <c r="H806" s="0" t="str">
        <f aca="false">IF(B806="","",IF(COUNTIF(Campaigns!$A$7:$A$300,B806)&gt;0,"✓","⚠ add to Campaigns tab"))</f>
        <v/>
      </c>
      <c r="I806" s="84" t="str">
        <f aca="false">IF(C806="","",C806*IF(Settings!$B$24=Settings!$C$6,1,IF(Settings!$B$24="USD",1/INDEX(Settings!$B$29:$B$40,MONTH(A806)),INDEX(Settings!$B$29:$B$40,MONTH(A806)))))</f>
        <v/>
      </c>
    </row>
    <row r="807" customFormat="false" ht="15" hidden="false" customHeight="false" outlineLevel="0" collapsed="false">
      <c r="H807" s="0" t="str">
        <f aca="false">IF(B807="","",IF(COUNTIF(Campaigns!$A$7:$A$300,B807)&gt;0,"✓","⚠ add to Campaigns tab"))</f>
        <v/>
      </c>
      <c r="I807" s="84" t="str">
        <f aca="false">IF(C807="","",C807*IF(Settings!$B$24=Settings!$C$6,1,IF(Settings!$B$24="USD",1/INDEX(Settings!$B$29:$B$40,MONTH(A807)),INDEX(Settings!$B$29:$B$40,MONTH(A807)))))</f>
        <v/>
      </c>
    </row>
    <row r="808" customFormat="false" ht="15" hidden="false" customHeight="false" outlineLevel="0" collapsed="false">
      <c r="H808" s="0" t="str">
        <f aca="false">IF(B808="","",IF(COUNTIF(Campaigns!$A$7:$A$300,B808)&gt;0,"✓","⚠ add to Campaigns tab"))</f>
        <v/>
      </c>
      <c r="I808" s="84" t="str">
        <f aca="false">IF(C808="","",C808*IF(Settings!$B$24=Settings!$C$6,1,IF(Settings!$B$24="USD",1/INDEX(Settings!$B$29:$B$40,MONTH(A808)),INDEX(Settings!$B$29:$B$40,MONTH(A808)))))</f>
        <v/>
      </c>
    </row>
    <row r="809" customFormat="false" ht="15" hidden="false" customHeight="false" outlineLevel="0" collapsed="false">
      <c r="H809" s="0" t="str">
        <f aca="false">IF(B809="","",IF(COUNTIF(Campaigns!$A$7:$A$300,B809)&gt;0,"✓","⚠ add to Campaigns tab"))</f>
        <v/>
      </c>
      <c r="I809" s="84" t="str">
        <f aca="false">IF(C809="","",C809*IF(Settings!$B$24=Settings!$C$6,1,IF(Settings!$B$24="USD",1/INDEX(Settings!$B$29:$B$40,MONTH(A809)),INDEX(Settings!$B$29:$B$40,MONTH(A809)))))</f>
        <v/>
      </c>
    </row>
    <row r="810" customFormat="false" ht="15" hidden="false" customHeight="false" outlineLevel="0" collapsed="false">
      <c r="H810" s="0" t="str">
        <f aca="false">IF(B810="","",IF(COUNTIF(Campaigns!$A$7:$A$300,B810)&gt;0,"✓","⚠ add to Campaigns tab"))</f>
        <v/>
      </c>
      <c r="I810" s="84" t="str">
        <f aca="false">IF(C810="","",C810*IF(Settings!$B$24=Settings!$C$6,1,IF(Settings!$B$24="USD",1/INDEX(Settings!$B$29:$B$40,MONTH(A810)),INDEX(Settings!$B$29:$B$40,MONTH(A810)))))</f>
        <v/>
      </c>
    </row>
    <row r="811" customFormat="false" ht="15" hidden="false" customHeight="false" outlineLevel="0" collapsed="false">
      <c r="H811" s="0" t="str">
        <f aca="false">IF(B811="","",IF(COUNTIF(Campaigns!$A$7:$A$300,B811)&gt;0,"✓","⚠ add to Campaigns tab"))</f>
        <v/>
      </c>
      <c r="I811" s="84" t="str">
        <f aca="false">IF(C811="","",C811*IF(Settings!$B$24=Settings!$C$6,1,IF(Settings!$B$24="USD",1/INDEX(Settings!$B$29:$B$40,MONTH(A811)),INDEX(Settings!$B$29:$B$40,MONTH(A811)))))</f>
        <v/>
      </c>
    </row>
    <row r="812" customFormat="false" ht="15" hidden="false" customHeight="false" outlineLevel="0" collapsed="false">
      <c r="H812" s="0" t="str">
        <f aca="false">IF(B812="","",IF(COUNTIF(Campaigns!$A$7:$A$300,B812)&gt;0,"✓","⚠ add to Campaigns tab"))</f>
        <v/>
      </c>
      <c r="I812" s="84" t="str">
        <f aca="false">IF(C812="","",C812*IF(Settings!$B$24=Settings!$C$6,1,IF(Settings!$B$24="USD",1/INDEX(Settings!$B$29:$B$40,MONTH(A812)),INDEX(Settings!$B$29:$B$40,MONTH(A812)))))</f>
        <v/>
      </c>
    </row>
    <row r="813" customFormat="false" ht="15" hidden="false" customHeight="false" outlineLevel="0" collapsed="false">
      <c r="H813" s="0" t="str">
        <f aca="false">IF(B813="","",IF(COUNTIF(Campaigns!$A$7:$A$300,B813)&gt;0,"✓","⚠ add to Campaigns tab"))</f>
        <v/>
      </c>
      <c r="I813" s="84" t="str">
        <f aca="false">IF(C813="","",C813*IF(Settings!$B$24=Settings!$C$6,1,IF(Settings!$B$24="USD",1/INDEX(Settings!$B$29:$B$40,MONTH(A813)),INDEX(Settings!$B$29:$B$40,MONTH(A813)))))</f>
        <v/>
      </c>
    </row>
    <row r="814" customFormat="false" ht="15" hidden="false" customHeight="false" outlineLevel="0" collapsed="false">
      <c r="H814" s="0" t="str">
        <f aca="false">IF(B814="","",IF(COUNTIF(Campaigns!$A$7:$A$300,B814)&gt;0,"✓","⚠ add to Campaigns tab"))</f>
        <v/>
      </c>
      <c r="I814" s="84" t="str">
        <f aca="false">IF(C814="","",C814*IF(Settings!$B$24=Settings!$C$6,1,IF(Settings!$B$24="USD",1/INDEX(Settings!$B$29:$B$40,MONTH(A814)),INDEX(Settings!$B$29:$B$40,MONTH(A814)))))</f>
        <v/>
      </c>
    </row>
    <row r="815" customFormat="false" ht="15" hidden="false" customHeight="false" outlineLevel="0" collapsed="false">
      <c r="H815" s="0" t="str">
        <f aca="false">IF(B815="","",IF(COUNTIF(Campaigns!$A$7:$A$300,B815)&gt;0,"✓","⚠ add to Campaigns tab"))</f>
        <v/>
      </c>
      <c r="I815" s="84" t="str">
        <f aca="false">IF(C815="","",C815*IF(Settings!$B$24=Settings!$C$6,1,IF(Settings!$B$24="USD",1/INDEX(Settings!$B$29:$B$40,MONTH(A815)),INDEX(Settings!$B$29:$B$40,MONTH(A815)))))</f>
        <v/>
      </c>
    </row>
    <row r="816" customFormat="false" ht="15" hidden="false" customHeight="false" outlineLevel="0" collapsed="false">
      <c r="H816" s="0" t="str">
        <f aca="false">IF(B816="","",IF(COUNTIF(Campaigns!$A$7:$A$300,B816)&gt;0,"✓","⚠ add to Campaigns tab"))</f>
        <v/>
      </c>
      <c r="I816" s="84" t="str">
        <f aca="false">IF(C816="","",C816*IF(Settings!$B$24=Settings!$C$6,1,IF(Settings!$B$24="USD",1/INDEX(Settings!$B$29:$B$40,MONTH(A816)),INDEX(Settings!$B$29:$B$40,MONTH(A816)))))</f>
        <v/>
      </c>
    </row>
    <row r="817" customFormat="false" ht="15" hidden="false" customHeight="false" outlineLevel="0" collapsed="false">
      <c r="H817" s="0" t="str">
        <f aca="false">IF(B817="","",IF(COUNTIF(Campaigns!$A$7:$A$300,B817)&gt;0,"✓","⚠ add to Campaigns tab"))</f>
        <v/>
      </c>
      <c r="I817" s="84" t="str">
        <f aca="false">IF(C817="","",C817*IF(Settings!$B$24=Settings!$C$6,1,IF(Settings!$B$24="USD",1/INDEX(Settings!$B$29:$B$40,MONTH(A817)),INDEX(Settings!$B$29:$B$40,MONTH(A817)))))</f>
        <v/>
      </c>
    </row>
    <row r="818" customFormat="false" ht="15" hidden="false" customHeight="false" outlineLevel="0" collapsed="false">
      <c r="H818" s="0" t="str">
        <f aca="false">IF(B818="","",IF(COUNTIF(Campaigns!$A$7:$A$300,B818)&gt;0,"✓","⚠ add to Campaigns tab"))</f>
        <v/>
      </c>
      <c r="I818" s="84" t="str">
        <f aca="false">IF(C818="","",C818*IF(Settings!$B$24=Settings!$C$6,1,IF(Settings!$B$24="USD",1/INDEX(Settings!$B$29:$B$40,MONTH(A818)),INDEX(Settings!$B$29:$B$40,MONTH(A818)))))</f>
        <v/>
      </c>
    </row>
    <row r="819" customFormat="false" ht="15" hidden="false" customHeight="false" outlineLevel="0" collapsed="false">
      <c r="H819" s="0" t="str">
        <f aca="false">IF(B819="","",IF(COUNTIF(Campaigns!$A$7:$A$300,B819)&gt;0,"✓","⚠ add to Campaigns tab"))</f>
        <v/>
      </c>
      <c r="I819" s="84" t="str">
        <f aca="false">IF(C819="","",C819*IF(Settings!$B$24=Settings!$C$6,1,IF(Settings!$B$24="USD",1/INDEX(Settings!$B$29:$B$40,MONTH(A819)),INDEX(Settings!$B$29:$B$40,MONTH(A819)))))</f>
        <v/>
      </c>
    </row>
    <row r="820" customFormat="false" ht="15" hidden="false" customHeight="false" outlineLevel="0" collapsed="false">
      <c r="H820" s="0" t="str">
        <f aca="false">IF(B820="","",IF(COUNTIF(Campaigns!$A$7:$A$300,B820)&gt;0,"✓","⚠ add to Campaigns tab"))</f>
        <v/>
      </c>
      <c r="I820" s="84" t="str">
        <f aca="false">IF(C820="","",C820*IF(Settings!$B$24=Settings!$C$6,1,IF(Settings!$B$24="USD",1/INDEX(Settings!$B$29:$B$40,MONTH(A820)),INDEX(Settings!$B$29:$B$40,MONTH(A820)))))</f>
        <v/>
      </c>
    </row>
    <row r="821" customFormat="false" ht="15" hidden="false" customHeight="false" outlineLevel="0" collapsed="false">
      <c r="H821" s="0" t="str">
        <f aca="false">IF(B821="","",IF(COUNTIF(Campaigns!$A$7:$A$300,B821)&gt;0,"✓","⚠ add to Campaigns tab"))</f>
        <v/>
      </c>
      <c r="I821" s="84" t="str">
        <f aca="false">IF(C821="","",C821*IF(Settings!$B$24=Settings!$C$6,1,IF(Settings!$B$24="USD",1/INDEX(Settings!$B$29:$B$40,MONTH(A821)),INDEX(Settings!$B$29:$B$40,MONTH(A821)))))</f>
        <v/>
      </c>
    </row>
    <row r="822" customFormat="false" ht="15" hidden="false" customHeight="false" outlineLevel="0" collapsed="false">
      <c r="H822" s="0" t="str">
        <f aca="false">IF(B822="","",IF(COUNTIF(Campaigns!$A$7:$A$300,B822)&gt;0,"✓","⚠ add to Campaigns tab"))</f>
        <v/>
      </c>
      <c r="I822" s="84" t="str">
        <f aca="false">IF(C822="","",C822*IF(Settings!$B$24=Settings!$C$6,1,IF(Settings!$B$24="USD",1/INDEX(Settings!$B$29:$B$40,MONTH(A822)),INDEX(Settings!$B$29:$B$40,MONTH(A822)))))</f>
        <v/>
      </c>
    </row>
    <row r="823" customFormat="false" ht="15" hidden="false" customHeight="false" outlineLevel="0" collapsed="false">
      <c r="H823" s="0" t="str">
        <f aca="false">IF(B823="","",IF(COUNTIF(Campaigns!$A$7:$A$300,B823)&gt;0,"✓","⚠ add to Campaigns tab"))</f>
        <v/>
      </c>
      <c r="I823" s="84" t="str">
        <f aca="false">IF(C823="","",C823*IF(Settings!$B$24=Settings!$C$6,1,IF(Settings!$B$24="USD",1/INDEX(Settings!$B$29:$B$40,MONTH(A823)),INDEX(Settings!$B$29:$B$40,MONTH(A823)))))</f>
        <v/>
      </c>
    </row>
    <row r="824" customFormat="false" ht="15" hidden="false" customHeight="false" outlineLevel="0" collapsed="false">
      <c r="H824" s="0" t="str">
        <f aca="false">IF(B824="","",IF(COUNTIF(Campaigns!$A$7:$A$300,B824)&gt;0,"✓","⚠ add to Campaigns tab"))</f>
        <v/>
      </c>
      <c r="I824" s="84" t="str">
        <f aca="false">IF(C824="","",C824*IF(Settings!$B$24=Settings!$C$6,1,IF(Settings!$B$24="USD",1/INDEX(Settings!$B$29:$B$40,MONTH(A824)),INDEX(Settings!$B$29:$B$40,MONTH(A824)))))</f>
        <v/>
      </c>
    </row>
    <row r="825" customFormat="false" ht="15" hidden="false" customHeight="false" outlineLevel="0" collapsed="false">
      <c r="H825" s="0" t="str">
        <f aca="false">IF(B825="","",IF(COUNTIF(Campaigns!$A$7:$A$300,B825)&gt;0,"✓","⚠ add to Campaigns tab"))</f>
        <v/>
      </c>
      <c r="I825" s="84" t="str">
        <f aca="false">IF(C825="","",C825*IF(Settings!$B$24=Settings!$C$6,1,IF(Settings!$B$24="USD",1/INDEX(Settings!$B$29:$B$40,MONTH(A825)),INDEX(Settings!$B$29:$B$40,MONTH(A825)))))</f>
        <v/>
      </c>
    </row>
    <row r="826" customFormat="false" ht="15" hidden="false" customHeight="false" outlineLevel="0" collapsed="false">
      <c r="H826" s="0" t="str">
        <f aca="false">IF(B826="","",IF(COUNTIF(Campaigns!$A$7:$A$300,B826)&gt;0,"✓","⚠ add to Campaigns tab"))</f>
        <v/>
      </c>
      <c r="I826" s="84" t="str">
        <f aca="false">IF(C826="","",C826*IF(Settings!$B$24=Settings!$C$6,1,IF(Settings!$B$24="USD",1/INDEX(Settings!$B$29:$B$40,MONTH(A826)),INDEX(Settings!$B$29:$B$40,MONTH(A826)))))</f>
        <v/>
      </c>
    </row>
    <row r="827" customFormat="false" ht="15" hidden="false" customHeight="false" outlineLevel="0" collapsed="false">
      <c r="H827" s="0" t="str">
        <f aca="false">IF(B827="","",IF(COUNTIF(Campaigns!$A$7:$A$300,B827)&gt;0,"✓","⚠ add to Campaigns tab"))</f>
        <v/>
      </c>
      <c r="I827" s="84" t="str">
        <f aca="false">IF(C827="","",C827*IF(Settings!$B$24=Settings!$C$6,1,IF(Settings!$B$24="USD",1/INDEX(Settings!$B$29:$B$40,MONTH(A827)),INDEX(Settings!$B$29:$B$40,MONTH(A827)))))</f>
        <v/>
      </c>
    </row>
    <row r="828" customFormat="false" ht="15" hidden="false" customHeight="false" outlineLevel="0" collapsed="false">
      <c r="H828" s="0" t="str">
        <f aca="false">IF(B828="","",IF(COUNTIF(Campaigns!$A$7:$A$300,B828)&gt;0,"✓","⚠ add to Campaigns tab"))</f>
        <v/>
      </c>
      <c r="I828" s="84" t="str">
        <f aca="false">IF(C828="","",C828*IF(Settings!$B$24=Settings!$C$6,1,IF(Settings!$B$24="USD",1/INDEX(Settings!$B$29:$B$40,MONTH(A828)),INDEX(Settings!$B$29:$B$40,MONTH(A828)))))</f>
        <v/>
      </c>
    </row>
    <row r="829" customFormat="false" ht="15" hidden="false" customHeight="false" outlineLevel="0" collapsed="false">
      <c r="H829" s="0" t="str">
        <f aca="false">IF(B829="","",IF(COUNTIF(Campaigns!$A$7:$A$300,B829)&gt;0,"✓","⚠ add to Campaigns tab"))</f>
        <v/>
      </c>
      <c r="I829" s="84" t="str">
        <f aca="false">IF(C829="","",C829*IF(Settings!$B$24=Settings!$C$6,1,IF(Settings!$B$24="USD",1/INDEX(Settings!$B$29:$B$40,MONTH(A829)),INDEX(Settings!$B$29:$B$40,MONTH(A829)))))</f>
        <v/>
      </c>
    </row>
    <row r="830" customFormat="false" ht="15" hidden="false" customHeight="false" outlineLevel="0" collapsed="false">
      <c r="H830" s="0" t="str">
        <f aca="false">IF(B830="","",IF(COUNTIF(Campaigns!$A$7:$A$300,B830)&gt;0,"✓","⚠ add to Campaigns tab"))</f>
        <v/>
      </c>
      <c r="I830" s="84" t="str">
        <f aca="false">IF(C830="","",C830*IF(Settings!$B$24=Settings!$C$6,1,IF(Settings!$B$24="USD",1/INDEX(Settings!$B$29:$B$40,MONTH(A830)),INDEX(Settings!$B$29:$B$40,MONTH(A830)))))</f>
        <v/>
      </c>
    </row>
    <row r="831" customFormat="false" ht="15" hidden="false" customHeight="false" outlineLevel="0" collapsed="false">
      <c r="H831" s="0" t="str">
        <f aca="false">IF(B831="","",IF(COUNTIF(Campaigns!$A$7:$A$300,B831)&gt;0,"✓","⚠ add to Campaigns tab"))</f>
        <v/>
      </c>
      <c r="I831" s="84" t="str">
        <f aca="false">IF(C831="","",C831*IF(Settings!$B$24=Settings!$C$6,1,IF(Settings!$B$24="USD",1/INDEX(Settings!$B$29:$B$40,MONTH(A831)),INDEX(Settings!$B$29:$B$40,MONTH(A831)))))</f>
        <v/>
      </c>
    </row>
    <row r="832" customFormat="false" ht="15" hidden="false" customHeight="false" outlineLevel="0" collapsed="false">
      <c r="H832" s="0" t="str">
        <f aca="false">IF(B832="","",IF(COUNTIF(Campaigns!$A$7:$A$300,B832)&gt;0,"✓","⚠ add to Campaigns tab"))</f>
        <v/>
      </c>
      <c r="I832" s="84" t="str">
        <f aca="false">IF(C832="","",C832*IF(Settings!$B$24=Settings!$C$6,1,IF(Settings!$B$24="USD",1/INDEX(Settings!$B$29:$B$40,MONTH(A832)),INDEX(Settings!$B$29:$B$40,MONTH(A832)))))</f>
        <v/>
      </c>
    </row>
    <row r="833" customFormat="false" ht="15" hidden="false" customHeight="false" outlineLevel="0" collapsed="false">
      <c r="H833" s="0" t="str">
        <f aca="false">IF(B833="","",IF(COUNTIF(Campaigns!$A$7:$A$300,B833)&gt;0,"✓","⚠ add to Campaigns tab"))</f>
        <v/>
      </c>
      <c r="I833" s="84" t="str">
        <f aca="false">IF(C833="","",C833*IF(Settings!$B$24=Settings!$C$6,1,IF(Settings!$B$24="USD",1/INDEX(Settings!$B$29:$B$40,MONTH(A833)),INDEX(Settings!$B$29:$B$40,MONTH(A833)))))</f>
        <v/>
      </c>
    </row>
    <row r="834" customFormat="false" ht="15" hidden="false" customHeight="false" outlineLevel="0" collapsed="false">
      <c r="H834" s="0" t="str">
        <f aca="false">IF(B834="","",IF(COUNTIF(Campaigns!$A$7:$A$300,B834)&gt;0,"✓","⚠ add to Campaigns tab"))</f>
        <v/>
      </c>
      <c r="I834" s="84" t="str">
        <f aca="false">IF(C834="","",C834*IF(Settings!$B$24=Settings!$C$6,1,IF(Settings!$B$24="USD",1/INDEX(Settings!$B$29:$B$40,MONTH(A834)),INDEX(Settings!$B$29:$B$40,MONTH(A834)))))</f>
        <v/>
      </c>
    </row>
    <row r="835" customFormat="false" ht="15" hidden="false" customHeight="false" outlineLevel="0" collapsed="false">
      <c r="H835" s="0" t="str">
        <f aca="false">IF(B835="","",IF(COUNTIF(Campaigns!$A$7:$A$300,B835)&gt;0,"✓","⚠ add to Campaigns tab"))</f>
        <v/>
      </c>
      <c r="I835" s="84" t="str">
        <f aca="false">IF(C835="","",C835*IF(Settings!$B$24=Settings!$C$6,1,IF(Settings!$B$24="USD",1/INDEX(Settings!$B$29:$B$40,MONTH(A835)),INDEX(Settings!$B$29:$B$40,MONTH(A835)))))</f>
        <v/>
      </c>
    </row>
    <row r="836" customFormat="false" ht="15" hidden="false" customHeight="false" outlineLevel="0" collapsed="false">
      <c r="H836" s="0" t="str">
        <f aca="false">IF(B836="","",IF(COUNTIF(Campaigns!$A$7:$A$300,B836)&gt;0,"✓","⚠ add to Campaigns tab"))</f>
        <v/>
      </c>
      <c r="I836" s="84" t="str">
        <f aca="false">IF(C836="","",C836*IF(Settings!$B$24=Settings!$C$6,1,IF(Settings!$B$24="USD",1/INDEX(Settings!$B$29:$B$40,MONTH(A836)),INDEX(Settings!$B$29:$B$40,MONTH(A836)))))</f>
        <v/>
      </c>
    </row>
    <row r="837" customFormat="false" ht="15" hidden="false" customHeight="false" outlineLevel="0" collapsed="false">
      <c r="H837" s="0" t="str">
        <f aca="false">IF(B837="","",IF(COUNTIF(Campaigns!$A$7:$A$300,B837)&gt;0,"✓","⚠ add to Campaigns tab"))</f>
        <v/>
      </c>
      <c r="I837" s="84" t="str">
        <f aca="false">IF(C837="","",C837*IF(Settings!$B$24=Settings!$C$6,1,IF(Settings!$B$24="USD",1/INDEX(Settings!$B$29:$B$40,MONTH(A837)),INDEX(Settings!$B$29:$B$40,MONTH(A837)))))</f>
        <v/>
      </c>
    </row>
    <row r="838" customFormat="false" ht="15" hidden="false" customHeight="false" outlineLevel="0" collapsed="false">
      <c r="H838" s="0" t="str">
        <f aca="false">IF(B838="","",IF(COUNTIF(Campaigns!$A$7:$A$300,B838)&gt;0,"✓","⚠ add to Campaigns tab"))</f>
        <v/>
      </c>
      <c r="I838" s="84" t="str">
        <f aca="false">IF(C838="","",C838*IF(Settings!$B$24=Settings!$C$6,1,IF(Settings!$B$24="USD",1/INDEX(Settings!$B$29:$B$40,MONTH(A838)),INDEX(Settings!$B$29:$B$40,MONTH(A838)))))</f>
        <v/>
      </c>
    </row>
    <row r="839" customFormat="false" ht="15" hidden="false" customHeight="false" outlineLevel="0" collapsed="false">
      <c r="H839" s="0" t="str">
        <f aca="false">IF(B839="","",IF(COUNTIF(Campaigns!$A$7:$A$300,B839)&gt;0,"✓","⚠ add to Campaigns tab"))</f>
        <v/>
      </c>
      <c r="I839" s="84" t="str">
        <f aca="false">IF(C839="","",C839*IF(Settings!$B$24=Settings!$C$6,1,IF(Settings!$B$24="USD",1/INDEX(Settings!$B$29:$B$40,MONTH(A839)),INDEX(Settings!$B$29:$B$40,MONTH(A839)))))</f>
        <v/>
      </c>
    </row>
    <row r="840" customFormat="false" ht="15" hidden="false" customHeight="false" outlineLevel="0" collapsed="false">
      <c r="H840" s="0" t="str">
        <f aca="false">IF(B840="","",IF(COUNTIF(Campaigns!$A$7:$A$300,B840)&gt;0,"✓","⚠ add to Campaigns tab"))</f>
        <v/>
      </c>
      <c r="I840" s="84" t="str">
        <f aca="false">IF(C840="","",C840*IF(Settings!$B$24=Settings!$C$6,1,IF(Settings!$B$24="USD",1/INDEX(Settings!$B$29:$B$40,MONTH(A840)),INDEX(Settings!$B$29:$B$40,MONTH(A840)))))</f>
        <v/>
      </c>
    </row>
    <row r="841" customFormat="false" ht="15" hidden="false" customHeight="false" outlineLevel="0" collapsed="false">
      <c r="H841" s="0" t="str">
        <f aca="false">IF(B841="","",IF(COUNTIF(Campaigns!$A$7:$A$300,B841)&gt;0,"✓","⚠ add to Campaigns tab"))</f>
        <v/>
      </c>
      <c r="I841" s="84" t="str">
        <f aca="false">IF(C841="","",C841*IF(Settings!$B$24=Settings!$C$6,1,IF(Settings!$B$24="USD",1/INDEX(Settings!$B$29:$B$40,MONTH(A841)),INDEX(Settings!$B$29:$B$40,MONTH(A841)))))</f>
        <v/>
      </c>
    </row>
    <row r="842" customFormat="false" ht="15" hidden="false" customHeight="false" outlineLevel="0" collapsed="false">
      <c r="H842" s="0" t="str">
        <f aca="false">IF(B842="","",IF(COUNTIF(Campaigns!$A$7:$A$300,B842)&gt;0,"✓","⚠ add to Campaigns tab"))</f>
        <v/>
      </c>
      <c r="I842" s="84" t="str">
        <f aca="false">IF(C842="","",C842*IF(Settings!$B$24=Settings!$C$6,1,IF(Settings!$B$24="USD",1/INDEX(Settings!$B$29:$B$40,MONTH(A842)),INDEX(Settings!$B$29:$B$40,MONTH(A842)))))</f>
        <v/>
      </c>
    </row>
    <row r="843" customFormat="false" ht="15" hidden="false" customHeight="false" outlineLevel="0" collapsed="false">
      <c r="H843" s="0" t="str">
        <f aca="false">IF(B843="","",IF(COUNTIF(Campaigns!$A$7:$A$300,B843)&gt;0,"✓","⚠ add to Campaigns tab"))</f>
        <v/>
      </c>
      <c r="I843" s="84" t="str">
        <f aca="false">IF(C843="","",C843*IF(Settings!$B$24=Settings!$C$6,1,IF(Settings!$B$24="USD",1/INDEX(Settings!$B$29:$B$40,MONTH(A843)),INDEX(Settings!$B$29:$B$40,MONTH(A843)))))</f>
        <v/>
      </c>
    </row>
    <row r="844" customFormat="false" ht="15" hidden="false" customHeight="false" outlineLevel="0" collapsed="false">
      <c r="H844" s="0" t="str">
        <f aca="false">IF(B844="","",IF(COUNTIF(Campaigns!$A$7:$A$300,B844)&gt;0,"✓","⚠ add to Campaigns tab"))</f>
        <v/>
      </c>
      <c r="I844" s="84" t="str">
        <f aca="false">IF(C844="","",C844*IF(Settings!$B$24=Settings!$C$6,1,IF(Settings!$B$24="USD",1/INDEX(Settings!$B$29:$B$40,MONTH(A844)),INDEX(Settings!$B$29:$B$40,MONTH(A844)))))</f>
        <v/>
      </c>
    </row>
    <row r="845" customFormat="false" ht="15" hidden="false" customHeight="false" outlineLevel="0" collapsed="false">
      <c r="H845" s="0" t="str">
        <f aca="false">IF(B845="","",IF(COUNTIF(Campaigns!$A$7:$A$300,B845)&gt;0,"✓","⚠ add to Campaigns tab"))</f>
        <v/>
      </c>
      <c r="I845" s="84" t="str">
        <f aca="false">IF(C845="","",C845*IF(Settings!$B$24=Settings!$C$6,1,IF(Settings!$B$24="USD",1/INDEX(Settings!$B$29:$B$40,MONTH(A845)),INDEX(Settings!$B$29:$B$40,MONTH(A845)))))</f>
        <v/>
      </c>
    </row>
    <row r="846" customFormat="false" ht="15" hidden="false" customHeight="false" outlineLevel="0" collapsed="false">
      <c r="H846" s="0" t="str">
        <f aca="false">IF(B846="","",IF(COUNTIF(Campaigns!$A$7:$A$300,B846)&gt;0,"✓","⚠ add to Campaigns tab"))</f>
        <v/>
      </c>
      <c r="I846" s="84" t="str">
        <f aca="false">IF(C846="","",C846*IF(Settings!$B$24=Settings!$C$6,1,IF(Settings!$B$24="USD",1/INDEX(Settings!$B$29:$B$40,MONTH(A846)),INDEX(Settings!$B$29:$B$40,MONTH(A846)))))</f>
        <v/>
      </c>
    </row>
    <row r="847" customFormat="false" ht="15" hidden="false" customHeight="false" outlineLevel="0" collapsed="false">
      <c r="H847" s="0" t="str">
        <f aca="false">IF(B847="","",IF(COUNTIF(Campaigns!$A$7:$A$300,B847)&gt;0,"✓","⚠ add to Campaigns tab"))</f>
        <v/>
      </c>
      <c r="I847" s="84" t="str">
        <f aca="false">IF(C847="","",C847*IF(Settings!$B$24=Settings!$C$6,1,IF(Settings!$B$24="USD",1/INDEX(Settings!$B$29:$B$40,MONTH(A847)),INDEX(Settings!$B$29:$B$40,MONTH(A847)))))</f>
        <v/>
      </c>
    </row>
    <row r="848" customFormat="false" ht="15" hidden="false" customHeight="false" outlineLevel="0" collapsed="false">
      <c r="H848" s="0" t="str">
        <f aca="false">IF(B848="","",IF(COUNTIF(Campaigns!$A$7:$A$300,B848)&gt;0,"✓","⚠ add to Campaigns tab"))</f>
        <v/>
      </c>
      <c r="I848" s="84" t="str">
        <f aca="false">IF(C848="","",C848*IF(Settings!$B$24=Settings!$C$6,1,IF(Settings!$B$24="USD",1/INDEX(Settings!$B$29:$B$40,MONTH(A848)),INDEX(Settings!$B$29:$B$40,MONTH(A848)))))</f>
        <v/>
      </c>
    </row>
    <row r="849" customFormat="false" ht="15" hidden="false" customHeight="false" outlineLevel="0" collapsed="false">
      <c r="H849" s="0" t="str">
        <f aca="false">IF(B849="","",IF(COUNTIF(Campaigns!$A$7:$A$300,B849)&gt;0,"✓","⚠ add to Campaigns tab"))</f>
        <v/>
      </c>
      <c r="I849" s="84" t="str">
        <f aca="false">IF(C849="","",C849*IF(Settings!$B$24=Settings!$C$6,1,IF(Settings!$B$24="USD",1/INDEX(Settings!$B$29:$B$40,MONTH(A849)),INDEX(Settings!$B$29:$B$40,MONTH(A849)))))</f>
        <v/>
      </c>
    </row>
    <row r="850" customFormat="false" ht="15" hidden="false" customHeight="false" outlineLevel="0" collapsed="false">
      <c r="H850" s="0" t="str">
        <f aca="false">IF(B850="","",IF(COUNTIF(Campaigns!$A$7:$A$300,B850)&gt;0,"✓","⚠ add to Campaigns tab"))</f>
        <v/>
      </c>
      <c r="I850" s="84" t="str">
        <f aca="false">IF(C850="","",C850*IF(Settings!$B$24=Settings!$C$6,1,IF(Settings!$B$24="USD",1/INDEX(Settings!$B$29:$B$40,MONTH(A850)),INDEX(Settings!$B$29:$B$40,MONTH(A850)))))</f>
        <v/>
      </c>
    </row>
    <row r="851" customFormat="false" ht="15" hidden="false" customHeight="false" outlineLevel="0" collapsed="false">
      <c r="H851" s="0" t="str">
        <f aca="false">IF(B851="","",IF(COUNTIF(Campaigns!$A$7:$A$300,B851)&gt;0,"✓","⚠ add to Campaigns tab"))</f>
        <v/>
      </c>
      <c r="I851" s="84" t="str">
        <f aca="false">IF(C851="","",C851*IF(Settings!$B$24=Settings!$C$6,1,IF(Settings!$B$24="USD",1/INDEX(Settings!$B$29:$B$40,MONTH(A851)),INDEX(Settings!$B$29:$B$40,MONTH(A851)))))</f>
        <v/>
      </c>
    </row>
    <row r="852" customFormat="false" ht="15" hidden="false" customHeight="false" outlineLevel="0" collapsed="false">
      <c r="H852" s="0" t="str">
        <f aca="false">IF(B852="","",IF(COUNTIF(Campaigns!$A$7:$A$300,B852)&gt;0,"✓","⚠ add to Campaigns tab"))</f>
        <v/>
      </c>
      <c r="I852" s="84" t="str">
        <f aca="false">IF(C852="","",C852*IF(Settings!$B$24=Settings!$C$6,1,IF(Settings!$B$24="USD",1/INDEX(Settings!$B$29:$B$40,MONTH(A852)),INDEX(Settings!$B$29:$B$40,MONTH(A852)))))</f>
        <v/>
      </c>
    </row>
    <row r="853" customFormat="false" ht="15" hidden="false" customHeight="false" outlineLevel="0" collapsed="false">
      <c r="H853" s="0" t="str">
        <f aca="false">IF(B853="","",IF(COUNTIF(Campaigns!$A$7:$A$300,B853)&gt;0,"✓","⚠ add to Campaigns tab"))</f>
        <v/>
      </c>
      <c r="I853" s="84" t="str">
        <f aca="false">IF(C853="","",C853*IF(Settings!$B$24=Settings!$C$6,1,IF(Settings!$B$24="USD",1/INDEX(Settings!$B$29:$B$40,MONTH(A853)),INDEX(Settings!$B$29:$B$40,MONTH(A853)))))</f>
        <v/>
      </c>
    </row>
    <row r="854" customFormat="false" ht="15" hidden="false" customHeight="false" outlineLevel="0" collapsed="false">
      <c r="H854" s="0" t="str">
        <f aca="false">IF(B854="","",IF(COUNTIF(Campaigns!$A$7:$A$300,B854)&gt;0,"✓","⚠ add to Campaigns tab"))</f>
        <v/>
      </c>
      <c r="I854" s="84" t="str">
        <f aca="false">IF(C854="","",C854*IF(Settings!$B$24=Settings!$C$6,1,IF(Settings!$B$24="USD",1/INDEX(Settings!$B$29:$B$40,MONTH(A854)),INDEX(Settings!$B$29:$B$40,MONTH(A854)))))</f>
        <v/>
      </c>
    </row>
    <row r="855" customFormat="false" ht="15" hidden="false" customHeight="false" outlineLevel="0" collapsed="false">
      <c r="H855" s="0" t="str">
        <f aca="false">IF(B855="","",IF(COUNTIF(Campaigns!$A$7:$A$300,B855)&gt;0,"✓","⚠ add to Campaigns tab"))</f>
        <v/>
      </c>
      <c r="I855" s="84" t="str">
        <f aca="false">IF(C855="","",C855*IF(Settings!$B$24=Settings!$C$6,1,IF(Settings!$B$24="USD",1/INDEX(Settings!$B$29:$B$40,MONTH(A855)),INDEX(Settings!$B$29:$B$40,MONTH(A855)))))</f>
        <v/>
      </c>
    </row>
    <row r="856" customFormat="false" ht="15" hidden="false" customHeight="false" outlineLevel="0" collapsed="false">
      <c r="H856" s="0" t="str">
        <f aca="false">IF(B856="","",IF(COUNTIF(Campaigns!$A$7:$A$300,B856)&gt;0,"✓","⚠ add to Campaigns tab"))</f>
        <v/>
      </c>
      <c r="I856" s="84" t="str">
        <f aca="false">IF(C856="","",C856*IF(Settings!$B$24=Settings!$C$6,1,IF(Settings!$B$24="USD",1/INDEX(Settings!$B$29:$B$40,MONTH(A856)),INDEX(Settings!$B$29:$B$40,MONTH(A856)))))</f>
        <v/>
      </c>
    </row>
    <row r="857" customFormat="false" ht="15" hidden="false" customHeight="false" outlineLevel="0" collapsed="false">
      <c r="H857" s="0" t="str">
        <f aca="false">IF(B857="","",IF(COUNTIF(Campaigns!$A$7:$A$300,B857)&gt;0,"✓","⚠ add to Campaigns tab"))</f>
        <v/>
      </c>
      <c r="I857" s="84" t="str">
        <f aca="false">IF(C857="","",C857*IF(Settings!$B$24=Settings!$C$6,1,IF(Settings!$B$24="USD",1/INDEX(Settings!$B$29:$B$40,MONTH(A857)),INDEX(Settings!$B$29:$B$40,MONTH(A857)))))</f>
        <v/>
      </c>
    </row>
    <row r="858" customFormat="false" ht="15" hidden="false" customHeight="false" outlineLevel="0" collapsed="false">
      <c r="H858" s="0" t="str">
        <f aca="false">IF(B858="","",IF(COUNTIF(Campaigns!$A$7:$A$300,B858)&gt;0,"✓","⚠ add to Campaigns tab"))</f>
        <v/>
      </c>
      <c r="I858" s="84" t="str">
        <f aca="false">IF(C858="","",C858*IF(Settings!$B$24=Settings!$C$6,1,IF(Settings!$B$24="USD",1/INDEX(Settings!$B$29:$B$40,MONTH(A858)),INDEX(Settings!$B$29:$B$40,MONTH(A858)))))</f>
        <v/>
      </c>
    </row>
    <row r="859" customFormat="false" ht="15" hidden="false" customHeight="false" outlineLevel="0" collapsed="false">
      <c r="H859" s="0" t="str">
        <f aca="false">IF(B859="","",IF(COUNTIF(Campaigns!$A$7:$A$300,B859)&gt;0,"✓","⚠ add to Campaigns tab"))</f>
        <v/>
      </c>
      <c r="I859" s="84" t="str">
        <f aca="false">IF(C859="","",C859*IF(Settings!$B$24=Settings!$C$6,1,IF(Settings!$B$24="USD",1/INDEX(Settings!$B$29:$B$40,MONTH(A859)),INDEX(Settings!$B$29:$B$40,MONTH(A859)))))</f>
        <v/>
      </c>
    </row>
    <row r="860" customFormat="false" ht="15" hidden="false" customHeight="false" outlineLevel="0" collapsed="false">
      <c r="H860" s="0" t="str">
        <f aca="false">IF(B860="","",IF(COUNTIF(Campaigns!$A$7:$A$300,B860)&gt;0,"✓","⚠ add to Campaigns tab"))</f>
        <v/>
      </c>
      <c r="I860" s="84" t="str">
        <f aca="false">IF(C860="","",C860*IF(Settings!$B$24=Settings!$C$6,1,IF(Settings!$B$24="USD",1/INDEX(Settings!$B$29:$B$40,MONTH(A860)),INDEX(Settings!$B$29:$B$40,MONTH(A860)))))</f>
        <v/>
      </c>
    </row>
    <row r="861" customFormat="false" ht="15" hidden="false" customHeight="false" outlineLevel="0" collapsed="false">
      <c r="H861" s="0" t="str">
        <f aca="false">IF(B861="","",IF(COUNTIF(Campaigns!$A$7:$A$300,B861)&gt;0,"✓","⚠ add to Campaigns tab"))</f>
        <v/>
      </c>
      <c r="I861" s="84" t="str">
        <f aca="false">IF(C861="","",C861*IF(Settings!$B$24=Settings!$C$6,1,IF(Settings!$B$24="USD",1/INDEX(Settings!$B$29:$B$40,MONTH(A861)),INDEX(Settings!$B$29:$B$40,MONTH(A861)))))</f>
        <v/>
      </c>
    </row>
    <row r="862" customFormat="false" ht="15" hidden="false" customHeight="false" outlineLevel="0" collapsed="false">
      <c r="H862" s="0" t="str">
        <f aca="false">IF(B862="","",IF(COUNTIF(Campaigns!$A$7:$A$300,B862)&gt;0,"✓","⚠ add to Campaigns tab"))</f>
        <v/>
      </c>
      <c r="I862" s="84" t="str">
        <f aca="false">IF(C862="","",C862*IF(Settings!$B$24=Settings!$C$6,1,IF(Settings!$B$24="USD",1/INDEX(Settings!$B$29:$B$40,MONTH(A862)),INDEX(Settings!$B$29:$B$40,MONTH(A862)))))</f>
        <v/>
      </c>
    </row>
    <row r="863" customFormat="false" ht="15" hidden="false" customHeight="false" outlineLevel="0" collapsed="false">
      <c r="H863" s="0" t="str">
        <f aca="false">IF(B863="","",IF(COUNTIF(Campaigns!$A$7:$A$300,B863)&gt;0,"✓","⚠ add to Campaigns tab"))</f>
        <v/>
      </c>
      <c r="I863" s="84" t="str">
        <f aca="false">IF(C863="","",C863*IF(Settings!$B$24=Settings!$C$6,1,IF(Settings!$B$24="USD",1/INDEX(Settings!$B$29:$B$40,MONTH(A863)),INDEX(Settings!$B$29:$B$40,MONTH(A863)))))</f>
        <v/>
      </c>
    </row>
    <row r="864" customFormat="false" ht="15" hidden="false" customHeight="false" outlineLevel="0" collapsed="false">
      <c r="H864" s="0" t="str">
        <f aca="false">IF(B864="","",IF(COUNTIF(Campaigns!$A$7:$A$300,B864)&gt;0,"✓","⚠ add to Campaigns tab"))</f>
        <v/>
      </c>
      <c r="I864" s="84" t="str">
        <f aca="false">IF(C864="","",C864*IF(Settings!$B$24=Settings!$C$6,1,IF(Settings!$B$24="USD",1/INDEX(Settings!$B$29:$B$40,MONTH(A864)),INDEX(Settings!$B$29:$B$40,MONTH(A864)))))</f>
        <v/>
      </c>
    </row>
    <row r="865" customFormat="false" ht="15" hidden="false" customHeight="false" outlineLevel="0" collapsed="false">
      <c r="H865" s="0" t="str">
        <f aca="false">IF(B865="","",IF(COUNTIF(Campaigns!$A$7:$A$300,B865)&gt;0,"✓","⚠ add to Campaigns tab"))</f>
        <v/>
      </c>
      <c r="I865" s="84" t="str">
        <f aca="false">IF(C865="","",C865*IF(Settings!$B$24=Settings!$C$6,1,IF(Settings!$B$24="USD",1/INDEX(Settings!$B$29:$B$40,MONTH(A865)),INDEX(Settings!$B$29:$B$40,MONTH(A865)))))</f>
        <v/>
      </c>
    </row>
    <row r="866" customFormat="false" ht="15" hidden="false" customHeight="false" outlineLevel="0" collapsed="false">
      <c r="H866" s="0" t="str">
        <f aca="false">IF(B866="","",IF(COUNTIF(Campaigns!$A$7:$A$300,B866)&gt;0,"✓","⚠ add to Campaigns tab"))</f>
        <v/>
      </c>
      <c r="I866" s="84" t="str">
        <f aca="false">IF(C866="","",C866*IF(Settings!$B$24=Settings!$C$6,1,IF(Settings!$B$24="USD",1/INDEX(Settings!$B$29:$B$40,MONTH(A866)),INDEX(Settings!$B$29:$B$40,MONTH(A866)))))</f>
        <v/>
      </c>
    </row>
    <row r="867" customFormat="false" ht="15" hidden="false" customHeight="false" outlineLevel="0" collapsed="false">
      <c r="H867" s="0" t="str">
        <f aca="false">IF(B867="","",IF(COUNTIF(Campaigns!$A$7:$A$300,B867)&gt;0,"✓","⚠ add to Campaigns tab"))</f>
        <v/>
      </c>
      <c r="I867" s="84" t="str">
        <f aca="false">IF(C867="","",C867*IF(Settings!$B$24=Settings!$C$6,1,IF(Settings!$B$24="USD",1/INDEX(Settings!$B$29:$B$40,MONTH(A867)),INDEX(Settings!$B$29:$B$40,MONTH(A867)))))</f>
        <v/>
      </c>
    </row>
    <row r="868" customFormat="false" ht="15" hidden="false" customHeight="false" outlineLevel="0" collapsed="false">
      <c r="H868" s="0" t="str">
        <f aca="false">IF(B868="","",IF(COUNTIF(Campaigns!$A$7:$A$300,B868)&gt;0,"✓","⚠ add to Campaigns tab"))</f>
        <v/>
      </c>
      <c r="I868" s="84" t="str">
        <f aca="false">IF(C868="","",C868*IF(Settings!$B$24=Settings!$C$6,1,IF(Settings!$B$24="USD",1/INDEX(Settings!$B$29:$B$40,MONTH(A868)),INDEX(Settings!$B$29:$B$40,MONTH(A868)))))</f>
        <v/>
      </c>
    </row>
    <row r="869" customFormat="false" ht="15" hidden="false" customHeight="false" outlineLevel="0" collapsed="false">
      <c r="H869" s="0" t="str">
        <f aca="false">IF(B869="","",IF(COUNTIF(Campaigns!$A$7:$A$300,B869)&gt;0,"✓","⚠ add to Campaigns tab"))</f>
        <v/>
      </c>
      <c r="I869" s="84" t="str">
        <f aca="false">IF(C869="","",C869*IF(Settings!$B$24=Settings!$C$6,1,IF(Settings!$B$24="USD",1/INDEX(Settings!$B$29:$B$40,MONTH(A869)),INDEX(Settings!$B$29:$B$40,MONTH(A869)))))</f>
        <v/>
      </c>
    </row>
    <row r="870" customFormat="false" ht="15" hidden="false" customHeight="false" outlineLevel="0" collapsed="false">
      <c r="H870" s="0" t="str">
        <f aca="false">IF(B870="","",IF(COUNTIF(Campaigns!$A$7:$A$300,B870)&gt;0,"✓","⚠ add to Campaigns tab"))</f>
        <v/>
      </c>
      <c r="I870" s="84" t="str">
        <f aca="false">IF(C870="","",C870*IF(Settings!$B$24=Settings!$C$6,1,IF(Settings!$B$24="USD",1/INDEX(Settings!$B$29:$B$40,MONTH(A870)),INDEX(Settings!$B$29:$B$40,MONTH(A870)))))</f>
        <v/>
      </c>
    </row>
    <row r="871" customFormat="false" ht="15" hidden="false" customHeight="false" outlineLevel="0" collapsed="false">
      <c r="H871" s="0" t="str">
        <f aca="false">IF(B871="","",IF(COUNTIF(Campaigns!$A$7:$A$300,B871)&gt;0,"✓","⚠ add to Campaigns tab"))</f>
        <v/>
      </c>
      <c r="I871" s="84" t="str">
        <f aca="false">IF(C871="","",C871*IF(Settings!$B$24=Settings!$C$6,1,IF(Settings!$B$24="USD",1/INDEX(Settings!$B$29:$B$40,MONTH(A871)),INDEX(Settings!$B$29:$B$40,MONTH(A871)))))</f>
        <v/>
      </c>
    </row>
    <row r="872" customFormat="false" ht="15" hidden="false" customHeight="false" outlineLevel="0" collapsed="false">
      <c r="H872" s="0" t="str">
        <f aca="false">IF(B872="","",IF(COUNTIF(Campaigns!$A$7:$A$300,B872)&gt;0,"✓","⚠ add to Campaigns tab"))</f>
        <v/>
      </c>
      <c r="I872" s="84" t="str">
        <f aca="false">IF(C872="","",C872*IF(Settings!$B$24=Settings!$C$6,1,IF(Settings!$B$24="USD",1/INDEX(Settings!$B$29:$B$40,MONTH(A872)),INDEX(Settings!$B$29:$B$40,MONTH(A872)))))</f>
        <v/>
      </c>
    </row>
    <row r="873" customFormat="false" ht="15" hidden="false" customHeight="false" outlineLevel="0" collapsed="false">
      <c r="H873" s="0" t="str">
        <f aca="false">IF(B873="","",IF(COUNTIF(Campaigns!$A$7:$A$300,B873)&gt;0,"✓","⚠ add to Campaigns tab"))</f>
        <v/>
      </c>
      <c r="I873" s="84" t="str">
        <f aca="false">IF(C873="","",C873*IF(Settings!$B$24=Settings!$C$6,1,IF(Settings!$B$24="USD",1/INDEX(Settings!$B$29:$B$40,MONTH(A873)),INDEX(Settings!$B$29:$B$40,MONTH(A873)))))</f>
        <v/>
      </c>
    </row>
    <row r="874" customFormat="false" ht="15" hidden="false" customHeight="false" outlineLevel="0" collapsed="false">
      <c r="H874" s="0" t="str">
        <f aca="false">IF(B874="","",IF(COUNTIF(Campaigns!$A$7:$A$300,B874)&gt;0,"✓","⚠ add to Campaigns tab"))</f>
        <v/>
      </c>
      <c r="I874" s="84" t="str">
        <f aca="false">IF(C874="","",C874*IF(Settings!$B$24=Settings!$C$6,1,IF(Settings!$B$24="USD",1/INDEX(Settings!$B$29:$B$40,MONTH(A874)),INDEX(Settings!$B$29:$B$40,MONTH(A874)))))</f>
        <v/>
      </c>
    </row>
    <row r="875" customFormat="false" ht="15" hidden="false" customHeight="false" outlineLevel="0" collapsed="false">
      <c r="H875" s="0" t="str">
        <f aca="false">IF(B875="","",IF(COUNTIF(Campaigns!$A$7:$A$300,B875)&gt;0,"✓","⚠ add to Campaigns tab"))</f>
        <v/>
      </c>
      <c r="I875" s="84" t="str">
        <f aca="false">IF(C875="","",C875*IF(Settings!$B$24=Settings!$C$6,1,IF(Settings!$B$24="USD",1/INDEX(Settings!$B$29:$B$40,MONTH(A875)),INDEX(Settings!$B$29:$B$40,MONTH(A875)))))</f>
        <v/>
      </c>
    </row>
    <row r="876" customFormat="false" ht="15" hidden="false" customHeight="false" outlineLevel="0" collapsed="false">
      <c r="H876" s="0" t="str">
        <f aca="false">IF(B876="","",IF(COUNTIF(Campaigns!$A$7:$A$300,B876)&gt;0,"✓","⚠ add to Campaigns tab"))</f>
        <v/>
      </c>
      <c r="I876" s="84" t="str">
        <f aca="false">IF(C876="","",C876*IF(Settings!$B$24=Settings!$C$6,1,IF(Settings!$B$24="USD",1/INDEX(Settings!$B$29:$B$40,MONTH(A876)),INDEX(Settings!$B$29:$B$40,MONTH(A876)))))</f>
        <v/>
      </c>
    </row>
    <row r="877" customFormat="false" ht="15" hidden="false" customHeight="false" outlineLevel="0" collapsed="false">
      <c r="H877" s="0" t="str">
        <f aca="false">IF(B877="","",IF(COUNTIF(Campaigns!$A$7:$A$300,B877)&gt;0,"✓","⚠ add to Campaigns tab"))</f>
        <v/>
      </c>
      <c r="I877" s="84" t="str">
        <f aca="false">IF(C877="","",C877*IF(Settings!$B$24=Settings!$C$6,1,IF(Settings!$B$24="USD",1/INDEX(Settings!$B$29:$B$40,MONTH(A877)),INDEX(Settings!$B$29:$B$40,MONTH(A877)))))</f>
        <v/>
      </c>
    </row>
    <row r="878" customFormat="false" ht="15" hidden="false" customHeight="false" outlineLevel="0" collapsed="false">
      <c r="H878" s="0" t="str">
        <f aca="false">IF(B878="","",IF(COUNTIF(Campaigns!$A$7:$A$300,B878)&gt;0,"✓","⚠ add to Campaigns tab"))</f>
        <v/>
      </c>
      <c r="I878" s="84" t="str">
        <f aca="false">IF(C878="","",C878*IF(Settings!$B$24=Settings!$C$6,1,IF(Settings!$B$24="USD",1/INDEX(Settings!$B$29:$B$40,MONTH(A878)),INDEX(Settings!$B$29:$B$40,MONTH(A878)))))</f>
        <v/>
      </c>
    </row>
    <row r="879" customFormat="false" ht="15" hidden="false" customHeight="false" outlineLevel="0" collapsed="false">
      <c r="H879" s="0" t="str">
        <f aca="false">IF(B879="","",IF(COUNTIF(Campaigns!$A$7:$A$300,B879)&gt;0,"✓","⚠ add to Campaigns tab"))</f>
        <v/>
      </c>
      <c r="I879" s="84" t="str">
        <f aca="false">IF(C879="","",C879*IF(Settings!$B$24=Settings!$C$6,1,IF(Settings!$B$24="USD",1/INDEX(Settings!$B$29:$B$40,MONTH(A879)),INDEX(Settings!$B$29:$B$40,MONTH(A879)))))</f>
        <v/>
      </c>
    </row>
    <row r="880" customFormat="false" ht="15" hidden="false" customHeight="false" outlineLevel="0" collapsed="false">
      <c r="H880" s="0" t="str">
        <f aca="false">IF(B880="","",IF(COUNTIF(Campaigns!$A$7:$A$300,B880)&gt;0,"✓","⚠ add to Campaigns tab"))</f>
        <v/>
      </c>
      <c r="I880" s="84" t="str">
        <f aca="false">IF(C880="","",C880*IF(Settings!$B$24=Settings!$C$6,1,IF(Settings!$B$24="USD",1/INDEX(Settings!$B$29:$B$40,MONTH(A880)),INDEX(Settings!$B$29:$B$40,MONTH(A880)))))</f>
        <v/>
      </c>
    </row>
    <row r="881" customFormat="false" ht="15" hidden="false" customHeight="false" outlineLevel="0" collapsed="false">
      <c r="H881" s="0" t="str">
        <f aca="false">IF(B881="","",IF(COUNTIF(Campaigns!$A$7:$A$300,B881)&gt;0,"✓","⚠ add to Campaigns tab"))</f>
        <v/>
      </c>
      <c r="I881" s="84" t="str">
        <f aca="false">IF(C881="","",C881*IF(Settings!$B$24=Settings!$C$6,1,IF(Settings!$B$24="USD",1/INDEX(Settings!$B$29:$B$40,MONTH(A881)),INDEX(Settings!$B$29:$B$40,MONTH(A881)))))</f>
        <v/>
      </c>
    </row>
    <row r="882" customFormat="false" ht="15" hidden="false" customHeight="false" outlineLevel="0" collapsed="false">
      <c r="H882" s="0" t="str">
        <f aca="false">IF(B882="","",IF(COUNTIF(Campaigns!$A$7:$A$300,B882)&gt;0,"✓","⚠ add to Campaigns tab"))</f>
        <v/>
      </c>
      <c r="I882" s="84" t="str">
        <f aca="false">IF(C882="","",C882*IF(Settings!$B$24=Settings!$C$6,1,IF(Settings!$B$24="USD",1/INDEX(Settings!$B$29:$B$40,MONTH(A882)),INDEX(Settings!$B$29:$B$40,MONTH(A882)))))</f>
        <v/>
      </c>
    </row>
    <row r="883" customFormat="false" ht="15" hidden="false" customHeight="false" outlineLevel="0" collapsed="false">
      <c r="H883" s="0" t="str">
        <f aca="false">IF(B883="","",IF(COUNTIF(Campaigns!$A$7:$A$300,B883)&gt;0,"✓","⚠ add to Campaigns tab"))</f>
        <v/>
      </c>
      <c r="I883" s="84" t="str">
        <f aca="false">IF(C883="","",C883*IF(Settings!$B$24=Settings!$C$6,1,IF(Settings!$B$24="USD",1/INDEX(Settings!$B$29:$B$40,MONTH(A883)),INDEX(Settings!$B$29:$B$40,MONTH(A883)))))</f>
        <v/>
      </c>
    </row>
    <row r="884" customFormat="false" ht="15" hidden="false" customHeight="false" outlineLevel="0" collapsed="false">
      <c r="H884" s="0" t="str">
        <f aca="false">IF(B884="","",IF(COUNTIF(Campaigns!$A$7:$A$300,B884)&gt;0,"✓","⚠ add to Campaigns tab"))</f>
        <v/>
      </c>
      <c r="I884" s="84" t="str">
        <f aca="false">IF(C884="","",C884*IF(Settings!$B$24=Settings!$C$6,1,IF(Settings!$B$24="USD",1/INDEX(Settings!$B$29:$B$40,MONTH(A884)),INDEX(Settings!$B$29:$B$40,MONTH(A884)))))</f>
        <v/>
      </c>
    </row>
    <row r="885" customFormat="false" ht="15" hidden="false" customHeight="false" outlineLevel="0" collapsed="false">
      <c r="H885" s="0" t="str">
        <f aca="false">IF(B885="","",IF(COUNTIF(Campaigns!$A$7:$A$300,B885)&gt;0,"✓","⚠ add to Campaigns tab"))</f>
        <v/>
      </c>
      <c r="I885" s="84" t="str">
        <f aca="false">IF(C885="","",C885*IF(Settings!$B$24=Settings!$C$6,1,IF(Settings!$B$24="USD",1/INDEX(Settings!$B$29:$B$40,MONTH(A885)),INDEX(Settings!$B$29:$B$40,MONTH(A885)))))</f>
        <v/>
      </c>
    </row>
    <row r="886" customFormat="false" ht="15" hidden="false" customHeight="false" outlineLevel="0" collapsed="false">
      <c r="H886" s="0" t="str">
        <f aca="false">IF(B886="","",IF(COUNTIF(Campaigns!$A$7:$A$300,B886)&gt;0,"✓","⚠ add to Campaigns tab"))</f>
        <v/>
      </c>
      <c r="I886" s="84" t="str">
        <f aca="false">IF(C886="","",C886*IF(Settings!$B$24=Settings!$C$6,1,IF(Settings!$B$24="USD",1/INDEX(Settings!$B$29:$B$40,MONTH(A886)),INDEX(Settings!$B$29:$B$40,MONTH(A886)))))</f>
        <v/>
      </c>
    </row>
    <row r="887" customFormat="false" ht="15" hidden="false" customHeight="false" outlineLevel="0" collapsed="false">
      <c r="H887" s="0" t="str">
        <f aca="false">IF(B887="","",IF(COUNTIF(Campaigns!$A$7:$A$300,B887)&gt;0,"✓","⚠ add to Campaigns tab"))</f>
        <v/>
      </c>
      <c r="I887" s="84" t="str">
        <f aca="false">IF(C887="","",C887*IF(Settings!$B$24=Settings!$C$6,1,IF(Settings!$B$24="USD",1/INDEX(Settings!$B$29:$B$40,MONTH(A887)),INDEX(Settings!$B$29:$B$40,MONTH(A887)))))</f>
        <v/>
      </c>
    </row>
    <row r="888" customFormat="false" ht="15" hidden="false" customHeight="false" outlineLevel="0" collapsed="false">
      <c r="H888" s="0" t="str">
        <f aca="false">IF(B888="","",IF(COUNTIF(Campaigns!$A$7:$A$300,B888)&gt;0,"✓","⚠ add to Campaigns tab"))</f>
        <v/>
      </c>
      <c r="I888" s="84" t="str">
        <f aca="false">IF(C888="","",C888*IF(Settings!$B$24=Settings!$C$6,1,IF(Settings!$B$24="USD",1/INDEX(Settings!$B$29:$B$40,MONTH(A888)),INDEX(Settings!$B$29:$B$40,MONTH(A888)))))</f>
        <v/>
      </c>
    </row>
    <row r="889" customFormat="false" ht="15" hidden="false" customHeight="false" outlineLevel="0" collapsed="false">
      <c r="H889" s="0" t="str">
        <f aca="false">IF(B889="","",IF(COUNTIF(Campaigns!$A$7:$A$300,B889)&gt;0,"✓","⚠ add to Campaigns tab"))</f>
        <v/>
      </c>
      <c r="I889" s="84" t="str">
        <f aca="false">IF(C889="","",C889*IF(Settings!$B$24=Settings!$C$6,1,IF(Settings!$B$24="USD",1/INDEX(Settings!$B$29:$B$40,MONTH(A889)),INDEX(Settings!$B$29:$B$40,MONTH(A889)))))</f>
        <v/>
      </c>
    </row>
    <row r="890" customFormat="false" ht="15" hidden="false" customHeight="false" outlineLevel="0" collapsed="false">
      <c r="H890" s="0" t="str">
        <f aca="false">IF(B890="","",IF(COUNTIF(Campaigns!$A$7:$A$300,B890)&gt;0,"✓","⚠ add to Campaigns tab"))</f>
        <v/>
      </c>
      <c r="I890" s="84" t="str">
        <f aca="false">IF(C890="","",C890*IF(Settings!$B$24=Settings!$C$6,1,IF(Settings!$B$24="USD",1/INDEX(Settings!$B$29:$B$40,MONTH(A890)),INDEX(Settings!$B$29:$B$40,MONTH(A890)))))</f>
        <v/>
      </c>
    </row>
    <row r="891" customFormat="false" ht="15" hidden="false" customHeight="false" outlineLevel="0" collapsed="false">
      <c r="H891" s="0" t="str">
        <f aca="false">IF(B891="","",IF(COUNTIF(Campaigns!$A$7:$A$300,B891)&gt;0,"✓","⚠ add to Campaigns tab"))</f>
        <v/>
      </c>
      <c r="I891" s="84" t="str">
        <f aca="false">IF(C891="","",C891*IF(Settings!$B$24=Settings!$C$6,1,IF(Settings!$B$24="USD",1/INDEX(Settings!$B$29:$B$40,MONTH(A891)),INDEX(Settings!$B$29:$B$40,MONTH(A891)))))</f>
        <v/>
      </c>
    </row>
    <row r="892" customFormat="false" ht="15" hidden="false" customHeight="false" outlineLevel="0" collapsed="false">
      <c r="H892" s="0" t="str">
        <f aca="false">IF(B892="","",IF(COUNTIF(Campaigns!$A$7:$A$300,B892)&gt;0,"✓","⚠ add to Campaigns tab"))</f>
        <v/>
      </c>
      <c r="I892" s="84" t="str">
        <f aca="false">IF(C892="","",C892*IF(Settings!$B$24=Settings!$C$6,1,IF(Settings!$B$24="USD",1/INDEX(Settings!$B$29:$B$40,MONTH(A892)),INDEX(Settings!$B$29:$B$40,MONTH(A892)))))</f>
        <v/>
      </c>
    </row>
    <row r="893" customFormat="false" ht="15" hidden="false" customHeight="false" outlineLevel="0" collapsed="false">
      <c r="H893" s="0" t="str">
        <f aca="false">IF(B893="","",IF(COUNTIF(Campaigns!$A$7:$A$300,B893)&gt;0,"✓","⚠ add to Campaigns tab"))</f>
        <v/>
      </c>
      <c r="I893" s="84" t="str">
        <f aca="false">IF(C893="","",C893*IF(Settings!$B$24=Settings!$C$6,1,IF(Settings!$B$24="USD",1/INDEX(Settings!$B$29:$B$40,MONTH(A893)),INDEX(Settings!$B$29:$B$40,MONTH(A893)))))</f>
        <v/>
      </c>
    </row>
    <row r="894" customFormat="false" ht="15" hidden="false" customHeight="false" outlineLevel="0" collapsed="false">
      <c r="H894" s="0" t="str">
        <f aca="false">IF(B894="","",IF(COUNTIF(Campaigns!$A$7:$A$300,B894)&gt;0,"✓","⚠ add to Campaigns tab"))</f>
        <v/>
      </c>
      <c r="I894" s="84" t="str">
        <f aca="false">IF(C894="","",C894*IF(Settings!$B$24=Settings!$C$6,1,IF(Settings!$B$24="USD",1/INDEX(Settings!$B$29:$B$40,MONTH(A894)),INDEX(Settings!$B$29:$B$40,MONTH(A894)))))</f>
        <v/>
      </c>
    </row>
    <row r="895" customFormat="false" ht="15" hidden="false" customHeight="false" outlineLevel="0" collapsed="false">
      <c r="H895" s="0" t="str">
        <f aca="false">IF(B895="","",IF(COUNTIF(Campaigns!$A$7:$A$300,B895)&gt;0,"✓","⚠ add to Campaigns tab"))</f>
        <v/>
      </c>
      <c r="I895" s="84" t="str">
        <f aca="false">IF(C895="","",C895*IF(Settings!$B$24=Settings!$C$6,1,IF(Settings!$B$24="USD",1/INDEX(Settings!$B$29:$B$40,MONTH(A895)),INDEX(Settings!$B$29:$B$40,MONTH(A895)))))</f>
        <v/>
      </c>
    </row>
    <row r="896" customFormat="false" ht="15" hidden="false" customHeight="false" outlineLevel="0" collapsed="false">
      <c r="H896" s="0" t="str">
        <f aca="false">IF(B896="","",IF(COUNTIF(Campaigns!$A$7:$A$300,B896)&gt;0,"✓","⚠ add to Campaigns tab"))</f>
        <v/>
      </c>
      <c r="I896" s="84" t="str">
        <f aca="false">IF(C896="","",C896*IF(Settings!$B$24=Settings!$C$6,1,IF(Settings!$B$24="USD",1/INDEX(Settings!$B$29:$B$40,MONTH(A896)),INDEX(Settings!$B$29:$B$40,MONTH(A896)))))</f>
        <v/>
      </c>
    </row>
    <row r="897" customFormat="false" ht="15" hidden="false" customHeight="false" outlineLevel="0" collapsed="false">
      <c r="H897" s="0" t="str">
        <f aca="false">IF(B897="","",IF(COUNTIF(Campaigns!$A$7:$A$300,B897)&gt;0,"✓","⚠ add to Campaigns tab"))</f>
        <v/>
      </c>
      <c r="I897" s="84" t="str">
        <f aca="false">IF(C897="","",C897*IF(Settings!$B$24=Settings!$C$6,1,IF(Settings!$B$24="USD",1/INDEX(Settings!$B$29:$B$40,MONTH(A897)),INDEX(Settings!$B$29:$B$40,MONTH(A897)))))</f>
        <v/>
      </c>
    </row>
    <row r="898" customFormat="false" ht="15" hidden="false" customHeight="false" outlineLevel="0" collapsed="false">
      <c r="H898" s="0" t="str">
        <f aca="false">IF(B898="","",IF(COUNTIF(Campaigns!$A$7:$A$300,B898)&gt;0,"✓","⚠ add to Campaigns tab"))</f>
        <v/>
      </c>
      <c r="I898" s="84" t="str">
        <f aca="false">IF(C898="","",C898*IF(Settings!$B$24=Settings!$C$6,1,IF(Settings!$B$24="USD",1/INDEX(Settings!$B$29:$B$40,MONTH(A898)),INDEX(Settings!$B$29:$B$40,MONTH(A898)))))</f>
        <v/>
      </c>
    </row>
    <row r="899" customFormat="false" ht="15" hidden="false" customHeight="false" outlineLevel="0" collapsed="false">
      <c r="H899" s="0" t="str">
        <f aca="false">IF(B899="","",IF(COUNTIF(Campaigns!$A$7:$A$300,B899)&gt;0,"✓","⚠ add to Campaigns tab"))</f>
        <v/>
      </c>
      <c r="I899" s="84" t="str">
        <f aca="false">IF(C899="","",C899*IF(Settings!$B$24=Settings!$C$6,1,IF(Settings!$B$24="USD",1/INDEX(Settings!$B$29:$B$40,MONTH(A899)),INDEX(Settings!$B$29:$B$40,MONTH(A899)))))</f>
        <v/>
      </c>
    </row>
    <row r="900" customFormat="false" ht="15" hidden="false" customHeight="false" outlineLevel="0" collapsed="false">
      <c r="H900" s="0" t="str">
        <f aca="false">IF(B900="","",IF(COUNTIF(Campaigns!$A$7:$A$300,B900)&gt;0,"✓","⚠ add to Campaigns tab"))</f>
        <v/>
      </c>
      <c r="I900" s="84" t="str">
        <f aca="false">IF(C900="","",C900*IF(Settings!$B$24=Settings!$C$6,1,IF(Settings!$B$24="USD",1/INDEX(Settings!$B$29:$B$40,MONTH(A900)),INDEX(Settings!$B$29:$B$40,MONTH(A900)))))</f>
        <v/>
      </c>
    </row>
    <row r="901" customFormat="false" ht="15" hidden="false" customHeight="false" outlineLevel="0" collapsed="false">
      <c r="H901" s="0" t="str">
        <f aca="false">IF(B901="","",IF(COUNTIF(Campaigns!$A$7:$A$300,B901)&gt;0,"✓","⚠ add to Campaigns tab"))</f>
        <v/>
      </c>
      <c r="I901" s="84" t="str">
        <f aca="false">IF(C901="","",C901*IF(Settings!$B$24=Settings!$C$6,1,IF(Settings!$B$24="USD",1/INDEX(Settings!$B$29:$B$40,MONTH(A901)),INDEX(Settings!$B$29:$B$40,MONTH(A901)))))</f>
        <v/>
      </c>
    </row>
    <row r="902" customFormat="false" ht="15" hidden="false" customHeight="false" outlineLevel="0" collapsed="false">
      <c r="H902" s="0" t="str">
        <f aca="false">IF(B902="","",IF(COUNTIF(Campaigns!$A$7:$A$300,B902)&gt;0,"✓","⚠ add to Campaigns tab"))</f>
        <v/>
      </c>
      <c r="I902" s="84" t="str">
        <f aca="false">IF(C902="","",C902*IF(Settings!$B$24=Settings!$C$6,1,IF(Settings!$B$24="USD",1/INDEX(Settings!$B$29:$B$40,MONTH(A902)),INDEX(Settings!$B$29:$B$40,MONTH(A902)))))</f>
        <v/>
      </c>
    </row>
    <row r="903" customFormat="false" ht="15" hidden="false" customHeight="false" outlineLevel="0" collapsed="false">
      <c r="H903" s="0" t="str">
        <f aca="false">IF(B903="","",IF(COUNTIF(Campaigns!$A$7:$A$300,B903)&gt;0,"✓","⚠ add to Campaigns tab"))</f>
        <v/>
      </c>
      <c r="I903" s="84" t="str">
        <f aca="false">IF(C903="","",C903*IF(Settings!$B$24=Settings!$C$6,1,IF(Settings!$B$24="USD",1/INDEX(Settings!$B$29:$B$40,MONTH(A903)),INDEX(Settings!$B$29:$B$40,MONTH(A903)))))</f>
        <v/>
      </c>
    </row>
    <row r="904" customFormat="false" ht="15" hidden="false" customHeight="false" outlineLevel="0" collapsed="false">
      <c r="H904" s="0" t="str">
        <f aca="false">IF(B904="","",IF(COUNTIF(Campaigns!$A$7:$A$300,B904)&gt;0,"✓","⚠ add to Campaigns tab"))</f>
        <v/>
      </c>
      <c r="I904" s="84" t="str">
        <f aca="false">IF(C904="","",C904*IF(Settings!$B$24=Settings!$C$6,1,IF(Settings!$B$24="USD",1/INDEX(Settings!$B$29:$B$40,MONTH(A904)),INDEX(Settings!$B$29:$B$40,MONTH(A904)))))</f>
        <v/>
      </c>
    </row>
    <row r="905" customFormat="false" ht="15" hidden="false" customHeight="false" outlineLevel="0" collapsed="false">
      <c r="H905" s="0" t="str">
        <f aca="false">IF(B905="","",IF(COUNTIF(Campaigns!$A$7:$A$300,B905)&gt;0,"✓","⚠ add to Campaigns tab"))</f>
        <v/>
      </c>
      <c r="I905" s="84" t="str">
        <f aca="false">IF(C905="","",C905*IF(Settings!$B$24=Settings!$C$6,1,IF(Settings!$B$24="USD",1/INDEX(Settings!$B$29:$B$40,MONTH(A905)),INDEX(Settings!$B$29:$B$40,MONTH(A905)))))</f>
        <v/>
      </c>
    </row>
    <row r="906" customFormat="false" ht="15" hidden="false" customHeight="false" outlineLevel="0" collapsed="false">
      <c r="H906" s="0" t="str">
        <f aca="false">IF(B906="","",IF(COUNTIF(Campaigns!$A$7:$A$300,B906)&gt;0,"✓","⚠ add to Campaigns tab"))</f>
        <v/>
      </c>
      <c r="I906" s="84" t="str">
        <f aca="false">IF(C906="","",C906*IF(Settings!$B$24=Settings!$C$6,1,IF(Settings!$B$24="USD",1/INDEX(Settings!$B$29:$B$40,MONTH(A906)),INDEX(Settings!$B$29:$B$40,MONTH(A906)))))</f>
        <v/>
      </c>
    </row>
    <row r="907" customFormat="false" ht="15" hidden="false" customHeight="false" outlineLevel="0" collapsed="false">
      <c r="H907" s="0" t="str">
        <f aca="false">IF(B907="","",IF(COUNTIF(Campaigns!$A$7:$A$300,B907)&gt;0,"✓","⚠ add to Campaigns tab"))</f>
        <v/>
      </c>
      <c r="I907" s="84" t="str">
        <f aca="false">IF(C907="","",C907*IF(Settings!$B$24=Settings!$C$6,1,IF(Settings!$B$24="USD",1/INDEX(Settings!$B$29:$B$40,MONTH(A907)),INDEX(Settings!$B$29:$B$40,MONTH(A907)))))</f>
        <v/>
      </c>
    </row>
    <row r="908" customFormat="false" ht="15" hidden="false" customHeight="false" outlineLevel="0" collapsed="false">
      <c r="H908" s="0" t="str">
        <f aca="false">IF(B908="","",IF(COUNTIF(Campaigns!$A$7:$A$300,B908)&gt;0,"✓","⚠ add to Campaigns tab"))</f>
        <v/>
      </c>
      <c r="I908" s="84" t="str">
        <f aca="false">IF(C908="","",C908*IF(Settings!$B$24=Settings!$C$6,1,IF(Settings!$B$24="USD",1/INDEX(Settings!$B$29:$B$40,MONTH(A908)),INDEX(Settings!$B$29:$B$40,MONTH(A908)))))</f>
        <v/>
      </c>
    </row>
    <row r="909" customFormat="false" ht="15" hidden="false" customHeight="false" outlineLevel="0" collapsed="false">
      <c r="H909" s="0" t="str">
        <f aca="false">IF(B909="","",IF(COUNTIF(Campaigns!$A$7:$A$300,B909)&gt;0,"✓","⚠ add to Campaigns tab"))</f>
        <v/>
      </c>
      <c r="I909" s="84" t="str">
        <f aca="false">IF(C909="","",C909*IF(Settings!$B$24=Settings!$C$6,1,IF(Settings!$B$24="USD",1/INDEX(Settings!$B$29:$B$40,MONTH(A909)),INDEX(Settings!$B$29:$B$40,MONTH(A909)))))</f>
        <v/>
      </c>
    </row>
    <row r="910" customFormat="false" ht="15" hidden="false" customHeight="false" outlineLevel="0" collapsed="false">
      <c r="H910" s="0" t="str">
        <f aca="false">IF(B910="","",IF(COUNTIF(Campaigns!$A$7:$A$300,B910)&gt;0,"✓","⚠ add to Campaigns tab"))</f>
        <v/>
      </c>
      <c r="I910" s="84" t="str">
        <f aca="false">IF(C910="","",C910*IF(Settings!$B$24=Settings!$C$6,1,IF(Settings!$B$24="USD",1/INDEX(Settings!$B$29:$B$40,MONTH(A910)),INDEX(Settings!$B$29:$B$40,MONTH(A910)))))</f>
        <v/>
      </c>
    </row>
    <row r="911" customFormat="false" ht="15" hidden="false" customHeight="false" outlineLevel="0" collapsed="false">
      <c r="H911" s="0" t="str">
        <f aca="false">IF(B911="","",IF(COUNTIF(Campaigns!$A$7:$A$300,B911)&gt;0,"✓","⚠ add to Campaigns tab"))</f>
        <v/>
      </c>
      <c r="I911" s="84" t="str">
        <f aca="false">IF(C911="","",C911*IF(Settings!$B$24=Settings!$C$6,1,IF(Settings!$B$24="USD",1/INDEX(Settings!$B$29:$B$40,MONTH(A911)),INDEX(Settings!$B$29:$B$40,MONTH(A911)))))</f>
        <v/>
      </c>
    </row>
    <row r="912" customFormat="false" ht="15" hidden="false" customHeight="false" outlineLevel="0" collapsed="false">
      <c r="H912" s="0" t="str">
        <f aca="false">IF(B912="","",IF(COUNTIF(Campaigns!$A$7:$A$300,B912)&gt;0,"✓","⚠ add to Campaigns tab"))</f>
        <v/>
      </c>
      <c r="I912" s="84" t="str">
        <f aca="false">IF(C912="","",C912*IF(Settings!$B$24=Settings!$C$6,1,IF(Settings!$B$24="USD",1/INDEX(Settings!$B$29:$B$40,MONTH(A912)),INDEX(Settings!$B$29:$B$40,MONTH(A912)))))</f>
        <v/>
      </c>
    </row>
    <row r="913" customFormat="false" ht="15" hidden="false" customHeight="false" outlineLevel="0" collapsed="false">
      <c r="H913" s="0" t="str">
        <f aca="false">IF(B913="","",IF(COUNTIF(Campaigns!$A$7:$A$300,B913)&gt;0,"✓","⚠ add to Campaigns tab"))</f>
        <v/>
      </c>
      <c r="I913" s="84" t="str">
        <f aca="false">IF(C913="","",C913*IF(Settings!$B$24=Settings!$C$6,1,IF(Settings!$B$24="USD",1/INDEX(Settings!$B$29:$B$40,MONTH(A913)),INDEX(Settings!$B$29:$B$40,MONTH(A913)))))</f>
        <v/>
      </c>
    </row>
    <row r="914" customFormat="false" ht="15" hidden="false" customHeight="false" outlineLevel="0" collapsed="false">
      <c r="H914" s="0" t="str">
        <f aca="false">IF(B914="","",IF(COUNTIF(Campaigns!$A$7:$A$300,B914)&gt;0,"✓","⚠ add to Campaigns tab"))</f>
        <v/>
      </c>
      <c r="I914" s="84" t="str">
        <f aca="false">IF(C914="","",C914*IF(Settings!$B$24=Settings!$C$6,1,IF(Settings!$B$24="USD",1/INDEX(Settings!$B$29:$B$40,MONTH(A914)),INDEX(Settings!$B$29:$B$40,MONTH(A914)))))</f>
        <v/>
      </c>
    </row>
    <row r="915" customFormat="false" ht="15" hidden="false" customHeight="false" outlineLevel="0" collapsed="false">
      <c r="H915" s="0" t="str">
        <f aca="false">IF(B915="","",IF(COUNTIF(Campaigns!$A$7:$A$300,B915)&gt;0,"✓","⚠ add to Campaigns tab"))</f>
        <v/>
      </c>
      <c r="I915" s="84" t="str">
        <f aca="false">IF(C915="","",C915*IF(Settings!$B$24=Settings!$C$6,1,IF(Settings!$B$24="USD",1/INDEX(Settings!$B$29:$B$40,MONTH(A915)),INDEX(Settings!$B$29:$B$40,MONTH(A915)))))</f>
        <v/>
      </c>
    </row>
    <row r="916" customFormat="false" ht="15" hidden="false" customHeight="false" outlineLevel="0" collapsed="false">
      <c r="H916" s="0" t="str">
        <f aca="false">IF(B916="","",IF(COUNTIF(Campaigns!$A$7:$A$300,B916)&gt;0,"✓","⚠ add to Campaigns tab"))</f>
        <v/>
      </c>
      <c r="I916" s="84" t="str">
        <f aca="false">IF(C916="","",C916*IF(Settings!$B$24=Settings!$C$6,1,IF(Settings!$B$24="USD",1/INDEX(Settings!$B$29:$B$40,MONTH(A916)),INDEX(Settings!$B$29:$B$40,MONTH(A916)))))</f>
        <v/>
      </c>
    </row>
    <row r="917" customFormat="false" ht="15" hidden="false" customHeight="false" outlineLevel="0" collapsed="false">
      <c r="H917" s="0" t="str">
        <f aca="false">IF(B917="","",IF(COUNTIF(Campaigns!$A$7:$A$300,B917)&gt;0,"✓","⚠ add to Campaigns tab"))</f>
        <v/>
      </c>
      <c r="I917" s="84" t="str">
        <f aca="false">IF(C917="","",C917*IF(Settings!$B$24=Settings!$C$6,1,IF(Settings!$B$24="USD",1/INDEX(Settings!$B$29:$B$40,MONTH(A917)),INDEX(Settings!$B$29:$B$40,MONTH(A917)))))</f>
        <v/>
      </c>
    </row>
    <row r="918" customFormat="false" ht="15" hidden="false" customHeight="false" outlineLevel="0" collapsed="false">
      <c r="H918" s="0" t="str">
        <f aca="false">IF(B918="","",IF(COUNTIF(Campaigns!$A$7:$A$300,B918)&gt;0,"✓","⚠ add to Campaigns tab"))</f>
        <v/>
      </c>
      <c r="I918" s="84" t="str">
        <f aca="false">IF(C918="","",C918*IF(Settings!$B$24=Settings!$C$6,1,IF(Settings!$B$24="USD",1/INDEX(Settings!$B$29:$B$40,MONTH(A918)),INDEX(Settings!$B$29:$B$40,MONTH(A918)))))</f>
        <v/>
      </c>
    </row>
    <row r="919" customFormat="false" ht="15" hidden="false" customHeight="false" outlineLevel="0" collapsed="false">
      <c r="H919" s="0" t="str">
        <f aca="false">IF(B919="","",IF(COUNTIF(Campaigns!$A$7:$A$300,B919)&gt;0,"✓","⚠ add to Campaigns tab"))</f>
        <v/>
      </c>
      <c r="I919" s="84" t="str">
        <f aca="false">IF(C919="","",C919*IF(Settings!$B$24=Settings!$C$6,1,IF(Settings!$B$24="USD",1/INDEX(Settings!$B$29:$B$40,MONTH(A919)),INDEX(Settings!$B$29:$B$40,MONTH(A919)))))</f>
        <v/>
      </c>
    </row>
    <row r="920" customFormat="false" ht="15" hidden="false" customHeight="false" outlineLevel="0" collapsed="false">
      <c r="H920" s="0" t="str">
        <f aca="false">IF(B920="","",IF(COUNTIF(Campaigns!$A$7:$A$300,B920)&gt;0,"✓","⚠ add to Campaigns tab"))</f>
        <v/>
      </c>
      <c r="I920" s="84" t="str">
        <f aca="false">IF(C920="","",C920*IF(Settings!$B$24=Settings!$C$6,1,IF(Settings!$B$24="USD",1/INDEX(Settings!$B$29:$B$40,MONTH(A920)),INDEX(Settings!$B$29:$B$40,MONTH(A920)))))</f>
        <v/>
      </c>
    </row>
    <row r="921" customFormat="false" ht="15" hidden="false" customHeight="false" outlineLevel="0" collapsed="false">
      <c r="H921" s="0" t="str">
        <f aca="false">IF(B921="","",IF(COUNTIF(Campaigns!$A$7:$A$300,B921)&gt;0,"✓","⚠ add to Campaigns tab"))</f>
        <v/>
      </c>
      <c r="I921" s="84" t="str">
        <f aca="false">IF(C921="","",C921*IF(Settings!$B$24=Settings!$C$6,1,IF(Settings!$B$24="USD",1/INDEX(Settings!$B$29:$B$40,MONTH(A921)),INDEX(Settings!$B$29:$B$40,MONTH(A921)))))</f>
        <v/>
      </c>
    </row>
    <row r="922" customFormat="false" ht="15" hidden="false" customHeight="false" outlineLevel="0" collapsed="false">
      <c r="H922" s="0" t="str">
        <f aca="false">IF(B922="","",IF(COUNTIF(Campaigns!$A$7:$A$300,B922)&gt;0,"✓","⚠ add to Campaigns tab"))</f>
        <v/>
      </c>
      <c r="I922" s="84" t="str">
        <f aca="false">IF(C922="","",C922*IF(Settings!$B$24=Settings!$C$6,1,IF(Settings!$B$24="USD",1/INDEX(Settings!$B$29:$B$40,MONTH(A922)),INDEX(Settings!$B$29:$B$40,MONTH(A922)))))</f>
        <v/>
      </c>
    </row>
    <row r="923" customFormat="false" ht="15" hidden="false" customHeight="false" outlineLevel="0" collapsed="false">
      <c r="H923" s="0" t="str">
        <f aca="false">IF(B923="","",IF(COUNTIF(Campaigns!$A$7:$A$300,B923)&gt;0,"✓","⚠ add to Campaigns tab"))</f>
        <v/>
      </c>
      <c r="I923" s="84" t="str">
        <f aca="false">IF(C923="","",C923*IF(Settings!$B$24=Settings!$C$6,1,IF(Settings!$B$24="USD",1/INDEX(Settings!$B$29:$B$40,MONTH(A923)),INDEX(Settings!$B$29:$B$40,MONTH(A923)))))</f>
        <v/>
      </c>
    </row>
    <row r="924" customFormat="false" ht="15" hidden="false" customHeight="false" outlineLevel="0" collapsed="false">
      <c r="H924" s="0" t="str">
        <f aca="false">IF(B924="","",IF(COUNTIF(Campaigns!$A$7:$A$300,B924)&gt;0,"✓","⚠ add to Campaigns tab"))</f>
        <v/>
      </c>
      <c r="I924" s="84" t="str">
        <f aca="false">IF(C924="","",C924*IF(Settings!$B$24=Settings!$C$6,1,IF(Settings!$B$24="USD",1/INDEX(Settings!$B$29:$B$40,MONTH(A924)),INDEX(Settings!$B$29:$B$40,MONTH(A924)))))</f>
        <v/>
      </c>
    </row>
    <row r="925" customFormat="false" ht="15" hidden="false" customHeight="false" outlineLevel="0" collapsed="false">
      <c r="H925" s="0" t="str">
        <f aca="false">IF(B925="","",IF(COUNTIF(Campaigns!$A$7:$A$300,B925)&gt;0,"✓","⚠ add to Campaigns tab"))</f>
        <v/>
      </c>
      <c r="I925" s="84" t="str">
        <f aca="false">IF(C925="","",C925*IF(Settings!$B$24=Settings!$C$6,1,IF(Settings!$B$24="USD",1/INDEX(Settings!$B$29:$B$40,MONTH(A925)),INDEX(Settings!$B$29:$B$40,MONTH(A925)))))</f>
        <v/>
      </c>
    </row>
    <row r="926" customFormat="false" ht="15" hidden="false" customHeight="false" outlineLevel="0" collapsed="false">
      <c r="H926" s="0" t="str">
        <f aca="false">IF(B926="","",IF(COUNTIF(Campaigns!$A$7:$A$300,B926)&gt;0,"✓","⚠ add to Campaigns tab"))</f>
        <v/>
      </c>
      <c r="I926" s="84" t="str">
        <f aca="false">IF(C926="","",C926*IF(Settings!$B$24=Settings!$C$6,1,IF(Settings!$B$24="USD",1/INDEX(Settings!$B$29:$B$40,MONTH(A926)),INDEX(Settings!$B$29:$B$40,MONTH(A926)))))</f>
        <v/>
      </c>
    </row>
    <row r="927" customFormat="false" ht="15" hidden="false" customHeight="false" outlineLevel="0" collapsed="false">
      <c r="H927" s="0" t="str">
        <f aca="false">IF(B927="","",IF(COUNTIF(Campaigns!$A$7:$A$300,B927)&gt;0,"✓","⚠ add to Campaigns tab"))</f>
        <v/>
      </c>
      <c r="I927" s="84" t="str">
        <f aca="false">IF(C927="","",C927*IF(Settings!$B$24=Settings!$C$6,1,IF(Settings!$B$24="USD",1/INDEX(Settings!$B$29:$B$40,MONTH(A927)),INDEX(Settings!$B$29:$B$40,MONTH(A927)))))</f>
        <v/>
      </c>
    </row>
    <row r="928" customFormat="false" ht="15" hidden="false" customHeight="false" outlineLevel="0" collapsed="false">
      <c r="H928" s="0" t="str">
        <f aca="false">IF(B928="","",IF(COUNTIF(Campaigns!$A$7:$A$300,B928)&gt;0,"✓","⚠ add to Campaigns tab"))</f>
        <v/>
      </c>
      <c r="I928" s="84" t="str">
        <f aca="false">IF(C928="","",C928*IF(Settings!$B$24=Settings!$C$6,1,IF(Settings!$B$24="USD",1/INDEX(Settings!$B$29:$B$40,MONTH(A928)),INDEX(Settings!$B$29:$B$40,MONTH(A928)))))</f>
        <v/>
      </c>
    </row>
    <row r="929" customFormat="false" ht="15" hidden="false" customHeight="false" outlineLevel="0" collapsed="false">
      <c r="H929" s="0" t="str">
        <f aca="false">IF(B929="","",IF(COUNTIF(Campaigns!$A$7:$A$300,B929)&gt;0,"✓","⚠ add to Campaigns tab"))</f>
        <v/>
      </c>
      <c r="I929" s="84" t="str">
        <f aca="false">IF(C929="","",C929*IF(Settings!$B$24=Settings!$C$6,1,IF(Settings!$B$24="USD",1/INDEX(Settings!$B$29:$B$40,MONTH(A929)),INDEX(Settings!$B$29:$B$40,MONTH(A929)))))</f>
        <v/>
      </c>
    </row>
    <row r="930" customFormat="false" ht="15" hidden="false" customHeight="false" outlineLevel="0" collapsed="false">
      <c r="H930" s="0" t="str">
        <f aca="false">IF(B930="","",IF(COUNTIF(Campaigns!$A$7:$A$300,B930)&gt;0,"✓","⚠ add to Campaigns tab"))</f>
        <v/>
      </c>
      <c r="I930" s="84" t="str">
        <f aca="false">IF(C930="","",C930*IF(Settings!$B$24=Settings!$C$6,1,IF(Settings!$B$24="USD",1/INDEX(Settings!$B$29:$B$40,MONTH(A930)),INDEX(Settings!$B$29:$B$40,MONTH(A930)))))</f>
        <v/>
      </c>
    </row>
    <row r="931" customFormat="false" ht="15" hidden="false" customHeight="false" outlineLevel="0" collapsed="false">
      <c r="H931" s="0" t="str">
        <f aca="false">IF(B931="","",IF(COUNTIF(Campaigns!$A$7:$A$300,B931)&gt;0,"✓","⚠ add to Campaigns tab"))</f>
        <v/>
      </c>
      <c r="I931" s="84" t="str">
        <f aca="false">IF(C931="","",C931*IF(Settings!$B$24=Settings!$C$6,1,IF(Settings!$B$24="USD",1/INDEX(Settings!$B$29:$B$40,MONTH(A931)),INDEX(Settings!$B$29:$B$40,MONTH(A931)))))</f>
        <v/>
      </c>
    </row>
    <row r="932" customFormat="false" ht="15" hidden="false" customHeight="false" outlineLevel="0" collapsed="false">
      <c r="H932" s="0" t="str">
        <f aca="false">IF(B932="","",IF(COUNTIF(Campaigns!$A$7:$A$300,B932)&gt;0,"✓","⚠ add to Campaigns tab"))</f>
        <v/>
      </c>
      <c r="I932" s="84" t="str">
        <f aca="false">IF(C932="","",C932*IF(Settings!$B$24=Settings!$C$6,1,IF(Settings!$B$24="USD",1/INDEX(Settings!$B$29:$B$40,MONTH(A932)),INDEX(Settings!$B$29:$B$40,MONTH(A932)))))</f>
        <v/>
      </c>
    </row>
    <row r="933" customFormat="false" ht="15" hidden="false" customHeight="false" outlineLevel="0" collapsed="false">
      <c r="H933" s="0" t="str">
        <f aca="false">IF(B933="","",IF(COUNTIF(Campaigns!$A$7:$A$300,B933)&gt;0,"✓","⚠ add to Campaigns tab"))</f>
        <v/>
      </c>
      <c r="I933" s="84" t="str">
        <f aca="false">IF(C933="","",C933*IF(Settings!$B$24=Settings!$C$6,1,IF(Settings!$B$24="USD",1/INDEX(Settings!$B$29:$B$40,MONTH(A933)),INDEX(Settings!$B$29:$B$40,MONTH(A933)))))</f>
        <v/>
      </c>
    </row>
    <row r="934" customFormat="false" ht="15" hidden="false" customHeight="false" outlineLevel="0" collapsed="false">
      <c r="H934" s="0" t="str">
        <f aca="false">IF(B934="","",IF(COUNTIF(Campaigns!$A$7:$A$300,B934)&gt;0,"✓","⚠ add to Campaigns tab"))</f>
        <v/>
      </c>
      <c r="I934" s="84" t="str">
        <f aca="false">IF(C934="","",C934*IF(Settings!$B$24=Settings!$C$6,1,IF(Settings!$B$24="USD",1/INDEX(Settings!$B$29:$B$40,MONTH(A934)),INDEX(Settings!$B$29:$B$40,MONTH(A934)))))</f>
        <v/>
      </c>
    </row>
    <row r="935" customFormat="false" ht="15" hidden="false" customHeight="false" outlineLevel="0" collapsed="false">
      <c r="H935" s="0" t="str">
        <f aca="false">IF(B935="","",IF(COUNTIF(Campaigns!$A$7:$A$300,B935)&gt;0,"✓","⚠ add to Campaigns tab"))</f>
        <v/>
      </c>
      <c r="I935" s="84" t="str">
        <f aca="false">IF(C935="","",C935*IF(Settings!$B$24=Settings!$C$6,1,IF(Settings!$B$24="USD",1/INDEX(Settings!$B$29:$B$40,MONTH(A935)),INDEX(Settings!$B$29:$B$40,MONTH(A935)))))</f>
        <v/>
      </c>
    </row>
    <row r="936" customFormat="false" ht="15" hidden="false" customHeight="false" outlineLevel="0" collapsed="false">
      <c r="H936" s="0" t="str">
        <f aca="false">IF(B936="","",IF(COUNTIF(Campaigns!$A$7:$A$300,B936)&gt;0,"✓","⚠ add to Campaigns tab"))</f>
        <v/>
      </c>
      <c r="I936" s="84" t="str">
        <f aca="false">IF(C936="","",C936*IF(Settings!$B$24=Settings!$C$6,1,IF(Settings!$B$24="USD",1/INDEX(Settings!$B$29:$B$40,MONTH(A936)),INDEX(Settings!$B$29:$B$40,MONTH(A936)))))</f>
        <v/>
      </c>
    </row>
    <row r="937" customFormat="false" ht="15" hidden="false" customHeight="false" outlineLevel="0" collapsed="false">
      <c r="H937" s="0" t="str">
        <f aca="false">IF(B937="","",IF(COUNTIF(Campaigns!$A$7:$A$300,B937)&gt;0,"✓","⚠ add to Campaigns tab"))</f>
        <v/>
      </c>
      <c r="I937" s="84" t="str">
        <f aca="false">IF(C937="","",C937*IF(Settings!$B$24=Settings!$C$6,1,IF(Settings!$B$24="USD",1/INDEX(Settings!$B$29:$B$40,MONTH(A937)),INDEX(Settings!$B$29:$B$40,MONTH(A937)))))</f>
        <v/>
      </c>
    </row>
    <row r="938" customFormat="false" ht="15" hidden="false" customHeight="false" outlineLevel="0" collapsed="false">
      <c r="H938" s="0" t="str">
        <f aca="false">IF(B938="","",IF(COUNTIF(Campaigns!$A$7:$A$300,B938)&gt;0,"✓","⚠ add to Campaigns tab"))</f>
        <v/>
      </c>
      <c r="I938" s="84" t="str">
        <f aca="false">IF(C938="","",C938*IF(Settings!$B$24=Settings!$C$6,1,IF(Settings!$B$24="USD",1/INDEX(Settings!$B$29:$B$40,MONTH(A938)),INDEX(Settings!$B$29:$B$40,MONTH(A938)))))</f>
        <v/>
      </c>
    </row>
    <row r="939" customFormat="false" ht="15" hidden="false" customHeight="false" outlineLevel="0" collapsed="false">
      <c r="H939" s="0" t="str">
        <f aca="false">IF(B939="","",IF(COUNTIF(Campaigns!$A$7:$A$300,B939)&gt;0,"✓","⚠ add to Campaigns tab"))</f>
        <v/>
      </c>
      <c r="I939" s="84" t="str">
        <f aca="false">IF(C939="","",C939*IF(Settings!$B$24=Settings!$C$6,1,IF(Settings!$B$24="USD",1/INDEX(Settings!$B$29:$B$40,MONTH(A939)),INDEX(Settings!$B$29:$B$40,MONTH(A939)))))</f>
        <v/>
      </c>
    </row>
    <row r="940" customFormat="false" ht="15" hidden="false" customHeight="false" outlineLevel="0" collapsed="false">
      <c r="H940" s="0" t="str">
        <f aca="false">IF(B940="","",IF(COUNTIF(Campaigns!$A$7:$A$300,B940)&gt;0,"✓","⚠ add to Campaigns tab"))</f>
        <v/>
      </c>
      <c r="I940" s="84" t="str">
        <f aca="false">IF(C940="","",C940*IF(Settings!$B$24=Settings!$C$6,1,IF(Settings!$B$24="USD",1/INDEX(Settings!$B$29:$B$40,MONTH(A940)),INDEX(Settings!$B$29:$B$40,MONTH(A940)))))</f>
        <v/>
      </c>
    </row>
    <row r="941" customFormat="false" ht="15" hidden="false" customHeight="false" outlineLevel="0" collapsed="false">
      <c r="H941" s="0" t="str">
        <f aca="false">IF(B941="","",IF(COUNTIF(Campaigns!$A$7:$A$300,B941)&gt;0,"✓","⚠ add to Campaigns tab"))</f>
        <v/>
      </c>
      <c r="I941" s="84" t="str">
        <f aca="false">IF(C941="","",C941*IF(Settings!$B$24=Settings!$C$6,1,IF(Settings!$B$24="USD",1/INDEX(Settings!$B$29:$B$40,MONTH(A941)),INDEX(Settings!$B$29:$B$40,MONTH(A941)))))</f>
        <v/>
      </c>
    </row>
    <row r="942" customFormat="false" ht="15" hidden="false" customHeight="false" outlineLevel="0" collapsed="false">
      <c r="H942" s="0" t="str">
        <f aca="false">IF(B942="","",IF(COUNTIF(Campaigns!$A$7:$A$300,B942)&gt;0,"✓","⚠ add to Campaigns tab"))</f>
        <v/>
      </c>
      <c r="I942" s="84" t="str">
        <f aca="false">IF(C942="","",C942*IF(Settings!$B$24=Settings!$C$6,1,IF(Settings!$B$24="USD",1/INDEX(Settings!$B$29:$B$40,MONTH(A942)),INDEX(Settings!$B$29:$B$40,MONTH(A942)))))</f>
        <v/>
      </c>
    </row>
    <row r="943" customFormat="false" ht="15" hidden="false" customHeight="false" outlineLevel="0" collapsed="false">
      <c r="H943" s="0" t="str">
        <f aca="false">IF(B943="","",IF(COUNTIF(Campaigns!$A$7:$A$300,B943)&gt;0,"✓","⚠ add to Campaigns tab"))</f>
        <v/>
      </c>
      <c r="I943" s="84" t="str">
        <f aca="false">IF(C943="","",C943*IF(Settings!$B$24=Settings!$C$6,1,IF(Settings!$B$24="USD",1/INDEX(Settings!$B$29:$B$40,MONTH(A943)),INDEX(Settings!$B$29:$B$40,MONTH(A943)))))</f>
        <v/>
      </c>
    </row>
    <row r="944" customFormat="false" ht="15" hidden="false" customHeight="false" outlineLevel="0" collapsed="false">
      <c r="H944" s="0" t="str">
        <f aca="false">IF(B944="","",IF(COUNTIF(Campaigns!$A$7:$A$300,B944)&gt;0,"✓","⚠ add to Campaigns tab"))</f>
        <v/>
      </c>
      <c r="I944" s="84" t="str">
        <f aca="false">IF(C944="","",C944*IF(Settings!$B$24=Settings!$C$6,1,IF(Settings!$B$24="USD",1/INDEX(Settings!$B$29:$B$40,MONTH(A944)),INDEX(Settings!$B$29:$B$40,MONTH(A944)))))</f>
        <v/>
      </c>
    </row>
    <row r="945" customFormat="false" ht="15" hidden="false" customHeight="false" outlineLevel="0" collapsed="false">
      <c r="H945" s="0" t="str">
        <f aca="false">IF(B945="","",IF(COUNTIF(Campaigns!$A$7:$A$300,B945)&gt;0,"✓","⚠ add to Campaigns tab"))</f>
        <v/>
      </c>
      <c r="I945" s="84" t="str">
        <f aca="false">IF(C945="","",C945*IF(Settings!$B$24=Settings!$C$6,1,IF(Settings!$B$24="USD",1/INDEX(Settings!$B$29:$B$40,MONTH(A945)),INDEX(Settings!$B$29:$B$40,MONTH(A945)))))</f>
        <v/>
      </c>
    </row>
    <row r="946" customFormat="false" ht="15" hidden="false" customHeight="false" outlineLevel="0" collapsed="false">
      <c r="H946" s="0" t="str">
        <f aca="false">IF(B946="","",IF(COUNTIF(Campaigns!$A$7:$A$300,B946)&gt;0,"✓","⚠ add to Campaigns tab"))</f>
        <v/>
      </c>
      <c r="I946" s="84" t="str">
        <f aca="false">IF(C946="","",C946*IF(Settings!$B$24=Settings!$C$6,1,IF(Settings!$B$24="USD",1/INDEX(Settings!$B$29:$B$40,MONTH(A946)),INDEX(Settings!$B$29:$B$40,MONTH(A946)))))</f>
        <v/>
      </c>
    </row>
    <row r="947" customFormat="false" ht="15" hidden="false" customHeight="false" outlineLevel="0" collapsed="false">
      <c r="H947" s="0" t="str">
        <f aca="false">IF(B947="","",IF(COUNTIF(Campaigns!$A$7:$A$300,B947)&gt;0,"✓","⚠ add to Campaigns tab"))</f>
        <v/>
      </c>
      <c r="I947" s="84" t="str">
        <f aca="false">IF(C947="","",C947*IF(Settings!$B$24=Settings!$C$6,1,IF(Settings!$B$24="USD",1/INDEX(Settings!$B$29:$B$40,MONTH(A947)),INDEX(Settings!$B$29:$B$40,MONTH(A947)))))</f>
        <v/>
      </c>
    </row>
    <row r="948" customFormat="false" ht="15" hidden="false" customHeight="false" outlineLevel="0" collapsed="false">
      <c r="H948" s="0" t="str">
        <f aca="false">IF(B948="","",IF(COUNTIF(Campaigns!$A$7:$A$300,B948)&gt;0,"✓","⚠ add to Campaigns tab"))</f>
        <v/>
      </c>
      <c r="I948" s="84" t="str">
        <f aca="false">IF(C948="","",C948*IF(Settings!$B$24=Settings!$C$6,1,IF(Settings!$B$24="USD",1/INDEX(Settings!$B$29:$B$40,MONTH(A948)),INDEX(Settings!$B$29:$B$40,MONTH(A948)))))</f>
        <v/>
      </c>
    </row>
    <row r="949" customFormat="false" ht="15" hidden="false" customHeight="false" outlineLevel="0" collapsed="false">
      <c r="H949" s="0" t="str">
        <f aca="false">IF(B949="","",IF(COUNTIF(Campaigns!$A$7:$A$300,B949)&gt;0,"✓","⚠ add to Campaigns tab"))</f>
        <v/>
      </c>
      <c r="I949" s="84" t="str">
        <f aca="false">IF(C949="","",C949*IF(Settings!$B$24=Settings!$C$6,1,IF(Settings!$B$24="USD",1/INDEX(Settings!$B$29:$B$40,MONTH(A949)),INDEX(Settings!$B$29:$B$40,MONTH(A949)))))</f>
        <v/>
      </c>
    </row>
    <row r="950" customFormat="false" ht="15" hidden="false" customHeight="false" outlineLevel="0" collapsed="false">
      <c r="H950" s="0" t="str">
        <f aca="false">IF(B950="","",IF(COUNTIF(Campaigns!$A$7:$A$300,B950)&gt;0,"✓","⚠ add to Campaigns tab"))</f>
        <v/>
      </c>
      <c r="I950" s="84" t="str">
        <f aca="false">IF(C950="","",C950*IF(Settings!$B$24=Settings!$C$6,1,IF(Settings!$B$24="USD",1/INDEX(Settings!$B$29:$B$40,MONTH(A950)),INDEX(Settings!$B$29:$B$40,MONTH(A950)))))</f>
        <v/>
      </c>
    </row>
    <row r="951" customFormat="false" ht="15" hidden="false" customHeight="false" outlineLevel="0" collapsed="false">
      <c r="H951" s="0" t="str">
        <f aca="false">IF(B951="","",IF(COUNTIF(Campaigns!$A$7:$A$300,B951)&gt;0,"✓","⚠ add to Campaigns tab"))</f>
        <v/>
      </c>
      <c r="I951" s="84" t="str">
        <f aca="false">IF(C951="","",C951*IF(Settings!$B$24=Settings!$C$6,1,IF(Settings!$B$24="USD",1/INDEX(Settings!$B$29:$B$40,MONTH(A951)),INDEX(Settings!$B$29:$B$40,MONTH(A951)))))</f>
        <v/>
      </c>
    </row>
    <row r="952" customFormat="false" ht="15" hidden="false" customHeight="false" outlineLevel="0" collapsed="false">
      <c r="H952" s="0" t="str">
        <f aca="false">IF(B952="","",IF(COUNTIF(Campaigns!$A$7:$A$300,B952)&gt;0,"✓","⚠ add to Campaigns tab"))</f>
        <v/>
      </c>
      <c r="I952" s="84" t="str">
        <f aca="false">IF(C952="","",C952*IF(Settings!$B$24=Settings!$C$6,1,IF(Settings!$B$24="USD",1/INDEX(Settings!$B$29:$B$40,MONTH(A952)),INDEX(Settings!$B$29:$B$40,MONTH(A952)))))</f>
        <v/>
      </c>
    </row>
    <row r="953" customFormat="false" ht="15" hidden="false" customHeight="false" outlineLevel="0" collapsed="false">
      <c r="H953" s="0" t="str">
        <f aca="false">IF(B953="","",IF(COUNTIF(Campaigns!$A$7:$A$300,B953)&gt;0,"✓","⚠ add to Campaigns tab"))</f>
        <v/>
      </c>
      <c r="I953" s="84" t="str">
        <f aca="false">IF(C953="","",C953*IF(Settings!$B$24=Settings!$C$6,1,IF(Settings!$B$24="USD",1/INDEX(Settings!$B$29:$B$40,MONTH(A953)),INDEX(Settings!$B$29:$B$40,MONTH(A953)))))</f>
        <v/>
      </c>
    </row>
    <row r="954" customFormat="false" ht="15" hidden="false" customHeight="false" outlineLevel="0" collapsed="false">
      <c r="H954" s="0" t="str">
        <f aca="false">IF(B954="","",IF(COUNTIF(Campaigns!$A$7:$A$300,B954)&gt;0,"✓","⚠ add to Campaigns tab"))</f>
        <v/>
      </c>
      <c r="I954" s="84" t="str">
        <f aca="false">IF(C954="","",C954*IF(Settings!$B$24=Settings!$C$6,1,IF(Settings!$B$24="USD",1/INDEX(Settings!$B$29:$B$40,MONTH(A954)),INDEX(Settings!$B$29:$B$40,MONTH(A954)))))</f>
        <v/>
      </c>
    </row>
    <row r="955" customFormat="false" ht="15" hidden="false" customHeight="false" outlineLevel="0" collapsed="false">
      <c r="H955" s="0" t="str">
        <f aca="false">IF(B955="","",IF(COUNTIF(Campaigns!$A$7:$A$300,B955)&gt;0,"✓","⚠ add to Campaigns tab"))</f>
        <v/>
      </c>
      <c r="I955" s="84" t="str">
        <f aca="false">IF(C955="","",C955*IF(Settings!$B$24=Settings!$C$6,1,IF(Settings!$B$24="USD",1/INDEX(Settings!$B$29:$B$40,MONTH(A955)),INDEX(Settings!$B$29:$B$40,MONTH(A955)))))</f>
        <v/>
      </c>
    </row>
    <row r="956" customFormat="false" ht="15" hidden="false" customHeight="false" outlineLevel="0" collapsed="false">
      <c r="H956" s="0" t="str">
        <f aca="false">IF(B956="","",IF(COUNTIF(Campaigns!$A$7:$A$300,B956)&gt;0,"✓","⚠ add to Campaigns tab"))</f>
        <v/>
      </c>
      <c r="I956" s="84" t="str">
        <f aca="false">IF(C956="","",C956*IF(Settings!$B$24=Settings!$C$6,1,IF(Settings!$B$24="USD",1/INDEX(Settings!$B$29:$B$40,MONTH(A956)),INDEX(Settings!$B$29:$B$40,MONTH(A956)))))</f>
        <v/>
      </c>
    </row>
    <row r="957" customFormat="false" ht="15" hidden="false" customHeight="false" outlineLevel="0" collapsed="false">
      <c r="H957" s="0" t="str">
        <f aca="false">IF(B957="","",IF(COUNTIF(Campaigns!$A$7:$A$300,B957)&gt;0,"✓","⚠ add to Campaigns tab"))</f>
        <v/>
      </c>
      <c r="I957" s="84" t="str">
        <f aca="false">IF(C957="","",C957*IF(Settings!$B$24=Settings!$C$6,1,IF(Settings!$B$24="USD",1/INDEX(Settings!$B$29:$B$40,MONTH(A957)),INDEX(Settings!$B$29:$B$40,MONTH(A957)))))</f>
        <v/>
      </c>
    </row>
    <row r="958" customFormat="false" ht="15" hidden="false" customHeight="false" outlineLevel="0" collapsed="false">
      <c r="H958" s="0" t="str">
        <f aca="false">IF(B958="","",IF(COUNTIF(Campaigns!$A$7:$A$300,B958)&gt;0,"✓","⚠ add to Campaigns tab"))</f>
        <v/>
      </c>
      <c r="I958" s="84" t="str">
        <f aca="false">IF(C958="","",C958*IF(Settings!$B$24=Settings!$C$6,1,IF(Settings!$B$24="USD",1/INDEX(Settings!$B$29:$B$40,MONTH(A958)),INDEX(Settings!$B$29:$B$40,MONTH(A958)))))</f>
        <v/>
      </c>
    </row>
    <row r="959" customFormat="false" ht="15" hidden="false" customHeight="false" outlineLevel="0" collapsed="false">
      <c r="H959" s="0" t="str">
        <f aca="false">IF(B959="","",IF(COUNTIF(Campaigns!$A$7:$A$300,B959)&gt;0,"✓","⚠ add to Campaigns tab"))</f>
        <v/>
      </c>
      <c r="I959" s="84" t="str">
        <f aca="false">IF(C959="","",C959*IF(Settings!$B$24=Settings!$C$6,1,IF(Settings!$B$24="USD",1/INDEX(Settings!$B$29:$B$40,MONTH(A959)),INDEX(Settings!$B$29:$B$40,MONTH(A959)))))</f>
        <v/>
      </c>
    </row>
    <row r="960" customFormat="false" ht="15" hidden="false" customHeight="false" outlineLevel="0" collapsed="false">
      <c r="H960" s="0" t="str">
        <f aca="false">IF(B960="","",IF(COUNTIF(Campaigns!$A$7:$A$300,B960)&gt;0,"✓","⚠ add to Campaigns tab"))</f>
        <v/>
      </c>
      <c r="I960" s="84" t="str">
        <f aca="false">IF(C960="","",C960*IF(Settings!$B$24=Settings!$C$6,1,IF(Settings!$B$24="USD",1/INDEX(Settings!$B$29:$B$40,MONTH(A960)),INDEX(Settings!$B$29:$B$40,MONTH(A960)))))</f>
        <v/>
      </c>
    </row>
    <row r="961" customFormat="false" ht="15" hidden="false" customHeight="false" outlineLevel="0" collapsed="false">
      <c r="H961" s="0" t="str">
        <f aca="false">IF(B961="","",IF(COUNTIF(Campaigns!$A$7:$A$300,B961)&gt;0,"✓","⚠ add to Campaigns tab"))</f>
        <v/>
      </c>
      <c r="I961" s="84" t="str">
        <f aca="false">IF(C961="","",C961*IF(Settings!$B$24=Settings!$C$6,1,IF(Settings!$B$24="USD",1/INDEX(Settings!$B$29:$B$40,MONTH(A961)),INDEX(Settings!$B$29:$B$40,MONTH(A961)))))</f>
        <v/>
      </c>
    </row>
    <row r="962" customFormat="false" ht="15" hidden="false" customHeight="false" outlineLevel="0" collapsed="false">
      <c r="H962" s="0" t="str">
        <f aca="false">IF(B962="","",IF(COUNTIF(Campaigns!$A$7:$A$300,B962)&gt;0,"✓","⚠ add to Campaigns tab"))</f>
        <v/>
      </c>
      <c r="I962" s="84" t="str">
        <f aca="false">IF(C962="","",C962*IF(Settings!$B$24=Settings!$C$6,1,IF(Settings!$B$24="USD",1/INDEX(Settings!$B$29:$B$40,MONTH(A962)),INDEX(Settings!$B$29:$B$40,MONTH(A962)))))</f>
        <v/>
      </c>
    </row>
    <row r="963" customFormat="false" ht="15" hidden="false" customHeight="false" outlineLevel="0" collapsed="false">
      <c r="H963" s="0" t="str">
        <f aca="false">IF(B963="","",IF(COUNTIF(Campaigns!$A$7:$A$300,B963)&gt;0,"✓","⚠ add to Campaigns tab"))</f>
        <v/>
      </c>
      <c r="I963" s="84" t="str">
        <f aca="false">IF(C963="","",C963*IF(Settings!$B$24=Settings!$C$6,1,IF(Settings!$B$24="USD",1/INDEX(Settings!$B$29:$B$40,MONTH(A963)),INDEX(Settings!$B$29:$B$40,MONTH(A963)))))</f>
        <v/>
      </c>
    </row>
    <row r="964" customFormat="false" ht="15" hidden="false" customHeight="false" outlineLevel="0" collapsed="false">
      <c r="H964" s="0" t="str">
        <f aca="false">IF(B964="","",IF(COUNTIF(Campaigns!$A$7:$A$300,B964)&gt;0,"✓","⚠ add to Campaigns tab"))</f>
        <v/>
      </c>
      <c r="I964" s="84" t="str">
        <f aca="false">IF(C964="","",C964*IF(Settings!$B$24=Settings!$C$6,1,IF(Settings!$B$24="USD",1/INDEX(Settings!$B$29:$B$40,MONTH(A964)),INDEX(Settings!$B$29:$B$40,MONTH(A964)))))</f>
        <v/>
      </c>
    </row>
    <row r="965" customFormat="false" ht="15" hidden="false" customHeight="false" outlineLevel="0" collapsed="false">
      <c r="H965" s="0" t="str">
        <f aca="false">IF(B965="","",IF(COUNTIF(Campaigns!$A$7:$A$300,B965)&gt;0,"✓","⚠ add to Campaigns tab"))</f>
        <v/>
      </c>
      <c r="I965" s="84" t="str">
        <f aca="false">IF(C965="","",C965*IF(Settings!$B$24=Settings!$C$6,1,IF(Settings!$B$24="USD",1/INDEX(Settings!$B$29:$B$40,MONTH(A965)),INDEX(Settings!$B$29:$B$40,MONTH(A965)))))</f>
        <v/>
      </c>
    </row>
    <row r="966" customFormat="false" ht="15" hidden="false" customHeight="false" outlineLevel="0" collapsed="false">
      <c r="H966" s="0" t="str">
        <f aca="false">IF(B966="","",IF(COUNTIF(Campaigns!$A$7:$A$300,B966)&gt;0,"✓","⚠ add to Campaigns tab"))</f>
        <v/>
      </c>
      <c r="I966" s="84" t="str">
        <f aca="false">IF(C966="","",C966*IF(Settings!$B$24=Settings!$C$6,1,IF(Settings!$B$24="USD",1/INDEX(Settings!$B$29:$B$40,MONTH(A966)),INDEX(Settings!$B$29:$B$40,MONTH(A966)))))</f>
        <v/>
      </c>
    </row>
    <row r="967" customFormat="false" ht="15" hidden="false" customHeight="false" outlineLevel="0" collapsed="false">
      <c r="H967" s="0" t="str">
        <f aca="false">IF(B967="","",IF(COUNTIF(Campaigns!$A$7:$A$300,B967)&gt;0,"✓","⚠ add to Campaigns tab"))</f>
        <v/>
      </c>
      <c r="I967" s="84" t="str">
        <f aca="false">IF(C967="","",C967*IF(Settings!$B$24=Settings!$C$6,1,IF(Settings!$B$24="USD",1/INDEX(Settings!$B$29:$B$40,MONTH(A967)),INDEX(Settings!$B$29:$B$40,MONTH(A967)))))</f>
        <v/>
      </c>
    </row>
    <row r="968" customFormat="false" ht="15" hidden="false" customHeight="false" outlineLevel="0" collapsed="false">
      <c r="H968" s="0" t="str">
        <f aca="false">IF(B968="","",IF(COUNTIF(Campaigns!$A$7:$A$300,B968)&gt;0,"✓","⚠ add to Campaigns tab"))</f>
        <v/>
      </c>
      <c r="I968" s="84" t="str">
        <f aca="false">IF(C968="","",C968*IF(Settings!$B$24=Settings!$C$6,1,IF(Settings!$B$24="USD",1/INDEX(Settings!$B$29:$B$40,MONTH(A968)),INDEX(Settings!$B$29:$B$40,MONTH(A968)))))</f>
        <v/>
      </c>
    </row>
    <row r="969" customFormat="false" ht="15" hidden="false" customHeight="false" outlineLevel="0" collapsed="false">
      <c r="H969" s="0" t="str">
        <f aca="false">IF(B969="","",IF(COUNTIF(Campaigns!$A$7:$A$300,B969)&gt;0,"✓","⚠ add to Campaigns tab"))</f>
        <v/>
      </c>
      <c r="I969" s="84" t="str">
        <f aca="false">IF(C969="","",C969*IF(Settings!$B$24=Settings!$C$6,1,IF(Settings!$B$24="USD",1/INDEX(Settings!$B$29:$B$40,MONTH(A969)),INDEX(Settings!$B$29:$B$40,MONTH(A969)))))</f>
        <v/>
      </c>
    </row>
    <row r="970" customFormat="false" ht="15" hidden="false" customHeight="false" outlineLevel="0" collapsed="false">
      <c r="H970" s="0" t="str">
        <f aca="false">IF(B970="","",IF(COUNTIF(Campaigns!$A$7:$A$300,B970)&gt;0,"✓","⚠ add to Campaigns tab"))</f>
        <v/>
      </c>
      <c r="I970" s="84" t="str">
        <f aca="false">IF(C970="","",C970*IF(Settings!$B$24=Settings!$C$6,1,IF(Settings!$B$24="USD",1/INDEX(Settings!$B$29:$B$40,MONTH(A970)),INDEX(Settings!$B$29:$B$40,MONTH(A970)))))</f>
        <v/>
      </c>
    </row>
    <row r="971" customFormat="false" ht="15" hidden="false" customHeight="false" outlineLevel="0" collapsed="false">
      <c r="H971" s="0" t="str">
        <f aca="false">IF(B971="","",IF(COUNTIF(Campaigns!$A$7:$A$300,B971)&gt;0,"✓","⚠ add to Campaigns tab"))</f>
        <v/>
      </c>
      <c r="I971" s="84" t="str">
        <f aca="false">IF(C971="","",C971*IF(Settings!$B$24=Settings!$C$6,1,IF(Settings!$B$24="USD",1/INDEX(Settings!$B$29:$B$40,MONTH(A971)),INDEX(Settings!$B$29:$B$40,MONTH(A971)))))</f>
        <v/>
      </c>
    </row>
    <row r="972" customFormat="false" ht="15" hidden="false" customHeight="false" outlineLevel="0" collapsed="false">
      <c r="H972" s="0" t="str">
        <f aca="false">IF(B972="","",IF(COUNTIF(Campaigns!$A$7:$A$300,B972)&gt;0,"✓","⚠ add to Campaigns tab"))</f>
        <v/>
      </c>
      <c r="I972" s="84" t="str">
        <f aca="false">IF(C972="","",C972*IF(Settings!$B$24=Settings!$C$6,1,IF(Settings!$B$24="USD",1/INDEX(Settings!$B$29:$B$40,MONTH(A972)),INDEX(Settings!$B$29:$B$40,MONTH(A972)))))</f>
        <v/>
      </c>
    </row>
    <row r="973" customFormat="false" ht="15" hidden="false" customHeight="false" outlineLevel="0" collapsed="false">
      <c r="H973" s="0" t="str">
        <f aca="false">IF(B973="","",IF(COUNTIF(Campaigns!$A$7:$A$300,B973)&gt;0,"✓","⚠ add to Campaigns tab"))</f>
        <v/>
      </c>
      <c r="I973" s="84" t="str">
        <f aca="false">IF(C973="","",C973*IF(Settings!$B$24=Settings!$C$6,1,IF(Settings!$B$24="USD",1/INDEX(Settings!$B$29:$B$40,MONTH(A973)),INDEX(Settings!$B$29:$B$40,MONTH(A973)))))</f>
        <v/>
      </c>
    </row>
    <row r="974" customFormat="false" ht="15" hidden="false" customHeight="false" outlineLevel="0" collapsed="false">
      <c r="H974" s="0" t="str">
        <f aca="false">IF(B974="","",IF(COUNTIF(Campaigns!$A$7:$A$300,B974)&gt;0,"✓","⚠ add to Campaigns tab"))</f>
        <v/>
      </c>
      <c r="I974" s="84" t="str">
        <f aca="false">IF(C974="","",C974*IF(Settings!$B$24=Settings!$C$6,1,IF(Settings!$B$24="USD",1/INDEX(Settings!$B$29:$B$40,MONTH(A974)),INDEX(Settings!$B$29:$B$40,MONTH(A974)))))</f>
        <v/>
      </c>
    </row>
    <row r="975" customFormat="false" ht="15" hidden="false" customHeight="false" outlineLevel="0" collapsed="false">
      <c r="H975" s="0" t="str">
        <f aca="false">IF(B975="","",IF(COUNTIF(Campaigns!$A$7:$A$300,B975)&gt;0,"✓","⚠ add to Campaigns tab"))</f>
        <v/>
      </c>
      <c r="I975" s="84" t="str">
        <f aca="false">IF(C975="","",C975*IF(Settings!$B$24=Settings!$C$6,1,IF(Settings!$B$24="USD",1/INDEX(Settings!$B$29:$B$40,MONTH(A975)),INDEX(Settings!$B$29:$B$40,MONTH(A975)))))</f>
        <v/>
      </c>
    </row>
    <row r="976" customFormat="false" ht="15" hidden="false" customHeight="false" outlineLevel="0" collapsed="false">
      <c r="H976" s="0" t="str">
        <f aca="false">IF(B976="","",IF(COUNTIF(Campaigns!$A$7:$A$300,B976)&gt;0,"✓","⚠ add to Campaigns tab"))</f>
        <v/>
      </c>
      <c r="I976" s="84" t="str">
        <f aca="false">IF(C976="","",C976*IF(Settings!$B$24=Settings!$C$6,1,IF(Settings!$B$24="USD",1/INDEX(Settings!$B$29:$B$40,MONTH(A976)),INDEX(Settings!$B$29:$B$40,MONTH(A976)))))</f>
        <v/>
      </c>
    </row>
    <row r="977" customFormat="false" ht="15" hidden="false" customHeight="false" outlineLevel="0" collapsed="false">
      <c r="H977" s="0" t="str">
        <f aca="false">IF(B977="","",IF(COUNTIF(Campaigns!$A$7:$A$300,B977)&gt;0,"✓","⚠ add to Campaigns tab"))</f>
        <v/>
      </c>
      <c r="I977" s="84" t="str">
        <f aca="false">IF(C977="","",C977*IF(Settings!$B$24=Settings!$C$6,1,IF(Settings!$B$24="USD",1/INDEX(Settings!$B$29:$B$40,MONTH(A977)),INDEX(Settings!$B$29:$B$40,MONTH(A977)))))</f>
        <v/>
      </c>
    </row>
    <row r="978" customFormat="false" ht="15" hidden="false" customHeight="false" outlineLevel="0" collapsed="false">
      <c r="H978" s="0" t="str">
        <f aca="false">IF(B978="","",IF(COUNTIF(Campaigns!$A$7:$A$300,B978)&gt;0,"✓","⚠ add to Campaigns tab"))</f>
        <v/>
      </c>
      <c r="I978" s="84" t="str">
        <f aca="false">IF(C978="","",C978*IF(Settings!$B$24=Settings!$C$6,1,IF(Settings!$B$24="USD",1/INDEX(Settings!$B$29:$B$40,MONTH(A978)),INDEX(Settings!$B$29:$B$40,MONTH(A978)))))</f>
        <v/>
      </c>
    </row>
    <row r="979" customFormat="false" ht="15" hidden="false" customHeight="false" outlineLevel="0" collapsed="false">
      <c r="H979" s="0" t="str">
        <f aca="false">IF(B979="","",IF(COUNTIF(Campaigns!$A$7:$A$300,B979)&gt;0,"✓","⚠ add to Campaigns tab"))</f>
        <v/>
      </c>
      <c r="I979" s="84" t="str">
        <f aca="false">IF(C979="","",C979*IF(Settings!$B$24=Settings!$C$6,1,IF(Settings!$B$24="USD",1/INDEX(Settings!$B$29:$B$40,MONTH(A979)),INDEX(Settings!$B$29:$B$40,MONTH(A979)))))</f>
        <v/>
      </c>
    </row>
    <row r="980" customFormat="false" ht="15" hidden="false" customHeight="false" outlineLevel="0" collapsed="false">
      <c r="H980" s="0" t="str">
        <f aca="false">IF(B980="","",IF(COUNTIF(Campaigns!$A$7:$A$300,B980)&gt;0,"✓","⚠ add to Campaigns tab"))</f>
        <v/>
      </c>
      <c r="I980" s="84" t="str">
        <f aca="false">IF(C980="","",C980*IF(Settings!$B$24=Settings!$C$6,1,IF(Settings!$B$24="USD",1/INDEX(Settings!$B$29:$B$40,MONTH(A980)),INDEX(Settings!$B$29:$B$40,MONTH(A980)))))</f>
        <v/>
      </c>
    </row>
    <row r="981" customFormat="false" ht="15" hidden="false" customHeight="false" outlineLevel="0" collapsed="false">
      <c r="H981" s="0" t="str">
        <f aca="false">IF(B981="","",IF(COUNTIF(Campaigns!$A$7:$A$300,B981)&gt;0,"✓","⚠ add to Campaigns tab"))</f>
        <v/>
      </c>
      <c r="I981" s="84" t="str">
        <f aca="false">IF(C981="","",C981*IF(Settings!$B$24=Settings!$C$6,1,IF(Settings!$B$24="USD",1/INDEX(Settings!$B$29:$B$40,MONTH(A981)),INDEX(Settings!$B$29:$B$40,MONTH(A981)))))</f>
        <v/>
      </c>
    </row>
    <row r="982" customFormat="false" ht="15" hidden="false" customHeight="false" outlineLevel="0" collapsed="false">
      <c r="H982" s="0" t="str">
        <f aca="false">IF(B982="","",IF(COUNTIF(Campaigns!$A$7:$A$300,B982)&gt;0,"✓","⚠ add to Campaigns tab"))</f>
        <v/>
      </c>
      <c r="I982" s="84" t="str">
        <f aca="false">IF(C982="","",C982*IF(Settings!$B$24=Settings!$C$6,1,IF(Settings!$B$24="USD",1/INDEX(Settings!$B$29:$B$40,MONTH(A982)),INDEX(Settings!$B$29:$B$40,MONTH(A982)))))</f>
        <v/>
      </c>
    </row>
    <row r="983" customFormat="false" ht="15" hidden="false" customHeight="false" outlineLevel="0" collapsed="false">
      <c r="H983" s="0" t="str">
        <f aca="false">IF(B983="","",IF(COUNTIF(Campaigns!$A$7:$A$300,B983)&gt;0,"✓","⚠ add to Campaigns tab"))</f>
        <v/>
      </c>
      <c r="I983" s="84" t="str">
        <f aca="false">IF(C983="","",C983*IF(Settings!$B$24=Settings!$C$6,1,IF(Settings!$B$24="USD",1/INDEX(Settings!$B$29:$B$40,MONTH(A983)),INDEX(Settings!$B$29:$B$40,MONTH(A983)))))</f>
        <v/>
      </c>
    </row>
    <row r="984" customFormat="false" ht="15" hidden="false" customHeight="false" outlineLevel="0" collapsed="false">
      <c r="H984" s="0" t="str">
        <f aca="false">IF(B984="","",IF(COUNTIF(Campaigns!$A$7:$A$300,B984)&gt;0,"✓","⚠ add to Campaigns tab"))</f>
        <v/>
      </c>
      <c r="I984" s="84" t="str">
        <f aca="false">IF(C984="","",C984*IF(Settings!$B$24=Settings!$C$6,1,IF(Settings!$B$24="USD",1/INDEX(Settings!$B$29:$B$40,MONTH(A984)),INDEX(Settings!$B$29:$B$40,MONTH(A984)))))</f>
        <v/>
      </c>
    </row>
    <row r="985" customFormat="false" ht="15" hidden="false" customHeight="false" outlineLevel="0" collapsed="false">
      <c r="H985" s="0" t="str">
        <f aca="false">IF(B985="","",IF(COUNTIF(Campaigns!$A$7:$A$300,B985)&gt;0,"✓","⚠ add to Campaigns tab"))</f>
        <v/>
      </c>
      <c r="I985" s="84" t="str">
        <f aca="false">IF(C985="","",C985*IF(Settings!$B$24=Settings!$C$6,1,IF(Settings!$B$24="USD",1/INDEX(Settings!$B$29:$B$40,MONTH(A985)),INDEX(Settings!$B$29:$B$40,MONTH(A985)))))</f>
        <v/>
      </c>
    </row>
    <row r="986" customFormat="false" ht="15" hidden="false" customHeight="false" outlineLevel="0" collapsed="false">
      <c r="H986" s="0" t="str">
        <f aca="false">IF(B986="","",IF(COUNTIF(Campaigns!$A$7:$A$300,B986)&gt;0,"✓","⚠ add to Campaigns tab"))</f>
        <v/>
      </c>
      <c r="I986" s="84" t="str">
        <f aca="false">IF(C986="","",C986*IF(Settings!$B$24=Settings!$C$6,1,IF(Settings!$B$24="USD",1/INDEX(Settings!$B$29:$B$40,MONTH(A986)),INDEX(Settings!$B$29:$B$40,MONTH(A986)))))</f>
        <v/>
      </c>
    </row>
    <row r="987" customFormat="false" ht="15" hidden="false" customHeight="false" outlineLevel="0" collapsed="false">
      <c r="H987" s="0" t="str">
        <f aca="false">IF(B987="","",IF(COUNTIF(Campaigns!$A$7:$A$300,B987)&gt;0,"✓","⚠ add to Campaigns tab"))</f>
        <v/>
      </c>
      <c r="I987" s="84" t="str">
        <f aca="false">IF(C987="","",C987*IF(Settings!$B$24=Settings!$C$6,1,IF(Settings!$B$24="USD",1/INDEX(Settings!$B$29:$B$40,MONTH(A987)),INDEX(Settings!$B$29:$B$40,MONTH(A987)))))</f>
        <v/>
      </c>
    </row>
    <row r="988" customFormat="false" ht="15" hidden="false" customHeight="false" outlineLevel="0" collapsed="false">
      <c r="H988" s="0" t="str">
        <f aca="false">IF(B988="","",IF(COUNTIF(Campaigns!$A$7:$A$300,B988)&gt;0,"✓","⚠ add to Campaigns tab"))</f>
        <v/>
      </c>
      <c r="I988" s="84" t="str">
        <f aca="false">IF(C988="","",C988*IF(Settings!$B$24=Settings!$C$6,1,IF(Settings!$B$24="USD",1/INDEX(Settings!$B$29:$B$40,MONTH(A988)),INDEX(Settings!$B$29:$B$40,MONTH(A988)))))</f>
        <v/>
      </c>
    </row>
    <row r="989" customFormat="false" ht="15" hidden="false" customHeight="false" outlineLevel="0" collapsed="false">
      <c r="H989" s="0" t="str">
        <f aca="false">IF(B989="","",IF(COUNTIF(Campaigns!$A$7:$A$300,B989)&gt;0,"✓","⚠ add to Campaigns tab"))</f>
        <v/>
      </c>
      <c r="I989" s="84" t="str">
        <f aca="false">IF(C989="","",C989*IF(Settings!$B$24=Settings!$C$6,1,IF(Settings!$B$24="USD",1/INDEX(Settings!$B$29:$B$40,MONTH(A989)),INDEX(Settings!$B$29:$B$40,MONTH(A989)))))</f>
        <v/>
      </c>
    </row>
    <row r="990" customFormat="false" ht="15" hidden="false" customHeight="false" outlineLevel="0" collapsed="false">
      <c r="H990" s="0" t="str">
        <f aca="false">IF(B990="","",IF(COUNTIF(Campaigns!$A$7:$A$300,B990)&gt;0,"✓","⚠ add to Campaigns tab"))</f>
        <v/>
      </c>
      <c r="I990" s="84" t="str">
        <f aca="false">IF(C990="","",C990*IF(Settings!$B$24=Settings!$C$6,1,IF(Settings!$B$24="USD",1/INDEX(Settings!$B$29:$B$40,MONTH(A990)),INDEX(Settings!$B$29:$B$40,MONTH(A990)))))</f>
        <v/>
      </c>
    </row>
    <row r="991" customFormat="false" ht="15" hidden="false" customHeight="false" outlineLevel="0" collapsed="false">
      <c r="H991" s="0" t="str">
        <f aca="false">IF(B991="","",IF(COUNTIF(Campaigns!$A$7:$A$300,B991)&gt;0,"✓","⚠ add to Campaigns tab"))</f>
        <v/>
      </c>
      <c r="I991" s="84" t="str">
        <f aca="false">IF(C991="","",C991*IF(Settings!$B$24=Settings!$C$6,1,IF(Settings!$B$24="USD",1/INDEX(Settings!$B$29:$B$40,MONTH(A991)),INDEX(Settings!$B$29:$B$40,MONTH(A991)))))</f>
        <v/>
      </c>
    </row>
    <row r="992" customFormat="false" ht="15" hidden="false" customHeight="false" outlineLevel="0" collapsed="false">
      <c r="H992" s="0" t="str">
        <f aca="false">IF(B992="","",IF(COUNTIF(Campaigns!$A$7:$A$300,B992)&gt;0,"✓","⚠ add to Campaigns tab"))</f>
        <v/>
      </c>
      <c r="I992" s="84" t="str">
        <f aca="false">IF(C992="","",C992*IF(Settings!$B$24=Settings!$C$6,1,IF(Settings!$B$24="USD",1/INDEX(Settings!$B$29:$B$40,MONTH(A992)),INDEX(Settings!$B$29:$B$40,MONTH(A992)))))</f>
        <v/>
      </c>
    </row>
    <row r="993" customFormat="false" ht="15" hidden="false" customHeight="false" outlineLevel="0" collapsed="false">
      <c r="H993" s="0" t="str">
        <f aca="false">IF(B993="","",IF(COUNTIF(Campaigns!$A$7:$A$300,B993)&gt;0,"✓","⚠ add to Campaigns tab"))</f>
        <v/>
      </c>
      <c r="I993" s="84" t="str">
        <f aca="false">IF(C993="","",C993*IF(Settings!$B$24=Settings!$C$6,1,IF(Settings!$B$24="USD",1/INDEX(Settings!$B$29:$B$40,MONTH(A993)),INDEX(Settings!$B$29:$B$40,MONTH(A993)))))</f>
        <v/>
      </c>
    </row>
    <row r="994" customFormat="false" ht="15" hidden="false" customHeight="false" outlineLevel="0" collapsed="false">
      <c r="H994" s="0" t="str">
        <f aca="false">IF(B994="","",IF(COUNTIF(Campaigns!$A$7:$A$300,B994)&gt;0,"✓","⚠ add to Campaigns tab"))</f>
        <v/>
      </c>
      <c r="I994" s="84" t="str">
        <f aca="false">IF(C994="","",C994*IF(Settings!$B$24=Settings!$C$6,1,IF(Settings!$B$24="USD",1/INDEX(Settings!$B$29:$B$40,MONTH(A994)),INDEX(Settings!$B$29:$B$40,MONTH(A994)))))</f>
        <v/>
      </c>
    </row>
    <row r="995" customFormat="false" ht="15" hidden="false" customHeight="false" outlineLevel="0" collapsed="false">
      <c r="H995" s="0" t="str">
        <f aca="false">IF(B995="","",IF(COUNTIF(Campaigns!$A$7:$A$300,B995)&gt;0,"✓","⚠ add to Campaigns tab"))</f>
        <v/>
      </c>
      <c r="I995" s="84" t="str">
        <f aca="false">IF(C995="","",C995*IF(Settings!$B$24=Settings!$C$6,1,IF(Settings!$B$24="USD",1/INDEX(Settings!$B$29:$B$40,MONTH(A995)),INDEX(Settings!$B$29:$B$40,MONTH(A995)))))</f>
        <v/>
      </c>
    </row>
    <row r="996" customFormat="false" ht="15" hidden="false" customHeight="false" outlineLevel="0" collapsed="false">
      <c r="H996" s="0" t="str">
        <f aca="false">IF(B996="","",IF(COUNTIF(Campaigns!$A$7:$A$300,B996)&gt;0,"✓","⚠ add to Campaigns tab"))</f>
        <v/>
      </c>
      <c r="I996" s="84" t="str">
        <f aca="false">IF(C996="","",C996*IF(Settings!$B$24=Settings!$C$6,1,IF(Settings!$B$24="USD",1/INDEX(Settings!$B$29:$B$40,MONTH(A996)),INDEX(Settings!$B$29:$B$40,MONTH(A996)))))</f>
        <v/>
      </c>
    </row>
    <row r="997" customFormat="false" ht="15" hidden="false" customHeight="false" outlineLevel="0" collapsed="false">
      <c r="H997" s="0" t="str">
        <f aca="false">IF(B997="","",IF(COUNTIF(Campaigns!$A$7:$A$300,B997)&gt;0,"✓","⚠ add to Campaigns tab"))</f>
        <v/>
      </c>
      <c r="I997" s="84" t="str">
        <f aca="false">IF(C997="","",C997*IF(Settings!$B$24=Settings!$C$6,1,IF(Settings!$B$24="USD",1/INDEX(Settings!$B$29:$B$40,MONTH(A997)),INDEX(Settings!$B$29:$B$40,MONTH(A997)))))</f>
        <v/>
      </c>
    </row>
    <row r="998" customFormat="false" ht="15" hidden="false" customHeight="false" outlineLevel="0" collapsed="false">
      <c r="H998" s="0" t="str">
        <f aca="false">IF(B998="","",IF(COUNTIF(Campaigns!$A$7:$A$300,B998)&gt;0,"✓","⚠ add to Campaigns tab"))</f>
        <v/>
      </c>
      <c r="I998" s="84" t="str">
        <f aca="false">IF(C998="","",C998*IF(Settings!$B$24=Settings!$C$6,1,IF(Settings!$B$24="USD",1/INDEX(Settings!$B$29:$B$40,MONTH(A998)),INDEX(Settings!$B$29:$B$40,MONTH(A998)))))</f>
        <v/>
      </c>
    </row>
    <row r="999" customFormat="false" ht="15" hidden="false" customHeight="false" outlineLevel="0" collapsed="false">
      <c r="H999" s="0" t="str">
        <f aca="false">IF(B999="","",IF(COUNTIF(Campaigns!$A$7:$A$300,B999)&gt;0,"✓","⚠ add to Campaigns tab"))</f>
        <v/>
      </c>
      <c r="I999" s="84" t="str">
        <f aca="false">IF(C999="","",C999*IF(Settings!$B$24=Settings!$C$6,1,IF(Settings!$B$24="USD",1/INDEX(Settings!$B$29:$B$40,MONTH(A999)),INDEX(Settings!$B$29:$B$40,MONTH(A999)))))</f>
        <v/>
      </c>
    </row>
    <row r="1000" customFormat="false" ht="15" hidden="false" customHeight="false" outlineLevel="0" collapsed="false">
      <c r="H1000" s="0" t="str">
        <f aca="false">IF(B1000="","",IF(COUNTIF(Campaigns!$A$7:$A$300,B1000)&gt;0,"✓","⚠ add to Campaigns tab"))</f>
        <v/>
      </c>
      <c r="I1000" s="84" t="str">
        <f aca="false">IF(C1000="","",C1000*IF(Settings!$B$24=Settings!$C$6,1,IF(Settings!$B$24="USD",1/INDEX(Settings!$B$29:$B$40,MONTH(A1000)),INDEX(Settings!$B$29:$B$40,MONTH(A1000)))))</f>
        <v/>
      </c>
    </row>
    <row r="1001" customFormat="false" ht="15" hidden="false" customHeight="false" outlineLevel="0" collapsed="false">
      <c r="H1001" s="0" t="str">
        <f aca="false">IF(B1001="","",IF(COUNTIF(Campaigns!$A$7:$A$300,B1001)&gt;0,"✓","⚠ add to Campaigns tab"))</f>
        <v/>
      </c>
      <c r="I1001" s="84" t="str">
        <f aca="false">IF(C1001="","",C1001*IF(Settings!$B$24=Settings!$C$6,1,IF(Settings!$B$24="USD",1/INDEX(Settings!$B$29:$B$40,MONTH(A1001)),INDEX(Settings!$B$29:$B$40,MONTH(A1001)))))</f>
        <v/>
      </c>
    </row>
    <row r="1002" customFormat="false" ht="15" hidden="false" customHeight="false" outlineLevel="0" collapsed="false">
      <c r="H1002" s="0" t="str">
        <f aca="false">IF(B1002="","",IF(COUNTIF(Campaigns!$A$7:$A$300,B1002)&gt;0,"✓","⚠ add to Campaigns tab"))</f>
        <v/>
      </c>
      <c r="I1002" s="84" t="str">
        <f aca="false">IF(C1002="","",C1002*IF(Settings!$B$24=Settings!$C$6,1,IF(Settings!$B$24="USD",1/INDEX(Settings!$B$29:$B$40,MONTH(A1002)),INDEX(Settings!$B$29:$B$40,MONTH(A1002)))))</f>
        <v/>
      </c>
    </row>
    <row r="1003" customFormat="false" ht="15" hidden="false" customHeight="false" outlineLevel="0" collapsed="false">
      <c r="H1003" s="0" t="str">
        <f aca="false">IF(B1003="","",IF(COUNTIF(Campaigns!$A$7:$A$300,B1003)&gt;0,"✓","⚠ add to Campaigns tab"))</f>
        <v/>
      </c>
      <c r="I1003" s="84" t="str">
        <f aca="false">IF(C1003="","",C1003*IF(Settings!$B$24=Settings!$C$6,1,IF(Settings!$B$24="USD",1/INDEX(Settings!$B$29:$B$40,MONTH(A1003)),INDEX(Settings!$B$29:$B$40,MONTH(A1003)))))</f>
        <v/>
      </c>
    </row>
    <row r="1004" customFormat="false" ht="15" hidden="false" customHeight="false" outlineLevel="0" collapsed="false">
      <c r="H1004" s="0" t="str">
        <f aca="false">IF(B1004="","",IF(COUNTIF(Campaigns!$A$7:$A$300,B1004)&gt;0,"✓","⚠ add to Campaigns tab"))</f>
        <v/>
      </c>
      <c r="I1004" s="84" t="str">
        <f aca="false">IF(C1004="","",C1004*IF(Settings!$B$24=Settings!$C$6,1,IF(Settings!$B$24="USD",1/INDEX(Settings!$B$29:$B$40,MONTH(A1004)),INDEX(Settings!$B$29:$B$40,MONTH(A1004)))))</f>
        <v/>
      </c>
    </row>
    <row r="1005" customFormat="false" ht="15" hidden="false" customHeight="false" outlineLevel="0" collapsed="false">
      <c r="H1005" s="0" t="str">
        <f aca="false">IF(B1005="","",IF(COUNTIF(Campaigns!$A$7:$A$300,B1005)&gt;0,"✓","⚠ add to Campaigns tab"))</f>
        <v/>
      </c>
      <c r="I1005" s="84" t="str">
        <f aca="false">IF(C1005="","",C1005*IF(Settings!$B$24=Settings!$C$6,1,IF(Settings!$B$24="USD",1/INDEX(Settings!$B$29:$B$40,MONTH(A1005)),INDEX(Settings!$B$29:$B$40,MONTH(A1005)))))</f>
        <v/>
      </c>
    </row>
    <row r="1006" customFormat="false" ht="15" hidden="false" customHeight="false" outlineLevel="0" collapsed="false">
      <c r="H1006" s="0" t="str">
        <f aca="false">IF(B1006="","",IF(COUNTIF(Campaigns!$A$7:$A$300,B1006)&gt;0,"✓","⚠ add to Campaigns tab"))</f>
        <v/>
      </c>
      <c r="I1006" s="84" t="str">
        <f aca="false">IF(C1006="","",C1006*IF(Settings!$B$24=Settings!$C$6,1,IF(Settings!$B$24="USD",1/INDEX(Settings!$B$29:$B$40,MONTH(A1006)),INDEX(Settings!$B$29:$B$40,MONTH(A1006)))))</f>
        <v/>
      </c>
    </row>
    <row r="1007" customFormat="false" ht="15" hidden="false" customHeight="false" outlineLevel="0" collapsed="false">
      <c r="H1007" s="0" t="str">
        <f aca="false">IF(B1007="","",IF(COUNTIF(Campaigns!$A$7:$A$300,B1007)&gt;0,"✓","⚠ add to Campaigns tab"))</f>
        <v/>
      </c>
      <c r="I1007" s="84" t="str">
        <f aca="false">IF(C1007="","",C1007*IF(Settings!$B$24=Settings!$C$6,1,IF(Settings!$B$24="USD",1/INDEX(Settings!$B$29:$B$40,MONTH(A1007)),INDEX(Settings!$B$29:$B$40,MONTH(A1007)))))</f>
        <v/>
      </c>
    </row>
    <row r="1008" customFormat="false" ht="15" hidden="false" customHeight="false" outlineLevel="0" collapsed="false">
      <c r="H1008" s="0" t="str">
        <f aca="false">IF(B1008="","",IF(COUNTIF(Campaigns!$A$7:$A$300,B1008)&gt;0,"✓","⚠ add to Campaigns tab"))</f>
        <v/>
      </c>
      <c r="I1008" s="84" t="str">
        <f aca="false">IF(C1008="","",C1008*IF(Settings!$B$24=Settings!$C$6,1,IF(Settings!$B$24="USD",1/INDEX(Settings!$B$29:$B$40,MONTH(A1008)),INDEX(Settings!$B$29:$B$40,MONTH(A1008)))))</f>
        <v/>
      </c>
    </row>
    <row r="1009" customFormat="false" ht="15" hidden="false" customHeight="false" outlineLevel="0" collapsed="false">
      <c r="H1009" s="0" t="str">
        <f aca="false">IF(B1009="","",IF(COUNTIF(Campaigns!$A$7:$A$300,B1009)&gt;0,"✓","⚠ add to Campaigns tab"))</f>
        <v/>
      </c>
      <c r="I1009" s="84" t="str">
        <f aca="false">IF(C1009="","",C1009*IF(Settings!$B$24=Settings!$C$6,1,IF(Settings!$B$24="USD",1/INDEX(Settings!$B$29:$B$40,MONTH(A1009)),INDEX(Settings!$B$29:$B$40,MONTH(A1009)))))</f>
        <v/>
      </c>
    </row>
    <row r="1010" customFormat="false" ht="15" hidden="false" customHeight="false" outlineLevel="0" collapsed="false">
      <c r="H1010" s="0" t="str">
        <f aca="false">IF(B1010="","",IF(COUNTIF(Campaigns!$A$7:$A$300,B1010)&gt;0,"✓","⚠ add to Campaigns tab"))</f>
        <v/>
      </c>
      <c r="I1010" s="84" t="str">
        <f aca="false">IF(C1010="","",C1010*IF(Settings!$B$24=Settings!$C$6,1,IF(Settings!$B$24="USD",1/INDEX(Settings!$B$29:$B$40,MONTH(A1010)),INDEX(Settings!$B$29:$B$40,MONTH(A1010)))))</f>
        <v/>
      </c>
    </row>
    <row r="1011" customFormat="false" ht="15" hidden="false" customHeight="false" outlineLevel="0" collapsed="false">
      <c r="H1011" s="0" t="str">
        <f aca="false">IF(B1011="","",IF(COUNTIF(Campaigns!$A$7:$A$300,B1011)&gt;0,"✓","⚠ add to Campaigns tab"))</f>
        <v/>
      </c>
      <c r="I1011" s="84" t="str">
        <f aca="false">IF(C1011="","",C1011*IF(Settings!$B$24=Settings!$C$6,1,IF(Settings!$B$24="USD",1/INDEX(Settings!$B$29:$B$40,MONTH(A1011)),INDEX(Settings!$B$29:$B$40,MONTH(A1011)))))</f>
        <v/>
      </c>
    </row>
    <row r="1012" customFormat="false" ht="15" hidden="false" customHeight="false" outlineLevel="0" collapsed="false">
      <c r="H1012" s="0" t="str">
        <f aca="false">IF(B1012="","",IF(COUNTIF(Campaigns!$A$7:$A$300,B1012)&gt;0,"✓","⚠ add to Campaigns tab"))</f>
        <v/>
      </c>
      <c r="I1012" s="84" t="str">
        <f aca="false">IF(C1012="","",C1012*IF(Settings!$B$24=Settings!$C$6,1,IF(Settings!$B$24="USD",1/INDEX(Settings!$B$29:$B$40,MONTH(A1012)),INDEX(Settings!$B$29:$B$40,MONTH(A1012)))))</f>
        <v/>
      </c>
    </row>
    <row r="1013" customFormat="false" ht="15" hidden="false" customHeight="false" outlineLevel="0" collapsed="false">
      <c r="H1013" s="0" t="str">
        <f aca="false">IF(B1013="","",IF(COUNTIF(Campaigns!$A$7:$A$300,B1013)&gt;0,"✓","⚠ add to Campaigns tab"))</f>
        <v/>
      </c>
      <c r="I1013" s="84" t="str">
        <f aca="false">IF(C1013="","",C1013*IF(Settings!$B$24=Settings!$C$6,1,IF(Settings!$B$24="USD",1/INDEX(Settings!$B$29:$B$40,MONTH(A1013)),INDEX(Settings!$B$29:$B$40,MONTH(A1013)))))</f>
        <v/>
      </c>
    </row>
    <row r="1014" customFormat="false" ht="15" hidden="false" customHeight="false" outlineLevel="0" collapsed="false">
      <c r="H1014" s="0" t="str">
        <f aca="false">IF(B1014="","",IF(COUNTIF(Campaigns!$A$7:$A$300,B1014)&gt;0,"✓","⚠ add to Campaigns tab"))</f>
        <v/>
      </c>
      <c r="I1014" s="84" t="str">
        <f aca="false">IF(C1014="","",C1014*IF(Settings!$B$24=Settings!$C$6,1,IF(Settings!$B$24="USD",1/INDEX(Settings!$B$29:$B$40,MONTH(A1014)),INDEX(Settings!$B$29:$B$40,MONTH(A1014)))))</f>
        <v/>
      </c>
    </row>
    <row r="1015" customFormat="false" ht="15" hidden="false" customHeight="false" outlineLevel="0" collapsed="false">
      <c r="H1015" s="0" t="str">
        <f aca="false">IF(B1015="","",IF(COUNTIF(Campaigns!$A$7:$A$300,B1015)&gt;0,"✓","⚠ add to Campaigns tab"))</f>
        <v/>
      </c>
      <c r="I1015" s="84" t="str">
        <f aca="false">IF(C1015="","",C1015*IF(Settings!$B$24=Settings!$C$6,1,IF(Settings!$B$24="USD",1/INDEX(Settings!$B$29:$B$40,MONTH(A1015)),INDEX(Settings!$B$29:$B$40,MONTH(A1015)))))</f>
        <v/>
      </c>
    </row>
    <row r="1016" customFormat="false" ht="15" hidden="false" customHeight="false" outlineLevel="0" collapsed="false">
      <c r="H1016" s="0" t="str">
        <f aca="false">IF(B1016="","",IF(COUNTIF(Campaigns!$A$7:$A$300,B1016)&gt;0,"✓","⚠ add to Campaigns tab"))</f>
        <v/>
      </c>
      <c r="I1016" s="84" t="str">
        <f aca="false">IF(C1016="","",C1016*IF(Settings!$B$24=Settings!$C$6,1,IF(Settings!$B$24="USD",1/INDEX(Settings!$B$29:$B$40,MONTH(A1016)),INDEX(Settings!$B$29:$B$40,MONTH(A1016)))))</f>
        <v/>
      </c>
    </row>
    <row r="1017" customFormat="false" ht="15" hidden="false" customHeight="false" outlineLevel="0" collapsed="false">
      <c r="H1017" s="0" t="str">
        <f aca="false">IF(B1017="","",IF(COUNTIF(Campaigns!$A$7:$A$300,B1017)&gt;0,"✓","⚠ add to Campaigns tab"))</f>
        <v/>
      </c>
      <c r="I1017" s="84" t="str">
        <f aca="false">IF(C1017="","",C1017*IF(Settings!$B$24=Settings!$C$6,1,IF(Settings!$B$24="USD",1/INDEX(Settings!$B$29:$B$40,MONTH(A1017)),INDEX(Settings!$B$29:$B$40,MONTH(A1017)))))</f>
        <v/>
      </c>
    </row>
    <row r="1018" customFormat="false" ht="15" hidden="false" customHeight="false" outlineLevel="0" collapsed="false">
      <c r="H1018" s="0" t="str">
        <f aca="false">IF(B1018="","",IF(COUNTIF(Campaigns!$A$7:$A$300,B1018)&gt;0,"✓","⚠ add to Campaigns tab"))</f>
        <v/>
      </c>
      <c r="I1018" s="84" t="str">
        <f aca="false">IF(C1018="","",C1018*IF(Settings!$B$24=Settings!$C$6,1,IF(Settings!$B$24="USD",1/INDEX(Settings!$B$29:$B$40,MONTH(A1018)),INDEX(Settings!$B$29:$B$40,MONTH(A1018)))))</f>
        <v/>
      </c>
    </row>
    <row r="1019" customFormat="false" ht="15" hidden="false" customHeight="false" outlineLevel="0" collapsed="false">
      <c r="H1019" s="0" t="str">
        <f aca="false">IF(B1019="","",IF(COUNTIF(Campaigns!$A$7:$A$300,B1019)&gt;0,"✓","⚠ add to Campaigns tab"))</f>
        <v/>
      </c>
      <c r="I1019" s="84" t="str">
        <f aca="false">IF(C1019="","",C1019*IF(Settings!$B$24=Settings!$C$6,1,IF(Settings!$B$24="USD",1/INDEX(Settings!$B$29:$B$40,MONTH(A1019)),INDEX(Settings!$B$29:$B$40,MONTH(A1019)))))</f>
        <v/>
      </c>
    </row>
    <row r="1020" customFormat="false" ht="15" hidden="false" customHeight="false" outlineLevel="0" collapsed="false">
      <c r="H1020" s="0" t="str">
        <f aca="false">IF(B1020="","",IF(COUNTIF(Campaigns!$A$7:$A$300,B1020)&gt;0,"✓","⚠ add to Campaigns tab"))</f>
        <v/>
      </c>
      <c r="I1020" s="84" t="str">
        <f aca="false">IF(C1020="","",C1020*IF(Settings!$B$24=Settings!$C$6,1,IF(Settings!$B$24="USD",1/INDEX(Settings!$B$29:$B$40,MONTH(A1020)),INDEX(Settings!$B$29:$B$40,MONTH(A1020)))))</f>
        <v/>
      </c>
    </row>
    <row r="1021" customFormat="false" ht="15" hidden="false" customHeight="false" outlineLevel="0" collapsed="false">
      <c r="H1021" s="0" t="str">
        <f aca="false">IF(B1021="","",IF(COUNTIF(Campaigns!$A$7:$A$300,B1021)&gt;0,"✓","⚠ add to Campaigns tab"))</f>
        <v/>
      </c>
      <c r="I1021" s="84" t="str">
        <f aca="false">IF(C1021="","",C1021*IF(Settings!$B$24=Settings!$C$6,1,IF(Settings!$B$24="USD",1/INDEX(Settings!$B$29:$B$40,MONTH(A1021)),INDEX(Settings!$B$29:$B$40,MONTH(A1021)))))</f>
        <v/>
      </c>
    </row>
    <row r="1022" customFormat="false" ht="15" hidden="false" customHeight="false" outlineLevel="0" collapsed="false">
      <c r="H1022" s="0" t="str">
        <f aca="false">IF(B1022="","",IF(COUNTIF(Campaigns!$A$7:$A$300,B1022)&gt;0,"✓","⚠ add to Campaigns tab"))</f>
        <v/>
      </c>
      <c r="I1022" s="84" t="str">
        <f aca="false">IF(C1022="","",C1022*IF(Settings!$B$24=Settings!$C$6,1,IF(Settings!$B$24="USD",1/INDEX(Settings!$B$29:$B$40,MONTH(A1022)),INDEX(Settings!$B$29:$B$40,MONTH(A1022)))))</f>
        <v/>
      </c>
    </row>
    <row r="1023" customFormat="false" ht="15" hidden="false" customHeight="false" outlineLevel="0" collapsed="false">
      <c r="H1023" s="0" t="str">
        <f aca="false">IF(B1023="","",IF(COUNTIF(Campaigns!$A$7:$A$300,B1023)&gt;0,"✓","⚠ add to Campaigns tab"))</f>
        <v/>
      </c>
      <c r="I1023" s="84" t="str">
        <f aca="false">IF(C1023="","",C1023*IF(Settings!$B$24=Settings!$C$6,1,IF(Settings!$B$24="USD",1/INDEX(Settings!$B$29:$B$40,MONTH(A1023)),INDEX(Settings!$B$29:$B$40,MONTH(A1023)))))</f>
        <v/>
      </c>
    </row>
    <row r="1024" customFormat="false" ht="15" hidden="false" customHeight="false" outlineLevel="0" collapsed="false">
      <c r="H1024" s="0" t="str">
        <f aca="false">IF(B1024="","",IF(COUNTIF(Campaigns!$A$7:$A$300,B1024)&gt;0,"✓","⚠ add to Campaigns tab"))</f>
        <v/>
      </c>
      <c r="I1024" s="84" t="str">
        <f aca="false">IF(C1024="","",C1024*IF(Settings!$B$24=Settings!$C$6,1,IF(Settings!$B$24="USD",1/INDEX(Settings!$B$29:$B$40,MONTH(A1024)),INDEX(Settings!$B$29:$B$40,MONTH(A1024)))))</f>
        <v/>
      </c>
    </row>
    <row r="1025" customFormat="false" ht="15" hidden="false" customHeight="false" outlineLevel="0" collapsed="false">
      <c r="H1025" s="0" t="str">
        <f aca="false">IF(B1025="","",IF(COUNTIF(Campaigns!$A$7:$A$300,B1025)&gt;0,"✓","⚠ add to Campaigns tab"))</f>
        <v/>
      </c>
      <c r="I1025" s="84" t="str">
        <f aca="false">IF(C1025="","",C1025*IF(Settings!$B$24=Settings!$C$6,1,IF(Settings!$B$24="USD",1/INDEX(Settings!$B$29:$B$40,MONTH(A1025)),INDEX(Settings!$B$29:$B$40,MONTH(A1025)))))</f>
        <v/>
      </c>
    </row>
    <row r="1026" customFormat="false" ht="15" hidden="false" customHeight="false" outlineLevel="0" collapsed="false">
      <c r="H1026" s="0" t="str">
        <f aca="false">IF(B1026="","",IF(COUNTIF(Campaigns!$A$7:$A$300,B1026)&gt;0,"✓","⚠ add to Campaigns tab"))</f>
        <v/>
      </c>
      <c r="I1026" s="84" t="str">
        <f aca="false">IF(C1026="","",C1026*IF(Settings!$B$24=Settings!$C$6,1,IF(Settings!$B$24="USD",1/INDEX(Settings!$B$29:$B$40,MONTH(A1026)),INDEX(Settings!$B$29:$B$40,MONTH(A1026)))))</f>
        <v/>
      </c>
    </row>
    <row r="1027" customFormat="false" ht="15" hidden="false" customHeight="false" outlineLevel="0" collapsed="false">
      <c r="H1027" s="0" t="str">
        <f aca="false">IF(B1027="","",IF(COUNTIF(Campaigns!$A$7:$A$300,B1027)&gt;0,"✓","⚠ add to Campaigns tab"))</f>
        <v/>
      </c>
      <c r="I1027" s="84" t="str">
        <f aca="false">IF(C1027="","",C1027*IF(Settings!$B$24=Settings!$C$6,1,IF(Settings!$B$24="USD",1/INDEX(Settings!$B$29:$B$40,MONTH(A1027)),INDEX(Settings!$B$29:$B$40,MONTH(A1027)))))</f>
        <v/>
      </c>
    </row>
    <row r="1028" customFormat="false" ht="15" hidden="false" customHeight="false" outlineLevel="0" collapsed="false">
      <c r="H1028" s="0" t="str">
        <f aca="false">IF(B1028="","",IF(COUNTIF(Campaigns!$A$7:$A$300,B1028)&gt;0,"✓","⚠ add to Campaigns tab"))</f>
        <v/>
      </c>
      <c r="I1028" s="84" t="str">
        <f aca="false">IF(C1028="","",C1028*IF(Settings!$B$24=Settings!$C$6,1,IF(Settings!$B$24="USD",1/INDEX(Settings!$B$29:$B$40,MONTH(A1028)),INDEX(Settings!$B$29:$B$40,MONTH(A1028)))))</f>
        <v/>
      </c>
    </row>
    <row r="1029" customFormat="false" ht="15" hidden="false" customHeight="false" outlineLevel="0" collapsed="false">
      <c r="H1029" s="0" t="str">
        <f aca="false">IF(B1029="","",IF(COUNTIF(Campaigns!$A$7:$A$300,B1029)&gt;0,"✓","⚠ add to Campaigns tab"))</f>
        <v/>
      </c>
      <c r="I1029" s="84" t="str">
        <f aca="false">IF(C1029="","",C1029*IF(Settings!$B$24=Settings!$C$6,1,IF(Settings!$B$24="USD",1/INDEX(Settings!$B$29:$B$40,MONTH(A1029)),INDEX(Settings!$B$29:$B$40,MONTH(A1029)))))</f>
        <v/>
      </c>
    </row>
    <row r="1030" customFormat="false" ht="15" hidden="false" customHeight="false" outlineLevel="0" collapsed="false">
      <c r="H1030" s="0" t="str">
        <f aca="false">IF(B1030="","",IF(COUNTIF(Campaigns!$A$7:$A$300,B1030)&gt;0,"✓","⚠ add to Campaigns tab"))</f>
        <v/>
      </c>
      <c r="I1030" s="84" t="str">
        <f aca="false">IF(C1030="","",C1030*IF(Settings!$B$24=Settings!$C$6,1,IF(Settings!$B$24="USD",1/INDEX(Settings!$B$29:$B$40,MONTH(A1030)),INDEX(Settings!$B$29:$B$40,MONTH(A1030)))))</f>
        <v/>
      </c>
    </row>
    <row r="1031" customFormat="false" ht="15" hidden="false" customHeight="false" outlineLevel="0" collapsed="false">
      <c r="H1031" s="0" t="str">
        <f aca="false">IF(B1031="","",IF(COUNTIF(Campaigns!$A$7:$A$300,B1031)&gt;0,"✓","⚠ add to Campaigns tab"))</f>
        <v/>
      </c>
      <c r="I1031" s="84" t="str">
        <f aca="false">IF(C1031="","",C1031*IF(Settings!$B$24=Settings!$C$6,1,IF(Settings!$B$24="USD",1/INDEX(Settings!$B$29:$B$40,MONTH(A1031)),INDEX(Settings!$B$29:$B$40,MONTH(A1031)))))</f>
        <v/>
      </c>
    </row>
    <row r="1032" customFormat="false" ht="15" hidden="false" customHeight="false" outlineLevel="0" collapsed="false">
      <c r="H1032" s="0" t="str">
        <f aca="false">IF(B1032="","",IF(COUNTIF(Campaigns!$A$7:$A$300,B1032)&gt;0,"✓","⚠ add to Campaigns tab"))</f>
        <v/>
      </c>
      <c r="I1032" s="84" t="str">
        <f aca="false">IF(C1032="","",C1032*IF(Settings!$B$24=Settings!$C$6,1,IF(Settings!$B$24="USD",1/INDEX(Settings!$B$29:$B$40,MONTH(A1032)),INDEX(Settings!$B$29:$B$40,MONTH(A1032)))))</f>
        <v/>
      </c>
    </row>
    <row r="1033" customFormat="false" ht="15" hidden="false" customHeight="false" outlineLevel="0" collapsed="false">
      <c r="H1033" s="0" t="str">
        <f aca="false">IF(B1033="","",IF(COUNTIF(Campaigns!$A$7:$A$300,B1033)&gt;0,"✓","⚠ add to Campaigns tab"))</f>
        <v/>
      </c>
      <c r="I1033" s="84" t="str">
        <f aca="false">IF(C1033="","",C1033*IF(Settings!$B$24=Settings!$C$6,1,IF(Settings!$B$24="USD",1/INDEX(Settings!$B$29:$B$40,MONTH(A1033)),INDEX(Settings!$B$29:$B$40,MONTH(A1033)))))</f>
        <v/>
      </c>
    </row>
    <row r="1034" customFormat="false" ht="15" hidden="false" customHeight="false" outlineLevel="0" collapsed="false">
      <c r="H1034" s="0" t="str">
        <f aca="false">IF(B1034="","",IF(COUNTIF(Campaigns!$A$7:$A$300,B1034)&gt;0,"✓","⚠ add to Campaigns tab"))</f>
        <v/>
      </c>
      <c r="I1034" s="84" t="str">
        <f aca="false">IF(C1034="","",C1034*IF(Settings!$B$24=Settings!$C$6,1,IF(Settings!$B$24="USD",1/INDEX(Settings!$B$29:$B$40,MONTH(A1034)),INDEX(Settings!$B$29:$B$40,MONTH(A1034)))))</f>
        <v/>
      </c>
    </row>
    <row r="1035" customFormat="false" ht="15" hidden="false" customHeight="false" outlineLevel="0" collapsed="false">
      <c r="H1035" s="0" t="str">
        <f aca="false">IF(B1035="","",IF(COUNTIF(Campaigns!$A$7:$A$300,B1035)&gt;0,"✓","⚠ add to Campaigns tab"))</f>
        <v/>
      </c>
      <c r="I1035" s="84" t="str">
        <f aca="false">IF(C1035="","",C1035*IF(Settings!$B$24=Settings!$C$6,1,IF(Settings!$B$24="USD",1/INDEX(Settings!$B$29:$B$40,MONTH(A1035)),INDEX(Settings!$B$29:$B$40,MONTH(A1035)))))</f>
        <v/>
      </c>
    </row>
    <row r="1036" customFormat="false" ht="15" hidden="false" customHeight="false" outlineLevel="0" collapsed="false">
      <c r="H1036" s="0" t="str">
        <f aca="false">IF(B1036="","",IF(COUNTIF(Campaigns!$A$7:$A$300,B1036)&gt;0,"✓","⚠ add to Campaigns tab"))</f>
        <v/>
      </c>
      <c r="I1036" s="84" t="str">
        <f aca="false">IF(C1036="","",C1036*IF(Settings!$B$24=Settings!$C$6,1,IF(Settings!$B$24="USD",1/INDEX(Settings!$B$29:$B$40,MONTH(A1036)),INDEX(Settings!$B$29:$B$40,MONTH(A1036)))))</f>
        <v/>
      </c>
    </row>
    <row r="1037" customFormat="false" ht="15" hidden="false" customHeight="false" outlineLevel="0" collapsed="false">
      <c r="H1037" s="0" t="str">
        <f aca="false">IF(B1037="","",IF(COUNTIF(Campaigns!$A$7:$A$300,B1037)&gt;0,"✓","⚠ add to Campaigns tab"))</f>
        <v/>
      </c>
      <c r="I1037" s="84" t="str">
        <f aca="false">IF(C1037="","",C1037*IF(Settings!$B$24=Settings!$C$6,1,IF(Settings!$B$24="USD",1/INDEX(Settings!$B$29:$B$40,MONTH(A1037)),INDEX(Settings!$B$29:$B$40,MONTH(A1037)))))</f>
        <v/>
      </c>
    </row>
    <row r="1038" customFormat="false" ht="15" hidden="false" customHeight="false" outlineLevel="0" collapsed="false">
      <c r="H1038" s="0" t="str">
        <f aca="false">IF(B1038="","",IF(COUNTIF(Campaigns!$A$7:$A$300,B1038)&gt;0,"✓","⚠ add to Campaigns tab"))</f>
        <v/>
      </c>
      <c r="I1038" s="84" t="str">
        <f aca="false">IF(C1038="","",C1038*IF(Settings!$B$24=Settings!$C$6,1,IF(Settings!$B$24="USD",1/INDEX(Settings!$B$29:$B$40,MONTH(A1038)),INDEX(Settings!$B$29:$B$40,MONTH(A1038)))))</f>
        <v/>
      </c>
    </row>
    <row r="1039" customFormat="false" ht="15" hidden="false" customHeight="false" outlineLevel="0" collapsed="false">
      <c r="H1039" s="0" t="str">
        <f aca="false">IF(B1039="","",IF(COUNTIF(Campaigns!$A$7:$A$300,B1039)&gt;0,"✓","⚠ add to Campaigns tab"))</f>
        <v/>
      </c>
      <c r="I1039" s="84" t="str">
        <f aca="false">IF(C1039="","",C1039*IF(Settings!$B$24=Settings!$C$6,1,IF(Settings!$B$24="USD",1/INDEX(Settings!$B$29:$B$40,MONTH(A1039)),INDEX(Settings!$B$29:$B$40,MONTH(A1039)))))</f>
        <v/>
      </c>
    </row>
    <row r="1040" customFormat="false" ht="15" hidden="false" customHeight="false" outlineLevel="0" collapsed="false">
      <c r="H1040" s="0" t="str">
        <f aca="false">IF(B1040="","",IF(COUNTIF(Campaigns!$A$7:$A$300,B1040)&gt;0,"✓","⚠ add to Campaigns tab"))</f>
        <v/>
      </c>
      <c r="I1040" s="84" t="str">
        <f aca="false">IF(C1040="","",C1040*IF(Settings!$B$24=Settings!$C$6,1,IF(Settings!$B$24="USD",1/INDEX(Settings!$B$29:$B$40,MONTH(A1040)),INDEX(Settings!$B$29:$B$40,MONTH(A1040)))))</f>
        <v/>
      </c>
    </row>
    <row r="1041" customFormat="false" ht="15" hidden="false" customHeight="false" outlineLevel="0" collapsed="false">
      <c r="H1041" s="0" t="str">
        <f aca="false">IF(B1041="","",IF(COUNTIF(Campaigns!$A$7:$A$300,B1041)&gt;0,"✓","⚠ add to Campaigns tab"))</f>
        <v/>
      </c>
      <c r="I1041" s="84" t="str">
        <f aca="false">IF(C1041="","",C1041*IF(Settings!$B$24=Settings!$C$6,1,IF(Settings!$B$24="USD",1/INDEX(Settings!$B$29:$B$40,MONTH(A1041)),INDEX(Settings!$B$29:$B$40,MONTH(A1041)))))</f>
        <v/>
      </c>
    </row>
    <row r="1042" customFormat="false" ht="15" hidden="false" customHeight="false" outlineLevel="0" collapsed="false">
      <c r="H1042" s="0" t="str">
        <f aca="false">IF(B1042="","",IF(COUNTIF(Campaigns!$A$7:$A$300,B1042)&gt;0,"✓","⚠ add to Campaigns tab"))</f>
        <v/>
      </c>
      <c r="I1042" s="84" t="str">
        <f aca="false">IF(C1042="","",C1042*IF(Settings!$B$24=Settings!$C$6,1,IF(Settings!$B$24="USD",1/INDEX(Settings!$B$29:$B$40,MONTH(A1042)),INDEX(Settings!$B$29:$B$40,MONTH(A1042)))))</f>
        <v/>
      </c>
    </row>
    <row r="1043" customFormat="false" ht="15" hidden="false" customHeight="false" outlineLevel="0" collapsed="false">
      <c r="H1043" s="0" t="str">
        <f aca="false">IF(B1043="","",IF(COUNTIF(Campaigns!$A$7:$A$300,B1043)&gt;0,"✓","⚠ add to Campaigns tab"))</f>
        <v/>
      </c>
      <c r="I1043" s="84" t="str">
        <f aca="false">IF(C1043="","",C1043*IF(Settings!$B$24=Settings!$C$6,1,IF(Settings!$B$24="USD",1/INDEX(Settings!$B$29:$B$40,MONTH(A1043)),INDEX(Settings!$B$29:$B$40,MONTH(A1043)))))</f>
        <v/>
      </c>
    </row>
    <row r="1044" customFormat="false" ht="15" hidden="false" customHeight="false" outlineLevel="0" collapsed="false">
      <c r="H1044" s="0" t="str">
        <f aca="false">IF(B1044="","",IF(COUNTIF(Campaigns!$A$7:$A$300,B1044)&gt;0,"✓","⚠ add to Campaigns tab"))</f>
        <v/>
      </c>
      <c r="I1044" s="84" t="str">
        <f aca="false">IF(C1044="","",C1044*IF(Settings!$B$24=Settings!$C$6,1,IF(Settings!$B$24="USD",1/INDEX(Settings!$B$29:$B$40,MONTH(A1044)),INDEX(Settings!$B$29:$B$40,MONTH(A1044)))))</f>
        <v/>
      </c>
    </row>
    <row r="1045" customFormat="false" ht="15" hidden="false" customHeight="false" outlineLevel="0" collapsed="false">
      <c r="H1045" s="0" t="str">
        <f aca="false">IF(B1045="","",IF(COUNTIF(Campaigns!$A$7:$A$300,B1045)&gt;0,"✓","⚠ add to Campaigns tab"))</f>
        <v/>
      </c>
      <c r="I1045" s="84" t="str">
        <f aca="false">IF(C1045="","",C1045*IF(Settings!$B$24=Settings!$C$6,1,IF(Settings!$B$24="USD",1/INDEX(Settings!$B$29:$B$40,MONTH(A1045)),INDEX(Settings!$B$29:$B$40,MONTH(A1045)))))</f>
        <v/>
      </c>
    </row>
    <row r="1046" customFormat="false" ht="15" hidden="false" customHeight="false" outlineLevel="0" collapsed="false">
      <c r="H1046" s="0" t="str">
        <f aca="false">IF(B1046="","",IF(COUNTIF(Campaigns!$A$7:$A$300,B1046)&gt;0,"✓","⚠ add to Campaigns tab"))</f>
        <v/>
      </c>
      <c r="I1046" s="84" t="str">
        <f aca="false">IF(C1046="","",C1046*IF(Settings!$B$24=Settings!$C$6,1,IF(Settings!$B$24="USD",1/INDEX(Settings!$B$29:$B$40,MONTH(A1046)),INDEX(Settings!$B$29:$B$40,MONTH(A1046)))))</f>
        <v/>
      </c>
    </row>
    <row r="1047" customFormat="false" ht="15" hidden="false" customHeight="false" outlineLevel="0" collapsed="false">
      <c r="H1047" s="0" t="str">
        <f aca="false">IF(B1047="","",IF(COUNTIF(Campaigns!$A$7:$A$300,B1047)&gt;0,"✓","⚠ add to Campaigns tab"))</f>
        <v/>
      </c>
      <c r="I1047" s="84" t="str">
        <f aca="false">IF(C1047="","",C1047*IF(Settings!$B$24=Settings!$C$6,1,IF(Settings!$B$24="USD",1/INDEX(Settings!$B$29:$B$40,MONTH(A1047)),INDEX(Settings!$B$29:$B$40,MONTH(A1047)))))</f>
        <v/>
      </c>
    </row>
    <row r="1048" customFormat="false" ht="15" hidden="false" customHeight="false" outlineLevel="0" collapsed="false">
      <c r="H1048" s="0" t="str">
        <f aca="false">IF(B1048="","",IF(COUNTIF(Campaigns!$A$7:$A$300,B1048)&gt;0,"✓","⚠ add to Campaigns tab"))</f>
        <v/>
      </c>
      <c r="I1048" s="84" t="str">
        <f aca="false">IF(C1048="","",C1048*IF(Settings!$B$24=Settings!$C$6,1,IF(Settings!$B$24="USD",1/INDEX(Settings!$B$29:$B$40,MONTH(A1048)),INDEX(Settings!$B$29:$B$40,MONTH(A1048)))))</f>
        <v/>
      </c>
    </row>
    <row r="1049" customFormat="false" ht="15" hidden="false" customHeight="false" outlineLevel="0" collapsed="false">
      <c r="H1049" s="0" t="str">
        <f aca="false">IF(B1049="","",IF(COUNTIF(Campaigns!$A$7:$A$300,B1049)&gt;0,"✓","⚠ add to Campaigns tab"))</f>
        <v/>
      </c>
      <c r="I1049" s="84" t="str">
        <f aca="false">IF(C1049="","",C1049*IF(Settings!$B$24=Settings!$C$6,1,IF(Settings!$B$24="USD",1/INDEX(Settings!$B$29:$B$40,MONTH(A1049)),INDEX(Settings!$B$29:$B$40,MONTH(A1049)))))</f>
        <v/>
      </c>
    </row>
    <row r="1050" customFormat="false" ht="15" hidden="false" customHeight="false" outlineLevel="0" collapsed="false">
      <c r="H1050" s="0" t="str">
        <f aca="false">IF(B1050="","",IF(COUNTIF(Campaigns!$A$7:$A$300,B1050)&gt;0,"✓","⚠ add to Campaigns tab"))</f>
        <v/>
      </c>
      <c r="I1050" s="84" t="str">
        <f aca="false">IF(C1050="","",C1050*IF(Settings!$B$24=Settings!$C$6,1,IF(Settings!$B$24="USD",1/INDEX(Settings!$B$29:$B$40,MONTH(A1050)),INDEX(Settings!$B$29:$B$40,MONTH(A1050)))))</f>
        <v/>
      </c>
    </row>
    <row r="1051" customFormat="false" ht="15" hidden="false" customHeight="false" outlineLevel="0" collapsed="false">
      <c r="H1051" s="0" t="str">
        <f aca="false">IF(B1051="","",IF(COUNTIF(Campaigns!$A$7:$A$300,B1051)&gt;0,"✓","⚠ add to Campaigns tab"))</f>
        <v/>
      </c>
      <c r="I1051" s="84" t="str">
        <f aca="false">IF(C1051="","",C1051*IF(Settings!$B$24=Settings!$C$6,1,IF(Settings!$B$24="USD",1/INDEX(Settings!$B$29:$B$40,MONTH(A1051)),INDEX(Settings!$B$29:$B$40,MONTH(A1051)))))</f>
        <v/>
      </c>
    </row>
    <row r="1052" customFormat="false" ht="15" hidden="false" customHeight="false" outlineLevel="0" collapsed="false">
      <c r="H1052" s="0" t="str">
        <f aca="false">IF(B1052="","",IF(COUNTIF(Campaigns!$A$7:$A$300,B1052)&gt;0,"✓","⚠ add to Campaigns tab"))</f>
        <v/>
      </c>
      <c r="I1052" s="84" t="str">
        <f aca="false">IF(C1052="","",C1052*IF(Settings!$B$24=Settings!$C$6,1,IF(Settings!$B$24="USD",1/INDEX(Settings!$B$29:$B$40,MONTH(A1052)),INDEX(Settings!$B$29:$B$40,MONTH(A1052)))))</f>
        <v/>
      </c>
    </row>
    <row r="1053" customFormat="false" ht="15" hidden="false" customHeight="false" outlineLevel="0" collapsed="false">
      <c r="H1053" s="0" t="str">
        <f aca="false">IF(B1053="","",IF(COUNTIF(Campaigns!$A$7:$A$300,B1053)&gt;0,"✓","⚠ add to Campaigns tab"))</f>
        <v/>
      </c>
      <c r="I1053" s="84" t="str">
        <f aca="false">IF(C1053="","",C1053*IF(Settings!$B$24=Settings!$C$6,1,IF(Settings!$B$24="USD",1/INDEX(Settings!$B$29:$B$40,MONTH(A1053)),INDEX(Settings!$B$29:$B$40,MONTH(A1053)))))</f>
        <v/>
      </c>
    </row>
    <row r="1054" customFormat="false" ht="15" hidden="false" customHeight="false" outlineLevel="0" collapsed="false">
      <c r="H1054" s="0" t="str">
        <f aca="false">IF(B1054="","",IF(COUNTIF(Campaigns!$A$7:$A$300,B1054)&gt;0,"✓","⚠ add to Campaigns tab"))</f>
        <v/>
      </c>
      <c r="I1054" s="84" t="str">
        <f aca="false">IF(C1054="","",C1054*IF(Settings!$B$24=Settings!$C$6,1,IF(Settings!$B$24="USD",1/INDEX(Settings!$B$29:$B$40,MONTH(A1054)),INDEX(Settings!$B$29:$B$40,MONTH(A1054)))))</f>
        <v/>
      </c>
    </row>
    <row r="1055" customFormat="false" ht="15" hidden="false" customHeight="false" outlineLevel="0" collapsed="false">
      <c r="H1055" s="0" t="str">
        <f aca="false">IF(B1055="","",IF(COUNTIF(Campaigns!$A$7:$A$300,B1055)&gt;0,"✓","⚠ add to Campaigns tab"))</f>
        <v/>
      </c>
      <c r="I1055" s="84" t="str">
        <f aca="false">IF(C1055="","",C1055*IF(Settings!$B$24=Settings!$C$6,1,IF(Settings!$B$24="USD",1/INDEX(Settings!$B$29:$B$40,MONTH(A1055)),INDEX(Settings!$B$29:$B$40,MONTH(A1055)))))</f>
        <v/>
      </c>
    </row>
    <row r="1056" customFormat="false" ht="15" hidden="false" customHeight="false" outlineLevel="0" collapsed="false">
      <c r="H1056" s="0" t="str">
        <f aca="false">IF(B1056="","",IF(COUNTIF(Campaigns!$A$7:$A$300,B1056)&gt;0,"✓","⚠ add to Campaigns tab"))</f>
        <v/>
      </c>
      <c r="I1056" s="84" t="str">
        <f aca="false">IF(C1056="","",C1056*IF(Settings!$B$24=Settings!$C$6,1,IF(Settings!$B$24="USD",1/INDEX(Settings!$B$29:$B$40,MONTH(A1056)),INDEX(Settings!$B$29:$B$40,MONTH(A1056)))))</f>
        <v/>
      </c>
    </row>
    <row r="1057" customFormat="false" ht="15" hidden="false" customHeight="false" outlineLevel="0" collapsed="false">
      <c r="H1057" s="0" t="str">
        <f aca="false">IF(B1057="","",IF(COUNTIF(Campaigns!$A$7:$A$300,B1057)&gt;0,"✓","⚠ add to Campaigns tab"))</f>
        <v/>
      </c>
      <c r="I1057" s="84" t="str">
        <f aca="false">IF(C1057="","",C1057*IF(Settings!$B$24=Settings!$C$6,1,IF(Settings!$B$24="USD",1/INDEX(Settings!$B$29:$B$40,MONTH(A1057)),INDEX(Settings!$B$29:$B$40,MONTH(A1057)))))</f>
        <v/>
      </c>
    </row>
    <row r="1058" customFormat="false" ht="15" hidden="false" customHeight="false" outlineLevel="0" collapsed="false">
      <c r="H1058" s="0" t="str">
        <f aca="false">IF(B1058="","",IF(COUNTIF(Campaigns!$A$7:$A$300,B1058)&gt;0,"✓","⚠ add to Campaigns tab"))</f>
        <v/>
      </c>
      <c r="I1058" s="84" t="str">
        <f aca="false">IF(C1058="","",C1058*IF(Settings!$B$24=Settings!$C$6,1,IF(Settings!$B$24="USD",1/INDEX(Settings!$B$29:$B$40,MONTH(A1058)),INDEX(Settings!$B$29:$B$40,MONTH(A1058)))))</f>
        <v/>
      </c>
    </row>
    <row r="1059" customFormat="false" ht="15" hidden="false" customHeight="false" outlineLevel="0" collapsed="false">
      <c r="H1059" s="0" t="str">
        <f aca="false">IF(B1059="","",IF(COUNTIF(Campaigns!$A$7:$A$300,B1059)&gt;0,"✓","⚠ add to Campaigns tab"))</f>
        <v/>
      </c>
      <c r="I1059" s="84" t="str">
        <f aca="false">IF(C1059="","",C1059*IF(Settings!$B$24=Settings!$C$6,1,IF(Settings!$B$24="USD",1/INDEX(Settings!$B$29:$B$40,MONTH(A1059)),INDEX(Settings!$B$29:$B$40,MONTH(A1059)))))</f>
        <v/>
      </c>
    </row>
    <row r="1060" customFormat="false" ht="15" hidden="false" customHeight="false" outlineLevel="0" collapsed="false">
      <c r="H1060" s="0" t="str">
        <f aca="false">IF(B1060="","",IF(COUNTIF(Campaigns!$A$7:$A$300,B1060)&gt;0,"✓","⚠ add to Campaigns tab"))</f>
        <v/>
      </c>
      <c r="I1060" s="84" t="str">
        <f aca="false">IF(C1060="","",C1060*IF(Settings!$B$24=Settings!$C$6,1,IF(Settings!$B$24="USD",1/INDEX(Settings!$B$29:$B$40,MONTH(A1060)),INDEX(Settings!$B$29:$B$40,MONTH(A1060)))))</f>
        <v/>
      </c>
    </row>
    <row r="1061" customFormat="false" ht="15" hidden="false" customHeight="false" outlineLevel="0" collapsed="false">
      <c r="H1061" s="0" t="str">
        <f aca="false">IF(B1061="","",IF(COUNTIF(Campaigns!$A$7:$A$300,B1061)&gt;0,"✓","⚠ add to Campaigns tab"))</f>
        <v/>
      </c>
      <c r="I1061" s="84" t="str">
        <f aca="false">IF(C1061="","",C1061*IF(Settings!$B$24=Settings!$C$6,1,IF(Settings!$B$24="USD",1/INDEX(Settings!$B$29:$B$40,MONTH(A1061)),INDEX(Settings!$B$29:$B$40,MONTH(A1061)))))</f>
        <v/>
      </c>
    </row>
    <row r="1062" customFormat="false" ht="15" hidden="false" customHeight="false" outlineLevel="0" collapsed="false">
      <c r="H1062" s="0" t="str">
        <f aca="false">IF(B1062="","",IF(COUNTIF(Campaigns!$A$7:$A$300,B1062)&gt;0,"✓","⚠ add to Campaigns tab"))</f>
        <v/>
      </c>
      <c r="I1062" s="84" t="str">
        <f aca="false">IF(C1062="","",C1062*IF(Settings!$B$24=Settings!$C$6,1,IF(Settings!$B$24="USD",1/INDEX(Settings!$B$29:$B$40,MONTH(A1062)),INDEX(Settings!$B$29:$B$40,MONTH(A1062)))))</f>
        <v/>
      </c>
    </row>
    <row r="1063" customFormat="false" ht="15" hidden="false" customHeight="false" outlineLevel="0" collapsed="false">
      <c r="H1063" s="0" t="str">
        <f aca="false">IF(B1063="","",IF(COUNTIF(Campaigns!$A$7:$A$300,B1063)&gt;0,"✓","⚠ add to Campaigns tab"))</f>
        <v/>
      </c>
      <c r="I1063" s="84" t="str">
        <f aca="false">IF(C1063="","",C1063*IF(Settings!$B$24=Settings!$C$6,1,IF(Settings!$B$24="USD",1/INDEX(Settings!$B$29:$B$40,MONTH(A1063)),INDEX(Settings!$B$29:$B$40,MONTH(A1063)))))</f>
        <v/>
      </c>
    </row>
    <row r="1064" customFormat="false" ht="15" hidden="false" customHeight="false" outlineLevel="0" collapsed="false">
      <c r="H1064" s="0" t="str">
        <f aca="false">IF(B1064="","",IF(COUNTIF(Campaigns!$A$7:$A$300,B1064)&gt;0,"✓","⚠ add to Campaigns tab"))</f>
        <v/>
      </c>
      <c r="I1064" s="84" t="str">
        <f aca="false">IF(C1064="","",C1064*IF(Settings!$B$24=Settings!$C$6,1,IF(Settings!$B$24="USD",1/INDEX(Settings!$B$29:$B$40,MONTH(A1064)),INDEX(Settings!$B$29:$B$40,MONTH(A1064)))))</f>
        <v/>
      </c>
    </row>
    <row r="1065" customFormat="false" ht="15" hidden="false" customHeight="false" outlineLevel="0" collapsed="false">
      <c r="H1065" s="0" t="str">
        <f aca="false">IF(B1065="","",IF(COUNTIF(Campaigns!$A$7:$A$300,B1065)&gt;0,"✓","⚠ add to Campaigns tab"))</f>
        <v/>
      </c>
      <c r="I1065" s="84" t="str">
        <f aca="false">IF(C1065="","",C1065*IF(Settings!$B$24=Settings!$C$6,1,IF(Settings!$B$24="USD",1/INDEX(Settings!$B$29:$B$40,MONTH(A1065)),INDEX(Settings!$B$29:$B$40,MONTH(A1065)))))</f>
        <v/>
      </c>
    </row>
    <row r="1066" customFormat="false" ht="15" hidden="false" customHeight="false" outlineLevel="0" collapsed="false">
      <c r="H1066" s="0" t="str">
        <f aca="false">IF(B1066="","",IF(COUNTIF(Campaigns!$A$7:$A$300,B1066)&gt;0,"✓","⚠ add to Campaigns tab"))</f>
        <v/>
      </c>
      <c r="I1066" s="84" t="str">
        <f aca="false">IF(C1066="","",C1066*IF(Settings!$B$24=Settings!$C$6,1,IF(Settings!$B$24="USD",1/INDEX(Settings!$B$29:$B$40,MONTH(A1066)),INDEX(Settings!$B$29:$B$40,MONTH(A1066)))))</f>
        <v/>
      </c>
    </row>
    <row r="1067" customFormat="false" ht="15" hidden="false" customHeight="false" outlineLevel="0" collapsed="false">
      <c r="H1067" s="0" t="str">
        <f aca="false">IF(B1067="","",IF(COUNTIF(Campaigns!$A$7:$A$300,B1067)&gt;0,"✓","⚠ add to Campaigns tab"))</f>
        <v/>
      </c>
      <c r="I1067" s="84" t="str">
        <f aca="false">IF(C1067="","",C1067*IF(Settings!$B$24=Settings!$C$6,1,IF(Settings!$B$24="USD",1/INDEX(Settings!$B$29:$B$40,MONTH(A1067)),INDEX(Settings!$B$29:$B$40,MONTH(A1067)))))</f>
        <v/>
      </c>
    </row>
    <row r="1068" customFormat="false" ht="15" hidden="false" customHeight="false" outlineLevel="0" collapsed="false">
      <c r="H1068" s="0" t="str">
        <f aca="false">IF(B1068="","",IF(COUNTIF(Campaigns!$A$7:$A$300,B1068)&gt;0,"✓","⚠ add to Campaigns tab"))</f>
        <v/>
      </c>
      <c r="I1068" s="84" t="str">
        <f aca="false">IF(C1068="","",C1068*IF(Settings!$B$24=Settings!$C$6,1,IF(Settings!$B$24="USD",1/INDEX(Settings!$B$29:$B$40,MONTH(A1068)),INDEX(Settings!$B$29:$B$40,MONTH(A1068)))))</f>
        <v/>
      </c>
    </row>
    <row r="1069" customFormat="false" ht="15" hidden="false" customHeight="false" outlineLevel="0" collapsed="false">
      <c r="H1069" s="0" t="str">
        <f aca="false">IF(B1069="","",IF(COUNTIF(Campaigns!$A$7:$A$300,B1069)&gt;0,"✓","⚠ add to Campaigns tab"))</f>
        <v/>
      </c>
      <c r="I1069" s="84" t="str">
        <f aca="false">IF(C1069="","",C1069*IF(Settings!$B$24=Settings!$C$6,1,IF(Settings!$B$24="USD",1/INDEX(Settings!$B$29:$B$40,MONTH(A1069)),INDEX(Settings!$B$29:$B$40,MONTH(A1069)))))</f>
        <v/>
      </c>
    </row>
    <row r="1070" customFormat="false" ht="15" hidden="false" customHeight="false" outlineLevel="0" collapsed="false">
      <c r="H1070" s="0" t="str">
        <f aca="false">IF(B1070="","",IF(COUNTIF(Campaigns!$A$7:$A$300,B1070)&gt;0,"✓","⚠ add to Campaigns tab"))</f>
        <v/>
      </c>
      <c r="I1070" s="84" t="str">
        <f aca="false">IF(C1070="","",C1070*IF(Settings!$B$24=Settings!$C$6,1,IF(Settings!$B$24="USD",1/INDEX(Settings!$B$29:$B$40,MONTH(A1070)),INDEX(Settings!$B$29:$B$40,MONTH(A1070)))))</f>
        <v/>
      </c>
    </row>
    <row r="1071" customFormat="false" ht="15" hidden="false" customHeight="false" outlineLevel="0" collapsed="false">
      <c r="H1071" s="0" t="str">
        <f aca="false">IF(B1071="","",IF(COUNTIF(Campaigns!$A$7:$A$300,B1071)&gt;0,"✓","⚠ add to Campaigns tab"))</f>
        <v/>
      </c>
      <c r="I1071" s="84" t="str">
        <f aca="false">IF(C1071="","",C1071*IF(Settings!$B$24=Settings!$C$6,1,IF(Settings!$B$24="USD",1/INDEX(Settings!$B$29:$B$40,MONTH(A1071)),INDEX(Settings!$B$29:$B$40,MONTH(A1071)))))</f>
        <v/>
      </c>
    </row>
    <row r="1072" customFormat="false" ht="15" hidden="false" customHeight="false" outlineLevel="0" collapsed="false">
      <c r="H1072" s="0" t="str">
        <f aca="false">IF(B1072="","",IF(COUNTIF(Campaigns!$A$7:$A$300,B1072)&gt;0,"✓","⚠ add to Campaigns tab"))</f>
        <v/>
      </c>
      <c r="I1072" s="84" t="str">
        <f aca="false">IF(C1072="","",C1072*IF(Settings!$B$24=Settings!$C$6,1,IF(Settings!$B$24="USD",1/INDEX(Settings!$B$29:$B$40,MONTH(A1072)),INDEX(Settings!$B$29:$B$40,MONTH(A1072)))))</f>
        <v/>
      </c>
    </row>
    <row r="1073" customFormat="false" ht="15" hidden="false" customHeight="false" outlineLevel="0" collapsed="false">
      <c r="H1073" s="0" t="str">
        <f aca="false">IF(B1073="","",IF(COUNTIF(Campaigns!$A$7:$A$300,B1073)&gt;0,"✓","⚠ add to Campaigns tab"))</f>
        <v/>
      </c>
      <c r="I1073" s="84" t="str">
        <f aca="false">IF(C1073="","",C1073*IF(Settings!$B$24=Settings!$C$6,1,IF(Settings!$B$24="USD",1/INDEX(Settings!$B$29:$B$40,MONTH(A1073)),INDEX(Settings!$B$29:$B$40,MONTH(A1073)))))</f>
        <v/>
      </c>
    </row>
    <row r="1074" customFormat="false" ht="15" hidden="false" customHeight="false" outlineLevel="0" collapsed="false">
      <c r="H1074" s="0" t="str">
        <f aca="false">IF(B1074="","",IF(COUNTIF(Campaigns!$A$7:$A$300,B1074)&gt;0,"✓","⚠ add to Campaigns tab"))</f>
        <v/>
      </c>
      <c r="I1074" s="84" t="str">
        <f aca="false">IF(C1074="","",C1074*IF(Settings!$B$24=Settings!$C$6,1,IF(Settings!$B$24="USD",1/INDEX(Settings!$B$29:$B$40,MONTH(A1074)),INDEX(Settings!$B$29:$B$40,MONTH(A1074)))))</f>
        <v/>
      </c>
    </row>
    <row r="1075" customFormat="false" ht="15" hidden="false" customHeight="false" outlineLevel="0" collapsed="false">
      <c r="H1075" s="0" t="str">
        <f aca="false">IF(B1075="","",IF(COUNTIF(Campaigns!$A$7:$A$300,B1075)&gt;0,"✓","⚠ add to Campaigns tab"))</f>
        <v/>
      </c>
      <c r="I1075" s="84" t="str">
        <f aca="false">IF(C1075="","",C1075*IF(Settings!$B$24=Settings!$C$6,1,IF(Settings!$B$24="USD",1/INDEX(Settings!$B$29:$B$40,MONTH(A1075)),INDEX(Settings!$B$29:$B$40,MONTH(A1075)))))</f>
        <v/>
      </c>
    </row>
    <row r="1076" customFormat="false" ht="15" hidden="false" customHeight="false" outlineLevel="0" collapsed="false">
      <c r="H1076" s="0" t="str">
        <f aca="false">IF(B1076="","",IF(COUNTIF(Campaigns!$A$7:$A$300,B1076)&gt;0,"✓","⚠ add to Campaigns tab"))</f>
        <v/>
      </c>
      <c r="I1076" s="84" t="str">
        <f aca="false">IF(C1076="","",C1076*IF(Settings!$B$24=Settings!$C$6,1,IF(Settings!$B$24="USD",1/INDEX(Settings!$B$29:$B$40,MONTH(A1076)),INDEX(Settings!$B$29:$B$40,MONTH(A1076)))))</f>
        <v/>
      </c>
    </row>
    <row r="1077" customFormat="false" ht="15" hidden="false" customHeight="false" outlineLevel="0" collapsed="false">
      <c r="H1077" s="0" t="str">
        <f aca="false">IF(B1077="","",IF(COUNTIF(Campaigns!$A$7:$A$300,B1077)&gt;0,"✓","⚠ add to Campaigns tab"))</f>
        <v/>
      </c>
      <c r="I1077" s="84" t="str">
        <f aca="false">IF(C1077="","",C1077*IF(Settings!$B$24=Settings!$C$6,1,IF(Settings!$B$24="USD",1/INDEX(Settings!$B$29:$B$40,MONTH(A1077)),INDEX(Settings!$B$29:$B$40,MONTH(A1077)))))</f>
        <v/>
      </c>
    </row>
    <row r="1078" customFormat="false" ht="15" hidden="false" customHeight="false" outlineLevel="0" collapsed="false">
      <c r="H1078" s="0" t="str">
        <f aca="false">IF(B1078="","",IF(COUNTIF(Campaigns!$A$7:$A$300,B1078)&gt;0,"✓","⚠ add to Campaigns tab"))</f>
        <v/>
      </c>
      <c r="I1078" s="84" t="str">
        <f aca="false">IF(C1078="","",C1078*IF(Settings!$B$24=Settings!$C$6,1,IF(Settings!$B$24="USD",1/INDEX(Settings!$B$29:$B$40,MONTH(A1078)),INDEX(Settings!$B$29:$B$40,MONTH(A1078)))))</f>
        <v/>
      </c>
    </row>
    <row r="1079" customFormat="false" ht="15" hidden="false" customHeight="false" outlineLevel="0" collapsed="false">
      <c r="H1079" s="0" t="str">
        <f aca="false">IF(B1079="","",IF(COUNTIF(Campaigns!$A$7:$A$300,B1079)&gt;0,"✓","⚠ add to Campaigns tab"))</f>
        <v/>
      </c>
      <c r="I1079" s="84" t="str">
        <f aca="false">IF(C1079="","",C1079*IF(Settings!$B$24=Settings!$C$6,1,IF(Settings!$B$24="USD",1/INDEX(Settings!$B$29:$B$40,MONTH(A1079)),INDEX(Settings!$B$29:$B$40,MONTH(A1079)))))</f>
        <v/>
      </c>
    </row>
    <row r="1080" customFormat="false" ht="15" hidden="false" customHeight="false" outlineLevel="0" collapsed="false">
      <c r="H1080" s="0" t="str">
        <f aca="false">IF(B1080="","",IF(COUNTIF(Campaigns!$A$7:$A$300,B1080)&gt;0,"✓","⚠ add to Campaigns tab"))</f>
        <v/>
      </c>
      <c r="I1080" s="84" t="str">
        <f aca="false">IF(C1080="","",C1080*IF(Settings!$B$24=Settings!$C$6,1,IF(Settings!$B$24="USD",1/INDEX(Settings!$B$29:$B$40,MONTH(A1080)),INDEX(Settings!$B$29:$B$40,MONTH(A1080)))))</f>
        <v/>
      </c>
    </row>
    <row r="1081" customFormat="false" ht="15" hidden="false" customHeight="false" outlineLevel="0" collapsed="false">
      <c r="H1081" s="0" t="str">
        <f aca="false">IF(B1081="","",IF(COUNTIF(Campaigns!$A$7:$A$300,B1081)&gt;0,"✓","⚠ add to Campaigns tab"))</f>
        <v/>
      </c>
      <c r="I1081" s="84" t="str">
        <f aca="false">IF(C1081="","",C1081*IF(Settings!$B$24=Settings!$C$6,1,IF(Settings!$B$24="USD",1/INDEX(Settings!$B$29:$B$40,MONTH(A1081)),INDEX(Settings!$B$29:$B$40,MONTH(A1081)))))</f>
        <v/>
      </c>
    </row>
    <row r="1082" customFormat="false" ht="15" hidden="false" customHeight="false" outlineLevel="0" collapsed="false">
      <c r="H1082" s="0" t="str">
        <f aca="false">IF(B1082="","",IF(COUNTIF(Campaigns!$A$7:$A$300,B1082)&gt;0,"✓","⚠ add to Campaigns tab"))</f>
        <v/>
      </c>
      <c r="I1082" s="84" t="str">
        <f aca="false">IF(C1082="","",C1082*IF(Settings!$B$24=Settings!$C$6,1,IF(Settings!$B$24="USD",1/INDEX(Settings!$B$29:$B$40,MONTH(A1082)),INDEX(Settings!$B$29:$B$40,MONTH(A1082)))))</f>
        <v/>
      </c>
    </row>
    <row r="1083" customFormat="false" ht="15" hidden="false" customHeight="false" outlineLevel="0" collapsed="false">
      <c r="H1083" s="0" t="str">
        <f aca="false">IF(B1083="","",IF(COUNTIF(Campaigns!$A$7:$A$300,B1083)&gt;0,"✓","⚠ add to Campaigns tab"))</f>
        <v/>
      </c>
      <c r="I1083" s="84" t="str">
        <f aca="false">IF(C1083="","",C1083*IF(Settings!$B$24=Settings!$C$6,1,IF(Settings!$B$24="USD",1/INDEX(Settings!$B$29:$B$40,MONTH(A1083)),INDEX(Settings!$B$29:$B$40,MONTH(A1083)))))</f>
        <v/>
      </c>
    </row>
    <row r="1084" customFormat="false" ht="15" hidden="false" customHeight="false" outlineLevel="0" collapsed="false">
      <c r="H1084" s="0" t="str">
        <f aca="false">IF(B1084="","",IF(COUNTIF(Campaigns!$A$7:$A$300,B1084)&gt;0,"✓","⚠ add to Campaigns tab"))</f>
        <v/>
      </c>
      <c r="I1084" s="84" t="str">
        <f aca="false">IF(C1084="","",C1084*IF(Settings!$B$24=Settings!$C$6,1,IF(Settings!$B$24="USD",1/INDEX(Settings!$B$29:$B$40,MONTH(A1084)),INDEX(Settings!$B$29:$B$40,MONTH(A1084)))))</f>
        <v/>
      </c>
    </row>
    <row r="1085" customFormat="false" ht="15" hidden="false" customHeight="false" outlineLevel="0" collapsed="false">
      <c r="H1085" s="0" t="str">
        <f aca="false">IF(B1085="","",IF(COUNTIF(Campaigns!$A$7:$A$300,B1085)&gt;0,"✓","⚠ add to Campaigns tab"))</f>
        <v/>
      </c>
      <c r="I1085" s="84" t="str">
        <f aca="false">IF(C1085="","",C1085*IF(Settings!$B$24=Settings!$C$6,1,IF(Settings!$B$24="USD",1/INDEX(Settings!$B$29:$B$40,MONTH(A1085)),INDEX(Settings!$B$29:$B$40,MONTH(A1085)))))</f>
        <v/>
      </c>
    </row>
    <row r="1086" customFormat="false" ht="15" hidden="false" customHeight="false" outlineLevel="0" collapsed="false">
      <c r="H1086" s="0" t="str">
        <f aca="false">IF(B1086="","",IF(COUNTIF(Campaigns!$A$7:$A$300,B1086)&gt;0,"✓","⚠ add to Campaigns tab"))</f>
        <v/>
      </c>
      <c r="I1086" s="84" t="str">
        <f aca="false">IF(C1086="","",C1086*IF(Settings!$B$24=Settings!$C$6,1,IF(Settings!$B$24="USD",1/INDEX(Settings!$B$29:$B$40,MONTH(A1086)),INDEX(Settings!$B$29:$B$40,MONTH(A1086)))))</f>
        <v/>
      </c>
    </row>
    <row r="1087" customFormat="false" ht="15" hidden="false" customHeight="false" outlineLevel="0" collapsed="false">
      <c r="H1087" s="0" t="str">
        <f aca="false">IF(B1087="","",IF(COUNTIF(Campaigns!$A$7:$A$300,B1087)&gt;0,"✓","⚠ add to Campaigns tab"))</f>
        <v/>
      </c>
      <c r="I1087" s="84" t="str">
        <f aca="false">IF(C1087="","",C1087*IF(Settings!$B$24=Settings!$C$6,1,IF(Settings!$B$24="USD",1/INDEX(Settings!$B$29:$B$40,MONTH(A1087)),INDEX(Settings!$B$29:$B$40,MONTH(A1087)))))</f>
        <v/>
      </c>
    </row>
    <row r="1088" customFormat="false" ht="15" hidden="false" customHeight="false" outlineLevel="0" collapsed="false">
      <c r="H1088" s="0" t="str">
        <f aca="false">IF(B1088="","",IF(COUNTIF(Campaigns!$A$7:$A$300,B1088)&gt;0,"✓","⚠ add to Campaigns tab"))</f>
        <v/>
      </c>
      <c r="I1088" s="84" t="str">
        <f aca="false">IF(C1088="","",C1088*IF(Settings!$B$24=Settings!$C$6,1,IF(Settings!$B$24="USD",1/INDEX(Settings!$B$29:$B$40,MONTH(A1088)),INDEX(Settings!$B$29:$B$40,MONTH(A1088)))))</f>
        <v/>
      </c>
    </row>
    <row r="1089" customFormat="false" ht="15" hidden="false" customHeight="false" outlineLevel="0" collapsed="false">
      <c r="H1089" s="0" t="str">
        <f aca="false">IF(B1089="","",IF(COUNTIF(Campaigns!$A$7:$A$300,B1089)&gt;0,"✓","⚠ add to Campaigns tab"))</f>
        <v/>
      </c>
      <c r="I1089" s="84" t="str">
        <f aca="false">IF(C1089="","",C1089*IF(Settings!$B$24=Settings!$C$6,1,IF(Settings!$B$24="USD",1/INDEX(Settings!$B$29:$B$40,MONTH(A1089)),INDEX(Settings!$B$29:$B$40,MONTH(A1089)))))</f>
        <v/>
      </c>
    </row>
    <row r="1090" customFormat="false" ht="15" hidden="false" customHeight="false" outlineLevel="0" collapsed="false">
      <c r="H1090" s="0" t="str">
        <f aca="false">IF(B1090="","",IF(COUNTIF(Campaigns!$A$7:$A$300,B1090)&gt;0,"✓","⚠ add to Campaigns tab"))</f>
        <v/>
      </c>
      <c r="I1090" s="84" t="str">
        <f aca="false">IF(C1090="","",C1090*IF(Settings!$B$24=Settings!$C$6,1,IF(Settings!$B$24="USD",1/INDEX(Settings!$B$29:$B$40,MONTH(A1090)),INDEX(Settings!$B$29:$B$40,MONTH(A1090)))))</f>
        <v/>
      </c>
    </row>
    <row r="1091" customFormat="false" ht="15" hidden="false" customHeight="false" outlineLevel="0" collapsed="false">
      <c r="H1091" s="0" t="str">
        <f aca="false">IF(B1091="","",IF(COUNTIF(Campaigns!$A$7:$A$300,B1091)&gt;0,"✓","⚠ add to Campaigns tab"))</f>
        <v/>
      </c>
      <c r="I1091" s="84" t="str">
        <f aca="false">IF(C1091="","",C1091*IF(Settings!$B$24=Settings!$C$6,1,IF(Settings!$B$24="USD",1/INDEX(Settings!$B$29:$B$40,MONTH(A1091)),INDEX(Settings!$B$29:$B$40,MONTH(A1091)))))</f>
        <v/>
      </c>
    </row>
    <row r="1092" customFormat="false" ht="15" hidden="false" customHeight="false" outlineLevel="0" collapsed="false">
      <c r="H1092" s="0" t="str">
        <f aca="false">IF(B1092="","",IF(COUNTIF(Campaigns!$A$7:$A$300,B1092)&gt;0,"✓","⚠ add to Campaigns tab"))</f>
        <v/>
      </c>
      <c r="I1092" s="84" t="str">
        <f aca="false">IF(C1092="","",C1092*IF(Settings!$B$24=Settings!$C$6,1,IF(Settings!$B$24="USD",1/INDEX(Settings!$B$29:$B$40,MONTH(A1092)),INDEX(Settings!$B$29:$B$40,MONTH(A1092)))))</f>
        <v/>
      </c>
    </row>
    <row r="1093" customFormat="false" ht="15" hidden="false" customHeight="false" outlineLevel="0" collapsed="false">
      <c r="H1093" s="0" t="str">
        <f aca="false">IF(B1093="","",IF(COUNTIF(Campaigns!$A$7:$A$300,B1093)&gt;0,"✓","⚠ add to Campaigns tab"))</f>
        <v/>
      </c>
      <c r="I1093" s="84" t="str">
        <f aca="false">IF(C1093="","",C1093*IF(Settings!$B$24=Settings!$C$6,1,IF(Settings!$B$24="USD",1/INDEX(Settings!$B$29:$B$40,MONTH(A1093)),INDEX(Settings!$B$29:$B$40,MONTH(A1093)))))</f>
        <v/>
      </c>
    </row>
    <row r="1094" customFormat="false" ht="15" hidden="false" customHeight="false" outlineLevel="0" collapsed="false">
      <c r="H1094" s="0" t="str">
        <f aca="false">IF(B1094="","",IF(COUNTIF(Campaigns!$A$7:$A$300,B1094)&gt;0,"✓","⚠ add to Campaigns tab"))</f>
        <v/>
      </c>
      <c r="I1094" s="84" t="str">
        <f aca="false">IF(C1094="","",C1094*IF(Settings!$B$24=Settings!$C$6,1,IF(Settings!$B$24="USD",1/INDEX(Settings!$B$29:$B$40,MONTH(A1094)),INDEX(Settings!$B$29:$B$40,MONTH(A1094)))))</f>
        <v/>
      </c>
    </row>
    <row r="1095" customFormat="false" ht="15" hidden="false" customHeight="false" outlineLevel="0" collapsed="false">
      <c r="H1095" s="0" t="str">
        <f aca="false">IF(B1095="","",IF(COUNTIF(Campaigns!$A$7:$A$300,B1095)&gt;0,"✓","⚠ add to Campaigns tab"))</f>
        <v/>
      </c>
      <c r="I1095" s="84" t="str">
        <f aca="false">IF(C1095="","",C1095*IF(Settings!$B$24=Settings!$C$6,1,IF(Settings!$B$24="USD",1/INDEX(Settings!$B$29:$B$40,MONTH(A1095)),INDEX(Settings!$B$29:$B$40,MONTH(A1095)))))</f>
        <v/>
      </c>
    </row>
    <row r="1096" customFormat="false" ht="15" hidden="false" customHeight="false" outlineLevel="0" collapsed="false">
      <c r="H1096" s="0" t="str">
        <f aca="false">IF(B1096="","",IF(COUNTIF(Campaigns!$A$7:$A$300,B1096)&gt;0,"✓","⚠ add to Campaigns tab"))</f>
        <v/>
      </c>
      <c r="I1096" s="84" t="str">
        <f aca="false">IF(C1096="","",C1096*IF(Settings!$B$24=Settings!$C$6,1,IF(Settings!$B$24="USD",1/INDEX(Settings!$B$29:$B$40,MONTH(A1096)),INDEX(Settings!$B$29:$B$40,MONTH(A1096)))))</f>
        <v/>
      </c>
    </row>
    <row r="1097" customFormat="false" ht="15" hidden="false" customHeight="false" outlineLevel="0" collapsed="false">
      <c r="H1097" s="0" t="str">
        <f aca="false">IF(B1097="","",IF(COUNTIF(Campaigns!$A$7:$A$300,B1097)&gt;0,"✓","⚠ add to Campaigns tab"))</f>
        <v/>
      </c>
      <c r="I1097" s="84" t="str">
        <f aca="false">IF(C1097="","",C1097*IF(Settings!$B$24=Settings!$C$6,1,IF(Settings!$B$24="USD",1/INDEX(Settings!$B$29:$B$40,MONTH(A1097)),INDEX(Settings!$B$29:$B$40,MONTH(A1097)))))</f>
        <v/>
      </c>
    </row>
    <row r="1098" customFormat="false" ht="15" hidden="false" customHeight="false" outlineLevel="0" collapsed="false">
      <c r="H1098" s="0" t="str">
        <f aca="false">IF(B1098="","",IF(COUNTIF(Campaigns!$A$7:$A$300,B1098)&gt;0,"✓","⚠ add to Campaigns tab"))</f>
        <v/>
      </c>
      <c r="I1098" s="84" t="str">
        <f aca="false">IF(C1098="","",C1098*IF(Settings!$B$24=Settings!$C$6,1,IF(Settings!$B$24="USD",1/INDEX(Settings!$B$29:$B$40,MONTH(A1098)),INDEX(Settings!$B$29:$B$40,MONTH(A1098)))))</f>
        <v/>
      </c>
    </row>
    <row r="1099" customFormat="false" ht="15" hidden="false" customHeight="false" outlineLevel="0" collapsed="false">
      <c r="H1099" s="0" t="str">
        <f aca="false">IF(B1099="","",IF(COUNTIF(Campaigns!$A$7:$A$300,B1099)&gt;0,"✓","⚠ add to Campaigns tab"))</f>
        <v/>
      </c>
      <c r="I1099" s="84" t="str">
        <f aca="false">IF(C1099="","",C1099*IF(Settings!$B$24=Settings!$C$6,1,IF(Settings!$B$24="USD",1/INDEX(Settings!$B$29:$B$40,MONTH(A1099)),INDEX(Settings!$B$29:$B$40,MONTH(A1099)))))</f>
        <v/>
      </c>
    </row>
    <row r="1100" customFormat="false" ht="15" hidden="false" customHeight="false" outlineLevel="0" collapsed="false">
      <c r="H1100" s="0" t="str">
        <f aca="false">IF(B1100="","",IF(COUNTIF(Campaigns!$A$7:$A$300,B1100)&gt;0,"✓","⚠ add to Campaigns tab"))</f>
        <v/>
      </c>
      <c r="I1100" s="84" t="str">
        <f aca="false">IF(C1100="","",C1100*IF(Settings!$B$24=Settings!$C$6,1,IF(Settings!$B$24="USD",1/INDEX(Settings!$B$29:$B$40,MONTH(A1100)),INDEX(Settings!$B$29:$B$40,MONTH(A1100)))))</f>
        <v/>
      </c>
    </row>
    <row r="1101" customFormat="false" ht="15" hidden="false" customHeight="false" outlineLevel="0" collapsed="false">
      <c r="H1101" s="0" t="str">
        <f aca="false">IF(B1101="","",IF(COUNTIF(Campaigns!$A$7:$A$300,B1101)&gt;0,"✓","⚠ add to Campaigns tab"))</f>
        <v/>
      </c>
      <c r="I1101" s="84" t="str">
        <f aca="false">IF(C1101="","",C1101*IF(Settings!$B$24=Settings!$C$6,1,IF(Settings!$B$24="USD",1/INDEX(Settings!$B$29:$B$40,MONTH(A1101)),INDEX(Settings!$B$29:$B$40,MONTH(A1101)))))</f>
        <v/>
      </c>
    </row>
    <row r="1102" customFormat="false" ht="15" hidden="false" customHeight="false" outlineLevel="0" collapsed="false">
      <c r="H1102" s="0" t="str">
        <f aca="false">IF(B1102="","",IF(COUNTIF(Campaigns!$A$7:$A$300,B1102)&gt;0,"✓","⚠ add to Campaigns tab"))</f>
        <v/>
      </c>
      <c r="I1102" s="84" t="str">
        <f aca="false">IF(C1102="","",C1102*IF(Settings!$B$24=Settings!$C$6,1,IF(Settings!$B$24="USD",1/INDEX(Settings!$B$29:$B$40,MONTH(A1102)),INDEX(Settings!$B$29:$B$40,MONTH(A1102)))))</f>
        <v/>
      </c>
    </row>
    <row r="1103" customFormat="false" ht="15" hidden="false" customHeight="false" outlineLevel="0" collapsed="false">
      <c r="H1103" s="0" t="str">
        <f aca="false">IF(B1103="","",IF(COUNTIF(Campaigns!$A$7:$A$300,B1103)&gt;0,"✓","⚠ add to Campaigns tab"))</f>
        <v/>
      </c>
      <c r="I1103" s="84" t="str">
        <f aca="false">IF(C1103="","",C1103*IF(Settings!$B$24=Settings!$C$6,1,IF(Settings!$B$24="USD",1/INDEX(Settings!$B$29:$B$40,MONTH(A1103)),INDEX(Settings!$B$29:$B$40,MONTH(A1103)))))</f>
        <v/>
      </c>
    </row>
    <row r="1104" customFormat="false" ht="15" hidden="false" customHeight="false" outlineLevel="0" collapsed="false">
      <c r="H1104" s="0" t="str">
        <f aca="false">IF(B1104="","",IF(COUNTIF(Campaigns!$A$7:$A$300,B1104)&gt;0,"✓","⚠ add to Campaigns tab"))</f>
        <v/>
      </c>
      <c r="I1104" s="84" t="str">
        <f aca="false">IF(C1104="","",C1104*IF(Settings!$B$24=Settings!$C$6,1,IF(Settings!$B$24="USD",1/INDEX(Settings!$B$29:$B$40,MONTH(A1104)),INDEX(Settings!$B$29:$B$40,MONTH(A1104)))))</f>
        <v/>
      </c>
    </row>
    <row r="1105" customFormat="false" ht="15" hidden="false" customHeight="false" outlineLevel="0" collapsed="false">
      <c r="H1105" s="0" t="str">
        <f aca="false">IF(B1105="","",IF(COUNTIF(Campaigns!$A$7:$A$300,B1105)&gt;0,"✓","⚠ add to Campaigns tab"))</f>
        <v/>
      </c>
      <c r="I1105" s="84" t="str">
        <f aca="false">IF(C1105="","",C1105*IF(Settings!$B$24=Settings!$C$6,1,IF(Settings!$B$24="USD",1/INDEX(Settings!$B$29:$B$40,MONTH(A1105)),INDEX(Settings!$B$29:$B$40,MONTH(A1105)))))</f>
        <v/>
      </c>
    </row>
    <row r="1106" customFormat="false" ht="15" hidden="false" customHeight="false" outlineLevel="0" collapsed="false">
      <c r="H1106" s="0" t="str">
        <f aca="false">IF(B1106="","",IF(COUNTIF(Campaigns!$A$7:$A$300,B1106)&gt;0,"✓","⚠ add to Campaigns tab"))</f>
        <v/>
      </c>
      <c r="I1106" s="84" t="str">
        <f aca="false">IF(C1106="","",C1106*IF(Settings!$B$24=Settings!$C$6,1,IF(Settings!$B$24="USD",1/INDEX(Settings!$B$29:$B$40,MONTH(A1106)),INDEX(Settings!$B$29:$B$40,MONTH(A1106)))))</f>
        <v/>
      </c>
    </row>
    <row r="1107" customFormat="false" ht="15" hidden="false" customHeight="false" outlineLevel="0" collapsed="false">
      <c r="H1107" s="0" t="str">
        <f aca="false">IF(B1107="","",IF(COUNTIF(Campaigns!$A$7:$A$300,B1107)&gt;0,"✓","⚠ add to Campaigns tab"))</f>
        <v/>
      </c>
      <c r="I1107" s="84" t="str">
        <f aca="false">IF(C1107="","",C1107*IF(Settings!$B$24=Settings!$C$6,1,IF(Settings!$B$24="USD",1/INDEX(Settings!$B$29:$B$40,MONTH(A1107)),INDEX(Settings!$B$29:$B$40,MONTH(A1107)))))</f>
        <v/>
      </c>
    </row>
    <row r="1108" customFormat="false" ht="15" hidden="false" customHeight="false" outlineLevel="0" collapsed="false">
      <c r="H1108" s="0" t="str">
        <f aca="false">IF(B1108="","",IF(COUNTIF(Campaigns!$A$7:$A$300,B1108)&gt;0,"✓","⚠ add to Campaigns tab"))</f>
        <v/>
      </c>
      <c r="I1108" s="84" t="str">
        <f aca="false">IF(C1108="","",C1108*IF(Settings!$B$24=Settings!$C$6,1,IF(Settings!$B$24="USD",1/INDEX(Settings!$B$29:$B$40,MONTH(A1108)),INDEX(Settings!$B$29:$B$40,MONTH(A1108)))))</f>
        <v/>
      </c>
    </row>
    <row r="1109" customFormat="false" ht="15" hidden="false" customHeight="false" outlineLevel="0" collapsed="false">
      <c r="H1109" s="0" t="str">
        <f aca="false">IF(B1109="","",IF(COUNTIF(Campaigns!$A$7:$A$300,B1109)&gt;0,"✓","⚠ add to Campaigns tab"))</f>
        <v/>
      </c>
      <c r="I1109" s="84" t="str">
        <f aca="false">IF(C1109="","",C1109*IF(Settings!$B$24=Settings!$C$6,1,IF(Settings!$B$24="USD",1/INDEX(Settings!$B$29:$B$40,MONTH(A1109)),INDEX(Settings!$B$29:$B$40,MONTH(A1109)))))</f>
        <v/>
      </c>
    </row>
    <row r="1110" customFormat="false" ht="15" hidden="false" customHeight="false" outlineLevel="0" collapsed="false">
      <c r="H1110" s="0" t="str">
        <f aca="false">IF(B1110="","",IF(COUNTIF(Campaigns!$A$7:$A$300,B1110)&gt;0,"✓","⚠ add to Campaigns tab"))</f>
        <v/>
      </c>
      <c r="I1110" s="84" t="str">
        <f aca="false">IF(C1110="","",C1110*IF(Settings!$B$24=Settings!$C$6,1,IF(Settings!$B$24="USD",1/INDEX(Settings!$B$29:$B$40,MONTH(A1110)),INDEX(Settings!$B$29:$B$40,MONTH(A1110)))))</f>
        <v/>
      </c>
    </row>
    <row r="1111" customFormat="false" ht="15" hidden="false" customHeight="false" outlineLevel="0" collapsed="false">
      <c r="H1111" s="0" t="str">
        <f aca="false">IF(B1111="","",IF(COUNTIF(Campaigns!$A$7:$A$300,B1111)&gt;0,"✓","⚠ add to Campaigns tab"))</f>
        <v/>
      </c>
      <c r="I1111" s="84" t="str">
        <f aca="false">IF(C1111="","",C1111*IF(Settings!$B$24=Settings!$C$6,1,IF(Settings!$B$24="USD",1/INDEX(Settings!$B$29:$B$40,MONTH(A1111)),INDEX(Settings!$B$29:$B$40,MONTH(A1111)))))</f>
        <v/>
      </c>
    </row>
    <row r="1112" customFormat="false" ht="15" hidden="false" customHeight="false" outlineLevel="0" collapsed="false">
      <c r="H1112" s="0" t="str">
        <f aca="false">IF(B1112="","",IF(COUNTIF(Campaigns!$A$7:$A$300,B1112)&gt;0,"✓","⚠ add to Campaigns tab"))</f>
        <v/>
      </c>
      <c r="I1112" s="84" t="str">
        <f aca="false">IF(C1112="","",C1112*IF(Settings!$B$24=Settings!$C$6,1,IF(Settings!$B$24="USD",1/INDEX(Settings!$B$29:$B$40,MONTH(A1112)),INDEX(Settings!$B$29:$B$40,MONTH(A1112)))))</f>
        <v/>
      </c>
    </row>
    <row r="1113" customFormat="false" ht="15" hidden="false" customHeight="false" outlineLevel="0" collapsed="false">
      <c r="H1113" s="0" t="str">
        <f aca="false">IF(B1113="","",IF(COUNTIF(Campaigns!$A$7:$A$300,B1113)&gt;0,"✓","⚠ add to Campaigns tab"))</f>
        <v/>
      </c>
      <c r="I1113" s="84" t="str">
        <f aca="false">IF(C1113="","",C1113*IF(Settings!$B$24=Settings!$C$6,1,IF(Settings!$B$24="USD",1/INDEX(Settings!$B$29:$B$40,MONTH(A1113)),INDEX(Settings!$B$29:$B$40,MONTH(A1113)))))</f>
        <v/>
      </c>
    </row>
    <row r="1114" customFormat="false" ht="15" hidden="false" customHeight="false" outlineLevel="0" collapsed="false">
      <c r="H1114" s="0" t="str">
        <f aca="false">IF(B1114="","",IF(COUNTIF(Campaigns!$A$7:$A$300,B1114)&gt;0,"✓","⚠ add to Campaigns tab"))</f>
        <v/>
      </c>
      <c r="I1114" s="84" t="str">
        <f aca="false">IF(C1114="","",C1114*IF(Settings!$B$24=Settings!$C$6,1,IF(Settings!$B$24="USD",1/INDEX(Settings!$B$29:$B$40,MONTH(A1114)),INDEX(Settings!$B$29:$B$40,MONTH(A1114)))))</f>
        <v/>
      </c>
    </row>
    <row r="1115" customFormat="false" ht="15" hidden="false" customHeight="false" outlineLevel="0" collapsed="false">
      <c r="H1115" s="0" t="str">
        <f aca="false">IF(B1115="","",IF(COUNTIF(Campaigns!$A$7:$A$300,B1115)&gt;0,"✓","⚠ add to Campaigns tab"))</f>
        <v/>
      </c>
      <c r="I1115" s="84" t="str">
        <f aca="false">IF(C1115="","",C1115*IF(Settings!$B$24=Settings!$C$6,1,IF(Settings!$B$24="USD",1/INDEX(Settings!$B$29:$B$40,MONTH(A1115)),INDEX(Settings!$B$29:$B$40,MONTH(A1115)))))</f>
        <v/>
      </c>
    </row>
    <row r="1116" customFormat="false" ht="15" hidden="false" customHeight="false" outlineLevel="0" collapsed="false">
      <c r="H1116" s="0" t="str">
        <f aca="false">IF(B1116="","",IF(COUNTIF(Campaigns!$A$7:$A$300,B1116)&gt;0,"✓","⚠ add to Campaigns tab"))</f>
        <v/>
      </c>
      <c r="I1116" s="84" t="str">
        <f aca="false">IF(C1116="","",C1116*IF(Settings!$B$24=Settings!$C$6,1,IF(Settings!$B$24="USD",1/INDEX(Settings!$B$29:$B$40,MONTH(A1116)),INDEX(Settings!$B$29:$B$40,MONTH(A1116)))))</f>
        <v/>
      </c>
    </row>
    <row r="1117" customFormat="false" ht="15" hidden="false" customHeight="false" outlineLevel="0" collapsed="false">
      <c r="H1117" s="0" t="str">
        <f aca="false">IF(B1117="","",IF(COUNTIF(Campaigns!$A$7:$A$300,B1117)&gt;0,"✓","⚠ add to Campaigns tab"))</f>
        <v/>
      </c>
      <c r="I1117" s="84" t="str">
        <f aca="false">IF(C1117="","",C1117*IF(Settings!$B$24=Settings!$C$6,1,IF(Settings!$B$24="USD",1/INDEX(Settings!$B$29:$B$40,MONTH(A1117)),INDEX(Settings!$B$29:$B$40,MONTH(A1117)))))</f>
        <v/>
      </c>
    </row>
    <row r="1118" customFormat="false" ht="15" hidden="false" customHeight="false" outlineLevel="0" collapsed="false">
      <c r="H1118" s="0" t="str">
        <f aca="false">IF(B1118="","",IF(COUNTIF(Campaigns!$A$7:$A$300,B1118)&gt;0,"✓","⚠ add to Campaigns tab"))</f>
        <v/>
      </c>
      <c r="I1118" s="84" t="str">
        <f aca="false">IF(C1118="","",C1118*IF(Settings!$B$24=Settings!$C$6,1,IF(Settings!$B$24="USD",1/INDEX(Settings!$B$29:$B$40,MONTH(A1118)),INDEX(Settings!$B$29:$B$40,MONTH(A1118)))))</f>
        <v/>
      </c>
    </row>
    <row r="1119" customFormat="false" ht="15" hidden="false" customHeight="false" outlineLevel="0" collapsed="false">
      <c r="H1119" s="0" t="str">
        <f aca="false">IF(B1119="","",IF(COUNTIF(Campaigns!$A$7:$A$300,B1119)&gt;0,"✓","⚠ add to Campaigns tab"))</f>
        <v/>
      </c>
      <c r="I1119" s="84" t="str">
        <f aca="false">IF(C1119="","",C1119*IF(Settings!$B$24=Settings!$C$6,1,IF(Settings!$B$24="USD",1/INDEX(Settings!$B$29:$B$40,MONTH(A1119)),INDEX(Settings!$B$29:$B$40,MONTH(A1119)))))</f>
        <v/>
      </c>
    </row>
    <row r="1120" customFormat="false" ht="15" hidden="false" customHeight="false" outlineLevel="0" collapsed="false">
      <c r="H1120" s="0" t="str">
        <f aca="false">IF(B1120="","",IF(COUNTIF(Campaigns!$A$7:$A$300,B1120)&gt;0,"✓","⚠ add to Campaigns tab"))</f>
        <v/>
      </c>
      <c r="I1120" s="84" t="str">
        <f aca="false">IF(C1120="","",C1120*IF(Settings!$B$24=Settings!$C$6,1,IF(Settings!$B$24="USD",1/INDEX(Settings!$B$29:$B$40,MONTH(A1120)),INDEX(Settings!$B$29:$B$40,MONTH(A1120)))))</f>
        <v/>
      </c>
    </row>
    <row r="1121" customFormat="false" ht="15" hidden="false" customHeight="false" outlineLevel="0" collapsed="false">
      <c r="H1121" s="0" t="str">
        <f aca="false">IF(B1121="","",IF(COUNTIF(Campaigns!$A$7:$A$300,B1121)&gt;0,"✓","⚠ add to Campaigns tab"))</f>
        <v/>
      </c>
      <c r="I1121" s="84" t="str">
        <f aca="false">IF(C1121="","",C1121*IF(Settings!$B$24=Settings!$C$6,1,IF(Settings!$B$24="USD",1/INDEX(Settings!$B$29:$B$40,MONTH(A1121)),INDEX(Settings!$B$29:$B$40,MONTH(A1121)))))</f>
        <v/>
      </c>
    </row>
    <row r="1122" customFormat="false" ht="15" hidden="false" customHeight="false" outlineLevel="0" collapsed="false">
      <c r="H1122" s="0" t="str">
        <f aca="false">IF(B1122="","",IF(COUNTIF(Campaigns!$A$7:$A$300,B1122)&gt;0,"✓","⚠ add to Campaigns tab"))</f>
        <v/>
      </c>
      <c r="I1122" s="84" t="str">
        <f aca="false">IF(C1122="","",C1122*IF(Settings!$B$24=Settings!$C$6,1,IF(Settings!$B$24="USD",1/INDEX(Settings!$B$29:$B$40,MONTH(A1122)),INDEX(Settings!$B$29:$B$40,MONTH(A1122)))))</f>
        <v/>
      </c>
    </row>
    <row r="1123" customFormat="false" ht="15" hidden="false" customHeight="false" outlineLevel="0" collapsed="false">
      <c r="H1123" s="0" t="str">
        <f aca="false">IF(B1123="","",IF(COUNTIF(Campaigns!$A$7:$A$300,B1123)&gt;0,"✓","⚠ add to Campaigns tab"))</f>
        <v/>
      </c>
      <c r="I1123" s="84" t="str">
        <f aca="false">IF(C1123="","",C1123*IF(Settings!$B$24=Settings!$C$6,1,IF(Settings!$B$24="USD",1/INDEX(Settings!$B$29:$B$40,MONTH(A1123)),INDEX(Settings!$B$29:$B$40,MONTH(A1123)))))</f>
        <v/>
      </c>
    </row>
    <row r="1124" customFormat="false" ht="15" hidden="false" customHeight="false" outlineLevel="0" collapsed="false">
      <c r="H1124" s="0" t="str">
        <f aca="false">IF(B1124="","",IF(COUNTIF(Campaigns!$A$7:$A$300,B1124)&gt;0,"✓","⚠ add to Campaigns tab"))</f>
        <v/>
      </c>
      <c r="I1124" s="84" t="str">
        <f aca="false">IF(C1124="","",C1124*IF(Settings!$B$24=Settings!$C$6,1,IF(Settings!$B$24="USD",1/INDEX(Settings!$B$29:$B$40,MONTH(A1124)),INDEX(Settings!$B$29:$B$40,MONTH(A1124)))))</f>
        <v/>
      </c>
    </row>
    <row r="1125" customFormat="false" ht="15" hidden="false" customHeight="false" outlineLevel="0" collapsed="false">
      <c r="H1125" s="0" t="str">
        <f aca="false">IF(B1125="","",IF(COUNTIF(Campaigns!$A$7:$A$300,B1125)&gt;0,"✓","⚠ add to Campaigns tab"))</f>
        <v/>
      </c>
      <c r="I1125" s="84" t="str">
        <f aca="false">IF(C1125="","",C1125*IF(Settings!$B$24=Settings!$C$6,1,IF(Settings!$B$24="USD",1/INDEX(Settings!$B$29:$B$40,MONTH(A1125)),INDEX(Settings!$B$29:$B$40,MONTH(A1125)))))</f>
        <v/>
      </c>
    </row>
    <row r="1126" customFormat="false" ht="15" hidden="false" customHeight="false" outlineLevel="0" collapsed="false">
      <c r="H1126" s="0" t="str">
        <f aca="false">IF(B1126="","",IF(COUNTIF(Campaigns!$A$7:$A$300,B1126)&gt;0,"✓","⚠ add to Campaigns tab"))</f>
        <v/>
      </c>
      <c r="I1126" s="84" t="str">
        <f aca="false">IF(C1126="","",C1126*IF(Settings!$B$24=Settings!$C$6,1,IF(Settings!$B$24="USD",1/INDEX(Settings!$B$29:$B$40,MONTH(A1126)),INDEX(Settings!$B$29:$B$40,MONTH(A1126)))))</f>
        <v/>
      </c>
    </row>
    <row r="1127" customFormat="false" ht="15" hidden="false" customHeight="false" outlineLevel="0" collapsed="false">
      <c r="H1127" s="0" t="str">
        <f aca="false">IF(B1127="","",IF(COUNTIF(Campaigns!$A$7:$A$300,B1127)&gt;0,"✓","⚠ add to Campaigns tab"))</f>
        <v/>
      </c>
      <c r="I1127" s="84" t="str">
        <f aca="false">IF(C1127="","",C1127*IF(Settings!$B$24=Settings!$C$6,1,IF(Settings!$B$24="USD",1/INDEX(Settings!$B$29:$B$40,MONTH(A1127)),INDEX(Settings!$B$29:$B$40,MONTH(A1127)))))</f>
        <v/>
      </c>
    </row>
    <row r="1128" customFormat="false" ht="15" hidden="false" customHeight="false" outlineLevel="0" collapsed="false">
      <c r="H1128" s="0" t="str">
        <f aca="false">IF(B1128="","",IF(COUNTIF(Campaigns!$A$7:$A$300,B1128)&gt;0,"✓","⚠ add to Campaigns tab"))</f>
        <v/>
      </c>
      <c r="I1128" s="84" t="str">
        <f aca="false">IF(C1128="","",C1128*IF(Settings!$B$24=Settings!$C$6,1,IF(Settings!$B$24="USD",1/INDEX(Settings!$B$29:$B$40,MONTH(A1128)),INDEX(Settings!$B$29:$B$40,MONTH(A1128)))))</f>
        <v/>
      </c>
    </row>
    <row r="1129" customFormat="false" ht="15" hidden="false" customHeight="false" outlineLevel="0" collapsed="false">
      <c r="H1129" s="0" t="str">
        <f aca="false">IF(B1129="","",IF(COUNTIF(Campaigns!$A$7:$A$300,B1129)&gt;0,"✓","⚠ add to Campaigns tab"))</f>
        <v/>
      </c>
      <c r="I1129" s="84" t="str">
        <f aca="false">IF(C1129="","",C1129*IF(Settings!$B$24=Settings!$C$6,1,IF(Settings!$B$24="USD",1/INDEX(Settings!$B$29:$B$40,MONTH(A1129)),INDEX(Settings!$B$29:$B$40,MONTH(A1129)))))</f>
        <v/>
      </c>
    </row>
    <row r="1130" customFormat="false" ht="15" hidden="false" customHeight="false" outlineLevel="0" collapsed="false">
      <c r="H1130" s="0" t="str">
        <f aca="false">IF(B1130="","",IF(COUNTIF(Campaigns!$A$7:$A$300,B1130)&gt;0,"✓","⚠ add to Campaigns tab"))</f>
        <v/>
      </c>
      <c r="I1130" s="84" t="str">
        <f aca="false">IF(C1130="","",C1130*IF(Settings!$B$24=Settings!$C$6,1,IF(Settings!$B$24="USD",1/INDEX(Settings!$B$29:$B$40,MONTH(A1130)),INDEX(Settings!$B$29:$B$40,MONTH(A1130)))))</f>
        <v/>
      </c>
    </row>
    <row r="1131" customFormat="false" ht="15" hidden="false" customHeight="false" outlineLevel="0" collapsed="false">
      <c r="H1131" s="0" t="str">
        <f aca="false">IF(B1131="","",IF(COUNTIF(Campaigns!$A$7:$A$300,B1131)&gt;0,"✓","⚠ add to Campaigns tab"))</f>
        <v/>
      </c>
      <c r="I1131" s="84" t="str">
        <f aca="false">IF(C1131="","",C1131*IF(Settings!$B$24=Settings!$C$6,1,IF(Settings!$B$24="USD",1/INDEX(Settings!$B$29:$B$40,MONTH(A1131)),INDEX(Settings!$B$29:$B$40,MONTH(A1131)))))</f>
        <v/>
      </c>
    </row>
    <row r="1132" customFormat="false" ht="15" hidden="false" customHeight="false" outlineLevel="0" collapsed="false">
      <c r="H1132" s="0" t="str">
        <f aca="false">IF(B1132="","",IF(COUNTIF(Campaigns!$A$7:$A$300,B1132)&gt;0,"✓","⚠ add to Campaigns tab"))</f>
        <v/>
      </c>
      <c r="I1132" s="84" t="str">
        <f aca="false">IF(C1132="","",C1132*IF(Settings!$B$24=Settings!$C$6,1,IF(Settings!$B$24="USD",1/INDEX(Settings!$B$29:$B$40,MONTH(A1132)),INDEX(Settings!$B$29:$B$40,MONTH(A1132)))))</f>
        <v/>
      </c>
    </row>
    <row r="1133" customFormat="false" ht="15" hidden="false" customHeight="false" outlineLevel="0" collapsed="false">
      <c r="H1133" s="0" t="str">
        <f aca="false">IF(B1133="","",IF(COUNTIF(Campaigns!$A$7:$A$300,B1133)&gt;0,"✓","⚠ add to Campaigns tab"))</f>
        <v/>
      </c>
      <c r="I1133" s="84" t="str">
        <f aca="false">IF(C1133="","",C1133*IF(Settings!$B$24=Settings!$C$6,1,IF(Settings!$B$24="USD",1/INDEX(Settings!$B$29:$B$40,MONTH(A1133)),INDEX(Settings!$B$29:$B$40,MONTH(A1133)))))</f>
        <v/>
      </c>
    </row>
    <row r="1134" customFormat="false" ht="15" hidden="false" customHeight="false" outlineLevel="0" collapsed="false">
      <c r="H1134" s="0" t="str">
        <f aca="false">IF(B1134="","",IF(COUNTIF(Campaigns!$A$7:$A$300,B1134)&gt;0,"✓","⚠ add to Campaigns tab"))</f>
        <v/>
      </c>
      <c r="I1134" s="84" t="str">
        <f aca="false">IF(C1134="","",C1134*IF(Settings!$B$24=Settings!$C$6,1,IF(Settings!$B$24="USD",1/INDEX(Settings!$B$29:$B$40,MONTH(A1134)),INDEX(Settings!$B$29:$B$40,MONTH(A1134)))))</f>
        <v/>
      </c>
    </row>
    <row r="1135" customFormat="false" ht="15" hidden="false" customHeight="false" outlineLevel="0" collapsed="false">
      <c r="H1135" s="0" t="str">
        <f aca="false">IF(B1135="","",IF(COUNTIF(Campaigns!$A$7:$A$300,B1135)&gt;0,"✓","⚠ add to Campaigns tab"))</f>
        <v/>
      </c>
      <c r="I1135" s="84" t="str">
        <f aca="false">IF(C1135="","",C1135*IF(Settings!$B$24=Settings!$C$6,1,IF(Settings!$B$24="USD",1/INDEX(Settings!$B$29:$B$40,MONTH(A1135)),INDEX(Settings!$B$29:$B$40,MONTH(A1135)))))</f>
        <v/>
      </c>
    </row>
    <row r="1136" customFormat="false" ht="15" hidden="false" customHeight="false" outlineLevel="0" collapsed="false">
      <c r="H1136" s="0" t="str">
        <f aca="false">IF(B1136="","",IF(COUNTIF(Campaigns!$A$7:$A$300,B1136)&gt;0,"✓","⚠ add to Campaigns tab"))</f>
        <v/>
      </c>
      <c r="I1136" s="84" t="str">
        <f aca="false">IF(C1136="","",C1136*IF(Settings!$B$24=Settings!$C$6,1,IF(Settings!$B$24="USD",1/INDEX(Settings!$B$29:$B$40,MONTH(A1136)),INDEX(Settings!$B$29:$B$40,MONTH(A1136)))))</f>
        <v/>
      </c>
    </row>
    <row r="1137" customFormat="false" ht="15" hidden="false" customHeight="false" outlineLevel="0" collapsed="false">
      <c r="H1137" s="0" t="str">
        <f aca="false">IF(B1137="","",IF(COUNTIF(Campaigns!$A$7:$A$300,B1137)&gt;0,"✓","⚠ add to Campaigns tab"))</f>
        <v/>
      </c>
      <c r="I1137" s="84" t="str">
        <f aca="false">IF(C1137="","",C1137*IF(Settings!$B$24=Settings!$C$6,1,IF(Settings!$B$24="USD",1/INDEX(Settings!$B$29:$B$40,MONTH(A1137)),INDEX(Settings!$B$29:$B$40,MONTH(A1137)))))</f>
        <v/>
      </c>
    </row>
    <row r="1138" customFormat="false" ht="15" hidden="false" customHeight="false" outlineLevel="0" collapsed="false">
      <c r="H1138" s="0" t="str">
        <f aca="false">IF(B1138="","",IF(COUNTIF(Campaigns!$A$7:$A$300,B1138)&gt;0,"✓","⚠ add to Campaigns tab"))</f>
        <v/>
      </c>
      <c r="I1138" s="84" t="str">
        <f aca="false">IF(C1138="","",C1138*IF(Settings!$B$24=Settings!$C$6,1,IF(Settings!$B$24="USD",1/INDEX(Settings!$B$29:$B$40,MONTH(A1138)),INDEX(Settings!$B$29:$B$40,MONTH(A1138)))))</f>
        <v/>
      </c>
    </row>
    <row r="1139" customFormat="false" ht="15" hidden="false" customHeight="false" outlineLevel="0" collapsed="false">
      <c r="H1139" s="0" t="str">
        <f aca="false">IF(B1139="","",IF(COUNTIF(Campaigns!$A$7:$A$300,B1139)&gt;0,"✓","⚠ add to Campaigns tab"))</f>
        <v/>
      </c>
      <c r="I1139" s="84" t="str">
        <f aca="false">IF(C1139="","",C1139*IF(Settings!$B$24=Settings!$C$6,1,IF(Settings!$B$24="USD",1/INDEX(Settings!$B$29:$B$40,MONTH(A1139)),INDEX(Settings!$B$29:$B$40,MONTH(A1139)))))</f>
        <v/>
      </c>
    </row>
    <row r="1140" customFormat="false" ht="15" hidden="false" customHeight="false" outlineLevel="0" collapsed="false">
      <c r="H1140" s="0" t="str">
        <f aca="false">IF(B1140="","",IF(COUNTIF(Campaigns!$A$7:$A$300,B1140)&gt;0,"✓","⚠ add to Campaigns tab"))</f>
        <v/>
      </c>
      <c r="I1140" s="84" t="str">
        <f aca="false">IF(C1140="","",C1140*IF(Settings!$B$24=Settings!$C$6,1,IF(Settings!$B$24="USD",1/INDEX(Settings!$B$29:$B$40,MONTH(A1140)),INDEX(Settings!$B$29:$B$40,MONTH(A1140)))))</f>
        <v/>
      </c>
    </row>
    <row r="1141" customFormat="false" ht="15" hidden="false" customHeight="false" outlineLevel="0" collapsed="false">
      <c r="H1141" s="0" t="str">
        <f aca="false">IF(B1141="","",IF(COUNTIF(Campaigns!$A$7:$A$300,B1141)&gt;0,"✓","⚠ add to Campaigns tab"))</f>
        <v/>
      </c>
      <c r="I1141" s="84" t="str">
        <f aca="false">IF(C1141="","",C1141*IF(Settings!$B$24=Settings!$C$6,1,IF(Settings!$B$24="USD",1/INDEX(Settings!$B$29:$B$40,MONTH(A1141)),INDEX(Settings!$B$29:$B$40,MONTH(A1141)))))</f>
        <v/>
      </c>
    </row>
    <row r="1142" customFormat="false" ht="15" hidden="false" customHeight="false" outlineLevel="0" collapsed="false">
      <c r="H1142" s="0" t="str">
        <f aca="false">IF(B1142="","",IF(COUNTIF(Campaigns!$A$7:$A$300,B1142)&gt;0,"✓","⚠ add to Campaigns tab"))</f>
        <v/>
      </c>
      <c r="I1142" s="84" t="str">
        <f aca="false">IF(C1142="","",C1142*IF(Settings!$B$24=Settings!$C$6,1,IF(Settings!$B$24="USD",1/INDEX(Settings!$B$29:$B$40,MONTH(A1142)),INDEX(Settings!$B$29:$B$40,MONTH(A1142)))))</f>
        <v/>
      </c>
    </row>
    <row r="1143" customFormat="false" ht="15" hidden="false" customHeight="false" outlineLevel="0" collapsed="false">
      <c r="H1143" s="0" t="str">
        <f aca="false">IF(B1143="","",IF(COUNTIF(Campaigns!$A$7:$A$300,B1143)&gt;0,"✓","⚠ add to Campaigns tab"))</f>
        <v/>
      </c>
      <c r="I1143" s="84" t="str">
        <f aca="false">IF(C1143="","",C1143*IF(Settings!$B$24=Settings!$C$6,1,IF(Settings!$B$24="USD",1/INDEX(Settings!$B$29:$B$40,MONTH(A1143)),INDEX(Settings!$B$29:$B$40,MONTH(A1143)))))</f>
        <v/>
      </c>
    </row>
    <row r="1144" customFormat="false" ht="15" hidden="false" customHeight="false" outlineLevel="0" collapsed="false">
      <c r="H1144" s="0" t="str">
        <f aca="false">IF(B1144="","",IF(COUNTIF(Campaigns!$A$7:$A$300,B1144)&gt;0,"✓","⚠ add to Campaigns tab"))</f>
        <v/>
      </c>
      <c r="I1144" s="84" t="str">
        <f aca="false">IF(C1144="","",C1144*IF(Settings!$B$24=Settings!$C$6,1,IF(Settings!$B$24="USD",1/INDEX(Settings!$B$29:$B$40,MONTH(A1144)),INDEX(Settings!$B$29:$B$40,MONTH(A1144)))))</f>
        <v/>
      </c>
    </row>
    <row r="1145" customFormat="false" ht="15" hidden="false" customHeight="false" outlineLevel="0" collapsed="false">
      <c r="H1145" s="0" t="str">
        <f aca="false">IF(B1145="","",IF(COUNTIF(Campaigns!$A$7:$A$300,B1145)&gt;0,"✓","⚠ add to Campaigns tab"))</f>
        <v/>
      </c>
      <c r="I1145" s="84" t="str">
        <f aca="false">IF(C1145="","",C1145*IF(Settings!$B$24=Settings!$C$6,1,IF(Settings!$B$24="USD",1/INDEX(Settings!$B$29:$B$40,MONTH(A1145)),INDEX(Settings!$B$29:$B$40,MONTH(A1145)))))</f>
        <v/>
      </c>
    </row>
    <row r="1146" customFormat="false" ht="15" hidden="false" customHeight="false" outlineLevel="0" collapsed="false">
      <c r="H1146" s="0" t="str">
        <f aca="false">IF(B1146="","",IF(COUNTIF(Campaigns!$A$7:$A$300,B1146)&gt;0,"✓","⚠ add to Campaigns tab"))</f>
        <v/>
      </c>
      <c r="I1146" s="84" t="str">
        <f aca="false">IF(C1146="","",C1146*IF(Settings!$B$24=Settings!$C$6,1,IF(Settings!$B$24="USD",1/INDEX(Settings!$B$29:$B$40,MONTH(A1146)),INDEX(Settings!$B$29:$B$40,MONTH(A1146)))))</f>
        <v/>
      </c>
    </row>
    <row r="1147" customFormat="false" ht="15" hidden="false" customHeight="false" outlineLevel="0" collapsed="false">
      <c r="H1147" s="0" t="str">
        <f aca="false">IF(B1147="","",IF(COUNTIF(Campaigns!$A$7:$A$300,B1147)&gt;0,"✓","⚠ add to Campaigns tab"))</f>
        <v/>
      </c>
      <c r="I1147" s="84" t="str">
        <f aca="false">IF(C1147="","",C1147*IF(Settings!$B$24=Settings!$C$6,1,IF(Settings!$B$24="USD",1/INDEX(Settings!$B$29:$B$40,MONTH(A1147)),INDEX(Settings!$B$29:$B$40,MONTH(A1147)))))</f>
        <v/>
      </c>
    </row>
    <row r="1148" customFormat="false" ht="15" hidden="false" customHeight="false" outlineLevel="0" collapsed="false">
      <c r="H1148" s="0" t="str">
        <f aca="false">IF(B1148="","",IF(COUNTIF(Campaigns!$A$7:$A$300,B1148)&gt;0,"✓","⚠ add to Campaigns tab"))</f>
        <v/>
      </c>
      <c r="I1148" s="84" t="str">
        <f aca="false">IF(C1148="","",C1148*IF(Settings!$B$24=Settings!$C$6,1,IF(Settings!$B$24="USD",1/INDEX(Settings!$B$29:$B$40,MONTH(A1148)),INDEX(Settings!$B$29:$B$40,MONTH(A1148)))))</f>
        <v/>
      </c>
    </row>
    <row r="1149" customFormat="false" ht="15" hidden="false" customHeight="false" outlineLevel="0" collapsed="false">
      <c r="H1149" s="0" t="str">
        <f aca="false">IF(B1149="","",IF(COUNTIF(Campaigns!$A$7:$A$300,B1149)&gt;0,"✓","⚠ add to Campaigns tab"))</f>
        <v/>
      </c>
      <c r="I1149" s="84" t="str">
        <f aca="false">IF(C1149="","",C1149*IF(Settings!$B$24=Settings!$C$6,1,IF(Settings!$B$24="USD",1/INDEX(Settings!$B$29:$B$40,MONTH(A1149)),INDEX(Settings!$B$29:$B$40,MONTH(A1149)))))</f>
        <v/>
      </c>
    </row>
    <row r="1150" customFormat="false" ht="15" hidden="false" customHeight="false" outlineLevel="0" collapsed="false">
      <c r="H1150" s="0" t="str">
        <f aca="false">IF(B1150="","",IF(COUNTIF(Campaigns!$A$7:$A$300,B1150)&gt;0,"✓","⚠ add to Campaigns tab"))</f>
        <v/>
      </c>
      <c r="I1150" s="84" t="str">
        <f aca="false">IF(C1150="","",C1150*IF(Settings!$B$24=Settings!$C$6,1,IF(Settings!$B$24="USD",1/INDEX(Settings!$B$29:$B$40,MONTH(A1150)),INDEX(Settings!$B$29:$B$40,MONTH(A1150)))))</f>
        <v/>
      </c>
    </row>
    <row r="1151" customFormat="false" ht="15" hidden="false" customHeight="false" outlineLevel="0" collapsed="false">
      <c r="H1151" s="0" t="str">
        <f aca="false">IF(B1151="","",IF(COUNTIF(Campaigns!$A$7:$A$300,B1151)&gt;0,"✓","⚠ add to Campaigns tab"))</f>
        <v/>
      </c>
      <c r="I1151" s="84" t="str">
        <f aca="false">IF(C1151="","",C1151*IF(Settings!$B$24=Settings!$C$6,1,IF(Settings!$B$24="USD",1/INDEX(Settings!$B$29:$B$40,MONTH(A1151)),INDEX(Settings!$B$29:$B$40,MONTH(A1151)))))</f>
        <v/>
      </c>
    </row>
    <row r="1152" customFormat="false" ht="15" hidden="false" customHeight="false" outlineLevel="0" collapsed="false">
      <c r="H1152" s="0" t="str">
        <f aca="false">IF(B1152="","",IF(COUNTIF(Campaigns!$A$7:$A$300,B1152)&gt;0,"✓","⚠ add to Campaigns tab"))</f>
        <v/>
      </c>
      <c r="I1152" s="84" t="str">
        <f aca="false">IF(C1152="","",C1152*IF(Settings!$B$24=Settings!$C$6,1,IF(Settings!$B$24="USD",1/INDEX(Settings!$B$29:$B$40,MONTH(A1152)),INDEX(Settings!$B$29:$B$40,MONTH(A1152)))))</f>
        <v/>
      </c>
    </row>
    <row r="1153" customFormat="false" ht="15" hidden="false" customHeight="false" outlineLevel="0" collapsed="false">
      <c r="H1153" s="0" t="str">
        <f aca="false">IF(B1153="","",IF(COUNTIF(Campaigns!$A$7:$A$300,B1153)&gt;0,"✓","⚠ add to Campaigns tab"))</f>
        <v/>
      </c>
      <c r="I1153" s="84" t="str">
        <f aca="false">IF(C1153="","",C1153*IF(Settings!$B$24=Settings!$C$6,1,IF(Settings!$B$24="USD",1/INDEX(Settings!$B$29:$B$40,MONTH(A1153)),INDEX(Settings!$B$29:$B$40,MONTH(A1153)))))</f>
        <v/>
      </c>
    </row>
    <row r="1154" customFormat="false" ht="15" hidden="false" customHeight="false" outlineLevel="0" collapsed="false">
      <c r="H1154" s="0" t="str">
        <f aca="false">IF(B1154="","",IF(COUNTIF(Campaigns!$A$7:$A$300,B1154)&gt;0,"✓","⚠ add to Campaigns tab"))</f>
        <v/>
      </c>
      <c r="I1154" s="84" t="str">
        <f aca="false">IF(C1154="","",C1154*IF(Settings!$B$24=Settings!$C$6,1,IF(Settings!$B$24="USD",1/INDEX(Settings!$B$29:$B$40,MONTH(A1154)),INDEX(Settings!$B$29:$B$40,MONTH(A1154)))))</f>
        <v/>
      </c>
    </row>
    <row r="1155" customFormat="false" ht="15" hidden="false" customHeight="false" outlineLevel="0" collapsed="false">
      <c r="H1155" s="0" t="str">
        <f aca="false">IF(B1155="","",IF(COUNTIF(Campaigns!$A$7:$A$300,B1155)&gt;0,"✓","⚠ add to Campaigns tab"))</f>
        <v/>
      </c>
      <c r="I1155" s="84" t="str">
        <f aca="false">IF(C1155="","",C1155*IF(Settings!$B$24=Settings!$C$6,1,IF(Settings!$B$24="USD",1/INDEX(Settings!$B$29:$B$40,MONTH(A1155)),INDEX(Settings!$B$29:$B$40,MONTH(A1155)))))</f>
        <v/>
      </c>
    </row>
    <row r="1156" customFormat="false" ht="15" hidden="false" customHeight="false" outlineLevel="0" collapsed="false">
      <c r="H1156" s="0" t="str">
        <f aca="false">IF(B1156="","",IF(COUNTIF(Campaigns!$A$7:$A$300,B1156)&gt;0,"✓","⚠ add to Campaigns tab"))</f>
        <v/>
      </c>
      <c r="I1156" s="84" t="str">
        <f aca="false">IF(C1156="","",C1156*IF(Settings!$B$24=Settings!$C$6,1,IF(Settings!$B$24="USD",1/INDEX(Settings!$B$29:$B$40,MONTH(A1156)),INDEX(Settings!$B$29:$B$40,MONTH(A1156)))))</f>
        <v/>
      </c>
    </row>
    <row r="1157" customFormat="false" ht="15" hidden="false" customHeight="false" outlineLevel="0" collapsed="false">
      <c r="H1157" s="0" t="str">
        <f aca="false">IF(B1157="","",IF(COUNTIF(Campaigns!$A$7:$A$300,B1157)&gt;0,"✓","⚠ add to Campaigns tab"))</f>
        <v/>
      </c>
      <c r="I1157" s="84" t="str">
        <f aca="false">IF(C1157="","",C1157*IF(Settings!$B$24=Settings!$C$6,1,IF(Settings!$B$24="USD",1/INDEX(Settings!$B$29:$B$40,MONTH(A1157)),INDEX(Settings!$B$29:$B$40,MONTH(A1157)))))</f>
        <v/>
      </c>
    </row>
    <row r="1158" customFormat="false" ht="15" hidden="false" customHeight="false" outlineLevel="0" collapsed="false">
      <c r="H1158" s="0" t="str">
        <f aca="false">IF(B1158="","",IF(COUNTIF(Campaigns!$A$7:$A$300,B1158)&gt;0,"✓","⚠ add to Campaigns tab"))</f>
        <v/>
      </c>
      <c r="I1158" s="84" t="str">
        <f aca="false">IF(C1158="","",C1158*IF(Settings!$B$24=Settings!$C$6,1,IF(Settings!$B$24="USD",1/INDEX(Settings!$B$29:$B$40,MONTH(A1158)),INDEX(Settings!$B$29:$B$40,MONTH(A1158)))))</f>
        <v/>
      </c>
    </row>
    <row r="1159" customFormat="false" ht="15" hidden="false" customHeight="false" outlineLevel="0" collapsed="false">
      <c r="H1159" s="0" t="str">
        <f aca="false">IF(B1159="","",IF(COUNTIF(Campaigns!$A$7:$A$300,B1159)&gt;0,"✓","⚠ add to Campaigns tab"))</f>
        <v/>
      </c>
      <c r="I1159" s="84" t="str">
        <f aca="false">IF(C1159="","",C1159*IF(Settings!$B$24=Settings!$C$6,1,IF(Settings!$B$24="USD",1/INDEX(Settings!$B$29:$B$40,MONTH(A1159)),INDEX(Settings!$B$29:$B$40,MONTH(A1159)))))</f>
        <v/>
      </c>
    </row>
    <row r="1160" customFormat="false" ht="15" hidden="false" customHeight="false" outlineLevel="0" collapsed="false">
      <c r="H1160" s="0" t="str">
        <f aca="false">IF(B1160="","",IF(COUNTIF(Campaigns!$A$7:$A$300,B1160)&gt;0,"✓","⚠ add to Campaigns tab"))</f>
        <v/>
      </c>
      <c r="I1160" s="84" t="str">
        <f aca="false">IF(C1160="","",C1160*IF(Settings!$B$24=Settings!$C$6,1,IF(Settings!$B$24="USD",1/INDEX(Settings!$B$29:$B$40,MONTH(A1160)),INDEX(Settings!$B$29:$B$40,MONTH(A1160)))))</f>
        <v/>
      </c>
    </row>
    <row r="1161" customFormat="false" ht="15" hidden="false" customHeight="false" outlineLevel="0" collapsed="false">
      <c r="H1161" s="0" t="str">
        <f aca="false">IF(B1161="","",IF(COUNTIF(Campaigns!$A$7:$A$300,B1161)&gt;0,"✓","⚠ add to Campaigns tab"))</f>
        <v/>
      </c>
      <c r="I1161" s="84" t="str">
        <f aca="false">IF(C1161="","",C1161*IF(Settings!$B$24=Settings!$C$6,1,IF(Settings!$B$24="USD",1/INDEX(Settings!$B$29:$B$40,MONTH(A1161)),INDEX(Settings!$B$29:$B$40,MONTH(A1161)))))</f>
        <v/>
      </c>
    </row>
    <row r="1162" customFormat="false" ht="15" hidden="false" customHeight="false" outlineLevel="0" collapsed="false">
      <c r="H1162" s="0" t="str">
        <f aca="false">IF(B1162="","",IF(COUNTIF(Campaigns!$A$7:$A$300,B1162)&gt;0,"✓","⚠ add to Campaigns tab"))</f>
        <v/>
      </c>
      <c r="I1162" s="84" t="str">
        <f aca="false">IF(C1162="","",C1162*IF(Settings!$B$24=Settings!$C$6,1,IF(Settings!$B$24="USD",1/INDEX(Settings!$B$29:$B$40,MONTH(A1162)),INDEX(Settings!$B$29:$B$40,MONTH(A1162)))))</f>
        <v/>
      </c>
    </row>
    <row r="1163" customFormat="false" ht="15" hidden="false" customHeight="false" outlineLevel="0" collapsed="false">
      <c r="H1163" s="0" t="str">
        <f aca="false">IF(B1163="","",IF(COUNTIF(Campaigns!$A$7:$A$300,B1163)&gt;0,"✓","⚠ add to Campaigns tab"))</f>
        <v/>
      </c>
      <c r="I1163" s="84" t="str">
        <f aca="false">IF(C1163="","",C1163*IF(Settings!$B$24=Settings!$C$6,1,IF(Settings!$B$24="USD",1/INDEX(Settings!$B$29:$B$40,MONTH(A1163)),INDEX(Settings!$B$29:$B$40,MONTH(A1163)))))</f>
        <v/>
      </c>
    </row>
    <row r="1164" customFormat="false" ht="15" hidden="false" customHeight="false" outlineLevel="0" collapsed="false">
      <c r="H1164" s="0" t="str">
        <f aca="false">IF(B1164="","",IF(COUNTIF(Campaigns!$A$7:$A$300,B1164)&gt;0,"✓","⚠ add to Campaigns tab"))</f>
        <v/>
      </c>
      <c r="I1164" s="84" t="str">
        <f aca="false">IF(C1164="","",C1164*IF(Settings!$B$24=Settings!$C$6,1,IF(Settings!$B$24="USD",1/INDEX(Settings!$B$29:$B$40,MONTH(A1164)),INDEX(Settings!$B$29:$B$40,MONTH(A1164)))))</f>
        <v/>
      </c>
    </row>
    <row r="1165" customFormat="false" ht="15" hidden="false" customHeight="false" outlineLevel="0" collapsed="false">
      <c r="H1165" s="0" t="str">
        <f aca="false">IF(B1165="","",IF(COUNTIF(Campaigns!$A$7:$A$300,B1165)&gt;0,"✓","⚠ add to Campaigns tab"))</f>
        <v/>
      </c>
      <c r="I1165" s="84" t="str">
        <f aca="false">IF(C1165="","",C1165*IF(Settings!$B$24=Settings!$C$6,1,IF(Settings!$B$24="USD",1/INDEX(Settings!$B$29:$B$40,MONTH(A1165)),INDEX(Settings!$B$29:$B$40,MONTH(A1165)))))</f>
        <v/>
      </c>
    </row>
    <row r="1166" customFormat="false" ht="15" hidden="false" customHeight="false" outlineLevel="0" collapsed="false">
      <c r="H1166" s="0" t="str">
        <f aca="false">IF(B1166="","",IF(COUNTIF(Campaigns!$A$7:$A$300,B1166)&gt;0,"✓","⚠ add to Campaigns tab"))</f>
        <v/>
      </c>
      <c r="I1166" s="84" t="str">
        <f aca="false">IF(C1166="","",C1166*IF(Settings!$B$24=Settings!$C$6,1,IF(Settings!$B$24="USD",1/INDEX(Settings!$B$29:$B$40,MONTH(A1166)),INDEX(Settings!$B$29:$B$40,MONTH(A1166)))))</f>
        <v/>
      </c>
    </row>
    <row r="1167" customFormat="false" ht="15" hidden="false" customHeight="false" outlineLevel="0" collapsed="false">
      <c r="H1167" s="0" t="str">
        <f aca="false">IF(B1167="","",IF(COUNTIF(Campaigns!$A$7:$A$300,B1167)&gt;0,"✓","⚠ add to Campaigns tab"))</f>
        <v/>
      </c>
      <c r="I1167" s="84" t="str">
        <f aca="false">IF(C1167="","",C1167*IF(Settings!$B$24=Settings!$C$6,1,IF(Settings!$B$24="USD",1/INDEX(Settings!$B$29:$B$40,MONTH(A1167)),INDEX(Settings!$B$29:$B$40,MONTH(A1167)))))</f>
        <v/>
      </c>
    </row>
    <row r="1168" customFormat="false" ht="15" hidden="false" customHeight="false" outlineLevel="0" collapsed="false">
      <c r="H1168" s="0" t="str">
        <f aca="false">IF(B1168="","",IF(COUNTIF(Campaigns!$A$7:$A$300,B1168)&gt;0,"✓","⚠ add to Campaigns tab"))</f>
        <v/>
      </c>
      <c r="I1168" s="84" t="str">
        <f aca="false">IF(C1168="","",C1168*IF(Settings!$B$24=Settings!$C$6,1,IF(Settings!$B$24="USD",1/INDEX(Settings!$B$29:$B$40,MONTH(A1168)),INDEX(Settings!$B$29:$B$40,MONTH(A1168)))))</f>
        <v/>
      </c>
    </row>
    <row r="1169" customFormat="false" ht="15" hidden="false" customHeight="false" outlineLevel="0" collapsed="false">
      <c r="H1169" s="0" t="str">
        <f aca="false">IF(B1169="","",IF(COUNTIF(Campaigns!$A$7:$A$300,B1169)&gt;0,"✓","⚠ add to Campaigns tab"))</f>
        <v/>
      </c>
      <c r="I1169" s="84" t="str">
        <f aca="false">IF(C1169="","",C1169*IF(Settings!$B$24=Settings!$C$6,1,IF(Settings!$B$24="USD",1/INDEX(Settings!$B$29:$B$40,MONTH(A1169)),INDEX(Settings!$B$29:$B$40,MONTH(A1169)))))</f>
        <v/>
      </c>
    </row>
    <row r="1170" customFormat="false" ht="15" hidden="false" customHeight="false" outlineLevel="0" collapsed="false">
      <c r="H1170" s="0" t="str">
        <f aca="false">IF(B1170="","",IF(COUNTIF(Campaigns!$A$7:$A$300,B1170)&gt;0,"✓","⚠ add to Campaigns tab"))</f>
        <v/>
      </c>
      <c r="I1170" s="84" t="str">
        <f aca="false">IF(C1170="","",C1170*IF(Settings!$B$24=Settings!$C$6,1,IF(Settings!$B$24="USD",1/INDEX(Settings!$B$29:$B$40,MONTH(A1170)),INDEX(Settings!$B$29:$B$40,MONTH(A1170)))))</f>
        <v/>
      </c>
    </row>
    <row r="1171" customFormat="false" ht="15" hidden="false" customHeight="false" outlineLevel="0" collapsed="false">
      <c r="H1171" s="0" t="str">
        <f aca="false">IF(B1171="","",IF(COUNTIF(Campaigns!$A$7:$A$300,B1171)&gt;0,"✓","⚠ add to Campaigns tab"))</f>
        <v/>
      </c>
      <c r="I1171" s="84" t="str">
        <f aca="false">IF(C1171="","",C1171*IF(Settings!$B$24=Settings!$C$6,1,IF(Settings!$B$24="USD",1/INDEX(Settings!$B$29:$B$40,MONTH(A1171)),INDEX(Settings!$B$29:$B$40,MONTH(A1171)))))</f>
        <v/>
      </c>
    </row>
    <row r="1172" customFormat="false" ht="15" hidden="false" customHeight="false" outlineLevel="0" collapsed="false">
      <c r="H1172" s="0" t="str">
        <f aca="false">IF(B1172="","",IF(COUNTIF(Campaigns!$A$7:$A$300,B1172)&gt;0,"✓","⚠ add to Campaigns tab"))</f>
        <v/>
      </c>
      <c r="I1172" s="84" t="str">
        <f aca="false">IF(C1172="","",C1172*IF(Settings!$B$24=Settings!$C$6,1,IF(Settings!$B$24="USD",1/INDEX(Settings!$B$29:$B$40,MONTH(A1172)),INDEX(Settings!$B$29:$B$40,MONTH(A1172)))))</f>
        <v/>
      </c>
    </row>
    <row r="1173" customFormat="false" ht="15" hidden="false" customHeight="false" outlineLevel="0" collapsed="false">
      <c r="H1173" s="0" t="str">
        <f aca="false">IF(B1173="","",IF(COUNTIF(Campaigns!$A$7:$A$300,B1173)&gt;0,"✓","⚠ add to Campaigns tab"))</f>
        <v/>
      </c>
      <c r="I1173" s="84" t="str">
        <f aca="false">IF(C1173="","",C1173*IF(Settings!$B$24=Settings!$C$6,1,IF(Settings!$B$24="USD",1/INDEX(Settings!$B$29:$B$40,MONTH(A1173)),INDEX(Settings!$B$29:$B$40,MONTH(A1173)))))</f>
        <v/>
      </c>
    </row>
    <row r="1174" customFormat="false" ht="15" hidden="false" customHeight="false" outlineLevel="0" collapsed="false">
      <c r="H1174" s="0" t="str">
        <f aca="false">IF(B1174="","",IF(COUNTIF(Campaigns!$A$7:$A$300,B1174)&gt;0,"✓","⚠ add to Campaigns tab"))</f>
        <v/>
      </c>
      <c r="I1174" s="84" t="str">
        <f aca="false">IF(C1174="","",C1174*IF(Settings!$B$24=Settings!$C$6,1,IF(Settings!$B$24="USD",1/INDEX(Settings!$B$29:$B$40,MONTH(A1174)),INDEX(Settings!$B$29:$B$40,MONTH(A1174)))))</f>
        <v/>
      </c>
    </row>
    <row r="1175" customFormat="false" ht="15" hidden="false" customHeight="false" outlineLevel="0" collapsed="false">
      <c r="H1175" s="0" t="str">
        <f aca="false">IF(B1175="","",IF(COUNTIF(Campaigns!$A$7:$A$300,B1175)&gt;0,"✓","⚠ add to Campaigns tab"))</f>
        <v/>
      </c>
      <c r="I1175" s="84" t="str">
        <f aca="false">IF(C1175="","",C1175*IF(Settings!$B$24=Settings!$C$6,1,IF(Settings!$B$24="USD",1/INDEX(Settings!$B$29:$B$40,MONTH(A1175)),INDEX(Settings!$B$29:$B$40,MONTH(A1175)))))</f>
        <v/>
      </c>
    </row>
    <row r="1176" customFormat="false" ht="15" hidden="false" customHeight="false" outlineLevel="0" collapsed="false">
      <c r="H1176" s="0" t="str">
        <f aca="false">IF(B1176="","",IF(COUNTIF(Campaigns!$A$7:$A$300,B1176)&gt;0,"✓","⚠ add to Campaigns tab"))</f>
        <v/>
      </c>
      <c r="I1176" s="84" t="str">
        <f aca="false">IF(C1176="","",C1176*IF(Settings!$B$24=Settings!$C$6,1,IF(Settings!$B$24="USD",1/INDEX(Settings!$B$29:$B$40,MONTH(A1176)),INDEX(Settings!$B$29:$B$40,MONTH(A1176)))))</f>
        <v/>
      </c>
    </row>
    <row r="1177" customFormat="false" ht="15" hidden="false" customHeight="false" outlineLevel="0" collapsed="false">
      <c r="H1177" s="0" t="str">
        <f aca="false">IF(B1177="","",IF(COUNTIF(Campaigns!$A$7:$A$300,B1177)&gt;0,"✓","⚠ add to Campaigns tab"))</f>
        <v/>
      </c>
      <c r="I1177" s="84" t="str">
        <f aca="false">IF(C1177="","",C1177*IF(Settings!$B$24=Settings!$C$6,1,IF(Settings!$B$24="USD",1/INDEX(Settings!$B$29:$B$40,MONTH(A1177)),INDEX(Settings!$B$29:$B$40,MONTH(A1177)))))</f>
        <v/>
      </c>
    </row>
    <row r="1178" customFormat="false" ht="15" hidden="false" customHeight="false" outlineLevel="0" collapsed="false">
      <c r="H1178" s="0" t="str">
        <f aca="false">IF(B1178="","",IF(COUNTIF(Campaigns!$A$7:$A$300,B1178)&gt;0,"✓","⚠ add to Campaigns tab"))</f>
        <v/>
      </c>
      <c r="I1178" s="84" t="str">
        <f aca="false">IF(C1178="","",C1178*IF(Settings!$B$24=Settings!$C$6,1,IF(Settings!$B$24="USD",1/INDEX(Settings!$B$29:$B$40,MONTH(A1178)),INDEX(Settings!$B$29:$B$40,MONTH(A1178)))))</f>
        <v/>
      </c>
    </row>
    <row r="1179" customFormat="false" ht="15" hidden="false" customHeight="false" outlineLevel="0" collapsed="false">
      <c r="H1179" s="0" t="str">
        <f aca="false">IF(B1179="","",IF(COUNTIF(Campaigns!$A$7:$A$300,B1179)&gt;0,"✓","⚠ add to Campaigns tab"))</f>
        <v/>
      </c>
      <c r="I1179" s="84" t="str">
        <f aca="false">IF(C1179="","",C1179*IF(Settings!$B$24=Settings!$C$6,1,IF(Settings!$B$24="USD",1/INDEX(Settings!$B$29:$B$40,MONTH(A1179)),INDEX(Settings!$B$29:$B$40,MONTH(A1179)))))</f>
        <v/>
      </c>
    </row>
    <row r="1180" customFormat="false" ht="15" hidden="false" customHeight="false" outlineLevel="0" collapsed="false">
      <c r="H1180" s="0" t="str">
        <f aca="false">IF(B1180="","",IF(COUNTIF(Campaigns!$A$7:$A$300,B1180)&gt;0,"✓","⚠ add to Campaigns tab"))</f>
        <v/>
      </c>
      <c r="I1180" s="84" t="str">
        <f aca="false">IF(C1180="","",C1180*IF(Settings!$B$24=Settings!$C$6,1,IF(Settings!$B$24="USD",1/INDEX(Settings!$B$29:$B$40,MONTH(A1180)),INDEX(Settings!$B$29:$B$40,MONTH(A1180)))))</f>
        <v/>
      </c>
    </row>
    <row r="1181" customFormat="false" ht="15" hidden="false" customHeight="false" outlineLevel="0" collapsed="false">
      <c r="H1181" s="0" t="str">
        <f aca="false">IF(B1181="","",IF(COUNTIF(Campaigns!$A$7:$A$300,B1181)&gt;0,"✓","⚠ add to Campaigns tab"))</f>
        <v/>
      </c>
      <c r="I1181" s="84" t="str">
        <f aca="false">IF(C1181="","",C1181*IF(Settings!$B$24=Settings!$C$6,1,IF(Settings!$B$24="USD",1/INDEX(Settings!$B$29:$B$40,MONTH(A1181)),INDEX(Settings!$B$29:$B$40,MONTH(A1181)))))</f>
        <v/>
      </c>
    </row>
    <row r="1182" customFormat="false" ht="15" hidden="false" customHeight="false" outlineLevel="0" collapsed="false">
      <c r="H1182" s="0" t="str">
        <f aca="false">IF(B1182="","",IF(COUNTIF(Campaigns!$A$7:$A$300,B1182)&gt;0,"✓","⚠ add to Campaigns tab"))</f>
        <v/>
      </c>
      <c r="I1182" s="84" t="str">
        <f aca="false">IF(C1182="","",C1182*IF(Settings!$B$24=Settings!$C$6,1,IF(Settings!$B$24="USD",1/INDEX(Settings!$B$29:$B$40,MONTH(A1182)),INDEX(Settings!$B$29:$B$40,MONTH(A1182)))))</f>
        <v/>
      </c>
    </row>
    <row r="1183" customFormat="false" ht="15" hidden="false" customHeight="false" outlineLevel="0" collapsed="false">
      <c r="H1183" s="0" t="str">
        <f aca="false">IF(B1183="","",IF(COUNTIF(Campaigns!$A$7:$A$300,B1183)&gt;0,"✓","⚠ add to Campaigns tab"))</f>
        <v/>
      </c>
      <c r="I1183" s="84" t="str">
        <f aca="false">IF(C1183="","",C1183*IF(Settings!$B$24=Settings!$C$6,1,IF(Settings!$B$24="USD",1/INDEX(Settings!$B$29:$B$40,MONTH(A1183)),INDEX(Settings!$B$29:$B$40,MONTH(A1183)))))</f>
        <v/>
      </c>
    </row>
    <row r="1184" customFormat="false" ht="15" hidden="false" customHeight="false" outlineLevel="0" collapsed="false">
      <c r="H1184" s="0" t="str">
        <f aca="false">IF(B1184="","",IF(COUNTIF(Campaigns!$A$7:$A$300,B1184)&gt;0,"✓","⚠ add to Campaigns tab"))</f>
        <v/>
      </c>
      <c r="I1184" s="84" t="str">
        <f aca="false">IF(C1184="","",C1184*IF(Settings!$B$24=Settings!$C$6,1,IF(Settings!$B$24="USD",1/INDEX(Settings!$B$29:$B$40,MONTH(A1184)),INDEX(Settings!$B$29:$B$40,MONTH(A1184)))))</f>
        <v/>
      </c>
    </row>
    <row r="1185" customFormat="false" ht="15" hidden="false" customHeight="false" outlineLevel="0" collapsed="false">
      <c r="H1185" s="0" t="str">
        <f aca="false">IF(B1185="","",IF(COUNTIF(Campaigns!$A$7:$A$300,B1185)&gt;0,"✓","⚠ add to Campaigns tab"))</f>
        <v/>
      </c>
      <c r="I1185" s="84" t="str">
        <f aca="false">IF(C1185="","",C1185*IF(Settings!$B$24=Settings!$C$6,1,IF(Settings!$B$24="USD",1/INDEX(Settings!$B$29:$B$40,MONTH(A1185)),INDEX(Settings!$B$29:$B$40,MONTH(A1185)))))</f>
        <v/>
      </c>
    </row>
    <row r="1186" customFormat="false" ht="15" hidden="false" customHeight="false" outlineLevel="0" collapsed="false">
      <c r="H1186" s="0" t="str">
        <f aca="false">IF(B1186="","",IF(COUNTIF(Campaigns!$A$7:$A$300,B1186)&gt;0,"✓","⚠ add to Campaigns tab"))</f>
        <v/>
      </c>
      <c r="I1186" s="84" t="str">
        <f aca="false">IF(C1186="","",C1186*IF(Settings!$B$24=Settings!$C$6,1,IF(Settings!$B$24="USD",1/INDEX(Settings!$B$29:$B$40,MONTH(A1186)),INDEX(Settings!$B$29:$B$40,MONTH(A1186)))))</f>
        <v/>
      </c>
    </row>
    <row r="1187" customFormat="false" ht="15" hidden="false" customHeight="false" outlineLevel="0" collapsed="false">
      <c r="H1187" s="0" t="str">
        <f aca="false">IF(B1187="","",IF(COUNTIF(Campaigns!$A$7:$A$300,B1187)&gt;0,"✓","⚠ add to Campaigns tab"))</f>
        <v/>
      </c>
      <c r="I1187" s="84" t="str">
        <f aca="false">IF(C1187="","",C1187*IF(Settings!$B$24=Settings!$C$6,1,IF(Settings!$B$24="USD",1/INDEX(Settings!$B$29:$B$40,MONTH(A1187)),INDEX(Settings!$B$29:$B$40,MONTH(A1187)))))</f>
        <v/>
      </c>
    </row>
    <row r="1188" customFormat="false" ht="15" hidden="false" customHeight="false" outlineLevel="0" collapsed="false">
      <c r="H1188" s="0" t="str">
        <f aca="false">IF(B1188="","",IF(COUNTIF(Campaigns!$A$7:$A$300,B1188)&gt;0,"✓","⚠ add to Campaigns tab"))</f>
        <v/>
      </c>
      <c r="I1188" s="84" t="str">
        <f aca="false">IF(C1188="","",C1188*IF(Settings!$B$24=Settings!$C$6,1,IF(Settings!$B$24="USD",1/INDEX(Settings!$B$29:$B$40,MONTH(A1188)),INDEX(Settings!$B$29:$B$40,MONTH(A1188)))))</f>
        <v/>
      </c>
    </row>
    <row r="1189" customFormat="false" ht="15" hidden="false" customHeight="false" outlineLevel="0" collapsed="false">
      <c r="H1189" s="0" t="str">
        <f aca="false">IF(B1189="","",IF(COUNTIF(Campaigns!$A$7:$A$300,B1189)&gt;0,"✓","⚠ add to Campaigns tab"))</f>
        <v/>
      </c>
      <c r="I1189" s="84" t="str">
        <f aca="false">IF(C1189="","",C1189*IF(Settings!$B$24=Settings!$C$6,1,IF(Settings!$B$24="USD",1/INDEX(Settings!$B$29:$B$40,MONTH(A1189)),INDEX(Settings!$B$29:$B$40,MONTH(A1189)))))</f>
        <v/>
      </c>
    </row>
    <row r="1190" customFormat="false" ht="15" hidden="false" customHeight="false" outlineLevel="0" collapsed="false">
      <c r="H1190" s="0" t="str">
        <f aca="false">IF(B1190="","",IF(COUNTIF(Campaigns!$A$7:$A$300,B1190)&gt;0,"✓","⚠ add to Campaigns tab"))</f>
        <v/>
      </c>
      <c r="I1190" s="84" t="str">
        <f aca="false">IF(C1190="","",C1190*IF(Settings!$B$24=Settings!$C$6,1,IF(Settings!$B$24="USD",1/INDEX(Settings!$B$29:$B$40,MONTH(A1190)),INDEX(Settings!$B$29:$B$40,MONTH(A1190)))))</f>
        <v/>
      </c>
    </row>
    <row r="1191" customFormat="false" ht="15" hidden="false" customHeight="false" outlineLevel="0" collapsed="false">
      <c r="H1191" s="0" t="str">
        <f aca="false">IF(B1191="","",IF(COUNTIF(Campaigns!$A$7:$A$300,B1191)&gt;0,"✓","⚠ add to Campaigns tab"))</f>
        <v/>
      </c>
      <c r="I1191" s="84" t="str">
        <f aca="false">IF(C1191="","",C1191*IF(Settings!$B$24=Settings!$C$6,1,IF(Settings!$B$24="USD",1/INDEX(Settings!$B$29:$B$40,MONTH(A1191)),INDEX(Settings!$B$29:$B$40,MONTH(A1191)))))</f>
        <v/>
      </c>
    </row>
    <row r="1192" customFormat="false" ht="15" hidden="false" customHeight="false" outlineLevel="0" collapsed="false">
      <c r="H1192" s="0" t="str">
        <f aca="false">IF(B1192="","",IF(COUNTIF(Campaigns!$A$7:$A$300,B1192)&gt;0,"✓","⚠ add to Campaigns tab"))</f>
        <v/>
      </c>
      <c r="I1192" s="84" t="str">
        <f aca="false">IF(C1192="","",C1192*IF(Settings!$B$24=Settings!$C$6,1,IF(Settings!$B$24="USD",1/INDEX(Settings!$B$29:$B$40,MONTH(A1192)),INDEX(Settings!$B$29:$B$40,MONTH(A1192)))))</f>
        <v/>
      </c>
    </row>
    <row r="1193" customFormat="false" ht="15" hidden="false" customHeight="false" outlineLevel="0" collapsed="false">
      <c r="H1193" s="0" t="str">
        <f aca="false">IF(B1193="","",IF(COUNTIF(Campaigns!$A$7:$A$300,B1193)&gt;0,"✓","⚠ add to Campaigns tab"))</f>
        <v/>
      </c>
      <c r="I1193" s="84" t="str">
        <f aca="false">IF(C1193="","",C1193*IF(Settings!$B$24=Settings!$C$6,1,IF(Settings!$B$24="USD",1/INDEX(Settings!$B$29:$B$40,MONTH(A1193)),INDEX(Settings!$B$29:$B$40,MONTH(A1193)))))</f>
        <v/>
      </c>
    </row>
    <row r="1194" customFormat="false" ht="15" hidden="false" customHeight="false" outlineLevel="0" collapsed="false">
      <c r="H1194" s="0" t="str">
        <f aca="false">IF(B1194="","",IF(COUNTIF(Campaigns!$A$7:$A$300,B1194)&gt;0,"✓","⚠ add to Campaigns tab"))</f>
        <v/>
      </c>
      <c r="I1194" s="84" t="str">
        <f aca="false">IF(C1194="","",C1194*IF(Settings!$B$24=Settings!$C$6,1,IF(Settings!$B$24="USD",1/INDEX(Settings!$B$29:$B$40,MONTH(A1194)),INDEX(Settings!$B$29:$B$40,MONTH(A1194)))))</f>
        <v/>
      </c>
    </row>
    <row r="1195" customFormat="false" ht="15" hidden="false" customHeight="false" outlineLevel="0" collapsed="false">
      <c r="H1195" s="0" t="str">
        <f aca="false">IF(B1195="","",IF(COUNTIF(Campaigns!$A$7:$A$300,B1195)&gt;0,"✓","⚠ add to Campaigns tab"))</f>
        <v/>
      </c>
      <c r="I1195" s="84" t="str">
        <f aca="false">IF(C1195="","",C1195*IF(Settings!$B$24=Settings!$C$6,1,IF(Settings!$B$24="USD",1/INDEX(Settings!$B$29:$B$40,MONTH(A1195)),INDEX(Settings!$B$29:$B$40,MONTH(A1195)))))</f>
        <v/>
      </c>
    </row>
    <row r="1196" customFormat="false" ht="15" hidden="false" customHeight="false" outlineLevel="0" collapsed="false">
      <c r="H1196" s="0" t="str">
        <f aca="false">IF(B1196="","",IF(COUNTIF(Campaigns!$A$7:$A$300,B1196)&gt;0,"✓","⚠ add to Campaigns tab"))</f>
        <v/>
      </c>
      <c r="I1196" s="84" t="str">
        <f aca="false">IF(C1196="","",C1196*IF(Settings!$B$24=Settings!$C$6,1,IF(Settings!$B$24="USD",1/INDEX(Settings!$B$29:$B$40,MONTH(A1196)),INDEX(Settings!$B$29:$B$40,MONTH(A1196)))))</f>
        <v/>
      </c>
    </row>
    <row r="1197" customFormat="false" ht="15" hidden="false" customHeight="false" outlineLevel="0" collapsed="false">
      <c r="H1197" s="0" t="str">
        <f aca="false">IF(B1197="","",IF(COUNTIF(Campaigns!$A$7:$A$300,B1197)&gt;0,"✓","⚠ add to Campaigns tab"))</f>
        <v/>
      </c>
      <c r="I1197" s="84" t="str">
        <f aca="false">IF(C1197="","",C1197*IF(Settings!$B$24=Settings!$C$6,1,IF(Settings!$B$24="USD",1/INDEX(Settings!$B$29:$B$40,MONTH(A1197)),INDEX(Settings!$B$29:$B$40,MONTH(A1197)))))</f>
        <v/>
      </c>
    </row>
    <row r="1198" customFormat="false" ht="15" hidden="false" customHeight="false" outlineLevel="0" collapsed="false">
      <c r="H1198" s="0" t="str">
        <f aca="false">IF(B1198="","",IF(COUNTIF(Campaigns!$A$7:$A$300,B1198)&gt;0,"✓","⚠ add to Campaigns tab"))</f>
        <v/>
      </c>
      <c r="I1198" s="84" t="str">
        <f aca="false">IF(C1198="","",C1198*IF(Settings!$B$24=Settings!$C$6,1,IF(Settings!$B$24="USD",1/INDEX(Settings!$B$29:$B$40,MONTH(A1198)),INDEX(Settings!$B$29:$B$40,MONTH(A1198)))))</f>
        <v/>
      </c>
    </row>
    <row r="1199" customFormat="false" ht="15" hidden="false" customHeight="false" outlineLevel="0" collapsed="false">
      <c r="H1199" s="0" t="str">
        <f aca="false">IF(B1199="","",IF(COUNTIF(Campaigns!$A$7:$A$300,B1199)&gt;0,"✓","⚠ add to Campaigns tab"))</f>
        <v/>
      </c>
      <c r="I1199" s="84" t="str">
        <f aca="false">IF(C1199="","",C1199*IF(Settings!$B$24=Settings!$C$6,1,IF(Settings!$B$24="USD",1/INDEX(Settings!$B$29:$B$40,MONTH(A1199)),INDEX(Settings!$B$29:$B$40,MONTH(A1199)))))</f>
        <v/>
      </c>
    </row>
    <row r="1200" customFormat="false" ht="15" hidden="false" customHeight="false" outlineLevel="0" collapsed="false">
      <c r="H1200" s="0" t="str">
        <f aca="false">IF(B1200="","",IF(COUNTIF(Campaigns!$A$7:$A$300,B1200)&gt;0,"✓","⚠ add to Campaigns tab"))</f>
        <v/>
      </c>
      <c r="I1200" s="84" t="str">
        <f aca="false">IF(C1200="","",C1200*IF(Settings!$B$24=Settings!$C$6,1,IF(Settings!$B$24="USD",1/INDEX(Settings!$B$29:$B$40,MONTH(A1200)),INDEX(Settings!$B$29:$B$40,MONTH(A1200)))))</f>
        <v/>
      </c>
    </row>
    <row r="1201" customFormat="false" ht="15" hidden="false" customHeight="false" outlineLevel="0" collapsed="false">
      <c r="H1201" s="0" t="str">
        <f aca="false">IF(B1201="","",IF(COUNTIF(Campaigns!$A$7:$A$300,B1201)&gt;0,"✓","⚠ add to Campaigns tab"))</f>
        <v/>
      </c>
      <c r="I1201" s="84" t="str">
        <f aca="false">IF(C1201="","",C1201*IF(Settings!$B$24=Settings!$C$6,1,IF(Settings!$B$24="USD",1/INDEX(Settings!$B$29:$B$40,MONTH(A1201)),INDEX(Settings!$B$29:$B$40,MONTH(A1201)))))</f>
        <v/>
      </c>
    </row>
    <row r="1202" customFormat="false" ht="15" hidden="false" customHeight="false" outlineLevel="0" collapsed="false">
      <c r="H1202" s="0" t="str">
        <f aca="false">IF(B1202="","",IF(COUNTIF(Campaigns!$A$7:$A$300,B1202)&gt;0,"✓","⚠ add to Campaigns tab"))</f>
        <v/>
      </c>
      <c r="I1202" s="84" t="str">
        <f aca="false">IF(C1202="","",C1202*IF(Settings!$B$24=Settings!$C$6,1,IF(Settings!$B$24="USD",1/INDEX(Settings!$B$29:$B$40,MONTH(A1202)),INDEX(Settings!$B$29:$B$40,MONTH(A1202)))))</f>
        <v/>
      </c>
    </row>
    <row r="1203" customFormat="false" ht="15" hidden="false" customHeight="false" outlineLevel="0" collapsed="false">
      <c r="H1203" s="0" t="str">
        <f aca="false">IF(B1203="","",IF(COUNTIF(Campaigns!$A$7:$A$300,B1203)&gt;0,"✓","⚠ add to Campaigns tab"))</f>
        <v/>
      </c>
      <c r="I1203" s="84" t="str">
        <f aca="false">IF(C1203="","",C1203*IF(Settings!$B$24=Settings!$C$6,1,IF(Settings!$B$24="USD",1/INDEX(Settings!$B$29:$B$40,MONTH(A1203)),INDEX(Settings!$B$29:$B$40,MONTH(A1203)))))</f>
        <v/>
      </c>
    </row>
    <row r="1204" customFormat="false" ht="15" hidden="false" customHeight="false" outlineLevel="0" collapsed="false">
      <c r="H1204" s="0" t="str">
        <f aca="false">IF(B1204="","",IF(COUNTIF(Campaigns!$A$7:$A$300,B1204)&gt;0,"✓","⚠ add to Campaigns tab"))</f>
        <v/>
      </c>
      <c r="I1204" s="84" t="str">
        <f aca="false">IF(C1204="","",C1204*IF(Settings!$B$24=Settings!$C$6,1,IF(Settings!$B$24="USD",1/INDEX(Settings!$B$29:$B$40,MONTH(A1204)),INDEX(Settings!$B$29:$B$40,MONTH(A1204)))))</f>
        <v/>
      </c>
    </row>
    <row r="1205" customFormat="false" ht="15" hidden="false" customHeight="false" outlineLevel="0" collapsed="false">
      <c r="H1205" s="0" t="str">
        <f aca="false">IF(B1205="","",IF(COUNTIF(Campaigns!$A$7:$A$300,B1205)&gt;0,"✓","⚠ add to Campaigns tab"))</f>
        <v/>
      </c>
      <c r="I1205" s="84" t="str">
        <f aca="false">IF(C1205="","",C1205*IF(Settings!$B$24=Settings!$C$6,1,IF(Settings!$B$24="USD",1/INDEX(Settings!$B$29:$B$40,MONTH(A1205)),INDEX(Settings!$B$29:$B$40,MONTH(A1205)))))</f>
        <v/>
      </c>
    </row>
    <row r="1206" customFormat="false" ht="15" hidden="false" customHeight="false" outlineLevel="0" collapsed="false">
      <c r="H1206" s="0" t="str">
        <f aca="false">IF(B1206="","",IF(COUNTIF(Campaigns!$A$7:$A$300,B1206)&gt;0,"✓","⚠ add to Campaigns tab"))</f>
        <v/>
      </c>
      <c r="I1206" s="84" t="str">
        <f aca="false">IF(C1206="","",C1206*IF(Settings!$B$24=Settings!$C$6,1,IF(Settings!$B$24="USD",1/INDEX(Settings!$B$29:$B$40,MONTH(A1206)),INDEX(Settings!$B$29:$B$40,MONTH(A1206)))))</f>
        <v/>
      </c>
    </row>
    <row r="1207" customFormat="false" ht="15" hidden="false" customHeight="false" outlineLevel="0" collapsed="false">
      <c r="H1207" s="0" t="str">
        <f aca="false">IF(B1207="","",IF(COUNTIF(Campaigns!$A$7:$A$300,B1207)&gt;0,"✓","⚠ add to Campaigns tab"))</f>
        <v/>
      </c>
      <c r="I1207" s="84" t="str">
        <f aca="false">IF(C1207="","",C1207*IF(Settings!$B$24=Settings!$C$6,1,IF(Settings!$B$24="USD",1/INDEX(Settings!$B$29:$B$40,MONTH(A1207)),INDEX(Settings!$B$29:$B$40,MONTH(A1207)))))</f>
        <v/>
      </c>
    </row>
    <row r="1208" customFormat="false" ht="15" hidden="false" customHeight="false" outlineLevel="0" collapsed="false">
      <c r="H1208" s="0" t="str">
        <f aca="false">IF(B1208="","",IF(COUNTIF(Campaigns!$A$7:$A$300,B1208)&gt;0,"✓","⚠ add to Campaigns tab"))</f>
        <v/>
      </c>
      <c r="I1208" s="84" t="str">
        <f aca="false">IF(C1208="","",C1208*IF(Settings!$B$24=Settings!$C$6,1,IF(Settings!$B$24="USD",1/INDEX(Settings!$B$29:$B$40,MONTH(A1208)),INDEX(Settings!$B$29:$B$40,MONTH(A1208)))))</f>
        <v/>
      </c>
    </row>
    <row r="1209" customFormat="false" ht="15" hidden="false" customHeight="false" outlineLevel="0" collapsed="false">
      <c r="H1209" s="0" t="str">
        <f aca="false">IF(B1209="","",IF(COUNTIF(Campaigns!$A$7:$A$300,B1209)&gt;0,"✓","⚠ add to Campaigns tab"))</f>
        <v/>
      </c>
      <c r="I1209" s="84" t="str">
        <f aca="false">IF(C1209="","",C1209*IF(Settings!$B$24=Settings!$C$6,1,IF(Settings!$B$24="USD",1/INDEX(Settings!$B$29:$B$40,MONTH(A1209)),INDEX(Settings!$B$29:$B$40,MONTH(A1209)))))</f>
        <v/>
      </c>
    </row>
    <row r="1210" customFormat="false" ht="15" hidden="false" customHeight="false" outlineLevel="0" collapsed="false">
      <c r="H1210" s="0" t="str">
        <f aca="false">IF(B1210="","",IF(COUNTIF(Campaigns!$A$7:$A$300,B1210)&gt;0,"✓","⚠ add to Campaigns tab"))</f>
        <v/>
      </c>
      <c r="I1210" s="84" t="str">
        <f aca="false">IF(C1210="","",C1210*IF(Settings!$B$24=Settings!$C$6,1,IF(Settings!$B$24="USD",1/INDEX(Settings!$B$29:$B$40,MONTH(A1210)),INDEX(Settings!$B$29:$B$40,MONTH(A1210)))))</f>
        <v/>
      </c>
    </row>
    <row r="1211" customFormat="false" ht="15" hidden="false" customHeight="false" outlineLevel="0" collapsed="false">
      <c r="H1211" s="0" t="str">
        <f aca="false">IF(B1211="","",IF(COUNTIF(Campaigns!$A$7:$A$300,B1211)&gt;0,"✓","⚠ add to Campaigns tab"))</f>
        <v/>
      </c>
      <c r="I1211" s="84" t="str">
        <f aca="false">IF(C1211="","",C1211*IF(Settings!$B$24=Settings!$C$6,1,IF(Settings!$B$24="USD",1/INDEX(Settings!$B$29:$B$40,MONTH(A1211)),INDEX(Settings!$B$29:$B$40,MONTH(A1211)))))</f>
        <v/>
      </c>
    </row>
    <row r="1212" customFormat="false" ht="15" hidden="false" customHeight="false" outlineLevel="0" collapsed="false">
      <c r="H1212" s="0" t="str">
        <f aca="false">IF(B1212="","",IF(COUNTIF(Campaigns!$A$7:$A$300,B1212)&gt;0,"✓","⚠ add to Campaigns tab"))</f>
        <v/>
      </c>
      <c r="I1212" s="84" t="str">
        <f aca="false">IF(C1212="","",C1212*IF(Settings!$B$24=Settings!$C$6,1,IF(Settings!$B$24="USD",1/INDEX(Settings!$B$29:$B$40,MONTH(A1212)),INDEX(Settings!$B$29:$B$40,MONTH(A1212)))))</f>
        <v/>
      </c>
    </row>
    <row r="1213" customFormat="false" ht="15" hidden="false" customHeight="false" outlineLevel="0" collapsed="false">
      <c r="H1213" s="0" t="str">
        <f aca="false">IF(B1213="","",IF(COUNTIF(Campaigns!$A$7:$A$300,B1213)&gt;0,"✓","⚠ add to Campaigns tab"))</f>
        <v/>
      </c>
      <c r="I1213" s="84" t="str">
        <f aca="false">IF(C1213="","",C1213*IF(Settings!$B$24=Settings!$C$6,1,IF(Settings!$B$24="USD",1/INDEX(Settings!$B$29:$B$40,MONTH(A1213)),INDEX(Settings!$B$29:$B$40,MONTH(A1213)))))</f>
        <v/>
      </c>
    </row>
    <row r="1214" customFormat="false" ht="15" hidden="false" customHeight="false" outlineLevel="0" collapsed="false">
      <c r="H1214" s="0" t="str">
        <f aca="false">IF(B1214="","",IF(COUNTIF(Campaigns!$A$7:$A$300,B1214)&gt;0,"✓","⚠ add to Campaigns tab"))</f>
        <v/>
      </c>
      <c r="I1214" s="84" t="str">
        <f aca="false">IF(C1214="","",C1214*IF(Settings!$B$24=Settings!$C$6,1,IF(Settings!$B$24="USD",1/INDEX(Settings!$B$29:$B$40,MONTH(A1214)),INDEX(Settings!$B$29:$B$40,MONTH(A1214)))))</f>
        <v/>
      </c>
    </row>
    <row r="1215" customFormat="false" ht="15" hidden="false" customHeight="false" outlineLevel="0" collapsed="false">
      <c r="H1215" s="0" t="str">
        <f aca="false">IF(B1215="","",IF(COUNTIF(Campaigns!$A$7:$A$300,B1215)&gt;0,"✓","⚠ add to Campaigns tab"))</f>
        <v/>
      </c>
      <c r="I1215" s="84" t="str">
        <f aca="false">IF(C1215="","",C1215*IF(Settings!$B$24=Settings!$C$6,1,IF(Settings!$B$24="USD",1/INDEX(Settings!$B$29:$B$40,MONTH(A1215)),INDEX(Settings!$B$29:$B$40,MONTH(A1215)))))</f>
        <v/>
      </c>
    </row>
    <row r="1216" customFormat="false" ht="15" hidden="false" customHeight="false" outlineLevel="0" collapsed="false">
      <c r="H1216" s="0" t="str">
        <f aca="false">IF(B1216="","",IF(COUNTIF(Campaigns!$A$7:$A$300,B1216)&gt;0,"✓","⚠ add to Campaigns tab"))</f>
        <v/>
      </c>
      <c r="I1216" s="84" t="str">
        <f aca="false">IF(C1216="","",C1216*IF(Settings!$B$24=Settings!$C$6,1,IF(Settings!$B$24="USD",1/INDEX(Settings!$B$29:$B$40,MONTH(A1216)),INDEX(Settings!$B$29:$B$40,MONTH(A1216)))))</f>
        <v/>
      </c>
    </row>
    <row r="1217" customFormat="false" ht="15" hidden="false" customHeight="false" outlineLevel="0" collapsed="false">
      <c r="H1217" s="0" t="str">
        <f aca="false">IF(B1217="","",IF(COUNTIF(Campaigns!$A$7:$A$300,B1217)&gt;0,"✓","⚠ add to Campaigns tab"))</f>
        <v/>
      </c>
      <c r="I1217" s="84" t="str">
        <f aca="false">IF(C1217="","",C1217*IF(Settings!$B$24=Settings!$C$6,1,IF(Settings!$B$24="USD",1/INDEX(Settings!$B$29:$B$40,MONTH(A1217)),INDEX(Settings!$B$29:$B$40,MONTH(A1217)))))</f>
        <v/>
      </c>
    </row>
    <row r="1218" customFormat="false" ht="15" hidden="false" customHeight="false" outlineLevel="0" collapsed="false">
      <c r="H1218" s="0" t="str">
        <f aca="false">IF(B1218="","",IF(COUNTIF(Campaigns!$A$7:$A$300,B1218)&gt;0,"✓","⚠ add to Campaigns tab"))</f>
        <v/>
      </c>
      <c r="I1218" s="84" t="str">
        <f aca="false">IF(C1218="","",C1218*IF(Settings!$B$24=Settings!$C$6,1,IF(Settings!$B$24="USD",1/INDEX(Settings!$B$29:$B$40,MONTH(A1218)),INDEX(Settings!$B$29:$B$40,MONTH(A1218)))))</f>
        <v/>
      </c>
    </row>
    <row r="1219" customFormat="false" ht="15" hidden="false" customHeight="false" outlineLevel="0" collapsed="false">
      <c r="H1219" s="0" t="str">
        <f aca="false">IF(B1219="","",IF(COUNTIF(Campaigns!$A$7:$A$300,B1219)&gt;0,"✓","⚠ add to Campaigns tab"))</f>
        <v/>
      </c>
      <c r="I1219" s="84" t="str">
        <f aca="false">IF(C1219="","",C1219*IF(Settings!$B$24=Settings!$C$6,1,IF(Settings!$B$24="USD",1/INDEX(Settings!$B$29:$B$40,MONTH(A1219)),INDEX(Settings!$B$29:$B$40,MONTH(A1219)))))</f>
        <v/>
      </c>
    </row>
    <row r="1220" customFormat="false" ht="15" hidden="false" customHeight="false" outlineLevel="0" collapsed="false">
      <c r="H1220" s="0" t="str">
        <f aca="false">IF(B1220="","",IF(COUNTIF(Campaigns!$A$7:$A$300,B1220)&gt;0,"✓","⚠ add to Campaigns tab"))</f>
        <v/>
      </c>
      <c r="I1220" s="84" t="str">
        <f aca="false">IF(C1220="","",C1220*IF(Settings!$B$24=Settings!$C$6,1,IF(Settings!$B$24="USD",1/INDEX(Settings!$B$29:$B$40,MONTH(A1220)),INDEX(Settings!$B$29:$B$40,MONTH(A1220)))))</f>
        <v/>
      </c>
    </row>
    <row r="1221" customFormat="false" ht="15" hidden="false" customHeight="false" outlineLevel="0" collapsed="false">
      <c r="H1221" s="0" t="str">
        <f aca="false">IF(B1221="","",IF(COUNTIF(Campaigns!$A$7:$A$300,B1221)&gt;0,"✓","⚠ add to Campaigns tab"))</f>
        <v/>
      </c>
      <c r="I1221" s="84" t="str">
        <f aca="false">IF(C1221="","",C1221*IF(Settings!$B$24=Settings!$C$6,1,IF(Settings!$B$24="USD",1/INDEX(Settings!$B$29:$B$40,MONTH(A1221)),INDEX(Settings!$B$29:$B$40,MONTH(A1221)))))</f>
        <v/>
      </c>
    </row>
    <row r="1222" customFormat="false" ht="15" hidden="false" customHeight="false" outlineLevel="0" collapsed="false">
      <c r="H1222" s="0" t="str">
        <f aca="false">IF(B1222="","",IF(COUNTIF(Campaigns!$A$7:$A$300,B1222)&gt;0,"✓","⚠ add to Campaigns tab"))</f>
        <v/>
      </c>
      <c r="I1222" s="84" t="str">
        <f aca="false">IF(C1222="","",C1222*IF(Settings!$B$24=Settings!$C$6,1,IF(Settings!$B$24="USD",1/INDEX(Settings!$B$29:$B$40,MONTH(A1222)),INDEX(Settings!$B$29:$B$40,MONTH(A1222)))))</f>
        <v/>
      </c>
    </row>
    <row r="1223" customFormat="false" ht="15" hidden="false" customHeight="false" outlineLevel="0" collapsed="false">
      <c r="H1223" s="0" t="str">
        <f aca="false">IF(B1223="","",IF(COUNTIF(Campaigns!$A$7:$A$300,B1223)&gt;0,"✓","⚠ add to Campaigns tab"))</f>
        <v/>
      </c>
      <c r="I1223" s="84" t="str">
        <f aca="false">IF(C1223="","",C1223*IF(Settings!$B$24=Settings!$C$6,1,IF(Settings!$B$24="USD",1/INDEX(Settings!$B$29:$B$40,MONTH(A1223)),INDEX(Settings!$B$29:$B$40,MONTH(A1223)))))</f>
        <v/>
      </c>
    </row>
    <row r="1224" customFormat="false" ht="15" hidden="false" customHeight="false" outlineLevel="0" collapsed="false">
      <c r="H1224" s="0" t="str">
        <f aca="false">IF(B1224="","",IF(COUNTIF(Campaigns!$A$7:$A$300,B1224)&gt;0,"✓","⚠ add to Campaigns tab"))</f>
        <v/>
      </c>
      <c r="I1224" s="84" t="str">
        <f aca="false">IF(C1224="","",C1224*IF(Settings!$B$24=Settings!$C$6,1,IF(Settings!$B$24="USD",1/INDEX(Settings!$B$29:$B$40,MONTH(A1224)),INDEX(Settings!$B$29:$B$40,MONTH(A1224)))))</f>
        <v/>
      </c>
    </row>
    <row r="1225" customFormat="false" ht="15" hidden="false" customHeight="false" outlineLevel="0" collapsed="false">
      <c r="H1225" s="0" t="str">
        <f aca="false">IF(B1225="","",IF(COUNTIF(Campaigns!$A$7:$A$300,B1225)&gt;0,"✓","⚠ add to Campaigns tab"))</f>
        <v/>
      </c>
      <c r="I1225" s="84" t="str">
        <f aca="false">IF(C1225="","",C1225*IF(Settings!$B$24=Settings!$C$6,1,IF(Settings!$B$24="USD",1/INDEX(Settings!$B$29:$B$40,MONTH(A1225)),INDEX(Settings!$B$29:$B$40,MONTH(A1225)))))</f>
        <v/>
      </c>
    </row>
    <row r="1226" customFormat="false" ht="15" hidden="false" customHeight="false" outlineLevel="0" collapsed="false">
      <c r="H1226" s="0" t="str">
        <f aca="false">IF(B1226="","",IF(COUNTIF(Campaigns!$A$7:$A$300,B1226)&gt;0,"✓","⚠ add to Campaigns tab"))</f>
        <v/>
      </c>
      <c r="I1226" s="84" t="str">
        <f aca="false">IF(C1226="","",C1226*IF(Settings!$B$24=Settings!$C$6,1,IF(Settings!$B$24="USD",1/INDEX(Settings!$B$29:$B$40,MONTH(A1226)),INDEX(Settings!$B$29:$B$40,MONTH(A1226)))))</f>
        <v/>
      </c>
    </row>
    <row r="1227" customFormat="false" ht="15" hidden="false" customHeight="false" outlineLevel="0" collapsed="false">
      <c r="H1227" s="0" t="str">
        <f aca="false">IF(B1227="","",IF(COUNTIF(Campaigns!$A$7:$A$300,B1227)&gt;0,"✓","⚠ add to Campaigns tab"))</f>
        <v/>
      </c>
      <c r="I1227" s="84" t="str">
        <f aca="false">IF(C1227="","",C1227*IF(Settings!$B$24=Settings!$C$6,1,IF(Settings!$B$24="USD",1/INDEX(Settings!$B$29:$B$40,MONTH(A1227)),INDEX(Settings!$B$29:$B$40,MONTH(A1227)))))</f>
        <v/>
      </c>
    </row>
    <row r="1228" customFormat="false" ht="15" hidden="false" customHeight="false" outlineLevel="0" collapsed="false">
      <c r="H1228" s="0" t="str">
        <f aca="false">IF(B1228="","",IF(COUNTIF(Campaigns!$A$7:$A$300,B1228)&gt;0,"✓","⚠ add to Campaigns tab"))</f>
        <v/>
      </c>
      <c r="I1228" s="84" t="str">
        <f aca="false">IF(C1228="","",C1228*IF(Settings!$B$24=Settings!$C$6,1,IF(Settings!$B$24="USD",1/INDEX(Settings!$B$29:$B$40,MONTH(A1228)),INDEX(Settings!$B$29:$B$40,MONTH(A1228)))))</f>
        <v/>
      </c>
    </row>
    <row r="1229" customFormat="false" ht="15" hidden="false" customHeight="false" outlineLevel="0" collapsed="false">
      <c r="H1229" s="0" t="str">
        <f aca="false">IF(B1229="","",IF(COUNTIF(Campaigns!$A$7:$A$300,B1229)&gt;0,"✓","⚠ add to Campaigns tab"))</f>
        <v/>
      </c>
      <c r="I1229" s="84" t="str">
        <f aca="false">IF(C1229="","",C1229*IF(Settings!$B$24=Settings!$C$6,1,IF(Settings!$B$24="USD",1/INDEX(Settings!$B$29:$B$40,MONTH(A1229)),INDEX(Settings!$B$29:$B$40,MONTH(A1229)))))</f>
        <v/>
      </c>
    </row>
    <row r="1230" customFormat="false" ht="15" hidden="false" customHeight="false" outlineLevel="0" collapsed="false">
      <c r="H1230" s="0" t="str">
        <f aca="false">IF(B1230="","",IF(COUNTIF(Campaigns!$A$7:$A$300,B1230)&gt;0,"✓","⚠ add to Campaigns tab"))</f>
        <v/>
      </c>
      <c r="I1230" s="84" t="str">
        <f aca="false">IF(C1230="","",C1230*IF(Settings!$B$24=Settings!$C$6,1,IF(Settings!$B$24="USD",1/INDEX(Settings!$B$29:$B$40,MONTH(A1230)),INDEX(Settings!$B$29:$B$40,MONTH(A1230)))))</f>
        <v/>
      </c>
    </row>
    <row r="1231" customFormat="false" ht="15" hidden="false" customHeight="false" outlineLevel="0" collapsed="false">
      <c r="H1231" s="0" t="str">
        <f aca="false">IF(B1231="","",IF(COUNTIF(Campaigns!$A$7:$A$300,B1231)&gt;0,"✓","⚠ add to Campaigns tab"))</f>
        <v/>
      </c>
      <c r="I1231" s="84" t="str">
        <f aca="false">IF(C1231="","",C1231*IF(Settings!$B$24=Settings!$C$6,1,IF(Settings!$B$24="USD",1/INDEX(Settings!$B$29:$B$40,MONTH(A1231)),INDEX(Settings!$B$29:$B$40,MONTH(A1231)))))</f>
        <v/>
      </c>
    </row>
    <row r="1232" customFormat="false" ht="15" hidden="false" customHeight="false" outlineLevel="0" collapsed="false">
      <c r="H1232" s="0" t="str">
        <f aca="false">IF(B1232="","",IF(COUNTIF(Campaigns!$A$7:$A$300,B1232)&gt;0,"✓","⚠ add to Campaigns tab"))</f>
        <v/>
      </c>
      <c r="I1232" s="84" t="str">
        <f aca="false">IF(C1232="","",C1232*IF(Settings!$B$24=Settings!$C$6,1,IF(Settings!$B$24="USD",1/INDEX(Settings!$B$29:$B$40,MONTH(A1232)),INDEX(Settings!$B$29:$B$40,MONTH(A1232)))))</f>
        <v/>
      </c>
    </row>
    <row r="1233" customFormat="false" ht="15" hidden="false" customHeight="false" outlineLevel="0" collapsed="false">
      <c r="H1233" s="0" t="str">
        <f aca="false">IF(B1233="","",IF(COUNTIF(Campaigns!$A$7:$A$300,B1233)&gt;0,"✓","⚠ add to Campaigns tab"))</f>
        <v/>
      </c>
      <c r="I1233" s="84" t="str">
        <f aca="false">IF(C1233="","",C1233*IF(Settings!$B$24=Settings!$C$6,1,IF(Settings!$B$24="USD",1/INDEX(Settings!$B$29:$B$40,MONTH(A1233)),INDEX(Settings!$B$29:$B$40,MONTH(A1233)))))</f>
        <v/>
      </c>
    </row>
    <row r="1234" customFormat="false" ht="15" hidden="false" customHeight="false" outlineLevel="0" collapsed="false">
      <c r="H1234" s="0" t="str">
        <f aca="false">IF(B1234="","",IF(COUNTIF(Campaigns!$A$7:$A$300,B1234)&gt;0,"✓","⚠ add to Campaigns tab"))</f>
        <v/>
      </c>
      <c r="I1234" s="84" t="str">
        <f aca="false">IF(C1234="","",C1234*IF(Settings!$B$24=Settings!$C$6,1,IF(Settings!$B$24="USD",1/INDEX(Settings!$B$29:$B$40,MONTH(A1234)),INDEX(Settings!$B$29:$B$40,MONTH(A1234)))))</f>
        <v/>
      </c>
    </row>
    <row r="1235" customFormat="false" ht="15" hidden="false" customHeight="false" outlineLevel="0" collapsed="false">
      <c r="H1235" s="0" t="str">
        <f aca="false">IF(B1235="","",IF(COUNTIF(Campaigns!$A$7:$A$300,B1235)&gt;0,"✓","⚠ add to Campaigns tab"))</f>
        <v/>
      </c>
      <c r="I1235" s="84" t="str">
        <f aca="false">IF(C1235="","",C1235*IF(Settings!$B$24=Settings!$C$6,1,IF(Settings!$B$24="USD",1/INDEX(Settings!$B$29:$B$40,MONTH(A1235)),INDEX(Settings!$B$29:$B$40,MONTH(A1235)))))</f>
        <v/>
      </c>
    </row>
    <row r="1236" customFormat="false" ht="15" hidden="false" customHeight="false" outlineLevel="0" collapsed="false">
      <c r="H1236" s="0" t="str">
        <f aca="false">IF(B1236="","",IF(COUNTIF(Campaigns!$A$7:$A$300,B1236)&gt;0,"✓","⚠ add to Campaigns tab"))</f>
        <v/>
      </c>
      <c r="I1236" s="84" t="str">
        <f aca="false">IF(C1236="","",C1236*IF(Settings!$B$24=Settings!$C$6,1,IF(Settings!$B$24="USD",1/INDEX(Settings!$B$29:$B$40,MONTH(A1236)),INDEX(Settings!$B$29:$B$40,MONTH(A1236)))))</f>
        <v/>
      </c>
    </row>
    <row r="1237" customFormat="false" ht="15" hidden="false" customHeight="false" outlineLevel="0" collapsed="false">
      <c r="H1237" s="0" t="str">
        <f aca="false">IF(B1237="","",IF(COUNTIF(Campaigns!$A$7:$A$300,B1237)&gt;0,"✓","⚠ add to Campaigns tab"))</f>
        <v/>
      </c>
      <c r="I1237" s="84" t="str">
        <f aca="false">IF(C1237="","",C1237*IF(Settings!$B$24=Settings!$C$6,1,IF(Settings!$B$24="USD",1/INDEX(Settings!$B$29:$B$40,MONTH(A1237)),INDEX(Settings!$B$29:$B$40,MONTH(A1237)))))</f>
        <v/>
      </c>
    </row>
    <row r="1238" customFormat="false" ht="15" hidden="false" customHeight="false" outlineLevel="0" collapsed="false">
      <c r="H1238" s="0" t="str">
        <f aca="false">IF(B1238="","",IF(COUNTIF(Campaigns!$A$7:$A$300,B1238)&gt;0,"✓","⚠ add to Campaigns tab"))</f>
        <v/>
      </c>
      <c r="I1238" s="84" t="str">
        <f aca="false">IF(C1238="","",C1238*IF(Settings!$B$24=Settings!$C$6,1,IF(Settings!$B$24="USD",1/INDEX(Settings!$B$29:$B$40,MONTH(A1238)),INDEX(Settings!$B$29:$B$40,MONTH(A1238)))))</f>
        <v/>
      </c>
    </row>
    <row r="1239" customFormat="false" ht="15" hidden="false" customHeight="false" outlineLevel="0" collapsed="false">
      <c r="H1239" s="0" t="str">
        <f aca="false">IF(B1239="","",IF(COUNTIF(Campaigns!$A$7:$A$300,B1239)&gt;0,"✓","⚠ add to Campaigns tab"))</f>
        <v/>
      </c>
      <c r="I1239" s="84" t="str">
        <f aca="false">IF(C1239="","",C1239*IF(Settings!$B$24=Settings!$C$6,1,IF(Settings!$B$24="USD",1/INDEX(Settings!$B$29:$B$40,MONTH(A1239)),INDEX(Settings!$B$29:$B$40,MONTH(A1239)))))</f>
        <v/>
      </c>
    </row>
    <row r="1240" customFormat="false" ht="15" hidden="false" customHeight="false" outlineLevel="0" collapsed="false">
      <c r="H1240" s="0" t="str">
        <f aca="false">IF(B1240="","",IF(COUNTIF(Campaigns!$A$7:$A$300,B1240)&gt;0,"✓","⚠ add to Campaigns tab"))</f>
        <v/>
      </c>
      <c r="I1240" s="84" t="str">
        <f aca="false">IF(C1240="","",C1240*IF(Settings!$B$24=Settings!$C$6,1,IF(Settings!$B$24="USD",1/INDEX(Settings!$B$29:$B$40,MONTH(A1240)),INDEX(Settings!$B$29:$B$40,MONTH(A1240)))))</f>
        <v/>
      </c>
    </row>
    <row r="1241" customFormat="false" ht="15" hidden="false" customHeight="false" outlineLevel="0" collapsed="false">
      <c r="H1241" s="0" t="str">
        <f aca="false">IF(B1241="","",IF(COUNTIF(Campaigns!$A$7:$A$300,B1241)&gt;0,"✓","⚠ add to Campaigns tab"))</f>
        <v/>
      </c>
      <c r="I1241" s="84" t="str">
        <f aca="false">IF(C1241="","",C1241*IF(Settings!$B$24=Settings!$C$6,1,IF(Settings!$B$24="USD",1/INDEX(Settings!$B$29:$B$40,MONTH(A1241)),INDEX(Settings!$B$29:$B$40,MONTH(A1241)))))</f>
        <v/>
      </c>
    </row>
    <row r="1242" customFormat="false" ht="15" hidden="false" customHeight="false" outlineLevel="0" collapsed="false">
      <c r="H1242" s="0" t="str">
        <f aca="false">IF(B1242="","",IF(COUNTIF(Campaigns!$A$7:$A$300,B1242)&gt;0,"✓","⚠ add to Campaigns tab"))</f>
        <v/>
      </c>
      <c r="I1242" s="84" t="str">
        <f aca="false">IF(C1242="","",C1242*IF(Settings!$B$24=Settings!$C$6,1,IF(Settings!$B$24="USD",1/INDEX(Settings!$B$29:$B$40,MONTH(A1242)),INDEX(Settings!$B$29:$B$40,MONTH(A1242)))))</f>
        <v/>
      </c>
    </row>
    <row r="1243" customFormat="false" ht="15" hidden="false" customHeight="false" outlineLevel="0" collapsed="false">
      <c r="H1243" s="0" t="str">
        <f aca="false">IF(B1243="","",IF(COUNTIF(Campaigns!$A$7:$A$300,B1243)&gt;0,"✓","⚠ add to Campaigns tab"))</f>
        <v/>
      </c>
      <c r="I1243" s="84" t="str">
        <f aca="false">IF(C1243="","",C1243*IF(Settings!$B$24=Settings!$C$6,1,IF(Settings!$B$24="USD",1/INDEX(Settings!$B$29:$B$40,MONTH(A1243)),INDEX(Settings!$B$29:$B$40,MONTH(A1243)))))</f>
        <v/>
      </c>
    </row>
    <row r="1244" customFormat="false" ht="15" hidden="false" customHeight="false" outlineLevel="0" collapsed="false">
      <c r="H1244" s="0" t="str">
        <f aca="false">IF(B1244="","",IF(COUNTIF(Campaigns!$A$7:$A$300,B1244)&gt;0,"✓","⚠ add to Campaigns tab"))</f>
        <v/>
      </c>
      <c r="I1244" s="84" t="str">
        <f aca="false">IF(C1244="","",C1244*IF(Settings!$B$24=Settings!$C$6,1,IF(Settings!$B$24="USD",1/INDEX(Settings!$B$29:$B$40,MONTH(A1244)),INDEX(Settings!$B$29:$B$40,MONTH(A1244)))))</f>
        <v/>
      </c>
    </row>
    <row r="1245" customFormat="false" ht="15" hidden="false" customHeight="false" outlineLevel="0" collapsed="false">
      <c r="H1245" s="0" t="str">
        <f aca="false">IF(B1245="","",IF(COUNTIF(Campaigns!$A$7:$A$300,B1245)&gt;0,"✓","⚠ add to Campaigns tab"))</f>
        <v/>
      </c>
      <c r="I1245" s="84" t="str">
        <f aca="false">IF(C1245="","",C1245*IF(Settings!$B$24=Settings!$C$6,1,IF(Settings!$B$24="USD",1/INDEX(Settings!$B$29:$B$40,MONTH(A1245)),INDEX(Settings!$B$29:$B$40,MONTH(A1245)))))</f>
        <v/>
      </c>
    </row>
    <row r="1246" customFormat="false" ht="15" hidden="false" customHeight="false" outlineLevel="0" collapsed="false">
      <c r="H1246" s="0" t="str">
        <f aca="false">IF(B1246="","",IF(COUNTIF(Campaigns!$A$7:$A$300,B1246)&gt;0,"✓","⚠ add to Campaigns tab"))</f>
        <v/>
      </c>
      <c r="I1246" s="84" t="str">
        <f aca="false">IF(C1246="","",C1246*IF(Settings!$B$24=Settings!$C$6,1,IF(Settings!$B$24="USD",1/INDEX(Settings!$B$29:$B$40,MONTH(A1246)),INDEX(Settings!$B$29:$B$40,MONTH(A1246)))))</f>
        <v/>
      </c>
    </row>
    <row r="1247" customFormat="false" ht="15" hidden="false" customHeight="false" outlineLevel="0" collapsed="false">
      <c r="H1247" s="0" t="str">
        <f aca="false">IF(B1247="","",IF(COUNTIF(Campaigns!$A$7:$A$300,B1247)&gt;0,"✓","⚠ add to Campaigns tab"))</f>
        <v/>
      </c>
      <c r="I1247" s="84" t="str">
        <f aca="false">IF(C1247="","",C1247*IF(Settings!$B$24=Settings!$C$6,1,IF(Settings!$B$24="USD",1/INDEX(Settings!$B$29:$B$40,MONTH(A1247)),INDEX(Settings!$B$29:$B$40,MONTH(A1247)))))</f>
        <v/>
      </c>
    </row>
    <row r="1248" customFormat="false" ht="15" hidden="false" customHeight="false" outlineLevel="0" collapsed="false">
      <c r="H1248" s="0" t="str">
        <f aca="false">IF(B1248="","",IF(COUNTIF(Campaigns!$A$7:$A$300,B1248)&gt;0,"✓","⚠ add to Campaigns tab"))</f>
        <v/>
      </c>
      <c r="I1248" s="84" t="str">
        <f aca="false">IF(C1248="","",C1248*IF(Settings!$B$24=Settings!$C$6,1,IF(Settings!$B$24="USD",1/INDEX(Settings!$B$29:$B$40,MONTH(A1248)),INDEX(Settings!$B$29:$B$40,MONTH(A1248)))))</f>
        <v/>
      </c>
    </row>
    <row r="1249" customFormat="false" ht="15" hidden="false" customHeight="false" outlineLevel="0" collapsed="false">
      <c r="H1249" s="0" t="str">
        <f aca="false">IF(B1249="","",IF(COUNTIF(Campaigns!$A$7:$A$300,B1249)&gt;0,"✓","⚠ add to Campaigns tab"))</f>
        <v/>
      </c>
      <c r="I1249" s="84" t="str">
        <f aca="false">IF(C1249="","",C1249*IF(Settings!$B$24=Settings!$C$6,1,IF(Settings!$B$24="USD",1/INDEX(Settings!$B$29:$B$40,MONTH(A1249)),INDEX(Settings!$B$29:$B$40,MONTH(A1249)))))</f>
        <v/>
      </c>
    </row>
    <row r="1250" customFormat="false" ht="15" hidden="false" customHeight="false" outlineLevel="0" collapsed="false">
      <c r="H1250" s="0" t="str">
        <f aca="false">IF(B1250="","",IF(COUNTIF(Campaigns!$A$7:$A$300,B1250)&gt;0,"✓","⚠ add to Campaigns tab"))</f>
        <v/>
      </c>
      <c r="I1250" s="84" t="str">
        <f aca="false">IF(C1250="","",C1250*IF(Settings!$B$24=Settings!$C$6,1,IF(Settings!$B$24="USD",1/INDEX(Settings!$B$29:$B$40,MONTH(A1250)),INDEX(Settings!$B$29:$B$40,MONTH(A1250)))))</f>
        <v/>
      </c>
    </row>
    <row r="1251" customFormat="false" ht="15" hidden="false" customHeight="false" outlineLevel="0" collapsed="false">
      <c r="H1251" s="0" t="str">
        <f aca="false">IF(B1251="","",IF(COUNTIF(Campaigns!$A$7:$A$300,B1251)&gt;0,"✓","⚠ add to Campaigns tab"))</f>
        <v/>
      </c>
      <c r="I1251" s="84" t="str">
        <f aca="false">IF(C1251="","",C1251*IF(Settings!$B$24=Settings!$C$6,1,IF(Settings!$B$24="USD",1/INDEX(Settings!$B$29:$B$40,MONTH(A1251)),INDEX(Settings!$B$29:$B$40,MONTH(A1251)))))</f>
        <v/>
      </c>
    </row>
    <row r="1252" customFormat="false" ht="15" hidden="false" customHeight="false" outlineLevel="0" collapsed="false">
      <c r="H1252" s="0" t="str">
        <f aca="false">IF(B1252="","",IF(COUNTIF(Campaigns!$A$7:$A$300,B1252)&gt;0,"✓","⚠ add to Campaigns tab"))</f>
        <v/>
      </c>
      <c r="I1252" s="84" t="str">
        <f aca="false">IF(C1252="","",C1252*IF(Settings!$B$24=Settings!$C$6,1,IF(Settings!$B$24="USD",1/INDEX(Settings!$B$29:$B$40,MONTH(A1252)),INDEX(Settings!$B$29:$B$40,MONTH(A1252)))))</f>
        <v/>
      </c>
    </row>
    <row r="1253" customFormat="false" ht="15" hidden="false" customHeight="false" outlineLevel="0" collapsed="false">
      <c r="H1253" s="0" t="str">
        <f aca="false">IF(B1253="","",IF(COUNTIF(Campaigns!$A$7:$A$300,B1253)&gt;0,"✓","⚠ add to Campaigns tab"))</f>
        <v/>
      </c>
      <c r="I1253" s="84" t="str">
        <f aca="false">IF(C1253="","",C1253*IF(Settings!$B$24=Settings!$C$6,1,IF(Settings!$B$24="USD",1/INDEX(Settings!$B$29:$B$40,MONTH(A1253)),INDEX(Settings!$B$29:$B$40,MONTH(A1253)))))</f>
        <v/>
      </c>
    </row>
    <row r="1254" customFormat="false" ht="15" hidden="false" customHeight="false" outlineLevel="0" collapsed="false">
      <c r="H1254" s="0" t="str">
        <f aca="false">IF(B1254="","",IF(COUNTIF(Campaigns!$A$7:$A$300,B1254)&gt;0,"✓","⚠ add to Campaigns tab"))</f>
        <v/>
      </c>
      <c r="I1254" s="84" t="str">
        <f aca="false">IF(C1254="","",C1254*IF(Settings!$B$24=Settings!$C$6,1,IF(Settings!$B$24="USD",1/INDEX(Settings!$B$29:$B$40,MONTH(A1254)),INDEX(Settings!$B$29:$B$40,MONTH(A1254)))))</f>
        <v/>
      </c>
    </row>
    <row r="1255" customFormat="false" ht="15" hidden="false" customHeight="false" outlineLevel="0" collapsed="false">
      <c r="H1255" s="0" t="str">
        <f aca="false">IF(B1255="","",IF(COUNTIF(Campaigns!$A$7:$A$300,B1255)&gt;0,"✓","⚠ add to Campaigns tab"))</f>
        <v/>
      </c>
      <c r="I1255" s="84" t="str">
        <f aca="false">IF(C1255="","",C1255*IF(Settings!$B$24=Settings!$C$6,1,IF(Settings!$B$24="USD",1/INDEX(Settings!$B$29:$B$40,MONTH(A1255)),INDEX(Settings!$B$29:$B$40,MONTH(A1255)))))</f>
        <v/>
      </c>
    </row>
    <row r="1256" customFormat="false" ht="15" hidden="false" customHeight="false" outlineLevel="0" collapsed="false">
      <c r="H1256" s="0" t="str">
        <f aca="false">IF(B1256="","",IF(COUNTIF(Campaigns!$A$7:$A$300,B1256)&gt;0,"✓","⚠ add to Campaigns tab"))</f>
        <v/>
      </c>
      <c r="I1256" s="84" t="str">
        <f aca="false">IF(C1256="","",C1256*IF(Settings!$B$24=Settings!$C$6,1,IF(Settings!$B$24="USD",1/INDEX(Settings!$B$29:$B$40,MONTH(A1256)),INDEX(Settings!$B$29:$B$40,MONTH(A1256)))))</f>
        <v/>
      </c>
    </row>
    <row r="1257" customFormat="false" ht="15" hidden="false" customHeight="false" outlineLevel="0" collapsed="false">
      <c r="H1257" s="0" t="str">
        <f aca="false">IF(B1257="","",IF(COUNTIF(Campaigns!$A$7:$A$300,B1257)&gt;0,"✓","⚠ add to Campaigns tab"))</f>
        <v/>
      </c>
      <c r="I1257" s="84" t="str">
        <f aca="false">IF(C1257="","",C1257*IF(Settings!$B$24=Settings!$C$6,1,IF(Settings!$B$24="USD",1/INDEX(Settings!$B$29:$B$40,MONTH(A1257)),INDEX(Settings!$B$29:$B$40,MONTH(A1257)))))</f>
        <v/>
      </c>
    </row>
    <row r="1258" customFormat="false" ht="15" hidden="false" customHeight="false" outlineLevel="0" collapsed="false">
      <c r="H1258" s="0" t="str">
        <f aca="false">IF(B1258="","",IF(COUNTIF(Campaigns!$A$7:$A$300,B1258)&gt;0,"✓","⚠ add to Campaigns tab"))</f>
        <v/>
      </c>
      <c r="I1258" s="84" t="str">
        <f aca="false">IF(C1258="","",C1258*IF(Settings!$B$24=Settings!$C$6,1,IF(Settings!$B$24="USD",1/INDEX(Settings!$B$29:$B$40,MONTH(A1258)),INDEX(Settings!$B$29:$B$40,MONTH(A1258)))))</f>
        <v/>
      </c>
    </row>
    <row r="1259" customFormat="false" ht="15" hidden="false" customHeight="false" outlineLevel="0" collapsed="false">
      <c r="H1259" s="0" t="str">
        <f aca="false">IF(B1259="","",IF(COUNTIF(Campaigns!$A$7:$A$300,B1259)&gt;0,"✓","⚠ add to Campaigns tab"))</f>
        <v/>
      </c>
      <c r="I1259" s="84" t="str">
        <f aca="false">IF(C1259="","",C1259*IF(Settings!$B$24=Settings!$C$6,1,IF(Settings!$B$24="USD",1/INDEX(Settings!$B$29:$B$40,MONTH(A1259)),INDEX(Settings!$B$29:$B$40,MONTH(A1259)))))</f>
        <v/>
      </c>
    </row>
    <row r="1260" customFormat="false" ht="15" hidden="false" customHeight="false" outlineLevel="0" collapsed="false">
      <c r="H1260" s="0" t="str">
        <f aca="false">IF(B1260="","",IF(COUNTIF(Campaigns!$A$7:$A$300,B1260)&gt;0,"✓","⚠ add to Campaigns tab"))</f>
        <v/>
      </c>
      <c r="I1260" s="84" t="str">
        <f aca="false">IF(C1260="","",C1260*IF(Settings!$B$24=Settings!$C$6,1,IF(Settings!$B$24="USD",1/INDEX(Settings!$B$29:$B$40,MONTH(A1260)),INDEX(Settings!$B$29:$B$40,MONTH(A1260)))))</f>
        <v/>
      </c>
    </row>
    <row r="1261" customFormat="false" ht="15" hidden="false" customHeight="false" outlineLevel="0" collapsed="false">
      <c r="H1261" s="0" t="str">
        <f aca="false">IF(B1261="","",IF(COUNTIF(Campaigns!$A$7:$A$300,B1261)&gt;0,"✓","⚠ add to Campaigns tab"))</f>
        <v/>
      </c>
      <c r="I1261" s="84" t="str">
        <f aca="false">IF(C1261="","",C1261*IF(Settings!$B$24=Settings!$C$6,1,IF(Settings!$B$24="USD",1/INDEX(Settings!$B$29:$B$40,MONTH(A1261)),INDEX(Settings!$B$29:$B$40,MONTH(A1261)))))</f>
        <v/>
      </c>
    </row>
    <row r="1262" customFormat="false" ht="15" hidden="false" customHeight="false" outlineLevel="0" collapsed="false">
      <c r="H1262" s="0" t="str">
        <f aca="false">IF(B1262="","",IF(COUNTIF(Campaigns!$A$7:$A$300,B1262)&gt;0,"✓","⚠ add to Campaigns tab"))</f>
        <v/>
      </c>
      <c r="I1262" s="84" t="str">
        <f aca="false">IF(C1262="","",C1262*IF(Settings!$B$24=Settings!$C$6,1,IF(Settings!$B$24="USD",1/INDEX(Settings!$B$29:$B$40,MONTH(A1262)),INDEX(Settings!$B$29:$B$40,MONTH(A1262)))))</f>
        <v/>
      </c>
    </row>
    <row r="1263" customFormat="false" ht="15" hidden="false" customHeight="false" outlineLevel="0" collapsed="false">
      <c r="H1263" s="0" t="str">
        <f aca="false">IF(B1263="","",IF(COUNTIF(Campaigns!$A$7:$A$300,B1263)&gt;0,"✓","⚠ add to Campaigns tab"))</f>
        <v/>
      </c>
      <c r="I1263" s="84" t="str">
        <f aca="false">IF(C1263="","",C1263*IF(Settings!$B$24=Settings!$C$6,1,IF(Settings!$B$24="USD",1/INDEX(Settings!$B$29:$B$40,MONTH(A1263)),INDEX(Settings!$B$29:$B$40,MONTH(A1263)))))</f>
        <v/>
      </c>
    </row>
    <row r="1264" customFormat="false" ht="15" hidden="false" customHeight="false" outlineLevel="0" collapsed="false">
      <c r="H1264" s="0" t="str">
        <f aca="false">IF(B1264="","",IF(COUNTIF(Campaigns!$A$7:$A$300,B1264)&gt;0,"✓","⚠ add to Campaigns tab"))</f>
        <v/>
      </c>
      <c r="I1264" s="84" t="str">
        <f aca="false">IF(C1264="","",C1264*IF(Settings!$B$24=Settings!$C$6,1,IF(Settings!$B$24="USD",1/INDEX(Settings!$B$29:$B$40,MONTH(A1264)),INDEX(Settings!$B$29:$B$40,MONTH(A1264)))))</f>
        <v/>
      </c>
    </row>
    <row r="1265" customFormat="false" ht="15" hidden="false" customHeight="false" outlineLevel="0" collapsed="false">
      <c r="H1265" s="0" t="str">
        <f aca="false">IF(B1265="","",IF(COUNTIF(Campaigns!$A$7:$A$300,B1265)&gt;0,"✓","⚠ add to Campaigns tab"))</f>
        <v/>
      </c>
      <c r="I1265" s="84" t="str">
        <f aca="false">IF(C1265="","",C1265*IF(Settings!$B$24=Settings!$C$6,1,IF(Settings!$B$24="USD",1/INDEX(Settings!$B$29:$B$40,MONTH(A1265)),INDEX(Settings!$B$29:$B$40,MONTH(A1265)))))</f>
        <v/>
      </c>
    </row>
    <row r="1266" customFormat="false" ht="15" hidden="false" customHeight="false" outlineLevel="0" collapsed="false">
      <c r="H1266" s="0" t="str">
        <f aca="false">IF(B1266="","",IF(COUNTIF(Campaigns!$A$7:$A$300,B1266)&gt;0,"✓","⚠ add to Campaigns tab"))</f>
        <v/>
      </c>
      <c r="I1266" s="84" t="str">
        <f aca="false">IF(C1266="","",C1266*IF(Settings!$B$24=Settings!$C$6,1,IF(Settings!$B$24="USD",1/INDEX(Settings!$B$29:$B$40,MONTH(A1266)),INDEX(Settings!$B$29:$B$40,MONTH(A1266)))))</f>
        <v/>
      </c>
    </row>
    <row r="1267" customFormat="false" ht="15" hidden="false" customHeight="false" outlineLevel="0" collapsed="false">
      <c r="H1267" s="0" t="str">
        <f aca="false">IF(B1267="","",IF(COUNTIF(Campaigns!$A$7:$A$300,B1267)&gt;0,"✓","⚠ add to Campaigns tab"))</f>
        <v/>
      </c>
      <c r="I1267" s="84" t="str">
        <f aca="false">IF(C1267="","",C1267*IF(Settings!$B$24=Settings!$C$6,1,IF(Settings!$B$24="USD",1/INDEX(Settings!$B$29:$B$40,MONTH(A1267)),INDEX(Settings!$B$29:$B$40,MONTH(A1267)))))</f>
        <v/>
      </c>
    </row>
    <row r="1268" customFormat="false" ht="15" hidden="false" customHeight="false" outlineLevel="0" collapsed="false">
      <c r="H1268" s="0" t="str">
        <f aca="false">IF(B1268="","",IF(COUNTIF(Campaigns!$A$7:$A$300,B1268)&gt;0,"✓","⚠ add to Campaigns tab"))</f>
        <v/>
      </c>
      <c r="I1268" s="84" t="str">
        <f aca="false">IF(C1268="","",C1268*IF(Settings!$B$24=Settings!$C$6,1,IF(Settings!$B$24="USD",1/INDEX(Settings!$B$29:$B$40,MONTH(A1268)),INDEX(Settings!$B$29:$B$40,MONTH(A1268)))))</f>
        <v/>
      </c>
    </row>
    <row r="1269" customFormat="false" ht="15" hidden="false" customHeight="false" outlineLevel="0" collapsed="false">
      <c r="H1269" s="0" t="str">
        <f aca="false">IF(B1269="","",IF(COUNTIF(Campaigns!$A$7:$A$300,B1269)&gt;0,"✓","⚠ add to Campaigns tab"))</f>
        <v/>
      </c>
      <c r="I1269" s="84" t="str">
        <f aca="false">IF(C1269="","",C1269*IF(Settings!$B$24=Settings!$C$6,1,IF(Settings!$B$24="USD",1/INDEX(Settings!$B$29:$B$40,MONTH(A1269)),INDEX(Settings!$B$29:$B$40,MONTH(A1269)))))</f>
        <v/>
      </c>
    </row>
    <row r="1270" customFormat="false" ht="15" hidden="false" customHeight="false" outlineLevel="0" collapsed="false">
      <c r="H1270" s="0" t="str">
        <f aca="false">IF(B1270="","",IF(COUNTIF(Campaigns!$A$7:$A$300,B1270)&gt;0,"✓","⚠ add to Campaigns tab"))</f>
        <v/>
      </c>
      <c r="I1270" s="84" t="str">
        <f aca="false">IF(C1270="","",C1270*IF(Settings!$B$24=Settings!$C$6,1,IF(Settings!$B$24="USD",1/INDEX(Settings!$B$29:$B$40,MONTH(A1270)),INDEX(Settings!$B$29:$B$40,MONTH(A1270)))))</f>
        <v/>
      </c>
    </row>
    <row r="1271" customFormat="false" ht="15" hidden="false" customHeight="false" outlineLevel="0" collapsed="false">
      <c r="H1271" s="0" t="str">
        <f aca="false">IF(B1271="","",IF(COUNTIF(Campaigns!$A$7:$A$300,B1271)&gt;0,"✓","⚠ add to Campaigns tab"))</f>
        <v/>
      </c>
      <c r="I1271" s="84" t="str">
        <f aca="false">IF(C1271="","",C1271*IF(Settings!$B$24=Settings!$C$6,1,IF(Settings!$B$24="USD",1/INDEX(Settings!$B$29:$B$40,MONTH(A1271)),INDEX(Settings!$B$29:$B$40,MONTH(A1271)))))</f>
        <v/>
      </c>
    </row>
    <row r="1272" customFormat="false" ht="15" hidden="false" customHeight="false" outlineLevel="0" collapsed="false">
      <c r="H1272" s="0" t="str">
        <f aca="false">IF(B1272="","",IF(COUNTIF(Campaigns!$A$7:$A$300,B1272)&gt;0,"✓","⚠ add to Campaigns tab"))</f>
        <v/>
      </c>
      <c r="I1272" s="84" t="str">
        <f aca="false">IF(C1272="","",C1272*IF(Settings!$B$24=Settings!$C$6,1,IF(Settings!$B$24="USD",1/INDEX(Settings!$B$29:$B$40,MONTH(A1272)),INDEX(Settings!$B$29:$B$40,MONTH(A1272)))))</f>
        <v/>
      </c>
    </row>
    <row r="1273" customFormat="false" ht="15" hidden="false" customHeight="false" outlineLevel="0" collapsed="false">
      <c r="H1273" s="0" t="str">
        <f aca="false">IF(B1273="","",IF(COUNTIF(Campaigns!$A$7:$A$300,B1273)&gt;0,"✓","⚠ add to Campaigns tab"))</f>
        <v/>
      </c>
      <c r="I1273" s="84" t="str">
        <f aca="false">IF(C1273="","",C1273*IF(Settings!$B$24=Settings!$C$6,1,IF(Settings!$B$24="USD",1/INDEX(Settings!$B$29:$B$40,MONTH(A1273)),INDEX(Settings!$B$29:$B$40,MONTH(A1273)))))</f>
        <v/>
      </c>
    </row>
    <row r="1274" customFormat="false" ht="15" hidden="false" customHeight="false" outlineLevel="0" collapsed="false">
      <c r="H1274" s="0" t="str">
        <f aca="false">IF(B1274="","",IF(COUNTIF(Campaigns!$A$7:$A$300,B1274)&gt;0,"✓","⚠ add to Campaigns tab"))</f>
        <v/>
      </c>
      <c r="I1274" s="84" t="str">
        <f aca="false">IF(C1274="","",C1274*IF(Settings!$B$24=Settings!$C$6,1,IF(Settings!$B$24="USD",1/INDEX(Settings!$B$29:$B$40,MONTH(A1274)),INDEX(Settings!$B$29:$B$40,MONTH(A1274)))))</f>
        <v/>
      </c>
    </row>
    <row r="1275" customFormat="false" ht="15" hidden="false" customHeight="false" outlineLevel="0" collapsed="false">
      <c r="H1275" s="0" t="str">
        <f aca="false">IF(B1275="","",IF(COUNTIF(Campaigns!$A$7:$A$300,B1275)&gt;0,"✓","⚠ add to Campaigns tab"))</f>
        <v/>
      </c>
      <c r="I1275" s="84" t="str">
        <f aca="false">IF(C1275="","",C1275*IF(Settings!$B$24=Settings!$C$6,1,IF(Settings!$B$24="USD",1/INDEX(Settings!$B$29:$B$40,MONTH(A1275)),INDEX(Settings!$B$29:$B$40,MONTH(A1275)))))</f>
        <v/>
      </c>
    </row>
    <row r="1276" customFormat="false" ht="15" hidden="false" customHeight="false" outlineLevel="0" collapsed="false">
      <c r="H1276" s="0" t="str">
        <f aca="false">IF(B1276="","",IF(COUNTIF(Campaigns!$A$7:$A$300,B1276)&gt;0,"✓","⚠ add to Campaigns tab"))</f>
        <v/>
      </c>
      <c r="I1276" s="84" t="str">
        <f aca="false">IF(C1276="","",C1276*IF(Settings!$B$24=Settings!$C$6,1,IF(Settings!$B$24="USD",1/INDEX(Settings!$B$29:$B$40,MONTH(A1276)),INDEX(Settings!$B$29:$B$40,MONTH(A1276)))))</f>
        <v/>
      </c>
    </row>
    <row r="1277" customFormat="false" ht="15" hidden="false" customHeight="false" outlineLevel="0" collapsed="false">
      <c r="H1277" s="0" t="str">
        <f aca="false">IF(B1277="","",IF(COUNTIF(Campaigns!$A$7:$A$300,B1277)&gt;0,"✓","⚠ add to Campaigns tab"))</f>
        <v/>
      </c>
      <c r="I1277" s="84" t="str">
        <f aca="false">IF(C1277="","",C1277*IF(Settings!$B$24=Settings!$C$6,1,IF(Settings!$B$24="USD",1/INDEX(Settings!$B$29:$B$40,MONTH(A1277)),INDEX(Settings!$B$29:$B$40,MONTH(A1277)))))</f>
        <v/>
      </c>
    </row>
    <row r="1278" customFormat="false" ht="15" hidden="false" customHeight="false" outlineLevel="0" collapsed="false">
      <c r="H1278" s="0" t="str">
        <f aca="false">IF(B1278="","",IF(COUNTIF(Campaigns!$A$7:$A$300,B1278)&gt;0,"✓","⚠ add to Campaigns tab"))</f>
        <v/>
      </c>
      <c r="I1278" s="84" t="str">
        <f aca="false">IF(C1278="","",C1278*IF(Settings!$B$24=Settings!$C$6,1,IF(Settings!$B$24="USD",1/INDEX(Settings!$B$29:$B$40,MONTH(A1278)),INDEX(Settings!$B$29:$B$40,MONTH(A1278)))))</f>
        <v/>
      </c>
    </row>
    <row r="1279" customFormat="false" ht="15" hidden="false" customHeight="false" outlineLevel="0" collapsed="false">
      <c r="H1279" s="0" t="str">
        <f aca="false">IF(B1279="","",IF(COUNTIF(Campaigns!$A$7:$A$300,B1279)&gt;0,"✓","⚠ add to Campaigns tab"))</f>
        <v/>
      </c>
      <c r="I1279" s="84" t="str">
        <f aca="false">IF(C1279="","",C1279*IF(Settings!$B$24=Settings!$C$6,1,IF(Settings!$B$24="USD",1/INDEX(Settings!$B$29:$B$40,MONTH(A1279)),INDEX(Settings!$B$29:$B$40,MONTH(A1279)))))</f>
        <v/>
      </c>
    </row>
    <row r="1280" customFormat="false" ht="15" hidden="false" customHeight="false" outlineLevel="0" collapsed="false">
      <c r="H1280" s="0" t="str">
        <f aca="false">IF(B1280="","",IF(COUNTIF(Campaigns!$A$7:$A$300,B1280)&gt;0,"✓","⚠ add to Campaigns tab"))</f>
        <v/>
      </c>
      <c r="I1280" s="84" t="str">
        <f aca="false">IF(C1280="","",C1280*IF(Settings!$B$24=Settings!$C$6,1,IF(Settings!$B$24="USD",1/INDEX(Settings!$B$29:$B$40,MONTH(A1280)),INDEX(Settings!$B$29:$B$40,MONTH(A1280)))))</f>
        <v/>
      </c>
    </row>
    <row r="1281" customFormat="false" ht="15" hidden="false" customHeight="false" outlineLevel="0" collapsed="false">
      <c r="H1281" s="0" t="str">
        <f aca="false">IF(B1281="","",IF(COUNTIF(Campaigns!$A$7:$A$300,B1281)&gt;0,"✓","⚠ add to Campaigns tab"))</f>
        <v/>
      </c>
      <c r="I1281" s="84" t="str">
        <f aca="false">IF(C1281="","",C1281*IF(Settings!$B$24=Settings!$C$6,1,IF(Settings!$B$24="USD",1/INDEX(Settings!$B$29:$B$40,MONTH(A1281)),INDEX(Settings!$B$29:$B$40,MONTH(A1281)))))</f>
        <v/>
      </c>
    </row>
    <row r="1282" customFormat="false" ht="15" hidden="false" customHeight="false" outlineLevel="0" collapsed="false">
      <c r="H1282" s="0" t="str">
        <f aca="false">IF(B1282="","",IF(COUNTIF(Campaigns!$A$7:$A$300,B1282)&gt;0,"✓","⚠ add to Campaigns tab"))</f>
        <v/>
      </c>
      <c r="I1282" s="84" t="str">
        <f aca="false">IF(C1282="","",C1282*IF(Settings!$B$24=Settings!$C$6,1,IF(Settings!$B$24="USD",1/INDEX(Settings!$B$29:$B$40,MONTH(A1282)),INDEX(Settings!$B$29:$B$40,MONTH(A1282)))))</f>
        <v/>
      </c>
    </row>
    <row r="1283" customFormat="false" ht="15" hidden="false" customHeight="false" outlineLevel="0" collapsed="false">
      <c r="H1283" s="0" t="str">
        <f aca="false">IF(B1283="","",IF(COUNTIF(Campaigns!$A$7:$A$300,B1283)&gt;0,"✓","⚠ add to Campaigns tab"))</f>
        <v/>
      </c>
      <c r="I1283" s="84" t="str">
        <f aca="false">IF(C1283="","",C1283*IF(Settings!$B$24=Settings!$C$6,1,IF(Settings!$B$24="USD",1/INDEX(Settings!$B$29:$B$40,MONTH(A1283)),INDEX(Settings!$B$29:$B$40,MONTH(A1283)))))</f>
        <v/>
      </c>
    </row>
    <row r="1284" customFormat="false" ht="15" hidden="false" customHeight="false" outlineLevel="0" collapsed="false">
      <c r="H1284" s="0" t="str">
        <f aca="false">IF(B1284="","",IF(COUNTIF(Campaigns!$A$7:$A$300,B1284)&gt;0,"✓","⚠ add to Campaigns tab"))</f>
        <v/>
      </c>
      <c r="I1284" s="84" t="str">
        <f aca="false">IF(C1284="","",C1284*IF(Settings!$B$24=Settings!$C$6,1,IF(Settings!$B$24="USD",1/INDEX(Settings!$B$29:$B$40,MONTH(A1284)),INDEX(Settings!$B$29:$B$40,MONTH(A1284)))))</f>
        <v/>
      </c>
    </row>
    <row r="1285" customFormat="false" ht="15" hidden="false" customHeight="false" outlineLevel="0" collapsed="false">
      <c r="H1285" s="0" t="str">
        <f aca="false">IF(B1285="","",IF(COUNTIF(Campaigns!$A$7:$A$300,B1285)&gt;0,"✓","⚠ add to Campaigns tab"))</f>
        <v/>
      </c>
      <c r="I1285" s="84" t="str">
        <f aca="false">IF(C1285="","",C1285*IF(Settings!$B$24=Settings!$C$6,1,IF(Settings!$B$24="USD",1/INDEX(Settings!$B$29:$B$40,MONTH(A1285)),INDEX(Settings!$B$29:$B$40,MONTH(A1285)))))</f>
        <v/>
      </c>
    </row>
    <row r="1286" customFormat="false" ht="15" hidden="false" customHeight="false" outlineLevel="0" collapsed="false">
      <c r="H1286" s="0" t="str">
        <f aca="false">IF(B1286="","",IF(COUNTIF(Campaigns!$A$7:$A$300,B1286)&gt;0,"✓","⚠ add to Campaigns tab"))</f>
        <v/>
      </c>
      <c r="I1286" s="84" t="str">
        <f aca="false">IF(C1286="","",C1286*IF(Settings!$B$24=Settings!$C$6,1,IF(Settings!$B$24="USD",1/INDEX(Settings!$B$29:$B$40,MONTH(A1286)),INDEX(Settings!$B$29:$B$40,MONTH(A1286)))))</f>
        <v/>
      </c>
    </row>
    <row r="1287" customFormat="false" ht="15" hidden="false" customHeight="false" outlineLevel="0" collapsed="false">
      <c r="H1287" s="0" t="str">
        <f aca="false">IF(B1287="","",IF(COUNTIF(Campaigns!$A$7:$A$300,B1287)&gt;0,"✓","⚠ add to Campaigns tab"))</f>
        <v/>
      </c>
      <c r="I1287" s="84" t="str">
        <f aca="false">IF(C1287="","",C1287*IF(Settings!$B$24=Settings!$C$6,1,IF(Settings!$B$24="USD",1/INDEX(Settings!$B$29:$B$40,MONTH(A1287)),INDEX(Settings!$B$29:$B$40,MONTH(A1287)))))</f>
        <v/>
      </c>
    </row>
    <row r="1288" customFormat="false" ht="15" hidden="false" customHeight="false" outlineLevel="0" collapsed="false">
      <c r="H1288" s="0" t="str">
        <f aca="false">IF(B1288="","",IF(COUNTIF(Campaigns!$A$7:$A$300,B1288)&gt;0,"✓","⚠ add to Campaigns tab"))</f>
        <v/>
      </c>
      <c r="I1288" s="84" t="str">
        <f aca="false">IF(C1288="","",C1288*IF(Settings!$B$24=Settings!$C$6,1,IF(Settings!$B$24="USD",1/INDEX(Settings!$B$29:$B$40,MONTH(A1288)),INDEX(Settings!$B$29:$B$40,MONTH(A1288)))))</f>
        <v/>
      </c>
    </row>
    <row r="1289" customFormat="false" ht="15" hidden="false" customHeight="false" outlineLevel="0" collapsed="false">
      <c r="H1289" s="0" t="str">
        <f aca="false">IF(B1289="","",IF(COUNTIF(Campaigns!$A$7:$A$300,B1289)&gt;0,"✓","⚠ add to Campaigns tab"))</f>
        <v/>
      </c>
      <c r="I1289" s="84" t="str">
        <f aca="false">IF(C1289="","",C1289*IF(Settings!$B$24=Settings!$C$6,1,IF(Settings!$B$24="USD",1/INDEX(Settings!$B$29:$B$40,MONTH(A1289)),INDEX(Settings!$B$29:$B$40,MONTH(A1289)))))</f>
        <v/>
      </c>
    </row>
    <row r="1290" customFormat="false" ht="15" hidden="false" customHeight="false" outlineLevel="0" collapsed="false">
      <c r="H1290" s="0" t="str">
        <f aca="false">IF(B1290="","",IF(COUNTIF(Campaigns!$A$7:$A$300,B1290)&gt;0,"✓","⚠ add to Campaigns tab"))</f>
        <v/>
      </c>
      <c r="I1290" s="84" t="str">
        <f aca="false">IF(C1290="","",C1290*IF(Settings!$B$24=Settings!$C$6,1,IF(Settings!$B$24="USD",1/INDEX(Settings!$B$29:$B$40,MONTH(A1290)),INDEX(Settings!$B$29:$B$40,MONTH(A1290)))))</f>
        <v/>
      </c>
    </row>
    <row r="1291" customFormat="false" ht="15" hidden="false" customHeight="false" outlineLevel="0" collapsed="false">
      <c r="H1291" s="0" t="str">
        <f aca="false">IF(B1291="","",IF(COUNTIF(Campaigns!$A$7:$A$300,B1291)&gt;0,"✓","⚠ add to Campaigns tab"))</f>
        <v/>
      </c>
      <c r="I1291" s="84" t="str">
        <f aca="false">IF(C1291="","",C1291*IF(Settings!$B$24=Settings!$C$6,1,IF(Settings!$B$24="USD",1/INDEX(Settings!$B$29:$B$40,MONTH(A1291)),INDEX(Settings!$B$29:$B$40,MONTH(A1291)))))</f>
        <v/>
      </c>
    </row>
    <row r="1292" customFormat="false" ht="15" hidden="false" customHeight="false" outlineLevel="0" collapsed="false">
      <c r="H1292" s="0" t="str">
        <f aca="false">IF(B1292="","",IF(COUNTIF(Campaigns!$A$7:$A$300,B1292)&gt;0,"✓","⚠ add to Campaigns tab"))</f>
        <v/>
      </c>
      <c r="I1292" s="84" t="str">
        <f aca="false">IF(C1292="","",C1292*IF(Settings!$B$24=Settings!$C$6,1,IF(Settings!$B$24="USD",1/INDEX(Settings!$B$29:$B$40,MONTH(A1292)),INDEX(Settings!$B$29:$B$40,MONTH(A1292)))))</f>
        <v/>
      </c>
    </row>
    <row r="1293" customFormat="false" ht="15" hidden="false" customHeight="false" outlineLevel="0" collapsed="false">
      <c r="H1293" s="0" t="str">
        <f aca="false">IF(B1293="","",IF(COUNTIF(Campaigns!$A$7:$A$300,B1293)&gt;0,"✓","⚠ add to Campaigns tab"))</f>
        <v/>
      </c>
      <c r="I1293" s="84" t="str">
        <f aca="false">IF(C1293="","",C1293*IF(Settings!$B$24=Settings!$C$6,1,IF(Settings!$B$24="USD",1/INDEX(Settings!$B$29:$B$40,MONTH(A1293)),INDEX(Settings!$B$29:$B$40,MONTH(A1293)))))</f>
        <v/>
      </c>
    </row>
    <row r="1294" customFormat="false" ht="15" hidden="false" customHeight="false" outlineLevel="0" collapsed="false">
      <c r="H1294" s="0" t="str">
        <f aca="false">IF(B1294="","",IF(COUNTIF(Campaigns!$A$7:$A$300,B1294)&gt;0,"✓","⚠ add to Campaigns tab"))</f>
        <v/>
      </c>
      <c r="I1294" s="84" t="str">
        <f aca="false">IF(C1294="","",C1294*IF(Settings!$B$24=Settings!$C$6,1,IF(Settings!$B$24="USD",1/INDEX(Settings!$B$29:$B$40,MONTH(A1294)),INDEX(Settings!$B$29:$B$40,MONTH(A1294)))))</f>
        <v/>
      </c>
    </row>
    <row r="1295" customFormat="false" ht="15" hidden="false" customHeight="false" outlineLevel="0" collapsed="false">
      <c r="H1295" s="0" t="str">
        <f aca="false">IF(B1295="","",IF(COUNTIF(Campaigns!$A$7:$A$300,B1295)&gt;0,"✓","⚠ add to Campaigns tab"))</f>
        <v/>
      </c>
      <c r="I1295" s="84" t="str">
        <f aca="false">IF(C1295="","",C1295*IF(Settings!$B$24=Settings!$C$6,1,IF(Settings!$B$24="USD",1/INDEX(Settings!$B$29:$B$40,MONTH(A1295)),INDEX(Settings!$B$29:$B$40,MONTH(A1295)))))</f>
        <v/>
      </c>
    </row>
    <row r="1296" customFormat="false" ht="15" hidden="false" customHeight="false" outlineLevel="0" collapsed="false">
      <c r="H1296" s="0" t="str">
        <f aca="false">IF(B1296="","",IF(COUNTIF(Campaigns!$A$7:$A$300,B1296)&gt;0,"✓","⚠ add to Campaigns tab"))</f>
        <v/>
      </c>
      <c r="I1296" s="84" t="str">
        <f aca="false">IF(C1296="","",C1296*IF(Settings!$B$24=Settings!$C$6,1,IF(Settings!$B$24="USD",1/INDEX(Settings!$B$29:$B$40,MONTH(A1296)),INDEX(Settings!$B$29:$B$40,MONTH(A1296)))))</f>
        <v/>
      </c>
    </row>
    <row r="1297" customFormat="false" ht="15" hidden="false" customHeight="false" outlineLevel="0" collapsed="false">
      <c r="H1297" s="0" t="str">
        <f aca="false">IF(B1297="","",IF(COUNTIF(Campaigns!$A$7:$A$300,B1297)&gt;0,"✓","⚠ add to Campaigns tab"))</f>
        <v/>
      </c>
      <c r="I1297" s="84" t="str">
        <f aca="false">IF(C1297="","",C1297*IF(Settings!$B$24=Settings!$C$6,1,IF(Settings!$B$24="USD",1/INDEX(Settings!$B$29:$B$40,MONTH(A1297)),INDEX(Settings!$B$29:$B$40,MONTH(A1297)))))</f>
        <v/>
      </c>
    </row>
    <row r="1298" customFormat="false" ht="15" hidden="false" customHeight="false" outlineLevel="0" collapsed="false">
      <c r="H1298" s="0" t="str">
        <f aca="false">IF(B1298="","",IF(COUNTIF(Campaigns!$A$7:$A$300,B1298)&gt;0,"✓","⚠ add to Campaigns tab"))</f>
        <v/>
      </c>
      <c r="I1298" s="84" t="str">
        <f aca="false">IF(C1298="","",C1298*IF(Settings!$B$24=Settings!$C$6,1,IF(Settings!$B$24="USD",1/INDEX(Settings!$B$29:$B$40,MONTH(A1298)),INDEX(Settings!$B$29:$B$40,MONTH(A1298)))))</f>
        <v/>
      </c>
    </row>
    <row r="1299" customFormat="false" ht="15" hidden="false" customHeight="false" outlineLevel="0" collapsed="false">
      <c r="H1299" s="0" t="str">
        <f aca="false">IF(B1299="","",IF(COUNTIF(Campaigns!$A$7:$A$300,B1299)&gt;0,"✓","⚠ add to Campaigns tab"))</f>
        <v/>
      </c>
      <c r="I1299" s="84" t="str">
        <f aca="false">IF(C1299="","",C1299*IF(Settings!$B$24=Settings!$C$6,1,IF(Settings!$B$24="USD",1/INDEX(Settings!$B$29:$B$40,MONTH(A1299)),INDEX(Settings!$B$29:$B$40,MONTH(A1299)))))</f>
        <v/>
      </c>
    </row>
    <row r="1300" customFormat="false" ht="15" hidden="false" customHeight="false" outlineLevel="0" collapsed="false">
      <c r="H1300" s="0" t="str">
        <f aca="false">IF(B1300="","",IF(COUNTIF(Campaigns!$A$7:$A$300,B1300)&gt;0,"✓","⚠ add to Campaigns tab"))</f>
        <v/>
      </c>
      <c r="I1300" s="84" t="str">
        <f aca="false">IF(C1300="","",C1300*IF(Settings!$B$24=Settings!$C$6,1,IF(Settings!$B$24="USD",1/INDEX(Settings!$B$29:$B$40,MONTH(A1300)),INDEX(Settings!$B$29:$B$40,MONTH(A1300)))))</f>
        <v/>
      </c>
    </row>
    <row r="1301" customFormat="false" ht="15" hidden="false" customHeight="false" outlineLevel="0" collapsed="false">
      <c r="H1301" s="0" t="str">
        <f aca="false">IF(B1301="","",IF(COUNTIF(Campaigns!$A$7:$A$300,B1301)&gt;0,"✓","⚠ add to Campaigns tab"))</f>
        <v/>
      </c>
      <c r="I1301" s="84" t="str">
        <f aca="false">IF(C1301="","",C1301*IF(Settings!$B$24=Settings!$C$6,1,IF(Settings!$B$24="USD",1/INDEX(Settings!$B$29:$B$40,MONTH(A1301)),INDEX(Settings!$B$29:$B$40,MONTH(A1301)))))</f>
        <v/>
      </c>
    </row>
    <row r="1302" customFormat="false" ht="15" hidden="false" customHeight="false" outlineLevel="0" collapsed="false">
      <c r="H1302" s="0" t="str">
        <f aca="false">IF(B1302="","",IF(COUNTIF(Campaigns!$A$7:$A$300,B1302)&gt;0,"✓","⚠ add to Campaigns tab"))</f>
        <v/>
      </c>
      <c r="I1302" s="84" t="str">
        <f aca="false">IF(C1302="","",C1302*IF(Settings!$B$24=Settings!$C$6,1,IF(Settings!$B$24="USD",1/INDEX(Settings!$B$29:$B$40,MONTH(A1302)),INDEX(Settings!$B$29:$B$40,MONTH(A1302)))))</f>
        <v/>
      </c>
    </row>
    <row r="1303" customFormat="false" ht="15" hidden="false" customHeight="false" outlineLevel="0" collapsed="false">
      <c r="H1303" s="0" t="str">
        <f aca="false">IF(B1303="","",IF(COUNTIF(Campaigns!$A$7:$A$300,B1303)&gt;0,"✓","⚠ add to Campaigns tab"))</f>
        <v/>
      </c>
      <c r="I1303" s="84" t="str">
        <f aca="false">IF(C1303="","",C1303*IF(Settings!$B$24=Settings!$C$6,1,IF(Settings!$B$24="USD",1/INDEX(Settings!$B$29:$B$40,MONTH(A1303)),INDEX(Settings!$B$29:$B$40,MONTH(A1303)))))</f>
        <v/>
      </c>
    </row>
    <row r="1304" customFormat="false" ht="15" hidden="false" customHeight="false" outlineLevel="0" collapsed="false">
      <c r="H1304" s="0" t="str">
        <f aca="false">IF(B1304="","",IF(COUNTIF(Campaigns!$A$7:$A$300,B1304)&gt;0,"✓","⚠ add to Campaigns tab"))</f>
        <v/>
      </c>
      <c r="I1304" s="84" t="str">
        <f aca="false">IF(C1304="","",C1304*IF(Settings!$B$24=Settings!$C$6,1,IF(Settings!$B$24="USD",1/INDEX(Settings!$B$29:$B$40,MONTH(A1304)),INDEX(Settings!$B$29:$B$40,MONTH(A1304)))))</f>
        <v/>
      </c>
    </row>
    <row r="1305" customFormat="false" ht="15" hidden="false" customHeight="false" outlineLevel="0" collapsed="false">
      <c r="H1305" s="0" t="str">
        <f aca="false">IF(B1305="","",IF(COUNTIF(Campaigns!$A$7:$A$300,B1305)&gt;0,"✓","⚠ add to Campaigns tab"))</f>
        <v/>
      </c>
      <c r="I1305" s="84" t="str">
        <f aca="false">IF(C1305="","",C1305*IF(Settings!$B$24=Settings!$C$6,1,IF(Settings!$B$24="USD",1/INDEX(Settings!$B$29:$B$40,MONTH(A1305)),INDEX(Settings!$B$29:$B$40,MONTH(A1305)))))</f>
        <v/>
      </c>
    </row>
    <row r="1306" customFormat="false" ht="15" hidden="false" customHeight="false" outlineLevel="0" collapsed="false">
      <c r="H1306" s="0" t="str">
        <f aca="false">IF(B1306="","",IF(COUNTIF(Campaigns!$A$7:$A$300,B1306)&gt;0,"✓","⚠ add to Campaigns tab"))</f>
        <v/>
      </c>
      <c r="I1306" s="84" t="str">
        <f aca="false">IF(C1306="","",C1306*IF(Settings!$B$24=Settings!$C$6,1,IF(Settings!$B$24="USD",1/INDEX(Settings!$B$29:$B$40,MONTH(A1306)),INDEX(Settings!$B$29:$B$40,MONTH(A1306)))))</f>
        <v/>
      </c>
    </row>
    <row r="1307" customFormat="false" ht="15" hidden="false" customHeight="false" outlineLevel="0" collapsed="false">
      <c r="H1307" s="0" t="str">
        <f aca="false">IF(B1307="","",IF(COUNTIF(Campaigns!$A$7:$A$300,B1307)&gt;0,"✓","⚠ add to Campaigns tab"))</f>
        <v/>
      </c>
      <c r="I1307" s="84" t="str">
        <f aca="false">IF(C1307="","",C1307*IF(Settings!$B$24=Settings!$C$6,1,IF(Settings!$B$24="USD",1/INDEX(Settings!$B$29:$B$40,MONTH(A1307)),INDEX(Settings!$B$29:$B$40,MONTH(A1307)))))</f>
        <v/>
      </c>
    </row>
    <row r="1308" customFormat="false" ht="15" hidden="false" customHeight="false" outlineLevel="0" collapsed="false">
      <c r="H1308" s="0" t="str">
        <f aca="false">IF(B1308="","",IF(COUNTIF(Campaigns!$A$7:$A$300,B1308)&gt;0,"✓","⚠ add to Campaigns tab"))</f>
        <v/>
      </c>
      <c r="I1308" s="84" t="str">
        <f aca="false">IF(C1308="","",C1308*IF(Settings!$B$24=Settings!$C$6,1,IF(Settings!$B$24="USD",1/INDEX(Settings!$B$29:$B$40,MONTH(A1308)),INDEX(Settings!$B$29:$B$40,MONTH(A1308)))))</f>
        <v/>
      </c>
    </row>
    <row r="1309" customFormat="false" ht="15" hidden="false" customHeight="false" outlineLevel="0" collapsed="false">
      <c r="H1309" s="0" t="str">
        <f aca="false">IF(B1309="","",IF(COUNTIF(Campaigns!$A$7:$A$300,B1309)&gt;0,"✓","⚠ add to Campaigns tab"))</f>
        <v/>
      </c>
      <c r="I1309" s="84" t="str">
        <f aca="false">IF(C1309="","",C1309*IF(Settings!$B$24=Settings!$C$6,1,IF(Settings!$B$24="USD",1/INDEX(Settings!$B$29:$B$40,MONTH(A1309)),INDEX(Settings!$B$29:$B$40,MONTH(A1309)))))</f>
        <v/>
      </c>
    </row>
    <row r="1310" customFormat="false" ht="15" hidden="false" customHeight="false" outlineLevel="0" collapsed="false">
      <c r="H1310" s="0" t="str">
        <f aca="false">IF(B1310="","",IF(COUNTIF(Campaigns!$A$7:$A$300,B1310)&gt;0,"✓","⚠ add to Campaigns tab"))</f>
        <v/>
      </c>
      <c r="I1310" s="84" t="str">
        <f aca="false">IF(C1310="","",C1310*IF(Settings!$B$24=Settings!$C$6,1,IF(Settings!$B$24="USD",1/INDEX(Settings!$B$29:$B$40,MONTH(A1310)),INDEX(Settings!$B$29:$B$40,MONTH(A1310)))))</f>
        <v/>
      </c>
    </row>
    <row r="1311" customFormat="false" ht="15" hidden="false" customHeight="false" outlineLevel="0" collapsed="false">
      <c r="H1311" s="0" t="str">
        <f aca="false">IF(B1311="","",IF(COUNTIF(Campaigns!$A$7:$A$300,B1311)&gt;0,"✓","⚠ add to Campaigns tab"))</f>
        <v/>
      </c>
      <c r="I1311" s="84" t="str">
        <f aca="false">IF(C1311="","",C1311*IF(Settings!$B$24=Settings!$C$6,1,IF(Settings!$B$24="USD",1/INDEX(Settings!$B$29:$B$40,MONTH(A1311)),INDEX(Settings!$B$29:$B$40,MONTH(A1311)))))</f>
        <v/>
      </c>
    </row>
    <row r="1312" customFormat="false" ht="15" hidden="false" customHeight="false" outlineLevel="0" collapsed="false">
      <c r="H1312" s="0" t="str">
        <f aca="false">IF(B1312="","",IF(COUNTIF(Campaigns!$A$7:$A$300,B1312)&gt;0,"✓","⚠ add to Campaigns tab"))</f>
        <v/>
      </c>
      <c r="I1312" s="84" t="str">
        <f aca="false">IF(C1312="","",C1312*IF(Settings!$B$24=Settings!$C$6,1,IF(Settings!$B$24="USD",1/INDEX(Settings!$B$29:$B$40,MONTH(A1312)),INDEX(Settings!$B$29:$B$40,MONTH(A1312)))))</f>
        <v/>
      </c>
    </row>
    <row r="1313" customFormat="false" ht="15" hidden="false" customHeight="false" outlineLevel="0" collapsed="false">
      <c r="H1313" s="0" t="str">
        <f aca="false">IF(B1313="","",IF(COUNTIF(Campaigns!$A$7:$A$300,B1313)&gt;0,"✓","⚠ add to Campaigns tab"))</f>
        <v/>
      </c>
      <c r="I1313" s="84" t="str">
        <f aca="false">IF(C1313="","",C1313*IF(Settings!$B$24=Settings!$C$6,1,IF(Settings!$B$24="USD",1/INDEX(Settings!$B$29:$B$40,MONTH(A1313)),INDEX(Settings!$B$29:$B$40,MONTH(A1313)))))</f>
        <v/>
      </c>
    </row>
    <row r="1314" customFormat="false" ht="15" hidden="false" customHeight="false" outlineLevel="0" collapsed="false">
      <c r="H1314" s="0" t="str">
        <f aca="false">IF(B1314="","",IF(COUNTIF(Campaigns!$A$7:$A$300,B1314)&gt;0,"✓","⚠ add to Campaigns tab"))</f>
        <v/>
      </c>
      <c r="I1314" s="84" t="str">
        <f aca="false">IF(C1314="","",C1314*IF(Settings!$B$24=Settings!$C$6,1,IF(Settings!$B$24="USD",1/INDEX(Settings!$B$29:$B$40,MONTH(A1314)),INDEX(Settings!$B$29:$B$40,MONTH(A1314)))))</f>
        <v/>
      </c>
    </row>
    <row r="1315" customFormat="false" ht="15" hidden="false" customHeight="false" outlineLevel="0" collapsed="false">
      <c r="H1315" s="0" t="str">
        <f aca="false">IF(B1315="","",IF(COUNTIF(Campaigns!$A$7:$A$300,B1315)&gt;0,"✓","⚠ add to Campaigns tab"))</f>
        <v/>
      </c>
      <c r="I1315" s="84" t="str">
        <f aca="false">IF(C1315="","",C1315*IF(Settings!$B$24=Settings!$C$6,1,IF(Settings!$B$24="USD",1/INDEX(Settings!$B$29:$B$40,MONTH(A1315)),INDEX(Settings!$B$29:$B$40,MONTH(A1315)))))</f>
        <v/>
      </c>
    </row>
    <row r="1316" customFormat="false" ht="15" hidden="false" customHeight="false" outlineLevel="0" collapsed="false">
      <c r="H1316" s="0" t="str">
        <f aca="false">IF(B1316="","",IF(COUNTIF(Campaigns!$A$7:$A$300,B1316)&gt;0,"✓","⚠ add to Campaigns tab"))</f>
        <v/>
      </c>
      <c r="I1316" s="84" t="str">
        <f aca="false">IF(C1316="","",C1316*IF(Settings!$B$24=Settings!$C$6,1,IF(Settings!$B$24="USD",1/INDEX(Settings!$B$29:$B$40,MONTH(A1316)),INDEX(Settings!$B$29:$B$40,MONTH(A1316)))))</f>
        <v/>
      </c>
    </row>
    <row r="1317" customFormat="false" ht="15" hidden="false" customHeight="false" outlineLevel="0" collapsed="false">
      <c r="H1317" s="0" t="str">
        <f aca="false">IF(B1317="","",IF(COUNTIF(Campaigns!$A$7:$A$300,B1317)&gt;0,"✓","⚠ add to Campaigns tab"))</f>
        <v/>
      </c>
      <c r="I1317" s="84" t="str">
        <f aca="false">IF(C1317="","",C1317*IF(Settings!$B$24=Settings!$C$6,1,IF(Settings!$B$24="USD",1/INDEX(Settings!$B$29:$B$40,MONTH(A1317)),INDEX(Settings!$B$29:$B$40,MONTH(A1317)))))</f>
        <v/>
      </c>
    </row>
    <row r="1318" customFormat="false" ht="15" hidden="false" customHeight="false" outlineLevel="0" collapsed="false">
      <c r="H1318" s="0" t="str">
        <f aca="false">IF(B1318="","",IF(COUNTIF(Campaigns!$A$7:$A$300,B1318)&gt;0,"✓","⚠ add to Campaigns tab"))</f>
        <v/>
      </c>
      <c r="I1318" s="84" t="str">
        <f aca="false">IF(C1318="","",C1318*IF(Settings!$B$24=Settings!$C$6,1,IF(Settings!$B$24="USD",1/INDEX(Settings!$B$29:$B$40,MONTH(A1318)),INDEX(Settings!$B$29:$B$40,MONTH(A1318)))))</f>
        <v/>
      </c>
    </row>
    <row r="1319" customFormat="false" ht="15" hidden="false" customHeight="false" outlineLevel="0" collapsed="false">
      <c r="H1319" s="0" t="str">
        <f aca="false">IF(B1319="","",IF(COUNTIF(Campaigns!$A$7:$A$300,B1319)&gt;0,"✓","⚠ add to Campaigns tab"))</f>
        <v/>
      </c>
      <c r="I1319" s="84" t="str">
        <f aca="false">IF(C1319="","",C1319*IF(Settings!$B$24=Settings!$C$6,1,IF(Settings!$B$24="USD",1/INDEX(Settings!$B$29:$B$40,MONTH(A1319)),INDEX(Settings!$B$29:$B$40,MONTH(A1319)))))</f>
        <v/>
      </c>
    </row>
    <row r="1320" customFormat="false" ht="15" hidden="false" customHeight="false" outlineLevel="0" collapsed="false">
      <c r="H1320" s="0" t="str">
        <f aca="false">IF(B1320="","",IF(COUNTIF(Campaigns!$A$7:$A$300,B1320)&gt;0,"✓","⚠ add to Campaigns tab"))</f>
        <v/>
      </c>
      <c r="I1320" s="84" t="str">
        <f aca="false">IF(C1320="","",C1320*IF(Settings!$B$24=Settings!$C$6,1,IF(Settings!$B$24="USD",1/INDEX(Settings!$B$29:$B$40,MONTH(A1320)),INDEX(Settings!$B$29:$B$40,MONTH(A1320)))))</f>
        <v/>
      </c>
    </row>
    <row r="1321" customFormat="false" ht="15" hidden="false" customHeight="false" outlineLevel="0" collapsed="false">
      <c r="H1321" s="0" t="str">
        <f aca="false">IF(B1321="","",IF(COUNTIF(Campaigns!$A$7:$A$300,B1321)&gt;0,"✓","⚠ add to Campaigns tab"))</f>
        <v/>
      </c>
      <c r="I1321" s="84" t="str">
        <f aca="false">IF(C1321="","",C1321*IF(Settings!$B$24=Settings!$C$6,1,IF(Settings!$B$24="USD",1/INDEX(Settings!$B$29:$B$40,MONTH(A1321)),INDEX(Settings!$B$29:$B$40,MONTH(A1321)))))</f>
        <v/>
      </c>
    </row>
    <row r="1322" customFormat="false" ht="15" hidden="false" customHeight="false" outlineLevel="0" collapsed="false">
      <c r="H1322" s="0" t="str">
        <f aca="false">IF(B1322="","",IF(COUNTIF(Campaigns!$A$7:$A$300,B1322)&gt;0,"✓","⚠ add to Campaigns tab"))</f>
        <v/>
      </c>
      <c r="I1322" s="84" t="str">
        <f aca="false">IF(C1322="","",C1322*IF(Settings!$B$24=Settings!$C$6,1,IF(Settings!$B$24="USD",1/INDEX(Settings!$B$29:$B$40,MONTH(A1322)),INDEX(Settings!$B$29:$B$40,MONTH(A1322)))))</f>
        <v/>
      </c>
    </row>
    <row r="1323" customFormat="false" ht="15" hidden="false" customHeight="false" outlineLevel="0" collapsed="false">
      <c r="H1323" s="0" t="str">
        <f aca="false">IF(B1323="","",IF(COUNTIF(Campaigns!$A$7:$A$300,B1323)&gt;0,"✓","⚠ add to Campaigns tab"))</f>
        <v/>
      </c>
      <c r="I1323" s="84" t="str">
        <f aca="false">IF(C1323="","",C1323*IF(Settings!$B$24=Settings!$C$6,1,IF(Settings!$B$24="USD",1/INDEX(Settings!$B$29:$B$40,MONTH(A1323)),INDEX(Settings!$B$29:$B$40,MONTH(A1323)))))</f>
        <v/>
      </c>
    </row>
    <row r="1324" customFormat="false" ht="15" hidden="false" customHeight="false" outlineLevel="0" collapsed="false">
      <c r="H1324" s="0" t="str">
        <f aca="false">IF(B1324="","",IF(COUNTIF(Campaigns!$A$7:$A$300,B1324)&gt;0,"✓","⚠ add to Campaigns tab"))</f>
        <v/>
      </c>
      <c r="I1324" s="84" t="str">
        <f aca="false">IF(C1324="","",C1324*IF(Settings!$B$24=Settings!$C$6,1,IF(Settings!$B$24="USD",1/INDEX(Settings!$B$29:$B$40,MONTH(A1324)),INDEX(Settings!$B$29:$B$40,MONTH(A1324)))))</f>
        <v/>
      </c>
    </row>
    <row r="1325" customFormat="false" ht="15" hidden="false" customHeight="false" outlineLevel="0" collapsed="false">
      <c r="H1325" s="0" t="str">
        <f aca="false">IF(B1325="","",IF(COUNTIF(Campaigns!$A$7:$A$300,B1325)&gt;0,"✓","⚠ add to Campaigns tab"))</f>
        <v/>
      </c>
      <c r="I1325" s="84" t="str">
        <f aca="false">IF(C1325="","",C1325*IF(Settings!$B$24=Settings!$C$6,1,IF(Settings!$B$24="USD",1/INDEX(Settings!$B$29:$B$40,MONTH(A1325)),INDEX(Settings!$B$29:$B$40,MONTH(A1325)))))</f>
        <v/>
      </c>
    </row>
    <row r="1326" customFormat="false" ht="15" hidden="false" customHeight="false" outlineLevel="0" collapsed="false">
      <c r="H1326" s="0" t="str">
        <f aca="false">IF(B1326="","",IF(COUNTIF(Campaigns!$A$7:$A$300,B1326)&gt;0,"✓","⚠ add to Campaigns tab"))</f>
        <v/>
      </c>
      <c r="I1326" s="84" t="str">
        <f aca="false">IF(C1326="","",C1326*IF(Settings!$B$24=Settings!$C$6,1,IF(Settings!$B$24="USD",1/INDEX(Settings!$B$29:$B$40,MONTH(A1326)),INDEX(Settings!$B$29:$B$40,MONTH(A1326)))))</f>
        <v/>
      </c>
    </row>
    <row r="1327" customFormat="false" ht="15" hidden="false" customHeight="false" outlineLevel="0" collapsed="false">
      <c r="H1327" s="0" t="str">
        <f aca="false">IF(B1327="","",IF(COUNTIF(Campaigns!$A$7:$A$300,B1327)&gt;0,"✓","⚠ add to Campaigns tab"))</f>
        <v/>
      </c>
      <c r="I1327" s="84" t="str">
        <f aca="false">IF(C1327="","",C1327*IF(Settings!$B$24=Settings!$C$6,1,IF(Settings!$B$24="USD",1/INDEX(Settings!$B$29:$B$40,MONTH(A1327)),INDEX(Settings!$B$29:$B$40,MONTH(A1327)))))</f>
        <v/>
      </c>
    </row>
    <row r="1328" customFormat="false" ht="15" hidden="false" customHeight="false" outlineLevel="0" collapsed="false">
      <c r="H1328" s="0" t="str">
        <f aca="false">IF(B1328="","",IF(COUNTIF(Campaigns!$A$7:$A$300,B1328)&gt;0,"✓","⚠ add to Campaigns tab"))</f>
        <v/>
      </c>
      <c r="I1328" s="84" t="str">
        <f aca="false">IF(C1328="","",C1328*IF(Settings!$B$24=Settings!$C$6,1,IF(Settings!$B$24="USD",1/INDEX(Settings!$B$29:$B$40,MONTH(A1328)),INDEX(Settings!$B$29:$B$40,MONTH(A1328)))))</f>
        <v/>
      </c>
    </row>
    <row r="1329" customFormat="false" ht="15" hidden="false" customHeight="false" outlineLevel="0" collapsed="false">
      <c r="H1329" s="0" t="str">
        <f aca="false">IF(B1329="","",IF(COUNTIF(Campaigns!$A$7:$A$300,B1329)&gt;0,"✓","⚠ add to Campaigns tab"))</f>
        <v/>
      </c>
      <c r="I1329" s="84" t="str">
        <f aca="false">IF(C1329="","",C1329*IF(Settings!$B$24=Settings!$C$6,1,IF(Settings!$B$24="USD",1/INDEX(Settings!$B$29:$B$40,MONTH(A1329)),INDEX(Settings!$B$29:$B$40,MONTH(A1329)))))</f>
        <v/>
      </c>
    </row>
    <row r="1330" customFormat="false" ht="15" hidden="false" customHeight="false" outlineLevel="0" collapsed="false">
      <c r="H1330" s="0" t="str">
        <f aca="false">IF(B1330="","",IF(COUNTIF(Campaigns!$A$7:$A$300,B1330)&gt;0,"✓","⚠ add to Campaigns tab"))</f>
        <v/>
      </c>
      <c r="I1330" s="84" t="str">
        <f aca="false">IF(C1330="","",C1330*IF(Settings!$B$24=Settings!$C$6,1,IF(Settings!$B$24="USD",1/INDEX(Settings!$B$29:$B$40,MONTH(A1330)),INDEX(Settings!$B$29:$B$40,MONTH(A1330)))))</f>
        <v/>
      </c>
    </row>
    <row r="1331" customFormat="false" ht="15" hidden="false" customHeight="false" outlineLevel="0" collapsed="false">
      <c r="H1331" s="0" t="str">
        <f aca="false">IF(B1331="","",IF(COUNTIF(Campaigns!$A$7:$A$300,B1331)&gt;0,"✓","⚠ add to Campaigns tab"))</f>
        <v/>
      </c>
      <c r="I1331" s="84" t="str">
        <f aca="false">IF(C1331="","",C1331*IF(Settings!$B$24=Settings!$C$6,1,IF(Settings!$B$24="USD",1/INDEX(Settings!$B$29:$B$40,MONTH(A1331)),INDEX(Settings!$B$29:$B$40,MONTH(A1331)))))</f>
        <v/>
      </c>
    </row>
    <row r="1332" customFormat="false" ht="15" hidden="false" customHeight="false" outlineLevel="0" collapsed="false">
      <c r="H1332" s="0" t="str">
        <f aca="false">IF(B1332="","",IF(COUNTIF(Campaigns!$A$7:$A$300,B1332)&gt;0,"✓","⚠ add to Campaigns tab"))</f>
        <v/>
      </c>
      <c r="I1332" s="84" t="str">
        <f aca="false">IF(C1332="","",C1332*IF(Settings!$B$24=Settings!$C$6,1,IF(Settings!$B$24="USD",1/INDEX(Settings!$B$29:$B$40,MONTH(A1332)),INDEX(Settings!$B$29:$B$40,MONTH(A1332)))))</f>
        <v/>
      </c>
    </row>
    <row r="1333" customFormat="false" ht="15" hidden="false" customHeight="false" outlineLevel="0" collapsed="false">
      <c r="H1333" s="0" t="str">
        <f aca="false">IF(B1333="","",IF(COUNTIF(Campaigns!$A$7:$A$300,B1333)&gt;0,"✓","⚠ add to Campaigns tab"))</f>
        <v/>
      </c>
      <c r="I1333" s="84" t="str">
        <f aca="false">IF(C1333="","",C1333*IF(Settings!$B$24=Settings!$C$6,1,IF(Settings!$B$24="USD",1/INDEX(Settings!$B$29:$B$40,MONTH(A1333)),INDEX(Settings!$B$29:$B$40,MONTH(A1333)))))</f>
        <v/>
      </c>
    </row>
    <row r="1334" customFormat="false" ht="15" hidden="false" customHeight="false" outlineLevel="0" collapsed="false">
      <c r="H1334" s="0" t="str">
        <f aca="false">IF(B1334="","",IF(COUNTIF(Campaigns!$A$7:$A$300,B1334)&gt;0,"✓","⚠ add to Campaigns tab"))</f>
        <v/>
      </c>
      <c r="I1334" s="84" t="str">
        <f aca="false">IF(C1334="","",C1334*IF(Settings!$B$24=Settings!$C$6,1,IF(Settings!$B$24="USD",1/INDEX(Settings!$B$29:$B$40,MONTH(A1334)),INDEX(Settings!$B$29:$B$40,MONTH(A1334)))))</f>
        <v/>
      </c>
    </row>
    <row r="1335" customFormat="false" ht="15" hidden="false" customHeight="false" outlineLevel="0" collapsed="false">
      <c r="H1335" s="0" t="str">
        <f aca="false">IF(B1335="","",IF(COUNTIF(Campaigns!$A$7:$A$300,B1335)&gt;0,"✓","⚠ add to Campaigns tab"))</f>
        <v/>
      </c>
      <c r="I1335" s="84" t="str">
        <f aca="false">IF(C1335="","",C1335*IF(Settings!$B$24=Settings!$C$6,1,IF(Settings!$B$24="USD",1/INDEX(Settings!$B$29:$B$40,MONTH(A1335)),INDEX(Settings!$B$29:$B$40,MONTH(A1335)))))</f>
        <v/>
      </c>
    </row>
    <row r="1336" customFormat="false" ht="15" hidden="false" customHeight="false" outlineLevel="0" collapsed="false">
      <c r="H1336" s="0" t="str">
        <f aca="false">IF(B1336="","",IF(COUNTIF(Campaigns!$A$7:$A$300,B1336)&gt;0,"✓","⚠ add to Campaigns tab"))</f>
        <v/>
      </c>
      <c r="I1336" s="84" t="str">
        <f aca="false">IF(C1336="","",C1336*IF(Settings!$B$24=Settings!$C$6,1,IF(Settings!$B$24="USD",1/INDEX(Settings!$B$29:$B$40,MONTH(A1336)),INDEX(Settings!$B$29:$B$40,MONTH(A1336)))))</f>
        <v/>
      </c>
    </row>
    <row r="1337" customFormat="false" ht="15" hidden="false" customHeight="false" outlineLevel="0" collapsed="false">
      <c r="H1337" s="0" t="str">
        <f aca="false">IF(B1337="","",IF(COUNTIF(Campaigns!$A$7:$A$300,B1337)&gt;0,"✓","⚠ add to Campaigns tab"))</f>
        <v/>
      </c>
      <c r="I1337" s="84" t="str">
        <f aca="false">IF(C1337="","",C1337*IF(Settings!$B$24=Settings!$C$6,1,IF(Settings!$B$24="USD",1/INDEX(Settings!$B$29:$B$40,MONTH(A1337)),INDEX(Settings!$B$29:$B$40,MONTH(A1337)))))</f>
        <v/>
      </c>
    </row>
    <row r="1338" customFormat="false" ht="15" hidden="false" customHeight="false" outlineLevel="0" collapsed="false">
      <c r="H1338" s="0" t="str">
        <f aca="false">IF(B1338="","",IF(COUNTIF(Campaigns!$A$7:$A$300,B1338)&gt;0,"✓","⚠ add to Campaigns tab"))</f>
        <v/>
      </c>
      <c r="I1338" s="84" t="str">
        <f aca="false">IF(C1338="","",C1338*IF(Settings!$B$24=Settings!$C$6,1,IF(Settings!$B$24="USD",1/INDEX(Settings!$B$29:$B$40,MONTH(A1338)),INDEX(Settings!$B$29:$B$40,MONTH(A1338)))))</f>
        <v/>
      </c>
    </row>
    <row r="1339" customFormat="false" ht="15" hidden="false" customHeight="false" outlineLevel="0" collapsed="false">
      <c r="H1339" s="0" t="str">
        <f aca="false">IF(B1339="","",IF(COUNTIF(Campaigns!$A$7:$A$300,B1339)&gt;0,"✓","⚠ add to Campaigns tab"))</f>
        <v/>
      </c>
      <c r="I1339" s="84" t="str">
        <f aca="false">IF(C1339="","",C1339*IF(Settings!$B$24=Settings!$C$6,1,IF(Settings!$B$24="USD",1/INDEX(Settings!$B$29:$B$40,MONTH(A1339)),INDEX(Settings!$B$29:$B$40,MONTH(A1339)))))</f>
        <v/>
      </c>
    </row>
    <row r="1340" customFormat="false" ht="15" hidden="false" customHeight="false" outlineLevel="0" collapsed="false">
      <c r="H1340" s="0" t="str">
        <f aca="false">IF(B1340="","",IF(COUNTIF(Campaigns!$A$7:$A$300,B1340)&gt;0,"✓","⚠ add to Campaigns tab"))</f>
        <v/>
      </c>
      <c r="I1340" s="84" t="str">
        <f aca="false">IF(C1340="","",C1340*IF(Settings!$B$24=Settings!$C$6,1,IF(Settings!$B$24="USD",1/INDEX(Settings!$B$29:$B$40,MONTH(A1340)),INDEX(Settings!$B$29:$B$40,MONTH(A1340)))))</f>
        <v/>
      </c>
    </row>
    <row r="1341" customFormat="false" ht="15" hidden="false" customHeight="false" outlineLevel="0" collapsed="false">
      <c r="H1341" s="0" t="str">
        <f aca="false">IF(B1341="","",IF(COUNTIF(Campaigns!$A$7:$A$300,B1341)&gt;0,"✓","⚠ add to Campaigns tab"))</f>
        <v/>
      </c>
      <c r="I1341" s="84" t="str">
        <f aca="false">IF(C1341="","",C1341*IF(Settings!$B$24=Settings!$C$6,1,IF(Settings!$B$24="USD",1/INDEX(Settings!$B$29:$B$40,MONTH(A1341)),INDEX(Settings!$B$29:$B$40,MONTH(A1341)))))</f>
        <v/>
      </c>
    </row>
    <row r="1342" customFormat="false" ht="15" hidden="false" customHeight="false" outlineLevel="0" collapsed="false">
      <c r="H1342" s="0" t="str">
        <f aca="false">IF(B1342="","",IF(COUNTIF(Campaigns!$A$7:$A$300,B1342)&gt;0,"✓","⚠ add to Campaigns tab"))</f>
        <v/>
      </c>
      <c r="I1342" s="84" t="str">
        <f aca="false">IF(C1342="","",C1342*IF(Settings!$B$24=Settings!$C$6,1,IF(Settings!$B$24="USD",1/INDEX(Settings!$B$29:$B$40,MONTH(A1342)),INDEX(Settings!$B$29:$B$40,MONTH(A1342)))))</f>
        <v/>
      </c>
    </row>
    <row r="1343" customFormat="false" ht="15" hidden="false" customHeight="false" outlineLevel="0" collapsed="false">
      <c r="H1343" s="0" t="str">
        <f aca="false">IF(B1343="","",IF(COUNTIF(Campaigns!$A$7:$A$300,B1343)&gt;0,"✓","⚠ add to Campaigns tab"))</f>
        <v/>
      </c>
      <c r="I1343" s="84" t="str">
        <f aca="false">IF(C1343="","",C1343*IF(Settings!$B$24=Settings!$C$6,1,IF(Settings!$B$24="USD",1/INDEX(Settings!$B$29:$B$40,MONTH(A1343)),INDEX(Settings!$B$29:$B$40,MONTH(A1343)))))</f>
        <v/>
      </c>
    </row>
    <row r="1344" customFormat="false" ht="15" hidden="false" customHeight="false" outlineLevel="0" collapsed="false">
      <c r="H1344" s="0" t="str">
        <f aca="false">IF(B1344="","",IF(COUNTIF(Campaigns!$A$7:$A$300,B1344)&gt;0,"✓","⚠ add to Campaigns tab"))</f>
        <v/>
      </c>
      <c r="I1344" s="84" t="str">
        <f aca="false">IF(C1344="","",C1344*IF(Settings!$B$24=Settings!$C$6,1,IF(Settings!$B$24="USD",1/INDEX(Settings!$B$29:$B$40,MONTH(A1344)),INDEX(Settings!$B$29:$B$40,MONTH(A1344)))))</f>
        <v/>
      </c>
    </row>
    <row r="1345" customFormat="false" ht="15" hidden="false" customHeight="false" outlineLevel="0" collapsed="false">
      <c r="H1345" s="0" t="str">
        <f aca="false">IF(B1345="","",IF(COUNTIF(Campaigns!$A$7:$A$300,B1345)&gt;0,"✓","⚠ add to Campaigns tab"))</f>
        <v/>
      </c>
      <c r="I1345" s="84" t="str">
        <f aca="false">IF(C1345="","",C1345*IF(Settings!$B$24=Settings!$C$6,1,IF(Settings!$B$24="USD",1/INDEX(Settings!$B$29:$B$40,MONTH(A1345)),INDEX(Settings!$B$29:$B$40,MONTH(A1345)))))</f>
        <v/>
      </c>
    </row>
    <row r="1346" customFormat="false" ht="15" hidden="false" customHeight="false" outlineLevel="0" collapsed="false">
      <c r="H1346" s="0" t="str">
        <f aca="false">IF(B1346="","",IF(COUNTIF(Campaigns!$A$7:$A$300,B1346)&gt;0,"✓","⚠ add to Campaigns tab"))</f>
        <v/>
      </c>
      <c r="I1346" s="84" t="str">
        <f aca="false">IF(C1346="","",C1346*IF(Settings!$B$24=Settings!$C$6,1,IF(Settings!$B$24="USD",1/INDEX(Settings!$B$29:$B$40,MONTH(A1346)),INDEX(Settings!$B$29:$B$40,MONTH(A1346)))))</f>
        <v/>
      </c>
    </row>
    <row r="1347" customFormat="false" ht="15" hidden="false" customHeight="false" outlineLevel="0" collapsed="false">
      <c r="H1347" s="0" t="str">
        <f aca="false">IF(B1347="","",IF(COUNTIF(Campaigns!$A$7:$A$300,B1347)&gt;0,"✓","⚠ add to Campaigns tab"))</f>
        <v/>
      </c>
      <c r="I1347" s="84" t="str">
        <f aca="false">IF(C1347="","",C1347*IF(Settings!$B$24=Settings!$C$6,1,IF(Settings!$B$24="USD",1/INDEX(Settings!$B$29:$B$40,MONTH(A1347)),INDEX(Settings!$B$29:$B$40,MONTH(A1347)))))</f>
        <v/>
      </c>
    </row>
    <row r="1348" customFormat="false" ht="15" hidden="false" customHeight="false" outlineLevel="0" collapsed="false">
      <c r="H1348" s="0" t="str">
        <f aca="false">IF(B1348="","",IF(COUNTIF(Campaigns!$A$7:$A$300,B1348)&gt;0,"✓","⚠ add to Campaigns tab"))</f>
        <v/>
      </c>
      <c r="I1348" s="84" t="str">
        <f aca="false">IF(C1348="","",C1348*IF(Settings!$B$24=Settings!$C$6,1,IF(Settings!$B$24="USD",1/INDEX(Settings!$B$29:$B$40,MONTH(A1348)),INDEX(Settings!$B$29:$B$40,MONTH(A1348)))))</f>
        <v/>
      </c>
    </row>
    <row r="1349" customFormat="false" ht="15" hidden="false" customHeight="false" outlineLevel="0" collapsed="false">
      <c r="H1349" s="0" t="str">
        <f aca="false">IF(B1349="","",IF(COUNTIF(Campaigns!$A$7:$A$300,B1349)&gt;0,"✓","⚠ add to Campaigns tab"))</f>
        <v/>
      </c>
      <c r="I1349" s="84" t="str">
        <f aca="false">IF(C1349="","",C1349*IF(Settings!$B$24=Settings!$C$6,1,IF(Settings!$B$24="USD",1/INDEX(Settings!$B$29:$B$40,MONTH(A1349)),INDEX(Settings!$B$29:$B$40,MONTH(A1349)))))</f>
        <v/>
      </c>
    </row>
    <row r="1350" customFormat="false" ht="15" hidden="false" customHeight="false" outlineLevel="0" collapsed="false">
      <c r="H1350" s="0" t="str">
        <f aca="false">IF(B1350="","",IF(COUNTIF(Campaigns!$A$7:$A$300,B1350)&gt;0,"✓","⚠ add to Campaigns tab"))</f>
        <v/>
      </c>
      <c r="I1350" s="84" t="str">
        <f aca="false">IF(C1350="","",C1350*IF(Settings!$B$24=Settings!$C$6,1,IF(Settings!$B$24="USD",1/INDEX(Settings!$B$29:$B$40,MONTH(A1350)),INDEX(Settings!$B$29:$B$40,MONTH(A1350)))))</f>
        <v/>
      </c>
    </row>
    <row r="1351" customFormat="false" ht="15" hidden="false" customHeight="false" outlineLevel="0" collapsed="false">
      <c r="H1351" s="0" t="str">
        <f aca="false">IF(B1351="","",IF(COUNTIF(Campaigns!$A$7:$A$300,B1351)&gt;0,"✓","⚠ add to Campaigns tab"))</f>
        <v/>
      </c>
      <c r="I1351" s="84" t="str">
        <f aca="false">IF(C1351="","",C1351*IF(Settings!$B$24=Settings!$C$6,1,IF(Settings!$B$24="USD",1/INDEX(Settings!$B$29:$B$40,MONTH(A1351)),INDEX(Settings!$B$29:$B$40,MONTH(A1351)))))</f>
        <v/>
      </c>
    </row>
    <row r="1352" customFormat="false" ht="15" hidden="false" customHeight="false" outlineLevel="0" collapsed="false">
      <c r="H1352" s="0" t="str">
        <f aca="false">IF(B1352="","",IF(COUNTIF(Campaigns!$A$7:$A$300,B1352)&gt;0,"✓","⚠ add to Campaigns tab"))</f>
        <v/>
      </c>
      <c r="I1352" s="84" t="str">
        <f aca="false">IF(C1352="","",C1352*IF(Settings!$B$24=Settings!$C$6,1,IF(Settings!$B$24="USD",1/INDEX(Settings!$B$29:$B$40,MONTH(A1352)),INDEX(Settings!$B$29:$B$40,MONTH(A1352)))))</f>
        <v/>
      </c>
    </row>
    <row r="1353" customFormat="false" ht="15" hidden="false" customHeight="false" outlineLevel="0" collapsed="false">
      <c r="H1353" s="0" t="str">
        <f aca="false">IF(B1353="","",IF(COUNTIF(Campaigns!$A$7:$A$300,B1353)&gt;0,"✓","⚠ add to Campaigns tab"))</f>
        <v/>
      </c>
      <c r="I1353" s="84" t="str">
        <f aca="false">IF(C1353="","",C1353*IF(Settings!$B$24=Settings!$C$6,1,IF(Settings!$B$24="USD",1/INDEX(Settings!$B$29:$B$40,MONTH(A1353)),INDEX(Settings!$B$29:$B$40,MONTH(A1353)))))</f>
        <v/>
      </c>
    </row>
    <row r="1354" customFormat="false" ht="15" hidden="false" customHeight="false" outlineLevel="0" collapsed="false">
      <c r="H1354" s="0" t="str">
        <f aca="false">IF(B1354="","",IF(COUNTIF(Campaigns!$A$7:$A$300,B1354)&gt;0,"✓","⚠ add to Campaigns tab"))</f>
        <v/>
      </c>
      <c r="I1354" s="84" t="str">
        <f aca="false">IF(C1354="","",C1354*IF(Settings!$B$24=Settings!$C$6,1,IF(Settings!$B$24="USD",1/INDEX(Settings!$B$29:$B$40,MONTH(A1354)),INDEX(Settings!$B$29:$B$40,MONTH(A1354)))))</f>
        <v/>
      </c>
    </row>
    <row r="1355" customFormat="false" ht="15" hidden="false" customHeight="false" outlineLevel="0" collapsed="false">
      <c r="H1355" s="0" t="str">
        <f aca="false">IF(B1355="","",IF(COUNTIF(Campaigns!$A$7:$A$300,B1355)&gt;0,"✓","⚠ add to Campaigns tab"))</f>
        <v/>
      </c>
      <c r="I1355" s="84" t="str">
        <f aca="false">IF(C1355="","",C1355*IF(Settings!$B$24=Settings!$C$6,1,IF(Settings!$B$24="USD",1/INDEX(Settings!$B$29:$B$40,MONTH(A1355)),INDEX(Settings!$B$29:$B$40,MONTH(A1355)))))</f>
        <v/>
      </c>
    </row>
    <row r="1356" customFormat="false" ht="15" hidden="false" customHeight="false" outlineLevel="0" collapsed="false">
      <c r="H1356" s="0" t="str">
        <f aca="false">IF(B1356="","",IF(COUNTIF(Campaigns!$A$7:$A$300,B1356)&gt;0,"✓","⚠ add to Campaigns tab"))</f>
        <v/>
      </c>
      <c r="I1356" s="84" t="str">
        <f aca="false">IF(C1356="","",C1356*IF(Settings!$B$24=Settings!$C$6,1,IF(Settings!$B$24="USD",1/INDEX(Settings!$B$29:$B$40,MONTH(A1356)),INDEX(Settings!$B$29:$B$40,MONTH(A1356)))))</f>
        <v/>
      </c>
    </row>
    <row r="1357" customFormat="false" ht="15" hidden="false" customHeight="false" outlineLevel="0" collapsed="false">
      <c r="H1357" s="0" t="str">
        <f aca="false">IF(B1357="","",IF(COUNTIF(Campaigns!$A$7:$A$300,B1357)&gt;0,"✓","⚠ add to Campaigns tab"))</f>
        <v/>
      </c>
      <c r="I1357" s="84" t="str">
        <f aca="false">IF(C1357="","",C1357*IF(Settings!$B$24=Settings!$C$6,1,IF(Settings!$B$24="USD",1/INDEX(Settings!$B$29:$B$40,MONTH(A1357)),INDEX(Settings!$B$29:$B$40,MONTH(A1357)))))</f>
        <v/>
      </c>
    </row>
    <row r="1358" customFormat="false" ht="15" hidden="false" customHeight="false" outlineLevel="0" collapsed="false">
      <c r="H1358" s="0" t="str">
        <f aca="false">IF(B1358="","",IF(COUNTIF(Campaigns!$A$7:$A$300,B1358)&gt;0,"✓","⚠ add to Campaigns tab"))</f>
        <v/>
      </c>
      <c r="I1358" s="84" t="str">
        <f aca="false">IF(C1358="","",C1358*IF(Settings!$B$24=Settings!$C$6,1,IF(Settings!$B$24="USD",1/INDEX(Settings!$B$29:$B$40,MONTH(A1358)),INDEX(Settings!$B$29:$B$40,MONTH(A1358)))))</f>
        <v/>
      </c>
    </row>
    <row r="1359" customFormat="false" ht="15" hidden="false" customHeight="false" outlineLevel="0" collapsed="false">
      <c r="H1359" s="0" t="str">
        <f aca="false">IF(B1359="","",IF(COUNTIF(Campaigns!$A$7:$A$300,B1359)&gt;0,"✓","⚠ add to Campaigns tab"))</f>
        <v/>
      </c>
      <c r="I1359" s="84" t="str">
        <f aca="false">IF(C1359="","",C1359*IF(Settings!$B$24=Settings!$C$6,1,IF(Settings!$B$24="USD",1/INDEX(Settings!$B$29:$B$40,MONTH(A1359)),INDEX(Settings!$B$29:$B$40,MONTH(A1359)))))</f>
        <v/>
      </c>
    </row>
    <row r="1360" customFormat="false" ht="15" hidden="false" customHeight="false" outlineLevel="0" collapsed="false">
      <c r="H1360" s="0" t="str">
        <f aca="false">IF(B1360="","",IF(COUNTIF(Campaigns!$A$7:$A$300,B1360)&gt;0,"✓","⚠ add to Campaigns tab"))</f>
        <v/>
      </c>
      <c r="I1360" s="84" t="str">
        <f aca="false">IF(C1360="","",C1360*IF(Settings!$B$24=Settings!$C$6,1,IF(Settings!$B$24="USD",1/INDEX(Settings!$B$29:$B$40,MONTH(A1360)),INDEX(Settings!$B$29:$B$40,MONTH(A1360)))))</f>
        <v/>
      </c>
    </row>
    <row r="1361" customFormat="false" ht="15" hidden="false" customHeight="false" outlineLevel="0" collapsed="false">
      <c r="H1361" s="0" t="str">
        <f aca="false">IF(B1361="","",IF(COUNTIF(Campaigns!$A$7:$A$300,B1361)&gt;0,"✓","⚠ add to Campaigns tab"))</f>
        <v/>
      </c>
      <c r="I1361" s="84" t="str">
        <f aca="false">IF(C1361="","",C1361*IF(Settings!$B$24=Settings!$C$6,1,IF(Settings!$B$24="USD",1/INDEX(Settings!$B$29:$B$40,MONTH(A1361)),INDEX(Settings!$B$29:$B$40,MONTH(A1361)))))</f>
        <v/>
      </c>
    </row>
    <row r="1362" customFormat="false" ht="15" hidden="false" customHeight="false" outlineLevel="0" collapsed="false">
      <c r="H1362" s="0" t="str">
        <f aca="false">IF(B1362="","",IF(COUNTIF(Campaigns!$A$7:$A$300,B1362)&gt;0,"✓","⚠ add to Campaigns tab"))</f>
        <v/>
      </c>
      <c r="I1362" s="84" t="str">
        <f aca="false">IF(C1362="","",C1362*IF(Settings!$B$24=Settings!$C$6,1,IF(Settings!$B$24="USD",1/INDEX(Settings!$B$29:$B$40,MONTH(A1362)),INDEX(Settings!$B$29:$B$40,MONTH(A1362)))))</f>
        <v/>
      </c>
    </row>
    <row r="1363" customFormat="false" ht="15" hidden="false" customHeight="false" outlineLevel="0" collapsed="false">
      <c r="H1363" s="0" t="str">
        <f aca="false">IF(B1363="","",IF(COUNTIF(Campaigns!$A$7:$A$300,B1363)&gt;0,"✓","⚠ add to Campaigns tab"))</f>
        <v/>
      </c>
      <c r="I1363" s="84" t="str">
        <f aca="false">IF(C1363="","",C1363*IF(Settings!$B$24=Settings!$C$6,1,IF(Settings!$B$24="USD",1/INDEX(Settings!$B$29:$B$40,MONTH(A1363)),INDEX(Settings!$B$29:$B$40,MONTH(A1363)))))</f>
        <v/>
      </c>
    </row>
    <row r="1364" customFormat="false" ht="15" hidden="false" customHeight="false" outlineLevel="0" collapsed="false">
      <c r="H1364" s="0" t="str">
        <f aca="false">IF(B1364="","",IF(COUNTIF(Campaigns!$A$7:$A$300,B1364)&gt;0,"✓","⚠ add to Campaigns tab"))</f>
        <v/>
      </c>
      <c r="I1364" s="84" t="str">
        <f aca="false">IF(C1364="","",C1364*IF(Settings!$B$24=Settings!$C$6,1,IF(Settings!$B$24="USD",1/INDEX(Settings!$B$29:$B$40,MONTH(A1364)),INDEX(Settings!$B$29:$B$40,MONTH(A1364)))))</f>
        <v/>
      </c>
    </row>
    <row r="1365" customFormat="false" ht="15" hidden="false" customHeight="false" outlineLevel="0" collapsed="false">
      <c r="H1365" s="0" t="str">
        <f aca="false">IF(B1365="","",IF(COUNTIF(Campaigns!$A$7:$A$300,B1365)&gt;0,"✓","⚠ add to Campaigns tab"))</f>
        <v/>
      </c>
      <c r="I1365" s="84" t="str">
        <f aca="false">IF(C1365="","",C1365*IF(Settings!$B$24=Settings!$C$6,1,IF(Settings!$B$24="USD",1/INDEX(Settings!$B$29:$B$40,MONTH(A1365)),INDEX(Settings!$B$29:$B$40,MONTH(A1365)))))</f>
        <v/>
      </c>
    </row>
    <row r="1366" customFormat="false" ht="15" hidden="false" customHeight="false" outlineLevel="0" collapsed="false">
      <c r="H1366" s="0" t="str">
        <f aca="false">IF(B1366="","",IF(COUNTIF(Campaigns!$A$7:$A$300,B1366)&gt;0,"✓","⚠ add to Campaigns tab"))</f>
        <v/>
      </c>
      <c r="I1366" s="84" t="str">
        <f aca="false">IF(C1366="","",C1366*IF(Settings!$B$24=Settings!$C$6,1,IF(Settings!$B$24="USD",1/INDEX(Settings!$B$29:$B$40,MONTH(A1366)),INDEX(Settings!$B$29:$B$40,MONTH(A1366)))))</f>
        <v/>
      </c>
    </row>
    <row r="1367" customFormat="false" ht="15" hidden="false" customHeight="false" outlineLevel="0" collapsed="false">
      <c r="H1367" s="0" t="str">
        <f aca="false">IF(B1367="","",IF(COUNTIF(Campaigns!$A$7:$A$300,B1367)&gt;0,"✓","⚠ add to Campaigns tab"))</f>
        <v/>
      </c>
      <c r="I1367" s="84" t="str">
        <f aca="false">IF(C1367="","",C1367*IF(Settings!$B$24=Settings!$C$6,1,IF(Settings!$B$24="USD",1/INDEX(Settings!$B$29:$B$40,MONTH(A1367)),INDEX(Settings!$B$29:$B$40,MONTH(A1367)))))</f>
        <v/>
      </c>
    </row>
    <row r="1368" customFormat="false" ht="15" hidden="false" customHeight="false" outlineLevel="0" collapsed="false">
      <c r="H1368" s="0" t="str">
        <f aca="false">IF(B1368="","",IF(COUNTIF(Campaigns!$A$7:$A$300,B1368)&gt;0,"✓","⚠ add to Campaigns tab"))</f>
        <v/>
      </c>
      <c r="I1368" s="84" t="str">
        <f aca="false">IF(C1368="","",C1368*IF(Settings!$B$24=Settings!$C$6,1,IF(Settings!$B$24="USD",1/INDEX(Settings!$B$29:$B$40,MONTH(A1368)),INDEX(Settings!$B$29:$B$40,MONTH(A1368)))))</f>
        <v/>
      </c>
    </row>
    <row r="1369" customFormat="false" ht="15" hidden="false" customHeight="false" outlineLevel="0" collapsed="false">
      <c r="H1369" s="0" t="str">
        <f aca="false">IF(B1369="","",IF(COUNTIF(Campaigns!$A$7:$A$300,B1369)&gt;0,"✓","⚠ add to Campaigns tab"))</f>
        <v/>
      </c>
      <c r="I1369" s="84" t="str">
        <f aca="false">IF(C1369="","",C1369*IF(Settings!$B$24=Settings!$C$6,1,IF(Settings!$B$24="USD",1/INDEX(Settings!$B$29:$B$40,MONTH(A1369)),INDEX(Settings!$B$29:$B$40,MONTH(A1369)))))</f>
        <v/>
      </c>
    </row>
    <row r="1370" customFormat="false" ht="15" hidden="false" customHeight="false" outlineLevel="0" collapsed="false">
      <c r="H1370" s="0" t="str">
        <f aca="false">IF(B1370="","",IF(COUNTIF(Campaigns!$A$7:$A$300,B1370)&gt;0,"✓","⚠ add to Campaigns tab"))</f>
        <v/>
      </c>
      <c r="I1370" s="84" t="str">
        <f aca="false">IF(C1370="","",C1370*IF(Settings!$B$24=Settings!$C$6,1,IF(Settings!$B$24="USD",1/INDEX(Settings!$B$29:$B$40,MONTH(A1370)),INDEX(Settings!$B$29:$B$40,MONTH(A1370)))))</f>
        <v/>
      </c>
    </row>
    <row r="1371" customFormat="false" ht="15" hidden="false" customHeight="false" outlineLevel="0" collapsed="false">
      <c r="H1371" s="0" t="str">
        <f aca="false">IF(B1371="","",IF(COUNTIF(Campaigns!$A$7:$A$300,B1371)&gt;0,"✓","⚠ add to Campaigns tab"))</f>
        <v/>
      </c>
      <c r="I1371" s="84" t="str">
        <f aca="false">IF(C1371="","",C1371*IF(Settings!$B$24=Settings!$C$6,1,IF(Settings!$B$24="USD",1/INDEX(Settings!$B$29:$B$40,MONTH(A1371)),INDEX(Settings!$B$29:$B$40,MONTH(A1371)))))</f>
        <v/>
      </c>
    </row>
    <row r="1372" customFormat="false" ht="15" hidden="false" customHeight="false" outlineLevel="0" collapsed="false">
      <c r="H1372" s="0" t="str">
        <f aca="false">IF(B1372="","",IF(COUNTIF(Campaigns!$A$7:$A$300,B1372)&gt;0,"✓","⚠ add to Campaigns tab"))</f>
        <v/>
      </c>
      <c r="I1372" s="84" t="str">
        <f aca="false">IF(C1372="","",C1372*IF(Settings!$B$24=Settings!$C$6,1,IF(Settings!$B$24="USD",1/INDEX(Settings!$B$29:$B$40,MONTH(A1372)),INDEX(Settings!$B$29:$B$40,MONTH(A1372)))))</f>
        <v/>
      </c>
    </row>
    <row r="1373" customFormat="false" ht="15" hidden="false" customHeight="false" outlineLevel="0" collapsed="false">
      <c r="H1373" s="0" t="str">
        <f aca="false">IF(B1373="","",IF(COUNTIF(Campaigns!$A$7:$A$300,B1373)&gt;0,"✓","⚠ add to Campaigns tab"))</f>
        <v/>
      </c>
      <c r="I1373" s="84" t="str">
        <f aca="false">IF(C1373="","",C1373*IF(Settings!$B$24=Settings!$C$6,1,IF(Settings!$B$24="USD",1/INDEX(Settings!$B$29:$B$40,MONTH(A1373)),INDEX(Settings!$B$29:$B$40,MONTH(A1373)))))</f>
        <v/>
      </c>
    </row>
    <row r="1374" customFormat="false" ht="15" hidden="false" customHeight="false" outlineLevel="0" collapsed="false">
      <c r="H1374" s="0" t="str">
        <f aca="false">IF(B1374="","",IF(COUNTIF(Campaigns!$A$7:$A$300,B1374)&gt;0,"✓","⚠ add to Campaigns tab"))</f>
        <v/>
      </c>
      <c r="I1374" s="84" t="str">
        <f aca="false">IF(C1374="","",C1374*IF(Settings!$B$24=Settings!$C$6,1,IF(Settings!$B$24="USD",1/INDEX(Settings!$B$29:$B$40,MONTH(A1374)),INDEX(Settings!$B$29:$B$40,MONTH(A1374)))))</f>
        <v/>
      </c>
    </row>
    <row r="1375" customFormat="false" ht="15" hidden="false" customHeight="false" outlineLevel="0" collapsed="false">
      <c r="H1375" s="0" t="str">
        <f aca="false">IF(B1375="","",IF(COUNTIF(Campaigns!$A$7:$A$300,B1375)&gt;0,"✓","⚠ add to Campaigns tab"))</f>
        <v/>
      </c>
      <c r="I1375" s="84" t="str">
        <f aca="false">IF(C1375="","",C1375*IF(Settings!$B$24=Settings!$C$6,1,IF(Settings!$B$24="USD",1/INDEX(Settings!$B$29:$B$40,MONTH(A1375)),INDEX(Settings!$B$29:$B$40,MONTH(A1375)))))</f>
        <v/>
      </c>
    </row>
    <row r="1376" customFormat="false" ht="15" hidden="false" customHeight="false" outlineLevel="0" collapsed="false">
      <c r="H1376" s="0" t="str">
        <f aca="false">IF(B1376="","",IF(COUNTIF(Campaigns!$A$7:$A$300,B1376)&gt;0,"✓","⚠ add to Campaigns tab"))</f>
        <v/>
      </c>
      <c r="I1376" s="84" t="str">
        <f aca="false">IF(C1376="","",C1376*IF(Settings!$B$24=Settings!$C$6,1,IF(Settings!$B$24="USD",1/INDEX(Settings!$B$29:$B$40,MONTH(A1376)),INDEX(Settings!$B$29:$B$40,MONTH(A1376)))))</f>
        <v/>
      </c>
    </row>
    <row r="1377" customFormat="false" ht="15" hidden="false" customHeight="false" outlineLevel="0" collapsed="false">
      <c r="H1377" s="0" t="str">
        <f aca="false">IF(B1377="","",IF(COUNTIF(Campaigns!$A$7:$A$300,B1377)&gt;0,"✓","⚠ add to Campaigns tab"))</f>
        <v/>
      </c>
      <c r="I1377" s="84" t="str">
        <f aca="false">IF(C1377="","",C1377*IF(Settings!$B$24=Settings!$C$6,1,IF(Settings!$B$24="USD",1/INDEX(Settings!$B$29:$B$40,MONTH(A1377)),INDEX(Settings!$B$29:$B$40,MONTH(A1377)))))</f>
        <v/>
      </c>
    </row>
    <row r="1378" customFormat="false" ht="15" hidden="false" customHeight="false" outlineLevel="0" collapsed="false">
      <c r="H1378" s="0" t="str">
        <f aca="false">IF(B1378="","",IF(COUNTIF(Campaigns!$A$7:$A$300,B1378)&gt;0,"✓","⚠ add to Campaigns tab"))</f>
        <v/>
      </c>
      <c r="I1378" s="84" t="str">
        <f aca="false">IF(C1378="","",C1378*IF(Settings!$B$24=Settings!$C$6,1,IF(Settings!$B$24="USD",1/INDEX(Settings!$B$29:$B$40,MONTH(A1378)),INDEX(Settings!$B$29:$B$40,MONTH(A1378)))))</f>
        <v/>
      </c>
    </row>
    <row r="1379" customFormat="false" ht="15" hidden="false" customHeight="false" outlineLevel="0" collapsed="false">
      <c r="H1379" s="0" t="str">
        <f aca="false">IF(B1379="","",IF(COUNTIF(Campaigns!$A$7:$A$300,B1379)&gt;0,"✓","⚠ add to Campaigns tab"))</f>
        <v/>
      </c>
      <c r="I1379" s="84" t="str">
        <f aca="false">IF(C1379="","",C1379*IF(Settings!$B$24=Settings!$C$6,1,IF(Settings!$B$24="USD",1/INDEX(Settings!$B$29:$B$40,MONTH(A1379)),INDEX(Settings!$B$29:$B$40,MONTH(A1379)))))</f>
        <v/>
      </c>
    </row>
    <row r="1380" customFormat="false" ht="15" hidden="false" customHeight="false" outlineLevel="0" collapsed="false">
      <c r="H1380" s="0" t="str">
        <f aca="false">IF(B1380="","",IF(COUNTIF(Campaigns!$A$7:$A$300,B1380)&gt;0,"✓","⚠ add to Campaigns tab"))</f>
        <v/>
      </c>
      <c r="I1380" s="84" t="str">
        <f aca="false">IF(C1380="","",C1380*IF(Settings!$B$24=Settings!$C$6,1,IF(Settings!$B$24="USD",1/INDEX(Settings!$B$29:$B$40,MONTH(A1380)),INDEX(Settings!$B$29:$B$40,MONTH(A1380)))))</f>
        <v/>
      </c>
    </row>
    <row r="1381" customFormat="false" ht="15" hidden="false" customHeight="false" outlineLevel="0" collapsed="false">
      <c r="H1381" s="0" t="str">
        <f aca="false">IF(B1381="","",IF(COUNTIF(Campaigns!$A$7:$A$300,B1381)&gt;0,"✓","⚠ add to Campaigns tab"))</f>
        <v/>
      </c>
      <c r="I1381" s="84" t="str">
        <f aca="false">IF(C1381="","",C1381*IF(Settings!$B$24=Settings!$C$6,1,IF(Settings!$B$24="USD",1/INDEX(Settings!$B$29:$B$40,MONTH(A1381)),INDEX(Settings!$B$29:$B$40,MONTH(A1381)))))</f>
        <v/>
      </c>
    </row>
    <row r="1382" customFormat="false" ht="15" hidden="false" customHeight="false" outlineLevel="0" collapsed="false">
      <c r="H1382" s="0" t="str">
        <f aca="false">IF(B1382="","",IF(COUNTIF(Campaigns!$A$7:$A$300,B1382)&gt;0,"✓","⚠ add to Campaigns tab"))</f>
        <v/>
      </c>
      <c r="I1382" s="84" t="str">
        <f aca="false">IF(C1382="","",C1382*IF(Settings!$B$24=Settings!$C$6,1,IF(Settings!$B$24="USD",1/INDEX(Settings!$B$29:$B$40,MONTH(A1382)),INDEX(Settings!$B$29:$B$40,MONTH(A1382)))))</f>
        <v/>
      </c>
    </row>
    <row r="1383" customFormat="false" ht="15" hidden="false" customHeight="false" outlineLevel="0" collapsed="false">
      <c r="H1383" s="0" t="str">
        <f aca="false">IF(B1383="","",IF(COUNTIF(Campaigns!$A$7:$A$300,B1383)&gt;0,"✓","⚠ add to Campaigns tab"))</f>
        <v/>
      </c>
      <c r="I1383" s="84" t="str">
        <f aca="false">IF(C1383="","",C1383*IF(Settings!$B$24=Settings!$C$6,1,IF(Settings!$B$24="USD",1/INDEX(Settings!$B$29:$B$40,MONTH(A1383)),INDEX(Settings!$B$29:$B$40,MONTH(A1383)))))</f>
        <v/>
      </c>
    </row>
    <row r="1384" customFormat="false" ht="15" hidden="false" customHeight="false" outlineLevel="0" collapsed="false">
      <c r="H1384" s="0" t="str">
        <f aca="false">IF(B1384="","",IF(COUNTIF(Campaigns!$A$7:$A$300,B1384)&gt;0,"✓","⚠ add to Campaigns tab"))</f>
        <v/>
      </c>
      <c r="I1384" s="84" t="str">
        <f aca="false">IF(C1384="","",C1384*IF(Settings!$B$24=Settings!$C$6,1,IF(Settings!$B$24="USD",1/INDEX(Settings!$B$29:$B$40,MONTH(A1384)),INDEX(Settings!$B$29:$B$40,MONTH(A1384)))))</f>
        <v/>
      </c>
    </row>
    <row r="1385" customFormat="false" ht="15" hidden="false" customHeight="false" outlineLevel="0" collapsed="false">
      <c r="H1385" s="0" t="str">
        <f aca="false">IF(B1385="","",IF(COUNTIF(Campaigns!$A$7:$A$300,B1385)&gt;0,"✓","⚠ add to Campaigns tab"))</f>
        <v/>
      </c>
      <c r="I1385" s="84" t="str">
        <f aca="false">IF(C1385="","",C1385*IF(Settings!$B$24=Settings!$C$6,1,IF(Settings!$B$24="USD",1/INDEX(Settings!$B$29:$B$40,MONTH(A1385)),INDEX(Settings!$B$29:$B$40,MONTH(A1385)))))</f>
        <v/>
      </c>
    </row>
    <row r="1386" customFormat="false" ht="15" hidden="false" customHeight="false" outlineLevel="0" collapsed="false">
      <c r="H1386" s="0" t="str">
        <f aca="false">IF(B1386="","",IF(COUNTIF(Campaigns!$A$7:$A$300,B1386)&gt;0,"✓","⚠ add to Campaigns tab"))</f>
        <v/>
      </c>
      <c r="I1386" s="84" t="str">
        <f aca="false">IF(C1386="","",C1386*IF(Settings!$B$24=Settings!$C$6,1,IF(Settings!$B$24="USD",1/INDEX(Settings!$B$29:$B$40,MONTH(A1386)),INDEX(Settings!$B$29:$B$40,MONTH(A1386)))))</f>
        <v/>
      </c>
    </row>
    <row r="1387" customFormat="false" ht="15" hidden="false" customHeight="false" outlineLevel="0" collapsed="false">
      <c r="H1387" s="0" t="str">
        <f aca="false">IF(B1387="","",IF(COUNTIF(Campaigns!$A$7:$A$300,B1387)&gt;0,"✓","⚠ add to Campaigns tab"))</f>
        <v/>
      </c>
      <c r="I1387" s="84" t="str">
        <f aca="false">IF(C1387="","",C1387*IF(Settings!$B$24=Settings!$C$6,1,IF(Settings!$B$24="USD",1/INDEX(Settings!$B$29:$B$40,MONTH(A1387)),INDEX(Settings!$B$29:$B$40,MONTH(A1387)))))</f>
        <v/>
      </c>
    </row>
    <row r="1388" customFormat="false" ht="15" hidden="false" customHeight="false" outlineLevel="0" collapsed="false">
      <c r="H1388" s="0" t="str">
        <f aca="false">IF(B1388="","",IF(COUNTIF(Campaigns!$A$7:$A$300,B1388)&gt;0,"✓","⚠ add to Campaigns tab"))</f>
        <v/>
      </c>
      <c r="I1388" s="84" t="str">
        <f aca="false">IF(C1388="","",C1388*IF(Settings!$B$24=Settings!$C$6,1,IF(Settings!$B$24="USD",1/INDEX(Settings!$B$29:$B$40,MONTH(A1388)),INDEX(Settings!$B$29:$B$40,MONTH(A1388)))))</f>
        <v/>
      </c>
    </row>
    <row r="1389" customFormat="false" ht="15" hidden="false" customHeight="false" outlineLevel="0" collapsed="false">
      <c r="H1389" s="0" t="str">
        <f aca="false">IF(B1389="","",IF(COUNTIF(Campaigns!$A$7:$A$300,B1389)&gt;0,"✓","⚠ add to Campaigns tab"))</f>
        <v/>
      </c>
      <c r="I1389" s="84" t="str">
        <f aca="false">IF(C1389="","",C1389*IF(Settings!$B$24=Settings!$C$6,1,IF(Settings!$B$24="USD",1/INDEX(Settings!$B$29:$B$40,MONTH(A1389)),INDEX(Settings!$B$29:$B$40,MONTH(A1389)))))</f>
        <v/>
      </c>
    </row>
    <row r="1390" customFormat="false" ht="15" hidden="false" customHeight="false" outlineLevel="0" collapsed="false">
      <c r="H1390" s="0" t="str">
        <f aca="false">IF(B1390="","",IF(COUNTIF(Campaigns!$A$7:$A$300,B1390)&gt;0,"✓","⚠ add to Campaigns tab"))</f>
        <v/>
      </c>
      <c r="I1390" s="84" t="str">
        <f aca="false">IF(C1390="","",C1390*IF(Settings!$B$24=Settings!$C$6,1,IF(Settings!$B$24="USD",1/INDEX(Settings!$B$29:$B$40,MONTH(A1390)),INDEX(Settings!$B$29:$B$40,MONTH(A1390)))))</f>
        <v/>
      </c>
    </row>
    <row r="1391" customFormat="false" ht="15" hidden="false" customHeight="false" outlineLevel="0" collapsed="false">
      <c r="H1391" s="0" t="str">
        <f aca="false">IF(B1391="","",IF(COUNTIF(Campaigns!$A$7:$A$300,B1391)&gt;0,"✓","⚠ add to Campaigns tab"))</f>
        <v/>
      </c>
      <c r="I1391" s="84" t="str">
        <f aca="false">IF(C1391="","",C1391*IF(Settings!$B$24=Settings!$C$6,1,IF(Settings!$B$24="USD",1/INDEX(Settings!$B$29:$B$40,MONTH(A1391)),INDEX(Settings!$B$29:$B$40,MONTH(A1391)))))</f>
        <v/>
      </c>
    </row>
    <row r="1392" customFormat="false" ht="15" hidden="false" customHeight="false" outlineLevel="0" collapsed="false">
      <c r="H1392" s="0" t="str">
        <f aca="false">IF(B1392="","",IF(COUNTIF(Campaigns!$A$7:$A$300,B1392)&gt;0,"✓","⚠ add to Campaigns tab"))</f>
        <v/>
      </c>
      <c r="I1392" s="84" t="str">
        <f aca="false">IF(C1392="","",C1392*IF(Settings!$B$24=Settings!$C$6,1,IF(Settings!$B$24="USD",1/INDEX(Settings!$B$29:$B$40,MONTH(A1392)),INDEX(Settings!$B$29:$B$40,MONTH(A1392)))))</f>
        <v/>
      </c>
    </row>
    <row r="1393" customFormat="false" ht="15" hidden="false" customHeight="false" outlineLevel="0" collapsed="false">
      <c r="H1393" s="0" t="str">
        <f aca="false">IF(B1393="","",IF(COUNTIF(Campaigns!$A$7:$A$300,B1393)&gt;0,"✓","⚠ add to Campaigns tab"))</f>
        <v/>
      </c>
      <c r="I1393" s="84" t="str">
        <f aca="false">IF(C1393="","",C1393*IF(Settings!$B$24=Settings!$C$6,1,IF(Settings!$B$24="USD",1/INDEX(Settings!$B$29:$B$40,MONTH(A1393)),INDEX(Settings!$B$29:$B$40,MONTH(A1393)))))</f>
        <v/>
      </c>
    </row>
    <row r="1394" customFormat="false" ht="15" hidden="false" customHeight="false" outlineLevel="0" collapsed="false">
      <c r="H1394" s="0" t="str">
        <f aca="false">IF(B1394="","",IF(COUNTIF(Campaigns!$A$7:$A$300,B1394)&gt;0,"✓","⚠ add to Campaigns tab"))</f>
        <v/>
      </c>
      <c r="I1394" s="84" t="str">
        <f aca="false">IF(C1394="","",C1394*IF(Settings!$B$24=Settings!$C$6,1,IF(Settings!$B$24="USD",1/INDEX(Settings!$B$29:$B$40,MONTH(A1394)),INDEX(Settings!$B$29:$B$40,MONTH(A1394)))))</f>
        <v/>
      </c>
    </row>
    <row r="1395" customFormat="false" ht="15" hidden="false" customHeight="false" outlineLevel="0" collapsed="false">
      <c r="H1395" s="0" t="str">
        <f aca="false">IF(B1395="","",IF(COUNTIF(Campaigns!$A$7:$A$300,B1395)&gt;0,"✓","⚠ add to Campaigns tab"))</f>
        <v/>
      </c>
      <c r="I1395" s="84" t="str">
        <f aca="false">IF(C1395="","",C1395*IF(Settings!$B$24=Settings!$C$6,1,IF(Settings!$B$24="USD",1/INDEX(Settings!$B$29:$B$40,MONTH(A1395)),INDEX(Settings!$B$29:$B$40,MONTH(A1395)))))</f>
        <v/>
      </c>
    </row>
    <row r="1396" customFormat="false" ht="15" hidden="false" customHeight="false" outlineLevel="0" collapsed="false">
      <c r="H1396" s="0" t="str">
        <f aca="false">IF(B1396="","",IF(COUNTIF(Campaigns!$A$7:$A$300,B1396)&gt;0,"✓","⚠ add to Campaigns tab"))</f>
        <v/>
      </c>
      <c r="I1396" s="84" t="str">
        <f aca="false">IF(C1396="","",C1396*IF(Settings!$B$24=Settings!$C$6,1,IF(Settings!$B$24="USD",1/INDEX(Settings!$B$29:$B$40,MONTH(A1396)),INDEX(Settings!$B$29:$B$40,MONTH(A1396)))))</f>
        <v/>
      </c>
    </row>
    <row r="1397" customFormat="false" ht="15" hidden="false" customHeight="false" outlineLevel="0" collapsed="false">
      <c r="H1397" s="0" t="str">
        <f aca="false">IF(B1397="","",IF(COUNTIF(Campaigns!$A$7:$A$300,B1397)&gt;0,"✓","⚠ add to Campaigns tab"))</f>
        <v/>
      </c>
      <c r="I1397" s="84" t="str">
        <f aca="false">IF(C1397="","",C1397*IF(Settings!$B$24=Settings!$C$6,1,IF(Settings!$B$24="USD",1/INDEX(Settings!$B$29:$B$40,MONTH(A1397)),INDEX(Settings!$B$29:$B$40,MONTH(A1397)))))</f>
        <v/>
      </c>
    </row>
    <row r="1398" customFormat="false" ht="15" hidden="false" customHeight="false" outlineLevel="0" collapsed="false">
      <c r="H1398" s="0" t="str">
        <f aca="false">IF(B1398="","",IF(COUNTIF(Campaigns!$A$7:$A$300,B1398)&gt;0,"✓","⚠ add to Campaigns tab"))</f>
        <v/>
      </c>
      <c r="I1398" s="84" t="str">
        <f aca="false">IF(C1398="","",C1398*IF(Settings!$B$24=Settings!$C$6,1,IF(Settings!$B$24="USD",1/INDEX(Settings!$B$29:$B$40,MONTH(A1398)),INDEX(Settings!$B$29:$B$40,MONTH(A1398)))))</f>
        <v/>
      </c>
    </row>
    <row r="1399" customFormat="false" ht="15" hidden="false" customHeight="false" outlineLevel="0" collapsed="false">
      <c r="H1399" s="0" t="str">
        <f aca="false">IF(B1399="","",IF(COUNTIF(Campaigns!$A$7:$A$300,B1399)&gt;0,"✓","⚠ add to Campaigns tab"))</f>
        <v/>
      </c>
      <c r="I1399" s="84" t="str">
        <f aca="false">IF(C1399="","",C1399*IF(Settings!$B$24=Settings!$C$6,1,IF(Settings!$B$24="USD",1/INDEX(Settings!$B$29:$B$40,MONTH(A1399)),INDEX(Settings!$B$29:$B$40,MONTH(A1399)))))</f>
        <v/>
      </c>
    </row>
    <row r="1400" customFormat="false" ht="15" hidden="false" customHeight="false" outlineLevel="0" collapsed="false">
      <c r="H1400" s="0" t="str">
        <f aca="false">IF(B1400="","",IF(COUNTIF(Campaigns!$A$7:$A$300,B1400)&gt;0,"✓","⚠ add to Campaigns tab"))</f>
        <v/>
      </c>
      <c r="I1400" s="84" t="str">
        <f aca="false">IF(C1400="","",C1400*IF(Settings!$B$24=Settings!$C$6,1,IF(Settings!$B$24="USD",1/INDEX(Settings!$B$29:$B$40,MONTH(A1400)),INDEX(Settings!$B$29:$B$40,MONTH(A1400)))))</f>
        <v/>
      </c>
    </row>
    <row r="1401" customFormat="false" ht="15" hidden="false" customHeight="false" outlineLevel="0" collapsed="false">
      <c r="H1401" s="0" t="str">
        <f aca="false">IF(B1401="","",IF(COUNTIF(Campaigns!$A$7:$A$300,B1401)&gt;0,"✓","⚠ add to Campaigns tab"))</f>
        <v/>
      </c>
      <c r="I1401" s="84" t="str">
        <f aca="false">IF(C1401="","",C1401*IF(Settings!$B$24=Settings!$C$6,1,IF(Settings!$B$24="USD",1/INDEX(Settings!$B$29:$B$40,MONTH(A1401)),INDEX(Settings!$B$29:$B$40,MONTH(A1401)))))</f>
        <v/>
      </c>
    </row>
    <row r="1402" customFormat="false" ht="15" hidden="false" customHeight="false" outlineLevel="0" collapsed="false">
      <c r="H1402" s="0" t="str">
        <f aca="false">IF(B1402="","",IF(COUNTIF(Campaigns!$A$7:$A$300,B1402)&gt;0,"✓","⚠ add to Campaigns tab"))</f>
        <v/>
      </c>
      <c r="I1402" s="84" t="str">
        <f aca="false">IF(C1402="","",C1402*IF(Settings!$B$24=Settings!$C$6,1,IF(Settings!$B$24="USD",1/INDEX(Settings!$B$29:$B$40,MONTH(A1402)),INDEX(Settings!$B$29:$B$40,MONTH(A1402)))))</f>
        <v/>
      </c>
    </row>
    <row r="1403" customFormat="false" ht="15" hidden="false" customHeight="false" outlineLevel="0" collapsed="false">
      <c r="H1403" s="0" t="str">
        <f aca="false">IF(B1403="","",IF(COUNTIF(Campaigns!$A$7:$A$300,B1403)&gt;0,"✓","⚠ add to Campaigns tab"))</f>
        <v/>
      </c>
      <c r="I1403" s="84" t="str">
        <f aca="false">IF(C1403="","",C1403*IF(Settings!$B$24=Settings!$C$6,1,IF(Settings!$B$24="USD",1/INDEX(Settings!$B$29:$B$40,MONTH(A1403)),INDEX(Settings!$B$29:$B$40,MONTH(A1403)))))</f>
        <v/>
      </c>
    </row>
    <row r="1404" customFormat="false" ht="15" hidden="false" customHeight="false" outlineLevel="0" collapsed="false">
      <c r="H1404" s="0" t="str">
        <f aca="false">IF(B1404="","",IF(COUNTIF(Campaigns!$A$7:$A$300,B1404)&gt;0,"✓","⚠ add to Campaigns tab"))</f>
        <v/>
      </c>
      <c r="I1404" s="84" t="str">
        <f aca="false">IF(C1404="","",C1404*IF(Settings!$B$24=Settings!$C$6,1,IF(Settings!$B$24="USD",1/INDEX(Settings!$B$29:$B$40,MONTH(A1404)),INDEX(Settings!$B$29:$B$40,MONTH(A1404)))))</f>
        <v/>
      </c>
    </row>
    <row r="1405" customFormat="false" ht="15" hidden="false" customHeight="false" outlineLevel="0" collapsed="false">
      <c r="H1405" s="0" t="str">
        <f aca="false">IF(B1405="","",IF(COUNTIF(Campaigns!$A$7:$A$300,B1405)&gt;0,"✓","⚠ add to Campaigns tab"))</f>
        <v/>
      </c>
      <c r="I1405" s="84" t="str">
        <f aca="false">IF(C1405="","",C1405*IF(Settings!$B$24=Settings!$C$6,1,IF(Settings!$B$24="USD",1/INDEX(Settings!$B$29:$B$40,MONTH(A1405)),INDEX(Settings!$B$29:$B$40,MONTH(A1405)))))</f>
        <v/>
      </c>
    </row>
    <row r="1406" customFormat="false" ht="15" hidden="false" customHeight="false" outlineLevel="0" collapsed="false">
      <c r="H1406" s="0" t="str">
        <f aca="false">IF(B1406="","",IF(COUNTIF(Campaigns!$A$7:$A$300,B1406)&gt;0,"✓","⚠ add to Campaigns tab"))</f>
        <v/>
      </c>
      <c r="I1406" s="84" t="str">
        <f aca="false">IF(C1406="","",C1406*IF(Settings!$B$24=Settings!$C$6,1,IF(Settings!$B$24="USD",1/INDEX(Settings!$B$29:$B$40,MONTH(A1406)),INDEX(Settings!$B$29:$B$40,MONTH(A1406)))))</f>
        <v/>
      </c>
    </row>
    <row r="1407" customFormat="false" ht="15" hidden="false" customHeight="false" outlineLevel="0" collapsed="false">
      <c r="H1407" s="0" t="str">
        <f aca="false">IF(B1407="","",IF(COUNTIF(Campaigns!$A$7:$A$300,B1407)&gt;0,"✓","⚠ add to Campaigns tab"))</f>
        <v/>
      </c>
      <c r="I1407" s="84" t="str">
        <f aca="false">IF(C1407="","",C1407*IF(Settings!$B$24=Settings!$C$6,1,IF(Settings!$B$24="USD",1/INDEX(Settings!$B$29:$B$40,MONTH(A1407)),INDEX(Settings!$B$29:$B$40,MONTH(A1407)))))</f>
        <v/>
      </c>
    </row>
    <row r="1408" customFormat="false" ht="15" hidden="false" customHeight="false" outlineLevel="0" collapsed="false">
      <c r="H1408" s="0" t="str">
        <f aca="false">IF(B1408="","",IF(COUNTIF(Campaigns!$A$7:$A$300,B1408)&gt;0,"✓","⚠ add to Campaigns tab"))</f>
        <v/>
      </c>
      <c r="I1408" s="84" t="str">
        <f aca="false">IF(C1408="","",C1408*IF(Settings!$B$24=Settings!$C$6,1,IF(Settings!$B$24="USD",1/INDEX(Settings!$B$29:$B$40,MONTH(A1408)),INDEX(Settings!$B$29:$B$40,MONTH(A1408)))))</f>
        <v/>
      </c>
    </row>
    <row r="1409" customFormat="false" ht="15" hidden="false" customHeight="false" outlineLevel="0" collapsed="false">
      <c r="H1409" s="0" t="str">
        <f aca="false">IF(B1409="","",IF(COUNTIF(Campaigns!$A$7:$A$300,B1409)&gt;0,"✓","⚠ add to Campaigns tab"))</f>
        <v/>
      </c>
      <c r="I1409" s="84" t="str">
        <f aca="false">IF(C1409="","",C1409*IF(Settings!$B$24=Settings!$C$6,1,IF(Settings!$B$24="USD",1/INDEX(Settings!$B$29:$B$40,MONTH(A1409)),INDEX(Settings!$B$29:$B$40,MONTH(A1409)))))</f>
        <v/>
      </c>
    </row>
    <row r="1410" customFormat="false" ht="15" hidden="false" customHeight="false" outlineLevel="0" collapsed="false">
      <c r="H1410" s="0" t="str">
        <f aca="false">IF(B1410="","",IF(COUNTIF(Campaigns!$A$7:$A$300,B1410)&gt;0,"✓","⚠ add to Campaigns tab"))</f>
        <v/>
      </c>
      <c r="I1410" s="84" t="str">
        <f aca="false">IF(C1410="","",C1410*IF(Settings!$B$24=Settings!$C$6,1,IF(Settings!$B$24="USD",1/INDEX(Settings!$B$29:$B$40,MONTH(A1410)),INDEX(Settings!$B$29:$B$40,MONTH(A1410)))))</f>
        <v/>
      </c>
    </row>
    <row r="1411" customFormat="false" ht="15" hidden="false" customHeight="false" outlineLevel="0" collapsed="false">
      <c r="H1411" s="0" t="str">
        <f aca="false">IF(B1411="","",IF(COUNTIF(Campaigns!$A$7:$A$300,B1411)&gt;0,"✓","⚠ add to Campaigns tab"))</f>
        <v/>
      </c>
      <c r="I1411" s="84" t="str">
        <f aca="false">IF(C1411="","",C1411*IF(Settings!$B$24=Settings!$C$6,1,IF(Settings!$B$24="USD",1/INDEX(Settings!$B$29:$B$40,MONTH(A1411)),INDEX(Settings!$B$29:$B$40,MONTH(A1411)))))</f>
        <v/>
      </c>
    </row>
    <row r="1412" customFormat="false" ht="15" hidden="false" customHeight="false" outlineLevel="0" collapsed="false">
      <c r="H1412" s="0" t="str">
        <f aca="false">IF(B1412="","",IF(COUNTIF(Campaigns!$A$7:$A$300,B1412)&gt;0,"✓","⚠ add to Campaigns tab"))</f>
        <v/>
      </c>
      <c r="I1412" s="84" t="str">
        <f aca="false">IF(C1412="","",C1412*IF(Settings!$B$24=Settings!$C$6,1,IF(Settings!$B$24="USD",1/INDEX(Settings!$B$29:$B$40,MONTH(A1412)),INDEX(Settings!$B$29:$B$40,MONTH(A1412)))))</f>
        <v/>
      </c>
    </row>
    <row r="1413" customFormat="false" ht="15" hidden="false" customHeight="false" outlineLevel="0" collapsed="false">
      <c r="H1413" s="0" t="str">
        <f aca="false">IF(B1413="","",IF(COUNTIF(Campaigns!$A$7:$A$300,B1413)&gt;0,"✓","⚠ add to Campaigns tab"))</f>
        <v/>
      </c>
      <c r="I1413" s="84" t="str">
        <f aca="false">IF(C1413="","",C1413*IF(Settings!$B$24=Settings!$C$6,1,IF(Settings!$B$24="USD",1/INDEX(Settings!$B$29:$B$40,MONTH(A1413)),INDEX(Settings!$B$29:$B$40,MONTH(A1413)))))</f>
        <v/>
      </c>
    </row>
    <row r="1414" customFormat="false" ht="15" hidden="false" customHeight="false" outlineLevel="0" collapsed="false">
      <c r="H1414" s="0" t="str">
        <f aca="false">IF(B1414="","",IF(COUNTIF(Campaigns!$A$7:$A$300,B1414)&gt;0,"✓","⚠ add to Campaigns tab"))</f>
        <v/>
      </c>
      <c r="I1414" s="84" t="str">
        <f aca="false">IF(C1414="","",C1414*IF(Settings!$B$24=Settings!$C$6,1,IF(Settings!$B$24="USD",1/INDEX(Settings!$B$29:$B$40,MONTH(A1414)),INDEX(Settings!$B$29:$B$40,MONTH(A1414)))))</f>
        <v/>
      </c>
    </row>
    <row r="1415" customFormat="false" ht="15" hidden="false" customHeight="false" outlineLevel="0" collapsed="false">
      <c r="H1415" s="0" t="str">
        <f aca="false">IF(B1415="","",IF(COUNTIF(Campaigns!$A$7:$A$300,B1415)&gt;0,"✓","⚠ add to Campaigns tab"))</f>
        <v/>
      </c>
      <c r="I1415" s="84" t="str">
        <f aca="false">IF(C1415="","",C1415*IF(Settings!$B$24=Settings!$C$6,1,IF(Settings!$B$24="USD",1/INDEX(Settings!$B$29:$B$40,MONTH(A1415)),INDEX(Settings!$B$29:$B$40,MONTH(A1415)))))</f>
        <v/>
      </c>
    </row>
    <row r="1416" customFormat="false" ht="15" hidden="false" customHeight="false" outlineLevel="0" collapsed="false">
      <c r="H1416" s="0" t="str">
        <f aca="false">IF(B1416="","",IF(COUNTIF(Campaigns!$A$7:$A$300,B1416)&gt;0,"✓","⚠ add to Campaigns tab"))</f>
        <v/>
      </c>
      <c r="I1416" s="84" t="str">
        <f aca="false">IF(C1416="","",C1416*IF(Settings!$B$24=Settings!$C$6,1,IF(Settings!$B$24="USD",1/INDEX(Settings!$B$29:$B$40,MONTH(A1416)),INDEX(Settings!$B$29:$B$40,MONTH(A1416)))))</f>
        <v/>
      </c>
    </row>
    <row r="1417" customFormat="false" ht="15" hidden="false" customHeight="false" outlineLevel="0" collapsed="false">
      <c r="H1417" s="0" t="str">
        <f aca="false">IF(B1417="","",IF(COUNTIF(Campaigns!$A$7:$A$300,B1417)&gt;0,"✓","⚠ add to Campaigns tab"))</f>
        <v/>
      </c>
      <c r="I1417" s="84" t="str">
        <f aca="false">IF(C1417="","",C1417*IF(Settings!$B$24=Settings!$C$6,1,IF(Settings!$B$24="USD",1/INDEX(Settings!$B$29:$B$40,MONTH(A1417)),INDEX(Settings!$B$29:$B$40,MONTH(A1417)))))</f>
        <v/>
      </c>
    </row>
    <row r="1418" customFormat="false" ht="15" hidden="false" customHeight="false" outlineLevel="0" collapsed="false">
      <c r="H1418" s="0" t="str">
        <f aca="false">IF(B1418="","",IF(COUNTIF(Campaigns!$A$7:$A$300,B1418)&gt;0,"✓","⚠ add to Campaigns tab"))</f>
        <v/>
      </c>
      <c r="I1418" s="84" t="str">
        <f aca="false">IF(C1418="","",C1418*IF(Settings!$B$24=Settings!$C$6,1,IF(Settings!$B$24="USD",1/INDEX(Settings!$B$29:$B$40,MONTH(A1418)),INDEX(Settings!$B$29:$B$40,MONTH(A1418)))))</f>
        <v/>
      </c>
    </row>
    <row r="1419" customFormat="false" ht="15" hidden="false" customHeight="false" outlineLevel="0" collapsed="false">
      <c r="H1419" s="0" t="str">
        <f aca="false">IF(B1419="","",IF(COUNTIF(Campaigns!$A$7:$A$300,B1419)&gt;0,"✓","⚠ add to Campaigns tab"))</f>
        <v/>
      </c>
      <c r="I1419" s="84" t="str">
        <f aca="false">IF(C1419="","",C1419*IF(Settings!$B$24=Settings!$C$6,1,IF(Settings!$B$24="USD",1/INDEX(Settings!$B$29:$B$40,MONTH(A1419)),INDEX(Settings!$B$29:$B$40,MONTH(A1419)))))</f>
        <v/>
      </c>
    </row>
    <row r="1420" customFormat="false" ht="15" hidden="false" customHeight="false" outlineLevel="0" collapsed="false">
      <c r="H1420" s="0" t="str">
        <f aca="false">IF(B1420="","",IF(COUNTIF(Campaigns!$A$7:$A$300,B1420)&gt;0,"✓","⚠ add to Campaigns tab"))</f>
        <v/>
      </c>
      <c r="I1420" s="84" t="str">
        <f aca="false">IF(C1420="","",C1420*IF(Settings!$B$24=Settings!$C$6,1,IF(Settings!$B$24="USD",1/INDEX(Settings!$B$29:$B$40,MONTH(A1420)),INDEX(Settings!$B$29:$B$40,MONTH(A1420)))))</f>
        <v/>
      </c>
    </row>
    <row r="1421" customFormat="false" ht="15" hidden="false" customHeight="false" outlineLevel="0" collapsed="false">
      <c r="H1421" s="0" t="str">
        <f aca="false">IF(B1421="","",IF(COUNTIF(Campaigns!$A$7:$A$300,B1421)&gt;0,"✓","⚠ add to Campaigns tab"))</f>
        <v/>
      </c>
      <c r="I1421" s="84" t="str">
        <f aca="false">IF(C1421="","",C1421*IF(Settings!$B$24=Settings!$C$6,1,IF(Settings!$B$24="USD",1/INDEX(Settings!$B$29:$B$40,MONTH(A1421)),INDEX(Settings!$B$29:$B$40,MONTH(A1421)))))</f>
        <v/>
      </c>
    </row>
    <row r="1422" customFormat="false" ht="15" hidden="false" customHeight="false" outlineLevel="0" collapsed="false">
      <c r="H1422" s="0" t="str">
        <f aca="false">IF(B1422="","",IF(COUNTIF(Campaigns!$A$7:$A$300,B1422)&gt;0,"✓","⚠ add to Campaigns tab"))</f>
        <v/>
      </c>
      <c r="I1422" s="84" t="str">
        <f aca="false">IF(C1422="","",C1422*IF(Settings!$B$24=Settings!$C$6,1,IF(Settings!$B$24="USD",1/INDEX(Settings!$B$29:$B$40,MONTH(A1422)),INDEX(Settings!$B$29:$B$40,MONTH(A1422)))))</f>
        <v/>
      </c>
    </row>
    <row r="1423" customFormat="false" ht="15" hidden="false" customHeight="false" outlineLevel="0" collapsed="false">
      <c r="H1423" s="0" t="str">
        <f aca="false">IF(B1423="","",IF(COUNTIF(Campaigns!$A$7:$A$300,B1423)&gt;0,"✓","⚠ add to Campaigns tab"))</f>
        <v/>
      </c>
      <c r="I1423" s="84" t="str">
        <f aca="false">IF(C1423="","",C1423*IF(Settings!$B$24=Settings!$C$6,1,IF(Settings!$B$24="USD",1/INDEX(Settings!$B$29:$B$40,MONTH(A1423)),INDEX(Settings!$B$29:$B$40,MONTH(A1423)))))</f>
        <v/>
      </c>
    </row>
    <row r="1424" customFormat="false" ht="15" hidden="false" customHeight="false" outlineLevel="0" collapsed="false">
      <c r="H1424" s="0" t="str">
        <f aca="false">IF(B1424="","",IF(COUNTIF(Campaigns!$A$7:$A$300,B1424)&gt;0,"✓","⚠ add to Campaigns tab"))</f>
        <v/>
      </c>
      <c r="I1424" s="84" t="str">
        <f aca="false">IF(C1424="","",C1424*IF(Settings!$B$24=Settings!$C$6,1,IF(Settings!$B$24="USD",1/INDEX(Settings!$B$29:$B$40,MONTH(A1424)),INDEX(Settings!$B$29:$B$40,MONTH(A1424)))))</f>
        <v/>
      </c>
    </row>
    <row r="1425" customFormat="false" ht="15" hidden="false" customHeight="false" outlineLevel="0" collapsed="false">
      <c r="H1425" s="0" t="str">
        <f aca="false">IF(B1425="","",IF(COUNTIF(Campaigns!$A$7:$A$300,B1425)&gt;0,"✓","⚠ add to Campaigns tab"))</f>
        <v/>
      </c>
      <c r="I1425" s="84" t="str">
        <f aca="false">IF(C1425="","",C1425*IF(Settings!$B$24=Settings!$C$6,1,IF(Settings!$B$24="USD",1/INDEX(Settings!$B$29:$B$40,MONTH(A1425)),INDEX(Settings!$B$29:$B$40,MONTH(A1425)))))</f>
        <v/>
      </c>
    </row>
    <row r="1426" customFormat="false" ht="15" hidden="false" customHeight="false" outlineLevel="0" collapsed="false">
      <c r="H1426" s="0" t="str">
        <f aca="false">IF(B1426="","",IF(COUNTIF(Campaigns!$A$7:$A$300,B1426)&gt;0,"✓","⚠ add to Campaigns tab"))</f>
        <v/>
      </c>
      <c r="I1426" s="84" t="str">
        <f aca="false">IF(C1426="","",C1426*IF(Settings!$B$24=Settings!$C$6,1,IF(Settings!$B$24="USD",1/INDEX(Settings!$B$29:$B$40,MONTH(A1426)),INDEX(Settings!$B$29:$B$40,MONTH(A1426)))))</f>
        <v/>
      </c>
    </row>
    <row r="1427" customFormat="false" ht="15" hidden="false" customHeight="false" outlineLevel="0" collapsed="false">
      <c r="H1427" s="0" t="str">
        <f aca="false">IF(B1427="","",IF(COUNTIF(Campaigns!$A$7:$A$300,B1427)&gt;0,"✓","⚠ add to Campaigns tab"))</f>
        <v/>
      </c>
      <c r="I1427" s="84" t="str">
        <f aca="false">IF(C1427="","",C1427*IF(Settings!$B$24=Settings!$C$6,1,IF(Settings!$B$24="USD",1/INDEX(Settings!$B$29:$B$40,MONTH(A1427)),INDEX(Settings!$B$29:$B$40,MONTH(A1427)))))</f>
        <v/>
      </c>
    </row>
    <row r="1428" customFormat="false" ht="15" hidden="false" customHeight="false" outlineLevel="0" collapsed="false">
      <c r="H1428" s="0" t="str">
        <f aca="false">IF(B1428="","",IF(COUNTIF(Campaigns!$A$7:$A$300,B1428)&gt;0,"✓","⚠ add to Campaigns tab"))</f>
        <v/>
      </c>
      <c r="I1428" s="84" t="str">
        <f aca="false">IF(C1428="","",C1428*IF(Settings!$B$24=Settings!$C$6,1,IF(Settings!$B$24="USD",1/INDEX(Settings!$B$29:$B$40,MONTH(A1428)),INDEX(Settings!$B$29:$B$40,MONTH(A1428)))))</f>
        <v/>
      </c>
    </row>
    <row r="1429" customFormat="false" ht="15" hidden="false" customHeight="false" outlineLevel="0" collapsed="false">
      <c r="H1429" s="0" t="str">
        <f aca="false">IF(B1429="","",IF(COUNTIF(Campaigns!$A$7:$A$300,B1429)&gt;0,"✓","⚠ add to Campaigns tab"))</f>
        <v/>
      </c>
      <c r="I1429" s="84" t="str">
        <f aca="false">IF(C1429="","",C1429*IF(Settings!$B$24=Settings!$C$6,1,IF(Settings!$B$24="USD",1/INDEX(Settings!$B$29:$B$40,MONTH(A1429)),INDEX(Settings!$B$29:$B$40,MONTH(A1429)))))</f>
        <v/>
      </c>
    </row>
    <row r="1430" customFormat="false" ht="15" hidden="false" customHeight="false" outlineLevel="0" collapsed="false">
      <c r="H1430" s="0" t="str">
        <f aca="false">IF(B1430="","",IF(COUNTIF(Campaigns!$A$7:$A$300,B1430)&gt;0,"✓","⚠ add to Campaigns tab"))</f>
        <v/>
      </c>
      <c r="I1430" s="84" t="str">
        <f aca="false">IF(C1430="","",C1430*IF(Settings!$B$24=Settings!$C$6,1,IF(Settings!$B$24="USD",1/INDEX(Settings!$B$29:$B$40,MONTH(A1430)),INDEX(Settings!$B$29:$B$40,MONTH(A1430)))))</f>
        <v/>
      </c>
    </row>
    <row r="1431" customFormat="false" ht="15" hidden="false" customHeight="false" outlineLevel="0" collapsed="false">
      <c r="H1431" s="0" t="str">
        <f aca="false">IF(B1431="","",IF(COUNTIF(Campaigns!$A$7:$A$300,B1431)&gt;0,"✓","⚠ add to Campaigns tab"))</f>
        <v/>
      </c>
      <c r="I1431" s="84" t="str">
        <f aca="false">IF(C1431="","",C1431*IF(Settings!$B$24=Settings!$C$6,1,IF(Settings!$B$24="USD",1/INDEX(Settings!$B$29:$B$40,MONTH(A1431)),INDEX(Settings!$B$29:$B$40,MONTH(A1431)))))</f>
        <v/>
      </c>
    </row>
    <row r="1432" customFormat="false" ht="15" hidden="false" customHeight="false" outlineLevel="0" collapsed="false">
      <c r="H1432" s="0" t="str">
        <f aca="false">IF(B1432="","",IF(COUNTIF(Campaigns!$A$7:$A$300,B1432)&gt;0,"✓","⚠ add to Campaigns tab"))</f>
        <v/>
      </c>
      <c r="I1432" s="84" t="str">
        <f aca="false">IF(C1432="","",C1432*IF(Settings!$B$24=Settings!$C$6,1,IF(Settings!$B$24="USD",1/INDEX(Settings!$B$29:$B$40,MONTH(A1432)),INDEX(Settings!$B$29:$B$40,MONTH(A1432)))))</f>
        <v/>
      </c>
    </row>
    <row r="1433" customFormat="false" ht="15" hidden="false" customHeight="false" outlineLevel="0" collapsed="false">
      <c r="H1433" s="0" t="str">
        <f aca="false">IF(B1433="","",IF(COUNTIF(Campaigns!$A$7:$A$300,B1433)&gt;0,"✓","⚠ add to Campaigns tab"))</f>
        <v/>
      </c>
      <c r="I1433" s="84" t="str">
        <f aca="false">IF(C1433="","",C1433*IF(Settings!$B$24=Settings!$C$6,1,IF(Settings!$B$24="USD",1/INDEX(Settings!$B$29:$B$40,MONTH(A1433)),INDEX(Settings!$B$29:$B$40,MONTH(A1433)))))</f>
        <v/>
      </c>
    </row>
    <row r="1434" customFormat="false" ht="15" hidden="false" customHeight="false" outlineLevel="0" collapsed="false">
      <c r="H1434" s="0" t="str">
        <f aca="false">IF(B1434="","",IF(COUNTIF(Campaigns!$A$7:$A$300,B1434)&gt;0,"✓","⚠ add to Campaigns tab"))</f>
        <v/>
      </c>
      <c r="I1434" s="84" t="str">
        <f aca="false">IF(C1434="","",C1434*IF(Settings!$B$24=Settings!$C$6,1,IF(Settings!$B$24="USD",1/INDEX(Settings!$B$29:$B$40,MONTH(A1434)),INDEX(Settings!$B$29:$B$40,MONTH(A1434)))))</f>
        <v/>
      </c>
    </row>
    <row r="1435" customFormat="false" ht="15" hidden="false" customHeight="false" outlineLevel="0" collapsed="false">
      <c r="H1435" s="0" t="str">
        <f aca="false">IF(B1435="","",IF(COUNTIF(Campaigns!$A$7:$A$300,B1435)&gt;0,"✓","⚠ add to Campaigns tab"))</f>
        <v/>
      </c>
      <c r="I1435" s="84" t="str">
        <f aca="false">IF(C1435="","",C1435*IF(Settings!$B$24=Settings!$C$6,1,IF(Settings!$B$24="USD",1/INDEX(Settings!$B$29:$B$40,MONTH(A1435)),INDEX(Settings!$B$29:$B$40,MONTH(A1435)))))</f>
        <v/>
      </c>
    </row>
    <row r="1436" customFormat="false" ht="15" hidden="false" customHeight="false" outlineLevel="0" collapsed="false">
      <c r="H1436" s="0" t="str">
        <f aca="false">IF(B1436="","",IF(COUNTIF(Campaigns!$A$7:$A$300,B1436)&gt;0,"✓","⚠ add to Campaigns tab"))</f>
        <v/>
      </c>
      <c r="I1436" s="84" t="str">
        <f aca="false">IF(C1436="","",C1436*IF(Settings!$B$24=Settings!$C$6,1,IF(Settings!$B$24="USD",1/INDEX(Settings!$B$29:$B$40,MONTH(A1436)),INDEX(Settings!$B$29:$B$40,MONTH(A1436)))))</f>
        <v/>
      </c>
    </row>
    <row r="1437" customFormat="false" ht="15" hidden="false" customHeight="false" outlineLevel="0" collapsed="false">
      <c r="H1437" s="0" t="str">
        <f aca="false">IF(B1437="","",IF(COUNTIF(Campaigns!$A$7:$A$300,B1437)&gt;0,"✓","⚠ add to Campaigns tab"))</f>
        <v/>
      </c>
      <c r="I1437" s="84" t="str">
        <f aca="false">IF(C1437="","",C1437*IF(Settings!$B$24=Settings!$C$6,1,IF(Settings!$B$24="USD",1/INDEX(Settings!$B$29:$B$40,MONTH(A1437)),INDEX(Settings!$B$29:$B$40,MONTH(A1437)))))</f>
        <v/>
      </c>
    </row>
    <row r="1438" customFormat="false" ht="15" hidden="false" customHeight="false" outlineLevel="0" collapsed="false">
      <c r="H1438" s="0" t="str">
        <f aca="false">IF(B1438="","",IF(COUNTIF(Campaigns!$A$7:$A$300,B1438)&gt;0,"✓","⚠ add to Campaigns tab"))</f>
        <v/>
      </c>
      <c r="I1438" s="84" t="str">
        <f aca="false">IF(C1438="","",C1438*IF(Settings!$B$24=Settings!$C$6,1,IF(Settings!$B$24="USD",1/INDEX(Settings!$B$29:$B$40,MONTH(A1438)),INDEX(Settings!$B$29:$B$40,MONTH(A1438)))))</f>
        <v/>
      </c>
    </row>
    <row r="1439" customFormat="false" ht="15" hidden="false" customHeight="false" outlineLevel="0" collapsed="false">
      <c r="H1439" s="0" t="str">
        <f aca="false">IF(B1439="","",IF(COUNTIF(Campaigns!$A$7:$A$300,B1439)&gt;0,"✓","⚠ add to Campaigns tab"))</f>
        <v/>
      </c>
      <c r="I1439" s="84" t="str">
        <f aca="false">IF(C1439="","",C1439*IF(Settings!$B$24=Settings!$C$6,1,IF(Settings!$B$24="USD",1/INDEX(Settings!$B$29:$B$40,MONTH(A1439)),INDEX(Settings!$B$29:$B$40,MONTH(A1439)))))</f>
        <v/>
      </c>
    </row>
    <row r="1440" customFormat="false" ht="15" hidden="false" customHeight="false" outlineLevel="0" collapsed="false">
      <c r="H1440" s="0" t="str">
        <f aca="false">IF(B1440="","",IF(COUNTIF(Campaigns!$A$7:$A$300,B1440)&gt;0,"✓","⚠ add to Campaigns tab"))</f>
        <v/>
      </c>
      <c r="I1440" s="84" t="str">
        <f aca="false">IF(C1440="","",C1440*IF(Settings!$B$24=Settings!$C$6,1,IF(Settings!$B$24="USD",1/INDEX(Settings!$B$29:$B$40,MONTH(A1440)),INDEX(Settings!$B$29:$B$40,MONTH(A1440)))))</f>
        <v/>
      </c>
    </row>
    <row r="1441" customFormat="false" ht="15" hidden="false" customHeight="false" outlineLevel="0" collapsed="false">
      <c r="H1441" s="0" t="str">
        <f aca="false">IF(B1441="","",IF(COUNTIF(Campaigns!$A$7:$A$300,B1441)&gt;0,"✓","⚠ add to Campaigns tab"))</f>
        <v/>
      </c>
      <c r="I1441" s="84" t="str">
        <f aca="false">IF(C1441="","",C1441*IF(Settings!$B$24=Settings!$C$6,1,IF(Settings!$B$24="USD",1/INDEX(Settings!$B$29:$B$40,MONTH(A1441)),INDEX(Settings!$B$29:$B$40,MONTH(A1441)))))</f>
        <v/>
      </c>
    </row>
    <row r="1442" customFormat="false" ht="15" hidden="false" customHeight="false" outlineLevel="0" collapsed="false">
      <c r="H1442" s="0" t="str">
        <f aca="false">IF(B1442="","",IF(COUNTIF(Campaigns!$A$7:$A$300,B1442)&gt;0,"✓","⚠ add to Campaigns tab"))</f>
        <v/>
      </c>
      <c r="I1442" s="84" t="str">
        <f aca="false">IF(C1442="","",C1442*IF(Settings!$B$24=Settings!$C$6,1,IF(Settings!$B$24="USD",1/INDEX(Settings!$B$29:$B$40,MONTH(A1442)),INDEX(Settings!$B$29:$B$40,MONTH(A1442)))))</f>
        <v/>
      </c>
    </row>
    <row r="1443" customFormat="false" ht="15" hidden="false" customHeight="false" outlineLevel="0" collapsed="false">
      <c r="H1443" s="0" t="str">
        <f aca="false">IF(B1443="","",IF(COUNTIF(Campaigns!$A$7:$A$300,B1443)&gt;0,"✓","⚠ add to Campaigns tab"))</f>
        <v/>
      </c>
      <c r="I1443" s="84" t="str">
        <f aca="false">IF(C1443="","",C1443*IF(Settings!$B$24=Settings!$C$6,1,IF(Settings!$B$24="USD",1/INDEX(Settings!$B$29:$B$40,MONTH(A1443)),INDEX(Settings!$B$29:$B$40,MONTH(A1443)))))</f>
        <v/>
      </c>
    </row>
    <row r="1444" customFormat="false" ht="15" hidden="false" customHeight="false" outlineLevel="0" collapsed="false">
      <c r="H1444" s="0" t="str">
        <f aca="false">IF(B1444="","",IF(COUNTIF(Campaigns!$A$7:$A$300,B1444)&gt;0,"✓","⚠ add to Campaigns tab"))</f>
        <v/>
      </c>
      <c r="I1444" s="84" t="str">
        <f aca="false">IF(C1444="","",C1444*IF(Settings!$B$24=Settings!$C$6,1,IF(Settings!$B$24="USD",1/INDEX(Settings!$B$29:$B$40,MONTH(A1444)),INDEX(Settings!$B$29:$B$40,MONTH(A1444)))))</f>
        <v/>
      </c>
    </row>
    <row r="1445" customFormat="false" ht="15" hidden="false" customHeight="false" outlineLevel="0" collapsed="false">
      <c r="H1445" s="0" t="str">
        <f aca="false">IF(B1445="","",IF(COUNTIF(Campaigns!$A$7:$A$300,B1445)&gt;0,"✓","⚠ add to Campaigns tab"))</f>
        <v/>
      </c>
      <c r="I1445" s="84" t="str">
        <f aca="false">IF(C1445="","",C1445*IF(Settings!$B$24=Settings!$C$6,1,IF(Settings!$B$24="USD",1/INDEX(Settings!$B$29:$B$40,MONTH(A1445)),INDEX(Settings!$B$29:$B$40,MONTH(A1445)))))</f>
        <v/>
      </c>
    </row>
    <row r="1446" customFormat="false" ht="15" hidden="false" customHeight="false" outlineLevel="0" collapsed="false">
      <c r="H1446" s="0" t="str">
        <f aca="false">IF(B1446="","",IF(COUNTIF(Campaigns!$A$7:$A$300,B1446)&gt;0,"✓","⚠ add to Campaigns tab"))</f>
        <v/>
      </c>
      <c r="I1446" s="84" t="str">
        <f aca="false">IF(C1446="","",C1446*IF(Settings!$B$24=Settings!$C$6,1,IF(Settings!$B$24="USD",1/INDEX(Settings!$B$29:$B$40,MONTH(A1446)),INDEX(Settings!$B$29:$B$40,MONTH(A1446)))))</f>
        <v/>
      </c>
    </row>
    <row r="1447" customFormat="false" ht="15" hidden="false" customHeight="false" outlineLevel="0" collapsed="false">
      <c r="H1447" s="0" t="str">
        <f aca="false">IF(B1447="","",IF(COUNTIF(Campaigns!$A$7:$A$300,B1447)&gt;0,"✓","⚠ add to Campaigns tab"))</f>
        <v/>
      </c>
      <c r="I1447" s="84" t="str">
        <f aca="false">IF(C1447="","",C1447*IF(Settings!$B$24=Settings!$C$6,1,IF(Settings!$B$24="USD",1/INDEX(Settings!$B$29:$B$40,MONTH(A1447)),INDEX(Settings!$B$29:$B$40,MONTH(A1447)))))</f>
        <v/>
      </c>
    </row>
    <row r="1448" customFormat="false" ht="15" hidden="false" customHeight="false" outlineLevel="0" collapsed="false">
      <c r="H1448" s="0" t="str">
        <f aca="false">IF(B1448="","",IF(COUNTIF(Campaigns!$A$7:$A$300,B1448)&gt;0,"✓","⚠ add to Campaigns tab"))</f>
        <v/>
      </c>
      <c r="I1448" s="84" t="str">
        <f aca="false">IF(C1448="","",C1448*IF(Settings!$B$24=Settings!$C$6,1,IF(Settings!$B$24="USD",1/INDEX(Settings!$B$29:$B$40,MONTH(A1448)),INDEX(Settings!$B$29:$B$40,MONTH(A1448)))))</f>
        <v/>
      </c>
    </row>
    <row r="1449" customFormat="false" ht="15" hidden="false" customHeight="false" outlineLevel="0" collapsed="false">
      <c r="H1449" s="0" t="str">
        <f aca="false">IF(B1449="","",IF(COUNTIF(Campaigns!$A$7:$A$300,B1449)&gt;0,"✓","⚠ add to Campaigns tab"))</f>
        <v/>
      </c>
      <c r="I1449" s="84" t="str">
        <f aca="false">IF(C1449="","",C1449*IF(Settings!$B$24=Settings!$C$6,1,IF(Settings!$B$24="USD",1/INDEX(Settings!$B$29:$B$40,MONTH(A1449)),INDEX(Settings!$B$29:$B$40,MONTH(A1449)))))</f>
        <v/>
      </c>
    </row>
    <row r="1450" customFormat="false" ht="15" hidden="false" customHeight="false" outlineLevel="0" collapsed="false">
      <c r="H1450" s="0" t="str">
        <f aca="false">IF(B1450="","",IF(COUNTIF(Campaigns!$A$7:$A$300,B1450)&gt;0,"✓","⚠ add to Campaigns tab"))</f>
        <v/>
      </c>
      <c r="I1450" s="84" t="str">
        <f aca="false">IF(C1450="","",C1450*IF(Settings!$B$24=Settings!$C$6,1,IF(Settings!$B$24="USD",1/INDEX(Settings!$B$29:$B$40,MONTH(A1450)),INDEX(Settings!$B$29:$B$40,MONTH(A1450)))))</f>
        <v/>
      </c>
    </row>
    <row r="1451" customFormat="false" ht="15" hidden="false" customHeight="false" outlineLevel="0" collapsed="false">
      <c r="H1451" s="0" t="str">
        <f aca="false">IF(B1451="","",IF(COUNTIF(Campaigns!$A$7:$A$300,B1451)&gt;0,"✓","⚠ add to Campaigns tab"))</f>
        <v/>
      </c>
      <c r="I1451" s="84" t="str">
        <f aca="false">IF(C1451="","",C1451*IF(Settings!$B$24=Settings!$C$6,1,IF(Settings!$B$24="USD",1/INDEX(Settings!$B$29:$B$40,MONTH(A1451)),INDEX(Settings!$B$29:$B$40,MONTH(A1451)))))</f>
        <v/>
      </c>
    </row>
    <row r="1452" customFormat="false" ht="15" hidden="false" customHeight="false" outlineLevel="0" collapsed="false">
      <c r="H1452" s="0" t="str">
        <f aca="false">IF(B1452="","",IF(COUNTIF(Campaigns!$A$7:$A$300,B1452)&gt;0,"✓","⚠ add to Campaigns tab"))</f>
        <v/>
      </c>
      <c r="I1452" s="84" t="str">
        <f aca="false">IF(C1452="","",C1452*IF(Settings!$B$24=Settings!$C$6,1,IF(Settings!$B$24="USD",1/INDEX(Settings!$B$29:$B$40,MONTH(A1452)),INDEX(Settings!$B$29:$B$40,MONTH(A1452)))))</f>
        <v/>
      </c>
    </row>
    <row r="1453" customFormat="false" ht="15" hidden="false" customHeight="false" outlineLevel="0" collapsed="false">
      <c r="H1453" s="0" t="str">
        <f aca="false">IF(B1453="","",IF(COUNTIF(Campaigns!$A$7:$A$300,B1453)&gt;0,"✓","⚠ add to Campaigns tab"))</f>
        <v/>
      </c>
      <c r="I1453" s="84" t="str">
        <f aca="false">IF(C1453="","",C1453*IF(Settings!$B$24=Settings!$C$6,1,IF(Settings!$B$24="USD",1/INDEX(Settings!$B$29:$B$40,MONTH(A1453)),INDEX(Settings!$B$29:$B$40,MONTH(A1453)))))</f>
        <v/>
      </c>
    </row>
    <row r="1454" customFormat="false" ht="15" hidden="false" customHeight="false" outlineLevel="0" collapsed="false">
      <c r="H1454" s="0" t="str">
        <f aca="false">IF(B1454="","",IF(COUNTIF(Campaigns!$A$7:$A$300,B1454)&gt;0,"✓","⚠ add to Campaigns tab"))</f>
        <v/>
      </c>
      <c r="I1454" s="84" t="str">
        <f aca="false">IF(C1454="","",C1454*IF(Settings!$B$24=Settings!$C$6,1,IF(Settings!$B$24="USD",1/INDEX(Settings!$B$29:$B$40,MONTH(A1454)),INDEX(Settings!$B$29:$B$40,MONTH(A1454)))))</f>
        <v/>
      </c>
    </row>
    <row r="1455" customFormat="false" ht="15" hidden="false" customHeight="false" outlineLevel="0" collapsed="false">
      <c r="H1455" s="0" t="str">
        <f aca="false">IF(B1455="","",IF(COUNTIF(Campaigns!$A$7:$A$300,B1455)&gt;0,"✓","⚠ add to Campaigns tab"))</f>
        <v/>
      </c>
      <c r="I1455" s="84" t="str">
        <f aca="false">IF(C1455="","",C1455*IF(Settings!$B$24=Settings!$C$6,1,IF(Settings!$B$24="USD",1/INDEX(Settings!$B$29:$B$40,MONTH(A1455)),INDEX(Settings!$B$29:$B$40,MONTH(A1455)))))</f>
        <v/>
      </c>
    </row>
    <row r="1456" customFormat="false" ht="15" hidden="false" customHeight="false" outlineLevel="0" collapsed="false">
      <c r="H1456" s="0" t="str">
        <f aca="false">IF(B1456="","",IF(COUNTIF(Campaigns!$A$7:$A$300,B1456)&gt;0,"✓","⚠ add to Campaigns tab"))</f>
        <v/>
      </c>
      <c r="I1456" s="84" t="str">
        <f aca="false">IF(C1456="","",C1456*IF(Settings!$B$24=Settings!$C$6,1,IF(Settings!$B$24="USD",1/INDEX(Settings!$B$29:$B$40,MONTH(A1456)),INDEX(Settings!$B$29:$B$40,MONTH(A1456)))))</f>
        <v/>
      </c>
    </row>
    <row r="1457" customFormat="false" ht="15" hidden="false" customHeight="false" outlineLevel="0" collapsed="false">
      <c r="H1457" s="0" t="str">
        <f aca="false">IF(B1457="","",IF(COUNTIF(Campaigns!$A$7:$A$300,B1457)&gt;0,"✓","⚠ add to Campaigns tab"))</f>
        <v/>
      </c>
      <c r="I1457" s="84" t="str">
        <f aca="false">IF(C1457="","",C1457*IF(Settings!$B$24=Settings!$C$6,1,IF(Settings!$B$24="USD",1/INDEX(Settings!$B$29:$B$40,MONTH(A1457)),INDEX(Settings!$B$29:$B$40,MONTH(A1457)))))</f>
        <v/>
      </c>
    </row>
    <row r="1458" customFormat="false" ht="15" hidden="false" customHeight="false" outlineLevel="0" collapsed="false">
      <c r="H1458" s="0" t="str">
        <f aca="false">IF(B1458="","",IF(COUNTIF(Campaigns!$A$7:$A$300,B1458)&gt;0,"✓","⚠ add to Campaigns tab"))</f>
        <v/>
      </c>
      <c r="I1458" s="84" t="str">
        <f aca="false">IF(C1458="","",C1458*IF(Settings!$B$24=Settings!$C$6,1,IF(Settings!$B$24="USD",1/INDEX(Settings!$B$29:$B$40,MONTH(A1458)),INDEX(Settings!$B$29:$B$40,MONTH(A1458)))))</f>
        <v/>
      </c>
    </row>
    <row r="1459" customFormat="false" ht="15" hidden="false" customHeight="false" outlineLevel="0" collapsed="false">
      <c r="H1459" s="0" t="str">
        <f aca="false">IF(B1459="","",IF(COUNTIF(Campaigns!$A$7:$A$300,B1459)&gt;0,"✓","⚠ add to Campaigns tab"))</f>
        <v/>
      </c>
      <c r="I1459" s="84" t="str">
        <f aca="false">IF(C1459="","",C1459*IF(Settings!$B$24=Settings!$C$6,1,IF(Settings!$B$24="USD",1/INDEX(Settings!$B$29:$B$40,MONTH(A1459)),INDEX(Settings!$B$29:$B$40,MONTH(A1459)))))</f>
        <v/>
      </c>
    </row>
    <row r="1460" customFormat="false" ht="15" hidden="false" customHeight="false" outlineLevel="0" collapsed="false">
      <c r="H1460" s="0" t="str">
        <f aca="false">IF(B1460="","",IF(COUNTIF(Campaigns!$A$7:$A$300,B1460)&gt;0,"✓","⚠ add to Campaigns tab"))</f>
        <v/>
      </c>
      <c r="I1460" s="84" t="str">
        <f aca="false">IF(C1460="","",C1460*IF(Settings!$B$24=Settings!$C$6,1,IF(Settings!$B$24="USD",1/INDEX(Settings!$B$29:$B$40,MONTH(A1460)),INDEX(Settings!$B$29:$B$40,MONTH(A1460)))))</f>
        <v/>
      </c>
    </row>
    <row r="1461" customFormat="false" ht="15" hidden="false" customHeight="false" outlineLevel="0" collapsed="false">
      <c r="H1461" s="0" t="str">
        <f aca="false">IF(B1461="","",IF(COUNTIF(Campaigns!$A$7:$A$300,B1461)&gt;0,"✓","⚠ add to Campaigns tab"))</f>
        <v/>
      </c>
      <c r="I1461" s="84" t="str">
        <f aca="false">IF(C1461="","",C1461*IF(Settings!$B$24=Settings!$C$6,1,IF(Settings!$B$24="USD",1/INDEX(Settings!$B$29:$B$40,MONTH(A1461)),INDEX(Settings!$B$29:$B$40,MONTH(A1461)))))</f>
        <v/>
      </c>
    </row>
    <row r="1462" customFormat="false" ht="15" hidden="false" customHeight="false" outlineLevel="0" collapsed="false">
      <c r="H1462" s="0" t="str">
        <f aca="false">IF(B1462="","",IF(COUNTIF(Campaigns!$A$7:$A$300,B1462)&gt;0,"✓","⚠ add to Campaigns tab"))</f>
        <v/>
      </c>
      <c r="I1462" s="84" t="str">
        <f aca="false">IF(C1462="","",C1462*IF(Settings!$B$24=Settings!$C$6,1,IF(Settings!$B$24="USD",1/INDEX(Settings!$B$29:$B$40,MONTH(A1462)),INDEX(Settings!$B$29:$B$40,MONTH(A1462)))))</f>
        <v/>
      </c>
    </row>
    <row r="1463" customFormat="false" ht="15" hidden="false" customHeight="false" outlineLevel="0" collapsed="false">
      <c r="H1463" s="0" t="str">
        <f aca="false">IF(B1463="","",IF(COUNTIF(Campaigns!$A$7:$A$300,B1463)&gt;0,"✓","⚠ add to Campaigns tab"))</f>
        <v/>
      </c>
      <c r="I1463" s="84" t="str">
        <f aca="false">IF(C1463="","",C1463*IF(Settings!$B$24=Settings!$C$6,1,IF(Settings!$B$24="USD",1/INDEX(Settings!$B$29:$B$40,MONTH(A1463)),INDEX(Settings!$B$29:$B$40,MONTH(A1463)))))</f>
        <v/>
      </c>
    </row>
    <row r="1464" customFormat="false" ht="15" hidden="false" customHeight="false" outlineLevel="0" collapsed="false">
      <c r="H1464" s="0" t="str">
        <f aca="false">IF(B1464="","",IF(COUNTIF(Campaigns!$A$7:$A$300,B1464)&gt;0,"✓","⚠ add to Campaigns tab"))</f>
        <v/>
      </c>
      <c r="I1464" s="84" t="str">
        <f aca="false">IF(C1464="","",C1464*IF(Settings!$B$24=Settings!$C$6,1,IF(Settings!$B$24="USD",1/INDEX(Settings!$B$29:$B$40,MONTH(A1464)),INDEX(Settings!$B$29:$B$40,MONTH(A1464)))))</f>
        <v/>
      </c>
    </row>
    <row r="1465" customFormat="false" ht="15" hidden="false" customHeight="false" outlineLevel="0" collapsed="false">
      <c r="H1465" s="0" t="str">
        <f aca="false">IF(B1465="","",IF(COUNTIF(Campaigns!$A$7:$A$300,B1465)&gt;0,"✓","⚠ add to Campaigns tab"))</f>
        <v/>
      </c>
      <c r="I1465" s="84" t="str">
        <f aca="false">IF(C1465="","",C1465*IF(Settings!$B$24=Settings!$C$6,1,IF(Settings!$B$24="USD",1/INDEX(Settings!$B$29:$B$40,MONTH(A1465)),INDEX(Settings!$B$29:$B$40,MONTH(A1465)))))</f>
        <v/>
      </c>
    </row>
    <row r="1466" customFormat="false" ht="15" hidden="false" customHeight="false" outlineLevel="0" collapsed="false">
      <c r="H1466" s="0" t="str">
        <f aca="false">IF(B1466="","",IF(COUNTIF(Campaigns!$A$7:$A$300,B1466)&gt;0,"✓","⚠ add to Campaigns tab"))</f>
        <v/>
      </c>
      <c r="I1466" s="84" t="str">
        <f aca="false">IF(C1466="","",C1466*IF(Settings!$B$24=Settings!$C$6,1,IF(Settings!$B$24="USD",1/INDEX(Settings!$B$29:$B$40,MONTH(A1466)),INDEX(Settings!$B$29:$B$40,MONTH(A1466)))))</f>
        <v/>
      </c>
    </row>
    <row r="1467" customFormat="false" ht="15" hidden="false" customHeight="false" outlineLevel="0" collapsed="false">
      <c r="H1467" s="0" t="str">
        <f aca="false">IF(B1467="","",IF(COUNTIF(Campaigns!$A$7:$A$300,B1467)&gt;0,"✓","⚠ add to Campaigns tab"))</f>
        <v/>
      </c>
      <c r="I1467" s="84" t="str">
        <f aca="false">IF(C1467="","",C1467*IF(Settings!$B$24=Settings!$C$6,1,IF(Settings!$B$24="USD",1/INDEX(Settings!$B$29:$B$40,MONTH(A1467)),INDEX(Settings!$B$29:$B$40,MONTH(A1467)))))</f>
        <v/>
      </c>
    </row>
    <row r="1468" customFormat="false" ht="15" hidden="false" customHeight="false" outlineLevel="0" collapsed="false">
      <c r="H1468" s="0" t="str">
        <f aca="false">IF(B1468="","",IF(COUNTIF(Campaigns!$A$7:$A$300,B1468)&gt;0,"✓","⚠ add to Campaigns tab"))</f>
        <v/>
      </c>
      <c r="I1468" s="84" t="str">
        <f aca="false">IF(C1468="","",C1468*IF(Settings!$B$24=Settings!$C$6,1,IF(Settings!$B$24="USD",1/INDEX(Settings!$B$29:$B$40,MONTH(A1468)),INDEX(Settings!$B$29:$B$40,MONTH(A1468)))))</f>
        <v/>
      </c>
    </row>
    <row r="1469" customFormat="false" ht="15" hidden="false" customHeight="false" outlineLevel="0" collapsed="false">
      <c r="H1469" s="0" t="str">
        <f aca="false">IF(B1469="","",IF(COUNTIF(Campaigns!$A$7:$A$300,B1469)&gt;0,"✓","⚠ add to Campaigns tab"))</f>
        <v/>
      </c>
      <c r="I1469" s="84" t="str">
        <f aca="false">IF(C1469="","",C1469*IF(Settings!$B$24=Settings!$C$6,1,IF(Settings!$B$24="USD",1/INDEX(Settings!$B$29:$B$40,MONTH(A1469)),INDEX(Settings!$B$29:$B$40,MONTH(A1469)))))</f>
        <v/>
      </c>
    </row>
    <row r="1470" customFormat="false" ht="15" hidden="false" customHeight="false" outlineLevel="0" collapsed="false">
      <c r="H1470" s="0" t="str">
        <f aca="false">IF(B1470="","",IF(COUNTIF(Campaigns!$A$7:$A$300,B1470)&gt;0,"✓","⚠ add to Campaigns tab"))</f>
        <v/>
      </c>
      <c r="I1470" s="84" t="str">
        <f aca="false">IF(C1470="","",C1470*IF(Settings!$B$24=Settings!$C$6,1,IF(Settings!$B$24="USD",1/INDEX(Settings!$B$29:$B$40,MONTH(A1470)),INDEX(Settings!$B$29:$B$40,MONTH(A1470)))))</f>
        <v/>
      </c>
    </row>
    <row r="1471" customFormat="false" ht="15" hidden="false" customHeight="false" outlineLevel="0" collapsed="false">
      <c r="H1471" s="0" t="str">
        <f aca="false">IF(B1471="","",IF(COUNTIF(Campaigns!$A$7:$A$300,B1471)&gt;0,"✓","⚠ add to Campaigns tab"))</f>
        <v/>
      </c>
      <c r="I1471" s="84" t="str">
        <f aca="false">IF(C1471="","",C1471*IF(Settings!$B$24=Settings!$C$6,1,IF(Settings!$B$24="USD",1/INDEX(Settings!$B$29:$B$40,MONTH(A1471)),INDEX(Settings!$B$29:$B$40,MONTH(A1471)))))</f>
        <v/>
      </c>
    </row>
    <row r="1472" customFormat="false" ht="15" hidden="false" customHeight="false" outlineLevel="0" collapsed="false">
      <c r="H1472" s="0" t="str">
        <f aca="false">IF(B1472="","",IF(COUNTIF(Campaigns!$A$7:$A$300,B1472)&gt;0,"✓","⚠ add to Campaigns tab"))</f>
        <v/>
      </c>
      <c r="I1472" s="84" t="str">
        <f aca="false">IF(C1472="","",C1472*IF(Settings!$B$24=Settings!$C$6,1,IF(Settings!$B$24="USD",1/INDEX(Settings!$B$29:$B$40,MONTH(A1472)),INDEX(Settings!$B$29:$B$40,MONTH(A1472)))))</f>
        <v/>
      </c>
    </row>
    <row r="1473" customFormat="false" ht="15" hidden="false" customHeight="false" outlineLevel="0" collapsed="false">
      <c r="H1473" s="0" t="str">
        <f aca="false">IF(B1473="","",IF(COUNTIF(Campaigns!$A$7:$A$300,B1473)&gt;0,"✓","⚠ add to Campaigns tab"))</f>
        <v/>
      </c>
      <c r="I1473" s="84" t="str">
        <f aca="false">IF(C1473="","",C1473*IF(Settings!$B$24=Settings!$C$6,1,IF(Settings!$B$24="USD",1/INDEX(Settings!$B$29:$B$40,MONTH(A1473)),INDEX(Settings!$B$29:$B$40,MONTH(A1473)))))</f>
        <v/>
      </c>
    </row>
    <row r="1474" customFormat="false" ht="15" hidden="false" customHeight="false" outlineLevel="0" collapsed="false">
      <c r="H1474" s="0" t="str">
        <f aca="false">IF(B1474="","",IF(COUNTIF(Campaigns!$A$7:$A$300,B1474)&gt;0,"✓","⚠ add to Campaigns tab"))</f>
        <v/>
      </c>
      <c r="I1474" s="84" t="str">
        <f aca="false">IF(C1474="","",C1474*IF(Settings!$B$24=Settings!$C$6,1,IF(Settings!$B$24="USD",1/INDEX(Settings!$B$29:$B$40,MONTH(A1474)),INDEX(Settings!$B$29:$B$40,MONTH(A1474)))))</f>
        <v/>
      </c>
    </row>
    <row r="1475" customFormat="false" ht="15" hidden="false" customHeight="false" outlineLevel="0" collapsed="false">
      <c r="H1475" s="0" t="str">
        <f aca="false">IF(B1475="","",IF(COUNTIF(Campaigns!$A$7:$A$300,B1475)&gt;0,"✓","⚠ add to Campaigns tab"))</f>
        <v/>
      </c>
      <c r="I1475" s="84" t="str">
        <f aca="false">IF(C1475="","",C1475*IF(Settings!$B$24=Settings!$C$6,1,IF(Settings!$B$24="USD",1/INDEX(Settings!$B$29:$B$40,MONTH(A1475)),INDEX(Settings!$B$29:$B$40,MONTH(A1475)))))</f>
        <v/>
      </c>
    </row>
    <row r="1476" customFormat="false" ht="15" hidden="false" customHeight="false" outlineLevel="0" collapsed="false">
      <c r="H1476" s="0" t="str">
        <f aca="false">IF(B1476="","",IF(COUNTIF(Campaigns!$A$7:$A$300,B1476)&gt;0,"✓","⚠ add to Campaigns tab"))</f>
        <v/>
      </c>
      <c r="I1476" s="84" t="str">
        <f aca="false">IF(C1476="","",C1476*IF(Settings!$B$24=Settings!$C$6,1,IF(Settings!$B$24="USD",1/INDEX(Settings!$B$29:$B$40,MONTH(A1476)),INDEX(Settings!$B$29:$B$40,MONTH(A1476)))))</f>
        <v/>
      </c>
    </row>
    <row r="1477" customFormat="false" ht="15" hidden="false" customHeight="false" outlineLevel="0" collapsed="false">
      <c r="H1477" s="0" t="str">
        <f aca="false">IF(B1477="","",IF(COUNTIF(Campaigns!$A$7:$A$300,B1477)&gt;0,"✓","⚠ add to Campaigns tab"))</f>
        <v/>
      </c>
      <c r="I1477" s="84" t="str">
        <f aca="false">IF(C1477="","",C1477*IF(Settings!$B$24=Settings!$C$6,1,IF(Settings!$B$24="USD",1/INDEX(Settings!$B$29:$B$40,MONTH(A1477)),INDEX(Settings!$B$29:$B$40,MONTH(A1477)))))</f>
        <v/>
      </c>
    </row>
    <row r="1478" customFormat="false" ht="15" hidden="false" customHeight="false" outlineLevel="0" collapsed="false">
      <c r="H1478" s="0" t="str">
        <f aca="false">IF(B1478="","",IF(COUNTIF(Campaigns!$A$7:$A$300,B1478)&gt;0,"✓","⚠ add to Campaigns tab"))</f>
        <v/>
      </c>
      <c r="I1478" s="84" t="str">
        <f aca="false">IF(C1478="","",C1478*IF(Settings!$B$24=Settings!$C$6,1,IF(Settings!$B$24="USD",1/INDEX(Settings!$B$29:$B$40,MONTH(A1478)),INDEX(Settings!$B$29:$B$40,MONTH(A1478)))))</f>
        <v/>
      </c>
    </row>
    <row r="1479" customFormat="false" ht="15" hidden="false" customHeight="false" outlineLevel="0" collapsed="false">
      <c r="H1479" s="0" t="str">
        <f aca="false">IF(B1479="","",IF(COUNTIF(Campaigns!$A$7:$A$300,B1479)&gt;0,"✓","⚠ add to Campaigns tab"))</f>
        <v/>
      </c>
      <c r="I1479" s="84" t="str">
        <f aca="false">IF(C1479="","",C1479*IF(Settings!$B$24=Settings!$C$6,1,IF(Settings!$B$24="USD",1/INDEX(Settings!$B$29:$B$40,MONTH(A1479)),INDEX(Settings!$B$29:$B$40,MONTH(A1479)))))</f>
        <v/>
      </c>
    </row>
    <row r="1480" customFormat="false" ht="15" hidden="false" customHeight="false" outlineLevel="0" collapsed="false">
      <c r="H1480" s="0" t="str">
        <f aca="false">IF(B1480="","",IF(COUNTIF(Campaigns!$A$7:$A$300,B1480)&gt;0,"✓","⚠ add to Campaigns tab"))</f>
        <v/>
      </c>
      <c r="I1480" s="84" t="str">
        <f aca="false">IF(C1480="","",C1480*IF(Settings!$B$24=Settings!$C$6,1,IF(Settings!$B$24="USD",1/INDEX(Settings!$B$29:$B$40,MONTH(A1480)),INDEX(Settings!$B$29:$B$40,MONTH(A1480)))))</f>
        <v/>
      </c>
    </row>
    <row r="1481" customFormat="false" ht="15" hidden="false" customHeight="false" outlineLevel="0" collapsed="false">
      <c r="H1481" s="0" t="str">
        <f aca="false">IF(B1481="","",IF(COUNTIF(Campaigns!$A$7:$A$300,B1481)&gt;0,"✓","⚠ add to Campaigns tab"))</f>
        <v/>
      </c>
      <c r="I1481" s="84" t="str">
        <f aca="false">IF(C1481="","",C1481*IF(Settings!$B$24=Settings!$C$6,1,IF(Settings!$B$24="USD",1/INDEX(Settings!$B$29:$B$40,MONTH(A1481)),INDEX(Settings!$B$29:$B$40,MONTH(A1481)))))</f>
        <v/>
      </c>
    </row>
    <row r="1482" customFormat="false" ht="15" hidden="false" customHeight="false" outlineLevel="0" collapsed="false">
      <c r="H1482" s="0" t="str">
        <f aca="false">IF(B1482="","",IF(COUNTIF(Campaigns!$A$7:$A$300,B1482)&gt;0,"✓","⚠ add to Campaigns tab"))</f>
        <v/>
      </c>
      <c r="I1482" s="84" t="str">
        <f aca="false">IF(C1482="","",C1482*IF(Settings!$B$24=Settings!$C$6,1,IF(Settings!$B$24="USD",1/INDEX(Settings!$B$29:$B$40,MONTH(A1482)),INDEX(Settings!$B$29:$B$40,MONTH(A1482)))))</f>
        <v/>
      </c>
    </row>
    <row r="1483" customFormat="false" ht="15" hidden="false" customHeight="false" outlineLevel="0" collapsed="false">
      <c r="H1483" s="0" t="str">
        <f aca="false">IF(B1483="","",IF(COUNTIF(Campaigns!$A$7:$A$300,B1483)&gt;0,"✓","⚠ add to Campaigns tab"))</f>
        <v/>
      </c>
      <c r="I1483" s="84" t="str">
        <f aca="false">IF(C1483="","",C1483*IF(Settings!$B$24=Settings!$C$6,1,IF(Settings!$B$24="USD",1/INDEX(Settings!$B$29:$B$40,MONTH(A1483)),INDEX(Settings!$B$29:$B$40,MONTH(A1483)))))</f>
        <v/>
      </c>
    </row>
    <row r="1484" customFormat="false" ht="15" hidden="false" customHeight="false" outlineLevel="0" collapsed="false">
      <c r="H1484" s="0" t="str">
        <f aca="false">IF(B1484="","",IF(COUNTIF(Campaigns!$A$7:$A$300,B1484)&gt;0,"✓","⚠ add to Campaigns tab"))</f>
        <v/>
      </c>
      <c r="I1484" s="84" t="str">
        <f aca="false">IF(C1484="","",C1484*IF(Settings!$B$24=Settings!$C$6,1,IF(Settings!$B$24="USD",1/INDEX(Settings!$B$29:$B$40,MONTH(A1484)),INDEX(Settings!$B$29:$B$40,MONTH(A1484)))))</f>
        <v/>
      </c>
    </row>
    <row r="1485" customFormat="false" ht="15" hidden="false" customHeight="false" outlineLevel="0" collapsed="false">
      <c r="H1485" s="0" t="str">
        <f aca="false">IF(B1485="","",IF(COUNTIF(Campaigns!$A$7:$A$300,B1485)&gt;0,"✓","⚠ add to Campaigns tab"))</f>
        <v/>
      </c>
      <c r="I1485" s="84" t="str">
        <f aca="false">IF(C1485="","",C1485*IF(Settings!$B$24=Settings!$C$6,1,IF(Settings!$B$24="USD",1/INDEX(Settings!$B$29:$B$40,MONTH(A1485)),INDEX(Settings!$B$29:$B$40,MONTH(A1485)))))</f>
        <v/>
      </c>
    </row>
    <row r="1486" customFormat="false" ht="15" hidden="false" customHeight="false" outlineLevel="0" collapsed="false">
      <c r="H1486" s="0" t="str">
        <f aca="false">IF(B1486="","",IF(COUNTIF(Campaigns!$A$7:$A$300,B1486)&gt;0,"✓","⚠ add to Campaigns tab"))</f>
        <v/>
      </c>
      <c r="I1486" s="84" t="str">
        <f aca="false">IF(C1486="","",C1486*IF(Settings!$B$24=Settings!$C$6,1,IF(Settings!$B$24="USD",1/INDEX(Settings!$B$29:$B$40,MONTH(A1486)),INDEX(Settings!$B$29:$B$40,MONTH(A1486)))))</f>
        <v/>
      </c>
    </row>
    <row r="1487" customFormat="false" ht="15" hidden="false" customHeight="false" outlineLevel="0" collapsed="false">
      <c r="H1487" s="0" t="str">
        <f aca="false">IF(B1487="","",IF(COUNTIF(Campaigns!$A$7:$A$300,B1487)&gt;0,"✓","⚠ add to Campaigns tab"))</f>
        <v/>
      </c>
      <c r="I1487" s="84" t="str">
        <f aca="false">IF(C1487="","",C1487*IF(Settings!$B$24=Settings!$C$6,1,IF(Settings!$B$24="USD",1/INDEX(Settings!$B$29:$B$40,MONTH(A1487)),INDEX(Settings!$B$29:$B$40,MONTH(A1487)))))</f>
        <v/>
      </c>
    </row>
    <row r="1488" customFormat="false" ht="15" hidden="false" customHeight="false" outlineLevel="0" collapsed="false">
      <c r="H1488" s="0" t="str">
        <f aca="false">IF(B1488="","",IF(COUNTIF(Campaigns!$A$7:$A$300,B1488)&gt;0,"✓","⚠ add to Campaigns tab"))</f>
        <v/>
      </c>
      <c r="I1488" s="84" t="str">
        <f aca="false">IF(C1488="","",C1488*IF(Settings!$B$24=Settings!$C$6,1,IF(Settings!$B$24="USD",1/INDEX(Settings!$B$29:$B$40,MONTH(A1488)),INDEX(Settings!$B$29:$B$40,MONTH(A1488)))))</f>
        <v/>
      </c>
    </row>
    <row r="1489" customFormat="false" ht="15" hidden="false" customHeight="false" outlineLevel="0" collapsed="false">
      <c r="H1489" s="0" t="str">
        <f aca="false">IF(B1489="","",IF(COUNTIF(Campaigns!$A$7:$A$300,B1489)&gt;0,"✓","⚠ add to Campaigns tab"))</f>
        <v/>
      </c>
      <c r="I1489" s="84" t="str">
        <f aca="false">IF(C1489="","",C1489*IF(Settings!$B$24=Settings!$C$6,1,IF(Settings!$B$24="USD",1/INDEX(Settings!$B$29:$B$40,MONTH(A1489)),INDEX(Settings!$B$29:$B$40,MONTH(A1489)))))</f>
        <v/>
      </c>
    </row>
    <row r="1490" customFormat="false" ht="15" hidden="false" customHeight="false" outlineLevel="0" collapsed="false">
      <c r="H1490" s="0" t="str">
        <f aca="false">IF(B1490="","",IF(COUNTIF(Campaigns!$A$7:$A$300,B1490)&gt;0,"✓","⚠ add to Campaigns tab"))</f>
        <v/>
      </c>
      <c r="I1490" s="84" t="str">
        <f aca="false">IF(C1490="","",C1490*IF(Settings!$B$24=Settings!$C$6,1,IF(Settings!$B$24="USD",1/INDEX(Settings!$B$29:$B$40,MONTH(A1490)),INDEX(Settings!$B$29:$B$40,MONTH(A1490)))))</f>
        <v/>
      </c>
    </row>
    <row r="1491" customFormat="false" ht="15" hidden="false" customHeight="false" outlineLevel="0" collapsed="false">
      <c r="H1491" s="0" t="str">
        <f aca="false">IF(B1491="","",IF(COUNTIF(Campaigns!$A$7:$A$300,B1491)&gt;0,"✓","⚠ add to Campaigns tab"))</f>
        <v/>
      </c>
      <c r="I1491" s="84" t="str">
        <f aca="false">IF(C1491="","",C1491*IF(Settings!$B$24=Settings!$C$6,1,IF(Settings!$B$24="USD",1/INDEX(Settings!$B$29:$B$40,MONTH(A1491)),INDEX(Settings!$B$29:$B$40,MONTH(A1491)))))</f>
        <v/>
      </c>
    </row>
    <row r="1492" customFormat="false" ht="15" hidden="false" customHeight="false" outlineLevel="0" collapsed="false">
      <c r="H1492" s="0" t="str">
        <f aca="false">IF(B1492="","",IF(COUNTIF(Campaigns!$A$7:$A$300,B1492)&gt;0,"✓","⚠ add to Campaigns tab"))</f>
        <v/>
      </c>
      <c r="I1492" s="84" t="str">
        <f aca="false">IF(C1492="","",C1492*IF(Settings!$B$24=Settings!$C$6,1,IF(Settings!$B$24="USD",1/INDEX(Settings!$B$29:$B$40,MONTH(A1492)),INDEX(Settings!$B$29:$B$40,MONTH(A1492)))))</f>
        <v/>
      </c>
    </row>
    <row r="1493" customFormat="false" ht="15" hidden="false" customHeight="false" outlineLevel="0" collapsed="false">
      <c r="H1493" s="0" t="str">
        <f aca="false">IF(B1493="","",IF(COUNTIF(Campaigns!$A$7:$A$300,B1493)&gt;0,"✓","⚠ add to Campaigns tab"))</f>
        <v/>
      </c>
      <c r="I1493" s="84" t="str">
        <f aca="false">IF(C1493="","",C1493*IF(Settings!$B$24=Settings!$C$6,1,IF(Settings!$B$24="USD",1/INDEX(Settings!$B$29:$B$40,MONTH(A1493)),INDEX(Settings!$B$29:$B$40,MONTH(A1493)))))</f>
        <v/>
      </c>
    </row>
    <row r="1494" customFormat="false" ht="15" hidden="false" customHeight="false" outlineLevel="0" collapsed="false">
      <c r="H1494" s="0" t="str">
        <f aca="false">IF(B1494="","",IF(COUNTIF(Campaigns!$A$7:$A$300,B1494)&gt;0,"✓","⚠ add to Campaigns tab"))</f>
        <v/>
      </c>
      <c r="I1494" s="84" t="str">
        <f aca="false">IF(C1494="","",C1494*IF(Settings!$B$24=Settings!$C$6,1,IF(Settings!$B$24="USD",1/INDEX(Settings!$B$29:$B$40,MONTH(A1494)),INDEX(Settings!$B$29:$B$40,MONTH(A1494)))))</f>
        <v/>
      </c>
    </row>
    <row r="1495" customFormat="false" ht="15" hidden="false" customHeight="false" outlineLevel="0" collapsed="false">
      <c r="H1495" s="0" t="str">
        <f aca="false">IF(B1495="","",IF(COUNTIF(Campaigns!$A$7:$A$300,B1495)&gt;0,"✓","⚠ add to Campaigns tab"))</f>
        <v/>
      </c>
      <c r="I1495" s="84" t="str">
        <f aca="false">IF(C1495="","",C1495*IF(Settings!$B$24=Settings!$C$6,1,IF(Settings!$B$24="USD",1/INDEX(Settings!$B$29:$B$40,MONTH(A1495)),INDEX(Settings!$B$29:$B$40,MONTH(A1495)))))</f>
        <v/>
      </c>
    </row>
    <row r="1496" customFormat="false" ht="15" hidden="false" customHeight="false" outlineLevel="0" collapsed="false">
      <c r="H1496" s="0" t="str">
        <f aca="false">IF(B1496="","",IF(COUNTIF(Campaigns!$A$7:$A$300,B1496)&gt;0,"✓","⚠ add to Campaigns tab"))</f>
        <v/>
      </c>
      <c r="I1496" s="84" t="str">
        <f aca="false">IF(C1496="","",C1496*IF(Settings!$B$24=Settings!$C$6,1,IF(Settings!$B$24="USD",1/INDEX(Settings!$B$29:$B$40,MONTH(A1496)),INDEX(Settings!$B$29:$B$40,MONTH(A1496)))))</f>
        <v/>
      </c>
    </row>
    <row r="1497" customFormat="false" ht="15" hidden="false" customHeight="false" outlineLevel="0" collapsed="false">
      <c r="H1497" s="0" t="str">
        <f aca="false">IF(B1497="","",IF(COUNTIF(Campaigns!$A$7:$A$300,B1497)&gt;0,"✓","⚠ add to Campaigns tab"))</f>
        <v/>
      </c>
      <c r="I1497" s="84" t="str">
        <f aca="false">IF(C1497="","",C1497*IF(Settings!$B$24=Settings!$C$6,1,IF(Settings!$B$24="USD",1/INDEX(Settings!$B$29:$B$40,MONTH(A1497)),INDEX(Settings!$B$29:$B$40,MONTH(A1497)))))</f>
        <v/>
      </c>
    </row>
    <row r="1498" customFormat="false" ht="15" hidden="false" customHeight="false" outlineLevel="0" collapsed="false">
      <c r="H1498" s="0" t="str">
        <f aca="false">IF(B1498="","",IF(COUNTIF(Campaigns!$A$7:$A$300,B1498)&gt;0,"✓","⚠ add to Campaigns tab"))</f>
        <v/>
      </c>
      <c r="I1498" s="84" t="str">
        <f aca="false">IF(C1498="","",C1498*IF(Settings!$B$24=Settings!$C$6,1,IF(Settings!$B$24="USD",1/INDEX(Settings!$B$29:$B$40,MONTH(A1498)),INDEX(Settings!$B$29:$B$40,MONTH(A1498)))))</f>
        <v/>
      </c>
    </row>
    <row r="1499" customFormat="false" ht="15" hidden="false" customHeight="false" outlineLevel="0" collapsed="false">
      <c r="H1499" s="0" t="str">
        <f aca="false">IF(B1499="","",IF(COUNTIF(Campaigns!$A$7:$A$300,B1499)&gt;0,"✓","⚠ add to Campaigns tab"))</f>
        <v/>
      </c>
      <c r="I1499" s="84" t="str">
        <f aca="false">IF(C1499="","",C1499*IF(Settings!$B$24=Settings!$C$6,1,IF(Settings!$B$24="USD",1/INDEX(Settings!$B$29:$B$40,MONTH(A1499)),INDEX(Settings!$B$29:$B$40,MONTH(A1499)))))</f>
        <v/>
      </c>
    </row>
    <row r="1500" customFormat="false" ht="15" hidden="false" customHeight="false" outlineLevel="0" collapsed="false">
      <c r="H1500" s="0" t="str">
        <f aca="false">IF(B1500="","",IF(COUNTIF(Campaigns!$A$7:$A$300,B1500)&gt;0,"✓","⚠ add to Campaigns tab"))</f>
        <v/>
      </c>
      <c r="I1500" s="84" t="str">
        <f aca="false">IF(C1500="","",C1500*IF(Settings!$B$24=Settings!$C$6,1,IF(Settings!$B$24="USD",1/INDEX(Settings!$B$29:$B$40,MONTH(A1500)),INDEX(Settings!$B$29:$B$40,MONTH(A1500)))))</f>
        <v/>
      </c>
    </row>
    <row r="1501" customFormat="false" ht="15" hidden="false" customHeight="false" outlineLevel="0" collapsed="false">
      <c r="H1501" s="0" t="str">
        <f aca="false">IF(B1501="","",IF(COUNTIF(Campaigns!$A$7:$A$300,B1501)&gt;0,"✓","⚠ add to Campaigns tab"))</f>
        <v/>
      </c>
      <c r="I1501" s="84" t="str">
        <f aca="false">IF(C1501="","",C1501*IF(Settings!$B$24=Settings!$C$6,1,IF(Settings!$B$24="USD",1/INDEX(Settings!$B$29:$B$40,MONTH(A1501)),INDEX(Settings!$B$29:$B$40,MONTH(A1501)))))</f>
        <v/>
      </c>
    </row>
    <row r="1502" customFormat="false" ht="15" hidden="false" customHeight="false" outlineLevel="0" collapsed="false">
      <c r="H1502" s="0" t="str">
        <f aca="false">IF(B1502="","",IF(COUNTIF(Campaigns!$A$7:$A$300,B1502)&gt;0,"✓","⚠ add to Campaigns tab"))</f>
        <v/>
      </c>
      <c r="I1502" s="84" t="str">
        <f aca="false">IF(C1502="","",C1502*IF(Settings!$B$24=Settings!$C$6,1,IF(Settings!$B$24="USD",1/INDEX(Settings!$B$29:$B$40,MONTH(A1502)),INDEX(Settings!$B$29:$B$40,MONTH(A1502)))))</f>
        <v/>
      </c>
    </row>
    <row r="1503" customFormat="false" ht="15" hidden="false" customHeight="false" outlineLevel="0" collapsed="false">
      <c r="H1503" s="0" t="str">
        <f aca="false">IF(B1503="","",IF(COUNTIF(Campaigns!$A$7:$A$300,B1503)&gt;0,"✓","⚠ add to Campaigns tab"))</f>
        <v/>
      </c>
      <c r="I1503" s="84" t="str">
        <f aca="false">IF(C1503="","",C1503*IF(Settings!$B$24=Settings!$C$6,1,IF(Settings!$B$24="USD",1/INDEX(Settings!$B$29:$B$40,MONTH(A1503)),INDEX(Settings!$B$29:$B$40,MONTH(A1503)))))</f>
        <v/>
      </c>
    </row>
    <row r="1504" customFormat="false" ht="15" hidden="false" customHeight="false" outlineLevel="0" collapsed="false">
      <c r="H1504" s="0" t="str">
        <f aca="false">IF(B1504="","",IF(COUNTIF(Campaigns!$A$7:$A$300,B1504)&gt;0,"✓","⚠ add to Campaigns tab"))</f>
        <v/>
      </c>
      <c r="I1504" s="84" t="str">
        <f aca="false">IF(C1504="","",C1504*IF(Settings!$B$24=Settings!$C$6,1,IF(Settings!$B$24="USD",1/INDEX(Settings!$B$29:$B$40,MONTH(A1504)),INDEX(Settings!$B$29:$B$40,MONTH(A1504)))))</f>
        <v/>
      </c>
    </row>
    <row r="1505" customFormat="false" ht="15" hidden="false" customHeight="false" outlineLevel="0" collapsed="false">
      <c r="H1505" s="0" t="str">
        <f aca="false">IF(B1505="","",IF(COUNTIF(Campaigns!$A$7:$A$300,B1505)&gt;0,"✓","⚠ add to Campaigns tab"))</f>
        <v/>
      </c>
      <c r="I1505" s="84" t="str">
        <f aca="false">IF(C1505="","",C1505*IF(Settings!$B$24=Settings!$C$6,1,IF(Settings!$B$24="USD",1/INDEX(Settings!$B$29:$B$40,MONTH(A1505)),INDEX(Settings!$B$29:$B$40,MONTH(A1505)))))</f>
        <v/>
      </c>
    </row>
    <row r="1506" customFormat="false" ht="15" hidden="false" customHeight="false" outlineLevel="0" collapsed="false">
      <c r="H1506" s="0" t="str">
        <f aca="false">IF(B1506="","",IF(COUNTIF(Campaigns!$A$7:$A$300,B1506)&gt;0,"✓","⚠ add to Campaigns tab"))</f>
        <v/>
      </c>
      <c r="I1506" s="84" t="str">
        <f aca="false">IF(C1506="","",C1506*IF(Settings!$B$24=Settings!$C$6,1,IF(Settings!$B$24="USD",1/INDEX(Settings!$B$29:$B$40,MONTH(A1506)),INDEX(Settings!$B$29:$B$40,MONTH(A1506)))))</f>
        <v/>
      </c>
    </row>
    <row r="1507" customFormat="false" ht="15" hidden="false" customHeight="false" outlineLevel="0" collapsed="false">
      <c r="H1507" s="0" t="str">
        <f aca="false">IF(B1507="","",IF(COUNTIF(Campaigns!$A$7:$A$300,B1507)&gt;0,"✓","⚠ add to Campaigns tab"))</f>
        <v/>
      </c>
      <c r="I1507" s="84" t="str">
        <f aca="false">IF(C1507="","",C1507*IF(Settings!$B$24=Settings!$C$6,1,IF(Settings!$B$24="USD",1/INDEX(Settings!$B$29:$B$40,MONTH(A1507)),INDEX(Settings!$B$29:$B$40,MONTH(A1507)))))</f>
        <v/>
      </c>
    </row>
    <row r="1508" customFormat="false" ht="15" hidden="false" customHeight="false" outlineLevel="0" collapsed="false">
      <c r="H1508" s="0" t="str">
        <f aca="false">IF(B1508="","",IF(COUNTIF(Campaigns!$A$7:$A$300,B1508)&gt;0,"✓","⚠ add to Campaigns tab"))</f>
        <v/>
      </c>
      <c r="I1508" s="84" t="str">
        <f aca="false">IF(C1508="","",C1508*IF(Settings!$B$24=Settings!$C$6,1,IF(Settings!$B$24="USD",1/INDEX(Settings!$B$29:$B$40,MONTH(A1508)),INDEX(Settings!$B$29:$B$40,MONTH(A1508)))))</f>
        <v/>
      </c>
    </row>
    <row r="1509" customFormat="false" ht="15" hidden="false" customHeight="false" outlineLevel="0" collapsed="false">
      <c r="H1509" s="0" t="str">
        <f aca="false">IF(B1509="","",IF(COUNTIF(Campaigns!$A$7:$A$300,B1509)&gt;0,"✓","⚠ add to Campaigns tab"))</f>
        <v/>
      </c>
      <c r="I1509" s="84" t="str">
        <f aca="false">IF(C1509="","",C1509*IF(Settings!$B$24=Settings!$C$6,1,IF(Settings!$B$24="USD",1/INDEX(Settings!$B$29:$B$40,MONTH(A1509)),INDEX(Settings!$B$29:$B$40,MONTH(A1509)))))</f>
        <v/>
      </c>
    </row>
    <row r="1510" customFormat="false" ht="15" hidden="false" customHeight="false" outlineLevel="0" collapsed="false">
      <c r="H1510" s="0" t="str">
        <f aca="false">IF(B1510="","",IF(COUNTIF(Campaigns!$A$7:$A$300,B1510)&gt;0,"✓","⚠ add to Campaigns tab"))</f>
        <v/>
      </c>
      <c r="I1510" s="84" t="str">
        <f aca="false">IF(C1510="","",C1510*IF(Settings!$B$24=Settings!$C$6,1,IF(Settings!$B$24="USD",1/INDEX(Settings!$B$29:$B$40,MONTH(A1510)),INDEX(Settings!$B$29:$B$40,MONTH(A1510)))))</f>
        <v/>
      </c>
    </row>
    <row r="1511" customFormat="false" ht="15" hidden="false" customHeight="false" outlineLevel="0" collapsed="false">
      <c r="H1511" s="0" t="str">
        <f aca="false">IF(B1511="","",IF(COUNTIF(Campaigns!$A$7:$A$300,B1511)&gt;0,"✓","⚠ add to Campaigns tab"))</f>
        <v/>
      </c>
      <c r="I1511" s="84" t="str">
        <f aca="false">IF(C1511="","",C1511*IF(Settings!$B$24=Settings!$C$6,1,IF(Settings!$B$24="USD",1/INDEX(Settings!$B$29:$B$40,MONTH(A1511)),INDEX(Settings!$B$29:$B$40,MONTH(A1511)))))</f>
        <v/>
      </c>
    </row>
    <row r="1512" customFormat="false" ht="15" hidden="false" customHeight="false" outlineLevel="0" collapsed="false">
      <c r="H1512" s="0" t="str">
        <f aca="false">IF(B1512="","",IF(COUNTIF(Campaigns!$A$7:$A$300,B1512)&gt;0,"✓","⚠ add to Campaigns tab"))</f>
        <v/>
      </c>
      <c r="I1512" s="84" t="str">
        <f aca="false">IF(C1512="","",C1512*IF(Settings!$B$24=Settings!$C$6,1,IF(Settings!$B$24="USD",1/INDEX(Settings!$B$29:$B$40,MONTH(A1512)),INDEX(Settings!$B$29:$B$40,MONTH(A1512)))))</f>
        <v/>
      </c>
    </row>
    <row r="1513" customFormat="false" ht="15" hidden="false" customHeight="false" outlineLevel="0" collapsed="false">
      <c r="H1513" s="0" t="str">
        <f aca="false">IF(B1513="","",IF(COUNTIF(Campaigns!$A$7:$A$300,B1513)&gt;0,"✓","⚠ add to Campaigns tab"))</f>
        <v/>
      </c>
      <c r="I1513" s="84" t="str">
        <f aca="false">IF(C1513="","",C1513*IF(Settings!$B$24=Settings!$C$6,1,IF(Settings!$B$24="USD",1/INDEX(Settings!$B$29:$B$40,MONTH(A1513)),INDEX(Settings!$B$29:$B$40,MONTH(A1513)))))</f>
        <v/>
      </c>
    </row>
    <row r="1514" customFormat="false" ht="15" hidden="false" customHeight="false" outlineLevel="0" collapsed="false">
      <c r="H1514" s="0" t="str">
        <f aca="false">IF(B1514="","",IF(COUNTIF(Campaigns!$A$7:$A$300,B1514)&gt;0,"✓","⚠ add to Campaigns tab"))</f>
        <v/>
      </c>
      <c r="I1514" s="84" t="str">
        <f aca="false">IF(C1514="","",C1514*IF(Settings!$B$24=Settings!$C$6,1,IF(Settings!$B$24="USD",1/INDEX(Settings!$B$29:$B$40,MONTH(A1514)),INDEX(Settings!$B$29:$B$40,MONTH(A1514)))))</f>
        <v/>
      </c>
    </row>
    <row r="1515" customFormat="false" ht="15" hidden="false" customHeight="false" outlineLevel="0" collapsed="false">
      <c r="H1515" s="0" t="str">
        <f aca="false">IF(B1515="","",IF(COUNTIF(Campaigns!$A$7:$A$300,B1515)&gt;0,"✓","⚠ add to Campaigns tab"))</f>
        <v/>
      </c>
      <c r="I1515" s="84" t="str">
        <f aca="false">IF(C1515="","",C1515*IF(Settings!$B$24=Settings!$C$6,1,IF(Settings!$B$24="USD",1/INDEX(Settings!$B$29:$B$40,MONTH(A1515)),INDEX(Settings!$B$29:$B$40,MONTH(A1515)))))</f>
        <v/>
      </c>
    </row>
    <row r="1516" customFormat="false" ht="15" hidden="false" customHeight="false" outlineLevel="0" collapsed="false">
      <c r="H1516" s="0" t="str">
        <f aca="false">IF(B1516="","",IF(COUNTIF(Campaigns!$A$7:$A$300,B1516)&gt;0,"✓","⚠ add to Campaigns tab"))</f>
        <v/>
      </c>
      <c r="I1516" s="84" t="str">
        <f aca="false">IF(C1516="","",C1516*IF(Settings!$B$24=Settings!$C$6,1,IF(Settings!$B$24="USD",1/INDEX(Settings!$B$29:$B$40,MONTH(A1516)),INDEX(Settings!$B$29:$B$40,MONTH(A1516)))))</f>
        <v/>
      </c>
    </row>
    <row r="1517" customFormat="false" ht="15" hidden="false" customHeight="false" outlineLevel="0" collapsed="false">
      <c r="H1517" s="0" t="str">
        <f aca="false">IF(B1517="","",IF(COUNTIF(Campaigns!$A$7:$A$300,B1517)&gt;0,"✓","⚠ add to Campaigns tab"))</f>
        <v/>
      </c>
      <c r="I1517" s="84" t="str">
        <f aca="false">IF(C1517="","",C1517*IF(Settings!$B$24=Settings!$C$6,1,IF(Settings!$B$24="USD",1/INDEX(Settings!$B$29:$B$40,MONTH(A1517)),INDEX(Settings!$B$29:$B$40,MONTH(A1517)))))</f>
        <v/>
      </c>
    </row>
    <row r="1518" customFormat="false" ht="15" hidden="false" customHeight="false" outlineLevel="0" collapsed="false">
      <c r="H1518" s="0" t="str">
        <f aca="false">IF(B1518="","",IF(COUNTIF(Campaigns!$A$7:$A$300,B1518)&gt;0,"✓","⚠ add to Campaigns tab"))</f>
        <v/>
      </c>
      <c r="I1518" s="84" t="str">
        <f aca="false">IF(C1518="","",C1518*IF(Settings!$B$24=Settings!$C$6,1,IF(Settings!$B$24="USD",1/INDEX(Settings!$B$29:$B$40,MONTH(A1518)),INDEX(Settings!$B$29:$B$40,MONTH(A1518)))))</f>
        <v/>
      </c>
    </row>
    <row r="1519" customFormat="false" ht="15" hidden="false" customHeight="false" outlineLevel="0" collapsed="false">
      <c r="H1519" s="0" t="str">
        <f aca="false">IF(B1519="","",IF(COUNTIF(Campaigns!$A$7:$A$300,B1519)&gt;0,"✓","⚠ add to Campaigns tab"))</f>
        <v/>
      </c>
      <c r="I1519" s="84" t="str">
        <f aca="false">IF(C1519="","",C1519*IF(Settings!$B$24=Settings!$C$6,1,IF(Settings!$B$24="USD",1/INDEX(Settings!$B$29:$B$40,MONTH(A1519)),INDEX(Settings!$B$29:$B$40,MONTH(A1519)))))</f>
        <v/>
      </c>
    </row>
    <row r="1520" customFormat="false" ht="15" hidden="false" customHeight="false" outlineLevel="0" collapsed="false">
      <c r="H1520" s="0" t="str">
        <f aca="false">IF(B1520="","",IF(COUNTIF(Campaigns!$A$7:$A$300,B1520)&gt;0,"✓","⚠ add to Campaigns tab"))</f>
        <v/>
      </c>
      <c r="I1520" s="84" t="str">
        <f aca="false">IF(C1520="","",C1520*IF(Settings!$B$24=Settings!$C$6,1,IF(Settings!$B$24="USD",1/INDEX(Settings!$B$29:$B$40,MONTH(A1520)),INDEX(Settings!$B$29:$B$40,MONTH(A1520)))))</f>
        <v/>
      </c>
    </row>
    <row r="1521" customFormat="false" ht="15" hidden="false" customHeight="false" outlineLevel="0" collapsed="false">
      <c r="H1521" s="0" t="str">
        <f aca="false">IF(B1521="","",IF(COUNTIF(Campaigns!$A$7:$A$300,B1521)&gt;0,"✓","⚠ add to Campaigns tab"))</f>
        <v/>
      </c>
      <c r="I1521" s="84" t="str">
        <f aca="false">IF(C1521="","",C1521*IF(Settings!$B$24=Settings!$C$6,1,IF(Settings!$B$24="USD",1/INDEX(Settings!$B$29:$B$40,MONTH(A1521)),INDEX(Settings!$B$29:$B$40,MONTH(A1521)))))</f>
        <v/>
      </c>
    </row>
    <row r="1522" customFormat="false" ht="15" hidden="false" customHeight="false" outlineLevel="0" collapsed="false">
      <c r="H1522" s="0" t="str">
        <f aca="false">IF(B1522="","",IF(COUNTIF(Campaigns!$A$7:$A$300,B1522)&gt;0,"✓","⚠ add to Campaigns tab"))</f>
        <v/>
      </c>
      <c r="I1522" s="84" t="str">
        <f aca="false">IF(C1522="","",C1522*IF(Settings!$B$24=Settings!$C$6,1,IF(Settings!$B$24="USD",1/INDEX(Settings!$B$29:$B$40,MONTH(A1522)),INDEX(Settings!$B$29:$B$40,MONTH(A1522)))))</f>
        <v/>
      </c>
    </row>
    <row r="1523" customFormat="false" ht="15" hidden="false" customHeight="false" outlineLevel="0" collapsed="false">
      <c r="H1523" s="0" t="str">
        <f aca="false">IF(B1523="","",IF(COUNTIF(Campaigns!$A$7:$A$300,B1523)&gt;0,"✓","⚠ add to Campaigns tab"))</f>
        <v/>
      </c>
      <c r="I1523" s="84" t="str">
        <f aca="false">IF(C1523="","",C1523*IF(Settings!$B$24=Settings!$C$6,1,IF(Settings!$B$24="USD",1/INDEX(Settings!$B$29:$B$40,MONTH(A1523)),INDEX(Settings!$B$29:$B$40,MONTH(A1523)))))</f>
        <v/>
      </c>
    </row>
    <row r="1524" customFormat="false" ht="15" hidden="false" customHeight="false" outlineLevel="0" collapsed="false">
      <c r="H1524" s="0" t="str">
        <f aca="false">IF(B1524="","",IF(COUNTIF(Campaigns!$A$7:$A$300,B1524)&gt;0,"✓","⚠ add to Campaigns tab"))</f>
        <v/>
      </c>
      <c r="I1524" s="84" t="str">
        <f aca="false">IF(C1524="","",C1524*IF(Settings!$B$24=Settings!$C$6,1,IF(Settings!$B$24="USD",1/INDEX(Settings!$B$29:$B$40,MONTH(A1524)),INDEX(Settings!$B$29:$B$40,MONTH(A1524)))))</f>
        <v/>
      </c>
    </row>
    <row r="1525" customFormat="false" ht="15" hidden="false" customHeight="false" outlineLevel="0" collapsed="false">
      <c r="H1525" s="0" t="str">
        <f aca="false">IF(B1525="","",IF(COUNTIF(Campaigns!$A$7:$A$300,B1525)&gt;0,"✓","⚠ add to Campaigns tab"))</f>
        <v/>
      </c>
      <c r="I1525" s="84" t="str">
        <f aca="false">IF(C1525="","",C1525*IF(Settings!$B$24=Settings!$C$6,1,IF(Settings!$B$24="USD",1/INDEX(Settings!$B$29:$B$40,MONTH(A1525)),INDEX(Settings!$B$29:$B$40,MONTH(A1525)))))</f>
        <v/>
      </c>
    </row>
    <row r="1526" customFormat="false" ht="15" hidden="false" customHeight="false" outlineLevel="0" collapsed="false">
      <c r="H1526" s="0" t="str">
        <f aca="false">IF(B1526="","",IF(COUNTIF(Campaigns!$A$7:$A$300,B1526)&gt;0,"✓","⚠ add to Campaigns tab"))</f>
        <v/>
      </c>
      <c r="I1526" s="84" t="str">
        <f aca="false">IF(C1526="","",C1526*IF(Settings!$B$24=Settings!$C$6,1,IF(Settings!$B$24="USD",1/INDEX(Settings!$B$29:$B$40,MONTH(A1526)),INDEX(Settings!$B$29:$B$40,MONTH(A1526)))))</f>
        <v/>
      </c>
    </row>
    <row r="1527" customFormat="false" ht="15" hidden="false" customHeight="false" outlineLevel="0" collapsed="false">
      <c r="H1527" s="0" t="str">
        <f aca="false">IF(B1527="","",IF(COUNTIF(Campaigns!$A$7:$A$300,B1527)&gt;0,"✓","⚠ add to Campaigns tab"))</f>
        <v/>
      </c>
      <c r="I1527" s="84" t="str">
        <f aca="false">IF(C1527="","",C1527*IF(Settings!$B$24=Settings!$C$6,1,IF(Settings!$B$24="USD",1/INDEX(Settings!$B$29:$B$40,MONTH(A1527)),INDEX(Settings!$B$29:$B$40,MONTH(A1527)))))</f>
        <v/>
      </c>
    </row>
    <row r="1528" customFormat="false" ht="15" hidden="false" customHeight="false" outlineLevel="0" collapsed="false">
      <c r="H1528" s="0" t="str">
        <f aca="false">IF(B1528="","",IF(COUNTIF(Campaigns!$A$7:$A$300,B1528)&gt;0,"✓","⚠ add to Campaigns tab"))</f>
        <v/>
      </c>
      <c r="I1528" s="84" t="str">
        <f aca="false">IF(C1528="","",C1528*IF(Settings!$B$24=Settings!$C$6,1,IF(Settings!$B$24="USD",1/INDEX(Settings!$B$29:$B$40,MONTH(A1528)),INDEX(Settings!$B$29:$B$40,MONTH(A1528)))))</f>
        <v/>
      </c>
    </row>
    <row r="1529" customFormat="false" ht="15" hidden="false" customHeight="false" outlineLevel="0" collapsed="false">
      <c r="H1529" s="0" t="str">
        <f aca="false">IF(B1529="","",IF(COUNTIF(Campaigns!$A$7:$A$300,B1529)&gt;0,"✓","⚠ add to Campaigns tab"))</f>
        <v/>
      </c>
      <c r="I1529" s="84" t="str">
        <f aca="false">IF(C1529="","",C1529*IF(Settings!$B$24=Settings!$C$6,1,IF(Settings!$B$24="USD",1/INDEX(Settings!$B$29:$B$40,MONTH(A1529)),INDEX(Settings!$B$29:$B$40,MONTH(A1529)))))</f>
        <v/>
      </c>
    </row>
    <row r="1530" customFormat="false" ht="15" hidden="false" customHeight="false" outlineLevel="0" collapsed="false">
      <c r="H1530" s="0" t="str">
        <f aca="false">IF(B1530="","",IF(COUNTIF(Campaigns!$A$7:$A$300,B1530)&gt;0,"✓","⚠ add to Campaigns tab"))</f>
        <v/>
      </c>
      <c r="I1530" s="84" t="str">
        <f aca="false">IF(C1530="","",C1530*IF(Settings!$B$24=Settings!$C$6,1,IF(Settings!$B$24="USD",1/INDEX(Settings!$B$29:$B$40,MONTH(A1530)),INDEX(Settings!$B$29:$B$40,MONTH(A1530)))))</f>
        <v/>
      </c>
    </row>
    <row r="1531" customFormat="false" ht="15" hidden="false" customHeight="false" outlineLevel="0" collapsed="false">
      <c r="H1531" s="0" t="str">
        <f aca="false">IF(B1531="","",IF(COUNTIF(Campaigns!$A$7:$A$300,B1531)&gt;0,"✓","⚠ add to Campaigns tab"))</f>
        <v/>
      </c>
      <c r="I1531" s="84" t="str">
        <f aca="false">IF(C1531="","",C1531*IF(Settings!$B$24=Settings!$C$6,1,IF(Settings!$B$24="USD",1/INDEX(Settings!$B$29:$B$40,MONTH(A1531)),INDEX(Settings!$B$29:$B$40,MONTH(A1531)))))</f>
        <v/>
      </c>
    </row>
    <row r="1532" customFormat="false" ht="15" hidden="false" customHeight="false" outlineLevel="0" collapsed="false">
      <c r="H1532" s="0" t="str">
        <f aca="false">IF(B1532="","",IF(COUNTIF(Campaigns!$A$7:$A$300,B1532)&gt;0,"✓","⚠ add to Campaigns tab"))</f>
        <v/>
      </c>
      <c r="I1532" s="84" t="str">
        <f aca="false">IF(C1532="","",C1532*IF(Settings!$B$24=Settings!$C$6,1,IF(Settings!$B$24="USD",1/INDEX(Settings!$B$29:$B$40,MONTH(A1532)),INDEX(Settings!$B$29:$B$40,MONTH(A1532)))))</f>
        <v/>
      </c>
    </row>
    <row r="1533" customFormat="false" ht="15" hidden="false" customHeight="false" outlineLevel="0" collapsed="false">
      <c r="H1533" s="0" t="str">
        <f aca="false">IF(B1533="","",IF(COUNTIF(Campaigns!$A$7:$A$300,B1533)&gt;0,"✓","⚠ add to Campaigns tab"))</f>
        <v/>
      </c>
      <c r="I1533" s="84" t="str">
        <f aca="false">IF(C1533="","",C1533*IF(Settings!$B$24=Settings!$C$6,1,IF(Settings!$B$24="USD",1/INDEX(Settings!$B$29:$B$40,MONTH(A1533)),INDEX(Settings!$B$29:$B$40,MONTH(A1533)))))</f>
        <v/>
      </c>
    </row>
    <row r="1534" customFormat="false" ht="15" hidden="false" customHeight="false" outlineLevel="0" collapsed="false">
      <c r="H1534" s="0" t="str">
        <f aca="false">IF(B1534="","",IF(COUNTIF(Campaigns!$A$7:$A$300,B1534)&gt;0,"✓","⚠ add to Campaigns tab"))</f>
        <v/>
      </c>
      <c r="I1534" s="84" t="str">
        <f aca="false">IF(C1534="","",C1534*IF(Settings!$B$24=Settings!$C$6,1,IF(Settings!$B$24="USD",1/INDEX(Settings!$B$29:$B$40,MONTH(A1534)),INDEX(Settings!$B$29:$B$40,MONTH(A1534)))))</f>
        <v/>
      </c>
    </row>
    <row r="1535" customFormat="false" ht="15" hidden="false" customHeight="false" outlineLevel="0" collapsed="false">
      <c r="H1535" s="0" t="str">
        <f aca="false">IF(B1535="","",IF(COUNTIF(Campaigns!$A$7:$A$300,B1535)&gt;0,"✓","⚠ add to Campaigns tab"))</f>
        <v/>
      </c>
      <c r="I1535" s="84" t="str">
        <f aca="false">IF(C1535="","",C1535*IF(Settings!$B$24=Settings!$C$6,1,IF(Settings!$B$24="USD",1/INDEX(Settings!$B$29:$B$40,MONTH(A1535)),INDEX(Settings!$B$29:$B$40,MONTH(A1535)))))</f>
        <v/>
      </c>
    </row>
    <row r="1536" customFormat="false" ht="15" hidden="false" customHeight="false" outlineLevel="0" collapsed="false">
      <c r="H1536" s="0" t="str">
        <f aca="false">IF(B1536="","",IF(COUNTIF(Campaigns!$A$7:$A$300,B1536)&gt;0,"✓","⚠ add to Campaigns tab"))</f>
        <v/>
      </c>
      <c r="I1536" s="84" t="str">
        <f aca="false">IF(C1536="","",C1536*IF(Settings!$B$24=Settings!$C$6,1,IF(Settings!$B$24="USD",1/INDEX(Settings!$B$29:$B$40,MONTH(A1536)),INDEX(Settings!$B$29:$B$40,MONTH(A1536)))))</f>
        <v/>
      </c>
    </row>
    <row r="1537" customFormat="false" ht="15" hidden="false" customHeight="false" outlineLevel="0" collapsed="false">
      <c r="H1537" s="0" t="str">
        <f aca="false">IF(B1537="","",IF(COUNTIF(Campaigns!$A$7:$A$300,B1537)&gt;0,"✓","⚠ add to Campaigns tab"))</f>
        <v/>
      </c>
      <c r="I1537" s="84" t="str">
        <f aca="false">IF(C1537="","",C1537*IF(Settings!$B$24=Settings!$C$6,1,IF(Settings!$B$24="USD",1/INDEX(Settings!$B$29:$B$40,MONTH(A1537)),INDEX(Settings!$B$29:$B$40,MONTH(A1537)))))</f>
        <v/>
      </c>
    </row>
    <row r="1538" customFormat="false" ht="15" hidden="false" customHeight="false" outlineLevel="0" collapsed="false">
      <c r="H1538" s="0" t="str">
        <f aca="false">IF(B1538="","",IF(COUNTIF(Campaigns!$A$7:$A$300,B1538)&gt;0,"✓","⚠ add to Campaigns tab"))</f>
        <v/>
      </c>
      <c r="I1538" s="84" t="str">
        <f aca="false">IF(C1538="","",C1538*IF(Settings!$B$24=Settings!$C$6,1,IF(Settings!$B$24="USD",1/INDEX(Settings!$B$29:$B$40,MONTH(A1538)),INDEX(Settings!$B$29:$B$40,MONTH(A1538)))))</f>
        <v/>
      </c>
    </row>
    <row r="1539" customFormat="false" ht="15" hidden="false" customHeight="false" outlineLevel="0" collapsed="false">
      <c r="H1539" s="0" t="str">
        <f aca="false">IF(B1539="","",IF(COUNTIF(Campaigns!$A$7:$A$300,B1539)&gt;0,"✓","⚠ add to Campaigns tab"))</f>
        <v/>
      </c>
      <c r="I1539" s="84" t="str">
        <f aca="false">IF(C1539="","",C1539*IF(Settings!$B$24=Settings!$C$6,1,IF(Settings!$B$24="USD",1/INDEX(Settings!$B$29:$B$40,MONTH(A1539)),INDEX(Settings!$B$29:$B$40,MONTH(A1539)))))</f>
        <v/>
      </c>
    </row>
    <row r="1540" customFormat="false" ht="15" hidden="false" customHeight="false" outlineLevel="0" collapsed="false">
      <c r="H1540" s="0" t="str">
        <f aca="false">IF(B1540="","",IF(COUNTIF(Campaigns!$A$7:$A$300,B1540)&gt;0,"✓","⚠ add to Campaigns tab"))</f>
        <v/>
      </c>
      <c r="I1540" s="84" t="str">
        <f aca="false">IF(C1540="","",C1540*IF(Settings!$B$24=Settings!$C$6,1,IF(Settings!$B$24="USD",1/INDEX(Settings!$B$29:$B$40,MONTH(A1540)),INDEX(Settings!$B$29:$B$40,MONTH(A1540)))))</f>
        <v/>
      </c>
    </row>
    <row r="1541" customFormat="false" ht="15" hidden="false" customHeight="false" outlineLevel="0" collapsed="false">
      <c r="H1541" s="0" t="str">
        <f aca="false">IF(B1541="","",IF(COUNTIF(Campaigns!$A$7:$A$300,B1541)&gt;0,"✓","⚠ add to Campaigns tab"))</f>
        <v/>
      </c>
      <c r="I1541" s="84" t="str">
        <f aca="false">IF(C1541="","",C1541*IF(Settings!$B$24=Settings!$C$6,1,IF(Settings!$B$24="USD",1/INDEX(Settings!$B$29:$B$40,MONTH(A1541)),INDEX(Settings!$B$29:$B$40,MONTH(A1541)))))</f>
        <v/>
      </c>
    </row>
    <row r="1542" customFormat="false" ht="15" hidden="false" customHeight="false" outlineLevel="0" collapsed="false">
      <c r="H1542" s="0" t="str">
        <f aca="false">IF(B1542="","",IF(COUNTIF(Campaigns!$A$7:$A$300,B1542)&gt;0,"✓","⚠ add to Campaigns tab"))</f>
        <v/>
      </c>
      <c r="I1542" s="84" t="str">
        <f aca="false">IF(C1542="","",C1542*IF(Settings!$B$24=Settings!$C$6,1,IF(Settings!$B$24="USD",1/INDEX(Settings!$B$29:$B$40,MONTH(A1542)),INDEX(Settings!$B$29:$B$40,MONTH(A1542)))))</f>
        <v/>
      </c>
    </row>
    <row r="1543" customFormat="false" ht="15" hidden="false" customHeight="false" outlineLevel="0" collapsed="false">
      <c r="H1543" s="0" t="str">
        <f aca="false">IF(B1543="","",IF(COUNTIF(Campaigns!$A$7:$A$300,B1543)&gt;0,"✓","⚠ add to Campaigns tab"))</f>
        <v/>
      </c>
      <c r="I1543" s="84" t="str">
        <f aca="false">IF(C1543="","",C1543*IF(Settings!$B$24=Settings!$C$6,1,IF(Settings!$B$24="USD",1/INDEX(Settings!$B$29:$B$40,MONTH(A1543)),INDEX(Settings!$B$29:$B$40,MONTH(A1543)))))</f>
        <v/>
      </c>
    </row>
    <row r="1544" customFormat="false" ht="15" hidden="false" customHeight="false" outlineLevel="0" collapsed="false">
      <c r="H1544" s="0" t="str">
        <f aca="false">IF(B1544="","",IF(COUNTIF(Campaigns!$A$7:$A$300,B1544)&gt;0,"✓","⚠ add to Campaigns tab"))</f>
        <v/>
      </c>
      <c r="I1544" s="84" t="str">
        <f aca="false">IF(C1544="","",C1544*IF(Settings!$B$24=Settings!$C$6,1,IF(Settings!$B$24="USD",1/INDEX(Settings!$B$29:$B$40,MONTH(A1544)),INDEX(Settings!$B$29:$B$40,MONTH(A1544)))))</f>
        <v/>
      </c>
    </row>
    <row r="1545" customFormat="false" ht="15" hidden="false" customHeight="false" outlineLevel="0" collapsed="false">
      <c r="H1545" s="0" t="str">
        <f aca="false">IF(B1545="","",IF(COUNTIF(Campaigns!$A$7:$A$300,B1545)&gt;0,"✓","⚠ add to Campaigns tab"))</f>
        <v/>
      </c>
      <c r="I1545" s="84" t="str">
        <f aca="false">IF(C1545="","",C1545*IF(Settings!$B$24=Settings!$C$6,1,IF(Settings!$B$24="USD",1/INDEX(Settings!$B$29:$B$40,MONTH(A1545)),INDEX(Settings!$B$29:$B$40,MONTH(A1545)))))</f>
        <v/>
      </c>
    </row>
    <row r="1546" customFormat="false" ht="15" hidden="false" customHeight="false" outlineLevel="0" collapsed="false">
      <c r="H1546" s="0" t="str">
        <f aca="false">IF(B1546="","",IF(COUNTIF(Campaigns!$A$7:$A$300,B1546)&gt;0,"✓","⚠ add to Campaigns tab"))</f>
        <v/>
      </c>
      <c r="I1546" s="84" t="str">
        <f aca="false">IF(C1546="","",C1546*IF(Settings!$B$24=Settings!$C$6,1,IF(Settings!$B$24="USD",1/INDEX(Settings!$B$29:$B$40,MONTH(A1546)),INDEX(Settings!$B$29:$B$40,MONTH(A1546)))))</f>
        <v/>
      </c>
    </row>
    <row r="1547" customFormat="false" ht="15" hidden="false" customHeight="false" outlineLevel="0" collapsed="false">
      <c r="H1547" s="0" t="str">
        <f aca="false">IF(B1547="","",IF(COUNTIF(Campaigns!$A$7:$A$300,B1547)&gt;0,"✓","⚠ add to Campaigns tab"))</f>
        <v/>
      </c>
      <c r="I1547" s="84" t="str">
        <f aca="false">IF(C1547="","",C1547*IF(Settings!$B$24=Settings!$C$6,1,IF(Settings!$B$24="USD",1/INDEX(Settings!$B$29:$B$40,MONTH(A1547)),INDEX(Settings!$B$29:$B$40,MONTH(A1547)))))</f>
        <v/>
      </c>
    </row>
    <row r="1548" customFormat="false" ht="15" hidden="false" customHeight="false" outlineLevel="0" collapsed="false">
      <c r="H1548" s="0" t="str">
        <f aca="false">IF(B1548="","",IF(COUNTIF(Campaigns!$A$7:$A$300,B1548)&gt;0,"✓","⚠ add to Campaigns tab"))</f>
        <v/>
      </c>
      <c r="I1548" s="84" t="str">
        <f aca="false">IF(C1548="","",C1548*IF(Settings!$B$24=Settings!$C$6,1,IF(Settings!$B$24="USD",1/INDEX(Settings!$B$29:$B$40,MONTH(A1548)),INDEX(Settings!$B$29:$B$40,MONTH(A1548)))))</f>
        <v/>
      </c>
    </row>
    <row r="1549" customFormat="false" ht="15" hidden="false" customHeight="false" outlineLevel="0" collapsed="false">
      <c r="H1549" s="0" t="str">
        <f aca="false">IF(B1549="","",IF(COUNTIF(Campaigns!$A$7:$A$300,B1549)&gt;0,"✓","⚠ add to Campaigns tab"))</f>
        <v/>
      </c>
      <c r="I1549" s="84" t="str">
        <f aca="false">IF(C1549="","",C1549*IF(Settings!$B$24=Settings!$C$6,1,IF(Settings!$B$24="USD",1/INDEX(Settings!$B$29:$B$40,MONTH(A1549)),INDEX(Settings!$B$29:$B$40,MONTH(A1549)))))</f>
        <v/>
      </c>
    </row>
    <row r="1550" customFormat="false" ht="15" hidden="false" customHeight="false" outlineLevel="0" collapsed="false">
      <c r="H1550" s="0" t="str">
        <f aca="false">IF(B1550="","",IF(COUNTIF(Campaigns!$A$7:$A$300,B1550)&gt;0,"✓","⚠ add to Campaigns tab"))</f>
        <v/>
      </c>
      <c r="I1550" s="84" t="str">
        <f aca="false">IF(C1550="","",C1550*IF(Settings!$B$24=Settings!$C$6,1,IF(Settings!$B$24="USD",1/INDEX(Settings!$B$29:$B$40,MONTH(A1550)),INDEX(Settings!$B$29:$B$40,MONTH(A1550)))))</f>
        <v/>
      </c>
    </row>
    <row r="1551" customFormat="false" ht="15" hidden="false" customHeight="false" outlineLevel="0" collapsed="false">
      <c r="H1551" s="0" t="str">
        <f aca="false">IF(B1551="","",IF(COUNTIF(Campaigns!$A$7:$A$300,B1551)&gt;0,"✓","⚠ add to Campaigns tab"))</f>
        <v/>
      </c>
      <c r="I1551" s="84" t="str">
        <f aca="false">IF(C1551="","",C1551*IF(Settings!$B$24=Settings!$C$6,1,IF(Settings!$B$24="USD",1/INDEX(Settings!$B$29:$B$40,MONTH(A1551)),INDEX(Settings!$B$29:$B$40,MONTH(A1551)))))</f>
        <v/>
      </c>
    </row>
    <row r="1552" customFormat="false" ht="15" hidden="false" customHeight="false" outlineLevel="0" collapsed="false">
      <c r="H1552" s="0" t="str">
        <f aca="false">IF(B1552="","",IF(COUNTIF(Campaigns!$A$7:$A$300,B1552)&gt;0,"✓","⚠ add to Campaigns tab"))</f>
        <v/>
      </c>
      <c r="I1552" s="84" t="str">
        <f aca="false">IF(C1552="","",C1552*IF(Settings!$B$24=Settings!$C$6,1,IF(Settings!$B$24="USD",1/INDEX(Settings!$B$29:$B$40,MONTH(A1552)),INDEX(Settings!$B$29:$B$40,MONTH(A1552)))))</f>
        <v/>
      </c>
    </row>
    <row r="1553" customFormat="false" ht="15" hidden="false" customHeight="false" outlineLevel="0" collapsed="false">
      <c r="H1553" s="0" t="str">
        <f aca="false">IF(B1553="","",IF(COUNTIF(Campaigns!$A$7:$A$300,B1553)&gt;0,"✓","⚠ add to Campaigns tab"))</f>
        <v/>
      </c>
      <c r="I1553" s="84" t="str">
        <f aca="false">IF(C1553="","",C1553*IF(Settings!$B$24=Settings!$C$6,1,IF(Settings!$B$24="USD",1/INDEX(Settings!$B$29:$B$40,MONTH(A1553)),INDEX(Settings!$B$29:$B$40,MONTH(A1553)))))</f>
        <v/>
      </c>
    </row>
    <row r="1554" customFormat="false" ht="15" hidden="false" customHeight="false" outlineLevel="0" collapsed="false">
      <c r="H1554" s="0" t="str">
        <f aca="false">IF(B1554="","",IF(COUNTIF(Campaigns!$A$7:$A$300,B1554)&gt;0,"✓","⚠ add to Campaigns tab"))</f>
        <v/>
      </c>
      <c r="I1554" s="84" t="str">
        <f aca="false">IF(C1554="","",C1554*IF(Settings!$B$24=Settings!$C$6,1,IF(Settings!$B$24="USD",1/INDEX(Settings!$B$29:$B$40,MONTH(A1554)),INDEX(Settings!$B$29:$B$40,MONTH(A1554)))))</f>
        <v/>
      </c>
    </row>
    <row r="1555" customFormat="false" ht="15" hidden="false" customHeight="false" outlineLevel="0" collapsed="false">
      <c r="H1555" s="0" t="str">
        <f aca="false">IF(B1555="","",IF(COUNTIF(Campaigns!$A$7:$A$300,B1555)&gt;0,"✓","⚠ add to Campaigns tab"))</f>
        <v/>
      </c>
      <c r="I1555" s="84" t="str">
        <f aca="false">IF(C1555="","",C1555*IF(Settings!$B$24=Settings!$C$6,1,IF(Settings!$B$24="USD",1/INDEX(Settings!$B$29:$B$40,MONTH(A1555)),INDEX(Settings!$B$29:$B$40,MONTH(A1555)))))</f>
        <v/>
      </c>
    </row>
    <row r="1556" customFormat="false" ht="15" hidden="false" customHeight="false" outlineLevel="0" collapsed="false">
      <c r="H1556" s="0" t="str">
        <f aca="false">IF(B1556="","",IF(COUNTIF(Campaigns!$A$7:$A$300,B1556)&gt;0,"✓","⚠ add to Campaigns tab"))</f>
        <v/>
      </c>
      <c r="I1556" s="84" t="str">
        <f aca="false">IF(C1556="","",C1556*IF(Settings!$B$24=Settings!$C$6,1,IF(Settings!$B$24="USD",1/INDEX(Settings!$B$29:$B$40,MONTH(A1556)),INDEX(Settings!$B$29:$B$40,MONTH(A1556)))))</f>
        <v/>
      </c>
    </row>
    <row r="1557" customFormat="false" ht="15" hidden="false" customHeight="false" outlineLevel="0" collapsed="false">
      <c r="H1557" s="0" t="str">
        <f aca="false">IF(B1557="","",IF(COUNTIF(Campaigns!$A$7:$A$300,B1557)&gt;0,"✓","⚠ add to Campaigns tab"))</f>
        <v/>
      </c>
      <c r="I1557" s="84" t="str">
        <f aca="false">IF(C1557="","",C1557*IF(Settings!$B$24=Settings!$C$6,1,IF(Settings!$B$24="USD",1/INDEX(Settings!$B$29:$B$40,MONTH(A1557)),INDEX(Settings!$B$29:$B$40,MONTH(A1557)))))</f>
        <v/>
      </c>
    </row>
    <row r="1558" customFormat="false" ht="15" hidden="false" customHeight="false" outlineLevel="0" collapsed="false">
      <c r="H1558" s="0" t="str">
        <f aca="false">IF(B1558="","",IF(COUNTIF(Campaigns!$A$7:$A$300,B1558)&gt;0,"✓","⚠ add to Campaigns tab"))</f>
        <v/>
      </c>
      <c r="I1558" s="84" t="str">
        <f aca="false">IF(C1558="","",C1558*IF(Settings!$B$24=Settings!$C$6,1,IF(Settings!$B$24="USD",1/INDEX(Settings!$B$29:$B$40,MONTH(A1558)),INDEX(Settings!$B$29:$B$40,MONTH(A1558)))))</f>
        <v/>
      </c>
    </row>
    <row r="1559" customFormat="false" ht="15" hidden="false" customHeight="false" outlineLevel="0" collapsed="false">
      <c r="H1559" s="0" t="str">
        <f aca="false">IF(B1559="","",IF(COUNTIF(Campaigns!$A$7:$A$300,B1559)&gt;0,"✓","⚠ add to Campaigns tab"))</f>
        <v/>
      </c>
      <c r="I1559" s="84" t="str">
        <f aca="false">IF(C1559="","",C1559*IF(Settings!$B$24=Settings!$C$6,1,IF(Settings!$B$24="USD",1/INDEX(Settings!$B$29:$B$40,MONTH(A1559)),INDEX(Settings!$B$29:$B$40,MONTH(A1559)))))</f>
        <v/>
      </c>
    </row>
    <row r="1560" customFormat="false" ht="15" hidden="false" customHeight="false" outlineLevel="0" collapsed="false">
      <c r="H1560" s="0" t="str">
        <f aca="false">IF(B1560="","",IF(COUNTIF(Campaigns!$A$7:$A$300,B1560)&gt;0,"✓","⚠ add to Campaigns tab"))</f>
        <v/>
      </c>
      <c r="I1560" s="84" t="str">
        <f aca="false">IF(C1560="","",C1560*IF(Settings!$B$24=Settings!$C$6,1,IF(Settings!$B$24="USD",1/INDEX(Settings!$B$29:$B$40,MONTH(A1560)),INDEX(Settings!$B$29:$B$40,MONTH(A1560)))))</f>
        <v/>
      </c>
    </row>
    <row r="1561" customFormat="false" ht="15" hidden="false" customHeight="false" outlineLevel="0" collapsed="false">
      <c r="H1561" s="0" t="str">
        <f aca="false">IF(B1561="","",IF(COUNTIF(Campaigns!$A$7:$A$300,B1561)&gt;0,"✓","⚠ add to Campaigns tab"))</f>
        <v/>
      </c>
      <c r="I1561" s="84" t="str">
        <f aca="false">IF(C1561="","",C1561*IF(Settings!$B$24=Settings!$C$6,1,IF(Settings!$B$24="USD",1/INDEX(Settings!$B$29:$B$40,MONTH(A1561)),INDEX(Settings!$B$29:$B$40,MONTH(A1561)))))</f>
        <v/>
      </c>
    </row>
    <row r="1562" customFormat="false" ht="15" hidden="false" customHeight="false" outlineLevel="0" collapsed="false">
      <c r="H1562" s="0" t="str">
        <f aca="false">IF(B1562="","",IF(COUNTIF(Campaigns!$A$7:$A$300,B1562)&gt;0,"✓","⚠ add to Campaigns tab"))</f>
        <v/>
      </c>
      <c r="I1562" s="84" t="str">
        <f aca="false">IF(C1562="","",C1562*IF(Settings!$B$24=Settings!$C$6,1,IF(Settings!$B$24="USD",1/INDEX(Settings!$B$29:$B$40,MONTH(A1562)),INDEX(Settings!$B$29:$B$40,MONTH(A1562)))))</f>
        <v/>
      </c>
    </row>
    <row r="1563" customFormat="false" ht="15" hidden="false" customHeight="false" outlineLevel="0" collapsed="false">
      <c r="H1563" s="0" t="str">
        <f aca="false">IF(B1563="","",IF(COUNTIF(Campaigns!$A$7:$A$300,B1563)&gt;0,"✓","⚠ add to Campaigns tab"))</f>
        <v/>
      </c>
      <c r="I1563" s="84" t="str">
        <f aca="false">IF(C1563="","",C1563*IF(Settings!$B$24=Settings!$C$6,1,IF(Settings!$B$24="USD",1/INDEX(Settings!$B$29:$B$40,MONTH(A1563)),INDEX(Settings!$B$29:$B$40,MONTH(A1563)))))</f>
        <v/>
      </c>
    </row>
    <row r="1564" customFormat="false" ht="15" hidden="false" customHeight="false" outlineLevel="0" collapsed="false">
      <c r="H1564" s="0" t="str">
        <f aca="false">IF(B1564="","",IF(COUNTIF(Campaigns!$A$7:$A$300,B1564)&gt;0,"✓","⚠ add to Campaigns tab"))</f>
        <v/>
      </c>
      <c r="I1564" s="84" t="str">
        <f aca="false">IF(C1564="","",C1564*IF(Settings!$B$24=Settings!$C$6,1,IF(Settings!$B$24="USD",1/INDEX(Settings!$B$29:$B$40,MONTH(A1564)),INDEX(Settings!$B$29:$B$40,MONTH(A1564)))))</f>
        <v/>
      </c>
    </row>
    <row r="1565" customFormat="false" ht="15" hidden="false" customHeight="false" outlineLevel="0" collapsed="false">
      <c r="H1565" s="0" t="str">
        <f aca="false">IF(B1565="","",IF(COUNTIF(Campaigns!$A$7:$A$300,B1565)&gt;0,"✓","⚠ add to Campaigns tab"))</f>
        <v/>
      </c>
      <c r="I1565" s="84" t="str">
        <f aca="false">IF(C1565="","",C1565*IF(Settings!$B$24=Settings!$C$6,1,IF(Settings!$B$24="USD",1/INDEX(Settings!$B$29:$B$40,MONTH(A1565)),INDEX(Settings!$B$29:$B$40,MONTH(A1565)))))</f>
        <v/>
      </c>
    </row>
    <row r="1566" customFormat="false" ht="15" hidden="false" customHeight="false" outlineLevel="0" collapsed="false">
      <c r="H1566" s="0" t="str">
        <f aca="false">IF(B1566="","",IF(COUNTIF(Campaigns!$A$7:$A$300,B1566)&gt;0,"✓","⚠ add to Campaigns tab"))</f>
        <v/>
      </c>
      <c r="I1566" s="84" t="str">
        <f aca="false">IF(C1566="","",C1566*IF(Settings!$B$24=Settings!$C$6,1,IF(Settings!$B$24="USD",1/INDEX(Settings!$B$29:$B$40,MONTH(A1566)),INDEX(Settings!$B$29:$B$40,MONTH(A1566)))))</f>
        <v/>
      </c>
    </row>
    <row r="1567" customFormat="false" ht="15" hidden="false" customHeight="false" outlineLevel="0" collapsed="false">
      <c r="H1567" s="0" t="str">
        <f aca="false">IF(B1567="","",IF(COUNTIF(Campaigns!$A$7:$A$300,B1567)&gt;0,"✓","⚠ add to Campaigns tab"))</f>
        <v/>
      </c>
      <c r="I1567" s="84" t="str">
        <f aca="false">IF(C1567="","",C1567*IF(Settings!$B$24=Settings!$C$6,1,IF(Settings!$B$24="USD",1/INDEX(Settings!$B$29:$B$40,MONTH(A1567)),INDEX(Settings!$B$29:$B$40,MONTH(A1567)))))</f>
        <v/>
      </c>
    </row>
    <row r="1568" customFormat="false" ht="15" hidden="false" customHeight="false" outlineLevel="0" collapsed="false">
      <c r="H1568" s="0" t="str">
        <f aca="false">IF(B1568="","",IF(COUNTIF(Campaigns!$A$7:$A$300,B1568)&gt;0,"✓","⚠ add to Campaigns tab"))</f>
        <v/>
      </c>
      <c r="I1568" s="84" t="str">
        <f aca="false">IF(C1568="","",C1568*IF(Settings!$B$24=Settings!$C$6,1,IF(Settings!$B$24="USD",1/INDEX(Settings!$B$29:$B$40,MONTH(A1568)),INDEX(Settings!$B$29:$B$40,MONTH(A1568)))))</f>
        <v/>
      </c>
    </row>
    <row r="1569" customFormat="false" ht="15" hidden="false" customHeight="false" outlineLevel="0" collapsed="false">
      <c r="H1569" s="0" t="str">
        <f aca="false">IF(B1569="","",IF(COUNTIF(Campaigns!$A$7:$A$300,B1569)&gt;0,"✓","⚠ add to Campaigns tab"))</f>
        <v/>
      </c>
      <c r="I1569" s="84" t="str">
        <f aca="false">IF(C1569="","",C1569*IF(Settings!$B$24=Settings!$C$6,1,IF(Settings!$B$24="USD",1/INDEX(Settings!$B$29:$B$40,MONTH(A1569)),INDEX(Settings!$B$29:$B$40,MONTH(A1569)))))</f>
        <v/>
      </c>
    </row>
    <row r="1570" customFormat="false" ht="15" hidden="false" customHeight="false" outlineLevel="0" collapsed="false">
      <c r="H1570" s="0" t="str">
        <f aca="false">IF(B1570="","",IF(COUNTIF(Campaigns!$A$7:$A$300,B1570)&gt;0,"✓","⚠ add to Campaigns tab"))</f>
        <v/>
      </c>
      <c r="I1570" s="84" t="str">
        <f aca="false">IF(C1570="","",C1570*IF(Settings!$B$24=Settings!$C$6,1,IF(Settings!$B$24="USD",1/INDEX(Settings!$B$29:$B$40,MONTH(A1570)),INDEX(Settings!$B$29:$B$40,MONTH(A1570)))))</f>
        <v/>
      </c>
    </row>
    <row r="1571" customFormat="false" ht="15" hidden="false" customHeight="false" outlineLevel="0" collapsed="false">
      <c r="H1571" s="0" t="str">
        <f aca="false">IF(B1571="","",IF(COUNTIF(Campaigns!$A$7:$A$300,B1571)&gt;0,"✓","⚠ add to Campaigns tab"))</f>
        <v/>
      </c>
      <c r="I1571" s="84" t="str">
        <f aca="false">IF(C1571="","",C1571*IF(Settings!$B$24=Settings!$C$6,1,IF(Settings!$B$24="USD",1/INDEX(Settings!$B$29:$B$40,MONTH(A1571)),INDEX(Settings!$B$29:$B$40,MONTH(A1571)))))</f>
        <v/>
      </c>
    </row>
    <row r="1572" customFormat="false" ht="15" hidden="false" customHeight="false" outlineLevel="0" collapsed="false">
      <c r="H1572" s="0" t="str">
        <f aca="false">IF(B1572="","",IF(COUNTIF(Campaigns!$A$7:$A$300,B1572)&gt;0,"✓","⚠ add to Campaigns tab"))</f>
        <v/>
      </c>
      <c r="I1572" s="84" t="str">
        <f aca="false">IF(C1572="","",C1572*IF(Settings!$B$24=Settings!$C$6,1,IF(Settings!$B$24="USD",1/INDEX(Settings!$B$29:$B$40,MONTH(A1572)),INDEX(Settings!$B$29:$B$40,MONTH(A1572)))))</f>
        <v/>
      </c>
    </row>
    <row r="1573" customFormat="false" ht="15" hidden="false" customHeight="false" outlineLevel="0" collapsed="false">
      <c r="H1573" s="0" t="str">
        <f aca="false">IF(B1573="","",IF(COUNTIF(Campaigns!$A$7:$A$300,B1573)&gt;0,"✓","⚠ add to Campaigns tab"))</f>
        <v/>
      </c>
      <c r="I1573" s="84" t="str">
        <f aca="false">IF(C1573="","",C1573*IF(Settings!$B$24=Settings!$C$6,1,IF(Settings!$B$24="USD",1/INDEX(Settings!$B$29:$B$40,MONTH(A1573)),INDEX(Settings!$B$29:$B$40,MONTH(A1573)))))</f>
        <v/>
      </c>
    </row>
    <row r="1574" customFormat="false" ht="15" hidden="false" customHeight="false" outlineLevel="0" collapsed="false">
      <c r="H1574" s="0" t="str">
        <f aca="false">IF(B1574="","",IF(COUNTIF(Campaigns!$A$7:$A$300,B1574)&gt;0,"✓","⚠ add to Campaigns tab"))</f>
        <v/>
      </c>
      <c r="I1574" s="84" t="str">
        <f aca="false">IF(C1574="","",C1574*IF(Settings!$B$24=Settings!$C$6,1,IF(Settings!$B$24="USD",1/INDEX(Settings!$B$29:$B$40,MONTH(A1574)),INDEX(Settings!$B$29:$B$40,MONTH(A1574)))))</f>
        <v/>
      </c>
    </row>
    <row r="1575" customFormat="false" ht="15" hidden="false" customHeight="false" outlineLevel="0" collapsed="false">
      <c r="H1575" s="0" t="str">
        <f aca="false">IF(B1575="","",IF(COUNTIF(Campaigns!$A$7:$A$300,B1575)&gt;0,"✓","⚠ add to Campaigns tab"))</f>
        <v/>
      </c>
      <c r="I1575" s="84" t="str">
        <f aca="false">IF(C1575="","",C1575*IF(Settings!$B$24=Settings!$C$6,1,IF(Settings!$B$24="USD",1/INDEX(Settings!$B$29:$B$40,MONTH(A1575)),INDEX(Settings!$B$29:$B$40,MONTH(A1575)))))</f>
        <v/>
      </c>
    </row>
    <row r="1576" customFormat="false" ht="15" hidden="false" customHeight="false" outlineLevel="0" collapsed="false">
      <c r="H1576" s="0" t="str">
        <f aca="false">IF(B1576="","",IF(COUNTIF(Campaigns!$A$7:$A$300,B1576)&gt;0,"✓","⚠ add to Campaigns tab"))</f>
        <v/>
      </c>
      <c r="I1576" s="84" t="str">
        <f aca="false">IF(C1576="","",C1576*IF(Settings!$B$24=Settings!$C$6,1,IF(Settings!$B$24="USD",1/INDEX(Settings!$B$29:$B$40,MONTH(A1576)),INDEX(Settings!$B$29:$B$40,MONTH(A1576)))))</f>
        <v/>
      </c>
    </row>
    <row r="1577" customFormat="false" ht="15" hidden="false" customHeight="false" outlineLevel="0" collapsed="false">
      <c r="H1577" s="0" t="str">
        <f aca="false">IF(B1577="","",IF(COUNTIF(Campaigns!$A$7:$A$300,B1577)&gt;0,"✓","⚠ add to Campaigns tab"))</f>
        <v/>
      </c>
      <c r="I1577" s="84" t="str">
        <f aca="false">IF(C1577="","",C1577*IF(Settings!$B$24=Settings!$C$6,1,IF(Settings!$B$24="USD",1/INDEX(Settings!$B$29:$B$40,MONTH(A1577)),INDEX(Settings!$B$29:$B$40,MONTH(A1577)))))</f>
        <v/>
      </c>
    </row>
    <row r="1578" customFormat="false" ht="15" hidden="false" customHeight="false" outlineLevel="0" collapsed="false">
      <c r="H1578" s="0" t="str">
        <f aca="false">IF(B1578="","",IF(COUNTIF(Campaigns!$A$7:$A$300,B1578)&gt;0,"✓","⚠ add to Campaigns tab"))</f>
        <v/>
      </c>
      <c r="I1578" s="84" t="str">
        <f aca="false">IF(C1578="","",C1578*IF(Settings!$B$24=Settings!$C$6,1,IF(Settings!$B$24="USD",1/INDEX(Settings!$B$29:$B$40,MONTH(A1578)),INDEX(Settings!$B$29:$B$40,MONTH(A1578)))))</f>
        <v/>
      </c>
    </row>
    <row r="1579" customFormat="false" ht="15" hidden="false" customHeight="false" outlineLevel="0" collapsed="false">
      <c r="H1579" s="0" t="str">
        <f aca="false">IF(B1579="","",IF(COUNTIF(Campaigns!$A$7:$A$300,B1579)&gt;0,"✓","⚠ add to Campaigns tab"))</f>
        <v/>
      </c>
      <c r="I1579" s="84" t="str">
        <f aca="false">IF(C1579="","",C1579*IF(Settings!$B$24=Settings!$C$6,1,IF(Settings!$B$24="USD",1/INDEX(Settings!$B$29:$B$40,MONTH(A1579)),INDEX(Settings!$B$29:$B$40,MONTH(A1579)))))</f>
        <v/>
      </c>
    </row>
    <row r="1580" customFormat="false" ht="15" hidden="false" customHeight="false" outlineLevel="0" collapsed="false">
      <c r="H1580" s="0" t="str">
        <f aca="false">IF(B1580="","",IF(COUNTIF(Campaigns!$A$7:$A$300,B1580)&gt;0,"✓","⚠ add to Campaigns tab"))</f>
        <v/>
      </c>
      <c r="I1580" s="84" t="str">
        <f aca="false">IF(C1580="","",C1580*IF(Settings!$B$24=Settings!$C$6,1,IF(Settings!$B$24="USD",1/INDEX(Settings!$B$29:$B$40,MONTH(A1580)),INDEX(Settings!$B$29:$B$40,MONTH(A1580)))))</f>
        <v/>
      </c>
    </row>
    <row r="1581" customFormat="false" ht="15" hidden="false" customHeight="false" outlineLevel="0" collapsed="false">
      <c r="H1581" s="0" t="str">
        <f aca="false">IF(B1581="","",IF(COUNTIF(Campaigns!$A$7:$A$300,B1581)&gt;0,"✓","⚠ add to Campaigns tab"))</f>
        <v/>
      </c>
      <c r="I1581" s="84" t="str">
        <f aca="false">IF(C1581="","",C1581*IF(Settings!$B$24=Settings!$C$6,1,IF(Settings!$B$24="USD",1/INDEX(Settings!$B$29:$B$40,MONTH(A1581)),INDEX(Settings!$B$29:$B$40,MONTH(A1581)))))</f>
        <v/>
      </c>
    </row>
    <row r="1582" customFormat="false" ht="15" hidden="false" customHeight="false" outlineLevel="0" collapsed="false">
      <c r="H1582" s="0" t="str">
        <f aca="false">IF(B1582="","",IF(COUNTIF(Campaigns!$A$7:$A$300,B1582)&gt;0,"✓","⚠ add to Campaigns tab"))</f>
        <v/>
      </c>
      <c r="I1582" s="84" t="str">
        <f aca="false">IF(C1582="","",C1582*IF(Settings!$B$24=Settings!$C$6,1,IF(Settings!$B$24="USD",1/INDEX(Settings!$B$29:$B$40,MONTH(A1582)),INDEX(Settings!$B$29:$B$40,MONTH(A1582)))))</f>
        <v/>
      </c>
    </row>
    <row r="1583" customFormat="false" ht="15" hidden="false" customHeight="false" outlineLevel="0" collapsed="false">
      <c r="H1583" s="0" t="str">
        <f aca="false">IF(B1583="","",IF(COUNTIF(Campaigns!$A$7:$A$300,B1583)&gt;0,"✓","⚠ add to Campaigns tab"))</f>
        <v/>
      </c>
      <c r="I1583" s="84" t="str">
        <f aca="false">IF(C1583="","",C1583*IF(Settings!$B$24=Settings!$C$6,1,IF(Settings!$B$24="USD",1/INDEX(Settings!$B$29:$B$40,MONTH(A1583)),INDEX(Settings!$B$29:$B$40,MONTH(A1583)))))</f>
        <v/>
      </c>
    </row>
    <row r="1584" customFormat="false" ht="15" hidden="false" customHeight="false" outlineLevel="0" collapsed="false">
      <c r="H1584" s="0" t="str">
        <f aca="false">IF(B1584="","",IF(COUNTIF(Campaigns!$A$7:$A$300,B1584)&gt;0,"✓","⚠ add to Campaigns tab"))</f>
        <v/>
      </c>
      <c r="I1584" s="84" t="str">
        <f aca="false">IF(C1584="","",C1584*IF(Settings!$B$24=Settings!$C$6,1,IF(Settings!$B$24="USD",1/INDEX(Settings!$B$29:$B$40,MONTH(A1584)),INDEX(Settings!$B$29:$B$40,MONTH(A1584)))))</f>
        <v/>
      </c>
    </row>
    <row r="1585" customFormat="false" ht="15" hidden="false" customHeight="false" outlineLevel="0" collapsed="false">
      <c r="H1585" s="0" t="str">
        <f aca="false">IF(B1585="","",IF(COUNTIF(Campaigns!$A$7:$A$300,B1585)&gt;0,"✓","⚠ add to Campaigns tab"))</f>
        <v/>
      </c>
      <c r="I1585" s="84" t="str">
        <f aca="false">IF(C1585="","",C1585*IF(Settings!$B$24=Settings!$C$6,1,IF(Settings!$B$24="USD",1/INDEX(Settings!$B$29:$B$40,MONTH(A1585)),INDEX(Settings!$B$29:$B$40,MONTH(A1585)))))</f>
        <v/>
      </c>
    </row>
    <row r="1586" customFormat="false" ht="15" hidden="false" customHeight="false" outlineLevel="0" collapsed="false">
      <c r="H1586" s="0" t="str">
        <f aca="false">IF(B1586="","",IF(COUNTIF(Campaigns!$A$7:$A$300,B1586)&gt;0,"✓","⚠ add to Campaigns tab"))</f>
        <v/>
      </c>
      <c r="I1586" s="84" t="str">
        <f aca="false">IF(C1586="","",C1586*IF(Settings!$B$24=Settings!$C$6,1,IF(Settings!$B$24="USD",1/INDEX(Settings!$B$29:$B$40,MONTH(A1586)),INDEX(Settings!$B$29:$B$40,MONTH(A1586)))))</f>
        <v/>
      </c>
    </row>
    <row r="1587" customFormat="false" ht="15" hidden="false" customHeight="false" outlineLevel="0" collapsed="false">
      <c r="H1587" s="0" t="str">
        <f aca="false">IF(B1587="","",IF(COUNTIF(Campaigns!$A$7:$A$300,B1587)&gt;0,"✓","⚠ add to Campaigns tab"))</f>
        <v/>
      </c>
      <c r="I1587" s="84" t="str">
        <f aca="false">IF(C1587="","",C1587*IF(Settings!$B$24=Settings!$C$6,1,IF(Settings!$B$24="USD",1/INDEX(Settings!$B$29:$B$40,MONTH(A1587)),INDEX(Settings!$B$29:$B$40,MONTH(A1587)))))</f>
        <v/>
      </c>
    </row>
    <row r="1588" customFormat="false" ht="15" hidden="false" customHeight="false" outlineLevel="0" collapsed="false">
      <c r="H1588" s="0" t="str">
        <f aca="false">IF(B1588="","",IF(COUNTIF(Campaigns!$A$7:$A$300,B1588)&gt;0,"✓","⚠ add to Campaigns tab"))</f>
        <v/>
      </c>
      <c r="I1588" s="84" t="str">
        <f aca="false">IF(C1588="","",C1588*IF(Settings!$B$24=Settings!$C$6,1,IF(Settings!$B$24="USD",1/INDEX(Settings!$B$29:$B$40,MONTH(A1588)),INDEX(Settings!$B$29:$B$40,MONTH(A1588)))))</f>
        <v/>
      </c>
    </row>
    <row r="1589" customFormat="false" ht="15" hidden="false" customHeight="false" outlineLevel="0" collapsed="false">
      <c r="H1589" s="0" t="str">
        <f aca="false">IF(B1589="","",IF(COUNTIF(Campaigns!$A$7:$A$300,B1589)&gt;0,"✓","⚠ add to Campaigns tab"))</f>
        <v/>
      </c>
      <c r="I1589" s="84" t="str">
        <f aca="false">IF(C1589="","",C1589*IF(Settings!$B$24=Settings!$C$6,1,IF(Settings!$B$24="USD",1/INDEX(Settings!$B$29:$B$40,MONTH(A1589)),INDEX(Settings!$B$29:$B$40,MONTH(A1589)))))</f>
        <v/>
      </c>
    </row>
    <row r="1590" customFormat="false" ht="15" hidden="false" customHeight="false" outlineLevel="0" collapsed="false">
      <c r="H1590" s="0" t="str">
        <f aca="false">IF(B1590="","",IF(COUNTIF(Campaigns!$A$7:$A$300,B1590)&gt;0,"✓","⚠ add to Campaigns tab"))</f>
        <v/>
      </c>
      <c r="I1590" s="84" t="str">
        <f aca="false">IF(C1590="","",C1590*IF(Settings!$B$24=Settings!$C$6,1,IF(Settings!$B$24="USD",1/INDEX(Settings!$B$29:$B$40,MONTH(A1590)),INDEX(Settings!$B$29:$B$40,MONTH(A1590)))))</f>
        <v/>
      </c>
    </row>
    <row r="1591" customFormat="false" ht="15" hidden="false" customHeight="false" outlineLevel="0" collapsed="false">
      <c r="H1591" s="0" t="str">
        <f aca="false">IF(B1591="","",IF(COUNTIF(Campaigns!$A$7:$A$300,B1591)&gt;0,"✓","⚠ add to Campaigns tab"))</f>
        <v/>
      </c>
      <c r="I1591" s="84" t="str">
        <f aca="false">IF(C1591="","",C1591*IF(Settings!$B$24=Settings!$C$6,1,IF(Settings!$B$24="USD",1/INDEX(Settings!$B$29:$B$40,MONTH(A1591)),INDEX(Settings!$B$29:$B$40,MONTH(A1591)))))</f>
        <v/>
      </c>
    </row>
    <row r="1592" customFormat="false" ht="15" hidden="false" customHeight="false" outlineLevel="0" collapsed="false">
      <c r="H1592" s="0" t="str">
        <f aca="false">IF(B1592="","",IF(COUNTIF(Campaigns!$A$7:$A$300,B1592)&gt;0,"✓","⚠ add to Campaigns tab"))</f>
        <v/>
      </c>
      <c r="I1592" s="84" t="str">
        <f aca="false">IF(C1592="","",C1592*IF(Settings!$B$24=Settings!$C$6,1,IF(Settings!$B$24="USD",1/INDEX(Settings!$B$29:$B$40,MONTH(A1592)),INDEX(Settings!$B$29:$B$40,MONTH(A1592)))))</f>
        <v/>
      </c>
    </row>
    <row r="1593" customFormat="false" ht="15" hidden="false" customHeight="false" outlineLevel="0" collapsed="false">
      <c r="H1593" s="0" t="str">
        <f aca="false">IF(B1593="","",IF(COUNTIF(Campaigns!$A$7:$A$300,B1593)&gt;0,"✓","⚠ add to Campaigns tab"))</f>
        <v/>
      </c>
      <c r="I1593" s="84" t="str">
        <f aca="false">IF(C1593="","",C1593*IF(Settings!$B$24=Settings!$C$6,1,IF(Settings!$B$24="USD",1/INDEX(Settings!$B$29:$B$40,MONTH(A1593)),INDEX(Settings!$B$29:$B$40,MONTH(A1593)))))</f>
        <v/>
      </c>
    </row>
    <row r="1594" customFormat="false" ht="15" hidden="false" customHeight="false" outlineLevel="0" collapsed="false">
      <c r="H1594" s="0" t="str">
        <f aca="false">IF(B1594="","",IF(COUNTIF(Campaigns!$A$7:$A$300,B1594)&gt;0,"✓","⚠ add to Campaigns tab"))</f>
        <v/>
      </c>
      <c r="I1594" s="84" t="str">
        <f aca="false">IF(C1594="","",C1594*IF(Settings!$B$24=Settings!$C$6,1,IF(Settings!$B$24="USD",1/INDEX(Settings!$B$29:$B$40,MONTH(A1594)),INDEX(Settings!$B$29:$B$40,MONTH(A1594)))))</f>
        <v/>
      </c>
    </row>
    <row r="1595" customFormat="false" ht="15" hidden="false" customHeight="false" outlineLevel="0" collapsed="false">
      <c r="H1595" s="0" t="str">
        <f aca="false">IF(B1595="","",IF(COUNTIF(Campaigns!$A$7:$A$300,B1595)&gt;0,"✓","⚠ add to Campaigns tab"))</f>
        <v/>
      </c>
      <c r="I1595" s="84" t="str">
        <f aca="false">IF(C1595="","",C1595*IF(Settings!$B$24=Settings!$C$6,1,IF(Settings!$B$24="USD",1/INDEX(Settings!$B$29:$B$40,MONTH(A1595)),INDEX(Settings!$B$29:$B$40,MONTH(A1595)))))</f>
        <v/>
      </c>
    </row>
    <row r="1596" customFormat="false" ht="15" hidden="false" customHeight="false" outlineLevel="0" collapsed="false">
      <c r="H1596" s="0" t="str">
        <f aca="false">IF(B1596="","",IF(COUNTIF(Campaigns!$A$7:$A$300,B1596)&gt;0,"✓","⚠ add to Campaigns tab"))</f>
        <v/>
      </c>
      <c r="I1596" s="84" t="str">
        <f aca="false">IF(C1596="","",C1596*IF(Settings!$B$24=Settings!$C$6,1,IF(Settings!$B$24="USD",1/INDEX(Settings!$B$29:$B$40,MONTH(A1596)),INDEX(Settings!$B$29:$B$40,MONTH(A1596)))))</f>
        <v/>
      </c>
    </row>
    <row r="1597" customFormat="false" ht="15" hidden="false" customHeight="false" outlineLevel="0" collapsed="false">
      <c r="H1597" s="0" t="str">
        <f aca="false">IF(B1597="","",IF(COUNTIF(Campaigns!$A$7:$A$300,B1597)&gt;0,"✓","⚠ add to Campaigns tab"))</f>
        <v/>
      </c>
      <c r="I1597" s="84" t="str">
        <f aca="false">IF(C1597="","",C1597*IF(Settings!$B$24=Settings!$C$6,1,IF(Settings!$B$24="USD",1/INDEX(Settings!$B$29:$B$40,MONTH(A1597)),INDEX(Settings!$B$29:$B$40,MONTH(A1597)))))</f>
        <v/>
      </c>
    </row>
    <row r="1598" customFormat="false" ht="15" hidden="false" customHeight="false" outlineLevel="0" collapsed="false">
      <c r="H1598" s="0" t="str">
        <f aca="false">IF(B1598="","",IF(COUNTIF(Campaigns!$A$7:$A$300,B1598)&gt;0,"✓","⚠ add to Campaigns tab"))</f>
        <v/>
      </c>
      <c r="I1598" s="84" t="str">
        <f aca="false">IF(C1598="","",C1598*IF(Settings!$B$24=Settings!$C$6,1,IF(Settings!$B$24="USD",1/INDEX(Settings!$B$29:$B$40,MONTH(A1598)),INDEX(Settings!$B$29:$B$40,MONTH(A1598)))))</f>
        <v/>
      </c>
    </row>
    <row r="1599" customFormat="false" ht="15" hidden="false" customHeight="false" outlineLevel="0" collapsed="false">
      <c r="H1599" s="0" t="str">
        <f aca="false">IF(B1599="","",IF(COUNTIF(Campaigns!$A$7:$A$300,B1599)&gt;0,"✓","⚠ add to Campaigns tab"))</f>
        <v/>
      </c>
      <c r="I1599" s="84" t="str">
        <f aca="false">IF(C1599="","",C1599*IF(Settings!$B$24=Settings!$C$6,1,IF(Settings!$B$24="USD",1/INDEX(Settings!$B$29:$B$40,MONTH(A1599)),INDEX(Settings!$B$29:$B$40,MONTH(A1599)))))</f>
        <v/>
      </c>
    </row>
    <row r="1600" customFormat="false" ht="15" hidden="false" customHeight="false" outlineLevel="0" collapsed="false">
      <c r="H1600" s="0" t="str">
        <f aca="false">IF(B1600="","",IF(COUNTIF(Campaigns!$A$7:$A$300,B1600)&gt;0,"✓","⚠ add to Campaigns tab"))</f>
        <v/>
      </c>
      <c r="I1600" s="84" t="str">
        <f aca="false">IF(C1600="","",C1600*IF(Settings!$B$24=Settings!$C$6,1,IF(Settings!$B$24="USD",1/INDEX(Settings!$B$29:$B$40,MONTH(A1600)),INDEX(Settings!$B$29:$B$40,MONTH(A1600)))))</f>
        <v/>
      </c>
    </row>
    <row r="1601" customFormat="false" ht="15" hidden="false" customHeight="false" outlineLevel="0" collapsed="false">
      <c r="H1601" s="0" t="str">
        <f aca="false">IF(B1601="","",IF(COUNTIF(Campaigns!$A$7:$A$300,B1601)&gt;0,"✓","⚠ add to Campaigns tab"))</f>
        <v/>
      </c>
      <c r="I1601" s="84" t="str">
        <f aca="false">IF(C1601="","",C1601*IF(Settings!$B$24=Settings!$C$6,1,IF(Settings!$B$24="USD",1/INDEX(Settings!$B$29:$B$40,MONTH(A1601)),INDEX(Settings!$B$29:$B$40,MONTH(A1601)))))</f>
        <v/>
      </c>
    </row>
    <row r="1602" customFormat="false" ht="15" hidden="false" customHeight="false" outlineLevel="0" collapsed="false">
      <c r="H1602" s="0" t="str">
        <f aca="false">IF(B1602="","",IF(COUNTIF(Campaigns!$A$7:$A$300,B1602)&gt;0,"✓","⚠ add to Campaigns tab"))</f>
        <v/>
      </c>
      <c r="I1602" s="84" t="str">
        <f aca="false">IF(C1602="","",C1602*IF(Settings!$B$24=Settings!$C$6,1,IF(Settings!$B$24="USD",1/INDEX(Settings!$B$29:$B$40,MONTH(A1602)),INDEX(Settings!$B$29:$B$40,MONTH(A1602)))))</f>
        <v/>
      </c>
    </row>
    <row r="1603" customFormat="false" ht="15" hidden="false" customHeight="false" outlineLevel="0" collapsed="false">
      <c r="H1603" s="0" t="str">
        <f aca="false">IF(B1603="","",IF(COUNTIF(Campaigns!$A$7:$A$300,B1603)&gt;0,"✓","⚠ add to Campaigns tab"))</f>
        <v/>
      </c>
      <c r="I1603" s="84" t="str">
        <f aca="false">IF(C1603="","",C1603*IF(Settings!$B$24=Settings!$C$6,1,IF(Settings!$B$24="USD",1/INDEX(Settings!$B$29:$B$40,MONTH(A1603)),INDEX(Settings!$B$29:$B$40,MONTH(A1603)))))</f>
        <v/>
      </c>
    </row>
    <row r="1604" customFormat="false" ht="15" hidden="false" customHeight="false" outlineLevel="0" collapsed="false">
      <c r="H1604" s="0" t="str">
        <f aca="false">IF(B1604="","",IF(COUNTIF(Campaigns!$A$7:$A$300,B1604)&gt;0,"✓","⚠ add to Campaigns tab"))</f>
        <v/>
      </c>
      <c r="I1604" s="84" t="str">
        <f aca="false">IF(C1604="","",C1604*IF(Settings!$B$24=Settings!$C$6,1,IF(Settings!$B$24="USD",1/INDEX(Settings!$B$29:$B$40,MONTH(A1604)),INDEX(Settings!$B$29:$B$40,MONTH(A1604)))))</f>
        <v/>
      </c>
    </row>
    <row r="1605" customFormat="false" ht="15" hidden="false" customHeight="false" outlineLevel="0" collapsed="false">
      <c r="H1605" s="0" t="str">
        <f aca="false">IF(B1605="","",IF(COUNTIF(Campaigns!$A$7:$A$300,B1605)&gt;0,"✓","⚠ add to Campaigns tab"))</f>
        <v/>
      </c>
      <c r="I1605" s="84" t="str">
        <f aca="false">IF(C1605="","",C1605*IF(Settings!$B$24=Settings!$C$6,1,IF(Settings!$B$24="USD",1/INDEX(Settings!$B$29:$B$40,MONTH(A1605)),INDEX(Settings!$B$29:$B$40,MONTH(A1605)))))</f>
        <v/>
      </c>
    </row>
    <row r="1606" customFormat="false" ht="15" hidden="false" customHeight="false" outlineLevel="0" collapsed="false">
      <c r="H1606" s="0" t="str">
        <f aca="false">IF(B1606="","",IF(COUNTIF(Campaigns!$A$7:$A$300,B1606)&gt;0,"✓","⚠ add to Campaigns tab"))</f>
        <v/>
      </c>
      <c r="I1606" s="84" t="str">
        <f aca="false">IF(C1606="","",C1606*IF(Settings!$B$24=Settings!$C$6,1,IF(Settings!$B$24="USD",1/INDEX(Settings!$B$29:$B$40,MONTH(A1606)),INDEX(Settings!$B$29:$B$40,MONTH(A1606)))))</f>
        <v/>
      </c>
    </row>
    <row r="1607" customFormat="false" ht="15" hidden="false" customHeight="false" outlineLevel="0" collapsed="false">
      <c r="H1607" s="0" t="str">
        <f aca="false">IF(B1607="","",IF(COUNTIF(Campaigns!$A$7:$A$300,B1607)&gt;0,"✓","⚠ add to Campaigns tab"))</f>
        <v/>
      </c>
      <c r="I1607" s="84" t="str">
        <f aca="false">IF(C1607="","",C1607*IF(Settings!$B$24=Settings!$C$6,1,IF(Settings!$B$24="USD",1/INDEX(Settings!$B$29:$B$40,MONTH(A1607)),INDEX(Settings!$B$29:$B$40,MONTH(A1607)))))</f>
        <v/>
      </c>
    </row>
    <row r="1608" customFormat="false" ht="15" hidden="false" customHeight="false" outlineLevel="0" collapsed="false">
      <c r="H1608" s="0" t="str">
        <f aca="false">IF(B1608="","",IF(COUNTIF(Campaigns!$A$7:$A$300,B1608)&gt;0,"✓","⚠ add to Campaigns tab"))</f>
        <v/>
      </c>
      <c r="I1608" s="84" t="str">
        <f aca="false">IF(C1608="","",C1608*IF(Settings!$B$24=Settings!$C$6,1,IF(Settings!$B$24="USD",1/INDEX(Settings!$B$29:$B$40,MONTH(A1608)),INDEX(Settings!$B$29:$B$40,MONTH(A1608)))))</f>
        <v/>
      </c>
    </row>
    <row r="1609" customFormat="false" ht="15" hidden="false" customHeight="false" outlineLevel="0" collapsed="false">
      <c r="H1609" s="0" t="str">
        <f aca="false">IF(B1609="","",IF(COUNTIF(Campaigns!$A$7:$A$300,B1609)&gt;0,"✓","⚠ add to Campaigns tab"))</f>
        <v/>
      </c>
      <c r="I1609" s="84" t="str">
        <f aca="false">IF(C1609="","",C1609*IF(Settings!$B$24=Settings!$C$6,1,IF(Settings!$B$24="USD",1/INDEX(Settings!$B$29:$B$40,MONTH(A1609)),INDEX(Settings!$B$29:$B$40,MONTH(A1609)))))</f>
        <v/>
      </c>
    </row>
    <row r="1610" customFormat="false" ht="15" hidden="false" customHeight="false" outlineLevel="0" collapsed="false">
      <c r="H1610" s="0" t="str">
        <f aca="false">IF(B1610="","",IF(COUNTIF(Campaigns!$A$7:$A$300,B1610)&gt;0,"✓","⚠ add to Campaigns tab"))</f>
        <v/>
      </c>
      <c r="I1610" s="84" t="str">
        <f aca="false">IF(C1610="","",C1610*IF(Settings!$B$24=Settings!$C$6,1,IF(Settings!$B$24="USD",1/INDEX(Settings!$B$29:$B$40,MONTH(A1610)),INDEX(Settings!$B$29:$B$40,MONTH(A1610)))))</f>
        <v/>
      </c>
    </row>
    <row r="1611" customFormat="false" ht="15" hidden="false" customHeight="false" outlineLevel="0" collapsed="false">
      <c r="H1611" s="0" t="str">
        <f aca="false">IF(B1611="","",IF(COUNTIF(Campaigns!$A$7:$A$300,B1611)&gt;0,"✓","⚠ add to Campaigns tab"))</f>
        <v/>
      </c>
      <c r="I1611" s="84" t="str">
        <f aca="false">IF(C1611="","",C1611*IF(Settings!$B$24=Settings!$C$6,1,IF(Settings!$B$24="USD",1/INDEX(Settings!$B$29:$B$40,MONTH(A1611)),INDEX(Settings!$B$29:$B$40,MONTH(A1611)))))</f>
        <v/>
      </c>
    </row>
    <row r="1612" customFormat="false" ht="15" hidden="false" customHeight="false" outlineLevel="0" collapsed="false">
      <c r="H1612" s="0" t="str">
        <f aca="false">IF(B1612="","",IF(COUNTIF(Campaigns!$A$7:$A$300,B1612)&gt;0,"✓","⚠ add to Campaigns tab"))</f>
        <v/>
      </c>
      <c r="I1612" s="84" t="str">
        <f aca="false">IF(C1612="","",C1612*IF(Settings!$B$24=Settings!$C$6,1,IF(Settings!$B$24="USD",1/INDEX(Settings!$B$29:$B$40,MONTH(A1612)),INDEX(Settings!$B$29:$B$40,MONTH(A1612)))))</f>
        <v/>
      </c>
    </row>
    <row r="1613" customFormat="false" ht="15" hidden="false" customHeight="false" outlineLevel="0" collapsed="false">
      <c r="H1613" s="0" t="str">
        <f aca="false">IF(B1613="","",IF(COUNTIF(Campaigns!$A$7:$A$300,B1613)&gt;0,"✓","⚠ add to Campaigns tab"))</f>
        <v/>
      </c>
      <c r="I1613" s="84" t="str">
        <f aca="false">IF(C1613="","",C1613*IF(Settings!$B$24=Settings!$C$6,1,IF(Settings!$B$24="USD",1/INDEX(Settings!$B$29:$B$40,MONTH(A1613)),INDEX(Settings!$B$29:$B$40,MONTH(A1613)))))</f>
        <v/>
      </c>
    </row>
    <row r="1614" customFormat="false" ht="15" hidden="false" customHeight="false" outlineLevel="0" collapsed="false">
      <c r="H1614" s="0" t="str">
        <f aca="false">IF(B1614="","",IF(COUNTIF(Campaigns!$A$7:$A$300,B1614)&gt;0,"✓","⚠ add to Campaigns tab"))</f>
        <v/>
      </c>
      <c r="I1614" s="84" t="str">
        <f aca="false">IF(C1614="","",C1614*IF(Settings!$B$24=Settings!$C$6,1,IF(Settings!$B$24="USD",1/INDEX(Settings!$B$29:$B$40,MONTH(A1614)),INDEX(Settings!$B$29:$B$40,MONTH(A1614)))))</f>
        <v/>
      </c>
    </row>
    <row r="1615" customFormat="false" ht="15" hidden="false" customHeight="false" outlineLevel="0" collapsed="false">
      <c r="H1615" s="0" t="str">
        <f aca="false">IF(B1615="","",IF(COUNTIF(Campaigns!$A$7:$A$300,B1615)&gt;0,"✓","⚠ add to Campaigns tab"))</f>
        <v/>
      </c>
      <c r="I1615" s="84" t="str">
        <f aca="false">IF(C1615="","",C1615*IF(Settings!$B$24=Settings!$C$6,1,IF(Settings!$B$24="USD",1/INDEX(Settings!$B$29:$B$40,MONTH(A1615)),INDEX(Settings!$B$29:$B$40,MONTH(A1615)))))</f>
        <v/>
      </c>
    </row>
    <row r="1616" customFormat="false" ht="15" hidden="false" customHeight="false" outlineLevel="0" collapsed="false">
      <c r="H1616" s="0" t="str">
        <f aca="false">IF(B1616="","",IF(COUNTIF(Campaigns!$A$7:$A$300,B1616)&gt;0,"✓","⚠ add to Campaigns tab"))</f>
        <v/>
      </c>
      <c r="I1616" s="84" t="str">
        <f aca="false">IF(C1616="","",C1616*IF(Settings!$B$24=Settings!$C$6,1,IF(Settings!$B$24="USD",1/INDEX(Settings!$B$29:$B$40,MONTH(A1616)),INDEX(Settings!$B$29:$B$40,MONTH(A1616)))))</f>
        <v/>
      </c>
    </row>
    <row r="1617" customFormat="false" ht="15" hidden="false" customHeight="false" outlineLevel="0" collapsed="false">
      <c r="H1617" s="0" t="str">
        <f aca="false">IF(B1617="","",IF(COUNTIF(Campaigns!$A$7:$A$300,B1617)&gt;0,"✓","⚠ add to Campaigns tab"))</f>
        <v/>
      </c>
      <c r="I1617" s="84" t="str">
        <f aca="false">IF(C1617="","",C1617*IF(Settings!$B$24=Settings!$C$6,1,IF(Settings!$B$24="USD",1/INDEX(Settings!$B$29:$B$40,MONTH(A1617)),INDEX(Settings!$B$29:$B$40,MONTH(A1617)))))</f>
        <v/>
      </c>
    </row>
    <row r="1618" customFormat="false" ht="15" hidden="false" customHeight="false" outlineLevel="0" collapsed="false">
      <c r="H1618" s="0" t="str">
        <f aca="false">IF(B1618="","",IF(COUNTIF(Campaigns!$A$7:$A$300,B1618)&gt;0,"✓","⚠ add to Campaigns tab"))</f>
        <v/>
      </c>
      <c r="I1618" s="84" t="str">
        <f aca="false">IF(C1618="","",C1618*IF(Settings!$B$24=Settings!$C$6,1,IF(Settings!$B$24="USD",1/INDEX(Settings!$B$29:$B$40,MONTH(A1618)),INDEX(Settings!$B$29:$B$40,MONTH(A1618)))))</f>
        <v/>
      </c>
    </row>
    <row r="1619" customFormat="false" ht="15" hidden="false" customHeight="false" outlineLevel="0" collapsed="false">
      <c r="H1619" s="0" t="str">
        <f aca="false">IF(B1619="","",IF(COUNTIF(Campaigns!$A$7:$A$300,B1619)&gt;0,"✓","⚠ add to Campaigns tab"))</f>
        <v/>
      </c>
      <c r="I1619" s="84" t="str">
        <f aca="false">IF(C1619="","",C1619*IF(Settings!$B$24=Settings!$C$6,1,IF(Settings!$B$24="USD",1/INDEX(Settings!$B$29:$B$40,MONTH(A1619)),INDEX(Settings!$B$29:$B$40,MONTH(A1619)))))</f>
        <v/>
      </c>
    </row>
    <row r="1620" customFormat="false" ht="15" hidden="false" customHeight="false" outlineLevel="0" collapsed="false">
      <c r="H1620" s="0" t="str">
        <f aca="false">IF(B1620="","",IF(COUNTIF(Campaigns!$A$7:$A$300,B1620)&gt;0,"✓","⚠ add to Campaigns tab"))</f>
        <v/>
      </c>
      <c r="I1620" s="84" t="str">
        <f aca="false">IF(C1620="","",C1620*IF(Settings!$B$24=Settings!$C$6,1,IF(Settings!$B$24="USD",1/INDEX(Settings!$B$29:$B$40,MONTH(A1620)),INDEX(Settings!$B$29:$B$40,MONTH(A1620)))))</f>
        <v/>
      </c>
    </row>
    <row r="1621" customFormat="false" ht="15" hidden="false" customHeight="false" outlineLevel="0" collapsed="false">
      <c r="H1621" s="0" t="str">
        <f aca="false">IF(B1621="","",IF(COUNTIF(Campaigns!$A$7:$A$300,B1621)&gt;0,"✓","⚠ add to Campaigns tab"))</f>
        <v/>
      </c>
      <c r="I1621" s="84" t="str">
        <f aca="false">IF(C1621="","",C1621*IF(Settings!$B$24=Settings!$C$6,1,IF(Settings!$B$24="USD",1/INDEX(Settings!$B$29:$B$40,MONTH(A1621)),INDEX(Settings!$B$29:$B$40,MONTH(A1621)))))</f>
        <v/>
      </c>
    </row>
    <row r="1622" customFormat="false" ht="15" hidden="false" customHeight="false" outlineLevel="0" collapsed="false">
      <c r="H1622" s="0" t="str">
        <f aca="false">IF(B1622="","",IF(COUNTIF(Campaigns!$A$7:$A$300,B1622)&gt;0,"✓","⚠ add to Campaigns tab"))</f>
        <v/>
      </c>
      <c r="I1622" s="84" t="str">
        <f aca="false">IF(C1622="","",C1622*IF(Settings!$B$24=Settings!$C$6,1,IF(Settings!$B$24="USD",1/INDEX(Settings!$B$29:$B$40,MONTH(A1622)),INDEX(Settings!$B$29:$B$40,MONTH(A1622)))))</f>
        <v/>
      </c>
    </row>
    <row r="1623" customFormat="false" ht="15" hidden="false" customHeight="false" outlineLevel="0" collapsed="false">
      <c r="H1623" s="0" t="str">
        <f aca="false">IF(B1623="","",IF(COUNTIF(Campaigns!$A$7:$A$300,B1623)&gt;0,"✓","⚠ add to Campaigns tab"))</f>
        <v/>
      </c>
      <c r="I1623" s="84" t="str">
        <f aca="false">IF(C1623="","",C1623*IF(Settings!$B$24=Settings!$C$6,1,IF(Settings!$B$24="USD",1/INDEX(Settings!$B$29:$B$40,MONTH(A1623)),INDEX(Settings!$B$29:$B$40,MONTH(A1623)))))</f>
        <v/>
      </c>
    </row>
    <row r="1624" customFormat="false" ht="15" hidden="false" customHeight="false" outlineLevel="0" collapsed="false">
      <c r="H1624" s="0" t="str">
        <f aca="false">IF(B1624="","",IF(COUNTIF(Campaigns!$A$7:$A$300,B1624)&gt;0,"✓","⚠ add to Campaigns tab"))</f>
        <v/>
      </c>
      <c r="I1624" s="84" t="str">
        <f aca="false">IF(C1624="","",C1624*IF(Settings!$B$24=Settings!$C$6,1,IF(Settings!$B$24="USD",1/INDEX(Settings!$B$29:$B$40,MONTH(A1624)),INDEX(Settings!$B$29:$B$40,MONTH(A1624)))))</f>
        <v/>
      </c>
    </row>
    <row r="1625" customFormat="false" ht="15" hidden="false" customHeight="false" outlineLevel="0" collapsed="false">
      <c r="H1625" s="0" t="str">
        <f aca="false">IF(B1625="","",IF(COUNTIF(Campaigns!$A$7:$A$300,B1625)&gt;0,"✓","⚠ add to Campaigns tab"))</f>
        <v/>
      </c>
      <c r="I1625" s="84" t="str">
        <f aca="false">IF(C1625="","",C1625*IF(Settings!$B$24=Settings!$C$6,1,IF(Settings!$B$24="USD",1/INDEX(Settings!$B$29:$B$40,MONTH(A1625)),INDEX(Settings!$B$29:$B$40,MONTH(A1625)))))</f>
        <v/>
      </c>
    </row>
    <row r="1626" customFormat="false" ht="15" hidden="false" customHeight="false" outlineLevel="0" collapsed="false">
      <c r="H1626" s="0" t="str">
        <f aca="false">IF(B1626="","",IF(COUNTIF(Campaigns!$A$7:$A$300,B1626)&gt;0,"✓","⚠ add to Campaigns tab"))</f>
        <v/>
      </c>
      <c r="I1626" s="84" t="str">
        <f aca="false">IF(C1626="","",C1626*IF(Settings!$B$24=Settings!$C$6,1,IF(Settings!$B$24="USD",1/INDEX(Settings!$B$29:$B$40,MONTH(A1626)),INDEX(Settings!$B$29:$B$40,MONTH(A1626)))))</f>
        <v/>
      </c>
    </row>
    <row r="1627" customFormat="false" ht="15" hidden="false" customHeight="false" outlineLevel="0" collapsed="false">
      <c r="H1627" s="0" t="str">
        <f aca="false">IF(B1627="","",IF(COUNTIF(Campaigns!$A$7:$A$300,B1627)&gt;0,"✓","⚠ add to Campaigns tab"))</f>
        <v/>
      </c>
      <c r="I1627" s="84" t="str">
        <f aca="false">IF(C1627="","",C1627*IF(Settings!$B$24=Settings!$C$6,1,IF(Settings!$B$24="USD",1/INDEX(Settings!$B$29:$B$40,MONTH(A1627)),INDEX(Settings!$B$29:$B$40,MONTH(A1627)))))</f>
        <v/>
      </c>
    </row>
    <row r="1628" customFormat="false" ht="15" hidden="false" customHeight="false" outlineLevel="0" collapsed="false">
      <c r="H1628" s="0" t="str">
        <f aca="false">IF(B1628="","",IF(COUNTIF(Campaigns!$A$7:$A$300,B1628)&gt;0,"✓","⚠ add to Campaigns tab"))</f>
        <v/>
      </c>
      <c r="I1628" s="84" t="str">
        <f aca="false">IF(C1628="","",C1628*IF(Settings!$B$24=Settings!$C$6,1,IF(Settings!$B$24="USD",1/INDEX(Settings!$B$29:$B$40,MONTH(A1628)),INDEX(Settings!$B$29:$B$40,MONTH(A1628)))))</f>
        <v/>
      </c>
    </row>
    <row r="1629" customFormat="false" ht="15" hidden="false" customHeight="false" outlineLevel="0" collapsed="false">
      <c r="H1629" s="0" t="str">
        <f aca="false">IF(B1629="","",IF(COUNTIF(Campaigns!$A$7:$A$300,B1629)&gt;0,"✓","⚠ add to Campaigns tab"))</f>
        <v/>
      </c>
      <c r="I1629" s="84" t="str">
        <f aca="false">IF(C1629="","",C1629*IF(Settings!$B$24=Settings!$C$6,1,IF(Settings!$B$24="USD",1/INDEX(Settings!$B$29:$B$40,MONTH(A1629)),INDEX(Settings!$B$29:$B$40,MONTH(A1629)))))</f>
        <v/>
      </c>
    </row>
    <row r="1630" customFormat="false" ht="15" hidden="false" customHeight="false" outlineLevel="0" collapsed="false">
      <c r="H1630" s="0" t="str">
        <f aca="false">IF(B1630="","",IF(COUNTIF(Campaigns!$A$7:$A$300,B1630)&gt;0,"✓","⚠ add to Campaigns tab"))</f>
        <v/>
      </c>
      <c r="I1630" s="84" t="str">
        <f aca="false">IF(C1630="","",C1630*IF(Settings!$B$24=Settings!$C$6,1,IF(Settings!$B$24="USD",1/INDEX(Settings!$B$29:$B$40,MONTH(A1630)),INDEX(Settings!$B$29:$B$40,MONTH(A1630)))))</f>
        <v/>
      </c>
    </row>
    <row r="1631" customFormat="false" ht="15" hidden="false" customHeight="false" outlineLevel="0" collapsed="false">
      <c r="H1631" s="0" t="str">
        <f aca="false">IF(B1631="","",IF(COUNTIF(Campaigns!$A$7:$A$300,B1631)&gt;0,"✓","⚠ add to Campaigns tab"))</f>
        <v/>
      </c>
      <c r="I1631" s="84" t="str">
        <f aca="false">IF(C1631="","",C1631*IF(Settings!$B$24=Settings!$C$6,1,IF(Settings!$B$24="USD",1/INDEX(Settings!$B$29:$B$40,MONTH(A1631)),INDEX(Settings!$B$29:$B$40,MONTH(A1631)))))</f>
        <v/>
      </c>
    </row>
    <row r="1632" customFormat="false" ht="15" hidden="false" customHeight="false" outlineLevel="0" collapsed="false">
      <c r="H1632" s="0" t="str">
        <f aca="false">IF(B1632="","",IF(COUNTIF(Campaigns!$A$7:$A$300,B1632)&gt;0,"✓","⚠ add to Campaigns tab"))</f>
        <v/>
      </c>
      <c r="I1632" s="84" t="str">
        <f aca="false">IF(C1632="","",C1632*IF(Settings!$B$24=Settings!$C$6,1,IF(Settings!$B$24="USD",1/INDEX(Settings!$B$29:$B$40,MONTH(A1632)),INDEX(Settings!$B$29:$B$40,MONTH(A1632)))))</f>
        <v/>
      </c>
    </row>
    <row r="1633" customFormat="false" ht="15" hidden="false" customHeight="false" outlineLevel="0" collapsed="false">
      <c r="H1633" s="0" t="str">
        <f aca="false">IF(B1633="","",IF(COUNTIF(Campaigns!$A$7:$A$300,B1633)&gt;0,"✓","⚠ add to Campaigns tab"))</f>
        <v/>
      </c>
      <c r="I1633" s="84" t="str">
        <f aca="false">IF(C1633="","",C1633*IF(Settings!$B$24=Settings!$C$6,1,IF(Settings!$B$24="USD",1/INDEX(Settings!$B$29:$B$40,MONTH(A1633)),INDEX(Settings!$B$29:$B$40,MONTH(A1633)))))</f>
        <v/>
      </c>
    </row>
    <row r="1634" customFormat="false" ht="15" hidden="false" customHeight="false" outlineLevel="0" collapsed="false">
      <c r="H1634" s="0" t="str">
        <f aca="false">IF(B1634="","",IF(COUNTIF(Campaigns!$A$7:$A$300,B1634)&gt;0,"✓","⚠ add to Campaigns tab"))</f>
        <v/>
      </c>
      <c r="I1634" s="84" t="str">
        <f aca="false">IF(C1634="","",C1634*IF(Settings!$B$24=Settings!$C$6,1,IF(Settings!$B$24="USD",1/INDEX(Settings!$B$29:$B$40,MONTH(A1634)),INDEX(Settings!$B$29:$B$40,MONTH(A1634)))))</f>
        <v/>
      </c>
    </row>
    <row r="1635" customFormat="false" ht="15" hidden="false" customHeight="false" outlineLevel="0" collapsed="false">
      <c r="H1635" s="0" t="str">
        <f aca="false">IF(B1635="","",IF(COUNTIF(Campaigns!$A$7:$A$300,B1635)&gt;0,"✓","⚠ add to Campaigns tab"))</f>
        <v/>
      </c>
      <c r="I1635" s="84" t="str">
        <f aca="false">IF(C1635="","",C1635*IF(Settings!$B$24=Settings!$C$6,1,IF(Settings!$B$24="USD",1/INDEX(Settings!$B$29:$B$40,MONTH(A1635)),INDEX(Settings!$B$29:$B$40,MONTH(A1635)))))</f>
        <v/>
      </c>
    </row>
    <row r="1636" customFormat="false" ht="15" hidden="false" customHeight="false" outlineLevel="0" collapsed="false">
      <c r="H1636" s="0" t="str">
        <f aca="false">IF(B1636="","",IF(COUNTIF(Campaigns!$A$7:$A$300,B1636)&gt;0,"✓","⚠ add to Campaigns tab"))</f>
        <v/>
      </c>
      <c r="I1636" s="84" t="str">
        <f aca="false">IF(C1636="","",C1636*IF(Settings!$B$24=Settings!$C$6,1,IF(Settings!$B$24="USD",1/INDEX(Settings!$B$29:$B$40,MONTH(A1636)),INDEX(Settings!$B$29:$B$40,MONTH(A1636)))))</f>
        <v/>
      </c>
    </row>
    <row r="1637" customFormat="false" ht="15" hidden="false" customHeight="false" outlineLevel="0" collapsed="false">
      <c r="H1637" s="0" t="str">
        <f aca="false">IF(B1637="","",IF(COUNTIF(Campaigns!$A$7:$A$300,B1637)&gt;0,"✓","⚠ add to Campaigns tab"))</f>
        <v/>
      </c>
      <c r="I1637" s="84" t="str">
        <f aca="false">IF(C1637="","",C1637*IF(Settings!$B$24=Settings!$C$6,1,IF(Settings!$B$24="USD",1/INDEX(Settings!$B$29:$B$40,MONTH(A1637)),INDEX(Settings!$B$29:$B$40,MONTH(A1637)))))</f>
        <v/>
      </c>
    </row>
    <row r="1638" customFormat="false" ht="15" hidden="false" customHeight="false" outlineLevel="0" collapsed="false">
      <c r="H1638" s="0" t="str">
        <f aca="false">IF(B1638="","",IF(COUNTIF(Campaigns!$A$7:$A$300,B1638)&gt;0,"✓","⚠ add to Campaigns tab"))</f>
        <v/>
      </c>
      <c r="I1638" s="84" t="str">
        <f aca="false">IF(C1638="","",C1638*IF(Settings!$B$24=Settings!$C$6,1,IF(Settings!$B$24="USD",1/INDEX(Settings!$B$29:$B$40,MONTH(A1638)),INDEX(Settings!$B$29:$B$40,MONTH(A1638)))))</f>
        <v/>
      </c>
    </row>
    <row r="1639" customFormat="false" ht="15" hidden="false" customHeight="false" outlineLevel="0" collapsed="false">
      <c r="H1639" s="0" t="str">
        <f aca="false">IF(B1639="","",IF(COUNTIF(Campaigns!$A$7:$A$300,B1639)&gt;0,"✓","⚠ add to Campaigns tab"))</f>
        <v/>
      </c>
      <c r="I1639" s="84" t="str">
        <f aca="false">IF(C1639="","",C1639*IF(Settings!$B$24=Settings!$C$6,1,IF(Settings!$B$24="USD",1/INDEX(Settings!$B$29:$B$40,MONTH(A1639)),INDEX(Settings!$B$29:$B$40,MONTH(A1639)))))</f>
        <v/>
      </c>
    </row>
    <row r="1640" customFormat="false" ht="15" hidden="false" customHeight="false" outlineLevel="0" collapsed="false">
      <c r="H1640" s="0" t="str">
        <f aca="false">IF(B1640="","",IF(COUNTIF(Campaigns!$A$7:$A$300,B1640)&gt;0,"✓","⚠ add to Campaigns tab"))</f>
        <v/>
      </c>
      <c r="I1640" s="84" t="str">
        <f aca="false">IF(C1640="","",C1640*IF(Settings!$B$24=Settings!$C$6,1,IF(Settings!$B$24="USD",1/INDEX(Settings!$B$29:$B$40,MONTH(A1640)),INDEX(Settings!$B$29:$B$40,MONTH(A1640)))))</f>
        <v/>
      </c>
    </row>
    <row r="1641" customFormat="false" ht="15" hidden="false" customHeight="false" outlineLevel="0" collapsed="false">
      <c r="H1641" s="0" t="str">
        <f aca="false">IF(B1641="","",IF(COUNTIF(Campaigns!$A$7:$A$300,B1641)&gt;0,"✓","⚠ add to Campaigns tab"))</f>
        <v/>
      </c>
      <c r="I1641" s="84" t="str">
        <f aca="false">IF(C1641="","",C1641*IF(Settings!$B$24=Settings!$C$6,1,IF(Settings!$B$24="USD",1/INDEX(Settings!$B$29:$B$40,MONTH(A1641)),INDEX(Settings!$B$29:$B$40,MONTH(A1641)))))</f>
        <v/>
      </c>
    </row>
    <row r="1642" customFormat="false" ht="15" hidden="false" customHeight="false" outlineLevel="0" collapsed="false">
      <c r="H1642" s="0" t="str">
        <f aca="false">IF(B1642="","",IF(COUNTIF(Campaigns!$A$7:$A$300,B1642)&gt;0,"✓","⚠ add to Campaigns tab"))</f>
        <v/>
      </c>
      <c r="I1642" s="84" t="str">
        <f aca="false">IF(C1642="","",C1642*IF(Settings!$B$24=Settings!$C$6,1,IF(Settings!$B$24="USD",1/INDEX(Settings!$B$29:$B$40,MONTH(A1642)),INDEX(Settings!$B$29:$B$40,MONTH(A1642)))))</f>
        <v/>
      </c>
    </row>
    <row r="1643" customFormat="false" ht="15" hidden="false" customHeight="false" outlineLevel="0" collapsed="false">
      <c r="H1643" s="0" t="str">
        <f aca="false">IF(B1643="","",IF(COUNTIF(Campaigns!$A$7:$A$300,B1643)&gt;0,"✓","⚠ add to Campaigns tab"))</f>
        <v/>
      </c>
      <c r="I1643" s="84" t="str">
        <f aca="false">IF(C1643="","",C1643*IF(Settings!$B$24=Settings!$C$6,1,IF(Settings!$B$24="USD",1/INDEX(Settings!$B$29:$B$40,MONTH(A1643)),INDEX(Settings!$B$29:$B$40,MONTH(A1643)))))</f>
        <v/>
      </c>
    </row>
    <row r="1644" customFormat="false" ht="15" hidden="false" customHeight="false" outlineLevel="0" collapsed="false">
      <c r="H1644" s="0" t="str">
        <f aca="false">IF(B1644="","",IF(COUNTIF(Campaigns!$A$7:$A$300,B1644)&gt;0,"✓","⚠ add to Campaigns tab"))</f>
        <v/>
      </c>
      <c r="I1644" s="84" t="str">
        <f aca="false">IF(C1644="","",C1644*IF(Settings!$B$24=Settings!$C$6,1,IF(Settings!$B$24="USD",1/INDEX(Settings!$B$29:$B$40,MONTH(A1644)),INDEX(Settings!$B$29:$B$40,MONTH(A1644)))))</f>
        <v/>
      </c>
    </row>
    <row r="1645" customFormat="false" ht="15" hidden="false" customHeight="false" outlineLevel="0" collapsed="false">
      <c r="H1645" s="0" t="str">
        <f aca="false">IF(B1645="","",IF(COUNTIF(Campaigns!$A$7:$A$300,B1645)&gt;0,"✓","⚠ add to Campaigns tab"))</f>
        <v/>
      </c>
      <c r="I1645" s="84" t="str">
        <f aca="false">IF(C1645="","",C1645*IF(Settings!$B$24=Settings!$C$6,1,IF(Settings!$B$24="USD",1/INDEX(Settings!$B$29:$B$40,MONTH(A1645)),INDEX(Settings!$B$29:$B$40,MONTH(A1645)))))</f>
        <v/>
      </c>
    </row>
    <row r="1646" customFormat="false" ht="15" hidden="false" customHeight="false" outlineLevel="0" collapsed="false">
      <c r="H1646" s="0" t="str">
        <f aca="false">IF(B1646="","",IF(COUNTIF(Campaigns!$A$7:$A$300,B1646)&gt;0,"✓","⚠ add to Campaigns tab"))</f>
        <v/>
      </c>
      <c r="I1646" s="84" t="str">
        <f aca="false">IF(C1646="","",C1646*IF(Settings!$B$24=Settings!$C$6,1,IF(Settings!$B$24="USD",1/INDEX(Settings!$B$29:$B$40,MONTH(A1646)),INDEX(Settings!$B$29:$B$40,MONTH(A1646)))))</f>
        <v/>
      </c>
    </row>
    <row r="1647" customFormat="false" ht="15" hidden="false" customHeight="false" outlineLevel="0" collapsed="false">
      <c r="H1647" s="0" t="str">
        <f aca="false">IF(B1647="","",IF(COUNTIF(Campaigns!$A$7:$A$300,B1647)&gt;0,"✓","⚠ add to Campaigns tab"))</f>
        <v/>
      </c>
      <c r="I1647" s="84" t="str">
        <f aca="false">IF(C1647="","",C1647*IF(Settings!$B$24=Settings!$C$6,1,IF(Settings!$B$24="USD",1/INDEX(Settings!$B$29:$B$40,MONTH(A1647)),INDEX(Settings!$B$29:$B$40,MONTH(A1647)))))</f>
        <v/>
      </c>
    </row>
    <row r="1648" customFormat="false" ht="15" hidden="false" customHeight="false" outlineLevel="0" collapsed="false">
      <c r="H1648" s="0" t="str">
        <f aca="false">IF(B1648="","",IF(COUNTIF(Campaigns!$A$7:$A$300,B1648)&gt;0,"✓","⚠ add to Campaigns tab"))</f>
        <v/>
      </c>
      <c r="I1648" s="84" t="str">
        <f aca="false">IF(C1648="","",C1648*IF(Settings!$B$24=Settings!$C$6,1,IF(Settings!$B$24="USD",1/INDEX(Settings!$B$29:$B$40,MONTH(A1648)),INDEX(Settings!$B$29:$B$40,MONTH(A1648)))))</f>
        <v/>
      </c>
    </row>
    <row r="1649" customFormat="false" ht="15" hidden="false" customHeight="false" outlineLevel="0" collapsed="false">
      <c r="H1649" s="0" t="str">
        <f aca="false">IF(B1649="","",IF(COUNTIF(Campaigns!$A$7:$A$300,B1649)&gt;0,"✓","⚠ add to Campaigns tab"))</f>
        <v/>
      </c>
      <c r="I1649" s="84" t="str">
        <f aca="false">IF(C1649="","",C1649*IF(Settings!$B$24=Settings!$C$6,1,IF(Settings!$B$24="USD",1/INDEX(Settings!$B$29:$B$40,MONTH(A1649)),INDEX(Settings!$B$29:$B$40,MONTH(A1649)))))</f>
        <v/>
      </c>
    </row>
    <row r="1650" customFormat="false" ht="15" hidden="false" customHeight="false" outlineLevel="0" collapsed="false">
      <c r="H1650" s="0" t="str">
        <f aca="false">IF(B1650="","",IF(COUNTIF(Campaigns!$A$7:$A$300,B1650)&gt;0,"✓","⚠ add to Campaigns tab"))</f>
        <v/>
      </c>
      <c r="I1650" s="84" t="str">
        <f aca="false">IF(C1650="","",C1650*IF(Settings!$B$24=Settings!$C$6,1,IF(Settings!$B$24="USD",1/INDEX(Settings!$B$29:$B$40,MONTH(A1650)),INDEX(Settings!$B$29:$B$40,MONTH(A1650)))))</f>
        <v/>
      </c>
    </row>
    <row r="1651" customFormat="false" ht="15" hidden="false" customHeight="false" outlineLevel="0" collapsed="false">
      <c r="H1651" s="0" t="str">
        <f aca="false">IF(B1651="","",IF(COUNTIF(Campaigns!$A$7:$A$300,B1651)&gt;0,"✓","⚠ add to Campaigns tab"))</f>
        <v/>
      </c>
      <c r="I1651" s="84" t="str">
        <f aca="false">IF(C1651="","",C1651*IF(Settings!$B$24=Settings!$C$6,1,IF(Settings!$B$24="USD",1/INDEX(Settings!$B$29:$B$40,MONTH(A1651)),INDEX(Settings!$B$29:$B$40,MONTH(A1651)))))</f>
        <v/>
      </c>
    </row>
    <row r="1652" customFormat="false" ht="15" hidden="false" customHeight="false" outlineLevel="0" collapsed="false">
      <c r="H1652" s="0" t="str">
        <f aca="false">IF(B1652="","",IF(COUNTIF(Campaigns!$A$7:$A$300,B1652)&gt;0,"✓","⚠ add to Campaigns tab"))</f>
        <v/>
      </c>
      <c r="I1652" s="84" t="str">
        <f aca="false">IF(C1652="","",C1652*IF(Settings!$B$24=Settings!$C$6,1,IF(Settings!$B$24="USD",1/INDEX(Settings!$B$29:$B$40,MONTH(A1652)),INDEX(Settings!$B$29:$B$40,MONTH(A1652)))))</f>
        <v/>
      </c>
    </row>
    <row r="1653" customFormat="false" ht="15" hidden="false" customHeight="false" outlineLevel="0" collapsed="false">
      <c r="H1653" s="0" t="str">
        <f aca="false">IF(B1653="","",IF(COUNTIF(Campaigns!$A$7:$A$300,B1653)&gt;0,"✓","⚠ add to Campaigns tab"))</f>
        <v/>
      </c>
      <c r="I1653" s="84" t="str">
        <f aca="false">IF(C1653="","",C1653*IF(Settings!$B$24=Settings!$C$6,1,IF(Settings!$B$24="USD",1/INDEX(Settings!$B$29:$B$40,MONTH(A1653)),INDEX(Settings!$B$29:$B$40,MONTH(A1653)))))</f>
        <v/>
      </c>
    </row>
    <row r="1654" customFormat="false" ht="15" hidden="false" customHeight="false" outlineLevel="0" collapsed="false">
      <c r="H1654" s="0" t="str">
        <f aca="false">IF(B1654="","",IF(COUNTIF(Campaigns!$A$7:$A$300,B1654)&gt;0,"✓","⚠ add to Campaigns tab"))</f>
        <v/>
      </c>
      <c r="I1654" s="84" t="str">
        <f aca="false">IF(C1654="","",C1654*IF(Settings!$B$24=Settings!$C$6,1,IF(Settings!$B$24="USD",1/INDEX(Settings!$B$29:$B$40,MONTH(A1654)),INDEX(Settings!$B$29:$B$40,MONTH(A1654)))))</f>
        <v/>
      </c>
    </row>
    <row r="1655" customFormat="false" ht="15" hidden="false" customHeight="false" outlineLevel="0" collapsed="false">
      <c r="H1655" s="0" t="str">
        <f aca="false">IF(B1655="","",IF(COUNTIF(Campaigns!$A$7:$A$300,B1655)&gt;0,"✓","⚠ add to Campaigns tab"))</f>
        <v/>
      </c>
      <c r="I1655" s="84" t="str">
        <f aca="false">IF(C1655="","",C1655*IF(Settings!$B$24=Settings!$C$6,1,IF(Settings!$B$24="USD",1/INDEX(Settings!$B$29:$B$40,MONTH(A1655)),INDEX(Settings!$B$29:$B$40,MONTH(A1655)))))</f>
        <v/>
      </c>
    </row>
    <row r="1656" customFormat="false" ht="15" hidden="false" customHeight="false" outlineLevel="0" collapsed="false">
      <c r="H1656" s="0" t="str">
        <f aca="false">IF(B1656="","",IF(COUNTIF(Campaigns!$A$7:$A$300,B1656)&gt;0,"✓","⚠ add to Campaigns tab"))</f>
        <v/>
      </c>
      <c r="I1656" s="84" t="str">
        <f aca="false">IF(C1656="","",C1656*IF(Settings!$B$24=Settings!$C$6,1,IF(Settings!$B$24="USD",1/INDEX(Settings!$B$29:$B$40,MONTH(A1656)),INDEX(Settings!$B$29:$B$40,MONTH(A1656)))))</f>
        <v/>
      </c>
    </row>
    <row r="1657" customFormat="false" ht="15" hidden="false" customHeight="false" outlineLevel="0" collapsed="false">
      <c r="H1657" s="0" t="str">
        <f aca="false">IF(B1657="","",IF(COUNTIF(Campaigns!$A$7:$A$300,B1657)&gt;0,"✓","⚠ add to Campaigns tab"))</f>
        <v/>
      </c>
      <c r="I1657" s="84" t="str">
        <f aca="false">IF(C1657="","",C1657*IF(Settings!$B$24=Settings!$C$6,1,IF(Settings!$B$24="USD",1/INDEX(Settings!$B$29:$B$40,MONTH(A1657)),INDEX(Settings!$B$29:$B$40,MONTH(A1657)))))</f>
        <v/>
      </c>
    </row>
    <row r="1658" customFormat="false" ht="15" hidden="false" customHeight="false" outlineLevel="0" collapsed="false">
      <c r="H1658" s="0" t="str">
        <f aca="false">IF(B1658="","",IF(COUNTIF(Campaigns!$A$7:$A$300,B1658)&gt;0,"✓","⚠ add to Campaigns tab"))</f>
        <v/>
      </c>
      <c r="I1658" s="84" t="str">
        <f aca="false">IF(C1658="","",C1658*IF(Settings!$B$24=Settings!$C$6,1,IF(Settings!$B$24="USD",1/INDEX(Settings!$B$29:$B$40,MONTH(A1658)),INDEX(Settings!$B$29:$B$40,MONTH(A1658)))))</f>
        <v/>
      </c>
    </row>
    <row r="1659" customFormat="false" ht="15" hidden="false" customHeight="false" outlineLevel="0" collapsed="false">
      <c r="H1659" s="0" t="str">
        <f aca="false">IF(B1659="","",IF(COUNTIF(Campaigns!$A$7:$A$300,B1659)&gt;0,"✓","⚠ add to Campaigns tab"))</f>
        <v/>
      </c>
      <c r="I1659" s="84" t="str">
        <f aca="false">IF(C1659="","",C1659*IF(Settings!$B$24=Settings!$C$6,1,IF(Settings!$B$24="USD",1/INDEX(Settings!$B$29:$B$40,MONTH(A1659)),INDEX(Settings!$B$29:$B$40,MONTH(A1659)))))</f>
        <v/>
      </c>
    </row>
    <row r="1660" customFormat="false" ht="15" hidden="false" customHeight="false" outlineLevel="0" collapsed="false">
      <c r="H1660" s="0" t="str">
        <f aca="false">IF(B1660="","",IF(COUNTIF(Campaigns!$A$7:$A$300,B1660)&gt;0,"✓","⚠ add to Campaigns tab"))</f>
        <v/>
      </c>
      <c r="I1660" s="84" t="str">
        <f aca="false">IF(C1660="","",C1660*IF(Settings!$B$24=Settings!$C$6,1,IF(Settings!$B$24="USD",1/INDEX(Settings!$B$29:$B$40,MONTH(A1660)),INDEX(Settings!$B$29:$B$40,MONTH(A1660)))))</f>
        <v/>
      </c>
    </row>
    <row r="1661" customFormat="false" ht="15" hidden="false" customHeight="false" outlineLevel="0" collapsed="false">
      <c r="H1661" s="0" t="str">
        <f aca="false">IF(B1661="","",IF(COUNTIF(Campaigns!$A$7:$A$300,B1661)&gt;0,"✓","⚠ add to Campaigns tab"))</f>
        <v/>
      </c>
      <c r="I1661" s="84" t="str">
        <f aca="false">IF(C1661="","",C1661*IF(Settings!$B$24=Settings!$C$6,1,IF(Settings!$B$24="USD",1/INDEX(Settings!$B$29:$B$40,MONTH(A1661)),INDEX(Settings!$B$29:$B$40,MONTH(A1661)))))</f>
        <v/>
      </c>
    </row>
    <row r="1662" customFormat="false" ht="15" hidden="false" customHeight="false" outlineLevel="0" collapsed="false">
      <c r="H1662" s="0" t="str">
        <f aca="false">IF(B1662="","",IF(COUNTIF(Campaigns!$A$7:$A$300,B1662)&gt;0,"✓","⚠ add to Campaigns tab"))</f>
        <v/>
      </c>
      <c r="I1662" s="84" t="str">
        <f aca="false">IF(C1662="","",C1662*IF(Settings!$B$24=Settings!$C$6,1,IF(Settings!$B$24="USD",1/INDEX(Settings!$B$29:$B$40,MONTH(A1662)),INDEX(Settings!$B$29:$B$40,MONTH(A1662)))))</f>
        <v/>
      </c>
    </row>
    <row r="1663" customFormat="false" ht="15" hidden="false" customHeight="false" outlineLevel="0" collapsed="false">
      <c r="H1663" s="0" t="str">
        <f aca="false">IF(B1663="","",IF(COUNTIF(Campaigns!$A$7:$A$300,B1663)&gt;0,"✓","⚠ add to Campaigns tab"))</f>
        <v/>
      </c>
      <c r="I1663" s="84" t="str">
        <f aca="false">IF(C1663="","",C1663*IF(Settings!$B$24=Settings!$C$6,1,IF(Settings!$B$24="USD",1/INDEX(Settings!$B$29:$B$40,MONTH(A1663)),INDEX(Settings!$B$29:$B$40,MONTH(A1663)))))</f>
        <v/>
      </c>
    </row>
    <row r="1664" customFormat="false" ht="15" hidden="false" customHeight="false" outlineLevel="0" collapsed="false">
      <c r="H1664" s="0" t="str">
        <f aca="false">IF(B1664="","",IF(COUNTIF(Campaigns!$A$7:$A$300,B1664)&gt;0,"✓","⚠ add to Campaigns tab"))</f>
        <v/>
      </c>
      <c r="I1664" s="84" t="str">
        <f aca="false">IF(C1664="","",C1664*IF(Settings!$B$24=Settings!$C$6,1,IF(Settings!$B$24="USD",1/INDEX(Settings!$B$29:$B$40,MONTH(A1664)),INDEX(Settings!$B$29:$B$40,MONTH(A1664)))))</f>
        <v/>
      </c>
    </row>
    <row r="1665" customFormat="false" ht="15" hidden="false" customHeight="false" outlineLevel="0" collapsed="false">
      <c r="H1665" s="0" t="str">
        <f aca="false">IF(B1665="","",IF(COUNTIF(Campaigns!$A$7:$A$300,B1665)&gt;0,"✓","⚠ add to Campaigns tab"))</f>
        <v/>
      </c>
      <c r="I1665" s="84" t="str">
        <f aca="false">IF(C1665="","",C1665*IF(Settings!$B$24=Settings!$C$6,1,IF(Settings!$B$24="USD",1/INDEX(Settings!$B$29:$B$40,MONTH(A1665)),INDEX(Settings!$B$29:$B$40,MONTH(A1665)))))</f>
        <v/>
      </c>
    </row>
    <row r="1666" customFormat="false" ht="15" hidden="false" customHeight="false" outlineLevel="0" collapsed="false">
      <c r="H1666" s="0" t="str">
        <f aca="false">IF(B1666="","",IF(COUNTIF(Campaigns!$A$7:$A$300,B1666)&gt;0,"✓","⚠ add to Campaigns tab"))</f>
        <v/>
      </c>
      <c r="I1666" s="84" t="str">
        <f aca="false">IF(C1666="","",C1666*IF(Settings!$B$24=Settings!$C$6,1,IF(Settings!$B$24="USD",1/INDEX(Settings!$B$29:$B$40,MONTH(A1666)),INDEX(Settings!$B$29:$B$40,MONTH(A1666)))))</f>
        <v/>
      </c>
    </row>
    <row r="1667" customFormat="false" ht="15" hidden="false" customHeight="false" outlineLevel="0" collapsed="false">
      <c r="H1667" s="0" t="str">
        <f aca="false">IF(B1667="","",IF(COUNTIF(Campaigns!$A$7:$A$300,B1667)&gt;0,"✓","⚠ add to Campaigns tab"))</f>
        <v/>
      </c>
      <c r="I1667" s="84" t="str">
        <f aca="false">IF(C1667="","",C1667*IF(Settings!$B$24=Settings!$C$6,1,IF(Settings!$B$24="USD",1/INDEX(Settings!$B$29:$B$40,MONTH(A1667)),INDEX(Settings!$B$29:$B$40,MONTH(A1667)))))</f>
        <v/>
      </c>
    </row>
    <row r="1668" customFormat="false" ht="15" hidden="false" customHeight="false" outlineLevel="0" collapsed="false">
      <c r="H1668" s="0" t="str">
        <f aca="false">IF(B1668="","",IF(COUNTIF(Campaigns!$A$7:$A$300,B1668)&gt;0,"✓","⚠ add to Campaigns tab"))</f>
        <v/>
      </c>
      <c r="I1668" s="84" t="str">
        <f aca="false">IF(C1668="","",C1668*IF(Settings!$B$24=Settings!$C$6,1,IF(Settings!$B$24="USD",1/INDEX(Settings!$B$29:$B$40,MONTH(A1668)),INDEX(Settings!$B$29:$B$40,MONTH(A1668)))))</f>
        <v/>
      </c>
    </row>
    <row r="1669" customFormat="false" ht="15" hidden="false" customHeight="false" outlineLevel="0" collapsed="false">
      <c r="H1669" s="0" t="str">
        <f aca="false">IF(B1669="","",IF(COUNTIF(Campaigns!$A$7:$A$300,B1669)&gt;0,"✓","⚠ add to Campaigns tab"))</f>
        <v/>
      </c>
      <c r="I1669" s="84" t="str">
        <f aca="false">IF(C1669="","",C1669*IF(Settings!$B$24=Settings!$C$6,1,IF(Settings!$B$24="USD",1/INDEX(Settings!$B$29:$B$40,MONTH(A1669)),INDEX(Settings!$B$29:$B$40,MONTH(A1669)))))</f>
        <v/>
      </c>
    </row>
    <row r="1670" customFormat="false" ht="15" hidden="false" customHeight="false" outlineLevel="0" collapsed="false">
      <c r="H1670" s="0" t="str">
        <f aca="false">IF(B1670="","",IF(COUNTIF(Campaigns!$A$7:$A$300,B1670)&gt;0,"✓","⚠ add to Campaigns tab"))</f>
        <v/>
      </c>
      <c r="I1670" s="84" t="str">
        <f aca="false">IF(C1670="","",C1670*IF(Settings!$B$24=Settings!$C$6,1,IF(Settings!$B$24="USD",1/INDEX(Settings!$B$29:$B$40,MONTH(A1670)),INDEX(Settings!$B$29:$B$40,MONTH(A1670)))))</f>
        <v/>
      </c>
    </row>
    <row r="1671" customFormat="false" ht="15" hidden="false" customHeight="false" outlineLevel="0" collapsed="false">
      <c r="H1671" s="0" t="str">
        <f aca="false">IF(B1671="","",IF(COUNTIF(Campaigns!$A$7:$A$300,B1671)&gt;0,"✓","⚠ add to Campaigns tab"))</f>
        <v/>
      </c>
      <c r="I1671" s="84" t="str">
        <f aca="false">IF(C1671="","",C1671*IF(Settings!$B$24=Settings!$C$6,1,IF(Settings!$B$24="USD",1/INDEX(Settings!$B$29:$B$40,MONTH(A1671)),INDEX(Settings!$B$29:$B$40,MONTH(A1671)))))</f>
        <v/>
      </c>
    </row>
    <row r="1672" customFormat="false" ht="15" hidden="false" customHeight="false" outlineLevel="0" collapsed="false">
      <c r="H1672" s="0" t="str">
        <f aca="false">IF(B1672="","",IF(COUNTIF(Campaigns!$A$7:$A$300,B1672)&gt;0,"✓","⚠ add to Campaigns tab"))</f>
        <v/>
      </c>
      <c r="I1672" s="84" t="str">
        <f aca="false">IF(C1672="","",C1672*IF(Settings!$B$24=Settings!$C$6,1,IF(Settings!$B$24="USD",1/INDEX(Settings!$B$29:$B$40,MONTH(A1672)),INDEX(Settings!$B$29:$B$40,MONTH(A1672)))))</f>
        <v/>
      </c>
    </row>
    <row r="1673" customFormat="false" ht="15" hidden="false" customHeight="false" outlineLevel="0" collapsed="false">
      <c r="H1673" s="0" t="str">
        <f aca="false">IF(B1673="","",IF(COUNTIF(Campaigns!$A$7:$A$300,B1673)&gt;0,"✓","⚠ add to Campaigns tab"))</f>
        <v/>
      </c>
      <c r="I1673" s="84" t="str">
        <f aca="false">IF(C1673="","",C1673*IF(Settings!$B$24=Settings!$C$6,1,IF(Settings!$B$24="USD",1/INDEX(Settings!$B$29:$B$40,MONTH(A1673)),INDEX(Settings!$B$29:$B$40,MONTH(A1673)))))</f>
        <v/>
      </c>
    </row>
    <row r="1674" customFormat="false" ht="15" hidden="false" customHeight="false" outlineLevel="0" collapsed="false">
      <c r="H1674" s="0" t="str">
        <f aca="false">IF(B1674="","",IF(COUNTIF(Campaigns!$A$7:$A$300,B1674)&gt;0,"✓","⚠ add to Campaigns tab"))</f>
        <v/>
      </c>
      <c r="I1674" s="84" t="str">
        <f aca="false">IF(C1674="","",C1674*IF(Settings!$B$24=Settings!$C$6,1,IF(Settings!$B$24="USD",1/INDEX(Settings!$B$29:$B$40,MONTH(A1674)),INDEX(Settings!$B$29:$B$40,MONTH(A1674)))))</f>
        <v/>
      </c>
    </row>
    <row r="1675" customFormat="false" ht="15" hidden="false" customHeight="false" outlineLevel="0" collapsed="false">
      <c r="H1675" s="0" t="str">
        <f aca="false">IF(B1675="","",IF(COUNTIF(Campaigns!$A$7:$A$300,B1675)&gt;0,"✓","⚠ add to Campaigns tab"))</f>
        <v/>
      </c>
      <c r="I1675" s="84" t="str">
        <f aca="false">IF(C1675="","",C1675*IF(Settings!$B$24=Settings!$C$6,1,IF(Settings!$B$24="USD",1/INDEX(Settings!$B$29:$B$40,MONTH(A1675)),INDEX(Settings!$B$29:$B$40,MONTH(A1675)))))</f>
        <v/>
      </c>
    </row>
    <row r="1676" customFormat="false" ht="15" hidden="false" customHeight="false" outlineLevel="0" collapsed="false">
      <c r="H1676" s="0" t="str">
        <f aca="false">IF(B1676="","",IF(COUNTIF(Campaigns!$A$7:$A$300,B1676)&gt;0,"✓","⚠ add to Campaigns tab"))</f>
        <v/>
      </c>
      <c r="I1676" s="84" t="str">
        <f aca="false">IF(C1676="","",C1676*IF(Settings!$B$24=Settings!$C$6,1,IF(Settings!$B$24="USD",1/INDEX(Settings!$B$29:$B$40,MONTH(A1676)),INDEX(Settings!$B$29:$B$40,MONTH(A1676)))))</f>
        <v/>
      </c>
    </row>
    <row r="1677" customFormat="false" ht="15" hidden="false" customHeight="false" outlineLevel="0" collapsed="false">
      <c r="H1677" s="0" t="str">
        <f aca="false">IF(B1677="","",IF(COUNTIF(Campaigns!$A$7:$A$300,B1677)&gt;0,"✓","⚠ add to Campaigns tab"))</f>
        <v/>
      </c>
      <c r="I1677" s="84" t="str">
        <f aca="false">IF(C1677="","",C1677*IF(Settings!$B$24=Settings!$C$6,1,IF(Settings!$B$24="USD",1/INDEX(Settings!$B$29:$B$40,MONTH(A1677)),INDEX(Settings!$B$29:$B$40,MONTH(A1677)))))</f>
        <v/>
      </c>
    </row>
    <row r="1678" customFormat="false" ht="15" hidden="false" customHeight="false" outlineLevel="0" collapsed="false">
      <c r="H1678" s="0" t="str">
        <f aca="false">IF(B1678="","",IF(COUNTIF(Campaigns!$A$7:$A$300,B1678)&gt;0,"✓","⚠ add to Campaigns tab"))</f>
        <v/>
      </c>
      <c r="I1678" s="84" t="str">
        <f aca="false">IF(C1678="","",C1678*IF(Settings!$B$24=Settings!$C$6,1,IF(Settings!$B$24="USD",1/INDEX(Settings!$B$29:$B$40,MONTH(A1678)),INDEX(Settings!$B$29:$B$40,MONTH(A1678)))))</f>
        <v/>
      </c>
    </row>
    <row r="1679" customFormat="false" ht="15" hidden="false" customHeight="false" outlineLevel="0" collapsed="false">
      <c r="H1679" s="0" t="str">
        <f aca="false">IF(B1679="","",IF(COUNTIF(Campaigns!$A$7:$A$300,B1679)&gt;0,"✓","⚠ add to Campaigns tab"))</f>
        <v/>
      </c>
      <c r="I1679" s="84" t="str">
        <f aca="false">IF(C1679="","",C1679*IF(Settings!$B$24=Settings!$C$6,1,IF(Settings!$B$24="USD",1/INDEX(Settings!$B$29:$B$40,MONTH(A1679)),INDEX(Settings!$B$29:$B$40,MONTH(A1679)))))</f>
        <v/>
      </c>
    </row>
    <row r="1680" customFormat="false" ht="15" hidden="false" customHeight="false" outlineLevel="0" collapsed="false">
      <c r="H1680" s="0" t="str">
        <f aca="false">IF(B1680="","",IF(COUNTIF(Campaigns!$A$7:$A$300,B1680)&gt;0,"✓","⚠ add to Campaigns tab"))</f>
        <v/>
      </c>
      <c r="I1680" s="84" t="str">
        <f aca="false">IF(C1680="","",C1680*IF(Settings!$B$24=Settings!$C$6,1,IF(Settings!$B$24="USD",1/INDEX(Settings!$B$29:$B$40,MONTH(A1680)),INDEX(Settings!$B$29:$B$40,MONTH(A1680)))))</f>
        <v/>
      </c>
    </row>
    <row r="1681" customFormat="false" ht="15" hidden="false" customHeight="false" outlineLevel="0" collapsed="false">
      <c r="H1681" s="0" t="str">
        <f aca="false">IF(B1681="","",IF(COUNTIF(Campaigns!$A$7:$A$300,B1681)&gt;0,"✓","⚠ add to Campaigns tab"))</f>
        <v/>
      </c>
      <c r="I1681" s="84" t="str">
        <f aca="false">IF(C1681="","",C1681*IF(Settings!$B$24=Settings!$C$6,1,IF(Settings!$B$24="USD",1/INDEX(Settings!$B$29:$B$40,MONTH(A1681)),INDEX(Settings!$B$29:$B$40,MONTH(A1681)))))</f>
        <v/>
      </c>
    </row>
    <row r="1682" customFormat="false" ht="15" hidden="false" customHeight="false" outlineLevel="0" collapsed="false">
      <c r="H1682" s="0" t="str">
        <f aca="false">IF(B1682="","",IF(COUNTIF(Campaigns!$A$7:$A$300,B1682)&gt;0,"✓","⚠ add to Campaigns tab"))</f>
        <v/>
      </c>
      <c r="I1682" s="84" t="str">
        <f aca="false">IF(C1682="","",C1682*IF(Settings!$B$24=Settings!$C$6,1,IF(Settings!$B$24="USD",1/INDEX(Settings!$B$29:$B$40,MONTH(A1682)),INDEX(Settings!$B$29:$B$40,MONTH(A1682)))))</f>
        <v/>
      </c>
    </row>
    <row r="1683" customFormat="false" ht="15" hidden="false" customHeight="false" outlineLevel="0" collapsed="false">
      <c r="H1683" s="0" t="str">
        <f aca="false">IF(B1683="","",IF(COUNTIF(Campaigns!$A$7:$A$300,B1683)&gt;0,"✓","⚠ add to Campaigns tab"))</f>
        <v/>
      </c>
      <c r="I1683" s="84" t="str">
        <f aca="false">IF(C1683="","",C1683*IF(Settings!$B$24=Settings!$C$6,1,IF(Settings!$B$24="USD",1/INDEX(Settings!$B$29:$B$40,MONTH(A1683)),INDEX(Settings!$B$29:$B$40,MONTH(A1683)))))</f>
        <v/>
      </c>
    </row>
    <row r="1684" customFormat="false" ht="15" hidden="false" customHeight="false" outlineLevel="0" collapsed="false">
      <c r="H1684" s="0" t="str">
        <f aca="false">IF(B1684="","",IF(COUNTIF(Campaigns!$A$7:$A$300,B1684)&gt;0,"✓","⚠ add to Campaigns tab"))</f>
        <v/>
      </c>
      <c r="I1684" s="84" t="str">
        <f aca="false">IF(C1684="","",C1684*IF(Settings!$B$24=Settings!$C$6,1,IF(Settings!$B$24="USD",1/INDEX(Settings!$B$29:$B$40,MONTH(A1684)),INDEX(Settings!$B$29:$B$40,MONTH(A1684)))))</f>
        <v/>
      </c>
    </row>
    <row r="1685" customFormat="false" ht="15" hidden="false" customHeight="false" outlineLevel="0" collapsed="false">
      <c r="H1685" s="0" t="str">
        <f aca="false">IF(B1685="","",IF(COUNTIF(Campaigns!$A$7:$A$300,B1685)&gt;0,"✓","⚠ add to Campaigns tab"))</f>
        <v/>
      </c>
      <c r="I1685" s="84" t="str">
        <f aca="false">IF(C1685="","",C1685*IF(Settings!$B$24=Settings!$C$6,1,IF(Settings!$B$24="USD",1/INDEX(Settings!$B$29:$B$40,MONTH(A1685)),INDEX(Settings!$B$29:$B$40,MONTH(A1685)))))</f>
        <v/>
      </c>
    </row>
    <row r="1686" customFormat="false" ht="15" hidden="false" customHeight="false" outlineLevel="0" collapsed="false">
      <c r="H1686" s="0" t="str">
        <f aca="false">IF(B1686="","",IF(COUNTIF(Campaigns!$A$7:$A$300,B1686)&gt;0,"✓","⚠ add to Campaigns tab"))</f>
        <v/>
      </c>
      <c r="I1686" s="84" t="str">
        <f aca="false">IF(C1686="","",C1686*IF(Settings!$B$24=Settings!$C$6,1,IF(Settings!$B$24="USD",1/INDEX(Settings!$B$29:$B$40,MONTH(A1686)),INDEX(Settings!$B$29:$B$40,MONTH(A1686)))))</f>
        <v/>
      </c>
    </row>
    <row r="1687" customFormat="false" ht="15" hidden="false" customHeight="false" outlineLevel="0" collapsed="false">
      <c r="H1687" s="0" t="str">
        <f aca="false">IF(B1687="","",IF(COUNTIF(Campaigns!$A$7:$A$300,B1687)&gt;0,"✓","⚠ add to Campaigns tab"))</f>
        <v/>
      </c>
      <c r="I1687" s="84" t="str">
        <f aca="false">IF(C1687="","",C1687*IF(Settings!$B$24=Settings!$C$6,1,IF(Settings!$B$24="USD",1/INDEX(Settings!$B$29:$B$40,MONTH(A1687)),INDEX(Settings!$B$29:$B$40,MONTH(A1687)))))</f>
        <v/>
      </c>
    </row>
    <row r="1688" customFormat="false" ht="15" hidden="false" customHeight="false" outlineLevel="0" collapsed="false">
      <c r="H1688" s="0" t="str">
        <f aca="false">IF(B1688="","",IF(COUNTIF(Campaigns!$A$7:$A$300,B1688)&gt;0,"✓","⚠ add to Campaigns tab"))</f>
        <v/>
      </c>
      <c r="I1688" s="84" t="str">
        <f aca="false">IF(C1688="","",C1688*IF(Settings!$B$24=Settings!$C$6,1,IF(Settings!$B$24="USD",1/INDEX(Settings!$B$29:$B$40,MONTH(A1688)),INDEX(Settings!$B$29:$B$40,MONTH(A1688)))))</f>
        <v/>
      </c>
    </row>
    <row r="1689" customFormat="false" ht="15" hidden="false" customHeight="false" outlineLevel="0" collapsed="false">
      <c r="H1689" s="0" t="str">
        <f aca="false">IF(B1689="","",IF(COUNTIF(Campaigns!$A$7:$A$300,B1689)&gt;0,"✓","⚠ add to Campaigns tab"))</f>
        <v/>
      </c>
      <c r="I1689" s="84" t="str">
        <f aca="false">IF(C1689="","",C1689*IF(Settings!$B$24=Settings!$C$6,1,IF(Settings!$B$24="USD",1/INDEX(Settings!$B$29:$B$40,MONTH(A1689)),INDEX(Settings!$B$29:$B$40,MONTH(A1689)))))</f>
        <v/>
      </c>
    </row>
    <row r="1690" customFormat="false" ht="15" hidden="false" customHeight="false" outlineLevel="0" collapsed="false">
      <c r="H1690" s="0" t="str">
        <f aca="false">IF(B1690="","",IF(COUNTIF(Campaigns!$A$7:$A$300,B1690)&gt;0,"✓","⚠ add to Campaigns tab"))</f>
        <v/>
      </c>
      <c r="I1690" s="84" t="str">
        <f aca="false">IF(C1690="","",C1690*IF(Settings!$B$24=Settings!$C$6,1,IF(Settings!$B$24="USD",1/INDEX(Settings!$B$29:$B$40,MONTH(A1690)),INDEX(Settings!$B$29:$B$40,MONTH(A1690)))))</f>
        <v/>
      </c>
    </row>
    <row r="1691" customFormat="false" ht="15" hidden="false" customHeight="false" outlineLevel="0" collapsed="false">
      <c r="H1691" s="0" t="str">
        <f aca="false">IF(B1691="","",IF(COUNTIF(Campaigns!$A$7:$A$300,B1691)&gt;0,"✓","⚠ add to Campaigns tab"))</f>
        <v/>
      </c>
      <c r="I1691" s="84" t="str">
        <f aca="false">IF(C1691="","",C1691*IF(Settings!$B$24=Settings!$C$6,1,IF(Settings!$B$24="USD",1/INDEX(Settings!$B$29:$B$40,MONTH(A1691)),INDEX(Settings!$B$29:$B$40,MONTH(A1691)))))</f>
        <v/>
      </c>
    </row>
    <row r="1692" customFormat="false" ht="15" hidden="false" customHeight="false" outlineLevel="0" collapsed="false">
      <c r="H1692" s="0" t="str">
        <f aca="false">IF(B1692="","",IF(COUNTIF(Campaigns!$A$7:$A$300,B1692)&gt;0,"✓","⚠ add to Campaigns tab"))</f>
        <v/>
      </c>
      <c r="I1692" s="84" t="str">
        <f aca="false">IF(C1692="","",C1692*IF(Settings!$B$24=Settings!$C$6,1,IF(Settings!$B$24="USD",1/INDEX(Settings!$B$29:$B$40,MONTH(A1692)),INDEX(Settings!$B$29:$B$40,MONTH(A1692)))))</f>
        <v/>
      </c>
    </row>
    <row r="1693" customFormat="false" ht="15" hidden="false" customHeight="false" outlineLevel="0" collapsed="false">
      <c r="H1693" s="0" t="str">
        <f aca="false">IF(B1693="","",IF(COUNTIF(Campaigns!$A$7:$A$300,B1693)&gt;0,"✓","⚠ add to Campaigns tab"))</f>
        <v/>
      </c>
      <c r="I1693" s="84" t="str">
        <f aca="false">IF(C1693="","",C1693*IF(Settings!$B$24=Settings!$C$6,1,IF(Settings!$B$24="USD",1/INDEX(Settings!$B$29:$B$40,MONTH(A1693)),INDEX(Settings!$B$29:$B$40,MONTH(A1693)))))</f>
        <v/>
      </c>
    </row>
    <row r="1694" customFormat="false" ht="15" hidden="false" customHeight="false" outlineLevel="0" collapsed="false">
      <c r="H1694" s="0" t="str">
        <f aca="false">IF(B1694="","",IF(COUNTIF(Campaigns!$A$7:$A$300,B1694)&gt;0,"✓","⚠ add to Campaigns tab"))</f>
        <v/>
      </c>
      <c r="I1694" s="84" t="str">
        <f aca="false">IF(C1694="","",C1694*IF(Settings!$B$24=Settings!$C$6,1,IF(Settings!$B$24="USD",1/INDEX(Settings!$B$29:$B$40,MONTH(A1694)),INDEX(Settings!$B$29:$B$40,MONTH(A1694)))))</f>
        <v/>
      </c>
    </row>
    <row r="1695" customFormat="false" ht="15" hidden="false" customHeight="false" outlineLevel="0" collapsed="false">
      <c r="H1695" s="0" t="str">
        <f aca="false">IF(B1695="","",IF(COUNTIF(Campaigns!$A$7:$A$300,B1695)&gt;0,"✓","⚠ add to Campaigns tab"))</f>
        <v/>
      </c>
      <c r="I1695" s="84" t="str">
        <f aca="false">IF(C1695="","",C1695*IF(Settings!$B$24=Settings!$C$6,1,IF(Settings!$B$24="USD",1/INDEX(Settings!$B$29:$B$40,MONTH(A1695)),INDEX(Settings!$B$29:$B$40,MONTH(A1695)))))</f>
        <v/>
      </c>
    </row>
    <row r="1696" customFormat="false" ht="15" hidden="false" customHeight="false" outlineLevel="0" collapsed="false">
      <c r="H1696" s="0" t="str">
        <f aca="false">IF(B1696="","",IF(COUNTIF(Campaigns!$A$7:$A$300,B1696)&gt;0,"✓","⚠ add to Campaigns tab"))</f>
        <v/>
      </c>
      <c r="I1696" s="84" t="str">
        <f aca="false">IF(C1696="","",C1696*IF(Settings!$B$24=Settings!$C$6,1,IF(Settings!$B$24="USD",1/INDEX(Settings!$B$29:$B$40,MONTH(A1696)),INDEX(Settings!$B$29:$B$40,MONTH(A1696)))))</f>
        <v/>
      </c>
    </row>
    <row r="1697" customFormat="false" ht="15" hidden="false" customHeight="false" outlineLevel="0" collapsed="false">
      <c r="H1697" s="0" t="str">
        <f aca="false">IF(B1697="","",IF(COUNTIF(Campaigns!$A$7:$A$300,B1697)&gt;0,"✓","⚠ add to Campaigns tab"))</f>
        <v/>
      </c>
      <c r="I1697" s="84" t="str">
        <f aca="false">IF(C1697="","",C1697*IF(Settings!$B$24=Settings!$C$6,1,IF(Settings!$B$24="USD",1/INDEX(Settings!$B$29:$B$40,MONTH(A1697)),INDEX(Settings!$B$29:$B$40,MONTH(A1697)))))</f>
        <v/>
      </c>
    </row>
    <row r="1698" customFormat="false" ht="15" hidden="false" customHeight="false" outlineLevel="0" collapsed="false">
      <c r="H1698" s="0" t="str">
        <f aca="false">IF(B1698="","",IF(COUNTIF(Campaigns!$A$7:$A$300,B1698)&gt;0,"✓","⚠ add to Campaigns tab"))</f>
        <v/>
      </c>
      <c r="I1698" s="84" t="str">
        <f aca="false">IF(C1698="","",C1698*IF(Settings!$B$24=Settings!$C$6,1,IF(Settings!$B$24="USD",1/INDEX(Settings!$B$29:$B$40,MONTH(A1698)),INDEX(Settings!$B$29:$B$40,MONTH(A1698)))))</f>
        <v/>
      </c>
    </row>
    <row r="1699" customFormat="false" ht="15" hidden="false" customHeight="false" outlineLevel="0" collapsed="false">
      <c r="H1699" s="0" t="str">
        <f aca="false">IF(B1699="","",IF(COUNTIF(Campaigns!$A$7:$A$300,B1699)&gt;0,"✓","⚠ add to Campaigns tab"))</f>
        <v/>
      </c>
      <c r="I1699" s="84" t="str">
        <f aca="false">IF(C1699="","",C1699*IF(Settings!$B$24=Settings!$C$6,1,IF(Settings!$B$24="USD",1/INDEX(Settings!$B$29:$B$40,MONTH(A1699)),INDEX(Settings!$B$29:$B$40,MONTH(A1699)))))</f>
        <v/>
      </c>
    </row>
    <row r="1700" customFormat="false" ht="15" hidden="false" customHeight="false" outlineLevel="0" collapsed="false">
      <c r="H1700" s="0" t="str">
        <f aca="false">IF(B1700="","",IF(COUNTIF(Campaigns!$A$7:$A$300,B1700)&gt;0,"✓","⚠ add to Campaigns tab"))</f>
        <v/>
      </c>
      <c r="I1700" s="84" t="str">
        <f aca="false">IF(C1700="","",C1700*IF(Settings!$B$24=Settings!$C$6,1,IF(Settings!$B$24="USD",1/INDEX(Settings!$B$29:$B$40,MONTH(A1700)),INDEX(Settings!$B$29:$B$40,MONTH(A1700)))))</f>
        <v/>
      </c>
    </row>
    <row r="1701" customFormat="false" ht="15" hidden="false" customHeight="false" outlineLevel="0" collapsed="false">
      <c r="H1701" s="0" t="str">
        <f aca="false">IF(B1701="","",IF(COUNTIF(Campaigns!$A$7:$A$300,B1701)&gt;0,"✓","⚠ add to Campaigns tab"))</f>
        <v/>
      </c>
      <c r="I1701" s="84" t="str">
        <f aca="false">IF(C1701="","",C1701*IF(Settings!$B$24=Settings!$C$6,1,IF(Settings!$B$24="USD",1/INDEX(Settings!$B$29:$B$40,MONTH(A1701)),INDEX(Settings!$B$29:$B$40,MONTH(A1701)))))</f>
        <v/>
      </c>
    </row>
    <row r="1702" customFormat="false" ht="15" hidden="false" customHeight="false" outlineLevel="0" collapsed="false">
      <c r="H1702" s="0" t="str">
        <f aca="false">IF(B1702="","",IF(COUNTIF(Campaigns!$A$7:$A$300,B1702)&gt;0,"✓","⚠ add to Campaigns tab"))</f>
        <v/>
      </c>
      <c r="I1702" s="84" t="str">
        <f aca="false">IF(C1702="","",C1702*IF(Settings!$B$24=Settings!$C$6,1,IF(Settings!$B$24="USD",1/INDEX(Settings!$B$29:$B$40,MONTH(A1702)),INDEX(Settings!$B$29:$B$40,MONTH(A1702)))))</f>
        <v/>
      </c>
    </row>
    <row r="1703" customFormat="false" ht="15" hidden="false" customHeight="false" outlineLevel="0" collapsed="false">
      <c r="H1703" s="0" t="str">
        <f aca="false">IF(B1703="","",IF(COUNTIF(Campaigns!$A$7:$A$300,B1703)&gt;0,"✓","⚠ add to Campaigns tab"))</f>
        <v/>
      </c>
      <c r="I1703" s="84" t="str">
        <f aca="false">IF(C1703="","",C1703*IF(Settings!$B$24=Settings!$C$6,1,IF(Settings!$B$24="USD",1/INDEX(Settings!$B$29:$B$40,MONTH(A1703)),INDEX(Settings!$B$29:$B$40,MONTH(A1703)))))</f>
        <v/>
      </c>
    </row>
    <row r="1704" customFormat="false" ht="15" hidden="false" customHeight="false" outlineLevel="0" collapsed="false">
      <c r="H1704" s="0" t="str">
        <f aca="false">IF(B1704="","",IF(COUNTIF(Campaigns!$A$7:$A$300,B1704)&gt;0,"✓","⚠ add to Campaigns tab"))</f>
        <v/>
      </c>
      <c r="I1704" s="84" t="str">
        <f aca="false">IF(C1704="","",C1704*IF(Settings!$B$24=Settings!$C$6,1,IF(Settings!$B$24="USD",1/INDEX(Settings!$B$29:$B$40,MONTH(A1704)),INDEX(Settings!$B$29:$B$40,MONTH(A1704)))))</f>
        <v/>
      </c>
    </row>
    <row r="1705" customFormat="false" ht="15" hidden="false" customHeight="false" outlineLevel="0" collapsed="false">
      <c r="H1705" s="0" t="str">
        <f aca="false">IF(B1705="","",IF(COUNTIF(Campaigns!$A$7:$A$300,B1705)&gt;0,"✓","⚠ add to Campaigns tab"))</f>
        <v/>
      </c>
      <c r="I1705" s="84" t="str">
        <f aca="false">IF(C1705="","",C1705*IF(Settings!$B$24=Settings!$C$6,1,IF(Settings!$B$24="USD",1/INDEX(Settings!$B$29:$B$40,MONTH(A1705)),INDEX(Settings!$B$29:$B$40,MONTH(A1705)))))</f>
        <v/>
      </c>
    </row>
    <row r="1706" customFormat="false" ht="15" hidden="false" customHeight="false" outlineLevel="0" collapsed="false">
      <c r="H1706" s="0" t="str">
        <f aca="false">IF(B1706="","",IF(COUNTIF(Campaigns!$A$7:$A$300,B1706)&gt;0,"✓","⚠ add to Campaigns tab"))</f>
        <v/>
      </c>
      <c r="I1706" s="84" t="str">
        <f aca="false">IF(C1706="","",C1706*IF(Settings!$B$24=Settings!$C$6,1,IF(Settings!$B$24="USD",1/INDEX(Settings!$B$29:$B$40,MONTH(A1706)),INDEX(Settings!$B$29:$B$40,MONTH(A1706)))))</f>
        <v/>
      </c>
    </row>
    <row r="1707" customFormat="false" ht="15" hidden="false" customHeight="false" outlineLevel="0" collapsed="false">
      <c r="H1707" s="0" t="str">
        <f aca="false">IF(B1707="","",IF(COUNTIF(Campaigns!$A$7:$A$300,B1707)&gt;0,"✓","⚠ add to Campaigns tab"))</f>
        <v/>
      </c>
      <c r="I1707" s="84" t="str">
        <f aca="false">IF(C1707="","",C1707*IF(Settings!$B$24=Settings!$C$6,1,IF(Settings!$B$24="USD",1/INDEX(Settings!$B$29:$B$40,MONTH(A1707)),INDEX(Settings!$B$29:$B$40,MONTH(A1707)))))</f>
        <v/>
      </c>
    </row>
    <row r="1708" customFormat="false" ht="15" hidden="false" customHeight="false" outlineLevel="0" collapsed="false">
      <c r="H1708" s="0" t="str">
        <f aca="false">IF(B1708="","",IF(COUNTIF(Campaigns!$A$7:$A$300,B1708)&gt;0,"✓","⚠ add to Campaigns tab"))</f>
        <v/>
      </c>
      <c r="I1708" s="84" t="str">
        <f aca="false">IF(C1708="","",C1708*IF(Settings!$B$24=Settings!$C$6,1,IF(Settings!$B$24="USD",1/INDEX(Settings!$B$29:$B$40,MONTH(A1708)),INDEX(Settings!$B$29:$B$40,MONTH(A1708)))))</f>
        <v/>
      </c>
    </row>
    <row r="1709" customFormat="false" ht="15" hidden="false" customHeight="false" outlineLevel="0" collapsed="false">
      <c r="H1709" s="0" t="str">
        <f aca="false">IF(B1709="","",IF(COUNTIF(Campaigns!$A$7:$A$300,B1709)&gt;0,"✓","⚠ add to Campaigns tab"))</f>
        <v/>
      </c>
      <c r="I1709" s="84" t="str">
        <f aca="false">IF(C1709="","",C1709*IF(Settings!$B$24=Settings!$C$6,1,IF(Settings!$B$24="USD",1/INDEX(Settings!$B$29:$B$40,MONTH(A1709)),INDEX(Settings!$B$29:$B$40,MONTH(A1709)))))</f>
        <v/>
      </c>
    </row>
    <row r="1710" customFormat="false" ht="15" hidden="false" customHeight="false" outlineLevel="0" collapsed="false">
      <c r="H1710" s="0" t="str">
        <f aca="false">IF(B1710="","",IF(COUNTIF(Campaigns!$A$7:$A$300,B1710)&gt;0,"✓","⚠ add to Campaigns tab"))</f>
        <v/>
      </c>
      <c r="I1710" s="84" t="str">
        <f aca="false">IF(C1710="","",C1710*IF(Settings!$B$24=Settings!$C$6,1,IF(Settings!$B$24="USD",1/INDEX(Settings!$B$29:$B$40,MONTH(A1710)),INDEX(Settings!$B$29:$B$40,MONTH(A1710)))))</f>
        <v/>
      </c>
    </row>
    <row r="1711" customFormat="false" ht="15" hidden="false" customHeight="false" outlineLevel="0" collapsed="false">
      <c r="H1711" s="0" t="str">
        <f aca="false">IF(B1711="","",IF(COUNTIF(Campaigns!$A$7:$A$300,B1711)&gt;0,"✓","⚠ add to Campaigns tab"))</f>
        <v/>
      </c>
      <c r="I1711" s="84" t="str">
        <f aca="false">IF(C1711="","",C1711*IF(Settings!$B$24=Settings!$C$6,1,IF(Settings!$B$24="USD",1/INDEX(Settings!$B$29:$B$40,MONTH(A1711)),INDEX(Settings!$B$29:$B$40,MONTH(A1711)))))</f>
        <v/>
      </c>
    </row>
    <row r="1712" customFormat="false" ht="15" hidden="false" customHeight="false" outlineLevel="0" collapsed="false">
      <c r="H1712" s="0" t="str">
        <f aca="false">IF(B1712="","",IF(COUNTIF(Campaigns!$A$7:$A$300,B1712)&gt;0,"✓","⚠ add to Campaigns tab"))</f>
        <v/>
      </c>
      <c r="I1712" s="84" t="str">
        <f aca="false">IF(C1712="","",C1712*IF(Settings!$B$24=Settings!$C$6,1,IF(Settings!$B$24="USD",1/INDEX(Settings!$B$29:$B$40,MONTH(A1712)),INDEX(Settings!$B$29:$B$40,MONTH(A1712)))))</f>
        <v/>
      </c>
    </row>
    <row r="1713" customFormat="false" ht="15" hidden="false" customHeight="false" outlineLevel="0" collapsed="false">
      <c r="H1713" s="0" t="str">
        <f aca="false">IF(B1713="","",IF(COUNTIF(Campaigns!$A$7:$A$300,B1713)&gt;0,"✓","⚠ add to Campaigns tab"))</f>
        <v/>
      </c>
      <c r="I1713" s="84" t="str">
        <f aca="false">IF(C1713="","",C1713*IF(Settings!$B$24=Settings!$C$6,1,IF(Settings!$B$24="USD",1/INDEX(Settings!$B$29:$B$40,MONTH(A1713)),INDEX(Settings!$B$29:$B$40,MONTH(A1713)))))</f>
        <v/>
      </c>
    </row>
    <row r="1714" customFormat="false" ht="15" hidden="false" customHeight="false" outlineLevel="0" collapsed="false">
      <c r="H1714" s="0" t="str">
        <f aca="false">IF(B1714="","",IF(COUNTIF(Campaigns!$A$7:$A$300,B1714)&gt;0,"✓","⚠ add to Campaigns tab"))</f>
        <v/>
      </c>
      <c r="I1714" s="84" t="str">
        <f aca="false">IF(C1714="","",C1714*IF(Settings!$B$24=Settings!$C$6,1,IF(Settings!$B$24="USD",1/INDEX(Settings!$B$29:$B$40,MONTH(A1714)),INDEX(Settings!$B$29:$B$40,MONTH(A1714)))))</f>
        <v/>
      </c>
    </row>
    <row r="1715" customFormat="false" ht="15" hidden="false" customHeight="false" outlineLevel="0" collapsed="false">
      <c r="H1715" s="0" t="str">
        <f aca="false">IF(B1715="","",IF(COUNTIF(Campaigns!$A$7:$A$300,B1715)&gt;0,"✓","⚠ add to Campaigns tab"))</f>
        <v/>
      </c>
      <c r="I1715" s="84" t="str">
        <f aca="false">IF(C1715="","",C1715*IF(Settings!$B$24=Settings!$C$6,1,IF(Settings!$B$24="USD",1/INDEX(Settings!$B$29:$B$40,MONTH(A1715)),INDEX(Settings!$B$29:$B$40,MONTH(A1715)))))</f>
        <v/>
      </c>
    </row>
    <row r="1716" customFormat="false" ht="15" hidden="false" customHeight="false" outlineLevel="0" collapsed="false">
      <c r="H1716" s="0" t="str">
        <f aca="false">IF(B1716="","",IF(COUNTIF(Campaigns!$A$7:$A$300,B1716)&gt;0,"✓","⚠ add to Campaigns tab"))</f>
        <v/>
      </c>
      <c r="I1716" s="84" t="str">
        <f aca="false">IF(C1716="","",C1716*IF(Settings!$B$24=Settings!$C$6,1,IF(Settings!$B$24="USD",1/INDEX(Settings!$B$29:$B$40,MONTH(A1716)),INDEX(Settings!$B$29:$B$40,MONTH(A1716)))))</f>
        <v/>
      </c>
    </row>
    <row r="1717" customFormat="false" ht="15" hidden="false" customHeight="false" outlineLevel="0" collapsed="false">
      <c r="H1717" s="0" t="str">
        <f aca="false">IF(B1717="","",IF(COUNTIF(Campaigns!$A$7:$A$300,B1717)&gt;0,"✓","⚠ add to Campaigns tab"))</f>
        <v/>
      </c>
      <c r="I1717" s="84" t="str">
        <f aca="false">IF(C1717="","",C1717*IF(Settings!$B$24=Settings!$C$6,1,IF(Settings!$B$24="USD",1/INDEX(Settings!$B$29:$B$40,MONTH(A1717)),INDEX(Settings!$B$29:$B$40,MONTH(A1717)))))</f>
        <v/>
      </c>
    </row>
    <row r="1718" customFormat="false" ht="15" hidden="false" customHeight="false" outlineLevel="0" collapsed="false">
      <c r="H1718" s="0" t="str">
        <f aca="false">IF(B1718="","",IF(COUNTIF(Campaigns!$A$7:$A$300,B1718)&gt;0,"✓","⚠ add to Campaigns tab"))</f>
        <v/>
      </c>
      <c r="I1718" s="84" t="str">
        <f aca="false">IF(C1718="","",C1718*IF(Settings!$B$24=Settings!$C$6,1,IF(Settings!$B$24="USD",1/INDEX(Settings!$B$29:$B$40,MONTH(A1718)),INDEX(Settings!$B$29:$B$40,MONTH(A1718)))))</f>
        <v/>
      </c>
    </row>
    <row r="1719" customFormat="false" ht="15" hidden="false" customHeight="false" outlineLevel="0" collapsed="false">
      <c r="H1719" s="0" t="str">
        <f aca="false">IF(B1719="","",IF(COUNTIF(Campaigns!$A$7:$A$300,B1719)&gt;0,"✓","⚠ add to Campaigns tab"))</f>
        <v/>
      </c>
      <c r="I1719" s="84" t="str">
        <f aca="false">IF(C1719="","",C1719*IF(Settings!$B$24=Settings!$C$6,1,IF(Settings!$B$24="USD",1/INDEX(Settings!$B$29:$B$40,MONTH(A1719)),INDEX(Settings!$B$29:$B$40,MONTH(A1719)))))</f>
        <v/>
      </c>
    </row>
    <row r="1720" customFormat="false" ht="15" hidden="false" customHeight="false" outlineLevel="0" collapsed="false">
      <c r="H1720" s="0" t="str">
        <f aca="false">IF(B1720="","",IF(COUNTIF(Campaigns!$A$7:$A$300,B1720)&gt;0,"✓","⚠ add to Campaigns tab"))</f>
        <v/>
      </c>
      <c r="I1720" s="84" t="str">
        <f aca="false">IF(C1720="","",C1720*IF(Settings!$B$24=Settings!$C$6,1,IF(Settings!$B$24="USD",1/INDEX(Settings!$B$29:$B$40,MONTH(A1720)),INDEX(Settings!$B$29:$B$40,MONTH(A1720)))))</f>
        <v/>
      </c>
    </row>
    <row r="1721" customFormat="false" ht="15" hidden="false" customHeight="false" outlineLevel="0" collapsed="false">
      <c r="H1721" s="0" t="str">
        <f aca="false">IF(B1721="","",IF(COUNTIF(Campaigns!$A$7:$A$300,B1721)&gt;0,"✓","⚠ add to Campaigns tab"))</f>
        <v/>
      </c>
      <c r="I1721" s="84" t="str">
        <f aca="false">IF(C1721="","",C1721*IF(Settings!$B$24=Settings!$C$6,1,IF(Settings!$B$24="USD",1/INDEX(Settings!$B$29:$B$40,MONTH(A1721)),INDEX(Settings!$B$29:$B$40,MONTH(A1721)))))</f>
        <v/>
      </c>
    </row>
    <row r="1722" customFormat="false" ht="15" hidden="false" customHeight="false" outlineLevel="0" collapsed="false">
      <c r="H1722" s="0" t="str">
        <f aca="false">IF(B1722="","",IF(COUNTIF(Campaigns!$A$7:$A$300,B1722)&gt;0,"✓","⚠ add to Campaigns tab"))</f>
        <v/>
      </c>
      <c r="I1722" s="84" t="str">
        <f aca="false">IF(C1722="","",C1722*IF(Settings!$B$24=Settings!$C$6,1,IF(Settings!$B$24="USD",1/INDEX(Settings!$B$29:$B$40,MONTH(A1722)),INDEX(Settings!$B$29:$B$40,MONTH(A1722)))))</f>
        <v/>
      </c>
    </row>
    <row r="1723" customFormat="false" ht="15" hidden="false" customHeight="false" outlineLevel="0" collapsed="false">
      <c r="H1723" s="0" t="str">
        <f aca="false">IF(B1723="","",IF(COUNTIF(Campaigns!$A$7:$A$300,B1723)&gt;0,"✓","⚠ add to Campaigns tab"))</f>
        <v/>
      </c>
      <c r="I1723" s="84" t="str">
        <f aca="false">IF(C1723="","",C1723*IF(Settings!$B$24=Settings!$C$6,1,IF(Settings!$B$24="USD",1/INDEX(Settings!$B$29:$B$40,MONTH(A1723)),INDEX(Settings!$B$29:$B$40,MONTH(A1723)))))</f>
        <v/>
      </c>
    </row>
    <row r="1724" customFormat="false" ht="15" hidden="false" customHeight="false" outlineLevel="0" collapsed="false">
      <c r="H1724" s="0" t="str">
        <f aca="false">IF(B1724="","",IF(COUNTIF(Campaigns!$A$7:$A$300,B1724)&gt;0,"✓","⚠ add to Campaigns tab"))</f>
        <v/>
      </c>
      <c r="I1724" s="84" t="str">
        <f aca="false">IF(C1724="","",C1724*IF(Settings!$B$24=Settings!$C$6,1,IF(Settings!$B$24="USD",1/INDEX(Settings!$B$29:$B$40,MONTH(A1724)),INDEX(Settings!$B$29:$B$40,MONTH(A1724)))))</f>
        <v/>
      </c>
    </row>
    <row r="1725" customFormat="false" ht="15" hidden="false" customHeight="false" outlineLevel="0" collapsed="false">
      <c r="H1725" s="0" t="str">
        <f aca="false">IF(B1725="","",IF(COUNTIF(Campaigns!$A$7:$A$300,B1725)&gt;0,"✓","⚠ add to Campaigns tab"))</f>
        <v/>
      </c>
      <c r="I1725" s="84" t="str">
        <f aca="false">IF(C1725="","",C1725*IF(Settings!$B$24=Settings!$C$6,1,IF(Settings!$B$24="USD",1/INDEX(Settings!$B$29:$B$40,MONTH(A1725)),INDEX(Settings!$B$29:$B$40,MONTH(A1725)))))</f>
        <v/>
      </c>
    </row>
    <row r="1726" customFormat="false" ht="15" hidden="false" customHeight="false" outlineLevel="0" collapsed="false">
      <c r="H1726" s="0" t="str">
        <f aca="false">IF(B1726="","",IF(COUNTIF(Campaigns!$A$7:$A$300,B1726)&gt;0,"✓","⚠ add to Campaigns tab"))</f>
        <v/>
      </c>
      <c r="I1726" s="84" t="str">
        <f aca="false">IF(C1726="","",C1726*IF(Settings!$B$24=Settings!$C$6,1,IF(Settings!$B$24="USD",1/INDEX(Settings!$B$29:$B$40,MONTH(A1726)),INDEX(Settings!$B$29:$B$40,MONTH(A1726)))))</f>
        <v/>
      </c>
    </row>
    <row r="1727" customFormat="false" ht="15" hidden="false" customHeight="false" outlineLevel="0" collapsed="false">
      <c r="H1727" s="0" t="str">
        <f aca="false">IF(B1727="","",IF(COUNTIF(Campaigns!$A$7:$A$300,B1727)&gt;0,"✓","⚠ add to Campaigns tab"))</f>
        <v/>
      </c>
      <c r="I1727" s="84" t="str">
        <f aca="false">IF(C1727="","",C1727*IF(Settings!$B$24=Settings!$C$6,1,IF(Settings!$B$24="USD",1/INDEX(Settings!$B$29:$B$40,MONTH(A1727)),INDEX(Settings!$B$29:$B$40,MONTH(A1727)))))</f>
        <v/>
      </c>
    </row>
    <row r="1728" customFormat="false" ht="15" hidden="false" customHeight="false" outlineLevel="0" collapsed="false">
      <c r="H1728" s="0" t="str">
        <f aca="false">IF(B1728="","",IF(COUNTIF(Campaigns!$A$7:$A$300,B1728)&gt;0,"✓","⚠ add to Campaigns tab"))</f>
        <v/>
      </c>
      <c r="I1728" s="84" t="str">
        <f aca="false">IF(C1728="","",C1728*IF(Settings!$B$24=Settings!$C$6,1,IF(Settings!$B$24="USD",1/INDEX(Settings!$B$29:$B$40,MONTH(A1728)),INDEX(Settings!$B$29:$B$40,MONTH(A1728)))))</f>
        <v/>
      </c>
    </row>
    <row r="1729" customFormat="false" ht="15" hidden="false" customHeight="false" outlineLevel="0" collapsed="false">
      <c r="H1729" s="0" t="str">
        <f aca="false">IF(B1729="","",IF(COUNTIF(Campaigns!$A$7:$A$300,B1729)&gt;0,"✓","⚠ add to Campaigns tab"))</f>
        <v/>
      </c>
      <c r="I1729" s="84" t="str">
        <f aca="false">IF(C1729="","",C1729*IF(Settings!$B$24=Settings!$C$6,1,IF(Settings!$B$24="USD",1/INDEX(Settings!$B$29:$B$40,MONTH(A1729)),INDEX(Settings!$B$29:$B$40,MONTH(A1729)))))</f>
        <v/>
      </c>
    </row>
    <row r="1730" customFormat="false" ht="15" hidden="false" customHeight="false" outlineLevel="0" collapsed="false">
      <c r="H1730" s="0" t="str">
        <f aca="false">IF(B1730="","",IF(COUNTIF(Campaigns!$A$7:$A$300,B1730)&gt;0,"✓","⚠ add to Campaigns tab"))</f>
        <v/>
      </c>
      <c r="I1730" s="84" t="str">
        <f aca="false">IF(C1730="","",C1730*IF(Settings!$B$24=Settings!$C$6,1,IF(Settings!$B$24="USD",1/INDEX(Settings!$B$29:$B$40,MONTH(A1730)),INDEX(Settings!$B$29:$B$40,MONTH(A1730)))))</f>
        <v/>
      </c>
    </row>
    <row r="1731" customFormat="false" ht="15" hidden="false" customHeight="false" outlineLevel="0" collapsed="false">
      <c r="H1731" s="0" t="str">
        <f aca="false">IF(B1731="","",IF(COUNTIF(Campaigns!$A$7:$A$300,B1731)&gt;0,"✓","⚠ add to Campaigns tab"))</f>
        <v/>
      </c>
      <c r="I1731" s="84" t="str">
        <f aca="false">IF(C1731="","",C1731*IF(Settings!$B$24=Settings!$C$6,1,IF(Settings!$B$24="USD",1/INDEX(Settings!$B$29:$B$40,MONTH(A1731)),INDEX(Settings!$B$29:$B$40,MONTH(A1731)))))</f>
        <v/>
      </c>
    </row>
    <row r="1732" customFormat="false" ht="15" hidden="false" customHeight="false" outlineLevel="0" collapsed="false">
      <c r="H1732" s="0" t="str">
        <f aca="false">IF(B1732="","",IF(COUNTIF(Campaigns!$A$7:$A$300,B1732)&gt;0,"✓","⚠ add to Campaigns tab"))</f>
        <v/>
      </c>
      <c r="I1732" s="84" t="str">
        <f aca="false">IF(C1732="","",C1732*IF(Settings!$B$24=Settings!$C$6,1,IF(Settings!$B$24="USD",1/INDEX(Settings!$B$29:$B$40,MONTH(A1732)),INDEX(Settings!$B$29:$B$40,MONTH(A1732)))))</f>
        <v/>
      </c>
    </row>
    <row r="1733" customFormat="false" ht="15" hidden="false" customHeight="false" outlineLevel="0" collapsed="false">
      <c r="H1733" s="0" t="str">
        <f aca="false">IF(B1733="","",IF(COUNTIF(Campaigns!$A$7:$A$300,B1733)&gt;0,"✓","⚠ add to Campaigns tab"))</f>
        <v/>
      </c>
      <c r="I1733" s="84" t="str">
        <f aca="false">IF(C1733="","",C1733*IF(Settings!$B$24=Settings!$C$6,1,IF(Settings!$B$24="USD",1/INDEX(Settings!$B$29:$B$40,MONTH(A1733)),INDEX(Settings!$B$29:$B$40,MONTH(A1733)))))</f>
        <v/>
      </c>
    </row>
    <row r="1734" customFormat="false" ht="15" hidden="false" customHeight="false" outlineLevel="0" collapsed="false">
      <c r="H1734" s="0" t="str">
        <f aca="false">IF(B1734="","",IF(COUNTIF(Campaigns!$A$7:$A$300,B1734)&gt;0,"✓","⚠ add to Campaigns tab"))</f>
        <v/>
      </c>
      <c r="I1734" s="84" t="str">
        <f aca="false">IF(C1734="","",C1734*IF(Settings!$B$24=Settings!$C$6,1,IF(Settings!$B$24="USD",1/INDEX(Settings!$B$29:$B$40,MONTH(A1734)),INDEX(Settings!$B$29:$B$40,MONTH(A1734)))))</f>
        <v/>
      </c>
    </row>
    <row r="1735" customFormat="false" ht="15" hidden="false" customHeight="false" outlineLevel="0" collapsed="false">
      <c r="H1735" s="0" t="str">
        <f aca="false">IF(B1735="","",IF(COUNTIF(Campaigns!$A$7:$A$300,B1735)&gt;0,"✓","⚠ add to Campaigns tab"))</f>
        <v/>
      </c>
      <c r="I1735" s="84" t="str">
        <f aca="false">IF(C1735="","",C1735*IF(Settings!$B$24=Settings!$C$6,1,IF(Settings!$B$24="USD",1/INDEX(Settings!$B$29:$B$40,MONTH(A1735)),INDEX(Settings!$B$29:$B$40,MONTH(A1735)))))</f>
        <v/>
      </c>
    </row>
    <row r="1736" customFormat="false" ht="15" hidden="false" customHeight="false" outlineLevel="0" collapsed="false">
      <c r="H1736" s="0" t="str">
        <f aca="false">IF(B1736="","",IF(COUNTIF(Campaigns!$A$7:$A$300,B1736)&gt;0,"✓","⚠ add to Campaigns tab"))</f>
        <v/>
      </c>
      <c r="I1736" s="84" t="str">
        <f aca="false">IF(C1736="","",C1736*IF(Settings!$B$24=Settings!$C$6,1,IF(Settings!$B$24="USD",1/INDEX(Settings!$B$29:$B$40,MONTH(A1736)),INDEX(Settings!$B$29:$B$40,MONTH(A1736)))))</f>
        <v/>
      </c>
    </row>
    <row r="1737" customFormat="false" ht="15" hidden="false" customHeight="false" outlineLevel="0" collapsed="false">
      <c r="H1737" s="0" t="str">
        <f aca="false">IF(B1737="","",IF(COUNTIF(Campaigns!$A$7:$A$300,B1737)&gt;0,"✓","⚠ add to Campaigns tab"))</f>
        <v/>
      </c>
      <c r="I1737" s="84" t="str">
        <f aca="false">IF(C1737="","",C1737*IF(Settings!$B$24=Settings!$C$6,1,IF(Settings!$B$24="USD",1/INDEX(Settings!$B$29:$B$40,MONTH(A1737)),INDEX(Settings!$B$29:$B$40,MONTH(A1737)))))</f>
        <v/>
      </c>
    </row>
    <row r="1738" customFormat="false" ht="15" hidden="false" customHeight="false" outlineLevel="0" collapsed="false">
      <c r="H1738" s="0" t="str">
        <f aca="false">IF(B1738="","",IF(COUNTIF(Campaigns!$A$7:$A$300,B1738)&gt;0,"✓","⚠ add to Campaigns tab"))</f>
        <v/>
      </c>
      <c r="I1738" s="84" t="str">
        <f aca="false">IF(C1738="","",C1738*IF(Settings!$B$24=Settings!$C$6,1,IF(Settings!$B$24="USD",1/INDEX(Settings!$B$29:$B$40,MONTH(A1738)),INDEX(Settings!$B$29:$B$40,MONTH(A1738)))))</f>
        <v/>
      </c>
    </row>
    <row r="1739" customFormat="false" ht="15" hidden="false" customHeight="false" outlineLevel="0" collapsed="false">
      <c r="H1739" s="0" t="str">
        <f aca="false">IF(B1739="","",IF(COUNTIF(Campaigns!$A$7:$A$300,B1739)&gt;0,"✓","⚠ add to Campaigns tab"))</f>
        <v/>
      </c>
      <c r="I1739" s="84" t="str">
        <f aca="false">IF(C1739="","",C1739*IF(Settings!$B$24=Settings!$C$6,1,IF(Settings!$B$24="USD",1/INDEX(Settings!$B$29:$B$40,MONTH(A1739)),INDEX(Settings!$B$29:$B$40,MONTH(A1739)))))</f>
        <v/>
      </c>
    </row>
    <row r="1740" customFormat="false" ht="15" hidden="false" customHeight="false" outlineLevel="0" collapsed="false">
      <c r="H1740" s="0" t="str">
        <f aca="false">IF(B1740="","",IF(COUNTIF(Campaigns!$A$7:$A$300,B1740)&gt;0,"✓","⚠ add to Campaigns tab"))</f>
        <v/>
      </c>
      <c r="I1740" s="84" t="str">
        <f aca="false">IF(C1740="","",C1740*IF(Settings!$B$24=Settings!$C$6,1,IF(Settings!$B$24="USD",1/INDEX(Settings!$B$29:$B$40,MONTH(A1740)),INDEX(Settings!$B$29:$B$40,MONTH(A1740)))))</f>
        <v/>
      </c>
    </row>
    <row r="1741" customFormat="false" ht="15" hidden="false" customHeight="false" outlineLevel="0" collapsed="false">
      <c r="H1741" s="0" t="str">
        <f aca="false">IF(B1741="","",IF(COUNTIF(Campaigns!$A$7:$A$300,B1741)&gt;0,"✓","⚠ add to Campaigns tab"))</f>
        <v/>
      </c>
      <c r="I1741" s="84" t="str">
        <f aca="false">IF(C1741="","",C1741*IF(Settings!$B$24=Settings!$C$6,1,IF(Settings!$B$24="USD",1/INDEX(Settings!$B$29:$B$40,MONTH(A1741)),INDEX(Settings!$B$29:$B$40,MONTH(A1741)))))</f>
        <v/>
      </c>
    </row>
    <row r="1742" customFormat="false" ht="15" hidden="false" customHeight="false" outlineLevel="0" collapsed="false">
      <c r="H1742" s="0" t="str">
        <f aca="false">IF(B1742="","",IF(COUNTIF(Campaigns!$A$7:$A$300,B1742)&gt;0,"✓","⚠ add to Campaigns tab"))</f>
        <v/>
      </c>
      <c r="I1742" s="84" t="str">
        <f aca="false">IF(C1742="","",C1742*IF(Settings!$B$24=Settings!$C$6,1,IF(Settings!$B$24="USD",1/INDEX(Settings!$B$29:$B$40,MONTH(A1742)),INDEX(Settings!$B$29:$B$40,MONTH(A1742)))))</f>
        <v/>
      </c>
    </row>
    <row r="1743" customFormat="false" ht="15" hidden="false" customHeight="false" outlineLevel="0" collapsed="false">
      <c r="H1743" s="0" t="str">
        <f aca="false">IF(B1743="","",IF(COUNTIF(Campaigns!$A$7:$A$300,B1743)&gt;0,"✓","⚠ add to Campaigns tab"))</f>
        <v/>
      </c>
      <c r="I1743" s="84" t="str">
        <f aca="false">IF(C1743="","",C1743*IF(Settings!$B$24=Settings!$C$6,1,IF(Settings!$B$24="USD",1/INDEX(Settings!$B$29:$B$40,MONTH(A1743)),INDEX(Settings!$B$29:$B$40,MONTH(A1743)))))</f>
        <v/>
      </c>
    </row>
    <row r="1744" customFormat="false" ht="15" hidden="false" customHeight="false" outlineLevel="0" collapsed="false">
      <c r="H1744" s="0" t="str">
        <f aca="false">IF(B1744="","",IF(COUNTIF(Campaigns!$A$7:$A$300,B1744)&gt;0,"✓","⚠ add to Campaigns tab"))</f>
        <v/>
      </c>
      <c r="I1744" s="84" t="str">
        <f aca="false">IF(C1744="","",C1744*IF(Settings!$B$24=Settings!$C$6,1,IF(Settings!$B$24="USD",1/INDEX(Settings!$B$29:$B$40,MONTH(A1744)),INDEX(Settings!$B$29:$B$40,MONTH(A1744)))))</f>
        <v/>
      </c>
    </row>
    <row r="1745" customFormat="false" ht="15" hidden="false" customHeight="false" outlineLevel="0" collapsed="false">
      <c r="H1745" s="0" t="str">
        <f aca="false">IF(B1745="","",IF(COUNTIF(Campaigns!$A$7:$A$300,B1745)&gt;0,"✓","⚠ add to Campaigns tab"))</f>
        <v/>
      </c>
      <c r="I1745" s="84" t="str">
        <f aca="false">IF(C1745="","",C1745*IF(Settings!$B$24=Settings!$C$6,1,IF(Settings!$B$24="USD",1/INDEX(Settings!$B$29:$B$40,MONTH(A1745)),INDEX(Settings!$B$29:$B$40,MONTH(A1745)))))</f>
        <v/>
      </c>
    </row>
    <row r="1746" customFormat="false" ht="15" hidden="false" customHeight="false" outlineLevel="0" collapsed="false">
      <c r="H1746" s="0" t="str">
        <f aca="false">IF(B1746="","",IF(COUNTIF(Campaigns!$A$7:$A$300,B1746)&gt;0,"✓","⚠ add to Campaigns tab"))</f>
        <v/>
      </c>
      <c r="I1746" s="84" t="str">
        <f aca="false">IF(C1746="","",C1746*IF(Settings!$B$24=Settings!$C$6,1,IF(Settings!$B$24="USD",1/INDEX(Settings!$B$29:$B$40,MONTH(A1746)),INDEX(Settings!$B$29:$B$40,MONTH(A1746)))))</f>
        <v/>
      </c>
    </row>
    <row r="1747" customFormat="false" ht="15" hidden="false" customHeight="false" outlineLevel="0" collapsed="false">
      <c r="H1747" s="0" t="str">
        <f aca="false">IF(B1747="","",IF(COUNTIF(Campaigns!$A$7:$A$300,B1747)&gt;0,"✓","⚠ add to Campaigns tab"))</f>
        <v/>
      </c>
      <c r="I1747" s="84" t="str">
        <f aca="false">IF(C1747="","",C1747*IF(Settings!$B$24=Settings!$C$6,1,IF(Settings!$B$24="USD",1/INDEX(Settings!$B$29:$B$40,MONTH(A1747)),INDEX(Settings!$B$29:$B$40,MONTH(A1747)))))</f>
        <v/>
      </c>
    </row>
    <row r="1748" customFormat="false" ht="15" hidden="false" customHeight="false" outlineLevel="0" collapsed="false">
      <c r="H1748" s="0" t="str">
        <f aca="false">IF(B1748="","",IF(COUNTIF(Campaigns!$A$7:$A$300,B1748)&gt;0,"✓","⚠ add to Campaigns tab"))</f>
        <v/>
      </c>
      <c r="I1748" s="84" t="str">
        <f aca="false">IF(C1748="","",C1748*IF(Settings!$B$24=Settings!$C$6,1,IF(Settings!$B$24="USD",1/INDEX(Settings!$B$29:$B$40,MONTH(A1748)),INDEX(Settings!$B$29:$B$40,MONTH(A1748)))))</f>
        <v/>
      </c>
    </row>
    <row r="1749" customFormat="false" ht="15" hidden="false" customHeight="false" outlineLevel="0" collapsed="false">
      <c r="H1749" s="0" t="str">
        <f aca="false">IF(B1749="","",IF(COUNTIF(Campaigns!$A$7:$A$300,B1749)&gt;0,"✓","⚠ add to Campaigns tab"))</f>
        <v/>
      </c>
      <c r="I1749" s="84" t="str">
        <f aca="false">IF(C1749="","",C1749*IF(Settings!$B$24=Settings!$C$6,1,IF(Settings!$B$24="USD",1/INDEX(Settings!$B$29:$B$40,MONTH(A1749)),INDEX(Settings!$B$29:$B$40,MONTH(A1749)))))</f>
        <v/>
      </c>
    </row>
    <row r="1750" customFormat="false" ht="15" hidden="false" customHeight="false" outlineLevel="0" collapsed="false">
      <c r="H1750" s="0" t="str">
        <f aca="false">IF(B1750="","",IF(COUNTIF(Campaigns!$A$7:$A$300,B1750)&gt;0,"✓","⚠ add to Campaigns tab"))</f>
        <v/>
      </c>
      <c r="I1750" s="84" t="str">
        <f aca="false">IF(C1750="","",C1750*IF(Settings!$B$24=Settings!$C$6,1,IF(Settings!$B$24="USD",1/INDEX(Settings!$B$29:$B$40,MONTH(A1750)),INDEX(Settings!$B$29:$B$40,MONTH(A1750)))))</f>
        <v/>
      </c>
    </row>
    <row r="1751" customFormat="false" ht="15" hidden="false" customHeight="false" outlineLevel="0" collapsed="false">
      <c r="H1751" s="0" t="str">
        <f aca="false">IF(B1751="","",IF(COUNTIF(Campaigns!$A$7:$A$300,B1751)&gt;0,"✓","⚠ add to Campaigns tab"))</f>
        <v/>
      </c>
      <c r="I1751" s="84" t="str">
        <f aca="false">IF(C1751="","",C1751*IF(Settings!$B$24=Settings!$C$6,1,IF(Settings!$B$24="USD",1/INDEX(Settings!$B$29:$B$40,MONTH(A1751)),INDEX(Settings!$B$29:$B$40,MONTH(A1751)))))</f>
        <v/>
      </c>
    </row>
    <row r="1752" customFormat="false" ht="15" hidden="false" customHeight="false" outlineLevel="0" collapsed="false">
      <c r="H1752" s="0" t="str">
        <f aca="false">IF(B1752="","",IF(COUNTIF(Campaigns!$A$7:$A$300,B1752)&gt;0,"✓","⚠ add to Campaigns tab"))</f>
        <v/>
      </c>
      <c r="I1752" s="84" t="str">
        <f aca="false">IF(C1752="","",C1752*IF(Settings!$B$24=Settings!$C$6,1,IF(Settings!$B$24="USD",1/INDEX(Settings!$B$29:$B$40,MONTH(A1752)),INDEX(Settings!$B$29:$B$40,MONTH(A1752)))))</f>
        <v/>
      </c>
    </row>
    <row r="1753" customFormat="false" ht="15" hidden="false" customHeight="false" outlineLevel="0" collapsed="false">
      <c r="H1753" s="0" t="str">
        <f aca="false">IF(B1753="","",IF(COUNTIF(Campaigns!$A$7:$A$300,B1753)&gt;0,"✓","⚠ add to Campaigns tab"))</f>
        <v/>
      </c>
      <c r="I1753" s="84" t="str">
        <f aca="false">IF(C1753="","",C1753*IF(Settings!$B$24=Settings!$C$6,1,IF(Settings!$B$24="USD",1/INDEX(Settings!$B$29:$B$40,MONTH(A1753)),INDEX(Settings!$B$29:$B$40,MONTH(A1753)))))</f>
        <v/>
      </c>
    </row>
    <row r="1754" customFormat="false" ht="15" hidden="false" customHeight="false" outlineLevel="0" collapsed="false">
      <c r="H1754" s="0" t="str">
        <f aca="false">IF(B1754="","",IF(COUNTIF(Campaigns!$A$7:$A$300,B1754)&gt;0,"✓","⚠ add to Campaigns tab"))</f>
        <v/>
      </c>
      <c r="I1754" s="84" t="str">
        <f aca="false">IF(C1754="","",C1754*IF(Settings!$B$24=Settings!$C$6,1,IF(Settings!$B$24="USD",1/INDEX(Settings!$B$29:$B$40,MONTH(A1754)),INDEX(Settings!$B$29:$B$40,MONTH(A1754)))))</f>
        <v/>
      </c>
    </row>
    <row r="1755" customFormat="false" ht="15" hidden="false" customHeight="false" outlineLevel="0" collapsed="false">
      <c r="H1755" s="0" t="str">
        <f aca="false">IF(B1755="","",IF(COUNTIF(Campaigns!$A$7:$A$300,B1755)&gt;0,"✓","⚠ add to Campaigns tab"))</f>
        <v/>
      </c>
      <c r="I1755" s="84" t="str">
        <f aca="false">IF(C1755="","",C1755*IF(Settings!$B$24=Settings!$C$6,1,IF(Settings!$B$24="USD",1/INDEX(Settings!$B$29:$B$40,MONTH(A1755)),INDEX(Settings!$B$29:$B$40,MONTH(A1755)))))</f>
        <v/>
      </c>
    </row>
    <row r="1756" customFormat="false" ht="15" hidden="false" customHeight="false" outlineLevel="0" collapsed="false">
      <c r="H1756" s="0" t="str">
        <f aca="false">IF(B1756="","",IF(COUNTIF(Campaigns!$A$7:$A$300,B1756)&gt;0,"✓","⚠ add to Campaigns tab"))</f>
        <v/>
      </c>
      <c r="I1756" s="84" t="str">
        <f aca="false">IF(C1756="","",C1756*IF(Settings!$B$24=Settings!$C$6,1,IF(Settings!$B$24="USD",1/INDEX(Settings!$B$29:$B$40,MONTH(A1756)),INDEX(Settings!$B$29:$B$40,MONTH(A1756)))))</f>
        <v/>
      </c>
    </row>
    <row r="1757" customFormat="false" ht="15" hidden="false" customHeight="false" outlineLevel="0" collapsed="false">
      <c r="H1757" s="0" t="str">
        <f aca="false">IF(B1757="","",IF(COUNTIF(Campaigns!$A$7:$A$300,B1757)&gt;0,"✓","⚠ add to Campaigns tab"))</f>
        <v/>
      </c>
      <c r="I1757" s="84" t="str">
        <f aca="false">IF(C1757="","",C1757*IF(Settings!$B$24=Settings!$C$6,1,IF(Settings!$B$24="USD",1/INDEX(Settings!$B$29:$B$40,MONTH(A1757)),INDEX(Settings!$B$29:$B$40,MONTH(A1757)))))</f>
        <v/>
      </c>
    </row>
    <row r="1758" customFormat="false" ht="15" hidden="false" customHeight="false" outlineLevel="0" collapsed="false">
      <c r="H1758" s="0" t="str">
        <f aca="false">IF(B1758="","",IF(COUNTIF(Campaigns!$A$7:$A$300,B1758)&gt;0,"✓","⚠ add to Campaigns tab"))</f>
        <v/>
      </c>
      <c r="I1758" s="84" t="str">
        <f aca="false">IF(C1758="","",C1758*IF(Settings!$B$24=Settings!$C$6,1,IF(Settings!$B$24="USD",1/INDEX(Settings!$B$29:$B$40,MONTH(A1758)),INDEX(Settings!$B$29:$B$40,MONTH(A1758)))))</f>
        <v/>
      </c>
    </row>
    <row r="1759" customFormat="false" ht="15" hidden="false" customHeight="false" outlineLevel="0" collapsed="false">
      <c r="H1759" s="0" t="str">
        <f aca="false">IF(B1759="","",IF(COUNTIF(Campaigns!$A$7:$A$300,B1759)&gt;0,"✓","⚠ add to Campaigns tab"))</f>
        <v/>
      </c>
      <c r="I1759" s="84" t="str">
        <f aca="false">IF(C1759="","",C1759*IF(Settings!$B$24=Settings!$C$6,1,IF(Settings!$B$24="USD",1/INDEX(Settings!$B$29:$B$40,MONTH(A1759)),INDEX(Settings!$B$29:$B$40,MONTH(A1759)))))</f>
        <v/>
      </c>
    </row>
    <row r="1760" customFormat="false" ht="15" hidden="false" customHeight="false" outlineLevel="0" collapsed="false">
      <c r="H1760" s="0" t="str">
        <f aca="false">IF(B1760="","",IF(COUNTIF(Campaigns!$A$7:$A$300,B1760)&gt;0,"✓","⚠ add to Campaigns tab"))</f>
        <v/>
      </c>
      <c r="I1760" s="84" t="str">
        <f aca="false">IF(C1760="","",C1760*IF(Settings!$B$24=Settings!$C$6,1,IF(Settings!$B$24="USD",1/INDEX(Settings!$B$29:$B$40,MONTH(A1760)),INDEX(Settings!$B$29:$B$40,MONTH(A1760)))))</f>
        <v/>
      </c>
    </row>
    <row r="1761" customFormat="false" ht="15" hidden="false" customHeight="false" outlineLevel="0" collapsed="false">
      <c r="H1761" s="0" t="str">
        <f aca="false">IF(B1761="","",IF(COUNTIF(Campaigns!$A$7:$A$300,B1761)&gt;0,"✓","⚠ add to Campaigns tab"))</f>
        <v/>
      </c>
      <c r="I1761" s="84" t="str">
        <f aca="false">IF(C1761="","",C1761*IF(Settings!$B$24=Settings!$C$6,1,IF(Settings!$B$24="USD",1/INDEX(Settings!$B$29:$B$40,MONTH(A1761)),INDEX(Settings!$B$29:$B$40,MONTH(A1761)))))</f>
        <v/>
      </c>
    </row>
    <row r="1762" customFormat="false" ht="15" hidden="false" customHeight="false" outlineLevel="0" collapsed="false">
      <c r="H1762" s="0" t="str">
        <f aca="false">IF(B1762="","",IF(COUNTIF(Campaigns!$A$7:$A$300,B1762)&gt;0,"✓","⚠ add to Campaigns tab"))</f>
        <v/>
      </c>
      <c r="I1762" s="84" t="str">
        <f aca="false">IF(C1762="","",C1762*IF(Settings!$B$24=Settings!$C$6,1,IF(Settings!$B$24="USD",1/INDEX(Settings!$B$29:$B$40,MONTH(A1762)),INDEX(Settings!$B$29:$B$40,MONTH(A1762)))))</f>
        <v/>
      </c>
    </row>
    <row r="1763" customFormat="false" ht="15" hidden="false" customHeight="false" outlineLevel="0" collapsed="false">
      <c r="H1763" s="0" t="str">
        <f aca="false">IF(B1763="","",IF(COUNTIF(Campaigns!$A$7:$A$300,B1763)&gt;0,"✓","⚠ add to Campaigns tab"))</f>
        <v/>
      </c>
      <c r="I1763" s="84" t="str">
        <f aca="false">IF(C1763="","",C1763*IF(Settings!$B$24=Settings!$C$6,1,IF(Settings!$B$24="USD",1/INDEX(Settings!$B$29:$B$40,MONTH(A1763)),INDEX(Settings!$B$29:$B$40,MONTH(A1763)))))</f>
        <v/>
      </c>
    </row>
    <row r="1764" customFormat="false" ht="15" hidden="false" customHeight="false" outlineLevel="0" collapsed="false">
      <c r="H1764" s="0" t="str">
        <f aca="false">IF(B1764="","",IF(COUNTIF(Campaigns!$A$7:$A$300,B1764)&gt;0,"✓","⚠ add to Campaigns tab"))</f>
        <v/>
      </c>
      <c r="I1764" s="84" t="str">
        <f aca="false">IF(C1764="","",C1764*IF(Settings!$B$24=Settings!$C$6,1,IF(Settings!$B$24="USD",1/INDEX(Settings!$B$29:$B$40,MONTH(A1764)),INDEX(Settings!$B$29:$B$40,MONTH(A1764)))))</f>
        <v/>
      </c>
    </row>
    <row r="1765" customFormat="false" ht="15" hidden="false" customHeight="false" outlineLevel="0" collapsed="false">
      <c r="H1765" s="0" t="str">
        <f aca="false">IF(B1765="","",IF(COUNTIF(Campaigns!$A$7:$A$300,B1765)&gt;0,"✓","⚠ add to Campaigns tab"))</f>
        <v/>
      </c>
      <c r="I1765" s="84" t="str">
        <f aca="false">IF(C1765="","",C1765*IF(Settings!$B$24=Settings!$C$6,1,IF(Settings!$B$24="USD",1/INDEX(Settings!$B$29:$B$40,MONTH(A1765)),INDEX(Settings!$B$29:$B$40,MONTH(A1765)))))</f>
        <v/>
      </c>
    </row>
    <row r="1766" customFormat="false" ht="15" hidden="false" customHeight="false" outlineLevel="0" collapsed="false">
      <c r="H1766" s="0" t="str">
        <f aca="false">IF(B1766="","",IF(COUNTIF(Campaigns!$A$7:$A$300,B1766)&gt;0,"✓","⚠ add to Campaigns tab"))</f>
        <v/>
      </c>
      <c r="I1766" s="84" t="str">
        <f aca="false">IF(C1766="","",C1766*IF(Settings!$B$24=Settings!$C$6,1,IF(Settings!$B$24="USD",1/INDEX(Settings!$B$29:$B$40,MONTH(A1766)),INDEX(Settings!$B$29:$B$40,MONTH(A1766)))))</f>
        <v/>
      </c>
    </row>
    <row r="1767" customFormat="false" ht="15" hidden="false" customHeight="false" outlineLevel="0" collapsed="false">
      <c r="H1767" s="0" t="str">
        <f aca="false">IF(B1767="","",IF(COUNTIF(Campaigns!$A$7:$A$300,B1767)&gt;0,"✓","⚠ add to Campaigns tab"))</f>
        <v/>
      </c>
      <c r="I1767" s="84" t="str">
        <f aca="false">IF(C1767="","",C1767*IF(Settings!$B$24=Settings!$C$6,1,IF(Settings!$B$24="USD",1/INDEX(Settings!$B$29:$B$40,MONTH(A1767)),INDEX(Settings!$B$29:$B$40,MONTH(A1767)))))</f>
        <v/>
      </c>
    </row>
    <row r="1768" customFormat="false" ht="15" hidden="false" customHeight="false" outlineLevel="0" collapsed="false">
      <c r="H1768" s="0" t="str">
        <f aca="false">IF(B1768="","",IF(COUNTIF(Campaigns!$A$7:$A$300,B1768)&gt;0,"✓","⚠ add to Campaigns tab"))</f>
        <v/>
      </c>
      <c r="I1768" s="84" t="str">
        <f aca="false">IF(C1768="","",C1768*IF(Settings!$B$24=Settings!$C$6,1,IF(Settings!$B$24="USD",1/INDEX(Settings!$B$29:$B$40,MONTH(A1768)),INDEX(Settings!$B$29:$B$40,MONTH(A1768)))))</f>
        <v/>
      </c>
    </row>
    <row r="1769" customFormat="false" ht="15" hidden="false" customHeight="false" outlineLevel="0" collapsed="false">
      <c r="H1769" s="0" t="str">
        <f aca="false">IF(B1769="","",IF(COUNTIF(Campaigns!$A$7:$A$300,B1769)&gt;0,"✓","⚠ add to Campaigns tab"))</f>
        <v/>
      </c>
      <c r="I1769" s="84" t="str">
        <f aca="false">IF(C1769="","",C1769*IF(Settings!$B$24=Settings!$C$6,1,IF(Settings!$B$24="USD",1/INDEX(Settings!$B$29:$B$40,MONTH(A1769)),INDEX(Settings!$B$29:$B$40,MONTH(A1769)))))</f>
        <v/>
      </c>
    </row>
    <row r="1770" customFormat="false" ht="15" hidden="false" customHeight="false" outlineLevel="0" collapsed="false">
      <c r="H1770" s="0" t="str">
        <f aca="false">IF(B1770="","",IF(COUNTIF(Campaigns!$A$7:$A$300,B1770)&gt;0,"✓","⚠ add to Campaigns tab"))</f>
        <v/>
      </c>
      <c r="I1770" s="84" t="str">
        <f aca="false">IF(C1770="","",C1770*IF(Settings!$B$24=Settings!$C$6,1,IF(Settings!$B$24="USD",1/INDEX(Settings!$B$29:$B$40,MONTH(A1770)),INDEX(Settings!$B$29:$B$40,MONTH(A1770)))))</f>
        <v/>
      </c>
    </row>
    <row r="1771" customFormat="false" ht="15" hidden="false" customHeight="false" outlineLevel="0" collapsed="false">
      <c r="H1771" s="0" t="str">
        <f aca="false">IF(B1771="","",IF(COUNTIF(Campaigns!$A$7:$A$300,B1771)&gt;0,"✓","⚠ add to Campaigns tab"))</f>
        <v/>
      </c>
      <c r="I1771" s="84" t="str">
        <f aca="false">IF(C1771="","",C1771*IF(Settings!$B$24=Settings!$C$6,1,IF(Settings!$B$24="USD",1/INDEX(Settings!$B$29:$B$40,MONTH(A1771)),INDEX(Settings!$B$29:$B$40,MONTH(A1771)))))</f>
        <v/>
      </c>
    </row>
    <row r="1772" customFormat="false" ht="15" hidden="false" customHeight="false" outlineLevel="0" collapsed="false">
      <c r="H1772" s="0" t="str">
        <f aca="false">IF(B1772="","",IF(COUNTIF(Campaigns!$A$7:$A$300,B1772)&gt;0,"✓","⚠ add to Campaigns tab"))</f>
        <v/>
      </c>
      <c r="I1772" s="84" t="str">
        <f aca="false">IF(C1772="","",C1772*IF(Settings!$B$24=Settings!$C$6,1,IF(Settings!$B$24="USD",1/INDEX(Settings!$B$29:$B$40,MONTH(A1772)),INDEX(Settings!$B$29:$B$40,MONTH(A1772)))))</f>
        <v/>
      </c>
    </row>
    <row r="1773" customFormat="false" ht="15" hidden="false" customHeight="false" outlineLevel="0" collapsed="false">
      <c r="H1773" s="0" t="str">
        <f aca="false">IF(B1773="","",IF(COUNTIF(Campaigns!$A$7:$A$300,B1773)&gt;0,"✓","⚠ add to Campaigns tab"))</f>
        <v/>
      </c>
      <c r="I1773" s="84" t="str">
        <f aca="false">IF(C1773="","",C1773*IF(Settings!$B$24=Settings!$C$6,1,IF(Settings!$B$24="USD",1/INDEX(Settings!$B$29:$B$40,MONTH(A1773)),INDEX(Settings!$B$29:$B$40,MONTH(A1773)))))</f>
        <v/>
      </c>
    </row>
    <row r="1774" customFormat="false" ht="15" hidden="false" customHeight="false" outlineLevel="0" collapsed="false">
      <c r="H1774" s="0" t="str">
        <f aca="false">IF(B1774="","",IF(COUNTIF(Campaigns!$A$7:$A$300,B1774)&gt;0,"✓","⚠ add to Campaigns tab"))</f>
        <v/>
      </c>
      <c r="I1774" s="84" t="str">
        <f aca="false">IF(C1774="","",C1774*IF(Settings!$B$24=Settings!$C$6,1,IF(Settings!$B$24="USD",1/INDEX(Settings!$B$29:$B$40,MONTH(A1774)),INDEX(Settings!$B$29:$B$40,MONTH(A1774)))))</f>
        <v/>
      </c>
    </row>
    <row r="1775" customFormat="false" ht="15" hidden="false" customHeight="false" outlineLevel="0" collapsed="false">
      <c r="H1775" s="0" t="str">
        <f aca="false">IF(B1775="","",IF(COUNTIF(Campaigns!$A$7:$A$300,B1775)&gt;0,"✓","⚠ add to Campaigns tab"))</f>
        <v/>
      </c>
      <c r="I1775" s="84" t="str">
        <f aca="false">IF(C1775="","",C1775*IF(Settings!$B$24=Settings!$C$6,1,IF(Settings!$B$24="USD",1/INDEX(Settings!$B$29:$B$40,MONTH(A1775)),INDEX(Settings!$B$29:$B$40,MONTH(A1775)))))</f>
        <v/>
      </c>
    </row>
    <row r="1776" customFormat="false" ht="15" hidden="false" customHeight="false" outlineLevel="0" collapsed="false">
      <c r="H1776" s="0" t="str">
        <f aca="false">IF(B1776="","",IF(COUNTIF(Campaigns!$A$7:$A$300,B1776)&gt;0,"✓","⚠ add to Campaigns tab"))</f>
        <v/>
      </c>
      <c r="I1776" s="84" t="str">
        <f aca="false">IF(C1776="","",C1776*IF(Settings!$B$24=Settings!$C$6,1,IF(Settings!$B$24="USD",1/INDEX(Settings!$B$29:$B$40,MONTH(A1776)),INDEX(Settings!$B$29:$B$40,MONTH(A1776)))))</f>
        <v/>
      </c>
    </row>
    <row r="1777" customFormat="false" ht="15" hidden="false" customHeight="false" outlineLevel="0" collapsed="false">
      <c r="H1777" s="0" t="str">
        <f aca="false">IF(B1777="","",IF(COUNTIF(Campaigns!$A$7:$A$300,B1777)&gt;0,"✓","⚠ add to Campaigns tab"))</f>
        <v/>
      </c>
      <c r="I1777" s="84" t="str">
        <f aca="false">IF(C1777="","",C1777*IF(Settings!$B$24=Settings!$C$6,1,IF(Settings!$B$24="USD",1/INDEX(Settings!$B$29:$B$40,MONTH(A1777)),INDEX(Settings!$B$29:$B$40,MONTH(A1777)))))</f>
        <v/>
      </c>
    </row>
    <row r="1778" customFormat="false" ht="15" hidden="false" customHeight="false" outlineLevel="0" collapsed="false">
      <c r="H1778" s="0" t="str">
        <f aca="false">IF(B1778="","",IF(COUNTIF(Campaigns!$A$7:$A$300,B1778)&gt;0,"✓","⚠ add to Campaigns tab"))</f>
        <v/>
      </c>
      <c r="I1778" s="84" t="str">
        <f aca="false">IF(C1778="","",C1778*IF(Settings!$B$24=Settings!$C$6,1,IF(Settings!$B$24="USD",1/INDEX(Settings!$B$29:$B$40,MONTH(A1778)),INDEX(Settings!$B$29:$B$40,MONTH(A1778)))))</f>
        <v/>
      </c>
    </row>
    <row r="1779" customFormat="false" ht="15" hidden="false" customHeight="false" outlineLevel="0" collapsed="false">
      <c r="H1779" s="0" t="str">
        <f aca="false">IF(B1779="","",IF(COUNTIF(Campaigns!$A$7:$A$300,B1779)&gt;0,"✓","⚠ add to Campaigns tab"))</f>
        <v/>
      </c>
      <c r="I1779" s="84" t="str">
        <f aca="false">IF(C1779="","",C1779*IF(Settings!$B$24=Settings!$C$6,1,IF(Settings!$B$24="USD",1/INDEX(Settings!$B$29:$B$40,MONTH(A1779)),INDEX(Settings!$B$29:$B$40,MONTH(A1779)))))</f>
        <v/>
      </c>
    </row>
    <row r="1780" customFormat="false" ht="15" hidden="false" customHeight="false" outlineLevel="0" collapsed="false">
      <c r="H1780" s="0" t="str">
        <f aca="false">IF(B1780="","",IF(COUNTIF(Campaigns!$A$7:$A$300,B1780)&gt;0,"✓","⚠ add to Campaigns tab"))</f>
        <v/>
      </c>
      <c r="I1780" s="84" t="str">
        <f aca="false">IF(C1780="","",C1780*IF(Settings!$B$24=Settings!$C$6,1,IF(Settings!$B$24="USD",1/INDEX(Settings!$B$29:$B$40,MONTH(A1780)),INDEX(Settings!$B$29:$B$40,MONTH(A1780)))))</f>
        <v/>
      </c>
    </row>
    <row r="1781" customFormat="false" ht="15" hidden="false" customHeight="false" outlineLevel="0" collapsed="false">
      <c r="H1781" s="0" t="str">
        <f aca="false">IF(B1781="","",IF(COUNTIF(Campaigns!$A$7:$A$300,B1781)&gt;0,"✓","⚠ add to Campaigns tab"))</f>
        <v/>
      </c>
      <c r="I1781" s="84" t="str">
        <f aca="false">IF(C1781="","",C1781*IF(Settings!$B$24=Settings!$C$6,1,IF(Settings!$B$24="USD",1/INDEX(Settings!$B$29:$B$40,MONTH(A1781)),INDEX(Settings!$B$29:$B$40,MONTH(A1781)))))</f>
        <v/>
      </c>
    </row>
    <row r="1782" customFormat="false" ht="15" hidden="false" customHeight="false" outlineLevel="0" collapsed="false">
      <c r="H1782" s="0" t="str">
        <f aca="false">IF(B1782="","",IF(COUNTIF(Campaigns!$A$7:$A$300,B1782)&gt;0,"✓","⚠ add to Campaigns tab"))</f>
        <v/>
      </c>
      <c r="I1782" s="84" t="str">
        <f aca="false">IF(C1782="","",C1782*IF(Settings!$B$24=Settings!$C$6,1,IF(Settings!$B$24="USD",1/INDEX(Settings!$B$29:$B$40,MONTH(A1782)),INDEX(Settings!$B$29:$B$40,MONTH(A1782)))))</f>
        <v/>
      </c>
    </row>
    <row r="1783" customFormat="false" ht="15" hidden="false" customHeight="false" outlineLevel="0" collapsed="false">
      <c r="H1783" s="0" t="str">
        <f aca="false">IF(B1783="","",IF(COUNTIF(Campaigns!$A$7:$A$300,B1783)&gt;0,"✓","⚠ add to Campaigns tab"))</f>
        <v/>
      </c>
      <c r="I1783" s="84" t="str">
        <f aca="false">IF(C1783="","",C1783*IF(Settings!$B$24=Settings!$C$6,1,IF(Settings!$B$24="USD",1/INDEX(Settings!$B$29:$B$40,MONTH(A1783)),INDEX(Settings!$B$29:$B$40,MONTH(A1783)))))</f>
        <v/>
      </c>
    </row>
    <row r="1784" customFormat="false" ht="15" hidden="false" customHeight="false" outlineLevel="0" collapsed="false">
      <c r="H1784" s="0" t="str">
        <f aca="false">IF(B1784="","",IF(COUNTIF(Campaigns!$A$7:$A$300,B1784)&gt;0,"✓","⚠ add to Campaigns tab"))</f>
        <v/>
      </c>
      <c r="I1784" s="84" t="str">
        <f aca="false">IF(C1784="","",C1784*IF(Settings!$B$24=Settings!$C$6,1,IF(Settings!$B$24="USD",1/INDEX(Settings!$B$29:$B$40,MONTH(A1784)),INDEX(Settings!$B$29:$B$40,MONTH(A1784)))))</f>
        <v/>
      </c>
    </row>
    <row r="1785" customFormat="false" ht="15" hidden="false" customHeight="false" outlineLevel="0" collapsed="false">
      <c r="H1785" s="0" t="str">
        <f aca="false">IF(B1785="","",IF(COUNTIF(Campaigns!$A$7:$A$300,B1785)&gt;0,"✓","⚠ add to Campaigns tab"))</f>
        <v/>
      </c>
      <c r="I1785" s="84" t="str">
        <f aca="false">IF(C1785="","",C1785*IF(Settings!$B$24=Settings!$C$6,1,IF(Settings!$B$24="USD",1/INDEX(Settings!$B$29:$B$40,MONTH(A1785)),INDEX(Settings!$B$29:$B$40,MONTH(A1785)))))</f>
        <v/>
      </c>
    </row>
    <row r="1786" customFormat="false" ht="15" hidden="false" customHeight="false" outlineLevel="0" collapsed="false">
      <c r="H1786" s="0" t="str">
        <f aca="false">IF(B1786="","",IF(COUNTIF(Campaigns!$A$7:$A$300,B1786)&gt;0,"✓","⚠ add to Campaigns tab"))</f>
        <v/>
      </c>
      <c r="I1786" s="84" t="str">
        <f aca="false">IF(C1786="","",C1786*IF(Settings!$B$24=Settings!$C$6,1,IF(Settings!$B$24="USD",1/INDEX(Settings!$B$29:$B$40,MONTH(A1786)),INDEX(Settings!$B$29:$B$40,MONTH(A1786)))))</f>
        <v/>
      </c>
    </row>
    <row r="1787" customFormat="false" ht="15" hidden="false" customHeight="false" outlineLevel="0" collapsed="false">
      <c r="H1787" s="0" t="str">
        <f aca="false">IF(B1787="","",IF(COUNTIF(Campaigns!$A$7:$A$300,B1787)&gt;0,"✓","⚠ add to Campaigns tab"))</f>
        <v/>
      </c>
      <c r="I1787" s="84" t="str">
        <f aca="false">IF(C1787="","",C1787*IF(Settings!$B$24=Settings!$C$6,1,IF(Settings!$B$24="USD",1/INDEX(Settings!$B$29:$B$40,MONTH(A1787)),INDEX(Settings!$B$29:$B$40,MONTH(A1787)))))</f>
        <v/>
      </c>
    </row>
    <row r="1788" customFormat="false" ht="15" hidden="false" customHeight="false" outlineLevel="0" collapsed="false">
      <c r="H1788" s="0" t="str">
        <f aca="false">IF(B1788="","",IF(COUNTIF(Campaigns!$A$7:$A$300,B1788)&gt;0,"✓","⚠ add to Campaigns tab"))</f>
        <v/>
      </c>
      <c r="I1788" s="84" t="str">
        <f aca="false">IF(C1788="","",C1788*IF(Settings!$B$24=Settings!$C$6,1,IF(Settings!$B$24="USD",1/INDEX(Settings!$B$29:$B$40,MONTH(A1788)),INDEX(Settings!$B$29:$B$40,MONTH(A1788)))))</f>
        <v/>
      </c>
    </row>
    <row r="1789" customFormat="false" ht="15" hidden="false" customHeight="false" outlineLevel="0" collapsed="false">
      <c r="H1789" s="0" t="str">
        <f aca="false">IF(B1789="","",IF(COUNTIF(Campaigns!$A$7:$A$300,B1789)&gt;0,"✓","⚠ add to Campaigns tab"))</f>
        <v/>
      </c>
      <c r="I1789" s="84" t="str">
        <f aca="false">IF(C1789="","",C1789*IF(Settings!$B$24=Settings!$C$6,1,IF(Settings!$B$24="USD",1/INDEX(Settings!$B$29:$B$40,MONTH(A1789)),INDEX(Settings!$B$29:$B$40,MONTH(A1789)))))</f>
        <v/>
      </c>
    </row>
    <row r="1790" customFormat="false" ht="15" hidden="false" customHeight="false" outlineLevel="0" collapsed="false">
      <c r="H1790" s="0" t="str">
        <f aca="false">IF(B1790="","",IF(COUNTIF(Campaigns!$A$7:$A$300,B1790)&gt;0,"✓","⚠ add to Campaigns tab"))</f>
        <v/>
      </c>
      <c r="I1790" s="84" t="str">
        <f aca="false">IF(C1790="","",C1790*IF(Settings!$B$24=Settings!$C$6,1,IF(Settings!$B$24="USD",1/INDEX(Settings!$B$29:$B$40,MONTH(A1790)),INDEX(Settings!$B$29:$B$40,MONTH(A1790)))))</f>
        <v/>
      </c>
    </row>
    <row r="1791" customFormat="false" ht="15" hidden="false" customHeight="false" outlineLevel="0" collapsed="false">
      <c r="H1791" s="0" t="str">
        <f aca="false">IF(B1791="","",IF(COUNTIF(Campaigns!$A$7:$A$300,B1791)&gt;0,"✓","⚠ add to Campaigns tab"))</f>
        <v/>
      </c>
      <c r="I1791" s="84" t="str">
        <f aca="false">IF(C1791="","",C1791*IF(Settings!$B$24=Settings!$C$6,1,IF(Settings!$B$24="USD",1/INDEX(Settings!$B$29:$B$40,MONTH(A1791)),INDEX(Settings!$B$29:$B$40,MONTH(A1791)))))</f>
        <v/>
      </c>
    </row>
    <row r="1792" customFormat="false" ht="15" hidden="false" customHeight="false" outlineLevel="0" collapsed="false">
      <c r="H1792" s="0" t="str">
        <f aca="false">IF(B1792="","",IF(COUNTIF(Campaigns!$A$7:$A$300,B1792)&gt;0,"✓","⚠ add to Campaigns tab"))</f>
        <v/>
      </c>
      <c r="I1792" s="84" t="str">
        <f aca="false">IF(C1792="","",C1792*IF(Settings!$B$24=Settings!$C$6,1,IF(Settings!$B$24="USD",1/INDEX(Settings!$B$29:$B$40,MONTH(A1792)),INDEX(Settings!$B$29:$B$40,MONTH(A1792)))))</f>
        <v/>
      </c>
    </row>
    <row r="1793" customFormat="false" ht="15" hidden="false" customHeight="false" outlineLevel="0" collapsed="false">
      <c r="H1793" s="0" t="str">
        <f aca="false">IF(B1793="","",IF(COUNTIF(Campaigns!$A$7:$A$300,B1793)&gt;0,"✓","⚠ add to Campaigns tab"))</f>
        <v/>
      </c>
      <c r="I1793" s="84" t="str">
        <f aca="false">IF(C1793="","",C1793*IF(Settings!$B$24=Settings!$C$6,1,IF(Settings!$B$24="USD",1/INDEX(Settings!$B$29:$B$40,MONTH(A1793)),INDEX(Settings!$B$29:$B$40,MONTH(A1793)))))</f>
        <v/>
      </c>
    </row>
    <row r="1794" customFormat="false" ht="15" hidden="false" customHeight="false" outlineLevel="0" collapsed="false">
      <c r="H1794" s="0" t="str">
        <f aca="false">IF(B1794="","",IF(COUNTIF(Campaigns!$A$7:$A$300,B1794)&gt;0,"✓","⚠ add to Campaigns tab"))</f>
        <v/>
      </c>
      <c r="I1794" s="84" t="str">
        <f aca="false">IF(C1794="","",C1794*IF(Settings!$B$24=Settings!$C$6,1,IF(Settings!$B$24="USD",1/INDEX(Settings!$B$29:$B$40,MONTH(A1794)),INDEX(Settings!$B$29:$B$40,MONTH(A1794)))))</f>
        <v/>
      </c>
    </row>
    <row r="1795" customFormat="false" ht="15" hidden="false" customHeight="false" outlineLevel="0" collapsed="false">
      <c r="H1795" s="0" t="str">
        <f aca="false">IF(B1795="","",IF(COUNTIF(Campaigns!$A$7:$A$300,B1795)&gt;0,"✓","⚠ add to Campaigns tab"))</f>
        <v/>
      </c>
      <c r="I1795" s="84" t="str">
        <f aca="false">IF(C1795="","",C1795*IF(Settings!$B$24=Settings!$C$6,1,IF(Settings!$B$24="USD",1/INDEX(Settings!$B$29:$B$40,MONTH(A1795)),INDEX(Settings!$B$29:$B$40,MONTH(A1795)))))</f>
        <v/>
      </c>
    </row>
    <row r="1796" customFormat="false" ht="15" hidden="false" customHeight="false" outlineLevel="0" collapsed="false">
      <c r="H1796" s="0" t="str">
        <f aca="false">IF(B1796="","",IF(COUNTIF(Campaigns!$A$7:$A$300,B1796)&gt;0,"✓","⚠ add to Campaigns tab"))</f>
        <v/>
      </c>
      <c r="I1796" s="84" t="str">
        <f aca="false">IF(C1796="","",C1796*IF(Settings!$B$24=Settings!$C$6,1,IF(Settings!$B$24="USD",1/INDEX(Settings!$B$29:$B$40,MONTH(A1796)),INDEX(Settings!$B$29:$B$40,MONTH(A1796)))))</f>
        <v/>
      </c>
    </row>
    <row r="1797" customFormat="false" ht="15" hidden="false" customHeight="false" outlineLevel="0" collapsed="false">
      <c r="H1797" s="0" t="str">
        <f aca="false">IF(B1797="","",IF(COUNTIF(Campaigns!$A$7:$A$300,B1797)&gt;0,"✓","⚠ add to Campaigns tab"))</f>
        <v/>
      </c>
      <c r="I1797" s="84" t="str">
        <f aca="false">IF(C1797="","",C1797*IF(Settings!$B$24=Settings!$C$6,1,IF(Settings!$B$24="USD",1/INDEX(Settings!$B$29:$B$40,MONTH(A1797)),INDEX(Settings!$B$29:$B$40,MONTH(A1797)))))</f>
        <v/>
      </c>
    </row>
    <row r="1798" customFormat="false" ht="15" hidden="false" customHeight="false" outlineLevel="0" collapsed="false">
      <c r="H1798" s="0" t="str">
        <f aca="false">IF(B1798="","",IF(COUNTIF(Campaigns!$A$7:$A$300,B1798)&gt;0,"✓","⚠ add to Campaigns tab"))</f>
        <v/>
      </c>
      <c r="I1798" s="84" t="str">
        <f aca="false">IF(C1798="","",C1798*IF(Settings!$B$24=Settings!$C$6,1,IF(Settings!$B$24="USD",1/INDEX(Settings!$B$29:$B$40,MONTH(A1798)),INDEX(Settings!$B$29:$B$40,MONTH(A1798)))))</f>
        <v/>
      </c>
    </row>
    <row r="1799" customFormat="false" ht="15" hidden="false" customHeight="false" outlineLevel="0" collapsed="false">
      <c r="H1799" s="0" t="str">
        <f aca="false">IF(B1799="","",IF(COUNTIF(Campaigns!$A$7:$A$300,B1799)&gt;0,"✓","⚠ add to Campaigns tab"))</f>
        <v/>
      </c>
      <c r="I1799" s="84" t="str">
        <f aca="false">IF(C1799="","",C1799*IF(Settings!$B$24=Settings!$C$6,1,IF(Settings!$B$24="USD",1/INDEX(Settings!$B$29:$B$40,MONTH(A1799)),INDEX(Settings!$B$29:$B$40,MONTH(A1799)))))</f>
        <v/>
      </c>
    </row>
    <row r="1800" customFormat="false" ht="15" hidden="false" customHeight="false" outlineLevel="0" collapsed="false">
      <c r="H1800" s="0" t="str">
        <f aca="false">IF(B1800="","",IF(COUNTIF(Campaigns!$A$7:$A$300,B1800)&gt;0,"✓","⚠ add to Campaigns tab"))</f>
        <v/>
      </c>
      <c r="I1800" s="84" t="str">
        <f aca="false">IF(C1800="","",C1800*IF(Settings!$B$24=Settings!$C$6,1,IF(Settings!$B$24="USD",1/INDEX(Settings!$B$29:$B$40,MONTH(A1800)),INDEX(Settings!$B$29:$B$40,MONTH(A1800)))))</f>
        <v/>
      </c>
    </row>
    <row r="1801" customFormat="false" ht="15" hidden="false" customHeight="false" outlineLevel="0" collapsed="false">
      <c r="H1801" s="0" t="str">
        <f aca="false">IF(B1801="","",IF(COUNTIF(Campaigns!$A$7:$A$300,B1801)&gt;0,"✓","⚠ add to Campaigns tab"))</f>
        <v/>
      </c>
      <c r="I1801" s="84" t="str">
        <f aca="false">IF(C1801="","",C1801*IF(Settings!$B$24=Settings!$C$6,1,IF(Settings!$B$24="USD",1/INDEX(Settings!$B$29:$B$40,MONTH(A1801)),INDEX(Settings!$B$29:$B$40,MONTH(A1801)))))</f>
        <v/>
      </c>
    </row>
    <row r="1802" customFormat="false" ht="15" hidden="false" customHeight="false" outlineLevel="0" collapsed="false">
      <c r="H1802" s="0" t="str">
        <f aca="false">IF(B1802="","",IF(COUNTIF(Campaigns!$A$7:$A$300,B1802)&gt;0,"✓","⚠ add to Campaigns tab"))</f>
        <v/>
      </c>
      <c r="I1802" s="84" t="str">
        <f aca="false">IF(C1802="","",C1802*IF(Settings!$B$24=Settings!$C$6,1,IF(Settings!$B$24="USD",1/INDEX(Settings!$B$29:$B$40,MONTH(A1802)),INDEX(Settings!$B$29:$B$40,MONTH(A1802)))))</f>
        <v/>
      </c>
    </row>
    <row r="1803" customFormat="false" ht="15" hidden="false" customHeight="false" outlineLevel="0" collapsed="false">
      <c r="H1803" s="0" t="str">
        <f aca="false">IF(B1803="","",IF(COUNTIF(Campaigns!$A$7:$A$300,B1803)&gt;0,"✓","⚠ add to Campaigns tab"))</f>
        <v/>
      </c>
      <c r="I1803" s="84" t="str">
        <f aca="false">IF(C1803="","",C1803*IF(Settings!$B$24=Settings!$C$6,1,IF(Settings!$B$24="USD",1/INDEX(Settings!$B$29:$B$40,MONTH(A1803)),INDEX(Settings!$B$29:$B$40,MONTH(A1803)))))</f>
        <v/>
      </c>
    </row>
    <row r="1804" customFormat="false" ht="15" hidden="false" customHeight="false" outlineLevel="0" collapsed="false">
      <c r="H1804" s="0" t="str">
        <f aca="false">IF(B1804="","",IF(COUNTIF(Campaigns!$A$7:$A$300,B1804)&gt;0,"✓","⚠ add to Campaigns tab"))</f>
        <v/>
      </c>
      <c r="I1804" s="84" t="str">
        <f aca="false">IF(C1804="","",C1804*IF(Settings!$B$24=Settings!$C$6,1,IF(Settings!$B$24="USD",1/INDEX(Settings!$B$29:$B$40,MONTH(A1804)),INDEX(Settings!$B$29:$B$40,MONTH(A1804)))))</f>
        <v/>
      </c>
    </row>
    <row r="1805" customFormat="false" ht="15" hidden="false" customHeight="false" outlineLevel="0" collapsed="false">
      <c r="H1805" s="0" t="str">
        <f aca="false">IF(B1805="","",IF(COUNTIF(Campaigns!$A$7:$A$300,B1805)&gt;0,"✓","⚠ add to Campaigns tab"))</f>
        <v/>
      </c>
      <c r="I1805" s="84" t="str">
        <f aca="false">IF(C1805="","",C1805*IF(Settings!$B$24=Settings!$C$6,1,IF(Settings!$B$24="USD",1/INDEX(Settings!$B$29:$B$40,MONTH(A1805)),INDEX(Settings!$B$29:$B$40,MONTH(A1805)))))</f>
        <v/>
      </c>
    </row>
    <row r="1806" customFormat="false" ht="15" hidden="false" customHeight="false" outlineLevel="0" collapsed="false">
      <c r="H1806" s="0" t="str">
        <f aca="false">IF(B1806="","",IF(COUNTIF(Campaigns!$A$7:$A$300,B1806)&gt;0,"✓","⚠ add to Campaigns tab"))</f>
        <v/>
      </c>
      <c r="I1806" s="84" t="str">
        <f aca="false">IF(C1806="","",C1806*IF(Settings!$B$24=Settings!$C$6,1,IF(Settings!$B$24="USD",1/INDEX(Settings!$B$29:$B$40,MONTH(A1806)),INDEX(Settings!$B$29:$B$40,MONTH(A1806)))))</f>
        <v/>
      </c>
    </row>
    <row r="1807" customFormat="false" ht="15" hidden="false" customHeight="false" outlineLevel="0" collapsed="false">
      <c r="H1807" s="0" t="str">
        <f aca="false">IF(B1807="","",IF(COUNTIF(Campaigns!$A$7:$A$300,B1807)&gt;0,"✓","⚠ add to Campaigns tab"))</f>
        <v/>
      </c>
      <c r="I1807" s="84" t="str">
        <f aca="false">IF(C1807="","",C1807*IF(Settings!$B$24=Settings!$C$6,1,IF(Settings!$B$24="USD",1/INDEX(Settings!$B$29:$B$40,MONTH(A1807)),INDEX(Settings!$B$29:$B$40,MONTH(A1807)))))</f>
        <v/>
      </c>
    </row>
    <row r="1808" customFormat="false" ht="15" hidden="false" customHeight="false" outlineLevel="0" collapsed="false">
      <c r="H1808" s="0" t="str">
        <f aca="false">IF(B1808="","",IF(COUNTIF(Campaigns!$A$7:$A$300,B1808)&gt;0,"✓","⚠ add to Campaigns tab"))</f>
        <v/>
      </c>
      <c r="I1808" s="84" t="str">
        <f aca="false">IF(C1808="","",C1808*IF(Settings!$B$24=Settings!$C$6,1,IF(Settings!$B$24="USD",1/INDEX(Settings!$B$29:$B$40,MONTH(A1808)),INDEX(Settings!$B$29:$B$40,MONTH(A1808)))))</f>
        <v/>
      </c>
    </row>
    <row r="1809" customFormat="false" ht="15" hidden="false" customHeight="false" outlineLevel="0" collapsed="false">
      <c r="H1809" s="0" t="str">
        <f aca="false">IF(B1809="","",IF(COUNTIF(Campaigns!$A$7:$A$300,B1809)&gt;0,"✓","⚠ add to Campaigns tab"))</f>
        <v/>
      </c>
      <c r="I1809" s="84" t="str">
        <f aca="false">IF(C1809="","",C1809*IF(Settings!$B$24=Settings!$C$6,1,IF(Settings!$B$24="USD",1/INDEX(Settings!$B$29:$B$40,MONTH(A1809)),INDEX(Settings!$B$29:$B$40,MONTH(A1809)))))</f>
        <v/>
      </c>
    </row>
    <row r="1810" customFormat="false" ht="15" hidden="false" customHeight="false" outlineLevel="0" collapsed="false">
      <c r="H1810" s="0" t="str">
        <f aca="false">IF(B1810="","",IF(COUNTIF(Campaigns!$A$7:$A$300,B1810)&gt;0,"✓","⚠ add to Campaigns tab"))</f>
        <v/>
      </c>
      <c r="I1810" s="84" t="str">
        <f aca="false">IF(C1810="","",C1810*IF(Settings!$B$24=Settings!$C$6,1,IF(Settings!$B$24="USD",1/INDEX(Settings!$B$29:$B$40,MONTH(A1810)),INDEX(Settings!$B$29:$B$40,MONTH(A1810)))))</f>
        <v/>
      </c>
    </row>
    <row r="1811" customFormat="false" ht="15" hidden="false" customHeight="false" outlineLevel="0" collapsed="false">
      <c r="H1811" s="0" t="str">
        <f aca="false">IF(B1811="","",IF(COUNTIF(Campaigns!$A$7:$A$300,B1811)&gt;0,"✓","⚠ add to Campaigns tab"))</f>
        <v/>
      </c>
      <c r="I1811" s="84" t="str">
        <f aca="false">IF(C1811="","",C1811*IF(Settings!$B$24=Settings!$C$6,1,IF(Settings!$B$24="USD",1/INDEX(Settings!$B$29:$B$40,MONTH(A1811)),INDEX(Settings!$B$29:$B$40,MONTH(A1811)))))</f>
        <v/>
      </c>
    </row>
    <row r="1812" customFormat="false" ht="15" hidden="false" customHeight="false" outlineLevel="0" collapsed="false">
      <c r="H1812" s="0" t="str">
        <f aca="false">IF(B1812="","",IF(COUNTIF(Campaigns!$A$7:$A$300,B1812)&gt;0,"✓","⚠ add to Campaigns tab"))</f>
        <v/>
      </c>
      <c r="I1812" s="84" t="str">
        <f aca="false">IF(C1812="","",C1812*IF(Settings!$B$24=Settings!$C$6,1,IF(Settings!$B$24="USD",1/INDEX(Settings!$B$29:$B$40,MONTH(A1812)),INDEX(Settings!$B$29:$B$40,MONTH(A1812)))))</f>
        <v/>
      </c>
    </row>
    <row r="1813" customFormat="false" ht="15" hidden="false" customHeight="false" outlineLevel="0" collapsed="false">
      <c r="H1813" s="0" t="str">
        <f aca="false">IF(B1813="","",IF(COUNTIF(Campaigns!$A$7:$A$300,B1813)&gt;0,"✓","⚠ add to Campaigns tab"))</f>
        <v/>
      </c>
      <c r="I1813" s="84" t="str">
        <f aca="false">IF(C1813="","",C1813*IF(Settings!$B$24=Settings!$C$6,1,IF(Settings!$B$24="USD",1/INDEX(Settings!$B$29:$B$40,MONTH(A1813)),INDEX(Settings!$B$29:$B$40,MONTH(A1813)))))</f>
        <v/>
      </c>
    </row>
    <row r="1814" customFormat="false" ht="15" hidden="false" customHeight="false" outlineLevel="0" collapsed="false">
      <c r="H1814" s="0" t="str">
        <f aca="false">IF(B1814="","",IF(COUNTIF(Campaigns!$A$7:$A$300,B1814)&gt;0,"✓","⚠ add to Campaigns tab"))</f>
        <v/>
      </c>
      <c r="I1814" s="84" t="str">
        <f aca="false">IF(C1814="","",C1814*IF(Settings!$B$24=Settings!$C$6,1,IF(Settings!$B$24="USD",1/INDEX(Settings!$B$29:$B$40,MONTH(A1814)),INDEX(Settings!$B$29:$B$40,MONTH(A1814)))))</f>
        <v/>
      </c>
    </row>
    <row r="1815" customFormat="false" ht="15" hidden="false" customHeight="false" outlineLevel="0" collapsed="false">
      <c r="H1815" s="0" t="str">
        <f aca="false">IF(B1815="","",IF(COUNTIF(Campaigns!$A$7:$A$300,B1815)&gt;0,"✓","⚠ add to Campaigns tab"))</f>
        <v/>
      </c>
      <c r="I1815" s="84" t="str">
        <f aca="false">IF(C1815="","",C1815*IF(Settings!$B$24=Settings!$C$6,1,IF(Settings!$B$24="USD",1/INDEX(Settings!$B$29:$B$40,MONTH(A1815)),INDEX(Settings!$B$29:$B$40,MONTH(A1815)))))</f>
        <v/>
      </c>
    </row>
    <row r="1816" customFormat="false" ht="15" hidden="false" customHeight="false" outlineLevel="0" collapsed="false">
      <c r="H1816" s="0" t="str">
        <f aca="false">IF(B1816="","",IF(COUNTIF(Campaigns!$A$7:$A$300,B1816)&gt;0,"✓","⚠ add to Campaigns tab"))</f>
        <v/>
      </c>
      <c r="I1816" s="84" t="str">
        <f aca="false">IF(C1816="","",C1816*IF(Settings!$B$24=Settings!$C$6,1,IF(Settings!$B$24="USD",1/INDEX(Settings!$B$29:$B$40,MONTH(A1816)),INDEX(Settings!$B$29:$B$40,MONTH(A1816)))))</f>
        <v/>
      </c>
    </row>
    <row r="1817" customFormat="false" ht="15" hidden="false" customHeight="false" outlineLevel="0" collapsed="false">
      <c r="H1817" s="0" t="str">
        <f aca="false">IF(B1817="","",IF(COUNTIF(Campaigns!$A$7:$A$300,B1817)&gt;0,"✓","⚠ add to Campaigns tab"))</f>
        <v/>
      </c>
      <c r="I1817" s="84" t="str">
        <f aca="false">IF(C1817="","",C1817*IF(Settings!$B$24=Settings!$C$6,1,IF(Settings!$B$24="USD",1/INDEX(Settings!$B$29:$B$40,MONTH(A1817)),INDEX(Settings!$B$29:$B$40,MONTH(A1817)))))</f>
        <v/>
      </c>
    </row>
    <row r="1818" customFormat="false" ht="15" hidden="false" customHeight="false" outlineLevel="0" collapsed="false">
      <c r="H1818" s="0" t="str">
        <f aca="false">IF(B1818="","",IF(COUNTIF(Campaigns!$A$7:$A$300,B1818)&gt;0,"✓","⚠ add to Campaigns tab"))</f>
        <v/>
      </c>
      <c r="I1818" s="84" t="str">
        <f aca="false">IF(C1818="","",C1818*IF(Settings!$B$24=Settings!$C$6,1,IF(Settings!$B$24="USD",1/INDEX(Settings!$B$29:$B$40,MONTH(A1818)),INDEX(Settings!$B$29:$B$40,MONTH(A1818)))))</f>
        <v/>
      </c>
    </row>
    <row r="1819" customFormat="false" ht="15" hidden="false" customHeight="false" outlineLevel="0" collapsed="false">
      <c r="H1819" s="0" t="str">
        <f aca="false">IF(B1819="","",IF(COUNTIF(Campaigns!$A$7:$A$300,B1819)&gt;0,"✓","⚠ add to Campaigns tab"))</f>
        <v/>
      </c>
      <c r="I1819" s="84" t="str">
        <f aca="false">IF(C1819="","",C1819*IF(Settings!$B$24=Settings!$C$6,1,IF(Settings!$B$24="USD",1/INDEX(Settings!$B$29:$B$40,MONTH(A1819)),INDEX(Settings!$B$29:$B$40,MONTH(A1819)))))</f>
        <v/>
      </c>
    </row>
    <row r="1820" customFormat="false" ht="15" hidden="false" customHeight="false" outlineLevel="0" collapsed="false">
      <c r="H1820" s="0" t="str">
        <f aca="false">IF(B1820="","",IF(COUNTIF(Campaigns!$A$7:$A$300,B1820)&gt;0,"✓","⚠ add to Campaigns tab"))</f>
        <v/>
      </c>
      <c r="I1820" s="84" t="str">
        <f aca="false">IF(C1820="","",C1820*IF(Settings!$B$24=Settings!$C$6,1,IF(Settings!$B$24="USD",1/INDEX(Settings!$B$29:$B$40,MONTH(A1820)),INDEX(Settings!$B$29:$B$40,MONTH(A1820)))))</f>
        <v/>
      </c>
    </row>
    <row r="1821" customFormat="false" ht="15" hidden="false" customHeight="false" outlineLevel="0" collapsed="false">
      <c r="H1821" s="0" t="str">
        <f aca="false">IF(B1821="","",IF(COUNTIF(Campaigns!$A$7:$A$300,B1821)&gt;0,"✓","⚠ add to Campaigns tab"))</f>
        <v/>
      </c>
      <c r="I1821" s="84" t="str">
        <f aca="false">IF(C1821="","",C1821*IF(Settings!$B$24=Settings!$C$6,1,IF(Settings!$B$24="USD",1/INDEX(Settings!$B$29:$B$40,MONTH(A1821)),INDEX(Settings!$B$29:$B$40,MONTH(A1821)))))</f>
        <v/>
      </c>
    </row>
    <row r="1822" customFormat="false" ht="15" hidden="false" customHeight="false" outlineLevel="0" collapsed="false">
      <c r="H1822" s="0" t="str">
        <f aca="false">IF(B1822="","",IF(COUNTIF(Campaigns!$A$7:$A$300,B1822)&gt;0,"✓","⚠ add to Campaigns tab"))</f>
        <v/>
      </c>
      <c r="I1822" s="84" t="str">
        <f aca="false">IF(C1822="","",C1822*IF(Settings!$B$24=Settings!$C$6,1,IF(Settings!$B$24="USD",1/INDEX(Settings!$B$29:$B$40,MONTH(A1822)),INDEX(Settings!$B$29:$B$40,MONTH(A1822)))))</f>
        <v/>
      </c>
    </row>
    <row r="1823" customFormat="false" ht="15" hidden="false" customHeight="false" outlineLevel="0" collapsed="false">
      <c r="H1823" s="0" t="str">
        <f aca="false">IF(B1823="","",IF(COUNTIF(Campaigns!$A$7:$A$300,B1823)&gt;0,"✓","⚠ add to Campaigns tab"))</f>
        <v/>
      </c>
      <c r="I1823" s="84" t="str">
        <f aca="false">IF(C1823="","",C1823*IF(Settings!$B$24=Settings!$C$6,1,IF(Settings!$B$24="USD",1/INDEX(Settings!$B$29:$B$40,MONTH(A1823)),INDEX(Settings!$B$29:$B$40,MONTH(A1823)))))</f>
        <v/>
      </c>
    </row>
    <row r="1824" customFormat="false" ht="15" hidden="false" customHeight="false" outlineLevel="0" collapsed="false">
      <c r="H1824" s="0" t="str">
        <f aca="false">IF(B1824="","",IF(COUNTIF(Campaigns!$A$7:$A$300,B1824)&gt;0,"✓","⚠ add to Campaigns tab"))</f>
        <v/>
      </c>
      <c r="I1824" s="84" t="str">
        <f aca="false">IF(C1824="","",C1824*IF(Settings!$B$24=Settings!$C$6,1,IF(Settings!$B$24="USD",1/INDEX(Settings!$B$29:$B$40,MONTH(A1824)),INDEX(Settings!$B$29:$B$40,MONTH(A1824)))))</f>
        <v/>
      </c>
    </row>
    <row r="1825" customFormat="false" ht="15" hidden="false" customHeight="false" outlineLevel="0" collapsed="false">
      <c r="H1825" s="0" t="str">
        <f aca="false">IF(B1825="","",IF(COUNTIF(Campaigns!$A$7:$A$300,B1825)&gt;0,"✓","⚠ add to Campaigns tab"))</f>
        <v/>
      </c>
      <c r="I1825" s="84" t="str">
        <f aca="false">IF(C1825="","",C1825*IF(Settings!$B$24=Settings!$C$6,1,IF(Settings!$B$24="USD",1/INDEX(Settings!$B$29:$B$40,MONTH(A1825)),INDEX(Settings!$B$29:$B$40,MONTH(A1825)))))</f>
        <v/>
      </c>
    </row>
    <row r="1826" customFormat="false" ht="15" hidden="false" customHeight="false" outlineLevel="0" collapsed="false">
      <c r="H1826" s="0" t="str">
        <f aca="false">IF(B1826="","",IF(COUNTIF(Campaigns!$A$7:$A$300,B1826)&gt;0,"✓","⚠ add to Campaigns tab"))</f>
        <v/>
      </c>
      <c r="I1826" s="84" t="str">
        <f aca="false">IF(C1826="","",C1826*IF(Settings!$B$24=Settings!$C$6,1,IF(Settings!$B$24="USD",1/INDEX(Settings!$B$29:$B$40,MONTH(A1826)),INDEX(Settings!$B$29:$B$40,MONTH(A1826)))))</f>
        <v/>
      </c>
    </row>
    <row r="1827" customFormat="false" ht="15" hidden="false" customHeight="false" outlineLevel="0" collapsed="false">
      <c r="H1827" s="0" t="str">
        <f aca="false">IF(B1827="","",IF(COUNTIF(Campaigns!$A$7:$A$300,B1827)&gt;0,"✓","⚠ add to Campaigns tab"))</f>
        <v/>
      </c>
      <c r="I1827" s="84" t="str">
        <f aca="false">IF(C1827="","",C1827*IF(Settings!$B$24=Settings!$C$6,1,IF(Settings!$B$24="USD",1/INDEX(Settings!$B$29:$B$40,MONTH(A1827)),INDEX(Settings!$B$29:$B$40,MONTH(A1827)))))</f>
        <v/>
      </c>
    </row>
    <row r="1828" customFormat="false" ht="15" hidden="false" customHeight="false" outlineLevel="0" collapsed="false">
      <c r="H1828" s="0" t="str">
        <f aca="false">IF(B1828="","",IF(COUNTIF(Campaigns!$A$7:$A$300,B1828)&gt;0,"✓","⚠ add to Campaigns tab"))</f>
        <v/>
      </c>
      <c r="I1828" s="84" t="str">
        <f aca="false">IF(C1828="","",C1828*IF(Settings!$B$24=Settings!$C$6,1,IF(Settings!$B$24="USD",1/INDEX(Settings!$B$29:$B$40,MONTH(A1828)),INDEX(Settings!$B$29:$B$40,MONTH(A1828)))))</f>
        <v/>
      </c>
    </row>
    <row r="1829" customFormat="false" ht="15" hidden="false" customHeight="false" outlineLevel="0" collapsed="false">
      <c r="H1829" s="0" t="str">
        <f aca="false">IF(B1829="","",IF(COUNTIF(Campaigns!$A$7:$A$300,B1829)&gt;0,"✓","⚠ add to Campaigns tab"))</f>
        <v/>
      </c>
      <c r="I1829" s="84" t="str">
        <f aca="false">IF(C1829="","",C1829*IF(Settings!$B$24=Settings!$C$6,1,IF(Settings!$B$24="USD",1/INDEX(Settings!$B$29:$B$40,MONTH(A1829)),INDEX(Settings!$B$29:$B$40,MONTH(A1829)))))</f>
        <v/>
      </c>
    </row>
    <row r="1830" customFormat="false" ht="15" hidden="false" customHeight="false" outlineLevel="0" collapsed="false">
      <c r="H1830" s="0" t="str">
        <f aca="false">IF(B1830="","",IF(COUNTIF(Campaigns!$A$7:$A$300,B1830)&gt;0,"✓","⚠ add to Campaigns tab"))</f>
        <v/>
      </c>
      <c r="I1830" s="84" t="str">
        <f aca="false">IF(C1830="","",C1830*IF(Settings!$B$24=Settings!$C$6,1,IF(Settings!$B$24="USD",1/INDEX(Settings!$B$29:$B$40,MONTH(A1830)),INDEX(Settings!$B$29:$B$40,MONTH(A1830)))))</f>
        <v/>
      </c>
    </row>
    <row r="1831" customFormat="false" ht="15" hidden="false" customHeight="false" outlineLevel="0" collapsed="false">
      <c r="H1831" s="0" t="str">
        <f aca="false">IF(B1831="","",IF(COUNTIF(Campaigns!$A$7:$A$300,B1831)&gt;0,"✓","⚠ add to Campaigns tab"))</f>
        <v/>
      </c>
      <c r="I1831" s="84" t="str">
        <f aca="false">IF(C1831="","",C1831*IF(Settings!$B$24=Settings!$C$6,1,IF(Settings!$B$24="USD",1/INDEX(Settings!$B$29:$B$40,MONTH(A1831)),INDEX(Settings!$B$29:$B$40,MONTH(A1831)))))</f>
        <v/>
      </c>
    </row>
    <row r="1832" customFormat="false" ht="15" hidden="false" customHeight="false" outlineLevel="0" collapsed="false">
      <c r="H1832" s="0" t="str">
        <f aca="false">IF(B1832="","",IF(COUNTIF(Campaigns!$A$7:$A$300,B1832)&gt;0,"✓","⚠ add to Campaigns tab"))</f>
        <v/>
      </c>
      <c r="I1832" s="84" t="str">
        <f aca="false">IF(C1832="","",C1832*IF(Settings!$B$24=Settings!$C$6,1,IF(Settings!$B$24="USD",1/INDEX(Settings!$B$29:$B$40,MONTH(A1832)),INDEX(Settings!$B$29:$B$40,MONTH(A1832)))))</f>
        <v/>
      </c>
    </row>
    <row r="1833" customFormat="false" ht="15" hidden="false" customHeight="false" outlineLevel="0" collapsed="false">
      <c r="H1833" s="0" t="str">
        <f aca="false">IF(B1833="","",IF(COUNTIF(Campaigns!$A$7:$A$300,B1833)&gt;0,"✓","⚠ add to Campaigns tab"))</f>
        <v/>
      </c>
      <c r="I1833" s="84" t="str">
        <f aca="false">IF(C1833="","",C1833*IF(Settings!$B$24=Settings!$C$6,1,IF(Settings!$B$24="USD",1/INDEX(Settings!$B$29:$B$40,MONTH(A1833)),INDEX(Settings!$B$29:$B$40,MONTH(A1833)))))</f>
        <v/>
      </c>
    </row>
    <row r="1834" customFormat="false" ht="15" hidden="false" customHeight="false" outlineLevel="0" collapsed="false">
      <c r="H1834" s="0" t="str">
        <f aca="false">IF(B1834="","",IF(COUNTIF(Campaigns!$A$7:$A$300,B1834)&gt;0,"✓","⚠ add to Campaigns tab"))</f>
        <v/>
      </c>
      <c r="I1834" s="84" t="str">
        <f aca="false">IF(C1834="","",C1834*IF(Settings!$B$24=Settings!$C$6,1,IF(Settings!$B$24="USD",1/INDEX(Settings!$B$29:$B$40,MONTH(A1834)),INDEX(Settings!$B$29:$B$40,MONTH(A1834)))))</f>
        <v/>
      </c>
    </row>
    <row r="1835" customFormat="false" ht="15" hidden="false" customHeight="false" outlineLevel="0" collapsed="false">
      <c r="H1835" s="0" t="str">
        <f aca="false">IF(B1835="","",IF(COUNTIF(Campaigns!$A$7:$A$300,B1835)&gt;0,"✓","⚠ add to Campaigns tab"))</f>
        <v/>
      </c>
      <c r="I1835" s="84" t="str">
        <f aca="false">IF(C1835="","",C1835*IF(Settings!$B$24=Settings!$C$6,1,IF(Settings!$B$24="USD",1/INDEX(Settings!$B$29:$B$40,MONTH(A1835)),INDEX(Settings!$B$29:$B$40,MONTH(A1835)))))</f>
        <v/>
      </c>
    </row>
    <row r="1836" customFormat="false" ht="15" hidden="false" customHeight="false" outlineLevel="0" collapsed="false">
      <c r="H1836" s="0" t="str">
        <f aca="false">IF(B1836="","",IF(COUNTIF(Campaigns!$A$7:$A$300,B1836)&gt;0,"✓","⚠ add to Campaigns tab"))</f>
        <v/>
      </c>
      <c r="I1836" s="84" t="str">
        <f aca="false">IF(C1836="","",C1836*IF(Settings!$B$24=Settings!$C$6,1,IF(Settings!$B$24="USD",1/INDEX(Settings!$B$29:$B$40,MONTH(A1836)),INDEX(Settings!$B$29:$B$40,MONTH(A1836)))))</f>
        <v/>
      </c>
    </row>
    <row r="1837" customFormat="false" ht="15" hidden="false" customHeight="false" outlineLevel="0" collapsed="false">
      <c r="H1837" s="0" t="str">
        <f aca="false">IF(B1837="","",IF(COUNTIF(Campaigns!$A$7:$A$300,B1837)&gt;0,"✓","⚠ add to Campaigns tab"))</f>
        <v/>
      </c>
      <c r="I1837" s="84" t="str">
        <f aca="false">IF(C1837="","",C1837*IF(Settings!$B$24=Settings!$C$6,1,IF(Settings!$B$24="USD",1/INDEX(Settings!$B$29:$B$40,MONTH(A1837)),INDEX(Settings!$B$29:$B$40,MONTH(A1837)))))</f>
        <v/>
      </c>
    </row>
    <row r="1838" customFormat="false" ht="15" hidden="false" customHeight="false" outlineLevel="0" collapsed="false">
      <c r="H1838" s="0" t="str">
        <f aca="false">IF(B1838="","",IF(COUNTIF(Campaigns!$A$7:$A$300,B1838)&gt;0,"✓","⚠ add to Campaigns tab"))</f>
        <v/>
      </c>
      <c r="I1838" s="84" t="str">
        <f aca="false">IF(C1838="","",C1838*IF(Settings!$B$24=Settings!$C$6,1,IF(Settings!$B$24="USD",1/INDEX(Settings!$B$29:$B$40,MONTH(A1838)),INDEX(Settings!$B$29:$B$40,MONTH(A1838)))))</f>
        <v/>
      </c>
    </row>
    <row r="1839" customFormat="false" ht="15" hidden="false" customHeight="false" outlineLevel="0" collapsed="false">
      <c r="H1839" s="0" t="str">
        <f aca="false">IF(B1839="","",IF(COUNTIF(Campaigns!$A$7:$A$300,B1839)&gt;0,"✓","⚠ add to Campaigns tab"))</f>
        <v/>
      </c>
      <c r="I1839" s="84" t="str">
        <f aca="false">IF(C1839="","",C1839*IF(Settings!$B$24=Settings!$C$6,1,IF(Settings!$B$24="USD",1/INDEX(Settings!$B$29:$B$40,MONTH(A1839)),INDEX(Settings!$B$29:$B$40,MONTH(A1839)))))</f>
        <v/>
      </c>
    </row>
    <row r="1840" customFormat="false" ht="15" hidden="false" customHeight="false" outlineLevel="0" collapsed="false">
      <c r="H1840" s="0" t="str">
        <f aca="false">IF(B1840="","",IF(COUNTIF(Campaigns!$A$7:$A$300,B1840)&gt;0,"✓","⚠ add to Campaigns tab"))</f>
        <v/>
      </c>
      <c r="I1840" s="84" t="str">
        <f aca="false">IF(C1840="","",C1840*IF(Settings!$B$24=Settings!$C$6,1,IF(Settings!$B$24="USD",1/INDEX(Settings!$B$29:$B$40,MONTH(A1840)),INDEX(Settings!$B$29:$B$40,MONTH(A1840)))))</f>
        <v/>
      </c>
    </row>
    <row r="1841" customFormat="false" ht="15" hidden="false" customHeight="false" outlineLevel="0" collapsed="false">
      <c r="H1841" s="0" t="str">
        <f aca="false">IF(B1841="","",IF(COUNTIF(Campaigns!$A$7:$A$300,B1841)&gt;0,"✓","⚠ add to Campaigns tab"))</f>
        <v/>
      </c>
      <c r="I1841" s="84" t="str">
        <f aca="false">IF(C1841="","",C1841*IF(Settings!$B$24=Settings!$C$6,1,IF(Settings!$B$24="USD",1/INDEX(Settings!$B$29:$B$40,MONTH(A1841)),INDEX(Settings!$B$29:$B$40,MONTH(A1841)))))</f>
        <v/>
      </c>
    </row>
    <row r="1842" customFormat="false" ht="15" hidden="false" customHeight="false" outlineLevel="0" collapsed="false">
      <c r="H1842" s="0" t="str">
        <f aca="false">IF(B1842="","",IF(COUNTIF(Campaigns!$A$7:$A$300,B1842)&gt;0,"✓","⚠ add to Campaigns tab"))</f>
        <v/>
      </c>
      <c r="I1842" s="84" t="str">
        <f aca="false">IF(C1842="","",C1842*IF(Settings!$B$24=Settings!$C$6,1,IF(Settings!$B$24="USD",1/INDEX(Settings!$B$29:$B$40,MONTH(A1842)),INDEX(Settings!$B$29:$B$40,MONTH(A1842)))))</f>
        <v/>
      </c>
    </row>
    <row r="1843" customFormat="false" ht="15" hidden="false" customHeight="false" outlineLevel="0" collapsed="false">
      <c r="H1843" s="0" t="str">
        <f aca="false">IF(B1843="","",IF(COUNTIF(Campaigns!$A$7:$A$300,B1843)&gt;0,"✓","⚠ add to Campaigns tab"))</f>
        <v/>
      </c>
      <c r="I1843" s="84" t="str">
        <f aca="false">IF(C1843="","",C1843*IF(Settings!$B$24=Settings!$C$6,1,IF(Settings!$B$24="USD",1/INDEX(Settings!$B$29:$B$40,MONTH(A1843)),INDEX(Settings!$B$29:$B$40,MONTH(A1843)))))</f>
        <v/>
      </c>
    </row>
    <row r="1844" customFormat="false" ht="15" hidden="false" customHeight="false" outlineLevel="0" collapsed="false">
      <c r="H1844" s="0" t="str">
        <f aca="false">IF(B1844="","",IF(COUNTIF(Campaigns!$A$7:$A$300,B1844)&gt;0,"✓","⚠ add to Campaigns tab"))</f>
        <v/>
      </c>
      <c r="I1844" s="84" t="str">
        <f aca="false">IF(C1844="","",C1844*IF(Settings!$B$24=Settings!$C$6,1,IF(Settings!$B$24="USD",1/INDEX(Settings!$B$29:$B$40,MONTH(A1844)),INDEX(Settings!$B$29:$B$40,MONTH(A1844)))))</f>
        <v/>
      </c>
    </row>
    <row r="1845" customFormat="false" ht="15" hidden="false" customHeight="false" outlineLevel="0" collapsed="false">
      <c r="H1845" s="0" t="str">
        <f aca="false">IF(B1845="","",IF(COUNTIF(Campaigns!$A$7:$A$300,B1845)&gt;0,"✓","⚠ add to Campaigns tab"))</f>
        <v/>
      </c>
      <c r="I1845" s="84" t="str">
        <f aca="false">IF(C1845="","",C1845*IF(Settings!$B$24=Settings!$C$6,1,IF(Settings!$B$24="USD",1/INDEX(Settings!$B$29:$B$40,MONTH(A1845)),INDEX(Settings!$B$29:$B$40,MONTH(A1845)))))</f>
        <v/>
      </c>
    </row>
    <row r="1846" customFormat="false" ht="15" hidden="false" customHeight="false" outlineLevel="0" collapsed="false">
      <c r="H1846" s="0" t="str">
        <f aca="false">IF(B1846="","",IF(COUNTIF(Campaigns!$A$7:$A$300,B1846)&gt;0,"✓","⚠ add to Campaigns tab"))</f>
        <v/>
      </c>
      <c r="I1846" s="84" t="str">
        <f aca="false">IF(C1846="","",C1846*IF(Settings!$B$24=Settings!$C$6,1,IF(Settings!$B$24="USD",1/INDEX(Settings!$B$29:$B$40,MONTH(A1846)),INDEX(Settings!$B$29:$B$40,MONTH(A1846)))))</f>
        <v/>
      </c>
    </row>
    <row r="1847" customFormat="false" ht="15" hidden="false" customHeight="false" outlineLevel="0" collapsed="false">
      <c r="H1847" s="0" t="str">
        <f aca="false">IF(B1847="","",IF(COUNTIF(Campaigns!$A$7:$A$300,B1847)&gt;0,"✓","⚠ add to Campaigns tab"))</f>
        <v/>
      </c>
      <c r="I1847" s="84" t="str">
        <f aca="false">IF(C1847="","",C1847*IF(Settings!$B$24=Settings!$C$6,1,IF(Settings!$B$24="USD",1/INDEX(Settings!$B$29:$B$40,MONTH(A1847)),INDEX(Settings!$B$29:$B$40,MONTH(A1847)))))</f>
        <v/>
      </c>
    </row>
    <row r="1848" customFormat="false" ht="15" hidden="false" customHeight="false" outlineLevel="0" collapsed="false">
      <c r="H1848" s="0" t="str">
        <f aca="false">IF(B1848="","",IF(COUNTIF(Campaigns!$A$7:$A$300,B1848)&gt;0,"✓","⚠ add to Campaigns tab"))</f>
        <v/>
      </c>
      <c r="I1848" s="84" t="str">
        <f aca="false">IF(C1848="","",C1848*IF(Settings!$B$24=Settings!$C$6,1,IF(Settings!$B$24="USD",1/INDEX(Settings!$B$29:$B$40,MONTH(A1848)),INDEX(Settings!$B$29:$B$40,MONTH(A1848)))))</f>
        <v/>
      </c>
    </row>
    <row r="1849" customFormat="false" ht="15" hidden="false" customHeight="false" outlineLevel="0" collapsed="false">
      <c r="H1849" s="0" t="str">
        <f aca="false">IF(B1849="","",IF(COUNTIF(Campaigns!$A$7:$A$300,B1849)&gt;0,"✓","⚠ add to Campaigns tab"))</f>
        <v/>
      </c>
      <c r="I1849" s="84" t="str">
        <f aca="false">IF(C1849="","",C1849*IF(Settings!$B$24=Settings!$C$6,1,IF(Settings!$B$24="USD",1/INDEX(Settings!$B$29:$B$40,MONTH(A1849)),INDEX(Settings!$B$29:$B$40,MONTH(A1849)))))</f>
        <v/>
      </c>
    </row>
    <row r="1850" customFormat="false" ht="15" hidden="false" customHeight="false" outlineLevel="0" collapsed="false">
      <c r="H1850" s="0" t="str">
        <f aca="false">IF(B1850="","",IF(COUNTIF(Campaigns!$A$7:$A$300,B1850)&gt;0,"✓","⚠ add to Campaigns tab"))</f>
        <v/>
      </c>
      <c r="I1850" s="84" t="str">
        <f aca="false">IF(C1850="","",C1850*IF(Settings!$B$24=Settings!$C$6,1,IF(Settings!$B$24="USD",1/INDEX(Settings!$B$29:$B$40,MONTH(A1850)),INDEX(Settings!$B$29:$B$40,MONTH(A1850)))))</f>
        <v/>
      </c>
    </row>
    <row r="1851" customFormat="false" ht="15" hidden="false" customHeight="false" outlineLevel="0" collapsed="false">
      <c r="H1851" s="0" t="str">
        <f aca="false">IF(B1851="","",IF(COUNTIF(Campaigns!$A$7:$A$300,B1851)&gt;0,"✓","⚠ add to Campaigns tab"))</f>
        <v/>
      </c>
      <c r="I1851" s="84" t="str">
        <f aca="false">IF(C1851="","",C1851*IF(Settings!$B$24=Settings!$C$6,1,IF(Settings!$B$24="USD",1/INDEX(Settings!$B$29:$B$40,MONTH(A1851)),INDEX(Settings!$B$29:$B$40,MONTH(A1851)))))</f>
        <v/>
      </c>
    </row>
    <row r="1852" customFormat="false" ht="15" hidden="false" customHeight="false" outlineLevel="0" collapsed="false">
      <c r="H1852" s="0" t="str">
        <f aca="false">IF(B1852="","",IF(COUNTIF(Campaigns!$A$7:$A$300,B1852)&gt;0,"✓","⚠ add to Campaigns tab"))</f>
        <v/>
      </c>
      <c r="I1852" s="84" t="str">
        <f aca="false">IF(C1852="","",C1852*IF(Settings!$B$24=Settings!$C$6,1,IF(Settings!$B$24="USD",1/INDEX(Settings!$B$29:$B$40,MONTH(A1852)),INDEX(Settings!$B$29:$B$40,MONTH(A1852)))))</f>
        <v/>
      </c>
    </row>
    <row r="1853" customFormat="false" ht="15" hidden="false" customHeight="false" outlineLevel="0" collapsed="false">
      <c r="H1853" s="0" t="str">
        <f aca="false">IF(B1853="","",IF(COUNTIF(Campaigns!$A$7:$A$300,B1853)&gt;0,"✓","⚠ add to Campaigns tab"))</f>
        <v/>
      </c>
      <c r="I1853" s="84" t="str">
        <f aca="false">IF(C1853="","",C1853*IF(Settings!$B$24=Settings!$C$6,1,IF(Settings!$B$24="USD",1/INDEX(Settings!$B$29:$B$40,MONTH(A1853)),INDEX(Settings!$B$29:$B$40,MONTH(A1853)))))</f>
        <v/>
      </c>
    </row>
    <row r="1854" customFormat="false" ht="15" hidden="false" customHeight="false" outlineLevel="0" collapsed="false">
      <c r="H1854" s="0" t="str">
        <f aca="false">IF(B1854="","",IF(COUNTIF(Campaigns!$A$7:$A$300,B1854)&gt;0,"✓","⚠ add to Campaigns tab"))</f>
        <v/>
      </c>
      <c r="I1854" s="84" t="str">
        <f aca="false">IF(C1854="","",C1854*IF(Settings!$B$24=Settings!$C$6,1,IF(Settings!$B$24="USD",1/INDEX(Settings!$B$29:$B$40,MONTH(A1854)),INDEX(Settings!$B$29:$B$40,MONTH(A1854)))))</f>
        <v/>
      </c>
    </row>
    <row r="1855" customFormat="false" ht="15" hidden="false" customHeight="false" outlineLevel="0" collapsed="false">
      <c r="H1855" s="0" t="str">
        <f aca="false">IF(B1855="","",IF(COUNTIF(Campaigns!$A$7:$A$300,B1855)&gt;0,"✓","⚠ add to Campaigns tab"))</f>
        <v/>
      </c>
      <c r="I1855" s="84" t="str">
        <f aca="false">IF(C1855="","",C1855*IF(Settings!$B$24=Settings!$C$6,1,IF(Settings!$B$24="USD",1/INDEX(Settings!$B$29:$B$40,MONTH(A1855)),INDEX(Settings!$B$29:$B$40,MONTH(A1855)))))</f>
        <v/>
      </c>
    </row>
    <row r="1856" customFormat="false" ht="15" hidden="false" customHeight="false" outlineLevel="0" collapsed="false">
      <c r="H1856" s="0" t="str">
        <f aca="false">IF(B1856="","",IF(COUNTIF(Campaigns!$A$7:$A$300,B1856)&gt;0,"✓","⚠ add to Campaigns tab"))</f>
        <v/>
      </c>
      <c r="I1856" s="84" t="str">
        <f aca="false">IF(C1856="","",C1856*IF(Settings!$B$24=Settings!$C$6,1,IF(Settings!$B$24="USD",1/INDEX(Settings!$B$29:$B$40,MONTH(A1856)),INDEX(Settings!$B$29:$B$40,MONTH(A1856)))))</f>
        <v/>
      </c>
    </row>
    <row r="1857" customFormat="false" ht="15" hidden="false" customHeight="false" outlineLevel="0" collapsed="false">
      <c r="H1857" s="0" t="str">
        <f aca="false">IF(B1857="","",IF(COUNTIF(Campaigns!$A$7:$A$300,B1857)&gt;0,"✓","⚠ add to Campaigns tab"))</f>
        <v/>
      </c>
      <c r="I1857" s="84" t="str">
        <f aca="false">IF(C1857="","",C1857*IF(Settings!$B$24=Settings!$C$6,1,IF(Settings!$B$24="USD",1/INDEX(Settings!$B$29:$B$40,MONTH(A1857)),INDEX(Settings!$B$29:$B$40,MONTH(A1857)))))</f>
        <v/>
      </c>
    </row>
    <row r="1858" customFormat="false" ht="15" hidden="false" customHeight="false" outlineLevel="0" collapsed="false">
      <c r="H1858" s="0" t="str">
        <f aca="false">IF(B1858="","",IF(COUNTIF(Campaigns!$A$7:$A$300,B1858)&gt;0,"✓","⚠ add to Campaigns tab"))</f>
        <v/>
      </c>
      <c r="I1858" s="84" t="str">
        <f aca="false">IF(C1858="","",C1858*IF(Settings!$B$24=Settings!$C$6,1,IF(Settings!$B$24="USD",1/INDEX(Settings!$B$29:$B$40,MONTH(A1858)),INDEX(Settings!$B$29:$B$40,MONTH(A1858)))))</f>
        <v/>
      </c>
    </row>
    <row r="1859" customFormat="false" ht="15" hidden="false" customHeight="false" outlineLevel="0" collapsed="false">
      <c r="H1859" s="0" t="str">
        <f aca="false">IF(B1859="","",IF(COUNTIF(Campaigns!$A$7:$A$300,B1859)&gt;0,"✓","⚠ add to Campaigns tab"))</f>
        <v/>
      </c>
      <c r="I1859" s="84" t="str">
        <f aca="false">IF(C1859="","",C1859*IF(Settings!$B$24=Settings!$C$6,1,IF(Settings!$B$24="USD",1/INDEX(Settings!$B$29:$B$40,MONTH(A1859)),INDEX(Settings!$B$29:$B$40,MONTH(A1859)))))</f>
        <v/>
      </c>
    </row>
    <row r="1860" customFormat="false" ht="15" hidden="false" customHeight="false" outlineLevel="0" collapsed="false">
      <c r="H1860" s="0" t="str">
        <f aca="false">IF(B1860="","",IF(COUNTIF(Campaigns!$A$7:$A$300,B1860)&gt;0,"✓","⚠ add to Campaigns tab"))</f>
        <v/>
      </c>
      <c r="I1860" s="84" t="str">
        <f aca="false">IF(C1860="","",C1860*IF(Settings!$B$24=Settings!$C$6,1,IF(Settings!$B$24="USD",1/INDEX(Settings!$B$29:$B$40,MONTH(A1860)),INDEX(Settings!$B$29:$B$40,MONTH(A1860)))))</f>
        <v/>
      </c>
    </row>
    <row r="1861" customFormat="false" ht="15" hidden="false" customHeight="false" outlineLevel="0" collapsed="false">
      <c r="H1861" s="0" t="str">
        <f aca="false">IF(B1861="","",IF(COUNTIF(Campaigns!$A$7:$A$300,B1861)&gt;0,"✓","⚠ add to Campaigns tab"))</f>
        <v/>
      </c>
      <c r="I1861" s="84" t="str">
        <f aca="false">IF(C1861="","",C1861*IF(Settings!$B$24=Settings!$C$6,1,IF(Settings!$B$24="USD",1/INDEX(Settings!$B$29:$B$40,MONTH(A1861)),INDEX(Settings!$B$29:$B$40,MONTH(A1861)))))</f>
        <v/>
      </c>
    </row>
    <row r="1862" customFormat="false" ht="15" hidden="false" customHeight="false" outlineLevel="0" collapsed="false">
      <c r="H1862" s="0" t="str">
        <f aca="false">IF(B1862="","",IF(COUNTIF(Campaigns!$A$7:$A$300,B1862)&gt;0,"✓","⚠ add to Campaigns tab"))</f>
        <v/>
      </c>
      <c r="I1862" s="84" t="str">
        <f aca="false">IF(C1862="","",C1862*IF(Settings!$B$24=Settings!$C$6,1,IF(Settings!$B$24="USD",1/INDEX(Settings!$B$29:$B$40,MONTH(A1862)),INDEX(Settings!$B$29:$B$40,MONTH(A1862)))))</f>
        <v/>
      </c>
    </row>
    <row r="1863" customFormat="false" ht="15" hidden="false" customHeight="false" outlineLevel="0" collapsed="false">
      <c r="H1863" s="0" t="str">
        <f aca="false">IF(B1863="","",IF(COUNTIF(Campaigns!$A$7:$A$300,B1863)&gt;0,"✓","⚠ add to Campaigns tab"))</f>
        <v/>
      </c>
      <c r="I1863" s="84" t="str">
        <f aca="false">IF(C1863="","",C1863*IF(Settings!$B$24=Settings!$C$6,1,IF(Settings!$B$24="USD",1/INDEX(Settings!$B$29:$B$40,MONTH(A1863)),INDEX(Settings!$B$29:$B$40,MONTH(A1863)))))</f>
        <v/>
      </c>
    </row>
    <row r="1864" customFormat="false" ht="15" hidden="false" customHeight="false" outlineLevel="0" collapsed="false">
      <c r="H1864" s="0" t="str">
        <f aca="false">IF(B1864="","",IF(COUNTIF(Campaigns!$A$7:$A$300,B1864)&gt;0,"✓","⚠ add to Campaigns tab"))</f>
        <v/>
      </c>
      <c r="I1864" s="84" t="str">
        <f aca="false">IF(C1864="","",C1864*IF(Settings!$B$24=Settings!$C$6,1,IF(Settings!$B$24="USD",1/INDEX(Settings!$B$29:$B$40,MONTH(A1864)),INDEX(Settings!$B$29:$B$40,MONTH(A1864)))))</f>
        <v/>
      </c>
    </row>
    <row r="1865" customFormat="false" ht="15" hidden="false" customHeight="false" outlineLevel="0" collapsed="false">
      <c r="H1865" s="0" t="str">
        <f aca="false">IF(B1865="","",IF(COUNTIF(Campaigns!$A$7:$A$300,B1865)&gt;0,"✓","⚠ add to Campaigns tab"))</f>
        <v/>
      </c>
      <c r="I1865" s="84" t="str">
        <f aca="false">IF(C1865="","",C1865*IF(Settings!$B$24=Settings!$C$6,1,IF(Settings!$B$24="USD",1/INDEX(Settings!$B$29:$B$40,MONTH(A1865)),INDEX(Settings!$B$29:$B$40,MONTH(A1865)))))</f>
        <v/>
      </c>
    </row>
    <row r="1866" customFormat="false" ht="15" hidden="false" customHeight="false" outlineLevel="0" collapsed="false">
      <c r="H1866" s="0" t="str">
        <f aca="false">IF(B1866="","",IF(COUNTIF(Campaigns!$A$7:$A$300,B1866)&gt;0,"✓","⚠ add to Campaigns tab"))</f>
        <v/>
      </c>
      <c r="I1866" s="84" t="str">
        <f aca="false">IF(C1866="","",C1866*IF(Settings!$B$24=Settings!$C$6,1,IF(Settings!$B$24="USD",1/INDEX(Settings!$B$29:$B$40,MONTH(A1866)),INDEX(Settings!$B$29:$B$40,MONTH(A1866)))))</f>
        <v/>
      </c>
    </row>
    <row r="1867" customFormat="false" ht="15" hidden="false" customHeight="false" outlineLevel="0" collapsed="false">
      <c r="H1867" s="0" t="str">
        <f aca="false">IF(B1867="","",IF(COUNTIF(Campaigns!$A$7:$A$300,B1867)&gt;0,"✓","⚠ add to Campaigns tab"))</f>
        <v/>
      </c>
      <c r="I1867" s="84" t="str">
        <f aca="false">IF(C1867="","",C1867*IF(Settings!$B$24=Settings!$C$6,1,IF(Settings!$B$24="USD",1/INDEX(Settings!$B$29:$B$40,MONTH(A1867)),INDEX(Settings!$B$29:$B$40,MONTH(A1867)))))</f>
        <v/>
      </c>
    </row>
    <row r="1868" customFormat="false" ht="15" hidden="false" customHeight="false" outlineLevel="0" collapsed="false">
      <c r="H1868" s="0" t="str">
        <f aca="false">IF(B1868="","",IF(COUNTIF(Campaigns!$A$7:$A$300,B1868)&gt;0,"✓","⚠ add to Campaigns tab"))</f>
        <v/>
      </c>
      <c r="I1868" s="84" t="str">
        <f aca="false">IF(C1868="","",C1868*IF(Settings!$B$24=Settings!$C$6,1,IF(Settings!$B$24="USD",1/INDEX(Settings!$B$29:$B$40,MONTH(A1868)),INDEX(Settings!$B$29:$B$40,MONTH(A1868)))))</f>
        <v/>
      </c>
    </row>
    <row r="1869" customFormat="false" ht="15" hidden="false" customHeight="false" outlineLevel="0" collapsed="false">
      <c r="H1869" s="0" t="str">
        <f aca="false">IF(B1869="","",IF(COUNTIF(Campaigns!$A$7:$A$300,B1869)&gt;0,"✓","⚠ add to Campaigns tab"))</f>
        <v/>
      </c>
      <c r="I1869" s="84" t="str">
        <f aca="false">IF(C1869="","",C1869*IF(Settings!$B$24=Settings!$C$6,1,IF(Settings!$B$24="USD",1/INDEX(Settings!$B$29:$B$40,MONTH(A1869)),INDEX(Settings!$B$29:$B$40,MONTH(A1869)))))</f>
        <v/>
      </c>
    </row>
    <row r="1870" customFormat="false" ht="15" hidden="false" customHeight="false" outlineLevel="0" collapsed="false">
      <c r="H1870" s="0" t="str">
        <f aca="false">IF(B1870="","",IF(COUNTIF(Campaigns!$A$7:$A$300,B1870)&gt;0,"✓","⚠ add to Campaigns tab"))</f>
        <v/>
      </c>
      <c r="I1870" s="84" t="str">
        <f aca="false">IF(C1870="","",C1870*IF(Settings!$B$24=Settings!$C$6,1,IF(Settings!$B$24="USD",1/INDEX(Settings!$B$29:$B$40,MONTH(A1870)),INDEX(Settings!$B$29:$B$40,MONTH(A1870)))))</f>
        <v/>
      </c>
    </row>
    <row r="1871" customFormat="false" ht="15" hidden="false" customHeight="false" outlineLevel="0" collapsed="false">
      <c r="H1871" s="0" t="str">
        <f aca="false">IF(B1871="","",IF(COUNTIF(Campaigns!$A$7:$A$300,B1871)&gt;0,"✓","⚠ add to Campaigns tab"))</f>
        <v/>
      </c>
      <c r="I1871" s="84" t="str">
        <f aca="false">IF(C1871="","",C1871*IF(Settings!$B$24=Settings!$C$6,1,IF(Settings!$B$24="USD",1/INDEX(Settings!$B$29:$B$40,MONTH(A1871)),INDEX(Settings!$B$29:$B$40,MONTH(A1871)))))</f>
        <v/>
      </c>
    </row>
    <row r="1872" customFormat="false" ht="15" hidden="false" customHeight="false" outlineLevel="0" collapsed="false">
      <c r="H1872" s="0" t="str">
        <f aca="false">IF(B1872="","",IF(COUNTIF(Campaigns!$A$7:$A$300,B1872)&gt;0,"✓","⚠ add to Campaigns tab"))</f>
        <v/>
      </c>
      <c r="I1872" s="84" t="str">
        <f aca="false">IF(C1872="","",C1872*IF(Settings!$B$24=Settings!$C$6,1,IF(Settings!$B$24="USD",1/INDEX(Settings!$B$29:$B$40,MONTH(A1872)),INDEX(Settings!$B$29:$B$40,MONTH(A1872)))))</f>
        <v/>
      </c>
    </row>
    <row r="1873" customFormat="false" ht="15" hidden="false" customHeight="false" outlineLevel="0" collapsed="false">
      <c r="H1873" s="0" t="str">
        <f aca="false">IF(B1873="","",IF(COUNTIF(Campaigns!$A$7:$A$300,B1873)&gt;0,"✓","⚠ add to Campaigns tab"))</f>
        <v/>
      </c>
      <c r="I1873" s="84" t="str">
        <f aca="false">IF(C1873="","",C1873*IF(Settings!$B$24=Settings!$C$6,1,IF(Settings!$B$24="USD",1/INDEX(Settings!$B$29:$B$40,MONTH(A1873)),INDEX(Settings!$B$29:$B$40,MONTH(A1873)))))</f>
        <v/>
      </c>
    </row>
    <row r="1874" customFormat="false" ht="15" hidden="false" customHeight="false" outlineLevel="0" collapsed="false">
      <c r="H1874" s="0" t="str">
        <f aca="false">IF(B1874="","",IF(COUNTIF(Campaigns!$A$7:$A$300,B1874)&gt;0,"✓","⚠ add to Campaigns tab"))</f>
        <v/>
      </c>
      <c r="I1874" s="84" t="str">
        <f aca="false">IF(C1874="","",C1874*IF(Settings!$B$24=Settings!$C$6,1,IF(Settings!$B$24="USD",1/INDEX(Settings!$B$29:$B$40,MONTH(A1874)),INDEX(Settings!$B$29:$B$40,MONTH(A1874)))))</f>
        <v/>
      </c>
    </row>
    <row r="1875" customFormat="false" ht="15" hidden="false" customHeight="false" outlineLevel="0" collapsed="false">
      <c r="H1875" s="0" t="str">
        <f aca="false">IF(B1875="","",IF(COUNTIF(Campaigns!$A$7:$A$300,B1875)&gt;0,"✓","⚠ add to Campaigns tab"))</f>
        <v/>
      </c>
      <c r="I1875" s="84" t="str">
        <f aca="false">IF(C1875="","",C1875*IF(Settings!$B$24=Settings!$C$6,1,IF(Settings!$B$24="USD",1/INDEX(Settings!$B$29:$B$40,MONTH(A1875)),INDEX(Settings!$B$29:$B$40,MONTH(A1875)))))</f>
        <v/>
      </c>
    </row>
    <row r="1876" customFormat="false" ht="15" hidden="false" customHeight="false" outlineLevel="0" collapsed="false">
      <c r="H1876" s="0" t="str">
        <f aca="false">IF(B1876="","",IF(COUNTIF(Campaigns!$A$7:$A$300,B1876)&gt;0,"✓","⚠ add to Campaigns tab"))</f>
        <v/>
      </c>
      <c r="I1876" s="84" t="str">
        <f aca="false">IF(C1876="","",C1876*IF(Settings!$B$24=Settings!$C$6,1,IF(Settings!$B$24="USD",1/INDEX(Settings!$B$29:$B$40,MONTH(A1876)),INDEX(Settings!$B$29:$B$40,MONTH(A1876)))))</f>
        <v/>
      </c>
    </row>
    <row r="1877" customFormat="false" ht="15" hidden="false" customHeight="false" outlineLevel="0" collapsed="false">
      <c r="H1877" s="0" t="str">
        <f aca="false">IF(B1877="","",IF(COUNTIF(Campaigns!$A$7:$A$300,B1877)&gt;0,"✓","⚠ add to Campaigns tab"))</f>
        <v/>
      </c>
      <c r="I1877" s="84" t="str">
        <f aca="false">IF(C1877="","",C1877*IF(Settings!$B$24=Settings!$C$6,1,IF(Settings!$B$24="USD",1/INDEX(Settings!$B$29:$B$40,MONTH(A1877)),INDEX(Settings!$B$29:$B$40,MONTH(A1877)))))</f>
        <v/>
      </c>
    </row>
    <row r="1878" customFormat="false" ht="15" hidden="false" customHeight="false" outlineLevel="0" collapsed="false">
      <c r="H1878" s="0" t="str">
        <f aca="false">IF(B1878="","",IF(COUNTIF(Campaigns!$A$7:$A$300,B1878)&gt;0,"✓","⚠ add to Campaigns tab"))</f>
        <v/>
      </c>
      <c r="I1878" s="84" t="str">
        <f aca="false">IF(C1878="","",C1878*IF(Settings!$B$24=Settings!$C$6,1,IF(Settings!$B$24="USD",1/INDEX(Settings!$B$29:$B$40,MONTH(A1878)),INDEX(Settings!$B$29:$B$40,MONTH(A1878)))))</f>
        <v/>
      </c>
    </row>
    <row r="1879" customFormat="false" ht="15" hidden="false" customHeight="false" outlineLevel="0" collapsed="false">
      <c r="H1879" s="0" t="str">
        <f aca="false">IF(B1879="","",IF(COUNTIF(Campaigns!$A$7:$A$300,B1879)&gt;0,"✓","⚠ add to Campaigns tab"))</f>
        <v/>
      </c>
      <c r="I1879" s="84" t="str">
        <f aca="false">IF(C1879="","",C1879*IF(Settings!$B$24=Settings!$C$6,1,IF(Settings!$B$24="USD",1/INDEX(Settings!$B$29:$B$40,MONTH(A1879)),INDEX(Settings!$B$29:$B$40,MONTH(A1879)))))</f>
        <v/>
      </c>
    </row>
    <row r="1880" customFormat="false" ht="15" hidden="false" customHeight="false" outlineLevel="0" collapsed="false">
      <c r="H1880" s="0" t="str">
        <f aca="false">IF(B1880="","",IF(COUNTIF(Campaigns!$A$7:$A$300,B1880)&gt;0,"✓","⚠ add to Campaigns tab"))</f>
        <v/>
      </c>
      <c r="I1880" s="84" t="str">
        <f aca="false">IF(C1880="","",C1880*IF(Settings!$B$24=Settings!$C$6,1,IF(Settings!$B$24="USD",1/INDEX(Settings!$B$29:$B$40,MONTH(A1880)),INDEX(Settings!$B$29:$B$40,MONTH(A1880)))))</f>
        <v/>
      </c>
    </row>
    <row r="1881" customFormat="false" ht="15" hidden="false" customHeight="false" outlineLevel="0" collapsed="false">
      <c r="H1881" s="0" t="str">
        <f aca="false">IF(B1881="","",IF(COUNTIF(Campaigns!$A$7:$A$300,B1881)&gt;0,"✓","⚠ add to Campaigns tab"))</f>
        <v/>
      </c>
      <c r="I1881" s="84" t="str">
        <f aca="false">IF(C1881="","",C1881*IF(Settings!$B$24=Settings!$C$6,1,IF(Settings!$B$24="USD",1/INDEX(Settings!$B$29:$B$40,MONTH(A1881)),INDEX(Settings!$B$29:$B$40,MONTH(A1881)))))</f>
        <v/>
      </c>
    </row>
    <row r="1882" customFormat="false" ht="15" hidden="false" customHeight="false" outlineLevel="0" collapsed="false">
      <c r="H1882" s="0" t="str">
        <f aca="false">IF(B1882="","",IF(COUNTIF(Campaigns!$A$7:$A$300,B1882)&gt;0,"✓","⚠ add to Campaigns tab"))</f>
        <v/>
      </c>
      <c r="I1882" s="84" t="str">
        <f aca="false">IF(C1882="","",C1882*IF(Settings!$B$24=Settings!$C$6,1,IF(Settings!$B$24="USD",1/INDEX(Settings!$B$29:$B$40,MONTH(A1882)),INDEX(Settings!$B$29:$B$40,MONTH(A1882)))))</f>
        <v/>
      </c>
    </row>
    <row r="1883" customFormat="false" ht="15" hidden="false" customHeight="false" outlineLevel="0" collapsed="false">
      <c r="H1883" s="0" t="str">
        <f aca="false">IF(B1883="","",IF(COUNTIF(Campaigns!$A$7:$A$300,B1883)&gt;0,"✓","⚠ add to Campaigns tab"))</f>
        <v/>
      </c>
      <c r="I1883" s="84" t="str">
        <f aca="false">IF(C1883="","",C1883*IF(Settings!$B$24=Settings!$C$6,1,IF(Settings!$B$24="USD",1/INDEX(Settings!$B$29:$B$40,MONTH(A1883)),INDEX(Settings!$B$29:$B$40,MONTH(A1883)))))</f>
        <v/>
      </c>
    </row>
    <row r="1884" customFormat="false" ht="15" hidden="false" customHeight="false" outlineLevel="0" collapsed="false">
      <c r="H1884" s="0" t="str">
        <f aca="false">IF(B1884="","",IF(COUNTIF(Campaigns!$A$7:$A$300,B1884)&gt;0,"✓","⚠ add to Campaigns tab"))</f>
        <v/>
      </c>
      <c r="I1884" s="84" t="str">
        <f aca="false">IF(C1884="","",C1884*IF(Settings!$B$24=Settings!$C$6,1,IF(Settings!$B$24="USD",1/INDEX(Settings!$B$29:$B$40,MONTH(A1884)),INDEX(Settings!$B$29:$B$40,MONTH(A1884)))))</f>
        <v/>
      </c>
    </row>
    <row r="1885" customFormat="false" ht="15" hidden="false" customHeight="false" outlineLevel="0" collapsed="false">
      <c r="H1885" s="0" t="str">
        <f aca="false">IF(B1885="","",IF(COUNTIF(Campaigns!$A$7:$A$300,B1885)&gt;0,"✓","⚠ add to Campaigns tab"))</f>
        <v/>
      </c>
      <c r="I1885" s="84" t="str">
        <f aca="false">IF(C1885="","",C1885*IF(Settings!$B$24=Settings!$C$6,1,IF(Settings!$B$24="USD",1/INDEX(Settings!$B$29:$B$40,MONTH(A1885)),INDEX(Settings!$B$29:$B$40,MONTH(A1885)))))</f>
        <v/>
      </c>
    </row>
    <row r="1886" customFormat="false" ht="15" hidden="false" customHeight="false" outlineLevel="0" collapsed="false">
      <c r="H1886" s="0" t="str">
        <f aca="false">IF(B1886="","",IF(COUNTIF(Campaigns!$A$7:$A$300,B1886)&gt;0,"✓","⚠ add to Campaigns tab"))</f>
        <v/>
      </c>
      <c r="I1886" s="84" t="str">
        <f aca="false">IF(C1886="","",C1886*IF(Settings!$B$24=Settings!$C$6,1,IF(Settings!$B$24="USD",1/INDEX(Settings!$B$29:$B$40,MONTH(A1886)),INDEX(Settings!$B$29:$B$40,MONTH(A1886)))))</f>
        <v/>
      </c>
    </row>
    <row r="1887" customFormat="false" ht="15" hidden="false" customHeight="false" outlineLevel="0" collapsed="false">
      <c r="H1887" s="0" t="str">
        <f aca="false">IF(B1887="","",IF(COUNTIF(Campaigns!$A$7:$A$300,B1887)&gt;0,"✓","⚠ add to Campaigns tab"))</f>
        <v/>
      </c>
      <c r="I1887" s="84" t="str">
        <f aca="false">IF(C1887="","",C1887*IF(Settings!$B$24=Settings!$C$6,1,IF(Settings!$B$24="USD",1/INDEX(Settings!$B$29:$B$40,MONTH(A1887)),INDEX(Settings!$B$29:$B$40,MONTH(A1887)))))</f>
        <v/>
      </c>
    </row>
    <row r="1888" customFormat="false" ht="15" hidden="false" customHeight="false" outlineLevel="0" collapsed="false">
      <c r="H1888" s="0" t="str">
        <f aca="false">IF(B1888="","",IF(COUNTIF(Campaigns!$A$7:$A$300,B1888)&gt;0,"✓","⚠ add to Campaigns tab"))</f>
        <v/>
      </c>
      <c r="I1888" s="84" t="str">
        <f aca="false">IF(C1888="","",C1888*IF(Settings!$B$24=Settings!$C$6,1,IF(Settings!$B$24="USD",1/INDEX(Settings!$B$29:$B$40,MONTH(A1888)),INDEX(Settings!$B$29:$B$40,MONTH(A1888)))))</f>
        <v/>
      </c>
    </row>
    <row r="1889" customFormat="false" ht="15" hidden="false" customHeight="false" outlineLevel="0" collapsed="false">
      <c r="H1889" s="0" t="str">
        <f aca="false">IF(B1889="","",IF(COUNTIF(Campaigns!$A$7:$A$300,B1889)&gt;0,"✓","⚠ add to Campaigns tab"))</f>
        <v/>
      </c>
      <c r="I1889" s="84" t="str">
        <f aca="false">IF(C1889="","",C1889*IF(Settings!$B$24=Settings!$C$6,1,IF(Settings!$B$24="USD",1/INDEX(Settings!$B$29:$B$40,MONTH(A1889)),INDEX(Settings!$B$29:$B$40,MONTH(A1889)))))</f>
        <v/>
      </c>
    </row>
    <row r="1890" customFormat="false" ht="15" hidden="false" customHeight="false" outlineLevel="0" collapsed="false">
      <c r="H1890" s="0" t="str">
        <f aca="false">IF(B1890="","",IF(COUNTIF(Campaigns!$A$7:$A$300,B1890)&gt;0,"✓","⚠ add to Campaigns tab"))</f>
        <v/>
      </c>
      <c r="I1890" s="84" t="str">
        <f aca="false">IF(C1890="","",C1890*IF(Settings!$B$24=Settings!$C$6,1,IF(Settings!$B$24="USD",1/INDEX(Settings!$B$29:$B$40,MONTH(A1890)),INDEX(Settings!$B$29:$B$40,MONTH(A1890)))))</f>
        <v/>
      </c>
    </row>
    <row r="1891" customFormat="false" ht="15" hidden="false" customHeight="false" outlineLevel="0" collapsed="false">
      <c r="H1891" s="0" t="str">
        <f aca="false">IF(B1891="","",IF(COUNTIF(Campaigns!$A$7:$A$300,B1891)&gt;0,"✓","⚠ add to Campaigns tab"))</f>
        <v/>
      </c>
      <c r="I1891" s="84" t="str">
        <f aca="false">IF(C1891="","",C1891*IF(Settings!$B$24=Settings!$C$6,1,IF(Settings!$B$24="USD",1/INDEX(Settings!$B$29:$B$40,MONTH(A1891)),INDEX(Settings!$B$29:$B$40,MONTH(A1891)))))</f>
        <v/>
      </c>
    </row>
    <row r="1892" customFormat="false" ht="15" hidden="false" customHeight="false" outlineLevel="0" collapsed="false">
      <c r="H1892" s="0" t="str">
        <f aca="false">IF(B1892="","",IF(COUNTIF(Campaigns!$A$7:$A$300,B1892)&gt;0,"✓","⚠ add to Campaigns tab"))</f>
        <v/>
      </c>
      <c r="I1892" s="84" t="str">
        <f aca="false">IF(C1892="","",C1892*IF(Settings!$B$24=Settings!$C$6,1,IF(Settings!$B$24="USD",1/INDEX(Settings!$B$29:$B$40,MONTH(A1892)),INDEX(Settings!$B$29:$B$40,MONTH(A1892)))))</f>
        <v/>
      </c>
    </row>
    <row r="1893" customFormat="false" ht="15" hidden="false" customHeight="false" outlineLevel="0" collapsed="false">
      <c r="H1893" s="0" t="str">
        <f aca="false">IF(B1893="","",IF(COUNTIF(Campaigns!$A$7:$A$300,B1893)&gt;0,"✓","⚠ add to Campaigns tab"))</f>
        <v/>
      </c>
      <c r="I1893" s="84" t="str">
        <f aca="false">IF(C1893="","",C1893*IF(Settings!$B$24=Settings!$C$6,1,IF(Settings!$B$24="USD",1/INDEX(Settings!$B$29:$B$40,MONTH(A1893)),INDEX(Settings!$B$29:$B$40,MONTH(A1893)))))</f>
        <v/>
      </c>
    </row>
    <row r="1894" customFormat="false" ht="15" hidden="false" customHeight="false" outlineLevel="0" collapsed="false">
      <c r="H1894" s="0" t="str">
        <f aca="false">IF(B1894="","",IF(COUNTIF(Campaigns!$A$7:$A$300,B1894)&gt;0,"✓","⚠ add to Campaigns tab"))</f>
        <v/>
      </c>
      <c r="I1894" s="84" t="str">
        <f aca="false">IF(C1894="","",C1894*IF(Settings!$B$24=Settings!$C$6,1,IF(Settings!$B$24="USD",1/INDEX(Settings!$B$29:$B$40,MONTH(A1894)),INDEX(Settings!$B$29:$B$40,MONTH(A1894)))))</f>
        <v/>
      </c>
    </row>
    <row r="1895" customFormat="false" ht="15" hidden="false" customHeight="false" outlineLevel="0" collapsed="false">
      <c r="H1895" s="0" t="str">
        <f aca="false">IF(B1895="","",IF(COUNTIF(Campaigns!$A$7:$A$300,B1895)&gt;0,"✓","⚠ add to Campaigns tab"))</f>
        <v/>
      </c>
      <c r="I1895" s="84" t="str">
        <f aca="false">IF(C1895="","",C1895*IF(Settings!$B$24=Settings!$C$6,1,IF(Settings!$B$24="USD",1/INDEX(Settings!$B$29:$B$40,MONTH(A1895)),INDEX(Settings!$B$29:$B$40,MONTH(A1895)))))</f>
        <v/>
      </c>
    </row>
    <row r="1896" customFormat="false" ht="15" hidden="false" customHeight="false" outlineLevel="0" collapsed="false">
      <c r="H1896" s="0" t="str">
        <f aca="false">IF(B1896="","",IF(COUNTIF(Campaigns!$A$7:$A$300,B1896)&gt;0,"✓","⚠ add to Campaigns tab"))</f>
        <v/>
      </c>
      <c r="I1896" s="84" t="str">
        <f aca="false">IF(C1896="","",C1896*IF(Settings!$B$24=Settings!$C$6,1,IF(Settings!$B$24="USD",1/INDEX(Settings!$B$29:$B$40,MONTH(A1896)),INDEX(Settings!$B$29:$B$40,MONTH(A1896)))))</f>
        <v/>
      </c>
    </row>
    <row r="1897" customFormat="false" ht="15" hidden="false" customHeight="false" outlineLevel="0" collapsed="false">
      <c r="H1897" s="0" t="str">
        <f aca="false">IF(B1897="","",IF(COUNTIF(Campaigns!$A$7:$A$300,B1897)&gt;0,"✓","⚠ add to Campaigns tab"))</f>
        <v/>
      </c>
      <c r="I1897" s="84" t="str">
        <f aca="false">IF(C1897="","",C1897*IF(Settings!$B$24=Settings!$C$6,1,IF(Settings!$B$24="USD",1/INDEX(Settings!$B$29:$B$40,MONTH(A1897)),INDEX(Settings!$B$29:$B$40,MONTH(A1897)))))</f>
        <v/>
      </c>
    </row>
    <row r="1898" customFormat="false" ht="15" hidden="false" customHeight="false" outlineLevel="0" collapsed="false">
      <c r="H1898" s="0" t="str">
        <f aca="false">IF(B1898="","",IF(COUNTIF(Campaigns!$A$7:$A$300,B1898)&gt;0,"✓","⚠ add to Campaigns tab"))</f>
        <v/>
      </c>
      <c r="I1898" s="84" t="str">
        <f aca="false">IF(C1898="","",C1898*IF(Settings!$B$24=Settings!$C$6,1,IF(Settings!$B$24="USD",1/INDEX(Settings!$B$29:$B$40,MONTH(A1898)),INDEX(Settings!$B$29:$B$40,MONTH(A1898)))))</f>
        <v/>
      </c>
    </row>
    <row r="1899" customFormat="false" ht="15" hidden="false" customHeight="false" outlineLevel="0" collapsed="false">
      <c r="H1899" s="0" t="str">
        <f aca="false">IF(B1899="","",IF(COUNTIF(Campaigns!$A$7:$A$300,B1899)&gt;0,"✓","⚠ add to Campaigns tab"))</f>
        <v/>
      </c>
      <c r="I1899" s="84" t="str">
        <f aca="false">IF(C1899="","",C1899*IF(Settings!$B$24=Settings!$C$6,1,IF(Settings!$B$24="USD",1/INDEX(Settings!$B$29:$B$40,MONTH(A1899)),INDEX(Settings!$B$29:$B$40,MONTH(A1899)))))</f>
        <v/>
      </c>
    </row>
    <row r="1900" customFormat="false" ht="15" hidden="false" customHeight="false" outlineLevel="0" collapsed="false">
      <c r="H1900" s="0" t="str">
        <f aca="false">IF(B1900="","",IF(COUNTIF(Campaigns!$A$7:$A$300,B1900)&gt;0,"✓","⚠ add to Campaigns tab"))</f>
        <v/>
      </c>
      <c r="I1900" s="84" t="str">
        <f aca="false">IF(C1900="","",C1900*IF(Settings!$B$24=Settings!$C$6,1,IF(Settings!$B$24="USD",1/INDEX(Settings!$B$29:$B$40,MONTH(A1900)),INDEX(Settings!$B$29:$B$40,MONTH(A1900)))))</f>
        <v/>
      </c>
    </row>
    <row r="1901" customFormat="false" ht="15" hidden="false" customHeight="false" outlineLevel="0" collapsed="false">
      <c r="H1901" s="0" t="str">
        <f aca="false">IF(B1901="","",IF(COUNTIF(Campaigns!$A$7:$A$300,B1901)&gt;0,"✓","⚠ add to Campaigns tab"))</f>
        <v/>
      </c>
      <c r="I1901" s="84" t="str">
        <f aca="false">IF(C1901="","",C1901*IF(Settings!$B$24=Settings!$C$6,1,IF(Settings!$B$24="USD",1/INDEX(Settings!$B$29:$B$40,MONTH(A1901)),INDEX(Settings!$B$29:$B$40,MONTH(A1901)))))</f>
        <v/>
      </c>
    </row>
    <row r="1902" customFormat="false" ht="15" hidden="false" customHeight="false" outlineLevel="0" collapsed="false">
      <c r="H1902" s="0" t="str">
        <f aca="false">IF(B1902="","",IF(COUNTIF(Campaigns!$A$7:$A$300,B1902)&gt;0,"✓","⚠ add to Campaigns tab"))</f>
        <v/>
      </c>
      <c r="I1902" s="84" t="str">
        <f aca="false">IF(C1902="","",C1902*IF(Settings!$B$24=Settings!$C$6,1,IF(Settings!$B$24="USD",1/INDEX(Settings!$B$29:$B$40,MONTH(A1902)),INDEX(Settings!$B$29:$B$40,MONTH(A1902)))))</f>
        <v/>
      </c>
    </row>
    <row r="1903" customFormat="false" ht="15" hidden="false" customHeight="false" outlineLevel="0" collapsed="false">
      <c r="H1903" s="0" t="str">
        <f aca="false">IF(B1903="","",IF(COUNTIF(Campaigns!$A$7:$A$300,B1903)&gt;0,"✓","⚠ add to Campaigns tab"))</f>
        <v/>
      </c>
      <c r="I1903" s="84" t="str">
        <f aca="false">IF(C1903="","",C1903*IF(Settings!$B$24=Settings!$C$6,1,IF(Settings!$B$24="USD",1/INDEX(Settings!$B$29:$B$40,MONTH(A1903)),INDEX(Settings!$B$29:$B$40,MONTH(A1903)))))</f>
        <v/>
      </c>
    </row>
    <row r="1904" customFormat="false" ht="15" hidden="false" customHeight="false" outlineLevel="0" collapsed="false">
      <c r="H1904" s="0" t="str">
        <f aca="false">IF(B1904="","",IF(COUNTIF(Campaigns!$A$7:$A$300,B1904)&gt;0,"✓","⚠ add to Campaigns tab"))</f>
        <v/>
      </c>
      <c r="I1904" s="84" t="str">
        <f aca="false">IF(C1904="","",C1904*IF(Settings!$B$24=Settings!$C$6,1,IF(Settings!$B$24="USD",1/INDEX(Settings!$B$29:$B$40,MONTH(A1904)),INDEX(Settings!$B$29:$B$40,MONTH(A1904)))))</f>
        <v/>
      </c>
    </row>
    <row r="1905" customFormat="false" ht="15" hidden="false" customHeight="false" outlineLevel="0" collapsed="false">
      <c r="H1905" s="0" t="str">
        <f aca="false">IF(B1905="","",IF(COUNTIF(Campaigns!$A$7:$A$300,B1905)&gt;0,"✓","⚠ add to Campaigns tab"))</f>
        <v/>
      </c>
      <c r="I1905" s="84" t="str">
        <f aca="false">IF(C1905="","",C1905*IF(Settings!$B$24=Settings!$C$6,1,IF(Settings!$B$24="USD",1/INDEX(Settings!$B$29:$B$40,MONTH(A1905)),INDEX(Settings!$B$29:$B$40,MONTH(A1905)))))</f>
        <v/>
      </c>
    </row>
    <row r="1906" customFormat="false" ht="15" hidden="false" customHeight="false" outlineLevel="0" collapsed="false">
      <c r="H1906" s="0" t="str">
        <f aca="false">IF(B1906="","",IF(COUNTIF(Campaigns!$A$7:$A$300,B1906)&gt;0,"✓","⚠ add to Campaigns tab"))</f>
        <v/>
      </c>
      <c r="I1906" s="84" t="str">
        <f aca="false">IF(C1906="","",C1906*IF(Settings!$B$24=Settings!$C$6,1,IF(Settings!$B$24="USD",1/INDEX(Settings!$B$29:$B$40,MONTH(A1906)),INDEX(Settings!$B$29:$B$40,MONTH(A1906)))))</f>
        <v/>
      </c>
    </row>
    <row r="1907" customFormat="false" ht="15" hidden="false" customHeight="false" outlineLevel="0" collapsed="false">
      <c r="H1907" s="0" t="str">
        <f aca="false">IF(B1907="","",IF(COUNTIF(Campaigns!$A$7:$A$300,B1907)&gt;0,"✓","⚠ add to Campaigns tab"))</f>
        <v/>
      </c>
      <c r="I1907" s="84" t="str">
        <f aca="false">IF(C1907="","",C1907*IF(Settings!$B$24=Settings!$C$6,1,IF(Settings!$B$24="USD",1/INDEX(Settings!$B$29:$B$40,MONTH(A1907)),INDEX(Settings!$B$29:$B$40,MONTH(A1907)))))</f>
        <v/>
      </c>
    </row>
    <row r="1908" customFormat="false" ht="15" hidden="false" customHeight="false" outlineLevel="0" collapsed="false">
      <c r="H1908" s="0" t="str">
        <f aca="false">IF(B1908="","",IF(COUNTIF(Campaigns!$A$7:$A$300,B1908)&gt;0,"✓","⚠ add to Campaigns tab"))</f>
        <v/>
      </c>
      <c r="I1908" s="84" t="str">
        <f aca="false">IF(C1908="","",C1908*IF(Settings!$B$24=Settings!$C$6,1,IF(Settings!$B$24="USD",1/INDEX(Settings!$B$29:$B$40,MONTH(A1908)),INDEX(Settings!$B$29:$B$40,MONTH(A1908)))))</f>
        <v/>
      </c>
    </row>
    <row r="1909" customFormat="false" ht="15" hidden="false" customHeight="false" outlineLevel="0" collapsed="false">
      <c r="H1909" s="0" t="str">
        <f aca="false">IF(B1909="","",IF(COUNTIF(Campaigns!$A$7:$A$300,B1909)&gt;0,"✓","⚠ add to Campaigns tab"))</f>
        <v/>
      </c>
      <c r="I1909" s="84" t="str">
        <f aca="false">IF(C1909="","",C1909*IF(Settings!$B$24=Settings!$C$6,1,IF(Settings!$B$24="USD",1/INDEX(Settings!$B$29:$B$40,MONTH(A1909)),INDEX(Settings!$B$29:$B$40,MONTH(A1909)))))</f>
        <v/>
      </c>
    </row>
    <row r="1910" customFormat="false" ht="15" hidden="false" customHeight="false" outlineLevel="0" collapsed="false">
      <c r="H1910" s="0" t="str">
        <f aca="false">IF(B1910="","",IF(COUNTIF(Campaigns!$A$7:$A$300,B1910)&gt;0,"✓","⚠ add to Campaigns tab"))</f>
        <v/>
      </c>
      <c r="I1910" s="84" t="str">
        <f aca="false">IF(C1910="","",C1910*IF(Settings!$B$24=Settings!$C$6,1,IF(Settings!$B$24="USD",1/INDEX(Settings!$B$29:$B$40,MONTH(A1910)),INDEX(Settings!$B$29:$B$40,MONTH(A1910)))))</f>
        <v/>
      </c>
    </row>
    <row r="1911" customFormat="false" ht="15" hidden="false" customHeight="false" outlineLevel="0" collapsed="false">
      <c r="H1911" s="0" t="str">
        <f aca="false">IF(B1911="","",IF(COUNTIF(Campaigns!$A$7:$A$300,B1911)&gt;0,"✓","⚠ add to Campaigns tab"))</f>
        <v/>
      </c>
      <c r="I1911" s="84" t="str">
        <f aca="false">IF(C1911="","",C1911*IF(Settings!$B$24=Settings!$C$6,1,IF(Settings!$B$24="USD",1/INDEX(Settings!$B$29:$B$40,MONTH(A1911)),INDEX(Settings!$B$29:$B$40,MONTH(A1911)))))</f>
        <v/>
      </c>
    </row>
    <row r="1912" customFormat="false" ht="15" hidden="false" customHeight="false" outlineLevel="0" collapsed="false">
      <c r="H1912" s="0" t="str">
        <f aca="false">IF(B1912="","",IF(COUNTIF(Campaigns!$A$7:$A$300,B1912)&gt;0,"✓","⚠ add to Campaigns tab"))</f>
        <v/>
      </c>
      <c r="I1912" s="84" t="str">
        <f aca="false">IF(C1912="","",C1912*IF(Settings!$B$24=Settings!$C$6,1,IF(Settings!$B$24="USD",1/INDEX(Settings!$B$29:$B$40,MONTH(A1912)),INDEX(Settings!$B$29:$B$40,MONTH(A1912)))))</f>
        <v/>
      </c>
    </row>
    <row r="1913" customFormat="false" ht="15" hidden="false" customHeight="false" outlineLevel="0" collapsed="false">
      <c r="H1913" s="0" t="str">
        <f aca="false">IF(B1913="","",IF(COUNTIF(Campaigns!$A$7:$A$300,B1913)&gt;0,"✓","⚠ add to Campaigns tab"))</f>
        <v/>
      </c>
      <c r="I1913" s="84" t="str">
        <f aca="false">IF(C1913="","",C1913*IF(Settings!$B$24=Settings!$C$6,1,IF(Settings!$B$24="USD",1/INDEX(Settings!$B$29:$B$40,MONTH(A1913)),INDEX(Settings!$B$29:$B$40,MONTH(A1913)))))</f>
        <v/>
      </c>
    </row>
    <row r="1914" customFormat="false" ht="15" hidden="false" customHeight="false" outlineLevel="0" collapsed="false">
      <c r="H1914" s="0" t="str">
        <f aca="false">IF(B1914="","",IF(COUNTIF(Campaigns!$A$7:$A$300,B1914)&gt;0,"✓","⚠ add to Campaigns tab"))</f>
        <v/>
      </c>
      <c r="I1914" s="84" t="str">
        <f aca="false">IF(C1914="","",C1914*IF(Settings!$B$24=Settings!$C$6,1,IF(Settings!$B$24="USD",1/INDEX(Settings!$B$29:$B$40,MONTH(A1914)),INDEX(Settings!$B$29:$B$40,MONTH(A1914)))))</f>
        <v/>
      </c>
    </row>
    <row r="1915" customFormat="false" ht="15" hidden="false" customHeight="false" outlineLevel="0" collapsed="false">
      <c r="H1915" s="0" t="str">
        <f aca="false">IF(B1915="","",IF(COUNTIF(Campaigns!$A$7:$A$300,B1915)&gt;0,"✓","⚠ add to Campaigns tab"))</f>
        <v/>
      </c>
      <c r="I1915" s="84" t="str">
        <f aca="false">IF(C1915="","",C1915*IF(Settings!$B$24=Settings!$C$6,1,IF(Settings!$B$24="USD",1/INDEX(Settings!$B$29:$B$40,MONTH(A1915)),INDEX(Settings!$B$29:$B$40,MONTH(A1915)))))</f>
        <v/>
      </c>
    </row>
    <row r="1916" customFormat="false" ht="15" hidden="false" customHeight="false" outlineLevel="0" collapsed="false">
      <c r="H1916" s="0" t="str">
        <f aca="false">IF(B1916="","",IF(COUNTIF(Campaigns!$A$7:$A$300,B1916)&gt;0,"✓","⚠ add to Campaigns tab"))</f>
        <v/>
      </c>
      <c r="I1916" s="84" t="str">
        <f aca="false">IF(C1916="","",C1916*IF(Settings!$B$24=Settings!$C$6,1,IF(Settings!$B$24="USD",1/INDEX(Settings!$B$29:$B$40,MONTH(A1916)),INDEX(Settings!$B$29:$B$40,MONTH(A1916)))))</f>
        <v/>
      </c>
    </row>
    <row r="1917" customFormat="false" ht="15" hidden="false" customHeight="false" outlineLevel="0" collapsed="false">
      <c r="H1917" s="0" t="str">
        <f aca="false">IF(B1917="","",IF(COUNTIF(Campaigns!$A$7:$A$300,B1917)&gt;0,"✓","⚠ add to Campaigns tab"))</f>
        <v/>
      </c>
      <c r="I1917" s="84" t="str">
        <f aca="false">IF(C1917="","",C1917*IF(Settings!$B$24=Settings!$C$6,1,IF(Settings!$B$24="USD",1/INDEX(Settings!$B$29:$B$40,MONTH(A1917)),INDEX(Settings!$B$29:$B$40,MONTH(A1917)))))</f>
        <v/>
      </c>
    </row>
    <row r="1918" customFormat="false" ht="15" hidden="false" customHeight="false" outlineLevel="0" collapsed="false">
      <c r="H1918" s="0" t="str">
        <f aca="false">IF(B1918="","",IF(COUNTIF(Campaigns!$A$7:$A$300,B1918)&gt;0,"✓","⚠ add to Campaigns tab"))</f>
        <v/>
      </c>
      <c r="I1918" s="84" t="str">
        <f aca="false">IF(C1918="","",C1918*IF(Settings!$B$24=Settings!$C$6,1,IF(Settings!$B$24="USD",1/INDEX(Settings!$B$29:$B$40,MONTH(A1918)),INDEX(Settings!$B$29:$B$40,MONTH(A1918)))))</f>
        <v/>
      </c>
    </row>
    <row r="1919" customFormat="false" ht="15" hidden="false" customHeight="false" outlineLevel="0" collapsed="false">
      <c r="H1919" s="0" t="str">
        <f aca="false">IF(B1919="","",IF(COUNTIF(Campaigns!$A$7:$A$300,B1919)&gt;0,"✓","⚠ add to Campaigns tab"))</f>
        <v/>
      </c>
      <c r="I1919" s="84" t="str">
        <f aca="false">IF(C1919="","",C1919*IF(Settings!$B$24=Settings!$C$6,1,IF(Settings!$B$24="USD",1/INDEX(Settings!$B$29:$B$40,MONTH(A1919)),INDEX(Settings!$B$29:$B$40,MONTH(A1919)))))</f>
        <v/>
      </c>
    </row>
    <row r="1920" customFormat="false" ht="15" hidden="false" customHeight="false" outlineLevel="0" collapsed="false">
      <c r="H1920" s="0" t="str">
        <f aca="false">IF(B1920="","",IF(COUNTIF(Campaigns!$A$7:$A$300,B1920)&gt;0,"✓","⚠ add to Campaigns tab"))</f>
        <v/>
      </c>
      <c r="I1920" s="84" t="str">
        <f aca="false">IF(C1920="","",C1920*IF(Settings!$B$24=Settings!$C$6,1,IF(Settings!$B$24="USD",1/INDEX(Settings!$B$29:$B$40,MONTH(A1920)),INDEX(Settings!$B$29:$B$40,MONTH(A1920)))))</f>
        <v/>
      </c>
    </row>
    <row r="1921" customFormat="false" ht="15" hidden="false" customHeight="false" outlineLevel="0" collapsed="false">
      <c r="H1921" s="0" t="str">
        <f aca="false">IF(B1921="","",IF(COUNTIF(Campaigns!$A$7:$A$300,B1921)&gt;0,"✓","⚠ add to Campaigns tab"))</f>
        <v/>
      </c>
      <c r="I1921" s="84" t="str">
        <f aca="false">IF(C1921="","",C1921*IF(Settings!$B$24=Settings!$C$6,1,IF(Settings!$B$24="USD",1/INDEX(Settings!$B$29:$B$40,MONTH(A1921)),INDEX(Settings!$B$29:$B$40,MONTH(A1921)))))</f>
        <v/>
      </c>
    </row>
    <row r="1922" customFormat="false" ht="15" hidden="false" customHeight="false" outlineLevel="0" collapsed="false">
      <c r="H1922" s="0" t="str">
        <f aca="false">IF(B1922="","",IF(COUNTIF(Campaigns!$A$7:$A$300,B1922)&gt;0,"✓","⚠ add to Campaigns tab"))</f>
        <v/>
      </c>
      <c r="I1922" s="84" t="str">
        <f aca="false">IF(C1922="","",C1922*IF(Settings!$B$24=Settings!$C$6,1,IF(Settings!$B$24="USD",1/INDEX(Settings!$B$29:$B$40,MONTH(A1922)),INDEX(Settings!$B$29:$B$40,MONTH(A1922)))))</f>
        <v/>
      </c>
    </row>
    <row r="1923" customFormat="false" ht="15" hidden="false" customHeight="false" outlineLevel="0" collapsed="false">
      <c r="H1923" s="0" t="str">
        <f aca="false">IF(B1923="","",IF(COUNTIF(Campaigns!$A$7:$A$300,B1923)&gt;0,"✓","⚠ add to Campaigns tab"))</f>
        <v/>
      </c>
      <c r="I1923" s="84" t="str">
        <f aca="false">IF(C1923="","",C1923*IF(Settings!$B$24=Settings!$C$6,1,IF(Settings!$B$24="USD",1/INDEX(Settings!$B$29:$B$40,MONTH(A1923)),INDEX(Settings!$B$29:$B$40,MONTH(A1923)))))</f>
        <v/>
      </c>
    </row>
    <row r="1924" customFormat="false" ht="15" hidden="false" customHeight="false" outlineLevel="0" collapsed="false">
      <c r="H1924" s="0" t="str">
        <f aca="false">IF(B1924="","",IF(COUNTIF(Campaigns!$A$7:$A$300,B1924)&gt;0,"✓","⚠ add to Campaigns tab"))</f>
        <v/>
      </c>
      <c r="I1924" s="84" t="str">
        <f aca="false">IF(C1924="","",C1924*IF(Settings!$B$24=Settings!$C$6,1,IF(Settings!$B$24="USD",1/INDEX(Settings!$B$29:$B$40,MONTH(A1924)),INDEX(Settings!$B$29:$B$40,MONTH(A1924)))))</f>
        <v/>
      </c>
    </row>
    <row r="1925" customFormat="false" ht="15" hidden="false" customHeight="false" outlineLevel="0" collapsed="false">
      <c r="H1925" s="0" t="str">
        <f aca="false">IF(B1925="","",IF(COUNTIF(Campaigns!$A$7:$A$300,B1925)&gt;0,"✓","⚠ add to Campaigns tab"))</f>
        <v/>
      </c>
      <c r="I1925" s="84" t="str">
        <f aca="false">IF(C1925="","",C1925*IF(Settings!$B$24=Settings!$C$6,1,IF(Settings!$B$24="USD",1/INDEX(Settings!$B$29:$B$40,MONTH(A1925)),INDEX(Settings!$B$29:$B$40,MONTH(A1925)))))</f>
        <v/>
      </c>
    </row>
    <row r="1926" customFormat="false" ht="15" hidden="false" customHeight="false" outlineLevel="0" collapsed="false">
      <c r="H1926" s="0" t="str">
        <f aca="false">IF(B1926="","",IF(COUNTIF(Campaigns!$A$7:$A$300,B1926)&gt;0,"✓","⚠ add to Campaigns tab"))</f>
        <v/>
      </c>
      <c r="I1926" s="84" t="str">
        <f aca="false">IF(C1926="","",C1926*IF(Settings!$B$24=Settings!$C$6,1,IF(Settings!$B$24="USD",1/INDEX(Settings!$B$29:$B$40,MONTH(A1926)),INDEX(Settings!$B$29:$B$40,MONTH(A1926)))))</f>
        <v/>
      </c>
    </row>
    <row r="1927" customFormat="false" ht="15" hidden="false" customHeight="false" outlineLevel="0" collapsed="false">
      <c r="H1927" s="0" t="str">
        <f aca="false">IF(B1927="","",IF(COUNTIF(Campaigns!$A$7:$A$300,B1927)&gt;0,"✓","⚠ add to Campaigns tab"))</f>
        <v/>
      </c>
      <c r="I1927" s="84" t="str">
        <f aca="false">IF(C1927="","",C1927*IF(Settings!$B$24=Settings!$C$6,1,IF(Settings!$B$24="USD",1/INDEX(Settings!$B$29:$B$40,MONTH(A1927)),INDEX(Settings!$B$29:$B$40,MONTH(A1927)))))</f>
        <v/>
      </c>
    </row>
    <row r="1928" customFormat="false" ht="15" hidden="false" customHeight="false" outlineLevel="0" collapsed="false">
      <c r="H1928" s="0" t="str">
        <f aca="false">IF(B1928="","",IF(COUNTIF(Campaigns!$A$7:$A$300,B1928)&gt;0,"✓","⚠ add to Campaigns tab"))</f>
        <v/>
      </c>
      <c r="I1928" s="84" t="str">
        <f aca="false">IF(C1928="","",C1928*IF(Settings!$B$24=Settings!$C$6,1,IF(Settings!$B$24="USD",1/INDEX(Settings!$B$29:$B$40,MONTH(A1928)),INDEX(Settings!$B$29:$B$40,MONTH(A1928)))))</f>
        <v/>
      </c>
    </row>
    <row r="1929" customFormat="false" ht="15" hidden="false" customHeight="false" outlineLevel="0" collapsed="false">
      <c r="H1929" s="0" t="str">
        <f aca="false">IF(B1929="","",IF(COUNTIF(Campaigns!$A$7:$A$300,B1929)&gt;0,"✓","⚠ add to Campaigns tab"))</f>
        <v/>
      </c>
      <c r="I1929" s="84" t="str">
        <f aca="false">IF(C1929="","",C1929*IF(Settings!$B$24=Settings!$C$6,1,IF(Settings!$B$24="USD",1/INDEX(Settings!$B$29:$B$40,MONTH(A1929)),INDEX(Settings!$B$29:$B$40,MONTH(A1929)))))</f>
        <v/>
      </c>
    </row>
    <row r="1930" customFormat="false" ht="15" hidden="false" customHeight="false" outlineLevel="0" collapsed="false">
      <c r="H1930" s="0" t="str">
        <f aca="false">IF(B1930="","",IF(COUNTIF(Campaigns!$A$7:$A$300,B1930)&gt;0,"✓","⚠ add to Campaigns tab"))</f>
        <v/>
      </c>
      <c r="I1930" s="84" t="str">
        <f aca="false">IF(C1930="","",C1930*IF(Settings!$B$24=Settings!$C$6,1,IF(Settings!$B$24="USD",1/INDEX(Settings!$B$29:$B$40,MONTH(A1930)),INDEX(Settings!$B$29:$B$40,MONTH(A1930)))))</f>
        <v/>
      </c>
    </row>
    <row r="1931" customFormat="false" ht="15" hidden="false" customHeight="false" outlineLevel="0" collapsed="false">
      <c r="H1931" s="0" t="str">
        <f aca="false">IF(B1931="","",IF(COUNTIF(Campaigns!$A$7:$A$300,B1931)&gt;0,"✓","⚠ add to Campaigns tab"))</f>
        <v/>
      </c>
      <c r="I1931" s="84" t="str">
        <f aca="false">IF(C1931="","",C1931*IF(Settings!$B$24=Settings!$C$6,1,IF(Settings!$B$24="USD",1/INDEX(Settings!$B$29:$B$40,MONTH(A1931)),INDEX(Settings!$B$29:$B$40,MONTH(A1931)))))</f>
        <v/>
      </c>
    </row>
    <row r="1932" customFormat="false" ht="15" hidden="false" customHeight="false" outlineLevel="0" collapsed="false">
      <c r="H1932" s="0" t="str">
        <f aca="false">IF(B1932="","",IF(COUNTIF(Campaigns!$A$7:$A$300,B1932)&gt;0,"✓","⚠ add to Campaigns tab"))</f>
        <v/>
      </c>
      <c r="I1932" s="84" t="str">
        <f aca="false">IF(C1932="","",C1932*IF(Settings!$B$24=Settings!$C$6,1,IF(Settings!$B$24="USD",1/INDEX(Settings!$B$29:$B$40,MONTH(A1932)),INDEX(Settings!$B$29:$B$40,MONTH(A1932)))))</f>
        <v/>
      </c>
    </row>
    <row r="1933" customFormat="false" ht="15" hidden="false" customHeight="false" outlineLevel="0" collapsed="false">
      <c r="H1933" s="0" t="str">
        <f aca="false">IF(B1933="","",IF(COUNTIF(Campaigns!$A$7:$A$300,B1933)&gt;0,"✓","⚠ add to Campaigns tab"))</f>
        <v/>
      </c>
      <c r="I1933" s="84" t="str">
        <f aca="false">IF(C1933="","",C1933*IF(Settings!$B$24=Settings!$C$6,1,IF(Settings!$B$24="USD",1/INDEX(Settings!$B$29:$B$40,MONTH(A1933)),INDEX(Settings!$B$29:$B$40,MONTH(A1933)))))</f>
        <v/>
      </c>
    </row>
    <row r="1934" customFormat="false" ht="15" hidden="false" customHeight="false" outlineLevel="0" collapsed="false">
      <c r="H1934" s="0" t="str">
        <f aca="false">IF(B1934="","",IF(COUNTIF(Campaigns!$A$7:$A$300,B1934)&gt;0,"✓","⚠ add to Campaigns tab"))</f>
        <v/>
      </c>
      <c r="I1934" s="84" t="str">
        <f aca="false">IF(C1934="","",C1934*IF(Settings!$B$24=Settings!$C$6,1,IF(Settings!$B$24="USD",1/INDEX(Settings!$B$29:$B$40,MONTH(A1934)),INDEX(Settings!$B$29:$B$40,MONTH(A1934)))))</f>
        <v/>
      </c>
    </row>
    <row r="1935" customFormat="false" ht="15" hidden="false" customHeight="false" outlineLevel="0" collapsed="false">
      <c r="H1935" s="0" t="str">
        <f aca="false">IF(B1935="","",IF(COUNTIF(Campaigns!$A$7:$A$300,B1935)&gt;0,"✓","⚠ add to Campaigns tab"))</f>
        <v/>
      </c>
      <c r="I1935" s="84" t="str">
        <f aca="false">IF(C1935="","",C1935*IF(Settings!$B$24=Settings!$C$6,1,IF(Settings!$B$24="USD",1/INDEX(Settings!$B$29:$B$40,MONTH(A1935)),INDEX(Settings!$B$29:$B$40,MONTH(A1935)))))</f>
        <v/>
      </c>
    </row>
    <row r="1936" customFormat="false" ht="15" hidden="false" customHeight="false" outlineLevel="0" collapsed="false">
      <c r="H1936" s="0" t="str">
        <f aca="false">IF(B1936="","",IF(COUNTIF(Campaigns!$A$7:$A$300,B1936)&gt;0,"✓","⚠ add to Campaigns tab"))</f>
        <v/>
      </c>
      <c r="I1936" s="84" t="str">
        <f aca="false">IF(C1936="","",C1936*IF(Settings!$B$24=Settings!$C$6,1,IF(Settings!$B$24="USD",1/INDEX(Settings!$B$29:$B$40,MONTH(A1936)),INDEX(Settings!$B$29:$B$40,MONTH(A1936)))))</f>
        <v/>
      </c>
    </row>
    <row r="1937" customFormat="false" ht="15" hidden="false" customHeight="false" outlineLevel="0" collapsed="false">
      <c r="H1937" s="0" t="str">
        <f aca="false">IF(B1937="","",IF(COUNTIF(Campaigns!$A$7:$A$300,B1937)&gt;0,"✓","⚠ add to Campaigns tab"))</f>
        <v/>
      </c>
      <c r="I1937" s="84" t="str">
        <f aca="false">IF(C1937="","",C1937*IF(Settings!$B$24=Settings!$C$6,1,IF(Settings!$B$24="USD",1/INDEX(Settings!$B$29:$B$40,MONTH(A1937)),INDEX(Settings!$B$29:$B$40,MONTH(A1937)))))</f>
        <v/>
      </c>
    </row>
    <row r="1938" customFormat="false" ht="15" hidden="false" customHeight="false" outlineLevel="0" collapsed="false">
      <c r="H1938" s="0" t="str">
        <f aca="false">IF(B1938="","",IF(COUNTIF(Campaigns!$A$7:$A$300,B1938)&gt;0,"✓","⚠ add to Campaigns tab"))</f>
        <v/>
      </c>
      <c r="I1938" s="84" t="str">
        <f aca="false">IF(C1938="","",C1938*IF(Settings!$B$24=Settings!$C$6,1,IF(Settings!$B$24="USD",1/INDEX(Settings!$B$29:$B$40,MONTH(A1938)),INDEX(Settings!$B$29:$B$40,MONTH(A1938)))))</f>
        <v/>
      </c>
    </row>
    <row r="1939" customFormat="false" ht="15" hidden="false" customHeight="false" outlineLevel="0" collapsed="false">
      <c r="H1939" s="0" t="str">
        <f aca="false">IF(B1939="","",IF(COUNTIF(Campaigns!$A$7:$A$300,B1939)&gt;0,"✓","⚠ add to Campaigns tab"))</f>
        <v/>
      </c>
      <c r="I1939" s="84" t="str">
        <f aca="false">IF(C1939="","",C1939*IF(Settings!$B$24=Settings!$C$6,1,IF(Settings!$B$24="USD",1/INDEX(Settings!$B$29:$B$40,MONTH(A1939)),INDEX(Settings!$B$29:$B$40,MONTH(A1939)))))</f>
        <v/>
      </c>
    </row>
    <row r="1940" customFormat="false" ht="15" hidden="false" customHeight="false" outlineLevel="0" collapsed="false">
      <c r="H1940" s="0" t="str">
        <f aca="false">IF(B1940="","",IF(COUNTIF(Campaigns!$A$7:$A$300,B1940)&gt;0,"✓","⚠ add to Campaigns tab"))</f>
        <v/>
      </c>
      <c r="I1940" s="84" t="str">
        <f aca="false">IF(C1940="","",C1940*IF(Settings!$B$24=Settings!$C$6,1,IF(Settings!$B$24="USD",1/INDEX(Settings!$B$29:$B$40,MONTH(A1940)),INDEX(Settings!$B$29:$B$40,MONTH(A1940)))))</f>
        <v/>
      </c>
    </row>
    <row r="1941" customFormat="false" ht="15" hidden="false" customHeight="false" outlineLevel="0" collapsed="false">
      <c r="H1941" s="0" t="str">
        <f aca="false">IF(B1941="","",IF(COUNTIF(Campaigns!$A$7:$A$300,B1941)&gt;0,"✓","⚠ add to Campaigns tab"))</f>
        <v/>
      </c>
      <c r="I1941" s="84" t="str">
        <f aca="false">IF(C1941="","",C1941*IF(Settings!$B$24=Settings!$C$6,1,IF(Settings!$B$24="USD",1/INDEX(Settings!$B$29:$B$40,MONTH(A1941)),INDEX(Settings!$B$29:$B$40,MONTH(A1941)))))</f>
        <v/>
      </c>
    </row>
    <row r="1942" customFormat="false" ht="15" hidden="false" customHeight="false" outlineLevel="0" collapsed="false">
      <c r="H1942" s="0" t="str">
        <f aca="false">IF(B1942="","",IF(COUNTIF(Campaigns!$A$7:$A$300,B1942)&gt;0,"✓","⚠ add to Campaigns tab"))</f>
        <v/>
      </c>
      <c r="I1942" s="84" t="str">
        <f aca="false">IF(C1942="","",C1942*IF(Settings!$B$24=Settings!$C$6,1,IF(Settings!$B$24="USD",1/INDEX(Settings!$B$29:$B$40,MONTH(A1942)),INDEX(Settings!$B$29:$B$40,MONTH(A1942)))))</f>
        <v/>
      </c>
    </row>
    <row r="1943" customFormat="false" ht="15" hidden="false" customHeight="false" outlineLevel="0" collapsed="false">
      <c r="H1943" s="0" t="str">
        <f aca="false">IF(B1943="","",IF(COUNTIF(Campaigns!$A$7:$A$300,B1943)&gt;0,"✓","⚠ add to Campaigns tab"))</f>
        <v/>
      </c>
      <c r="I1943" s="84" t="str">
        <f aca="false">IF(C1943="","",C1943*IF(Settings!$B$24=Settings!$C$6,1,IF(Settings!$B$24="USD",1/INDEX(Settings!$B$29:$B$40,MONTH(A1943)),INDEX(Settings!$B$29:$B$40,MONTH(A1943)))))</f>
        <v/>
      </c>
    </row>
    <row r="1944" customFormat="false" ht="15" hidden="false" customHeight="false" outlineLevel="0" collapsed="false">
      <c r="H1944" s="0" t="str">
        <f aca="false">IF(B1944="","",IF(COUNTIF(Campaigns!$A$7:$A$300,B1944)&gt;0,"✓","⚠ add to Campaigns tab"))</f>
        <v/>
      </c>
      <c r="I1944" s="84" t="str">
        <f aca="false">IF(C1944="","",C1944*IF(Settings!$B$24=Settings!$C$6,1,IF(Settings!$B$24="USD",1/INDEX(Settings!$B$29:$B$40,MONTH(A1944)),INDEX(Settings!$B$29:$B$40,MONTH(A1944)))))</f>
        <v/>
      </c>
    </row>
    <row r="1945" customFormat="false" ht="15" hidden="false" customHeight="false" outlineLevel="0" collapsed="false">
      <c r="H1945" s="0" t="str">
        <f aca="false">IF(B1945="","",IF(COUNTIF(Campaigns!$A$7:$A$300,B1945)&gt;0,"✓","⚠ add to Campaigns tab"))</f>
        <v/>
      </c>
      <c r="I1945" s="84" t="str">
        <f aca="false">IF(C1945="","",C1945*IF(Settings!$B$24=Settings!$C$6,1,IF(Settings!$B$24="USD",1/INDEX(Settings!$B$29:$B$40,MONTH(A1945)),INDEX(Settings!$B$29:$B$40,MONTH(A1945)))))</f>
        <v/>
      </c>
    </row>
    <row r="1946" customFormat="false" ht="15" hidden="false" customHeight="false" outlineLevel="0" collapsed="false">
      <c r="H1946" s="0" t="str">
        <f aca="false">IF(B1946="","",IF(COUNTIF(Campaigns!$A$7:$A$300,B1946)&gt;0,"✓","⚠ add to Campaigns tab"))</f>
        <v/>
      </c>
      <c r="I1946" s="84" t="str">
        <f aca="false">IF(C1946="","",C1946*IF(Settings!$B$24=Settings!$C$6,1,IF(Settings!$B$24="USD",1/INDEX(Settings!$B$29:$B$40,MONTH(A1946)),INDEX(Settings!$B$29:$B$40,MONTH(A1946)))))</f>
        <v/>
      </c>
    </row>
    <row r="1947" customFormat="false" ht="15" hidden="false" customHeight="false" outlineLevel="0" collapsed="false">
      <c r="H1947" s="0" t="str">
        <f aca="false">IF(B1947="","",IF(COUNTIF(Campaigns!$A$7:$A$300,B1947)&gt;0,"✓","⚠ add to Campaigns tab"))</f>
        <v/>
      </c>
      <c r="I1947" s="84" t="str">
        <f aca="false">IF(C1947="","",C1947*IF(Settings!$B$24=Settings!$C$6,1,IF(Settings!$B$24="USD",1/INDEX(Settings!$B$29:$B$40,MONTH(A1947)),INDEX(Settings!$B$29:$B$40,MONTH(A1947)))))</f>
        <v/>
      </c>
    </row>
    <row r="1948" customFormat="false" ht="15" hidden="false" customHeight="false" outlineLevel="0" collapsed="false">
      <c r="H1948" s="0" t="str">
        <f aca="false">IF(B1948="","",IF(COUNTIF(Campaigns!$A$7:$A$300,B1948)&gt;0,"✓","⚠ add to Campaigns tab"))</f>
        <v/>
      </c>
      <c r="I1948" s="84" t="str">
        <f aca="false">IF(C1948="","",C1948*IF(Settings!$B$24=Settings!$C$6,1,IF(Settings!$B$24="USD",1/INDEX(Settings!$B$29:$B$40,MONTH(A1948)),INDEX(Settings!$B$29:$B$40,MONTH(A1948)))))</f>
        <v/>
      </c>
    </row>
    <row r="1949" customFormat="false" ht="15" hidden="false" customHeight="false" outlineLevel="0" collapsed="false">
      <c r="H1949" s="0" t="str">
        <f aca="false">IF(B1949="","",IF(COUNTIF(Campaigns!$A$7:$A$300,B1949)&gt;0,"✓","⚠ add to Campaigns tab"))</f>
        <v/>
      </c>
      <c r="I1949" s="84" t="str">
        <f aca="false">IF(C1949="","",C1949*IF(Settings!$B$24=Settings!$C$6,1,IF(Settings!$B$24="USD",1/INDEX(Settings!$B$29:$B$40,MONTH(A1949)),INDEX(Settings!$B$29:$B$40,MONTH(A1949)))))</f>
        <v/>
      </c>
    </row>
    <row r="1950" customFormat="false" ht="15" hidden="false" customHeight="false" outlineLevel="0" collapsed="false">
      <c r="H1950" s="0" t="str">
        <f aca="false">IF(B1950="","",IF(COUNTIF(Campaigns!$A$7:$A$300,B1950)&gt;0,"✓","⚠ add to Campaigns tab"))</f>
        <v/>
      </c>
      <c r="I1950" s="84" t="str">
        <f aca="false">IF(C1950="","",C1950*IF(Settings!$B$24=Settings!$C$6,1,IF(Settings!$B$24="USD",1/INDEX(Settings!$B$29:$B$40,MONTH(A1950)),INDEX(Settings!$B$29:$B$40,MONTH(A1950)))))</f>
        <v/>
      </c>
    </row>
    <row r="1951" customFormat="false" ht="15" hidden="false" customHeight="false" outlineLevel="0" collapsed="false">
      <c r="H1951" s="0" t="str">
        <f aca="false">IF(B1951="","",IF(COUNTIF(Campaigns!$A$7:$A$300,B1951)&gt;0,"✓","⚠ add to Campaigns tab"))</f>
        <v/>
      </c>
      <c r="I1951" s="84" t="str">
        <f aca="false">IF(C1951="","",C1951*IF(Settings!$B$24=Settings!$C$6,1,IF(Settings!$B$24="USD",1/INDEX(Settings!$B$29:$B$40,MONTH(A1951)),INDEX(Settings!$B$29:$B$40,MONTH(A1951)))))</f>
        <v/>
      </c>
    </row>
    <row r="1952" customFormat="false" ht="15" hidden="false" customHeight="false" outlineLevel="0" collapsed="false">
      <c r="H1952" s="0" t="str">
        <f aca="false">IF(B1952="","",IF(COUNTIF(Campaigns!$A$7:$A$300,B1952)&gt;0,"✓","⚠ add to Campaigns tab"))</f>
        <v/>
      </c>
      <c r="I1952" s="84" t="str">
        <f aca="false">IF(C1952="","",C1952*IF(Settings!$B$24=Settings!$C$6,1,IF(Settings!$B$24="USD",1/INDEX(Settings!$B$29:$B$40,MONTH(A1952)),INDEX(Settings!$B$29:$B$40,MONTH(A1952)))))</f>
        <v/>
      </c>
    </row>
    <row r="1953" customFormat="false" ht="15" hidden="false" customHeight="false" outlineLevel="0" collapsed="false">
      <c r="H1953" s="0" t="str">
        <f aca="false">IF(B1953="","",IF(COUNTIF(Campaigns!$A$7:$A$300,B1953)&gt;0,"✓","⚠ add to Campaigns tab"))</f>
        <v/>
      </c>
      <c r="I1953" s="84" t="str">
        <f aca="false">IF(C1953="","",C1953*IF(Settings!$B$24=Settings!$C$6,1,IF(Settings!$B$24="USD",1/INDEX(Settings!$B$29:$B$40,MONTH(A1953)),INDEX(Settings!$B$29:$B$40,MONTH(A1953)))))</f>
        <v/>
      </c>
    </row>
    <row r="1954" customFormat="false" ht="15" hidden="false" customHeight="false" outlineLevel="0" collapsed="false">
      <c r="H1954" s="0" t="str">
        <f aca="false">IF(B1954="","",IF(COUNTIF(Campaigns!$A$7:$A$300,B1954)&gt;0,"✓","⚠ add to Campaigns tab"))</f>
        <v/>
      </c>
      <c r="I1954" s="84" t="str">
        <f aca="false">IF(C1954="","",C1954*IF(Settings!$B$24=Settings!$C$6,1,IF(Settings!$B$24="USD",1/INDEX(Settings!$B$29:$B$40,MONTH(A1954)),INDEX(Settings!$B$29:$B$40,MONTH(A1954)))))</f>
        <v/>
      </c>
    </row>
    <row r="1955" customFormat="false" ht="15" hidden="false" customHeight="false" outlineLevel="0" collapsed="false">
      <c r="H1955" s="0" t="str">
        <f aca="false">IF(B1955="","",IF(COUNTIF(Campaigns!$A$7:$A$300,B1955)&gt;0,"✓","⚠ add to Campaigns tab"))</f>
        <v/>
      </c>
      <c r="I1955" s="84" t="str">
        <f aca="false">IF(C1955="","",C1955*IF(Settings!$B$24=Settings!$C$6,1,IF(Settings!$B$24="USD",1/INDEX(Settings!$B$29:$B$40,MONTH(A1955)),INDEX(Settings!$B$29:$B$40,MONTH(A1955)))))</f>
        <v/>
      </c>
    </row>
    <row r="1956" customFormat="false" ht="15" hidden="false" customHeight="false" outlineLevel="0" collapsed="false">
      <c r="H1956" s="0" t="str">
        <f aca="false">IF(B1956="","",IF(COUNTIF(Campaigns!$A$7:$A$300,B1956)&gt;0,"✓","⚠ add to Campaigns tab"))</f>
        <v/>
      </c>
      <c r="I1956" s="84" t="str">
        <f aca="false">IF(C1956="","",C1956*IF(Settings!$B$24=Settings!$C$6,1,IF(Settings!$B$24="USD",1/INDEX(Settings!$B$29:$B$40,MONTH(A1956)),INDEX(Settings!$B$29:$B$40,MONTH(A1956)))))</f>
        <v/>
      </c>
    </row>
    <row r="1957" customFormat="false" ht="15" hidden="false" customHeight="false" outlineLevel="0" collapsed="false">
      <c r="H1957" s="0" t="str">
        <f aca="false">IF(B1957="","",IF(COUNTIF(Campaigns!$A$7:$A$300,B1957)&gt;0,"✓","⚠ add to Campaigns tab"))</f>
        <v/>
      </c>
      <c r="I1957" s="84" t="str">
        <f aca="false">IF(C1957="","",C1957*IF(Settings!$B$24=Settings!$C$6,1,IF(Settings!$B$24="USD",1/INDEX(Settings!$B$29:$B$40,MONTH(A1957)),INDEX(Settings!$B$29:$B$40,MONTH(A1957)))))</f>
        <v/>
      </c>
    </row>
    <row r="1958" customFormat="false" ht="15" hidden="false" customHeight="false" outlineLevel="0" collapsed="false">
      <c r="H1958" s="0" t="str">
        <f aca="false">IF(B1958="","",IF(COUNTIF(Campaigns!$A$7:$A$300,B1958)&gt;0,"✓","⚠ add to Campaigns tab"))</f>
        <v/>
      </c>
      <c r="I1958" s="84" t="str">
        <f aca="false">IF(C1958="","",C1958*IF(Settings!$B$24=Settings!$C$6,1,IF(Settings!$B$24="USD",1/INDEX(Settings!$B$29:$B$40,MONTH(A1958)),INDEX(Settings!$B$29:$B$40,MONTH(A1958)))))</f>
        <v/>
      </c>
    </row>
    <row r="1959" customFormat="false" ht="15" hidden="false" customHeight="false" outlineLevel="0" collapsed="false">
      <c r="H1959" s="0" t="str">
        <f aca="false">IF(B1959="","",IF(COUNTIF(Campaigns!$A$7:$A$300,B1959)&gt;0,"✓","⚠ add to Campaigns tab"))</f>
        <v/>
      </c>
      <c r="I1959" s="84" t="str">
        <f aca="false">IF(C1959="","",C1959*IF(Settings!$B$24=Settings!$C$6,1,IF(Settings!$B$24="USD",1/INDEX(Settings!$B$29:$B$40,MONTH(A1959)),INDEX(Settings!$B$29:$B$40,MONTH(A1959)))))</f>
        <v/>
      </c>
    </row>
    <row r="1960" customFormat="false" ht="15" hidden="false" customHeight="false" outlineLevel="0" collapsed="false">
      <c r="H1960" s="0" t="str">
        <f aca="false">IF(B1960="","",IF(COUNTIF(Campaigns!$A$7:$A$300,B1960)&gt;0,"✓","⚠ add to Campaigns tab"))</f>
        <v/>
      </c>
      <c r="I1960" s="84" t="str">
        <f aca="false">IF(C1960="","",C1960*IF(Settings!$B$24=Settings!$C$6,1,IF(Settings!$B$24="USD",1/INDEX(Settings!$B$29:$B$40,MONTH(A1960)),INDEX(Settings!$B$29:$B$40,MONTH(A1960)))))</f>
        <v/>
      </c>
    </row>
    <row r="1961" customFormat="false" ht="15" hidden="false" customHeight="false" outlineLevel="0" collapsed="false">
      <c r="H1961" s="0" t="str">
        <f aca="false">IF(B1961="","",IF(COUNTIF(Campaigns!$A$7:$A$300,B1961)&gt;0,"✓","⚠ add to Campaigns tab"))</f>
        <v/>
      </c>
      <c r="I1961" s="84" t="str">
        <f aca="false">IF(C1961="","",C1961*IF(Settings!$B$24=Settings!$C$6,1,IF(Settings!$B$24="USD",1/INDEX(Settings!$B$29:$B$40,MONTH(A1961)),INDEX(Settings!$B$29:$B$40,MONTH(A1961)))))</f>
        <v/>
      </c>
    </row>
    <row r="1962" customFormat="false" ht="15" hidden="false" customHeight="false" outlineLevel="0" collapsed="false">
      <c r="H1962" s="0" t="str">
        <f aca="false">IF(B1962="","",IF(COUNTIF(Campaigns!$A$7:$A$300,B1962)&gt;0,"✓","⚠ add to Campaigns tab"))</f>
        <v/>
      </c>
      <c r="I1962" s="84" t="str">
        <f aca="false">IF(C1962="","",C1962*IF(Settings!$B$24=Settings!$C$6,1,IF(Settings!$B$24="USD",1/INDEX(Settings!$B$29:$B$40,MONTH(A1962)),INDEX(Settings!$B$29:$B$40,MONTH(A1962)))))</f>
        <v/>
      </c>
    </row>
    <row r="1963" customFormat="false" ht="15" hidden="false" customHeight="false" outlineLevel="0" collapsed="false">
      <c r="H1963" s="0" t="str">
        <f aca="false">IF(B1963="","",IF(COUNTIF(Campaigns!$A$7:$A$300,B1963)&gt;0,"✓","⚠ add to Campaigns tab"))</f>
        <v/>
      </c>
      <c r="I1963" s="84" t="str">
        <f aca="false">IF(C1963="","",C1963*IF(Settings!$B$24=Settings!$C$6,1,IF(Settings!$B$24="USD",1/INDEX(Settings!$B$29:$B$40,MONTH(A1963)),INDEX(Settings!$B$29:$B$40,MONTH(A1963)))))</f>
        <v/>
      </c>
    </row>
    <row r="1964" customFormat="false" ht="15" hidden="false" customHeight="false" outlineLevel="0" collapsed="false">
      <c r="H1964" s="0" t="str">
        <f aca="false">IF(B1964="","",IF(COUNTIF(Campaigns!$A$7:$A$300,B1964)&gt;0,"✓","⚠ add to Campaigns tab"))</f>
        <v/>
      </c>
      <c r="I1964" s="84" t="str">
        <f aca="false">IF(C1964="","",C1964*IF(Settings!$B$24=Settings!$C$6,1,IF(Settings!$B$24="USD",1/INDEX(Settings!$B$29:$B$40,MONTH(A1964)),INDEX(Settings!$B$29:$B$40,MONTH(A1964)))))</f>
        <v/>
      </c>
    </row>
    <row r="1965" customFormat="false" ht="15" hidden="false" customHeight="false" outlineLevel="0" collapsed="false">
      <c r="H1965" s="0" t="str">
        <f aca="false">IF(B1965="","",IF(COUNTIF(Campaigns!$A$7:$A$300,B1965)&gt;0,"✓","⚠ add to Campaigns tab"))</f>
        <v/>
      </c>
      <c r="I1965" s="84" t="str">
        <f aca="false">IF(C1965="","",C1965*IF(Settings!$B$24=Settings!$C$6,1,IF(Settings!$B$24="USD",1/INDEX(Settings!$B$29:$B$40,MONTH(A1965)),INDEX(Settings!$B$29:$B$40,MONTH(A1965)))))</f>
        <v/>
      </c>
    </row>
    <row r="1966" customFormat="false" ht="15" hidden="false" customHeight="false" outlineLevel="0" collapsed="false">
      <c r="H1966" s="0" t="str">
        <f aca="false">IF(B1966="","",IF(COUNTIF(Campaigns!$A$7:$A$300,B1966)&gt;0,"✓","⚠ add to Campaigns tab"))</f>
        <v/>
      </c>
      <c r="I1966" s="84" t="str">
        <f aca="false">IF(C1966="","",C1966*IF(Settings!$B$24=Settings!$C$6,1,IF(Settings!$B$24="USD",1/INDEX(Settings!$B$29:$B$40,MONTH(A1966)),INDEX(Settings!$B$29:$B$40,MONTH(A1966)))))</f>
        <v/>
      </c>
    </row>
    <row r="1967" customFormat="false" ht="15" hidden="false" customHeight="false" outlineLevel="0" collapsed="false">
      <c r="H1967" s="0" t="str">
        <f aca="false">IF(B1967="","",IF(COUNTIF(Campaigns!$A$7:$A$300,B1967)&gt;0,"✓","⚠ add to Campaigns tab"))</f>
        <v/>
      </c>
      <c r="I1967" s="84" t="str">
        <f aca="false">IF(C1967="","",C1967*IF(Settings!$B$24=Settings!$C$6,1,IF(Settings!$B$24="USD",1/INDEX(Settings!$B$29:$B$40,MONTH(A1967)),INDEX(Settings!$B$29:$B$40,MONTH(A1967)))))</f>
        <v/>
      </c>
    </row>
    <row r="1968" customFormat="false" ht="15" hidden="false" customHeight="false" outlineLevel="0" collapsed="false">
      <c r="H1968" s="0" t="str">
        <f aca="false">IF(B1968="","",IF(COUNTIF(Campaigns!$A$7:$A$300,B1968)&gt;0,"✓","⚠ add to Campaigns tab"))</f>
        <v/>
      </c>
      <c r="I1968" s="84" t="str">
        <f aca="false">IF(C1968="","",C1968*IF(Settings!$B$24=Settings!$C$6,1,IF(Settings!$B$24="USD",1/INDEX(Settings!$B$29:$B$40,MONTH(A1968)),INDEX(Settings!$B$29:$B$40,MONTH(A1968)))))</f>
        <v/>
      </c>
    </row>
    <row r="1969" customFormat="false" ht="15" hidden="false" customHeight="false" outlineLevel="0" collapsed="false">
      <c r="H1969" s="0" t="str">
        <f aca="false">IF(B1969="","",IF(COUNTIF(Campaigns!$A$7:$A$300,B1969)&gt;0,"✓","⚠ add to Campaigns tab"))</f>
        <v/>
      </c>
      <c r="I1969" s="84" t="str">
        <f aca="false">IF(C1969="","",C1969*IF(Settings!$B$24=Settings!$C$6,1,IF(Settings!$B$24="USD",1/INDEX(Settings!$B$29:$B$40,MONTH(A1969)),INDEX(Settings!$B$29:$B$40,MONTH(A1969)))))</f>
        <v/>
      </c>
    </row>
    <row r="1970" customFormat="false" ht="15" hidden="false" customHeight="false" outlineLevel="0" collapsed="false">
      <c r="H1970" s="0" t="str">
        <f aca="false">IF(B1970="","",IF(COUNTIF(Campaigns!$A$7:$A$300,B1970)&gt;0,"✓","⚠ add to Campaigns tab"))</f>
        <v/>
      </c>
      <c r="I1970" s="84" t="str">
        <f aca="false">IF(C1970="","",C1970*IF(Settings!$B$24=Settings!$C$6,1,IF(Settings!$B$24="USD",1/INDEX(Settings!$B$29:$B$40,MONTH(A1970)),INDEX(Settings!$B$29:$B$40,MONTH(A1970)))))</f>
        <v/>
      </c>
    </row>
    <row r="1971" customFormat="false" ht="15" hidden="false" customHeight="false" outlineLevel="0" collapsed="false">
      <c r="H1971" s="0" t="str">
        <f aca="false">IF(B1971="","",IF(COUNTIF(Campaigns!$A$7:$A$300,B1971)&gt;0,"✓","⚠ add to Campaigns tab"))</f>
        <v/>
      </c>
      <c r="I1971" s="84" t="str">
        <f aca="false">IF(C1971="","",C1971*IF(Settings!$B$24=Settings!$C$6,1,IF(Settings!$B$24="USD",1/INDEX(Settings!$B$29:$B$40,MONTH(A1971)),INDEX(Settings!$B$29:$B$40,MONTH(A1971)))))</f>
        <v/>
      </c>
    </row>
    <row r="1972" customFormat="false" ht="15" hidden="false" customHeight="false" outlineLevel="0" collapsed="false">
      <c r="H1972" s="0" t="str">
        <f aca="false">IF(B1972="","",IF(COUNTIF(Campaigns!$A$7:$A$300,B1972)&gt;0,"✓","⚠ add to Campaigns tab"))</f>
        <v/>
      </c>
      <c r="I1972" s="84" t="str">
        <f aca="false">IF(C1972="","",C1972*IF(Settings!$B$24=Settings!$C$6,1,IF(Settings!$B$24="USD",1/INDEX(Settings!$B$29:$B$40,MONTH(A1972)),INDEX(Settings!$B$29:$B$40,MONTH(A1972)))))</f>
        <v/>
      </c>
    </row>
    <row r="1973" customFormat="false" ht="15" hidden="false" customHeight="false" outlineLevel="0" collapsed="false">
      <c r="H1973" s="0" t="str">
        <f aca="false">IF(B1973="","",IF(COUNTIF(Campaigns!$A$7:$A$300,B1973)&gt;0,"✓","⚠ add to Campaigns tab"))</f>
        <v/>
      </c>
      <c r="I1973" s="84" t="str">
        <f aca="false">IF(C1973="","",C1973*IF(Settings!$B$24=Settings!$C$6,1,IF(Settings!$B$24="USD",1/INDEX(Settings!$B$29:$B$40,MONTH(A1973)),INDEX(Settings!$B$29:$B$40,MONTH(A1973)))))</f>
        <v/>
      </c>
    </row>
    <row r="1974" customFormat="false" ht="15" hidden="false" customHeight="false" outlineLevel="0" collapsed="false">
      <c r="H1974" s="0" t="str">
        <f aca="false">IF(B1974="","",IF(COUNTIF(Campaigns!$A$7:$A$300,B1974)&gt;0,"✓","⚠ add to Campaigns tab"))</f>
        <v/>
      </c>
      <c r="I1974" s="84" t="str">
        <f aca="false">IF(C1974="","",C1974*IF(Settings!$B$24=Settings!$C$6,1,IF(Settings!$B$24="USD",1/INDEX(Settings!$B$29:$B$40,MONTH(A1974)),INDEX(Settings!$B$29:$B$40,MONTH(A1974)))))</f>
        <v/>
      </c>
    </row>
    <row r="1975" customFormat="false" ht="15" hidden="false" customHeight="false" outlineLevel="0" collapsed="false">
      <c r="H1975" s="0" t="str">
        <f aca="false">IF(B1975="","",IF(COUNTIF(Campaigns!$A$7:$A$300,B1975)&gt;0,"✓","⚠ add to Campaigns tab"))</f>
        <v/>
      </c>
      <c r="I1975" s="84" t="str">
        <f aca="false">IF(C1975="","",C1975*IF(Settings!$B$24=Settings!$C$6,1,IF(Settings!$B$24="USD",1/INDEX(Settings!$B$29:$B$40,MONTH(A1975)),INDEX(Settings!$B$29:$B$40,MONTH(A1975)))))</f>
        <v/>
      </c>
    </row>
    <row r="1976" customFormat="false" ht="15" hidden="false" customHeight="false" outlineLevel="0" collapsed="false">
      <c r="H1976" s="0" t="str">
        <f aca="false">IF(B1976="","",IF(COUNTIF(Campaigns!$A$7:$A$300,B1976)&gt;0,"✓","⚠ add to Campaigns tab"))</f>
        <v/>
      </c>
      <c r="I1976" s="84" t="str">
        <f aca="false">IF(C1976="","",C1976*IF(Settings!$B$24=Settings!$C$6,1,IF(Settings!$B$24="USD",1/INDEX(Settings!$B$29:$B$40,MONTH(A1976)),INDEX(Settings!$B$29:$B$40,MONTH(A1976)))))</f>
        <v/>
      </c>
    </row>
    <row r="1977" customFormat="false" ht="15" hidden="false" customHeight="false" outlineLevel="0" collapsed="false">
      <c r="H1977" s="0" t="str">
        <f aca="false">IF(B1977="","",IF(COUNTIF(Campaigns!$A$7:$A$300,B1977)&gt;0,"✓","⚠ add to Campaigns tab"))</f>
        <v/>
      </c>
      <c r="I1977" s="84" t="str">
        <f aca="false">IF(C1977="","",C1977*IF(Settings!$B$24=Settings!$C$6,1,IF(Settings!$B$24="USD",1/INDEX(Settings!$B$29:$B$40,MONTH(A1977)),INDEX(Settings!$B$29:$B$40,MONTH(A1977)))))</f>
        <v/>
      </c>
    </row>
    <row r="1978" customFormat="false" ht="15" hidden="false" customHeight="false" outlineLevel="0" collapsed="false">
      <c r="H1978" s="0" t="str">
        <f aca="false">IF(B1978="","",IF(COUNTIF(Campaigns!$A$7:$A$300,B1978)&gt;0,"✓","⚠ add to Campaigns tab"))</f>
        <v/>
      </c>
      <c r="I1978" s="84" t="str">
        <f aca="false">IF(C1978="","",C1978*IF(Settings!$B$24=Settings!$C$6,1,IF(Settings!$B$24="USD",1/INDEX(Settings!$B$29:$B$40,MONTH(A1978)),INDEX(Settings!$B$29:$B$40,MONTH(A1978)))))</f>
        <v/>
      </c>
    </row>
    <row r="1979" customFormat="false" ht="15" hidden="false" customHeight="false" outlineLevel="0" collapsed="false">
      <c r="H1979" s="0" t="str">
        <f aca="false">IF(B1979="","",IF(COUNTIF(Campaigns!$A$7:$A$300,B1979)&gt;0,"✓","⚠ add to Campaigns tab"))</f>
        <v/>
      </c>
      <c r="I1979" s="84" t="str">
        <f aca="false">IF(C1979="","",C1979*IF(Settings!$B$24=Settings!$C$6,1,IF(Settings!$B$24="USD",1/INDEX(Settings!$B$29:$B$40,MONTH(A1979)),INDEX(Settings!$B$29:$B$40,MONTH(A1979)))))</f>
        <v/>
      </c>
    </row>
    <row r="1980" customFormat="false" ht="15" hidden="false" customHeight="false" outlineLevel="0" collapsed="false">
      <c r="H1980" s="0" t="str">
        <f aca="false">IF(B1980="","",IF(COUNTIF(Campaigns!$A$7:$A$300,B1980)&gt;0,"✓","⚠ add to Campaigns tab"))</f>
        <v/>
      </c>
      <c r="I1980" s="84" t="str">
        <f aca="false">IF(C1980="","",C1980*IF(Settings!$B$24=Settings!$C$6,1,IF(Settings!$B$24="USD",1/INDEX(Settings!$B$29:$B$40,MONTH(A1980)),INDEX(Settings!$B$29:$B$40,MONTH(A1980)))))</f>
        <v/>
      </c>
    </row>
    <row r="1981" customFormat="false" ht="15" hidden="false" customHeight="false" outlineLevel="0" collapsed="false">
      <c r="H1981" s="0" t="str">
        <f aca="false">IF(B1981="","",IF(COUNTIF(Campaigns!$A$7:$A$300,B1981)&gt;0,"✓","⚠ add to Campaigns tab"))</f>
        <v/>
      </c>
      <c r="I1981" s="84" t="str">
        <f aca="false">IF(C1981="","",C1981*IF(Settings!$B$24=Settings!$C$6,1,IF(Settings!$B$24="USD",1/INDEX(Settings!$B$29:$B$40,MONTH(A1981)),INDEX(Settings!$B$29:$B$40,MONTH(A1981)))))</f>
        <v/>
      </c>
    </row>
    <row r="1982" customFormat="false" ht="15" hidden="false" customHeight="false" outlineLevel="0" collapsed="false">
      <c r="H1982" s="0" t="str">
        <f aca="false">IF(B1982="","",IF(COUNTIF(Campaigns!$A$7:$A$300,B1982)&gt;0,"✓","⚠ add to Campaigns tab"))</f>
        <v/>
      </c>
      <c r="I1982" s="84" t="str">
        <f aca="false">IF(C1982="","",C1982*IF(Settings!$B$24=Settings!$C$6,1,IF(Settings!$B$24="USD",1/INDEX(Settings!$B$29:$B$40,MONTH(A1982)),INDEX(Settings!$B$29:$B$40,MONTH(A1982)))))</f>
        <v/>
      </c>
    </row>
    <row r="1983" customFormat="false" ht="15" hidden="false" customHeight="false" outlineLevel="0" collapsed="false">
      <c r="H1983" s="0" t="str">
        <f aca="false">IF(B1983="","",IF(COUNTIF(Campaigns!$A$7:$A$300,B1983)&gt;0,"✓","⚠ add to Campaigns tab"))</f>
        <v/>
      </c>
      <c r="I1983" s="84" t="str">
        <f aca="false">IF(C1983="","",C1983*IF(Settings!$B$24=Settings!$C$6,1,IF(Settings!$B$24="USD",1/INDEX(Settings!$B$29:$B$40,MONTH(A1983)),INDEX(Settings!$B$29:$B$40,MONTH(A1983)))))</f>
        <v/>
      </c>
    </row>
    <row r="1984" customFormat="false" ht="15" hidden="false" customHeight="false" outlineLevel="0" collapsed="false">
      <c r="H1984" s="0" t="str">
        <f aca="false">IF(B1984="","",IF(COUNTIF(Campaigns!$A$7:$A$300,B1984)&gt;0,"✓","⚠ add to Campaigns tab"))</f>
        <v/>
      </c>
      <c r="I1984" s="84" t="str">
        <f aca="false">IF(C1984="","",C1984*IF(Settings!$B$24=Settings!$C$6,1,IF(Settings!$B$24="USD",1/INDEX(Settings!$B$29:$B$40,MONTH(A1984)),INDEX(Settings!$B$29:$B$40,MONTH(A1984)))))</f>
        <v/>
      </c>
    </row>
    <row r="1985" customFormat="false" ht="15" hidden="false" customHeight="false" outlineLevel="0" collapsed="false">
      <c r="H1985" s="0" t="str">
        <f aca="false">IF(B1985="","",IF(COUNTIF(Campaigns!$A$7:$A$300,B1985)&gt;0,"✓","⚠ add to Campaigns tab"))</f>
        <v/>
      </c>
      <c r="I1985" s="84" t="str">
        <f aca="false">IF(C1985="","",C1985*IF(Settings!$B$24=Settings!$C$6,1,IF(Settings!$B$24="USD",1/INDEX(Settings!$B$29:$B$40,MONTH(A1985)),INDEX(Settings!$B$29:$B$40,MONTH(A1985)))))</f>
        <v/>
      </c>
    </row>
    <row r="1986" customFormat="false" ht="15" hidden="false" customHeight="false" outlineLevel="0" collapsed="false">
      <c r="H1986" s="0" t="str">
        <f aca="false">IF(B1986="","",IF(COUNTIF(Campaigns!$A$7:$A$300,B1986)&gt;0,"✓","⚠ add to Campaigns tab"))</f>
        <v/>
      </c>
      <c r="I1986" s="84" t="str">
        <f aca="false">IF(C1986="","",C1986*IF(Settings!$B$24=Settings!$C$6,1,IF(Settings!$B$24="USD",1/INDEX(Settings!$B$29:$B$40,MONTH(A1986)),INDEX(Settings!$B$29:$B$40,MONTH(A1986)))))</f>
        <v/>
      </c>
    </row>
    <row r="1987" customFormat="false" ht="15" hidden="false" customHeight="false" outlineLevel="0" collapsed="false">
      <c r="H1987" s="0" t="str">
        <f aca="false">IF(B1987="","",IF(COUNTIF(Campaigns!$A$7:$A$300,B1987)&gt;0,"✓","⚠ add to Campaigns tab"))</f>
        <v/>
      </c>
      <c r="I1987" s="84" t="str">
        <f aca="false">IF(C1987="","",C1987*IF(Settings!$B$24=Settings!$C$6,1,IF(Settings!$B$24="USD",1/INDEX(Settings!$B$29:$B$40,MONTH(A1987)),INDEX(Settings!$B$29:$B$40,MONTH(A1987)))))</f>
        <v/>
      </c>
    </row>
    <row r="1988" customFormat="false" ht="15" hidden="false" customHeight="false" outlineLevel="0" collapsed="false">
      <c r="H1988" s="0" t="str">
        <f aca="false">IF(B1988="","",IF(COUNTIF(Campaigns!$A$7:$A$300,B1988)&gt;0,"✓","⚠ add to Campaigns tab"))</f>
        <v/>
      </c>
      <c r="I1988" s="84" t="str">
        <f aca="false">IF(C1988="","",C1988*IF(Settings!$B$24=Settings!$C$6,1,IF(Settings!$B$24="USD",1/INDEX(Settings!$B$29:$B$40,MONTH(A1988)),INDEX(Settings!$B$29:$B$40,MONTH(A1988)))))</f>
        <v/>
      </c>
    </row>
    <row r="1989" customFormat="false" ht="15" hidden="false" customHeight="false" outlineLevel="0" collapsed="false">
      <c r="H1989" s="0" t="str">
        <f aca="false">IF(B1989="","",IF(COUNTIF(Campaigns!$A$7:$A$300,B1989)&gt;0,"✓","⚠ add to Campaigns tab"))</f>
        <v/>
      </c>
      <c r="I1989" s="84" t="str">
        <f aca="false">IF(C1989="","",C1989*IF(Settings!$B$24=Settings!$C$6,1,IF(Settings!$B$24="USD",1/INDEX(Settings!$B$29:$B$40,MONTH(A1989)),INDEX(Settings!$B$29:$B$40,MONTH(A1989)))))</f>
        <v/>
      </c>
    </row>
    <row r="1990" customFormat="false" ht="15" hidden="false" customHeight="false" outlineLevel="0" collapsed="false">
      <c r="H1990" s="0" t="str">
        <f aca="false">IF(B1990="","",IF(COUNTIF(Campaigns!$A$7:$A$300,B1990)&gt;0,"✓","⚠ add to Campaigns tab"))</f>
        <v/>
      </c>
      <c r="I1990" s="84" t="str">
        <f aca="false">IF(C1990="","",C1990*IF(Settings!$B$24=Settings!$C$6,1,IF(Settings!$B$24="USD",1/INDEX(Settings!$B$29:$B$40,MONTH(A1990)),INDEX(Settings!$B$29:$B$40,MONTH(A1990)))))</f>
        <v/>
      </c>
    </row>
    <row r="1991" customFormat="false" ht="15" hidden="false" customHeight="false" outlineLevel="0" collapsed="false">
      <c r="H1991" s="0" t="str">
        <f aca="false">IF(B1991="","",IF(COUNTIF(Campaigns!$A$7:$A$300,B1991)&gt;0,"✓","⚠ add to Campaigns tab"))</f>
        <v/>
      </c>
      <c r="I1991" s="84" t="str">
        <f aca="false">IF(C1991="","",C1991*IF(Settings!$B$24=Settings!$C$6,1,IF(Settings!$B$24="USD",1/INDEX(Settings!$B$29:$B$40,MONTH(A1991)),INDEX(Settings!$B$29:$B$40,MONTH(A1991)))))</f>
        <v/>
      </c>
    </row>
    <row r="1992" customFormat="false" ht="15" hidden="false" customHeight="false" outlineLevel="0" collapsed="false">
      <c r="H1992" s="0" t="str">
        <f aca="false">IF(B1992="","",IF(COUNTIF(Campaigns!$A$7:$A$300,B1992)&gt;0,"✓","⚠ add to Campaigns tab"))</f>
        <v/>
      </c>
      <c r="I1992" s="84" t="str">
        <f aca="false">IF(C1992="","",C1992*IF(Settings!$B$24=Settings!$C$6,1,IF(Settings!$B$24="USD",1/INDEX(Settings!$B$29:$B$40,MONTH(A1992)),INDEX(Settings!$B$29:$B$40,MONTH(A1992)))))</f>
        <v/>
      </c>
    </row>
    <row r="1993" customFormat="false" ht="15" hidden="false" customHeight="false" outlineLevel="0" collapsed="false">
      <c r="H1993" s="0" t="str">
        <f aca="false">IF(B1993="","",IF(COUNTIF(Campaigns!$A$7:$A$300,B1993)&gt;0,"✓","⚠ add to Campaigns tab"))</f>
        <v/>
      </c>
      <c r="I1993" s="84" t="str">
        <f aca="false">IF(C1993="","",C1993*IF(Settings!$B$24=Settings!$C$6,1,IF(Settings!$B$24="USD",1/INDEX(Settings!$B$29:$B$40,MONTH(A1993)),INDEX(Settings!$B$29:$B$40,MONTH(A1993)))))</f>
        <v/>
      </c>
    </row>
    <row r="1994" customFormat="false" ht="15" hidden="false" customHeight="false" outlineLevel="0" collapsed="false">
      <c r="H1994" s="0" t="str">
        <f aca="false">IF(B1994="","",IF(COUNTIF(Campaigns!$A$7:$A$300,B1994)&gt;0,"✓","⚠ add to Campaigns tab"))</f>
        <v/>
      </c>
      <c r="I1994" s="84" t="str">
        <f aca="false">IF(C1994="","",C1994*IF(Settings!$B$24=Settings!$C$6,1,IF(Settings!$B$24="USD",1/INDEX(Settings!$B$29:$B$40,MONTH(A1994)),INDEX(Settings!$B$29:$B$40,MONTH(A1994)))))</f>
        <v/>
      </c>
    </row>
    <row r="1995" customFormat="false" ht="15" hidden="false" customHeight="false" outlineLevel="0" collapsed="false">
      <c r="H1995" s="0" t="str">
        <f aca="false">IF(B1995="","",IF(COUNTIF(Campaigns!$A$7:$A$300,B1995)&gt;0,"✓","⚠ add to Campaigns tab"))</f>
        <v/>
      </c>
      <c r="I1995" s="84" t="str">
        <f aca="false">IF(C1995="","",C1995*IF(Settings!$B$24=Settings!$C$6,1,IF(Settings!$B$24="USD",1/INDEX(Settings!$B$29:$B$40,MONTH(A1995)),INDEX(Settings!$B$29:$B$40,MONTH(A1995)))))</f>
        <v/>
      </c>
    </row>
    <row r="1996" customFormat="false" ht="15" hidden="false" customHeight="false" outlineLevel="0" collapsed="false">
      <c r="H1996" s="0" t="str">
        <f aca="false">IF(B1996="","",IF(COUNTIF(Campaigns!$A$7:$A$300,B1996)&gt;0,"✓","⚠ add to Campaigns tab"))</f>
        <v/>
      </c>
      <c r="I1996" s="84" t="str">
        <f aca="false">IF(C1996="","",C1996*IF(Settings!$B$24=Settings!$C$6,1,IF(Settings!$B$24="USD",1/INDEX(Settings!$B$29:$B$40,MONTH(A1996)),INDEX(Settings!$B$29:$B$40,MONTH(A1996)))))</f>
        <v/>
      </c>
    </row>
    <row r="1997" customFormat="false" ht="15" hidden="false" customHeight="false" outlineLevel="0" collapsed="false">
      <c r="H1997" s="0" t="str">
        <f aca="false">IF(B1997="","",IF(COUNTIF(Campaigns!$A$7:$A$300,B1997)&gt;0,"✓","⚠ add to Campaigns tab"))</f>
        <v/>
      </c>
      <c r="I1997" s="84" t="str">
        <f aca="false">IF(C1997="","",C1997*IF(Settings!$B$24=Settings!$C$6,1,IF(Settings!$B$24="USD",1/INDEX(Settings!$B$29:$B$40,MONTH(A1997)),INDEX(Settings!$B$29:$B$40,MONTH(A1997)))))</f>
        <v/>
      </c>
    </row>
    <row r="1998" customFormat="false" ht="15" hidden="false" customHeight="false" outlineLevel="0" collapsed="false">
      <c r="H1998" s="0" t="str">
        <f aca="false">IF(B1998="","",IF(COUNTIF(Campaigns!$A$7:$A$300,B1998)&gt;0,"✓","⚠ add to Campaigns tab"))</f>
        <v/>
      </c>
      <c r="I1998" s="84" t="str">
        <f aca="false">IF(C1998="","",C1998*IF(Settings!$B$24=Settings!$C$6,1,IF(Settings!$B$24="USD",1/INDEX(Settings!$B$29:$B$40,MONTH(A1998)),INDEX(Settings!$B$29:$B$40,MONTH(A1998)))))</f>
        <v/>
      </c>
    </row>
    <row r="1999" customFormat="false" ht="15" hidden="false" customHeight="false" outlineLevel="0" collapsed="false">
      <c r="H1999" s="0" t="str">
        <f aca="false">IF(B1999="","",IF(COUNTIF(Campaigns!$A$7:$A$300,B1999)&gt;0,"✓","⚠ add to Campaigns tab"))</f>
        <v/>
      </c>
      <c r="I1999" s="84" t="str">
        <f aca="false">IF(C1999="","",C1999*IF(Settings!$B$24=Settings!$C$6,1,IF(Settings!$B$24="USD",1/INDEX(Settings!$B$29:$B$40,MONTH(A1999)),INDEX(Settings!$B$29:$B$40,MONTH(A1999)))))</f>
        <v/>
      </c>
    </row>
    <row r="2000" customFormat="false" ht="15" hidden="false" customHeight="false" outlineLevel="0" collapsed="false">
      <c r="H2000" s="0" t="str">
        <f aca="false">IF(B2000="","",IF(COUNTIF(Campaigns!$A$7:$A$300,B2000)&gt;0,"✓","⚠ add to Campaigns tab"))</f>
        <v/>
      </c>
      <c r="I2000" s="84" t="str">
        <f aca="false">IF(C2000="","",C2000*IF(Settings!$B$24=Settings!$C$6,1,IF(Settings!$B$24="USD",1/INDEX(Settings!$B$29:$B$40,MONTH(A2000)),INDEX(Settings!$B$29:$B$40,MONTH(A2000)))))</f>
        <v/>
      </c>
    </row>
  </sheetData>
  <mergeCells count="1">
    <mergeCell ref="A1:I1"/>
  </mergeCells>
  <conditionalFormatting sqref="H3:H2000">
    <cfRule type="expression" priority="2" aboveAverage="0" equalAverage="0" bottom="0" percent="0" rank="0" text="" dxfId="7">
      <formula>LEFT(H3,1)="⚠"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4"/>
    <col collapsed="false" customWidth="true" hidden="false" outlineLevel="0" max="4" min="4" style="0" width="13"/>
    <col collapsed="false" customWidth="true" hidden="false" outlineLevel="0" max="5" min="5" style="0" width="11"/>
    <col collapsed="false" customWidth="true" hidden="false" outlineLevel="0" max="7" min="6" style="0" width="12"/>
    <col collapsed="false" customWidth="true" hidden="false" outlineLevel="0" max="8" min="8" style="0" width="22"/>
    <col collapsed="false" customWidth="true" hidden="false" outlineLevel="0" max="9" min="9" style="0" width="14"/>
  </cols>
  <sheetData>
    <row r="1" customFormat="false" ht="15" hidden="false" customHeight="false" outlineLevel="0" collapsed="false">
      <c r="A1" s="81" t="s">
        <v>510</v>
      </c>
      <c r="B1" s="81"/>
      <c r="C1" s="81"/>
      <c r="D1" s="81"/>
      <c r="E1" s="81"/>
      <c r="F1" s="81"/>
      <c r="G1" s="81"/>
      <c r="H1" s="81"/>
      <c r="I1" s="81"/>
    </row>
    <row r="2" customFormat="false" ht="30" hidden="false" customHeight="true" outlineLevel="0" collapsed="false">
      <c r="A2" s="34" t="s">
        <v>497</v>
      </c>
      <c r="B2" s="34" t="s">
        <v>163</v>
      </c>
      <c r="C2" s="34" t="s">
        <v>498</v>
      </c>
      <c r="D2" s="34" t="s">
        <v>499</v>
      </c>
      <c r="E2" s="34" t="s">
        <v>114</v>
      </c>
      <c r="F2" s="34" t="s">
        <v>115</v>
      </c>
      <c r="G2" s="34" t="s">
        <v>500</v>
      </c>
      <c r="H2" s="34" t="s">
        <v>501</v>
      </c>
      <c r="I2" s="34" t="str">
        <f aca="false">"Spend ("&amp;Settings!$C$6&amp;")"</f>
        <v>Spend (USD)</v>
      </c>
      <c r="K2" s="28" t="s">
        <v>511</v>
      </c>
    </row>
    <row r="3" customFormat="false" ht="15" hidden="false" customHeight="false" outlineLevel="0" collapsed="false">
      <c r="H3" s="0" t="str">
        <f aca="false">IF(B3="","",IF(COUNTIF(Campaigns!$A$7:$A$300,B3)&gt;0,"✓","⚠ add to Campaigns tab"))</f>
        <v/>
      </c>
      <c r="I3" s="84" t="str">
        <f aca="false">IF(C3="","",C3*IF(Settings!$B$25=Settings!$C$6,1,IF(Settings!$B$25="USD",1/INDEX(Settings!$B$29:$B$40,MONTH(A3)),INDEX(Settings!$B$29:$B$40,MONTH(A3)))))</f>
        <v/>
      </c>
      <c r="K3" s="28" t="s">
        <v>504</v>
      </c>
    </row>
    <row r="4" customFormat="false" ht="15" hidden="false" customHeight="false" outlineLevel="0" collapsed="false">
      <c r="H4" s="0" t="str">
        <f aca="false">IF(B4="","",IF(COUNTIF(Campaigns!$A$7:$A$300,B4)&gt;0,"✓","⚠ add to Campaigns tab"))</f>
        <v/>
      </c>
      <c r="I4" s="84" t="str">
        <f aca="false">IF(C4="","",C4*IF(Settings!$B$25=Settings!$C$6,1,IF(Settings!$B$25="USD",1/INDEX(Settings!$B$29:$B$40,MONTH(A4)),INDEX(Settings!$B$29:$B$40,MONTH(A4)))))</f>
        <v/>
      </c>
    </row>
    <row r="5" customFormat="false" ht="15" hidden="false" customHeight="false" outlineLevel="0" collapsed="false">
      <c r="H5" s="0" t="str">
        <f aca="false">IF(B5="","",IF(COUNTIF(Campaigns!$A$7:$A$300,B5)&gt;0,"✓","⚠ add to Campaigns tab"))</f>
        <v/>
      </c>
      <c r="I5" s="84" t="str">
        <f aca="false">IF(C5="","",C5*IF(Settings!$B$25=Settings!$C$6,1,IF(Settings!$B$25="USD",1/INDEX(Settings!$B$29:$B$40,MONTH(A5)),INDEX(Settings!$B$29:$B$40,MONTH(A5)))))</f>
        <v/>
      </c>
    </row>
    <row r="6" customFormat="false" ht="15" hidden="false" customHeight="false" outlineLevel="0" collapsed="false">
      <c r="H6" s="0" t="str">
        <f aca="false">IF(B6="","",IF(COUNTIF(Campaigns!$A$7:$A$300,B6)&gt;0,"✓","⚠ add to Campaigns tab"))</f>
        <v/>
      </c>
      <c r="I6" s="84" t="str">
        <f aca="false">IF(C6="","",C6*IF(Settings!$B$25=Settings!$C$6,1,IF(Settings!$B$25="USD",1/INDEX(Settings!$B$29:$B$40,MONTH(A6)),INDEX(Settings!$B$29:$B$40,MONTH(A6)))))</f>
        <v/>
      </c>
    </row>
    <row r="7" customFormat="false" ht="15" hidden="false" customHeight="false" outlineLevel="0" collapsed="false">
      <c r="H7" s="0" t="str">
        <f aca="false">IF(B7="","",IF(COUNTIF(Campaigns!$A$7:$A$300,B7)&gt;0,"✓","⚠ add to Campaigns tab"))</f>
        <v/>
      </c>
      <c r="I7" s="84" t="str">
        <f aca="false">IF(C7="","",C7*IF(Settings!$B$25=Settings!$C$6,1,IF(Settings!$B$25="USD",1/INDEX(Settings!$B$29:$B$40,MONTH(A7)),INDEX(Settings!$B$29:$B$40,MONTH(A7)))))</f>
        <v/>
      </c>
    </row>
    <row r="8" customFormat="false" ht="15" hidden="false" customHeight="false" outlineLevel="0" collapsed="false">
      <c r="H8" s="0" t="str">
        <f aca="false">IF(B8="","",IF(COUNTIF(Campaigns!$A$7:$A$300,B8)&gt;0,"✓","⚠ add to Campaigns tab"))</f>
        <v/>
      </c>
      <c r="I8" s="84" t="str">
        <f aca="false">IF(C8="","",C8*IF(Settings!$B$25=Settings!$C$6,1,IF(Settings!$B$25="USD",1/INDEX(Settings!$B$29:$B$40,MONTH(A8)),INDEX(Settings!$B$29:$B$40,MONTH(A8)))))</f>
        <v/>
      </c>
    </row>
    <row r="9" customFormat="false" ht="15" hidden="false" customHeight="false" outlineLevel="0" collapsed="false">
      <c r="H9" s="0" t="str">
        <f aca="false">IF(B9="","",IF(COUNTIF(Campaigns!$A$7:$A$300,B9)&gt;0,"✓","⚠ add to Campaigns tab"))</f>
        <v/>
      </c>
      <c r="I9" s="84" t="str">
        <f aca="false">IF(C9="","",C9*IF(Settings!$B$25=Settings!$C$6,1,IF(Settings!$B$25="USD",1/INDEX(Settings!$B$29:$B$40,MONTH(A9)),INDEX(Settings!$B$29:$B$40,MONTH(A9)))))</f>
        <v/>
      </c>
    </row>
    <row r="10" customFormat="false" ht="15" hidden="false" customHeight="false" outlineLevel="0" collapsed="false">
      <c r="H10" s="0" t="str">
        <f aca="false">IF(B10="","",IF(COUNTIF(Campaigns!$A$7:$A$300,B10)&gt;0,"✓","⚠ add to Campaigns tab"))</f>
        <v/>
      </c>
      <c r="I10" s="84" t="str">
        <f aca="false">IF(C10="","",C10*IF(Settings!$B$25=Settings!$C$6,1,IF(Settings!$B$25="USD",1/INDEX(Settings!$B$29:$B$40,MONTH(A10)),INDEX(Settings!$B$29:$B$40,MONTH(A10)))))</f>
        <v/>
      </c>
    </row>
    <row r="11" customFormat="false" ht="15" hidden="false" customHeight="false" outlineLevel="0" collapsed="false">
      <c r="H11" s="0" t="str">
        <f aca="false">IF(B11="","",IF(COUNTIF(Campaigns!$A$7:$A$300,B11)&gt;0,"✓","⚠ add to Campaigns tab"))</f>
        <v/>
      </c>
      <c r="I11" s="84" t="str">
        <f aca="false">IF(C11="","",C11*IF(Settings!$B$25=Settings!$C$6,1,IF(Settings!$B$25="USD",1/INDEX(Settings!$B$29:$B$40,MONTH(A11)),INDEX(Settings!$B$29:$B$40,MONTH(A11)))))</f>
        <v/>
      </c>
    </row>
    <row r="12" customFormat="false" ht="15" hidden="false" customHeight="false" outlineLevel="0" collapsed="false">
      <c r="H12" s="0" t="str">
        <f aca="false">IF(B12="","",IF(COUNTIF(Campaigns!$A$7:$A$300,B12)&gt;0,"✓","⚠ add to Campaigns tab"))</f>
        <v/>
      </c>
      <c r="I12" s="84" t="str">
        <f aca="false">IF(C12="","",C12*IF(Settings!$B$25=Settings!$C$6,1,IF(Settings!$B$25="USD",1/INDEX(Settings!$B$29:$B$40,MONTH(A12)),INDEX(Settings!$B$29:$B$40,MONTH(A12)))))</f>
        <v/>
      </c>
    </row>
    <row r="13" customFormat="false" ht="15" hidden="false" customHeight="false" outlineLevel="0" collapsed="false">
      <c r="H13" s="0" t="str">
        <f aca="false">IF(B13="","",IF(COUNTIF(Campaigns!$A$7:$A$300,B13)&gt;0,"✓","⚠ add to Campaigns tab"))</f>
        <v/>
      </c>
      <c r="I13" s="84" t="str">
        <f aca="false">IF(C13="","",C13*IF(Settings!$B$25=Settings!$C$6,1,IF(Settings!$B$25="USD",1/INDEX(Settings!$B$29:$B$40,MONTH(A13)),INDEX(Settings!$B$29:$B$40,MONTH(A13)))))</f>
        <v/>
      </c>
    </row>
    <row r="14" customFormat="false" ht="15" hidden="false" customHeight="false" outlineLevel="0" collapsed="false">
      <c r="H14" s="0" t="str">
        <f aca="false">IF(B14="","",IF(COUNTIF(Campaigns!$A$7:$A$300,B14)&gt;0,"✓","⚠ add to Campaigns tab"))</f>
        <v/>
      </c>
      <c r="I14" s="84" t="str">
        <f aca="false">IF(C14="","",C14*IF(Settings!$B$25=Settings!$C$6,1,IF(Settings!$B$25="USD",1/INDEX(Settings!$B$29:$B$40,MONTH(A14)),INDEX(Settings!$B$29:$B$40,MONTH(A14)))))</f>
        <v/>
      </c>
    </row>
    <row r="15" customFormat="false" ht="15" hidden="false" customHeight="false" outlineLevel="0" collapsed="false">
      <c r="H15" s="0" t="str">
        <f aca="false">IF(B15="","",IF(COUNTIF(Campaigns!$A$7:$A$300,B15)&gt;0,"✓","⚠ add to Campaigns tab"))</f>
        <v/>
      </c>
      <c r="I15" s="84" t="str">
        <f aca="false">IF(C15="","",C15*IF(Settings!$B$25=Settings!$C$6,1,IF(Settings!$B$25="USD",1/INDEX(Settings!$B$29:$B$40,MONTH(A15)),INDEX(Settings!$B$29:$B$40,MONTH(A15)))))</f>
        <v/>
      </c>
    </row>
    <row r="16" customFormat="false" ht="15" hidden="false" customHeight="false" outlineLevel="0" collapsed="false">
      <c r="H16" s="0" t="str">
        <f aca="false">IF(B16="","",IF(COUNTIF(Campaigns!$A$7:$A$300,B16)&gt;0,"✓","⚠ add to Campaigns tab"))</f>
        <v/>
      </c>
      <c r="I16" s="84" t="str">
        <f aca="false">IF(C16="","",C16*IF(Settings!$B$25=Settings!$C$6,1,IF(Settings!$B$25="USD",1/INDEX(Settings!$B$29:$B$40,MONTH(A16)),INDEX(Settings!$B$29:$B$40,MONTH(A16)))))</f>
        <v/>
      </c>
    </row>
    <row r="17" customFormat="false" ht="15" hidden="false" customHeight="false" outlineLevel="0" collapsed="false">
      <c r="H17" s="0" t="str">
        <f aca="false">IF(B17="","",IF(COUNTIF(Campaigns!$A$7:$A$300,B17)&gt;0,"✓","⚠ add to Campaigns tab"))</f>
        <v/>
      </c>
      <c r="I17" s="84" t="str">
        <f aca="false">IF(C17="","",C17*IF(Settings!$B$25=Settings!$C$6,1,IF(Settings!$B$25="USD",1/INDEX(Settings!$B$29:$B$40,MONTH(A17)),INDEX(Settings!$B$29:$B$40,MONTH(A17)))))</f>
        <v/>
      </c>
    </row>
    <row r="18" customFormat="false" ht="15" hidden="false" customHeight="false" outlineLevel="0" collapsed="false">
      <c r="H18" s="0" t="str">
        <f aca="false">IF(B18="","",IF(COUNTIF(Campaigns!$A$7:$A$300,B18)&gt;0,"✓","⚠ add to Campaigns tab"))</f>
        <v/>
      </c>
      <c r="I18" s="84" t="str">
        <f aca="false">IF(C18="","",C18*IF(Settings!$B$25=Settings!$C$6,1,IF(Settings!$B$25="USD",1/INDEX(Settings!$B$29:$B$40,MONTH(A18)),INDEX(Settings!$B$29:$B$40,MONTH(A18)))))</f>
        <v/>
      </c>
    </row>
    <row r="19" customFormat="false" ht="15" hidden="false" customHeight="false" outlineLevel="0" collapsed="false">
      <c r="H19" s="0" t="str">
        <f aca="false">IF(B19="","",IF(COUNTIF(Campaigns!$A$7:$A$300,B19)&gt;0,"✓","⚠ add to Campaigns tab"))</f>
        <v/>
      </c>
      <c r="I19" s="84" t="str">
        <f aca="false">IF(C19="","",C19*IF(Settings!$B$25=Settings!$C$6,1,IF(Settings!$B$25="USD",1/INDEX(Settings!$B$29:$B$40,MONTH(A19)),INDEX(Settings!$B$29:$B$40,MONTH(A19)))))</f>
        <v/>
      </c>
    </row>
    <row r="20" customFormat="false" ht="15" hidden="false" customHeight="false" outlineLevel="0" collapsed="false">
      <c r="H20" s="0" t="str">
        <f aca="false">IF(B20="","",IF(COUNTIF(Campaigns!$A$7:$A$300,B20)&gt;0,"✓","⚠ add to Campaigns tab"))</f>
        <v/>
      </c>
      <c r="I20" s="84" t="str">
        <f aca="false">IF(C20="","",C20*IF(Settings!$B$25=Settings!$C$6,1,IF(Settings!$B$25="USD",1/INDEX(Settings!$B$29:$B$40,MONTH(A20)),INDEX(Settings!$B$29:$B$40,MONTH(A20)))))</f>
        <v/>
      </c>
    </row>
    <row r="21" customFormat="false" ht="15" hidden="false" customHeight="false" outlineLevel="0" collapsed="false">
      <c r="H21" s="0" t="str">
        <f aca="false">IF(B21="","",IF(COUNTIF(Campaigns!$A$7:$A$300,B21)&gt;0,"✓","⚠ add to Campaigns tab"))</f>
        <v/>
      </c>
      <c r="I21" s="84" t="str">
        <f aca="false">IF(C21="","",C21*IF(Settings!$B$25=Settings!$C$6,1,IF(Settings!$B$25="USD",1/INDEX(Settings!$B$29:$B$40,MONTH(A21)),INDEX(Settings!$B$29:$B$40,MONTH(A21)))))</f>
        <v/>
      </c>
    </row>
    <row r="22" customFormat="false" ht="15" hidden="false" customHeight="false" outlineLevel="0" collapsed="false">
      <c r="H22" s="0" t="str">
        <f aca="false">IF(B22="","",IF(COUNTIF(Campaigns!$A$7:$A$300,B22)&gt;0,"✓","⚠ add to Campaigns tab"))</f>
        <v/>
      </c>
      <c r="I22" s="84" t="str">
        <f aca="false">IF(C22="","",C22*IF(Settings!$B$25=Settings!$C$6,1,IF(Settings!$B$25="USD",1/INDEX(Settings!$B$29:$B$40,MONTH(A22)),INDEX(Settings!$B$29:$B$40,MONTH(A22)))))</f>
        <v/>
      </c>
    </row>
    <row r="23" customFormat="false" ht="15" hidden="false" customHeight="false" outlineLevel="0" collapsed="false">
      <c r="H23" s="0" t="str">
        <f aca="false">IF(B23="","",IF(COUNTIF(Campaigns!$A$7:$A$300,B23)&gt;0,"✓","⚠ add to Campaigns tab"))</f>
        <v/>
      </c>
      <c r="I23" s="84" t="str">
        <f aca="false">IF(C23="","",C23*IF(Settings!$B$25=Settings!$C$6,1,IF(Settings!$B$25="USD",1/INDEX(Settings!$B$29:$B$40,MONTH(A23)),INDEX(Settings!$B$29:$B$40,MONTH(A23)))))</f>
        <v/>
      </c>
    </row>
    <row r="24" customFormat="false" ht="15" hidden="false" customHeight="false" outlineLevel="0" collapsed="false">
      <c r="H24" s="0" t="str">
        <f aca="false">IF(B24="","",IF(COUNTIF(Campaigns!$A$7:$A$300,B24)&gt;0,"✓","⚠ add to Campaigns tab"))</f>
        <v/>
      </c>
      <c r="I24" s="84" t="str">
        <f aca="false">IF(C24="","",C24*IF(Settings!$B$25=Settings!$C$6,1,IF(Settings!$B$25="USD",1/INDEX(Settings!$B$29:$B$40,MONTH(A24)),INDEX(Settings!$B$29:$B$40,MONTH(A24)))))</f>
        <v/>
      </c>
    </row>
    <row r="25" customFormat="false" ht="15" hidden="false" customHeight="false" outlineLevel="0" collapsed="false">
      <c r="H25" s="0" t="str">
        <f aca="false">IF(B25="","",IF(COUNTIF(Campaigns!$A$7:$A$300,B25)&gt;0,"✓","⚠ add to Campaigns tab"))</f>
        <v/>
      </c>
      <c r="I25" s="84" t="str">
        <f aca="false">IF(C25="","",C25*IF(Settings!$B$25=Settings!$C$6,1,IF(Settings!$B$25="USD",1/INDEX(Settings!$B$29:$B$40,MONTH(A25)),INDEX(Settings!$B$29:$B$40,MONTH(A25)))))</f>
        <v/>
      </c>
    </row>
    <row r="26" customFormat="false" ht="15" hidden="false" customHeight="false" outlineLevel="0" collapsed="false">
      <c r="H26" s="0" t="str">
        <f aca="false">IF(B26="","",IF(COUNTIF(Campaigns!$A$7:$A$300,B26)&gt;0,"✓","⚠ add to Campaigns tab"))</f>
        <v/>
      </c>
      <c r="I26" s="84" t="str">
        <f aca="false">IF(C26="","",C26*IF(Settings!$B$25=Settings!$C$6,1,IF(Settings!$B$25="USD",1/INDEX(Settings!$B$29:$B$40,MONTH(A26)),INDEX(Settings!$B$29:$B$40,MONTH(A26)))))</f>
        <v/>
      </c>
    </row>
    <row r="27" customFormat="false" ht="15" hidden="false" customHeight="false" outlineLevel="0" collapsed="false">
      <c r="H27" s="0" t="str">
        <f aca="false">IF(B27="","",IF(COUNTIF(Campaigns!$A$7:$A$300,B27)&gt;0,"✓","⚠ add to Campaigns tab"))</f>
        <v/>
      </c>
      <c r="I27" s="84" t="str">
        <f aca="false">IF(C27="","",C27*IF(Settings!$B$25=Settings!$C$6,1,IF(Settings!$B$25="USD",1/INDEX(Settings!$B$29:$B$40,MONTH(A27)),INDEX(Settings!$B$29:$B$40,MONTH(A27)))))</f>
        <v/>
      </c>
    </row>
    <row r="28" customFormat="false" ht="15" hidden="false" customHeight="false" outlineLevel="0" collapsed="false">
      <c r="H28" s="0" t="str">
        <f aca="false">IF(B28="","",IF(COUNTIF(Campaigns!$A$7:$A$300,B28)&gt;0,"✓","⚠ add to Campaigns tab"))</f>
        <v/>
      </c>
      <c r="I28" s="84" t="str">
        <f aca="false">IF(C28="","",C28*IF(Settings!$B$25=Settings!$C$6,1,IF(Settings!$B$25="USD",1/INDEX(Settings!$B$29:$B$40,MONTH(A28)),INDEX(Settings!$B$29:$B$40,MONTH(A28)))))</f>
        <v/>
      </c>
    </row>
    <row r="29" customFormat="false" ht="15" hidden="false" customHeight="false" outlineLevel="0" collapsed="false">
      <c r="H29" s="0" t="str">
        <f aca="false">IF(B29="","",IF(COUNTIF(Campaigns!$A$7:$A$300,B29)&gt;0,"✓","⚠ add to Campaigns tab"))</f>
        <v/>
      </c>
      <c r="I29" s="84" t="str">
        <f aca="false">IF(C29="","",C29*IF(Settings!$B$25=Settings!$C$6,1,IF(Settings!$B$25="USD",1/INDEX(Settings!$B$29:$B$40,MONTH(A29)),INDEX(Settings!$B$29:$B$40,MONTH(A29)))))</f>
        <v/>
      </c>
    </row>
    <row r="30" customFormat="false" ht="15" hidden="false" customHeight="false" outlineLevel="0" collapsed="false">
      <c r="H30" s="0" t="str">
        <f aca="false">IF(B30="","",IF(COUNTIF(Campaigns!$A$7:$A$300,B30)&gt;0,"✓","⚠ add to Campaigns tab"))</f>
        <v/>
      </c>
      <c r="I30" s="84" t="str">
        <f aca="false">IF(C30="","",C30*IF(Settings!$B$25=Settings!$C$6,1,IF(Settings!$B$25="USD",1/INDEX(Settings!$B$29:$B$40,MONTH(A30)),INDEX(Settings!$B$29:$B$40,MONTH(A30)))))</f>
        <v/>
      </c>
    </row>
    <row r="31" customFormat="false" ht="15" hidden="false" customHeight="false" outlineLevel="0" collapsed="false">
      <c r="H31" s="0" t="str">
        <f aca="false">IF(B31="","",IF(COUNTIF(Campaigns!$A$7:$A$300,B31)&gt;0,"✓","⚠ add to Campaigns tab"))</f>
        <v/>
      </c>
      <c r="I31" s="84" t="str">
        <f aca="false">IF(C31="","",C31*IF(Settings!$B$25=Settings!$C$6,1,IF(Settings!$B$25="USD",1/INDEX(Settings!$B$29:$B$40,MONTH(A31)),INDEX(Settings!$B$29:$B$40,MONTH(A31)))))</f>
        <v/>
      </c>
    </row>
    <row r="32" customFormat="false" ht="15" hidden="false" customHeight="false" outlineLevel="0" collapsed="false">
      <c r="H32" s="0" t="str">
        <f aca="false">IF(B32="","",IF(COUNTIF(Campaigns!$A$7:$A$300,B32)&gt;0,"✓","⚠ add to Campaigns tab"))</f>
        <v/>
      </c>
      <c r="I32" s="84" t="str">
        <f aca="false">IF(C32="","",C32*IF(Settings!$B$25=Settings!$C$6,1,IF(Settings!$B$25="USD",1/INDEX(Settings!$B$29:$B$40,MONTH(A32)),INDEX(Settings!$B$29:$B$40,MONTH(A32)))))</f>
        <v/>
      </c>
    </row>
    <row r="33" customFormat="false" ht="15" hidden="false" customHeight="false" outlineLevel="0" collapsed="false">
      <c r="H33" s="0" t="str">
        <f aca="false">IF(B33="","",IF(COUNTIF(Campaigns!$A$7:$A$300,B33)&gt;0,"✓","⚠ add to Campaigns tab"))</f>
        <v/>
      </c>
      <c r="I33" s="84" t="str">
        <f aca="false">IF(C33="","",C33*IF(Settings!$B$25=Settings!$C$6,1,IF(Settings!$B$25="USD",1/INDEX(Settings!$B$29:$B$40,MONTH(A33)),INDEX(Settings!$B$29:$B$40,MONTH(A33)))))</f>
        <v/>
      </c>
    </row>
    <row r="34" customFormat="false" ht="15" hidden="false" customHeight="false" outlineLevel="0" collapsed="false">
      <c r="H34" s="0" t="str">
        <f aca="false">IF(B34="","",IF(COUNTIF(Campaigns!$A$7:$A$300,B34)&gt;0,"✓","⚠ add to Campaigns tab"))</f>
        <v/>
      </c>
      <c r="I34" s="84" t="str">
        <f aca="false">IF(C34="","",C34*IF(Settings!$B$25=Settings!$C$6,1,IF(Settings!$B$25="USD",1/INDEX(Settings!$B$29:$B$40,MONTH(A34)),INDEX(Settings!$B$29:$B$40,MONTH(A34)))))</f>
        <v/>
      </c>
    </row>
    <row r="35" customFormat="false" ht="15" hidden="false" customHeight="false" outlineLevel="0" collapsed="false">
      <c r="H35" s="0" t="str">
        <f aca="false">IF(B35="","",IF(COUNTIF(Campaigns!$A$7:$A$300,B35)&gt;0,"✓","⚠ add to Campaigns tab"))</f>
        <v/>
      </c>
      <c r="I35" s="84" t="str">
        <f aca="false">IF(C35="","",C35*IF(Settings!$B$25=Settings!$C$6,1,IF(Settings!$B$25="USD",1/INDEX(Settings!$B$29:$B$40,MONTH(A35)),INDEX(Settings!$B$29:$B$40,MONTH(A35)))))</f>
        <v/>
      </c>
    </row>
    <row r="36" customFormat="false" ht="15" hidden="false" customHeight="false" outlineLevel="0" collapsed="false">
      <c r="H36" s="0" t="str">
        <f aca="false">IF(B36="","",IF(COUNTIF(Campaigns!$A$7:$A$300,B36)&gt;0,"✓","⚠ add to Campaigns tab"))</f>
        <v/>
      </c>
      <c r="I36" s="84" t="str">
        <f aca="false">IF(C36="","",C36*IF(Settings!$B$25=Settings!$C$6,1,IF(Settings!$B$25="USD",1/INDEX(Settings!$B$29:$B$40,MONTH(A36)),INDEX(Settings!$B$29:$B$40,MONTH(A36)))))</f>
        <v/>
      </c>
    </row>
    <row r="37" customFormat="false" ht="15" hidden="false" customHeight="false" outlineLevel="0" collapsed="false">
      <c r="H37" s="0" t="str">
        <f aca="false">IF(B37="","",IF(COUNTIF(Campaigns!$A$7:$A$300,B37)&gt;0,"✓","⚠ add to Campaigns tab"))</f>
        <v/>
      </c>
      <c r="I37" s="84" t="str">
        <f aca="false">IF(C37="","",C37*IF(Settings!$B$25=Settings!$C$6,1,IF(Settings!$B$25="USD",1/INDEX(Settings!$B$29:$B$40,MONTH(A37)),INDEX(Settings!$B$29:$B$40,MONTH(A37)))))</f>
        <v/>
      </c>
    </row>
    <row r="38" customFormat="false" ht="15" hidden="false" customHeight="false" outlineLevel="0" collapsed="false">
      <c r="H38" s="0" t="str">
        <f aca="false">IF(B38="","",IF(COUNTIF(Campaigns!$A$7:$A$300,B38)&gt;0,"✓","⚠ add to Campaigns tab"))</f>
        <v/>
      </c>
      <c r="I38" s="84" t="str">
        <f aca="false">IF(C38="","",C38*IF(Settings!$B$25=Settings!$C$6,1,IF(Settings!$B$25="USD",1/INDEX(Settings!$B$29:$B$40,MONTH(A38)),INDEX(Settings!$B$29:$B$40,MONTH(A38)))))</f>
        <v/>
      </c>
    </row>
    <row r="39" customFormat="false" ht="15" hidden="false" customHeight="false" outlineLevel="0" collapsed="false">
      <c r="H39" s="0" t="str">
        <f aca="false">IF(B39="","",IF(COUNTIF(Campaigns!$A$7:$A$300,B39)&gt;0,"✓","⚠ add to Campaigns tab"))</f>
        <v/>
      </c>
      <c r="I39" s="84" t="str">
        <f aca="false">IF(C39="","",C39*IF(Settings!$B$25=Settings!$C$6,1,IF(Settings!$B$25="USD",1/INDEX(Settings!$B$29:$B$40,MONTH(A39)),INDEX(Settings!$B$29:$B$40,MONTH(A39)))))</f>
        <v/>
      </c>
    </row>
    <row r="40" customFormat="false" ht="15" hidden="false" customHeight="false" outlineLevel="0" collapsed="false">
      <c r="H40" s="0" t="str">
        <f aca="false">IF(B40="","",IF(COUNTIF(Campaigns!$A$7:$A$300,B40)&gt;0,"✓","⚠ add to Campaigns tab"))</f>
        <v/>
      </c>
      <c r="I40" s="84" t="str">
        <f aca="false">IF(C40="","",C40*IF(Settings!$B$25=Settings!$C$6,1,IF(Settings!$B$25="USD",1/INDEX(Settings!$B$29:$B$40,MONTH(A40)),INDEX(Settings!$B$29:$B$40,MONTH(A40)))))</f>
        <v/>
      </c>
    </row>
    <row r="41" customFormat="false" ht="15" hidden="false" customHeight="false" outlineLevel="0" collapsed="false">
      <c r="H41" s="0" t="str">
        <f aca="false">IF(B41="","",IF(COUNTIF(Campaigns!$A$7:$A$300,B41)&gt;0,"✓","⚠ add to Campaigns tab"))</f>
        <v/>
      </c>
      <c r="I41" s="84" t="str">
        <f aca="false">IF(C41="","",C41*IF(Settings!$B$25=Settings!$C$6,1,IF(Settings!$B$25="USD",1/INDEX(Settings!$B$29:$B$40,MONTH(A41)),INDEX(Settings!$B$29:$B$40,MONTH(A41)))))</f>
        <v/>
      </c>
    </row>
    <row r="42" customFormat="false" ht="15" hidden="false" customHeight="false" outlineLevel="0" collapsed="false">
      <c r="H42" s="0" t="str">
        <f aca="false">IF(B42="","",IF(COUNTIF(Campaigns!$A$7:$A$300,B42)&gt;0,"✓","⚠ add to Campaigns tab"))</f>
        <v/>
      </c>
      <c r="I42" s="84" t="str">
        <f aca="false">IF(C42="","",C42*IF(Settings!$B$25=Settings!$C$6,1,IF(Settings!$B$25="USD",1/INDEX(Settings!$B$29:$B$40,MONTH(A42)),INDEX(Settings!$B$29:$B$40,MONTH(A42)))))</f>
        <v/>
      </c>
    </row>
    <row r="43" customFormat="false" ht="15" hidden="false" customHeight="false" outlineLevel="0" collapsed="false">
      <c r="H43" s="0" t="str">
        <f aca="false">IF(B43="","",IF(COUNTIF(Campaigns!$A$7:$A$300,B43)&gt;0,"✓","⚠ add to Campaigns tab"))</f>
        <v/>
      </c>
      <c r="I43" s="84" t="str">
        <f aca="false">IF(C43="","",C43*IF(Settings!$B$25=Settings!$C$6,1,IF(Settings!$B$25="USD",1/INDEX(Settings!$B$29:$B$40,MONTH(A43)),INDEX(Settings!$B$29:$B$40,MONTH(A43)))))</f>
        <v/>
      </c>
    </row>
    <row r="44" customFormat="false" ht="15" hidden="false" customHeight="false" outlineLevel="0" collapsed="false">
      <c r="H44" s="0" t="str">
        <f aca="false">IF(B44="","",IF(COUNTIF(Campaigns!$A$7:$A$300,B44)&gt;0,"✓","⚠ add to Campaigns tab"))</f>
        <v/>
      </c>
      <c r="I44" s="84" t="str">
        <f aca="false">IF(C44="","",C44*IF(Settings!$B$25=Settings!$C$6,1,IF(Settings!$B$25="USD",1/INDEX(Settings!$B$29:$B$40,MONTH(A44)),INDEX(Settings!$B$29:$B$40,MONTH(A44)))))</f>
        <v/>
      </c>
    </row>
    <row r="45" customFormat="false" ht="15" hidden="false" customHeight="false" outlineLevel="0" collapsed="false">
      <c r="H45" s="0" t="str">
        <f aca="false">IF(B45="","",IF(COUNTIF(Campaigns!$A$7:$A$300,B45)&gt;0,"✓","⚠ add to Campaigns tab"))</f>
        <v/>
      </c>
      <c r="I45" s="84" t="str">
        <f aca="false">IF(C45="","",C45*IF(Settings!$B$25=Settings!$C$6,1,IF(Settings!$B$25="USD",1/INDEX(Settings!$B$29:$B$40,MONTH(A45)),INDEX(Settings!$B$29:$B$40,MONTH(A45)))))</f>
        <v/>
      </c>
    </row>
    <row r="46" customFormat="false" ht="15" hidden="false" customHeight="false" outlineLevel="0" collapsed="false">
      <c r="H46" s="0" t="str">
        <f aca="false">IF(B46="","",IF(COUNTIF(Campaigns!$A$7:$A$300,B46)&gt;0,"✓","⚠ add to Campaigns tab"))</f>
        <v/>
      </c>
      <c r="I46" s="84" t="str">
        <f aca="false">IF(C46="","",C46*IF(Settings!$B$25=Settings!$C$6,1,IF(Settings!$B$25="USD",1/INDEX(Settings!$B$29:$B$40,MONTH(A46)),INDEX(Settings!$B$29:$B$40,MONTH(A46)))))</f>
        <v/>
      </c>
    </row>
    <row r="47" customFormat="false" ht="15" hidden="false" customHeight="false" outlineLevel="0" collapsed="false">
      <c r="H47" s="0" t="str">
        <f aca="false">IF(B47="","",IF(COUNTIF(Campaigns!$A$7:$A$300,B47)&gt;0,"✓","⚠ add to Campaigns tab"))</f>
        <v/>
      </c>
      <c r="I47" s="84" t="str">
        <f aca="false">IF(C47="","",C47*IF(Settings!$B$25=Settings!$C$6,1,IF(Settings!$B$25="USD",1/INDEX(Settings!$B$29:$B$40,MONTH(A47)),INDEX(Settings!$B$29:$B$40,MONTH(A47)))))</f>
        <v/>
      </c>
    </row>
    <row r="48" customFormat="false" ht="15" hidden="false" customHeight="false" outlineLevel="0" collapsed="false">
      <c r="H48" s="0" t="str">
        <f aca="false">IF(B48="","",IF(COUNTIF(Campaigns!$A$7:$A$300,B48)&gt;0,"✓","⚠ add to Campaigns tab"))</f>
        <v/>
      </c>
      <c r="I48" s="84" t="str">
        <f aca="false">IF(C48="","",C48*IF(Settings!$B$25=Settings!$C$6,1,IF(Settings!$B$25="USD",1/INDEX(Settings!$B$29:$B$40,MONTH(A48)),INDEX(Settings!$B$29:$B$40,MONTH(A48)))))</f>
        <v/>
      </c>
    </row>
    <row r="49" customFormat="false" ht="15" hidden="false" customHeight="false" outlineLevel="0" collapsed="false">
      <c r="H49" s="0" t="str">
        <f aca="false">IF(B49="","",IF(COUNTIF(Campaigns!$A$7:$A$300,B49)&gt;0,"✓","⚠ add to Campaigns tab"))</f>
        <v/>
      </c>
      <c r="I49" s="84" t="str">
        <f aca="false">IF(C49="","",C49*IF(Settings!$B$25=Settings!$C$6,1,IF(Settings!$B$25="USD",1/INDEX(Settings!$B$29:$B$40,MONTH(A49)),INDEX(Settings!$B$29:$B$40,MONTH(A49)))))</f>
        <v/>
      </c>
    </row>
    <row r="50" customFormat="false" ht="15" hidden="false" customHeight="false" outlineLevel="0" collapsed="false">
      <c r="H50" s="0" t="str">
        <f aca="false">IF(B50="","",IF(COUNTIF(Campaigns!$A$7:$A$300,B50)&gt;0,"✓","⚠ add to Campaigns tab"))</f>
        <v/>
      </c>
      <c r="I50" s="84" t="str">
        <f aca="false">IF(C50="","",C50*IF(Settings!$B$25=Settings!$C$6,1,IF(Settings!$B$25="USD",1/INDEX(Settings!$B$29:$B$40,MONTH(A50)),INDEX(Settings!$B$29:$B$40,MONTH(A50)))))</f>
        <v/>
      </c>
    </row>
    <row r="51" customFormat="false" ht="15" hidden="false" customHeight="false" outlineLevel="0" collapsed="false">
      <c r="H51" s="0" t="str">
        <f aca="false">IF(B51="","",IF(COUNTIF(Campaigns!$A$7:$A$300,B51)&gt;0,"✓","⚠ add to Campaigns tab"))</f>
        <v/>
      </c>
      <c r="I51" s="84" t="str">
        <f aca="false">IF(C51="","",C51*IF(Settings!$B$25=Settings!$C$6,1,IF(Settings!$B$25="USD",1/INDEX(Settings!$B$29:$B$40,MONTH(A51)),INDEX(Settings!$B$29:$B$40,MONTH(A51)))))</f>
        <v/>
      </c>
    </row>
    <row r="52" customFormat="false" ht="15" hidden="false" customHeight="false" outlineLevel="0" collapsed="false">
      <c r="H52" s="0" t="str">
        <f aca="false">IF(B52="","",IF(COUNTIF(Campaigns!$A$7:$A$300,B52)&gt;0,"✓","⚠ add to Campaigns tab"))</f>
        <v/>
      </c>
      <c r="I52" s="84" t="str">
        <f aca="false">IF(C52="","",C52*IF(Settings!$B$25=Settings!$C$6,1,IF(Settings!$B$25="USD",1/INDEX(Settings!$B$29:$B$40,MONTH(A52)),INDEX(Settings!$B$29:$B$40,MONTH(A52)))))</f>
        <v/>
      </c>
    </row>
    <row r="53" customFormat="false" ht="15" hidden="false" customHeight="false" outlineLevel="0" collapsed="false">
      <c r="H53" s="0" t="str">
        <f aca="false">IF(B53="","",IF(COUNTIF(Campaigns!$A$7:$A$300,B53)&gt;0,"✓","⚠ add to Campaigns tab"))</f>
        <v/>
      </c>
      <c r="I53" s="84" t="str">
        <f aca="false">IF(C53="","",C53*IF(Settings!$B$25=Settings!$C$6,1,IF(Settings!$B$25="USD",1/INDEX(Settings!$B$29:$B$40,MONTH(A53)),INDEX(Settings!$B$29:$B$40,MONTH(A53)))))</f>
        <v/>
      </c>
    </row>
    <row r="54" customFormat="false" ht="15" hidden="false" customHeight="false" outlineLevel="0" collapsed="false">
      <c r="H54" s="0" t="str">
        <f aca="false">IF(B54="","",IF(COUNTIF(Campaigns!$A$7:$A$300,B54)&gt;0,"✓","⚠ add to Campaigns tab"))</f>
        <v/>
      </c>
      <c r="I54" s="84" t="str">
        <f aca="false">IF(C54="","",C54*IF(Settings!$B$25=Settings!$C$6,1,IF(Settings!$B$25="USD",1/INDEX(Settings!$B$29:$B$40,MONTH(A54)),INDEX(Settings!$B$29:$B$40,MONTH(A54)))))</f>
        <v/>
      </c>
    </row>
    <row r="55" customFormat="false" ht="15" hidden="false" customHeight="false" outlineLevel="0" collapsed="false">
      <c r="H55" s="0" t="str">
        <f aca="false">IF(B55="","",IF(COUNTIF(Campaigns!$A$7:$A$300,B55)&gt;0,"✓","⚠ add to Campaigns tab"))</f>
        <v/>
      </c>
      <c r="I55" s="84" t="str">
        <f aca="false">IF(C55="","",C55*IF(Settings!$B$25=Settings!$C$6,1,IF(Settings!$B$25="USD",1/INDEX(Settings!$B$29:$B$40,MONTH(A55)),INDEX(Settings!$B$29:$B$40,MONTH(A55)))))</f>
        <v/>
      </c>
    </row>
    <row r="56" customFormat="false" ht="15" hidden="false" customHeight="false" outlineLevel="0" collapsed="false">
      <c r="H56" s="0" t="str">
        <f aca="false">IF(B56="","",IF(COUNTIF(Campaigns!$A$7:$A$300,B56)&gt;0,"✓","⚠ add to Campaigns tab"))</f>
        <v/>
      </c>
      <c r="I56" s="84" t="str">
        <f aca="false">IF(C56="","",C56*IF(Settings!$B$25=Settings!$C$6,1,IF(Settings!$B$25="USD",1/INDEX(Settings!$B$29:$B$40,MONTH(A56)),INDEX(Settings!$B$29:$B$40,MONTH(A56)))))</f>
        <v/>
      </c>
    </row>
    <row r="57" customFormat="false" ht="15" hidden="false" customHeight="false" outlineLevel="0" collapsed="false">
      <c r="H57" s="0" t="str">
        <f aca="false">IF(B57="","",IF(COUNTIF(Campaigns!$A$7:$A$300,B57)&gt;0,"✓","⚠ add to Campaigns tab"))</f>
        <v/>
      </c>
      <c r="I57" s="84" t="str">
        <f aca="false">IF(C57="","",C57*IF(Settings!$B$25=Settings!$C$6,1,IF(Settings!$B$25="USD",1/INDEX(Settings!$B$29:$B$40,MONTH(A57)),INDEX(Settings!$B$29:$B$40,MONTH(A57)))))</f>
        <v/>
      </c>
    </row>
    <row r="58" customFormat="false" ht="15" hidden="false" customHeight="false" outlineLevel="0" collapsed="false">
      <c r="H58" s="0" t="str">
        <f aca="false">IF(B58="","",IF(COUNTIF(Campaigns!$A$7:$A$300,B58)&gt;0,"✓","⚠ add to Campaigns tab"))</f>
        <v/>
      </c>
      <c r="I58" s="84" t="str">
        <f aca="false">IF(C58="","",C58*IF(Settings!$B$25=Settings!$C$6,1,IF(Settings!$B$25="USD",1/INDEX(Settings!$B$29:$B$40,MONTH(A58)),INDEX(Settings!$B$29:$B$40,MONTH(A58)))))</f>
        <v/>
      </c>
    </row>
    <row r="59" customFormat="false" ht="15" hidden="false" customHeight="false" outlineLevel="0" collapsed="false">
      <c r="H59" s="0" t="str">
        <f aca="false">IF(B59="","",IF(COUNTIF(Campaigns!$A$7:$A$300,B59)&gt;0,"✓","⚠ add to Campaigns tab"))</f>
        <v/>
      </c>
      <c r="I59" s="84" t="str">
        <f aca="false">IF(C59="","",C59*IF(Settings!$B$25=Settings!$C$6,1,IF(Settings!$B$25="USD",1/INDEX(Settings!$B$29:$B$40,MONTH(A59)),INDEX(Settings!$B$29:$B$40,MONTH(A59)))))</f>
        <v/>
      </c>
    </row>
    <row r="60" customFormat="false" ht="15" hidden="false" customHeight="false" outlineLevel="0" collapsed="false">
      <c r="H60" s="0" t="str">
        <f aca="false">IF(B60="","",IF(COUNTIF(Campaigns!$A$7:$A$300,B60)&gt;0,"✓","⚠ add to Campaigns tab"))</f>
        <v/>
      </c>
      <c r="I60" s="84" t="str">
        <f aca="false">IF(C60="","",C60*IF(Settings!$B$25=Settings!$C$6,1,IF(Settings!$B$25="USD",1/INDEX(Settings!$B$29:$B$40,MONTH(A60)),INDEX(Settings!$B$29:$B$40,MONTH(A60)))))</f>
        <v/>
      </c>
    </row>
    <row r="61" customFormat="false" ht="15" hidden="false" customHeight="false" outlineLevel="0" collapsed="false">
      <c r="H61" s="0" t="str">
        <f aca="false">IF(B61="","",IF(COUNTIF(Campaigns!$A$7:$A$300,B61)&gt;0,"✓","⚠ add to Campaigns tab"))</f>
        <v/>
      </c>
      <c r="I61" s="84" t="str">
        <f aca="false">IF(C61="","",C61*IF(Settings!$B$25=Settings!$C$6,1,IF(Settings!$B$25="USD",1/INDEX(Settings!$B$29:$B$40,MONTH(A61)),INDEX(Settings!$B$29:$B$40,MONTH(A61)))))</f>
        <v/>
      </c>
    </row>
    <row r="62" customFormat="false" ht="15" hidden="false" customHeight="false" outlineLevel="0" collapsed="false">
      <c r="H62" s="0" t="str">
        <f aca="false">IF(B62="","",IF(COUNTIF(Campaigns!$A$7:$A$300,B62)&gt;0,"✓","⚠ add to Campaigns tab"))</f>
        <v/>
      </c>
      <c r="I62" s="84" t="str">
        <f aca="false">IF(C62="","",C62*IF(Settings!$B$25=Settings!$C$6,1,IF(Settings!$B$25="USD",1/INDEX(Settings!$B$29:$B$40,MONTH(A62)),INDEX(Settings!$B$29:$B$40,MONTH(A62)))))</f>
        <v/>
      </c>
    </row>
    <row r="63" customFormat="false" ht="15" hidden="false" customHeight="false" outlineLevel="0" collapsed="false">
      <c r="H63" s="0" t="str">
        <f aca="false">IF(B63="","",IF(COUNTIF(Campaigns!$A$7:$A$300,B63)&gt;0,"✓","⚠ add to Campaigns tab"))</f>
        <v/>
      </c>
      <c r="I63" s="84" t="str">
        <f aca="false">IF(C63="","",C63*IF(Settings!$B$25=Settings!$C$6,1,IF(Settings!$B$25="USD",1/INDEX(Settings!$B$29:$B$40,MONTH(A63)),INDEX(Settings!$B$29:$B$40,MONTH(A63)))))</f>
        <v/>
      </c>
    </row>
    <row r="64" customFormat="false" ht="15" hidden="false" customHeight="false" outlineLevel="0" collapsed="false">
      <c r="H64" s="0" t="str">
        <f aca="false">IF(B64="","",IF(COUNTIF(Campaigns!$A$7:$A$300,B64)&gt;0,"✓","⚠ add to Campaigns tab"))</f>
        <v/>
      </c>
      <c r="I64" s="84" t="str">
        <f aca="false">IF(C64="","",C64*IF(Settings!$B$25=Settings!$C$6,1,IF(Settings!$B$25="USD",1/INDEX(Settings!$B$29:$B$40,MONTH(A64)),INDEX(Settings!$B$29:$B$40,MONTH(A64)))))</f>
        <v/>
      </c>
    </row>
    <row r="65" customFormat="false" ht="15" hidden="false" customHeight="false" outlineLevel="0" collapsed="false">
      <c r="H65" s="0" t="str">
        <f aca="false">IF(B65="","",IF(COUNTIF(Campaigns!$A$7:$A$300,B65)&gt;0,"✓","⚠ add to Campaigns tab"))</f>
        <v/>
      </c>
      <c r="I65" s="84" t="str">
        <f aca="false">IF(C65="","",C65*IF(Settings!$B$25=Settings!$C$6,1,IF(Settings!$B$25="USD",1/INDEX(Settings!$B$29:$B$40,MONTH(A65)),INDEX(Settings!$B$29:$B$40,MONTH(A65)))))</f>
        <v/>
      </c>
    </row>
    <row r="66" customFormat="false" ht="15" hidden="false" customHeight="false" outlineLevel="0" collapsed="false">
      <c r="H66" s="0" t="str">
        <f aca="false">IF(B66="","",IF(COUNTIF(Campaigns!$A$7:$A$300,B66)&gt;0,"✓","⚠ add to Campaigns tab"))</f>
        <v/>
      </c>
      <c r="I66" s="84" t="str">
        <f aca="false">IF(C66="","",C66*IF(Settings!$B$25=Settings!$C$6,1,IF(Settings!$B$25="USD",1/INDEX(Settings!$B$29:$B$40,MONTH(A66)),INDEX(Settings!$B$29:$B$40,MONTH(A66)))))</f>
        <v/>
      </c>
    </row>
    <row r="67" customFormat="false" ht="15" hidden="false" customHeight="false" outlineLevel="0" collapsed="false">
      <c r="H67" s="0" t="str">
        <f aca="false">IF(B67="","",IF(COUNTIF(Campaigns!$A$7:$A$300,B67)&gt;0,"✓","⚠ add to Campaigns tab"))</f>
        <v/>
      </c>
      <c r="I67" s="84" t="str">
        <f aca="false">IF(C67="","",C67*IF(Settings!$B$25=Settings!$C$6,1,IF(Settings!$B$25="USD",1/INDEX(Settings!$B$29:$B$40,MONTH(A67)),INDEX(Settings!$B$29:$B$40,MONTH(A67)))))</f>
        <v/>
      </c>
    </row>
    <row r="68" customFormat="false" ht="15" hidden="false" customHeight="false" outlineLevel="0" collapsed="false">
      <c r="H68" s="0" t="str">
        <f aca="false">IF(B68="","",IF(COUNTIF(Campaigns!$A$7:$A$300,B68)&gt;0,"✓","⚠ add to Campaigns tab"))</f>
        <v/>
      </c>
      <c r="I68" s="84" t="str">
        <f aca="false">IF(C68="","",C68*IF(Settings!$B$25=Settings!$C$6,1,IF(Settings!$B$25="USD",1/INDEX(Settings!$B$29:$B$40,MONTH(A68)),INDEX(Settings!$B$29:$B$40,MONTH(A68)))))</f>
        <v/>
      </c>
    </row>
    <row r="69" customFormat="false" ht="15" hidden="false" customHeight="false" outlineLevel="0" collapsed="false">
      <c r="H69" s="0" t="str">
        <f aca="false">IF(B69="","",IF(COUNTIF(Campaigns!$A$7:$A$300,B69)&gt;0,"✓","⚠ add to Campaigns tab"))</f>
        <v/>
      </c>
      <c r="I69" s="84" t="str">
        <f aca="false">IF(C69="","",C69*IF(Settings!$B$25=Settings!$C$6,1,IF(Settings!$B$25="USD",1/INDEX(Settings!$B$29:$B$40,MONTH(A69)),INDEX(Settings!$B$29:$B$40,MONTH(A69)))))</f>
        <v/>
      </c>
    </row>
    <row r="70" customFormat="false" ht="15" hidden="false" customHeight="false" outlineLevel="0" collapsed="false">
      <c r="H70" s="0" t="str">
        <f aca="false">IF(B70="","",IF(COUNTIF(Campaigns!$A$7:$A$300,B70)&gt;0,"✓","⚠ add to Campaigns tab"))</f>
        <v/>
      </c>
      <c r="I70" s="84" t="str">
        <f aca="false">IF(C70="","",C70*IF(Settings!$B$25=Settings!$C$6,1,IF(Settings!$B$25="USD",1/INDEX(Settings!$B$29:$B$40,MONTH(A70)),INDEX(Settings!$B$29:$B$40,MONTH(A70)))))</f>
        <v/>
      </c>
    </row>
    <row r="71" customFormat="false" ht="15" hidden="false" customHeight="false" outlineLevel="0" collapsed="false">
      <c r="H71" s="0" t="str">
        <f aca="false">IF(B71="","",IF(COUNTIF(Campaigns!$A$7:$A$300,B71)&gt;0,"✓","⚠ add to Campaigns tab"))</f>
        <v/>
      </c>
      <c r="I71" s="84" t="str">
        <f aca="false">IF(C71="","",C71*IF(Settings!$B$25=Settings!$C$6,1,IF(Settings!$B$25="USD",1/INDEX(Settings!$B$29:$B$40,MONTH(A71)),INDEX(Settings!$B$29:$B$40,MONTH(A71)))))</f>
        <v/>
      </c>
    </row>
    <row r="72" customFormat="false" ht="15" hidden="false" customHeight="false" outlineLevel="0" collapsed="false">
      <c r="H72" s="0" t="str">
        <f aca="false">IF(B72="","",IF(COUNTIF(Campaigns!$A$7:$A$300,B72)&gt;0,"✓","⚠ add to Campaigns tab"))</f>
        <v/>
      </c>
      <c r="I72" s="84" t="str">
        <f aca="false">IF(C72="","",C72*IF(Settings!$B$25=Settings!$C$6,1,IF(Settings!$B$25="USD",1/INDEX(Settings!$B$29:$B$40,MONTH(A72)),INDEX(Settings!$B$29:$B$40,MONTH(A72)))))</f>
        <v/>
      </c>
    </row>
    <row r="73" customFormat="false" ht="15" hidden="false" customHeight="false" outlineLevel="0" collapsed="false">
      <c r="H73" s="0" t="str">
        <f aca="false">IF(B73="","",IF(COUNTIF(Campaigns!$A$7:$A$300,B73)&gt;0,"✓","⚠ add to Campaigns tab"))</f>
        <v/>
      </c>
      <c r="I73" s="84" t="str">
        <f aca="false">IF(C73="","",C73*IF(Settings!$B$25=Settings!$C$6,1,IF(Settings!$B$25="USD",1/INDEX(Settings!$B$29:$B$40,MONTH(A73)),INDEX(Settings!$B$29:$B$40,MONTH(A73)))))</f>
        <v/>
      </c>
    </row>
    <row r="74" customFormat="false" ht="15" hidden="false" customHeight="false" outlineLevel="0" collapsed="false">
      <c r="H74" s="0" t="str">
        <f aca="false">IF(B74="","",IF(COUNTIF(Campaigns!$A$7:$A$300,B74)&gt;0,"✓","⚠ add to Campaigns tab"))</f>
        <v/>
      </c>
      <c r="I74" s="84" t="str">
        <f aca="false">IF(C74="","",C74*IF(Settings!$B$25=Settings!$C$6,1,IF(Settings!$B$25="USD",1/INDEX(Settings!$B$29:$B$40,MONTH(A74)),INDEX(Settings!$B$29:$B$40,MONTH(A74)))))</f>
        <v/>
      </c>
    </row>
    <row r="75" customFormat="false" ht="15" hidden="false" customHeight="false" outlineLevel="0" collapsed="false">
      <c r="H75" s="0" t="str">
        <f aca="false">IF(B75="","",IF(COUNTIF(Campaigns!$A$7:$A$300,B75)&gt;0,"✓","⚠ add to Campaigns tab"))</f>
        <v/>
      </c>
      <c r="I75" s="84" t="str">
        <f aca="false">IF(C75="","",C75*IF(Settings!$B$25=Settings!$C$6,1,IF(Settings!$B$25="USD",1/INDEX(Settings!$B$29:$B$40,MONTH(A75)),INDEX(Settings!$B$29:$B$40,MONTH(A75)))))</f>
        <v/>
      </c>
    </row>
    <row r="76" customFormat="false" ht="15" hidden="false" customHeight="false" outlineLevel="0" collapsed="false">
      <c r="H76" s="0" t="str">
        <f aca="false">IF(B76="","",IF(COUNTIF(Campaigns!$A$7:$A$300,B76)&gt;0,"✓","⚠ add to Campaigns tab"))</f>
        <v/>
      </c>
      <c r="I76" s="84" t="str">
        <f aca="false">IF(C76="","",C76*IF(Settings!$B$25=Settings!$C$6,1,IF(Settings!$B$25="USD",1/INDEX(Settings!$B$29:$B$40,MONTH(A76)),INDEX(Settings!$B$29:$B$40,MONTH(A76)))))</f>
        <v/>
      </c>
    </row>
    <row r="77" customFormat="false" ht="15" hidden="false" customHeight="false" outlineLevel="0" collapsed="false">
      <c r="H77" s="0" t="str">
        <f aca="false">IF(B77="","",IF(COUNTIF(Campaigns!$A$7:$A$300,B77)&gt;0,"✓","⚠ add to Campaigns tab"))</f>
        <v/>
      </c>
      <c r="I77" s="84" t="str">
        <f aca="false">IF(C77="","",C77*IF(Settings!$B$25=Settings!$C$6,1,IF(Settings!$B$25="USD",1/INDEX(Settings!$B$29:$B$40,MONTH(A77)),INDEX(Settings!$B$29:$B$40,MONTH(A77)))))</f>
        <v/>
      </c>
    </row>
    <row r="78" customFormat="false" ht="15" hidden="false" customHeight="false" outlineLevel="0" collapsed="false">
      <c r="H78" s="0" t="str">
        <f aca="false">IF(B78="","",IF(COUNTIF(Campaigns!$A$7:$A$300,B78)&gt;0,"✓","⚠ add to Campaigns tab"))</f>
        <v/>
      </c>
      <c r="I78" s="84" t="str">
        <f aca="false">IF(C78="","",C78*IF(Settings!$B$25=Settings!$C$6,1,IF(Settings!$B$25="USD",1/INDEX(Settings!$B$29:$B$40,MONTH(A78)),INDEX(Settings!$B$29:$B$40,MONTH(A78)))))</f>
        <v/>
      </c>
    </row>
    <row r="79" customFormat="false" ht="15" hidden="false" customHeight="false" outlineLevel="0" collapsed="false">
      <c r="H79" s="0" t="str">
        <f aca="false">IF(B79="","",IF(COUNTIF(Campaigns!$A$7:$A$300,B79)&gt;0,"✓","⚠ add to Campaigns tab"))</f>
        <v/>
      </c>
      <c r="I79" s="84" t="str">
        <f aca="false">IF(C79="","",C79*IF(Settings!$B$25=Settings!$C$6,1,IF(Settings!$B$25="USD",1/INDEX(Settings!$B$29:$B$40,MONTH(A79)),INDEX(Settings!$B$29:$B$40,MONTH(A79)))))</f>
        <v/>
      </c>
    </row>
    <row r="80" customFormat="false" ht="15" hidden="false" customHeight="false" outlineLevel="0" collapsed="false">
      <c r="H80" s="0" t="str">
        <f aca="false">IF(B80="","",IF(COUNTIF(Campaigns!$A$7:$A$300,B80)&gt;0,"✓","⚠ add to Campaigns tab"))</f>
        <v/>
      </c>
      <c r="I80" s="84" t="str">
        <f aca="false">IF(C80="","",C80*IF(Settings!$B$25=Settings!$C$6,1,IF(Settings!$B$25="USD",1/INDEX(Settings!$B$29:$B$40,MONTH(A80)),INDEX(Settings!$B$29:$B$40,MONTH(A80)))))</f>
        <v/>
      </c>
    </row>
    <row r="81" customFormat="false" ht="15" hidden="false" customHeight="false" outlineLevel="0" collapsed="false">
      <c r="H81" s="0" t="str">
        <f aca="false">IF(B81="","",IF(COUNTIF(Campaigns!$A$7:$A$300,B81)&gt;0,"✓","⚠ add to Campaigns tab"))</f>
        <v/>
      </c>
      <c r="I81" s="84" t="str">
        <f aca="false">IF(C81="","",C81*IF(Settings!$B$25=Settings!$C$6,1,IF(Settings!$B$25="USD",1/INDEX(Settings!$B$29:$B$40,MONTH(A81)),INDEX(Settings!$B$29:$B$40,MONTH(A81)))))</f>
        <v/>
      </c>
    </row>
    <row r="82" customFormat="false" ht="15" hidden="false" customHeight="false" outlineLevel="0" collapsed="false">
      <c r="H82" s="0" t="str">
        <f aca="false">IF(B82="","",IF(COUNTIF(Campaigns!$A$7:$A$300,B82)&gt;0,"✓","⚠ add to Campaigns tab"))</f>
        <v/>
      </c>
      <c r="I82" s="84" t="str">
        <f aca="false">IF(C82="","",C82*IF(Settings!$B$25=Settings!$C$6,1,IF(Settings!$B$25="USD",1/INDEX(Settings!$B$29:$B$40,MONTH(A82)),INDEX(Settings!$B$29:$B$40,MONTH(A82)))))</f>
        <v/>
      </c>
    </row>
    <row r="83" customFormat="false" ht="15" hidden="false" customHeight="false" outlineLevel="0" collapsed="false">
      <c r="H83" s="0" t="str">
        <f aca="false">IF(B83="","",IF(COUNTIF(Campaigns!$A$7:$A$300,B83)&gt;0,"✓","⚠ add to Campaigns tab"))</f>
        <v/>
      </c>
      <c r="I83" s="84" t="str">
        <f aca="false">IF(C83="","",C83*IF(Settings!$B$25=Settings!$C$6,1,IF(Settings!$B$25="USD",1/INDEX(Settings!$B$29:$B$40,MONTH(A83)),INDEX(Settings!$B$29:$B$40,MONTH(A83)))))</f>
        <v/>
      </c>
    </row>
    <row r="84" customFormat="false" ht="15" hidden="false" customHeight="false" outlineLevel="0" collapsed="false">
      <c r="H84" s="0" t="str">
        <f aca="false">IF(B84="","",IF(COUNTIF(Campaigns!$A$7:$A$300,B84)&gt;0,"✓","⚠ add to Campaigns tab"))</f>
        <v/>
      </c>
      <c r="I84" s="84" t="str">
        <f aca="false">IF(C84="","",C84*IF(Settings!$B$25=Settings!$C$6,1,IF(Settings!$B$25="USD",1/INDEX(Settings!$B$29:$B$40,MONTH(A84)),INDEX(Settings!$B$29:$B$40,MONTH(A84)))))</f>
        <v/>
      </c>
    </row>
    <row r="85" customFormat="false" ht="15" hidden="false" customHeight="false" outlineLevel="0" collapsed="false">
      <c r="H85" s="0" t="str">
        <f aca="false">IF(B85="","",IF(COUNTIF(Campaigns!$A$7:$A$300,B85)&gt;0,"✓","⚠ add to Campaigns tab"))</f>
        <v/>
      </c>
      <c r="I85" s="84" t="str">
        <f aca="false">IF(C85="","",C85*IF(Settings!$B$25=Settings!$C$6,1,IF(Settings!$B$25="USD",1/INDEX(Settings!$B$29:$B$40,MONTH(A85)),INDEX(Settings!$B$29:$B$40,MONTH(A85)))))</f>
        <v/>
      </c>
    </row>
    <row r="86" customFormat="false" ht="15" hidden="false" customHeight="false" outlineLevel="0" collapsed="false">
      <c r="H86" s="0" t="str">
        <f aca="false">IF(B86="","",IF(COUNTIF(Campaigns!$A$7:$A$300,B86)&gt;0,"✓","⚠ add to Campaigns tab"))</f>
        <v/>
      </c>
      <c r="I86" s="84" t="str">
        <f aca="false">IF(C86="","",C86*IF(Settings!$B$25=Settings!$C$6,1,IF(Settings!$B$25="USD",1/INDEX(Settings!$B$29:$B$40,MONTH(A86)),INDEX(Settings!$B$29:$B$40,MONTH(A86)))))</f>
        <v/>
      </c>
    </row>
    <row r="87" customFormat="false" ht="15" hidden="false" customHeight="false" outlineLevel="0" collapsed="false">
      <c r="H87" s="0" t="str">
        <f aca="false">IF(B87="","",IF(COUNTIF(Campaigns!$A$7:$A$300,B87)&gt;0,"✓","⚠ add to Campaigns tab"))</f>
        <v/>
      </c>
      <c r="I87" s="84" t="str">
        <f aca="false">IF(C87="","",C87*IF(Settings!$B$25=Settings!$C$6,1,IF(Settings!$B$25="USD",1/INDEX(Settings!$B$29:$B$40,MONTH(A87)),INDEX(Settings!$B$29:$B$40,MONTH(A87)))))</f>
        <v/>
      </c>
    </row>
    <row r="88" customFormat="false" ht="15" hidden="false" customHeight="false" outlineLevel="0" collapsed="false">
      <c r="H88" s="0" t="str">
        <f aca="false">IF(B88="","",IF(COUNTIF(Campaigns!$A$7:$A$300,B88)&gt;0,"✓","⚠ add to Campaigns tab"))</f>
        <v/>
      </c>
      <c r="I88" s="84" t="str">
        <f aca="false">IF(C88="","",C88*IF(Settings!$B$25=Settings!$C$6,1,IF(Settings!$B$25="USD",1/INDEX(Settings!$B$29:$B$40,MONTH(A88)),INDEX(Settings!$B$29:$B$40,MONTH(A88)))))</f>
        <v/>
      </c>
    </row>
    <row r="89" customFormat="false" ht="15" hidden="false" customHeight="false" outlineLevel="0" collapsed="false">
      <c r="H89" s="0" t="str">
        <f aca="false">IF(B89="","",IF(COUNTIF(Campaigns!$A$7:$A$300,B89)&gt;0,"✓","⚠ add to Campaigns tab"))</f>
        <v/>
      </c>
      <c r="I89" s="84" t="str">
        <f aca="false">IF(C89="","",C89*IF(Settings!$B$25=Settings!$C$6,1,IF(Settings!$B$25="USD",1/INDEX(Settings!$B$29:$B$40,MONTH(A89)),INDEX(Settings!$B$29:$B$40,MONTH(A89)))))</f>
        <v/>
      </c>
    </row>
    <row r="90" customFormat="false" ht="15" hidden="false" customHeight="false" outlineLevel="0" collapsed="false">
      <c r="H90" s="0" t="str">
        <f aca="false">IF(B90="","",IF(COUNTIF(Campaigns!$A$7:$A$300,B90)&gt;0,"✓","⚠ add to Campaigns tab"))</f>
        <v/>
      </c>
      <c r="I90" s="84" t="str">
        <f aca="false">IF(C90="","",C90*IF(Settings!$B$25=Settings!$C$6,1,IF(Settings!$B$25="USD",1/INDEX(Settings!$B$29:$B$40,MONTH(A90)),INDEX(Settings!$B$29:$B$40,MONTH(A90)))))</f>
        <v/>
      </c>
    </row>
    <row r="91" customFormat="false" ht="15" hidden="false" customHeight="false" outlineLevel="0" collapsed="false">
      <c r="H91" s="0" t="str">
        <f aca="false">IF(B91="","",IF(COUNTIF(Campaigns!$A$7:$A$300,B91)&gt;0,"✓","⚠ add to Campaigns tab"))</f>
        <v/>
      </c>
      <c r="I91" s="84" t="str">
        <f aca="false">IF(C91="","",C91*IF(Settings!$B$25=Settings!$C$6,1,IF(Settings!$B$25="USD",1/INDEX(Settings!$B$29:$B$40,MONTH(A91)),INDEX(Settings!$B$29:$B$40,MONTH(A91)))))</f>
        <v/>
      </c>
    </row>
    <row r="92" customFormat="false" ht="15" hidden="false" customHeight="false" outlineLevel="0" collapsed="false">
      <c r="H92" s="0" t="str">
        <f aca="false">IF(B92="","",IF(COUNTIF(Campaigns!$A$7:$A$300,B92)&gt;0,"✓","⚠ add to Campaigns tab"))</f>
        <v/>
      </c>
      <c r="I92" s="84" t="str">
        <f aca="false">IF(C92="","",C92*IF(Settings!$B$25=Settings!$C$6,1,IF(Settings!$B$25="USD",1/INDEX(Settings!$B$29:$B$40,MONTH(A92)),INDEX(Settings!$B$29:$B$40,MONTH(A92)))))</f>
        <v/>
      </c>
    </row>
    <row r="93" customFormat="false" ht="15" hidden="false" customHeight="false" outlineLevel="0" collapsed="false">
      <c r="H93" s="0" t="str">
        <f aca="false">IF(B93="","",IF(COUNTIF(Campaigns!$A$7:$A$300,B93)&gt;0,"✓","⚠ add to Campaigns tab"))</f>
        <v/>
      </c>
      <c r="I93" s="84" t="str">
        <f aca="false">IF(C93="","",C93*IF(Settings!$B$25=Settings!$C$6,1,IF(Settings!$B$25="USD",1/INDEX(Settings!$B$29:$B$40,MONTH(A93)),INDEX(Settings!$B$29:$B$40,MONTH(A93)))))</f>
        <v/>
      </c>
    </row>
    <row r="94" customFormat="false" ht="15" hidden="false" customHeight="false" outlineLevel="0" collapsed="false">
      <c r="H94" s="0" t="str">
        <f aca="false">IF(B94="","",IF(COUNTIF(Campaigns!$A$7:$A$300,B94)&gt;0,"✓","⚠ add to Campaigns tab"))</f>
        <v/>
      </c>
      <c r="I94" s="84" t="str">
        <f aca="false">IF(C94="","",C94*IF(Settings!$B$25=Settings!$C$6,1,IF(Settings!$B$25="USD",1/INDEX(Settings!$B$29:$B$40,MONTH(A94)),INDEX(Settings!$B$29:$B$40,MONTH(A94)))))</f>
        <v/>
      </c>
    </row>
    <row r="95" customFormat="false" ht="15" hidden="false" customHeight="false" outlineLevel="0" collapsed="false">
      <c r="H95" s="0" t="str">
        <f aca="false">IF(B95="","",IF(COUNTIF(Campaigns!$A$7:$A$300,B95)&gt;0,"✓","⚠ add to Campaigns tab"))</f>
        <v/>
      </c>
      <c r="I95" s="84" t="str">
        <f aca="false">IF(C95="","",C95*IF(Settings!$B$25=Settings!$C$6,1,IF(Settings!$B$25="USD",1/INDEX(Settings!$B$29:$B$40,MONTH(A95)),INDEX(Settings!$B$29:$B$40,MONTH(A95)))))</f>
        <v/>
      </c>
    </row>
    <row r="96" customFormat="false" ht="15" hidden="false" customHeight="false" outlineLevel="0" collapsed="false">
      <c r="H96" s="0" t="str">
        <f aca="false">IF(B96="","",IF(COUNTIF(Campaigns!$A$7:$A$300,B96)&gt;0,"✓","⚠ add to Campaigns tab"))</f>
        <v/>
      </c>
      <c r="I96" s="84" t="str">
        <f aca="false">IF(C96="","",C96*IF(Settings!$B$25=Settings!$C$6,1,IF(Settings!$B$25="USD",1/INDEX(Settings!$B$29:$B$40,MONTH(A96)),INDEX(Settings!$B$29:$B$40,MONTH(A96)))))</f>
        <v/>
      </c>
    </row>
    <row r="97" customFormat="false" ht="15" hidden="false" customHeight="false" outlineLevel="0" collapsed="false">
      <c r="H97" s="0" t="str">
        <f aca="false">IF(B97="","",IF(COUNTIF(Campaigns!$A$7:$A$300,B97)&gt;0,"✓","⚠ add to Campaigns tab"))</f>
        <v/>
      </c>
      <c r="I97" s="84" t="str">
        <f aca="false">IF(C97="","",C97*IF(Settings!$B$25=Settings!$C$6,1,IF(Settings!$B$25="USD",1/INDEX(Settings!$B$29:$B$40,MONTH(A97)),INDEX(Settings!$B$29:$B$40,MONTH(A97)))))</f>
        <v/>
      </c>
    </row>
    <row r="98" customFormat="false" ht="15" hidden="false" customHeight="false" outlineLevel="0" collapsed="false">
      <c r="H98" s="0" t="str">
        <f aca="false">IF(B98="","",IF(COUNTIF(Campaigns!$A$7:$A$300,B98)&gt;0,"✓","⚠ add to Campaigns tab"))</f>
        <v/>
      </c>
      <c r="I98" s="84" t="str">
        <f aca="false">IF(C98="","",C98*IF(Settings!$B$25=Settings!$C$6,1,IF(Settings!$B$25="USD",1/INDEX(Settings!$B$29:$B$40,MONTH(A98)),INDEX(Settings!$B$29:$B$40,MONTH(A98)))))</f>
        <v/>
      </c>
    </row>
    <row r="99" customFormat="false" ht="15" hidden="false" customHeight="false" outlineLevel="0" collapsed="false">
      <c r="H99" s="0" t="str">
        <f aca="false">IF(B99="","",IF(COUNTIF(Campaigns!$A$7:$A$300,B99)&gt;0,"✓","⚠ add to Campaigns tab"))</f>
        <v/>
      </c>
      <c r="I99" s="84" t="str">
        <f aca="false">IF(C99="","",C99*IF(Settings!$B$25=Settings!$C$6,1,IF(Settings!$B$25="USD",1/INDEX(Settings!$B$29:$B$40,MONTH(A99)),INDEX(Settings!$B$29:$B$40,MONTH(A99)))))</f>
        <v/>
      </c>
    </row>
    <row r="100" customFormat="false" ht="15" hidden="false" customHeight="false" outlineLevel="0" collapsed="false">
      <c r="H100" s="0" t="str">
        <f aca="false">IF(B100="","",IF(COUNTIF(Campaigns!$A$7:$A$300,B100)&gt;0,"✓","⚠ add to Campaigns tab"))</f>
        <v/>
      </c>
      <c r="I100" s="84" t="str">
        <f aca="false">IF(C100="","",C100*IF(Settings!$B$25=Settings!$C$6,1,IF(Settings!$B$25="USD",1/INDEX(Settings!$B$29:$B$40,MONTH(A100)),INDEX(Settings!$B$29:$B$40,MONTH(A100)))))</f>
        <v/>
      </c>
    </row>
    <row r="101" customFormat="false" ht="15" hidden="false" customHeight="false" outlineLevel="0" collapsed="false">
      <c r="H101" s="0" t="str">
        <f aca="false">IF(B101="","",IF(COUNTIF(Campaigns!$A$7:$A$300,B101)&gt;0,"✓","⚠ add to Campaigns tab"))</f>
        <v/>
      </c>
      <c r="I101" s="84" t="str">
        <f aca="false">IF(C101="","",C101*IF(Settings!$B$25=Settings!$C$6,1,IF(Settings!$B$25="USD",1/INDEX(Settings!$B$29:$B$40,MONTH(A101)),INDEX(Settings!$B$29:$B$40,MONTH(A101)))))</f>
        <v/>
      </c>
    </row>
    <row r="102" customFormat="false" ht="15" hidden="false" customHeight="false" outlineLevel="0" collapsed="false">
      <c r="H102" s="0" t="str">
        <f aca="false">IF(B102="","",IF(COUNTIF(Campaigns!$A$7:$A$300,B102)&gt;0,"✓","⚠ add to Campaigns tab"))</f>
        <v/>
      </c>
      <c r="I102" s="84" t="str">
        <f aca="false">IF(C102="","",C102*IF(Settings!$B$25=Settings!$C$6,1,IF(Settings!$B$25="USD",1/INDEX(Settings!$B$29:$B$40,MONTH(A102)),INDEX(Settings!$B$29:$B$40,MONTH(A102)))))</f>
        <v/>
      </c>
    </row>
    <row r="103" customFormat="false" ht="15" hidden="false" customHeight="false" outlineLevel="0" collapsed="false">
      <c r="H103" s="0" t="str">
        <f aca="false">IF(B103="","",IF(COUNTIF(Campaigns!$A$7:$A$300,B103)&gt;0,"✓","⚠ add to Campaigns tab"))</f>
        <v/>
      </c>
      <c r="I103" s="84" t="str">
        <f aca="false">IF(C103="","",C103*IF(Settings!$B$25=Settings!$C$6,1,IF(Settings!$B$25="USD",1/INDEX(Settings!$B$29:$B$40,MONTH(A103)),INDEX(Settings!$B$29:$B$40,MONTH(A103)))))</f>
        <v/>
      </c>
    </row>
    <row r="104" customFormat="false" ht="15" hidden="false" customHeight="false" outlineLevel="0" collapsed="false">
      <c r="H104" s="0" t="str">
        <f aca="false">IF(B104="","",IF(COUNTIF(Campaigns!$A$7:$A$300,B104)&gt;0,"✓","⚠ add to Campaigns tab"))</f>
        <v/>
      </c>
      <c r="I104" s="84" t="str">
        <f aca="false">IF(C104="","",C104*IF(Settings!$B$25=Settings!$C$6,1,IF(Settings!$B$25="USD",1/INDEX(Settings!$B$29:$B$40,MONTH(A104)),INDEX(Settings!$B$29:$B$40,MONTH(A104)))))</f>
        <v/>
      </c>
    </row>
    <row r="105" customFormat="false" ht="15" hidden="false" customHeight="false" outlineLevel="0" collapsed="false">
      <c r="H105" s="0" t="str">
        <f aca="false">IF(B105="","",IF(COUNTIF(Campaigns!$A$7:$A$300,B105)&gt;0,"✓","⚠ add to Campaigns tab"))</f>
        <v/>
      </c>
      <c r="I105" s="84" t="str">
        <f aca="false">IF(C105="","",C105*IF(Settings!$B$25=Settings!$C$6,1,IF(Settings!$B$25="USD",1/INDEX(Settings!$B$29:$B$40,MONTH(A105)),INDEX(Settings!$B$29:$B$40,MONTH(A105)))))</f>
        <v/>
      </c>
    </row>
    <row r="106" customFormat="false" ht="15" hidden="false" customHeight="false" outlineLevel="0" collapsed="false">
      <c r="H106" s="0" t="str">
        <f aca="false">IF(B106="","",IF(COUNTIF(Campaigns!$A$7:$A$300,B106)&gt;0,"✓","⚠ add to Campaigns tab"))</f>
        <v/>
      </c>
      <c r="I106" s="84" t="str">
        <f aca="false">IF(C106="","",C106*IF(Settings!$B$25=Settings!$C$6,1,IF(Settings!$B$25="USD",1/INDEX(Settings!$B$29:$B$40,MONTH(A106)),INDEX(Settings!$B$29:$B$40,MONTH(A106)))))</f>
        <v/>
      </c>
    </row>
    <row r="107" customFormat="false" ht="15" hidden="false" customHeight="false" outlineLevel="0" collapsed="false">
      <c r="H107" s="0" t="str">
        <f aca="false">IF(B107="","",IF(COUNTIF(Campaigns!$A$7:$A$300,B107)&gt;0,"✓","⚠ add to Campaigns tab"))</f>
        <v/>
      </c>
      <c r="I107" s="84" t="str">
        <f aca="false">IF(C107="","",C107*IF(Settings!$B$25=Settings!$C$6,1,IF(Settings!$B$25="USD",1/INDEX(Settings!$B$29:$B$40,MONTH(A107)),INDEX(Settings!$B$29:$B$40,MONTH(A107)))))</f>
        <v/>
      </c>
    </row>
    <row r="108" customFormat="false" ht="15" hidden="false" customHeight="false" outlineLevel="0" collapsed="false">
      <c r="H108" s="0" t="str">
        <f aca="false">IF(B108="","",IF(COUNTIF(Campaigns!$A$7:$A$300,B108)&gt;0,"✓","⚠ add to Campaigns tab"))</f>
        <v/>
      </c>
      <c r="I108" s="84" t="str">
        <f aca="false">IF(C108="","",C108*IF(Settings!$B$25=Settings!$C$6,1,IF(Settings!$B$25="USD",1/INDEX(Settings!$B$29:$B$40,MONTH(A108)),INDEX(Settings!$B$29:$B$40,MONTH(A108)))))</f>
        <v/>
      </c>
    </row>
    <row r="109" customFormat="false" ht="15" hidden="false" customHeight="false" outlineLevel="0" collapsed="false">
      <c r="H109" s="0" t="str">
        <f aca="false">IF(B109="","",IF(COUNTIF(Campaigns!$A$7:$A$300,B109)&gt;0,"✓","⚠ add to Campaigns tab"))</f>
        <v/>
      </c>
      <c r="I109" s="84" t="str">
        <f aca="false">IF(C109="","",C109*IF(Settings!$B$25=Settings!$C$6,1,IF(Settings!$B$25="USD",1/INDEX(Settings!$B$29:$B$40,MONTH(A109)),INDEX(Settings!$B$29:$B$40,MONTH(A109)))))</f>
        <v/>
      </c>
    </row>
    <row r="110" customFormat="false" ht="15" hidden="false" customHeight="false" outlineLevel="0" collapsed="false">
      <c r="H110" s="0" t="str">
        <f aca="false">IF(B110="","",IF(COUNTIF(Campaigns!$A$7:$A$300,B110)&gt;0,"✓","⚠ add to Campaigns tab"))</f>
        <v/>
      </c>
      <c r="I110" s="84" t="str">
        <f aca="false">IF(C110="","",C110*IF(Settings!$B$25=Settings!$C$6,1,IF(Settings!$B$25="USD",1/INDEX(Settings!$B$29:$B$40,MONTH(A110)),INDEX(Settings!$B$29:$B$40,MONTH(A110)))))</f>
        <v/>
      </c>
    </row>
    <row r="111" customFormat="false" ht="15" hidden="false" customHeight="false" outlineLevel="0" collapsed="false">
      <c r="H111" s="0" t="str">
        <f aca="false">IF(B111="","",IF(COUNTIF(Campaigns!$A$7:$A$300,B111)&gt;0,"✓","⚠ add to Campaigns tab"))</f>
        <v/>
      </c>
      <c r="I111" s="84" t="str">
        <f aca="false">IF(C111="","",C111*IF(Settings!$B$25=Settings!$C$6,1,IF(Settings!$B$25="USD",1/INDEX(Settings!$B$29:$B$40,MONTH(A111)),INDEX(Settings!$B$29:$B$40,MONTH(A111)))))</f>
        <v/>
      </c>
    </row>
    <row r="112" customFormat="false" ht="15" hidden="false" customHeight="false" outlineLevel="0" collapsed="false">
      <c r="H112" s="0" t="str">
        <f aca="false">IF(B112="","",IF(COUNTIF(Campaigns!$A$7:$A$300,B112)&gt;0,"✓","⚠ add to Campaigns tab"))</f>
        <v/>
      </c>
      <c r="I112" s="84" t="str">
        <f aca="false">IF(C112="","",C112*IF(Settings!$B$25=Settings!$C$6,1,IF(Settings!$B$25="USD",1/INDEX(Settings!$B$29:$B$40,MONTH(A112)),INDEX(Settings!$B$29:$B$40,MONTH(A112)))))</f>
        <v/>
      </c>
    </row>
    <row r="113" customFormat="false" ht="15" hidden="false" customHeight="false" outlineLevel="0" collapsed="false">
      <c r="H113" s="0" t="str">
        <f aca="false">IF(B113="","",IF(COUNTIF(Campaigns!$A$7:$A$300,B113)&gt;0,"✓","⚠ add to Campaigns tab"))</f>
        <v/>
      </c>
      <c r="I113" s="84" t="str">
        <f aca="false">IF(C113="","",C113*IF(Settings!$B$25=Settings!$C$6,1,IF(Settings!$B$25="USD",1/INDEX(Settings!$B$29:$B$40,MONTH(A113)),INDEX(Settings!$B$29:$B$40,MONTH(A113)))))</f>
        <v/>
      </c>
    </row>
    <row r="114" customFormat="false" ht="15" hidden="false" customHeight="false" outlineLevel="0" collapsed="false">
      <c r="H114" s="0" t="str">
        <f aca="false">IF(B114="","",IF(COUNTIF(Campaigns!$A$7:$A$300,B114)&gt;0,"✓","⚠ add to Campaigns tab"))</f>
        <v/>
      </c>
      <c r="I114" s="84" t="str">
        <f aca="false">IF(C114="","",C114*IF(Settings!$B$25=Settings!$C$6,1,IF(Settings!$B$25="USD",1/INDEX(Settings!$B$29:$B$40,MONTH(A114)),INDEX(Settings!$B$29:$B$40,MONTH(A114)))))</f>
        <v/>
      </c>
    </row>
    <row r="115" customFormat="false" ht="15" hidden="false" customHeight="false" outlineLevel="0" collapsed="false">
      <c r="H115" s="0" t="str">
        <f aca="false">IF(B115="","",IF(COUNTIF(Campaigns!$A$7:$A$300,B115)&gt;0,"✓","⚠ add to Campaigns tab"))</f>
        <v/>
      </c>
      <c r="I115" s="84" t="str">
        <f aca="false">IF(C115="","",C115*IF(Settings!$B$25=Settings!$C$6,1,IF(Settings!$B$25="USD",1/INDEX(Settings!$B$29:$B$40,MONTH(A115)),INDEX(Settings!$B$29:$B$40,MONTH(A115)))))</f>
        <v/>
      </c>
    </row>
    <row r="116" customFormat="false" ht="15" hidden="false" customHeight="false" outlineLevel="0" collapsed="false">
      <c r="H116" s="0" t="str">
        <f aca="false">IF(B116="","",IF(COUNTIF(Campaigns!$A$7:$A$300,B116)&gt;0,"✓","⚠ add to Campaigns tab"))</f>
        <v/>
      </c>
      <c r="I116" s="84" t="str">
        <f aca="false">IF(C116="","",C116*IF(Settings!$B$25=Settings!$C$6,1,IF(Settings!$B$25="USD",1/INDEX(Settings!$B$29:$B$40,MONTH(A116)),INDEX(Settings!$B$29:$B$40,MONTH(A116)))))</f>
        <v/>
      </c>
    </row>
    <row r="117" customFormat="false" ht="15" hidden="false" customHeight="false" outlineLevel="0" collapsed="false">
      <c r="H117" s="0" t="str">
        <f aca="false">IF(B117="","",IF(COUNTIF(Campaigns!$A$7:$A$300,B117)&gt;0,"✓","⚠ add to Campaigns tab"))</f>
        <v/>
      </c>
      <c r="I117" s="84" t="str">
        <f aca="false">IF(C117="","",C117*IF(Settings!$B$25=Settings!$C$6,1,IF(Settings!$B$25="USD",1/INDEX(Settings!$B$29:$B$40,MONTH(A117)),INDEX(Settings!$B$29:$B$40,MONTH(A117)))))</f>
        <v/>
      </c>
    </row>
    <row r="118" customFormat="false" ht="15" hidden="false" customHeight="false" outlineLevel="0" collapsed="false">
      <c r="H118" s="0" t="str">
        <f aca="false">IF(B118="","",IF(COUNTIF(Campaigns!$A$7:$A$300,B118)&gt;0,"✓","⚠ add to Campaigns tab"))</f>
        <v/>
      </c>
      <c r="I118" s="84" t="str">
        <f aca="false">IF(C118="","",C118*IF(Settings!$B$25=Settings!$C$6,1,IF(Settings!$B$25="USD",1/INDEX(Settings!$B$29:$B$40,MONTH(A118)),INDEX(Settings!$B$29:$B$40,MONTH(A118)))))</f>
        <v/>
      </c>
    </row>
    <row r="119" customFormat="false" ht="15" hidden="false" customHeight="false" outlineLevel="0" collapsed="false">
      <c r="H119" s="0" t="str">
        <f aca="false">IF(B119="","",IF(COUNTIF(Campaigns!$A$7:$A$300,B119)&gt;0,"✓","⚠ add to Campaigns tab"))</f>
        <v/>
      </c>
      <c r="I119" s="84" t="str">
        <f aca="false">IF(C119="","",C119*IF(Settings!$B$25=Settings!$C$6,1,IF(Settings!$B$25="USD",1/INDEX(Settings!$B$29:$B$40,MONTH(A119)),INDEX(Settings!$B$29:$B$40,MONTH(A119)))))</f>
        <v/>
      </c>
    </row>
    <row r="120" customFormat="false" ht="15" hidden="false" customHeight="false" outlineLevel="0" collapsed="false">
      <c r="H120" s="0" t="str">
        <f aca="false">IF(B120="","",IF(COUNTIF(Campaigns!$A$7:$A$300,B120)&gt;0,"✓","⚠ add to Campaigns tab"))</f>
        <v/>
      </c>
      <c r="I120" s="84" t="str">
        <f aca="false">IF(C120="","",C120*IF(Settings!$B$25=Settings!$C$6,1,IF(Settings!$B$25="USD",1/INDEX(Settings!$B$29:$B$40,MONTH(A120)),INDEX(Settings!$B$29:$B$40,MONTH(A120)))))</f>
        <v/>
      </c>
    </row>
    <row r="121" customFormat="false" ht="15" hidden="false" customHeight="false" outlineLevel="0" collapsed="false">
      <c r="H121" s="0" t="str">
        <f aca="false">IF(B121="","",IF(COUNTIF(Campaigns!$A$7:$A$300,B121)&gt;0,"✓","⚠ add to Campaigns tab"))</f>
        <v/>
      </c>
      <c r="I121" s="84" t="str">
        <f aca="false">IF(C121="","",C121*IF(Settings!$B$25=Settings!$C$6,1,IF(Settings!$B$25="USD",1/INDEX(Settings!$B$29:$B$40,MONTH(A121)),INDEX(Settings!$B$29:$B$40,MONTH(A121)))))</f>
        <v/>
      </c>
    </row>
    <row r="122" customFormat="false" ht="15" hidden="false" customHeight="false" outlineLevel="0" collapsed="false">
      <c r="H122" s="0" t="str">
        <f aca="false">IF(B122="","",IF(COUNTIF(Campaigns!$A$7:$A$300,B122)&gt;0,"✓","⚠ add to Campaigns tab"))</f>
        <v/>
      </c>
      <c r="I122" s="84" t="str">
        <f aca="false">IF(C122="","",C122*IF(Settings!$B$25=Settings!$C$6,1,IF(Settings!$B$25="USD",1/INDEX(Settings!$B$29:$B$40,MONTH(A122)),INDEX(Settings!$B$29:$B$40,MONTH(A122)))))</f>
        <v/>
      </c>
    </row>
    <row r="123" customFormat="false" ht="15" hidden="false" customHeight="false" outlineLevel="0" collapsed="false">
      <c r="H123" s="0" t="str">
        <f aca="false">IF(B123="","",IF(COUNTIF(Campaigns!$A$7:$A$300,B123)&gt;0,"✓","⚠ add to Campaigns tab"))</f>
        <v/>
      </c>
      <c r="I123" s="84" t="str">
        <f aca="false">IF(C123="","",C123*IF(Settings!$B$25=Settings!$C$6,1,IF(Settings!$B$25="USD",1/INDEX(Settings!$B$29:$B$40,MONTH(A123)),INDEX(Settings!$B$29:$B$40,MONTH(A123)))))</f>
        <v/>
      </c>
    </row>
    <row r="124" customFormat="false" ht="15" hidden="false" customHeight="false" outlineLevel="0" collapsed="false">
      <c r="H124" s="0" t="str">
        <f aca="false">IF(B124="","",IF(COUNTIF(Campaigns!$A$7:$A$300,B124)&gt;0,"✓","⚠ add to Campaigns tab"))</f>
        <v/>
      </c>
      <c r="I124" s="84" t="str">
        <f aca="false">IF(C124="","",C124*IF(Settings!$B$25=Settings!$C$6,1,IF(Settings!$B$25="USD",1/INDEX(Settings!$B$29:$B$40,MONTH(A124)),INDEX(Settings!$B$29:$B$40,MONTH(A124)))))</f>
        <v/>
      </c>
    </row>
    <row r="125" customFormat="false" ht="15" hidden="false" customHeight="false" outlineLevel="0" collapsed="false">
      <c r="H125" s="0" t="str">
        <f aca="false">IF(B125="","",IF(COUNTIF(Campaigns!$A$7:$A$300,B125)&gt;0,"✓","⚠ add to Campaigns tab"))</f>
        <v/>
      </c>
      <c r="I125" s="84" t="str">
        <f aca="false">IF(C125="","",C125*IF(Settings!$B$25=Settings!$C$6,1,IF(Settings!$B$25="USD",1/INDEX(Settings!$B$29:$B$40,MONTH(A125)),INDEX(Settings!$B$29:$B$40,MONTH(A125)))))</f>
        <v/>
      </c>
    </row>
    <row r="126" customFormat="false" ht="15" hidden="false" customHeight="false" outlineLevel="0" collapsed="false">
      <c r="H126" s="0" t="str">
        <f aca="false">IF(B126="","",IF(COUNTIF(Campaigns!$A$7:$A$300,B126)&gt;0,"✓","⚠ add to Campaigns tab"))</f>
        <v/>
      </c>
      <c r="I126" s="84" t="str">
        <f aca="false">IF(C126="","",C126*IF(Settings!$B$25=Settings!$C$6,1,IF(Settings!$B$25="USD",1/INDEX(Settings!$B$29:$B$40,MONTH(A126)),INDEX(Settings!$B$29:$B$40,MONTH(A126)))))</f>
        <v/>
      </c>
    </row>
    <row r="127" customFormat="false" ht="15" hidden="false" customHeight="false" outlineLevel="0" collapsed="false">
      <c r="H127" s="0" t="str">
        <f aca="false">IF(B127="","",IF(COUNTIF(Campaigns!$A$7:$A$300,B127)&gt;0,"✓","⚠ add to Campaigns tab"))</f>
        <v/>
      </c>
      <c r="I127" s="84" t="str">
        <f aca="false">IF(C127="","",C127*IF(Settings!$B$25=Settings!$C$6,1,IF(Settings!$B$25="USD",1/INDEX(Settings!$B$29:$B$40,MONTH(A127)),INDEX(Settings!$B$29:$B$40,MONTH(A127)))))</f>
        <v/>
      </c>
    </row>
    <row r="128" customFormat="false" ht="15" hidden="false" customHeight="false" outlineLevel="0" collapsed="false">
      <c r="H128" s="0" t="str">
        <f aca="false">IF(B128="","",IF(COUNTIF(Campaigns!$A$7:$A$300,B128)&gt;0,"✓","⚠ add to Campaigns tab"))</f>
        <v/>
      </c>
      <c r="I128" s="84" t="str">
        <f aca="false">IF(C128="","",C128*IF(Settings!$B$25=Settings!$C$6,1,IF(Settings!$B$25="USD",1/INDEX(Settings!$B$29:$B$40,MONTH(A128)),INDEX(Settings!$B$29:$B$40,MONTH(A128)))))</f>
        <v/>
      </c>
    </row>
    <row r="129" customFormat="false" ht="15" hidden="false" customHeight="false" outlineLevel="0" collapsed="false">
      <c r="H129" s="0" t="str">
        <f aca="false">IF(B129="","",IF(COUNTIF(Campaigns!$A$7:$A$300,B129)&gt;0,"✓","⚠ add to Campaigns tab"))</f>
        <v/>
      </c>
      <c r="I129" s="84" t="str">
        <f aca="false">IF(C129="","",C129*IF(Settings!$B$25=Settings!$C$6,1,IF(Settings!$B$25="USD",1/INDEX(Settings!$B$29:$B$40,MONTH(A129)),INDEX(Settings!$B$29:$B$40,MONTH(A129)))))</f>
        <v/>
      </c>
    </row>
    <row r="130" customFormat="false" ht="15" hidden="false" customHeight="false" outlineLevel="0" collapsed="false">
      <c r="H130" s="0" t="str">
        <f aca="false">IF(B130="","",IF(COUNTIF(Campaigns!$A$7:$A$300,B130)&gt;0,"✓","⚠ add to Campaigns tab"))</f>
        <v/>
      </c>
      <c r="I130" s="84" t="str">
        <f aca="false">IF(C130="","",C130*IF(Settings!$B$25=Settings!$C$6,1,IF(Settings!$B$25="USD",1/INDEX(Settings!$B$29:$B$40,MONTH(A130)),INDEX(Settings!$B$29:$B$40,MONTH(A130)))))</f>
        <v/>
      </c>
    </row>
    <row r="131" customFormat="false" ht="15" hidden="false" customHeight="false" outlineLevel="0" collapsed="false">
      <c r="H131" s="0" t="str">
        <f aca="false">IF(B131="","",IF(COUNTIF(Campaigns!$A$7:$A$300,B131)&gt;0,"✓","⚠ add to Campaigns tab"))</f>
        <v/>
      </c>
      <c r="I131" s="84" t="str">
        <f aca="false">IF(C131="","",C131*IF(Settings!$B$25=Settings!$C$6,1,IF(Settings!$B$25="USD",1/INDEX(Settings!$B$29:$B$40,MONTH(A131)),INDEX(Settings!$B$29:$B$40,MONTH(A131)))))</f>
        <v/>
      </c>
    </row>
    <row r="132" customFormat="false" ht="15" hidden="false" customHeight="false" outlineLevel="0" collapsed="false">
      <c r="H132" s="0" t="str">
        <f aca="false">IF(B132="","",IF(COUNTIF(Campaigns!$A$7:$A$300,B132)&gt;0,"✓","⚠ add to Campaigns tab"))</f>
        <v/>
      </c>
      <c r="I132" s="84" t="str">
        <f aca="false">IF(C132="","",C132*IF(Settings!$B$25=Settings!$C$6,1,IF(Settings!$B$25="USD",1/INDEX(Settings!$B$29:$B$40,MONTH(A132)),INDEX(Settings!$B$29:$B$40,MONTH(A132)))))</f>
        <v/>
      </c>
    </row>
    <row r="133" customFormat="false" ht="15" hidden="false" customHeight="false" outlineLevel="0" collapsed="false">
      <c r="H133" s="0" t="str">
        <f aca="false">IF(B133="","",IF(COUNTIF(Campaigns!$A$7:$A$300,B133)&gt;0,"✓","⚠ add to Campaigns tab"))</f>
        <v/>
      </c>
      <c r="I133" s="84" t="str">
        <f aca="false">IF(C133="","",C133*IF(Settings!$B$25=Settings!$C$6,1,IF(Settings!$B$25="USD",1/INDEX(Settings!$B$29:$B$40,MONTH(A133)),INDEX(Settings!$B$29:$B$40,MONTH(A133)))))</f>
        <v/>
      </c>
    </row>
    <row r="134" customFormat="false" ht="15" hidden="false" customHeight="false" outlineLevel="0" collapsed="false">
      <c r="H134" s="0" t="str">
        <f aca="false">IF(B134="","",IF(COUNTIF(Campaigns!$A$7:$A$300,B134)&gt;0,"✓","⚠ add to Campaigns tab"))</f>
        <v/>
      </c>
      <c r="I134" s="84" t="str">
        <f aca="false">IF(C134="","",C134*IF(Settings!$B$25=Settings!$C$6,1,IF(Settings!$B$25="USD",1/INDEX(Settings!$B$29:$B$40,MONTH(A134)),INDEX(Settings!$B$29:$B$40,MONTH(A134)))))</f>
        <v/>
      </c>
    </row>
    <row r="135" customFormat="false" ht="15" hidden="false" customHeight="false" outlineLevel="0" collapsed="false">
      <c r="H135" s="0" t="str">
        <f aca="false">IF(B135="","",IF(COUNTIF(Campaigns!$A$7:$A$300,B135)&gt;0,"✓","⚠ add to Campaigns tab"))</f>
        <v/>
      </c>
      <c r="I135" s="84" t="str">
        <f aca="false">IF(C135="","",C135*IF(Settings!$B$25=Settings!$C$6,1,IF(Settings!$B$25="USD",1/INDEX(Settings!$B$29:$B$40,MONTH(A135)),INDEX(Settings!$B$29:$B$40,MONTH(A135)))))</f>
        <v/>
      </c>
    </row>
    <row r="136" customFormat="false" ht="15" hidden="false" customHeight="false" outlineLevel="0" collapsed="false">
      <c r="H136" s="0" t="str">
        <f aca="false">IF(B136="","",IF(COUNTIF(Campaigns!$A$7:$A$300,B136)&gt;0,"✓","⚠ add to Campaigns tab"))</f>
        <v/>
      </c>
      <c r="I136" s="84" t="str">
        <f aca="false">IF(C136="","",C136*IF(Settings!$B$25=Settings!$C$6,1,IF(Settings!$B$25="USD",1/INDEX(Settings!$B$29:$B$40,MONTH(A136)),INDEX(Settings!$B$29:$B$40,MONTH(A136)))))</f>
        <v/>
      </c>
    </row>
    <row r="137" customFormat="false" ht="15" hidden="false" customHeight="false" outlineLevel="0" collapsed="false">
      <c r="H137" s="0" t="str">
        <f aca="false">IF(B137="","",IF(COUNTIF(Campaigns!$A$7:$A$300,B137)&gt;0,"✓","⚠ add to Campaigns tab"))</f>
        <v/>
      </c>
      <c r="I137" s="84" t="str">
        <f aca="false">IF(C137="","",C137*IF(Settings!$B$25=Settings!$C$6,1,IF(Settings!$B$25="USD",1/INDEX(Settings!$B$29:$B$40,MONTH(A137)),INDEX(Settings!$B$29:$B$40,MONTH(A137)))))</f>
        <v/>
      </c>
    </row>
    <row r="138" customFormat="false" ht="15" hidden="false" customHeight="false" outlineLevel="0" collapsed="false">
      <c r="H138" s="0" t="str">
        <f aca="false">IF(B138="","",IF(COUNTIF(Campaigns!$A$7:$A$300,B138)&gt;0,"✓","⚠ add to Campaigns tab"))</f>
        <v/>
      </c>
      <c r="I138" s="84" t="str">
        <f aca="false">IF(C138="","",C138*IF(Settings!$B$25=Settings!$C$6,1,IF(Settings!$B$25="USD",1/INDEX(Settings!$B$29:$B$40,MONTH(A138)),INDEX(Settings!$B$29:$B$40,MONTH(A138)))))</f>
        <v/>
      </c>
    </row>
    <row r="139" customFormat="false" ht="15" hidden="false" customHeight="false" outlineLevel="0" collapsed="false">
      <c r="H139" s="0" t="str">
        <f aca="false">IF(B139="","",IF(COUNTIF(Campaigns!$A$7:$A$300,B139)&gt;0,"✓","⚠ add to Campaigns tab"))</f>
        <v/>
      </c>
      <c r="I139" s="84" t="str">
        <f aca="false">IF(C139="","",C139*IF(Settings!$B$25=Settings!$C$6,1,IF(Settings!$B$25="USD",1/INDEX(Settings!$B$29:$B$40,MONTH(A139)),INDEX(Settings!$B$29:$B$40,MONTH(A139)))))</f>
        <v/>
      </c>
    </row>
    <row r="140" customFormat="false" ht="15" hidden="false" customHeight="false" outlineLevel="0" collapsed="false">
      <c r="H140" s="0" t="str">
        <f aca="false">IF(B140="","",IF(COUNTIF(Campaigns!$A$7:$A$300,B140)&gt;0,"✓","⚠ add to Campaigns tab"))</f>
        <v/>
      </c>
      <c r="I140" s="84" t="str">
        <f aca="false">IF(C140="","",C140*IF(Settings!$B$25=Settings!$C$6,1,IF(Settings!$B$25="USD",1/INDEX(Settings!$B$29:$B$40,MONTH(A140)),INDEX(Settings!$B$29:$B$40,MONTH(A140)))))</f>
        <v/>
      </c>
    </row>
    <row r="141" customFormat="false" ht="15" hidden="false" customHeight="false" outlineLevel="0" collapsed="false">
      <c r="H141" s="0" t="str">
        <f aca="false">IF(B141="","",IF(COUNTIF(Campaigns!$A$7:$A$300,B141)&gt;0,"✓","⚠ add to Campaigns tab"))</f>
        <v/>
      </c>
      <c r="I141" s="84" t="str">
        <f aca="false">IF(C141="","",C141*IF(Settings!$B$25=Settings!$C$6,1,IF(Settings!$B$25="USD",1/INDEX(Settings!$B$29:$B$40,MONTH(A141)),INDEX(Settings!$B$29:$B$40,MONTH(A141)))))</f>
        <v/>
      </c>
    </row>
    <row r="142" customFormat="false" ht="15" hidden="false" customHeight="false" outlineLevel="0" collapsed="false">
      <c r="H142" s="0" t="str">
        <f aca="false">IF(B142="","",IF(COUNTIF(Campaigns!$A$7:$A$300,B142)&gt;0,"✓","⚠ add to Campaigns tab"))</f>
        <v/>
      </c>
      <c r="I142" s="84" t="str">
        <f aca="false">IF(C142="","",C142*IF(Settings!$B$25=Settings!$C$6,1,IF(Settings!$B$25="USD",1/INDEX(Settings!$B$29:$B$40,MONTH(A142)),INDEX(Settings!$B$29:$B$40,MONTH(A142)))))</f>
        <v/>
      </c>
    </row>
    <row r="143" customFormat="false" ht="15" hidden="false" customHeight="false" outlineLevel="0" collapsed="false">
      <c r="H143" s="0" t="str">
        <f aca="false">IF(B143="","",IF(COUNTIF(Campaigns!$A$7:$A$300,B143)&gt;0,"✓","⚠ add to Campaigns tab"))</f>
        <v/>
      </c>
      <c r="I143" s="84" t="str">
        <f aca="false">IF(C143="","",C143*IF(Settings!$B$25=Settings!$C$6,1,IF(Settings!$B$25="USD",1/INDEX(Settings!$B$29:$B$40,MONTH(A143)),INDEX(Settings!$B$29:$B$40,MONTH(A143)))))</f>
        <v/>
      </c>
    </row>
    <row r="144" customFormat="false" ht="15" hidden="false" customHeight="false" outlineLevel="0" collapsed="false">
      <c r="H144" s="0" t="str">
        <f aca="false">IF(B144="","",IF(COUNTIF(Campaigns!$A$7:$A$300,B144)&gt;0,"✓","⚠ add to Campaigns tab"))</f>
        <v/>
      </c>
      <c r="I144" s="84" t="str">
        <f aca="false">IF(C144="","",C144*IF(Settings!$B$25=Settings!$C$6,1,IF(Settings!$B$25="USD",1/INDEX(Settings!$B$29:$B$40,MONTH(A144)),INDEX(Settings!$B$29:$B$40,MONTH(A144)))))</f>
        <v/>
      </c>
    </row>
    <row r="145" customFormat="false" ht="15" hidden="false" customHeight="false" outlineLevel="0" collapsed="false">
      <c r="H145" s="0" t="str">
        <f aca="false">IF(B145="","",IF(COUNTIF(Campaigns!$A$7:$A$300,B145)&gt;0,"✓","⚠ add to Campaigns tab"))</f>
        <v/>
      </c>
      <c r="I145" s="84" t="str">
        <f aca="false">IF(C145="","",C145*IF(Settings!$B$25=Settings!$C$6,1,IF(Settings!$B$25="USD",1/INDEX(Settings!$B$29:$B$40,MONTH(A145)),INDEX(Settings!$B$29:$B$40,MONTH(A145)))))</f>
        <v/>
      </c>
    </row>
    <row r="146" customFormat="false" ht="15" hidden="false" customHeight="false" outlineLevel="0" collapsed="false">
      <c r="H146" s="0" t="str">
        <f aca="false">IF(B146="","",IF(COUNTIF(Campaigns!$A$7:$A$300,B146)&gt;0,"✓","⚠ add to Campaigns tab"))</f>
        <v/>
      </c>
      <c r="I146" s="84" t="str">
        <f aca="false">IF(C146="","",C146*IF(Settings!$B$25=Settings!$C$6,1,IF(Settings!$B$25="USD",1/INDEX(Settings!$B$29:$B$40,MONTH(A146)),INDEX(Settings!$B$29:$B$40,MONTH(A146)))))</f>
        <v/>
      </c>
    </row>
    <row r="147" customFormat="false" ht="15" hidden="false" customHeight="false" outlineLevel="0" collapsed="false">
      <c r="H147" s="0" t="str">
        <f aca="false">IF(B147="","",IF(COUNTIF(Campaigns!$A$7:$A$300,B147)&gt;0,"✓","⚠ add to Campaigns tab"))</f>
        <v/>
      </c>
      <c r="I147" s="84" t="str">
        <f aca="false">IF(C147="","",C147*IF(Settings!$B$25=Settings!$C$6,1,IF(Settings!$B$25="USD",1/INDEX(Settings!$B$29:$B$40,MONTH(A147)),INDEX(Settings!$B$29:$B$40,MONTH(A147)))))</f>
        <v/>
      </c>
    </row>
    <row r="148" customFormat="false" ht="15" hidden="false" customHeight="false" outlineLevel="0" collapsed="false">
      <c r="H148" s="0" t="str">
        <f aca="false">IF(B148="","",IF(COUNTIF(Campaigns!$A$7:$A$300,B148)&gt;0,"✓","⚠ add to Campaigns tab"))</f>
        <v/>
      </c>
      <c r="I148" s="84" t="str">
        <f aca="false">IF(C148="","",C148*IF(Settings!$B$25=Settings!$C$6,1,IF(Settings!$B$25="USD",1/INDEX(Settings!$B$29:$B$40,MONTH(A148)),INDEX(Settings!$B$29:$B$40,MONTH(A148)))))</f>
        <v/>
      </c>
    </row>
    <row r="149" customFormat="false" ht="15" hidden="false" customHeight="false" outlineLevel="0" collapsed="false">
      <c r="H149" s="0" t="str">
        <f aca="false">IF(B149="","",IF(COUNTIF(Campaigns!$A$7:$A$300,B149)&gt;0,"✓","⚠ add to Campaigns tab"))</f>
        <v/>
      </c>
      <c r="I149" s="84" t="str">
        <f aca="false">IF(C149="","",C149*IF(Settings!$B$25=Settings!$C$6,1,IF(Settings!$B$25="USD",1/INDEX(Settings!$B$29:$B$40,MONTH(A149)),INDEX(Settings!$B$29:$B$40,MONTH(A149)))))</f>
        <v/>
      </c>
    </row>
    <row r="150" customFormat="false" ht="15" hidden="false" customHeight="false" outlineLevel="0" collapsed="false">
      <c r="H150" s="0" t="str">
        <f aca="false">IF(B150="","",IF(COUNTIF(Campaigns!$A$7:$A$300,B150)&gt;0,"✓","⚠ add to Campaigns tab"))</f>
        <v/>
      </c>
      <c r="I150" s="84" t="str">
        <f aca="false">IF(C150="","",C150*IF(Settings!$B$25=Settings!$C$6,1,IF(Settings!$B$25="USD",1/INDEX(Settings!$B$29:$B$40,MONTH(A150)),INDEX(Settings!$B$29:$B$40,MONTH(A150)))))</f>
        <v/>
      </c>
    </row>
    <row r="151" customFormat="false" ht="15" hidden="false" customHeight="false" outlineLevel="0" collapsed="false">
      <c r="H151" s="0" t="str">
        <f aca="false">IF(B151="","",IF(COUNTIF(Campaigns!$A$7:$A$300,B151)&gt;0,"✓","⚠ add to Campaigns tab"))</f>
        <v/>
      </c>
      <c r="I151" s="84" t="str">
        <f aca="false">IF(C151="","",C151*IF(Settings!$B$25=Settings!$C$6,1,IF(Settings!$B$25="USD",1/INDEX(Settings!$B$29:$B$40,MONTH(A151)),INDEX(Settings!$B$29:$B$40,MONTH(A151)))))</f>
        <v/>
      </c>
    </row>
    <row r="152" customFormat="false" ht="15" hidden="false" customHeight="false" outlineLevel="0" collapsed="false">
      <c r="H152" s="0" t="str">
        <f aca="false">IF(B152="","",IF(COUNTIF(Campaigns!$A$7:$A$300,B152)&gt;0,"✓","⚠ add to Campaigns tab"))</f>
        <v/>
      </c>
      <c r="I152" s="84" t="str">
        <f aca="false">IF(C152="","",C152*IF(Settings!$B$25=Settings!$C$6,1,IF(Settings!$B$25="USD",1/INDEX(Settings!$B$29:$B$40,MONTH(A152)),INDEX(Settings!$B$29:$B$40,MONTH(A152)))))</f>
        <v/>
      </c>
    </row>
    <row r="153" customFormat="false" ht="15" hidden="false" customHeight="false" outlineLevel="0" collapsed="false">
      <c r="H153" s="0" t="str">
        <f aca="false">IF(B153="","",IF(COUNTIF(Campaigns!$A$7:$A$300,B153)&gt;0,"✓","⚠ add to Campaigns tab"))</f>
        <v/>
      </c>
      <c r="I153" s="84" t="str">
        <f aca="false">IF(C153="","",C153*IF(Settings!$B$25=Settings!$C$6,1,IF(Settings!$B$25="USD",1/INDEX(Settings!$B$29:$B$40,MONTH(A153)),INDEX(Settings!$B$29:$B$40,MONTH(A153)))))</f>
        <v/>
      </c>
    </row>
    <row r="154" customFormat="false" ht="15" hidden="false" customHeight="false" outlineLevel="0" collapsed="false">
      <c r="H154" s="0" t="str">
        <f aca="false">IF(B154="","",IF(COUNTIF(Campaigns!$A$7:$A$300,B154)&gt;0,"✓","⚠ add to Campaigns tab"))</f>
        <v/>
      </c>
      <c r="I154" s="84" t="str">
        <f aca="false">IF(C154="","",C154*IF(Settings!$B$25=Settings!$C$6,1,IF(Settings!$B$25="USD",1/INDEX(Settings!$B$29:$B$40,MONTH(A154)),INDEX(Settings!$B$29:$B$40,MONTH(A154)))))</f>
        <v/>
      </c>
    </row>
    <row r="155" customFormat="false" ht="15" hidden="false" customHeight="false" outlineLevel="0" collapsed="false">
      <c r="H155" s="0" t="str">
        <f aca="false">IF(B155="","",IF(COUNTIF(Campaigns!$A$7:$A$300,B155)&gt;0,"✓","⚠ add to Campaigns tab"))</f>
        <v/>
      </c>
      <c r="I155" s="84" t="str">
        <f aca="false">IF(C155="","",C155*IF(Settings!$B$25=Settings!$C$6,1,IF(Settings!$B$25="USD",1/INDEX(Settings!$B$29:$B$40,MONTH(A155)),INDEX(Settings!$B$29:$B$40,MONTH(A155)))))</f>
        <v/>
      </c>
    </row>
    <row r="156" customFormat="false" ht="15" hidden="false" customHeight="false" outlineLevel="0" collapsed="false">
      <c r="H156" s="0" t="str">
        <f aca="false">IF(B156="","",IF(COUNTIF(Campaigns!$A$7:$A$300,B156)&gt;0,"✓","⚠ add to Campaigns tab"))</f>
        <v/>
      </c>
      <c r="I156" s="84" t="str">
        <f aca="false">IF(C156="","",C156*IF(Settings!$B$25=Settings!$C$6,1,IF(Settings!$B$25="USD",1/INDEX(Settings!$B$29:$B$40,MONTH(A156)),INDEX(Settings!$B$29:$B$40,MONTH(A156)))))</f>
        <v/>
      </c>
    </row>
    <row r="157" customFormat="false" ht="15" hidden="false" customHeight="false" outlineLevel="0" collapsed="false">
      <c r="H157" s="0" t="str">
        <f aca="false">IF(B157="","",IF(COUNTIF(Campaigns!$A$7:$A$300,B157)&gt;0,"✓","⚠ add to Campaigns tab"))</f>
        <v/>
      </c>
      <c r="I157" s="84" t="str">
        <f aca="false">IF(C157="","",C157*IF(Settings!$B$25=Settings!$C$6,1,IF(Settings!$B$25="USD",1/INDEX(Settings!$B$29:$B$40,MONTH(A157)),INDEX(Settings!$B$29:$B$40,MONTH(A157)))))</f>
        <v/>
      </c>
    </row>
    <row r="158" customFormat="false" ht="15" hidden="false" customHeight="false" outlineLevel="0" collapsed="false">
      <c r="H158" s="0" t="str">
        <f aca="false">IF(B158="","",IF(COUNTIF(Campaigns!$A$7:$A$300,B158)&gt;0,"✓","⚠ add to Campaigns tab"))</f>
        <v/>
      </c>
      <c r="I158" s="84" t="str">
        <f aca="false">IF(C158="","",C158*IF(Settings!$B$25=Settings!$C$6,1,IF(Settings!$B$25="USD",1/INDEX(Settings!$B$29:$B$40,MONTH(A158)),INDEX(Settings!$B$29:$B$40,MONTH(A158)))))</f>
        <v/>
      </c>
    </row>
    <row r="159" customFormat="false" ht="15" hidden="false" customHeight="false" outlineLevel="0" collapsed="false">
      <c r="H159" s="0" t="str">
        <f aca="false">IF(B159="","",IF(COUNTIF(Campaigns!$A$7:$A$300,B159)&gt;0,"✓","⚠ add to Campaigns tab"))</f>
        <v/>
      </c>
      <c r="I159" s="84" t="str">
        <f aca="false">IF(C159="","",C159*IF(Settings!$B$25=Settings!$C$6,1,IF(Settings!$B$25="USD",1/INDEX(Settings!$B$29:$B$40,MONTH(A159)),INDEX(Settings!$B$29:$B$40,MONTH(A159)))))</f>
        <v/>
      </c>
    </row>
    <row r="160" customFormat="false" ht="15" hidden="false" customHeight="false" outlineLevel="0" collapsed="false">
      <c r="H160" s="0" t="str">
        <f aca="false">IF(B160="","",IF(COUNTIF(Campaigns!$A$7:$A$300,B160)&gt;0,"✓","⚠ add to Campaigns tab"))</f>
        <v/>
      </c>
      <c r="I160" s="84" t="str">
        <f aca="false">IF(C160="","",C160*IF(Settings!$B$25=Settings!$C$6,1,IF(Settings!$B$25="USD",1/INDEX(Settings!$B$29:$B$40,MONTH(A160)),INDEX(Settings!$B$29:$B$40,MONTH(A160)))))</f>
        <v/>
      </c>
    </row>
    <row r="161" customFormat="false" ht="15" hidden="false" customHeight="false" outlineLevel="0" collapsed="false">
      <c r="H161" s="0" t="str">
        <f aca="false">IF(B161="","",IF(COUNTIF(Campaigns!$A$7:$A$300,B161)&gt;0,"✓","⚠ add to Campaigns tab"))</f>
        <v/>
      </c>
      <c r="I161" s="84" t="str">
        <f aca="false">IF(C161="","",C161*IF(Settings!$B$25=Settings!$C$6,1,IF(Settings!$B$25="USD",1/INDEX(Settings!$B$29:$B$40,MONTH(A161)),INDEX(Settings!$B$29:$B$40,MONTH(A161)))))</f>
        <v/>
      </c>
    </row>
    <row r="162" customFormat="false" ht="15" hidden="false" customHeight="false" outlineLevel="0" collapsed="false">
      <c r="H162" s="0" t="str">
        <f aca="false">IF(B162="","",IF(COUNTIF(Campaigns!$A$7:$A$300,B162)&gt;0,"✓","⚠ add to Campaigns tab"))</f>
        <v/>
      </c>
      <c r="I162" s="84" t="str">
        <f aca="false">IF(C162="","",C162*IF(Settings!$B$25=Settings!$C$6,1,IF(Settings!$B$25="USD",1/INDEX(Settings!$B$29:$B$40,MONTH(A162)),INDEX(Settings!$B$29:$B$40,MONTH(A162)))))</f>
        <v/>
      </c>
    </row>
    <row r="163" customFormat="false" ht="15" hidden="false" customHeight="false" outlineLevel="0" collapsed="false">
      <c r="H163" s="0" t="str">
        <f aca="false">IF(B163="","",IF(COUNTIF(Campaigns!$A$7:$A$300,B163)&gt;0,"✓","⚠ add to Campaigns tab"))</f>
        <v/>
      </c>
      <c r="I163" s="84" t="str">
        <f aca="false">IF(C163="","",C163*IF(Settings!$B$25=Settings!$C$6,1,IF(Settings!$B$25="USD",1/INDEX(Settings!$B$29:$B$40,MONTH(A163)),INDEX(Settings!$B$29:$B$40,MONTH(A163)))))</f>
        <v/>
      </c>
    </row>
    <row r="164" customFormat="false" ht="15" hidden="false" customHeight="false" outlineLevel="0" collapsed="false">
      <c r="H164" s="0" t="str">
        <f aca="false">IF(B164="","",IF(COUNTIF(Campaigns!$A$7:$A$300,B164)&gt;0,"✓","⚠ add to Campaigns tab"))</f>
        <v/>
      </c>
      <c r="I164" s="84" t="str">
        <f aca="false">IF(C164="","",C164*IF(Settings!$B$25=Settings!$C$6,1,IF(Settings!$B$25="USD",1/INDEX(Settings!$B$29:$B$40,MONTH(A164)),INDEX(Settings!$B$29:$B$40,MONTH(A164)))))</f>
        <v/>
      </c>
    </row>
    <row r="165" customFormat="false" ht="15" hidden="false" customHeight="false" outlineLevel="0" collapsed="false">
      <c r="H165" s="0" t="str">
        <f aca="false">IF(B165="","",IF(COUNTIF(Campaigns!$A$7:$A$300,B165)&gt;0,"✓","⚠ add to Campaigns tab"))</f>
        <v/>
      </c>
      <c r="I165" s="84" t="str">
        <f aca="false">IF(C165="","",C165*IF(Settings!$B$25=Settings!$C$6,1,IF(Settings!$B$25="USD",1/INDEX(Settings!$B$29:$B$40,MONTH(A165)),INDEX(Settings!$B$29:$B$40,MONTH(A165)))))</f>
        <v/>
      </c>
    </row>
    <row r="166" customFormat="false" ht="15" hidden="false" customHeight="false" outlineLevel="0" collapsed="false">
      <c r="H166" s="0" t="str">
        <f aca="false">IF(B166="","",IF(COUNTIF(Campaigns!$A$7:$A$300,B166)&gt;0,"✓","⚠ add to Campaigns tab"))</f>
        <v/>
      </c>
      <c r="I166" s="84" t="str">
        <f aca="false">IF(C166="","",C166*IF(Settings!$B$25=Settings!$C$6,1,IF(Settings!$B$25="USD",1/INDEX(Settings!$B$29:$B$40,MONTH(A166)),INDEX(Settings!$B$29:$B$40,MONTH(A166)))))</f>
        <v/>
      </c>
    </row>
    <row r="167" customFormat="false" ht="15" hidden="false" customHeight="false" outlineLevel="0" collapsed="false">
      <c r="H167" s="0" t="str">
        <f aca="false">IF(B167="","",IF(COUNTIF(Campaigns!$A$7:$A$300,B167)&gt;0,"✓","⚠ add to Campaigns tab"))</f>
        <v/>
      </c>
      <c r="I167" s="84" t="str">
        <f aca="false">IF(C167="","",C167*IF(Settings!$B$25=Settings!$C$6,1,IF(Settings!$B$25="USD",1/INDEX(Settings!$B$29:$B$40,MONTH(A167)),INDEX(Settings!$B$29:$B$40,MONTH(A167)))))</f>
        <v/>
      </c>
    </row>
    <row r="168" customFormat="false" ht="15" hidden="false" customHeight="false" outlineLevel="0" collapsed="false">
      <c r="H168" s="0" t="str">
        <f aca="false">IF(B168="","",IF(COUNTIF(Campaigns!$A$7:$A$300,B168)&gt;0,"✓","⚠ add to Campaigns tab"))</f>
        <v/>
      </c>
      <c r="I168" s="84" t="str">
        <f aca="false">IF(C168="","",C168*IF(Settings!$B$25=Settings!$C$6,1,IF(Settings!$B$25="USD",1/INDEX(Settings!$B$29:$B$40,MONTH(A168)),INDEX(Settings!$B$29:$B$40,MONTH(A168)))))</f>
        <v/>
      </c>
    </row>
    <row r="169" customFormat="false" ht="15" hidden="false" customHeight="false" outlineLevel="0" collapsed="false">
      <c r="H169" s="0" t="str">
        <f aca="false">IF(B169="","",IF(COUNTIF(Campaigns!$A$7:$A$300,B169)&gt;0,"✓","⚠ add to Campaigns tab"))</f>
        <v/>
      </c>
      <c r="I169" s="84" t="str">
        <f aca="false">IF(C169="","",C169*IF(Settings!$B$25=Settings!$C$6,1,IF(Settings!$B$25="USD",1/INDEX(Settings!$B$29:$B$40,MONTH(A169)),INDEX(Settings!$B$29:$B$40,MONTH(A169)))))</f>
        <v/>
      </c>
    </row>
    <row r="170" customFormat="false" ht="15" hidden="false" customHeight="false" outlineLevel="0" collapsed="false">
      <c r="H170" s="0" t="str">
        <f aca="false">IF(B170="","",IF(COUNTIF(Campaigns!$A$7:$A$300,B170)&gt;0,"✓","⚠ add to Campaigns tab"))</f>
        <v/>
      </c>
      <c r="I170" s="84" t="str">
        <f aca="false">IF(C170="","",C170*IF(Settings!$B$25=Settings!$C$6,1,IF(Settings!$B$25="USD",1/INDEX(Settings!$B$29:$B$40,MONTH(A170)),INDEX(Settings!$B$29:$B$40,MONTH(A170)))))</f>
        <v/>
      </c>
    </row>
    <row r="171" customFormat="false" ht="15" hidden="false" customHeight="false" outlineLevel="0" collapsed="false">
      <c r="H171" s="0" t="str">
        <f aca="false">IF(B171="","",IF(COUNTIF(Campaigns!$A$7:$A$300,B171)&gt;0,"✓","⚠ add to Campaigns tab"))</f>
        <v/>
      </c>
      <c r="I171" s="84" t="str">
        <f aca="false">IF(C171="","",C171*IF(Settings!$B$25=Settings!$C$6,1,IF(Settings!$B$25="USD",1/INDEX(Settings!$B$29:$B$40,MONTH(A171)),INDEX(Settings!$B$29:$B$40,MONTH(A171)))))</f>
        <v/>
      </c>
    </row>
    <row r="172" customFormat="false" ht="15" hidden="false" customHeight="false" outlineLevel="0" collapsed="false">
      <c r="H172" s="0" t="str">
        <f aca="false">IF(B172="","",IF(COUNTIF(Campaigns!$A$7:$A$300,B172)&gt;0,"✓","⚠ add to Campaigns tab"))</f>
        <v/>
      </c>
      <c r="I172" s="84" t="str">
        <f aca="false">IF(C172="","",C172*IF(Settings!$B$25=Settings!$C$6,1,IF(Settings!$B$25="USD",1/INDEX(Settings!$B$29:$B$40,MONTH(A172)),INDEX(Settings!$B$29:$B$40,MONTH(A172)))))</f>
        <v/>
      </c>
    </row>
    <row r="173" customFormat="false" ht="15" hidden="false" customHeight="false" outlineLevel="0" collapsed="false">
      <c r="H173" s="0" t="str">
        <f aca="false">IF(B173="","",IF(COUNTIF(Campaigns!$A$7:$A$300,B173)&gt;0,"✓","⚠ add to Campaigns tab"))</f>
        <v/>
      </c>
      <c r="I173" s="84" t="str">
        <f aca="false">IF(C173="","",C173*IF(Settings!$B$25=Settings!$C$6,1,IF(Settings!$B$25="USD",1/INDEX(Settings!$B$29:$B$40,MONTH(A173)),INDEX(Settings!$B$29:$B$40,MONTH(A173)))))</f>
        <v/>
      </c>
    </row>
    <row r="174" customFormat="false" ht="15" hidden="false" customHeight="false" outlineLevel="0" collapsed="false">
      <c r="H174" s="0" t="str">
        <f aca="false">IF(B174="","",IF(COUNTIF(Campaigns!$A$7:$A$300,B174)&gt;0,"✓","⚠ add to Campaigns tab"))</f>
        <v/>
      </c>
      <c r="I174" s="84" t="str">
        <f aca="false">IF(C174="","",C174*IF(Settings!$B$25=Settings!$C$6,1,IF(Settings!$B$25="USD",1/INDEX(Settings!$B$29:$B$40,MONTH(A174)),INDEX(Settings!$B$29:$B$40,MONTH(A174)))))</f>
        <v/>
      </c>
    </row>
    <row r="175" customFormat="false" ht="15" hidden="false" customHeight="false" outlineLevel="0" collapsed="false">
      <c r="H175" s="0" t="str">
        <f aca="false">IF(B175="","",IF(COUNTIF(Campaigns!$A$7:$A$300,B175)&gt;0,"✓","⚠ add to Campaigns tab"))</f>
        <v/>
      </c>
      <c r="I175" s="84" t="str">
        <f aca="false">IF(C175="","",C175*IF(Settings!$B$25=Settings!$C$6,1,IF(Settings!$B$25="USD",1/INDEX(Settings!$B$29:$B$40,MONTH(A175)),INDEX(Settings!$B$29:$B$40,MONTH(A175)))))</f>
        <v/>
      </c>
    </row>
    <row r="176" customFormat="false" ht="15" hidden="false" customHeight="false" outlineLevel="0" collapsed="false">
      <c r="H176" s="0" t="str">
        <f aca="false">IF(B176="","",IF(COUNTIF(Campaigns!$A$7:$A$300,B176)&gt;0,"✓","⚠ add to Campaigns tab"))</f>
        <v/>
      </c>
      <c r="I176" s="84" t="str">
        <f aca="false">IF(C176="","",C176*IF(Settings!$B$25=Settings!$C$6,1,IF(Settings!$B$25="USD",1/INDEX(Settings!$B$29:$B$40,MONTH(A176)),INDEX(Settings!$B$29:$B$40,MONTH(A176)))))</f>
        <v/>
      </c>
    </row>
    <row r="177" customFormat="false" ht="15" hidden="false" customHeight="false" outlineLevel="0" collapsed="false">
      <c r="H177" s="0" t="str">
        <f aca="false">IF(B177="","",IF(COUNTIF(Campaigns!$A$7:$A$300,B177)&gt;0,"✓","⚠ add to Campaigns tab"))</f>
        <v/>
      </c>
      <c r="I177" s="84" t="str">
        <f aca="false">IF(C177="","",C177*IF(Settings!$B$25=Settings!$C$6,1,IF(Settings!$B$25="USD",1/INDEX(Settings!$B$29:$B$40,MONTH(A177)),INDEX(Settings!$B$29:$B$40,MONTH(A177)))))</f>
        <v/>
      </c>
    </row>
    <row r="178" customFormat="false" ht="15" hidden="false" customHeight="false" outlineLevel="0" collapsed="false">
      <c r="H178" s="0" t="str">
        <f aca="false">IF(B178="","",IF(COUNTIF(Campaigns!$A$7:$A$300,B178)&gt;0,"✓","⚠ add to Campaigns tab"))</f>
        <v/>
      </c>
      <c r="I178" s="84" t="str">
        <f aca="false">IF(C178="","",C178*IF(Settings!$B$25=Settings!$C$6,1,IF(Settings!$B$25="USD",1/INDEX(Settings!$B$29:$B$40,MONTH(A178)),INDEX(Settings!$B$29:$B$40,MONTH(A178)))))</f>
        <v/>
      </c>
    </row>
    <row r="179" customFormat="false" ht="15" hidden="false" customHeight="false" outlineLevel="0" collapsed="false">
      <c r="H179" s="0" t="str">
        <f aca="false">IF(B179="","",IF(COUNTIF(Campaigns!$A$7:$A$300,B179)&gt;0,"✓","⚠ add to Campaigns tab"))</f>
        <v/>
      </c>
      <c r="I179" s="84" t="str">
        <f aca="false">IF(C179="","",C179*IF(Settings!$B$25=Settings!$C$6,1,IF(Settings!$B$25="USD",1/INDEX(Settings!$B$29:$B$40,MONTH(A179)),INDEX(Settings!$B$29:$B$40,MONTH(A179)))))</f>
        <v/>
      </c>
    </row>
    <row r="180" customFormat="false" ht="15" hidden="false" customHeight="false" outlineLevel="0" collapsed="false">
      <c r="H180" s="0" t="str">
        <f aca="false">IF(B180="","",IF(COUNTIF(Campaigns!$A$7:$A$300,B180)&gt;0,"✓","⚠ add to Campaigns tab"))</f>
        <v/>
      </c>
      <c r="I180" s="84" t="str">
        <f aca="false">IF(C180="","",C180*IF(Settings!$B$25=Settings!$C$6,1,IF(Settings!$B$25="USD",1/INDEX(Settings!$B$29:$B$40,MONTH(A180)),INDEX(Settings!$B$29:$B$40,MONTH(A180)))))</f>
        <v/>
      </c>
    </row>
    <row r="181" customFormat="false" ht="15" hidden="false" customHeight="false" outlineLevel="0" collapsed="false">
      <c r="H181" s="0" t="str">
        <f aca="false">IF(B181="","",IF(COUNTIF(Campaigns!$A$7:$A$300,B181)&gt;0,"✓","⚠ add to Campaigns tab"))</f>
        <v/>
      </c>
      <c r="I181" s="84" t="str">
        <f aca="false">IF(C181="","",C181*IF(Settings!$B$25=Settings!$C$6,1,IF(Settings!$B$25="USD",1/INDEX(Settings!$B$29:$B$40,MONTH(A181)),INDEX(Settings!$B$29:$B$40,MONTH(A181)))))</f>
        <v/>
      </c>
    </row>
    <row r="182" customFormat="false" ht="15" hidden="false" customHeight="false" outlineLevel="0" collapsed="false">
      <c r="H182" s="0" t="str">
        <f aca="false">IF(B182="","",IF(COUNTIF(Campaigns!$A$7:$A$300,B182)&gt;0,"✓","⚠ add to Campaigns tab"))</f>
        <v/>
      </c>
      <c r="I182" s="84" t="str">
        <f aca="false">IF(C182="","",C182*IF(Settings!$B$25=Settings!$C$6,1,IF(Settings!$B$25="USD",1/INDEX(Settings!$B$29:$B$40,MONTH(A182)),INDEX(Settings!$B$29:$B$40,MONTH(A182)))))</f>
        <v/>
      </c>
    </row>
    <row r="183" customFormat="false" ht="15" hidden="false" customHeight="false" outlineLevel="0" collapsed="false">
      <c r="H183" s="0" t="str">
        <f aca="false">IF(B183="","",IF(COUNTIF(Campaigns!$A$7:$A$300,B183)&gt;0,"✓","⚠ add to Campaigns tab"))</f>
        <v/>
      </c>
      <c r="I183" s="84" t="str">
        <f aca="false">IF(C183="","",C183*IF(Settings!$B$25=Settings!$C$6,1,IF(Settings!$B$25="USD",1/INDEX(Settings!$B$29:$B$40,MONTH(A183)),INDEX(Settings!$B$29:$B$40,MONTH(A183)))))</f>
        <v/>
      </c>
    </row>
    <row r="184" customFormat="false" ht="15" hidden="false" customHeight="false" outlineLevel="0" collapsed="false">
      <c r="H184" s="0" t="str">
        <f aca="false">IF(B184="","",IF(COUNTIF(Campaigns!$A$7:$A$300,B184)&gt;0,"✓","⚠ add to Campaigns tab"))</f>
        <v/>
      </c>
      <c r="I184" s="84" t="str">
        <f aca="false">IF(C184="","",C184*IF(Settings!$B$25=Settings!$C$6,1,IF(Settings!$B$25="USD",1/INDEX(Settings!$B$29:$B$40,MONTH(A184)),INDEX(Settings!$B$29:$B$40,MONTH(A184)))))</f>
        <v/>
      </c>
    </row>
    <row r="185" customFormat="false" ht="15" hidden="false" customHeight="false" outlineLevel="0" collapsed="false">
      <c r="H185" s="0" t="str">
        <f aca="false">IF(B185="","",IF(COUNTIF(Campaigns!$A$7:$A$300,B185)&gt;0,"✓","⚠ add to Campaigns tab"))</f>
        <v/>
      </c>
      <c r="I185" s="84" t="str">
        <f aca="false">IF(C185="","",C185*IF(Settings!$B$25=Settings!$C$6,1,IF(Settings!$B$25="USD",1/INDEX(Settings!$B$29:$B$40,MONTH(A185)),INDEX(Settings!$B$29:$B$40,MONTH(A185)))))</f>
        <v/>
      </c>
    </row>
    <row r="186" customFormat="false" ht="15" hidden="false" customHeight="false" outlineLevel="0" collapsed="false">
      <c r="H186" s="0" t="str">
        <f aca="false">IF(B186="","",IF(COUNTIF(Campaigns!$A$7:$A$300,B186)&gt;0,"✓","⚠ add to Campaigns tab"))</f>
        <v/>
      </c>
      <c r="I186" s="84" t="str">
        <f aca="false">IF(C186="","",C186*IF(Settings!$B$25=Settings!$C$6,1,IF(Settings!$B$25="USD",1/INDEX(Settings!$B$29:$B$40,MONTH(A186)),INDEX(Settings!$B$29:$B$40,MONTH(A186)))))</f>
        <v/>
      </c>
    </row>
    <row r="187" customFormat="false" ht="15" hidden="false" customHeight="false" outlineLevel="0" collapsed="false">
      <c r="H187" s="0" t="str">
        <f aca="false">IF(B187="","",IF(COUNTIF(Campaigns!$A$7:$A$300,B187)&gt;0,"✓","⚠ add to Campaigns tab"))</f>
        <v/>
      </c>
      <c r="I187" s="84" t="str">
        <f aca="false">IF(C187="","",C187*IF(Settings!$B$25=Settings!$C$6,1,IF(Settings!$B$25="USD",1/INDEX(Settings!$B$29:$B$40,MONTH(A187)),INDEX(Settings!$B$29:$B$40,MONTH(A187)))))</f>
        <v/>
      </c>
    </row>
    <row r="188" customFormat="false" ht="15" hidden="false" customHeight="false" outlineLevel="0" collapsed="false">
      <c r="H188" s="0" t="str">
        <f aca="false">IF(B188="","",IF(COUNTIF(Campaigns!$A$7:$A$300,B188)&gt;0,"✓","⚠ add to Campaigns tab"))</f>
        <v/>
      </c>
      <c r="I188" s="84" t="str">
        <f aca="false">IF(C188="","",C188*IF(Settings!$B$25=Settings!$C$6,1,IF(Settings!$B$25="USD",1/INDEX(Settings!$B$29:$B$40,MONTH(A188)),INDEX(Settings!$B$29:$B$40,MONTH(A188)))))</f>
        <v/>
      </c>
    </row>
    <row r="189" customFormat="false" ht="15" hidden="false" customHeight="false" outlineLevel="0" collapsed="false">
      <c r="H189" s="0" t="str">
        <f aca="false">IF(B189="","",IF(COUNTIF(Campaigns!$A$7:$A$300,B189)&gt;0,"✓","⚠ add to Campaigns tab"))</f>
        <v/>
      </c>
      <c r="I189" s="84" t="str">
        <f aca="false">IF(C189="","",C189*IF(Settings!$B$25=Settings!$C$6,1,IF(Settings!$B$25="USD",1/INDEX(Settings!$B$29:$B$40,MONTH(A189)),INDEX(Settings!$B$29:$B$40,MONTH(A189)))))</f>
        <v/>
      </c>
    </row>
    <row r="190" customFormat="false" ht="15" hidden="false" customHeight="false" outlineLevel="0" collapsed="false">
      <c r="H190" s="0" t="str">
        <f aca="false">IF(B190="","",IF(COUNTIF(Campaigns!$A$7:$A$300,B190)&gt;0,"✓","⚠ add to Campaigns tab"))</f>
        <v/>
      </c>
      <c r="I190" s="84" t="str">
        <f aca="false">IF(C190="","",C190*IF(Settings!$B$25=Settings!$C$6,1,IF(Settings!$B$25="USD",1/INDEX(Settings!$B$29:$B$40,MONTH(A190)),INDEX(Settings!$B$29:$B$40,MONTH(A190)))))</f>
        <v/>
      </c>
    </row>
    <row r="191" customFormat="false" ht="15" hidden="false" customHeight="false" outlineLevel="0" collapsed="false">
      <c r="H191" s="0" t="str">
        <f aca="false">IF(B191="","",IF(COUNTIF(Campaigns!$A$7:$A$300,B191)&gt;0,"✓","⚠ add to Campaigns tab"))</f>
        <v/>
      </c>
      <c r="I191" s="84" t="str">
        <f aca="false">IF(C191="","",C191*IF(Settings!$B$25=Settings!$C$6,1,IF(Settings!$B$25="USD",1/INDEX(Settings!$B$29:$B$40,MONTH(A191)),INDEX(Settings!$B$29:$B$40,MONTH(A191)))))</f>
        <v/>
      </c>
    </row>
    <row r="192" customFormat="false" ht="15" hidden="false" customHeight="false" outlineLevel="0" collapsed="false">
      <c r="H192" s="0" t="str">
        <f aca="false">IF(B192="","",IF(COUNTIF(Campaigns!$A$7:$A$300,B192)&gt;0,"✓","⚠ add to Campaigns tab"))</f>
        <v/>
      </c>
      <c r="I192" s="84" t="str">
        <f aca="false">IF(C192="","",C192*IF(Settings!$B$25=Settings!$C$6,1,IF(Settings!$B$25="USD",1/INDEX(Settings!$B$29:$B$40,MONTH(A192)),INDEX(Settings!$B$29:$B$40,MONTH(A192)))))</f>
        <v/>
      </c>
    </row>
    <row r="193" customFormat="false" ht="15" hidden="false" customHeight="false" outlineLevel="0" collapsed="false">
      <c r="H193" s="0" t="str">
        <f aca="false">IF(B193="","",IF(COUNTIF(Campaigns!$A$7:$A$300,B193)&gt;0,"✓","⚠ add to Campaigns tab"))</f>
        <v/>
      </c>
      <c r="I193" s="84" t="str">
        <f aca="false">IF(C193="","",C193*IF(Settings!$B$25=Settings!$C$6,1,IF(Settings!$B$25="USD",1/INDEX(Settings!$B$29:$B$40,MONTH(A193)),INDEX(Settings!$B$29:$B$40,MONTH(A193)))))</f>
        <v/>
      </c>
    </row>
    <row r="194" customFormat="false" ht="15" hidden="false" customHeight="false" outlineLevel="0" collapsed="false">
      <c r="H194" s="0" t="str">
        <f aca="false">IF(B194="","",IF(COUNTIF(Campaigns!$A$7:$A$300,B194)&gt;0,"✓","⚠ add to Campaigns tab"))</f>
        <v/>
      </c>
      <c r="I194" s="84" t="str">
        <f aca="false">IF(C194="","",C194*IF(Settings!$B$25=Settings!$C$6,1,IF(Settings!$B$25="USD",1/INDEX(Settings!$B$29:$B$40,MONTH(A194)),INDEX(Settings!$B$29:$B$40,MONTH(A194)))))</f>
        <v/>
      </c>
    </row>
    <row r="195" customFormat="false" ht="15" hidden="false" customHeight="false" outlineLevel="0" collapsed="false">
      <c r="H195" s="0" t="str">
        <f aca="false">IF(B195="","",IF(COUNTIF(Campaigns!$A$7:$A$300,B195)&gt;0,"✓","⚠ add to Campaigns tab"))</f>
        <v/>
      </c>
      <c r="I195" s="84" t="str">
        <f aca="false">IF(C195="","",C195*IF(Settings!$B$25=Settings!$C$6,1,IF(Settings!$B$25="USD",1/INDEX(Settings!$B$29:$B$40,MONTH(A195)),INDEX(Settings!$B$29:$B$40,MONTH(A195)))))</f>
        <v/>
      </c>
    </row>
    <row r="196" customFormat="false" ht="15" hidden="false" customHeight="false" outlineLevel="0" collapsed="false">
      <c r="H196" s="0" t="str">
        <f aca="false">IF(B196="","",IF(COUNTIF(Campaigns!$A$7:$A$300,B196)&gt;0,"✓","⚠ add to Campaigns tab"))</f>
        <v/>
      </c>
      <c r="I196" s="84" t="str">
        <f aca="false">IF(C196="","",C196*IF(Settings!$B$25=Settings!$C$6,1,IF(Settings!$B$25="USD",1/INDEX(Settings!$B$29:$B$40,MONTH(A196)),INDEX(Settings!$B$29:$B$40,MONTH(A196)))))</f>
        <v/>
      </c>
    </row>
    <row r="197" customFormat="false" ht="15" hidden="false" customHeight="false" outlineLevel="0" collapsed="false">
      <c r="H197" s="0" t="str">
        <f aca="false">IF(B197="","",IF(COUNTIF(Campaigns!$A$7:$A$300,B197)&gt;0,"✓","⚠ add to Campaigns tab"))</f>
        <v/>
      </c>
      <c r="I197" s="84" t="str">
        <f aca="false">IF(C197="","",C197*IF(Settings!$B$25=Settings!$C$6,1,IF(Settings!$B$25="USD",1/INDEX(Settings!$B$29:$B$40,MONTH(A197)),INDEX(Settings!$B$29:$B$40,MONTH(A197)))))</f>
        <v/>
      </c>
    </row>
    <row r="198" customFormat="false" ht="15" hidden="false" customHeight="false" outlineLevel="0" collapsed="false">
      <c r="H198" s="0" t="str">
        <f aca="false">IF(B198="","",IF(COUNTIF(Campaigns!$A$7:$A$300,B198)&gt;0,"✓","⚠ add to Campaigns tab"))</f>
        <v/>
      </c>
      <c r="I198" s="84" t="str">
        <f aca="false">IF(C198="","",C198*IF(Settings!$B$25=Settings!$C$6,1,IF(Settings!$B$25="USD",1/INDEX(Settings!$B$29:$B$40,MONTH(A198)),INDEX(Settings!$B$29:$B$40,MONTH(A198)))))</f>
        <v/>
      </c>
    </row>
    <row r="199" customFormat="false" ht="15" hidden="false" customHeight="false" outlineLevel="0" collapsed="false">
      <c r="H199" s="0" t="str">
        <f aca="false">IF(B199="","",IF(COUNTIF(Campaigns!$A$7:$A$300,B199)&gt;0,"✓","⚠ add to Campaigns tab"))</f>
        <v/>
      </c>
      <c r="I199" s="84" t="str">
        <f aca="false">IF(C199="","",C199*IF(Settings!$B$25=Settings!$C$6,1,IF(Settings!$B$25="USD",1/INDEX(Settings!$B$29:$B$40,MONTH(A199)),INDEX(Settings!$B$29:$B$40,MONTH(A199)))))</f>
        <v/>
      </c>
    </row>
    <row r="200" customFormat="false" ht="15" hidden="false" customHeight="false" outlineLevel="0" collapsed="false">
      <c r="H200" s="0" t="str">
        <f aca="false">IF(B200="","",IF(COUNTIF(Campaigns!$A$7:$A$300,B200)&gt;0,"✓","⚠ add to Campaigns tab"))</f>
        <v/>
      </c>
      <c r="I200" s="84" t="str">
        <f aca="false">IF(C200="","",C200*IF(Settings!$B$25=Settings!$C$6,1,IF(Settings!$B$25="USD",1/INDEX(Settings!$B$29:$B$40,MONTH(A200)),INDEX(Settings!$B$29:$B$40,MONTH(A200)))))</f>
        <v/>
      </c>
    </row>
    <row r="201" customFormat="false" ht="15" hidden="false" customHeight="false" outlineLevel="0" collapsed="false">
      <c r="H201" s="0" t="str">
        <f aca="false">IF(B201="","",IF(COUNTIF(Campaigns!$A$7:$A$300,B201)&gt;0,"✓","⚠ add to Campaigns tab"))</f>
        <v/>
      </c>
      <c r="I201" s="84" t="str">
        <f aca="false">IF(C201="","",C201*IF(Settings!$B$25=Settings!$C$6,1,IF(Settings!$B$25="USD",1/INDEX(Settings!$B$29:$B$40,MONTH(A201)),INDEX(Settings!$B$29:$B$40,MONTH(A201)))))</f>
        <v/>
      </c>
    </row>
    <row r="202" customFormat="false" ht="15" hidden="false" customHeight="false" outlineLevel="0" collapsed="false">
      <c r="H202" s="0" t="str">
        <f aca="false">IF(B202="","",IF(COUNTIF(Campaigns!$A$7:$A$300,B202)&gt;0,"✓","⚠ add to Campaigns tab"))</f>
        <v/>
      </c>
      <c r="I202" s="84" t="str">
        <f aca="false">IF(C202="","",C202*IF(Settings!$B$25=Settings!$C$6,1,IF(Settings!$B$25="USD",1/INDEX(Settings!$B$29:$B$40,MONTH(A202)),INDEX(Settings!$B$29:$B$40,MONTH(A202)))))</f>
        <v/>
      </c>
    </row>
    <row r="203" customFormat="false" ht="15" hidden="false" customHeight="false" outlineLevel="0" collapsed="false">
      <c r="H203" s="0" t="str">
        <f aca="false">IF(B203="","",IF(COUNTIF(Campaigns!$A$7:$A$300,B203)&gt;0,"✓","⚠ add to Campaigns tab"))</f>
        <v/>
      </c>
      <c r="I203" s="84" t="str">
        <f aca="false">IF(C203="","",C203*IF(Settings!$B$25=Settings!$C$6,1,IF(Settings!$B$25="USD",1/INDEX(Settings!$B$29:$B$40,MONTH(A203)),INDEX(Settings!$B$29:$B$40,MONTH(A203)))))</f>
        <v/>
      </c>
    </row>
    <row r="204" customFormat="false" ht="15" hidden="false" customHeight="false" outlineLevel="0" collapsed="false">
      <c r="H204" s="0" t="str">
        <f aca="false">IF(B204="","",IF(COUNTIF(Campaigns!$A$7:$A$300,B204)&gt;0,"✓","⚠ add to Campaigns tab"))</f>
        <v/>
      </c>
      <c r="I204" s="84" t="str">
        <f aca="false">IF(C204="","",C204*IF(Settings!$B$25=Settings!$C$6,1,IF(Settings!$B$25="USD",1/INDEX(Settings!$B$29:$B$40,MONTH(A204)),INDEX(Settings!$B$29:$B$40,MONTH(A204)))))</f>
        <v/>
      </c>
    </row>
    <row r="205" customFormat="false" ht="15" hidden="false" customHeight="false" outlineLevel="0" collapsed="false">
      <c r="H205" s="0" t="str">
        <f aca="false">IF(B205="","",IF(COUNTIF(Campaigns!$A$7:$A$300,B205)&gt;0,"✓","⚠ add to Campaigns tab"))</f>
        <v/>
      </c>
      <c r="I205" s="84" t="str">
        <f aca="false">IF(C205="","",C205*IF(Settings!$B$25=Settings!$C$6,1,IF(Settings!$B$25="USD",1/INDEX(Settings!$B$29:$B$40,MONTH(A205)),INDEX(Settings!$B$29:$B$40,MONTH(A205)))))</f>
        <v/>
      </c>
    </row>
    <row r="206" customFormat="false" ht="15" hidden="false" customHeight="false" outlineLevel="0" collapsed="false">
      <c r="H206" s="0" t="str">
        <f aca="false">IF(B206="","",IF(COUNTIF(Campaigns!$A$7:$A$300,B206)&gt;0,"✓","⚠ add to Campaigns tab"))</f>
        <v/>
      </c>
      <c r="I206" s="84" t="str">
        <f aca="false">IF(C206="","",C206*IF(Settings!$B$25=Settings!$C$6,1,IF(Settings!$B$25="USD",1/INDEX(Settings!$B$29:$B$40,MONTH(A206)),INDEX(Settings!$B$29:$B$40,MONTH(A206)))))</f>
        <v/>
      </c>
    </row>
    <row r="207" customFormat="false" ht="15" hidden="false" customHeight="false" outlineLevel="0" collapsed="false">
      <c r="H207" s="0" t="str">
        <f aca="false">IF(B207="","",IF(COUNTIF(Campaigns!$A$7:$A$300,B207)&gt;0,"✓","⚠ add to Campaigns tab"))</f>
        <v/>
      </c>
      <c r="I207" s="84" t="str">
        <f aca="false">IF(C207="","",C207*IF(Settings!$B$25=Settings!$C$6,1,IF(Settings!$B$25="USD",1/INDEX(Settings!$B$29:$B$40,MONTH(A207)),INDEX(Settings!$B$29:$B$40,MONTH(A207)))))</f>
        <v/>
      </c>
    </row>
    <row r="208" customFormat="false" ht="15" hidden="false" customHeight="false" outlineLevel="0" collapsed="false">
      <c r="H208" s="0" t="str">
        <f aca="false">IF(B208="","",IF(COUNTIF(Campaigns!$A$7:$A$300,B208)&gt;0,"✓","⚠ add to Campaigns tab"))</f>
        <v/>
      </c>
      <c r="I208" s="84" t="str">
        <f aca="false">IF(C208="","",C208*IF(Settings!$B$25=Settings!$C$6,1,IF(Settings!$B$25="USD",1/INDEX(Settings!$B$29:$B$40,MONTH(A208)),INDEX(Settings!$B$29:$B$40,MONTH(A208)))))</f>
        <v/>
      </c>
    </row>
    <row r="209" customFormat="false" ht="15" hidden="false" customHeight="false" outlineLevel="0" collapsed="false">
      <c r="H209" s="0" t="str">
        <f aca="false">IF(B209="","",IF(COUNTIF(Campaigns!$A$7:$A$300,B209)&gt;0,"✓","⚠ add to Campaigns tab"))</f>
        <v/>
      </c>
      <c r="I209" s="84" t="str">
        <f aca="false">IF(C209="","",C209*IF(Settings!$B$25=Settings!$C$6,1,IF(Settings!$B$25="USD",1/INDEX(Settings!$B$29:$B$40,MONTH(A209)),INDEX(Settings!$B$29:$B$40,MONTH(A209)))))</f>
        <v/>
      </c>
    </row>
    <row r="210" customFormat="false" ht="15" hidden="false" customHeight="false" outlineLevel="0" collapsed="false">
      <c r="H210" s="0" t="str">
        <f aca="false">IF(B210="","",IF(COUNTIF(Campaigns!$A$7:$A$300,B210)&gt;0,"✓","⚠ add to Campaigns tab"))</f>
        <v/>
      </c>
      <c r="I210" s="84" t="str">
        <f aca="false">IF(C210="","",C210*IF(Settings!$B$25=Settings!$C$6,1,IF(Settings!$B$25="USD",1/INDEX(Settings!$B$29:$B$40,MONTH(A210)),INDEX(Settings!$B$29:$B$40,MONTH(A210)))))</f>
        <v/>
      </c>
    </row>
    <row r="211" customFormat="false" ht="15" hidden="false" customHeight="false" outlineLevel="0" collapsed="false">
      <c r="H211" s="0" t="str">
        <f aca="false">IF(B211="","",IF(COUNTIF(Campaigns!$A$7:$A$300,B211)&gt;0,"✓","⚠ add to Campaigns tab"))</f>
        <v/>
      </c>
      <c r="I211" s="84" t="str">
        <f aca="false">IF(C211="","",C211*IF(Settings!$B$25=Settings!$C$6,1,IF(Settings!$B$25="USD",1/INDEX(Settings!$B$29:$B$40,MONTH(A211)),INDEX(Settings!$B$29:$B$40,MONTH(A211)))))</f>
        <v/>
      </c>
    </row>
    <row r="212" customFormat="false" ht="15" hidden="false" customHeight="false" outlineLevel="0" collapsed="false">
      <c r="H212" s="0" t="str">
        <f aca="false">IF(B212="","",IF(COUNTIF(Campaigns!$A$7:$A$300,B212)&gt;0,"✓","⚠ add to Campaigns tab"))</f>
        <v/>
      </c>
      <c r="I212" s="84" t="str">
        <f aca="false">IF(C212="","",C212*IF(Settings!$B$25=Settings!$C$6,1,IF(Settings!$B$25="USD",1/INDEX(Settings!$B$29:$B$40,MONTH(A212)),INDEX(Settings!$B$29:$B$40,MONTH(A212)))))</f>
        <v/>
      </c>
    </row>
    <row r="213" customFormat="false" ht="15" hidden="false" customHeight="false" outlineLevel="0" collapsed="false">
      <c r="H213" s="0" t="str">
        <f aca="false">IF(B213="","",IF(COUNTIF(Campaigns!$A$7:$A$300,B213)&gt;0,"✓","⚠ add to Campaigns tab"))</f>
        <v/>
      </c>
      <c r="I213" s="84" t="str">
        <f aca="false">IF(C213="","",C213*IF(Settings!$B$25=Settings!$C$6,1,IF(Settings!$B$25="USD",1/INDEX(Settings!$B$29:$B$40,MONTH(A213)),INDEX(Settings!$B$29:$B$40,MONTH(A213)))))</f>
        <v/>
      </c>
    </row>
    <row r="214" customFormat="false" ht="15" hidden="false" customHeight="false" outlineLevel="0" collapsed="false">
      <c r="H214" s="0" t="str">
        <f aca="false">IF(B214="","",IF(COUNTIF(Campaigns!$A$7:$A$300,B214)&gt;0,"✓","⚠ add to Campaigns tab"))</f>
        <v/>
      </c>
      <c r="I214" s="84" t="str">
        <f aca="false">IF(C214="","",C214*IF(Settings!$B$25=Settings!$C$6,1,IF(Settings!$B$25="USD",1/INDEX(Settings!$B$29:$B$40,MONTH(A214)),INDEX(Settings!$B$29:$B$40,MONTH(A214)))))</f>
        <v/>
      </c>
    </row>
    <row r="215" customFormat="false" ht="15" hidden="false" customHeight="false" outlineLevel="0" collapsed="false">
      <c r="H215" s="0" t="str">
        <f aca="false">IF(B215="","",IF(COUNTIF(Campaigns!$A$7:$A$300,B215)&gt;0,"✓","⚠ add to Campaigns tab"))</f>
        <v/>
      </c>
      <c r="I215" s="84" t="str">
        <f aca="false">IF(C215="","",C215*IF(Settings!$B$25=Settings!$C$6,1,IF(Settings!$B$25="USD",1/INDEX(Settings!$B$29:$B$40,MONTH(A215)),INDEX(Settings!$B$29:$B$40,MONTH(A215)))))</f>
        <v/>
      </c>
    </row>
    <row r="216" customFormat="false" ht="15" hidden="false" customHeight="false" outlineLevel="0" collapsed="false">
      <c r="H216" s="0" t="str">
        <f aca="false">IF(B216="","",IF(COUNTIF(Campaigns!$A$7:$A$300,B216)&gt;0,"✓","⚠ add to Campaigns tab"))</f>
        <v/>
      </c>
      <c r="I216" s="84" t="str">
        <f aca="false">IF(C216="","",C216*IF(Settings!$B$25=Settings!$C$6,1,IF(Settings!$B$25="USD",1/INDEX(Settings!$B$29:$B$40,MONTH(A216)),INDEX(Settings!$B$29:$B$40,MONTH(A216)))))</f>
        <v/>
      </c>
    </row>
    <row r="217" customFormat="false" ht="15" hidden="false" customHeight="false" outlineLevel="0" collapsed="false">
      <c r="H217" s="0" t="str">
        <f aca="false">IF(B217="","",IF(COUNTIF(Campaigns!$A$7:$A$300,B217)&gt;0,"✓","⚠ add to Campaigns tab"))</f>
        <v/>
      </c>
      <c r="I217" s="84" t="str">
        <f aca="false">IF(C217="","",C217*IF(Settings!$B$25=Settings!$C$6,1,IF(Settings!$B$25="USD",1/INDEX(Settings!$B$29:$B$40,MONTH(A217)),INDEX(Settings!$B$29:$B$40,MONTH(A217)))))</f>
        <v/>
      </c>
    </row>
    <row r="218" customFormat="false" ht="15" hidden="false" customHeight="false" outlineLevel="0" collapsed="false">
      <c r="H218" s="0" t="str">
        <f aca="false">IF(B218="","",IF(COUNTIF(Campaigns!$A$7:$A$300,B218)&gt;0,"✓","⚠ add to Campaigns tab"))</f>
        <v/>
      </c>
      <c r="I218" s="84" t="str">
        <f aca="false">IF(C218="","",C218*IF(Settings!$B$25=Settings!$C$6,1,IF(Settings!$B$25="USD",1/INDEX(Settings!$B$29:$B$40,MONTH(A218)),INDEX(Settings!$B$29:$B$40,MONTH(A218)))))</f>
        <v/>
      </c>
    </row>
    <row r="219" customFormat="false" ht="15" hidden="false" customHeight="false" outlineLevel="0" collapsed="false">
      <c r="H219" s="0" t="str">
        <f aca="false">IF(B219="","",IF(COUNTIF(Campaigns!$A$7:$A$300,B219)&gt;0,"✓","⚠ add to Campaigns tab"))</f>
        <v/>
      </c>
      <c r="I219" s="84" t="str">
        <f aca="false">IF(C219="","",C219*IF(Settings!$B$25=Settings!$C$6,1,IF(Settings!$B$25="USD",1/INDEX(Settings!$B$29:$B$40,MONTH(A219)),INDEX(Settings!$B$29:$B$40,MONTH(A219)))))</f>
        <v/>
      </c>
    </row>
    <row r="220" customFormat="false" ht="15" hidden="false" customHeight="false" outlineLevel="0" collapsed="false">
      <c r="H220" s="0" t="str">
        <f aca="false">IF(B220="","",IF(COUNTIF(Campaigns!$A$7:$A$300,B220)&gt;0,"✓","⚠ add to Campaigns tab"))</f>
        <v/>
      </c>
      <c r="I220" s="84" t="str">
        <f aca="false">IF(C220="","",C220*IF(Settings!$B$25=Settings!$C$6,1,IF(Settings!$B$25="USD",1/INDEX(Settings!$B$29:$B$40,MONTH(A220)),INDEX(Settings!$B$29:$B$40,MONTH(A220)))))</f>
        <v/>
      </c>
    </row>
    <row r="221" customFormat="false" ht="15" hidden="false" customHeight="false" outlineLevel="0" collapsed="false">
      <c r="H221" s="0" t="str">
        <f aca="false">IF(B221="","",IF(COUNTIF(Campaigns!$A$7:$A$300,B221)&gt;0,"✓","⚠ add to Campaigns tab"))</f>
        <v/>
      </c>
      <c r="I221" s="84" t="str">
        <f aca="false">IF(C221="","",C221*IF(Settings!$B$25=Settings!$C$6,1,IF(Settings!$B$25="USD",1/INDEX(Settings!$B$29:$B$40,MONTH(A221)),INDEX(Settings!$B$29:$B$40,MONTH(A221)))))</f>
        <v/>
      </c>
    </row>
    <row r="222" customFormat="false" ht="15" hidden="false" customHeight="false" outlineLevel="0" collapsed="false">
      <c r="H222" s="0" t="str">
        <f aca="false">IF(B222="","",IF(COUNTIF(Campaigns!$A$7:$A$300,B222)&gt;0,"✓","⚠ add to Campaigns tab"))</f>
        <v/>
      </c>
      <c r="I222" s="84" t="str">
        <f aca="false">IF(C222="","",C222*IF(Settings!$B$25=Settings!$C$6,1,IF(Settings!$B$25="USD",1/INDEX(Settings!$B$29:$B$40,MONTH(A222)),INDEX(Settings!$B$29:$B$40,MONTH(A222)))))</f>
        <v/>
      </c>
    </row>
    <row r="223" customFormat="false" ht="15" hidden="false" customHeight="false" outlineLevel="0" collapsed="false">
      <c r="H223" s="0" t="str">
        <f aca="false">IF(B223="","",IF(COUNTIF(Campaigns!$A$7:$A$300,B223)&gt;0,"✓","⚠ add to Campaigns tab"))</f>
        <v/>
      </c>
      <c r="I223" s="84" t="str">
        <f aca="false">IF(C223="","",C223*IF(Settings!$B$25=Settings!$C$6,1,IF(Settings!$B$25="USD",1/INDEX(Settings!$B$29:$B$40,MONTH(A223)),INDEX(Settings!$B$29:$B$40,MONTH(A223)))))</f>
        <v/>
      </c>
    </row>
    <row r="224" customFormat="false" ht="15" hidden="false" customHeight="false" outlineLevel="0" collapsed="false">
      <c r="H224" s="0" t="str">
        <f aca="false">IF(B224="","",IF(COUNTIF(Campaigns!$A$7:$A$300,B224)&gt;0,"✓","⚠ add to Campaigns tab"))</f>
        <v/>
      </c>
      <c r="I224" s="84" t="str">
        <f aca="false">IF(C224="","",C224*IF(Settings!$B$25=Settings!$C$6,1,IF(Settings!$B$25="USD",1/INDEX(Settings!$B$29:$B$40,MONTH(A224)),INDEX(Settings!$B$29:$B$40,MONTH(A224)))))</f>
        <v/>
      </c>
    </row>
    <row r="225" customFormat="false" ht="15" hidden="false" customHeight="false" outlineLevel="0" collapsed="false">
      <c r="H225" s="0" t="str">
        <f aca="false">IF(B225="","",IF(COUNTIF(Campaigns!$A$7:$A$300,B225)&gt;0,"✓","⚠ add to Campaigns tab"))</f>
        <v/>
      </c>
      <c r="I225" s="84" t="str">
        <f aca="false">IF(C225="","",C225*IF(Settings!$B$25=Settings!$C$6,1,IF(Settings!$B$25="USD",1/INDEX(Settings!$B$29:$B$40,MONTH(A225)),INDEX(Settings!$B$29:$B$40,MONTH(A225)))))</f>
        <v/>
      </c>
    </row>
    <row r="226" customFormat="false" ht="15" hidden="false" customHeight="false" outlineLevel="0" collapsed="false">
      <c r="H226" s="0" t="str">
        <f aca="false">IF(B226="","",IF(COUNTIF(Campaigns!$A$7:$A$300,B226)&gt;0,"✓","⚠ add to Campaigns tab"))</f>
        <v/>
      </c>
      <c r="I226" s="84" t="str">
        <f aca="false">IF(C226="","",C226*IF(Settings!$B$25=Settings!$C$6,1,IF(Settings!$B$25="USD",1/INDEX(Settings!$B$29:$B$40,MONTH(A226)),INDEX(Settings!$B$29:$B$40,MONTH(A226)))))</f>
        <v/>
      </c>
    </row>
    <row r="227" customFormat="false" ht="15" hidden="false" customHeight="false" outlineLevel="0" collapsed="false">
      <c r="H227" s="0" t="str">
        <f aca="false">IF(B227="","",IF(COUNTIF(Campaigns!$A$7:$A$300,B227)&gt;0,"✓","⚠ add to Campaigns tab"))</f>
        <v/>
      </c>
      <c r="I227" s="84" t="str">
        <f aca="false">IF(C227="","",C227*IF(Settings!$B$25=Settings!$C$6,1,IF(Settings!$B$25="USD",1/INDEX(Settings!$B$29:$B$40,MONTH(A227)),INDEX(Settings!$B$29:$B$40,MONTH(A227)))))</f>
        <v/>
      </c>
    </row>
    <row r="228" customFormat="false" ht="15" hidden="false" customHeight="false" outlineLevel="0" collapsed="false">
      <c r="H228" s="0" t="str">
        <f aca="false">IF(B228="","",IF(COUNTIF(Campaigns!$A$7:$A$300,B228)&gt;0,"✓","⚠ add to Campaigns tab"))</f>
        <v/>
      </c>
      <c r="I228" s="84" t="str">
        <f aca="false">IF(C228="","",C228*IF(Settings!$B$25=Settings!$C$6,1,IF(Settings!$B$25="USD",1/INDEX(Settings!$B$29:$B$40,MONTH(A228)),INDEX(Settings!$B$29:$B$40,MONTH(A228)))))</f>
        <v/>
      </c>
    </row>
    <row r="229" customFormat="false" ht="15" hidden="false" customHeight="false" outlineLevel="0" collapsed="false">
      <c r="H229" s="0" t="str">
        <f aca="false">IF(B229="","",IF(COUNTIF(Campaigns!$A$7:$A$300,B229)&gt;0,"✓","⚠ add to Campaigns tab"))</f>
        <v/>
      </c>
      <c r="I229" s="84" t="str">
        <f aca="false">IF(C229="","",C229*IF(Settings!$B$25=Settings!$C$6,1,IF(Settings!$B$25="USD",1/INDEX(Settings!$B$29:$B$40,MONTH(A229)),INDEX(Settings!$B$29:$B$40,MONTH(A229)))))</f>
        <v/>
      </c>
    </row>
    <row r="230" customFormat="false" ht="15" hidden="false" customHeight="false" outlineLevel="0" collapsed="false">
      <c r="H230" s="0" t="str">
        <f aca="false">IF(B230="","",IF(COUNTIF(Campaigns!$A$7:$A$300,B230)&gt;0,"✓","⚠ add to Campaigns tab"))</f>
        <v/>
      </c>
      <c r="I230" s="84" t="str">
        <f aca="false">IF(C230="","",C230*IF(Settings!$B$25=Settings!$C$6,1,IF(Settings!$B$25="USD",1/INDEX(Settings!$B$29:$B$40,MONTH(A230)),INDEX(Settings!$B$29:$B$40,MONTH(A230)))))</f>
        <v/>
      </c>
    </row>
    <row r="231" customFormat="false" ht="15" hidden="false" customHeight="false" outlineLevel="0" collapsed="false">
      <c r="H231" s="0" t="str">
        <f aca="false">IF(B231="","",IF(COUNTIF(Campaigns!$A$7:$A$300,B231)&gt;0,"✓","⚠ add to Campaigns tab"))</f>
        <v/>
      </c>
      <c r="I231" s="84" t="str">
        <f aca="false">IF(C231="","",C231*IF(Settings!$B$25=Settings!$C$6,1,IF(Settings!$B$25="USD",1/INDEX(Settings!$B$29:$B$40,MONTH(A231)),INDEX(Settings!$B$29:$B$40,MONTH(A231)))))</f>
        <v/>
      </c>
    </row>
    <row r="232" customFormat="false" ht="15" hidden="false" customHeight="false" outlineLevel="0" collapsed="false">
      <c r="H232" s="0" t="str">
        <f aca="false">IF(B232="","",IF(COUNTIF(Campaigns!$A$7:$A$300,B232)&gt;0,"✓","⚠ add to Campaigns tab"))</f>
        <v/>
      </c>
      <c r="I232" s="84" t="str">
        <f aca="false">IF(C232="","",C232*IF(Settings!$B$25=Settings!$C$6,1,IF(Settings!$B$25="USD",1/INDEX(Settings!$B$29:$B$40,MONTH(A232)),INDEX(Settings!$B$29:$B$40,MONTH(A232)))))</f>
        <v/>
      </c>
    </row>
    <row r="233" customFormat="false" ht="15" hidden="false" customHeight="false" outlineLevel="0" collapsed="false">
      <c r="H233" s="0" t="str">
        <f aca="false">IF(B233="","",IF(COUNTIF(Campaigns!$A$7:$A$300,B233)&gt;0,"✓","⚠ add to Campaigns tab"))</f>
        <v/>
      </c>
      <c r="I233" s="84" t="str">
        <f aca="false">IF(C233="","",C233*IF(Settings!$B$25=Settings!$C$6,1,IF(Settings!$B$25="USD",1/INDEX(Settings!$B$29:$B$40,MONTH(A233)),INDEX(Settings!$B$29:$B$40,MONTH(A233)))))</f>
        <v/>
      </c>
    </row>
    <row r="234" customFormat="false" ht="15" hidden="false" customHeight="false" outlineLevel="0" collapsed="false">
      <c r="H234" s="0" t="str">
        <f aca="false">IF(B234="","",IF(COUNTIF(Campaigns!$A$7:$A$300,B234)&gt;0,"✓","⚠ add to Campaigns tab"))</f>
        <v/>
      </c>
      <c r="I234" s="84" t="str">
        <f aca="false">IF(C234="","",C234*IF(Settings!$B$25=Settings!$C$6,1,IF(Settings!$B$25="USD",1/INDEX(Settings!$B$29:$B$40,MONTH(A234)),INDEX(Settings!$B$29:$B$40,MONTH(A234)))))</f>
        <v/>
      </c>
    </row>
    <row r="235" customFormat="false" ht="15" hidden="false" customHeight="false" outlineLevel="0" collapsed="false">
      <c r="H235" s="0" t="str">
        <f aca="false">IF(B235="","",IF(COUNTIF(Campaigns!$A$7:$A$300,B235)&gt;0,"✓","⚠ add to Campaigns tab"))</f>
        <v/>
      </c>
      <c r="I235" s="84" t="str">
        <f aca="false">IF(C235="","",C235*IF(Settings!$B$25=Settings!$C$6,1,IF(Settings!$B$25="USD",1/INDEX(Settings!$B$29:$B$40,MONTH(A235)),INDEX(Settings!$B$29:$B$40,MONTH(A235)))))</f>
        <v/>
      </c>
    </row>
    <row r="236" customFormat="false" ht="15" hidden="false" customHeight="false" outlineLevel="0" collapsed="false">
      <c r="H236" s="0" t="str">
        <f aca="false">IF(B236="","",IF(COUNTIF(Campaigns!$A$7:$A$300,B236)&gt;0,"✓","⚠ add to Campaigns tab"))</f>
        <v/>
      </c>
      <c r="I236" s="84" t="str">
        <f aca="false">IF(C236="","",C236*IF(Settings!$B$25=Settings!$C$6,1,IF(Settings!$B$25="USD",1/INDEX(Settings!$B$29:$B$40,MONTH(A236)),INDEX(Settings!$B$29:$B$40,MONTH(A236)))))</f>
        <v/>
      </c>
    </row>
    <row r="237" customFormat="false" ht="15" hidden="false" customHeight="false" outlineLevel="0" collapsed="false">
      <c r="H237" s="0" t="str">
        <f aca="false">IF(B237="","",IF(COUNTIF(Campaigns!$A$7:$A$300,B237)&gt;0,"✓","⚠ add to Campaigns tab"))</f>
        <v/>
      </c>
      <c r="I237" s="84" t="str">
        <f aca="false">IF(C237="","",C237*IF(Settings!$B$25=Settings!$C$6,1,IF(Settings!$B$25="USD",1/INDEX(Settings!$B$29:$B$40,MONTH(A237)),INDEX(Settings!$B$29:$B$40,MONTH(A237)))))</f>
        <v/>
      </c>
    </row>
    <row r="238" customFormat="false" ht="15" hidden="false" customHeight="false" outlineLevel="0" collapsed="false">
      <c r="H238" s="0" t="str">
        <f aca="false">IF(B238="","",IF(COUNTIF(Campaigns!$A$7:$A$300,B238)&gt;0,"✓","⚠ add to Campaigns tab"))</f>
        <v/>
      </c>
      <c r="I238" s="84" t="str">
        <f aca="false">IF(C238="","",C238*IF(Settings!$B$25=Settings!$C$6,1,IF(Settings!$B$25="USD",1/INDEX(Settings!$B$29:$B$40,MONTH(A238)),INDEX(Settings!$B$29:$B$40,MONTH(A238)))))</f>
        <v/>
      </c>
    </row>
    <row r="239" customFormat="false" ht="15" hidden="false" customHeight="false" outlineLevel="0" collapsed="false">
      <c r="H239" s="0" t="str">
        <f aca="false">IF(B239="","",IF(COUNTIF(Campaigns!$A$7:$A$300,B239)&gt;0,"✓","⚠ add to Campaigns tab"))</f>
        <v/>
      </c>
      <c r="I239" s="84" t="str">
        <f aca="false">IF(C239="","",C239*IF(Settings!$B$25=Settings!$C$6,1,IF(Settings!$B$25="USD",1/INDEX(Settings!$B$29:$B$40,MONTH(A239)),INDEX(Settings!$B$29:$B$40,MONTH(A239)))))</f>
        <v/>
      </c>
    </row>
    <row r="240" customFormat="false" ht="15" hidden="false" customHeight="false" outlineLevel="0" collapsed="false">
      <c r="H240" s="0" t="str">
        <f aca="false">IF(B240="","",IF(COUNTIF(Campaigns!$A$7:$A$300,B240)&gt;0,"✓","⚠ add to Campaigns tab"))</f>
        <v/>
      </c>
      <c r="I240" s="84" t="str">
        <f aca="false">IF(C240="","",C240*IF(Settings!$B$25=Settings!$C$6,1,IF(Settings!$B$25="USD",1/INDEX(Settings!$B$29:$B$40,MONTH(A240)),INDEX(Settings!$B$29:$B$40,MONTH(A240)))))</f>
        <v/>
      </c>
    </row>
    <row r="241" customFormat="false" ht="15" hidden="false" customHeight="false" outlineLevel="0" collapsed="false">
      <c r="H241" s="0" t="str">
        <f aca="false">IF(B241="","",IF(COUNTIF(Campaigns!$A$7:$A$300,B241)&gt;0,"✓","⚠ add to Campaigns tab"))</f>
        <v/>
      </c>
      <c r="I241" s="84" t="str">
        <f aca="false">IF(C241="","",C241*IF(Settings!$B$25=Settings!$C$6,1,IF(Settings!$B$25="USD",1/INDEX(Settings!$B$29:$B$40,MONTH(A241)),INDEX(Settings!$B$29:$B$40,MONTH(A241)))))</f>
        <v/>
      </c>
    </row>
    <row r="242" customFormat="false" ht="15" hidden="false" customHeight="false" outlineLevel="0" collapsed="false">
      <c r="H242" s="0" t="str">
        <f aca="false">IF(B242="","",IF(COUNTIF(Campaigns!$A$7:$A$300,B242)&gt;0,"✓","⚠ add to Campaigns tab"))</f>
        <v/>
      </c>
      <c r="I242" s="84" t="str">
        <f aca="false">IF(C242="","",C242*IF(Settings!$B$25=Settings!$C$6,1,IF(Settings!$B$25="USD",1/INDEX(Settings!$B$29:$B$40,MONTH(A242)),INDEX(Settings!$B$29:$B$40,MONTH(A242)))))</f>
        <v/>
      </c>
    </row>
    <row r="243" customFormat="false" ht="15" hidden="false" customHeight="false" outlineLevel="0" collapsed="false">
      <c r="H243" s="0" t="str">
        <f aca="false">IF(B243="","",IF(COUNTIF(Campaigns!$A$7:$A$300,B243)&gt;0,"✓","⚠ add to Campaigns tab"))</f>
        <v/>
      </c>
      <c r="I243" s="84" t="str">
        <f aca="false">IF(C243="","",C243*IF(Settings!$B$25=Settings!$C$6,1,IF(Settings!$B$25="USD",1/INDEX(Settings!$B$29:$B$40,MONTH(A243)),INDEX(Settings!$B$29:$B$40,MONTH(A243)))))</f>
        <v/>
      </c>
    </row>
    <row r="244" customFormat="false" ht="15" hidden="false" customHeight="false" outlineLevel="0" collapsed="false">
      <c r="H244" s="0" t="str">
        <f aca="false">IF(B244="","",IF(COUNTIF(Campaigns!$A$7:$A$300,B244)&gt;0,"✓","⚠ add to Campaigns tab"))</f>
        <v/>
      </c>
      <c r="I244" s="84" t="str">
        <f aca="false">IF(C244="","",C244*IF(Settings!$B$25=Settings!$C$6,1,IF(Settings!$B$25="USD",1/INDEX(Settings!$B$29:$B$40,MONTH(A244)),INDEX(Settings!$B$29:$B$40,MONTH(A244)))))</f>
        <v/>
      </c>
    </row>
    <row r="245" customFormat="false" ht="15" hidden="false" customHeight="false" outlineLevel="0" collapsed="false">
      <c r="H245" s="0" t="str">
        <f aca="false">IF(B245="","",IF(COUNTIF(Campaigns!$A$7:$A$300,B245)&gt;0,"✓","⚠ add to Campaigns tab"))</f>
        <v/>
      </c>
      <c r="I245" s="84" t="str">
        <f aca="false">IF(C245="","",C245*IF(Settings!$B$25=Settings!$C$6,1,IF(Settings!$B$25="USD",1/INDEX(Settings!$B$29:$B$40,MONTH(A245)),INDEX(Settings!$B$29:$B$40,MONTH(A245)))))</f>
        <v/>
      </c>
    </row>
    <row r="246" customFormat="false" ht="15" hidden="false" customHeight="false" outlineLevel="0" collapsed="false">
      <c r="H246" s="0" t="str">
        <f aca="false">IF(B246="","",IF(COUNTIF(Campaigns!$A$7:$A$300,B246)&gt;0,"✓","⚠ add to Campaigns tab"))</f>
        <v/>
      </c>
      <c r="I246" s="84" t="str">
        <f aca="false">IF(C246="","",C246*IF(Settings!$B$25=Settings!$C$6,1,IF(Settings!$B$25="USD",1/INDEX(Settings!$B$29:$B$40,MONTH(A246)),INDEX(Settings!$B$29:$B$40,MONTH(A246)))))</f>
        <v/>
      </c>
    </row>
    <row r="247" customFormat="false" ht="15" hidden="false" customHeight="false" outlineLevel="0" collapsed="false">
      <c r="H247" s="0" t="str">
        <f aca="false">IF(B247="","",IF(COUNTIF(Campaigns!$A$7:$A$300,B247)&gt;0,"✓","⚠ add to Campaigns tab"))</f>
        <v/>
      </c>
      <c r="I247" s="84" t="str">
        <f aca="false">IF(C247="","",C247*IF(Settings!$B$25=Settings!$C$6,1,IF(Settings!$B$25="USD",1/INDEX(Settings!$B$29:$B$40,MONTH(A247)),INDEX(Settings!$B$29:$B$40,MONTH(A247)))))</f>
        <v/>
      </c>
    </row>
    <row r="248" customFormat="false" ht="15" hidden="false" customHeight="false" outlineLevel="0" collapsed="false">
      <c r="H248" s="0" t="str">
        <f aca="false">IF(B248="","",IF(COUNTIF(Campaigns!$A$7:$A$300,B248)&gt;0,"✓","⚠ add to Campaigns tab"))</f>
        <v/>
      </c>
      <c r="I248" s="84" t="str">
        <f aca="false">IF(C248="","",C248*IF(Settings!$B$25=Settings!$C$6,1,IF(Settings!$B$25="USD",1/INDEX(Settings!$B$29:$B$40,MONTH(A248)),INDEX(Settings!$B$29:$B$40,MONTH(A248)))))</f>
        <v/>
      </c>
    </row>
    <row r="249" customFormat="false" ht="15" hidden="false" customHeight="false" outlineLevel="0" collapsed="false">
      <c r="H249" s="0" t="str">
        <f aca="false">IF(B249="","",IF(COUNTIF(Campaigns!$A$7:$A$300,B249)&gt;0,"✓","⚠ add to Campaigns tab"))</f>
        <v/>
      </c>
      <c r="I249" s="84" t="str">
        <f aca="false">IF(C249="","",C249*IF(Settings!$B$25=Settings!$C$6,1,IF(Settings!$B$25="USD",1/INDEX(Settings!$B$29:$B$40,MONTH(A249)),INDEX(Settings!$B$29:$B$40,MONTH(A249)))))</f>
        <v/>
      </c>
    </row>
    <row r="250" customFormat="false" ht="15" hidden="false" customHeight="false" outlineLevel="0" collapsed="false">
      <c r="H250" s="0" t="str">
        <f aca="false">IF(B250="","",IF(COUNTIF(Campaigns!$A$7:$A$300,B250)&gt;0,"✓","⚠ add to Campaigns tab"))</f>
        <v/>
      </c>
      <c r="I250" s="84" t="str">
        <f aca="false">IF(C250="","",C250*IF(Settings!$B$25=Settings!$C$6,1,IF(Settings!$B$25="USD",1/INDEX(Settings!$B$29:$B$40,MONTH(A250)),INDEX(Settings!$B$29:$B$40,MONTH(A250)))))</f>
        <v/>
      </c>
    </row>
    <row r="251" customFormat="false" ht="15" hidden="false" customHeight="false" outlineLevel="0" collapsed="false">
      <c r="H251" s="0" t="str">
        <f aca="false">IF(B251="","",IF(COUNTIF(Campaigns!$A$7:$A$300,B251)&gt;0,"✓","⚠ add to Campaigns tab"))</f>
        <v/>
      </c>
      <c r="I251" s="84" t="str">
        <f aca="false">IF(C251="","",C251*IF(Settings!$B$25=Settings!$C$6,1,IF(Settings!$B$25="USD",1/INDEX(Settings!$B$29:$B$40,MONTH(A251)),INDEX(Settings!$B$29:$B$40,MONTH(A251)))))</f>
        <v/>
      </c>
    </row>
    <row r="252" customFormat="false" ht="15" hidden="false" customHeight="false" outlineLevel="0" collapsed="false">
      <c r="H252" s="0" t="str">
        <f aca="false">IF(B252="","",IF(COUNTIF(Campaigns!$A$7:$A$300,B252)&gt;0,"✓","⚠ add to Campaigns tab"))</f>
        <v/>
      </c>
      <c r="I252" s="84" t="str">
        <f aca="false">IF(C252="","",C252*IF(Settings!$B$25=Settings!$C$6,1,IF(Settings!$B$25="USD",1/INDEX(Settings!$B$29:$B$40,MONTH(A252)),INDEX(Settings!$B$29:$B$40,MONTH(A252)))))</f>
        <v/>
      </c>
    </row>
    <row r="253" customFormat="false" ht="15" hidden="false" customHeight="false" outlineLevel="0" collapsed="false">
      <c r="H253" s="0" t="str">
        <f aca="false">IF(B253="","",IF(COUNTIF(Campaigns!$A$7:$A$300,B253)&gt;0,"✓","⚠ add to Campaigns tab"))</f>
        <v/>
      </c>
      <c r="I253" s="84" t="str">
        <f aca="false">IF(C253="","",C253*IF(Settings!$B$25=Settings!$C$6,1,IF(Settings!$B$25="USD",1/INDEX(Settings!$B$29:$B$40,MONTH(A253)),INDEX(Settings!$B$29:$B$40,MONTH(A253)))))</f>
        <v/>
      </c>
    </row>
    <row r="254" customFormat="false" ht="15" hidden="false" customHeight="false" outlineLevel="0" collapsed="false">
      <c r="H254" s="0" t="str">
        <f aca="false">IF(B254="","",IF(COUNTIF(Campaigns!$A$7:$A$300,B254)&gt;0,"✓","⚠ add to Campaigns tab"))</f>
        <v/>
      </c>
      <c r="I254" s="84" t="str">
        <f aca="false">IF(C254="","",C254*IF(Settings!$B$25=Settings!$C$6,1,IF(Settings!$B$25="USD",1/INDEX(Settings!$B$29:$B$40,MONTH(A254)),INDEX(Settings!$B$29:$B$40,MONTH(A254)))))</f>
        <v/>
      </c>
    </row>
    <row r="255" customFormat="false" ht="15" hidden="false" customHeight="false" outlineLevel="0" collapsed="false">
      <c r="H255" s="0" t="str">
        <f aca="false">IF(B255="","",IF(COUNTIF(Campaigns!$A$7:$A$300,B255)&gt;0,"✓","⚠ add to Campaigns tab"))</f>
        <v/>
      </c>
      <c r="I255" s="84" t="str">
        <f aca="false">IF(C255="","",C255*IF(Settings!$B$25=Settings!$C$6,1,IF(Settings!$B$25="USD",1/INDEX(Settings!$B$29:$B$40,MONTH(A255)),INDEX(Settings!$B$29:$B$40,MONTH(A255)))))</f>
        <v/>
      </c>
    </row>
    <row r="256" customFormat="false" ht="15" hidden="false" customHeight="false" outlineLevel="0" collapsed="false">
      <c r="H256" s="0" t="str">
        <f aca="false">IF(B256="","",IF(COUNTIF(Campaigns!$A$7:$A$300,B256)&gt;0,"✓","⚠ add to Campaigns tab"))</f>
        <v/>
      </c>
      <c r="I256" s="84" t="str">
        <f aca="false">IF(C256="","",C256*IF(Settings!$B$25=Settings!$C$6,1,IF(Settings!$B$25="USD",1/INDEX(Settings!$B$29:$B$40,MONTH(A256)),INDEX(Settings!$B$29:$B$40,MONTH(A256)))))</f>
        <v/>
      </c>
    </row>
    <row r="257" customFormat="false" ht="15" hidden="false" customHeight="false" outlineLevel="0" collapsed="false">
      <c r="H257" s="0" t="str">
        <f aca="false">IF(B257="","",IF(COUNTIF(Campaigns!$A$7:$A$300,B257)&gt;0,"✓","⚠ add to Campaigns tab"))</f>
        <v/>
      </c>
      <c r="I257" s="84" t="str">
        <f aca="false">IF(C257="","",C257*IF(Settings!$B$25=Settings!$C$6,1,IF(Settings!$B$25="USD",1/INDEX(Settings!$B$29:$B$40,MONTH(A257)),INDEX(Settings!$B$29:$B$40,MONTH(A257)))))</f>
        <v/>
      </c>
    </row>
    <row r="258" customFormat="false" ht="15" hidden="false" customHeight="false" outlineLevel="0" collapsed="false">
      <c r="H258" s="0" t="str">
        <f aca="false">IF(B258="","",IF(COUNTIF(Campaigns!$A$7:$A$300,B258)&gt;0,"✓","⚠ add to Campaigns tab"))</f>
        <v/>
      </c>
      <c r="I258" s="84" t="str">
        <f aca="false">IF(C258="","",C258*IF(Settings!$B$25=Settings!$C$6,1,IF(Settings!$B$25="USD",1/INDEX(Settings!$B$29:$B$40,MONTH(A258)),INDEX(Settings!$B$29:$B$40,MONTH(A258)))))</f>
        <v/>
      </c>
    </row>
    <row r="259" customFormat="false" ht="15" hidden="false" customHeight="false" outlineLevel="0" collapsed="false">
      <c r="H259" s="0" t="str">
        <f aca="false">IF(B259="","",IF(COUNTIF(Campaigns!$A$7:$A$300,B259)&gt;0,"✓","⚠ add to Campaigns tab"))</f>
        <v/>
      </c>
      <c r="I259" s="84" t="str">
        <f aca="false">IF(C259="","",C259*IF(Settings!$B$25=Settings!$C$6,1,IF(Settings!$B$25="USD",1/INDEX(Settings!$B$29:$B$40,MONTH(A259)),INDEX(Settings!$B$29:$B$40,MONTH(A259)))))</f>
        <v/>
      </c>
    </row>
    <row r="260" customFormat="false" ht="15" hidden="false" customHeight="false" outlineLevel="0" collapsed="false">
      <c r="H260" s="0" t="str">
        <f aca="false">IF(B260="","",IF(COUNTIF(Campaigns!$A$7:$A$300,B260)&gt;0,"✓","⚠ add to Campaigns tab"))</f>
        <v/>
      </c>
      <c r="I260" s="84" t="str">
        <f aca="false">IF(C260="","",C260*IF(Settings!$B$25=Settings!$C$6,1,IF(Settings!$B$25="USD",1/INDEX(Settings!$B$29:$B$40,MONTH(A260)),INDEX(Settings!$B$29:$B$40,MONTH(A260)))))</f>
        <v/>
      </c>
    </row>
    <row r="261" customFormat="false" ht="15" hidden="false" customHeight="false" outlineLevel="0" collapsed="false">
      <c r="H261" s="0" t="str">
        <f aca="false">IF(B261="","",IF(COUNTIF(Campaigns!$A$7:$A$300,B261)&gt;0,"✓","⚠ add to Campaigns tab"))</f>
        <v/>
      </c>
      <c r="I261" s="84" t="str">
        <f aca="false">IF(C261="","",C261*IF(Settings!$B$25=Settings!$C$6,1,IF(Settings!$B$25="USD",1/INDEX(Settings!$B$29:$B$40,MONTH(A261)),INDEX(Settings!$B$29:$B$40,MONTH(A261)))))</f>
        <v/>
      </c>
    </row>
    <row r="262" customFormat="false" ht="15" hidden="false" customHeight="false" outlineLevel="0" collapsed="false">
      <c r="H262" s="0" t="str">
        <f aca="false">IF(B262="","",IF(COUNTIF(Campaigns!$A$7:$A$300,B262)&gt;0,"✓","⚠ add to Campaigns tab"))</f>
        <v/>
      </c>
      <c r="I262" s="84" t="str">
        <f aca="false">IF(C262="","",C262*IF(Settings!$B$25=Settings!$C$6,1,IF(Settings!$B$25="USD",1/INDEX(Settings!$B$29:$B$40,MONTH(A262)),INDEX(Settings!$B$29:$B$40,MONTH(A262)))))</f>
        <v/>
      </c>
    </row>
    <row r="263" customFormat="false" ht="15" hidden="false" customHeight="false" outlineLevel="0" collapsed="false">
      <c r="H263" s="0" t="str">
        <f aca="false">IF(B263="","",IF(COUNTIF(Campaigns!$A$7:$A$300,B263)&gt;0,"✓","⚠ add to Campaigns tab"))</f>
        <v/>
      </c>
      <c r="I263" s="84" t="str">
        <f aca="false">IF(C263="","",C263*IF(Settings!$B$25=Settings!$C$6,1,IF(Settings!$B$25="USD",1/INDEX(Settings!$B$29:$B$40,MONTH(A263)),INDEX(Settings!$B$29:$B$40,MONTH(A263)))))</f>
        <v/>
      </c>
    </row>
    <row r="264" customFormat="false" ht="15" hidden="false" customHeight="false" outlineLevel="0" collapsed="false">
      <c r="H264" s="0" t="str">
        <f aca="false">IF(B264="","",IF(COUNTIF(Campaigns!$A$7:$A$300,B264)&gt;0,"✓","⚠ add to Campaigns tab"))</f>
        <v/>
      </c>
      <c r="I264" s="84" t="str">
        <f aca="false">IF(C264="","",C264*IF(Settings!$B$25=Settings!$C$6,1,IF(Settings!$B$25="USD",1/INDEX(Settings!$B$29:$B$40,MONTH(A264)),INDEX(Settings!$B$29:$B$40,MONTH(A264)))))</f>
        <v/>
      </c>
    </row>
    <row r="265" customFormat="false" ht="15" hidden="false" customHeight="false" outlineLevel="0" collapsed="false">
      <c r="H265" s="0" t="str">
        <f aca="false">IF(B265="","",IF(COUNTIF(Campaigns!$A$7:$A$300,B265)&gt;0,"✓","⚠ add to Campaigns tab"))</f>
        <v/>
      </c>
      <c r="I265" s="84" t="str">
        <f aca="false">IF(C265="","",C265*IF(Settings!$B$25=Settings!$C$6,1,IF(Settings!$B$25="USD",1/INDEX(Settings!$B$29:$B$40,MONTH(A265)),INDEX(Settings!$B$29:$B$40,MONTH(A265)))))</f>
        <v/>
      </c>
    </row>
    <row r="266" customFormat="false" ht="15" hidden="false" customHeight="false" outlineLevel="0" collapsed="false">
      <c r="H266" s="0" t="str">
        <f aca="false">IF(B266="","",IF(COUNTIF(Campaigns!$A$7:$A$300,B266)&gt;0,"✓","⚠ add to Campaigns tab"))</f>
        <v/>
      </c>
      <c r="I266" s="84" t="str">
        <f aca="false">IF(C266="","",C266*IF(Settings!$B$25=Settings!$C$6,1,IF(Settings!$B$25="USD",1/INDEX(Settings!$B$29:$B$40,MONTH(A266)),INDEX(Settings!$B$29:$B$40,MONTH(A266)))))</f>
        <v/>
      </c>
    </row>
    <row r="267" customFormat="false" ht="15" hidden="false" customHeight="false" outlineLevel="0" collapsed="false">
      <c r="H267" s="0" t="str">
        <f aca="false">IF(B267="","",IF(COUNTIF(Campaigns!$A$7:$A$300,B267)&gt;0,"✓","⚠ add to Campaigns tab"))</f>
        <v/>
      </c>
      <c r="I267" s="84" t="str">
        <f aca="false">IF(C267="","",C267*IF(Settings!$B$25=Settings!$C$6,1,IF(Settings!$B$25="USD",1/INDEX(Settings!$B$29:$B$40,MONTH(A267)),INDEX(Settings!$B$29:$B$40,MONTH(A267)))))</f>
        <v/>
      </c>
    </row>
    <row r="268" customFormat="false" ht="15" hidden="false" customHeight="false" outlineLevel="0" collapsed="false">
      <c r="H268" s="0" t="str">
        <f aca="false">IF(B268="","",IF(COUNTIF(Campaigns!$A$7:$A$300,B268)&gt;0,"✓","⚠ add to Campaigns tab"))</f>
        <v/>
      </c>
      <c r="I268" s="84" t="str">
        <f aca="false">IF(C268="","",C268*IF(Settings!$B$25=Settings!$C$6,1,IF(Settings!$B$25="USD",1/INDEX(Settings!$B$29:$B$40,MONTH(A268)),INDEX(Settings!$B$29:$B$40,MONTH(A268)))))</f>
        <v/>
      </c>
    </row>
    <row r="269" customFormat="false" ht="15" hidden="false" customHeight="false" outlineLevel="0" collapsed="false">
      <c r="H269" s="0" t="str">
        <f aca="false">IF(B269="","",IF(COUNTIF(Campaigns!$A$7:$A$300,B269)&gt;0,"✓","⚠ add to Campaigns tab"))</f>
        <v/>
      </c>
      <c r="I269" s="84" t="str">
        <f aca="false">IF(C269="","",C269*IF(Settings!$B$25=Settings!$C$6,1,IF(Settings!$B$25="USD",1/INDEX(Settings!$B$29:$B$40,MONTH(A269)),INDEX(Settings!$B$29:$B$40,MONTH(A269)))))</f>
        <v/>
      </c>
    </row>
    <row r="270" customFormat="false" ht="15" hidden="false" customHeight="false" outlineLevel="0" collapsed="false">
      <c r="H270" s="0" t="str">
        <f aca="false">IF(B270="","",IF(COUNTIF(Campaigns!$A$7:$A$300,B270)&gt;0,"✓","⚠ add to Campaigns tab"))</f>
        <v/>
      </c>
      <c r="I270" s="84" t="str">
        <f aca="false">IF(C270="","",C270*IF(Settings!$B$25=Settings!$C$6,1,IF(Settings!$B$25="USD",1/INDEX(Settings!$B$29:$B$40,MONTH(A270)),INDEX(Settings!$B$29:$B$40,MONTH(A270)))))</f>
        <v/>
      </c>
    </row>
    <row r="271" customFormat="false" ht="15" hidden="false" customHeight="false" outlineLevel="0" collapsed="false">
      <c r="H271" s="0" t="str">
        <f aca="false">IF(B271="","",IF(COUNTIF(Campaigns!$A$7:$A$300,B271)&gt;0,"✓","⚠ add to Campaigns tab"))</f>
        <v/>
      </c>
      <c r="I271" s="84" t="str">
        <f aca="false">IF(C271="","",C271*IF(Settings!$B$25=Settings!$C$6,1,IF(Settings!$B$25="USD",1/INDEX(Settings!$B$29:$B$40,MONTH(A271)),INDEX(Settings!$B$29:$B$40,MONTH(A271)))))</f>
        <v/>
      </c>
    </row>
    <row r="272" customFormat="false" ht="15" hidden="false" customHeight="false" outlineLevel="0" collapsed="false">
      <c r="H272" s="0" t="str">
        <f aca="false">IF(B272="","",IF(COUNTIF(Campaigns!$A$7:$A$300,B272)&gt;0,"✓","⚠ add to Campaigns tab"))</f>
        <v/>
      </c>
      <c r="I272" s="84" t="str">
        <f aca="false">IF(C272="","",C272*IF(Settings!$B$25=Settings!$C$6,1,IF(Settings!$B$25="USD",1/INDEX(Settings!$B$29:$B$40,MONTH(A272)),INDEX(Settings!$B$29:$B$40,MONTH(A272)))))</f>
        <v/>
      </c>
    </row>
    <row r="273" customFormat="false" ht="15" hidden="false" customHeight="false" outlineLevel="0" collapsed="false">
      <c r="H273" s="0" t="str">
        <f aca="false">IF(B273="","",IF(COUNTIF(Campaigns!$A$7:$A$300,B273)&gt;0,"✓","⚠ add to Campaigns tab"))</f>
        <v/>
      </c>
      <c r="I273" s="84" t="str">
        <f aca="false">IF(C273="","",C273*IF(Settings!$B$25=Settings!$C$6,1,IF(Settings!$B$25="USD",1/INDEX(Settings!$B$29:$B$40,MONTH(A273)),INDEX(Settings!$B$29:$B$40,MONTH(A273)))))</f>
        <v/>
      </c>
    </row>
    <row r="274" customFormat="false" ht="15" hidden="false" customHeight="false" outlineLevel="0" collapsed="false">
      <c r="H274" s="0" t="str">
        <f aca="false">IF(B274="","",IF(COUNTIF(Campaigns!$A$7:$A$300,B274)&gt;0,"✓","⚠ add to Campaigns tab"))</f>
        <v/>
      </c>
      <c r="I274" s="84" t="str">
        <f aca="false">IF(C274="","",C274*IF(Settings!$B$25=Settings!$C$6,1,IF(Settings!$B$25="USD",1/INDEX(Settings!$B$29:$B$40,MONTH(A274)),INDEX(Settings!$B$29:$B$40,MONTH(A274)))))</f>
        <v/>
      </c>
    </row>
    <row r="275" customFormat="false" ht="15" hidden="false" customHeight="false" outlineLevel="0" collapsed="false">
      <c r="H275" s="0" t="str">
        <f aca="false">IF(B275="","",IF(COUNTIF(Campaigns!$A$7:$A$300,B275)&gt;0,"✓","⚠ add to Campaigns tab"))</f>
        <v/>
      </c>
      <c r="I275" s="84" t="str">
        <f aca="false">IF(C275="","",C275*IF(Settings!$B$25=Settings!$C$6,1,IF(Settings!$B$25="USD",1/INDEX(Settings!$B$29:$B$40,MONTH(A275)),INDEX(Settings!$B$29:$B$40,MONTH(A275)))))</f>
        <v/>
      </c>
    </row>
    <row r="276" customFormat="false" ht="15" hidden="false" customHeight="false" outlineLevel="0" collapsed="false">
      <c r="H276" s="0" t="str">
        <f aca="false">IF(B276="","",IF(COUNTIF(Campaigns!$A$7:$A$300,B276)&gt;0,"✓","⚠ add to Campaigns tab"))</f>
        <v/>
      </c>
      <c r="I276" s="84" t="str">
        <f aca="false">IF(C276="","",C276*IF(Settings!$B$25=Settings!$C$6,1,IF(Settings!$B$25="USD",1/INDEX(Settings!$B$29:$B$40,MONTH(A276)),INDEX(Settings!$B$29:$B$40,MONTH(A276)))))</f>
        <v/>
      </c>
    </row>
    <row r="277" customFormat="false" ht="15" hidden="false" customHeight="false" outlineLevel="0" collapsed="false">
      <c r="H277" s="0" t="str">
        <f aca="false">IF(B277="","",IF(COUNTIF(Campaigns!$A$7:$A$300,B277)&gt;0,"✓","⚠ add to Campaigns tab"))</f>
        <v/>
      </c>
      <c r="I277" s="84" t="str">
        <f aca="false">IF(C277="","",C277*IF(Settings!$B$25=Settings!$C$6,1,IF(Settings!$B$25="USD",1/INDEX(Settings!$B$29:$B$40,MONTH(A277)),INDEX(Settings!$B$29:$B$40,MONTH(A277)))))</f>
        <v/>
      </c>
    </row>
    <row r="278" customFormat="false" ht="15" hidden="false" customHeight="false" outlineLevel="0" collapsed="false">
      <c r="H278" s="0" t="str">
        <f aca="false">IF(B278="","",IF(COUNTIF(Campaigns!$A$7:$A$300,B278)&gt;0,"✓","⚠ add to Campaigns tab"))</f>
        <v/>
      </c>
      <c r="I278" s="84" t="str">
        <f aca="false">IF(C278="","",C278*IF(Settings!$B$25=Settings!$C$6,1,IF(Settings!$B$25="USD",1/INDEX(Settings!$B$29:$B$40,MONTH(A278)),INDEX(Settings!$B$29:$B$40,MONTH(A278)))))</f>
        <v/>
      </c>
    </row>
    <row r="279" customFormat="false" ht="15" hidden="false" customHeight="false" outlineLevel="0" collapsed="false">
      <c r="H279" s="0" t="str">
        <f aca="false">IF(B279="","",IF(COUNTIF(Campaigns!$A$7:$A$300,B279)&gt;0,"✓","⚠ add to Campaigns tab"))</f>
        <v/>
      </c>
      <c r="I279" s="84" t="str">
        <f aca="false">IF(C279="","",C279*IF(Settings!$B$25=Settings!$C$6,1,IF(Settings!$B$25="USD",1/INDEX(Settings!$B$29:$B$40,MONTH(A279)),INDEX(Settings!$B$29:$B$40,MONTH(A279)))))</f>
        <v/>
      </c>
    </row>
    <row r="280" customFormat="false" ht="15" hidden="false" customHeight="false" outlineLevel="0" collapsed="false">
      <c r="H280" s="0" t="str">
        <f aca="false">IF(B280="","",IF(COUNTIF(Campaigns!$A$7:$A$300,B280)&gt;0,"✓","⚠ add to Campaigns tab"))</f>
        <v/>
      </c>
      <c r="I280" s="84" t="str">
        <f aca="false">IF(C280="","",C280*IF(Settings!$B$25=Settings!$C$6,1,IF(Settings!$B$25="USD",1/INDEX(Settings!$B$29:$B$40,MONTH(A280)),INDEX(Settings!$B$29:$B$40,MONTH(A280)))))</f>
        <v/>
      </c>
    </row>
    <row r="281" customFormat="false" ht="15" hidden="false" customHeight="false" outlineLevel="0" collapsed="false">
      <c r="H281" s="0" t="str">
        <f aca="false">IF(B281="","",IF(COUNTIF(Campaigns!$A$7:$A$300,B281)&gt;0,"✓","⚠ add to Campaigns tab"))</f>
        <v/>
      </c>
      <c r="I281" s="84" t="str">
        <f aca="false">IF(C281="","",C281*IF(Settings!$B$25=Settings!$C$6,1,IF(Settings!$B$25="USD",1/INDEX(Settings!$B$29:$B$40,MONTH(A281)),INDEX(Settings!$B$29:$B$40,MONTH(A281)))))</f>
        <v/>
      </c>
    </row>
    <row r="282" customFormat="false" ht="15" hidden="false" customHeight="false" outlineLevel="0" collapsed="false">
      <c r="H282" s="0" t="str">
        <f aca="false">IF(B282="","",IF(COUNTIF(Campaigns!$A$7:$A$300,B282)&gt;0,"✓","⚠ add to Campaigns tab"))</f>
        <v/>
      </c>
      <c r="I282" s="84" t="str">
        <f aca="false">IF(C282="","",C282*IF(Settings!$B$25=Settings!$C$6,1,IF(Settings!$B$25="USD",1/INDEX(Settings!$B$29:$B$40,MONTH(A282)),INDEX(Settings!$B$29:$B$40,MONTH(A282)))))</f>
        <v/>
      </c>
    </row>
    <row r="283" customFormat="false" ht="15" hidden="false" customHeight="false" outlineLevel="0" collapsed="false">
      <c r="H283" s="0" t="str">
        <f aca="false">IF(B283="","",IF(COUNTIF(Campaigns!$A$7:$A$300,B283)&gt;0,"✓","⚠ add to Campaigns tab"))</f>
        <v/>
      </c>
      <c r="I283" s="84" t="str">
        <f aca="false">IF(C283="","",C283*IF(Settings!$B$25=Settings!$C$6,1,IF(Settings!$B$25="USD",1/INDEX(Settings!$B$29:$B$40,MONTH(A283)),INDEX(Settings!$B$29:$B$40,MONTH(A283)))))</f>
        <v/>
      </c>
    </row>
    <row r="284" customFormat="false" ht="15" hidden="false" customHeight="false" outlineLevel="0" collapsed="false">
      <c r="H284" s="0" t="str">
        <f aca="false">IF(B284="","",IF(COUNTIF(Campaigns!$A$7:$A$300,B284)&gt;0,"✓","⚠ add to Campaigns tab"))</f>
        <v/>
      </c>
      <c r="I284" s="84" t="str">
        <f aca="false">IF(C284="","",C284*IF(Settings!$B$25=Settings!$C$6,1,IF(Settings!$B$25="USD",1/INDEX(Settings!$B$29:$B$40,MONTH(A284)),INDEX(Settings!$B$29:$B$40,MONTH(A284)))))</f>
        <v/>
      </c>
    </row>
    <row r="285" customFormat="false" ht="15" hidden="false" customHeight="false" outlineLevel="0" collapsed="false">
      <c r="H285" s="0" t="str">
        <f aca="false">IF(B285="","",IF(COUNTIF(Campaigns!$A$7:$A$300,B285)&gt;0,"✓","⚠ add to Campaigns tab"))</f>
        <v/>
      </c>
      <c r="I285" s="84" t="str">
        <f aca="false">IF(C285="","",C285*IF(Settings!$B$25=Settings!$C$6,1,IF(Settings!$B$25="USD",1/INDEX(Settings!$B$29:$B$40,MONTH(A285)),INDEX(Settings!$B$29:$B$40,MONTH(A285)))))</f>
        <v/>
      </c>
    </row>
    <row r="286" customFormat="false" ht="15" hidden="false" customHeight="false" outlineLevel="0" collapsed="false">
      <c r="H286" s="0" t="str">
        <f aca="false">IF(B286="","",IF(COUNTIF(Campaigns!$A$7:$A$300,B286)&gt;0,"✓","⚠ add to Campaigns tab"))</f>
        <v/>
      </c>
      <c r="I286" s="84" t="str">
        <f aca="false">IF(C286="","",C286*IF(Settings!$B$25=Settings!$C$6,1,IF(Settings!$B$25="USD",1/INDEX(Settings!$B$29:$B$40,MONTH(A286)),INDEX(Settings!$B$29:$B$40,MONTH(A286)))))</f>
        <v/>
      </c>
    </row>
    <row r="287" customFormat="false" ht="15" hidden="false" customHeight="false" outlineLevel="0" collapsed="false">
      <c r="H287" s="0" t="str">
        <f aca="false">IF(B287="","",IF(COUNTIF(Campaigns!$A$7:$A$300,B287)&gt;0,"✓","⚠ add to Campaigns tab"))</f>
        <v/>
      </c>
      <c r="I287" s="84" t="str">
        <f aca="false">IF(C287="","",C287*IF(Settings!$B$25=Settings!$C$6,1,IF(Settings!$B$25="USD",1/INDEX(Settings!$B$29:$B$40,MONTH(A287)),INDEX(Settings!$B$29:$B$40,MONTH(A287)))))</f>
        <v/>
      </c>
    </row>
    <row r="288" customFormat="false" ht="15" hidden="false" customHeight="false" outlineLevel="0" collapsed="false">
      <c r="H288" s="0" t="str">
        <f aca="false">IF(B288="","",IF(COUNTIF(Campaigns!$A$7:$A$300,B288)&gt;0,"✓","⚠ add to Campaigns tab"))</f>
        <v/>
      </c>
      <c r="I288" s="84" t="str">
        <f aca="false">IF(C288="","",C288*IF(Settings!$B$25=Settings!$C$6,1,IF(Settings!$B$25="USD",1/INDEX(Settings!$B$29:$B$40,MONTH(A288)),INDEX(Settings!$B$29:$B$40,MONTH(A288)))))</f>
        <v/>
      </c>
    </row>
    <row r="289" customFormat="false" ht="15" hidden="false" customHeight="false" outlineLevel="0" collapsed="false">
      <c r="H289" s="0" t="str">
        <f aca="false">IF(B289="","",IF(COUNTIF(Campaigns!$A$7:$A$300,B289)&gt;0,"✓","⚠ add to Campaigns tab"))</f>
        <v/>
      </c>
      <c r="I289" s="84" t="str">
        <f aca="false">IF(C289="","",C289*IF(Settings!$B$25=Settings!$C$6,1,IF(Settings!$B$25="USD",1/INDEX(Settings!$B$29:$B$40,MONTH(A289)),INDEX(Settings!$B$29:$B$40,MONTH(A289)))))</f>
        <v/>
      </c>
    </row>
    <row r="290" customFormat="false" ht="15" hidden="false" customHeight="false" outlineLevel="0" collapsed="false">
      <c r="H290" s="0" t="str">
        <f aca="false">IF(B290="","",IF(COUNTIF(Campaigns!$A$7:$A$300,B290)&gt;0,"✓","⚠ add to Campaigns tab"))</f>
        <v/>
      </c>
      <c r="I290" s="84" t="str">
        <f aca="false">IF(C290="","",C290*IF(Settings!$B$25=Settings!$C$6,1,IF(Settings!$B$25="USD",1/INDEX(Settings!$B$29:$B$40,MONTH(A290)),INDEX(Settings!$B$29:$B$40,MONTH(A290)))))</f>
        <v/>
      </c>
    </row>
    <row r="291" customFormat="false" ht="15" hidden="false" customHeight="false" outlineLevel="0" collapsed="false">
      <c r="H291" s="0" t="str">
        <f aca="false">IF(B291="","",IF(COUNTIF(Campaigns!$A$7:$A$300,B291)&gt;0,"✓","⚠ add to Campaigns tab"))</f>
        <v/>
      </c>
      <c r="I291" s="84" t="str">
        <f aca="false">IF(C291="","",C291*IF(Settings!$B$25=Settings!$C$6,1,IF(Settings!$B$25="USD",1/INDEX(Settings!$B$29:$B$40,MONTH(A291)),INDEX(Settings!$B$29:$B$40,MONTH(A291)))))</f>
        <v/>
      </c>
    </row>
    <row r="292" customFormat="false" ht="15" hidden="false" customHeight="false" outlineLevel="0" collapsed="false">
      <c r="H292" s="0" t="str">
        <f aca="false">IF(B292="","",IF(COUNTIF(Campaigns!$A$7:$A$300,B292)&gt;0,"✓","⚠ add to Campaigns tab"))</f>
        <v/>
      </c>
      <c r="I292" s="84" t="str">
        <f aca="false">IF(C292="","",C292*IF(Settings!$B$25=Settings!$C$6,1,IF(Settings!$B$25="USD",1/INDEX(Settings!$B$29:$B$40,MONTH(A292)),INDEX(Settings!$B$29:$B$40,MONTH(A292)))))</f>
        <v/>
      </c>
    </row>
    <row r="293" customFormat="false" ht="15" hidden="false" customHeight="false" outlineLevel="0" collapsed="false">
      <c r="H293" s="0" t="str">
        <f aca="false">IF(B293="","",IF(COUNTIF(Campaigns!$A$7:$A$300,B293)&gt;0,"✓","⚠ add to Campaigns tab"))</f>
        <v/>
      </c>
      <c r="I293" s="84" t="str">
        <f aca="false">IF(C293="","",C293*IF(Settings!$B$25=Settings!$C$6,1,IF(Settings!$B$25="USD",1/INDEX(Settings!$B$29:$B$40,MONTH(A293)),INDEX(Settings!$B$29:$B$40,MONTH(A293)))))</f>
        <v/>
      </c>
    </row>
    <row r="294" customFormat="false" ht="15" hidden="false" customHeight="false" outlineLevel="0" collapsed="false">
      <c r="H294" s="0" t="str">
        <f aca="false">IF(B294="","",IF(COUNTIF(Campaigns!$A$7:$A$300,B294)&gt;0,"✓","⚠ add to Campaigns tab"))</f>
        <v/>
      </c>
      <c r="I294" s="84" t="str">
        <f aca="false">IF(C294="","",C294*IF(Settings!$B$25=Settings!$C$6,1,IF(Settings!$B$25="USD",1/INDEX(Settings!$B$29:$B$40,MONTH(A294)),INDEX(Settings!$B$29:$B$40,MONTH(A294)))))</f>
        <v/>
      </c>
    </row>
    <row r="295" customFormat="false" ht="15" hidden="false" customHeight="false" outlineLevel="0" collapsed="false">
      <c r="H295" s="0" t="str">
        <f aca="false">IF(B295="","",IF(COUNTIF(Campaigns!$A$7:$A$300,B295)&gt;0,"✓","⚠ add to Campaigns tab"))</f>
        <v/>
      </c>
      <c r="I295" s="84" t="str">
        <f aca="false">IF(C295="","",C295*IF(Settings!$B$25=Settings!$C$6,1,IF(Settings!$B$25="USD",1/INDEX(Settings!$B$29:$B$40,MONTH(A295)),INDEX(Settings!$B$29:$B$40,MONTH(A295)))))</f>
        <v/>
      </c>
    </row>
    <row r="296" customFormat="false" ht="15" hidden="false" customHeight="false" outlineLevel="0" collapsed="false">
      <c r="H296" s="0" t="str">
        <f aca="false">IF(B296="","",IF(COUNTIF(Campaigns!$A$7:$A$300,B296)&gt;0,"✓","⚠ add to Campaigns tab"))</f>
        <v/>
      </c>
      <c r="I296" s="84" t="str">
        <f aca="false">IF(C296="","",C296*IF(Settings!$B$25=Settings!$C$6,1,IF(Settings!$B$25="USD",1/INDEX(Settings!$B$29:$B$40,MONTH(A296)),INDEX(Settings!$B$29:$B$40,MONTH(A296)))))</f>
        <v/>
      </c>
    </row>
    <row r="297" customFormat="false" ht="15" hidden="false" customHeight="false" outlineLevel="0" collapsed="false">
      <c r="H297" s="0" t="str">
        <f aca="false">IF(B297="","",IF(COUNTIF(Campaigns!$A$7:$A$300,B297)&gt;0,"✓","⚠ add to Campaigns tab"))</f>
        <v/>
      </c>
      <c r="I297" s="84" t="str">
        <f aca="false">IF(C297="","",C297*IF(Settings!$B$25=Settings!$C$6,1,IF(Settings!$B$25="USD",1/INDEX(Settings!$B$29:$B$40,MONTH(A297)),INDEX(Settings!$B$29:$B$40,MONTH(A297)))))</f>
        <v/>
      </c>
    </row>
    <row r="298" customFormat="false" ht="15" hidden="false" customHeight="false" outlineLevel="0" collapsed="false">
      <c r="H298" s="0" t="str">
        <f aca="false">IF(B298="","",IF(COUNTIF(Campaigns!$A$7:$A$300,B298)&gt;0,"✓","⚠ add to Campaigns tab"))</f>
        <v/>
      </c>
      <c r="I298" s="84" t="str">
        <f aca="false">IF(C298="","",C298*IF(Settings!$B$25=Settings!$C$6,1,IF(Settings!$B$25="USD",1/INDEX(Settings!$B$29:$B$40,MONTH(A298)),INDEX(Settings!$B$29:$B$40,MONTH(A298)))))</f>
        <v/>
      </c>
    </row>
    <row r="299" customFormat="false" ht="15" hidden="false" customHeight="false" outlineLevel="0" collapsed="false">
      <c r="H299" s="0" t="str">
        <f aca="false">IF(B299="","",IF(COUNTIF(Campaigns!$A$7:$A$300,B299)&gt;0,"✓","⚠ add to Campaigns tab"))</f>
        <v/>
      </c>
      <c r="I299" s="84" t="str">
        <f aca="false">IF(C299="","",C299*IF(Settings!$B$25=Settings!$C$6,1,IF(Settings!$B$25="USD",1/INDEX(Settings!$B$29:$B$40,MONTH(A299)),INDEX(Settings!$B$29:$B$40,MONTH(A299)))))</f>
        <v/>
      </c>
    </row>
    <row r="300" customFormat="false" ht="15" hidden="false" customHeight="false" outlineLevel="0" collapsed="false">
      <c r="H300" s="0" t="str">
        <f aca="false">IF(B300="","",IF(COUNTIF(Campaigns!$A$7:$A$300,B300)&gt;0,"✓","⚠ add to Campaigns tab"))</f>
        <v/>
      </c>
      <c r="I300" s="84" t="str">
        <f aca="false">IF(C300="","",C300*IF(Settings!$B$25=Settings!$C$6,1,IF(Settings!$B$25="USD",1/INDEX(Settings!$B$29:$B$40,MONTH(A300)),INDEX(Settings!$B$29:$B$40,MONTH(A300)))))</f>
        <v/>
      </c>
    </row>
    <row r="301" customFormat="false" ht="15" hidden="false" customHeight="false" outlineLevel="0" collapsed="false">
      <c r="H301" s="0" t="str">
        <f aca="false">IF(B301="","",IF(COUNTIF(Campaigns!$A$7:$A$300,B301)&gt;0,"✓","⚠ add to Campaigns tab"))</f>
        <v/>
      </c>
      <c r="I301" s="84" t="str">
        <f aca="false">IF(C301="","",C301*IF(Settings!$B$25=Settings!$C$6,1,IF(Settings!$B$25="USD",1/INDEX(Settings!$B$29:$B$40,MONTH(A301)),INDEX(Settings!$B$29:$B$40,MONTH(A301)))))</f>
        <v/>
      </c>
    </row>
    <row r="302" customFormat="false" ht="15" hidden="false" customHeight="false" outlineLevel="0" collapsed="false">
      <c r="H302" s="0" t="str">
        <f aca="false">IF(B302="","",IF(COUNTIF(Campaigns!$A$7:$A$300,B302)&gt;0,"✓","⚠ add to Campaigns tab"))</f>
        <v/>
      </c>
      <c r="I302" s="84" t="str">
        <f aca="false">IF(C302="","",C302*IF(Settings!$B$25=Settings!$C$6,1,IF(Settings!$B$25="USD",1/INDEX(Settings!$B$29:$B$40,MONTH(A302)),INDEX(Settings!$B$29:$B$40,MONTH(A302)))))</f>
        <v/>
      </c>
    </row>
    <row r="303" customFormat="false" ht="15" hidden="false" customHeight="false" outlineLevel="0" collapsed="false">
      <c r="H303" s="0" t="str">
        <f aca="false">IF(B303="","",IF(COUNTIF(Campaigns!$A$7:$A$300,B303)&gt;0,"✓","⚠ add to Campaigns tab"))</f>
        <v/>
      </c>
      <c r="I303" s="84" t="str">
        <f aca="false">IF(C303="","",C303*IF(Settings!$B$25=Settings!$C$6,1,IF(Settings!$B$25="USD",1/INDEX(Settings!$B$29:$B$40,MONTH(A303)),INDEX(Settings!$B$29:$B$40,MONTH(A303)))))</f>
        <v/>
      </c>
    </row>
    <row r="304" customFormat="false" ht="15" hidden="false" customHeight="false" outlineLevel="0" collapsed="false">
      <c r="H304" s="0" t="str">
        <f aca="false">IF(B304="","",IF(COUNTIF(Campaigns!$A$7:$A$300,B304)&gt;0,"✓","⚠ add to Campaigns tab"))</f>
        <v/>
      </c>
      <c r="I304" s="84" t="str">
        <f aca="false">IF(C304="","",C304*IF(Settings!$B$25=Settings!$C$6,1,IF(Settings!$B$25="USD",1/INDEX(Settings!$B$29:$B$40,MONTH(A304)),INDEX(Settings!$B$29:$B$40,MONTH(A304)))))</f>
        <v/>
      </c>
    </row>
    <row r="305" customFormat="false" ht="15" hidden="false" customHeight="false" outlineLevel="0" collapsed="false">
      <c r="H305" s="0" t="str">
        <f aca="false">IF(B305="","",IF(COUNTIF(Campaigns!$A$7:$A$300,B305)&gt;0,"✓","⚠ add to Campaigns tab"))</f>
        <v/>
      </c>
      <c r="I305" s="84" t="str">
        <f aca="false">IF(C305="","",C305*IF(Settings!$B$25=Settings!$C$6,1,IF(Settings!$B$25="USD",1/INDEX(Settings!$B$29:$B$40,MONTH(A305)),INDEX(Settings!$B$29:$B$40,MONTH(A305)))))</f>
        <v/>
      </c>
    </row>
    <row r="306" customFormat="false" ht="15" hidden="false" customHeight="false" outlineLevel="0" collapsed="false">
      <c r="H306" s="0" t="str">
        <f aca="false">IF(B306="","",IF(COUNTIF(Campaigns!$A$7:$A$300,B306)&gt;0,"✓","⚠ add to Campaigns tab"))</f>
        <v/>
      </c>
      <c r="I306" s="84" t="str">
        <f aca="false">IF(C306="","",C306*IF(Settings!$B$25=Settings!$C$6,1,IF(Settings!$B$25="USD",1/INDEX(Settings!$B$29:$B$40,MONTH(A306)),INDEX(Settings!$B$29:$B$40,MONTH(A306)))))</f>
        <v/>
      </c>
    </row>
    <row r="307" customFormat="false" ht="15" hidden="false" customHeight="false" outlineLevel="0" collapsed="false">
      <c r="H307" s="0" t="str">
        <f aca="false">IF(B307="","",IF(COUNTIF(Campaigns!$A$7:$A$300,B307)&gt;0,"✓","⚠ add to Campaigns tab"))</f>
        <v/>
      </c>
      <c r="I307" s="84" t="str">
        <f aca="false">IF(C307="","",C307*IF(Settings!$B$25=Settings!$C$6,1,IF(Settings!$B$25="USD",1/INDEX(Settings!$B$29:$B$40,MONTH(A307)),INDEX(Settings!$B$29:$B$40,MONTH(A307)))))</f>
        <v/>
      </c>
    </row>
    <row r="308" customFormat="false" ht="15" hidden="false" customHeight="false" outlineLevel="0" collapsed="false">
      <c r="H308" s="0" t="str">
        <f aca="false">IF(B308="","",IF(COUNTIF(Campaigns!$A$7:$A$300,B308)&gt;0,"✓","⚠ add to Campaigns tab"))</f>
        <v/>
      </c>
      <c r="I308" s="84" t="str">
        <f aca="false">IF(C308="","",C308*IF(Settings!$B$25=Settings!$C$6,1,IF(Settings!$B$25="USD",1/INDEX(Settings!$B$29:$B$40,MONTH(A308)),INDEX(Settings!$B$29:$B$40,MONTH(A308)))))</f>
        <v/>
      </c>
    </row>
    <row r="309" customFormat="false" ht="15" hidden="false" customHeight="false" outlineLevel="0" collapsed="false">
      <c r="H309" s="0" t="str">
        <f aca="false">IF(B309="","",IF(COUNTIF(Campaigns!$A$7:$A$300,B309)&gt;0,"✓","⚠ add to Campaigns tab"))</f>
        <v/>
      </c>
      <c r="I309" s="84" t="str">
        <f aca="false">IF(C309="","",C309*IF(Settings!$B$25=Settings!$C$6,1,IF(Settings!$B$25="USD",1/INDEX(Settings!$B$29:$B$40,MONTH(A309)),INDEX(Settings!$B$29:$B$40,MONTH(A309)))))</f>
        <v/>
      </c>
    </row>
    <row r="310" customFormat="false" ht="15" hidden="false" customHeight="false" outlineLevel="0" collapsed="false">
      <c r="H310" s="0" t="str">
        <f aca="false">IF(B310="","",IF(COUNTIF(Campaigns!$A$7:$A$300,B310)&gt;0,"✓","⚠ add to Campaigns tab"))</f>
        <v/>
      </c>
      <c r="I310" s="84" t="str">
        <f aca="false">IF(C310="","",C310*IF(Settings!$B$25=Settings!$C$6,1,IF(Settings!$B$25="USD",1/INDEX(Settings!$B$29:$B$40,MONTH(A310)),INDEX(Settings!$B$29:$B$40,MONTH(A310)))))</f>
        <v/>
      </c>
    </row>
    <row r="311" customFormat="false" ht="15" hidden="false" customHeight="false" outlineLevel="0" collapsed="false">
      <c r="H311" s="0" t="str">
        <f aca="false">IF(B311="","",IF(COUNTIF(Campaigns!$A$7:$A$300,B311)&gt;0,"✓","⚠ add to Campaigns tab"))</f>
        <v/>
      </c>
      <c r="I311" s="84" t="str">
        <f aca="false">IF(C311="","",C311*IF(Settings!$B$25=Settings!$C$6,1,IF(Settings!$B$25="USD",1/INDEX(Settings!$B$29:$B$40,MONTH(A311)),INDEX(Settings!$B$29:$B$40,MONTH(A311)))))</f>
        <v/>
      </c>
    </row>
    <row r="312" customFormat="false" ht="15" hidden="false" customHeight="false" outlineLevel="0" collapsed="false">
      <c r="H312" s="0" t="str">
        <f aca="false">IF(B312="","",IF(COUNTIF(Campaigns!$A$7:$A$300,B312)&gt;0,"✓","⚠ add to Campaigns tab"))</f>
        <v/>
      </c>
      <c r="I312" s="84" t="str">
        <f aca="false">IF(C312="","",C312*IF(Settings!$B$25=Settings!$C$6,1,IF(Settings!$B$25="USD",1/INDEX(Settings!$B$29:$B$40,MONTH(A312)),INDEX(Settings!$B$29:$B$40,MONTH(A312)))))</f>
        <v/>
      </c>
    </row>
    <row r="313" customFormat="false" ht="15" hidden="false" customHeight="false" outlineLevel="0" collapsed="false">
      <c r="H313" s="0" t="str">
        <f aca="false">IF(B313="","",IF(COUNTIF(Campaigns!$A$7:$A$300,B313)&gt;0,"✓","⚠ add to Campaigns tab"))</f>
        <v/>
      </c>
      <c r="I313" s="84" t="str">
        <f aca="false">IF(C313="","",C313*IF(Settings!$B$25=Settings!$C$6,1,IF(Settings!$B$25="USD",1/INDEX(Settings!$B$29:$B$40,MONTH(A313)),INDEX(Settings!$B$29:$B$40,MONTH(A313)))))</f>
        <v/>
      </c>
    </row>
    <row r="314" customFormat="false" ht="15" hidden="false" customHeight="false" outlineLevel="0" collapsed="false">
      <c r="H314" s="0" t="str">
        <f aca="false">IF(B314="","",IF(COUNTIF(Campaigns!$A$7:$A$300,B314)&gt;0,"✓","⚠ add to Campaigns tab"))</f>
        <v/>
      </c>
      <c r="I314" s="84" t="str">
        <f aca="false">IF(C314="","",C314*IF(Settings!$B$25=Settings!$C$6,1,IF(Settings!$B$25="USD",1/INDEX(Settings!$B$29:$B$40,MONTH(A314)),INDEX(Settings!$B$29:$B$40,MONTH(A314)))))</f>
        <v/>
      </c>
    </row>
    <row r="315" customFormat="false" ht="15" hidden="false" customHeight="false" outlineLevel="0" collapsed="false">
      <c r="H315" s="0" t="str">
        <f aca="false">IF(B315="","",IF(COUNTIF(Campaigns!$A$7:$A$300,B315)&gt;0,"✓","⚠ add to Campaigns tab"))</f>
        <v/>
      </c>
      <c r="I315" s="84" t="str">
        <f aca="false">IF(C315="","",C315*IF(Settings!$B$25=Settings!$C$6,1,IF(Settings!$B$25="USD",1/INDEX(Settings!$B$29:$B$40,MONTH(A315)),INDEX(Settings!$B$29:$B$40,MONTH(A315)))))</f>
        <v/>
      </c>
    </row>
    <row r="316" customFormat="false" ht="15" hidden="false" customHeight="false" outlineLevel="0" collapsed="false">
      <c r="H316" s="0" t="str">
        <f aca="false">IF(B316="","",IF(COUNTIF(Campaigns!$A$7:$A$300,B316)&gt;0,"✓","⚠ add to Campaigns tab"))</f>
        <v/>
      </c>
      <c r="I316" s="84" t="str">
        <f aca="false">IF(C316="","",C316*IF(Settings!$B$25=Settings!$C$6,1,IF(Settings!$B$25="USD",1/INDEX(Settings!$B$29:$B$40,MONTH(A316)),INDEX(Settings!$B$29:$B$40,MONTH(A316)))))</f>
        <v/>
      </c>
    </row>
    <row r="317" customFormat="false" ht="15" hidden="false" customHeight="false" outlineLevel="0" collapsed="false">
      <c r="H317" s="0" t="str">
        <f aca="false">IF(B317="","",IF(COUNTIF(Campaigns!$A$7:$A$300,B317)&gt;0,"✓","⚠ add to Campaigns tab"))</f>
        <v/>
      </c>
      <c r="I317" s="84" t="str">
        <f aca="false">IF(C317="","",C317*IF(Settings!$B$25=Settings!$C$6,1,IF(Settings!$B$25="USD",1/INDEX(Settings!$B$29:$B$40,MONTH(A317)),INDEX(Settings!$B$29:$B$40,MONTH(A317)))))</f>
        <v/>
      </c>
    </row>
    <row r="318" customFormat="false" ht="15" hidden="false" customHeight="false" outlineLevel="0" collapsed="false">
      <c r="H318" s="0" t="str">
        <f aca="false">IF(B318="","",IF(COUNTIF(Campaigns!$A$7:$A$300,B318)&gt;0,"✓","⚠ add to Campaigns tab"))</f>
        <v/>
      </c>
      <c r="I318" s="84" t="str">
        <f aca="false">IF(C318="","",C318*IF(Settings!$B$25=Settings!$C$6,1,IF(Settings!$B$25="USD",1/INDEX(Settings!$B$29:$B$40,MONTH(A318)),INDEX(Settings!$B$29:$B$40,MONTH(A318)))))</f>
        <v/>
      </c>
    </row>
    <row r="319" customFormat="false" ht="15" hidden="false" customHeight="false" outlineLevel="0" collapsed="false">
      <c r="H319" s="0" t="str">
        <f aca="false">IF(B319="","",IF(COUNTIF(Campaigns!$A$7:$A$300,B319)&gt;0,"✓","⚠ add to Campaigns tab"))</f>
        <v/>
      </c>
      <c r="I319" s="84" t="str">
        <f aca="false">IF(C319="","",C319*IF(Settings!$B$25=Settings!$C$6,1,IF(Settings!$B$25="USD",1/INDEX(Settings!$B$29:$B$40,MONTH(A319)),INDEX(Settings!$B$29:$B$40,MONTH(A319)))))</f>
        <v/>
      </c>
    </row>
    <row r="320" customFormat="false" ht="15" hidden="false" customHeight="false" outlineLevel="0" collapsed="false">
      <c r="H320" s="0" t="str">
        <f aca="false">IF(B320="","",IF(COUNTIF(Campaigns!$A$7:$A$300,B320)&gt;0,"✓","⚠ add to Campaigns tab"))</f>
        <v/>
      </c>
      <c r="I320" s="84" t="str">
        <f aca="false">IF(C320="","",C320*IF(Settings!$B$25=Settings!$C$6,1,IF(Settings!$B$25="USD",1/INDEX(Settings!$B$29:$B$40,MONTH(A320)),INDEX(Settings!$B$29:$B$40,MONTH(A320)))))</f>
        <v/>
      </c>
    </row>
    <row r="321" customFormat="false" ht="15" hidden="false" customHeight="false" outlineLevel="0" collapsed="false">
      <c r="H321" s="0" t="str">
        <f aca="false">IF(B321="","",IF(COUNTIF(Campaigns!$A$7:$A$300,B321)&gt;0,"✓","⚠ add to Campaigns tab"))</f>
        <v/>
      </c>
      <c r="I321" s="84" t="str">
        <f aca="false">IF(C321="","",C321*IF(Settings!$B$25=Settings!$C$6,1,IF(Settings!$B$25="USD",1/INDEX(Settings!$B$29:$B$40,MONTH(A321)),INDEX(Settings!$B$29:$B$40,MONTH(A321)))))</f>
        <v/>
      </c>
    </row>
    <row r="322" customFormat="false" ht="15" hidden="false" customHeight="false" outlineLevel="0" collapsed="false">
      <c r="H322" s="0" t="str">
        <f aca="false">IF(B322="","",IF(COUNTIF(Campaigns!$A$7:$A$300,B322)&gt;0,"✓","⚠ add to Campaigns tab"))</f>
        <v/>
      </c>
      <c r="I322" s="84" t="str">
        <f aca="false">IF(C322="","",C322*IF(Settings!$B$25=Settings!$C$6,1,IF(Settings!$B$25="USD",1/INDEX(Settings!$B$29:$B$40,MONTH(A322)),INDEX(Settings!$B$29:$B$40,MONTH(A322)))))</f>
        <v/>
      </c>
    </row>
    <row r="323" customFormat="false" ht="15" hidden="false" customHeight="false" outlineLevel="0" collapsed="false">
      <c r="H323" s="0" t="str">
        <f aca="false">IF(B323="","",IF(COUNTIF(Campaigns!$A$7:$A$300,B323)&gt;0,"✓","⚠ add to Campaigns tab"))</f>
        <v/>
      </c>
      <c r="I323" s="84" t="str">
        <f aca="false">IF(C323="","",C323*IF(Settings!$B$25=Settings!$C$6,1,IF(Settings!$B$25="USD",1/INDEX(Settings!$B$29:$B$40,MONTH(A323)),INDEX(Settings!$B$29:$B$40,MONTH(A323)))))</f>
        <v/>
      </c>
    </row>
    <row r="324" customFormat="false" ht="15" hidden="false" customHeight="false" outlineLevel="0" collapsed="false">
      <c r="H324" s="0" t="str">
        <f aca="false">IF(B324="","",IF(COUNTIF(Campaigns!$A$7:$A$300,B324)&gt;0,"✓","⚠ add to Campaigns tab"))</f>
        <v/>
      </c>
      <c r="I324" s="84" t="str">
        <f aca="false">IF(C324="","",C324*IF(Settings!$B$25=Settings!$C$6,1,IF(Settings!$B$25="USD",1/INDEX(Settings!$B$29:$B$40,MONTH(A324)),INDEX(Settings!$B$29:$B$40,MONTH(A324)))))</f>
        <v/>
      </c>
    </row>
    <row r="325" customFormat="false" ht="15" hidden="false" customHeight="false" outlineLevel="0" collapsed="false">
      <c r="H325" s="0" t="str">
        <f aca="false">IF(B325="","",IF(COUNTIF(Campaigns!$A$7:$A$300,B325)&gt;0,"✓","⚠ add to Campaigns tab"))</f>
        <v/>
      </c>
      <c r="I325" s="84" t="str">
        <f aca="false">IF(C325="","",C325*IF(Settings!$B$25=Settings!$C$6,1,IF(Settings!$B$25="USD",1/INDEX(Settings!$B$29:$B$40,MONTH(A325)),INDEX(Settings!$B$29:$B$40,MONTH(A325)))))</f>
        <v/>
      </c>
    </row>
    <row r="326" customFormat="false" ht="15" hidden="false" customHeight="false" outlineLevel="0" collapsed="false">
      <c r="H326" s="0" t="str">
        <f aca="false">IF(B326="","",IF(COUNTIF(Campaigns!$A$7:$A$300,B326)&gt;0,"✓","⚠ add to Campaigns tab"))</f>
        <v/>
      </c>
      <c r="I326" s="84" t="str">
        <f aca="false">IF(C326="","",C326*IF(Settings!$B$25=Settings!$C$6,1,IF(Settings!$B$25="USD",1/INDEX(Settings!$B$29:$B$40,MONTH(A326)),INDEX(Settings!$B$29:$B$40,MONTH(A326)))))</f>
        <v/>
      </c>
    </row>
    <row r="327" customFormat="false" ht="15" hidden="false" customHeight="false" outlineLevel="0" collapsed="false">
      <c r="H327" s="0" t="str">
        <f aca="false">IF(B327="","",IF(COUNTIF(Campaigns!$A$7:$A$300,B327)&gt;0,"✓","⚠ add to Campaigns tab"))</f>
        <v/>
      </c>
      <c r="I327" s="84" t="str">
        <f aca="false">IF(C327="","",C327*IF(Settings!$B$25=Settings!$C$6,1,IF(Settings!$B$25="USD",1/INDEX(Settings!$B$29:$B$40,MONTH(A327)),INDEX(Settings!$B$29:$B$40,MONTH(A327)))))</f>
        <v/>
      </c>
    </row>
    <row r="328" customFormat="false" ht="15" hidden="false" customHeight="false" outlineLevel="0" collapsed="false">
      <c r="H328" s="0" t="str">
        <f aca="false">IF(B328="","",IF(COUNTIF(Campaigns!$A$7:$A$300,B328)&gt;0,"✓","⚠ add to Campaigns tab"))</f>
        <v/>
      </c>
      <c r="I328" s="84" t="str">
        <f aca="false">IF(C328="","",C328*IF(Settings!$B$25=Settings!$C$6,1,IF(Settings!$B$25="USD",1/INDEX(Settings!$B$29:$B$40,MONTH(A328)),INDEX(Settings!$B$29:$B$40,MONTH(A328)))))</f>
        <v/>
      </c>
    </row>
    <row r="329" customFormat="false" ht="15" hidden="false" customHeight="false" outlineLevel="0" collapsed="false">
      <c r="H329" s="0" t="str">
        <f aca="false">IF(B329="","",IF(COUNTIF(Campaigns!$A$7:$A$300,B329)&gt;0,"✓","⚠ add to Campaigns tab"))</f>
        <v/>
      </c>
      <c r="I329" s="84" t="str">
        <f aca="false">IF(C329="","",C329*IF(Settings!$B$25=Settings!$C$6,1,IF(Settings!$B$25="USD",1/INDEX(Settings!$B$29:$B$40,MONTH(A329)),INDEX(Settings!$B$29:$B$40,MONTH(A329)))))</f>
        <v/>
      </c>
    </row>
    <row r="330" customFormat="false" ht="15" hidden="false" customHeight="false" outlineLevel="0" collapsed="false">
      <c r="H330" s="0" t="str">
        <f aca="false">IF(B330="","",IF(COUNTIF(Campaigns!$A$7:$A$300,B330)&gt;0,"✓","⚠ add to Campaigns tab"))</f>
        <v/>
      </c>
      <c r="I330" s="84" t="str">
        <f aca="false">IF(C330="","",C330*IF(Settings!$B$25=Settings!$C$6,1,IF(Settings!$B$25="USD",1/INDEX(Settings!$B$29:$B$40,MONTH(A330)),INDEX(Settings!$B$29:$B$40,MONTH(A330)))))</f>
        <v/>
      </c>
    </row>
    <row r="331" customFormat="false" ht="15" hidden="false" customHeight="false" outlineLevel="0" collapsed="false">
      <c r="H331" s="0" t="str">
        <f aca="false">IF(B331="","",IF(COUNTIF(Campaigns!$A$7:$A$300,B331)&gt;0,"✓","⚠ add to Campaigns tab"))</f>
        <v/>
      </c>
      <c r="I331" s="84" t="str">
        <f aca="false">IF(C331="","",C331*IF(Settings!$B$25=Settings!$C$6,1,IF(Settings!$B$25="USD",1/INDEX(Settings!$B$29:$B$40,MONTH(A331)),INDEX(Settings!$B$29:$B$40,MONTH(A331)))))</f>
        <v/>
      </c>
    </row>
    <row r="332" customFormat="false" ht="15" hidden="false" customHeight="false" outlineLevel="0" collapsed="false">
      <c r="H332" s="0" t="str">
        <f aca="false">IF(B332="","",IF(COUNTIF(Campaigns!$A$7:$A$300,B332)&gt;0,"✓","⚠ add to Campaigns tab"))</f>
        <v/>
      </c>
      <c r="I332" s="84" t="str">
        <f aca="false">IF(C332="","",C332*IF(Settings!$B$25=Settings!$C$6,1,IF(Settings!$B$25="USD",1/INDEX(Settings!$B$29:$B$40,MONTH(A332)),INDEX(Settings!$B$29:$B$40,MONTH(A332)))))</f>
        <v/>
      </c>
    </row>
    <row r="333" customFormat="false" ht="15" hidden="false" customHeight="false" outlineLevel="0" collapsed="false">
      <c r="H333" s="0" t="str">
        <f aca="false">IF(B333="","",IF(COUNTIF(Campaigns!$A$7:$A$300,B333)&gt;0,"✓","⚠ add to Campaigns tab"))</f>
        <v/>
      </c>
      <c r="I333" s="84" t="str">
        <f aca="false">IF(C333="","",C333*IF(Settings!$B$25=Settings!$C$6,1,IF(Settings!$B$25="USD",1/INDEX(Settings!$B$29:$B$40,MONTH(A333)),INDEX(Settings!$B$29:$B$40,MONTH(A333)))))</f>
        <v/>
      </c>
    </row>
    <row r="334" customFormat="false" ht="15" hidden="false" customHeight="false" outlineLevel="0" collapsed="false">
      <c r="H334" s="0" t="str">
        <f aca="false">IF(B334="","",IF(COUNTIF(Campaigns!$A$7:$A$300,B334)&gt;0,"✓","⚠ add to Campaigns tab"))</f>
        <v/>
      </c>
      <c r="I334" s="84" t="str">
        <f aca="false">IF(C334="","",C334*IF(Settings!$B$25=Settings!$C$6,1,IF(Settings!$B$25="USD",1/INDEX(Settings!$B$29:$B$40,MONTH(A334)),INDEX(Settings!$B$29:$B$40,MONTH(A334)))))</f>
        <v/>
      </c>
    </row>
    <row r="335" customFormat="false" ht="15" hidden="false" customHeight="false" outlineLevel="0" collapsed="false">
      <c r="H335" s="0" t="str">
        <f aca="false">IF(B335="","",IF(COUNTIF(Campaigns!$A$7:$A$300,B335)&gt;0,"✓","⚠ add to Campaigns tab"))</f>
        <v/>
      </c>
      <c r="I335" s="84" t="str">
        <f aca="false">IF(C335="","",C335*IF(Settings!$B$25=Settings!$C$6,1,IF(Settings!$B$25="USD",1/INDEX(Settings!$B$29:$B$40,MONTH(A335)),INDEX(Settings!$B$29:$B$40,MONTH(A335)))))</f>
        <v/>
      </c>
    </row>
    <row r="336" customFormat="false" ht="15" hidden="false" customHeight="false" outlineLevel="0" collapsed="false">
      <c r="H336" s="0" t="str">
        <f aca="false">IF(B336="","",IF(COUNTIF(Campaigns!$A$7:$A$300,B336)&gt;0,"✓","⚠ add to Campaigns tab"))</f>
        <v/>
      </c>
      <c r="I336" s="84" t="str">
        <f aca="false">IF(C336="","",C336*IF(Settings!$B$25=Settings!$C$6,1,IF(Settings!$B$25="USD",1/INDEX(Settings!$B$29:$B$40,MONTH(A336)),INDEX(Settings!$B$29:$B$40,MONTH(A336)))))</f>
        <v/>
      </c>
    </row>
    <row r="337" customFormat="false" ht="15" hidden="false" customHeight="false" outlineLevel="0" collapsed="false">
      <c r="H337" s="0" t="str">
        <f aca="false">IF(B337="","",IF(COUNTIF(Campaigns!$A$7:$A$300,B337)&gt;0,"✓","⚠ add to Campaigns tab"))</f>
        <v/>
      </c>
      <c r="I337" s="84" t="str">
        <f aca="false">IF(C337="","",C337*IF(Settings!$B$25=Settings!$C$6,1,IF(Settings!$B$25="USD",1/INDEX(Settings!$B$29:$B$40,MONTH(A337)),INDEX(Settings!$B$29:$B$40,MONTH(A337)))))</f>
        <v/>
      </c>
    </row>
    <row r="338" customFormat="false" ht="15" hidden="false" customHeight="false" outlineLevel="0" collapsed="false">
      <c r="H338" s="0" t="str">
        <f aca="false">IF(B338="","",IF(COUNTIF(Campaigns!$A$7:$A$300,B338)&gt;0,"✓","⚠ add to Campaigns tab"))</f>
        <v/>
      </c>
      <c r="I338" s="84" t="str">
        <f aca="false">IF(C338="","",C338*IF(Settings!$B$25=Settings!$C$6,1,IF(Settings!$B$25="USD",1/INDEX(Settings!$B$29:$B$40,MONTH(A338)),INDEX(Settings!$B$29:$B$40,MONTH(A338)))))</f>
        <v/>
      </c>
    </row>
    <row r="339" customFormat="false" ht="15" hidden="false" customHeight="false" outlineLevel="0" collapsed="false">
      <c r="H339" s="0" t="str">
        <f aca="false">IF(B339="","",IF(COUNTIF(Campaigns!$A$7:$A$300,B339)&gt;0,"✓","⚠ add to Campaigns tab"))</f>
        <v/>
      </c>
      <c r="I339" s="84" t="str">
        <f aca="false">IF(C339="","",C339*IF(Settings!$B$25=Settings!$C$6,1,IF(Settings!$B$25="USD",1/INDEX(Settings!$B$29:$B$40,MONTH(A339)),INDEX(Settings!$B$29:$B$40,MONTH(A339)))))</f>
        <v/>
      </c>
    </row>
    <row r="340" customFormat="false" ht="15" hidden="false" customHeight="false" outlineLevel="0" collapsed="false">
      <c r="H340" s="0" t="str">
        <f aca="false">IF(B340="","",IF(COUNTIF(Campaigns!$A$7:$A$300,B340)&gt;0,"✓","⚠ add to Campaigns tab"))</f>
        <v/>
      </c>
      <c r="I340" s="84" t="str">
        <f aca="false">IF(C340="","",C340*IF(Settings!$B$25=Settings!$C$6,1,IF(Settings!$B$25="USD",1/INDEX(Settings!$B$29:$B$40,MONTH(A340)),INDEX(Settings!$B$29:$B$40,MONTH(A340)))))</f>
        <v/>
      </c>
    </row>
    <row r="341" customFormat="false" ht="15" hidden="false" customHeight="false" outlineLevel="0" collapsed="false">
      <c r="H341" s="0" t="str">
        <f aca="false">IF(B341="","",IF(COUNTIF(Campaigns!$A$7:$A$300,B341)&gt;0,"✓","⚠ add to Campaigns tab"))</f>
        <v/>
      </c>
      <c r="I341" s="84" t="str">
        <f aca="false">IF(C341="","",C341*IF(Settings!$B$25=Settings!$C$6,1,IF(Settings!$B$25="USD",1/INDEX(Settings!$B$29:$B$40,MONTH(A341)),INDEX(Settings!$B$29:$B$40,MONTH(A341)))))</f>
        <v/>
      </c>
    </row>
    <row r="342" customFormat="false" ht="15" hidden="false" customHeight="false" outlineLevel="0" collapsed="false">
      <c r="H342" s="0" t="str">
        <f aca="false">IF(B342="","",IF(COUNTIF(Campaigns!$A$7:$A$300,B342)&gt;0,"✓","⚠ add to Campaigns tab"))</f>
        <v/>
      </c>
      <c r="I342" s="84" t="str">
        <f aca="false">IF(C342="","",C342*IF(Settings!$B$25=Settings!$C$6,1,IF(Settings!$B$25="USD",1/INDEX(Settings!$B$29:$B$40,MONTH(A342)),INDEX(Settings!$B$29:$B$40,MONTH(A342)))))</f>
        <v/>
      </c>
    </row>
    <row r="343" customFormat="false" ht="15" hidden="false" customHeight="false" outlineLevel="0" collapsed="false">
      <c r="H343" s="0" t="str">
        <f aca="false">IF(B343="","",IF(COUNTIF(Campaigns!$A$7:$A$300,B343)&gt;0,"✓","⚠ add to Campaigns tab"))</f>
        <v/>
      </c>
      <c r="I343" s="84" t="str">
        <f aca="false">IF(C343="","",C343*IF(Settings!$B$25=Settings!$C$6,1,IF(Settings!$B$25="USD",1/INDEX(Settings!$B$29:$B$40,MONTH(A343)),INDEX(Settings!$B$29:$B$40,MONTH(A343)))))</f>
        <v/>
      </c>
    </row>
    <row r="344" customFormat="false" ht="15" hidden="false" customHeight="false" outlineLevel="0" collapsed="false">
      <c r="H344" s="0" t="str">
        <f aca="false">IF(B344="","",IF(COUNTIF(Campaigns!$A$7:$A$300,B344)&gt;0,"✓","⚠ add to Campaigns tab"))</f>
        <v/>
      </c>
      <c r="I344" s="84" t="str">
        <f aca="false">IF(C344="","",C344*IF(Settings!$B$25=Settings!$C$6,1,IF(Settings!$B$25="USD",1/INDEX(Settings!$B$29:$B$40,MONTH(A344)),INDEX(Settings!$B$29:$B$40,MONTH(A344)))))</f>
        <v/>
      </c>
    </row>
    <row r="345" customFormat="false" ht="15" hidden="false" customHeight="false" outlineLevel="0" collapsed="false">
      <c r="H345" s="0" t="str">
        <f aca="false">IF(B345="","",IF(COUNTIF(Campaigns!$A$7:$A$300,B345)&gt;0,"✓","⚠ add to Campaigns tab"))</f>
        <v/>
      </c>
      <c r="I345" s="84" t="str">
        <f aca="false">IF(C345="","",C345*IF(Settings!$B$25=Settings!$C$6,1,IF(Settings!$B$25="USD",1/INDEX(Settings!$B$29:$B$40,MONTH(A345)),INDEX(Settings!$B$29:$B$40,MONTH(A345)))))</f>
        <v/>
      </c>
    </row>
    <row r="346" customFormat="false" ht="15" hidden="false" customHeight="false" outlineLevel="0" collapsed="false">
      <c r="H346" s="0" t="str">
        <f aca="false">IF(B346="","",IF(COUNTIF(Campaigns!$A$7:$A$300,B346)&gt;0,"✓","⚠ add to Campaigns tab"))</f>
        <v/>
      </c>
      <c r="I346" s="84" t="str">
        <f aca="false">IF(C346="","",C346*IF(Settings!$B$25=Settings!$C$6,1,IF(Settings!$B$25="USD",1/INDEX(Settings!$B$29:$B$40,MONTH(A346)),INDEX(Settings!$B$29:$B$40,MONTH(A346)))))</f>
        <v/>
      </c>
    </row>
    <row r="347" customFormat="false" ht="15" hidden="false" customHeight="false" outlineLevel="0" collapsed="false">
      <c r="H347" s="0" t="str">
        <f aca="false">IF(B347="","",IF(COUNTIF(Campaigns!$A$7:$A$300,B347)&gt;0,"✓","⚠ add to Campaigns tab"))</f>
        <v/>
      </c>
      <c r="I347" s="84" t="str">
        <f aca="false">IF(C347="","",C347*IF(Settings!$B$25=Settings!$C$6,1,IF(Settings!$B$25="USD",1/INDEX(Settings!$B$29:$B$40,MONTH(A347)),INDEX(Settings!$B$29:$B$40,MONTH(A347)))))</f>
        <v/>
      </c>
    </row>
    <row r="348" customFormat="false" ht="15" hidden="false" customHeight="false" outlineLevel="0" collapsed="false">
      <c r="H348" s="0" t="str">
        <f aca="false">IF(B348="","",IF(COUNTIF(Campaigns!$A$7:$A$300,B348)&gt;0,"✓","⚠ add to Campaigns tab"))</f>
        <v/>
      </c>
      <c r="I348" s="84" t="str">
        <f aca="false">IF(C348="","",C348*IF(Settings!$B$25=Settings!$C$6,1,IF(Settings!$B$25="USD",1/INDEX(Settings!$B$29:$B$40,MONTH(A348)),INDEX(Settings!$B$29:$B$40,MONTH(A348)))))</f>
        <v/>
      </c>
    </row>
    <row r="349" customFormat="false" ht="15" hidden="false" customHeight="false" outlineLevel="0" collapsed="false">
      <c r="H349" s="0" t="str">
        <f aca="false">IF(B349="","",IF(COUNTIF(Campaigns!$A$7:$A$300,B349)&gt;0,"✓","⚠ add to Campaigns tab"))</f>
        <v/>
      </c>
      <c r="I349" s="84" t="str">
        <f aca="false">IF(C349="","",C349*IF(Settings!$B$25=Settings!$C$6,1,IF(Settings!$B$25="USD",1/INDEX(Settings!$B$29:$B$40,MONTH(A349)),INDEX(Settings!$B$29:$B$40,MONTH(A349)))))</f>
        <v/>
      </c>
    </row>
    <row r="350" customFormat="false" ht="15" hidden="false" customHeight="false" outlineLevel="0" collapsed="false">
      <c r="H350" s="0" t="str">
        <f aca="false">IF(B350="","",IF(COUNTIF(Campaigns!$A$7:$A$300,B350)&gt;0,"✓","⚠ add to Campaigns tab"))</f>
        <v/>
      </c>
      <c r="I350" s="84" t="str">
        <f aca="false">IF(C350="","",C350*IF(Settings!$B$25=Settings!$C$6,1,IF(Settings!$B$25="USD",1/INDEX(Settings!$B$29:$B$40,MONTH(A350)),INDEX(Settings!$B$29:$B$40,MONTH(A350)))))</f>
        <v/>
      </c>
    </row>
    <row r="351" customFormat="false" ht="15" hidden="false" customHeight="false" outlineLevel="0" collapsed="false">
      <c r="H351" s="0" t="str">
        <f aca="false">IF(B351="","",IF(COUNTIF(Campaigns!$A$7:$A$300,B351)&gt;0,"✓","⚠ add to Campaigns tab"))</f>
        <v/>
      </c>
      <c r="I351" s="84" t="str">
        <f aca="false">IF(C351="","",C351*IF(Settings!$B$25=Settings!$C$6,1,IF(Settings!$B$25="USD",1/INDEX(Settings!$B$29:$B$40,MONTH(A351)),INDEX(Settings!$B$29:$B$40,MONTH(A351)))))</f>
        <v/>
      </c>
    </row>
    <row r="352" customFormat="false" ht="15" hidden="false" customHeight="false" outlineLevel="0" collapsed="false">
      <c r="H352" s="0" t="str">
        <f aca="false">IF(B352="","",IF(COUNTIF(Campaigns!$A$7:$A$300,B352)&gt;0,"✓","⚠ add to Campaigns tab"))</f>
        <v/>
      </c>
      <c r="I352" s="84" t="str">
        <f aca="false">IF(C352="","",C352*IF(Settings!$B$25=Settings!$C$6,1,IF(Settings!$B$25="USD",1/INDEX(Settings!$B$29:$B$40,MONTH(A352)),INDEX(Settings!$B$29:$B$40,MONTH(A352)))))</f>
        <v/>
      </c>
    </row>
    <row r="353" customFormat="false" ht="15" hidden="false" customHeight="false" outlineLevel="0" collapsed="false">
      <c r="H353" s="0" t="str">
        <f aca="false">IF(B353="","",IF(COUNTIF(Campaigns!$A$7:$A$300,B353)&gt;0,"✓","⚠ add to Campaigns tab"))</f>
        <v/>
      </c>
      <c r="I353" s="84" t="str">
        <f aca="false">IF(C353="","",C353*IF(Settings!$B$25=Settings!$C$6,1,IF(Settings!$B$25="USD",1/INDEX(Settings!$B$29:$B$40,MONTH(A353)),INDEX(Settings!$B$29:$B$40,MONTH(A353)))))</f>
        <v/>
      </c>
    </row>
    <row r="354" customFormat="false" ht="15" hidden="false" customHeight="false" outlineLevel="0" collapsed="false">
      <c r="H354" s="0" t="str">
        <f aca="false">IF(B354="","",IF(COUNTIF(Campaigns!$A$7:$A$300,B354)&gt;0,"✓","⚠ add to Campaigns tab"))</f>
        <v/>
      </c>
      <c r="I354" s="84" t="str">
        <f aca="false">IF(C354="","",C354*IF(Settings!$B$25=Settings!$C$6,1,IF(Settings!$B$25="USD",1/INDEX(Settings!$B$29:$B$40,MONTH(A354)),INDEX(Settings!$B$29:$B$40,MONTH(A354)))))</f>
        <v/>
      </c>
    </row>
    <row r="355" customFormat="false" ht="15" hidden="false" customHeight="false" outlineLevel="0" collapsed="false">
      <c r="H355" s="0" t="str">
        <f aca="false">IF(B355="","",IF(COUNTIF(Campaigns!$A$7:$A$300,B355)&gt;0,"✓","⚠ add to Campaigns tab"))</f>
        <v/>
      </c>
      <c r="I355" s="84" t="str">
        <f aca="false">IF(C355="","",C355*IF(Settings!$B$25=Settings!$C$6,1,IF(Settings!$B$25="USD",1/INDEX(Settings!$B$29:$B$40,MONTH(A355)),INDEX(Settings!$B$29:$B$40,MONTH(A355)))))</f>
        <v/>
      </c>
    </row>
    <row r="356" customFormat="false" ht="15" hidden="false" customHeight="false" outlineLevel="0" collapsed="false">
      <c r="H356" s="0" t="str">
        <f aca="false">IF(B356="","",IF(COUNTIF(Campaigns!$A$7:$A$300,B356)&gt;0,"✓","⚠ add to Campaigns tab"))</f>
        <v/>
      </c>
      <c r="I356" s="84" t="str">
        <f aca="false">IF(C356="","",C356*IF(Settings!$B$25=Settings!$C$6,1,IF(Settings!$B$25="USD",1/INDEX(Settings!$B$29:$B$40,MONTH(A356)),INDEX(Settings!$B$29:$B$40,MONTH(A356)))))</f>
        <v/>
      </c>
    </row>
    <row r="357" customFormat="false" ht="15" hidden="false" customHeight="false" outlineLevel="0" collapsed="false">
      <c r="H357" s="0" t="str">
        <f aca="false">IF(B357="","",IF(COUNTIF(Campaigns!$A$7:$A$300,B357)&gt;0,"✓","⚠ add to Campaigns tab"))</f>
        <v/>
      </c>
      <c r="I357" s="84" t="str">
        <f aca="false">IF(C357="","",C357*IF(Settings!$B$25=Settings!$C$6,1,IF(Settings!$B$25="USD",1/INDEX(Settings!$B$29:$B$40,MONTH(A357)),INDEX(Settings!$B$29:$B$40,MONTH(A357)))))</f>
        <v/>
      </c>
    </row>
    <row r="358" customFormat="false" ht="15" hidden="false" customHeight="false" outlineLevel="0" collapsed="false">
      <c r="H358" s="0" t="str">
        <f aca="false">IF(B358="","",IF(COUNTIF(Campaigns!$A$7:$A$300,B358)&gt;0,"✓","⚠ add to Campaigns tab"))</f>
        <v/>
      </c>
      <c r="I358" s="84" t="str">
        <f aca="false">IF(C358="","",C358*IF(Settings!$B$25=Settings!$C$6,1,IF(Settings!$B$25="USD",1/INDEX(Settings!$B$29:$B$40,MONTH(A358)),INDEX(Settings!$B$29:$B$40,MONTH(A358)))))</f>
        <v/>
      </c>
    </row>
    <row r="359" customFormat="false" ht="15" hidden="false" customHeight="false" outlineLevel="0" collapsed="false">
      <c r="H359" s="0" t="str">
        <f aca="false">IF(B359="","",IF(COUNTIF(Campaigns!$A$7:$A$300,B359)&gt;0,"✓","⚠ add to Campaigns tab"))</f>
        <v/>
      </c>
      <c r="I359" s="84" t="str">
        <f aca="false">IF(C359="","",C359*IF(Settings!$B$25=Settings!$C$6,1,IF(Settings!$B$25="USD",1/INDEX(Settings!$B$29:$B$40,MONTH(A359)),INDEX(Settings!$B$29:$B$40,MONTH(A359)))))</f>
        <v/>
      </c>
    </row>
    <row r="360" customFormat="false" ht="15" hidden="false" customHeight="false" outlineLevel="0" collapsed="false">
      <c r="H360" s="0" t="str">
        <f aca="false">IF(B360="","",IF(COUNTIF(Campaigns!$A$7:$A$300,B360)&gt;0,"✓","⚠ add to Campaigns tab"))</f>
        <v/>
      </c>
      <c r="I360" s="84" t="str">
        <f aca="false">IF(C360="","",C360*IF(Settings!$B$25=Settings!$C$6,1,IF(Settings!$B$25="USD",1/INDEX(Settings!$B$29:$B$40,MONTH(A360)),INDEX(Settings!$B$29:$B$40,MONTH(A360)))))</f>
        <v/>
      </c>
    </row>
    <row r="361" customFormat="false" ht="15" hidden="false" customHeight="false" outlineLevel="0" collapsed="false">
      <c r="H361" s="0" t="str">
        <f aca="false">IF(B361="","",IF(COUNTIF(Campaigns!$A$7:$A$300,B361)&gt;0,"✓","⚠ add to Campaigns tab"))</f>
        <v/>
      </c>
      <c r="I361" s="84" t="str">
        <f aca="false">IF(C361="","",C361*IF(Settings!$B$25=Settings!$C$6,1,IF(Settings!$B$25="USD",1/INDEX(Settings!$B$29:$B$40,MONTH(A361)),INDEX(Settings!$B$29:$B$40,MONTH(A361)))))</f>
        <v/>
      </c>
    </row>
    <row r="362" customFormat="false" ht="15" hidden="false" customHeight="false" outlineLevel="0" collapsed="false">
      <c r="H362" s="0" t="str">
        <f aca="false">IF(B362="","",IF(COUNTIF(Campaigns!$A$7:$A$300,B362)&gt;0,"✓","⚠ add to Campaigns tab"))</f>
        <v/>
      </c>
      <c r="I362" s="84" t="str">
        <f aca="false">IF(C362="","",C362*IF(Settings!$B$25=Settings!$C$6,1,IF(Settings!$B$25="USD",1/INDEX(Settings!$B$29:$B$40,MONTH(A362)),INDEX(Settings!$B$29:$B$40,MONTH(A362)))))</f>
        <v/>
      </c>
    </row>
    <row r="363" customFormat="false" ht="15" hidden="false" customHeight="false" outlineLevel="0" collapsed="false">
      <c r="H363" s="0" t="str">
        <f aca="false">IF(B363="","",IF(COUNTIF(Campaigns!$A$7:$A$300,B363)&gt;0,"✓","⚠ add to Campaigns tab"))</f>
        <v/>
      </c>
      <c r="I363" s="84" t="str">
        <f aca="false">IF(C363="","",C363*IF(Settings!$B$25=Settings!$C$6,1,IF(Settings!$B$25="USD",1/INDEX(Settings!$B$29:$B$40,MONTH(A363)),INDEX(Settings!$B$29:$B$40,MONTH(A363)))))</f>
        <v/>
      </c>
    </row>
    <row r="364" customFormat="false" ht="15" hidden="false" customHeight="false" outlineLevel="0" collapsed="false">
      <c r="H364" s="0" t="str">
        <f aca="false">IF(B364="","",IF(COUNTIF(Campaigns!$A$7:$A$300,B364)&gt;0,"✓","⚠ add to Campaigns tab"))</f>
        <v/>
      </c>
      <c r="I364" s="84" t="str">
        <f aca="false">IF(C364="","",C364*IF(Settings!$B$25=Settings!$C$6,1,IF(Settings!$B$25="USD",1/INDEX(Settings!$B$29:$B$40,MONTH(A364)),INDEX(Settings!$B$29:$B$40,MONTH(A364)))))</f>
        <v/>
      </c>
    </row>
    <row r="365" customFormat="false" ht="15" hidden="false" customHeight="false" outlineLevel="0" collapsed="false">
      <c r="H365" s="0" t="str">
        <f aca="false">IF(B365="","",IF(COUNTIF(Campaigns!$A$7:$A$300,B365)&gt;0,"✓","⚠ add to Campaigns tab"))</f>
        <v/>
      </c>
      <c r="I365" s="84" t="str">
        <f aca="false">IF(C365="","",C365*IF(Settings!$B$25=Settings!$C$6,1,IF(Settings!$B$25="USD",1/INDEX(Settings!$B$29:$B$40,MONTH(A365)),INDEX(Settings!$B$29:$B$40,MONTH(A365)))))</f>
        <v/>
      </c>
    </row>
    <row r="366" customFormat="false" ht="15" hidden="false" customHeight="false" outlineLevel="0" collapsed="false">
      <c r="H366" s="0" t="str">
        <f aca="false">IF(B366="","",IF(COUNTIF(Campaigns!$A$7:$A$300,B366)&gt;0,"✓","⚠ add to Campaigns tab"))</f>
        <v/>
      </c>
      <c r="I366" s="84" t="str">
        <f aca="false">IF(C366="","",C366*IF(Settings!$B$25=Settings!$C$6,1,IF(Settings!$B$25="USD",1/INDEX(Settings!$B$29:$B$40,MONTH(A366)),INDEX(Settings!$B$29:$B$40,MONTH(A366)))))</f>
        <v/>
      </c>
    </row>
    <row r="367" customFormat="false" ht="15" hidden="false" customHeight="false" outlineLevel="0" collapsed="false">
      <c r="H367" s="0" t="str">
        <f aca="false">IF(B367="","",IF(COUNTIF(Campaigns!$A$7:$A$300,B367)&gt;0,"✓","⚠ add to Campaigns tab"))</f>
        <v/>
      </c>
      <c r="I367" s="84" t="str">
        <f aca="false">IF(C367="","",C367*IF(Settings!$B$25=Settings!$C$6,1,IF(Settings!$B$25="USD",1/INDEX(Settings!$B$29:$B$40,MONTH(A367)),INDEX(Settings!$B$29:$B$40,MONTH(A367)))))</f>
        <v/>
      </c>
    </row>
    <row r="368" customFormat="false" ht="15" hidden="false" customHeight="false" outlineLevel="0" collapsed="false">
      <c r="H368" s="0" t="str">
        <f aca="false">IF(B368="","",IF(COUNTIF(Campaigns!$A$7:$A$300,B368)&gt;0,"✓","⚠ add to Campaigns tab"))</f>
        <v/>
      </c>
      <c r="I368" s="84" t="str">
        <f aca="false">IF(C368="","",C368*IF(Settings!$B$25=Settings!$C$6,1,IF(Settings!$B$25="USD",1/INDEX(Settings!$B$29:$B$40,MONTH(A368)),INDEX(Settings!$B$29:$B$40,MONTH(A368)))))</f>
        <v/>
      </c>
    </row>
    <row r="369" customFormat="false" ht="15" hidden="false" customHeight="false" outlineLevel="0" collapsed="false">
      <c r="H369" s="0" t="str">
        <f aca="false">IF(B369="","",IF(COUNTIF(Campaigns!$A$7:$A$300,B369)&gt;0,"✓","⚠ add to Campaigns tab"))</f>
        <v/>
      </c>
      <c r="I369" s="84" t="str">
        <f aca="false">IF(C369="","",C369*IF(Settings!$B$25=Settings!$C$6,1,IF(Settings!$B$25="USD",1/INDEX(Settings!$B$29:$B$40,MONTH(A369)),INDEX(Settings!$B$29:$B$40,MONTH(A369)))))</f>
        <v/>
      </c>
    </row>
    <row r="370" customFormat="false" ht="15" hidden="false" customHeight="false" outlineLevel="0" collapsed="false">
      <c r="H370" s="0" t="str">
        <f aca="false">IF(B370="","",IF(COUNTIF(Campaigns!$A$7:$A$300,B370)&gt;0,"✓","⚠ add to Campaigns tab"))</f>
        <v/>
      </c>
      <c r="I370" s="84" t="str">
        <f aca="false">IF(C370="","",C370*IF(Settings!$B$25=Settings!$C$6,1,IF(Settings!$B$25="USD",1/INDEX(Settings!$B$29:$B$40,MONTH(A370)),INDEX(Settings!$B$29:$B$40,MONTH(A370)))))</f>
        <v/>
      </c>
    </row>
    <row r="371" customFormat="false" ht="15" hidden="false" customHeight="false" outlineLevel="0" collapsed="false">
      <c r="H371" s="0" t="str">
        <f aca="false">IF(B371="","",IF(COUNTIF(Campaigns!$A$7:$A$300,B371)&gt;0,"✓","⚠ add to Campaigns tab"))</f>
        <v/>
      </c>
      <c r="I371" s="84" t="str">
        <f aca="false">IF(C371="","",C371*IF(Settings!$B$25=Settings!$C$6,1,IF(Settings!$B$25="USD",1/INDEX(Settings!$B$29:$B$40,MONTH(A371)),INDEX(Settings!$B$29:$B$40,MONTH(A371)))))</f>
        <v/>
      </c>
    </row>
    <row r="372" customFormat="false" ht="15" hidden="false" customHeight="false" outlineLevel="0" collapsed="false">
      <c r="H372" s="0" t="str">
        <f aca="false">IF(B372="","",IF(COUNTIF(Campaigns!$A$7:$A$300,B372)&gt;0,"✓","⚠ add to Campaigns tab"))</f>
        <v/>
      </c>
      <c r="I372" s="84" t="str">
        <f aca="false">IF(C372="","",C372*IF(Settings!$B$25=Settings!$C$6,1,IF(Settings!$B$25="USD",1/INDEX(Settings!$B$29:$B$40,MONTH(A372)),INDEX(Settings!$B$29:$B$40,MONTH(A372)))))</f>
        <v/>
      </c>
    </row>
    <row r="373" customFormat="false" ht="15" hidden="false" customHeight="false" outlineLevel="0" collapsed="false">
      <c r="H373" s="0" t="str">
        <f aca="false">IF(B373="","",IF(COUNTIF(Campaigns!$A$7:$A$300,B373)&gt;0,"✓","⚠ add to Campaigns tab"))</f>
        <v/>
      </c>
      <c r="I373" s="84" t="str">
        <f aca="false">IF(C373="","",C373*IF(Settings!$B$25=Settings!$C$6,1,IF(Settings!$B$25="USD",1/INDEX(Settings!$B$29:$B$40,MONTH(A373)),INDEX(Settings!$B$29:$B$40,MONTH(A373)))))</f>
        <v/>
      </c>
    </row>
    <row r="374" customFormat="false" ht="15" hidden="false" customHeight="false" outlineLevel="0" collapsed="false">
      <c r="H374" s="0" t="str">
        <f aca="false">IF(B374="","",IF(COUNTIF(Campaigns!$A$7:$A$300,B374)&gt;0,"✓","⚠ add to Campaigns tab"))</f>
        <v/>
      </c>
      <c r="I374" s="84" t="str">
        <f aca="false">IF(C374="","",C374*IF(Settings!$B$25=Settings!$C$6,1,IF(Settings!$B$25="USD",1/INDEX(Settings!$B$29:$B$40,MONTH(A374)),INDEX(Settings!$B$29:$B$40,MONTH(A374)))))</f>
        <v/>
      </c>
    </row>
    <row r="375" customFormat="false" ht="15" hidden="false" customHeight="false" outlineLevel="0" collapsed="false">
      <c r="H375" s="0" t="str">
        <f aca="false">IF(B375="","",IF(COUNTIF(Campaigns!$A$7:$A$300,B375)&gt;0,"✓","⚠ add to Campaigns tab"))</f>
        <v/>
      </c>
      <c r="I375" s="84" t="str">
        <f aca="false">IF(C375="","",C375*IF(Settings!$B$25=Settings!$C$6,1,IF(Settings!$B$25="USD",1/INDEX(Settings!$B$29:$B$40,MONTH(A375)),INDEX(Settings!$B$29:$B$40,MONTH(A375)))))</f>
        <v/>
      </c>
    </row>
    <row r="376" customFormat="false" ht="15" hidden="false" customHeight="false" outlineLevel="0" collapsed="false">
      <c r="H376" s="0" t="str">
        <f aca="false">IF(B376="","",IF(COUNTIF(Campaigns!$A$7:$A$300,B376)&gt;0,"✓","⚠ add to Campaigns tab"))</f>
        <v/>
      </c>
      <c r="I376" s="84" t="str">
        <f aca="false">IF(C376="","",C376*IF(Settings!$B$25=Settings!$C$6,1,IF(Settings!$B$25="USD",1/INDEX(Settings!$B$29:$B$40,MONTH(A376)),INDEX(Settings!$B$29:$B$40,MONTH(A376)))))</f>
        <v/>
      </c>
    </row>
    <row r="377" customFormat="false" ht="15" hidden="false" customHeight="false" outlineLevel="0" collapsed="false">
      <c r="H377" s="0" t="str">
        <f aca="false">IF(B377="","",IF(COUNTIF(Campaigns!$A$7:$A$300,B377)&gt;0,"✓","⚠ add to Campaigns tab"))</f>
        <v/>
      </c>
      <c r="I377" s="84" t="str">
        <f aca="false">IF(C377="","",C377*IF(Settings!$B$25=Settings!$C$6,1,IF(Settings!$B$25="USD",1/INDEX(Settings!$B$29:$B$40,MONTH(A377)),INDEX(Settings!$B$29:$B$40,MONTH(A377)))))</f>
        <v/>
      </c>
    </row>
    <row r="378" customFormat="false" ht="15" hidden="false" customHeight="false" outlineLevel="0" collapsed="false">
      <c r="H378" s="0" t="str">
        <f aca="false">IF(B378="","",IF(COUNTIF(Campaigns!$A$7:$A$300,B378)&gt;0,"✓","⚠ add to Campaigns tab"))</f>
        <v/>
      </c>
      <c r="I378" s="84" t="str">
        <f aca="false">IF(C378="","",C378*IF(Settings!$B$25=Settings!$C$6,1,IF(Settings!$B$25="USD",1/INDEX(Settings!$B$29:$B$40,MONTH(A378)),INDEX(Settings!$B$29:$B$40,MONTH(A378)))))</f>
        <v/>
      </c>
    </row>
    <row r="379" customFormat="false" ht="15" hidden="false" customHeight="false" outlineLevel="0" collapsed="false">
      <c r="H379" s="0" t="str">
        <f aca="false">IF(B379="","",IF(COUNTIF(Campaigns!$A$7:$A$300,B379)&gt;0,"✓","⚠ add to Campaigns tab"))</f>
        <v/>
      </c>
      <c r="I379" s="84" t="str">
        <f aca="false">IF(C379="","",C379*IF(Settings!$B$25=Settings!$C$6,1,IF(Settings!$B$25="USD",1/INDEX(Settings!$B$29:$B$40,MONTH(A379)),INDEX(Settings!$B$29:$B$40,MONTH(A379)))))</f>
        <v/>
      </c>
    </row>
    <row r="380" customFormat="false" ht="15" hidden="false" customHeight="false" outlineLevel="0" collapsed="false">
      <c r="H380" s="0" t="str">
        <f aca="false">IF(B380="","",IF(COUNTIF(Campaigns!$A$7:$A$300,B380)&gt;0,"✓","⚠ add to Campaigns tab"))</f>
        <v/>
      </c>
      <c r="I380" s="84" t="str">
        <f aca="false">IF(C380="","",C380*IF(Settings!$B$25=Settings!$C$6,1,IF(Settings!$B$25="USD",1/INDEX(Settings!$B$29:$B$40,MONTH(A380)),INDEX(Settings!$B$29:$B$40,MONTH(A380)))))</f>
        <v/>
      </c>
    </row>
    <row r="381" customFormat="false" ht="15" hidden="false" customHeight="false" outlineLevel="0" collapsed="false">
      <c r="H381" s="0" t="str">
        <f aca="false">IF(B381="","",IF(COUNTIF(Campaigns!$A$7:$A$300,B381)&gt;0,"✓","⚠ add to Campaigns tab"))</f>
        <v/>
      </c>
      <c r="I381" s="84" t="str">
        <f aca="false">IF(C381="","",C381*IF(Settings!$B$25=Settings!$C$6,1,IF(Settings!$B$25="USD",1/INDEX(Settings!$B$29:$B$40,MONTH(A381)),INDEX(Settings!$B$29:$B$40,MONTH(A381)))))</f>
        <v/>
      </c>
    </row>
    <row r="382" customFormat="false" ht="15" hidden="false" customHeight="false" outlineLevel="0" collapsed="false">
      <c r="H382" s="0" t="str">
        <f aca="false">IF(B382="","",IF(COUNTIF(Campaigns!$A$7:$A$300,B382)&gt;0,"✓","⚠ add to Campaigns tab"))</f>
        <v/>
      </c>
      <c r="I382" s="84" t="str">
        <f aca="false">IF(C382="","",C382*IF(Settings!$B$25=Settings!$C$6,1,IF(Settings!$B$25="USD",1/INDEX(Settings!$B$29:$B$40,MONTH(A382)),INDEX(Settings!$B$29:$B$40,MONTH(A382)))))</f>
        <v/>
      </c>
    </row>
    <row r="383" customFormat="false" ht="15" hidden="false" customHeight="false" outlineLevel="0" collapsed="false">
      <c r="H383" s="0" t="str">
        <f aca="false">IF(B383="","",IF(COUNTIF(Campaigns!$A$7:$A$300,B383)&gt;0,"✓","⚠ add to Campaigns tab"))</f>
        <v/>
      </c>
      <c r="I383" s="84" t="str">
        <f aca="false">IF(C383="","",C383*IF(Settings!$B$25=Settings!$C$6,1,IF(Settings!$B$25="USD",1/INDEX(Settings!$B$29:$B$40,MONTH(A383)),INDEX(Settings!$B$29:$B$40,MONTH(A383)))))</f>
        <v/>
      </c>
    </row>
    <row r="384" customFormat="false" ht="15" hidden="false" customHeight="false" outlineLevel="0" collapsed="false">
      <c r="H384" s="0" t="str">
        <f aca="false">IF(B384="","",IF(COUNTIF(Campaigns!$A$7:$A$300,B384)&gt;0,"✓","⚠ add to Campaigns tab"))</f>
        <v/>
      </c>
      <c r="I384" s="84" t="str">
        <f aca="false">IF(C384="","",C384*IF(Settings!$B$25=Settings!$C$6,1,IF(Settings!$B$25="USD",1/INDEX(Settings!$B$29:$B$40,MONTH(A384)),INDEX(Settings!$B$29:$B$40,MONTH(A384)))))</f>
        <v/>
      </c>
    </row>
    <row r="385" customFormat="false" ht="15" hidden="false" customHeight="false" outlineLevel="0" collapsed="false">
      <c r="H385" s="0" t="str">
        <f aca="false">IF(B385="","",IF(COUNTIF(Campaigns!$A$7:$A$300,B385)&gt;0,"✓","⚠ add to Campaigns tab"))</f>
        <v/>
      </c>
      <c r="I385" s="84" t="str">
        <f aca="false">IF(C385="","",C385*IF(Settings!$B$25=Settings!$C$6,1,IF(Settings!$B$25="USD",1/INDEX(Settings!$B$29:$B$40,MONTH(A385)),INDEX(Settings!$B$29:$B$40,MONTH(A385)))))</f>
        <v/>
      </c>
    </row>
    <row r="386" customFormat="false" ht="15" hidden="false" customHeight="false" outlineLevel="0" collapsed="false">
      <c r="H386" s="0" t="str">
        <f aca="false">IF(B386="","",IF(COUNTIF(Campaigns!$A$7:$A$300,B386)&gt;0,"✓","⚠ add to Campaigns tab"))</f>
        <v/>
      </c>
      <c r="I386" s="84" t="str">
        <f aca="false">IF(C386="","",C386*IF(Settings!$B$25=Settings!$C$6,1,IF(Settings!$B$25="USD",1/INDEX(Settings!$B$29:$B$40,MONTH(A386)),INDEX(Settings!$B$29:$B$40,MONTH(A386)))))</f>
        <v/>
      </c>
    </row>
    <row r="387" customFormat="false" ht="15" hidden="false" customHeight="false" outlineLevel="0" collapsed="false">
      <c r="H387" s="0" t="str">
        <f aca="false">IF(B387="","",IF(COUNTIF(Campaigns!$A$7:$A$300,B387)&gt;0,"✓","⚠ add to Campaigns tab"))</f>
        <v/>
      </c>
      <c r="I387" s="84" t="str">
        <f aca="false">IF(C387="","",C387*IF(Settings!$B$25=Settings!$C$6,1,IF(Settings!$B$25="USD",1/INDEX(Settings!$B$29:$B$40,MONTH(A387)),INDEX(Settings!$B$29:$B$40,MONTH(A387)))))</f>
        <v/>
      </c>
    </row>
    <row r="388" customFormat="false" ht="15" hidden="false" customHeight="false" outlineLevel="0" collapsed="false">
      <c r="H388" s="0" t="str">
        <f aca="false">IF(B388="","",IF(COUNTIF(Campaigns!$A$7:$A$300,B388)&gt;0,"✓","⚠ add to Campaigns tab"))</f>
        <v/>
      </c>
      <c r="I388" s="84" t="str">
        <f aca="false">IF(C388="","",C388*IF(Settings!$B$25=Settings!$C$6,1,IF(Settings!$B$25="USD",1/INDEX(Settings!$B$29:$B$40,MONTH(A388)),INDEX(Settings!$B$29:$B$40,MONTH(A388)))))</f>
        <v/>
      </c>
    </row>
    <row r="389" customFormat="false" ht="15" hidden="false" customHeight="false" outlineLevel="0" collapsed="false">
      <c r="H389" s="0" t="str">
        <f aca="false">IF(B389="","",IF(COUNTIF(Campaigns!$A$7:$A$300,B389)&gt;0,"✓","⚠ add to Campaigns tab"))</f>
        <v/>
      </c>
      <c r="I389" s="84" t="str">
        <f aca="false">IF(C389="","",C389*IF(Settings!$B$25=Settings!$C$6,1,IF(Settings!$B$25="USD",1/INDEX(Settings!$B$29:$B$40,MONTH(A389)),INDEX(Settings!$B$29:$B$40,MONTH(A389)))))</f>
        <v/>
      </c>
    </row>
    <row r="390" customFormat="false" ht="15" hidden="false" customHeight="false" outlineLevel="0" collapsed="false">
      <c r="H390" s="0" t="str">
        <f aca="false">IF(B390="","",IF(COUNTIF(Campaigns!$A$7:$A$300,B390)&gt;0,"✓","⚠ add to Campaigns tab"))</f>
        <v/>
      </c>
      <c r="I390" s="84" t="str">
        <f aca="false">IF(C390="","",C390*IF(Settings!$B$25=Settings!$C$6,1,IF(Settings!$B$25="USD",1/INDEX(Settings!$B$29:$B$40,MONTH(A390)),INDEX(Settings!$B$29:$B$40,MONTH(A390)))))</f>
        <v/>
      </c>
    </row>
    <row r="391" customFormat="false" ht="15" hidden="false" customHeight="false" outlineLevel="0" collapsed="false">
      <c r="H391" s="0" t="str">
        <f aca="false">IF(B391="","",IF(COUNTIF(Campaigns!$A$7:$A$300,B391)&gt;0,"✓","⚠ add to Campaigns tab"))</f>
        <v/>
      </c>
      <c r="I391" s="84" t="str">
        <f aca="false">IF(C391="","",C391*IF(Settings!$B$25=Settings!$C$6,1,IF(Settings!$B$25="USD",1/INDEX(Settings!$B$29:$B$40,MONTH(A391)),INDEX(Settings!$B$29:$B$40,MONTH(A391)))))</f>
        <v/>
      </c>
    </row>
    <row r="392" customFormat="false" ht="15" hidden="false" customHeight="false" outlineLevel="0" collapsed="false">
      <c r="H392" s="0" t="str">
        <f aca="false">IF(B392="","",IF(COUNTIF(Campaigns!$A$7:$A$300,B392)&gt;0,"✓","⚠ add to Campaigns tab"))</f>
        <v/>
      </c>
      <c r="I392" s="84" t="str">
        <f aca="false">IF(C392="","",C392*IF(Settings!$B$25=Settings!$C$6,1,IF(Settings!$B$25="USD",1/INDEX(Settings!$B$29:$B$40,MONTH(A392)),INDEX(Settings!$B$29:$B$40,MONTH(A392)))))</f>
        <v/>
      </c>
    </row>
    <row r="393" customFormat="false" ht="15" hidden="false" customHeight="false" outlineLevel="0" collapsed="false">
      <c r="H393" s="0" t="str">
        <f aca="false">IF(B393="","",IF(COUNTIF(Campaigns!$A$7:$A$300,B393)&gt;0,"✓","⚠ add to Campaigns tab"))</f>
        <v/>
      </c>
      <c r="I393" s="84" t="str">
        <f aca="false">IF(C393="","",C393*IF(Settings!$B$25=Settings!$C$6,1,IF(Settings!$B$25="USD",1/INDEX(Settings!$B$29:$B$40,MONTH(A393)),INDEX(Settings!$B$29:$B$40,MONTH(A393)))))</f>
        <v/>
      </c>
    </row>
    <row r="394" customFormat="false" ht="15" hidden="false" customHeight="false" outlineLevel="0" collapsed="false">
      <c r="H394" s="0" t="str">
        <f aca="false">IF(B394="","",IF(COUNTIF(Campaigns!$A$7:$A$300,B394)&gt;0,"✓","⚠ add to Campaigns tab"))</f>
        <v/>
      </c>
      <c r="I394" s="84" t="str">
        <f aca="false">IF(C394="","",C394*IF(Settings!$B$25=Settings!$C$6,1,IF(Settings!$B$25="USD",1/INDEX(Settings!$B$29:$B$40,MONTH(A394)),INDEX(Settings!$B$29:$B$40,MONTH(A394)))))</f>
        <v/>
      </c>
    </row>
    <row r="395" customFormat="false" ht="15" hidden="false" customHeight="false" outlineLevel="0" collapsed="false">
      <c r="H395" s="0" t="str">
        <f aca="false">IF(B395="","",IF(COUNTIF(Campaigns!$A$7:$A$300,B395)&gt;0,"✓","⚠ add to Campaigns tab"))</f>
        <v/>
      </c>
      <c r="I395" s="84" t="str">
        <f aca="false">IF(C395="","",C395*IF(Settings!$B$25=Settings!$C$6,1,IF(Settings!$B$25="USD",1/INDEX(Settings!$B$29:$B$40,MONTH(A395)),INDEX(Settings!$B$29:$B$40,MONTH(A395)))))</f>
        <v/>
      </c>
    </row>
    <row r="396" customFormat="false" ht="15" hidden="false" customHeight="false" outlineLevel="0" collapsed="false">
      <c r="H396" s="0" t="str">
        <f aca="false">IF(B396="","",IF(COUNTIF(Campaigns!$A$7:$A$300,B396)&gt;0,"✓","⚠ add to Campaigns tab"))</f>
        <v/>
      </c>
      <c r="I396" s="84" t="str">
        <f aca="false">IF(C396="","",C396*IF(Settings!$B$25=Settings!$C$6,1,IF(Settings!$B$25="USD",1/INDEX(Settings!$B$29:$B$40,MONTH(A396)),INDEX(Settings!$B$29:$B$40,MONTH(A396)))))</f>
        <v/>
      </c>
    </row>
    <row r="397" customFormat="false" ht="15" hidden="false" customHeight="false" outlineLevel="0" collapsed="false">
      <c r="H397" s="0" t="str">
        <f aca="false">IF(B397="","",IF(COUNTIF(Campaigns!$A$7:$A$300,B397)&gt;0,"✓","⚠ add to Campaigns tab"))</f>
        <v/>
      </c>
      <c r="I397" s="84" t="str">
        <f aca="false">IF(C397="","",C397*IF(Settings!$B$25=Settings!$C$6,1,IF(Settings!$B$25="USD",1/INDEX(Settings!$B$29:$B$40,MONTH(A397)),INDEX(Settings!$B$29:$B$40,MONTH(A397)))))</f>
        <v/>
      </c>
    </row>
    <row r="398" customFormat="false" ht="15" hidden="false" customHeight="false" outlineLevel="0" collapsed="false">
      <c r="H398" s="0" t="str">
        <f aca="false">IF(B398="","",IF(COUNTIF(Campaigns!$A$7:$A$300,B398)&gt;0,"✓","⚠ add to Campaigns tab"))</f>
        <v/>
      </c>
      <c r="I398" s="84" t="str">
        <f aca="false">IF(C398="","",C398*IF(Settings!$B$25=Settings!$C$6,1,IF(Settings!$B$25="USD",1/INDEX(Settings!$B$29:$B$40,MONTH(A398)),INDEX(Settings!$B$29:$B$40,MONTH(A398)))))</f>
        <v/>
      </c>
    </row>
    <row r="399" customFormat="false" ht="15" hidden="false" customHeight="false" outlineLevel="0" collapsed="false">
      <c r="H399" s="0" t="str">
        <f aca="false">IF(B399="","",IF(COUNTIF(Campaigns!$A$7:$A$300,B399)&gt;0,"✓","⚠ add to Campaigns tab"))</f>
        <v/>
      </c>
      <c r="I399" s="84" t="str">
        <f aca="false">IF(C399="","",C399*IF(Settings!$B$25=Settings!$C$6,1,IF(Settings!$B$25="USD",1/INDEX(Settings!$B$29:$B$40,MONTH(A399)),INDEX(Settings!$B$29:$B$40,MONTH(A399)))))</f>
        <v/>
      </c>
    </row>
    <row r="400" customFormat="false" ht="15" hidden="false" customHeight="false" outlineLevel="0" collapsed="false">
      <c r="H400" s="0" t="str">
        <f aca="false">IF(B400="","",IF(COUNTIF(Campaigns!$A$7:$A$300,B400)&gt;0,"✓","⚠ add to Campaigns tab"))</f>
        <v/>
      </c>
      <c r="I400" s="84" t="str">
        <f aca="false">IF(C400="","",C400*IF(Settings!$B$25=Settings!$C$6,1,IF(Settings!$B$25="USD",1/INDEX(Settings!$B$29:$B$40,MONTH(A400)),INDEX(Settings!$B$29:$B$40,MONTH(A400)))))</f>
        <v/>
      </c>
    </row>
    <row r="401" customFormat="false" ht="15" hidden="false" customHeight="false" outlineLevel="0" collapsed="false">
      <c r="H401" s="0" t="str">
        <f aca="false">IF(B401="","",IF(COUNTIF(Campaigns!$A$7:$A$300,B401)&gt;0,"✓","⚠ add to Campaigns tab"))</f>
        <v/>
      </c>
      <c r="I401" s="84" t="str">
        <f aca="false">IF(C401="","",C401*IF(Settings!$B$25=Settings!$C$6,1,IF(Settings!$B$25="USD",1/INDEX(Settings!$B$29:$B$40,MONTH(A401)),INDEX(Settings!$B$29:$B$40,MONTH(A401)))))</f>
        <v/>
      </c>
    </row>
    <row r="402" customFormat="false" ht="15" hidden="false" customHeight="false" outlineLevel="0" collapsed="false">
      <c r="H402" s="0" t="str">
        <f aca="false">IF(B402="","",IF(COUNTIF(Campaigns!$A$7:$A$300,B402)&gt;0,"✓","⚠ add to Campaigns tab"))</f>
        <v/>
      </c>
      <c r="I402" s="84" t="str">
        <f aca="false">IF(C402="","",C402*IF(Settings!$B$25=Settings!$C$6,1,IF(Settings!$B$25="USD",1/INDEX(Settings!$B$29:$B$40,MONTH(A402)),INDEX(Settings!$B$29:$B$40,MONTH(A402)))))</f>
        <v/>
      </c>
    </row>
    <row r="403" customFormat="false" ht="15" hidden="false" customHeight="false" outlineLevel="0" collapsed="false">
      <c r="H403" s="0" t="str">
        <f aca="false">IF(B403="","",IF(COUNTIF(Campaigns!$A$7:$A$300,B403)&gt;0,"✓","⚠ add to Campaigns tab"))</f>
        <v/>
      </c>
      <c r="I403" s="84" t="str">
        <f aca="false">IF(C403="","",C403*IF(Settings!$B$25=Settings!$C$6,1,IF(Settings!$B$25="USD",1/INDEX(Settings!$B$29:$B$40,MONTH(A403)),INDEX(Settings!$B$29:$B$40,MONTH(A403)))))</f>
        <v/>
      </c>
    </row>
    <row r="404" customFormat="false" ht="15" hidden="false" customHeight="false" outlineLevel="0" collapsed="false">
      <c r="H404" s="0" t="str">
        <f aca="false">IF(B404="","",IF(COUNTIF(Campaigns!$A$7:$A$300,B404)&gt;0,"✓","⚠ add to Campaigns tab"))</f>
        <v/>
      </c>
      <c r="I404" s="84" t="str">
        <f aca="false">IF(C404="","",C404*IF(Settings!$B$25=Settings!$C$6,1,IF(Settings!$B$25="USD",1/INDEX(Settings!$B$29:$B$40,MONTH(A404)),INDEX(Settings!$B$29:$B$40,MONTH(A404)))))</f>
        <v/>
      </c>
    </row>
    <row r="405" customFormat="false" ht="15" hidden="false" customHeight="false" outlineLevel="0" collapsed="false">
      <c r="H405" s="0" t="str">
        <f aca="false">IF(B405="","",IF(COUNTIF(Campaigns!$A$7:$A$300,B405)&gt;0,"✓","⚠ add to Campaigns tab"))</f>
        <v/>
      </c>
      <c r="I405" s="84" t="str">
        <f aca="false">IF(C405="","",C405*IF(Settings!$B$25=Settings!$C$6,1,IF(Settings!$B$25="USD",1/INDEX(Settings!$B$29:$B$40,MONTH(A405)),INDEX(Settings!$B$29:$B$40,MONTH(A405)))))</f>
        <v/>
      </c>
    </row>
    <row r="406" customFormat="false" ht="15" hidden="false" customHeight="false" outlineLevel="0" collapsed="false">
      <c r="H406" s="0" t="str">
        <f aca="false">IF(B406="","",IF(COUNTIF(Campaigns!$A$7:$A$300,B406)&gt;0,"✓","⚠ add to Campaigns tab"))</f>
        <v/>
      </c>
      <c r="I406" s="84" t="str">
        <f aca="false">IF(C406="","",C406*IF(Settings!$B$25=Settings!$C$6,1,IF(Settings!$B$25="USD",1/INDEX(Settings!$B$29:$B$40,MONTH(A406)),INDEX(Settings!$B$29:$B$40,MONTH(A406)))))</f>
        <v/>
      </c>
    </row>
    <row r="407" customFormat="false" ht="15" hidden="false" customHeight="false" outlineLevel="0" collapsed="false">
      <c r="H407" s="0" t="str">
        <f aca="false">IF(B407="","",IF(COUNTIF(Campaigns!$A$7:$A$300,B407)&gt;0,"✓","⚠ add to Campaigns tab"))</f>
        <v/>
      </c>
      <c r="I407" s="84" t="str">
        <f aca="false">IF(C407="","",C407*IF(Settings!$B$25=Settings!$C$6,1,IF(Settings!$B$25="USD",1/INDEX(Settings!$B$29:$B$40,MONTH(A407)),INDEX(Settings!$B$29:$B$40,MONTH(A407)))))</f>
        <v/>
      </c>
    </row>
    <row r="408" customFormat="false" ht="15" hidden="false" customHeight="false" outlineLevel="0" collapsed="false">
      <c r="H408" s="0" t="str">
        <f aca="false">IF(B408="","",IF(COUNTIF(Campaigns!$A$7:$A$300,B408)&gt;0,"✓","⚠ add to Campaigns tab"))</f>
        <v/>
      </c>
      <c r="I408" s="84" t="str">
        <f aca="false">IF(C408="","",C408*IF(Settings!$B$25=Settings!$C$6,1,IF(Settings!$B$25="USD",1/INDEX(Settings!$B$29:$B$40,MONTH(A408)),INDEX(Settings!$B$29:$B$40,MONTH(A408)))))</f>
        <v/>
      </c>
    </row>
    <row r="409" customFormat="false" ht="15" hidden="false" customHeight="false" outlineLevel="0" collapsed="false">
      <c r="H409" s="0" t="str">
        <f aca="false">IF(B409="","",IF(COUNTIF(Campaigns!$A$7:$A$300,B409)&gt;0,"✓","⚠ add to Campaigns tab"))</f>
        <v/>
      </c>
      <c r="I409" s="84" t="str">
        <f aca="false">IF(C409="","",C409*IF(Settings!$B$25=Settings!$C$6,1,IF(Settings!$B$25="USD",1/INDEX(Settings!$B$29:$B$40,MONTH(A409)),INDEX(Settings!$B$29:$B$40,MONTH(A409)))))</f>
        <v/>
      </c>
    </row>
    <row r="410" customFormat="false" ht="15" hidden="false" customHeight="false" outlineLevel="0" collapsed="false">
      <c r="H410" s="0" t="str">
        <f aca="false">IF(B410="","",IF(COUNTIF(Campaigns!$A$7:$A$300,B410)&gt;0,"✓","⚠ add to Campaigns tab"))</f>
        <v/>
      </c>
      <c r="I410" s="84" t="str">
        <f aca="false">IF(C410="","",C410*IF(Settings!$B$25=Settings!$C$6,1,IF(Settings!$B$25="USD",1/INDEX(Settings!$B$29:$B$40,MONTH(A410)),INDEX(Settings!$B$29:$B$40,MONTH(A410)))))</f>
        <v/>
      </c>
    </row>
    <row r="411" customFormat="false" ht="15" hidden="false" customHeight="false" outlineLevel="0" collapsed="false">
      <c r="H411" s="0" t="str">
        <f aca="false">IF(B411="","",IF(COUNTIF(Campaigns!$A$7:$A$300,B411)&gt;0,"✓","⚠ add to Campaigns tab"))</f>
        <v/>
      </c>
      <c r="I411" s="84" t="str">
        <f aca="false">IF(C411="","",C411*IF(Settings!$B$25=Settings!$C$6,1,IF(Settings!$B$25="USD",1/INDEX(Settings!$B$29:$B$40,MONTH(A411)),INDEX(Settings!$B$29:$B$40,MONTH(A411)))))</f>
        <v/>
      </c>
    </row>
    <row r="412" customFormat="false" ht="15" hidden="false" customHeight="false" outlineLevel="0" collapsed="false">
      <c r="H412" s="0" t="str">
        <f aca="false">IF(B412="","",IF(COUNTIF(Campaigns!$A$7:$A$300,B412)&gt;0,"✓","⚠ add to Campaigns tab"))</f>
        <v/>
      </c>
      <c r="I412" s="84" t="str">
        <f aca="false">IF(C412="","",C412*IF(Settings!$B$25=Settings!$C$6,1,IF(Settings!$B$25="USD",1/INDEX(Settings!$B$29:$B$40,MONTH(A412)),INDEX(Settings!$B$29:$B$40,MONTH(A412)))))</f>
        <v/>
      </c>
    </row>
    <row r="413" customFormat="false" ht="15" hidden="false" customHeight="false" outlineLevel="0" collapsed="false">
      <c r="H413" s="0" t="str">
        <f aca="false">IF(B413="","",IF(COUNTIF(Campaigns!$A$7:$A$300,B413)&gt;0,"✓","⚠ add to Campaigns tab"))</f>
        <v/>
      </c>
      <c r="I413" s="84" t="str">
        <f aca="false">IF(C413="","",C413*IF(Settings!$B$25=Settings!$C$6,1,IF(Settings!$B$25="USD",1/INDEX(Settings!$B$29:$B$40,MONTH(A413)),INDEX(Settings!$B$29:$B$40,MONTH(A413)))))</f>
        <v/>
      </c>
    </row>
    <row r="414" customFormat="false" ht="15" hidden="false" customHeight="false" outlineLevel="0" collapsed="false">
      <c r="H414" s="0" t="str">
        <f aca="false">IF(B414="","",IF(COUNTIF(Campaigns!$A$7:$A$300,B414)&gt;0,"✓","⚠ add to Campaigns tab"))</f>
        <v/>
      </c>
      <c r="I414" s="84" t="str">
        <f aca="false">IF(C414="","",C414*IF(Settings!$B$25=Settings!$C$6,1,IF(Settings!$B$25="USD",1/INDEX(Settings!$B$29:$B$40,MONTH(A414)),INDEX(Settings!$B$29:$B$40,MONTH(A414)))))</f>
        <v/>
      </c>
    </row>
    <row r="415" customFormat="false" ht="15" hidden="false" customHeight="false" outlineLevel="0" collapsed="false">
      <c r="H415" s="0" t="str">
        <f aca="false">IF(B415="","",IF(COUNTIF(Campaigns!$A$7:$A$300,B415)&gt;0,"✓","⚠ add to Campaigns tab"))</f>
        <v/>
      </c>
      <c r="I415" s="84" t="str">
        <f aca="false">IF(C415="","",C415*IF(Settings!$B$25=Settings!$C$6,1,IF(Settings!$B$25="USD",1/INDEX(Settings!$B$29:$B$40,MONTH(A415)),INDEX(Settings!$B$29:$B$40,MONTH(A415)))))</f>
        <v/>
      </c>
    </row>
    <row r="416" customFormat="false" ht="15" hidden="false" customHeight="false" outlineLevel="0" collapsed="false">
      <c r="H416" s="0" t="str">
        <f aca="false">IF(B416="","",IF(COUNTIF(Campaigns!$A$7:$A$300,B416)&gt;0,"✓","⚠ add to Campaigns tab"))</f>
        <v/>
      </c>
      <c r="I416" s="84" t="str">
        <f aca="false">IF(C416="","",C416*IF(Settings!$B$25=Settings!$C$6,1,IF(Settings!$B$25="USD",1/INDEX(Settings!$B$29:$B$40,MONTH(A416)),INDEX(Settings!$B$29:$B$40,MONTH(A416)))))</f>
        <v/>
      </c>
    </row>
    <row r="417" customFormat="false" ht="15" hidden="false" customHeight="false" outlineLevel="0" collapsed="false">
      <c r="H417" s="0" t="str">
        <f aca="false">IF(B417="","",IF(COUNTIF(Campaigns!$A$7:$A$300,B417)&gt;0,"✓","⚠ add to Campaigns tab"))</f>
        <v/>
      </c>
      <c r="I417" s="84" t="str">
        <f aca="false">IF(C417="","",C417*IF(Settings!$B$25=Settings!$C$6,1,IF(Settings!$B$25="USD",1/INDEX(Settings!$B$29:$B$40,MONTH(A417)),INDEX(Settings!$B$29:$B$40,MONTH(A417)))))</f>
        <v/>
      </c>
    </row>
    <row r="418" customFormat="false" ht="15" hidden="false" customHeight="false" outlineLevel="0" collapsed="false">
      <c r="H418" s="0" t="str">
        <f aca="false">IF(B418="","",IF(COUNTIF(Campaigns!$A$7:$A$300,B418)&gt;0,"✓","⚠ add to Campaigns tab"))</f>
        <v/>
      </c>
      <c r="I418" s="84" t="str">
        <f aca="false">IF(C418="","",C418*IF(Settings!$B$25=Settings!$C$6,1,IF(Settings!$B$25="USD",1/INDEX(Settings!$B$29:$B$40,MONTH(A418)),INDEX(Settings!$B$29:$B$40,MONTH(A418)))))</f>
        <v/>
      </c>
    </row>
    <row r="419" customFormat="false" ht="15" hidden="false" customHeight="false" outlineLevel="0" collapsed="false">
      <c r="H419" s="0" t="str">
        <f aca="false">IF(B419="","",IF(COUNTIF(Campaigns!$A$7:$A$300,B419)&gt;0,"✓","⚠ add to Campaigns tab"))</f>
        <v/>
      </c>
      <c r="I419" s="84" t="str">
        <f aca="false">IF(C419="","",C419*IF(Settings!$B$25=Settings!$C$6,1,IF(Settings!$B$25="USD",1/INDEX(Settings!$B$29:$B$40,MONTH(A419)),INDEX(Settings!$B$29:$B$40,MONTH(A419)))))</f>
        <v/>
      </c>
    </row>
    <row r="420" customFormat="false" ht="15" hidden="false" customHeight="false" outlineLevel="0" collapsed="false">
      <c r="H420" s="0" t="str">
        <f aca="false">IF(B420="","",IF(COUNTIF(Campaigns!$A$7:$A$300,B420)&gt;0,"✓","⚠ add to Campaigns tab"))</f>
        <v/>
      </c>
      <c r="I420" s="84" t="str">
        <f aca="false">IF(C420="","",C420*IF(Settings!$B$25=Settings!$C$6,1,IF(Settings!$B$25="USD",1/INDEX(Settings!$B$29:$B$40,MONTH(A420)),INDEX(Settings!$B$29:$B$40,MONTH(A420)))))</f>
        <v/>
      </c>
    </row>
    <row r="421" customFormat="false" ht="15" hidden="false" customHeight="false" outlineLevel="0" collapsed="false">
      <c r="H421" s="0" t="str">
        <f aca="false">IF(B421="","",IF(COUNTIF(Campaigns!$A$7:$A$300,B421)&gt;0,"✓","⚠ add to Campaigns tab"))</f>
        <v/>
      </c>
      <c r="I421" s="84" t="str">
        <f aca="false">IF(C421="","",C421*IF(Settings!$B$25=Settings!$C$6,1,IF(Settings!$B$25="USD",1/INDEX(Settings!$B$29:$B$40,MONTH(A421)),INDEX(Settings!$B$29:$B$40,MONTH(A421)))))</f>
        <v/>
      </c>
    </row>
    <row r="422" customFormat="false" ht="15" hidden="false" customHeight="false" outlineLevel="0" collapsed="false">
      <c r="H422" s="0" t="str">
        <f aca="false">IF(B422="","",IF(COUNTIF(Campaigns!$A$7:$A$300,B422)&gt;0,"✓","⚠ add to Campaigns tab"))</f>
        <v/>
      </c>
      <c r="I422" s="84" t="str">
        <f aca="false">IF(C422="","",C422*IF(Settings!$B$25=Settings!$C$6,1,IF(Settings!$B$25="USD",1/INDEX(Settings!$B$29:$B$40,MONTH(A422)),INDEX(Settings!$B$29:$B$40,MONTH(A422)))))</f>
        <v/>
      </c>
    </row>
    <row r="423" customFormat="false" ht="15" hidden="false" customHeight="false" outlineLevel="0" collapsed="false">
      <c r="H423" s="0" t="str">
        <f aca="false">IF(B423="","",IF(COUNTIF(Campaigns!$A$7:$A$300,B423)&gt;0,"✓","⚠ add to Campaigns tab"))</f>
        <v/>
      </c>
      <c r="I423" s="84" t="str">
        <f aca="false">IF(C423="","",C423*IF(Settings!$B$25=Settings!$C$6,1,IF(Settings!$B$25="USD",1/INDEX(Settings!$B$29:$B$40,MONTH(A423)),INDEX(Settings!$B$29:$B$40,MONTH(A423)))))</f>
        <v/>
      </c>
    </row>
    <row r="424" customFormat="false" ht="15" hidden="false" customHeight="false" outlineLevel="0" collapsed="false">
      <c r="H424" s="0" t="str">
        <f aca="false">IF(B424="","",IF(COUNTIF(Campaigns!$A$7:$A$300,B424)&gt;0,"✓","⚠ add to Campaigns tab"))</f>
        <v/>
      </c>
      <c r="I424" s="84" t="str">
        <f aca="false">IF(C424="","",C424*IF(Settings!$B$25=Settings!$C$6,1,IF(Settings!$B$25="USD",1/INDEX(Settings!$B$29:$B$40,MONTH(A424)),INDEX(Settings!$B$29:$B$40,MONTH(A424)))))</f>
        <v/>
      </c>
    </row>
    <row r="425" customFormat="false" ht="15" hidden="false" customHeight="false" outlineLevel="0" collapsed="false">
      <c r="H425" s="0" t="str">
        <f aca="false">IF(B425="","",IF(COUNTIF(Campaigns!$A$7:$A$300,B425)&gt;0,"✓","⚠ add to Campaigns tab"))</f>
        <v/>
      </c>
      <c r="I425" s="84" t="str">
        <f aca="false">IF(C425="","",C425*IF(Settings!$B$25=Settings!$C$6,1,IF(Settings!$B$25="USD",1/INDEX(Settings!$B$29:$B$40,MONTH(A425)),INDEX(Settings!$B$29:$B$40,MONTH(A425)))))</f>
        <v/>
      </c>
    </row>
    <row r="426" customFormat="false" ht="15" hidden="false" customHeight="false" outlineLevel="0" collapsed="false">
      <c r="H426" s="0" t="str">
        <f aca="false">IF(B426="","",IF(COUNTIF(Campaigns!$A$7:$A$300,B426)&gt;0,"✓","⚠ add to Campaigns tab"))</f>
        <v/>
      </c>
      <c r="I426" s="84" t="str">
        <f aca="false">IF(C426="","",C426*IF(Settings!$B$25=Settings!$C$6,1,IF(Settings!$B$25="USD",1/INDEX(Settings!$B$29:$B$40,MONTH(A426)),INDEX(Settings!$B$29:$B$40,MONTH(A426)))))</f>
        <v/>
      </c>
    </row>
    <row r="427" customFormat="false" ht="15" hidden="false" customHeight="false" outlineLevel="0" collapsed="false">
      <c r="H427" s="0" t="str">
        <f aca="false">IF(B427="","",IF(COUNTIF(Campaigns!$A$7:$A$300,B427)&gt;0,"✓","⚠ add to Campaigns tab"))</f>
        <v/>
      </c>
      <c r="I427" s="84" t="str">
        <f aca="false">IF(C427="","",C427*IF(Settings!$B$25=Settings!$C$6,1,IF(Settings!$B$25="USD",1/INDEX(Settings!$B$29:$B$40,MONTH(A427)),INDEX(Settings!$B$29:$B$40,MONTH(A427)))))</f>
        <v/>
      </c>
    </row>
    <row r="428" customFormat="false" ht="15" hidden="false" customHeight="false" outlineLevel="0" collapsed="false">
      <c r="H428" s="0" t="str">
        <f aca="false">IF(B428="","",IF(COUNTIF(Campaigns!$A$7:$A$300,B428)&gt;0,"✓","⚠ add to Campaigns tab"))</f>
        <v/>
      </c>
      <c r="I428" s="84" t="str">
        <f aca="false">IF(C428="","",C428*IF(Settings!$B$25=Settings!$C$6,1,IF(Settings!$B$25="USD",1/INDEX(Settings!$B$29:$B$40,MONTH(A428)),INDEX(Settings!$B$29:$B$40,MONTH(A428)))))</f>
        <v/>
      </c>
    </row>
    <row r="429" customFormat="false" ht="15" hidden="false" customHeight="false" outlineLevel="0" collapsed="false">
      <c r="H429" s="0" t="str">
        <f aca="false">IF(B429="","",IF(COUNTIF(Campaigns!$A$7:$A$300,B429)&gt;0,"✓","⚠ add to Campaigns tab"))</f>
        <v/>
      </c>
      <c r="I429" s="84" t="str">
        <f aca="false">IF(C429="","",C429*IF(Settings!$B$25=Settings!$C$6,1,IF(Settings!$B$25="USD",1/INDEX(Settings!$B$29:$B$40,MONTH(A429)),INDEX(Settings!$B$29:$B$40,MONTH(A429)))))</f>
        <v/>
      </c>
    </row>
    <row r="430" customFormat="false" ht="15" hidden="false" customHeight="false" outlineLevel="0" collapsed="false">
      <c r="H430" s="0" t="str">
        <f aca="false">IF(B430="","",IF(COUNTIF(Campaigns!$A$7:$A$300,B430)&gt;0,"✓","⚠ add to Campaigns tab"))</f>
        <v/>
      </c>
      <c r="I430" s="84" t="str">
        <f aca="false">IF(C430="","",C430*IF(Settings!$B$25=Settings!$C$6,1,IF(Settings!$B$25="USD",1/INDEX(Settings!$B$29:$B$40,MONTH(A430)),INDEX(Settings!$B$29:$B$40,MONTH(A430)))))</f>
        <v/>
      </c>
    </row>
    <row r="431" customFormat="false" ht="15" hidden="false" customHeight="false" outlineLevel="0" collapsed="false">
      <c r="H431" s="0" t="str">
        <f aca="false">IF(B431="","",IF(COUNTIF(Campaigns!$A$7:$A$300,B431)&gt;0,"✓","⚠ add to Campaigns tab"))</f>
        <v/>
      </c>
      <c r="I431" s="84" t="str">
        <f aca="false">IF(C431="","",C431*IF(Settings!$B$25=Settings!$C$6,1,IF(Settings!$B$25="USD",1/INDEX(Settings!$B$29:$B$40,MONTH(A431)),INDEX(Settings!$B$29:$B$40,MONTH(A431)))))</f>
        <v/>
      </c>
    </row>
    <row r="432" customFormat="false" ht="15" hidden="false" customHeight="false" outlineLevel="0" collapsed="false">
      <c r="H432" s="0" t="str">
        <f aca="false">IF(B432="","",IF(COUNTIF(Campaigns!$A$7:$A$300,B432)&gt;0,"✓","⚠ add to Campaigns tab"))</f>
        <v/>
      </c>
      <c r="I432" s="84" t="str">
        <f aca="false">IF(C432="","",C432*IF(Settings!$B$25=Settings!$C$6,1,IF(Settings!$B$25="USD",1/INDEX(Settings!$B$29:$B$40,MONTH(A432)),INDEX(Settings!$B$29:$B$40,MONTH(A432)))))</f>
        <v/>
      </c>
    </row>
    <row r="433" customFormat="false" ht="15" hidden="false" customHeight="false" outlineLevel="0" collapsed="false">
      <c r="H433" s="0" t="str">
        <f aca="false">IF(B433="","",IF(COUNTIF(Campaigns!$A$7:$A$300,B433)&gt;0,"✓","⚠ add to Campaigns tab"))</f>
        <v/>
      </c>
      <c r="I433" s="84" t="str">
        <f aca="false">IF(C433="","",C433*IF(Settings!$B$25=Settings!$C$6,1,IF(Settings!$B$25="USD",1/INDEX(Settings!$B$29:$B$40,MONTH(A433)),INDEX(Settings!$B$29:$B$40,MONTH(A433)))))</f>
        <v/>
      </c>
    </row>
    <row r="434" customFormat="false" ht="15" hidden="false" customHeight="false" outlineLevel="0" collapsed="false">
      <c r="H434" s="0" t="str">
        <f aca="false">IF(B434="","",IF(COUNTIF(Campaigns!$A$7:$A$300,B434)&gt;0,"✓","⚠ add to Campaigns tab"))</f>
        <v/>
      </c>
      <c r="I434" s="84" t="str">
        <f aca="false">IF(C434="","",C434*IF(Settings!$B$25=Settings!$C$6,1,IF(Settings!$B$25="USD",1/INDEX(Settings!$B$29:$B$40,MONTH(A434)),INDEX(Settings!$B$29:$B$40,MONTH(A434)))))</f>
        <v/>
      </c>
    </row>
    <row r="435" customFormat="false" ht="15" hidden="false" customHeight="false" outlineLevel="0" collapsed="false">
      <c r="H435" s="0" t="str">
        <f aca="false">IF(B435="","",IF(COUNTIF(Campaigns!$A$7:$A$300,B435)&gt;0,"✓","⚠ add to Campaigns tab"))</f>
        <v/>
      </c>
      <c r="I435" s="84" t="str">
        <f aca="false">IF(C435="","",C435*IF(Settings!$B$25=Settings!$C$6,1,IF(Settings!$B$25="USD",1/INDEX(Settings!$B$29:$B$40,MONTH(A435)),INDEX(Settings!$B$29:$B$40,MONTH(A435)))))</f>
        <v/>
      </c>
    </row>
    <row r="436" customFormat="false" ht="15" hidden="false" customHeight="false" outlineLevel="0" collapsed="false">
      <c r="H436" s="0" t="str">
        <f aca="false">IF(B436="","",IF(COUNTIF(Campaigns!$A$7:$A$300,B436)&gt;0,"✓","⚠ add to Campaigns tab"))</f>
        <v/>
      </c>
      <c r="I436" s="84" t="str">
        <f aca="false">IF(C436="","",C436*IF(Settings!$B$25=Settings!$C$6,1,IF(Settings!$B$25="USD",1/INDEX(Settings!$B$29:$B$40,MONTH(A436)),INDEX(Settings!$B$29:$B$40,MONTH(A436)))))</f>
        <v/>
      </c>
    </row>
    <row r="437" customFormat="false" ht="15" hidden="false" customHeight="false" outlineLevel="0" collapsed="false">
      <c r="H437" s="0" t="str">
        <f aca="false">IF(B437="","",IF(COUNTIF(Campaigns!$A$7:$A$300,B437)&gt;0,"✓","⚠ add to Campaigns tab"))</f>
        <v/>
      </c>
      <c r="I437" s="84" t="str">
        <f aca="false">IF(C437="","",C437*IF(Settings!$B$25=Settings!$C$6,1,IF(Settings!$B$25="USD",1/INDEX(Settings!$B$29:$B$40,MONTH(A437)),INDEX(Settings!$B$29:$B$40,MONTH(A437)))))</f>
        <v/>
      </c>
    </row>
    <row r="438" customFormat="false" ht="15" hidden="false" customHeight="false" outlineLevel="0" collapsed="false">
      <c r="H438" s="0" t="str">
        <f aca="false">IF(B438="","",IF(COUNTIF(Campaigns!$A$7:$A$300,B438)&gt;0,"✓","⚠ add to Campaigns tab"))</f>
        <v/>
      </c>
      <c r="I438" s="84" t="str">
        <f aca="false">IF(C438="","",C438*IF(Settings!$B$25=Settings!$C$6,1,IF(Settings!$B$25="USD",1/INDEX(Settings!$B$29:$B$40,MONTH(A438)),INDEX(Settings!$B$29:$B$40,MONTH(A438)))))</f>
        <v/>
      </c>
    </row>
    <row r="439" customFormat="false" ht="15" hidden="false" customHeight="false" outlineLevel="0" collapsed="false">
      <c r="H439" s="0" t="str">
        <f aca="false">IF(B439="","",IF(COUNTIF(Campaigns!$A$7:$A$300,B439)&gt;0,"✓","⚠ add to Campaigns tab"))</f>
        <v/>
      </c>
      <c r="I439" s="84" t="str">
        <f aca="false">IF(C439="","",C439*IF(Settings!$B$25=Settings!$C$6,1,IF(Settings!$B$25="USD",1/INDEX(Settings!$B$29:$B$40,MONTH(A439)),INDEX(Settings!$B$29:$B$40,MONTH(A439)))))</f>
        <v/>
      </c>
    </row>
    <row r="440" customFormat="false" ht="15" hidden="false" customHeight="false" outlineLevel="0" collapsed="false">
      <c r="H440" s="0" t="str">
        <f aca="false">IF(B440="","",IF(COUNTIF(Campaigns!$A$7:$A$300,B440)&gt;0,"✓","⚠ add to Campaigns tab"))</f>
        <v/>
      </c>
      <c r="I440" s="84" t="str">
        <f aca="false">IF(C440="","",C440*IF(Settings!$B$25=Settings!$C$6,1,IF(Settings!$B$25="USD",1/INDEX(Settings!$B$29:$B$40,MONTH(A440)),INDEX(Settings!$B$29:$B$40,MONTH(A440)))))</f>
        <v/>
      </c>
    </row>
    <row r="441" customFormat="false" ht="15" hidden="false" customHeight="false" outlineLevel="0" collapsed="false">
      <c r="H441" s="0" t="str">
        <f aca="false">IF(B441="","",IF(COUNTIF(Campaigns!$A$7:$A$300,B441)&gt;0,"✓","⚠ add to Campaigns tab"))</f>
        <v/>
      </c>
      <c r="I441" s="84" t="str">
        <f aca="false">IF(C441="","",C441*IF(Settings!$B$25=Settings!$C$6,1,IF(Settings!$B$25="USD",1/INDEX(Settings!$B$29:$B$40,MONTH(A441)),INDEX(Settings!$B$29:$B$40,MONTH(A441)))))</f>
        <v/>
      </c>
    </row>
    <row r="442" customFormat="false" ht="15" hidden="false" customHeight="false" outlineLevel="0" collapsed="false">
      <c r="H442" s="0" t="str">
        <f aca="false">IF(B442="","",IF(COUNTIF(Campaigns!$A$7:$A$300,B442)&gt;0,"✓","⚠ add to Campaigns tab"))</f>
        <v/>
      </c>
      <c r="I442" s="84" t="str">
        <f aca="false">IF(C442="","",C442*IF(Settings!$B$25=Settings!$C$6,1,IF(Settings!$B$25="USD",1/INDEX(Settings!$B$29:$B$40,MONTH(A442)),INDEX(Settings!$B$29:$B$40,MONTH(A442)))))</f>
        <v/>
      </c>
    </row>
    <row r="443" customFormat="false" ht="15" hidden="false" customHeight="false" outlineLevel="0" collapsed="false">
      <c r="H443" s="0" t="str">
        <f aca="false">IF(B443="","",IF(COUNTIF(Campaigns!$A$7:$A$300,B443)&gt;0,"✓","⚠ add to Campaigns tab"))</f>
        <v/>
      </c>
      <c r="I443" s="84" t="str">
        <f aca="false">IF(C443="","",C443*IF(Settings!$B$25=Settings!$C$6,1,IF(Settings!$B$25="USD",1/INDEX(Settings!$B$29:$B$40,MONTH(A443)),INDEX(Settings!$B$29:$B$40,MONTH(A443)))))</f>
        <v/>
      </c>
    </row>
    <row r="444" customFormat="false" ht="15" hidden="false" customHeight="false" outlineLevel="0" collapsed="false">
      <c r="H444" s="0" t="str">
        <f aca="false">IF(B444="","",IF(COUNTIF(Campaigns!$A$7:$A$300,B444)&gt;0,"✓","⚠ add to Campaigns tab"))</f>
        <v/>
      </c>
      <c r="I444" s="84" t="str">
        <f aca="false">IF(C444="","",C444*IF(Settings!$B$25=Settings!$C$6,1,IF(Settings!$B$25="USD",1/INDEX(Settings!$B$29:$B$40,MONTH(A444)),INDEX(Settings!$B$29:$B$40,MONTH(A444)))))</f>
        <v/>
      </c>
    </row>
    <row r="445" customFormat="false" ht="15" hidden="false" customHeight="false" outlineLevel="0" collapsed="false">
      <c r="H445" s="0" t="str">
        <f aca="false">IF(B445="","",IF(COUNTIF(Campaigns!$A$7:$A$300,B445)&gt;0,"✓","⚠ add to Campaigns tab"))</f>
        <v/>
      </c>
      <c r="I445" s="84" t="str">
        <f aca="false">IF(C445="","",C445*IF(Settings!$B$25=Settings!$C$6,1,IF(Settings!$B$25="USD",1/INDEX(Settings!$B$29:$B$40,MONTH(A445)),INDEX(Settings!$B$29:$B$40,MONTH(A445)))))</f>
        <v/>
      </c>
    </row>
    <row r="446" customFormat="false" ht="15" hidden="false" customHeight="false" outlineLevel="0" collapsed="false">
      <c r="H446" s="0" t="str">
        <f aca="false">IF(B446="","",IF(COUNTIF(Campaigns!$A$7:$A$300,B446)&gt;0,"✓","⚠ add to Campaigns tab"))</f>
        <v/>
      </c>
      <c r="I446" s="84" t="str">
        <f aca="false">IF(C446="","",C446*IF(Settings!$B$25=Settings!$C$6,1,IF(Settings!$B$25="USD",1/INDEX(Settings!$B$29:$B$40,MONTH(A446)),INDEX(Settings!$B$29:$B$40,MONTH(A446)))))</f>
        <v/>
      </c>
    </row>
    <row r="447" customFormat="false" ht="15" hidden="false" customHeight="false" outlineLevel="0" collapsed="false">
      <c r="H447" s="0" t="str">
        <f aca="false">IF(B447="","",IF(COUNTIF(Campaigns!$A$7:$A$300,B447)&gt;0,"✓","⚠ add to Campaigns tab"))</f>
        <v/>
      </c>
      <c r="I447" s="84" t="str">
        <f aca="false">IF(C447="","",C447*IF(Settings!$B$25=Settings!$C$6,1,IF(Settings!$B$25="USD",1/INDEX(Settings!$B$29:$B$40,MONTH(A447)),INDEX(Settings!$B$29:$B$40,MONTH(A447)))))</f>
        <v/>
      </c>
    </row>
    <row r="448" customFormat="false" ht="15" hidden="false" customHeight="false" outlineLevel="0" collapsed="false">
      <c r="H448" s="0" t="str">
        <f aca="false">IF(B448="","",IF(COUNTIF(Campaigns!$A$7:$A$300,B448)&gt;0,"✓","⚠ add to Campaigns tab"))</f>
        <v/>
      </c>
      <c r="I448" s="84" t="str">
        <f aca="false">IF(C448="","",C448*IF(Settings!$B$25=Settings!$C$6,1,IF(Settings!$B$25="USD",1/INDEX(Settings!$B$29:$B$40,MONTH(A448)),INDEX(Settings!$B$29:$B$40,MONTH(A448)))))</f>
        <v/>
      </c>
    </row>
    <row r="449" customFormat="false" ht="15" hidden="false" customHeight="false" outlineLevel="0" collapsed="false">
      <c r="H449" s="0" t="str">
        <f aca="false">IF(B449="","",IF(COUNTIF(Campaigns!$A$7:$A$300,B449)&gt;0,"✓","⚠ add to Campaigns tab"))</f>
        <v/>
      </c>
      <c r="I449" s="84" t="str">
        <f aca="false">IF(C449="","",C449*IF(Settings!$B$25=Settings!$C$6,1,IF(Settings!$B$25="USD",1/INDEX(Settings!$B$29:$B$40,MONTH(A449)),INDEX(Settings!$B$29:$B$40,MONTH(A449)))))</f>
        <v/>
      </c>
    </row>
    <row r="450" customFormat="false" ht="15" hidden="false" customHeight="false" outlineLevel="0" collapsed="false">
      <c r="H450" s="0" t="str">
        <f aca="false">IF(B450="","",IF(COUNTIF(Campaigns!$A$7:$A$300,B450)&gt;0,"✓","⚠ add to Campaigns tab"))</f>
        <v/>
      </c>
      <c r="I450" s="84" t="str">
        <f aca="false">IF(C450="","",C450*IF(Settings!$B$25=Settings!$C$6,1,IF(Settings!$B$25="USD",1/INDEX(Settings!$B$29:$B$40,MONTH(A450)),INDEX(Settings!$B$29:$B$40,MONTH(A450)))))</f>
        <v/>
      </c>
    </row>
    <row r="451" customFormat="false" ht="15" hidden="false" customHeight="false" outlineLevel="0" collapsed="false">
      <c r="H451" s="0" t="str">
        <f aca="false">IF(B451="","",IF(COUNTIF(Campaigns!$A$7:$A$300,B451)&gt;0,"✓","⚠ add to Campaigns tab"))</f>
        <v/>
      </c>
      <c r="I451" s="84" t="str">
        <f aca="false">IF(C451="","",C451*IF(Settings!$B$25=Settings!$C$6,1,IF(Settings!$B$25="USD",1/INDEX(Settings!$B$29:$B$40,MONTH(A451)),INDEX(Settings!$B$29:$B$40,MONTH(A451)))))</f>
        <v/>
      </c>
    </row>
    <row r="452" customFormat="false" ht="15" hidden="false" customHeight="false" outlineLevel="0" collapsed="false">
      <c r="H452" s="0" t="str">
        <f aca="false">IF(B452="","",IF(COUNTIF(Campaigns!$A$7:$A$300,B452)&gt;0,"✓","⚠ add to Campaigns tab"))</f>
        <v/>
      </c>
      <c r="I452" s="84" t="str">
        <f aca="false">IF(C452="","",C452*IF(Settings!$B$25=Settings!$C$6,1,IF(Settings!$B$25="USD",1/INDEX(Settings!$B$29:$B$40,MONTH(A452)),INDEX(Settings!$B$29:$B$40,MONTH(A452)))))</f>
        <v/>
      </c>
    </row>
    <row r="453" customFormat="false" ht="15" hidden="false" customHeight="false" outlineLevel="0" collapsed="false">
      <c r="H453" s="0" t="str">
        <f aca="false">IF(B453="","",IF(COUNTIF(Campaigns!$A$7:$A$300,B453)&gt;0,"✓","⚠ add to Campaigns tab"))</f>
        <v/>
      </c>
      <c r="I453" s="84" t="str">
        <f aca="false">IF(C453="","",C453*IF(Settings!$B$25=Settings!$C$6,1,IF(Settings!$B$25="USD",1/INDEX(Settings!$B$29:$B$40,MONTH(A453)),INDEX(Settings!$B$29:$B$40,MONTH(A453)))))</f>
        <v/>
      </c>
    </row>
    <row r="454" customFormat="false" ht="15" hidden="false" customHeight="false" outlineLevel="0" collapsed="false">
      <c r="H454" s="0" t="str">
        <f aca="false">IF(B454="","",IF(COUNTIF(Campaigns!$A$7:$A$300,B454)&gt;0,"✓","⚠ add to Campaigns tab"))</f>
        <v/>
      </c>
      <c r="I454" s="84" t="str">
        <f aca="false">IF(C454="","",C454*IF(Settings!$B$25=Settings!$C$6,1,IF(Settings!$B$25="USD",1/INDEX(Settings!$B$29:$B$40,MONTH(A454)),INDEX(Settings!$B$29:$B$40,MONTH(A454)))))</f>
        <v/>
      </c>
    </row>
    <row r="455" customFormat="false" ht="15" hidden="false" customHeight="false" outlineLevel="0" collapsed="false">
      <c r="H455" s="0" t="str">
        <f aca="false">IF(B455="","",IF(COUNTIF(Campaigns!$A$7:$A$300,B455)&gt;0,"✓","⚠ add to Campaigns tab"))</f>
        <v/>
      </c>
      <c r="I455" s="84" t="str">
        <f aca="false">IF(C455="","",C455*IF(Settings!$B$25=Settings!$C$6,1,IF(Settings!$B$25="USD",1/INDEX(Settings!$B$29:$B$40,MONTH(A455)),INDEX(Settings!$B$29:$B$40,MONTH(A455)))))</f>
        <v/>
      </c>
    </row>
    <row r="456" customFormat="false" ht="15" hidden="false" customHeight="false" outlineLevel="0" collapsed="false">
      <c r="H456" s="0" t="str">
        <f aca="false">IF(B456="","",IF(COUNTIF(Campaigns!$A$7:$A$300,B456)&gt;0,"✓","⚠ add to Campaigns tab"))</f>
        <v/>
      </c>
      <c r="I456" s="84" t="str">
        <f aca="false">IF(C456="","",C456*IF(Settings!$B$25=Settings!$C$6,1,IF(Settings!$B$25="USD",1/INDEX(Settings!$B$29:$B$40,MONTH(A456)),INDEX(Settings!$B$29:$B$40,MONTH(A456)))))</f>
        <v/>
      </c>
    </row>
    <row r="457" customFormat="false" ht="15" hidden="false" customHeight="false" outlineLevel="0" collapsed="false">
      <c r="H457" s="0" t="str">
        <f aca="false">IF(B457="","",IF(COUNTIF(Campaigns!$A$7:$A$300,B457)&gt;0,"✓","⚠ add to Campaigns tab"))</f>
        <v/>
      </c>
      <c r="I457" s="84" t="str">
        <f aca="false">IF(C457="","",C457*IF(Settings!$B$25=Settings!$C$6,1,IF(Settings!$B$25="USD",1/INDEX(Settings!$B$29:$B$40,MONTH(A457)),INDEX(Settings!$B$29:$B$40,MONTH(A457)))))</f>
        <v/>
      </c>
    </row>
    <row r="458" customFormat="false" ht="15" hidden="false" customHeight="false" outlineLevel="0" collapsed="false">
      <c r="H458" s="0" t="str">
        <f aca="false">IF(B458="","",IF(COUNTIF(Campaigns!$A$7:$A$300,B458)&gt;0,"✓","⚠ add to Campaigns tab"))</f>
        <v/>
      </c>
      <c r="I458" s="84" t="str">
        <f aca="false">IF(C458="","",C458*IF(Settings!$B$25=Settings!$C$6,1,IF(Settings!$B$25="USD",1/INDEX(Settings!$B$29:$B$40,MONTH(A458)),INDEX(Settings!$B$29:$B$40,MONTH(A458)))))</f>
        <v/>
      </c>
    </row>
    <row r="459" customFormat="false" ht="15" hidden="false" customHeight="false" outlineLevel="0" collapsed="false">
      <c r="H459" s="0" t="str">
        <f aca="false">IF(B459="","",IF(COUNTIF(Campaigns!$A$7:$A$300,B459)&gt;0,"✓","⚠ add to Campaigns tab"))</f>
        <v/>
      </c>
      <c r="I459" s="84" t="str">
        <f aca="false">IF(C459="","",C459*IF(Settings!$B$25=Settings!$C$6,1,IF(Settings!$B$25="USD",1/INDEX(Settings!$B$29:$B$40,MONTH(A459)),INDEX(Settings!$B$29:$B$40,MONTH(A459)))))</f>
        <v/>
      </c>
    </row>
    <row r="460" customFormat="false" ht="15" hidden="false" customHeight="false" outlineLevel="0" collapsed="false">
      <c r="H460" s="0" t="str">
        <f aca="false">IF(B460="","",IF(COUNTIF(Campaigns!$A$7:$A$300,B460)&gt;0,"✓","⚠ add to Campaigns tab"))</f>
        <v/>
      </c>
      <c r="I460" s="84" t="str">
        <f aca="false">IF(C460="","",C460*IF(Settings!$B$25=Settings!$C$6,1,IF(Settings!$B$25="USD",1/INDEX(Settings!$B$29:$B$40,MONTH(A460)),INDEX(Settings!$B$29:$B$40,MONTH(A460)))))</f>
        <v/>
      </c>
    </row>
    <row r="461" customFormat="false" ht="15" hidden="false" customHeight="false" outlineLevel="0" collapsed="false">
      <c r="H461" s="0" t="str">
        <f aca="false">IF(B461="","",IF(COUNTIF(Campaigns!$A$7:$A$300,B461)&gt;0,"✓","⚠ add to Campaigns tab"))</f>
        <v/>
      </c>
      <c r="I461" s="84" t="str">
        <f aca="false">IF(C461="","",C461*IF(Settings!$B$25=Settings!$C$6,1,IF(Settings!$B$25="USD",1/INDEX(Settings!$B$29:$B$40,MONTH(A461)),INDEX(Settings!$B$29:$B$40,MONTH(A461)))))</f>
        <v/>
      </c>
    </row>
    <row r="462" customFormat="false" ht="15" hidden="false" customHeight="false" outlineLevel="0" collapsed="false">
      <c r="H462" s="0" t="str">
        <f aca="false">IF(B462="","",IF(COUNTIF(Campaigns!$A$7:$A$300,B462)&gt;0,"✓","⚠ add to Campaigns tab"))</f>
        <v/>
      </c>
      <c r="I462" s="84" t="str">
        <f aca="false">IF(C462="","",C462*IF(Settings!$B$25=Settings!$C$6,1,IF(Settings!$B$25="USD",1/INDEX(Settings!$B$29:$B$40,MONTH(A462)),INDEX(Settings!$B$29:$B$40,MONTH(A462)))))</f>
        <v/>
      </c>
    </row>
    <row r="463" customFormat="false" ht="15" hidden="false" customHeight="false" outlineLevel="0" collapsed="false">
      <c r="H463" s="0" t="str">
        <f aca="false">IF(B463="","",IF(COUNTIF(Campaigns!$A$7:$A$300,B463)&gt;0,"✓","⚠ add to Campaigns tab"))</f>
        <v/>
      </c>
      <c r="I463" s="84" t="str">
        <f aca="false">IF(C463="","",C463*IF(Settings!$B$25=Settings!$C$6,1,IF(Settings!$B$25="USD",1/INDEX(Settings!$B$29:$B$40,MONTH(A463)),INDEX(Settings!$B$29:$B$40,MONTH(A463)))))</f>
        <v/>
      </c>
    </row>
    <row r="464" customFormat="false" ht="15" hidden="false" customHeight="false" outlineLevel="0" collapsed="false">
      <c r="H464" s="0" t="str">
        <f aca="false">IF(B464="","",IF(COUNTIF(Campaigns!$A$7:$A$300,B464)&gt;0,"✓","⚠ add to Campaigns tab"))</f>
        <v/>
      </c>
      <c r="I464" s="84" t="str">
        <f aca="false">IF(C464="","",C464*IF(Settings!$B$25=Settings!$C$6,1,IF(Settings!$B$25="USD",1/INDEX(Settings!$B$29:$B$40,MONTH(A464)),INDEX(Settings!$B$29:$B$40,MONTH(A464)))))</f>
        <v/>
      </c>
    </row>
    <row r="465" customFormat="false" ht="15" hidden="false" customHeight="false" outlineLevel="0" collapsed="false">
      <c r="H465" s="0" t="str">
        <f aca="false">IF(B465="","",IF(COUNTIF(Campaigns!$A$7:$A$300,B465)&gt;0,"✓","⚠ add to Campaigns tab"))</f>
        <v/>
      </c>
      <c r="I465" s="84" t="str">
        <f aca="false">IF(C465="","",C465*IF(Settings!$B$25=Settings!$C$6,1,IF(Settings!$B$25="USD",1/INDEX(Settings!$B$29:$B$40,MONTH(A465)),INDEX(Settings!$B$29:$B$40,MONTH(A465)))))</f>
        <v/>
      </c>
    </row>
    <row r="466" customFormat="false" ht="15" hidden="false" customHeight="false" outlineLevel="0" collapsed="false">
      <c r="H466" s="0" t="str">
        <f aca="false">IF(B466="","",IF(COUNTIF(Campaigns!$A$7:$A$300,B466)&gt;0,"✓","⚠ add to Campaigns tab"))</f>
        <v/>
      </c>
      <c r="I466" s="84" t="str">
        <f aca="false">IF(C466="","",C466*IF(Settings!$B$25=Settings!$C$6,1,IF(Settings!$B$25="USD",1/INDEX(Settings!$B$29:$B$40,MONTH(A466)),INDEX(Settings!$B$29:$B$40,MONTH(A466)))))</f>
        <v/>
      </c>
    </row>
    <row r="467" customFormat="false" ht="15" hidden="false" customHeight="false" outlineLevel="0" collapsed="false">
      <c r="H467" s="0" t="str">
        <f aca="false">IF(B467="","",IF(COUNTIF(Campaigns!$A$7:$A$300,B467)&gt;0,"✓","⚠ add to Campaigns tab"))</f>
        <v/>
      </c>
      <c r="I467" s="84" t="str">
        <f aca="false">IF(C467="","",C467*IF(Settings!$B$25=Settings!$C$6,1,IF(Settings!$B$25="USD",1/INDEX(Settings!$B$29:$B$40,MONTH(A467)),INDEX(Settings!$B$29:$B$40,MONTH(A467)))))</f>
        <v/>
      </c>
    </row>
    <row r="468" customFormat="false" ht="15" hidden="false" customHeight="false" outlineLevel="0" collapsed="false">
      <c r="H468" s="0" t="str">
        <f aca="false">IF(B468="","",IF(COUNTIF(Campaigns!$A$7:$A$300,B468)&gt;0,"✓","⚠ add to Campaigns tab"))</f>
        <v/>
      </c>
      <c r="I468" s="84" t="str">
        <f aca="false">IF(C468="","",C468*IF(Settings!$B$25=Settings!$C$6,1,IF(Settings!$B$25="USD",1/INDEX(Settings!$B$29:$B$40,MONTH(A468)),INDEX(Settings!$B$29:$B$40,MONTH(A468)))))</f>
        <v/>
      </c>
    </row>
    <row r="469" customFormat="false" ht="15" hidden="false" customHeight="false" outlineLevel="0" collapsed="false">
      <c r="H469" s="0" t="str">
        <f aca="false">IF(B469="","",IF(COUNTIF(Campaigns!$A$7:$A$300,B469)&gt;0,"✓","⚠ add to Campaigns tab"))</f>
        <v/>
      </c>
      <c r="I469" s="84" t="str">
        <f aca="false">IF(C469="","",C469*IF(Settings!$B$25=Settings!$C$6,1,IF(Settings!$B$25="USD",1/INDEX(Settings!$B$29:$B$40,MONTH(A469)),INDEX(Settings!$B$29:$B$40,MONTH(A469)))))</f>
        <v/>
      </c>
    </row>
    <row r="470" customFormat="false" ht="15" hidden="false" customHeight="false" outlineLevel="0" collapsed="false">
      <c r="H470" s="0" t="str">
        <f aca="false">IF(B470="","",IF(COUNTIF(Campaigns!$A$7:$A$300,B470)&gt;0,"✓","⚠ add to Campaigns tab"))</f>
        <v/>
      </c>
      <c r="I470" s="84" t="str">
        <f aca="false">IF(C470="","",C470*IF(Settings!$B$25=Settings!$C$6,1,IF(Settings!$B$25="USD",1/INDEX(Settings!$B$29:$B$40,MONTH(A470)),INDEX(Settings!$B$29:$B$40,MONTH(A470)))))</f>
        <v/>
      </c>
    </row>
    <row r="471" customFormat="false" ht="15" hidden="false" customHeight="false" outlineLevel="0" collapsed="false">
      <c r="H471" s="0" t="str">
        <f aca="false">IF(B471="","",IF(COUNTIF(Campaigns!$A$7:$A$300,B471)&gt;0,"✓","⚠ add to Campaigns tab"))</f>
        <v/>
      </c>
      <c r="I471" s="84" t="str">
        <f aca="false">IF(C471="","",C471*IF(Settings!$B$25=Settings!$C$6,1,IF(Settings!$B$25="USD",1/INDEX(Settings!$B$29:$B$40,MONTH(A471)),INDEX(Settings!$B$29:$B$40,MONTH(A471)))))</f>
        <v/>
      </c>
    </row>
    <row r="472" customFormat="false" ht="15" hidden="false" customHeight="false" outlineLevel="0" collapsed="false">
      <c r="H472" s="0" t="str">
        <f aca="false">IF(B472="","",IF(COUNTIF(Campaigns!$A$7:$A$300,B472)&gt;0,"✓","⚠ add to Campaigns tab"))</f>
        <v/>
      </c>
      <c r="I472" s="84" t="str">
        <f aca="false">IF(C472="","",C472*IF(Settings!$B$25=Settings!$C$6,1,IF(Settings!$B$25="USD",1/INDEX(Settings!$B$29:$B$40,MONTH(A472)),INDEX(Settings!$B$29:$B$40,MONTH(A472)))))</f>
        <v/>
      </c>
    </row>
    <row r="473" customFormat="false" ht="15" hidden="false" customHeight="false" outlineLevel="0" collapsed="false">
      <c r="H473" s="0" t="str">
        <f aca="false">IF(B473="","",IF(COUNTIF(Campaigns!$A$7:$A$300,B473)&gt;0,"✓","⚠ add to Campaigns tab"))</f>
        <v/>
      </c>
      <c r="I473" s="84" t="str">
        <f aca="false">IF(C473="","",C473*IF(Settings!$B$25=Settings!$C$6,1,IF(Settings!$B$25="USD",1/INDEX(Settings!$B$29:$B$40,MONTH(A473)),INDEX(Settings!$B$29:$B$40,MONTH(A473)))))</f>
        <v/>
      </c>
    </row>
    <row r="474" customFormat="false" ht="15" hidden="false" customHeight="false" outlineLevel="0" collapsed="false">
      <c r="H474" s="0" t="str">
        <f aca="false">IF(B474="","",IF(COUNTIF(Campaigns!$A$7:$A$300,B474)&gt;0,"✓","⚠ add to Campaigns tab"))</f>
        <v/>
      </c>
      <c r="I474" s="84" t="str">
        <f aca="false">IF(C474="","",C474*IF(Settings!$B$25=Settings!$C$6,1,IF(Settings!$B$25="USD",1/INDEX(Settings!$B$29:$B$40,MONTH(A474)),INDEX(Settings!$B$29:$B$40,MONTH(A474)))))</f>
        <v/>
      </c>
    </row>
    <row r="475" customFormat="false" ht="15" hidden="false" customHeight="false" outlineLevel="0" collapsed="false">
      <c r="H475" s="0" t="str">
        <f aca="false">IF(B475="","",IF(COUNTIF(Campaigns!$A$7:$A$300,B475)&gt;0,"✓","⚠ add to Campaigns tab"))</f>
        <v/>
      </c>
      <c r="I475" s="84" t="str">
        <f aca="false">IF(C475="","",C475*IF(Settings!$B$25=Settings!$C$6,1,IF(Settings!$B$25="USD",1/INDEX(Settings!$B$29:$B$40,MONTH(A475)),INDEX(Settings!$B$29:$B$40,MONTH(A475)))))</f>
        <v/>
      </c>
    </row>
    <row r="476" customFormat="false" ht="15" hidden="false" customHeight="false" outlineLevel="0" collapsed="false">
      <c r="H476" s="0" t="str">
        <f aca="false">IF(B476="","",IF(COUNTIF(Campaigns!$A$7:$A$300,B476)&gt;0,"✓","⚠ add to Campaigns tab"))</f>
        <v/>
      </c>
      <c r="I476" s="84" t="str">
        <f aca="false">IF(C476="","",C476*IF(Settings!$B$25=Settings!$C$6,1,IF(Settings!$B$25="USD",1/INDEX(Settings!$B$29:$B$40,MONTH(A476)),INDEX(Settings!$B$29:$B$40,MONTH(A476)))))</f>
        <v/>
      </c>
    </row>
    <row r="477" customFormat="false" ht="15" hidden="false" customHeight="false" outlineLevel="0" collapsed="false">
      <c r="H477" s="0" t="str">
        <f aca="false">IF(B477="","",IF(COUNTIF(Campaigns!$A$7:$A$300,B477)&gt;0,"✓","⚠ add to Campaigns tab"))</f>
        <v/>
      </c>
      <c r="I477" s="84" t="str">
        <f aca="false">IF(C477="","",C477*IF(Settings!$B$25=Settings!$C$6,1,IF(Settings!$B$25="USD",1/INDEX(Settings!$B$29:$B$40,MONTH(A477)),INDEX(Settings!$B$29:$B$40,MONTH(A477)))))</f>
        <v/>
      </c>
    </row>
    <row r="478" customFormat="false" ht="15" hidden="false" customHeight="false" outlineLevel="0" collapsed="false">
      <c r="H478" s="0" t="str">
        <f aca="false">IF(B478="","",IF(COUNTIF(Campaigns!$A$7:$A$300,B478)&gt;0,"✓","⚠ add to Campaigns tab"))</f>
        <v/>
      </c>
      <c r="I478" s="84" t="str">
        <f aca="false">IF(C478="","",C478*IF(Settings!$B$25=Settings!$C$6,1,IF(Settings!$B$25="USD",1/INDEX(Settings!$B$29:$B$40,MONTH(A478)),INDEX(Settings!$B$29:$B$40,MONTH(A478)))))</f>
        <v/>
      </c>
    </row>
    <row r="479" customFormat="false" ht="15" hidden="false" customHeight="false" outlineLevel="0" collapsed="false">
      <c r="H479" s="0" t="str">
        <f aca="false">IF(B479="","",IF(COUNTIF(Campaigns!$A$7:$A$300,B479)&gt;0,"✓","⚠ add to Campaigns tab"))</f>
        <v/>
      </c>
      <c r="I479" s="84" t="str">
        <f aca="false">IF(C479="","",C479*IF(Settings!$B$25=Settings!$C$6,1,IF(Settings!$B$25="USD",1/INDEX(Settings!$B$29:$B$40,MONTH(A479)),INDEX(Settings!$B$29:$B$40,MONTH(A479)))))</f>
        <v/>
      </c>
    </row>
    <row r="480" customFormat="false" ht="15" hidden="false" customHeight="false" outlineLevel="0" collapsed="false">
      <c r="H480" s="0" t="str">
        <f aca="false">IF(B480="","",IF(COUNTIF(Campaigns!$A$7:$A$300,B480)&gt;0,"✓","⚠ add to Campaigns tab"))</f>
        <v/>
      </c>
      <c r="I480" s="84" t="str">
        <f aca="false">IF(C480="","",C480*IF(Settings!$B$25=Settings!$C$6,1,IF(Settings!$B$25="USD",1/INDEX(Settings!$B$29:$B$40,MONTH(A480)),INDEX(Settings!$B$29:$B$40,MONTH(A480)))))</f>
        <v/>
      </c>
    </row>
    <row r="481" customFormat="false" ht="15" hidden="false" customHeight="false" outlineLevel="0" collapsed="false">
      <c r="H481" s="0" t="str">
        <f aca="false">IF(B481="","",IF(COUNTIF(Campaigns!$A$7:$A$300,B481)&gt;0,"✓","⚠ add to Campaigns tab"))</f>
        <v/>
      </c>
      <c r="I481" s="84" t="str">
        <f aca="false">IF(C481="","",C481*IF(Settings!$B$25=Settings!$C$6,1,IF(Settings!$B$25="USD",1/INDEX(Settings!$B$29:$B$40,MONTH(A481)),INDEX(Settings!$B$29:$B$40,MONTH(A481)))))</f>
        <v/>
      </c>
    </row>
    <row r="482" customFormat="false" ht="15" hidden="false" customHeight="false" outlineLevel="0" collapsed="false">
      <c r="H482" s="0" t="str">
        <f aca="false">IF(B482="","",IF(COUNTIF(Campaigns!$A$7:$A$300,B482)&gt;0,"✓","⚠ add to Campaigns tab"))</f>
        <v/>
      </c>
      <c r="I482" s="84" t="str">
        <f aca="false">IF(C482="","",C482*IF(Settings!$B$25=Settings!$C$6,1,IF(Settings!$B$25="USD",1/INDEX(Settings!$B$29:$B$40,MONTH(A482)),INDEX(Settings!$B$29:$B$40,MONTH(A482)))))</f>
        <v/>
      </c>
    </row>
    <row r="483" customFormat="false" ht="15" hidden="false" customHeight="false" outlineLevel="0" collapsed="false">
      <c r="H483" s="0" t="str">
        <f aca="false">IF(B483="","",IF(COUNTIF(Campaigns!$A$7:$A$300,B483)&gt;0,"✓","⚠ add to Campaigns tab"))</f>
        <v/>
      </c>
      <c r="I483" s="84" t="str">
        <f aca="false">IF(C483="","",C483*IF(Settings!$B$25=Settings!$C$6,1,IF(Settings!$B$25="USD",1/INDEX(Settings!$B$29:$B$40,MONTH(A483)),INDEX(Settings!$B$29:$B$40,MONTH(A483)))))</f>
        <v/>
      </c>
    </row>
    <row r="484" customFormat="false" ht="15" hidden="false" customHeight="false" outlineLevel="0" collapsed="false">
      <c r="H484" s="0" t="str">
        <f aca="false">IF(B484="","",IF(COUNTIF(Campaigns!$A$7:$A$300,B484)&gt;0,"✓","⚠ add to Campaigns tab"))</f>
        <v/>
      </c>
      <c r="I484" s="84" t="str">
        <f aca="false">IF(C484="","",C484*IF(Settings!$B$25=Settings!$C$6,1,IF(Settings!$B$25="USD",1/INDEX(Settings!$B$29:$B$40,MONTH(A484)),INDEX(Settings!$B$29:$B$40,MONTH(A484)))))</f>
        <v/>
      </c>
    </row>
    <row r="485" customFormat="false" ht="15" hidden="false" customHeight="false" outlineLevel="0" collapsed="false">
      <c r="H485" s="0" t="str">
        <f aca="false">IF(B485="","",IF(COUNTIF(Campaigns!$A$7:$A$300,B485)&gt;0,"✓","⚠ add to Campaigns tab"))</f>
        <v/>
      </c>
      <c r="I485" s="84" t="str">
        <f aca="false">IF(C485="","",C485*IF(Settings!$B$25=Settings!$C$6,1,IF(Settings!$B$25="USD",1/INDEX(Settings!$B$29:$B$40,MONTH(A485)),INDEX(Settings!$B$29:$B$40,MONTH(A485)))))</f>
        <v/>
      </c>
    </row>
    <row r="486" customFormat="false" ht="15" hidden="false" customHeight="false" outlineLevel="0" collapsed="false">
      <c r="H486" s="0" t="str">
        <f aca="false">IF(B486="","",IF(COUNTIF(Campaigns!$A$7:$A$300,B486)&gt;0,"✓","⚠ add to Campaigns tab"))</f>
        <v/>
      </c>
      <c r="I486" s="84" t="str">
        <f aca="false">IF(C486="","",C486*IF(Settings!$B$25=Settings!$C$6,1,IF(Settings!$B$25="USD",1/INDEX(Settings!$B$29:$B$40,MONTH(A486)),INDEX(Settings!$B$29:$B$40,MONTH(A486)))))</f>
        <v/>
      </c>
    </row>
    <row r="487" customFormat="false" ht="15" hidden="false" customHeight="false" outlineLevel="0" collapsed="false">
      <c r="H487" s="0" t="str">
        <f aca="false">IF(B487="","",IF(COUNTIF(Campaigns!$A$7:$A$300,B487)&gt;0,"✓","⚠ add to Campaigns tab"))</f>
        <v/>
      </c>
      <c r="I487" s="84" t="str">
        <f aca="false">IF(C487="","",C487*IF(Settings!$B$25=Settings!$C$6,1,IF(Settings!$B$25="USD",1/INDEX(Settings!$B$29:$B$40,MONTH(A487)),INDEX(Settings!$B$29:$B$40,MONTH(A487)))))</f>
        <v/>
      </c>
    </row>
    <row r="488" customFormat="false" ht="15" hidden="false" customHeight="false" outlineLevel="0" collapsed="false">
      <c r="H488" s="0" t="str">
        <f aca="false">IF(B488="","",IF(COUNTIF(Campaigns!$A$7:$A$300,B488)&gt;0,"✓","⚠ add to Campaigns tab"))</f>
        <v/>
      </c>
      <c r="I488" s="84" t="str">
        <f aca="false">IF(C488="","",C488*IF(Settings!$B$25=Settings!$C$6,1,IF(Settings!$B$25="USD",1/INDEX(Settings!$B$29:$B$40,MONTH(A488)),INDEX(Settings!$B$29:$B$40,MONTH(A488)))))</f>
        <v/>
      </c>
    </row>
    <row r="489" customFormat="false" ht="15" hidden="false" customHeight="false" outlineLevel="0" collapsed="false">
      <c r="H489" s="0" t="str">
        <f aca="false">IF(B489="","",IF(COUNTIF(Campaigns!$A$7:$A$300,B489)&gt;0,"✓","⚠ add to Campaigns tab"))</f>
        <v/>
      </c>
      <c r="I489" s="84" t="str">
        <f aca="false">IF(C489="","",C489*IF(Settings!$B$25=Settings!$C$6,1,IF(Settings!$B$25="USD",1/INDEX(Settings!$B$29:$B$40,MONTH(A489)),INDEX(Settings!$B$29:$B$40,MONTH(A489)))))</f>
        <v/>
      </c>
    </row>
    <row r="490" customFormat="false" ht="15" hidden="false" customHeight="false" outlineLevel="0" collapsed="false">
      <c r="H490" s="0" t="str">
        <f aca="false">IF(B490="","",IF(COUNTIF(Campaigns!$A$7:$A$300,B490)&gt;0,"✓","⚠ add to Campaigns tab"))</f>
        <v/>
      </c>
      <c r="I490" s="84" t="str">
        <f aca="false">IF(C490="","",C490*IF(Settings!$B$25=Settings!$C$6,1,IF(Settings!$B$25="USD",1/INDEX(Settings!$B$29:$B$40,MONTH(A490)),INDEX(Settings!$B$29:$B$40,MONTH(A490)))))</f>
        <v/>
      </c>
    </row>
    <row r="491" customFormat="false" ht="15" hidden="false" customHeight="false" outlineLevel="0" collapsed="false">
      <c r="H491" s="0" t="str">
        <f aca="false">IF(B491="","",IF(COUNTIF(Campaigns!$A$7:$A$300,B491)&gt;0,"✓","⚠ add to Campaigns tab"))</f>
        <v/>
      </c>
      <c r="I491" s="84" t="str">
        <f aca="false">IF(C491="","",C491*IF(Settings!$B$25=Settings!$C$6,1,IF(Settings!$B$25="USD",1/INDEX(Settings!$B$29:$B$40,MONTH(A491)),INDEX(Settings!$B$29:$B$40,MONTH(A491)))))</f>
        <v/>
      </c>
    </row>
    <row r="492" customFormat="false" ht="15" hidden="false" customHeight="false" outlineLevel="0" collapsed="false">
      <c r="H492" s="0" t="str">
        <f aca="false">IF(B492="","",IF(COUNTIF(Campaigns!$A$7:$A$300,B492)&gt;0,"✓","⚠ add to Campaigns tab"))</f>
        <v/>
      </c>
      <c r="I492" s="84" t="str">
        <f aca="false">IF(C492="","",C492*IF(Settings!$B$25=Settings!$C$6,1,IF(Settings!$B$25="USD",1/INDEX(Settings!$B$29:$B$40,MONTH(A492)),INDEX(Settings!$B$29:$B$40,MONTH(A492)))))</f>
        <v/>
      </c>
    </row>
    <row r="493" customFormat="false" ht="15" hidden="false" customHeight="false" outlineLevel="0" collapsed="false">
      <c r="H493" s="0" t="str">
        <f aca="false">IF(B493="","",IF(COUNTIF(Campaigns!$A$7:$A$300,B493)&gt;0,"✓","⚠ add to Campaigns tab"))</f>
        <v/>
      </c>
      <c r="I493" s="84" t="str">
        <f aca="false">IF(C493="","",C493*IF(Settings!$B$25=Settings!$C$6,1,IF(Settings!$B$25="USD",1/INDEX(Settings!$B$29:$B$40,MONTH(A493)),INDEX(Settings!$B$29:$B$40,MONTH(A493)))))</f>
        <v/>
      </c>
    </row>
    <row r="494" customFormat="false" ht="15" hidden="false" customHeight="false" outlineLevel="0" collapsed="false">
      <c r="H494" s="0" t="str">
        <f aca="false">IF(B494="","",IF(COUNTIF(Campaigns!$A$7:$A$300,B494)&gt;0,"✓","⚠ add to Campaigns tab"))</f>
        <v/>
      </c>
      <c r="I494" s="84" t="str">
        <f aca="false">IF(C494="","",C494*IF(Settings!$B$25=Settings!$C$6,1,IF(Settings!$B$25="USD",1/INDEX(Settings!$B$29:$B$40,MONTH(A494)),INDEX(Settings!$B$29:$B$40,MONTH(A494)))))</f>
        <v/>
      </c>
    </row>
    <row r="495" customFormat="false" ht="15" hidden="false" customHeight="false" outlineLevel="0" collapsed="false">
      <c r="H495" s="0" t="str">
        <f aca="false">IF(B495="","",IF(COUNTIF(Campaigns!$A$7:$A$300,B495)&gt;0,"✓","⚠ add to Campaigns tab"))</f>
        <v/>
      </c>
      <c r="I495" s="84" t="str">
        <f aca="false">IF(C495="","",C495*IF(Settings!$B$25=Settings!$C$6,1,IF(Settings!$B$25="USD",1/INDEX(Settings!$B$29:$B$40,MONTH(A495)),INDEX(Settings!$B$29:$B$40,MONTH(A495)))))</f>
        <v/>
      </c>
    </row>
    <row r="496" customFormat="false" ht="15" hidden="false" customHeight="false" outlineLevel="0" collapsed="false">
      <c r="H496" s="0" t="str">
        <f aca="false">IF(B496="","",IF(COUNTIF(Campaigns!$A$7:$A$300,B496)&gt;0,"✓","⚠ add to Campaigns tab"))</f>
        <v/>
      </c>
      <c r="I496" s="84" t="str">
        <f aca="false">IF(C496="","",C496*IF(Settings!$B$25=Settings!$C$6,1,IF(Settings!$B$25="USD",1/INDEX(Settings!$B$29:$B$40,MONTH(A496)),INDEX(Settings!$B$29:$B$40,MONTH(A496)))))</f>
        <v/>
      </c>
    </row>
    <row r="497" customFormat="false" ht="15" hidden="false" customHeight="false" outlineLevel="0" collapsed="false">
      <c r="H497" s="0" t="str">
        <f aca="false">IF(B497="","",IF(COUNTIF(Campaigns!$A$7:$A$300,B497)&gt;0,"✓","⚠ add to Campaigns tab"))</f>
        <v/>
      </c>
      <c r="I497" s="84" t="str">
        <f aca="false">IF(C497="","",C497*IF(Settings!$B$25=Settings!$C$6,1,IF(Settings!$B$25="USD",1/INDEX(Settings!$B$29:$B$40,MONTH(A497)),INDEX(Settings!$B$29:$B$40,MONTH(A497)))))</f>
        <v/>
      </c>
    </row>
    <row r="498" customFormat="false" ht="15" hidden="false" customHeight="false" outlineLevel="0" collapsed="false">
      <c r="H498" s="0" t="str">
        <f aca="false">IF(B498="","",IF(COUNTIF(Campaigns!$A$7:$A$300,B498)&gt;0,"✓","⚠ add to Campaigns tab"))</f>
        <v/>
      </c>
      <c r="I498" s="84" t="str">
        <f aca="false">IF(C498="","",C498*IF(Settings!$B$25=Settings!$C$6,1,IF(Settings!$B$25="USD",1/INDEX(Settings!$B$29:$B$40,MONTH(A498)),INDEX(Settings!$B$29:$B$40,MONTH(A498)))))</f>
        <v/>
      </c>
    </row>
    <row r="499" customFormat="false" ht="15" hidden="false" customHeight="false" outlineLevel="0" collapsed="false">
      <c r="H499" s="0" t="str">
        <f aca="false">IF(B499="","",IF(COUNTIF(Campaigns!$A$7:$A$300,B499)&gt;0,"✓","⚠ add to Campaigns tab"))</f>
        <v/>
      </c>
      <c r="I499" s="84" t="str">
        <f aca="false">IF(C499="","",C499*IF(Settings!$B$25=Settings!$C$6,1,IF(Settings!$B$25="USD",1/INDEX(Settings!$B$29:$B$40,MONTH(A499)),INDEX(Settings!$B$29:$B$40,MONTH(A499)))))</f>
        <v/>
      </c>
    </row>
    <row r="500" customFormat="false" ht="15" hidden="false" customHeight="false" outlineLevel="0" collapsed="false">
      <c r="H500" s="0" t="str">
        <f aca="false">IF(B500="","",IF(COUNTIF(Campaigns!$A$7:$A$300,B500)&gt;0,"✓","⚠ add to Campaigns tab"))</f>
        <v/>
      </c>
      <c r="I500" s="84" t="str">
        <f aca="false">IF(C500="","",C500*IF(Settings!$B$25=Settings!$C$6,1,IF(Settings!$B$25="USD",1/INDEX(Settings!$B$29:$B$40,MONTH(A500)),INDEX(Settings!$B$29:$B$40,MONTH(A500)))))</f>
        <v/>
      </c>
    </row>
    <row r="501" customFormat="false" ht="15" hidden="false" customHeight="false" outlineLevel="0" collapsed="false">
      <c r="H501" s="0" t="str">
        <f aca="false">IF(B501="","",IF(COUNTIF(Campaigns!$A$7:$A$300,B501)&gt;0,"✓","⚠ add to Campaigns tab"))</f>
        <v/>
      </c>
      <c r="I501" s="84" t="str">
        <f aca="false">IF(C501="","",C501*IF(Settings!$B$25=Settings!$C$6,1,IF(Settings!$B$25="USD",1/INDEX(Settings!$B$29:$B$40,MONTH(A501)),INDEX(Settings!$B$29:$B$40,MONTH(A501)))))</f>
        <v/>
      </c>
    </row>
    <row r="502" customFormat="false" ht="15" hidden="false" customHeight="false" outlineLevel="0" collapsed="false">
      <c r="H502" s="0" t="str">
        <f aca="false">IF(B502="","",IF(COUNTIF(Campaigns!$A$7:$A$300,B502)&gt;0,"✓","⚠ add to Campaigns tab"))</f>
        <v/>
      </c>
      <c r="I502" s="84" t="str">
        <f aca="false">IF(C502="","",C502*IF(Settings!$B$25=Settings!$C$6,1,IF(Settings!$B$25="USD",1/INDEX(Settings!$B$29:$B$40,MONTH(A502)),INDEX(Settings!$B$29:$B$40,MONTH(A502)))))</f>
        <v/>
      </c>
    </row>
    <row r="503" customFormat="false" ht="15" hidden="false" customHeight="false" outlineLevel="0" collapsed="false">
      <c r="H503" s="0" t="str">
        <f aca="false">IF(B503="","",IF(COUNTIF(Campaigns!$A$7:$A$300,B503)&gt;0,"✓","⚠ add to Campaigns tab"))</f>
        <v/>
      </c>
      <c r="I503" s="84" t="str">
        <f aca="false">IF(C503="","",C503*IF(Settings!$B$25=Settings!$C$6,1,IF(Settings!$B$25="USD",1/INDEX(Settings!$B$29:$B$40,MONTH(A503)),INDEX(Settings!$B$29:$B$40,MONTH(A503)))))</f>
        <v/>
      </c>
    </row>
    <row r="504" customFormat="false" ht="15" hidden="false" customHeight="false" outlineLevel="0" collapsed="false">
      <c r="H504" s="0" t="str">
        <f aca="false">IF(B504="","",IF(COUNTIF(Campaigns!$A$7:$A$300,B504)&gt;0,"✓","⚠ add to Campaigns tab"))</f>
        <v/>
      </c>
      <c r="I504" s="84" t="str">
        <f aca="false">IF(C504="","",C504*IF(Settings!$B$25=Settings!$C$6,1,IF(Settings!$B$25="USD",1/INDEX(Settings!$B$29:$B$40,MONTH(A504)),INDEX(Settings!$B$29:$B$40,MONTH(A504)))))</f>
        <v/>
      </c>
    </row>
    <row r="505" customFormat="false" ht="15" hidden="false" customHeight="false" outlineLevel="0" collapsed="false">
      <c r="H505" s="0" t="str">
        <f aca="false">IF(B505="","",IF(COUNTIF(Campaigns!$A$7:$A$300,B505)&gt;0,"✓","⚠ add to Campaigns tab"))</f>
        <v/>
      </c>
      <c r="I505" s="84" t="str">
        <f aca="false">IF(C505="","",C505*IF(Settings!$B$25=Settings!$C$6,1,IF(Settings!$B$25="USD",1/INDEX(Settings!$B$29:$B$40,MONTH(A505)),INDEX(Settings!$B$29:$B$40,MONTH(A505)))))</f>
        <v/>
      </c>
    </row>
    <row r="506" customFormat="false" ht="15" hidden="false" customHeight="false" outlineLevel="0" collapsed="false">
      <c r="H506" s="0" t="str">
        <f aca="false">IF(B506="","",IF(COUNTIF(Campaigns!$A$7:$A$300,B506)&gt;0,"✓","⚠ add to Campaigns tab"))</f>
        <v/>
      </c>
      <c r="I506" s="84" t="str">
        <f aca="false">IF(C506="","",C506*IF(Settings!$B$25=Settings!$C$6,1,IF(Settings!$B$25="USD",1/INDEX(Settings!$B$29:$B$40,MONTH(A506)),INDEX(Settings!$B$29:$B$40,MONTH(A506)))))</f>
        <v/>
      </c>
    </row>
    <row r="507" customFormat="false" ht="15" hidden="false" customHeight="false" outlineLevel="0" collapsed="false">
      <c r="H507" s="0" t="str">
        <f aca="false">IF(B507="","",IF(COUNTIF(Campaigns!$A$7:$A$300,B507)&gt;0,"✓","⚠ add to Campaigns tab"))</f>
        <v/>
      </c>
      <c r="I507" s="84" t="str">
        <f aca="false">IF(C507="","",C507*IF(Settings!$B$25=Settings!$C$6,1,IF(Settings!$B$25="USD",1/INDEX(Settings!$B$29:$B$40,MONTH(A507)),INDEX(Settings!$B$29:$B$40,MONTH(A507)))))</f>
        <v/>
      </c>
    </row>
    <row r="508" customFormat="false" ht="15" hidden="false" customHeight="false" outlineLevel="0" collapsed="false">
      <c r="H508" s="0" t="str">
        <f aca="false">IF(B508="","",IF(COUNTIF(Campaigns!$A$7:$A$300,B508)&gt;0,"✓","⚠ add to Campaigns tab"))</f>
        <v/>
      </c>
      <c r="I508" s="84" t="str">
        <f aca="false">IF(C508="","",C508*IF(Settings!$B$25=Settings!$C$6,1,IF(Settings!$B$25="USD",1/INDEX(Settings!$B$29:$B$40,MONTH(A508)),INDEX(Settings!$B$29:$B$40,MONTH(A508)))))</f>
        <v/>
      </c>
    </row>
    <row r="509" customFormat="false" ht="15" hidden="false" customHeight="false" outlineLevel="0" collapsed="false">
      <c r="H509" s="0" t="str">
        <f aca="false">IF(B509="","",IF(COUNTIF(Campaigns!$A$7:$A$300,B509)&gt;0,"✓","⚠ add to Campaigns tab"))</f>
        <v/>
      </c>
      <c r="I509" s="84" t="str">
        <f aca="false">IF(C509="","",C509*IF(Settings!$B$25=Settings!$C$6,1,IF(Settings!$B$25="USD",1/INDEX(Settings!$B$29:$B$40,MONTH(A509)),INDEX(Settings!$B$29:$B$40,MONTH(A509)))))</f>
        <v/>
      </c>
    </row>
    <row r="510" customFormat="false" ht="15" hidden="false" customHeight="false" outlineLevel="0" collapsed="false">
      <c r="H510" s="0" t="str">
        <f aca="false">IF(B510="","",IF(COUNTIF(Campaigns!$A$7:$A$300,B510)&gt;0,"✓","⚠ add to Campaigns tab"))</f>
        <v/>
      </c>
      <c r="I510" s="84" t="str">
        <f aca="false">IF(C510="","",C510*IF(Settings!$B$25=Settings!$C$6,1,IF(Settings!$B$25="USD",1/INDEX(Settings!$B$29:$B$40,MONTH(A510)),INDEX(Settings!$B$29:$B$40,MONTH(A510)))))</f>
        <v/>
      </c>
    </row>
    <row r="511" customFormat="false" ht="15" hidden="false" customHeight="false" outlineLevel="0" collapsed="false">
      <c r="H511" s="0" t="str">
        <f aca="false">IF(B511="","",IF(COUNTIF(Campaigns!$A$7:$A$300,B511)&gt;0,"✓","⚠ add to Campaigns tab"))</f>
        <v/>
      </c>
      <c r="I511" s="84" t="str">
        <f aca="false">IF(C511="","",C511*IF(Settings!$B$25=Settings!$C$6,1,IF(Settings!$B$25="USD",1/INDEX(Settings!$B$29:$B$40,MONTH(A511)),INDEX(Settings!$B$29:$B$40,MONTH(A511)))))</f>
        <v/>
      </c>
    </row>
    <row r="512" customFormat="false" ht="15" hidden="false" customHeight="false" outlineLevel="0" collapsed="false">
      <c r="H512" s="0" t="str">
        <f aca="false">IF(B512="","",IF(COUNTIF(Campaigns!$A$7:$A$300,B512)&gt;0,"✓","⚠ add to Campaigns tab"))</f>
        <v/>
      </c>
      <c r="I512" s="84" t="str">
        <f aca="false">IF(C512="","",C512*IF(Settings!$B$25=Settings!$C$6,1,IF(Settings!$B$25="USD",1/INDEX(Settings!$B$29:$B$40,MONTH(A512)),INDEX(Settings!$B$29:$B$40,MONTH(A512)))))</f>
        <v/>
      </c>
    </row>
    <row r="513" customFormat="false" ht="15" hidden="false" customHeight="false" outlineLevel="0" collapsed="false">
      <c r="H513" s="0" t="str">
        <f aca="false">IF(B513="","",IF(COUNTIF(Campaigns!$A$7:$A$300,B513)&gt;0,"✓","⚠ add to Campaigns tab"))</f>
        <v/>
      </c>
      <c r="I513" s="84" t="str">
        <f aca="false">IF(C513="","",C513*IF(Settings!$B$25=Settings!$C$6,1,IF(Settings!$B$25="USD",1/INDEX(Settings!$B$29:$B$40,MONTH(A513)),INDEX(Settings!$B$29:$B$40,MONTH(A513)))))</f>
        <v/>
      </c>
    </row>
    <row r="514" customFormat="false" ht="15" hidden="false" customHeight="false" outlineLevel="0" collapsed="false">
      <c r="H514" s="0" t="str">
        <f aca="false">IF(B514="","",IF(COUNTIF(Campaigns!$A$7:$A$300,B514)&gt;0,"✓","⚠ add to Campaigns tab"))</f>
        <v/>
      </c>
      <c r="I514" s="84" t="str">
        <f aca="false">IF(C514="","",C514*IF(Settings!$B$25=Settings!$C$6,1,IF(Settings!$B$25="USD",1/INDEX(Settings!$B$29:$B$40,MONTH(A514)),INDEX(Settings!$B$29:$B$40,MONTH(A514)))))</f>
        <v/>
      </c>
    </row>
    <row r="515" customFormat="false" ht="15" hidden="false" customHeight="false" outlineLevel="0" collapsed="false">
      <c r="H515" s="0" t="str">
        <f aca="false">IF(B515="","",IF(COUNTIF(Campaigns!$A$7:$A$300,B515)&gt;0,"✓","⚠ add to Campaigns tab"))</f>
        <v/>
      </c>
      <c r="I515" s="84" t="str">
        <f aca="false">IF(C515="","",C515*IF(Settings!$B$25=Settings!$C$6,1,IF(Settings!$B$25="USD",1/INDEX(Settings!$B$29:$B$40,MONTH(A515)),INDEX(Settings!$B$29:$B$40,MONTH(A515)))))</f>
        <v/>
      </c>
    </row>
    <row r="516" customFormat="false" ht="15" hidden="false" customHeight="false" outlineLevel="0" collapsed="false">
      <c r="H516" s="0" t="str">
        <f aca="false">IF(B516="","",IF(COUNTIF(Campaigns!$A$7:$A$300,B516)&gt;0,"✓","⚠ add to Campaigns tab"))</f>
        <v/>
      </c>
      <c r="I516" s="84" t="str">
        <f aca="false">IF(C516="","",C516*IF(Settings!$B$25=Settings!$C$6,1,IF(Settings!$B$25="USD",1/INDEX(Settings!$B$29:$B$40,MONTH(A516)),INDEX(Settings!$B$29:$B$40,MONTH(A516)))))</f>
        <v/>
      </c>
    </row>
    <row r="517" customFormat="false" ht="15" hidden="false" customHeight="false" outlineLevel="0" collapsed="false">
      <c r="H517" s="0" t="str">
        <f aca="false">IF(B517="","",IF(COUNTIF(Campaigns!$A$7:$A$300,B517)&gt;0,"✓","⚠ add to Campaigns tab"))</f>
        <v/>
      </c>
      <c r="I517" s="84" t="str">
        <f aca="false">IF(C517="","",C517*IF(Settings!$B$25=Settings!$C$6,1,IF(Settings!$B$25="USD",1/INDEX(Settings!$B$29:$B$40,MONTH(A517)),INDEX(Settings!$B$29:$B$40,MONTH(A517)))))</f>
        <v/>
      </c>
    </row>
    <row r="518" customFormat="false" ht="15" hidden="false" customHeight="false" outlineLevel="0" collapsed="false">
      <c r="H518" s="0" t="str">
        <f aca="false">IF(B518="","",IF(COUNTIF(Campaigns!$A$7:$A$300,B518)&gt;0,"✓","⚠ add to Campaigns tab"))</f>
        <v/>
      </c>
      <c r="I518" s="84" t="str">
        <f aca="false">IF(C518="","",C518*IF(Settings!$B$25=Settings!$C$6,1,IF(Settings!$B$25="USD",1/INDEX(Settings!$B$29:$B$40,MONTH(A518)),INDEX(Settings!$B$29:$B$40,MONTH(A518)))))</f>
        <v/>
      </c>
    </row>
    <row r="519" customFormat="false" ht="15" hidden="false" customHeight="false" outlineLevel="0" collapsed="false">
      <c r="H519" s="0" t="str">
        <f aca="false">IF(B519="","",IF(COUNTIF(Campaigns!$A$7:$A$300,B519)&gt;0,"✓","⚠ add to Campaigns tab"))</f>
        <v/>
      </c>
      <c r="I519" s="84" t="str">
        <f aca="false">IF(C519="","",C519*IF(Settings!$B$25=Settings!$C$6,1,IF(Settings!$B$25="USD",1/INDEX(Settings!$B$29:$B$40,MONTH(A519)),INDEX(Settings!$B$29:$B$40,MONTH(A519)))))</f>
        <v/>
      </c>
    </row>
    <row r="520" customFormat="false" ht="15" hidden="false" customHeight="false" outlineLevel="0" collapsed="false">
      <c r="H520" s="0" t="str">
        <f aca="false">IF(B520="","",IF(COUNTIF(Campaigns!$A$7:$A$300,B520)&gt;0,"✓","⚠ add to Campaigns tab"))</f>
        <v/>
      </c>
      <c r="I520" s="84" t="str">
        <f aca="false">IF(C520="","",C520*IF(Settings!$B$25=Settings!$C$6,1,IF(Settings!$B$25="USD",1/INDEX(Settings!$B$29:$B$40,MONTH(A520)),INDEX(Settings!$B$29:$B$40,MONTH(A520)))))</f>
        <v/>
      </c>
    </row>
    <row r="521" customFormat="false" ht="15" hidden="false" customHeight="false" outlineLevel="0" collapsed="false">
      <c r="H521" s="0" t="str">
        <f aca="false">IF(B521="","",IF(COUNTIF(Campaigns!$A$7:$A$300,B521)&gt;0,"✓","⚠ add to Campaigns tab"))</f>
        <v/>
      </c>
      <c r="I521" s="84" t="str">
        <f aca="false">IF(C521="","",C521*IF(Settings!$B$25=Settings!$C$6,1,IF(Settings!$B$25="USD",1/INDEX(Settings!$B$29:$B$40,MONTH(A521)),INDEX(Settings!$B$29:$B$40,MONTH(A521)))))</f>
        <v/>
      </c>
    </row>
    <row r="522" customFormat="false" ht="15" hidden="false" customHeight="false" outlineLevel="0" collapsed="false">
      <c r="H522" s="0" t="str">
        <f aca="false">IF(B522="","",IF(COUNTIF(Campaigns!$A$7:$A$300,B522)&gt;0,"✓","⚠ add to Campaigns tab"))</f>
        <v/>
      </c>
      <c r="I522" s="84" t="str">
        <f aca="false">IF(C522="","",C522*IF(Settings!$B$25=Settings!$C$6,1,IF(Settings!$B$25="USD",1/INDEX(Settings!$B$29:$B$40,MONTH(A522)),INDEX(Settings!$B$29:$B$40,MONTH(A522)))))</f>
        <v/>
      </c>
    </row>
    <row r="523" customFormat="false" ht="15" hidden="false" customHeight="false" outlineLevel="0" collapsed="false">
      <c r="H523" s="0" t="str">
        <f aca="false">IF(B523="","",IF(COUNTIF(Campaigns!$A$7:$A$300,B523)&gt;0,"✓","⚠ add to Campaigns tab"))</f>
        <v/>
      </c>
      <c r="I523" s="84" t="str">
        <f aca="false">IF(C523="","",C523*IF(Settings!$B$25=Settings!$C$6,1,IF(Settings!$B$25="USD",1/INDEX(Settings!$B$29:$B$40,MONTH(A523)),INDEX(Settings!$B$29:$B$40,MONTH(A523)))))</f>
        <v/>
      </c>
    </row>
    <row r="524" customFormat="false" ht="15" hidden="false" customHeight="false" outlineLevel="0" collapsed="false">
      <c r="H524" s="0" t="str">
        <f aca="false">IF(B524="","",IF(COUNTIF(Campaigns!$A$7:$A$300,B524)&gt;0,"✓","⚠ add to Campaigns tab"))</f>
        <v/>
      </c>
      <c r="I524" s="84" t="str">
        <f aca="false">IF(C524="","",C524*IF(Settings!$B$25=Settings!$C$6,1,IF(Settings!$B$25="USD",1/INDEX(Settings!$B$29:$B$40,MONTH(A524)),INDEX(Settings!$B$29:$B$40,MONTH(A524)))))</f>
        <v/>
      </c>
    </row>
    <row r="525" customFormat="false" ht="15" hidden="false" customHeight="false" outlineLevel="0" collapsed="false">
      <c r="H525" s="0" t="str">
        <f aca="false">IF(B525="","",IF(COUNTIF(Campaigns!$A$7:$A$300,B525)&gt;0,"✓","⚠ add to Campaigns tab"))</f>
        <v/>
      </c>
      <c r="I525" s="84" t="str">
        <f aca="false">IF(C525="","",C525*IF(Settings!$B$25=Settings!$C$6,1,IF(Settings!$B$25="USD",1/INDEX(Settings!$B$29:$B$40,MONTH(A525)),INDEX(Settings!$B$29:$B$40,MONTH(A525)))))</f>
        <v/>
      </c>
    </row>
    <row r="526" customFormat="false" ht="15" hidden="false" customHeight="false" outlineLevel="0" collapsed="false">
      <c r="H526" s="0" t="str">
        <f aca="false">IF(B526="","",IF(COUNTIF(Campaigns!$A$7:$A$300,B526)&gt;0,"✓","⚠ add to Campaigns tab"))</f>
        <v/>
      </c>
      <c r="I526" s="84" t="str">
        <f aca="false">IF(C526="","",C526*IF(Settings!$B$25=Settings!$C$6,1,IF(Settings!$B$25="USD",1/INDEX(Settings!$B$29:$B$40,MONTH(A526)),INDEX(Settings!$B$29:$B$40,MONTH(A526)))))</f>
        <v/>
      </c>
    </row>
    <row r="527" customFormat="false" ht="15" hidden="false" customHeight="false" outlineLevel="0" collapsed="false">
      <c r="H527" s="0" t="str">
        <f aca="false">IF(B527="","",IF(COUNTIF(Campaigns!$A$7:$A$300,B527)&gt;0,"✓","⚠ add to Campaigns tab"))</f>
        <v/>
      </c>
      <c r="I527" s="84" t="str">
        <f aca="false">IF(C527="","",C527*IF(Settings!$B$25=Settings!$C$6,1,IF(Settings!$B$25="USD",1/INDEX(Settings!$B$29:$B$40,MONTH(A527)),INDEX(Settings!$B$29:$B$40,MONTH(A527)))))</f>
        <v/>
      </c>
    </row>
    <row r="528" customFormat="false" ht="15" hidden="false" customHeight="false" outlineLevel="0" collapsed="false">
      <c r="H528" s="0" t="str">
        <f aca="false">IF(B528="","",IF(COUNTIF(Campaigns!$A$7:$A$300,B528)&gt;0,"✓","⚠ add to Campaigns tab"))</f>
        <v/>
      </c>
      <c r="I528" s="84" t="str">
        <f aca="false">IF(C528="","",C528*IF(Settings!$B$25=Settings!$C$6,1,IF(Settings!$B$25="USD",1/INDEX(Settings!$B$29:$B$40,MONTH(A528)),INDEX(Settings!$B$29:$B$40,MONTH(A528)))))</f>
        <v/>
      </c>
    </row>
    <row r="529" customFormat="false" ht="15" hidden="false" customHeight="false" outlineLevel="0" collapsed="false">
      <c r="H529" s="0" t="str">
        <f aca="false">IF(B529="","",IF(COUNTIF(Campaigns!$A$7:$A$300,B529)&gt;0,"✓","⚠ add to Campaigns tab"))</f>
        <v/>
      </c>
      <c r="I529" s="84" t="str">
        <f aca="false">IF(C529="","",C529*IF(Settings!$B$25=Settings!$C$6,1,IF(Settings!$B$25="USD",1/INDEX(Settings!$B$29:$B$40,MONTH(A529)),INDEX(Settings!$B$29:$B$40,MONTH(A529)))))</f>
        <v/>
      </c>
    </row>
    <row r="530" customFormat="false" ht="15" hidden="false" customHeight="false" outlineLevel="0" collapsed="false">
      <c r="H530" s="0" t="str">
        <f aca="false">IF(B530="","",IF(COUNTIF(Campaigns!$A$7:$A$300,B530)&gt;0,"✓","⚠ add to Campaigns tab"))</f>
        <v/>
      </c>
      <c r="I530" s="84" t="str">
        <f aca="false">IF(C530="","",C530*IF(Settings!$B$25=Settings!$C$6,1,IF(Settings!$B$25="USD",1/INDEX(Settings!$B$29:$B$40,MONTH(A530)),INDEX(Settings!$B$29:$B$40,MONTH(A530)))))</f>
        <v/>
      </c>
    </row>
    <row r="531" customFormat="false" ht="15" hidden="false" customHeight="false" outlineLevel="0" collapsed="false">
      <c r="H531" s="0" t="str">
        <f aca="false">IF(B531="","",IF(COUNTIF(Campaigns!$A$7:$A$300,B531)&gt;0,"✓","⚠ add to Campaigns tab"))</f>
        <v/>
      </c>
      <c r="I531" s="84" t="str">
        <f aca="false">IF(C531="","",C531*IF(Settings!$B$25=Settings!$C$6,1,IF(Settings!$B$25="USD",1/INDEX(Settings!$B$29:$B$40,MONTH(A531)),INDEX(Settings!$B$29:$B$40,MONTH(A531)))))</f>
        <v/>
      </c>
    </row>
    <row r="532" customFormat="false" ht="15" hidden="false" customHeight="false" outlineLevel="0" collapsed="false">
      <c r="H532" s="0" t="str">
        <f aca="false">IF(B532="","",IF(COUNTIF(Campaigns!$A$7:$A$300,B532)&gt;0,"✓","⚠ add to Campaigns tab"))</f>
        <v/>
      </c>
      <c r="I532" s="84" t="str">
        <f aca="false">IF(C532="","",C532*IF(Settings!$B$25=Settings!$C$6,1,IF(Settings!$B$25="USD",1/INDEX(Settings!$B$29:$B$40,MONTH(A532)),INDEX(Settings!$B$29:$B$40,MONTH(A532)))))</f>
        <v/>
      </c>
    </row>
    <row r="533" customFormat="false" ht="15" hidden="false" customHeight="false" outlineLevel="0" collapsed="false">
      <c r="H533" s="0" t="str">
        <f aca="false">IF(B533="","",IF(COUNTIF(Campaigns!$A$7:$A$300,B533)&gt;0,"✓","⚠ add to Campaigns tab"))</f>
        <v/>
      </c>
      <c r="I533" s="84" t="str">
        <f aca="false">IF(C533="","",C533*IF(Settings!$B$25=Settings!$C$6,1,IF(Settings!$B$25="USD",1/INDEX(Settings!$B$29:$B$40,MONTH(A533)),INDEX(Settings!$B$29:$B$40,MONTH(A533)))))</f>
        <v/>
      </c>
    </row>
    <row r="534" customFormat="false" ht="15" hidden="false" customHeight="false" outlineLevel="0" collapsed="false">
      <c r="H534" s="0" t="str">
        <f aca="false">IF(B534="","",IF(COUNTIF(Campaigns!$A$7:$A$300,B534)&gt;0,"✓","⚠ add to Campaigns tab"))</f>
        <v/>
      </c>
      <c r="I534" s="84" t="str">
        <f aca="false">IF(C534="","",C534*IF(Settings!$B$25=Settings!$C$6,1,IF(Settings!$B$25="USD",1/INDEX(Settings!$B$29:$B$40,MONTH(A534)),INDEX(Settings!$B$29:$B$40,MONTH(A534)))))</f>
        <v/>
      </c>
    </row>
    <row r="535" customFormat="false" ht="15" hidden="false" customHeight="false" outlineLevel="0" collapsed="false">
      <c r="H535" s="0" t="str">
        <f aca="false">IF(B535="","",IF(COUNTIF(Campaigns!$A$7:$A$300,B535)&gt;0,"✓","⚠ add to Campaigns tab"))</f>
        <v/>
      </c>
      <c r="I535" s="84" t="str">
        <f aca="false">IF(C535="","",C535*IF(Settings!$B$25=Settings!$C$6,1,IF(Settings!$B$25="USD",1/INDEX(Settings!$B$29:$B$40,MONTH(A535)),INDEX(Settings!$B$29:$B$40,MONTH(A535)))))</f>
        <v/>
      </c>
    </row>
    <row r="536" customFormat="false" ht="15" hidden="false" customHeight="false" outlineLevel="0" collapsed="false">
      <c r="H536" s="0" t="str">
        <f aca="false">IF(B536="","",IF(COUNTIF(Campaigns!$A$7:$A$300,B536)&gt;0,"✓","⚠ add to Campaigns tab"))</f>
        <v/>
      </c>
      <c r="I536" s="84" t="str">
        <f aca="false">IF(C536="","",C536*IF(Settings!$B$25=Settings!$C$6,1,IF(Settings!$B$25="USD",1/INDEX(Settings!$B$29:$B$40,MONTH(A536)),INDEX(Settings!$B$29:$B$40,MONTH(A536)))))</f>
        <v/>
      </c>
    </row>
    <row r="537" customFormat="false" ht="15" hidden="false" customHeight="false" outlineLevel="0" collapsed="false">
      <c r="H537" s="0" t="str">
        <f aca="false">IF(B537="","",IF(COUNTIF(Campaigns!$A$7:$A$300,B537)&gt;0,"✓","⚠ add to Campaigns tab"))</f>
        <v/>
      </c>
      <c r="I537" s="84" t="str">
        <f aca="false">IF(C537="","",C537*IF(Settings!$B$25=Settings!$C$6,1,IF(Settings!$B$25="USD",1/INDEX(Settings!$B$29:$B$40,MONTH(A537)),INDEX(Settings!$B$29:$B$40,MONTH(A537)))))</f>
        <v/>
      </c>
    </row>
    <row r="538" customFormat="false" ht="15" hidden="false" customHeight="false" outlineLevel="0" collapsed="false">
      <c r="H538" s="0" t="str">
        <f aca="false">IF(B538="","",IF(COUNTIF(Campaigns!$A$7:$A$300,B538)&gt;0,"✓","⚠ add to Campaigns tab"))</f>
        <v/>
      </c>
      <c r="I538" s="84" t="str">
        <f aca="false">IF(C538="","",C538*IF(Settings!$B$25=Settings!$C$6,1,IF(Settings!$B$25="USD",1/INDEX(Settings!$B$29:$B$40,MONTH(A538)),INDEX(Settings!$B$29:$B$40,MONTH(A538)))))</f>
        <v/>
      </c>
    </row>
    <row r="539" customFormat="false" ht="15" hidden="false" customHeight="false" outlineLevel="0" collapsed="false">
      <c r="H539" s="0" t="str">
        <f aca="false">IF(B539="","",IF(COUNTIF(Campaigns!$A$7:$A$300,B539)&gt;0,"✓","⚠ add to Campaigns tab"))</f>
        <v/>
      </c>
      <c r="I539" s="84" t="str">
        <f aca="false">IF(C539="","",C539*IF(Settings!$B$25=Settings!$C$6,1,IF(Settings!$B$25="USD",1/INDEX(Settings!$B$29:$B$40,MONTH(A539)),INDEX(Settings!$B$29:$B$40,MONTH(A539)))))</f>
        <v/>
      </c>
    </row>
    <row r="540" customFormat="false" ht="15" hidden="false" customHeight="false" outlineLevel="0" collapsed="false">
      <c r="H540" s="0" t="str">
        <f aca="false">IF(B540="","",IF(COUNTIF(Campaigns!$A$7:$A$300,B540)&gt;0,"✓","⚠ add to Campaigns tab"))</f>
        <v/>
      </c>
      <c r="I540" s="84" t="str">
        <f aca="false">IF(C540="","",C540*IF(Settings!$B$25=Settings!$C$6,1,IF(Settings!$B$25="USD",1/INDEX(Settings!$B$29:$B$40,MONTH(A540)),INDEX(Settings!$B$29:$B$40,MONTH(A540)))))</f>
        <v/>
      </c>
    </row>
    <row r="541" customFormat="false" ht="15" hidden="false" customHeight="false" outlineLevel="0" collapsed="false">
      <c r="H541" s="0" t="str">
        <f aca="false">IF(B541="","",IF(COUNTIF(Campaigns!$A$7:$A$300,B541)&gt;0,"✓","⚠ add to Campaigns tab"))</f>
        <v/>
      </c>
      <c r="I541" s="84" t="str">
        <f aca="false">IF(C541="","",C541*IF(Settings!$B$25=Settings!$C$6,1,IF(Settings!$B$25="USD",1/INDEX(Settings!$B$29:$B$40,MONTH(A541)),INDEX(Settings!$B$29:$B$40,MONTH(A541)))))</f>
        <v/>
      </c>
    </row>
    <row r="542" customFormat="false" ht="15" hidden="false" customHeight="false" outlineLevel="0" collapsed="false">
      <c r="H542" s="0" t="str">
        <f aca="false">IF(B542="","",IF(COUNTIF(Campaigns!$A$7:$A$300,B542)&gt;0,"✓","⚠ add to Campaigns tab"))</f>
        <v/>
      </c>
      <c r="I542" s="84" t="str">
        <f aca="false">IF(C542="","",C542*IF(Settings!$B$25=Settings!$C$6,1,IF(Settings!$B$25="USD",1/INDEX(Settings!$B$29:$B$40,MONTH(A542)),INDEX(Settings!$B$29:$B$40,MONTH(A542)))))</f>
        <v/>
      </c>
    </row>
    <row r="543" customFormat="false" ht="15" hidden="false" customHeight="false" outlineLevel="0" collapsed="false">
      <c r="H543" s="0" t="str">
        <f aca="false">IF(B543="","",IF(COUNTIF(Campaigns!$A$7:$A$300,B543)&gt;0,"✓","⚠ add to Campaigns tab"))</f>
        <v/>
      </c>
      <c r="I543" s="84" t="str">
        <f aca="false">IF(C543="","",C543*IF(Settings!$B$25=Settings!$C$6,1,IF(Settings!$B$25="USD",1/INDEX(Settings!$B$29:$B$40,MONTH(A543)),INDEX(Settings!$B$29:$B$40,MONTH(A543)))))</f>
        <v/>
      </c>
    </row>
    <row r="544" customFormat="false" ht="15" hidden="false" customHeight="false" outlineLevel="0" collapsed="false">
      <c r="H544" s="0" t="str">
        <f aca="false">IF(B544="","",IF(COUNTIF(Campaigns!$A$7:$A$300,B544)&gt;0,"✓","⚠ add to Campaigns tab"))</f>
        <v/>
      </c>
      <c r="I544" s="84" t="str">
        <f aca="false">IF(C544="","",C544*IF(Settings!$B$25=Settings!$C$6,1,IF(Settings!$B$25="USD",1/INDEX(Settings!$B$29:$B$40,MONTH(A544)),INDEX(Settings!$B$29:$B$40,MONTH(A544)))))</f>
        <v/>
      </c>
    </row>
    <row r="545" customFormat="false" ht="15" hidden="false" customHeight="false" outlineLevel="0" collapsed="false">
      <c r="H545" s="0" t="str">
        <f aca="false">IF(B545="","",IF(COUNTIF(Campaigns!$A$7:$A$300,B545)&gt;0,"✓","⚠ add to Campaigns tab"))</f>
        <v/>
      </c>
      <c r="I545" s="84" t="str">
        <f aca="false">IF(C545="","",C545*IF(Settings!$B$25=Settings!$C$6,1,IF(Settings!$B$25="USD",1/INDEX(Settings!$B$29:$B$40,MONTH(A545)),INDEX(Settings!$B$29:$B$40,MONTH(A545)))))</f>
        <v/>
      </c>
    </row>
    <row r="546" customFormat="false" ht="15" hidden="false" customHeight="false" outlineLevel="0" collapsed="false">
      <c r="H546" s="0" t="str">
        <f aca="false">IF(B546="","",IF(COUNTIF(Campaigns!$A$7:$A$300,B546)&gt;0,"✓","⚠ add to Campaigns tab"))</f>
        <v/>
      </c>
      <c r="I546" s="84" t="str">
        <f aca="false">IF(C546="","",C546*IF(Settings!$B$25=Settings!$C$6,1,IF(Settings!$B$25="USD",1/INDEX(Settings!$B$29:$B$40,MONTH(A546)),INDEX(Settings!$B$29:$B$40,MONTH(A546)))))</f>
        <v/>
      </c>
    </row>
    <row r="547" customFormat="false" ht="15" hidden="false" customHeight="false" outlineLevel="0" collapsed="false">
      <c r="H547" s="0" t="str">
        <f aca="false">IF(B547="","",IF(COUNTIF(Campaigns!$A$7:$A$300,B547)&gt;0,"✓","⚠ add to Campaigns tab"))</f>
        <v/>
      </c>
      <c r="I547" s="84" t="str">
        <f aca="false">IF(C547="","",C547*IF(Settings!$B$25=Settings!$C$6,1,IF(Settings!$B$25="USD",1/INDEX(Settings!$B$29:$B$40,MONTH(A547)),INDEX(Settings!$B$29:$B$40,MONTH(A547)))))</f>
        <v/>
      </c>
    </row>
    <row r="548" customFormat="false" ht="15" hidden="false" customHeight="false" outlineLevel="0" collapsed="false">
      <c r="H548" s="0" t="str">
        <f aca="false">IF(B548="","",IF(COUNTIF(Campaigns!$A$7:$A$300,B548)&gt;0,"✓","⚠ add to Campaigns tab"))</f>
        <v/>
      </c>
      <c r="I548" s="84" t="str">
        <f aca="false">IF(C548="","",C548*IF(Settings!$B$25=Settings!$C$6,1,IF(Settings!$B$25="USD",1/INDEX(Settings!$B$29:$B$40,MONTH(A548)),INDEX(Settings!$B$29:$B$40,MONTH(A548)))))</f>
        <v/>
      </c>
    </row>
    <row r="549" customFormat="false" ht="15" hidden="false" customHeight="false" outlineLevel="0" collapsed="false">
      <c r="H549" s="0" t="str">
        <f aca="false">IF(B549="","",IF(COUNTIF(Campaigns!$A$7:$A$300,B549)&gt;0,"✓","⚠ add to Campaigns tab"))</f>
        <v/>
      </c>
      <c r="I549" s="84" t="str">
        <f aca="false">IF(C549="","",C549*IF(Settings!$B$25=Settings!$C$6,1,IF(Settings!$B$25="USD",1/INDEX(Settings!$B$29:$B$40,MONTH(A549)),INDEX(Settings!$B$29:$B$40,MONTH(A549)))))</f>
        <v/>
      </c>
    </row>
    <row r="550" customFormat="false" ht="15" hidden="false" customHeight="false" outlineLevel="0" collapsed="false">
      <c r="H550" s="0" t="str">
        <f aca="false">IF(B550="","",IF(COUNTIF(Campaigns!$A$7:$A$300,B550)&gt;0,"✓","⚠ add to Campaigns tab"))</f>
        <v/>
      </c>
      <c r="I550" s="84" t="str">
        <f aca="false">IF(C550="","",C550*IF(Settings!$B$25=Settings!$C$6,1,IF(Settings!$B$25="USD",1/INDEX(Settings!$B$29:$B$40,MONTH(A550)),INDEX(Settings!$B$29:$B$40,MONTH(A550)))))</f>
        <v/>
      </c>
    </row>
    <row r="551" customFormat="false" ht="15" hidden="false" customHeight="false" outlineLevel="0" collapsed="false">
      <c r="H551" s="0" t="str">
        <f aca="false">IF(B551="","",IF(COUNTIF(Campaigns!$A$7:$A$300,B551)&gt;0,"✓","⚠ add to Campaigns tab"))</f>
        <v/>
      </c>
      <c r="I551" s="84" t="str">
        <f aca="false">IF(C551="","",C551*IF(Settings!$B$25=Settings!$C$6,1,IF(Settings!$B$25="USD",1/INDEX(Settings!$B$29:$B$40,MONTH(A551)),INDEX(Settings!$B$29:$B$40,MONTH(A551)))))</f>
        <v/>
      </c>
    </row>
    <row r="552" customFormat="false" ht="15" hidden="false" customHeight="false" outlineLevel="0" collapsed="false">
      <c r="H552" s="0" t="str">
        <f aca="false">IF(B552="","",IF(COUNTIF(Campaigns!$A$7:$A$300,B552)&gt;0,"✓","⚠ add to Campaigns tab"))</f>
        <v/>
      </c>
      <c r="I552" s="84" t="str">
        <f aca="false">IF(C552="","",C552*IF(Settings!$B$25=Settings!$C$6,1,IF(Settings!$B$25="USD",1/INDEX(Settings!$B$29:$B$40,MONTH(A552)),INDEX(Settings!$B$29:$B$40,MONTH(A552)))))</f>
        <v/>
      </c>
    </row>
    <row r="553" customFormat="false" ht="15" hidden="false" customHeight="false" outlineLevel="0" collapsed="false">
      <c r="H553" s="0" t="str">
        <f aca="false">IF(B553="","",IF(COUNTIF(Campaigns!$A$7:$A$300,B553)&gt;0,"✓","⚠ add to Campaigns tab"))</f>
        <v/>
      </c>
      <c r="I553" s="84" t="str">
        <f aca="false">IF(C553="","",C553*IF(Settings!$B$25=Settings!$C$6,1,IF(Settings!$B$25="USD",1/INDEX(Settings!$B$29:$B$40,MONTH(A553)),INDEX(Settings!$B$29:$B$40,MONTH(A553)))))</f>
        <v/>
      </c>
    </row>
    <row r="554" customFormat="false" ht="15" hidden="false" customHeight="false" outlineLevel="0" collapsed="false">
      <c r="H554" s="0" t="str">
        <f aca="false">IF(B554="","",IF(COUNTIF(Campaigns!$A$7:$A$300,B554)&gt;0,"✓","⚠ add to Campaigns tab"))</f>
        <v/>
      </c>
      <c r="I554" s="84" t="str">
        <f aca="false">IF(C554="","",C554*IF(Settings!$B$25=Settings!$C$6,1,IF(Settings!$B$25="USD",1/INDEX(Settings!$B$29:$B$40,MONTH(A554)),INDEX(Settings!$B$29:$B$40,MONTH(A554)))))</f>
        <v/>
      </c>
    </row>
    <row r="555" customFormat="false" ht="15" hidden="false" customHeight="false" outlineLevel="0" collapsed="false">
      <c r="H555" s="0" t="str">
        <f aca="false">IF(B555="","",IF(COUNTIF(Campaigns!$A$7:$A$300,B555)&gt;0,"✓","⚠ add to Campaigns tab"))</f>
        <v/>
      </c>
      <c r="I555" s="84" t="str">
        <f aca="false">IF(C555="","",C555*IF(Settings!$B$25=Settings!$C$6,1,IF(Settings!$B$25="USD",1/INDEX(Settings!$B$29:$B$40,MONTH(A555)),INDEX(Settings!$B$29:$B$40,MONTH(A555)))))</f>
        <v/>
      </c>
    </row>
    <row r="556" customFormat="false" ht="15" hidden="false" customHeight="false" outlineLevel="0" collapsed="false">
      <c r="H556" s="0" t="str">
        <f aca="false">IF(B556="","",IF(COUNTIF(Campaigns!$A$7:$A$300,B556)&gt;0,"✓","⚠ add to Campaigns tab"))</f>
        <v/>
      </c>
      <c r="I556" s="84" t="str">
        <f aca="false">IF(C556="","",C556*IF(Settings!$B$25=Settings!$C$6,1,IF(Settings!$B$25="USD",1/INDEX(Settings!$B$29:$B$40,MONTH(A556)),INDEX(Settings!$B$29:$B$40,MONTH(A556)))))</f>
        <v/>
      </c>
    </row>
    <row r="557" customFormat="false" ht="15" hidden="false" customHeight="false" outlineLevel="0" collapsed="false">
      <c r="H557" s="0" t="str">
        <f aca="false">IF(B557="","",IF(COUNTIF(Campaigns!$A$7:$A$300,B557)&gt;0,"✓","⚠ add to Campaigns tab"))</f>
        <v/>
      </c>
      <c r="I557" s="84" t="str">
        <f aca="false">IF(C557="","",C557*IF(Settings!$B$25=Settings!$C$6,1,IF(Settings!$B$25="USD",1/INDEX(Settings!$B$29:$B$40,MONTH(A557)),INDEX(Settings!$B$29:$B$40,MONTH(A557)))))</f>
        <v/>
      </c>
    </row>
    <row r="558" customFormat="false" ht="15" hidden="false" customHeight="false" outlineLevel="0" collapsed="false">
      <c r="H558" s="0" t="str">
        <f aca="false">IF(B558="","",IF(COUNTIF(Campaigns!$A$7:$A$300,B558)&gt;0,"✓","⚠ add to Campaigns tab"))</f>
        <v/>
      </c>
      <c r="I558" s="84" t="str">
        <f aca="false">IF(C558="","",C558*IF(Settings!$B$25=Settings!$C$6,1,IF(Settings!$B$25="USD",1/INDEX(Settings!$B$29:$B$40,MONTH(A558)),INDEX(Settings!$B$29:$B$40,MONTH(A558)))))</f>
        <v/>
      </c>
    </row>
    <row r="559" customFormat="false" ht="15" hidden="false" customHeight="false" outlineLevel="0" collapsed="false">
      <c r="H559" s="0" t="str">
        <f aca="false">IF(B559="","",IF(COUNTIF(Campaigns!$A$7:$A$300,B559)&gt;0,"✓","⚠ add to Campaigns tab"))</f>
        <v/>
      </c>
      <c r="I559" s="84" t="str">
        <f aca="false">IF(C559="","",C559*IF(Settings!$B$25=Settings!$C$6,1,IF(Settings!$B$25="USD",1/INDEX(Settings!$B$29:$B$40,MONTH(A559)),INDEX(Settings!$B$29:$B$40,MONTH(A559)))))</f>
        <v/>
      </c>
    </row>
    <row r="560" customFormat="false" ht="15" hidden="false" customHeight="false" outlineLevel="0" collapsed="false">
      <c r="H560" s="0" t="str">
        <f aca="false">IF(B560="","",IF(COUNTIF(Campaigns!$A$7:$A$300,B560)&gt;0,"✓","⚠ add to Campaigns tab"))</f>
        <v/>
      </c>
      <c r="I560" s="84" t="str">
        <f aca="false">IF(C560="","",C560*IF(Settings!$B$25=Settings!$C$6,1,IF(Settings!$B$25="USD",1/INDEX(Settings!$B$29:$B$40,MONTH(A560)),INDEX(Settings!$B$29:$B$40,MONTH(A560)))))</f>
        <v/>
      </c>
    </row>
    <row r="561" customFormat="false" ht="15" hidden="false" customHeight="false" outlineLevel="0" collapsed="false">
      <c r="H561" s="0" t="str">
        <f aca="false">IF(B561="","",IF(COUNTIF(Campaigns!$A$7:$A$300,B561)&gt;0,"✓","⚠ add to Campaigns tab"))</f>
        <v/>
      </c>
      <c r="I561" s="84" t="str">
        <f aca="false">IF(C561="","",C561*IF(Settings!$B$25=Settings!$C$6,1,IF(Settings!$B$25="USD",1/INDEX(Settings!$B$29:$B$40,MONTH(A561)),INDEX(Settings!$B$29:$B$40,MONTH(A561)))))</f>
        <v/>
      </c>
    </row>
    <row r="562" customFormat="false" ht="15" hidden="false" customHeight="false" outlineLevel="0" collapsed="false">
      <c r="H562" s="0" t="str">
        <f aca="false">IF(B562="","",IF(COUNTIF(Campaigns!$A$7:$A$300,B562)&gt;0,"✓","⚠ add to Campaigns tab"))</f>
        <v/>
      </c>
      <c r="I562" s="84" t="str">
        <f aca="false">IF(C562="","",C562*IF(Settings!$B$25=Settings!$C$6,1,IF(Settings!$B$25="USD",1/INDEX(Settings!$B$29:$B$40,MONTH(A562)),INDEX(Settings!$B$29:$B$40,MONTH(A562)))))</f>
        <v/>
      </c>
    </row>
    <row r="563" customFormat="false" ht="15" hidden="false" customHeight="false" outlineLevel="0" collapsed="false">
      <c r="H563" s="0" t="str">
        <f aca="false">IF(B563="","",IF(COUNTIF(Campaigns!$A$7:$A$300,B563)&gt;0,"✓","⚠ add to Campaigns tab"))</f>
        <v/>
      </c>
      <c r="I563" s="84" t="str">
        <f aca="false">IF(C563="","",C563*IF(Settings!$B$25=Settings!$C$6,1,IF(Settings!$B$25="USD",1/INDEX(Settings!$B$29:$B$40,MONTH(A563)),INDEX(Settings!$B$29:$B$40,MONTH(A563)))))</f>
        <v/>
      </c>
    </row>
    <row r="564" customFormat="false" ht="15" hidden="false" customHeight="false" outlineLevel="0" collapsed="false">
      <c r="H564" s="0" t="str">
        <f aca="false">IF(B564="","",IF(COUNTIF(Campaigns!$A$7:$A$300,B564)&gt;0,"✓","⚠ add to Campaigns tab"))</f>
        <v/>
      </c>
      <c r="I564" s="84" t="str">
        <f aca="false">IF(C564="","",C564*IF(Settings!$B$25=Settings!$C$6,1,IF(Settings!$B$25="USD",1/INDEX(Settings!$B$29:$B$40,MONTH(A564)),INDEX(Settings!$B$29:$B$40,MONTH(A564)))))</f>
        <v/>
      </c>
    </row>
    <row r="565" customFormat="false" ht="15" hidden="false" customHeight="false" outlineLevel="0" collapsed="false">
      <c r="H565" s="0" t="str">
        <f aca="false">IF(B565="","",IF(COUNTIF(Campaigns!$A$7:$A$300,B565)&gt;0,"✓","⚠ add to Campaigns tab"))</f>
        <v/>
      </c>
      <c r="I565" s="84" t="str">
        <f aca="false">IF(C565="","",C565*IF(Settings!$B$25=Settings!$C$6,1,IF(Settings!$B$25="USD",1/INDEX(Settings!$B$29:$B$40,MONTH(A565)),INDEX(Settings!$B$29:$B$40,MONTH(A565)))))</f>
        <v/>
      </c>
    </row>
    <row r="566" customFormat="false" ht="15" hidden="false" customHeight="false" outlineLevel="0" collapsed="false">
      <c r="H566" s="0" t="str">
        <f aca="false">IF(B566="","",IF(COUNTIF(Campaigns!$A$7:$A$300,B566)&gt;0,"✓","⚠ add to Campaigns tab"))</f>
        <v/>
      </c>
      <c r="I566" s="84" t="str">
        <f aca="false">IF(C566="","",C566*IF(Settings!$B$25=Settings!$C$6,1,IF(Settings!$B$25="USD",1/INDEX(Settings!$B$29:$B$40,MONTH(A566)),INDEX(Settings!$B$29:$B$40,MONTH(A566)))))</f>
        <v/>
      </c>
    </row>
    <row r="567" customFormat="false" ht="15" hidden="false" customHeight="false" outlineLevel="0" collapsed="false">
      <c r="H567" s="0" t="str">
        <f aca="false">IF(B567="","",IF(COUNTIF(Campaigns!$A$7:$A$300,B567)&gt;0,"✓","⚠ add to Campaigns tab"))</f>
        <v/>
      </c>
      <c r="I567" s="84" t="str">
        <f aca="false">IF(C567="","",C567*IF(Settings!$B$25=Settings!$C$6,1,IF(Settings!$B$25="USD",1/INDEX(Settings!$B$29:$B$40,MONTH(A567)),INDEX(Settings!$B$29:$B$40,MONTH(A567)))))</f>
        <v/>
      </c>
    </row>
    <row r="568" customFormat="false" ht="15" hidden="false" customHeight="false" outlineLevel="0" collapsed="false">
      <c r="H568" s="0" t="str">
        <f aca="false">IF(B568="","",IF(COUNTIF(Campaigns!$A$7:$A$300,B568)&gt;0,"✓","⚠ add to Campaigns tab"))</f>
        <v/>
      </c>
      <c r="I568" s="84" t="str">
        <f aca="false">IF(C568="","",C568*IF(Settings!$B$25=Settings!$C$6,1,IF(Settings!$B$25="USD",1/INDEX(Settings!$B$29:$B$40,MONTH(A568)),INDEX(Settings!$B$29:$B$40,MONTH(A568)))))</f>
        <v/>
      </c>
    </row>
    <row r="569" customFormat="false" ht="15" hidden="false" customHeight="false" outlineLevel="0" collapsed="false">
      <c r="H569" s="0" t="str">
        <f aca="false">IF(B569="","",IF(COUNTIF(Campaigns!$A$7:$A$300,B569)&gt;0,"✓","⚠ add to Campaigns tab"))</f>
        <v/>
      </c>
      <c r="I569" s="84" t="str">
        <f aca="false">IF(C569="","",C569*IF(Settings!$B$25=Settings!$C$6,1,IF(Settings!$B$25="USD",1/INDEX(Settings!$B$29:$B$40,MONTH(A569)),INDEX(Settings!$B$29:$B$40,MONTH(A569)))))</f>
        <v/>
      </c>
    </row>
    <row r="570" customFormat="false" ht="15" hidden="false" customHeight="false" outlineLevel="0" collapsed="false">
      <c r="H570" s="0" t="str">
        <f aca="false">IF(B570="","",IF(COUNTIF(Campaigns!$A$7:$A$300,B570)&gt;0,"✓","⚠ add to Campaigns tab"))</f>
        <v/>
      </c>
      <c r="I570" s="84" t="str">
        <f aca="false">IF(C570="","",C570*IF(Settings!$B$25=Settings!$C$6,1,IF(Settings!$B$25="USD",1/INDEX(Settings!$B$29:$B$40,MONTH(A570)),INDEX(Settings!$B$29:$B$40,MONTH(A570)))))</f>
        <v/>
      </c>
    </row>
    <row r="571" customFormat="false" ht="15" hidden="false" customHeight="false" outlineLevel="0" collapsed="false">
      <c r="H571" s="0" t="str">
        <f aca="false">IF(B571="","",IF(COUNTIF(Campaigns!$A$7:$A$300,B571)&gt;0,"✓","⚠ add to Campaigns tab"))</f>
        <v/>
      </c>
      <c r="I571" s="84" t="str">
        <f aca="false">IF(C571="","",C571*IF(Settings!$B$25=Settings!$C$6,1,IF(Settings!$B$25="USD",1/INDEX(Settings!$B$29:$B$40,MONTH(A571)),INDEX(Settings!$B$29:$B$40,MONTH(A571)))))</f>
        <v/>
      </c>
    </row>
    <row r="572" customFormat="false" ht="15" hidden="false" customHeight="false" outlineLevel="0" collapsed="false">
      <c r="H572" s="0" t="str">
        <f aca="false">IF(B572="","",IF(COUNTIF(Campaigns!$A$7:$A$300,B572)&gt;0,"✓","⚠ add to Campaigns tab"))</f>
        <v/>
      </c>
      <c r="I572" s="84" t="str">
        <f aca="false">IF(C572="","",C572*IF(Settings!$B$25=Settings!$C$6,1,IF(Settings!$B$25="USD",1/INDEX(Settings!$B$29:$B$40,MONTH(A572)),INDEX(Settings!$B$29:$B$40,MONTH(A572)))))</f>
        <v/>
      </c>
    </row>
    <row r="573" customFormat="false" ht="15" hidden="false" customHeight="false" outlineLevel="0" collapsed="false">
      <c r="H573" s="0" t="str">
        <f aca="false">IF(B573="","",IF(COUNTIF(Campaigns!$A$7:$A$300,B573)&gt;0,"✓","⚠ add to Campaigns tab"))</f>
        <v/>
      </c>
      <c r="I573" s="84" t="str">
        <f aca="false">IF(C573="","",C573*IF(Settings!$B$25=Settings!$C$6,1,IF(Settings!$B$25="USD",1/INDEX(Settings!$B$29:$B$40,MONTH(A573)),INDEX(Settings!$B$29:$B$40,MONTH(A573)))))</f>
        <v/>
      </c>
    </row>
    <row r="574" customFormat="false" ht="15" hidden="false" customHeight="false" outlineLevel="0" collapsed="false">
      <c r="H574" s="0" t="str">
        <f aca="false">IF(B574="","",IF(COUNTIF(Campaigns!$A$7:$A$300,B574)&gt;0,"✓","⚠ add to Campaigns tab"))</f>
        <v/>
      </c>
      <c r="I574" s="84" t="str">
        <f aca="false">IF(C574="","",C574*IF(Settings!$B$25=Settings!$C$6,1,IF(Settings!$B$25="USD",1/INDEX(Settings!$B$29:$B$40,MONTH(A574)),INDEX(Settings!$B$29:$B$40,MONTH(A574)))))</f>
        <v/>
      </c>
    </row>
    <row r="575" customFormat="false" ht="15" hidden="false" customHeight="false" outlineLevel="0" collapsed="false">
      <c r="H575" s="0" t="str">
        <f aca="false">IF(B575="","",IF(COUNTIF(Campaigns!$A$7:$A$300,B575)&gt;0,"✓","⚠ add to Campaigns tab"))</f>
        <v/>
      </c>
      <c r="I575" s="84" t="str">
        <f aca="false">IF(C575="","",C575*IF(Settings!$B$25=Settings!$C$6,1,IF(Settings!$B$25="USD",1/INDEX(Settings!$B$29:$B$40,MONTH(A575)),INDEX(Settings!$B$29:$B$40,MONTH(A575)))))</f>
        <v/>
      </c>
    </row>
    <row r="576" customFormat="false" ht="15" hidden="false" customHeight="false" outlineLevel="0" collapsed="false">
      <c r="H576" s="0" t="str">
        <f aca="false">IF(B576="","",IF(COUNTIF(Campaigns!$A$7:$A$300,B576)&gt;0,"✓","⚠ add to Campaigns tab"))</f>
        <v/>
      </c>
      <c r="I576" s="84" t="str">
        <f aca="false">IF(C576="","",C576*IF(Settings!$B$25=Settings!$C$6,1,IF(Settings!$B$25="USD",1/INDEX(Settings!$B$29:$B$40,MONTH(A576)),INDEX(Settings!$B$29:$B$40,MONTH(A576)))))</f>
        <v/>
      </c>
    </row>
    <row r="577" customFormat="false" ht="15" hidden="false" customHeight="false" outlineLevel="0" collapsed="false">
      <c r="H577" s="0" t="str">
        <f aca="false">IF(B577="","",IF(COUNTIF(Campaigns!$A$7:$A$300,B577)&gt;0,"✓","⚠ add to Campaigns tab"))</f>
        <v/>
      </c>
      <c r="I577" s="84" t="str">
        <f aca="false">IF(C577="","",C577*IF(Settings!$B$25=Settings!$C$6,1,IF(Settings!$B$25="USD",1/INDEX(Settings!$B$29:$B$40,MONTH(A577)),INDEX(Settings!$B$29:$B$40,MONTH(A577)))))</f>
        <v/>
      </c>
    </row>
    <row r="578" customFormat="false" ht="15" hidden="false" customHeight="false" outlineLevel="0" collapsed="false">
      <c r="H578" s="0" t="str">
        <f aca="false">IF(B578="","",IF(COUNTIF(Campaigns!$A$7:$A$300,B578)&gt;0,"✓","⚠ add to Campaigns tab"))</f>
        <v/>
      </c>
      <c r="I578" s="84" t="str">
        <f aca="false">IF(C578="","",C578*IF(Settings!$B$25=Settings!$C$6,1,IF(Settings!$B$25="USD",1/INDEX(Settings!$B$29:$B$40,MONTH(A578)),INDEX(Settings!$B$29:$B$40,MONTH(A578)))))</f>
        <v/>
      </c>
    </row>
    <row r="579" customFormat="false" ht="15" hidden="false" customHeight="false" outlineLevel="0" collapsed="false">
      <c r="H579" s="0" t="str">
        <f aca="false">IF(B579="","",IF(COUNTIF(Campaigns!$A$7:$A$300,B579)&gt;0,"✓","⚠ add to Campaigns tab"))</f>
        <v/>
      </c>
      <c r="I579" s="84" t="str">
        <f aca="false">IF(C579="","",C579*IF(Settings!$B$25=Settings!$C$6,1,IF(Settings!$B$25="USD",1/INDEX(Settings!$B$29:$B$40,MONTH(A579)),INDEX(Settings!$B$29:$B$40,MONTH(A579)))))</f>
        <v/>
      </c>
    </row>
    <row r="580" customFormat="false" ht="15" hidden="false" customHeight="false" outlineLevel="0" collapsed="false">
      <c r="H580" s="0" t="str">
        <f aca="false">IF(B580="","",IF(COUNTIF(Campaigns!$A$7:$A$300,B580)&gt;0,"✓","⚠ add to Campaigns tab"))</f>
        <v/>
      </c>
      <c r="I580" s="84" t="str">
        <f aca="false">IF(C580="","",C580*IF(Settings!$B$25=Settings!$C$6,1,IF(Settings!$B$25="USD",1/INDEX(Settings!$B$29:$B$40,MONTH(A580)),INDEX(Settings!$B$29:$B$40,MONTH(A580)))))</f>
        <v/>
      </c>
    </row>
    <row r="581" customFormat="false" ht="15" hidden="false" customHeight="false" outlineLevel="0" collapsed="false">
      <c r="H581" s="0" t="str">
        <f aca="false">IF(B581="","",IF(COUNTIF(Campaigns!$A$7:$A$300,B581)&gt;0,"✓","⚠ add to Campaigns tab"))</f>
        <v/>
      </c>
      <c r="I581" s="84" t="str">
        <f aca="false">IF(C581="","",C581*IF(Settings!$B$25=Settings!$C$6,1,IF(Settings!$B$25="USD",1/INDEX(Settings!$B$29:$B$40,MONTH(A581)),INDEX(Settings!$B$29:$B$40,MONTH(A581)))))</f>
        <v/>
      </c>
    </row>
    <row r="582" customFormat="false" ht="15" hidden="false" customHeight="false" outlineLevel="0" collapsed="false">
      <c r="H582" s="0" t="str">
        <f aca="false">IF(B582="","",IF(COUNTIF(Campaigns!$A$7:$A$300,B582)&gt;0,"✓","⚠ add to Campaigns tab"))</f>
        <v/>
      </c>
      <c r="I582" s="84" t="str">
        <f aca="false">IF(C582="","",C582*IF(Settings!$B$25=Settings!$C$6,1,IF(Settings!$B$25="USD",1/INDEX(Settings!$B$29:$B$40,MONTH(A582)),INDEX(Settings!$B$29:$B$40,MONTH(A582)))))</f>
        <v/>
      </c>
    </row>
    <row r="583" customFormat="false" ht="15" hidden="false" customHeight="false" outlineLevel="0" collapsed="false">
      <c r="H583" s="0" t="str">
        <f aca="false">IF(B583="","",IF(COUNTIF(Campaigns!$A$7:$A$300,B583)&gt;0,"✓","⚠ add to Campaigns tab"))</f>
        <v/>
      </c>
      <c r="I583" s="84" t="str">
        <f aca="false">IF(C583="","",C583*IF(Settings!$B$25=Settings!$C$6,1,IF(Settings!$B$25="USD",1/INDEX(Settings!$B$29:$B$40,MONTH(A583)),INDEX(Settings!$B$29:$B$40,MONTH(A583)))))</f>
        <v/>
      </c>
    </row>
    <row r="584" customFormat="false" ht="15" hidden="false" customHeight="false" outlineLevel="0" collapsed="false">
      <c r="H584" s="0" t="str">
        <f aca="false">IF(B584="","",IF(COUNTIF(Campaigns!$A$7:$A$300,B584)&gt;0,"✓","⚠ add to Campaigns tab"))</f>
        <v/>
      </c>
      <c r="I584" s="84" t="str">
        <f aca="false">IF(C584="","",C584*IF(Settings!$B$25=Settings!$C$6,1,IF(Settings!$B$25="USD",1/INDEX(Settings!$B$29:$B$40,MONTH(A584)),INDEX(Settings!$B$29:$B$40,MONTH(A584)))))</f>
        <v/>
      </c>
    </row>
    <row r="585" customFormat="false" ht="15" hidden="false" customHeight="false" outlineLevel="0" collapsed="false">
      <c r="H585" s="0" t="str">
        <f aca="false">IF(B585="","",IF(COUNTIF(Campaigns!$A$7:$A$300,B585)&gt;0,"✓","⚠ add to Campaigns tab"))</f>
        <v/>
      </c>
      <c r="I585" s="84" t="str">
        <f aca="false">IF(C585="","",C585*IF(Settings!$B$25=Settings!$C$6,1,IF(Settings!$B$25="USD",1/INDEX(Settings!$B$29:$B$40,MONTH(A585)),INDEX(Settings!$B$29:$B$40,MONTH(A585)))))</f>
        <v/>
      </c>
    </row>
    <row r="586" customFormat="false" ht="15" hidden="false" customHeight="false" outlineLevel="0" collapsed="false">
      <c r="H586" s="0" t="str">
        <f aca="false">IF(B586="","",IF(COUNTIF(Campaigns!$A$7:$A$300,B586)&gt;0,"✓","⚠ add to Campaigns tab"))</f>
        <v/>
      </c>
      <c r="I586" s="84" t="str">
        <f aca="false">IF(C586="","",C586*IF(Settings!$B$25=Settings!$C$6,1,IF(Settings!$B$25="USD",1/INDEX(Settings!$B$29:$B$40,MONTH(A586)),INDEX(Settings!$B$29:$B$40,MONTH(A586)))))</f>
        <v/>
      </c>
    </row>
    <row r="587" customFormat="false" ht="15" hidden="false" customHeight="false" outlineLevel="0" collapsed="false">
      <c r="H587" s="0" t="str">
        <f aca="false">IF(B587="","",IF(COUNTIF(Campaigns!$A$7:$A$300,B587)&gt;0,"✓","⚠ add to Campaigns tab"))</f>
        <v/>
      </c>
      <c r="I587" s="84" t="str">
        <f aca="false">IF(C587="","",C587*IF(Settings!$B$25=Settings!$C$6,1,IF(Settings!$B$25="USD",1/INDEX(Settings!$B$29:$B$40,MONTH(A587)),INDEX(Settings!$B$29:$B$40,MONTH(A587)))))</f>
        <v/>
      </c>
    </row>
    <row r="588" customFormat="false" ht="15" hidden="false" customHeight="false" outlineLevel="0" collapsed="false">
      <c r="H588" s="0" t="str">
        <f aca="false">IF(B588="","",IF(COUNTIF(Campaigns!$A$7:$A$300,B588)&gt;0,"✓","⚠ add to Campaigns tab"))</f>
        <v/>
      </c>
      <c r="I588" s="84" t="str">
        <f aca="false">IF(C588="","",C588*IF(Settings!$B$25=Settings!$C$6,1,IF(Settings!$B$25="USD",1/INDEX(Settings!$B$29:$B$40,MONTH(A588)),INDEX(Settings!$B$29:$B$40,MONTH(A588)))))</f>
        <v/>
      </c>
    </row>
    <row r="589" customFormat="false" ht="15" hidden="false" customHeight="false" outlineLevel="0" collapsed="false">
      <c r="H589" s="0" t="str">
        <f aca="false">IF(B589="","",IF(COUNTIF(Campaigns!$A$7:$A$300,B589)&gt;0,"✓","⚠ add to Campaigns tab"))</f>
        <v/>
      </c>
      <c r="I589" s="84" t="str">
        <f aca="false">IF(C589="","",C589*IF(Settings!$B$25=Settings!$C$6,1,IF(Settings!$B$25="USD",1/INDEX(Settings!$B$29:$B$40,MONTH(A589)),INDEX(Settings!$B$29:$B$40,MONTH(A589)))))</f>
        <v/>
      </c>
    </row>
    <row r="590" customFormat="false" ht="15" hidden="false" customHeight="false" outlineLevel="0" collapsed="false">
      <c r="H590" s="0" t="str">
        <f aca="false">IF(B590="","",IF(COUNTIF(Campaigns!$A$7:$A$300,B590)&gt;0,"✓","⚠ add to Campaigns tab"))</f>
        <v/>
      </c>
      <c r="I590" s="84" t="str">
        <f aca="false">IF(C590="","",C590*IF(Settings!$B$25=Settings!$C$6,1,IF(Settings!$B$25="USD",1/INDEX(Settings!$B$29:$B$40,MONTH(A590)),INDEX(Settings!$B$29:$B$40,MONTH(A590)))))</f>
        <v/>
      </c>
    </row>
    <row r="591" customFormat="false" ht="15" hidden="false" customHeight="false" outlineLevel="0" collapsed="false">
      <c r="H591" s="0" t="str">
        <f aca="false">IF(B591="","",IF(COUNTIF(Campaigns!$A$7:$A$300,B591)&gt;0,"✓","⚠ add to Campaigns tab"))</f>
        <v/>
      </c>
      <c r="I591" s="84" t="str">
        <f aca="false">IF(C591="","",C591*IF(Settings!$B$25=Settings!$C$6,1,IF(Settings!$B$25="USD",1/INDEX(Settings!$B$29:$B$40,MONTH(A591)),INDEX(Settings!$B$29:$B$40,MONTH(A591)))))</f>
        <v/>
      </c>
    </row>
    <row r="592" customFormat="false" ht="15" hidden="false" customHeight="false" outlineLevel="0" collapsed="false">
      <c r="H592" s="0" t="str">
        <f aca="false">IF(B592="","",IF(COUNTIF(Campaigns!$A$7:$A$300,B592)&gt;0,"✓","⚠ add to Campaigns tab"))</f>
        <v/>
      </c>
      <c r="I592" s="84" t="str">
        <f aca="false">IF(C592="","",C592*IF(Settings!$B$25=Settings!$C$6,1,IF(Settings!$B$25="USD",1/INDEX(Settings!$B$29:$B$40,MONTH(A592)),INDEX(Settings!$B$29:$B$40,MONTH(A592)))))</f>
        <v/>
      </c>
    </row>
    <row r="593" customFormat="false" ht="15" hidden="false" customHeight="false" outlineLevel="0" collapsed="false">
      <c r="H593" s="0" t="str">
        <f aca="false">IF(B593="","",IF(COUNTIF(Campaigns!$A$7:$A$300,B593)&gt;0,"✓","⚠ add to Campaigns tab"))</f>
        <v/>
      </c>
      <c r="I593" s="84" t="str">
        <f aca="false">IF(C593="","",C593*IF(Settings!$B$25=Settings!$C$6,1,IF(Settings!$B$25="USD",1/INDEX(Settings!$B$29:$B$40,MONTH(A593)),INDEX(Settings!$B$29:$B$40,MONTH(A593)))))</f>
        <v/>
      </c>
    </row>
    <row r="594" customFormat="false" ht="15" hidden="false" customHeight="false" outlineLevel="0" collapsed="false">
      <c r="H594" s="0" t="str">
        <f aca="false">IF(B594="","",IF(COUNTIF(Campaigns!$A$7:$A$300,B594)&gt;0,"✓","⚠ add to Campaigns tab"))</f>
        <v/>
      </c>
      <c r="I594" s="84" t="str">
        <f aca="false">IF(C594="","",C594*IF(Settings!$B$25=Settings!$C$6,1,IF(Settings!$B$25="USD",1/INDEX(Settings!$B$29:$B$40,MONTH(A594)),INDEX(Settings!$B$29:$B$40,MONTH(A594)))))</f>
        <v/>
      </c>
    </row>
    <row r="595" customFormat="false" ht="15" hidden="false" customHeight="false" outlineLevel="0" collapsed="false">
      <c r="H595" s="0" t="str">
        <f aca="false">IF(B595="","",IF(COUNTIF(Campaigns!$A$7:$A$300,B595)&gt;0,"✓","⚠ add to Campaigns tab"))</f>
        <v/>
      </c>
      <c r="I595" s="84" t="str">
        <f aca="false">IF(C595="","",C595*IF(Settings!$B$25=Settings!$C$6,1,IF(Settings!$B$25="USD",1/INDEX(Settings!$B$29:$B$40,MONTH(A595)),INDEX(Settings!$B$29:$B$40,MONTH(A595)))))</f>
        <v/>
      </c>
    </row>
    <row r="596" customFormat="false" ht="15" hidden="false" customHeight="false" outlineLevel="0" collapsed="false">
      <c r="H596" s="0" t="str">
        <f aca="false">IF(B596="","",IF(COUNTIF(Campaigns!$A$7:$A$300,B596)&gt;0,"✓","⚠ add to Campaigns tab"))</f>
        <v/>
      </c>
      <c r="I596" s="84" t="str">
        <f aca="false">IF(C596="","",C596*IF(Settings!$B$25=Settings!$C$6,1,IF(Settings!$B$25="USD",1/INDEX(Settings!$B$29:$B$40,MONTH(A596)),INDEX(Settings!$B$29:$B$40,MONTH(A596)))))</f>
        <v/>
      </c>
    </row>
    <row r="597" customFormat="false" ht="15" hidden="false" customHeight="false" outlineLevel="0" collapsed="false">
      <c r="H597" s="0" t="str">
        <f aca="false">IF(B597="","",IF(COUNTIF(Campaigns!$A$7:$A$300,B597)&gt;0,"✓","⚠ add to Campaigns tab"))</f>
        <v/>
      </c>
      <c r="I597" s="84" t="str">
        <f aca="false">IF(C597="","",C597*IF(Settings!$B$25=Settings!$C$6,1,IF(Settings!$B$25="USD",1/INDEX(Settings!$B$29:$B$40,MONTH(A597)),INDEX(Settings!$B$29:$B$40,MONTH(A597)))))</f>
        <v/>
      </c>
    </row>
    <row r="598" customFormat="false" ht="15" hidden="false" customHeight="false" outlineLevel="0" collapsed="false">
      <c r="H598" s="0" t="str">
        <f aca="false">IF(B598="","",IF(COUNTIF(Campaigns!$A$7:$A$300,B598)&gt;0,"✓","⚠ add to Campaigns tab"))</f>
        <v/>
      </c>
      <c r="I598" s="84" t="str">
        <f aca="false">IF(C598="","",C598*IF(Settings!$B$25=Settings!$C$6,1,IF(Settings!$B$25="USD",1/INDEX(Settings!$B$29:$B$40,MONTH(A598)),INDEX(Settings!$B$29:$B$40,MONTH(A598)))))</f>
        <v/>
      </c>
    </row>
    <row r="599" customFormat="false" ht="15" hidden="false" customHeight="false" outlineLevel="0" collapsed="false">
      <c r="H599" s="0" t="str">
        <f aca="false">IF(B599="","",IF(COUNTIF(Campaigns!$A$7:$A$300,B599)&gt;0,"✓","⚠ add to Campaigns tab"))</f>
        <v/>
      </c>
      <c r="I599" s="84" t="str">
        <f aca="false">IF(C599="","",C599*IF(Settings!$B$25=Settings!$C$6,1,IF(Settings!$B$25="USD",1/INDEX(Settings!$B$29:$B$40,MONTH(A599)),INDEX(Settings!$B$29:$B$40,MONTH(A599)))))</f>
        <v/>
      </c>
    </row>
    <row r="600" customFormat="false" ht="15" hidden="false" customHeight="false" outlineLevel="0" collapsed="false">
      <c r="H600" s="0" t="str">
        <f aca="false">IF(B600="","",IF(COUNTIF(Campaigns!$A$7:$A$300,B600)&gt;0,"✓","⚠ add to Campaigns tab"))</f>
        <v/>
      </c>
      <c r="I600" s="84" t="str">
        <f aca="false">IF(C600="","",C600*IF(Settings!$B$25=Settings!$C$6,1,IF(Settings!$B$25="USD",1/INDEX(Settings!$B$29:$B$40,MONTH(A600)),INDEX(Settings!$B$29:$B$40,MONTH(A600)))))</f>
        <v/>
      </c>
    </row>
    <row r="601" customFormat="false" ht="15" hidden="false" customHeight="false" outlineLevel="0" collapsed="false">
      <c r="H601" s="0" t="str">
        <f aca="false">IF(B601="","",IF(COUNTIF(Campaigns!$A$7:$A$300,B601)&gt;0,"✓","⚠ add to Campaigns tab"))</f>
        <v/>
      </c>
      <c r="I601" s="84" t="str">
        <f aca="false">IF(C601="","",C601*IF(Settings!$B$25=Settings!$C$6,1,IF(Settings!$B$25="USD",1/INDEX(Settings!$B$29:$B$40,MONTH(A601)),INDEX(Settings!$B$29:$B$40,MONTH(A601)))))</f>
        <v/>
      </c>
    </row>
    <row r="602" customFormat="false" ht="15" hidden="false" customHeight="false" outlineLevel="0" collapsed="false">
      <c r="H602" s="0" t="str">
        <f aca="false">IF(B602="","",IF(COUNTIF(Campaigns!$A$7:$A$300,B602)&gt;0,"✓","⚠ add to Campaigns tab"))</f>
        <v/>
      </c>
      <c r="I602" s="84" t="str">
        <f aca="false">IF(C602="","",C602*IF(Settings!$B$25=Settings!$C$6,1,IF(Settings!$B$25="USD",1/INDEX(Settings!$B$29:$B$40,MONTH(A602)),INDEX(Settings!$B$29:$B$40,MONTH(A602)))))</f>
        <v/>
      </c>
    </row>
    <row r="603" customFormat="false" ht="15" hidden="false" customHeight="false" outlineLevel="0" collapsed="false">
      <c r="H603" s="0" t="str">
        <f aca="false">IF(B603="","",IF(COUNTIF(Campaigns!$A$7:$A$300,B603)&gt;0,"✓","⚠ add to Campaigns tab"))</f>
        <v/>
      </c>
      <c r="I603" s="84" t="str">
        <f aca="false">IF(C603="","",C603*IF(Settings!$B$25=Settings!$C$6,1,IF(Settings!$B$25="USD",1/INDEX(Settings!$B$29:$B$40,MONTH(A603)),INDEX(Settings!$B$29:$B$40,MONTH(A603)))))</f>
        <v/>
      </c>
    </row>
    <row r="604" customFormat="false" ht="15" hidden="false" customHeight="false" outlineLevel="0" collapsed="false">
      <c r="H604" s="0" t="str">
        <f aca="false">IF(B604="","",IF(COUNTIF(Campaigns!$A$7:$A$300,B604)&gt;0,"✓","⚠ add to Campaigns tab"))</f>
        <v/>
      </c>
      <c r="I604" s="84" t="str">
        <f aca="false">IF(C604="","",C604*IF(Settings!$B$25=Settings!$C$6,1,IF(Settings!$B$25="USD",1/INDEX(Settings!$B$29:$B$40,MONTH(A604)),INDEX(Settings!$B$29:$B$40,MONTH(A604)))))</f>
        <v/>
      </c>
    </row>
    <row r="605" customFormat="false" ht="15" hidden="false" customHeight="false" outlineLevel="0" collapsed="false">
      <c r="H605" s="0" t="str">
        <f aca="false">IF(B605="","",IF(COUNTIF(Campaigns!$A$7:$A$300,B605)&gt;0,"✓","⚠ add to Campaigns tab"))</f>
        <v/>
      </c>
      <c r="I605" s="84" t="str">
        <f aca="false">IF(C605="","",C605*IF(Settings!$B$25=Settings!$C$6,1,IF(Settings!$B$25="USD",1/INDEX(Settings!$B$29:$B$40,MONTH(A605)),INDEX(Settings!$B$29:$B$40,MONTH(A605)))))</f>
        <v/>
      </c>
    </row>
    <row r="606" customFormat="false" ht="15" hidden="false" customHeight="false" outlineLevel="0" collapsed="false">
      <c r="H606" s="0" t="str">
        <f aca="false">IF(B606="","",IF(COUNTIF(Campaigns!$A$7:$A$300,B606)&gt;0,"✓","⚠ add to Campaigns tab"))</f>
        <v/>
      </c>
      <c r="I606" s="84" t="str">
        <f aca="false">IF(C606="","",C606*IF(Settings!$B$25=Settings!$C$6,1,IF(Settings!$B$25="USD",1/INDEX(Settings!$B$29:$B$40,MONTH(A606)),INDEX(Settings!$B$29:$B$40,MONTH(A606)))))</f>
        <v/>
      </c>
    </row>
    <row r="607" customFormat="false" ht="15" hidden="false" customHeight="false" outlineLevel="0" collapsed="false">
      <c r="H607" s="0" t="str">
        <f aca="false">IF(B607="","",IF(COUNTIF(Campaigns!$A$7:$A$300,B607)&gt;0,"✓","⚠ add to Campaigns tab"))</f>
        <v/>
      </c>
      <c r="I607" s="84" t="str">
        <f aca="false">IF(C607="","",C607*IF(Settings!$B$25=Settings!$C$6,1,IF(Settings!$B$25="USD",1/INDEX(Settings!$B$29:$B$40,MONTH(A607)),INDEX(Settings!$B$29:$B$40,MONTH(A607)))))</f>
        <v/>
      </c>
    </row>
    <row r="608" customFormat="false" ht="15" hidden="false" customHeight="false" outlineLevel="0" collapsed="false">
      <c r="H608" s="0" t="str">
        <f aca="false">IF(B608="","",IF(COUNTIF(Campaigns!$A$7:$A$300,B608)&gt;0,"✓","⚠ add to Campaigns tab"))</f>
        <v/>
      </c>
      <c r="I608" s="84" t="str">
        <f aca="false">IF(C608="","",C608*IF(Settings!$B$25=Settings!$C$6,1,IF(Settings!$B$25="USD",1/INDEX(Settings!$B$29:$B$40,MONTH(A608)),INDEX(Settings!$B$29:$B$40,MONTH(A608)))))</f>
        <v/>
      </c>
    </row>
    <row r="609" customFormat="false" ht="15" hidden="false" customHeight="false" outlineLevel="0" collapsed="false">
      <c r="H609" s="0" t="str">
        <f aca="false">IF(B609="","",IF(COUNTIF(Campaigns!$A$7:$A$300,B609)&gt;0,"✓","⚠ add to Campaigns tab"))</f>
        <v/>
      </c>
      <c r="I609" s="84" t="str">
        <f aca="false">IF(C609="","",C609*IF(Settings!$B$25=Settings!$C$6,1,IF(Settings!$B$25="USD",1/INDEX(Settings!$B$29:$B$40,MONTH(A609)),INDEX(Settings!$B$29:$B$40,MONTH(A609)))))</f>
        <v/>
      </c>
    </row>
    <row r="610" customFormat="false" ht="15" hidden="false" customHeight="false" outlineLevel="0" collapsed="false">
      <c r="H610" s="0" t="str">
        <f aca="false">IF(B610="","",IF(COUNTIF(Campaigns!$A$7:$A$300,B610)&gt;0,"✓","⚠ add to Campaigns tab"))</f>
        <v/>
      </c>
      <c r="I610" s="84" t="str">
        <f aca="false">IF(C610="","",C610*IF(Settings!$B$25=Settings!$C$6,1,IF(Settings!$B$25="USD",1/INDEX(Settings!$B$29:$B$40,MONTH(A610)),INDEX(Settings!$B$29:$B$40,MONTH(A610)))))</f>
        <v/>
      </c>
    </row>
    <row r="611" customFormat="false" ht="15" hidden="false" customHeight="false" outlineLevel="0" collapsed="false">
      <c r="H611" s="0" t="str">
        <f aca="false">IF(B611="","",IF(COUNTIF(Campaigns!$A$7:$A$300,B611)&gt;0,"✓","⚠ add to Campaigns tab"))</f>
        <v/>
      </c>
      <c r="I611" s="84" t="str">
        <f aca="false">IF(C611="","",C611*IF(Settings!$B$25=Settings!$C$6,1,IF(Settings!$B$25="USD",1/INDEX(Settings!$B$29:$B$40,MONTH(A611)),INDEX(Settings!$B$29:$B$40,MONTH(A611)))))</f>
        <v/>
      </c>
    </row>
    <row r="612" customFormat="false" ht="15" hidden="false" customHeight="false" outlineLevel="0" collapsed="false">
      <c r="H612" s="0" t="str">
        <f aca="false">IF(B612="","",IF(COUNTIF(Campaigns!$A$7:$A$300,B612)&gt;0,"✓","⚠ add to Campaigns tab"))</f>
        <v/>
      </c>
      <c r="I612" s="84" t="str">
        <f aca="false">IF(C612="","",C612*IF(Settings!$B$25=Settings!$C$6,1,IF(Settings!$B$25="USD",1/INDEX(Settings!$B$29:$B$40,MONTH(A612)),INDEX(Settings!$B$29:$B$40,MONTH(A612)))))</f>
        <v/>
      </c>
    </row>
    <row r="613" customFormat="false" ht="15" hidden="false" customHeight="false" outlineLevel="0" collapsed="false">
      <c r="H613" s="0" t="str">
        <f aca="false">IF(B613="","",IF(COUNTIF(Campaigns!$A$7:$A$300,B613)&gt;0,"✓","⚠ add to Campaigns tab"))</f>
        <v/>
      </c>
      <c r="I613" s="84" t="str">
        <f aca="false">IF(C613="","",C613*IF(Settings!$B$25=Settings!$C$6,1,IF(Settings!$B$25="USD",1/INDEX(Settings!$B$29:$B$40,MONTH(A613)),INDEX(Settings!$B$29:$B$40,MONTH(A613)))))</f>
        <v/>
      </c>
    </row>
    <row r="614" customFormat="false" ht="15" hidden="false" customHeight="false" outlineLevel="0" collapsed="false">
      <c r="H614" s="0" t="str">
        <f aca="false">IF(B614="","",IF(COUNTIF(Campaigns!$A$7:$A$300,B614)&gt;0,"✓","⚠ add to Campaigns tab"))</f>
        <v/>
      </c>
      <c r="I614" s="84" t="str">
        <f aca="false">IF(C614="","",C614*IF(Settings!$B$25=Settings!$C$6,1,IF(Settings!$B$25="USD",1/INDEX(Settings!$B$29:$B$40,MONTH(A614)),INDEX(Settings!$B$29:$B$40,MONTH(A614)))))</f>
        <v/>
      </c>
    </row>
    <row r="615" customFormat="false" ht="15" hidden="false" customHeight="false" outlineLevel="0" collapsed="false">
      <c r="H615" s="0" t="str">
        <f aca="false">IF(B615="","",IF(COUNTIF(Campaigns!$A$7:$A$300,B615)&gt;0,"✓","⚠ add to Campaigns tab"))</f>
        <v/>
      </c>
      <c r="I615" s="84" t="str">
        <f aca="false">IF(C615="","",C615*IF(Settings!$B$25=Settings!$C$6,1,IF(Settings!$B$25="USD",1/INDEX(Settings!$B$29:$B$40,MONTH(A615)),INDEX(Settings!$B$29:$B$40,MONTH(A615)))))</f>
        <v/>
      </c>
    </row>
    <row r="616" customFormat="false" ht="15" hidden="false" customHeight="false" outlineLevel="0" collapsed="false">
      <c r="H616" s="0" t="str">
        <f aca="false">IF(B616="","",IF(COUNTIF(Campaigns!$A$7:$A$300,B616)&gt;0,"✓","⚠ add to Campaigns tab"))</f>
        <v/>
      </c>
      <c r="I616" s="84" t="str">
        <f aca="false">IF(C616="","",C616*IF(Settings!$B$25=Settings!$C$6,1,IF(Settings!$B$25="USD",1/INDEX(Settings!$B$29:$B$40,MONTH(A616)),INDEX(Settings!$B$29:$B$40,MONTH(A616)))))</f>
        <v/>
      </c>
    </row>
    <row r="617" customFormat="false" ht="15" hidden="false" customHeight="false" outlineLevel="0" collapsed="false">
      <c r="H617" s="0" t="str">
        <f aca="false">IF(B617="","",IF(COUNTIF(Campaigns!$A$7:$A$300,B617)&gt;0,"✓","⚠ add to Campaigns tab"))</f>
        <v/>
      </c>
      <c r="I617" s="84" t="str">
        <f aca="false">IF(C617="","",C617*IF(Settings!$B$25=Settings!$C$6,1,IF(Settings!$B$25="USD",1/INDEX(Settings!$B$29:$B$40,MONTH(A617)),INDEX(Settings!$B$29:$B$40,MONTH(A617)))))</f>
        <v/>
      </c>
    </row>
    <row r="618" customFormat="false" ht="15" hidden="false" customHeight="false" outlineLevel="0" collapsed="false">
      <c r="H618" s="0" t="str">
        <f aca="false">IF(B618="","",IF(COUNTIF(Campaigns!$A$7:$A$300,B618)&gt;0,"✓","⚠ add to Campaigns tab"))</f>
        <v/>
      </c>
      <c r="I618" s="84" t="str">
        <f aca="false">IF(C618="","",C618*IF(Settings!$B$25=Settings!$C$6,1,IF(Settings!$B$25="USD",1/INDEX(Settings!$B$29:$B$40,MONTH(A618)),INDEX(Settings!$B$29:$B$40,MONTH(A618)))))</f>
        <v/>
      </c>
    </row>
    <row r="619" customFormat="false" ht="15" hidden="false" customHeight="false" outlineLevel="0" collapsed="false">
      <c r="H619" s="0" t="str">
        <f aca="false">IF(B619="","",IF(COUNTIF(Campaigns!$A$7:$A$300,B619)&gt;0,"✓","⚠ add to Campaigns tab"))</f>
        <v/>
      </c>
      <c r="I619" s="84" t="str">
        <f aca="false">IF(C619="","",C619*IF(Settings!$B$25=Settings!$C$6,1,IF(Settings!$B$25="USD",1/INDEX(Settings!$B$29:$B$40,MONTH(A619)),INDEX(Settings!$B$29:$B$40,MONTH(A619)))))</f>
        <v/>
      </c>
    </row>
    <row r="620" customFormat="false" ht="15" hidden="false" customHeight="false" outlineLevel="0" collapsed="false">
      <c r="H620" s="0" t="str">
        <f aca="false">IF(B620="","",IF(COUNTIF(Campaigns!$A$7:$A$300,B620)&gt;0,"✓","⚠ add to Campaigns tab"))</f>
        <v/>
      </c>
      <c r="I620" s="84" t="str">
        <f aca="false">IF(C620="","",C620*IF(Settings!$B$25=Settings!$C$6,1,IF(Settings!$B$25="USD",1/INDEX(Settings!$B$29:$B$40,MONTH(A620)),INDEX(Settings!$B$29:$B$40,MONTH(A620)))))</f>
        <v/>
      </c>
    </row>
    <row r="621" customFormat="false" ht="15" hidden="false" customHeight="false" outlineLevel="0" collapsed="false">
      <c r="H621" s="0" t="str">
        <f aca="false">IF(B621="","",IF(COUNTIF(Campaigns!$A$7:$A$300,B621)&gt;0,"✓","⚠ add to Campaigns tab"))</f>
        <v/>
      </c>
      <c r="I621" s="84" t="str">
        <f aca="false">IF(C621="","",C621*IF(Settings!$B$25=Settings!$C$6,1,IF(Settings!$B$25="USD",1/INDEX(Settings!$B$29:$B$40,MONTH(A621)),INDEX(Settings!$B$29:$B$40,MONTH(A621)))))</f>
        <v/>
      </c>
    </row>
    <row r="622" customFormat="false" ht="15" hidden="false" customHeight="false" outlineLevel="0" collapsed="false">
      <c r="H622" s="0" t="str">
        <f aca="false">IF(B622="","",IF(COUNTIF(Campaigns!$A$7:$A$300,B622)&gt;0,"✓","⚠ add to Campaigns tab"))</f>
        <v/>
      </c>
      <c r="I622" s="84" t="str">
        <f aca="false">IF(C622="","",C622*IF(Settings!$B$25=Settings!$C$6,1,IF(Settings!$B$25="USD",1/INDEX(Settings!$B$29:$B$40,MONTH(A622)),INDEX(Settings!$B$29:$B$40,MONTH(A622)))))</f>
        <v/>
      </c>
    </row>
    <row r="623" customFormat="false" ht="15" hidden="false" customHeight="false" outlineLevel="0" collapsed="false">
      <c r="H623" s="0" t="str">
        <f aca="false">IF(B623="","",IF(COUNTIF(Campaigns!$A$7:$A$300,B623)&gt;0,"✓","⚠ add to Campaigns tab"))</f>
        <v/>
      </c>
      <c r="I623" s="84" t="str">
        <f aca="false">IF(C623="","",C623*IF(Settings!$B$25=Settings!$C$6,1,IF(Settings!$B$25="USD",1/INDEX(Settings!$B$29:$B$40,MONTH(A623)),INDEX(Settings!$B$29:$B$40,MONTH(A623)))))</f>
        <v/>
      </c>
    </row>
    <row r="624" customFormat="false" ht="15" hidden="false" customHeight="false" outlineLevel="0" collapsed="false">
      <c r="H624" s="0" t="str">
        <f aca="false">IF(B624="","",IF(COUNTIF(Campaigns!$A$7:$A$300,B624)&gt;0,"✓","⚠ add to Campaigns tab"))</f>
        <v/>
      </c>
      <c r="I624" s="84" t="str">
        <f aca="false">IF(C624="","",C624*IF(Settings!$B$25=Settings!$C$6,1,IF(Settings!$B$25="USD",1/INDEX(Settings!$B$29:$B$40,MONTH(A624)),INDEX(Settings!$B$29:$B$40,MONTH(A624)))))</f>
        <v/>
      </c>
    </row>
    <row r="625" customFormat="false" ht="15" hidden="false" customHeight="false" outlineLevel="0" collapsed="false">
      <c r="H625" s="0" t="str">
        <f aca="false">IF(B625="","",IF(COUNTIF(Campaigns!$A$7:$A$300,B625)&gt;0,"✓","⚠ add to Campaigns tab"))</f>
        <v/>
      </c>
      <c r="I625" s="84" t="str">
        <f aca="false">IF(C625="","",C625*IF(Settings!$B$25=Settings!$C$6,1,IF(Settings!$B$25="USD",1/INDEX(Settings!$B$29:$B$40,MONTH(A625)),INDEX(Settings!$B$29:$B$40,MONTH(A625)))))</f>
        <v/>
      </c>
    </row>
    <row r="626" customFormat="false" ht="15" hidden="false" customHeight="false" outlineLevel="0" collapsed="false">
      <c r="H626" s="0" t="str">
        <f aca="false">IF(B626="","",IF(COUNTIF(Campaigns!$A$7:$A$300,B626)&gt;0,"✓","⚠ add to Campaigns tab"))</f>
        <v/>
      </c>
      <c r="I626" s="84" t="str">
        <f aca="false">IF(C626="","",C626*IF(Settings!$B$25=Settings!$C$6,1,IF(Settings!$B$25="USD",1/INDEX(Settings!$B$29:$B$40,MONTH(A626)),INDEX(Settings!$B$29:$B$40,MONTH(A626)))))</f>
        <v/>
      </c>
    </row>
    <row r="627" customFormat="false" ht="15" hidden="false" customHeight="false" outlineLevel="0" collapsed="false">
      <c r="H627" s="0" t="str">
        <f aca="false">IF(B627="","",IF(COUNTIF(Campaigns!$A$7:$A$300,B627)&gt;0,"✓","⚠ add to Campaigns tab"))</f>
        <v/>
      </c>
      <c r="I627" s="84" t="str">
        <f aca="false">IF(C627="","",C627*IF(Settings!$B$25=Settings!$C$6,1,IF(Settings!$B$25="USD",1/INDEX(Settings!$B$29:$B$40,MONTH(A627)),INDEX(Settings!$B$29:$B$40,MONTH(A627)))))</f>
        <v/>
      </c>
    </row>
    <row r="628" customFormat="false" ht="15" hidden="false" customHeight="false" outlineLevel="0" collapsed="false">
      <c r="H628" s="0" t="str">
        <f aca="false">IF(B628="","",IF(COUNTIF(Campaigns!$A$7:$A$300,B628)&gt;0,"✓","⚠ add to Campaigns tab"))</f>
        <v/>
      </c>
      <c r="I628" s="84" t="str">
        <f aca="false">IF(C628="","",C628*IF(Settings!$B$25=Settings!$C$6,1,IF(Settings!$B$25="USD",1/INDEX(Settings!$B$29:$B$40,MONTH(A628)),INDEX(Settings!$B$29:$B$40,MONTH(A628)))))</f>
        <v/>
      </c>
    </row>
    <row r="629" customFormat="false" ht="15" hidden="false" customHeight="false" outlineLevel="0" collapsed="false">
      <c r="H629" s="0" t="str">
        <f aca="false">IF(B629="","",IF(COUNTIF(Campaigns!$A$7:$A$300,B629)&gt;0,"✓","⚠ add to Campaigns tab"))</f>
        <v/>
      </c>
      <c r="I629" s="84" t="str">
        <f aca="false">IF(C629="","",C629*IF(Settings!$B$25=Settings!$C$6,1,IF(Settings!$B$25="USD",1/INDEX(Settings!$B$29:$B$40,MONTH(A629)),INDEX(Settings!$B$29:$B$40,MONTH(A629)))))</f>
        <v/>
      </c>
    </row>
    <row r="630" customFormat="false" ht="15" hidden="false" customHeight="false" outlineLevel="0" collapsed="false">
      <c r="H630" s="0" t="str">
        <f aca="false">IF(B630="","",IF(COUNTIF(Campaigns!$A$7:$A$300,B630)&gt;0,"✓","⚠ add to Campaigns tab"))</f>
        <v/>
      </c>
      <c r="I630" s="84" t="str">
        <f aca="false">IF(C630="","",C630*IF(Settings!$B$25=Settings!$C$6,1,IF(Settings!$B$25="USD",1/INDEX(Settings!$B$29:$B$40,MONTH(A630)),INDEX(Settings!$B$29:$B$40,MONTH(A630)))))</f>
        <v/>
      </c>
    </row>
    <row r="631" customFormat="false" ht="15" hidden="false" customHeight="false" outlineLevel="0" collapsed="false">
      <c r="H631" s="0" t="str">
        <f aca="false">IF(B631="","",IF(COUNTIF(Campaigns!$A$7:$A$300,B631)&gt;0,"✓","⚠ add to Campaigns tab"))</f>
        <v/>
      </c>
      <c r="I631" s="84" t="str">
        <f aca="false">IF(C631="","",C631*IF(Settings!$B$25=Settings!$C$6,1,IF(Settings!$B$25="USD",1/INDEX(Settings!$B$29:$B$40,MONTH(A631)),INDEX(Settings!$B$29:$B$40,MONTH(A631)))))</f>
        <v/>
      </c>
    </row>
    <row r="632" customFormat="false" ht="15" hidden="false" customHeight="false" outlineLevel="0" collapsed="false">
      <c r="H632" s="0" t="str">
        <f aca="false">IF(B632="","",IF(COUNTIF(Campaigns!$A$7:$A$300,B632)&gt;0,"✓","⚠ add to Campaigns tab"))</f>
        <v/>
      </c>
      <c r="I632" s="84" t="str">
        <f aca="false">IF(C632="","",C632*IF(Settings!$B$25=Settings!$C$6,1,IF(Settings!$B$25="USD",1/INDEX(Settings!$B$29:$B$40,MONTH(A632)),INDEX(Settings!$B$29:$B$40,MONTH(A632)))))</f>
        <v/>
      </c>
    </row>
    <row r="633" customFormat="false" ht="15" hidden="false" customHeight="false" outlineLevel="0" collapsed="false">
      <c r="H633" s="0" t="str">
        <f aca="false">IF(B633="","",IF(COUNTIF(Campaigns!$A$7:$A$300,B633)&gt;0,"✓","⚠ add to Campaigns tab"))</f>
        <v/>
      </c>
      <c r="I633" s="84" t="str">
        <f aca="false">IF(C633="","",C633*IF(Settings!$B$25=Settings!$C$6,1,IF(Settings!$B$25="USD",1/INDEX(Settings!$B$29:$B$40,MONTH(A633)),INDEX(Settings!$B$29:$B$40,MONTH(A633)))))</f>
        <v/>
      </c>
    </row>
    <row r="634" customFormat="false" ht="15" hidden="false" customHeight="false" outlineLevel="0" collapsed="false">
      <c r="H634" s="0" t="str">
        <f aca="false">IF(B634="","",IF(COUNTIF(Campaigns!$A$7:$A$300,B634)&gt;0,"✓","⚠ add to Campaigns tab"))</f>
        <v/>
      </c>
      <c r="I634" s="84" t="str">
        <f aca="false">IF(C634="","",C634*IF(Settings!$B$25=Settings!$C$6,1,IF(Settings!$B$25="USD",1/INDEX(Settings!$B$29:$B$40,MONTH(A634)),INDEX(Settings!$B$29:$B$40,MONTH(A634)))))</f>
        <v/>
      </c>
    </row>
    <row r="635" customFormat="false" ht="15" hidden="false" customHeight="false" outlineLevel="0" collapsed="false">
      <c r="H635" s="0" t="str">
        <f aca="false">IF(B635="","",IF(COUNTIF(Campaigns!$A$7:$A$300,B635)&gt;0,"✓","⚠ add to Campaigns tab"))</f>
        <v/>
      </c>
      <c r="I635" s="84" t="str">
        <f aca="false">IF(C635="","",C635*IF(Settings!$B$25=Settings!$C$6,1,IF(Settings!$B$25="USD",1/INDEX(Settings!$B$29:$B$40,MONTH(A635)),INDEX(Settings!$B$29:$B$40,MONTH(A635)))))</f>
        <v/>
      </c>
    </row>
    <row r="636" customFormat="false" ht="15" hidden="false" customHeight="false" outlineLevel="0" collapsed="false">
      <c r="H636" s="0" t="str">
        <f aca="false">IF(B636="","",IF(COUNTIF(Campaigns!$A$7:$A$300,B636)&gt;0,"✓","⚠ add to Campaigns tab"))</f>
        <v/>
      </c>
      <c r="I636" s="84" t="str">
        <f aca="false">IF(C636="","",C636*IF(Settings!$B$25=Settings!$C$6,1,IF(Settings!$B$25="USD",1/INDEX(Settings!$B$29:$B$40,MONTH(A636)),INDEX(Settings!$B$29:$B$40,MONTH(A636)))))</f>
        <v/>
      </c>
    </row>
    <row r="637" customFormat="false" ht="15" hidden="false" customHeight="false" outlineLevel="0" collapsed="false">
      <c r="H637" s="0" t="str">
        <f aca="false">IF(B637="","",IF(COUNTIF(Campaigns!$A$7:$A$300,B637)&gt;0,"✓","⚠ add to Campaigns tab"))</f>
        <v/>
      </c>
      <c r="I637" s="84" t="str">
        <f aca="false">IF(C637="","",C637*IF(Settings!$B$25=Settings!$C$6,1,IF(Settings!$B$25="USD",1/INDEX(Settings!$B$29:$B$40,MONTH(A637)),INDEX(Settings!$B$29:$B$40,MONTH(A637)))))</f>
        <v/>
      </c>
    </row>
    <row r="638" customFormat="false" ht="15" hidden="false" customHeight="false" outlineLevel="0" collapsed="false">
      <c r="H638" s="0" t="str">
        <f aca="false">IF(B638="","",IF(COUNTIF(Campaigns!$A$7:$A$300,B638)&gt;0,"✓","⚠ add to Campaigns tab"))</f>
        <v/>
      </c>
      <c r="I638" s="84" t="str">
        <f aca="false">IF(C638="","",C638*IF(Settings!$B$25=Settings!$C$6,1,IF(Settings!$B$25="USD",1/INDEX(Settings!$B$29:$B$40,MONTH(A638)),INDEX(Settings!$B$29:$B$40,MONTH(A638)))))</f>
        <v/>
      </c>
    </row>
    <row r="639" customFormat="false" ht="15" hidden="false" customHeight="false" outlineLevel="0" collapsed="false">
      <c r="H639" s="0" t="str">
        <f aca="false">IF(B639="","",IF(COUNTIF(Campaigns!$A$7:$A$300,B639)&gt;0,"✓","⚠ add to Campaigns tab"))</f>
        <v/>
      </c>
      <c r="I639" s="84" t="str">
        <f aca="false">IF(C639="","",C639*IF(Settings!$B$25=Settings!$C$6,1,IF(Settings!$B$25="USD",1/INDEX(Settings!$B$29:$B$40,MONTH(A639)),INDEX(Settings!$B$29:$B$40,MONTH(A639)))))</f>
        <v/>
      </c>
    </row>
    <row r="640" customFormat="false" ht="15" hidden="false" customHeight="false" outlineLevel="0" collapsed="false">
      <c r="H640" s="0" t="str">
        <f aca="false">IF(B640="","",IF(COUNTIF(Campaigns!$A$7:$A$300,B640)&gt;0,"✓","⚠ add to Campaigns tab"))</f>
        <v/>
      </c>
      <c r="I640" s="84" t="str">
        <f aca="false">IF(C640="","",C640*IF(Settings!$B$25=Settings!$C$6,1,IF(Settings!$B$25="USD",1/INDEX(Settings!$B$29:$B$40,MONTH(A640)),INDEX(Settings!$B$29:$B$40,MONTH(A640)))))</f>
        <v/>
      </c>
    </row>
    <row r="641" customFormat="false" ht="15" hidden="false" customHeight="false" outlineLevel="0" collapsed="false">
      <c r="H641" s="0" t="str">
        <f aca="false">IF(B641="","",IF(COUNTIF(Campaigns!$A$7:$A$300,B641)&gt;0,"✓","⚠ add to Campaigns tab"))</f>
        <v/>
      </c>
      <c r="I641" s="84" t="str">
        <f aca="false">IF(C641="","",C641*IF(Settings!$B$25=Settings!$C$6,1,IF(Settings!$B$25="USD",1/INDEX(Settings!$B$29:$B$40,MONTH(A641)),INDEX(Settings!$B$29:$B$40,MONTH(A641)))))</f>
        <v/>
      </c>
    </row>
    <row r="642" customFormat="false" ht="15" hidden="false" customHeight="false" outlineLevel="0" collapsed="false">
      <c r="H642" s="0" t="str">
        <f aca="false">IF(B642="","",IF(COUNTIF(Campaigns!$A$7:$A$300,B642)&gt;0,"✓","⚠ add to Campaigns tab"))</f>
        <v/>
      </c>
      <c r="I642" s="84" t="str">
        <f aca="false">IF(C642="","",C642*IF(Settings!$B$25=Settings!$C$6,1,IF(Settings!$B$25="USD",1/INDEX(Settings!$B$29:$B$40,MONTH(A642)),INDEX(Settings!$B$29:$B$40,MONTH(A642)))))</f>
        <v/>
      </c>
    </row>
    <row r="643" customFormat="false" ht="15" hidden="false" customHeight="false" outlineLevel="0" collapsed="false">
      <c r="H643" s="0" t="str">
        <f aca="false">IF(B643="","",IF(COUNTIF(Campaigns!$A$7:$A$300,B643)&gt;0,"✓","⚠ add to Campaigns tab"))</f>
        <v/>
      </c>
      <c r="I643" s="84" t="str">
        <f aca="false">IF(C643="","",C643*IF(Settings!$B$25=Settings!$C$6,1,IF(Settings!$B$25="USD",1/INDEX(Settings!$B$29:$B$40,MONTH(A643)),INDEX(Settings!$B$29:$B$40,MONTH(A643)))))</f>
        <v/>
      </c>
    </row>
    <row r="644" customFormat="false" ht="15" hidden="false" customHeight="false" outlineLevel="0" collapsed="false">
      <c r="H644" s="0" t="str">
        <f aca="false">IF(B644="","",IF(COUNTIF(Campaigns!$A$7:$A$300,B644)&gt;0,"✓","⚠ add to Campaigns tab"))</f>
        <v/>
      </c>
      <c r="I644" s="84" t="str">
        <f aca="false">IF(C644="","",C644*IF(Settings!$B$25=Settings!$C$6,1,IF(Settings!$B$25="USD",1/INDEX(Settings!$B$29:$B$40,MONTH(A644)),INDEX(Settings!$B$29:$B$40,MONTH(A644)))))</f>
        <v/>
      </c>
    </row>
    <row r="645" customFormat="false" ht="15" hidden="false" customHeight="false" outlineLevel="0" collapsed="false">
      <c r="H645" s="0" t="str">
        <f aca="false">IF(B645="","",IF(COUNTIF(Campaigns!$A$7:$A$300,B645)&gt;0,"✓","⚠ add to Campaigns tab"))</f>
        <v/>
      </c>
      <c r="I645" s="84" t="str">
        <f aca="false">IF(C645="","",C645*IF(Settings!$B$25=Settings!$C$6,1,IF(Settings!$B$25="USD",1/INDEX(Settings!$B$29:$B$40,MONTH(A645)),INDEX(Settings!$B$29:$B$40,MONTH(A645)))))</f>
        <v/>
      </c>
    </row>
    <row r="646" customFormat="false" ht="15" hidden="false" customHeight="false" outlineLevel="0" collapsed="false">
      <c r="H646" s="0" t="str">
        <f aca="false">IF(B646="","",IF(COUNTIF(Campaigns!$A$7:$A$300,B646)&gt;0,"✓","⚠ add to Campaigns tab"))</f>
        <v/>
      </c>
      <c r="I646" s="84" t="str">
        <f aca="false">IF(C646="","",C646*IF(Settings!$B$25=Settings!$C$6,1,IF(Settings!$B$25="USD",1/INDEX(Settings!$B$29:$B$40,MONTH(A646)),INDEX(Settings!$B$29:$B$40,MONTH(A646)))))</f>
        <v/>
      </c>
    </row>
    <row r="647" customFormat="false" ht="15" hidden="false" customHeight="false" outlineLevel="0" collapsed="false">
      <c r="H647" s="0" t="str">
        <f aca="false">IF(B647="","",IF(COUNTIF(Campaigns!$A$7:$A$300,B647)&gt;0,"✓","⚠ add to Campaigns tab"))</f>
        <v/>
      </c>
      <c r="I647" s="84" t="str">
        <f aca="false">IF(C647="","",C647*IF(Settings!$B$25=Settings!$C$6,1,IF(Settings!$B$25="USD",1/INDEX(Settings!$B$29:$B$40,MONTH(A647)),INDEX(Settings!$B$29:$B$40,MONTH(A647)))))</f>
        <v/>
      </c>
    </row>
    <row r="648" customFormat="false" ht="15" hidden="false" customHeight="false" outlineLevel="0" collapsed="false">
      <c r="H648" s="0" t="str">
        <f aca="false">IF(B648="","",IF(COUNTIF(Campaigns!$A$7:$A$300,B648)&gt;0,"✓","⚠ add to Campaigns tab"))</f>
        <v/>
      </c>
      <c r="I648" s="84" t="str">
        <f aca="false">IF(C648="","",C648*IF(Settings!$B$25=Settings!$C$6,1,IF(Settings!$B$25="USD",1/INDEX(Settings!$B$29:$B$40,MONTH(A648)),INDEX(Settings!$B$29:$B$40,MONTH(A648)))))</f>
        <v/>
      </c>
    </row>
    <row r="649" customFormat="false" ht="15" hidden="false" customHeight="false" outlineLevel="0" collapsed="false">
      <c r="H649" s="0" t="str">
        <f aca="false">IF(B649="","",IF(COUNTIF(Campaigns!$A$7:$A$300,B649)&gt;0,"✓","⚠ add to Campaigns tab"))</f>
        <v/>
      </c>
      <c r="I649" s="84" t="str">
        <f aca="false">IF(C649="","",C649*IF(Settings!$B$25=Settings!$C$6,1,IF(Settings!$B$25="USD",1/INDEX(Settings!$B$29:$B$40,MONTH(A649)),INDEX(Settings!$B$29:$B$40,MONTH(A649)))))</f>
        <v/>
      </c>
    </row>
    <row r="650" customFormat="false" ht="15" hidden="false" customHeight="false" outlineLevel="0" collapsed="false">
      <c r="H650" s="0" t="str">
        <f aca="false">IF(B650="","",IF(COUNTIF(Campaigns!$A$7:$A$300,B650)&gt;0,"✓","⚠ add to Campaigns tab"))</f>
        <v/>
      </c>
      <c r="I650" s="84" t="str">
        <f aca="false">IF(C650="","",C650*IF(Settings!$B$25=Settings!$C$6,1,IF(Settings!$B$25="USD",1/INDEX(Settings!$B$29:$B$40,MONTH(A650)),INDEX(Settings!$B$29:$B$40,MONTH(A650)))))</f>
        <v/>
      </c>
    </row>
    <row r="651" customFormat="false" ht="15" hidden="false" customHeight="false" outlineLevel="0" collapsed="false">
      <c r="H651" s="0" t="str">
        <f aca="false">IF(B651="","",IF(COUNTIF(Campaigns!$A$7:$A$300,B651)&gt;0,"✓","⚠ add to Campaigns tab"))</f>
        <v/>
      </c>
      <c r="I651" s="84" t="str">
        <f aca="false">IF(C651="","",C651*IF(Settings!$B$25=Settings!$C$6,1,IF(Settings!$B$25="USD",1/INDEX(Settings!$B$29:$B$40,MONTH(A651)),INDEX(Settings!$B$29:$B$40,MONTH(A651)))))</f>
        <v/>
      </c>
    </row>
    <row r="652" customFormat="false" ht="15" hidden="false" customHeight="false" outlineLevel="0" collapsed="false">
      <c r="H652" s="0" t="str">
        <f aca="false">IF(B652="","",IF(COUNTIF(Campaigns!$A$7:$A$300,B652)&gt;0,"✓","⚠ add to Campaigns tab"))</f>
        <v/>
      </c>
      <c r="I652" s="84" t="str">
        <f aca="false">IF(C652="","",C652*IF(Settings!$B$25=Settings!$C$6,1,IF(Settings!$B$25="USD",1/INDEX(Settings!$B$29:$B$40,MONTH(A652)),INDEX(Settings!$B$29:$B$40,MONTH(A652)))))</f>
        <v/>
      </c>
    </row>
    <row r="653" customFormat="false" ht="15" hidden="false" customHeight="false" outlineLevel="0" collapsed="false">
      <c r="H653" s="0" t="str">
        <f aca="false">IF(B653="","",IF(COUNTIF(Campaigns!$A$7:$A$300,B653)&gt;0,"✓","⚠ add to Campaigns tab"))</f>
        <v/>
      </c>
      <c r="I653" s="84" t="str">
        <f aca="false">IF(C653="","",C653*IF(Settings!$B$25=Settings!$C$6,1,IF(Settings!$B$25="USD",1/INDEX(Settings!$B$29:$B$40,MONTH(A653)),INDEX(Settings!$B$29:$B$40,MONTH(A653)))))</f>
        <v/>
      </c>
    </row>
    <row r="654" customFormat="false" ht="15" hidden="false" customHeight="false" outlineLevel="0" collapsed="false">
      <c r="H654" s="0" t="str">
        <f aca="false">IF(B654="","",IF(COUNTIF(Campaigns!$A$7:$A$300,B654)&gt;0,"✓","⚠ add to Campaigns tab"))</f>
        <v/>
      </c>
      <c r="I654" s="84" t="str">
        <f aca="false">IF(C654="","",C654*IF(Settings!$B$25=Settings!$C$6,1,IF(Settings!$B$25="USD",1/INDEX(Settings!$B$29:$B$40,MONTH(A654)),INDEX(Settings!$B$29:$B$40,MONTH(A654)))))</f>
        <v/>
      </c>
    </row>
    <row r="655" customFormat="false" ht="15" hidden="false" customHeight="false" outlineLevel="0" collapsed="false">
      <c r="H655" s="0" t="str">
        <f aca="false">IF(B655="","",IF(COUNTIF(Campaigns!$A$7:$A$300,B655)&gt;0,"✓","⚠ add to Campaigns tab"))</f>
        <v/>
      </c>
      <c r="I655" s="84" t="str">
        <f aca="false">IF(C655="","",C655*IF(Settings!$B$25=Settings!$C$6,1,IF(Settings!$B$25="USD",1/INDEX(Settings!$B$29:$B$40,MONTH(A655)),INDEX(Settings!$B$29:$B$40,MONTH(A655)))))</f>
        <v/>
      </c>
    </row>
    <row r="656" customFormat="false" ht="15" hidden="false" customHeight="false" outlineLevel="0" collapsed="false">
      <c r="H656" s="0" t="str">
        <f aca="false">IF(B656="","",IF(COUNTIF(Campaigns!$A$7:$A$300,B656)&gt;0,"✓","⚠ add to Campaigns tab"))</f>
        <v/>
      </c>
      <c r="I656" s="84" t="str">
        <f aca="false">IF(C656="","",C656*IF(Settings!$B$25=Settings!$C$6,1,IF(Settings!$B$25="USD",1/INDEX(Settings!$B$29:$B$40,MONTH(A656)),INDEX(Settings!$B$29:$B$40,MONTH(A656)))))</f>
        <v/>
      </c>
    </row>
    <row r="657" customFormat="false" ht="15" hidden="false" customHeight="false" outlineLevel="0" collapsed="false">
      <c r="H657" s="0" t="str">
        <f aca="false">IF(B657="","",IF(COUNTIF(Campaigns!$A$7:$A$300,B657)&gt;0,"✓","⚠ add to Campaigns tab"))</f>
        <v/>
      </c>
      <c r="I657" s="84" t="str">
        <f aca="false">IF(C657="","",C657*IF(Settings!$B$25=Settings!$C$6,1,IF(Settings!$B$25="USD",1/INDEX(Settings!$B$29:$B$40,MONTH(A657)),INDEX(Settings!$B$29:$B$40,MONTH(A657)))))</f>
        <v/>
      </c>
    </row>
    <row r="658" customFormat="false" ht="15" hidden="false" customHeight="false" outlineLevel="0" collapsed="false">
      <c r="H658" s="0" t="str">
        <f aca="false">IF(B658="","",IF(COUNTIF(Campaigns!$A$7:$A$300,B658)&gt;0,"✓","⚠ add to Campaigns tab"))</f>
        <v/>
      </c>
      <c r="I658" s="84" t="str">
        <f aca="false">IF(C658="","",C658*IF(Settings!$B$25=Settings!$C$6,1,IF(Settings!$B$25="USD",1/INDEX(Settings!$B$29:$B$40,MONTH(A658)),INDEX(Settings!$B$29:$B$40,MONTH(A658)))))</f>
        <v/>
      </c>
    </row>
    <row r="659" customFormat="false" ht="15" hidden="false" customHeight="false" outlineLevel="0" collapsed="false">
      <c r="H659" s="0" t="str">
        <f aca="false">IF(B659="","",IF(COUNTIF(Campaigns!$A$7:$A$300,B659)&gt;0,"✓","⚠ add to Campaigns tab"))</f>
        <v/>
      </c>
      <c r="I659" s="84" t="str">
        <f aca="false">IF(C659="","",C659*IF(Settings!$B$25=Settings!$C$6,1,IF(Settings!$B$25="USD",1/INDEX(Settings!$B$29:$B$40,MONTH(A659)),INDEX(Settings!$B$29:$B$40,MONTH(A659)))))</f>
        <v/>
      </c>
    </row>
    <row r="660" customFormat="false" ht="15" hidden="false" customHeight="false" outlineLevel="0" collapsed="false">
      <c r="H660" s="0" t="str">
        <f aca="false">IF(B660="","",IF(COUNTIF(Campaigns!$A$7:$A$300,B660)&gt;0,"✓","⚠ add to Campaigns tab"))</f>
        <v/>
      </c>
      <c r="I660" s="84" t="str">
        <f aca="false">IF(C660="","",C660*IF(Settings!$B$25=Settings!$C$6,1,IF(Settings!$B$25="USD",1/INDEX(Settings!$B$29:$B$40,MONTH(A660)),INDEX(Settings!$B$29:$B$40,MONTH(A660)))))</f>
        <v/>
      </c>
    </row>
    <row r="661" customFormat="false" ht="15" hidden="false" customHeight="false" outlineLevel="0" collapsed="false">
      <c r="H661" s="0" t="str">
        <f aca="false">IF(B661="","",IF(COUNTIF(Campaigns!$A$7:$A$300,B661)&gt;0,"✓","⚠ add to Campaigns tab"))</f>
        <v/>
      </c>
      <c r="I661" s="84" t="str">
        <f aca="false">IF(C661="","",C661*IF(Settings!$B$25=Settings!$C$6,1,IF(Settings!$B$25="USD",1/INDEX(Settings!$B$29:$B$40,MONTH(A661)),INDEX(Settings!$B$29:$B$40,MONTH(A661)))))</f>
        <v/>
      </c>
    </row>
    <row r="662" customFormat="false" ht="15" hidden="false" customHeight="false" outlineLevel="0" collapsed="false">
      <c r="H662" s="0" t="str">
        <f aca="false">IF(B662="","",IF(COUNTIF(Campaigns!$A$7:$A$300,B662)&gt;0,"✓","⚠ add to Campaigns tab"))</f>
        <v/>
      </c>
      <c r="I662" s="84" t="str">
        <f aca="false">IF(C662="","",C662*IF(Settings!$B$25=Settings!$C$6,1,IF(Settings!$B$25="USD",1/INDEX(Settings!$B$29:$B$40,MONTH(A662)),INDEX(Settings!$B$29:$B$40,MONTH(A662)))))</f>
        <v/>
      </c>
    </row>
    <row r="663" customFormat="false" ht="15" hidden="false" customHeight="false" outlineLevel="0" collapsed="false">
      <c r="H663" s="0" t="str">
        <f aca="false">IF(B663="","",IF(COUNTIF(Campaigns!$A$7:$A$300,B663)&gt;0,"✓","⚠ add to Campaigns tab"))</f>
        <v/>
      </c>
      <c r="I663" s="84" t="str">
        <f aca="false">IF(C663="","",C663*IF(Settings!$B$25=Settings!$C$6,1,IF(Settings!$B$25="USD",1/INDEX(Settings!$B$29:$B$40,MONTH(A663)),INDEX(Settings!$B$29:$B$40,MONTH(A663)))))</f>
        <v/>
      </c>
    </row>
    <row r="664" customFormat="false" ht="15" hidden="false" customHeight="false" outlineLevel="0" collapsed="false">
      <c r="H664" s="0" t="str">
        <f aca="false">IF(B664="","",IF(COUNTIF(Campaigns!$A$7:$A$300,B664)&gt;0,"✓","⚠ add to Campaigns tab"))</f>
        <v/>
      </c>
      <c r="I664" s="84" t="str">
        <f aca="false">IF(C664="","",C664*IF(Settings!$B$25=Settings!$C$6,1,IF(Settings!$B$25="USD",1/INDEX(Settings!$B$29:$B$40,MONTH(A664)),INDEX(Settings!$B$29:$B$40,MONTH(A664)))))</f>
        <v/>
      </c>
    </row>
    <row r="665" customFormat="false" ht="15" hidden="false" customHeight="false" outlineLevel="0" collapsed="false">
      <c r="H665" s="0" t="str">
        <f aca="false">IF(B665="","",IF(COUNTIF(Campaigns!$A$7:$A$300,B665)&gt;0,"✓","⚠ add to Campaigns tab"))</f>
        <v/>
      </c>
      <c r="I665" s="84" t="str">
        <f aca="false">IF(C665="","",C665*IF(Settings!$B$25=Settings!$C$6,1,IF(Settings!$B$25="USD",1/INDEX(Settings!$B$29:$B$40,MONTH(A665)),INDEX(Settings!$B$29:$B$40,MONTH(A665)))))</f>
        <v/>
      </c>
    </row>
    <row r="666" customFormat="false" ht="15" hidden="false" customHeight="false" outlineLevel="0" collapsed="false">
      <c r="H666" s="0" t="str">
        <f aca="false">IF(B666="","",IF(COUNTIF(Campaigns!$A$7:$A$300,B666)&gt;0,"✓","⚠ add to Campaigns tab"))</f>
        <v/>
      </c>
      <c r="I666" s="84" t="str">
        <f aca="false">IF(C666="","",C666*IF(Settings!$B$25=Settings!$C$6,1,IF(Settings!$B$25="USD",1/INDEX(Settings!$B$29:$B$40,MONTH(A666)),INDEX(Settings!$B$29:$B$40,MONTH(A666)))))</f>
        <v/>
      </c>
    </row>
    <row r="667" customFormat="false" ht="15" hidden="false" customHeight="false" outlineLevel="0" collapsed="false">
      <c r="H667" s="0" t="str">
        <f aca="false">IF(B667="","",IF(COUNTIF(Campaigns!$A$7:$A$300,B667)&gt;0,"✓","⚠ add to Campaigns tab"))</f>
        <v/>
      </c>
      <c r="I667" s="84" t="str">
        <f aca="false">IF(C667="","",C667*IF(Settings!$B$25=Settings!$C$6,1,IF(Settings!$B$25="USD",1/INDEX(Settings!$B$29:$B$40,MONTH(A667)),INDEX(Settings!$B$29:$B$40,MONTH(A667)))))</f>
        <v/>
      </c>
    </row>
    <row r="668" customFormat="false" ht="15" hidden="false" customHeight="false" outlineLevel="0" collapsed="false">
      <c r="H668" s="0" t="str">
        <f aca="false">IF(B668="","",IF(COUNTIF(Campaigns!$A$7:$A$300,B668)&gt;0,"✓","⚠ add to Campaigns tab"))</f>
        <v/>
      </c>
      <c r="I668" s="84" t="str">
        <f aca="false">IF(C668="","",C668*IF(Settings!$B$25=Settings!$C$6,1,IF(Settings!$B$25="USD",1/INDEX(Settings!$B$29:$B$40,MONTH(A668)),INDEX(Settings!$B$29:$B$40,MONTH(A668)))))</f>
        <v/>
      </c>
    </row>
    <row r="669" customFormat="false" ht="15" hidden="false" customHeight="false" outlineLevel="0" collapsed="false">
      <c r="H669" s="0" t="str">
        <f aca="false">IF(B669="","",IF(COUNTIF(Campaigns!$A$7:$A$300,B669)&gt;0,"✓","⚠ add to Campaigns tab"))</f>
        <v/>
      </c>
      <c r="I669" s="84" t="str">
        <f aca="false">IF(C669="","",C669*IF(Settings!$B$25=Settings!$C$6,1,IF(Settings!$B$25="USD",1/INDEX(Settings!$B$29:$B$40,MONTH(A669)),INDEX(Settings!$B$29:$B$40,MONTH(A669)))))</f>
        <v/>
      </c>
    </row>
    <row r="670" customFormat="false" ht="15" hidden="false" customHeight="false" outlineLevel="0" collapsed="false">
      <c r="H670" s="0" t="str">
        <f aca="false">IF(B670="","",IF(COUNTIF(Campaigns!$A$7:$A$300,B670)&gt;0,"✓","⚠ add to Campaigns tab"))</f>
        <v/>
      </c>
      <c r="I670" s="84" t="str">
        <f aca="false">IF(C670="","",C670*IF(Settings!$B$25=Settings!$C$6,1,IF(Settings!$B$25="USD",1/INDEX(Settings!$B$29:$B$40,MONTH(A670)),INDEX(Settings!$B$29:$B$40,MONTH(A670)))))</f>
        <v/>
      </c>
    </row>
    <row r="671" customFormat="false" ht="15" hidden="false" customHeight="false" outlineLevel="0" collapsed="false">
      <c r="H671" s="0" t="str">
        <f aca="false">IF(B671="","",IF(COUNTIF(Campaigns!$A$7:$A$300,B671)&gt;0,"✓","⚠ add to Campaigns tab"))</f>
        <v/>
      </c>
      <c r="I671" s="84" t="str">
        <f aca="false">IF(C671="","",C671*IF(Settings!$B$25=Settings!$C$6,1,IF(Settings!$B$25="USD",1/INDEX(Settings!$B$29:$B$40,MONTH(A671)),INDEX(Settings!$B$29:$B$40,MONTH(A671)))))</f>
        <v/>
      </c>
    </row>
    <row r="672" customFormat="false" ht="15" hidden="false" customHeight="false" outlineLevel="0" collapsed="false">
      <c r="H672" s="0" t="str">
        <f aca="false">IF(B672="","",IF(COUNTIF(Campaigns!$A$7:$A$300,B672)&gt;0,"✓","⚠ add to Campaigns tab"))</f>
        <v/>
      </c>
      <c r="I672" s="84" t="str">
        <f aca="false">IF(C672="","",C672*IF(Settings!$B$25=Settings!$C$6,1,IF(Settings!$B$25="USD",1/INDEX(Settings!$B$29:$B$40,MONTH(A672)),INDEX(Settings!$B$29:$B$40,MONTH(A672)))))</f>
        <v/>
      </c>
    </row>
    <row r="673" customFormat="false" ht="15" hidden="false" customHeight="false" outlineLevel="0" collapsed="false">
      <c r="H673" s="0" t="str">
        <f aca="false">IF(B673="","",IF(COUNTIF(Campaigns!$A$7:$A$300,B673)&gt;0,"✓","⚠ add to Campaigns tab"))</f>
        <v/>
      </c>
      <c r="I673" s="84" t="str">
        <f aca="false">IF(C673="","",C673*IF(Settings!$B$25=Settings!$C$6,1,IF(Settings!$B$25="USD",1/INDEX(Settings!$B$29:$B$40,MONTH(A673)),INDEX(Settings!$B$29:$B$40,MONTH(A673)))))</f>
        <v/>
      </c>
    </row>
    <row r="674" customFormat="false" ht="15" hidden="false" customHeight="false" outlineLevel="0" collapsed="false">
      <c r="H674" s="0" t="str">
        <f aca="false">IF(B674="","",IF(COUNTIF(Campaigns!$A$7:$A$300,B674)&gt;0,"✓","⚠ add to Campaigns tab"))</f>
        <v/>
      </c>
      <c r="I674" s="84" t="str">
        <f aca="false">IF(C674="","",C674*IF(Settings!$B$25=Settings!$C$6,1,IF(Settings!$B$25="USD",1/INDEX(Settings!$B$29:$B$40,MONTH(A674)),INDEX(Settings!$B$29:$B$40,MONTH(A674)))))</f>
        <v/>
      </c>
    </row>
    <row r="675" customFormat="false" ht="15" hidden="false" customHeight="false" outlineLevel="0" collapsed="false">
      <c r="H675" s="0" t="str">
        <f aca="false">IF(B675="","",IF(COUNTIF(Campaigns!$A$7:$A$300,B675)&gt;0,"✓","⚠ add to Campaigns tab"))</f>
        <v/>
      </c>
      <c r="I675" s="84" t="str">
        <f aca="false">IF(C675="","",C675*IF(Settings!$B$25=Settings!$C$6,1,IF(Settings!$B$25="USD",1/INDEX(Settings!$B$29:$B$40,MONTH(A675)),INDEX(Settings!$B$29:$B$40,MONTH(A675)))))</f>
        <v/>
      </c>
    </row>
    <row r="676" customFormat="false" ht="15" hidden="false" customHeight="false" outlineLevel="0" collapsed="false">
      <c r="H676" s="0" t="str">
        <f aca="false">IF(B676="","",IF(COUNTIF(Campaigns!$A$7:$A$300,B676)&gt;0,"✓","⚠ add to Campaigns tab"))</f>
        <v/>
      </c>
      <c r="I676" s="84" t="str">
        <f aca="false">IF(C676="","",C676*IF(Settings!$B$25=Settings!$C$6,1,IF(Settings!$B$25="USD",1/INDEX(Settings!$B$29:$B$40,MONTH(A676)),INDEX(Settings!$B$29:$B$40,MONTH(A676)))))</f>
        <v/>
      </c>
    </row>
    <row r="677" customFormat="false" ht="15" hidden="false" customHeight="false" outlineLevel="0" collapsed="false">
      <c r="H677" s="0" t="str">
        <f aca="false">IF(B677="","",IF(COUNTIF(Campaigns!$A$7:$A$300,B677)&gt;0,"✓","⚠ add to Campaigns tab"))</f>
        <v/>
      </c>
      <c r="I677" s="84" t="str">
        <f aca="false">IF(C677="","",C677*IF(Settings!$B$25=Settings!$C$6,1,IF(Settings!$B$25="USD",1/INDEX(Settings!$B$29:$B$40,MONTH(A677)),INDEX(Settings!$B$29:$B$40,MONTH(A677)))))</f>
        <v/>
      </c>
    </row>
    <row r="678" customFormat="false" ht="15" hidden="false" customHeight="false" outlineLevel="0" collapsed="false">
      <c r="H678" s="0" t="str">
        <f aca="false">IF(B678="","",IF(COUNTIF(Campaigns!$A$7:$A$300,B678)&gt;0,"✓","⚠ add to Campaigns tab"))</f>
        <v/>
      </c>
      <c r="I678" s="84" t="str">
        <f aca="false">IF(C678="","",C678*IF(Settings!$B$25=Settings!$C$6,1,IF(Settings!$B$25="USD",1/INDEX(Settings!$B$29:$B$40,MONTH(A678)),INDEX(Settings!$B$29:$B$40,MONTH(A678)))))</f>
        <v/>
      </c>
    </row>
    <row r="679" customFormat="false" ht="15" hidden="false" customHeight="false" outlineLevel="0" collapsed="false">
      <c r="H679" s="0" t="str">
        <f aca="false">IF(B679="","",IF(COUNTIF(Campaigns!$A$7:$A$300,B679)&gt;0,"✓","⚠ add to Campaigns tab"))</f>
        <v/>
      </c>
      <c r="I679" s="84" t="str">
        <f aca="false">IF(C679="","",C679*IF(Settings!$B$25=Settings!$C$6,1,IF(Settings!$B$25="USD",1/INDEX(Settings!$B$29:$B$40,MONTH(A679)),INDEX(Settings!$B$29:$B$40,MONTH(A679)))))</f>
        <v/>
      </c>
    </row>
    <row r="680" customFormat="false" ht="15" hidden="false" customHeight="false" outlineLevel="0" collapsed="false">
      <c r="H680" s="0" t="str">
        <f aca="false">IF(B680="","",IF(COUNTIF(Campaigns!$A$7:$A$300,B680)&gt;0,"✓","⚠ add to Campaigns tab"))</f>
        <v/>
      </c>
      <c r="I680" s="84" t="str">
        <f aca="false">IF(C680="","",C680*IF(Settings!$B$25=Settings!$C$6,1,IF(Settings!$B$25="USD",1/INDEX(Settings!$B$29:$B$40,MONTH(A680)),INDEX(Settings!$B$29:$B$40,MONTH(A680)))))</f>
        <v/>
      </c>
    </row>
    <row r="681" customFormat="false" ht="15" hidden="false" customHeight="false" outlineLevel="0" collapsed="false">
      <c r="H681" s="0" t="str">
        <f aca="false">IF(B681="","",IF(COUNTIF(Campaigns!$A$7:$A$300,B681)&gt;0,"✓","⚠ add to Campaigns tab"))</f>
        <v/>
      </c>
      <c r="I681" s="84" t="str">
        <f aca="false">IF(C681="","",C681*IF(Settings!$B$25=Settings!$C$6,1,IF(Settings!$B$25="USD",1/INDEX(Settings!$B$29:$B$40,MONTH(A681)),INDEX(Settings!$B$29:$B$40,MONTH(A681)))))</f>
        <v/>
      </c>
    </row>
    <row r="682" customFormat="false" ht="15" hidden="false" customHeight="false" outlineLevel="0" collapsed="false">
      <c r="H682" s="0" t="str">
        <f aca="false">IF(B682="","",IF(COUNTIF(Campaigns!$A$7:$A$300,B682)&gt;0,"✓","⚠ add to Campaigns tab"))</f>
        <v/>
      </c>
      <c r="I682" s="84" t="str">
        <f aca="false">IF(C682="","",C682*IF(Settings!$B$25=Settings!$C$6,1,IF(Settings!$B$25="USD",1/INDEX(Settings!$B$29:$B$40,MONTH(A682)),INDEX(Settings!$B$29:$B$40,MONTH(A682)))))</f>
        <v/>
      </c>
    </row>
    <row r="683" customFormat="false" ht="15" hidden="false" customHeight="false" outlineLevel="0" collapsed="false">
      <c r="H683" s="0" t="str">
        <f aca="false">IF(B683="","",IF(COUNTIF(Campaigns!$A$7:$A$300,B683)&gt;0,"✓","⚠ add to Campaigns tab"))</f>
        <v/>
      </c>
      <c r="I683" s="84" t="str">
        <f aca="false">IF(C683="","",C683*IF(Settings!$B$25=Settings!$C$6,1,IF(Settings!$B$25="USD",1/INDEX(Settings!$B$29:$B$40,MONTH(A683)),INDEX(Settings!$B$29:$B$40,MONTH(A683)))))</f>
        <v/>
      </c>
    </row>
    <row r="684" customFormat="false" ht="15" hidden="false" customHeight="false" outlineLevel="0" collapsed="false">
      <c r="H684" s="0" t="str">
        <f aca="false">IF(B684="","",IF(COUNTIF(Campaigns!$A$7:$A$300,B684)&gt;0,"✓","⚠ add to Campaigns tab"))</f>
        <v/>
      </c>
      <c r="I684" s="84" t="str">
        <f aca="false">IF(C684="","",C684*IF(Settings!$B$25=Settings!$C$6,1,IF(Settings!$B$25="USD",1/INDEX(Settings!$B$29:$B$40,MONTH(A684)),INDEX(Settings!$B$29:$B$40,MONTH(A684)))))</f>
        <v/>
      </c>
    </row>
    <row r="685" customFormat="false" ht="15" hidden="false" customHeight="false" outlineLevel="0" collapsed="false">
      <c r="H685" s="0" t="str">
        <f aca="false">IF(B685="","",IF(COUNTIF(Campaigns!$A$7:$A$300,B685)&gt;0,"✓","⚠ add to Campaigns tab"))</f>
        <v/>
      </c>
      <c r="I685" s="84" t="str">
        <f aca="false">IF(C685="","",C685*IF(Settings!$B$25=Settings!$C$6,1,IF(Settings!$B$25="USD",1/INDEX(Settings!$B$29:$B$40,MONTH(A685)),INDEX(Settings!$B$29:$B$40,MONTH(A685)))))</f>
        <v/>
      </c>
    </row>
    <row r="686" customFormat="false" ht="15" hidden="false" customHeight="false" outlineLevel="0" collapsed="false">
      <c r="H686" s="0" t="str">
        <f aca="false">IF(B686="","",IF(COUNTIF(Campaigns!$A$7:$A$300,B686)&gt;0,"✓","⚠ add to Campaigns tab"))</f>
        <v/>
      </c>
      <c r="I686" s="84" t="str">
        <f aca="false">IF(C686="","",C686*IF(Settings!$B$25=Settings!$C$6,1,IF(Settings!$B$25="USD",1/INDEX(Settings!$B$29:$B$40,MONTH(A686)),INDEX(Settings!$B$29:$B$40,MONTH(A686)))))</f>
        <v/>
      </c>
    </row>
    <row r="687" customFormat="false" ht="15" hidden="false" customHeight="false" outlineLevel="0" collapsed="false">
      <c r="H687" s="0" t="str">
        <f aca="false">IF(B687="","",IF(COUNTIF(Campaigns!$A$7:$A$300,B687)&gt;0,"✓","⚠ add to Campaigns tab"))</f>
        <v/>
      </c>
      <c r="I687" s="84" t="str">
        <f aca="false">IF(C687="","",C687*IF(Settings!$B$25=Settings!$C$6,1,IF(Settings!$B$25="USD",1/INDEX(Settings!$B$29:$B$40,MONTH(A687)),INDEX(Settings!$B$29:$B$40,MONTH(A687)))))</f>
        <v/>
      </c>
    </row>
    <row r="688" customFormat="false" ht="15" hidden="false" customHeight="false" outlineLevel="0" collapsed="false">
      <c r="H688" s="0" t="str">
        <f aca="false">IF(B688="","",IF(COUNTIF(Campaigns!$A$7:$A$300,B688)&gt;0,"✓","⚠ add to Campaigns tab"))</f>
        <v/>
      </c>
      <c r="I688" s="84" t="str">
        <f aca="false">IF(C688="","",C688*IF(Settings!$B$25=Settings!$C$6,1,IF(Settings!$B$25="USD",1/INDEX(Settings!$B$29:$B$40,MONTH(A688)),INDEX(Settings!$B$29:$B$40,MONTH(A688)))))</f>
        <v/>
      </c>
    </row>
    <row r="689" customFormat="false" ht="15" hidden="false" customHeight="false" outlineLevel="0" collapsed="false">
      <c r="H689" s="0" t="str">
        <f aca="false">IF(B689="","",IF(COUNTIF(Campaigns!$A$7:$A$300,B689)&gt;0,"✓","⚠ add to Campaigns tab"))</f>
        <v/>
      </c>
      <c r="I689" s="84" t="str">
        <f aca="false">IF(C689="","",C689*IF(Settings!$B$25=Settings!$C$6,1,IF(Settings!$B$25="USD",1/INDEX(Settings!$B$29:$B$40,MONTH(A689)),INDEX(Settings!$B$29:$B$40,MONTH(A689)))))</f>
        <v/>
      </c>
    </row>
    <row r="690" customFormat="false" ht="15" hidden="false" customHeight="false" outlineLevel="0" collapsed="false">
      <c r="H690" s="0" t="str">
        <f aca="false">IF(B690="","",IF(COUNTIF(Campaigns!$A$7:$A$300,B690)&gt;0,"✓","⚠ add to Campaigns tab"))</f>
        <v/>
      </c>
      <c r="I690" s="84" t="str">
        <f aca="false">IF(C690="","",C690*IF(Settings!$B$25=Settings!$C$6,1,IF(Settings!$B$25="USD",1/INDEX(Settings!$B$29:$B$40,MONTH(A690)),INDEX(Settings!$B$29:$B$40,MONTH(A690)))))</f>
        <v/>
      </c>
    </row>
    <row r="691" customFormat="false" ht="15" hidden="false" customHeight="false" outlineLevel="0" collapsed="false">
      <c r="H691" s="0" t="str">
        <f aca="false">IF(B691="","",IF(COUNTIF(Campaigns!$A$7:$A$300,B691)&gt;0,"✓","⚠ add to Campaigns tab"))</f>
        <v/>
      </c>
      <c r="I691" s="84" t="str">
        <f aca="false">IF(C691="","",C691*IF(Settings!$B$25=Settings!$C$6,1,IF(Settings!$B$25="USD",1/INDEX(Settings!$B$29:$B$40,MONTH(A691)),INDEX(Settings!$B$29:$B$40,MONTH(A691)))))</f>
        <v/>
      </c>
    </row>
    <row r="692" customFormat="false" ht="15" hidden="false" customHeight="false" outlineLevel="0" collapsed="false">
      <c r="H692" s="0" t="str">
        <f aca="false">IF(B692="","",IF(COUNTIF(Campaigns!$A$7:$A$300,B692)&gt;0,"✓","⚠ add to Campaigns tab"))</f>
        <v/>
      </c>
      <c r="I692" s="84" t="str">
        <f aca="false">IF(C692="","",C692*IF(Settings!$B$25=Settings!$C$6,1,IF(Settings!$B$25="USD",1/INDEX(Settings!$B$29:$B$40,MONTH(A692)),INDEX(Settings!$B$29:$B$40,MONTH(A692)))))</f>
        <v/>
      </c>
    </row>
    <row r="693" customFormat="false" ht="15" hidden="false" customHeight="false" outlineLevel="0" collapsed="false">
      <c r="H693" s="0" t="str">
        <f aca="false">IF(B693="","",IF(COUNTIF(Campaigns!$A$7:$A$300,B693)&gt;0,"✓","⚠ add to Campaigns tab"))</f>
        <v/>
      </c>
      <c r="I693" s="84" t="str">
        <f aca="false">IF(C693="","",C693*IF(Settings!$B$25=Settings!$C$6,1,IF(Settings!$B$25="USD",1/INDEX(Settings!$B$29:$B$40,MONTH(A693)),INDEX(Settings!$B$29:$B$40,MONTH(A693)))))</f>
        <v/>
      </c>
    </row>
    <row r="694" customFormat="false" ht="15" hidden="false" customHeight="false" outlineLevel="0" collapsed="false">
      <c r="H694" s="0" t="str">
        <f aca="false">IF(B694="","",IF(COUNTIF(Campaigns!$A$7:$A$300,B694)&gt;0,"✓","⚠ add to Campaigns tab"))</f>
        <v/>
      </c>
      <c r="I694" s="84" t="str">
        <f aca="false">IF(C694="","",C694*IF(Settings!$B$25=Settings!$C$6,1,IF(Settings!$B$25="USD",1/INDEX(Settings!$B$29:$B$40,MONTH(A694)),INDEX(Settings!$B$29:$B$40,MONTH(A694)))))</f>
        <v/>
      </c>
    </row>
    <row r="695" customFormat="false" ht="15" hidden="false" customHeight="false" outlineLevel="0" collapsed="false">
      <c r="H695" s="0" t="str">
        <f aca="false">IF(B695="","",IF(COUNTIF(Campaigns!$A$7:$A$300,B695)&gt;0,"✓","⚠ add to Campaigns tab"))</f>
        <v/>
      </c>
      <c r="I695" s="84" t="str">
        <f aca="false">IF(C695="","",C695*IF(Settings!$B$25=Settings!$C$6,1,IF(Settings!$B$25="USD",1/INDEX(Settings!$B$29:$B$40,MONTH(A695)),INDEX(Settings!$B$29:$B$40,MONTH(A695)))))</f>
        <v/>
      </c>
    </row>
    <row r="696" customFormat="false" ht="15" hidden="false" customHeight="false" outlineLevel="0" collapsed="false">
      <c r="H696" s="0" t="str">
        <f aca="false">IF(B696="","",IF(COUNTIF(Campaigns!$A$7:$A$300,B696)&gt;0,"✓","⚠ add to Campaigns tab"))</f>
        <v/>
      </c>
      <c r="I696" s="84" t="str">
        <f aca="false">IF(C696="","",C696*IF(Settings!$B$25=Settings!$C$6,1,IF(Settings!$B$25="USD",1/INDEX(Settings!$B$29:$B$40,MONTH(A696)),INDEX(Settings!$B$29:$B$40,MONTH(A696)))))</f>
        <v/>
      </c>
    </row>
    <row r="697" customFormat="false" ht="15" hidden="false" customHeight="false" outlineLevel="0" collapsed="false">
      <c r="H697" s="0" t="str">
        <f aca="false">IF(B697="","",IF(COUNTIF(Campaigns!$A$7:$A$300,B697)&gt;0,"✓","⚠ add to Campaigns tab"))</f>
        <v/>
      </c>
      <c r="I697" s="84" t="str">
        <f aca="false">IF(C697="","",C697*IF(Settings!$B$25=Settings!$C$6,1,IF(Settings!$B$25="USD",1/INDEX(Settings!$B$29:$B$40,MONTH(A697)),INDEX(Settings!$B$29:$B$40,MONTH(A697)))))</f>
        <v/>
      </c>
    </row>
    <row r="698" customFormat="false" ht="15" hidden="false" customHeight="false" outlineLevel="0" collapsed="false">
      <c r="H698" s="0" t="str">
        <f aca="false">IF(B698="","",IF(COUNTIF(Campaigns!$A$7:$A$300,B698)&gt;0,"✓","⚠ add to Campaigns tab"))</f>
        <v/>
      </c>
      <c r="I698" s="84" t="str">
        <f aca="false">IF(C698="","",C698*IF(Settings!$B$25=Settings!$C$6,1,IF(Settings!$B$25="USD",1/INDEX(Settings!$B$29:$B$40,MONTH(A698)),INDEX(Settings!$B$29:$B$40,MONTH(A698)))))</f>
        <v/>
      </c>
    </row>
    <row r="699" customFormat="false" ht="15" hidden="false" customHeight="false" outlineLevel="0" collapsed="false">
      <c r="H699" s="0" t="str">
        <f aca="false">IF(B699="","",IF(COUNTIF(Campaigns!$A$7:$A$300,B699)&gt;0,"✓","⚠ add to Campaigns tab"))</f>
        <v/>
      </c>
      <c r="I699" s="84" t="str">
        <f aca="false">IF(C699="","",C699*IF(Settings!$B$25=Settings!$C$6,1,IF(Settings!$B$25="USD",1/INDEX(Settings!$B$29:$B$40,MONTH(A699)),INDEX(Settings!$B$29:$B$40,MONTH(A699)))))</f>
        <v/>
      </c>
    </row>
    <row r="700" customFormat="false" ht="15" hidden="false" customHeight="false" outlineLevel="0" collapsed="false">
      <c r="H700" s="0" t="str">
        <f aca="false">IF(B700="","",IF(COUNTIF(Campaigns!$A$7:$A$300,B700)&gt;0,"✓","⚠ add to Campaigns tab"))</f>
        <v/>
      </c>
      <c r="I700" s="84" t="str">
        <f aca="false">IF(C700="","",C700*IF(Settings!$B$25=Settings!$C$6,1,IF(Settings!$B$25="USD",1/INDEX(Settings!$B$29:$B$40,MONTH(A700)),INDEX(Settings!$B$29:$B$40,MONTH(A700)))))</f>
        <v/>
      </c>
    </row>
    <row r="701" customFormat="false" ht="15" hidden="false" customHeight="false" outlineLevel="0" collapsed="false">
      <c r="H701" s="0" t="str">
        <f aca="false">IF(B701="","",IF(COUNTIF(Campaigns!$A$7:$A$300,B701)&gt;0,"✓","⚠ add to Campaigns tab"))</f>
        <v/>
      </c>
      <c r="I701" s="84" t="str">
        <f aca="false">IF(C701="","",C701*IF(Settings!$B$25=Settings!$C$6,1,IF(Settings!$B$25="USD",1/INDEX(Settings!$B$29:$B$40,MONTH(A701)),INDEX(Settings!$B$29:$B$40,MONTH(A701)))))</f>
        <v/>
      </c>
    </row>
    <row r="702" customFormat="false" ht="15" hidden="false" customHeight="false" outlineLevel="0" collapsed="false">
      <c r="H702" s="0" t="str">
        <f aca="false">IF(B702="","",IF(COUNTIF(Campaigns!$A$7:$A$300,B702)&gt;0,"✓","⚠ add to Campaigns tab"))</f>
        <v/>
      </c>
      <c r="I702" s="84" t="str">
        <f aca="false">IF(C702="","",C702*IF(Settings!$B$25=Settings!$C$6,1,IF(Settings!$B$25="USD",1/INDEX(Settings!$B$29:$B$40,MONTH(A702)),INDEX(Settings!$B$29:$B$40,MONTH(A702)))))</f>
        <v/>
      </c>
    </row>
    <row r="703" customFormat="false" ht="15" hidden="false" customHeight="false" outlineLevel="0" collapsed="false">
      <c r="H703" s="0" t="str">
        <f aca="false">IF(B703="","",IF(COUNTIF(Campaigns!$A$7:$A$300,B703)&gt;0,"✓","⚠ add to Campaigns tab"))</f>
        <v/>
      </c>
      <c r="I703" s="84" t="str">
        <f aca="false">IF(C703="","",C703*IF(Settings!$B$25=Settings!$C$6,1,IF(Settings!$B$25="USD",1/INDEX(Settings!$B$29:$B$40,MONTH(A703)),INDEX(Settings!$B$29:$B$40,MONTH(A703)))))</f>
        <v/>
      </c>
    </row>
    <row r="704" customFormat="false" ht="15" hidden="false" customHeight="false" outlineLevel="0" collapsed="false">
      <c r="H704" s="0" t="str">
        <f aca="false">IF(B704="","",IF(COUNTIF(Campaigns!$A$7:$A$300,B704)&gt;0,"✓","⚠ add to Campaigns tab"))</f>
        <v/>
      </c>
      <c r="I704" s="84" t="str">
        <f aca="false">IF(C704="","",C704*IF(Settings!$B$25=Settings!$C$6,1,IF(Settings!$B$25="USD",1/INDEX(Settings!$B$29:$B$40,MONTH(A704)),INDEX(Settings!$B$29:$B$40,MONTH(A704)))))</f>
        <v/>
      </c>
    </row>
    <row r="705" customFormat="false" ht="15" hidden="false" customHeight="false" outlineLevel="0" collapsed="false">
      <c r="H705" s="0" t="str">
        <f aca="false">IF(B705="","",IF(COUNTIF(Campaigns!$A$7:$A$300,B705)&gt;0,"✓","⚠ add to Campaigns tab"))</f>
        <v/>
      </c>
      <c r="I705" s="84" t="str">
        <f aca="false">IF(C705="","",C705*IF(Settings!$B$25=Settings!$C$6,1,IF(Settings!$B$25="USD",1/INDEX(Settings!$B$29:$B$40,MONTH(A705)),INDEX(Settings!$B$29:$B$40,MONTH(A705)))))</f>
        <v/>
      </c>
    </row>
    <row r="706" customFormat="false" ht="15" hidden="false" customHeight="false" outlineLevel="0" collapsed="false">
      <c r="H706" s="0" t="str">
        <f aca="false">IF(B706="","",IF(COUNTIF(Campaigns!$A$7:$A$300,B706)&gt;0,"✓","⚠ add to Campaigns tab"))</f>
        <v/>
      </c>
      <c r="I706" s="84" t="str">
        <f aca="false">IF(C706="","",C706*IF(Settings!$B$25=Settings!$C$6,1,IF(Settings!$B$25="USD",1/INDEX(Settings!$B$29:$B$40,MONTH(A706)),INDEX(Settings!$B$29:$B$40,MONTH(A706)))))</f>
        <v/>
      </c>
    </row>
    <row r="707" customFormat="false" ht="15" hidden="false" customHeight="false" outlineLevel="0" collapsed="false">
      <c r="H707" s="0" t="str">
        <f aca="false">IF(B707="","",IF(COUNTIF(Campaigns!$A$7:$A$300,B707)&gt;0,"✓","⚠ add to Campaigns tab"))</f>
        <v/>
      </c>
      <c r="I707" s="84" t="str">
        <f aca="false">IF(C707="","",C707*IF(Settings!$B$25=Settings!$C$6,1,IF(Settings!$B$25="USD",1/INDEX(Settings!$B$29:$B$40,MONTH(A707)),INDEX(Settings!$B$29:$B$40,MONTH(A707)))))</f>
        <v/>
      </c>
    </row>
    <row r="708" customFormat="false" ht="15" hidden="false" customHeight="false" outlineLevel="0" collapsed="false">
      <c r="H708" s="0" t="str">
        <f aca="false">IF(B708="","",IF(COUNTIF(Campaigns!$A$7:$A$300,B708)&gt;0,"✓","⚠ add to Campaigns tab"))</f>
        <v/>
      </c>
      <c r="I708" s="84" t="str">
        <f aca="false">IF(C708="","",C708*IF(Settings!$B$25=Settings!$C$6,1,IF(Settings!$B$25="USD",1/INDEX(Settings!$B$29:$B$40,MONTH(A708)),INDEX(Settings!$B$29:$B$40,MONTH(A708)))))</f>
        <v/>
      </c>
    </row>
    <row r="709" customFormat="false" ht="15" hidden="false" customHeight="false" outlineLevel="0" collapsed="false">
      <c r="H709" s="0" t="str">
        <f aca="false">IF(B709="","",IF(COUNTIF(Campaigns!$A$7:$A$300,B709)&gt;0,"✓","⚠ add to Campaigns tab"))</f>
        <v/>
      </c>
      <c r="I709" s="84" t="str">
        <f aca="false">IF(C709="","",C709*IF(Settings!$B$25=Settings!$C$6,1,IF(Settings!$B$25="USD",1/INDEX(Settings!$B$29:$B$40,MONTH(A709)),INDEX(Settings!$B$29:$B$40,MONTH(A709)))))</f>
        <v/>
      </c>
    </row>
    <row r="710" customFormat="false" ht="15" hidden="false" customHeight="false" outlineLevel="0" collapsed="false">
      <c r="H710" s="0" t="str">
        <f aca="false">IF(B710="","",IF(COUNTIF(Campaigns!$A$7:$A$300,B710)&gt;0,"✓","⚠ add to Campaigns tab"))</f>
        <v/>
      </c>
      <c r="I710" s="84" t="str">
        <f aca="false">IF(C710="","",C710*IF(Settings!$B$25=Settings!$C$6,1,IF(Settings!$B$25="USD",1/INDEX(Settings!$B$29:$B$40,MONTH(A710)),INDEX(Settings!$B$29:$B$40,MONTH(A710)))))</f>
        <v/>
      </c>
    </row>
    <row r="711" customFormat="false" ht="15" hidden="false" customHeight="false" outlineLevel="0" collapsed="false">
      <c r="H711" s="0" t="str">
        <f aca="false">IF(B711="","",IF(COUNTIF(Campaigns!$A$7:$A$300,B711)&gt;0,"✓","⚠ add to Campaigns tab"))</f>
        <v/>
      </c>
      <c r="I711" s="84" t="str">
        <f aca="false">IF(C711="","",C711*IF(Settings!$B$25=Settings!$C$6,1,IF(Settings!$B$25="USD",1/INDEX(Settings!$B$29:$B$40,MONTH(A711)),INDEX(Settings!$B$29:$B$40,MONTH(A711)))))</f>
        <v/>
      </c>
    </row>
    <row r="712" customFormat="false" ht="15" hidden="false" customHeight="false" outlineLevel="0" collapsed="false">
      <c r="H712" s="0" t="str">
        <f aca="false">IF(B712="","",IF(COUNTIF(Campaigns!$A$7:$A$300,B712)&gt;0,"✓","⚠ add to Campaigns tab"))</f>
        <v/>
      </c>
      <c r="I712" s="84" t="str">
        <f aca="false">IF(C712="","",C712*IF(Settings!$B$25=Settings!$C$6,1,IF(Settings!$B$25="USD",1/INDEX(Settings!$B$29:$B$40,MONTH(A712)),INDEX(Settings!$B$29:$B$40,MONTH(A712)))))</f>
        <v/>
      </c>
    </row>
    <row r="713" customFormat="false" ht="15" hidden="false" customHeight="false" outlineLevel="0" collapsed="false">
      <c r="H713" s="0" t="str">
        <f aca="false">IF(B713="","",IF(COUNTIF(Campaigns!$A$7:$A$300,B713)&gt;0,"✓","⚠ add to Campaigns tab"))</f>
        <v/>
      </c>
      <c r="I713" s="84" t="str">
        <f aca="false">IF(C713="","",C713*IF(Settings!$B$25=Settings!$C$6,1,IF(Settings!$B$25="USD",1/INDEX(Settings!$B$29:$B$40,MONTH(A713)),INDEX(Settings!$B$29:$B$40,MONTH(A713)))))</f>
        <v/>
      </c>
    </row>
    <row r="714" customFormat="false" ht="15" hidden="false" customHeight="false" outlineLevel="0" collapsed="false">
      <c r="H714" s="0" t="str">
        <f aca="false">IF(B714="","",IF(COUNTIF(Campaigns!$A$7:$A$300,B714)&gt;0,"✓","⚠ add to Campaigns tab"))</f>
        <v/>
      </c>
      <c r="I714" s="84" t="str">
        <f aca="false">IF(C714="","",C714*IF(Settings!$B$25=Settings!$C$6,1,IF(Settings!$B$25="USD",1/INDEX(Settings!$B$29:$B$40,MONTH(A714)),INDEX(Settings!$B$29:$B$40,MONTH(A714)))))</f>
        <v/>
      </c>
    </row>
    <row r="715" customFormat="false" ht="15" hidden="false" customHeight="false" outlineLevel="0" collapsed="false">
      <c r="H715" s="0" t="str">
        <f aca="false">IF(B715="","",IF(COUNTIF(Campaigns!$A$7:$A$300,B715)&gt;0,"✓","⚠ add to Campaigns tab"))</f>
        <v/>
      </c>
      <c r="I715" s="84" t="str">
        <f aca="false">IF(C715="","",C715*IF(Settings!$B$25=Settings!$C$6,1,IF(Settings!$B$25="USD",1/INDEX(Settings!$B$29:$B$40,MONTH(A715)),INDEX(Settings!$B$29:$B$40,MONTH(A715)))))</f>
        <v/>
      </c>
    </row>
    <row r="716" customFormat="false" ht="15" hidden="false" customHeight="false" outlineLevel="0" collapsed="false">
      <c r="H716" s="0" t="str">
        <f aca="false">IF(B716="","",IF(COUNTIF(Campaigns!$A$7:$A$300,B716)&gt;0,"✓","⚠ add to Campaigns tab"))</f>
        <v/>
      </c>
      <c r="I716" s="84" t="str">
        <f aca="false">IF(C716="","",C716*IF(Settings!$B$25=Settings!$C$6,1,IF(Settings!$B$25="USD",1/INDEX(Settings!$B$29:$B$40,MONTH(A716)),INDEX(Settings!$B$29:$B$40,MONTH(A716)))))</f>
        <v/>
      </c>
    </row>
    <row r="717" customFormat="false" ht="15" hidden="false" customHeight="false" outlineLevel="0" collapsed="false">
      <c r="H717" s="0" t="str">
        <f aca="false">IF(B717="","",IF(COUNTIF(Campaigns!$A$7:$A$300,B717)&gt;0,"✓","⚠ add to Campaigns tab"))</f>
        <v/>
      </c>
      <c r="I717" s="84" t="str">
        <f aca="false">IF(C717="","",C717*IF(Settings!$B$25=Settings!$C$6,1,IF(Settings!$B$25="USD",1/INDEX(Settings!$B$29:$B$40,MONTH(A717)),INDEX(Settings!$B$29:$B$40,MONTH(A717)))))</f>
        <v/>
      </c>
    </row>
    <row r="718" customFormat="false" ht="15" hidden="false" customHeight="false" outlineLevel="0" collapsed="false">
      <c r="H718" s="0" t="str">
        <f aca="false">IF(B718="","",IF(COUNTIF(Campaigns!$A$7:$A$300,B718)&gt;0,"✓","⚠ add to Campaigns tab"))</f>
        <v/>
      </c>
      <c r="I718" s="84" t="str">
        <f aca="false">IF(C718="","",C718*IF(Settings!$B$25=Settings!$C$6,1,IF(Settings!$B$25="USD",1/INDEX(Settings!$B$29:$B$40,MONTH(A718)),INDEX(Settings!$B$29:$B$40,MONTH(A718)))))</f>
        <v/>
      </c>
    </row>
    <row r="719" customFormat="false" ht="15" hidden="false" customHeight="false" outlineLevel="0" collapsed="false">
      <c r="H719" s="0" t="str">
        <f aca="false">IF(B719="","",IF(COUNTIF(Campaigns!$A$7:$A$300,B719)&gt;0,"✓","⚠ add to Campaigns tab"))</f>
        <v/>
      </c>
      <c r="I719" s="84" t="str">
        <f aca="false">IF(C719="","",C719*IF(Settings!$B$25=Settings!$C$6,1,IF(Settings!$B$25="USD",1/INDEX(Settings!$B$29:$B$40,MONTH(A719)),INDEX(Settings!$B$29:$B$40,MONTH(A719)))))</f>
        <v/>
      </c>
    </row>
    <row r="720" customFormat="false" ht="15" hidden="false" customHeight="false" outlineLevel="0" collapsed="false">
      <c r="H720" s="0" t="str">
        <f aca="false">IF(B720="","",IF(COUNTIF(Campaigns!$A$7:$A$300,B720)&gt;0,"✓","⚠ add to Campaigns tab"))</f>
        <v/>
      </c>
      <c r="I720" s="84" t="str">
        <f aca="false">IF(C720="","",C720*IF(Settings!$B$25=Settings!$C$6,1,IF(Settings!$B$25="USD",1/INDEX(Settings!$B$29:$B$40,MONTH(A720)),INDEX(Settings!$B$29:$B$40,MONTH(A720)))))</f>
        <v/>
      </c>
    </row>
    <row r="721" customFormat="false" ht="15" hidden="false" customHeight="false" outlineLevel="0" collapsed="false">
      <c r="H721" s="0" t="str">
        <f aca="false">IF(B721="","",IF(COUNTIF(Campaigns!$A$7:$A$300,B721)&gt;0,"✓","⚠ add to Campaigns tab"))</f>
        <v/>
      </c>
      <c r="I721" s="84" t="str">
        <f aca="false">IF(C721="","",C721*IF(Settings!$B$25=Settings!$C$6,1,IF(Settings!$B$25="USD",1/INDEX(Settings!$B$29:$B$40,MONTH(A721)),INDEX(Settings!$B$29:$B$40,MONTH(A721)))))</f>
        <v/>
      </c>
    </row>
    <row r="722" customFormat="false" ht="15" hidden="false" customHeight="false" outlineLevel="0" collapsed="false">
      <c r="H722" s="0" t="str">
        <f aca="false">IF(B722="","",IF(COUNTIF(Campaigns!$A$7:$A$300,B722)&gt;0,"✓","⚠ add to Campaigns tab"))</f>
        <v/>
      </c>
      <c r="I722" s="84" t="str">
        <f aca="false">IF(C722="","",C722*IF(Settings!$B$25=Settings!$C$6,1,IF(Settings!$B$25="USD",1/INDEX(Settings!$B$29:$B$40,MONTH(A722)),INDEX(Settings!$B$29:$B$40,MONTH(A722)))))</f>
        <v/>
      </c>
    </row>
    <row r="723" customFormat="false" ht="15" hidden="false" customHeight="false" outlineLevel="0" collapsed="false">
      <c r="H723" s="0" t="str">
        <f aca="false">IF(B723="","",IF(COUNTIF(Campaigns!$A$7:$A$300,B723)&gt;0,"✓","⚠ add to Campaigns tab"))</f>
        <v/>
      </c>
      <c r="I723" s="84" t="str">
        <f aca="false">IF(C723="","",C723*IF(Settings!$B$25=Settings!$C$6,1,IF(Settings!$B$25="USD",1/INDEX(Settings!$B$29:$B$40,MONTH(A723)),INDEX(Settings!$B$29:$B$40,MONTH(A723)))))</f>
        <v/>
      </c>
    </row>
    <row r="724" customFormat="false" ht="15" hidden="false" customHeight="false" outlineLevel="0" collapsed="false">
      <c r="H724" s="0" t="str">
        <f aca="false">IF(B724="","",IF(COUNTIF(Campaigns!$A$7:$A$300,B724)&gt;0,"✓","⚠ add to Campaigns tab"))</f>
        <v/>
      </c>
      <c r="I724" s="84" t="str">
        <f aca="false">IF(C724="","",C724*IF(Settings!$B$25=Settings!$C$6,1,IF(Settings!$B$25="USD",1/INDEX(Settings!$B$29:$B$40,MONTH(A724)),INDEX(Settings!$B$29:$B$40,MONTH(A724)))))</f>
        <v/>
      </c>
    </row>
    <row r="725" customFormat="false" ht="15" hidden="false" customHeight="false" outlineLevel="0" collapsed="false">
      <c r="H725" s="0" t="str">
        <f aca="false">IF(B725="","",IF(COUNTIF(Campaigns!$A$7:$A$300,B725)&gt;0,"✓","⚠ add to Campaigns tab"))</f>
        <v/>
      </c>
      <c r="I725" s="84" t="str">
        <f aca="false">IF(C725="","",C725*IF(Settings!$B$25=Settings!$C$6,1,IF(Settings!$B$25="USD",1/INDEX(Settings!$B$29:$B$40,MONTH(A725)),INDEX(Settings!$B$29:$B$40,MONTH(A725)))))</f>
        <v/>
      </c>
    </row>
    <row r="726" customFormat="false" ht="15" hidden="false" customHeight="false" outlineLevel="0" collapsed="false">
      <c r="H726" s="0" t="str">
        <f aca="false">IF(B726="","",IF(COUNTIF(Campaigns!$A$7:$A$300,B726)&gt;0,"✓","⚠ add to Campaigns tab"))</f>
        <v/>
      </c>
      <c r="I726" s="84" t="str">
        <f aca="false">IF(C726="","",C726*IF(Settings!$B$25=Settings!$C$6,1,IF(Settings!$B$25="USD",1/INDEX(Settings!$B$29:$B$40,MONTH(A726)),INDEX(Settings!$B$29:$B$40,MONTH(A726)))))</f>
        <v/>
      </c>
    </row>
    <row r="727" customFormat="false" ht="15" hidden="false" customHeight="false" outlineLevel="0" collapsed="false">
      <c r="H727" s="0" t="str">
        <f aca="false">IF(B727="","",IF(COUNTIF(Campaigns!$A$7:$A$300,B727)&gt;0,"✓","⚠ add to Campaigns tab"))</f>
        <v/>
      </c>
      <c r="I727" s="84" t="str">
        <f aca="false">IF(C727="","",C727*IF(Settings!$B$25=Settings!$C$6,1,IF(Settings!$B$25="USD",1/INDEX(Settings!$B$29:$B$40,MONTH(A727)),INDEX(Settings!$B$29:$B$40,MONTH(A727)))))</f>
        <v/>
      </c>
    </row>
    <row r="728" customFormat="false" ht="15" hidden="false" customHeight="false" outlineLevel="0" collapsed="false">
      <c r="H728" s="0" t="str">
        <f aca="false">IF(B728="","",IF(COUNTIF(Campaigns!$A$7:$A$300,B728)&gt;0,"✓","⚠ add to Campaigns tab"))</f>
        <v/>
      </c>
      <c r="I728" s="84" t="str">
        <f aca="false">IF(C728="","",C728*IF(Settings!$B$25=Settings!$C$6,1,IF(Settings!$B$25="USD",1/INDEX(Settings!$B$29:$B$40,MONTH(A728)),INDEX(Settings!$B$29:$B$40,MONTH(A728)))))</f>
        <v/>
      </c>
    </row>
    <row r="729" customFormat="false" ht="15" hidden="false" customHeight="false" outlineLevel="0" collapsed="false">
      <c r="H729" s="0" t="str">
        <f aca="false">IF(B729="","",IF(COUNTIF(Campaigns!$A$7:$A$300,B729)&gt;0,"✓","⚠ add to Campaigns tab"))</f>
        <v/>
      </c>
      <c r="I729" s="84" t="str">
        <f aca="false">IF(C729="","",C729*IF(Settings!$B$25=Settings!$C$6,1,IF(Settings!$B$25="USD",1/INDEX(Settings!$B$29:$B$40,MONTH(A729)),INDEX(Settings!$B$29:$B$40,MONTH(A729)))))</f>
        <v/>
      </c>
    </row>
    <row r="730" customFormat="false" ht="15" hidden="false" customHeight="false" outlineLevel="0" collapsed="false">
      <c r="H730" s="0" t="str">
        <f aca="false">IF(B730="","",IF(COUNTIF(Campaigns!$A$7:$A$300,B730)&gt;0,"✓","⚠ add to Campaigns tab"))</f>
        <v/>
      </c>
      <c r="I730" s="84" t="str">
        <f aca="false">IF(C730="","",C730*IF(Settings!$B$25=Settings!$C$6,1,IF(Settings!$B$25="USD",1/INDEX(Settings!$B$29:$B$40,MONTH(A730)),INDEX(Settings!$B$29:$B$40,MONTH(A730)))))</f>
        <v/>
      </c>
    </row>
    <row r="731" customFormat="false" ht="15" hidden="false" customHeight="false" outlineLevel="0" collapsed="false">
      <c r="H731" s="0" t="str">
        <f aca="false">IF(B731="","",IF(COUNTIF(Campaigns!$A$7:$A$300,B731)&gt;0,"✓","⚠ add to Campaigns tab"))</f>
        <v/>
      </c>
      <c r="I731" s="84" t="str">
        <f aca="false">IF(C731="","",C731*IF(Settings!$B$25=Settings!$C$6,1,IF(Settings!$B$25="USD",1/INDEX(Settings!$B$29:$B$40,MONTH(A731)),INDEX(Settings!$B$29:$B$40,MONTH(A731)))))</f>
        <v/>
      </c>
    </row>
    <row r="732" customFormat="false" ht="15" hidden="false" customHeight="false" outlineLevel="0" collapsed="false">
      <c r="H732" s="0" t="str">
        <f aca="false">IF(B732="","",IF(COUNTIF(Campaigns!$A$7:$A$300,B732)&gt;0,"✓","⚠ add to Campaigns tab"))</f>
        <v/>
      </c>
      <c r="I732" s="84" t="str">
        <f aca="false">IF(C732="","",C732*IF(Settings!$B$25=Settings!$C$6,1,IF(Settings!$B$25="USD",1/INDEX(Settings!$B$29:$B$40,MONTH(A732)),INDEX(Settings!$B$29:$B$40,MONTH(A732)))))</f>
        <v/>
      </c>
    </row>
    <row r="733" customFormat="false" ht="15" hidden="false" customHeight="false" outlineLevel="0" collapsed="false">
      <c r="H733" s="0" t="str">
        <f aca="false">IF(B733="","",IF(COUNTIF(Campaigns!$A$7:$A$300,B733)&gt;0,"✓","⚠ add to Campaigns tab"))</f>
        <v/>
      </c>
      <c r="I733" s="84" t="str">
        <f aca="false">IF(C733="","",C733*IF(Settings!$B$25=Settings!$C$6,1,IF(Settings!$B$25="USD",1/INDEX(Settings!$B$29:$B$40,MONTH(A733)),INDEX(Settings!$B$29:$B$40,MONTH(A733)))))</f>
        <v/>
      </c>
    </row>
    <row r="734" customFormat="false" ht="15" hidden="false" customHeight="false" outlineLevel="0" collapsed="false">
      <c r="H734" s="0" t="str">
        <f aca="false">IF(B734="","",IF(COUNTIF(Campaigns!$A$7:$A$300,B734)&gt;0,"✓","⚠ add to Campaigns tab"))</f>
        <v/>
      </c>
      <c r="I734" s="84" t="str">
        <f aca="false">IF(C734="","",C734*IF(Settings!$B$25=Settings!$C$6,1,IF(Settings!$B$25="USD",1/INDEX(Settings!$B$29:$B$40,MONTH(A734)),INDEX(Settings!$B$29:$B$40,MONTH(A734)))))</f>
        <v/>
      </c>
    </row>
    <row r="735" customFormat="false" ht="15" hidden="false" customHeight="false" outlineLevel="0" collapsed="false">
      <c r="H735" s="0" t="str">
        <f aca="false">IF(B735="","",IF(COUNTIF(Campaigns!$A$7:$A$300,B735)&gt;0,"✓","⚠ add to Campaigns tab"))</f>
        <v/>
      </c>
      <c r="I735" s="84" t="str">
        <f aca="false">IF(C735="","",C735*IF(Settings!$B$25=Settings!$C$6,1,IF(Settings!$B$25="USD",1/INDEX(Settings!$B$29:$B$40,MONTH(A735)),INDEX(Settings!$B$29:$B$40,MONTH(A735)))))</f>
        <v/>
      </c>
    </row>
    <row r="736" customFormat="false" ht="15" hidden="false" customHeight="false" outlineLevel="0" collapsed="false">
      <c r="H736" s="0" t="str">
        <f aca="false">IF(B736="","",IF(COUNTIF(Campaigns!$A$7:$A$300,B736)&gt;0,"✓","⚠ add to Campaigns tab"))</f>
        <v/>
      </c>
      <c r="I736" s="84" t="str">
        <f aca="false">IF(C736="","",C736*IF(Settings!$B$25=Settings!$C$6,1,IF(Settings!$B$25="USD",1/INDEX(Settings!$B$29:$B$40,MONTH(A736)),INDEX(Settings!$B$29:$B$40,MONTH(A736)))))</f>
        <v/>
      </c>
    </row>
    <row r="737" customFormat="false" ht="15" hidden="false" customHeight="false" outlineLevel="0" collapsed="false">
      <c r="H737" s="0" t="str">
        <f aca="false">IF(B737="","",IF(COUNTIF(Campaigns!$A$7:$A$300,B737)&gt;0,"✓","⚠ add to Campaigns tab"))</f>
        <v/>
      </c>
      <c r="I737" s="84" t="str">
        <f aca="false">IF(C737="","",C737*IF(Settings!$B$25=Settings!$C$6,1,IF(Settings!$B$25="USD",1/INDEX(Settings!$B$29:$B$40,MONTH(A737)),INDEX(Settings!$B$29:$B$40,MONTH(A737)))))</f>
        <v/>
      </c>
    </row>
    <row r="738" customFormat="false" ht="15" hidden="false" customHeight="false" outlineLevel="0" collapsed="false">
      <c r="H738" s="0" t="str">
        <f aca="false">IF(B738="","",IF(COUNTIF(Campaigns!$A$7:$A$300,B738)&gt;0,"✓","⚠ add to Campaigns tab"))</f>
        <v/>
      </c>
      <c r="I738" s="84" t="str">
        <f aca="false">IF(C738="","",C738*IF(Settings!$B$25=Settings!$C$6,1,IF(Settings!$B$25="USD",1/INDEX(Settings!$B$29:$B$40,MONTH(A738)),INDEX(Settings!$B$29:$B$40,MONTH(A738)))))</f>
        <v/>
      </c>
    </row>
    <row r="739" customFormat="false" ht="15" hidden="false" customHeight="false" outlineLevel="0" collapsed="false">
      <c r="H739" s="0" t="str">
        <f aca="false">IF(B739="","",IF(COUNTIF(Campaigns!$A$7:$A$300,B739)&gt;0,"✓","⚠ add to Campaigns tab"))</f>
        <v/>
      </c>
      <c r="I739" s="84" t="str">
        <f aca="false">IF(C739="","",C739*IF(Settings!$B$25=Settings!$C$6,1,IF(Settings!$B$25="USD",1/INDEX(Settings!$B$29:$B$40,MONTH(A739)),INDEX(Settings!$B$29:$B$40,MONTH(A739)))))</f>
        <v/>
      </c>
    </row>
    <row r="740" customFormat="false" ht="15" hidden="false" customHeight="false" outlineLevel="0" collapsed="false">
      <c r="H740" s="0" t="str">
        <f aca="false">IF(B740="","",IF(COUNTIF(Campaigns!$A$7:$A$300,B740)&gt;0,"✓","⚠ add to Campaigns tab"))</f>
        <v/>
      </c>
      <c r="I740" s="84" t="str">
        <f aca="false">IF(C740="","",C740*IF(Settings!$B$25=Settings!$C$6,1,IF(Settings!$B$25="USD",1/INDEX(Settings!$B$29:$B$40,MONTH(A740)),INDEX(Settings!$B$29:$B$40,MONTH(A740)))))</f>
        <v/>
      </c>
    </row>
    <row r="741" customFormat="false" ht="15" hidden="false" customHeight="false" outlineLevel="0" collapsed="false">
      <c r="H741" s="0" t="str">
        <f aca="false">IF(B741="","",IF(COUNTIF(Campaigns!$A$7:$A$300,B741)&gt;0,"✓","⚠ add to Campaigns tab"))</f>
        <v/>
      </c>
      <c r="I741" s="84" t="str">
        <f aca="false">IF(C741="","",C741*IF(Settings!$B$25=Settings!$C$6,1,IF(Settings!$B$25="USD",1/INDEX(Settings!$B$29:$B$40,MONTH(A741)),INDEX(Settings!$B$29:$B$40,MONTH(A741)))))</f>
        <v/>
      </c>
    </row>
    <row r="742" customFormat="false" ht="15" hidden="false" customHeight="false" outlineLevel="0" collapsed="false">
      <c r="H742" s="0" t="str">
        <f aca="false">IF(B742="","",IF(COUNTIF(Campaigns!$A$7:$A$300,B742)&gt;0,"✓","⚠ add to Campaigns tab"))</f>
        <v/>
      </c>
      <c r="I742" s="84" t="str">
        <f aca="false">IF(C742="","",C742*IF(Settings!$B$25=Settings!$C$6,1,IF(Settings!$B$25="USD",1/INDEX(Settings!$B$29:$B$40,MONTH(A742)),INDEX(Settings!$B$29:$B$40,MONTH(A742)))))</f>
        <v/>
      </c>
    </row>
    <row r="743" customFormat="false" ht="15" hidden="false" customHeight="false" outlineLevel="0" collapsed="false">
      <c r="H743" s="0" t="str">
        <f aca="false">IF(B743="","",IF(COUNTIF(Campaigns!$A$7:$A$300,B743)&gt;0,"✓","⚠ add to Campaigns tab"))</f>
        <v/>
      </c>
      <c r="I743" s="84" t="str">
        <f aca="false">IF(C743="","",C743*IF(Settings!$B$25=Settings!$C$6,1,IF(Settings!$B$25="USD",1/INDEX(Settings!$B$29:$B$40,MONTH(A743)),INDEX(Settings!$B$29:$B$40,MONTH(A743)))))</f>
        <v/>
      </c>
    </row>
    <row r="744" customFormat="false" ht="15" hidden="false" customHeight="false" outlineLevel="0" collapsed="false">
      <c r="H744" s="0" t="str">
        <f aca="false">IF(B744="","",IF(COUNTIF(Campaigns!$A$7:$A$300,B744)&gt;0,"✓","⚠ add to Campaigns tab"))</f>
        <v/>
      </c>
      <c r="I744" s="84" t="str">
        <f aca="false">IF(C744="","",C744*IF(Settings!$B$25=Settings!$C$6,1,IF(Settings!$B$25="USD",1/INDEX(Settings!$B$29:$B$40,MONTH(A744)),INDEX(Settings!$B$29:$B$40,MONTH(A744)))))</f>
        <v/>
      </c>
    </row>
    <row r="745" customFormat="false" ht="15" hidden="false" customHeight="false" outlineLevel="0" collapsed="false">
      <c r="H745" s="0" t="str">
        <f aca="false">IF(B745="","",IF(COUNTIF(Campaigns!$A$7:$A$300,B745)&gt;0,"✓","⚠ add to Campaigns tab"))</f>
        <v/>
      </c>
      <c r="I745" s="84" t="str">
        <f aca="false">IF(C745="","",C745*IF(Settings!$B$25=Settings!$C$6,1,IF(Settings!$B$25="USD",1/INDEX(Settings!$B$29:$B$40,MONTH(A745)),INDEX(Settings!$B$29:$B$40,MONTH(A745)))))</f>
        <v/>
      </c>
    </row>
    <row r="746" customFormat="false" ht="15" hidden="false" customHeight="false" outlineLevel="0" collapsed="false">
      <c r="H746" s="0" t="str">
        <f aca="false">IF(B746="","",IF(COUNTIF(Campaigns!$A$7:$A$300,B746)&gt;0,"✓","⚠ add to Campaigns tab"))</f>
        <v/>
      </c>
      <c r="I746" s="84" t="str">
        <f aca="false">IF(C746="","",C746*IF(Settings!$B$25=Settings!$C$6,1,IF(Settings!$B$25="USD",1/INDEX(Settings!$B$29:$B$40,MONTH(A746)),INDEX(Settings!$B$29:$B$40,MONTH(A746)))))</f>
        <v/>
      </c>
    </row>
    <row r="747" customFormat="false" ht="15" hidden="false" customHeight="false" outlineLevel="0" collapsed="false">
      <c r="H747" s="0" t="str">
        <f aca="false">IF(B747="","",IF(COUNTIF(Campaigns!$A$7:$A$300,B747)&gt;0,"✓","⚠ add to Campaigns tab"))</f>
        <v/>
      </c>
      <c r="I747" s="84" t="str">
        <f aca="false">IF(C747="","",C747*IF(Settings!$B$25=Settings!$C$6,1,IF(Settings!$B$25="USD",1/INDEX(Settings!$B$29:$B$40,MONTH(A747)),INDEX(Settings!$B$29:$B$40,MONTH(A747)))))</f>
        <v/>
      </c>
    </row>
    <row r="748" customFormat="false" ht="15" hidden="false" customHeight="false" outlineLevel="0" collapsed="false">
      <c r="H748" s="0" t="str">
        <f aca="false">IF(B748="","",IF(COUNTIF(Campaigns!$A$7:$A$300,B748)&gt;0,"✓","⚠ add to Campaigns tab"))</f>
        <v/>
      </c>
      <c r="I748" s="84" t="str">
        <f aca="false">IF(C748="","",C748*IF(Settings!$B$25=Settings!$C$6,1,IF(Settings!$B$25="USD",1/INDEX(Settings!$B$29:$B$40,MONTH(A748)),INDEX(Settings!$B$29:$B$40,MONTH(A748)))))</f>
        <v/>
      </c>
    </row>
    <row r="749" customFormat="false" ht="15" hidden="false" customHeight="false" outlineLevel="0" collapsed="false">
      <c r="H749" s="0" t="str">
        <f aca="false">IF(B749="","",IF(COUNTIF(Campaigns!$A$7:$A$300,B749)&gt;0,"✓","⚠ add to Campaigns tab"))</f>
        <v/>
      </c>
      <c r="I749" s="84" t="str">
        <f aca="false">IF(C749="","",C749*IF(Settings!$B$25=Settings!$C$6,1,IF(Settings!$B$25="USD",1/INDEX(Settings!$B$29:$B$40,MONTH(A749)),INDEX(Settings!$B$29:$B$40,MONTH(A749)))))</f>
        <v/>
      </c>
    </row>
    <row r="750" customFormat="false" ht="15" hidden="false" customHeight="false" outlineLevel="0" collapsed="false">
      <c r="H750" s="0" t="str">
        <f aca="false">IF(B750="","",IF(COUNTIF(Campaigns!$A$7:$A$300,B750)&gt;0,"✓","⚠ add to Campaigns tab"))</f>
        <v/>
      </c>
      <c r="I750" s="84" t="str">
        <f aca="false">IF(C750="","",C750*IF(Settings!$B$25=Settings!$C$6,1,IF(Settings!$B$25="USD",1/INDEX(Settings!$B$29:$B$40,MONTH(A750)),INDEX(Settings!$B$29:$B$40,MONTH(A750)))))</f>
        <v/>
      </c>
    </row>
    <row r="751" customFormat="false" ht="15" hidden="false" customHeight="false" outlineLevel="0" collapsed="false">
      <c r="H751" s="0" t="str">
        <f aca="false">IF(B751="","",IF(COUNTIF(Campaigns!$A$7:$A$300,B751)&gt;0,"✓","⚠ add to Campaigns tab"))</f>
        <v/>
      </c>
      <c r="I751" s="84" t="str">
        <f aca="false">IF(C751="","",C751*IF(Settings!$B$25=Settings!$C$6,1,IF(Settings!$B$25="USD",1/INDEX(Settings!$B$29:$B$40,MONTH(A751)),INDEX(Settings!$B$29:$B$40,MONTH(A751)))))</f>
        <v/>
      </c>
    </row>
    <row r="752" customFormat="false" ht="15" hidden="false" customHeight="false" outlineLevel="0" collapsed="false">
      <c r="H752" s="0" t="str">
        <f aca="false">IF(B752="","",IF(COUNTIF(Campaigns!$A$7:$A$300,B752)&gt;0,"✓","⚠ add to Campaigns tab"))</f>
        <v/>
      </c>
      <c r="I752" s="84" t="str">
        <f aca="false">IF(C752="","",C752*IF(Settings!$B$25=Settings!$C$6,1,IF(Settings!$B$25="USD",1/INDEX(Settings!$B$29:$B$40,MONTH(A752)),INDEX(Settings!$B$29:$B$40,MONTH(A752)))))</f>
        <v/>
      </c>
    </row>
    <row r="753" customFormat="false" ht="15" hidden="false" customHeight="false" outlineLevel="0" collapsed="false">
      <c r="H753" s="0" t="str">
        <f aca="false">IF(B753="","",IF(COUNTIF(Campaigns!$A$7:$A$300,B753)&gt;0,"✓","⚠ add to Campaigns tab"))</f>
        <v/>
      </c>
      <c r="I753" s="84" t="str">
        <f aca="false">IF(C753="","",C753*IF(Settings!$B$25=Settings!$C$6,1,IF(Settings!$B$25="USD",1/INDEX(Settings!$B$29:$B$40,MONTH(A753)),INDEX(Settings!$B$29:$B$40,MONTH(A753)))))</f>
        <v/>
      </c>
    </row>
    <row r="754" customFormat="false" ht="15" hidden="false" customHeight="false" outlineLevel="0" collapsed="false">
      <c r="H754" s="0" t="str">
        <f aca="false">IF(B754="","",IF(COUNTIF(Campaigns!$A$7:$A$300,B754)&gt;0,"✓","⚠ add to Campaigns tab"))</f>
        <v/>
      </c>
      <c r="I754" s="84" t="str">
        <f aca="false">IF(C754="","",C754*IF(Settings!$B$25=Settings!$C$6,1,IF(Settings!$B$25="USD",1/INDEX(Settings!$B$29:$B$40,MONTH(A754)),INDEX(Settings!$B$29:$B$40,MONTH(A754)))))</f>
        <v/>
      </c>
    </row>
    <row r="755" customFormat="false" ht="15" hidden="false" customHeight="false" outlineLevel="0" collapsed="false">
      <c r="H755" s="0" t="str">
        <f aca="false">IF(B755="","",IF(COUNTIF(Campaigns!$A$7:$A$300,B755)&gt;0,"✓","⚠ add to Campaigns tab"))</f>
        <v/>
      </c>
      <c r="I755" s="84" t="str">
        <f aca="false">IF(C755="","",C755*IF(Settings!$B$25=Settings!$C$6,1,IF(Settings!$B$25="USD",1/INDEX(Settings!$B$29:$B$40,MONTH(A755)),INDEX(Settings!$B$29:$B$40,MONTH(A755)))))</f>
        <v/>
      </c>
    </row>
    <row r="756" customFormat="false" ht="15" hidden="false" customHeight="false" outlineLevel="0" collapsed="false">
      <c r="H756" s="0" t="str">
        <f aca="false">IF(B756="","",IF(COUNTIF(Campaigns!$A$7:$A$300,B756)&gt;0,"✓","⚠ add to Campaigns tab"))</f>
        <v/>
      </c>
      <c r="I756" s="84" t="str">
        <f aca="false">IF(C756="","",C756*IF(Settings!$B$25=Settings!$C$6,1,IF(Settings!$B$25="USD",1/INDEX(Settings!$B$29:$B$40,MONTH(A756)),INDEX(Settings!$B$29:$B$40,MONTH(A756)))))</f>
        <v/>
      </c>
    </row>
    <row r="757" customFormat="false" ht="15" hidden="false" customHeight="false" outlineLevel="0" collapsed="false">
      <c r="H757" s="0" t="str">
        <f aca="false">IF(B757="","",IF(COUNTIF(Campaigns!$A$7:$A$300,B757)&gt;0,"✓","⚠ add to Campaigns tab"))</f>
        <v/>
      </c>
      <c r="I757" s="84" t="str">
        <f aca="false">IF(C757="","",C757*IF(Settings!$B$25=Settings!$C$6,1,IF(Settings!$B$25="USD",1/INDEX(Settings!$B$29:$B$40,MONTH(A757)),INDEX(Settings!$B$29:$B$40,MONTH(A757)))))</f>
        <v/>
      </c>
    </row>
    <row r="758" customFormat="false" ht="15" hidden="false" customHeight="false" outlineLevel="0" collapsed="false">
      <c r="H758" s="0" t="str">
        <f aca="false">IF(B758="","",IF(COUNTIF(Campaigns!$A$7:$A$300,B758)&gt;0,"✓","⚠ add to Campaigns tab"))</f>
        <v/>
      </c>
      <c r="I758" s="84" t="str">
        <f aca="false">IF(C758="","",C758*IF(Settings!$B$25=Settings!$C$6,1,IF(Settings!$B$25="USD",1/INDEX(Settings!$B$29:$B$40,MONTH(A758)),INDEX(Settings!$B$29:$B$40,MONTH(A758)))))</f>
        <v/>
      </c>
    </row>
    <row r="759" customFormat="false" ht="15" hidden="false" customHeight="false" outlineLevel="0" collapsed="false">
      <c r="H759" s="0" t="str">
        <f aca="false">IF(B759="","",IF(COUNTIF(Campaigns!$A$7:$A$300,B759)&gt;0,"✓","⚠ add to Campaigns tab"))</f>
        <v/>
      </c>
      <c r="I759" s="84" t="str">
        <f aca="false">IF(C759="","",C759*IF(Settings!$B$25=Settings!$C$6,1,IF(Settings!$B$25="USD",1/INDEX(Settings!$B$29:$B$40,MONTH(A759)),INDEX(Settings!$B$29:$B$40,MONTH(A759)))))</f>
        <v/>
      </c>
    </row>
    <row r="760" customFormat="false" ht="15" hidden="false" customHeight="false" outlineLevel="0" collapsed="false">
      <c r="H760" s="0" t="str">
        <f aca="false">IF(B760="","",IF(COUNTIF(Campaigns!$A$7:$A$300,B760)&gt;0,"✓","⚠ add to Campaigns tab"))</f>
        <v/>
      </c>
      <c r="I760" s="84" t="str">
        <f aca="false">IF(C760="","",C760*IF(Settings!$B$25=Settings!$C$6,1,IF(Settings!$B$25="USD",1/INDEX(Settings!$B$29:$B$40,MONTH(A760)),INDEX(Settings!$B$29:$B$40,MONTH(A760)))))</f>
        <v/>
      </c>
    </row>
    <row r="761" customFormat="false" ht="15" hidden="false" customHeight="false" outlineLevel="0" collapsed="false">
      <c r="H761" s="0" t="str">
        <f aca="false">IF(B761="","",IF(COUNTIF(Campaigns!$A$7:$A$300,B761)&gt;0,"✓","⚠ add to Campaigns tab"))</f>
        <v/>
      </c>
      <c r="I761" s="84" t="str">
        <f aca="false">IF(C761="","",C761*IF(Settings!$B$25=Settings!$C$6,1,IF(Settings!$B$25="USD",1/INDEX(Settings!$B$29:$B$40,MONTH(A761)),INDEX(Settings!$B$29:$B$40,MONTH(A761)))))</f>
        <v/>
      </c>
    </row>
    <row r="762" customFormat="false" ht="15" hidden="false" customHeight="false" outlineLevel="0" collapsed="false">
      <c r="H762" s="0" t="str">
        <f aca="false">IF(B762="","",IF(COUNTIF(Campaigns!$A$7:$A$300,B762)&gt;0,"✓","⚠ add to Campaigns tab"))</f>
        <v/>
      </c>
      <c r="I762" s="84" t="str">
        <f aca="false">IF(C762="","",C762*IF(Settings!$B$25=Settings!$C$6,1,IF(Settings!$B$25="USD",1/INDEX(Settings!$B$29:$B$40,MONTH(A762)),INDEX(Settings!$B$29:$B$40,MONTH(A762)))))</f>
        <v/>
      </c>
    </row>
    <row r="763" customFormat="false" ht="15" hidden="false" customHeight="false" outlineLevel="0" collapsed="false">
      <c r="H763" s="0" t="str">
        <f aca="false">IF(B763="","",IF(COUNTIF(Campaigns!$A$7:$A$300,B763)&gt;0,"✓","⚠ add to Campaigns tab"))</f>
        <v/>
      </c>
      <c r="I763" s="84" t="str">
        <f aca="false">IF(C763="","",C763*IF(Settings!$B$25=Settings!$C$6,1,IF(Settings!$B$25="USD",1/INDEX(Settings!$B$29:$B$40,MONTH(A763)),INDEX(Settings!$B$29:$B$40,MONTH(A763)))))</f>
        <v/>
      </c>
    </row>
    <row r="764" customFormat="false" ht="15" hidden="false" customHeight="false" outlineLevel="0" collapsed="false">
      <c r="H764" s="0" t="str">
        <f aca="false">IF(B764="","",IF(COUNTIF(Campaigns!$A$7:$A$300,B764)&gt;0,"✓","⚠ add to Campaigns tab"))</f>
        <v/>
      </c>
      <c r="I764" s="84" t="str">
        <f aca="false">IF(C764="","",C764*IF(Settings!$B$25=Settings!$C$6,1,IF(Settings!$B$25="USD",1/INDEX(Settings!$B$29:$B$40,MONTH(A764)),INDEX(Settings!$B$29:$B$40,MONTH(A764)))))</f>
        <v/>
      </c>
    </row>
    <row r="765" customFormat="false" ht="15" hidden="false" customHeight="false" outlineLevel="0" collapsed="false">
      <c r="H765" s="0" t="str">
        <f aca="false">IF(B765="","",IF(COUNTIF(Campaigns!$A$7:$A$300,B765)&gt;0,"✓","⚠ add to Campaigns tab"))</f>
        <v/>
      </c>
      <c r="I765" s="84" t="str">
        <f aca="false">IF(C765="","",C765*IF(Settings!$B$25=Settings!$C$6,1,IF(Settings!$B$25="USD",1/INDEX(Settings!$B$29:$B$40,MONTH(A765)),INDEX(Settings!$B$29:$B$40,MONTH(A765)))))</f>
        <v/>
      </c>
    </row>
    <row r="766" customFormat="false" ht="15" hidden="false" customHeight="false" outlineLevel="0" collapsed="false">
      <c r="H766" s="0" t="str">
        <f aca="false">IF(B766="","",IF(COUNTIF(Campaigns!$A$7:$A$300,B766)&gt;0,"✓","⚠ add to Campaigns tab"))</f>
        <v/>
      </c>
      <c r="I766" s="84" t="str">
        <f aca="false">IF(C766="","",C766*IF(Settings!$B$25=Settings!$C$6,1,IF(Settings!$B$25="USD",1/INDEX(Settings!$B$29:$B$40,MONTH(A766)),INDEX(Settings!$B$29:$B$40,MONTH(A766)))))</f>
        <v/>
      </c>
    </row>
    <row r="767" customFormat="false" ht="15" hidden="false" customHeight="false" outlineLevel="0" collapsed="false">
      <c r="H767" s="0" t="str">
        <f aca="false">IF(B767="","",IF(COUNTIF(Campaigns!$A$7:$A$300,B767)&gt;0,"✓","⚠ add to Campaigns tab"))</f>
        <v/>
      </c>
      <c r="I767" s="84" t="str">
        <f aca="false">IF(C767="","",C767*IF(Settings!$B$25=Settings!$C$6,1,IF(Settings!$B$25="USD",1/INDEX(Settings!$B$29:$B$40,MONTH(A767)),INDEX(Settings!$B$29:$B$40,MONTH(A767)))))</f>
        <v/>
      </c>
    </row>
    <row r="768" customFormat="false" ht="15" hidden="false" customHeight="false" outlineLevel="0" collapsed="false">
      <c r="H768" s="0" t="str">
        <f aca="false">IF(B768="","",IF(COUNTIF(Campaigns!$A$7:$A$300,B768)&gt;0,"✓","⚠ add to Campaigns tab"))</f>
        <v/>
      </c>
      <c r="I768" s="84" t="str">
        <f aca="false">IF(C768="","",C768*IF(Settings!$B$25=Settings!$C$6,1,IF(Settings!$B$25="USD",1/INDEX(Settings!$B$29:$B$40,MONTH(A768)),INDEX(Settings!$B$29:$B$40,MONTH(A768)))))</f>
        <v/>
      </c>
    </row>
    <row r="769" customFormat="false" ht="15" hidden="false" customHeight="false" outlineLevel="0" collapsed="false">
      <c r="H769" s="0" t="str">
        <f aca="false">IF(B769="","",IF(COUNTIF(Campaigns!$A$7:$A$300,B769)&gt;0,"✓","⚠ add to Campaigns tab"))</f>
        <v/>
      </c>
      <c r="I769" s="84" t="str">
        <f aca="false">IF(C769="","",C769*IF(Settings!$B$25=Settings!$C$6,1,IF(Settings!$B$25="USD",1/INDEX(Settings!$B$29:$B$40,MONTH(A769)),INDEX(Settings!$B$29:$B$40,MONTH(A769)))))</f>
        <v/>
      </c>
    </row>
    <row r="770" customFormat="false" ht="15" hidden="false" customHeight="false" outlineLevel="0" collapsed="false">
      <c r="H770" s="0" t="str">
        <f aca="false">IF(B770="","",IF(COUNTIF(Campaigns!$A$7:$A$300,B770)&gt;0,"✓","⚠ add to Campaigns tab"))</f>
        <v/>
      </c>
      <c r="I770" s="84" t="str">
        <f aca="false">IF(C770="","",C770*IF(Settings!$B$25=Settings!$C$6,1,IF(Settings!$B$25="USD",1/INDEX(Settings!$B$29:$B$40,MONTH(A770)),INDEX(Settings!$B$29:$B$40,MONTH(A770)))))</f>
        <v/>
      </c>
    </row>
    <row r="771" customFormat="false" ht="15" hidden="false" customHeight="false" outlineLevel="0" collapsed="false">
      <c r="H771" s="0" t="str">
        <f aca="false">IF(B771="","",IF(COUNTIF(Campaigns!$A$7:$A$300,B771)&gt;0,"✓","⚠ add to Campaigns tab"))</f>
        <v/>
      </c>
      <c r="I771" s="84" t="str">
        <f aca="false">IF(C771="","",C771*IF(Settings!$B$25=Settings!$C$6,1,IF(Settings!$B$25="USD",1/INDEX(Settings!$B$29:$B$40,MONTH(A771)),INDEX(Settings!$B$29:$B$40,MONTH(A771)))))</f>
        <v/>
      </c>
    </row>
    <row r="772" customFormat="false" ht="15" hidden="false" customHeight="false" outlineLevel="0" collapsed="false">
      <c r="H772" s="0" t="str">
        <f aca="false">IF(B772="","",IF(COUNTIF(Campaigns!$A$7:$A$300,B772)&gt;0,"✓","⚠ add to Campaigns tab"))</f>
        <v/>
      </c>
      <c r="I772" s="84" t="str">
        <f aca="false">IF(C772="","",C772*IF(Settings!$B$25=Settings!$C$6,1,IF(Settings!$B$25="USD",1/INDEX(Settings!$B$29:$B$40,MONTH(A772)),INDEX(Settings!$B$29:$B$40,MONTH(A772)))))</f>
        <v/>
      </c>
    </row>
    <row r="773" customFormat="false" ht="15" hidden="false" customHeight="false" outlineLevel="0" collapsed="false">
      <c r="H773" s="0" t="str">
        <f aca="false">IF(B773="","",IF(COUNTIF(Campaigns!$A$7:$A$300,B773)&gt;0,"✓","⚠ add to Campaigns tab"))</f>
        <v/>
      </c>
      <c r="I773" s="84" t="str">
        <f aca="false">IF(C773="","",C773*IF(Settings!$B$25=Settings!$C$6,1,IF(Settings!$B$25="USD",1/INDEX(Settings!$B$29:$B$40,MONTH(A773)),INDEX(Settings!$B$29:$B$40,MONTH(A773)))))</f>
        <v/>
      </c>
    </row>
    <row r="774" customFormat="false" ht="15" hidden="false" customHeight="false" outlineLevel="0" collapsed="false">
      <c r="H774" s="0" t="str">
        <f aca="false">IF(B774="","",IF(COUNTIF(Campaigns!$A$7:$A$300,B774)&gt;0,"✓","⚠ add to Campaigns tab"))</f>
        <v/>
      </c>
      <c r="I774" s="84" t="str">
        <f aca="false">IF(C774="","",C774*IF(Settings!$B$25=Settings!$C$6,1,IF(Settings!$B$25="USD",1/INDEX(Settings!$B$29:$B$40,MONTH(A774)),INDEX(Settings!$B$29:$B$40,MONTH(A774)))))</f>
        <v/>
      </c>
    </row>
    <row r="775" customFormat="false" ht="15" hidden="false" customHeight="false" outlineLevel="0" collapsed="false">
      <c r="H775" s="0" t="str">
        <f aca="false">IF(B775="","",IF(COUNTIF(Campaigns!$A$7:$A$300,B775)&gt;0,"✓","⚠ add to Campaigns tab"))</f>
        <v/>
      </c>
      <c r="I775" s="84" t="str">
        <f aca="false">IF(C775="","",C775*IF(Settings!$B$25=Settings!$C$6,1,IF(Settings!$B$25="USD",1/INDEX(Settings!$B$29:$B$40,MONTH(A775)),INDEX(Settings!$B$29:$B$40,MONTH(A775)))))</f>
        <v/>
      </c>
    </row>
    <row r="776" customFormat="false" ht="15" hidden="false" customHeight="false" outlineLevel="0" collapsed="false">
      <c r="H776" s="0" t="str">
        <f aca="false">IF(B776="","",IF(COUNTIF(Campaigns!$A$7:$A$300,B776)&gt;0,"✓","⚠ add to Campaigns tab"))</f>
        <v/>
      </c>
      <c r="I776" s="84" t="str">
        <f aca="false">IF(C776="","",C776*IF(Settings!$B$25=Settings!$C$6,1,IF(Settings!$B$25="USD",1/INDEX(Settings!$B$29:$B$40,MONTH(A776)),INDEX(Settings!$B$29:$B$40,MONTH(A776)))))</f>
        <v/>
      </c>
    </row>
    <row r="777" customFormat="false" ht="15" hidden="false" customHeight="false" outlineLevel="0" collapsed="false">
      <c r="H777" s="0" t="str">
        <f aca="false">IF(B777="","",IF(COUNTIF(Campaigns!$A$7:$A$300,B777)&gt;0,"✓","⚠ add to Campaigns tab"))</f>
        <v/>
      </c>
      <c r="I777" s="84" t="str">
        <f aca="false">IF(C777="","",C777*IF(Settings!$B$25=Settings!$C$6,1,IF(Settings!$B$25="USD",1/INDEX(Settings!$B$29:$B$40,MONTH(A777)),INDEX(Settings!$B$29:$B$40,MONTH(A777)))))</f>
        <v/>
      </c>
    </row>
    <row r="778" customFormat="false" ht="15" hidden="false" customHeight="false" outlineLevel="0" collapsed="false">
      <c r="H778" s="0" t="str">
        <f aca="false">IF(B778="","",IF(COUNTIF(Campaigns!$A$7:$A$300,B778)&gt;0,"✓","⚠ add to Campaigns tab"))</f>
        <v/>
      </c>
      <c r="I778" s="84" t="str">
        <f aca="false">IF(C778="","",C778*IF(Settings!$B$25=Settings!$C$6,1,IF(Settings!$B$25="USD",1/INDEX(Settings!$B$29:$B$40,MONTH(A778)),INDEX(Settings!$B$29:$B$40,MONTH(A778)))))</f>
        <v/>
      </c>
    </row>
    <row r="779" customFormat="false" ht="15" hidden="false" customHeight="false" outlineLevel="0" collapsed="false">
      <c r="H779" s="0" t="str">
        <f aca="false">IF(B779="","",IF(COUNTIF(Campaigns!$A$7:$A$300,B779)&gt;0,"✓","⚠ add to Campaigns tab"))</f>
        <v/>
      </c>
      <c r="I779" s="84" t="str">
        <f aca="false">IF(C779="","",C779*IF(Settings!$B$25=Settings!$C$6,1,IF(Settings!$B$25="USD",1/INDEX(Settings!$B$29:$B$40,MONTH(A779)),INDEX(Settings!$B$29:$B$40,MONTH(A779)))))</f>
        <v/>
      </c>
    </row>
    <row r="780" customFormat="false" ht="15" hidden="false" customHeight="false" outlineLevel="0" collapsed="false">
      <c r="H780" s="0" t="str">
        <f aca="false">IF(B780="","",IF(COUNTIF(Campaigns!$A$7:$A$300,B780)&gt;0,"✓","⚠ add to Campaigns tab"))</f>
        <v/>
      </c>
      <c r="I780" s="84" t="str">
        <f aca="false">IF(C780="","",C780*IF(Settings!$B$25=Settings!$C$6,1,IF(Settings!$B$25="USD",1/INDEX(Settings!$B$29:$B$40,MONTH(A780)),INDEX(Settings!$B$29:$B$40,MONTH(A780)))))</f>
        <v/>
      </c>
    </row>
    <row r="781" customFormat="false" ht="15" hidden="false" customHeight="false" outlineLevel="0" collapsed="false">
      <c r="H781" s="0" t="str">
        <f aca="false">IF(B781="","",IF(COUNTIF(Campaigns!$A$7:$A$300,B781)&gt;0,"✓","⚠ add to Campaigns tab"))</f>
        <v/>
      </c>
      <c r="I781" s="84" t="str">
        <f aca="false">IF(C781="","",C781*IF(Settings!$B$25=Settings!$C$6,1,IF(Settings!$B$25="USD",1/INDEX(Settings!$B$29:$B$40,MONTH(A781)),INDEX(Settings!$B$29:$B$40,MONTH(A781)))))</f>
        <v/>
      </c>
    </row>
    <row r="782" customFormat="false" ht="15" hidden="false" customHeight="false" outlineLevel="0" collapsed="false">
      <c r="H782" s="0" t="str">
        <f aca="false">IF(B782="","",IF(COUNTIF(Campaigns!$A$7:$A$300,B782)&gt;0,"✓","⚠ add to Campaigns tab"))</f>
        <v/>
      </c>
      <c r="I782" s="84" t="str">
        <f aca="false">IF(C782="","",C782*IF(Settings!$B$25=Settings!$C$6,1,IF(Settings!$B$25="USD",1/INDEX(Settings!$B$29:$B$40,MONTH(A782)),INDEX(Settings!$B$29:$B$40,MONTH(A782)))))</f>
        <v/>
      </c>
    </row>
    <row r="783" customFormat="false" ht="15" hidden="false" customHeight="false" outlineLevel="0" collapsed="false">
      <c r="H783" s="0" t="str">
        <f aca="false">IF(B783="","",IF(COUNTIF(Campaigns!$A$7:$A$300,B783)&gt;0,"✓","⚠ add to Campaigns tab"))</f>
        <v/>
      </c>
      <c r="I783" s="84" t="str">
        <f aca="false">IF(C783="","",C783*IF(Settings!$B$25=Settings!$C$6,1,IF(Settings!$B$25="USD",1/INDEX(Settings!$B$29:$B$40,MONTH(A783)),INDEX(Settings!$B$29:$B$40,MONTH(A783)))))</f>
        <v/>
      </c>
    </row>
    <row r="784" customFormat="false" ht="15" hidden="false" customHeight="false" outlineLevel="0" collapsed="false">
      <c r="H784" s="0" t="str">
        <f aca="false">IF(B784="","",IF(COUNTIF(Campaigns!$A$7:$A$300,B784)&gt;0,"✓","⚠ add to Campaigns tab"))</f>
        <v/>
      </c>
      <c r="I784" s="84" t="str">
        <f aca="false">IF(C784="","",C784*IF(Settings!$B$25=Settings!$C$6,1,IF(Settings!$B$25="USD",1/INDEX(Settings!$B$29:$B$40,MONTH(A784)),INDEX(Settings!$B$29:$B$40,MONTH(A784)))))</f>
        <v/>
      </c>
    </row>
    <row r="785" customFormat="false" ht="15" hidden="false" customHeight="false" outlineLevel="0" collapsed="false">
      <c r="H785" s="0" t="str">
        <f aca="false">IF(B785="","",IF(COUNTIF(Campaigns!$A$7:$A$300,B785)&gt;0,"✓","⚠ add to Campaigns tab"))</f>
        <v/>
      </c>
      <c r="I785" s="84" t="str">
        <f aca="false">IF(C785="","",C785*IF(Settings!$B$25=Settings!$C$6,1,IF(Settings!$B$25="USD",1/INDEX(Settings!$B$29:$B$40,MONTH(A785)),INDEX(Settings!$B$29:$B$40,MONTH(A785)))))</f>
        <v/>
      </c>
    </row>
    <row r="786" customFormat="false" ht="15" hidden="false" customHeight="false" outlineLevel="0" collapsed="false">
      <c r="H786" s="0" t="str">
        <f aca="false">IF(B786="","",IF(COUNTIF(Campaigns!$A$7:$A$300,B786)&gt;0,"✓","⚠ add to Campaigns tab"))</f>
        <v/>
      </c>
      <c r="I786" s="84" t="str">
        <f aca="false">IF(C786="","",C786*IF(Settings!$B$25=Settings!$C$6,1,IF(Settings!$B$25="USD",1/INDEX(Settings!$B$29:$B$40,MONTH(A786)),INDEX(Settings!$B$29:$B$40,MONTH(A786)))))</f>
        <v/>
      </c>
    </row>
    <row r="787" customFormat="false" ht="15" hidden="false" customHeight="false" outlineLevel="0" collapsed="false">
      <c r="H787" s="0" t="str">
        <f aca="false">IF(B787="","",IF(COUNTIF(Campaigns!$A$7:$A$300,B787)&gt;0,"✓","⚠ add to Campaigns tab"))</f>
        <v/>
      </c>
      <c r="I787" s="84" t="str">
        <f aca="false">IF(C787="","",C787*IF(Settings!$B$25=Settings!$C$6,1,IF(Settings!$B$25="USD",1/INDEX(Settings!$B$29:$B$40,MONTH(A787)),INDEX(Settings!$B$29:$B$40,MONTH(A787)))))</f>
        <v/>
      </c>
    </row>
    <row r="788" customFormat="false" ht="15" hidden="false" customHeight="false" outlineLevel="0" collapsed="false">
      <c r="H788" s="0" t="str">
        <f aca="false">IF(B788="","",IF(COUNTIF(Campaigns!$A$7:$A$300,B788)&gt;0,"✓","⚠ add to Campaigns tab"))</f>
        <v/>
      </c>
      <c r="I788" s="84" t="str">
        <f aca="false">IF(C788="","",C788*IF(Settings!$B$25=Settings!$C$6,1,IF(Settings!$B$25="USD",1/INDEX(Settings!$B$29:$B$40,MONTH(A788)),INDEX(Settings!$B$29:$B$40,MONTH(A788)))))</f>
        <v/>
      </c>
    </row>
    <row r="789" customFormat="false" ht="15" hidden="false" customHeight="false" outlineLevel="0" collapsed="false">
      <c r="H789" s="0" t="str">
        <f aca="false">IF(B789="","",IF(COUNTIF(Campaigns!$A$7:$A$300,B789)&gt;0,"✓","⚠ add to Campaigns tab"))</f>
        <v/>
      </c>
      <c r="I789" s="84" t="str">
        <f aca="false">IF(C789="","",C789*IF(Settings!$B$25=Settings!$C$6,1,IF(Settings!$B$25="USD",1/INDEX(Settings!$B$29:$B$40,MONTH(A789)),INDEX(Settings!$B$29:$B$40,MONTH(A789)))))</f>
        <v/>
      </c>
    </row>
    <row r="790" customFormat="false" ht="15" hidden="false" customHeight="false" outlineLevel="0" collapsed="false">
      <c r="H790" s="0" t="str">
        <f aca="false">IF(B790="","",IF(COUNTIF(Campaigns!$A$7:$A$300,B790)&gt;0,"✓","⚠ add to Campaigns tab"))</f>
        <v/>
      </c>
      <c r="I790" s="84" t="str">
        <f aca="false">IF(C790="","",C790*IF(Settings!$B$25=Settings!$C$6,1,IF(Settings!$B$25="USD",1/INDEX(Settings!$B$29:$B$40,MONTH(A790)),INDEX(Settings!$B$29:$B$40,MONTH(A790)))))</f>
        <v/>
      </c>
    </row>
    <row r="791" customFormat="false" ht="15" hidden="false" customHeight="false" outlineLevel="0" collapsed="false">
      <c r="H791" s="0" t="str">
        <f aca="false">IF(B791="","",IF(COUNTIF(Campaigns!$A$7:$A$300,B791)&gt;0,"✓","⚠ add to Campaigns tab"))</f>
        <v/>
      </c>
      <c r="I791" s="84" t="str">
        <f aca="false">IF(C791="","",C791*IF(Settings!$B$25=Settings!$C$6,1,IF(Settings!$B$25="USD",1/INDEX(Settings!$B$29:$B$40,MONTH(A791)),INDEX(Settings!$B$29:$B$40,MONTH(A791)))))</f>
        <v/>
      </c>
    </row>
    <row r="792" customFormat="false" ht="15" hidden="false" customHeight="false" outlineLevel="0" collapsed="false">
      <c r="H792" s="0" t="str">
        <f aca="false">IF(B792="","",IF(COUNTIF(Campaigns!$A$7:$A$300,B792)&gt;0,"✓","⚠ add to Campaigns tab"))</f>
        <v/>
      </c>
      <c r="I792" s="84" t="str">
        <f aca="false">IF(C792="","",C792*IF(Settings!$B$25=Settings!$C$6,1,IF(Settings!$B$25="USD",1/INDEX(Settings!$B$29:$B$40,MONTH(A792)),INDEX(Settings!$B$29:$B$40,MONTH(A792)))))</f>
        <v/>
      </c>
    </row>
    <row r="793" customFormat="false" ht="15" hidden="false" customHeight="false" outlineLevel="0" collapsed="false">
      <c r="H793" s="0" t="str">
        <f aca="false">IF(B793="","",IF(COUNTIF(Campaigns!$A$7:$A$300,B793)&gt;0,"✓","⚠ add to Campaigns tab"))</f>
        <v/>
      </c>
      <c r="I793" s="84" t="str">
        <f aca="false">IF(C793="","",C793*IF(Settings!$B$25=Settings!$C$6,1,IF(Settings!$B$25="USD",1/INDEX(Settings!$B$29:$B$40,MONTH(A793)),INDEX(Settings!$B$29:$B$40,MONTH(A793)))))</f>
        <v/>
      </c>
    </row>
    <row r="794" customFormat="false" ht="15" hidden="false" customHeight="false" outlineLevel="0" collapsed="false">
      <c r="H794" s="0" t="str">
        <f aca="false">IF(B794="","",IF(COUNTIF(Campaigns!$A$7:$A$300,B794)&gt;0,"✓","⚠ add to Campaigns tab"))</f>
        <v/>
      </c>
      <c r="I794" s="84" t="str">
        <f aca="false">IF(C794="","",C794*IF(Settings!$B$25=Settings!$C$6,1,IF(Settings!$B$25="USD",1/INDEX(Settings!$B$29:$B$40,MONTH(A794)),INDEX(Settings!$B$29:$B$40,MONTH(A794)))))</f>
        <v/>
      </c>
    </row>
    <row r="795" customFormat="false" ht="15" hidden="false" customHeight="false" outlineLevel="0" collapsed="false">
      <c r="H795" s="0" t="str">
        <f aca="false">IF(B795="","",IF(COUNTIF(Campaigns!$A$7:$A$300,B795)&gt;0,"✓","⚠ add to Campaigns tab"))</f>
        <v/>
      </c>
      <c r="I795" s="84" t="str">
        <f aca="false">IF(C795="","",C795*IF(Settings!$B$25=Settings!$C$6,1,IF(Settings!$B$25="USD",1/INDEX(Settings!$B$29:$B$40,MONTH(A795)),INDEX(Settings!$B$29:$B$40,MONTH(A795)))))</f>
        <v/>
      </c>
    </row>
    <row r="796" customFormat="false" ht="15" hidden="false" customHeight="false" outlineLevel="0" collapsed="false">
      <c r="H796" s="0" t="str">
        <f aca="false">IF(B796="","",IF(COUNTIF(Campaigns!$A$7:$A$300,B796)&gt;0,"✓","⚠ add to Campaigns tab"))</f>
        <v/>
      </c>
      <c r="I796" s="84" t="str">
        <f aca="false">IF(C796="","",C796*IF(Settings!$B$25=Settings!$C$6,1,IF(Settings!$B$25="USD",1/INDEX(Settings!$B$29:$B$40,MONTH(A796)),INDEX(Settings!$B$29:$B$40,MONTH(A796)))))</f>
        <v/>
      </c>
    </row>
    <row r="797" customFormat="false" ht="15" hidden="false" customHeight="false" outlineLevel="0" collapsed="false">
      <c r="H797" s="0" t="str">
        <f aca="false">IF(B797="","",IF(COUNTIF(Campaigns!$A$7:$A$300,B797)&gt;0,"✓","⚠ add to Campaigns tab"))</f>
        <v/>
      </c>
      <c r="I797" s="84" t="str">
        <f aca="false">IF(C797="","",C797*IF(Settings!$B$25=Settings!$C$6,1,IF(Settings!$B$25="USD",1/INDEX(Settings!$B$29:$B$40,MONTH(A797)),INDEX(Settings!$B$29:$B$40,MONTH(A797)))))</f>
        <v/>
      </c>
    </row>
    <row r="798" customFormat="false" ht="15" hidden="false" customHeight="false" outlineLevel="0" collapsed="false">
      <c r="H798" s="0" t="str">
        <f aca="false">IF(B798="","",IF(COUNTIF(Campaigns!$A$7:$A$300,B798)&gt;0,"✓","⚠ add to Campaigns tab"))</f>
        <v/>
      </c>
      <c r="I798" s="84" t="str">
        <f aca="false">IF(C798="","",C798*IF(Settings!$B$25=Settings!$C$6,1,IF(Settings!$B$25="USD",1/INDEX(Settings!$B$29:$B$40,MONTH(A798)),INDEX(Settings!$B$29:$B$40,MONTH(A798)))))</f>
        <v/>
      </c>
    </row>
    <row r="799" customFormat="false" ht="15" hidden="false" customHeight="false" outlineLevel="0" collapsed="false">
      <c r="H799" s="0" t="str">
        <f aca="false">IF(B799="","",IF(COUNTIF(Campaigns!$A$7:$A$300,B799)&gt;0,"✓","⚠ add to Campaigns tab"))</f>
        <v/>
      </c>
      <c r="I799" s="84" t="str">
        <f aca="false">IF(C799="","",C799*IF(Settings!$B$25=Settings!$C$6,1,IF(Settings!$B$25="USD",1/INDEX(Settings!$B$29:$B$40,MONTH(A799)),INDEX(Settings!$B$29:$B$40,MONTH(A799)))))</f>
        <v/>
      </c>
    </row>
    <row r="800" customFormat="false" ht="15" hidden="false" customHeight="false" outlineLevel="0" collapsed="false">
      <c r="H800" s="0" t="str">
        <f aca="false">IF(B800="","",IF(COUNTIF(Campaigns!$A$7:$A$300,B800)&gt;0,"✓","⚠ add to Campaigns tab"))</f>
        <v/>
      </c>
      <c r="I800" s="84" t="str">
        <f aca="false">IF(C800="","",C800*IF(Settings!$B$25=Settings!$C$6,1,IF(Settings!$B$25="USD",1/INDEX(Settings!$B$29:$B$40,MONTH(A800)),INDEX(Settings!$B$29:$B$40,MONTH(A800)))))</f>
        <v/>
      </c>
    </row>
    <row r="801" customFormat="false" ht="15" hidden="false" customHeight="false" outlineLevel="0" collapsed="false">
      <c r="H801" s="0" t="str">
        <f aca="false">IF(B801="","",IF(COUNTIF(Campaigns!$A$7:$A$300,B801)&gt;0,"✓","⚠ add to Campaigns tab"))</f>
        <v/>
      </c>
      <c r="I801" s="84" t="str">
        <f aca="false">IF(C801="","",C801*IF(Settings!$B$25=Settings!$C$6,1,IF(Settings!$B$25="USD",1/INDEX(Settings!$B$29:$B$40,MONTH(A801)),INDEX(Settings!$B$29:$B$40,MONTH(A801)))))</f>
        <v/>
      </c>
    </row>
    <row r="802" customFormat="false" ht="15" hidden="false" customHeight="false" outlineLevel="0" collapsed="false">
      <c r="H802" s="0" t="str">
        <f aca="false">IF(B802="","",IF(COUNTIF(Campaigns!$A$7:$A$300,B802)&gt;0,"✓","⚠ add to Campaigns tab"))</f>
        <v/>
      </c>
      <c r="I802" s="84" t="str">
        <f aca="false">IF(C802="","",C802*IF(Settings!$B$25=Settings!$C$6,1,IF(Settings!$B$25="USD",1/INDEX(Settings!$B$29:$B$40,MONTH(A802)),INDEX(Settings!$B$29:$B$40,MONTH(A802)))))</f>
        <v/>
      </c>
    </row>
    <row r="803" customFormat="false" ht="15" hidden="false" customHeight="false" outlineLevel="0" collapsed="false">
      <c r="H803" s="0" t="str">
        <f aca="false">IF(B803="","",IF(COUNTIF(Campaigns!$A$7:$A$300,B803)&gt;0,"✓","⚠ add to Campaigns tab"))</f>
        <v/>
      </c>
      <c r="I803" s="84" t="str">
        <f aca="false">IF(C803="","",C803*IF(Settings!$B$25=Settings!$C$6,1,IF(Settings!$B$25="USD",1/INDEX(Settings!$B$29:$B$40,MONTH(A803)),INDEX(Settings!$B$29:$B$40,MONTH(A803)))))</f>
        <v/>
      </c>
    </row>
    <row r="804" customFormat="false" ht="15" hidden="false" customHeight="false" outlineLevel="0" collapsed="false">
      <c r="H804" s="0" t="str">
        <f aca="false">IF(B804="","",IF(COUNTIF(Campaigns!$A$7:$A$300,B804)&gt;0,"✓","⚠ add to Campaigns tab"))</f>
        <v/>
      </c>
      <c r="I804" s="84" t="str">
        <f aca="false">IF(C804="","",C804*IF(Settings!$B$25=Settings!$C$6,1,IF(Settings!$B$25="USD",1/INDEX(Settings!$B$29:$B$40,MONTH(A804)),INDEX(Settings!$B$29:$B$40,MONTH(A804)))))</f>
        <v/>
      </c>
    </row>
    <row r="805" customFormat="false" ht="15" hidden="false" customHeight="false" outlineLevel="0" collapsed="false">
      <c r="H805" s="0" t="str">
        <f aca="false">IF(B805="","",IF(COUNTIF(Campaigns!$A$7:$A$300,B805)&gt;0,"✓","⚠ add to Campaigns tab"))</f>
        <v/>
      </c>
      <c r="I805" s="84" t="str">
        <f aca="false">IF(C805="","",C805*IF(Settings!$B$25=Settings!$C$6,1,IF(Settings!$B$25="USD",1/INDEX(Settings!$B$29:$B$40,MONTH(A805)),INDEX(Settings!$B$29:$B$40,MONTH(A805)))))</f>
        <v/>
      </c>
    </row>
    <row r="806" customFormat="false" ht="15" hidden="false" customHeight="false" outlineLevel="0" collapsed="false">
      <c r="H806" s="0" t="str">
        <f aca="false">IF(B806="","",IF(COUNTIF(Campaigns!$A$7:$A$300,B806)&gt;0,"✓","⚠ add to Campaigns tab"))</f>
        <v/>
      </c>
      <c r="I806" s="84" t="str">
        <f aca="false">IF(C806="","",C806*IF(Settings!$B$25=Settings!$C$6,1,IF(Settings!$B$25="USD",1/INDEX(Settings!$B$29:$B$40,MONTH(A806)),INDEX(Settings!$B$29:$B$40,MONTH(A806)))))</f>
        <v/>
      </c>
    </row>
    <row r="807" customFormat="false" ht="15" hidden="false" customHeight="false" outlineLevel="0" collapsed="false">
      <c r="H807" s="0" t="str">
        <f aca="false">IF(B807="","",IF(COUNTIF(Campaigns!$A$7:$A$300,B807)&gt;0,"✓","⚠ add to Campaigns tab"))</f>
        <v/>
      </c>
      <c r="I807" s="84" t="str">
        <f aca="false">IF(C807="","",C807*IF(Settings!$B$25=Settings!$C$6,1,IF(Settings!$B$25="USD",1/INDEX(Settings!$B$29:$B$40,MONTH(A807)),INDEX(Settings!$B$29:$B$40,MONTH(A807)))))</f>
        <v/>
      </c>
    </row>
    <row r="808" customFormat="false" ht="15" hidden="false" customHeight="false" outlineLevel="0" collapsed="false">
      <c r="H808" s="0" t="str">
        <f aca="false">IF(B808="","",IF(COUNTIF(Campaigns!$A$7:$A$300,B808)&gt;0,"✓","⚠ add to Campaigns tab"))</f>
        <v/>
      </c>
      <c r="I808" s="84" t="str">
        <f aca="false">IF(C808="","",C808*IF(Settings!$B$25=Settings!$C$6,1,IF(Settings!$B$25="USD",1/INDEX(Settings!$B$29:$B$40,MONTH(A808)),INDEX(Settings!$B$29:$B$40,MONTH(A808)))))</f>
        <v/>
      </c>
    </row>
    <row r="809" customFormat="false" ht="15" hidden="false" customHeight="false" outlineLevel="0" collapsed="false">
      <c r="H809" s="0" t="str">
        <f aca="false">IF(B809="","",IF(COUNTIF(Campaigns!$A$7:$A$300,B809)&gt;0,"✓","⚠ add to Campaigns tab"))</f>
        <v/>
      </c>
      <c r="I809" s="84" t="str">
        <f aca="false">IF(C809="","",C809*IF(Settings!$B$25=Settings!$C$6,1,IF(Settings!$B$25="USD",1/INDEX(Settings!$B$29:$B$40,MONTH(A809)),INDEX(Settings!$B$29:$B$40,MONTH(A809)))))</f>
        <v/>
      </c>
    </row>
    <row r="810" customFormat="false" ht="15" hidden="false" customHeight="false" outlineLevel="0" collapsed="false">
      <c r="H810" s="0" t="str">
        <f aca="false">IF(B810="","",IF(COUNTIF(Campaigns!$A$7:$A$300,B810)&gt;0,"✓","⚠ add to Campaigns tab"))</f>
        <v/>
      </c>
      <c r="I810" s="84" t="str">
        <f aca="false">IF(C810="","",C810*IF(Settings!$B$25=Settings!$C$6,1,IF(Settings!$B$25="USD",1/INDEX(Settings!$B$29:$B$40,MONTH(A810)),INDEX(Settings!$B$29:$B$40,MONTH(A810)))))</f>
        <v/>
      </c>
    </row>
    <row r="811" customFormat="false" ht="15" hidden="false" customHeight="false" outlineLevel="0" collapsed="false">
      <c r="H811" s="0" t="str">
        <f aca="false">IF(B811="","",IF(COUNTIF(Campaigns!$A$7:$A$300,B811)&gt;0,"✓","⚠ add to Campaigns tab"))</f>
        <v/>
      </c>
      <c r="I811" s="84" t="str">
        <f aca="false">IF(C811="","",C811*IF(Settings!$B$25=Settings!$C$6,1,IF(Settings!$B$25="USD",1/INDEX(Settings!$B$29:$B$40,MONTH(A811)),INDEX(Settings!$B$29:$B$40,MONTH(A811)))))</f>
        <v/>
      </c>
    </row>
    <row r="812" customFormat="false" ht="15" hidden="false" customHeight="false" outlineLevel="0" collapsed="false">
      <c r="H812" s="0" t="str">
        <f aca="false">IF(B812="","",IF(COUNTIF(Campaigns!$A$7:$A$300,B812)&gt;0,"✓","⚠ add to Campaigns tab"))</f>
        <v/>
      </c>
      <c r="I812" s="84" t="str">
        <f aca="false">IF(C812="","",C812*IF(Settings!$B$25=Settings!$C$6,1,IF(Settings!$B$25="USD",1/INDEX(Settings!$B$29:$B$40,MONTH(A812)),INDEX(Settings!$B$29:$B$40,MONTH(A812)))))</f>
        <v/>
      </c>
    </row>
    <row r="813" customFormat="false" ht="15" hidden="false" customHeight="false" outlineLevel="0" collapsed="false">
      <c r="H813" s="0" t="str">
        <f aca="false">IF(B813="","",IF(COUNTIF(Campaigns!$A$7:$A$300,B813)&gt;0,"✓","⚠ add to Campaigns tab"))</f>
        <v/>
      </c>
      <c r="I813" s="84" t="str">
        <f aca="false">IF(C813="","",C813*IF(Settings!$B$25=Settings!$C$6,1,IF(Settings!$B$25="USD",1/INDEX(Settings!$B$29:$B$40,MONTH(A813)),INDEX(Settings!$B$29:$B$40,MONTH(A813)))))</f>
        <v/>
      </c>
    </row>
    <row r="814" customFormat="false" ht="15" hidden="false" customHeight="false" outlineLevel="0" collapsed="false">
      <c r="H814" s="0" t="str">
        <f aca="false">IF(B814="","",IF(COUNTIF(Campaigns!$A$7:$A$300,B814)&gt;0,"✓","⚠ add to Campaigns tab"))</f>
        <v/>
      </c>
      <c r="I814" s="84" t="str">
        <f aca="false">IF(C814="","",C814*IF(Settings!$B$25=Settings!$C$6,1,IF(Settings!$B$25="USD",1/INDEX(Settings!$B$29:$B$40,MONTH(A814)),INDEX(Settings!$B$29:$B$40,MONTH(A814)))))</f>
        <v/>
      </c>
    </row>
    <row r="815" customFormat="false" ht="15" hidden="false" customHeight="false" outlineLevel="0" collapsed="false">
      <c r="H815" s="0" t="str">
        <f aca="false">IF(B815="","",IF(COUNTIF(Campaigns!$A$7:$A$300,B815)&gt;0,"✓","⚠ add to Campaigns tab"))</f>
        <v/>
      </c>
      <c r="I815" s="84" t="str">
        <f aca="false">IF(C815="","",C815*IF(Settings!$B$25=Settings!$C$6,1,IF(Settings!$B$25="USD",1/INDEX(Settings!$B$29:$B$40,MONTH(A815)),INDEX(Settings!$B$29:$B$40,MONTH(A815)))))</f>
        <v/>
      </c>
    </row>
    <row r="816" customFormat="false" ht="15" hidden="false" customHeight="false" outlineLevel="0" collapsed="false">
      <c r="H816" s="0" t="str">
        <f aca="false">IF(B816="","",IF(COUNTIF(Campaigns!$A$7:$A$300,B816)&gt;0,"✓","⚠ add to Campaigns tab"))</f>
        <v/>
      </c>
      <c r="I816" s="84" t="str">
        <f aca="false">IF(C816="","",C816*IF(Settings!$B$25=Settings!$C$6,1,IF(Settings!$B$25="USD",1/INDEX(Settings!$B$29:$B$40,MONTH(A816)),INDEX(Settings!$B$29:$B$40,MONTH(A816)))))</f>
        <v/>
      </c>
    </row>
    <row r="817" customFormat="false" ht="15" hidden="false" customHeight="false" outlineLevel="0" collapsed="false">
      <c r="H817" s="0" t="str">
        <f aca="false">IF(B817="","",IF(COUNTIF(Campaigns!$A$7:$A$300,B817)&gt;0,"✓","⚠ add to Campaigns tab"))</f>
        <v/>
      </c>
      <c r="I817" s="84" t="str">
        <f aca="false">IF(C817="","",C817*IF(Settings!$B$25=Settings!$C$6,1,IF(Settings!$B$25="USD",1/INDEX(Settings!$B$29:$B$40,MONTH(A817)),INDEX(Settings!$B$29:$B$40,MONTH(A817)))))</f>
        <v/>
      </c>
    </row>
    <row r="818" customFormat="false" ht="15" hidden="false" customHeight="false" outlineLevel="0" collapsed="false">
      <c r="H818" s="0" t="str">
        <f aca="false">IF(B818="","",IF(COUNTIF(Campaigns!$A$7:$A$300,B818)&gt;0,"✓","⚠ add to Campaigns tab"))</f>
        <v/>
      </c>
      <c r="I818" s="84" t="str">
        <f aca="false">IF(C818="","",C818*IF(Settings!$B$25=Settings!$C$6,1,IF(Settings!$B$25="USD",1/INDEX(Settings!$B$29:$B$40,MONTH(A818)),INDEX(Settings!$B$29:$B$40,MONTH(A818)))))</f>
        <v/>
      </c>
    </row>
    <row r="819" customFormat="false" ht="15" hidden="false" customHeight="false" outlineLevel="0" collapsed="false">
      <c r="H819" s="0" t="str">
        <f aca="false">IF(B819="","",IF(COUNTIF(Campaigns!$A$7:$A$300,B819)&gt;0,"✓","⚠ add to Campaigns tab"))</f>
        <v/>
      </c>
      <c r="I819" s="84" t="str">
        <f aca="false">IF(C819="","",C819*IF(Settings!$B$25=Settings!$C$6,1,IF(Settings!$B$25="USD",1/INDEX(Settings!$B$29:$B$40,MONTH(A819)),INDEX(Settings!$B$29:$B$40,MONTH(A819)))))</f>
        <v/>
      </c>
    </row>
    <row r="820" customFormat="false" ht="15" hidden="false" customHeight="false" outlineLevel="0" collapsed="false">
      <c r="H820" s="0" t="str">
        <f aca="false">IF(B820="","",IF(COUNTIF(Campaigns!$A$7:$A$300,B820)&gt;0,"✓","⚠ add to Campaigns tab"))</f>
        <v/>
      </c>
      <c r="I820" s="84" t="str">
        <f aca="false">IF(C820="","",C820*IF(Settings!$B$25=Settings!$C$6,1,IF(Settings!$B$25="USD",1/INDEX(Settings!$B$29:$B$40,MONTH(A820)),INDEX(Settings!$B$29:$B$40,MONTH(A820)))))</f>
        <v/>
      </c>
    </row>
    <row r="821" customFormat="false" ht="15" hidden="false" customHeight="false" outlineLevel="0" collapsed="false">
      <c r="H821" s="0" t="str">
        <f aca="false">IF(B821="","",IF(COUNTIF(Campaigns!$A$7:$A$300,B821)&gt;0,"✓","⚠ add to Campaigns tab"))</f>
        <v/>
      </c>
      <c r="I821" s="84" t="str">
        <f aca="false">IF(C821="","",C821*IF(Settings!$B$25=Settings!$C$6,1,IF(Settings!$B$25="USD",1/INDEX(Settings!$B$29:$B$40,MONTH(A821)),INDEX(Settings!$B$29:$B$40,MONTH(A821)))))</f>
        <v/>
      </c>
    </row>
    <row r="822" customFormat="false" ht="15" hidden="false" customHeight="false" outlineLevel="0" collapsed="false">
      <c r="H822" s="0" t="str">
        <f aca="false">IF(B822="","",IF(COUNTIF(Campaigns!$A$7:$A$300,B822)&gt;0,"✓","⚠ add to Campaigns tab"))</f>
        <v/>
      </c>
      <c r="I822" s="84" t="str">
        <f aca="false">IF(C822="","",C822*IF(Settings!$B$25=Settings!$C$6,1,IF(Settings!$B$25="USD",1/INDEX(Settings!$B$29:$B$40,MONTH(A822)),INDEX(Settings!$B$29:$B$40,MONTH(A822)))))</f>
        <v/>
      </c>
    </row>
    <row r="823" customFormat="false" ht="15" hidden="false" customHeight="false" outlineLevel="0" collapsed="false">
      <c r="H823" s="0" t="str">
        <f aca="false">IF(B823="","",IF(COUNTIF(Campaigns!$A$7:$A$300,B823)&gt;0,"✓","⚠ add to Campaigns tab"))</f>
        <v/>
      </c>
      <c r="I823" s="84" t="str">
        <f aca="false">IF(C823="","",C823*IF(Settings!$B$25=Settings!$C$6,1,IF(Settings!$B$25="USD",1/INDEX(Settings!$B$29:$B$40,MONTH(A823)),INDEX(Settings!$B$29:$B$40,MONTH(A823)))))</f>
        <v/>
      </c>
    </row>
    <row r="824" customFormat="false" ht="15" hidden="false" customHeight="false" outlineLevel="0" collapsed="false">
      <c r="H824" s="0" t="str">
        <f aca="false">IF(B824="","",IF(COUNTIF(Campaigns!$A$7:$A$300,B824)&gt;0,"✓","⚠ add to Campaigns tab"))</f>
        <v/>
      </c>
      <c r="I824" s="84" t="str">
        <f aca="false">IF(C824="","",C824*IF(Settings!$B$25=Settings!$C$6,1,IF(Settings!$B$25="USD",1/INDEX(Settings!$B$29:$B$40,MONTH(A824)),INDEX(Settings!$B$29:$B$40,MONTH(A824)))))</f>
        <v/>
      </c>
    </row>
    <row r="825" customFormat="false" ht="15" hidden="false" customHeight="false" outlineLevel="0" collapsed="false">
      <c r="H825" s="0" t="str">
        <f aca="false">IF(B825="","",IF(COUNTIF(Campaigns!$A$7:$A$300,B825)&gt;0,"✓","⚠ add to Campaigns tab"))</f>
        <v/>
      </c>
      <c r="I825" s="84" t="str">
        <f aca="false">IF(C825="","",C825*IF(Settings!$B$25=Settings!$C$6,1,IF(Settings!$B$25="USD",1/INDEX(Settings!$B$29:$B$40,MONTH(A825)),INDEX(Settings!$B$29:$B$40,MONTH(A825)))))</f>
        <v/>
      </c>
    </row>
    <row r="826" customFormat="false" ht="15" hidden="false" customHeight="false" outlineLevel="0" collapsed="false">
      <c r="H826" s="0" t="str">
        <f aca="false">IF(B826="","",IF(COUNTIF(Campaigns!$A$7:$A$300,B826)&gt;0,"✓","⚠ add to Campaigns tab"))</f>
        <v/>
      </c>
      <c r="I826" s="84" t="str">
        <f aca="false">IF(C826="","",C826*IF(Settings!$B$25=Settings!$C$6,1,IF(Settings!$B$25="USD",1/INDEX(Settings!$B$29:$B$40,MONTH(A826)),INDEX(Settings!$B$29:$B$40,MONTH(A826)))))</f>
        <v/>
      </c>
    </row>
    <row r="827" customFormat="false" ht="15" hidden="false" customHeight="false" outlineLevel="0" collapsed="false">
      <c r="H827" s="0" t="str">
        <f aca="false">IF(B827="","",IF(COUNTIF(Campaigns!$A$7:$A$300,B827)&gt;0,"✓","⚠ add to Campaigns tab"))</f>
        <v/>
      </c>
      <c r="I827" s="84" t="str">
        <f aca="false">IF(C827="","",C827*IF(Settings!$B$25=Settings!$C$6,1,IF(Settings!$B$25="USD",1/INDEX(Settings!$B$29:$B$40,MONTH(A827)),INDEX(Settings!$B$29:$B$40,MONTH(A827)))))</f>
        <v/>
      </c>
    </row>
    <row r="828" customFormat="false" ht="15" hidden="false" customHeight="false" outlineLevel="0" collapsed="false">
      <c r="H828" s="0" t="str">
        <f aca="false">IF(B828="","",IF(COUNTIF(Campaigns!$A$7:$A$300,B828)&gt;0,"✓","⚠ add to Campaigns tab"))</f>
        <v/>
      </c>
      <c r="I828" s="84" t="str">
        <f aca="false">IF(C828="","",C828*IF(Settings!$B$25=Settings!$C$6,1,IF(Settings!$B$25="USD",1/INDEX(Settings!$B$29:$B$40,MONTH(A828)),INDEX(Settings!$B$29:$B$40,MONTH(A828)))))</f>
        <v/>
      </c>
    </row>
    <row r="829" customFormat="false" ht="15" hidden="false" customHeight="false" outlineLevel="0" collapsed="false">
      <c r="H829" s="0" t="str">
        <f aca="false">IF(B829="","",IF(COUNTIF(Campaigns!$A$7:$A$300,B829)&gt;0,"✓","⚠ add to Campaigns tab"))</f>
        <v/>
      </c>
      <c r="I829" s="84" t="str">
        <f aca="false">IF(C829="","",C829*IF(Settings!$B$25=Settings!$C$6,1,IF(Settings!$B$25="USD",1/INDEX(Settings!$B$29:$B$40,MONTH(A829)),INDEX(Settings!$B$29:$B$40,MONTH(A829)))))</f>
        <v/>
      </c>
    </row>
    <row r="830" customFormat="false" ht="15" hidden="false" customHeight="false" outlineLevel="0" collapsed="false">
      <c r="H830" s="0" t="str">
        <f aca="false">IF(B830="","",IF(COUNTIF(Campaigns!$A$7:$A$300,B830)&gt;0,"✓","⚠ add to Campaigns tab"))</f>
        <v/>
      </c>
      <c r="I830" s="84" t="str">
        <f aca="false">IF(C830="","",C830*IF(Settings!$B$25=Settings!$C$6,1,IF(Settings!$B$25="USD",1/INDEX(Settings!$B$29:$B$40,MONTH(A830)),INDEX(Settings!$B$29:$B$40,MONTH(A830)))))</f>
        <v/>
      </c>
    </row>
    <row r="831" customFormat="false" ht="15" hidden="false" customHeight="false" outlineLevel="0" collapsed="false">
      <c r="H831" s="0" t="str">
        <f aca="false">IF(B831="","",IF(COUNTIF(Campaigns!$A$7:$A$300,B831)&gt;0,"✓","⚠ add to Campaigns tab"))</f>
        <v/>
      </c>
      <c r="I831" s="84" t="str">
        <f aca="false">IF(C831="","",C831*IF(Settings!$B$25=Settings!$C$6,1,IF(Settings!$B$25="USD",1/INDEX(Settings!$B$29:$B$40,MONTH(A831)),INDEX(Settings!$B$29:$B$40,MONTH(A831)))))</f>
        <v/>
      </c>
    </row>
    <row r="832" customFormat="false" ht="15" hidden="false" customHeight="false" outlineLevel="0" collapsed="false">
      <c r="H832" s="0" t="str">
        <f aca="false">IF(B832="","",IF(COUNTIF(Campaigns!$A$7:$A$300,B832)&gt;0,"✓","⚠ add to Campaigns tab"))</f>
        <v/>
      </c>
      <c r="I832" s="84" t="str">
        <f aca="false">IF(C832="","",C832*IF(Settings!$B$25=Settings!$C$6,1,IF(Settings!$B$25="USD",1/INDEX(Settings!$B$29:$B$40,MONTH(A832)),INDEX(Settings!$B$29:$B$40,MONTH(A832)))))</f>
        <v/>
      </c>
    </row>
    <row r="833" customFormat="false" ht="15" hidden="false" customHeight="false" outlineLevel="0" collapsed="false">
      <c r="H833" s="0" t="str">
        <f aca="false">IF(B833="","",IF(COUNTIF(Campaigns!$A$7:$A$300,B833)&gt;0,"✓","⚠ add to Campaigns tab"))</f>
        <v/>
      </c>
      <c r="I833" s="84" t="str">
        <f aca="false">IF(C833="","",C833*IF(Settings!$B$25=Settings!$C$6,1,IF(Settings!$B$25="USD",1/INDEX(Settings!$B$29:$B$40,MONTH(A833)),INDEX(Settings!$B$29:$B$40,MONTH(A833)))))</f>
        <v/>
      </c>
    </row>
    <row r="834" customFormat="false" ht="15" hidden="false" customHeight="false" outlineLevel="0" collapsed="false">
      <c r="H834" s="0" t="str">
        <f aca="false">IF(B834="","",IF(COUNTIF(Campaigns!$A$7:$A$300,B834)&gt;0,"✓","⚠ add to Campaigns tab"))</f>
        <v/>
      </c>
      <c r="I834" s="84" t="str">
        <f aca="false">IF(C834="","",C834*IF(Settings!$B$25=Settings!$C$6,1,IF(Settings!$B$25="USD",1/INDEX(Settings!$B$29:$B$40,MONTH(A834)),INDEX(Settings!$B$29:$B$40,MONTH(A834)))))</f>
        <v/>
      </c>
    </row>
    <row r="835" customFormat="false" ht="15" hidden="false" customHeight="false" outlineLevel="0" collapsed="false">
      <c r="H835" s="0" t="str">
        <f aca="false">IF(B835="","",IF(COUNTIF(Campaigns!$A$7:$A$300,B835)&gt;0,"✓","⚠ add to Campaigns tab"))</f>
        <v/>
      </c>
      <c r="I835" s="84" t="str">
        <f aca="false">IF(C835="","",C835*IF(Settings!$B$25=Settings!$C$6,1,IF(Settings!$B$25="USD",1/INDEX(Settings!$B$29:$B$40,MONTH(A835)),INDEX(Settings!$B$29:$B$40,MONTH(A835)))))</f>
        <v/>
      </c>
    </row>
    <row r="836" customFormat="false" ht="15" hidden="false" customHeight="false" outlineLevel="0" collapsed="false">
      <c r="H836" s="0" t="str">
        <f aca="false">IF(B836="","",IF(COUNTIF(Campaigns!$A$7:$A$300,B836)&gt;0,"✓","⚠ add to Campaigns tab"))</f>
        <v/>
      </c>
      <c r="I836" s="84" t="str">
        <f aca="false">IF(C836="","",C836*IF(Settings!$B$25=Settings!$C$6,1,IF(Settings!$B$25="USD",1/INDEX(Settings!$B$29:$B$40,MONTH(A836)),INDEX(Settings!$B$29:$B$40,MONTH(A836)))))</f>
        <v/>
      </c>
    </row>
    <row r="837" customFormat="false" ht="15" hidden="false" customHeight="false" outlineLevel="0" collapsed="false">
      <c r="H837" s="0" t="str">
        <f aca="false">IF(B837="","",IF(COUNTIF(Campaigns!$A$7:$A$300,B837)&gt;0,"✓","⚠ add to Campaigns tab"))</f>
        <v/>
      </c>
      <c r="I837" s="84" t="str">
        <f aca="false">IF(C837="","",C837*IF(Settings!$B$25=Settings!$C$6,1,IF(Settings!$B$25="USD",1/INDEX(Settings!$B$29:$B$40,MONTH(A837)),INDEX(Settings!$B$29:$B$40,MONTH(A837)))))</f>
        <v/>
      </c>
    </row>
    <row r="838" customFormat="false" ht="15" hidden="false" customHeight="false" outlineLevel="0" collapsed="false">
      <c r="H838" s="0" t="str">
        <f aca="false">IF(B838="","",IF(COUNTIF(Campaigns!$A$7:$A$300,B838)&gt;0,"✓","⚠ add to Campaigns tab"))</f>
        <v/>
      </c>
      <c r="I838" s="84" t="str">
        <f aca="false">IF(C838="","",C838*IF(Settings!$B$25=Settings!$C$6,1,IF(Settings!$B$25="USD",1/INDEX(Settings!$B$29:$B$40,MONTH(A838)),INDEX(Settings!$B$29:$B$40,MONTH(A838)))))</f>
        <v/>
      </c>
    </row>
    <row r="839" customFormat="false" ht="15" hidden="false" customHeight="false" outlineLevel="0" collapsed="false">
      <c r="H839" s="0" t="str">
        <f aca="false">IF(B839="","",IF(COUNTIF(Campaigns!$A$7:$A$300,B839)&gt;0,"✓","⚠ add to Campaigns tab"))</f>
        <v/>
      </c>
      <c r="I839" s="84" t="str">
        <f aca="false">IF(C839="","",C839*IF(Settings!$B$25=Settings!$C$6,1,IF(Settings!$B$25="USD",1/INDEX(Settings!$B$29:$B$40,MONTH(A839)),INDEX(Settings!$B$29:$B$40,MONTH(A839)))))</f>
        <v/>
      </c>
    </row>
    <row r="840" customFormat="false" ht="15" hidden="false" customHeight="false" outlineLevel="0" collapsed="false">
      <c r="H840" s="0" t="str">
        <f aca="false">IF(B840="","",IF(COUNTIF(Campaigns!$A$7:$A$300,B840)&gt;0,"✓","⚠ add to Campaigns tab"))</f>
        <v/>
      </c>
      <c r="I840" s="84" t="str">
        <f aca="false">IF(C840="","",C840*IF(Settings!$B$25=Settings!$C$6,1,IF(Settings!$B$25="USD",1/INDEX(Settings!$B$29:$B$40,MONTH(A840)),INDEX(Settings!$B$29:$B$40,MONTH(A840)))))</f>
        <v/>
      </c>
    </row>
    <row r="841" customFormat="false" ht="15" hidden="false" customHeight="false" outlineLevel="0" collapsed="false">
      <c r="H841" s="0" t="str">
        <f aca="false">IF(B841="","",IF(COUNTIF(Campaigns!$A$7:$A$300,B841)&gt;0,"✓","⚠ add to Campaigns tab"))</f>
        <v/>
      </c>
      <c r="I841" s="84" t="str">
        <f aca="false">IF(C841="","",C841*IF(Settings!$B$25=Settings!$C$6,1,IF(Settings!$B$25="USD",1/INDEX(Settings!$B$29:$B$40,MONTH(A841)),INDEX(Settings!$B$29:$B$40,MONTH(A841)))))</f>
        <v/>
      </c>
    </row>
    <row r="842" customFormat="false" ht="15" hidden="false" customHeight="false" outlineLevel="0" collapsed="false">
      <c r="H842" s="0" t="str">
        <f aca="false">IF(B842="","",IF(COUNTIF(Campaigns!$A$7:$A$300,B842)&gt;0,"✓","⚠ add to Campaigns tab"))</f>
        <v/>
      </c>
      <c r="I842" s="84" t="str">
        <f aca="false">IF(C842="","",C842*IF(Settings!$B$25=Settings!$C$6,1,IF(Settings!$B$25="USD",1/INDEX(Settings!$B$29:$B$40,MONTH(A842)),INDEX(Settings!$B$29:$B$40,MONTH(A842)))))</f>
        <v/>
      </c>
    </row>
    <row r="843" customFormat="false" ht="15" hidden="false" customHeight="false" outlineLevel="0" collapsed="false">
      <c r="H843" s="0" t="str">
        <f aca="false">IF(B843="","",IF(COUNTIF(Campaigns!$A$7:$A$300,B843)&gt;0,"✓","⚠ add to Campaigns tab"))</f>
        <v/>
      </c>
      <c r="I843" s="84" t="str">
        <f aca="false">IF(C843="","",C843*IF(Settings!$B$25=Settings!$C$6,1,IF(Settings!$B$25="USD",1/INDEX(Settings!$B$29:$B$40,MONTH(A843)),INDEX(Settings!$B$29:$B$40,MONTH(A843)))))</f>
        <v/>
      </c>
    </row>
    <row r="844" customFormat="false" ht="15" hidden="false" customHeight="false" outlineLevel="0" collapsed="false">
      <c r="H844" s="0" t="str">
        <f aca="false">IF(B844="","",IF(COUNTIF(Campaigns!$A$7:$A$300,B844)&gt;0,"✓","⚠ add to Campaigns tab"))</f>
        <v/>
      </c>
      <c r="I844" s="84" t="str">
        <f aca="false">IF(C844="","",C844*IF(Settings!$B$25=Settings!$C$6,1,IF(Settings!$B$25="USD",1/INDEX(Settings!$B$29:$B$40,MONTH(A844)),INDEX(Settings!$B$29:$B$40,MONTH(A844)))))</f>
        <v/>
      </c>
    </row>
    <row r="845" customFormat="false" ht="15" hidden="false" customHeight="false" outlineLevel="0" collapsed="false">
      <c r="H845" s="0" t="str">
        <f aca="false">IF(B845="","",IF(COUNTIF(Campaigns!$A$7:$A$300,B845)&gt;0,"✓","⚠ add to Campaigns tab"))</f>
        <v/>
      </c>
      <c r="I845" s="84" t="str">
        <f aca="false">IF(C845="","",C845*IF(Settings!$B$25=Settings!$C$6,1,IF(Settings!$B$25="USD",1/INDEX(Settings!$B$29:$B$40,MONTH(A845)),INDEX(Settings!$B$29:$B$40,MONTH(A845)))))</f>
        <v/>
      </c>
    </row>
    <row r="846" customFormat="false" ht="15" hidden="false" customHeight="false" outlineLevel="0" collapsed="false">
      <c r="H846" s="0" t="str">
        <f aca="false">IF(B846="","",IF(COUNTIF(Campaigns!$A$7:$A$300,B846)&gt;0,"✓","⚠ add to Campaigns tab"))</f>
        <v/>
      </c>
      <c r="I846" s="84" t="str">
        <f aca="false">IF(C846="","",C846*IF(Settings!$B$25=Settings!$C$6,1,IF(Settings!$B$25="USD",1/INDEX(Settings!$B$29:$B$40,MONTH(A846)),INDEX(Settings!$B$29:$B$40,MONTH(A846)))))</f>
        <v/>
      </c>
    </row>
    <row r="847" customFormat="false" ht="15" hidden="false" customHeight="false" outlineLevel="0" collapsed="false">
      <c r="H847" s="0" t="str">
        <f aca="false">IF(B847="","",IF(COUNTIF(Campaigns!$A$7:$A$300,B847)&gt;0,"✓","⚠ add to Campaigns tab"))</f>
        <v/>
      </c>
      <c r="I847" s="84" t="str">
        <f aca="false">IF(C847="","",C847*IF(Settings!$B$25=Settings!$C$6,1,IF(Settings!$B$25="USD",1/INDEX(Settings!$B$29:$B$40,MONTH(A847)),INDEX(Settings!$B$29:$B$40,MONTH(A847)))))</f>
        <v/>
      </c>
    </row>
    <row r="848" customFormat="false" ht="15" hidden="false" customHeight="false" outlineLevel="0" collapsed="false">
      <c r="H848" s="0" t="str">
        <f aca="false">IF(B848="","",IF(COUNTIF(Campaigns!$A$7:$A$300,B848)&gt;0,"✓","⚠ add to Campaigns tab"))</f>
        <v/>
      </c>
      <c r="I848" s="84" t="str">
        <f aca="false">IF(C848="","",C848*IF(Settings!$B$25=Settings!$C$6,1,IF(Settings!$B$25="USD",1/INDEX(Settings!$B$29:$B$40,MONTH(A848)),INDEX(Settings!$B$29:$B$40,MONTH(A848)))))</f>
        <v/>
      </c>
    </row>
    <row r="849" customFormat="false" ht="15" hidden="false" customHeight="false" outlineLevel="0" collapsed="false">
      <c r="H849" s="0" t="str">
        <f aca="false">IF(B849="","",IF(COUNTIF(Campaigns!$A$7:$A$300,B849)&gt;0,"✓","⚠ add to Campaigns tab"))</f>
        <v/>
      </c>
      <c r="I849" s="84" t="str">
        <f aca="false">IF(C849="","",C849*IF(Settings!$B$25=Settings!$C$6,1,IF(Settings!$B$25="USD",1/INDEX(Settings!$B$29:$B$40,MONTH(A849)),INDEX(Settings!$B$29:$B$40,MONTH(A849)))))</f>
        <v/>
      </c>
    </row>
    <row r="850" customFormat="false" ht="15" hidden="false" customHeight="false" outlineLevel="0" collapsed="false">
      <c r="H850" s="0" t="str">
        <f aca="false">IF(B850="","",IF(COUNTIF(Campaigns!$A$7:$A$300,B850)&gt;0,"✓","⚠ add to Campaigns tab"))</f>
        <v/>
      </c>
      <c r="I850" s="84" t="str">
        <f aca="false">IF(C850="","",C850*IF(Settings!$B$25=Settings!$C$6,1,IF(Settings!$B$25="USD",1/INDEX(Settings!$B$29:$B$40,MONTH(A850)),INDEX(Settings!$B$29:$B$40,MONTH(A850)))))</f>
        <v/>
      </c>
    </row>
    <row r="851" customFormat="false" ht="15" hidden="false" customHeight="false" outlineLevel="0" collapsed="false">
      <c r="H851" s="0" t="str">
        <f aca="false">IF(B851="","",IF(COUNTIF(Campaigns!$A$7:$A$300,B851)&gt;0,"✓","⚠ add to Campaigns tab"))</f>
        <v/>
      </c>
      <c r="I851" s="84" t="str">
        <f aca="false">IF(C851="","",C851*IF(Settings!$B$25=Settings!$C$6,1,IF(Settings!$B$25="USD",1/INDEX(Settings!$B$29:$B$40,MONTH(A851)),INDEX(Settings!$B$29:$B$40,MONTH(A851)))))</f>
        <v/>
      </c>
    </row>
    <row r="852" customFormat="false" ht="15" hidden="false" customHeight="false" outlineLevel="0" collapsed="false">
      <c r="H852" s="0" t="str">
        <f aca="false">IF(B852="","",IF(COUNTIF(Campaigns!$A$7:$A$300,B852)&gt;0,"✓","⚠ add to Campaigns tab"))</f>
        <v/>
      </c>
      <c r="I852" s="84" t="str">
        <f aca="false">IF(C852="","",C852*IF(Settings!$B$25=Settings!$C$6,1,IF(Settings!$B$25="USD",1/INDEX(Settings!$B$29:$B$40,MONTH(A852)),INDEX(Settings!$B$29:$B$40,MONTH(A852)))))</f>
        <v/>
      </c>
    </row>
    <row r="853" customFormat="false" ht="15" hidden="false" customHeight="false" outlineLevel="0" collapsed="false">
      <c r="H853" s="0" t="str">
        <f aca="false">IF(B853="","",IF(COUNTIF(Campaigns!$A$7:$A$300,B853)&gt;0,"✓","⚠ add to Campaigns tab"))</f>
        <v/>
      </c>
      <c r="I853" s="84" t="str">
        <f aca="false">IF(C853="","",C853*IF(Settings!$B$25=Settings!$C$6,1,IF(Settings!$B$25="USD",1/INDEX(Settings!$B$29:$B$40,MONTH(A853)),INDEX(Settings!$B$29:$B$40,MONTH(A853)))))</f>
        <v/>
      </c>
    </row>
    <row r="854" customFormat="false" ht="15" hidden="false" customHeight="false" outlineLevel="0" collapsed="false">
      <c r="H854" s="0" t="str">
        <f aca="false">IF(B854="","",IF(COUNTIF(Campaigns!$A$7:$A$300,B854)&gt;0,"✓","⚠ add to Campaigns tab"))</f>
        <v/>
      </c>
      <c r="I854" s="84" t="str">
        <f aca="false">IF(C854="","",C854*IF(Settings!$B$25=Settings!$C$6,1,IF(Settings!$B$25="USD",1/INDEX(Settings!$B$29:$B$40,MONTH(A854)),INDEX(Settings!$B$29:$B$40,MONTH(A854)))))</f>
        <v/>
      </c>
    </row>
    <row r="855" customFormat="false" ht="15" hidden="false" customHeight="false" outlineLevel="0" collapsed="false">
      <c r="H855" s="0" t="str">
        <f aca="false">IF(B855="","",IF(COUNTIF(Campaigns!$A$7:$A$300,B855)&gt;0,"✓","⚠ add to Campaigns tab"))</f>
        <v/>
      </c>
      <c r="I855" s="84" t="str">
        <f aca="false">IF(C855="","",C855*IF(Settings!$B$25=Settings!$C$6,1,IF(Settings!$B$25="USD",1/INDEX(Settings!$B$29:$B$40,MONTH(A855)),INDEX(Settings!$B$29:$B$40,MONTH(A855)))))</f>
        <v/>
      </c>
    </row>
    <row r="856" customFormat="false" ht="15" hidden="false" customHeight="false" outlineLevel="0" collapsed="false">
      <c r="H856" s="0" t="str">
        <f aca="false">IF(B856="","",IF(COUNTIF(Campaigns!$A$7:$A$300,B856)&gt;0,"✓","⚠ add to Campaigns tab"))</f>
        <v/>
      </c>
      <c r="I856" s="84" t="str">
        <f aca="false">IF(C856="","",C856*IF(Settings!$B$25=Settings!$C$6,1,IF(Settings!$B$25="USD",1/INDEX(Settings!$B$29:$B$40,MONTH(A856)),INDEX(Settings!$B$29:$B$40,MONTH(A856)))))</f>
        <v/>
      </c>
    </row>
    <row r="857" customFormat="false" ht="15" hidden="false" customHeight="false" outlineLevel="0" collapsed="false">
      <c r="H857" s="0" t="str">
        <f aca="false">IF(B857="","",IF(COUNTIF(Campaigns!$A$7:$A$300,B857)&gt;0,"✓","⚠ add to Campaigns tab"))</f>
        <v/>
      </c>
      <c r="I857" s="84" t="str">
        <f aca="false">IF(C857="","",C857*IF(Settings!$B$25=Settings!$C$6,1,IF(Settings!$B$25="USD",1/INDEX(Settings!$B$29:$B$40,MONTH(A857)),INDEX(Settings!$B$29:$B$40,MONTH(A857)))))</f>
        <v/>
      </c>
    </row>
    <row r="858" customFormat="false" ht="15" hidden="false" customHeight="false" outlineLevel="0" collapsed="false">
      <c r="H858" s="0" t="str">
        <f aca="false">IF(B858="","",IF(COUNTIF(Campaigns!$A$7:$A$300,B858)&gt;0,"✓","⚠ add to Campaigns tab"))</f>
        <v/>
      </c>
      <c r="I858" s="84" t="str">
        <f aca="false">IF(C858="","",C858*IF(Settings!$B$25=Settings!$C$6,1,IF(Settings!$B$25="USD",1/INDEX(Settings!$B$29:$B$40,MONTH(A858)),INDEX(Settings!$B$29:$B$40,MONTH(A858)))))</f>
        <v/>
      </c>
    </row>
    <row r="859" customFormat="false" ht="15" hidden="false" customHeight="false" outlineLevel="0" collapsed="false">
      <c r="H859" s="0" t="str">
        <f aca="false">IF(B859="","",IF(COUNTIF(Campaigns!$A$7:$A$300,B859)&gt;0,"✓","⚠ add to Campaigns tab"))</f>
        <v/>
      </c>
      <c r="I859" s="84" t="str">
        <f aca="false">IF(C859="","",C859*IF(Settings!$B$25=Settings!$C$6,1,IF(Settings!$B$25="USD",1/INDEX(Settings!$B$29:$B$40,MONTH(A859)),INDEX(Settings!$B$29:$B$40,MONTH(A859)))))</f>
        <v/>
      </c>
    </row>
    <row r="860" customFormat="false" ht="15" hidden="false" customHeight="false" outlineLevel="0" collapsed="false">
      <c r="H860" s="0" t="str">
        <f aca="false">IF(B860="","",IF(COUNTIF(Campaigns!$A$7:$A$300,B860)&gt;0,"✓","⚠ add to Campaigns tab"))</f>
        <v/>
      </c>
      <c r="I860" s="84" t="str">
        <f aca="false">IF(C860="","",C860*IF(Settings!$B$25=Settings!$C$6,1,IF(Settings!$B$25="USD",1/INDEX(Settings!$B$29:$B$40,MONTH(A860)),INDEX(Settings!$B$29:$B$40,MONTH(A860)))))</f>
        <v/>
      </c>
    </row>
    <row r="861" customFormat="false" ht="15" hidden="false" customHeight="false" outlineLevel="0" collapsed="false">
      <c r="H861" s="0" t="str">
        <f aca="false">IF(B861="","",IF(COUNTIF(Campaigns!$A$7:$A$300,B861)&gt;0,"✓","⚠ add to Campaigns tab"))</f>
        <v/>
      </c>
      <c r="I861" s="84" t="str">
        <f aca="false">IF(C861="","",C861*IF(Settings!$B$25=Settings!$C$6,1,IF(Settings!$B$25="USD",1/INDEX(Settings!$B$29:$B$40,MONTH(A861)),INDEX(Settings!$B$29:$B$40,MONTH(A861)))))</f>
        <v/>
      </c>
    </row>
    <row r="862" customFormat="false" ht="15" hidden="false" customHeight="false" outlineLevel="0" collapsed="false">
      <c r="H862" s="0" t="str">
        <f aca="false">IF(B862="","",IF(COUNTIF(Campaigns!$A$7:$A$300,B862)&gt;0,"✓","⚠ add to Campaigns tab"))</f>
        <v/>
      </c>
      <c r="I862" s="84" t="str">
        <f aca="false">IF(C862="","",C862*IF(Settings!$B$25=Settings!$C$6,1,IF(Settings!$B$25="USD",1/INDEX(Settings!$B$29:$B$40,MONTH(A862)),INDEX(Settings!$B$29:$B$40,MONTH(A862)))))</f>
        <v/>
      </c>
    </row>
    <row r="863" customFormat="false" ht="15" hidden="false" customHeight="false" outlineLevel="0" collapsed="false">
      <c r="H863" s="0" t="str">
        <f aca="false">IF(B863="","",IF(COUNTIF(Campaigns!$A$7:$A$300,B863)&gt;0,"✓","⚠ add to Campaigns tab"))</f>
        <v/>
      </c>
      <c r="I863" s="84" t="str">
        <f aca="false">IF(C863="","",C863*IF(Settings!$B$25=Settings!$C$6,1,IF(Settings!$B$25="USD",1/INDEX(Settings!$B$29:$B$40,MONTH(A863)),INDEX(Settings!$B$29:$B$40,MONTH(A863)))))</f>
        <v/>
      </c>
    </row>
    <row r="864" customFormat="false" ht="15" hidden="false" customHeight="false" outlineLevel="0" collapsed="false">
      <c r="H864" s="0" t="str">
        <f aca="false">IF(B864="","",IF(COUNTIF(Campaigns!$A$7:$A$300,B864)&gt;0,"✓","⚠ add to Campaigns tab"))</f>
        <v/>
      </c>
      <c r="I864" s="84" t="str">
        <f aca="false">IF(C864="","",C864*IF(Settings!$B$25=Settings!$C$6,1,IF(Settings!$B$25="USD",1/INDEX(Settings!$B$29:$B$40,MONTH(A864)),INDEX(Settings!$B$29:$B$40,MONTH(A864)))))</f>
        <v/>
      </c>
    </row>
    <row r="865" customFormat="false" ht="15" hidden="false" customHeight="false" outlineLevel="0" collapsed="false">
      <c r="H865" s="0" t="str">
        <f aca="false">IF(B865="","",IF(COUNTIF(Campaigns!$A$7:$A$300,B865)&gt;0,"✓","⚠ add to Campaigns tab"))</f>
        <v/>
      </c>
      <c r="I865" s="84" t="str">
        <f aca="false">IF(C865="","",C865*IF(Settings!$B$25=Settings!$C$6,1,IF(Settings!$B$25="USD",1/INDEX(Settings!$B$29:$B$40,MONTH(A865)),INDEX(Settings!$B$29:$B$40,MONTH(A865)))))</f>
        <v/>
      </c>
    </row>
    <row r="866" customFormat="false" ht="15" hidden="false" customHeight="false" outlineLevel="0" collapsed="false">
      <c r="H866" s="0" t="str">
        <f aca="false">IF(B866="","",IF(COUNTIF(Campaigns!$A$7:$A$300,B866)&gt;0,"✓","⚠ add to Campaigns tab"))</f>
        <v/>
      </c>
      <c r="I866" s="84" t="str">
        <f aca="false">IF(C866="","",C866*IF(Settings!$B$25=Settings!$C$6,1,IF(Settings!$B$25="USD",1/INDEX(Settings!$B$29:$B$40,MONTH(A866)),INDEX(Settings!$B$29:$B$40,MONTH(A866)))))</f>
        <v/>
      </c>
    </row>
    <row r="867" customFormat="false" ht="15" hidden="false" customHeight="false" outlineLevel="0" collapsed="false">
      <c r="H867" s="0" t="str">
        <f aca="false">IF(B867="","",IF(COUNTIF(Campaigns!$A$7:$A$300,B867)&gt;0,"✓","⚠ add to Campaigns tab"))</f>
        <v/>
      </c>
      <c r="I867" s="84" t="str">
        <f aca="false">IF(C867="","",C867*IF(Settings!$B$25=Settings!$C$6,1,IF(Settings!$B$25="USD",1/INDEX(Settings!$B$29:$B$40,MONTH(A867)),INDEX(Settings!$B$29:$B$40,MONTH(A867)))))</f>
        <v/>
      </c>
    </row>
    <row r="868" customFormat="false" ht="15" hidden="false" customHeight="false" outlineLevel="0" collapsed="false">
      <c r="H868" s="0" t="str">
        <f aca="false">IF(B868="","",IF(COUNTIF(Campaigns!$A$7:$A$300,B868)&gt;0,"✓","⚠ add to Campaigns tab"))</f>
        <v/>
      </c>
      <c r="I868" s="84" t="str">
        <f aca="false">IF(C868="","",C868*IF(Settings!$B$25=Settings!$C$6,1,IF(Settings!$B$25="USD",1/INDEX(Settings!$B$29:$B$40,MONTH(A868)),INDEX(Settings!$B$29:$B$40,MONTH(A868)))))</f>
        <v/>
      </c>
    </row>
    <row r="869" customFormat="false" ht="15" hidden="false" customHeight="false" outlineLevel="0" collapsed="false">
      <c r="H869" s="0" t="str">
        <f aca="false">IF(B869="","",IF(COUNTIF(Campaigns!$A$7:$A$300,B869)&gt;0,"✓","⚠ add to Campaigns tab"))</f>
        <v/>
      </c>
      <c r="I869" s="84" t="str">
        <f aca="false">IF(C869="","",C869*IF(Settings!$B$25=Settings!$C$6,1,IF(Settings!$B$25="USD",1/INDEX(Settings!$B$29:$B$40,MONTH(A869)),INDEX(Settings!$B$29:$B$40,MONTH(A869)))))</f>
        <v/>
      </c>
    </row>
    <row r="870" customFormat="false" ht="15" hidden="false" customHeight="false" outlineLevel="0" collapsed="false">
      <c r="H870" s="0" t="str">
        <f aca="false">IF(B870="","",IF(COUNTIF(Campaigns!$A$7:$A$300,B870)&gt;0,"✓","⚠ add to Campaigns tab"))</f>
        <v/>
      </c>
      <c r="I870" s="84" t="str">
        <f aca="false">IF(C870="","",C870*IF(Settings!$B$25=Settings!$C$6,1,IF(Settings!$B$25="USD",1/INDEX(Settings!$B$29:$B$40,MONTH(A870)),INDEX(Settings!$B$29:$B$40,MONTH(A870)))))</f>
        <v/>
      </c>
    </row>
    <row r="871" customFormat="false" ht="15" hidden="false" customHeight="false" outlineLevel="0" collapsed="false">
      <c r="H871" s="0" t="str">
        <f aca="false">IF(B871="","",IF(COUNTIF(Campaigns!$A$7:$A$300,B871)&gt;0,"✓","⚠ add to Campaigns tab"))</f>
        <v/>
      </c>
      <c r="I871" s="84" t="str">
        <f aca="false">IF(C871="","",C871*IF(Settings!$B$25=Settings!$C$6,1,IF(Settings!$B$25="USD",1/INDEX(Settings!$B$29:$B$40,MONTH(A871)),INDEX(Settings!$B$29:$B$40,MONTH(A871)))))</f>
        <v/>
      </c>
    </row>
    <row r="872" customFormat="false" ht="15" hidden="false" customHeight="false" outlineLevel="0" collapsed="false">
      <c r="H872" s="0" t="str">
        <f aca="false">IF(B872="","",IF(COUNTIF(Campaigns!$A$7:$A$300,B872)&gt;0,"✓","⚠ add to Campaigns tab"))</f>
        <v/>
      </c>
      <c r="I872" s="84" t="str">
        <f aca="false">IF(C872="","",C872*IF(Settings!$B$25=Settings!$C$6,1,IF(Settings!$B$25="USD",1/INDEX(Settings!$B$29:$B$40,MONTH(A872)),INDEX(Settings!$B$29:$B$40,MONTH(A872)))))</f>
        <v/>
      </c>
    </row>
    <row r="873" customFormat="false" ht="15" hidden="false" customHeight="false" outlineLevel="0" collapsed="false">
      <c r="H873" s="0" t="str">
        <f aca="false">IF(B873="","",IF(COUNTIF(Campaigns!$A$7:$A$300,B873)&gt;0,"✓","⚠ add to Campaigns tab"))</f>
        <v/>
      </c>
      <c r="I873" s="84" t="str">
        <f aca="false">IF(C873="","",C873*IF(Settings!$B$25=Settings!$C$6,1,IF(Settings!$B$25="USD",1/INDEX(Settings!$B$29:$B$40,MONTH(A873)),INDEX(Settings!$B$29:$B$40,MONTH(A873)))))</f>
        <v/>
      </c>
    </row>
    <row r="874" customFormat="false" ht="15" hidden="false" customHeight="false" outlineLevel="0" collapsed="false">
      <c r="H874" s="0" t="str">
        <f aca="false">IF(B874="","",IF(COUNTIF(Campaigns!$A$7:$A$300,B874)&gt;0,"✓","⚠ add to Campaigns tab"))</f>
        <v/>
      </c>
      <c r="I874" s="84" t="str">
        <f aca="false">IF(C874="","",C874*IF(Settings!$B$25=Settings!$C$6,1,IF(Settings!$B$25="USD",1/INDEX(Settings!$B$29:$B$40,MONTH(A874)),INDEX(Settings!$B$29:$B$40,MONTH(A874)))))</f>
        <v/>
      </c>
    </row>
    <row r="875" customFormat="false" ht="15" hidden="false" customHeight="false" outlineLevel="0" collapsed="false">
      <c r="H875" s="0" t="str">
        <f aca="false">IF(B875="","",IF(COUNTIF(Campaigns!$A$7:$A$300,B875)&gt;0,"✓","⚠ add to Campaigns tab"))</f>
        <v/>
      </c>
      <c r="I875" s="84" t="str">
        <f aca="false">IF(C875="","",C875*IF(Settings!$B$25=Settings!$C$6,1,IF(Settings!$B$25="USD",1/INDEX(Settings!$B$29:$B$40,MONTH(A875)),INDEX(Settings!$B$29:$B$40,MONTH(A875)))))</f>
        <v/>
      </c>
    </row>
    <row r="876" customFormat="false" ht="15" hidden="false" customHeight="false" outlineLevel="0" collapsed="false">
      <c r="H876" s="0" t="str">
        <f aca="false">IF(B876="","",IF(COUNTIF(Campaigns!$A$7:$A$300,B876)&gt;0,"✓","⚠ add to Campaigns tab"))</f>
        <v/>
      </c>
      <c r="I876" s="84" t="str">
        <f aca="false">IF(C876="","",C876*IF(Settings!$B$25=Settings!$C$6,1,IF(Settings!$B$25="USD",1/INDEX(Settings!$B$29:$B$40,MONTH(A876)),INDEX(Settings!$B$29:$B$40,MONTH(A876)))))</f>
        <v/>
      </c>
    </row>
    <row r="877" customFormat="false" ht="15" hidden="false" customHeight="false" outlineLevel="0" collapsed="false">
      <c r="H877" s="0" t="str">
        <f aca="false">IF(B877="","",IF(COUNTIF(Campaigns!$A$7:$A$300,B877)&gt;0,"✓","⚠ add to Campaigns tab"))</f>
        <v/>
      </c>
      <c r="I877" s="84" t="str">
        <f aca="false">IF(C877="","",C877*IF(Settings!$B$25=Settings!$C$6,1,IF(Settings!$B$25="USD",1/INDEX(Settings!$B$29:$B$40,MONTH(A877)),INDEX(Settings!$B$29:$B$40,MONTH(A877)))))</f>
        <v/>
      </c>
    </row>
    <row r="878" customFormat="false" ht="15" hidden="false" customHeight="false" outlineLevel="0" collapsed="false">
      <c r="H878" s="0" t="str">
        <f aca="false">IF(B878="","",IF(COUNTIF(Campaigns!$A$7:$A$300,B878)&gt;0,"✓","⚠ add to Campaigns tab"))</f>
        <v/>
      </c>
      <c r="I878" s="84" t="str">
        <f aca="false">IF(C878="","",C878*IF(Settings!$B$25=Settings!$C$6,1,IF(Settings!$B$25="USD",1/INDEX(Settings!$B$29:$B$40,MONTH(A878)),INDEX(Settings!$B$29:$B$40,MONTH(A878)))))</f>
        <v/>
      </c>
    </row>
    <row r="879" customFormat="false" ht="15" hidden="false" customHeight="false" outlineLevel="0" collapsed="false">
      <c r="H879" s="0" t="str">
        <f aca="false">IF(B879="","",IF(COUNTIF(Campaigns!$A$7:$A$300,B879)&gt;0,"✓","⚠ add to Campaigns tab"))</f>
        <v/>
      </c>
      <c r="I879" s="84" t="str">
        <f aca="false">IF(C879="","",C879*IF(Settings!$B$25=Settings!$C$6,1,IF(Settings!$B$25="USD",1/INDEX(Settings!$B$29:$B$40,MONTH(A879)),INDEX(Settings!$B$29:$B$40,MONTH(A879)))))</f>
        <v/>
      </c>
    </row>
    <row r="880" customFormat="false" ht="15" hidden="false" customHeight="false" outlineLevel="0" collapsed="false">
      <c r="H880" s="0" t="str">
        <f aca="false">IF(B880="","",IF(COUNTIF(Campaigns!$A$7:$A$300,B880)&gt;0,"✓","⚠ add to Campaigns tab"))</f>
        <v/>
      </c>
      <c r="I880" s="84" t="str">
        <f aca="false">IF(C880="","",C880*IF(Settings!$B$25=Settings!$C$6,1,IF(Settings!$B$25="USD",1/INDEX(Settings!$B$29:$B$40,MONTH(A880)),INDEX(Settings!$B$29:$B$40,MONTH(A880)))))</f>
        <v/>
      </c>
    </row>
    <row r="881" customFormat="false" ht="15" hidden="false" customHeight="false" outlineLevel="0" collapsed="false">
      <c r="H881" s="0" t="str">
        <f aca="false">IF(B881="","",IF(COUNTIF(Campaigns!$A$7:$A$300,B881)&gt;0,"✓","⚠ add to Campaigns tab"))</f>
        <v/>
      </c>
      <c r="I881" s="84" t="str">
        <f aca="false">IF(C881="","",C881*IF(Settings!$B$25=Settings!$C$6,1,IF(Settings!$B$25="USD",1/INDEX(Settings!$B$29:$B$40,MONTH(A881)),INDEX(Settings!$B$29:$B$40,MONTH(A881)))))</f>
        <v/>
      </c>
    </row>
    <row r="882" customFormat="false" ht="15" hidden="false" customHeight="false" outlineLevel="0" collapsed="false">
      <c r="H882" s="0" t="str">
        <f aca="false">IF(B882="","",IF(COUNTIF(Campaigns!$A$7:$A$300,B882)&gt;0,"✓","⚠ add to Campaigns tab"))</f>
        <v/>
      </c>
      <c r="I882" s="84" t="str">
        <f aca="false">IF(C882="","",C882*IF(Settings!$B$25=Settings!$C$6,1,IF(Settings!$B$25="USD",1/INDEX(Settings!$B$29:$B$40,MONTH(A882)),INDEX(Settings!$B$29:$B$40,MONTH(A882)))))</f>
        <v/>
      </c>
    </row>
    <row r="883" customFormat="false" ht="15" hidden="false" customHeight="false" outlineLevel="0" collapsed="false">
      <c r="H883" s="0" t="str">
        <f aca="false">IF(B883="","",IF(COUNTIF(Campaigns!$A$7:$A$300,B883)&gt;0,"✓","⚠ add to Campaigns tab"))</f>
        <v/>
      </c>
      <c r="I883" s="84" t="str">
        <f aca="false">IF(C883="","",C883*IF(Settings!$B$25=Settings!$C$6,1,IF(Settings!$B$25="USD",1/INDEX(Settings!$B$29:$B$40,MONTH(A883)),INDEX(Settings!$B$29:$B$40,MONTH(A883)))))</f>
        <v/>
      </c>
    </row>
    <row r="884" customFormat="false" ht="15" hidden="false" customHeight="false" outlineLevel="0" collapsed="false">
      <c r="H884" s="0" t="str">
        <f aca="false">IF(B884="","",IF(COUNTIF(Campaigns!$A$7:$A$300,B884)&gt;0,"✓","⚠ add to Campaigns tab"))</f>
        <v/>
      </c>
      <c r="I884" s="84" t="str">
        <f aca="false">IF(C884="","",C884*IF(Settings!$B$25=Settings!$C$6,1,IF(Settings!$B$25="USD",1/INDEX(Settings!$B$29:$B$40,MONTH(A884)),INDEX(Settings!$B$29:$B$40,MONTH(A884)))))</f>
        <v/>
      </c>
    </row>
    <row r="885" customFormat="false" ht="15" hidden="false" customHeight="false" outlineLevel="0" collapsed="false">
      <c r="H885" s="0" t="str">
        <f aca="false">IF(B885="","",IF(COUNTIF(Campaigns!$A$7:$A$300,B885)&gt;0,"✓","⚠ add to Campaigns tab"))</f>
        <v/>
      </c>
      <c r="I885" s="84" t="str">
        <f aca="false">IF(C885="","",C885*IF(Settings!$B$25=Settings!$C$6,1,IF(Settings!$B$25="USD",1/INDEX(Settings!$B$29:$B$40,MONTH(A885)),INDEX(Settings!$B$29:$B$40,MONTH(A885)))))</f>
        <v/>
      </c>
    </row>
    <row r="886" customFormat="false" ht="15" hidden="false" customHeight="false" outlineLevel="0" collapsed="false">
      <c r="H886" s="0" t="str">
        <f aca="false">IF(B886="","",IF(COUNTIF(Campaigns!$A$7:$A$300,B886)&gt;0,"✓","⚠ add to Campaigns tab"))</f>
        <v/>
      </c>
      <c r="I886" s="84" t="str">
        <f aca="false">IF(C886="","",C886*IF(Settings!$B$25=Settings!$C$6,1,IF(Settings!$B$25="USD",1/INDEX(Settings!$B$29:$B$40,MONTH(A886)),INDEX(Settings!$B$29:$B$40,MONTH(A886)))))</f>
        <v/>
      </c>
    </row>
    <row r="887" customFormat="false" ht="15" hidden="false" customHeight="false" outlineLevel="0" collapsed="false">
      <c r="H887" s="0" t="str">
        <f aca="false">IF(B887="","",IF(COUNTIF(Campaigns!$A$7:$A$300,B887)&gt;0,"✓","⚠ add to Campaigns tab"))</f>
        <v/>
      </c>
      <c r="I887" s="84" t="str">
        <f aca="false">IF(C887="","",C887*IF(Settings!$B$25=Settings!$C$6,1,IF(Settings!$B$25="USD",1/INDEX(Settings!$B$29:$B$40,MONTH(A887)),INDEX(Settings!$B$29:$B$40,MONTH(A887)))))</f>
        <v/>
      </c>
    </row>
    <row r="888" customFormat="false" ht="15" hidden="false" customHeight="false" outlineLevel="0" collapsed="false">
      <c r="H888" s="0" t="str">
        <f aca="false">IF(B888="","",IF(COUNTIF(Campaigns!$A$7:$A$300,B888)&gt;0,"✓","⚠ add to Campaigns tab"))</f>
        <v/>
      </c>
      <c r="I888" s="84" t="str">
        <f aca="false">IF(C888="","",C888*IF(Settings!$B$25=Settings!$C$6,1,IF(Settings!$B$25="USD",1/INDEX(Settings!$B$29:$B$40,MONTH(A888)),INDEX(Settings!$B$29:$B$40,MONTH(A888)))))</f>
        <v/>
      </c>
    </row>
    <row r="889" customFormat="false" ht="15" hidden="false" customHeight="false" outlineLevel="0" collapsed="false">
      <c r="H889" s="0" t="str">
        <f aca="false">IF(B889="","",IF(COUNTIF(Campaigns!$A$7:$A$300,B889)&gt;0,"✓","⚠ add to Campaigns tab"))</f>
        <v/>
      </c>
      <c r="I889" s="84" t="str">
        <f aca="false">IF(C889="","",C889*IF(Settings!$B$25=Settings!$C$6,1,IF(Settings!$B$25="USD",1/INDEX(Settings!$B$29:$B$40,MONTH(A889)),INDEX(Settings!$B$29:$B$40,MONTH(A889)))))</f>
        <v/>
      </c>
    </row>
    <row r="890" customFormat="false" ht="15" hidden="false" customHeight="false" outlineLevel="0" collapsed="false">
      <c r="H890" s="0" t="str">
        <f aca="false">IF(B890="","",IF(COUNTIF(Campaigns!$A$7:$A$300,B890)&gt;0,"✓","⚠ add to Campaigns tab"))</f>
        <v/>
      </c>
      <c r="I890" s="84" t="str">
        <f aca="false">IF(C890="","",C890*IF(Settings!$B$25=Settings!$C$6,1,IF(Settings!$B$25="USD",1/INDEX(Settings!$B$29:$B$40,MONTH(A890)),INDEX(Settings!$B$29:$B$40,MONTH(A890)))))</f>
        <v/>
      </c>
    </row>
    <row r="891" customFormat="false" ht="15" hidden="false" customHeight="false" outlineLevel="0" collapsed="false">
      <c r="H891" s="0" t="str">
        <f aca="false">IF(B891="","",IF(COUNTIF(Campaigns!$A$7:$A$300,B891)&gt;0,"✓","⚠ add to Campaigns tab"))</f>
        <v/>
      </c>
      <c r="I891" s="84" t="str">
        <f aca="false">IF(C891="","",C891*IF(Settings!$B$25=Settings!$C$6,1,IF(Settings!$B$25="USD",1/INDEX(Settings!$B$29:$B$40,MONTH(A891)),INDEX(Settings!$B$29:$B$40,MONTH(A891)))))</f>
        <v/>
      </c>
    </row>
    <row r="892" customFormat="false" ht="15" hidden="false" customHeight="false" outlineLevel="0" collapsed="false">
      <c r="H892" s="0" t="str">
        <f aca="false">IF(B892="","",IF(COUNTIF(Campaigns!$A$7:$A$300,B892)&gt;0,"✓","⚠ add to Campaigns tab"))</f>
        <v/>
      </c>
      <c r="I892" s="84" t="str">
        <f aca="false">IF(C892="","",C892*IF(Settings!$B$25=Settings!$C$6,1,IF(Settings!$B$25="USD",1/INDEX(Settings!$B$29:$B$40,MONTH(A892)),INDEX(Settings!$B$29:$B$40,MONTH(A892)))))</f>
        <v/>
      </c>
    </row>
    <row r="893" customFormat="false" ht="15" hidden="false" customHeight="false" outlineLevel="0" collapsed="false">
      <c r="H893" s="0" t="str">
        <f aca="false">IF(B893="","",IF(COUNTIF(Campaigns!$A$7:$A$300,B893)&gt;0,"✓","⚠ add to Campaigns tab"))</f>
        <v/>
      </c>
      <c r="I893" s="84" t="str">
        <f aca="false">IF(C893="","",C893*IF(Settings!$B$25=Settings!$C$6,1,IF(Settings!$B$25="USD",1/INDEX(Settings!$B$29:$B$40,MONTH(A893)),INDEX(Settings!$B$29:$B$40,MONTH(A893)))))</f>
        <v/>
      </c>
    </row>
    <row r="894" customFormat="false" ht="15" hidden="false" customHeight="false" outlineLevel="0" collapsed="false">
      <c r="H894" s="0" t="str">
        <f aca="false">IF(B894="","",IF(COUNTIF(Campaigns!$A$7:$A$300,B894)&gt;0,"✓","⚠ add to Campaigns tab"))</f>
        <v/>
      </c>
      <c r="I894" s="84" t="str">
        <f aca="false">IF(C894="","",C894*IF(Settings!$B$25=Settings!$C$6,1,IF(Settings!$B$25="USD",1/INDEX(Settings!$B$29:$B$40,MONTH(A894)),INDEX(Settings!$B$29:$B$40,MONTH(A894)))))</f>
        <v/>
      </c>
    </row>
    <row r="895" customFormat="false" ht="15" hidden="false" customHeight="false" outlineLevel="0" collapsed="false">
      <c r="H895" s="0" t="str">
        <f aca="false">IF(B895="","",IF(COUNTIF(Campaigns!$A$7:$A$300,B895)&gt;0,"✓","⚠ add to Campaigns tab"))</f>
        <v/>
      </c>
      <c r="I895" s="84" t="str">
        <f aca="false">IF(C895="","",C895*IF(Settings!$B$25=Settings!$C$6,1,IF(Settings!$B$25="USD",1/INDEX(Settings!$B$29:$B$40,MONTH(A895)),INDEX(Settings!$B$29:$B$40,MONTH(A895)))))</f>
        <v/>
      </c>
    </row>
    <row r="896" customFormat="false" ht="15" hidden="false" customHeight="false" outlineLevel="0" collapsed="false">
      <c r="H896" s="0" t="str">
        <f aca="false">IF(B896="","",IF(COUNTIF(Campaigns!$A$7:$A$300,B896)&gt;0,"✓","⚠ add to Campaigns tab"))</f>
        <v/>
      </c>
      <c r="I896" s="84" t="str">
        <f aca="false">IF(C896="","",C896*IF(Settings!$B$25=Settings!$C$6,1,IF(Settings!$B$25="USD",1/INDEX(Settings!$B$29:$B$40,MONTH(A896)),INDEX(Settings!$B$29:$B$40,MONTH(A896)))))</f>
        <v/>
      </c>
    </row>
    <row r="897" customFormat="false" ht="15" hidden="false" customHeight="false" outlineLevel="0" collapsed="false">
      <c r="H897" s="0" t="str">
        <f aca="false">IF(B897="","",IF(COUNTIF(Campaigns!$A$7:$A$300,B897)&gt;0,"✓","⚠ add to Campaigns tab"))</f>
        <v/>
      </c>
      <c r="I897" s="84" t="str">
        <f aca="false">IF(C897="","",C897*IF(Settings!$B$25=Settings!$C$6,1,IF(Settings!$B$25="USD",1/INDEX(Settings!$B$29:$B$40,MONTH(A897)),INDEX(Settings!$B$29:$B$40,MONTH(A897)))))</f>
        <v/>
      </c>
    </row>
    <row r="898" customFormat="false" ht="15" hidden="false" customHeight="false" outlineLevel="0" collapsed="false">
      <c r="H898" s="0" t="str">
        <f aca="false">IF(B898="","",IF(COUNTIF(Campaigns!$A$7:$A$300,B898)&gt;0,"✓","⚠ add to Campaigns tab"))</f>
        <v/>
      </c>
      <c r="I898" s="84" t="str">
        <f aca="false">IF(C898="","",C898*IF(Settings!$B$25=Settings!$C$6,1,IF(Settings!$B$25="USD",1/INDEX(Settings!$B$29:$B$40,MONTH(A898)),INDEX(Settings!$B$29:$B$40,MONTH(A898)))))</f>
        <v/>
      </c>
    </row>
    <row r="899" customFormat="false" ht="15" hidden="false" customHeight="false" outlineLevel="0" collapsed="false">
      <c r="H899" s="0" t="str">
        <f aca="false">IF(B899="","",IF(COUNTIF(Campaigns!$A$7:$A$300,B899)&gt;0,"✓","⚠ add to Campaigns tab"))</f>
        <v/>
      </c>
      <c r="I899" s="84" t="str">
        <f aca="false">IF(C899="","",C899*IF(Settings!$B$25=Settings!$C$6,1,IF(Settings!$B$25="USD",1/INDEX(Settings!$B$29:$B$40,MONTH(A899)),INDEX(Settings!$B$29:$B$40,MONTH(A899)))))</f>
        <v/>
      </c>
    </row>
    <row r="900" customFormat="false" ht="15" hidden="false" customHeight="false" outlineLevel="0" collapsed="false">
      <c r="H900" s="0" t="str">
        <f aca="false">IF(B900="","",IF(COUNTIF(Campaigns!$A$7:$A$300,B900)&gt;0,"✓","⚠ add to Campaigns tab"))</f>
        <v/>
      </c>
      <c r="I900" s="84" t="str">
        <f aca="false">IF(C900="","",C900*IF(Settings!$B$25=Settings!$C$6,1,IF(Settings!$B$25="USD",1/INDEX(Settings!$B$29:$B$40,MONTH(A900)),INDEX(Settings!$B$29:$B$40,MONTH(A900)))))</f>
        <v/>
      </c>
    </row>
    <row r="901" customFormat="false" ht="15" hidden="false" customHeight="false" outlineLevel="0" collapsed="false">
      <c r="H901" s="0" t="str">
        <f aca="false">IF(B901="","",IF(COUNTIF(Campaigns!$A$7:$A$300,B901)&gt;0,"✓","⚠ add to Campaigns tab"))</f>
        <v/>
      </c>
      <c r="I901" s="84" t="str">
        <f aca="false">IF(C901="","",C901*IF(Settings!$B$25=Settings!$C$6,1,IF(Settings!$B$25="USD",1/INDEX(Settings!$B$29:$B$40,MONTH(A901)),INDEX(Settings!$B$29:$B$40,MONTH(A901)))))</f>
        <v/>
      </c>
    </row>
    <row r="902" customFormat="false" ht="15" hidden="false" customHeight="false" outlineLevel="0" collapsed="false">
      <c r="H902" s="0" t="str">
        <f aca="false">IF(B902="","",IF(COUNTIF(Campaigns!$A$7:$A$300,B902)&gt;0,"✓","⚠ add to Campaigns tab"))</f>
        <v/>
      </c>
      <c r="I902" s="84" t="str">
        <f aca="false">IF(C902="","",C902*IF(Settings!$B$25=Settings!$C$6,1,IF(Settings!$B$25="USD",1/INDEX(Settings!$B$29:$B$40,MONTH(A902)),INDEX(Settings!$B$29:$B$40,MONTH(A902)))))</f>
        <v/>
      </c>
    </row>
    <row r="903" customFormat="false" ht="15" hidden="false" customHeight="false" outlineLevel="0" collapsed="false">
      <c r="H903" s="0" t="str">
        <f aca="false">IF(B903="","",IF(COUNTIF(Campaigns!$A$7:$A$300,B903)&gt;0,"✓","⚠ add to Campaigns tab"))</f>
        <v/>
      </c>
      <c r="I903" s="84" t="str">
        <f aca="false">IF(C903="","",C903*IF(Settings!$B$25=Settings!$C$6,1,IF(Settings!$B$25="USD",1/INDEX(Settings!$B$29:$B$40,MONTH(A903)),INDEX(Settings!$B$29:$B$40,MONTH(A903)))))</f>
        <v/>
      </c>
    </row>
    <row r="904" customFormat="false" ht="15" hidden="false" customHeight="false" outlineLevel="0" collapsed="false">
      <c r="H904" s="0" t="str">
        <f aca="false">IF(B904="","",IF(COUNTIF(Campaigns!$A$7:$A$300,B904)&gt;0,"✓","⚠ add to Campaigns tab"))</f>
        <v/>
      </c>
      <c r="I904" s="84" t="str">
        <f aca="false">IF(C904="","",C904*IF(Settings!$B$25=Settings!$C$6,1,IF(Settings!$B$25="USD",1/INDEX(Settings!$B$29:$B$40,MONTH(A904)),INDEX(Settings!$B$29:$B$40,MONTH(A904)))))</f>
        <v/>
      </c>
    </row>
    <row r="905" customFormat="false" ht="15" hidden="false" customHeight="false" outlineLevel="0" collapsed="false">
      <c r="H905" s="0" t="str">
        <f aca="false">IF(B905="","",IF(COUNTIF(Campaigns!$A$7:$A$300,B905)&gt;0,"✓","⚠ add to Campaigns tab"))</f>
        <v/>
      </c>
      <c r="I905" s="84" t="str">
        <f aca="false">IF(C905="","",C905*IF(Settings!$B$25=Settings!$C$6,1,IF(Settings!$B$25="USD",1/INDEX(Settings!$B$29:$B$40,MONTH(A905)),INDEX(Settings!$B$29:$B$40,MONTH(A905)))))</f>
        <v/>
      </c>
    </row>
    <row r="906" customFormat="false" ht="15" hidden="false" customHeight="false" outlineLevel="0" collapsed="false">
      <c r="H906" s="0" t="str">
        <f aca="false">IF(B906="","",IF(COUNTIF(Campaigns!$A$7:$A$300,B906)&gt;0,"✓","⚠ add to Campaigns tab"))</f>
        <v/>
      </c>
      <c r="I906" s="84" t="str">
        <f aca="false">IF(C906="","",C906*IF(Settings!$B$25=Settings!$C$6,1,IF(Settings!$B$25="USD",1/INDEX(Settings!$B$29:$B$40,MONTH(A906)),INDEX(Settings!$B$29:$B$40,MONTH(A906)))))</f>
        <v/>
      </c>
    </row>
    <row r="907" customFormat="false" ht="15" hidden="false" customHeight="false" outlineLevel="0" collapsed="false">
      <c r="H907" s="0" t="str">
        <f aca="false">IF(B907="","",IF(COUNTIF(Campaigns!$A$7:$A$300,B907)&gt;0,"✓","⚠ add to Campaigns tab"))</f>
        <v/>
      </c>
      <c r="I907" s="84" t="str">
        <f aca="false">IF(C907="","",C907*IF(Settings!$B$25=Settings!$C$6,1,IF(Settings!$B$25="USD",1/INDEX(Settings!$B$29:$B$40,MONTH(A907)),INDEX(Settings!$B$29:$B$40,MONTH(A907)))))</f>
        <v/>
      </c>
    </row>
    <row r="908" customFormat="false" ht="15" hidden="false" customHeight="false" outlineLevel="0" collapsed="false">
      <c r="H908" s="0" t="str">
        <f aca="false">IF(B908="","",IF(COUNTIF(Campaigns!$A$7:$A$300,B908)&gt;0,"✓","⚠ add to Campaigns tab"))</f>
        <v/>
      </c>
      <c r="I908" s="84" t="str">
        <f aca="false">IF(C908="","",C908*IF(Settings!$B$25=Settings!$C$6,1,IF(Settings!$B$25="USD",1/INDEX(Settings!$B$29:$B$40,MONTH(A908)),INDEX(Settings!$B$29:$B$40,MONTH(A908)))))</f>
        <v/>
      </c>
    </row>
    <row r="909" customFormat="false" ht="15" hidden="false" customHeight="false" outlineLevel="0" collapsed="false">
      <c r="H909" s="0" t="str">
        <f aca="false">IF(B909="","",IF(COUNTIF(Campaigns!$A$7:$A$300,B909)&gt;0,"✓","⚠ add to Campaigns tab"))</f>
        <v/>
      </c>
      <c r="I909" s="84" t="str">
        <f aca="false">IF(C909="","",C909*IF(Settings!$B$25=Settings!$C$6,1,IF(Settings!$B$25="USD",1/INDEX(Settings!$B$29:$B$40,MONTH(A909)),INDEX(Settings!$B$29:$B$40,MONTH(A909)))))</f>
        <v/>
      </c>
    </row>
    <row r="910" customFormat="false" ht="15" hidden="false" customHeight="false" outlineLevel="0" collapsed="false">
      <c r="H910" s="0" t="str">
        <f aca="false">IF(B910="","",IF(COUNTIF(Campaigns!$A$7:$A$300,B910)&gt;0,"✓","⚠ add to Campaigns tab"))</f>
        <v/>
      </c>
      <c r="I910" s="84" t="str">
        <f aca="false">IF(C910="","",C910*IF(Settings!$B$25=Settings!$C$6,1,IF(Settings!$B$25="USD",1/INDEX(Settings!$B$29:$B$40,MONTH(A910)),INDEX(Settings!$B$29:$B$40,MONTH(A910)))))</f>
        <v/>
      </c>
    </row>
    <row r="911" customFormat="false" ht="15" hidden="false" customHeight="false" outlineLevel="0" collapsed="false">
      <c r="H911" s="0" t="str">
        <f aca="false">IF(B911="","",IF(COUNTIF(Campaigns!$A$7:$A$300,B911)&gt;0,"✓","⚠ add to Campaigns tab"))</f>
        <v/>
      </c>
      <c r="I911" s="84" t="str">
        <f aca="false">IF(C911="","",C911*IF(Settings!$B$25=Settings!$C$6,1,IF(Settings!$B$25="USD",1/INDEX(Settings!$B$29:$B$40,MONTH(A911)),INDEX(Settings!$B$29:$B$40,MONTH(A911)))))</f>
        <v/>
      </c>
    </row>
    <row r="912" customFormat="false" ht="15" hidden="false" customHeight="false" outlineLevel="0" collapsed="false">
      <c r="H912" s="0" t="str">
        <f aca="false">IF(B912="","",IF(COUNTIF(Campaigns!$A$7:$A$300,B912)&gt;0,"✓","⚠ add to Campaigns tab"))</f>
        <v/>
      </c>
      <c r="I912" s="84" t="str">
        <f aca="false">IF(C912="","",C912*IF(Settings!$B$25=Settings!$C$6,1,IF(Settings!$B$25="USD",1/INDEX(Settings!$B$29:$B$40,MONTH(A912)),INDEX(Settings!$B$29:$B$40,MONTH(A912)))))</f>
        <v/>
      </c>
    </row>
    <row r="913" customFormat="false" ht="15" hidden="false" customHeight="false" outlineLevel="0" collapsed="false">
      <c r="H913" s="0" t="str">
        <f aca="false">IF(B913="","",IF(COUNTIF(Campaigns!$A$7:$A$300,B913)&gt;0,"✓","⚠ add to Campaigns tab"))</f>
        <v/>
      </c>
      <c r="I913" s="84" t="str">
        <f aca="false">IF(C913="","",C913*IF(Settings!$B$25=Settings!$C$6,1,IF(Settings!$B$25="USD",1/INDEX(Settings!$B$29:$B$40,MONTH(A913)),INDEX(Settings!$B$29:$B$40,MONTH(A913)))))</f>
        <v/>
      </c>
    </row>
    <row r="914" customFormat="false" ht="15" hidden="false" customHeight="false" outlineLevel="0" collapsed="false">
      <c r="H914" s="0" t="str">
        <f aca="false">IF(B914="","",IF(COUNTIF(Campaigns!$A$7:$A$300,B914)&gt;0,"✓","⚠ add to Campaigns tab"))</f>
        <v/>
      </c>
      <c r="I914" s="84" t="str">
        <f aca="false">IF(C914="","",C914*IF(Settings!$B$25=Settings!$C$6,1,IF(Settings!$B$25="USD",1/INDEX(Settings!$B$29:$B$40,MONTH(A914)),INDEX(Settings!$B$29:$B$40,MONTH(A914)))))</f>
        <v/>
      </c>
    </row>
    <row r="915" customFormat="false" ht="15" hidden="false" customHeight="false" outlineLevel="0" collapsed="false">
      <c r="H915" s="0" t="str">
        <f aca="false">IF(B915="","",IF(COUNTIF(Campaigns!$A$7:$A$300,B915)&gt;0,"✓","⚠ add to Campaigns tab"))</f>
        <v/>
      </c>
      <c r="I915" s="84" t="str">
        <f aca="false">IF(C915="","",C915*IF(Settings!$B$25=Settings!$C$6,1,IF(Settings!$B$25="USD",1/INDEX(Settings!$B$29:$B$40,MONTH(A915)),INDEX(Settings!$B$29:$B$40,MONTH(A915)))))</f>
        <v/>
      </c>
    </row>
    <row r="916" customFormat="false" ht="15" hidden="false" customHeight="false" outlineLevel="0" collapsed="false">
      <c r="H916" s="0" t="str">
        <f aca="false">IF(B916="","",IF(COUNTIF(Campaigns!$A$7:$A$300,B916)&gt;0,"✓","⚠ add to Campaigns tab"))</f>
        <v/>
      </c>
      <c r="I916" s="84" t="str">
        <f aca="false">IF(C916="","",C916*IF(Settings!$B$25=Settings!$C$6,1,IF(Settings!$B$25="USD",1/INDEX(Settings!$B$29:$B$40,MONTH(A916)),INDEX(Settings!$B$29:$B$40,MONTH(A916)))))</f>
        <v/>
      </c>
    </row>
    <row r="917" customFormat="false" ht="15" hidden="false" customHeight="false" outlineLevel="0" collapsed="false">
      <c r="H917" s="0" t="str">
        <f aca="false">IF(B917="","",IF(COUNTIF(Campaigns!$A$7:$A$300,B917)&gt;0,"✓","⚠ add to Campaigns tab"))</f>
        <v/>
      </c>
      <c r="I917" s="84" t="str">
        <f aca="false">IF(C917="","",C917*IF(Settings!$B$25=Settings!$C$6,1,IF(Settings!$B$25="USD",1/INDEX(Settings!$B$29:$B$40,MONTH(A917)),INDEX(Settings!$B$29:$B$40,MONTH(A917)))))</f>
        <v/>
      </c>
    </row>
    <row r="918" customFormat="false" ht="15" hidden="false" customHeight="false" outlineLevel="0" collapsed="false">
      <c r="H918" s="0" t="str">
        <f aca="false">IF(B918="","",IF(COUNTIF(Campaigns!$A$7:$A$300,B918)&gt;0,"✓","⚠ add to Campaigns tab"))</f>
        <v/>
      </c>
      <c r="I918" s="84" t="str">
        <f aca="false">IF(C918="","",C918*IF(Settings!$B$25=Settings!$C$6,1,IF(Settings!$B$25="USD",1/INDEX(Settings!$B$29:$B$40,MONTH(A918)),INDEX(Settings!$B$29:$B$40,MONTH(A918)))))</f>
        <v/>
      </c>
    </row>
    <row r="919" customFormat="false" ht="15" hidden="false" customHeight="false" outlineLevel="0" collapsed="false">
      <c r="H919" s="0" t="str">
        <f aca="false">IF(B919="","",IF(COUNTIF(Campaigns!$A$7:$A$300,B919)&gt;0,"✓","⚠ add to Campaigns tab"))</f>
        <v/>
      </c>
      <c r="I919" s="84" t="str">
        <f aca="false">IF(C919="","",C919*IF(Settings!$B$25=Settings!$C$6,1,IF(Settings!$B$25="USD",1/INDEX(Settings!$B$29:$B$40,MONTH(A919)),INDEX(Settings!$B$29:$B$40,MONTH(A919)))))</f>
        <v/>
      </c>
    </row>
    <row r="920" customFormat="false" ht="15" hidden="false" customHeight="false" outlineLevel="0" collapsed="false">
      <c r="H920" s="0" t="str">
        <f aca="false">IF(B920="","",IF(COUNTIF(Campaigns!$A$7:$A$300,B920)&gt;0,"✓","⚠ add to Campaigns tab"))</f>
        <v/>
      </c>
      <c r="I920" s="84" t="str">
        <f aca="false">IF(C920="","",C920*IF(Settings!$B$25=Settings!$C$6,1,IF(Settings!$B$25="USD",1/INDEX(Settings!$B$29:$B$40,MONTH(A920)),INDEX(Settings!$B$29:$B$40,MONTH(A920)))))</f>
        <v/>
      </c>
    </row>
    <row r="921" customFormat="false" ht="15" hidden="false" customHeight="false" outlineLevel="0" collapsed="false">
      <c r="H921" s="0" t="str">
        <f aca="false">IF(B921="","",IF(COUNTIF(Campaigns!$A$7:$A$300,B921)&gt;0,"✓","⚠ add to Campaigns tab"))</f>
        <v/>
      </c>
      <c r="I921" s="84" t="str">
        <f aca="false">IF(C921="","",C921*IF(Settings!$B$25=Settings!$C$6,1,IF(Settings!$B$25="USD",1/INDEX(Settings!$B$29:$B$40,MONTH(A921)),INDEX(Settings!$B$29:$B$40,MONTH(A921)))))</f>
        <v/>
      </c>
    </row>
    <row r="922" customFormat="false" ht="15" hidden="false" customHeight="false" outlineLevel="0" collapsed="false">
      <c r="H922" s="0" t="str">
        <f aca="false">IF(B922="","",IF(COUNTIF(Campaigns!$A$7:$A$300,B922)&gt;0,"✓","⚠ add to Campaigns tab"))</f>
        <v/>
      </c>
      <c r="I922" s="84" t="str">
        <f aca="false">IF(C922="","",C922*IF(Settings!$B$25=Settings!$C$6,1,IF(Settings!$B$25="USD",1/INDEX(Settings!$B$29:$B$40,MONTH(A922)),INDEX(Settings!$B$29:$B$40,MONTH(A922)))))</f>
        <v/>
      </c>
    </row>
    <row r="923" customFormat="false" ht="15" hidden="false" customHeight="false" outlineLevel="0" collapsed="false">
      <c r="H923" s="0" t="str">
        <f aca="false">IF(B923="","",IF(COUNTIF(Campaigns!$A$7:$A$300,B923)&gt;0,"✓","⚠ add to Campaigns tab"))</f>
        <v/>
      </c>
      <c r="I923" s="84" t="str">
        <f aca="false">IF(C923="","",C923*IF(Settings!$B$25=Settings!$C$6,1,IF(Settings!$B$25="USD",1/INDEX(Settings!$B$29:$B$40,MONTH(A923)),INDEX(Settings!$B$29:$B$40,MONTH(A923)))))</f>
        <v/>
      </c>
    </row>
    <row r="924" customFormat="false" ht="15" hidden="false" customHeight="false" outlineLevel="0" collapsed="false">
      <c r="H924" s="0" t="str">
        <f aca="false">IF(B924="","",IF(COUNTIF(Campaigns!$A$7:$A$300,B924)&gt;0,"✓","⚠ add to Campaigns tab"))</f>
        <v/>
      </c>
      <c r="I924" s="84" t="str">
        <f aca="false">IF(C924="","",C924*IF(Settings!$B$25=Settings!$C$6,1,IF(Settings!$B$25="USD",1/INDEX(Settings!$B$29:$B$40,MONTH(A924)),INDEX(Settings!$B$29:$B$40,MONTH(A924)))))</f>
        <v/>
      </c>
    </row>
    <row r="925" customFormat="false" ht="15" hidden="false" customHeight="false" outlineLevel="0" collapsed="false">
      <c r="H925" s="0" t="str">
        <f aca="false">IF(B925="","",IF(COUNTIF(Campaigns!$A$7:$A$300,B925)&gt;0,"✓","⚠ add to Campaigns tab"))</f>
        <v/>
      </c>
      <c r="I925" s="84" t="str">
        <f aca="false">IF(C925="","",C925*IF(Settings!$B$25=Settings!$C$6,1,IF(Settings!$B$25="USD",1/INDEX(Settings!$B$29:$B$40,MONTH(A925)),INDEX(Settings!$B$29:$B$40,MONTH(A925)))))</f>
        <v/>
      </c>
    </row>
    <row r="926" customFormat="false" ht="15" hidden="false" customHeight="false" outlineLevel="0" collapsed="false">
      <c r="H926" s="0" t="str">
        <f aca="false">IF(B926="","",IF(COUNTIF(Campaigns!$A$7:$A$300,B926)&gt;0,"✓","⚠ add to Campaigns tab"))</f>
        <v/>
      </c>
      <c r="I926" s="84" t="str">
        <f aca="false">IF(C926="","",C926*IF(Settings!$B$25=Settings!$C$6,1,IF(Settings!$B$25="USD",1/INDEX(Settings!$B$29:$B$40,MONTH(A926)),INDEX(Settings!$B$29:$B$40,MONTH(A926)))))</f>
        <v/>
      </c>
    </row>
    <row r="927" customFormat="false" ht="15" hidden="false" customHeight="false" outlineLevel="0" collapsed="false">
      <c r="H927" s="0" t="str">
        <f aca="false">IF(B927="","",IF(COUNTIF(Campaigns!$A$7:$A$300,B927)&gt;0,"✓","⚠ add to Campaigns tab"))</f>
        <v/>
      </c>
      <c r="I927" s="84" t="str">
        <f aca="false">IF(C927="","",C927*IF(Settings!$B$25=Settings!$C$6,1,IF(Settings!$B$25="USD",1/INDEX(Settings!$B$29:$B$40,MONTH(A927)),INDEX(Settings!$B$29:$B$40,MONTH(A927)))))</f>
        <v/>
      </c>
    </row>
    <row r="928" customFormat="false" ht="15" hidden="false" customHeight="false" outlineLevel="0" collapsed="false">
      <c r="H928" s="0" t="str">
        <f aca="false">IF(B928="","",IF(COUNTIF(Campaigns!$A$7:$A$300,B928)&gt;0,"✓","⚠ add to Campaigns tab"))</f>
        <v/>
      </c>
      <c r="I928" s="84" t="str">
        <f aca="false">IF(C928="","",C928*IF(Settings!$B$25=Settings!$C$6,1,IF(Settings!$B$25="USD",1/INDEX(Settings!$B$29:$B$40,MONTH(A928)),INDEX(Settings!$B$29:$B$40,MONTH(A928)))))</f>
        <v/>
      </c>
    </row>
    <row r="929" customFormat="false" ht="15" hidden="false" customHeight="false" outlineLevel="0" collapsed="false">
      <c r="H929" s="0" t="str">
        <f aca="false">IF(B929="","",IF(COUNTIF(Campaigns!$A$7:$A$300,B929)&gt;0,"✓","⚠ add to Campaigns tab"))</f>
        <v/>
      </c>
      <c r="I929" s="84" t="str">
        <f aca="false">IF(C929="","",C929*IF(Settings!$B$25=Settings!$C$6,1,IF(Settings!$B$25="USD",1/INDEX(Settings!$B$29:$B$40,MONTH(A929)),INDEX(Settings!$B$29:$B$40,MONTH(A929)))))</f>
        <v/>
      </c>
    </row>
    <row r="930" customFormat="false" ht="15" hidden="false" customHeight="false" outlineLevel="0" collapsed="false">
      <c r="H930" s="0" t="str">
        <f aca="false">IF(B930="","",IF(COUNTIF(Campaigns!$A$7:$A$300,B930)&gt;0,"✓","⚠ add to Campaigns tab"))</f>
        <v/>
      </c>
      <c r="I930" s="84" t="str">
        <f aca="false">IF(C930="","",C930*IF(Settings!$B$25=Settings!$C$6,1,IF(Settings!$B$25="USD",1/INDEX(Settings!$B$29:$B$40,MONTH(A930)),INDEX(Settings!$B$29:$B$40,MONTH(A930)))))</f>
        <v/>
      </c>
    </row>
    <row r="931" customFormat="false" ht="15" hidden="false" customHeight="false" outlineLevel="0" collapsed="false">
      <c r="H931" s="0" t="str">
        <f aca="false">IF(B931="","",IF(COUNTIF(Campaigns!$A$7:$A$300,B931)&gt;0,"✓","⚠ add to Campaigns tab"))</f>
        <v/>
      </c>
      <c r="I931" s="84" t="str">
        <f aca="false">IF(C931="","",C931*IF(Settings!$B$25=Settings!$C$6,1,IF(Settings!$B$25="USD",1/INDEX(Settings!$B$29:$B$40,MONTH(A931)),INDEX(Settings!$B$29:$B$40,MONTH(A931)))))</f>
        <v/>
      </c>
    </row>
    <row r="932" customFormat="false" ht="15" hidden="false" customHeight="false" outlineLevel="0" collapsed="false">
      <c r="H932" s="0" t="str">
        <f aca="false">IF(B932="","",IF(COUNTIF(Campaigns!$A$7:$A$300,B932)&gt;0,"✓","⚠ add to Campaigns tab"))</f>
        <v/>
      </c>
      <c r="I932" s="84" t="str">
        <f aca="false">IF(C932="","",C932*IF(Settings!$B$25=Settings!$C$6,1,IF(Settings!$B$25="USD",1/INDEX(Settings!$B$29:$B$40,MONTH(A932)),INDEX(Settings!$B$29:$B$40,MONTH(A932)))))</f>
        <v/>
      </c>
    </row>
    <row r="933" customFormat="false" ht="15" hidden="false" customHeight="false" outlineLevel="0" collapsed="false">
      <c r="H933" s="0" t="str">
        <f aca="false">IF(B933="","",IF(COUNTIF(Campaigns!$A$7:$A$300,B933)&gt;0,"✓","⚠ add to Campaigns tab"))</f>
        <v/>
      </c>
      <c r="I933" s="84" t="str">
        <f aca="false">IF(C933="","",C933*IF(Settings!$B$25=Settings!$C$6,1,IF(Settings!$B$25="USD",1/INDEX(Settings!$B$29:$B$40,MONTH(A933)),INDEX(Settings!$B$29:$B$40,MONTH(A933)))))</f>
        <v/>
      </c>
    </row>
    <row r="934" customFormat="false" ht="15" hidden="false" customHeight="false" outlineLevel="0" collapsed="false">
      <c r="H934" s="0" t="str">
        <f aca="false">IF(B934="","",IF(COUNTIF(Campaigns!$A$7:$A$300,B934)&gt;0,"✓","⚠ add to Campaigns tab"))</f>
        <v/>
      </c>
      <c r="I934" s="84" t="str">
        <f aca="false">IF(C934="","",C934*IF(Settings!$B$25=Settings!$C$6,1,IF(Settings!$B$25="USD",1/INDEX(Settings!$B$29:$B$40,MONTH(A934)),INDEX(Settings!$B$29:$B$40,MONTH(A934)))))</f>
        <v/>
      </c>
    </row>
    <row r="935" customFormat="false" ht="15" hidden="false" customHeight="false" outlineLevel="0" collapsed="false">
      <c r="H935" s="0" t="str">
        <f aca="false">IF(B935="","",IF(COUNTIF(Campaigns!$A$7:$A$300,B935)&gt;0,"✓","⚠ add to Campaigns tab"))</f>
        <v/>
      </c>
      <c r="I935" s="84" t="str">
        <f aca="false">IF(C935="","",C935*IF(Settings!$B$25=Settings!$C$6,1,IF(Settings!$B$25="USD",1/INDEX(Settings!$B$29:$B$40,MONTH(A935)),INDEX(Settings!$B$29:$B$40,MONTH(A935)))))</f>
        <v/>
      </c>
    </row>
    <row r="936" customFormat="false" ht="15" hidden="false" customHeight="false" outlineLevel="0" collapsed="false">
      <c r="H936" s="0" t="str">
        <f aca="false">IF(B936="","",IF(COUNTIF(Campaigns!$A$7:$A$300,B936)&gt;0,"✓","⚠ add to Campaigns tab"))</f>
        <v/>
      </c>
      <c r="I936" s="84" t="str">
        <f aca="false">IF(C936="","",C936*IF(Settings!$B$25=Settings!$C$6,1,IF(Settings!$B$25="USD",1/INDEX(Settings!$B$29:$B$40,MONTH(A936)),INDEX(Settings!$B$29:$B$40,MONTH(A936)))))</f>
        <v/>
      </c>
    </row>
    <row r="937" customFormat="false" ht="15" hidden="false" customHeight="false" outlineLevel="0" collapsed="false">
      <c r="H937" s="0" t="str">
        <f aca="false">IF(B937="","",IF(COUNTIF(Campaigns!$A$7:$A$300,B937)&gt;0,"✓","⚠ add to Campaigns tab"))</f>
        <v/>
      </c>
      <c r="I937" s="84" t="str">
        <f aca="false">IF(C937="","",C937*IF(Settings!$B$25=Settings!$C$6,1,IF(Settings!$B$25="USD",1/INDEX(Settings!$B$29:$B$40,MONTH(A937)),INDEX(Settings!$B$29:$B$40,MONTH(A937)))))</f>
        <v/>
      </c>
    </row>
    <row r="938" customFormat="false" ht="15" hidden="false" customHeight="false" outlineLevel="0" collapsed="false">
      <c r="H938" s="0" t="str">
        <f aca="false">IF(B938="","",IF(COUNTIF(Campaigns!$A$7:$A$300,B938)&gt;0,"✓","⚠ add to Campaigns tab"))</f>
        <v/>
      </c>
      <c r="I938" s="84" t="str">
        <f aca="false">IF(C938="","",C938*IF(Settings!$B$25=Settings!$C$6,1,IF(Settings!$B$25="USD",1/INDEX(Settings!$B$29:$B$40,MONTH(A938)),INDEX(Settings!$B$29:$B$40,MONTH(A938)))))</f>
        <v/>
      </c>
    </row>
    <row r="939" customFormat="false" ht="15" hidden="false" customHeight="false" outlineLevel="0" collapsed="false">
      <c r="H939" s="0" t="str">
        <f aca="false">IF(B939="","",IF(COUNTIF(Campaigns!$A$7:$A$300,B939)&gt;0,"✓","⚠ add to Campaigns tab"))</f>
        <v/>
      </c>
      <c r="I939" s="84" t="str">
        <f aca="false">IF(C939="","",C939*IF(Settings!$B$25=Settings!$C$6,1,IF(Settings!$B$25="USD",1/INDEX(Settings!$B$29:$B$40,MONTH(A939)),INDEX(Settings!$B$29:$B$40,MONTH(A939)))))</f>
        <v/>
      </c>
    </row>
    <row r="940" customFormat="false" ht="15" hidden="false" customHeight="false" outlineLevel="0" collapsed="false">
      <c r="H940" s="0" t="str">
        <f aca="false">IF(B940="","",IF(COUNTIF(Campaigns!$A$7:$A$300,B940)&gt;0,"✓","⚠ add to Campaigns tab"))</f>
        <v/>
      </c>
      <c r="I940" s="84" t="str">
        <f aca="false">IF(C940="","",C940*IF(Settings!$B$25=Settings!$C$6,1,IF(Settings!$B$25="USD",1/INDEX(Settings!$B$29:$B$40,MONTH(A940)),INDEX(Settings!$B$29:$B$40,MONTH(A940)))))</f>
        <v/>
      </c>
    </row>
    <row r="941" customFormat="false" ht="15" hidden="false" customHeight="false" outlineLevel="0" collapsed="false">
      <c r="H941" s="0" t="str">
        <f aca="false">IF(B941="","",IF(COUNTIF(Campaigns!$A$7:$A$300,B941)&gt;0,"✓","⚠ add to Campaigns tab"))</f>
        <v/>
      </c>
      <c r="I941" s="84" t="str">
        <f aca="false">IF(C941="","",C941*IF(Settings!$B$25=Settings!$C$6,1,IF(Settings!$B$25="USD",1/INDEX(Settings!$B$29:$B$40,MONTH(A941)),INDEX(Settings!$B$29:$B$40,MONTH(A941)))))</f>
        <v/>
      </c>
    </row>
    <row r="942" customFormat="false" ht="15" hidden="false" customHeight="false" outlineLevel="0" collapsed="false">
      <c r="H942" s="0" t="str">
        <f aca="false">IF(B942="","",IF(COUNTIF(Campaigns!$A$7:$A$300,B942)&gt;0,"✓","⚠ add to Campaigns tab"))</f>
        <v/>
      </c>
      <c r="I942" s="84" t="str">
        <f aca="false">IF(C942="","",C942*IF(Settings!$B$25=Settings!$C$6,1,IF(Settings!$B$25="USD",1/INDEX(Settings!$B$29:$B$40,MONTH(A942)),INDEX(Settings!$B$29:$B$40,MONTH(A942)))))</f>
        <v/>
      </c>
    </row>
    <row r="943" customFormat="false" ht="15" hidden="false" customHeight="false" outlineLevel="0" collapsed="false">
      <c r="H943" s="0" t="str">
        <f aca="false">IF(B943="","",IF(COUNTIF(Campaigns!$A$7:$A$300,B943)&gt;0,"✓","⚠ add to Campaigns tab"))</f>
        <v/>
      </c>
      <c r="I943" s="84" t="str">
        <f aca="false">IF(C943="","",C943*IF(Settings!$B$25=Settings!$C$6,1,IF(Settings!$B$25="USD",1/INDEX(Settings!$B$29:$B$40,MONTH(A943)),INDEX(Settings!$B$29:$B$40,MONTH(A943)))))</f>
        <v/>
      </c>
    </row>
    <row r="944" customFormat="false" ht="15" hidden="false" customHeight="false" outlineLevel="0" collapsed="false">
      <c r="H944" s="0" t="str">
        <f aca="false">IF(B944="","",IF(COUNTIF(Campaigns!$A$7:$A$300,B944)&gt;0,"✓","⚠ add to Campaigns tab"))</f>
        <v/>
      </c>
      <c r="I944" s="84" t="str">
        <f aca="false">IF(C944="","",C944*IF(Settings!$B$25=Settings!$C$6,1,IF(Settings!$B$25="USD",1/INDEX(Settings!$B$29:$B$40,MONTH(A944)),INDEX(Settings!$B$29:$B$40,MONTH(A944)))))</f>
        <v/>
      </c>
    </row>
    <row r="945" customFormat="false" ht="15" hidden="false" customHeight="false" outlineLevel="0" collapsed="false">
      <c r="H945" s="0" t="str">
        <f aca="false">IF(B945="","",IF(COUNTIF(Campaigns!$A$7:$A$300,B945)&gt;0,"✓","⚠ add to Campaigns tab"))</f>
        <v/>
      </c>
      <c r="I945" s="84" t="str">
        <f aca="false">IF(C945="","",C945*IF(Settings!$B$25=Settings!$C$6,1,IF(Settings!$B$25="USD",1/INDEX(Settings!$B$29:$B$40,MONTH(A945)),INDEX(Settings!$B$29:$B$40,MONTH(A945)))))</f>
        <v/>
      </c>
    </row>
    <row r="946" customFormat="false" ht="15" hidden="false" customHeight="false" outlineLevel="0" collapsed="false">
      <c r="H946" s="0" t="str">
        <f aca="false">IF(B946="","",IF(COUNTIF(Campaigns!$A$7:$A$300,B946)&gt;0,"✓","⚠ add to Campaigns tab"))</f>
        <v/>
      </c>
      <c r="I946" s="84" t="str">
        <f aca="false">IF(C946="","",C946*IF(Settings!$B$25=Settings!$C$6,1,IF(Settings!$B$25="USD",1/INDEX(Settings!$B$29:$B$40,MONTH(A946)),INDEX(Settings!$B$29:$B$40,MONTH(A946)))))</f>
        <v/>
      </c>
    </row>
    <row r="947" customFormat="false" ht="15" hidden="false" customHeight="false" outlineLevel="0" collapsed="false">
      <c r="H947" s="0" t="str">
        <f aca="false">IF(B947="","",IF(COUNTIF(Campaigns!$A$7:$A$300,B947)&gt;0,"✓","⚠ add to Campaigns tab"))</f>
        <v/>
      </c>
      <c r="I947" s="84" t="str">
        <f aca="false">IF(C947="","",C947*IF(Settings!$B$25=Settings!$C$6,1,IF(Settings!$B$25="USD",1/INDEX(Settings!$B$29:$B$40,MONTH(A947)),INDEX(Settings!$B$29:$B$40,MONTH(A947)))))</f>
        <v/>
      </c>
    </row>
    <row r="948" customFormat="false" ht="15" hidden="false" customHeight="false" outlineLevel="0" collapsed="false">
      <c r="H948" s="0" t="str">
        <f aca="false">IF(B948="","",IF(COUNTIF(Campaigns!$A$7:$A$300,B948)&gt;0,"✓","⚠ add to Campaigns tab"))</f>
        <v/>
      </c>
      <c r="I948" s="84" t="str">
        <f aca="false">IF(C948="","",C948*IF(Settings!$B$25=Settings!$C$6,1,IF(Settings!$B$25="USD",1/INDEX(Settings!$B$29:$B$40,MONTH(A948)),INDEX(Settings!$B$29:$B$40,MONTH(A948)))))</f>
        <v/>
      </c>
    </row>
    <row r="949" customFormat="false" ht="15" hidden="false" customHeight="false" outlineLevel="0" collapsed="false">
      <c r="H949" s="0" t="str">
        <f aca="false">IF(B949="","",IF(COUNTIF(Campaigns!$A$7:$A$300,B949)&gt;0,"✓","⚠ add to Campaigns tab"))</f>
        <v/>
      </c>
      <c r="I949" s="84" t="str">
        <f aca="false">IF(C949="","",C949*IF(Settings!$B$25=Settings!$C$6,1,IF(Settings!$B$25="USD",1/INDEX(Settings!$B$29:$B$40,MONTH(A949)),INDEX(Settings!$B$29:$B$40,MONTH(A949)))))</f>
        <v/>
      </c>
    </row>
    <row r="950" customFormat="false" ht="15" hidden="false" customHeight="false" outlineLevel="0" collapsed="false">
      <c r="H950" s="0" t="str">
        <f aca="false">IF(B950="","",IF(COUNTIF(Campaigns!$A$7:$A$300,B950)&gt;0,"✓","⚠ add to Campaigns tab"))</f>
        <v/>
      </c>
      <c r="I950" s="84" t="str">
        <f aca="false">IF(C950="","",C950*IF(Settings!$B$25=Settings!$C$6,1,IF(Settings!$B$25="USD",1/INDEX(Settings!$B$29:$B$40,MONTH(A950)),INDEX(Settings!$B$29:$B$40,MONTH(A950)))))</f>
        <v/>
      </c>
    </row>
    <row r="951" customFormat="false" ht="15" hidden="false" customHeight="false" outlineLevel="0" collapsed="false">
      <c r="H951" s="0" t="str">
        <f aca="false">IF(B951="","",IF(COUNTIF(Campaigns!$A$7:$A$300,B951)&gt;0,"✓","⚠ add to Campaigns tab"))</f>
        <v/>
      </c>
      <c r="I951" s="84" t="str">
        <f aca="false">IF(C951="","",C951*IF(Settings!$B$25=Settings!$C$6,1,IF(Settings!$B$25="USD",1/INDEX(Settings!$B$29:$B$40,MONTH(A951)),INDEX(Settings!$B$29:$B$40,MONTH(A951)))))</f>
        <v/>
      </c>
    </row>
    <row r="952" customFormat="false" ht="15" hidden="false" customHeight="false" outlineLevel="0" collapsed="false">
      <c r="H952" s="0" t="str">
        <f aca="false">IF(B952="","",IF(COUNTIF(Campaigns!$A$7:$A$300,B952)&gt;0,"✓","⚠ add to Campaigns tab"))</f>
        <v/>
      </c>
      <c r="I952" s="84" t="str">
        <f aca="false">IF(C952="","",C952*IF(Settings!$B$25=Settings!$C$6,1,IF(Settings!$B$25="USD",1/INDEX(Settings!$B$29:$B$40,MONTH(A952)),INDEX(Settings!$B$29:$B$40,MONTH(A952)))))</f>
        <v/>
      </c>
    </row>
    <row r="953" customFormat="false" ht="15" hidden="false" customHeight="false" outlineLevel="0" collapsed="false">
      <c r="H953" s="0" t="str">
        <f aca="false">IF(B953="","",IF(COUNTIF(Campaigns!$A$7:$A$300,B953)&gt;0,"✓","⚠ add to Campaigns tab"))</f>
        <v/>
      </c>
      <c r="I953" s="84" t="str">
        <f aca="false">IF(C953="","",C953*IF(Settings!$B$25=Settings!$C$6,1,IF(Settings!$B$25="USD",1/INDEX(Settings!$B$29:$B$40,MONTH(A953)),INDEX(Settings!$B$29:$B$40,MONTH(A953)))))</f>
        <v/>
      </c>
    </row>
    <row r="954" customFormat="false" ht="15" hidden="false" customHeight="false" outlineLevel="0" collapsed="false">
      <c r="H954" s="0" t="str">
        <f aca="false">IF(B954="","",IF(COUNTIF(Campaigns!$A$7:$A$300,B954)&gt;0,"✓","⚠ add to Campaigns tab"))</f>
        <v/>
      </c>
      <c r="I954" s="84" t="str">
        <f aca="false">IF(C954="","",C954*IF(Settings!$B$25=Settings!$C$6,1,IF(Settings!$B$25="USD",1/INDEX(Settings!$B$29:$B$40,MONTH(A954)),INDEX(Settings!$B$29:$B$40,MONTH(A954)))))</f>
        <v/>
      </c>
    </row>
    <row r="955" customFormat="false" ht="15" hidden="false" customHeight="false" outlineLevel="0" collapsed="false">
      <c r="H955" s="0" t="str">
        <f aca="false">IF(B955="","",IF(COUNTIF(Campaigns!$A$7:$A$300,B955)&gt;0,"✓","⚠ add to Campaigns tab"))</f>
        <v/>
      </c>
      <c r="I955" s="84" t="str">
        <f aca="false">IF(C955="","",C955*IF(Settings!$B$25=Settings!$C$6,1,IF(Settings!$B$25="USD",1/INDEX(Settings!$B$29:$B$40,MONTH(A955)),INDEX(Settings!$B$29:$B$40,MONTH(A955)))))</f>
        <v/>
      </c>
    </row>
    <row r="956" customFormat="false" ht="15" hidden="false" customHeight="false" outlineLevel="0" collapsed="false">
      <c r="H956" s="0" t="str">
        <f aca="false">IF(B956="","",IF(COUNTIF(Campaigns!$A$7:$A$300,B956)&gt;0,"✓","⚠ add to Campaigns tab"))</f>
        <v/>
      </c>
      <c r="I956" s="84" t="str">
        <f aca="false">IF(C956="","",C956*IF(Settings!$B$25=Settings!$C$6,1,IF(Settings!$B$25="USD",1/INDEX(Settings!$B$29:$B$40,MONTH(A956)),INDEX(Settings!$B$29:$B$40,MONTH(A956)))))</f>
        <v/>
      </c>
    </row>
    <row r="957" customFormat="false" ht="15" hidden="false" customHeight="false" outlineLevel="0" collapsed="false">
      <c r="H957" s="0" t="str">
        <f aca="false">IF(B957="","",IF(COUNTIF(Campaigns!$A$7:$A$300,B957)&gt;0,"✓","⚠ add to Campaigns tab"))</f>
        <v/>
      </c>
      <c r="I957" s="84" t="str">
        <f aca="false">IF(C957="","",C957*IF(Settings!$B$25=Settings!$C$6,1,IF(Settings!$B$25="USD",1/INDEX(Settings!$B$29:$B$40,MONTH(A957)),INDEX(Settings!$B$29:$B$40,MONTH(A957)))))</f>
        <v/>
      </c>
    </row>
    <row r="958" customFormat="false" ht="15" hidden="false" customHeight="false" outlineLevel="0" collapsed="false">
      <c r="H958" s="0" t="str">
        <f aca="false">IF(B958="","",IF(COUNTIF(Campaigns!$A$7:$A$300,B958)&gt;0,"✓","⚠ add to Campaigns tab"))</f>
        <v/>
      </c>
      <c r="I958" s="84" t="str">
        <f aca="false">IF(C958="","",C958*IF(Settings!$B$25=Settings!$C$6,1,IF(Settings!$B$25="USD",1/INDEX(Settings!$B$29:$B$40,MONTH(A958)),INDEX(Settings!$B$29:$B$40,MONTH(A958)))))</f>
        <v/>
      </c>
    </row>
    <row r="959" customFormat="false" ht="15" hidden="false" customHeight="false" outlineLevel="0" collapsed="false">
      <c r="H959" s="0" t="str">
        <f aca="false">IF(B959="","",IF(COUNTIF(Campaigns!$A$7:$A$300,B959)&gt;0,"✓","⚠ add to Campaigns tab"))</f>
        <v/>
      </c>
      <c r="I959" s="84" t="str">
        <f aca="false">IF(C959="","",C959*IF(Settings!$B$25=Settings!$C$6,1,IF(Settings!$B$25="USD",1/INDEX(Settings!$B$29:$B$40,MONTH(A959)),INDEX(Settings!$B$29:$B$40,MONTH(A959)))))</f>
        <v/>
      </c>
    </row>
    <row r="960" customFormat="false" ht="15" hidden="false" customHeight="false" outlineLevel="0" collapsed="false">
      <c r="H960" s="0" t="str">
        <f aca="false">IF(B960="","",IF(COUNTIF(Campaigns!$A$7:$A$300,B960)&gt;0,"✓","⚠ add to Campaigns tab"))</f>
        <v/>
      </c>
      <c r="I960" s="84" t="str">
        <f aca="false">IF(C960="","",C960*IF(Settings!$B$25=Settings!$C$6,1,IF(Settings!$B$25="USD",1/INDEX(Settings!$B$29:$B$40,MONTH(A960)),INDEX(Settings!$B$29:$B$40,MONTH(A960)))))</f>
        <v/>
      </c>
    </row>
    <row r="961" customFormat="false" ht="15" hidden="false" customHeight="false" outlineLevel="0" collapsed="false">
      <c r="H961" s="0" t="str">
        <f aca="false">IF(B961="","",IF(COUNTIF(Campaigns!$A$7:$A$300,B961)&gt;0,"✓","⚠ add to Campaigns tab"))</f>
        <v/>
      </c>
      <c r="I961" s="84" t="str">
        <f aca="false">IF(C961="","",C961*IF(Settings!$B$25=Settings!$C$6,1,IF(Settings!$B$25="USD",1/INDEX(Settings!$B$29:$B$40,MONTH(A961)),INDEX(Settings!$B$29:$B$40,MONTH(A961)))))</f>
        <v/>
      </c>
    </row>
    <row r="962" customFormat="false" ht="15" hidden="false" customHeight="false" outlineLevel="0" collapsed="false">
      <c r="H962" s="0" t="str">
        <f aca="false">IF(B962="","",IF(COUNTIF(Campaigns!$A$7:$A$300,B962)&gt;0,"✓","⚠ add to Campaigns tab"))</f>
        <v/>
      </c>
      <c r="I962" s="84" t="str">
        <f aca="false">IF(C962="","",C962*IF(Settings!$B$25=Settings!$C$6,1,IF(Settings!$B$25="USD",1/INDEX(Settings!$B$29:$B$40,MONTH(A962)),INDEX(Settings!$B$29:$B$40,MONTH(A962)))))</f>
        <v/>
      </c>
    </row>
    <row r="963" customFormat="false" ht="15" hidden="false" customHeight="false" outlineLevel="0" collapsed="false">
      <c r="H963" s="0" t="str">
        <f aca="false">IF(B963="","",IF(COUNTIF(Campaigns!$A$7:$A$300,B963)&gt;0,"✓","⚠ add to Campaigns tab"))</f>
        <v/>
      </c>
      <c r="I963" s="84" t="str">
        <f aca="false">IF(C963="","",C963*IF(Settings!$B$25=Settings!$C$6,1,IF(Settings!$B$25="USD",1/INDEX(Settings!$B$29:$B$40,MONTH(A963)),INDEX(Settings!$B$29:$B$40,MONTH(A963)))))</f>
        <v/>
      </c>
    </row>
    <row r="964" customFormat="false" ht="15" hidden="false" customHeight="false" outlineLevel="0" collapsed="false">
      <c r="H964" s="0" t="str">
        <f aca="false">IF(B964="","",IF(COUNTIF(Campaigns!$A$7:$A$300,B964)&gt;0,"✓","⚠ add to Campaigns tab"))</f>
        <v/>
      </c>
      <c r="I964" s="84" t="str">
        <f aca="false">IF(C964="","",C964*IF(Settings!$B$25=Settings!$C$6,1,IF(Settings!$B$25="USD",1/INDEX(Settings!$B$29:$B$40,MONTH(A964)),INDEX(Settings!$B$29:$B$40,MONTH(A964)))))</f>
        <v/>
      </c>
    </row>
    <row r="965" customFormat="false" ht="15" hidden="false" customHeight="false" outlineLevel="0" collapsed="false">
      <c r="H965" s="0" t="str">
        <f aca="false">IF(B965="","",IF(COUNTIF(Campaigns!$A$7:$A$300,B965)&gt;0,"✓","⚠ add to Campaigns tab"))</f>
        <v/>
      </c>
      <c r="I965" s="84" t="str">
        <f aca="false">IF(C965="","",C965*IF(Settings!$B$25=Settings!$C$6,1,IF(Settings!$B$25="USD",1/INDEX(Settings!$B$29:$B$40,MONTH(A965)),INDEX(Settings!$B$29:$B$40,MONTH(A965)))))</f>
        <v/>
      </c>
    </row>
    <row r="966" customFormat="false" ht="15" hidden="false" customHeight="false" outlineLevel="0" collapsed="false">
      <c r="H966" s="0" t="str">
        <f aca="false">IF(B966="","",IF(COUNTIF(Campaigns!$A$7:$A$300,B966)&gt;0,"✓","⚠ add to Campaigns tab"))</f>
        <v/>
      </c>
      <c r="I966" s="84" t="str">
        <f aca="false">IF(C966="","",C966*IF(Settings!$B$25=Settings!$C$6,1,IF(Settings!$B$25="USD",1/INDEX(Settings!$B$29:$B$40,MONTH(A966)),INDEX(Settings!$B$29:$B$40,MONTH(A966)))))</f>
        <v/>
      </c>
    </row>
    <row r="967" customFormat="false" ht="15" hidden="false" customHeight="false" outlineLevel="0" collapsed="false">
      <c r="H967" s="0" t="str">
        <f aca="false">IF(B967="","",IF(COUNTIF(Campaigns!$A$7:$A$300,B967)&gt;0,"✓","⚠ add to Campaigns tab"))</f>
        <v/>
      </c>
      <c r="I967" s="84" t="str">
        <f aca="false">IF(C967="","",C967*IF(Settings!$B$25=Settings!$C$6,1,IF(Settings!$B$25="USD",1/INDEX(Settings!$B$29:$B$40,MONTH(A967)),INDEX(Settings!$B$29:$B$40,MONTH(A967)))))</f>
        <v/>
      </c>
    </row>
    <row r="968" customFormat="false" ht="15" hidden="false" customHeight="false" outlineLevel="0" collapsed="false">
      <c r="H968" s="0" t="str">
        <f aca="false">IF(B968="","",IF(COUNTIF(Campaigns!$A$7:$A$300,B968)&gt;0,"✓","⚠ add to Campaigns tab"))</f>
        <v/>
      </c>
      <c r="I968" s="84" t="str">
        <f aca="false">IF(C968="","",C968*IF(Settings!$B$25=Settings!$C$6,1,IF(Settings!$B$25="USD",1/INDEX(Settings!$B$29:$B$40,MONTH(A968)),INDEX(Settings!$B$29:$B$40,MONTH(A968)))))</f>
        <v/>
      </c>
    </row>
    <row r="969" customFormat="false" ht="15" hidden="false" customHeight="false" outlineLevel="0" collapsed="false">
      <c r="H969" s="0" t="str">
        <f aca="false">IF(B969="","",IF(COUNTIF(Campaigns!$A$7:$A$300,B969)&gt;0,"✓","⚠ add to Campaigns tab"))</f>
        <v/>
      </c>
      <c r="I969" s="84" t="str">
        <f aca="false">IF(C969="","",C969*IF(Settings!$B$25=Settings!$C$6,1,IF(Settings!$B$25="USD",1/INDEX(Settings!$B$29:$B$40,MONTH(A969)),INDEX(Settings!$B$29:$B$40,MONTH(A969)))))</f>
        <v/>
      </c>
    </row>
    <row r="970" customFormat="false" ht="15" hidden="false" customHeight="false" outlineLevel="0" collapsed="false">
      <c r="H970" s="0" t="str">
        <f aca="false">IF(B970="","",IF(COUNTIF(Campaigns!$A$7:$A$300,B970)&gt;0,"✓","⚠ add to Campaigns tab"))</f>
        <v/>
      </c>
      <c r="I970" s="84" t="str">
        <f aca="false">IF(C970="","",C970*IF(Settings!$B$25=Settings!$C$6,1,IF(Settings!$B$25="USD",1/INDEX(Settings!$B$29:$B$40,MONTH(A970)),INDEX(Settings!$B$29:$B$40,MONTH(A970)))))</f>
        <v/>
      </c>
    </row>
    <row r="971" customFormat="false" ht="15" hidden="false" customHeight="false" outlineLevel="0" collapsed="false">
      <c r="H971" s="0" t="str">
        <f aca="false">IF(B971="","",IF(COUNTIF(Campaigns!$A$7:$A$300,B971)&gt;0,"✓","⚠ add to Campaigns tab"))</f>
        <v/>
      </c>
      <c r="I971" s="84" t="str">
        <f aca="false">IF(C971="","",C971*IF(Settings!$B$25=Settings!$C$6,1,IF(Settings!$B$25="USD",1/INDEX(Settings!$B$29:$B$40,MONTH(A971)),INDEX(Settings!$B$29:$B$40,MONTH(A971)))))</f>
        <v/>
      </c>
    </row>
    <row r="972" customFormat="false" ht="15" hidden="false" customHeight="false" outlineLevel="0" collapsed="false">
      <c r="H972" s="0" t="str">
        <f aca="false">IF(B972="","",IF(COUNTIF(Campaigns!$A$7:$A$300,B972)&gt;0,"✓","⚠ add to Campaigns tab"))</f>
        <v/>
      </c>
      <c r="I972" s="84" t="str">
        <f aca="false">IF(C972="","",C972*IF(Settings!$B$25=Settings!$C$6,1,IF(Settings!$B$25="USD",1/INDEX(Settings!$B$29:$B$40,MONTH(A972)),INDEX(Settings!$B$29:$B$40,MONTH(A972)))))</f>
        <v/>
      </c>
    </row>
    <row r="973" customFormat="false" ht="15" hidden="false" customHeight="false" outlineLevel="0" collapsed="false">
      <c r="H973" s="0" t="str">
        <f aca="false">IF(B973="","",IF(COUNTIF(Campaigns!$A$7:$A$300,B973)&gt;0,"✓","⚠ add to Campaigns tab"))</f>
        <v/>
      </c>
      <c r="I973" s="84" t="str">
        <f aca="false">IF(C973="","",C973*IF(Settings!$B$25=Settings!$C$6,1,IF(Settings!$B$25="USD",1/INDEX(Settings!$B$29:$B$40,MONTH(A973)),INDEX(Settings!$B$29:$B$40,MONTH(A973)))))</f>
        <v/>
      </c>
    </row>
    <row r="974" customFormat="false" ht="15" hidden="false" customHeight="false" outlineLevel="0" collapsed="false">
      <c r="H974" s="0" t="str">
        <f aca="false">IF(B974="","",IF(COUNTIF(Campaigns!$A$7:$A$300,B974)&gt;0,"✓","⚠ add to Campaigns tab"))</f>
        <v/>
      </c>
      <c r="I974" s="84" t="str">
        <f aca="false">IF(C974="","",C974*IF(Settings!$B$25=Settings!$C$6,1,IF(Settings!$B$25="USD",1/INDEX(Settings!$B$29:$B$40,MONTH(A974)),INDEX(Settings!$B$29:$B$40,MONTH(A974)))))</f>
        <v/>
      </c>
    </row>
    <row r="975" customFormat="false" ht="15" hidden="false" customHeight="false" outlineLevel="0" collapsed="false">
      <c r="H975" s="0" t="str">
        <f aca="false">IF(B975="","",IF(COUNTIF(Campaigns!$A$7:$A$300,B975)&gt;0,"✓","⚠ add to Campaigns tab"))</f>
        <v/>
      </c>
      <c r="I975" s="84" t="str">
        <f aca="false">IF(C975="","",C975*IF(Settings!$B$25=Settings!$C$6,1,IF(Settings!$B$25="USD",1/INDEX(Settings!$B$29:$B$40,MONTH(A975)),INDEX(Settings!$B$29:$B$40,MONTH(A975)))))</f>
        <v/>
      </c>
    </row>
    <row r="976" customFormat="false" ht="15" hidden="false" customHeight="false" outlineLevel="0" collapsed="false">
      <c r="H976" s="0" t="str">
        <f aca="false">IF(B976="","",IF(COUNTIF(Campaigns!$A$7:$A$300,B976)&gt;0,"✓","⚠ add to Campaigns tab"))</f>
        <v/>
      </c>
      <c r="I976" s="84" t="str">
        <f aca="false">IF(C976="","",C976*IF(Settings!$B$25=Settings!$C$6,1,IF(Settings!$B$25="USD",1/INDEX(Settings!$B$29:$B$40,MONTH(A976)),INDEX(Settings!$B$29:$B$40,MONTH(A976)))))</f>
        <v/>
      </c>
    </row>
    <row r="977" customFormat="false" ht="15" hidden="false" customHeight="false" outlineLevel="0" collapsed="false">
      <c r="H977" s="0" t="str">
        <f aca="false">IF(B977="","",IF(COUNTIF(Campaigns!$A$7:$A$300,B977)&gt;0,"✓","⚠ add to Campaigns tab"))</f>
        <v/>
      </c>
      <c r="I977" s="84" t="str">
        <f aca="false">IF(C977="","",C977*IF(Settings!$B$25=Settings!$C$6,1,IF(Settings!$B$25="USD",1/INDEX(Settings!$B$29:$B$40,MONTH(A977)),INDEX(Settings!$B$29:$B$40,MONTH(A977)))))</f>
        <v/>
      </c>
    </row>
    <row r="978" customFormat="false" ht="15" hidden="false" customHeight="false" outlineLevel="0" collapsed="false">
      <c r="H978" s="0" t="str">
        <f aca="false">IF(B978="","",IF(COUNTIF(Campaigns!$A$7:$A$300,B978)&gt;0,"✓","⚠ add to Campaigns tab"))</f>
        <v/>
      </c>
      <c r="I978" s="84" t="str">
        <f aca="false">IF(C978="","",C978*IF(Settings!$B$25=Settings!$C$6,1,IF(Settings!$B$25="USD",1/INDEX(Settings!$B$29:$B$40,MONTH(A978)),INDEX(Settings!$B$29:$B$40,MONTH(A978)))))</f>
        <v/>
      </c>
    </row>
    <row r="979" customFormat="false" ht="15" hidden="false" customHeight="false" outlineLevel="0" collapsed="false">
      <c r="H979" s="0" t="str">
        <f aca="false">IF(B979="","",IF(COUNTIF(Campaigns!$A$7:$A$300,B979)&gt;0,"✓","⚠ add to Campaigns tab"))</f>
        <v/>
      </c>
      <c r="I979" s="84" t="str">
        <f aca="false">IF(C979="","",C979*IF(Settings!$B$25=Settings!$C$6,1,IF(Settings!$B$25="USD",1/INDEX(Settings!$B$29:$B$40,MONTH(A979)),INDEX(Settings!$B$29:$B$40,MONTH(A979)))))</f>
        <v/>
      </c>
    </row>
    <row r="980" customFormat="false" ht="15" hidden="false" customHeight="false" outlineLevel="0" collapsed="false">
      <c r="H980" s="0" t="str">
        <f aca="false">IF(B980="","",IF(COUNTIF(Campaigns!$A$7:$A$300,B980)&gt;0,"✓","⚠ add to Campaigns tab"))</f>
        <v/>
      </c>
      <c r="I980" s="84" t="str">
        <f aca="false">IF(C980="","",C980*IF(Settings!$B$25=Settings!$C$6,1,IF(Settings!$B$25="USD",1/INDEX(Settings!$B$29:$B$40,MONTH(A980)),INDEX(Settings!$B$29:$B$40,MONTH(A980)))))</f>
        <v/>
      </c>
    </row>
    <row r="981" customFormat="false" ht="15" hidden="false" customHeight="false" outlineLevel="0" collapsed="false">
      <c r="H981" s="0" t="str">
        <f aca="false">IF(B981="","",IF(COUNTIF(Campaigns!$A$7:$A$300,B981)&gt;0,"✓","⚠ add to Campaigns tab"))</f>
        <v/>
      </c>
      <c r="I981" s="84" t="str">
        <f aca="false">IF(C981="","",C981*IF(Settings!$B$25=Settings!$C$6,1,IF(Settings!$B$25="USD",1/INDEX(Settings!$B$29:$B$40,MONTH(A981)),INDEX(Settings!$B$29:$B$40,MONTH(A981)))))</f>
        <v/>
      </c>
    </row>
    <row r="982" customFormat="false" ht="15" hidden="false" customHeight="false" outlineLevel="0" collapsed="false">
      <c r="H982" s="0" t="str">
        <f aca="false">IF(B982="","",IF(COUNTIF(Campaigns!$A$7:$A$300,B982)&gt;0,"✓","⚠ add to Campaigns tab"))</f>
        <v/>
      </c>
      <c r="I982" s="84" t="str">
        <f aca="false">IF(C982="","",C982*IF(Settings!$B$25=Settings!$C$6,1,IF(Settings!$B$25="USD",1/INDEX(Settings!$B$29:$B$40,MONTH(A982)),INDEX(Settings!$B$29:$B$40,MONTH(A982)))))</f>
        <v/>
      </c>
    </row>
    <row r="983" customFormat="false" ht="15" hidden="false" customHeight="false" outlineLevel="0" collapsed="false">
      <c r="H983" s="0" t="str">
        <f aca="false">IF(B983="","",IF(COUNTIF(Campaigns!$A$7:$A$300,B983)&gt;0,"✓","⚠ add to Campaigns tab"))</f>
        <v/>
      </c>
      <c r="I983" s="84" t="str">
        <f aca="false">IF(C983="","",C983*IF(Settings!$B$25=Settings!$C$6,1,IF(Settings!$B$25="USD",1/INDEX(Settings!$B$29:$B$40,MONTH(A983)),INDEX(Settings!$B$29:$B$40,MONTH(A983)))))</f>
        <v/>
      </c>
    </row>
    <row r="984" customFormat="false" ht="15" hidden="false" customHeight="false" outlineLevel="0" collapsed="false">
      <c r="H984" s="0" t="str">
        <f aca="false">IF(B984="","",IF(COUNTIF(Campaigns!$A$7:$A$300,B984)&gt;0,"✓","⚠ add to Campaigns tab"))</f>
        <v/>
      </c>
      <c r="I984" s="84" t="str">
        <f aca="false">IF(C984="","",C984*IF(Settings!$B$25=Settings!$C$6,1,IF(Settings!$B$25="USD",1/INDEX(Settings!$B$29:$B$40,MONTH(A984)),INDEX(Settings!$B$29:$B$40,MONTH(A984)))))</f>
        <v/>
      </c>
    </row>
    <row r="985" customFormat="false" ht="15" hidden="false" customHeight="false" outlineLevel="0" collapsed="false">
      <c r="H985" s="0" t="str">
        <f aca="false">IF(B985="","",IF(COUNTIF(Campaigns!$A$7:$A$300,B985)&gt;0,"✓","⚠ add to Campaigns tab"))</f>
        <v/>
      </c>
      <c r="I985" s="84" t="str">
        <f aca="false">IF(C985="","",C985*IF(Settings!$B$25=Settings!$C$6,1,IF(Settings!$B$25="USD",1/INDEX(Settings!$B$29:$B$40,MONTH(A985)),INDEX(Settings!$B$29:$B$40,MONTH(A985)))))</f>
        <v/>
      </c>
    </row>
    <row r="986" customFormat="false" ht="15" hidden="false" customHeight="false" outlineLevel="0" collapsed="false">
      <c r="H986" s="0" t="str">
        <f aca="false">IF(B986="","",IF(COUNTIF(Campaigns!$A$7:$A$300,B986)&gt;0,"✓","⚠ add to Campaigns tab"))</f>
        <v/>
      </c>
      <c r="I986" s="84" t="str">
        <f aca="false">IF(C986="","",C986*IF(Settings!$B$25=Settings!$C$6,1,IF(Settings!$B$25="USD",1/INDEX(Settings!$B$29:$B$40,MONTH(A986)),INDEX(Settings!$B$29:$B$40,MONTH(A986)))))</f>
        <v/>
      </c>
    </row>
    <row r="987" customFormat="false" ht="15" hidden="false" customHeight="false" outlineLevel="0" collapsed="false">
      <c r="H987" s="0" t="str">
        <f aca="false">IF(B987="","",IF(COUNTIF(Campaigns!$A$7:$A$300,B987)&gt;0,"✓","⚠ add to Campaigns tab"))</f>
        <v/>
      </c>
      <c r="I987" s="84" t="str">
        <f aca="false">IF(C987="","",C987*IF(Settings!$B$25=Settings!$C$6,1,IF(Settings!$B$25="USD",1/INDEX(Settings!$B$29:$B$40,MONTH(A987)),INDEX(Settings!$B$29:$B$40,MONTH(A987)))))</f>
        <v/>
      </c>
    </row>
    <row r="988" customFormat="false" ht="15" hidden="false" customHeight="false" outlineLevel="0" collapsed="false">
      <c r="H988" s="0" t="str">
        <f aca="false">IF(B988="","",IF(COUNTIF(Campaigns!$A$7:$A$300,B988)&gt;0,"✓","⚠ add to Campaigns tab"))</f>
        <v/>
      </c>
      <c r="I988" s="84" t="str">
        <f aca="false">IF(C988="","",C988*IF(Settings!$B$25=Settings!$C$6,1,IF(Settings!$B$25="USD",1/INDEX(Settings!$B$29:$B$40,MONTH(A988)),INDEX(Settings!$B$29:$B$40,MONTH(A988)))))</f>
        <v/>
      </c>
    </row>
    <row r="989" customFormat="false" ht="15" hidden="false" customHeight="false" outlineLevel="0" collapsed="false">
      <c r="H989" s="0" t="str">
        <f aca="false">IF(B989="","",IF(COUNTIF(Campaigns!$A$7:$A$300,B989)&gt;0,"✓","⚠ add to Campaigns tab"))</f>
        <v/>
      </c>
      <c r="I989" s="84" t="str">
        <f aca="false">IF(C989="","",C989*IF(Settings!$B$25=Settings!$C$6,1,IF(Settings!$B$25="USD",1/INDEX(Settings!$B$29:$B$40,MONTH(A989)),INDEX(Settings!$B$29:$B$40,MONTH(A989)))))</f>
        <v/>
      </c>
    </row>
    <row r="990" customFormat="false" ht="15" hidden="false" customHeight="false" outlineLevel="0" collapsed="false">
      <c r="H990" s="0" t="str">
        <f aca="false">IF(B990="","",IF(COUNTIF(Campaigns!$A$7:$A$300,B990)&gt;0,"✓","⚠ add to Campaigns tab"))</f>
        <v/>
      </c>
      <c r="I990" s="84" t="str">
        <f aca="false">IF(C990="","",C990*IF(Settings!$B$25=Settings!$C$6,1,IF(Settings!$B$25="USD",1/INDEX(Settings!$B$29:$B$40,MONTH(A990)),INDEX(Settings!$B$29:$B$40,MONTH(A990)))))</f>
        <v/>
      </c>
    </row>
    <row r="991" customFormat="false" ht="15" hidden="false" customHeight="false" outlineLevel="0" collapsed="false">
      <c r="H991" s="0" t="str">
        <f aca="false">IF(B991="","",IF(COUNTIF(Campaigns!$A$7:$A$300,B991)&gt;0,"✓","⚠ add to Campaigns tab"))</f>
        <v/>
      </c>
      <c r="I991" s="84" t="str">
        <f aca="false">IF(C991="","",C991*IF(Settings!$B$25=Settings!$C$6,1,IF(Settings!$B$25="USD",1/INDEX(Settings!$B$29:$B$40,MONTH(A991)),INDEX(Settings!$B$29:$B$40,MONTH(A991)))))</f>
        <v/>
      </c>
    </row>
    <row r="992" customFormat="false" ht="15" hidden="false" customHeight="false" outlineLevel="0" collapsed="false">
      <c r="H992" s="0" t="str">
        <f aca="false">IF(B992="","",IF(COUNTIF(Campaigns!$A$7:$A$300,B992)&gt;0,"✓","⚠ add to Campaigns tab"))</f>
        <v/>
      </c>
      <c r="I992" s="84" t="str">
        <f aca="false">IF(C992="","",C992*IF(Settings!$B$25=Settings!$C$6,1,IF(Settings!$B$25="USD",1/INDEX(Settings!$B$29:$B$40,MONTH(A992)),INDEX(Settings!$B$29:$B$40,MONTH(A992)))))</f>
        <v/>
      </c>
    </row>
    <row r="993" customFormat="false" ht="15" hidden="false" customHeight="false" outlineLevel="0" collapsed="false">
      <c r="H993" s="0" t="str">
        <f aca="false">IF(B993="","",IF(COUNTIF(Campaigns!$A$7:$A$300,B993)&gt;0,"✓","⚠ add to Campaigns tab"))</f>
        <v/>
      </c>
      <c r="I993" s="84" t="str">
        <f aca="false">IF(C993="","",C993*IF(Settings!$B$25=Settings!$C$6,1,IF(Settings!$B$25="USD",1/INDEX(Settings!$B$29:$B$40,MONTH(A993)),INDEX(Settings!$B$29:$B$40,MONTH(A993)))))</f>
        <v/>
      </c>
    </row>
    <row r="994" customFormat="false" ht="15" hidden="false" customHeight="false" outlineLevel="0" collapsed="false">
      <c r="H994" s="0" t="str">
        <f aca="false">IF(B994="","",IF(COUNTIF(Campaigns!$A$7:$A$300,B994)&gt;0,"✓","⚠ add to Campaigns tab"))</f>
        <v/>
      </c>
      <c r="I994" s="84" t="str">
        <f aca="false">IF(C994="","",C994*IF(Settings!$B$25=Settings!$C$6,1,IF(Settings!$B$25="USD",1/INDEX(Settings!$B$29:$B$40,MONTH(A994)),INDEX(Settings!$B$29:$B$40,MONTH(A994)))))</f>
        <v/>
      </c>
    </row>
    <row r="995" customFormat="false" ht="15" hidden="false" customHeight="false" outlineLevel="0" collapsed="false">
      <c r="H995" s="0" t="str">
        <f aca="false">IF(B995="","",IF(COUNTIF(Campaigns!$A$7:$A$300,B995)&gt;0,"✓","⚠ add to Campaigns tab"))</f>
        <v/>
      </c>
      <c r="I995" s="84" t="str">
        <f aca="false">IF(C995="","",C995*IF(Settings!$B$25=Settings!$C$6,1,IF(Settings!$B$25="USD",1/INDEX(Settings!$B$29:$B$40,MONTH(A995)),INDEX(Settings!$B$29:$B$40,MONTH(A995)))))</f>
        <v/>
      </c>
    </row>
    <row r="996" customFormat="false" ht="15" hidden="false" customHeight="false" outlineLevel="0" collapsed="false">
      <c r="H996" s="0" t="str">
        <f aca="false">IF(B996="","",IF(COUNTIF(Campaigns!$A$7:$A$300,B996)&gt;0,"✓","⚠ add to Campaigns tab"))</f>
        <v/>
      </c>
      <c r="I996" s="84" t="str">
        <f aca="false">IF(C996="","",C996*IF(Settings!$B$25=Settings!$C$6,1,IF(Settings!$B$25="USD",1/INDEX(Settings!$B$29:$B$40,MONTH(A996)),INDEX(Settings!$B$29:$B$40,MONTH(A996)))))</f>
        <v/>
      </c>
    </row>
    <row r="997" customFormat="false" ht="15" hidden="false" customHeight="false" outlineLevel="0" collapsed="false">
      <c r="H997" s="0" t="str">
        <f aca="false">IF(B997="","",IF(COUNTIF(Campaigns!$A$7:$A$300,B997)&gt;0,"✓","⚠ add to Campaigns tab"))</f>
        <v/>
      </c>
      <c r="I997" s="84" t="str">
        <f aca="false">IF(C997="","",C997*IF(Settings!$B$25=Settings!$C$6,1,IF(Settings!$B$25="USD",1/INDEX(Settings!$B$29:$B$40,MONTH(A997)),INDEX(Settings!$B$29:$B$40,MONTH(A997)))))</f>
        <v/>
      </c>
    </row>
    <row r="998" customFormat="false" ht="15" hidden="false" customHeight="false" outlineLevel="0" collapsed="false">
      <c r="H998" s="0" t="str">
        <f aca="false">IF(B998="","",IF(COUNTIF(Campaigns!$A$7:$A$300,B998)&gt;0,"✓","⚠ add to Campaigns tab"))</f>
        <v/>
      </c>
      <c r="I998" s="84" t="str">
        <f aca="false">IF(C998="","",C998*IF(Settings!$B$25=Settings!$C$6,1,IF(Settings!$B$25="USD",1/INDEX(Settings!$B$29:$B$40,MONTH(A998)),INDEX(Settings!$B$29:$B$40,MONTH(A998)))))</f>
        <v/>
      </c>
    </row>
    <row r="999" customFormat="false" ht="15" hidden="false" customHeight="false" outlineLevel="0" collapsed="false">
      <c r="H999" s="0" t="str">
        <f aca="false">IF(B999="","",IF(COUNTIF(Campaigns!$A$7:$A$300,B999)&gt;0,"✓","⚠ add to Campaigns tab"))</f>
        <v/>
      </c>
      <c r="I999" s="84" t="str">
        <f aca="false">IF(C999="","",C999*IF(Settings!$B$25=Settings!$C$6,1,IF(Settings!$B$25="USD",1/INDEX(Settings!$B$29:$B$40,MONTH(A999)),INDEX(Settings!$B$29:$B$40,MONTH(A999)))))</f>
        <v/>
      </c>
    </row>
    <row r="1000" customFormat="false" ht="15" hidden="false" customHeight="false" outlineLevel="0" collapsed="false">
      <c r="H1000" s="0" t="str">
        <f aca="false">IF(B1000="","",IF(COUNTIF(Campaigns!$A$7:$A$300,B1000)&gt;0,"✓","⚠ add to Campaigns tab"))</f>
        <v/>
      </c>
      <c r="I1000" s="84" t="str">
        <f aca="false">IF(C1000="","",C1000*IF(Settings!$B$25=Settings!$C$6,1,IF(Settings!$B$25="USD",1/INDEX(Settings!$B$29:$B$40,MONTH(A1000)),INDEX(Settings!$B$29:$B$40,MONTH(A1000)))))</f>
        <v/>
      </c>
    </row>
    <row r="1001" customFormat="false" ht="15" hidden="false" customHeight="false" outlineLevel="0" collapsed="false">
      <c r="H1001" s="0" t="str">
        <f aca="false">IF(B1001="","",IF(COUNTIF(Campaigns!$A$7:$A$300,B1001)&gt;0,"✓","⚠ add to Campaigns tab"))</f>
        <v/>
      </c>
      <c r="I1001" s="84" t="str">
        <f aca="false">IF(C1001="","",C1001*IF(Settings!$B$25=Settings!$C$6,1,IF(Settings!$B$25="USD",1/INDEX(Settings!$B$29:$B$40,MONTH(A1001)),INDEX(Settings!$B$29:$B$40,MONTH(A1001)))))</f>
        <v/>
      </c>
    </row>
    <row r="1002" customFormat="false" ht="15" hidden="false" customHeight="false" outlineLevel="0" collapsed="false">
      <c r="H1002" s="0" t="str">
        <f aca="false">IF(B1002="","",IF(COUNTIF(Campaigns!$A$7:$A$300,B1002)&gt;0,"✓","⚠ add to Campaigns tab"))</f>
        <v/>
      </c>
      <c r="I1002" s="84" t="str">
        <f aca="false">IF(C1002="","",C1002*IF(Settings!$B$25=Settings!$C$6,1,IF(Settings!$B$25="USD",1/INDEX(Settings!$B$29:$B$40,MONTH(A1002)),INDEX(Settings!$B$29:$B$40,MONTH(A1002)))))</f>
        <v/>
      </c>
    </row>
    <row r="1003" customFormat="false" ht="15" hidden="false" customHeight="false" outlineLevel="0" collapsed="false">
      <c r="H1003" s="0" t="str">
        <f aca="false">IF(B1003="","",IF(COUNTIF(Campaigns!$A$7:$A$300,B1003)&gt;0,"✓","⚠ add to Campaigns tab"))</f>
        <v/>
      </c>
      <c r="I1003" s="84" t="str">
        <f aca="false">IF(C1003="","",C1003*IF(Settings!$B$25=Settings!$C$6,1,IF(Settings!$B$25="USD",1/INDEX(Settings!$B$29:$B$40,MONTH(A1003)),INDEX(Settings!$B$29:$B$40,MONTH(A1003)))))</f>
        <v/>
      </c>
    </row>
    <row r="1004" customFormat="false" ht="15" hidden="false" customHeight="false" outlineLevel="0" collapsed="false">
      <c r="H1004" s="0" t="str">
        <f aca="false">IF(B1004="","",IF(COUNTIF(Campaigns!$A$7:$A$300,B1004)&gt;0,"✓","⚠ add to Campaigns tab"))</f>
        <v/>
      </c>
      <c r="I1004" s="84" t="str">
        <f aca="false">IF(C1004="","",C1004*IF(Settings!$B$25=Settings!$C$6,1,IF(Settings!$B$25="USD",1/INDEX(Settings!$B$29:$B$40,MONTH(A1004)),INDEX(Settings!$B$29:$B$40,MONTH(A1004)))))</f>
        <v/>
      </c>
    </row>
    <row r="1005" customFormat="false" ht="15" hidden="false" customHeight="false" outlineLevel="0" collapsed="false">
      <c r="H1005" s="0" t="str">
        <f aca="false">IF(B1005="","",IF(COUNTIF(Campaigns!$A$7:$A$300,B1005)&gt;0,"✓","⚠ add to Campaigns tab"))</f>
        <v/>
      </c>
      <c r="I1005" s="84" t="str">
        <f aca="false">IF(C1005="","",C1005*IF(Settings!$B$25=Settings!$C$6,1,IF(Settings!$B$25="USD",1/INDEX(Settings!$B$29:$B$40,MONTH(A1005)),INDEX(Settings!$B$29:$B$40,MONTH(A1005)))))</f>
        <v/>
      </c>
    </row>
    <row r="1006" customFormat="false" ht="15" hidden="false" customHeight="false" outlineLevel="0" collapsed="false">
      <c r="H1006" s="0" t="str">
        <f aca="false">IF(B1006="","",IF(COUNTIF(Campaigns!$A$7:$A$300,B1006)&gt;0,"✓","⚠ add to Campaigns tab"))</f>
        <v/>
      </c>
      <c r="I1006" s="84" t="str">
        <f aca="false">IF(C1006="","",C1006*IF(Settings!$B$25=Settings!$C$6,1,IF(Settings!$B$25="USD",1/INDEX(Settings!$B$29:$B$40,MONTH(A1006)),INDEX(Settings!$B$29:$B$40,MONTH(A1006)))))</f>
        <v/>
      </c>
    </row>
    <row r="1007" customFormat="false" ht="15" hidden="false" customHeight="false" outlineLevel="0" collapsed="false">
      <c r="H1007" s="0" t="str">
        <f aca="false">IF(B1007="","",IF(COUNTIF(Campaigns!$A$7:$A$300,B1007)&gt;0,"✓","⚠ add to Campaigns tab"))</f>
        <v/>
      </c>
      <c r="I1007" s="84" t="str">
        <f aca="false">IF(C1007="","",C1007*IF(Settings!$B$25=Settings!$C$6,1,IF(Settings!$B$25="USD",1/INDEX(Settings!$B$29:$B$40,MONTH(A1007)),INDEX(Settings!$B$29:$B$40,MONTH(A1007)))))</f>
        <v/>
      </c>
    </row>
    <row r="1008" customFormat="false" ht="15" hidden="false" customHeight="false" outlineLevel="0" collapsed="false">
      <c r="H1008" s="0" t="str">
        <f aca="false">IF(B1008="","",IF(COUNTIF(Campaigns!$A$7:$A$300,B1008)&gt;0,"✓","⚠ add to Campaigns tab"))</f>
        <v/>
      </c>
      <c r="I1008" s="84" t="str">
        <f aca="false">IF(C1008="","",C1008*IF(Settings!$B$25=Settings!$C$6,1,IF(Settings!$B$25="USD",1/INDEX(Settings!$B$29:$B$40,MONTH(A1008)),INDEX(Settings!$B$29:$B$40,MONTH(A1008)))))</f>
        <v/>
      </c>
    </row>
    <row r="1009" customFormat="false" ht="15" hidden="false" customHeight="false" outlineLevel="0" collapsed="false">
      <c r="H1009" s="0" t="str">
        <f aca="false">IF(B1009="","",IF(COUNTIF(Campaigns!$A$7:$A$300,B1009)&gt;0,"✓","⚠ add to Campaigns tab"))</f>
        <v/>
      </c>
      <c r="I1009" s="84" t="str">
        <f aca="false">IF(C1009="","",C1009*IF(Settings!$B$25=Settings!$C$6,1,IF(Settings!$B$25="USD",1/INDEX(Settings!$B$29:$B$40,MONTH(A1009)),INDEX(Settings!$B$29:$B$40,MONTH(A1009)))))</f>
        <v/>
      </c>
    </row>
    <row r="1010" customFormat="false" ht="15" hidden="false" customHeight="false" outlineLevel="0" collapsed="false">
      <c r="H1010" s="0" t="str">
        <f aca="false">IF(B1010="","",IF(COUNTIF(Campaigns!$A$7:$A$300,B1010)&gt;0,"✓","⚠ add to Campaigns tab"))</f>
        <v/>
      </c>
      <c r="I1010" s="84" t="str">
        <f aca="false">IF(C1010="","",C1010*IF(Settings!$B$25=Settings!$C$6,1,IF(Settings!$B$25="USD",1/INDEX(Settings!$B$29:$B$40,MONTH(A1010)),INDEX(Settings!$B$29:$B$40,MONTH(A1010)))))</f>
        <v/>
      </c>
    </row>
    <row r="1011" customFormat="false" ht="15" hidden="false" customHeight="false" outlineLevel="0" collapsed="false">
      <c r="H1011" s="0" t="str">
        <f aca="false">IF(B1011="","",IF(COUNTIF(Campaigns!$A$7:$A$300,B1011)&gt;0,"✓","⚠ add to Campaigns tab"))</f>
        <v/>
      </c>
      <c r="I1011" s="84" t="str">
        <f aca="false">IF(C1011="","",C1011*IF(Settings!$B$25=Settings!$C$6,1,IF(Settings!$B$25="USD",1/INDEX(Settings!$B$29:$B$40,MONTH(A1011)),INDEX(Settings!$B$29:$B$40,MONTH(A1011)))))</f>
        <v/>
      </c>
    </row>
    <row r="1012" customFormat="false" ht="15" hidden="false" customHeight="false" outlineLevel="0" collapsed="false">
      <c r="H1012" s="0" t="str">
        <f aca="false">IF(B1012="","",IF(COUNTIF(Campaigns!$A$7:$A$300,B1012)&gt;0,"✓","⚠ add to Campaigns tab"))</f>
        <v/>
      </c>
      <c r="I1012" s="84" t="str">
        <f aca="false">IF(C1012="","",C1012*IF(Settings!$B$25=Settings!$C$6,1,IF(Settings!$B$25="USD",1/INDEX(Settings!$B$29:$B$40,MONTH(A1012)),INDEX(Settings!$B$29:$B$40,MONTH(A1012)))))</f>
        <v/>
      </c>
    </row>
    <row r="1013" customFormat="false" ht="15" hidden="false" customHeight="false" outlineLevel="0" collapsed="false">
      <c r="H1013" s="0" t="str">
        <f aca="false">IF(B1013="","",IF(COUNTIF(Campaigns!$A$7:$A$300,B1013)&gt;0,"✓","⚠ add to Campaigns tab"))</f>
        <v/>
      </c>
      <c r="I1013" s="84" t="str">
        <f aca="false">IF(C1013="","",C1013*IF(Settings!$B$25=Settings!$C$6,1,IF(Settings!$B$25="USD",1/INDEX(Settings!$B$29:$B$40,MONTH(A1013)),INDEX(Settings!$B$29:$B$40,MONTH(A1013)))))</f>
        <v/>
      </c>
    </row>
    <row r="1014" customFormat="false" ht="15" hidden="false" customHeight="false" outlineLevel="0" collapsed="false">
      <c r="H1014" s="0" t="str">
        <f aca="false">IF(B1014="","",IF(COUNTIF(Campaigns!$A$7:$A$300,B1014)&gt;0,"✓","⚠ add to Campaigns tab"))</f>
        <v/>
      </c>
      <c r="I1014" s="84" t="str">
        <f aca="false">IF(C1014="","",C1014*IF(Settings!$B$25=Settings!$C$6,1,IF(Settings!$B$25="USD",1/INDEX(Settings!$B$29:$B$40,MONTH(A1014)),INDEX(Settings!$B$29:$B$40,MONTH(A1014)))))</f>
        <v/>
      </c>
    </row>
    <row r="1015" customFormat="false" ht="15" hidden="false" customHeight="false" outlineLevel="0" collapsed="false">
      <c r="H1015" s="0" t="str">
        <f aca="false">IF(B1015="","",IF(COUNTIF(Campaigns!$A$7:$A$300,B1015)&gt;0,"✓","⚠ add to Campaigns tab"))</f>
        <v/>
      </c>
      <c r="I1015" s="84" t="str">
        <f aca="false">IF(C1015="","",C1015*IF(Settings!$B$25=Settings!$C$6,1,IF(Settings!$B$25="USD",1/INDEX(Settings!$B$29:$B$40,MONTH(A1015)),INDEX(Settings!$B$29:$B$40,MONTH(A1015)))))</f>
        <v/>
      </c>
    </row>
    <row r="1016" customFormat="false" ht="15" hidden="false" customHeight="false" outlineLevel="0" collapsed="false">
      <c r="H1016" s="0" t="str">
        <f aca="false">IF(B1016="","",IF(COUNTIF(Campaigns!$A$7:$A$300,B1016)&gt;0,"✓","⚠ add to Campaigns tab"))</f>
        <v/>
      </c>
      <c r="I1016" s="84" t="str">
        <f aca="false">IF(C1016="","",C1016*IF(Settings!$B$25=Settings!$C$6,1,IF(Settings!$B$25="USD",1/INDEX(Settings!$B$29:$B$40,MONTH(A1016)),INDEX(Settings!$B$29:$B$40,MONTH(A1016)))))</f>
        <v/>
      </c>
    </row>
    <row r="1017" customFormat="false" ht="15" hidden="false" customHeight="false" outlineLevel="0" collapsed="false">
      <c r="H1017" s="0" t="str">
        <f aca="false">IF(B1017="","",IF(COUNTIF(Campaigns!$A$7:$A$300,B1017)&gt;0,"✓","⚠ add to Campaigns tab"))</f>
        <v/>
      </c>
      <c r="I1017" s="84" t="str">
        <f aca="false">IF(C1017="","",C1017*IF(Settings!$B$25=Settings!$C$6,1,IF(Settings!$B$25="USD",1/INDEX(Settings!$B$29:$B$40,MONTH(A1017)),INDEX(Settings!$B$29:$B$40,MONTH(A1017)))))</f>
        <v/>
      </c>
    </row>
    <row r="1018" customFormat="false" ht="15" hidden="false" customHeight="false" outlineLevel="0" collapsed="false">
      <c r="H1018" s="0" t="str">
        <f aca="false">IF(B1018="","",IF(COUNTIF(Campaigns!$A$7:$A$300,B1018)&gt;0,"✓","⚠ add to Campaigns tab"))</f>
        <v/>
      </c>
      <c r="I1018" s="84" t="str">
        <f aca="false">IF(C1018="","",C1018*IF(Settings!$B$25=Settings!$C$6,1,IF(Settings!$B$25="USD",1/INDEX(Settings!$B$29:$B$40,MONTH(A1018)),INDEX(Settings!$B$29:$B$40,MONTH(A1018)))))</f>
        <v/>
      </c>
    </row>
    <row r="1019" customFormat="false" ht="15" hidden="false" customHeight="false" outlineLevel="0" collapsed="false">
      <c r="H1019" s="0" t="str">
        <f aca="false">IF(B1019="","",IF(COUNTIF(Campaigns!$A$7:$A$300,B1019)&gt;0,"✓","⚠ add to Campaigns tab"))</f>
        <v/>
      </c>
      <c r="I1019" s="84" t="str">
        <f aca="false">IF(C1019="","",C1019*IF(Settings!$B$25=Settings!$C$6,1,IF(Settings!$B$25="USD",1/INDEX(Settings!$B$29:$B$40,MONTH(A1019)),INDEX(Settings!$B$29:$B$40,MONTH(A1019)))))</f>
        <v/>
      </c>
    </row>
    <row r="1020" customFormat="false" ht="15" hidden="false" customHeight="false" outlineLevel="0" collapsed="false">
      <c r="H1020" s="0" t="str">
        <f aca="false">IF(B1020="","",IF(COUNTIF(Campaigns!$A$7:$A$300,B1020)&gt;0,"✓","⚠ add to Campaigns tab"))</f>
        <v/>
      </c>
      <c r="I1020" s="84" t="str">
        <f aca="false">IF(C1020="","",C1020*IF(Settings!$B$25=Settings!$C$6,1,IF(Settings!$B$25="USD",1/INDEX(Settings!$B$29:$B$40,MONTH(A1020)),INDEX(Settings!$B$29:$B$40,MONTH(A1020)))))</f>
        <v/>
      </c>
    </row>
    <row r="1021" customFormat="false" ht="15" hidden="false" customHeight="false" outlineLevel="0" collapsed="false">
      <c r="H1021" s="0" t="str">
        <f aca="false">IF(B1021="","",IF(COUNTIF(Campaigns!$A$7:$A$300,B1021)&gt;0,"✓","⚠ add to Campaigns tab"))</f>
        <v/>
      </c>
      <c r="I1021" s="84" t="str">
        <f aca="false">IF(C1021="","",C1021*IF(Settings!$B$25=Settings!$C$6,1,IF(Settings!$B$25="USD",1/INDEX(Settings!$B$29:$B$40,MONTH(A1021)),INDEX(Settings!$B$29:$B$40,MONTH(A1021)))))</f>
        <v/>
      </c>
    </row>
    <row r="1022" customFormat="false" ht="15" hidden="false" customHeight="false" outlineLevel="0" collapsed="false">
      <c r="H1022" s="0" t="str">
        <f aca="false">IF(B1022="","",IF(COUNTIF(Campaigns!$A$7:$A$300,B1022)&gt;0,"✓","⚠ add to Campaigns tab"))</f>
        <v/>
      </c>
      <c r="I1022" s="84" t="str">
        <f aca="false">IF(C1022="","",C1022*IF(Settings!$B$25=Settings!$C$6,1,IF(Settings!$B$25="USD",1/INDEX(Settings!$B$29:$B$40,MONTH(A1022)),INDEX(Settings!$B$29:$B$40,MONTH(A1022)))))</f>
        <v/>
      </c>
    </row>
    <row r="1023" customFormat="false" ht="15" hidden="false" customHeight="false" outlineLevel="0" collapsed="false">
      <c r="H1023" s="0" t="str">
        <f aca="false">IF(B1023="","",IF(COUNTIF(Campaigns!$A$7:$A$300,B1023)&gt;0,"✓","⚠ add to Campaigns tab"))</f>
        <v/>
      </c>
      <c r="I1023" s="84" t="str">
        <f aca="false">IF(C1023="","",C1023*IF(Settings!$B$25=Settings!$C$6,1,IF(Settings!$B$25="USD",1/INDEX(Settings!$B$29:$B$40,MONTH(A1023)),INDEX(Settings!$B$29:$B$40,MONTH(A1023)))))</f>
        <v/>
      </c>
    </row>
    <row r="1024" customFormat="false" ht="15" hidden="false" customHeight="false" outlineLevel="0" collapsed="false">
      <c r="H1024" s="0" t="str">
        <f aca="false">IF(B1024="","",IF(COUNTIF(Campaigns!$A$7:$A$300,B1024)&gt;0,"✓","⚠ add to Campaigns tab"))</f>
        <v/>
      </c>
      <c r="I1024" s="84" t="str">
        <f aca="false">IF(C1024="","",C1024*IF(Settings!$B$25=Settings!$C$6,1,IF(Settings!$B$25="USD",1/INDEX(Settings!$B$29:$B$40,MONTH(A1024)),INDEX(Settings!$B$29:$B$40,MONTH(A1024)))))</f>
        <v/>
      </c>
    </row>
    <row r="1025" customFormat="false" ht="15" hidden="false" customHeight="false" outlineLevel="0" collapsed="false">
      <c r="H1025" s="0" t="str">
        <f aca="false">IF(B1025="","",IF(COUNTIF(Campaigns!$A$7:$A$300,B1025)&gt;0,"✓","⚠ add to Campaigns tab"))</f>
        <v/>
      </c>
      <c r="I1025" s="84" t="str">
        <f aca="false">IF(C1025="","",C1025*IF(Settings!$B$25=Settings!$C$6,1,IF(Settings!$B$25="USD",1/INDEX(Settings!$B$29:$B$40,MONTH(A1025)),INDEX(Settings!$B$29:$B$40,MONTH(A1025)))))</f>
        <v/>
      </c>
    </row>
    <row r="1026" customFormat="false" ht="15" hidden="false" customHeight="false" outlineLevel="0" collapsed="false">
      <c r="H1026" s="0" t="str">
        <f aca="false">IF(B1026="","",IF(COUNTIF(Campaigns!$A$7:$A$300,B1026)&gt;0,"✓","⚠ add to Campaigns tab"))</f>
        <v/>
      </c>
      <c r="I1026" s="84" t="str">
        <f aca="false">IF(C1026="","",C1026*IF(Settings!$B$25=Settings!$C$6,1,IF(Settings!$B$25="USD",1/INDEX(Settings!$B$29:$B$40,MONTH(A1026)),INDEX(Settings!$B$29:$B$40,MONTH(A1026)))))</f>
        <v/>
      </c>
    </row>
    <row r="1027" customFormat="false" ht="15" hidden="false" customHeight="false" outlineLevel="0" collapsed="false">
      <c r="H1027" s="0" t="str">
        <f aca="false">IF(B1027="","",IF(COUNTIF(Campaigns!$A$7:$A$300,B1027)&gt;0,"✓","⚠ add to Campaigns tab"))</f>
        <v/>
      </c>
      <c r="I1027" s="84" t="str">
        <f aca="false">IF(C1027="","",C1027*IF(Settings!$B$25=Settings!$C$6,1,IF(Settings!$B$25="USD",1/INDEX(Settings!$B$29:$B$40,MONTH(A1027)),INDEX(Settings!$B$29:$B$40,MONTH(A1027)))))</f>
        <v/>
      </c>
    </row>
    <row r="1028" customFormat="false" ht="15" hidden="false" customHeight="false" outlineLevel="0" collapsed="false">
      <c r="H1028" s="0" t="str">
        <f aca="false">IF(B1028="","",IF(COUNTIF(Campaigns!$A$7:$A$300,B1028)&gt;0,"✓","⚠ add to Campaigns tab"))</f>
        <v/>
      </c>
      <c r="I1028" s="84" t="str">
        <f aca="false">IF(C1028="","",C1028*IF(Settings!$B$25=Settings!$C$6,1,IF(Settings!$B$25="USD",1/INDEX(Settings!$B$29:$B$40,MONTH(A1028)),INDEX(Settings!$B$29:$B$40,MONTH(A1028)))))</f>
        <v/>
      </c>
    </row>
    <row r="1029" customFormat="false" ht="15" hidden="false" customHeight="false" outlineLevel="0" collapsed="false">
      <c r="H1029" s="0" t="str">
        <f aca="false">IF(B1029="","",IF(COUNTIF(Campaigns!$A$7:$A$300,B1029)&gt;0,"✓","⚠ add to Campaigns tab"))</f>
        <v/>
      </c>
      <c r="I1029" s="84" t="str">
        <f aca="false">IF(C1029="","",C1029*IF(Settings!$B$25=Settings!$C$6,1,IF(Settings!$B$25="USD",1/INDEX(Settings!$B$29:$B$40,MONTH(A1029)),INDEX(Settings!$B$29:$B$40,MONTH(A1029)))))</f>
        <v/>
      </c>
    </row>
    <row r="1030" customFormat="false" ht="15" hidden="false" customHeight="false" outlineLevel="0" collapsed="false">
      <c r="H1030" s="0" t="str">
        <f aca="false">IF(B1030="","",IF(COUNTIF(Campaigns!$A$7:$A$300,B1030)&gt;0,"✓","⚠ add to Campaigns tab"))</f>
        <v/>
      </c>
      <c r="I1030" s="84" t="str">
        <f aca="false">IF(C1030="","",C1030*IF(Settings!$B$25=Settings!$C$6,1,IF(Settings!$B$25="USD",1/INDEX(Settings!$B$29:$B$40,MONTH(A1030)),INDEX(Settings!$B$29:$B$40,MONTH(A1030)))))</f>
        <v/>
      </c>
    </row>
    <row r="1031" customFormat="false" ht="15" hidden="false" customHeight="false" outlineLevel="0" collapsed="false">
      <c r="H1031" s="0" t="str">
        <f aca="false">IF(B1031="","",IF(COUNTIF(Campaigns!$A$7:$A$300,B1031)&gt;0,"✓","⚠ add to Campaigns tab"))</f>
        <v/>
      </c>
      <c r="I1031" s="84" t="str">
        <f aca="false">IF(C1031="","",C1031*IF(Settings!$B$25=Settings!$C$6,1,IF(Settings!$B$25="USD",1/INDEX(Settings!$B$29:$B$40,MONTH(A1031)),INDEX(Settings!$B$29:$B$40,MONTH(A1031)))))</f>
        <v/>
      </c>
    </row>
    <row r="1032" customFormat="false" ht="15" hidden="false" customHeight="false" outlineLevel="0" collapsed="false">
      <c r="H1032" s="0" t="str">
        <f aca="false">IF(B1032="","",IF(COUNTIF(Campaigns!$A$7:$A$300,B1032)&gt;0,"✓","⚠ add to Campaigns tab"))</f>
        <v/>
      </c>
      <c r="I1032" s="84" t="str">
        <f aca="false">IF(C1032="","",C1032*IF(Settings!$B$25=Settings!$C$6,1,IF(Settings!$B$25="USD",1/INDEX(Settings!$B$29:$B$40,MONTH(A1032)),INDEX(Settings!$B$29:$B$40,MONTH(A1032)))))</f>
        <v/>
      </c>
    </row>
    <row r="1033" customFormat="false" ht="15" hidden="false" customHeight="false" outlineLevel="0" collapsed="false">
      <c r="H1033" s="0" t="str">
        <f aca="false">IF(B1033="","",IF(COUNTIF(Campaigns!$A$7:$A$300,B1033)&gt;0,"✓","⚠ add to Campaigns tab"))</f>
        <v/>
      </c>
      <c r="I1033" s="84" t="str">
        <f aca="false">IF(C1033="","",C1033*IF(Settings!$B$25=Settings!$C$6,1,IF(Settings!$B$25="USD",1/INDEX(Settings!$B$29:$B$40,MONTH(A1033)),INDEX(Settings!$B$29:$B$40,MONTH(A1033)))))</f>
        <v/>
      </c>
    </row>
    <row r="1034" customFormat="false" ht="15" hidden="false" customHeight="false" outlineLevel="0" collapsed="false">
      <c r="H1034" s="0" t="str">
        <f aca="false">IF(B1034="","",IF(COUNTIF(Campaigns!$A$7:$A$300,B1034)&gt;0,"✓","⚠ add to Campaigns tab"))</f>
        <v/>
      </c>
      <c r="I1034" s="84" t="str">
        <f aca="false">IF(C1034="","",C1034*IF(Settings!$B$25=Settings!$C$6,1,IF(Settings!$B$25="USD",1/INDEX(Settings!$B$29:$B$40,MONTH(A1034)),INDEX(Settings!$B$29:$B$40,MONTH(A1034)))))</f>
        <v/>
      </c>
    </row>
    <row r="1035" customFormat="false" ht="15" hidden="false" customHeight="false" outlineLevel="0" collapsed="false">
      <c r="H1035" s="0" t="str">
        <f aca="false">IF(B1035="","",IF(COUNTIF(Campaigns!$A$7:$A$300,B1035)&gt;0,"✓","⚠ add to Campaigns tab"))</f>
        <v/>
      </c>
      <c r="I1035" s="84" t="str">
        <f aca="false">IF(C1035="","",C1035*IF(Settings!$B$25=Settings!$C$6,1,IF(Settings!$B$25="USD",1/INDEX(Settings!$B$29:$B$40,MONTH(A1035)),INDEX(Settings!$B$29:$B$40,MONTH(A1035)))))</f>
        <v/>
      </c>
    </row>
    <row r="1036" customFormat="false" ht="15" hidden="false" customHeight="false" outlineLevel="0" collapsed="false">
      <c r="H1036" s="0" t="str">
        <f aca="false">IF(B1036="","",IF(COUNTIF(Campaigns!$A$7:$A$300,B1036)&gt;0,"✓","⚠ add to Campaigns tab"))</f>
        <v/>
      </c>
      <c r="I1036" s="84" t="str">
        <f aca="false">IF(C1036="","",C1036*IF(Settings!$B$25=Settings!$C$6,1,IF(Settings!$B$25="USD",1/INDEX(Settings!$B$29:$B$40,MONTH(A1036)),INDEX(Settings!$B$29:$B$40,MONTH(A1036)))))</f>
        <v/>
      </c>
    </row>
    <row r="1037" customFormat="false" ht="15" hidden="false" customHeight="false" outlineLevel="0" collapsed="false">
      <c r="H1037" s="0" t="str">
        <f aca="false">IF(B1037="","",IF(COUNTIF(Campaigns!$A$7:$A$300,B1037)&gt;0,"✓","⚠ add to Campaigns tab"))</f>
        <v/>
      </c>
      <c r="I1037" s="84" t="str">
        <f aca="false">IF(C1037="","",C1037*IF(Settings!$B$25=Settings!$C$6,1,IF(Settings!$B$25="USD",1/INDEX(Settings!$B$29:$B$40,MONTH(A1037)),INDEX(Settings!$B$29:$B$40,MONTH(A1037)))))</f>
        <v/>
      </c>
    </row>
    <row r="1038" customFormat="false" ht="15" hidden="false" customHeight="false" outlineLevel="0" collapsed="false">
      <c r="H1038" s="0" t="str">
        <f aca="false">IF(B1038="","",IF(COUNTIF(Campaigns!$A$7:$A$300,B1038)&gt;0,"✓","⚠ add to Campaigns tab"))</f>
        <v/>
      </c>
      <c r="I1038" s="84" t="str">
        <f aca="false">IF(C1038="","",C1038*IF(Settings!$B$25=Settings!$C$6,1,IF(Settings!$B$25="USD",1/INDEX(Settings!$B$29:$B$40,MONTH(A1038)),INDEX(Settings!$B$29:$B$40,MONTH(A1038)))))</f>
        <v/>
      </c>
    </row>
    <row r="1039" customFormat="false" ht="15" hidden="false" customHeight="false" outlineLevel="0" collapsed="false">
      <c r="H1039" s="0" t="str">
        <f aca="false">IF(B1039="","",IF(COUNTIF(Campaigns!$A$7:$A$300,B1039)&gt;0,"✓","⚠ add to Campaigns tab"))</f>
        <v/>
      </c>
      <c r="I1039" s="84" t="str">
        <f aca="false">IF(C1039="","",C1039*IF(Settings!$B$25=Settings!$C$6,1,IF(Settings!$B$25="USD",1/INDEX(Settings!$B$29:$B$40,MONTH(A1039)),INDEX(Settings!$B$29:$B$40,MONTH(A1039)))))</f>
        <v/>
      </c>
    </row>
    <row r="1040" customFormat="false" ht="15" hidden="false" customHeight="false" outlineLevel="0" collapsed="false">
      <c r="H1040" s="0" t="str">
        <f aca="false">IF(B1040="","",IF(COUNTIF(Campaigns!$A$7:$A$300,B1040)&gt;0,"✓","⚠ add to Campaigns tab"))</f>
        <v/>
      </c>
      <c r="I1040" s="84" t="str">
        <f aca="false">IF(C1040="","",C1040*IF(Settings!$B$25=Settings!$C$6,1,IF(Settings!$B$25="USD",1/INDEX(Settings!$B$29:$B$40,MONTH(A1040)),INDEX(Settings!$B$29:$B$40,MONTH(A1040)))))</f>
        <v/>
      </c>
    </row>
    <row r="1041" customFormat="false" ht="15" hidden="false" customHeight="false" outlineLevel="0" collapsed="false">
      <c r="H1041" s="0" t="str">
        <f aca="false">IF(B1041="","",IF(COUNTIF(Campaigns!$A$7:$A$300,B1041)&gt;0,"✓","⚠ add to Campaigns tab"))</f>
        <v/>
      </c>
      <c r="I1041" s="84" t="str">
        <f aca="false">IF(C1041="","",C1041*IF(Settings!$B$25=Settings!$C$6,1,IF(Settings!$B$25="USD",1/INDEX(Settings!$B$29:$B$40,MONTH(A1041)),INDEX(Settings!$B$29:$B$40,MONTH(A1041)))))</f>
        <v/>
      </c>
    </row>
    <row r="1042" customFormat="false" ht="15" hidden="false" customHeight="false" outlineLevel="0" collapsed="false">
      <c r="H1042" s="0" t="str">
        <f aca="false">IF(B1042="","",IF(COUNTIF(Campaigns!$A$7:$A$300,B1042)&gt;0,"✓","⚠ add to Campaigns tab"))</f>
        <v/>
      </c>
      <c r="I1042" s="84" t="str">
        <f aca="false">IF(C1042="","",C1042*IF(Settings!$B$25=Settings!$C$6,1,IF(Settings!$B$25="USD",1/INDEX(Settings!$B$29:$B$40,MONTH(A1042)),INDEX(Settings!$B$29:$B$40,MONTH(A1042)))))</f>
        <v/>
      </c>
    </row>
    <row r="1043" customFormat="false" ht="15" hidden="false" customHeight="false" outlineLevel="0" collapsed="false">
      <c r="H1043" s="0" t="str">
        <f aca="false">IF(B1043="","",IF(COUNTIF(Campaigns!$A$7:$A$300,B1043)&gt;0,"✓","⚠ add to Campaigns tab"))</f>
        <v/>
      </c>
      <c r="I1043" s="84" t="str">
        <f aca="false">IF(C1043="","",C1043*IF(Settings!$B$25=Settings!$C$6,1,IF(Settings!$B$25="USD",1/INDEX(Settings!$B$29:$B$40,MONTH(A1043)),INDEX(Settings!$B$29:$B$40,MONTH(A1043)))))</f>
        <v/>
      </c>
    </row>
    <row r="1044" customFormat="false" ht="15" hidden="false" customHeight="false" outlineLevel="0" collapsed="false">
      <c r="H1044" s="0" t="str">
        <f aca="false">IF(B1044="","",IF(COUNTIF(Campaigns!$A$7:$A$300,B1044)&gt;0,"✓","⚠ add to Campaigns tab"))</f>
        <v/>
      </c>
      <c r="I1044" s="84" t="str">
        <f aca="false">IF(C1044="","",C1044*IF(Settings!$B$25=Settings!$C$6,1,IF(Settings!$B$25="USD",1/INDEX(Settings!$B$29:$B$40,MONTH(A1044)),INDEX(Settings!$B$29:$B$40,MONTH(A1044)))))</f>
        <v/>
      </c>
    </row>
    <row r="1045" customFormat="false" ht="15" hidden="false" customHeight="false" outlineLevel="0" collapsed="false">
      <c r="H1045" s="0" t="str">
        <f aca="false">IF(B1045="","",IF(COUNTIF(Campaigns!$A$7:$A$300,B1045)&gt;0,"✓","⚠ add to Campaigns tab"))</f>
        <v/>
      </c>
      <c r="I1045" s="84" t="str">
        <f aca="false">IF(C1045="","",C1045*IF(Settings!$B$25=Settings!$C$6,1,IF(Settings!$B$25="USD",1/INDEX(Settings!$B$29:$B$40,MONTH(A1045)),INDEX(Settings!$B$29:$B$40,MONTH(A1045)))))</f>
        <v/>
      </c>
    </row>
    <row r="1046" customFormat="false" ht="15" hidden="false" customHeight="false" outlineLevel="0" collapsed="false">
      <c r="H1046" s="0" t="str">
        <f aca="false">IF(B1046="","",IF(COUNTIF(Campaigns!$A$7:$A$300,B1046)&gt;0,"✓","⚠ add to Campaigns tab"))</f>
        <v/>
      </c>
      <c r="I1046" s="84" t="str">
        <f aca="false">IF(C1046="","",C1046*IF(Settings!$B$25=Settings!$C$6,1,IF(Settings!$B$25="USD",1/INDEX(Settings!$B$29:$B$40,MONTH(A1046)),INDEX(Settings!$B$29:$B$40,MONTH(A1046)))))</f>
        <v/>
      </c>
    </row>
    <row r="1047" customFormat="false" ht="15" hidden="false" customHeight="false" outlineLevel="0" collapsed="false">
      <c r="H1047" s="0" t="str">
        <f aca="false">IF(B1047="","",IF(COUNTIF(Campaigns!$A$7:$A$300,B1047)&gt;0,"✓","⚠ add to Campaigns tab"))</f>
        <v/>
      </c>
      <c r="I1047" s="84" t="str">
        <f aca="false">IF(C1047="","",C1047*IF(Settings!$B$25=Settings!$C$6,1,IF(Settings!$B$25="USD",1/INDEX(Settings!$B$29:$B$40,MONTH(A1047)),INDEX(Settings!$B$29:$B$40,MONTH(A1047)))))</f>
        <v/>
      </c>
    </row>
    <row r="1048" customFormat="false" ht="15" hidden="false" customHeight="false" outlineLevel="0" collapsed="false">
      <c r="H1048" s="0" t="str">
        <f aca="false">IF(B1048="","",IF(COUNTIF(Campaigns!$A$7:$A$300,B1048)&gt;0,"✓","⚠ add to Campaigns tab"))</f>
        <v/>
      </c>
      <c r="I1048" s="84" t="str">
        <f aca="false">IF(C1048="","",C1048*IF(Settings!$B$25=Settings!$C$6,1,IF(Settings!$B$25="USD",1/INDEX(Settings!$B$29:$B$40,MONTH(A1048)),INDEX(Settings!$B$29:$B$40,MONTH(A1048)))))</f>
        <v/>
      </c>
    </row>
    <row r="1049" customFormat="false" ht="15" hidden="false" customHeight="false" outlineLevel="0" collapsed="false">
      <c r="H1049" s="0" t="str">
        <f aca="false">IF(B1049="","",IF(COUNTIF(Campaigns!$A$7:$A$300,B1049)&gt;0,"✓","⚠ add to Campaigns tab"))</f>
        <v/>
      </c>
      <c r="I1049" s="84" t="str">
        <f aca="false">IF(C1049="","",C1049*IF(Settings!$B$25=Settings!$C$6,1,IF(Settings!$B$25="USD",1/INDEX(Settings!$B$29:$B$40,MONTH(A1049)),INDEX(Settings!$B$29:$B$40,MONTH(A1049)))))</f>
        <v/>
      </c>
    </row>
    <row r="1050" customFormat="false" ht="15" hidden="false" customHeight="false" outlineLevel="0" collapsed="false">
      <c r="H1050" s="0" t="str">
        <f aca="false">IF(B1050="","",IF(COUNTIF(Campaigns!$A$7:$A$300,B1050)&gt;0,"✓","⚠ add to Campaigns tab"))</f>
        <v/>
      </c>
      <c r="I1050" s="84" t="str">
        <f aca="false">IF(C1050="","",C1050*IF(Settings!$B$25=Settings!$C$6,1,IF(Settings!$B$25="USD",1/INDEX(Settings!$B$29:$B$40,MONTH(A1050)),INDEX(Settings!$B$29:$B$40,MONTH(A1050)))))</f>
        <v/>
      </c>
    </row>
    <row r="1051" customFormat="false" ht="15" hidden="false" customHeight="false" outlineLevel="0" collapsed="false">
      <c r="H1051" s="0" t="str">
        <f aca="false">IF(B1051="","",IF(COUNTIF(Campaigns!$A$7:$A$300,B1051)&gt;0,"✓","⚠ add to Campaigns tab"))</f>
        <v/>
      </c>
      <c r="I1051" s="84" t="str">
        <f aca="false">IF(C1051="","",C1051*IF(Settings!$B$25=Settings!$C$6,1,IF(Settings!$B$25="USD",1/INDEX(Settings!$B$29:$B$40,MONTH(A1051)),INDEX(Settings!$B$29:$B$40,MONTH(A1051)))))</f>
        <v/>
      </c>
    </row>
    <row r="1052" customFormat="false" ht="15" hidden="false" customHeight="false" outlineLevel="0" collapsed="false">
      <c r="H1052" s="0" t="str">
        <f aca="false">IF(B1052="","",IF(COUNTIF(Campaigns!$A$7:$A$300,B1052)&gt;0,"✓","⚠ add to Campaigns tab"))</f>
        <v/>
      </c>
      <c r="I1052" s="84" t="str">
        <f aca="false">IF(C1052="","",C1052*IF(Settings!$B$25=Settings!$C$6,1,IF(Settings!$B$25="USD",1/INDEX(Settings!$B$29:$B$40,MONTH(A1052)),INDEX(Settings!$B$29:$B$40,MONTH(A1052)))))</f>
        <v/>
      </c>
    </row>
    <row r="1053" customFormat="false" ht="15" hidden="false" customHeight="false" outlineLevel="0" collapsed="false">
      <c r="H1053" s="0" t="str">
        <f aca="false">IF(B1053="","",IF(COUNTIF(Campaigns!$A$7:$A$300,B1053)&gt;0,"✓","⚠ add to Campaigns tab"))</f>
        <v/>
      </c>
      <c r="I1053" s="84" t="str">
        <f aca="false">IF(C1053="","",C1053*IF(Settings!$B$25=Settings!$C$6,1,IF(Settings!$B$25="USD",1/INDEX(Settings!$B$29:$B$40,MONTH(A1053)),INDEX(Settings!$B$29:$B$40,MONTH(A1053)))))</f>
        <v/>
      </c>
    </row>
    <row r="1054" customFormat="false" ht="15" hidden="false" customHeight="false" outlineLevel="0" collapsed="false">
      <c r="H1054" s="0" t="str">
        <f aca="false">IF(B1054="","",IF(COUNTIF(Campaigns!$A$7:$A$300,B1054)&gt;0,"✓","⚠ add to Campaigns tab"))</f>
        <v/>
      </c>
      <c r="I1054" s="84" t="str">
        <f aca="false">IF(C1054="","",C1054*IF(Settings!$B$25=Settings!$C$6,1,IF(Settings!$B$25="USD",1/INDEX(Settings!$B$29:$B$40,MONTH(A1054)),INDEX(Settings!$B$29:$B$40,MONTH(A1054)))))</f>
        <v/>
      </c>
    </row>
    <row r="1055" customFormat="false" ht="15" hidden="false" customHeight="false" outlineLevel="0" collapsed="false">
      <c r="H1055" s="0" t="str">
        <f aca="false">IF(B1055="","",IF(COUNTIF(Campaigns!$A$7:$A$300,B1055)&gt;0,"✓","⚠ add to Campaigns tab"))</f>
        <v/>
      </c>
      <c r="I1055" s="84" t="str">
        <f aca="false">IF(C1055="","",C1055*IF(Settings!$B$25=Settings!$C$6,1,IF(Settings!$B$25="USD",1/INDEX(Settings!$B$29:$B$40,MONTH(A1055)),INDEX(Settings!$B$29:$B$40,MONTH(A1055)))))</f>
        <v/>
      </c>
    </row>
    <row r="1056" customFormat="false" ht="15" hidden="false" customHeight="false" outlineLevel="0" collapsed="false">
      <c r="H1056" s="0" t="str">
        <f aca="false">IF(B1056="","",IF(COUNTIF(Campaigns!$A$7:$A$300,B1056)&gt;0,"✓","⚠ add to Campaigns tab"))</f>
        <v/>
      </c>
      <c r="I1056" s="84" t="str">
        <f aca="false">IF(C1056="","",C1056*IF(Settings!$B$25=Settings!$C$6,1,IF(Settings!$B$25="USD",1/INDEX(Settings!$B$29:$B$40,MONTH(A1056)),INDEX(Settings!$B$29:$B$40,MONTH(A1056)))))</f>
        <v/>
      </c>
    </row>
    <row r="1057" customFormat="false" ht="15" hidden="false" customHeight="false" outlineLevel="0" collapsed="false">
      <c r="H1057" s="0" t="str">
        <f aca="false">IF(B1057="","",IF(COUNTIF(Campaigns!$A$7:$A$300,B1057)&gt;0,"✓","⚠ add to Campaigns tab"))</f>
        <v/>
      </c>
      <c r="I1057" s="84" t="str">
        <f aca="false">IF(C1057="","",C1057*IF(Settings!$B$25=Settings!$C$6,1,IF(Settings!$B$25="USD",1/INDEX(Settings!$B$29:$B$40,MONTH(A1057)),INDEX(Settings!$B$29:$B$40,MONTH(A1057)))))</f>
        <v/>
      </c>
    </row>
    <row r="1058" customFormat="false" ht="15" hidden="false" customHeight="false" outlineLevel="0" collapsed="false">
      <c r="H1058" s="0" t="str">
        <f aca="false">IF(B1058="","",IF(COUNTIF(Campaigns!$A$7:$A$300,B1058)&gt;0,"✓","⚠ add to Campaigns tab"))</f>
        <v/>
      </c>
      <c r="I1058" s="84" t="str">
        <f aca="false">IF(C1058="","",C1058*IF(Settings!$B$25=Settings!$C$6,1,IF(Settings!$B$25="USD",1/INDEX(Settings!$B$29:$B$40,MONTH(A1058)),INDEX(Settings!$B$29:$B$40,MONTH(A1058)))))</f>
        <v/>
      </c>
    </row>
    <row r="1059" customFormat="false" ht="15" hidden="false" customHeight="false" outlineLevel="0" collapsed="false">
      <c r="H1059" s="0" t="str">
        <f aca="false">IF(B1059="","",IF(COUNTIF(Campaigns!$A$7:$A$300,B1059)&gt;0,"✓","⚠ add to Campaigns tab"))</f>
        <v/>
      </c>
      <c r="I1059" s="84" t="str">
        <f aca="false">IF(C1059="","",C1059*IF(Settings!$B$25=Settings!$C$6,1,IF(Settings!$B$25="USD",1/INDEX(Settings!$B$29:$B$40,MONTH(A1059)),INDEX(Settings!$B$29:$B$40,MONTH(A1059)))))</f>
        <v/>
      </c>
    </row>
    <row r="1060" customFormat="false" ht="15" hidden="false" customHeight="false" outlineLevel="0" collapsed="false">
      <c r="H1060" s="0" t="str">
        <f aca="false">IF(B1060="","",IF(COUNTIF(Campaigns!$A$7:$A$300,B1060)&gt;0,"✓","⚠ add to Campaigns tab"))</f>
        <v/>
      </c>
      <c r="I1060" s="84" t="str">
        <f aca="false">IF(C1060="","",C1060*IF(Settings!$B$25=Settings!$C$6,1,IF(Settings!$B$25="USD",1/INDEX(Settings!$B$29:$B$40,MONTH(A1060)),INDEX(Settings!$B$29:$B$40,MONTH(A1060)))))</f>
        <v/>
      </c>
    </row>
    <row r="1061" customFormat="false" ht="15" hidden="false" customHeight="false" outlineLevel="0" collapsed="false">
      <c r="H1061" s="0" t="str">
        <f aca="false">IF(B1061="","",IF(COUNTIF(Campaigns!$A$7:$A$300,B1061)&gt;0,"✓","⚠ add to Campaigns tab"))</f>
        <v/>
      </c>
      <c r="I1061" s="84" t="str">
        <f aca="false">IF(C1061="","",C1061*IF(Settings!$B$25=Settings!$C$6,1,IF(Settings!$B$25="USD",1/INDEX(Settings!$B$29:$B$40,MONTH(A1061)),INDEX(Settings!$B$29:$B$40,MONTH(A1061)))))</f>
        <v/>
      </c>
    </row>
    <row r="1062" customFormat="false" ht="15" hidden="false" customHeight="false" outlineLevel="0" collapsed="false">
      <c r="H1062" s="0" t="str">
        <f aca="false">IF(B1062="","",IF(COUNTIF(Campaigns!$A$7:$A$300,B1062)&gt;0,"✓","⚠ add to Campaigns tab"))</f>
        <v/>
      </c>
      <c r="I1062" s="84" t="str">
        <f aca="false">IF(C1062="","",C1062*IF(Settings!$B$25=Settings!$C$6,1,IF(Settings!$B$25="USD",1/INDEX(Settings!$B$29:$B$40,MONTH(A1062)),INDEX(Settings!$B$29:$B$40,MONTH(A1062)))))</f>
        <v/>
      </c>
    </row>
    <row r="1063" customFormat="false" ht="15" hidden="false" customHeight="false" outlineLevel="0" collapsed="false">
      <c r="H1063" s="0" t="str">
        <f aca="false">IF(B1063="","",IF(COUNTIF(Campaigns!$A$7:$A$300,B1063)&gt;0,"✓","⚠ add to Campaigns tab"))</f>
        <v/>
      </c>
      <c r="I1063" s="84" t="str">
        <f aca="false">IF(C1063="","",C1063*IF(Settings!$B$25=Settings!$C$6,1,IF(Settings!$B$25="USD",1/INDEX(Settings!$B$29:$B$40,MONTH(A1063)),INDEX(Settings!$B$29:$B$40,MONTH(A1063)))))</f>
        <v/>
      </c>
    </row>
    <row r="1064" customFormat="false" ht="15" hidden="false" customHeight="false" outlineLevel="0" collapsed="false">
      <c r="H1064" s="0" t="str">
        <f aca="false">IF(B1064="","",IF(COUNTIF(Campaigns!$A$7:$A$300,B1064)&gt;0,"✓","⚠ add to Campaigns tab"))</f>
        <v/>
      </c>
      <c r="I1064" s="84" t="str">
        <f aca="false">IF(C1064="","",C1064*IF(Settings!$B$25=Settings!$C$6,1,IF(Settings!$B$25="USD",1/INDEX(Settings!$B$29:$B$40,MONTH(A1064)),INDEX(Settings!$B$29:$B$40,MONTH(A1064)))))</f>
        <v/>
      </c>
    </row>
    <row r="1065" customFormat="false" ht="15" hidden="false" customHeight="false" outlineLevel="0" collapsed="false">
      <c r="H1065" s="0" t="str">
        <f aca="false">IF(B1065="","",IF(COUNTIF(Campaigns!$A$7:$A$300,B1065)&gt;0,"✓","⚠ add to Campaigns tab"))</f>
        <v/>
      </c>
      <c r="I1065" s="84" t="str">
        <f aca="false">IF(C1065="","",C1065*IF(Settings!$B$25=Settings!$C$6,1,IF(Settings!$B$25="USD",1/INDEX(Settings!$B$29:$B$40,MONTH(A1065)),INDEX(Settings!$B$29:$B$40,MONTH(A1065)))))</f>
        <v/>
      </c>
    </row>
    <row r="1066" customFormat="false" ht="15" hidden="false" customHeight="false" outlineLevel="0" collapsed="false">
      <c r="H1066" s="0" t="str">
        <f aca="false">IF(B1066="","",IF(COUNTIF(Campaigns!$A$7:$A$300,B1066)&gt;0,"✓","⚠ add to Campaigns tab"))</f>
        <v/>
      </c>
      <c r="I1066" s="84" t="str">
        <f aca="false">IF(C1066="","",C1066*IF(Settings!$B$25=Settings!$C$6,1,IF(Settings!$B$25="USD",1/INDEX(Settings!$B$29:$B$40,MONTH(A1066)),INDEX(Settings!$B$29:$B$40,MONTH(A1066)))))</f>
        <v/>
      </c>
    </row>
    <row r="1067" customFormat="false" ht="15" hidden="false" customHeight="false" outlineLevel="0" collapsed="false">
      <c r="H1067" s="0" t="str">
        <f aca="false">IF(B1067="","",IF(COUNTIF(Campaigns!$A$7:$A$300,B1067)&gt;0,"✓","⚠ add to Campaigns tab"))</f>
        <v/>
      </c>
      <c r="I1067" s="84" t="str">
        <f aca="false">IF(C1067="","",C1067*IF(Settings!$B$25=Settings!$C$6,1,IF(Settings!$B$25="USD",1/INDEX(Settings!$B$29:$B$40,MONTH(A1067)),INDEX(Settings!$B$29:$B$40,MONTH(A1067)))))</f>
        <v/>
      </c>
    </row>
    <row r="1068" customFormat="false" ht="15" hidden="false" customHeight="false" outlineLevel="0" collapsed="false">
      <c r="H1068" s="0" t="str">
        <f aca="false">IF(B1068="","",IF(COUNTIF(Campaigns!$A$7:$A$300,B1068)&gt;0,"✓","⚠ add to Campaigns tab"))</f>
        <v/>
      </c>
      <c r="I1068" s="84" t="str">
        <f aca="false">IF(C1068="","",C1068*IF(Settings!$B$25=Settings!$C$6,1,IF(Settings!$B$25="USD",1/INDEX(Settings!$B$29:$B$40,MONTH(A1068)),INDEX(Settings!$B$29:$B$40,MONTH(A1068)))))</f>
        <v/>
      </c>
    </row>
    <row r="1069" customFormat="false" ht="15" hidden="false" customHeight="false" outlineLevel="0" collapsed="false">
      <c r="H1069" s="0" t="str">
        <f aca="false">IF(B1069="","",IF(COUNTIF(Campaigns!$A$7:$A$300,B1069)&gt;0,"✓","⚠ add to Campaigns tab"))</f>
        <v/>
      </c>
      <c r="I1069" s="84" t="str">
        <f aca="false">IF(C1069="","",C1069*IF(Settings!$B$25=Settings!$C$6,1,IF(Settings!$B$25="USD",1/INDEX(Settings!$B$29:$B$40,MONTH(A1069)),INDEX(Settings!$B$29:$B$40,MONTH(A1069)))))</f>
        <v/>
      </c>
    </row>
    <row r="1070" customFormat="false" ht="15" hidden="false" customHeight="false" outlineLevel="0" collapsed="false">
      <c r="H1070" s="0" t="str">
        <f aca="false">IF(B1070="","",IF(COUNTIF(Campaigns!$A$7:$A$300,B1070)&gt;0,"✓","⚠ add to Campaigns tab"))</f>
        <v/>
      </c>
      <c r="I1070" s="84" t="str">
        <f aca="false">IF(C1070="","",C1070*IF(Settings!$B$25=Settings!$C$6,1,IF(Settings!$B$25="USD",1/INDEX(Settings!$B$29:$B$40,MONTH(A1070)),INDEX(Settings!$B$29:$B$40,MONTH(A1070)))))</f>
        <v/>
      </c>
    </row>
    <row r="1071" customFormat="false" ht="15" hidden="false" customHeight="false" outlineLevel="0" collapsed="false">
      <c r="H1071" s="0" t="str">
        <f aca="false">IF(B1071="","",IF(COUNTIF(Campaigns!$A$7:$A$300,B1071)&gt;0,"✓","⚠ add to Campaigns tab"))</f>
        <v/>
      </c>
      <c r="I1071" s="84" t="str">
        <f aca="false">IF(C1071="","",C1071*IF(Settings!$B$25=Settings!$C$6,1,IF(Settings!$B$25="USD",1/INDEX(Settings!$B$29:$B$40,MONTH(A1071)),INDEX(Settings!$B$29:$B$40,MONTH(A1071)))))</f>
        <v/>
      </c>
    </row>
    <row r="1072" customFormat="false" ht="15" hidden="false" customHeight="false" outlineLevel="0" collapsed="false">
      <c r="H1072" s="0" t="str">
        <f aca="false">IF(B1072="","",IF(COUNTIF(Campaigns!$A$7:$A$300,B1072)&gt;0,"✓","⚠ add to Campaigns tab"))</f>
        <v/>
      </c>
      <c r="I1072" s="84" t="str">
        <f aca="false">IF(C1072="","",C1072*IF(Settings!$B$25=Settings!$C$6,1,IF(Settings!$B$25="USD",1/INDEX(Settings!$B$29:$B$40,MONTH(A1072)),INDEX(Settings!$B$29:$B$40,MONTH(A1072)))))</f>
        <v/>
      </c>
    </row>
    <row r="1073" customFormat="false" ht="15" hidden="false" customHeight="false" outlineLevel="0" collapsed="false">
      <c r="H1073" s="0" t="str">
        <f aca="false">IF(B1073="","",IF(COUNTIF(Campaigns!$A$7:$A$300,B1073)&gt;0,"✓","⚠ add to Campaigns tab"))</f>
        <v/>
      </c>
      <c r="I1073" s="84" t="str">
        <f aca="false">IF(C1073="","",C1073*IF(Settings!$B$25=Settings!$C$6,1,IF(Settings!$B$25="USD",1/INDEX(Settings!$B$29:$B$40,MONTH(A1073)),INDEX(Settings!$B$29:$B$40,MONTH(A1073)))))</f>
        <v/>
      </c>
    </row>
    <row r="1074" customFormat="false" ht="15" hidden="false" customHeight="false" outlineLevel="0" collapsed="false">
      <c r="H1074" s="0" t="str">
        <f aca="false">IF(B1074="","",IF(COUNTIF(Campaigns!$A$7:$A$300,B1074)&gt;0,"✓","⚠ add to Campaigns tab"))</f>
        <v/>
      </c>
      <c r="I1074" s="84" t="str">
        <f aca="false">IF(C1074="","",C1074*IF(Settings!$B$25=Settings!$C$6,1,IF(Settings!$B$25="USD",1/INDEX(Settings!$B$29:$B$40,MONTH(A1074)),INDEX(Settings!$B$29:$B$40,MONTH(A1074)))))</f>
        <v/>
      </c>
    </row>
    <row r="1075" customFormat="false" ht="15" hidden="false" customHeight="false" outlineLevel="0" collapsed="false">
      <c r="H1075" s="0" t="str">
        <f aca="false">IF(B1075="","",IF(COUNTIF(Campaigns!$A$7:$A$300,B1075)&gt;0,"✓","⚠ add to Campaigns tab"))</f>
        <v/>
      </c>
      <c r="I1075" s="84" t="str">
        <f aca="false">IF(C1075="","",C1075*IF(Settings!$B$25=Settings!$C$6,1,IF(Settings!$B$25="USD",1/INDEX(Settings!$B$29:$B$40,MONTH(A1075)),INDEX(Settings!$B$29:$B$40,MONTH(A1075)))))</f>
        <v/>
      </c>
    </row>
    <row r="1076" customFormat="false" ht="15" hidden="false" customHeight="false" outlineLevel="0" collapsed="false">
      <c r="H1076" s="0" t="str">
        <f aca="false">IF(B1076="","",IF(COUNTIF(Campaigns!$A$7:$A$300,B1076)&gt;0,"✓","⚠ add to Campaigns tab"))</f>
        <v/>
      </c>
      <c r="I1076" s="84" t="str">
        <f aca="false">IF(C1076="","",C1076*IF(Settings!$B$25=Settings!$C$6,1,IF(Settings!$B$25="USD",1/INDEX(Settings!$B$29:$B$40,MONTH(A1076)),INDEX(Settings!$B$29:$B$40,MONTH(A1076)))))</f>
        <v/>
      </c>
    </row>
    <row r="1077" customFormat="false" ht="15" hidden="false" customHeight="false" outlineLevel="0" collapsed="false">
      <c r="H1077" s="0" t="str">
        <f aca="false">IF(B1077="","",IF(COUNTIF(Campaigns!$A$7:$A$300,B1077)&gt;0,"✓","⚠ add to Campaigns tab"))</f>
        <v/>
      </c>
      <c r="I1077" s="84" t="str">
        <f aca="false">IF(C1077="","",C1077*IF(Settings!$B$25=Settings!$C$6,1,IF(Settings!$B$25="USD",1/INDEX(Settings!$B$29:$B$40,MONTH(A1077)),INDEX(Settings!$B$29:$B$40,MONTH(A1077)))))</f>
        <v/>
      </c>
    </row>
    <row r="1078" customFormat="false" ht="15" hidden="false" customHeight="false" outlineLevel="0" collapsed="false">
      <c r="H1078" s="0" t="str">
        <f aca="false">IF(B1078="","",IF(COUNTIF(Campaigns!$A$7:$A$300,B1078)&gt;0,"✓","⚠ add to Campaigns tab"))</f>
        <v/>
      </c>
      <c r="I1078" s="84" t="str">
        <f aca="false">IF(C1078="","",C1078*IF(Settings!$B$25=Settings!$C$6,1,IF(Settings!$B$25="USD",1/INDEX(Settings!$B$29:$B$40,MONTH(A1078)),INDEX(Settings!$B$29:$B$40,MONTH(A1078)))))</f>
        <v/>
      </c>
    </row>
    <row r="1079" customFormat="false" ht="15" hidden="false" customHeight="false" outlineLevel="0" collapsed="false">
      <c r="H1079" s="0" t="str">
        <f aca="false">IF(B1079="","",IF(COUNTIF(Campaigns!$A$7:$A$300,B1079)&gt;0,"✓","⚠ add to Campaigns tab"))</f>
        <v/>
      </c>
      <c r="I1079" s="84" t="str">
        <f aca="false">IF(C1079="","",C1079*IF(Settings!$B$25=Settings!$C$6,1,IF(Settings!$B$25="USD",1/INDEX(Settings!$B$29:$B$40,MONTH(A1079)),INDEX(Settings!$B$29:$B$40,MONTH(A1079)))))</f>
        <v/>
      </c>
    </row>
    <row r="1080" customFormat="false" ht="15" hidden="false" customHeight="false" outlineLevel="0" collapsed="false">
      <c r="H1080" s="0" t="str">
        <f aca="false">IF(B1080="","",IF(COUNTIF(Campaigns!$A$7:$A$300,B1080)&gt;0,"✓","⚠ add to Campaigns tab"))</f>
        <v/>
      </c>
      <c r="I1080" s="84" t="str">
        <f aca="false">IF(C1080="","",C1080*IF(Settings!$B$25=Settings!$C$6,1,IF(Settings!$B$25="USD",1/INDEX(Settings!$B$29:$B$40,MONTH(A1080)),INDEX(Settings!$B$29:$B$40,MONTH(A1080)))))</f>
        <v/>
      </c>
    </row>
    <row r="1081" customFormat="false" ht="15" hidden="false" customHeight="false" outlineLevel="0" collapsed="false">
      <c r="H1081" s="0" t="str">
        <f aca="false">IF(B1081="","",IF(COUNTIF(Campaigns!$A$7:$A$300,B1081)&gt;0,"✓","⚠ add to Campaigns tab"))</f>
        <v/>
      </c>
      <c r="I1081" s="84" t="str">
        <f aca="false">IF(C1081="","",C1081*IF(Settings!$B$25=Settings!$C$6,1,IF(Settings!$B$25="USD",1/INDEX(Settings!$B$29:$B$40,MONTH(A1081)),INDEX(Settings!$B$29:$B$40,MONTH(A1081)))))</f>
        <v/>
      </c>
    </row>
    <row r="1082" customFormat="false" ht="15" hidden="false" customHeight="false" outlineLevel="0" collapsed="false">
      <c r="H1082" s="0" t="str">
        <f aca="false">IF(B1082="","",IF(COUNTIF(Campaigns!$A$7:$A$300,B1082)&gt;0,"✓","⚠ add to Campaigns tab"))</f>
        <v/>
      </c>
      <c r="I1082" s="84" t="str">
        <f aca="false">IF(C1082="","",C1082*IF(Settings!$B$25=Settings!$C$6,1,IF(Settings!$B$25="USD",1/INDEX(Settings!$B$29:$B$40,MONTH(A1082)),INDEX(Settings!$B$29:$B$40,MONTH(A1082)))))</f>
        <v/>
      </c>
    </row>
    <row r="1083" customFormat="false" ht="15" hidden="false" customHeight="false" outlineLevel="0" collapsed="false">
      <c r="H1083" s="0" t="str">
        <f aca="false">IF(B1083="","",IF(COUNTIF(Campaigns!$A$7:$A$300,B1083)&gt;0,"✓","⚠ add to Campaigns tab"))</f>
        <v/>
      </c>
      <c r="I1083" s="84" t="str">
        <f aca="false">IF(C1083="","",C1083*IF(Settings!$B$25=Settings!$C$6,1,IF(Settings!$B$25="USD",1/INDEX(Settings!$B$29:$B$40,MONTH(A1083)),INDEX(Settings!$B$29:$B$40,MONTH(A1083)))))</f>
        <v/>
      </c>
    </row>
    <row r="1084" customFormat="false" ht="15" hidden="false" customHeight="false" outlineLevel="0" collapsed="false">
      <c r="H1084" s="0" t="str">
        <f aca="false">IF(B1084="","",IF(COUNTIF(Campaigns!$A$7:$A$300,B1084)&gt;0,"✓","⚠ add to Campaigns tab"))</f>
        <v/>
      </c>
      <c r="I1084" s="84" t="str">
        <f aca="false">IF(C1084="","",C1084*IF(Settings!$B$25=Settings!$C$6,1,IF(Settings!$B$25="USD",1/INDEX(Settings!$B$29:$B$40,MONTH(A1084)),INDEX(Settings!$B$29:$B$40,MONTH(A1084)))))</f>
        <v/>
      </c>
    </row>
    <row r="1085" customFormat="false" ht="15" hidden="false" customHeight="false" outlineLevel="0" collapsed="false">
      <c r="H1085" s="0" t="str">
        <f aca="false">IF(B1085="","",IF(COUNTIF(Campaigns!$A$7:$A$300,B1085)&gt;0,"✓","⚠ add to Campaigns tab"))</f>
        <v/>
      </c>
      <c r="I1085" s="84" t="str">
        <f aca="false">IF(C1085="","",C1085*IF(Settings!$B$25=Settings!$C$6,1,IF(Settings!$B$25="USD",1/INDEX(Settings!$B$29:$B$40,MONTH(A1085)),INDEX(Settings!$B$29:$B$40,MONTH(A1085)))))</f>
        <v/>
      </c>
    </row>
    <row r="1086" customFormat="false" ht="15" hidden="false" customHeight="false" outlineLevel="0" collapsed="false">
      <c r="H1086" s="0" t="str">
        <f aca="false">IF(B1086="","",IF(COUNTIF(Campaigns!$A$7:$A$300,B1086)&gt;0,"✓","⚠ add to Campaigns tab"))</f>
        <v/>
      </c>
      <c r="I1086" s="84" t="str">
        <f aca="false">IF(C1086="","",C1086*IF(Settings!$B$25=Settings!$C$6,1,IF(Settings!$B$25="USD",1/INDEX(Settings!$B$29:$B$40,MONTH(A1086)),INDEX(Settings!$B$29:$B$40,MONTH(A1086)))))</f>
        <v/>
      </c>
    </row>
    <row r="1087" customFormat="false" ht="15" hidden="false" customHeight="false" outlineLevel="0" collapsed="false">
      <c r="H1087" s="0" t="str">
        <f aca="false">IF(B1087="","",IF(COUNTIF(Campaigns!$A$7:$A$300,B1087)&gt;0,"✓","⚠ add to Campaigns tab"))</f>
        <v/>
      </c>
      <c r="I1087" s="84" t="str">
        <f aca="false">IF(C1087="","",C1087*IF(Settings!$B$25=Settings!$C$6,1,IF(Settings!$B$25="USD",1/INDEX(Settings!$B$29:$B$40,MONTH(A1087)),INDEX(Settings!$B$29:$B$40,MONTH(A1087)))))</f>
        <v/>
      </c>
    </row>
    <row r="1088" customFormat="false" ht="15" hidden="false" customHeight="false" outlineLevel="0" collapsed="false">
      <c r="H1088" s="0" t="str">
        <f aca="false">IF(B1088="","",IF(COUNTIF(Campaigns!$A$7:$A$300,B1088)&gt;0,"✓","⚠ add to Campaigns tab"))</f>
        <v/>
      </c>
      <c r="I1088" s="84" t="str">
        <f aca="false">IF(C1088="","",C1088*IF(Settings!$B$25=Settings!$C$6,1,IF(Settings!$B$25="USD",1/INDEX(Settings!$B$29:$B$40,MONTH(A1088)),INDEX(Settings!$B$29:$B$40,MONTH(A1088)))))</f>
        <v/>
      </c>
    </row>
    <row r="1089" customFormat="false" ht="15" hidden="false" customHeight="false" outlineLevel="0" collapsed="false">
      <c r="H1089" s="0" t="str">
        <f aca="false">IF(B1089="","",IF(COUNTIF(Campaigns!$A$7:$A$300,B1089)&gt;0,"✓","⚠ add to Campaigns tab"))</f>
        <v/>
      </c>
      <c r="I1089" s="84" t="str">
        <f aca="false">IF(C1089="","",C1089*IF(Settings!$B$25=Settings!$C$6,1,IF(Settings!$B$25="USD",1/INDEX(Settings!$B$29:$B$40,MONTH(A1089)),INDEX(Settings!$B$29:$B$40,MONTH(A1089)))))</f>
        <v/>
      </c>
    </row>
    <row r="1090" customFormat="false" ht="15" hidden="false" customHeight="false" outlineLevel="0" collapsed="false">
      <c r="H1090" s="0" t="str">
        <f aca="false">IF(B1090="","",IF(COUNTIF(Campaigns!$A$7:$A$300,B1090)&gt;0,"✓","⚠ add to Campaigns tab"))</f>
        <v/>
      </c>
      <c r="I1090" s="84" t="str">
        <f aca="false">IF(C1090="","",C1090*IF(Settings!$B$25=Settings!$C$6,1,IF(Settings!$B$25="USD",1/INDEX(Settings!$B$29:$B$40,MONTH(A1090)),INDEX(Settings!$B$29:$B$40,MONTH(A1090)))))</f>
        <v/>
      </c>
    </row>
    <row r="1091" customFormat="false" ht="15" hidden="false" customHeight="false" outlineLevel="0" collapsed="false">
      <c r="H1091" s="0" t="str">
        <f aca="false">IF(B1091="","",IF(COUNTIF(Campaigns!$A$7:$A$300,B1091)&gt;0,"✓","⚠ add to Campaigns tab"))</f>
        <v/>
      </c>
      <c r="I1091" s="84" t="str">
        <f aca="false">IF(C1091="","",C1091*IF(Settings!$B$25=Settings!$C$6,1,IF(Settings!$B$25="USD",1/INDEX(Settings!$B$29:$B$40,MONTH(A1091)),INDEX(Settings!$B$29:$B$40,MONTH(A1091)))))</f>
        <v/>
      </c>
    </row>
    <row r="1092" customFormat="false" ht="15" hidden="false" customHeight="false" outlineLevel="0" collapsed="false">
      <c r="H1092" s="0" t="str">
        <f aca="false">IF(B1092="","",IF(COUNTIF(Campaigns!$A$7:$A$300,B1092)&gt;0,"✓","⚠ add to Campaigns tab"))</f>
        <v/>
      </c>
      <c r="I1092" s="84" t="str">
        <f aca="false">IF(C1092="","",C1092*IF(Settings!$B$25=Settings!$C$6,1,IF(Settings!$B$25="USD",1/INDEX(Settings!$B$29:$B$40,MONTH(A1092)),INDEX(Settings!$B$29:$B$40,MONTH(A1092)))))</f>
        <v/>
      </c>
    </row>
    <row r="1093" customFormat="false" ht="15" hidden="false" customHeight="false" outlineLevel="0" collapsed="false">
      <c r="H1093" s="0" t="str">
        <f aca="false">IF(B1093="","",IF(COUNTIF(Campaigns!$A$7:$A$300,B1093)&gt;0,"✓","⚠ add to Campaigns tab"))</f>
        <v/>
      </c>
      <c r="I1093" s="84" t="str">
        <f aca="false">IF(C1093="","",C1093*IF(Settings!$B$25=Settings!$C$6,1,IF(Settings!$B$25="USD",1/INDEX(Settings!$B$29:$B$40,MONTH(A1093)),INDEX(Settings!$B$29:$B$40,MONTH(A1093)))))</f>
        <v/>
      </c>
    </row>
    <row r="1094" customFormat="false" ht="15" hidden="false" customHeight="false" outlineLevel="0" collapsed="false">
      <c r="H1094" s="0" t="str">
        <f aca="false">IF(B1094="","",IF(COUNTIF(Campaigns!$A$7:$A$300,B1094)&gt;0,"✓","⚠ add to Campaigns tab"))</f>
        <v/>
      </c>
      <c r="I1094" s="84" t="str">
        <f aca="false">IF(C1094="","",C1094*IF(Settings!$B$25=Settings!$C$6,1,IF(Settings!$B$25="USD",1/INDEX(Settings!$B$29:$B$40,MONTH(A1094)),INDEX(Settings!$B$29:$B$40,MONTH(A1094)))))</f>
        <v/>
      </c>
    </row>
    <row r="1095" customFormat="false" ht="15" hidden="false" customHeight="false" outlineLevel="0" collapsed="false">
      <c r="H1095" s="0" t="str">
        <f aca="false">IF(B1095="","",IF(COUNTIF(Campaigns!$A$7:$A$300,B1095)&gt;0,"✓","⚠ add to Campaigns tab"))</f>
        <v/>
      </c>
      <c r="I1095" s="84" t="str">
        <f aca="false">IF(C1095="","",C1095*IF(Settings!$B$25=Settings!$C$6,1,IF(Settings!$B$25="USD",1/INDEX(Settings!$B$29:$B$40,MONTH(A1095)),INDEX(Settings!$B$29:$B$40,MONTH(A1095)))))</f>
        <v/>
      </c>
    </row>
    <row r="1096" customFormat="false" ht="15" hidden="false" customHeight="false" outlineLevel="0" collapsed="false">
      <c r="H1096" s="0" t="str">
        <f aca="false">IF(B1096="","",IF(COUNTIF(Campaigns!$A$7:$A$300,B1096)&gt;0,"✓","⚠ add to Campaigns tab"))</f>
        <v/>
      </c>
      <c r="I1096" s="84" t="str">
        <f aca="false">IF(C1096="","",C1096*IF(Settings!$B$25=Settings!$C$6,1,IF(Settings!$B$25="USD",1/INDEX(Settings!$B$29:$B$40,MONTH(A1096)),INDEX(Settings!$B$29:$B$40,MONTH(A1096)))))</f>
        <v/>
      </c>
    </row>
    <row r="1097" customFormat="false" ht="15" hidden="false" customHeight="false" outlineLevel="0" collapsed="false">
      <c r="H1097" s="0" t="str">
        <f aca="false">IF(B1097="","",IF(COUNTIF(Campaigns!$A$7:$A$300,B1097)&gt;0,"✓","⚠ add to Campaigns tab"))</f>
        <v/>
      </c>
      <c r="I1097" s="84" t="str">
        <f aca="false">IF(C1097="","",C1097*IF(Settings!$B$25=Settings!$C$6,1,IF(Settings!$B$25="USD",1/INDEX(Settings!$B$29:$B$40,MONTH(A1097)),INDEX(Settings!$B$29:$B$40,MONTH(A1097)))))</f>
        <v/>
      </c>
    </row>
    <row r="1098" customFormat="false" ht="15" hidden="false" customHeight="false" outlineLevel="0" collapsed="false">
      <c r="H1098" s="0" t="str">
        <f aca="false">IF(B1098="","",IF(COUNTIF(Campaigns!$A$7:$A$300,B1098)&gt;0,"✓","⚠ add to Campaigns tab"))</f>
        <v/>
      </c>
      <c r="I1098" s="84" t="str">
        <f aca="false">IF(C1098="","",C1098*IF(Settings!$B$25=Settings!$C$6,1,IF(Settings!$B$25="USD",1/INDEX(Settings!$B$29:$B$40,MONTH(A1098)),INDEX(Settings!$B$29:$B$40,MONTH(A1098)))))</f>
        <v/>
      </c>
    </row>
    <row r="1099" customFormat="false" ht="15" hidden="false" customHeight="false" outlineLevel="0" collapsed="false">
      <c r="H1099" s="0" t="str">
        <f aca="false">IF(B1099="","",IF(COUNTIF(Campaigns!$A$7:$A$300,B1099)&gt;0,"✓","⚠ add to Campaigns tab"))</f>
        <v/>
      </c>
      <c r="I1099" s="84" t="str">
        <f aca="false">IF(C1099="","",C1099*IF(Settings!$B$25=Settings!$C$6,1,IF(Settings!$B$25="USD",1/INDEX(Settings!$B$29:$B$40,MONTH(A1099)),INDEX(Settings!$B$29:$B$40,MONTH(A1099)))))</f>
        <v/>
      </c>
    </row>
    <row r="1100" customFormat="false" ht="15" hidden="false" customHeight="false" outlineLevel="0" collapsed="false">
      <c r="H1100" s="0" t="str">
        <f aca="false">IF(B1100="","",IF(COUNTIF(Campaigns!$A$7:$A$300,B1100)&gt;0,"✓","⚠ add to Campaigns tab"))</f>
        <v/>
      </c>
      <c r="I1100" s="84" t="str">
        <f aca="false">IF(C1100="","",C1100*IF(Settings!$B$25=Settings!$C$6,1,IF(Settings!$B$25="USD",1/INDEX(Settings!$B$29:$B$40,MONTH(A1100)),INDEX(Settings!$B$29:$B$40,MONTH(A1100)))))</f>
        <v/>
      </c>
    </row>
    <row r="1101" customFormat="false" ht="15" hidden="false" customHeight="false" outlineLevel="0" collapsed="false">
      <c r="H1101" s="0" t="str">
        <f aca="false">IF(B1101="","",IF(COUNTIF(Campaigns!$A$7:$A$300,B1101)&gt;0,"✓","⚠ add to Campaigns tab"))</f>
        <v/>
      </c>
      <c r="I1101" s="84" t="str">
        <f aca="false">IF(C1101="","",C1101*IF(Settings!$B$25=Settings!$C$6,1,IF(Settings!$B$25="USD",1/INDEX(Settings!$B$29:$B$40,MONTH(A1101)),INDEX(Settings!$B$29:$B$40,MONTH(A1101)))))</f>
        <v/>
      </c>
    </row>
    <row r="1102" customFormat="false" ht="15" hidden="false" customHeight="false" outlineLevel="0" collapsed="false">
      <c r="H1102" s="0" t="str">
        <f aca="false">IF(B1102="","",IF(COUNTIF(Campaigns!$A$7:$A$300,B1102)&gt;0,"✓","⚠ add to Campaigns tab"))</f>
        <v/>
      </c>
      <c r="I1102" s="84" t="str">
        <f aca="false">IF(C1102="","",C1102*IF(Settings!$B$25=Settings!$C$6,1,IF(Settings!$B$25="USD",1/INDEX(Settings!$B$29:$B$40,MONTH(A1102)),INDEX(Settings!$B$29:$B$40,MONTH(A1102)))))</f>
        <v/>
      </c>
    </row>
    <row r="1103" customFormat="false" ht="15" hidden="false" customHeight="false" outlineLevel="0" collapsed="false">
      <c r="H1103" s="0" t="str">
        <f aca="false">IF(B1103="","",IF(COUNTIF(Campaigns!$A$7:$A$300,B1103)&gt;0,"✓","⚠ add to Campaigns tab"))</f>
        <v/>
      </c>
      <c r="I1103" s="84" t="str">
        <f aca="false">IF(C1103="","",C1103*IF(Settings!$B$25=Settings!$C$6,1,IF(Settings!$B$25="USD",1/INDEX(Settings!$B$29:$B$40,MONTH(A1103)),INDEX(Settings!$B$29:$B$40,MONTH(A1103)))))</f>
        <v/>
      </c>
    </row>
    <row r="1104" customFormat="false" ht="15" hidden="false" customHeight="false" outlineLevel="0" collapsed="false">
      <c r="H1104" s="0" t="str">
        <f aca="false">IF(B1104="","",IF(COUNTIF(Campaigns!$A$7:$A$300,B1104)&gt;0,"✓","⚠ add to Campaigns tab"))</f>
        <v/>
      </c>
      <c r="I1104" s="84" t="str">
        <f aca="false">IF(C1104="","",C1104*IF(Settings!$B$25=Settings!$C$6,1,IF(Settings!$B$25="USD",1/INDEX(Settings!$B$29:$B$40,MONTH(A1104)),INDEX(Settings!$B$29:$B$40,MONTH(A1104)))))</f>
        <v/>
      </c>
    </row>
    <row r="1105" customFormat="false" ht="15" hidden="false" customHeight="false" outlineLevel="0" collapsed="false">
      <c r="H1105" s="0" t="str">
        <f aca="false">IF(B1105="","",IF(COUNTIF(Campaigns!$A$7:$A$300,B1105)&gt;0,"✓","⚠ add to Campaigns tab"))</f>
        <v/>
      </c>
      <c r="I1105" s="84" t="str">
        <f aca="false">IF(C1105="","",C1105*IF(Settings!$B$25=Settings!$C$6,1,IF(Settings!$B$25="USD",1/INDEX(Settings!$B$29:$B$40,MONTH(A1105)),INDEX(Settings!$B$29:$B$40,MONTH(A1105)))))</f>
        <v/>
      </c>
    </row>
    <row r="1106" customFormat="false" ht="15" hidden="false" customHeight="false" outlineLevel="0" collapsed="false">
      <c r="H1106" s="0" t="str">
        <f aca="false">IF(B1106="","",IF(COUNTIF(Campaigns!$A$7:$A$300,B1106)&gt;0,"✓","⚠ add to Campaigns tab"))</f>
        <v/>
      </c>
      <c r="I1106" s="84" t="str">
        <f aca="false">IF(C1106="","",C1106*IF(Settings!$B$25=Settings!$C$6,1,IF(Settings!$B$25="USD",1/INDEX(Settings!$B$29:$B$40,MONTH(A1106)),INDEX(Settings!$B$29:$B$40,MONTH(A1106)))))</f>
        <v/>
      </c>
    </row>
    <row r="1107" customFormat="false" ht="15" hidden="false" customHeight="false" outlineLevel="0" collapsed="false">
      <c r="H1107" s="0" t="str">
        <f aca="false">IF(B1107="","",IF(COUNTIF(Campaigns!$A$7:$A$300,B1107)&gt;0,"✓","⚠ add to Campaigns tab"))</f>
        <v/>
      </c>
      <c r="I1107" s="84" t="str">
        <f aca="false">IF(C1107="","",C1107*IF(Settings!$B$25=Settings!$C$6,1,IF(Settings!$B$25="USD",1/INDEX(Settings!$B$29:$B$40,MONTH(A1107)),INDEX(Settings!$B$29:$B$40,MONTH(A1107)))))</f>
        <v/>
      </c>
    </row>
    <row r="1108" customFormat="false" ht="15" hidden="false" customHeight="false" outlineLevel="0" collapsed="false">
      <c r="H1108" s="0" t="str">
        <f aca="false">IF(B1108="","",IF(COUNTIF(Campaigns!$A$7:$A$300,B1108)&gt;0,"✓","⚠ add to Campaigns tab"))</f>
        <v/>
      </c>
      <c r="I1108" s="84" t="str">
        <f aca="false">IF(C1108="","",C1108*IF(Settings!$B$25=Settings!$C$6,1,IF(Settings!$B$25="USD",1/INDEX(Settings!$B$29:$B$40,MONTH(A1108)),INDEX(Settings!$B$29:$B$40,MONTH(A1108)))))</f>
        <v/>
      </c>
    </row>
    <row r="1109" customFormat="false" ht="15" hidden="false" customHeight="false" outlineLevel="0" collapsed="false">
      <c r="H1109" s="0" t="str">
        <f aca="false">IF(B1109="","",IF(COUNTIF(Campaigns!$A$7:$A$300,B1109)&gt;0,"✓","⚠ add to Campaigns tab"))</f>
        <v/>
      </c>
      <c r="I1109" s="84" t="str">
        <f aca="false">IF(C1109="","",C1109*IF(Settings!$B$25=Settings!$C$6,1,IF(Settings!$B$25="USD",1/INDEX(Settings!$B$29:$B$40,MONTH(A1109)),INDEX(Settings!$B$29:$B$40,MONTH(A1109)))))</f>
        <v/>
      </c>
    </row>
    <row r="1110" customFormat="false" ht="15" hidden="false" customHeight="false" outlineLevel="0" collapsed="false">
      <c r="H1110" s="0" t="str">
        <f aca="false">IF(B1110="","",IF(COUNTIF(Campaigns!$A$7:$A$300,B1110)&gt;0,"✓","⚠ add to Campaigns tab"))</f>
        <v/>
      </c>
      <c r="I1110" s="84" t="str">
        <f aca="false">IF(C1110="","",C1110*IF(Settings!$B$25=Settings!$C$6,1,IF(Settings!$B$25="USD",1/INDEX(Settings!$B$29:$B$40,MONTH(A1110)),INDEX(Settings!$B$29:$B$40,MONTH(A1110)))))</f>
        <v/>
      </c>
    </row>
    <row r="1111" customFormat="false" ht="15" hidden="false" customHeight="false" outlineLevel="0" collapsed="false">
      <c r="H1111" s="0" t="str">
        <f aca="false">IF(B1111="","",IF(COUNTIF(Campaigns!$A$7:$A$300,B1111)&gt;0,"✓","⚠ add to Campaigns tab"))</f>
        <v/>
      </c>
      <c r="I1111" s="84" t="str">
        <f aca="false">IF(C1111="","",C1111*IF(Settings!$B$25=Settings!$C$6,1,IF(Settings!$B$25="USD",1/INDEX(Settings!$B$29:$B$40,MONTH(A1111)),INDEX(Settings!$B$29:$B$40,MONTH(A1111)))))</f>
        <v/>
      </c>
    </row>
    <row r="1112" customFormat="false" ht="15" hidden="false" customHeight="false" outlineLevel="0" collapsed="false">
      <c r="H1112" s="0" t="str">
        <f aca="false">IF(B1112="","",IF(COUNTIF(Campaigns!$A$7:$A$300,B1112)&gt;0,"✓","⚠ add to Campaigns tab"))</f>
        <v/>
      </c>
      <c r="I1112" s="84" t="str">
        <f aca="false">IF(C1112="","",C1112*IF(Settings!$B$25=Settings!$C$6,1,IF(Settings!$B$25="USD",1/INDEX(Settings!$B$29:$B$40,MONTH(A1112)),INDEX(Settings!$B$29:$B$40,MONTH(A1112)))))</f>
        <v/>
      </c>
    </row>
    <row r="1113" customFormat="false" ht="15" hidden="false" customHeight="false" outlineLevel="0" collapsed="false">
      <c r="H1113" s="0" t="str">
        <f aca="false">IF(B1113="","",IF(COUNTIF(Campaigns!$A$7:$A$300,B1113)&gt;0,"✓","⚠ add to Campaigns tab"))</f>
        <v/>
      </c>
      <c r="I1113" s="84" t="str">
        <f aca="false">IF(C1113="","",C1113*IF(Settings!$B$25=Settings!$C$6,1,IF(Settings!$B$25="USD",1/INDEX(Settings!$B$29:$B$40,MONTH(A1113)),INDEX(Settings!$B$29:$B$40,MONTH(A1113)))))</f>
        <v/>
      </c>
    </row>
    <row r="1114" customFormat="false" ht="15" hidden="false" customHeight="false" outlineLevel="0" collapsed="false">
      <c r="H1114" s="0" t="str">
        <f aca="false">IF(B1114="","",IF(COUNTIF(Campaigns!$A$7:$A$300,B1114)&gt;0,"✓","⚠ add to Campaigns tab"))</f>
        <v/>
      </c>
      <c r="I1114" s="84" t="str">
        <f aca="false">IF(C1114="","",C1114*IF(Settings!$B$25=Settings!$C$6,1,IF(Settings!$B$25="USD",1/INDEX(Settings!$B$29:$B$40,MONTH(A1114)),INDEX(Settings!$B$29:$B$40,MONTH(A1114)))))</f>
        <v/>
      </c>
    </row>
    <row r="1115" customFormat="false" ht="15" hidden="false" customHeight="false" outlineLevel="0" collapsed="false">
      <c r="H1115" s="0" t="str">
        <f aca="false">IF(B1115="","",IF(COUNTIF(Campaigns!$A$7:$A$300,B1115)&gt;0,"✓","⚠ add to Campaigns tab"))</f>
        <v/>
      </c>
      <c r="I1115" s="84" t="str">
        <f aca="false">IF(C1115="","",C1115*IF(Settings!$B$25=Settings!$C$6,1,IF(Settings!$B$25="USD",1/INDEX(Settings!$B$29:$B$40,MONTH(A1115)),INDEX(Settings!$B$29:$B$40,MONTH(A1115)))))</f>
        <v/>
      </c>
    </row>
    <row r="1116" customFormat="false" ht="15" hidden="false" customHeight="false" outlineLevel="0" collapsed="false">
      <c r="H1116" s="0" t="str">
        <f aca="false">IF(B1116="","",IF(COUNTIF(Campaigns!$A$7:$A$300,B1116)&gt;0,"✓","⚠ add to Campaigns tab"))</f>
        <v/>
      </c>
      <c r="I1116" s="84" t="str">
        <f aca="false">IF(C1116="","",C1116*IF(Settings!$B$25=Settings!$C$6,1,IF(Settings!$B$25="USD",1/INDEX(Settings!$B$29:$B$40,MONTH(A1116)),INDEX(Settings!$B$29:$B$40,MONTH(A1116)))))</f>
        <v/>
      </c>
    </row>
    <row r="1117" customFormat="false" ht="15" hidden="false" customHeight="false" outlineLevel="0" collapsed="false">
      <c r="H1117" s="0" t="str">
        <f aca="false">IF(B1117="","",IF(COUNTIF(Campaigns!$A$7:$A$300,B1117)&gt;0,"✓","⚠ add to Campaigns tab"))</f>
        <v/>
      </c>
      <c r="I1117" s="84" t="str">
        <f aca="false">IF(C1117="","",C1117*IF(Settings!$B$25=Settings!$C$6,1,IF(Settings!$B$25="USD",1/INDEX(Settings!$B$29:$B$40,MONTH(A1117)),INDEX(Settings!$B$29:$B$40,MONTH(A1117)))))</f>
        <v/>
      </c>
    </row>
    <row r="1118" customFormat="false" ht="15" hidden="false" customHeight="false" outlineLevel="0" collapsed="false">
      <c r="H1118" s="0" t="str">
        <f aca="false">IF(B1118="","",IF(COUNTIF(Campaigns!$A$7:$A$300,B1118)&gt;0,"✓","⚠ add to Campaigns tab"))</f>
        <v/>
      </c>
      <c r="I1118" s="84" t="str">
        <f aca="false">IF(C1118="","",C1118*IF(Settings!$B$25=Settings!$C$6,1,IF(Settings!$B$25="USD",1/INDEX(Settings!$B$29:$B$40,MONTH(A1118)),INDEX(Settings!$B$29:$B$40,MONTH(A1118)))))</f>
        <v/>
      </c>
    </row>
    <row r="1119" customFormat="false" ht="15" hidden="false" customHeight="false" outlineLevel="0" collapsed="false">
      <c r="H1119" s="0" t="str">
        <f aca="false">IF(B1119="","",IF(COUNTIF(Campaigns!$A$7:$A$300,B1119)&gt;0,"✓","⚠ add to Campaigns tab"))</f>
        <v/>
      </c>
      <c r="I1119" s="84" t="str">
        <f aca="false">IF(C1119="","",C1119*IF(Settings!$B$25=Settings!$C$6,1,IF(Settings!$B$25="USD",1/INDEX(Settings!$B$29:$B$40,MONTH(A1119)),INDEX(Settings!$B$29:$B$40,MONTH(A1119)))))</f>
        <v/>
      </c>
    </row>
    <row r="1120" customFormat="false" ht="15" hidden="false" customHeight="false" outlineLevel="0" collapsed="false">
      <c r="H1120" s="0" t="str">
        <f aca="false">IF(B1120="","",IF(COUNTIF(Campaigns!$A$7:$A$300,B1120)&gt;0,"✓","⚠ add to Campaigns tab"))</f>
        <v/>
      </c>
      <c r="I1120" s="84" t="str">
        <f aca="false">IF(C1120="","",C1120*IF(Settings!$B$25=Settings!$C$6,1,IF(Settings!$B$25="USD",1/INDEX(Settings!$B$29:$B$40,MONTH(A1120)),INDEX(Settings!$B$29:$B$40,MONTH(A1120)))))</f>
        <v/>
      </c>
    </row>
    <row r="1121" customFormat="false" ht="15" hidden="false" customHeight="false" outlineLevel="0" collapsed="false">
      <c r="H1121" s="0" t="str">
        <f aca="false">IF(B1121="","",IF(COUNTIF(Campaigns!$A$7:$A$300,B1121)&gt;0,"✓","⚠ add to Campaigns tab"))</f>
        <v/>
      </c>
      <c r="I1121" s="84" t="str">
        <f aca="false">IF(C1121="","",C1121*IF(Settings!$B$25=Settings!$C$6,1,IF(Settings!$B$25="USD",1/INDEX(Settings!$B$29:$B$40,MONTH(A1121)),INDEX(Settings!$B$29:$B$40,MONTH(A1121)))))</f>
        <v/>
      </c>
    </row>
    <row r="1122" customFormat="false" ht="15" hidden="false" customHeight="false" outlineLevel="0" collapsed="false">
      <c r="H1122" s="0" t="str">
        <f aca="false">IF(B1122="","",IF(COUNTIF(Campaigns!$A$7:$A$300,B1122)&gt;0,"✓","⚠ add to Campaigns tab"))</f>
        <v/>
      </c>
      <c r="I1122" s="84" t="str">
        <f aca="false">IF(C1122="","",C1122*IF(Settings!$B$25=Settings!$C$6,1,IF(Settings!$B$25="USD",1/INDEX(Settings!$B$29:$B$40,MONTH(A1122)),INDEX(Settings!$B$29:$B$40,MONTH(A1122)))))</f>
        <v/>
      </c>
    </row>
    <row r="1123" customFormat="false" ht="15" hidden="false" customHeight="false" outlineLevel="0" collapsed="false">
      <c r="H1123" s="0" t="str">
        <f aca="false">IF(B1123="","",IF(COUNTIF(Campaigns!$A$7:$A$300,B1123)&gt;0,"✓","⚠ add to Campaigns tab"))</f>
        <v/>
      </c>
      <c r="I1123" s="84" t="str">
        <f aca="false">IF(C1123="","",C1123*IF(Settings!$B$25=Settings!$C$6,1,IF(Settings!$B$25="USD",1/INDEX(Settings!$B$29:$B$40,MONTH(A1123)),INDEX(Settings!$B$29:$B$40,MONTH(A1123)))))</f>
        <v/>
      </c>
    </row>
    <row r="1124" customFormat="false" ht="15" hidden="false" customHeight="false" outlineLevel="0" collapsed="false">
      <c r="H1124" s="0" t="str">
        <f aca="false">IF(B1124="","",IF(COUNTIF(Campaigns!$A$7:$A$300,B1124)&gt;0,"✓","⚠ add to Campaigns tab"))</f>
        <v/>
      </c>
      <c r="I1124" s="84" t="str">
        <f aca="false">IF(C1124="","",C1124*IF(Settings!$B$25=Settings!$C$6,1,IF(Settings!$B$25="USD",1/INDEX(Settings!$B$29:$B$40,MONTH(A1124)),INDEX(Settings!$B$29:$B$40,MONTH(A1124)))))</f>
        <v/>
      </c>
    </row>
    <row r="1125" customFormat="false" ht="15" hidden="false" customHeight="false" outlineLevel="0" collapsed="false">
      <c r="H1125" s="0" t="str">
        <f aca="false">IF(B1125="","",IF(COUNTIF(Campaigns!$A$7:$A$300,B1125)&gt;0,"✓","⚠ add to Campaigns tab"))</f>
        <v/>
      </c>
      <c r="I1125" s="84" t="str">
        <f aca="false">IF(C1125="","",C1125*IF(Settings!$B$25=Settings!$C$6,1,IF(Settings!$B$25="USD",1/INDEX(Settings!$B$29:$B$40,MONTH(A1125)),INDEX(Settings!$B$29:$B$40,MONTH(A1125)))))</f>
        <v/>
      </c>
    </row>
    <row r="1126" customFormat="false" ht="15" hidden="false" customHeight="false" outlineLevel="0" collapsed="false">
      <c r="H1126" s="0" t="str">
        <f aca="false">IF(B1126="","",IF(COUNTIF(Campaigns!$A$7:$A$300,B1126)&gt;0,"✓","⚠ add to Campaigns tab"))</f>
        <v/>
      </c>
      <c r="I1126" s="84" t="str">
        <f aca="false">IF(C1126="","",C1126*IF(Settings!$B$25=Settings!$C$6,1,IF(Settings!$B$25="USD",1/INDEX(Settings!$B$29:$B$40,MONTH(A1126)),INDEX(Settings!$B$29:$B$40,MONTH(A1126)))))</f>
        <v/>
      </c>
    </row>
    <row r="1127" customFormat="false" ht="15" hidden="false" customHeight="false" outlineLevel="0" collapsed="false">
      <c r="H1127" s="0" t="str">
        <f aca="false">IF(B1127="","",IF(COUNTIF(Campaigns!$A$7:$A$300,B1127)&gt;0,"✓","⚠ add to Campaigns tab"))</f>
        <v/>
      </c>
      <c r="I1127" s="84" t="str">
        <f aca="false">IF(C1127="","",C1127*IF(Settings!$B$25=Settings!$C$6,1,IF(Settings!$B$25="USD",1/INDEX(Settings!$B$29:$B$40,MONTH(A1127)),INDEX(Settings!$B$29:$B$40,MONTH(A1127)))))</f>
        <v/>
      </c>
    </row>
    <row r="1128" customFormat="false" ht="15" hidden="false" customHeight="false" outlineLevel="0" collapsed="false">
      <c r="H1128" s="0" t="str">
        <f aca="false">IF(B1128="","",IF(COUNTIF(Campaigns!$A$7:$A$300,B1128)&gt;0,"✓","⚠ add to Campaigns tab"))</f>
        <v/>
      </c>
      <c r="I1128" s="84" t="str">
        <f aca="false">IF(C1128="","",C1128*IF(Settings!$B$25=Settings!$C$6,1,IF(Settings!$B$25="USD",1/INDEX(Settings!$B$29:$B$40,MONTH(A1128)),INDEX(Settings!$B$29:$B$40,MONTH(A1128)))))</f>
        <v/>
      </c>
    </row>
    <row r="1129" customFormat="false" ht="15" hidden="false" customHeight="false" outlineLevel="0" collapsed="false">
      <c r="H1129" s="0" t="str">
        <f aca="false">IF(B1129="","",IF(COUNTIF(Campaigns!$A$7:$A$300,B1129)&gt;0,"✓","⚠ add to Campaigns tab"))</f>
        <v/>
      </c>
      <c r="I1129" s="84" t="str">
        <f aca="false">IF(C1129="","",C1129*IF(Settings!$B$25=Settings!$C$6,1,IF(Settings!$B$25="USD",1/INDEX(Settings!$B$29:$B$40,MONTH(A1129)),INDEX(Settings!$B$29:$B$40,MONTH(A1129)))))</f>
        <v/>
      </c>
    </row>
    <row r="1130" customFormat="false" ht="15" hidden="false" customHeight="false" outlineLevel="0" collapsed="false">
      <c r="H1130" s="0" t="str">
        <f aca="false">IF(B1130="","",IF(COUNTIF(Campaigns!$A$7:$A$300,B1130)&gt;0,"✓","⚠ add to Campaigns tab"))</f>
        <v/>
      </c>
      <c r="I1130" s="84" t="str">
        <f aca="false">IF(C1130="","",C1130*IF(Settings!$B$25=Settings!$C$6,1,IF(Settings!$B$25="USD",1/INDEX(Settings!$B$29:$B$40,MONTH(A1130)),INDEX(Settings!$B$29:$B$40,MONTH(A1130)))))</f>
        <v/>
      </c>
    </row>
    <row r="1131" customFormat="false" ht="15" hidden="false" customHeight="false" outlineLevel="0" collapsed="false">
      <c r="H1131" s="0" t="str">
        <f aca="false">IF(B1131="","",IF(COUNTIF(Campaigns!$A$7:$A$300,B1131)&gt;0,"✓","⚠ add to Campaigns tab"))</f>
        <v/>
      </c>
      <c r="I1131" s="84" t="str">
        <f aca="false">IF(C1131="","",C1131*IF(Settings!$B$25=Settings!$C$6,1,IF(Settings!$B$25="USD",1/INDEX(Settings!$B$29:$B$40,MONTH(A1131)),INDEX(Settings!$B$29:$B$40,MONTH(A1131)))))</f>
        <v/>
      </c>
    </row>
    <row r="1132" customFormat="false" ht="15" hidden="false" customHeight="false" outlineLevel="0" collapsed="false">
      <c r="H1132" s="0" t="str">
        <f aca="false">IF(B1132="","",IF(COUNTIF(Campaigns!$A$7:$A$300,B1132)&gt;0,"✓","⚠ add to Campaigns tab"))</f>
        <v/>
      </c>
      <c r="I1132" s="84" t="str">
        <f aca="false">IF(C1132="","",C1132*IF(Settings!$B$25=Settings!$C$6,1,IF(Settings!$B$25="USD",1/INDEX(Settings!$B$29:$B$40,MONTH(A1132)),INDEX(Settings!$B$29:$B$40,MONTH(A1132)))))</f>
        <v/>
      </c>
    </row>
    <row r="1133" customFormat="false" ht="15" hidden="false" customHeight="false" outlineLevel="0" collapsed="false">
      <c r="H1133" s="0" t="str">
        <f aca="false">IF(B1133="","",IF(COUNTIF(Campaigns!$A$7:$A$300,B1133)&gt;0,"✓","⚠ add to Campaigns tab"))</f>
        <v/>
      </c>
      <c r="I1133" s="84" t="str">
        <f aca="false">IF(C1133="","",C1133*IF(Settings!$B$25=Settings!$C$6,1,IF(Settings!$B$25="USD",1/INDEX(Settings!$B$29:$B$40,MONTH(A1133)),INDEX(Settings!$B$29:$B$40,MONTH(A1133)))))</f>
        <v/>
      </c>
    </row>
    <row r="1134" customFormat="false" ht="15" hidden="false" customHeight="false" outlineLevel="0" collapsed="false">
      <c r="H1134" s="0" t="str">
        <f aca="false">IF(B1134="","",IF(COUNTIF(Campaigns!$A$7:$A$300,B1134)&gt;0,"✓","⚠ add to Campaigns tab"))</f>
        <v/>
      </c>
      <c r="I1134" s="84" t="str">
        <f aca="false">IF(C1134="","",C1134*IF(Settings!$B$25=Settings!$C$6,1,IF(Settings!$B$25="USD",1/INDEX(Settings!$B$29:$B$40,MONTH(A1134)),INDEX(Settings!$B$29:$B$40,MONTH(A1134)))))</f>
        <v/>
      </c>
    </row>
    <row r="1135" customFormat="false" ht="15" hidden="false" customHeight="false" outlineLevel="0" collapsed="false">
      <c r="H1135" s="0" t="str">
        <f aca="false">IF(B1135="","",IF(COUNTIF(Campaigns!$A$7:$A$300,B1135)&gt;0,"✓","⚠ add to Campaigns tab"))</f>
        <v/>
      </c>
      <c r="I1135" s="84" t="str">
        <f aca="false">IF(C1135="","",C1135*IF(Settings!$B$25=Settings!$C$6,1,IF(Settings!$B$25="USD",1/INDEX(Settings!$B$29:$B$40,MONTH(A1135)),INDEX(Settings!$B$29:$B$40,MONTH(A1135)))))</f>
        <v/>
      </c>
    </row>
    <row r="1136" customFormat="false" ht="15" hidden="false" customHeight="false" outlineLevel="0" collapsed="false">
      <c r="H1136" s="0" t="str">
        <f aca="false">IF(B1136="","",IF(COUNTIF(Campaigns!$A$7:$A$300,B1136)&gt;0,"✓","⚠ add to Campaigns tab"))</f>
        <v/>
      </c>
      <c r="I1136" s="84" t="str">
        <f aca="false">IF(C1136="","",C1136*IF(Settings!$B$25=Settings!$C$6,1,IF(Settings!$B$25="USD",1/INDEX(Settings!$B$29:$B$40,MONTH(A1136)),INDEX(Settings!$B$29:$B$40,MONTH(A1136)))))</f>
        <v/>
      </c>
    </row>
    <row r="1137" customFormat="false" ht="15" hidden="false" customHeight="false" outlineLevel="0" collapsed="false">
      <c r="H1137" s="0" t="str">
        <f aca="false">IF(B1137="","",IF(COUNTIF(Campaigns!$A$7:$A$300,B1137)&gt;0,"✓","⚠ add to Campaigns tab"))</f>
        <v/>
      </c>
      <c r="I1137" s="84" t="str">
        <f aca="false">IF(C1137="","",C1137*IF(Settings!$B$25=Settings!$C$6,1,IF(Settings!$B$25="USD",1/INDEX(Settings!$B$29:$B$40,MONTH(A1137)),INDEX(Settings!$B$29:$B$40,MONTH(A1137)))))</f>
        <v/>
      </c>
    </row>
    <row r="1138" customFormat="false" ht="15" hidden="false" customHeight="false" outlineLevel="0" collapsed="false">
      <c r="H1138" s="0" t="str">
        <f aca="false">IF(B1138="","",IF(COUNTIF(Campaigns!$A$7:$A$300,B1138)&gt;0,"✓","⚠ add to Campaigns tab"))</f>
        <v/>
      </c>
      <c r="I1138" s="84" t="str">
        <f aca="false">IF(C1138="","",C1138*IF(Settings!$B$25=Settings!$C$6,1,IF(Settings!$B$25="USD",1/INDEX(Settings!$B$29:$B$40,MONTH(A1138)),INDEX(Settings!$B$29:$B$40,MONTH(A1138)))))</f>
        <v/>
      </c>
    </row>
    <row r="1139" customFormat="false" ht="15" hidden="false" customHeight="false" outlineLevel="0" collapsed="false">
      <c r="H1139" s="0" t="str">
        <f aca="false">IF(B1139="","",IF(COUNTIF(Campaigns!$A$7:$A$300,B1139)&gt;0,"✓","⚠ add to Campaigns tab"))</f>
        <v/>
      </c>
      <c r="I1139" s="84" t="str">
        <f aca="false">IF(C1139="","",C1139*IF(Settings!$B$25=Settings!$C$6,1,IF(Settings!$B$25="USD",1/INDEX(Settings!$B$29:$B$40,MONTH(A1139)),INDEX(Settings!$B$29:$B$40,MONTH(A1139)))))</f>
        <v/>
      </c>
    </row>
    <row r="1140" customFormat="false" ht="15" hidden="false" customHeight="false" outlineLevel="0" collapsed="false">
      <c r="H1140" s="0" t="str">
        <f aca="false">IF(B1140="","",IF(COUNTIF(Campaigns!$A$7:$A$300,B1140)&gt;0,"✓","⚠ add to Campaigns tab"))</f>
        <v/>
      </c>
      <c r="I1140" s="84" t="str">
        <f aca="false">IF(C1140="","",C1140*IF(Settings!$B$25=Settings!$C$6,1,IF(Settings!$B$25="USD",1/INDEX(Settings!$B$29:$B$40,MONTH(A1140)),INDEX(Settings!$B$29:$B$40,MONTH(A1140)))))</f>
        <v/>
      </c>
    </row>
    <row r="1141" customFormat="false" ht="15" hidden="false" customHeight="false" outlineLevel="0" collapsed="false">
      <c r="H1141" s="0" t="str">
        <f aca="false">IF(B1141="","",IF(COUNTIF(Campaigns!$A$7:$A$300,B1141)&gt;0,"✓","⚠ add to Campaigns tab"))</f>
        <v/>
      </c>
      <c r="I1141" s="84" t="str">
        <f aca="false">IF(C1141="","",C1141*IF(Settings!$B$25=Settings!$C$6,1,IF(Settings!$B$25="USD",1/INDEX(Settings!$B$29:$B$40,MONTH(A1141)),INDEX(Settings!$B$29:$B$40,MONTH(A1141)))))</f>
        <v/>
      </c>
    </row>
    <row r="1142" customFormat="false" ht="15" hidden="false" customHeight="false" outlineLevel="0" collapsed="false">
      <c r="H1142" s="0" t="str">
        <f aca="false">IF(B1142="","",IF(COUNTIF(Campaigns!$A$7:$A$300,B1142)&gt;0,"✓","⚠ add to Campaigns tab"))</f>
        <v/>
      </c>
      <c r="I1142" s="84" t="str">
        <f aca="false">IF(C1142="","",C1142*IF(Settings!$B$25=Settings!$C$6,1,IF(Settings!$B$25="USD",1/INDEX(Settings!$B$29:$B$40,MONTH(A1142)),INDEX(Settings!$B$29:$B$40,MONTH(A1142)))))</f>
        <v/>
      </c>
    </row>
    <row r="1143" customFormat="false" ht="15" hidden="false" customHeight="false" outlineLevel="0" collapsed="false">
      <c r="H1143" s="0" t="str">
        <f aca="false">IF(B1143="","",IF(COUNTIF(Campaigns!$A$7:$A$300,B1143)&gt;0,"✓","⚠ add to Campaigns tab"))</f>
        <v/>
      </c>
      <c r="I1143" s="84" t="str">
        <f aca="false">IF(C1143="","",C1143*IF(Settings!$B$25=Settings!$C$6,1,IF(Settings!$B$25="USD",1/INDEX(Settings!$B$29:$B$40,MONTH(A1143)),INDEX(Settings!$B$29:$B$40,MONTH(A1143)))))</f>
        <v/>
      </c>
    </row>
    <row r="1144" customFormat="false" ht="15" hidden="false" customHeight="false" outlineLevel="0" collapsed="false">
      <c r="H1144" s="0" t="str">
        <f aca="false">IF(B1144="","",IF(COUNTIF(Campaigns!$A$7:$A$300,B1144)&gt;0,"✓","⚠ add to Campaigns tab"))</f>
        <v/>
      </c>
      <c r="I1144" s="84" t="str">
        <f aca="false">IF(C1144="","",C1144*IF(Settings!$B$25=Settings!$C$6,1,IF(Settings!$B$25="USD",1/INDEX(Settings!$B$29:$B$40,MONTH(A1144)),INDEX(Settings!$B$29:$B$40,MONTH(A1144)))))</f>
        <v/>
      </c>
    </row>
    <row r="1145" customFormat="false" ht="15" hidden="false" customHeight="false" outlineLevel="0" collapsed="false">
      <c r="H1145" s="0" t="str">
        <f aca="false">IF(B1145="","",IF(COUNTIF(Campaigns!$A$7:$A$300,B1145)&gt;0,"✓","⚠ add to Campaigns tab"))</f>
        <v/>
      </c>
      <c r="I1145" s="84" t="str">
        <f aca="false">IF(C1145="","",C1145*IF(Settings!$B$25=Settings!$C$6,1,IF(Settings!$B$25="USD",1/INDEX(Settings!$B$29:$B$40,MONTH(A1145)),INDEX(Settings!$B$29:$B$40,MONTH(A1145)))))</f>
        <v/>
      </c>
    </row>
    <row r="1146" customFormat="false" ht="15" hidden="false" customHeight="false" outlineLevel="0" collapsed="false">
      <c r="H1146" s="0" t="str">
        <f aca="false">IF(B1146="","",IF(COUNTIF(Campaigns!$A$7:$A$300,B1146)&gt;0,"✓","⚠ add to Campaigns tab"))</f>
        <v/>
      </c>
      <c r="I1146" s="84" t="str">
        <f aca="false">IF(C1146="","",C1146*IF(Settings!$B$25=Settings!$C$6,1,IF(Settings!$B$25="USD",1/INDEX(Settings!$B$29:$B$40,MONTH(A1146)),INDEX(Settings!$B$29:$B$40,MONTH(A1146)))))</f>
        <v/>
      </c>
    </row>
    <row r="1147" customFormat="false" ht="15" hidden="false" customHeight="false" outlineLevel="0" collapsed="false">
      <c r="H1147" s="0" t="str">
        <f aca="false">IF(B1147="","",IF(COUNTIF(Campaigns!$A$7:$A$300,B1147)&gt;0,"✓","⚠ add to Campaigns tab"))</f>
        <v/>
      </c>
      <c r="I1147" s="84" t="str">
        <f aca="false">IF(C1147="","",C1147*IF(Settings!$B$25=Settings!$C$6,1,IF(Settings!$B$25="USD",1/INDEX(Settings!$B$29:$B$40,MONTH(A1147)),INDEX(Settings!$B$29:$B$40,MONTH(A1147)))))</f>
        <v/>
      </c>
    </row>
    <row r="1148" customFormat="false" ht="15" hidden="false" customHeight="false" outlineLevel="0" collapsed="false">
      <c r="H1148" s="0" t="str">
        <f aca="false">IF(B1148="","",IF(COUNTIF(Campaigns!$A$7:$A$300,B1148)&gt;0,"✓","⚠ add to Campaigns tab"))</f>
        <v/>
      </c>
      <c r="I1148" s="84" t="str">
        <f aca="false">IF(C1148="","",C1148*IF(Settings!$B$25=Settings!$C$6,1,IF(Settings!$B$25="USD",1/INDEX(Settings!$B$29:$B$40,MONTH(A1148)),INDEX(Settings!$B$29:$B$40,MONTH(A1148)))))</f>
        <v/>
      </c>
    </row>
    <row r="1149" customFormat="false" ht="15" hidden="false" customHeight="false" outlineLevel="0" collapsed="false">
      <c r="H1149" s="0" t="str">
        <f aca="false">IF(B1149="","",IF(COUNTIF(Campaigns!$A$7:$A$300,B1149)&gt;0,"✓","⚠ add to Campaigns tab"))</f>
        <v/>
      </c>
      <c r="I1149" s="84" t="str">
        <f aca="false">IF(C1149="","",C1149*IF(Settings!$B$25=Settings!$C$6,1,IF(Settings!$B$25="USD",1/INDEX(Settings!$B$29:$B$40,MONTH(A1149)),INDEX(Settings!$B$29:$B$40,MONTH(A1149)))))</f>
        <v/>
      </c>
    </row>
    <row r="1150" customFormat="false" ht="15" hidden="false" customHeight="false" outlineLevel="0" collapsed="false">
      <c r="H1150" s="0" t="str">
        <f aca="false">IF(B1150="","",IF(COUNTIF(Campaigns!$A$7:$A$300,B1150)&gt;0,"✓","⚠ add to Campaigns tab"))</f>
        <v/>
      </c>
      <c r="I1150" s="84" t="str">
        <f aca="false">IF(C1150="","",C1150*IF(Settings!$B$25=Settings!$C$6,1,IF(Settings!$B$25="USD",1/INDEX(Settings!$B$29:$B$40,MONTH(A1150)),INDEX(Settings!$B$29:$B$40,MONTH(A1150)))))</f>
        <v/>
      </c>
    </row>
    <row r="1151" customFormat="false" ht="15" hidden="false" customHeight="false" outlineLevel="0" collapsed="false">
      <c r="H1151" s="0" t="str">
        <f aca="false">IF(B1151="","",IF(COUNTIF(Campaigns!$A$7:$A$300,B1151)&gt;0,"✓","⚠ add to Campaigns tab"))</f>
        <v/>
      </c>
      <c r="I1151" s="84" t="str">
        <f aca="false">IF(C1151="","",C1151*IF(Settings!$B$25=Settings!$C$6,1,IF(Settings!$B$25="USD",1/INDEX(Settings!$B$29:$B$40,MONTH(A1151)),INDEX(Settings!$B$29:$B$40,MONTH(A1151)))))</f>
        <v/>
      </c>
    </row>
    <row r="1152" customFormat="false" ht="15" hidden="false" customHeight="false" outlineLevel="0" collapsed="false">
      <c r="H1152" s="0" t="str">
        <f aca="false">IF(B1152="","",IF(COUNTIF(Campaigns!$A$7:$A$300,B1152)&gt;0,"✓","⚠ add to Campaigns tab"))</f>
        <v/>
      </c>
      <c r="I1152" s="84" t="str">
        <f aca="false">IF(C1152="","",C1152*IF(Settings!$B$25=Settings!$C$6,1,IF(Settings!$B$25="USD",1/INDEX(Settings!$B$29:$B$40,MONTH(A1152)),INDEX(Settings!$B$29:$B$40,MONTH(A1152)))))</f>
        <v/>
      </c>
    </row>
    <row r="1153" customFormat="false" ht="15" hidden="false" customHeight="false" outlineLevel="0" collapsed="false">
      <c r="H1153" s="0" t="str">
        <f aca="false">IF(B1153="","",IF(COUNTIF(Campaigns!$A$7:$A$300,B1153)&gt;0,"✓","⚠ add to Campaigns tab"))</f>
        <v/>
      </c>
      <c r="I1153" s="84" t="str">
        <f aca="false">IF(C1153="","",C1153*IF(Settings!$B$25=Settings!$C$6,1,IF(Settings!$B$25="USD",1/INDEX(Settings!$B$29:$B$40,MONTH(A1153)),INDEX(Settings!$B$29:$B$40,MONTH(A1153)))))</f>
        <v/>
      </c>
    </row>
    <row r="1154" customFormat="false" ht="15" hidden="false" customHeight="false" outlineLevel="0" collapsed="false">
      <c r="H1154" s="0" t="str">
        <f aca="false">IF(B1154="","",IF(COUNTIF(Campaigns!$A$7:$A$300,B1154)&gt;0,"✓","⚠ add to Campaigns tab"))</f>
        <v/>
      </c>
      <c r="I1154" s="84" t="str">
        <f aca="false">IF(C1154="","",C1154*IF(Settings!$B$25=Settings!$C$6,1,IF(Settings!$B$25="USD",1/INDEX(Settings!$B$29:$B$40,MONTH(A1154)),INDEX(Settings!$B$29:$B$40,MONTH(A1154)))))</f>
        <v/>
      </c>
    </row>
    <row r="1155" customFormat="false" ht="15" hidden="false" customHeight="false" outlineLevel="0" collapsed="false">
      <c r="H1155" s="0" t="str">
        <f aca="false">IF(B1155="","",IF(COUNTIF(Campaigns!$A$7:$A$300,B1155)&gt;0,"✓","⚠ add to Campaigns tab"))</f>
        <v/>
      </c>
      <c r="I1155" s="84" t="str">
        <f aca="false">IF(C1155="","",C1155*IF(Settings!$B$25=Settings!$C$6,1,IF(Settings!$B$25="USD",1/INDEX(Settings!$B$29:$B$40,MONTH(A1155)),INDEX(Settings!$B$29:$B$40,MONTH(A1155)))))</f>
        <v/>
      </c>
    </row>
    <row r="1156" customFormat="false" ht="15" hidden="false" customHeight="false" outlineLevel="0" collapsed="false">
      <c r="H1156" s="0" t="str">
        <f aca="false">IF(B1156="","",IF(COUNTIF(Campaigns!$A$7:$A$300,B1156)&gt;0,"✓","⚠ add to Campaigns tab"))</f>
        <v/>
      </c>
      <c r="I1156" s="84" t="str">
        <f aca="false">IF(C1156="","",C1156*IF(Settings!$B$25=Settings!$C$6,1,IF(Settings!$B$25="USD",1/INDEX(Settings!$B$29:$B$40,MONTH(A1156)),INDEX(Settings!$B$29:$B$40,MONTH(A1156)))))</f>
        <v/>
      </c>
    </row>
    <row r="1157" customFormat="false" ht="15" hidden="false" customHeight="false" outlineLevel="0" collapsed="false">
      <c r="H1157" s="0" t="str">
        <f aca="false">IF(B1157="","",IF(COUNTIF(Campaigns!$A$7:$A$300,B1157)&gt;0,"✓","⚠ add to Campaigns tab"))</f>
        <v/>
      </c>
      <c r="I1157" s="84" t="str">
        <f aca="false">IF(C1157="","",C1157*IF(Settings!$B$25=Settings!$C$6,1,IF(Settings!$B$25="USD",1/INDEX(Settings!$B$29:$B$40,MONTH(A1157)),INDEX(Settings!$B$29:$B$40,MONTH(A1157)))))</f>
        <v/>
      </c>
    </row>
    <row r="1158" customFormat="false" ht="15" hidden="false" customHeight="false" outlineLevel="0" collapsed="false">
      <c r="H1158" s="0" t="str">
        <f aca="false">IF(B1158="","",IF(COUNTIF(Campaigns!$A$7:$A$300,B1158)&gt;0,"✓","⚠ add to Campaigns tab"))</f>
        <v/>
      </c>
      <c r="I1158" s="84" t="str">
        <f aca="false">IF(C1158="","",C1158*IF(Settings!$B$25=Settings!$C$6,1,IF(Settings!$B$25="USD",1/INDEX(Settings!$B$29:$B$40,MONTH(A1158)),INDEX(Settings!$B$29:$B$40,MONTH(A1158)))))</f>
        <v/>
      </c>
    </row>
    <row r="1159" customFormat="false" ht="15" hidden="false" customHeight="false" outlineLevel="0" collapsed="false">
      <c r="H1159" s="0" t="str">
        <f aca="false">IF(B1159="","",IF(COUNTIF(Campaigns!$A$7:$A$300,B1159)&gt;0,"✓","⚠ add to Campaigns tab"))</f>
        <v/>
      </c>
      <c r="I1159" s="84" t="str">
        <f aca="false">IF(C1159="","",C1159*IF(Settings!$B$25=Settings!$C$6,1,IF(Settings!$B$25="USD",1/INDEX(Settings!$B$29:$B$40,MONTH(A1159)),INDEX(Settings!$B$29:$B$40,MONTH(A1159)))))</f>
        <v/>
      </c>
    </row>
    <row r="1160" customFormat="false" ht="15" hidden="false" customHeight="false" outlineLevel="0" collapsed="false">
      <c r="H1160" s="0" t="str">
        <f aca="false">IF(B1160="","",IF(COUNTIF(Campaigns!$A$7:$A$300,B1160)&gt;0,"✓","⚠ add to Campaigns tab"))</f>
        <v/>
      </c>
      <c r="I1160" s="84" t="str">
        <f aca="false">IF(C1160="","",C1160*IF(Settings!$B$25=Settings!$C$6,1,IF(Settings!$B$25="USD",1/INDEX(Settings!$B$29:$B$40,MONTH(A1160)),INDEX(Settings!$B$29:$B$40,MONTH(A1160)))))</f>
        <v/>
      </c>
    </row>
    <row r="1161" customFormat="false" ht="15" hidden="false" customHeight="false" outlineLevel="0" collapsed="false">
      <c r="H1161" s="0" t="str">
        <f aca="false">IF(B1161="","",IF(COUNTIF(Campaigns!$A$7:$A$300,B1161)&gt;0,"✓","⚠ add to Campaigns tab"))</f>
        <v/>
      </c>
      <c r="I1161" s="84" t="str">
        <f aca="false">IF(C1161="","",C1161*IF(Settings!$B$25=Settings!$C$6,1,IF(Settings!$B$25="USD",1/INDEX(Settings!$B$29:$B$40,MONTH(A1161)),INDEX(Settings!$B$29:$B$40,MONTH(A1161)))))</f>
        <v/>
      </c>
    </row>
    <row r="1162" customFormat="false" ht="15" hidden="false" customHeight="false" outlineLevel="0" collapsed="false">
      <c r="H1162" s="0" t="str">
        <f aca="false">IF(B1162="","",IF(COUNTIF(Campaigns!$A$7:$A$300,B1162)&gt;0,"✓","⚠ add to Campaigns tab"))</f>
        <v/>
      </c>
      <c r="I1162" s="84" t="str">
        <f aca="false">IF(C1162="","",C1162*IF(Settings!$B$25=Settings!$C$6,1,IF(Settings!$B$25="USD",1/INDEX(Settings!$B$29:$B$40,MONTH(A1162)),INDEX(Settings!$B$29:$B$40,MONTH(A1162)))))</f>
        <v/>
      </c>
    </row>
    <row r="1163" customFormat="false" ht="15" hidden="false" customHeight="false" outlineLevel="0" collapsed="false">
      <c r="H1163" s="0" t="str">
        <f aca="false">IF(B1163="","",IF(COUNTIF(Campaigns!$A$7:$A$300,B1163)&gt;0,"✓","⚠ add to Campaigns tab"))</f>
        <v/>
      </c>
      <c r="I1163" s="84" t="str">
        <f aca="false">IF(C1163="","",C1163*IF(Settings!$B$25=Settings!$C$6,1,IF(Settings!$B$25="USD",1/INDEX(Settings!$B$29:$B$40,MONTH(A1163)),INDEX(Settings!$B$29:$B$40,MONTH(A1163)))))</f>
        <v/>
      </c>
    </row>
    <row r="1164" customFormat="false" ht="15" hidden="false" customHeight="false" outlineLevel="0" collapsed="false">
      <c r="H1164" s="0" t="str">
        <f aca="false">IF(B1164="","",IF(COUNTIF(Campaigns!$A$7:$A$300,B1164)&gt;0,"✓","⚠ add to Campaigns tab"))</f>
        <v/>
      </c>
      <c r="I1164" s="84" t="str">
        <f aca="false">IF(C1164="","",C1164*IF(Settings!$B$25=Settings!$C$6,1,IF(Settings!$B$25="USD",1/INDEX(Settings!$B$29:$B$40,MONTH(A1164)),INDEX(Settings!$B$29:$B$40,MONTH(A1164)))))</f>
        <v/>
      </c>
    </row>
    <row r="1165" customFormat="false" ht="15" hidden="false" customHeight="false" outlineLevel="0" collapsed="false">
      <c r="H1165" s="0" t="str">
        <f aca="false">IF(B1165="","",IF(COUNTIF(Campaigns!$A$7:$A$300,B1165)&gt;0,"✓","⚠ add to Campaigns tab"))</f>
        <v/>
      </c>
      <c r="I1165" s="84" t="str">
        <f aca="false">IF(C1165="","",C1165*IF(Settings!$B$25=Settings!$C$6,1,IF(Settings!$B$25="USD",1/INDEX(Settings!$B$29:$B$40,MONTH(A1165)),INDEX(Settings!$B$29:$B$40,MONTH(A1165)))))</f>
        <v/>
      </c>
    </row>
    <row r="1166" customFormat="false" ht="15" hidden="false" customHeight="false" outlineLevel="0" collapsed="false">
      <c r="H1166" s="0" t="str">
        <f aca="false">IF(B1166="","",IF(COUNTIF(Campaigns!$A$7:$A$300,B1166)&gt;0,"✓","⚠ add to Campaigns tab"))</f>
        <v/>
      </c>
      <c r="I1166" s="84" t="str">
        <f aca="false">IF(C1166="","",C1166*IF(Settings!$B$25=Settings!$C$6,1,IF(Settings!$B$25="USD",1/INDEX(Settings!$B$29:$B$40,MONTH(A1166)),INDEX(Settings!$B$29:$B$40,MONTH(A1166)))))</f>
        <v/>
      </c>
    </row>
    <row r="1167" customFormat="false" ht="15" hidden="false" customHeight="false" outlineLevel="0" collapsed="false">
      <c r="H1167" s="0" t="str">
        <f aca="false">IF(B1167="","",IF(COUNTIF(Campaigns!$A$7:$A$300,B1167)&gt;0,"✓","⚠ add to Campaigns tab"))</f>
        <v/>
      </c>
      <c r="I1167" s="84" t="str">
        <f aca="false">IF(C1167="","",C1167*IF(Settings!$B$25=Settings!$C$6,1,IF(Settings!$B$25="USD",1/INDEX(Settings!$B$29:$B$40,MONTH(A1167)),INDEX(Settings!$B$29:$B$40,MONTH(A1167)))))</f>
        <v/>
      </c>
    </row>
    <row r="1168" customFormat="false" ht="15" hidden="false" customHeight="false" outlineLevel="0" collapsed="false">
      <c r="H1168" s="0" t="str">
        <f aca="false">IF(B1168="","",IF(COUNTIF(Campaigns!$A$7:$A$300,B1168)&gt;0,"✓","⚠ add to Campaigns tab"))</f>
        <v/>
      </c>
      <c r="I1168" s="84" t="str">
        <f aca="false">IF(C1168="","",C1168*IF(Settings!$B$25=Settings!$C$6,1,IF(Settings!$B$25="USD",1/INDEX(Settings!$B$29:$B$40,MONTH(A1168)),INDEX(Settings!$B$29:$B$40,MONTH(A1168)))))</f>
        <v/>
      </c>
    </row>
    <row r="1169" customFormat="false" ht="15" hidden="false" customHeight="false" outlineLevel="0" collapsed="false">
      <c r="H1169" s="0" t="str">
        <f aca="false">IF(B1169="","",IF(COUNTIF(Campaigns!$A$7:$A$300,B1169)&gt;0,"✓","⚠ add to Campaigns tab"))</f>
        <v/>
      </c>
      <c r="I1169" s="84" t="str">
        <f aca="false">IF(C1169="","",C1169*IF(Settings!$B$25=Settings!$C$6,1,IF(Settings!$B$25="USD",1/INDEX(Settings!$B$29:$B$40,MONTH(A1169)),INDEX(Settings!$B$29:$B$40,MONTH(A1169)))))</f>
        <v/>
      </c>
    </row>
    <row r="1170" customFormat="false" ht="15" hidden="false" customHeight="false" outlineLevel="0" collapsed="false">
      <c r="H1170" s="0" t="str">
        <f aca="false">IF(B1170="","",IF(COUNTIF(Campaigns!$A$7:$A$300,B1170)&gt;0,"✓","⚠ add to Campaigns tab"))</f>
        <v/>
      </c>
      <c r="I1170" s="84" t="str">
        <f aca="false">IF(C1170="","",C1170*IF(Settings!$B$25=Settings!$C$6,1,IF(Settings!$B$25="USD",1/INDEX(Settings!$B$29:$B$40,MONTH(A1170)),INDEX(Settings!$B$29:$B$40,MONTH(A1170)))))</f>
        <v/>
      </c>
    </row>
    <row r="1171" customFormat="false" ht="15" hidden="false" customHeight="false" outlineLevel="0" collapsed="false">
      <c r="H1171" s="0" t="str">
        <f aca="false">IF(B1171="","",IF(COUNTIF(Campaigns!$A$7:$A$300,B1171)&gt;0,"✓","⚠ add to Campaigns tab"))</f>
        <v/>
      </c>
      <c r="I1171" s="84" t="str">
        <f aca="false">IF(C1171="","",C1171*IF(Settings!$B$25=Settings!$C$6,1,IF(Settings!$B$25="USD",1/INDEX(Settings!$B$29:$B$40,MONTH(A1171)),INDEX(Settings!$B$29:$B$40,MONTH(A1171)))))</f>
        <v/>
      </c>
    </row>
    <row r="1172" customFormat="false" ht="15" hidden="false" customHeight="false" outlineLevel="0" collapsed="false">
      <c r="H1172" s="0" t="str">
        <f aca="false">IF(B1172="","",IF(COUNTIF(Campaigns!$A$7:$A$300,B1172)&gt;0,"✓","⚠ add to Campaigns tab"))</f>
        <v/>
      </c>
      <c r="I1172" s="84" t="str">
        <f aca="false">IF(C1172="","",C1172*IF(Settings!$B$25=Settings!$C$6,1,IF(Settings!$B$25="USD",1/INDEX(Settings!$B$29:$B$40,MONTH(A1172)),INDEX(Settings!$B$29:$B$40,MONTH(A1172)))))</f>
        <v/>
      </c>
    </row>
    <row r="1173" customFormat="false" ht="15" hidden="false" customHeight="false" outlineLevel="0" collapsed="false">
      <c r="H1173" s="0" t="str">
        <f aca="false">IF(B1173="","",IF(COUNTIF(Campaigns!$A$7:$A$300,B1173)&gt;0,"✓","⚠ add to Campaigns tab"))</f>
        <v/>
      </c>
      <c r="I1173" s="84" t="str">
        <f aca="false">IF(C1173="","",C1173*IF(Settings!$B$25=Settings!$C$6,1,IF(Settings!$B$25="USD",1/INDEX(Settings!$B$29:$B$40,MONTH(A1173)),INDEX(Settings!$B$29:$B$40,MONTH(A1173)))))</f>
        <v/>
      </c>
    </row>
    <row r="1174" customFormat="false" ht="15" hidden="false" customHeight="false" outlineLevel="0" collapsed="false">
      <c r="H1174" s="0" t="str">
        <f aca="false">IF(B1174="","",IF(COUNTIF(Campaigns!$A$7:$A$300,B1174)&gt;0,"✓","⚠ add to Campaigns tab"))</f>
        <v/>
      </c>
      <c r="I1174" s="84" t="str">
        <f aca="false">IF(C1174="","",C1174*IF(Settings!$B$25=Settings!$C$6,1,IF(Settings!$B$25="USD",1/INDEX(Settings!$B$29:$B$40,MONTH(A1174)),INDEX(Settings!$B$29:$B$40,MONTH(A1174)))))</f>
        <v/>
      </c>
    </row>
    <row r="1175" customFormat="false" ht="15" hidden="false" customHeight="false" outlineLevel="0" collapsed="false">
      <c r="H1175" s="0" t="str">
        <f aca="false">IF(B1175="","",IF(COUNTIF(Campaigns!$A$7:$A$300,B1175)&gt;0,"✓","⚠ add to Campaigns tab"))</f>
        <v/>
      </c>
      <c r="I1175" s="84" t="str">
        <f aca="false">IF(C1175="","",C1175*IF(Settings!$B$25=Settings!$C$6,1,IF(Settings!$B$25="USD",1/INDEX(Settings!$B$29:$B$40,MONTH(A1175)),INDEX(Settings!$B$29:$B$40,MONTH(A1175)))))</f>
        <v/>
      </c>
    </row>
    <row r="1176" customFormat="false" ht="15" hidden="false" customHeight="false" outlineLevel="0" collapsed="false">
      <c r="H1176" s="0" t="str">
        <f aca="false">IF(B1176="","",IF(COUNTIF(Campaigns!$A$7:$A$300,B1176)&gt;0,"✓","⚠ add to Campaigns tab"))</f>
        <v/>
      </c>
      <c r="I1176" s="84" t="str">
        <f aca="false">IF(C1176="","",C1176*IF(Settings!$B$25=Settings!$C$6,1,IF(Settings!$B$25="USD",1/INDEX(Settings!$B$29:$B$40,MONTH(A1176)),INDEX(Settings!$B$29:$B$40,MONTH(A1176)))))</f>
        <v/>
      </c>
    </row>
    <row r="1177" customFormat="false" ht="15" hidden="false" customHeight="false" outlineLevel="0" collapsed="false">
      <c r="H1177" s="0" t="str">
        <f aca="false">IF(B1177="","",IF(COUNTIF(Campaigns!$A$7:$A$300,B1177)&gt;0,"✓","⚠ add to Campaigns tab"))</f>
        <v/>
      </c>
      <c r="I1177" s="84" t="str">
        <f aca="false">IF(C1177="","",C1177*IF(Settings!$B$25=Settings!$C$6,1,IF(Settings!$B$25="USD",1/INDEX(Settings!$B$29:$B$40,MONTH(A1177)),INDEX(Settings!$B$29:$B$40,MONTH(A1177)))))</f>
        <v/>
      </c>
    </row>
    <row r="1178" customFormat="false" ht="15" hidden="false" customHeight="false" outlineLevel="0" collapsed="false">
      <c r="H1178" s="0" t="str">
        <f aca="false">IF(B1178="","",IF(COUNTIF(Campaigns!$A$7:$A$300,B1178)&gt;0,"✓","⚠ add to Campaigns tab"))</f>
        <v/>
      </c>
      <c r="I1178" s="84" t="str">
        <f aca="false">IF(C1178="","",C1178*IF(Settings!$B$25=Settings!$C$6,1,IF(Settings!$B$25="USD",1/INDEX(Settings!$B$29:$B$40,MONTH(A1178)),INDEX(Settings!$B$29:$B$40,MONTH(A1178)))))</f>
        <v/>
      </c>
    </row>
    <row r="1179" customFormat="false" ht="15" hidden="false" customHeight="false" outlineLevel="0" collapsed="false">
      <c r="H1179" s="0" t="str">
        <f aca="false">IF(B1179="","",IF(COUNTIF(Campaigns!$A$7:$A$300,B1179)&gt;0,"✓","⚠ add to Campaigns tab"))</f>
        <v/>
      </c>
      <c r="I1179" s="84" t="str">
        <f aca="false">IF(C1179="","",C1179*IF(Settings!$B$25=Settings!$C$6,1,IF(Settings!$B$25="USD",1/INDEX(Settings!$B$29:$B$40,MONTH(A1179)),INDEX(Settings!$B$29:$B$40,MONTH(A1179)))))</f>
        <v/>
      </c>
    </row>
    <row r="1180" customFormat="false" ht="15" hidden="false" customHeight="false" outlineLevel="0" collapsed="false">
      <c r="H1180" s="0" t="str">
        <f aca="false">IF(B1180="","",IF(COUNTIF(Campaigns!$A$7:$A$300,B1180)&gt;0,"✓","⚠ add to Campaigns tab"))</f>
        <v/>
      </c>
      <c r="I1180" s="84" t="str">
        <f aca="false">IF(C1180="","",C1180*IF(Settings!$B$25=Settings!$C$6,1,IF(Settings!$B$25="USD",1/INDEX(Settings!$B$29:$B$40,MONTH(A1180)),INDEX(Settings!$B$29:$B$40,MONTH(A1180)))))</f>
        <v/>
      </c>
    </row>
    <row r="1181" customFormat="false" ht="15" hidden="false" customHeight="false" outlineLevel="0" collapsed="false">
      <c r="H1181" s="0" t="str">
        <f aca="false">IF(B1181="","",IF(COUNTIF(Campaigns!$A$7:$A$300,B1181)&gt;0,"✓","⚠ add to Campaigns tab"))</f>
        <v/>
      </c>
      <c r="I1181" s="84" t="str">
        <f aca="false">IF(C1181="","",C1181*IF(Settings!$B$25=Settings!$C$6,1,IF(Settings!$B$25="USD",1/INDEX(Settings!$B$29:$B$40,MONTH(A1181)),INDEX(Settings!$B$29:$B$40,MONTH(A1181)))))</f>
        <v/>
      </c>
    </row>
    <row r="1182" customFormat="false" ht="15" hidden="false" customHeight="false" outlineLevel="0" collapsed="false">
      <c r="H1182" s="0" t="str">
        <f aca="false">IF(B1182="","",IF(COUNTIF(Campaigns!$A$7:$A$300,B1182)&gt;0,"✓","⚠ add to Campaigns tab"))</f>
        <v/>
      </c>
      <c r="I1182" s="84" t="str">
        <f aca="false">IF(C1182="","",C1182*IF(Settings!$B$25=Settings!$C$6,1,IF(Settings!$B$25="USD",1/INDEX(Settings!$B$29:$B$40,MONTH(A1182)),INDEX(Settings!$B$29:$B$40,MONTH(A1182)))))</f>
        <v/>
      </c>
    </row>
    <row r="1183" customFormat="false" ht="15" hidden="false" customHeight="false" outlineLevel="0" collapsed="false">
      <c r="H1183" s="0" t="str">
        <f aca="false">IF(B1183="","",IF(COUNTIF(Campaigns!$A$7:$A$300,B1183)&gt;0,"✓","⚠ add to Campaigns tab"))</f>
        <v/>
      </c>
      <c r="I1183" s="84" t="str">
        <f aca="false">IF(C1183="","",C1183*IF(Settings!$B$25=Settings!$C$6,1,IF(Settings!$B$25="USD",1/INDEX(Settings!$B$29:$B$40,MONTH(A1183)),INDEX(Settings!$B$29:$B$40,MONTH(A1183)))))</f>
        <v/>
      </c>
    </row>
    <row r="1184" customFormat="false" ht="15" hidden="false" customHeight="false" outlineLevel="0" collapsed="false">
      <c r="H1184" s="0" t="str">
        <f aca="false">IF(B1184="","",IF(COUNTIF(Campaigns!$A$7:$A$300,B1184)&gt;0,"✓","⚠ add to Campaigns tab"))</f>
        <v/>
      </c>
      <c r="I1184" s="84" t="str">
        <f aca="false">IF(C1184="","",C1184*IF(Settings!$B$25=Settings!$C$6,1,IF(Settings!$B$25="USD",1/INDEX(Settings!$B$29:$B$40,MONTH(A1184)),INDEX(Settings!$B$29:$B$40,MONTH(A1184)))))</f>
        <v/>
      </c>
    </row>
    <row r="1185" customFormat="false" ht="15" hidden="false" customHeight="false" outlineLevel="0" collapsed="false">
      <c r="H1185" s="0" t="str">
        <f aca="false">IF(B1185="","",IF(COUNTIF(Campaigns!$A$7:$A$300,B1185)&gt;0,"✓","⚠ add to Campaigns tab"))</f>
        <v/>
      </c>
      <c r="I1185" s="84" t="str">
        <f aca="false">IF(C1185="","",C1185*IF(Settings!$B$25=Settings!$C$6,1,IF(Settings!$B$25="USD",1/INDEX(Settings!$B$29:$B$40,MONTH(A1185)),INDEX(Settings!$B$29:$B$40,MONTH(A1185)))))</f>
        <v/>
      </c>
    </row>
    <row r="1186" customFormat="false" ht="15" hidden="false" customHeight="false" outlineLevel="0" collapsed="false">
      <c r="H1186" s="0" t="str">
        <f aca="false">IF(B1186="","",IF(COUNTIF(Campaigns!$A$7:$A$300,B1186)&gt;0,"✓","⚠ add to Campaigns tab"))</f>
        <v/>
      </c>
      <c r="I1186" s="84" t="str">
        <f aca="false">IF(C1186="","",C1186*IF(Settings!$B$25=Settings!$C$6,1,IF(Settings!$B$25="USD",1/INDEX(Settings!$B$29:$B$40,MONTH(A1186)),INDEX(Settings!$B$29:$B$40,MONTH(A1186)))))</f>
        <v/>
      </c>
    </row>
    <row r="1187" customFormat="false" ht="15" hidden="false" customHeight="false" outlineLevel="0" collapsed="false">
      <c r="H1187" s="0" t="str">
        <f aca="false">IF(B1187="","",IF(COUNTIF(Campaigns!$A$7:$A$300,B1187)&gt;0,"✓","⚠ add to Campaigns tab"))</f>
        <v/>
      </c>
      <c r="I1187" s="84" t="str">
        <f aca="false">IF(C1187="","",C1187*IF(Settings!$B$25=Settings!$C$6,1,IF(Settings!$B$25="USD",1/INDEX(Settings!$B$29:$B$40,MONTH(A1187)),INDEX(Settings!$B$29:$B$40,MONTH(A1187)))))</f>
        <v/>
      </c>
    </row>
    <row r="1188" customFormat="false" ht="15" hidden="false" customHeight="false" outlineLevel="0" collapsed="false">
      <c r="H1188" s="0" t="str">
        <f aca="false">IF(B1188="","",IF(COUNTIF(Campaigns!$A$7:$A$300,B1188)&gt;0,"✓","⚠ add to Campaigns tab"))</f>
        <v/>
      </c>
      <c r="I1188" s="84" t="str">
        <f aca="false">IF(C1188="","",C1188*IF(Settings!$B$25=Settings!$C$6,1,IF(Settings!$B$25="USD",1/INDEX(Settings!$B$29:$B$40,MONTH(A1188)),INDEX(Settings!$B$29:$B$40,MONTH(A1188)))))</f>
        <v/>
      </c>
    </row>
    <row r="1189" customFormat="false" ht="15" hidden="false" customHeight="false" outlineLevel="0" collapsed="false">
      <c r="H1189" s="0" t="str">
        <f aca="false">IF(B1189="","",IF(COUNTIF(Campaigns!$A$7:$A$300,B1189)&gt;0,"✓","⚠ add to Campaigns tab"))</f>
        <v/>
      </c>
      <c r="I1189" s="84" t="str">
        <f aca="false">IF(C1189="","",C1189*IF(Settings!$B$25=Settings!$C$6,1,IF(Settings!$B$25="USD",1/INDEX(Settings!$B$29:$B$40,MONTH(A1189)),INDEX(Settings!$B$29:$B$40,MONTH(A1189)))))</f>
        <v/>
      </c>
    </row>
    <row r="1190" customFormat="false" ht="15" hidden="false" customHeight="false" outlineLevel="0" collapsed="false">
      <c r="H1190" s="0" t="str">
        <f aca="false">IF(B1190="","",IF(COUNTIF(Campaigns!$A$7:$A$300,B1190)&gt;0,"✓","⚠ add to Campaigns tab"))</f>
        <v/>
      </c>
      <c r="I1190" s="84" t="str">
        <f aca="false">IF(C1190="","",C1190*IF(Settings!$B$25=Settings!$C$6,1,IF(Settings!$B$25="USD",1/INDEX(Settings!$B$29:$B$40,MONTH(A1190)),INDEX(Settings!$B$29:$B$40,MONTH(A1190)))))</f>
        <v/>
      </c>
    </row>
    <row r="1191" customFormat="false" ht="15" hidden="false" customHeight="false" outlineLevel="0" collapsed="false">
      <c r="H1191" s="0" t="str">
        <f aca="false">IF(B1191="","",IF(COUNTIF(Campaigns!$A$7:$A$300,B1191)&gt;0,"✓","⚠ add to Campaigns tab"))</f>
        <v/>
      </c>
      <c r="I1191" s="84" t="str">
        <f aca="false">IF(C1191="","",C1191*IF(Settings!$B$25=Settings!$C$6,1,IF(Settings!$B$25="USD",1/INDEX(Settings!$B$29:$B$40,MONTH(A1191)),INDEX(Settings!$B$29:$B$40,MONTH(A1191)))))</f>
        <v/>
      </c>
    </row>
    <row r="1192" customFormat="false" ht="15" hidden="false" customHeight="false" outlineLevel="0" collapsed="false">
      <c r="H1192" s="0" t="str">
        <f aca="false">IF(B1192="","",IF(COUNTIF(Campaigns!$A$7:$A$300,B1192)&gt;0,"✓","⚠ add to Campaigns tab"))</f>
        <v/>
      </c>
      <c r="I1192" s="84" t="str">
        <f aca="false">IF(C1192="","",C1192*IF(Settings!$B$25=Settings!$C$6,1,IF(Settings!$B$25="USD",1/INDEX(Settings!$B$29:$B$40,MONTH(A1192)),INDEX(Settings!$B$29:$B$40,MONTH(A1192)))))</f>
        <v/>
      </c>
    </row>
    <row r="1193" customFormat="false" ht="15" hidden="false" customHeight="false" outlineLevel="0" collapsed="false">
      <c r="H1193" s="0" t="str">
        <f aca="false">IF(B1193="","",IF(COUNTIF(Campaigns!$A$7:$A$300,B1193)&gt;0,"✓","⚠ add to Campaigns tab"))</f>
        <v/>
      </c>
      <c r="I1193" s="84" t="str">
        <f aca="false">IF(C1193="","",C1193*IF(Settings!$B$25=Settings!$C$6,1,IF(Settings!$B$25="USD",1/INDEX(Settings!$B$29:$B$40,MONTH(A1193)),INDEX(Settings!$B$29:$B$40,MONTH(A1193)))))</f>
        <v/>
      </c>
    </row>
    <row r="1194" customFormat="false" ht="15" hidden="false" customHeight="false" outlineLevel="0" collapsed="false">
      <c r="H1194" s="0" t="str">
        <f aca="false">IF(B1194="","",IF(COUNTIF(Campaigns!$A$7:$A$300,B1194)&gt;0,"✓","⚠ add to Campaigns tab"))</f>
        <v/>
      </c>
      <c r="I1194" s="84" t="str">
        <f aca="false">IF(C1194="","",C1194*IF(Settings!$B$25=Settings!$C$6,1,IF(Settings!$B$25="USD",1/INDEX(Settings!$B$29:$B$40,MONTH(A1194)),INDEX(Settings!$B$29:$B$40,MONTH(A1194)))))</f>
        <v/>
      </c>
    </row>
    <row r="1195" customFormat="false" ht="15" hidden="false" customHeight="false" outlineLevel="0" collapsed="false">
      <c r="H1195" s="0" t="str">
        <f aca="false">IF(B1195="","",IF(COUNTIF(Campaigns!$A$7:$A$300,B1195)&gt;0,"✓","⚠ add to Campaigns tab"))</f>
        <v/>
      </c>
      <c r="I1195" s="84" t="str">
        <f aca="false">IF(C1195="","",C1195*IF(Settings!$B$25=Settings!$C$6,1,IF(Settings!$B$25="USD",1/INDEX(Settings!$B$29:$B$40,MONTH(A1195)),INDEX(Settings!$B$29:$B$40,MONTH(A1195)))))</f>
        <v/>
      </c>
    </row>
    <row r="1196" customFormat="false" ht="15" hidden="false" customHeight="false" outlineLevel="0" collapsed="false">
      <c r="H1196" s="0" t="str">
        <f aca="false">IF(B1196="","",IF(COUNTIF(Campaigns!$A$7:$A$300,B1196)&gt;0,"✓","⚠ add to Campaigns tab"))</f>
        <v/>
      </c>
      <c r="I1196" s="84" t="str">
        <f aca="false">IF(C1196="","",C1196*IF(Settings!$B$25=Settings!$C$6,1,IF(Settings!$B$25="USD",1/INDEX(Settings!$B$29:$B$40,MONTH(A1196)),INDEX(Settings!$B$29:$B$40,MONTH(A1196)))))</f>
        <v/>
      </c>
    </row>
    <row r="1197" customFormat="false" ht="15" hidden="false" customHeight="false" outlineLevel="0" collapsed="false">
      <c r="H1197" s="0" t="str">
        <f aca="false">IF(B1197="","",IF(COUNTIF(Campaigns!$A$7:$A$300,B1197)&gt;0,"✓","⚠ add to Campaigns tab"))</f>
        <v/>
      </c>
      <c r="I1197" s="84" t="str">
        <f aca="false">IF(C1197="","",C1197*IF(Settings!$B$25=Settings!$C$6,1,IF(Settings!$B$25="USD",1/INDEX(Settings!$B$29:$B$40,MONTH(A1197)),INDEX(Settings!$B$29:$B$40,MONTH(A1197)))))</f>
        <v/>
      </c>
    </row>
    <row r="1198" customFormat="false" ht="15" hidden="false" customHeight="false" outlineLevel="0" collapsed="false">
      <c r="H1198" s="0" t="str">
        <f aca="false">IF(B1198="","",IF(COUNTIF(Campaigns!$A$7:$A$300,B1198)&gt;0,"✓","⚠ add to Campaigns tab"))</f>
        <v/>
      </c>
      <c r="I1198" s="84" t="str">
        <f aca="false">IF(C1198="","",C1198*IF(Settings!$B$25=Settings!$C$6,1,IF(Settings!$B$25="USD",1/INDEX(Settings!$B$29:$B$40,MONTH(A1198)),INDEX(Settings!$B$29:$B$40,MONTH(A1198)))))</f>
        <v/>
      </c>
    </row>
    <row r="1199" customFormat="false" ht="15" hidden="false" customHeight="false" outlineLevel="0" collapsed="false">
      <c r="H1199" s="0" t="str">
        <f aca="false">IF(B1199="","",IF(COUNTIF(Campaigns!$A$7:$A$300,B1199)&gt;0,"✓","⚠ add to Campaigns tab"))</f>
        <v/>
      </c>
      <c r="I1199" s="84" t="str">
        <f aca="false">IF(C1199="","",C1199*IF(Settings!$B$25=Settings!$C$6,1,IF(Settings!$B$25="USD",1/INDEX(Settings!$B$29:$B$40,MONTH(A1199)),INDEX(Settings!$B$29:$B$40,MONTH(A1199)))))</f>
        <v/>
      </c>
    </row>
    <row r="1200" customFormat="false" ht="15" hidden="false" customHeight="false" outlineLevel="0" collapsed="false">
      <c r="H1200" s="0" t="str">
        <f aca="false">IF(B1200="","",IF(COUNTIF(Campaigns!$A$7:$A$300,B1200)&gt;0,"✓","⚠ add to Campaigns tab"))</f>
        <v/>
      </c>
      <c r="I1200" s="84" t="str">
        <f aca="false">IF(C1200="","",C1200*IF(Settings!$B$25=Settings!$C$6,1,IF(Settings!$B$25="USD",1/INDEX(Settings!$B$29:$B$40,MONTH(A1200)),INDEX(Settings!$B$29:$B$40,MONTH(A1200)))))</f>
        <v/>
      </c>
    </row>
    <row r="1201" customFormat="false" ht="15" hidden="false" customHeight="false" outlineLevel="0" collapsed="false">
      <c r="H1201" s="0" t="str">
        <f aca="false">IF(B1201="","",IF(COUNTIF(Campaigns!$A$7:$A$300,B1201)&gt;0,"✓","⚠ add to Campaigns tab"))</f>
        <v/>
      </c>
      <c r="I1201" s="84" t="str">
        <f aca="false">IF(C1201="","",C1201*IF(Settings!$B$25=Settings!$C$6,1,IF(Settings!$B$25="USD",1/INDEX(Settings!$B$29:$B$40,MONTH(A1201)),INDEX(Settings!$B$29:$B$40,MONTH(A1201)))))</f>
        <v/>
      </c>
    </row>
    <row r="1202" customFormat="false" ht="15" hidden="false" customHeight="false" outlineLevel="0" collapsed="false">
      <c r="H1202" s="0" t="str">
        <f aca="false">IF(B1202="","",IF(COUNTIF(Campaigns!$A$7:$A$300,B1202)&gt;0,"✓","⚠ add to Campaigns tab"))</f>
        <v/>
      </c>
      <c r="I1202" s="84" t="str">
        <f aca="false">IF(C1202="","",C1202*IF(Settings!$B$25=Settings!$C$6,1,IF(Settings!$B$25="USD",1/INDEX(Settings!$B$29:$B$40,MONTH(A1202)),INDEX(Settings!$B$29:$B$40,MONTH(A1202)))))</f>
        <v/>
      </c>
    </row>
    <row r="1203" customFormat="false" ht="15" hidden="false" customHeight="false" outlineLevel="0" collapsed="false">
      <c r="H1203" s="0" t="str">
        <f aca="false">IF(B1203="","",IF(COUNTIF(Campaigns!$A$7:$A$300,B1203)&gt;0,"✓","⚠ add to Campaigns tab"))</f>
        <v/>
      </c>
      <c r="I1203" s="84" t="str">
        <f aca="false">IF(C1203="","",C1203*IF(Settings!$B$25=Settings!$C$6,1,IF(Settings!$B$25="USD",1/INDEX(Settings!$B$29:$B$40,MONTH(A1203)),INDEX(Settings!$B$29:$B$40,MONTH(A1203)))))</f>
        <v/>
      </c>
    </row>
    <row r="1204" customFormat="false" ht="15" hidden="false" customHeight="false" outlineLevel="0" collapsed="false">
      <c r="H1204" s="0" t="str">
        <f aca="false">IF(B1204="","",IF(COUNTIF(Campaigns!$A$7:$A$300,B1204)&gt;0,"✓","⚠ add to Campaigns tab"))</f>
        <v/>
      </c>
      <c r="I1204" s="84" t="str">
        <f aca="false">IF(C1204="","",C1204*IF(Settings!$B$25=Settings!$C$6,1,IF(Settings!$B$25="USD",1/INDEX(Settings!$B$29:$B$40,MONTH(A1204)),INDEX(Settings!$B$29:$B$40,MONTH(A1204)))))</f>
        <v/>
      </c>
    </row>
    <row r="1205" customFormat="false" ht="15" hidden="false" customHeight="false" outlineLevel="0" collapsed="false">
      <c r="H1205" s="0" t="str">
        <f aca="false">IF(B1205="","",IF(COUNTIF(Campaigns!$A$7:$A$300,B1205)&gt;0,"✓","⚠ add to Campaigns tab"))</f>
        <v/>
      </c>
      <c r="I1205" s="84" t="str">
        <f aca="false">IF(C1205="","",C1205*IF(Settings!$B$25=Settings!$C$6,1,IF(Settings!$B$25="USD",1/INDEX(Settings!$B$29:$B$40,MONTH(A1205)),INDEX(Settings!$B$29:$B$40,MONTH(A1205)))))</f>
        <v/>
      </c>
    </row>
    <row r="1206" customFormat="false" ht="15" hidden="false" customHeight="false" outlineLevel="0" collapsed="false">
      <c r="H1206" s="0" t="str">
        <f aca="false">IF(B1206="","",IF(COUNTIF(Campaigns!$A$7:$A$300,B1206)&gt;0,"✓","⚠ add to Campaigns tab"))</f>
        <v/>
      </c>
      <c r="I1206" s="84" t="str">
        <f aca="false">IF(C1206="","",C1206*IF(Settings!$B$25=Settings!$C$6,1,IF(Settings!$B$25="USD",1/INDEX(Settings!$B$29:$B$40,MONTH(A1206)),INDEX(Settings!$B$29:$B$40,MONTH(A1206)))))</f>
        <v/>
      </c>
    </row>
    <row r="1207" customFormat="false" ht="15" hidden="false" customHeight="false" outlineLevel="0" collapsed="false">
      <c r="H1207" s="0" t="str">
        <f aca="false">IF(B1207="","",IF(COUNTIF(Campaigns!$A$7:$A$300,B1207)&gt;0,"✓","⚠ add to Campaigns tab"))</f>
        <v/>
      </c>
      <c r="I1207" s="84" t="str">
        <f aca="false">IF(C1207="","",C1207*IF(Settings!$B$25=Settings!$C$6,1,IF(Settings!$B$25="USD",1/INDEX(Settings!$B$29:$B$40,MONTH(A1207)),INDEX(Settings!$B$29:$B$40,MONTH(A1207)))))</f>
        <v/>
      </c>
    </row>
    <row r="1208" customFormat="false" ht="15" hidden="false" customHeight="false" outlineLevel="0" collapsed="false">
      <c r="H1208" s="0" t="str">
        <f aca="false">IF(B1208="","",IF(COUNTIF(Campaigns!$A$7:$A$300,B1208)&gt;0,"✓","⚠ add to Campaigns tab"))</f>
        <v/>
      </c>
      <c r="I1208" s="84" t="str">
        <f aca="false">IF(C1208="","",C1208*IF(Settings!$B$25=Settings!$C$6,1,IF(Settings!$B$25="USD",1/INDEX(Settings!$B$29:$B$40,MONTH(A1208)),INDEX(Settings!$B$29:$B$40,MONTH(A1208)))))</f>
        <v/>
      </c>
    </row>
    <row r="1209" customFormat="false" ht="15" hidden="false" customHeight="false" outlineLevel="0" collapsed="false">
      <c r="H1209" s="0" t="str">
        <f aca="false">IF(B1209="","",IF(COUNTIF(Campaigns!$A$7:$A$300,B1209)&gt;0,"✓","⚠ add to Campaigns tab"))</f>
        <v/>
      </c>
      <c r="I1209" s="84" t="str">
        <f aca="false">IF(C1209="","",C1209*IF(Settings!$B$25=Settings!$C$6,1,IF(Settings!$B$25="USD",1/INDEX(Settings!$B$29:$B$40,MONTH(A1209)),INDEX(Settings!$B$29:$B$40,MONTH(A1209)))))</f>
        <v/>
      </c>
    </row>
    <row r="1210" customFormat="false" ht="15" hidden="false" customHeight="false" outlineLevel="0" collapsed="false">
      <c r="H1210" s="0" t="str">
        <f aca="false">IF(B1210="","",IF(COUNTIF(Campaigns!$A$7:$A$300,B1210)&gt;0,"✓","⚠ add to Campaigns tab"))</f>
        <v/>
      </c>
      <c r="I1210" s="84" t="str">
        <f aca="false">IF(C1210="","",C1210*IF(Settings!$B$25=Settings!$C$6,1,IF(Settings!$B$25="USD",1/INDEX(Settings!$B$29:$B$40,MONTH(A1210)),INDEX(Settings!$B$29:$B$40,MONTH(A1210)))))</f>
        <v/>
      </c>
    </row>
    <row r="1211" customFormat="false" ht="15" hidden="false" customHeight="false" outlineLevel="0" collapsed="false">
      <c r="H1211" s="0" t="str">
        <f aca="false">IF(B1211="","",IF(COUNTIF(Campaigns!$A$7:$A$300,B1211)&gt;0,"✓","⚠ add to Campaigns tab"))</f>
        <v/>
      </c>
      <c r="I1211" s="84" t="str">
        <f aca="false">IF(C1211="","",C1211*IF(Settings!$B$25=Settings!$C$6,1,IF(Settings!$B$25="USD",1/INDEX(Settings!$B$29:$B$40,MONTH(A1211)),INDEX(Settings!$B$29:$B$40,MONTH(A1211)))))</f>
        <v/>
      </c>
    </row>
    <row r="1212" customFormat="false" ht="15" hidden="false" customHeight="false" outlineLevel="0" collapsed="false">
      <c r="H1212" s="0" t="str">
        <f aca="false">IF(B1212="","",IF(COUNTIF(Campaigns!$A$7:$A$300,B1212)&gt;0,"✓","⚠ add to Campaigns tab"))</f>
        <v/>
      </c>
      <c r="I1212" s="84" t="str">
        <f aca="false">IF(C1212="","",C1212*IF(Settings!$B$25=Settings!$C$6,1,IF(Settings!$B$25="USD",1/INDEX(Settings!$B$29:$B$40,MONTH(A1212)),INDEX(Settings!$B$29:$B$40,MONTH(A1212)))))</f>
        <v/>
      </c>
    </row>
    <row r="1213" customFormat="false" ht="15" hidden="false" customHeight="false" outlineLevel="0" collapsed="false">
      <c r="H1213" s="0" t="str">
        <f aca="false">IF(B1213="","",IF(COUNTIF(Campaigns!$A$7:$A$300,B1213)&gt;0,"✓","⚠ add to Campaigns tab"))</f>
        <v/>
      </c>
      <c r="I1213" s="84" t="str">
        <f aca="false">IF(C1213="","",C1213*IF(Settings!$B$25=Settings!$C$6,1,IF(Settings!$B$25="USD",1/INDEX(Settings!$B$29:$B$40,MONTH(A1213)),INDEX(Settings!$B$29:$B$40,MONTH(A1213)))))</f>
        <v/>
      </c>
    </row>
    <row r="1214" customFormat="false" ht="15" hidden="false" customHeight="false" outlineLevel="0" collapsed="false">
      <c r="H1214" s="0" t="str">
        <f aca="false">IF(B1214="","",IF(COUNTIF(Campaigns!$A$7:$A$300,B1214)&gt;0,"✓","⚠ add to Campaigns tab"))</f>
        <v/>
      </c>
      <c r="I1214" s="84" t="str">
        <f aca="false">IF(C1214="","",C1214*IF(Settings!$B$25=Settings!$C$6,1,IF(Settings!$B$25="USD",1/INDEX(Settings!$B$29:$B$40,MONTH(A1214)),INDEX(Settings!$B$29:$B$40,MONTH(A1214)))))</f>
        <v/>
      </c>
    </row>
    <row r="1215" customFormat="false" ht="15" hidden="false" customHeight="false" outlineLevel="0" collapsed="false">
      <c r="H1215" s="0" t="str">
        <f aca="false">IF(B1215="","",IF(COUNTIF(Campaigns!$A$7:$A$300,B1215)&gt;0,"✓","⚠ add to Campaigns tab"))</f>
        <v/>
      </c>
      <c r="I1215" s="84" t="str">
        <f aca="false">IF(C1215="","",C1215*IF(Settings!$B$25=Settings!$C$6,1,IF(Settings!$B$25="USD",1/INDEX(Settings!$B$29:$B$40,MONTH(A1215)),INDEX(Settings!$B$29:$B$40,MONTH(A1215)))))</f>
        <v/>
      </c>
    </row>
    <row r="1216" customFormat="false" ht="15" hidden="false" customHeight="false" outlineLevel="0" collapsed="false">
      <c r="H1216" s="0" t="str">
        <f aca="false">IF(B1216="","",IF(COUNTIF(Campaigns!$A$7:$A$300,B1216)&gt;0,"✓","⚠ add to Campaigns tab"))</f>
        <v/>
      </c>
      <c r="I1216" s="84" t="str">
        <f aca="false">IF(C1216="","",C1216*IF(Settings!$B$25=Settings!$C$6,1,IF(Settings!$B$25="USD",1/INDEX(Settings!$B$29:$B$40,MONTH(A1216)),INDEX(Settings!$B$29:$B$40,MONTH(A1216)))))</f>
        <v/>
      </c>
    </row>
    <row r="1217" customFormat="false" ht="15" hidden="false" customHeight="false" outlineLevel="0" collapsed="false">
      <c r="H1217" s="0" t="str">
        <f aca="false">IF(B1217="","",IF(COUNTIF(Campaigns!$A$7:$A$300,B1217)&gt;0,"✓","⚠ add to Campaigns tab"))</f>
        <v/>
      </c>
      <c r="I1217" s="84" t="str">
        <f aca="false">IF(C1217="","",C1217*IF(Settings!$B$25=Settings!$C$6,1,IF(Settings!$B$25="USD",1/INDEX(Settings!$B$29:$B$40,MONTH(A1217)),INDEX(Settings!$B$29:$B$40,MONTH(A1217)))))</f>
        <v/>
      </c>
    </row>
    <row r="1218" customFormat="false" ht="15" hidden="false" customHeight="false" outlineLevel="0" collapsed="false">
      <c r="H1218" s="0" t="str">
        <f aca="false">IF(B1218="","",IF(COUNTIF(Campaigns!$A$7:$A$300,B1218)&gt;0,"✓","⚠ add to Campaigns tab"))</f>
        <v/>
      </c>
      <c r="I1218" s="84" t="str">
        <f aca="false">IF(C1218="","",C1218*IF(Settings!$B$25=Settings!$C$6,1,IF(Settings!$B$25="USD",1/INDEX(Settings!$B$29:$B$40,MONTH(A1218)),INDEX(Settings!$B$29:$B$40,MONTH(A1218)))))</f>
        <v/>
      </c>
    </row>
    <row r="1219" customFormat="false" ht="15" hidden="false" customHeight="false" outlineLevel="0" collapsed="false">
      <c r="H1219" s="0" t="str">
        <f aca="false">IF(B1219="","",IF(COUNTIF(Campaigns!$A$7:$A$300,B1219)&gt;0,"✓","⚠ add to Campaigns tab"))</f>
        <v/>
      </c>
      <c r="I1219" s="84" t="str">
        <f aca="false">IF(C1219="","",C1219*IF(Settings!$B$25=Settings!$C$6,1,IF(Settings!$B$25="USD",1/INDEX(Settings!$B$29:$B$40,MONTH(A1219)),INDEX(Settings!$B$29:$B$40,MONTH(A1219)))))</f>
        <v/>
      </c>
    </row>
    <row r="1220" customFormat="false" ht="15" hidden="false" customHeight="false" outlineLevel="0" collapsed="false">
      <c r="H1220" s="0" t="str">
        <f aca="false">IF(B1220="","",IF(COUNTIF(Campaigns!$A$7:$A$300,B1220)&gt;0,"✓","⚠ add to Campaigns tab"))</f>
        <v/>
      </c>
      <c r="I1220" s="84" t="str">
        <f aca="false">IF(C1220="","",C1220*IF(Settings!$B$25=Settings!$C$6,1,IF(Settings!$B$25="USD",1/INDEX(Settings!$B$29:$B$40,MONTH(A1220)),INDEX(Settings!$B$29:$B$40,MONTH(A1220)))))</f>
        <v/>
      </c>
    </row>
    <row r="1221" customFormat="false" ht="15" hidden="false" customHeight="false" outlineLevel="0" collapsed="false">
      <c r="H1221" s="0" t="str">
        <f aca="false">IF(B1221="","",IF(COUNTIF(Campaigns!$A$7:$A$300,B1221)&gt;0,"✓","⚠ add to Campaigns tab"))</f>
        <v/>
      </c>
      <c r="I1221" s="84" t="str">
        <f aca="false">IF(C1221="","",C1221*IF(Settings!$B$25=Settings!$C$6,1,IF(Settings!$B$25="USD",1/INDEX(Settings!$B$29:$B$40,MONTH(A1221)),INDEX(Settings!$B$29:$B$40,MONTH(A1221)))))</f>
        <v/>
      </c>
    </row>
    <row r="1222" customFormat="false" ht="15" hidden="false" customHeight="false" outlineLevel="0" collapsed="false">
      <c r="H1222" s="0" t="str">
        <f aca="false">IF(B1222="","",IF(COUNTIF(Campaigns!$A$7:$A$300,B1222)&gt;0,"✓","⚠ add to Campaigns tab"))</f>
        <v/>
      </c>
      <c r="I1222" s="84" t="str">
        <f aca="false">IF(C1222="","",C1222*IF(Settings!$B$25=Settings!$C$6,1,IF(Settings!$B$25="USD",1/INDEX(Settings!$B$29:$B$40,MONTH(A1222)),INDEX(Settings!$B$29:$B$40,MONTH(A1222)))))</f>
        <v/>
      </c>
    </row>
    <row r="1223" customFormat="false" ht="15" hidden="false" customHeight="false" outlineLevel="0" collapsed="false">
      <c r="H1223" s="0" t="str">
        <f aca="false">IF(B1223="","",IF(COUNTIF(Campaigns!$A$7:$A$300,B1223)&gt;0,"✓","⚠ add to Campaigns tab"))</f>
        <v/>
      </c>
      <c r="I1223" s="84" t="str">
        <f aca="false">IF(C1223="","",C1223*IF(Settings!$B$25=Settings!$C$6,1,IF(Settings!$B$25="USD",1/INDEX(Settings!$B$29:$B$40,MONTH(A1223)),INDEX(Settings!$B$29:$B$40,MONTH(A1223)))))</f>
        <v/>
      </c>
    </row>
    <row r="1224" customFormat="false" ht="15" hidden="false" customHeight="false" outlineLevel="0" collapsed="false">
      <c r="H1224" s="0" t="str">
        <f aca="false">IF(B1224="","",IF(COUNTIF(Campaigns!$A$7:$A$300,B1224)&gt;0,"✓","⚠ add to Campaigns tab"))</f>
        <v/>
      </c>
      <c r="I1224" s="84" t="str">
        <f aca="false">IF(C1224="","",C1224*IF(Settings!$B$25=Settings!$C$6,1,IF(Settings!$B$25="USD",1/INDEX(Settings!$B$29:$B$40,MONTH(A1224)),INDEX(Settings!$B$29:$B$40,MONTH(A1224)))))</f>
        <v/>
      </c>
    </row>
    <row r="1225" customFormat="false" ht="15" hidden="false" customHeight="false" outlineLevel="0" collapsed="false">
      <c r="H1225" s="0" t="str">
        <f aca="false">IF(B1225="","",IF(COUNTIF(Campaigns!$A$7:$A$300,B1225)&gt;0,"✓","⚠ add to Campaigns tab"))</f>
        <v/>
      </c>
      <c r="I1225" s="84" t="str">
        <f aca="false">IF(C1225="","",C1225*IF(Settings!$B$25=Settings!$C$6,1,IF(Settings!$B$25="USD",1/INDEX(Settings!$B$29:$B$40,MONTH(A1225)),INDEX(Settings!$B$29:$B$40,MONTH(A1225)))))</f>
        <v/>
      </c>
    </row>
    <row r="1226" customFormat="false" ht="15" hidden="false" customHeight="false" outlineLevel="0" collapsed="false">
      <c r="H1226" s="0" t="str">
        <f aca="false">IF(B1226="","",IF(COUNTIF(Campaigns!$A$7:$A$300,B1226)&gt;0,"✓","⚠ add to Campaigns tab"))</f>
        <v/>
      </c>
      <c r="I1226" s="84" t="str">
        <f aca="false">IF(C1226="","",C1226*IF(Settings!$B$25=Settings!$C$6,1,IF(Settings!$B$25="USD",1/INDEX(Settings!$B$29:$B$40,MONTH(A1226)),INDEX(Settings!$B$29:$B$40,MONTH(A1226)))))</f>
        <v/>
      </c>
    </row>
    <row r="1227" customFormat="false" ht="15" hidden="false" customHeight="false" outlineLevel="0" collapsed="false">
      <c r="H1227" s="0" t="str">
        <f aca="false">IF(B1227="","",IF(COUNTIF(Campaigns!$A$7:$A$300,B1227)&gt;0,"✓","⚠ add to Campaigns tab"))</f>
        <v/>
      </c>
      <c r="I1227" s="84" t="str">
        <f aca="false">IF(C1227="","",C1227*IF(Settings!$B$25=Settings!$C$6,1,IF(Settings!$B$25="USD",1/INDEX(Settings!$B$29:$B$40,MONTH(A1227)),INDEX(Settings!$B$29:$B$40,MONTH(A1227)))))</f>
        <v/>
      </c>
    </row>
    <row r="1228" customFormat="false" ht="15" hidden="false" customHeight="false" outlineLevel="0" collapsed="false">
      <c r="H1228" s="0" t="str">
        <f aca="false">IF(B1228="","",IF(COUNTIF(Campaigns!$A$7:$A$300,B1228)&gt;0,"✓","⚠ add to Campaigns tab"))</f>
        <v/>
      </c>
      <c r="I1228" s="84" t="str">
        <f aca="false">IF(C1228="","",C1228*IF(Settings!$B$25=Settings!$C$6,1,IF(Settings!$B$25="USD",1/INDEX(Settings!$B$29:$B$40,MONTH(A1228)),INDEX(Settings!$B$29:$B$40,MONTH(A1228)))))</f>
        <v/>
      </c>
    </row>
    <row r="1229" customFormat="false" ht="15" hidden="false" customHeight="false" outlineLevel="0" collapsed="false">
      <c r="H1229" s="0" t="str">
        <f aca="false">IF(B1229="","",IF(COUNTIF(Campaigns!$A$7:$A$300,B1229)&gt;0,"✓","⚠ add to Campaigns tab"))</f>
        <v/>
      </c>
      <c r="I1229" s="84" t="str">
        <f aca="false">IF(C1229="","",C1229*IF(Settings!$B$25=Settings!$C$6,1,IF(Settings!$B$25="USD",1/INDEX(Settings!$B$29:$B$40,MONTH(A1229)),INDEX(Settings!$B$29:$B$40,MONTH(A1229)))))</f>
        <v/>
      </c>
    </row>
    <row r="1230" customFormat="false" ht="15" hidden="false" customHeight="false" outlineLevel="0" collapsed="false">
      <c r="H1230" s="0" t="str">
        <f aca="false">IF(B1230="","",IF(COUNTIF(Campaigns!$A$7:$A$300,B1230)&gt;0,"✓","⚠ add to Campaigns tab"))</f>
        <v/>
      </c>
      <c r="I1230" s="84" t="str">
        <f aca="false">IF(C1230="","",C1230*IF(Settings!$B$25=Settings!$C$6,1,IF(Settings!$B$25="USD",1/INDEX(Settings!$B$29:$B$40,MONTH(A1230)),INDEX(Settings!$B$29:$B$40,MONTH(A1230)))))</f>
        <v/>
      </c>
    </row>
    <row r="1231" customFormat="false" ht="15" hidden="false" customHeight="false" outlineLevel="0" collapsed="false">
      <c r="H1231" s="0" t="str">
        <f aca="false">IF(B1231="","",IF(COUNTIF(Campaigns!$A$7:$A$300,B1231)&gt;0,"✓","⚠ add to Campaigns tab"))</f>
        <v/>
      </c>
      <c r="I1231" s="84" t="str">
        <f aca="false">IF(C1231="","",C1231*IF(Settings!$B$25=Settings!$C$6,1,IF(Settings!$B$25="USD",1/INDEX(Settings!$B$29:$B$40,MONTH(A1231)),INDEX(Settings!$B$29:$B$40,MONTH(A1231)))))</f>
        <v/>
      </c>
    </row>
    <row r="1232" customFormat="false" ht="15" hidden="false" customHeight="false" outlineLevel="0" collapsed="false">
      <c r="H1232" s="0" t="str">
        <f aca="false">IF(B1232="","",IF(COUNTIF(Campaigns!$A$7:$A$300,B1232)&gt;0,"✓","⚠ add to Campaigns tab"))</f>
        <v/>
      </c>
      <c r="I1232" s="84" t="str">
        <f aca="false">IF(C1232="","",C1232*IF(Settings!$B$25=Settings!$C$6,1,IF(Settings!$B$25="USD",1/INDEX(Settings!$B$29:$B$40,MONTH(A1232)),INDEX(Settings!$B$29:$B$40,MONTH(A1232)))))</f>
        <v/>
      </c>
    </row>
    <row r="1233" customFormat="false" ht="15" hidden="false" customHeight="false" outlineLevel="0" collapsed="false">
      <c r="H1233" s="0" t="str">
        <f aca="false">IF(B1233="","",IF(COUNTIF(Campaigns!$A$7:$A$300,B1233)&gt;0,"✓","⚠ add to Campaigns tab"))</f>
        <v/>
      </c>
      <c r="I1233" s="84" t="str">
        <f aca="false">IF(C1233="","",C1233*IF(Settings!$B$25=Settings!$C$6,1,IF(Settings!$B$25="USD",1/INDEX(Settings!$B$29:$B$40,MONTH(A1233)),INDEX(Settings!$B$29:$B$40,MONTH(A1233)))))</f>
        <v/>
      </c>
    </row>
    <row r="1234" customFormat="false" ht="15" hidden="false" customHeight="false" outlineLevel="0" collapsed="false">
      <c r="H1234" s="0" t="str">
        <f aca="false">IF(B1234="","",IF(COUNTIF(Campaigns!$A$7:$A$300,B1234)&gt;0,"✓","⚠ add to Campaigns tab"))</f>
        <v/>
      </c>
      <c r="I1234" s="84" t="str">
        <f aca="false">IF(C1234="","",C1234*IF(Settings!$B$25=Settings!$C$6,1,IF(Settings!$B$25="USD",1/INDEX(Settings!$B$29:$B$40,MONTH(A1234)),INDEX(Settings!$B$29:$B$40,MONTH(A1234)))))</f>
        <v/>
      </c>
    </row>
    <row r="1235" customFormat="false" ht="15" hidden="false" customHeight="false" outlineLevel="0" collapsed="false">
      <c r="H1235" s="0" t="str">
        <f aca="false">IF(B1235="","",IF(COUNTIF(Campaigns!$A$7:$A$300,B1235)&gt;0,"✓","⚠ add to Campaigns tab"))</f>
        <v/>
      </c>
      <c r="I1235" s="84" t="str">
        <f aca="false">IF(C1235="","",C1235*IF(Settings!$B$25=Settings!$C$6,1,IF(Settings!$B$25="USD",1/INDEX(Settings!$B$29:$B$40,MONTH(A1235)),INDEX(Settings!$B$29:$B$40,MONTH(A1235)))))</f>
        <v/>
      </c>
    </row>
    <row r="1236" customFormat="false" ht="15" hidden="false" customHeight="false" outlineLevel="0" collapsed="false">
      <c r="H1236" s="0" t="str">
        <f aca="false">IF(B1236="","",IF(COUNTIF(Campaigns!$A$7:$A$300,B1236)&gt;0,"✓","⚠ add to Campaigns tab"))</f>
        <v/>
      </c>
      <c r="I1236" s="84" t="str">
        <f aca="false">IF(C1236="","",C1236*IF(Settings!$B$25=Settings!$C$6,1,IF(Settings!$B$25="USD",1/INDEX(Settings!$B$29:$B$40,MONTH(A1236)),INDEX(Settings!$B$29:$B$40,MONTH(A1236)))))</f>
        <v/>
      </c>
    </row>
    <row r="1237" customFormat="false" ht="15" hidden="false" customHeight="false" outlineLevel="0" collapsed="false">
      <c r="H1237" s="0" t="str">
        <f aca="false">IF(B1237="","",IF(COUNTIF(Campaigns!$A$7:$A$300,B1237)&gt;0,"✓","⚠ add to Campaigns tab"))</f>
        <v/>
      </c>
      <c r="I1237" s="84" t="str">
        <f aca="false">IF(C1237="","",C1237*IF(Settings!$B$25=Settings!$C$6,1,IF(Settings!$B$25="USD",1/INDEX(Settings!$B$29:$B$40,MONTH(A1237)),INDEX(Settings!$B$29:$B$40,MONTH(A1237)))))</f>
        <v/>
      </c>
    </row>
    <row r="1238" customFormat="false" ht="15" hidden="false" customHeight="false" outlineLevel="0" collapsed="false">
      <c r="H1238" s="0" t="str">
        <f aca="false">IF(B1238="","",IF(COUNTIF(Campaigns!$A$7:$A$300,B1238)&gt;0,"✓","⚠ add to Campaigns tab"))</f>
        <v/>
      </c>
      <c r="I1238" s="84" t="str">
        <f aca="false">IF(C1238="","",C1238*IF(Settings!$B$25=Settings!$C$6,1,IF(Settings!$B$25="USD",1/INDEX(Settings!$B$29:$B$40,MONTH(A1238)),INDEX(Settings!$B$29:$B$40,MONTH(A1238)))))</f>
        <v/>
      </c>
    </row>
    <row r="1239" customFormat="false" ht="15" hidden="false" customHeight="false" outlineLevel="0" collapsed="false">
      <c r="H1239" s="0" t="str">
        <f aca="false">IF(B1239="","",IF(COUNTIF(Campaigns!$A$7:$A$300,B1239)&gt;0,"✓","⚠ add to Campaigns tab"))</f>
        <v/>
      </c>
      <c r="I1239" s="84" t="str">
        <f aca="false">IF(C1239="","",C1239*IF(Settings!$B$25=Settings!$C$6,1,IF(Settings!$B$25="USD",1/INDEX(Settings!$B$29:$B$40,MONTH(A1239)),INDEX(Settings!$B$29:$B$40,MONTH(A1239)))))</f>
        <v/>
      </c>
    </row>
    <row r="1240" customFormat="false" ht="15" hidden="false" customHeight="false" outlineLevel="0" collapsed="false">
      <c r="H1240" s="0" t="str">
        <f aca="false">IF(B1240="","",IF(COUNTIF(Campaigns!$A$7:$A$300,B1240)&gt;0,"✓","⚠ add to Campaigns tab"))</f>
        <v/>
      </c>
      <c r="I1240" s="84" t="str">
        <f aca="false">IF(C1240="","",C1240*IF(Settings!$B$25=Settings!$C$6,1,IF(Settings!$B$25="USD",1/INDEX(Settings!$B$29:$B$40,MONTH(A1240)),INDEX(Settings!$B$29:$B$40,MONTH(A1240)))))</f>
        <v/>
      </c>
    </row>
    <row r="1241" customFormat="false" ht="15" hidden="false" customHeight="false" outlineLevel="0" collapsed="false">
      <c r="H1241" s="0" t="str">
        <f aca="false">IF(B1241="","",IF(COUNTIF(Campaigns!$A$7:$A$300,B1241)&gt;0,"✓","⚠ add to Campaigns tab"))</f>
        <v/>
      </c>
      <c r="I1241" s="84" t="str">
        <f aca="false">IF(C1241="","",C1241*IF(Settings!$B$25=Settings!$C$6,1,IF(Settings!$B$25="USD",1/INDEX(Settings!$B$29:$B$40,MONTH(A1241)),INDEX(Settings!$B$29:$B$40,MONTH(A1241)))))</f>
        <v/>
      </c>
    </row>
    <row r="1242" customFormat="false" ht="15" hidden="false" customHeight="false" outlineLevel="0" collapsed="false">
      <c r="H1242" s="0" t="str">
        <f aca="false">IF(B1242="","",IF(COUNTIF(Campaigns!$A$7:$A$300,B1242)&gt;0,"✓","⚠ add to Campaigns tab"))</f>
        <v/>
      </c>
      <c r="I1242" s="84" t="str">
        <f aca="false">IF(C1242="","",C1242*IF(Settings!$B$25=Settings!$C$6,1,IF(Settings!$B$25="USD",1/INDEX(Settings!$B$29:$B$40,MONTH(A1242)),INDEX(Settings!$B$29:$B$40,MONTH(A1242)))))</f>
        <v/>
      </c>
    </row>
    <row r="1243" customFormat="false" ht="15" hidden="false" customHeight="false" outlineLevel="0" collapsed="false">
      <c r="H1243" s="0" t="str">
        <f aca="false">IF(B1243="","",IF(COUNTIF(Campaigns!$A$7:$A$300,B1243)&gt;0,"✓","⚠ add to Campaigns tab"))</f>
        <v/>
      </c>
      <c r="I1243" s="84" t="str">
        <f aca="false">IF(C1243="","",C1243*IF(Settings!$B$25=Settings!$C$6,1,IF(Settings!$B$25="USD",1/INDEX(Settings!$B$29:$B$40,MONTH(A1243)),INDEX(Settings!$B$29:$B$40,MONTH(A1243)))))</f>
        <v/>
      </c>
    </row>
    <row r="1244" customFormat="false" ht="15" hidden="false" customHeight="false" outlineLevel="0" collapsed="false">
      <c r="H1244" s="0" t="str">
        <f aca="false">IF(B1244="","",IF(COUNTIF(Campaigns!$A$7:$A$300,B1244)&gt;0,"✓","⚠ add to Campaigns tab"))</f>
        <v/>
      </c>
      <c r="I1244" s="84" t="str">
        <f aca="false">IF(C1244="","",C1244*IF(Settings!$B$25=Settings!$C$6,1,IF(Settings!$B$25="USD",1/INDEX(Settings!$B$29:$B$40,MONTH(A1244)),INDEX(Settings!$B$29:$B$40,MONTH(A1244)))))</f>
        <v/>
      </c>
    </row>
    <row r="1245" customFormat="false" ht="15" hidden="false" customHeight="false" outlineLevel="0" collapsed="false">
      <c r="H1245" s="0" t="str">
        <f aca="false">IF(B1245="","",IF(COUNTIF(Campaigns!$A$7:$A$300,B1245)&gt;0,"✓","⚠ add to Campaigns tab"))</f>
        <v/>
      </c>
      <c r="I1245" s="84" t="str">
        <f aca="false">IF(C1245="","",C1245*IF(Settings!$B$25=Settings!$C$6,1,IF(Settings!$B$25="USD",1/INDEX(Settings!$B$29:$B$40,MONTH(A1245)),INDEX(Settings!$B$29:$B$40,MONTH(A1245)))))</f>
        <v/>
      </c>
    </row>
    <row r="1246" customFormat="false" ht="15" hidden="false" customHeight="false" outlineLevel="0" collapsed="false">
      <c r="H1246" s="0" t="str">
        <f aca="false">IF(B1246="","",IF(COUNTIF(Campaigns!$A$7:$A$300,B1246)&gt;0,"✓","⚠ add to Campaigns tab"))</f>
        <v/>
      </c>
      <c r="I1246" s="84" t="str">
        <f aca="false">IF(C1246="","",C1246*IF(Settings!$B$25=Settings!$C$6,1,IF(Settings!$B$25="USD",1/INDEX(Settings!$B$29:$B$40,MONTH(A1246)),INDEX(Settings!$B$29:$B$40,MONTH(A1246)))))</f>
        <v/>
      </c>
    </row>
    <row r="1247" customFormat="false" ht="15" hidden="false" customHeight="false" outlineLevel="0" collapsed="false">
      <c r="H1247" s="0" t="str">
        <f aca="false">IF(B1247="","",IF(COUNTIF(Campaigns!$A$7:$A$300,B1247)&gt;0,"✓","⚠ add to Campaigns tab"))</f>
        <v/>
      </c>
      <c r="I1247" s="84" t="str">
        <f aca="false">IF(C1247="","",C1247*IF(Settings!$B$25=Settings!$C$6,1,IF(Settings!$B$25="USD",1/INDEX(Settings!$B$29:$B$40,MONTH(A1247)),INDEX(Settings!$B$29:$B$40,MONTH(A1247)))))</f>
        <v/>
      </c>
    </row>
    <row r="1248" customFormat="false" ht="15" hidden="false" customHeight="false" outlineLevel="0" collapsed="false">
      <c r="H1248" s="0" t="str">
        <f aca="false">IF(B1248="","",IF(COUNTIF(Campaigns!$A$7:$A$300,B1248)&gt;0,"✓","⚠ add to Campaigns tab"))</f>
        <v/>
      </c>
      <c r="I1248" s="84" t="str">
        <f aca="false">IF(C1248="","",C1248*IF(Settings!$B$25=Settings!$C$6,1,IF(Settings!$B$25="USD",1/INDEX(Settings!$B$29:$B$40,MONTH(A1248)),INDEX(Settings!$B$29:$B$40,MONTH(A1248)))))</f>
        <v/>
      </c>
    </row>
    <row r="1249" customFormat="false" ht="15" hidden="false" customHeight="false" outlineLevel="0" collapsed="false">
      <c r="H1249" s="0" t="str">
        <f aca="false">IF(B1249="","",IF(COUNTIF(Campaigns!$A$7:$A$300,B1249)&gt;0,"✓","⚠ add to Campaigns tab"))</f>
        <v/>
      </c>
      <c r="I1249" s="84" t="str">
        <f aca="false">IF(C1249="","",C1249*IF(Settings!$B$25=Settings!$C$6,1,IF(Settings!$B$25="USD",1/INDEX(Settings!$B$29:$B$40,MONTH(A1249)),INDEX(Settings!$B$29:$B$40,MONTH(A1249)))))</f>
        <v/>
      </c>
    </row>
    <row r="1250" customFormat="false" ht="15" hidden="false" customHeight="false" outlineLevel="0" collapsed="false">
      <c r="H1250" s="0" t="str">
        <f aca="false">IF(B1250="","",IF(COUNTIF(Campaigns!$A$7:$A$300,B1250)&gt;0,"✓","⚠ add to Campaigns tab"))</f>
        <v/>
      </c>
      <c r="I1250" s="84" t="str">
        <f aca="false">IF(C1250="","",C1250*IF(Settings!$B$25=Settings!$C$6,1,IF(Settings!$B$25="USD",1/INDEX(Settings!$B$29:$B$40,MONTH(A1250)),INDEX(Settings!$B$29:$B$40,MONTH(A1250)))))</f>
        <v/>
      </c>
    </row>
    <row r="1251" customFormat="false" ht="15" hidden="false" customHeight="false" outlineLevel="0" collapsed="false">
      <c r="H1251" s="0" t="str">
        <f aca="false">IF(B1251="","",IF(COUNTIF(Campaigns!$A$7:$A$300,B1251)&gt;0,"✓","⚠ add to Campaigns tab"))</f>
        <v/>
      </c>
      <c r="I1251" s="84" t="str">
        <f aca="false">IF(C1251="","",C1251*IF(Settings!$B$25=Settings!$C$6,1,IF(Settings!$B$25="USD",1/INDEX(Settings!$B$29:$B$40,MONTH(A1251)),INDEX(Settings!$B$29:$B$40,MONTH(A1251)))))</f>
        <v/>
      </c>
    </row>
    <row r="1252" customFormat="false" ht="15" hidden="false" customHeight="false" outlineLevel="0" collapsed="false">
      <c r="H1252" s="0" t="str">
        <f aca="false">IF(B1252="","",IF(COUNTIF(Campaigns!$A$7:$A$300,B1252)&gt;0,"✓","⚠ add to Campaigns tab"))</f>
        <v/>
      </c>
      <c r="I1252" s="84" t="str">
        <f aca="false">IF(C1252="","",C1252*IF(Settings!$B$25=Settings!$C$6,1,IF(Settings!$B$25="USD",1/INDEX(Settings!$B$29:$B$40,MONTH(A1252)),INDEX(Settings!$B$29:$B$40,MONTH(A1252)))))</f>
        <v/>
      </c>
    </row>
    <row r="1253" customFormat="false" ht="15" hidden="false" customHeight="false" outlineLevel="0" collapsed="false">
      <c r="H1253" s="0" t="str">
        <f aca="false">IF(B1253="","",IF(COUNTIF(Campaigns!$A$7:$A$300,B1253)&gt;0,"✓","⚠ add to Campaigns tab"))</f>
        <v/>
      </c>
      <c r="I1253" s="84" t="str">
        <f aca="false">IF(C1253="","",C1253*IF(Settings!$B$25=Settings!$C$6,1,IF(Settings!$B$25="USD",1/INDEX(Settings!$B$29:$B$40,MONTH(A1253)),INDEX(Settings!$B$29:$B$40,MONTH(A1253)))))</f>
        <v/>
      </c>
    </row>
    <row r="1254" customFormat="false" ht="15" hidden="false" customHeight="false" outlineLevel="0" collapsed="false">
      <c r="H1254" s="0" t="str">
        <f aca="false">IF(B1254="","",IF(COUNTIF(Campaigns!$A$7:$A$300,B1254)&gt;0,"✓","⚠ add to Campaigns tab"))</f>
        <v/>
      </c>
      <c r="I1254" s="84" t="str">
        <f aca="false">IF(C1254="","",C1254*IF(Settings!$B$25=Settings!$C$6,1,IF(Settings!$B$25="USD",1/INDEX(Settings!$B$29:$B$40,MONTH(A1254)),INDEX(Settings!$B$29:$B$40,MONTH(A1254)))))</f>
        <v/>
      </c>
    </row>
    <row r="1255" customFormat="false" ht="15" hidden="false" customHeight="false" outlineLevel="0" collapsed="false">
      <c r="H1255" s="0" t="str">
        <f aca="false">IF(B1255="","",IF(COUNTIF(Campaigns!$A$7:$A$300,B1255)&gt;0,"✓","⚠ add to Campaigns tab"))</f>
        <v/>
      </c>
      <c r="I1255" s="84" t="str">
        <f aca="false">IF(C1255="","",C1255*IF(Settings!$B$25=Settings!$C$6,1,IF(Settings!$B$25="USD",1/INDEX(Settings!$B$29:$B$40,MONTH(A1255)),INDEX(Settings!$B$29:$B$40,MONTH(A1255)))))</f>
        <v/>
      </c>
    </row>
    <row r="1256" customFormat="false" ht="15" hidden="false" customHeight="false" outlineLevel="0" collapsed="false">
      <c r="H1256" s="0" t="str">
        <f aca="false">IF(B1256="","",IF(COUNTIF(Campaigns!$A$7:$A$300,B1256)&gt;0,"✓","⚠ add to Campaigns tab"))</f>
        <v/>
      </c>
      <c r="I1256" s="84" t="str">
        <f aca="false">IF(C1256="","",C1256*IF(Settings!$B$25=Settings!$C$6,1,IF(Settings!$B$25="USD",1/INDEX(Settings!$B$29:$B$40,MONTH(A1256)),INDEX(Settings!$B$29:$B$40,MONTH(A1256)))))</f>
        <v/>
      </c>
    </row>
    <row r="1257" customFormat="false" ht="15" hidden="false" customHeight="false" outlineLevel="0" collapsed="false">
      <c r="H1257" s="0" t="str">
        <f aca="false">IF(B1257="","",IF(COUNTIF(Campaigns!$A$7:$A$300,B1257)&gt;0,"✓","⚠ add to Campaigns tab"))</f>
        <v/>
      </c>
      <c r="I1257" s="84" t="str">
        <f aca="false">IF(C1257="","",C1257*IF(Settings!$B$25=Settings!$C$6,1,IF(Settings!$B$25="USD",1/INDEX(Settings!$B$29:$B$40,MONTH(A1257)),INDEX(Settings!$B$29:$B$40,MONTH(A1257)))))</f>
        <v/>
      </c>
    </row>
    <row r="1258" customFormat="false" ht="15" hidden="false" customHeight="false" outlineLevel="0" collapsed="false">
      <c r="H1258" s="0" t="str">
        <f aca="false">IF(B1258="","",IF(COUNTIF(Campaigns!$A$7:$A$300,B1258)&gt;0,"✓","⚠ add to Campaigns tab"))</f>
        <v/>
      </c>
      <c r="I1258" s="84" t="str">
        <f aca="false">IF(C1258="","",C1258*IF(Settings!$B$25=Settings!$C$6,1,IF(Settings!$B$25="USD",1/INDEX(Settings!$B$29:$B$40,MONTH(A1258)),INDEX(Settings!$B$29:$B$40,MONTH(A1258)))))</f>
        <v/>
      </c>
    </row>
    <row r="1259" customFormat="false" ht="15" hidden="false" customHeight="false" outlineLevel="0" collapsed="false">
      <c r="H1259" s="0" t="str">
        <f aca="false">IF(B1259="","",IF(COUNTIF(Campaigns!$A$7:$A$300,B1259)&gt;0,"✓","⚠ add to Campaigns tab"))</f>
        <v/>
      </c>
      <c r="I1259" s="84" t="str">
        <f aca="false">IF(C1259="","",C1259*IF(Settings!$B$25=Settings!$C$6,1,IF(Settings!$B$25="USD",1/INDEX(Settings!$B$29:$B$40,MONTH(A1259)),INDEX(Settings!$B$29:$B$40,MONTH(A1259)))))</f>
        <v/>
      </c>
    </row>
    <row r="1260" customFormat="false" ht="15" hidden="false" customHeight="false" outlineLevel="0" collapsed="false">
      <c r="H1260" s="0" t="str">
        <f aca="false">IF(B1260="","",IF(COUNTIF(Campaigns!$A$7:$A$300,B1260)&gt;0,"✓","⚠ add to Campaigns tab"))</f>
        <v/>
      </c>
      <c r="I1260" s="84" t="str">
        <f aca="false">IF(C1260="","",C1260*IF(Settings!$B$25=Settings!$C$6,1,IF(Settings!$B$25="USD",1/INDEX(Settings!$B$29:$B$40,MONTH(A1260)),INDEX(Settings!$B$29:$B$40,MONTH(A1260)))))</f>
        <v/>
      </c>
    </row>
    <row r="1261" customFormat="false" ht="15" hidden="false" customHeight="false" outlineLevel="0" collapsed="false">
      <c r="H1261" s="0" t="str">
        <f aca="false">IF(B1261="","",IF(COUNTIF(Campaigns!$A$7:$A$300,B1261)&gt;0,"✓","⚠ add to Campaigns tab"))</f>
        <v/>
      </c>
      <c r="I1261" s="84" t="str">
        <f aca="false">IF(C1261="","",C1261*IF(Settings!$B$25=Settings!$C$6,1,IF(Settings!$B$25="USD",1/INDEX(Settings!$B$29:$B$40,MONTH(A1261)),INDEX(Settings!$B$29:$B$40,MONTH(A1261)))))</f>
        <v/>
      </c>
    </row>
    <row r="1262" customFormat="false" ht="15" hidden="false" customHeight="false" outlineLevel="0" collapsed="false">
      <c r="H1262" s="0" t="str">
        <f aca="false">IF(B1262="","",IF(COUNTIF(Campaigns!$A$7:$A$300,B1262)&gt;0,"✓","⚠ add to Campaigns tab"))</f>
        <v/>
      </c>
      <c r="I1262" s="84" t="str">
        <f aca="false">IF(C1262="","",C1262*IF(Settings!$B$25=Settings!$C$6,1,IF(Settings!$B$25="USD",1/INDEX(Settings!$B$29:$B$40,MONTH(A1262)),INDEX(Settings!$B$29:$B$40,MONTH(A1262)))))</f>
        <v/>
      </c>
    </row>
    <row r="1263" customFormat="false" ht="15" hidden="false" customHeight="false" outlineLevel="0" collapsed="false">
      <c r="H1263" s="0" t="str">
        <f aca="false">IF(B1263="","",IF(COUNTIF(Campaigns!$A$7:$A$300,B1263)&gt;0,"✓","⚠ add to Campaigns tab"))</f>
        <v/>
      </c>
      <c r="I1263" s="84" t="str">
        <f aca="false">IF(C1263="","",C1263*IF(Settings!$B$25=Settings!$C$6,1,IF(Settings!$B$25="USD",1/INDEX(Settings!$B$29:$B$40,MONTH(A1263)),INDEX(Settings!$B$29:$B$40,MONTH(A1263)))))</f>
        <v/>
      </c>
    </row>
    <row r="1264" customFormat="false" ht="15" hidden="false" customHeight="false" outlineLevel="0" collapsed="false">
      <c r="H1264" s="0" t="str">
        <f aca="false">IF(B1264="","",IF(COUNTIF(Campaigns!$A$7:$A$300,B1264)&gt;0,"✓","⚠ add to Campaigns tab"))</f>
        <v/>
      </c>
      <c r="I1264" s="84" t="str">
        <f aca="false">IF(C1264="","",C1264*IF(Settings!$B$25=Settings!$C$6,1,IF(Settings!$B$25="USD",1/INDEX(Settings!$B$29:$B$40,MONTH(A1264)),INDEX(Settings!$B$29:$B$40,MONTH(A1264)))))</f>
        <v/>
      </c>
    </row>
    <row r="1265" customFormat="false" ht="15" hidden="false" customHeight="false" outlineLevel="0" collapsed="false">
      <c r="H1265" s="0" t="str">
        <f aca="false">IF(B1265="","",IF(COUNTIF(Campaigns!$A$7:$A$300,B1265)&gt;0,"✓","⚠ add to Campaigns tab"))</f>
        <v/>
      </c>
      <c r="I1265" s="84" t="str">
        <f aca="false">IF(C1265="","",C1265*IF(Settings!$B$25=Settings!$C$6,1,IF(Settings!$B$25="USD",1/INDEX(Settings!$B$29:$B$40,MONTH(A1265)),INDEX(Settings!$B$29:$B$40,MONTH(A1265)))))</f>
        <v/>
      </c>
    </row>
    <row r="1266" customFormat="false" ht="15" hidden="false" customHeight="false" outlineLevel="0" collapsed="false">
      <c r="H1266" s="0" t="str">
        <f aca="false">IF(B1266="","",IF(COUNTIF(Campaigns!$A$7:$A$300,B1266)&gt;0,"✓","⚠ add to Campaigns tab"))</f>
        <v/>
      </c>
      <c r="I1266" s="84" t="str">
        <f aca="false">IF(C1266="","",C1266*IF(Settings!$B$25=Settings!$C$6,1,IF(Settings!$B$25="USD",1/INDEX(Settings!$B$29:$B$40,MONTH(A1266)),INDEX(Settings!$B$29:$B$40,MONTH(A1266)))))</f>
        <v/>
      </c>
    </row>
    <row r="1267" customFormat="false" ht="15" hidden="false" customHeight="false" outlineLevel="0" collapsed="false">
      <c r="H1267" s="0" t="str">
        <f aca="false">IF(B1267="","",IF(COUNTIF(Campaigns!$A$7:$A$300,B1267)&gt;0,"✓","⚠ add to Campaigns tab"))</f>
        <v/>
      </c>
      <c r="I1267" s="84" t="str">
        <f aca="false">IF(C1267="","",C1267*IF(Settings!$B$25=Settings!$C$6,1,IF(Settings!$B$25="USD",1/INDEX(Settings!$B$29:$B$40,MONTH(A1267)),INDEX(Settings!$B$29:$B$40,MONTH(A1267)))))</f>
        <v/>
      </c>
    </row>
    <row r="1268" customFormat="false" ht="15" hidden="false" customHeight="false" outlineLevel="0" collapsed="false">
      <c r="H1268" s="0" t="str">
        <f aca="false">IF(B1268="","",IF(COUNTIF(Campaigns!$A$7:$A$300,B1268)&gt;0,"✓","⚠ add to Campaigns tab"))</f>
        <v/>
      </c>
      <c r="I1268" s="84" t="str">
        <f aca="false">IF(C1268="","",C1268*IF(Settings!$B$25=Settings!$C$6,1,IF(Settings!$B$25="USD",1/INDEX(Settings!$B$29:$B$40,MONTH(A1268)),INDEX(Settings!$B$29:$B$40,MONTH(A1268)))))</f>
        <v/>
      </c>
    </row>
    <row r="1269" customFormat="false" ht="15" hidden="false" customHeight="false" outlineLevel="0" collapsed="false">
      <c r="H1269" s="0" t="str">
        <f aca="false">IF(B1269="","",IF(COUNTIF(Campaigns!$A$7:$A$300,B1269)&gt;0,"✓","⚠ add to Campaigns tab"))</f>
        <v/>
      </c>
      <c r="I1269" s="84" t="str">
        <f aca="false">IF(C1269="","",C1269*IF(Settings!$B$25=Settings!$C$6,1,IF(Settings!$B$25="USD",1/INDEX(Settings!$B$29:$B$40,MONTH(A1269)),INDEX(Settings!$B$29:$B$40,MONTH(A1269)))))</f>
        <v/>
      </c>
    </row>
    <row r="1270" customFormat="false" ht="15" hidden="false" customHeight="false" outlineLevel="0" collapsed="false">
      <c r="H1270" s="0" t="str">
        <f aca="false">IF(B1270="","",IF(COUNTIF(Campaigns!$A$7:$A$300,B1270)&gt;0,"✓","⚠ add to Campaigns tab"))</f>
        <v/>
      </c>
      <c r="I1270" s="84" t="str">
        <f aca="false">IF(C1270="","",C1270*IF(Settings!$B$25=Settings!$C$6,1,IF(Settings!$B$25="USD",1/INDEX(Settings!$B$29:$B$40,MONTH(A1270)),INDEX(Settings!$B$29:$B$40,MONTH(A1270)))))</f>
        <v/>
      </c>
    </row>
    <row r="1271" customFormat="false" ht="15" hidden="false" customHeight="false" outlineLevel="0" collapsed="false">
      <c r="H1271" s="0" t="str">
        <f aca="false">IF(B1271="","",IF(COUNTIF(Campaigns!$A$7:$A$300,B1271)&gt;0,"✓","⚠ add to Campaigns tab"))</f>
        <v/>
      </c>
      <c r="I1271" s="84" t="str">
        <f aca="false">IF(C1271="","",C1271*IF(Settings!$B$25=Settings!$C$6,1,IF(Settings!$B$25="USD",1/INDEX(Settings!$B$29:$B$40,MONTH(A1271)),INDEX(Settings!$B$29:$B$40,MONTH(A1271)))))</f>
        <v/>
      </c>
    </row>
    <row r="1272" customFormat="false" ht="15" hidden="false" customHeight="false" outlineLevel="0" collapsed="false">
      <c r="H1272" s="0" t="str">
        <f aca="false">IF(B1272="","",IF(COUNTIF(Campaigns!$A$7:$A$300,B1272)&gt;0,"✓","⚠ add to Campaigns tab"))</f>
        <v/>
      </c>
      <c r="I1272" s="84" t="str">
        <f aca="false">IF(C1272="","",C1272*IF(Settings!$B$25=Settings!$C$6,1,IF(Settings!$B$25="USD",1/INDEX(Settings!$B$29:$B$40,MONTH(A1272)),INDEX(Settings!$B$29:$B$40,MONTH(A1272)))))</f>
        <v/>
      </c>
    </row>
    <row r="1273" customFormat="false" ht="15" hidden="false" customHeight="false" outlineLevel="0" collapsed="false">
      <c r="H1273" s="0" t="str">
        <f aca="false">IF(B1273="","",IF(COUNTIF(Campaigns!$A$7:$A$300,B1273)&gt;0,"✓","⚠ add to Campaigns tab"))</f>
        <v/>
      </c>
      <c r="I1273" s="84" t="str">
        <f aca="false">IF(C1273="","",C1273*IF(Settings!$B$25=Settings!$C$6,1,IF(Settings!$B$25="USD",1/INDEX(Settings!$B$29:$B$40,MONTH(A1273)),INDEX(Settings!$B$29:$B$40,MONTH(A1273)))))</f>
        <v/>
      </c>
    </row>
    <row r="1274" customFormat="false" ht="15" hidden="false" customHeight="false" outlineLevel="0" collapsed="false">
      <c r="H1274" s="0" t="str">
        <f aca="false">IF(B1274="","",IF(COUNTIF(Campaigns!$A$7:$A$300,B1274)&gt;0,"✓","⚠ add to Campaigns tab"))</f>
        <v/>
      </c>
      <c r="I1274" s="84" t="str">
        <f aca="false">IF(C1274="","",C1274*IF(Settings!$B$25=Settings!$C$6,1,IF(Settings!$B$25="USD",1/INDEX(Settings!$B$29:$B$40,MONTH(A1274)),INDEX(Settings!$B$29:$B$40,MONTH(A1274)))))</f>
        <v/>
      </c>
    </row>
    <row r="1275" customFormat="false" ht="15" hidden="false" customHeight="false" outlineLevel="0" collapsed="false">
      <c r="H1275" s="0" t="str">
        <f aca="false">IF(B1275="","",IF(COUNTIF(Campaigns!$A$7:$A$300,B1275)&gt;0,"✓","⚠ add to Campaigns tab"))</f>
        <v/>
      </c>
      <c r="I1275" s="84" t="str">
        <f aca="false">IF(C1275="","",C1275*IF(Settings!$B$25=Settings!$C$6,1,IF(Settings!$B$25="USD",1/INDEX(Settings!$B$29:$B$40,MONTH(A1275)),INDEX(Settings!$B$29:$B$40,MONTH(A1275)))))</f>
        <v/>
      </c>
    </row>
    <row r="1276" customFormat="false" ht="15" hidden="false" customHeight="false" outlineLevel="0" collapsed="false">
      <c r="H1276" s="0" t="str">
        <f aca="false">IF(B1276="","",IF(COUNTIF(Campaigns!$A$7:$A$300,B1276)&gt;0,"✓","⚠ add to Campaigns tab"))</f>
        <v/>
      </c>
      <c r="I1276" s="84" t="str">
        <f aca="false">IF(C1276="","",C1276*IF(Settings!$B$25=Settings!$C$6,1,IF(Settings!$B$25="USD",1/INDEX(Settings!$B$29:$B$40,MONTH(A1276)),INDEX(Settings!$B$29:$B$40,MONTH(A1276)))))</f>
        <v/>
      </c>
    </row>
    <row r="1277" customFormat="false" ht="15" hidden="false" customHeight="false" outlineLevel="0" collapsed="false">
      <c r="H1277" s="0" t="str">
        <f aca="false">IF(B1277="","",IF(COUNTIF(Campaigns!$A$7:$A$300,B1277)&gt;0,"✓","⚠ add to Campaigns tab"))</f>
        <v/>
      </c>
      <c r="I1277" s="84" t="str">
        <f aca="false">IF(C1277="","",C1277*IF(Settings!$B$25=Settings!$C$6,1,IF(Settings!$B$25="USD",1/INDEX(Settings!$B$29:$B$40,MONTH(A1277)),INDEX(Settings!$B$29:$B$40,MONTH(A1277)))))</f>
        <v/>
      </c>
    </row>
    <row r="1278" customFormat="false" ht="15" hidden="false" customHeight="false" outlineLevel="0" collapsed="false">
      <c r="H1278" s="0" t="str">
        <f aca="false">IF(B1278="","",IF(COUNTIF(Campaigns!$A$7:$A$300,B1278)&gt;0,"✓","⚠ add to Campaigns tab"))</f>
        <v/>
      </c>
      <c r="I1278" s="84" t="str">
        <f aca="false">IF(C1278="","",C1278*IF(Settings!$B$25=Settings!$C$6,1,IF(Settings!$B$25="USD",1/INDEX(Settings!$B$29:$B$40,MONTH(A1278)),INDEX(Settings!$B$29:$B$40,MONTH(A1278)))))</f>
        <v/>
      </c>
    </row>
    <row r="1279" customFormat="false" ht="15" hidden="false" customHeight="false" outlineLevel="0" collapsed="false">
      <c r="H1279" s="0" t="str">
        <f aca="false">IF(B1279="","",IF(COUNTIF(Campaigns!$A$7:$A$300,B1279)&gt;0,"✓","⚠ add to Campaigns tab"))</f>
        <v/>
      </c>
      <c r="I1279" s="84" t="str">
        <f aca="false">IF(C1279="","",C1279*IF(Settings!$B$25=Settings!$C$6,1,IF(Settings!$B$25="USD",1/INDEX(Settings!$B$29:$B$40,MONTH(A1279)),INDEX(Settings!$B$29:$B$40,MONTH(A1279)))))</f>
        <v/>
      </c>
    </row>
    <row r="1280" customFormat="false" ht="15" hidden="false" customHeight="false" outlineLevel="0" collapsed="false">
      <c r="H1280" s="0" t="str">
        <f aca="false">IF(B1280="","",IF(COUNTIF(Campaigns!$A$7:$A$300,B1280)&gt;0,"✓","⚠ add to Campaigns tab"))</f>
        <v/>
      </c>
      <c r="I1280" s="84" t="str">
        <f aca="false">IF(C1280="","",C1280*IF(Settings!$B$25=Settings!$C$6,1,IF(Settings!$B$25="USD",1/INDEX(Settings!$B$29:$B$40,MONTH(A1280)),INDEX(Settings!$B$29:$B$40,MONTH(A1280)))))</f>
        <v/>
      </c>
    </row>
    <row r="1281" customFormat="false" ht="15" hidden="false" customHeight="false" outlineLevel="0" collapsed="false">
      <c r="H1281" s="0" t="str">
        <f aca="false">IF(B1281="","",IF(COUNTIF(Campaigns!$A$7:$A$300,B1281)&gt;0,"✓","⚠ add to Campaigns tab"))</f>
        <v/>
      </c>
      <c r="I1281" s="84" t="str">
        <f aca="false">IF(C1281="","",C1281*IF(Settings!$B$25=Settings!$C$6,1,IF(Settings!$B$25="USD",1/INDEX(Settings!$B$29:$B$40,MONTH(A1281)),INDEX(Settings!$B$29:$B$40,MONTH(A1281)))))</f>
        <v/>
      </c>
    </row>
    <row r="1282" customFormat="false" ht="15" hidden="false" customHeight="false" outlineLevel="0" collapsed="false">
      <c r="H1282" s="0" t="str">
        <f aca="false">IF(B1282="","",IF(COUNTIF(Campaigns!$A$7:$A$300,B1282)&gt;0,"✓","⚠ add to Campaigns tab"))</f>
        <v/>
      </c>
      <c r="I1282" s="84" t="str">
        <f aca="false">IF(C1282="","",C1282*IF(Settings!$B$25=Settings!$C$6,1,IF(Settings!$B$25="USD",1/INDEX(Settings!$B$29:$B$40,MONTH(A1282)),INDEX(Settings!$B$29:$B$40,MONTH(A1282)))))</f>
        <v/>
      </c>
    </row>
    <row r="1283" customFormat="false" ht="15" hidden="false" customHeight="false" outlineLevel="0" collapsed="false">
      <c r="H1283" s="0" t="str">
        <f aca="false">IF(B1283="","",IF(COUNTIF(Campaigns!$A$7:$A$300,B1283)&gt;0,"✓","⚠ add to Campaigns tab"))</f>
        <v/>
      </c>
      <c r="I1283" s="84" t="str">
        <f aca="false">IF(C1283="","",C1283*IF(Settings!$B$25=Settings!$C$6,1,IF(Settings!$B$25="USD",1/INDEX(Settings!$B$29:$B$40,MONTH(A1283)),INDEX(Settings!$B$29:$B$40,MONTH(A1283)))))</f>
        <v/>
      </c>
    </row>
    <row r="1284" customFormat="false" ht="15" hidden="false" customHeight="false" outlineLevel="0" collapsed="false">
      <c r="H1284" s="0" t="str">
        <f aca="false">IF(B1284="","",IF(COUNTIF(Campaigns!$A$7:$A$300,B1284)&gt;0,"✓","⚠ add to Campaigns tab"))</f>
        <v/>
      </c>
      <c r="I1284" s="84" t="str">
        <f aca="false">IF(C1284="","",C1284*IF(Settings!$B$25=Settings!$C$6,1,IF(Settings!$B$25="USD",1/INDEX(Settings!$B$29:$B$40,MONTH(A1284)),INDEX(Settings!$B$29:$B$40,MONTH(A1284)))))</f>
        <v/>
      </c>
    </row>
    <row r="1285" customFormat="false" ht="15" hidden="false" customHeight="false" outlineLevel="0" collapsed="false">
      <c r="H1285" s="0" t="str">
        <f aca="false">IF(B1285="","",IF(COUNTIF(Campaigns!$A$7:$A$300,B1285)&gt;0,"✓","⚠ add to Campaigns tab"))</f>
        <v/>
      </c>
      <c r="I1285" s="84" t="str">
        <f aca="false">IF(C1285="","",C1285*IF(Settings!$B$25=Settings!$C$6,1,IF(Settings!$B$25="USD",1/INDEX(Settings!$B$29:$B$40,MONTH(A1285)),INDEX(Settings!$B$29:$B$40,MONTH(A1285)))))</f>
        <v/>
      </c>
    </row>
    <row r="1286" customFormat="false" ht="15" hidden="false" customHeight="false" outlineLevel="0" collapsed="false">
      <c r="H1286" s="0" t="str">
        <f aca="false">IF(B1286="","",IF(COUNTIF(Campaigns!$A$7:$A$300,B1286)&gt;0,"✓","⚠ add to Campaigns tab"))</f>
        <v/>
      </c>
      <c r="I1286" s="84" t="str">
        <f aca="false">IF(C1286="","",C1286*IF(Settings!$B$25=Settings!$C$6,1,IF(Settings!$B$25="USD",1/INDEX(Settings!$B$29:$B$40,MONTH(A1286)),INDEX(Settings!$B$29:$B$40,MONTH(A1286)))))</f>
        <v/>
      </c>
    </row>
    <row r="1287" customFormat="false" ht="15" hidden="false" customHeight="false" outlineLevel="0" collapsed="false">
      <c r="H1287" s="0" t="str">
        <f aca="false">IF(B1287="","",IF(COUNTIF(Campaigns!$A$7:$A$300,B1287)&gt;0,"✓","⚠ add to Campaigns tab"))</f>
        <v/>
      </c>
      <c r="I1287" s="84" t="str">
        <f aca="false">IF(C1287="","",C1287*IF(Settings!$B$25=Settings!$C$6,1,IF(Settings!$B$25="USD",1/INDEX(Settings!$B$29:$B$40,MONTH(A1287)),INDEX(Settings!$B$29:$B$40,MONTH(A1287)))))</f>
        <v/>
      </c>
    </row>
    <row r="1288" customFormat="false" ht="15" hidden="false" customHeight="false" outlineLevel="0" collapsed="false">
      <c r="H1288" s="0" t="str">
        <f aca="false">IF(B1288="","",IF(COUNTIF(Campaigns!$A$7:$A$300,B1288)&gt;0,"✓","⚠ add to Campaigns tab"))</f>
        <v/>
      </c>
      <c r="I1288" s="84" t="str">
        <f aca="false">IF(C1288="","",C1288*IF(Settings!$B$25=Settings!$C$6,1,IF(Settings!$B$25="USD",1/INDEX(Settings!$B$29:$B$40,MONTH(A1288)),INDEX(Settings!$B$29:$B$40,MONTH(A1288)))))</f>
        <v/>
      </c>
    </row>
    <row r="1289" customFormat="false" ht="15" hidden="false" customHeight="false" outlineLevel="0" collapsed="false">
      <c r="H1289" s="0" t="str">
        <f aca="false">IF(B1289="","",IF(COUNTIF(Campaigns!$A$7:$A$300,B1289)&gt;0,"✓","⚠ add to Campaigns tab"))</f>
        <v/>
      </c>
      <c r="I1289" s="84" t="str">
        <f aca="false">IF(C1289="","",C1289*IF(Settings!$B$25=Settings!$C$6,1,IF(Settings!$B$25="USD",1/INDEX(Settings!$B$29:$B$40,MONTH(A1289)),INDEX(Settings!$B$29:$B$40,MONTH(A1289)))))</f>
        <v/>
      </c>
    </row>
    <row r="1290" customFormat="false" ht="15" hidden="false" customHeight="false" outlineLevel="0" collapsed="false">
      <c r="H1290" s="0" t="str">
        <f aca="false">IF(B1290="","",IF(COUNTIF(Campaigns!$A$7:$A$300,B1290)&gt;0,"✓","⚠ add to Campaigns tab"))</f>
        <v/>
      </c>
      <c r="I1290" s="84" t="str">
        <f aca="false">IF(C1290="","",C1290*IF(Settings!$B$25=Settings!$C$6,1,IF(Settings!$B$25="USD",1/INDEX(Settings!$B$29:$B$40,MONTH(A1290)),INDEX(Settings!$B$29:$B$40,MONTH(A1290)))))</f>
        <v/>
      </c>
    </row>
    <row r="1291" customFormat="false" ht="15" hidden="false" customHeight="false" outlineLevel="0" collapsed="false">
      <c r="H1291" s="0" t="str">
        <f aca="false">IF(B1291="","",IF(COUNTIF(Campaigns!$A$7:$A$300,B1291)&gt;0,"✓","⚠ add to Campaigns tab"))</f>
        <v/>
      </c>
      <c r="I1291" s="84" t="str">
        <f aca="false">IF(C1291="","",C1291*IF(Settings!$B$25=Settings!$C$6,1,IF(Settings!$B$25="USD",1/INDEX(Settings!$B$29:$B$40,MONTH(A1291)),INDEX(Settings!$B$29:$B$40,MONTH(A1291)))))</f>
        <v/>
      </c>
    </row>
    <row r="1292" customFormat="false" ht="15" hidden="false" customHeight="false" outlineLevel="0" collapsed="false">
      <c r="H1292" s="0" t="str">
        <f aca="false">IF(B1292="","",IF(COUNTIF(Campaigns!$A$7:$A$300,B1292)&gt;0,"✓","⚠ add to Campaigns tab"))</f>
        <v/>
      </c>
      <c r="I1292" s="84" t="str">
        <f aca="false">IF(C1292="","",C1292*IF(Settings!$B$25=Settings!$C$6,1,IF(Settings!$B$25="USD",1/INDEX(Settings!$B$29:$B$40,MONTH(A1292)),INDEX(Settings!$B$29:$B$40,MONTH(A1292)))))</f>
        <v/>
      </c>
    </row>
    <row r="1293" customFormat="false" ht="15" hidden="false" customHeight="false" outlineLevel="0" collapsed="false">
      <c r="H1293" s="0" t="str">
        <f aca="false">IF(B1293="","",IF(COUNTIF(Campaigns!$A$7:$A$300,B1293)&gt;0,"✓","⚠ add to Campaigns tab"))</f>
        <v/>
      </c>
      <c r="I1293" s="84" t="str">
        <f aca="false">IF(C1293="","",C1293*IF(Settings!$B$25=Settings!$C$6,1,IF(Settings!$B$25="USD",1/INDEX(Settings!$B$29:$B$40,MONTH(A1293)),INDEX(Settings!$B$29:$B$40,MONTH(A1293)))))</f>
        <v/>
      </c>
    </row>
    <row r="1294" customFormat="false" ht="15" hidden="false" customHeight="false" outlineLevel="0" collapsed="false">
      <c r="H1294" s="0" t="str">
        <f aca="false">IF(B1294="","",IF(COUNTIF(Campaigns!$A$7:$A$300,B1294)&gt;0,"✓","⚠ add to Campaigns tab"))</f>
        <v/>
      </c>
      <c r="I1294" s="84" t="str">
        <f aca="false">IF(C1294="","",C1294*IF(Settings!$B$25=Settings!$C$6,1,IF(Settings!$B$25="USD",1/INDEX(Settings!$B$29:$B$40,MONTH(A1294)),INDEX(Settings!$B$29:$B$40,MONTH(A1294)))))</f>
        <v/>
      </c>
    </row>
    <row r="1295" customFormat="false" ht="15" hidden="false" customHeight="false" outlineLevel="0" collapsed="false">
      <c r="H1295" s="0" t="str">
        <f aca="false">IF(B1295="","",IF(COUNTIF(Campaigns!$A$7:$A$300,B1295)&gt;0,"✓","⚠ add to Campaigns tab"))</f>
        <v/>
      </c>
      <c r="I1295" s="84" t="str">
        <f aca="false">IF(C1295="","",C1295*IF(Settings!$B$25=Settings!$C$6,1,IF(Settings!$B$25="USD",1/INDEX(Settings!$B$29:$B$40,MONTH(A1295)),INDEX(Settings!$B$29:$B$40,MONTH(A1295)))))</f>
        <v/>
      </c>
    </row>
    <row r="1296" customFormat="false" ht="15" hidden="false" customHeight="false" outlineLevel="0" collapsed="false">
      <c r="H1296" s="0" t="str">
        <f aca="false">IF(B1296="","",IF(COUNTIF(Campaigns!$A$7:$A$300,B1296)&gt;0,"✓","⚠ add to Campaigns tab"))</f>
        <v/>
      </c>
      <c r="I1296" s="84" t="str">
        <f aca="false">IF(C1296="","",C1296*IF(Settings!$B$25=Settings!$C$6,1,IF(Settings!$B$25="USD",1/INDEX(Settings!$B$29:$B$40,MONTH(A1296)),INDEX(Settings!$B$29:$B$40,MONTH(A1296)))))</f>
        <v/>
      </c>
    </row>
    <row r="1297" customFormat="false" ht="15" hidden="false" customHeight="false" outlineLevel="0" collapsed="false">
      <c r="H1297" s="0" t="str">
        <f aca="false">IF(B1297="","",IF(COUNTIF(Campaigns!$A$7:$A$300,B1297)&gt;0,"✓","⚠ add to Campaigns tab"))</f>
        <v/>
      </c>
      <c r="I1297" s="84" t="str">
        <f aca="false">IF(C1297="","",C1297*IF(Settings!$B$25=Settings!$C$6,1,IF(Settings!$B$25="USD",1/INDEX(Settings!$B$29:$B$40,MONTH(A1297)),INDEX(Settings!$B$29:$B$40,MONTH(A1297)))))</f>
        <v/>
      </c>
    </row>
    <row r="1298" customFormat="false" ht="15" hidden="false" customHeight="false" outlineLevel="0" collapsed="false">
      <c r="H1298" s="0" t="str">
        <f aca="false">IF(B1298="","",IF(COUNTIF(Campaigns!$A$7:$A$300,B1298)&gt;0,"✓","⚠ add to Campaigns tab"))</f>
        <v/>
      </c>
      <c r="I1298" s="84" t="str">
        <f aca="false">IF(C1298="","",C1298*IF(Settings!$B$25=Settings!$C$6,1,IF(Settings!$B$25="USD",1/INDEX(Settings!$B$29:$B$40,MONTH(A1298)),INDEX(Settings!$B$29:$B$40,MONTH(A1298)))))</f>
        <v/>
      </c>
    </row>
    <row r="1299" customFormat="false" ht="15" hidden="false" customHeight="false" outlineLevel="0" collapsed="false">
      <c r="H1299" s="0" t="str">
        <f aca="false">IF(B1299="","",IF(COUNTIF(Campaigns!$A$7:$A$300,B1299)&gt;0,"✓","⚠ add to Campaigns tab"))</f>
        <v/>
      </c>
      <c r="I1299" s="84" t="str">
        <f aca="false">IF(C1299="","",C1299*IF(Settings!$B$25=Settings!$C$6,1,IF(Settings!$B$25="USD",1/INDEX(Settings!$B$29:$B$40,MONTH(A1299)),INDEX(Settings!$B$29:$B$40,MONTH(A1299)))))</f>
        <v/>
      </c>
    </row>
    <row r="1300" customFormat="false" ht="15" hidden="false" customHeight="false" outlineLevel="0" collapsed="false">
      <c r="H1300" s="0" t="str">
        <f aca="false">IF(B1300="","",IF(COUNTIF(Campaigns!$A$7:$A$300,B1300)&gt;0,"✓","⚠ add to Campaigns tab"))</f>
        <v/>
      </c>
      <c r="I1300" s="84" t="str">
        <f aca="false">IF(C1300="","",C1300*IF(Settings!$B$25=Settings!$C$6,1,IF(Settings!$B$25="USD",1/INDEX(Settings!$B$29:$B$40,MONTH(A1300)),INDEX(Settings!$B$29:$B$40,MONTH(A1300)))))</f>
        <v/>
      </c>
    </row>
    <row r="1301" customFormat="false" ht="15" hidden="false" customHeight="false" outlineLevel="0" collapsed="false">
      <c r="H1301" s="0" t="str">
        <f aca="false">IF(B1301="","",IF(COUNTIF(Campaigns!$A$7:$A$300,B1301)&gt;0,"✓","⚠ add to Campaigns tab"))</f>
        <v/>
      </c>
      <c r="I1301" s="84" t="str">
        <f aca="false">IF(C1301="","",C1301*IF(Settings!$B$25=Settings!$C$6,1,IF(Settings!$B$25="USD",1/INDEX(Settings!$B$29:$B$40,MONTH(A1301)),INDEX(Settings!$B$29:$B$40,MONTH(A1301)))))</f>
        <v/>
      </c>
    </row>
    <row r="1302" customFormat="false" ht="15" hidden="false" customHeight="false" outlineLevel="0" collapsed="false">
      <c r="H1302" s="0" t="str">
        <f aca="false">IF(B1302="","",IF(COUNTIF(Campaigns!$A$7:$A$300,B1302)&gt;0,"✓","⚠ add to Campaigns tab"))</f>
        <v/>
      </c>
      <c r="I1302" s="84" t="str">
        <f aca="false">IF(C1302="","",C1302*IF(Settings!$B$25=Settings!$C$6,1,IF(Settings!$B$25="USD",1/INDEX(Settings!$B$29:$B$40,MONTH(A1302)),INDEX(Settings!$B$29:$B$40,MONTH(A1302)))))</f>
        <v/>
      </c>
    </row>
    <row r="1303" customFormat="false" ht="15" hidden="false" customHeight="false" outlineLevel="0" collapsed="false">
      <c r="H1303" s="0" t="str">
        <f aca="false">IF(B1303="","",IF(COUNTIF(Campaigns!$A$7:$A$300,B1303)&gt;0,"✓","⚠ add to Campaigns tab"))</f>
        <v/>
      </c>
      <c r="I1303" s="84" t="str">
        <f aca="false">IF(C1303="","",C1303*IF(Settings!$B$25=Settings!$C$6,1,IF(Settings!$B$25="USD",1/INDEX(Settings!$B$29:$B$40,MONTH(A1303)),INDEX(Settings!$B$29:$B$40,MONTH(A1303)))))</f>
        <v/>
      </c>
    </row>
    <row r="1304" customFormat="false" ht="15" hidden="false" customHeight="false" outlineLevel="0" collapsed="false">
      <c r="H1304" s="0" t="str">
        <f aca="false">IF(B1304="","",IF(COUNTIF(Campaigns!$A$7:$A$300,B1304)&gt;0,"✓","⚠ add to Campaigns tab"))</f>
        <v/>
      </c>
      <c r="I1304" s="84" t="str">
        <f aca="false">IF(C1304="","",C1304*IF(Settings!$B$25=Settings!$C$6,1,IF(Settings!$B$25="USD",1/INDEX(Settings!$B$29:$B$40,MONTH(A1304)),INDEX(Settings!$B$29:$B$40,MONTH(A1304)))))</f>
        <v/>
      </c>
    </row>
    <row r="1305" customFormat="false" ht="15" hidden="false" customHeight="false" outlineLevel="0" collapsed="false">
      <c r="H1305" s="0" t="str">
        <f aca="false">IF(B1305="","",IF(COUNTIF(Campaigns!$A$7:$A$300,B1305)&gt;0,"✓","⚠ add to Campaigns tab"))</f>
        <v/>
      </c>
      <c r="I1305" s="84" t="str">
        <f aca="false">IF(C1305="","",C1305*IF(Settings!$B$25=Settings!$C$6,1,IF(Settings!$B$25="USD",1/INDEX(Settings!$B$29:$B$40,MONTH(A1305)),INDEX(Settings!$B$29:$B$40,MONTH(A1305)))))</f>
        <v/>
      </c>
    </row>
    <row r="1306" customFormat="false" ht="15" hidden="false" customHeight="false" outlineLevel="0" collapsed="false">
      <c r="H1306" s="0" t="str">
        <f aca="false">IF(B1306="","",IF(COUNTIF(Campaigns!$A$7:$A$300,B1306)&gt;0,"✓","⚠ add to Campaigns tab"))</f>
        <v/>
      </c>
      <c r="I1306" s="84" t="str">
        <f aca="false">IF(C1306="","",C1306*IF(Settings!$B$25=Settings!$C$6,1,IF(Settings!$B$25="USD",1/INDEX(Settings!$B$29:$B$40,MONTH(A1306)),INDEX(Settings!$B$29:$B$40,MONTH(A1306)))))</f>
        <v/>
      </c>
    </row>
    <row r="1307" customFormat="false" ht="15" hidden="false" customHeight="false" outlineLevel="0" collapsed="false">
      <c r="H1307" s="0" t="str">
        <f aca="false">IF(B1307="","",IF(COUNTIF(Campaigns!$A$7:$A$300,B1307)&gt;0,"✓","⚠ add to Campaigns tab"))</f>
        <v/>
      </c>
      <c r="I1307" s="84" t="str">
        <f aca="false">IF(C1307="","",C1307*IF(Settings!$B$25=Settings!$C$6,1,IF(Settings!$B$25="USD",1/INDEX(Settings!$B$29:$B$40,MONTH(A1307)),INDEX(Settings!$B$29:$B$40,MONTH(A1307)))))</f>
        <v/>
      </c>
    </row>
    <row r="1308" customFormat="false" ht="15" hidden="false" customHeight="false" outlineLevel="0" collapsed="false">
      <c r="H1308" s="0" t="str">
        <f aca="false">IF(B1308="","",IF(COUNTIF(Campaigns!$A$7:$A$300,B1308)&gt;0,"✓","⚠ add to Campaigns tab"))</f>
        <v/>
      </c>
      <c r="I1308" s="84" t="str">
        <f aca="false">IF(C1308="","",C1308*IF(Settings!$B$25=Settings!$C$6,1,IF(Settings!$B$25="USD",1/INDEX(Settings!$B$29:$B$40,MONTH(A1308)),INDEX(Settings!$B$29:$B$40,MONTH(A1308)))))</f>
        <v/>
      </c>
    </row>
    <row r="1309" customFormat="false" ht="15" hidden="false" customHeight="false" outlineLevel="0" collapsed="false">
      <c r="H1309" s="0" t="str">
        <f aca="false">IF(B1309="","",IF(COUNTIF(Campaigns!$A$7:$A$300,B1309)&gt;0,"✓","⚠ add to Campaigns tab"))</f>
        <v/>
      </c>
      <c r="I1309" s="84" t="str">
        <f aca="false">IF(C1309="","",C1309*IF(Settings!$B$25=Settings!$C$6,1,IF(Settings!$B$25="USD",1/INDEX(Settings!$B$29:$B$40,MONTH(A1309)),INDEX(Settings!$B$29:$B$40,MONTH(A1309)))))</f>
        <v/>
      </c>
    </row>
    <row r="1310" customFormat="false" ht="15" hidden="false" customHeight="false" outlineLevel="0" collapsed="false">
      <c r="H1310" s="0" t="str">
        <f aca="false">IF(B1310="","",IF(COUNTIF(Campaigns!$A$7:$A$300,B1310)&gt;0,"✓","⚠ add to Campaigns tab"))</f>
        <v/>
      </c>
      <c r="I1310" s="84" t="str">
        <f aca="false">IF(C1310="","",C1310*IF(Settings!$B$25=Settings!$C$6,1,IF(Settings!$B$25="USD",1/INDEX(Settings!$B$29:$B$40,MONTH(A1310)),INDEX(Settings!$B$29:$B$40,MONTH(A1310)))))</f>
        <v/>
      </c>
    </row>
    <row r="1311" customFormat="false" ht="15" hidden="false" customHeight="false" outlineLevel="0" collapsed="false">
      <c r="H1311" s="0" t="str">
        <f aca="false">IF(B1311="","",IF(COUNTIF(Campaigns!$A$7:$A$300,B1311)&gt;0,"✓","⚠ add to Campaigns tab"))</f>
        <v/>
      </c>
      <c r="I1311" s="84" t="str">
        <f aca="false">IF(C1311="","",C1311*IF(Settings!$B$25=Settings!$C$6,1,IF(Settings!$B$25="USD",1/INDEX(Settings!$B$29:$B$40,MONTH(A1311)),INDEX(Settings!$B$29:$B$40,MONTH(A1311)))))</f>
        <v/>
      </c>
    </row>
    <row r="1312" customFormat="false" ht="15" hidden="false" customHeight="false" outlineLevel="0" collapsed="false">
      <c r="H1312" s="0" t="str">
        <f aca="false">IF(B1312="","",IF(COUNTIF(Campaigns!$A$7:$A$300,B1312)&gt;0,"✓","⚠ add to Campaigns tab"))</f>
        <v/>
      </c>
      <c r="I1312" s="84" t="str">
        <f aca="false">IF(C1312="","",C1312*IF(Settings!$B$25=Settings!$C$6,1,IF(Settings!$B$25="USD",1/INDEX(Settings!$B$29:$B$40,MONTH(A1312)),INDEX(Settings!$B$29:$B$40,MONTH(A1312)))))</f>
        <v/>
      </c>
    </row>
    <row r="1313" customFormat="false" ht="15" hidden="false" customHeight="false" outlineLevel="0" collapsed="false">
      <c r="H1313" s="0" t="str">
        <f aca="false">IF(B1313="","",IF(COUNTIF(Campaigns!$A$7:$A$300,B1313)&gt;0,"✓","⚠ add to Campaigns tab"))</f>
        <v/>
      </c>
      <c r="I1313" s="84" t="str">
        <f aca="false">IF(C1313="","",C1313*IF(Settings!$B$25=Settings!$C$6,1,IF(Settings!$B$25="USD",1/INDEX(Settings!$B$29:$B$40,MONTH(A1313)),INDEX(Settings!$B$29:$B$40,MONTH(A1313)))))</f>
        <v/>
      </c>
    </row>
    <row r="1314" customFormat="false" ht="15" hidden="false" customHeight="false" outlineLevel="0" collapsed="false">
      <c r="H1314" s="0" t="str">
        <f aca="false">IF(B1314="","",IF(COUNTIF(Campaigns!$A$7:$A$300,B1314)&gt;0,"✓","⚠ add to Campaigns tab"))</f>
        <v/>
      </c>
      <c r="I1314" s="84" t="str">
        <f aca="false">IF(C1314="","",C1314*IF(Settings!$B$25=Settings!$C$6,1,IF(Settings!$B$25="USD",1/INDEX(Settings!$B$29:$B$40,MONTH(A1314)),INDEX(Settings!$B$29:$B$40,MONTH(A1314)))))</f>
        <v/>
      </c>
    </row>
    <row r="1315" customFormat="false" ht="15" hidden="false" customHeight="false" outlineLevel="0" collapsed="false">
      <c r="H1315" s="0" t="str">
        <f aca="false">IF(B1315="","",IF(COUNTIF(Campaigns!$A$7:$A$300,B1315)&gt;0,"✓","⚠ add to Campaigns tab"))</f>
        <v/>
      </c>
      <c r="I1315" s="84" t="str">
        <f aca="false">IF(C1315="","",C1315*IF(Settings!$B$25=Settings!$C$6,1,IF(Settings!$B$25="USD",1/INDEX(Settings!$B$29:$B$40,MONTH(A1315)),INDEX(Settings!$B$29:$B$40,MONTH(A1315)))))</f>
        <v/>
      </c>
    </row>
    <row r="1316" customFormat="false" ht="15" hidden="false" customHeight="false" outlineLevel="0" collapsed="false">
      <c r="H1316" s="0" t="str">
        <f aca="false">IF(B1316="","",IF(COUNTIF(Campaigns!$A$7:$A$300,B1316)&gt;0,"✓","⚠ add to Campaigns tab"))</f>
        <v/>
      </c>
      <c r="I1316" s="84" t="str">
        <f aca="false">IF(C1316="","",C1316*IF(Settings!$B$25=Settings!$C$6,1,IF(Settings!$B$25="USD",1/INDEX(Settings!$B$29:$B$40,MONTH(A1316)),INDEX(Settings!$B$29:$B$40,MONTH(A1316)))))</f>
        <v/>
      </c>
    </row>
    <row r="1317" customFormat="false" ht="15" hidden="false" customHeight="false" outlineLevel="0" collapsed="false">
      <c r="H1317" s="0" t="str">
        <f aca="false">IF(B1317="","",IF(COUNTIF(Campaigns!$A$7:$A$300,B1317)&gt;0,"✓","⚠ add to Campaigns tab"))</f>
        <v/>
      </c>
      <c r="I1317" s="84" t="str">
        <f aca="false">IF(C1317="","",C1317*IF(Settings!$B$25=Settings!$C$6,1,IF(Settings!$B$25="USD",1/INDEX(Settings!$B$29:$B$40,MONTH(A1317)),INDEX(Settings!$B$29:$B$40,MONTH(A1317)))))</f>
        <v/>
      </c>
    </row>
    <row r="1318" customFormat="false" ht="15" hidden="false" customHeight="false" outlineLevel="0" collapsed="false">
      <c r="H1318" s="0" t="str">
        <f aca="false">IF(B1318="","",IF(COUNTIF(Campaigns!$A$7:$A$300,B1318)&gt;0,"✓","⚠ add to Campaigns tab"))</f>
        <v/>
      </c>
      <c r="I1318" s="84" t="str">
        <f aca="false">IF(C1318="","",C1318*IF(Settings!$B$25=Settings!$C$6,1,IF(Settings!$B$25="USD",1/INDEX(Settings!$B$29:$B$40,MONTH(A1318)),INDEX(Settings!$B$29:$B$40,MONTH(A1318)))))</f>
        <v/>
      </c>
    </row>
    <row r="1319" customFormat="false" ht="15" hidden="false" customHeight="false" outlineLevel="0" collapsed="false">
      <c r="H1319" s="0" t="str">
        <f aca="false">IF(B1319="","",IF(COUNTIF(Campaigns!$A$7:$A$300,B1319)&gt;0,"✓","⚠ add to Campaigns tab"))</f>
        <v/>
      </c>
      <c r="I1319" s="84" t="str">
        <f aca="false">IF(C1319="","",C1319*IF(Settings!$B$25=Settings!$C$6,1,IF(Settings!$B$25="USD",1/INDEX(Settings!$B$29:$B$40,MONTH(A1319)),INDEX(Settings!$B$29:$B$40,MONTH(A1319)))))</f>
        <v/>
      </c>
    </row>
    <row r="1320" customFormat="false" ht="15" hidden="false" customHeight="false" outlineLevel="0" collapsed="false">
      <c r="H1320" s="0" t="str">
        <f aca="false">IF(B1320="","",IF(COUNTIF(Campaigns!$A$7:$A$300,B1320)&gt;0,"✓","⚠ add to Campaigns tab"))</f>
        <v/>
      </c>
      <c r="I1320" s="84" t="str">
        <f aca="false">IF(C1320="","",C1320*IF(Settings!$B$25=Settings!$C$6,1,IF(Settings!$B$25="USD",1/INDEX(Settings!$B$29:$B$40,MONTH(A1320)),INDEX(Settings!$B$29:$B$40,MONTH(A1320)))))</f>
        <v/>
      </c>
    </row>
    <row r="1321" customFormat="false" ht="15" hidden="false" customHeight="false" outlineLevel="0" collapsed="false">
      <c r="H1321" s="0" t="str">
        <f aca="false">IF(B1321="","",IF(COUNTIF(Campaigns!$A$7:$A$300,B1321)&gt;0,"✓","⚠ add to Campaigns tab"))</f>
        <v/>
      </c>
      <c r="I1321" s="84" t="str">
        <f aca="false">IF(C1321="","",C1321*IF(Settings!$B$25=Settings!$C$6,1,IF(Settings!$B$25="USD",1/INDEX(Settings!$B$29:$B$40,MONTH(A1321)),INDEX(Settings!$B$29:$B$40,MONTH(A1321)))))</f>
        <v/>
      </c>
    </row>
    <row r="1322" customFormat="false" ht="15" hidden="false" customHeight="false" outlineLevel="0" collapsed="false">
      <c r="H1322" s="0" t="str">
        <f aca="false">IF(B1322="","",IF(COUNTIF(Campaigns!$A$7:$A$300,B1322)&gt;0,"✓","⚠ add to Campaigns tab"))</f>
        <v/>
      </c>
      <c r="I1322" s="84" t="str">
        <f aca="false">IF(C1322="","",C1322*IF(Settings!$B$25=Settings!$C$6,1,IF(Settings!$B$25="USD",1/INDEX(Settings!$B$29:$B$40,MONTH(A1322)),INDEX(Settings!$B$29:$B$40,MONTH(A1322)))))</f>
        <v/>
      </c>
    </row>
    <row r="1323" customFormat="false" ht="15" hidden="false" customHeight="false" outlineLevel="0" collapsed="false">
      <c r="H1323" s="0" t="str">
        <f aca="false">IF(B1323="","",IF(COUNTIF(Campaigns!$A$7:$A$300,B1323)&gt;0,"✓","⚠ add to Campaigns tab"))</f>
        <v/>
      </c>
      <c r="I1323" s="84" t="str">
        <f aca="false">IF(C1323="","",C1323*IF(Settings!$B$25=Settings!$C$6,1,IF(Settings!$B$25="USD",1/INDEX(Settings!$B$29:$B$40,MONTH(A1323)),INDEX(Settings!$B$29:$B$40,MONTH(A1323)))))</f>
        <v/>
      </c>
    </row>
    <row r="1324" customFormat="false" ht="15" hidden="false" customHeight="false" outlineLevel="0" collapsed="false">
      <c r="H1324" s="0" t="str">
        <f aca="false">IF(B1324="","",IF(COUNTIF(Campaigns!$A$7:$A$300,B1324)&gt;0,"✓","⚠ add to Campaigns tab"))</f>
        <v/>
      </c>
      <c r="I1324" s="84" t="str">
        <f aca="false">IF(C1324="","",C1324*IF(Settings!$B$25=Settings!$C$6,1,IF(Settings!$B$25="USD",1/INDEX(Settings!$B$29:$B$40,MONTH(A1324)),INDEX(Settings!$B$29:$B$40,MONTH(A1324)))))</f>
        <v/>
      </c>
    </row>
    <row r="1325" customFormat="false" ht="15" hidden="false" customHeight="false" outlineLevel="0" collapsed="false">
      <c r="H1325" s="0" t="str">
        <f aca="false">IF(B1325="","",IF(COUNTIF(Campaigns!$A$7:$A$300,B1325)&gt;0,"✓","⚠ add to Campaigns tab"))</f>
        <v/>
      </c>
      <c r="I1325" s="84" t="str">
        <f aca="false">IF(C1325="","",C1325*IF(Settings!$B$25=Settings!$C$6,1,IF(Settings!$B$25="USD",1/INDEX(Settings!$B$29:$B$40,MONTH(A1325)),INDEX(Settings!$B$29:$B$40,MONTH(A1325)))))</f>
        <v/>
      </c>
    </row>
    <row r="1326" customFormat="false" ht="15" hidden="false" customHeight="false" outlineLevel="0" collapsed="false">
      <c r="H1326" s="0" t="str">
        <f aca="false">IF(B1326="","",IF(COUNTIF(Campaigns!$A$7:$A$300,B1326)&gt;0,"✓","⚠ add to Campaigns tab"))</f>
        <v/>
      </c>
      <c r="I1326" s="84" t="str">
        <f aca="false">IF(C1326="","",C1326*IF(Settings!$B$25=Settings!$C$6,1,IF(Settings!$B$25="USD",1/INDEX(Settings!$B$29:$B$40,MONTH(A1326)),INDEX(Settings!$B$29:$B$40,MONTH(A1326)))))</f>
        <v/>
      </c>
    </row>
    <row r="1327" customFormat="false" ht="15" hidden="false" customHeight="false" outlineLevel="0" collapsed="false">
      <c r="H1327" s="0" t="str">
        <f aca="false">IF(B1327="","",IF(COUNTIF(Campaigns!$A$7:$A$300,B1327)&gt;0,"✓","⚠ add to Campaigns tab"))</f>
        <v/>
      </c>
      <c r="I1327" s="84" t="str">
        <f aca="false">IF(C1327="","",C1327*IF(Settings!$B$25=Settings!$C$6,1,IF(Settings!$B$25="USD",1/INDEX(Settings!$B$29:$B$40,MONTH(A1327)),INDEX(Settings!$B$29:$B$40,MONTH(A1327)))))</f>
        <v/>
      </c>
    </row>
    <row r="1328" customFormat="false" ht="15" hidden="false" customHeight="false" outlineLevel="0" collapsed="false">
      <c r="H1328" s="0" t="str">
        <f aca="false">IF(B1328="","",IF(COUNTIF(Campaigns!$A$7:$A$300,B1328)&gt;0,"✓","⚠ add to Campaigns tab"))</f>
        <v/>
      </c>
      <c r="I1328" s="84" t="str">
        <f aca="false">IF(C1328="","",C1328*IF(Settings!$B$25=Settings!$C$6,1,IF(Settings!$B$25="USD",1/INDEX(Settings!$B$29:$B$40,MONTH(A1328)),INDEX(Settings!$B$29:$B$40,MONTH(A1328)))))</f>
        <v/>
      </c>
    </row>
    <row r="1329" customFormat="false" ht="15" hidden="false" customHeight="false" outlineLevel="0" collapsed="false">
      <c r="H1329" s="0" t="str">
        <f aca="false">IF(B1329="","",IF(COUNTIF(Campaigns!$A$7:$A$300,B1329)&gt;0,"✓","⚠ add to Campaigns tab"))</f>
        <v/>
      </c>
      <c r="I1329" s="84" t="str">
        <f aca="false">IF(C1329="","",C1329*IF(Settings!$B$25=Settings!$C$6,1,IF(Settings!$B$25="USD",1/INDEX(Settings!$B$29:$B$40,MONTH(A1329)),INDEX(Settings!$B$29:$B$40,MONTH(A1329)))))</f>
        <v/>
      </c>
    </row>
    <row r="1330" customFormat="false" ht="15" hidden="false" customHeight="false" outlineLevel="0" collapsed="false">
      <c r="H1330" s="0" t="str">
        <f aca="false">IF(B1330="","",IF(COUNTIF(Campaigns!$A$7:$A$300,B1330)&gt;0,"✓","⚠ add to Campaigns tab"))</f>
        <v/>
      </c>
      <c r="I1330" s="84" t="str">
        <f aca="false">IF(C1330="","",C1330*IF(Settings!$B$25=Settings!$C$6,1,IF(Settings!$B$25="USD",1/INDEX(Settings!$B$29:$B$40,MONTH(A1330)),INDEX(Settings!$B$29:$B$40,MONTH(A1330)))))</f>
        <v/>
      </c>
    </row>
    <row r="1331" customFormat="false" ht="15" hidden="false" customHeight="false" outlineLevel="0" collapsed="false">
      <c r="H1331" s="0" t="str">
        <f aca="false">IF(B1331="","",IF(COUNTIF(Campaigns!$A$7:$A$300,B1331)&gt;0,"✓","⚠ add to Campaigns tab"))</f>
        <v/>
      </c>
      <c r="I1331" s="84" t="str">
        <f aca="false">IF(C1331="","",C1331*IF(Settings!$B$25=Settings!$C$6,1,IF(Settings!$B$25="USD",1/INDEX(Settings!$B$29:$B$40,MONTH(A1331)),INDEX(Settings!$B$29:$B$40,MONTH(A1331)))))</f>
        <v/>
      </c>
    </row>
    <row r="1332" customFormat="false" ht="15" hidden="false" customHeight="false" outlineLevel="0" collapsed="false">
      <c r="H1332" s="0" t="str">
        <f aca="false">IF(B1332="","",IF(COUNTIF(Campaigns!$A$7:$A$300,B1332)&gt;0,"✓","⚠ add to Campaigns tab"))</f>
        <v/>
      </c>
      <c r="I1332" s="84" t="str">
        <f aca="false">IF(C1332="","",C1332*IF(Settings!$B$25=Settings!$C$6,1,IF(Settings!$B$25="USD",1/INDEX(Settings!$B$29:$B$40,MONTH(A1332)),INDEX(Settings!$B$29:$B$40,MONTH(A1332)))))</f>
        <v/>
      </c>
    </row>
    <row r="1333" customFormat="false" ht="15" hidden="false" customHeight="false" outlineLevel="0" collapsed="false">
      <c r="H1333" s="0" t="str">
        <f aca="false">IF(B1333="","",IF(COUNTIF(Campaigns!$A$7:$A$300,B1333)&gt;0,"✓","⚠ add to Campaigns tab"))</f>
        <v/>
      </c>
      <c r="I1333" s="84" t="str">
        <f aca="false">IF(C1333="","",C1333*IF(Settings!$B$25=Settings!$C$6,1,IF(Settings!$B$25="USD",1/INDEX(Settings!$B$29:$B$40,MONTH(A1333)),INDEX(Settings!$B$29:$B$40,MONTH(A1333)))))</f>
        <v/>
      </c>
    </row>
    <row r="1334" customFormat="false" ht="15" hidden="false" customHeight="false" outlineLevel="0" collapsed="false">
      <c r="H1334" s="0" t="str">
        <f aca="false">IF(B1334="","",IF(COUNTIF(Campaigns!$A$7:$A$300,B1334)&gt;0,"✓","⚠ add to Campaigns tab"))</f>
        <v/>
      </c>
      <c r="I1334" s="84" t="str">
        <f aca="false">IF(C1334="","",C1334*IF(Settings!$B$25=Settings!$C$6,1,IF(Settings!$B$25="USD",1/INDEX(Settings!$B$29:$B$40,MONTH(A1334)),INDEX(Settings!$B$29:$B$40,MONTH(A1334)))))</f>
        <v/>
      </c>
    </row>
    <row r="1335" customFormat="false" ht="15" hidden="false" customHeight="false" outlineLevel="0" collapsed="false">
      <c r="H1335" s="0" t="str">
        <f aca="false">IF(B1335="","",IF(COUNTIF(Campaigns!$A$7:$A$300,B1335)&gt;0,"✓","⚠ add to Campaigns tab"))</f>
        <v/>
      </c>
      <c r="I1335" s="84" t="str">
        <f aca="false">IF(C1335="","",C1335*IF(Settings!$B$25=Settings!$C$6,1,IF(Settings!$B$25="USD",1/INDEX(Settings!$B$29:$B$40,MONTH(A1335)),INDEX(Settings!$B$29:$B$40,MONTH(A1335)))))</f>
        <v/>
      </c>
    </row>
    <row r="1336" customFormat="false" ht="15" hidden="false" customHeight="false" outlineLevel="0" collapsed="false">
      <c r="H1336" s="0" t="str">
        <f aca="false">IF(B1336="","",IF(COUNTIF(Campaigns!$A$7:$A$300,B1336)&gt;0,"✓","⚠ add to Campaigns tab"))</f>
        <v/>
      </c>
      <c r="I1336" s="84" t="str">
        <f aca="false">IF(C1336="","",C1336*IF(Settings!$B$25=Settings!$C$6,1,IF(Settings!$B$25="USD",1/INDEX(Settings!$B$29:$B$40,MONTH(A1336)),INDEX(Settings!$B$29:$B$40,MONTH(A1336)))))</f>
        <v/>
      </c>
    </row>
    <row r="1337" customFormat="false" ht="15" hidden="false" customHeight="false" outlineLevel="0" collapsed="false">
      <c r="H1337" s="0" t="str">
        <f aca="false">IF(B1337="","",IF(COUNTIF(Campaigns!$A$7:$A$300,B1337)&gt;0,"✓","⚠ add to Campaigns tab"))</f>
        <v/>
      </c>
      <c r="I1337" s="84" t="str">
        <f aca="false">IF(C1337="","",C1337*IF(Settings!$B$25=Settings!$C$6,1,IF(Settings!$B$25="USD",1/INDEX(Settings!$B$29:$B$40,MONTH(A1337)),INDEX(Settings!$B$29:$B$40,MONTH(A1337)))))</f>
        <v/>
      </c>
    </row>
    <row r="1338" customFormat="false" ht="15" hidden="false" customHeight="false" outlineLevel="0" collapsed="false">
      <c r="H1338" s="0" t="str">
        <f aca="false">IF(B1338="","",IF(COUNTIF(Campaigns!$A$7:$A$300,B1338)&gt;0,"✓","⚠ add to Campaigns tab"))</f>
        <v/>
      </c>
      <c r="I1338" s="84" t="str">
        <f aca="false">IF(C1338="","",C1338*IF(Settings!$B$25=Settings!$C$6,1,IF(Settings!$B$25="USD",1/INDEX(Settings!$B$29:$B$40,MONTH(A1338)),INDEX(Settings!$B$29:$B$40,MONTH(A1338)))))</f>
        <v/>
      </c>
    </row>
    <row r="1339" customFormat="false" ht="15" hidden="false" customHeight="false" outlineLevel="0" collapsed="false">
      <c r="H1339" s="0" t="str">
        <f aca="false">IF(B1339="","",IF(COUNTIF(Campaigns!$A$7:$A$300,B1339)&gt;0,"✓","⚠ add to Campaigns tab"))</f>
        <v/>
      </c>
      <c r="I1339" s="84" t="str">
        <f aca="false">IF(C1339="","",C1339*IF(Settings!$B$25=Settings!$C$6,1,IF(Settings!$B$25="USD",1/INDEX(Settings!$B$29:$B$40,MONTH(A1339)),INDEX(Settings!$B$29:$B$40,MONTH(A1339)))))</f>
        <v/>
      </c>
    </row>
    <row r="1340" customFormat="false" ht="15" hidden="false" customHeight="false" outlineLevel="0" collapsed="false">
      <c r="H1340" s="0" t="str">
        <f aca="false">IF(B1340="","",IF(COUNTIF(Campaigns!$A$7:$A$300,B1340)&gt;0,"✓","⚠ add to Campaigns tab"))</f>
        <v/>
      </c>
      <c r="I1340" s="84" t="str">
        <f aca="false">IF(C1340="","",C1340*IF(Settings!$B$25=Settings!$C$6,1,IF(Settings!$B$25="USD",1/INDEX(Settings!$B$29:$B$40,MONTH(A1340)),INDEX(Settings!$B$29:$B$40,MONTH(A1340)))))</f>
        <v/>
      </c>
    </row>
    <row r="1341" customFormat="false" ht="15" hidden="false" customHeight="false" outlineLevel="0" collapsed="false">
      <c r="H1341" s="0" t="str">
        <f aca="false">IF(B1341="","",IF(COUNTIF(Campaigns!$A$7:$A$300,B1341)&gt;0,"✓","⚠ add to Campaigns tab"))</f>
        <v/>
      </c>
      <c r="I1341" s="84" t="str">
        <f aca="false">IF(C1341="","",C1341*IF(Settings!$B$25=Settings!$C$6,1,IF(Settings!$B$25="USD",1/INDEX(Settings!$B$29:$B$40,MONTH(A1341)),INDEX(Settings!$B$29:$B$40,MONTH(A1341)))))</f>
        <v/>
      </c>
    </row>
    <row r="1342" customFormat="false" ht="15" hidden="false" customHeight="false" outlineLevel="0" collapsed="false">
      <c r="H1342" s="0" t="str">
        <f aca="false">IF(B1342="","",IF(COUNTIF(Campaigns!$A$7:$A$300,B1342)&gt;0,"✓","⚠ add to Campaigns tab"))</f>
        <v/>
      </c>
      <c r="I1342" s="84" t="str">
        <f aca="false">IF(C1342="","",C1342*IF(Settings!$B$25=Settings!$C$6,1,IF(Settings!$B$25="USD",1/INDEX(Settings!$B$29:$B$40,MONTH(A1342)),INDEX(Settings!$B$29:$B$40,MONTH(A1342)))))</f>
        <v/>
      </c>
    </row>
    <row r="1343" customFormat="false" ht="15" hidden="false" customHeight="false" outlineLevel="0" collapsed="false">
      <c r="H1343" s="0" t="str">
        <f aca="false">IF(B1343="","",IF(COUNTIF(Campaigns!$A$7:$A$300,B1343)&gt;0,"✓","⚠ add to Campaigns tab"))</f>
        <v/>
      </c>
      <c r="I1343" s="84" t="str">
        <f aca="false">IF(C1343="","",C1343*IF(Settings!$B$25=Settings!$C$6,1,IF(Settings!$B$25="USD",1/INDEX(Settings!$B$29:$B$40,MONTH(A1343)),INDEX(Settings!$B$29:$B$40,MONTH(A1343)))))</f>
        <v/>
      </c>
    </row>
    <row r="1344" customFormat="false" ht="15" hidden="false" customHeight="false" outlineLevel="0" collapsed="false">
      <c r="H1344" s="0" t="str">
        <f aca="false">IF(B1344="","",IF(COUNTIF(Campaigns!$A$7:$A$300,B1344)&gt;0,"✓","⚠ add to Campaigns tab"))</f>
        <v/>
      </c>
      <c r="I1344" s="84" t="str">
        <f aca="false">IF(C1344="","",C1344*IF(Settings!$B$25=Settings!$C$6,1,IF(Settings!$B$25="USD",1/INDEX(Settings!$B$29:$B$40,MONTH(A1344)),INDEX(Settings!$B$29:$B$40,MONTH(A1344)))))</f>
        <v/>
      </c>
    </row>
    <row r="1345" customFormat="false" ht="15" hidden="false" customHeight="false" outlineLevel="0" collapsed="false">
      <c r="H1345" s="0" t="str">
        <f aca="false">IF(B1345="","",IF(COUNTIF(Campaigns!$A$7:$A$300,B1345)&gt;0,"✓","⚠ add to Campaigns tab"))</f>
        <v/>
      </c>
      <c r="I1345" s="84" t="str">
        <f aca="false">IF(C1345="","",C1345*IF(Settings!$B$25=Settings!$C$6,1,IF(Settings!$B$25="USD",1/INDEX(Settings!$B$29:$B$40,MONTH(A1345)),INDEX(Settings!$B$29:$B$40,MONTH(A1345)))))</f>
        <v/>
      </c>
    </row>
    <row r="1346" customFormat="false" ht="15" hidden="false" customHeight="false" outlineLevel="0" collapsed="false">
      <c r="H1346" s="0" t="str">
        <f aca="false">IF(B1346="","",IF(COUNTIF(Campaigns!$A$7:$A$300,B1346)&gt;0,"✓","⚠ add to Campaigns tab"))</f>
        <v/>
      </c>
      <c r="I1346" s="84" t="str">
        <f aca="false">IF(C1346="","",C1346*IF(Settings!$B$25=Settings!$C$6,1,IF(Settings!$B$25="USD",1/INDEX(Settings!$B$29:$B$40,MONTH(A1346)),INDEX(Settings!$B$29:$B$40,MONTH(A1346)))))</f>
        <v/>
      </c>
    </row>
    <row r="1347" customFormat="false" ht="15" hidden="false" customHeight="false" outlineLevel="0" collapsed="false">
      <c r="H1347" s="0" t="str">
        <f aca="false">IF(B1347="","",IF(COUNTIF(Campaigns!$A$7:$A$300,B1347)&gt;0,"✓","⚠ add to Campaigns tab"))</f>
        <v/>
      </c>
      <c r="I1347" s="84" t="str">
        <f aca="false">IF(C1347="","",C1347*IF(Settings!$B$25=Settings!$C$6,1,IF(Settings!$B$25="USD",1/INDEX(Settings!$B$29:$B$40,MONTH(A1347)),INDEX(Settings!$B$29:$B$40,MONTH(A1347)))))</f>
        <v/>
      </c>
    </row>
    <row r="1348" customFormat="false" ht="15" hidden="false" customHeight="false" outlineLevel="0" collapsed="false">
      <c r="H1348" s="0" t="str">
        <f aca="false">IF(B1348="","",IF(COUNTIF(Campaigns!$A$7:$A$300,B1348)&gt;0,"✓","⚠ add to Campaigns tab"))</f>
        <v/>
      </c>
      <c r="I1348" s="84" t="str">
        <f aca="false">IF(C1348="","",C1348*IF(Settings!$B$25=Settings!$C$6,1,IF(Settings!$B$25="USD",1/INDEX(Settings!$B$29:$B$40,MONTH(A1348)),INDEX(Settings!$B$29:$B$40,MONTH(A1348)))))</f>
        <v/>
      </c>
    </row>
    <row r="1349" customFormat="false" ht="15" hidden="false" customHeight="false" outlineLevel="0" collapsed="false">
      <c r="H1349" s="0" t="str">
        <f aca="false">IF(B1349="","",IF(COUNTIF(Campaigns!$A$7:$A$300,B1349)&gt;0,"✓","⚠ add to Campaigns tab"))</f>
        <v/>
      </c>
      <c r="I1349" s="84" t="str">
        <f aca="false">IF(C1349="","",C1349*IF(Settings!$B$25=Settings!$C$6,1,IF(Settings!$B$25="USD",1/INDEX(Settings!$B$29:$B$40,MONTH(A1349)),INDEX(Settings!$B$29:$B$40,MONTH(A1349)))))</f>
        <v/>
      </c>
    </row>
    <row r="1350" customFormat="false" ht="15" hidden="false" customHeight="false" outlineLevel="0" collapsed="false">
      <c r="H1350" s="0" t="str">
        <f aca="false">IF(B1350="","",IF(COUNTIF(Campaigns!$A$7:$A$300,B1350)&gt;0,"✓","⚠ add to Campaigns tab"))</f>
        <v/>
      </c>
      <c r="I1350" s="84" t="str">
        <f aca="false">IF(C1350="","",C1350*IF(Settings!$B$25=Settings!$C$6,1,IF(Settings!$B$25="USD",1/INDEX(Settings!$B$29:$B$40,MONTH(A1350)),INDEX(Settings!$B$29:$B$40,MONTH(A1350)))))</f>
        <v/>
      </c>
    </row>
    <row r="1351" customFormat="false" ht="15" hidden="false" customHeight="false" outlineLevel="0" collapsed="false">
      <c r="H1351" s="0" t="str">
        <f aca="false">IF(B1351="","",IF(COUNTIF(Campaigns!$A$7:$A$300,B1351)&gt;0,"✓","⚠ add to Campaigns tab"))</f>
        <v/>
      </c>
      <c r="I1351" s="84" t="str">
        <f aca="false">IF(C1351="","",C1351*IF(Settings!$B$25=Settings!$C$6,1,IF(Settings!$B$25="USD",1/INDEX(Settings!$B$29:$B$40,MONTH(A1351)),INDEX(Settings!$B$29:$B$40,MONTH(A1351)))))</f>
        <v/>
      </c>
    </row>
    <row r="1352" customFormat="false" ht="15" hidden="false" customHeight="false" outlineLevel="0" collapsed="false">
      <c r="H1352" s="0" t="str">
        <f aca="false">IF(B1352="","",IF(COUNTIF(Campaigns!$A$7:$A$300,B1352)&gt;0,"✓","⚠ add to Campaigns tab"))</f>
        <v/>
      </c>
      <c r="I1352" s="84" t="str">
        <f aca="false">IF(C1352="","",C1352*IF(Settings!$B$25=Settings!$C$6,1,IF(Settings!$B$25="USD",1/INDEX(Settings!$B$29:$B$40,MONTH(A1352)),INDEX(Settings!$B$29:$B$40,MONTH(A1352)))))</f>
        <v/>
      </c>
    </row>
    <row r="1353" customFormat="false" ht="15" hidden="false" customHeight="false" outlineLevel="0" collapsed="false">
      <c r="H1353" s="0" t="str">
        <f aca="false">IF(B1353="","",IF(COUNTIF(Campaigns!$A$7:$A$300,B1353)&gt;0,"✓","⚠ add to Campaigns tab"))</f>
        <v/>
      </c>
      <c r="I1353" s="84" t="str">
        <f aca="false">IF(C1353="","",C1353*IF(Settings!$B$25=Settings!$C$6,1,IF(Settings!$B$25="USD",1/INDEX(Settings!$B$29:$B$40,MONTH(A1353)),INDEX(Settings!$B$29:$B$40,MONTH(A1353)))))</f>
        <v/>
      </c>
    </row>
    <row r="1354" customFormat="false" ht="15" hidden="false" customHeight="false" outlineLevel="0" collapsed="false">
      <c r="H1354" s="0" t="str">
        <f aca="false">IF(B1354="","",IF(COUNTIF(Campaigns!$A$7:$A$300,B1354)&gt;0,"✓","⚠ add to Campaigns tab"))</f>
        <v/>
      </c>
      <c r="I1354" s="84" t="str">
        <f aca="false">IF(C1354="","",C1354*IF(Settings!$B$25=Settings!$C$6,1,IF(Settings!$B$25="USD",1/INDEX(Settings!$B$29:$B$40,MONTH(A1354)),INDEX(Settings!$B$29:$B$40,MONTH(A1354)))))</f>
        <v/>
      </c>
    </row>
    <row r="1355" customFormat="false" ht="15" hidden="false" customHeight="false" outlineLevel="0" collapsed="false">
      <c r="H1355" s="0" t="str">
        <f aca="false">IF(B1355="","",IF(COUNTIF(Campaigns!$A$7:$A$300,B1355)&gt;0,"✓","⚠ add to Campaigns tab"))</f>
        <v/>
      </c>
      <c r="I1355" s="84" t="str">
        <f aca="false">IF(C1355="","",C1355*IF(Settings!$B$25=Settings!$C$6,1,IF(Settings!$B$25="USD",1/INDEX(Settings!$B$29:$B$40,MONTH(A1355)),INDEX(Settings!$B$29:$B$40,MONTH(A1355)))))</f>
        <v/>
      </c>
    </row>
    <row r="1356" customFormat="false" ht="15" hidden="false" customHeight="false" outlineLevel="0" collapsed="false">
      <c r="H1356" s="0" t="str">
        <f aca="false">IF(B1356="","",IF(COUNTIF(Campaigns!$A$7:$A$300,B1356)&gt;0,"✓","⚠ add to Campaigns tab"))</f>
        <v/>
      </c>
      <c r="I1356" s="84" t="str">
        <f aca="false">IF(C1356="","",C1356*IF(Settings!$B$25=Settings!$C$6,1,IF(Settings!$B$25="USD",1/INDEX(Settings!$B$29:$B$40,MONTH(A1356)),INDEX(Settings!$B$29:$B$40,MONTH(A1356)))))</f>
        <v/>
      </c>
    </row>
    <row r="1357" customFormat="false" ht="15" hidden="false" customHeight="false" outlineLevel="0" collapsed="false">
      <c r="H1357" s="0" t="str">
        <f aca="false">IF(B1357="","",IF(COUNTIF(Campaigns!$A$7:$A$300,B1357)&gt;0,"✓","⚠ add to Campaigns tab"))</f>
        <v/>
      </c>
      <c r="I1357" s="84" t="str">
        <f aca="false">IF(C1357="","",C1357*IF(Settings!$B$25=Settings!$C$6,1,IF(Settings!$B$25="USD",1/INDEX(Settings!$B$29:$B$40,MONTH(A1357)),INDEX(Settings!$B$29:$B$40,MONTH(A1357)))))</f>
        <v/>
      </c>
    </row>
    <row r="1358" customFormat="false" ht="15" hidden="false" customHeight="false" outlineLevel="0" collapsed="false">
      <c r="H1358" s="0" t="str">
        <f aca="false">IF(B1358="","",IF(COUNTIF(Campaigns!$A$7:$A$300,B1358)&gt;0,"✓","⚠ add to Campaigns tab"))</f>
        <v/>
      </c>
      <c r="I1358" s="84" t="str">
        <f aca="false">IF(C1358="","",C1358*IF(Settings!$B$25=Settings!$C$6,1,IF(Settings!$B$25="USD",1/INDEX(Settings!$B$29:$B$40,MONTH(A1358)),INDEX(Settings!$B$29:$B$40,MONTH(A1358)))))</f>
        <v/>
      </c>
    </row>
    <row r="1359" customFormat="false" ht="15" hidden="false" customHeight="false" outlineLevel="0" collapsed="false">
      <c r="H1359" s="0" t="str">
        <f aca="false">IF(B1359="","",IF(COUNTIF(Campaigns!$A$7:$A$300,B1359)&gt;0,"✓","⚠ add to Campaigns tab"))</f>
        <v/>
      </c>
      <c r="I1359" s="84" t="str">
        <f aca="false">IF(C1359="","",C1359*IF(Settings!$B$25=Settings!$C$6,1,IF(Settings!$B$25="USD",1/INDEX(Settings!$B$29:$B$40,MONTH(A1359)),INDEX(Settings!$B$29:$B$40,MONTH(A1359)))))</f>
        <v/>
      </c>
    </row>
    <row r="1360" customFormat="false" ht="15" hidden="false" customHeight="false" outlineLevel="0" collapsed="false">
      <c r="H1360" s="0" t="str">
        <f aca="false">IF(B1360="","",IF(COUNTIF(Campaigns!$A$7:$A$300,B1360)&gt;0,"✓","⚠ add to Campaigns tab"))</f>
        <v/>
      </c>
      <c r="I1360" s="84" t="str">
        <f aca="false">IF(C1360="","",C1360*IF(Settings!$B$25=Settings!$C$6,1,IF(Settings!$B$25="USD",1/INDEX(Settings!$B$29:$B$40,MONTH(A1360)),INDEX(Settings!$B$29:$B$40,MONTH(A1360)))))</f>
        <v/>
      </c>
    </row>
    <row r="1361" customFormat="false" ht="15" hidden="false" customHeight="false" outlineLevel="0" collapsed="false">
      <c r="H1361" s="0" t="str">
        <f aca="false">IF(B1361="","",IF(COUNTIF(Campaigns!$A$7:$A$300,B1361)&gt;0,"✓","⚠ add to Campaigns tab"))</f>
        <v/>
      </c>
      <c r="I1361" s="84" t="str">
        <f aca="false">IF(C1361="","",C1361*IF(Settings!$B$25=Settings!$C$6,1,IF(Settings!$B$25="USD",1/INDEX(Settings!$B$29:$B$40,MONTH(A1361)),INDEX(Settings!$B$29:$B$40,MONTH(A1361)))))</f>
        <v/>
      </c>
    </row>
    <row r="1362" customFormat="false" ht="15" hidden="false" customHeight="false" outlineLevel="0" collapsed="false">
      <c r="H1362" s="0" t="str">
        <f aca="false">IF(B1362="","",IF(COUNTIF(Campaigns!$A$7:$A$300,B1362)&gt;0,"✓","⚠ add to Campaigns tab"))</f>
        <v/>
      </c>
      <c r="I1362" s="84" t="str">
        <f aca="false">IF(C1362="","",C1362*IF(Settings!$B$25=Settings!$C$6,1,IF(Settings!$B$25="USD",1/INDEX(Settings!$B$29:$B$40,MONTH(A1362)),INDEX(Settings!$B$29:$B$40,MONTH(A1362)))))</f>
        <v/>
      </c>
    </row>
    <row r="1363" customFormat="false" ht="15" hidden="false" customHeight="false" outlineLevel="0" collapsed="false">
      <c r="H1363" s="0" t="str">
        <f aca="false">IF(B1363="","",IF(COUNTIF(Campaigns!$A$7:$A$300,B1363)&gt;0,"✓","⚠ add to Campaigns tab"))</f>
        <v/>
      </c>
      <c r="I1363" s="84" t="str">
        <f aca="false">IF(C1363="","",C1363*IF(Settings!$B$25=Settings!$C$6,1,IF(Settings!$B$25="USD",1/INDEX(Settings!$B$29:$B$40,MONTH(A1363)),INDEX(Settings!$B$29:$B$40,MONTH(A1363)))))</f>
        <v/>
      </c>
    </row>
    <row r="1364" customFormat="false" ht="15" hidden="false" customHeight="false" outlineLevel="0" collapsed="false">
      <c r="H1364" s="0" t="str">
        <f aca="false">IF(B1364="","",IF(COUNTIF(Campaigns!$A$7:$A$300,B1364)&gt;0,"✓","⚠ add to Campaigns tab"))</f>
        <v/>
      </c>
      <c r="I1364" s="84" t="str">
        <f aca="false">IF(C1364="","",C1364*IF(Settings!$B$25=Settings!$C$6,1,IF(Settings!$B$25="USD",1/INDEX(Settings!$B$29:$B$40,MONTH(A1364)),INDEX(Settings!$B$29:$B$40,MONTH(A1364)))))</f>
        <v/>
      </c>
    </row>
    <row r="1365" customFormat="false" ht="15" hidden="false" customHeight="false" outlineLevel="0" collapsed="false">
      <c r="H1365" s="0" t="str">
        <f aca="false">IF(B1365="","",IF(COUNTIF(Campaigns!$A$7:$A$300,B1365)&gt;0,"✓","⚠ add to Campaigns tab"))</f>
        <v/>
      </c>
      <c r="I1365" s="84" t="str">
        <f aca="false">IF(C1365="","",C1365*IF(Settings!$B$25=Settings!$C$6,1,IF(Settings!$B$25="USD",1/INDEX(Settings!$B$29:$B$40,MONTH(A1365)),INDEX(Settings!$B$29:$B$40,MONTH(A1365)))))</f>
        <v/>
      </c>
    </row>
    <row r="1366" customFormat="false" ht="15" hidden="false" customHeight="false" outlineLevel="0" collapsed="false">
      <c r="H1366" s="0" t="str">
        <f aca="false">IF(B1366="","",IF(COUNTIF(Campaigns!$A$7:$A$300,B1366)&gt;0,"✓","⚠ add to Campaigns tab"))</f>
        <v/>
      </c>
      <c r="I1366" s="84" t="str">
        <f aca="false">IF(C1366="","",C1366*IF(Settings!$B$25=Settings!$C$6,1,IF(Settings!$B$25="USD",1/INDEX(Settings!$B$29:$B$40,MONTH(A1366)),INDEX(Settings!$B$29:$B$40,MONTH(A1366)))))</f>
        <v/>
      </c>
    </row>
    <row r="1367" customFormat="false" ht="15" hidden="false" customHeight="false" outlineLevel="0" collapsed="false">
      <c r="H1367" s="0" t="str">
        <f aca="false">IF(B1367="","",IF(COUNTIF(Campaigns!$A$7:$A$300,B1367)&gt;0,"✓","⚠ add to Campaigns tab"))</f>
        <v/>
      </c>
      <c r="I1367" s="84" t="str">
        <f aca="false">IF(C1367="","",C1367*IF(Settings!$B$25=Settings!$C$6,1,IF(Settings!$B$25="USD",1/INDEX(Settings!$B$29:$B$40,MONTH(A1367)),INDEX(Settings!$B$29:$B$40,MONTH(A1367)))))</f>
        <v/>
      </c>
    </row>
    <row r="1368" customFormat="false" ht="15" hidden="false" customHeight="false" outlineLevel="0" collapsed="false">
      <c r="H1368" s="0" t="str">
        <f aca="false">IF(B1368="","",IF(COUNTIF(Campaigns!$A$7:$A$300,B1368)&gt;0,"✓","⚠ add to Campaigns tab"))</f>
        <v/>
      </c>
      <c r="I1368" s="84" t="str">
        <f aca="false">IF(C1368="","",C1368*IF(Settings!$B$25=Settings!$C$6,1,IF(Settings!$B$25="USD",1/INDEX(Settings!$B$29:$B$40,MONTH(A1368)),INDEX(Settings!$B$29:$B$40,MONTH(A1368)))))</f>
        <v/>
      </c>
    </row>
    <row r="1369" customFormat="false" ht="15" hidden="false" customHeight="false" outlineLevel="0" collapsed="false">
      <c r="H1369" s="0" t="str">
        <f aca="false">IF(B1369="","",IF(COUNTIF(Campaigns!$A$7:$A$300,B1369)&gt;0,"✓","⚠ add to Campaigns tab"))</f>
        <v/>
      </c>
      <c r="I1369" s="84" t="str">
        <f aca="false">IF(C1369="","",C1369*IF(Settings!$B$25=Settings!$C$6,1,IF(Settings!$B$25="USD",1/INDEX(Settings!$B$29:$B$40,MONTH(A1369)),INDEX(Settings!$B$29:$B$40,MONTH(A1369)))))</f>
        <v/>
      </c>
    </row>
    <row r="1370" customFormat="false" ht="15" hidden="false" customHeight="false" outlineLevel="0" collapsed="false">
      <c r="H1370" s="0" t="str">
        <f aca="false">IF(B1370="","",IF(COUNTIF(Campaigns!$A$7:$A$300,B1370)&gt;0,"✓","⚠ add to Campaigns tab"))</f>
        <v/>
      </c>
      <c r="I1370" s="84" t="str">
        <f aca="false">IF(C1370="","",C1370*IF(Settings!$B$25=Settings!$C$6,1,IF(Settings!$B$25="USD",1/INDEX(Settings!$B$29:$B$40,MONTH(A1370)),INDEX(Settings!$B$29:$B$40,MONTH(A1370)))))</f>
        <v/>
      </c>
    </row>
    <row r="1371" customFormat="false" ht="15" hidden="false" customHeight="false" outlineLevel="0" collapsed="false">
      <c r="H1371" s="0" t="str">
        <f aca="false">IF(B1371="","",IF(COUNTIF(Campaigns!$A$7:$A$300,B1371)&gt;0,"✓","⚠ add to Campaigns tab"))</f>
        <v/>
      </c>
      <c r="I1371" s="84" t="str">
        <f aca="false">IF(C1371="","",C1371*IF(Settings!$B$25=Settings!$C$6,1,IF(Settings!$B$25="USD",1/INDEX(Settings!$B$29:$B$40,MONTH(A1371)),INDEX(Settings!$B$29:$B$40,MONTH(A1371)))))</f>
        <v/>
      </c>
    </row>
    <row r="1372" customFormat="false" ht="15" hidden="false" customHeight="false" outlineLevel="0" collapsed="false">
      <c r="H1372" s="0" t="str">
        <f aca="false">IF(B1372="","",IF(COUNTIF(Campaigns!$A$7:$A$300,B1372)&gt;0,"✓","⚠ add to Campaigns tab"))</f>
        <v/>
      </c>
      <c r="I1372" s="84" t="str">
        <f aca="false">IF(C1372="","",C1372*IF(Settings!$B$25=Settings!$C$6,1,IF(Settings!$B$25="USD",1/INDEX(Settings!$B$29:$B$40,MONTH(A1372)),INDEX(Settings!$B$29:$B$40,MONTH(A1372)))))</f>
        <v/>
      </c>
    </row>
    <row r="1373" customFormat="false" ht="15" hidden="false" customHeight="false" outlineLevel="0" collapsed="false">
      <c r="H1373" s="0" t="str">
        <f aca="false">IF(B1373="","",IF(COUNTIF(Campaigns!$A$7:$A$300,B1373)&gt;0,"✓","⚠ add to Campaigns tab"))</f>
        <v/>
      </c>
      <c r="I1373" s="84" t="str">
        <f aca="false">IF(C1373="","",C1373*IF(Settings!$B$25=Settings!$C$6,1,IF(Settings!$B$25="USD",1/INDEX(Settings!$B$29:$B$40,MONTH(A1373)),INDEX(Settings!$B$29:$B$40,MONTH(A1373)))))</f>
        <v/>
      </c>
    </row>
    <row r="1374" customFormat="false" ht="15" hidden="false" customHeight="false" outlineLevel="0" collapsed="false">
      <c r="H1374" s="0" t="str">
        <f aca="false">IF(B1374="","",IF(COUNTIF(Campaigns!$A$7:$A$300,B1374)&gt;0,"✓","⚠ add to Campaigns tab"))</f>
        <v/>
      </c>
      <c r="I1374" s="84" t="str">
        <f aca="false">IF(C1374="","",C1374*IF(Settings!$B$25=Settings!$C$6,1,IF(Settings!$B$25="USD",1/INDEX(Settings!$B$29:$B$40,MONTH(A1374)),INDEX(Settings!$B$29:$B$40,MONTH(A1374)))))</f>
        <v/>
      </c>
    </row>
    <row r="1375" customFormat="false" ht="15" hidden="false" customHeight="false" outlineLevel="0" collapsed="false">
      <c r="H1375" s="0" t="str">
        <f aca="false">IF(B1375="","",IF(COUNTIF(Campaigns!$A$7:$A$300,B1375)&gt;0,"✓","⚠ add to Campaigns tab"))</f>
        <v/>
      </c>
      <c r="I1375" s="84" t="str">
        <f aca="false">IF(C1375="","",C1375*IF(Settings!$B$25=Settings!$C$6,1,IF(Settings!$B$25="USD",1/INDEX(Settings!$B$29:$B$40,MONTH(A1375)),INDEX(Settings!$B$29:$B$40,MONTH(A1375)))))</f>
        <v/>
      </c>
    </row>
    <row r="1376" customFormat="false" ht="15" hidden="false" customHeight="false" outlineLevel="0" collapsed="false">
      <c r="H1376" s="0" t="str">
        <f aca="false">IF(B1376="","",IF(COUNTIF(Campaigns!$A$7:$A$300,B1376)&gt;0,"✓","⚠ add to Campaigns tab"))</f>
        <v/>
      </c>
      <c r="I1376" s="84" t="str">
        <f aca="false">IF(C1376="","",C1376*IF(Settings!$B$25=Settings!$C$6,1,IF(Settings!$B$25="USD",1/INDEX(Settings!$B$29:$B$40,MONTH(A1376)),INDEX(Settings!$B$29:$B$40,MONTH(A1376)))))</f>
        <v/>
      </c>
    </row>
    <row r="1377" customFormat="false" ht="15" hidden="false" customHeight="false" outlineLevel="0" collapsed="false">
      <c r="H1377" s="0" t="str">
        <f aca="false">IF(B1377="","",IF(COUNTIF(Campaigns!$A$7:$A$300,B1377)&gt;0,"✓","⚠ add to Campaigns tab"))</f>
        <v/>
      </c>
      <c r="I1377" s="84" t="str">
        <f aca="false">IF(C1377="","",C1377*IF(Settings!$B$25=Settings!$C$6,1,IF(Settings!$B$25="USD",1/INDEX(Settings!$B$29:$B$40,MONTH(A1377)),INDEX(Settings!$B$29:$B$40,MONTH(A1377)))))</f>
        <v/>
      </c>
    </row>
    <row r="1378" customFormat="false" ht="15" hidden="false" customHeight="false" outlineLevel="0" collapsed="false">
      <c r="H1378" s="0" t="str">
        <f aca="false">IF(B1378="","",IF(COUNTIF(Campaigns!$A$7:$A$300,B1378)&gt;0,"✓","⚠ add to Campaigns tab"))</f>
        <v/>
      </c>
      <c r="I1378" s="84" t="str">
        <f aca="false">IF(C1378="","",C1378*IF(Settings!$B$25=Settings!$C$6,1,IF(Settings!$B$25="USD",1/INDEX(Settings!$B$29:$B$40,MONTH(A1378)),INDEX(Settings!$B$29:$B$40,MONTH(A1378)))))</f>
        <v/>
      </c>
    </row>
    <row r="1379" customFormat="false" ht="15" hidden="false" customHeight="false" outlineLevel="0" collapsed="false">
      <c r="H1379" s="0" t="str">
        <f aca="false">IF(B1379="","",IF(COUNTIF(Campaigns!$A$7:$A$300,B1379)&gt;0,"✓","⚠ add to Campaigns tab"))</f>
        <v/>
      </c>
      <c r="I1379" s="84" t="str">
        <f aca="false">IF(C1379="","",C1379*IF(Settings!$B$25=Settings!$C$6,1,IF(Settings!$B$25="USD",1/INDEX(Settings!$B$29:$B$40,MONTH(A1379)),INDEX(Settings!$B$29:$B$40,MONTH(A1379)))))</f>
        <v/>
      </c>
    </row>
    <row r="1380" customFormat="false" ht="15" hidden="false" customHeight="false" outlineLevel="0" collapsed="false">
      <c r="H1380" s="0" t="str">
        <f aca="false">IF(B1380="","",IF(COUNTIF(Campaigns!$A$7:$A$300,B1380)&gt;0,"✓","⚠ add to Campaigns tab"))</f>
        <v/>
      </c>
      <c r="I1380" s="84" t="str">
        <f aca="false">IF(C1380="","",C1380*IF(Settings!$B$25=Settings!$C$6,1,IF(Settings!$B$25="USD",1/INDEX(Settings!$B$29:$B$40,MONTH(A1380)),INDEX(Settings!$B$29:$B$40,MONTH(A1380)))))</f>
        <v/>
      </c>
    </row>
    <row r="1381" customFormat="false" ht="15" hidden="false" customHeight="false" outlineLevel="0" collapsed="false">
      <c r="H1381" s="0" t="str">
        <f aca="false">IF(B1381="","",IF(COUNTIF(Campaigns!$A$7:$A$300,B1381)&gt;0,"✓","⚠ add to Campaigns tab"))</f>
        <v/>
      </c>
      <c r="I1381" s="84" t="str">
        <f aca="false">IF(C1381="","",C1381*IF(Settings!$B$25=Settings!$C$6,1,IF(Settings!$B$25="USD",1/INDEX(Settings!$B$29:$B$40,MONTH(A1381)),INDEX(Settings!$B$29:$B$40,MONTH(A1381)))))</f>
        <v/>
      </c>
    </row>
    <row r="1382" customFormat="false" ht="15" hidden="false" customHeight="false" outlineLevel="0" collapsed="false">
      <c r="H1382" s="0" t="str">
        <f aca="false">IF(B1382="","",IF(COUNTIF(Campaigns!$A$7:$A$300,B1382)&gt;0,"✓","⚠ add to Campaigns tab"))</f>
        <v/>
      </c>
      <c r="I1382" s="84" t="str">
        <f aca="false">IF(C1382="","",C1382*IF(Settings!$B$25=Settings!$C$6,1,IF(Settings!$B$25="USD",1/INDEX(Settings!$B$29:$B$40,MONTH(A1382)),INDEX(Settings!$B$29:$B$40,MONTH(A1382)))))</f>
        <v/>
      </c>
    </row>
    <row r="1383" customFormat="false" ht="15" hidden="false" customHeight="false" outlineLevel="0" collapsed="false">
      <c r="H1383" s="0" t="str">
        <f aca="false">IF(B1383="","",IF(COUNTIF(Campaigns!$A$7:$A$300,B1383)&gt;0,"✓","⚠ add to Campaigns tab"))</f>
        <v/>
      </c>
      <c r="I1383" s="84" t="str">
        <f aca="false">IF(C1383="","",C1383*IF(Settings!$B$25=Settings!$C$6,1,IF(Settings!$B$25="USD",1/INDEX(Settings!$B$29:$B$40,MONTH(A1383)),INDEX(Settings!$B$29:$B$40,MONTH(A1383)))))</f>
        <v/>
      </c>
    </row>
    <row r="1384" customFormat="false" ht="15" hidden="false" customHeight="false" outlineLevel="0" collapsed="false">
      <c r="H1384" s="0" t="str">
        <f aca="false">IF(B1384="","",IF(COUNTIF(Campaigns!$A$7:$A$300,B1384)&gt;0,"✓","⚠ add to Campaigns tab"))</f>
        <v/>
      </c>
      <c r="I1384" s="84" t="str">
        <f aca="false">IF(C1384="","",C1384*IF(Settings!$B$25=Settings!$C$6,1,IF(Settings!$B$25="USD",1/INDEX(Settings!$B$29:$B$40,MONTH(A1384)),INDEX(Settings!$B$29:$B$40,MONTH(A1384)))))</f>
        <v/>
      </c>
    </row>
    <row r="1385" customFormat="false" ht="15" hidden="false" customHeight="false" outlineLevel="0" collapsed="false">
      <c r="H1385" s="0" t="str">
        <f aca="false">IF(B1385="","",IF(COUNTIF(Campaigns!$A$7:$A$300,B1385)&gt;0,"✓","⚠ add to Campaigns tab"))</f>
        <v/>
      </c>
      <c r="I1385" s="84" t="str">
        <f aca="false">IF(C1385="","",C1385*IF(Settings!$B$25=Settings!$C$6,1,IF(Settings!$B$25="USD",1/INDEX(Settings!$B$29:$B$40,MONTH(A1385)),INDEX(Settings!$B$29:$B$40,MONTH(A1385)))))</f>
        <v/>
      </c>
    </row>
    <row r="1386" customFormat="false" ht="15" hidden="false" customHeight="false" outlineLevel="0" collapsed="false">
      <c r="H1386" s="0" t="str">
        <f aca="false">IF(B1386="","",IF(COUNTIF(Campaigns!$A$7:$A$300,B1386)&gt;0,"✓","⚠ add to Campaigns tab"))</f>
        <v/>
      </c>
      <c r="I1386" s="84" t="str">
        <f aca="false">IF(C1386="","",C1386*IF(Settings!$B$25=Settings!$C$6,1,IF(Settings!$B$25="USD",1/INDEX(Settings!$B$29:$B$40,MONTH(A1386)),INDEX(Settings!$B$29:$B$40,MONTH(A1386)))))</f>
        <v/>
      </c>
    </row>
    <row r="1387" customFormat="false" ht="15" hidden="false" customHeight="false" outlineLevel="0" collapsed="false">
      <c r="H1387" s="0" t="str">
        <f aca="false">IF(B1387="","",IF(COUNTIF(Campaigns!$A$7:$A$300,B1387)&gt;0,"✓","⚠ add to Campaigns tab"))</f>
        <v/>
      </c>
      <c r="I1387" s="84" t="str">
        <f aca="false">IF(C1387="","",C1387*IF(Settings!$B$25=Settings!$C$6,1,IF(Settings!$B$25="USD",1/INDEX(Settings!$B$29:$B$40,MONTH(A1387)),INDEX(Settings!$B$29:$B$40,MONTH(A1387)))))</f>
        <v/>
      </c>
    </row>
    <row r="1388" customFormat="false" ht="15" hidden="false" customHeight="false" outlineLevel="0" collapsed="false">
      <c r="H1388" s="0" t="str">
        <f aca="false">IF(B1388="","",IF(COUNTIF(Campaigns!$A$7:$A$300,B1388)&gt;0,"✓","⚠ add to Campaigns tab"))</f>
        <v/>
      </c>
      <c r="I1388" s="84" t="str">
        <f aca="false">IF(C1388="","",C1388*IF(Settings!$B$25=Settings!$C$6,1,IF(Settings!$B$25="USD",1/INDEX(Settings!$B$29:$B$40,MONTH(A1388)),INDEX(Settings!$B$29:$B$40,MONTH(A1388)))))</f>
        <v/>
      </c>
    </row>
    <row r="1389" customFormat="false" ht="15" hidden="false" customHeight="false" outlineLevel="0" collapsed="false">
      <c r="H1389" s="0" t="str">
        <f aca="false">IF(B1389="","",IF(COUNTIF(Campaigns!$A$7:$A$300,B1389)&gt;0,"✓","⚠ add to Campaigns tab"))</f>
        <v/>
      </c>
      <c r="I1389" s="84" t="str">
        <f aca="false">IF(C1389="","",C1389*IF(Settings!$B$25=Settings!$C$6,1,IF(Settings!$B$25="USD",1/INDEX(Settings!$B$29:$B$40,MONTH(A1389)),INDEX(Settings!$B$29:$B$40,MONTH(A1389)))))</f>
        <v/>
      </c>
    </row>
    <row r="1390" customFormat="false" ht="15" hidden="false" customHeight="false" outlineLevel="0" collapsed="false">
      <c r="H1390" s="0" t="str">
        <f aca="false">IF(B1390="","",IF(COUNTIF(Campaigns!$A$7:$A$300,B1390)&gt;0,"✓","⚠ add to Campaigns tab"))</f>
        <v/>
      </c>
      <c r="I1390" s="84" t="str">
        <f aca="false">IF(C1390="","",C1390*IF(Settings!$B$25=Settings!$C$6,1,IF(Settings!$B$25="USD",1/INDEX(Settings!$B$29:$B$40,MONTH(A1390)),INDEX(Settings!$B$29:$B$40,MONTH(A1390)))))</f>
        <v/>
      </c>
    </row>
    <row r="1391" customFormat="false" ht="15" hidden="false" customHeight="false" outlineLevel="0" collapsed="false">
      <c r="H1391" s="0" t="str">
        <f aca="false">IF(B1391="","",IF(COUNTIF(Campaigns!$A$7:$A$300,B1391)&gt;0,"✓","⚠ add to Campaigns tab"))</f>
        <v/>
      </c>
      <c r="I1391" s="84" t="str">
        <f aca="false">IF(C1391="","",C1391*IF(Settings!$B$25=Settings!$C$6,1,IF(Settings!$B$25="USD",1/INDEX(Settings!$B$29:$B$40,MONTH(A1391)),INDEX(Settings!$B$29:$B$40,MONTH(A1391)))))</f>
        <v/>
      </c>
    </row>
    <row r="1392" customFormat="false" ht="15" hidden="false" customHeight="false" outlineLevel="0" collapsed="false">
      <c r="H1392" s="0" t="str">
        <f aca="false">IF(B1392="","",IF(COUNTIF(Campaigns!$A$7:$A$300,B1392)&gt;0,"✓","⚠ add to Campaigns tab"))</f>
        <v/>
      </c>
      <c r="I1392" s="84" t="str">
        <f aca="false">IF(C1392="","",C1392*IF(Settings!$B$25=Settings!$C$6,1,IF(Settings!$B$25="USD",1/INDEX(Settings!$B$29:$B$40,MONTH(A1392)),INDEX(Settings!$B$29:$B$40,MONTH(A1392)))))</f>
        <v/>
      </c>
    </row>
    <row r="1393" customFormat="false" ht="15" hidden="false" customHeight="false" outlineLevel="0" collapsed="false">
      <c r="H1393" s="0" t="str">
        <f aca="false">IF(B1393="","",IF(COUNTIF(Campaigns!$A$7:$A$300,B1393)&gt;0,"✓","⚠ add to Campaigns tab"))</f>
        <v/>
      </c>
      <c r="I1393" s="84" t="str">
        <f aca="false">IF(C1393="","",C1393*IF(Settings!$B$25=Settings!$C$6,1,IF(Settings!$B$25="USD",1/INDEX(Settings!$B$29:$B$40,MONTH(A1393)),INDEX(Settings!$B$29:$B$40,MONTH(A1393)))))</f>
        <v/>
      </c>
    </row>
    <row r="1394" customFormat="false" ht="15" hidden="false" customHeight="false" outlineLevel="0" collapsed="false">
      <c r="H1394" s="0" t="str">
        <f aca="false">IF(B1394="","",IF(COUNTIF(Campaigns!$A$7:$A$300,B1394)&gt;0,"✓","⚠ add to Campaigns tab"))</f>
        <v/>
      </c>
      <c r="I1394" s="84" t="str">
        <f aca="false">IF(C1394="","",C1394*IF(Settings!$B$25=Settings!$C$6,1,IF(Settings!$B$25="USD",1/INDEX(Settings!$B$29:$B$40,MONTH(A1394)),INDEX(Settings!$B$29:$B$40,MONTH(A1394)))))</f>
        <v/>
      </c>
    </row>
    <row r="1395" customFormat="false" ht="15" hidden="false" customHeight="false" outlineLevel="0" collapsed="false">
      <c r="H1395" s="0" t="str">
        <f aca="false">IF(B1395="","",IF(COUNTIF(Campaigns!$A$7:$A$300,B1395)&gt;0,"✓","⚠ add to Campaigns tab"))</f>
        <v/>
      </c>
      <c r="I1395" s="84" t="str">
        <f aca="false">IF(C1395="","",C1395*IF(Settings!$B$25=Settings!$C$6,1,IF(Settings!$B$25="USD",1/INDEX(Settings!$B$29:$B$40,MONTH(A1395)),INDEX(Settings!$B$29:$B$40,MONTH(A1395)))))</f>
        <v/>
      </c>
    </row>
    <row r="1396" customFormat="false" ht="15" hidden="false" customHeight="false" outlineLevel="0" collapsed="false">
      <c r="H1396" s="0" t="str">
        <f aca="false">IF(B1396="","",IF(COUNTIF(Campaigns!$A$7:$A$300,B1396)&gt;0,"✓","⚠ add to Campaigns tab"))</f>
        <v/>
      </c>
      <c r="I1396" s="84" t="str">
        <f aca="false">IF(C1396="","",C1396*IF(Settings!$B$25=Settings!$C$6,1,IF(Settings!$B$25="USD",1/INDEX(Settings!$B$29:$B$40,MONTH(A1396)),INDEX(Settings!$B$29:$B$40,MONTH(A1396)))))</f>
        <v/>
      </c>
    </row>
    <row r="1397" customFormat="false" ht="15" hidden="false" customHeight="false" outlineLevel="0" collapsed="false">
      <c r="H1397" s="0" t="str">
        <f aca="false">IF(B1397="","",IF(COUNTIF(Campaigns!$A$7:$A$300,B1397)&gt;0,"✓","⚠ add to Campaigns tab"))</f>
        <v/>
      </c>
      <c r="I1397" s="84" t="str">
        <f aca="false">IF(C1397="","",C1397*IF(Settings!$B$25=Settings!$C$6,1,IF(Settings!$B$25="USD",1/INDEX(Settings!$B$29:$B$40,MONTH(A1397)),INDEX(Settings!$B$29:$B$40,MONTH(A1397)))))</f>
        <v/>
      </c>
    </row>
    <row r="1398" customFormat="false" ht="15" hidden="false" customHeight="false" outlineLevel="0" collapsed="false">
      <c r="H1398" s="0" t="str">
        <f aca="false">IF(B1398="","",IF(COUNTIF(Campaigns!$A$7:$A$300,B1398)&gt;0,"✓","⚠ add to Campaigns tab"))</f>
        <v/>
      </c>
      <c r="I1398" s="84" t="str">
        <f aca="false">IF(C1398="","",C1398*IF(Settings!$B$25=Settings!$C$6,1,IF(Settings!$B$25="USD",1/INDEX(Settings!$B$29:$B$40,MONTH(A1398)),INDEX(Settings!$B$29:$B$40,MONTH(A1398)))))</f>
        <v/>
      </c>
    </row>
    <row r="1399" customFormat="false" ht="15" hidden="false" customHeight="false" outlineLevel="0" collapsed="false">
      <c r="H1399" s="0" t="str">
        <f aca="false">IF(B1399="","",IF(COUNTIF(Campaigns!$A$7:$A$300,B1399)&gt;0,"✓","⚠ add to Campaigns tab"))</f>
        <v/>
      </c>
      <c r="I1399" s="84" t="str">
        <f aca="false">IF(C1399="","",C1399*IF(Settings!$B$25=Settings!$C$6,1,IF(Settings!$B$25="USD",1/INDEX(Settings!$B$29:$B$40,MONTH(A1399)),INDEX(Settings!$B$29:$B$40,MONTH(A1399)))))</f>
        <v/>
      </c>
    </row>
    <row r="1400" customFormat="false" ht="15" hidden="false" customHeight="false" outlineLevel="0" collapsed="false">
      <c r="H1400" s="0" t="str">
        <f aca="false">IF(B1400="","",IF(COUNTIF(Campaigns!$A$7:$A$300,B1400)&gt;0,"✓","⚠ add to Campaigns tab"))</f>
        <v/>
      </c>
      <c r="I1400" s="84" t="str">
        <f aca="false">IF(C1400="","",C1400*IF(Settings!$B$25=Settings!$C$6,1,IF(Settings!$B$25="USD",1/INDEX(Settings!$B$29:$B$40,MONTH(A1400)),INDEX(Settings!$B$29:$B$40,MONTH(A1400)))))</f>
        <v/>
      </c>
    </row>
    <row r="1401" customFormat="false" ht="15" hidden="false" customHeight="false" outlineLevel="0" collapsed="false">
      <c r="H1401" s="0" t="str">
        <f aca="false">IF(B1401="","",IF(COUNTIF(Campaigns!$A$7:$A$300,B1401)&gt;0,"✓","⚠ add to Campaigns tab"))</f>
        <v/>
      </c>
      <c r="I1401" s="84" t="str">
        <f aca="false">IF(C1401="","",C1401*IF(Settings!$B$25=Settings!$C$6,1,IF(Settings!$B$25="USD",1/INDEX(Settings!$B$29:$B$40,MONTH(A1401)),INDEX(Settings!$B$29:$B$40,MONTH(A1401)))))</f>
        <v/>
      </c>
    </row>
    <row r="1402" customFormat="false" ht="15" hidden="false" customHeight="false" outlineLevel="0" collapsed="false">
      <c r="H1402" s="0" t="str">
        <f aca="false">IF(B1402="","",IF(COUNTIF(Campaigns!$A$7:$A$300,B1402)&gt;0,"✓","⚠ add to Campaigns tab"))</f>
        <v/>
      </c>
      <c r="I1402" s="84" t="str">
        <f aca="false">IF(C1402="","",C1402*IF(Settings!$B$25=Settings!$C$6,1,IF(Settings!$B$25="USD",1/INDEX(Settings!$B$29:$B$40,MONTH(A1402)),INDEX(Settings!$B$29:$B$40,MONTH(A1402)))))</f>
        <v/>
      </c>
    </row>
    <row r="1403" customFormat="false" ht="15" hidden="false" customHeight="false" outlineLevel="0" collapsed="false">
      <c r="H1403" s="0" t="str">
        <f aca="false">IF(B1403="","",IF(COUNTIF(Campaigns!$A$7:$A$300,B1403)&gt;0,"✓","⚠ add to Campaigns tab"))</f>
        <v/>
      </c>
      <c r="I1403" s="84" t="str">
        <f aca="false">IF(C1403="","",C1403*IF(Settings!$B$25=Settings!$C$6,1,IF(Settings!$B$25="USD",1/INDEX(Settings!$B$29:$B$40,MONTH(A1403)),INDEX(Settings!$B$29:$B$40,MONTH(A1403)))))</f>
        <v/>
      </c>
    </row>
    <row r="1404" customFormat="false" ht="15" hidden="false" customHeight="false" outlineLevel="0" collapsed="false">
      <c r="H1404" s="0" t="str">
        <f aca="false">IF(B1404="","",IF(COUNTIF(Campaigns!$A$7:$A$300,B1404)&gt;0,"✓","⚠ add to Campaigns tab"))</f>
        <v/>
      </c>
      <c r="I1404" s="84" t="str">
        <f aca="false">IF(C1404="","",C1404*IF(Settings!$B$25=Settings!$C$6,1,IF(Settings!$B$25="USD",1/INDEX(Settings!$B$29:$B$40,MONTH(A1404)),INDEX(Settings!$B$29:$B$40,MONTH(A1404)))))</f>
        <v/>
      </c>
    </row>
    <row r="1405" customFormat="false" ht="15" hidden="false" customHeight="false" outlineLevel="0" collapsed="false">
      <c r="H1405" s="0" t="str">
        <f aca="false">IF(B1405="","",IF(COUNTIF(Campaigns!$A$7:$A$300,B1405)&gt;0,"✓","⚠ add to Campaigns tab"))</f>
        <v/>
      </c>
      <c r="I1405" s="84" t="str">
        <f aca="false">IF(C1405="","",C1405*IF(Settings!$B$25=Settings!$C$6,1,IF(Settings!$B$25="USD",1/INDEX(Settings!$B$29:$B$40,MONTH(A1405)),INDEX(Settings!$B$29:$B$40,MONTH(A1405)))))</f>
        <v/>
      </c>
    </row>
    <row r="1406" customFormat="false" ht="15" hidden="false" customHeight="false" outlineLevel="0" collapsed="false">
      <c r="H1406" s="0" t="str">
        <f aca="false">IF(B1406="","",IF(COUNTIF(Campaigns!$A$7:$A$300,B1406)&gt;0,"✓","⚠ add to Campaigns tab"))</f>
        <v/>
      </c>
      <c r="I1406" s="84" t="str">
        <f aca="false">IF(C1406="","",C1406*IF(Settings!$B$25=Settings!$C$6,1,IF(Settings!$B$25="USD",1/INDEX(Settings!$B$29:$B$40,MONTH(A1406)),INDEX(Settings!$B$29:$B$40,MONTH(A1406)))))</f>
        <v/>
      </c>
    </row>
    <row r="1407" customFormat="false" ht="15" hidden="false" customHeight="false" outlineLevel="0" collapsed="false">
      <c r="H1407" s="0" t="str">
        <f aca="false">IF(B1407="","",IF(COUNTIF(Campaigns!$A$7:$A$300,B1407)&gt;0,"✓","⚠ add to Campaigns tab"))</f>
        <v/>
      </c>
      <c r="I1407" s="84" t="str">
        <f aca="false">IF(C1407="","",C1407*IF(Settings!$B$25=Settings!$C$6,1,IF(Settings!$B$25="USD",1/INDEX(Settings!$B$29:$B$40,MONTH(A1407)),INDEX(Settings!$B$29:$B$40,MONTH(A1407)))))</f>
        <v/>
      </c>
    </row>
    <row r="1408" customFormat="false" ht="15" hidden="false" customHeight="false" outlineLevel="0" collapsed="false">
      <c r="H1408" s="0" t="str">
        <f aca="false">IF(B1408="","",IF(COUNTIF(Campaigns!$A$7:$A$300,B1408)&gt;0,"✓","⚠ add to Campaigns tab"))</f>
        <v/>
      </c>
      <c r="I1408" s="84" t="str">
        <f aca="false">IF(C1408="","",C1408*IF(Settings!$B$25=Settings!$C$6,1,IF(Settings!$B$25="USD",1/INDEX(Settings!$B$29:$B$40,MONTH(A1408)),INDEX(Settings!$B$29:$B$40,MONTH(A1408)))))</f>
        <v/>
      </c>
    </row>
    <row r="1409" customFormat="false" ht="15" hidden="false" customHeight="false" outlineLevel="0" collapsed="false">
      <c r="H1409" s="0" t="str">
        <f aca="false">IF(B1409="","",IF(COUNTIF(Campaigns!$A$7:$A$300,B1409)&gt;0,"✓","⚠ add to Campaigns tab"))</f>
        <v/>
      </c>
      <c r="I1409" s="84" t="str">
        <f aca="false">IF(C1409="","",C1409*IF(Settings!$B$25=Settings!$C$6,1,IF(Settings!$B$25="USD",1/INDEX(Settings!$B$29:$B$40,MONTH(A1409)),INDEX(Settings!$B$29:$B$40,MONTH(A1409)))))</f>
        <v/>
      </c>
    </row>
    <row r="1410" customFormat="false" ht="15" hidden="false" customHeight="false" outlineLevel="0" collapsed="false">
      <c r="H1410" s="0" t="str">
        <f aca="false">IF(B1410="","",IF(COUNTIF(Campaigns!$A$7:$A$300,B1410)&gt;0,"✓","⚠ add to Campaigns tab"))</f>
        <v/>
      </c>
      <c r="I1410" s="84" t="str">
        <f aca="false">IF(C1410="","",C1410*IF(Settings!$B$25=Settings!$C$6,1,IF(Settings!$B$25="USD",1/INDEX(Settings!$B$29:$B$40,MONTH(A1410)),INDEX(Settings!$B$29:$B$40,MONTH(A1410)))))</f>
        <v/>
      </c>
    </row>
    <row r="1411" customFormat="false" ht="15" hidden="false" customHeight="false" outlineLevel="0" collapsed="false">
      <c r="H1411" s="0" t="str">
        <f aca="false">IF(B1411="","",IF(COUNTIF(Campaigns!$A$7:$A$300,B1411)&gt;0,"✓","⚠ add to Campaigns tab"))</f>
        <v/>
      </c>
      <c r="I1411" s="84" t="str">
        <f aca="false">IF(C1411="","",C1411*IF(Settings!$B$25=Settings!$C$6,1,IF(Settings!$B$25="USD",1/INDEX(Settings!$B$29:$B$40,MONTH(A1411)),INDEX(Settings!$B$29:$B$40,MONTH(A1411)))))</f>
        <v/>
      </c>
    </row>
    <row r="1412" customFormat="false" ht="15" hidden="false" customHeight="false" outlineLevel="0" collapsed="false">
      <c r="H1412" s="0" t="str">
        <f aca="false">IF(B1412="","",IF(COUNTIF(Campaigns!$A$7:$A$300,B1412)&gt;0,"✓","⚠ add to Campaigns tab"))</f>
        <v/>
      </c>
      <c r="I1412" s="84" t="str">
        <f aca="false">IF(C1412="","",C1412*IF(Settings!$B$25=Settings!$C$6,1,IF(Settings!$B$25="USD",1/INDEX(Settings!$B$29:$B$40,MONTH(A1412)),INDEX(Settings!$B$29:$B$40,MONTH(A1412)))))</f>
        <v/>
      </c>
    </row>
    <row r="1413" customFormat="false" ht="15" hidden="false" customHeight="false" outlineLevel="0" collapsed="false">
      <c r="H1413" s="0" t="str">
        <f aca="false">IF(B1413="","",IF(COUNTIF(Campaigns!$A$7:$A$300,B1413)&gt;0,"✓","⚠ add to Campaigns tab"))</f>
        <v/>
      </c>
      <c r="I1413" s="84" t="str">
        <f aca="false">IF(C1413="","",C1413*IF(Settings!$B$25=Settings!$C$6,1,IF(Settings!$B$25="USD",1/INDEX(Settings!$B$29:$B$40,MONTH(A1413)),INDEX(Settings!$B$29:$B$40,MONTH(A1413)))))</f>
        <v/>
      </c>
    </row>
    <row r="1414" customFormat="false" ht="15" hidden="false" customHeight="false" outlineLevel="0" collapsed="false">
      <c r="H1414" s="0" t="str">
        <f aca="false">IF(B1414="","",IF(COUNTIF(Campaigns!$A$7:$A$300,B1414)&gt;0,"✓","⚠ add to Campaigns tab"))</f>
        <v/>
      </c>
      <c r="I1414" s="84" t="str">
        <f aca="false">IF(C1414="","",C1414*IF(Settings!$B$25=Settings!$C$6,1,IF(Settings!$B$25="USD",1/INDEX(Settings!$B$29:$B$40,MONTH(A1414)),INDEX(Settings!$B$29:$B$40,MONTH(A1414)))))</f>
        <v/>
      </c>
    </row>
    <row r="1415" customFormat="false" ht="15" hidden="false" customHeight="false" outlineLevel="0" collapsed="false">
      <c r="H1415" s="0" t="str">
        <f aca="false">IF(B1415="","",IF(COUNTIF(Campaigns!$A$7:$A$300,B1415)&gt;0,"✓","⚠ add to Campaigns tab"))</f>
        <v/>
      </c>
      <c r="I1415" s="84" t="str">
        <f aca="false">IF(C1415="","",C1415*IF(Settings!$B$25=Settings!$C$6,1,IF(Settings!$B$25="USD",1/INDEX(Settings!$B$29:$B$40,MONTH(A1415)),INDEX(Settings!$B$29:$B$40,MONTH(A1415)))))</f>
        <v/>
      </c>
    </row>
    <row r="1416" customFormat="false" ht="15" hidden="false" customHeight="false" outlineLevel="0" collapsed="false">
      <c r="H1416" s="0" t="str">
        <f aca="false">IF(B1416="","",IF(COUNTIF(Campaigns!$A$7:$A$300,B1416)&gt;0,"✓","⚠ add to Campaigns tab"))</f>
        <v/>
      </c>
      <c r="I1416" s="84" t="str">
        <f aca="false">IF(C1416="","",C1416*IF(Settings!$B$25=Settings!$C$6,1,IF(Settings!$B$25="USD",1/INDEX(Settings!$B$29:$B$40,MONTH(A1416)),INDEX(Settings!$B$29:$B$40,MONTH(A1416)))))</f>
        <v/>
      </c>
    </row>
    <row r="1417" customFormat="false" ht="15" hidden="false" customHeight="false" outlineLevel="0" collapsed="false">
      <c r="H1417" s="0" t="str">
        <f aca="false">IF(B1417="","",IF(COUNTIF(Campaigns!$A$7:$A$300,B1417)&gt;0,"✓","⚠ add to Campaigns tab"))</f>
        <v/>
      </c>
      <c r="I1417" s="84" t="str">
        <f aca="false">IF(C1417="","",C1417*IF(Settings!$B$25=Settings!$C$6,1,IF(Settings!$B$25="USD",1/INDEX(Settings!$B$29:$B$40,MONTH(A1417)),INDEX(Settings!$B$29:$B$40,MONTH(A1417)))))</f>
        <v/>
      </c>
    </row>
    <row r="1418" customFormat="false" ht="15" hidden="false" customHeight="false" outlineLevel="0" collapsed="false">
      <c r="H1418" s="0" t="str">
        <f aca="false">IF(B1418="","",IF(COUNTIF(Campaigns!$A$7:$A$300,B1418)&gt;0,"✓","⚠ add to Campaigns tab"))</f>
        <v/>
      </c>
      <c r="I1418" s="84" t="str">
        <f aca="false">IF(C1418="","",C1418*IF(Settings!$B$25=Settings!$C$6,1,IF(Settings!$B$25="USD",1/INDEX(Settings!$B$29:$B$40,MONTH(A1418)),INDEX(Settings!$B$29:$B$40,MONTH(A1418)))))</f>
        <v/>
      </c>
    </row>
    <row r="1419" customFormat="false" ht="15" hidden="false" customHeight="false" outlineLevel="0" collapsed="false">
      <c r="H1419" s="0" t="str">
        <f aca="false">IF(B1419="","",IF(COUNTIF(Campaigns!$A$7:$A$300,B1419)&gt;0,"✓","⚠ add to Campaigns tab"))</f>
        <v/>
      </c>
      <c r="I1419" s="84" t="str">
        <f aca="false">IF(C1419="","",C1419*IF(Settings!$B$25=Settings!$C$6,1,IF(Settings!$B$25="USD",1/INDEX(Settings!$B$29:$B$40,MONTH(A1419)),INDEX(Settings!$B$29:$B$40,MONTH(A1419)))))</f>
        <v/>
      </c>
    </row>
    <row r="1420" customFormat="false" ht="15" hidden="false" customHeight="false" outlineLevel="0" collapsed="false">
      <c r="H1420" s="0" t="str">
        <f aca="false">IF(B1420="","",IF(COUNTIF(Campaigns!$A$7:$A$300,B1420)&gt;0,"✓","⚠ add to Campaigns tab"))</f>
        <v/>
      </c>
      <c r="I1420" s="84" t="str">
        <f aca="false">IF(C1420="","",C1420*IF(Settings!$B$25=Settings!$C$6,1,IF(Settings!$B$25="USD",1/INDEX(Settings!$B$29:$B$40,MONTH(A1420)),INDEX(Settings!$B$29:$B$40,MONTH(A1420)))))</f>
        <v/>
      </c>
    </row>
    <row r="1421" customFormat="false" ht="15" hidden="false" customHeight="false" outlineLevel="0" collapsed="false">
      <c r="H1421" s="0" t="str">
        <f aca="false">IF(B1421="","",IF(COUNTIF(Campaigns!$A$7:$A$300,B1421)&gt;0,"✓","⚠ add to Campaigns tab"))</f>
        <v/>
      </c>
      <c r="I1421" s="84" t="str">
        <f aca="false">IF(C1421="","",C1421*IF(Settings!$B$25=Settings!$C$6,1,IF(Settings!$B$25="USD",1/INDEX(Settings!$B$29:$B$40,MONTH(A1421)),INDEX(Settings!$B$29:$B$40,MONTH(A1421)))))</f>
        <v/>
      </c>
    </row>
    <row r="1422" customFormat="false" ht="15" hidden="false" customHeight="false" outlineLevel="0" collapsed="false">
      <c r="H1422" s="0" t="str">
        <f aca="false">IF(B1422="","",IF(COUNTIF(Campaigns!$A$7:$A$300,B1422)&gt;0,"✓","⚠ add to Campaigns tab"))</f>
        <v/>
      </c>
      <c r="I1422" s="84" t="str">
        <f aca="false">IF(C1422="","",C1422*IF(Settings!$B$25=Settings!$C$6,1,IF(Settings!$B$25="USD",1/INDEX(Settings!$B$29:$B$40,MONTH(A1422)),INDEX(Settings!$B$29:$B$40,MONTH(A1422)))))</f>
        <v/>
      </c>
    </row>
    <row r="1423" customFormat="false" ht="15" hidden="false" customHeight="false" outlineLevel="0" collapsed="false">
      <c r="H1423" s="0" t="str">
        <f aca="false">IF(B1423="","",IF(COUNTIF(Campaigns!$A$7:$A$300,B1423)&gt;0,"✓","⚠ add to Campaigns tab"))</f>
        <v/>
      </c>
      <c r="I1423" s="84" t="str">
        <f aca="false">IF(C1423="","",C1423*IF(Settings!$B$25=Settings!$C$6,1,IF(Settings!$B$25="USD",1/INDEX(Settings!$B$29:$B$40,MONTH(A1423)),INDEX(Settings!$B$29:$B$40,MONTH(A1423)))))</f>
        <v/>
      </c>
    </row>
    <row r="1424" customFormat="false" ht="15" hidden="false" customHeight="false" outlineLevel="0" collapsed="false">
      <c r="H1424" s="0" t="str">
        <f aca="false">IF(B1424="","",IF(COUNTIF(Campaigns!$A$7:$A$300,B1424)&gt;0,"✓","⚠ add to Campaigns tab"))</f>
        <v/>
      </c>
      <c r="I1424" s="84" t="str">
        <f aca="false">IF(C1424="","",C1424*IF(Settings!$B$25=Settings!$C$6,1,IF(Settings!$B$25="USD",1/INDEX(Settings!$B$29:$B$40,MONTH(A1424)),INDEX(Settings!$B$29:$B$40,MONTH(A1424)))))</f>
        <v/>
      </c>
    </row>
    <row r="1425" customFormat="false" ht="15" hidden="false" customHeight="false" outlineLevel="0" collapsed="false">
      <c r="H1425" s="0" t="str">
        <f aca="false">IF(B1425="","",IF(COUNTIF(Campaigns!$A$7:$A$300,B1425)&gt;0,"✓","⚠ add to Campaigns tab"))</f>
        <v/>
      </c>
      <c r="I1425" s="84" t="str">
        <f aca="false">IF(C1425="","",C1425*IF(Settings!$B$25=Settings!$C$6,1,IF(Settings!$B$25="USD",1/INDEX(Settings!$B$29:$B$40,MONTH(A1425)),INDEX(Settings!$B$29:$B$40,MONTH(A1425)))))</f>
        <v/>
      </c>
    </row>
    <row r="1426" customFormat="false" ht="15" hidden="false" customHeight="false" outlineLevel="0" collapsed="false">
      <c r="H1426" s="0" t="str">
        <f aca="false">IF(B1426="","",IF(COUNTIF(Campaigns!$A$7:$A$300,B1426)&gt;0,"✓","⚠ add to Campaigns tab"))</f>
        <v/>
      </c>
      <c r="I1426" s="84" t="str">
        <f aca="false">IF(C1426="","",C1426*IF(Settings!$B$25=Settings!$C$6,1,IF(Settings!$B$25="USD",1/INDEX(Settings!$B$29:$B$40,MONTH(A1426)),INDEX(Settings!$B$29:$B$40,MONTH(A1426)))))</f>
        <v/>
      </c>
    </row>
    <row r="1427" customFormat="false" ht="15" hidden="false" customHeight="false" outlineLevel="0" collapsed="false">
      <c r="H1427" s="0" t="str">
        <f aca="false">IF(B1427="","",IF(COUNTIF(Campaigns!$A$7:$A$300,B1427)&gt;0,"✓","⚠ add to Campaigns tab"))</f>
        <v/>
      </c>
      <c r="I1427" s="84" t="str">
        <f aca="false">IF(C1427="","",C1427*IF(Settings!$B$25=Settings!$C$6,1,IF(Settings!$B$25="USD",1/INDEX(Settings!$B$29:$B$40,MONTH(A1427)),INDEX(Settings!$B$29:$B$40,MONTH(A1427)))))</f>
        <v/>
      </c>
    </row>
    <row r="1428" customFormat="false" ht="15" hidden="false" customHeight="false" outlineLevel="0" collapsed="false">
      <c r="H1428" s="0" t="str">
        <f aca="false">IF(B1428="","",IF(COUNTIF(Campaigns!$A$7:$A$300,B1428)&gt;0,"✓","⚠ add to Campaigns tab"))</f>
        <v/>
      </c>
      <c r="I1428" s="84" t="str">
        <f aca="false">IF(C1428="","",C1428*IF(Settings!$B$25=Settings!$C$6,1,IF(Settings!$B$25="USD",1/INDEX(Settings!$B$29:$B$40,MONTH(A1428)),INDEX(Settings!$B$29:$B$40,MONTH(A1428)))))</f>
        <v/>
      </c>
    </row>
    <row r="1429" customFormat="false" ht="15" hidden="false" customHeight="false" outlineLevel="0" collapsed="false">
      <c r="H1429" s="0" t="str">
        <f aca="false">IF(B1429="","",IF(COUNTIF(Campaigns!$A$7:$A$300,B1429)&gt;0,"✓","⚠ add to Campaigns tab"))</f>
        <v/>
      </c>
      <c r="I1429" s="84" t="str">
        <f aca="false">IF(C1429="","",C1429*IF(Settings!$B$25=Settings!$C$6,1,IF(Settings!$B$25="USD",1/INDEX(Settings!$B$29:$B$40,MONTH(A1429)),INDEX(Settings!$B$29:$B$40,MONTH(A1429)))))</f>
        <v/>
      </c>
    </row>
    <row r="1430" customFormat="false" ht="15" hidden="false" customHeight="false" outlineLevel="0" collapsed="false">
      <c r="H1430" s="0" t="str">
        <f aca="false">IF(B1430="","",IF(COUNTIF(Campaigns!$A$7:$A$300,B1430)&gt;0,"✓","⚠ add to Campaigns tab"))</f>
        <v/>
      </c>
      <c r="I1430" s="84" t="str">
        <f aca="false">IF(C1430="","",C1430*IF(Settings!$B$25=Settings!$C$6,1,IF(Settings!$B$25="USD",1/INDEX(Settings!$B$29:$B$40,MONTH(A1430)),INDEX(Settings!$B$29:$B$40,MONTH(A1430)))))</f>
        <v/>
      </c>
    </row>
    <row r="1431" customFormat="false" ht="15" hidden="false" customHeight="false" outlineLevel="0" collapsed="false">
      <c r="H1431" s="0" t="str">
        <f aca="false">IF(B1431="","",IF(COUNTIF(Campaigns!$A$7:$A$300,B1431)&gt;0,"✓","⚠ add to Campaigns tab"))</f>
        <v/>
      </c>
      <c r="I1431" s="84" t="str">
        <f aca="false">IF(C1431="","",C1431*IF(Settings!$B$25=Settings!$C$6,1,IF(Settings!$B$25="USD",1/INDEX(Settings!$B$29:$B$40,MONTH(A1431)),INDEX(Settings!$B$29:$B$40,MONTH(A1431)))))</f>
        <v/>
      </c>
    </row>
    <row r="1432" customFormat="false" ht="15" hidden="false" customHeight="false" outlineLevel="0" collapsed="false">
      <c r="H1432" s="0" t="str">
        <f aca="false">IF(B1432="","",IF(COUNTIF(Campaigns!$A$7:$A$300,B1432)&gt;0,"✓","⚠ add to Campaigns tab"))</f>
        <v/>
      </c>
      <c r="I1432" s="84" t="str">
        <f aca="false">IF(C1432="","",C1432*IF(Settings!$B$25=Settings!$C$6,1,IF(Settings!$B$25="USD",1/INDEX(Settings!$B$29:$B$40,MONTH(A1432)),INDEX(Settings!$B$29:$B$40,MONTH(A1432)))))</f>
        <v/>
      </c>
    </row>
    <row r="1433" customFormat="false" ht="15" hidden="false" customHeight="false" outlineLevel="0" collapsed="false">
      <c r="H1433" s="0" t="str">
        <f aca="false">IF(B1433="","",IF(COUNTIF(Campaigns!$A$7:$A$300,B1433)&gt;0,"✓","⚠ add to Campaigns tab"))</f>
        <v/>
      </c>
      <c r="I1433" s="84" t="str">
        <f aca="false">IF(C1433="","",C1433*IF(Settings!$B$25=Settings!$C$6,1,IF(Settings!$B$25="USD",1/INDEX(Settings!$B$29:$B$40,MONTH(A1433)),INDEX(Settings!$B$29:$B$40,MONTH(A1433)))))</f>
        <v/>
      </c>
    </row>
    <row r="1434" customFormat="false" ht="15" hidden="false" customHeight="false" outlineLevel="0" collapsed="false">
      <c r="H1434" s="0" t="str">
        <f aca="false">IF(B1434="","",IF(COUNTIF(Campaigns!$A$7:$A$300,B1434)&gt;0,"✓","⚠ add to Campaigns tab"))</f>
        <v/>
      </c>
      <c r="I1434" s="84" t="str">
        <f aca="false">IF(C1434="","",C1434*IF(Settings!$B$25=Settings!$C$6,1,IF(Settings!$B$25="USD",1/INDEX(Settings!$B$29:$B$40,MONTH(A1434)),INDEX(Settings!$B$29:$B$40,MONTH(A1434)))))</f>
        <v/>
      </c>
    </row>
    <row r="1435" customFormat="false" ht="15" hidden="false" customHeight="false" outlineLevel="0" collapsed="false">
      <c r="H1435" s="0" t="str">
        <f aca="false">IF(B1435="","",IF(COUNTIF(Campaigns!$A$7:$A$300,B1435)&gt;0,"✓","⚠ add to Campaigns tab"))</f>
        <v/>
      </c>
      <c r="I1435" s="84" t="str">
        <f aca="false">IF(C1435="","",C1435*IF(Settings!$B$25=Settings!$C$6,1,IF(Settings!$B$25="USD",1/INDEX(Settings!$B$29:$B$40,MONTH(A1435)),INDEX(Settings!$B$29:$B$40,MONTH(A1435)))))</f>
        <v/>
      </c>
    </row>
    <row r="1436" customFormat="false" ht="15" hidden="false" customHeight="false" outlineLevel="0" collapsed="false">
      <c r="H1436" s="0" t="str">
        <f aca="false">IF(B1436="","",IF(COUNTIF(Campaigns!$A$7:$A$300,B1436)&gt;0,"✓","⚠ add to Campaigns tab"))</f>
        <v/>
      </c>
      <c r="I1436" s="84" t="str">
        <f aca="false">IF(C1436="","",C1436*IF(Settings!$B$25=Settings!$C$6,1,IF(Settings!$B$25="USD",1/INDEX(Settings!$B$29:$B$40,MONTH(A1436)),INDEX(Settings!$B$29:$B$40,MONTH(A1436)))))</f>
        <v/>
      </c>
    </row>
    <row r="1437" customFormat="false" ht="15" hidden="false" customHeight="false" outlineLevel="0" collapsed="false">
      <c r="H1437" s="0" t="str">
        <f aca="false">IF(B1437="","",IF(COUNTIF(Campaigns!$A$7:$A$300,B1437)&gt;0,"✓","⚠ add to Campaigns tab"))</f>
        <v/>
      </c>
      <c r="I1437" s="84" t="str">
        <f aca="false">IF(C1437="","",C1437*IF(Settings!$B$25=Settings!$C$6,1,IF(Settings!$B$25="USD",1/INDEX(Settings!$B$29:$B$40,MONTH(A1437)),INDEX(Settings!$B$29:$B$40,MONTH(A1437)))))</f>
        <v/>
      </c>
    </row>
    <row r="1438" customFormat="false" ht="15" hidden="false" customHeight="false" outlineLevel="0" collapsed="false">
      <c r="H1438" s="0" t="str">
        <f aca="false">IF(B1438="","",IF(COUNTIF(Campaigns!$A$7:$A$300,B1438)&gt;0,"✓","⚠ add to Campaigns tab"))</f>
        <v/>
      </c>
      <c r="I1438" s="84" t="str">
        <f aca="false">IF(C1438="","",C1438*IF(Settings!$B$25=Settings!$C$6,1,IF(Settings!$B$25="USD",1/INDEX(Settings!$B$29:$B$40,MONTH(A1438)),INDEX(Settings!$B$29:$B$40,MONTH(A1438)))))</f>
        <v/>
      </c>
    </row>
    <row r="1439" customFormat="false" ht="15" hidden="false" customHeight="false" outlineLevel="0" collapsed="false">
      <c r="H1439" s="0" t="str">
        <f aca="false">IF(B1439="","",IF(COUNTIF(Campaigns!$A$7:$A$300,B1439)&gt;0,"✓","⚠ add to Campaigns tab"))</f>
        <v/>
      </c>
      <c r="I1439" s="84" t="str">
        <f aca="false">IF(C1439="","",C1439*IF(Settings!$B$25=Settings!$C$6,1,IF(Settings!$B$25="USD",1/INDEX(Settings!$B$29:$B$40,MONTH(A1439)),INDEX(Settings!$B$29:$B$40,MONTH(A1439)))))</f>
        <v/>
      </c>
    </row>
    <row r="1440" customFormat="false" ht="15" hidden="false" customHeight="false" outlineLevel="0" collapsed="false">
      <c r="H1440" s="0" t="str">
        <f aca="false">IF(B1440="","",IF(COUNTIF(Campaigns!$A$7:$A$300,B1440)&gt;0,"✓","⚠ add to Campaigns tab"))</f>
        <v/>
      </c>
      <c r="I1440" s="84" t="str">
        <f aca="false">IF(C1440="","",C1440*IF(Settings!$B$25=Settings!$C$6,1,IF(Settings!$B$25="USD",1/INDEX(Settings!$B$29:$B$40,MONTH(A1440)),INDEX(Settings!$B$29:$B$40,MONTH(A1440)))))</f>
        <v/>
      </c>
    </row>
    <row r="1441" customFormat="false" ht="15" hidden="false" customHeight="false" outlineLevel="0" collapsed="false">
      <c r="H1441" s="0" t="str">
        <f aca="false">IF(B1441="","",IF(COUNTIF(Campaigns!$A$7:$A$300,B1441)&gt;0,"✓","⚠ add to Campaigns tab"))</f>
        <v/>
      </c>
      <c r="I1441" s="84" t="str">
        <f aca="false">IF(C1441="","",C1441*IF(Settings!$B$25=Settings!$C$6,1,IF(Settings!$B$25="USD",1/INDEX(Settings!$B$29:$B$40,MONTH(A1441)),INDEX(Settings!$B$29:$B$40,MONTH(A1441)))))</f>
        <v/>
      </c>
    </row>
    <row r="1442" customFormat="false" ht="15" hidden="false" customHeight="false" outlineLevel="0" collapsed="false">
      <c r="H1442" s="0" t="str">
        <f aca="false">IF(B1442="","",IF(COUNTIF(Campaigns!$A$7:$A$300,B1442)&gt;0,"✓","⚠ add to Campaigns tab"))</f>
        <v/>
      </c>
      <c r="I1442" s="84" t="str">
        <f aca="false">IF(C1442="","",C1442*IF(Settings!$B$25=Settings!$C$6,1,IF(Settings!$B$25="USD",1/INDEX(Settings!$B$29:$B$40,MONTH(A1442)),INDEX(Settings!$B$29:$B$40,MONTH(A1442)))))</f>
        <v/>
      </c>
    </row>
    <row r="1443" customFormat="false" ht="15" hidden="false" customHeight="false" outlineLevel="0" collapsed="false">
      <c r="H1443" s="0" t="str">
        <f aca="false">IF(B1443="","",IF(COUNTIF(Campaigns!$A$7:$A$300,B1443)&gt;0,"✓","⚠ add to Campaigns tab"))</f>
        <v/>
      </c>
      <c r="I1443" s="84" t="str">
        <f aca="false">IF(C1443="","",C1443*IF(Settings!$B$25=Settings!$C$6,1,IF(Settings!$B$25="USD",1/INDEX(Settings!$B$29:$B$40,MONTH(A1443)),INDEX(Settings!$B$29:$B$40,MONTH(A1443)))))</f>
        <v/>
      </c>
    </row>
    <row r="1444" customFormat="false" ht="15" hidden="false" customHeight="false" outlineLevel="0" collapsed="false">
      <c r="H1444" s="0" t="str">
        <f aca="false">IF(B1444="","",IF(COUNTIF(Campaigns!$A$7:$A$300,B1444)&gt;0,"✓","⚠ add to Campaigns tab"))</f>
        <v/>
      </c>
      <c r="I1444" s="84" t="str">
        <f aca="false">IF(C1444="","",C1444*IF(Settings!$B$25=Settings!$C$6,1,IF(Settings!$B$25="USD",1/INDEX(Settings!$B$29:$B$40,MONTH(A1444)),INDEX(Settings!$B$29:$B$40,MONTH(A1444)))))</f>
        <v/>
      </c>
    </row>
    <row r="1445" customFormat="false" ht="15" hidden="false" customHeight="false" outlineLevel="0" collapsed="false">
      <c r="H1445" s="0" t="str">
        <f aca="false">IF(B1445="","",IF(COUNTIF(Campaigns!$A$7:$A$300,B1445)&gt;0,"✓","⚠ add to Campaigns tab"))</f>
        <v/>
      </c>
      <c r="I1445" s="84" t="str">
        <f aca="false">IF(C1445="","",C1445*IF(Settings!$B$25=Settings!$C$6,1,IF(Settings!$B$25="USD",1/INDEX(Settings!$B$29:$B$40,MONTH(A1445)),INDEX(Settings!$B$29:$B$40,MONTH(A1445)))))</f>
        <v/>
      </c>
    </row>
    <row r="1446" customFormat="false" ht="15" hidden="false" customHeight="false" outlineLevel="0" collapsed="false">
      <c r="H1446" s="0" t="str">
        <f aca="false">IF(B1446="","",IF(COUNTIF(Campaigns!$A$7:$A$300,B1446)&gt;0,"✓","⚠ add to Campaigns tab"))</f>
        <v/>
      </c>
      <c r="I1446" s="84" t="str">
        <f aca="false">IF(C1446="","",C1446*IF(Settings!$B$25=Settings!$C$6,1,IF(Settings!$B$25="USD",1/INDEX(Settings!$B$29:$B$40,MONTH(A1446)),INDEX(Settings!$B$29:$B$40,MONTH(A1446)))))</f>
        <v/>
      </c>
    </row>
    <row r="1447" customFormat="false" ht="15" hidden="false" customHeight="false" outlineLevel="0" collapsed="false">
      <c r="H1447" s="0" t="str">
        <f aca="false">IF(B1447="","",IF(COUNTIF(Campaigns!$A$7:$A$300,B1447)&gt;0,"✓","⚠ add to Campaigns tab"))</f>
        <v/>
      </c>
      <c r="I1447" s="84" t="str">
        <f aca="false">IF(C1447="","",C1447*IF(Settings!$B$25=Settings!$C$6,1,IF(Settings!$B$25="USD",1/INDEX(Settings!$B$29:$B$40,MONTH(A1447)),INDEX(Settings!$B$29:$B$40,MONTH(A1447)))))</f>
        <v/>
      </c>
    </row>
    <row r="1448" customFormat="false" ht="15" hidden="false" customHeight="false" outlineLevel="0" collapsed="false">
      <c r="H1448" s="0" t="str">
        <f aca="false">IF(B1448="","",IF(COUNTIF(Campaigns!$A$7:$A$300,B1448)&gt;0,"✓","⚠ add to Campaigns tab"))</f>
        <v/>
      </c>
      <c r="I1448" s="84" t="str">
        <f aca="false">IF(C1448="","",C1448*IF(Settings!$B$25=Settings!$C$6,1,IF(Settings!$B$25="USD",1/INDEX(Settings!$B$29:$B$40,MONTH(A1448)),INDEX(Settings!$B$29:$B$40,MONTH(A1448)))))</f>
        <v/>
      </c>
    </row>
    <row r="1449" customFormat="false" ht="15" hidden="false" customHeight="false" outlineLevel="0" collapsed="false">
      <c r="H1449" s="0" t="str">
        <f aca="false">IF(B1449="","",IF(COUNTIF(Campaigns!$A$7:$A$300,B1449)&gt;0,"✓","⚠ add to Campaigns tab"))</f>
        <v/>
      </c>
      <c r="I1449" s="84" t="str">
        <f aca="false">IF(C1449="","",C1449*IF(Settings!$B$25=Settings!$C$6,1,IF(Settings!$B$25="USD",1/INDEX(Settings!$B$29:$B$40,MONTH(A1449)),INDEX(Settings!$B$29:$B$40,MONTH(A1449)))))</f>
        <v/>
      </c>
    </row>
    <row r="1450" customFormat="false" ht="15" hidden="false" customHeight="false" outlineLevel="0" collapsed="false">
      <c r="H1450" s="0" t="str">
        <f aca="false">IF(B1450="","",IF(COUNTIF(Campaigns!$A$7:$A$300,B1450)&gt;0,"✓","⚠ add to Campaigns tab"))</f>
        <v/>
      </c>
      <c r="I1450" s="84" t="str">
        <f aca="false">IF(C1450="","",C1450*IF(Settings!$B$25=Settings!$C$6,1,IF(Settings!$B$25="USD",1/INDEX(Settings!$B$29:$B$40,MONTH(A1450)),INDEX(Settings!$B$29:$B$40,MONTH(A1450)))))</f>
        <v/>
      </c>
    </row>
    <row r="1451" customFormat="false" ht="15" hidden="false" customHeight="false" outlineLevel="0" collapsed="false">
      <c r="H1451" s="0" t="str">
        <f aca="false">IF(B1451="","",IF(COUNTIF(Campaigns!$A$7:$A$300,B1451)&gt;0,"✓","⚠ add to Campaigns tab"))</f>
        <v/>
      </c>
      <c r="I1451" s="84" t="str">
        <f aca="false">IF(C1451="","",C1451*IF(Settings!$B$25=Settings!$C$6,1,IF(Settings!$B$25="USD",1/INDEX(Settings!$B$29:$B$40,MONTH(A1451)),INDEX(Settings!$B$29:$B$40,MONTH(A1451)))))</f>
        <v/>
      </c>
    </row>
    <row r="1452" customFormat="false" ht="15" hidden="false" customHeight="false" outlineLevel="0" collapsed="false">
      <c r="H1452" s="0" t="str">
        <f aca="false">IF(B1452="","",IF(COUNTIF(Campaigns!$A$7:$A$300,B1452)&gt;0,"✓","⚠ add to Campaigns tab"))</f>
        <v/>
      </c>
      <c r="I1452" s="84" t="str">
        <f aca="false">IF(C1452="","",C1452*IF(Settings!$B$25=Settings!$C$6,1,IF(Settings!$B$25="USD",1/INDEX(Settings!$B$29:$B$40,MONTH(A1452)),INDEX(Settings!$B$29:$B$40,MONTH(A1452)))))</f>
        <v/>
      </c>
    </row>
    <row r="1453" customFormat="false" ht="15" hidden="false" customHeight="false" outlineLevel="0" collapsed="false">
      <c r="H1453" s="0" t="str">
        <f aca="false">IF(B1453="","",IF(COUNTIF(Campaigns!$A$7:$A$300,B1453)&gt;0,"✓","⚠ add to Campaigns tab"))</f>
        <v/>
      </c>
      <c r="I1453" s="84" t="str">
        <f aca="false">IF(C1453="","",C1453*IF(Settings!$B$25=Settings!$C$6,1,IF(Settings!$B$25="USD",1/INDEX(Settings!$B$29:$B$40,MONTH(A1453)),INDEX(Settings!$B$29:$B$40,MONTH(A1453)))))</f>
        <v/>
      </c>
    </row>
    <row r="1454" customFormat="false" ht="15" hidden="false" customHeight="false" outlineLevel="0" collapsed="false">
      <c r="H1454" s="0" t="str">
        <f aca="false">IF(B1454="","",IF(COUNTIF(Campaigns!$A$7:$A$300,B1454)&gt;0,"✓","⚠ add to Campaigns tab"))</f>
        <v/>
      </c>
      <c r="I1454" s="84" t="str">
        <f aca="false">IF(C1454="","",C1454*IF(Settings!$B$25=Settings!$C$6,1,IF(Settings!$B$25="USD",1/INDEX(Settings!$B$29:$B$40,MONTH(A1454)),INDEX(Settings!$B$29:$B$40,MONTH(A1454)))))</f>
        <v/>
      </c>
    </row>
    <row r="1455" customFormat="false" ht="15" hidden="false" customHeight="false" outlineLevel="0" collapsed="false">
      <c r="H1455" s="0" t="str">
        <f aca="false">IF(B1455="","",IF(COUNTIF(Campaigns!$A$7:$A$300,B1455)&gt;0,"✓","⚠ add to Campaigns tab"))</f>
        <v/>
      </c>
      <c r="I1455" s="84" t="str">
        <f aca="false">IF(C1455="","",C1455*IF(Settings!$B$25=Settings!$C$6,1,IF(Settings!$B$25="USD",1/INDEX(Settings!$B$29:$B$40,MONTH(A1455)),INDEX(Settings!$B$29:$B$40,MONTH(A1455)))))</f>
        <v/>
      </c>
    </row>
    <row r="1456" customFormat="false" ht="15" hidden="false" customHeight="false" outlineLevel="0" collapsed="false">
      <c r="H1456" s="0" t="str">
        <f aca="false">IF(B1456="","",IF(COUNTIF(Campaigns!$A$7:$A$300,B1456)&gt;0,"✓","⚠ add to Campaigns tab"))</f>
        <v/>
      </c>
      <c r="I1456" s="84" t="str">
        <f aca="false">IF(C1456="","",C1456*IF(Settings!$B$25=Settings!$C$6,1,IF(Settings!$B$25="USD",1/INDEX(Settings!$B$29:$B$40,MONTH(A1456)),INDEX(Settings!$B$29:$B$40,MONTH(A1456)))))</f>
        <v/>
      </c>
    </row>
    <row r="1457" customFormat="false" ht="15" hidden="false" customHeight="false" outlineLevel="0" collapsed="false">
      <c r="H1457" s="0" t="str">
        <f aca="false">IF(B1457="","",IF(COUNTIF(Campaigns!$A$7:$A$300,B1457)&gt;0,"✓","⚠ add to Campaigns tab"))</f>
        <v/>
      </c>
      <c r="I1457" s="84" t="str">
        <f aca="false">IF(C1457="","",C1457*IF(Settings!$B$25=Settings!$C$6,1,IF(Settings!$B$25="USD",1/INDEX(Settings!$B$29:$B$40,MONTH(A1457)),INDEX(Settings!$B$29:$B$40,MONTH(A1457)))))</f>
        <v/>
      </c>
    </row>
    <row r="1458" customFormat="false" ht="15" hidden="false" customHeight="false" outlineLevel="0" collapsed="false">
      <c r="H1458" s="0" t="str">
        <f aca="false">IF(B1458="","",IF(COUNTIF(Campaigns!$A$7:$A$300,B1458)&gt;0,"✓","⚠ add to Campaigns tab"))</f>
        <v/>
      </c>
      <c r="I1458" s="84" t="str">
        <f aca="false">IF(C1458="","",C1458*IF(Settings!$B$25=Settings!$C$6,1,IF(Settings!$B$25="USD",1/INDEX(Settings!$B$29:$B$40,MONTH(A1458)),INDEX(Settings!$B$29:$B$40,MONTH(A1458)))))</f>
        <v/>
      </c>
    </row>
    <row r="1459" customFormat="false" ht="15" hidden="false" customHeight="false" outlineLevel="0" collapsed="false">
      <c r="H1459" s="0" t="str">
        <f aca="false">IF(B1459="","",IF(COUNTIF(Campaigns!$A$7:$A$300,B1459)&gt;0,"✓","⚠ add to Campaigns tab"))</f>
        <v/>
      </c>
      <c r="I1459" s="84" t="str">
        <f aca="false">IF(C1459="","",C1459*IF(Settings!$B$25=Settings!$C$6,1,IF(Settings!$B$25="USD",1/INDEX(Settings!$B$29:$B$40,MONTH(A1459)),INDEX(Settings!$B$29:$B$40,MONTH(A1459)))))</f>
        <v/>
      </c>
    </row>
    <row r="1460" customFormat="false" ht="15" hidden="false" customHeight="false" outlineLevel="0" collapsed="false">
      <c r="H1460" s="0" t="str">
        <f aca="false">IF(B1460="","",IF(COUNTIF(Campaigns!$A$7:$A$300,B1460)&gt;0,"✓","⚠ add to Campaigns tab"))</f>
        <v/>
      </c>
      <c r="I1460" s="84" t="str">
        <f aca="false">IF(C1460="","",C1460*IF(Settings!$B$25=Settings!$C$6,1,IF(Settings!$B$25="USD",1/INDEX(Settings!$B$29:$B$40,MONTH(A1460)),INDEX(Settings!$B$29:$B$40,MONTH(A1460)))))</f>
        <v/>
      </c>
    </row>
    <row r="1461" customFormat="false" ht="15" hidden="false" customHeight="false" outlineLevel="0" collapsed="false">
      <c r="H1461" s="0" t="str">
        <f aca="false">IF(B1461="","",IF(COUNTIF(Campaigns!$A$7:$A$300,B1461)&gt;0,"✓","⚠ add to Campaigns tab"))</f>
        <v/>
      </c>
      <c r="I1461" s="84" t="str">
        <f aca="false">IF(C1461="","",C1461*IF(Settings!$B$25=Settings!$C$6,1,IF(Settings!$B$25="USD",1/INDEX(Settings!$B$29:$B$40,MONTH(A1461)),INDEX(Settings!$B$29:$B$40,MONTH(A1461)))))</f>
        <v/>
      </c>
    </row>
    <row r="1462" customFormat="false" ht="15" hidden="false" customHeight="false" outlineLevel="0" collapsed="false">
      <c r="H1462" s="0" t="str">
        <f aca="false">IF(B1462="","",IF(COUNTIF(Campaigns!$A$7:$A$300,B1462)&gt;0,"✓","⚠ add to Campaigns tab"))</f>
        <v/>
      </c>
      <c r="I1462" s="84" t="str">
        <f aca="false">IF(C1462="","",C1462*IF(Settings!$B$25=Settings!$C$6,1,IF(Settings!$B$25="USD",1/INDEX(Settings!$B$29:$B$40,MONTH(A1462)),INDEX(Settings!$B$29:$B$40,MONTH(A1462)))))</f>
        <v/>
      </c>
    </row>
    <row r="1463" customFormat="false" ht="15" hidden="false" customHeight="false" outlineLevel="0" collapsed="false">
      <c r="H1463" s="0" t="str">
        <f aca="false">IF(B1463="","",IF(COUNTIF(Campaigns!$A$7:$A$300,B1463)&gt;0,"✓","⚠ add to Campaigns tab"))</f>
        <v/>
      </c>
      <c r="I1463" s="84" t="str">
        <f aca="false">IF(C1463="","",C1463*IF(Settings!$B$25=Settings!$C$6,1,IF(Settings!$B$25="USD",1/INDEX(Settings!$B$29:$B$40,MONTH(A1463)),INDEX(Settings!$B$29:$B$40,MONTH(A1463)))))</f>
        <v/>
      </c>
    </row>
    <row r="1464" customFormat="false" ht="15" hidden="false" customHeight="false" outlineLevel="0" collapsed="false">
      <c r="H1464" s="0" t="str">
        <f aca="false">IF(B1464="","",IF(COUNTIF(Campaigns!$A$7:$A$300,B1464)&gt;0,"✓","⚠ add to Campaigns tab"))</f>
        <v/>
      </c>
      <c r="I1464" s="84" t="str">
        <f aca="false">IF(C1464="","",C1464*IF(Settings!$B$25=Settings!$C$6,1,IF(Settings!$B$25="USD",1/INDEX(Settings!$B$29:$B$40,MONTH(A1464)),INDEX(Settings!$B$29:$B$40,MONTH(A1464)))))</f>
        <v/>
      </c>
    </row>
    <row r="1465" customFormat="false" ht="15" hidden="false" customHeight="false" outlineLevel="0" collapsed="false">
      <c r="H1465" s="0" t="str">
        <f aca="false">IF(B1465="","",IF(COUNTIF(Campaigns!$A$7:$A$300,B1465)&gt;0,"✓","⚠ add to Campaigns tab"))</f>
        <v/>
      </c>
      <c r="I1465" s="84" t="str">
        <f aca="false">IF(C1465="","",C1465*IF(Settings!$B$25=Settings!$C$6,1,IF(Settings!$B$25="USD",1/INDEX(Settings!$B$29:$B$40,MONTH(A1465)),INDEX(Settings!$B$29:$B$40,MONTH(A1465)))))</f>
        <v/>
      </c>
    </row>
    <row r="1466" customFormat="false" ht="15" hidden="false" customHeight="false" outlineLevel="0" collapsed="false">
      <c r="H1466" s="0" t="str">
        <f aca="false">IF(B1466="","",IF(COUNTIF(Campaigns!$A$7:$A$300,B1466)&gt;0,"✓","⚠ add to Campaigns tab"))</f>
        <v/>
      </c>
      <c r="I1466" s="84" t="str">
        <f aca="false">IF(C1466="","",C1466*IF(Settings!$B$25=Settings!$C$6,1,IF(Settings!$B$25="USD",1/INDEX(Settings!$B$29:$B$40,MONTH(A1466)),INDEX(Settings!$B$29:$B$40,MONTH(A1466)))))</f>
        <v/>
      </c>
    </row>
    <row r="1467" customFormat="false" ht="15" hidden="false" customHeight="false" outlineLevel="0" collapsed="false">
      <c r="H1467" s="0" t="str">
        <f aca="false">IF(B1467="","",IF(COUNTIF(Campaigns!$A$7:$A$300,B1467)&gt;0,"✓","⚠ add to Campaigns tab"))</f>
        <v/>
      </c>
      <c r="I1467" s="84" t="str">
        <f aca="false">IF(C1467="","",C1467*IF(Settings!$B$25=Settings!$C$6,1,IF(Settings!$B$25="USD",1/INDEX(Settings!$B$29:$B$40,MONTH(A1467)),INDEX(Settings!$B$29:$B$40,MONTH(A1467)))))</f>
        <v/>
      </c>
    </row>
    <row r="1468" customFormat="false" ht="15" hidden="false" customHeight="false" outlineLevel="0" collapsed="false">
      <c r="H1468" s="0" t="str">
        <f aca="false">IF(B1468="","",IF(COUNTIF(Campaigns!$A$7:$A$300,B1468)&gt;0,"✓","⚠ add to Campaigns tab"))</f>
        <v/>
      </c>
      <c r="I1468" s="84" t="str">
        <f aca="false">IF(C1468="","",C1468*IF(Settings!$B$25=Settings!$C$6,1,IF(Settings!$B$25="USD",1/INDEX(Settings!$B$29:$B$40,MONTH(A1468)),INDEX(Settings!$B$29:$B$40,MONTH(A1468)))))</f>
        <v/>
      </c>
    </row>
    <row r="1469" customFormat="false" ht="15" hidden="false" customHeight="false" outlineLevel="0" collapsed="false">
      <c r="H1469" s="0" t="str">
        <f aca="false">IF(B1469="","",IF(COUNTIF(Campaigns!$A$7:$A$300,B1469)&gt;0,"✓","⚠ add to Campaigns tab"))</f>
        <v/>
      </c>
      <c r="I1469" s="84" t="str">
        <f aca="false">IF(C1469="","",C1469*IF(Settings!$B$25=Settings!$C$6,1,IF(Settings!$B$25="USD",1/INDEX(Settings!$B$29:$B$40,MONTH(A1469)),INDEX(Settings!$B$29:$B$40,MONTH(A1469)))))</f>
        <v/>
      </c>
    </row>
    <row r="1470" customFormat="false" ht="15" hidden="false" customHeight="false" outlineLevel="0" collapsed="false">
      <c r="H1470" s="0" t="str">
        <f aca="false">IF(B1470="","",IF(COUNTIF(Campaigns!$A$7:$A$300,B1470)&gt;0,"✓","⚠ add to Campaigns tab"))</f>
        <v/>
      </c>
      <c r="I1470" s="84" t="str">
        <f aca="false">IF(C1470="","",C1470*IF(Settings!$B$25=Settings!$C$6,1,IF(Settings!$B$25="USD",1/INDEX(Settings!$B$29:$B$40,MONTH(A1470)),INDEX(Settings!$B$29:$B$40,MONTH(A1470)))))</f>
        <v/>
      </c>
    </row>
    <row r="1471" customFormat="false" ht="15" hidden="false" customHeight="false" outlineLevel="0" collapsed="false">
      <c r="H1471" s="0" t="str">
        <f aca="false">IF(B1471="","",IF(COUNTIF(Campaigns!$A$7:$A$300,B1471)&gt;0,"✓","⚠ add to Campaigns tab"))</f>
        <v/>
      </c>
      <c r="I1471" s="84" t="str">
        <f aca="false">IF(C1471="","",C1471*IF(Settings!$B$25=Settings!$C$6,1,IF(Settings!$B$25="USD",1/INDEX(Settings!$B$29:$B$40,MONTH(A1471)),INDEX(Settings!$B$29:$B$40,MONTH(A1471)))))</f>
        <v/>
      </c>
    </row>
    <row r="1472" customFormat="false" ht="15" hidden="false" customHeight="false" outlineLevel="0" collapsed="false">
      <c r="H1472" s="0" t="str">
        <f aca="false">IF(B1472="","",IF(COUNTIF(Campaigns!$A$7:$A$300,B1472)&gt;0,"✓","⚠ add to Campaigns tab"))</f>
        <v/>
      </c>
      <c r="I1472" s="84" t="str">
        <f aca="false">IF(C1472="","",C1472*IF(Settings!$B$25=Settings!$C$6,1,IF(Settings!$B$25="USD",1/INDEX(Settings!$B$29:$B$40,MONTH(A1472)),INDEX(Settings!$B$29:$B$40,MONTH(A1472)))))</f>
        <v/>
      </c>
    </row>
    <row r="1473" customFormat="false" ht="15" hidden="false" customHeight="false" outlineLevel="0" collapsed="false">
      <c r="H1473" s="0" t="str">
        <f aca="false">IF(B1473="","",IF(COUNTIF(Campaigns!$A$7:$A$300,B1473)&gt;0,"✓","⚠ add to Campaigns tab"))</f>
        <v/>
      </c>
      <c r="I1473" s="84" t="str">
        <f aca="false">IF(C1473="","",C1473*IF(Settings!$B$25=Settings!$C$6,1,IF(Settings!$B$25="USD",1/INDEX(Settings!$B$29:$B$40,MONTH(A1473)),INDEX(Settings!$B$29:$B$40,MONTH(A1473)))))</f>
        <v/>
      </c>
    </row>
    <row r="1474" customFormat="false" ht="15" hidden="false" customHeight="false" outlineLevel="0" collapsed="false">
      <c r="H1474" s="0" t="str">
        <f aca="false">IF(B1474="","",IF(COUNTIF(Campaigns!$A$7:$A$300,B1474)&gt;0,"✓","⚠ add to Campaigns tab"))</f>
        <v/>
      </c>
      <c r="I1474" s="84" t="str">
        <f aca="false">IF(C1474="","",C1474*IF(Settings!$B$25=Settings!$C$6,1,IF(Settings!$B$25="USD",1/INDEX(Settings!$B$29:$B$40,MONTH(A1474)),INDEX(Settings!$B$29:$B$40,MONTH(A1474)))))</f>
        <v/>
      </c>
    </row>
    <row r="1475" customFormat="false" ht="15" hidden="false" customHeight="false" outlineLevel="0" collapsed="false">
      <c r="H1475" s="0" t="str">
        <f aca="false">IF(B1475="","",IF(COUNTIF(Campaigns!$A$7:$A$300,B1475)&gt;0,"✓","⚠ add to Campaigns tab"))</f>
        <v/>
      </c>
      <c r="I1475" s="84" t="str">
        <f aca="false">IF(C1475="","",C1475*IF(Settings!$B$25=Settings!$C$6,1,IF(Settings!$B$25="USD",1/INDEX(Settings!$B$29:$B$40,MONTH(A1475)),INDEX(Settings!$B$29:$B$40,MONTH(A1475)))))</f>
        <v/>
      </c>
    </row>
    <row r="1476" customFormat="false" ht="15" hidden="false" customHeight="false" outlineLevel="0" collapsed="false">
      <c r="H1476" s="0" t="str">
        <f aca="false">IF(B1476="","",IF(COUNTIF(Campaigns!$A$7:$A$300,B1476)&gt;0,"✓","⚠ add to Campaigns tab"))</f>
        <v/>
      </c>
      <c r="I1476" s="84" t="str">
        <f aca="false">IF(C1476="","",C1476*IF(Settings!$B$25=Settings!$C$6,1,IF(Settings!$B$25="USD",1/INDEX(Settings!$B$29:$B$40,MONTH(A1476)),INDEX(Settings!$B$29:$B$40,MONTH(A1476)))))</f>
        <v/>
      </c>
    </row>
    <row r="1477" customFormat="false" ht="15" hidden="false" customHeight="false" outlineLevel="0" collapsed="false">
      <c r="H1477" s="0" t="str">
        <f aca="false">IF(B1477="","",IF(COUNTIF(Campaigns!$A$7:$A$300,B1477)&gt;0,"✓","⚠ add to Campaigns tab"))</f>
        <v/>
      </c>
      <c r="I1477" s="84" t="str">
        <f aca="false">IF(C1477="","",C1477*IF(Settings!$B$25=Settings!$C$6,1,IF(Settings!$B$25="USD",1/INDEX(Settings!$B$29:$B$40,MONTH(A1477)),INDEX(Settings!$B$29:$B$40,MONTH(A1477)))))</f>
        <v/>
      </c>
    </row>
    <row r="1478" customFormat="false" ht="15" hidden="false" customHeight="false" outlineLevel="0" collapsed="false">
      <c r="H1478" s="0" t="str">
        <f aca="false">IF(B1478="","",IF(COUNTIF(Campaigns!$A$7:$A$300,B1478)&gt;0,"✓","⚠ add to Campaigns tab"))</f>
        <v/>
      </c>
      <c r="I1478" s="84" t="str">
        <f aca="false">IF(C1478="","",C1478*IF(Settings!$B$25=Settings!$C$6,1,IF(Settings!$B$25="USD",1/INDEX(Settings!$B$29:$B$40,MONTH(A1478)),INDEX(Settings!$B$29:$B$40,MONTH(A1478)))))</f>
        <v/>
      </c>
    </row>
    <row r="1479" customFormat="false" ht="15" hidden="false" customHeight="false" outlineLevel="0" collapsed="false">
      <c r="H1479" s="0" t="str">
        <f aca="false">IF(B1479="","",IF(COUNTIF(Campaigns!$A$7:$A$300,B1479)&gt;0,"✓","⚠ add to Campaigns tab"))</f>
        <v/>
      </c>
      <c r="I1479" s="84" t="str">
        <f aca="false">IF(C1479="","",C1479*IF(Settings!$B$25=Settings!$C$6,1,IF(Settings!$B$25="USD",1/INDEX(Settings!$B$29:$B$40,MONTH(A1479)),INDEX(Settings!$B$29:$B$40,MONTH(A1479)))))</f>
        <v/>
      </c>
    </row>
    <row r="1480" customFormat="false" ht="15" hidden="false" customHeight="false" outlineLevel="0" collapsed="false">
      <c r="H1480" s="0" t="str">
        <f aca="false">IF(B1480="","",IF(COUNTIF(Campaigns!$A$7:$A$300,B1480)&gt;0,"✓","⚠ add to Campaigns tab"))</f>
        <v/>
      </c>
      <c r="I1480" s="84" t="str">
        <f aca="false">IF(C1480="","",C1480*IF(Settings!$B$25=Settings!$C$6,1,IF(Settings!$B$25="USD",1/INDEX(Settings!$B$29:$B$40,MONTH(A1480)),INDEX(Settings!$B$29:$B$40,MONTH(A1480)))))</f>
        <v/>
      </c>
    </row>
    <row r="1481" customFormat="false" ht="15" hidden="false" customHeight="false" outlineLevel="0" collapsed="false">
      <c r="H1481" s="0" t="str">
        <f aca="false">IF(B1481="","",IF(COUNTIF(Campaigns!$A$7:$A$300,B1481)&gt;0,"✓","⚠ add to Campaigns tab"))</f>
        <v/>
      </c>
      <c r="I1481" s="84" t="str">
        <f aca="false">IF(C1481="","",C1481*IF(Settings!$B$25=Settings!$C$6,1,IF(Settings!$B$25="USD",1/INDEX(Settings!$B$29:$B$40,MONTH(A1481)),INDEX(Settings!$B$29:$B$40,MONTH(A1481)))))</f>
        <v/>
      </c>
    </row>
    <row r="1482" customFormat="false" ht="15" hidden="false" customHeight="false" outlineLevel="0" collapsed="false">
      <c r="H1482" s="0" t="str">
        <f aca="false">IF(B1482="","",IF(COUNTIF(Campaigns!$A$7:$A$300,B1482)&gt;0,"✓","⚠ add to Campaigns tab"))</f>
        <v/>
      </c>
      <c r="I1482" s="84" t="str">
        <f aca="false">IF(C1482="","",C1482*IF(Settings!$B$25=Settings!$C$6,1,IF(Settings!$B$25="USD",1/INDEX(Settings!$B$29:$B$40,MONTH(A1482)),INDEX(Settings!$B$29:$B$40,MONTH(A1482)))))</f>
        <v/>
      </c>
    </row>
    <row r="1483" customFormat="false" ht="15" hidden="false" customHeight="false" outlineLevel="0" collapsed="false">
      <c r="H1483" s="0" t="str">
        <f aca="false">IF(B1483="","",IF(COUNTIF(Campaigns!$A$7:$A$300,B1483)&gt;0,"✓","⚠ add to Campaigns tab"))</f>
        <v/>
      </c>
      <c r="I1483" s="84" t="str">
        <f aca="false">IF(C1483="","",C1483*IF(Settings!$B$25=Settings!$C$6,1,IF(Settings!$B$25="USD",1/INDEX(Settings!$B$29:$B$40,MONTH(A1483)),INDEX(Settings!$B$29:$B$40,MONTH(A1483)))))</f>
        <v/>
      </c>
    </row>
    <row r="1484" customFormat="false" ht="15" hidden="false" customHeight="false" outlineLevel="0" collapsed="false">
      <c r="H1484" s="0" t="str">
        <f aca="false">IF(B1484="","",IF(COUNTIF(Campaigns!$A$7:$A$300,B1484)&gt;0,"✓","⚠ add to Campaigns tab"))</f>
        <v/>
      </c>
      <c r="I1484" s="84" t="str">
        <f aca="false">IF(C1484="","",C1484*IF(Settings!$B$25=Settings!$C$6,1,IF(Settings!$B$25="USD",1/INDEX(Settings!$B$29:$B$40,MONTH(A1484)),INDEX(Settings!$B$29:$B$40,MONTH(A1484)))))</f>
        <v/>
      </c>
    </row>
    <row r="1485" customFormat="false" ht="15" hidden="false" customHeight="false" outlineLevel="0" collapsed="false">
      <c r="H1485" s="0" t="str">
        <f aca="false">IF(B1485="","",IF(COUNTIF(Campaigns!$A$7:$A$300,B1485)&gt;0,"✓","⚠ add to Campaigns tab"))</f>
        <v/>
      </c>
      <c r="I1485" s="84" t="str">
        <f aca="false">IF(C1485="","",C1485*IF(Settings!$B$25=Settings!$C$6,1,IF(Settings!$B$25="USD",1/INDEX(Settings!$B$29:$B$40,MONTH(A1485)),INDEX(Settings!$B$29:$B$40,MONTH(A1485)))))</f>
        <v/>
      </c>
    </row>
    <row r="1486" customFormat="false" ht="15" hidden="false" customHeight="false" outlineLevel="0" collapsed="false">
      <c r="H1486" s="0" t="str">
        <f aca="false">IF(B1486="","",IF(COUNTIF(Campaigns!$A$7:$A$300,B1486)&gt;0,"✓","⚠ add to Campaigns tab"))</f>
        <v/>
      </c>
      <c r="I1486" s="84" t="str">
        <f aca="false">IF(C1486="","",C1486*IF(Settings!$B$25=Settings!$C$6,1,IF(Settings!$B$25="USD",1/INDEX(Settings!$B$29:$B$40,MONTH(A1486)),INDEX(Settings!$B$29:$B$40,MONTH(A1486)))))</f>
        <v/>
      </c>
    </row>
    <row r="1487" customFormat="false" ht="15" hidden="false" customHeight="false" outlineLevel="0" collapsed="false">
      <c r="H1487" s="0" t="str">
        <f aca="false">IF(B1487="","",IF(COUNTIF(Campaigns!$A$7:$A$300,B1487)&gt;0,"✓","⚠ add to Campaigns tab"))</f>
        <v/>
      </c>
      <c r="I1487" s="84" t="str">
        <f aca="false">IF(C1487="","",C1487*IF(Settings!$B$25=Settings!$C$6,1,IF(Settings!$B$25="USD",1/INDEX(Settings!$B$29:$B$40,MONTH(A1487)),INDEX(Settings!$B$29:$B$40,MONTH(A1487)))))</f>
        <v/>
      </c>
    </row>
    <row r="1488" customFormat="false" ht="15" hidden="false" customHeight="false" outlineLevel="0" collapsed="false">
      <c r="H1488" s="0" t="str">
        <f aca="false">IF(B1488="","",IF(COUNTIF(Campaigns!$A$7:$A$300,B1488)&gt;0,"✓","⚠ add to Campaigns tab"))</f>
        <v/>
      </c>
      <c r="I1488" s="84" t="str">
        <f aca="false">IF(C1488="","",C1488*IF(Settings!$B$25=Settings!$C$6,1,IF(Settings!$B$25="USD",1/INDEX(Settings!$B$29:$B$40,MONTH(A1488)),INDEX(Settings!$B$29:$B$40,MONTH(A1488)))))</f>
        <v/>
      </c>
    </row>
    <row r="1489" customFormat="false" ht="15" hidden="false" customHeight="false" outlineLevel="0" collapsed="false">
      <c r="H1489" s="0" t="str">
        <f aca="false">IF(B1489="","",IF(COUNTIF(Campaigns!$A$7:$A$300,B1489)&gt;0,"✓","⚠ add to Campaigns tab"))</f>
        <v/>
      </c>
      <c r="I1489" s="84" t="str">
        <f aca="false">IF(C1489="","",C1489*IF(Settings!$B$25=Settings!$C$6,1,IF(Settings!$B$25="USD",1/INDEX(Settings!$B$29:$B$40,MONTH(A1489)),INDEX(Settings!$B$29:$B$40,MONTH(A1489)))))</f>
        <v/>
      </c>
    </row>
    <row r="1490" customFormat="false" ht="15" hidden="false" customHeight="false" outlineLevel="0" collapsed="false">
      <c r="H1490" s="0" t="str">
        <f aca="false">IF(B1490="","",IF(COUNTIF(Campaigns!$A$7:$A$300,B1490)&gt;0,"✓","⚠ add to Campaigns tab"))</f>
        <v/>
      </c>
      <c r="I1490" s="84" t="str">
        <f aca="false">IF(C1490="","",C1490*IF(Settings!$B$25=Settings!$C$6,1,IF(Settings!$B$25="USD",1/INDEX(Settings!$B$29:$B$40,MONTH(A1490)),INDEX(Settings!$B$29:$B$40,MONTH(A1490)))))</f>
        <v/>
      </c>
    </row>
    <row r="1491" customFormat="false" ht="15" hidden="false" customHeight="false" outlineLevel="0" collapsed="false">
      <c r="H1491" s="0" t="str">
        <f aca="false">IF(B1491="","",IF(COUNTIF(Campaigns!$A$7:$A$300,B1491)&gt;0,"✓","⚠ add to Campaigns tab"))</f>
        <v/>
      </c>
      <c r="I1491" s="84" t="str">
        <f aca="false">IF(C1491="","",C1491*IF(Settings!$B$25=Settings!$C$6,1,IF(Settings!$B$25="USD",1/INDEX(Settings!$B$29:$B$40,MONTH(A1491)),INDEX(Settings!$B$29:$B$40,MONTH(A1491)))))</f>
        <v/>
      </c>
    </row>
    <row r="1492" customFormat="false" ht="15" hidden="false" customHeight="false" outlineLevel="0" collapsed="false">
      <c r="H1492" s="0" t="str">
        <f aca="false">IF(B1492="","",IF(COUNTIF(Campaigns!$A$7:$A$300,B1492)&gt;0,"✓","⚠ add to Campaigns tab"))</f>
        <v/>
      </c>
      <c r="I1492" s="84" t="str">
        <f aca="false">IF(C1492="","",C1492*IF(Settings!$B$25=Settings!$C$6,1,IF(Settings!$B$25="USD",1/INDEX(Settings!$B$29:$B$40,MONTH(A1492)),INDEX(Settings!$B$29:$B$40,MONTH(A1492)))))</f>
        <v/>
      </c>
    </row>
    <row r="1493" customFormat="false" ht="15" hidden="false" customHeight="false" outlineLevel="0" collapsed="false">
      <c r="H1493" s="0" t="str">
        <f aca="false">IF(B1493="","",IF(COUNTIF(Campaigns!$A$7:$A$300,B1493)&gt;0,"✓","⚠ add to Campaigns tab"))</f>
        <v/>
      </c>
      <c r="I1493" s="84" t="str">
        <f aca="false">IF(C1493="","",C1493*IF(Settings!$B$25=Settings!$C$6,1,IF(Settings!$B$25="USD",1/INDEX(Settings!$B$29:$B$40,MONTH(A1493)),INDEX(Settings!$B$29:$B$40,MONTH(A1493)))))</f>
        <v/>
      </c>
    </row>
    <row r="1494" customFormat="false" ht="15" hidden="false" customHeight="false" outlineLevel="0" collapsed="false">
      <c r="H1494" s="0" t="str">
        <f aca="false">IF(B1494="","",IF(COUNTIF(Campaigns!$A$7:$A$300,B1494)&gt;0,"✓","⚠ add to Campaigns tab"))</f>
        <v/>
      </c>
      <c r="I1494" s="84" t="str">
        <f aca="false">IF(C1494="","",C1494*IF(Settings!$B$25=Settings!$C$6,1,IF(Settings!$B$25="USD",1/INDEX(Settings!$B$29:$B$40,MONTH(A1494)),INDEX(Settings!$B$29:$B$40,MONTH(A1494)))))</f>
        <v/>
      </c>
    </row>
    <row r="1495" customFormat="false" ht="15" hidden="false" customHeight="false" outlineLevel="0" collapsed="false">
      <c r="H1495" s="0" t="str">
        <f aca="false">IF(B1495="","",IF(COUNTIF(Campaigns!$A$7:$A$300,B1495)&gt;0,"✓","⚠ add to Campaigns tab"))</f>
        <v/>
      </c>
      <c r="I1495" s="84" t="str">
        <f aca="false">IF(C1495="","",C1495*IF(Settings!$B$25=Settings!$C$6,1,IF(Settings!$B$25="USD",1/INDEX(Settings!$B$29:$B$40,MONTH(A1495)),INDEX(Settings!$B$29:$B$40,MONTH(A1495)))))</f>
        <v/>
      </c>
    </row>
    <row r="1496" customFormat="false" ht="15" hidden="false" customHeight="false" outlineLevel="0" collapsed="false">
      <c r="H1496" s="0" t="str">
        <f aca="false">IF(B1496="","",IF(COUNTIF(Campaigns!$A$7:$A$300,B1496)&gt;0,"✓","⚠ add to Campaigns tab"))</f>
        <v/>
      </c>
      <c r="I1496" s="84" t="str">
        <f aca="false">IF(C1496="","",C1496*IF(Settings!$B$25=Settings!$C$6,1,IF(Settings!$B$25="USD",1/INDEX(Settings!$B$29:$B$40,MONTH(A1496)),INDEX(Settings!$B$29:$B$40,MONTH(A1496)))))</f>
        <v/>
      </c>
    </row>
    <row r="1497" customFormat="false" ht="15" hidden="false" customHeight="false" outlineLevel="0" collapsed="false">
      <c r="H1497" s="0" t="str">
        <f aca="false">IF(B1497="","",IF(COUNTIF(Campaigns!$A$7:$A$300,B1497)&gt;0,"✓","⚠ add to Campaigns tab"))</f>
        <v/>
      </c>
      <c r="I1497" s="84" t="str">
        <f aca="false">IF(C1497="","",C1497*IF(Settings!$B$25=Settings!$C$6,1,IF(Settings!$B$25="USD",1/INDEX(Settings!$B$29:$B$40,MONTH(A1497)),INDEX(Settings!$B$29:$B$40,MONTH(A1497)))))</f>
        <v/>
      </c>
    </row>
    <row r="1498" customFormat="false" ht="15" hidden="false" customHeight="false" outlineLevel="0" collapsed="false">
      <c r="H1498" s="0" t="str">
        <f aca="false">IF(B1498="","",IF(COUNTIF(Campaigns!$A$7:$A$300,B1498)&gt;0,"✓","⚠ add to Campaigns tab"))</f>
        <v/>
      </c>
      <c r="I1498" s="84" t="str">
        <f aca="false">IF(C1498="","",C1498*IF(Settings!$B$25=Settings!$C$6,1,IF(Settings!$B$25="USD",1/INDEX(Settings!$B$29:$B$40,MONTH(A1498)),INDEX(Settings!$B$29:$B$40,MONTH(A1498)))))</f>
        <v/>
      </c>
    </row>
    <row r="1499" customFormat="false" ht="15" hidden="false" customHeight="false" outlineLevel="0" collapsed="false">
      <c r="H1499" s="0" t="str">
        <f aca="false">IF(B1499="","",IF(COUNTIF(Campaigns!$A$7:$A$300,B1499)&gt;0,"✓","⚠ add to Campaigns tab"))</f>
        <v/>
      </c>
      <c r="I1499" s="84" t="str">
        <f aca="false">IF(C1499="","",C1499*IF(Settings!$B$25=Settings!$C$6,1,IF(Settings!$B$25="USD",1/INDEX(Settings!$B$29:$B$40,MONTH(A1499)),INDEX(Settings!$B$29:$B$40,MONTH(A1499)))))</f>
        <v/>
      </c>
    </row>
    <row r="1500" customFormat="false" ht="15" hidden="false" customHeight="false" outlineLevel="0" collapsed="false">
      <c r="H1500" s="0" t="str">
        <f aca="false">IF(B1500="","",IF(COUNTIF(Campaigns!$A$7:$A$300,B1500)&gt;0,"✓","⚠ add to Campaigns tab"))</f>
        <v/>
      </c>
      <c r="I1500" s="84" t="str">
        <f aca="false">IF(C1500="","",C1500*IF(Settings!$B$25=Settings!$C$6,1,IF(Settings!$B$25="USD",1/INDEX(Settings!$B$29:$B$40,MONTH(A1500)),INDEX(Settings!$B$29:$B$40,MONTH(A1500)))))</f>
        <v/>
      </c>
    </row>
    <row r="1501" customFormat="false" ht="15" hidden="false" customHeight="false" outlineLevel="0" collapsed="false">
      <c r="H1501" s="0" t="str">
        <f aca="false">IF(B1501="","",IF(COUNTIF(Campaigns!$A$7:$A$300,B1501)&gt;0,"✓","⚠ add to Campaigns tab"))</f>
        <v/>
      </c>
      <c r="I1501" s="84" t="str">
        <f aca="false">IF(C1501="","",C1501*IF(Settings!$B$25=Settings!$C$6,1,IF(Settings!$B$25="USD",1/INDEX(Settings!$B$29:$B$40,MONTH(A1501)),INDEX(Settings!$B$29:$B$40,MONTH(A1501)))))</f>
        <v/>
      </c>
    </row>
    <row r="1502" customFormat="false" ht="15" hidden="false" customHeight="false" outlineLevel="0" collapsed="false">
      <c r="H1502" s="0" t="str">
        <f aca="false">IF(B1502="","",IF(COUNTIF(Campaigns!$A$7:$A$300,B1502)&gt;0,"✓","⚠ add to Campaigns tab"))</f>
        <v/>
      </c>
      <c r="I1502" s="84" t="str">
        <f aca="false">IF(C1502="","",C1502*IF(Settings!$B$25=Settings!$C$6,1,IF(Settings!$B$25="USD",1/INDEX(Settings!$B$29:$B$40,MONTH(A1502)),INDEX(Settings!$B$29:$B$40,MONTH(A1502)))))</f>
        <v/>
      </c>
    </row>
    <row r="1503" customFormat="false" ht="15" hidden="false" customHeight="false" outlineLevel="0" collapsed="false">
      <c r="H1503" s="0" t="str">
        <f aca="false">IF(B1503="","",IF(COUNTIF(Campaigns!$A$7:$A$300,B1503)&gt;0,"✓","⚠ add to Campaigns tab"))</f>
        <v/>
      </c>
      <c r="I1503" s="84" t="str">
        <f aca="false">IF(C1503="","",C1503*IF(Settings!$B$25=Settings!$C$6,1,IF(Settings!$B$25="USD",1/INDEX(Settings!$B$29:$B$40,MONTH(A1503)),INDEX(Settings!$B$29:$B$40,MONTH(A1503)))))</f>
        <v/>
      </c>
    </row>
    <row r="1504" customFormat="false" ht="15" hidden="false" customHeight="false" outlineLevel="0" collapsed="false">
      <c r="H1504" s="0" t="str">
        <f aca="false">IF(B1504="","",IF(COUNTIF(Campaigns!$A$7:$A$300,B1504)&gt;0,"✓","⚠ add to Campaigns tab"))</f>
        <v/>
      </c>
      <c r="I1504" s="84" t="str">
        <f aca="false">IF(C1504="","",C1504*IF(Settings!$B$25=Settings!$C$6,1,IF(Settings!$B$25="USD",1/INDEX(Settings!$B$29:$B$40,MONTH(A1504)),INDEX(Settings!$B$29:$B$40,MONTH(A1504)))))</f>
        <v/>
      </c>
    </row>
    <row r="1505" customFormat="false" ht="15" hidden="false" customHeight="false" outlineLevel="0" collapsed="false">
      <c r="H1505" s="0" t="str">
        <f aca="false">IF(B1505="","",IF(COUNTIF(Campaigns!$A$7:$A$300,B1505)&gt;0,"✓","⚠ add to Campaigns tab"))</f>
        <v/>
      </c>
      <c r="I1505" s="84" t="str">
        <f aca="false">IF(C1505="","",C1505*IF(Settings!$B$25=Settings!$C$6,1,IF(Settings!$B$25="USD",1/INDEX(Settings!$B$29:$B$40,MONTH(A1505)),INDEX(Settings!$B$29:$B$40,MONTH(A1505)))))</f>
        <v/>
      </c>
    </row>
    <row r="1506" customFormat="false" ht="15" hidden="false" customHeight="false" outlineLevel="0" collapsed="false">
      <c r="H1506" s="0" t="str">
        <f aca="false">IF(B1506="","",IF(COUNTIF(Campaigns!$A$7:$A$300,B1506)&gt;0,"✓","⚠ add to Campaigns tab"))</f>
        <v/>
      </c>
      <c r="I1506" s="84" t="str">
        <f aca="false">IF(C1506="","",C1506*IF(Settings!$B$25=Settings!$C$6,1,IF(Settings!$B$25="USD",1/INDEX(Settings!$B$29:$B$40,MONTH(A1506)),INDEX(Settings!$B$29:$B$40,MONTH(A1506)))))</f>
        <v/>
      </c>
    </row>
    <row r="1507" customFormat="false" ht="15" hidden="false" customHeight="false" outlineLevel="0" collapsed="false">
      <c r="H1507" s="0" t="str">
        <f aca="false">IF(B1507="","",IF(COUNTIF(Campaigns!$A$7:$A$300,B1507)&gt;0,"✓","⚠ add to Campaigns tab"))</f>
        <v/>
      </c>
      <c r="I1507" s="84" t="str">
        <f aca="false">IF(C1507="","",C1507*IF(Settings!$B$25=Settings!$C$6,1,IF(Settings!$B$25="USD",1/INDEX(Settings!$B$29:$B$40,MONTH(A1507)),INDEX(Settings!$B$29:$B$40,MONTH(A1507)))))</f>
        <v/>
      </c>
    </row>
    <row r="1508" customFormat="false" ht="15" hidden="false" customHeight="false" outlineLevel="0" collapsed="false">
      <c r="H1508" s="0" t="str">
        <f aca="false">IF(B1508="","",IF(COUNTIF(Campaigns!$A$7:$A$300,B1508)&gt;0,"✓","⚠ add to Campaigns tab"))</f>
        <v/>
      </c>
      <c r="I1508" s="84" t="str">
        <f aca="false">IF(C1508="","",C1508*IF(Settings!$B$25=Settings!$C$6,1,IF(Settings!$B$25="USD",1/INDEX(Settings!$B$29:$B$40,MONTH(A1508)),INDEX(Settings!$B$29:$B$40,MONTH(A1508)))))</f>
        <v/>
      </c>
    </row>
    <row r="1509" customFormat="false" ht="15" hidden="false" customHeight="false" outlineLevel="0" collapsed="false">
      <c r="H1509" s="0" t="str">
        <f aca="false">IF(B1509="","",IF(COUNTIF(Campaigns!$A$7:$A$300,B1509)&gt;0,"✓","⚠ add to Campaigns tab"))</f>
        <v/>
      </c>
      <c r="I1509" s="84" t="str">
        <f aca="false">IF(C1509="","",C1509*IF(Settings!$B$25=Settings!$C$6,1,IF(Settings!$B$25="USD",1/INDEX(Settings!$B$29:$B$40,MONTH(A1509)),INDEX(Settings!$B$29:$B$40,MONTH(A1509)))))</f>
        <v/>
      </c>
    </row>
    <row r="1510" customFormat="false" ht="15" hidden="false" customHeight="false" outlineLevel="0" collapsed="false">
      <c r="H1510" s="0" t="str">
        <f aca="false">IF(B1510="","",IF(COUNTIF(Campaigns!$A$7:$A$300,B1510)&gt;0,"✓","⚠ add to Campaigns tab"))</f>
        <v/>
      </c>
      <c r="I1510" s="84" t="str">
        <f aca="false">IF(C1510="","",C1510*IF(Settings!$B$25=Settings!$C$6,1,IF(Settings!$B$25="USD",1/INDEX(Settings!$B$29:$B$40,MONTH(A1510)),INDEX(Settings!$B$29:$B$40,MONTH(A1510)))))</f>
        <v/>
      </c>
    </row>
    <row r="1511" customFormat="false" ht="15" hidden="false" customHeight="false" outlineLevel="0" collapsed="false">
      <c r="H1511" s="0" t="str">
        <f aca="false">IF(B1511="","",IF(COUNTIF(Campaigns!$A$7:$A$300,B1511)&gt;0,"✓","⚠ add to Campaigns tab"))</f>
        <v/>
      </c>
      <c r="I1511" s="84" t="str">
        <f aca="false">IF(C1511="","",C1511*IF(Settings!$B$25=Settings!$C$6,1,IF(Settings!$B$25="USD",1/INDEX(Settings!$B$29:$B$40,MONTH(A1511)),INDEX(Settings!$B$29:$B$40,MONTH(A1511)))))</f>
        <v/>
      </c>
    </row>
    <row r="1512" customFormat="false" ht="15" hidden="false" customHeight="false" outlineLevel="0" collapsed="false">
      <c r="H1512" s="0" t="str">
        <f aca="false">IF(B1512="","",IF(COUNTIF(Campaigns!$A$7:$A$300,B1512)&gt;0,"✓","⚠ add to Campaigns tab"))</f>
        <v/>
      </c>
      <c r="I1512" s="84" t="str">
        <f aca="false">IF(C1512="","",C1512*IF(Settings!$B$25=Settings!$C$6,1,IF(Settings!$B$25="USD",1/INDEX(Settings!$B$29:$B$40,MONTH(A1512)),INDEX(Settings!$B$29:$B$40,MONTH(A1512)))))</f>
        <v/>
      </c>
    </row>
    <row r="1513" customFormat="false" ht="15" hidden="false" customHeight="false" outlineLevel="0" collapsed="false">
      <c r="H1513" s="0" t="str">
        <f aca="false">IF(B1513="","",IF(COUNTIF(Campaigns!$A$7:$A$300,B1513)&gt;0,"✓","⚠ add to Campaigns tab"))</f>
        <v/>
      </c>
      <c r="I1513" s="84" t="str">
        <f aca="false">IF(C1513="","",C1513*IF(Settings!$B$25=Settings!$C$6,1,IF(Settings!$B$25="USD",1/INDEX(Settings!$B$29:$B$40,MONTH(A1513)),INDEX(Settings!$B$29:$B$40,MONTH(A1513)))))</f>
        <v/>
      </c>
    </row>
    <row r="1514" customFormat="false" ht="15" hidden="false" customHeight="false" outlineLevel="0" collapsed="false">
      <c r="H1514" s="0" t="str">
        <f aca="false">IF(B1514="","",IF(COUNTIF(Campaigns!$A$7:$A$300,B1514)&gt;0,"✓","⚠ add to Campaigns tab"))</f>
        <v/>
      </c>
      <c r="I1514" s="84" t="str">
        <f aca="false">IF(C1514="","",C1514*IF(Settings!$B$25=Settings!$C$6,1,IF(Settings!$B$25="USD",1/INDEX(Settings!$B$29:$B$40,MONTH(A1514)),INDEX(Settings!$B$29:$B$40,MONTH(A1514)))))</f>
        <v/>
      </c>
    </row>
    <row r="1515" customFormat="false" ht="15" hidden="false" customHeight="false" outlineLevel="0" collapsed="false">
      <c r="H1515" s="0" t="str">
        <f aca="false">IF(B1515="","",IF(COUNTIF(Campaigns!$A$7:$A$300,B1515)&gt;0,"✓","⚠ add to Campaigns tab"))</f>
        <v/>
      </c>
      <c r="I1515" s="84" t="str">
        <f aca="false">IF(C1515="","",C1515*IF(Settings!$B$25=Settings!$C$6,1,IF(Settings!$B$25="USD",1/INDEX(Settings!$B$29:$B$40,MONTH(A1515)),INDEX(Settings!$B$29:$B$40,MONTH(A1515)))))</f>
        <v/>
      </c>
    </row>
    <row r="1516" customFormat="false" ht="15" hidden="false" customHeight="false" outlineLevel="0" collapsed="false">
      <c r="H1516" s="0" t="str">
        <f aca="false">IF(B1516="","",IF(COUNTIF(Campaigns!$A$7:$A$300,B1516)&gt;0,"✓","⚠ add to Campaigns tab"))</f>
        <v/>
      </c>
      <c r="I1516" s="84" t="str">
        <f aca="false">IF(C1516="","",C1516*IF(Settings!$B$25=Settings!$C$6,1,IF(Settings!$B$25="USD",1/INDEX(Settings!$B$29:$B$40,MONTH(A1516)),INDEX(Settings!$B$29:$B$40,MONTH(A1516)))))</f>
        <v/>
      </c>
    </row>
    <row r="1517" customFormat="false" ht="15" hidden="false" customHeight="false" outlineLevel="0" collapsed="false">
      <c r="H1517" s="0" t="str">
        <f aca="false">IF(B1517="","",IF(COUNTIF(Campaigns!$A$7:$A$300,B1517)&gt;0,"✓","⚠ add to Campaigns tab"))</f>
        <v/>
      </c>
      <c r="I1517" s="84" t="str">
        <f aca="false">IF(C1517="","",C1517*IF(Settings!$B$25=Settings!$C$6,1,IF(Settings!$B$25="USD",1/INDEX(Settings!$B$29:$B$40,MONTH(A1517)),INDEX(Settings!$B$29:$B$40,MONTH(A1517)))))</f>
        <v/>
      </c>
    </row>
    <row r="1518" customFormat="false" ht="15" hidden="false" customHeight="false" outlineLevel="0" collapsed="false">
      <c r="H1518" s="0" t="str">
        <f aca="false">IF(B1518="","",IF(COUNTIF(Campaigns!$A$7:$A$300,B1518)&gt;0,"✓","⚠ add to Campaigns tab"))</f>
        <v/>
      </c>
      <c r="I1518" s="84" t="str">
        <f aca="false">IF(C1518="","",C1518*IF(Settings!$B$25=Settings!$C$6,1,IF(Settings!$B$25="USD",1/INDEX(Settings!$B$29:$B$40,MONTH(A1518)),INDEX(Settings!$B$29:$B$40,MONTH(A1518)))))</f>
        <v/>
      </c>
    </row>
    <row r="1519" customFormat="false" ht="15" hidden="false" customHeight="false" outlineLevel="0" collapsed="false">
      <c r="H1519" s="0" t="str">
        <f aca="false">IF(B1519="","",IF(COUNTIF(Campaigns!$A$7:$A$300,B1519)&gt;0,"✓","⚠ add to Campaigns tab"))</f>
        <v/>
      </c>
      <c r="I1519" s="84" t="str">
        <f aca="false">IF(C1519="","",C1519*IF(Settings!$B$25=Settings!$C$6,1,IF(Settings!$B$25="USD",1/INDEX(Settings!$B$29:$B$40,MONTH(A1519)),INDEX(Settings!$B$29:$B$40,MONTH(A1519)))))</f>
        <v/>
      </c>
    </row>
    <row r="1520" customFormat="false" ht="15" hidden="false" customHeight="false" outlineLevel="0" collapsed="false">
      <c r="H1520" s="0" t="str">
        <f aca="false">IF(B1520="","",IF(COUNTIF(Campaigns!$A$7:$A$300,B1520)&gt;0,"✓","⚠ add to Campaigns tab"))</f>
        <v/>
      </c>
      <c r="I1520" s="84" t="str">
        <f aca="false">IF(C1520="","",C1520*IF(Settings!$B$25=Settings!$C$6,1,IF(Settings!$B$25="USD",1/INDEX(Settings!$B$29:$B$40,MONTH(A1520)),INDEX(Settings!$B$29:$B$40,MONTH(A1520)))))</f>
        <v/>
      </c>
    </row>
    <row r="1521" customFormat="false" ht="15" hidden="false" customHeight="false" outlineLevel="0" collapsed="false">
      <c r="H1521" s="0" t="str">
        <f aca="false">IF(B1521="","",IF(COUNTIF(Campaigns!$A$7:$A$300,B1521)&gt;0,"✓","⚠ add to Campaigns tab"))</f>
        <v/>
      </c>
      <c r="I1521" s="84" t="str">
        <f aca="false">IF(C1521="","",C1521*IF(Settings!$B$25=Settings!$C$6,1,IF(Settings!$B$25="USD",1/INDEX(Settings!$B$29:$B$40,MONTH(A1521)),INDEX(Settings!$B$29:$B$40,MONTH(A1521)))))</f>
        <v/>
      </c>
    </row>
    <row r="1522" customFormat="false" ht="15" hidden="false" customHeight="false" outlineLevel="0" collapsed="false">
      <c r="H1522" s="0" t="str">
        <f aca="false">IF(B1522="","",IF(COUNTIF(Campaigns!$A$7:$A$300,B1522)&gt;0,"✓","⚠ add to Campaigns tab"))</f>
        <v/>
      </c>
      <c r="I1522" s="84" t="str">
        <f aca="false">IF(C1522="","",C1522*IF(Settings!$B$25=Settings!$C$6,1,IF(Settings!$B$25="USD",1/INDEX(Settings!$B$29:$B$40,MONTH(A1522)),INDEX(Settings!$B$29:$B$40,MONTH(A1522)))))</f>
        <v/>
      </c>
    </row>
    <row r="1523" customFormat="false" ht="15" hidden="false" customHeight="false" outlineLevel="0" collapsed="false">
      <c r="H1523" s="0" t="str">
        <f aca="false">IF(B1523="","",IF(COUNTIF(Campaigns!$A$7:$A$300,B1523)&gt;0,"✓","⚠ add to Campaigns tab"))</f>
        <v/>
      </c>
      <c r="I1523" s="84" t="str">
        <f aca="false">IF(C1523="","",C1523*IF(Settings!$B$25=Settings!$C$6,1,IF(Settings!$B$25="USD",1/INDEX(Settings!$B$29:$B$40,MONTH(A1523)),INDEX(Settings!$B$29:$B$40,MONTH(A1523)))))</f>
        <v/>
      </c>
    </row>
    <row r="1524" customFormat="false" ht="15" hidden="false" customHeight="false" outlineLevel="0" collapsed="false">
      <c r="H1524" s="0" t="str">
        <f aca="false">IF(B1524="","",IF(COUNTIF(Campaigns!$A$7:$A$300,B1524)&gt;0,"✓","⚠ add to Campaigns tab"))</f>
        <v/>
      </c>
      <c r="I1524" s="84" t="str">
        <f aca="false">IF(C1524="","",C1524*IF(Settings!$B$25=Settings!$C$6,1,IF(Settings!$B$25="USD",1/INDEX(Settings!$B$29:$B$40,MONTH(A1524)),INDEX(Settings!$B$29:$B$40,MONTH(A1524)))))</f>
        <v/>
      </c>
    </row>
    <row r="1525" customFormat="false" ht="15" hidden="false" customHeight="false" outlineLevel="0" collapsed="false">
      <c r="H1525" s="0" t="str">
        <f aca="false">IF(B1525="","",IF(COUNTIF(Campaigns!$A$7:$A$300,B1525)&gt;0,"✓","⚠ add to Campaigns tab"))</f>
        <v/>
      </c>
      <c r="I1525" s="84" t="str">
        <f aca="false">IF(C1525="","",C1525*IF(Settings!$B$25=Settings!$C$6,1,IF(Settings!$B$25="USD",1/INDEX(Settings!$B$29:$B$40,MONTH(A1525)),INDEX(Settings!$B$29:$B$40,MONTH(A1525)))))</f>
        <v/>
      </c>
    </row>
    <row r="1526" customFormat="false" ht="15" hidden="false" customHeight="false" outlineLevel="0" collapsed="false">
      <c r="H1526" s="0" t="str">
        <f aca="false">IF(B1526="","",IF(COUNTIF(Campaigns!$A$7:$A$300,B1526)&gt;0,"✓","⚠ add to Campaigns tab"))</f>
        <v/>
      </c>
      <c r="I1526" s="84" t="str">
        <f aca="false">IF(C1526="","",C1526*IF(Settings!$B$25=Settings!$C$6,1,IF(Settings!$B$25="USD",1/INDEX(Settings!$B$29:$B$40,MONTH(A1526)),INDEX(Settings!$B$29:$B$40,MONTH(A1526)))))</f>
        <v/>
      </c>
    </row>
    <row r="1527" customFormat="false" ht="15" hidden="false" customHeight="false" outlineLevel="0" collapsed="false">
      <c r="H1527" s="0" t="str">
        <f aca="false">IF(B1527="","",IF(COUNTIF(Campaigns!$A$7:$A$300,B1527)&gt;0,"✓","⚠ add to Campaigns tab"))</f>
        <v/>
      </c>
      <c r="I1527" s="84" t="str">
        <f aca="false">IF(C1527="","",C1527*IF(Settings!$B$25=Settings!$C$6,1,IF(Settings!$B$25="USD",1/INDEX(Settings!$B$29:$B$40,MONTH(A1527)),INDEX(Settings!$B$29:$B$40,MONTH(A1527)))))</f>
        <v/>
      </c>
    </row>
    <row r="1528" customFormat="false" ht="15" hidden="false" customHeight="false" outlineLevel="0" collapsed="false">
      <c r="H1528" s="0" t="str">
        <f aca="false">IF(B1528="","",IF(COUNTIF(Campaigns!$A$7:$A$300,B1528)&gt;0,"✓","⚠ add to Campaigns tab"))</f>
        <v/>
      </c>
      <c r="I1528" s="84" t="str">
        <f aca="false">IF(C1528="","",C1528*IF(Settings!$B$25=Settings!$C$6,1,IF(Settings!$B$25="USD",1/INDEX(Settings!$B$29:$B$40,MONTH(A1528)),INDEX(Settings!$B$29:$B$40,MONTH(A1528)))))</f>
        <v/>
      </c>
    </row>
    <row r="1529" customFormat="false" ht="15" hidden="false" customHeight="false" outlineLevel="0" collapsed="false">
      <c r="H1529" s="0" t="str">
        <f aca="false">IF(B1529="","",IF(COUNTIF(Campaigns!$A$7:$A$300,B1529)&gt;0,"✓","⚠ add to Campaigns tab"))</f>
        <v/>
      </c>
      <c r="I1529" s="84" t="str">
        <f aca="false">IF(C1529="","",C1529*IF(Settings!$B$25=Settings!$C$6,1,IF(Settings!$B$25="USD",1/INDEX(Settings!$B$29:$B$40,MONTH(A1529)),INDEX(Settings!$B$29:$B$40,MONTH(A1529)))))</f>
        <v/>
      </c>
    </row>
    <row r="1530" customFormat="false" ht="15" hidden="false" customHeight="false" outlineLevel="0" collapsed="false">
      <c r="H1530" s="0" t="str">
        <f aca="false">IF(B1530="","",IF(COUNTIF(Campaigns!$A$7:$A$300,B1530)&gt;0,"✓","⚠ add to Campaigns tab"))</f>
        <v/>
      </c>
      <c r="I1530" s="84" t="str">
        <f aca="false">IF(C1530="","",C1530*IF(Settings!$B$25=Settings!$C$6,1,IF(Settings!$B$25="USD",1/INDEX(Settings!$B$29:$B$40,MONTH(A1530)),INDEX(Settings!$B$29:$B$40,MONTH(A1530)))))</f>
        <v/>
      </c>
    </row>
    <row r="1531" customFormat="false" ht="15" hidden="false" customHeight="false" outlineLevel="0" collapsed="false">
      <c r="H1531" s="0" t="str">
        <f aca="false">IF(B1531="","",IF(COUNTIF(Campaigns!$A$7:$A$300,B1531)&gt;0,"✓","⚠ add to Campaigns tab"))</f>
        <v/>
      </c>
      <c r="I1531" s="84" t="str">
        <f aca="false">IF(C1531="","",C1531*IF(Settings!$B$25=Settings!$C$6,1,IF(Settings!$B$25="USD",1/INDEX(Settings!$B$29:$B$40,MONTH(A1531)),INDEX(Settings!$B$29:$B$40,MONTH(A1531)))))</f>
        <v/>
      </c>
    </row>
    <row r="1532" customFormat="false" ht="15" hidden="false" customHeight="false" outlineLevel="0" collapsed="false">
      <c r="H1532" s="0" t="str">
        <f aca="false">IF(B1532="","",IF(COUNTIF(Campaigns!$A$7:$A$300,B1532)&gt;0,"✓","⚠ add to Campaigns tab"))</f>
        <v/>
      </c>
      <c r="I1532" s="84" t="str">
        <f aca="false">IF(C1532="","",C1532*IF(Settings!$B$25=Settings!$C$6,1,IF(Settings!$B$25="USD",1/INDEX(Settings!$B$29:$B$40,MONTH(A1532)),INDEX(Settings!$B$29:$B$40,MONTH(A1532)))))</f>
        <v/>
      </c>
    </row>
    <row r="1533" customFormat="false" ht="15" hidden="false" customHeight="false" outlineLevel="0" collapsed="false">
      <c r="H1533" s="0" t="str">
        <f aca="false">IF(B1533="","",IF(COUNTIF(Campaigns!$A$7:$A$300,B1533)&gt;0,"✓","⚠ add to Campaigns tab"))</f>
        <v/>
      </c>
      <c r="I1533" s="84" t="str">
        <f aca="false">IF(C1533="","",C1533*IF(Settings!$B$25=Settings!$C$6,1,IF(Settings!$B$25="USD",1/INDEX(Settings!$B$29:$B$40,MONTH(A1533)),INDEX(Settings!$B$29:$B$40,MONTH(A1533)))))</f>
        <v/>
      </c>
    </row>
    <row r="1534" customFormat="false" ht="15" hidden="false" customHeight="false" outlineLevel="0" collapsed="false">
      <c r="H1534" s="0" t="str">
        <f aca="false">IF(B1534="","",IF(COUNTIF(Campaigns!$A$7:$A$300,B1534)&gt;0,"✓","⚠ add to Campaigns tab"))</f>
        <v/>
      </c>
      <c r="I1534" s="84" t="str">
        <f aca="false">IF(C1534="","",C1534*IF(Settings!$B$25=Settings!$C$6,1,IF(Settings!$B$25="USD",1/INDEX(Settings!$B$29:$B$40,MONTH(A1534)),INDEX(Settings!$B$29:$B$40,MONTH(A1534)))))</f>
        <v/>
      </c>
    </row>
    <row r="1535" customFormat="false" ht="15" hidden="false" customHeight="false" outlineLevel="0" collapsed="false">
      <c r="H1535" s="0" t="str">
        <f aca="false">IF(B1535="","",IF(COUNTIF(Campaigns!$A$7:$A$300,B1535)&gt;0,"✓","⚠ add to Campaigns tab"))</f>
        <v/>
      </c>
      <c r="I1535" s="84" t="str">
        <f aca="false">IF(C1535="","",C1535*IF(Settings!$B$25=Settings!$C$6,1,IF(Settings!$B$25="USD",1/INDEX(Settings!$B$29:$B$40,MONTH(A1535)),INDEX(Settings!$B$29:$B$40,MONTH(A1535)))))</f>
        <v/>
      </c>
    </row>
    <row r="1536" customFormat="false" ht="15" hidden="false" customHeight="false" outlineLevel="0" collapsed="false">
      <c r="H1536" s="0" t="str">
        <f aca="false">IF(B1536="","",IF(COUNTIF(Campaigns!$A$7:$A$300,B1536)&gt;0,"✓","⚠ add to Campaigns tab"))</f>
        <v/>
      </c>
      <c r="I1536" s="84" t="str">
        <f aca="false">IF(C1536="","",C1536*IF(Settings!$B$25=Settings!$C$6,1,IF(Settings!$B$25="USD",1/INDEX(Settings!$B$29:$B$40,MONTH(A1536)),INDEX(Settings!$B$29:$B$40,MONTH(A1536)))))</f>
        <v/>
      </c>
    </row>
    <row r="1537" customFormat="false" ht="15" hidden="false" customHeight="false" outlineLevel="0" collapsed="false">
      <c r="H1537" s="0" t="str">
        <f aca="false">IF(B1537="","",IF(COUNTIF(Campaigns!$A$7:$A$300,B1537)&gt;0,"✓","⚠ add to Campaigns tab"))</f>
        <v/>
      </c>
      <c r="I1537" s="84" t="str">
        <f aca="false">IF(C1537="","",C1537*IF(Settings!$B$25=Settings!$C$6,1,IF(Settings!$B$25="USD",1/INDEX(Settings!$B$29:$B$40,MONTH(A1537)),INDEX(Settings!$B$29:$B$40,MONTH(A1537)))))</f>
        <v/>
      </c>
    </row>
    <row r="1538" customFormat="false" ht="15" hidden="false" customHeight="false" outlineLevel="0" collapsed="false">
      <c r="H1538" s="0" t="str">
        <f aca="false">IF(B1538="","",IF(COUNTIF(Campaigns!$A$7:$A$300,B1538)&gt;0,"✓","⚠ add to Campaigns tab"))</f>
        <v/>
      </c>
      <c r="I1538" s="84" t="str">
        <f aca="false">IF(C1538="","",C1538*IF(Settings!$B$25=Settings!$C$6,1,IF(Settings!$B$25="USD",1/INDEX(Settings!$B$29:$B$40,MONTH(A1538)),INDEX(Settings!$B$29:$B$40,MONTH(A1538)))))</f>
        <v/>
      </c>
    </row>
    <row r="1539" customFormat="false" ht="15" hidden="false" customHeight="false" outlineLevel="0" collapsed="false">
      <c r="H1539" s="0" t="str">
        <f aca="false">IF(B1539="","",IF(COUNTIF(Campaigns!$A$7:$A$300,B1539)&gt;0,"✓","⚠ add to Campaigns tab"))</f>
        <v/>
      </c>
      <c r="I1539" s="84" t="str">
        <f aca="false">IF(C1539="","",C1539*IF(Settings!$B$25=Settings!$C$6,1,IF(Settings!$B$25="USD",1/INDEX(Settings!$B$29:$B$40,MONTH(A1539)),INDEX(Settings!$B$29:$B$40,MONTH(A1539)))))</f>
        <v/>
      </c>
    </row>
    <row r="1540" customFormat="false" ht="15" hidden="false" customHeight="false" outlineLevel="0" collapsed="false">
      <c r="H1540" s="0" t="str">
        <f aca="false">IF(B1540="","",IF(COUNTIF(Campaigns!$A$7:$A$300,B1540)&gt;0,"✓","⚠ add to Campaigns tab"))</f>
        <v/>
      </c>
      <c r="I1540" s="84" t="str">
        <f aca="false">IF(C1540="","",C1540*IF(Settings!$B$25=Settings!$C$6,1,IF(Settings!$B$25="USD",1/INDEX(Settings!$B$29:$B$40,MONTH(A1540)),INDEX(Settings!$B$29:$B$40,MONTH(A1540)))))</f>
        <v/>
      </c>
    </row>
    <row r="1541" customFormat="false" ht="15" hidden="false" customHeight="false" outlineLevel="0" collapsed="false">
      <c r="H1541" s="0" t="str">
        <f aca="false">IF(B1541="","",IF(COUNTIF(Campaigns!$A$7:$A$300,B1541)&gt;0,"✓","⚠ add to Campaigns tab"))</f>
        <v/>
      </c>
      <c r="I1541" s="84" t="str">
        <f aca="false">IF(C1541="","",C1541*IF(Settings!$B$25=Settings!$C$6,1,IF(Settings!$B$25="USD",1/INDEX(Settings!$B$29:$B$40,MONTH(A1541)),INDEX(Settings!$B$29:$B$40,MONTH(A1541)))))</f>
        <v/>
      </c>
    </row>
    <row r="1542" customFormat="false" ht="15" hidden="false" customHeight="false" outlineLevel="0" collapsed="false">
      <c r="H1542" s="0" t="str">
        <f aca="false">IF(B1542="","",IF(COUNTIF(Campaigns!$A$7:$A$300,B1542)&gt;0,"✓","⚠ add to Campaigns tab"))</f>
        <v/>
      </c>
      <c r="I1542" s="84" t="str">
        <f aca="false">IF(C1542="","",C1542*IF(Settings!$B$25=Settings!$C$6,1,IF(Settings!$B$25="USD",1/INDEX(Settings!$B$29:$B$40,MONTH(A1542)),INDEX(Settings!$B$29:$B$40,MONTH(A1542)))))</f>
        <v/>
      </c>
    </row>
    <row r="1543" customFormat="false" ht="15" hidden="false" customHeight="false" outlineLevel="0" collapsed="false">
      <c r="H1543" s="0" t="str">
        <f aca="false">IF(B1543="","",IF(COUNTIF(Campaigns!$A$7:$A$300,B1543)&gt;0,"✓","⚠ add to Campaigns tab"))</f>
        <v/>
      </c>
      <c r="I1543" s="84" t="str">
        <f aca="false">IF(C1543="","",C1543*IF(Settings!$B$25=Settings!$C$6,1,IF(Settings!$B$25="USD",1/INDEX(Settings!$B$29:$B$40,MONTH(A1543)),INDEX(Settings!$B$29:$B$40,MONTH(A1543)))))</f>
        <v/>
      </c>
    </row>
    <row r="1544" customFormat="false" ht="15" hidden="false" customHeight="false" outlineLevel="0" collapsed="false">
      <c r="H1544" s="0" t="str">
        <f aca="false">IF(B1544="","",IF(COUNTIF(Campaigns!$A$7:$A$300,B1544)&gt;0,"✓","⚠ add to Campaigns tab"))</f>
        <v/>
      </c>
      <c r="I1544" s="84" t="str">
        <f aca="false">IF(C1544="","",C1544*IF(Settings!$B$25=Settings!$C$6,1,IF(Settings!$B$25="USD",1/INDEX(Settings!$B$29:$B$40,MONTH(A1544)),INDEX(Settings!$B$29:$B$40,MONTH(A1544)))))</f>
        <v/>
      </c>
    </row>
    <row r="1545" customFormat="false" ht="15" hidden="false" customHeight="false" outlineLevel="0" collapsed="false">
      <c r="H1545" s="0" t="str">
        <f aca="false">IF(B1545="","",IF(COUNTIF(Campaigns!$A$7:$A$300,B1545)&gt;0,"✓","⚠ add to Campaigns tab"))</f>
        <v/>
      </c>
      <c r="I1545" s="84" t="str">
        <f aca="false">IF(C1545="","",C1545*IF(Settings!$B$25=Settings!$C$6,1,IF(Settings!$B$25="USD",1/INDEX(Settings!$B$29:$B$40,MONTH(A1545)),INDEX(Settings!$B$29:$B$40,MONTH(A1545)))))</f>
        <v/>
      </c>
    </row>
    <row r="1546" customFormat="false" ht="15" hidden="false" customHeight="false" outlineLevel="0" collapsed="false">
      <c r="H1546" s="0" t="str">
        <f aca="false">IF(B1546="","",IF(COUNTIF(Campaigns!$A$7:$A$300,B1546)&gt;0,"✓","⚠ add to Campaigns tab"))</f>
        <v/>
      </c>
      <c r="I1546" s="84" t="str">
        <f aca="false">IF(C1546="","",C1546*IF(Settings!$B$25=Settings!$C$6,1,IF(Settings!$B$25="USD",1/INDEX(Settings!$B$29:$B$40,MONTH(A1546)),INDEX(Settings!$B$29:$B$40,MONTH(A1546)))))</f>
        <v/>
      </c>
    </row>
    <row r="1547" customFormat="false" ht="15" hidden="false" customHeight="false" outlineLevel="0" collapsed="false">
      <c r="H1547" s="0" t="str">
        <f aca="false">IF(B1547="","",IF(COUNTIF(Campaigns!$A$7:$A$300,B1547)&gt;0,"✓","⚠ add to Campaigns tab"))</f>
        <v/>
      </c>
      <c r="I1547" s="84" t="str">
        <f aca="false">IF(C1547="","",C1547*IF(Settings!$B$25=Settings!$C$6,1,IF(Settings!$B$25="USD",1/INDEX(Settings!$B$29:$B$40,MONTH(A1547)),INDEX(Settings!$B$29:$B$40,MONTH(A1547)))))</f>
        <v/>
      </c>
    </row>
    <row r="1548" customFormat="false" ht="15" hidden="false" customHeight="false" outlineLevel="0" collapsed="false">
      <c r="H1548" s="0" t="str">
        <f aca="false">IF(B1548="","",IF(COUNTIF(Campaigns!$A$7:$A$300,B1548)&gt;0,"✓","⚠ add to Campaigns tab"))</f>
        <v/>
      </c>
      <c r="I1548" s="84" t="str">
        <f aca="false">IF(C1548="","",C1548*IF(Settings!$B$25=Settings!$C$6,1,IF(Settings!$B$25="USD",1/INDEX(Settings!$B$29:$B$40,MONTH(A1548)),INDEX(Settings!$B$29:$B$40,MONTH(A1548)))))</f>
        <v/>
      </c>
    </row>
    <row r="1549" customFormat="false" ht="15" hidden="false" customHeight="false" outlineLevel="0" collapsed="false">
      <c r="H1549" s="0" t="str">
        <f aca="false">IF(B1549="","",IF(COUNTIF(Campaigns!$A$7:$A$300,B1549)&gt;0,"✓","⚠ add to Campaigns tab"))</f>
        <v/>
      </c>
      <c r="I1549" s="84" t="str">
        <f aca="false">IF(C1549="","",C1549*IF(Settings!$B$25=Settings!$C$6,1,IF(Settings!$B$25="USD",1/INDEX(Settings!$B$29:$B$40,MONTH(A1549)),INDEX(Settings!$B$29:$B$40,MONTH(A1549)))))</f>
        <v/>
      </c>
    </row>
    <row r="1550" customFormat="false" ht="15" hidden="false" customHeight="false" outlineLevel="0" collapsed="false">
      <c r="H1550" s="0" t="str">
        <f aca="false">IF(B1550="","",IF(COUNTIF(Campaigns!$A$7:$A$300,B1550)&gt;0,"✓","⚠ add to Campaigns tab"))</f>
        <v/>
      </c>
      <c r="I1550" s="84" t="str">
        <f aca="false">IF(C1550="","",C1550*IF(Settings!$B$25=Settings!$C$6,1,IF(Settings!$B$25="USD",1/INDEX(Settings!$B$29:$B$40,MONTH(A1550)),INDEX(Settings!$B$29:$B$40,MONTH(A1550)))))</f>
        <v/>
      </c>
    </row>
    <row r="1551" customFormat="false" ht="15" hidden="false" customHeight="false" outlineLevel="0" collapsed="false">
      <c r="H1551" s="0" t="str">
        <f aca="false">IF(B1551="","",IF(COUNTIF(Campaigns!$A$7:$A$300,B1551)&gt;0,"✓","⚠ add to Campaigns tab"))</f>
        <v/>
      </c>
      <c r="I1551" s="84" t="str">
        <f aca="false">IF(C1551="","",C1551*IF(Settings!$B$25=Settings!$C$6,1,IF(Settings!$B$25="USD",1/INDEX(Settings!$B$29:$B$40,MONTH(A1551)),INDEX(Settings!$B$29:$B$40,MONTH(A1551)))))</f>
        <v/>
      </c>
    </row>
    <row r="1552" customFormat="false" ht="15" hidden="false" customHeight="false" outlineLevel="0" collapsed="false">
      <c r="H1552" s="0" t="str">
        <f aca="false">IF(B1552="","",IF(COUNTIF(Campaigns!$A$7:$A$300,B1552)&gt;0,"✓","⚠ add to Campaigns tab"))</f>
        <v/>
      </c>
      <c r="I1552" s="84" t="str">
        <f aca="false">IF(C1552="","",C1552*IF(Settings!$B$25=Settings!$C$6,1,IF(Settings!$B$25="USD",1/INDEX(Settings!$B$29:$B$40,MONTH(A1552)),INDEX(Settings!$B$29:$B$40,MONTH(A1552)))))</f>
        <v/>
      </c>
    </row>
    <row r="1553" customFormat="false" ht="15" hidden="false" customHeight="false" outlineLevel="0" collapsed="false">
      <c r="H1553" s="0" t="str">
        <f aca="false">IF(B1553="","",IF(COUNTIF(Campaigns!$A$7:$A$300,B1553)&gt;0,"✓","⚠ add to Campaigns tab"))</f>
        <v/>
      </c>
      <c r="I1553" s="84" t="str">
        <f aca="false">IF(C1553="","",C1553*IF(Settings!$B$25=Settings!$C$6,1,IF(Settings!$B$25="USD",1/INDEX(Settings!$B$29:$B$40,MONTH(A1553)),INDEX(Settings!$B$29:$B$40,MONTH(A1553)))))</f>
        <v/>
      </c>
    </row>
    <row r="1554" customFormat="false" ht="15" hidden="false" customHeight="false" outlineLevel="0" collapsed="false">
      <c r="H1554" s="0" t="str">
        <f aca="false">IF(B1554="","",IF(COUNTIF(Campaigns!$A$7:$A$300,B1554)&gt;0,"✓","⚠ add to Campaigns tab"))</f>
        <v/>
      </c>
      <c r="I1554" s="84" t="str">
        <f aca="false">IF(C1554="","",C1554*IF(Settings!$B$25=Settings!$C$6,1,IF(Settings!$B$25="USD",1/INDEX(Settings!$B$29:$B$40,MONTH(A1554)),INDEX(Settings!$B$29:$B$40,MONTH(A1554)))))</f>
        <v/>
      </c>
    </row>
    <row r="1555" customFormat="false" ht="15" hidden="false" customHeight="false" outlineLevel="0" collapsed="false">
      <c r="H1555" s="0" t="str">
        <f aca="false">IF(B1555="","",IF(COUNTIF(Campaigns!$A$7:$A$300,B1555)&gt;0,"✓","⚠ add to Campaigns tab"))</f>
        <v/>
      </c>
      <c r="I1555" s="84" t="str">
        <f aca="false">IF(C1555="","",C1555*IF(Settings!$B$25=Settings!$C$6,1,IF(Settings!$B$25="USD",1/INDEX(Settings!$B$29:$B$40,MONTH(A1555)),INDEX(Settings!$B$29:$B$40,MONTH(A1555)))))</f>
        <v/>
      </c>
    </row>
    <row r="1556" customFormat="false" ht="15" hidden="false" customHeight="false" outlineLevel="0" collapsed="false">
      <c r="H1556" s="0" t="str">
        <f aca="false">IF(B1556="","",IF(COUNTIF(Campaigns!$A$7:$A$300,B1556)&gt;0,"✓","⚠ add to Campaigns tab"))</f>
        <v/>
      </c>
      <c r="I1556" s="84" t="str">
        <f aca="false">IF(C1556="","",C1556*IF(Settings!$B$25=Settings!$C$6,1,IF(Settings!$B$25="USD",1/INDEX(Settings!$B$29:$B$40,MONTH(A1556)),INDEX(Settings!$B$29:$B$40,MONTH(A1556)))))</f>
        <v/>
      </c>
    </row>
    <row r="1557" customFormat="false" ht="15" hidden="false" customHeight="false" outlineLevel="0" collapsed="false">
      <c r="H1557" s="0" t="str">
        <f aca="false">IF(B1557="","",IF(COUNTIF(Campaigns!$A$7:$A$300,B1557)&gt;0,"✓","⚠ add to Campaigns tab"))</f>
        <v/>
      </c>
      <c r="I1557" s="84" t="str">
        <f aca="false">IF(C1557="","",C1557*IF(Settings!$B$25=Settings!$C$6,1,IF(Settings!$B$25="USD",1/INDEX(Settings!$B$29:$B$40,MONTH(A1557)),INDEX(Settings!$B$29:$B$40,MONTH(A1557)))))</f>
        <v/>
      </c>
    </row>
    <row r="1558" customFormat="false" ht="15" hidden="false" customHeight="false" outlineLevel="0" collapsed="false">
      <c r="H1558" s="0" t="str">
        <f aca="false">IF(B1558="","",IF(COUNTIF(Campaigns!$A$7:$A$300,B1558)&gt;0,"✓","⚠ add to Campaigns tab"))</f>
        <v/>
      </c>
      <c r="I1558" s="84" t="str">
        <f aca="false">IF(C1558="","",C1558*IF(Settings!$B$25=Settings!$C$6,1,IF(Settings!$B$25="USD",1/INDEX(Settings!$B$29:$B$40,MONTH(A1558)),INDEX(Settings!$B$29:$B$40,MONTH(A1558)))))</f>
        <v/>
      </c>
    </row>
    <row r="1559" customFormat="false" ht="15" hidden="false" customHeight="false" outlineLevel="0" collapsed="false">
      <c r="H1559" s="0" t="str">
        <f aca="false">IF(B1559="","",IF(COUNTIF(Campaigns!$A$7:$A$300,B1559)&gt;0,"✓","⚠ add to Campaigns tab"))</f>
        <v/>
      </c>
      <c r="I1559" s="84" t="str">
        <f aca="false">IF(C1559="","",C1559*IF(Settings!$B$25=Settings!$C$6,1,IF(Settings!$B$25="USD",1/INDEX(Settings!$B$29:$B$40,MONTH(A1559)),INDEX(Settings!$B$29:$B$40,MONTH(A1559)))))</f>
        <v/>
      </c>
    </row>
    <row r="1560" customFormat="false" ht="15" hidden="false" customHeight="false" outlineLevel="0" collapsed="false">
      <c r="H1560" s="0" t="str">
        <f aca="false">IF(B1560="","",IF(COUNTIF(Campaigns!$A$7:$A$300,B1560)&gt;0,"✓","⚠ add to Campaigns tab"))</f>
        <v/>
      </c>
      <c r="I1560" s="84" t="str">
        <f aca="false">IF(C1560="","",C1560*IF(Settings!$B$25=Settings!$C$6,1,IF(Settings!$B$25="USD",1/INDEX(Settings!$B$29:$B$40,MONTH(A1560)),INDEX(Settings!$B$29:$B$40,MONTH(A1560)))))</f>
        <v/>
      </c>
    </row>
    <row r="1561" customFormat="false" ht="15" hidden="false" customHeight="false" outlineLevel="0" collapsed="false">
      <c r="H1561" s="0" t="str">
        <f aca="false">IF(B1561="","",IF(COUNTIF(Campaigns!$A$7:$A$300,B1561)&gt;0,"✓","⚠ add to Campaigns tab"))</f>
        <v/>
      </c>
      <c r="I1561" s="84" t="str">
        <f aca="false">IF(C1561="","",C1561*IF(Settings!$B$25=Settings!$C$6,1,IF(Settings!$B$25="USD",1/INDEX(Settings!$B$29:$B$40,MONTH(A1561)),INDEX(Settings!$B$29:$B$40,MONTH(A1561)))))</f>
        <v/>
      </c>
    </row>
    <row r="1562" customFormat="false" ht="15" hidden="false" customHeight="false" outlineLevel="0" collapsed="false">
      <c r="H1562" s="0" t="str">
        <f aca="false">IF(B1562="","",IF(COUNTIF(Campaigns!$A$7:$A$300,B1562)&gt;0,"✓","⚠ add to Campaigns tab"))</f>
        <v/>
      </c>
      <c r="I1562" s="84" t="str">
        <f aca="false">IF(C1562="","",C1562*IF(Settings!$B$25=Settings!$C$6,1,IF(Settings!$B$25="USD",1/INDEX(Settings!$B$29:$B$40,MONTH(A1562)),INDEX(Settings!$B$29:$B$40,MONTH(A1562)))))</f>
        <v/>
      </c>
    </row>
    <row r="1563" customFormat="false" ht="15" hidden="false" customHeight="false" outlineLevel="0" collapsed="false">
      <c r="H1563" s="0" t="str">
        <f aca="false">IF(B1563="","",IF(COUNTIF(Campaigns!$A$7:$A$300,B1563)&gt;0,"✓","⚠ add to Campaigns tab"))</f>
        <v/>
      </c>
      <c r="I1563" s="84" t="str">
        <f aca="false">IF(C1563="","",C1563*IF(Settings!$B$25=Settings!$C$6,1,IF(Settings!$B$25="USD",1/INDEX(Settings!$B$29:$B$40,MONTH(A1563)),INDEX(Settings!$B$29:$B$40,MONTH(A1563)))))</f>
        <v/>
      </c>
    </row>
    <row r="1564" customFormat="false" ht="15" hidden="false" customHeight="false" outlineLevel="0" collapsed="false">
      <c r="H1564" s="0" t="str">
        <f aca="false">IF(B1564="","",IF(COUNTIF(Campaigns!$A$7:$A$300,B1564)&gt;0,"✓","⚠ add to Campaigns tab"))</f>
        <v/>
      </c>
      <c r="I1564" s="84" t="str">
        <f aca="false">IF(C1564="","",C1564*IF(Settings!$B$25=Settings!$C$6,1,IF(Settings!$B$25="USD",1/INDEX(Settings!$B$29:$B$40,MONTH(A1564)),INDEX(Settings!$B$29:$B$40,MONTH(A1564)))))</f>
        <v/>
      </c>
    </row>
    <row r="1565" customFormat="false" ht="15" hidden="false" customHeight="false" outlineLevel="0" collapsed="false">
      <c r="H1565" s="0" t="str">
        <f aca="false">IF(B1565="","",IF(COUNTIF(Campaigns!$A$7:$A$300,B1565)&gt;0,"✓","⚠ add to Campaigns tab"))</f>
        <v/>
      </c>
      <c r="I1565" s="84" t="str">
        <f aca="false">IF(C1565="","",C1565*IF(Settings!$B$25=Settings!$C$6,1,IF(Settings!$B$25="USD",1/INDEX(Settings!$B$29:$B$40,MONTH(A1565)),INDEX(Settings!$B$29:$B$40,MONTH(A1565)))))</f>
        <v/>
      </c>
    </row>
    <row r="1566" customFormat="false" ht="15" hidden="false" customHeight="false" outlineLevel="0" collapsed="false">
      <c r="H1566" s="0" t="str">
        <f aca="false">IF(B1566="","",IF(COUNTIF(Campaigns!$A$7:$A$300,B1566)&gt;0,"✓","⚠ add to Campaigns tab"))</f>
        <v/>
      </c>
      <c r="I1566" s="84" t="str">
        <f aca="false">IF(C1566="","",C1566*IF(Settings!$B$25=Settings!$C$6,1,IF(Settings!$B$25="USD",1/INDEX(Settings!$B$29:$B$40,MONTH(A1566)),INDEX(Settings!$B$29:$B$40,MONTH(A1566)))))</f>
        <v/>
      </c>
    </row>
    <row r="1567" customFormat="false" ht="15" hidden="false" customHeight="false" outlineLevel="0" collapsed="false">
      <c r="H1567" s="0" t="str">
        <f aca="false">IF(B1567="","",IF(COUNTIF(Campaigns!$A$7:$A$300,B1567)&gt;0,"✓","⚠ add to Campaigns tab"))</f>
        <v/>
      </c>
      <c r="I1567" s="84" t="str">
        <f aca="false">IF(C1567="","",C1567*IF(Settings!$B$25=Settings!$C$6,1,IF(Settings!$B$25="USD",1/INDEX(Settings!$B$29:$B$40,MONTH(A1567)),INDEX(Settings!$B$29:$B$40,MONTH(A1567)))))</f>
        <v/>
      </c>
    </row>
    <row r="1568" customFormat="false" ht="15" hidden="false" customHeight="false" outlineLevel="0" collapsed="false">
      <c r="H1568" s="0" t="str">
        <f aca="false">IF(B1568="","",IF(COUNTIF(Campaigns!$A$7:$A$300,B1568)&gt;0,"✓","⚠ add to Campaigns tab"))</f>
        <v/>
      </c>
      <c r="I1568" s="84" t="str">
        <f aca="false">IF(C1568="","",C1568*IF(Settings!$B$25=Settings!$C$6,1,IF(Settings!$B$25="USD",1/INDEX(Settings!$B$29:$B$40,MONTH(A1568)),INDEX(Settings!$B$29:$B$40,MONTH(A1568)))))</f>
        <v/>
      </c>
    </row>
    <row r="1569" customFormat="false" ht="15" hidden="false" customHeight="false" outlineLevel="0" collapsed="false">
      <c r="H1569" s="0" t="str">
        <f aca="false">IF(B1569="","",IF(COUNTIF(Campaigns!$A$7:$A$300,B1569)&gt;0,"✓","⚠ add to Campaigns tab"))</f>
        <v/>
      </c>
      <c r="I1569" s="84" t="str">
        <f aca="false">IF(C1569="","",C1569*IF(Settings!$B$25=Settings!$C$6,1,IF(Settings!$B$25="USD",1/INDEX(Settings!$B$29:$B$40,MONTH(A1569)),INDEX(Settings!$B$29:$B$40,MONTH(A1569)))))</f>
        <v/>
      </c>
    </row>
    <row r="1570" customFormat="false" ht="15" hidden="false" customHeight="false" outlineLevel="0" collapsed="false">
      <c r="H1570" s="0" t="str">
        <f aca="false">IF(B1570="","",IF(COUNTIF(Campaigns!$A$7:$A$300,B1570)&gt;0,"✓","⚠ add to Campaigns tab"))</f>
        <v/>
      </c>
      <c r="I1570" s="84" t="str">
        <f aca="false">IF(C1570="","",C1570*IF(Settings!$B$25=Settings!$C$6,1,IF(Settings!$B$25="USD",1/INDEX(Settings!$B$29:$B$40,MONTH(A1570)),INDEX(Settings!$B$29:$B$40,MONTH(A1570)))))</f>
        <v/>
      </c>
    </row>
    <row r="1571" customFormat="false" ht="15" hidden="false" customHeight="false" outlineLevel="0" collapsed="false">
      <c r="H1571" s="0" t="str">
        <f aca="false">IF(B1571="","",IF(COUNTIF(Campaigns!$A$7:$A$300,B1571)&gt;0,"✓","⚠ add to Campaigns tab"))</f>
        <v/>
      </c>
      <c r="I1571" s="84" t="str">
        <f aca="false">IF(C1571="","",C1571*IF(Settings!$B$25=Settings!$C$6,1,IF(Settings!$B$25="USD",1/INDEX(Settings!$B$29:$B$40,MONTH(A1571)),INDEX(Settings!$B$29:$B$40,MONTH(A1571)))))</f>
        <v/>
      </c>
    </row>
    <row r="1572" customFormat="false" ht="15" hidden="false" customHeight="false" outlineLevel="0" collapsed="false">
      <c r="H1572" s="0" t="str">
        <f aca="false">IF(B1572="","",IF(COUNTIF(Campaigns!$A$7:$A$300,B1572)&gt;0,"✓","⚠ add to Campaigns tab"))</f>
        <v/>
      </c>
      <c r="I1572" s="84" t="str">
        <f aca="false">IF(C1572="","",C1572*IF(Settings!$B$25=Settings!$C$6,1,IF(Settings!$B$25="USD",1/INDEX(Settings!$B$29:$B$40,MONTH(A1572)),INDEX(Settings!$B$29:$B$40,MONTH(A1572)))))</f>
        <v/>
      </c>
    </row>
    <row r="1573" customFormat="false" ht="15" hidden="false" customHeight="false" outlineLevel="0" collapsed="false">
      <c r="H1573" s="0" t="str">
        <f aca="false">IF(B1573="","",IF(COUNTIF(Campaigns!$A$7:$A$300,B1573)&gt;0,"✓","⚠ add to Campaigns tab"))</f>
        <v/>
      </c>
      <c r="I1573" s="84" t="str">
        <f aca="false">IF(C1573="","",C1573*IF(Settings!$B$25=Settings!$C$6,1,IF(Settings!$B$25="USD",1/INDEX(Settings!$B$29:$B$40,MONTH(A1573)),INDEX(Settings!$B$29:$B$40,MONTH(A1573)))))</f>
        <v/>
      </c>
    </row>
    <row r="1574" customFormat="false" ht="15" hidden="false" customHeight="false" outlineLevel="0" collapsed="false">
      <c r="H1574" s="0" t="str">
        <f aca="false">IF(B1574="","",IF(COUNTIF(Campaigns!$A$7:$A$300,B1574)&gt;0,"✓","⚠ add to Campaigns tab"))</f>
        <v/>
      </c>
      <c r="I1574" s="84" t="str">
        <f aca="false">IF(C1574="","",C1574*IF(Settings!$B$25=Settings!$C$6,1,IF(Settings!$B$25="USD",1/INDEX(Settings!$B$29:$B$40,MONTH(A1574)),INDEX(Settings!$B$29:$B$40,MONTH(A1574)))))</f>
        <v/>
      </c>
    </row>
    <row r="1575" customFormat="false" ht="15" hidden="false" customHeight="false" outlineLevel="0" collapsed="false">
      <c r="H1575" s="0" t="str">
        <f aca="false">IF(B1575="","",IF(COUNTIF(Campaigns!$A$7:$A$300,B1575)&gt;0,"✓","⚠ add to Campaigns tab"))</f>
        <v/>
      </c>
      <c r="I1575" s="84" t="str">
        <f aca="false">IF(C1575="","",C1575*IF(Settings!$B$25=Settings!$C$6,1,IF(Settings!$B$25="USD",1/INDEX(Settings!$B$29:$B$40,MONTH(A1575)),INDEX(Settings!$B$29:$B$40,MONTH(A1575)))))</f>
        <v/>
      </c>
    </row>
    <row r="1576" customFormat="false" ht="15" hidden="false" customHeight="false" outlineLevel="0" collapsed="false">
      <c r="H1576" s="0" t="str">
        <f aca="false">IF(B1576="","",IF(COUNTIF(Campaigns!$A$7:$A$300,B1576)&gt;0,"✓","⚠ add to Campaigns tab"))</f>
        <v/>
      </c>
      <c r="I1576" s="84" t="str">
        <f aca="false">IF(C1576="","",C1576*IF(Settings!$B$25=Settings!$C$6,1,IF(Settings!$B$25="USD",1/INDEX(Settings!$B$29:$B$40,MONTH(A1576)),INDEX(Settings!$B$29:$B$40,MONTH(A1576)))))</f>
        <v/>
      </c>
    </row>
    <row r="1577" customFormat="false" ht="15" hidden="false" customHeight="false" outlineLevel="0" collapsed="false">
      <c r="H1577" s="0" t="str">
        <f aca="false">IF(B1577="","",IF(COUNTIF(Campaigns!$A$7:$A$300,B1577)&gt;0,"✓","⚠ add to Campaigns tab"))</f>
        <v/>
      </c>
      <c r="I1577" s="84" t="str">
        <f aca="false">IF(C1577="","",C1577*IF(Settings!$B$25=Settings!$C$6,1,IF(Settings!$B$25="USD",1/INDEX(Settings!$B$29:$B$40,MONTH(A1577)),INDEX(Settings!$B$29:$B$40,MONTH(A1577)))))</f>
        <v/>
      </c>
    </row>
    <row r="1578" customFormat="false" ht="15" hidden="false" customHeight="false" outlineLevel="0" collapsed="false">
      <c r="H1578" s="0" t="str">
        <f aca="false">IF(B1578="","",IF(COUNTIF(Campaigns!$A$7:$A$300,B1578)&gt;0,"✓","⚠ add to Campaigns tab"))</f>
        <v/>
      </c>
      <c r="I1578" s="84" t="str">
        <f aca="false">IF(C1578="","",C1578*IF(Settings!$B$25=Settings!$C$6,1,IF(Settings!$B$25="USD",1/INDEX(Settings!$B$29:$B$40,MONTH(A1578)),INDEX(Settings!$B$29:$B$40,MONTH(A1578)))))</f>
        <v/>
      </c>
    </row>
    <row r="1579" customFormat="false" ht="15" hidden="false" customHeight="false" outlineLevel="0" collapsed="false">
      <c r="H1579" s="0" t="str">
        <f aca="false">IF(B1579="","",IF(COUNTIF(Campaigns!$A$7:$A$300,B1579)&gt;0,"✓","⚠ add to Campaigns tab"))</f>
        <v/>
      </c>
      <c r="I1579" s="84" t="str">
        <f aca="false">IF(C1579="","",C1579*IF(Settings!$B$25=Settings!$C$6,1,IF(Settings!$B$25="USD",1/INDEX(Settings!$B$29:$B$40,MONTH(A1579)),INDEX(Settings!$B$29:$B$40,MONTH(A1579)))))</f>
        <v/>
      </c>
    </row>
    <row r="1580" customFormat="false" ht="15" hidden="false" customHeight="false" outlineLevel="0" collapsed="false">
      <c r="H1580" s="0" t="str">
        <f aca="false">IF(B1580="","",IF(COUNTIF(Campaigns!$A$7:$A$300,B1580)&gt;0,"✓","⚠ add to Campaigns tab"))</f>
        <v/>
      </c>
      <c r="I1580" s="84" t="str">
        <f aca="false">IF(C1580="","",C1580*IF(Settings!$B$25=Settings!$C$6,1,IF(Settings!$B$25="USD",1/INDEX(Settings!$B$29:$B$40,MONTH(A1580)),INDEX(Settings!$B$29:$B$40,MONTH(A1580)))))</f>
        <v/>
      </c>
    </row>
    <row r="1581" customFormat="false" ht="15" hidden="false" customHeight="false" outlineLevel="0" collapsed="false">
      <c r="H1581" s="0" t="str">
        <f aca="false">IF(B1581="","",IF(COUNTIF(Campaigns!$A$7:$A$300,B1581)&gt;0,"✓","⚠ add to Campaigns tab"))</f>
        <v/>
      </c>
      <c r="I1581" s="84" t="str">
        <f aca="false">IF(C1581="","",C1581*IF(Settings!$B$25=Settings!$C$6,1,IF(Settings!$B$25="USD",1/INDEX(Settings!$B$29:$B$40,MONTH(A1581)),INDEX(Settings!$B$29:$B$40,MONTH(A1581)))))</f>
        <v/>
      </c>
    </row>
    <row r="1582" customFormat="false" ht="15" hidden="false" customHeight="false" outlineLevel="0" collapsed="false">
      <c r="H1582" s="0" t="str">
        <f aca="false">IF(B1582="","",IF(COUNTIF(Campaigns!$A$7:$A$300,B1582)&gt;0,"✓","⚠ add to Campaigns tab"))</f>
        <v/>
      </c>
      <c r="I1582" s="84" t="str">
        <f aca="false">IF(C1582="","",C1582*IF(Settings!$B$25=Settings!$C$6,1,IF(Settings!$B$25="USD",1/INDEX(Settings!$B$29:$B$40,MONTH(A1582)),INDEX(Settings!$B$29:$B$40,MONTH(A1582)))))</f>
        <v/>
      </c>
    </row>
    <row r="1583" customFormat="false" ht="15" hidden="false" customHeight="false" outlineLevel="0" collapsed="false">
      <c r="H1583" s="0" t="str">
        <f aca="false">IF(B1583="","",IF(COUNTIF(Campaigns!$A$7:$A$300,B1583)&gt;0,"✓","⚠ add to Campaigns tab"))</f>
        <v/>
      </c>
      <c r="I1583" s="84" t="str">
        <f aca="false">IF(C1583="","",C1583*IF(Settings!$B$25=Settings!$C$6,1,IF(Settings!$B$25="USD",1/INDEX(Settings!$B$29:$B$40,MONTH(A1583)),INDEX(Settings!$B$29:$B$40,MONTH(A1583)))))</f>
        <v/>
      </c>
    </row>
    <row r="1584" customFormat="false" ht="15" hidden="false" customHeight="false" outlineLevel="0" collapsed="false">
      <c r="H1584" s="0" t="str">
        <f aca="false">IF(B1584="","",IF(COUNTIF(Campaigns!$A$7:$A$300,B1584)&gt;0,"✓","⚠ add to Campaigns tab"))</f>
        <v/>
      </c>
      <c r="I1584" s="84" t="str">
        <f aca="false">IF(C1584="","",C1584*IF(Settings!$B$25=Settings!$C$6,1,IF(Settings!$B$25="USD",1/INDEX(Settings!$B$29:$B$40,MONTH(A1584)),INDEX(Settings!$B$29:$B$40,MONTH(A1584)))))</f>
        <v/>
      </c>
    </row>
    <row r="1585" customFormat="false" ht="15" hidden="false" customHeight="false" outlineLevel="0" collapsed="false">
      <c r="H1585" s="0" t="str">
        <f aca="false">IF(B1585="","",IF(COUNTIF(Campaigns!$A$7:$A$300,B1585)&gt;0,"✓","⚠ add to Campaigns tab"))</f>
        <v/>
      </c>
      <c r="I1585" s="84" t="str">
        <f aca="false">IF(C1585="","",C1585*IF(Settings!$B$25=Settings!$C$6,1,IF(Settings!$B$25="USD",1/INDEX(Settings!$B$29:$B$40,MONTH(A1585)),INDEX(Settings!$B$29:$B$40,MONTH(A1585)))))</f>
        <v/>
      </c>
    </row>
    <row r="1586" customFormat="false" ht="15" hidden="false" customHeight="false" outlineLevel="0" collapsed="false">
      <c r="H1586" s="0" t="str">
        <f aca="false">IF(B1586="","",IF(COUNTIF(Campaigns!$A$7:$A$300,B1586)&gt;0,"✓","⚠ add to Campaigns tab"))</f>
        <v/>
      </c>
      <c r="I1586" s="84" t="str">
        <f aca="false">IF(C1586="","",C1586*IF(Settings!$B$25=Settings!$C$6,1,IF(Settings!$B$25="USD",1/INDEX(Settings!$B$29:$B$40,MONTH(A1586)),INDEX(Settings!$B$29:$B$40,MONTH(A1586)))))</f>
        <v/>
      </c>
    </row>
    <row r="1587" customFormat="false" ht="15" hidden="false" customHeight="false" outlineLevel="0" collapsed="false">
      <c r="H1587" s="0" t="str">
        <f aca="false">IF(B1587="","",IF(COUNTIF(Campaigns!$A$7:$A$300,B1587)&gt;0,"✓","⚠ add to Campaigns tab"))</f>
        <v/>
      </c>
      <c r="I1587" s="84" t="str">
        <f aca="false">IF(C1587="","",C1587*IF(Settings!$B$25=Settings!$C$6,1,IF(Settings!$B$25="USD",1/INDEX(Settings!$B$29:$B$40,MONTH(A1587)),INDEX(Settings!$B$29:$B$40,MONTH(A1587)))))</f>
        <v/>
      </c>
    </row>
    <row r="1588" customFormat="false" ht="15" hidden="false" customHeight="false" outlineLevel="0" collapsed="false">
      <c r="H1588" s="0" t="str">
        <f aca="false">IF(B1588="","",IF(COUNTIF(Campaigns!$A$7:$A$300,B1588)&gt;0,"✓","⚠ add to Campaigns tab"))</f>
        <v/>
      </c>
      <c r="I1588" s="84" t="str">
        <f aca="false">IF(C1588="","",C1588*IF(Settings!$B$25=Settings!$C$6,1,IF(Settings!$B$25="USD",1/INDEX(Settings!$B$29:$B$40,MONTH(A1588)),INDEX(Settings!$B$29:$B$40,MONTH(A1588)))))</f>
        <v/>
      </c>
    </row>
    <row r="1589" customFormat="false" ht="15" hidden="false" customHeight="false" outlineLevel="0" collapsed="false">
      <c r="H1589" s="0" t="str">
        <f aca="false">IF(B1589="","",IF(COUNTIF(Campaigns!$A$7:$A$300,B1589)&gt;0,"✓","⚠ add to Campaigns tab"))</f>
        <v/>
      </c>
      <c r="I1589" s="84" t="str">
        <f aca="false">IF(C1589="","",C1589*IF(Settings!$B$25=Settings!$C$6,1,IF(Settings!$B$25="USD",1/INDEX(Settings!$B$29:$B$40,MONTH(A1589)),INDEX(Settings!$B$29:$B$40,MONTH(A1589)))))</f>
        <v/>
      </c>
    </row>
    <row r="1590" customFormat="false" ht="15" hidden="false" customHeight="false" outlineLevel="0" collapsed="false">
      <c r="H1590" s="0" t="str">
        <f aca="false">IF(B1590="","",IF(COUNTIF(Campaigns!$A$7:$A$300,B1590)&gt;0,"✓","⚠ add to Campaigns tab"))</f>
        <v/>
      </c>
      <c r="I1590" s="84" t="str">
        <f aca="false">IF(C1590="","",C1590*IF(Settings!$B$25=Settings!$C$6,1,IF(Settings!$B$25="USD",1/INDEX(Settings!$B$29:$B$40,MONTH(A1590)),INDEX(Settings!$B$29:$B$40,MONTH(A1590)))))</f>
        <v/>
      </c>
    </row>
    <row r="1591" customFormat="false" ht="15" hidden="false" customHeight="false" outlineLevel="0" collapsed="false">
      <c r="H1591" s="0" t="str">
        <f aca="false">IF(B1591="","",IF(COUNTIF(Campaigns!$A$7:$A$300,B1591)&gt;0,"✓","⚠ add to Campaigns tab"))</f>
        <v/>
      </c>
      <c r="I1591" s="84" t="str">
        <f aca="false">IF(C1591="","",C1591*IF(Settings!$B$25=Settings!$C$6,1,IF(Settings!$B$25="USD",1/INDEX(Settings!$B$29:$B$40,MONTH(A1591)),INDEX(Settings!$B$29:$B$40,MONTH(A1591)))))</f>
        <v/>
      </c>
    </row>
    <row r="1592" customFormat="false" ht="15" hidden="false" customHeight="false" outlineLevel="0" collapsed="false">
      <c r="H1592" s="0" t="str">
        <f aca="false">IF(B1592="","",IF(COUNTIF(Campaigns!$A$7:$A$300,B1592)&gt;0,"✓","⚠ add to Campaigns tab"))</f>
        <v/>
      </c>
      <c r="I1592" s="84" t="str">
        <f aca="false">IF(C1592="","",C1592*IF(Settings!$B$25=Settings!$C$6,1,IF(Settings!$B$25="USD",1/INDEX(Settings!$B$29:$B$40,MONTH(A1592)),INDEX(Settings!$B$29:$B$40,MONTH(A1592)))))</f>
        <v/>
      </c>
    </row>
    <row r="1593" customFormat="false" ht="15" hidden="false" customHeight="false" outlineLevel="0" collapsed="false">
      <c r="H1593" s="0" t="str">
        <f aca="false">IF(B1593="","",IF(COUNTIF(Campaigns!$A$7:$A$300,B1593)&gt;0,"✓","⚠ add to Campaigns tab"))</f>
        <v/>
      </c>
      <c r="I1593" s="84" t="str">
        <f aca="false">IF(C1593="","",C1593*IF(Settings!$B$25=Settings!$C$6,1,IF(Settings!$B$25="USD",1/INDEX(Settings!$B$29:$B$40,MONTH(A1593)),INDEX(Settings!$B$29:$B$40,MONTH(A1593)))))</f>
        <v/>
      </c>
    </row>
    <row r="1594" customFormat="false" ht="15" hidden="false" customHeight="false" outlineLevel="0" collapsed="false">
      <c r="H1594" s="0" t="str">
        <f aca="false">IF(B1594="","",IF(COUNTIF(Campaigns!$A$7:$A$300,B1594)&gt;0,"✓","⚠ add to Campaigns tab"))</f>
        <v/>
      </c>
      <c r="I1594" s="84" t="str">
        <f aca="false">IF(C1594="","",C1594*IF(Settings!$B$25=Settings!$C$6,1,IF(Settings!$B$25="USD",1/INDEX(Settings!$B$29:$B$40,MONTH(A1594)),INDEX(Settings!$B$29:$B$40,MONTH(A1594)))))</f>
        <v/>
      </c>
    </row>
    <row r="1595" customFormat="false" ht="15" hidden="false" customHeight="false" outlineLevel="0" collapsed="false">
      <c r="H1595" s="0" t="str">
        <f aca="false">IF(B1595="","",IF(COUNTIF(Campaigns!$A$7:$A$300,B1595)&gt;0,"✓","⚠ add to Campaigns tab"))</f>
        <v/>
      </c>
      <c r="I1595" s="84" t="str">
        <f aca="false">IF(C1595="","",C1595*IF(Settings!$B$25=Settings!$C$6,1,IF(Settings!$B$25="USD",1/INDEX(Settings!$B$29:$B$40,MONTH(A1595)),INDEX(Settings!$B$29:$B$40,MONTH(A1595)))))</f>
        <v/>
      </c>
    </row>
    <row r="1596" customFormat="false" ht="15" hidden="false" customHeight="false" outlineLevel="0" collapsed="false">
      <c r="H1596" s="0" t="str">
        <f aca="false">IF(B1596="","",IF(COUNTIF(Campaigns!$A$7:$A$300,B1596)&gt;0,"✓","⚠ add to Campaigns tab"))</f>
        <v/>
      </c>
      <c r="I1596" s="84" t="str">
        <f aca="false">IF(C1596="","",C1596*IF(Settings!$B$25=Settings!$C$6,1,IF(Settings!$B$25="USD",1/INDEX(Settings!$B$29:$B$40,MONTH(A1596)),INDEX(Settings!$B$29:$B$40,MONTH(A1596)))))</f>
        <v/>
      </c>
    </row>
    <row r="1597" customFormat="false" ht="15" hidden="false" customHeight="false" outlineLevel="0" collapsed="false">
      <c r="H1597" s="0" t="str">
        <f aca="false">IF(B1597="","",IF(COUNTIF(Campaigns!$A$7:$A$300,B1597)&gt;0,"✓","⚠ add to Campaigns tab"))</f>
        <v/>
      </c>
      <c r="I1597" s="84" t="str">
        <f aca="false">IF(C1597="","",C1597*IF(Settings!$B$25=Settings!$C$6,1,IF(Settings!$B$25="USD",1/INDEX(Settings!$B$29:$B$40,MONTH(A1597)),INDEX(Settings!$B$29:$B$40,MONTH(A1597)))))</f>
        <v/>
      </c>
    </row>
    <row r="1598" customFormat="false" ht="15" hidden="false" customHeight="false" outlineLevel="0" collapsed="false">
      <c r="H1598" s="0" t="str">
        <f aca="false">IF(B1598="","",IF(COUNTIF(Campaigns!$A$7:$A$300,B1598)&gt;0,"✓","⚠ add to Campaigns tab"))</f>
        <v/>
      </c>
      <c r="I1598" s="84" t="str">
        <f aca="false">IF(C1598="","",C1598*IF(Settings!$B$25=Settings!$C$6,1,IF(Settings!$B$25="USD",1/INDEX(Settings!$B$29:$B$40,MONTH(A1598)),INDEX(Settings!$B$29:$B$40,MONTH(A1598)))))</f>
        <v/>
      </c>
    </row>
    <row r="1599" customFormat="false" ht="15" hidden="false" customHeight="false" outlineLevel="0" collapsed="false">
      <c r="H1599" s="0" t="str">
        <f aca="false">IF(B1599="","",IF(COUNTIF(Campaigns!$A$7:$A$300,B1599)&gt;0,"✓","⚠ add to Campaigns tab"))</f>
        <v/>
      </c>
      <c r="I1599" s="84" t="str">
        <f aca="false">IF(C1599="","",C1599*IF(Settings!$B$25=Settings!$C$6,1,IF(Settings!$B$25="USD",1/INDEX(Settings!$B$29:$B$40,MONTH(A1599)),INDEX(Settings!$B$29:$B$40,MONTH(A1599)))))</f>
        <v/>
      </c>
    </row>
    <row r="1600" customFormat="false" ht="15" hidden="false" customHeight="false" outlineLevel="0" collapsed="false">
      <c r="H1600" s="0" t="str">
        <f aca="false">IF(B1600="","",IF(COUNTIF(Campaigns!$A$7:$A$300,B1600)&gt;0,"✓","⚠ add to Campaigns tab"))</f>
        <v/>
      </c>
      <c r="I1600" s="84" t="str">
        <f aca="false">IF(C1600="","",C1600*IF(Settings!$B$25=Settings!$C$6,1,IF(Settings!$B$25="USD",1/INDEX(Settings!$B$29:$B$40,MONTH(A1600)),INDEX(Settings!$B$29:$B$40,MONTH(A1600)))))</f>
        <v/>
      </c>
    </row>
    <row r="1601" customFormat="false" ht="15" hidden="false" customHeight="false" outlineLevel="0" collapsed="false">
      <c r="H1601" s="0" t="str">
        <f aca="false">IF(B1601="","",IF(COUNTIF(Campaigns!$A$7:$A$300,B1601)&gt;0,"✓","⚠ add to Campaigns tab"))</f>
        <v/>
      </c>
      <c r="I1601" s="84" t="str">
        <f aca="false">IF(C1601="","",C1601*IF(Settings!$B$25=Settings!$C$6,1,IF(Settings!$B$25="USD",1/INDEX(Settings!$B$29:$B$40,MONTH(A1601)),INDEX(Settings!$B$29:$B$40,MONTH(A1601)))))</f>
        <v/>
      </c>
    </row>
    <row r="1602" customFormat="false" ht="15" hidden="false" customHeight="false" outlineLevel="0" collapsed="false">
      <c r="H1602" s="0" t="str">
        <f aca="false">IF(B1602="","",IF(COUNTIF(Campaigns!$A$7:$A$300,B1602)&gt;0,"✓","⚠ add to Campaigns tab"))</f>
        <v/>
      </c>
      <c r="I1602" s="84" t="str">
        <f aca="false">IF(C1602="","",C1602*IF(Settings!$B$25=Settings!$C$6,1,IF(Settings!$B$25="USD",1/INDEX(Settings!$B$29:$B$40,MONTH(A1602)),INDEX(Settings!$B$29:$B$40,MONTH(A1602)))))</f>
        <v/>
      </c>
    </row>
    <row r="1603" customFormat="false" ht="15" hidden="false" customHeight="false" outlineLevel="0" collapsed="false">
      <c r="H1603" s="0" t="str">
        <f aca="false">IF(B1603="","",IF(COUNTIF(Campaigns!$A$7:$A$300,B1603)&gt;0,"✓","⚠ add to Campaigns tab"))</f>
        <v/>
      </c>
      <c r="I1603" s="84" t="str">
        <f aca="false">IF(C1603="","",C1603*IF(Settings!$B$25=Settings!$C$6,1,IF(Settings!$B$25="USD",1/INDEX(Settings!$B$29:$B$40,MONTH(A1603)),INDEX(Settings!$B$29:$B$40,MONTH(A1603)))))</f>
        <v/>
      </c>
    </row>
    <row r="1604" customFormat="false" ht="15" hidden="false" customHeight="false" outlineLevel="0" collapsed="false">
      <c r="H1604" s="0" t="str">
        <f aca="false">IF(B1604="","",IF(COUNTIF(Campaigns!$A$7:$A$300,B1604)&gt;0,"✓","⚠ add to Campaigns tab"))</f>
        <v/>
      </c>
      <c r="I1604" s="84" t="str">
        <f aca="false">IF(C1604="","",C1604*IF(Settings!$B$25=Settings!$C$6,1,IF(Settings!$B$25="USD",1/INDEX(Settings!$B$29:$B$40,MONTH(A1604)),INDEX(Settings!$B$29:$B$40,MONTH(A1604)))))</f>
        <v/>
      </c>
    </row>
    <row r="1605" customFormat="false" ht="15" hidden="false" customHeight="false" outlineLevel="0" collapsed="false">
      <c r="H1605" s="0" t="str">
        <f aca="false">IF(B1605="","",IF(COUNTIF(Campaigns!$A$7:$A$300,B1605)&gt;0,"✓","⚠ add to Campaigns tab"))</f>
        <v/>
      </c>
      <c r="I1605" s="84" t="str">
        <f aca="false">IF(C1605="","",C1605*IF(Settings!$B$25=Settings!$C$6,1,IF(Settings!$B$25="USD",1/INDEX(Settings!$B$29:$B$40,MONTH(A1605)),INDEX(Settings!$B$29:$B$40,MONTH(A1605)))))</f>
        <v/>
      </c>
    </row>
    <row r="1606" customFormat="false" ht="15" hidden="false" customHeight="false" outlineLevel="0" collapsed="false">
      <c r="H1606" s="0" t="str">
        <f aca="false">IF(B1606="","",IF(COUNTIF(Campaigns!$A$7:$A$300,B1606)&gt;0,"✓","⚠ add to Campaigns tab"))</f>
        <v/>
      </c>
      <c r="I1606" s="84" t="str">
        <f aca="false">IF(C1606="","",C1606*IF(Settings!$B$25=Settings!$C$6,1,IF(Settings!$B$25="USD",1/INDEX(Settings!$B$29:$B$40,MONTH(A1606)),INDEX(Settings!$B$29:$B$40,MONTH(A1606)))))</f>
        <v/>
      </c>
    </row>
    <row r="1607" customFormat="false" ht="15" hidden="false" customHeight="false" outlineLevel="0" collapsed="false">
      <c r="H1607" s="0" t="str">
        <f aca="false">IF(B1607="","",IF(COUNTIF(Campaigns!$A$7:$A$300,B1607)&gt;0,"✓","⚠ add to Campaigns tab"))</f>
        <v/>
      </c>
      <c r="I1607" s="84" t="str">
        <f aca="false">IF(C1607="","",C1607*IF(Settings!$B$25=Settings!$C$6,1,IF(Settings!$B$25="USD",1/INDEX(Settings!$B$29:$B$40,MONTH(A1607)),INDEX(Settings!$B$29:$B$40,MONTH(A1607)))))</f>
        <v/>
      </c>
    </row>
    <row r="1608" customFormat="false" ht="15" hidden="false" customHeight="false" outlineLevel="0" collapsed="false">
      <c r="H1608" s="0" t="str">
        <f aca="false">IF(B1608="","",IF(COUNTIF(Campaigns!$A$7:$A$300,B1608)&gt;0,"✓","⚠ add to Campaigns tab"))</f>
        <v/>
      </c>
      <c r="I1608" s="84" t="str">
        <f aca="false">IF(C1608="","",C1608*IF(Settings!$B$25=Settings!$C$6,1,IF(Settings!$B$25="USD",1/INDEX(Settings!$B$29:$B$40,MONTH(A1608)),INDEX(Settings!$B$29:$B$40,MONTH(A1608)))))</f>
        <v/>
      </c>
    </row>
    <row r="1609" customFormat="false" ht="15" hidden="false" customHeight="false" outlineLevel="0" collapsed="false">
      <c r="H1609" s="0" t="str">
        <f aca="false">IF(B1609="","",IF(COUNTIF(Campaigns!$A$7:$A$300,B1609)&gt;0,"✓","⚠ add to Campaigns tab"))</f>
        <v/>
      </c>
      <c r="I1609" s="84" t="str">
        <f aca="false">IF(C1609="","",C1609*IF(Settings!$B$25=Settings!$C$6,1,IF(Settings!$B$25="USD",1/INDEX(Settings!$B$29:$B$40,MONTH(A1609)),INDEX(Settings!$B$29:$B$40,MONTH(A1609)))))</f>
        <v/>
      </c>
    </row>
    <row r="1610" customFormat="false" ht="15" hidden="false" customHeight="false" outlineLevel="0" collapsed="false">
      <c r="H1610" s="0" t="str">
        <f aca="false">IF(B1610="","",IF(COUNTIF(Campaigns!$A$7:$A$300,B1610)&gt;0,"✓","⚠ add to Campaigns tab"))</f>
        <v/>
      </c>
      <c r="I1610" s="84" t="str">
        <f aca="false">IF(C1610="","",C1610*IF(Settings!$B$25=Settings!$C$6,1,IF(Settings!$B$25="USD",1/INDEX(Settings!$B$29:$B$40,MONTH(A1610)),INDEX(Settings!$B$29:$B$40,MONTH(A1610)))))</f>
        <v/>
      </c>
    </row>
    <row r="1611" customFormat="false" ht="15" hidden="false" customHeight="false" outlineLevel="0" collapsed="false">
      <c r="H1611" s="0" t="str">
        <f aca="false">IF(B1611="","",IF(COUNTIF(Campaigns!$A$7:$A$300,B1611)&gt;0,"✓","⚠ add to Campaigns tab"))</f>
        <v/>
      </c>
      <c r="I1611" s="84" t="str">
        <f aca="false">IF(C1611="","",C1611*IF(Settings!$B$25=Settings!$C$6,1,IF(Settings!$B$25="USD",1/INDEX(Settings!$B$29:$B$40,MONTH(A1611)),INDEX(Settings!$B$29:$B$40,MONTH(A1611)))))</f>
        <v/>
      </c>
    </row>
    <row r="1612" customFormat="false" ht="15" hidden="false" customHeight="false" outlineLevel="0" collapsed="false">
      <c r="H1612" s="0" t="str">
        <f aca="false">IF(B1612="","",IF(COUNTIF(Campaigns!$A$7:$A$300,B1612)&gt;0,"✓","⚠ add to Campaigns tab"))</f>
        <v/>
      </c>
      <c r="I1612" s="84" t="str">
        <f aca="false">IF(C1612="","",C1612*IF(Settings!$B$25=Settings!$C$6,1,IF(Settings!$B$25="USD",1/INDEX(Settings!$B$29:$B$40,MONTH(A1612)),INDEX(Settings!$B$29:$B$40,MONTH(A1612)))))</f>
        <v/>
      </c>
    </row>
    <row r="1613" customFormat="false" ht="15" hidden="false" customHeight="false" outlineLevel="0" collapsed="false">
      <c r="H1613" s="0" t="str">
        <f aca="false">IF(B1613="","",IF(COUNTIF(Campaigns!$A$7:$A$300,B1613)&gt;0,"✓","⚠ add to Campaigns tab"))</f>
        <v/>
      </c>
      <c r="I1613" s="84" t="str">
        <f aca="false">IF(C1613="","",C1613*IF(Settings!$B$25=Settings!$C$6,1,IF(Settings!$B$25="USD",1/INDEX(Settings!$B$29:$B$40,MONTH(A1613)),INDEX(Settings!$B$29:$B$40,MONTH(A1613)))))</f>
        <v/>
      </c>
    </row>
    <row r="1614" customFormat="false" ht="15" hidden="false" customHeight="false" outlineLevel="0" collapsed="false">
      <c r="H1614" s="0" t="str">
        <f aca="false">IF(B1614="","",IF(COUNTIF(Campaigns!$A$7:$A$300,B1614)&gt;0,"✓","⚠ add to Campaigns tab"))</f>
        <v/>
      </c>
      <c r="I1614" s="84" t="str">
        <f aca="false">IF(C1614="","",C1614*IF(Settings!$B$25=Settings!$C$6,1,IF(Settings!$B$25="USD",1/INDEX(Settings!$B$29:$B$40,MONTH(A1614)),INDEX(Settings!$B$29:$B$40,MONTH(A1614)))))</f>
        <v/>
      </c>
    </row>
    <row r="1615" customFormat="false" ht="15" hidden="false" customHeight="false" outlineLevel="0" collapsed="false">
      <c r="H1615" s="0" t="str">
        <f aca="false">IF(B1615="","",IF(COUNTIF(Campaigns!$A$7:$A$300,B1615)&gt;0,"✓","⚠ add to Campaigns tab"))</f>
        <v/>
      </c>
      <c r="I1615" s="84" t="str">
        <f aca="false">IF(C1615="","",C1615*IF(Settings!$B$25=Settings!$C$6,1,IF(Settings!$B$25="USD",1/INDEX(Settings!$B$29:$B$40,MONTH(A1615)),INDEX(Settings!$B$29:$B$40,MONTH(A1615)))))</f>
        <v/>
      </c>
    </row>
    <row r="1616" customFormat="false" ht="15" hidden="false" customHeight="false" outlineLevel="0" collapsed="false">
      <c r="H1616" s="0" t="str">
        <f aca="false">IF(B1616="","",IF(COUNTIF(Campaigns!$A$7:$A$300,B1616)&gt;0,"✓","⚠ add to Campaigns tab"))</f>
        <v/>
      </c>
      <c r="I1616" s="84" t="str">
        <f aca="false">IF(C1616="","",C1616*IF(Settings!$B$25=Settings!$C$6,1,IF(Settings!$B$25="USD",1/INDEX(Settings!$B$29:$B$40,MONTH(A1616)),INDEX(Settings!$B$29:$B$40,MONTH(A1616)))))</f>
        <v/>
      </c>
    </row>
    <row r="1617" customFormat="false" ht="15" hidden="false" customHeight="false" outlineLevel="0" collapsed="false">
      <c r="H1617" s="0" t="str">
        <f aca="false">IF(B1617="","",IF(COUNTIF(Campaigns!$A$7:$A$300,B1617)&gt;0,"✓","⚠ add to Campaigns tab"))</f>
        <v/>
      </c>
      <c r="I1617" s="84" t="str">
        <f aca="false">IF(C1617="","",C1617*IF(Settings!$B$25=Settings!$C$6,1,IF(Settings!$B$25="USD",1/INDEX(Settings!$B$29:$B$40,MONTH(A1617)),INDEX(Settings!$B$29:$B$40,MONTH(A1617)))))</f>
        <v/>
      </c>
    </row>
    <row r="1618" customFormat="false" ht="15" hidden="false" customHeight="false" outlineLevel="0" collapsed="false">
      <c r="H1618" s="0" t="str">
        <f aca="false">IF(B1618="","",IF(COUNTIF(Campaigns!$A$7:$A$300,B1618)&gt;0,"✓","⚠ add to Campaigns tab"))</f>
        <v/>
      </c>
      <c r="I1618" s="84" t="str">
        <f aca="false">IF(C1618="","",C1618*IF(Settings!$B$25=Settings!$C$6,1,IF(Settings!$B$25="USD",1/INDEX(Settings!$B$29:$B$40,MONTH(A1618)),INDEX(Settings!$B$29:$B$40,MONTH(A1618)))))</f>
        <v/>
      </c>
    </row>
    <row r="1619" customFormat="false" ht="15" hidden="false" customHeight="false" outlineLevel="0" collapsed="false">
      <c r="H1619" s="0" t="str">
        <f aca="false">IF(B1619="","",IF(COUNTIF(Campaigns!$A$7:$A$300,B1619)&gt;0,"✓","⚠ add to Campaigns tab"))</f>
        <v/>
      </c>
      <c r="I1619" s="84" t="str">
        <f aca="false">IF(C1619="","",C1619*IF(Settings!$B$25=Settings!$C$6,1,IF(Settings!$B$25="USD",1/INDEX(Settings!$B$29:$B$40,MONTH(A1619)),INDEX(Settings!$B$29:$B$40,MONTH(A1619)))))</f>
        <v/>
      </c>
    </row>
    <row r="1620" customFormat="false" ht="15" hidden="false" customHeight="false" outlineLevel="0" collapsed="false">
      <c r="H1620" s="0" t="str">
        <f aca="false">IF(B1620="","",IF(COUNTIF(Campaigns!$A$7:$A$300,B1620)&gt;0,"✓","⚠ add to Campaigns tab"))</f>
        <v/>
      </c>
      <c r="I1620" s="84" t="str">
        <f aca="false">IF(C1620="","",C1620*IF(Settings!$B$25=Settings!$C$6,1,IF(Settings!$B$25="USD",1/INDEX(Settings!$B$29:$B$40,MONTH(A1620)),INDEX(Settings!$B$29:$B$40,MONTH(A1620)))))</f>
        <v/>
      </c>
    </row>
    <row r="1621" customFormat="false" ht="15" hidden="false" customHeight="false" outlineLevel="0" collapsed="false">
      <c r="H1621" s="0" t="str">
        <f aca="false">IF(B1621="","",IF(COUNTIF(Campaigns!$A$7:$A$300,B1621)&gt;0,"✓","⚠ add to Campaigns tab"))</f>
        <v/>
      </c>
      <c r="I1621" s="84" t="str">
        <f aca="false">IF(C1621="","",C1621*IF(Settings!$B$25=Settings!$C$6,1,IF(Settings!$B$25="USD",1/INDEX(Settings!$B$29:$B$40,MONTH(A1621)),INDEX(Settings!$B$29:$B$40,MONTH(A1621)))))</f>
        <v/>
      </c>
    </row>
    <row r="1622" customFormat="false" ht="15" hidden="false" customHeight="false" outlineLevel="0" collapsed="false">
      <c r="H1622" s="0" t="str">
        <f aca="false">IF(B1622="","",IF(COUNTIF(Campaigns!$A$7:$A$300,B1622)&gt;0,"✓","⚠ add to Campaigns tab"))</f>
        <v/>
      </c>
      <c r="I1622" s="84" t="str">
        <f aca="false">IF(C1622="","",C1622*IF(Settings!$B$25=Settings!$C$6,1,IF(Settings!$B$25="USD",1/INDEX(Settings!$B$29:$B$40,MONTH(A1622)),INDEX(Settings!$B$29:$B$40,MONTH(A1622)))))</f>
        <v/>
      </c>
    </row>
    <row r="1623" customFormat="false" ht="15" hidden="false" customHeight="false" outlineLevel="0" collapsed="false">
      <c r="H1623" s="0" t="str">
        <f aca="false">IF(B1623="","",IF(COUNTIF(Campaigns!$A$7:$A$300,B1623)&gt;0,"✓","⚠ add to Campaigns tab"))</f>
        <v/>
      </c>
      <c r="I1623" s="84" t="str">
        <f aca="false">IF(C1623="","",C1623*IF(Settings!$B$25=Settings!$C$6,1,IF(Settings!$B$25="USD",1/INDEX(Settings!$B$29:$B$40,MONTH(A1623)),INDEX(Settings!$B$29:$B$40,MONTH(A1623)))))</f>
        <v/>
      </c>
    </row>
    <row r="1624" customFormat="false" ht="15" hidden="false" customHeight="false" outlineLevel="0" collapsed="false">
      <c r="H1624" s="0" t="str">
        <f aca="false">IF(B1624="","",IF(COUNTIF(Campaigns!$A$7:$A$300,B1624)&gt;0,"✓","⚠ add to Campaigns tab"))</f>
        <v/>
      </c>
      <c r="I1624" s="84" t="str">
        <f aca="false">IF(C1624="","",C1624*IF(Settings!$B$25=Settings!$C$6,1,IF(Settings!$B$25="USD",1/INDEX(Settings!$B$29:$B$40,MONTH(A1624)),INDEX(Settings!$B$29:$B$40,MONTH(A1624)))))</f>
        <v/>
      </c>
    </row>
    <row r="1625" customFormat="false" ht="15" hidden="false" customHeight="false" outlineLevel="0" collapsed="false">
      <c r="H1625" s="0" t="str">
        <f aca="false">IF(B1625="","",IF(COUNTIF(Campaigns!$A$7:$A$300,B1625)&gt;0,"✓","⚠ add to Campaigns tab"))</f>
        <v/>
      </c>
      <c r="I1625" s="84" t="str">
        <f aca="false">IF(C1625="","",C1625*IF(Settings!$B$25=Settings!$C$6,1,IF(Settings!$B$25="USD",1/INDEX(Settings!$B$29:$B$40,MONTH(A1625)),INDEX(Settings!$B$29:$B$40,MONTH(A1625)))))</f>
        <v/>
      </c>
    </row>
    <row r="1626" customFormat="false" ht="15" hidden="false" customHeight="false" outlineLevel="0" collapsed="false">
      <c r="H1626" s="0" t="str">
        <f aca="false">IF(B1626="","",IF(COUNTIF(Campaigns!$A$7:$A$300,B1626)&gt;0,"✓","⚠ add to Campaigns tab"))</f>
        <v/>
      </c>
      <c r="I1626" s="84" t="str">
        <f aca="false">IF(C1626="","",C1626*IF(Settings!$B$25=Settings!$C$6,1,IF(Settings!$B$25="USD",1/INDEX(Settings!$B$29:$B$40,MONTH(A1626)),INDEX(Settings!$B$29:$B$40,MONTH(A1626)))))</f>
        <v/>
      </c>
    </row>
    <row r="1627" customFormat="false" ht="15" hidden="false" customHeight="false" outlineLevel="0" collapsed="false">
      <c r="H1627" s="0" t="str">
        <f aca="false">IF(B1627="","",IF(COUNTIF(Campaigns!$A$7:$A$300,B1627)&gt;0,"✓","⚠ add to Campaigns tab"))</f>
        <v/>
      </c>
      <c r="I1627" s="84" t="str">
        <f aca="false">IF(C1627="","",C1627*IF(Settings!$B$25=Settings!$C$6,1,IF(Settings!$B$25="USD",1/INDEX(Settings!$B$29:$B$40,MONTH(A1627)),INDEX(Settings!$B$29:$B$40,MONTH(A1627)))))</f>
        <v/>
      </c>
    </row>
    <row r="1628" customFormat="false" ht="15" hidden="false" customHeight="false" outlineLevel="0" collapsed="false">
      <c r="H1628" s="0" t="str">
        <f aca="false">IF(B1628="","",IF(COUNTIF(Campaigns!$A$7:$A$300,B1628)&gt;0,"✓","⚠ add to Campaigns tab"))</f>
        <v/>
      </c>
      <c r="I1628" s="84" t="str">
        <f aca="false">IF(C1628="","",C1628*IF(Settings!$B$25=Settings!$C$6,1,IF(Settings!$B$25="USD",1/INDEX(Settings!$B$29:$B$40,MONTH(A1628)),INDEX(Settings!$B$29:$B$40,MONTH(A1628)))))</f>
        <v/>
      </c>
    </row>
    <row r="1629" customFormat="false" ht="15" hidden="false" customHeight="false" outlineLevel="0" collapsed="false">
      <c r="H1629" s="0" t="str">
        <f aca="false">IF(B1629="","",IF(COUNTIF(Campaigns!$A$7:$A$300,B1629)&gt;0,"✓","⚠ add to Campaigns tab"))</f>
        <v/>
      </c>
      <c r="I1629" s="84" t="str">
        <f aca="false">IF(C1629="","",C1629*IF(Settings!$B$25=Settings!$C$6,1,IF(Settings!$B$25="USD",1/INDEX(Settings!$B$29:$B$40,MONTH(A1629)),INDEX(Settings!$B$29:$B$40,MONTH(A1629)))))</f>
        <v/>
      </c>
    </row>
    <row r="1630" customFormat="false" ht="15" hidden="false" customHeight="false" outlineLevel="0" collapsed="false">
      <c r="H1630" s="0" t="str">
        <f aca="false">IF(B1630="","",IF(COUNTIF(Campaigns!$A$7:$A$300,B1630)&gt;0,"✓","⚠ add to Campaigns tab"))</f>
        <v/>
      </c>
      <c r="I1630" s="84" t="str">
        <f aca="false">IF(C1630="","",C1630*IF(Settings!$B$25=Settings!$C$6,1,IF(Settings!$B$25="USD",1/INDEX(Settings!$B$29:$B$40,MONTH(A1630)),INDEX(Settings!$B$29:$B$40,MONTH(A1630)))))</f>
        <v/>
      </c>
    </row>
    <row r="1631" customFormat="false" ht="15" hidden="false" customHeight="false" outlineLevel="0" collapsed="false">
      <c r="H1631" s="0" t="str">
        <f aca="false">IF(B1631="","",IF(COUNTIF(Campaigns!$A$7:$A$300,B1631)&gt;0,"✓","⚠ add to Campaigns tab"))</f>
        <v/>
      </c>
      <c r="I1631" s="84" t="str">
        <f aca="false">IF(C1631="","",C1631*IF(Settings!$B$25=Settings!$C$6,1,IF(Settings!$B$25="USD",1/INDEX(Settings!$B$29:$B$40,MONTH(A1631)),INDEX(Settings!$B$29:$B$40,MONTH(A1631)))))</f>
        <v/>
      </c>
    </row>
    <row r="1632" customFormat="false" ht="15" hidden="false" customHeight="false" outlineLevel="0" collapsed="false">
      <c r="H1632" s="0" t="str">
        <f aca="false">IF(B1632="","",IF(COUNTIF(Campaigns!$A$7:$A$300,B1632)&gt;0,"✓","⚠ add to Campaigns tab"))</f>
        <v/>
      </c>
      <c r="I1632" s="84" t="str">
        <f aca="false">IF(C1632="","",C1632*IF(Settings!$B$25=Settings!$C$6,1,IF(Settings!$B$25="USD",1/INDEX(Settings!$B$29:$B$40,MONTH(A1632)),INDEX(Settings!$B$29:$B$40,MONTH(A1632)))))</f>
        <v/>
      </c>
    </row>
    <row r="1633" customFormat="false" ht="15" hidden="false" customHeight="false" outlineLevel="0" collapsed="false">
      <c r="H1633" s="0" t="str">
        <f aca="false">IF(B1633="","",IF(COUNTIF(Campaigns!$A$7:$A$300,B1633)&gt;0,"✓","⚠ add to Campaigns tab"))</f>
        <v/>
      </c>
      <c r="I1633" s="84" t="str">
        <f aca="false">IF(C1633="","",C1633*IF(Settings!$B$25=Settings!$C$6,1,IF(Settings!$B$25="USD",1/INDEX(Settings!$B$29:$B$40,MONTH(A1633)),INDEX(Settings!$B$29:$B$40,MONTH(A1633)))))</f>
        <v/>
      </c>
    </row>
    <row r="1634" customFormat="false" ht="15" hidden="false" customHeight="false" outlineLevel="0" collapsed="false">
      <c r="H1634" s="0" t="str">
        <f aca="false">IF(B1634="","",IF(COUNTIF(Campaigns!$A$7:$A$300,B1634)&gt;0,"✓","⚠ add to Campaigns tab"))</f>
        <v/>
      </c>
      <c r="I1634" s="84" t="str">
        <f aca="false">IF(C1634="","",C1634*IF(Settings!$B$25=Settings!$C$6,1,IF(Settings!$B$25="USD",1/INDEX(Settings!$B$29:$B$40,MONTH(A1634)),INDEX(Settings!$B$29:$B$40,MONTH(A1634)))))</f>
        <v/>
      </c>
    </row>
    <row r="1635" customFormat="false" ht="15" hidden="false" customHeight="false" outlineLevel="0" collapsed="false">
      <c r="H1635" s="0" t="str">
        <f aca="false">IF(B1635="","",IF(COUNTIF(Campaigns!$A$7:$A$300,B1635)&gt;0,"✓","⚠ add to Campaigns tab"))</f>
        <v/>
      </c>
      <c r="I1635" s="84" t="str">
        <f aca="false">IF(C1635="","",C1635*IF(Settings!$B$25=Settings!$C$6,1,IF(Settings!$B$25="USD",1/INDEX(Settings!$B$29:$B$40,MONTH(A1635)),INDEX(Settings!$B$29:$B$40,MONTH(A1635)))))</f>
        <v/>
      </c>
    </row>
    <row r="1636" customFormat="false" ht="15" hidden="false" customHeight="false" outlineLevel="0" collapsed="false">
      <c r="H1636" s="0" t="str">
        <f aca="false">IF(B1636="","",IF(COUNTIF(Campaigns!$A$7:$A$300,B1636)&gt;0,"✓","⚠ add to Campaigns tab"))</f>
        <v/>
      </c>
      <c r="I1636" s="84" t="str">
        <f aca="false">IF(C1636="","",C1636*IF(Settings!$B$25=Settings!$C$6,1,IF(Settings!$B$25="USD",1/INDEX(Settings!$B$29:$B$40,MONTH(A1636)),INDEX(Settings!$B$29:$B$40,MONTH(A1636)))))</f>
        <v/>
      </c>
    </row>
    <row r="1637" customFormat="false" ht="15" hidden="false" customHeight="false" outlineLevel="0" collapsed="false">
      <c r="H1637" s="0" t="str">
        <f aca="false">IF(B1637="","",IF(COUNTIF(Campaigns!$A$7:$A$300,B1637)&gt;0,"✓","⚠ add to Campaigns tab"))</f>
        <v/>
      </c>
      <c r="I1637" s="84" t="str">
        <f aca="false">IF(C1637="","",C1637*IF(Settings!$B$25=Settings!$C$6,1,IF(Settings!$B$25="USD",1/INDEX(Settings!$B$29:$B$40,MONTH(A1637)),INDEX(Settings!$B$29:$B$40,MONTH(A1637)))))</f>
        <v/>
      </c>
    </row>
    <row r="1638" customFormat="false" ht="15" hidden="false" customHeight="false" outlineLevel="0" collapsed="false">
      <c r="H1638" s="0" t="str">
        <f aca="false">IF(B1638="","",IF(COUNTIF(Campaigns!$A$7:$A$300,B1638)&gt;0,"✓","⚠ add to Campaigns tab"))</f>
        <v/>
      </c>
      <c r="I1638" s="84" t="str">
        <f aca="false">IF(C1638="","",C1638*IF(Settings!$B$25=Settings!$C$6,1,IF(Settings!$B$25="USD",1/INDEX(Settings!$B$29:$B$40,MONTH(A1638)),INDEX(Settings!$B$29:$B$40,MONTH(A1638)))))</f>
        <v/>
      </c>
    </row>
    <row r="1639" customFormat="false" ht="15" hidden="false" customHeight="false" outlineLevel="0" collapsed="false">
      <c r="H1639" s="0" t="str">
        <f aca="false">IF(B1639="","",IF(COUNTIF(Campaigns!$A$7:$A$300,B1639)&gt;0,"✓","⚠ add to Campaigns tab"))</f>
        <v/>
      </c>
      <c r="I1639" s="84" t="str">
        <f aca="false">IF(C1639="","",C1639*IF(Settings!$B$25=Settings!$C$6,1,IF(Settings!$B$25="USD",1/INDEX(Settings!$B$29:$B$40,MONTH(A1639)),INDEX(Settings!$B$29:$B$40,MONTH(A1639)))))</f>
        <v/>
      </c>
    </row>
    <row r="1640" customFormat="false" ht="15" hidden="false" customHeight="false" outlineLevel="0" collapsed="false">
      <c r="H1640" s="0" t="str">
        <f aca="false">IF(B1640="","",IF(COUNTIF(Campaigns!$A$7:$A$300,B1640)&gt;0,"✓","⚠ add to Campaigns tab"))</f>
        <v/>
      </c>
      <c r="I1640" s="84" t="str">
        <f aca="false">IF(C1640="","",C1640*IF(Settings!$B$25=Settings!$C$6,1,IF(Settings!$B$25="USD",1/INDEX(Settings!$B$29:$B$40,MONTH(A1640)),INDEX(Settings!$B$29:$B$40,MONTH(A1640)))))</f>
        <v/>
      </c>
    </row>
    <row r="1641" customFormat="false" ht="15" hidden="false" customHeight="false" outlineLevel="0" collapsed="false">
      <c r="H1641" s="0" t="str">
        <f aca="false">IF(B1641="","",IF(COUNTIF(Campaigns!$A$7:$A$300,B1641)&gt;0,"✓","⚠ add to Campaigns tab"))</f>
        <v/>
      </c>
      <c r="I1641" s="84" t="str">
        <f aca="false">IF(C1641="","",C1641*IF(Settings!$B$25=Settings!$C$6,1,IF(Settings!$B$25="USD",1/INDEX(Settings!$B$29:$B$40,MONTH(A1641)),INDEX(Settings!$B$29:$B$40,MONTH(A1641)))))</f>
        <v/>
      </c>
    </row>
    <row r="1642" customFormat="false" ht="15" hidden="false" customHeight="false" outlineLevel="0" collapsed="false">
      <c r="H1642" s="0" t="str">
        <f aca="false">IF(B1642="","",IF(COUNTIF(Campaigns!$A$7:$A$300,B1642)&gt;0,"✓","⚠ add to Campaigns tab"))</f>
        <v/>
      </c>
      <c r="I1642" s="84" t="str">
        <f aca="false">IF(C1642="","",C1642*IF(Settings!$B$25=Settings!$C$6,1,IF(Settings!$B$25="USD",1/INDEX(Settings!$B$29:$B$40,MONTH(A1642)),INDEX(Settings!$B$29:$B$40,MONTH(A1642)))))</f>
        <v/>
      </c>
    </row>
    <row r="1643" customFormat="false" ht="15" hidden="false" customHeight="false" outlineLevel="0" collapsed="false">
      <c r="H1643" s="0" t="str">
        <f aca="false">IF(B1643="","",IF(COUNTIF(Campaigns!$A$7:$A$300,B1643)&gt;0,"✓","⚠ add to Campaigns tab"))</f>
        <v/>
      </c>
      <c r="I1643" s="84" t="str">
        <f aca="false">IF(C1643="","",C1643*IF(Settings!$B$25=Settings!$C$6,1,IF(Settings!$B$25="USD",1/INDEX(Settings!$B$29:$B$40,MONTH(A1643)),INDEX(Settings!$B$29:$B$40,MONTH(A1643)))))</f>
        <v/>
      </c>
    </row>
    <row r="1644" customFormat="false" ht="15" hidden="false" customHeight="false" outlineLevel="0" collapsed="false">
      <c r="H1644" s="0" t="str">
        <f aca="false">IF(B1644="","",IF(COUNTIF(Campaigns!$A$7:$A$300,B1644)&gt;0,"✓","⚠ add to Campaigns tab"))</f>
        <v/>
      </c>
      <c r="I1644" s="84" t="str">
        <f aca="false">IF(C1644="","",C1644*IF(Settings!$B$25=Settings!$C$6,1,IF(Settings!$B$25="USD",1/INDEX(Settings!$B$29:$B$40,MONTH(A1644)),INDEX(Settings!$B$29:$B$40,MONTH(A1644)))))</f>
        <v/>
      </c>
    </row>
    <row r="1645" customFormat="false" ht="15" hidden="false" customHeight="false" outlineLevel="0" collapsed="false">
      <c r="H1645" s="0" t="str">
        <f aca="false">IF(B1645="","",IF(COUNTIF(Campaigns!$A$7:$A$300,B1645)&gt;0,"✓","⚠ add to Campaigns tab"))</f>
        <v/>
      </c>
      <c r="I1645" s="84" t="str">
        <f aca="false">IF(C1645="","",C1645*IF(Settings!$B$25=Settings!$C$6,1,IF(Settings!$B$25="USD",1/INDEX(Settings!$B$29:$B$40,MONTH(A1645)),INDEX(Settings!$B$29:$B$40,MONTH(A1645)))))</f>
        <v/>
      </c>
    </row>
    <row r="1646" customFormat="false" ht="15" hidden="false" customHeight="false" outlineLevel="0" collapsed="false">
      <c r="H1646" s="0" t="str">
        <f aca="false">IF(B1646="","",IF(COUNTIF(Campaigns!$A$7:$A$300,B1646)&gt;0,"✓","⚠ add to Campaigns tab"))</f>
        <v/>
      </c>
      <c r="I1646" s="84" t="str">
        <f aca="false">IF(C1646="","",C1646*IF(Settings!$B$25=Settings!$C$6,1,IF(Settings!$B$25="USD",1/INDEX(Settings!$B$29:$B$40,MONTH(A1646)),INDEX(Settings!$B$29:$B$40,MONTH(A1646)))))</f>
        <v/>
      </c>
    </row>
    <row r="1647" customFormat="false" ht="15" hidden="false" customHeight="false" outlineLevel="0" collapsed="false">
      <c r="H1647" s="0" t="str">
        <f aca="false">IF(B1647="","",IF(COUNTIF(Campaigns!$A$7:$A$300,B1647)&gt;0,"✓","⚠ add to Campaigns tab"))</f>
        <v/>
      </c>
      <c r="I1647" s="84" t="str">
        <f aca="false">IF(C1647="","",C1647*IF(Settings!$B$25=Settings!$C$6,1,IF(Settings!$B$25="USD",1/INDEX(Settings!$B$29:$B$40,MONTH(A1647)),INDEX(Settings!$B$29:$B$40,MONTH(A1647)))))</f>
        <v/>
      </c>
    </row>
    <row r="1648" customFormat="false" ht="15" hidden="false" customHeight="false" outlineLevel="0" collapsed="false">
      <c r="H1648" s="0" t="str">
        <f aca="false">IF(B1648="","",IF(COUNTIF(Campaigns!$A$7:$A$300,B1648)&gt;0,"✓","⚠ add to Campaigns tab"))</f>
        <v/>
      </c>
      <c r="I1648" s="84" t="str">
        <f aca="false">IF(C1648="","",C1648*IF(Settings!$B$25=Settings!$C$6,1,IF(Settings!$B$25="USD",1/INDEX(Settings!$B$29:$B$40,MONTH(A1648)),INDEX(Settings!$B$29:$B$40,MONTH(A1648)))))</f>
        <v/>
      </c>
    </row>
    <row r="1649" customFormat="false" ht="15" hidden="false" customHeight="false" outlineLevel="0" collapsed="false">
      <c r="H1649" s="0" t="str">
        <f aca="false">IF(B1649="","",IF(COUNTIF(Campaigns!$A$7:$A$300,B1649)&gt;0,"✓","⚠ add to Campaigns tab"))</f>
        <v/>
      </c>
      <c r="I1649" s="84" t="str">
        <f aca="false">IF(C1649="","",C1649*IF(Settings!$B$25=Settings!$C$6,1,IF(Settings!$B$25="USD",1/INDEX(Settings!$B$29:$B$40,MONTH(A1649)),INDEX(Settings!$B$29:$B$40,MONTH(A1649)))))</f>
        <v/>
      </c>
    </row>
    <row r="1650" customFormat="false" ht="15" hidden="false" customHeight="false" outlineLevel="0" collapsed="false">
      <c r="H1650" s="0" t="str">
        <f aca="false">IF(B1650="","",IF(COUNTIF(Campaigns!$A$7:$A$300,B1650)&gt;0,"✓","⚠ add to Campaigns tab"))</f>
        <v/>
      </c>
      <c r="I1650" s="84" t="str">
        <f aca="false">IF(C1650="","",C1650*IF(Settings!$B$25=Settings!$C$6,1,IF(Settings!$B$25="USD",1/INDEX(Settings!$B$29:$B$40,MONTH(A1650)),INDEX(Settings!$B$29:$B$40,MONTH(A1650)))))</f>
        <v/>
      </c>
    </row>
    <row r="1651" customFormat="false" ht="15" hidden="false" customHeight="false" outlineLevel="0" collapsed="false">
      <c r="H1651" s="0" t="str">
        <f aca="false">IF(B1651="","",IF(COUNTIF(Campaigns!$A$7:$A$300,B1651)&gt;0,"✓","⚠ add to Campaigns tab"))</f>
        <v/>
      </c>
      <c r="I1651" s="84" t="str">
        <f aca="false">IF(C1651="","",C1651*IF(Settings!$B$25=Settings!$C$6,1,IF(Settings!$B$25="USD",1/INDEX(Settings!$B$29:$B$40,MONTH(A1651)),INDEX(Settings!$B$29:$B$40,MONTH(A1651)))))</f>
        <v/>
      </c>
    </row>
    <row r="1652" customFormat="false" ht="15" hidden="false" customHeight="false" outlineLevel="0" collapsed="false">
      <c r="H1652" s="0" t="str">
        <f aca="false">IF(B1652="","",IF(COUNTIF(Campaigns!$A$7:$A$300,B1652)&gt;0,"✓","⚠ add to Campaigns tab"))</f>
        <v/>
      </c>
      <c r="I1652" s="84" t="str">
        <f aca="false">IF(C1652="","",C1652*IF(Settings!$B$25=Settings!$C$6,1,IF(Settings!$B$25="USD",1/INDEX(Settings!$B$29:$B$40,MONTH(A1652)),INDEX(Settings!$B$29:$B$40,MONTH(A1652)))))</f>
        <v/>
      </c>
    </row>
    <row r="1653" customFormat="false" ht="15" hidden="false" customHeight="false" outlineLevel="0" collapsed="false">
      <c r="H1653" s="0" t="str">
        <f aca="false">IF(B1653="","",IF(COUNTIF(Campaigns!$A$7:$A$300,B1653)&gt;0,"✓","⚠ add to Campaigns tab"))</f>
        <v/>
      </c>
      <c r="I1653" s="84" t="str">
        <f aca="false">IF(C1653="","",C1653*IF(Settings!$B$25=Settings!$C$6,1,IF(Settings!$B$25="USD",1/INDEX(Settings!$B$29:$B$40,MONTH(A1653)),INDEX(Settings!$B$29:$B$40,MONTH(A1653)))))</f>
        <v/>
      </c>
    </row>
    <row r="1654" customFormat="false" ht="15" hidden="false" customHeight="false" outlineLevel="0" collapsed="false">
      <c r="H1654" s="0" t="str">
        <f aca="false">IF(B1654="","",IF(COUNTIF(Campaigns!$A$7:$A$300,B1654)&gt;0,"✓","⚠ add to Campaigns tab"))</f>
        <v/>
      </c>
      <c r="I1654" s="84" t="str">
        <f aca="false">IF(C1654="","",C1654*IF(Settings!$B$25=Settings!$C$6,1,IF(Settings!$B$25="USD",1/INDEX(Settings!$B$29:$B$40,MONTH(A1654)),INDEX(Settings!$B$29:$B$40,MONTH(A1654)))))</f>
        <v/>
      </c>
    </row>
    <row r="1655" customFormat="false" ht="15" hidden="false" customHeight="false" outlineLevel="0" collapsed="false">
      <c r="H1655" s="0" t="str">
        <f aca="false">IF(B1655="","",IF(COUNTIF(Campaigns!$A$7:$A$300,B1655)&gt;0,"✓","⚠ add to Campaigns tab"))</f>
        <v/>
      </c>
      <c r="I1655" s="84" t="str">
        <f aca="false">IF(C1655="","",C1655*IF(Settings!$B$25=Settings!$C$6,1,IF(Settings!$B$25="USD",1/INDEX(Settings!$B$29:$B$40,MONTH(A1655)),INDEX(Settings!$B$29:$B$40,MONTH(A1655)))))</f>
        <v/>
      </c>
    </row>
    <row r="1656" customFormat="false" ht="15" hidden="false" customHeight="false" outlineLevel="0" collapsed="false">
      <c r="H1656" s="0" t="str">
        <f aca="false">IF(B1656="","",IF(COUNTIF(Campaigns!$A$7:$A$300,B1656)&gt;0,"✓","⚠ add to Campaigns tab"))</f>
        <v/>
      </c>
      <c r="I1656" s="84" t="str">
        <f aca="false">IF(C1656="","",C1656*IF(Settings!$B$25=Settings!$C$6,1,IF(Settings!$B$25="USD",1/INDEX(Settings!$B$29:$B$40,MONTH(A1656)),INDEX(Settings!$B$29:$B$40,MONTH(A1656)))))</f>
        <v/>
      </c>
    </row>
    <row r="1657" customFormat="false" ht="15" hidden="false" customHeight="false" outlineLevel="0" collapsed="false">
      <c r="H1657" s="0" t="str">
        <f aca="false">IF(B1657="","",IF(COUNTIF(Campaigns!$A$7:$A$300,B1657)&gt;0,"✓","⚠ add to Campaigns tab"))</f>
        <v/>
      </c>
      <c r="I1657" s="84" t="str">
        <f aca="false">IF(C1657="","",C1657*IF(Settings!$B$25=Settings!$C$6,1,IF(Settings!$B$25="USD",1/INDEX(Settings!$B$29:$B$40,MONTH(A1657)),INDEX(Settings!$B$29:$B$40,MONTH(A1657)))))</f>
        <v/>
      </c>
    </row>
    <row r="1658" customFormat="false" ht="15" hidden="false" customHeight="false" outlineLevel="0" collapsed="false">
      <c r="H1658" s="0" t="str">
        <f aca="false">IF(B1658="","",IF(COUNTIF(Campaigns!$A$7:$A$300,B1658)&gt;0,"✓","⚠ add to Campaigns tab"))</f>
        <v/>
      </c>
      <c r="I1658" s="84" t="str">
        <f aca="false">IF(C1658="","",C1658*IF(Settings!$B$25=Settings!$C$6,1,IF(Settings!$B$25="USD",1/INDEX(Settings!$B$29:$B$40,MONTH(A1658)),INDEX(Settings!$B$29:$B$40,MONTH(A1658)))))</f>
        <v/>
      </c>
    </row>
    <row r="1659" customFormat="false" ht="15" hidden="false" customHeight="false" outlineLevel="0" collapsed="false">
      <c r="H1659" s="0" t="str">
        <f aca="false">IF(B1659="","",IF(COUNTIF(Campaigns!$A$7:$A$300,B1659)&gt;0,"✓","⚠ add to Campaigns tab"))</f>
        <v/>
      </c>
      <c r="I1659" s="84" t="str">
        <f aca="false">IF(C1659="","",C1659*IF(Settings!$B$25=Settings!$C$6,1,IF(Settings!$B$25="USD",1/INDEX(Settings!$B$29:$B$40,MONTH(A1659)),INDEX(Settings!$B$29:$B$40,MONTH(A1659)))))</f>
        <v/>
      </c>
    </row>
    <row r="1660" customFormat="false" ht="15" hidden="false" customHeight="false" outlineLevel="0" collapsed="false">
      <c r="H1660" s="0" t="str">
        <f aca="false">IF(B1660="","",IF(COUNTIF(Campaigns!$A$7:$A$300,B1660)&gt;0,"✓","⚠ add to Campaigns tab"))</f>
        <v/>
      </c>
      <c r="I1660" s="84" t="str">
        <f aca="false">IF(C1660="","",C1660*IF(Settings!$B$25=Settings!$C$6,1,IF(Settings!$B$25="USD",1/INDEX(Settings!$B$29:$B$40,MONTH(A1660)),INDEX(Settings!$B$29:$B$40,MONTH(A1660)))))</f>
        <v/>
      </c>
    </row>
    <row r="1661" customFormat="false" ht="15" hidden="false" customHeight="false" outlineLevel="0" collapsed="false">
      <c r="H1661" s="0" t="str">
        <f aca="false">IF(B1661="","",IF(COUNTIF(Campaigns!$A$7:$A$300,B1661)&gt;0,"✓","⚠ add to Campaigns tab"))</f>
        <v/>
      </c>
      <c r="I1661" s="84" t="str">
        <f aca="false">IF(C1661="","",C1661*IF(Settings!$B$25=Settings!$C$6,1,IF(Settings!$B$25="USD",1/INDEX(Settings!$B$29:$B$40,MONTH(A1661)),INDEX(Settings!$B$29:$B$40,MONTH(A1661)))))</f>
        <v/>
      </c>
    </row>
    <row r="1662" customFormat="false" ht="15" hidden="false" customHeight="false" outlineLevel="0" collapsed="false">
      <c r="H1662" s="0" t="str">
        <f aca="false">IF(B1662="","",IF(COUNTIF(Campaigns!$A$7:$A$300,B1662)&gt;0,"✓","⚠ add to Campaigns tab"))</f>
        <v/>
      </c>
      <c r="I1662" s="84" t="str">
        <f aca="false">IF(C1662="","",C1662*IF(Settings!$B$25=Settings!$C$6,1,IF(Settings!$B$25="USD",1/INDEX(Settings!$B$29:$B$40,MONTH(A1662)),INDEX(Settings!$B$29:$B$40,MONTH(A1662)))))</f>
        <v/>
      </c>
    </row>
    <row r="1663" customFormat="false" ht="15" hidden="false" customHeight="false" outlineLevel="0" collapsed="false">
      <c r="H1663" s="0" t="str">
        <f aca="false">IF(B1663="","",IF(COUNTIF(Campaigns!$A$7:$A$300,B1663)&gt;0,"✓","⚠ add to Campaigns tab"))</f>
        <v/>
      </c>
      <c r="I1663" s="84" t="str">
        <f aca="false">IF(C1663="","",C1663*IF(Settings!$B$25=Settings!$C$6,1,IF(Settings!$B$25="USD",1/INDEX(Settings!$B$29:$B$40,MONTH(A1663)),INDEX(Settings!$B$29:$B$40,MONTH(A1663)))))</f>
        <v/>
      </c>
    </row>
    <row r="1664" customFormat="false" ht="15" hidden="false" customHeight="false" outlineLevel="0" collapsed="false">
      <c r="H1664" s="0" t="str">
        <f aca="false">IF(B1664="","",IF(COUNTIF(Campaigns!$A$7:$A$300,B1664)&gt;0,"✓","⚠ add to Campaigns tab"))</f>
        <v/>
      </c>
      <c r="I1664" s="84" t="str">
        <f aca="false">IF(C1664="","",C1664*IF(Settings!$B$25=Settings!$C$6,1,IF(Settings!$B$25="USD",1/INDEX(Settings!$B$29:$B$40,MONTH(A1664)),INDEX(Settings!$B$29:$B$40,MONTH(A1664)))))</f>
        <v/>
      </c>
    </row>
    <row r="1665" customFormat="false" ht="15" hidden="false" customHeight="false" outlineLevel="0" collapsed="false">
      <c r="H1665" s="0" t="str">
        <f aca="false">IF(B1665="","",IF(COUNTIF(Campaigns!$A$7:$A$300,B1665)&gt;0,"✓","⚠ add to Campaigns tab"))</f>
        <v/>
      </c>
      <c r="I1665" s="84" t="str">
        <f aca="false">IF(C1665="","",C1665*IF(Settings!$B$25=Settings!$C$6,1,IF(Settings!$B$25="USD",1/INDEX(Settings!$B$29:$B$40,MONTH(A1665)),INDEX(Settings!$B$29:$B$40,MONTH(A1665)))))</f>
        <v/>
      </c>
    </row>
    <row r="1666" customFormat="false" ht="15" hidden="false" customHeight="false" outlineLevel="0" collapsed="false">
      <c r="H1666" s="0" t="str">
        <f aca="false">IF(B1666="","",IF(COUNTIF(Campaigns!$A$7:$A$300,B1666)&gt;0,"✓","⚠ add to Campaigns tab"))</f>
        <v/>
      </c>
      <c r="I1666" s="84" t="str">
        <f aca="false">IF(C1666="","",C1666*IF(Settings!$B$25=Settings!$C$6,1,IF(Settings!$B$25="USD",1/INDEX(Settings!$B$29:$B$40,MONTH(A1666)),INDEX(Settings!$B$29:$B$40,MONTH(A1666)))))</f>
        <v/>
      </c>
    </row>
    <row r="1667" customFormat="false" ht="15" hidden="false" customHeight="false" outlineLevel="0" collapsed="false">
      <c r="H1667" s="0" t="str">
        <f aca="false">IF(B1667="","",IF(COUNTIF(Campaigns!$A$7:$A$300,B1667)&gt;0,"✓","⚠ add to Campaigns tab"))</f>
        <v/>
      </c>
      <c r="I1667" s="84" t="str">
        <f aca="false">IF(C1667="","",C1667*IF(Settings!$B$25=Settings!$C$6,1,IF(Settings!$B$25="USD",1/INDEX(Settings!$B$29:$B$40,MONTH(A1667)),INDEX(Settings!$B$29:$B$40,MONTH(A1667)))))</f>
        <v/>
      </c>
    </row>
    <row r="1668" customFormat="false" ht="15" hidden="false" customHeight="false" outlineLevel="0" collapsed="false">
      <c r="H1668" s="0" t="str">
        <f aca="false">IF(B1668="","",IF(COUNTIF(Campaigns!$A$7:$A$300,B1668)&gt;0,"✓","⚠ add to Campaigns tab"))</f>
        <v/>
      </c>
      <c r="I1668" s="84" t="str">
        <f aca="false">IF(C1668="","",C1668*IF(Settings!$B$25=Settings!$C$6,1,IF(Settings!$B$25="USD",1/INDEX(Settings!$B$29:$B$40,MONTH(A1668)),INDEX(Settings!$B$29:$B$40,MONTH(A1668)))))</f>
        <v/>
      </c>
    </row>
    <row r="1669" customFormat="false" ht="15" hidden="false" customHeight="false" outlineLevel="0" collapsed="false">
      <c r="H1669" s="0" t="str">
        <f aca="false">IF(B1669="","",IF(COUNTIF(Campaigns!$A$7:$A$300,B1669)&gt;0,"✓","⚠ add to Campaigns tab"))</f>
        <v/>
      </c>
      <c r="I1669" s="84" t="str">
        <f aca="false">IF(C1669="","",C1669*IF(Settings!$B$25=Settings!$C$6,1,IF(Settings!$B$25="USD",1/INDEX(Settings!$B$29:$B$40,MONTH(A1669)),INDEX(Settings!$B$29:$B$40,MONTH(A1669)))))</f>
        <v/>
      </c>
    </row>
    <row r="1670" customFormat="false" ht="15" hidden="false" customHeight="false" outlineLevel="0" collapsed="false">
      <c r="H1670" s="0" t="str">
        <f aca="false">IF(B1670="","",IF(COUNTIF(Campaigns!$A$7:$A$300,B1670)&gt;0,"✓","⚠ add to Campaigns tab"))</f>
        <v/>
      </c>
      <c r="I1670" s="84" t="str">
        <f aca="false">IF(C1670="","",C1670*IF(Settings!$B$25=Settings!$C$6,1,IF(Settings!$B$25="USD",1/INDEX(Settings!$B$29:$B$40,MONTH(A1670)),INDEX(Settings!$B$29:$B$40,MONTH(A1670)))))</f>
        <v/>
      </c>
    </row>
    <row r="1671" customFormat="false" ht="15" hidden="false" customHeight="false" outlineLevel="0" collapsed="false">
      <c r="H1671" s="0" t="str">
        <f aca="false">IF(B1671="","",IF(COUNTIF(Campaigns!$A$7:$A$300,B1671)&gt;0,"✓","⚠ add to Campaigns tab"))</f>
        <v/>
      </c>
      <c r="I1671" s="84" t="str">
        <f aca="false">IF(C1671="","",C1671*IF(Settings!$B$25=Settings!$C$6,1,IF(Settings!$B$25="USD",1/INDEX(Settings!$B$29:$B$40,MONTH(A1671)),INDEX(Settings!$B$29:$B$40,MONTH(A1671)))))</f>
        <v/>
      </c>
    </row>
    <row r="1672" customFormat="false" ht="15" hidden="false" customHeight="false" outlineLevel="0" collapsed="false">
      <c r="H1672" s="0" t="str">
        <f aca="false">IF(B1672="","",IF(COUNTIF(Campaigns!$A$7:$A$300,B1672)&gt;0,"✓","⚠ add to Campaigns tab"))</f>
        <v/>
      </c>
      <c r="I1672" s="84" t="str">
        <f aca="false">IF(C1672="","",C1672*IF(Settings!$B$25=Settings!$C$6,1,IF(Settings!$B$25="USD",1/INDEX(Settings!$B$29:$B$40,MONTH(A1672)),INDEX(Settings!$B$29:$B$40,MONTH(A1672)))))</f>
        <v/>
      </c>
    </row>
    <row r="1673" customFormat="false" ht="15" hidden="false" customHeight="false" outlineLevel="0" collapsed="false">
      <c r="H1673" s="0" t="str">
        <f aca="false">IF(B1673="","",IF(COUNTIF(Campaigns!$A$7:$A$300,B1673)&gt;0,"✓","⚠ add to Campaigns tab"))</f>
        <v/>
      </c>
      <c r="I1673" s="84" t="str">
        <f aca="false">IF(C1673="","",C1673*IF(Settings!$B$25=Settings!$C$6,1,IF(Settings!$B$25="USD",1/INDEX(Settings!$B$29:$B$40,MONTH(A1673)),INDEX(Settings!$B$29:$B$40,MONTH(A1673)))))</f>
        <v/>
      </c>
    </row>
    <row r="1674" customFormat="false" ht="15" hidden="false" customHeight="false" outlineLevel="0" collapsed="false">
      <c r="H1674" s="0" t="str">
        <f aca="false">IF(B1674="","",IF(COUNTIF(Campaigns!$A$7:$A$300,B1674)&gt;0,"✓","⚠ add to Campaigns tab"))</f>
        <v/>
      </c>
      <c r="I1674" s="84" t="str">
        <f aca="false">IF(C1674="","",C1674*IF(Settings!$B$25=Settings!$C$6,1,IF(Settings!$B$25="USD",1/INDEX(Settings!$B$29:$B$40,MONTH(A1674)),INDEX(Settings!$B$29:$B$40,MONTH(A1674)))))</f>
        <v/>
      </c>
    </row>
    <row r="1675" customFormat="false" ht="15" hidden="false" customHeight="false" outlineLevel="0" collapsed="false">
      <c r="H1675" s="0" t="str">
        <f aca="false">IF(B1675="","",IF(COUNTIF(Campaigns!$A$7:$A$300,B1675)&gt;0,"✓","⚠ add to Campaigns tab"))</f>
        <v/>
      </c>
      <c r="I1675" s="84" t="str">
        <f aca="false">IF(C1675="","",C1675*IF(Settings!$B$25=Settings!$C$6,1,IF(Settings!$B$25="USD",1/INDEX(Settings!$B$29:$B$40,MONTH(A1675)),INDEX(Settings!$B$29:$B$40,MONTH(A1675)))))</f>
        <v/>
      </c>
    </row>
    <row r="1676" customFormat="false" ht="15" hidden="false" customHeight="false" outlineLevel="0" collapsed="false">
      <c r="H1676" s="0" t="str">
        <f aca="false">IF(B1676="","",IF(COUNTIF(Campaigns!$A$7:$A$300,B1676)&gt;0,"✓","⚠ add to Campaigns tab"))</f>
        <v/>
      </c>
      <c r="I1676" s="84" t="str">
        <f aca="false">IF(C1676="","",C1676*IF(Settings!$B$25=Settings!$C$6,1,IF(Settings!$B$25="USD",1/INDEX(Settings!$B$29:$B$40,MONTH(A1676)),INDEX(Settings!$B$29:$B$40,MONTH(A1676)))))</f>
        <v/>
      </c>
    </row>
    <row r="1677" customFormat="false" ht="15" hidden="false" customHeight="false" outlineLevel="0" collapsed="false">
      <c r="H1677" s="0" t="str">
        <f aca="false">IF(B1677="","",IF(COUNTIF(Campaigns!$A$7:$A$300,B1677)&gt;0,"✓","⚠ add to Campaigns tab"))</f>
        <v/>
      </c>
      <c r="I1677" s="84" t="str">
        <f aca="false">IF(C1677="","",C1677*IF(Settings!$B$25=Settings!$C$6,1,IF(Settings!$B$25="USD",1/INDEX(Settings!$B$29:$B$40,MONTH(A1677)),INDEX(Settings!$B$29:$B$40,MONTH(A1677)))))</f>
        <v/>
      </c>
    </row>
    <row r="1678" customFormat="false" ht="15" hidden="false" customHeight="false" outlineLevel="0" collapsed="false">
      <c r="H1678" s="0" t="str">
        <f aca="false">IF(B1678="","",IF(COUNTIF(Campaigns!$A$7:$A$300,B1678)&gt;0,"✓","⚠ add to Campaigns tab"))</f>
        <v/>
      </c>
      <c r="I1678" s="84" t="str">
        <f aca="false">IF(C1678="","",C1678*IF(Settings!$B$25=Settings!$C$6,1,IF(Settings!$B$25="USD",1/INDEX(Settings!$B$29:$B$40,MONTH(A1678)),INDEX(Settings!$B$29:$B$40,MONTH(A1678)))))</f>
        <v/>
      </c>
    </row>
    <row r="1679" customFormat="false" ht="15" hidden="false" customHeight="false" outlineLevel="0" collapsed="false">
      <c r="H1679" s="0" t="str">
        <f aca="false">IF(B1679="","",IF(COUNTIF(Campaigns!$A$7:$A$300,B1679)&gt;0,"✓","⚠ add to Campaigns tab"))</f>
        <v/>
      </c>
      <c r="I1679" s="84" t="str">
        <f aca="false">IF(C1679="","",C1679*IF(Settings!$B$25=Settings!$C$6,1,IF(Settings!$B$25="USD",1/INDEX(Settings!$B$29:$B$40,MONTH(A1679)),INDEX(Settings!$B$29:$B$40,MONTH(A1679)))))</f>
        <v/>
      </c>
    </row>
    <row r="1680" customFormat="false" ht="15" hidden="false" customHeight="false" outlineLevel="0" collapsed="false">
      <c r="H1680" s="0" t="str">
        <f aca="false">IF(B1680="","",IF(COUNTIF(Campaigns!$A$7:$A$300,B1680)&gt;0,"✓","⚠ add to Campaigns tab"))</f>
        <v/>
      </c>
      <c r="I1680" s="84" t="str">
        <f aca="false">IF(C1680="","",C1680*IF(Settings!$B$25=Settings!$C$6,1,IF(Settings!$B$25="USD",1/INDEX(Settings!$B$29:$B$40,MONTH(A1680)),INDEX(Settings!$B$29:$B$40,MONTH(A1680)))))</f>
        <v/>
      </c>
    </row>
    <row r="1681" customFormat="false" ht="15" hidden="false" customHeight="false" outlineLevel="0" collapsed="false">
      <c r="H1681" s="0" t="str">
        <f aca="false">IF(B1681="","",IF(COUNTIF(Campaigns!$A$7:$A$300,B1681)&gt;0,"✓","⚠ add to Campaigns tab"))</f>
        <v/>
      </c>
      <c r="I1681" s="84" t="str">
        <f aca="false">IF(C1681="","",C1681*IF(Settings!$B$25=Settings!$C$6,1,IF(Settings!$B$25="USD",1/INDEX(Settings!$B$29:$B$40,MONTH(A1681)),INDEX(Settings!$B$29:$B$40,MONTH(A1681)))))</f>
        <v/>
      </c>
    </row>
    <row r="1682" customFormat="false" ht="15" hidden="false" customHeight="false" outlineLevel="0" collapsed="false">
      <c r="H1682" s="0" t="str">
        <f aca="false">IF(B1682="","",IF(COUNTIF(Campaigns!$A$7:$A$300,B1682)&gt;0,"✓","⚠ add to Campaigns tab"))</f>
        <v/>
      </c>
      <c r="I1682" s="84" t="str">
        <f aca="false">IF(C1682="","",C1682*IF(Settings!$B$25=Settings!$C$6,1,IF(Settings!$B$25="USD",1/INDEX(Settings!$B$29:$B$40,MONTH(A1682)),INDEX(Settings!$B$29:$B$40,MONTH(A1682)))))</f>
        <v/>
      </c>
    </row>
    <row r="1683" customFormat="false" ht="15" hidden="false" customHeight="false" outlineLevel="0" collapsed="false">
      <c r="H1683" s="0" t="str">
        <f aca="false">IF(B1683="","",IF(COUNTIF(Campaigns!$A$7:$A$300,B1683)&gt;0,"✓","⚠ add to Campaigns tab"))</f>
        <v/>
      </c>
      <c r="I1683" s="84" t="str">
        <f aca="false">IF(C1683="","",C1683*IF(Settings!$B$25=Settings!$C$6,1,IF(Settings!$B$25="USD",1/INDEX(Settings!$B$29:$B$40,MONTH(A1683)),INDEX(Settings!$B$29:$B$40,MONTH(A1683)))))</f>
        <v/>
      </c>
    </row>
    <row r="1684" customFormat="false" ht="15" hidden="false" customHeight="false" outlineLevel="0" collapsed="false">
      <c r="H1684" s="0" t="str">
        <f aca="false">IF(B1684="","",IF(COUNTIF(Campaigns!$A$7:$A$300,B1684)&gt;0,"✓","⚠ add to Campaigns tab"))</f>
        <v/>
      </c>
      <c r="I1684" s="84" t="str">
        <f aca="false">IF(C1684="","",C1684*IF(Settings!$B$25=Settings!$C$6,1,IF(Settings!$B$25="USD",1/INDEX(Settings!$B$29:$B$40,MONTH(A1684)),INDEX(Settings!$B$29:$B$40,MONTH(A1684)))))</f>
        <v/>
      </c>
    </row>
    <row r="1685" customFormat="false" ht="15" hidden="false" customHeight="false" outlineLevel="0" collapsed="false">
      <c r="H1685" s="0" t="str">
        <f aca="false">IF(B1685="","",IF(COUNTIF(Campaigns!$A$7:$A$300,B1685)&gt;0,"✓","⚠ add to Campaigns tab"))</f>
        <v/>
      </c>
      <c r="I1685" s="84" t="str">
        <f aca="false">IF(C1685="","",C1685*IF(Settings!$B$25=Settings!$C$6,1,IF(Settings!$B$25="USD",1/INDEX(Settings!$B$29:$B$40,MONTH(A1685)),INDEX(Settings!$B$29:$B$40,MONTH(A1685)))))</f>
        <v/>
      </c>
    </row>
    <row r="1686" customFormat="false" ht="15" hidden="false" customHeight="false" outlineLevel="0" collapsed="false">
      <c r="H1686" s="0" t="str">
        <f aca="false">IF(B1686="","",IF(COUNTIF(Campaigns!$A$7:$A$300,B1686)&gt;0,"✓","⚠ add to Campaigns tab"))</f>
        <v/>
      </c>
      <c r="I1686" s="84" t="str">
        <f aca="false">IF(C1686="","",C1686*IF(Settings!$B$25=Settings!$C$6,1,IF(Settings!$B$25="USD",1/INDEX(Settings!$B$29:$B$40,MONTH(A1686)),INDEX(Settings!$B$29:$B$40,MONTH(A1686)))))</f>
        <v/>
      </c>
    </row>
    <row r="1687" customFormat="false" ht="15" hidden="false" customHeight="false" outlineLevel="0" collapsed="false">
      <c r="H1687" s="0" t="str">
        <f aca="false">IF(B1687="","",IF(COUNTIF(Campaigns!$A$7:$A$300,B1687)&gt;0,"✓","⚠ add to Campaigns tab"))</f>
        <v/>
      </c>
      <c r="I1687" s="84" t="str">
        <f aca="false">IF(C1687="","",C1687*IF(Settings!$B$25=Settings!$C$6,1,IF(Settings!$B$25="USD",1/INDEX(Settings!$B$29:$B$40,MONTH(A1687)),INDEX(Settings!$B$29:$B$40,MONTH(A1687)))))</f>
        <v/>
      </c>
    </row>
    <row r="1688" customFormat="false" ht="15" hidden="false" customHeight="false" outlineLevel="0" collapsed="false">
      <c r="H1688" s="0" t="str">
        <f aca="false">IF(B1688="","",IF(COUNTIF(Campaigns!$A$7:$A$300,B1688)&gt;0,"✓","⚠ add to Campaigns tab"))</f>
        <v/>
      </c>
      <c r="I1688" s="84" t="str">
        <f aca="false">IF(C1688="","",C1688*IF(Settings!$B$25=Settings!$C$6,1,IF(Settings!$B$25="USD",1/INDEX(Settings!$B$29:$B$40,MONTH(A1688)),INDEX(Settings!$B$29:$B$40,MONTH(A1688)))))</f>
        <v/>
      </c>
    </row>
    <row r="1689" customFormat="false" ht="15" hidden="false" customHeight="false" outlineLevel="0" collapsed="false">
      <c r="H1689" s="0" t="str">
        <f aca="false">IF(B1689="","",IF(COUNTIF(Campaigns!$A$7:$A$300,B1689)&gt;0,"✓","⚠ add to Campaigns tab"))</f>
        <v/>
      </c>
      <c r="I1689" s="84" t="str">
        <f aca="false">IF(C1689="","",C1689*IF(Settings!$B$25=Settings!$C$6,1,IF(Settings!$B$25="USD",1/INDEX(Settings!$B$29:$B$40,MONTH(A1689)),INDEX(Settings!$B$29:$B$40,MONTH(A1689)))))</f>
        <v/>
      </c>
    </row>
    <row r="1690" customFormat="false" ht="15" hidden="false" customHeight="false" outlineLevel="0" collapsed="false">
      <c r="H1690" s="0" t="str">
        <f aca="false">IF(B1690="","",IF(COUNTIF(Campaigns!$A$7:$A$300,B1690)&gt;0,"✓","⚠ add to Campaigns tab"))</f>
        <v/>
      </c>
      <c r="I1690" s="84" t="str">
        <f aca="false">IF(C1690="","",C1690*IF(Settings!$B$25=Settings!$C$6,1,IF(Settings!$B$25="USD",1/INDEX(Settings!$B$29:$B$40,MONTH(A1690)),INDEX(Settings!$B$29:$B$40,MONTH(A1690)))))</f>
        <v/>
      </c>
    </row>
    <row r="1691" customFormat="false" ht="15" hidden="false" customHeight="false" outlineLevel="0" collapsed="false">
      <c r="H1691" s="0" t="str">
        <f aca="false">IF(B1691="","",IF(COUNTIF(Campaigns!$A$7:$A$300,B1691)&gt;0,"✓","⚠ add to Campaigns tab"))</f>
        <v/>
      </c>
      <c r="I1691" s="84" t="str">
        <f aca="false">IF(C1691="","",C1691*IF(Settings!$B$25=Settings!$C$6,1,IF(Settings!$B$25="USD",1/INDEX(Settings!$B$29:$B$40,MONTH(A1691)),INDEX(Settings!$B$29:$B$40,MONTH(A1691)))))</f>
        <v/>
      </c>
    </row>
    <row r="1692" customFormat="false" ht="15" hidden="false" customHeight="false" outlineLevel="0" collapsed="false">
      <c r="H1692" s="0" t="str">
        <f aca="false">IF(B1692="","",IF(COUNTIF(Campaigns!$A$7:$A$300,B1692)&gt;0,"✓","⚠ add to Campaigns tab"))</f>
        <v/>
      </c>
      <c r="I1692" s="84" t="str">
        <f aca="false">IF(C1692="","",C1692*IF(Settings!$B$25=Settings!$C$6,1,IF(Settings!$B$25="USD",1/INDEX(Settings!$B$29:$B$40,MONTH(A1692)),INDEX(Settings!$B$29:$B$40,MONTH(A1692)))))</f>
        <v/>
      </c>
    </row>
    <row r="1693" customFormat="false" ht="15" hidden="false" customHeight="false" outlineLevel="0" collapsed="false">
      <c r="H1693" s="0" t="str">
        <f aca="false">IF(B1693="","",IF(COUNTIF(Campaigns!$A$7:$A$300,B1693)&gt;0,"✓","⚠ add to Campaigns tab"))</f>
        <v/>
      </c>
      <c r="I1693" s="84" t="str">
        <f aca="false">IF(C1693="","",C1693*IF(Settings!$B$25=Settings!$C$6,1,IF(Settings!$B$25="USD",1/INDEX(Settings!$B$29:$B$40,MONTH(A1693)),INDEX(Settings!$B$29:$B$40,MONTH(A1693)))))</f>
        <v/>
      </c>
    </row>
    <row r="1694" customFormat="false" ht="15" hidden="false" customHeight="false" outlineLevel="0" collapsed="false">
      <c r="H1694" s="0" t="str">
        <f aca="false">IF(B1694="","",IF(COUNTIF(Campaigns!$A$7:$A$300,B1694)&gt;0,"✓","⚠ add to Campaigns tab"))</f>
        <v/>
      </c>
      <c r="I1694" s="84" t="str">
        <f aca="false">IF(C1694="","",C1694*IF(Settings!$B$25=Settings!$C$6,1,IF(Settings!$B$25="USD",1/INDEX(Settings!$B$29:$B$40,MONTH(A1694)),INDEX(Settings!$B$29:$B$40,MONTH(A1694)))))</f>
        <v/>
      </c>
    </row>
    <row r="1695" customFormat="false" ht="15" hidden="false" customHeight="false" outlineLevel="0" collapsed="false">
      <c r="H1695" s="0" t="str">
        <f aca="false">IF(B1695="","",IF(COUNTIF(Campaigns!$A$7:$A$300,B1695)&gt;0,"✓","⚠ add to Campaigns tab"))</f>
        <v/>
      </c>
      <c r="I1695" s="84" t="str">
        <f aca="false">IF(C1695="","",C1695*IF(Settings!$B$25=Settings!$C$6,1,IF(Settings!$B$25="USD",1/INDEX(Settings!$B$29:$B$40,MONTH(A1695)),INDEX(Settings!$B$29:$B$40,MONTH(A1695)))))</f>
        <v/>
      </c>
    </row>
    <row r="1696" customFormat="false" ht="15" hidden="false" customHeight="false" outlineLevel="0" collapsed="false">
      <c r="H1696" s="0" t="str">
        <f aca="false">IF(B1696="","",IF(COUNTIF(Campaigns!$A$7:$A$300,B1696)&gt;0,"✓","⚠ add to Campaigns tab"))</f>
        <v/>
      </c>
      <c r="I1696" s="84" t="str">
        <f aca="false">IF(C1696="","",C1696*IF(Settings!$B$25=Settings!$C$6,1,IF(Settings!$B$25="USD",1/INDEX(Settings!$B$29:$B$40,MONTH(A1696)),INDEX(Settings!$B$29:$B$40,MONTH(A1696)))))</f>
        <v/>
      </c>
    </row>
    <row r="1697" customFormat="false" ht="15" hidden="false" customHeight="false" outlineLevel="0" collapsed="false">
      <c r="H1697" s="0" t="str">
        <f aca="false">IF(B1697="","",IF(COUNTIF(Campaigns!$A$7:$A$300,B1697)&gt;0,"✓","⚠ add to Campaigns tab"))</f>
        <v/>
      </c>
      <c r="I1697" s="84" t="str">
        <f aca="false">IF(C1697="","",C1697*IF(Settings!$B$25=Settings!$C$6,1,IF(Settings!$B$25="USD",1/INDEX(Settings!$B$29:$B$40,MONTH(A1697)),INDEX(Settings!$B$29:$B$40,MONTH(A1697)))))</f>
        <v/>
      </c>
    </row>
    <row r="1698" customFormat="false" ht="15" hidden="false" customHeight="false" outlineLevel="0" collapsed="false">
      <c r="H1698" s="0" t="str">
        <f aca="false">IF(B1698="","",IF(COUNTIF(Campaigns!$A$7:$A$300,B1698)&gt;0,"✓","⚠ add to Campaigns tab"))</f>
        <v/>
      </c>
      <c r="I1698" s="84" t="str">
        <f aca="false">IF(C1698="","",C1698*IF(Settings!$B$25=Settings!$C$6,1,IF(Settings!$B$25="USD",1/INDEX(Settings!$B$29:$B$40,MONTH(A1698)),INDEX(Settings!$B$29:$B$40,MONTH(A1698)))))</f>
        <v/>
      </c>
    </row>
    <row r="1699" customFormat="false" ht="15" hidden="false" customHeight="false" outlineLevel="0" collapsed="false">
      <c r="H1699" s="0" t="str">
        <f aca="false">IF(B1699="","",IF(COUNTIF(Campaigns!$A$7:$A$300,B1699)&gt;0,"✓","⚠ add to Campaigns tab"))</f>
        <v/>
      </c>
      <c r="I1699" s="84" t="str">
        <f aca="false">IF(C1699="","",C1699*IF(Settings!$B$25=Settings!$C$6,1,IF(Settings!$B$25="USD",1/INDEX(Settings!$B$29:$B$40,MONTH(A1699)),INDEX(Settings!$B$29:$B$40,MONTH(A1699)))))</f>
        <v/>
      </c>
    </row>
    <row r="1700" customFormat="false" ht="15" hidden="false" customHeight="false" outlineLevel="0" collapsed="false">
      <c r="H1700" s="0" t="str">
        <f aca="false">IF(B1700="","",IF(COUNTIF(Campaigns!$A$7:$A$300,B1700)&gt;0,"✓","⚠ add to Campaigns tab"))</f>
        <v/>
      </c>
      <c r="I1700" s="84" t="str">
        <f aca="false">IF(C1700="","",C1700*IF(Settings!$B$25=Settings!$C$6,1,IF(Settings!$B$25="USD",1/INDEX(Settings!$B$29:$B$40,MONTH(A1700)),INDEX(Settings!$B$29:$B$40,MONTH(A1700)))))</f>
        <v/>
      </c>
    </row>
    <row r="1701" customFormat="false" ht="15" hidden="false" customHeight="false" outlineLevel="0" collapsed="false">
      <c r="H1701" s="0" t="str">
        <f aca="false">IF(B1701="","",IF(COUNTIF(Campaigns!$A$7:$A$300,B1701)&gt;0,"✓","⚠ add to Campaigns tab"))</f>
        <v/>
      </c>
      <c r="I1701" s="84" t="str">
        <f aca="false">IF(C1701="","",C1701*IF(Settings!$B$25=Settings!$C$6,1,IF(Settings!$B$25="USD",1/INDEX(Settings!$B$29:$B$40,MONTH(A1701)),INDEX(Settings!$B$29:$B$40,MONTH(A1701)))))</f>
        <v/>
      </c>
    </row>
    <row r="1702" customFormat="false" ht="15" hidden="false" customHeight="false" outlineLevel="0" collapsed="false">
      <c r="H1702" s="0" t="str">
        <f aca="false">IF(B1702="","",IF(COUNTIF(Campaigns!$A$7:$A$300,B1702)&gt;0,"✓","⚠ add to Campaigns tab"))</f>
        <v/>
      </c>
      <c r="I1702" s="84" t="str">
        <f aca="false">IF(C1702="","",C1702*IF(Settings!$B$25=Settings!$C$6,1,IF(Settings!$B$25="USD",1/INDEX(Settings!$B$29:$B$40,MONTH(A1702)),INDEX(Settings!$B$29:$B$40,MONTH(A1702)))))</f>
        <v/>
      </c>
    </row>
    <row r="1703" customFormat="false" ht="15" hidden="false" customHeight="false" outlineLevel="0" collapsed="false">
      <c r="H1703" s="0" t="str">
        <f aca="false">IF(B1703="","",IF(COUNTIF(Campaigns!$A$7:$A$300,B1703)&gt;0,"✓","⚠ add to Campaigns tab"))</f>
        <v/>
      </c>
      <c r="I1703" s="84" t="str">
        <f aca="false">IF(C1703="","",C1703*IF(Settings!$B$25=Settings!$C$6,1,IF(Settings!$B$25="USD",1/INDEX(Settings!$B$29:$B$40,MONTH(A1703)),INDEX(Settings!$B$29:$B$40,MONTH(A1703)))))</f>
        <v/>
      </c>
    </row>
    <row r="1704" customFormat="false" ht="15" hidden="false" customHeight="false" outlineLevel="0" collapsed="false">
      <c r="H1704" s="0" t="str">
        <f aca="false">IF(B1704="","",IF(COUNTIF(Campaigns!$A$7:$A$300,B1704)&gt;0,"✓","⚠ add to Campaigns tab"))</f>
        <v/>
      </c>
      <c r="I1704" s="84" t="str">
        <f aca="false">IF(C1704="","",C1704*IF(Settings!$B$25=Settings!$C$6,1,IF(Settings!$B$25="USD",1/INDEX(Settings!$B$29:$B$40,MONTH(A1704)),INDEX(Settings!$B$29:$B$40,MONTH(A1704)))))</f>
        <v/>
      </c>
    </row>
    <row r="1705" customFormat="false" ht="15" hidden="false" customHeight="false" outlineLevel="0" collapsed="false">
      <c r="H1705" s="0" t="str">
        <f aca="false">IF(B1705="","",IF(COUNTIF(Campaigns!$A$7:$A$300,B1705)&gt;0,"✓","⚠ add to Campaigns tab"))</f>
        <v/>
      </c>
      <c r="I1705" s="84" t="str">
        <f aca="false">IF(C1705="","",C1705*IF(Settings!$B$25=Settings!$C$6,1,IF(Settings!$B$25="USD",1/INDEX(Settings!$B$29:$B$40,MONTH(A1705)),INDEX(Settings!$B$29:$B$40,MONTH(A1705)))))</f>
        <v/>
      </c>
    </row>
    <row r="1706" customFormat="false" ht="15" hidden="false" customHeight="false" outlineLevel="0" collapsed="false">
      <c r="H1706" s="0" t="str">
        <f aca="false">IF(B1706="","",IF(COUNTIF(Campaigns!$A$7:$A$300,B1706)&gt;0,"✓","⚠ add to Campaigns tab"))</f>
        <v/>
      </c>
      <c r="I1706" s="84" t="str">
        <f aca="false">IF(C1706="","",C1706*IF(Settings!$B$25=Settings!$C$6,1,IF(Settings!$B$25="USD",1/INDEX(Settings!$B$29:$B$40,MONTH(A1706)),INDEX(Settings!$B$29:$B$40,MONTH(A1706)))))</f>
        <v/>
      </c>
    </row>
    <row r="1707" customFormat="false" ht="15" hidden="false" customHeight="false" outlineLevel="0" collapsed="false">
      <c r="H1707" s="0" t="str">
        <f aca="false">IF(B1707="","",IF(COUNTIF(Campaigns!$A$7:$A$300,B1707)&gt;0,"✓","⚠ add to Campaigns tab"))</f>
        <v/>
      </c>
      <c r="I1707" s="84" t="str">
        <f aca="false">IF(C1707="","",C1707*IF(Settings!$B$25=Settings!$C$6,1,IF(Settings!$B$25="USD",1/INDEX(Settings!$B$29:$B$40,MONTH(A1707)),INDEX(Settings!$B$29:$B$40,MONTH(A1707)))))</f>
        <v/>
      </c>
    </row>
    <row r="1708" customFormat="false" ht="15" hidden="false" customHeight="false" outlineLevel="0" collapsed="false">
      <c r="H1708" s="0" t="str">
        <f aca="false">IF(B1708="","",IF(COUNTIF(Campaigns!$A$7:$A$300,B1708)&gt;0,"✓","⚠ add to Campaigns tab"))</f>
        <v/>
      </c>
      <c r="I1708" s="84" t="str">
        <f aca="false">IF(C1708="","",C1708*IF(Settings!$B$25=Settings!$C$6,1,IF(Settings!$B$25="USD",1/INDEX(Settings!$B$29:$B$40,MONTH(A1708)),INDEX(Settings!$B$29:$B$40,MONTH(A1708)))))</f>
        <v/>
      </c>
    </row>
    <row r="1709" customFormat="false" ht="15" hidden="false" customHeight="false" outlineLevel="0" collapsed="false">
      <c r="H1709" s="0" t="str">
        <f aca="false">IF(B1709="","",IF(COUNTIF(Campaigns!$A$7:$A$300,B1709)&gt;0,"✓","⚠ add to Campaigns tab"))</f>
        <v/>
      </c>
      <c r="I1709" s="84" t="str">
        <f aca="false">IF(C1709="","",C1709*IF(Settings!$B$25=Settings!$C$6,1,IF(Settings!$B$25="USD",1/INDEX(Settings!$B$29:$B$40,MONTH(A1709)),INDEX(Settings!$B$29:$B$40,MONTH(A1709)))))</f>
        <v/>
      </c>
    </row>
    <row r="1710" customFormat="false" ht="15" hidden="false" customHeight="false" outlineLevel="0" collapsed="false">
      <c r="H1710" s="0" t="str">
        <f aca="false">IF(B1710="","",IF(COUNTIF(Campaigns!$A$7:$A$300,B1710)&gt;0,"✓","⚠ add to Campaigns tab"))</f>
        <v/>
      </c>
      <c r="I1710" s="84" t="str">
        <f aca="false">IF(C1710="","",C1710*IF(Settings!$B$25=Settings!$C$6,1,IF(Settings!$B$25="USD",1/INDEX(Settings!$B$29:$B$40,MONTH(A1710)),INDEX(Settings!$B$29:$B$40,MONTH(A1710)))))</f>
        <v/>
      </c>
    </row>
    <row r="1711" customFormat="false" ht="15" hidden="false" customHeight="false" outlineLevel="0" collapsed="false">
      <c r="H1711" s="0" t="str">
        <f aca="false">IF(B1711="","",IF(COUNTIF(Campaigns!$A$7:$A$300,B1711)&gt;0,"✓","⚠ add to Campaigns tab"))</f>
        <v/>
      </c>
      <c r="I1711" s="84" t="str">
        <f aca="false">IF(C1711="","",C1711*IF(Settings!$B$25=Settings!$C$6,1,IF(Settings!$B$25="USD",1/INDEX(Settings!$B$29:$B$40,MONTH(A1711)),INDEX(Settings!$B$29:$B$40,MONTH(A1711)))))</f>
        <v/>
      </c>
    </row>
    <row r="1712" customFormat="false" ht="15" hidden="false" customHeight="false" outlineLevel="0" collapsed="false">
      <c r="H1712" s="0" t="str">
        <f aca="false">IF(B1712="","",IF(COUNTIF(Campaigns!$A$7:$A$300,B1712)&gt;0,"✓","⚠ add to Campaigns tab"))</f>
        <v/>
      </c>
      <c r="I1712" s="84" t="str">
        <f aca="false">IF(C1712="","",C1712*IF(Settings!$B$25=Settings!$C$6,1,IF(Settings!$B$25="USD",1/INDEX(Settings!$B$29:$B$40,MONTH(A1712)),INDEX(Settings!$B$29:$B$40,MONTH(A1712)))))</f>
        <v/>
      </c>
    </row>
    <row r="1713" customFormat="false" ht="15" hidden="false" customHeight="false" outlineLevel="0" collapsed="false">
      <c r="H1713" s="0" t="str">
        <f aca="false">IF(B1713="","",IF(COUNTIF(Campaigns!$A$7:$A$300,B1713)&gt;0,"✓","⚠ add to Campaigns tab"))</f>
        <v/>
      </c>
      <c r="I1713" s="84" t="str">
        <f aca="false">IF(C1713="","",C1713*IF(Settings!$B$25=Settings!$C$6,1,IF(Settings!$B$25="USD",1/INDEX(Settings!$B$29:$B$40,MONTH(A1713)),INDEX(Settings!$B$29:$B$40,MONTH(A1713)))))</f>
        <v/>
      </c>
    </row>
    <row r="1714" customFormat="false" ht="15" hidden="false" customHeight="false" outlineLevel="0" collapsed="false">
      <c r="H1714" s="0" t="str">
        <f aca="false">IF(B1714="","",IF(COUNTIF(Campaigns!$A$7:$A$300,B1714)&gt;0,"✓","⚠ add to Campaigns tab"))</f>
        <v/>
      </c>
      <c r="I1714" s="84" t="str">
        <f aca="false">IF(C1714="","",C1714*IF(Settings!$B$25=Settings!$C$6,1,IF(Settings!$B$25="USD",1/INDEX(Settings!$B$29:$B$40,MONTH(A1714)),INDEX(Settings!$B$29:$B$40,MONTH(A1714)))))</f>
        <v/>
      </c>
    </row>
    <row r="1715" customFormat="false" ht="15" hidden="false" customHeight="false" outlineLevel="0" collapsed="false">
      <c r="H1715" s="0" t="str">
        <f aca="false">IF(B1715="","",IF(COUNTIF(Campaigns!$A$7:$A$300,B1715)&gt;0,"✓","⚠ add to Campaigns tab"))</f>
        <v/>
      </c>
      <c r="I1715" s="84" t="str">
        <f aca="false">IF(C1715="","",C1715*IF(Settings!$B$25=Settings!$C$6,1,IF(Settings!$B$25="USD",1/INDEX(Settings!$B$29:$B$40,MONTH(A1715)),INDEX(Settings!$B$29:$B$40,MONTH(A1715)))))</f>
        <v/>
      </c>
    </row>
    <row r="1716" customFormat="false" ht="15" hidden="false" customHeight="false" outlineLevel="0" collapsed="false">
      <c r="H1716" s="0" t="str">
        <f aca="false">IF(B1716="","",IF(COUNTIF(Campaigns!$A$7:$A$300,B1716)&gt;0,"✓","⚠ add to Campaigns tab"))</f>
        <v/>
      </c>
      <c r="I1716" s="84" t="str">
        <f aca="false">IF(C1716="","",C1716*IF(Settings!$B$25=Settings!$C$6,1,IF(Settings!$B$25="USD",1/INDEX(Settings!$B$29:$B$40,MONTH(A1716)),INDEX(Settings!$B$29:$B$40,MONTH(A1716)))))</f>
        <v/>
      </c>
    </row>
    <row r="1717" customFormat="false" ht="15" hidden="false" customHeight="false" outlineLevel="0" collapsed="false">
      <c r="H1717" s="0" t="str">
        <f aca="false">IF(B1717="","",IF(COUNTIF(Campaigns!$A$7:$A$300,B1717)&gt;0,"✓","⚠ add to Campaigns tab"))</f>
        <v/>
      </c>
      <c r="I1717" s="84" t="str">
        <f aca="false">IF(C1717="","",C1717*IF(Settings!$B$25=Settings!$C$6,1,IF(Settings!$B$25="USD",1/INDEX(Settings!$B$29:$B$40,MONTH(A1717)),INDEX(Settings!$B$29:$B$40,MONTH(A1717)))))</f>
        <v/>
      </c>
    </row>
    <row r="1718" customFormat="false" ht="15" hidden="false" customHeight="false" outlineLevel="0" collapsed="false">
      <c r="H1718" s="0" t="str">
        <f aca="false">IF(B1718="","",IF(COUNTIF(Campaigns!$A$7:$A$300,B1718)&gt;0,"✓","⚠ add to Campaigns tab"))</f>
        <v/>
      </c>
      <c r="I1718" s="84" t="str">
        <f aca="false">IF(C1718="","",C1718*IF(Settings!$B$25=Settings!$C$6,1,IF(Settings!$B$25="USD",1/INDEX(Settings!$B$29:$B$40,MONTH(A1718)),INDEX(Settings!$B$29:$B$40,MONTH(A1718)))))</f>
        <v/>
      </c>
    </row>
    <row r="1719" customFormat="false" ht="15" hidden="false" customHeight="false" outlineLevel="0" collapsed="false">
      <c r="H1719" s="0" t="str">
        <f aca="false">IF(B1719="","",IF(COUNTIF(Campaigns!$A$7:$A$300,B1719)&gt;0,"✓","⚠ add to Campaigns tab"))</f>
        <v/>
      </c>
      <c r="I1719" s="84" t="str">
        <f aca="false">IF(C1719="","",C1719*IF(Settings!$B$25=Settings!$C$6,1,IF(Settings!$B$25="USD",1/INDEX(Settings!$B$29:$B$40,MONTH(A1719)),INDEX(Settings!$B$29:$B$40,MONTH(A1719)))))</f>
        <v/>
      </c>
    </row>
    <row r="1720" customFormat="false" ht="15" hidden="false" customHeight="false" outlineLevel="0" collapsed="false">
      <c r="H1720" s="0" t="str">
        <f aca="false">IF(B1720="","",IF(COUNTIF(Campaigns!$A$7:$A$300,B1720)&gt;0,"✓","⚠ add to Campaigns tab"))</f>
        <v/>
      </c>
      <c r="I1720" s="84" t="str">
        <f aca="false">IF(C1720="","",C1720*IF(Settings!$B$25=Settings!$C$6,1,IF(Settings!$B$25="USD",1/INDEX(Settings!$B$29:$B$40,MONTH(A1720)),INDEX(Settings!$B$29:$B$40,MONTH(A1720)))))</f>
        <v/>
      </c>
    </row>
    <row r="1721" customFormat="false" ht="15" hidden="false" customHeight="false" outlineLevel="0" collapsed="false">
      <c r="H1721" s="0" t="str">
        <f aca="false">IF(B1721="","",IF(COUNTIF(Campaigns!$A$7:$A$300,B1721)&gt;0,"✓","⚠ add to Campaigns tab"))</f>
        <v/>
      </c>
      <c r="I1721" s="84" t="str">
        <f aca="false">IF(C1721="","",C1721*IF(Settings!$B$25=Settings!$C$6,1,IF(Settings!$B$25="USD",1/INDEX(Settings!$B$29:$B$40,MONTH(A1721)),INDEX(Settings!$B$29:$B$40,MONTH(A1721)))))</f>
        <v/>
      </c>
    </row>
    <row r="1722" customFormat="false" ht="15" hidden="false" customHeight="false" outlineLevel="0" collapsed="false">
      <c r="H1722" s="0" t="str">
        <f aca="false">IF(B1722="","",IF(COUNTIF(Campaigns!$A$7:$A$300,B1722)&gt;0,"✓","⚠ add to Campaigns tab"))</f>
        <v/>
      </c>
      <c r="I1722" s="84" t="str">
        <f aca="false">IF(C1722="","",C1722*IF(Settings!$B$25=Settings!$C$6,1,IF(Settings!$B$25="USD",1/INDEX(Settings!$B$29:$B$40,MONTH(A1722)),INDEX(Settings!$B$29:$B$40,MONTH(A1722)))))</f>
        <v/>
      </c>
    </row>
    <row r="1723" customFormat="false" ht="15" hidden="false" customHeight="false" outlineLevel="0" collapsed="false">
      <c r="H1723" s="0" t="str">
        <f aca="false">IF(B1723="","",IF(COUNTIF(Campaigns!$A$7:$A$300,B1723)&gt;0,"✓","⚠ add to Campaigns tab"))</f>
        <v/>
      </c>
      <c r="I1723" s="84" t="str">
        <f aca="false">IF(C1723="","",C1723*IF(Settings!$B$25=Settings!$C$6,1,IF(Settings!$B$25="USD",1/INDEX(Settings!$B$29:$B$40,MONTH(A1723)),INDEX(Settings!$B$29:$B$40,MONTH(A1723)))))</f>
        <v/>
      </c>
    </row>
    <row r="1724" customFormat="false" ht="15" hidden="false" customHeight="false" outlineLevel="0" collapsed="false">
      <c r="H1724" s="0" t="str">
        <f aca="false">IF(B1724="","",IF(COUNTIF(Campaigns!$A$7:$A$300,B1724)&gt;0,"✓","⚠ add to Campaigns tab"))</f>
        <v/>
      </c>
      <c r="I1724" s="84" t="str">
        <f aca="false">IF(C1724="","",C1724*IF(Settings!$B$25=Settings!$C$6,1,IF(Settings!$B$25="USD",1/INDEX(Settings!$B$29:$B$40,MONTH(A1724)),INDEX(Settings!$B$29:$B$40,MONTH(A1724)))))</f>
        <v/>
      </c>
    </row>
    <row r="1725" customFormat="false" ht="15" hidden="false" customHeight="false" outlineLevel="0" collapsed="false">
      <c r="H1725" s="0" t="str">
        <f aca="false">IF(B1725="","",IF(COUNTIF(Campaigns!$A$7:$A$300,B1725)&gt;0,"✓","⚠ add to Campaigns tab"))</f>
        <v/>
      </c>
      <c r="I1725" s="84" t="str">
        <f aca="false">IF(C1725="","",C1725*IF(Settings!$B$25=Settings!$C$6,1,IF(Settings!$B$25="USD",1/INDEX(Settings!$B$29:$B$40,MONTH(A1725)),INDEX(Settings!$B$29:$B$40,MONTH(A1725)))))</f>
        <v/>
      </c>
    </row>
    <row r="1726" customFormat="false" ht="15" hidden="false" customHeight="false" outlineLevel="0" collapsed="false">
      <c r="H1726" s="0" t="str">
        <f aca="false">IF(B1726="","",IF(COUNTIF(Campaigns!$A$7:$A$300,B1726)&gt;0,"✓","⚠ add to Campaigns tab"))</f>
        <v/>
      </c>
      <c r="I1726" s="84" t="str">
        <f aca="false">IF(C1726="","",C1726*IF(Settings!$B$25=Settings!$C$6,1,IF(Settings!$B$25="USD",1/INDEX(Settings!$B$29:$B$40,MONTH(A1726)),INDEX(Settings!$B$29:$B$40,MONTH(A1726)))))</f>
        <v/>
      </c>
    </row>
    <row r="1727" customFormat="false" ht="15" hidden="false" customHeight="false" outlineLevel="0" collapsed="false">
      <c r="H1727" s="0" t="str">
        <f aca="false">IF(B1727="","",IF(COUNTIF(Campaigns!$A$7:$A$300,B1727)&gt;0,"✓","⚠ add to Campaigns tab"))</f>
        <v/>
      </c>
      <c r="I1727" s="84" t="str">
        <f aca="false">IF(C1727="","",C1727*IF(Settings!$B$25=Settings!$C$6,1,IF(Settings!$B$25="USD",1/INDEX(Settings!$B$29:$B$40,MONTH(A1727)),INDEX(Settings!$B$29:$B$40,MONTH(A1727)))))</f>
        <v/>
      </c>
    </row>
    <row r="1728" customFormat="false" ht="15" hidden="false" customHeight="false" outlineLevel="0" collapsed="false">
      <c r="H1728" s="0" t="str">
        <f aca="false">IF(B1728="","",IF(COUNTIF(Campaigns!$A$7:$A$300,B1728)&gt;0,"✓","⚠ add to Campaigns tab"))</f>
        <v/>
      </c>
      <c r="I1728" s="84" t="str">
        <f aca="false">IF(C1728="","",C1728*IF(Settings!$B$25=Settings!$C$6,1,IF(Settings!$B$25="USD",1/INDEX(Settings!$B$29:$B$40,MONTH(A1728)),INDEX(Settings!$B$29:$B$40,MONTH(A1728)))))</f>
        <v/>
      </c>
    </row>
    <row r="1729" customFormat="false" ht="15" hidden="false" customHeight="false" outlineLevel="0" collapsed="false">
      <c r="H1729" s="0" t="str">
        <f aca="false">IF(B1729="","",IF(COUNTIF(Campaigns!$A$7:$A$300,B1729)&gt;0,"✓","⚠ add to Campaigns tab"))</f>
        <v/>
      </c>
      <c r="I1729" s="84" t="str">
        <f aca="false">IF(C1729="","",C1729*IF(Settings!$B$25=Settings!$C$6,1,IF(Settings!$B$25="USD",1/INDEX(Settings!$B$29:$B$40,MONTH(A1729)),INDEX(Settings!$B$29:$B$40,MONTH(A1729)))))</f>
        <v/>
      </c>
    </row>
    <row r="1730" customFormat="false" ht="15" hidden="false" customHeight="false" outlineLevel="0" collapsed="false">
      <c r="H1730" s="0" t="str">
        <f aca="false">IF(B1730="","",IF(COUNTIF(Campaigns!$A$7:$A$300,B1730)&gt;0,"✓","⚠ add to Campaigns tab"))</f>
        <v/>
      </c>
      <c r="I1730" s="84" t="str">
        <f aca="false">IF(C1730="","",C1730*IF(Settings!$B$25=Settings!$C$6,1,IF(Settings!$B$25="USD",1/INDEX(Settings!$B$29:$B$40,MONTH(A1730)),INDEX(Settings!$B$29:$B$40,MONTH(A1730)))))</f>
        <v/>
      </c>
    </row>
    <row r="1731" customFormat="false" ht="15" hidden="false" customHeight="false" outlineLevel="0" collapsed="false">
      <c r="H1731" s="0" t="str">
        <f aca="false">IF(B1731="","",IF(COUNTIF(Campaigns!$A$7:$A$300,B1731)&gt;0,"✓","⚠ add to Campaigns tab"))</f>
        <v/>
      </c>
      <c r="I1731" s="84" t="str">
        <f aca="false">IF(C1731="","",C1731*IF(Settings!$B$25=Settings!$C$6,1,IF(Settings!$B$25="USD",1/INDEX(Settings!$B$29:$B$40,MONTH(A1731)),INDEX(Settings!$B$29:$B$40,MONTH(A1731)))))</f>
        <v/>
      </c>
    </row>
    <row r="1732" customFormat="false" ht="15" hidden="false" customHeight="false" outlineLevel="0" collapsed="false">
      <c r="H1732" s="0" t="str">
        <f aca="false">IF(B1732="","",IF(COUNTIF(Campaigns!$A$7:$A$300,B1732)&gt;0,"✓","⚠ add to Campaigns tab"))</f>
        <v/>
      </c>
      <c r="I1732" s="84" t="str">
        <f aca="false">IF(C1732="","",C1732*IF(Settings!$B$25=Settings!$C$6,1,IF(Settings!$B$25="USD",1/INDEX(Settings!$B$29:$B$40,MONTH(A1732)),INDEX(Settings!$B$29:$B$40,MONTH(A1732)))))</f>
        <v/>
      </c>
    </row>
    <row r="1733" customFormat="false" ht="15" hidden="false" customHeight="false" outlineLevel="0" collapsed="false">
      <c r="H1733" s="0" t="str">
        <f aca="false">IF(B1733="","",IF(COUNTIF(Campaigns!$A$7:$A$300,B1733)&gt;0,"✓","⚠ add to Campaigns tab"))</f>
        <v/>
      </c>
      <c r="I1733" s="84" t="str">
        <f aca="false">IF(C1733="","",C1733*IF(Settings!$B$25=Settings!$C$6,1,IF(Settings!$B$25="USD",1/INDEX(Settings!$B$29:$B$40,MONTH(A1733)),INDEX(Settings!$B$29:$B$40,MONTH(A1733)))))</f>
        <v/>
      </c>
    </row>
    <row r="1734" customFormat="false" ht="15" hidden="false" customHeight="false" outlineLevel="0" collapsed="false">
      <c r="H1734" s="0" t="str">
        <f aca="false">IF(B1734="","",IF(COUNTIF(Campaigns!$A$7:$A$300,B1734)&gt;0,"✓","⚠ add to Campaigns tab"))</f>
        <v/>
      </c>
      <c r="I1734" s="84" t="str">
        <f aca="false">IF(C1734="","",C1734*IF(Settings!$B$25=Settings!$C$6,1,IF(Settings!$B$25="USD",1/INDEX(Settings!$B$29:$B$40,MONTH(A1734)),INDEX(Settings!$B$29:$B$40,MONTH(A1734)))))</f>
        <v/>
      </c>
    </row>
    <row r="1735" customFormat="false" ht="15" hidden="false" customHeight="false" outlineLevel="0" collapsed="false">
      <c r="H1735" s="0" t="str">
        <f aca="false">IF(B1735="","",IF(COUNTIF(Campaigns!$A$7:$A$300,B1735)&gt;0,"✓","⚠ add to Campaigns tab"))</f>
        <v/>
      </c>
      <c r="I1735" s="84" t="str">
        <f aca="false">IF(C1735="","",C1735*IF(Settings!$B$25=Settings!$C$6,1,IF(Settings!$B$25="USD",1/INDEX(Settings!$B$29:$B$40,MONTH(A1735)),INDEX(Settings!$B$29:$B$40,MONTH(A1735)))))</f>
        <v/>
      </c>
    </row>
    <row r="1736" customFormat="false" ht="15" hidden="false" customHeight="false" outlineLevel="0" collapsed="false">
      <c r="H1736" s="0" t="str">
        <f aca="false">IF(B1736="","",IF(COUNTIF(Campaigns!$A$7:$A$300,B1736)&gt;0,"✓","⚠ add to Campaigns tab"))</f>
        <v/>
      </c>
      <c r="I1736" s="84" t="str">
        <f aca="false">IF(C1736="","",C1736*IF(Settings!$B$25=Settings!$C$6,1,IF(Settings!$B$25="USD",1/INDEX(Settings!$B$29:$B$40,MONTH(A1736)),INDEX(Settings!$B$29:$B$40,MONTH(A1736)))))</f>
        <v/>
      </c>
    </row>
    <row r="1737" customFormat="false" ht="15" hidden="false" customHeight="false" outlineLevel="0" collapsed="false">
      <c r="H1737" s="0" t="str">
        <f aca="false">IF(B1737="","",IF(COUNTIF(Campaigns!$A$7:$A$300,B1737)&gt;0,"✓","⚠ add to Campaigns tab"))</f>
        <v/>
      </c>
      <c r="I1737" s="84" t="str">
        <f aca="false">IF(C1737="","",C1737*IF(Settings!$B$25=Settings!$C$6,1,IF(Settings!$B$25="USD",1/INDEX(Settings!$B$29:$B$40,MONTH(A1737)),INDEX(Settings!$B$29:$B$40,MONTH(A1737)))))</f>
        <v/>
      </c>
    </row>
    <row r="1738" customFormat="false" ht="15" hidden="false" customHeight="false" outlineLevel="0" collapsed="false">
      <c r="H1738" s="0" t="str">
        <f aca="false">IF(B1738="","",IF(COUNTIF(Campaigns!$A$7:$A$300,B1738)&gt;0,"✓","⚠ add to Campaigns tab"))</f>
        <v/>
      </c>
      <c r="I1738" s="84" t="str">
        <f aca="false">IF(C1738="","",C1738*IF(Settings!$B$25=Settings!$C$6,1,IF(Settings!$B$25="USD",1/INDEX(Settings!$B$29:$B$40,MONTH(A1738)),INDEX(Settings!$B$29:$B$40,MONTH(A1738)))))</f>
        <v/>
      </c>
    </row>
    <row r="1739" customFormat="false" ht="15" hidden="false" customHeight="false" outlineLevel="0" collapsed="false">
      <c r="H1739" s="0" t="str">
        <f aca="false">IF(B1739="","",IF(COUNTIF(Campaigns!$A$7:$A$300,B1739)&gt;0,"✓","⚠ add to Campaigns tab"))</f>
        <v/>
      </c>
      <c r="I1739" s="84" t="str">
        <f aca="false">IF(C1739="","",C1739*IF(Settings!$B$25=Settings!$C$6,1,IF(Settings!$B$25="USD",1/INDEX(Settings!$B$29:$B$40,MONTH(A1739)),INDEX(Settings!$B$29:$B$40,MONTH(A1739)))))</f>
        <v/>
      </c>
    </row>
    <row r="1740" customFormat="false" ht="15" hidden="false" customHeight="false" outlineLevel="0" collapsed="false">
      <c r="H1740" s="0" t="str">
        <f aca="false">IF(B1740="","",IF(COUNTIF(Campaigns!$A$7:$A$300,B1740)&gt;0,"✓","⚠ add to Campaigns tab"))</f>
        <v/>
      </c>
      <c r="I1740" s="84" t="str">
        <f aca="false">IF(C1740="","",C1740*IF(Settings!$B$25=Settings!$C$6,1,IF(Settings!$B$25="USD",1/INDEX(Settings!$B$29:$B$40,MONTH(A1740)),INDEX(Settings!$B$29:$B$40,MONTH(A1740)))))</f>
        <v/>
      </c>
    </row>
    <row r="1741" customFormat="false" ht="15" hidden="false" customHeight="false" outlineLevel="0" collapsed="false">
      <c r="H1741" s="0" t="str">
        <f aca="false">IF(B1741="","",IF(COUNTIF(Campaigns!$A$7:$A$300,B1741)&gt;0,"✓","⚠ add to Campaigns tab"))</f>
        <v/>
      </c>
      <c r="I1741" s="84" t="str">
        <f aca="false">IF(C1741="","",C1741*IF(Settings!$B$25=Settings!$C$6,1,IF(Settings!$B$25="USD",1/INDEX(Settings!$B$29:$B$40,MONTH(A1741)),INDEX(Settings!$B$29:$B$40,MONTH(A1741)))))</f>
        <v/>
      </c>
    </row>
    <row r="1742" customFormat="false" ht="15" hidden="false" customHeight="false" outlineLevel="0" collapsed="false">
      <c r="H1742" s="0" t="str">
        <f aca="false">IF(B1742="","",IF(COUNTIF(Campaigns!$A$7:$A$300,B1742)&gt;0,"✓","⚠ add to Campaigns tab"))</f>
        <v/>
      </c>
      <c r="I1742" s="84" t="str">
        <f aca="false">IF(C1742="","",C1742*IF(Settings!$B$25=Settings!$C$6,1,IF(Settings!$B$25="USD",1/INDEX(Settings!$B$29:$B$40,MONTH(A1742)),INDEX(Settings!$B$29:$B$40,MONTH(A1742)))))</f>
        <v/>
      </c>
    </row>
    <row r="1743" customFormat="false" ht="15" hidden="false" customHeight="false" outlineLevel="0" collapsed="false">
      <c r="H1743" s="0" t="str">
        <f aca="false">IF(B1743="","",IF(COUNTIF(Campaigns!$A$7:$A$300,B1743)&gt;0,"✓","⚠ add to Campaigns tab"))</f>
        <v/>
      </c>
      <c r="I1743" s="84" t="str">
        <f aca="false">IF(C1743="","",C1743*IF(Settings!$B$25=Settings!$C$6,1,IF(Settings!$B$25="USD",1/INDEX(Settings!$B$29:$B$40,MONTH(A1743)),INDEX(Settings!$B$29:$B$40,MONTH(A1743)))))</f>
        <v/>
      </c>
    </row>
    <row r="1744" customFormat="false" ht="15" hidden="false" customHeight="false" outlineLevel="0" collapsed="false">
      <c r="H1744" s="0" t="str">
        <f aca="false">IF(B1744="","",IF(COUNTIF(Campaigns!$A$7:$A$300,B1744)&gt;0,"✓","⚠ add to Campaigns tab"))</f>
        <v/>
      </c>
      <c r="I1744" s="84" t="str">
        <f aca="false">IF(C1744="","",C1744*IF(Settings!$B$25=Settings!$C$6,1,IF(Settings!$B$25="USD",1/INDEX(Settings!$B$29:$B$40,MONTH(A1744)),INDEX(Settings!$B$29:$B$40,MONTH(A1744)))))</f>
        <v/>
      </c>
    </row>
    <row r="1745" customFormat="false" ht="15" hidden="false" customHeight="false" outlineLevel="0" collapsed="false">
      <c r="H1745" s="0" t="str">
        <f aca="false">IF(B1745="","",IF(COUNTIF(Campaigns!$A$7:$A$300,B1745)&gt;0,"✓","⚠ add to Campaigns tab"))</f>
        <v/>
      </c>
      <c r="I1745" s="84" t="str">
        <f aca="false">IF(C1745="","",C1745*IF(Settings!$B$25=Settings!$C$6,1,IF(Settings!$B$25="USD",1/INDEX(Settings!$B$29:$B$40,MONTH(A1745)),INDEX(Settings!$B$29:$B$40,MONTH(A1745)))))</f>
        <v/>
      </c>
    </row>
    <row r="1746" customFormat="false" ht="15" hidden="false" customHeight="false" outlineLevel="0" collapsed="false">
      <c r="H1746" s="0" t="str">
        <f aca="false">IF(B1746="","",IF(COUNTIF(Campaigns!$A$7:$A$300,B1746)&gt;0,"✓","⚠ add to Campaigns tab"))</f>
        <v/>
      </c>
      <c r="I1746" s="84" t="str">
        <f aca="false">IF(C1746="","",C1746*IF(Settings!$B$25=Settings!$C$6,1,IF(Settings!$B$25="USD",1/INDEX(Settings!$B$29:$B$40,MONTH(A1746)),INDEX(Settings!$B$29:$B$40,MONTH(A1746)))))</f>
        <v/>
      </c>
    </row>
    <row r="1747" customFormat="false" ht="15" hidden="false" customHeight="false" outlineLevel="0" collapsed="false">
      <c r="H1747" s="0" t="str">
        <f aca="false">IF(B1747="","",IF(COUNTIF(Campaigns!$A$7:$A$300,B1747)&gt;0,"✓","⚠ add to Campaigns tab"))</f>
        <v/>
      </c>
      <c r="I1747" s="84" t="str">
        <f aca="false">IF(C1747="","",C1747*IF(Settings!$B$25=Settings!$C$6,1,IF(Settings!$B$25="USD",1/INDEX(Settings!$B$29:$B$40,MONTH(A1747)),INDEX(Settings!$B$29:$B$40,MONTH(A1747)))))</f>
        <v/>
      </c>
    </row>
    <row r="1748" customFormat="false" ht="15" hidden="false" customHeight="false" outlineLevel="0" collapsed="false">
      <c r="H1748" s="0" t="str">
        <f aca="false">IF(B1748="","",IF(COUNTIF(Campaigns!$A$7:$A$300,B1748)&gt;0,"✓","⚠ add to Campaigns tab"))</f>
        <v/>
      </c>
      <c r="I1748" s="84" t="str">
        <f aca="false">IF(C1748="","",C1748*IF(Settings!$B$25=Settings!$C$6,1,IF(Settings!$B$25="USD",1/INDEX(Settings!$B$29:$B$40,MONTH(A1748)),INDEX(Settings!$B$29:$B$40,MONTH(A1748)))))</f>
        <v/>
      </c>
    </row>
    <row r="1749" customFormat="false" ht="15" hidden="false" customHeight="false" outlineLevel="0" collapsed="false">
      <c r="H1749" s="0" t="str">
        <f aca="false">IF(B1749="","",IF(COUNTIF(Campaigns!$A$7:$A$300,B1749)&gt;0,"✓","⚠ add to Campaigns tab"))</f>
        <v/>
      </c>
      <c r="I1749" s="84" t="str">
        <f aca="false">IF(C1749="","",C1749*IF(Settings!$B$25=Settings!$C$6,1,IF(Settings!$B$25="USD",1/INDEX(Settings!$B$29:$B$40,MONTH(A1749)),INDEX(Settings!$B$29:$B$40,MONTH(A1749)))))</f>
        <v/>
      </c>
    </row>
    <row r="1750" customFormat="false" ht="15" hidden="false" customHeight="false" outlineLevel="0" collapsed="false">
      <c r="H1750" s="0" t="str">
        <f aca="false">IF(B1750="","",IF(COUNTIF(Campaigns!$A$7:$A$300,B1750)&gt;0,"✓","⚠ add to Campaigns tab"))</f>
        <v/>
      </c>
      <c r="I1750" s="84" t="str">
        <f aca="false">IF(C1750="","",C1750*IF(Settings!$B$25=Settings!$C$6,1,IF(Settings!$B$25="USD",1/INDEX(Settings!$B$29:$B$40,MONTH(A1750)),INDEX(Settings!$B$29:$B$40,MONTH(A1750)))))</f>
        <v/>
      </c>
    </row>
    <row r="1751" customFormat="false" ht="15" hidden="false" customHeight="false" outlineLevel="0" collapsed="false">
      <c r="H1751" s="0" t="str">
        <f aca="false">IF(B1751="","",IF(COUNTIF(Campaigns!$A$7:$A$300,B1751)&gt;0,"✓","⚠ add to Campaigns tab"))</f>
        <v/>
      </c>
      <c r="I1751" s="84" t="str">
        <f aca="false">IF(C1751="","",C1751*IF(Settings!$B$25=Settings!$C$6,1,IF(Settings!$B$25="USD",1/INDEX(Settings!$B$29:$B$40,MONTH(A1751)),INDEX(Settings!$B$29:$B$40,MONTH(A1751)))))</f>
        <v/>
      </c>
    </row>
    <row r="1752" customFormat="false" ht="15" hidden="false" customHeight="false" outlineLevel="0" collapsed="false">
      <c r="H1752" s="0" t="str">
        <f aca="false">IF(B1752="","",IF(COUNTIF(Campaigns!$A$7:$A$300,B1752)&gt;0,"✓","⚠ add to Campaigns tab"))</f>
        <v/>
      </c>
      <c r="I1752" s="84" t="str">
        <f aca="false">IF(C1752="","",C1752*IF(Settings!$B$25=Settings!$C$6,1,IF(Settings!$B$25="USD",1/INDEX(Settings!$B$29:$B$40,MONTH(A1752)),INDEX(Settings!$B$29:$B$40,MONTH(A1752)))))</f>
        <v/>
      </c>
    </row>
    <row r="1753" customFormat="false" ht="15" hidden="false" customHeight="false" outlineLevel="0" collapsed="false">
      <c r="H1753" s="0" t="str">
        <f aca="false">IF(B1753="","",IF(COUNTIF(Campaigns!$A$7:$A$300,B1753)&gt;0,"✓","⚠ add to Campaigns tab"))</f>
        <v/>
      </c>
      <c r="I1753" s="84" t="str">
        <f aca="false">IF(C1753="","",C1753*IF(Settings!$B$25=Settings!$C$6,1,IF(Settings!$B$25="USD",1/INDEX(Settings!$B$29:$B$40,MONTH(A1753)),INDEX(Settings!$B$29:$B$40,MONTH(A1753)))))</f>
        <v/>
      </c>
    </row>
    <row r="1754" customFormat="false" ht="15" hidden="false" customHeight="false" outlineLevel="0" collapsed="false">
      <c r="H1754" s="0" t="str">
        <f aca="false">IF(B1754="","",IF(COUNTIF(Campaigns!$A$7:$A$300,B1754)&gt;0,"✓","⚠ add to Campaigns tab"))</f>
        <v/>
      </c>
      <c r="I1754" s="84" t="str">
        <f aca="false">IF(C1754="","",C1754*IF(Settings!$B$25=Settings!$C$6,1,IF(Settings!$B$25="USD",1/INDEX(Settings!$B$29:$B$40,MONTH(A1754)),INDEX(Settings!$B$29:$B$40,MONTH(A1754)))))</f>
        <v/>
      </c>
    </row>
    <row r="1755" customFormat="false" ht="15" hidden="false" customHeight="false" outlineLevel="0" collapsed="false">
      <c r="H1755" s="0" t="str">
        <f aca="false">IF(B1755="","",IF(COUNTIF(Campaigns!$A$7:$A$300,B1755)&gt;0,"✓","⚠ add to Campaigns tab"))</f>
        <v/>
      </c>
      <c r="I1755" s="84" t="str">
        <f aca="false">IF(C1755="","",C1755*IF(Settings!$B$25=Settings!$C$6,1,IF(Settings!$B$25="USD",1/INDEX(Settings!$B$29:$B$40,MONTH(A1755)),INDEX(Settings!$B$29:$B$40,MONTH(A1755)))))</f>
        <v/>
      </c>
    </row>
    <row r="1756" customFormat="false" ht="15" hidden="false" customHeight="false" outlineLevel="0" collapsed="false">
      <c r="H1756" s="0" t="str">
        <f aca="false">IF(B1756="","",IF(COUNTIF(Campaigns!$A$7:$A$300,B1756)&gt;0,"✓","⚠ add to Campaigns tab"))</f>
        <v/>
      </c>
      <c r="I1756" s="84" t="str">
        <f aca="false">IF(C1756="","",C1756*IF(Settings!$B$25=Settings!$C$6,1,IF(Settings!$B$25="USD",1/INDEX(Settings!$B$29:$B$40,MONTH(A1756)),INDEX(Settings!$B$29:$B$40,MONTH(A1756)))))</f>
        <v/>
      </c>
    </row>
    <row r="1757" customFormat="false" ht="15" hidden="false" customHeight="false" outlineLevel="0" collapsed="false">
      <c r="H1757" s="0" t="str">
        <f aca="false">IF(B1757="","",IF(COUNTIF(Campaigns!$A$7:$A$300,B1757)&gt;0,"✓","⚠ add to Campaigns tab"))</f>
        <v/>
      </c>
      <c r="I1757" s="84" t="str">
        <f aca="false">IF(C1757="","",C1757*IF(Settings!$B$25=Settings!$C$6,1,IF(Settings!$B$25="USD",1/INDEX(Settings!$B$29:$B$40,MONTH(A1757)),INDEX(Settings!$B$29:$B$40,MONTH(A1757)))))</f>
        <v/>
      </c>
    </row>
    <row r="1758" customFormat="false" ht="15" hidden="false" customHeight="false" outlineLevel="0" collapsed="false">
      <c r="H1758" s="0" t="str">
        <f aca="false">IF(B1758="","",IF(COUNTIF(Campaigns!$A$7:$A$300,B1758)&gt;0,"✓","⚠ add to Campaigns tab"))</f>
        <v/>
      </c>
      <c r="I1758" s="84" t="str">
        <f aca="false">IF(C1758="","",C1758*IF(Settings!$B$25=Settings!$C$6,1,IF(Settings!$B$25="USD",1/INDEX(Settings!$B$29:$B$40,MONTH(A1758)),INDEX(Settings!$B$29:$B$40,MONTH(A1758)))))</f>
        <v/>
      </c>
    </row>
    <row r="1759" customFormat="false" ht="15" hidden="false" customHeight="false" outlineLevel="0" collapsed="false">
      <c r="H1759" s="0" t="str">
        <f aca="false">IF(B1759="","",IF(COUNTIF(Campaigns!$A$7:$A$300,B1759)&gt;0,"✓","⚠ add to Campaigns tab"))</f>
        <v/>
      </c>
      <c r="I1759" s="84" t="str">
        <f aca="false">IF(C1759="","",C1759*IF(Settings!$B$25=Settings!$C$6,1,IF(Settings!$B$25="USD",1/INDEX(Settings!$B$29:$B$40,MONTH(A1759)),INDEX(Settings!$B$29:$B$40,MONTH(A1759)))))</f>
        <v/>
      </c>
    </row>
    <row r="1760" customFormat="false" ht="15" hidden="false" customHeight="false" outlineLevel="0" collapsed="false">
      <c r="H1760" s="0" t="str">
        <f aca="false">IF(B1760="","",IF(COUNTIF(Campaigns!$A$7:$A$300,B1760)&gt;0,"✓","⚠ add to Campaigns tab"))</f>
        <v/>
      </c>
      <c r="I1760" s="84" t="str">
        <f aca="false">IF(C1760="","",C1760*IF(Settings!$B$25=Settings!$C$6,1,IF(Settings!$B$25="USD",1/INDEX(Settings!$B$29:$B$40,MONTH(A1760)),INDEX(Settings!$B$29:$B$40,MONTH(A1760)))))</f>
        <v/>
      </c>
    </row>
    <row r="1761" customFormat="false" ht="15" hidden="false" customHeight="false" outlineLevel="0" collapsed="false">
      <c r="H1761" s="0" t="str">
        <f aca="false">IF(B1761="","",IF(COUNTIF(Campaigns!$A$7:$A$300,B1761)&gt;0,"✓","⚠ add to Campaigns tab"))</f>
        <v/>
      </c>
      <c r="I1761" s="84" t="str">
        <f aca="false">IF(C1761="","",C1761*IF(Settings!$B$25=Settings!$C$6,1,IF(Settings!$B$25="USD",1/INDEX(Settings!$B$29:$B$40,MONTH(A1761)),INDEX(Settings!$B$29:$B$40,MONTH(A1761)))))</f>
        <v/>
      </c>
    </row>
    <row r="1762" customFormat="false" ht="15" hidden="false" customHeight="false" outlineLevel="0" collapsed="false">
      <c r="H1762" s="0" t="str">
        <f aca="false">IF(B1762="","",IF(COUNTIF(Campaigns!$A$7:$A$300,B1762)&gt;0,"✓","⚠ add to Campaigns tab"))</f>
        <v/>
      </c>
      <c r="I1762" s="84" t="str">
        <f aca="false">IF(C1762="","",C1762*IF(Settings!$B$25=Settings!$C$6,1,IF(Settings!$B$25="USD",1/INDEX(Settings!$B$29:$B$40,MONTH(A1762)),INDEX(Settings!$B$29:$B$40,MONTH(A1762)))))</f>
        <v/>
      </c>
    </row>
    <row r="1763" customFormat="false" ht="15" hidden="false" customHeight="false" outlineLevel="0" collapsed="false">
      <c r="H1763" s="0" t="str">
        <f aca="false">IF(B1763="","",IF(COUNTIF(Campaigns!$A$7:$A$300,B1763)&gt;0,"✓","⚠ add to Campaigns tab"))</f>
        <v/>
      </c>
      <c r="I1763" s="84" t="str">
        <f aca="false">IF(C1763="","",C1763*IF(Settings!$B$25=Settings!$C$6,1,IF(Settings!$B$25="USD",1/INDEX(Settings!$B$29:$B$40,MONTH(A1763)),INDEX(Settings!$B$29:$B$40,MONTH(A1763)))))</f>
        <v/>
      </c>
    </row>
    <row r="1764" customFormat="false" ht="15" hidden="false" customHeight="false" outlineLevel="0" collapsed="false">
      <c r="H1764" s="0" t="str">
        <f aca="false">IF(B1764="","",IF(COUNTIF(Campaigns!$A$7:$A$300,B1764)&gt;0,"✓","⚠ add to Campaigns tab"))</f>
        <v/>
      </c>
      <c r="I1764" s="84" t="str">
        <f aca="false">IF(C1764="","",C1764*IF(Settings!$B$25=Settings!$C$6,1,IF(Settings!$B$25="USD",1/INDEX(Settings!$B$29:$B$40,MONTH(A1764)),INDEX(Settings!$B$29:$B$40,MONTH(A1764)))))</f>
        <v/>
      </c>
    </row>
    <row r="1765" customFormat="false" ht="15" hidden="false" customHeight="false" outlineLevel="0" collapsed="false">
      <c r="H1765" s="0" t="str">
        <f aca="false">IF(B1765="","",IF(COUNTIF(Campaigns!$A$7:$A$300,B1765)&gt;0,"✓","⚠ add to Campaigns tab"))</f>
        <v/>
      </c>
      <c r="I1765" s="84" t="str">
        <f aca="false">IF(C1765="","",C1765*IF(Settings!$B$25=Settings!$C$6,1,IF(Settings!$B$25="USD",1/INDEX(Settings!$B$29:$B$40,MONTH(A1765)),INDEX(Settings!$B$29:$B$40,MONTH(A1765)))))</f>
        <v/>
      </c>
    </row>
    <row r="1766" customFormat="false" ht="15" hidden="false" customHeight="false" outlineLevel="0" collapsed="false">
      <c r="H1766" s="0" t="str">
        <f aca="false">IF(B1766="","",IF(COUNTIF(Campaigns!$A$7:$A$300,B1766)&gt;0,"✓","⚠ add to Campaigns tab"))</f>
        <v/>
      </c>
      <c r="I1766" s="84" t="str">
        <f aca="false">IF(C1766="","",C1766*IF(Settings!$B$25=Settings!$C$6,1,IF(Settings!$B$25="USD",1/INDEX(Settings!$B$29:$B$40,MONTH(A1766)),INDEX(Settings!$B$29:$B$40,MONTH(A1766)))))</f>
        <v/>
      </c>
    </row>
    <row r="1767" customFormat="false" ht="15" hidden="false" customHeight="false" outlineLevel="0" collapsed="false">
      <c r="H1767" s="0" t="str">
        <f aca="false">IF(B1767="","",IF(COUNTIF(Campaigns!$A$7:$A$300,B1767)&gt;0,"✓","⚠ add to Campaigns tab"))</f>
        <v/>
      </c>
      <c r="I1767" s="84" t="str">
        <f aca="false">IF(C1767="","",C1767*IF(Settings!$B$25=Settings!$C$6,1,IF(Settings!$B$25="USD",1/INDEX(Settings!$B$29:$B$40,MONTH(A1767)),INDEX(Settings!$B$29:$B$40,MONTH(A1767)))))</f>
        <v/>
      </c>
    </row>
    <row r="1768" customFormat="false" ht="15" hidden="false" customHeight="false" outlineLevel="0" collapsed="false">
      <c r="H1768" s="0" t="str">
        <f aca="false">IF(B1768="","",IF(COUNTIF(Campaigns!$A$7:$A$300,B1768)&gt;0,"✓","⚠ add to Campaigns tab"))</f>
        <v/>
      </c>
      <c r="I1768" s="84" t="str">
        <f aca="false">IF(C1768="","",C1768*IF(Settings!$B$25=Settings!$C$6,1,IF(Settings!$B$25="USD",1/INDEX(Settings!$B$29:$B$40,MONTH(A1768)),INDEX(Settings!$B$29:$B$40,MONTH(A1768)))))</f>
        <v/>
      </c>
    </row>
    <row r="1769" customFormat="false" ht="15" hidden="false" customHeight="false" outlineLevel="0" collapsed="false">
      <c r="H1769" s="0" t="str">
        <f aca="false">IF(B1769="","",IF(COUNTIF(Campaigns!$A$7:$A$300,B1769)&gt;0,"✓","⚠ add to Campaigns tab"))</f>
        <v/>
      </c>
      <c r="I1769" s="84" t="str">
        <f aca="false">IF(C1769="","",C1769*IF(Settings!$B$25=Settings!$C$6,1,IF(Settings!$B$25="USD",1/INDEX(Settings!$B$29:$B$40,MONTH(A1769)),INDEX(Settings!$B$29:$B$40,MONTH(A1769)))))</f>
        <v/>
      </c>
    </row>
    <row r="1770" customFormat="false" ht="15" hidden="false" customHeight="false" outlineLevel="0" collapsed="false">
      <c r="H1770" s="0" t="str">
        <f aca="false">IF(B1770="","",IF(COUNTIF(Campaigns!$A$7:$A$300,B1770)&gt;0,"✓","⚠ add to Campaigns tab"))</f>
        <v/>
      </c>
      <c r="I1770" s="84" t="str">
        <f aca="false">IF(C1770="","",C1770*IF(Settings!$B$25=Settings!$C$6,1,IF(Settings!$B$25="USD",1/INDEX(Settings!$B$29:$B$40,MONTH(A1770)),INDEX(Settings!$B$29:$B$40,MONTH(A1770)))))</f>
        <v/>
      </c>
    </row>
    <row r="1771" customFormat="false" ht="15" hidden="false" customHeight="false" outlineLevel="0" collapsed="false">
      <c r="H1771" s="0" t="str">
        <f aca="false">IF(B1771="","",IF(COUNTIF(Campaigns!$A$7:$A$300,B1771)&gt;0,"✓","⚠ add to Campaigns tab"))</f>
        <v/>
      </c>
      <c r="I1771" s="84" t="str">
        <f aca="false">IF(C1771="","",C1771*IF(Settings!$B$25=Settings!$C$6,1,IF(Settings!$B$25="USD",1/INDEX(Settings!$B$29:$B$40,MONTH(A1771)),INDEX(Settings!$B$29:$B$40,MONTH(A1771)))))</f>
        <v/>
      </c>
    </row>
    <row r="1772" customFormat="false" ht="15" hidden="false" customHeight="false" outlineLevel="0" collapsed="false">
      <c r="H1772" s="0" t="str">
        <f aca="false">IF(B1772="","",IF(COUNTIF(Campaigns!$A$7:$A$300,B1772)&gt;0,"✓","⚠ add to Campaigns tab"))</f>
        <v/>
      </c>
      <c r="I1772" s="84" t="str">
        <f aca="false">IF(C1772="","",C1772*IF(Settings!$B$25=Settings!$C$6,1,IF(Settings!$B$25="USD",1/INDEX(Settings!$B$29:$B$40,MONTH(A1772)),INDEX(Settings!$B$29:$B$40,MONTH(A1772)))))</f>
        <v/>
      </c>
    </row>
    <row r="1773" customFormat="false" ht="15" hidden="false" customHeight="false" outlineLevel="0" collapsed="false">
      <c r="H1773" s="0" t="str">
        <f aca="false">IF(B1773="","",IF(COUNTIF(Campaigns!$A$7:$A$300,B1773)&gt;0,"✓","⚠ add to Campaigns tab"))</f>
        <v/>
      </c>
      <c r="I1773" s="84" t="str">
        <f aca="false">IF(C1773="","",C1773*IF(Settings!$B$25=Settings!$C$6,1,IF(Settings!$B$25="USD",1/INDEX(Settings!$B$29:$B$40,MONTH(A1773)),INDEX(Settings!$B$29:$B$40,MONTH(A1773)))))</f>
        <v/>
      </c>
    </row>
    <row r="1774" customFormat="false" ht="15" hidden="false" customHeight="false" outlineLevel="0" collapsed="false">
      <c r="H1774" s="0" t="str">
        <f aca="false">IF(B1774="","",IF(COUNTIF(Campaigns!$A$7:$A$300,B1774)&gt;0,"✓","⚠ add to Campaigns tab"))</f>
        <v/>
      </c>
      <c r="I1774" s="84" t="str">
        <f aca="false">IF(C1774="","",C1774*IF(Settings!$B$25=Settings!$C$6,1,IF(Settings!$B$25="USD",1/INDEX(Settings!$B$29:$B$40,MONTH(A1774)),INDEX(Settings!$B$29:$B$40,MONTH(A1774)))))</f>
        <v/>
      </c>
    </row>
    <row r="1775" customFormat="false" ht="15" hidden="false" customHeight="false" outlineLevel="0" collapsed="false">
      <c r="H1775" s="0" t="str">
        <f aca="false">IF(B1775="","",IF(COUNTIF(Campaigns!$A$7:$A$300,B1775)&gt;0,"✓","⚠ add to Campaigns tab"))</f>
        <v/>
      </c>
      <c r="I1775" s="84" t="str">
        <f aca="false">IF(C1775="","",C1775*IF(Settings!$B$25=Settings!$C$6,1,IF(Settings!$B$25="USD",1/INDEX(Settings!$B$29:$B$40,MONTH(A1775)),INDEX(Settings!$B$29:$B$40,MONTH(A1775)))))</f>
        <v/>
      </c>
    </row>
    <row r="1776" customFormat="false" ht="15" hidden="false" customHeight="false" outlineLevel="0" collapsed="false">
      <c r="H1776" s="0" t="str">
        <f aca="false">IF(B1776="","",IF(COUNTIF(Campaigns!$A$7:$A$300,B1776)&gt;0,"✓","⚠ add to Campaigns tab"))</f>
        <v/>
      </c>
      <c r="I1776" s="84" t="str">
        <f aca="false">IF(C1776="","",C1776*IF(Settings!$B$25=Settings!$C$6,1,IF(Settings!$B$25="USD",1/INDEX(Settings!$B$29:$B$40,MONTH(A1776)),INDEX(Settings!$B$29:$B$40,MONTH(A1776)))))</f>
        <v/>
      </c>
    </row>
    <row r="1777" customFormat="false" ht="15" hidden="false" customHeight="false" outlineLevel="0" collapsed="false">
      <c r="H1777" s="0" t="str">
        <f aca="false">IF(B1777="","",IF(COUNTIF(Campaigns!$A$7:$A$300,B1777)&gt;0,"✓","⚠ add to Campaigns tab"))</f>
        <v/>
      </c>
      <c r="I1777" s="84" t="str">
        <f aca="false">IF(C1777="","",C1777*IF(Settings!$B$25=Settings!$C$6,1,IF(Settings!$B$25="USD",1/INDEX(Settings!$B$29:$B$40,MONTH(A1777)),INDEX(Settings!$B$29:$B$40,MONTH(A1777)))))</f>
        <v/>
      </c>
    </row>
    <row r="1778" customFormat="false" ht="15" hidden="false" customHeight="false" outlineLevel="0" collapsed="false">
      <c r="H1778" s="0" t="str">
        <f aca="false">IF(B1778="","",IF(COUNTIF(Campaigns!$A$7:$A$300,B1778)&gt;0,"✓","⚠ add to Campaigns tab"))</f>
        <v/>
      </c>
      <c r="I1778" s="84" t="str">
        <f aca="false">IF(C1778="","",C1778*IF(Settings!$B$25=Settings!$C$6,1,IF(Settings!$B$25="USD",1/INDEX(Settings!$B$29:$B$40,MONTH(A1778)),INDEX(Settings!$B$29:$B$40,MONTH(A1778)))))</f>
        <v/>
      </c>
    </row>
    <row r="1779" customFormat="false" ht="15" hidden="false" customHeight="false" outlineLevel="0" collapsed="false">
      <c r="H1779" s="0" t="str">
        <f aca="false">IF(B1779="","",IF(COUNTIF(Campaigns!$A$7:$A$300,B1779)&gt;0,"✓","⚠ add to Campaigns tab"))</f>
        <v/>
      </c>
      <c r="I1779" s="84" t="str">
        <f aca="false">IF(C1779="","",C1779*IF(Settings!$B$25=Settings!$C$6,1,IF(Settings!$B$25="USD",1/INDEX(Settings!$B$29:$B$40,MONTH(A1779)),INDEX(Settings!$B$29:$B$40,MONTH(A1779)))))</f>
        <v/>
      </c>
    </row>
    <row r="1780" customFormat="false" ht="15" hidden="false" customHeight="false" outlineLevel="0" collapsed="false">
      <c r="H1780" s="0" t="str">
        <f aca="false">IF(B1780="","",IF(COUNTIF(Campaigns!$A$7:$A$300,B1780)&gt;0,"✓","⚠ add to Campaigns tab"))</f>
        <v/>
      </c>
      <c r="I1780" s="84" t="str">
        <f aca="false">IF(C1780="","",C1780*IF(Settings!$B$25=Settings!$C$6,1,IF(Settings!$B$25="USD",1/INDEX(Settings!$B$29:$B$40,MONTH(A1780)),INDEX(Settings!$B$29:$B$40,MONTH(A1780)))))</f>
        <v/>
      </c>
    </row>
    <row r="1781" customFormat="false" ht="15" hidden="false" customHeight="false" outlineLevel="0" collapsed="false">
      <c r="H1781" s="0" t="str">
        <f aca="false">IF(B1781="","",IF(COUNTIF(Campaigns!$A$7:$A$300,B1781)&gt;0,"✓","⚠ add to Campaigns tab"))</f>
        <v/>
      </c>
      <c r="I1781" s="84" t="str">
        <f aca="false">IF(C1781="","",C1781*IF(Settings!$B$25=Settings!$C$6,1,IF(Settings!$B$25="USD",1/INDEX(Settings!$B$29:$B$40,MONTH(A1781)),INDEX(Settings!$B$29:$B$40,MONTH(A1781)))))</f>
        <v/>
      </c>
    </row>
    <row r="1782" customFormat="false" ht="15" hidden="false" customHeight="false" outlineLevel="0" collapsed="false">
      <c r="H1782" s="0" t="str">
        <f aca="false">IF(B1782="","",IF(COUNTIF(Campaigns!$A$7:$A$300,B1782)&gt;0,"✓","⚠ add to Campaigns tab"))</f>
        <v/>
      </c>
      <c r="I1782" s="84" t="str">
        <f aca="false">IF(C1782="","",C1782*IF(Settings!$B$25=Settings!$C$6,1,IF(Settings!$B$25="USD",1/INDEX(Settings!$B$29:$B$40,MONTH(A1782)),INDEX(Settings!$B$29:$B$40,MONTH(A1782)))))</f>
        <v/>
      </c>
    </row>
    <row r="1783" customFormat="false" ht="15" hidden="false" customHeight="false" outlineLevel="0" collapsed="false">
      <c r="H1783" s="0" t="str">
        <f aca="false">IF(B1783="","",IF(COUNTIF(Campaigns!$A$7:$A$300,B1783)&gt;0,"✓","⚠ add to Campaigns tab"))</f>
        <v/>
      </c>
      <c r="I1783" s="84" t="str">
        <f aca="false">IF(C1783="","",C1783*IF(Settings!$B$25=Settings!$C$6,1,IF(Settings!$B$25="USD",1/INDEX(Settings!$B$29:$B$40,MONTH(A1783)),INDEX(Settings!$B$29:$B$40,MONTH(A1783)))))</f>
        <v/>
      </c>
    </row>
    <row r="1784" customFormat="false" ht="15" hidden="false" customHeight="false" outlineLevel="0" collapsed="false">
      <c r="H1784" s="0" t="str">
        <f aca="false">IF(B1784="","",IF(COUNTIF(Campaigns!$A$7:$A$300,B1784)&gt;0,"✓","⚠ add to Campaigns tab"))</f>
        <v/>
      </c>
      <c r="I1784" s="84" t="str">
        <f aca="false">IF(C1784="","",C1784*IF(Settings!$B$25=Settings!$C$6,1,IF(Settings!$B$25="USD",1/INDEX(Settings!$B$29:$B$40,MONTH(A1784)),INDEX(Settings!$B$29:$B$40,MONTH(A1784)))))</f>
        <v/>
      </c>
    </row>
    <row r="1785" customFormat="false" ht="15" hidden="false" customHeight="false" outlineLevel="0" collapsed="false">
      <c r="H1785" s="0" t="str">
        <f aca="false">IF(B1785="","",IF(COUNTIF(Campaigns!$A$7:$A$300,B1785)&gt;0,"✓","⚠ add to Campaigns tab"))</f>
        <v/>
      </c>
      <c r="I1785" s="84" t="str">
        <f aca="false">IF(C1785="","",C1785*IF(Settings!$B$25=Settings!$C$6,1,IF(Settings!$B$25="USD",1/INDEX(Settings!$B$29:$B$40,MONTH(A1785)),INDEX(Settings!$B$29:$B$40,MONTH(A1785)))))</f>
        <v/>
      </c>
    </row>
    <row r="1786" customFormat="false" ht="15" hidden="false" customHeight="false" outlineLevel="0" collapsed="false">
      <c r="H1786" s="0" t="str">
        <f aca="false">IF(B1786="","",IF(COUNTIF(Campaigns!$A$7:$A$300,B1786)&gt;0,"✓","⚠ add to Campaigns tab"))</f>
        <v/>
      </c>
      <c r="I1786" s="84" t="str">
        <f aca="false">IF(C1786="","",C1786*IF(Settings!$B$25=Settings!$C$6,1,IF(Settings!$B$25="USD",1/INDEX(Settings!$B$29:$B$40,MONTH(A1786)),INDEX(Settings!$B$29:$B$40,MONTH(A1786)))))</f>
        <v/>
      </c>
    </row>
    <row r="1787" customFormat="false" ht="15" hidden="false" customHeight="false" outlineLevel="0" collapsed="false">
      <c r="H1787" s="0" t="str">
        <f aca="false">IF(B1787="","",IF(COUNTIF(Campaigns!$A$7:$A$300,B1787)&gt;0,"✓","⚠ add to Campaigns tab"))</f>
        <v/>
      </c>
      <c r="I1787" s="84" t="str">
        <f aca="false">IF(C1787="","",C1787*IF(Settings!$B$25=Settings!$C$6,1,IF(Settings!$B$25="USD",1/INDEX(Settings!$B$29:$B$40,MONTH(A1787)),INDEX(Settings!$B$29:$B$40,MONTH(A1787)))))</f>
        <v/>
      </c>
    </row>
    <row r="1788" customFormat="false" ht="15" hidden="false" customHeight="false" outlineLevel="0" collapsed="false">
      <c r="H1788" s="0" t="str">
        <f aca="false">IF(B1788="","",IF(COUNTIF(Campaigns!$A$7:$A$300,B1788)&gt;0,"✓","⚠ add to Campaigns tab"))</f>
        <v/>
      </c>
      <c r="I1788" s="84" t="str">
        <f aca="false">IF(C1788="","",C1788*IF(Settings!$B$25=Settings!$C$6,1,IF(Settings!$B$25="USD",1/INDEX(Settings!$B$29:$B$40,MONTH(A1788)),INDEX(Settings!$B$29:$B$40,MONTH(A1788)))))</f>
        <v/>
      </c>
    </row>
    <row r="1789" customFormat="false" ht="15" hidden="false" customHeight="false" outlineLevel="0" collapsed="false">
      <c r="H1789" s="0" t="str">
        <f aca="false">IF(B1789="","",IF(COUNTIF(Campaigns!$A$7:$A$300,B1789)&gt;0,"✓","⚠ add to Campaigns tab"))</f>
        <v/>
      </c>
      <c r="I1789" s="84" t="str">
        <f aca="false">IF(C1789="","",C1789*IF(Settings!$B$25=Settings!$C$6,1,IF(Settings!$B$25="USD",1/INDEX(Settings!$B$29:$B$40,MONTH(A1789)),INDEX(Settings!$B$29:$B$40,MONTH(A1789)))))</f>
        <v/>
      </c>
    </row>
    <row r="1790" customFormat="false" ht="15" hidden="false" customHeight="false" outlineLevel="0" collapsed="false">
      <c r="H1790" s="0" t="str">
        <f aca="false">IF(B1790="","",IF(COUNTIF(Campaigns!$A$7:$A$300,B1790)&gt;0,"✓","⚠ add to Campaigns tab"))</f>
        <v/>
      </c>
      <c r="I1790" s="84" t="str">
        <f aca="false">IF(C1790="","",C1790*IF(Settings!$B$25=Settings!$C$6,1,IF(Settings!$B$25="USD",1/INDEX(Settings!$B$29:$B$40,MONTH(A1790)),INDEX(Settings!$B$29:$B$40,MONTH(A1790)))))</f>
        <v/>
      </c>
    </row>
    <row r="1791" customFormat="false" ht="15" hidden="false" customHeight="false" outlineLevel="0" collapsed="false">
      <c r="H1791" s="0" t="str">
        <f aca="false">IF(B1791="","",IF(COUNTIF(Campaigns!$A$7:$A$300,B1791)&gt;0,"✓","⚠ add to Campaigns tab"))</f>
        <v/>
      </c>
      <c r="I1791" s="84" t="str">
        <f aca="false">IF(C1791="","",C1791*IF(Settings!$B$25=Settings!$C$6,1,IF(Settings!$B$25="USD",1/INDEX(Settings!$B$29:$B$40,MONTH(A1791)),INDEX(Settings!$B$29:$B$40,MONTH(A1791)))))</f>
        <v/>
      </c>
    </row>
    <row r="1792" customFormat="false" ht="15" hidden="false" customHeight="false" outlineLevel="0" collapsed="false">
      <c r="H1792" s="0" t="str">
        <f aca="false">IF(B1792="","",IF(COUNTIF(Campaigns!$A$7:$A$300,B1792)&gt;0,"✓","⚠ add to Campaigns tab"))</f>
        <v/>
      </c>
      <c r="I1792" s="84" t="str">
        <f aca="false">IF(C1792="","",C1792*IF(Settings!$B$25=Settings!$C$6,1,IF(Settings!$B$25="USD",1/INDEX(Settings!$B$29:$B$40,MONTH(A1792)),INDEX(Settings!$B$29:$B$40,MONTH(A1792)))))</f>
        <v/>
      </c>
    </row>
    <row r="1793" customFormat="false" ht="15" hidden="false" customHeight="false" outlineLevel="0" collapsed="false">
      <c r="H1793" s="0" t="str">
        <f aca="false">IF(B1793="","",IF(COUNTIF(Campaigns!$A$7:$A$300,B1793)&gt;0,"✓","⚠ add to Campaigns tab"))</f>
        <v/>
      </c>
      <c r="I1793" s="84" t="str">
        <f aca="false">IF(C1793="","",C1793*IF(Settings!$B$25=Settings!$C$6,1,IF(Settings!$B$25="USD",1/INDEX(Settings!$B$29:$B$40,MONTH(A1793)),INDEX(Settings!$B$29:$B$40,MONTH(A1793)))))</f>
        <v/>
      </c>
    </row>
    <row r="1794" customFormat="false" ht="15" hidden="false" customHeight="false" outlineLevel="0" collapsed="false">
      <c r="H1794" s="0" t="str">
        <f aca="false">IF(B1794="","",IF(COUNTIF(Campaigns!$A$7:$A$300,B1794)&gt;0,"✓","⚠ add to Campaigns tab"))</f>
        <v/>
      </c>
      <c r="I1794" s="84" t="str">
        <f aca="false">IF(C1794="","",C1794*IF(Settings!$B$25=Settings!$C$6,1,IF(Settings!$B$25="USD",1/INDEX(Settings!$B$29:$B$40,MONTH(A1794)),INDEX(Settings!$B$29:$B$40,MONTH(A1794)))))</f>
        <v/>
      </c>
    </row>
    <row r="1795" customFormat="false" ht="15" hidden="false" customHeight="false" outlineLevel="0" collapsed="false">
      <c r="H1795" s="0" t="str">
        <f aca="false">IF(B1795="","",IF(COUNTIF(Campaigns!$A$7:$A$300,B1795)&gt;0,"✓","⚠ add to Campaigns tab"))</f>
        <v/>
      </c>
      <c r="I1795" s="84" t="str">
        <f aca="false">IF(C1795="","",C1795*IF(Settings!$B$25=Settings!$C$6,1,IF(Settings!$B$25="USD",1/INDEX(Settings!$B$29:$B$40,MONTH(A1795)),INDEX(Settings!$B$29:$B$40,MONTH(A1795)))))</f>
        <v/>
      </c>
    </row>
    <row r="1796" customFormat="false" ht="15" hidden="false" customHeight="false" outlineLevel="0" collapsed="false">
      <c r="H1796" s="0" t="str">
        <f aca="false">IF(B1796="","",IF(COUNTIF(Campaigns!$A$7:$A$300,B1796)&gt;0,"✓","⚠ add to Campaigns tab"))</f>
        <v/>
      </c>
      <c r="I1796" s="84" t="str">
        <f aca="false">IF(C1796="","",C1796*IF(Settings!$B$25=Settings!$C$6,1,IF(Settings!$B$25="USD",1/INDEX(Settings!$B$29:$B$40,MONTH(A1796)),INDEX(Settings!$B$29:$B$40,MONTH(A1796)))))</f>
        <v/>
      </c>
    </row>
    <row r="1797" customFormat="false" ht="15" hidden="false" customHeight="false" outlineLevel="0" collapsed="false">
      <c r="H1797" s="0" t="str">
        <f aca="false">IF(B1797="","",IF(COUNTIF(Campaigns!$A$7:$A$300,B1797)&gt;0,"✓","⚠ add to Campaigns tab"))</f>
        <v/>
      </c>
      <c r="I1797" s="84" t="str">
        <f aca="false">IF(C1797="","",C1797*IF(Settings!$B$25=Settings!$C$6,1,IF(Settings!$B$25="USD",1/INDEX(Settings!$B$29:$B$40,MONTH(A1797)),INDEX(Settings!$B$29:$B$40,MONTH(A1797)))))</f>
        <v/>
      </c>
    </row>
    <row r="1798" customFormat="false" ht="15" hidden="false" customHeight="false" outlineLevel="0" collapsed="false">
      <c r="H1798" s="0" t="str">
        <f aca="false">IF(B1798="","",IF(COUNTIF(Campaigns!$A$7:$A$300,B1798)&gt;0,"✓","⚠ add to Campaigns tab"))</f>
        <v/>
      </c>
      <c r="I1798" s="84" t="str">
        <f aca="false">IF(C1798="","",C1798*IF(Settings!$B$25=Settings!$C$6,1,IF(Settings!$B$25="USD",1/INDEX(Settings!$B$29:$B$40,MONTH(A1798)),INDEX(Settings!$B$29:$B$40,MONTH(A1798)))))</f>
        <v/>
      </c>
    </row>
    <row r="1799" customFormat="false" ht="15" hidden="false" customHeight="false" outlineLevel="0" collapsed="false">
      <c r="H1799" s="0" t="str">
        <f aca="false">IF(B1799="","",IF(COUNTIF(Campaigns!$A$7:$A$300,B1799)&gt;0,"✓","⚠ add to Campaigns tab"))</f>
        <v/>
      </c>
      <c r="I1799" s="84" t="str">
        <f aca="false">IF(C1799="","",C1799*IF(Settings!$B$25=Settings!$C$6,1,IF(Settings!$B$25="USD",1/INDEX(Settings!$B$29:$B$40,MONTH(A1799)),INDEX(Settings!$B$29:$B$40,MONTH(A1799)))))</f>
        <v/>
      </c>
    </row>
    <row r="1800" customFormat="false" ht="15" hidden="false" customHeight="false" outlineLevel="0" collapsed="false">
      <c r="H1800" s="0" t="str">
        <f aca="false">IF(B1800="","",IF(COUNTIF(Campaigns!$A$7:$A$300,B1800)&gt;0,"✓","⚠ add to Campaigns tab"))</f>
        <v/>
      </c>
      <c r="I1800" s="84" t="str">
        <f aca="false">IF(C1800="","",C1800*IF(Settings!$B$25=Settings!$C$6,1,IF(Settings!$B$25="USD",1/INDEX(Settings!$B$29:$B$40,MONTH(A1800)),INDEX(Settings!$B$29:$B$40,MONTH(A1800)))))</f>
        <v/>
      </c>
    </row>
    <row r="1801" customFormat="false" ht="15" hidden="false" customHeight="false" outlineLevel="0" collapsed="false">
      <c r="H1801" s="0" t="str">
        <f aca="false">IF(B1801="","",IF(COUNTIF(Campaigns!$A$7:$A$300,B1801)&gt;0,"✓","⚠ add to Campaigns tab"))</f>
        <v/>
      </c>
      <c r="I1801" s="84" t="str">
        <f aca="false">IF(C1801="","",C1801*IF(Settings!$B$25=Settings!$C$6,1,IF(Settings!$B$25="USD",1/INDEX(Settings!$B$29:$B$40,MONTH(A1801)),INDEX(Settings!$B$29:$B$40,MONTH(A1801)))))</f>
        <v/>
      </c>
    </row>
    <row r="1802" customFormat="false" ht="15" hidden="false" customHeight="false" outlineLevel="0" collapsed="false">
      <c r="H1802" s="0" t="str">
        <f aca="false">IF(B1802="","",IF(COUNTIF(Campaigns!$A$7:$A$300,B1802)&gt;0,"✓","⚠ add to Campaigns tab"))</f>
        <v/>
      </c>
      <c r="I1802" s="84" t="str">
        <f aca="false">IF(C1802="","",C1802*IF(Settings!$B$25=Settings!$C$6,1,IF(Settings!$B$25="USD",1/INDEX(Settings!$B$29:$B$40,MONTH(A1802)),INDEX(Settings!$B$29:$B$40,MONTH(A1802)))))</f>
        <v/>
      </c>
    </row>
    <row r="1803" customFormat="false" ht="15" hidden="false" customHeight="false" outlineLevel="0" collapsed="false">
      <c r="H1803" s="0" t="str">
        <f aca="false">IF(B1803="","",IF(COUNTIF(Campaigns!$A$7:$A$300,B1803)&gt;0,"✓","⚠ add to Campaigns tab"))</f>
        <v/>
      </c>
      <c r="I1803" s="84" t="str">
        <f aca="false">IF(C1803="","",C1803*IF(Settings!$B$25=Settings!$C$6,1,IF(Settings!$B$25="USD",1/INDEX(Settings!$B$29:$B$40,MONTH(A1803)),INDEX(Settings!$B$29:$B$40,MONTH(A1803)))))</f>
        <v/>
      </c>
    </row>
    <row r="1804" customFormat="false" ht="15" hidden="false" customHeight="false" outlineLevel="0" collapsed="false">
      <c r="H1804" s="0" t="str">
        <f aca="false">IF(B1804="","",IF(COUNTIF(Campaigns!$A$7:$A$300,B1804)&gt;0,"✓","⚠ add to Campaigns tab"))</f>
        <v/>
      </c>
      <c r="I1804" s="84" t="str">
        <f aca="false">IF(C1804="","",C1804*IF(Settings!$B$25=Settings!$C$6,1,IF(Settings!$B$25="USD",1/INDEX(Settings!$B$29:$B$40,MONTH(A1804)),INDEX(Settings!$B$29:$B$40,MONTH(A1804)))))</f>
        <v/>
      </c>
    </row>
    <row r="1805" customFormat="false" ht="15" hidden="false" customHeight="false" outlineLevel="0" collapsed="false">
      <c r="H1805" s="0" t="str">
        <f aca="false">IF(B1805="","",IF(COUNTIF(Campaigns!$A$7:$A$300,B1805)&gt;0,"✓","⚠ add to Campaigns tab"))</f>
        <v/>
      </c>
      <c r="I1805" s="84" t="str">
        <f aca="false">IF(C1805="","",C1805*IF(Settings!$B$25=Settings!$C$6,1,IF(Settings!$B$25="USD",1/INDEX(Settings!$B$29:$B$40,MONTH(A1805)),INDEX(Settings!$B$29:$B$40,MONTH(A1805)))))</f>
        <v/>
      </c>
    </row>
    <row r="1806" customFormat="false" ht="15" hidden="false" customHeight="false" outlineLevel="0" collapsed="false">
      <c r="H1806" s="0" t="str">
        <f aca="false">IF(B1806="","",IF(COUNTIF(Campaigns!$A$7:$A$300,B1806)&gt;0,"✓","⚠ add to Campaigns tab"))</f>
        <v/>
      </c>
      <c r="I1806" s="84" t="str">
        <f aca="false">IF(C1806="","",C1806*IF(Settings!$B$25=Settings!$C$6,1,IF(Settings!$B$25="USD",1/INDEX(Settings!$B$29:$B$40,MONTH(A1806)),INDEX(Settings!$B$29:$B$40,MONTH(A1806)))))</f>
        <v/>
      </c>
    </row>
    <row r="1807" customFormat="false" ht="15" hidden="false" customHeight="false" outlineLevel="0" collapsed="false">
      <c r="H1807" s="0" t="str">
        <f aca="false">IF(B1807="","",IF(COUNTIF(Campaigns!$A$7:$A$300,B1807)&gt;0,"✓","⚠ add to Campaigns tab"))</f>
        <v/>
      </c>
      <c r="I1807" s="84" t="str">
        <f aca="false">IF(C1807="","",C1807*IF(Settings!$B$25=Settings!$C$6,1,IF(Settings!$B$25="USD",1/INDEX(Settings!$B$29:$B$40,MONTH(A1807)),INDEX(Settings!$B$29:$B$40,MONTH(A1807)))))</f>
        <v/>
      </c>
    </row>
    <row r="1808" customFormat="false" ht="15" hidden="false" customHeight="false" outlineLevel="0" collapsed="false">
      <c r="H1808" s="0" t="str">
        <f aca="false">IF(B1808="","",IF(COUNTIF(Campaigns!$A$7:$A$300,B1808)&gt;0,"✓","⚠ add to Campaigns tab"))</f>
        <v/>
      </c>
      <c r="I1808" s="84" t="str">
        <f aca="false">IF(C1808="","",C1808*IF(Settings!$B$25=Settings!$C$6,1,IF(Settings!$B$25="USD",1/INDEX(Settings!$B$29:$B$40,MONTH(A1808)),INDEX(Settings!$B$29:$B$40,MONTH(A1808)))))</f>
        <v/>
      </c>
    </row>
    <row r="1809" customFormat="false" ht="15" hidden="false" customHeight="false" outlineLevel="0" collapsed="false">
      <c r="H1809" s="0" t="str">
        <f aca="false">IF(B1809="","",IF(COUNTIF(Campaigns!$A$7:$A$300,B1809)&gt;0,"✓","⚠ add to Campaigns tab"))</f>
        <v/>
      </c>
      <c r="I1809" s="84" t="str">
        <f aca="false">IF(C1809="","",C1809*IF(Settings!$B$25=Settings!$C$6,1,IF(Settings!$B$25="USD",1/INDEX(Settings!$B$29:$B$40,MONTH(A1809)),INDEX(Settings!$B$29:$B$40,MONTH(A1809)))))</f>
        <v/>
      </c>
    </row>
    <row r="1810" customFormat="false" ht="15" hidden="false" customHeight="false" outlineLevel="0" collapsed="false">
      <c r="H1810" s="0" t="str">
        <f aca="false">IF(B1810="","",IF(COUNTIF(Campaigns!$A$7:$A$300,B1810)&gt;0,"✓","⚠ add to Campaigns tab"))</f>
        <v/>
      </c>
      <c r="I1810" s="84" t="str">
        <f aca="false">IF(C1810="","",C1810*IF(Settings!$B$25=Settings!$C$6,1,IF(Settings!$B$25="USD",1/INDEX(Settings!$B$29:$B$40,MONTH(A1810)),INDEX(Settings!$B$29:$B$40,MONTH(A1810)))))</f>
        <v/>
      </c>
    </row>
    <row r="1811" customFormat="false" ht="15" hidden="false" customHeight="false" outlineLevel="0" collapsed="false">
      <c r="H1811" s="0" t="str">
        <f aca="false">IF(B1811="","",IF(COUNTIF(Campaigns!$A$7:$A$300,B1811)&gt;0,"✓","⚠ add to Campaigns tab"))</f>
        <v/>
      </c>
      <c r="I1811" s="84" t="str">
        <f aca="false">IF(C1811="","",C1811*IF(Settings!$B$25=Settings!$C$6,1,IF(Settings!$B$25="USD",1/INDEX(Settings!$B$29:$B$40,MONTH(A1811)),INDEX(Settings!$B$29:$B$40,MONTH(A1811)))))</f>
        <v/>
      </c>
    </row>
    <row r="1812" customFormat="false" ht="15" hidden="false" customHeight="false" outlineLevel="0" collapsed="false">
      <c r="H1812" s="0" t="str">
        <f aca="false">IF(B1812="","",IF(COUNTIF(Campaigns!$A$7:$A$300,B1812)&gt;0,"✓","⚠ add to Campaigns tab"))</f>
        <v/>
      </c>
      <c r="I1812" s="84" t="str">
        <f aca="false">IF(C1812="","",C1812*IF(Settings!$B$25=Settings!$C$6,1,IF(Settings!$B$25="USD",1/INDEX(Settings!$B$29:$B$40,MONTH(A1812)),INDEX(Settings!$B$29:$B$40,MONTH(A1812)))))</f>
        <v/>
      </c>
    </row>
    <row r="1813" customFormat="false" ht="15" hidden="false" customHeight="false" outlineLevel="0" collapsed="false">
      <c r="H1813" s="0" t="str">
        <f aca="false">IF(B1813="","",IF(COUNTIF(Campaigns!$A$7:$A$300,B1813)&gt;0,"✓","⚠ add to Campaigns tab"))</f>
        <v/>
      </c>
      <c r="I1813" s="84" t="str">
        <f aca="false">IF(C1813="","",C1813*IF(Settings!$B$25=Settings!$C$6,1,IF(Settings!$B$25="USD",1/INDEX(Settings!$B$29:$B$40,MONTH(A1813)),INDEX(Settings!$B$29:$B$40,MONTH(A1813)))))</f>
        <v/>
      </c>
    </row>
    <row r="1814" customFormat="false" ht="15" hidden="false" customHeight="false" outlineLevel="0" collapsed="false">
      <c r="H1814" s="0" t="str">
        <f aca="false">IF(B1814="","",IF(COUNTIF(Campaigns!$A$7:$A$300,B1814)&gt;0,"✓","⚠ add to Campaigns tab"))</f>
        <v/>
      </c>
      <c r="I1814" s="84" t="str">
        <f aca="false">IF(C1814="","",C1814*IF(Settings!$B$25=Settings!$C$6,1,IF(Settings!$B$25="USD",1/INDEX(Settings!$B$29:$B$40,MONTH(A1814)),INDEX(Settings!$B$29:$B$40,MONTH(A1814)))))</f>
        <v/>
      </c>
    </row>
    <row r="1815" customFormat="false" ht="15" hidden="false" customHeight="false" outlineLevel="0" collapsed="false">
      <c r="H1815" s="0" t="str">
        <f aca="false">IF(B1815="","",IF(COUNTIF(Campaigns!$A$7:$A$300,B1815)&gt;0,"✓","⚠ add to Campaigns tab"))</f>
        <v/>
      </c>
      <c r="I1815" s="84" t="str">
        <f aca="false">IF(C1815="","",C1815*IF(Settings!$B$25=Settings!$C$6,1,IF(Settings!$B$25="USD",1/INDEX(Settings!$B$29:$B$40,MONTH(A1815)),INDEX(Settings!$B$29:$B$40,MONTH(A1815)))))</f>
        <v/>
      </c>
    </row>
    <row r="1816" customFormat="false" ht="15" hidden="false" customHeight="false" outlineLevel="0" collapsed="false">
      <c r="H1816" s="0" t="str">
        <f aca="false">IF(B1816="","",IF(COUNTIF(Campaigns!$A$7:$A$300,B1816)&gt;0,"✓","⚠ add to Campaigns tab"))</f>
        <v/>
      </c>
      <c r="I1816" s="84" t="str">
        <f aca="false">IF(C1816="","",C1816*IF(Settings!$B$25=Settings!$C$6,1,IF(Settings!$B$25="USD",1/INDEX(Settings!$B$29:$B$40,MONTH(A1816)),INDEX(Settings!$B$29:$B$40,MONTH(A1816)))))</f>
        <v/>
      </c>
    </row>
    <row r="1817" customFormat="false" ht="15" hidden="false" customHeight="false" outlineLevel="0" collapsed="false">
      <c r="H1817" s="0" t="str">
        <f aca="false">IF(B1817="","",IF(COUNTIF(Campaigns!$A$7:$A$300,B1817)&gt;0,"✓","⚠ add to Campaigns tab"))</f>
        <v/>
      </c>
      <c r="I1817" s="84" t="str">
        <f aca="false">IF(C1817="","",C1817*IF(Settings!$B$25=Settings!$C$6,1,IF(Settings!$B$25="USD",1/INDEX(Settings!$B$29:$B$40,MONTH(A1817)),INDEX(Settings!$B$29:$B$40,MONTH(A1817)))))</f>
        <v/>
      </c>
    </row>
    <row r="1818" customFormat="false" ht="15" hidden="false" customHeight="false" outlineLevel="0" collapsed="false">
      <c r="H1818" s="0" t="str">
        <f aca="false">IF(B1818="","",IF(COUNTIF(Campaigns!$A$7:$A$300,B1818)&gt;0,"✓","⚠ add to Campaigns tab"))</f>
        <v/>
      </c>
      <c r="I1818" s="84" t="str">
        <f aca="false">IF(C1818="","",C1818*IF(Settings!$B$25=Settings!$C$6,1,IF(Settings!$B$25="USD",1/INDEX(Settings!$B$29:$B$40,MONTH(A1818)),INDEX(Settings!$B$29:$B$40,MONTH(A1818)))))</f>
        <v/>
      </c>
    </row>
    <row r="1819" customFormat="false" ht="15" hidden="false" customHeight="false" outlineLevel="0" collapsed="false">
      <c r="H1819" s="0" t="str">
        <f aca="false">IF(B1819="","",IF(COUNTIF(Campaigns!$A$7:$A$300,B1819)&gt;0,"✓","⚠ add to Campaigns tab"))</f>
        <v/>
      </c>
      <c r="I1819" s="84" t="str">
        <f aca="false">IF(C1819="","",C1819*IF(Settings!$B$25=Settings!$C$6,1,IF(Settings!$B$25="USD",1/INDEX(Settings!$B$29:$B$40,MONTH(A1819)),INDEX(Settings!$B$29:$B$40,MONTH(A1819)))))</f>
        <v/>
      </c>
    </row>
    <row r="1820" customFormat="false" ht="15" hidden="false" customHeight="false" outlineLevel="0" collapsed="false">
      <c r="H1820" s="0" t="str">
        <f aca="false">IF(B1820="","",IF(COUNTIF(Campaigns!$A$7:$A$300,B1820)&gt;0,"✓","⚠ add to Campaigns tab"))</f>
        <v/>
      </c>
      <c r="I1820" s="84" t="str">
        <f aca="false">IF(C1820="","",C1820*IF(Settings!$B$25=Settings!$C$6,1,IF(Settings!$B$25="USD",1/INDEX(Settings!$B$29:$B$40,MONTH(A1820)),INDEX(Settings!$B$29:$B$40,MONTH(A1820)))))</f>
        <v/>
      </c>
    </row>
    <row r="1821" customFormat="false" ht="15" hidden="false" customHeight="false" outlineLevel="0" collapsed="false">
      <c r="H1821" s="0" t="str">
        <f aca="false">IF(B1821="","",IF(COUNTIF(Campaigns!$A$7:$A$300,B1821)&gt;0,"✓","⚠ add to Campaigns tab"))</f>
        <v/>
      </c>
      <c r="I1821" s="84" t="str">
        <f aca="false">IF(C1821="","",C1821*IF(Settings!$B$25=Settings!$C$6,1,IF(Settings!$B$25="USD",1/INDEX(Settings!$B$29:$B$40,MONTH(A1821)),INDEX(Settings!$B$29:$B$40,MONTH(A1821)))))</f>
        <v/>
      </c>
    </row>
    <row r="1822" customFormat="false" ht="15" hidden="false" customHeight="false" outlineLevel="0" collapsed="false">
      <c r="H1822" s="0" t="str">
        <f aca="false">IF(B1822="","",IF(COUNTIF(Campaigns!$A$7:$A$300,B1822)&gt;0,"✓","⚠ add to Campaigns tab"))</f>
        <v/>
      </c>
      <c r="I1822" s="84" t="str">
        <f aca="false">IF(C1822="","",C1822*IF(Settings!$B$25=Settings!$C$6,1,IF(Settings!$B$25="USD",1/INDEX(Settings!$B$29:$B$40,MONTH(A1822)),INDEX(Settings!$B$29:$B$40,MONTH(A1822)))))</f>
        <v/>
      </c>
    </row>
    <row r="1823" customFormat="false" ht="15" hidden="false" customHeight="false" outlineLevel="0" collapsed="false">
      <c r="H1823" s="0" t="str">
        <f aca="false">IF(B1823="","",IF(COUNTIF(Campaigns!$A$7:$A$300,B1823)&gt;0,"✓","⚠ add to Campaigns tab"))</f>
        <v/>
      </c>
      <c r="I1823" s="84" t="str">
        <f aca="false">IF(C1823="","",C1823*IF(Settings!$B$25=Settings!$C$6,1,IF(Settings!$B$25="USD",1/INDEX(Settings!$B$29:$B$40,MONTH(A1823)),INDEX(Settings!$B$29:$B$40,MONTH(A1823)))))</f>
        <v/>
      </c>
    </row>
    <row r="1824" customFormat="false" ht="15" hidden="false" customHeight="false" outlineLevel="0" collapsed="false">
      <c r="H1824" s="0" t="str">
        <f aca="false">IF(B1824="","",IF(COUNTIF(Campaigns!$A$7:$A$300,B1824)&gt;0,"✓","⚠ add to Campaigns tab"))</f>
        <v/>
      </c>
      <c r="I1824" s="84" t="str">
        <f aca="false">IF(C1824="","",C1824*IF(Settings!$B$25=Settings!$C$6,1,IF(Settings!$B$25="USD",1/INDEX(Settings!$B$29:$B$40,MONTH(A1824)),INDEX(Settings!$B$29:$B$40,MONTH(A1824)))))</f>
        <v/>
      </c>
    </row>
    <row r="1825" customFormat="false" ht="15" hidden="false" customHeight="false" outlineLevel="0" collapsed="false">
      <c r="H1825" s="0" t="str">
        <f aca="false">IF(B1825="","",IF(COUNTIF(Campaigns!$A$7:$A$300,B1825)&gt;0,"✓","⚠ add to Campaigns tab"))</f>
        <v/>
      </c>
      <c r="I1825" s="84" t="str">
        <f aca="false">IF(C1825="","",C1825*IF(Settings!$B$25=Settings!$C$6,1,IF(Settings!$B$25="USD",1/INDEX(Settings!$B$29:$B$40,MONTH(A1825)),INDEX(Settings!$B$29:$B$40,MONTH(A1825)))))</f>
        <v/>
      </c>
    </row>
    <row r="1826" customFormat="false" ht="15" hidden="false" customHeight="false" outlineLevel="0" collapsed="false">
      <c r="H1826" s="0" t="str">
        <f aca="false">IF(B1826="","",IF(COUNTIF(Campaigns!$A$7:$A$300,B1826)&gt;0,"✓","⚠ add to Campaigns tab"))</f>
        <v/>
      </c>
      <c r="I1826" s="84" t="str">
        <f aca="false">IF(C1826="","",C1826*IF(Settings!$B$25=Settings!$C$6,1,IF(Settings!$B$25="USD",1/INDEX(Settings!$B$29:$B$40,MONTH(A1826)),INDEX(Settings!$B$29:$B$40,MONTH(A1826)))))</f>
        <v/>
      </c>
    </row>
    <row r="1827" customFormat="false" ht="15" hidden="false" customHeight="false" outlineLevel="0" collapsed="false">
      <c r="H1827" s="0" t="str">
        <f aca="false">IF(B1827="","",IF(COUNTIF(Campaigns!$A$7:$A$300,B1827)&gt;0,"✓","⚠ add to Campaigns tab"))</f>
        <v/>
      </c>
      <c r="I1827" s="84" t="str">
        <f aca="false">IF(C1827="","",C1827*IF(Settings!$B$25=Settings!$C$6,1,IF(Settings!$B$25="USD",1/INDEX(Settings!$B$29:$B$40,MONTH(A1827)),INDEX(Settings!$B$29:$B$40,MONTH(A1827)))))</f>
        <v/>
      </c>
    </row>
    <row r="1828" customFormat="false" ht="15" hidden="false" customHeight="false" outlineLevel="0" collapsed="false">
      <c r="H1828" s="0" t="str">
        <f aca="false">IF(B1828="","",IF(COUNTIF(Campaigns!$A$7:$A$300,B1828)&gt;0,"✓","⚠ add to Campaigns tab"))</f>
        <v/>
      </c>
      <c r="I1828" s="84" t="str">
        <f aca="false">IF(C1828="","",C1828*IF(Settings!$B$25=Settings!$C$6,1,IF(Settings!$B$25="USD",1/INDEX(Settings!$B$29:$B$40,MONTH(A1828)),INDEX(Settings!$B$29:$B$40,MONTH(A1828)))))</f>
        <v/>
      </c>
    </row>
    <row r="1829" customFormat="false" ht="15" hidden="false" customHeight="false" outlineLevel="0" collapsed="false">
      <c r="H1829" s="0" t="str">
        <f aca="false">IF(B1829="","",IF(COUNTIF(Campaigns!$A$7:$A$300,B1829)&gt;0,"✓","⚠ add to Campaigns tab"))</f>
        <v/>
      </c>
      <c r="I1829" s="84" t="str">
        <f aca="false">IF(C1829="","",C1829*IF(Settings!$B$25=Settings!$C$6,1,IF(Settings!$B$25="USD",1/INDEX(Settings!$B$29:$B$40,MONTH(A1829)),INDEX(Settings!$B$29:$B$40,MONTH(A1829)))))</f>
        <v/>
      </c>
    </row>
    <row r="1830" customFormat="false" ht="15" hidden="false" customHeight="false" outlineLevel="0" collapsed="false">
      <c r="H1830" s="0" t="str">
        <f aca="false">IF(B1830="","",IF(COUNTIF(Campaigns!$A$7:$A$300,B1830)&gt;0,"✓","⚠ add to Campaigns tab"))</f>
        <v/>
      </c>
      <c r="I1830" s="84" t="str">
        <f aca="false">IF(C1830="","",C1830*IF(Settings!$B$25=Settings!$C$6,1,IF(Settings!$B$25="USD",1/INDEX(Settings!$B$29:$B$40,MONTH(A1830)),INDEX(Settings!$B$29:$B$40,MONTH(A1830)))))</f>
        <v/>
      </c>
    </row>
    <row r="1831" customFormat="false" ht="15" hidden="false" customHeight="false" outlineLevel="0" collapsed="false">
      <c r="H1831" s="0" t="str">
        <f aca="false">IF(B1831="","",IF(COUNTIF(Campaigns!$A$7:$A$300,B1831)&gt;0,"✓","⚠ add to Campaigns tab"))</f>
        <v/>
      </c>
      <c r="I1831" s="84" t="str">
        <f aca="false">IF(C1831="","",C1831*IF(Settings!$B$25=Settings!$C$6,1,IF(Settings!$B$25="USD",1/INDEX(Settings!$B$29:$B$40,MONTH(A1831)),INDEX(Settings!$B$29:$B$40,MONTH(A1831)))))</f>
        <v/>
      </c>
    </row>
    <row r="1832" customFormat="false" ht="15" hidden="false" customHeight="false" outlineLevel="0" collapsed="false">
      <c r="H1832" s="0" t="str">
        <f aca="false">IF(B1832="","",IF(COUNTIF(Campaigns!$A$7:$A$300,B1832)&gt;0,"✓","⚠ add to Campaigns tab"))</f>
        <v/>
      </c>
      <c r="I1832" s="84" t="str">
        <f aca="false">IF(C1832="","",C1832*IF(Settings!$B$25=Settings!$C$6,1,IF(Settings!$B$25="USD",1/INDEX(Settings!$B$29:$B$40,MONTH(A1832)),INDEX(Settings!$B$29:$B$40,MONTH(A1832)))))</f>
        <v/>
      </c>
    </row>
    <row r="1833" customFormat="false" ht="15" hidden="false" customHeight="false" outlineLevel="0" collapsed="false">
      <c r="H1833" s="0" t="str">
        <f aca="false">IF(B1833="","",IF(COUNTIF(Campaigns!$A$7:$A$300,B1833)&gt;0,"✓","⚠ add to Campaigns tab"))</f>
        <v/>
      </c>
      <c r="I1833" s="84" t="str">
        <f aca="false">IF(C1833="","",C1833*IF(Settings!$B$25=Settings!$C$6,1,IF(Settings!$B$25="USD",1/INDEX(Settings!$B$29:$B$40,MONTH(A1833)),INDEX(Settings!$B$29:$B$40,MONTH(A1833)))))</f>
        <v/>
      </c>
    </row>
    <row r="1834" customFormat="false" ht="15" hidden="false" customHeight="false" outlineLevel="0" collapsed="false">
      <c r="H1834" s="0" t="str">
        <f aca="false">IF(B1834="","",IF(COUNTIF(Campaigns!$A$7:$A$300,B1834)&gt;0,"✓","⚠ add to Campaigns tab"))</f>
        <v/>
      </c>
      <c r="I1834" s="84" t="str">
        <f aca="false">IF(C1834="","",C1834*IF(Settings!$B$25=Settings!$C$6,1,IF(Settings!$B$25="USD",1/INDEX(Settings!$B$29:$B$40,MONTH(A1834)),INDEX(Settings!$B$29:$B$40,MONTH(A1834)))))</f>
        <v/>
      </c>
    </row>
    <row r="1835" customFormat="false" ht="15" hidden="false" customHeight="false" outlineLevel="0" collapsed="false">
      <c r="H1835" s="0" t="str">
        <f aca="false">IF(B1835="","",IF(COUNTIF(Campaigns!$A$7:$A$300,B1835)&gt;0,"✓","⚠ add to Campaigns tab"))</f>
        <v/>
      </c>
      <c r="I1835" s="84" t="str">
        <f aca="false">IF(C1835="","",C1835*IF(Settings!$B$25=Settings!$C$6,1,IF(Settings!$B$25="USD",1/INDEX(Settings!$B$29:$B$40,MONTH(A1835)),INDEX(Settings!$B$29:$B$40,MONTH(A1835)))))</f>
        <v/>
      </c>
    </row>
    <row r="1836" customFormat="false" ht="15" hidden="false" customHeight="false" outlineLevel="0" collapsed="false">
      <c r="H1836" s="0" t="str">
        <f aca="false">IF(B1836="","",IF(COUNTIF(Campaigns!$A$7:$A$300,B1836)&gt;0,"✓","⚠ add to Campaigns tab"))</f>
        <v/>
      </c>
      <c r="I1836" s="84" t="str">
        <f aca="false">IF(C1836="","",C1836*IF(Settings!$B$25=Settings!$C$6,1,IF(Settings!$B$25="USD",1/INDEX(Settings!$B$29:$B$40,MONTH(A1836)),INDEX(Settings!$B$29:$B$40,MONTH(A1836)))))</f>
        <v/>
      </c>
    </row>
    <row r="1837" customFormat="false" ht="15" hidden="false" customHeight="false" outlineLevel="0" collapsed="false">
      <c r="H1837" s="0" t="str">
        <f aca="false">IF(B1837="","",IF(COUNTIF(Campaigns!$A$7:$A$300,B1837)&gt;0,"✓","⚠ add to Campaigns tab"))</f>
        <v/>
      </c>
      <c r="I1837" s="84" t="str">
        <f aca="false">IF(C1837="","",C1837*IF(Settings!$B$25=Settings!$C$6,1,IF(Settings!$B$25="USD",1/INDEX(Settings!$B$29:$B$40,MONTH(A1837)),INDEX(Settings!$B$29:$B$40,MONTH(A1837)))))</f>
        <v/>
      </c>
    </row>
    <row r="1838" customFormat="false" ht="15" hidden="false" customHeight="false" outlineLevel="0" collapsed="false">
      <c r="H1838" s="0" t="str">
        <f aca="false">IF(B1838="","",IF(COUNTIF(Campaigns!$A$7:$A$300,B1838)&gt;0,"✓","⚠ add to Campaigns tab"))</f>
        <v/>
      </c>
      <c r="I1838" s="84" t="str">
        <f aca="false">IF(C1838="","",C1838*IF(Settings!$B$25=Settings!$C$6,1,IF(Settings!$B$25="USD",1/INDEX(Settings!$B$29:$B$40,MONTH(A1838)),INDEX(Settings!$B$29:$B$40,MONTH(A1838)))))</f>
        <v/>
      </c>
    </row>
    <row r="1839" customFormat="false" ht="15" hidden="false" customHeight="false" outlineLevel="0" collapsed="false">
      <c r="H1839" s="0" t="str">
        <f aca="false">IF(B1839="","",IF(COUNTIF(Campaigns!$A$7:$A$300,B1839)&gt;0,"✓","⚠ add to Campaigns tab"))</f>
        <v/>
      </c>
      <c r="I1839" s="84" t="str">
        <f aca="false">IF(C1839="","",C1839*IF(Settings!$B$25=Settings!$C$6,1,IF(Settings!$B$25="USD",1/INDEX(Settings!$B$29:$B$40,MONTH(A1839)),INDEX(Settings!$B$29:$B$40,MONTH(A1839)))))</f>
        <v/>
      </c>
    </row>
    <row r="1840" customFormat="false" ht="15" hidden="false" customHeight="false" outlineLevel="0" collapsed="false">
      <c r="H1840" s="0" t="str">
        <f aca="false">IF(B1840="","",IF(COUNTIF(Campaigns!$A$7:$A$300,B1840)&gt;0,"✓","⚠ add to Campaigns tab"))</f>
        <v/>
      </c>
      <c r="I1840" s="84" t="str">
        <f aca="false">IF(C1840="","",C1840*IF(Settings!$B$25=Settings!$C$6,1,IF(Settings!$B$25="USD",1/INDEX(Settings!$B$29:$B$40,MONTH(A1840)),INDEX(Settings!$B$29:$B$40,MONTH(A1840)))))</f>
        <v/>
      </c>
    </row>
    <row r="1841" customFormat="false" ht="15" hidden="false" customHeight="false" outlineLevel="0" collapsed="false">
      <c r="H1841" s="0" t="str">
        <f aca="false">IF(B1841="","",IF(COUNTIF(Campaigns!$A$7:$A$300,B1841)&gt;0,"✓","⚠ add to Campaigns tab"))</f>
        <v/>
      </c>
      <c r="I1841" s="84" t="str">
        <f aca="false">IF(C1841="","",C1841*IF(Settings!$B$25=Settings!$C$6,1,IF(Settings!$B$25="USD",1/INDEX(Settings!$B$29:$B$40,MONTH(A1841)),INDEX(Settings!$B$29:$B$40,MONTH(A1841)))))</f>
        <v/>
      </c>
    </row>
    <row r="1842" customFormat="false" ht="15" hidden="false" customHeight="false" outlineLevel="0" collapsed="false">
      <c r="H1842" s="0" t="str">
        <f aca="false">IF(B1842="","",IF(COUNTIF(Campaigns!$A$7:$A$300,B1842)&gt;0,"✓","⚠ add to Campaigns tab"))</f>
        <v/>
      </c>
      <c r="I1842" s="84" t="str">
        <f aca="false">IF(C1842="","",C1842*IF(Settings!$B$25=Settings!$C$6,1,IF(Settings!$B$25="USD",1/INDEX(Settings!$B$29:$B$40,MONTH(A1842)),INDEX(Settings!$B$29:$B$40,MONTH(A1842)))))</f>
        <v/>
      </c>
    </row>
    <row r="1843" customFormat="false" ht="15" hidden="false" customHeight="false" outlineLevel="0" collapsed="false">
      <c r="H1843" s="0" t="str">
        <f aca="false">IF(B1843="","",IF(COUNTIF(Campaigns!$A$7:$A$300,B1843)&gt;0,"✓","⚠ add to Campaigns tab"))</f>
        <v/>
      </c>
      <c r="I1843" s="84" t="str">
        <f aca="false">IF(C1843="","",C1843*IF(Settings!$B$25=Settings!$C$6,1,IF(Settings!$B$25="USD",1/INDEX(Settings!$B$29:$B$40,MONTH(A1843)),INDEX(Settings!$B$29:$B$40,MONTH(A1843)))))</f>
        <v/>
      </c>
    </row>
    <row r="1844" customFormat="false" ht="15" hidden="false" customHeight="false" outlineLevel="0" collapsed="false">
      <c r="H1844" s="0" t="str">
        <f aca="false">IF(B1844="","",IF(COUNTIF(Campaigns!$A$7:$A$300,B1844)&gt;0,"✓","⚠ add to Campaigns tab"))</f>
        <v/>
      </c>
      <c r="I1844" s="84" t="str">
        <f aca="false">IF(C1844="","",C1844*IF(Settings!$B$25=Settings!$C$6,1,IF(Settings!$B$25="USD",1/INDEX(Settings!$B$29:$B$40,MONTH(A1844)),INDEX(Settings!$B$29:$B$40,MONTH(A1844)))))</f>
        <v/>
      </c>
    </row>
    <row r="1845" customFormat="false" ht="15" hidden="false" customHeight="false" outlineLevel="0" collapsed="false">
      <c r="H1845" s="0" t="str">
        <f aca="false">IF(B1845="","",IF(COUNTIF(Campaigns!$A$7:$A$300,B1845)&gt;0,"✓","⚠ add to Campaigns tab"))</f>
        <v/>
      </c>
      <c r="I1845" s="84" t="str">
        <f aca="false">IF(C1845="","",C1845*IF(Settings!$B$25=Settings!$C$6,1,IF(Settings!$B$25="USD",1/INDEX(Settings!$B$29:$B$40,MONTH(A1845)),INDEX(Settings!$B$29:$B$40,MONTH(A1845)))))</f>
        <v/>
      </c>
    </row>
    <row r="1846" customFormat="false" ht="15" hidden="false" customHeight="false" outlineLevel="0" collapsed="false">
      <c r="H1846" s="0" t="str">
        <f aca="false">IF(B1846="","",IF(COUNTIF(Campaigns!$A$7:$A$300,B1846)&gt;0,"✓","⚠ add to Campaigns tab"))</f>
        <v/>
      </c>
      <c r="I1846" s="84" t="str">
        <f aca="false">IF(C1846="","",C1846*IF(Settings!$B$25=Settings!$C$6,1,IF(Settings!$B$25="USD",1/INDEX(Settings!$B$29:$B$40,MONTH(A1846)),INDEX(Settings!$B$29:$B$40,MONTH(A1846)))))</f>
        <v/>
      </c>
    </row>
    <row r="1847" customFormat="false" ht="15" hidden="false" customHeight="false" outlineLevel="0" collapsed="false">
      <c r="H1847" s="0" t="str">
        <f aca="false">IF(B1847="","",IF(COUNTIF(Campaigns!$A$7:$A$300,B1847)&gt;0,"✓","⚠ add to Campaigns tab"))</f>
        <v/>
      </c>
      <c r="I1847" s="84" t="str">
        <f aca="false">IF(C1847="","",C1847*IF(Settings!$B$25=Settings!$C$6,1,IF(Settings!$B$25="USD",1/INDEX(Settings!$B$29:$B$40,MONTH(A1847)),INDEX(Settings!$B$29:$B$40,MONTH(A1847)))))</f>
        <v/>
      </c>
    </row>
    <row r="1848" customFormat="false" ht="15" hidden="false" customHeight="false" outlineLevel="0" collapsed="false">
      <c r="H1848" s="0" t="str">
        <f aca="false">IF(B1848="","",IF(COUNTIF(Campaigns!$A$7:$A$300,B1848)&gt;0,"✓","⚠ add to Campaigns tab"))</f>
        <v/>
      </c>
      <c r="I1848" s="84" t="str">
        <f aca="false">IF(C1848="","",C1848*IF(Settings!$B$25=Settings!$C$6,1,IF(Settings!$B$25="USD",1/INDEX(Settings!$B$29:$B$40,MONTH(A1848)),INDEX(Settings!$B$29:$B$40,MONTH(A1848)))))</f>
        <v/>
      </c>
    </row>
    <row r="1849" customFormat="false" ht="15" hidden="false" customHeight="false" outlineLevel="0" collapsed="false">
      <c r="H1849" s="0" t="str">
        <f aca="false">IF(B1849="","",IF(COUNTIF(Campaigns!$A$7:$A$300,B1849)&gt;0,"✓","⚠ add to Campaigns tab"))</f>
        <v/>
      </c>
      <c r="I1849" s="84" t="str">
        <f aca="false">IF(C1849="","",C1849*IF(Settings!$B$25=Settings!$C$6,1,IF(Settings!$B$25="USD",1/INDEX(Settings!$B$29:$B$40,MONTH(A1849)),INDEX(Settings!$B$29:$B$40,MONTH(A1849)))))</f>
        <v/>
      </c>
    </row>
    <row r="1850" customFormat="false" ht="15" hidden="false" customHeight="false" outlineLevel="0" collapsed="false">
      <c r="H1850" s="0" t="str">
        <f aca="false">IF(B1850="","",IF(COUNTIF(Campaigns!$A$7:$A$300,B1850)&gt;0,"✓","⚠ add to Campaigns tab"))</f>
        <v/>
      </c>
      <c r="I1850" s="84" t="str">
        <f aca="false">IF(C1850="","",C1850*IF(Settings!$B$25=Settings!$C$6,1,IF(Settings!$B$25="USD",1/INDEX(Settings!$B$29:$B$40,MONTH(A1850)),INDEX(Settings!$B$29:$B$40,MONTH(A1850)))))</f>
        <v/>
      </c>
    </row>
    <row r="1851" customFormat="false" ht="15" hidden="false" customHeight="false" outlineLevel="0" collapsed="false">
      <c r="H1851" s="0" t="str">
        <f aca="false">IF(B1851="","",IF(COUNTIF(Campaigns!$A$7:$A$300,B1851)&gt;0,"✓","⚠ add to Campaigns tab"))</f>
        <v/>
      </c>
      <c r="I1851" s="84" t="str">
        <f aca="false">IF(C1851="","",C1851*IF(Settings!$B$25=Settings!$C$6,1,IF(Settings!$B$25="USD",1/INDEX(Settings!$B$29:$B$40,MONTH(A1851)),INDEX(Settings!$B$29:$B$40,MONTH(A1851)))))</f>
        <v/>
      </c>
    </row>
    <row r="1852" customFormat="false" ht="15" hidden="false" customHeight="false" outlineLevel="0" collapsed="false">
      <c r="H1852" s="0" t="str">
        <f aca="false">IF(B1852="","",IF(COUNTIF(Campaigns!$A$7:$A$300,B1852)&gt;0,"✓","⚠ add to Campaigns tab"))</f>
        <v/>
      </c>
      <c r="I1852" s="84" t="str">
        <f aca="false">IF(C1852="","",C1852*IF(Settings!$B$25=Settings!$C$6,1,IF(Settings!$B$25="USD",1/INDEX(Settings!$B$29:$B$40,MONTH(A1852)),INDEX(Settings!$B$29:$B$40,MONTH(A1852)))))</f>
        <v/>
      </c>
    </row>
    <row r="1853" customFormat="false" ht="15" hidden="false" customHeight="false" outlineLevel="0" collapsed="false">
      <c r="H1853" s="0" t="str">
        <f aca="false">IF(B1853="","",IF(COUNTIF(Campaigns!$A$7:$A$300,B1853)&gt;0,"✓","⚠ add to Campaigns tab"))</f>
        <v/>
      </c>
      <c r="I1853" s="84" t="str">
        <f aca="false">IF(C1853="","",C1853*IF(Settings!$B$25=Settings!$C$6,1,IF(Settings!$B$25="USD",1/INDEX(Settings!$B$29:$B$40,MONTH(A1853)),INDEX(Settings!$B$29:$B$40,MONTH(A1853)))))</f>
        <v/>
      </c>
    </row>
    <row r="1854" customFormat="false" ht="15" hidden="false" customHeight="false" outlineLevel="0" collapsed="false">
      <c r="H1854" s="0" t="str">
        <f aca="false">IF(B1854="","",IF(COUNTIF(Campaigns!$A$7:$A$300,B1854)&gt;0,"✓","⚠ add to Campaigns tab"))</f>
        <v/>
      </c>
      <c r="I1854" s="84" t="str">
        <f aca="false">IF(C1854="","",C1854*IF(Settings!$B$25=Settings!$C$6,1,IF(Settings!$B$25="USD",1/INDEX(Settings!$B$29:$B$40,MONTH(A1854)),INDEX(Settings!$B$29:$B$40,MONTH(A1854)))))</f>
        <v/>
      </c>
    </row>
    <row r="1855" customFormat="false" ht="15" hidden="false" customHeight="false" outlineLevel="0" collapsed="false">
      <c r="H1855" s="0" t="str">
        <f aca="false">IF(B1855="","",IF(COUNTIF(Campaigns!$A$7:$A$300,B1855)&gt;0,"✓","⚠ add to Campaigns tab"))</f>
        <v/>
      </c>
      <c r="I1855" s="84" t="str">
        <f aca="false">IF(C1855="","",C1855*IF(Settings!$B$25=Settings!$C$6,1,IF(Settings!$B$25="USD",1/INDEX(Settings!$B$29:$B$40,MONTH(A1855)),INDEX(Settings!$B$29:$B$40,MONTH(A1855)))))</f>
        <v/>
      </c>
    </row>
    <row r="1856" customFormat="false" ht="15" hidden="false" customHeight="false" outlineLevel="0" collapsed="false">
      <c r="H1856" s="0" t="str">
        <f aca="false">IF(B1856="","",IF(COUNTIF(Campaigns!$A$7:$A$300,B1856)&gt;0,"✓","⚠ add to Campaigns tab"))</f>
        <v/>
      </c>
      <c r="I1856" s="84" t="str">
        <f aca="false">IF(C1856="","",C1856*IF(Settings!$B$25=Settings!$C$6,1,IF(Settings!$B$25="USD",1/INDEX(Settings!$B$29:$B$40,MONTH(A1856)),INDEX(Settings!$B$29:$B$40,MONTH(A1856)))))</f>
        <v/>
      </c>
    </row>
    <row r="1857" customFormat="false" ht="15" hidden="false" customHeight="false" outlineLevel="0" collapsed="false">
      <c r="H1857" s="0" t="str">
        <f aca="false">IF(B1857="","",IF(COUNTIF(Campaigns!$A$7:$A$300,B1857)&gt;0,"✓","⚠ add to Campaigns tab"))</f>
        <v/>
      </c>
      <c r="I1857" s="84" t="str">
        <f aca="false">IF(C1857="","",C1857*IF(Settings!$B$25=Settings!$C$6,1,IF(Settings!$B$25="USD",1/INDEX(Settings!$B$29:$B$40,MONTH(A1857)),INDEX(Settings!$B$29:$B$40,MONTH(A1857)))))</f>
        <v/>
      </c>
    </row>
    <row r="1858" customFormat="false" ht="15" hidden="false" customHeight="false" outlineLevel="0" collapsed="false">
      <c r="H1858" s="0" t="str">
        <f aca="false">IF(B1858="","",IF(COUNTIF(Campaigns!$A$7:$A$300,B1858)&gt;0,"✓","⚠ add to Campaigns tab"))</f>
        <v/>
      </c>
      <c r="I1858" s="84" t="str">
        <f aca="false">IF(C1858="","",C1858*IF(Settings!$B$25=Settings!$C$6,1,IF(Settings!$B$25="USD",1/INDEX(Settings!$B$29:$B$40,MONTH(A1858)),INDEX(Settings!$B$29:$B$40,MONTH(A1858)))))</f>
        <v/>
      </c>
    </row>
    <row r="1859" customFormat="false" ht="15" hidden="false" customHeight="false" outlineLevel="0" collapsed="false">
      <c r="H1859" s="0" t="str">
        <f aca="false">IF(B1859="","",IF(COUNTIF(Campaigns!$A$7:$A$300,B1859)&gt;0,"✓","⚠ add to Campaigns tab"))</f>
        <v/>
      </c>
      <c r="I1859" s="84" t="str">
        <f aca="false">IF(C1859="","",C1859*IF(Settings!$B$25=Settings!$C$6,1,IF(Settings!$B$25="USD",1/INDEX(Settings!$B$29:$B$40,MONTH(A1859)),INDEX(Settings!$B$29:$B$40,MONTH(A1859)))))</f>
        <v/>
      </c>
    </row>
    <row r="1860" customFormat="false" ht="15" hidden="false" customHeight="false" outlineLevel="0" collapsed="false">
      <c r="H1860" s="0" t="str">
        <f aca="false">IF(B1860="","",IF(COUNTIF(Campaigns!$A$7:$A$300,B1860)&gt;0,"✓","⚠ add to Campaigns tab"))</f>
        <v/>
      </c>
      <c r="I1860" s="84" t="str">
        <f aca="false">IF(C1860="","",C1860*IF(Settings!$B$25=Settings!$C$6,1,IF(Settings!$B$25="USD",1/INDEX(Settings!$B$29:$B$40,MONTH(A1860)),INDEX(Settings!$B$29:$B$40,MONTH(A1860)))))</f>
        <v/>
      </c>
    </row>
    <row r="1861" customFormat="false" ht="15" hidden="false" customHeight="false" outlineLevel="0" collapsed="false">
      <c r="H1861" s="0" t="str">
        <f aca="false">IF(B1861="","",IF(COUNTIF(Campaigns!$A$7:$A$300,B1861)&gt;0,"✓","⚠ add to Campaigns tab"))</f>
        <v/>
      </c>
      <c r="I1861" s="84" t="str">
        <f aca="false">IF(C1861="","",C1861*IF(Settings!$B$25=Settings!$C$6,1,IF(Settings!$B$25="USD",1/INDEX(Settings!$B$29:$B$40,MONTH(A1861)),INDEX(Settings!$B$29:$B$40,MONTH(A1861)))))</f>
        <v/>
      </c>
    </row>
    <row r="1862" customFormat="false" ht="15" hidden="false" customHeight="false" outlineLevel="0" collapsed="false">
      <c r="H1862" s="0" t="str">
        <f aca="false">IF(B1862="","",IF(COUNTIF(Campaigns!$A$7:$A$300,B1862)&gt;0,"✓","⚠ add to Campaigns tab"))</f>
        <v/>
      </c>
      <c r="I1862" s="84" t="str">
        <f aca="false">IF(C1862="","",C1862*IF(Settings!$B$25=Settings!$C$6,1,IF(Settings!$B$25="USD",1/INDEX(Settings!$B$29:$B$40,MONTH(A1862)),INDEX(Settings!$B$29:$B$40,MONTH(A1862)))))</f>
        <v/>
      </c>
    </row>
    <row r="1863" customFormat="false" ht="15" hidden="false" customHeight="false" outlineLevel="0" collapsed="false">
      <c r="H1863" s="0" t="str">
        <f aca="false">IF(B1863="","",IF(COUNTIF(Campaigns!$A$7:$A$300,B1863)&gt;0,"✓","⚠ add to Campaigns tab"))</f>
        <v/>
      </c>
      <c r="I1863" s="84" t="str">
        <f aca="false">IF(C1863="","",C1863*IF(Settings!$B$25=Settings!$C$6,1,IF(Settings!$B$25="USD",1/INDEX(Settings!$B$29:$B$40,MONTH(A1863)),INDEX(Settings!$B$29:$B$40,MONTH(A1863)))))</f>
        <v/>
      </c>
    </row>
    <row r="1864" customFormat="false" ht="15" hidden="false" customHeight="false" outlineLevel="0" collapsed="false">
      <c r="H1864" s="0" t="str">
        <f aca="false">IF(B1864="","",IF(COUNTIF(Campaigns!$A$7:$A$300,B1864)&gt;0,"✓","⚠ add to Campaigns tab"))</f>
        <v/>
      </c>
      <c r="I1864" s="84" t="str">
        <f aca="false">IF(C1864="","",C1864*IF(Settings!$B$25=Settings!$C$6,1,IF(Settings!$B$25="USD",1/INDEX(Settings!$B$29:$B$40,MONTH(A1864)),INDEX(Settings!$B$29:$B$40,MONTH(A1864)))))</f>
        <v/>
      </c>
    </row>
    <row r="1865" customFormat="false" ht="15" hidden="false" customHeight="false" outlineLevel="0" collapsed="false">
      <c r="H1865" s="0" t="str">
        <f aca="false">IF(B1865="","",IF(COUNTIF(Campaigns!$A$7:$A$300,B1865)&gt;0,"✓","⚠ add to Campaigns tab"))</f>
        <v/>
      </c>
      <c r="I1865" s="84" t="str">
        <f aca="false">IF(C1865="","",C1865*IF(Settings!$B$25=Settings!$C$6,1,IF(Settings!$B$25="USD",1/INDEX(Settings!$B$29:$B$40,MONTH(A1865)),INDEX(Settings!$B$29:$B$40,MONTH(A1865)))))</f>
        <v/>
      </c>
    </row>
    <row r="1866" customFormat="false" ht="15" hidden="false" customHeight="false" outlineLevel="0" collapsed="false">
      <c r="H1866" s="0" t="str">
        <f aca="false">IF(B1866="","",IF(COUNTIF(Campaigns!$A$7:$A$300,B1866)&gt;0,"✓","⚠ add to Campaigns tab"))</f>
        <v/>
      </c>
      <c r="I1866" s="84" t="str">
        <f aca="false">IF(C1866="","",C1866*IF(Settings!$B$25=Settings!$C$6,1,IF(Settings!$B$25="USD",1/INDEX(Settings!$B$29:$B$40,MONTH(A1866)),INDEX(Settings!$B$29:$B$40,MONTH(A1866)))))</f>
        <v/>
      </c>
    </row>
    <row r="1867" customFormat="false" ht="15" hidden="false" customHeight="false" outlineLevel="0" collapsed="false">
      <c r="H1867" s="0" t="str">
        <f aca="false">IF(B1867="","",IF(COUNTIF(Campaigns!$A$7:$A$300,B1867)&gt;0,"✓","⚠ add to Campaigns tab"))</f>
        <v/>
      </c>
      <c r="I1867" s="84" t="str">
        <f aca="false">IF(C1867="","",C1867*IF(Settings!$B$25=Settings!$C$6,1,IF(Settings!$B$25="USD",1/INDEX(Settings!$B$29:$B$40,MONTH(A1867)),INDEX(Settings!$B$29:$B$40,MONTH(A1867)))))</f>
        <v/>
      </c>
    </row>
    <row r="1868" customFormat="false" ht="15" hidden="false" customHeight="false" outlineLevel="0" collapsed="false">
      <c r="H1868" s="0" t="str">
        <f aca="false">IF(B1868="","",IF(COUNTIF(Campaigns!$A$7:$A$300,B1868)&gt;0,"✓","⚠ add to Campaigns tab"))</f>
        <v/>
      </c>
      <c r="I1868" s="84" t="str">
        <f aca="false">IF(C1868="","",C1868*IF(Settings!$B$25=Settings!$C$6,1,IF(Settings!$B$25="USD",1/INDEX(Settings!$B$29:$B$40,MONTH(A1868)),INDEX(Settings!$B$29:$B$40,MONTH(A1868)))))</f>
        <v/>
      </c>
    </row>
    <row r="1869" customFormat="false" ht="15" hidden="false" customHeight="false" outlineLevel="0" collapsed="false">
      <c r="H1869" s="0" t="str">
        <f aca="false">IF(B1869="","",IF(COUNTIF(Campaigns!$A$7:$A$300,B1869)&gt;0,"✓","⚠ add to Campaigns tab"))</f>
        <v/>
      </c>
      <c r="I1869" s="84" t="str">
        <f aca="false">IF(C1869="","",C1869*IF(Settings!$B$25=Settings!$C$6,1,IF(Settings!$B$25="USD",1/INDEX(Settings!$B$29:$B$40,MONTH(A1869)),INDEX(Settings!$B$29:$B$40,MONTH(A1869)))))</f>
        <v/>
      </c>
    </row>
    <row r="1870" customFormat="false" ht="15" hidden="false" customHeight="false" outlineLevel="0" collapsed="false">
      <c r="H1870" s="0" t="str">
        <f aca="false">IF(B1870="","",IF(COUNTIF(Campaigns!$A$7:$A$300,B1870)&gt;0,"✓","⚠ add to Campaigns tab"))</f>
        <v/>
      </c>
      <c r="I1870" s="84" t="str">
        <f aca="false">IF(C1870="","",C1870*IF(Settings!$B$25=Settings!$C$6,1,IF(Settings!$B$25="USD",1/INDEX(Settings!$B$29:$B$40,MONTH(A1870)),INDEX(Settings!$B$29:$B$40,MONTH(A1870)))))</f>
        <v/>
      </c>
    </row>
    <row r="1871" customFormat="false" ht="15" hidden="false" customHeight="false" outlineLevel="0" collapsed="false">
      <c r="H1871" s="0" t="str">
        <f aca="false">IF(B1871="","",IF(COUNTIF(Campaigns!$A$7:$A$300,B1871)&gt;0,"✓","⚠ add to Campaigns tab"))</f>
        <v/>
      </c>
      <c r="I1871" s="84" t="str">
        <f aca="false">IF(C1871="","",C1871*IF(Settings!$B$25=Settings!$C$6,1,IF(Settings!$B$25="USD",1/INDEX(Settings!$B$29:$B$40,MONTH(A1871)),INDEX(Settings!$B$29:$B$40,MONTH(A1871)))))</f>
        <v/>
      </c>
    </row>
    <row r="1872" customFormat="false" ht="15" hidden="false" customHeight="false" outlineLevel="0" collapsed="false">
      <c r="H1872" s="0" t="str">
        <f aca="false">IF(B1872="","",IF(COUNTIF(Campaigns!$A$7:$A$300,B1872)&gt;0,"✓","⚠ add to Campaigns tab"))</f>
        <v/>
      </c>
      <c r="I1872" s="84" t="str">
        <f aca="false">IF(C1872="","",C1872*IF(Settings!$B$25=Settings!$C$6,1,IF(Settings!$B$25="USD",1/INDEX(Settings!$B$29:$B$40,MONTH(A1872)),INDEX(Settings!$B$29:$B$40,MONTH(A1872)))))</f>
        <v/>
      </c>
    </row>
    <row r="1873" customFormat="false" ht="15" hidden="false" customHeight="false" outlineLevel="0" collapsed="false">
      <c r="H1873" s="0" t="str">
        <f aca="false">IF(B1873="","",IF(COUNTIF(Campaigns!$A$7:$A$300,B1873)&gt;0,"✓","⚠ add to Campaigns tab"))</f>
        <v/>
      </c>
      <c r="I1873" s="84" t="str">
        <f aca="false">IF(C1873="","",C1873*IF(Settings!$B$25=Settings!$C$6,1,IF(Settings!$B$25="USD",1/INDEX(Settings!$B$29:$B$40,MONTH(A1873)),INDEX(Settings!$B$29:$B$40,MONTH(A1873)))))</f>
        <v/>
      </c>
    </row>
    <row r="1874" customFormat="false" ht="15" hidden="false" customHeight="false" outlineLevel="0" collapsed="false">
      <c r="H1874" s="0" t="str">
        <f aca="false">IF(B1874="","",IF(COUNTIF(Campaigns!$A$7:$A$300,B1874)&gt;0,"✓","⚠ add to Campaigns tab"))</f>
        <v/>
      </c>
      <c r="I1874" s="84" t="str">
        <f aca="false">IF(C1874="","",C1874*IF(Settings!$B$25=Settings!$C$6,1,IF(Settings!$B$25="USD",1/INDEX(Settings!$B$29:$B$40,MONTH(A1874)),INDEX(Settings!$B$29:$B$40,MONTH(A1874)))))</f>
        <v/>
      </c>
    </row>
    <row r="1875" customFormat="false" ht="15" hidden="false" customHeight="false" outlineLevel="0" collapsed="false">
      <c r="H1875" s="0" t="str">
        <f aca="false">IF(B1875="","",IF(COUNTIF(Campaigns!$A$7:$A$300,B1875)&gt;0,"✓","⚠ add to Campaigns tab"))</f>
        <v/>
      </c>
      <c r="I1875" s="84" t="str">
        <f aca="false">IF(C1875="","",C1875*IF(Settings!$B$25=Settings!$C$6,1,IF(Settings!$B$25="USD",1/INDEX(Settings!$B$29:$B$40,MONTH(A1875)),INDEX(Settings!$B$29:$B$40,MONTH(A1875)))))</f>
        <v/>
      </c>
    </row>
    <row r="1876" customFormat="false" ht="15" hidden="false" customHeight="false" outlineLevel="0" collapsed="false">
      <c r="H1876" s="0" t="str">
        <f aca="false">IF(B1876="","",IF(COUNTIF(Campaigns!$A$7:$A$300,B1876)&gt;0,"✓","⚠ add to Campaigns tab"))</f>
        <v/>
      </c>
      <c r="I1876" s="84" t="str">
        <f aca="false">IF(C1876="","",C1876*IF(Settings!$B$25=Settings!$C$6,1,IF(Settings!$B$25="USD",1/INDEX(Settings!$B$29:$B$40,MONTH(A1876)),INDEX(Settings!$B$29:$B$40,MONTH(A1876)))))</f>
        <v/>
      </c>
    </row>
    <row r="1877" customFormat="false" ht="15" hidden="false" customHeight="false" outlineLevel="0" collapsed="false">
      <c r="H1877" s="0" t="str">
        <f aca="false">IF(B1877="","",IF(COUNTIF(Campaigns!$A$7:$A$300,B1877)&gt;0,"✓","⚠ add to Campaigns tab"))</f>
        <v/>
      </c>
      <c r="I1877" s="84" t="str">
        <f aca="false">IF(C1877="","",C1877*IF(Settings!$B$25=Settings!$C$6,1,IF(Settings!$B$25="USD",1/INDEX(Settings!$B$29:$B$40,MONTH(A1877)),INDEX(Settings!$B$29:$B$40,MONTH(A1877)))))</f>
        <v/>
      </c>
    </row>
    <row r="1878" customFormat="false" ht="15" hidden="false" customHeight="false" outlineLevel="0" collapsed="false">
      <c r="H1878" s="0" t="str">
        <f aca="false">IF(B1878="","",IF(COUNTIF(Campaigns!$A$7:$A$300,B1878)&gt;0,"✓","⚠ add to Campaigns tab"))</f>
        <v/>
      </c>
      <c r="I1878" s="84" t="str">
        <f aca="false">IF(C1878="","",C1878*IF(Settings!$B$25=Settings!$C$6,1,IF(Settings!$B$25="USD",1/INDEX(Settings!$B$29:$B$40,MONTH(A1878)),INDEX(Settings!$B$29:$B$40,MONTH(A1878)))))</f>
        <v/>
      </c>
    </row>
    <row r="1879" customFormat="false" ht="15" hidden="false" customHeight="false" outlineLevel="0" collapsed="false">
      <c r="H1879" s="0" t="str">
        <f aca="false">IF(B1879="","",IF(COUNTIF(Campaigns!$A$7:$A$300,B1879)&gt;0,"✓","⚠ add to Campaigns tab"))</f>
        <v/>
      </c>
      <c r="I1879" s="84" t="str">
        <f aca="false">IF(C1879="","",C1879*IF(Settings!$B$25=Settings!$C$6,1,IF(Settings!$B$25="USD",1/INDEX(Settings!$B$29:$B$40,MONTH(A1879)),INDEX(Settings!$B$29:$B$40,MONTH(A1879)))))</f>
        <v/>
      </c>
    </row>
    <row r="1880" customFormat="false" ht="15" hidden="false" customHeight="false" outlineLevel="0" collapsed="false">
      <c r="H1880" s="0" t="str">
        <f aca="false">IF(B1880="","",IF(COUNTIF(Campaigns!$A$7:$A$300,B1880)&gt;0,"✓","⚠ add to Campaigns tab"))</f>
        <v/>
      </c>
      <c r="I1880" s="84" t="str">
        <f aca="false">IF(C1880="","",C1880*IF(Settings!$B$25=Settings!$C$6,1,IF(Settings!$B$25="USD",1/INDEX(Settings!$B$29:$B$40,MONTH(A1880)),INDEX(Settings!$B$29:$B$40,MONTH(A1880)))))</f>
        <v/>
      </c>
    </row>
    <row r="1881" customFormat="false" ht="15" hidden="false" customHeight="false" outlineLevel="0" collapsed="false">
      <c r="H1881" s="0" t="str">
        <f aca="false">IF(B1881="","",IF(COUNTIF(Campaigns!$A$7:$A$300,B1881)&gt;0,"✓","⚠ add to Campaigns tab"))</f>
        <v/>
      </c>
      <c r="I1881" s="84" t="str">
        <f aca="false">IF(C1881="","",C1881*IF(Settings!$B$25=Settings!$C$6,1,IF(Settings!$B$25="USD",1/INDEX(Settings!$B$29:$B$40,MONTH(A1881)),INDEX(Settings!$B$29:$B$40,MONTH(A1881)))))</f>
        <v/>
      </c>
    </row>
    <row r="1882" customFormat="false" ht="15" hidden="false" customHeight="false" outlineLevel="0" collapsed="false">
      <c r="H1882" s="0" t="str">
        <f aca="false">IF(B1882="","",IF(COUNTIF(Campaigns!$A$7:$A$300,B1882)&gt;0,"✓","⚠ add to Campaigns tab"))</f>
        <v/>
      </c>
      <c r="I1882" s="84" t="str">
        <f aca="false">IF(C1882="","",C1882*IF(Settings!$B$25=Settings!$C$6,1,IF(Settings!$B$25="USD",1/INDEX(Settings!$B$29:$B$40,MONTH(A1882)),INDEX(Settings!$B$29:$B$40,MONTH(A1882)))))</f>
        <v/>
      </c>
    </row>
    <row r="1883" customFormat="false" ht="15" hidden="false" customHeight="false" outlineLevel="0" collapsed="false">
      <c r="H1883" s="0" t="str">
        <f aca="false">IF(B1883="","",IF(COUNTIF(Campaigns!$A$7:$A$300,B1883)&gt;0,"✓","⚠ add to Campaigns tab"))</f>
        <v/>
      </c>
      <c r="I1883" s="84" t="str">
        <f aca="false">IF(C1883="","",C1883*IF(Settings!$B$25=Settings!$C$6,1,IF(Settings!$B$25="USD",1/INDEX(Settings!$B$29:$B$40,MONTH(A1883)),INDEX(Settings!$B$29:$B$40,MONTH(A1883)))))</f>
        <v/>
      </c>
    </row>
    <row r="1884" customFormat="false" ht="15" hidden="false" customHeight="false" outlineLevel="0" collapsed="false">
      <c r="H1884" s="0" t="str">
        <f aca="false">IF(B1884="","",IF(COUNTIF(Campaigns!$A$7:$A$300,B1884)&gt;0,"✓","⚠ add to Campaigns tab"))</f>
        <v/>
      </c>
      <c r="I1884" s="84" t="str">
        <f aca="false">IF(C1884="","",C1884*IF(Settings!$B$25=Settings!$C$6,1,IF(Settings!$B$25="USD",1/INDEX(Settings!$B$29:$B$40,MONTH(A1884)),INDEX(Settings!$B$29:$B$40,MONTH(A1884)))))</f>
        <v/>
      </c>
    </row>
    <row r="1885" customFormat="false" ht="15" hidden="false" customHeight="false" outlineLevel="0" collapsed="false">
      <c r="H1885" s="0" t="str">
        <f aca="false">IF(B1885="","",IF(COUNTIF(Campaigns!$A$7:$A$300,B1885)&gt;0,"✓","⚠ add to Campaigns tab"))</f>
        <v/>
      </c>
      <c r="I1885" s="84" t="str">
        <f aca="false">IF(C1885="","",C1885*IF(Settings!$B$25=Settings!$C$6,1,IF(Settings!$B$25="USD",1/INDEX(Settings!$B$29:$B$40,MONTH(A1885)),INDEX(Settings!$B$29:$B$40,MONTH(A1885)))))</f>
        <v/>
      </c>
    </row>
    <row r="1886" customFormat="false" ht="15" hidden="false" customHeight="false" outlineLevel="0" collapsed="false">
      <c r="H1886" s="0" t="str">
        <f aca="false">IF(B1886="","",IF(COUNTIF(Campaigns!$A$7:$A$300,B1886)&gt;0,"✓","⚠ add to Campaigns tab"))</f>
        <v/>
      </c>
      <c r="I1886" s="84" t="str">
        <f aca="false">IF(C1886="","",C1886*IF(Settings!$B$25=Settings!$C$6,1,IF(Settings!$B$25="USD",1/INDEX(Settings!$B$29:$B$40,MONTH(A1886)),INDEX(Settings!$B$29:$B$40,MONTH(A1886)))))</f>
        <v/>
      </c>
    </row>
    <row r="1887" customFormat="false" ht="15" hidden="false" customHeight="false" outlineLevel="0" collapsed="false">
      <c r="H1887" s="0" t="str">
        <f aca="false">IF(B1887="","",IF(COUNTIF(Campaigns!$A$7:$A$300,B1887)&gt;0,"✓","⚠ add to Campaigns tab"))</f>
        <v/>
      </c>
      <c r="I1887" s="84" t="str">
        <f aca="false">IF(C1887="","",C1887*IF(Settings!$B$25=Settings!$C$6,1,IF(Settings!$B$25="USD",1/INDEX(Settings!$B$29:$B$40,MONTH(A1887)),INDEX(Settings!$B$29:$B$40,MONTH(A1887)))))</f>
        <v/>
      </c>
    </row>
    <row r="1888" customFormat="false" ht="15" hidden="false" customHeight="false" outlineLevel="0" collapsed="false">
      <c r="H1888" s="0" t="str">
        <f aca="false">IF(B1888="","",IF(COUNTIF(Campaigns!$A$7:$A$300,B1888)&gt;0,"✓","⚠ add to Campaigns tab"))</f>
        <v/>
      </c>
      <c r="I1888" s="84" t="str">
        <f aca="false">IF(C1888="","",C1888*IF(Settings!$B$25=Settings!$C$6,1,IF(Settings!$B$25="USD",1/INDEX(Settings!$B$29:$B$40,MONTH(A1888)),INDEX(Settings!$B$29:$B$40,MONTH(A1888)))))</f>
        <v/>
      </c>
    </row>
    <row r="1889" customFormat="false" ht="15" hidden="false" customHeight="false" outlineLevel="0" collapsed="false">
      <c r="H1889" s="0" t="str">
        <f aca="false">IF(B1889="","",IF(COUNTIF(Campaigns!$A$7:$A$300,B1889)&gt;0,"✓","⚠ add to Campaigns tab"))</f>
        <v/>
      </c>
      <c r="I1889" s="84" t="str">
        <f aca="false">IF(C1889="","",C1889*IF(Settings!$B$25=Settings!$C$6,1,IF(Settings!$B$25="USD",1/INDEX(Settings!$B$29:$B$40,MONTH(A1889)),INDEX(Settings!$B$29:$B$40,MONTH(A1889)))))</f>
        <v/>
      </c>
    </row>
    <row r="1890" customFormat="false" ht="15" hidden="false" customHeight="false" outlineLevel="0" collapsed="false">
      <c r="H1890" s="0" t="str">
        <f aca="false">IF(B1890="","",IF(COUNTIF(Campaigns!$A$7:$A$300,B1890)&gt;0,"✓","⚠ add to Campaigns tab"))</f>
        <v/>
      </c>
      <c r="I1890" s="84" t="str">
        <f aca="false">IF(C1890="","",C1890*IF(Settings!$B$25=Settings!$C$6,1,IF(Settings!$B$25="USD",1/INDEX(Settings!$B$29:$B$40,MONTH(A1890)),INDEX(Settings!$B$29:$B$40,MONTH(A1890)))))</f>
        <v/>
      </c>
    </row>
    <row r="1891" customFormat="false" ht="15" hidden="false" customHeight="false" outlineLevel="0" collapsed="false">
      <c r="H1891" s="0" t="str">
        <f aca="false">IF(B1891="","",IF(COUNTIF(Campaigns!$A$7:$A$300,B1891)&gt;0,"✓","⚠ add to Campaigns tab"))</f>
        <v/>
      </c>
      <c r="I1891" s="84" t="str">
        <f aca="false">IF(C1891="","",C1891*IF(Settings!$B$25=Settings!$C$6,1,IF(Settings!$B$25="USD",1/INDEX(Settings!$B$29:$B$40,MONTH(A1891)),INDEX(Settings!$B$29:$B$40,MONTH(A1891)))))</f>
        <v/>
      </c>
    </row>
    <row r="1892" customFormat="false" ht="15" hidden="false" customHeight="false" outlineLevel="0" collapsed="false">
      <c r="H1892" s="0" t="str">
        <f aca="false">IF(B1892="","",IF(COUNTIF(Campaigns!$A$7:$A$300,B1892)&gt;0,"✓","⚠ add to Campaigns tab"))</f>
        <v/>
      </c>
      <c r="I1892" s="84" t="str">
        <f aca="false">IF(C1892="","",C1892*IF(Settings!$B$25=Settings!$C$6,1,IF(Settings!$B$25="USD",1/INDEX(Settings!$B$29:$B$40,MONTH(A1892)),INDEX(Settings!$B$29:$B$40,MONTH(A1892)))))</f>
        <v/>
      </c>
    </row>
    <row r="1893" customFormat="false" ht="15" hidden="false" customHeight="false" outlineLevel="0" collapsed="false">
      <c r="H1893" s="0" t="str">
        <f aca="false">IF(B1893="","",IF(COUNTIF(Campaigns!$A$7:$A$300,B1893)&gt;0,"✓","⚠ add to Campaigns tab"))</f>
        <v/>
      </c>
      <c r="I1893" s="84" t="str">
        <f aca="false">IF(C1893="","",C1893*IF(Settings!$B$25=Settings!$C$6,1,IF(Settings!$B$25="USD",1/INDEX(Settings!$B$29:$B$40,MONTH(A1893)),INDEX(Settings!$B$29:$B$40,MONTH(A1893)))))</f>
        <v/>
      </c>
    </row>
    <row r="1894" customFormat="false" ht="15" hidden="false" customHeight="false" outlineLevel="0" collapsed="false">
      <c r="H1894" s="0" t="str">
        <f aca="false">IF(B1894="","",IF(COUNTIF(Campaigns!$A$7:$A$300,B1894)&gt;0,"✓","⚠ add to Campaigns tab"))</f>
        <v/>
      </c>
      <c r="I1894" s="84" t="str">
        <f aca="false">IF(C1894="","",C1894*IF(Settings!$B$25=Settings!$C$6,1,IF(Settings!$B$25="USD",1/INDEX(Settings!$B$29:$B$40,MONTH(A1894)),INDEX(Settings!$B$29:$B$40,MONTH(A1894)))))</f>
        <v/>
      </c>
    </row>
    <row r="1895" customFormat="false" ht="15" hidden="false" customHeight="false" outlineLevel="0" collapsed="false">
      <c r="H1895" s="0" t="str">
        <f aca="false">IF(B1895="","",IF(COUNTIF(Campaigns!$A$7:$A$300,B1895)&gt;0,"✓","⚠ add to Campaigns tab"))</f>
        <v/>
      </c>
      <c r="I1895" s="84" t="str">
        <f aca="false">IF(C1895="","",C1895*IF(Settings!$B$25=Settings!$C$6,1,IF(Settings!$B$25="USD",1/INDEX(Settings!$B$29:$B$40,MONTH(A1895)),INDEX(Settings!$B$29:$B$40,MONTH(A1895)))))</f>
        <v/>
      </c>
    </row>
    <row r="1896" customFormat="false" ht="15" hidden="false" customHeight="false" outlineLevel="0" collapsed="false">
      <c r="H1896" s="0" t="str">
        <f aca="false">IF(B1896="","",IF(COUNTIF(Campaigns!$A$7:$A$300,B1896)&gt;0,"✓","⚠ add to Campaigns tab"))</f>
        <v/>
      </c>
      <c r="I1896" s="84" t="str">
        <f aca="false">IF(C1896="","",C1896*IF(Settings!$B$25=Settings!$C$6,1,IF(Settings!$B$25="USD",1/INDEX(Settings!$B$29:$B$40,MONTH(A1896)),INDEX(Settings!$B$29:$B$40,MONTH(A1896)))))</f>
        <v/>
      </c>
    </row>
    <row r="1897" customFormat="false" ht="15" hidden="false" customHeight="false" outlineLevel="0" collapsed="false">
      <c r="H1897" s="0" t="str">
        <f aca="false">IF(B1897="","",IF(COUNTIF(Campaigns!$A$7:$A$300,B1897)&gt;0,"✓","⚠ add to Campaigns tab"))</f>
        <v/>
      </c>
      <c r="I1897" s="84" t="str">
        <f aca="false">IF(C1897="","",C1897*IF(Settings!$B$25=Settings!$C$6,1,IF(Settings!$B$25="USD",1/INDEX(Settings!$B$29:$B$40,MONTH(A1897)),INDEX(Settings!$B$29:$B$40,MONTH(A1897)))))</f>
        <v/>
      </c>
    </row>
    <row r="1898" customFormat="false" ht="15" hidden="false" customHeight="false" outlineLevel="0" collapsed="false">
      <c r="H1898" s="0" t="str">
        <f aca="false">IF(B1898="","",IF(COUNTIF(Campaigns!$A$7:$A$300,B1898)&gt;0,"✓","⚠ add to Campaigns tab"))</f>
        <v/>
      </c>
      <c r="I1898" s="84" t="str">
        <f aca="false">IF(C1898="","",C1898*IF(Settings!$B$25=Settings!$C$6,1,IF(Settings!$B$25="USD",1/INDEX(Settings!$B$29:$B$40,MONTH(A1898)),INDEX(Settings!$B$29:$B$40,MONTH(A1898)))))</f>
        <v/>
      </c>
    </row>
    <row r="1899" customFormat="false" ht="15" hidden="false" customHeight="false" outlineLevel="0" collapsed="false">
      <c r="H1899" s="0" t="str">
        <f aca="false">IF(B1899="","",IF(COUNTIF(Campaigns!$A$7:$A$300,B1899)&gt;0,"✓","⚠ add to Campaigns tab"))</f>
        <v/>
      </c>
      <c r="I1899" s="84" t="str">
        <f aca="false">IF(C1899="","",C1899*IF(Settings!$B$25=Settings!$C$6,1,IF(Settings!$B$25="USD",1/INDEX(Settings!$B$29:$B$40,MONTH(A1899)),INDEX(Settings!$B$29:$B$40,MONTH(A1899)))))</f>
        <v/>
      </c>
    </row>
    <row r="1900" customFormat="false" ht="15" hidden="false" customHeight="false" outlineLevel="0" collapsed="false">
      <c r="H1900" s="0" t="str">
        <f aca="false">IF(B1900="","",IF(COUNTIF(Campaigns!$A$7:$A$300,B1900)&gt;0,"✓","⚠ add to Campaigns tab"))</f>
        <v/>
      </c>
      <c r="I1900" s="84" t="str">
        <f aca="false">IF(C1900="","",C1900*IF(Settings!$B$25=Settings!$C$6,1,IF(Settings!$B$25="USD",1/INDEX(Settings!$B$29:$B$40,MONTH(A1900)),INDEX(Settings!$B$29:$B$40,MONTH(A1900)))))</f>
        <v/>
      </c>
    </row>
    <row r="1901" customFormat="false" ht="15" hidden="false" customHeight="false" outlineLevel="0" collapsed="false">
      <c r="H1901" s="0" t="str">
        <f aca="false">IF(B1901="","",IF(COUNTIF(Campaigns!$A$7:$A$300,B1901)&gt;0,"✓","⚠ add to Campaigns tab"))</f>
        <v/>
      </c>
      <c r="I1901" s="84" t="str">
        <f aca="false">IF(C1901="","",C1901*IF(Settings!$B$25=Settings!$C$6,1,IF(Settings!$B$25="USD",1/INDEX(Settings!$B$29:$B$40,MONTH(A1901)),INDEX(Settings!$B$29:$B$40,MONTH(A1901)))))</f>
        <v/>
      </c>
    </row>
    <row r="1902" customFormat="false" ht="15" hidden="false" customHeight="false" outlineLevel="0" collapsed="false">
      <c r="H1902" s="0" t="str">
        <f aca="false">IF(B1902="","",IF(COUNTIF(Campaigns!$A$7:$A$300,B1902)&gt;0,"✓","⚠ add to Campaigns tab"))</f>
        <v/>
      </c>
      <c r="I1902" s="84" t="str">
        <f aca="false">IF(C1902="","",C1902*IF(Settings!$B$25=Settings!$C$6,1,IF(Settings!$B$25="USD",1/INDEX(Settings!$B$29:$B$40,MONTH(A1902)),INDEX(Settings!$B$29:$B$40,MONTH(A1902)))))</f>
        <v/>
      </c>
    </row>
    <row r="1903" customFormat="false" ht="15" hidden="false" customHeight="false" outlineLevel="0" collapsed="false">
      <c r="H1903" s="0" t="str">
        <f aca="false">IF(B1903="","",IF(COUNTIF(Campaigns!$A$7:$A$300,B1903)&gt;0,"✓","⚠ add to Campaigns tab"))</f>
        <v/>
      </c>
      <c r="I1903" s="84" t="str">
        <f aca="false">IF(C1903="","",C1903*IF(Settings!$B$25=Settings!$C$6,1,IF(Settings!$B$25="USD",1/INDEX(Settings!$B$29:$B$40,MONTH(A1903)),INDEX(Settings!$B$29:$B$40,MONTH(A1903)))))</f>
        <v/>
      </c>
    </row>
    <row r="1904" customFormat="false" ht="15" hidden="false" customHeight="false" outlineLevel="0" collapsed="false">
      <c r="H1904" s="0" t="str">
        <f aca="false">IF(B1904="","",IF(COUNTIF(Campaigns!$A$7:$A$300,B1904)&gt;0,"✓","⚠ add to Campaigns tab"))</f>
        <v/>
      </c>
      <c r="I1904" s="84" t="str">
        <f aca="false">IF(C1904="","",C1904*IF(Settings!$B$25=Settings!$C$6,1,IF(Settings!$B$25="USD",1/INDEX(Settings!$B$29:$B$40,MONTH(A1904)),INDEX(Settings!$B$29:$B$40,MONTH(A1904)))))</f>
        <v/>
      </c>
    </row>
    <row r="1905" customFormat="false" ht="15" hidden="false" customHeight="false" outlineLevel="0" collapsed="false">
      <c r="H1905" s="0" t="str">
        <f aca="false">IF(B1905="","",IF(COUNTIF(Campaigns!$A$7:$A$300,B1905)&gt;0,"✓","⚠ add to Campaigns tab"))</f>
        <v/>
      </c>
      <c r="I1905" s="84" t="str">
        <f aca="false">IF(C1905="","",C1905*IF(Settings!$B$25=Settings!$C$6,1,IF(Settings!$B$25="USD",1/INDEX(Settings!$B$29:$B$40,MONTH(A1905)),INDEX(Settings!$B$29:$B$40,MONTH(A1905)))))</f>
        <v/>
      </c>
    </row>
    <row r="1906" customFormat="false" ht="15" hidden="false" customHeight="false" outlineLevel="0" collapsed="false">
      <c r="H1906" s="0" t="str">
        <f aca="false">IF(B1906="","",IF(COUNTIF(Campaigns!$A$7:$A$300,B1906)&gt;0,"✓","⚠ add to Campaigns tab"))</f>
        <v/>
      </c>
      <c r="I1906" s="84" t="str">
        <f aca="false">IF(C1906="","",C1906*IF(Settings!$B$25=Settings!$C$6,1,IF(Settings!$B$25="USD",1/INDEX(Settings!$B$29:$B$40,MONTH(A1906)),INDEX(Settings!$B$29:$B$40,MONTH(A1906)))))</f>
        <v/>
      </c>
    </row>
    <row r="1907" customFormat="false" ht="15" hidden="false" customHeight="false" outlineLevel="0" collapsed="false">
      <c r="H1907" s="0" t="str">
        <f aca="false">IF(B1907="","",IF(COUNTIF(Campaigns!$A$7:$A$300,B1907)&gt;0,"✓","⚠ add to Campaigns tab"))</f>
        <v/>
      </c>
      <c r="I1907" s="84" t="str">
        <f aca="false">IF(C1907="","",C1907*IF(Settings!$B$25=Settings!$C$6,1,IF(Settings!$B$25="USD",1/INDEX(Settings!$B$29:$B$40,MONTH(A1907)),INDEX(Settings!$B$29:$B$40,MONTH(A1907)))))</f>
        <v/>
      </c>
    </row>
    <row r="1908" customFormat="false" ht="15" hidden="false" customHeight="false" outlineLevel="0" collapsed="false">
      <c r="H1908" s="0" t="str">
        <f aca="false">IF(B1908="","",IF(COUNTIF(Campaigns!$A$7:$A$300,B1908)&gt;0,"✓","⚠ add to Campaigns tab"))</f>
        <v/>
      </c>
      <c r="I1908" s="84" t="str">
        <f aca="false">IF(C1908="","",C1908*IF(Settings!$B$25=Settings!$C$6,1,IF(Settings!$B$25="USD",1/INDEX(Settings!$B$29:$B$40,MONTH(A1908)),INDEX(Settings!$B$29:$B$40,MONTH(A1908)))))</f>
        <v/>
      </c>
    </row>
    <row r="1909" customFormat="false" ht="15" hidden="false" customHeight="false" outlineLevel="0" collapsed="false">
      <c r="H1909" s="0" t="str">
        <f aca="false">IF(B1909="","",IF(COUNTIF(Campaigns!$A$7:$A$300,B1909)&gt;0,"✓","⚠ add to Campaigns tab"))</f>
        <v/>
      </c>
      <c r="I1909" s="84" t="str">
        <f aca="false">IF(C1909="","",C1909*IF(Settings!$B$25=Settings!$C$6,1,IF(Settings!$B$25="USD",1/INDEX(Settings!$B$29:$B$40,MONTH(A1909)),INDEX(Settings!$B$29:$B$40,MONTH(A1909)))))</f>
        <v/>
      </c>
    </row>
    <row r="1910" customFormat="false" ht="15" hidden="false" customHeight="false" outlineLevel="0" collapsed="false">
      <c r="H1910" s="0" t="str">
        <f aca="false">IF(B1910="","",IF(COUNTIF(Campaigns!$A$7:$A$300,B1910)&gt;0,"✓","⚠ add to Campaigns tab"))</f>
        <v/>
      </c>
      <c r="I1910" s="84" t="str">
        <f aca="false">IF(C1910="","",C1910*IF(Settings!$B$25=Settings!$C$6,1,IF(Settings!$B$25="USD",1/INDEX(Settings!$B$29:$B$40,MONTH(A1910)),INDEX(Settings!$B$29:$B$40,MONTH(A1910)))))</f>
        <v/>
      </c>
    </row>
    <row r="1911" customFormat="false" ht="15" hidden="false" customHeight="false" outlineLevel="0" collapsed="false">
      <c r="H1911" s="0" t="str">
        <f aca="false">IF(B1911="","",IF(COUNTIF(Campaigns!$A$7:$A$300,B1911)&gt;0,"✓","⚠ add to Campaigns tab"))</f>
        <v/>
      </c>
      <c r="I1911" s="84" t="str">
        <f aca="false">IF(C1911="","",C1911*IF(Settings!$B$25=Settings!$C$6,1,IF(Settings!$B$25="USD",1/INDEX(Settings!$B$29:$B$40,MONTH(A1911)),INDEX(Settings!$B$29:$B$40,MONTH(A1911)))))</f>
        <v/>
      </c>
    </row>
    <row r="1912" customFormat="false" ht="15" hidden="false" customHeight="false" outlineLevel="0" collapsed="false">
      <c r="H1912" s="0" t="str">
        <f aca="false">IF(B1912="","",IF(COUNTIF(Campaigns!$A$7:$A$300,B1912)&gt;0,"✓","⚠ add to Campaigns tab"))</f>
        <v/>
      </c>
      <c r="I1912" s="84" t="str">
        <f aca="false">IF(C1912="","",C1912*IF(Settings!$B$25=Settings!$C$6,1,IF(Settings!$B$25="USD",1/INDEX(Settings!$B$29:$B$40,MONTH(A1912)),INDEX(Settings!$B$29:$B$40,MONTH(A1912)))))</f>
        <v/>
      </c>
    </row>
    <row r="1913" customFormat="false" ht="15" hidden="false" customHeight="false" outlineLevel="0" collapsed="false">
      <c r="H1913" s="0" t="str">
        <f aca="false">IF(B1913="","",IF(COUNTIF(Campaigns!$A$7:$A$300,B1913)&gt;0,"✓","⚠ add to Campaigns tab"))</f>
        <v/>
      </c>
      <c r="I1913" s="84" t="str">
        <f aca="false">IF(C1913="","",C1913*IF(Settings!$B$25=Settings!$C$6,1,IF(Settings!$B$25="USD",1/INDEX(Settings!$B$29:$B$40,MONTH(A1913)),INDEX(Settings!$B$29:$B$40,MONTH(A1913)))))</f>
        <v/>
      </c>
    </row>
    <row r="1914" customFormat="false" ht="15" hidden="false" customHeight="false" outlineLevel="0" collapsed="false">
      <c r="H1914" s="0" t="str">
        <f aca="false">IF(B1914="","",IF(COUNTIF(Campaigns!$A$7:$A$300,B1914)&gt;0,"✓","⚠ add to Campaigns tab"))</f>
        <v/>
      </c>
      <c r="I1914" s="84" t="str">
        <f aca="false">IF(C1914="","",C1914*IF(Settings!$B$25=Settings!$C$6,1,IF(Settings!$B$25="USD",1/INDEX(Settings!$B$29:$B$40,MONTH(A1914)),INDEX(Settings!$B$29:$B$40,MONTH(A1914)))))</f>
        <v/>
      </c>
    </row>
    <row r="1915" customFormat="false" ht="15" hidden="false" customHeight="false" outlineLevel="0" collapsed="false">
      <c r="H1915" s="0" t="str">
        <f aca="false">IF(B1915="","",IF(COUNTIF(Campaigns!$A$7:$A$300,B1915)&gt;0,"✓","⚠ add to Campaigns tab"))</f>
        <v/>
      </c>
      <c r="I1915" s="84" t="str">
        <f aca="false">IF(C1915="","",C1915*IF(Settings!$B$25=Settings!$C$6,1,IF(Settings!$B$25="USD",1/INDEX(Settings!$B$29:$B$40,MONTH(A1915)),INDEX(Settings!$B$29:$B$40,MONTH(A1915)))))</f>
        <v/>
      </c>
    </row>
    <row r="1916" customFormat="false" ht="15" hidden="false" customHeight="false" outlineLevel="0" collapsed="false">
      <c r="H1916" s="0" t="str">
        <f aca="false">IF(B1916="","",IF(COUNTIF(Campaigns!$A$7:$A$300,B1916)&gt;0,"✓","⚠ add to Campaigns tab"))</f>
        <v/>
      </c>
      <c r="I1916" s="84" t="str">
        <f aca="false">IF(C1916="","",C1916*IF(Settings!$B$25=Settings!$C$6,1,IF(Settings!$B$25="USD",1/INDEX(Settings!$B$29:$B$40,MONTH(A1916)),INDEX(Settings!$B$29:$B$40,MONTH(A1916)))))</f>
        <v/>
      </c>
    </row>
    <row r="1917" customFormat="false" ht="15" hidden="false" customHeight="false" outlineLevel="0" collapsed="false">
      <c r="H1917" s="0" t="str">
        <f aca="false">IF(B1917="","",IF(COUNTIF(Campaigns!$A$7:$A$300,B1917)&gt;0,"✓","⚠ add to Campaigns tab"))</f>
        <v/>
      </c>
      <c r="I1917" s="84" t="str">
        <f aca="false">IF(C1917="","",C1917*IF(Settings!$B$25=Settings!$C$6,1,IF(Settings!$B$25="USD",1/INDEX(Settings!$B$29:$B$40,MONTH(A1917)),INDEX(Settings!$B$29:$B$40,MONTH(A1917)))))</f>
        <v/>
      </c>
    </row>
    <row r="1918" customFormat="false" ht="15" hidden="false" customHeight="false" outlineLevel="0" collapsed="false">
      <c r="H1918" s="0" t="str">
        <f aca="false">IF(B1918="","",IF(COUNTIF(Campaigns!$A$7:$A$300,B1918)&gt;0,"✓","⚠ add to Campaigns tab"))</f>
        <v/>
      </c>
      <c r="I1918" s="84" t="str">
        <f aca="false">IF(C1918="","",C1918*IF(Settings!$B$25=Settings!$C$6,1,IF(Settings!$B$25="USD",1/INDEX(Settings!$B$29:$B$40,MONTH(A1918)),INDEX(Settings!$B$29:$B$40,MONTH(A1918)))))</f>
        <v/>
      </c>
    </row>
    <row r="1919" customFormat="false" ht="15" hidden="false" customHeight="false" outlineLevel="0" collapsed="false">
      <c r="H1919" s="0" t="str">
        <f aca="false">IF(B1919="","",IF(COUNTIF(Campaigns!$A$7:$A$300,B1919)&gt;0,"✓","⚠ add to Campaigns tab"))</f>
        <v/>
      </c>
      <c r="I1919" s="84" t="str">
        <f aca="false">IF(C1919="","",C1919*IF(Settings!$B$25=Settings!$C$6,1,IF(Settings!$B$25="USD",1/INDEX(Settings!$B$29:$B$40,MONTH(A1919)),INDEX(Settings!$B$29:$B$40,MONTH(A1919)))))</f>
        <v/>
      </c>
    </row>
    <row r="1920" customFormat="false" ht="15" hidden="false" customHeight="false" outlineLevel="0" collapsed="false">
      <c r="H1920" s="0" t="str">
        <f aca="false">IF(B1920="","",IF(COUNTIF(Campaigns!$A$7:$A$300,B1920)&gt;0,"✓","⚠ add to Campaigns tab"))</f>
        <v/>
      </c>
      <c r="I1920" s="84" t="str">
        <f aca="false">IF(C1920="","",C1920*IF(Settings!$B$25=Settings!$C$6,1,IF(Settings!$B$25="USD",1/INDEX(Settings!$B$29:$B$40,MONTH(A1920)),INDEX(Settings!$B$29:$B$40,MONTH(A1920)))))</f>
        <v/>
      </c>
    </row>
    <row r="1921" customFormat="false" ht="15" hidden="false" customHeight="false" outlineLevel="0" collapsed="false">
      <c r="H1921" s="0" t="str">
        <f aca="false">IF(B1921="","",IF(COUNTIF(Campaigns!$A$7:$A$300,B1921)&gt;0,"✓","⚠ add to Campaigns tab"))</f>
        <v/>
      </c>
      <c r="I1921" s="84" t="str">
        <f aca="false">IF(C1921="","",C1921*IF(Settings!$B$25=Settings!$C$6,1,IF(Settings!$B$25="USD",1/INDEX(Settings!$B$29:$B$40,MONTH(A1921)),INDEX(Settings!$B$29:$B$40,MONTH(A1921)))))</f>
        <v/>
      </c>
    </row>
    <row r="1922" customFormat="false" ht="15" hidden="false" customHeight="false" outlineLevel="0" collapsed="false">
      <c r="H1922" s="0" t="str">
        <f aca="false">IF(B1922="","",IF(COUNTIF(Campaigns!$A$7:$A$300,B1922)&gt;0,"✓","⚠ add to Campaigns tab"))</f>
        <v/>
      </c>
      <c r="I1922" s="84" t="str">
        <f aca="false">IF(C1922="","",C1922*IF(Settings!$B$25=Settings!$C$6,1,IF(Settings!$B$25="USD",1/INDEX(Settings!$B$29:$B$40,MONTH(A1922)),INDEX(Settings!$B$29:$B$40,MONTH(A1922)))))</f>
        <v/>
      </c>
    </row>
    <row r="1923" customFormat="false" ht="15" hidden="false" customHeight="false" outlineLevel="0" collapsed="false">
      <c r="H1923" s="0" t="str">
        <f aca="false">IF(B1923="","",IF(COUNTIF(Campaigns!$A$7:$A$300,B1923)&gt;0,"✓","⚠ add to Campaigns tab"))</f>
        <v/>
      </c>
      <c r="I1923" s="84" t="str">
        <f aca="false">IF(C1923="","",C1923*IF(Settings!$B$25=Settings!$C$6,1,IF(Settings!$B$25="USD",1/INDEX(Settings!$B$29:$B$40,MONTH(A1923)),INDEX(Settings!$B$29:$B$40,MONTH(A1923)))))</f>
        <v/>
      </c>
    </row>
    <row r="1924" customFormat="false" ht="15" hidden="false" customHeight="false" outlineLevel="0" collapsed="false">
      <c r="H1924" s="0" t="str">
        <f aca="false">IF(B1924="","",IF(COUNTIF(Campaigns!$A$7:$A$300,B1924)&gt;0,"✓","⚠ add to Campaigns tab"))</f>
        <v/>
      </c>
      <c r="I1924" s="84" t="str">
        <f aca="false">IF(C1924="","",C1924*IF(Settings!$B$25=Settings!$C$6,1,IF(Settings!$B$25="USD",1/INDEX(Settings!$B$29:$B$40,MONTH(A1924)),INDEX(Settings!$B$29:$B$40,MONTH(A1924)))))</f>
        <v/>
      </c>
    </row>
    <row r="1925" customFormat="false" ht="15" hidden="false" customHeight="false" outlineLevel="0" collapsed="false">
      <c r="H1925" s="0" t="str">
        <f aca="false">IF(B1925="","",IF(COUNTIF(Campaigns!$A$7:$A$300,B1925)&gt;0,"✓","⚠ add to Campaigns tab"))</f>
        <v/>
      </c>
      <c r="I1925" s="84" t="str">
        <f aca="false">IF(C1925="","",C1925*IF(Settings!$B$25=Settings!$C$6,1,IF(Settings!$B$25="USD",1/INDEX(Settings!$B$29:$B$40,MONTH(A1925)),INDEX(Settings!$B$29:$B$40,MONTH(A1925)))))</f>
        <v/>
      </c>
    </row>
    <row r="1926" customFormat="false" ht="15" hidden="false" customHeight="false" outlineLevel="0" collapsed="false">
      <c r="H1926" s="0" t="str">
        <f aca="false">IF(B1926="","",IF(COUNTIF(Campaigns!$A$7:$A$300,B1926)&gt;0,"✓","⚠ add to Campaigns tab"))</f>
        <v/>
      </c>
      <c r="I1926" s="84" t="str">
        <f aca="false">IF(C1926="","",C1926*IF(Settings!$B$25=Settings!$C$6,1,IF(Settings!$B$25="USD",1/INDEX(Settings!$B$29:$B$40,MONTH(A1926)),INDEX(Settings!$B$29:$B$40,MONTH(A1926)))))</f>
        <v/>
      </c>
    </row>
    <row r="1927" customFormat="false" ht="15" hidden="false" customHeight="false" outlineLevel="0" collapsed="false">
      <c r="H1927" s="0" t="str">
        <f aca="false">IF(B1927="","",IF(COUNTIF(Campaigns!$A$7:$A$300,B1927)&gt;0,"✓","⚠ add to Campaigns tab"))</f>
        <v/>
      </c>
      <c r="I1927" s="84" t="str">
        <f aca="false">IF(C1927="","",C1927*IF(Settings!$B$25=Settings!$C$6,1,IF(Settings!$B$25="USD",1/INDEX(Settings!$B$29:$B$40,MONTH(A1927)),INDEX(Settings!$B$29:$B$40,MONTH(A1927)))))</f>
        <v/>
      </c>
    </row>
    <row r="1928" customFormat="false" ht="15" hidden="false" customHeight="false" outlineLevel="0" collapsed="false">
      <c r="H1928" s="0" t="str">
        <f aca="false">IF(B1928="","",IF(COUNTIF(Campaigns!$A$7:$A$300,B1928)&gt;0,"✓","⚠ add to Campaigns tab"))</f>
        <v/>
      </c>
      <c r="I1928" s="84" t="str">
        <f aca="false">IF(C1928="","",C1928*IF(Settings!$B$25=Settings!$C$6,1,IF(Settings!$B$25="USD",1/INDEX(Settings!$B$29:$B$40,MONTH(A1928)),INDEX(Settings!$B$29:$B$40,MONTH(A1928)))))</f>
        <v/>
      </c>
    </row>
    <row r="1929" customFormat="false" ht="15" hidden="false" customHeight="false" outlineLevel="0" collapsed="false">
      <c r="H1929" s="0" t="str">
        <f aca="false">IF(B1929="","",IF(COUNTIF(Campaigns!$A$7:$A$300,B1929)&gt;0,"✓","⚠ add to Campaigns tab"))</f>
        <v/>
      </c>
      <c r="I1929" s="84" t="str">
        <f aca="false">IF(C1929="","",C1929*IF(Settings!$B$25=Settings!$C$6,1,IF(Settings!$B$25="USD",1/INDEX(Settings!$B$29:$B$40,MONTH(A1929)),INDEX(Settings!$B$29:$B$40,MONTH(A1929)))))</f>
        <v/>
      </c>
    </row>
    <row r="1930" customFormat="false" ht="15" hidden="false" customHeight="false" outlineLevel="0" collapsed="false">
      <c r="H1930" s="0" t="str">
        <f aca="false">IF(B1930="","",IF(COUNTIF(Campaigns!$A$7:$A$300,B1930)&gt;0,"✓","⚠ add to Campaigns tab"))</f>
        <v/>
      </c>
      <c r="I1930" s="84" t="str">
        <f aca="false">IF(C1930="","",C1930*IF(Settings!$B$25=Settings!$C$6,1,IF(Settings!$B$25="USD",1/INDEX(Settings!$B$29:$B$40,MONTH(A1930)),INDEX(Settings!$B$29:$B$40,MONTH(A1930)))))</f>
        <v/>
      </c>
    </row>
    <row r="1931" customFormat="false" ht="15" hidden="false" customHeight="false" outlineLevel="0" collapsed="false">
      <c r="H1931" s="0" t="str">
        <f aca="false">IF(B1931="","",IF(COUNTIF(Campaigns!$A$7:$A$300,B1931)&gt;0,"✓","⚠ add to Campaigns tab"))</f>
        <v/>
      </c>
      <c r="I1931" s="84" t="str">
        <f aca="false">IF(C1931="","",C1931*IF(Settings!$B$25=Settings!$C$6,1,IF(Settings!$B$25="USD",1/INDEX(Settings!$B$29:$B$40,MONTH(A1931)),INDEX(Settings!$B$29:$B$40,MONTH(A1931)))))</f>
        <v/>
      </c>
    </row>
    <row r="1932" customFormat="false" ht="15" hidden="false" customHeight="false" outlineLevel="0" collapsed="false">
      <c r="H1932" s="0" t="str">
        <f aca="false">IF(B1932="","",IF(COUNTIF(Campaigns!$A$7:$A$300,B1932)&gt;0,"✓","⚠ add to Campaigns tab"))</f>
        <v/>
      </c>
      <c r="I1932" s="84" t="str">
        <f aca="false">IF(C1932="","",C1932*IF(Settings!$B$25=Settings!$C$6,1,IF(Settings!$B$25="USD",1/INDEX(Settings!$B$29:$B$40,MONTH(A1932)),INDEX(Settings!$B$29:$B$40,MONTH(A1932)))))</f>
        <v/>
      </c>
    </row>
    <row r="1933" customFormat="false" ht="15" hidden="false" customHeight="false" outlineLevel="0" collapsed="false">
      <c r="H1933" s="0" t="str">
        <f aca="false">IF(B1933="","",IF(COUNTIF(Campaigns!$A$7:$A$300,B1933)&gt;0,"✓","⚠ add to Campaigns tab"))</f>
        <v/>
      </c>
      <c r="I1933" s="84" t="str">
        <f aca="false">IF(C1933="","",C1933*IF(Settings!$B$25=Settings!$C$6,1,IF(Settings!$B$25="USD",1/INDEX(Settings!$B$29:$B$40,MONTH(A1933)),INDEX(Settings!$B$29:$B$40,MONTH(A1933)))))</f>
        <v/>
      </c>
    </row>
    <row r="1934" customFormat="false" ht="15" hidden="false" customHeight="false" outlineLevel="0" collapsed="false">
      <c r="H1934" s="0" t="str">
        <f aca="false">IF(B1934="","",IF(COUNTIF(Campaigns!$A$7:$A$300,B1934)&gt;0,"✓","⚠ add to Campaigns tab"))</f>
        <v/>
      </c>
      <c r="I1934" s="84" t="str">
        <f aca="false">IF(C1934="","",C1934*IF(Settings!$B$25=Settings!$C$6,1,IF(Settings!$B$25="USD",1/INDEX(Settings!$B$29:$B$40,MONTH(A1934)),INDEX(Settings!$B$29:$B$40,MONTH(A1934)))))</f>
        <v/>
      </c>
    </row>
    <row r="1935" customFormat="false" ht="15" hidden="false" customHeight="false" outlineLevel="0" collapsed="false">
      <c r="H1935" s="0" t="str">
        <f aca="false">IF(B1935="","",IF(COUNTIF(Campaigns!$A$7:$A$300,B1935)&gt;0,"✓","⚠ add to Campaigns tab"))</f>
        <v/>
      </c>
      <c r="I1935" s="84" t="str">
        <f aca="false">IF(C1935="","",C1935*IF(Settings!$B$25=Settings!$C$6,1,IF(Settings!$B$25="USD",1/INDEX(Settings!$B$29:$B$40,MONTH(A1935)),INDEX(Settings!$B$29:$B$40,MONTH(A1935)))))</f>
        <v/>
      </c>
    </row>
    <row r="1936" customFormat="false" ht="15" hidden="false" customHeight="false" outlineLevel="0" collapsed="false">
      <c r="H1936" s="0" t="str">
        <f aca="false">IF(B1936="","",IF(COUNTIF(Campaigns!$A$7:$A$300,B1936)&gt;0,"✓","⚠ add to Campaigns tab"))</f>
        <v/>
      </c>
      <c r="I1936" s="84" t="str">
        <f aca="false">IF(C1936="","",C1936*IF(Settings!$B$25=Settings!$C$6,1,IF(Settings!$B$25="USD",1/INDEX(Settings!$B$29:$B$40,MONTH(A1936)),INDEX(Settings!$B$29:$B$40,MONTH(A1936)))))</f>
        <v/>
      </c>
    </row>
    <row r="1937" customFormat="false" ht="15" hidden="false" customHeight="false" outlineLevel="0" collapsed="false">
      <c r="H1937" s="0" t="str">
        <f aca="false">IF(B1937="","",IF(COUNTIF(Campaigns!$A$7:$A$300,B1937)&gt;0,"✓","⚠ add to Campaigns tab"))</f>
        <v/>
      </c>
      <c r="I1937" s="84" t="str">
        <f aca="false">IF(C1937="","",C1937*IF(Settings!$B$25=Settings!$C$6,1,IF(Settings!$B$25="USD",1/INDEX(Settings!$B$29:$B$40,MONTH(A1937)),INDEX(Settings!$B$29:$B$40,MONTH(A1937)))))</f>
        <v/>
      </c>
    </row>
    <row r="1938" customFormat="false" ht="15" hidden="false" customHeight="false" outlineLevel="0" collapsed="false">
      <c r="H1938" s="0" t="str">
        <f aca="false">IF(B1938="","",IF(COUNTIF(Campaigns!$A$7:$A$300,B1938)&gt;0,"✓","⚠ add to Campaigns tab"))</f>
        <v/>
      </c>
      <c r="I1938" s="84" t="str">
        <f aca="false">IF(C1938="","",C1938*IF(Settings!$B$25=Settings!$C$6,1,IF(Settings!$B$25="USD",1/INDEX(Settings!$B$29:$B$40,MONTH(A1938)),INDEX(Settings!$B$29:$B$40,MONTH(A1938)))))</f>
        <v/>
      </c>
    </row>
    <row r="1939" customFormat="false" ht="15" hidden="false" customHeight="false" outlineLevel="0" collapsed="false">
      <c r="H1939" s="0" t="str">
        <f aca="false">IF(B1939="","",IF(COUNTIF(Campaigns!$A$7:$A$300,B1939)&gt;0,"✓","⚠ add to Campaigns tab"))</f>
        <v/>
      </c>
      <c r="I1939" s="84" t="str">
        <f aca="false">IF(C1939="","",C1939*IF(Settings!$B$25=Settings!$C$6,1,IF(Settings!$B$25="USD",1/INDEX(Settings!$B$29:$B$40,MONTH(A1939)),INDEX(Settings!$B$29:$B$40,MONTH(A1939)))))</f>
        <v/>
      </c>
    </row>
    <row r="1940" customFormat="false" ht="15" hidden="false" customHeight="false" outlineLevel="0" collapsed="false">
      <c r="H1940" s="0" t="str">
        <f aca="false">IF(B1940="","",IF(COUNTIF(Campaigns!$A$7:$A$300,B1940)&gt;0,"✓","⚠ add to Campaigns tab"))</f>
        <v/>
      </c>
      <c r="I1940" s="84" t="str">
        <f aca="false">IF(C1940="","",C1940*IF(Settings!$B$25=Settings!$C$6,1,IF(Settings!$B$25="USD",1/INDEX(Settings!$B$29:$B$40,MONTH(A1940)),INDEX(Settings!$B$29:$B$40,MONTH(A1940)))))</f>
        <v/>
      </c>
    </row>
    <row r="1941" customFormat="false" ht="15" hidden="false" customHeight="false" outlineLevel="0" collapsed="false">
      <c r="H1941" s="0" t="str">
        <f aca="false">IF(B1941="","",IF(COUNTIF(Campaigns!$A$7:$A$300,B1941)&gt;0,"✓","⚠ add to Campaigns tab"))</f>
        <v/>
      </c>
      <c r="I1941" s="84" t="str">
        <f aca="false">IF(C1941="","",C1941*IF(Settings!$B$25=Settings!$C$6,1,IF(Settings!$B$25="USD",1/INDEX(Settings!$B$29:$B$40,MONTH(A1941)),INDEX(Settings!$B$29:$B$40,MONTH(A1941)))))</f>
        <v/>
      </c>
    </row>
    <row r="1942" customFormat="false" ht="15" hidden="false" customHeight="false" outlineLevel="0" collapsed="false">
      <c r="H1942" s="0" t="str">
        <f aca="false">IF(B1942="","",IF(COUNTIF(Campaigns!$A$7:$A$300,B1942)&gt;0,"✓","⚠ add to Campaigns tab"))</f>
        <v/>
      </c>
      <c r="I1942" s="84" t="str">
        <f aca="false">IF(C1942="","",C1942*IF(Settings!$B$25=Settings!$C$6,1,IF(Settings!$B$25="USD",1/INDEX(Settings!$B$29:$B$40,MONTH(A1942)),INDEX(Settings!$B$29:$B$40,MONTH(A1942)))))</f>
        <v/>
      </c>
    </row>
    <row r="1943" customFormat="false" ht="15" hidden="false" customHeight="false" outlineLevel="0" collapsed="false">
      <c r="H1943" s="0" t="str">
        <f aca="false">IF(B1943="","",IF(COUNTIF(Campaigns!$A$7:$A$300,B1943)&gt;0,"✓","⚠ add to Campaigns tab"))</f>
        <v/>
      </c>
      <c r="I1943" s="84" t="str">
        <f aca="false">IF(C1943="","",C1943*IF(Settings!$B$25=Settings!$C$6,1,IF(Settings!$B$25="USD",1/INDEX(Settings!$B$29:$B$40,MONTH(A1943)),INDEX(Settings!$B$29:$B$40,MONTH(A1943)))))</f>
        <v/>
      </c>
    </row>
    <row r="1944" customFormat="false" ht="15" hidden="false" customHeight="false" outlineLevel="0" collapsed="false">
      <c r="H1944" s="0" t="str">
        <f aca="false">IF(B1944="","",IF(COUNTIF(Campaigns!$A$7:$A$300,B1944)&gt;0,"✓","⚠ add to Campaigns tab"))</f>
        <v/>
      </c>
      <c r="I1944" s="84" t="str">
        <f aca="false">IF(C1944="","",C1944*IF(Settings!$B$25=Settings!$C$6,1,IF(Settings!$B$25="USD",1/INDEX(Settings!$B$29:$B$40,MONTH(A1944)),INDEX(Settings!$B$29:$B$40,MONTH(A1944)))))</f>
        <v/>
      </c>
    </row>
    <row r="1945" customFormat="false" ht="15" hidden="false" customHeight="false" outlineLevel="0" collapsed="false">
      <c r="H1945" s="0" t="str">
        <f aca="false">IF(B1945="","",IF(COUNTIF(Campaigns!$A$7:$A$300,B1945)&gt;0,"✓","⚠ add to Campaigns tab"))</f>
        <v/>
      </c>
      <c r="I1945" s="84" t="str">
        <f aca="false">IF(C1945="","",C1945*IF(Settings!$B$25=Settings!$C$6,1,IF(Settings!$B$25="USD",1/INDEX(Settings!$B$29:$B$40,MONTH(A1945)),INDEX(Settings!$B$29:$B$40,MONTH(A1945)))))</f>
        <v/>
      </c>
    </row>
    <row r="1946" customFormat="false" ht="15" hidden="false" customHeight="false" outlineLevel="0" collapsed="false">
      <c r="H1946" s="0" t="str">
        <f aca="false">IF(B1946="","",IF(COUNTIF(Campaigns!$A$7:$A$300,B1946)&gt;0,"✓","⚠ add to Campaigns tab"))</f>
        <v/>
      </c>
      <c r="I1946" s="84" t="str">
        <f aca="false">IF(C1946="","",C1946*IF(Settings!$B$25=Settings!$C$6,1,IF(Settings!$B$25="USD",1/INDEX(Settings!$B$29:$B$40,MONTH(A1946)),INDEX(Settings!$B$29:$B$40,MONTH(A1946)))))</f>
        <v/>
      </c>
    </row>
    <row r="1947" customFormat="false" ht="15" hidden="false" customHeight="false" outlineLevel="0" collapsed="false">
      <c r="H1947" s="0" t="str">
        <f aca="false">IF(B1947="","",IF(COUNTIF(Campaigns!$A$7:$A$300,B1947)&gt;0,"✓","⚠ add to Campaigns tab"))</f>
        <v/>
      </c>
      <c r="I1947" s="84" t="str">
        <f aca="false">IF(C1947="","",C1947*IF(Settings!$B$25=Settings!$C$6,1,IF(Settings!$B$25="USD",1/INDEX(Settings!$B$29:$B$40,MONTH(A1947)),INDEX(Settings!$B$29:$B$40,MONTH(A1947)))))</f>
        <v/>
      </c>
    </row>
    <row r="1948" customFormat="false" ht="15" hidden="false" customHeight="false" outlineLevel="0" collapsed="false">
      <c r="H1948" s="0" t="str">
        <f aca="false">IF(B1948="","",IF(COUNTIF(Campaigns!$A$7:$A$300,B1948)&gt;0,"✓","⚠ add to Campaigns tab"))</f>
        <v/>
      </c>
      <c r="I1948" s="84" t="str">
        <f aca="false">IF(C1948="","",C1948*IF(Settings!$B$25=Settings!$C$6,1,IF(Settings!$B$25="USD",1/INDEX(Settings!$B$29:$B$40,MONTH(A1948)),INDEX(Settings!$B$29:$B$40,MONTH(A1948)))))</f>
        <v/>
      </c>
    </row>
    <row r="1949" customFormat="false" ht="15" hidden="false" customHeight="false" outlineLevel="0" collapsed="false">
      <c r="H1949" s="0" t="str">
        <f aca="false">IF(B1949="","",IF(COUNTIF(Campaigns!$A$7:$A$300,B1949)&gt;0,"✓","⚠ add to Campaigns tab"))</f>
        <v/>
      </c>
      <c r="I1949" s="84" t="str">
        <f aca="false">IF(C1949="","",C1949*IF(Settings!$B$25=Settings!$C$6,1,IF(Settings!$B$25="USD",1/INDEX(Settings!$B$29:$B$40,MONTH(A1949)),INDEX(Settings!$B$29:$B$40,MONTH(A1949)))))</f>
        <v/>
      </c>
    </row>
    <row r="1950" customFormat="false" ht="15" hidden="false" customHeight="false" outlineLevel="0" collapsed="false">
      <c r="H1950" s="0" t="str">
        <f aca="false">IF(B1950="","",IF(COUNTIF(Campaigns!$A$7:$A$300,B1950)&gt;0,"✓","⚠ add to Campaigns tab"))</f>
        <v/>
      </c>
      <c r="I1950" s="84" t="str">
        <f aca="false">IF(C1950="","",C1950*IF(Settings!$B$25=Settings!$C$6,1,IF(Settings!$B$25="USD",1/INDEX(Settings!$B$29:$B$40,MONTH(A1950)),INDEX(Settings!$B$29:$B$40,MONTH(A1950)))))</f>
        <v/>
      </c>
    </row>
    <row r="1951" customFormat="false" ht="15" hidden="false" customHeight="false" outlineLevel="0" collapsed="false">
      <c r="H1951" s="0" t="str">
        <f aca="false">IF(B1951="","",IF(COUNTIF(Campaigns!$A$7:$A$300,B1951)&gt;0,"✓","⚠ add to Campaigns tab"))</f>
        <v/>
      </c>
      <c r="I1951" s="84" t="str">
        <f aca="false">IF(C1951="","",C1951*IF(Settings!$B$25=Settings!$C$6,1,IF(Settings!$B$25="USD",1/INDEX(Settings!$B$29:$B$40,MONTH(A1951)),INDEX(Settings!$B$29:$B$40,MONTH(A1951)))))</f>
        <v/>
      </c>
    </row>
    <row r="1952" customFormat="false" ht="15" hidden="false" customHeight="false" outlineLevel="0" collapsed="false">
      <c r="H1952" s="0" t="str">
        <f aca="false">IF(B1952="","",IF(COUNTIF(Campaigns!$A$7:$A$300,B1952)&gt;0,"✓","⚠ add to Campaigns tab"))</f>
        <v/>
      </c>
      <c r="I1952" s="84" t="str">
        <f aca="false">IF(C1952="","",C1952*IF(Settings!$B$25=Settings!$C$6,1,IF(Settings!$B$25="USD",1/INDEX(Settings!$B$29:$B$40,MONTH(A1952)),INDEX(Settings!$B$29:$B$40,MONTH(A1952)))))</f>
        <v/>
      </c>
    </row>
    <row r="1953" customFormat="false" ht="15" hidden="false" customHeight="false" outlineLevel="0" collapsed="false">
      <c r="H1953" s="0" t="str">
        <f aca="false">IF(B1953="","",IF(COUNTIF(Campaigns!$A$7:$A$300,B1953)&gt;0,"✓","⚠ add to Campaigns tab"))</f>
        <v/>
      </c>
      <c r="I1953" s="84" t="str">
        <f aca="false">IF(C1953="","",C1953*IF(Settings!$B$25=Settings!$C$6,1,IF(Settings!$B$25="USD",1/INDEX(Settings!$B$29:$B$40,MONTH(A1953)),INDEX(Settings!$B$29:$B$40,MONTH(A1953)))))</f>
        <v/>
      </c>
    </row>
    <row r="1954" customFormat="false" ht="15" hidden="false" customHeight="false" outlineLevel="0" collapsed="false">
      <c r="H1954" s="0" t="str">
        <f aca="false">IF(B1954="","",IF(COUNTIF(Campaigns!$A$7:$A$300,B1954)&gt;0,"✓","⚠ add to Campaigns tab"))</f>
        <v/>
      </c>
      <c r="I1954" s="84" t="str">
        <f aca="false">IF(C1954="","",C1954*IF(Settings!$B$25=Settings!$C$6,1,IF(Settings!$B$25="USD",1/INDEX(Settings!$B$29:$B$40,MONTH(A1954)),INDEX(Settings!$B$29:$B$40,MONTH(A1954)))))</f>
        <v/>
      </c>
    </row>
    <row r="1955" customFormat="false" ht="15" hidden="false" customHeight="false" outlineLevel="0" collapsed="false">
      <c r="H1955" s="0" t="str">
        <f aca="false">IF(B1955="","",IF(COUNTIF(Campaigns!$A$7:$A$300,B1955)&gt;0,"✓","⚠ add to Campaigns tab"))</f>
        <v/>
      </c>
      <c r="I1955" s="84" t="str">
        <f aca="false">IF(C1955="","",C1955*IF(Settings!$B$25=Settings!$C$6,1,IF(Settings!$B$25="USD",1/INDEX(Settings!$B$29:$B$40,MONTH(A1955)),INDEX(Settings!$B$29:$B$40,MONTH(A1955)))))</f>
        <v/>
      </c>
    </row>
    <row r="1956" customFormat="false" ht="15" hidden="false" customHeight="false" outlineLevel="0" collapsed="false">
      <c r="H1956" s="0" t="str">
        <f aca="false">IF(B1956="","",IF(COUNTIF(Campaigns!$A$7:$A$300,B1956)&gt;0,"✓","⚠ add to Campaigns tab"))</f>
        <v/>
      </c>
      <c r="I1956" s="84" t="str">
        <f aca="false">IF(C1956="","",C1956*IF(Settings!$B$25=Settings!$C$6,1,IF(Settings!$B$25="USD",1/INDEX(Settings!$B$29:$B$40,MONTH(A1956)),INDEX(Settings!$B$29:$B$40,MONTH(A1956)))))</f>
        <v/>
      </c>
    </row>
    <row r="1957" customFormat="false" ht="15" hidden="false" customHeight="false" outlineLevel="0" collapsed="false">
      <c r="H1957" s="0" t="str">
        <f aca="false">IF(B1957="","",IF(COUNTIF(Campaigns!$A$7:$A$300,B1957)&gt;0,"✓","⚠ add to Campaigns tab"))</f>
        <v/>
      </c>
      <c r="I1957" s="84" t="str">
        <f aca="false">IF(C1957="","",C1957*IF(Settings!$B$25=Settings!$C$6,1,IF(Settings!$B$25="USD",1/INDEX(Settings!$B$29:$B$40,MONTH(A1957)),INDEX(Settings!$B$29:$B$40,MONTH(A1957)))))</f>
        <v/>
      </c>
    </row>
    <row r="1958" customFormat="false" ht="15" hidden="false" customHeight="false" outlineLevel="0" collapsed="false">
      <c r="H1958" s="0" t="str">
        <f aca="false">IF(B1958="","",IF(COUNTIF(Campaigns!$A$7:$A$300,B1958)&gt;0,"✓","⚠ add to Campaigns tab"))</f>
        <v/>
      </c>
      <c r="I1958" s="84" t="str">
        <f aca="false">IF(C1958="","",C1958*IF(Settings!$B$25=Settings!$C$6,1,IF(Settings!$B$25="USD",1/INDEX(Settings!$B$29:$B$40,MONTH(A1958)),INDEX(Settings!$B$29:$B$40,MONTH(A1958)))))</f>
        <v/>
      </c>
    </row>
    <row r="1959" customFormat="false" ht="15" hidden="false" customHeight="false" outlineLevel="0" collapsed="false">
      <c r="H1959" s="0" t="str">
        <f aca="false">IF(B1959="","",IF(COUNTIF(Campaigns!$A$7:$A$300,B1959)&gt;0,"✓","⚠ add to Campaigns tab"))</f>
        <v/>
      </c>
      <c r="I1959" s="84" t="str">
        <f aca="false">IF(C1959="","",C1959*IF(Settings!$B$25=Settings!$C$6,1,IF(Settings!$B$25="USD",1/INDEX(Settings!$B$29:$B$40,MONTH(A1959)),INDEX(Settings!$B$29:$B$40,MONTH(A1959)))))</f>
        <v/>
      </c>
    </row>
    <row r="1960" customFormat="false" ht="15" hidden="false" customHeight="false" outlineLevel="0" collapsed="false">
      <c r="H1960" s="0" t="str">
        <f aca="false">IF(B1960="","",IF(COUNTIF(Campaigns!$A$7:$A$300,B1960)&gt;0,"✓","⚠ add to Campaigns tab"))</f>
        <v/>
      </c>
      <c r="I1960" s="84" t="str">
        <f aca="false">IF(C1960="","",C1960*IF(Settings!$B$25=Settings!$C$6,1,IF(Settings!$B$25="USD",1/INDEX(Settings!$B$29:$B$40,MONTH(A1960)),INDEX(Settings!$B$29:$B$40,MONTH(A1960)))))</f>
        <v/>
      </c>
    </row>
    <row r="1961" customFormat="false" ht="15" hidden="false" customHeight="false" outlineLevel="0" collapsed="false">
      <c r="H1961" s="0" t="str">
        <f aca="false">IF(B1961="","",IF(COUNTIF(Campaigns!$A$7:$A$300,B1961)&gt;0,"✓","⚠ add to Campaigns tab"))</f>
        <v/>
      </c>
      <c r="I1961" s="84" t="str">
        <f aca="false">IF(C1961="","",C1961*IF(Settings!$B$25=Settings!$C$6,1,IF(Settings!$B$25="USD",1/INDEX(Settings!$B$29:$B$40,MONTH(A1961)),INDEX(Settings!$B$29:$B$40,MONTH(A1961)))))</f>
        <v/>
      </c>
    </row>
    <row r="1962" customFormat="false" ht="15" hidden="false" customHeight="false" outlineLevel="0" collapsed="false">
      <c r="H1962" s="0" t="str">
        <f aca="false">IF(B1962="","",IF(COUNTIF(Campaigns!$A$7:$A$300,B1962)&gt;0,"✓","⚠ add to Campaigns tab"))</f>
        <v/>
      </c>
      <c r="I1962" s="84" t="str">
        <f aca="false">IF(C1962="","",C1962*IF(Settings!$B$25=Settings!$C$6,1,IF(Settings!$B$25="USD",1/INDEX(Settings!$B$29:$B$40,MONTH(A1962)),INDEX(Settings!$B$29:$B$40,MONTH(A1962)))))</f>
        <v/>
      </c>
    </row>
    <row r="1963" customFormat="false" ht="15" hidden="false" customHeight="false" outlineLevel="0" collapsed="false">
      <c r="H1963" s="0" t="str">
        <f aca="false">IF(B1963="","",IF(COUNTIF(Campaigns!$A$7:$A$300,B1963)&gt;0,"✓","⚠ add to Campaigns tab"))</f>
        <v/>
      </c>
      <c r="I1963" s="84" t="str">
        <f aca="false">IF(C1963="","",C1963*IF(Settings!$B$25=Settings!$C$6,1,IF(Settings!$B$25="USD",1/INDEX(Settings!$B$29:$B$40,MONTH(A1963)),INDEX(Settings!$B$29:$B$40,MONTH(A1963)))))</f>
        <v/>
      </c>
    </row>
    <row r="1964" customFormat="false" ht="15" hidden="false" customHeight="false" outlineLevel="0" collapsed="false">
      <c r="H1964" s="0" t="str">
        <f aca="false">IF(B1964="","",IF(COUNTIF(Campaigns!$A$7:$A$300,B1964)&gt;0,"✓","⚠ add to Campaigns tab"))</f>
        <v/>
      </c>
      <c r="I1964" s="84" t="str">
        <f aca="false">IF(C1964="","",C1964*IF(Settings!$B$25=Settings!$C$6,1,IF(Settings!$B$25="USD",1/INDEX(Settings!$B$29:$B$40,MONTH(A1964)),INDEX(Settings!$B$29:$B$40,MONTH(A1964)))))</f>
        <v/>
      </c>
    </row>
    <row r="1965" customFormat="false" ht="15" hidden="false" customHeight="false" outlineLevel="0" collapsed="false">
      <c r="H1965" s="0" t="str">
        <f aca="false">IF(B1965="","",IF(COUNTIF(Campaigns!$A$7:$A$300,B1965)&gt;0,"✓","⚠ add to Campaigns tab"))</f>
        <v/>
      </c>
      <c r="I1965" s="84" t="str">
        <f aca="false">IF(C1965="","",C1965*IF(Settings!$B$25=Settings!$C$6,1,IF(Settings!$B$25="USD",1/INDEX(Settings!$B$29:$B$40,MONTH(A1965)),INDEX(Settings!$B$29:$B$40,MONTH(A1965)))))</f>
        <v/>
      </c>
    </row>
    <row r="1966" customFormat="false" ht="15" hidden="false" customHeight="false" outlineLevel="0" collapsed="false">
      <c r="H1966" s="0" t="str">
        <f aca="false">IF(B1966="","",IF(COUNTIF(Campaigns!$A$7:$A$300,B1966)&gt;0,"✓","⚠ add to Campaigns tab"))</f>
        <v/>
      </c>
      <c r="I1966" s="84" t="str">
        <f aca="false">IF(C1966="","",C1966*IF(Settings!$B$25=Settings!$C$6,1,IF(Settings!$B$25="USD",1/INDEX(Settings!$B$29:$B$40,MONTH(A1966)),INDEX(Settings!$B$29:$B$40,MONTH(A1966)))))</f>
        <v/>
      </c>
    </row>
    <row r="1967" customFormat="false" ht="15" hidden="false" customHeight="false" outlineLevel="0" collapsed="false">
      <c r="H1967" s="0" t="str">
        <f aca="false">IF(B1967="","",IF(COUNTIF(Campaigns!$A$7:$A$300,B1967)&gt;0,"✓","⚠ add to Campaigns tab"))</f>
        <v/>
      </c>
      <c r="I1967" s="84" t="str">
        <f aca="false">IF(C1967="","",C1967*IF(Settings!$B$25=Settings!$C$6,1,IF(Settings!$B$25="USD",1/INDEX(Settings!$B$29:$B$40,MONTH(A1967)),INDEX(Settings!$B$29:$B$40,MONTH(A1967)))))</f>
        <v/>
      </c>
    </row>
    <row r="1968" customFormat="false" ht="15" hidden="false" customHeight="false" outlineLevel="0" collapsed="false">
      <c r="H1968" s="0" t="str">
        <f aca="false">IF(B1968="","",IF(COUNTIF(Campaigns!$A$7:$A$300,B1968)&gt;0,"✓","⚠ add to Campaigns tab"))</f>
        <v/>
      </c>
      <c r="I1968" s="84" t="str">
        <f aca="false">IF(C1968="","",C1968*IF(Settings!$B$25=Settings!$C$6,1,IF(Settings!$B$25="USD",1/INDEX(Settings!$B$29:$B$40,MONTH(A1968)),INDEX(Settings!$B$29:$B$40,MONTH(A1968)))))</f>
        <v/>
      </c>
    </row>
    <row r="1969" customFormat="false" ht="15" hidden="false" customHeight="false" outlineLevel="0" collapsed="false">
      <c r="H1969" s="0" t="str">
        <f aca="false">IF(B1969="","",IF(COUNTIF(Campaigns!$A$7:$A$300,B1969)&gt;0,"✓","⚠ add to Campaigns tab"))</f>
        <v/>
      </c>
      <c r="I1969" s="84" t="str">
        <f aca="false">IF(C1969="","",C1969*IF(Settings!$B$25=Settings!$C$6,1,IF(Settings!$B$25="USD",1/INDEX(Settings!$B$29:$B$40,MONTH(A1969)),INDEX(Settings!$B$29:$B$40,MONTH(A1969)))))</f>
        <v/>
      </c>
    </row>
    <row r="1970" customFormat="false" ht="15" hidden="false" customHeight="false" outlineLevel="0" collapsed="false">
      <c r="H1970" s="0" t="str">
        <f aca="false">IF(B1970="","",IF(COUNTIF(Campaigns!$A$7:$A$300,B1970)&gt;0,"✓","⚠ add to Campaigns tab"))</f>
        <v/>
      </c>
      <c r="I1970" s="84" t="str">
        <f aca="false">IF(C1970="","",C1970*IF(Settings!$B$25=Settings!$C$6,1,IF(Settings!$B$25="USD",1/INDEX(Settings!$B$29:$B$40,MONTH(A1970)),INDEX(Settings!$B$29:$B$40,MONTH(A1970)))))</f>
        <v/>
      </c>
    </row>
    <row r="1971" customFormat="false" ht="15" hidden="false" customHeight="false" outlineLevel="0" collapsed="false">
      <c r="H1971" s="0" t="str">
        <f aca="false">IF(B1971="","",IF(COUNTIF(Campaigns!$A$7:$A$300,B1971)&gt;0,"✓","⚠ add to Campaigns tab"))</f>
        <v/>
      </c>
      <c r="I1971" s="84" t="str">
        <f aca="false">IF(C1971="","",C1971*IF(Settings!$B$25=Settings!$C$6,1,IF(Settings!$B$25="USD",1/INDEX(Settings!$B$29:$B$40,MONTH(A1971)),INDEX(Settings!$B$29:$B$40,MONTH(A1971)))))</f>
        <v/>
      </c>
    </row>
    <row r="1972" customFormat="false" ht="15" hidden="false" customHeight="false" outlineLevel="0" collapsed="false">
      <c r="H1972" s="0" t="str">
        <f aca="false">IF(B1972="","",IF(COUNTIF(Campaigns!$A$7:$A$300,B1972)&gt;0,"✓","⚠ add to Campaigns tab"))</f>
        <v/>
      </c>
      <c r="I1972" s="84" t="str">
        <f aca="false">IF(C1972="","",C1972*IF(Settings!$B$25=Settings!$C$6,1,IF(Settings!$B$25="USD",1/INDEX(Settings!$B$29:$B$40,MONTH(A1972)),INDEX(Settings!$B$29:$B$40,MONTH(A1972)))))</f>
        <v/>
      </c>
    </row>
    <row r="1973" customFormat="false" ht="15" hidden="false" customHeight="false" outlineLevel="0" collapsed="false">
      <c r="H1973" s="0" t="str">
        <f aca="false">IF(B1973="","",IF(COUNTIF(Campaigns!$A$7:$A$300,B1973)&gt;0,"✓","⚠ add to Campaigns tab"))</f>
        <v/>
      </c>
      <c r="I1973" s="84" t="str">
        <f aca="false">IF(C1973="","",C1973*IF(Settings!$B$25=Settings!$C$6,1,IF(Settings!$B$25="USD",1/INDEX(Settings!$B$29:$B$40,MONTH(A1973)),INDEX(Settings!$B$29:$B$40,MONTH(A1973)))))</f>
        <v/>
      </c>
    </row>
    <row r="1974" customFormat="false" ht="15" hidden="false" customHeight="false" outlineLevel="0" collapsed="false">
      <c r="H1974" s="0" t="str">
        <f aca="false">IF(B1974="","",IF(COUNTIF(Campaigns!$A$7:$A$300,B1974)&gt;0,"✓","⚠ add to Campaigns tab"))</f>
        <v/>
      </c>
      <c r="I1974" s="84" t="str">
        <f aca="false">IF(C1974="","",C1974*IF(Settings!$B$25=Settings!$C$6,1,IF(Settings!$B$25="USD",1/INDEX(Settings!$B$29:$B$40,MONTH(A1974)),INDEX(Settings!$B$29:$B$40,MONTH(A1974)))))</f>
        <v/>
      </c>
    </row>
    <row r="1975" customFormat="false" ht="15" hidden="false" customHeight="false" outlineLevel="0" collapsed="false">
      <c r="H1975" s="0" t="str">
        <f aca="false">IF(B1975="","",IF(COUNTIF(Campaigns!$A$7:$A$300,B1975)&gt;0,"✓","⚠ add to Campaigns tab"))</f>
        <v/>
      </c>
      <c r="I1975" s="84" t="str">
        <f aca="false">IF(C1975="","",C1975*IF(Settings!$B$25=Settings!$C$6,1,IF(Settings!$B$25="USD",1/INDEX(Settings!$B$29:$B$40,MONTH(A1975)),INDEX(Settings!$B$29:$B$40,MONTH(A1975)))))</f>
        <v/>
      </c>
    </row>
    <row r="1976" customFormat="false" ht="15" hidden="false" customHeight="false" outlineLevel="0" collapsed="false">
      <c r="H1976" s="0" t="str">
        <f aca="false">IF(B1976="","",IF(COUNTIF(Campaigns!$A$7:$A$300,B1976)&gt;0,"✓","⚠ add to Campaigns tab"))</f>
        <v/>
      </c>
      <c r="I1976" s="84" t="str">
        <f aca="false">IF(C1976="","",C1976*IF(Settings!$B$25=Settings!$C$6,1,IF(Settings!$B$25="USD",1/INDEX(Settings!$B$29:$B$40,MONTH(A1976)),INDEX(Settings!$B$29:$B$40,MONTH(A1976)))))</f>
        <v/>
      </c>
    </row>
    <row r="1977" customFormat="false" ht="15" hidden="false" customHeight="false" outlineLevel="0" collapsed="false">
      <c r="H1977" s="0" t="str">
        <f aca="false">IF(B1977="","",IF(COUNTIF(Campaigns!$A$7:$A$300,B1977)&gt;0,"✓","⚠ add to Campaigns tab"))</f>
        <v/>
      </c>
      <c r="I1977" s="84" t="str">
        <f aca="false">IF(C1977="","",C1977*IF(Settings!$B$25=Settings!$C$6,1,IF(Settings!$B$25="USD",1/INDEX(Settings!$B$29:$B$40,MONTH(A1977)),INDEX(Settings!$B$29:$B$40,MONTH(A1977)))))</f>
        <v/>
      </c>
    </row>
    <row r="1978" customFormat="false" ht="15" hidden="false" customHeight="false" outlineLevel="0" collapsed="false">
      <c r="H1978" s="0" t="str">
        <f aca="false">IF(B1978="","",IF(COUNTIF(Campaigns!$A$7:$A$300,B1978)&gt;0,"✓","⚠ add to Campaigns tab"))</f>
        <v/>
      </c>
      <c r="I1978" s="84" t="str">
        <f aca="false">IF(C1978="","",C1978*IF(Settings!$B$25=Settings!$C$6,1,IF(Settings!$B$25="USD",1/INDEX(Settings!$B$29:$B$40,MONTH(A1978)),INDEX(Settings!$B$29:$B$40,MONTH(A1978)))))</f>
        <v/>
      </c>
    </row>
    <row r="1979" customFormat="false" ht="15" hidden="false" customHeight="false" outlineLevel="0" collapsed="false">
      <c r="H1979" s="0" t="str">
        <f aca="false">IF(B1979="","",IF(COUNTIF(Campaigns!$A$7:$A$300,B1979)&gt;0,"✓","⚠ add to Campaigns tab"))</f>
        <v/>
      </c>
      <c r="I1979" s="84" t="str">
        <f aca="false">IF(C1979="","",C1979*IF(Settings!$B$25=Settings!$C$6,1,IF(Settings!$B$25="USD",1/INDEX(Settings!$B$29:$B$40,MONTH(A1979)),INDEX(Settings!$B$29:$B$40,MONTH(A1979)))))</f>
        <v/>
      </c>
    </row>
    <row r="1980" customFormat="false" ht="15" hidden="false" customHeight="false" outlineLevel="0" collapsed="false">
      <c r="H1980" s="0" t="str">
        <f aca="false">IF(B1980="","",IF(COUNTIF(Campaigns!$A$7:$A$300,B1980)&gt;0,"✓","⚠ add to Campaigns tab"))</f>
        <v/>
      </c>
      <c r="I1980" s="84" t="str">
        <f aca="false">IF(C1980="","",C1980*IF(Settings!$B$25=Settings!$C$6,1,IF(Settings!$B$25="USD",1/INDEX(Settings!$B$29:$B$40,MONTH(A1980)),INDEX(Settings!$B$29:$B$40,MONTH(A1980)))))</f>
        <v/>
      </c>
    </row>
    <row r="1981" customFormat="false" ht="15" hidden="false" customHeight="false" outlineLevel="0" collapsed="false">
      <c r="H1981" s="0" t="str">
        <f aca="false">IF(B1981="","",IF(COUNTIF(Campaigns!$A$7:$A$300,B1981)&gt;0,"✓","⚠ add to Campaigns tab"))</f>
        <v/>
      </c>
      <c r="I1981" s="84" t="str">
        <f aca="false">IF(C1981="","",C1981*IF(Settings!$B$25=Settings!$C$6,1,IF(Settings!$B$25="USD",1/INDEX(Settings!$B$29:$B$40,MONTH(A1981)),INDEX(Settings!$B$29:$B$40,MONTH(A1981)))))</f>
        <v/>
      </c>
    </row>
    <row r="1982" customFormat="false" ht="15" hidden="false" customHeight="false" outlineLevel="0" collapsed="false">
      <c r="H1982" s="0" t="str">
        <f aca="false">IF(B1982="","",IF(COUNTIF(Campaigns!$A$7:$A$300,B1982)&gt;0,"✓","⚠ add to Campaigns tab"))</f>
        <v/>
      </c>
      <c r="I1982" s="84" t="str">
        <f aca="false">IF(C1982="","",C1982*IF(Settings!$B$25=Settings!$C$6,1,IF(Settings!$B$25="USD",1/INDEX(Settings!$B$29:$B$40,MONTH(A1982)),INDEX(Settings!$B$29:$B$40,MONTH(A1982)))))</f>
        <v/>
      </c>
    </row>
    <row r="1983" customFormat="false" ht="15" hidden="false" customHeight="false" outlineLevel="0" collapsed="false">
      <c r="H1983" s="0" t="str">
        <f aca="false">IF(B1983="","",IF(COUNTIF(Campaigns!$A$7:$A$300,B1983)&gt;0,"✓","⚠ add to Campaigns tab"))</f>
        <v/>
      </c>
      <c r="I1983" s="84" t="str">
        <f aca="false">IF(C1983="","",C1983*IF(Settings!$B$25=Settings!$C$6,1,IF(Settings!$B$25="USD",1/INDEX(Settings!$B$29:$B$40,MONTH(A1983)),INDEX(Settings!$B$29:$B$40,MONTH(A1983)))))</f>
        <v/>
      </c>
    </row>
    <row r="1984" customFormat="false" ht="15" hidden="false" customHeight="false" outlineLevel="0" collapsed="false">
      <c r="H1984" s="0" t="str">
        <f aca="false">IF(B1984="","",IF(COUNTIF(Campaigns!$A$7:$A$300,B1984)&gt;0,"✓","⚠ add to Campaigns tab"))</f>
        <v/>
      </c>
      <c r="I1984" s="84" t="str">
        <f aca="false">IF(C1984="","",C1984*IF(Settings!$B$25=Settings!$C$6,1,IF(Settings!$B$25="USD",1/INDEX(Settings!$B$29:$B$40,MONTH(A1984)),INDEX(Settings!$B$29:$B$40,MONTH(A1984)))))</f>
        <v/>
      </c>
    </row>
    <row r="1985" customFormat="false" ht="15" hidden="false" customHeight="false" outlineLevel="0" collapsed="false">
      <c r="H1985" s="0" t="str">
        <f aca="false">IF(B1985="","",IF(COUNTIF(Campaigns!$A$7:$A$300,B1985)&gt;0,"✓","⚠ add to Campaigns tab"))</f>
        <v/>
      </c>
      <c r="I1985" s="84" t="str">
        <f aca="false">IF(C1985="","",C1985*IF(Settings!$B$25=Settings!$C$6,1,IF(Settings!$B$25="USD",1/INDEX(Settings!$B$29:$B$40,MONTH(A1985)),INDEX(Settings!$B$29:$B$40,MONTH(A1985)))))</f>
        <v/>
      </c>
    </row>
    <row r="1986" customFormat="false" ht="15" hidden="false" customHeight="false" outlineLevel="0" collapsed="false">
      <c r="H1986" s="0" t="str">
        <f aca="false">IF(B1986="","",IF(COUNTIF(Campaigns!$A$7:$A$300,B1986)&gt;0,"✓","⚠ add to Campaigns tab"))</f>
        <v/>
      </c>
      <c r="I1986" s="84" t="str">
        <f aca="false">IF(C1986="","",C1986*IF(Settings!$B$25=Settings!$C$6,1,IF(Settings!$B$25="USD",1/INDEX(Settings!$B$29:$B$40,MONTH(A1986)),INDEX(Settings!$B$29:$B$40,MONTH(A1986)))))</f>
        <v/>
      </c>
    </row>
    <row r="1987" customFormat="false" ht="15" hidden="false" customHeight="false" outlineLevel="0" collapsed="false">
      <c r="H1987" s="0" t="str">
        <f aca="false">IF(B1987="","",IF(COUNTIF(Campaigns!$A$7:$A$300,B1987)&gt;0,"✓","⚠ add to Campaigns tab"))</f>
        <v/>
      </c>
      <c r="I1987" s="84" t="str">
        <f aca="false">IF(C1987="","",C1987*IF(Settings!$B$25=Settings!$C$6,1,IF(Settings!$B$25="USD",1/INDEX(Settings!$B$29:$B$40,MONTH(A1987)),INDEX(Settings!$B$29:$B$40,MONTH(A1987)))))</f>
        <v/>
      </c>
    </row>
    <row r="1988" customFormat="false" ht="15" hidden="false" customHeight="false" outlineLevel="0" collapsed="false">
      <c r="H1988" s="0" t="str">
        <f aca="false">IF(B1988="","",IF(COUNTIF(Campaigns!$A$7:$A$300,B1988)&gt;0,"✓","⚠ add to Campaigns tab"))</f>
        <v/>
      </c>
      <c r="I1988" s="84" t="str">
        <f aca="false">IF(C1988="","",C1988*IF(Settings!$B$25=Settings!$C$6,1,IF(Settings!$B$25="USD",1/INDEX(Settings!$B$29:$B$40,MONTH(A1988)),INDEX(Settings!$B$29:$B$40,MONTH(A1988)))))</f>
        <v/>
      </c>
    </row>
    <row r="1989" customFormat="false" ht="15" hidden="false" customHeight="false" outlineLevel="0" collapsed="false">
      <c r="H1989" s="0" t="str">
        <f aca="false">IF(B1989="","",IF(COUNTIF(Campaigns!$A$7:$A$300,B1989)&gt;0,"✓","⚠ add to Campaigns tab"))</f>
        <v/>
      </c>
      <c r="I1989" s="84" t="str">
        <f aca="false">IF(C1989="","",C1989*IF(Settings!$B$25=Settings!$C$6,1,IF(Settings!$B$25="USD",1/INDEX(Settings!$B$29:$B$40,MONTH(A1989)),INDEX(Settings!$B$29:$B$40,MONTH(A1989)))))</f>
        <v/>
      </c>
    </row>
    <row r="1990" customFormat="false" ht="15" hidden="false" customHeight="false" outlineLevel="0" collapsed="false">
      <c r="H1990" s="0" t="str">
        <f aca="false">IF(B1990="","",IF(COUNTIF(Campaigns!$A$7:$A$300,B1990)&gt;0,"✓","⚠ add to Campaigns tab"))</f>
        <v/>
      </c>
      <c r="I1990" s="84" t="str">
        <f aca="false">IF(C1990="","",C1990*IF(Settings!$B$25=Settings!$C$6,1,IF(Settings!$B$25="USD",1/INDEX(Settings!$B$29:$B$40,MONTH(A1990)),INDEX(Settings!$B$29:$B$40,MONTH(A1990)))))</f>
        <v/>
      </c>
    </row>
    <row r="1991" customFormat="false" ht="15" hidden="false" customHeight="false" outlineLevel="0" collapsed="false">
      <c r="H1991" s="0" t="str">
        <f aca="false">IF(B1991="","",IF(COUNTIF(Campaigns!$A$7:$A$300,B1991)&gt;0,"✓","⚠ add to Campaigns tab"))</f>
        <v/>
      </c>
      <c r="I1991" s="84" t="str">
        <f aca="false">IF(C1991="","",C1991*IF(Settings!$B$25=Settings!$C$6,1,IF(Settings!$B$25="USD",1/INDEX(Settings!$B$29:$B$40,MONTH(A1991)),INDEX(Settings!$B$29:$B$40,MONTH(A1991)))))</f>
        <v/>
      </c>
    </row>
    <row r="1992" customFormat="false" ht="15" hidden="false" customHeight="false" outlineLevel="0" collapsed="false">
      <c r="H1992" s="0" t="str">
        <f aca="false">IF(B1992="","",IF(COUNTIF(Campaigns!$A$7:$A$300,B1992)&gt;0,"✓","⚠ add to Campaigns tab"))</f>
        <v/>
      </c>
      <c r="I1992" s="84" t="str">
        <f aca="false">IF(C1992="","",C1992*IF(Settings!$B$25=Settings!$C$6,1,IF(Settings!$B$25="USD",1/INDEX(Settings!$B$29:$B$40,MONTH(A1992)),INDEX(Settings!$B$29:$B$40,MONTH(A1992)))))</f>
        <v/>
      </c>
    </row>
    <row r="1993" customFormat="false" ht="15" hidden="false" customHeight="false" outlineLevel="0" collapsed="false">
      <c r="H1993" s="0" t="str">
        <f aca="false">IF(B1993="","",IF(COUNTIF(Campaigns!$A$7:$A$300,B1993)&gt;0,"✓","⚠ add to Campaigns tab"))</f>
        <v/>
      </c>
      <c r="I1993" s="84" t="str">
        <f aca="false">IF(C1993="","",C1993*IF(Settings!$B$25=Settings!$C$6,1,IF(Settings!$B$25="USD",1/INDEX(Settings!$B$29:$B$40,MONTH(A1993)),INDEX(Settings!$B$29:$B$40,MONTH(A1993)))))</f>
        <v/>
      </c>
    </row>
    <row r="1994" customFormat="false" ht="15" hidden="false" customHeight="false" outlineLevel="0" collapsed="false">
      <c r="H1994" s="0" t="str">
        <f aca="false">IF(B1994="","",IF(COUNTIF(Campaigns!$A$7:$A$300,B1994)&gt;0,"✓","⚠ add to Campaigns tab"))</f>
        <v/>
      </c>
      <c r="I1994" s="84" t="str">
        <f aca="false">IF(C1994="","",C1994*IF(Settings!$B$25=Settings!$C$6,1,IF(Settings!$B$25="USD",1/INDEX(Settings!$B$29:$B$40,MONTH(A1994)),INDEX(Settings!$B$29:$B$40,MONTH(A1994)))))</f>
        <v/>
      </c>
    </row>
    <row r="1995" customFormat="false" ht="15" hidden="false" customHeight="false" outlineLevel="0" collapsed="false">
      <c r="H1995" s="0" t="str">
        <f aca="false">IF(B1995="","",IF(COUNTIF(Campaigns!$A$7:$A$300,B1995)&gt;0,"✓","⚠ add to Campaigns tab"))</f>
        <v/>
      </c>
      <c r="I1995" s="84" t="str">
        <f aca="false">IF(C1995="","",C1995*IF(Settings!$B$25=Settings!$C$6,1,IF(Settings!$B$25="USD",1/INDEX(Settings!$B$29:$B$40,MONTH(A1995)),INDEX(Settings!$B$29:$B$40,MONTH(A1995)))))</f>
        <v/>
      </c>
    </row>
    <row r="1996" customFormat="false" ht="15" hidden="false" customHeight="false" outlineLevel="0" collapsed="false">
      <c r="H1996" s="0" t="str">
        <f aca="false">IF(B1996="","",IF(COUNTIF(Campaigns!$A$7:$A$300,B1996)&gt;0,"✓","⚠ add to Campaigns tab"))</f>
        <v/>
      </c>
      <c r="I1996" s="84" t="str">
        <f aca="false">IF(C1996="","",C1996*IF(Settings!$B$25=Settings!$C$6,1,IF(Settings!$B$25="USD",1/INDEX(Settings!$B$29:$B$40,MONTH(A1996)),INDEX(Settings!$B$29:$B$40,MONTH(A1996)))))</f>
        <v/>
      </c>
    </row>
    <row r="1997" customFormat="false" ht="15" hidden="false" customHeight="false" outlineLevel="0" collapsed="false">
      <c r="H1997" s="0" t="str">
        <f aca="false">IF(B1997="","",IF(COUNTIF(Campaigns!$A$7:$A$300,B1997)&gt;0,"✓","⚠ add to Campaigns tab"))</f>
        <v/>
      </c>
      <c r="I1997" s="84" t="str">
        <f aca="false">IF(C1997="","",C1997*IF(Settings!$B$25=Settings!$C$6,1,IF(Settings!$B$25="USD",1/INDEX(Settings!$B$29:$B$40,MONTH(A1997)),INDEX(Settings!$B$29:$B$40,MONTH(A1997)))))</f>
        <v/>
      </c>
    </row>
    <row r="1998" customFormat="false" ht="15" hidden="false" customHeight="false" outlineLevel="0" collapsed="false">
      <c r="H1998" s="0" t="str">
        <f aca="false">IF(B1998="","",IF(COUNTIF(Campaigns!$A$7:$A$300,B1998)&gt;0,"✓","⚠ add to Campaigns tab"))</f>
        <v/>
      </c>
      <c r="I1998" s="84" t="str">
        <f aca="false">IF(C1998="","",C1998*IF(Settings!$B$25=Settings!$C$6,1,IF(Settings!$B$25="USD",1/INDEX(Settings!$B$29:$B$40,MONTH(A1998)),INDEX(Settings!$B$29:$B$40,MONTH(A1998)))))</f>
        <v/>
      </c>
    </row>
    <row r="1999" customFormat="false" ht="15" hidden="false" customHeight="false" outlineLevel="0" collapsed="false">
      <c r="H1999" s="0" t="str">
        <f aca="false">IF(B1999="","",IF(COUNTIF(Campaigns!$A$7:$A$300,B1999)&gt;0,"✓","⚠ add to Campaigns tab"))</f>
        <v/>
      </c>
      <c r="I1999" s="84" t="str">
        <f aca="false">IF(C1999="","",C1999*IF(Settings!$B$25=Settings!$C$6,1,IF(Settings!$B$25="USD",1/INDEX(Settings!$B$29:$B$40,MONTH(A1999)),INDEX(Settings!$B$29:$B$40,MONTH(A1999)))))</f>
        <v/>
      </c>
    </row>
    <row r="2000" customFormat="false" ht="15" hidden="false" customHeight="false" outlineLevel="0" collapsed="false">
      <c r="H2000" s="0" t="str">
        <f aca="false">IF(B2000="","",IF(COUNTIF(Campaigns!$A$7:$A$300,B2000)&gt;0,"✓","⚠ add to Campaigns tab"))</f>
        <v/>
      </c>
      <c r="I2000" s="84" t="str">
        <f aca="false">IF(C2000="","",C2000*IF(Settings!$B$25=Settings!$C$6,1,IF(Settings!$B$25="USD",1/INDEX(Settings!$B$29:$B$40,MONTH(A2000)),INDEX(Settings!$B$29:$B$40,MONTH(A2000)))))</f>
        <v/>
      </c>
    </row>
  </sheetData>
  <mergeCells count="1">
    <mergeCell ref="A1:I1"/>
  </mergeCells>
  <conditionalFormatting sqref="H3:H2000">
    <cfRule type="expression" priority="2" aboveAverage="0" equalAverage="0" bottom="0" percent="0" rank="0" text="" dxfId="7">
      <formula>LEFT(H3,1)="⚠"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16"/>
    <col collapsed="false" customWidth="true" hidden="false" outlineLevel="0" max="9" min="4" style="0" width="14"/>
  </cols>
  <sheetData>
    <row r="1" customFormat="false" ht="19.7" hidden="false" customHeight="false" outlineLevel="0" collapsed="false">
      <c r="A1" s="31" t="s">
        <v>512</v>
      </c>
    </row>
    <row r="2" customFormat="false" ht="15" hidden="false" customHeight="false" outlineLevel="0" collapsed="false">
      <c r="A2" s="28" t="s">
        <v>513</v>
      </c>
    </row>
    <row r="3" customFormat="false" ht="15" hidden="false" customHeight="false" outlineLevel="0" collapsed="false">
      <c r="B3" s="54" t="s">
        <v>514</v>
      </c>
      <c r="C3" s="72" t="n">
        <f aca="false">Settings!$C$5</f>
        <v>46295</v>
      </c>
    </row>
    <row r="4" customFormat="false" ht="15" hidden="false" customHeight="false" outlineLevel="0" collapsed="false">
      <c r="B4" s="54" t="s">
        <v>431</v>
      </c>
      <c r="C4" s="72" t="n">
        <f aca="false">Settings!$C$10</f>
        <v>46023</v>
      </c>
    </row>
    <row r="5" customFormat="false" ht="15" hidden="false" customHeight="false" outlineLevel="0" collapsed="false">
      <c r="B5" s="54" t="s">
        <v>432</v>
      </c>
      <c r="C5" s="72" t="n">
        <f aca="false">Settings!$C$11</f>
        <v>46387</v>
      </c>
    </row>
    <row r="6" customFormat="false" ht="15" hidden="false" customHeight="false" outlineLevel="0" collapsed="false">
      <c r="B6" s="54" t="s">
        <v>515</v>
      </c>
      <c r="C6" s="71" t="n">
        <f aca="false">C5-C4+1</f>
        <v>365</v>
      </c>
    </row>
    <row r="7" customFormat="false" ht="15" hidden="false" customHeight="false" outlineLevel="0" collapsed="false">
      <c r="B7" s="54" t="s">
        <v>516</v>
      </c>
      <c r="C7" s="71" t="n">
        <f aca="false">MAX(0,MIN(C3,C5)-C4+1)</f>
        <v>273</v>
      </c>
    </row>
    <row r="8" customFormat="false" ht="15" hidden="false" customHeight="false" outlineLevel="0" collapsed="false">
      <c r="B8" s="54" t="s">
        <v>517</v>
      </c>
      <c r="C8" s="71" t="n">
        <f aca="false">MAX(0,C5-MAX(C3,C4-1))</f>
        <v>92</v>
      </c>
    </row>
    <row r="9" customFormat="false" ht="15" hidden="false" customHeight="false" outlineLevel="0" collapsed="false">
      <c r="B9" s="54" t="s">
        <v>518</v>
      </c>
      <c r="C9" s="87" t="n">
        <f aca="false">IF(C6&gt;0,C7/C6,0)</f>
        <v>0.747945205479452</v>
      </c>
    </row>
    <row r="10" customFormat="false" ht="15" hidden="false" customHeight="false" outlineLevel="0" collapsed="false">
      <c r="B10" s="54" t="s">
        <v>519</v>
      </c>
      <c r="C10" s="72" t="n">
        <f aca="false">IF(C3=EOMONTH(C3,0),C3,EOMONTH(C3,-1))</f>
        <v>46295</v>
      </c>
    </row>
    <row r="11" customFormat="false" ht="15" hidden="false" customHeight="false" outlineLevel="0" collapsed="false">
      <c r="B11" s="54" t="s">
        <v>520</v>
      </c>
      <c r="C11" s="72" t="n">
        <f aca="false">EOMONTH(C10,-1)+1</f>
        <v>46266</v>
      </c>
    </row>
    <row r="12" customFormat="false" ht="15" hidden="false" customHeight="false" outlineLevel="0" collapsed="false">
      <c r="B12" s="54" t="s">
        <v>521</v>
      </c>
      <c r="C12" s="72" t="n">
        <f aca="false">EOMONTH(C10,-3)+1</f>
        <v>46204</v>
      </c>
    </row>
    <row r="13" customFormat="false" ht="15" hidden="false" customHeight="false" outlineLevel="0" collapsed="false">
      <c r="B13" s="54" t="s">
        <v>522</v>
      </c>
      <c r="C13" s="72" t="n">
        <f aca="false">C3-MOD(WEEKDAY(C3,2),7)</f>
        <v>46292</v>
      </c>
    </row>
    <row r="14" customFormat="false" ht="15" hidden="false" customHeight="false" outlineLevel="0" collapsed="false">
      <c r="B14" s="54" t="s">
        <v>523</v>
      </c>
      <c r="C14" s="72" t="n">
        <f aca="false">C13-6</f>
        <v>46286</v>
      </c>
    </row>
    <row r="15" customFormat="false" ht="15" hidden="false" customHeight="false" outlineLevel="0" collapsed="false">
      <c r="B15" s="54" t="s">
        <v>524</v>
      </c>
      <c r="C15" s="72" t="n">
        <f aca="false">C13-20</f>
        <v>46272</v>
      </c>
    </row>
    <row r="16" customFormat="false" ht="15" hidden="false" customHeight="false" outlineLevel="0" collapsed="false">
      <c r="B16" s="54" t="s">
        <v>525</v>
      </c>
      <c r="C16" s="88" t="n">
        <f aca="false">C8/7</f>
        <v>13.1428571428571</v>
      </c>
    </row>
    <row r="17" customFormat="false" ht="15" hidden="false" customHeight="false" outlineLevel="0" collapsed="false">
      <c r="B17" s="54" t="s">
        <v>526</v>
      </c>
      <c r="C17" s="71" t="n">
        <f aca="false">C10-C11+1</f>
        <v>30</v>
      </c>
    </row>
    <row r="19" customFormat="false" ht="30" hidden="false" customHeight="true" outlineLevel="0" collapsed="false">
      <c r="B19" s="12" t="s">
        <v>11</v>
      </c>
      <c r="C19" s="12" t="s">
        <v>16</v>
      </c>
      <c r="D19" s="12" t="s">
        <v>527</v>
      </c>
      <c r="E19" s="12" t="s">
        <v>528</v>
      </c>
      <c r="F19" s="12" t="s">
        <v>529</v>
      </c>
      <c r="G19" s="12" t="s">
        <v>530</v>
      </c>
      <c r="H19" s="12" t="s">
        <v>531</v>
      </c>
      <c r="I19" s="12" t="s">
        <v>122</v>
      </c>
    </row>
    <row r="20" customFormat="false" ht="15" hidden="false" customHeight="false" outlineLevel="0" collapsed="false">
      <c r="B20" s="13" t="s">
        <v>19</v>
      </c>
      <c r="C20" s="22" t="str">
        <f aca="false">Settings!C22</f>
        <v>Yes</v>
      </c>
      <c r="D20" s="14" t="n">
        <f aca="false">SUMIFS('Meta data'!$I$3:$I$20000,'Meta data'!$A$3:$A$20000,"&gt;="&amp;$C$4,'Meta data'!$A$3:$A$20000,"&lt;="&amp;MIN($C$3,$C$5))</f>
        <v>178067.03</v>
      </c>
      <c r="E20" s="14" t="n">
        <f aca="false">SUMIFS('Meta data'!$I$3:$I$20000,'Meta data'!$A$3:$A$20000,"&gt;="&amp;$C$11,'Meta data'!$A$3:$A$20000,"&lt;="&amp;$C$10)</f>
        <v>11062.98</v>
      </c>
      <c r="F20" s="14" t="n">
        <f aca="false">SUMIFS('Meta data'!$I$3:$I$20000,'Meta data'!$A$3:$A$20000,"&gt;="&amp;$C$12,'Meta data'!$A$3:$A$20000,"&lt;="&amp;$C$10)</f>
        <v>40663.58</v>
      </c>
      <c r="G20" s="14" t="n">
        <f aca="false">SUMIFS('Meta data'!$I$3:$I$20000,'Meta data'!$A$3:$A$20000,"&gt;="&amp;$C$14,'Meta data'!$A$3:$A$20000,"&lt;="&amp;$C$13,'Meta data'!$G$3:$G$20000,"&lt;&gt;Month total")</f>
        <v>0</v>
      </c>
      <c r="H20" s="14" t="n">
        <f aca="false">SUMIFS('Meta data'!$I$3:$I$20000,'Meta data'!$A$3:$A$20000,"&gt;="&amp;$C$15,'Meta data'!$A$3:$A$20000,"&lt;="&amp;$C$13,'Meta data'!$G$3:$G$20000,"&lt;&gt;Month total")</f>
        <v>0</v>
      </c>
      <c r="I20" s="89" t="n">
        <f aca="false">IF($D$25=0,"",D20/$D$25)</f>
        <v>0.639146249971249</v>
      </c>
    </row>
    <row r="21" customFormat="false" ht="15" hidden="false" customHeight="false" outlineLevel="0" collapsed="false">
      <c r="B21" s="13" t="s">
        <v>20</v>
      </c>
      <c r="C21" s="22" t="str">
        <f aca="false">Settings!C23</f>
        <v>Yes</v>
      </c>
      <c r="D21" s="14" t="n">
        <f aca="false">SUMIFS('Google data'!$I$3:$I$20000,'Google data'!$A$3:$A$20000,"&gt;="&amp;$C$4,'Google data'!$A$3:$A$20000,"&lt;="&amp;MIN($C$3,$C$5))</f>
        <v>100277.775069</v>
      </c>
      <c r="E21" s="14" t="n">
        <f aca="false">SUMIFS('Google data'!$I$3:$I$20000,'Google data'!$A$3:$A$20000,"&gt;="&amp;$C$11,'Google data'!$A$3:$A$20000,"&lt;="&amp;$C$10)</f>
        <v>6854.228188</v>
      </c>
      <c r="F21" s="14" t="n">
        <f aca="false">SUMIFS('Google data'!$I$3:$I$20000,'Google data'!$A$3:$A$20000,"&gt;="&amp;$C$12,'Google data'!$A$3:$A$20000,"&lt;="&amp;$C$10)</f>
        <v>32249.009277</v>
      </c>
      <c r="G21" s="14" t="n">
        <f aca="false">SUMIFS('Google data'!$I$3:$I$20000,'Google data'!$A$3:$A$20000,"&gt;="&amp;$C$14,'Google data'!$A$3:$A$20000,"&lt;="&amp;$C$13,'Google data'!$G$3:$G$20000,"&lt;&gt;Month total")</f>
        <v>0</v>
      </c>
      <c r="H21" s="14" t="n">
        <f aca="false">SUMIFS('Google data'!$I$3:$I$20000,'Google data'!$A$3:$A$20000,"&gt;="&amp;$C$15,'Google data'!$A$3:$A$20000,"&lt;="&amp;$C$13,'Google data'!$G$3:$G$20000,"&lt;&gt;Month total")</f>
        <v>0</v>
      </c>
      <c r="I21" s="89" t="n">
        <f aca="false">IF($D$25=0,"",D21/$D$25)</f>
        <v>0.359932795480509</v>
      </c>
    </row>
    <row r="22" customFormat="false" ht="15" hidden="false" customHeight="false" outlineLevel="0" collapsed="false">
      <c r="B22" s="13" t="s">
        <v>21</v>
      </c>
      <c r="C22" s="22" t="str">
        <f aca="false">Settings!C24</f>
        <v>Yes</v>
      </c>
      <c r="D22" s="14" t="n">
        <f aca="false">SUMIFS('ChatGPT data'!$I$3:$I$20000,'ChatGPT data'!$A$3:$A$20000,"&gt;="&amp;$C$4,'ChatGPT data'!$A$3:$A$20000,"&lt;="&amp;MIN($C$3,$C$5))</f>
        <v>256.579212</v>
      </c>
      <c r="E22" s="14" t="n">
        <f aca="false">SUMIFS('ChatGPT data'!$I$3:$I$20000,'ChatGPT data'!$A$3:$A$20000,"&gt;="&amp;$C$11,'ChatGPT data'!$A$3:$A$20000,"&lt;="&amp;$C$10)</f>
        <v>256.579212</v>
      </c>
      <c r="F22" s="14" t="n">
        <f aca="false">SUMIFS('ChatGPT data'!$I$3:$I$20000,'ChatGPT data'!$A$3:$A$20000,"&gt;="&amp;$C$12,'ChatGPT data'!$A$3:$A$20000,"&lt;="&amp;$C$10)</f>
        <v>256.579212</v>
      </c>
      <c r="G22" s="14" t="n">
        <f aca="false">SUMIFS('ChatGPT data'!$I$3:$I$20000,'ChatGPT data'!$A$3:$A$20000,"&gt;="&amp;$C$14,'ChatGPT data'!$A$3:$A$20000,"&lt;="&amp;$C$13,'ChatGPT data'!$G$3:$G$20000,"&lt;&gt;Month total")</f>
        <v>0</v>
      </c>
      <c r="H22" s="14" t="n">
        <f aca="false">SUMIFS('ChatGPT data'!$I$3:$I$20000,'ChatGPT data'!$A$3:$A$20000,"&gt;="&amp;$C$15,'ChatGPT data'!$A$3:$A$20000,"&lt;="&amp;$C$13,'ChatGPT data'!$G$3:$G$20000,"&lt;&gt;Month total")</f>
        <v>0</v>
      </c>
      <c r="I22" s="89" t="n">
        <f aca="false">IF($D$25=0,"",D22/$D$25)</f>
        <v>0.000920954548241626</v>
      </c>
    </row>
    <row r="23" customFormat="false" ht="15" hidden="false" customHeight="false" outlineLevel="0" collapsed="false">
      <c r="B23" s="13" t="s">
        <v>22</v>
      </c>
      <c r="C23" s="22" t="str">
        <f aca="false">Settings!C25</f>
        <v>Yes</v>
      </c>
      <c r="D23" s="14" t="n">
        <f aca="false">SUMIFS('LinkedIn data'!$I$3:$I$20000,'LinkedIn data'!$A$3:$A$20000,"&gt;="&amp;$C$4,'LinkedIn data'!$A$3:$A$20000,"&lt;="&amp;MIN($C$3,$C$5))</f>
        <v>0</v>
      </c>
      <c r="E23" s="14" t="n">
        <f aca="false">SUMIFS('LinkedIn data'!$I$3:$I$20000,'LinkedIn data'!$A$3:$A$20000,"&gt;="&amp;$C$11,'LinkedIn data'!$A$3:$A$20000,"&lt;="&amp;$C$10)</f>
        <v>0</v>
      </c>
      <c r="F23" s="14" t="n">
        <f aca="false">SUMIFS('LinkedIn data'!$I$3:$I$20000,'LinkedIn data'!$A$3:$A$20000,"&gt;="&amp;$C$12,'LinkedIn data'!$A$3:$A$20000,"&lt;="&amp;$C$10)</f>
        <v>0</v>
      </c>
      <c r="G23" s="14" t="n">
        <f aca="false">SUMIFS('LinkedIn data'!$I$3:$I$20000,'LinkedIn data'!$A$3:$A$20000,"&gt;="&amp;$C$14,'LinkedIn data'!$A$3:$A$20000,"&lt;="&amp;$C$13,'LinkedIn data'!$G$3:$G$20000,"&lt;&gt;Month total")</f>
        <v>0</v>
      </c>
      <c r="H23" s="14" t="n">
        <f aca="false">SUMIFS('LinkedIn data'!$I$3:$I$20000,'LinkedIn data'!$A$3:$A$20000,"&gt;="&amp;$C$15,'LinkedIn data'!$A$3:$A$20000,"&lt;="&amp;$C$13,'LinkedIn data'!$G$3:$G$20000,"&lt;&gt;Month total")</f>
        <v>0</v>
      </c>
      <c r="I23" s="89" t="n">
        <f aca="false">IF($D$25=0,"",D23/$D$25)</f>
        <v>0</v>
      </c>
    </row>
    <row r="24" customFormat="false" ht="15" hidden="false" customHeight="false" outlineLevel="0" collapsed="false">
      <c r="B24" s="24" t="s">
        <v>532</v>
      </c>
      <c r="C24" s="27"/>
      <c r="D24" s="30" t="n">
        <f aca="false">SUMIFS(D20:D23,$C$20:$C$23,"Yes")</f>
        <v>278601.384281</v>
      </c>
      <c r="E24" s="30" t="n">
        <f aca="false">SUMIFS(E20:E23,$C$20:$C$23,"Yes")</f>
        <v>18173.7874</v>
      </c>
      <c r="F24" s="30" t="n">
        <f aca="false">SUMIFS(F20:F23,$C$20:$C$23,"Yes")</f>
        <v>73169.168489</v>
      </c>
      <c r="G24" s="30" t="n">
        <f aca="false">SUMIFS(G20:G23,$C$20:$C$23,"Yes")</f>
        <v>0</v>
      </c>
      <c r="H24" s="30" t="n">
        <f aca="false">SUMIFS(H20:H23,$C$20:$C$23,"Yes")</f>
        <v>0</v>
      </c>
      <c r="I24" s="90" t="n">
        <f aca="false">IF($D$25=0,"",D24/$D$25)</f>
        <v>1</v>
      </c>
    </row>
    <row r="25" customFormat="false" ht="15" hidden="false" customHeight="false" outlineLevel="0" collapsed="false">
      <c r="B25" s="24" t="s">
        <v>23</v>
      </c>
      <c r="C25" s="27"/>
      <c r="D25" s="30" t="n">
        <f aca="false">SUM(D20:D23)</f>
        <v>278601.384281</v>
      </c>
      <c r="E25" s="30" t="n">
        <f aca="false">SUM(E20:E23)</f>
        <v>18173.7874</v>
      </c>
      <c r="F25" s="30" t="n">
        <f aca="false">SUM(F20:F23)</f>
        <v>73169.168489</v>
      </c>
      <c r="G25" s="30" t="n">
        <f aca="false">SUM(G20:G23)</f>
        <v>0</v>
      </c>
      <c r="H25" s="30" t="n">
        <f aca="false">SUM(H20:H23)</f>
        <v>0</v>
      </c>
      <c r="I25" s="27"/>
    </row>
    <row r="27" customFormat="false" ht="15" hidden="false" customHeight="false" outlineLevel="0" collapsed="false">
      <c r="B27" s="54" t="s">
        <v>8</v>
      </c>
      <c r="C27" s="14" t="n">
        <f aca="false">Settings!$D$16</f>
        <v>300000</v>
      </c>
    </row>
    <row r="28" customFormat="false" ht="15" hidden="false" customHeight="false" outlineLevel="0" collapsed="false">
      <c r="B28" s="54" t="s">
        <v>9</v>
      </c>
      <c r="C28" s="14" t="n">
        <f aca="false">Settings!$D$17</f>
        <v>320000</v>
      </c>
    </row>
    <row r="29" customFormat="false" ht="15" hidden="false" customHeight="false" outlineLevel="0" collapsed="false">
      <c r="B29" s="54" t="s">
        <v>442</v>
      </c>
      <c r="C29" s="14" t="n">
        <f aca="false">Settings!$D$18</f>
        <v>350000</v>
      </c>
    </row>
    <row r="30" customFormat="false" ht="15" hidden="false" customHeight="false" outlineLevel="0" collapsed="false">
      <c r="B30" s="54" t="s">
        <v>533</v>
      </c>
      <c r="C30" s="14" t="n">
        <f aca="false">D24</f>
        <v>278601.384281</v>
      </c>
    </row>
    <row r="31" customFormat="false" ht="15" hidden="false" customHeight="false" outlineLevel="0" collapsed="false">
      <c r="B31" s="54" t="s">
        <v>534</v>
      </c>
      <c r="C31" s="14" t="n">
        <f aca="false">C27-C30</f>
        <v>21398.615719</v>
      </c>
    </row>
    <row r="32" customFormat="false" ht="15" hidden="false" customHeight="false" outlineLevel="0" collapsed="false">
      <c r="B32" s="54" t="s">
        <v>535</v>
      </c>
      <c r="C32" s="14" t="n">
        <f aca="false">C28-C30</f>
        <v>41398.615719</v>
      </c>
    </row>
    <row r="33" customFormat="false" ht="15" hidden="false" customHeight="false" outlineLevel="0" collapsed="false">
      <c r="B33" s="54" t="s">
        <v>108</v>
      </c>
      <c r="C33" s="89" t="n">
        <f aca="false">IF(C27=0,"",C30/C27)</f>
        <v>0.928671280936667</v>
      </c>
    </row>
    <row r="34" customFormat="false" ht="15" hidden="false" customHeight="false" outlineLevel="0" collapsed="false">
      <c r="B34" s="54" t="s">
        <v>536</v>
      </c>
      <c r="C34" s="89" t="n">
        <f aca="false">IF(C28=0,"",C30/C28)</f>
        <v>0.870629325878125</v>
      </c>
    </row>
    <row r="35" customFormat="false" ht="15" hidden="false" customHeight="false" outlineLevel="0" collapsed="false">
      <c r="B35" s="54" t="s">
        <v>537</v>
      </c>
      <c r="C35" s="14" t="n">
        <f aca="false">C27*C9</f>
        <v>224383.561643836</v>
      </c>
    </row>
    <row r="36" customFormat="false" ht="15" hidden="false" customHeight="false" outlineLevel="0" collapsed="false">
      <c r="B36" s="54" t="s">
        <v>538</v>
      </c>
      <c r="C36" s="14" t="n">
        <f aca="false">C30-C35</f>
        <v>54217.8226371644</v>
      </c>
    </row>
    <row r="37" customFormat="false" ht="15" hidden="false" customHeight="false" outlineLevel="0" collapsed="false">
      <c r="B37" s="54" t="s">
        <v>539</v>
      </c>
      <c r="C37" s="14" t="n">
        <f aca="false">H24/3</f>
        <v>0</v>
      </c>
    </row>
    <row r="38" customFormat="false" ht="15" hidden="false" customHeight="false" outlineLevel="0" collapsed="false">
      <c r="B38" s="54" t="s">
        <v>540</v>
      </c>
      <c r="C38" s="14" t="n">
        <f aca="false">(('Agency reports'!C44+'Agency reports'!C45+'Agency reports'!C46)*IF(Settings!$C$6="USD",1,1/INDEX(Settings!$B$29:$B$40,MONTH('Agency reports'!A46)))+('Agency reports'!G44+'Agency reports'!G45+'Agency reports'!G46)*IF(Settings!$C$6="USD",INDEX(Settings!$B$29:$B$40,MONTH('Agency reports'!A46)),1))/3</f>
        <v>1860.8593</v>
      </c>
    </row>
    <row r="39" customFormat="false" ht="15" hidden="false" customHeight="false" outlineLevel="0" collapsed="false">
      <c r="B39" s="54" t="s">
        <v>541</v>
      </c>
      <c r="C39" s="14" t="n">
        <f aca="false">IF(C37&gt;0,C37,C38)</f>
        <v>1860.8593</v>
      </c>
    </row>
    <row r="40" customFormat="false" ht="15" hidden="false" customHeight="false" outlineLevel="0" collapsed="false">
      <c r="B40" s="54" t="s">
        <v>542</v>
      </c>
      <c r="C40" s="54" t="str">
        <f aca="false">IF(C37&gt;0,"the platform exports, last 3 full weeks",C41)</f>
        <v>the agency reports for W/C 21 Sep – 5 Oct (after the September cuts)</v>
      </c>
    </row>
    <row r="41" customFormat="false" ht="15" hidden="false" customHeight="false" outlineLevel="0" collapsed="false">
      <c r="B41" s="54" t="s">
        <v>543</v>
      </c>
      <c r="C41" s="54" t="str">
        <f aca="false">"the agency reports for W/C "&amp;TEXT('Agency reports'!A44,"d mmm")&amp;" – "&amp;TEXT('Agency reports'!A46,"d mmm")&amp;" (after the September cuts)"</f>
        <v>the agency reports for W/C 21 Sep – 5 Oct (after the September cuts)</v>
      </c>
    </row>
    <row r="42" customFormat="false" ht="15" hidden="false" customHeight="false" outlineLevel="0" collapsed="false">
      <c r="B42" s="54" t="s">
        <v>544</v>
      </c>
      <c r="C42" s="14" t="n">
        <f aca="false">C30+C39*C16</f>
        <v>303058.392223857</v>
      </c>
    </row>
    <row r="43" customFormat="false" ht="15" hidden="false" customHeight="false" outlineLevel="0" collapsed="false">
      <c r="B43" s="54" t="s">
        <v>545</v>
      </c>
      <c r="C43" s="14" t="n">
        <f aca="false">IF(C16&lt;=0,0,C31/C16)</f>
        <v>1628.15554383696</v>
      </c>
    </row>
    <row r="44" customFormat="false" ht="15" hidden="false" customHeight="false" outlineLevel="0" collapsed="false">
      <c r="B44" s="54" t="s">
        <v>546</v>
      </c>
      <c r="C44" s="14" t="n">
        <f aca="false">IF(C16&lt;=0,0,C32/C16)</f>
        <v>3149.89467427174</v>
      </c>
    </row>
    <row r="45" customFormat="false" ht="15" hidden="false" customHeight="false" outlineLevel="0" collapsed="false">
      <c r="B45" s="54" t="s">
        <v>547</v>
      </c>
      <c r="C45" s="14" t="n">
        <f aca="false">E24</f>
        <v>18173.7874</v>
      </c>
    </row>
    <row r="46" customFormat="false" ht="15" hidden="false" customHeight="false" outlineLevel="0" collapsed="false">
      <c r="B46" s="54" t="s">
        <v>548</v>
      </c>
      <c r="C46" s="14" t="n">
        <f aca="false">SUM('Meta data'!$I$3:$I$20000)+SUM('Google data'!$I$3:$I$20000)+SUM('ChatGPT data'!$I$3:$I$20000)+SUM('LinkedIn data'!$I$3:$I$20000)</f>
        <v>278601.384281</v>
      </c>
    </row>
    <row r="47" customFormat="false" ht="15" hidden="false" customHeight="false" outlineLevel="0" collapsed="false">
      <c r="B47" s="54" t="s">
        <v>549</v>
      </c>
      <c r="C47" s="14" t="n">
        <f aca="false">C30+E24/C17*C8</f>
        <v>334334.332307667</v>
      </c>
    </row>
    <row r="48" customFormat="false" ht="15" hidden="false" customHeight="false" outlineLevel="0" collapsed="false">
      <c r="B48" s="54" t="s">
        <v>550</v>
      </c>
      <c r="C48" s="14" t="n">
        <f aca="false">G24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2026-10-13T13:02:26Z</dcterms:created>
  <dc:creator>openpyxl</dc:creator>
  <dc:description/>
  <dc:language>en-US</dc:language>
  <cp:lastModifiedBy/>
  <dcterms:modified xsi:type="dcterms:W3CDTF">2026-10-13T13:02:30Z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